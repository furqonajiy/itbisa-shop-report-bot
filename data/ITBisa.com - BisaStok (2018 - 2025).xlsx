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randa" sheetId="1" r:id="rId4"/>
    <sheet state="visible" name="BisaStok" sheetId="2" r:id="rId5"/>
    <sheet state="visible" name="BisaHilang" sheetId="3" r:id="rId6"/>
    <sheet state="visible" name="BisaRekapBarang" sheetId="4" r:id="rId7"/>
    <sheet state="visible" name="BisaPindahBarang" sheetId="5" r:id="rId8"/>
    <sheet state="visible" name="BisaSEO" sheetId="6" r:id="rId9"/>
    <sheet state="visible" name="BisaEtalase" sheetId="7" r:id="rId10"/>
    <sheet state="visible" name="BisaPerlengkapan" sheetId="8" r:id="rId11"/>
    <sheet state="hidden" name="BisaJurnal" sheetId="9" r:id="rId12"/>
    <sheet state="hidden" name="BisaRekapBarangBackend" sheetId="10" r:id="rId13"/>
    <sheet state="hidden" name="BisaRekapGudangBackend" sheetId="11" r:id="rId14"/>
    <sheet state="hidden" name="Import-BisaJual" sheetId="12" r:id="rId15"/>
    <sheet state="hidden" name="Import-BisaJurnal" sheetId="13" r:id="rId16"/>
  </sheets>
  <definedNames>
    <definedName hidden="1" localSheetId="1" name="_xlnm._FilterDatabase">BisaStok!$A$2:$AF$1020</definedName>
    <definedName hidden="1" localSheetId="5" name="_xlnm._FilterDatabase">BisaSEO!$A$1:$M$220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949">
      <text>
        <t xml:space="preserve">Supaya Jurnal tidak error, asumsikan diskon ongkir 1 USD diskon barang 1 USD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93">
      <text>
        <t xml:space="preserve">**BisaOspek oleh Information Technology Bisa! - ITBisa**
PENTING! Harga BELUM termasuk 2xBaterai ukuran D, tetapi SUDAH termasuk Bohlam.
TIDAK MENERIMA PENGIRIMAN BATERAI KE LUAR PULAU JAWA (HANYA SENTER).
Baterai :
https://www.bukalapak.com/p/elektronik/baterai-681/zh6wvi-jual-itbisa-baterai-abc-super-power-1-5-v-size-d-hitam-senter-pompa-galon-batre-heavy-duty-jumbo-karbon-carbon-zinc-dr20p-tipe-d-r20p-besar-1-5-v-volt
https://shopee.co.id/product/80492423/2291101669/
https://tokopedia.link/cFFSwlnJeV
Bohlam Cadangan :
https://www.bukalapak.com/p/elektronik/lampu-alat-penerangan/1eyr70k-jual-itbisa-bohlam-senter-rapid-e10-2-5v-drat-lampu-2-5-v-bulb-screw-skrup-kecil-praktik-praktek-anak-sekolah
https://shopee.co.id/product/80492423/2291110329/
https://tokopedia.link/cbDFn9obMX
Senter Tiger Head FT300 adalah senter yang biasa digunakan ketika ospek.
Senter ini menggunakan lampu dengan cahaya kuning sehingga lebih mudah dilihat oleh mata manusia karena panjang gelombangnya lebih tinggi.
Senter ini terbuat dari stainless steel sehingga lebih awet dan tahan banting.
Senter ini adalah New Old Stock (NOS) sehingga desain yang dibuat adalah desain zaman dahulu. Permasalahan yang sering terjadi adalah senter kadang menyala kadang tidak. Senter ini mempunyai 3 titik penyebab tidak menyala
1. Bohlam
2. Kepala senter
3. Penutup baterai
Ketiga hal tersebut terkadang kurang kencang, sehingga membuat senter tidak menyala sebagaimana mestinya.
Solusinya adalah
1. Buka penutup baterai, masukkan baterai, kemudian tutup kembali. Pastikan sudah ditutup dengan kencang.
2. Buka kepala senter, kemudian kencangkan lampu bohlam pada senter tersebut. Pastikan bohlam kencang. Jika bohlam sudah terpasang dengan benar, bohlam akan menyala.
3. Jika bohlam sudah dikencangkan, pasang kembali kepala senter. Pastikan kembali kepala senter sudah kencang.
Senter bermasalah bukan berarti kami mengirim produk rusak. Produk selalu dites sebelum dikirim, dan kami akan siap membantu apabila terdapat permasalahan. Kami sangat mengerti bahwa desain senter seperti ini tidak sebaik senter-senter produksi sekarang, sehingga harus sedikit bersabar dalam menyetel senter tersebut dan kami sangat siap membantu apabila terjadi permasalahan dengan senter yang kami kirim.
Spesifikasi
Merk : Tiger Head
Panjang : 17 cm
Diameter Kepala : 5 cm
Diameter Pegangan : 4 cm
Bahan : Heavy Chrome Plate
Warna Lampu : Kuning
Baterai : 2 buah ukuran D (tidak termasuk dalam paket)
#BisaOspek #ITBisa #Senter #NOS #Jadul #Ospek #FT300 #Klasik #Lampu #Cahaya #Kuning #Kabut #Tigerhead #Vintage #Lama #Classic #Besi #Logam
-----
Massa : 25 gram
Harga Grosir :
@20000
&gt;=25 @19500</t>
      </text>
    </comment>
    <comment authorId="0" ref="A63">
      <text>
        <t xml:space="preserve">**BisaElektronika by Information Technology Bisa! - ITBisa**
PENTING! IC ini BUKAN tipe SMD, sehingga dapat digunakan untuk PCB berlubang atau breadboard, dan mudah disolder.
Socket :
https://www.bukalapak.com/p/elektronik/komponen-elektronik/12cnd7v-jual-itbisa-socket-ic-dip-8-2x4-round-hole-soket-integrated-circuit-8-pin-kaki-lingkaran-dip8-8dip
https://tokopedia.link/VcMQW1YRoX
https://shopee.co.id/product/80492423/2287659492/
IC UA741CN DIP-8 adalah IC yang sering digunakan untuk rangkaian Operational Amplifier (penguat).
Contoh aplikasi IC 741 adalah Filter, Integrator, Diferensiator, Summer.
DIP-8 berarti IC tersebut mempunyai 8 buah kaki dengan tipe kaki Dual in-line package (DIP).
Spesifikasi
Tipe : UA741CN
Fungsi : Op-Amp, Filter
Tegangan Operasi : 5 V s.d. 15 V atau - 5 V s.d. - 15 V
Paket : DIP-8 (8 Kaki tipe Dual in-line package)
#BisaElektronika #ITBisa #IC #741 #UA741CN #DIP-8 #Op-Amp #Filter #Penguat #LPF #HPF #BPF #UA741 #OpAmp #DIP8 #8DIP #Integrated #Circuit
-----
Massa : 2 gram
Harga Grosir :
@1500
&gt;=100 @1450
&gt;=200 @1400</t>
      </text>
    </comment>
    <comment authorId="0" ref="A61">
      <text>
        <t xml:space="preserve">**BisaElektronika oleh Information Technology Bisa! - ITBisa**
PENTING! IC ini BUKAN tipe SMD, sehingga dapat digunakan untuk PCB berlubang atau breadboard, dan mudah disolder.
Socket :
https://www.bukalapak.com/p/elektronik/komponen-elektronik/12cnd7v-jual-itbisa-socket-ic-dip-8-2x4-round-hole-soket-integrated-circuit-8-pin-kaki-lingkaran-dip8-8dip
https://tokopedia.link/VcMQW1YRoX
https://shopee.co.id/product/80492423/2287659492/
IC NE555P DIP-8 adalah IC yang sering digunakan untuk Timer.
Salah satu aplikasi IC 555 adalah Flip-Flop.
DIP-8 berarti IC tersebut mempunyai 8 buah kaki dengan tipe kaki Dual in-line package (DIP).
Spesifikasi
Tipe : NE555P
Fungsi : Timer, Osilator
Tegangan Operasi : 4,5 V - 16 V
Paket : DIP-8 (8 Kaki tipe Dual in-line package)
#BisaElektronika #ITBisa #IC #555 #NE555P #DIP-8 #Timer #Osilator #Flip-Flop #Integrated #Circuit #NE #NE555 #Oscillator #Flip #Flop #DIP8 #8DIP
-----
Massa : 2 gram
Harga Grosir :
@500
&gt;=500 @490</t>
      </text>
    </comment>
    <comment authorId="0" ref="A92">
      <text>
        <t xml:space="preserve">**BisaElektronika oleh Information Technology Bisa! - ITBisa**
PENTING! Motor Driver L298N ini sudah menggunakan Heatsink agar lebih tahan panas. Perlu diketahui motor driver dapat dilewatkan arus yang besar sehingga rawan panas. L298N Motor Driver ini juga sudah dilengkapi dengan baut kabel untuk memudahkan pemasangan kabel.
L298N dapat digunakan untuk mengontrol motor DC dengan tegangan hingga 35 V. Tetapi untuk menghindari kerusakan chip ketika menggunakan tegangan masukan lebih dari 12 V, bedakan tegangan logika dengan tegangan kontrol motor. Gunakan tegangan logika 5 V untuk menghindari kerusakan.
Ketika tegangan kendali motor adalah 7 - 12 V, motor driver ini dapat menghasilkan tegangan logika sebesar 5 V. Ketika menggunakan masukan tegangan 5 V, bagian + 5 V tidak perlu ditambahkan tegangan tambahan karena sudah menghasilkan 5 V dengan sendirinya.
Ketika tegangan kendali motor 12 V - 24 V, jumper 5 V pada board harus dicabut dan kita harus menghubungkan 5 V dengan port output. Hal ini dilakukan agar tidak merusak chip.
Motor Driver L298N menggunakan IC buatan ST yang memiliki karakteristik kemampuan mengemudi yang kuat, daya pemanasan rendah, dan kemampuan anti-interferensi yang kuat.
Motor Driver L298N menggunakan kapasitor filter berkapasitas besar dan dioda perlindungan arus kontinu yang dapat meningkatkan ketahanan.
Motor Driver L298N dapat digunakan untuk kendali motor pada Arduino, khususnya Line Follower.
Spesifikasi
Chip : L298N
Fungsi : Kendali Motor DC, Kendali Motor Stepper, Kendali Line Follower
Mode Kerja : Dual H-bridge drive (dua arah).
Chip Kontrol Utama : L298N
Tegangan Logika (Logic Voltage) : 5 V
Tegangan Kendali Motor (Driving Voltage) : 5 V - 35 V
Arus Logika (Logic Current) : 0 mA - 36 mA
Arus Kendali Motor (Driving Current) : 2 A (MAX Single Bridge)
Suhu Penyimpanan : -20°C - 135°C
Daya Maksimum : 25 W
#BisaElektronika #ITBisa #Motor #Driver #Stepper #DC #L298N #Dual #HBridge #Module #Control #Smart #Car #Robot #Arduino #Modul #Kontrol #High #Power
-----
Massa : 50 gram
Harga Grosir : 
@17500
&gt;=25 @17000</t>
      </text>
    </comment>
    <comment authorId="0" ref="A119">
      <text>
        <t xml:space="preserve">**BisaOspek oleh Information Technology Bisa! - ITBisa**
PENTING! Bohlam ini mempunyai bentuk bulat, bukan runcing.
Bohlam Rapid E10 adalah lampu bohlam (bulb) atau lampu pijar yang sering digunakan sebagai lampu di senter terdahulu (sebelum ada LED). Bohlam ini mempunyai warna cahaya kuning.
Senter Lampu Kuning : 
https://www.bukalapak.com/p/elektronik/lampu-alat-penerangan/1tebvcn-jual-itbisa-senter-tiger-head-nos-jadul-ospek-ft300-klasik-lampu-cahaya-kuning-tembus-kabut-osjur-tigerhead-vintage-lama-classic-besi-stainless-logam
https://shopee.co.id/product/80492423/2287229388/
https://tokopedia.link/8qtRn6vbMX
Spesifikasi
Merk : Rapid
Jenis Lampu : Pijar
Diameter Bohlam : 11 mm
Panjang : 22,8 mm (ujung bohlam ke kaca)
Warna Cahaya : Kuning
Tegangan Operasi : 2,5 Volt
Arus Operasi : 0,3 A
#BisaOspek #ITBisa #Lampu #Senter #Bohlam #Kuning #Bulb #E10 #2.5V #Drat #Skrup #Kecil #Praktik #Praktek #Anak #Sekolah #2,5V #Screw</t>
      </text>
    </comment>
    <comment authorId="0" ref="A183">
      <text>
        <t xml:space="preserve">**BisaElektronika oleh Information Technology Bisa! - ITBisa**
PENTING! Socket ini adalah Narrow, bukan Round Hole.
Socket IC DIP-8 Narrow adalah Socket yang digunakan sebagai tempat memasang IC DIP-8 atau IC yang mempunyai 8 kaki tipe DIP.
Socket ini biasanya disolder dengan rangkaian elektronika sehingga IC yang dipasang dapat ditarik-pasang secara bebas. Selain itu, apabila terjadi kerusakan IC, maka dapat dengan mudah diganti karena rangkaian tersolder dengan socket-nya, bukan IC-nya.
Spesifikasi
Type : IC Socket Adaptor Solder Type
Row to Row Distance : 7,62 mm
Length : 3,25 mm
Pitch : 2,54 mm
Banyak pin : 2x4 (8 Pin)
Tipe pin : DIP
#BisaElektronika #ITBisa #Socket #IC #DIP #8 #Pin #DIP8 #8DIP #2x4 #Narrow #2.54mm #Dudukan #2,54mm #Soket #DIP8 #8DIP #Integrated #Integrate #Circuit
-----
Massa : 2 gram
Harga Grosir : 
@300
&gt;=500 @290</t>
      </text>
    </comment>
    <comment authorId="0" ref="A214">
      <text>
        <t xml:space="preserve">**BisaElektronika oleh Information Technology Bisa! - ITBisa**
PENTING! Transistor ini adalah tipe NPN, jangan sampai tertukar dengan PNP.
Transistor BJT NPN 2N2222A H331 adalah Transistor yang dapat digunakan untuk switching atau penguat (op-amp).
2N2222 dan 2N2222A hanya berbeda sedikit di spesifikasi arus dan tegangan, di mana pada kasus ekstrem, 2N2222A lebih tahan dibandingkan 2N2222. Tetapi untuk kasus-kasus normal, kedua tipe tersebut sama.
Salah satu aplikasi Transistor 2N2222A adalah lampu otomatis dan amplifier.
TO-92 adalah jenis packing untuk transistor, biasanya terbuat dari plastik atau epoxy.
H331 adalah kode transistor tersebut.
Spesifikasi
Tipe : 2N2222A
Fungsi : Switch, Penguat
Arus maksimum : 0,6 Ampere
Tegangan maksimum : 30 Volt
Paket : TO-92
#BisaElektronika #ITBisa #Transistor #BJT #NPN #2N2222 #2N2222A #H331 #Penguat #Switch #TO92 #0.6A #30V #Transistors #TO-92 #H-331 #30Volt #Volt
-----
Massa : 2 gram
Harga Grosir : 
@200
&gt;=250 @170</t>
      </text>
    </comment>
    <comment authorId="0" ref="A53">
      <text>
        <t xml:space="preserve">**BisaElektronika by Information Technology Bisa! - ITBisa**
PENTING! IC ini BUKAN tipe SMD, sehingga dapat digunakan untuk PCB berlubang atau breadboard, dan mudah disolder.
Socket :
https://www.bukalapak.com/p/elektronik/komponen-elektronik/12cnd7v-jual-itbisa-socket-ic-dip-8-2x4-round-hole-soket-integrated-circuit-8-pin-kaki-lingkaran-dip8-8dip
https://tokopedia.link/VcMQW1YRoX
https://shopee.co.id/product/80492423/2287659492/
IC UA741CN DIP-8 adalah IC yang sering digunakan untuk rangkaian Operational Amplifier (penguat).
Contoh aplikasi IC 741 adalah Filter, Integrator, Diferensiator, Summer.
DIP-8 berarti IC tersebut mempunyai 8 buah kaki dengan tipe kaki Dual in-line package (DIP).
Spesifikasi
Tipe : UA741CN
Fungsi : Op-Amp, Filter
Tegangan Operasi : 5 V s.d. 15 V atau - 5 V s.d. - 15 V
Paket : DIP-8 (8 Kaki tipe Dual in-line package)
#BisaElektronika #ITBisa #IC #741 #UA741CN #DIP-8 #Op-Amp #Filter #Penguat #LPF #HPF #BPF #UA741 #OpAmp #DIP8 #8DIP #Integrated #Circuit
-----
Massa : 2 gram
Harga Grosir :
@1500
&gt;=100 @1450
&gt;=200 @1400</t>
      </text>
    </comment>
    <comment authorId="0" ref="A18">
      <text>
        <t xml:space="preserve">**BisaElektronika oleh Information Technology Bisa! - ITBisa**
PENTING! Arduino ini adalah clone, bukan produk original, MASIH TERSEGEL. HARGA TIDAK TERMASUK KABEL.
ITBisa mempunyai standar yang tinggi untuk pemilihan barang sehingga Arduino Clone yang disediakan mempunyai kualitas semirip mungkin dengan Arduino original.
Arduino + KABEL 30CM :
https://www.bukalapak.com/p/elektronik/komponen-elektronik/1oczovi-jual-itbisa-arduino-uno-r3-ch340g-atmega328p-smd-clone-plus-usb-kabel-30cm-mikrokontroler-atmega328-cable-30-cm-kloning-duplikat-microcontroller
https://shopee.co.id/product/80492423/2291027591/
https://tokopedia.link/YjEKy3wCPX
USB 50 cm SAJA : 
https://www.bukalapak.com/p/elektronik/komponen-elektronik/1omtkbs-jual-itbisa-kabel-usb-a-to-b-2-0-biru-50cm-arduino-uno-mega-printer-blue-data-cable-50-cm
https://shopee.co.id/product/80492423/2290935422/
https://tokopedia.link/0AOGEGzIPX
Arduino UNO R3 CH340G ATMega328P SMD adalah mikrokontroler berbasis mikroprosesor ATMega328P.
- UNO adalah jenis Arduino dengan 14 pin Input-Output (I/O).
- R3 adalah Revisi ke-3 dari Arduino UNO. Perlu diketahui desain Arduino selalu diupgrade secara berkala.
- CH340G adalah tipe USB to TTL (serial) yang digunakan pada Arduino produksi Cina. Untuk produksi Eropa dan Amerika menggunakan 16U2 atau FTDI.
- ATMega328P adalah mikroprosesor yang digunakan pada Arduino UNO.
- Surface Mount Device (SMD) adalah tipe devais yang dirangkai secara Surface Mount Device (SMT), yaitu teknologi memasang komponen elektronik secara langsung pada papan sirkuit.
Aplikasi Arduino banyak sekali, di antaranya sebagai kontrol motor, PID, pengolah data sensor, ataupun otak dari robotika.
Spesifikasi
Mikrokontroler : ATmega328P
Tegangan Operasi : 5 V
Input Tegangan (disarankan) : 7 - 12 V
Input Tegangan (batas) : 6 - 20 V
Banyak I/O Digital Pin : 14
Banyak Pin PWM : 6
Banyak Input Pin Analog : 6
Arus DC per I/O pin : 20 mA
Arus DC untuk Pin 3,3 V Pin : 50 mA
Memori Flash : 32 KB (ATmega328P) dengan 0,5 KB digunakan untuk bootloader
RAM Statis (SRAM) : 2 KB (ATmega328P)
EEPROM : 1 KB (ATmega328P)
Kecepatan Clock : 16 MHz
LED_BUILTIN : 13
Panjang : 68,6 mm
Lebar : 53,4 mm
#BisaElektronika #ITBisa #Arduino #UNO #R3 #CH340G #SMD #Clone #USB #Kabel #30CM #Cable #ATMega328P #Mikrokontroler #ATMega328 #Kloning #Duplikat #Microcontroller
-----
Massa : 50 gram
Harga Grosir :
@50000
&gt;= 25 47500</t>
      </text>
    </comment>
    <comment authorId="0" ref="A16">
      <text>
        <t xml:space="preserve">**BisaOspek oleh Information Technology Bisa! - ITBisa**
PENTING! Harga adalah untuk 1 buah baterai. Untuk Sementara TIDAK MENERIMA PENGIRIMAN LUAR PULAU JAWA.
Senter :
https://www.bukalapak.com/p/elektronik/lampu-alat-penerangan/1tebvcn-jual-itbisa-senter-tiger-head-nos-jadul-ospek-ft300-klasik-lampu-cahaya-kuning-tembus-kabut-osjur-tigerhead-vintage-lama-classic-besi-stainless-logam
https://shopee.co.id/product/80492423/2287229388/
https://tokopedia.link/8qtRn6vbMX
Baterai ABC Super Power DR20P 1,5 V Size D Hitam adalah baterai yang sering digunakan untuk senter logam zaman dulu atau pompa galon.
Baterai ini adalah jenis Carbon Zinc atau secara komersial sering disebut dengan baterai Heavy Duty.
Secara fisik, baterai ini menggunakan Karbon yang berbentuk batang sebagai terminal positif (+) dan pembungkusnya menggunakan bahan Seng sebagai terminal negatif (-).
Ukuran baterai ini adalah D.
Berdasarkan website baterai ABC, baterai ini mempunyai sistem konstruksi "Leakproof Sealing System" atau tahan bocor, sehingga baterai ini awet dalam menyimpan daya dalam waktu yang lama.
Baterai ini tidak menggunakan merkuri (raksa) ataupun Cadmium sehingga lebih rendah bahaya.
Spesifikasi
Merk : ABC Super Power
Tipe : D
Bahan : Carbon Zinc
Tegangan : 1,5 V
#BisaOspek #ITBisa #Baterai #ABC #Super #Power #Heavy #Duty #DR20P #1.5V #Jumbo #Carbon #Zinc #Hitam #Senter #Batre #Besar #Black</t>
      </text>
    </comment>
    <comment authorId="0" ref="A111">
      <text>
        <t xml:space="preserve">**BisaElektronika oleh Information Technology Bisa! - ITBisa**
PENTING! Transistor ini adalah tipe NPN, jangan sampai tertukar dengan PNP.
Transistor BJT NPN 2N2222A H331 adalah Transistor yang dapat digunakan untuk switching atau penguat (op-amp).
2N2222 dan 2N2222A hanya berbeda sedikit di spesifikasi arus dan tegangan, di mana pada kasus ekstrem, 2N2222A lebih tahan dibandingkan 2N2222. Tetapi untuk kasus-kasus normal, kedua tipe tersebut sama.
Salah satu aplikasi Transistor 2N2222A adalah lampu otomatis dan amplifier.
TO-92 adalah jenis packing untuk transistor, biasanya terbuat dari plastik atau epoxy.
H331 adalah kode transistor tersebut.
Spesifikasi
Tipe : 2N2222A
Fungsi : Switch, Penguat
Arus maksimum : 0,6 Ampere
Tegangan maksimum : 30 Volt
Paket : TO-92
#BisaElektronika #ITBisa #Transistor #BJT #NPN #2N2222 #2N2222A #H331 #Penguat #Switch #TO92 #0.6A #30V #Transistors #TO-92 #H-331 #30Volt #Volt
-----
Massa : 2 gram
Harga Grosir : 
@200
&gt;=250 @170</t>
      </text>
    </comment>
    <comment authorId="0" ref="A76">
      <text>
        <t xml:space="preserve">**BisaElektronika oleh Information Technology Bisa! - ITBisa**
PENTING! Harga yang tertera adalah untuk 40 helai kabel.
Kabel jumper dupont adalah kabel yang sering digunakan pada rangkaian Arduino dan Breadboard.
Ujung kabel yang satu dapat dihubungkan ke Arduino atau Breadboard dan satunya lagi dapat dihubungkan ke sensor.
MM 10 cm :
https://www.bukalapak.com/p/elektronik/komponen-elektronik/vbuzpu-jual-itbisa-40pcs-kabel-jumper-10-cm-male-to-male-m-m-2-54-mm-merk-dupont-arduino-breadboard-40-pcs-buah-mm-m-m-pin-2-54mm-10cm-cable
https://shopee.co.id/product/80492423/2291050648/
https://tokopedia.link/fDxy44wMPX
MF 10 cm :
https://www.bukalapak.com/p/elektronik/komponen-elektronik/163beu6-jual-itbisa-40pcs-kabel-jumper-10-cm-male-to-female-m-f-2-54-mm-merk-dupont-arduino-breadboard-40-pcs-buah-mf-m-f-pin-2-54mm-10cm-cable
https://shopee.co.id/product/80492423/2291036855/
https://tokopedia.link/lo4oPZuMPX
FF 10 cm :
https://www.bukalapak.com/p/elektronik/komponen-elektronik/1p5d40c-jual-itbisa-40pcs-kabel-jumper-10-cm-female-to-female-f-f-2-54-mm-merk-dupont-arduino-breadboard-40-pcs-buah-ff-f-f-pin-2-54mm-10cm-cable
https://shopee.co.id/product/80492423/2287703561/
https://tokopedia.link/WY1D7tzMPX
Spesifikasi
Merk : Dupont
Ukuran : 10 cm
Pitch : 2,54 mm pin header
Jenis : Male to Male (M-M)
Warna : bermacam-macam (tidak bisa memilih)
#BisaElektronika #ITBisa #Kabel #Jumper #Male #M-M #2.54mm #Merk #Dupont #Arduino #Breadboard #Buah #MM #Pin #2,54 #mm #2,54mm #10cm #Cable
-----
Massa : 25 gram
Harga Grosir :
@12500
&gt;=25 12.000</t>
      </text>
    </comment>
    <comment authorId="0" ref="A107">
      <text>
        <t xml:space="preserve">**BisaElektronika oleh Information Technology Bisa! - ITBisa**
PENTING! PCB ini berukuran 5x7 cm, dengan kolom A-X dan baris 01-18.
Printer Circuit Board Universal 5x7 cm adalah PCB yang digunakan untuk memasang komponen sesuai keinginan.
PCB ini biasanya disolder dengan socket, agar alat-alat elektronika dapat ditarik-pasang secara bebas.
Spesifikasi
Tipe : Satu Sisi (Single Side)
Dimensi : 5x7 cm
Bahan : Tembaga
Lubang : 1 mm
Pitch : 2,54 mm
#BisaElektronika #ITBisa #PCB #Dot #Matrix #5x7 #Single #Side #Universal #Tembaga #5 #x #7 #cm #Copper #Printed #Circuit #Board #Protoboard #DIY #Bolong</t>
      </text>
    </comment>
    <comment authorId="0" ref="A74">
      <text>
        <t xml:space="preserve">**BisaElektronika oleh Information Technology Bisa! - ITBisa**
PENTING! Harga yang tertera adalah untuk 40 helai kabel.
Kabel jumper dupont adalah kabel yang sering digunakan pada rangkaian Arduino dan Breadboard.
Ujung kabel yang satu dapat dihubungkan ke Arduino atau Breadboard dan satunya lagi dapat dihubungkan ke sensor.
MM 10 cm :
https://www.bukalapak.com/p/elektronik/komponen-elektronik/vbuzpu-jual-itbisa-40pcs-kabel-jumper-10-cm-male-to-male-m-m-2-54-mm-merk-dupont-arduino-breadboard-40-pcs-buah-mm-m-m-pin-2-54mm-10cm-cable
https://shopee.co.id/product/80492423/2291050648/
https://tokopedia.link/fDxy44wMPX
MF 10 cm :
https://www.bukalapak.com/p/elektronik/komponen-elektronik/163beu6-jual-itbisa-40pcs-kabel-jumper-10-cm-male-to-female-m-f-2-54-mm-merk-dupont-arduino-breadboard-40-pcs-buah-mf-m-f-pin-2-54mm-10cm-cable
https://shopee.co.id/product/80492423/2291036855/
https://tokopedia.link/lo4oPZuMPX
FF 10 cm :
https://www.bukalapak.com/p/elektronik/komponen-elektronik/1p5d40c-jual-itbisa-40pcs-kabel-jumper-10-cm-female-to-female-f-f-2-54-mm-merk-dupont-arduino-breadboard-40-pcs-buah-ff-f-f-pin-2-54mm-10cm-cable
https://shopee.co.id/product/80492423/2287703561/
https://tokopedia.link/WY1D7tzMPX
Spesifikasi
Merk : Dupont
Ukuran : 10 cm
Pitch : 2,54 mm pin header
Jenis : Male to Feale (M-F)
Warna : bermacam-macam (tidak bisa memilih)
#BisaElektronika #ITBisa #Kabel #Jumper #Male #Female #M-F #2.54mm #Merk #Dupont #Arduino #Breadboard #MF #Pin #2,54 #mm #2,54mm #10cm #Cable
-----
Massa : 25 gram
Harga Grosir :
@12500
&gt;=25 12.000</t>
      </text>
    </comment>
    <comment authorId="0" ref="A8">
      <text>
        <t xml:space="preserve">**BisaElektronika oleh Information Technology Bisa! - ITBisa**
PENTING! 7 segment ini adalah Common Cathode. Untuk menyalakannya, bagian tengah segment dihubungkan ke GND, dan bagian segmen yang akan dinyalakan dihubungkan ke VCC.
CA 0,56" :
https://www.bukalapak.com/p/elektronik/komponen-elektronik/10kygfi-jual-itbisa-7-segment-ca-common-anoda-0-56-inci-merah-1-bit-led-display-jam-digital-nilai-sensor-7-segment-seven-red-anode-0-56inch-inch-1bit
https://shopee.co.id/product/80492423/2291065530/
https://tokopedia.link/Cx1aV4jkpX
7 Segment adalah komponen elektronik yang dapat digunakan untuk menampilkan angka dan huruf dalam bentuk segmen yang berjumlah tujuh buah.
7 segment dapat digunakan untuk jam digital atau menampilkan nilai pembacaan sensor.
7 segment ini mempunyai warna LED merah dengan ukuran 0,56 inci.
Spesifikasi
Tipe : Common Cathode
Fungsi : LED Display, Jam Digital, Sensor
ABSOLUTE MAXIMUM RATINGS
Reverse Voltage : 5 V
Forward Current : 30 mA
Peak Forward Current : 120 mA
Power Dissipation : 80 mW per segment
Operating Temperature Range : -25°C s.d. +85°C
Storage Temperature Range : -30°C s.d. +85°C
#BisaElektronika #ITBisa #CC #Common #Katoda #0,56 #Inci #Merah #1 #Bit #LED #Display #Jam #Digital #Nilai #Sensor #7-Segment #Seven #Red #Cathode #0,56" #0.56" #0.56inch #1BIT
-----
Massa : 10 gram
Harga Grosir :
@1500
&gt;=200 @1450
&gt;=300 @1400</t>
      </text>
    </comment>
    <comment authorId="0" ref="A72">
      <text>
        <t xml:space="preserve">**BisaElektronika oleh Information Technology Bisa! - ITBisa**
PENTING! Harga yang tertera adalah untuk 40 helai kabel.
Kabel jumper dupont adalah kabel yang sering digunakan pada rangkaian Arduino dan Breadboard.
Ujung kabel yang satu dapat dihubungkan ke Arduino atau Breadboard dan satunya lagi dapat dihubungkan ke sensor.
MM 10 cm :
https://www.bukalapak.com/p/elektronik/komponen-elektronik/vbuzpu-jual-itbisa-40pcs-kabel-jumper-10-cm-male-to-male-m-m-2-54-mm-merk-dupont-arduino-breadboard-40-pcs-buah-mm-m-m-pin-2-54mm-10cm-cable
https://shopee.co.id/product/80492423/2291050648/
https://tokopedia.link/fDxy44wMPX
MF 10 cm :
https://www.bukalapak.com/p/elektronik/komponen-elektronik/163beu6-jual-itbisa-40pcs-kabel-jumper-10-cm-male-to-female-m-f-2-54-mm-merk-dupont-arduino-breadboard-40-pcs-buah-mf-m-f-pin-2-54mm-10cm-cable
https://shopee.co.id/product/80492423/2291036855/
https://tokopedia.link/lo4oPZuMPX
FF 10 cm :
https://www.bukalapak.com/p/elektronik/komponen-elektronik/1p5d40c-jual-itbisa-40pcs-kabel-jumper-10-cm-female-to-female-f-f-2-54-mm-merk-dupont-arduino-breadboard-40-pcs-buah-ff-f-f-pin-2-54mm-10cm-cable
https://shopee.co.id/product/80492423/2287703561/
https://tokopedia.link/WY1D7tzMPX
Spesifikasi
Merk : Dupont
Ukuran : 10 cm
Pitch : 2,54 mm pin header
Jenis : Female to Female (F-F)
Warna : bermacam-macam (tidak bisa memilih)
#BisaElektronika #ITBisa #Kabel #Jumper #Female #F-F #2.54mm #Merk #Dupont #Arduino #Breadboard #Buah #FF #Pin #2,54 #mm #2,54mm #10cm #Cable
-----
Massa : 25 gram
Harga Grosir :
@12500
&gt;=25 12.000</t>
      </text>
    </comment>
    <comment authorId="0" ref="A6">
      <text>
        <t xml:space="preserve">**BisaElektronika oleh Information Technology Bisa! - ITBisa**
PENTING! 7 segment ini adalah Common Cathode. Untuk menyalakannya, bagian tengah segment dihubungkan ke GND, dan bagian segmen yang akan dinyalakan dihubungkan ke VCC.
CA 0,56" :
https://www.bukalapak.com/p/elektronik/komponen-elektronik/10kygfi-jual-itbisa-7-segment-ca-common-anoda-0-56-inci-merah-1-bit-led-display-jam-digital-nilai-sensor-7-segment-seven-red-anode-0-56inch-inch-1bit
https://shopee.co.id/product/80492423/2291065530/
https://tokopedia.link/Cx1aV4jkpX
7 Segment adalah komponen elektronik yang dapat digunakan untuk menampilkan angka dan huruf dalam bentuk segmen yang berjumlah tujuh buah.
7 segment dapat digunakan untuk jam digital atau menampilkan nilai pembacaan sensor.
7 segment ini mempunyai warna LED merah dengan ukuran 0,56 inci.
Spesifikasi
Tipe : Common Cathode
Fungsi : LED Display, Jam Digital, Sensor
ABSOLUTE MAXIMUM RATINGS
Reverse Voltage : 5 V
Forward Current : 30 mA
Peak Forward Current : 120 mA
Power Dissipation : 80 mW per segment
Operating Temperature Range : -25°C s.d. +85°C
Storage Temperature Range : -30°C s.d. +85°C
#BisaElektronika #ITBisa #CC #Common #Katoda #0,56 #Inci #Merah #1 #Bit #LED #Display #Jam #Digital #Nilai #Sensor #7-Segment #Seven #Red #Cathode #0,56" #0.56" #0.56inch #1BIT
-----
Massa : 10 gram
Harga Grosir :
@1500
&gt;=200 @1450
&gt;=300 @1400</t>
      </text>
    </comment>
    <comment authorId="0" ref="A4">
      <text>
        <t xml:space="preserve">**BisaElektronika oleh Information Technology Bisa! - ITBisa**
PENTING! 7 segment ini adalah Common Cathode. Untuk menyalakannya, bagian tengah segment dihubungkan ke GND, dan bagian segmen yang akan dinyalakan dihubungkan ke VCC.
CA 0,56" :
https://www.bukalapak.com/p/elektronik/komponen-elektronik/10kygfi-jual-itbisa-7-segment-ca-common-anoda-0-56-inci-merah-1-bit-led-display-jam-digital-nilai-sensor-7-segment-seven-red-anode-0-56inch-inch-1bit
https://shopee.co.id/product/80492423/2291065530/
https://tokopedia.link/Cx1aV4jkpX
7 Segment adalah komponen elektronik yang dapat digunakan untuk menampilkan angka dan huruf dalam bentuk segmen yang berjumlah tujuh buah.
7 segment dapat digunakan untuk jam digital atau menampilkan nilai pembacaan sensor.
7 segment ini mempunyai warna LED merah dengan ukuran 0,56 inci.
Spesifikasi
Tipe : Common Cathode
Fungsi : LED Display, Jam Digital, Sensor
ABSOLUTE MAXIMUM RATINGS
Reverse Voltage : 5 V
Forward Current : 30 mA
Peak Forward Current : 120 mA
Power Dissipation : 80 mW per segment
Operating Temperature Range : -25°C s.d. +85°C
Storage Temperature Range : -30°C s.d. +85°C
#BisaElektronika #ITBisa #CC #Common #Katoda #0,56 #Inci #Merah #1 #Bit #LED #Display #Jam #Digital #Nilai #Sensor #7-Segment #Seven #Red #Cathode #0,56" #0.56" #0.56inch #1BIT
-----
Massa : 10 gram
Harga Grosir :
@1500
&gt;=200 @1450
&gt;=300 @1400</t>
      </text>
    </comment>
    <comment authorId="0" ref="A2">
      <text>
        <t xml:space="preserve">**BisaElektronika oleh Information Technology Bisa! - ITBisa**
PENTING! 7 segment ini adalah Common Anode. Untuk menyalakannya, bagian tengah segment dihubungkan ke VCC, dan bagian segmen yang akan dinyalakan dihubungkan ke GND.
CC 0,56" :
https://www.bukalapak.com/p/elektronik/komponen-elektronik/12cm7sr-jual-itbisa-7-segment-cc-common-katoda-0-56-inci-merah-1-bit-led-display-jam-digital-nilai-sensor-7-segment-seven-red-cathode-0-56inch-inch-1bit
https://shopee.co.id/product/80492423/2291079064/
https://tokopedia.link/IlH0FKCToX
7 Segment adalah komponen elektronik yang dapat digunakan untuk menampilkan angka dan huruf dalam bentuk segmen yang berjumlah tujuh buah.
7 segment dapat digunakan untuk jam digital atau menampilkan nilai pembacaan sensor.
7 segment ini mempunyai warna LED merah dengan ukuran 0,56 inci.
Spesifikasi
Tipe : Common Anode
Fungsi : LED Display, Jam Digital, Sensor
ABSOLUTE MAXIMUM RATINGS
Reverse Voltage : 5 V
Forward Current : 30 mA
Peak Forward Current : 120 mA
Power Dissipation : 80 mW per segment
Operating Temperature Range : -25°C s.d. +85°C
Storage Temperature Range : -30°C s.d. +85°C
#BisaElektronika #ITBisa #CA #Common #Anoda #0,56 #Inci #Merah #LED #Display #Jam #Digital #Nilai #Sensor #7-Segment #Seven #Red #Anode #0,56" #0.56" #0.56inch #1BIT
-----
Massa : 10 gram
Harga Grosir :
@1500
&gt;=200 @1450
&gt;=300 @1400</t>
      </text>
    </comment>
    <comment authorId="0" ref="A194">
      <text>
        <t xml:space="preserve">**BisaOspek oleh Information Technology Bisa! - ITBisa**
PENTING! Harga BELUM termasuk 2xBaterai ukuran D, tetapi SUDAH termasuk Bohlam.
TIDAK MENERIMA PENGIRIMAN BATERAI KE LUAR PULAU JAWA (HANYA SENTER).
Baterai :
https://www.bukalapak.com/p/elektronik/baterai-681/zh6wvi-jual-itbisa-baterai-abc-super-power-1-5-v-size-d-hitam-senter-pompa-galon-batre-heavy-duty-jumbo-karbon-carbon-zinc-dr20p-tipe-d-r20p-besar-1-5-v-volt
https://shopee.co.id/product/80492423/2291101669/
https://tokopedia.link/cFFSwlnJeV
Bohlam Cadangan :
https://www.bukalapak.com/p/elektronik/lampu-alat-penerangan/1eyr70k-jual-itbisa-bohlam-senter-rapid-e10-2-5v-drat-lampu-2-5-v-bulb-screw-skrup-kecil-praktik-praktek-anak-sekolah
https://shopee.co.id/product/80492423/2291110329/
https://tokopedia.link/cbDFn9obMX
Senter Tiger Head FT300 adalah senter yang biasa digunakan ketika ospek.
Senter ini menggunakan lampu dengan cahaya kuning sehingga lebih mudah dilihat oleh mata manusia karena panjang gelombangnya lebih tinggi.
Senter ini terbuat dari stainless steel sehingga lebih awet dan tahan banting.
Senter ini adalah New Old Stock (NOS) sehingga desain yang dibuat adalah desain zaman dahulu. Permasalahan yang sering terjadi adalah senter kadang menyala kadang tidak. Senter ini mempunyai 3 titik penyebab tidak menyala
1. Bohlam
2. Kepala senter
3. Penutup baterai
Ketiga hal tersebut terkadang kurang kencang, sehingga membuat senter tidak menyala sebagaimana mestinya.
Solusinya adalah
1. Buka penutup baterai, masukkan baterai, kemudian tutup kembali. Pastikan sudah ditutup dengan kencang.
2. Buka kepala senter, kemudian kencangkan lampu bohlam pada senter tersebut. Pastikan bohlam kencang. Jika bohlam sudah terpasang dengan benar, bohlam akan menyala.
3. Jika bohlam sudah dikencangkan, pasang kembali kepala senter. Pastikan kembali kepala senter sudah kencang.
Senter bermasalah bukan berarti kami mengirim produk rusak. Produk selalu dites sebelum dikirim, dan kami akan siap membantu apabila terdapat permasalahan. Kami sangat mengerti bahwa desain senter seperti ini tidak sebaik senter-senter produksi sekarang, sehingga harus sedikit bersabar dalam menyetel senter tersebut dan kami sangat siap membantu apabila terjadi permasalahan dengan senter yang kami kirim.
Spesifikasi
Merk : Tiger Head
Panjang : 17 cm
Diameter Kepala : 5 cm
Diameter Pegangan : 4 cm
Bahan : Heavy Chrome Plate
Warna Lampu : Kuning
Baterai : 2 buah ukuran D (tidak termasuk dalam paket)
#BisaOspek #ITBisa #Senter #NOS #Jadul #Ospek #FT300 #Klasik #Lampu #Cahaya #Kuning #Kabut #Tigerhead #Vintage #Lama #Classic #Besi #Logam
-----
Massa : 25 gram
Harga Grosir :
@20000
&gt;=25 @19500</t>
      </text>
    </comment>
    <comment authorId="0" ref="A97">
      <text>
        <t xml:space="preserve">**BisaElektronika oleh Information Technology Bisa! - ITBisa**
PENTING! Transistor ini adalah tipe NPN, jangan sampai tertukar dengan PNP.
Transistor BJT NPN 2N2222A H331 adalah Transistor yang dapat digunakan untuk switching atau penguat (op-amp).
2N2222 dan 2N2222A hanya berbeda sedikit di spesifikasi arus dan tegangan, di mana pada kasus ekstrem, 2N2222A lebih tahan dibandingkan 2N2222. Tetapi untuk kasus-kasus normal, kedua tipe tersebut sama.
Salah satu aplikasi Transistor 2N2222A adalah lampu otomatis dan amplifier.
TO-92 adalah jenis packing untuk transistor, biasanya terbuat dari plastik atau epoxy.
H331 adalah kode transistor tersebut.
Spesifikasi
Tipe : 2N2222A
Fungsi : Switch, Penguat
Arus maksimum : 0,6 Ampere
Tegangan maksimum : 30 Volt
Paket : TO-92
#BisaElektronika #ITBisa #Transistor #BJT #NPN #2N2222 #2N2222A #H331 #Penguat #Switch #TO92 #0.6A #30V #Transistors #TO-92 #H-331 #30Volt #Volt
-----
Massa : 2 gram
Harga Grosir : 
@200
&gt;=250 @170</t>
      </text>
    </comment>
    <comment authorId="0" ref="A192">
      <text>
        <t xml:space="preserve">**BisaElektronika oleh Information Technology Bisa! - ITBisa**
PENTING! USB ini adalah versi 2.0 dan mempunyai panjang 50 cm.
USB ini dapat digunakan untuk mengunggah program ke Arduino 101, Arduino UNO, dan Arduino Mega
Arduino SAJA : 
https://www.bukalapak.com/p/elektronik/komponen-elektronik/1od0a25-jual-itbisa-arduino-uno-r3-ch340g-atmega328p-smd-only-clone-tanpa-usb-kabel-mikrokontroler-atmega328-no-cable-kloning-duplikat-microcontroller
https://shopee.co.id/product/80492423/2291018678/
https://tokopedia.link/8gHjKt0bPX
Arduino + KABEL 30CM : 
https://www.bukalapak.com/p/elektronik/komponen-elektronik/1oczovi-jual-itbisa-arduino-uno-r3-ch340g-atmega328p-smd-clone-plus-usb-kabel-30cm-mikrokontroler-atmega328-cable-30-cm-kloning-duplikat-microcontroller
https://shopee.co.id/product/80492423/2291027591/
https://tokopedia.link/YjEKy3wCPX
SPESIFIKASI
Tipe Kabel : Universal Serial Bus (USB)
Versi : 2.0
Kecepatan Transfer Data : 480 Mbps atau 60 MBps
#BisaElektronika #ITBisa #Kabel #USB #2.0 #A #to #B #Biru #50cm #Arduino #101 #UNO #Mega #Printer #Blue #Data #Cable
-----
Massa : 50 gram
Harga Grosir :
@6500
&gt;=25 6250</t>
      </text>
    </comment>
    <comment authorId="0" ref="A188">
      <text>
        <t xml:space="preserve">**BisaOspek oleh Information Technology Bisa! - ITBisa**
PENTING! Harga BELUM termasuk 2xBaterai ukuran D, tetapi SUDAH termasuk Bohlam.
TIDAK MENERIMA PENGIRIMAN BATERAI KE LUAR PULAU JAWA (HANYA SENTER).
Baterai :
https://www.bukalapak.com/p/elektronik/baterai-681/zh6wvi-jual-itbisa-baterai-abc-super-power-1-5-v-size-d-hitam-senter-pompa-galon-batre-heavy-duty-jumbo-karbon-carbon-zinc-dr20p-tipe-d-r20p-besar-1-5-v-volt
https://shopee.co.id/product/80492423/2291101669/
https://tokopedia.link/cFFSwlnJeV
Bohlam Cadangan :
https://www.bukalapak.com/p/elektronik/lampu-alat-penerangan/1eyr70k-jual-itbisa-bohlam-senter-rapid-e10-2-5v-drat-lampu-2-5-v-bulb-screw-skrup-kecil-praktik-praktek-anak-sekolah
https://shopee.co.id/product/80492423/2291110329/
https://tokopedia.link/cbDFn9obMX
Senter Tiger Head FT300 adalah senter yang biasa digunakan ketika ospek.
Senter ini menggunakan lampu dengan cahaya kuning sehingga lebih mudah dilihat oleh mata manusia karena panjang gelombangnya lebih tinggi.
Senter ini terbuat dari stainless steel sehingga lebih awet dan tahan banting.
Senter ini adalah New Old Stock (NOS) sehingga desain yang dibuat adalah desain zaman dahulu. Permasalahan yang sering terjadi adalah senter kadang menyala kadang tidak. Senter ini mempunyai 3 titik penyebab tidak menyala
1. Bohlam
2. Kepala senter
3. Penutup baterai
Ketiga hal tersebut terkadang kurang kencang, sehingga membuat senter tidak menyala sebagaimana mestinya.
Solusinya adalah
1. Buka penutup baterai, masukkan baterai, kemudian tutup kembali. Pastikan sudah ditutup dengan kencang.
2. Buka kepala senter, kemudian kencangkan lampu bohlam pada senter tersebut. Pastikan bohlam kencang. Jika bohlam sudah terpasang dengan benar, bohlam akan menyala.
3. Jika bohlam sudah dikencangkan, pasang kembali kepala senter. Pastikan kembali kepala senter sudah kencang.
Senter bermasalah bukan berarti kami mengirim produk rusak. Produk selalu dites sebelum dikirim, dan kami akan siap membantu apabila terdapat permasalahan. Kami sangat mengerti bahwa desain senter seperti ini tidak sebaik senter-senter produksi sekarang, sehingga harus sedikit bersabar dalam menyetel senter tersebut dan kami sangat siap membantu apabila terjadi permasalahan dengan senter yang kami kirim.
Spesifikasi
Merk : Tiger Head
Panjang : 17 cm
Diameter Kepala : 5 cm
Diameter Pegangan : 4 cm
Bahan : Heavy Chrome Plate
Warna Lampu : Kuning
Baterai : 2 buah ukuran D (tidak termasuk dalam paket)
#BisaOspek #ITBisa #Senter #NOS #Jadul #Ospek #FT300 #Klasik #Lampu #Cahaya #Kuning #Kabut #Tigerhead #Vintage #Lama #Classic #Besi #Logam
-----
Massa : 25 gram
Harga Grosir :
@20000
&gt;=25 @19500</t>
      </text>
    </comment>
    <comment authorId="0" ref="A120">
      <text>
        <t xml:space="preserve">**BisaOspek oleh Information Technology Bisa! - ITBisa**
PENTING! Bohlam ini mempunyai bentuk bulat, bukan runcing.
Bohlam Rapid E10 adalah lampu bohlam (bulb) atau lampu pijar yang sering digunakan sebagai lampu di senter terdahulu (sebelum ada LED). Bohlam ini mempunyai warna cahaya kuning.
Senter Lampu Kuning : 
https://www.bukalapak.com/p/elektronik/lampu-alat-penerangan/1tebvcn-jual-itbisa-senter-tiger-head-nos-jadul-ospek-ft300-klasik-lampu-cahaya-kuning-tembus-kabut-osjur-tigerhead-vintage-lama-classic-besi-stainless-logam
https://shopee.co.id/product/80492423/2287229388/
https://tokopedia.link/8qtRn6vbMX
Spesifikasi
Merk : Rapid
Jenis Lampu : Pijar
Diameter Bohlam : 11 mm
Panjang : 22,8 mm (ujung bohlam ke kaca)
Warna Cahaya : Kuning
Tegangan Operasi : 2,5 Volt
Arus Operasi : 0,3 A
#BisaOspek #ITBisa #Lampu #Senter #Bohlam #Kuning #Bulb #E10 #2.5V #Drat #Skrup #Kecil #Praktik #Praktek #Anak #Sekolah #2,5V #Screw</t>
      </text>
    </comment>
    <comment authorId="0" ref="A184">
      <text>
        <t xml:space="preserve">**BisaElektronika oleh Information Technology Bisa! - ITBisa**
PENTING! Socket ini adalah Narrow, bukan Round Hole.
Socket IC DIP-8 Narrow adalah Socket yang digunakan sebagai tempat memasang IC DIP-8 atau IC yang mempunyai 8 kaki tipe DIP.
Socket ini biasanya disolder dengan rangkaian elektronika sehingga IC yang dipasang dapat ditarik-pasang secara bebas. Selain itu, apabila terjadi kerusakan IC, maka dapat dengan mudah diganti karena rangkaian tersolder dengan socket-nya, bukan IC-nya.
Spesifikasi
Type : IC Socket Adaptor Solder Type
Row to Row Distance : 7,62 mm
Length : 3,25 mm
Pitch : 2,54 mm
Banyak pin : 2x4 (8 Pin)
Tipe pin : DIP
#BisaElektronika #ITBisa #Socket #IC #DIP #8 #Pin #DIP8 #8DIP #2x4 #Narrow #2.54mm #Dudukan #2,54mm #Soket #DIP8 #8DIP #Integrated #Integrate #Circuit
-----
Massa : 2 gram
Harga Grosir : 
@300
&gt;=500 @290</t>
      </text>
    </comment>
    <comment authorId="0" ref="A52">
      <text>
        <t xml:space="preserve">**BisaElektronika by Information Technology Bisa! - ITBisa**
PENTING! IC ini BUKAN tipe SMD, sehingga dapat digunakan untuk PCB berlubang atau breadboard, dan mudah disolder.
Socket :
https://www.bukalapak.com/p/elektronik/komponen-elektronik/12cnd7v-jual-itbisa-socket-ic-dip-8-2x4-round-hole-soket-integrated-circuit-8-pin-kaki-lingkaran-dip8-8dip
https://tokopedia.link/VcMQW1YRoX
https://shopee.co.id/product/80492423/2287659492/
IC UA741CN DIP-8 adalah IC yang sering digunakan untuk rangkaian Operational Amplifier (penguat).
Contoh aplikasi IC 741 adalah Filter, Integrator, Diferensiator, Summer.
DIP-8 berarti IC tersebut mempunyai 8 buah kaki dengan tipe kaki Dual in-line package (DIP).
Spesifikasi
Tipe : UA741CN
Fungsi : Op-Amp, Filter
Tegangan Operasi : 5 V s.d. 15 V atau - 5 V s.d. - 15 V
Paket : DIP-8 (8 Kaki tipe Dual in-line package)
#BisaElektronika #ITBisa #IC #741 #UA741CN #DIP-8 #Op-Amp #Filter #Penguat #LPF #HPF #BPF #UA741 #OpAmp #DIP8 #8DIP #Integrated #Circuit
-----
Massa : 2 gram
Harga Grosir :
@1500
&gt;=100 @1450
&gt;=200 @1400</t>
      </text>
    </comment>
    <comment authorId="0" ref="A19">
      <text>
        <t xml:space="preserve">**BisaElektronika oleh Information Technology Bisa! - ITBisa**
PENTING! Arduino ini adalah clone, bukan produk original, MASIH TERSEGEL. HARGA SUDAH TERMASUK KABEL 30CM.
ITBisa mempunyai standar yang tinggi untuk pemilihan barang sehingga Arduino Clone yang disediakan mempunyai kualitas semirip mungkin dengan Arduino original.
Arduino SAJA :
https://www.bukalapak.com/p/elektronik/komponen-elektronik/1od0a25-jual-itbisa-arduino-uno-r3-ch340g-atmega328p-smd-only-clone-tanpa-usb-kabel-mikrokontroler-atmega328-no-cable-kloning-duplikat-microcontroller
https://shopee.co.id/product/80492423/2291018678/
https://tokopedia.link/8gHjKt0bPX
USB 50 cm SAJA : 
https://www.bukalapak.com/p/elektronik/komponen-elektronik/1omtkbs-jual-itbisa-kabel-usb-a-to-b-2-0-biru-50cm-arduino-uno-mega-printer-blue-data-cable-50-cm
https://shopee.co.id/product/80492423/2290935422/
https://tokopedia.link/0AOGEGzIPX
Arduino UNO R3 CH340G ATMega328P SMD adalah mikrokontroler berbasis mikroprosesor ATMega328P.
- UNO adalah jenis Arduino dengan 14 pin Input-Output (I/O).
- R3 adalah Revisi ke-3 dari Arduino UNO. Perlu diketahui desain Arduino selalu diupgrade secara berkala.
- CH340G adalah tipe USB to TTL (serial) yang digunakan pada Arduino produksi Cina. Untuk produksi Eropa dan Amerika menggunakan 16U2 atau FTDI.
- ATMega328P adalah mikroprosesor yang digunakan pada Arduino UNO.
- Surface Mount Device (SMD) adalah tipe devais yang dirangkai secara Surface Mount Device (SMT), yaitu teknologi memasang komponen elektronik secara langsung pada papan sirkuit.
Aplikasi Arduino banyak sekali, di antaranya sebagai kontrol motor, PID, pengolah data sensor, ataupun otak dari robotika.
Spesifikasi
Mikrokontroler : ATmega328P
Tegangan Operasi : 5 V
Input Tegangan (disarankan) : 7 - 12 V
Input Tegangan (batas) : 6 - 20 V
Banyak I/O Digital Pin : 14
Banyak Pin PWM : 6
Banyak Input Pin Analog : 6
Arus DC per I/O pin : 20 mA
Arus DC untuk Pin 3,3 V Pin : 50 mA
Memori Flash : 32 KB (ATmega328P) dengan 0,5 KB digunakan untuk bootloader
RAM Statis (SRAM) : 2 KB (ATmega328P)
EEPROM : 1 KB (ATmega328P)
Kecepatan Clock : 16 MHz
LED_BUILTIN : 13
Panjang : 68,6 mm
Lebar : 53,4 mm
#BisaElektronika #ITBisa #Arduino #UNO #R3 #CH340G #SMD #Clone #USB #Kabel #30CM #Cable #ATMega328P #Mikrokontroler #ATMega328 #Kloning #Duplikat #Microcontroller
-----
Massa : 100 gram
Harga Grosir :
@55000
&gt;=25 @52500</t>
      </text>
    </comment>
    <comment authorId="0" ref="A110">
      <text>
        <t xml:space="preserve">**BisaElektronika oleh Information Technology Bisa! - ITBisa**
PENTING! Transistor ini adalah tipe NPN, jangan sampai tertukar dengan PNP.
Transistor BJT NPN 2N2222A H331 adalah Transistor yang dapat digunakan untuk switching atau penguat (op-amp).
2N2222 dan 2N2222A hanya berbeda sedikit di spesifikasi arus dan tegangan, di mana pada kasus ekstrem, 2N2222A lebih tahan dibandingkan 2N2222. Tetapi untuk kasus-kasus normal, kedua tipe tersebut sama.
Salah satu aplikasi Transistor 2N2222A adalah lampu otomatis dan amplifier.
TO-92 adalah jenis packing untuk transistor, biasanya terbuat dari plastik atau epoxy.
H331 adalah kode transistor tersebut.
Spesifikasi
Tipe : 2N2222A
Fungsi : Switch, Penguat
Arus maksimum : 0,6 Ampere
Tegangan maksimum : 30 Volt
Paket : TO-92
#BisaElektronika #ITBisa #Transistor #BJT #NPN #2N2222 #2N2222A #H331 #Penguat #Switch #TO92 #0.6A #30V #Transistors #TO-92 #H-331 #30Volt #Volt
-----
Massa : 2 gram
Harga Grosir : 
@200
&gt;=250 @170</t>
      </text>
    </comment>
    <comment authorId="0" ref="A75">
      <text>
        <t xml:space="preserve">**BisaElektronika oleh Information Technology Bisa! - ITBisa**
PENTING! Harga yang tertera adalah untuk 40 helai kabel.
Kabel jumper dupont adalah kabel yang sering digunakan pada rangkaian Arduino dan Breadboard.
Ujung kabel yang satu dapat dihubungkan ke Arduino atau Breadboard dan satunya lagi dapat dihubungkan ke sensor.
MM 10 cm :
https://www.bukalapak.com/p/elektronik/komponen-elektronik/vbuzpu-jual-itbisa-40pcs-kabel-jumper-10-cm-male-to-male-m-m-2-54-mm-merk-dupont-arduino-breadboard-40-pcs-buah-mm-m-m-pin-2-54mm-10cm-cable
https://shopee.co.id/product/80492423/2291050648/
https://tokopedia.link/fDxy44wMPX
MF 10 cm :
https://www.bukalapak.com/p/elektronik/komponen-elektronik/163beu6-jual-itbisa-40pcs-kabel-jumper-10-cm-male-to-female-m-f-2-54-mm-merk-dupont-arduino-breadboard-40-pcs-buah-mf-m-f-pin-2-54mm-10cm-cable
https://shopee.co.id/product/80492423/2291036855/
https://tokopedia.link/lo4oPZuMPX
FF 10 cm :
https://www.bukalapak.com/p/elektronik/komponen-elektronik/1p5d40c-jual-itbisa-40pcs-kabel-jumper-10-cm-female-to-female-f-f-2-54-mm-merk-dupont-arduino-breadboard-40-pcs-buah-ff-f-f-pin-2-54mm-10cm-cable
https://shopee.co.id/product/80492423/2287703561/
https://tokopedia.link/WY1D7tzMPX
Spesifikasi
Merk : Dupont
Ukuran : 10 cm
Pitch : 2,54 mm pin header
Jenis : Male to Male (M-M)
Warna : bermacam-macam (tidak bisa memilih)
#BisaElektronika #ITBisa #Kabel #Jumper #Male #M-M #2.54mm #Merk #Dupont #Arduino #Breadboard #Buah #MM #Pin #2,54 #mm #2,54mm #10cm #Cable
-----
Massa : 25 gram
Harga Grosir :
@12500
&gt;=25 12.000</t>
      </text>
    </comment>
    <comment authorId="0" ref="A9">
      <text>
        <t xml:space="preserve">**BisaElektronika oleh Information Technology Bisa! - ITBisa**
PENTING! 7 segment ini adalah Common Anode. Untuk menyalakannya, bagian tengah segment dihubungkan ke VCC, dan bagian segmen yang akan dinyalakan dihubungkan ke GND.
7 Segment adalah komponen elektronik yang dapat digunakan untuk menampilkan angka dan huruf dalam bentuk segmen yang berjumlah tujuh buah.
7 segment dapat digunakan untuk jam digital atau menampilkan nilai pembacaan sensor.
7 segment ini mempunyai warna LED merah dengan ukuran 2,30 inci.
Spesifikasi
Tipe : Common Anode
Fungsi : LED Display, Jam Digital, Sensor
ABSOLUTE MAXIMUM RATINGS
Reverse Voltage : 5 V
Forward Current : 30 mA
Peak Forward Current : 150 mA
Power Dissipation : 100 mW per segment
Operating Temperature Range : -40°C s.d. +85°C
Storage Temperature Range : -40°C s.d. +85°C
#BisaElektronika #ITBisa #7 #Segment #CA #Common #Anoda #Merah #LED #Display #Jam #Digital #Masjid #7-Segment #Seven #HS23101BS #Red #Anode #2.3inch #1BIT
-----
Massa : 50 gram
Harga Grosir :
15000
&gt;=25 @14750</t>
      </text>
    </comment>
    <comment authorId="0" ref="A73">
      <text>
        <t xml:space="preserve">**BisaElektronika oleh Information Technology Bisa! - ITBisa**
PENTING! Harga yang tertera adalah untuk 40 helai kabel.
Kabel jumper dupont adalah kabel yang sering digunakan pada rangkaian Arduino dan Breadboard.
Ujung kabel yang satu dapat dihubungkan ke Arduino atau Breadboard dan satunya lagi dapat dihubungkan ke sensor.
MM 10 cm :
https://www.bukalapak.com/p/elektronik/komponen-elektronik/vbuzpu-jual-itbisa-40pcs-kabel-jumper-10-cm-male-to-male-m-m-2-54-mm-merk-dupont-arduino-breadboard-40-pcs-buah-mm-m-m-pin-2-54mm-10cm-cable
https://shopee.co.id/product/80492423/2291050648/
https://tokopedia.link/fDxy44wMPX
MF 10 cm :
https://www.bukalapak.com/p/elektronik/komponen-elektronik/163beu6-jual-itbisa-40pcs-kabel-jumper-10-cm-male-to-female-m-f-2-54-mm-merk-dupont-arduino-breadboard-40-pcs-buah-mf-m-f-pin-2-54mm-10cm-cable
https://shopee.co.id/product/80492423/2291036855/
https://tokopedia.link/lo4oPZuMPX
FF 10 cm :
https://www.bukalapak.com/p/elektronik/komponen-elektronik/1p5d40c-jual-itbisa-40pcs-kabel-jumper-10-cm-female-to-female-f-f-2-54-mm-merk-dupont-arduino-breadboard-40-pcs-buah-ff-f-f-pin-2-54mm-10cm-cable
https://shopee.co.id/product/80492423/2287703561/
https://tokopedia.link/WY1D7tzMPX
Spesifikasi
Merk : Dupont
Ukuran : 10 cm
Pitch : 2,54 mm pin header
Jenis : Male to Feale (M-F)
Warna : bermacam-macam (tidak bisa memilih)
#BisaElektronika #ITBisa #Kabel #Jumper #Male #Female #M-F #2.54mm #Merk #Dupont #Arduino #Breadboard #MF #Pin #2,54 #mm #2,54mm #10cm #Cable
-----
Massa : 25 gram
Harga Grosir :
@12500
&gt;=25 12.000</t>
      </text>
    </comment>
    <comment authorId="0" ref="A7">
      <text>
        <t xml:space="preserve">**BisaElektronika oleh Information Technology Bisa! - ITBisa**
PENTING! 7 segment ini adalah Common Cathode. Untuk menyalakannya, bagian tengah segment dihubungkan ke GND, dan bagian segmen yang akan dinyalakan dihubungkan ke VCC.
CA 0,56" :
https://www.bukalapak.com/p/elektronik/komponen-elektronik/10kygfi-jual-itbisa-7-segment-ca-common-anoda-0-56-inci-merah-1-bit-led-display-jam-digital-nilai-sensor-7-segment-seven-red-anode-0-56inch-inch-1bit
https://shopee.co.id/product/80492423/2291065530/
https://tokopedia.link/Cx1aV4jkpX
7 Segment adalah komponen elektronik yang dapat digunakan untuk menampilkan angka dan huruf dalam bentuk segmen yang berjumlah tujuh buah.
7 segment dapat digunakan untuk jam digital atau menampilkan nilai pembacaan sensor.
7 segment ini mempunyai warna LED merah dengan ukuran 0,56 inci.
Spesifikasi
Tipe : Common Cathode
Fungsi : LED Display, Jam Digital, Sensor
ABSOLUTE MAXIMUM RATINGS
Reverse Voltage : 5 V
Forward Current : 30 mA
Peak Forward Current : 120 mA
Power Dissipation : 80 mW per segment
Operating Temperature Range : -25°C s.d. +85°C
Storage Temperature Range : -30°C s.d. +85°C
#BisaElektronika #ITBisa #CC #Common #Katoda #0,56 #Inci #Merah #1 #Bit #LED #Display #Jam #Digital #Nilai #Sensor #7-Segment #Seven #Red #Cathode #0,56" #0.56" #0.56inch #1BIT
-----
Massa : 10 gram
Harga Grosir :
@1500
&gt;=200 @1450
&gt;=300 @1400</t>
      </text>
    </comment>
    <comment authorId="0" ref="A71">
      <text>
        <t xml:space="preserve">**BisaElektronika oleh Information Technology Bisa! - ITBisa**
PENTING! Harga yang tertera adalah untuk 40 helai kabel.
Kabel jumper dupont adalah kabel yang sering digunakan pada rangkaian Arduino dan Breadboard.
Ujung kabel yang satu dapat dihubungkan ke Arduino atau Breadboard dan satunya lagi dapat dihubungkan ke sensor.
MM 10 cm :
https://www.bukalapak.com/p/elektronik/komponen-elektronik/vbuzpu-jual-itbisa-40pcs-kabel-jumper-10-cm-male-to-male-m-m-2-54-mm-merk-dupont-arduino-breadboard-40-pcs-buah-mm-m-m-pin-2-54mm-10cm-cable
https://shopee.co.id/product/80492423/2291050648/
https://tokopedia.link/fDxy44wMPX
MF 10 cm :
https://www.bukalapak.com/p/elektronik/komponen-elektronik/163beu6-jual-itbisa-40pcs-kabel-jumper-10-cm-male-to-female-m-f-2-54-mm-merk-dupont-arduino-breadboard-40-pcs-buah-mf-m-f-pin-2-54mm-10cm-cable
https://shopee.co.id/product/80492423/2291036855/
https://tokopedia.link/lo4oPZuMPX
FF 10 cm :
https://www.bukalapak.com/p/elektronik/komponen-elektronik/1p5d40c-jual-itbisa-40pcs-kabel-jumper-10-cm-female-to-female-f-f-2-54-mm-merk-dupont-arduino-breadboard-40-pcs-buah-ff-f-f-pin-2-54mm-10cm-cable
https://shopee.co.id/product/80492423/2287703561/
https://tokopedia.link/WY1D7tzMPX
Spesifikasi
Merk : Dupont
Ukuran : 10 cm
Pitch : 2,54 mm pin header
Jenis : Female to Female (F-F)
Warna : bermacam-macam (tidak bisa memilih)
#BisaElektronika #ITBisa #Kabel #Jumper #Female #F-F #2.54mm #Merk #Dupont #Arduino #Breadboard #Buah #FF #Pin #2,54 #mm #2,54mm #10cm #Cable
-----
Massa : 25 gram
Harga Grosir :
@12500
&gt;=25 12.000</t>
      </text>
    </comment>
    <comment authorId="0" ref="A5">
      <text>
        <t xml:space="preserve">**BisaElektronika oleh Information Technology Bisa! - ITBisa**
PENTING! 7 segment ini adalah Common Anode. Untuk menyalakannya, bagian tengah segment dihubungkan ke VCC, dan bagian segmen yang akan dinyalakan dihubungkan ke GND.
7 Segment adalah komponen elektronik yang dapat digunakan untuk menampilkan angka dan huruf dalam bentuk segmen yang berjumlah tujuh buah.
7 segment dapat digunakan untuk jam digital atau menampilkan nilai pembacaan sensor.
7 segment ini mempunyai warna LED merah dengan ukuran 2,30 inci.
Spesifikasi
Tipe : Common Anode
Fungsi : LED Display, Jam Digital, Sensor
ABSOLUTE MAXIMUM RATINGS
Reverse Voltage : 5 V
Forward Current : 30 mA
Peak Forward Current : 150 mA
Power Dissipation : 100 mW per segment
Operating Temperature Range : -40°C s.d. +85°C
Storage Temperature Range : -40°C s.d. +85°C
#BisaElektronika #ITBisa #7 #Segment #CA #Common #Anoda #Merah #LED #Display #Jam #Digital #Masjid #7-Segment #Seven #HS23101BS #Red #Anode #2.3inch #1BIT
-----
Massa : 50 gram
Harga Grosir :
15000
&gt;=25 @14750</t>
      </text>
    </comment>
    <comment authorId="0" ref="A3">
      <text>
        <t xml:space="preserve">**BisaElektronika oleh Information Technology Bisa! - ITBisa**
PENTING! 7 segment ini adalah Common Cathode. Untuk menyalakannya, bagian tengah segment dihubungkan ke GND, dan bagian segmen yang akan dinyalakan dihubungkan ke VCC.
CA 0,56" :
https://www.bukalapak.com/p/elektronik/komponen-elektronik/10kygfi-jual-itbisa-7-segment-ca-common-anoda-0-56-inci-merah-1-bit-led-display-jam-digital-nilai-sensor-7-segment-seven-red-anode-0-56inch-inch-1bit
https://shopee.co.id/product/80492423/2291065530/
https://tokopedia.link/Cx1aV4jkpX
7 Segment adalah komponen elektronik yang dapat digunakan untuk menampilkan angka dan huruf dalam bentuk segmen yang berjumlah tujuh buah.
7 segment dapat digunakan untuk jam digital atau menampilkan nilai pembacaan sensor.
7 segment ini mempunyai warna LED merah dengan ukuran 0,56 inci.
Spesifikasi
Tipe : Common Cathode
Fungsi : LED Display, Jam Digital, Sensor
ABSOLUTE MAXIMUM RATINGS
Reverse Voltage : 5 V
Forward Current : 30 mA
Peak Forward Current : 120 mA
Power Dissipation : 80 mW per segment
Operating Temperature Range : -25°C s.d. +85°C
Storage Temperature Range : -30°C s.d. +85°C
#BisaElektronika #ITBisa #CC #Common #Katoda #0,56 #Inci #Merah #1 #Bit #LED #Display #Jam #Digital #Nilai #Sensor #7-Segment #Seven #Red #Cathode #0,56" #0.56" #0.56inch #1BIT
-----
Massa : 10 gram
Harga Grosir :
@1500
&gt;=200 @1450
&gt;=300 @1400</t>
      </text>
    </comment>
    <comment authorId="0" ref="A98">
      <text>
        <t xml:space="preserve">**BisaElektronika oleh Information Technology Bisa! - ITBisa**
PENTING! Transistor ini adalah tipe NPN, jangan sampai tertukar dengan PNP.
Transistor BJT NPN 2N2222A H331 adalah Transistor yang dapat digunakan untuk switching atau penguat (op-amp).
2N2222 dan 2N2222A hanya berbeda sedikit di spesifikasi arus dan tegangan, di mana pada kasus ekstrem, 2N2222A lebih tahan dibandingkan 2N2222. Tetapi untuk kasus-kasus normal, kedua tipe tersebut sama.
Salah satu aplikasi Transistor 2N2222A adalah lampu otomatis dan amplifier.
TO-92 adalah jenis packing untuk transistor, biasanya terbuat dari plastik atau epoxy.
H331 adalah kode transistor tersebut.
Spesifikasi
Tipe : 2N2222A
Fungsi : Switch, Penguat
Arus maksimum : 0,6 Ampere
Tegangan maksimum : 30 Volt
Paket : TO-92
#BisaElektronika #ITBisa #Transistor #BJT #NPN #2N2222 #2N2222A #H331 #Penguat #Switch #TO92 #0.6A #30V #Transistors #TO-92 #H-331 #30Volt #Volt
-----
Massa : 2 gram
Harga Grosir : 
@200
&gt;=250 @170</t>
      </text>
    </comment>
  </commentList>
</comments>
</file>

<file path=xl/sharedStrings.xml><?xml version="1.0" encoding="utf-8"?>
<sst xmlns="http://schemas.openxmlformats.org/spreadsheetml/2006/main" count="27170" uniqueCount="5674">
  <si>
    <t>Link</t>
  </si>
  <si>
    <t>Fungsi</t>
  </si>
  <si>
    <t>Menuliskan pembelian stok dari Kas ITBisa</t>
  </si>
  <si>
    <t>Menuliskan perlengkapan yang berhubungan dengan penjualan</t>
  </si>
  <si>
    <t>Menuliskan semua transaksi barang dari Bukalapak</t>
  </si>
  <si>
    <t>Menuliskan semua transaksi barang dari Tokopedia</t>
  </si>
  <si>
    <t>c</t>
  </si>
  <si>
    <t>Pengiriman</t>
  </si>
  <si>
    <t>Pembelian</t>
  </si>
  <si>
    <t>Data Invoice</t>
  </si>
  <si>
    <t>USD</t>
  </si>
  <si>
    <t>Rp</t>
  </si>
  <si>
    <t>Penjualan</t>
  </si>
  <si>
    <t>SKU</t>
  </si>
  <si>
    <t>Tanggal
Bayar</t>
  </si>
  <si>
    <t>Tanggal
Sampai</t>
  </si>
  <si>
    <t>Alamat Pengiriman</t>
  </si>
  <si>
    <t>Luar
Negeri?</t>
  </si>
  <si>
    <t>Toko</t>
  </si>
  <si>
    <t>URL Beli</t>
  </si>
  <si>
    <t>Keterangan Pembelian</t>
  </si>
  <si>
    <t>Score
(0 - 5)</t>
  </si>
  <si>
    <t>Banyak Lot</t>
  </si>
  <si>
    <t>Pcs per Lot</t>
  </si>
  <si>
    <t>HPP per Lot
(USD)</t>
  </si>
  <si>
    <t>Ongkos Kirim
(USD)</t>
  </si>
  <si>
    <t>Diskon Barang
(USD)</t>
  </si>
  <si>
    <t>Diskon Ongkos Kirim
(USD)</t>
  </si>
  <si>
    <t>Konversi
USD
ke
Rupiah</t>
  </si>
  <si>
    <t>Harga
Online/
Dropshipper
(Rp)</t>
  </si>
  <si>
    <t>Harga
Offline
(Rp)</t>
  </si>
  <si>
    <t>Lain-Lain</t>
  </si>
  <si>
    <t>ITBISA-7SEGMENT-ANODE-RED-0.56-1BIT</t>
  </si>
  <si>
    <t>KYAI KONTONG</t>
  </si>
  <si>
    <t>Ocistok/Martkita</t>
  </si>
  <si>
    <t>https://detail.1688.com/offer/554814591930.html</t>
  </si>
  <si>
    <t>Ocistok / Martkita 302177 (0.23 RMB)</t>
  </si>
  <si>
    <t>KERTASARI CIAMIS</t>
  </si>
  <si>
    <t>Tokopedia</t>
  </si>
  <si>
    <t>Aisyah Arduino Bandung</t>
  </si>
  <si>
    <t>Tokopedia Anggi 2523</t>
  </si>
  <si>
    <t>Tokopedia Anggi 4347</t>
  </si>
  <si>
    <t>https://detail.1688.com/offer/666573965265.html</t>
  </si>
  <si>
    <t>Ocistok 187962 (0.24 RMB)</t>
  </si>
  <si>
    <t>Tokopedia Joko</t>
  </si>
  <si>
    <t>Ocistok</t>
  </si>
  <si>
    <t>Jasa Impor Tiongkok</t>
  </si>
  <si>
    <t>Tokopedia Furqonajiy</t>
  </si>
  <si>
    <t>KAETOBO RESIDENCE</t>
  </si>
  <si>
    <t>Shopee</t>
  </si>
  <si>
    <t>https://shopee.co.id/product/36506495/7612131078</t>
  </si>
  <si>
    <t>Shopee Furqonajiy 200626RH03BEN5</t>
  </si>
  <si>
    <t>https://shopee.co.id/product/240782907/4328806797</t>
  </si>
  <si>
    <t>Shopee Furqonajiy 200626RHJJNQ1R</t>
  </si>
  <si>
    <t>https://shopee.co.id/product/240782907/4328806797?smtt=0.0.9</t>
  </si>
  <si>
    <t>Shopee Furqonajiy 200428N62SUQV8</t>
  </si>
  <si>
    <t>RUMAH MUZAKKI</t>
  </si>
  <si>
    <t>AliExpress</t>
  </si>
  <si>
    <t>https://www.Aliexpress.com/item/32262476520.html?spm</t>
  </si>
  <si>
    <t>Aliexpress Furqonajiy 8011001562654116</t>
  </si>
  <si>
    <t>https://www.Aliexpress.com/item/50pcs-1bit-1-bit-Common-Anode-Positive-Digital-Tube-0-56-0-56in-Red-LED-Digit/32262476520.html?spm=a2g0s.9042311.0.0.334d4c4d1XLiYh</t>
  </si>
  <si>
    <t>Aliexpress Furqonajiy 8007001849904116</t>
  </si>
  <si>
    <t>Aliexpress Furqonajiy 8006178019124116
8006223027484116</t>
  </si>
  <si>
    <t>Aliexpress Furqonajiy 8001779903204116
Resi EX211568265SG</t>
  </si>
  <si>
    <t>https://www.Aliexpress.com/item/50pcs-1bit-1-bit-Common-Anode-Positive-Digital-Tube-0-56-0-56in-Red-LED-Digit/32262476520.html?spm=a2g0s.9042311.0.0.3da24c4dThHZe2</t>
  </si>
  <si>
    <t>Aliexpress Furqonajiy 102437170834116
Resi RP598310436CN</t>
  </si>
  <si>
    <t>AVRG ITB</t>
  </si>
  <si>
    <t>URO Shop</t>
  </si>
  <si>
    <t>RUMAH SYAFIRA</t>
  </si>
  <si>
    <t>Aliexpress Furqonajiy 100739640614116
Resi RP540582475CN</t>
  </si>
  <si>
    <t>Aliexpress Furqonajiy 99320493804116
Resi RX470050702CN</t>
  </si>
  <si>
    <t>Aliexpress Syafirapr 96593938411876
Resi UN582235825CN</t>
  </si>
  <si>
    <t>Aliexpress Syafirapr 96811194361876
Resi RY427709390CN</t>
  </si>
  <si>
    <t>ITBISA-7SEGMENT-ANODE-RED-1.00-1BIT</t>
  </si>
  <si>
    <t>https://detail.1688.com/offer/678795685587.html</t>
  </si>
  <si>
    <t>Ocistok 187963 (0.85 RMB)</t>
  </si>
  <si>
    <t>ITBISA-7SEGMENT-ANODE-RED-1.20-1BIT</t>
  </si>
  <si>
    <t>Shiryu Store</t>
  </si>
  <si>
    <t>Shopee Aji 5XV6</t>
  </si>
  <si>
    <t>Shopee Anggi AVDN</t>
  </si>
  <si>
    <t>Shopee Anggi DWXE</t>
  </si>
  <si>
    <t>Shopee Aji JNM6</t>
  </si>
  <si>
    <t>Shopee Aji HRK6</t>
  </si>
  <si>
    <t>Shopee Aji 2MM5</t>
  </si>
  <si>
    <t>PegazusStore</t>
  </si>
  <si>
    <t>Shopee Aji K51T</t>
  </si>
  <si>
    <t>Shopee Aji 5JX2</t>
  </si>
  <si>
    <t>Shopee Aji 8T4V</t>
  </si>
  <si>
    <t>Shopee Aji RAFM</t>
  </si>
  <si>
    <t>Shopee Aji</t>
  </si>
  <si>
    <t>ITBISA-7SEGMENT-ANODE-RED-2.30-1BIT</t>
  </si>
  <si>
    <t>Bukalapak</t>
  </si>
  <si>
    <t>Bukalapak Furqonajiy 191865788977</t>
  </si>
  <si>
    <t>ITBISA-7SEGMENT-CATHODE-RED-0.56-1BIT</t>
  </si>
  <si>
    <t>https://www.Aliexpress.com/item/50pcs-1lot-1-bit-Common-Cathode-Digital-Tube-0-56-0-56in-Red-LED-Digit-7/32701379925.html?spm=a2g0s.9042311.0.0.334d4c4d1XLiYh</t>
  </si>
  <si>
    <t>Aliexpress Furqonajiy 8001811557214116
Resi EX211568265SG</t>
  </si>
  <si>
    <t>Shopee Furqonajiy 190426193570Y33</t>
  </si>
  <si>
    <t>Aliexpress Furqonajiy 100739401884116
Resi RP540584564CN</t>
  </si>
  <si>
    <t>WARUNG IBU</t>
  </si>
  <si>
    <t>Aliexpress Furqonajiy 97958978564116
Resi RY499883755CN</t>
  </si>
  <si>
    <t>M</t>
  </si>
  <si>
    <t>ITBISA-7SEGMENT-CATHODE-RED-1.20-1BIT</t>
  </si>
  <si>
    <t>ITBISA-7SEGMENT-CATHODE-RED-2.30-1BIT</t>
  </si>
  <si>
    <t>ITBISA-ABC-BATERAI-9V-POWER</t>
  </si>
  <si>
    <t>PT Arta Boga</t>
  </si>
  <si>
    <t>ADITAMA ELECTRIC</t>
  </si>
  <si>
    <t>Shopee Aji RYAN</t>
  </si>
  <si>
    <t>Shopee Aji F8CK</t>
  </si>
  <si>
    <t>ITBISA-ABC-BATERAI-AA-ALKALINE</t>
  </si>
  <si>
    <t>Gading Murni Official Shop</t>
  </si>
  <si>
    <t>Shopee Aji 0APT</t>
  </si>
  <si>
    <t>Shopee Aji XVDQ</t>
  </si>
  <si>
    <t>Shopee ITBisa E1JD</t>
  </si>
  <si>
    <t>Shopee ITBisa 1G7Y</t>
  </si>
  <si>
    <t>Shopee ITBisa 7XHV</t>
  </si>
  <si>
    <t>Kirana Shop Cimahi</t>
  </si>
  <si>
    <t>Shopee Anggi YTEP</t>
  </si>
  <si>
    <t>LOUIS ELECTRONIC</t>
  </si>
  <si>
    <t>Shopee Aji 8HVH</t>
  </si>
  <si>
    <t>Shopee Aji D289</t>
  </si>
  <si>
    <t>ACME 88</t>
  </si>
  <si>
    <t>Shopee Aji Y4AC</t>
  </si>
  <si>
    <t>ABC Official Shop</t>
  </si>
  <si>
    <t>Shopee Aji MJ61</t>
  </si>
  <si>
    <t>SarangBaterai</t>
  </si>
  <si>
    <t>Shopee Anggi JNPQ</t>
  </si>
  <si>
    <t>Shopee Aji V29H</t>
  </si>
  <si>
    <t>Surya Mas Ateka</t>
  </si>
  <si>
    <t>Shopee Aji DS12</t>
  </si>
  <si>
    <t>Toys Lifestyle</t>
  </si>
  <si>
    <t>Shopee Aji YER4</t>
  </si>
  <si>
    <t>Shopee Dwi XWYM</t>
  </si>
  <si>
    <t>thrift889</t>
  </si>
  <si>
    <t>Shopee Anggi UEXM</t>
  </si>
  <si>
    <t>Arsyila shop 03</t>
  </si>
  <si>
    <t>Shopee Aji F1PN</t>
  </si>
  <si>
    <t>Tokopedia Anggi 9438</t>
  </si>
  <si>
    <t>Shopee Aji HK1B0</t>
  </si>
  <si>
    <t>Shopee Aji CUK9</t>
  </si>
  <si>
    <t>Shopee Aji FG4H</t>
  </si>
  <si>
    <t>Shopee Aji QNVC</t>
  </si>
  <si>
    <t>ITBISA-ABC-BATERAI-AAA-ALKALINE</t>
  </si>
  <si>
    <t>Office.King</t>
  </si>
  <si>
    <t>Shopee Anggi GJ3A</t>
  </si>
  <si>
    <t>Awalia_st0re</t>
  </si>
  <si>
    <t>Shopee Aji BFPG</t>
  </si>
  <si>
    <t>Shopee Aji PWW4</t>
  </si>
  <si>
    <t>Shopee Aji 0169</t>
  </si>
  <si>
    <t>reihanahmadi</t>
  </si>
  <si>
    <t>Shopee Aji PH4P</t>
  </si>
  <si>
    <t>ITBISA-ABC-BATERAI-D-BIRU</t>
  </si>
  <si>
    <t>Toko Bali</t>
  </si>
  <si>
    <t>ITBISA-ABC-BATERAI-D-POWER</t>
  </si>
  <si>
    <t>SmartBrain Tokopedia</t>
  </si>
  <si>
    <t>Tokopedia Anggi</t>
  </si>
  <si>
    <t>Htwenty</t>
  </si>
  <si>
    <t>Tokopedia Anggi Htwenty</t>
  </si>
  <si>
    <t>Local - Other</t>
  </si>
  <si>
    <t>Tokopedia Furqonajiy 1x invoice</t>
  </si>
  <si>
    <t>Tokopedia Furqonajiy 1x Invoice</t>
  </si>
  <si>
    <t>https://www.tokopedia.com/larose99/baterai-abc-super-power-besar-tipe-d-baterai-besar-abc-hitam-1pcs</t>
  </si>
  <si>
    <t>Tokopedia Furqonajiy 5x Invoice</t>
  </si>
  <si>
    <t>Toko Baru Tokopedia</t>
  </si>
  <si>
    <t>KOST RUMAHUMI</t>
  </si>
  <si>
    <t>https://www.tokopedia.com/eveready/baterai-abc-super-power-size-d-15v</t>
  </si>
  <si>
    <t>Tokopedia Furqonajiy INV/20201216/XX/XII/701893308</t>
  </si>
  <si>
    <t>Baterai Jaya Bekasi</t>
  </si>
  <si>
    <t>CoD Furqonajiy</t>
  </si>
  <si>
    <t>https://www.tokopedia.com/vhiercher/baterai-abc-super-power-size-jumbo-jype-dr20p-2pcs?utm_source=Android&amp;utm_source=Android&amp;utm_medium=Share&amp;utm_medium=Share&amp;utm_campaign=Product%20Share&amp;utm_campaign=Product%20Share&amp;_branch_match_id=608566204171584310</t>
  </si>
  <si>
    <t>Tokopedia Furqonajiy INV/20190428/XIX/IV/304897177</t>
  </si>
  <si>
    <t>Tokopedia Furqonajiy INV/20180803/XVIII/VIII/187254650
Resi Ninja TKNX187206491-0</t>
  </si>
  <si>
    <t>Tokopedia Furqonajiy INV/20180803/XVIII/VIII/187256189
Resi Ninja TKNX187208030-0</t>
  </si>
  <si>
    <t>Tokopedia Furqonajiy INV/20180803/XVIII/VIII/187257385
Resi Ninja TKNX187209226-0</t>
  </si>
  <si>
    <t>Tokopedia Furqonajiy INV/20180803/XVIII/VIII/187262637
Resi Ninja TKNX187214478-0</t>
  </si>
  <si>
    <t>ITBISA-ABC-SENTER-LED-ALKALINE</t>
  </si>
  <si>
    <t>ITBISA-ARDUINO-UNO-R3-328P-SMD</t>
  </si>
  <si>
    <t>Spolap1991</t>
  </si>
  <si>
    <t>Shopee Aji P366</t>
  </si>
  <si>
    <t>ReogWholesale</t>
  </si>
  <si>
    <t>Shopee Aji 1376</t>
  </si>
  <si>
    <t>Shopee Aji N1K9</t>
  </si>
  <si>
    <t>Shopee Aji H3HU</t>
  </si>
  <si>
    <t>Shopee Aji TH9K</t>
  </si>
  <si>
    <t>Shopee Aji FYNX</t>
  </si>
  <si>
    <t>Shopee Anggi 84J2</t>
  </si>
  <si>
    <t>Shopee Aji RJ1T</t>
  </si>
  <si>
    <t>Osell</t>
  </si>
  <si>
    <t>Osell Yuda</t>
  </si>
  <si>
    <t>Osell Furqonajiy 1x Invoice</t>
  </si>
  <si>
    <t>Komisi Sales 2000/pcs</t>
  </si>
  <si>
    <t>ITBISA-ARDUINO-UNO-R3-CLONE-CABLE30CM</t>
  </si>
  <si>
    <t>Aliexpress Furqonajiy 100019482444116
Resi LP134168507SG</t>
  </si>
  <si>
    <t>Aliexpress Zakki 98456077285606
Resi UN903390565CN
(-) Barang dibungkus ketat, sehingga plastik terlipat
(-) Harus install driver
(+) 16 hari sampai</t>
  </si>
  <si>
    <t>Aliexpress Zakki 98456077295606
Resi UN942740651CN
(-) Barang dibungkus ketat, sehingga plastik terlipat
(-) 66 hari sampai
(+) Plug and Play</t>
  </si>
  <si>
    <t>Aliexpress Zakki 98456077305606
Resi UN902938877CN
(-) Harus Install Driver
(+) 14 Hari sampai
(+) Packing tidak ketat, plastik tidak rusak</t>
  </si>
  <si>
    <t>ITBISA-ARDUINO-UNO-R3-CLONE-CABLE50CM</t>
  </si>
  <si>
    <t>Aliexpress Furqonajiy 100332591694116
Resi RP507178151CN</t>
  </si>
  <si>
    <t>ITBISA-BLUETOOTH-MODULE-HC05</t>
  </si>
  <si>
    <t>BM Electric Store</t>
  </si>
  <si>
    <t>Shopee Aji 3V0Y</t>
  </si>
  <si>
    <t>Art Techno</t>
  </si>
  <si>
    <t>Tokopedia Anggi 1238</t>
  </si>
  <si>
    <t>Tokopedia Anggi 8444</t>
  </si>
  <si>
    <t>LivoTech</t>
  </si>
  <si>
    <t>Shopee Aji GNX0</t>
  </si>
  <si>
    <t>Tokopedia Anggi 3243</t>
  </si>
  <si>
    <t>Shopee Aji BPR7</t>
  </si>
  <si>
    <t>https://detail.1688.com/offer/743754647039.html</t>
  </si>
  <si>
    <t>Ocistok 187959 (10.5 RMB) Tidak Dikirim</t>
  </si>
  <si>
    <t>ITBISA-BREADBOARD-830HOLE-MB102</t>
  </si>
  <si>
    <t>Toko Aneka Teknik</t>
  </si>
  <si>
    <t>Shopee Aji VC57</t>
  </si>
  <si>
    <t>Golden Dream Official Shop</t>
  </si>
  <si>
    <t>Shopee Aji 1G3X</t>
  </si>
  <si>
    <t>IoT Store</t>
  </si>
  <si>
    <t>Shopee Aji T3YX</t>
  </si>
  <si>
    <t>Shopee Aji YWUT</t>
  </si>
  <si>
    <t>dcms.store</t>
  </si>
  <si>
    <t>Shopee Aji QXQF</t>
  </si>
  <si>
    <t>CNC Store Bandung</t>
  </si>
  <si>
    <t>Shopee Aji STX1</t>
  </si>
  <si>
    <t>Tokopedia Anggi 2751</t>
  </si>
  <si>
    <t>Shopee Aji UBDF</t>
  </si>
  <si>
    <t>https://detail.1688.com/offer/730812269155.html</t>
  </si>
  <si>
    <t>Ocistok 187957 (2.29 RMB) Dikirim 180 / 200</t>
  </si>
  <si>
    <t>ITBISA-BUKAEMAS</t>
  </si>
  <si>
    <t>BUKAEMAS FURQONAJIY</t>
  </si>
  <si>
    <t>BukaReksa Furqonajiy</t>
  </si>
  <si>
    <t>BukaEmas Furqonajiy</t>
  </si>
  <si>
    <t>BUKAEMAS ITBISA</t>
  </si>
  <si>
    <t>BukaEmas ITBisa</t>
  </si>
  <si>
    <t>ITBISA-BUKAREKSA-BAHANA-MES-SYARIAH</t>
  </si>
  <si>
    <t>BUKAREKSA FURQONAJIY</t>
  </si>
  <si>
    <t>ITBISA-BUKAREKSA-CIMB-PRINCIPAL-PASAR-UANG</t>
  </si>
  <si>
    <t>Bukalapak Furqonajiy BL1912Z2YK8GINV</t>
  </si>
  <si>
    <t>ITBISA-BUKAREKSA-MANDIRI-INVESTA-PASAR-UANG</t>
  </si>
  <si>
    <t>Bukalapak Furqonajiy BL1912Z2ZKD1INV</t>
  </si>
  <si>
    <t>ITBISA-BUKAREKSA-SUCORINVEST-SHARIA-EQUITY-FUND</t>
  </si>
  <si>
    <t>Bukalapak Furqonajiy BL1913TRDGKFINV</t>
  </si>
  <si>
    <t>ITBISA-BUKAREKSA-SYARIAH-MANDIRI-PASAR-UANG</t>
  </si>
  <si>
    <t>Bukalapak Furqonajiy BL1912Z2WJOVINV</t>
  </si>
  <si>
    <t>ITBISA-BUZZER-ACTIVE-5V</t>
  </si>
  <si>
    <t>Shopee Aji 1EPE</t>
  </si>
  <si>
    <t>Shopee Anggi TNG2</t>
  </si>
  <si>
    <t>Shopee Aji 7VQH</t>
  </si>
  <si>
    <t>Shopee Aji SR6N</t>
  </si>
  <si>
    <t>DX Tronics</t>
  </si>
  <si>
    <t>Shopee Aji 3JGS</t>
  </si>
  <si>
    <t>Shopee Aji 240507P2J937MD</t>
  </si>
  <si>
    <t>PT Mekar Inovasi Teknologi</t>
  </si>
  <si>
    <t>ITBISA-CHIP-ESP32-WROOM</t>
  </si>
  <si>
    <t>Avicena Teknologi Indonesia</t>
  </si>
  <si>
    <t>Shopee Aji 2NRM</t>
  </si>
  <si>
    <t>RZA Electro</t>
  </si>
  <si>
    <t>Shopee Aji MDVH</t>
  </si>
  <si>
    <t>Shopee Aji 4P4M</t>
  </si>
  <si>
    <t>Neo Electro</t>
  </si>
  <si>
    <t>Shopee Aji KPQ4</t>
  </si>
  <si>
    <t>Shopee Aji UDB4Y</t>
  </si>
  <si>
    <t>Shopee Aji 10MN</t>
  </si>
  <si>
    <t>Shopee Aji 7CWW</t>
  </si>
  <si>
    <t>Tokopedia Anggi 6776</t>
  </si>
  <si>
    <t>Tokopedia Anggi 5354</t>
  </si>
  <si>
    <t>Tokopedia Anggi 6034</t>
  </si>
  <si>
    <t>Tokopedia Hendang 7824</t>
  </si>
  <si>
    <t>Tokopedia Anggi 6743</t>
  </si>
  <si>
    <t>Tokopedia Anggi 6074</t>
  </si>
  <si>
    <t>Tokopedia Anggi 5263</t>
  </si>
  <si>
    <t>Tokopedia Anggi 3938</t>
  </si>
  <si>
    <t>Tokopedia Anggi 7723</t>
  </si>
  <si>
    <t>ITBISA-CHIP-ESP32-WROOM-ANTENNA</t>
  </si>
  <si>
    <t>BiTech Store</t>
  </si>
  <si>
    <t>Shopee Aji D536</t>
  </si>
  <si>
    <t>Shopee Aji VKJM</t>
  </si>
  <si>
    <t>Shopee Aji 0YYU</t>
  </si>
  <si>
    <t>ITBISA-CHIP-ESP8266-ESP12F</t>
  </si>
  <si>
    <t>Shopee Aji N61K</t>
  </si>
  <si>
    <t>Shopee Aji 32YK</t>
  </si>
  <si>
    <t>Shopee Aji 2GS3</t>
  </si>
  <si>
    <t>CNC Store Yogyakarta</t>
  </si>
  <si>
    <t>Shopee Aji 3436</t>
  </si>
  <si>
    <t>Shopee Aji N0UH</t>
  </si>
  <si>
    <t>ITBISA-CORSAIR-VENGEANCE-K66</t>
  </si>
  <si>
    <t>Tokopedia Muzakki</t>
  </si>
  <si>
    <t>ITBISA-DC-TO-DC-STEPDOWN-LM2596</t>
  </si>
  <si>
    <t>Haven Store</t>
  </si>
  <si>
    <t>Shopee Aji 4RD9</t>
  </si>
  <si>
    <t>Gigatron Technology</t>
  </si>
  <si>
    <t>Shopee Aji NHDB</t>
  </si>
  <si>
    <t>Shopee Aji UDWC</t>
  </si>
  <si>
    <t>Shopee Aji 5P0A</t>
  </si>
  <si>
    <t>Tokopedia Anggi 0708</t>
  </si>
  <si>
    <t>Tokopedia Anggi 3718</t>
  </si>
  <si>
    <t>Techno Loot</t>
  </si>
  <si>
    <t>Shopee Aji MHX7</t>
  </si>
  <si>
    <t>Tokopedia Dwi 8077</t>
  </si>
  <si>
    <t>Shopee Aji J2AD</t>
  </si>
  <si>
    <t>Shopee Anggi VMGW</t>
  </si>
  <si>
    <t>ITBISA-DC-TO-DC-STEPDOWN-XL4005</t>
  </si>
  <si>
    <t>King of Voucher</t>
  </si>
  <si>
    <t>Tokopedia Anggi 9301 (Ganti Barang)</t>
  </si>
  <si>
    <t>Tokopedia Anggi 4909</t>
  </si>
  <si>
    <t>Tokopedia Anggi 1807</t>
  </si>
  <si>
    <t>ITBISA-DC-TO-DC-STEPDOWN-XL4015</t>
  </si>
  <si>
    <t>Shopee Aji 7VQJ</t>
  </si>
  <si>
    <t>Shopee Aji 3V10</t>
  </si>
  <si>
    <t>Shopee Aji TPHS</t>
  </si>
  <si>
    <t>Shopee Aji FMH3</t>
  </si>
  <si>
    <t>Shopee Aji TCRE</t>
  </si>
  <si>
    <t>Tokopedia Anggi 8850</t>
  </si>
  <si>
    <t>ITBISA-DC-TO-DC-STEPUP-XL6009</t>
  </si>
  <si>
    <t>Shopee Aji YM7N</t>
  </si>
  <si>
    <t>Shopee Aji 7VQI</t>
  </si>
  <si>
    <t>XYZ Hobby</t>
  </si>
  <si>
    <t>Tokopedia Anggi 8849</t>
  </si>
  <si>
    <t>ITBISA-EPSON-L310</t>
  </si>
  <si>
    <t>Blibli</t>
  </si>
  <si>
    <t>Blibli Furqonajiy 12024023540
Resi SiCepat 000178094761
Kerjasama Muzakki dan Furqonajiy pada Event Blibli</t>
  </si>
  <si>
    <t>ITBISA-I2C-IIC-LCD</t>
  </si>
  <si>
    <t>Tokopedia Anggi 4161</t>
  </si>
  <si>
    <t>Tokopedia Anggi 9489</t>
  </si>
  <si>
    <t>Shopee Aji Q9EW</t>
  </si>
  <si>
    <t>Shopee Aji N7S0</t>
  </si>
  <si>
    <t>PerMony</t>
  </si>
  <si>
    <t>Tokopedia Anggi 9304</t>
  </si>
  <si>
    <t>Tokopedia Anggi 7474</t>
  </si>
  <si>
    <t>ITBISA-IC-4N35-DIP6-WHITE</t>
  </si>
  <si>
    <t>Aliexpress Furqonajiy 101166716334116
Resi LP00132822468244</t>
  </si>
  <si>
    <t>hpp 0 rupiah karena barang sampai lebih dari 60 hari</t>
  </si>
  <si>
    <t>ITBISA-IC-74HC245N-DIP20</t>
  </si>
  <si>
    <t>Ocistok 202835</t>
  </si>
  <si>
    <t>ITBISA-IC-74HC595N-DIP16</t>
  </si>
  <si>
    <t>https://detail.1688.com/offer/586404749466.html</t>
  </si>
  <si>
    <t>Ocistok / Martkita 302178 (0.21 RMB)</t>
  </si>
  <si>
    <t>EasyWare Electronics</t>
  </si>
  <si>
    <t>Shopee Aji PXND</t>
  </si>
  <si>
    <t>Automation All</t>
  </si>
  <si>
    <t>Shopee Aji X0QK</t>
  </si>
  <si>
    <t>https://detail.1688.com/offer/680266617777.html</t>
  </si>
  <si>
    <t>Ocistok 217288 (0.22 RMB)</t>
  </si>
  <si>
    <t>Toko Puwei</t>
  </si>
  <si>
    <t>Tokopedia Anggi 3687</t>
  </si>
  <si>
    <t>https://detail.1688.com/offer/706944321046.html</t>
  </si>
  <si>
    <t>Ocistok 187960 (0.24 RMB) Tidak Dikirim</t>
  </si>
  <si>
    <t>ITBISA-IC-78L05-TO92</t>
  </si>
  <si>
    <t>https://shopee.co.id/product/309535256/3454758137</t>
  </si>
  <si>
    <t>Shopee Furqonajiy 201123QE2TBPGB</t>
  </si>
  <si>
    <t>https://www.Aliexpress.com/item/32893635560.html</t>
  </si>
  <si>
    <t>Aliexpress Furqonajiy 8010793763094116 OK</t>
  </si>
  <si>
    <t>https://www.Aliexpress.com/item/33020893264.html</t>
  </si>
  <si>
    <t>Aliexpress Furqonajiy 8010793763114116 OK</t>
  </si>
  <si>
    <t>ITBISA-IC-ATMEGA328P-DIP28</t>
  </si>
  <si>
    <t>Shopee Aji UFG0</t>
  </si>
  <si>
    <t>Shopee Aji YM7M</t>
  </si>
  <si>
    <t>SiwoShop</t>
  </si>
  <si>
    <t>Shopee Aji 74V5</t>
  </si>
  <si>
    <t>Shopee Aji 3HM0</t>
  </si>
  <si>
    <t>SELCHEL</t>
  </si>
  <si>
    <t>Shopee Aji X0QM</t>
  </si>
  <si>
    <t>Shopee Aji ST5Y</t>
  </si>
  <si>
    <t>Shopee Aji HYA5</t>
  </si>
  <si>
    <t>Shopee ITBisa X3DV</t>
  </si>
  <si>
    <t>Marnov</t>
  </si>
  <si>
    <t>Tokopedia Anggi 3338</t>
  </si>
  <si>
    <t>ITBISA-IC-CD4017BE-DIP16</t>
  </si>
  <si>
    <t>https://detail.1688.com/offer/940169024033.html</t>
  </si>
  <si>
    <t>Ocistok / Martkita 302176 (0.25 RMB)</t>
  </si>
  <si>
    <t>Namoe Shop</t>
  </si>
  <si>
    <t>Shopee Aji 3VAU</t>
  </si>
  <si>
    <t>Toko Pucang</t>
  </si>
  <si>
    <t>Tokopedia Anggi 5518</t>
  </si>
  <si>
    <t>Tokopedia Anggi 9346</t>
  </si>
  <si>
    <t>Shopee Aji QXQG</t>
  </si>
  <si>
    <t>Shopee Aji 8HVJ</t>
  </si>
  <si>
    <t>Aisyah Arduino</t>
  </si>
  <si>
    <t>https://shopee.co.id/product/280697154/5441094574</t>
  </si>
  <si>
    <t>Shopee Furqonajiy 201019QGQU6X0C</t>
  </si>
  <si>
    <t>ITBISA-IC-CD4094BE-DIP16</t>
  </si>
  <si>
    <t>https://detail.1688.com/offer/726967883494.html</t>
  </si>
  <si>
    <t>Ocistok / Martkita 302179 (0.34 RMB)</t>
  </si>
  <si>
    <t>aisyahsyakilaafsheen</t>
  </si>
  <si>
    <t>Shopee Aji UKUR</t>
  </si>
  <si>
    <t>Ocistok 205881</t>
  </si>
  <si>
    <t>https://www.Aliexpress.com/item/32995364588.html</t>
  </si>
  <si>
    <t>Aliexpress Furqonajiy 8011016625384116</t>
  </si>
  <si>
    <t>ITBISA-IC-CD4094BM-SMD-SOP16</t>
  </si>
  <si>
    <t>Tokopedia Anggi 9979</t>
  </si>
  <si>
    <t>Tokopedia Anggi 4267</t>
  </si>
  <si>
    <t>Shopee Aji XT1K</t>
  </si>
  <si>
    <t>Tokopedia Anggi 8169</t>
  </si>
  <si>
    <t>Aisyah Arduino Jakarta</t>
  </si>
  <si>
    <t>Tokopedia Anggi 1931</t>
  </si>
  <si>
    <t>Tokopedia Anggi 3717</t>
  </si>
  <si>
    <t>ITBISA-IC-CD4511BE-DIP16</t>
  </si>
  <si>
    <t>Shopee Aji JB2S</t>
  </si>
  <si>
    <t>ITBISA-IC-JRC4558D-DIP8</t>
  </si>
  <si>
    <t>Shopee Aji UDWD</t>
  </si>
  <si>
    <t>ITBISA-IC-L7805CV-TO220</t>
  </si>
  <si>
    <t>SukiTech</t>
  </si>
  <si>
    <t>Shopee Aji F1PM</t>
  </si>
  <si>
    <t>https://detail.1688.com/offer/631022276083.html</t>
  </si>
  <si>
    <t>Ocistok 187961 (0.30 RMB)</t>
  </si>
  <si>
    <t>ITBISA-IC-L7809CV-TO220</t>
  </si>
  <si>
    <t>ITBISA-IC-L7812CV-TO220</t>
  </si>
  <si>
    <t>GT Electronik</t>
  </si>
  <si>
    <t>Shopee Aji F9QB</t>
  </si>
  <si>
    <t>ITBISA-IC-LM741CN-DIP8</t>
  </si>
  <si>
    <t>Shopee Furqonajiy 19050510476HUJK
( - ) Mahal
( + ) Untuk Testing Darurat Pesan
(?) setiap 10 buah diberi strefoam</t>
  </si>
  <si>
    <t>ITBISA-IC-NE555P-DIP8</t>
  </si>
  <si>
    <t>https://detail.1688.com/offer/624513627642.html</t>
  </si>
  <si>
    <t>Ocistok / Martkita 199271 (0.10 RMB)</t>
  </si>
  <si>
    <t>Shopee Aji 9FAP</t>
  </si>
  <si>
    <t>Tokopedia Anggi 7945</t>
  </si>
  <si>
    <t>Tokopedia Anggi 7345</t>
  </si>
  <si>
    <t>saturnindonesia</t>
  </si>
  <si>
    <t>Shopee Anggi 84J3</t>
  </si>
  <si>
    <t>Tokopedia Anggi 4001</t>
  </si>
  <si>
    <t>Shopee Aji TJWS</t>
  </si>
  <si>
    <t>Tokopedia Anggi 1742</t>
  </si>
  <si>
    <t>RAPTOR</t>
  </si>
  <si>
    <t>Shopee Aji P8KT</t>
  </si>
  <si>
    <t>Tokopedia Hendang 4615</t>
  </si>
  <si>
    <t>Tokopedia Anggi 8445</t>
  </si>
  <si>
    <t>Tokopedia Anggi 0043</t>
  </si>
  <si>
    <t>Tokopedia Anggi 2219</t>
  </si>
  <si>
    <t>Tokopedia Aini 9232</t>
  </si>
  <si>
    <t>Ocistok 205882</t>
  </si>
  <si>
    <t>Tokopedia Aini</t>
  </si>
  <si>
    <t>Tokopedia Hendang</t>
  </si>
  <si>
    <t>https://www.tokopedia.com/cncstorebandung/cnc-ne555-dip-8-ne555p-555-clock-timer-oscillator-ic</t>
  </si>
  <si>
    <t>https://www.tokopedia.com/aisyahrobot/ne555-ne555p-555-dip-8-ic-timers-new-high-quality-timer</t>
  </si>
  <si>
    <t>Tokopedia Furqonajiy INV/20220902/MPL/2623012714</t>
  </si>
  <si>
    <t>https://id.aliexpress.com/item/33019094457.html?spm=a2g0o.order_list.0.0.77792faen5RFZ2&amp;gatewayAdapt=glo2idn</t>
  </si>
  <si>
    <t>Aliexpress Furqonajiy 8154403176134116</t>
  </si>
  <si>
    <t>https://shopee.co.id/product/229053276/7232726452?v=ddb&amp;smtt=0.0.3</t>
  </si>
  <si>
    <t>Shopee Furqonajiy 20062811Y8H5R6</t>
  </si>
  <si>
    <t>https://shopee.co.id/product/240782907/4429396623?v=c60&amp;smtt=0.0.4</t>
  </si>
  <si>
    <t>Shopee Furqonajiy 200602PA42F7XU
(-) Dicampur</t>
  </si>
  <si>
    <t>https://www.Aliexpress.com/item/500PCS-LOT-NE555-NE555P-NE555N-555-Timers-DIP-8-best-quality/32803415201.html?spm=a2g0s.9042311.0.0.2c244c4dIjE1C4</t>
  </si>
  <si>
    <t>Aliexpress Furqonajiy 8013399135664116
24Jul2020 tiba setengah</t>
  </si>
  <si>
    <t>https://www.Aliexpress.com/item/32862975606.html?spm=a2g0s.9042311.0.0.4a834c4dYqLWqi</t>
  </si>
  <si>
    <t>Aliexpress Furqonajiy 8008649654214116</t>
  </si>
  <si>
    <t>Aliexpress Furqonajiy 8004126400114116
Resi X</t>
  </si>
  <si>
    <t>Aliexpress Furqonajiy 102504386574116
Resi LP138594425SG</t>
  </si>
  <si>
    <t>ongkos kirim bertambah 20000 karena barang terkena bea pabean dari pos indonesia</t>
  </si>
  <si>
    <t>Aliexpress Furqonajiy 99748318824116
Resi LP00128178887894
(-) Paket tidak menggunakan plastik panjang</t>
  </si>
  <si>
    <t>Aliexpress Zakki 99656556855606
Resi RV836092323CN</t>
  </si>
  <si>
    <t>Aliexpress Furqonajiy 97958978574116
Resi RP171407625CN</t>
  </si>
  <si>
    <t>Aliexpress Furqonajiy 96550250994116
Resi RP108531855CN</t>
  </si>
  <si>
    <t>Aliexpress Furqonajiy 93056048434116
Resi LP113971280SG</t>
  </si>
  <si>
    <t>ITBISA-IC-PC817-DIP4</t>
  </si>
  <si>
    <t>DN Tronic</t>
  </si>
  <si>
    <t>Shopee Aji NHDA</t>
  </si>
  <si>
    <t>Shopee Aji K182</t>
  </si>
  <si>
    <t>Shopee Aji NB1A</t>
  </si>
  <si>
    <t>XUMO Store</t>
  </si>
  <si>
    <t>Shopee Aji 1EPF</t>
  </si>
  <si>
    <t>Shopee Aji HARP</t>
  </si>
  <si>
    <t>Shopee Aji AXE6</t>
  </si>
  <si>
    <t>Shopee Aji 3180</t>
  </si>
  <si>
    <t>Domino Audio Part</t>
  </si>
  <si>
    <t>Shopee Aji 548J</t>
  </si>
  <si>
    <t>Tokopedia Anggi 9395</t>
  </si>
  <si>
    <t>Tokopedia Anggi 7146</t>
  </si>
  <si>
    <t>Tokopedia Anggi 0582</t>
  </si>
  <si>
    <t>Om lemon</t>
  </si>
  <si>
    <t>Tokopedia Anggi 9676</t>
  </si>
  <si>
    <t>Tokopedia Anggi 8349</t>
  </si>
  <si>
    <t>Tokopedia Anggi 0050</t>
  </si>
  <si>
    <t>Tokopedia Anggi 5902</t>
  </si>
  <si>
    <t>Tokopedia Aini 7295</t>
  </si>
  <si>
    <t>Tokopedia Anggi 5877</t>
  </si>
  <si>
    <t>ITBISA-IC-UA741CN-DIP8</t>
  </si>
  <si>
    <t>https://shopee.co.id/product/333443649/6361482812</t>
  </si>
  <si>
    <t>Shopee Furqonajiy 201216Q65J8SEK</t>
  </si>
  <si>
    <t>Shopee Furqonajiy 19050510479HUJJ
( - ) Belum Tahu Barangnya
( - ) Reputasi Toko Rendah
(+) setiap 50 dipisah jadi 26&amp;24
(+) Merk ST</t>
  </si>
  <si>
    <t>Aliexpress Furqonajiy 100773293044116
Resi RP540297625CN
( + ) Packingnya per 50(panjang)
(+) merk ST</t>
  </si>
  <si>
    <t>Aliexpress Syafirapr 96811194351876
Resi RY424693506CN</t>
  </si>
  <si>
    <t>ITBISA-IC-ULN2003AN-DIP16</t>
  </si>
  <si>
    <t>Tokopedia Anggi 0212</t>
  </si>
  <si>
    <t>Tokopedia Anggi 7692</t>
  </si>
  <si>
    <t>ITBISA-IC-ULN2803APG-DIP18</t>
  </si>
  <si>
    <t>Ocistok 205883</t>
  </si>
  <si>
    <t>ITBISA-IDC-2X5-AMPHENOL-FEMALE</t>
  </si>
  <si>
    <t>Aisyah Arduino Store</t>
  </si>
  <si>
    <t>Tokopedia Anggi 6739</t>
  </si>
  <si>
    <t>Tokopedia Anggi 3451</t>
  </si>
  <si>
    <t>Tokopedia Anggi 7755</t>
  </si>
  <si>
    <t>Tokopedia Anggi 4955</t>
  </si>
  <si>
    <t>Tokopedia Anggi 7899</t>
  </si>
  <si>
    <t>Tokopedia Anggi 9483</t>
  </si>
  <si>
    <t>Tokopedia Anggi 0251</t>
  </si>
  <si>
    <t>Tokopedia Anggi 2987</t>
  </si>
  <si>
    <t>Tokopedia Anggi 7963</t>
  </si>
  <si>
    <t>Tokopedia Anggi 4459</t>
  </si>
  <si>
    <t>Tokopedia Anggi 1741</t>
  </si>
  <si>
    <t>Om Lemon</t>
  </si>
  <si>
    <t>Tokopedia Anggi 3983</t>
  </si>
  <si>
    <t>4rduinonan0</t>
  </si>
  <si>
    <t>Shopee Aji GP7A</t>
  </si>
  <si>
    <t>Socket Elco</t>
  </si>
  <si>
    <t>Shopee Aji QDKS</t>
  </si>
  <si>
    <t>ITBISA-IDC-2X5-AMPHENOL-MALE</t>
  </si>
  <si>
    <t>Tokopedia Anggi 7558</t>
  </si>
  <si>
    <t>ITBISA-IGAME-GTX-1070-8GB-DDR5-X-TOP-TRIPLE-FAN</t>
  </si>
  <si>
    <t>-</t>
  </si>
  <si>
    <t>Tokopedia Muzakki kerjasama zakki dan furqonajiy pada event Blibli</t>
  </si>
  <si>
    <t>ITBISA-INFRARED-1838</t>
  </si>
  <si>
    <t>Shopee Aji 2MM3</t>
  </si>
  <si>
    <t>ITBISA-JACK-DC-005-FEMALE</t>
  </si>
  <si>
    <t>Shopee Aji 6DXE</t>
  </si>
  <si>
    <t>Shopee Anggi H3SD</t>
  </si>
  <si>
    <t>Shopee Aji PQSJ</t>
  </si>
  <si>
    <t>Tokopedia Aini 3610</t>
  </si>
  <si>
    <t>Tokopedia Anggi 5970</t>
  </si>
  <si>
    <t>Tokopedia Anggi 5054</t>
  </si>
  <si>
    <t>ITBISA-JUMPER-FF-10CM</t>
  </si>
  <si>
    <t>Shopee Aji J0CM</t>
  </si>
  <si>
    <t>Shopee Aji FYNY</t>
  </si>
  <si>
    <t>Shopee Aji NAAD</t>
  </si>
  <si>
    <t>Shopee Aji 3K41</t>
  </si>
  <si>
    <t>Shopee Anggi VMGU</t>
  </si>
  <si>
    <t>Shopee Aji RAFN</t>
  </si>
  <si>
    <t>https://shopee.co.id/product/93752133/1780814987?smtt=0.0.9</t>
  </si>
  <si>
    <t>Shopee Furqonajiy 200611FHRFJX3U</t>
  </si>
  <si>
    <t>https://www.Aliexpress.com/item/4000108442094.html?spm=a2g0s.9042311.0.0.10ae4c4doI457b</t>
  </si>
  <si>
    <t>Aliexpress Furqonajiy 8005693859454116
8005769332144116
8005770770694116</t>
  </si>
  <si>
    <t>https://www.Aliexpress.com/item/Cable-Dupont-Jumper-Wire-Dupont-30CM-Male-to-Male-Female-to-Male-Female-to-Female-Jumper/32987024879.html?spm=a2g0s.9042311.0.0.69984c4d0kaZ5j</t>
  </si>
  <si>
    <t>Aliexpress Furqonajiy 101578071164116
(-) Tanpa plastik seperti di shopee</t>
  </si>
  <si>
    <t>Aliexpress Furqonajiy 93253631544116
Resi UC917272223CN</t>
  </si>
  <si>
    <t>Aliexpress Furqonajiy 93253631584116
Resi UC917303098CN</t>
  </si>
  <si>
    <t>Aliexpress Furqonajiy 93253631614116
Resi RY220993442CN</t>
  </si>
  <si>
    <t>Aliexpress Furqonajiy 93253631654116
Resi UC919314371CN</t>
  </si>
  <si>
    <t>Aliexpress Furqonajiy 93253631694116
Resi LP113384050SG</t>
  </si>
  <si>
    <t>Aliexpress Furqonajiy 93253631734116
Resi UC915005176CN</t>
  </si>
  <si>
    <t>ITBISA-JUMPER-FF-20CM</t>
  </si>
  <si>
    <t>Shopee Aji CB2S</t>
  </si>
  <si>
    <t>Shopee Aji RJ1U</t>
  </si>
  <si>
    <t>Shopee Aji FW30</t>
  </si>
  <si>
    <t>Shopee Aji GETN</t>
  </si>
  <si>
    <t>https://shopee.co.id/product/284374820/4243014535</t>
  </si>
  <si>
    <t>Shopee Furqonajiy Murah tapi tidak dibungkus</t>
  </si>
  <si>
    <t>https://shopee.co.id/product/262644695/3534519716</t>
  </si>
  <si>
    <t>Shopee Furqonajiy 200624JYWBRUMD</t>
  </si>
  <si>
    <t>ITBISA-JUMPER-MF-10CM</t>
  </si>
  <si>
    <t>Shopee Anggi FACH</t>
  </si>
  <si>
    <t>Atomation</t>
  </si>
  <si>
    <t>Tokopedia Anggi 1734</t>
  </si>
  <si>
    <t>https://shopee.co.id/product/306599500/7553290429</t>
  </si>
  <si>
    <t>Shopee Furqonajiy 201015CKVY43WH
Kabel Rapi</t>
  </si>
  <si>
    <t>https://shopee.co.id/product/284374820/5743012856</t>
  </si>
  <si>
    <t>Shopee Furqonajiy 201015CM2CSU0P
Tulis "Tanpa karet" di keterangan pembelian</t>
  </si>
  <si>
    <t>Shopee Furqonajiy Kurang Rapi</t>
  </si>
  <si>
    <t>Aliexpress Furqonajiy 93253631744116
Resi UC919882942CN</t>
  </si>
  <si>
    <t>Aliexpress Furqonajiy 93253631754116
Resi UC914481942CN</t>
  </si>
  <si>
    <t>ITBISA-JUMPER-MF-20CM</t>
  </si>
  <si>
    <t>Shopee Aji VHAS</t>
  </si>
  <si>
    <t>Shopee Aji HRK7</t>
  </si>
  <si>
    <t>Shopee Aji 2MM4</t>
  </si>
  <si>
    <t>https://shopee.co.id/product/331366014/6761053108</t>
  </si>
  <si>
    <t>Shopee Furqonajiy 201201E2C5EDKK</t>
  </si>
  <si>
    <t>Shopee Furqonajiy 201201E2KDBVF1</t>
  </si>
  <si>
    <t>Shopee Furqonajiy 201201E2MUV5H6</t>
  </si>
  <si>
    <t>https://shopee.co.id/product/93752133/1780802899</t>
  </si>
  <si>
    <t>Shopee Furqonajiy 2006099Q1Q0D07</t>
  </si>
  <si>
    <t>Shopee Furqonajiy</t>
  </si>
  <si>
    <t>ITBISA-JUMPER-MM-10CM</t>
  </si>
  <si>
    <t>SIM COMPUTER</t>
  </si>
  <si>
    <t>Tokopedia Bude Sulami 8662</t>
  </si>
  <si>
    <t>https://shopee.co.id/product/284374820/5743012875</t>
  </si>
  <si>
    <t>Shopee Furqonajiy 2010016PABA3MX
Murah tapi tidak dibungkus</t>
  </si>
  <si>
    <t>https://www.Aliexpress.com/item/32838594669.html?spm=a2g0s.9042311.0.0.29aa4c4dhfKzat</t>
  </si>
  <si>
    <t>Aliexpress Furqonajiy 8007879017944116
(-) Kurang Rapi</t>
  </si>
  <si>
    <t>Aliexpress Furqonajiy 101578071164116
Resi RP559403825CN
(-) Tanpa plastik seperti di shopee</t>
  </si>
  <si>
    <t>https://shopee.co.id/40Pcs-Kabel-Pita-Arduino-Kawat-Jumper-Dupont-Line-Male-ke-Male-Female-ke-Female-Male-ke-Female-i.9945170.693425192</t>
  </si>
  <si>
    <t>Shopee Furqonajiy 19032722330916D</t>
  </si>
  <si>
    <t>ITBISA-JUMPER-MM-20CM</t>
  </si>
  <si>
    <t>Rudy Perdana Electronic</t>
  </si>
  <si>
    <t>Tokopedia Anggi 2843</t>
  </si>
  <si>
    <t>Shopee Anggi 7AT1</t>
  </si>
  <si>
    <t>Shopee Aji HHS3</t>
  </si>
  <si>
    <t>https://shopee.co.id/product/284374820/4243014538</t>
  </si>
  <si>
    <t>ITBISA-KAPASITOR-ELCO-2200UF-25V</t>
  </si>
  <si>
    <t>NE Elektronik</t>
  </si>
  <si>
    <t>Shopee Aji XVM2</t>
  </si>
  <si>
    <t>ITBISA-KODE-UNIK</t>
  </si>
  <si>
    <t>ITBisa Web</t>
  </si>
  <si>
    <t>ITBISA-KUPLUK-HITAM</t>
  </si>
  <si>
    <t>Bukalapak Furqonajiy BL1811FTTKKSINV
Resi Grab 533377984162282</t>
  </si>
  <si>
    <t>ITBISA-LCD-16X2-BLUE</t>
  </si>
  <si>
    <t>Shopee Aji 4RD8</t>
  </si>
  <si>
    <t>Shopee Aji XXV1</t>
  </si>
  <si>
    <t>Tokopedia Anggi 9685</t>
  </si>
  <si>
    <t>I2C-Parts</t>
  </si>
  <si>
    <t>Shopee Aji 1TQ0</t>
  </si>
  <si>
    <t>Tokopedia Anggi 9302</t>
  </si>
  <si>
    <t>ITBISA-LCD-16X2-GREEN</t>
  </si>
  <si>
    <t>Tokopedia Anggi 0583</t>
  </si>
  <si>
    <t>Tokopedia Anggi 2203</t>
  </si>
  <si>
    <t>ITBISA-LDR-GL5516</t>
  </si>
  <si>
    <t>Shopee Aji RGXD</t>
  </si>
  <si>
    <t>Freelabid</t>
  </si>
  <si>
    <t>Shopee Aji 9AKD</t>
  </si>
  <si>
    <t>Tokopedia Anggi 0154</t>
  </si>
  <si>
    <t>Tokopedia Anggi 37875</t>
  </si>
  <si>
    <t>Shopee Aji 1K01</t>
  </si>
  <si>
    <t>ITBISA-LED-MAX7219-4IN1-GAP</t>
  </si>
  <si>
    <t>ITBISA-LED-MAX7219-4IN1-TIGHT</t>
  </si>
  <si>
    <t>Shopee Aji J0CP</t>
  </si>
  <si>
    <t>Shopee Aji 3EXT</t>
  </si>
  <si>
    <t>Shopee Aji DW2W</t>
  </si>
  <si>
    <t>Shopee Aji UG5D</t>
  </si>
  <si>
    <t>Shopee Aji V4CQ</t>
  </si>
  <si>
    <t>Shopee Aji 2BCR</t>
  </si>
  <si>
    <t>ITBISA-LED-SUPERBRIGHT-5MM-BLUE</t>
  </si>
  <si>
    <t>Tokopedia Anggi 8555</t>
  </si>
  <si>
    <t>Tokopedia Anggi 2276</t>
  </si>
  <si>
    <t>Tokopedia Anggi 0155</t>
  </si>
  <si>
    <t>ITBISA-LED-SUPERBRIGHT-5MM-GREEN</t>
  </si>
  <si>
    <t>Tokopedia Anggi 5451</t>
  </si>
  <si>
    <t>Tokopedia Anggi 7470</t>
  </si>
  <si>
    <t>Tokopedia Anggi 2220</t>
  </si>
  <si>
    <t>ITBISA-LED-SUPERBRIGHT-5MM-RED</t>
  </si>
  <si>
    <t>Tokopedia Anggi 4251</t>
  </si>
  <si>
    <t>ITBISA-LED-SUPERBRIGHT-5MM-WHITE</t>
  </si>
  <si>
    <t>Tokopedia Anggi 1787</t>
  </si>
  <si>
    <t>ITBISA-LED-SUPERBRIGHT-5MM-YELLOW</t>
  </si>
  <si>
    <t>Tokopedia Anggi 6385</t>
  </si>
  <si>
    <t>ITBISA-LOGITECH-F710</t>
  </si>
  <si>
    <t>ITBISA-MICRO-SD-READER-MINI</t>
  </si>
  <si>
    <t>Shopee Aji E77J</t>
  </si>
  <si>
    <t>ITBISA-MOTORDRIVER-L298N-WITH-HEATSINK</t>
  </si>
  <si>
    <t>https://shopee.co.id/-secoup-L298N-D-Dual-H-Bridge-Stepper-Motor-Module-Robot-Smart-Car-i.129763917.2218478073</t>
  </si>
  <si>
    <t>Shopee Furqonajiy 19060123337F8JM
Resi ID193669455626P</t>
  </si>
  <si>
    <t>Tokopedia Furqonajiy INV/20190521/XIX/V/318502856
Resi GOJEK</t>
  </si>
  <si>
    <t>Shopee Furqonajiy 1904201519325PA
Resi ID1955098491261</t>
  </si>
  <si>
    <t>ITBISA-NODEMCU-ESP32-MICRO</t>
  </si>
  <si>
    <t>ITBISA-NODEMCU-ESP32-MICRO-30PIN</t>
  </si>
  <si>
    <t>Anugrah Komputer</t>
  </si>
  <si>
    <t>Shopee Dwi X62K</t>
  </si>
  <si>
    <t>Gerai Universal</t>
  </si>
  <si>
    <t>Shopee Dwi QWVU</t>
  </si>
  <si>
    <t>Shopee Dwi 4JCP</t>
  </si>
  <si>
    <t>ITBISA-NODEMCU-ESP32-MICRO-38PIN</t>
  </si>
  <si>
    <t>AvarElectric</t>
  </si>
  <si>
    <t>Tokopedia Aini 9790</t>
  </si>
  <si>
    <t>ITBISA-NODEMCU-V3-CH340G-ESP8266-MICRO</t>
  </si>
  <si>
    <t>https://detail.1688.com/offer/748153183771.html</t>
  </si>
  <si>
    <t>Ocistok 187958 (8.95 RMB)</t>
  </si>
  <si>
    <t>NodeMCU</t>
  </si>
  <si>
    <t>ITBISA-NPN-2N2222-TO92</t>
  </si>
  <si>
    <t>EELIC</t>
  </si>
  <si>
    <t>Shopee Aji XVM1</t>
  </si>
  <si>
    <t>https://shopee.co.id/product/120302154/1966330568</t>
  </si>
  <si>
    <t>Shopee Furqonajiy 201015CM8YFC6P</t>
  </si>
  <si>
    <t>https://shopee.co.id/product/120302154/1966330568?v=35e&amp;smtt=0.0.4</t>
  </si>
  <si>
    <t>Shopee Furqonajiy 200602PA8UBX6H
(+) Plastik OK</t>
  </si>
  <si>
    <t>Aliexpress Zakki 99860943685606
Resi RV848555244CN</t>
  </si>
  <si>
    <t>Aliexpress Furqonajiy 99984397414116
Resi RV848555227CN</t>
  </si>
  <si>
    <t>Aliexpress Zakki 98418792605606
Resi RP197746113CN</t>
  </si>
  <si>
    <t>ITBISA-NPN-2N3904-TO92</t>
  </si>
  <si>
    <t>Shopee Aji 27PJ</t>
  </si>
  <si>
    <t>Shopee Aji VHAR</t>
  </si>
  <si>
    <t>Shopee Aji YCEE</t>
  </si>
  <si>
    <t>Shopee Aji C3Y2</t>
  </si>
  <si>
    <t>ITBISA-NPN-2N5551-TO92</t>
  </si>
  <si>
    <t>ITBISA-NPN-BC337-TO92</t>
  </si>
  <si>
    <t>Shopee Aji P365</t>
  </si>
  <si>
    <t>Shopee Aji Q9EV</t>
  </si>
  <si>
    <t>ITBISA-NPN-BC547-TO92</t>
  </si>
  <si>
    <t>Surabaya Elektronik Kingel</t>
  </si>
  <si>
    <t>Tokopedia Anggi 1739</t>
  </si>
  <si>
    <t>Shopee Anggi UGAQ</t>
  </si>
  <si>
    <t>Shopee Anggi 078C</t>
  </si>
  <si>
    <t>Shopee Aji ADX4</t>
  </si>
  <si>
    <t>https://a.Aliexpress.com/_dZpnlXS</t>
  </si>
  <si>
    <t>Aliexpress Furqonajiy 8015457411934116</t>
  </si>
  <si>
    <t>https://shopee.co.id/product/229053276/3332897657?v=e60&amp;smtt=0.0.3</t>
  </si>
  <si>
    <t>Shopee Furqonajiy 200609BHKNB95Q
(-) Dicampur</t>
  </si>
  <si>
    <t>ITBISA-NPN-BC548-TO92</t>
  </si>
  <si>
    <t>ITBISA-NPN-S9013-TO92</t>
  </si>
  <si>
    <t>ITBISA-OPPO-F9-64GB-6GB-RED-RESMI</t>
  </si>
  <si>
    <t>ITBISA-PCB-5X7-COPPER-SINGLE-SIDE</t>
  </si>
  <si>
    <t>HAEBOT</t>
  </si>
  <si>
    <t>Shopee Aji UD5Y</t>
  </si>
  <si>
    <t>satashop</t>
  </si>
  <si>
    <t>https://shopee.co.id/product/306599500/5953287050</t>
  </si>
  <si>
    <t>Shopee Furqonajiy 201123QET45D4X</t>
  </si>
  <si>
    <t>Shopee Furqonajiy 201123QEVMN3XF</t>
  </si>
  <si>
    <t>Shopee Furqonajiy 201123QEXHFH50</t>
  </si>
  <si>
    <t>https://www.Aliexpress.com/item/10Pcs-5-7-PCB-5X7-PCB-5cm-7cm-DIY-Prototype-Paper-PCB-Universal-Board-yellow/33059724640.html?spm=a2g0s.9042311.0.0.2c244c4dIjE1C4</t>
  </si>
  <si>
    <t>Aliexpress Furqonajiy 8014353042914116</t>
  </si>
  <si>
    <t>Aliexpress Furqonajiy 102525738684116
Resi UR528631663CN</t>
  </si>
  <si>
    <t>ITBISA-PIN-HEADER-MALE-1X40PIN-L-SAMA</t>
  </si>
  <si>
    <t>Shopee Aji 1TPY</t>
  </si>
  <si>
    <t>ITBISA-PIN-HEADER-MALE-1X40PIN-LURUS</t>
  </si>
  <si>
    <t>Tokopedia Anggi 9419</t>
  </si>
  <si>
    <t>Shopee Aji 1TPX</t>
  </si>
  <si>
    <t>ITBISA-PNP-2N3906-TO92</t>
  </si>
  <si>
    <t>ITBISA-PNP-2N5401-TO92</t>
  </si>
  <si>
    <t>ITBISA-PNP-A1015-TO92</t>
  </si>
  <si>
    <t>ITBISA-PNP-BC557-TO92</t>
  </si>
  <si>
    <t>ITBISA-PNP-BC558-TO92</t>
  </si>
  <si>
    <t>ITBISA-PNP-S8550-TO92</t>
  </si>
  <si>
    <t>ITBISA-PNP-S9012-TO92</t>
  </si>
  <si>
    <t>ITBISA-PONCO-GAJAH</t>
  </si>
  <si>
    <t>Shopee Furqonajiy 1807030912462JP
Resi JNE 120790076724318</t>
  </si>
  <si>
    <t>ITBISA-RAPID-BOHLAM-E10-2.5V-SCREW</t>
  </si>
  <si>
    <t>Shopee Aji 5E6M</t>
  </si>
  <si>
    <t>https://tokopedia.link/iBs5L7Iyfxb</t>
  </si>
  <si>
    <t>https://www.tokopedia.com/evelinel/bohlam-e-10-bola-lampu-senter-drat-e10-rapid-isi-50-pcs-kotak?utm_source=whatsapp&amp;utm_medium=share&amp;utm_campaign=PDP-2644979-5342447705-301022-contextual_image</t>
  </si>
  <si>
    <t>Tokopedia IsyaAnggita</t>
  </si>
  <si>
    <t>Tokopedia Furqonajiy INV/20181226/XVIII/XII/251749599
Resi JNE 014470215917618</t>
  </si>
  <si>
    <t>ITBISA-RAPID-BOHLAM-E10-3.8V-SCREW</t>
  </si>
  <si>
    <t>ITBISA-RELAY-12V-4PIN-BLUE</t>
  </si>
  <si>
    <t>https://detail.1688.com/offer/775368378784.html</t>
  </si>
  <si>
    <t>Ocistok 217289 (0.58 RMB)</t>
  </si>
  <si>
    <t>ITBISA-RELAY-12V-5PIN-BLUE</t>
  </si>
  <si>
    <t>Shopee Aji 9AKB</t>
  </si>
  <si>
    <t>Shopee Aji 8HVG</t>
  </si>
  <si>
    <t>Shopee Anggi 16G5</t>
  </si>
  <si>
    <t>Tokopedia Anggi 9687</t>
  </si>
  <si>
    <t>Tokopedia Anggi 9686</t>
  </si>
  <si>
    <t>Shopee Anggi YRDN</t>
  </si>
  <si>
    <t>Tokopedia Anggi 8851</t>
  </si>
  <si>
    <t>Tokopedia Anggi 1953</t>
  </si>
  <si>
    <t>Tokopedia Anggi 5528</t>
  </si>
  <si>
    <t>Tokopedia Anggi 2768</t>
  </si>
  <si>
    <t>Tokopedia Anggi 9582</t>
  </si>
  <si>
    <t>Tokopedia Anggi 9303</t>
  </si>
  <si>
    <t>Tokopedia Anggi 4910</t>
  </si>
  <si>
    <t>Tokopedia Anggi 9677</t>
  </si>
  <si>
    <t>Tokopedia Anggi 7298</t>
  </si>
  <si>
    <t>Tokopedia Anggi 0354</t>
  </si>
  <si>
    <t>Tokopedia Anggi 1753</t>
  </si>
  <si>
    <t>Tokopedia Anggi 1028</t>
  </si>
  <si>
    <t>Tokopedia Anggi 7385</t>
  </si>
  <si>
    <t>Tokopedia Anggi 0156</t>
  </si>
  <si>
    <t>Tokopedia Hendang 5551</t>
  </si>
  <si>
    <t>Tokopedia Aini 2773</t>
  </si>
  <si>
    <t>Tokopedia Anggi 6982</t>
  </si>
  <si>
    <t>Tokopedia Anggi 4342</t>
  </si>
  <si>
    <t>Kastil Drakula</t>
  </si>
  <si>
    <t>Tokopedia Anggi 6323</t>
  </si>
  <si>
    <t>Tokopedia Anggi 8828</t>
  </si>
  <si>
    <t>Tokopedia Anggi 5876</t>
  </si>
  <si>
    <t>ITBISA-RELAY-5V-1CHANNEL-BLUE-LOW-TRIGGER</t>
  </si>
  <si>
    <t>Shopee Aji XVM4</t>
  </si>
  <si>
    <t>Shopee Aji JNM4</t>
  </si>
  <si>
    <t>ITBISA-RELAY-5V-4PIN-BLUE</t>
  </si>
  <si>
    <t>ITBISA-RELAY-5V-5PIN-BLUE</t>
  </si>
  <si>
    <t>Tokopedia Anggi 7471</t>
  </si>
  <si>
    <t>Tokopedia Anggi 7472</t>
  </si>
  <si>
    <t>Tokopedia Anggi 7299</t>
  </si>
  <si>
    <t>Tokopedia Anggi 9322</t>
  </si>
  <si>
    <t>Tokopedia Anggi 6322</t>
  </si>
  <si>
    <t>ITBISA-RESISTOR-100K-1/4W</t>
  </si>
  <si>
    <t>Stephany Abigail</t>
  </si>
  <si>
    <t>Shopee Aji YRD5</t>
  </si>
  <si>
    <t>Shopee Aji HKHD</t>
  </si>
  <si>
    <t>ITBISA-RESISTOR-10K-1/4W</t>
  </si>
  <si>
    <t>Shopee Anggi</t>
  </si>
  <si>
    <t>ITBISA-RESISTOR-120K-1/4W</t>
  </si>
  <si>
    <t>Traktor Jaya Diesel</t>
  </si>
  <si>
    <t>Tokopedia Anggi 8379</t>
  </si>
  <si>
    <t>ITBISA-RESISTOR-12K-1/4W</t>
  </si>
  <si>
    <t>ITBISA-RESISTOR-150K-1/4W</t>
  </si>
  <si>
    <t>James Electro</t>
  </si>
  <si>
    <t>Tokopedia Anggi 0363</t>
  </si>
  <si>
    <t>ITBISA-RESISTOR-15K-1/4W</t>
  </si>
  <si>
    <t>https://www.tokopedia.com/smartmm/resistor-1-4w-15k-1000biji</t>
  </si>
  <si>
    <t>ITBISA-RESISTOR-18K-1/4W</t>
  </si>
  <si>
    <t>ITBISA-RESISTOR-1K-1/4W</t>
  </si>
  <si>
    <t>Global Diesel</t>
  </si>
  <si>
    <t>Shopee Aji 21P9</t>
  </si>
  <si>
    <t>STARVIS CCTV</t>
  </si>
  <si>
    <t>Shopee Aji QK45</t>
  </si>
  <si>
    <t>https://www.tokopedia.com/smartmm/resistor-1-4w-1k-1000biji</t>
  </si>
  <si>
    <t>ITBISA-RESISTOR-1M-1/4W</t>
  </si>
  <si>
    <t>ITBISA-RESISTOR-220-1/4W</t>
  </si>
  <si>
    <t>TOP MM</t>
  </si>
  <si>
    <t>Shopee Aji 9AKC</t>
  </si>
  <si>
    <t>ITBISA-RESISTOR-22K-1/4W</t>
  </si>
  <si>
    <t>https://www.tokopedia.com/multigshop/1000-pcs-resistor-22k-1-4-watt-5</t>
  </si>
  <si>
    <t>ITBISA-RESISTOR-270-1/4W</t>
  </si>
  <si>
    <t>ITBISA-RESISTOR-270K-1/4W</t>
  </si>
  <si>
    <t>ITBISA-RESISTOR-27K-1/4W</t>
  </si>
  <si>
    <t>https://www.tokopedia.com/smartmm/resistor-1-4w-27k-1000biji</t>
  </si>
  <si>
    <t>ITBISA-RESISTOR-2K2-1/4W</t>
  </si>
  <si>
    <t>Tokopedia Anggi 0699</t>
  </si>
  <si>
    <t>ITBISA-RESISTOR-2K7-1/4W</t>
  </si>
  <si>
    <t>ITBISA-RESISTOR-330-1/4W</t>
  </si>
  <si>
    <t>Shopee Aji C53Y, Spaylater</t>
  </si>
  <si>
    <t>Shopee Aji GTGD</t>
  </si>
  <si>
    <t>ITBISA-RESISTOR-330K-1/4W</t>
  </si>
  <si>
    <t>ITBISA-RESISTOR-33K-1/4W</t>
  </si>
  <si>
    <t>https://www.tokopedia.com/smartmm/resistor-1-4w-33k-1000biji</t>
  </si>
  <si>
    <t>ITBISA-RESISTOR-390-1/4W</t>
  </si>
  <si>
    <t>ITBISA-RESISTOR-39K-1/4W</t>
  </si>
  <si>
    <t>ITBISA-RESISTOR-3K3-1/4W</t>
  </si>
  <si>
    <t>ITBISA-RESISTOR-470K-1/4W</t>
  </si>
  <si>
    <t>https://www.tokopedia.com/multigshop/1000-pcs-resistor-470k-1-4-watt</t>
  </si>
  <si>
    <t>ITBISA-RESISTOR-47K-1/4W</t>
  </si>
  <si>
    <t>ITBISA-RESISTOR-4K7-1/4W</t>
  </si>
  <si>
    <t>ITBISA-RESISTOR-560-1/4W</t>
  </si>
  <si>
    <t>https://www.tokopedia.com/smartmm/resistor-1-4w-560ohm-1000biji</t>
  </si>
  <si>
    <t>ITBISA-RESISTOR-56K-1/4W</t>
  </si>
  <si>
    <t>https://www.tokopedia.com/smartmm/resistor-1-4w-56k-1000biji</t>
  </si>
  <si>
    <t>ITBISA-RESISTOR-5K6-1/4W</t>
  </si>
  <si>
    <t>ITBISA-RESISTOR-680K-1/4W</t>
  </si>
  <si>
    <t>https://www.tokopedia.com/multigshop/1000-pcs-resistor-680k-1-4-watt-5</t>
  </si>
  <si>
    <t>ITBISA-RESISTOR-6K8-1/4W</t>
  </si>
  <si>
    <t>ITBISA-RFID-RC522-KIT</t>
  </si>
  <si>
    <t>Shopee Aji WTD3</t>
  </si>
  <si>
    <t>riming.ic</t>
  </si>
  <si>
    <t>Shopee Aji RJ1V</t>
  </si>
  <si>
    <t>Shopee Aji JNM5</t>
  </si>
  <si>
    <t>ITBISA-RTC-DS3231M</t>
  </si>
  <si>
    <t>Shopee Aji YCED</t>
  </si>
  <si>
    <t>Tokopedia Anggi 2275</t>
  </si>
  <si>
    <t>Tokopedia Anggi 9349</t>
  </si>
  <si>
    <t>ITBISA-RTC-DS3231SN</t>
  </si>
  <si>
    <t>DT Production</t>
  </si>
  <si>
    <t>Shopee Aji R8P2</t>
  </si>
  <si>
    <t>Tokopedia Anggi 6729</t>
  </si>
  <si>
    <t>Tokopedia Anggi 3686</t>
  </si>
  <si>
    <t>Tokopedia Sulami</t>
  </si>
  <si>
    <t>ITBISA-SALDO-KUNCI-BCA-EXPRESI</t>
  </si>
  <si>
    <t>BCA ITBISA</t>
  </si>
  <si>
    <t>BCA Expresi ITBisa</t>
  </si>
  <si>
    <t>ITBISA-SALDO-KUNCI-BLIBLI</t>
  </si>
  <si>
    <t>BLIBLI ITBISA</t>
  </si>
  <si>
    <t>Merchant Blibli ITBisa</t>
  </si>
  <si>
    <t>ITBISA-SALDO-KUNCI-BNI-SYARIAH</t>
  </si>
  <si>
    <t>BNI SYARIAH ITBISA</t>
  </si>
  <si>
    <t>BNI Syariah ITBisa</t>
  </si>
  <si>
    <t>ITBISA-SALDO-KUNCI-BRI-BRITAMA-MUDA</t>
  </si>
  <si>
    <t>BRI ITBISA</t>
  </si>
  <si>
    <t>BRI Britama Muda ITBisa</t>
  </si>
  <si>
    <t>ITBISA-SALDO-KUNCI-MANDIRI</t>
  </si>
  <si>
    <t>MANDIRI ITBISA</t>
  </si>
  <si>
    <t>Mandiri ITBisa</t>
  </si>
  <si>
    <t>ITBISA-SAMSUNG-850-EVO-500GB-BLACK</t>
  </si>
  <si>
    <t>ITBISA-SARUNG-TANGAN-KATUN</t>
  </si>
  <si>
    <t>Tokopedia Furqonajiy INV/20180801/XVIII/VIII/186078208
Resi JNE 070810027137018</t>
  </si>
  <si>
    <t>ITBISA-SARUNG-TANGAN-SPANDEX</t>
  </si>
  <si>
    <t>Bukalapak Furqonajiy BL1811FWCR78INV
Resi Ninja NVIDBLAPK181035992957</t>
  </si>
  <si>
    <t>ITBISA-SENSOR-SUHU-DHT11</t>
  </si>
  <si>
    <t>Shopee Anggi VMGV</t>
  </si>
  <si>
    <t>ITBISA-SENSOR-ULTRASONIK-HCSR04</t>
  </si>
  <si>
    <t>Tokopedia Anggi 0584</t>
  </si>
  <si>
    <t>Shopee Aji BX1J</t>
  </si>
  <si>
    <t>Shopee Aji 1DAP, Spaylater</t>
  </si>
  <si>
    <t>Tokopedia Anggi 3284</t>
  </si>
  <si>
    <t>Tokopedia Anggi 6418</t>
  </si>
  <si>
    <t>Tokopedia Anggi 4341</t>
  </si>
  <si>
    <t>ITBISA-SERVO-CHECKER</t>
  </si>
  <si>
    <t>Supreme ID</t>
  </si>
  <si>
    <t>Shopee Anggi H3SE</t>
  </si>
  <si>
    <t>Shopee Anggi DWXD</t>
  </si>
  <si>
    <t>Tokopedia Anggi 1952</t>
  </si>
  <si>
    <t>Java.Tech</t>
  </si>
  <si>
    <t>Shopee Aji DH55P</t>
  </si>
  <si>
    <t>Fortuna Jogja</t>
  </si>
  <si>
    <t>Tokopedia Anggi 9910</t>
  </si>
  <si>
    <t>Tokopedia Anggi 0302</t>
  </si>
  <si>
    <t>Shopee Aji 9VG3</t>
  </si>
  <si>
    <t>Shopee Aji Y098</t>
  </si>
  <si>
    <t>Shopee Aji CVXY</t>
  </si>
  <si>
    <t>ITBISA-SERVO-SG90-180DEG</t>
  </si>
  <si>
    <t>Shopee Aji H0JQ</t>
  </si>
  <si>
    <t>Shopee Anggi GJ39</t>
  </si>
  <si>
    <t>Shopee Aji VF36</t>
  </si>
  <si>
    <t>Shopee Anggi YJ3T</t>
  </si>
  <si>
    <t>Shopee Aji GJSQ</t>
  </si>
  <si>
    <t>Shopee Anggi TUBT</t>
  </si>
  <si>
    <t>Shopee Anggi EGMU</t>
  </si>
  <si>
    <t>ElfaUAV</t>
  </si>
  <si>
    <t>Shopee Aji 4Q3H</t>
  </si>
  <si>
    <t>Shopee Aji 19WJ</t>
  </si>
  <si>
    <t>Shopee Anggi 1CDR</t>
  </si>
  <si>
    <t>Shopee Aji 43KF</t>
  </si>
  <si>
    <t>Tokopedia Anggi 3499</t>
  </si>
  <si>
    <t>Shopee Anggi 38S3</t>
  </si>
  <si>
    <t>Shopee Aji 89UP</t>
  </si>
  <si>
    <t>Shopee Anggi HSCH</t>
  </si>
  <si>
    <t>Shopee Aji ECTM</t>
  </si>
  <si>
    <t>Shopee Anggi KK2J</t>
  </si>
  <si>
    <t>Shopee Aji 4ETM</t>
  </si>
  <si>
    <t>Shopee Anggi 23MP</t>
  </si>
  <si>
    <t>Shopee Aji B5BU</t>
  </si>
  <si>
    <t>Shopee Aji B3A1</t>
  </si>
  <si>
    <t>Shopee Aji RKDS</t>
  </si>
  <si>
    <t>https://ocistok.com/product/1688/735309238537</t>
  </si>
  <si>
    <t>Ocistok 180 Degree</t>
  </si>
  <si>
    <t>ITBISA-SERVO-SG90-360DEG</t>
  </si>
  <si>
    <t>Shopee Aji AXE7</t>
  </si>
  <si>
    <t>Shopee Aji W5HU</t>
  </si>
  <si>
    <t>AEROSKY HOBBY</t>
  </si>
  <si>
    <t>Tokopedia Anggi 2464</t>
  </si>
  <si>
    <t>Ocistok 360 Degree</t>
  </si>
  <si>
    <t>ITBISA-SOCKET-BATERAI-AA-2SLOT</t>
  </si>
  <si>
    <t>Rudy Perdana Electric</t>
  </si>
  <si>
    <t>Tokopedia Anggi 3524</t>
  </si>
  <si>
    <t>ITBISA-SOCKET-BATERAI-AA-4SLOT</t>
  </si>
  <si>
    <t>ITBISA-SOCKET-IC-DIP14-NARROW</t>
  </si>
  <si>
    <t>Hayashi Indonesia</t>
  </si>
  <si>
    <t>Shopee Aji XVM3</t>
  </si>
  <si>
    <t>ARS Audio 226</t>
  </si>
  <si>
    <t>Shopee Aji 3SH4</t>
  </si>
  <si>
    <t>ITBISA-SOCKET-IC-DIP16-NARROW</t>
  </si>
  <si>
    <t>Tokopedia Anggi 0587</t>
  </si>
  <si>
    <t>Tokopedia Anggi 7643</t>
  </si>
  <si>
    <t>Tokopedia Anggi 4827</t>
  </si>
  <si>
    <t>Tokopedia Anggi 7467</t>
  </si>
  <si>
    <t>Tokopedia Anggi 0907</t>
  </si>
  <si>
    <t>Tokopedia Anggi 4002</t>
  </si>
  <si>
    <t>Tokopedia Anggi 0581</t>
  </si>
  <si>
    <t>Tokopedia Anggi 9587</t>
  </si>
  <si>
    <t>Tokopedia Anggi 4162</t>
  </si>
  <si>
    <t>Tokopedia Anggi 3882</t>
  </si>
  <si>
    <t>Tokopedia Anggi 0640</t>
  </si>
  <si>
    <t>Tokopedia Anggi 9471</t>
  </si>
  <si>
    <t>Tokopedia Anggi 0853</t>
  </si>
  <si>
    <t>Tokopedia Anggi 9298</t>
  </si>
  <si>
    <t>Shopee Aji 240507PNUX1113</t>
  </si>
  <si>
    <t>Shopee Anggi S19J</t>
  </si>
  <si>
    <t>https://tokopedia.link/0zTym1Kyfxb</t>
  </si>
  <si>
    <t>https://www.tokopedia.com/tokopuwei/socket-ic-16p-16-p-16pin-16-pin-adapter-soket-ic-16pin-16-pin-af78</t>
  </si>
  <si>
    <t>Tokopedia Furqonajiy INV/20200627/XX/VI/572266882</t>
  </si>
  <si>
    <t>Tokopedia Furqonajiy INV/20200626/XX/VI/571218176</t>
  </si>
  <si>
    <t>https://shopee.co.id/product/162340996/2440349528</t>
  </si>
  <si>
    <t>Shopee Furqonajiy 2006075JJXA8JR</t>
  </si>
  <si>
    <t>ITBISA-SOCKET-IC-DIP20-NARROW</t>
  </si>
  <si>
    <t>HANABI_CCTV</t>
  </si>
  <si>
    <t>Shopee Aji 3XK4</t>
  </si>
  <si>
    <t>Shopee Aji W6SJ</t>
  </si>
  <si>
    <t>Ragil Kaligafi</t>
  </si>
  <si>
    <t>Tokopedia Anggi 7563</t>
  </si>
  <si>
    <t>Shopee Aji HEDY</t>
  </si>
  <si>
    <t>ITBISA-SOCKET-IC-DIP28-NARROW</t>
  </si>
  <si>
    <t>Shopee Aji 3JGT</t>
  </si>
  <si>
    <t>Shilyn Electro</t>
  </si>
  <si>
    <t>Shopee Aji 061Q</t>
  </si>
  <si>
    <t>ITBISA-SOCKET-IC-DIP8-NARROW</t>
  </si>
  <si>
    <t>https://www.tokopedia.com/aisyahrobot/socket-ic-8p-8-p-adapter-soket-ic-8pin-8-pin-dip-8</t>
  </si>
  <si>
    <t>Tokopedia Furqonajiy 10x Invoice</t>
  </si>
  <si>
    <t>https://www.Aliexpress.com/item/4000452444583.html</t>
  </si>
  <si>
    <t>Aliexpress Furqonajiy 8011128710734116
(+) Recommended isi 60
(+) Plastik keras</t>
  </si>
  <si>
    <t>https://www.Aliexpress.com/item/32975852342.html</t>
  </si>
  <si>
    <t>Aliexpress Furqonajiy 8011128710754116
(+) Recommended isi 50
(+) Sudah diplastik</t>
  </si>
  <si>
    <t>Aliexpress Furqonajiy 8004126400114116
(+) Packing per 50</t>
  </si>
  <si>
    <t>Aliexpress Furqonajiy 102504386564116
Resi RP596201288CN</t>
  </si>
  <si>
    <t>Tokopedia Furqonajiy INV/20190324/XIX/III/287942046
Resi JNE 021250010237519
(+) Testing Tokopedia
(+) Packing Plastik Klip
(-) Jual Rugi</t>
  </si>
  <si>
    <t>Tokopedia Furqonajiy INV/20190324/XIX/III/287942045
Resi Wahana AQS74779
(+) Testing Tokopedia
(+) Packing menggunakan batang
(-) Jual Rugi</t>
  </si>
  <si>
    <t>Aliexpress Furqonajiy 93056048424116
Resi RU869777975CN
(-) Kaki tidak rapi
(-) Packing menggunakan klip dan tidak rapi</t>
  </si>
  <si>
    <t>ITBISA-SYAL</t>
  </si>
  <si>
    <t>Tokopedia Furqonajiy INV/20180731/XVIII/VII/186050706
Resi JNE 021820012669918</t>
  </si>
  <si>
    <t>ITBISA-TERMINAL-BLOCK-KF301-2P-BLUE</t>
  </si>
  <si>
    <t>Shopee Anggi 5GGX</t>
  </si>
  <si>
    <t>ITBISA-TIGERHEAD-SENTER-KUNING-FT300</t>
  </si>
  <si>
    <t>Shopee Furqonajiy 18090110244J47T
Resi JNE MDCAH00187623118</t>
  </si>
  <si>
    <t>Shopee Furqonajiy 180805110747M21
Resi JNE MDCAH00178513618</t>
  </si>
  <si>
    <t>Shopee Furqonajiy 18080407584C123
Resi JNE MDCAH00178283418</t>
  </si>
  <si>
    <t>Shopee Furqonajiy 18072514324BUKU
Resi JNE MDCAH00175405118</t>
  </si>
  <si>
    <t>ITBISA-TIGERHEAD-SENTER-KUNING-FT700</t>
  </si>
  <si>
    <t>https://www.tokopedia.com/braxie/senter-murah-tiger-head</t>
  </si>
  <si>
    <t>ITBISA-USB-A-TO-B-30CM</t>
  </si>
  <si>
    <t>Shopee Aji J9GF</t>
  </si>
  <si>
    <t>ITBISA-USB-A-TO-B-50CM</t>
  </si>
  <si>
    <t>ITBISA-VYBA-SENTER-KUNING-FT300</t>
  </si>
  <si>
    <t>Shopee Furqonajiy Invoice C</t>
  </si>
  <si>
    <t>Shopee Furqonajiy Invoice B</t>
  </si>
  <si>
    <t>Shopee Furqonajiy Invoice A</t>
  </si>
  <si>
    <t>https://www.tokopedia.com/gudanglampuelektrik/senter-klasik-2-batre-ft300-kaleng-vyba?utm_source=whatsapp&amp;utm_medium=share&amp;utm_campaign=PDP-2644979-887137683-301022-contextual_image</t>
  </si>
  <si>
    <t>Tokopedia Furqonajiy 4x Invoice (10, 9, 9, 8)</t>
  </si>
  <si>
    <t>Tokopedia Furqonajiy 6x Invoice</t>
  </si>
  <si>
    <t>Tokopedia IsyaAnggita 2x Invoice</t>
  </si>
  <si>
    <t>Tokopedia Furqonajiy 8x Invoice</t>
  </si>
  <si>
    <t>https://www.tokopedia.com/anursyam/senter-classic-pendek-senter-besi-senter-jadul-vyba-ft300</t>
  </si>
  <si>
    <t>Tokopedia Ahmad INV/20190701/XIX/VII/334755225
Resi 171500006375619</t>
  </si>
  <si>
    <t>Tokopedia Ahmad INV/20190701/XIX/VII/334756665
Resi 171500006318619</t>
  </si>
  <si>
    <t>Tokopedia Ahmad INV/20190628/XIX/VI/333394911
Resi 171500003954219</t>
  </si>
  <si>
    <t>Tokopedia Ahmad INV/20190628/XIX/VI/333395130
Resi 171500004122719</t>
  </si>
  <si>
    <t>ITBISA-VYBA-SENTER-KUNING-FT500</t>
  </si>
  <si>
    <t>ITBISA-WEMOS-D1-MINI-ESP8266</t>
  </si>
  <si>
    <t>IndoTechno New</t>
  </si>
  <si>
    <t>Shopee Aji VFX9</t>
  </si>
  <si>
    <t>Shopee Anggi TJRX</t>
  </si>
  <si>
    <t>Shopee Anggi EGMT</t>
  </si>
  <si>
    <t>supreme_id</t>
  </si>
  <si>
    <t>Tokopedia Anggi 8827</t>
  </si>
  <si>
    <t>Shopee Aji HW8R</t>
  </si>
  <si>
    <t>Shopee Aji N0UG</t>
  </si>
  <si>
    <t>ITBISA-XIAOMI-POWERBANK-2-10000MAH-SILVER</t>
  </si>
  <si>
    <t>ITBISA-XIAOMI-REDMI-6A-TAM</t>
  </si>
  <si>
    <t>Blibli Jokopujihar 12022303145
Resi BES Regular BLI1111189187179</t>
  </si>
  <si>
    <t>ITBISA-XIAOMI-REDMI-NOTE-5-PRO-GOLD-TAM</t>
  </si>
  <si>
    <t>ITBISA-XIAOMI-REDMI-NOTE-5A-TAM</t>
  </si>
  <si>
    <t>Blibli Furqonajiy 12022296784
Resi BES Regular BLI1411186881388</t>
  </si>
  <si>
    <t>ITBISA-XIAOMI-SMARTBAND-2-BLACK</t>
  </si>
  <si>
    <t>Tanggal
Pengecekan
Kehilangan</t>
  </si>
  <si>
    <t>Banyak
Ketemu</t>
  </si>
  <si>
    <t>Nilai
Ketemu</t>
  </si>
  <si>
    <t>Banyak
Hilang</t>
  </si>
  <si>
    <t>Nilai
Hilang</t>
  </si>
  <si>
    <t>Lokasi Gudang</t>
  </si>
  <si>
    <t>Keterangan</t>
  </si>
  <si>
    <t>KOST SRITUNGGAL</t>
  </si>
  <si>
    <t>ITBISA-PSU-S4012-12V-3A</t>
  </si>
  <si>
    <t>ITBISA-EMLOCK-ACM-Y180</t>
  </si>
  <si>
    <t>Bizindo AG Tokopedia, barang pecah saat diantar kurir</t>
  </si>
  <si>
    <t>Copot</t>
  </si>
  <si>
    <t>Dikirim ke Semarang malah patah</t>
  </si>
  <si>
    <t>Salah Kirim, dikira 2x100 ternyata 2x50</t>
  </si>
  <si>
    <t>Rusak</t>
  </si>
  <si>
    <t>Salah Kirim Cathode malah Anode</t>
  </si>
  <si>
    <t>230908S4UC7VQ4 Salah Kirim malah 4 UAC741CN</t>
  </si>
  <si>
    <t>INV/20230925/MPL/3475637341 Pengiriman Ulang 5 NE555P ke Sarijo</t>
  </si>
  <si>
    <t>INV/20231003/MPL/3489765985 Pengiriman Deni cuma 3, pesannya 5</t>
  </si>
  <si>
    <t>2310043A53KT0E Salah Kirim 10 UA741CN ke Herman, Dikirim Ulang melalui INV/20231008/MPL/3498894605</t>
  </si>
  <si>
    <t>Bangkit dari Kubur</t>
  </si>
  <si>
    <t>2310043A53KT0E Pengiriman 10 x IC 555 Melalui INV/20231008/MPL/3498894605 ke Herman</t>
  </si>
  <si>
    <t>Socket DIP16 ketemu</t>
  </si>
  <si>
    <t>Ketemu entah dari mana</t>
  </si>
  <si>
    <t>231011MWAPBMNE Barang Hilang, diganti Asuransi</t>
  </si>
  <si>
    <t>Sepertinya tertukar antara 2.5V dan 3.8V</t>
  </si>
  <si>
    <t>Diambil untuk senter</t>
  </si>
  <si>
    <t>Diambil untuk keperluan ITBisa</t>
  </si>
  <si>
    <t>240103VV36TGF2 Dikembalikan karena tidak cocok</t>
  </si>
  <si>
    <t>240103VV36TGF2 Dikembalikan, tapi 28 PCS tidak layak pakai</t>
  </si>
  <si>
    <t>240112MXS9UT3P Dalam bentuk uang 1,500</t>
  </si>
  <si>
    <t>Rusak 1</t>
  </si>
  <si>
    <t>Adjustment</t>
  </si>
  <si>
    <t>INV/20240408/MPL/3846543254 180 Degree Diganti 360 Degree</t>
  </si>
  <si>
    <t>Ketemu Entah Dari Mana</t>
  </si>
  <si>
    <t>INV/20240409/MPL/3847320359 Pengiriman ke Iman</t>
  </si>
  <si>
    <t>Minta</t>
  </si>
  <si>
    <t>RANCAEKEK ESTU</t>
  </si>
  <si>
    <t>Hilang entah di mana</t>
  </si>
  <si>
    <t>INV/20240517/MPL/3910028264 Pengiriman 2.5 V</t>
  </si>
  <si>
    <t>Menjadi 30 Pin</t>
  </si>
  <si>
    <t>INV/20240418/MPL/3859715139 Belum Dikirim</t>
  </si>
  <si>
    <t>Ketemu entah dari Mana</t>
  </si>
  <si>
    <t>Bonus Pembelian Ocistok</t>
  </si>
  <si>
    <t>Shopee NAAD Ganti MF ke MM</t>
  </si>
  <si>
    <t>Ketemu Entah di mana</t>
  </si>
  <si>
    <t>251019G1W6AUMJ harusnya dikirim 6</t>
  </si>
  <si>
    <t>Tanggal Pesan Terakhir</t>
  </si>
  <si>
    <t>HPP
Terakhir</t>
  </si>
  <si>
    <t>HPP Belum Terjual</t>
  </si>
  <si>
    <t>Total
Stok</t>
  </si>
  <si>
    <t>1/2
Total
Stok</t>
  </si>
  <si>
    <t>1/3
Total
Stok</t>
  </si>
  <si>
    <t>40%
Total
Stok</t>
  </si>
  <si>
    <t>20%
Total
Stok</t>
  </si>
  <si>
    <t>ITBISA-BUBBLE-WRAP</t>
  </si>
  <si>
    <t>Tanggal</t>
  </si>
  <si>
    <t>Lokasi
Penambahan
Barang</t>
  </si>
  <si>
    <t>Lokasi
Pengurangan
Barang</t>
  </si>
  <si>
    <t>Banyak Barang</t>
  </si>
  <si>
    <t>INV/20231004/MPL/3492512198 Pindah 720 x 74HC245N ke Ciamis</t>
  </si>
  <si>
    <t>INV/20231004/MPL/3492517923 Pindah 2000 x UA741CN ke Ciamis</t>
  </si>
  <si>
    <t>2310163W3KVQHW Pengiriman 670 x 74HC595N ke Irkham Elektronik</t>
  </si>
  <si>
    <t>INV/20231111/MPL/3559874484 - 10000 x 2N2222 - ITBisa Jakarta - ITBisa Ciamis</t>
  </si>
  <si>
    <t>INV/20231111/MPL/3559916808 - 1000 x 74HC595N - ITBisa Jakarta - ITBisa Ciamis</t>
  </si>
  <si>
    <t>INV/20231111/MPL/3560075456 - 57 x 74HC595N - Jakarta - Fajar Yunianto - Yogya</t>
  </si>
  <si>
    <t>INV/20231111/MPL/3560086461 - 72 PCS ABC Alkaline AA + 72PCS ABC Alkaline AAA - ITBisa Jakarta - ITBisa Ciamis</t>
  </si>
  <si>
    <t>INV/20231111/MPL/3560096132 - 72 PCS ABC Alkaline AA + 12 Baterai 9V - ITBisa Jakarta - ITBisa Ciamis</t>
  </si>
  <si>
    <t>INV/20231120/MPL/3575727611 - 900 x 1.2 Inch CA + 594 x 1.2 Inch CC - ITBisa Jakarta - ITBisa Ciamis</t>
  </si>
  <si>
    <t>INV/20240128/MPL/3705906481 Fajar 50 x 74HC595N dari Jakarta</t>
  </si>
  <si>
    <t>INV/20240228/MPL/3763634991 Pengiriman 300 x CA 0.56 ke Moreno</t>
  </si>
  <si>
    <t>240319FQJRW4SQ Pengiriman 17 x Bandung + 8 x Ciamis</t>
  </si>
  <si>
    <t>INV/20240407/MPL/3845895568 Pengiriman USB A to B 30 cm ke Ciamis</t>
  </si>
  <si>
    <t>INV/20240407/MPL/3845898382 Pengiriman Senter Kuning Tigerhead ke Ciamis</t>
  </si>
  <si>
    <t>240508RCJMNQ0V 1 Barang dikirim dari Jakarta</t>
  </si>
  <si>
    <t>INV/20240506/MPL/3890911929 Pengiriman 4 Senter</t>
  </si>
  <si>
    <t>INV/20240511/MPL/3899855536 Pengiriman 2000 x IC 4017 ke Jakarta</t>
  </si>
  <si>
    <t>INV/20240511/MPL/3899848759 Pengiriman 720 x 74HC245N ke Ciamis</t>
  </si>
  <si>
    <t>Pak Joko ke Jakarta</t>
  </si>
  <si>
    <t>Kata Kunci Utama</t>
  </si>
  <si>
    <t>Jenis
Barang</t>
  </si>
  <si>
    <t>Keterangan
Barang
(Ukuran, Warna)</t>
  </si>
  <si>
    <t>Fungsi
Barang
(Opsional)</t>
  </si>
  <si>
    <t>Typo</t>
  </si>
  <si>
    <t>BisaDivisi</t>
  </si>
  <si>
    <t>Massa (g)</t>
  </si>
  <si>
    <t>Tagar</t>
  </si>
  <si>
    <t>Link Bukalapak</t>
  </si>
  <si>
    <t>Link Tokopedia</t>
  </si>
  <si>
    <t>Link Shopee</t>
  </si>
  <si>
    <t>Seven 7 Segment</t>
  </si>
  <si>
    <t>CA Common Anode</t>
  </si>
  <si>
    <t>0.56 Inch Red 1BIT</t>
  </si>
  <si>
    <t>LED Merah Display Jam Digital Nilai Sensor</t>
  </si>
  <si>
    <t>7-Segment Anoda 0,56" Inci 0.56" 0.56inch 1 BIT</t>
  </si>
  <si>
    <t>BisaElektronika - BisaSegment</t>
  </si>
  <si>
    <t>#ITBisa #BisaElektronika #BisaSegment #7Segment #Segment #CA #CC #Anode #Cathode #0.56 #LED #1BIT #Red #Arduino #Counter #Digital #IC #Mikrokontroler #Timer #Clock</t>
  </si>
  <si>
    <t>ITBisa - Seven 7 Segment CA Common Anode 0.56 Inch Red 1BIT LED Merah Display Jam Digital Nilai Sensor 7-Segment Anoda 0,56" Inci 0.56" 0.56inch 1 BIT</t>
  </si>
  <si>
    <t xml:space="preserve">ITBisa - Seven 7 Segment CA Common Anode 0.56 Inch Red 1BIT LED Merah </t>
  </si>
  <si>
    <t>https://www.bukalapak.com/p/elektronik/komponen-elektronik/12cm7sr-jual-itbisa-7-segment-cc-common-katoda-0-56-inci-merah-1-bit-led-display-jam-digital-nilai-sensor-7-segment-seven-red-cathode-0-56inch-inch-1bit</t>
  </si>
  <si>
    <t>https://tokopedia.com/itbisa/itbisa-seven-7-segment-cc-common-cathode-0-56-inch-red-1bit-merah</t>
  </si>
  <si>
    <t>1 Inch Red 1BIT</t>
  </si>
  <si>
    <t>7-Segment Anoda 1" Inch 1inch BIT</t>
  </si>
  <si>
    <t>ITBisa - Seven 7 Segment CA Common Anode 1 Inch Red 1BIT LED Merah Display Jam Digital Nilai Sensor 7-Segment Anoda 1" Inch 1inch BIT</t>
  </si>
  <si>
    <t>ITBisa - Seven 7 Segment CA Common Anode 1 Inch Red 1BIT LED Merah Dis</t>
  </si>
  <si>
    <t>https://www.bukalapak.com/p/elektronik/komponen-elektronik/12cn11o-jual-itbisa-ic-ua741cn-dip-8-op-amp-filter-penguat-lpf-hpf-bpf-integrated-circuit-ua-741-ua741-op-amp-opamp-8-pin-kaki-dip8-8dip</t>
  </si>
  <si>
    <t>1.2 Inch Red 1BIT</t>
  </si>
  <si>
    <t>7-Segment Anoda 1,2" Inci 1.2" 1.2inch 1 BIT</t>
  </si>
  <si>
    <t>ITBisa - Seven 7 Segment CA Common Anode 1.2 Inch Red 1BIT LED Merah Display Jam Digital Nilai Sensor 7-Segment Anoda 1,2" Inci 1.2" 1.2inch 1 BIT</t>
  </si>
  <si>
    <t>ITBisa - Seven 7 Segment CA Common Anode 1.2 Inch Red 1BIT LED Merah D</t>
  </si>
  <si>
    <t>HS 23101 BS CA Anode Jam Masjid</t>
  </si>
  <si>
    <t>2.30 Inch Red 1BIT</t>
  </si>
  <si>
    <t>LED Display Digital</t>
  </si>
  <si>
    <t>7-Segment Anoda 2,3" Inci 2.3" 2.3inch 1 BIT</t>
  </si>
  <si>
    <t>ITBisa - Seven 7 Segment HS 23101 BS CA Anode Jam Masjid 2.30 Inch Red 1BIT LED Display Digital 7-Segment Anoda 2,3" Inci 2.3" 2.3inch 1 BIT</t>
  </si>
  <si>
    <t>ITBisa - Seven 7 Segment HS 23101 BS CA Anode Jam Masjid 2.30 Inch Red</t>
  </si>
  <si>
    <t>CC Common Cathode</t>
  </si>
  <si>
    <t>7-Segment Katoda 0,56" Inci 0.56" 0.56inch 1 BIT</t>
  </si>
  <si>
    <t>ITBisa - Seven 7 Segment CC Common Cathode 0.56 Inch Red 1BIT LED Merah Display Jam Digital Nilai Sensor 7-Segment Katoda 0,56" Inci 0.56" 0.56inch 1 BIT</t>
  </si>
  <si>
    <t>ITBisa - Seven 7 Segment CC Common Cathode 0.56 Inch Red 1BIT LED Mera</t>
  </si>
  <si>
    <t xml:space="preserve">ITBisa - Seven 7 Segment CC Common Cathode 0.56 Inch Red 1BIT LED Merah Display Jam Digital Nilai Sensor 7-Segment Katoda 0,56" Inci 0.56" 0.56inch 1 </t>
  </si>
  <si>
    <t>ITBISA-7SEGMENT-CATHODE-RED-1.00-1BIT</t>
  </si>
  <si>
    <t>7-Segment Katoda 1" Inch 1inch BIT</t>
  </si>
  <si>
    <t>ITBisa - Seven 7 Segment CC Common Cathode 1 Inch Red 1BIT LED Merah Display Jam Digital Nilai Sensor 7-Segment Katoda 1" Inch 1inch BIT</t>
  </si>
  <si>
    <t>ITBisa - Seven 7 Segment CC Common Cathode 1 Inch Red 1BIT LED Merah D</t>
  </si>
  <si>
    <t>7-Segment Katoda 1,2" Inci 1.2" 1.2inch 1 BIT</t>
  </si>
  <si>
    <t>ITBisa - Seven 7 Segment CC Common Cathode 1.2 Inch Red 1BIT LED Merah Display Jam Digital Nilai Sensor 7-Segment Katoda 1,2" Inci 1.2" 1.2inch 1 BIT</t>
  </si>
  <si>
    <t>ITBisa - Seven 7 Segment CC Common Cathode 1.2 Inch Red 1BIT LED Merah</t>
  </si>
  <si>
    <t>ITBISA-ABC-BATERAI-9V-ALKALINE</t>
  </si>
  <si>
    <t>ITBISA-ABC-BATERAI-D-ALKALINE</t>
  </si>
  <si>
    <t>Baterai ABC</t>
  </si>
  <si>
    <t>Standar 1,5 V</t>
  </si>
  <si>
    <t>Size D Biru</t>
  </si>
  <si>
    <t>Batre Biasa 1,5V 1.5V 1.5 Volt Ukuran D Warna Blue</t>
  </si>
  <si>
    <t>BisaOspek</t>
  </si>
  <si>
    <t>#ITBisa #BisaOspek #BisaBaterai #Ospek #Baterai #ABC #D #Size #1.5V #Volt #Senter #Big #Jumbo #Power #Alkaline #Carbon #Zinc #Karbon #Galon #Jumbo</t>
  </si>
  <si>
    <t>ITBisa - Baterai ABC Standar 1,5 V Size D Biru Batre Biasa 1,5V 1.5V 1.5 Volt Ukuran D Warna Blue</t>
  </si>
  <si>
    <t>ITBisa - Baterai ABC Standar 1,5 V Size D Biru Batre Biasa 1,5V 1.5V 1</t>
  </si>
  <si>
    <t>https://www.bukalapak.com/p/elektronik/komponen-elektronik/163beu6-jual-itbisa-40pcs-kabel-jumper-10-cm-male-to-female-m-f-2-54-mm-merk-dupont-arduino-breadboard-40-pcs-buah-mf-m-f-pin-2-54mm-10cm-cable</t>
  </si>
  <si>
    <t>https://www.tokopedia.com/itbisa/itbisa-40pcs-kabel-jumper-10-cm-male-to-female-m-f-2-54-mm-mf-10cm</t>
  </si>
  <si>
    <t>https://shopee.co.id/product/80492423/2291036855/</t>
  </si>
  <si>
    <t>Baterai ABC Size D</t>
  </si>
  <si>
    <t>Super Power Heavy Duty DR20P</t>
  </si>
  <si>
    <t>1.5V Jumbo Carbon Zinc Hitam</t>
  </si>
  <si>
    <t>Senter Pompa Galon</t>
  </si>
  <si>
    <t>Batre Jumbo Karbon Tipe D R20P Besar 1,5V 1.5V 1.5 Volt Type Ukuran D Warna Black</t>
  </si>
  <si>
    <t>ITBisa - Baterai ABC Size D Super Power Heavy Duty DR20P 1.5V Jumbo Carbon Zinc Hitam Senter Pompa Galon Batre Jumbo Karbon Tipe D R20P Besar 1,5V 1.5V 1.5 Volt Type Ukuran D Warna Black</t>
  </si>
  <si>
    <t>ITBisa - Baterai ABC Size D Super Power Heavy Duty DR20P 1.5V Jumbo Ca</t>
  </si>
  <si>
    <t>ITBisa - Baterai ABC Size D Super Power Heavy Duty DR20P 1.5V Jumbo Carbon Zinc Hitam Senter Pompa Galon Batre Jumbo Karbon Tipe D R20P Besar 1,5V 1.5</t>
  </si>
  <si>
    <t>https://www.bukalapak.com/p/elektronik/komponen-elektronik/1b2qbb9-jual-itbisa-transistor-bjt-npn-2n2222a-h331-to92-0-6a-30v-penguat-switch-transistors-2n2222-2n-2222-a-to-92-h-331-0-6-op-amp-switching-30-v-30volt</t>
  </si>
  <si>
    <t>https://www.tokopedia.com/itbisa/itbisa-transistor-bjt-npn-2n2222-a-2n2222a-h331-penguat-switch-to92</t>
  </si>
  <si>
    <t>https://shopee.co.id/product/80492423/2291143520/</t>
  </si>
  <si>
    <t>Senter ABC Alkaline</t>
  </si>
  <si>
    <t>LED Multifungsi</t>
  </si>
  <si>
    <t xml:space="preserve">Emergency Light </t>
  </si>
  <si>
    <t>Multifunction LED Lights</t>
  </si>
  <si>
    <t>BisaSenter</t>
  </si>
  <si>
    <t>#ITBisa #BisaOspek #BisaSenter #Ospek #Baterai #ABC #AAA</t>
  </si>
  <si>
    <t>ITBisa - Senter ABC Alkaline LED Multifungsi Emergency Light Multifunction LED Lights</t>
  </si>
  <si>
    <t>ITBisa - Senter ABC Alkaline LED Multifungsi Emergency Light Multifunc</t>
  </si>
  <si>
    <t>Arduino</t>
  </si>
  <si>
    <t>UNO R3 CH340G SMD ATMega328P</t>
  </si>
  <si>
    <t>Clone Only No Cable</t>
  </si>
  <si>
    <t>Mikrokontroler</t>
  </si>
  <si>
    <t xml:space="preserve">Tanpa Kabel USB ATMega328 AT Mega Kloning Duplikat Microcontroller </t>
  </si>
  <si>
    <t>BisaElektronika</t>
  </si>
  <si>
    <t>ITBisa - Arduino UNO R3 CH340G SMD ATMega328P Clone Only No Cable Mikrokontroler Tanpa Kabel USB ATMega328 AT Mega Kloning Duplikat Microcontroller</t>
  </si>
  <si>
    <t>ITBisa - Arduino UNO R3 CH340G SMD ATMega328P Clone Only No Cable Mikr</t>
  </si>
  <si>
    <t>UNO R3 CH340G SMD</t>
  </si>
  <si>
    <t xml:space="preserve">Clone Plus + USB Kabel 30CM Cable 30 CM ATMega328P </t>
  </si>
  <si>
    <t>ATMega328 AT Mega 328 P + Cable Kloning Duplikat Microcontroller</t>
  </si>
  <si>
    <t>ITBisa - Arduino UNO R3 CH340G SMD Clone Plus + USB Kabel 30CM Cable 30 CM ATMega328P Mikrokontroler ATMega328 AT Mega 328 P + Cable Kloning Duplikat Microcontroller</t>
  </si>
  <si>
    <t>ITBisa - Arduino UNO R3 CH340G SMD Clone Plus + USB Kabel 30CM Cable 3</t>
  </si>
  <si>
    <t xml:space="preserve">ITBisa - Arduino UNO R3 CH340G SMD Clone Plus + USB Kabel 30CM Cable 30 CM ATMega328P Mikrokontroler ATMega328 AT Mega 328 P + Cable Kloning Duplikat </t>
  </si>
  <si>
    <t>UNO R3 CH340G ATMega328P SMD</t>
  </si>
  <si>
    <t>Clone Plus USB Kabel 50CM</t>
  </si>
  <si>
    <t xml:space="preserve">ATMega328 AT Mega 328 P + Cable 50 cm Kloning Duplikat Microcontroller </t>
  </si>
  <si>
    <t>ITBisa - Arduino UNO R3 CH340G ATMega328P SMD Clone Plus USB Kabel 50CM Mikrokontroler ATMega328 AT Mega 328 P + Cable 50 cm Kloning Duplikat Microcontroller</t>
  </si>
  <si>
    <t>ITBisa - Arduino UNO R3 CH340G ATMega328P SMD Clone Plus USB Kabel 50C</t>
  </si>
  <si>
    <t>ITBisa - Arduino UNO R3 CH340G ATMega328P SMD Clone Plus USB Kabel 50CM Mikrokontroler ATMega328 AT Mega 328 P + Cable 50 cm Kloning Duplikat Microcon</t>
  </si>
  <si>
    <t>https://www.bukalapak.com/p/elektronik/komponen-elektronik/1p5d40c-jual-itbisa-40pcs-kabel-jumper-10-cm-female-to-female-f-f-2-54-mm-merk-dupont-arduino-breadboard-40-pcs-buah-ff-f-f-pin-2-54mm-10cm-cable</t>
  </si>
  <si>
    <t>https://www.tokopedia.com/itbisa/itbisa-40pcs-kabel-jumper-10-cm-female-to-female-f-f-2-54-mm-ff-10cm</t>
  </si>
  <si>
    <t>https://shopee.co.id/product/80492423/2287703561/</t>
  </si>
  <si>
    <t>https://www.bukalapak.com/p/elektronik/komponen-elektronik/2aposh9-jual-itbisa-socket-ic-dip-8-2x4-narrow-soket-integrated-circuit-8-pin-kaki-lubang-datar-dip8-8dip</t>
  </si>
  <si>
    <t>https://tokopedia.com/itbisa/itbisa-socket-ic-dip-8-2x4-narrow-soket-dip8-8dip-8-dip-pin-kaki</t>
  </si>
  <si>
    <t>https://shopee.co.id/product/80492423/2287659492/</t>
  </si>
  <si>
    <t>ITBISA-BUKAREKSA-CIPTA-SYARIAH-BALANCE</t>
  </si>
  <si>
    <t>ITBISA-BUKAREKSA-MANDIRI-INVESTA-DANA-SYARIAH</t>
  </si>
  <si>
    <t>https://www.bukalapak.com/p/elektronik/komponen-elektronik/3ge7cl1-jual-itbisa-socket-ic-dip16-2x8-narrow-dip-16-pin-16p-soket-dip-16-2-54mm-2-54-mm-dudukan-16-lubang-16-dip-integrated-integrate-circuit-2-x-8-8x2-8-x-2</t>
  </si>
  <si>
    <t>https://tokopedia.com/itbisa/itbisa-socket-ic-dip16-2x8-narrow-dip-16-pin-16p-soket-dip-16-2-54mm</t>
  </si>
  <si>
    <t>https://www.bukalapak.com/p/elektronik/komponen-elektronik/3t18497-jual-itbisa-40pcs-kabel-jumper-20-cm-male-to-male-m-m-mm-m-m-2-54mm-arduino-breadboard-40-pcs-20cm-buah-pin-2-54-mm-wire-cable-rainbow-pelangi-sensor</t>
  </si>
  <si>
    <t>https://tokopedia.com/itbisa/itbisa-40pcs-kabel-jumper-20-cm-male-to-male-m-m-2-54-mm-mm-m-m-20cm</t>
  </si>
  <si>
    <t>https://shopee.co.id/product/80492423/4855244491/</t>
  </si>
  <si>
    <t>https://www.bukalapak.com/p/elektronik/komponen-elektronik/3t187p8-jual-itbisa-40pcs-kabel-jumper-20-cm-female-to-female-f-f-ff-f-f-2-54mm-arduino-breadboard-40-pcs-20cm-buah-pin-2-54-mm-wire-cable-rainbow-pelangi-sensor</t>
  </si>
  <si>
    <t>https://www.tokopedia.com/itbisa/itbisa-40pcs-kabel-jumper-20-cm-female-to-female-f-f-2-54-mm-ff-20cm</t>
  </si>
  <si>
    <t>https://shopee.co.id/product/80492423/5655241072/</t>
  </si>
  <si>
    <t>https://www.bukalapak.com/p/elektronik/komponen-elektronik/vbuzpu-jual-itbisa-40pcs-kabel-jumper-10-cm-male-to-male-m-m-2-54-mm-merk-dupont-arduino-breadboard-40-pcs-buah-mm-m-m-pin-2-54mm-10cm-cable</t>
  </si>
  <si>
    <t>https://www.tokopedia.com/itbisa/itbisa-40pcs-kabel-jumper-10-cm-male-to-male-m-m-2-54-mm-mm-m-m-10cm</t>
  </si>
  <si>
    <t>https://shopee.co.id/product/80492423/2291050648/</t>
  </si>
  <si>
    <t>https://www.tokopedia.com/itbisa/itbisa-seven-7-segment-ca-common-anode-0-56-inch-red-1bit-led-merah</t>
  </si>
  <si>
    <t>https://tokopedia.com/itbisa/itbisa-baterai-abc-super-power-1-5-v-volt-size-d-hitam-carbon-zinc</t>
  </si>
  <si>
    <t>ITBISA-DIODE-1N4007</t>
  </si>
  <si>
    <t>ITBISA-IC-4N35-DIP6-BLACK</t>
  </si>
  <si>
    <t>IC 4N35</t>
  </si>
  <si>
    <t>DIP-6</t>
  </si>
  <si>
    <t>Black</t>
  </si>
  <si>
    <t>Optocoupler Photocoupler</t>
  </si>
  <si>
    <t>Phototransistor Optotransistor Putih DIP6 6DIP 6 Pin Kaki</t>
  </si>
  <si>
    <t>BisaElektronika - BisaIC</t>
  </si>
  <si>
    <t>#ITBisa #BisaElektronika #BisaIC #Socket #IC #Switch #Transistor #LED #Sensor #Timer #Osilator #FlipFlop #DIP6 #DIP8 #DIP16 #Arduino #Breadboard #Mikrokontroler #Sensor #PCB</t>
  </si>
  <si>
    <t>ITBisa - IC 4N35 DIP-6 Black Optocoupler Photocoupler Phototransistor Optotransistor Putih DIP6 6DIP 6 Pin Kaki</t>
  </si>
  <si>
    <t xml:space="preserve">ITBisa - IC 4N35 DIP-6 Black Optocoupler Photocoupler Phototransistor </t>
  </si>
  <si>
    <t>White</t>
  </si>
  <si>
    <t>Phototransistor Optotransistor DIP6 6DIP 6 Pin Kaki</t>
  </si>
  <si>
    <t>ITBisa - IC 4N35 DIP-6 White Optocoupler Photocoupler Phototransistor Optotransistor DIP6 6DIP 6 Pin Kaki</t>
  </si>
  <si>
    <t xml:space="preserve">ITBisa - IC 4N35 DIP-6 White Optocoupler Photocoupler Phototransistor </t>
  </si>
  <si>
    <t>IC HC245N</t>
  </si>
  <si>
    <t>SN74HC245N</t>
  </si>
  <si>
    <t>DIP-20</t>
  </si>
  <si>
    <t>Octal Bus Transceiver</t>
  </si>
  <si>
    <t>SN 74HC245N 74HC245 DIP20 20P 20 Pin Kaki Digital Buffer Parallel Data Transfer Transmission</t>
  </si>
  <si>
    <t>#ITBisa #BisaElektronika #BisaIC #Socket #IC #Shifter #Shift #Register #7Segment #Segment #LED #Counter #DIP6 #DIP8 #DIP16 #Arduino #Breadboard #Mikrokontroler #Sensor #PCB</t>
  </si>
  <si>
    <t>ITBisa - IC HC245N SN74HC245N DIP-20 Octal Bus Transceiver SN 74HC245N 74HC245 DIP20 20P 20 Pin Kaki Digital Buffer Parallel Data Transfer Transmission</t>
  </si>
  <si>
    <t>ITBisa - IC HC245N SN74HC245N DIP-20 Octal Bus Transceiver SN 74HC245N</t>
  </si>
  <si>
    <t>ITBisa - IC HC245N SN74HC245N DIP-20 Octal Bus Transceiver SN 74HC245N 74HC245 DIP20 20P 20 Pin Kaki Digital Buffer Parallel Data Transfer Transmissio</t>
  </si>
  <si>
    <t>IC HC595N</t>
  </si>
  <si>
    <t>SN74HC595N</t>
  </si>
  <si>
    <t>DIP-16</t>
  </si>
  <si>
    <t>8 Stage Serial Shift Register</t>
  </si>
  <si>
    <t>SN 74HC595N 74HC595 DIP16 16P 16 Pin Kaki Serial to Parallel Paralel Conversion Output Latch</t>
  </si>
  <si>
    <t>ITBisa - IC HC595N SN74HC595N DIP-16 8 Stage Serial Shift Register SN 74HC595N 74HC595 DIP16 16P 16 Pin Kaki Serial to Parallel Paralel Conversion Output Latch</t>
  </si>
  <si>
    <t xml:space="preserve">ITBisa - IC HC595N SN74HC595N DIP-16 8 Stage Serial Shift Register SN </t>
  </si>
  <si>
    <t>ITBisa - IC HC595N SN74HC595N DIP-16 8 Stage Serial Shift Register SN 74HC595N 74HC595 DIP16 16P 16 Pin Kaki Serial to Parallel Paralel Conversion Out</t>
  </si>
  <si>
    <t>IC 78L05</t>
  </si>
  <si>
    <t>TO92</t>
  </si>
  <si>
    <t>Positive Voltage Regulator 5V 0.1A</t>
  </si>
  <si>
    <t>L78L05 Positif 100mA TO 92 TO-92 5V 0.1 A 3 Terminal</t>
  </si>
  <si>
    <t>#ITBisa #BisaElektronika #BisaIC #Regulator #Voltage</t>
  </si>
  <si>
    <t>ITBisa - IC 78L05 7805 TO92 Positive Voltage Regulator 5V 0.1A L78L05 Positif 100mA TO 92 TO-92 5V 0.1 A 3 Terminal</t>
  </si>
  <si>
    <t xml:space="preserve">ITBisa - IC 78L05 7805 TO92 Positive Voltage Regulator 5V 0.1A L78L05 </t>
  </si>
  <si>
    <t>IC 4017</t>
  </si>
  <si>
    <t>CD4017 CD4017BE</t>
  </si>
  <si>
    <t>Decade Counter Divider Digital</t>
  </si>
  <si>
    <t>DIP16 16P 16 Pin Kaki CMOS Latch CD 4017 BE Shifter Switch Clock Running LED Text</t>
  </si>
  <si>
    <t>#ITBisa #BisaElektronika #BisaIC #Socket #IC #Decade #Counter #Divider #Digital #Shifter #LED #CMOS #DIP6 #DIP8 #DIP16 #Arduino #Breadboard #Mikrokontroler #Sensor #PCB</t>
  </si>
  <si>
    <t>ITBisa - IC 4017 CD4017 CD4017BE DIP-16 Decade Counter Divider Digital DIP16 16P 16 Pin Kaki CMOS Latch CD 4017 BE Shifter Switch Clock Running LED Text</t>
  </si>
  <si>
    <t>ITBisa - IC 4017 CD4017 CD4017BE DIP-16 Decade Counter Divider Digital</t>
  </si>
  <si>
    <t>ITBisa - IC 4017 CD4017 CD4017BE DIP-16 Decade Counter Divider Digital DIP16 16P 16 Pin Kaki CMOS Latch CD 4017 BE Shifter Switch Clock Running LED Te</t>
  </si>
  <si>
    <t>IC 4094</t>
  </si>
  <si>
    <t>CD4094 BE CD4094BE</t>
  </si>
  <si>
    <t>Shift Register</t>
  </si>
  <si>
    <t>DIP16 16P 16 Pin Kaki 7 Segment 8 BIT 8BIT CD 4094 BE LED 7-Segment Latch CMOS 3 State Counter Output</t>
  </si>
  <si>
    <t>ITBisa - IC 4094 CD4094 BE CD4094BE DIP-16 Shift Register DIP16 16P 16 Pin Kaki 7 Segment 8 BIT 8BIT CD 4094 BE LED 7-Segment Latch CMOS 3 State Counter Output</t>
  </si>
  <si>
    <t>ITBisa - IC 4094 CD4094 BE CD4094BE DIP-16 Shift Register DIP16 16P 16</t>
  </si>
  <si>
    <t>ITBisa - IC 4094 CD4094 BE CD4094BE DIP-16 Shift Register DIP16 16P 16 Pin Kaki 7 Segment 8 BIT 8BIT CD 4094 BE LED 7-Segment Latch CMOS 3 State Count</t>
  </si>
  <si>
    <t>SMD CD4094 BM CD4094BM</t>
  </si>
  <si>
    <t>SOP-16</t>
  </si>
  <si>
    <t>SOP16 16P 16 Pin Kaki 7 Segment 8 BIT 8BIT CD 4094 BM LED 7-Segment Latch CMOS 3 State Counter Output</t>
  </si>
  <si>
    <t>#ITBisa #BisaElektronika #BisaIC #Socket #IC #Shifter #Shift #Register #7Segment #Segment #LED #Counter #SOP6 #SOP8 #SOP16 #Arduino #Breadboard #Mikrokontroler #Sensor #PCB</t>
  </si>
  <si>
    <t>ITBisa - IC 4094 SMD CD4094 BM CD4094BM SOP-16 Shift Register SOP16 16P 16 Pin Kaki 7 Segment 8 BIT 8BIT CD 4094 BM LED 7-Segment Latch CMOS 3 State Counter Output</t>
  </si>
  <si>
    <t>ITBisa - IC 4094 SMD CD4094 BM CD4094BM SOP-16 Shift Register SOP16 16</t>
  </si>
  <si>
    <t>ITBisa - IC 4094 SMD CD4094 BM CD4094BM SOP-16 Shift Register SOP16 16P 16 Pin Kaki 7 Segment 8 BIT 8BIT CD 4094 BM LED 7-Segment Latch CMOS 3 State C</t>
  </si>
  <si>
    <t>IC L7805CV</t>
  </si>
  <si>
    <t>L7805 7805 CV 7805CV</t>
  </si>
  <si>
    <t>3 Terminal TO-220</t>
  </si>
  <si>
    <t>Linear Voltage Regulator 5V</t>
  </si>
  <si>
    <t>5Volt 5 Volt Linier IC Power Supply Stabilizer TO220 TO 220</t>
  </si>
  <si>
    <t>ITBisa - IC L7805CV L7805 7805 CV 7805CV 3 Terminal TO-220 Linear Voltage Regulator 5V 5Volt 5 Volt Linier IC Power Supply Stabilizer TO220 TO 220</t>
  </si>
  <si>
    <t>ITBisa - IC L7805CV L7805 7805 CV 7805CV 3 Terminal TO-220 Linear Volt</t>
  </si>
  <si>
    <t>IC L7809CV</t>
  </si>
  <si>
    <t>L7809 7809 CV 7809CV</t>
  </si>
  <si>
    <t>ITBisa - IC L7809CV L7809 7809 CV 7809CV 3 Terminal TO-220 Linear Voltage Regulator 5V 5Volt 5 Volt Linier IC Power Supply Stabilizer TO220 TO 220</t>
  </si>
  <si>
    <t>ITBisa - IC L7809CV L7809 7809 CV 7809CV 3 Terminal TO-220 Linear Volt</t>
  </si>
  <si>
    <t>IC L7812CV</t>
  </si>
  <si>
    <t>L7812 7812 CV 7812CV</t>
  </si>
  <si>
    <t>Linear Voltage Regulator 12V</t>
  </si>
  <si>
    <t>12Volt 12 Volt Linier IC Power Supply Stabilizer TO220 TO 220</t>
  </si>
  <si>
    <t>ITBisa - IC L7812CV L7812 7812 CV 7812CV 3 Terminal TO-220 Linear Voltage Regulator 12V 12Volt 12 Volt Linier IC Power Supply Stabilizer TO220 TO 220</t>
  </si>
  <si>
    <t>ITBisa - IC L7812CV L7812 7812 CV 7812CV 3 Terminal TO-220 Linear Volt</t>
  </si>
  <si>
    <t>ITBISA-IC-L7815CV-TO220</t>
  </si>
  <si>
    <t>IC L7815CV</t>
  </si>
  <si>
    <t>L7815 7815 CV 7815CV</t>
  </si>
  <si>
    <t>Linear Voltage Regulator 15V</t>
  </si>
  <si>
    <t>15Volt 15 Volt Linier IC Power Supply Stabilizer TO220 TO 220</t>
  </si>
  <si>
    <t>ITBisa - IC L7815CV L7815 7815 CV 7815CV 3 Terminal TO-220 Linear Voltage Regulator 15V 15Volt 15 Volt Linier IC Power Supply Stabilizer TO220 TO 220</t>
  </si>
  <si>
    <t>ITBisa - IC L7815CV L7815 7815 CV 7815CV 3 Terminal TO-220 Linear Volt</t>
  </si>
  <si>
    <t>IC 741</t>
  </si>
  <si>
    <t>LM741CN</t>
  </si>
  <si>
    <t>DIP-8</t>
  </si>
  <si>
    <t>Op-Amp Filter Penguat LPF HPF BPF</t>
  </si>
  <si>
    <t>Integrated Circuit LM 741 LM741 Op Amp OpAmp 8 Pin Kaki DIP8 8DIP</t>
  </si>
  <si>
    <t>#ITBisa #BisaElektronika #BisaIC #Socket #IC #OpAmp #HPF #LPF #BPF #Filter #Amplifier #Inverting #DIP6 #DIP8 #DIP16 #Arduino #Breadboard #Mikrokontroler #Sensor #PCB</t>
  </si>
  <si>
    <t>ITBisa - IC 741 LM741CN DIP-8 Op-Amp Filter Penguat LPF HPF BPF Integrated Circuit LM 741 LM741 Op Amp OpAmp 8 Pin Kaki DIP8 8DIP</t>
  </si>
  <si>
    <t>ITBisa - IC 741 LM741CN DIP-8 Op-Amp Filter Penguat LPF HPF BPF Integr</t>
  </si>
  <si>
    <t>IC NE 555</t>
  </si>
  <si>
    <t>NE555P</t>
  </si>
  <si>
    <t>DIP 8 Pin Kaki DIP-8 DIP8 8DIP</t>
  </si>
  <si>
    <t>Timer Osilator Flip Flop DIP-8</t>
  </si>
  <si>
    <t>Oscillator Flip-Flop Integrated Circuit 8 Kaki</t>
  </si>
  <si>
    <t>ITBisa - IC NE 555 NE555P DIP 8 Pin Kaki DIP-8 DIP8 8DIP Timer Osilator Flip Flop DIP-8 Oscillator Flip-Flop Integrated Circuit 8 Kaki</t>
  </si>
  <si>
    <t>ITBisa - IC NE 555 NE555P DIP 8 Pin Kaki DIP-8 DIP8 8DIP Timer Osilato</t>
  </si>
  <si>
    <t>IC UA 741 CN</t>
  </si>
  <si>
    <t>UA741CN</t>
  </si>
  <si>
    <t>8 Pin DIP8</t>
  </si>
  <si>
    <t>Op Amp Filter Penguat LPF HPF BPF DIP-8</t>
  </si>
  <si>
    <t xml:space="preserve">8 Kaki UA741 OpAmp Op-Amp Integrated Circuit </t>
  </si>
  <si>
    <t>ITBisa - IC UA 741 CN UA741CN 8 Pin DIP8 Op Amp Filter Penguat LPF HPF BPF DIP-8 8 Kaki UA741 OpAmp Op-Amp Integrated Circuit</t>
  </si>
  <si>
    <t>ITBisa - IC UA 741 CN UA741CN 8 Pin DIP8 Op Amp Filter Penguat LPF HPF</t>
  </si>
  <si>
    <t>IC 2003</t>
  </si>
  <si>
    <t>ULN2003AN</t>
  </si>
  <si>
    <t>DIP16 DIP-16 16 Pin 16P</t>
  </si>
  <si>
    <t>Kanal Channel Darlington Driver Motor Stepper Control Kontrol</t>
  </si>
  <si>
    <t>ULN2003</t>
  </si>
  <si>
    <t>ITBisa - IC 2003 ULN2003AN DIP16 DIP-16 16 Pin 16P Kanal Channel Darlington Driver Motor Stepper Control Kontrol ULN2003</t>
  </si>
  <si>
    <t>ITBisa - IC 2003 ULN2003AN DIP16 DIP-16 16 Pin 16P Kanal Channel Darli</t>
  </si>
  <si>
    <t>IC 2803</t>
  </si>
  <si>
    <t>ULN2803APG</t>
  </si>
  <si>
    <t>DIP18 DIP-18 18 Pin 18P</t>
  </si>
  <si>
    <t>ULN2803</t>
  </si>
  <si>
    <t>#ITBisa #BisaElektronika #BisaIC #Socket #IC #OpAmp #HPF #LPF #BPF #Filter #Amplifier #Inverting #DIP6 #DIP8 #DIP16 #DIP18 #Arduino #Breadboard #Mikrokontroler #Sensor #PCB</t>
  </si>
  <si>
    <t>ITBisa - IC 2803 ULN2803APG DIP18 DIP-18 18 Pin 18P Kanal Channel Darlington Driver Motor Stepper Control Kontrol ULN2803</t>
  </si>
  <si>
    <t>ITBisa - IC 2803 ULN2803APG DIP18 DIP-18 18 Pin 18P Kanal Channel Darl</t>
  </si>
  <si>
    <t>40PCS Kabel Jumper</t>
  </si>
  <si>
    <t>10 cm Female to Female F-F FF F F 2.54mm</t>
  </si>
  <si>
    <t>Arduino Breadboard</t>
  </si>
  <si>
    <t>40 PCS 10cm Buah Pin 2.54 mm 2,54 mm 2,54mm Cable Rainbow Pelangi Sensor</t>
  </si>
  <si>
    <t>BisaElektronika - BisaKabel</t>
  </si>
  <si>
    <t>#ITBisa #BisaElektronika #BisaKabel #Kabel #Jumper #40PCS #Male #Female #FF #10cm #20cm #30cm #Arduino #Breadboard #2.54mm #Mikrokontroler #Sensor #Socket #IC #PCB</t>
  </si>
  <si>
    <t>ITBisa - 40PCS Kabel Jumper 10 cm Female to Female F-F FF F F 2.54mm Arduino Breadboard 40 PCS 10cm Buah Pin 2.54 mm 2,54 mm 2,54mm Cable Rainbow Pelangi Sensor</t>
  </si>
  <si>
    <t>ITBisa - 40PCS Kabel Jumper 10 cm Female to Female F-F FF F F 2.54mm A</t>
  </si>
  <si>
    <t>ITBisa - 40PCS Kabel Jumper 10 cm Female to Female F-F FF F F 2.54mm Arduino Breadboard 40 PCS 10cm Buah Pin 2.54 mm 2,54 mm 2,54mm Cable Rainbow Pela</t>
  </si>
  <si>
    <t>20 cm Female to Female F-F FF F F 2.54mm</t>
  </si>
  <si>
    <t>40 PCS 20cm Buah Pin 2.54 mm 2,54 mm 2,54mm Cable Rainbow Pelangi Sensor</t>
  </si>
  <si>
    <t>ITBisa - 40PCS Kabel Jumper 20 cm Female to Female F-F FF F F 2.54mm Arduino Breadboard 40 PCS 20cm Buah Pin 2.54 mm 2,54 mm 2,54mm Cable Rainbow Pelangi Sensor</t>
  </si>
  <si>
    <t>ITBisa - 40PCS Kabel Jumper 20 cm Female to Female F-F FF F F 2.54mm A</t>
  </si>
  <si>
    <t>ITBisa - 40PCS Kabel Jumper 20 cm Female to Female F-F FF F F 2.54mm Arduino Breadboard 40 PCS 20cm Buah Pin 2.54 mm 2,54 mm 2,54mm Cable Rainbow Pela</t>
  </si>
  <si>
    <t>10 cm Male to Female M-F MF M F 2.54mm</t>
  </si>
  <si>
    <t>#ITBisa #BisaElektronika #BisaKabel #Kabel #Jumper #40PCS #Male #Female #MF #10cm #20cm #30cm #Arduino #Breadboard #2.54mm #Mikrokontroler #Sensor #Socket #IC #PCB</t>
  </si>
  <si>
    <t>ITBisa - 40PCS Kabel Jumper 10 cm Male to Female M-F MF M F 2.54mm Arduino Breadboard 40 PCS 10cm Buah Pin 2.54 mm 2,54 mm 2,54mm Cable Rainbow Pelangi Sensor</t>
  </si>
  <si>
    <t>ITBisa - 40PCS Kabel Jumper 10 cm Male to Female M-F MF M F 2.54mm Ard</t>
  </si>
  <si>
    <t>ITBisa - 40PCS Kabel Jumper 10 cm Male to Female M-F MF M F 2.54mm Arduino Breadboard 40 PCS 10cm Buah Pin 2.54 mm 2,54 mm 2,54mm Cable Rainbow Pelang</t>
  </si>
  <si>
    <t>https://tokopedia.com/itbisa/itbisa-ic-4n35-optocoupler-phototransistor-photocoupler-dip6-6-pin</t>
  </si>
  <si>
    <t>20 cm Male to Female M-F MF M F 2.54mm</t>
  </si>
  <si>
    <t>ITBisa - 40PCS Kabel Jumper 20 cm Male to Female M-F MF M F 2.54mm Arduino Breadboard 40 PCS 20cm Buah Pin 2.54 mm 2,54 mm 2,54mm Cable Rainbow Pelangi Sensor</t>
  </si>
  <si>
    <t>ITBisa - 40PCS Kabel Jumper 20 cm Male to Female M-F MF M F 2.54mm Ard</t>
  </si>
  <si>
    <t>ITBisa - 40PCS Kabel Jumper 20 cm Male to Female M-F MF M F 2.54mm Arduino Breadboard 40 PCS 20cm Buah Pin 2.54 mm 2,54 mm 2,54mm Cable Rainbow Pelang</t>
  </si>
  <si>
    <t>10 cm Male to Male M-M MM M M 2.54mm</t>
  </si>
  <si>
    <t>#ITBisa #BisaElektronika #BisaKabel #Kabel #Jumper #40PCS #Male #Female #MM #10cm #20cm #30cm #Arduino #Breadboard #2.54mm #Mikrokontroler #Sensor #Socket #IC #PCB</t>
  </si>
  <si>
    <t>ITBisa - 40PCS Kabel Jumper 10 cm Male to Male M-M MM M M 2.54mm Arduino Breadboard 40 PCS 10cm Buah Pin 2.54 mm 2,54 mm 2,54mm Cable Rainbow Pelangi Sensor</t>
  </si>
  <si>
    <t>ITBisa - 40PCS Kabel Jumper 10 cm Male to Male M-M MM M M 2.54mm Ardui</t>
  </si>
  <si>
    <t xml:space="preserve">ITBisa - 40PCS Kabel Jumper 10 cm Male to Male M-M MM M M 2.54mm Arduino Breadboard 40 PCS 10cm Buah Pin 2.54 mm 2,54 mm 2,54mm Cable Rainbow Pelangi </t>
  </si>
  <si>
    <t>20 cm Male to Male M-M MM M M 2.54mm</t>
  </si>
  <si>
    <t>ITBisa - 40PCS Kabel Jumper 20 cm Male to Male M-M MM M M 2.54mm Arduino Breadboard 40 PCS 20cm Buah Pin 2.54 mm 2,54 mm 2,54mm Cable Rainbow Pelangi Sensor</t>
  </si>
  <si>
    <t>ITBisa - 40PCS Kabel Jumper 20 cm Male to Male M-M MM M M 2.54mm Ardui</t>
  </si>
  <si>
    <t xml:space="preserve">ITBisa - 40PCS Kabel Jumper 20 cm Male to Male M-M MM M M 2.54mm Arduino Breadboard 40 PCS 20cm Buah Pin 2.54 mm 2,54 mm 2,54mm Cable Rainbow Pelangi </t>
  </si>
  <si>
    <t>Motor Driver Stepper DC</t>
  </si>
  <si>
    <t>L298N Dual H Bridge</t>
  </si>
  <si>
    <t>With Heatsink</t>
  </si>
  <si>
    <t>Module Control Robot Car Arduino</t>
  </si>
  <si>
    <t>L 298 N Modul Kontrol High Power</t>
  </si>
  <si>
    <t>ITBisa - Motor Driver Stepper DC L298N Dual H Bridge With Heatsink Module Control Robot Car Arduino L 298 N Modul Kontrol High Power</t>
  </si>
  <si>
    <t>ITBisa - Motor Driver Stepper DC L298N Dual H Bridge With Heatsink Mod</t>
  </si>
  <si>
    <t>V3 CH340G</t>
  </si>
  <si>
    <t>Transistor</t>
  </si>
  <si>
    <t>BJT NPN 2N2222 A 2N2222A</t>
  </si>
  <si>
    <t>TO92 0.6A 30V</t>
  </si>
  <si>
    <t>Penguat Switch</t>
  </si>
  <si>
    <t>Transistors 2N 2222 TO 92 TO-92 0.6 Ampere 0,6A Op-Amp Op Amp Switching 30 V 30Volt Volt</t>
  </si>
  <si>
    <t>BisaElektronika - BisaTransistor</t>
  </si>
  <si>
    <t>#ITBisa #BisaElektronika #BisaTransistor #IC #Socket #Switch #Penguat #OpAmp #Op-Amp #Amplifier #BJT #MOSFET #NPN #PNP #TO-92 #TO92 #PCB #Arduino #Breadboard #Mikrokontroler</t>
  </si>
  <si>
    <t>ITBisa - Transistor BJT NPN 2N2222 A 2N2222A TO92 0.6A 30V Penguat Switch Transistors 2N 2222 TO 92 TO-92 0.6 Ampere 0,6A Op-Amp Op Amp Switching 30 V 30Volt Volt</t>
  </si>
  <si>
    <t>ITBisa - Transistor BJT NPN 2N2222 A 2N2222A TO92 0.6A 30V Penguat Swi</t>
  </si>
  <si>
    <t>ITBisa - Transistor BJT NPN 2N2222 A 2N2222A TO92 0.6A 30V Penguat Switch Transistors 2N 2222 TO 92 TO-92 0.6 Ampere 0,6A Op-Amp Op Amp Switching 30 V</t>
  </si>
  <si>
    <t>ITBISA-NPN-BC547A-TO92</t>
  </si>
  <si>
    <t>BJT NPN BC547</t>
  </si>
  <si>
    <t>TO-92 TO92</t>
  </si>
  <si>
    <t>Penguat Switch Amplifier</t>
  </si>
  <si>
    <t>ITBisa - Transistor BJT NPN BC547 TO-92 TO92 Penguat Switch Amplifier</t>
  </si>
  <si>
    <t>ITBISA-NPN-BC547C-TO92</t>
  </si>
  <si>
    <t>Oppo</t>
  </si>
  <si>
    <t>F9</t>
  </si>
  <si>
    <t>64GB 6GB Red Resmi</t>
  </si>
  <si>
    <t>Opo 64 GB 6 GB Merah</t>
  </si>
  <si>
    <t>BisaElektronik</t>
  </si>
  <si>
    <t>ITBisa - Oppo F9 64GB 6GB Red Resmi Opo 64 GB 6 GB Merah</t>
  </si>
  <si>
    <t>PCB</t>
  </si>
  <si>
    <t>Dot Matrix</t>
  </si>
  <si>
    <t>5X7 cm 432 Hole Single Side</t>
  </si>
  <si>
    <t>Universal Tembaga</t>
  </si>
  <si>
    <t>5 x 7 Copper Printed Circuit Board Protoboard DIY Lubang Bolong</t>
  </si>
  <si>
    <t>ITBisa - PCB Dot Matrix 5X7 cm 432 Hole Single Side Universal Tembaga 5 x 7 Copper Printed Circuit Board Protoboard DIY Lubang Bolong</t>
  </si>
  <si>
    <t xml:space="preserve">ITBisa - PCB Dot Matrix 5X7 cm 432 Hole Single Side Universal Tembaga </t>
  </si>
  <si>
    <t>Lampu Senter Bohlam Kuning Bulb</t>
  </si>
  <si>
    <t>E10 2.5V</t>
  </si>
  <si>
    <t>Drat Skrup Kecil</t>
  </si>
  <si>
    <t>Praktik Praktek Anak Sekolah</t>
  </si>
  <si>
    <t>2.5 V 2,5 V 2,5V Screw</t>
  </si>
  <si>
    <t>ITBisa - Lampu Senter Bohlam Kuning Bulb E10 2.5V Drat Skrup Kecil Praktik Praktek Anak Sekolah 2.5 V 2,5 V 2,5V Screw</t>
  </si>
  <si>
    <t>ITBisa - Lampu Senter Bohlam Kuning Bulb E10 2.5V Drat Skrup Kecil Pra</t>
  </si>
  <si>
    <t>E10 3.8V</t>
  </si>
  <si>
    <t>3.8 V 3,5 V 3,5V Screw</t>
  </si>
  <si>
    <t>ITBisa - Lampu Senter Bohlam Kuning Bulb E10 3.8V Drat Skrup Kecil Praktik Praktek Anak Sekolah 3.8 V 3,5 V 3,5V Screw</t>
  </si>
  <si>
    <t>ITBisa - Lampu Senter Bohlam Kuning Bulb E10 3.8V Drat Skrup Kecil Pra</t>
  </si>
  <si>
    <t>ITBISA-RESISTOR-120-1/4W</t>
  </si>
  <si>
    <t>Resistor</t>
  </si>
  <si>
    <t>100K 1/4W</t>
  </si>
  <si>
    <t>0.25W 5% Carbon Film Brown</t>
  </si>
  <si>
    <t>1/4 W 0.25 Watt Cokelat Coklat 100000 Ohm 100KOhm 100000Ohm 5 % Tolerance Resistance</t>
  </si>
  <si>
    <t>BisaElektronika - BisaResistor</t>
  </si>
  <si>
    <t>#ITBisa #BisaElektronika #BisaResistor #Elektronika #Resistor #Carbon #Metal #MetalFilm #Film #Blue #1% #5% #Tolerance #Ohm #Arduino #Mikrokontroler #IC #Digital #Breadboard #Sensor</t>
  </si>
  <si>
    <t>ITBisa - Resistor 100K 1/4W 0.25W 5% Carbon Film Brown 1/4 W 0.25 Watt Cokelat Coklat 100000 Ohm 100KOhm 100000Ohm 5 % Tolerance Resistance</t>
  </si>
  <si>
    <t>ITBisa - Resistor 100K 1/4W 0.25W 5% Carbon Film Brown 1/4 W 0.25 Watt</t>
  </si>
  <si>
    <t>10K 1/4W</t>
  </si>
  <si>
    <t>0.25W 1% Metal Film Blue</t>
  </si>
  <si>
    <t>1/4 W 0.25 Watt Biru 10000 Ohm 10KOhm 10000Ohm 1 % Tolerance Resistance</t>
  </si>
  <si>
    <t>ITBisa - Resistor 10K 1/4W 0.25W 1% Metal Film Blue 1/4 W 0.25 Watt Biru 10000 Ohm 10KOhm 10000Ohm 1 % Tolerance Resistance</t>
  </si>
  <si>
    <t>ITBisa - Resistor 10K 1/4W 0.25W 1% Metal Film Blue 1/4 W 0.25 Watt Bi</t>
  </si>
  <si>
    <t>15K 1/4W</t>
  </si>
  <si>
    <t>1/4 W 0.25 Watt Biru 15000 Ohm 15KOhm 15000Ohm 1 % Tolerance Resistance</t>
  </si>
  <si>
    <t>ITBisa - Resistor 15K 1/4W 0.25W 1% Metal Film Blue 1/4 W 0.25 Watt Biru 15000 Ohm 15KOhm 15000Ohm 1 % Tolerance Resistance</t>
  </si>
  <si>
    <t>ITBisa - Resistor 15K 1/4W 0.25W 1% Metal Film Blue 1/4 W 0.25 Watt Bi</t>
  </si>
  <si>
    <t>1K 1/4W</t>
  </si>
  <si>
    <t>1/4 W 0.25 Watt Biru 1000 Ohm 1KOhm 1000Ohm 1 % Tolerance Resistance</t>
  </si>
  <si>
    <t>ITBisa - Resistor 1K 1/4W 0.25W 1% Metal Film Blue 1/4 W 0.25 Watt Biru 1000 Ohm 1KOhm 1000Ohm 1 % Tolerance Resistance</t>
  </si>
  <si>
    <t>ITBisa - Resistor 1K 1/4W 0.25W 1% Metal Film Blue 1/4 W 0.25 Watt Bir</t>
  </si>
  <si>
    <t>ITBISA-RESISTOR-220K-1/4W</t>
  </si>
  <si>
    <t>22K 1/4W</t>
  </si>
  <si>
    <t>0.25W 5% Metal Film Blue</t>
  </si>
  <si>
    <t>1/4 W 0.25 Watt Biru 22000 Ohm 22KOhm 22000Ohm 5 % Tolerance Resistance</t>
  </si>
  <si>
    <t>ITBisa - Resistor 22K 1/4W 0.25W 5% Metal Film Blue 1/4 W 0.25 Watt Biru 22000 Ohm 22KOhm 22000Ohm 5 % Tolerance Resistance</t>
  </si>
  <si>
    <t>ITBisa - Resistor 22K 1/4W 0.25W 5% Metal Film Blue 1/4 W 0.25 Watt Bi</t>
  </si>
  <si>
    <t>https://www.bukalapak.com/p/elektronik/komponen-elektronik/3eycwsd-jual-itbisa-resistor-22k-0-25w-1-persen-toleransi-cokelat-metal-film-blue-0-25-w-watt-biru-22000-ohm-22kohm-22000ohm-1-percent-brown-tolerance</t>
  </si>
  <si>
    <t>https://tokopedia.com/itbisa/itbisa-resistor-22k-1-4w-0-25w-1-metal-film-blue-1-4-w-0-25-watt</t>
  </si>
  <si>
    <t>https://shopee.co.id/product/80492423/4438402579/</t>
  </si>
  <si>
    <t>27K 1/4W</t>
  </si>
  <si>
    <t>1/4 W 0.25 Watt Biru 27000 Ohm 27KOhm 27000Ohm 1 % Tolerance Resistance</t>
  </si>
  <si>
    <t>ITBisa - Resistor 27K 1/4W 0.25W 1% Metal Film Blue 1/4 W 0.25 Watt Biru 27000 Ohm 27KOhm 27000Ohm 1 % Tolerance Resistance</t>
  </si>
  <si>
    <t>ITBisa - Resistor 27K 1/4W 0.25W 1% Metal Film Blue 1/4 W 0.25 Watt Bi</t>
  </si>
  <si>
    <t>2K2 1/4W</t>
  </si>
  <si>
    <t>2.2K 1/4 W 0.25 Watt Biru 2200 Ohm 2K2Ohm 2.2KOhm 2200Ohm 5 % Tolerance Resistance</t>
  </si>
  <si>
    <t>ITBisa - Resistor 2K2 1/4W 0.25W 5% Metal Film Blue 2.2K 1/4 W 0.25 Watt Biru 2200 Ohm 2K2Ohm 2.2KOhm 2200Ohm 5 % Tolerance Resistance</t>
  </si>
  <si>
    <t>ITBisa - Resistor 2K2 1/4W 0.25W 5% Metal Film Blue 2.2K 1/4 W 0.25 Wa</t>
  </si>
  <si>
    <t>33K 1/4W</t>
  </si>
  <si>
    <t>1/4 W 0.25 Watt Biru 33000 Ohm 33KOhm 33000Ohm 5 % Tolerance Resistance</t>
  </si>
  <si>
    <t>ITBisa - Resistor 33K 1/4W 0.25W 5% Metal Film Blue 1/4 W 0.25 Watt Biru 33000 Ohm 33KOhm 33000Ohm 5 % Tolerance Resistance</t>
  </si>
  <si>
    <t>ITBisa - Resistor 33K 1/4W 0.25W 5% Metal Film Blue 1/4 W 0.25 Watt Bi</t>
  </si>
  <si>
    <t>3K3 1/4W</t>
  </si>
  <si>
    <t>3.3K 1/4 W 0.25 Watt Biru 3300 Ohm 3K3Ohm 3.3KOhm 3300Ohm 5 % Tolerance Resistance</t>
  </si>
  <si>
    <t>ITBisa - Resistor 3K3 1/4W 0.25W 5% Metal Film Blue 3.3K 1/4 W 0.25 Watt Biru 3300 Ohm 3K3Ohm 3.3KOhm 3300Ohm 5 % Tolerance Resistance</t>
  </si>
  <si>
    <t>ITBisa - Resistor 3K3 1/4W 0.25W 5% Metal Film Blue 3.3K 1/4 W 0.25 Wa</t>
  </si>
  <si>
    <t>ITBISA-RESISTOR-43K-1/4W</t>
  </si>
  <si>
    <t>470K 1/4W</t>
  </si>
  <si>
    <t>1/4 W 0.25 Watt Biru 470000 Ohm 470KOhm 470000Ohm 5 % Tolerance Resistance</t>
  </si>
  <si>
    <t>ITBisa - Resistor 470K 1/4W 0.25W 5% Metal Film Blue 1/4 W 0.25 Watt Biru 470000 Ohm 470KOhm 470000Ohm 5 % Tolerance Resistance</t>
  </si>
  <si>
    <t>ITBisa - Resistor 470K 1/4W 0.25W 5% Metal Film Blue 1/4 W 0.25 Watt B</t>
  </si>
  <si>
    <t>560 1/4W</t>
  </si>
  <si>
    <t>1/4 W 0.25 Watt Biru 560 Ohm 560Ohm 1 % Tolerance Resistance</t>
  </si>
  <si>
    <t>ITBisa - Resistor 560 1/4W 0.25W 1% Metal Film Blue 1/4 W 0.25 Watt Biru 560 Ohm 560Ohm 1 % Tolerance Resistance</t>
  </si>
  <si>
    <t>ITBisa - Resistor 560 1/4W 0.25W 1% Metal Film Blue 1/4 W 0.25 Watt Bi</t>
  </si>
  <si>
    <t>56K 1/4W</t>
  </si>
  <si>
    <t>1/4 W 0.25 Watt Biru 56000 Ohm 56KOhm 56000Ohm 1 % Tolerance Resistance</t>
  </si>
  <si>
    <t>ITBisa - Resistor 56K 1/4W 0.25W 1% Metal Film Blue 1/4 W 0.25 Watt Biru 56000 Ohm 56KOhm 56000Ohm 1 % Tolerance Resistance</t>
  </si>
  <si>
    <t>ITBisa - Resistor 56K 1/4W 0.25W 1% Metal Film Blue 1/4 W 0.25 Watt Bi</t>
  </si>
  <si>
    <t>5K6 1/4W</t>
  </si>
  <si>
    <t>1/4 W 0.25 Watt Biru 5600 Ohm 5K6Ohm 5600Ohm 1 % Tolerance Resistance</t>
  </si>
  <si>
    <t>ITBisa - Resistor 5K6 1/4W 0.25W 1% Metal Film Blue 1/4 W 0.25 Watt Biru 5600 Ohm 5K6Ohm 5600Ohm 1 % Tolerance Resistance</t>
  </si>
  <si>
    <t>ITBisa - Resistor 5K6 1/4W 0.25W 1% Metal Film Blue 1/4 W 0.25 Watt Bi</t>
  </si>
  <si>
    <t>680K 1/4W</t>
  </si>
  <si>
    <t>1/4 W 0.25 Watt Biru 680000 Ohm 680KOhm 680000Ohm 5 % Tolerance Resistance</t>
  </si>
  <si>
    <t>ITBisa - Resistor 680K 1/4W 0.25W 5% Metal Film Blue 1/4 W 0.25 Watt Biru 680000 Ohm 680KOhm 680000Ohm 5 % Tolerance Resistance</t>
  </si>
  <si>
    <t>ITBisa - Resistor 680K 1/4W 0.25W 5% Metal Film Blue 1/4 W 0.25 Watt B</t>
  </si>
  <si>
    <t>RTC</t>
  </si>
  <si>
    <t>DS3231M</t>
  </si>
  <si>
    <t>DS3231SN</t>
  </si>
  <si>
    <t>ITBISA-SOCKET-BATERAI-AA-1SLOT</t>
  </si>
  <si>
    <t>ITBISA-SOCKET-BATERAI-AA-3SLOT</t>
  </si>
  <si>
    <t>Socket IC</t>
  </si>
  <si>
    <t>DIP16 2x8 Narrow</t>
  </si>
  <si>
    <t>DIP 16 Pin 16P</t>
  </si>
  <si>
    <t>Soket DIP-16 2.54mm Dudukan 2,54mm</t>
  </si>
  <si>
    <t>16 Lubang 16-DIP Integrated Integrate Circuit 2 x 8 8x2 8 x 2</t>
  </si>
  <si>
    <t>BisaElektronika - BisaSocket</t>
  </si>
  <si>
    <t>#ITBisa #BisaElektronika #BisaSocket #Elektronika #Socket #Soket #IC #DIP16 #Solder #DIP-16 #16Pin #Narrow #Arduino #Mikrokontroler #PCB #DIP #Dudukan #Digital #Package #Chip</t>
  </si>
  <si>
    <t>ITBisa - Socket IC DIP16 2x8 Narrow DIP 16 Pin 16P Soket DIP-16 2.54mm Dudukan 2,54mm 16 Lubang 16-DIP Integrated Integrate Circuit 2 x 8 8x2 8 x 2</t>
  </si>
  <si>
    <t>ITBisa - Socket IC DIP16 2x8 Narrow DIP 16 Pin 16P Soket DIP-16 2.54mm</t>
  </si>
  <si>
    <t>DIP8 2x4 Narrow</t>
  </si>
  <si>
    <t>DIP 8 Pin 8P</t>
  </si>
  <si>
    <t>Soket DIP-8 2.54mm Dudukan 2,54mm</t>
  </si>
  <si>
    <t>8 Lubang 8-DIP Integrated Integrate Circuit 2 x 4 4x2 4 x 2</t>
  </si>
  <si>
    <t>#ITBisa #BisaElektronika #BisaSocket #Elektronika #Socket #Soket #IC #DIP8 #Solder #DIP-8 #8Pin #Narrow #Arduino #Mikrokontroler #PCB #DIP #Dudukan #Digital #Package #Chip</t>
  </si>
  <si>
    <t>ITBisa - Socket IC DIP8 2x4 Narrow DIP 8 Pin 8P Soket DIP-8 2.54mm Dudukan 2,54mm 8 Lubang 8-DIP Integrated Integrate Circuit 2 x 4 4x2 4 x 2</t>
  </si>
  <si>
    <t>ITBisa - Socket IC DIP8 2x4 Narrow DIP 8 Pin 8P Soket DIP-8 2.54mm Dud</t>
  </si>
  <si>
    <t>ITBISA-SOCKET-IC-DIP8-ROUNDHOLE</t>
  </si>
  <si>
    <t>DIP 8 Pin DIP8 8DIP</t>
  </si>
  <si>
    <t>2x4 Round Hole 2.54mm</t>
  </si>
  <si>
    <t>Dudukan</t>
  </si>
  <si>
    <t>Soket 8 Pin Lubang Lingkaran DIP-8 8-DIP Integrated Integrate Circuit</t>
  </si>
  <si>
    <t>ITBisa - Socket IC DIP 8 Pin DIP8 8DIP 2x4 Round Hole 2.54mm Dudukan Soket 8 Pin Lubang Lingkaran DIP-8 8-DIP Integrated Integrate Circuit</t>
  </si>
  <si>
    <t>ITBisa - Socket IC DIP 8 Pin DIP8 8DIP 2x4 Round Hole 2.54mm Dudukan S</t>
  </si>
  <si>
    <t>ITBisa -</t>
  </si>
  <si>
    <t>Senter Tiger Head</t>
  </si>
  <si>
    <t>NOS Jadul Ospek FT300 Klasik</t>
  </si>
  <si>
    <t>Lampu Cahaya Kuning</t>
  </si>
  <si>
    <t>Tembus Kabut</t>
  </si>
  <si>
    <t>Osjur Tigerhead Vintage Lama Classic Besi Stainless Logam</t>
  </si>
  <si>
    <t>ITBisa - Senter Tiger Head NOS Jadul Ospek FT300 Klasik Lampu Cahaya Kuning Tembus Kabut Osjur Tigerhead Vintage Lama Classic Besi Stainless Logam</t>
  </si>
  <si>
    <t>ITBisa - Senter Tiger Head NOS Jadul Ospek FT300 Klasik Lampu Cahaya K</t>
  </si>
  <si>
    <t>ITBISA-TONAMPTN-BARISANITB-SAINTEK</t>
  </si>
  <si>
    <t>Kabel USB 2.0</t>
  </si>
  <si>
    <t>A to B</t>
  </si>
  <si>
    <t>Biru 30cm</t>
  </si>
  <si>
    <t>Arduino 101 UNO Mega Printer</t>
  </si>
  <si>
    <t>Blue Data Cable 30 cm</t>
  </si>
  <si>
    <t>ITBisa - Kabel USB 2.0 A to B Biru 30cm Arduino 101 UNO Mega Printer Blue Data Cable 30 cm</t>
  </si>
  <si>
    <t>ITBisa - Kabel USB 2.0 A to B Biru 30cm Arduino 101 UNO Mega Printer B</t>
  </si>
  <si>
    <t>Biru 50cm</t>
  </si>
  <si>
    <t>Blue Data Cable 50 cm 480 Mbps</t>
  </si>
  <si>
    <t>ITBisa - Kabel USB 2.0 A to B Biru 50cm Arduino 101 UNO Mega Printer Blue Data Cable 50 cm 480 Mbps</t>
  </si>
  <si>
    <t>ITBisa - Kabel USB 2.0 A to B Biru 50cm Arduino 101 UNO Mega Printer B</t>
  </si>
  <si>
    <t>Senter NOS VYBA Bukan Tiger Head</t>
  </si>
  <si>
    <t>Jadul Ospek FT300 Klasik</t>
  </si>
  <si>
    <t>Osjur Lama Classic Besi Stainless Logam</t>
  </si>
  <si>
    <t>ITBisa - Senter NOS VYBA Bukan Tiger Head Jadul Ospek FT300 Klasik Lampu Cahaya Kuning Tembus Kabut Osjur Lama Classic Besi Stainless Logam</t>
  </si>
  <si>
    <t>ITBisa - Senter NOS VYBA Bukan Tiger Head Jadul Ospek FT300 Klasik Lam</t>
  </si>
  <si>
    <t>Jadul Ospek FT500 Klasik</t>
  </si>
  <si>
    <t>ITBisa - Senter NOS VYBA Bukan Tiger Head Jadul Ospek FT500 Klasik Lampu Cahaya Kuning Tembus Kabut Osjur Lama Classic Besi Stainless Logam</t>
  </si>
  <si>
    <t>ITBisa - Senter NOS VYBA Bukan Tiger Head Jadul Ospek FT500 Klasik Lam</t>
  </si>
  <si>
    <t>ITBISA-VYBA-SENTER-KUNING-FT700</t>
  </si>
  <si>
    <t>Xiaomi</t>
  </si>
  <si>
    <t>Redmi 6A</t>
  </si>
  <si>
    <t>16 GB 2 GB TAM</t>
  </si>
  <si>
    <t>ITBisa - Xiaomi Redmi 6A 16 GB 2 GB TAM</t>
  </si>
  <si>
    <t>Redmi Note 5A</t>
  </si>
  <si>
    <t>ITBisa - Xiaomi Redmi Note 5A 16 GB 2 GB TAM</t>
  </si>
  <si>
    <t>Smartband 2</t>
  </si>
  <si>
    <t>ITBisa - Xiaomi Smartband 2 Black</t>
  </si>
  <si>
    <t>ITBISA-ZENIUS-VOUCHER-1-BULAN</t>
  </si>
  <si>
    <t>Voucher Elektrik</t>
  </si>
  <si>
    <t>Zenius.net</t>
  </si>
  <si>
    <t>1 Bulan</t>
  </si>
  <si>
    <t>Belajar Online</t>
  </si>
  <si>
    <t>Vocer Zenius net</t>
  </si>
  <si>
    <t>BisaZenius</t>
  </si>
  <si>
    <t>ITBisa - Voucher Elektrik Zenius.net 1 Bulan Belajar Online Vocer Zenius net</t>
  </si>
  <si>
    <t>ITBisa - Voucher Elektrik Zenius.net 1 Bulan Belajar Online Vocer Zeni</t>
  </si>
  <si>
    <t>ITBISA-ZENIUS-VOUCHER-12-BULAN</t>
  </si>
  <si>
    <t>12 Bulan</t>
  </si>
  <si>
    <t>ITBisa - Voucher Elektrik Zenius.net 12 Bulan Belajar Online Vocer Zenius net</t>
  </si>
  <si>
    <t>ITBisa - Voucher Elektrik Zenius.net 12 Bulan Belajar Online Vocer Zen</t>
  </si>
  <si>
    <t>ITBISA-ZENIUS-VOUCHER-3-BULAN</t>
  </si>
  <si>
    <t>3 Bulan</t>
  </si>
  <si>
    <t>ITBisa - Voucher Elektrik Zenius.net 3 Bulan Belajar Online Vocer Zenius net</t>
  </si>
  <si>
    <t>ITBisa - Voucher Elektrik Zenius.net 3 Bulan Belajar Online Vocer Zeni</t>
  </si>
  <si>
    <t>ITBISA-ZENIUS-VOUCHER-6-BULAN</t>
  </si>
  <si>
    <t>6 Bulan</t>
  </si>
  <si>
    <t>ITBisa - Voucher Elektrik Zenius.net 6 Bulan Belajar Online Vocer Zenius net</t>
  </si>
  <si>
    <t>ITBisa - Voucher Elektrik Zenius.net 6 Bulan Belajar Online Vocer Zeni</t>
  </si>
  <si>
    <t>ITBISA-ZENIUS-VOUCHER-9-BULAN</t>
  </si>
  <si>
    <t>9 Bulan</t>
  </si>
  <si>
    <t>ITBisa - Voucher Elektrik Zenius.net 9 Bulan Belajar Online Vocer Zenius net</t>
  </si>
  <si>
    <t>ITBisa - Voucher Elektrik Zenius.net 9 Bulan Belajar Online Vocer Zeni</t>
  </si>
  <si>
    <t>ITBISA-ZENIUS-XPEDIA-ALUMNI-IPC</t>
  </si>
  <si>
    <t>Xpedia</t>
  </si>
  <si>
    <t>2.0 Alumni IPC</t>
  </si>
  <si>
    <t>Zenius net</t>
  </si>
  <si>
    <t>ITBisa - Xpedia Zenius.net 2.0 Alumni IPC Zenius net</t>
  </si>
  <si>
    <t>ITBISA-ZENIUS-XPEDIA-X-IPA</t>
  </si>
  <si>
    <t>2.0 X IPA</t>
  </si>
  <si>
    <t>ITBisa - Xpedia Zenius.net 2.0 X IPA Zenius net</t>
  </si>
  <si>
    <t>ITBISA-ZENIUS-XPEDIA-X-IPS</t>
  </si>
  <si>
    <t>2.0 X IPS</t>
  </si>
  <si>
    <t>ITBisa - Xpedia Zenius.net 2.0 X IPS Zenius net</t>
  </si>
  <si>
    <t>ITBISA-ZENIUS-XPEDIA-XI-IPA</t>
  </si>
  <si>
    <t>2.0 XI IPA</t>
  </si>
  <si>
    <t>ITBisa - Xpedia Zenius.net 2.0 XI IPA Zenius net</t>
  </si>
  <si>
    <t>ITBISA-ZENIUS-XPEDIA-XI-IPS</t>
  </si>
  <si>
    <t>2.0 XI IPS</t>
  </si>
  <si>
    <t>ITBisa - Xpedia Zenius.net 2.0 XI IPS Zenius net</t>
  </si>
  <si>
    <t>ITBISA-ZENIUS-XPEDIA-XII-IPA</t>
  </si>
  <si>
    <t>2.0 XII IPA</t>
  </si>
  <si>
    <t>ITBisa - Xpedia Zenius.net 2.0 XII IPA Zenius net</t>
  </si>
  <si>
    <t>ITBISA-ZENIUS-XPEDIA-XII-IPS</t>
  </si>
  <si>
    <t>2.0 XII IPS</t>
  </si>
  <si>
    <t>ITBisa - Xpedia Zenius.net 2.0 XII IPS Zenius net</t>
  </si>
  <si>
    <t>Level 1</t>
  </si>
  <si>
    <t>Level 2</t>
  </si>
  <si>
    <t>Elektronika</t>
  </si>
  <si>
    <t>IC</t>
  </si>
  <si>
    <t>Induktor</t>
  </si>
  <si>
    <t>Kabel</t>
  </si>
  <si>
    <t>Kapasitor</t>
  </si>
  <si>
    <t>Lampu</t>
  </si>
  <si>
    <t>Segment</t>
  </si>
  <si>
    <t>Socket</t>
  </si>
  <si>
    <t>Ospek</t>
  </si>
  <si>
    <t>Sarung Tangan</t>
  </si>
  <si>
    <t>Senter</t>
  </si>
  <si>
    <t>Syal</t>
  </si>
  <si>
    <t>Baterai</t>
  </si>
  <si>
    <t>Tanggal Beli</t>
  </si>
  <si>
    <t>Jenis
Transaksi
Debit</t>
  </si>
  <si>
    <t>Jenis
Transaksi
Kredit</t>
  </si>
  <si>
    <t>Nominal</t>
  </si>
  <si>
    <t>Perlengkapan Tape Cutter</t>
  </si>
  <si>
    <t>Kas ITBisa</t>
  </si>
  <si>
    <t>Tape Cutter Borma (Mahal?)</t>
  </si>
  <si>
    <t>Perlengkapan Bubble Wrap</t>
  </si>
  <si>
    <t>Bubble Wrap 50cmx1.25m</t>
  </si>
  <si>
    <t>Perlengkapan Baterai</t>
  </si>
  <si>
    <t>Aji membeli Baterai ABC Super Power size D, Testing Baterai ABC buat senter</t>
  </si>
  <si>
    <t>Perlengkapan Selotip</t>
  </si>
  <si>
    <t>Selotip Cokelat</t>
  </si>
  <si>
    <t>Perlengkapan Plastik Klip</t>
  </si>
  <si>
    <r>
      <rPr>
        <rFont val="arial,sans,sans-serif"/>
      </rPr>
      <t xml:space="preserve">1 x 1000 x </t>
    </r>
    <r>
      <rPr>
        <rFont val="arial,sans,sans-serif"/>
        <color rgb="FF1155CC"/>
        <u/>
      </rPr>
      <t>https://www.tokopedia.com/dwi-jaya/kantong-plastik-klip-3-cm-x-5-cm-isi-1000-pcs</t>
    </r>
  </si>
  <si>
    <r>
      <rPr>
        <rFont val="arial,sans,sans-serif"/>
      </rPr>
      <t xml:space="preserve">800 x </t>
    </r>
    <r>
      <rPr>
        <rFont val="arial,sans,sans-serif"/>
        <color rgb="FF1155CC"/>
        <u/>
      </rPr>
      <t>https://www.tokopedia.com/jayaplastik/plastik-klip-8x12-cm-termurah</t>
    </r>
  </si>
  <si>
    <t>Perlengkapan Keresek</t>
  </si>
  <si>
    <t>Beli Keresek/Plastik Hitam</t>
  </si>
  <si>
    <t>Beli Solasi/Selotip Bening</t>
  </si>
  <si>
    <t>Perlengkapan Lainnya</t>
  </si>
  <si>
    <t>Aji membeli Arduino dari ITBisa</t>
  </si>
  <si>
    <t>Lakban Bening</t>
  </si>
  <si>
    <t>Perlengkapan Gunting</t>
  </si>
  <si>
    <t>2x Gunting De Xian</t>
  </si>
  <si>
    <t>Perlengkapan Label</t>
  </si>
  <si>
    <t>2x1960 Label 113</t>
  </si>
  <si>
    <r>
      <rPr>
        <rFont val="arial,sans,sans-serif"/>
      </rPr>
      <t xml:space="preserve">2 x </t>
    </r>
    <r>
      <rPr>
        <rFont val="arial,sans,sans-serif"/>
        <color rgb="FF1155CC"/>
        <u/>
      </rPr>
      <t>https://www.tokopedia.com/gemilang888/kantong-plastik-klip-uk-10x15-cm-plastik-zipper-lock-plastik-obat</t>
    </r>
  </si>
  <si>
    <t>Perlengkapan Kardus</t>
  </si>
  <si>
    <r>
      <rPr>
        <rFont val="arial,sans,sans-serif"/>
      </rPr>
      <t xml:space="preserve">Kardus Packing </t>
    </r>
    <r>
      <rPr>
        <rFont val="arial,sans,sans-serif"/>
        <color rgb="FF1155CC"/>
        <u/>
      </rPr>
      <t>https://www.tokopedia.com/zenindah/kardus-karton-box-uk-10-x-10-x-20-cm-untuk-packing</t>
    </r>
  </si>
  <si>
    <r>
      <rPr>
        <rFont val="arial,sans,sans-serif"/>
      </rPr>
      <t xml:space="preserve">Lakban Packing </t>
    </r>
    <r>
      <rPr>
        <rFont val="arial,sans,sans-serif"/>
        <color rgb="FF1155CC"/>
        <u/>
      </rPr>
      <t>https://www.tokopedia.com/murahhematstore/lakban-bening-coklat-super-murah-coklat-promooo-45mm-x50y-rolll-putih</t>
    </r>
  </si>
  <si>
    <r>
      <rPr/>
      <t xml:space="preserve">2 x </t>
    </r>
    <r>
      <rPr>
        <color rgb="FF1155CC"/>
        <u/>
      </rPr>
      <t>https://www.tokopedia.com/tokopackaging/pe-klip-6x10-kantong-plastik-klip-bening-transparan-kemasan-obat-baju</t>
    </r>
    <r>
      <rPr/>
      <t xml:space="preserve">
5 x </t>
    </r>
    <r>
      <rPr>
        <color rgb="FF1155CC"/>
        <u/>
      </rPr>
      <t>https://www.tokopedia.com/tokopackaging/pe-klip-4x6-kantong-plastik-klip-bening-transparan-kemasan-obat-zipper</t>
    </r>
    <r>
      <rPr/>
      <t xml:space="preserve">
10 </t>
    </r>
    <r>
      <rPr>
        <color rgb="FF000000"/>
      </rPr>
      <t xml:space="preserve">x </t>
    </r>
    <r>
      <rPr>
        <color rgb="FF1155CC"/>
        <u/>
      </rPr>
      <t>https://www.tokopedia.com/tokopackaging/pe-klip-5x8-kantong-plastik-klip-bening-transparan-kemasan-obat-zipper</t>
    </r>
  </si>
  <si>
    <t>Perlengkapan Kertas</t>
  </si>
  <si>
    <r>
      <rPr/>
      <t xml:space="preserve">2 rim x </t>
    </r>
    <r>
      <rPr>
        <color rgb="FF1155CC"/>
        <u/>
      </rPr>
      <t>https://www.tokopedia.com/hqstationary/promo-kertas-hvs-a4-75gsm-ekon-copy-produk-paperone-1-rim</t>
    </r>
  </si>
  <si>
    <t>Beli Baterai ABC 2x</t>
  </si>
  <si>
    <r>
      <rPr>
        <rFont val="arial, sans, sans-serif"/>
      </rPr>
      <t xml:space="preserve">3 x </t>
    </r>
    <r>
      <rPr>
        <rFont val="arial, sans, sans-serif"/>
        <color rgb="FF1155CC"/>
        <u/>
      </rPr>
      <t>https://shopee.co.id/product/10970573/1853873359</t>
    </r>
  </si>
  <si>
    <t>Shopee Serba Fair</t>
  </si>
  <si>
    <r>
      <rPr>
        <rFont val="arial, sans, sans-serif"/>
      </rPr>
      <t xml:space="preserve">Ukuran 7x5x8 </t>
    </r>
    <r>
      <rPr>
        <rFont val="arial, sans, sans-serif"/>
        <color rgb="FF1155CC"/>
        <u/>
      </rPr>
      <t>https://tokopedia.link/XGyG4Ieyfxb</t>
    </r>
    <r>
      <rPr>
        <rFont val="arial, sans, sans-serif"/>
      </rPr>
      <t xml:space="preserve"> </t>
    </r>
  </si>
  <si>
    <r>
      <rPr>
        <rFont val="arial, sans, sans-serif"/>
      </rPr>
      <t xml:space="preserve">Ukuran 4x4x8 </t>
    </r>
    <r>
      <rPr>
        <rFont val="arial, sans, sans-serif"/>
        <color rgb="FF1155CC"/>
        <u/>
      </rPr>
      <t>https://tokopedia.link/K8AtqJfyfxb</t>
    </r>
    <r>
      <rPr>
        <rFont val="arial, sans, sans-serif"/>
      </rPr>
      <t xml:space="preserve"> </t>
    </r>
  </si>
  <si>
    <r>
      <rPr>
        <rFont val="arial, sans, sans-serif"/>
      </rPr>
      <t xml:space="preserve">Ukuran 10x7x5 </t>
    </r>
    <r>
      <rPr>
        <rFont val="arial, sans, sans-serif"/>
        <color rgb="FF1155CC"/>
        <u/>
      </rPr>
      <t>https://tokopedia.link/qup9nQgyfxb</t>
    </r>
    <r>
      <rPr>
        <rFont val="arial, sans, sans-serif"/>
      </rPr>
      <t xml:space="preserve"> </t>
    </r>
  </si>
  <si>
    <r>
      <rPr>
        <rFont val="arial, sans, sans-serif"/>
      </rPr>
      <t xml:space="preserve">Ukuran 6x6x12 </t>
    </r>
    <r>
      <rPr>
        <rFont val="arial, sans, sans-serif"/>
        <color rgb="FF1155CC"/>
        <u/>
      </rPr>
      <t>https://tokopedia.link/6vTecTjyfxb</t>
    </r>
    <r>
      <rPr>
        <rFont val="arial, sans, sans-serif"/>
      </rPr>
      <t xml:space="preserve"> </t>
    </r>
  </si>
  <si>
    <t>Perlengkapan Cutter</t>
  </si>
  <si>
    <r>
      <rPr>
        <rFont val="arial, sans, sans-serif"/>
      </rPr>
      <t xml:space="preserve">1 x Kenko L500 </t>
    </r>
    <r>
      <rPr>
        <rFont val="arial, sans, sans-serif"/>
        <color rgb="FF1155CC"/>
        <u/>
      </rPr>
      <t>https://tokopedia.link/fDyHQ37xfxb</t>
    </r>
  </si>
  <si>
    <r>
      <rPr>
        <rFont val="arial, sans, sans-serif"/>
      </rPr>
      <t xml:space="preserve">5 x Daimaru Selotip </t>
    </r>
    <r>
      <rPr>
        <rFont val="arial, sans, sans-serif"/>
        <color rgb="FF1155CC"/>
        <u/>
      </rPr>
      <t>https://tokopedia.link/58XuMW6xfxb</t>
    </r>
    <r>
      <rPr>
        <rFont val="arial, sans, sans-serif"/>
      </rPr>
      <t xml:space="preserve"> </t>
    </r>
  </si>
  <si>
    <r>
      <rPr>
        <rFont val="arial, sans, sans-serif"/>
      </rPr>
      <t xml:space="preserve">1 x Bubble Wrap 60cm x 50m </t>
    </r>
    <r>
      <rPr>
        <rFont val="arial, sans, sans-serif"/>
        <color rgb="FF1155CC"/>
        <u/>
      </rPr>
      <t>https://tokopedia.link/eOn43UAyfxb</t>
    </r>
    <r>
      <rPr>
        <rFont val="arial, sans, sans-serif"/>
      </rPr>
      <t xml:space="preserve"> </t>
    </r>
  </si>
  <si>
    <t>Beli Baterai ABC D Power 2x</t>
  </si>
  <si>
    <r>
      <rPr>
        <rFont val="arial, sans, sans-serif"/>
      </rPr>
      <t xml:space="preserve">17 x Plastik Klip 4x6 </t>
    </r>
    <r>
      <rPr>
        <rFont val="arial, sans, sans-serif"/>
        <color rgb="FF1155CC"/>
        <u/>
      </rPr>
      <t>https://tokopedia.link/FKWUltB9Kxb</t>
    </r>
    <r>
      <rPr>
        <rFont val="arial, sans, sans-serif"/>
      </rPr>
      <t xml:space="preserve"> </t>
    </r>
  </si>
  <si>
    <t>7 x Daimaru</t>
  </si>
  <si>
    <r>
      <rPr>
        <rFont val="arial, sans, sans-serif"/>
      </rPr>
      <t xml:space="preserve">1 x Bubble Wrap 60cm x 50m </t>
    </r>
    <r>
      <rPr>
        <rFont val="arial, sans, sans-serif"/>
        <color rgb="FF1155CC"/>
        <u/>
      </rPr>
      <t>https://tokopedia.link/eOn43UAyfxb</t>
    </r>
    <r>
      <rPr>
        <rFont val="arial, sans, sans-serif"/>
      </rPr>
      <t xml:space="preserve"> </t>
    </r>
  </si>
  <si>
    <t>5 x Daimaru Bening</t>
  </si>
  <si>
    <r>
      <rPr>
        <rFont val="arial, sans, sans-serif"/>
      </rPr>
      <t xml:space="preserve">Ukuran 4x4x8 </t>
    </r>
    <r>
      <rPr>
        <rFont val="arial, sans, sans-serif"/>
        <color rgb="FF1155CC"/>
        <u/>
      </rPr>
      <t>https://tokopedia.link/K8AtqJfyfxb</t>
    </r>
    <r>
      <rPr>
        <rFont val="arial, sans, sans-serif"/>
      </rPr>
      <t xml:space="preserve"> </t>
    </r>
  </si>
  <si>
    <t>2x Kenko L500</t>
  </si>
  <si>
    <t>30 x Kardus 7x5x8 + 25 x Kardus 10x7x5</t>
  </si>
  <si>
    <t>46 x Kardus 6x6x12</t>
  </si>
  <si>
    <r>
      <rPr>
        <rFont val="arial, sans, sans-serif"/>
      </rPr>
      <t xml:space="preserve">1 x Bubble Wrap 60cm x 50m </t>
    </r>
    <r>
      <rPr>
        <rFont val="arial, sans, sans-serif"/>
        <color rgb="FF1155CC"/>
        <u/>
      </rPr>
      <t>https://tokopedia.link/eOn43UAyfxb</t>
    </r>
    <r>
      <rPr>
        <rFont val="arial, sans, sans-serif"/>
      </rPr>
      <t xml:space="preserve"> </t>
    </r>
  </si>
  <si>
    <t>20 x 13x4x7.5 + 25 x 10x5x5  + 40 + 9 x 4.5 x 4.5</t>
  </si>
  <si>
    <t>6 Daimaru Cokelat</t>
  </si>
  <si>
    <t>3 x Daimaru Bening + 3 x Daimaru Cokelat</t>
  </si>
  <si>
    <t>5 x Daimaru Bening + 5 x Daimaru Cokelat</t>
  </si>
  <si>
    <t>1 x Bubble Wrap 60cm x 50 m Shopee Aji</t>
  </si>
  <si>
    <t>40 8 x 6x6x12</t>
  </si>
  <si>
    <t>7 x Daimaru Bening + 8 x Daimaru Cokelat</t>
  </si>
  <si>
    <t>7 x Darimau Cokelat + 1 x Daimaru Bening + 1 x Daimaru Bening 1 Inch</t>
  </si>
  <si>
    <t>1 x Bubble Wrap 60cm x 50 m Shopee Aji - Ciamis</t>
  </si>
  <si>
    <t>1 x Bubble Wrap 60cm x 50 m Shopee Aji - Cipinang</t>
  </si>
  <si>
    <t>3 x Daimaru Cokelat + 1 x Daimaru Bening - artija Tokopedia</t>
  </si>
  <si>
    <t>1 x Bubble Wrap 125cm x 50 m Shopee Aji - Ciamis</t>
  </si>
  <si>
    <t>20 x Daimaru Palsu Cokelat + 10 x Daimaru Palsu Bening - TOKO SANDIRA Shopee</t>
  </si>
  <si>
    <t>1 x Bubble Wrap</t>
  </si>
  <si>
    <t>1 Rim A5 x ATKStore Jombang Shopee</t>
  </si>
  <si>
    <t>15 x Daimaru Cokelat + 15 x Daimaru Bening - TOKO SANDIRA Shopee</t>
  </si>
  <si>
    <t>10 x Daimaru Cokelar + 9 x Daimaru Bening - TOKO SANDIRA Shopee</t>
  </si>
  <si>
    <t>Kertas HV A4 5 Rim - Jakarta x Nusantara Grosir ATK Shopee</t>
  </si>
  <si>
    <t>Kertas HVS 70 Gram A4 5 Rim - Ciamis x Toko Kertas WJP</t>
  </si>
  <si>
    <t>1 x Bubble Wrap 50m x 125cm</t>
  </si>
  <si>
    <t>10 x Daimaru Cokelar + 10 x Daimaru Bening - grosiredo Shopee</t>
  </si>
  <si>
    <t>115 x Kardus 12x6x6 - KARDUS MOUD Shopee</t>
  </si>
  <si>
    <t>2 x Plastik 4x6 - majuplastic Shopee</t>
  </si>
  <si>
    <t>Akun</t>
  </si>
  <si>
    <t>Referensi
(Kode Transaksi)</t>
  </si>
  <si>
    <t>Debit</t>
  </si>
  <si>
    <t>Kredit</t>
  </si>
  <si>
    <t>Piutang Bukalapak</t>
  </si>
  <si>
    <t>PIU-BisaStok-00209</t>
  </si>
  <si>
    <t/>
  </si>
  <si>
    <t xml:space="preserve">          Kas ITBisa</t>
  </si>
  <si>
    <t>KAS-BisaStok-00209</t>
  </si>
  <si>
    <t>Persediaan ITBISA-BUKAEMAS</t>
  </si>
  <si>
    <t>INV-BisaStok-00209</t>
  </si>
  <si>
    <t xml:space="preserve">          Piutang Bukalapak</t>
  </si>
  <si>
    <t>PIU-BisaStok-00224</t>
  </si>
  <si>
    <t>KAS-BisaStok-00224</t>
  </si>
  <si>
    <t>Persediaan ITBISA-BUKAREKSA-SYARIAH-MANDIRI-PASAR-UANG</t>
  </si>
  <si>
    <t>INV-BisaStok-00224</t>
  </si>
  <si>
    <t>Piutang Shopee</t>
  </si>
  <si>
    <t>PIU-BisaStok-00689</t>
  </si>
  <si>
    <t>KAS-BisaStok-00689</t>
  </si>
  <si>
    <t>Persediaan ITBISA-PONCO-GAJAH</t>
  </si>
  <si>
    <t>INV-BisaStok-00689</t>
  </si>
  <si>
    <t xml:space="preserve">          Piutang Shopee</t>
  </si>
  <si>
    <t>PIU-BisaStok-00208</t>
  </si>
  <si>
    <t>KAS-BisaStok-00208</t>
  </si>
  <si>
    <t>INV-BisaStok-00208</t>
  </si>
  <si>
    <t>Piutang AliExpress</t>
  </si>
  <si>
    <t>PIU-BisaStok-00517</t>
  </si>
  <si>
    <t>KAS-BisaStok-00517</t>
  </si>
  <si>
    <t>PIU-BisaStok-00518</t>
  </si>
  <si>
    <t>KAS-BisaStok-00518</t>
  </si>
  <si>
    <t>PIU-BisaStok-00519</t>
  </si>
  <si>
    <t>KAS-BisaStok-00519</t>
  </si>
  <si>
    <t>PIU-BisaStok-00520</t>
  </si>
  <si>
    <t>KAS-BisaStok-00520</t>
  </si>
  <si>
    <t>PIU-BisaStok-00521</t>
  </si>
  <si>
    <t>KAS-BisaStok-00521</t>
  </si>
  <si>
    <t>PIU-BisaStok-00522</t>
  </si>
  <si>
    <t>KAS-BisaStok-00522</t>
  </si>
  <si>
    <t>PIU-BisaStok-00523</t>
  </si>
  <si>
    <t>KAS-BisaStok-00523</t>
  </si>
  <si>
    <t>PIU-BisaStok-00549</t>
  </si>
  <si>
    <t>KAS-BisaStok-00549</t>
  </si>
  <si>
    <t>PIU-BisaStok-00550</t>
  </si>
  <si>
    <t>KAS-BisaStok-00550</t>
  </si>
  <si>
    <t>PIU-BisaStok-00551</t>
  </si>
  <si>
    <t>KAS-BisaStok-00551</t>
  </si>
  <si>
    <t>PIU-BisaStok-00552</t>
  </si>
  <si>
    <t>KAS-BisaStok-00552</t>
  </si>
  <si>
    <t>PIU-BisaStok-00484</t>
  </si>
  <si>
    <t>KAS-BisaStok-00484</t>
  </si>
  <si>
    <t>PIU-BisaStok-00485</t>
  </si>
  <si>
    <t>KAS-BisaStok-00485</t>
  </si>
  <si>
    <t>PIU-BisaStok-00486</t>
  </si>
  <si>
    <t>KAS-BisaStok-00486</t>
  </si>
  <si>
    <t>PIU-BisaStok-00487</t>
  </si>
  <si>
    <t>KAS-BisaStok-00487</t>
  </si>
  <si>
    <t>PIU-BisaStok-00488</t>
  </si>
  <si>
    <t>KAS-BisaStok-00488</t>
  </si>
  <si>
    <t>PIU-BisaStok-00489</t>
  </si>
  <si>
    <t>KAS-BisaStok-00489</t>
  </si>
  <si>
    <t>PIU-BisaStok-00223</t>
  </si>
  <si>
    <t>KAS-BisaStok-00223</t>
  </si>
  <si>
    <t>INV-BisaStok-00223</t>
  </si>
  <si>
    <t>PIU-BisaStok-00408</t>
  </si>
  <si>
    <t>KAS-BisaStok-00408</t>
  </si>
  <si>
    <t>PIU-BisaStok-00949</t>
  </si>
  <si>
    <t>KAS-BisaStok-00949</t>
  </si>
  <si>
    <t>PIU-BisaStok-00207</t>
  </si>
  <si>
    <t>KAS-BisaStok-00207</t>
  </si>
  <si>
    <t>INV-BisaStok-00207</t>
  </si>
  <si>
    <t>Piutang Local - Other</t>
  </si>
  <si>
    <t>PIU-BisaStok-00838</t>
  </si>
  <si>
    <t>KAS-BisaStok-00838</t>
  </si>
  <si>
    <t>Persediaan ITBISA-SALDO-KUNCI-BNI-SYARIAH</t>
  </si>
  <si>
    <t>INV-BisaStok-00838</t>
  </si>
  <si>
    <t xml:space="preserve">          Piutang Local - Other</t>
  </si>
  <si>
    <t>PIU-BisaStok-00840</t>
  </si>
  <si>
    <t>KAS-BisaStok-00840</t>
  </si>
  <si>
    <t>Persediaan ITBISA-SALDO-KUNCI-MANDIRI</t>
  </si>
  <si>
    <t>INV-BisaStok-00840</t>
  </si>
  <si>
    <t>PIU-BisaStok-00205</t>
  </si>
  <si>
    <t>KAS-BisaStok-00205</t>
  </si>
  <si>
    <t>INV-BisaStok-00205</t>
  </si>
  <si>
    <t>PIU-BisaStok-00206</t>
  </si>
  <si>
    <t>KAS-BisaStok-00206</t>
  </si>
  <si>
    <t>INV-BisaStok-00206</t>
  </si>
  <si>
    <t>PIU-BisaStok-00222</t>
  </si>
  <si>
    <t>KAS-BisaStok-00222</t>
  </si>
  <si>
    <t>INV-BisaStok-00222</t>
  </si>
  <si>
    <t>PIU-BisaStok-00957</t>
  </si>
  <si>
    <t>KAS-BisaStok-00957</t>
  </si>
  <si>
    <t>Persediaan ITBISA-TIGERHEAD-SENTER-KUNING-FT300</t>
  </si>
  <si>
    <t>INV-BisaStok-00957</t>
  </si>
  <si>
    <t>PIU-BisaStok-00563</t>
  </si>
  <si>
    <t>KAS-BisaStok-00563</t>
  </si>
  <si>
    <t>Persediaan ITBISA-KODE-UNIK</t>
  </si>
  <si>
    <t>INV-BisaStok-00563</t>
  </si>
  <si>
    <t>Persediaan ITBISA-JUMPER-MF-10CM</t>
  </si>
  <si>
    <t>INV-BisaStok-00517</t>
  </si>
  <si>
    <t xml:space="preserve">          Piutang AliExpress</t>
  </si>
  <si>
    <t>INV-BisaStok-00518</t>
  </si>
  <si>
    <t>INV-BisaStok-00519</t>
  </si>
  <si>
    <t>INV-BisaStok-00520</t>
  </si>
  <si>
    <t>INV-BisaStok-00521</t>
  </si>
  <si>
    <t>INV-BisaStok-00522</t>
  </si>
  <si>
    <t>INV-BisaStok-00523</t>
  </si>
  <si>
    <t>Piutang Tokopedia</t>
  </si>
  <si>
    <t>PIU-BisaStok-00842</t>
  </si>
  <si>
    <t>KAS-BisaStok-00842</t>
  </si>
  <si>
    <t>Persediaan ITBISA-JUMPER-MM-10CM</t>
  </si>
  <si>
    <t>INV-BisaStok-00549</t>
  </si>
  <si>
    <t>PIU-BisaStok-00950</t>
  </si>
  <si>
    <t>KAS-BisaStok-00950</t>
  </si>
  <si>
    <t>INV-BisaStok-00550</t>
  </si>
  <si>
    <t>INV-BisaStok-00551</t>
  </si>
  <si>
    <t>INV-BisaStok-00552</t>
  </si>
  <si>
    <t>Persediaan ITBISA-JUMPER-FF-10CM</t>
  </si>
  <si>
    <t>INV-BisaStok-00484</t>
  </si>
  <si>
    <t>INV-BisaStok-00485</t>
  </si>
  <si>
    <t>INV-BisaStok-00486</t>
  </si>
  <si>
    <t>INV-BisaStok-00487</t>
  </si>
  <si>
    <t>INV-BisaStok-00488</t>
  </si>
  <si>
    <t>INV-BisaStok-00489</t>
  </si>
  <si>
    <t>Persediaan ITBISA-SARUNG-TANGAN-KATUN</t>
  </si>
  <si>
    <t>INV-BisaStok-00842</t>
  </si>
  <si>
    <t xml:space="preserve">          Piutang Tokopedia</t>
  </si>
  <si>
    <t>Persediaan ITBISA-SYAL</t>
  </si>
  <si>
    <t>INV-BisaStok-00950</t>
  </si>
  <si>
    <t>DBT-BisaPerlengkapan-00003</t>
  </si>
  <si>
    <t>CRT-BisaPerlengkapan-00003</t>
  </si>
  <si>
    <t>PIU-BisaStok-00160</t>
  </si>
  <si>
    <t>KAS-BisaStok-00160</t>
  </si>
  <si>
    <t>PIU-BisaStok-00161</t>
  </si>
  <si>
    <t>KAS-BisaStok-00161</t>
  </si>
  <si>
    <t>PIU-BisaStok-00162</t>
  </si>
  <si>
    <t>KAS-BisaStok-00162</t>
  </si>
  <si>
    <t>PIU-BisaStok-00163</t>
  </si>
  <si>
    <t>KAS-BisaStok-00163</t>
  </si>
  <si>
    <t>DBT-BisaPerlengkapan-00004</t>
  </si>
  <si>
    <t>CRT-BisaPerlengkapan-00004</t>
  </si>
  <si>
    <t>PIU-BisaStok-00956</t>
  </si>
  <si>
    <t>KAS-BisaStok-00956</t>
  </si>
  <si>
    <t>DBT-BisaPerlengkapan-00005</t>
  </si>
  <si>
    <t>CRT-BisaPerlengkapan-00005</t>
  </si>
  <si>
    <t>PIU-BisaStok-00564</t>
  </si>
  <si>
    <t>KAS-BisaStok-00564</t>
  </si>
  <si>
    <t>Persediaan ITBISA-KUPLUK-HITAM</t>
  </si>
  <si>
    <t>INV-BisaStok-00564</t>
  </si>
  <si>
    <t>PIU-BisaStok-00955</t>
  </si>
  <si>
    <t>KAS-BisaStok-00955</t>
  </si>
  <si>
    <t>PIU-BisaStok-00843</t>
  </si>
  <si>
    <t>KAS-BisaStok-00843</t>
  </si>
  <si>
    <t>INV-BisaStok-00956</t>
  </si>
  <si>
    <t>INV-BisaStok-00955</t>
  </si>
  <si>
    <t>Piutang Toko Bali</t>
  </si>
  <si>
    <t>PIU-BisaStok-00137</t>
  </si>
  <si>
    <t>KAS-BisaStok-00137</t>
  </si>
  <si>
    <t>Persediaan ITBISA-ABC-BATERAI-D-BIRU</t>
  </si>
  <si>
    <t>INV-BisaStok-00137</t>
  </si>
  <si>
    <t xml:space="preserve">          Piutang Toko Bali</t>
  </si>
  <si>
    <t>Persediaan ITBISA-SARUNG-TANGAN-SPANDEX</t>
  </si>
  <si>
    <t>INV-BisaStok-00843</t>
  </si>
  <si>
    <t>Persediaan ITBISA-ABC-BATERAI-D-POWER</t>
  </si>
  <si>
    <t>INV-BisaStok-00160</t>
  </si>
  <si>
    <t>INV-BisaStok-00161</t>
  </si>
  <si>
    <t>INV-BisaStok-00162</t>
  </si>
  <si>
    <t>INV-BisaStok-00163</t>
  </si>
  <si>
    <t>Persediaan ITBISA-IC-NE555P-DIP8</t>
  </si>
  <si>
    <t>INV-BisaStok-00408</t>
  </si>
  <si>
    <t>Persediaan ITBISA-SOCKET-IC-DIP8-NARROW</t>
  </si>
  <si>
    <t>INV-BisaStok-00949</t>
  </si>
  <si>
    <t>PIU-BisaStok-00954</t>
  </si>
  <si>
    <t>KAS-BisaStok-00954</t>
  </si>
  <si>
    <t>INV-BisaStok-00954</t>
  </si>
  <si>
    <t>PIU-BisaStok-00204</t>
  </si>
  <si>
    <t>KAS-BisaStok-00204</t>
  </si>
  <si>
    <t>INV-BisaStok-00204</t>
  </si>
  <si>
    <t>PIU-BisaStok-00203</t>
  </si>
  <si>
    <t>KAS-BisaStok-00203</t>
  </si>
  <si>
    <t>INV-BisaStok-00203</t>
  </si>
  <si>
    <t>PIU-BisaStok-00836</t>
  </si>
  <si>
    <t>KAS-BisaStok-00836</t>
  </si>
  <si>
    <t>Persediaan ITBISA-SALDO-KUNCI-BCA-EXPRESI</t>
  </si>
  <si>
    <t>INV-BisaStok-00836</t>
  </si>
  <si>
    <t>PIU-BisaStok-00839</t>
  </si>
  <si>
    <t>KAS-BisaStok-00839</t>
  </si>
  <si>
    <t>Persediaan ITBISA-SALDO-KUNCI-BRI-BRITAMA-MUDA</t>
  </si>
  <si>
    <t>INV-BisaStok-00839</t>
  </si>
  <si>
    <t>PIU-BisaStok-00202</t>
  </si>
  <si>
    <t>KAS-BisaStok-00202</t>
  </si>
  <si>
    <t>INV-BisaStok-00202</t>
  </si>
  <si>
    <t>PIU-BisaStok-00221</t>
  </si>
  <si>
    <t>KAS-BisaStok-00221</t>
  </si>
  <si>
    <t>INV-BisaStok-00221</t>
  </si>
  <si>
    <t>Piutang Blibli</t>
  </si>
  <si>
    <t>PIU-BisaStok-01009</t>
  </si>
  <si>
    <t>KAS-BisaStok-01009</t>
  </si>
  <si>
    <t>PIU-BisaStok-01007</t>
  </si>
  <si>
    <t>KAS-BisaStok-01007</t>
  </si>
  <si>
    <t>Persediaan ITBISA-XIAOMI-REDMI-6A-TAM</t>
  </si>
  <si>
    <t>INV-BisaStok-01007</t>
  </si>
  <si>
    <t xml:space="preserve">          Piutang Blibli</t>
  </si>
  <si>
    <t>Persediaan ITBISA-XIAOMI-REDMI-NOTE-5A-TAM</t>
  </si>
  <si>
    <t>INV-BisaStok-01009</t>
  </si>
  <si>
    <t>DBT-BisaPerlengkapan-00006</t>
  </si>
  <si>
    <t>CRT-BisaPerlengkapan-00006</t>
  </si>
  <si>
    <t>PIU-BisaStok-00201</t>
  </si>
  <si>
    <t>KAS-BisaStok-00201</t>
  </si>
  <si>
    <t>INV-BisaStok-00201</t>
  </si>
  <si>
    <t>PIU-BisaStok-00407</t>
  </si>
  <si>
    <t>KAS-BisaStok-00407</t>
  </si>
  <si>
    <t>PIU-BisaStok-00033</t>
  </si>
  <si>
    <t>PIU-BisaStok-00433</t>
  </si>
  <si>
    <t>KAS-BisaStok-00033</t>
  </si>
  <si>
    <t>KAS-BisaStok-00433</t>
  </si>
  <si>
    <t>PIU-BisaStok-00034</t>
  </si>
  <si>
    <t>KAS-BisaStok-00034</t>
  </si>
  <si>
    <t>PIU-BisaStok-00064</t>
  </si>
  <si>
    <t>KAS-BisaStok-00064</t>
  </si>
  <si>
    <t>Persediaan ITBISA-7SEGMENT-ANODE-RED-0.56-1BIT</t>
  </si>
  <si>
    <t>INV-BisaStok-00033</t>
  </si>
  <si>
    <t>PIU-BisaStok-01011</t>
  </si>
  <si>
    <t>KAS-BisaStok-01011</t>
  </si>
  <si>
    <t>Persediaan ITBISA-XIAOMI-POWERBANK-2-10000MAH-SILVER</t>
  </si>
  <si>
    <t>INV-BisaStok-01006</t>
  </si>
  <si>
    <t>PIU-BisaStok-01006</t>
  </si>
  <si>
    <t>Persediaan ITBISA-XIAOMI-REDMI-NOTE-5-PRO-GOLD-TAM</t>
  </si>
  <si>
    <t>INV-BisaStok-01008</t>
  </si>
  <si>
    <t>PIU-BisaStok-01008</t>
  </si>
  <si>
    <t>Persediaan ITBISA-XIAOMI-SMARTBAND-2-BLACK</t>
  </si>
  <si>
    <t>INV-BisaStok-01010</t>
  </si>
  <si>
    <t>PIU-BisaStok-01010</t>
  </si>
  <si>
    <t>INV-BisaStok-01011</t>
  </si>
  <si>
    <t>Persediaan ITBISA-LOGITECH-F710</t>
  </si>
  <si>
    <t>INV-BisaStok-00612</t>
  </si>
  <si>
    <t>PIU-BisaStok-00612</t>
  </si>
  <si>
    <t>Persediaan ITBISA-SAMSUNG-850-EVO-500GB-BLACK</t>
  </si>
  <si>
    <t>INV-BisaStok-00841</t>
  </si>
  <si>
    <t>PIU-BisaStok-00841</t>
  </si>
  <si>
    <t>Persediaan ITBISA-OPPO-F9-64GB-6GB-RED-RESMI</t>
  </si>
  <si>
    <t>INV-BisaStok-00658</t>
  </si>
  <si>
    <t>PIU-BisaStok-00658</t>
  </si>
  <si>
    <t>Persediaan ITBISA-IGAME-GTX-1070-8GB-DDR5-X-TOP-TRIPLE-FAN</t>
  </si>
  <si>
    <t>INV-BisaStok-00460</t>
  </si>
  <si>
    <t>PIU-BisaStok-00460</t>
  </si>
  <si>
    <t>DBT-BisaPerlengkapan-00007</t>
  </si>
  <si>
    <t>1 x 1000 x https://www.tokopedia.com/dwi-jaya/kantong-plastik-klip-3-cm-x-5-cm-isi-1000-pcs</t>
  </si>
  <si>
    <t>CRT-BisaPerlengkapan-00007</t>
  </si>
  <si>
    <t>KAS-BisaStok-00460</t>
  </si>
  <si>
    <t>INV-BisaStok-00407</t>
  </si>
  <si>
    <t>Persediaan ITBISA-IC-UA741CN-DIP8</t>
  </si>
  <si>
    <t>INV-BisaStok-00433</t>
  </si>
  <si>
    <t>INV-BisaStok-00034</t>
  </si>
  <si>
    <t>Persediaan ITBISA-7SEGMENT-CATHODE-RED-0.56-1BIT</t>
  </si>
  <si>
    <t>INV-BisaStok-00064</t>
  </si>
  <si>
    <t>PIU-BisaStok-00213</t>
  </si>
  <si>
    <t>KAS-BisaStok-00213</t>
  </si>
  <si>
    <t>Persediaan ITBISA-BUKAREKSA-CIMB-PRINCIPAL-PASAR-UANG</t>
  </si>
  <si>
    <t>INV-BisaStok-00213</t>
  </si>
  <si>
    <t>PIU-BisaStok-00214</t>
  </si>
  <si>
    <t>KAS-BisaStok-00214</t>
  </si>
  <si>
    <t>INV-BisaStok-00214</t>
  </si>
  <si>
    <t>PIU-BisaStok-00215</t>
  </si>
  <si>
    <t>KAS-BisaStok-00215</t>
  </si>
  <si>
    <t>INV-BisaStok-00215</t>
  </si>
  <si>
    <t>PIU-BisaStok-00218</t>
  </si>
  <si>
    <t>KAS-BisaStok-00218</t>
  </si>
  <si>
    <t>KAS-BisaStok-01010</t>
  </si>
  <si>
    <t>KAS-BisaStok-00658</t>
  </si>
  <si>
    <t>KAS-BisaStok-01006</t>
  </si>
  <si>
    <t>KAS-BisaStok-00612</t>
  </si>
  <si>
    <t>KAS-BisaStok-01008</t>
  </si>
  <si>
    <t>KAS-BisaStok-00841</t>
  </si>
  <si>
    <t>PIU-BisaStok-00293</t>
  </si>
  <si>
    <t>KAS-BisaStok-00293</t>
  </si>
  <si>
    <t>Persediaan ITBISA-BUKAREKSA-SUCORINVEST-SHARIA-EQUITY-FUND</t>
  </si>
  <si>
    <t>INV-BisaStok-00218</t>
  </si>
  <si>
    <t>PIU-BisaStok-00696</t>
  </si>
  <si>
    <t>KAS-BisaStok-00696</t>
  </si>
  <si>
    <t>Persediaan ITBISA-EPSON-L310</t>
  </si>
  <si>
    <t>INV-BisaStok-00293</t>
  </si>
  <si>
    <t>Persediaan ITBISA-RAPID-BOHLAM-E10-2.5V-SCREW</t>
  </si>
  <si>
    <t>INV-BisaStok-00696</t>
  </si>
  <si>
    <t>PIU-BisaStok-00837</t>
  </si>
  <si>
    <t>KAS-BisaStok-00837</t>
  </si>
  <si>
    <t>Persediaan ITBISA-SALDO-KUNCI-BLIBLI</t>
  </si>
  <si>
    <t>INV-BisaStok-00837</t>
  </si>
  <si>
    <t>DBT-BisaPerlengkapan-00008</t>
  </si>
  <si>
    <t>800 x https://www.tokopedia.com/jayaplastik/plastik-klip-8x12-cm-termurah</t>
  </si>
  <si>
    <t>CRT-BisaPerlengkapan-00008</t>
  </si>
  <si>
    <t>PIU-BisaStok-00406</t>
  </si>
  <si>
    <t>KAS-BisaStok-00406</t>
  </si>
  <si>
    <t>PIU-BisaStok-00063</t>
  </si>
  <si>
    <t>KAS-BisaStok-00063</t>
  </si>
  <si>
    <t>PIU-BisaStok-00200</t>
  </si>
  <si>
    <t>KAS-BisaStok-00200</t>
  </si>
  <si>
    <t>INV-BisaStok-00200</t>
  </si>
  <si>
    <t>PIU-BisaStok-00212</t>
  </si>
  <si>
    <t>KAS-BisaStok-00212</t>
  </si>
  <si>
    <t>PIU-BisaStok-00220</t>
  </si>
  <si>
    <t>KAS-BisaStok-00220</t>
  </si>
  <si>
    <t>INV-BisaStok-00212</t>
  </si>
  <si>
    <t>INV-BisaStok-00220</t>
  </si>
  <si>
    <t>PIU-BisaStok-00635</t>
  </si>
  <si>
    <t>KAS-BisaStok-00635</t>
  </si>
  <si>
    <t>PIU-BisaStok-00175</t>
  </si>
  <si>
    <t>KAS-BisaStok-00175</t>
  </si>
  <si>
    <t>PIU-BisaStok-00176</t>
  </si>
  <si>
    <t>KAS-BisaStok-00176</t>
  </si>
  <si>
    <t>PIU-BisaStok-00177</t>
  </si>
  <si>
    <t>KAS-BisaStok-00177</t>
  </si>
  <si>
    <t>INV-BisaStok-00063</t>
  </si>
  <si>
    <t>INV-BisaStok-00406</t>
  </si>
  <si>
    <t>Beban Hilang ITBISA-IC-NE555P-DIP8</t>
  </si>
  <si>
    <t>BBN-BisaHilang-00003</t>
  </si>
  <si>
    <t xml:space="preserve">          Persediaan ITBISA-IC-NE555P-DIP8</t>
  </si>
  <si>
    <t>INV-BisaHilang-00003</t>
  </si>
  <si>
    <t>DBT-BisaPerlengkapan-00009</t>
  </si>
  <si>
    <t>CRT-BisaPerlengkapan-00009</t>
  </si>
  <si>
    <t>DBT-BisaPerlengkapan-00010</t>
  </si>
  <si>
    <t>CRT-BisaPerlengkapan-00010</t>
  </si>
  <si>
    <t>DBT-BisaPerlengkapan-00011</t>
  </si>
  <si>
    <t>CRT-BisaPerlengkapan-00011</t>
  </si>
  <si>
    <t>Persediaan ITBISA-NPN-2N2222-TO92</t>
  </si>
  <si>
    <t>INV-BisaStok-00635</t>
  </si>
  <si>
    <t>PIU-BisaStok-00210</t>
  </si>
  <si>
    <t>KAS-BisaStok-00210</t>
  </si>
  <si>
    <t>Persediaan ITBISA-BUKAREKSA-BAHANA-MES-SYARIAH</t>
  </si>
  <si>
    <t>INV-BisaStok-00210</t>
  </si>
  <si>
    <t>PIU-BisaStok-00262</t>
  </si>
  <si>
    <t>KAS-BisaStok-00262</t>
  </si>
  <si>
    <t>Persediaan ITBISA-CORSAIR-VENGEANCE-K66</t>
  </si>
  <si>
    <t>INV-BisaStok-00262</t>
  </si>
  <si>
    <t>PIU-BisaStok-00032</t>
  </si>
  <si>
    <t>KAS-BisaStok-00032</t>
  </si>
  <si>
    <t>PIU-BisaStok-00062</t>
  </si>
  <si>
    <t>KAS-BisaStok-00062</t>
  </si>
  <si>
    <t>PIU-BisaStok-00405</t>
  </si>
  <si>
    <t>KAS-BisaStok-00405</t>
  </si>
  <si>
    <t>Piutang URO Shop</t>
  </si>
  <si>
    <t>PIU-BisaStok-00031</t>
  </si>
  <si>
    <t>KAS-BisaStok-00031</t>
  </si>
  <si>
    <t>INV-BisaStok-00031</t>
  </si>
  <si>
    <t xml:space="preserve">          Piutang URO Shop</t>
  </si>
  <si>
    <t>PIU-BisaStok-00404</t>
  </si>
  <si>
    <t>KAS-BisaStok-00404</t>
  </si>
  <si>
    <t>PIU-BisaStok-00030</t>
  </si>
  <si>
    <t>KAS-BisaStok-00030</t>
  </si>
  <si>
    <t>INV-BisaStok-00030</t>
  </si>
  <si>
    <t>DBT-BisaPerlengkapan-00012</t>
  </si>
  <si>
    <t>CRT-BisaPerlengkapan-00012</t>
  </si>
  <si>
    <t>PIU-BisaStok-00634</t>
  </si>
  <si>
    <t>KAS-BisaStok-00634</t>
  </si>
  <si>
    <t>PIU-BisaStok-00633</t>
  </si>
  <si>
    <t>KAS-BisaStok-00633</t>
  </si>
  <si>
    <t>PIU-BisaStok-00948</t>
  </si>
  <si>
    <t>KAS-BisaStok-00948</t>
  </si>
  <si>
    <t>PIU-BisaStok-00947</t>
  </si>
  <si>
    <t>KAS-BisaStok-00947</t>
  </si>
  <si>
    <t>Beban Hilang ITBISA-JUMPER-FF-10CM</t>
  </si>
  <si>
    <t>BBN-BisaHilang-00005</t>
  </si>
  <si>
    <t xml:space="preserve">          Persediaan ITBISA-JUMPER-FF-10CM</t>
  </si>
  <si>
    <t>INV-BisaHilang-00005</t>
  </si>
  <si>
    <t>INV-BisaStok-00032</t>
  </si>
  <si>
    <t>INV-BisaStok-00947</t>
  </si>
  <si>
    <t>INV-BisaStok-00062</t>
  </si>
  <si>
    <t>INV-BisaHilang-00006</t>
  </si>
  <si>
    <t xml:space="preserve">          Bonus ITBISA-IC-NE555P-DIP8</t>
  </si>
  <si>
    <t>BNS-BisaHilang-00006</t>
  </si>
  <si>
    <t>INV-BisaHilang-00007</t>
  </si>
  <si>
    <t xml:space="preserve">          Bonus ITBISA-SOCKET-IC-DIP8-NARROW</t>
  </si>
  <si>
    <t>BNS-BisaHilang-00007</t>
  </si>
  <si>
    <t>Beban Hilang ITBISA-NPN-2N2222-TO92</t>
  </si>
  <si>
    <t>BBN-BisaHilang-00008</t>
  </si>
  <si>
    <t xml:space="preserve">          Persediaan ITBISA-NPN-2N2222-TO92</t>
  </si>
  <si>
    <t>INV-BisaHilang-00008</t>
  </si>
  <si>
    <t>Beban Hilang ITBISA-JUMPER-MF-10CM</t>
  </si>
  <si>
    <t>BBN-BisaHilang-00009</t>
  </si>
  <si>
    <t xml:space="preserve">          Persediaan ITBISA-JUMPER-MF-10CM</t>
  </si>
  <si>
    <t>INV-BisaHilang-00009</t>
  </si>
  <si>
    <t>INV-BisaStok-00948</t>
  </si>
  <si>
    <t>PIU-BisaStok-00548</t>
  </si>
  <si>
    <t>KAS-BisaStok-00548</t>
  </si>
  <si>
    <t>Beban Hilang ITBISA-ARDUINO-UNO-R3-CLONE-CABLE30CM</t>
  </si>
  <si>
    <t>BBN-BisaHilang-00010</t>
  </si>
  <si>
    <t xml:space="preserve">          Persediaan ITBISA-ARDUINO-UNO-R3-CLONE-CABLE30CM</t>
  </si>
  <si>
    <t>INV-BisaHilang-00010</t>
  </si>
  <si>
    <t>Persediaan ITBISA-ARDUINO-UNO-R3-328P-SMD</t>
  </si>
  <si>
    <t>INV-BisaHilang-00011</t>
  </si>
  <si>
    <t xml:space="preserve">          Bonus ITBISA-ARDUINO-UNO-R3-328P-SMD</t>
  </si>
  <si>
    <t>BNS-BisaHilang-00011</t>
  </si>
  <si>
    <t>Persediaan ITBISA-USB-A-TO-B-30CM</t>
  </si>
  <si>
    <t>INV-BisaHilang-00012</t>
  </si>
  <si>
    <t xml:space="preserve">          Bonus ITBISA-USB-A-TO-B-30CM</t>
  </si>
  <si>
    <t>BNS-BisaHilang-00012</t>
  </si>
  <si>
    <t>BBN-BisaHilang-00013</t>
  </si>
  <si>
    <t>INV-BisaHilang-00013</t>
  </si>
  <si>
    <t>INV-BisaHilang-00014</t>
  </si>
  <si>
    <t>BNS-BisaHilang-00014</t>
  </si>
  <si>
    <t>INV-BisaHilang-00015</t>
  </si>
  <si>
    <t>BNS-BisaHilang-00015</t>
  </si>
  <si>
    <t>Persediaan ITBISA-ARDUINO-UNO-R3-CLONE-CABLE30CM</t>
  </si>
  <si>
    <t>INV-BisaStok-00175</t>
  </si>
  <si>
    <t>INV-BisaStok-00177</t>
  </si>
  <si>
    <t>INV-BisaStok-00405</t>
  </si>
  <si>
    <t>PIU-BisaStok-00174</t>
  </si>
  <si>
    <t>KAS-BisaStok-00174</t>
  </si>
  <si>
    <t>PIU-BisaStok-00178</t>
  </si>
  <si>
    <t>KAS-BisaStok-00178</t>
  </si>
  <si>
    <t>DBT-BisaPerlengkapan-00013</t>
  </si>
  <si>
    <t>CRT-BisaPerlengkapan-00013</t>
  </si>
  <si>
    <t>PIU-BisaStok-00053</t>
  </si>
  <si>
    <t>KAS-BisaStok-00053</t>
  </si>
  <si>
    <t>BBN-BisaHilang-00017</t>
  </si>
  <si>
    <t>INV-BisaHilang-00017</t>
  </si>
  <si>
    <t>INV-BisaHilang-00018</t>
  </si>
  <si>
    <t>BNS-BisaHilang-00018</t>
  </si>
  <si>
    <t>INV-BisaHilang-00019</t>
  </si>
  <si>
    <t>BNS-BisaHilang-00019</t>
  </si>
  <si>
    <t>INV-BisaStok-00176</t>
  </si>
  <si>
    <t>INV-BisaStok-00548</t>
  </si>
  <si>
    <t>PIU-BisaStok-00432</t>
  </si>
  <si>
    <t>KAS-BisaStok-00432</t>
  </si>
  <si>
    <t>INV-BisaStok-00432</t>
  </si>
  <si>
    <t>Beban Hilang ITBISA-ARDUINO-UNO-R3-CLONE-CABLE50CM</t>
  </si>
  <si>
    <t>BBN-BisaHilang-00020</t>
  </si>
  <si>
    <t xml:space="preserve">          Persediaan ITBISA-ARDUINO-UNO-R3-CLONE-CABLE50CM</t>
  </si>
  <si>
    <t>INV-BisaHilang-00020</t>
  </si>
  <si>
    <t>INV-BisaHilang-00021</t>
  </si>
  <si>
    <t>BNS-BisaHilang-00021</t>
  </si>
  <si>
    <t>Persediaan ITBISA-USB-A-TO-B-50CM</t>
  </si>
  <si>
    <t>INV-BisaHilang-00022</t>
  </si>
  <si>
    <t xml:space="preserve">          Bonus ITBISA-USB-A-TO-B-50CM</t>
  </si>
  <si>
    <t>BNS-BisaHilang-00022</t>
  </si>
  <si>
    <t>INV-BisaStok-00633</t>
  </si>
  <si>
    <t>Persediaan ITBISA-7SEGMENT-ANODE-RED-2.30-1BIT</t>
  </si>
  <si>
    <t>INV-BisaStok-00053</t>
  </si>
  <si>
    <t>Persediaan ITBISA-ARDUINO-UNO-R3-CLONE-CABLE50CM</t>
  </si>
  <si>
    <t>INV-BisaStok-00178</t>
  </si>
  <si>
    <t>PIU-BisaStok-00061</t>
  </si>
  <si>
    <t>KAS-BisaStok-00061</t>
  </si>
  <si>
    <t>INV-BisaStok-00061</t>
  </si>
  <si>
    <t>PIU-BisaStok-00029</t>
  </si>
  <si>
    <t>KAS-BisaStok-00029</t>
  </si>
  <si>
    <t>INV-BisaStok-00029</t>
  </si>
  <si>
    <t>BBN-BisaHilang-00023</t>
  </si>
  <si>
    <t>INV-BisaHilang-00023</t>
  </si>
  <si>
    <t>INV-BisaHilang-00024</t>
  </si>
  <si>
    <t>BNS-BisaHilang-00024</t>
  </si>
  <si>
    <t>INV-BisaHilang-00025</t>
  </si>
  <si>
    <t>BNS-BisaHilang-00025</t>
  </si>
  <si>
    <t>PIU-BisaStok-00431</t>
  </si>
  <si>
    <t>KAS-BisaStok-00431</t>
  </si>
  <si>
    <t>INV-BisaStok-00174</t>
  </si>
  <si>
    <t>PIU-BisaStok-00028</t>
  </si>
  <si>
    <t>KAS-BisaStok-00028</t>
  </si>
  <si>
    <t>PIU-BisaStok-00060</t>
  </si>
  <si>
    <t>KAS-BisaStok-00060</t>
  </si>
  <si>
    <t>INV-BisaStok-00404</t>
  </si>
  <si>
    <t>BBN-BisaHilang-00026</t>
  </si>
  <si>
    <t>INV-BisaHilang-00026</t>
  </si>
  <si>
    <t>BBN-BisaHilang-00027</t>
  </si>
  <si>
    <t>INV-BisaHilang-00027</t>
  </si>
  <si>
    <t>INV-BisaHilang-00028</t>
  </si>
  <si>
    <t>BNS-BisaHilang-00028</t>
  </si>
  <si>
    <t>INV-BisaStok-00634</t>
  </si>
  <si>
    <t>PIU-BisaStok-00617</t>
  </si>
  <si>
    <t>KAS-BisaStok-00617</t>
  </si>
  <si>
    <t>PIU-BisaStok-00302</t>
  </si>
  <si>
    <t>KAS-BisaStok-00302</t>
  </si>
  <si>
    <t>PIU-BisaStok-00027</t>
  </si>
  <si>
    <t>KAS-BisaStok-00027</t>
  </si>
  <si>
    <t>INV-BisaStok-00027</t>
  </si>
  <si>
    <t>PIU-BisaStok-00059</t>
  </si>
  <si>
    <t>KAS-BisaStok-00059</t>
  </si>
  <si>
    <t>PIU-BisaStok-00159</t>
  </si>
  <si>
    <t>KAS-BisaStok-00159</t>
  </si>
  <si>
    <t>DBT-BisaPerlengkapan-00014</t>
  </si>
  <si>
    <t>CRT-BisaPerlengkapan-00014</t>
  </si>
  <si>
    <t>DBT-BisaPerlengkapan-00015</t>
  </si>
  <si>
    <t>CRT-BisaPerlengkapan-00015</t>
  </si>
  <si>
    <t>Persediaan ITBISA-MOTORDRIVER-L298N-WITH-HEATSINK</t>
  </si>
  <si>
    <t>INV-BisaStok-00617</t>
  </si>
  <si>
    <t>INV-BisaStok-00159</t>
  </si>
  <si>
    <t>PIU-BisaStok-00516</t>
  </si>
  <si>
    <t>KAS-BisaStok-00516</t>
  </si>
  <si>
    <t>PIU-BisaStok-00547</t>
  </si>
  <si>
    <t>KAS-BisaStok-00547</t>
  </si>
  <si>
    <t>PIU-BisaStok-00483</t>
  </si>
  <si>
    <t>KAS-BisaStok-00483</t>
  </si>
  <si>
    <t>INV-BisaStok-00059</t>
  </si>
  <si>
    <t>PIU-BisaStok-00211</t>
  </si>
  <si>
    <t>KAS-BisaStok-00211</t>
  </si>
  <si>
    <t>PIU-BisaStok-00219</t>
  </si>
  <si>
    <t>KAS-BisaStok-00219</t>
  </si>
  <si>
    <t>PIU-BisaStok-00216</t>
  </si>
  <si>
    <t>KAS-BisaStok-00216</t>
  </si>
  <si>
    <t>PIU-BisaStok-00430</t>
  </si>
  <si>
    <t>KAS-BisaStok-00430</t>
  </si>
  <si>
    <t>PIU-BisaStok-00374</t>
  </si>
  <si>
    <t>KAS-BisaStok-00374</t>
  </si>
  <si>
    <t>INV-BisaStok-00211</t>
  </si>
  <si>
    <t>Persediaan ITBISA-BUKAREKSA-MANDIRI-INVESTA-PASAR-UANG</t>
  </si>
  <si>
    <t>INV-BisaStok-00216</t>
  </si>
  <si>
    <t>INV-BisaStok-00219</t>
  </si>
  <si>
    <t>INV-BisaStok-00028</t>
  </si>
  <si>
    <t>INV-BisaStok-00431</t>
  </si>
  <si>
    <t>Persediaan ITBISA-IC-LM741CN-DIP8</t>
  </si>
  <si>
    <t>INV-BisaStok-00374</t>
  </si>
  <si>
    <t>INV-BisaStok-00547</t>
  </si>
  <si>
    <t>INV-BisaStok-00430</t>
  </si>
  <si>
    <t>INV-BisaStok-00060</t>
  </si>
  <si>
    <t>INV-BisaStok-00516</t>
  </si>
  <si>
    <t>INV-BisaStok-00483</t>
  </si>
  <si>
    <t>PIU-BisaStok-00616</t>
  </si>
  <si>
    <t>KAS-BisaStok-00616</t>
  </si>
  <si>
    <t>INV-BisaStok-00616</t>
  </si>
  <si>
    <t>PIU-BisaStok-00946</t>
  </si>
  <si>
    <t>KAS-BisaStok-00946</t>
  </si>
  <si>
    <t>PIU-BisaStok-00052</t>
  </si>
  <si>
    <t>KAS-BisaStok-00052</t>
  </si>
  <si>
    <t>PIU-BisaStok-00968</t>
  </si>
  <si>
    <t>KAS-BisaStok-00968</t>
  </si>
  <si>
    <t>INV-BisaStok-00946</t>
  </si>
  <si>
    <t>INV-BisaStok-00052</t>
  </si>
  <si>
    <t>INV-BisaStok-00968</t>
  </si>
  <si>
    <t>PIU-BisaStok-00515</t>
  </si>
  <si>
    <t>KAS-BisaStok-00515</t>
  </si>
  <si>
    <t>INV-BisaStok-00515</t>
  </si>
  <si>
    <t>PIU-BisaStok-00403</t>
  </si>
  <si>
    <t>KAS-BisaStok-00403</t>
  </si>
  <si>
    <t>PIU-BisaStok-00945</t>
  </si>
  <si>
    <t>KAS-BisaStok-00945</t>
  </si>
  <si>
    <t>Beban Hilang ITBISA-7SEGMENT-ANODE-RED-0.56-1BIT</t>
  </si>
  <si>
    <t>BBN-BisaHilang-00030</t>
  </si>
  <si>
    <t xml:space="preserve">          Persediaan ITBISA-7SEGMENT-ANODE-RED-0.56-1BIT</t>
  </si>
  <si>
    <t>INV-BisaHilang-00030</t>
  </si>
  <si>
    <t>Beban Hilang ITBISA-7SEGMENT-CATHODE-RED-0.56-1BIT</t>
  </si>
  <si>
    <t>BBN-BisaHilang-00031</t>
  </si>
  <si>
    <t xml:space="preserve">          Persediaan ITBISA-7SEGMENT-CATHODE-RED-0.56-1BIT</t>
  </si>
  <si>
    <t>INV-BisaHilang-00031</t>
  </si>
  <si>
    <t>BBN-BisaHilang-00032</t>
  </si>
  <si>
    <t>INV-BisaHilang-00032</t>
  </si>
  <si>
    <t>INV-BisaHilang-00033</t>
  </si>
  <si>
    <t xml:space="preserve">          Bonus ITBISA-ABC-BATERAI-D-POWER</t>
  </si>
  <si>
    <t>BNS-BisaHilang-00033</t>
  </si>
  <si>
    <t>INV-BisaHilang-00034</t>
  </si>
  <si>
    <t>BNS-BisaHilang-00034</t>
  </si>
  <si>
    <t>BBN-BisaHilang-00035</t>
  </si>
  <si>
    <t>INV-BisaHilang-00035</t>
  </si>
  <si>
    <t>Beban Hilang ITBISA-IC-UA741CN-DIP8</t>
  </si>
  <si>
    <t>BBN-BisaHilang-00036</t>
  </si>
  <si>
    <t xml:space="preserve">          Persediaan ITBISA-IC-UA741CN-DIP8</t>
  </si>
  <si>
    <t>INV-BisaHilang-00036</t>
  </si>
  <si>
    <t>INV-BisaHilang-00037</t>
  </si>
  <si>
    <t xml:space="preserve">          Bonus ITBISA-JUMPER-FF-10CM</t>
  </si>
  <si>
    <t>BNS-BisaHilang-00037</t>
  </si>
  <si>
    <t>BBN-BisaHilang-00038</t>
  </si>
  <si>
    <t>INV-BisaHilang-00038</t>
  </si>
  <si>
    <t>INV-BisaHilang-00039</t>
  </si>
  <si>
    <t>BNS-BisaHilang-00039</t>
  </si>
  <si>
    <t>INV-BisaHilang-00040</t>
  </si>
  <si>
    <t xml:space="preserve">          Bonus ITBISA-JUMPER-MF-10CM</t>
  </si>
  <si>
    <t>BNS-BisaHilang-00040</t>
  </si>
  <si>
    <t>BBN-BisaHilang-00041</t>
  </si>
  <si>
    <t>INV-BisaHilang-00041</t>
  </si>
  <si>
    <t>Beban Hilang ITBISA-SOCKET-IC-DIP8-NARROW</t>
  </si>
  <si>
    <t>BBN-BisaHilang-00042</t>
  </si>
  <si>
    <t xml:space="preserve">          Persediaan ITBISA-SOCKET-IC-DIP8-NARROW</t>
  </si>
  <si>
    <t>INV-BisaHilang-00042</t>
  </si>
  <si>
    <t>PIU-BisaStok-00026</t>
  </si>
  <si>
    <t>KAS-BisaStok-00026</t>
  </si>
  <si>
    <t>PIU-BisaStok-00615</t>
  </si>
  <si>
    <t>KAS-BisaStok-00615</t>
  </si>
  <si>
    <t>PIU-BisaStok-00669</t>
  </si>
  <si>
    <t>KAS-BisaStok-00669</t>
  </si>
  <si>
    <t>PIU-BisaStok-00158</t>
  </si>
  <si>
    <t>KAS-BisaStok-00158</t>
  </si>
  <si>
    <t>INV-BisaStok-00403</t>
  </si>
  <si>
    <t>INV-BisaStok-00615</t>
  </si>
  <si>
    <t>INV-BisaStok-00026</t>
  </si>
  <si>
    <t>INV-BisaStok-00945</t>
  </si>
  <si>
    <t>INV-BisaStok-00158</t>
  </si>
  <si>
    <t>PIU-BisaStok-00990</t>
  </si>
  <si>
    <t>KAS-BisaStok-00990</t>
  </si>
  <si>
    <t>PIU-BisaStok-00991</t>
  </si>
  <si>
    <t>KAS-BisaStok-00991</t>
  </si>
  <si>
    <t>Persediaan ITBISA-IC-4N35-DIP6-WHITE</t>
  </si>
  <si>
    <t>INV-BisaStok-00302</t>
  </si>
  <si>
    <t>Persediaan ITBISA-PCB-5X7-COPPER-SINGLE-SIDE</t>
  </si>
  <si>
    <t>INV-BisaStok-00669</t>
  </si>
  <si>
    <t>PIU-BisaStok-00988</t>
  </si>
  <si>
    <t>KAS-BisaStok-00988</t>
  </si>
  <si>
    <t>PIU-BisaStok-00989</t>
  </si>
  <si>
    <t>KAS-BisaStok-00989</t>
  </si>
  <si>
    <t>Persediaan ITBISA-VYBA-SENTER-KUNING-FT300</t>
  </si>
  <si>
    <t>INV-BisaStok-00990</t>
  </si>
  <si>
    <t>INV-BisaStok-00991</t>
  </si>
  <si>
    <t>INV-BisaStok-00988</t>
  </si>
  <si>
    <t>INV-BisaStok-00989</t>
  </si>
  <si>
    <t>INV-BisaHilang-00044</t>
  </si>
  <si>
    <t xml:space="preserve">          Bonus ITBISA-TIGERHEAD-SENTER-KUNING-FT300</t>
  </si>
  <si>
    <t>BNS-BisaHilang-00044</t>
  </si>
  <si>
    <t>PIU-BisaStok-00025</t>
  </si>
  <si>
    <t>KAS-BisaStok-00025</t>
  </si>
  <si>
    <t>PIU-BisaStok-00058</t>
  </si>
  <si>
    <t>KAS-BisaStok-00058</t>
  </si>
  <si>
    <t>PIU-BisaStok-00217</t>
  </si>
  <si>
    <t>KAS-BisaStok-00217</t>
  </si>
  <si>
    <t>INV-BisaStok-00217</t>
  </si>
  <si>
    <t>INV-BisaStok-00025</t>
  </si>
  <si>
    <t>INV-BisaStok-00058</t>
  </si>
  <si>
    <t>PIU-BisaStok-00402</t>
  </si>
  <si>
    <t>KAS-BisaStok-00402</t>
  </si>
  <si>
    <t>PIU-BisaStok-00944</t>
  </si>
  <si>
    <t>KAS-BisaStok-00944</t>
  </si>
  <si>
    <t>INV-BisaStok-00402</t>
  </si>
  <si>
    <t>INV-BisaStok-00944</t>
  </si>
  <si>
    <t>PIU-BisaStok-00535</t>
  </si>
  <si>
    <t>KAS-BisaStok-00535</t>
  </si>
  <si>
    <t>PIU-BisaStok-00695</t>
  </si>
  <si>
    <t>KAS-BisaStok-00695</t>
  </si>
  <si>
    <t>PIU-BisaStok-00802</t>
  </si>
  <si>
    <t>KAS-BisaStok-00802</t>
  </si>
  <si>
    <t>PIU-BisaStok-00746</t>
  </si>
  <si>
    <t>KAS-BisaStok-00746</t>
  </si>
  <si>
    <t>PIU-BisaStok-00750</t>
  </si>
  <si>
    <t>KAS-BisaStok-00750</t>
  </si>
  <si>
    <t>PIU-BisaStok-00770</t>
  </si>
  <si>
    <t>KAS-BisaStok-00770</t>
  </si>
  <si>
    <t>PIU-BisaStok-00780</t>
  </si>
  <si>
    <t>KAS-BisaStok-00780</t>
  </si>
  <si>
    <t>PIU-BisaStok-00795</t>
  </si>
  <si>
    <t>KAS-BisaStok-00795</t>
  </si>
  <si>
    <t>INV-BisaStok-00695</t>
  </si>
  <si>
    <t>Persediaan ITBISA-RESISTOR-4K7-1/4W</t>
  </si>
  <si>
    <t>INV-BisaStok-00802</t>
  </si>
  <si>
    <t>Persediaan ITBISA-RESISTOR-100K-1/4W</t>
  </si>
  <si>
    <t>INV-BisaStok-00746</t>
  </si>
  <si>
    <t>Persediaan ITBISA-RESISTOR-10K-1/4W</t>
  </si>
  <si>
    <t>INV-BisaStok-00750</t>
  </si>
  <si>
    <t>Persediaan ITBISA-RESISTOR-22K-1/4W</t>
  </si>
  <si>
    <t>INV-BisaStok-00770</t>
  </si>
  <si>
    <t>Persediaan ITBISA-RESISTOR-2K2-1/4W</t>
  </si>
  <si>
    <t>INV-BisaStok-00780</t>
  </si>
  <si>
    <t>Persediaan ITBISA-RESISTOR-3K3-1/4W</t>
  </si>
  <si>
    <t>INV-BisaStok-00795</t>
  </si>
  <si>
    <t>Persediaan ITBISA-JUMPER-MF-20CM</t>
  </si>
  <si>
    <t>INV-BisaStok-00535</t>
  </si>
  <si>
    <t>PIU-BisaStok-00514</t>
  </si>
  <si>
    <t>KAS-BisaStok-00514</t>
  </si>
  <si>
    <t>PIU-BisaStok-00546</t>
  </si>
  <si>
    <t>KAS-BisaStok-00546</t>
  </si>
  <si>
    <t>PIU-BisaStok-00482</t>
  </si>
  <si>
    <t>KAS-BisaStok-00482</t>
  </si>
  <si>
    <t>PIU-BisaStok-00561</t>
  </si>
  <si>
    <t>KAS-BisaStok-00561</t>
  </si>
  <si>
    <t>PIU-BisaStok-00534</t>
  </si>
  <si>
    <t>KAS-BisaStok-00534</t>
  </si>
  <si>
    <t>PIU-BisaStok-00498</t>
  </si>
  <si>
    <t>KAS-BisaStok-00498</t>
  </si>
  <si>
    <t>PIU-BisaStok-00024</t>
  </si>
  <si>
    <t>KAS-BisaStok-00024</t>
  </si>
  <si>
    <t>PIU-BisaStok-00057</t>
  </si>
  <si>
    <t>KAS-BisaStok-00057</t>
  </si>
  <si>
    <t>INV-BisaStok-00514</t>
  </si>
  <si>
    <t>INV-BisaStok-00534</t>
  </si>
  <si>
    <t>INV-BisaStok-00546</t>
  </si>
  <si>
    <t>Persediaan ITBISA-JUMPER-MM-20CM</t>
  </si>
  <si>
    <t>INV-BisaStok-00561</t>
  </si>
  <si>
    <t>INV-BisaStok-00482</t>
  </si>
  <si>
    <t>Persediaan ITBISA-JUMPER-FF-20CM</t>
  </si>
  <si>
    <t>INV-BisaStok-00498</t>
  </si>
  <si>
    <t>PIU-BisaStok-00023</t>
  </si>
  <si>
    <t>KAS-BisaStok-00023</t>
  </si>
  <si>
    <t>PIU-BisaStok-00056</t>
  </si>
  <si>
    <t>KAS-BisaStok-00056</t>
  </si>
  <si>
    <t>PIU-BisaStok-00545</t>
  </si>
  <si>
    <t>KAS-BisaStok-00545</t>
  </si>
  <si>
    <t>INV-BisaStok-00545</t>
  </si>
  <si>
    <t>INV-BisaStok-00024</t>
  </si>
  <si>
    <t>INV-BisaStok-00057</t>
  </si>
  <si>
    <t>PIU-BisaStok-00544</t>
  </si>
  <si>
    <t>KAS-BisaStok-00544</t>
  </si>
  <si>
    <t>INV-BisaStok-00023</t>
  </si>
  <si>
    <t>INV-BisaStok-00056</t>
  </si>
  <si>
    <t>PIU-BisaStok-00401</t>
  </si>
  <si>
    <t>KAS-BisaStok-00401</t>
  </si>
  <si>
    <t>BBN-BisaHilang-00046</t>
  </si>
  <si>
    <t>INV-BisaHilang-00046</t>
  </si>
  <si>
    <t>INV-BisaHilang-00047</t>
  </si>
  <si>
    <t>BNS-BisaHilang-00047</t>
  </si>
  <si>
    <t>INV-BisaStok-00544</t>
  </si>
  <si>
    <t>DBT-BisaPerlengkapan-00016</t>
  </si>
  <si>
    <t>2 x https://www.tokopedia.com/gemilang888/kantong-plastik-klip-uk-10x15-cm-plastik-zipper-lock-plastik-obat</t>
  </si>
  <si>
    <t>CRT-BisaPerlengkapan-00016</t>
  </si>
  <si>
    <t>INV-BisaStok-00401</t>
  </si>
  <si>
    <t>INV-BisaHilang-00049</t>
  </si>
  <si>
    <t>BNS-BisaHilang-00049</t>
  </si>
  <si>
    <t>INV-BisaHilang-00051</t>
  </si>
  <si>
    <t xml:space="preserve">          Bonus ITBISA-7SEGMENT-ANODE-RED-0.56-1BIT</t>
  </si>
  <si>
    <t>BNS-BisaHilang-00051</t>
  </si>
  <si>
    <t>INV-BisaHilang-00052</t>
  </si>
  <si>
    <t>BNS-BisaHilang-00052</t>
  </si>
  <si>
    <t>INV-BisaHilang-00053</t>
  </si>
  <si>
    <t xml:space="preserve">          Bonus ITBISA-MOTORDRIVER-L298N-WITH-HEATSINK</t>
  </si>
  <si>
    <t>BNS-BisaHilang-00053</t>
  </si>
  <si>
    <t>INV-BisaHilang-00054</t>
  </si>
  <si>
    <t xml:space="preserve">          Bonus ITBISA-7SEGMENT-ANODE-RED-2.30-1BIT</t>
  </si>
  <si>
    <t>BNS-BisaHilang-00054</t>
  </si>
  <si>
    <t>INV-BisaHilang-00056</t>
  </si>
  <si>
    <t>BNS-BisaHilang-00056</t>
  </si>
  <si>
    <t>INV-BisaHilang-00057</t>
  </si>
  <si>
    <t xml:space="preserve">          Bonus ITBISA-7SEGMENT-CATHODE-RED-0.56-1BIT</t>
  </si>
  <si>
    <t>BNS-BisaHilang-00057</t>
  </si>
  <si>
    <t>BBN-BisaHilang-00058</t>
  </si>
  <si>
    <t>INV-BisaHilang-00058</t>
  </si>
  <si>
    <t>BBN-BisaHilang-00059</t>
  </si>
  <si>
    <t>INV-BisaHilang-00059</t>
  </si>
  <si>
    <t>INV-BisaHilang-00060</t>
  </si>
  <si>
    <t xml:space="preserve">          Bonus ITBISA-JUMPER-MM-10CM</t>
  </si>
  <si>
    <t>BNS-BisaHilang-00060</t>
  </si>
  <si>
    <t>DBT-BisaPerlengkapan-00017</t>
  </si>
  <si>
    <t>Kardus Packing https://www.tokopedia.com/zenindah/kardus-karton-box-uk-10-x-10-x-20-cm-untuk-packing</t>
  </si>
  <si>
    <t>CRT-BisaPerlengkapan-00017</t>
  </si>
  <si>
    <t>DBT-BisaPerlengkapan-00018</t>
  </si>
  <si>
    <t>Lakban Packing https://www.tokopedia.com/murahhematstore/lakban-bening-coklat-super-murah-coklat-promooo-45mm-x50y-rolll-putih</t>
  </si>
  <si>
    <t>CRT-BisaPerlengkapan-00018</t>
  </si>
  <si>
    <t>PIU-BisaStok-00319</t>
  </si>
  <si>
    <t>KAS-BisaStok-00319</t>
  </si>
  <si>
    <t>PIU-BisaStok-00320</t>
  </si>
  <si>
    <t>KAS-BisaStok-00320</t>
  </si>
  <si>
    <t>PIU-BisaStok-00022</t>
  </si>
  <si>
    <t>KAS-BisaStok-00022</t>
  </si>
  <si>
    <t>PIU-BisaStok-00942</t>
  </si>
  <si>
    <t>KAS-BisaStok-00942</t>
  </si>
  <si>
    <t>PIU-BisaStok-00943</t>
  </si>
  <si>
    <t>KAS-BisaStok-00943</t>
  </si>
  <si>
    <t>PIU-BisaStok-00351</t>
  </si>
  <si>
    <t>KAS-BisaStok-00351</t>
  </si>
  <si>
    <t>Persediaan ITBISA-IC-78L05-TO92</t>
  </si>
  <si>
    <t>INV-BisaStok-00319</t>
  </si>
  <si>
    <t>INV-BisaHilang-00062</t>
  </si>
  <si>
    <t xml:space="preserve">          Bonus ITBISA-PCB-5X7-COPPER-SINGLE-SIDE</t>
  </si>
  <si>
    <t>BNS-BisaHilang-00062</t>
  </si>
  <si>
    <t>BBN-BisaHilang-00063</t>
  </si>
  <si>
    <t>INV-BisaHilang-00063</t>
  </si>
  <si>
    <t>INV-BisaHilang-00064</t>
  </si>
  <si>
    <t xml:space="preserve">          Bonus ITBISA-IC-UA741CN-DIP8</t>
  </si>
  <si>
    <t>BNS-BisaHilang-00064</t>
  </si>
  <si>
    <t>INV-BisaHilang-00066</t>
  </si>
  <si>
    <t xml:space="preserve">          Bonus ITBISA-RAPID-BOHLAM-E10-2.5V-SCREW</t>
  </si>
  <si>
    <t>BNS-BisaHilang-00066</t>
  </si>
  <si>
    <t>DBT-BisaPerlengkapan-00021</t>
  </si>
  <si>
    <t>CRT-BisaPerlengkapan-00021</t>
  </si>
  <si>
    <t>INV-BisaHilang-00068</t>
  </si>
  <si>
    <t xml:space="preserve">          Bonus ITBISA-VYBA-SENTER-KUNING-FT300</t>
  </si>
  <si>
    <t>BNS-BisaHilang-00068</t>
  </si>
  <si>
    <t>INV-BisaStok-00320</t>
  </si>
  <si>
    <t>INV-BisaHilang-00070</t>
  </si>
  <si>
    <t>BNS-BisaHilang-00070</t>
  </si>
  <si>
    <t>PIU-BisaStok-00400</t>
  </si>
  <si>
    <t>KAS-BisaStok-00400</t>
  </si>
  <si>
    <t>INV-BisaHilang-00072</t>
  </si>
  <si>
    <t>BNS-BisaHilang-00072</t>
  </si>
  <si>
    <t>INV-BisaStok-00942</t>
  </si>
  <si>
    <t>PIU-BisaStok-00021</t>
  </si>
  <si>
    <t>KAS-BisaStok-00021</t>
  </si>
  <si>
    <t>INV-BisaStok-00943</t>
  </si>
  <si>
    <t>PIU-BisaStok-00668</t>
  </si>
  <si>
    <t>KAS-BisaStok-00668</t>
  </si>
  <si>
    <t>BBN-BisaHilang-00074</t>
  </si>
  <si>
    <t>INV-BisaHilang-00074</t>
  </si>
  <si>
    <t>INV-BisaHilang-00075</t>
  </si>
  <si>
    <t>BNS-BisaHilang-00075</t>
  </si>
  <si>
    <t>INV-BisaStok-00021</t>
  </si>
  <si>
    <t>PIU-BisaStok-00632</t>
  </si>
  <si>
    <t>KAS-BisaStok-00632</t>
  </si>
  <si>
    <t>PIU-BisaStok-00399</t>
  </si>
  <si>
    <t>KAS-BisaStok-00399</t>
  </si>
  <si>
    <t>INV-BisaHilang-00077</t>
  </si>
  <si>
    <t xml:space="preserve">          Bonus ITBISA-NPN-2N2222-TO92</t>
  </si>
  <si>
    <t>BNS-BisaHilang-00077</t>
  </si>
  <si>
    <t>INV-BisaStok-00022</t>
  </si>
  <si>
    <t>INV-BisaStok-00632</t>
  </si>
  <si>
    <t>Piutang Baterai Jaya Bekasi</t>
  </si>
  <si>
    <t>PIU-BisaStok-00157</t>
  </si>
  <si>
    <t>KAS-BisaStok-00157</t>
  </si>
  <si>
    <t>INV-BisaStok-00157</t>
  </si>
  <si>
    <t xml:space="preserve">          Piutang Baterai Jaya Bekasi</t>
  </si>
  <si>
    <t>INV-BisaHilang-00079</t>
  </si>
  <si>
    <t xml:space="preserve">          Bonus ITBISA-JUMPER-FF-20CM</t>
  </si>
  <si>
    <t>BNS-BisaHilang-00079</t>
  </si>
  <si>
    <t>INV-BisaHilang-00080</t>
  </si>
  <si>
    <t xml:space="preserve">          Bonus ITBISA-JUMPER-MF-20CM</t>
  </si>
  <si>
    <t>BNS-BisaHilang-00080</t>
  </si>
  <si>
    <t>INV-BisaHilang-00081</t>
  </si>
  <si>
    <t xml:space="preserve">          Bonus ITBISA-JUMPER-MM-20CM</t>
  </si>
  <si>
    <t>BNS-BisaHilang-00081</t>
  </si>
  <si>
    <t>BBN-BisaHilang-00082</t>
  </si>
  <si>
    <t>INV-BisaHilang-00082</t>
  </si>
  <si>
    <t>PIU-BisaStok-00925</t>
  </si>
  <si>
    <t>KAS-BisaStok-00925</t>
  </si>
  <si>
    <t>PIU-BisaStok-00533</t>
  </si>
  <si>
    <t>KAS-BisaStok-00533</t>
  </si>
  <si>
    <t>PIU-BisaStok-00652</t>
  </si>
  <si>
    <t>KAS-BisaStok-00652</t>
  </si>
  <si>
    <t>PIU-BisaStok-00653</t>
  </si>
  <si>
    <t>KAS-BisaStok-00653</t>
  </si>
  <si>
    <t>INV-BisaStok-00399</t>
  </si>
  <si>
    <t>PIU-BisaStok-00481</t>
  </si>
  <si>
    <t>KAS-BisaStok-00481</t>
  </si>
  <si>
    <t>Persediaan ITBISA-IC-CD4094BE-DIP16</t>
  </si>
  <si>
    <t>INV-BisaStok-00351</t>
  </si>
  <si>
    <t>Beban Hilang ITBISA-IC-78L05-TO92</t>
  </si>
  <si>
    <t>BBN-BisaHilang-00084</t>
  </si>
  <si>
    <t xml:space="preserve">          Persediaan ITBISA-IC-78L05-TO92</t>
  </si>
  <si>
    <t>INV-BisaHilang-00084</t>
  </si>
  <si>
    <t>INV-BisaHilang-00085</t>
  </si>
  <si>
    <t>BNS-BisaHilang-00085</t>
  </si>
  <si>
    <t>Persediaan ITBISA-SOCKET-IC-DIP16-NARROW</t>
  </si>
  <si>
    <t>INV-BisaStok-00925</t>
  </si>
  <si>
    <t>Persediaan ITBISA-NPN-BC547-TO92</t>
  </si>
  <si>
    <t>INV-BisaStok-00653</t>
  </si>
  <si>
    <t>INV-BisaStok-00533</t>
  </si>
  <si>
    <t>INV-BisaStok-00481</t>
  </si>
  <si>
    <t>BBN-BisaHilang-00087</t>
  </si>
  <si>
    <t>INV-BisaHilang-00087</t>
  </si>
  <si>
    <t>PIU-BisaStok-00497</t>
  </si>
  <si>
    <t>KAS-BisaStok-00497</t>
  </si>
  <si>
    <t>INV-BisaHilang-00100</t>
  </si>
  <si>
    <t>BNS-BisaHilang-00100</t>
  </si>
  <si>
    <t>INV-BisaHilang-00101</t>
  </si>
  <si>
    <t>BNS-BisaHilang-00101</t>
  </si>
  <si>
    <t>INV-BisaHilang-00102</t>
  </si>
  <si>
    <t>BNS-BisaHilang-00102</t>
  </si>
  <si>
    <t>INV-BisaHilang-00113</t>
  </si>
  <si>
    <t>BNS-BisaHilang-00113</t>
  </si>
  <si>
    <t>INV-BisaHilang-00114</t>
  </si>
  <si>
    <t>BNS-BisaHilang-00114</t>
  </si>
  <si>
    <t>INV-BisaHilang-00115</t>
  </si>
  <si>
    <t>BNS-BisaHilang-00115</t>
  </si>
  <si>
    <t>INV-BisaHilang-00116</t>
  </si>
  <si>
    <t>BNS-BisaHilang-00116</t>
  </si>
  <si>
    <t>INV-BisaHilang-00117</t>
  </si>
  <si>
    <t>BNS-BisaHilang-00117</t>
  </si>
  <si>
    <t>INV-BisaHilang-00118</t>
  </si>
  <si>
    <t xml:space="preserve">          Bonus ITBISA-RESISTOR-4K7-1/4W</t>
  </si>
  <si>
    <t>BNS-BisaHilang-00118</t>
  </si>
  <si>
    <t>PIU-BisaStok-00019</t>
  </si>
  <si>
    <t>KAS-BisaStok-00019</t>
  </si>
  <si>
    <t>INV-BisaHilang-00119</t>
  </si>
  <si>
    <t xml:space="preserve">          Bonus ITBISA-RESISTOR-22K-1/4W</t>
  </si>
  <si>
    <t>BNS-BisaHilang-00119</t>
  </si>
  <si>
    <t>PIU-BisaStok-00020</t>
  </si>
  <si>
    <t>KAS-BisaStok-00020</t>
  </si>
  <si>
    <t>INV-BisaHilang-00120</t>
  </si>
  <si>
    <t xml:space="preserve">          Bonus ITBISA-RESISTOR-100K-1/4W</t>
  </si>
  <si>
    <t>BNS-BisaHilang-00120</t>
  </si>
  <si>
    <t>INV-BisaHilang-00121</t>
  </si>
  <si>
    <t xml:space="preserve">          Bonus ITBISA-RESISTOR-3K3-1/4W</t>
  </si>
  <si>
    <t>BNS-BisaHilang-00121</t>
  </si>
  <si>
    <t>INV-BisaHilang-00122</t>
  </si>
  <si>
    <t xml:space="preserve">          Bonus ITBISA-RESISTOR-10K-1/4W</t>
  </si>
  <si>
    <t>BNS-BisaHilang-00122</t>
  </si>
  <si>
    <t>INV-BisaHilang-00123</t>
  </si>
  <si>
    <t xml:space="preserve">          Bonus ITBISA-RESISTOR-2K2-1/4W</t>
  </si>
  <si>
    <t>BNS-BisaHilang-00123</t>
  </si>
  <si>
    <t>PIU-BisaStok-00924</t>
  </si>
  <si>
    <t>KAS-BisaStok-00924</t>
  </si>
  <si>
    <t>INV-BisaHilang-00089</t>
  </si>
  <si>
    <t>BNS-BisaHilang-00089</t>
  </si>
  <si>
    <t>INV-BisaHilang-00090</t>
  </si>
  <si>
    <t>BNS-BisaHilang-00090</t>
  </si>
  <si>
    <t>INV-BisaHilang-00091</t>
  </si>
  <si>
    <t>BNS-BisaHilang-00091</t>
  </si>
  <si>
    <t>INV-BisaHilang-00092</t>
  </si>
  <si>
    <t>BNS-BisaHilang-00092</t>
  </si>
  <si>
    <t>INV-BisaHilang-00093</t>
  </si>
  <si>
    <t>BNS-BisaHilang-00093</t>
  </si>
  <si>
    <t>INV-BisaHilang-00094</t>
  </si>
  <si>
    <t>BNS-BisaHilang-00094</t>
  </si>
  <si>
    <t>INV-BisaHilang-00095</t>
  </si>
  <si>
    <t>BNS-BisaHilang-00095</t>
  </si>
  <si>
    <t>INV-BisaHilang-00096</t>
  </si>
  <si>
    <t>BNS-BisaHilang-00096</t>
  </si>
  <si>
    <t>INV-BisaHilang-00097</t>
  </si>
  <si>
    <t>BNS-BisaHilang-00097</t>
  </si>
  <si>
    <t>INV-BisaHilang-00098</t>
  </si>
  <si>
    <t>BNS-BisaHilang-00098</t>
  </si>
  <si>
    <t>INV-BisaHilang-00099</t>
  </si>
  <si>
    <t>BNS-BisaHilang-00099</t>
  </si>
  <si>
    <t>INV-BisaHilang-00104</t>
  </si>
  <si>
    <t>BNS-BisaHilang-00104</t>
  </si>
  <si>
    <t>INV-BisaHilang-00105</t>
  </si>
  <si>
    <t>BNS-BisaHilang-00105</t>
  </si>
  <si>
    <t>INV-BisaHilang-00106</t>
  </si>
  <si>
    <t>BNS-BisaHilang-00106</t>
  </si>
  <si>
    <t>INV-BisaHilang-00107</t>
  </si>
  <si>
    <t>BNS-BisaHilang-00107</t>
  </si>
  <si>
    <t>INV-BisaHilang-00108</t>
  </si>
  <si>
    <t>BNS-BisaHilang-00108</t>
  </si>
  <si>
    <t>INV-BisaHilang-00109</t>
  </si>
  <si>
    <t>BNS-BisaHilang-00109</t>
  </si>
  <si>
    <t>INV-BisaHilang-00110</t>
  </si>
  <si>
    <t>BNS-BisaHilang-00110</t>
  </si>
  <si>
    <t>INV-BisaHilang-00111</t>
  </si>
  <si>
    <t>BNS-BisaHilang-00111</t>
  </si>
  <si>
    <t>PIU-BisaStok-00923</t>
  </si>
  <si>
    <t>KAS-BisaStok-00923</t>
  </si>
  <si>
    <t>INV-BisaStok-00924</t>
  </si>
  <si>
    <t>PIU-BisaStok-00398</t>
  </si>
  <si>
    <t>KAS-BisaStok-00398</t>
  </si>
  <si>
    <t>INV-BisaStok-00923</t>
  </si>
  <si>
    <t>INV-BisaStok-00497</t>
  </si>
  <si>
    <t>PIU-BisaStok-00156</t>
  </si>
  <si>
    <t>KAS-BisaStok-00156</t>
  </si>
  <si>
    <t>INV-BisaStok-00156</t>
  </si>
  <si>
    <t>INV-BisaStok-00020</t>
  </si>
  <si>
    <t>INV-BisaStok-00398</t>
  </si>
  <si>
    <t>INV-BisaStok-00019</t>
  </si>
  <si>
    <t>INV-BisaStok-00668</t>
  </si>
  <si>
    <t>PIU-BisaStok-00812</t>
  </si>
  <si>
    <t>KAS-BisaStok-00812</t>
  </si>
  <si>
    <t>PIU-BisaStok-00769</t>
  </si>
  <si>
    <t>KAS-BisaStok-00769</t>
  </si>
  <si>
    <t>PIU-BisaStok-00796</t>
  </si>
  <si>
    <t>KAS-BisaStok-00796</t>
  </si>
  <si>
    <t>INV-BisaStok-00400</t>
  </si>
  <si>
    <t>INV-BisaHilang-00125</t>
  </si>
  <si>
    <t xml:space="preserve">          Bonus ITBISA-IC-78L05-TO92</t>
  </si>
  <si>
    <t>BNS-BisaHilang-00125</t>
  </si>
  <si>
    <t>PIU-BisaStok-00805</t>
  </si>
  <si>
    <t>KAS-BisaStok-00805</t>
  </si>
  <si>
    <t>PIU-BisaStok-00806</t>
  </si>
  <si>
    <t>KAS-BisaStok-00806</t>
  </si>
  <si>
    <t>Persediaan ITBISA-RESISTOR-680K-1/4W</t>
  </si>
  <si>
    <t>INV-BisaStok-00812</t>
  </si>
  <si>
    <t>PIU-BisaStok-00513</t>
  </si>
  <si>
    <t>KAS-BisaStok-00513</t>
  </si>
  <si>
    <t>PIU-BisaStok-00757</t>
  </si>
  <si>
    <t>KAS-BisaStok-00757</t>
  </si>
  <si>
    <t>INV-BisaStok-00769</t>
  </si>
  <si>
    <t>Persediaan ITBISA-RESISTOR-470K-1/4W</t>
  </si>
  <si>
    <t>INV-BisaStok-00796</t>
  </si>
  <si>
    <t>Persediaan ITBISA-RESISTOR-560-1/4W</t>
  </si>
  <si>
    <t>INV-BisaStok-00805</t>
  </si>
  <si>
    <t>Persediaan ITBISA-RESISTOR-56K-1/4W</t>
  </si>
  <si>
    <t>INV-BisaStok-00806</t>
  </si>
  <si>
    <t>Persediaan ITBISA-RESISTOR-15K-1/4W</t>
  </si>
  <si>
    <t>INV-BisaStok-00757</t>
  </si>
  <si>
    <t>PIU-BisaStok-00560</t>
  </si>
  <si>
    <t>KAS-BisaStok-00560</t>
  </si>
  <si>
    <t>PIU-BisaStok-00763</t>
  </si>
  <si>
    <t>KAS-BisaStok-00763</t>
  </si>
  <si>
    <t>PIU-BisaStok-00776</t>
  </si>
  <si>
    <t>KAS-BisaStok-00776</t>
  </si>
  <si>
    <t>PIU-BisaStok-00790</t>
  </si>
  <si>
    <t>KAS-BisaStok-00790</t>
  </si>
  <si>
    <t>PIU-BisaStok-00496</t>
  </si>
  <si>
    <t>KAS-BisaStok-00496</t>
  </si>
  <si>
    <t>DBT-BisaPerlengkapan-00019</t>
  </si>
  <si>
    <t>2 x https://www.tokopedia.com/tokopackaging/pe-klip-6x10-kantong-plastik-klip-bening-transparan-kemasan-obat-baju
5 x https://www.tokopedia.com/tokopackaging/pe-klip-4x6-kantong-plastik-klip-bening-transparan-kemasan-obat-zipper
10 x https://www.tokopedia.com/tokopackaging/pe-klip-5x8-kantong-plastik-klip-bening-transparan-kemasan-obat-zipper</t>
  </si>
  <si>
    <t>CRT-BisaPerlengkapan-00019</t>
  </si>
  <si>
    <t>Persediaan ITBISA-RESISTOR-1K-1/4W</t>
  </si>
  <si>
    <t>INV-BisaStok-00763</t>
  </si>
  <si>
    <t>Persediaan ITBISA-RESISTOR-27K-1/4W</t>
  </si>
  <si>
    <t>INV-BisaStok-00776</t>
  </si>
  <si>
    <t>Persediaan ITBISA-RESISTOR-33K-1/4W</t>
  </si>
  <si>
    <t>INV-BisaStok-00790</t>
  </si>
  <si>
    <t>INV-BisaStok-00513</t>
  </si>
  <si>
    <t>BBN-BisaHilang-00127</t>
  </si>
  <si>
    <t>INV-BisaHilang-00127</t>
  </si>
  <si>
    <t>Beban Hilang ITBISA-RAPID-BOHLAM-E10-2.5V-SCREW</t>
  </si>
  <si>
    <t>BBN-BisaHilang-00128</t>
  </si>
  <si>
    <t xml:space="preserve">          Persediaan ITBISA-RAPID-BOHLAM-E10-2.5V-SCREW</t>
  </si>
  <si>
    <t>INV-BisaHilang-00128</t>
  </si>
  <si>
    <t>INV-BisaStok-00560</t>
  </si>
  <si>
    <t>INV-BisaStok-00496</t>
  </si>
  <si>
    <t>DBT-BisaPerlengkapan-00022</t>
  </si>
  <si>
    <t>3 x https://shopee.co.id/product/10970573/1853873359</t>
  </si>
  <si>
    <t>CRT-BisaPerlengkapan-00022</t>
  </si>
  <si>
    <t>INV-BisaStok-00652</t>
  </si>
  <si>
    <t>DBT-BisaPerlengkapan-00020</t>
  </si>
  <si>
    <t>2 rim x https://www.tokopedia.com/hqstationary/promo-kertas-hvs-a4-75gsm-ekon-copy-produk-paperone-1-rim</t>
  </si>
  <si>
    <t>CRT-BisaPerlengkapan-00020</t>
  </si>
  <si>
    <t>INV-BisaHilang-00130</t>
  </si>
  <si>
    <t>BNS-BisaHilang-00130</t>
  </si>
  <si>
    <t>INV-BisaHilang-00131</t>
  </si>
  <si>
    <t>BNS-BisaHilang-00131</t>
  </si>
  <si>
    <t>INV-BisaHilang-00132</t>
  </si>
  <si>
    <t>BNS-BisaHilang-00132</t>
  </si>
  <si>
    <t>INV-BisaHilang-00136</t>
  </si>
  <si>
    <t>BNS-BisaHilang-00136</t>
  </si>
  <si>
    <t>PIU-BisaStok-00543</t>
  </si>
  <si>
    <t>KAS-BisaStok-00543</t>
  </si>
  <si>
    <t>INV-BisaStok-00543</t>
  </si>
  <si>
    <t>PIU-BisaStok-00512</t>
  </si>
  <si>
    <t>KAS-BisaStok-00512</t>
  </si>
  <si>
    <t>PIU-BisaStok-00511</t>
  </si>
  <si>
    <t>KAS-BisaStok-00511</t>
  </si>
  <si>
    <t>PIU-BisaStok-00631</t>
  </si>
  <si>
    <t>KAS-BisaStok-00631</t>
  </si>
  <si>
    <t>PIU-BisaStok-00343</t>
  </si>
  <si>
    <t>KAS-BisaStok-00343</t>
  </si>
  <si>
    <t>INV-BisaStok-00511</t>
  </si>
  <si>
    <t>INV-BisaStok-00631</t>
  </si>
  <si>
    <t>INV-BisaStok-00512</t>
  </si>
  <si>
    <t>Persediaan ITBISA-IC-CD4017BE-DIP16</t>
  </si>
  <si>
    <t>INV-BisaStok-00343</t>
  </si>
  <si>
    <t>PIU-BisaStok-00318</t>
  </si>
  <si>
    <t>KAS-BisaStok-00318</t>
  </si>
  <si>
    <t>PIU-BisaStok-00665</t>
  </si>
  <si>
    <t>KAS-BisaStok-00665</t>
  </si>
  <si>
    <t>PIU-BisaStok-00666</t>
  </si>
  <si>
    <t>KAS-BisaStok-00666</t>
  </si>
  <si>
    <t>PIU-BisaStok-00667</t>
  </si>
  <si>
    <t>KAS-BisaStok-00667</t>
  </si>
  <si>
    <t>Beban Hilang ITBISA-SYAL</t>
  </si>
  <si>
    <t>BBN-BisaHilang-00138</t>
  </si>
  <si>
    <t xml:space="preserve">          Persediaan ITBISA-SYAL</t>
  </si>
  <si>
    <t>INV-BisaHilang-00138</t>
  </si>
  <si>
    <t>Beban Hilang ITBISA-KUPLUK-HITAM</t>
  </si>
  <si>
    <t>BBN-BisaHilang-00139</t>
  </si>
  <si>
    <t xml:space="preserve">          Persediaan ITBISA-KUPLUK-HITAM</t>
  </si>
  <si>
    <t>INV-BisaHilang-00139</t>
  </si>
  <si>
    <t>Beban Hilang ITBISA-PONCO-GAJAH</t>
  </si>
  <si>
    <t>BBN-BisaHilang-00140</t>
  </si>
  <si>
    <t xml:space="preserve">          Persediaan ITBISA-PONCO-GAJAH</t>
  </si>
  <si>
    <t>INV-BisaHilang-00140</t>
  </si>
  <si>
    <t>Beban Hilang ITBISA-SARUNG-TANGAN-SPANDEX</t>
  </si>
  <si>
    <t>BBN-BisaHilang-00141</t>
  </si>
  <si>
    <t xml:space="preserve">          Persediaan ITBISA-SARUNG-TANGAN-SPANDEX</t>
  </si>
  <si>
    <t>INV-BisaHilang-00141</t>
  </si>
  <si>
    <t>Beban Hilang ITBISA-SARUNG-TANGAN-KATUN</t>
  </si>
  <si>
    <t>BBN-BisaHilang-00142</t>
  </si>
  <si>
    <t xml:space="preserve">          Persediaan ITBISA-SARUNG-TANGAN-KATUN</t>
  </si>
  <si>
    <t>INV-BisaHilang-00142</t>
  </si>
  <si>
    <t>INV-BisaStok-00665</t>
  </si>
  <si>
    <t>INV-BisaStok-00666</t>
  </si>
  <si>
    <t>INV-BisaStok-00667</t>
  </si>
  <si>
    <t>PIU-BisaStok-00530</t>
  </si>
  <si>
    <t>KAS-BisaStok-00530</t>
  </si>
  <si>
    <t>PIU-BisaStok-00531</t>
  </si>
  <si>
    <t>KAS-BisaStok-00531</t>
  </si>
  <si>
    <t>PIU-BisaStok-00532</t>
  </si>
  <si>
    <t>KAS-BisaStok-00532</t>
  </si>
  <si>
    <t>INV-BisaStok-00318</t>
  </si>
  <si>
    <t>INV-BisaStok-00532</t>
  </si>
  <si>
    <t>INV-BisaStok-00531</t>
  </si>
  <si>
    <t>INV-BisaStok-00530</t>
  </si>
  <si>
    <t>Beban Hilang ITBISA-ABC-BATERAI-D-POWER</t>
  </si>
  <si>
    <t>BBN-BisaHilang-00144</t>
  </si>
  <si>
    <t xml:space="preserve">          Persediaan ITBISA-ABC-BATERAI-D-POWER</t>
  </si>
  <si>
    <t>INV-BisaHilang-00144</t>
  </si>
  <si>
    <t>PIU-BisaStok-00429</t>
  </si>
  <si>
    <t>KAS-BisaStok-00429</t>
  </si>
  <si>
    <t>PIU-BisaStok-00155</t>
  </si>
  <si>
    <t>KAS-BisaStok-00155</t>
  </si>
  <si>
    <t>INV-BisaStok-00155</t>
  </si>
  <si>
    <t>INV-BisaStok-00429</t>
  </si>
  <si>
    <t>DBT-BisaPerlengkapan-00024</t>
  </si>
  <si>
    <t>CRT-BisaPerlengkapan-00024</t>
  </si>
  <si>
    <t>INV-BisaHilang-00146</t>
  </si>
  <si>
    <t>BNS-BisaHilang-00146</t>
  </si>
  <si>
    <t>PIU-BisaStok-00397</t>
  </si>
  <si>
    <t>KAS-BisaStok-00397</t>
  </si>
  <si>
    <t>PIU-BisaStok-00396</t>
  </si>
  <si>
    <t>KAS-BisaStok-00396</t>
  </si>
  <si>
    <t>INV-BisaStok-00396</t>
  </si>
  <si>
    <t>BBN-BisaHilang-00148</t>
  </si>
  <si>
    <t>INV-BisaHilang-00148</t>
  </si>
  <si>
    <t>BBN-BisaHilang-00150</t>
  </si>
  <si>
    <t>INV-BisaHilang-00150</t>
  </si>
  <si>
    <t>INV-BisaStok-00397</t>
  </si>
  <si>
    <t>DBT-BisaPerlengkapan-00026</t>
  </si>
  <si>
    <t xml:space="preserve">Ukuran 7x5x8 https://tokopedia.link/XGyG4Ieyfxb </t>
  </si>
  <si>
    <t>CRT-BisaPerlengkapan-00026</t>
  </si>
  <si>
    <t>DBT-BisaPerlengkapan-00027</t>
  </si>
  <si>
    <t xml:space="preserve">Ukuran 4x4x8 https://tokopedia.link/K8AtqJfyfxb </t>
  </si>
  <si>
    <t>CRT-BisaPerlengkapan-00027</t>
  </si>
  <si>
    <t>DBT-BisaPerlengkapan-00028</t>
  </si>
  <si>
    <t xml:space="preserve">Ukuran 10x7x5 https://tokopedia.link/qup9nQgyfxb </t>
  </si>
  <si>
    <t>CRT-BisaPerlengkapan-00028</t>
  </si>
  <si>
    <t>DBT-BisaPerlengkapan-00029</t>
  </si>
  <si>
    <t xml:space="preserve">Ukuran 6x6x12 https://tokopedia.link/6vTecTjyfxb </t>
  </si>
  <si>
    <t>CRT-BisaPerlengkapan-00029</t>
  </si>
  <si>
    <t>INV-BisaHilang-00152</t>
  </si>
  <si>
    <t>BNS-BisaHilang-00152</t>
  </si>
  <si>
    <t>Piutang Jasa Impor Tiongkok</t>
  </si>
  <si>
    <t>PIU-BisaStok-00018</t>
  </si>
  <si>
    <t>KAS-BisaStok-00018</t>
  </si>
  <si>
    <t>PIU-BisaStok-00055</t>
  </si>
  <si>
    <t>KAS-BisaStok-00055</t>
  </si>
  <si>
    <t>INV-BisaHilang-00154</t>
  </si>
  <si>
    <t>BNS-BisaHilang-00154</t>
  </si>
  <si>
    <t>PIU-BisaStok-00941</t>
  </si>
  <si>
    <t>KAS-BisaStok-00941</t>
  </si>
  <si>
    <t>PIU-BisaStok-00395</t>
  </si>
  <si>
    <t>KAS-BisaStok-00395</t>
  </si>
  <si>
    <t>PIU-BisaStok-00987</t>
  </si>
  <si>
    <t>KAS-BisaStok-00987</t>
  </si>
  <si>
    <t>INV-BisaStok-00987</t>
  </si>
  <si>
    <t>PIU-BisaStok-00985</t>
  </si>
  <si>
    <t>KAS-BisaStok-00985</t>
  </si>
  <si>
    <t>PIU-BisaStok-00986</t>
  </si>
  <si>
    <t>KAS-BisaStok-00986</t>
  </si>
  <si>
    <t>PIU-BisaStok-00694</t>
  </si>
  <si>
    <t>KAS-BisaStok-00694</t>
  </si>
  <si>
    <t>INV-BisaHilang-00156</t>
  </si>
  <si>
    <t>BNS-BisaHilang-00156</t>
  </si>
  <si>
    <t>INV-BisaHilang-00157</t>
  </si>
  <si>
    <t>BNS-BisaHilang-00157</t>
  </si>
  <si>
    <t>BBN-BisaHilang-00159</t>
  </si>
  <si>
    <t>INV-BisaHilang-00159</t>
  </si>
  <si>
    <t>INV-BisaStok-00985</t>
  </si>
  <si>
    <t>INV-BisaStok-00986</t>
  </si>
  <si>
    <t>INV-BisaStok-00694</t>
  </si>
  <si>
    <t>INV-BisaHilang-00161</t>
  </si>
  <si>
    <t>BNS-BisaHilang-00161</t>
  </si>
  <si>
    <t>BBN-BisaHilang-00162</t>
  </si>
  <si>
    <t>INV-BisaHilang-00162</t>
  </si>
  <si>
    <t>PIU-BisaStok-00984</t>
  </si>
  <si>
    <t>KAS-BisaStok-00984</t>
  </si>
  <si>
    <t>PIU-BisaStok-00154</t>
  </si>
  <si>
    <t>KAS-BisaStok-00154</t>
  </si>
  <si>
    <t>INV-BisaStok-00154</t>
  </si>
  <si>
    <t>INV-BisaStok-00984</t>
  </si>
  <si>
    <t>PIU-BisaStok-00697</t>
  </si>
  <si>
    <t>KAS-BisaStok-00697</t>
  </si>
  <si>
    <t>Persediaan ITBISA-RAPID-BOHLAM-E10-3.8V-SCREW</t>
  </si>
  <si>
    <t>INV-BisaStok-00697</t>
  </si>
  <si>
    <t>PIU-BisaStok-00305</t>
  </si>
  <si>
    <t>KAS-BisaStok-00305</t>
  </si>
  <si>
    <t>PIU-BisaStok-00317</t>
  </si>
  <si>
    <t>KAS-BisaStok-00317</t>
  </si>
  <si>
    <t>PIU-BisaStok-00630</t>
  </si>
  <si>
    <t>KAS-BisaStok-00630</t>
  </si>
  <si>
    <t>PIU-BisaStok-00436</t>
  </si>
  <si>
    <t>KAS-BisaStok-00436</t>
  </si>
  <si>
    <t>PIU-BisaStok-00342</t>
  </si>
  <si>
    <t>KAS-BisaStok-00342</t>
  </si>
  <si>
    <t>PIU-BisaStok-00350</t>
  </si>
  <si>
    <t>KAS-BisaStok-00350</t>
  </si>
  <si>
    <t>PIU-BisaStok-00369</t>
  </si>
  <si>
    <t>KAS-BisaStok-00369</t>
  </si>
  <si>
    <t>INV-BisaStok-00018</t>
  </si>
  <si>
    <t xml:space="preserve">          Piutang Jasa Impor Tiongkok</t>
  </si>
  <si>
    <t>INV-BisaStok-00941</t>
  </si>
  <si>
    <t>INV-BisaStok-00055</t>
  </si>
  <si>
    <t>INV-BisaStok-00395</t>
  </si>
  <si>
    <t>PIU-BisaStok-00983</t>
  </si>
  <si>
    <t>KAS-BisaStok-00983</t>
  </si>
  <si>
    <t>INV-BisaStok-00983</t>
  </si>
  <si>
    <t>PIU-BisaStok-00940</t>
  </si>
  <si>
    <t>KAS-BisaStok-00940</t>
  </si>
  <si>
    <t>PIU-BisaStok-00153</t>
  </si>
  <si>
    <t>KAS-BisaStok-00153</t>
  </si>
  <si>
    <t>PIU-BisaStok-00958</t>
  </si>
  <si>
    <t>KAS-BisaStok-00958</t>
  </si>
  <si>
    <t>PIU-BisaStok-00394</t>
  </si>
  <si>
    <t>KAS-BisaStok-00394</t>
  </si>
  <si>
    <t>Persediaan ITBISA-IC-74HC245N-DIP20</t>
  </si>
  <si>
    <t>INV-BisaStok-00305</t>
  </si>
  <si>
    <t>Persediaan ITBISA-IC-74HC595N-DIP16</t>
  </si>
  <si>
    <t>INV-BisaStok-00317</t>
  </si>
  <si>
    <t>INV-BisaStok-00630</t>
  </si>
  <si>
    <t>Persediaan ITBISA-IC-ULN2003AN-DIP16</t>
  </si>
  <si>
    <t>INV-BisaStok-00436</t>
  </si>
  <si>
    <t>INV-BisaStok-00342</t>
  </si>
  <si>
    <t>INV-BisaStok-00350</t>
  </si>
  <si>
    <t>Persediaan ITBISA-IC-L7805CV-TO220</t>
  </si>
  <si>
    <t>INV-BisaStok-00369</t>
  </si>
  <si>
    <t>INV-BisaStok-00940</t>
  </si>
  <si>
    <t>INV-BisaStok-00153</t>
  </si>
  <si>
    <t>INV-BisaStok-00394</t>
  </si>
  <si>
    <t>Beban Hilang ITBISA-IC-L7805CV-TO220</t>
  </si>
  <si>
    <t>BBN-BisaHilang-00164</t>
  </si>
  <si>
    <t xml:space="preserve">          Persediaan ITBISA-IC-L7805CV-TO220</t>
  </si>
  <si>
    <t>INV-BisaHilang-00164</t>
  </si>
  <si>
    <t>Persediaan ITBISA-TIGERHEAD-SENTER-KUNING-FT700</t>
  </si>
  <si>
    <t>INV-BisaStok-00958</t>
  </si>
  <si>
    <t>PIU-BisaStok-00922</t>
  </si>
  <si>
    <t>KAS-BisaStok-00922</t>
  </si>
  <si>
    <t>INV-BisaStok-00922</t>
  </si>
  <si>
    <t>PIU-BisaStok-00693</t>
  </si>
  <si>
    <t>KAS-BisaStok-00693</t>
  </si>
  <si>
    <t>DBT-BisaPerlengkapan-00031</t>
  </si>
  <si>
    <t>1 x Kenko L500 https://tokopedia.link/fDyHQ37xfxb</t>
  </si>
  <si>
    <t>CRT-BisaPerlengkapan-00031</t>
  </si>
  <si>
    <t>DBT-BisaPerlengkapan-00032</t>
  </si>
  <si>
    <t xml:space="preserve">5 x Daimaru Selotip https://tokopedia.link/58XuMW6xfxb </t>
  </si>
  <si>
    <t>CRT-BisaPerlengkapan-00032</t>
  </si>
  <si>
    <t>INV-BisaStok-00693</t>
  </si>
  <si>
    <t>PIU-BisaStok-00921</t>
  </si>
  <si>
    <t>KAS-BisaStok-00921</t>
  </si>
  <si>
    <t>DBT-BisaPerlengkapan-00034</t>
  </si>
  <si>
    <t xml:space="preserve">1 x Bubble Wrap 60cm x 50m https://tokopedia.link/eOn43UAyfxb </t>
  </si>
  <si>
    <t>CRT-BisaPerlengkapan-00034</t>
  </si>
  <si>
    <t>INV-BisaStok-00921</t>
  </si>
  <si>
    <t>DBT-BisaPerlengkapan-00035</t>
  </si>
  <si>
    <t>CRT-BisaPerlengkapan-00035</t>
  </si>
  <si>
    <t>DBT-BisaPerlengkapan-00037</t>
  </si>
  <si>
    <t xml:space="preserve">17 x Plastik Klip 4x6 https://tokopedia.link/FKWUltB9Kxb </t>
  </si>
  <si>
    <t>CRT-BisaPerlengkapan-00037</t>
  </si>
  <si>
    <t>BBN-BisaHilang-00166</t>
  </si>
  <si>
    <t>INV-BisaHilang-00166</t>
  </si>
  <si>
    <t>PIU-BisaStok-00982</t>
  </si>
  <si>
    <t>KAS-BisaStok-00982</t>
  </si>
  <si>
    <t>PIU-BisaStok-00981</t>
  </si>
  <si>
    <t>KAS-BisaStok-00981</t>
  </si>
  <si>
    <t>PIU-BisaStok-00017</t>
  </si>
  <si>
    <t>KAS-BisaStok-00017</t>
  </si>
  <si>
    <t>PIU-BisaStok-00016</t>
  </si>
  <si>
    <t>KAS-BisaStok-00016</t>
  </si>
  <si>
    <t>INV-BisaStok-00982</t>
  </si>
  <si>
    <t>INV-BisaStok-00981</t>
  </si>
  <si>
    <t>PIU-BisaStok-00349</t>
  </si>
  <si>
    <t>KAS-BisaStok-00349</t>
  </si>
  <si>
    <t>PIU-BisaStok-00050</t>
  </si>
  <si>
    <t>KAS-BisaStok-00050</t>
  </si>
  <si>
    <t>PIU-BisaStok-00066</t>
  </si>
  <si>
    <t>KAS-BisaStok-00066</t>
  </si>
  <si>
    <t>PIU-BisaStok-00373</t>
  </si>
  <si>
    <t>KAS-BisaStok-00373</t>
  </si>
  <si>
    <t>BBN-BisaHilang-00168</t>
  </si>
  <si>
    <t>INV-BisaHilang-00168</t>
  </si>
  <si>
    <t>DBT-BisaPerlengkapan-00039</t>
  </si>
  <si>
    <t>CRT-BisaPerlengkapan-00039</t>
  </si>
  <si>
    <t>Beban Hilang ITBISA-IC-CD4017BE-DIP16</t>
  </si>
  <si>
    <t>BBN-BisaHilang-00169</t>
  </si>
  <si>
    <t xml:space="preserve">          Persediaan ITBISA-IC-CD4017BE-DIP16</t>
  </si>
  <si>
    <t>INV-BisaHilang-00169</t>
  </si>
  <si>
    <t>DBT-BisaPerlengkapan-00040</t>
  </si>
  <si>
    <t>CRT-BisaPerlengkapan-00040</t>
  </si>
  <si>
    <t>PIU-BisaStok-00304</t>
  </si>
  <si>
    <t>KAS-BisaStok-00304</t>
  </si>
  <si>
    <t>PIU-BisaStok-00015</t>
  </si>
  <si>
    <t>KAS-BisaStok-00015</t>
  </si>
  <si>
    <t>PIU-BisaStok-00316</t>
  </si>
  <si>
    <t>KAS-BisaStok-00316</t>
  </si>
  <si>
    <t>PIU-BisaStok-00054</t>
  </si>
  <si>
    <t>KAS-BisaStok-00054</t>
  </si>
  <si>
    <t>PIU-BisaStok-00152</t>
  </si>
  <si>
    <t>KAS-BisaStok-00152</t>
  </si>
  <si>
    <t>INV-BisaStok-00152</t>
  </si>
  <si>
    <t>PIU-BisaStok-00980</t>
  </si>
  <si>
    <t>KAS-BisaStok-00980</t>
  </si>
  <si>
    <t>INV-BisaHilang-00171</t>
  </si>
  <si>
    <t xml:space="preserve">          Bonus ITBISA-IC-4N35-DIP6-WHITE</t>
  </si>
  <si>
    <t>BNS-BisaHilang-00171</t>
  </si>
  <si>
    <t>INV-BisaStok-00980</t>
  </si>
  <si>
    <t>INV-BisaHilang-00173</t>
  </si>
  <si>
    <t>BNS-BisaHilang-00173</t>
  </si>
  <si>
    <t>INV-BisaStok-00015</t>
  </si>
  <si>
    <t>INV-BisaStok-00054</t>
  </si>
  <si>
    <t>PIU-BisaStok-00979</t>
  </si>
  <si>
    <t>KAS-BisaStok-00979</t>
  </si>
  <si>
    <t>PIU-BisaStok-00994</t>
  </si>
  <si>
    <t>KAS-BisaStok-00994</t>
  </si>
  <si>
    <t>PIU-BisaStok-00978</t>
  </si>
  <si>
    <t>KAS-BisaStok-00978</t>
  </si>
  <si>
    <t>PIU-BisaStok-00993</t>
  </si>
  <si>
    <t>KAS-BisaStok-00993</t>
  </si>
  <si>
    <t>PIU-BisaStok-00977</t>
  </si>
  <si>
    <t>KAS-BisaStok-00977</t>
  </si>
  <si>
    <t>PIU-BisaStok-00992</t>
  </si>
  <si>
    <t>KAS-BisaStok-00992</t>
  </si>
  <si>
    <t>INV-BisaStok-00977</t>
  </si>
  <si>
    <t>INV-BisaStok-00978</t>
  </si>
  <si>
    <t>INV-BisaStok-00979</t>
  </si>
  <si>
    <t>Persediaan ITBISA-VYBA-SENTER-KUNING-FT500</t>
  </si>
  <si>
    <t>INV-BisaStok-00992</t>
  </si>
  <si>
    <t>INV-BisaStok-00993</t>
  </si>
  <si>
    <t>INV-BisaStok-00994</t>
  </si>
  <si>
    <t>DBT-BisaPerlengkapan-00042</t>
  </si>
  <si>
    <t>CRT-BisaPerlengkapan-00042</t>
  </si>
  <si>
    <t>INV-BisaStok-00304</t>
  </si>
  <si>
    <t>INV-BisaStok-00316</t>
  </si>
  <si>
    <t>PIU-BisaStok-00341</t>
  </si>
  <si>
    <t>KAS-BisaStok-00341</t>
  </si>
  <si>
    <t>INV-BisaHilang-00175</t>
  </si>
  <si>
    <t>BNS-BisaHilang-00175</t>
  </si>
  <si>
    <t>INV-BisaHilang-00176</t>
  </si>
  <si>
    <t>BNS-BisaHilang-00176</t>
  </si>
  <si>
    <t>INV-BisaStok-00341</t>
  </si>
  <si>
    <t>Piutang Osell</t>
  </si>
  <si>
    <t>PIU-BisaStok-00359</t>
  </si>
  <si>
    <t>KAS-BisaStok-00359</t>
  </si>
  <si>
    <t>PIU-BisaStok-00967</t>
  </si>
  <si>
    <t>KAS-BisaStok-00967</t>
  </si>
  <si>
    <t>PIU-BisaStok-00173</t>
  </si>
  <si>
    <t>KAS-BisaStok-00173</t>
  </si>
  <si>
    <t>PIU-BisaStok-00150</t>
  </si>
  <si>
    <t>KAS-BisaStok-00150</t>
  </si>
  <si>
    <t>PIU-BisaStok-00151</t>
  </si>
  <si>
    <t>KAS-BisaStok-00151</t>
  </si>
  <si>
    <t>INV-BisaStok-00150</t>
  </si>
  <si>
    <t>PIU-BisaStok-00801</t>
  </si>
  <si>
    <t>KAS-BisaStok-00801</t>
  </si>
  <si>
    <t>PIU-BisaStok-00787</t>
  </si>
  <si>
    <t>KAS-BisaStok-00787</t>
  </si>
  <si>
    <t>PIU-BisaStok-00788</t>
  </si>
  <si>
    <t>KAS-BisaStok-00788</t>
  </si>
  <si>
    <t>INV-BisaStok-00151</t>
  </si>
  <si>
    <t>PIU-BisaStok-00428</t>
  </si>
  <si>
    <t>KAS-BisaStok-00428</t>
  </si>
  <si>
    <t>PIU-BisaStok-00340</t>
  </si>
  <si>
    <t>KAS-BisaStok-00340</t>
  </si>
  <si>
    <t>INV-BisaStok-00349</t>
  </si>
  <si>
    <t>Persediaan ITBISA-7SEGMENT-ANODE-RED-1.20-1BIT</t>
  </si>
  <si>
    <t>INV-BisaStok-00050</t>
  </si>
  <si>
    <t>Persediaan ITBISA-7SEGMENT-CATHODE-RED-1.20-1BIT</t>
  </si>
  <si>
    <t>INV-BisaStok-00066</t>
  </si>
  <si>
    <t>PIU-BisaStok-00368</t>
  </si>
  <si>
    <t>KAS-BisaStok-00368</t>
  </si>
  <si>
    <t>Persediaan ITBISA-IC-L7812CV-TO220</t>
  </si>
  <si>
    <t>INV-BisaStok-00373</t>
  </si>
  <si>
    <t>INV-BisaStok-00801</t>
  </si>
  <si>
    <t>Persediaan ITBISA-RESISTOR-330-1/4W</t>
  </si>
  <si>
    <t>INV-BisaStok-00787</t>
  </si>
  <si>
    <t>Persediaan ITBISA-RESISTOR-330K-1/4W</t>
  </si>
  <si>
    <t>INV-BisaStok-00788</t>
  </si>
  <si>
    <t>PIU-BisaStok-00930</t>
  </si>
  <si>
    <t>KAS-BisaStok-00930</t>
  </si>
  <si>
    <t>BBN-BisaHilang-00177</t>
  </si>
  <si>
    <t>INV-BisaHilang-00177</t>
  </si>
  <si>
    <t>Persediaan ITBISA-SOCKET-IC-DIP20-NARROW</t>
  </si>
  <si>
    <t>INV-BisaStok-00930</t>
  </si>
  <si>
    <t>Piutang PT Arta Boga</t>
  </si>
  <si>
    <t>PIU-BisaStok-00112</t>
  </si>
  <si>
    <t>KAS-BisaStok-00112</t>
  </si>
  <si>
    <t>PIU-BisaStok-00136</t>
  </si>
  <si>
    <t>KAS-BisaStok-00136</t>
  </si>
  <si>
    <t>PIU-BisaStok-00074</t>
  </si>
  <si>
    <t>KAS-BisaStok-00074</t>
  </si>
  <si>
    <t>Beban Hilang ITBISA-SOCKET-IC-DIP16-NARROW</t>
  </si>
  <si>
    <t>BBN-BisaHilang-00178</t>
  </si>
  <si>
    <t xml:space="preserve">          Persediaan ITBISA-SOCKET-IC-DIP16-NARROW</t>
  </si>
  <si>
    <t>INV-BisaHilang-00178</t>
  </si>
  <si>
    <t>Persediaan ITBISA-ABC-BATERAI-AA-ALKALINE</t>
  </si>
  <si>
    <t>INV-BisaStok-00112</t>
  </si>
  <si>
    <t xml:space="preserve">          Piutang PT Arta Boga</t>
  </si>
  <si>
    <t>Persediaan ITBISA-ABC-BATERAI-AAA-ALKALINE</t>
  </si>
  <si>
    <t>INV-BisaStok-00136</t>
  </si>
  <si>
    <t>Persediaan ITBISA-ABC-BATERAI-9V-POWER</t>
  </si>
  <si>
    <t>INV-BisaStok-00074</t>
  </si>
  <si>
    <t>PIU-BisaStok-00976</t>
  </si>
  <si>
    <t>KAS-BisaStok-00976</t>
  </si>
  <si>
    <t>INV-BisaStok-00976</t>
  </si>
  <si>
    <t>INV-BisaHilang-00179</t>
  </si>
  <si>
    <t>BNS-BisaHilang-00179</t>
  </si>
  <si>
    <t>DBT-BisaPerlengkapan-00044</t>
  </si>
  <si>
    <t>CRT-BisaPerlengkapan-00044</t>
  </si>
  <si>
    <t>Beban Hilang ITBISA-SOCKET-IC-DIP20-NARROW</t>
  </si>
  <si>
    <t>BBN-BisaHilang-00181</t>
  </si>
  <si>
    <t xml:space="preserve">          Persediaan ITBISA-SOCKET-IC-DIP20-NARROW</t>
  </si>
  <si>
    <t>INV-BisaHilang-00181</t>
  </si>
  <si>
    <t>INV-BisaHilang-00182</t>
  </si>
  <si>
    <t>BNS-BisaHilang-00182</t>
  </si>
  <si>
    <t>BBN-BisaHilang-00183</t>
  </si>
  <si>
    <t>INV-BisaHilang-00183</t>
  </si>
  <si>
    <t>PIU-BisaStok-00975</t>
  </si>
  <si>
    <t>KAS-BisaStok-00975</t>
  </si>
  <si>
    <t>PIU-BisaStok-00974</t>
  </si>
  <si>
    <t>KAS-BisaStok-00974</t>
  </si>
  <si>
    <t>INV-BisaStok-00428</t>
  </si>
  <si>
    <t>INV-BisaStok-00340</t>
  </si>
  <si>
    <t>INV-BisaStok-00368</t>
  </si>
  <si>
    <t>Persediaan ITBISA-IC-CD4094BM-SMD-SOP16</t>
  </si>
  <si>
    <t>INV-BisaStok-00359</t>
  </si>
  <si>
    <t xml:space="preserve">          Piutang Osell</t>
  </si>
  <si>
    <t>INV-BisaStok-00967</t>
  </si>
  <si>
    <t>INV-BisaStok-00173</t>
  </si>
  <si>
    <t>INV-BisaStok-00974</t>
  </si>
  <si>
    <t>INV-BisaStok-00975</t>
  </si>
  <si>
    <t>PIU-BisaStok-00149</t>
  </si>
  <si>
    <t>KAS-BisaStok-00149</t>
  </si>
  <si>
    <t>DBT-BisaPerlengkapan-00046</t>
  </si>
  <si>
    <t>CRT-BisaPerlengkapan-00046</t>
  </si>
  <si>
    <t>INV-BisaStok-00149</t>
  </si>
  <si>
    <t>Beban Hilang ITBISA-ARDUINO-UNO-R3-328P-SMD</t>
  </si>
  <si>
    <t>BBN-BisaHilang-00185</t>
  </si>
  <si>
    <t xml:space="preserve">          Persediaan ITBISA-ARDUINO-UNO-R3-328P-SMD</t>
  </si>
  <si>
    <t>INV-BisaHilang-00185</t>
  </si>
  <si>
    <t>INV-BisaHilang-00187</t>
  </si>
  <si>
    <t>BNS-BisaHilang-00187</t>
  </si>
  <si>
    <t>BBN-BisaHilang-00188</t>
  </si>
  <si>
    <t>INV-BisaHilang-00188</t>
  </si>
  <si>
    <t>DBT-BisaPerlengkapan-00048</t>
  </si>
  <si>
    <t>CRT-BisaPerlengkapan-00048</t>
  </si>
  <si>
    <t>DBT-BisaPerlengkapan-00049</t>
  </si>
  <si>
    <t>CRT-BisaPerlengkapan-00049</t>
  </si>
  <si>
    <t>BBN-BisaHilang-00190</t>
  </si>
  <si>
    <t>INV-BisaHilang-00190</t>
  </si>
  <si>
    <t>PIU-BisaStok-00315</t>
  </si>
  <si>
    <t>KAS-BisaStok-00315</t>
  </si>
  <si>
    <t>PIU-BisaStok-00629</t>
  </si>
  <si>
    <t>KAS-BisaStok-00629</t>
  </si>
  <si>
    <t>PIU-BisaStok-00036</t>
  </si>
  <si>
    <t>KAS-BisaStok-00036</t>
  </si>
  <si>
    <t>PIU-BisaStok-00438</t>
  </si>
  <si>
    <t>KAS-BisaStok-00438</t>
  </si>
  <si>
    <t>PIU-BisaStok-00049</t>
  </si>
  <si>
    <t>KAS-BisaStok-00049</t>
  </si>
  <si>
    <t>PIU-BisaStok-00065</t>
  </si>
  <si>
    <t>KAS-BisaStok-00065</t>
  </si>
  <si>
    <t>INV-BisaHilang-00192</t>
  </si>
  <si>
    <t>BNS-BisaHilang-00192</t>
  </si>
  <si>
    <t>INV-BisaHilang-00193</t>
  </si>
  <si>
    <t>BNS-BisaHilang-00193</t>
  </si>
  <si>
    <t>BBN-BisaHilang-00194</t>
  </si>
  <si>
    <t>INV-BisaHilang-00194</t>
  </si>
  <si>
    <t>INV-BisaHilang-00195</t>
  </si>
  <si>
    <t>BNS-BisaHilang-00195</t>
  </si>
  <si>
    <t>BBN-BisaHilang-00196</t>
  </si>
  <si>
    <t>INV-BisaHilang-00196</t>
  </si>
  <si>
    <t>DBT-BisaPerlengkapan-00051</t>
  </si>
  <si>
    <t>CRT-BisaPerlengkapan-00051</t>
  </si>
  <si>
    <t>PIU-BisaStok-00627</t>
  </si>
  <si>
    <t>KAS-BisaStok-00627</t>
  </si>
  <si>
    <t>INV-BisaHilang-00198</t>
  </si>
  <si>
    <t xml:space="preserve">          Bonus ITBISA-SOCKET-IC-DIP16-NARROW</t>
  </si>
  <si>
    <t>BNS-BisaHilang-00198</t>
  </si>
  <si>
    <t>INV-BisaHilang-00200</t>
  </si>
  <si>
    <t xml:space="preserve">          Bonus ITBISA-IC-74HC595N-DIP16</t>
  </si>
  <si>
    <t>BNS-BisaHilang-00200</t>
  </si>
  <si>
    <t>PIU-BisaStok-00111</t>
  </si>
  <si>
    <t>KAS-BisaStok-00111</t>
  </si>
  <si>
    <t>PIU-BisaStok-00135</t>
  </si>
  <si>
    <t>KAS-BisaStok-00135</t>
  </si>
  <si>
    <t>PIU-BisaStok-00073</t>
  </si>
  <si>
    <t>KAS-BisaStok-00073</t>
  </si>
  <si>
    <t>INV-BisaStok-00111</t>
  </si>
  <si>
    <t>INV-BisaStok-00135</t>
  </si>
  <si>
    <t>Persediaan ITBISA-ABC-SENTER-LED-ALKALINE</t>
  </si>
  <si>
    <t>INV-BisaStok-00164</t>
  </si>
  <si>
    <t>PIU-BisaStok-00164</t>
  </si>
  <si>
    <t>INV-BisaStok-00073</t>
  </si>
  <si>
    <t>KAS-BisaStok-00164</t>
  </si>
  <si>
    <t>Beban Hilang ITBISA-IC-CD4094BM-SMD-SOP16</t>
  </si>
  <si>
    <t>BBN-BisaHilang-00201</t>
  </si>
  <si>
    <t xml:space="preserve">          Persediaan ITBISA-IC-CD4094BM-SMD-SOP16</t>
  </si>
  <si>
    <t>INV-BisaHilang-00201</t>
  </si>
  <si>
    <t>DBT-BisaPerlengkapan-00052</t>
  </si>
  <si>
    <t>CRT-BisaPerlengkapan-00052</t>
  </si>
  <si>
    <t>INV-BisaStok-00315</t>
  </si>
  <si>
    <t>INV-BisaStok-00629</t>
  </si>
  <si>
    <t>Persediaan ITBISA-7SEGMENT-ANODE-RED-1.00-1BIT</t>
  </si>
  <si>
    <t>INV-BisaStok-00036</t>
  </si>
  <si>
    <t>Persediaan ITBISA-IC-ULN2803APG-DIP18</t>
  </si>
  <si>
    <t>INV-BisaStok-00438</t>
  </si>
  <si>
    <t>INV-BisaStok-00049</t>
  </si>
  <si>
    <t>INV-BisaStok-00065</t>
  </si>
  <si>
    <t>DBT-BisaPerlengkapan-00054</t>
  </si>
  <si>
    <t>CRT-BisaPerlengkapan-00054</t>
  </si>
  <si>
    <t>PIU-BisaStok-00973</t>
  </si>
  <si>
    <t>KAS-BisaStok-00973</t>
  </si>
  <si>
    <t>PIU-BisaStok-00971</t>
  </si>
  <si>
    <t>KAS-BisaStok-00971</t>
  </si>
  <si>
    <t>PIU-BisaStok-00972</t>
  </si>
  <si>
    <t>KAS-BisaStok-00972</t>
  </si>
  <si>
    <t>PIU-BisaStok-00110</t>
  </si>
  <si>
    <t>KAS-BisaStok-00110</t>
  </si>
  <si>
    <t>PIU-BisaStok-00134</t>
  </si>
  <si>
    <t>KAS-BisaStok-00134</t>
  </si>
  <si>
    <t>PIU-BisaStok-00072</t>
  </si>
  <si>
    <t>KAS-BisaStok-00072</t>
  </si>
  <si>
    <t>INV-BisaStok-00110</t>
  </si>
  <si>
    <t>INV-BisaStok-00134</t>
  </si>
  <si>
    <t>INV-BisaStok-00072</t>
  </si>
  <si>
    <t>INV-BisaStok-00970</t>
  </si>
  <si>
    <t>PIU-BisaStok-00970</t>
  </si>
  <si>
    <t>INV-BisaStok-00971</t>
  </si>
  <si>
    <t>INV-BisaStok-00972</t>
  </si>
  <si>
    <t>INV-BisaStok-00973</t>
  </si>
  <si>
    <t>PIU-BisaStok-00109</t>
  </si>
  <si>
    <t>KAS-BisaStok-00109</t>
  </si>
  <si>
    <t>INV-BisaStok-00109</t>
  </si>
  <si>
    <t>Beban Hilang ITBISA-ABC-BATERAI-AA-ALKALINE</t>
  </si>
  <si>
    <t>BBN-BisaHilang-00203</t>
  </si>
  <si>
    <t xml:space="preserve">          Persediaan ITBISA-ABC-BATERAI-AA-ALKALINE</t>
  </si>
  <si>
    <t>INV-BisaHilang-00203</t>
  </si>
  <si>
    <t>Beban Hilang ITBISA-ABC-BATERAI-AAA-ALKALINE</t>
  </si>
  <si>
    <t>BBN-BisaHilang-00204</t>
  </si>
  <si>
    <t xml:space="preserve">          Persediaan ITBISA-ABC-BATERAI-AAA-ALKALINE</t>
  </si>
  <si>
    <t>INV-BisaHilang-00204</t>
  </si>
  <si>
    <t>Beban Hilang ITBISA-VYBA-SENTER-KUNING-FT300</t>
  </si>
  <si>
    <t>BBN-BisaHilang-00205</t>
  </si>
  <si>
    <t xml:space="preserve">          Persediaan ITBISA-VYBA-SENTER-KUNING-FT300</t>
  </si>
  <si>
    <t>INV-BisaHilang-00205</t>
  </si>
  <si>
    <t>Beban Hilang ITBISA-TIGERHEAD-SENTER-KUNING-FT700</t>
  </si>
  <si>
    <t>BBN-BisaHilang-00206</t>
  </si>
  <si>
    <t xml:space="preserve">          Persediaan ITBISA-TIGERHEAD-SENTER-KUNING-FT700</t>
  </si>
  <si>
    <t>INV-BisaHilang-00206</t>
  </si>
  <si>
    <t>PIU-BisaStok-00664</t>
  </si>
  <si>
    <t>KAS-BisaStok-00664</t>
  </si>
  <si>
    <t>Persediaan ITBISA-NODEMCU-V3-CH340G-ESP8266-MICRO</t>
  </si>
  <si>
    <t>INV-BisaStok-00627</t>
  </si>
  <si>
    <t>INV-BisaStok-00664</t>
  </si>
  <si>
    <t>Piutang Ocistok/Martkita</t>
  </si>
  <si>
    <t>PIU-BisaStok-00314</t>
  </si>
  <si>
    <t>KAS-BisaStok-00314</t>
  </si>
  <si>
    <t>PIU-BisaStok-00626</t>
  </si>
  <si>
    <t>KAS-BisaStok-00626</t>
  </si>
  <si>
    <t>PIU-BisaStok-00835</t>
  </si>
  <si>
    <t>KAS-BisaStok-00835</t>
  </si>
  <si>
    <t>PIU-BisaStok-00188</t>
  </si>
  <si>
    <t>KAS-BisaStok-00188</t>
  </si>
  <si>
    <t>PIU-BisaStok-00892</t>
  </si>
  <si>
    <t>KAS-BisaStok-00892</t>
  </si>
  <si>
    <t>PIU-BisaStok-00898</t>
  </si>
  <si>
    <t>KAS-BisaStok-00898</t>
  </si>
  <si>
    <t>PIU-BisaStok-00199</t>
  </si>
  <si>
    <t>KAS-BisaStok-00199</t>
  </si>
  <si>
    <t>PIU-BisaStok-00051</t>
  </si>
  <si>
    <t>KAS-BisaStok-00051</t>
  </si>
  <si>
    <t>PIU-BisaStok-00067</t>
  </si>
  <si>
    <t>KAS-BisaStok-00067</t>
  </si>
  <si>
    <t>INV-BisaHilang-00208</t>
  </si>
  <si>
    <t>BNS-BisaHilang-00208</t>
  </si>
  <si>
    <t>INV-BisaHilang-00209</t>
  </si>
  <si>
    <t>BNS-BisaHilang-00209</t>
  </si>
  <si>
    <t>Beban Hilang ITBISA-RAPID-BOHLAM-E10-3.8V-SCREW</t>
  </si>
  <si>
    <t>BBN-BisaHilang-00210</t>
  </si>
  <si>
    <t xml:space="preserve">          Persediaan ITBISA-RAPID-BOHLAM-E10-3.8V-SCREW</t>
  </si>
  <si>
    <t>INV-BisaHilang-00210</t>
  </si>
  <si>
    <t>INV-BisaHilang-00211</t>
  </si>
  <si>
    <t>BNS-BisaHilang-00211</t>
  </si>
  <si>
    <t>INV-BisaHilang-00212</t>
  </si>
  <si>
    <t>BNS-BisaHilang-00212</t>
  </si>
  <si>
    <t>BBN-BisaHilang-00213</t>
  </si>
  <si>
    <t>INV-BisaHilang-00213</t>
  </si>
  <si>
    <t>BBN-BisaHilang-00214</t>
  </si>
  <si>
    <t>INV-BisaHilang-00214</t>
  </si>
  <si>
    <t>PIU-BisaStok-00148</t>
  </si>
  <si>
    <t>KAS-BisaStok-00148</t>
  </si>
  <si>
    <t>PIU-BisaStok-00133</t>
  </si>
  <si>
    <t>KAS-BisaStok-00133</t>
  </si>
  <si>
    <t>KAS-BisaStok-00970</t>
  </si>
  <si>
    <t>PIU-BisaStok-00367</t>
  </si>
  <si>
    <t>KAS-BisaStok-00367</t>
  </si>
  <si>
    <t>INV-BisaStok-00148</t>
  </si>
  <si>
    <t>PIU-BisaStok-00969</t>
  </si>
  <si>
    <t>KAS-BisaStok-00969</t>
  </si>
  <si>
    <t>INV-BisaStok-00969</t>
  </si>
  <si>
    <t>PIU-BisaStok-00147</t>
  </si>
  <si>
    <t>KAS-BisaStok-00147</t>
  </si>
  <si>
    <t>PIU-BisaStok-00146</t>
  </si>
  <si>
    <t>KAS-BisaStok-00146</t>
  </si>
  <si>
    <t>PIU-BisaStok-00145</t>
  </si>
  <si>
    <t>KAS-BisaStok-00145</t>
  </si>
  <si>
    <t>INV-BisaStok-00133</t>
  </si>
  <si>
    <t>INV-BisaStok-00145</t>
  </si>
  <si>
    <t>INV-BisaStok-00146</t>
  </si>
  <si>
    <t>INV-BisaStok-00147</t>
  </si>
  <si>
    <t>Beban Hilang ITBISA-7SEGMENT-CATHODE-RED-1.20-1BIT</t>
  </si>
  <si>
    <t>BBN-BisaHilang-00217</t>
  </si>
  <si>
    <t xml:space="preserve">          Persediaan ITBISA-7SEGMENT-CATHODE-RED-1.20-1BIT</t>
  </si>
  <si>
    <t>INV-BisaHilang-00217</t>
  </si>
  <si>
    <t>PIU-BisaStok-00366</t>
  </si>
  <si>
    <t>KAS-BisaStok-00366</t>
  </si>
  <si>
    <t>INV-BisaStok-00366</t>
  </si>
  <si>
    <t>Persediaan ITBISA-SERVO-SG90-180DEG</t>
  </si>
  <si>
    <t>INV-BisaStok-00892</t>
  </si>
  <si>
    <t xml:space="preserve">          Piutang Ocistok/Martkita</t>
  </si>
  <si>
    <t>Persediaan ITBISA-SERVO-SG90-360DEG</t>
  </si>
  <si>
    <t>INV-BisaStok-00898</t>
  </si>
  <si>
    <t>DBT-BisaPerlengkapan-00056</t>
  </si>
  <si>
    <t>CRT-BisaPerlengkapan-00056</t>
  </si>
  <si>
    <t>Persediaan ITBISA-BREADBOARD-830HOLE-MB102</t>
  </si>
  <si>
    <t>INV-BisaStok-00199</t>
  </si>
  <si>
    <t>Persediaan ITBISA-RTC-DS3231SN</t>
  </si>
  <si>
    <t>INV-BisaStok-00835</t>
  </si>
  <si>
    <t>PIU-BisaStok-00333</t>
  </si>
  <si>
    <t>KAS-BisaStok-00333</t>
  </si>
  <si>
    <t>INV-BisaStok-00953</t>
  </si>
  <si>
    <t>PIU-BisaStok-00953</t>
  </si>
  <si>
    <t>PIU-BisaStok-00581</t>
  </si>
  <si>
    <t>KAS-BisaStok-00581</t>
  </si>
  <si>
    <t>Persediaan ITBISA-IC-ATMEGA328P-DIP28</t>
  </si>
  <si>
    <t>INV-BisaStok-00333</t>
  </si>
  <si>
    <t>INV-BisaHilang-00219</t>
  </si>
  <si>
    <t xml:space="preserve">          Bonus ITBISA-IC-L7805CV-TO220</t>
  </si>
  <si>
    <t>BNS-BisaHilang-00219</t>
  </si>
  <si>
    <t>INV-BisaStok-00367</t>
  </si>
  <si>
    <t>INV-BisaStok-00626</t>
  </si>
  <si>
    <t>Persediaan ITBISA-BLUETOOTH-MODULE-HC05</t>
  </si>
  <si>
    <t>INV-BisaStok-00188</t>
  </si>
  <si>
    <t>PIU-BisaStok-00891</t>
  </si>
  <si>
    <t>KAS-BisaStok-00891</t>
  </si>
  <si>
    <t>PIU-BisaStok-00897</t>
  </si>
  <si>
    <t>KAS-BisaStok-00897</t>
  </si>
  <si>
    <t>INV-BisaStok-00314</t>
  </si>
  <si>
    <t>PIU-BisaStok-00920</t>
  </si>
  <si>
    <t>KAS-BisaStok-00920</t>
  </si>
  <si>
    <t>PIU-BisaStok-00939</t>
  </si>
  <si>
    <t>KAS-BisaStok-00939</t>
  </si>
  <si>
    <t>INV-BisaStok-00920</t>
  </si>
  <si>
    <t>INV-BisaStok-00939</t>
  </si>
  <si>
    <t>PIU-BisaStok-00014</t>
  </si>
  <si>
    <t>KAS-BisaStok-00014</t>
  </si>
  <si>
    <t>KAS-BisaStok-00953</t>
  </si>
  <si>
    <t>PIU-BisaStok-00108</t>
  </si>
  <si>
    <t>KAS-BisaStok-00108</t>
  </si>
  <si>
    <t>PIU-BisaStok-00332</t>
  </si>
  <si>
    <t>KAS-BisaStok-00332</t>
  </si>
  <si>
    <t>INV-BisaStok-00108</t>
  </si>
  <si>
    <t>PIU-BisaStok-00889</t>
  </si>
  <si>
    <t>KAS-BisaStok-00889</t>
  </si>
  <si>
    <t>PIU-BisaStok-00890</t>
  </si>
  <si>
    <t>KAS-BisaStok-00890</t>
  </si>
  <si>
    <t>INV-BisaStok-00332</t>
  </si>
  <si>
    <t>INV-BisaStok-00889</t>
  </si>
  <si>
    <t>INV-BisaStok-00890</t>
  </si>
  <si>
    <t>BBN-BisaHilang-00222</t>
  </si>
  <si>
    <t>INV-BisaHilang-00222</t>
  </si>
  <si>
    <t>INV-BisaStok-00051</t>
  </si>
  <si>
    <t>Persediaan ITBISA-7SEGMENT-CATHODE-RED-2.30-1BIT</t>
  </si>
  <si>
    <t>INV-BisaStok-00067</t>
  </si>
  <si>
    <t>PIU-BisaStok-00048</t>
  </si>
  <si>
    <t>KAS-BisaStok-00048</t>
  </si>
  <si>
    <t>PIU-BisaStok-00810</t>
  </si>
  <si>
    <t>KAS-BisaStok-00810</t>
  </si>
  <si>
    <t>PIU-BisaStok-00786</t>
  </si>
  <si>
    <t>KAS-BisaStok-00786</t>
  </si>
  <si>
    <t>PIU-BisaStok-00132</t>
  </si>
  <si>
    <t>KAS-BisaStok-00132</t>
  </si>
  <si>
    <t>PIU-BisaStok-00013</t>
  </si>
  <si>
    <t>KAS-BisaStok-00013</t>
  </si>
  <si>
    <t>PIU-BisaStok-00131</t>
  </si>
  <si>
    <t>KAS-BisaStok-00131</t>
  </si>
  <si>
    <t>INV-BisaStok-00131</t>
  </si>
  <si>
    <t>INV-BisaStok-00013</t>
  </si>
  <si>
    <t>PIU-BisaStok-00331</t>
  </si>
  <si>
    <t>KAS-BisaStok-00331</t>
  </si>
  <si>
    <t>Persediaan ITBISA-RESISTOR-5K6-1/4W</t>
  </si>
  <si>
    <t>INV-BisaStok-00810</t>
  </si>
  <si>
    <t>INV-BisaStok-00786</t>
  </si>
  <si>
    <t>PIU-BisaStok-00692</t>
  </si>
  <si>
    <t>KAS-BisaStok-00692</t>
  </si>
  <si>
    <t>DBT-BisaPerlengkapan-00057</t>
  </si>
  <si>
    <t>CRT-BisaPerlengkapan-00057</t>
  </si>
  <si>
    <t>INV-BisaStok-00692</t>
  </si>
  <si>
    <t>INV-BisaStok-00132</t>
  </si>
  <si>
    <t>INV-BisaStok-00331</t>
  </si>
  <si>
    <t>PIU-BisaStok-00107</t>
  </si>
  <si>
    <t>KAS-BisaStok-00107</t>
  </si>
  <si>
    <t>INV-BisaHilang-00224</t>
  </si>
  <si>
    <t xml:space="preserve">          Bonus ITBISA-RESISTOR-330-1/4W</t>
  </si>
  <si>
    <t>BNS-BisaHilang-00224</t>
  </si>
  <si>
    <t>BBN-BisaHilang-00225</t>
  </si>
  <si>
    <t>INV-BisaHilang-00225</t>
  </si>
  <si>
    <t>INV-BisaStok-00048</t>
  </si>
  <si>
    <t>PIU-BisaStok-00749</t>
  </si>
  <si>
    <t>KAS-BisaStok-00749</t>
  </si>
  <si>
    <t>PIU-BisaStok-00047</t>
  </si>
  <si>
    <t>KAS-BisaStok-00047</t>
  </si>
  <si>
    <t>PIU-BisaStok-00823</t>
  </si>
  <si>
    <t>KAS-BisaStok-00823</t>
  </si>
  <si>
    <t>PIU-BisaStok-00824</t>
  </si>
  <si>
    <t>KAS-BisaStok-00824</t>
  </si>
  <si>
    <t>PIU-BisaStok-00106</t>
  </si>
  <si>
    <t>KAS-BisaStok-00106</t>
  </si>
  <si>
    <t>PIU-BisaStok-00348</t>
  </si>
  <si>
    <t>KAS-BisaStok-00348</t>
  </si>
  <si>
    <t>PIU-BisaStok-00358</t>
  </si>
  <si>
    <t>KAS-BisaStok-00358</t>
  </si>
  <si>
    <t>PIU-BisaStok-00105</t>
  </si>
  <si>
    <t>KAS-BisaStok-00105</t>
  </si>
  <si>
    <t>PIU-BisaStok-00104</t>
  </si>
  <si>
    <t>KAS-BisaStok-00104</t>
  </si>
  <si>
    <t>INV-BisaStok-00104</t>
  </si>
  <si>
    <t>INV-BisaStok-00749</t>
  </si>
  <si>
    <t>PIU-BisaStok-00691</t>
  </si>
  <si>
    <t>KAS-BisaStok-00691</t>
  </si>
  <si>
    <t>INV-BisaStok-00691</t>
  </si>
  <si>
    <t>INV-BisaStok-00348</t>
  </si>
  <si>
    <t>INV-BisaStok-00105</t>
  </si>
  <si>
    <t>Persediaan ITBISA-RTC-DS3231M</t>
  </si>
  <si>
    <t>INV-BisaStok-00823</t>
  </si>
  <si>
    <t>INV-BisaStok-00824</t>
  </si>
  <si>
    <t>INV-BisaStok-00106</t>
  </si>
  <si>
    <t>INV-BisaStok-00358</t>
  </si>
  <si>
    <t>INV-BisaHilang-00226</t>
  </si>
  <si>
    <t xml:space="preserve">          Bonus ITBISA-IC-CD4094BM-SMD-SOP16</t>
  </si>
  <si>
    <t>BNS-BisaHilang-00226</t>
  </si>
  <si>
    <t>INV-BisaStok-00016</t>
  </si>
  <si>
    <t>INV-BisaStok-00017</t>
  </si>
  <si>
    <t>Piutang Art Techno</t>
  </si>
  <si>
    <t>PIU-BisaStok-01005</t>
  </si>
  <si>
    <t>KAS-BisaStok-01005</t>
  </si>
  <si>
    <t>PIU-BisaStok-00618</t>
  </si>
  <si>
    <t>KAS-BisaStok-00618</t>
  </si>
  <si>
    <t>PIU-BisaStok-00834</t>
  </si>
  <si>
    <t>KAS-BisaStok-00834</t>
  </si>
  <si>
    <t>PIU-BisaStok-00250</t>
  </si>
  <si>
    <t>KAS-BisaStok-00250</t>
  </si>
  <si>
    <t>PIU-BisaStok-00261</t>
  </si>
  <si>
    <t>KAS-BisaStok-00261</t>
  </si>
  <si>
    <t>PIU-BisaStok-00582</t>
  </si>
  <si>
    <t>KAS-BisaStok-00582</t>
  </si>
  <si>
    <t>PIU-BisaStok-00591</t>
  </si>
  <si>
    <t>KAS-BisaStok-00591</t>
  </si>
  <si>
    <t>PIU-BisaStok-00393</t>
  </si>
  <si>
    <t>KAS-BisaStok-00393</t>
  </si>
  <si>
    <t>PIU-BisaStok-00833</t>
  </si>
  <si>
    <t>KAS-BisaStok-00833</t>
  </si>
  <si>
    <t>INV-BisaStok-00107</t>
  </si>
  <si>
    <t>INV-BisaStok-00047</t>
  </si>
  <si>
    <t>Persediaan ITBISA-LED-MAX7219-4IN1-TIGHT</t>
  </si>
  <si>
    <t>INV-BisaStok-00591</t>
  </si>
  <si>
    <t>INV-BisaStok-00393</t>
  </si>
  <si>
    <t>INV-BisaStok-00834</t>
  </si>
  <si>
    <t xml:space="preserve">          Piutang Art Techno</t>
  </si>
  <si>
    <t>Persediaan ITBISA-WEMOS-D1-MINI-ESP8266</t>
  </si>
  <si>
    <t>INV-BisaStok-01005</t>
  </si>
  <si>
    <t>Persediaan ITBISA-NODEMCU-ESP32-MICRO</t>
  </si>
  <si>
    <t>INV-BisaStok-00618</t>
  </si>
  <si>
    <t>Persediaan ITBISA-CHIP-ESP32-WROOM</t>
  </si>
  <si>
    <t>INV-BisaStok-00250</t>
  </si>
  <si>
    <t>Persediaan ITBISA-CHIP-ESP8266-ESP12F</t>
  </si>
  <si>
    <t>INV-BisaStok-00261</t>
  </si>
  <si>
    <t>Persediaan ITBISA-LED-MAX7219-4IN1-GAP</t>
  </si>
  <si>
    <t>INV-BisaStok-00582</t>
  </si>
  <si>
    <t>PIU-BisaStok-00233</t>
  </si>
  <si>
    <t>KAS-BisaStok-00233</t>
  </si>
  <si>
    <t>PIU-BisaStok-00274</t>
  </si>
  <si>
    <t>KAS-BisaStok-00274</t>
  </si>
  <si>
    <t>PIU-BisaStok-00187</t>
  </si>
  <si>
    <t>KAS-BisaStok-00187</t>
  </si>
  <si>
    <t>PIU-BisaStok-01004</t>
  </si>
  <si>
    <t>KAS-BisaStok-01004</t>
  </si>
  <si>
    <t>PIU-BisaStok-00232</t>
  </si>
  <si>
    <t>KAS-BisaStok-00232</t>
  </si>
  <si>
    <t>PIU-BisaStok-00260</t>
  </si>
  <si>
    <t>KAS-BisaStok-00260</t>
  </si>
  <si>
    <t>PIU-BisaStok-00012</t>
  </si>
  <si>
    <t>KAS-BisaStok-00012</t>
  </si>
  <si>
    <t>Persediaan ITBISA-BUZZER-ACTIVE-5V</t>
  </si>
  <si>
    <t>INV-BisaStok-00233</t>
  </si>
  <si>
    <t>Persediaan ITBISA-DC-TO-DC-STEPDOWN-LM2596</t>
  </si>
  <si>
    <t>INV-BisaStok-00274</t>
  </si>
  <si>
    <t>INV-BisaStok-00187</t>
  </si>
  <si>
    <t>INV-BisaStok-01004</t>
  </si>
  <si>
    <t>INV-BisaStok-00232</t>
  </si>
  <si>
    <t>INV-BisaStok-00260</t>
  </si>
  <si>
    <t>PIU-BisaStok-00313</t>
  </si>
  <si>
    <t>KAS-BisaStok-00313</t>
  </si>
  <si>
    <t>PIU-BisaStok-00832</t>
  </si>
  <si>
    <t>KAS-BisaStok-00832</t>
  </si>
  <si>
    <t>DBT-BisaPerlengkapan-00059</t>
  </si>
  <si>
    <t>CRT-BisaPerlengkapan-00059</t>
  </si>
  <si>
    <t>DBT-BisaPerlengkapan-00060</t>
  </si>
  <si>
    <t>CRT-BisaPerlengkapan-00060</t>
  </si>
  <si>
    <t>INV-BisaStok-00012</t>
  </si>
  <si>
    <t>INV-BisaStok-00313</t>
  </si>
  <si>
    <t>INV-BisaStok-00832</t>
  </si>
  <si>
    <t>PIU-BisaStok-00831</t>
  </si>
  <si>
    <t>KAS-BisaStok-00831</t>
  </si>
  <si>
    <t>PIU-BisaStok-00011</t>
  </si>
  <si>
    <t>KAS-BisaStok-00011</t>
  </si>
  <si>
    <t>PIU-BisaStok-00010</t>
  </si>
  <si>
    <t>KAS-BisaStok-00010</t>
  </si>
  <si>
    <t>PIU-BisaStok-00009</t>
  </si>
  <si>
    <t>KAS-BisaStok-00009</t>
  </si>
  <si>
    <t>PIU-BisaStok-00008</t>
  </si>
  <si>
    <t>KAS-BisaStok-00008</t>
  </si>
  <si>
    <t>Piutang PT Mekar Inovasi Teknologi</t>
  </si>
  <si>
    <t>PIU-BisaStok-00312</t>
  </si>
  <si>
    <t>KAS-BisaStok-00312</t>
  </si>
  <si>
    <t>PIU-BisaStok-00625</t>
  </si>
  <si>
    <t>KAS-BisaStok-00625</t>
  </si>
  <si>
    <t>PIU-BisaStok-00231</t>
  </si>
  <si>
    <t>KAS-BisaStok-00231</t>
  </si>
  <si>
    <t>PIU-BisaStok-00936</t>
  </si>
  <si>
    <t>KAS-BisaStok-00936</t>
  </si>
  <si>
    <t>PIU-BisaStok-00347</t>
  </si>
  <si>
    <t>KAS-BisaStok-00347</t>
  </si>
  <si>
    <t>PIU-BisaStok-00457</t>
  </si>
  <si>
    <t>KAS-BisaStok-00457</t>
  </si>
  <si>
    <t>PIU-BisaStok-00273</t>
  </si>
  <si>
    <t>KAS-BisaStok-00273</t>
  </si>
  <si>
    <t>PIU-BisaStok-00464</t>
  </si>
  <si>
    <t>KAS-BisaStok-00464</t>
  </si>
  <si>
    <t>PIU-BisaStok-00330</t>
  </si>
  <si>
    <t>KAS-BisaStok-00330</t>
  </si>
  <si>
    <t>INV-BisaHilang-00227</t>
  </si>
  <si>
    <t>BNS-BisaHilang-00227</t>
  </si>
  <si>
    <t>INV-BisaStok-00831</t>
  </si>
  <si>
    <t>INV-BisaHilang-00228</t>
  </si>
  <si>
    <t xml:space="preserve">          Bonus ITBISA-7SEGMENT-ANODE-RED-1.00-1BIT</t>
  </si>
  <si>
    <t>BNS-BisaHilang-00228</t>
  </si>
  <si>
    <t>PIU-BisaStok-00007</t>
  </si>
  <si>
    <t>KAS-BisaStok-00007</t>
  </si>
  <si>
    <t>PIU-BisaStok-00311</t>
  </si>
  <si>
    <t>KAS-BisaStok-00311</t>
  </si>
  <si>
    <t>PIU-BisaStok-00624</t>
  </si>
  <si>
    <t>KAS-BisaStok-00624</t>
  </si>
  <si>
    <t>PIU-BisaStok-00035</t>
  </si>
  <si>
    <t>KAS-BisaStok-00035</t>
  </si>
  <si>
    <t>PIU-BisaStok-00365</t>
  </si>
  <si>
    <t>KAS-BisaStok-00365</t>
  </si>
  <si>
    <t>INV-BisaStok-00330</t>
  </si>
  <si>
    <t>PIU-BisaStok-00186</t>
  </si>
  <si>
    <t>KAS-BisaStok-00186</t>
  </si>
  <si>
    <t>PIU-BisaStok-00198</t>
  </si>
  <si>
    <t>KAS-BisaStok-00198</t>
  </si>
  <si>
    <t>Persediaan ITBISA-INFRARED-1838</t>
  </si>
  <si>
    <t>INV-BisaStok-00464</t>
  </si>
  <si>
    <t>INV-BisaStok-00312</t>
  </si>
  <si>
    <t xml:space="preserve">          Piutang PT Mekar Inovasi Teknologi</t>
  </si>
  <si>
    <t>INV-BisaStok-00625</t>
  </si>
  <si>
    <t>INV-BisaStok-00231</t>
  </si>
  <si>
    <t>Persediaan ITBISA-SOCKET-IC-DIP28-NARROW</t>
  </si>
  <si>
    <t>INV-BisaStok-00936</t>
  </si>
  <si>
    <t>INV-BisaStok-00347</t>
  </si>
  <si>
    <t>Persediaan ITBISA-IDC-2X5-AMPHENOL-FEMALE</t>
  </si>
  <si>
    <t>INV-BisaStok-00457</t>
  </si>
  <si>
    <t>INV-BisaStok-00273</t>
  </si>
  <si>
    <t>INV-BisaStok-00008</t>
  </si>
  <si>
    <t>INV-BisaStok-00009</t>
  </si>
  <si>
    <t>INV-BisaStok-00010</t>
  </si>
  <si>
    <t>INV-BisaStok-00011</t>
  </si>
  <si>
    <t>PIU-BisaStok-00830</t>
  </si>
  <si>
    <t>KAS-BisaStok-00830</t>
  </si>
  <si>
    <t>PIU-BisaStok-00829</t>
  </si>
  <si>
    <t>KAS-BisaStok-00829</t>
  </si>
  <si>
    <t>PIU-BisaStok-00364</t>
  </si>
  <si>
    <t>KAS-BisaStok-00364</t>
  </si>
  <si>
    <t>PIU-BisaStok-00370</t>
  </si>
  <si>
    <t>KAS-BisaStok-00370</t>
  </si>
  <si>
    <t>PIU-BisaStok-00372</t>
  </si>
  <si>
    <t>KAS-BisaStok-00372</t>
  </si>
  <si>
    <t>PIU-BisaStok-00103</t>
  </si>
  <si>
    <t>KAS-BisaStok-00103</t>
  </si>
  <si>
    <t>INV-BisaStok-00830</t>
  </si>
  <si>
    <t>PIU-BisaStok-00529</t>
  </si>
  <si>
    <t>KAS-BisaStok-00529</t>
  </si>
  <si>
    <t>PIU-BisaStok-00542</t>
  </si>
  <si>
    <t>KAS-BisaStok-00542</t>
  </si>
  <si>
    <t>PIU-BisaStok-00559</t>
  </si>
  <si>
    <t>KAS-BisaStok-00559</t>
  </si>
  <si>
    <t>PIU-BisaStok-00495</t>
  </si>
  <si>
    <t>KAS-BisaStok-00495</t>
  </si>
  <si>
    <t>PIU-BisaStok-00197</t>
  </si>
  <si>
    <t>KAS-BisaStok-00197</t>
  </si>
  <si>
    <t>INV-BisaStok-00829</t>
  </si>
  <si>
    <t>PIU-BisaStok-00809</t>
  </si>
  <si>
    <t>KAS-BisaStok-00809</t>
  </si>
  <si>
    <t>PIU-BisaStok-00785</t>
  </si>
  <si>
    <t>KAS-BisaStok-00785</t>
  </si>
  <si>
    <t>PIU-BisaStok-00789</t>
  </si>
  <si>
    <t>KAS-BisaStok-00789</t>
  </si>
  <si>
    <t>PIU-BisaStok-00794</t>
  </si>
  <si>
    <t>KAS-BisaStok-00794</t>
  </si>
  <si>
    <t>INV-BisaStok-00364</t>
  </si>
  <si>
    <t>Persediaan ITBISA-IC-L7809CV-TO220</t>
  </si>
  <si>
    <t>INV-BisaStok-00370</t>
  </si>
  <si>
    <t>INV-BisaStok-00372</t>
  </si>
  <si>
    <t>PIU-BisaStok-00861</t>
  </si>
  <si>
    <t>KAS-BisaStok-00861</t>
  </si>
  <si>
    <t>PIU-BisaStok-00860</t>
  </si>
  <si>
    <t>KAS-BisaStok-00860</t>
  </si>
  <si>
    <t>PIU-BisaStok-00859</t>
  </si>
  <si>
    <t>KAS-BisaStok-00859</t>
  </si>
  <si>
    <t>Persediaan ITBISA-SERVO-CHECKER</t>
  </si>
  <si>
    <t>INV-BisaStok-00859</t>
  </si>
  <si>
    <t>PIU-BisaStok-00888</t>
  </si>
  <si>
    <t>KAS-BisaStok-00888</t>
  </si>
  <si>
    <t>INV-BisaStok-00888</t>
  </si>
  <si>
    <t>PIU-BisaStok-00896</t>
  </si>
  <si>
    <t>KAS-BisaStok-00896</t>
  </si>
  <si>
    <t>INV-BisaStok-00896</t>
  </si>
  <si>
    <t>INV-BisaStok-00103</t>
  </si>
  <si>
    <t>INV-BisaStok-00529</t>
  </si>
  <si>
    <t>INV-BisaStok-00542</t>
  </si>
  <si>
    <t>INV-BisaStok-00559</t>
  </si>
  <si>
    <t>INV-BisaStok-00495</t>
  </si>
  <si>
    <t>INV-BisaStok-00197</t>
  </si>
  <si>
    <t>PIU-BisaStok-00102</t>
  </si>
  <si>
    <t>KAS-BisaStok-00102</t>
  </si>
  <si>
    <t>INV-BisaStok-00102</t>
  </si>
  <si>
    <t>INV-BisaStok-00809</t>
  </si>
  <si>
    <t>INV-BisaStok-00785</t>
  </si>
  <si>
    <t>INV-BisaStok-00789</t>
  </si>
  <si>
    <t>INV-BisaStok-00794</t>
  </si>
  <si>
    <t>INV-BisaHilang-00232</t>
  </si>
  <si>
    <t>BNS-BisaHilang-00232</t>
  </si>
  <si>
    <t>INV-BisaStok-00860</t>
  </si>
  <si>
    <t>INV-BisaStok-00861</t>
  </si>
  <si>
    <t>PIU-BisaStok-00590</t>
  </si>
  <si>
    <t>KAS-BisaStok-00590</t>
  </si>
  <si>
    <t>PIU-BisaStok-00589</t>
  </si>
  <si>
    <t>KAS-BisaStok-00589</t>
  </si>
  <si>
    <t>PIU-BisaStok-00259</t>
  </si>
  <si>
    <t>KAS-BisaStok-00259</t>
  </si>
  <si>
    <t>PIU-BisaStok-00185</t>
  </si>
  <si>
    <t>KAS-BisaStok-00185</t>
  </si>
  <si>
    <t>PIU-BisaStok-00588</t>
  </si>
  <si>
    <t>KAS-BisaStok-00588</t>
  </si>
  <si>
    <t>BBN-BisaHilang-00233</t>
  </si>
  <si>
    <t>INV-BisaHilang-00233</t>
  </si>
  <si>
    <t>INV-BisaStok-00259</t>
  </si>
  <si>
    <t>INV-BisaStok-00185</t>
  </si>
  <si>
    <t>INV-BisaStok-00588</t>
  </si>
  <si>
    <t>INV-BisaStok-00590</t>
  </si>
  <si>
    <t>PIU-BisaStok-00887</t>
  </si>
  <si>
    <t>KAS-BisaStok-00887</t>
  </si>
  <si>
    <t>PIU-BisaStok-00587</t>
  </si>
  <si>
    <t>KAS-BisaStok-00587</t>
  </si>
  <si>
    <t>PIU-BisaStok-00800</t>
  </si>
  <si>
    <t>KAS-BisaStok-00800</t>
  </si>
  <si>
    <t>PIU-BisaStok-00804</t>
  </si>
  <si>
    <t>KAS-BisaStok-00804</t>
  </si>
  <si>
    <t>PIU-BisaStok-00745</t>
  </si>
  <si>
    <t>KAS-BisaStok-00745</t>
  </si>
  <si>
    <t>PIU-BisaStok-00756</t>
  </si>
  <si>
    <t>KAS-BisaStok-00756</t>
  </si>
  <si>
    <t>PIU-BisaStok-00759</t>
  </si>
  <si>
    <t>KAS-BisaStok-00759</t>
  </si>
  <si>
    <t>PIU-BisaStok-00768</t>
  </si>
  <si>
    <t>KAS-BisaStok-00768</t>
  </si>
  <si>
    <t>INV-BisaStok-00887</t>
  </si>
  <si>
    <t>INV-BisaStok-00589</t>
  </si>
  <si>
    <t>INV-BisaStok-00587</t>
  </si>
  <si>
    <t>INV-BisaStok-00800</t>
  </si>
  <si>
    <t>INV-BisaStok-00804</t>
  </si>
  <si>
    <t>INV-BisaStok-00745</t>
  </si>
  <si>
    <t>INV-BisaStok-00756</t>
  </si>
  <si>
    <t>Persediaan ITBISA-RESISTOR-18K-1/4W</t>
  </si>
  <si>
    <t>INV-BisaStok-00759</t>
  </si>
  <si>
    <t>INV-BisaStok-00768</t>
  </si>
  <si>
    <t>PIU-BisaStok-00528</t>
  </si>
  <si>
    <t>KAS-BisaStok-00528</t>
  </si>
  <si>
    <t>PIU-BisaStok-00541</t>
  </si>
  <si>
    <t>KAS-BisaStok-00541</t>
  </si>
  <si>
    <t>PIU-BisaStok-00558</t>
  </si>
  <si>
    <t>KAS-BisaStok-00558</t>
  </si>
  <si>
    <t>PIU-BisaStok-00886</t>
  </si>
  <si>
    <t>KAS-BisaStok-00886</t>
  </si>
  <si>
    <t>PIU-BisaStok-00494</t>
  </si>
  <si>
    <t>KAS-BisaStok-00494</t>
  </si>
  <si>
    <t>BBN-BisaHilang-00234</t>
  </si>
  <si>
    <t>INV-BisaHilang-00234</t>
  </si>
  <si>
    <t>BBN-BisaHilang-00235</t>
  </si>
  <si>
    <t>INV-BisaHilang-00235</t>
  </si>
  <si>
    <t>INV-BisaHilang-00236</t>
  </si>
  <si>
    <t>BNS-BisaHilang-00236</t>
  </si>
  <si>
    <t>PIU-BisaStok-00557</t>
  </si>
  <si>
    <t>KAS-BisaStok-00557</t>
  </si>
  <si>
    <t>PIU-BisaStok-00184</t>
  </si>
  <si>
    <t>KAS-BisaStok-00184</t>
  </si>
  <si>
    <t>PIU-BisaStok-00196</t>
  </si>
  <si>
    <t>KAS-BisaStok-00196</t>
  </si>
  <si>
    <t>PIU-BisaStok-00360</t>
  </si>
  <si>
    <t>KAS-BisaStok-00360</t>
  </si>
  <si>
    <t>PIU-BisaStok-00663</t>
  </si>
  <si>
    <t>KAS-BisaStok-00663</t>
  </si>
  <si>
    <t>PIU-BisaStok-00586</t>
  </si>
  <si>
    <t>KAS-BisaStok-00586</t>
  </si>
  <si>
    <t>PIU-BisaStok-00195</t>
  </si>
  <si>
    <t>KAS-BisaStok-00195</t>
  </si>
  <si>
    <t>INV-BisaStok-00528</t>
  </si>
  <si>
    <t>INV-BisaStok-00541</t>
  </si>
  <si>
    <t>INV-BisaStok-00558</t>
  </si>
  <si>
    <t>INV-BisaStok-00886</t>
  </si>
  <si>
    <t>INV-BisaStok-00494</t>
  </si>
  <si>
    <t>INV-BisaStok-00557</t>
  </si>
  <si>
    <t>Beban Hilang ITBISA-JUMPER-FF-20CM</t>
  </si>
  <si>
    <t>BBN-BisaHilang-00237</t>
  </si>
  <si>
    <t xml:space="preserve">          Persediaan ITBISA-JUMPER-FF-20CM</t>
  </si>
  <si>
    <t>INV-BisaHilang-00237</t>
  </si>
  <si>
    <t>Persediaan ITBISA-IC-CD4511BE-DIP16</t>
  </si>
  <si>
    <t>INV-BisaStok-00360</t>
  </si>
  <si>
    <t>INV-BisaStok-00663</t>
  </si>
  <si>
    <t>INV-BisaStok-00586</t>
  </si>
  <si>
    <t>INV-BisaStok-00195</t>
  </si>
  <si>
    <t>INV-BisaStok-00184</t>
  </si>
  <si>
    <t>INV-BisaStok-00196</t>
  </si>
  <si>
    <t>PIU-BisaStok-00510</t>
  </si>
  <si>
    <t>KAS-BisaStok-00510</t>
  </si>
  <si>
    <t>PIU-BisaStok-00480</t>
  </si>
  <si>
    <t>KAS-BisaStok-00480</t>
  </si>
  <si>
    <t>PIU-BisaStok-00509</t>
  </si>
  <si>
    <t>KAS-BisaStok-00509</t>
  </si>
  <si>
    <t>PIU-BisaStok-00508</t>
  </si>
  <si>
    <t>KAS-BisaStok-00508</t>
  </si>
  <si>
    <t>PIU-BisaStok-00507</t>
  </si>
  <si>
    <t>KAS-BisaStok-00507</t>
  </si>
  <si>
    <t>PIU-BisaStok-00506</t>
  </si>
  <si>
    <t>KAS-BisaStok-00506</t>
  </si>
  <si>
    <t>PIU-BisaStok-00505</t>
  </si>
  <si>
    <t>KAS-BisaStok-00505</t>
  </si>
  <si>
    <t>PIU-BisaStok-00504</t>
  </si>
  <si>
    <t>KAS-BisaStok-00504</t>
  </si>
  <si>
    <t>INV-BisaHilang-00238</t>
  </si>
  <si>
    <t>BNS-BisaHilang-00238</t>
  </si>
  <si>
    <t>INV-BisaHilang-00239</t>
  </si>
  <si>
    <t>BNS-BisaHilang-00239</t>
  </si>
  <si>
    <t>PIU-BisaStok-00101</t>
  </si>
  <si>
    <t>KAS-BisaStok-00101</t>
  </si>
  <si>
    <t>PIU-BisaStok-00100</t>
  </si>
  <si>
    <t>KAS-BisaStok-00100</t>
  </si>
  <si>
    <t>PIU-BisaStok-00822</t>
  </si>
  <si>
    <t>KAS-BisaStok-00822</t>
  </si>
  <si>
    <t>PIU-BisaStok-00099</t>
  </si>
  <si>
    <t>KAS-BisaStok-00099</t>
  </si>
  <si>
    <t>PIU-BisaStok-00821</t>
  </si>
  <si>
    <t>KAS-BisaStok-00821</t>
  </si>
  <si>
    <t>PIU-BisaStok-00623</t>
  </si>
  <si>
    <t>KAS-BisaStok-00623</t>
  </si>
  <si>
    <t>DBT-BisaPerlengkapan-00062</t>
  </si>
  <si>
    <t>CRT-BisaPerlengkapan-00062</t>
  </si>
  <si>
    <t>INV-BisaStok-00583</t>
  </si>
  <si>
    <t>PIU-BisaStok-00583</t>
  </si>
  <si>
    <t>INV-BisaStok-00504</t>
  </si>
  <si>
    <t>INV-BisaStok-00506</t>
  </si>
  <si>
    <t>INV-BisaStok-00510</t>
  </si>
  <si>
    <t>INV-BisaStok-00480</t>
  </si>
  <si>
    <t>INV-BisaStok-00508</t>
  </si>
  <si>
    <t>INV-BisaHilang-00240</t>
  </si>
  <si>
    <t>BNS-BisaHilang-00240</t>
  </si>
  <si>
    <t>Beban Hilang ITBISA-JUMPER-MM-20CM</t>
  </si>
  <si>
    <t>BBN-BisaHilang-00241</t>
  </si>
  <si>
    <t xml:space="preserve">          Persediaan ITBISA-JUMPER-MM-20CM</t>
  </si>
  <si>
    <t>INV-BisaHilang-00241</t>
  </si>
  <si>
    <t>PIU-BisaStok-00919</t>
  </si>
  <si>
    <t>KAS-BisaStok-00919</t>
  </si>
  <si>
    <t>PIU-BisaStok-00938</t>
  </si>
  <si>
    <t>KAS-BisaStok-00938</t>
  </si>
  <si>
    <t>INV-BisaStok-00101</t>
  </si>
  <si>
    <t>PIU-BisaStok-00585</t>
  </si>
  <si>
    <t>KAS-BisaStok-00585</t>
  </si>
  <si>
    <t>PIU-BisaStok-00651</t>
  </si>
  <si>
    <t>KAS-BisaStok-00651</t>
  </si>
  <si>
    <t>PIU-BisaStok-00885</t>
  </si>
  <si>
    <t>KAS-BisaStok-00885</t>
  </si>
  <si>
    <t>PIU-BisaStok-00690</t>
  </si>
  <si>
    <t>KAS-BisaStok-00690</t>
  </si>
  <si>
    <t>PIU-BisaStok-00144</t>
  </si>
  <si>
    <t>KAS-BisaStok-00144</t>
  </si>
  <si>
    <t>PIU-BisaStok-00143</t>
  </si>
  <si>
    <t>KAS-BisaStok-00143</t>
  </si>
  <si>
    <t>PIU-BisaStok-00142</t>
  </si>
  <si>
    <t>KAS-BisaStok-00142</t>
  </si>
  <si>
    <t>PIU-BisaStok-00141</t>
  </si>
  <si>
    <t>KAS-BisaStok-00141</t>
  </si>
  <si>
    <t>INV-BisaStok-00623</t>
  </si>
  <si>
    <t>INV-BisaStok-00100</t>
  </si>
  <si>
    <t>PIU-BisaStok-00392</t>
  </si>
  <si>
    <t>KAS-BisaStok-00392</t>
  </si>
  <si>
    <t>PIU-BisaStok-00390</t>
  </si>
  <si>
    <t>KAS-BisaStok-00390</t>
  </si>
  <si>
    <t>PIU-BisaStok-00391</t>
  </si>
  <si>
    <t>KAS-BisaStok-00391</t>
  </si>
  <si>
    <t>INV-BisaStok-00505</t>
  </si>
  <si>
    <t>INV-BisaStok-00507</t>
  </si>
  <si>
    <t>INV-BisaStok-00509</t>
  </si>
  <si>
    <t>BBN-BisaHilang-00242</t>
  </si>
  <si>
    <t>INV-BisaHilang-00242</t>
  </si>
  <si>
    <t>INV-BisaHilang-00243</t>
  </si>
  <si>
    <t>BNS-BisaHilang-00243</t>
  </si>
  <si>
    <t>INV-BisaHilang-00244</t>
  </si>
  <si>
    <t>BNS-BisaHilang-00244</t>
  </si>
  <si>
    <t>BBN-BisaHilang-00245</t>
  </si>
  <si>
    <t>INV-BisaHilang-00245</t>
  </si>
  <si>
    <t>INV-BisaHilang-00246</t>
  </si>
  <si>
    <t xml:space="preserve">          Bonus ITBISA-IC-CD4017BE-DIP16</t>
  </si>
  <si>
    <t>BNS-BisaHilang-00246</t>
  </si>
  <si>
    <t>Beban Hilang ITBISA-IC-74HC245N-DIP20</t>
  </si>
  <si>
    <t>BBN-BisaHilang-00247</t>
  </si>
  <si>
    <t xml:space="preserve">          Persediaan ITBISA-IC-74HC245N-DIP20</t>
  </si>
  <si>
    <t>INV-BisaHilang-00247</t>
  </si>
  <si>
    <t>INV-BisaHilang-00248</t>
  </si>
  <si>
    <t xml:space="preserve">          Bonus ITBISA-IC-CD4094BE-DIP16</t>
  </si>
  <si>
    <t>BNS-BisaHilang-00248</t>
  </si>
  <si>
    <t>INV-BisaStok-00822</t>
  </si>
  <si>
    <t>INV-BisaStok-00144</t>
  </si>
  <si>
    <t>INV-BisaStok-00143</t>
  </si>
  <si>
    <t>INV-BisaStok-00919</t>
  </si>
  <si>
    <t>BBN-BisaHilang-00249</t>
  </si>
  <si>
    <t>INV-BisaHilang-00249</t>
  </si>
  <si>
    <t>INV-BisaStok-00938</t>
  </si>
  <si>
    <t>INV-BisaStok-00585</t>
  </si>
  <si>
    <t>INV-BisaStok-00651</t>
  </si>
  <si>
    <t>INV-BisaStok-00885</t>
  </si>
  <si>
    <t>PIU-BisaStok-00140</t>
  </si>
  <si>
    <t>KAS-BisaStok-00140</t>
  </si>
  <si>
    <t>PIU-BisaStok-00139</t>
  </si>
  <si>
    <t>KAS-BisaStok-00139</t>
  </si>
  <si>
    <t>INV-BisaStok-00141</t>
  </si>
  <si>
    <t>INV-BisaStok-00099</t>
  </si>
  <si>
    <t>INV-BisaStok-00142</t>
  </si>
  <si>
    <t>INV-BisaStok-00014</t>
  </si>
  <si>
    <t>INV-BisaStok-00821</t>
  </si>
  <si>
    <t>INV-BisaStok-00390</t>
  </si>
  <si>
    <t>INV-BisaStok-00690</t>
  </si>
  <si>
    <t>INV-BisaStok-00391</t>
  </si>
  <si>
    <t>INV-BisaStok-00392</t>
  </si>
  <si>
    <t>INV-BisaHilang-00251</t>
  </si>
  <si>
    <t xml:space="preserve">          Bonus ITBISA-7SEGMENT-ANODE-RED-1.20-1BIT</t>
  </si>
  <si>
    <t>BNS-BisaHilang-00251</t>
  </si>
  <si>
    <t>PIU-BisaStok-00639</t>
  </si>
  <si>
    <t>KAS-BisaStok-00639</t>
  </si>
  <si>
    <t>PIU-BisaStok-00645</t>
  </si>
  <si>
    <t>KAS-BisaStok-00645</t>
  </si>
  <si>
    <t>PIU-BisaStok-00650</t>
  </si>
  <si>
    <t>KAS-BisaStok-00650</t>
  </si>
  <si>
    <t>PIU-BisaStok-00656</t>
  </si>
  <si>
    <t>KAS-BisaStok-00656</t>
  </si>
  <si>
    <t>PIU-BisaStok-00675</t>
  </si>
  <si>
    <t>KAS-BisaStok-00675</t>
  </si>
  <si>
    <t>PIU-BisaStok-00683</t>
  </si>
  <si>
    <t>KAS-BisaStok-00683</t>
  </si>
  <si>
    <t>PIU-BisaStok-00138</t>
  </si>
  <si>
    <t>KAS-BisaStok-00138</t>
  </si>
  <si>
    <t>PIU-BisaStok-00935</t>
  </si>
  <si>
    <t>KAS-BisaStok-00935</t>
  </si>
  <si>
    <t>INV-BisaStok-00138</t>
  </si>
  <si>
    <t>INV-BisaStok-00139</t>
  </si>
  <si>
    <t>INV-BisaStok-00140</t>
  </si>
  <si>
    <t>PIU-BisaStok-00493</t>
  </si>
  <si>
    <t>KAS-BisaStok-00493</t>
  </si>
  <si>
    <t>PIU-BisaStok-00046</t>
  </si>
  <si>
    <t>KAS-BisaStok-00046</t>
  </si>
  <si>
    <t>INV-BisaStok-00046</t>
  </si>
  <si>
    <t>PIU-BisaStok-00479</t>
  </si>
  <si>
    <t>KAS-BisaStok-00479</t>
  </si>
  <si>
    <t>PIU-BisaStok-01003</t>
  </si>
  <si>
    <t>KAS-BisaStok-01003</t>
  </si>
  <si>
    <t>PIU-BisaStok-00258</t>
  </si>
  <si>
    <t>KAS-BisaStok-00258</t>
  </si>
  <si>
    <t>PIU-BisaStok-00828</t>
  </si>
  <si>
    <t>KAS-BisaStok-00828</t>
  </si>
  <si>
    <t>PIU-BisaStok-00556</t>
  </si>
  <si>
    <t>KAS-BisaStok-00556</t>
  </si>
  <si>
    <t>PIU-BisaStok-01002</t>
  </si>
  <si>
    <t>KAS-BisaStok-01002</t>
  </si>
  <si>
    <t>PIU-BisaStok-00844</t>
  </si>
  <si>
    <t>KAS-BisaStok-00844</t>
  </si>
  <si>
    <t>PIU-BisaStok-00852</t>
  </si>
  <si>
    <t>KAS-BisaStok-00852</t>
  </si>
  <si>
    <t>PIU-BisaStok-00272</t>
  </si>
  <si>
    <t>KAS-BisaStok-00272</t>
  </si>
  <si>
    <t>PIU-BisaStok-00478</t>
  </si>
  <si>
    <t>KAS-BisaStok-00478</t>
  </si>
  <si>
    <t>PIU-BisaStok-00071</t>
  </si>
  <si>
    <t>KAS-BisaStok-00071</t>
  </si>
  <si>
    <t>PIU-BisaStok-01001</t>
  </si>
  <si>
    <t>KAS-BisaStok-01001</t>
  </si>
  <si>
    <t>PIU-BisaStok-00473</t>
  </si>
  <si>
    <t>KAS-BisaStok-00473</t>
  </si>
  <si>
    <t>DBT-BisaPerlengkapan-00063</t>
  </si>
  <si>
    <t>CRT-BisaPerlengkapan-00063</t>
  </si>
  <si>
    <t>PIU-BisaStok-00303</t>
  </si>
  <si>
    <t>KAS-BisaStok-00303</t>
  </si>
  <si>
    <t>PIU-BisaStok-00230</t>
  </si>
  <si>
    <t>KAS-BisaStok-00230</t>
  </si>
  <si>
    <t>Persediaan ITBISA-NPN-2N3904-TO92</t>
  </si>
  <si>
    <t>INV-BisaStok-00639</t>
  </si>
  <si>
    <t>Persediaan ITBISA-NPN-BC337-TO92</t>
  </si>
  <si>
    <t>INV-BisaStok-00645</t>
  </si>
  <si>
    <t>INV-BisaStok-00650</t>
  </si>
  <si>
    <t>Persediaan ITBISA-NPN-BC548-TO92</t>
  </si>
  <si>
    <t>INV-BisaStok-00656</t>
  </si>
  <si>
    <t>Persediaan ITBISA-PNP-2N3906-TO92</t>
  </si>
  <si>
    <t>INV-BisaStok-00675</t>
  </si>
  <si>
    <t>Persediaan ITBISA-PNP-BC557-TO92</t>
  </si>
  <si>
    <t>INV-BisaStok-00683</t>
  </si>
  <si>
    <t>INV-BisaStok-00230</t>
  </si>
  <si>
    <t>PIU-BisaStok-00918</t>
  </si>
  <si>
    <t>KAS-BisaStok-00918</t>
  </si>
  <si>
    <t>INV-BisaStok-00493</t>
  </si>
  <si>
    <t>INV-BisaStok-01003</t>
  </si>
  <si>
    <t>INV-BisaStok-00071</t>
  </si>
  <si>
    <t>INV-BisaStok-00828</t>
  </si>
  <si>
    <t>INV-BisaStok-00556</t>
  </si>
  <si>
    <t>PIU-BisaStok-00808</t>
  </si>
  <si>
    <t>KAS-BisaStok-00808</t>
  </si>
  <si>
    <t>PIU-BisaStok-00762</t>
  </si>
  <si>
    <t>KAS-BisaStok-00762</t>
  </si>
  <si>
    <t>PIU-BisaStok-00775</t>
  </si>
  <si>
    <t>KAS-BisaStok-00775</t>
  </si>
  <si>
    <t>PIU-BisaStok-00779</t>
  </si>
  <si>
    <t>KAS-BisaStok-00779</t>
  </si>
  <si>
    <t>PIU-BisaStok-00799</t>
  </si>
  <si>
    <t>KAS-BisaStok-00799</t>
  </si>
  <si>
    <t>INV-BisaStok-00935</t>
  </si>
  <si>
    <t>INV-BisaStok-01001</t>
  </si>
  <si>
    <t>Persediaan ITBISA-JACK-DC-005-FEMALE</t>
  </si>
  <si>
    <t>INV-BisaStok-00473</t>
  </si>
  <si>
    <t>Persediaan ITBISA-SENSOR-SUHU-DHT11</t>
  </si>
  <si>
    <t>INV-BisaStok-00844</t>
  </si>
  <si>
    <t>INV-BisaStok-01002</t>
  </si>
  <si>
    <t>Persediaan ITBISA-SENSOR-ULTRASONIK-HCSR04</t>
  </si>
  <si>
    <t>INV-BisaStok-00852</t>
  </si>
  <si>
    <t>INV-BisaStok-00478</t>
  </si>
  <si>
    <t>PIU-BisaStok-00427</t>
  </si>
  <si>
    <t>KAS-BisaStok-00427</t>
  </si>
  <si>
    <t>PIU-BisaStok-00728</t>
  </si>
  <si>
    <t>KAS-BisaStok-00728</t>
  </si>
  <si>
    <t>PIU-BisaStok-00742</t>
  </si>
  <si>
    <t>KAS-BisaStok-00742</t>
  </si>
  <si>
    <t>PIU-BisaStok-00580</t>
  </si>
  <si>
    <t>KAS-BisaStok-00580</t>
  </si>
  <si>
    <t>PIU-BisaStok-00540</t>
  </si>
  <si>
    <t>KAS-BisaStok-00540</t>
  </si>
  <si>
    <t>PIU-BisaStok-00934</t>
  </si>
  <si>
    <t>KAS-BisaStok-00934</t>
  </si>
  <si>
    <t>INV-BisaStok-00918</t>
  </si>
  <si>
    <t>INV-BisaStok-00258</t>
  </si>
  <si>
    <t>INV-BisaStok-00272</t>
  </si>
  <si>
    <t>PIU-BisaStok-00249</t>
  </si>
  <si>
    <t>KAS-BisaStok-00249</t>
  </si>
  <si>
    <t>INV-BisaStok-00479</t>
  </si>
  <si>
    <t>PIU-BisaStok-01000</t>
  </si>
  <si>
    <t>KAS-BisaStok-01000</t>
  </si>
  <si>
    <t>INV-BisaStok-00808</t>
  </si>
  <si>
    <t>INV-BisaStok-00762</t>
  </si>
  <si>
    <t>INV-BisaStok-00775</t>
  </si>
  <si>
    <t>INV-BisaStok-00779</t>
  </si>
  <si>
    <t>INV-BisaStok-00799</t>
  </si>
  <si>
    <t>INV-BisaStok-00934</t>
  </si>
  <si>
    <t>INV-BisaStok-00540</t>
  </si>
  <si>
    <t>PIU-BisaStok-00130</t>
  </si>
  <si>
    <t>KAS-BisaStok-00130</t>
  </si>
  <si>
    <t>INV-BisaStok-00249</t>
  </si>
  <si>
    <t>PIU-BisaStok-00248</t>
  </si>
  <si>
    <t>KAS-BisaStok-00248</t>
  </si>
  <si>
    <t>PIU-BisaStok-00884</t>
  </si>
  <si>
    <t>KAS-BisaStok-00884</t>
  </si>
  <si>
    <t>PIU-BisaStok-00883</t>
  </si>
  <si>
    <t>KAS-BisaStok-00883</t>
  </si>
  <si>
    <t>PIU-BisaStok-00882</t>
  </si>
  <si>
    <t>KAS-BisaStok-00882</t>
  </si>
  <si>
    <t>Persediaan ITBISA-LDR-GL5516</t>
  </si>
  <si>
    <t>INV-BisaStok-00580</t>
  </si>
  <si>
    <t>INV-BisaStok-01000</t>
  </si>
  <si>
    <t>Persediaan ITBISA-IC-PC817-DIP4</t>
  </si>
  <si>
    <t>INV-BisaStok-00427</t>
  </si>
  <si>
    <t>PIU-BisaStok-00609</t>
  </si>
  <si>
    <t>KAS-BisaStok-00609</t>
  </si>
  <si>
    <t>PIU-BisaStok-00662</t>
  </si>
  <si>
    <t>KAS-BisaStok-00662</t>
  </si>
  <si>
    <t>PIU-BisaStok-00247</t>
  </si>
  <si>
    <t>KAS-BisaStok-00247</t>
  </si>
  <si>
    <t>PIU-BisaStok-00246</t>
  </si>
  <si>
    <t>KAS-BisaStok-00246</t>
  </si>
  <si>
    <t>PIU-BisaStok-00881</t>
  </si>
  <si>
    <t>KAS-BisaStok-00881</t>
  </si>
  <si>
    <t>PIU-BisaStok-00880</t>
  </si>
  <si>
    <t>KAS-BisaStok-00880</t>
  </si>
  <si>
    <t>Persediaan ITBISA-RELAY-12V-5PIN-BLUE</t>
  </si>
  <si>
    <t>INV-BisaStok-00728</t>
  </si>
  <si>
    <t>Persediaan ITBISA-RELAY-5V-5PIN-BLUE</t>
  </si>
  <si>
    <t>INV-BisaStok-00742</t>
  </si>
  <si>
    <t>INV-BisaStok-00248</t>
  </si>
  <si>
    <t>PIU-BisaStok-00437</t>
  </si>
  <si>
    <t>KAS-BisaStok-00437</t>
  </si>
  <si>
    <t>PIU-BisaStok-00346</t>
  </si>
  <si>
    <t>KAS-BisaStok-00346</t>
  </si>
  <si>
    <t>PIU-BisaStok-00389</t>
  </si>
  <si>
    <t>KAS-BisaStok-00389</t>
  </si>
  <si>
    <t>PIU-BisaStok-00245</t>
  </si>
  <si>
    <t>KAS-BisaStok-00245</t>
  </si>
  <si>
    <t>PIU-BisaStok-00244</t>
  </si>
  <si>
    <t>KAS-BisaStok-00244</t>
  </si>
  <si>
    <t>PIU-BisaStok-00129</t>
  </si>
  <si>
    <t>KAS-BisaStok-00129</t>
  </si>
  <si>
    <t>PIU-BisaStok-00363</t>
  </si>
  <si>
    <t>KAS-BisaStok-00363</t>
  </si>
  <si>
    <t>PIU-BisaStok-00098</t>
  </si>
  <si>
    <t>KAS-BisaStok-00098</t>
  </si>
  <si>
    <t>PIU-BisaStok-00879</t>
  </si>
  <si>
    <t>KAS-BisaStok-00879</t>
  </si>
  <si>
    <t>PIU-BisaStok-00878</t>
  </si>
  <si>
    <t>KAS-BisaStok-00878</t>
  </si>
  <si>
    <t>INV-BisaStok-00246</t>
  </si>
  <si>
    <t>INV-BisaStok-00247</t>
  </si>
  <si>
    <t>INV-BisaStok-00882</t>
  </si>
  <si>
    <t>INV-BisaStok-00883</t>
  </si>
  <si>
    <t>INV-BisaStok-00884</t>
  </si>
  <si>
    <t>INV-BisaStok-00129</t>
  </si>
  <si>
    <t>INV-BisaStok-00098</t>
  </si>
  <si>
    <t>PIU-BisaStok-00243</t>
  </si>
  <si>
    <t>KAS-BisaStok-00243</t>
  </si>
  <si>
    <t>PIU-BisaStok-00242</t>
  </si>
  <si>
    <t>KAS-BisaStok-00242</t>
  </si>
  <si>
    <t>PIU-BisaStok-00877</t>
  </si>
  <si>
    <t>KAS-BisaStok-00877</t>
  </si>
  <si>
    <t>PIU-BisaStok-00876</t>
  </si>
  <si>
    <t>KAS-BisaStok-00876</t>
  </si>
  <si>
    <t>PIU-BisaStok-00875</t>
  </si>
  <si>
    <t>KAS-BisaStok-00875</t>
  </si>
  <si>
    <t>INV-BisaStok-00245</t>
  </si>
  <si>
    <t>INV-BisaStok-00881</t>
  </si>
  <si>
    <t>INV-BisaStok-00880</t>
  </si>
  <si>
    <t>INV-BisaStok-00130</t>
  </si>
  <si>
    <t>PIU-BisaStok-00456</t>
  </si>
  <si>
    <t>KAS-BisaStok-00456</t>
  </si>
  <si>
    <t>PIU-BisaStok-00874</t>
  </si>
  <si>
    <t>KAS-BisaStok-00874</t>
  </si>
  <si>
    <t>PIU-BisaStok-00241</t>
  </si>
  <si>
    <t>KAS-BisaStok-00241</t>
  </si>
  <si>
    <t>PIU-BisaStok-00873</t>
  </si>
  <si>
    <t>KAS-BisaStok-00873</t>
  </si>
  <si>
    <t>PIU-BisaStok-00329</t>
  </si>
  <si>
    <t>KAS-BisaStok-00329</t>
  </si>
  <si>
    <t>PIU-BisaStok-00872</t>
  </si>
  <si>
    <t>KAS-BisaStok-00872</t>
  </si>
  <si>
    <t>PIU-BisaStok-00871</t>
  </si>
  <si>
    <t>KAS-BisaStok-00871</t>
  </si>
  <si>
    <t>PIU-BisaStok-00503</t>
  </si>
  <si>
    <t>KAS-BisaStok-00503</t>
  </si>
  <si>
    <t>PIU-BisaStok-00614</t>
  </si>
  <si>
    <t>KAS-BisaStok-00614</t>
  </si>
  <si>
    <t>PIU-BisaStok-00279</t>
  </si>
  <si>
    <t>KAS-BisaStok-00279</t>
  </si>
  <si>
    <t>PIU-BisaStok-00287</t>
  </si>
  <si>
    <t>KAS-BisaStok-00287</t>
  </si>
  <si>
    <t>PIU-BisaStok-00292</t>
  </si>
  <si>
    <t>KAS-BisaStok-00292</t>
  </si>
  <si>
    <t>INV-BisaStok-00244</t>
  </si>
  <si>
    <t>INV-BisaStok-00363</t>
  </si>
  <si>
    <t>Persediaan ITBISA-LED-SUPERBRIGHT-5MM-WHITE</t>
  </si>
  <si>
    <t>INV-BisaStok-00609</t>
  </si>
  <si>
    <t>INV-BisaStok-00662</t>
  </si>
  <si>
    <t>INV-BisaStok-00242</t>
  </si>
  <si>
    <t>INV-BisaStok-00243</t>
  </si>
  <si>
    <t>INV-BisaStok-00877</t>
  </si>
  <si>
    <t>INV-BisaHilang-00252</t>
  </si>
  <si>
    <t xml:space="preserve">          Bonus ITBISA-RAPID-BOHLAM-E10-3.8V-SCREW</t>
  </si>
  <si>
    <t>BNS-BisaHilang-00252</t>
  </si>
  <si>
    <t>BBN-BisaHilang-00253</t>
  </si>
  <si>
    <t>INV-BisaHilang-00253</t>
  </si>
  <si>
    <t>PIU-BisaStok-00621</t>
  </si>
  <si>
    <t>KAS-BisaStok-00621</t>
  </si>
  <si>
    <t>PIU-BisaStok-00620</t>
  </si>
  <si>
    <t>KAS-BisaStok-00620</t>
  </si>
  <si>
    <t>PIU-BisaStok-00619</t>
  </si>
  <si>
    <t>KAS-BisaStok-00619</t>
  </si>
  <si>
    <t>INV-BisaStok-00833</t>
  </si>
  <si>
    <t>INV-BisaStok-00891</t>
  </si>
  <si>
    <t>INV-BisaStok-00897</t>
  </si>
  <si>
    <t>Persediaan ITBISA-NODEMCU-ESP32-MICRO-30PIN</t>
  </si>
  <si>
    <t>INV-BisaStok-00620</t>
  </si>
  <si>
    <t>INV-BisaStok-00878</t>
  </si>
  <si>
    <t>INV-BisaStok-00879</t>
  </si>
  <si>
    <t>PIU-BisaStok-00301</t>
  </si>
  <si>
    <t>KAS-BisaStok-00301</t>
  </si>
  <si>
    <t>PIU-BisaStok-00661</t>
  </si>
  <si>
    <t>KAS-BisaStok-00661</t>
  </si>
  <si>
    <t>PIU-BisaStok-00570</t>
  </si>
  <si>
    <t>KAS-BisaStok-00570</t>
  </si>
  <si>
    <t>PIU-BisaStok-00576</t>
  </si>
  <si>
    <t>KAS-BisaStok-00576</t>
  </si>
  <si>
    <t>PIU-BisaStok-00426</t>
  </si>
  <si>
    <t>KAS-BisaStok-00426</t>
  </si>
  <si>
    <t>PIU-BisaStok-00310</t>
  </si>
  <si>
    <t>KAS-BisaStok-00310</t>
  </si>
  <si>
    <t>PIU-BisaStok-00827</t>
  </si>
  <si>
    <t>KAS-BisaStok-00827</t>
  </si>
  <si>
    <t>BBN-BisaHilang-00254</t>
  </si>
  <si>
    <t>INV-BisaHilang-00254</t>
  </si>
  <si>
    <t>INV-BisaStok-00241</t>
  </si>
  <si>
    <t>INV-BisaStok-00873</t>
  </si>
  <si>
    <t>INV-BisaStok-00874</t>
  </si>
  <si>
    <t>INV-BisaStok-00875</t>
  </si>
  <si>
    <t>INV-BisaStok-00876</t>
  </si>
  <si>
    <t>Persediaan ITBISA-DC-TO-DC-STEPDOWN-XL4005</t>
  </si>
  <si>
    <t>INV-BisaStok-00279</t>
  </si>
  <si>
    <t>Persediaan ITBISA-DC-TO-DC-STEPDOWN-XL4015</t>
  </si>
  <si>
    <t>INV-BisaStok-00287</t>
  </si>
  <si>
    <t>Persediaan ITBISA-DC-TO-DC-STEPUP-XL6009</t>
  </si>
  <si>
    <t>INV-BisaStok-00292</t>
  </si>
  <si>
    <t>INV-BisaStok-00503</t>
  </si>
  <si>
    <t>Persediaan ITBISA-MICRO-SD-READER-MINI</t>
  </si>
  <si>
    <t>INV-BisaStok-00614</t>
  </si>
  <si>
    <t>PIU-BisaStok-00622</t>
  </si>
  <si>
    <t>KAS-BisaStok-00622</t>
  </si>
  <si>
    <t>INV-BisaHilang-00255</t>
  </si>
  <si>
    <t xml:space="preserve">          Bonus ITBISA-NODEMCU-ESP32-MICRO-30PIN</t>
  </si>
  <si>
    <t>BNS-BisaHilang-00255</t>
  </si>
  <si>
    <t>INV-BisaStok-00871</t>
  </si>
  <si>
    <t>INV-BisaStok-00872</t>
  </si>
  <si>
    <t>INV-BisaStok-00426</t>
  </si>
  <si>
    <t>PIU-BisaStok-00870</t>
  </si>
  <si>
    <t>KAS-BisaStok-00870</t>
  </si>
  <si>
    <t>PIU-BisaStok-00902</t>
  </si>
  <si>
    <t>KAS-BisaStok-00902</t>
  </si>
  <si>
    <t>PIU-BisaStok-00917</t>
  </si>
  <si>
    <t>KAS-BisaStok-00917</t>
  </si>
  <si>
    <t>INV-BisaStok-00310</t>
  </si>
  <si>
    <t>INV-BisaStok-00619</t>
  </si>
  <si>
    <t>INV-BisaStok-00621</t>
  </si>
  <si>
    <t>Persediaan ITBISA-I2C-IIC-LCD</t>
  </si>
  <si>
    <t>INV-BisaStok-00301</t>
  </si>
  <si>
    <t>INV-BisaStok-00661</t>
  </si>
  <si>
    <t>Persediaan ITBISA-LCD-16X2-BLUE</t>
  </si>
  <si>
    <t>INV-BisaStok-00570</t>
  </si>
  <si>
    <t>Persediaan ITBISA-LCD-16X2-GREEN</t>
  </si>
  <si>
    <t>INV-BisaStok-00576</t>
  </si>
  <si>
    <t>PIU-BisaStok-00128</t>
  </si>
  <si>
    <t>KAS-BisaStok-00128</t>
  </si>
  <si>
    <t>PIU-BisaStok-00097</t>
  </si>
  <si>
    <t>KAS-BisaStok-00097</t>
  </si>
  <si>
    <t>PIU-BisaStok-00271</t>
  </si>
  <si>
    <t>KAS-BisaStok-00271</t>
  </si>
  <si>
    <t>PIU-BisaStok-00999</t>
  </si>
  <si>
    <t>KAS-BisaStok-00999</t>
  </si>
  <si>
    <t>Persediaan ITBISA-SOCKET-IC-DIP14-NARROW</t>
  </si>
  <si>
    <t>INV-BisaStok-00902</t>
  </si>
  <si>
    <t>INV-BisaStok-00917</t>
  </si>
  <si>
    <t>Persediaan ITBISA-NODEMCU-ESP32-MICRO-38PIN</t>
  </si>
  <si>
    <t>INV-BisaStok-00622</t>
  </si>
  <si>
    <t>INV-BisaStok-00456</t>
  </si>
  <si>
    <t>INV-BisaStok-00329</t>
  </si>
  <si>
    <t>INV-BisaStok-00827</t>
  </si>
  <si>
    <t>INV-BisaStok-00870</t>
  </si>
  <si>
    <t>INV-BisaStok-00271</t>
  </si>
  <si>
    <t>INV-BisaStok-00999</t>
  </si>
  <si>
    <t>PIU-BisaStok-00727</t>
  </si>
  <si>
    <t>KAS-BisaStok-00727</t>
  </si>
  <si>
    <t>PIU-BisaStok-00741</t>
  </si>
  <si>
    <t>KAS-BisaStok-00741</t>
  </si>
  <si>
    <t>PIU-BisaStok-00998</t>
  </si>
  <si>
    <t>KAS-BisaStok-00998</t>
  </si>
  <si>
    <t>INV-BisaStok-00128</t>
  </si>
  <si>
    <t>INV-BisaStok-00097</t>
  </si>
  <si>
    <t>INV-BisaHilang-00257</t>
  </si>
  <si>
    <t xml:space="preserve">          Bonus ITBISA-NODEMCU-ESP32-MICRO</t>
  </si>
  <si>
    <t>BNS-BisaHilang-00257</t>
  </si>
  <si>
    <t>INV-BisaHilang-00259</t>
  </si>
  <si>
    <t>BNS-BisaHilang-00259</t>
  </si>
  <si>
    <t>Beban Hilang ITBISA-NODEMCU-ESP32-MICRO-30PIN</t>
  </si>
  <si>
    <t>BBN-BisaHilang-00258</t>
  </si>
  <si>
    <t xml:space="preserve">          Persediaan ITBISA-NODEMCU-ESP32-MICRO-30PIN</t>
  </si>
  <si>
    <t>INV-BisaHilang-00258</t>
  </si>
  <si>
    <t>Beban Hilang ITBISA-NODEMCU-ESP32-MICRO</t>
  </si>
  <si>
    <t>BBN-BisaHilang-00260</t>
  </si>
  <si>
    <t xml:space="preserve">          Persediaan ITBISA-NODEMCU-ESP32-MICRO</t>
  </si>
  <si>
    <t>INV-BisaHilang-00260</t>
  </si>
  <si>
    <t>PIU-BisaStok-00869</t>
  </si>
  <si>
    <t>KAS-BisaStok-00869</t>
  </si>
  <si>
    <t>PIU-BisaStok-00726</t>
  </si>
  <si>
    <t>KAS-BisaStok-00726</t>
  </si>
  <si>
    <t>PIU-BisaStok-00740</t>
  </si>
  <si>
    <t>KAS-BisaStok-00740</t>
  </si>
  <si>
    <t>PIU-BisaStok-00472</t>
  </si>
  <si>
    <t>KAS-BisaStok-00472</t>
  </si>
  <si>
    <t>INV-BisaStok-00998</t>
  </si>
  <si>
    <t>PIU-BisaStok-00725</t>
  </si>
  <si>
    <t>KAS-BisaStok-00725</t>
  </si>
  <si>
    <t>PIU-BisaStok-00739</t>
  </si>
  <si>
    <t>KAS-BisaStok-00739</t>
  </si>
  <si>
    <t>PIU-BisaStok-00851</t>
  </si>
  <si>
    <t>KAS-BisaStok-00851</t>
  </si>
  <si>
    <t>PIU-BisaStok-00748</t>
  </si>
  <si>
    <t>KAS-BisaStok-00748</t>
  </si>
  <si>
    <t>PIU-BisaStok-00649</t>
  </si>
  <si>
    <t>KAS-BisaStok-00649</t>
  </si>
  <si>
    <t>PIU-BisaStok-00471</t>
  </si>
  <si>
    <t>KAS-BisaStok-00471</t>
  </si>
  <si>
    <t>INV-BisaStok-00869</t>
  </si>
  <si>
    <t>INV-BisaStok-00472</t>
  </si>
  <si>
    <t>INV-BisaStok-00726</t>
  </si>
  <si>
    <t>INV-BisaStok-00727</t>
  </si>
  <si>
    <t>INV-BisaStok-00741</t>
  </si>
  <si>
    <t>PIU-BisaStok-00470</t>
  </si>
  <si>
    <t>KAS-BisaStok-00470</t>
  </si>
  <si>
    <t>PIU-BisaStok-00469</t>
  </si>
  <si>
    <t>KAS-BisaStok-00469</t>
  </si>
  <si>
    <t>INV-BisaStok-00740</t>
  </si>
  <si>
    <t>PIU-BisaStok-00095</t>
  </si>
  <si>
    <t>KAS-BisaStok-00095</t>
  </si>
  <si>
    <t>PIU-BisaStok-00096</t>
  </si>
  <si>
    <t>KAS-BisaStok-00096</t>
  </si>
  <si>
    <t>INV-BisaStok-00096</t>
  </si>
  <si>
    <t>INV-BisaStok-00095</t>
  </si>
  <si>
    <t>PIU-BisaStok-00094</t>
  </si>
  <si>
    <t>KAS-BisaStok-00094</t>
  </si>
  <si>
    <t>INV-BisaStok-00094</t>
  </si>
  <si>
    <t>INV-BisaStok-00471</t>
  </si>
  <si>
    <t>INV-BisaStok-00725</t>
  </si>
  <si>
    <t>INV-BisaStok-00739</t>
  </si>
  <si>
    <t>INV-BisaStok-00851</t>
  </si>
  <si>
    <t>INV-BisaStok-00469</t>
  </si>
  <si>
    <t>INV-BisaStok-00470</t>
  </si>
  <si>
    <t>INV-BisaStok-00198</t>
  </si>
  <si>
    <t>INV-BisaStok-00748</t>
  </si>
  <si>
    <t>INV-BisaStok-00649</t>
  </si>
  <si>
    <t>PIU-BisaStok-00093</t>
  </si>
  <si>
    <t>KAS-BisaStok-00093</t>
  </si>
  <si>
    <t>PIU-BisaStok-00858</t>
  </si>
  <si>
    <t>KAS-BisaStok-00858</t>
  </si>
  <si>
    <t>PIU-BisaStok-00724</t>
  </si>
  <si>
    <t>KAS-BisaStok-00724</t>
  </si>
  <si>
    <t>INV-BisaHilang-00262</t>
  </si>
  <si>
    <t xml:space="preserve">          Bonus ITBISA-CHIP-ESP8266-ESP12F</t>
  </si>
  <si>
    <t>BNS-BisaHilang-00262</t>
  </si>
  <si>
    <t>PIU-BisaStok-00723</t>
  </si>
  <si>
    <t>KAS-BisaStok-00723</t>
  </si>
  <si>
    <t>PIU-BisaStok-00722</t>
  </si>
  <si>
    <t>KAS-BisaStok-00722</t>
  </si>
  <si>
    <t>INV-BisaStok-00724</t>
  </si>
  <si>
    <t>INV-BisaStok-00858</t>
  </si>
  <si>
    <t>PIU-BisaStok-00092</t>
  </si>
  <si>
    <t>KAS-BisaStok-00092</t>
  </si>
  <si>
    <t>INV-BisaStok-00722</t>
  </si>
  <si>
    <t>INV-BisaStok-00723</t>
  </si>
  <si>
    <t>PIU-BisaStok-00091</t>
  </si>
  <si>
    <t>KAS-BisaStok-00091</t>
  </si>
  <si>
    <t>INV-BisaStok-00092</t>
  </si>
  <si>
    <t>INV-BisaStok-00091</t>
  </si>
  <si>
    <t>PIU-BisaStok-00916</t>
  </si>
  <si>
    <t>KAS-BisaStok-00916</t>
  </si>
  <si>
    <t>PIU-BisaStok-00857</t>
  </si>
  <si>
    <t>KAS-BisaStok-00857</t>
  </si>
  <si>
    <t>PIU-BisaStok-00608</t>
  </si>
  <si>
    <t>KAS-BisaStok-00608</t>
  </si>
  <si>
    <t>PIU-BisaStok-00721</t>
  </si>
  <si>
    <t>KAS-BisaStok-00721</t>
  </si>
  <si>
    <t>PIU-BisaStok-00579</t>
  </si>
  <si>
    <t>KAS-BisaStok-00579</t>
  </si>
  <si>
    <t>PIU-BisaStok-00596</t>
  </si>
  <si>
    <t>KAS-BisaStok-00596</t>
  </si>
  <si>
    <t>PIU-BisaStok-00388</t>
  </si>
  <si>
    <t>KAS-BisaStok-00388</t>
  </si>
  <si>
    <t>PIU-BisaStok-00856</t>
  </si>
  <si>
    <t>KAS-BisaStok-00856</t>
  </si>
  <si>
    <t>PIU-BisaStok-00127</t>
  </si>
  <si>
    <t>KAS-BisaStok-00127</t>
  </si>
  <si>
    <t>PIU-BisaStok-00090</t>
  </si>
  <si>
    <t>KAS-BisaStok-00090</t>
  </si>
  <si>
    <t>INV-BisaStok-00127</t>
  </si>
  <si>
    <t>INV-BisaStok-00090</t>
  </si>
  <si>
    <t>INV-BisaStok-00093</t>
  </si>
  <si>
    <t>INV-BisaStok-00608</t>
  </si>
  <si>
    <t>Persediaan ITBISA-LED-SUPERBRIGHT-5MM-BLUE</t>
  </si>
  <si>
    <t>INV-BisaStok-00596</t>
  </si>
  <si>
    <t>INV-BisaStok-00857</t>
  </si>
  <si>
    <t>INV-BisaStok-00916</t>
  </si>
  <si>
    <t>BBN-BisaHilang-00264</t>
  </si>
  <si>
    <t>INV-BisaHilang-00264</t>
  </si>
  <si>
    <t>BBN-BisaHilang-00265</t>
  </si>
  <si>
    <t>INV-BisaHilang-00265</t>
  </si>
  <si>
    <t>INV-BisaHilang-00266</t>
  </si>
  <si>
    <t xml:space="preserve">          Bonus ITBISA-ABC-BATERAI-AAA-ALKALINE</t>
  </si>
  <si>
    <t>BNS-BisaHilang-00266</t>
  </si>
  <si>
    <t>INV-BisaHilang-00267</t>
  </si>
  <si>
    <t xml:space="preserve">          Bonus ITBISA-ABC-BATERAI-AA-ALKALINE</t>
  </si>
  <si>
    <t>BNS-BisaHilang-00267</t>
  </si>
  <si>
    <t>BBN-BisaHilang-00268</t>
  </si>
  <si>
    <t>INV-BisaHilang-00268</t>
  </si>
  <si>
    <t>PIU-BisaStok-00425</t>
  </si>
  <si>
    <t>KAS-BisaStok-00425</t>
  </si>
  <si>
    <t>INV-BisaStok-00856</t>
  </si>
  <si>
    <t>INV-BisaStok-00388</t>
  </si>
  <si>
    <t>PIU-BisaStok-00371</t>
  </si>
  <si>
    <t>KAS-BisaStok-00371</t>
  </si>
  <si>
    <t>INV-BisaStok-00721</t>
  </si>
  <si>
    <t>INV-BisaStok-00311</t>
  </si>
  <si>
    <t>PIU-BisaStok-00424</t>
  </si>
  <si>
    <t>KAS-BisaStok-00424</t>
  </si>
  <si>
    <t>PIU-BisaStok-00463</t>
  </si>
  <si>
    <t>KAS-BisaStok-00463</t>
  </si>
  <si>
    <t>DBT-BisaPerlengkapan-00065</t>
  </si>
  <si>
    <t>CRT-BisaPerlengkapan-00065</t>
  </si>
  <si>
    <t>PIU-BisaStok-00900</t>
  </si>
  <si>
    <t>KAS-BisaStok-00900</t>
  </si>
  <si>
    <t>PIU-BisaStok-00899</t>
  </si>
  <si>
    <t>KAS-BisaStok-00899</t>
  </si>
  <si>
    <t>PIU-BisaStok-00126</t>
  </si>
  <si>
    <t>KAS-BisaStok-00126</t>
  </si>
  <si>
    <t>PIU-BisaStok-00309</t>
  </si>
  <si>
    <t>KAS-BisaStok-00309</t>
  </si>
  <si>
    <t>PIU-BisaStok-00731</t>
  </si>
  <si>
    <t>KAS-BisaStok-00731</t>
  </si>
  <si>
    <t>PIU-BisaStok-00698</t>
  </si>
  <si>
    <t>KAS-BisaStok-00698</t>
  </si>
  <si>
    <t>INV-BisaStok-00579</t>
  </si>
  <si>
    <t>PIU-BisaStok-00720</t>
  </si>
  <si>
    <t>KAS-BisaStok-00720</t>
  </si>
  <si>
    <t>PIU-BisaStok-00719</t>
  </si>
  <si>
    <t>KAS-BisaStok-00719</t>
  </si>
  <si>
    <t>INV-BisaStok-00425</t>
  </si>
  <si>
    <t>Persediaan ITBISA-SOCKET-BATERAI-AA-4SLOT</t>
  </si>
  <si>
    <t>INV-BisaStok-00900</t>
  </si>
  <si>
    <t>Persediaan ITBISA-SOCKET-BATERAI-AA-2SLOT</t>
  </si>
  <si>
    <t>INV-BisaStok-00899</t>
  </si>
  <si>
    <t>INV-BisaStok-00424</t>
  </si>
  <si>
    <t>INV-BisaStok-00463</t>
  </si>
  <si>
    <t>INV-BisaStok-00371</t>
  </si>
  <si>
    <t>PIU-BisaStok-00125</t>
  </si>
  <si>
    <t>KAS-BisaStok-00125</t>
  </si>
  <si>
    <t>PIU-BisaStok-00929</t>
  </si>
  <si>
    <t>KAS-BisaStok-00929</t>
  </si>
  <si>
    <t>INV-BisaStok-00720</t>
  </si>
  <si>
    <t>INV-BisaStok-00365</t>
  </si>
  <si>
    <t>INV-BisaHilang-00270</t>
  </si>
  <si>
    <t>BNS-BisaHilang-00270</t>
  </si>
  <si>
    <t>PIU-BisaStok-00124</t>
  </si>
  <si>
    <t>KAS-BisaStok-00124</t>
  </si>
  <si>
    <t>PIU-BisaStok-00928</t>
  </si>
  <si>
    <t>KAS-BisaStok-00928</t>
  </si>
  <si>
    <t>INV-BisaStok-00929</t>
  </si>
  <si>
    <t>INV-BisaStok-00719</t>
  </si>
  <si>
    <t>PIU-BisaStok-00738</t>
  </si>
  <si>
    <t>KAS-BisaStok-00738</t>
  </si>
  <si>
    <t>INV-BisaStok-00126</t>
  </si>
  <si>
    <t>INV-BisaStok-00738</t>
  </si>
  <si>
    <t>INV-BisaStok-00624</t>
  </si>
  <si>
    <t>INV-BisaStok-00928</t>
  </si>
  <si>
    <t>INV-BisaStok-00125</t>
  </si>
  <si>
    <t>PIU-BisaStok-00423</t>
  </si>
  <si>
    <t>KAS-BisaStok-00423</t>
  </si>
  <si>
    <t>INV-BisaStok-00124</t>
  </si>
  <si>
    <t>PIU-BisaStok-00718</t>
  </si>
  <si>
    <t>KAS-BisaStok-00718</t>
  </si>
  <si>
    <t>PIU-BisaStok-00915</t>
  </si>
  <si>
    <t>KAS-BisaStok-00915</t>
  </si>
  <si>
    <t>PIU-BisaStok-00914</t>
  </si>
  <si>
    <t>KAS-BisaStok-00914</t>
  </si>
  <si>
    <t>INV-BisaStok-00423</t>
  </si>
  <si>
    <t>INV-BisaStok-00718</t>
  </si>
  <si>
    <t>INV-BisaStok-00915</t>
  </si>
  <si>
    <t>INV-BisaStok-00914</t>
  </si>
  <si>
    <t>PIU-BisaStok-00717</t>
  </si>
  <si>
    <t>KAS-BisaStok-00717</t>
  </si>
  <si>
    <t>PIU-BisaStok-00539</t>
  </si>
  <si>
    <t>KAS-BisaStok-00539</t>
  </si>
  <si>
    <t>PIU-BisaStok-00477</t>
  </si>
  <si>
    <t>KAS-BisaStok-00477</t>
  </si>
  <si>
    <t>PIU-BisaStok-00502</t>
  </si>
  <si>
    <t>KAS-BisaStok-00502</t>
  </si>
  <si>
    <t>PIU-BisaStok-00538</t>
  </si>
  <si>
    <t>KAS-BisaStok-00538</t>
  </si>
  <si>
    <t>PIU-BisaStok-00476</t>
  </si>
  <si>
    <t>KAS-BisaStok-00476</t>
  </si>
  <si>
    <t>PIU-BisaStok-00716</t>
  </si>
  <si>
    <t>KAS-BisaStok-00716</t>
  </si>
  <si>
    <t>PIU-BisaStok-00737</t>
  </si>
  <si>
    <t>KAS-BisaStok-00737</t>
  </si>
  <si>
    <t>INV-BisaStok-00539</t>
  </si>
  <si>
    <t>INV-BisaStok-00477</t>
  </si>
  <si>
    <t>PIU-BisaStok-00604</t>
  </si>
  <si>
    <t>KAS-BisaStok-00604</t>
  </si>
  <si>
    <t>PIU-BisaStok-00387</t>
  </si>
  <si>
    <t>KAS-BisaStok-00387</t>
  </si>
  <si>
    <t>PIU-BisaStok-00599</t>
  </si>
  <si>
    <t>KAS-BisaStok-00599</t>
  </si>
  <si>
    <t>INV-BisaStok-00717</t>
  </si>
  <si>
    <t>INV-BisaStok-00716</t>
  </si>
  <si>
    <t>INV-BisaStok-00737</t>
  </si>
  <si>
    <t>Persediaan ITBISA-LED-SUPERBRIGHT-5MM-RED</t>
  </si>
  <si>
    <t>INV-BisaStok-00604</t>
  </si>
  <si>
    <t>Persediaan ITBISA-LED-SUPERBRIGHT-5MM-GREEN</t>
  </si>
  <si>
    <t>INV-BisaStok-00599</t>
  </si>
  <si>
    <t>INV-BisaStok-00502</t>
  </si>
  <si>
    <t>INV-BisaStok-00538</t>
  </si>
  <si>
    <t>INV-BisaStok-00476</t>
  </si>
  <si>
    <t>INV-BisaStok-00007</t>
  </si>
  <si>
    <t>PIU-BisaStok-00715</t>
  </si>
  <si>
    <t>KAS-BisaStok-00715</t>
  </si>
  <si>
    <t>PIU-BisaStok-00422</t>
  </si>
  <si>
    <t>KAS-BisaStok-00422</t>
  </si>
  <si>
    <t>INV-BisaStok-00387</t>
  </si>
  <si>
    <t>BBN-BisaHilang-00272</t>
  </si>
  <si>
    <t>INV-BisaHilang-00272</t>
  </si>
  <si>
    <t>INV-BisaHilang-00273</t>
  </si>
  <si>
    <t>BNS-BisaHilang-00273</t>
  </si>
  <si>
    <t>PIU-BisaStok-00927</t>
  </si>
  <si>
    <t>KAS-BisaStok-00927</t>
  </si>
  <si>
    <t>PIU-BisaStok-00933</t>
  </si>
  <si>
    <t>KAS-BisaStok-00933</t>
  </si>
  <si>
    <t>PIU-BisaStok-00603</t>
  </si>
  <si>
    <t>KAS-BisaStok-00603</t>
  </si>
  <si>
    <t>PIU-BisaStok-00735</t>
  </si>
  <si>
    <t>KAS-BisaStok-00735</t>
  </si>
  <si>
    <t>PIU-BisaStok-00736</t>
  </si>
  <si>
    <t>KAS-BisaStok-00736</t>
  </si>
  <si>
    <t>PIU-BisaStok-00598</t>
  </si>
  <si>
    <t>KAS-BisaStok-00598</t>
  </si>
  <si>
    <t>INV-BisaStok-00715</t>
  </si>
  <si>
    <t>INV-BisaStok-00186</t>
  </si>
  <si>
    <t>INV-BisaStok-00927</t>
  </si>
  <si>
    <t>INV-BisaStok-00933</t>
  </si>
  <si>
    <t>INV-BisaStok-00035</t>
  </si>
  <si>
    <t>DBT-BisaPerlengkapan-00066</t>
  </si>
  <si>
    <t>CRT-BisaPerlengkapan-00066</t>
  </si>
  <si>
    <t>INV-BisaStok-00603</t>
  </si>
  <si>
    <t>INV-BisaStok-00735</t>
  </si>
  <si>
    <t>INV-BisaStok-00598</t>
  </si>
  <si>
    <t>INV-BisaStok-00422</t>
  </si>
  <si>
    <t>PIU-BisaStok-00345</t>
  </si>
  <si>
    <t>KAS-BisaStok-00345</t>
  </si>
  <si>
    <t>PIU-BisaStok-00714</t>
  </si>
  <si>
    <t>KAS-BisaStok-00714</t>
  </si>
  <si>
    <t>PIU-BisaStok-00278</t>
  </si>
  <si>
    <t>KAS-BisaStok-00278</t>
  </si>
  <si>
    <t>INV-BisaStok-00736</t>
  </si>
  <si>
    <t>PIU-BisaStok-00089</t>
  </si>
  <si>
    <t>KAS-BisaStok-00089</t>
  </si>
  <si>
    <t>INV-BisaStok-00089</t>
  </si>
  <si>
    <t>PIU-BisaStok-00070</t>
  </si>
  <si>
    <t>KAS-BisaStok-00070</t>
  </si>
  <si>
    <t>INV-BisaStok-00070</t>
  </si>
  <si>
    <t>INV-BisaStok-00346</t>
  </si>
  <si>
    <t>INV-BisaStok-00389</t>
  </si>
  <si>
    <t>INV-BisaStok-00345</t>
  </si>
  <si>
    <t>INV-BisaStok-00714</t>
  </si>
  <si>
    <t>PIU-BisaStok-00300</t>
  </si>
  <si>
    <t>KAS-BisaStok-00300</t>
  </si>
  <si>
    <t>PIU-BisaStok-00713</t>
  </si>
  <si>
    <t>KAS-BisaStok-00713</t>
  </si>
  <si>
    <t>PIU-BisaStok-00569</t>
  </si>
  <si>
    <t>KAS-BisaStok-00569</t>
  </si>
  <si>
    <t>PIU-BisaStok-00575</t>
  </si>
  <si>
    <t>KAS-BisaStok-00575</t>
  </si>
  <si>
    <t>PIU-BisaStok-00277</t>
  </si>
  <si>
    <t>KAS-BisaStok-00277</t>
  </si>
  <si>
    <t>INV-BisaStok-00278</t>
  </si>
  <si>
    <t>PIU-BisaStok-00926</t>
  </si>
  <si>
    <t>KAS-BisaStok-00926</t>
  </si>
  <si>
    <t>INV-BisaStok-00300</t>
  </si>
  <si>
    <t>INV-BisaStok-00303</t>
  </si>
  <si>
    <t>PIU-BisaStok-00183</t>
  </si>
  <si>
    <t>KAS-BisaStok-00183</t>
  </si>
  <si>
    <t>INV-BisaHilang-00275</t>
  </si>
  <si>
    <t xml:space="preserve">          Bonus ITBISA-IC-74HC245N-DIP20</t>
  </si>
  <si>
    <t>BNS-BisaHilang-00275</t>
  </si>
  <si>
    <t>INV-BisaHilang-00276</t>
  </si>
  <si>
    <t>BNS-BisaHilang-00276</t>
  </si>
  <si>
    <t>BBN-BisaHilang-00277</t>
  </si>
  <si>
    <t>INV-BisaHilang-00277</t>
  </si>
  <si>
    <t>INV-BisaStok-00713</t>
  </si>
  <si>
    <t>INV-BisaStok-00926</t>
  </si>
  <si>
    <t>INV-BisaStok-00569</t>
  </si>
  <si>
    <t>INV-BisaStok-00575</t>
  </si>
  <si>
    <t>PIU-BisaStok-00123</t>
  </si>
  <si>
    <t>KAS-BisaStok-00123</t>
  </si>
  <si>
    <t>PIU-BisaStok-00088</t>
  </si>
  <si>
    <t>KAS-BisaStok-00088</t>
  </si>
  <si>
    <t>PIU-BisaStok-00270</t>
  </si>
  <si>
    <t>KAS-BisaStok-00270</t>
  </si>
  <si>
    <t>INV-BisaStok-00277</t>
  </si>
  <si>
    <t>INV-BisaStok-00183</t>
  </si>
  <si>
    <t>PIU-BisaStok-00269</t>
  </si>
  <si>
    <t>KAS-BisaStok-00269</t>
  </si>
  <si>
    <t>INV-BisaStok-00123</t>
  </si>
  <si>
    <t>INV-BisaStok-00270</t>
  </si>
  <si>
    <t>INV-BisaStok-00088</t>
  </si>
  <si>
    <t>PIU-BisaStok-00357</t>
  </si>
  <si>
    <t>KAS-BisaStok-00357</t>
  </si>
  <si>
    <t>PIU-BisaStok-00268</t>
  </si>
  <si>
    <t>KAS-BisaStok-00268</t>
  </si>
  <si>
    <t>PIU-BisaStok-00712</t>
  </si>
  <si>
    <t>KAS-BisaStok-00712</t>
  </si>
  <si>
    <t>PIU-BisaStok-00711</t>
  </si>
  <si>
    <t>KAS-BisaStok-00711</t>
  </si>
  <si>
    <t>PIU-BisaStok-00710</t>
  </si>
  <si>
    <t>KAS-BisaStok-00710</t>
  </si>
  <si>
    <t>PIU-BisaStok-00913</t>
  </si>
  <si>
    <t>KAS-BisaStok-00913</t>
  </si>
  <si>
    <t>PIU-BisaStok-00912</t>
  </si>
  <si>
    <t>KAS-BisaStok-00912</t>
  </si>
  <si>
    <t>INV-BisaStok-00437</t>
  </si>
  <si>
    <t>INV-BisaStok-00269</t>
  </si>
  <si>
    <t>INV-BisaStok-00912</t>
  </si>
  <si>
    <t>INV-BisaStok-00710</t>
  </si>
  <si>
    <t>INV-BisaStok-00711</t>
  </si>
  <si>
    <t>INV-BisaStok-00712</t>
  </si>
  <si>
    <t>INV-BisaStok-00357</t>
  </si>
  <si>
    <t>INV-BisaStok-00268</t>
  </si>
  <si>
    <t>INV-BisaStok-00913</t>
  </si>
  <si>
    <t>INV-BisaStok-00309</t>
  </si>
  <si>
    <t>PIU-BisaStok-00709</t>
  </si>
  <si>
    <t>KAS-BisaStok-00709</t>
  </si>
  <si>
    <t>PIU-BisaStok-00855</t>
  </si>
  <si>
    <t>KAS-BisaStok-00855</t>
  </si>
  <si>
    <t>PIU-BisaStok-00182</t>
  </si>
  <si>
    <t>KAS-BisaStok-00182</t>
  </si>
  <si>
    <t>PIU-BisaStok-00708</t>
  </si>
  <si>
    <t>KAS-BisaStok-00708</t>
  </si>
  <si>
    <t>PIU-BisaStok-00286</t>
  </si>
  <si>
    <t>KAS-BisaStok-00286</t>
  </si>
  <si>
    <t>PIU-BisaStok-00291</t>
  </si>
  <si>
    <t>KAS-BisaStok-00291</t>
  </si>
  <si>
    <t>INV-BisaStok-00182</t>
  </si>
  <si>
    <t>INV-BisaStok-00709</t>
  </si>
  <si>
    <t>INV-BisaStok-00855</t>
  </si>
  <si>
    <t>PIU-BisaStok-00267</t>
  </si>
  <si>
    <t>KAS-BisaStok-00267</t>
  </si>
  <si>
    <t>PIU-BisaStok-00602</t>
  </si>
  <si>
    <t>KAS-BisaStok-00602</t>
  </si>
  <si>
    <t>PIU-BisaStok-00607</t>
  </si>
  <si>
    <t>KAS-BisaStok-00607</t>
  </si>
  <si>
    <t>PIU-BisaStok-00820</t>
  </si>
  <si>
    <t>KAS-BisaStok-00820</t>
  </si>
  <si>
    <t>PIU-BisaStok-00595</t>
  </si>
  <si>
    <t>KAS-BisaStok-00595</t>
  </si>
  <si>
    <t>INV-BisaStok-00708</t>
  </si>
  <si>
    <t>INV-BisaStok-00286</t>
  </si>
  <si>
    <t>INV-BisaStok-00291</t>
  </si>
  <si>
    <t>PIU-BisaStok-00122</t>
  </si>
  <si>
    <t>KAS-BisaStok-00122</t>
  </si>
  <si>
    <t>PIU-BisaStok-00087</t>
  </si>
  <si>
    <t>KAS-BisaStok-00087</t>
  </si>
  <si>
    <t>INV-BisaStok-00267</t>
  </si>
  <si>
    <t>INV-BisaStok-00820</t>
  </si>
  <si>
    <t>PIU-BisaStok-00386</t>
  </si>
  <si>
    <t>KAS-BisaStok-00386</t>
  </si>
  <si>
    <t>DBT-BisaPerlengkapan-00068</t>
  </si>
  <si>
    <t>CRT-BisaPerlengkapan-00068</t>
  </si>
  <si>
    <t>INV-BisaStok-00602</t>
  </si>
  <si>
    <t>INV-BisaStok-00607</t>
  </si>
  <si>
    <t>INV-BisaStok-00595</t>
  </si>
  <si>
    <t>INV-BisaStok-00386</t>
  </si>
  <si>
    <t>INV-BisaStok-00122</t>
  </si>
  <si>
    <t>INV-BisaStok-00087</t>
  </si>
  <si>
    <t>PIU-BisaStok-00819</t>
  </si>
  <si>
    <t>KAS-BisaStok-00819</t>
  </si>
  <si>
    <t>PIU-BisaStok-00568</t>
  </si>
  <si>
    <t>KAS-BisaStok-00568</t>
  </si>
  <si>
    <t>PIU-BisaStok-00670</t>
  </si>
  <si>
    <t>KAS-BisaStok-00670</t>
  </si>
  <si>
    <t>PIU-BisaStok-00672</t>
  </si>
  <si>
    <t>KAS-BisaStok-00672</t>
  </si>
  <si>
    <t>PIU-BisaStok-00574</t>
  </si>
  <si>
    <t>KAS-BisaStok-00574</t>
  </si>
  <si>
    <t>PIU-BisaStok-00299</t>
  </si>
  <si>
    <t>KAS-BisaStok-00299</t>
  </si>
  <si>
    <t>PIU-BisaStok-00501</t>
  </si>
  <si>
    <t>KAS-BisaStok-00501</t>
  </si>
  <si>
    <t>PIU-BisaStok-00537</t>
  </si>
  <si>
    <t>KAS-BisaStok-00537</t>
  </si>
  <si>
    <t>PIU-BisaStok-00644</t>
  </si>
  <si>
    <t>KAS-BisaStok-00644</t>
  </si>
  <si>
    <t>PIU-BisaStok-00952</t>
  </si>
  <si>
    <t>KAS-BisaStok-00952</t>
  </si>
  <si>
    <t>PIU-BisaStok-00682</t>
  </si>
  <si>
    <t>KAS-BisaStok-00682</t>
  </si>
  <si>
    <t>PIU-BisaStok-00298</t>
  </si>
  <si>
    <t>KAS-BisaStok-00298</t>
  </si>
  <si>
    <t>PIU-BisaStok-00671</t>
  </si>
  <si>
    <t>KAS-BisaStok-00671</t>
  </si>
  <si>
    <t>INV-BisaStok-00501</t>
  </si>
  <si>
    <t>INV-BisaStok-00537</t>
  </si>
  <si>
    <t>Persediaan ITBISA-TERMINAL-BLOCK-KF301-2P-BLUE</t>
  </si>
  <si>
    <t>INV-BisaStok-00952</t>
  </si>
  <si>
    <t>INV-BisaStok-00298</t>
  </si>
  <si>
    <t>INV-BisaStok-00568</t>
  </si>
  <si>
    <t>PIU-BisaStok-00045</t>
  </si>
  <si>
    <t>KAS-BisaStok-00045</t>
  </si>
  <si>
    <t>PIU-BisaStok-00044</t>
  </si>
  <si>
    <t>KAS-BisaStok-00044</t>
  </si>
  <si>
    <t>PIU-BisaStok-00043</t>
  </si>
  <si>
    <t>KAS-BisaStok-00043</t>
  </si>
  <si>
    <t>Persediaan ITBISA-PIN-HEADER-MALE-1X40PIN-LURUS</t>
  </si>
  <si>
    <t>INV-BisaStok-00671</t>
  </si>
  <si>
    <t>INV-BisaStok-00574</t>
  </si>
  <si>
    <t>INV-BisaStok-00299</t>
  </si>
  <si>
    <t>PIU-BisaStok-00455</t>
  </si>
  <si>
    <t>KAS-BisaStok-00455</t>
  </si>
  <si>
    <t>INV-BisaStok-00644</t>
  </si>
  <si>
    <t>INV-BisaStok-00682</t>
  </si>
  <si>
    <t>PIU-BisaStok-00454</t>
  </si>
  <si>
    <t>KAS-BisaStok-00454</t>
  </si>
  <si>
    <t>INV-BisaStok-00819</t>
  </si>
  <si>
    <t>INV-BisaStok-00672</t>
  </si>
  <si>
    <t>Persediaan ITBISA-PIN-HEADER-MALE-1X40PIN-L-SAMA</t>
  </si>
  <si>
    <t>INV-BisaStok-00670</t>
  </si>
  <si>
    <t>INV-BisaStok-00043</t>
  </si>
  <si>
    <t>INV-BisaStok-00044</t>
  </si>
  <si>
    <t>Beban Hilang ITBISA-RELAY-5V-5PIN-BLUE</t>
  </si>
  <si>
    <t>BBN-BisaHilang-00279</t>
  </si>
  <si>
    <t xml:space="preserve">          Persediaan ITBISA-RELAY-5V-5PIN-BLUE</t>
  </si>
  <si>
    <t>INV-BisaHilang-00279</t>
  </si>
  <si>
    <t>INV-BisaHilang-00280</t>
  </si>
  <si>
    <t xml:space="preserve">          Bonus ITBISA-RELAY-12V-5PIN-BLUE</t>
  </si>
  <si>
    <t>BNS-BisaHilang-00280</t>
  </si>
  <si>
    <t>PIU-BisaStok-00707</t>
  </si>
  <si>
    <t>KAS-BisaStok-00707</t>
  </si>
  <si>
    <t>BBN-BisaHilang-00281</t>
  </si>
  <si>
    <t>INV-BisaHilang-00281</t>
  </si>
  <si>
    <t>INV-BisaStok-00045</t>
  </si>
  <si>
    <t>PIU-BisaStok-00453</t>
  </si>
  <si>
    <t>KAS-BisaStok-00453</t>
  </si>
  <si>
    <t>INV-BisaStok-00455</t>
  </si>
  <si>
    <t>INV-BisaStok-00454</t>
  </si>
  <si>
    <t>INV-BisaStok-00707</t>
  </si>
  <si>
    <t>INV-BisaStok-00453</t>
  </si>
  <si>
    <t>PIU-BisaStok-00297</t>
  </si>
  <si>
    <t>KAS-BisaStok-00297</t>
  </si>
  <si>
    <t>DBT-BisaPerlengkapan-00069</t>
  </si>
  <si>
    <t>CRT-BisaPerlengkapan-00069</t>
  </si>
  <si>
    <t>INV-BisaStok-00297</t>
  </si>
  <si>
    <t>PIU-BisaStok-00120</t>
  </si>
  <si>
    <t>KAS-BisaStok-00120</t>
  </si>
  <si>
    <t>PIU-BisaStok-00121</t>
  </si>
  <si>
    <t>KAS-BisaStok-00121</t>
  </si>
  <si>
    <t>PIU-BisaStok-00086</t>
  </si>
  <si>
    <t>KAS-BisaStok-00086</t>
  </si>
  <si>
    <t>Persediaan ITBISA-RELAY-12V-4PIN-BLUE</t>
  </si>
  <si>
    <t>INV-BisaStok-00698</t>
  </si>
  <si>
    <t>Persediaan ITBISA-RELAY-5V-4PIN-BLUE</t>
  </si>
  <si>
    <t>INV-BisaStok-00731</t>
  </si>
  <si>
    <t>PIU-BisaStok-00194</t>
  </si>
  <si>
    <t>KAS-BisaStok-00194</t>
  </si>
  <si>
    <t>PIU-BisaStok-00911</t>
  </si>
  <si>
    <t>KAS-BisaStok-00911</t>
  </si>
  <si>
    <t>PIU-BisaStok-00296</t>
  </si>
  <si>
    <t>KAS-BisaStok-00296</t>
  </si>
  <si>
    <t>PIU-BisaStok-00910</t>
  </si>
  <si>
    <t>KAS-BisaStok-00910</t>
  </si>
  <si>
    <t>PIU-BisaStok-00705</t>
  </si>
  <si>
    <t>KAS-BisaStok-00705</t>
  </si>
  <si>
    <t>PIU-BisaStok-00706</t>
  </si>
  <si>
    <t>KAS-BisaStok-00706</t>
  </si>
  <si>
    <t>PIU-BisaStok-00567</t>
  </si>
  <si>
    <t>KAS-BisaStok-00567</t>
  </si>
  <si>
    <t>PIU-BisaStok-00611</t>
  </si>
  <si>
    <t>KAS-BisaStok-00611</t>
  </si>
  <si>
    <t>INV-BisaStok-00567</t>
  </si>
  <si>
    <t>INV-BisaStok-00706</t>
  </si>
  <si>
    <t>INV-BisaStok-00910</t>
  </si>
  <si>
    <t>INV-BisaStok-00296</t>
  </si>
  <si>
    <t>INV-BisaStok-00911</t>
  </si>
  <si>
    <t>INV-BisaStok-00705</t>
  </si>
  <si>
    <t>INV-BisaStok-00194</t>
  </si>
  <si>
    <t>Persediaan ITBISA-LED-SUPERBRIGHT-5MM-YELLOW</t>
  </si>
  <si>
    <t>INV-BisaStok-00611</t>
  </si>
  <si>
    <t>PIU-BisaStok-00704</t>
  </si>
  <si>
    <t>KAS-BisaStok-00704</t>
  </si>
  <si>
    <t>INV-BisaStok-00704</t>
  </si>
  <si>
    <t>PIU-BisaStok-00181</t>
  </si>
  <si>
    <t>KAS-BisaStok-00181</t>
  </si>
  <si>
    <t>PIU-BisaStok-00385</t>
  </si>
  <si>
    <t>KAS-BisaStok-00385</t>
  </si>
  <si>
    <t>INV-BisaStok-00385</t>
  </si>
  <si>
    <t>INV-BisaStok-00181</t>
  </si>
  <si>
    <t>PIU-BisaStok-00085</t>
  </si>
  <si>
    <t>KAS-BisaStok-00085</t>
  </si>
  <si>
    <t>PIU-BisaStok-00818</t>
  </si>
  <si>
    <t>KAS-BisaStok-00818</t>
  </si>
  <si>
    <t>PIU-BisaStok-00638</t>
  </si>
  <si>
    <t>KAS-BisaStok-00638</t>
  </si>
  <si>
    <t>PIU-BisaStok-00655</t>
  </si>
  <si>
    <t>KAS-BisaStok-00655</t>
  </si>
  <si>
    <t>DBT-BisaPerlengkapan-00071</t>
  </si>
  <si>
    <t>CRT-BisaPerlengkapan-00071</t>
  </si>
  <si>
    <t>PIU-BisaStok-00674</t>
  </si>
  <si>
    <t>KAS-BisaStok-00674</t>
  </si>
  <si>
    <t>INV-BisaStok-00818</t>
  </si>
  <si>
    <t>INV-BisaStok-00085</t>
  </si>
  <si>
    <t>PIU-BisaStok-00850</t>
  </si>
  <si>
    <t>KAS-BisaStok-00850</t>
  </si>
  <si>
    <t>PIU-BisaStok-00849</t>
  </si>
  <si>
    <t>KAS-BisaStok-00849</t>
  </si>
  <si>
    <t>PIU-BisaStok-00610</t>
  </si>
  <si>
    <t>KAS-BisaStok-00610</t>
  </si>
  <si>
    <t>PIU-BisaStok-00459</t>
  </si>
  <si>
    <t>KAS-BisaStok-00459</t>
  </si>
  <si>
    <t>PIU-BisaStok-00594</t>
  </si>
  <si>
    <t>KAS-BisaStok-00594</t>
  </si>
  <si>
    <t>PIU-BisaStok-00229</t>
  </si>
  <si>
    <t>KAS-BisaStok-00229</t>
  </si>
  <si>
    <t>PIU-BisaStok-00932</t>
  </si>
  <si>
    <t>KAS-BisaStok-00932</t>
  </si>
  <si>
    <t>INV-BisaStok-00229</t>
  </si>
  <si>
    <t>INV-BisaStok-00638</t>
  </si>
  <si>
    <t>INV-BisaStok-00655</t>
  </si>
  <si>
    <t>INV-BisaStok-00674</t>
  </si>
  <si>
    <t>INV-BisaStok-00849</t>
  </si>
  <si>
    <t>INV-BisaStok-00850</t>
  </si>
  <si>
    <t>INV-BisaStok-00932</t>
  </si>
  <si>
    <t>INV-BisaStok-00610</t>
  </si>
  <si>
    <t>Persediaan ITBISA-IDC-2X5-AMPHENOL-MALE</t>
  </si>
  <si>
    <t>INV-BisaStok-00459</t>
  </si>
  <si>
    <t>INV-BisaStok-00594</t>
  </si>
  <si>
    <t>INV-BisaStok-00120</t>
  </si>
  <si>
    <t>INV-BisaStok-00086</t>
  </si>
  <si>
    <t>INV-BisaStok-00121</t>
  </si>
  <si>
    <t>PIU-BisaStok-00119</t>
  </si>
  <si>
    <t>KAS-BisaStok-00119</t>
  </si>
  <si>
    <t>PIU-BisaStok-00084</t>
  </si>
  <si>
    <t>KAS-BisaStok-00084</t>
  </si>
  <si>
    <t>PIU-BisaStok-00500</t>
  </si>
  <si>
    <t>KAS-BisaStok-00500</t>
  </si>
  <si>
    <t>PIU-BisaStok-00848</t>
  </si>
  <si>
    <t>KAS-BisaStok-00848</t>
  </si>
  <si>
    <t>INV-BisaStok-00119</t>
  </si>
  <si>
    <t>INV-BisaStok-00084</t>
  </si>
  <si>
    <t>PIU-BisaStok-00847</t>
  </si>
  <si>
    <t>KAS-BisaStok-00847</t>
  </si>
  <si>
    <t>INV-BisaStok-00848</t>
  </si>
  <si>
    <t>INV-BisaStok-00500</t>
  </si>
  <si>
    <t>INV-BisaStok-00847</t>
  </si>
  <si>
    <t>PIU-BisaStok-00703</t>
  </si>
  <si>
    <t>KAS-BisaStok-00703</t>
  </si>
  <si>
    <t>PIU-BisaStok-00339</t>
  </si>
  <si>
    <t>KAS-BisaStok-00339</t>
  </si>
  <si>
    <t>PIU-BisaStok-00083</t>
  </si>
  <si>
    <t>KAS-BisaStok-00083</t>
  </si>
  <si>
    <t>INV-BisaStok-00339</t>
  </si>
  <si>
    <t>INV-BisaStok-00703</t>
  </si>
  <si>
    <t>PIU-BisaStok-00069</t>
  </si>
  <si>
    <t>KAS-BisaStok-00069</t>
  </si>
  <si>
    <t>INV-BisaStok-00083</t>
  </si>
  <si>
    <t>INV-BisaStok-00069</t>
  </si>
  <si>
    <t>PIU-BisaStok-00527</t>
  </si>
  <si>
    <t>KAS-BisaStok-00527</t>
  </si>
  <si>
    <t>PIU-BisaStok-00042</t>
  </si>
  <si>
    <t>KAS-BisaStok-00042</t>
  </si>
  <si>
    <t>PIU-BisaStok-00555</t>
  </si>
  <si>
    <t>KAS-BisaStok-00555</t>
  </si>
  <si>
    <t>PIU-BisaStok-00462</t>
  </si>
  <si>
    <t>KAS-BisaStok-00462</t>
  </si>
  <si>
    <t>PIU-BisaStok-00895</t>
  </si>
  <si>
    <t>KAS-BisaStok-00895</t>
  </si>
  <si>
    <t>PIU-BisaStok-00826</t>
  </si>
  <si>
    <t>KAS-BisaStok-00826</t>
  </si>
  <si>
    <t>PIU-BisaStok-00338</t>
  </si>
  <si>
    <t>KAS-BisaStok-00338</t>
  </si>
  <si>
    <t>PIU-BisaStok-00193</t>
  </si>
  <si>
    <t>KAS-BisaStok-00193</t>
  </si>
  <si>
    <t>PIU-BisaStok-00082</t>
  </si>
  <si>
    <t>KAS-BisaStok-00082</t>
  </si>
  <si>
    <t>INV-BisaStok-00895</t>
  </si>
  <si>
    <t>PIU-BisaStok-00702</t>
  </si>
  <si>
    <t>KAS-BisaStok-00702</t>
  </si>
  <si>
    <t>PIU-BisaStok-00461</t>
  </si>
  <si>
    <t>KAS-BisaStok-00461</t>
  </si>
  <si>
    <t>PIU-BisaStok-00192</t>
  </si>
  <si>
    <t>KAS-BisaStok-00192</t>
  </si>
  <si>
    <t>PIU-BisaStok-00295</t>
  </si>
  <si>
    <t>KAS-BisaStok-00295</t>
  </si>
  <si>
    <t>INV-BisaStok-00082</t>
  </si>
  <si>
    <t>INV-BisaStok-00042</t>
  </si>
  <si>
    <t>INV-BisaStok-00527</t>
  </si>
  <si>
    <t>INV-BisaStok-00555</t>
  </si>
  <si>
    <t>INV-BisaStok-00193</t>
  </si>
  <si>
    <t>INV-BisaStok-00338</t>
  </si>
  <si>
    <t>INV-BisaStok-00462</t>
  </si>
  <si>
    <t>PIU-BisaStok-00868</t>
  </si>
  <si>
    <t>KAS-BisaStok-00868</t>
  </si>
  <si>
    <t>PIU-BisaStok-00997</t>
  </si>
  <si>
    <t>KAS-BisaStok-00997</t>
  </si>
  <si>
    <t>PIU-BisaStok-00701</t>
  </si>
  <si>
    <t>KAS-BisaStok-00701</t>
  </si>
  <si>
    <t>PIU-BisaStok-00228</t>
  </si>
  <si>
    <t>KAS-BisaStok-00228</t>
  </si>
  <si>
    <t>PIU-BisaStok-00734</t>
  </si>
  <si>
    <t>KAS-BisaStok-00734</t>
  </si>
  <si>
    <t>PIU-BisaStok-00468</t>
  </si>
  <si>
    <t>KAS-BisaStok-00468</t>
  </si>
  <si>
    <t>PIU-BisaStok-00294</t>
  </si>
  <si>
    <t>KAS-BisaStok-00294</t>
  </si>
  <si>
    <t>INV-BisaStok-00826</t>
  </si>
  <si>
    <t>INV-BisaStok-00702</t>
  </si>
  <si>
    <t>INV-BisaStok-00461</t>
  </si>
  <si>
    <t>INV-BisaStok-00192</t>
  </si>
  <si>
    <t>INV-BisaStok-00295</t>
  </si>
  <si>
    <t>PIU-BisaStok-00384</t>
  </si>
  <si>
    <t>KAS-BisaStok-00384</t>
  </si>
  <si>
    <t>PIU-BisaStok-00383</t>
  </si>
  <si>
    <t>KAS-BisaStok-00383</t>
  </si>
  <si>
    <t>PIU-BisaStok-00285</t>
  </si>
  <si>
    <t>KAS-BisaStok-00285</t>
  </si>
  <si>
    <t>PIU-BisaStok-00284</t>
  </si>
  <si>
    <t>KAS-BisaStok-00284</t>
  </si>
  <si>
    <t>INV-BisaStok-00868</t>
  </si>
  <si>
    <t>INV-BisaStok-00997</t>
  </si>
  <si>
    <t>INV-BisaStok-00384</t>
  </si>
  <si>
    <t>INV-BisaStok-00284</t>
  </si>
  <si>
    <t>INV-BisaStok-00285</t>
  </si>
  <si>
    <t>INV-BisaHilang-00283</t>
  </si>
  <si>
    <t>BNS-BisaHilang-00283</t>
  </si>
  <si>
    <t>INV-BisaHilang-00284</t>
  </si>
  <si>
    <t xml:space="preserve">          Bonus ITBISA-BLUETOOTH-MODULE-HC05</t>
  </si>
  <si>
    <t>BNS-BisaHilang-00284</t>
  </si>
  <si>
    <t>Beban Hilang ITBISA-WEMOS-D1-MINI-ESP8266</t>
  </si>
  <si>
    <t>BBN-BisaHilang-00285</t>
  </si>
  <si>
    <t xml:space="preserve">          Persediaan ITBISA-WEMOS-D1-MINI-ESP8266</t>
  </si>
  <si>
    <t>INV-BisaHilang-00285</t>
  </si>
  <si>
    <t>INV-BisaHilang-00286</t>
  </si>
  <si>
    <t xml:space="preserve">          Bonus ITBISA-LED-MAX7219-4IN1-GAP</t>
  </si>
  <si>
    <t>BNS-BisaHilang-00286</t>
  </si>
  <si>
    <t>Beban Hilang ITBISA-RESISTOR-330-1/4W</t>
  </si>
  <si>
    <t>BBN-BisaHilang-00287</t>
  </si>
  <si>
    <t xml:space="preserve">          Persediaan ITBISA-RESISTOR-330-1/4W</t>
  </si>
  <si>
    <t>INV-BisaHilang-00287</t>
  </si>
  <si>
    <t>INV-BisaStok-00383</t>
  </si>
  <si>
    <t>PIU-BisaStok-00421</t>
  </si>
  <si>
    <t>KAS-BisaStok-00421</t>
  </si>
  <si>
    <t>PIU-BisaStok-00452</t>
  </si>
  <si>
    <t>KAS-BisaStok-00452</t>
  </si>
  <si>
    <t>PIU-BisaStok-00382</t>
  </si>
  <si>
    <t>KAS-BisaStok-00382</t>
  </si>
  <si>
    <t>PIU-BisaStok-00526</t>
  </si>
  <si>
    <t>KAS-BisaStok-00526</t>
  </si>
  <si>
    <t>PIU-BisaStok-00041</t>
  </si>
  <si>
    <t>KAS-BisaStok-00041</t>
  </si>
  <si>
    <t>PIU-BisaStok-00554</t>
  </si>
  <si>
    <t>KAS-BisaStok-00554</t>
  </si>
  <si>
    <t>INV-BisaStok-00701</t>
  </si>
  <si>
    <t>INV-BisaStok-00228</t>
  </si>
  <si>
    <t>INV-BisaStok-00734</t>
  </si>
  <si>
    <t>INV-BisaStok-00468</t>
  </si>
  <si>
    <t>INV-BisaStok-00294</t>
  </si>
  <si>
    <t>PIU-BisaStok-00283</t>
  </si>
  <si>
    <t>KAS-BisaStok-00283</t>
  </si>
  <si>
    <t>INV-BisaStok-00421</t>
  </si>
  <si>
    <t>INV-BisaStok-00452</t>
  </si>
  <si>
    <t>INV-BisaStok-00382</t>
  </si>
  <si>
    <t>INV-BisaStok-00526</t>
  </si>
  <si>
    <t>INV-BisaStok-00041</t>
  </si>
  <si>
    <t>INV-BisaStok-00554</t>
  </si>
  <si>
    <t>PIU-BisaStok-00817</t>
  </si>
  <si>
    <t>KAS-BisaStok-00817</t>
  </si>
  <si>
    <t>PIU-BisaStok-00730</t>
  </si>
  <si>
    <t>KAS-BisaStok-00730</t>
  </si>
  <si>
    <t>PIU-BisaStok-00040</t>
  </si>
  <si>
    <t>KAS-BisaStok-00040</t>
  </si>
  <si>
    <t>PIU-BisaStok-00180</t>
  </si>
  <si>
    <t>KAS-BisaStok-00180</t>
  </si>
  <si>
    <t>INV-BisaStok-00283</t>
  </si>
  <si>
    <t>Persediaan ITBISA-RFID-RC522-KIT</t>
  </si>
  <si>
    <t>INV-BisaStok-00817</t>
  </si>
  <si>
    <t>Persediaan ITBISA-RELAY-5V-1CHANNEL-BLUE-LOW-TRIGGER</t>
  </si>
  <si>
    <t>INV-BisaStok-00730</t>
  </si>
  <si>
    <t>INV-BisaStok-00180</t>
  </si>
  <si>
    <t>INV-BisaStok-00040</t>
  </si>
  <si>
    <t>PIU-BisaStok-00613</t>
  </si>
  <si>
    <t>KAS-BisaStok-00613</t>
  </si>
  <si>
    <t>PIU-BisaStok-00966</t>
  </si>
  <si>
    <t>KAS-BisaStok-00966</t>
  </si>
  <si>
    <t>PIU-BisaStok-00816</t>
  </si>
  <si>
    <t>KAS-BisaStok-00816</t>
  </si>
  <si>
    <t>PIU-BisaStok-00525</t>
  </si>
  <si>
    <t>KAS-BisaStok-00525</t>
  </si>
  <si>
    <t>PIU-BisaStok-00965</t>
  </si>
  <si>
    <t>KAS-BisaStok-00965</t>
  </si>
  <si>
    <t>PIU-BisaStok-00172</t>
  </si>
  <si>
    <t>KAS-BisaStok-00172</t>
  </si>
  <si>
    <t>PIU-BisaStok-00492</t>
  </si>
  <si>
    <t>KAS-BisaStok-00492</t>
  </si>
  <si>
    <t>PIU-BisaStok-00996</t>
  </si>
  <si>
    <t>KAS-BisaStok-00996</t>
  </si>
  <si>
    <t>PIU-BisaStok-00573</t>
  </si>
  <si>
    <t>KAS-BisaStok-00573</t>
  </si>
  <si>
    <t>PIU-BisaStok-00909</t>
  </si>
  <si>
    <t>KAS-BisaStok-00909</t>
  </si>
  <si>
    <t>PIU-BisaStok-00420</t>
  </si>
  <si>
    <t>KAS-BisaStok-00420</t>
  </si>
  <si>
    <t>PIU-BisaStok-00846</t>
  </si>
  <si>
    <t>KAS-BisaStok-00846</t>
  </si>
  <si>
    <t>PIU-BisaStok-00572</t>
  </si>
  <si>
    <t>KAS-BisaStok-00572</t>
  </si>
  <si>
    <t>PIU-BisaStok-00381</t>
  </si>
  <si>
    <t>KAS-BisaStok-00381</t>
  </si>
  <si>
    <t>PIU-BisaStok-00908</t>
  </si>
  <si>
    <t>KAS-BisaStok-00908</t>
  </si>
  <si>
    <t>PIU-BisaStok-00380</t>
  </si>
  <si>
    <t>KAS-BisaStok-00380</t>
  </si>
  <si>
    <t>INV-BisaStok-00613</t>
  </si>
  <si>
    <t>INV-BisaStok-00966</t>
  </si>
  <si>
    <t>PIU-BisaStok-00964</t>
  </si>
  <si>
    <t>KAS-BisaStok-00964</t>
  </si>
  <si>
    <t>PIU-BisaStok-00171</t>
  </si>
  <si>
    <t>KAS-BisaStok-00171</t>
  </si>
  <si>
    <t>PIU-BisaStok-00379</t>
  </si>
  <si>
    <t>KAS-BisaStok-00379</t>
  </si>
  <si>
    <t>INV-BisaStok-00996</t>
  </si>
  <si>
    <t>INV-BisaStok-00816</t>
  </si>
  <si>
    <t>INV-BisaStok-00965</t>
  </si>
  <si>
    <t>INV-BisaStok-00172</t>
  </si>
  <si>
    <t>INV-BisaStok-00573</t>
  </si>
  <si>
    <t>INV-BisaStok-00908</t>
  </si>
  <si>
    <t>INV-BisaStok-00420</t>
  </si>
  <si>
    <t>INV-BisaStok-00846</t>
  </si>
  <si>
    <t>INV-BisaStok-00380</t>
  </si>
  <si>
    <t>INV-BisaStok-00572</t>
  </si>
  <si>
    <t>PIU-BisaStok-00435</t>
  </si>
  <si>
    <t>KAS-BisaStok-00435</t>
  </si>
  <si>
    <t>PIU-BisaStok-00815</t>
  </si>
  <si>
    <t>KAS-BisaStok-00815</t>
  </si>
  <si>
    <t>INV-BisaStok-00381</t>
  </si>
  <si>
    <t>INV-BisaStok-00525</t>
  </si>
  <si>
    <t>INV-BisaStok-00492</t>
  </si>
  <si>
    <t>INV-BisaStok-00964</t>
  </si>
  <si>
    <t>INV-BisaStok-00171</t>
  </si>
  <si>
    <t>INV-BisaStok-00379</t>
  </si>
  <si>
    <t>INV-BisaStok-00815</t>
  </si>
  <si>
    <t>INV-BisaStok-00435</t>
  </si>
  <si>
    <t>INV-BisaStok-00909</t>
  </si>
  <si>
    <t>PIU-BisaStok-00866</t>
  </si>
  <si>
    <t>KAS-BisaStok-00866</t>
  </si>
  <si>
    <t>PIU-BisaStok-00867</t>
  </si>
  <si>
    <t>KAS-BisaStok-00867</t>
  </si>
  <si>
    <t>PIU-BisaStok-00845</t>
  </si>
  <si>
    <t>KAS-BisaStok-00845</t>
  </si>
  <si>
    <t>PIU-BisaStok-00257</t>
  </si>
  <si>
    <t>KAS-BisaStok-00257</t>
  </si>
  <si>
    <t>BBN-BisaHilang-00290</t>
  </si>
  <si>
    <t>INV-BisaHilang-00290</t>
  </si>
  <si>
    <t>BBN-BisaHilang-00291</t>
  </si>
  <si>
    <t>INV-BisaHilang-00291</t>
  </si>
  <si>
    <t>Beban Hilang ITBISA-NODEMCU-ESP32-MICRO-38PIN</t>
  </si>
  <si>
    <t>BBN-BisaHilang-00292</t>
  </si>
  <si>
    <t xml:space="preserve">          Persediaan ITBISA-NODEMCU-ESP32-MICRO-38PIN</t>
  </si>
  <si>
    <t>INV-BisaHilang-00292</t>
  </si>
  <si>
    <t>Beban Hilang ITBISA-LED-MAX7219-4IN1-TIGHT</t>
  </si>
  <si>
    <t>BBN-BisaHilang-00293</t>
  </si>
  <si>
    <t xml:space="preserve">          Persediaan ITBISA-LED-MAX7219-4IN1-TIGHT</t>
  </si>
  <si>
    <t>INV-BisaHilang-00293</t>
  </si>
  <si>
    <t>Beban Hilang ITBISA-IC-ATMEGA328P-DIP28</t>
  </si>
  <si>
    <t>BBN-BisaHilang-00294</t>
  </si>
  <si>
    <t xml:space="preserve">          Persediaan ITBISA-IC-ATMEGA328P-DIP28</t>
  </si>
  <si>
    <t>INV-BisaHilang-00294</t>
  </si>
  <si>
    <t>BBN-BisaHilang-00295</t>
  </si>
  <si>
    <t>INV-BisaHilang-00295</t>
  </si>
  <si>
    <t>PIU-BisaStok-00660</t>
  </si>
  <si>
    <t>KAS-BisaStok-00660</t>
  </si>
  <si>
    <t>INV-BisaStok-00866</t>
  </si>
  <si>
    <t>PIU-BisaStok-00467</t>
  </si>
  <si>
    <t>KAS-BisaStok-00467</t>
  </si>
  <si>
    <t>INV-BisaStok-00867</t>
  </si>
  <si>
    <t>INV-BisaStok-00845</t>
  </si>
  <si>
    <t>INV-BisaStok-00257</t>
  </si>
  <si>
    <t>PIU-BisaStok-00191</t>
  </si>
  <si>
    <t>KAS-BisaStok-00191</t>
  </si>
  <si>
    <t>INV-BisaStok-00660</t>
  </si>
  <si>
    <t>PIU-BisaStok-00491</t>
  </si>
  <si>
    <t>KAS-BisaStok-00491</t>
  </si>
  <si>
    <t>PIU-BisaStok-00081</t>
  </si>
  <si>
    <t>KAS-BisaStok-00081</t>
  </si>
  <si>
    <t>PIU-BisaStok-00080</t>
  </si>
  <si>
    <t>KAS-BisaStok-00080</t>
  </si>
  <si>
    <t>PIU-BisaStok-00606</t>
  </si>
  <si>
    <t>KAS-BisaStok-00606</t>
  </si>
  <si>
    <t>PIU-BisaStok-00418</t>
  </si>
  <si>
    <t>KAS-BisaStok-00418</t>
  </si>
  <si>
    <t>PIU-BisaStok-00419</t>
  </si>
  <si>
    <t>KAS-BisaStok-00419</t>
  </si>
  <si>
    <t>PIU-BisaStok-00937</t>
  </si>
  <si>
    <t>KAS-BisaStok-00937</t>
  </si>
  <si>
    <t>PIU-BisaStok-00451</t>
  </si>
  <si>
    <t>KAS-BisaStok-00451</t>
  </si>
  <si>
    <t>PIU-BisaStok-00458</t>
  </si>
  <si>
    <t>KAS-BisaStok-00458</t>
  </si>
  <si>
    <t>INV-BisaStok-00191</t>
  </si>
  <si>
    <t>INV-BisaStok-00467</t>
  </si>
  <si>
    <t>INV-BisaStok-00491</t>
  </si>
  <si>
    <t>PIU-BisaStok-00179</t>
  </si>
  <si>
    <t>KAS-BisaStok-00179</t>
  </si>
  <si>
    <t>PIU-BisaStok-00282</t>
  </si>
  <si>
    <t>KAS-BisaStok-00282</t>
  </si>
  <si>
    <t>PIU-BisaStok-00584</t>
  </si>
  <si>
    <t>KAS-BisaStok-00584</t>
  </si>
  <si>
    <t>INV-BisaStok-00081</t>
  </si>
  <si>
    <t>INV-BisaStok-00080</t>
  </si>
  <si>
    <t>PIU-BisaStok-00328</t>
  </si>
  <si>
    <t>KAS-BisaStok-00328</t>
  </si>
  <si>
    <t>INV-BisaStok-00606</t>
  </si>
  <si>
    <t>INV-BisaStok-00418</t>
  </si>
  <si>
    <t>INV-BisaStok-00419</t>
  </si>
  <si>
    <t>INV-BisaStok-00937</t>
  </si>
  <si>
    <t>INV-BisaStok-00451</t>
  </si>
  <si>
    <t>INV-BisaStok-00458</t>
  </si>
  <si>
    <t>PIU-BisaStok-00079</t>
  </si>
  <si>
    <t>KAS-BisaStok-00079</t>
  </si>
  <si>
    <t>INV-BisaStok-00282</t>
  </si>
  <si>
    <t>INV-BisaStok-00584</t>
  </si>
  <si>
    <t>INV-BisaStok-00328</t>
  </si>
  <si>
    <t>INV-BisaStok-00179</t>
  </si>
  <si>
    <t>PIU-BisaStok-00327</t>
  </si>
  <si>
    <t>KAS-BisaStok-00327</t>
  </si>
  <si>
    <t>INV-BisaStok-00327</t>
  </si>
  <si>
    <t>INV-BisaStok-00079</t>
  </si>
  <si>
    <t>PIU-BisaStok-00078</t>
  </si>
  <si>
    <t>KAS-BisaStok-00078</t>
  </si>
  <si>
    <t>DBT-BisaPerlengkapan-00073</t>
  </si>
  <si>
    <t>CRT-BisaPerlengkapan-00073</t>
  </si>
  <si>
    <t>PIU-BisaStok-00894</t>
  </si>
  <si>
    <t>KAS-BisaStok-00894</t>
  </si>
  <si>
    <t>INV-BisaStok-00894</t>
  </si>
  <si>
    <t>INV-BisaStok-00078</t>
  </si>
  <si>
    <t>INV-BisaHilang-00297</t>
  </si>
  <si>
    <t>BNS-BisaHilang-00297</t>
  </si>
  <si>
    <t>PIU-BisaStok-00784</t>
  </si>
  <si>
    <t>KAS-BisaStok-00784</t>
  </si>
  <si>
    <t>PIU-BisaStok-00118</t>
  </si>
  <si>
    <t>KAS-BisaStok-00118</t>
  </si>
  <si>
    <t>PIU-BisaStok-00077</t>
  </si>
  <si>
    <t>KAS-BisaStok-00077</t>
  </si>
  <si>
    <t>INV-BisaStok-00784</t>
  </si>
  <si>
    <t>INV-BisaStok-00118</t>
  </si>
  <si>
    <t>INV-BisaStok-00077</t>
  </si>
  <si>
    <t>PIU-BisaStok-00951</t>
  </si>
  <si>
    <t>KAS-BisaStok-00951</t>
  </si>
  <si>
    <t>PIU-BisaStok-00536</t>
  </si>
  <si>
    <t>KAS-BisaStok-00536</t>
  </si>
  <si>
    <t>PIU-BisaStok-00963</t>
  </si>
  <si>
    <t>KAS-BisaStok-00963</t>
  </si>
  <si>
    <t>PIU-BisaStok-00170</t>
  </si>
  <si>
    <t>KAS-BisaStok-00170</t>
  </si>
  <si>
    <t>PIU-BisaStok-00475</t>
  </si>
  <si>
    <t>KAS-BisaStok-00475</t>
  </si>
  <si>
    <t>PIU-BisaStok-00499</t>
  </si>
  <si>
    <t>KAS-BisaStok-00499</t>
  </si>
  <si>
    <t>PIU-BisaStok-00417</t>
  </si>
  <si>
    <t>KAS-BisaStok-00417</t>
  </si>
  <si>
    <t>PIU-BisaStok-00076</t>
  </si>
  <si>
    <t>KAS-BisaStok-00076</t>
  </si>
  <si>
    <t>INV-BisaStok-00963</t>
  </si>
  <si>
    <t>INV-BisaStok-00170</t>
  </si>
  <si>
    <t>INV-BisaStok-00951</t>
  </si>
  <si>
    <t>INV-BisaStok-00536</t>
  </si>
  <si>
    <t>INV-BisaStok-00475</t>
  </si>
  <si>
    <t>INV-BisaStok-00499</t>
  </si>
  <si>
    <t>INV-BisaStok-00581</t>
  </si>
  <si>
    <t>INV-BisaStok-00417</t>
  </si>
  <si>
    <t>PIU-BisaStok-00865</t>
  </si>
  <si>
    <t>KAS-BisaStok-00865</t>
  </si>
  <si>
    <t>PIU-BisaStok-00039</t>
  </si>
  <si>
    <t>KAS-BisaStok-00039</t>
  </si>
  <si>
    <t>PIU-BisaStok-00854</t>
  </si>
  <si>
    <t>KAS-BisaStok-00854</t>
  </si>
  <si>
    <t>PIU-BisaStok-00864</t>
  </si>
  <si>
    <t>KAS-BisaStok-00864</t>
  </si>
  <si>
    <t>PIU-BisaStok-00227</t>
  </si>
  <si>
    <t>KAS-BisaStok-00227</t>
  </si>
  <si>
    <t>PIU-BisaStok-00281</t>
  </si>
  <si>
    <t>KAS-BisaStok-00281</t>
  </si>
  <si>
    <t>PIU-BisaStok-00290</t>
  </si>
  <si>
    <t>KAS-BisaStok-00290</t>
  </si>
  <si>
    <t>PIU-BisaStok-00337</t>
  </si>
  <si>
    <t>KAS-BisaStok-00337</t>
  </si>
  <si>
    <t>INV-BisaStok-00076</t>
  </si>
  <si>
    <t>INV-BisaStok-00864</t>
  </si>
  <si>
    <t>INV-BisaStok-00337</t>
  </si>
  <si>
    <t>INV-BisaStok-00281</t>
  </si>
  <si>
    <t>INV-BisaStok-00290</t>
  </si>
  <si>
    <t>INV-BisaHilang-00300</t>
  </si>
  <si>
    <t xml:space="preserve">          Bonus ITBISA-LCD-16X2-GREEN</t>
  </si>
  <si>
    <t>BNS-BisaHilang-00300</t>
  </si>
  <si>
    <t>Beban Hilang ITBISA-LCD-16X2-BLUE</t>
  </si>
  <si>
    <t>BBN-BisaHilang-00299</t>
  </si>
  <si>
    <t xml:space="preserve">          Persediaan ITBISA-LCD-16X2-BLUE</t>
  </si>
  <si>
    <t>INV-BisaHilang-00299</t>
  </si>
  <si>
    <t>INV-BisaStok-00854</t>
  </si>
  <si>
    <t>INV-BisaStok-00865</t>
  </si>
  <si>
    <t>INV-BisaStok-00039</t>
  </si>
  <si>
    <t>INV-BisaStok-00227</t>
  </si>
  <si>
    <t>PIU-BisaStok-00700</t>
  </si>
  <si>
    <t>KAS-BisaStok-00700</t>
  </si>
  <si>
    <t>PIU-BisaStok-00733</t>
  </si>
  <si>
    <t>KAS-BisaStok-00733</t>
  </si>
  <si>
    <t>PIU-BisaStok-00765</t>
  </si>
  <si>
    <t>KAS-BisaStok-00765</t>
  </si>
  <si>
    <t>PIU-BisaStok-00771</t>
  </si>
  <si>
    <t>KAS-BisaStok-00771</t>
  </si>
  <si>
    <t>PIU-BisaStok-00578</t>
  </si>
  <si>
    <t>KAS-BisaStok-00578</t>
  </si>
  <si>
    <t>INV-BisaStok-00578</t>
  </si>
  <si>
    <t>Persediaan ITBISA-RESISTOR-220-1/4W</t>
  </si>
  <si>
    <t>INV-BisaStok-00765</t>
  </si>
  <si>
    <t>Persediaan ITBISA-RESISTOR-270-1/4W</t>
  </si>
  <si>
    <t>INV-BisaStok-00771</t>
  </si>
  <si>
    <t>INV-BisaHilang-00301</t>
  </si>
  <si>
    <t>BNS-BisaHilang-00301</t>
  </si>
  <si>
    <t>INV-BisaHilang-00302</t>
  </si>
  <si>
    <t>BNS-BisaHilang-00302</t>
  </si>
  <si>
    <t>INV-BisaStok-00700</t>
  </si>
  <si>
    <t>INV-BisaStok-00733</t>
  </si>
  <si>
    <t>PIU-BisaStok-00416</t>
  </si>
  <si>
    <t>KAS-BisaStok-00416</t>
  </si>
  <si>
    <t>PIU-BisaStok-00571</t>
  </si>
  <si>
    <t>KAS-BisaStok-00571</t>
  </si>
  <si>
    <t>PIU-BisaStok-00289</t>
  </si>
  <si>
    <t>KAS-BisaStok-00289</t>
  </si>
  <si>
    <t>PIU-BisaStok-00490</t>
  </si>
  <si>
    <t>KAS-BisaStok-00490</t>
  </si>
  <si>
    <t>PIU-BisaStok-00732</t>
  </si>
  <si>
    <t>KAS-BisaStok-00732</t>
  </si>
  <si>
    <t>PIU-BisaStok-00853</t>
  </si>
  <si>
    <t>KAS-BisaStok-00853</t>
  </si>
  <si>
    <t>PIU-BisaStok-00466</t>
  </si>
  <si>
    <t>KAS-BisaStok-00466</t>
  </si>
  <si>
    <t>PIU-BisaStok-00336</t>
  </si>
  <si>
    <t>KAS-BisaStok-00336</t>
  </si>
  <si>
    <t>INV-BisaStok-00853</t>
  </si>
  <si>
    <t>PIU-BisaStok-00116</t>
  </si>
  <si>
    <t>KAS-BisaStok-00116</t>
  </si>
  <si>
    <t>PIU-BisaStok-00117</t>
  </si>
  <si>
    <t>KAS-BisaStok-00117</t>
  </si>
  <si>
    <t>INV-BisaStok-00571</t>
  </si>
  <si>
    <t>PIU-BisaStok-00605</t>
  </si>
  <si>
    <t>KAS-BisaStok-00605</t>
  </si>
  <si>
    <t>PIU-BisaStok-00450</t>
  </si>
  <si>
    <t>KAS-BisaStok-00450</t>
  </si>
  <si>
    <t>PIU-BisaStok-00356</t>
  </si>
  <si>
    <t>KAS-BisaStok-00356</t>
  </si>
  <si>
    <t>PIU-BisaStok-00593</t>
  </si>
  <si>
    <t>KAS-BisaStok-00593</t>
  </si>
  <si>
    <t>INV-BisaStok-00289</t>
  </si>
  <si>
    <t>INV-BisaStok-00117</t>
  </si>
  <si>
    <t>INV-BisaStok-00732</t>
  </si>
  <si>
    <t>INV-BisaStok-00466</t>
  </si>
  <si>
    <t>INV-BisaStok-00336</t>
  </si>
  <si>
    <t>INV-BisaStok-00116</t>
  </si>
  <si>
    <t>INV-BisaStok-00416</t>
  </si>
  <si>
    <t>INV-BisaStok-00490</t>
  </si>
  <si>
    <t>INV-BisaStok-00605</t>
  </si>
  <si>
    <t>INV-BisaStok-00450</t>
  </si>
  <si>
    <t>INV-BisaStok-00356</t>
  </si>
  <si>
    <t>INV-BisaStok-00593</t>
  </si>
  <si>
    <t>PIU-BisaStok-00355</t>
  </si>
  <si>
    <t>KAS-BisaStok-00355</t>
  </si>
  <si>
    <t>PIU-BisaStok-00354</t>
  </si>
  <si>
    <t>KAS-BisaStok-00354</t>
  </si>
  <si>
    <t>PIU-BisaStok-00434</t>
  </si>
  <si>
    <t>KAS-BisaStok-00434</t>
  </si>
  <si>
    <t>BBN-BisaHilang-00306</t>
  </si>
  <si>
    <t>INV-BisaHilang-00306</t>
  </si>
  <si>
    <t>BBN-BisaHilang-00304</t>
  </si>
  <si>
    <t>INV-BisaHilang-00304</t>
  </si>
  <si>
    <t>BBN-BisaHilang-00305</t>
  </si>
  <si>
    <t>INV-BisaHilang-00305</t>
  </si>
  <si>
    <t>INV-BisaStok-00355</t>
  </si>
  <si>
    <t>INV-BisaStok-00354</t>
  </si>
  <si>
    <t>INV-BisaStok-00434</t>
  </si>
  <si>
    <t>PIU-BisaStok-00326</t>
  </si>
  <si>
    <t>KAS-BisaStok-00326</t>
  </si>
  <si>
    <t>INV-BisaStok-00326</t>
  </si>
  <si>
    <t>PIU-BisaStok-00308</t>
  </si>
  <si>
    <t>KAS-BisaStok-00308</t>
  </si>
  <si>
    <t>PIU-BisaStok-00325</t>
  </si>
  <si>
    <t>KAS-BisaStok-00325</t>
  </si>
  <si>
    <t>INV-BisaStok-00325</t>
  </si>
  <si>
    <t>INV-BisaStok-00308</t>
  </si>
  <si>
    <t>PIU-BisaStok-00415</t>
  </si>
  <si>
    <t>KAS-BisaStok-00415</t>
  </si>
  <si>
    <t>PIU-BisaStok-00414</t>
  </si>
  <si>
    <t>KAS-BisaStok-00414</t>
  </si>
  <si>
    <t>PIU-BisaStok-00893</t>
  </si>
  <si>
    <t>KAS-BisaStok-00893</t>
  </si>
  <si>
    <t>INV-BisaStok-00415</t>
  </si>
  <si>
    <t>INV-BisaStok-00893</t>
  </si>
  <si>
    <t>INV-BisaStok-00414</t>
  </si>
  <si>
    <t>PIU-BisaStok-00075</t>
  </si>
  <si>
    <t>KAS-BisaStok-00075</t>
  </si>
  <si>
    <t>PIU-BisaStok-00413</t>
  </si>
  <si>
    <t>KAS-BisaStok-00413</t>
  </si>
  <si>
    <t>Beban Hilang ITBISA-7SEGMENT-CATHODE-RED-2.30-1BIT</t>
  </si>
  <si>
    <t>BBN-BisaHilang-00308</t>
  </si>
  <si>
    <t xml:space="preserve">          Persediaan ITBISA-7SEGMENT-CATHODE-RED-2.30-1BIT</t>
  </si>
  <si>
    <t>INV-BisaHilang-00308</t>
  </si>
  <si>
    <t>BBN-BisaHilang-00309</t>
  </si>
  <si>
    <t>INV-BisaHilang-00309</t>
  </si>
  <si>
    <t>Beban Hilang ITBISA-JUMPER-MF-20CM</t>
  </si>
  <si>
    <t>BBN-BisaHilang-00310</t>
  </si>
  <si>
    <t xml:space="preserve">          Persediaan ITBISA-JUMPER-MF-20CM</t>
  </si>
  <si>
    <t>INV-BisaHilang-00310</t>
  </si>
  <si>
    <t>INV-BisaHilang-00311</t>
  </si>
  <si>
    <t xml:space="preserve">          Bonus ITBISA-SOCKET-IC-DIP14-NARROW</t>
  </si>
  <si>
    <t>BNS-BisaHilang-00311</t>
  </si>
  <si>
    <t>INV-BisaHilang-00312</t>
  </si>
  <si>
    <t>BNS-BisaHilang-00312</t>
  </si>
  <si>
    <t>INV-BisaStok-00413</t>
  </si>
  <si>
    <t>PIU-BisaStok-00474</t>
  </si>
  <si>
    <t>KAS-BisaStok-00474</t>
  </si>
  <si>
    <t>KAS-BisaStok-00583</t>
  </si>
  <si>
    <t>PIU-BisaStok-00038</t>
  </si>
  <si>
    <t>KAS-BisaStok-00038</t>
  </si>
  <si>
    <t>PIU-BisaStok-00378</t>
  </si>
  <si>
    <t>KAS-BisaStok-00378</t>
  </si>
  <si>
    <t>INV-BisaStok-00075</t>
  </si>
  <si>
    <t>PIU-BisaStok-00825</t>
  </si>
  <si>
    <t>KAS-BisaStok-00825</t>
  </si>
  <si>
    <t>DBT-BisaPerlengkapan-00074</t>
  </si>
  <si>
    <t>CRT-BisaPerlengkapan-00074</t>
  </si>
  <si>
    <t>INV-BisaStok-00378</t>
  </si>
  <si>
    <t>PIU-BisaStok-00377</t>
  </si>
  <si>
    <t>KAS-BisaStok-00377</t>
  </si>
  <si>
    <t>INV-BisaStok-00474</t>
  </si>
  <si>
    <t>INV-BisaStok-00038</t>
  </si>
  <si>
    <t>INV-BisaStok-00377</t>
  </si>
  <si>
    <t>INV-BisaStok-00825</t>
  </si>
  <si>
    <t>PIU-BisaStok-00226</t>
  </si>
  <si>
    <t>KAS-BisaStok-00226</t>
  </si>
  <si>
    <t>PIU-BisaStok-00699</t>
  </si>
  <si>
    <t>KAS-BisaStok-00699</t>
  </si>
  <si>
    <t>PIU-BisaStok-00240</t>
  </si>
  <si>
    <t>KAS-BisaStok-00240</t>
  </si>
  <si>
    <t>PIU-BisaStok-00239</t>
  </si>
  <si>
    <t>KAS-BisaStok-00239</t>
  </si>
  <si>
    <t>INV-BisaStok-00239</t>
  </si>
  <si>
    <t>INV-BisaStok-00240</t>
  </si>
  <si>
    <t>INV-BisaStok-00226</t>
  </si>
  <si>
    <t>INV-BisaStok-00699</t>
  </si>
  <si>
    <t>PIU-BisaStok-00803</t>
  </si>
  <si>
    <t>KAS-BisaStok-00803</t>
  </si>
  <si>
    <t>PIU-BisaStok-00807</t>
  </si>
  <si>
    <t>KAS-BisaStok-00807</t>
  </si>
  <si>
    <t>PIU-BisaStok-00814</t>
  </si>
  <si>
    <t>KAS-BisaStok-00814</t>
  </si>
  <si>
    <t>PIU-BisaStok-00743</t>
  </si>
  <si>
    <t>KAS-BisaStok-00743</t>
  </si>
  <si>
    <t>PIU-BisaStok-00744</t>
  </si>
  <si>
    <t>KAS-BisaStok-00744</t>
  </si>
  <si>
    <t>PIU-BisaStok-00747</t>
  </si>
  <si>
    <t>KAS-BisaStok-00747</t>
  </si>
  <si>
    <t>PIU-BisaStok-00755</t>
  </si>
  <si>
    <t>KAS-BisaStok-00755</t>
  </si>
  <si>
    <t>PIU-BisaStok-00758</t>
  </si>
  <si>
    <t>KAS-BisaStok-00758</t>
  </si>
  <si>
    <t>PIU-BisaStok-00767</t>
  </si>
  <si>
    <t>KAS-BisaStok-00767</t>
  </si>
  <si>
    <t>PIU-BisaStok-00773</t>
  </si>
  <si>
    <t>KAS-BisaStok-00773</t>
  </si>
  <si>
    <t>PIU-BisaStok-00774</t>
  </si>
  <si>
    <t>KAS-BisaStok-00774</t>
  </si>
  <si>
    <t>PIU-BisaStok-00778</t>
  </si>
  <si>
    <t>KAS-BisaStok-00778</t>
  </si>
  <si>
    <t>PIU-BisaStok-00782</t>
  </si>
  <si>
    <t>KAS-BisaStok-00782</t>
  </si>
  <si>
    <t>PIU-BisaStok-00792</t>
  </si>
  <si>
    <t>KAS-BisaStok-00792</t>
  </si>
  <si>
    <t>PIU-BisaStok-00798</t>
  </si>
  <si>
    <t>KAS-BisaStok-00798</t>
  </si>
  <si>
    <t>PIU-BisaStok-00761</t>
  </si>
  <si>
    <t>KAS-BisaStok-00761</t>
  </si>
  <si>
    <t>PIU-BisaStok-00783</t>
  </si>
  <si>
    <t>KAS-BisaStok-00783</t>
  </si>
  <si>
    <t>INV-BisaStok-00803</t>
  </si>
  <si>
    <t>INV-BisaStok-00807</t>
  </si>
  <si>
    <t>Persediaan ITBISA-RESISTOR-6K8-1/4W</t>
  </si>
  <si>
    <t>INV-BisaStok-00814</t>
  </si>
  <si>
    <t>INV-BisaStok-00743</t>
  </si>
  <si>
    <t>INV-BisaStok-00744</t>
  </si>
  <si>
    <t>INV-BisaStok-00747</t>
  </si>
  <si>
    <t>INV-BisaStok-00755</t>
  </si>
  <si>
    <t>INV-BisaStok-00758</t>
  </si>
  <si>
    <t>INV-BisaStok-00767</t>
  </si>
  <si>
    <t>Persediaan ITBISA-RESISTOR-270K-1/4W</t>
  </si>
  <si>
    <t>INV-BisaStok-00773</t>
  </si>
  <si>
    <t>INV-BisaStok-00774</t>
  </si>
  <si>
    <t>INV-BisaStok-00778</t>
  </si>
  <si>
    <t>Persediaan ITBISA-RESISTOR-2K7-1/4W</t>
  </si>
  <si>
    <t>INV-BisaStok-00782</t>
  </si>
  <si>
    <t>Persediaan ITBISA-RESISTOR-39K-1/4W</t>
  </si>
  <si>
    <t>INV-BisaStok-00792</t>
  </si>
  <si>
    <t>Persediaan ITBISA-RESISTOR-47K-1/4W</t>
  </si>
  <si>
    <t>INV-BisaStok-00798</t>
  </si>
  <si>
    <t>INV-BisaStok-00761</t>
  </si>
  <si>
    <t>INV-BisaStok-00783</t>
  </si>
  <si>
    <t>PIU-BisaStok-00324</t>
  </si>
  <si>
    <t>KAS-BisaStok-00324</t>
  </si>
  <si>
    <t>PIU-BisaStok-00323</t>
  </si>
  <si>
    <t>KAS-BisaStok-00323</t>
  </si>
  <si>
    <t>PIU-BisaStok-00962</t>
  </si>
  <si>
    <t>KAS-BisaStok-00962</t>
  </si>
  <si>
    <t>PIU-BisaStok-00169</t>
  </si>
  <si>
    <t>KAS-BisaStok-00169</t>
  </si>
  <si>
    <t>PIU-BisaStok-00412</t>
  </si>
  <si>
    <t>KAS-BisaStok-00412</t>
  </si>
  <si>
    <t>PIU-BisaStok-00225</t>
  </si>
  <si>
    <t>KAS-BisaStok-00225</t>
  </si>
  <si>
    <t>PIU-BisaStok-00376</t>
  </si>
  <si>
    <t>KAS-BisaStok-00376</t>
  </si>
  <si>
    <t>PIU-BisaStok-00238</t>
  </si>
  <si>
    <t>KAS-BisaStok-00238</t>
  </si>
  <si>
    <t>PIU-BisaStok-00115</t>
  </si>
  <si>
    <t>KAS-BisaStok-00115</t>
  </si>
  <si>
    <t>PIU-BisaStok-00068</t>
  </si>
  <si>
    <t>KAS-BisaStok-00068</t>
  </si>
  <si>
    <t>INV-BisaStok-00412</t>
  </si>
  <si>
    <t>INV-BisaStok-00323</t>
  </si>
  <si>
    <t>INV-BisaStok-00324</t>
  </si>
  <si>
    <t>INV-BisaStok-00376</t>
  </si>
  <si>
    <t>INV-BisaStok-00238</t>
  </si>
  <si>
    <t>INV-BisaStok-00962</t>
  </si>
  <si>
    <t>INV-BisaStok-00169</t>
  </si>
  <si>
    <t>INV-BisaStok-00225</t>
  </si>
  <si>
    <t>INV-BisaStok-00115</t>
  </si>
  <si>
    <t>INV-BisaStok-00068</t>
  </si>
  <si>
    <t>PIU-BisaStok-00648</t>
  </si>
  <si>
    <t>KAS-BisaStok-00648</t>
  </si>
  <si>
    <t>PIU-BisaStok-00256</t>
  </si>
  <si>
    <t>KAS-BisaStok-00256</t>
  </si>
  <si>
    <t>PIU-BisaStok-00255</t>
  </si>
  <si>
    <t>KAS-BisaStok-00255</t>
  </si>
  <si>
    <t>PIU-BisaStok-00237</t>
  </si>
  <si>
    <t>KAS-BisaStok-00237</t>
  </si>
  <si>
    <t>INV-BisaStok-00648</t>
  </si>
  <si>
    <t>INV-BisaStok-00256</t>
  </si>
  <si>
    <t>INV-BisaStok-00237</t>
  </si>
  <si>
    <t>INV-BisaStok-00255</t>
  </si>
  <si>
    <t>PIU-BisaStok-00353</t>
  </si>
  <si>
    <t>KAS-BisaStok-00353</t>
  </si>
  <si>
    <t>PIU-BisaStok-00236</t>
  </si>
  <si>
    <t>KAS-BisaStok-00236</t>
  </si>
  <si>
    <t>PIU-BisaStok-00411</t>
  </si>
  <si>
    <t>KAS-BisaStok-00411</t>
  </si>
  <si>
    <t>PIU-BisaStok-00449</t>
  </si>
  <si>
    <t>KAS-BisaStok-00449</t>
  </si>
  <si>
    <t>PIU-BisaStok-00448</t>
  </si>
  <si>
    <t>KAS-BisaStok-00448</t>
  </si>
  <si>
    <t>PIU-BisaStok-00447</t>
  </si>
  <si>
    <t>KAS-BisaStok-00447</t>
  </si>
  <si>
    <t>PIU-BisaStok-00446</t>
  </si>
  <si>
    <t>KAS-BisaStok-00446</t>
  </si>
  <si>
    <t>PIU-BisaStok-00322</t>
  </si>
  <si>
    <t>KAS-BisaStok-00322</t>
  </si>
  <si>
    <t>PIU-BisaStok-00288</t>
  </si>
  <si>
    <t>KAS-BisaStok-00288</t>
  </si>
  <si>
    <t>INV-BisaStok-00353</t>
  </si>
  <si>
    <t>INV-BisaStok-00236</t>
  </si>
  <si>
    <t>INV-BisaStok-00411</t>
  </si>
  <si>
    <t>INV-BisaStok-00446</t>
  </si>
  <si>
    <t>INV-BisaStok-00447</t>
  </si>
  <si>
    <t>INV-BisaStok-00448</t>
  </si>
  <si>
    <t>INV-BisaStok-00449</t>
  </si>
  <si>
    <t>PIU-BisaStok-00907</t>
  </si>
  <si>
    <t>KAS-BisaStok-00907</t>
  </si>
  <si>
    <t>PIU-BisaStok-00410</t>
  </si>
  <si>
    <t>KAS-BisaStok-00410</t>
  </si>
  <si>
    <t>INV-BisaStok-00288</t>
  </si>
  <si>
    <t>INV-BisaStok-00907</t>
  </si>
  <si>
    <t>INV-BisaStok-00410</t>
  </si>
  <si>
    <t>INV-BisaStok-00322</t>
  </si>
  <si>
    <t>DBT-BisaPerlengkapan-00076</t>
  </si>
  <si>
    <t>CRT-BisaPerlengkapan-00076</t>
  </si>
  <si>
    <t>DBT-BisaPerlengkapan-00077</t>
  </si>
  <si>
    <t>CRT-BisaPerlengkapan-00077</t>
  </si>
  <si>
    <t>PIU-BisaStok-00445</t>
  </si>
  <si>
    <t>KAS-BisaStok-00445</t>
  </si>
  <si>
    <t>PIU-BisaStok-00375</t>
  </si>
  <si>
    <t>KAS-BisaStok-00375</t>
  </si>
  <si>
    <t>PIU-BisaStok-00006</t>
  </si>
  <si>
    <t>KAS-BisaStok-00006</t>
  </si>
  <si>
    <t>PIU-BisaStok-00005</t>
  </si>
  <si>
    <t>KAS-BisaStok-00005</t>
  </si>
  <si>
    <t>INV-BisaStok-00006</t>
  </si>
  <si>
    <t>INV-BisaStok-00005</t>
  </si>
  <si>
    <t>PIU-BisaStok-00037</t>
  </si>
  <si>
    <t>KAS-BisaStok-00037</t>
  </si>
  <si>
    <t>INV-BisaStok-00037</t>
  </si>
  <si>
    <t>INV-BisaStok-00445</t>
  </si>
  <si>
    <t>PIU-BisaStok-00961</t>
  </si>
  <si>
    <t>KAS-BisaStok-00961</t>
  </si>
  <si>
    <t>PIU-BisaStok-00168</t>
  </si>
  <si>
    <t>KAS-BisaStok-00168</t>
  </si>
  <si>
    <t>INV-BisaStok-00961</t>
  </si>
  <si>
    <t>INV-BisaStok-00168</t>
  </si>
  <si>
    <t>DBT-BisaPerlengkapan-00079</t>
  </si>
  <si>
    <t>CRT-BisaPerlengkapan-00079</t>
  </si>
  <si>
    <t>PIU-BisaStok-00960</t>
  </si>
  <si>
    <t>KAS-BisaStok-00960</t>
  </si>
  <si>
    <t>PIU-BisaStok-00167</t>
  </si>
  <si>
    <t>KAS-BisaStok-00167</t>
  </si>
  <si>
    <t>INV-BisaStok-00960</t>
  </si>
  <si>
    <t>INV-BisaStok-00167</t>
  </si>
  <si>
    <t>INV-BisaStok-00375</t>
  </si>
  <si>
    <t>INV-BisaHilang-00314</t>
  </si>
  <si>
    <t>BNS-BisaHilang-00314</t>
  </si>
  <si>
    <t>INV-BisaHilang-00315</t>
  </si>
  <si>
    <t>BNS-BisaHilang-00315</t>
  </si>
  <si>
    <t>INV-BisaHilang-00316</t>
  </si>
  <si>
    <t>BNS-BisaHilang-00316</t>
  </si>
  <si>
    <t>INV-BisaHilang-00317</t>
  </si>
  <si>
    <t>BNS-BisaHilang-00317</t>
  </si>
  <si>
    <t>PIU-BisaStok-00321</t>
  </si>
  <si>
    <t>KAS-BisaStok-00321</t>
  </si>
  <si>
    <t>INV-BisaStok-00321</t>
  </si>
  <si>
    <t>DBT-BisaPerlengkapan-00080</t>
  </si>
  <si>
    <t>CRT-BisaPerlengkapan-00080</t>
  </si>
  <si>
    <t>PIU-BisaStok-00906</t>
  </si>
  <si>
    <t>KAS-BisaStok-00906</t>
  </si>
  <si>
    <t>PIU-BisaStok-00905</t>
  </si>
  <si>
    <t>KAS-BisaStok-00905</t>
  </si>
  <si>
    <t>PIU-BisaStok-00904</t>
  </si>
  <si>
    <t>KAS-BisaStok-00904</t>
  </si>
  <si>
    <t>PIU-BisaStok-00190</t>
  </si>
  <si>
    <t>KAS-BisaStok-00190</t>
  </si>
  <si>
    <t>PIU-BisaStok-00307</t>
  </si>
  <si>
    <t>KAS-BisaStok-00307</t>
  </si>
  <si>
    <t>PIU-BisaStok-00601</t>
  </si>
  <si>
    <t>KAS-BisaStok-00601</t>
  </si>
  <si>
    <t>PIU-BisaStok-00647</t>
  </si>
  <si>
    <t>KAS-BisaStok-00647</t>
  </si>
  <si>
    <t>PIU-BisaStok-00903</t>
  </si>
  <si>
    <t>KAS-BisaStok-00903</t>
  </si>
  <si>
    <t>PIU-BisaStok-00444</t>
  </si>
  <si>
    <t>KAS-BisaStok-00444</t>
  </si>
  <si>
    <t>PIU-BisaStok-00443</t>
  </si>
  <si>
    <t>KAS-BisaStok-00443</t>
  </si>
  <si>
    <t>INV-BisaStok-00443</t>
  </si>
  <si>
    <t>INV-BisaStok-00444</t>
  </si>
  <si>
    <t>INV-BisaStok-00906</t>
  </si>
  <si>
    <t>INV-BisaStok-00904</t>
  </si>
  <si>
    <t>INV-BisaStok-00905</t>
  </si>
  <si>
    <t>INV-BisaStok-00601</t>
  </si>
  <si>
    <t>INV-BisaStok-00647</t>
  </si>
  <si>
    <t>INV-BisaStok-00903</t>
  </si>
  <si>
    <t>INV-BisaStok-00190</t>
  </si>
  <si>
    <t>INV-BisaStok-00307</t>
  </si>
  <si>
    <t>PIU-BisaStok-00441</t>
  </si>
  <si>
    <t>KAS-BisaStok-00441</t>
  </si>
  <si>
    <t>PIU-BisaStok-00442</t>
  </si>
  <si>
    <t>KAS-BisaStok-00442</t>
  </si>
  <si>
    <t>PIU-BisaStok-00166</t>
  </si>
  <si>
    <t>KAS-BisaStok-00166</t>
  </si>
  <si>
    <t>PIU-BisaStok-00524</t>
  </si>
  <si>
    <t>KAS-BisaStok-00524</t>
  </si>
  <si>
    <t>PIU-BisaStok-00637</t>
  </si>
  <si>
    <t>KAS-BisaStok-00637</t>
  </si>
  <si>
    <t>PIU-BisaStok-00643</t>
  </si>
  <si>
    <t>KAS-BisaStok-00643</t>
  </si>
  <si>
    <t>PIU-BisaStok-00654</t>
  </si>
  <si>
    <t>KAS-BisaStok-00654</t>
  </si>
  <si>
    <t>PIU-BisaStok-00681</t>
  </si>
  <si>
    <t>KAS-BisaStok-00681</t>
  </si>
  <si>
    <t>PIU-BisaStok-00440</t>
  </si>
  <si>
    <t>KAS-BisaStok-00440</t>
  </si>
  <si>
    <t>PIU-BisaStok-00753</t>
  </si>
  <si>
    <t>KAS-BisaStok-00753</t>
  </si>
  <si>
    <t>PIU-BisaStok-00754</t>
  </si>
  <si>
    <t>KAS-BisaStok-00754</t>
  </si>
  <si>
    <t>PIU-BisaStok-00766</t>
  </si>
  <si>
    <t>KAS-BisaStok-00766</t>
  </si>
  <si>
    <t>PIU-BisaStok-00772</t>
  </si>
  <si>
    <t>KAS-BisaStok-00772</t>
  </si>
  <si>
    <t>PIU-BisaStok-00781</t>
  </si>
  <si>
    <t>KAS-BisaStok-00781</t>
  </si>
  <si>
    <t>PIU-BisaStok-00791</t>
  </si>
  <si>
    <t>KAS-BisaStok-00791</t>
  </si>
  <si>
    <t>PIU-BisaStok-00266</t>
  </si>
  <si>
    <t>KAS-BisaStok-00266</t>
  </si>
  <si>
    <t>PIU-BisaStok-00276</t>
  </si>
  <si>
    <t>KAS-BisaStok-00276</t>
  </si>
  <si>
    <t>PIU-BisaStok-00280</t>
  </si>
  <si>
    <t>KAS-BisaStok-00280</t>
  </si>
  <si>
    <t>PIU-BisaStok-00335</t>
  </si>
  <si>
    <t>KAS-BisaStok-00335</t>
  </si>
  <si>
    <t>PIU-BisaStok-00362</t>
  </si>
  <si>
    <t>KAS-BisaStok-00362</t>
  </si>
  <si>
    <t>PIU-BisaStok-00439</t>
  </si>
  <si>
    <t>KAS-BisaStok-00439</t>
  </si>
  <si>
    <t>INV-BisaStok-00441</t>
  </si>
  <si>
    <t>INV-BisaStok-00442</t>
  </si>
  <si>
    <t>INV-BisaStok-00266</t>
  </si>
  <si>
    <t>INV-BisaStok-00276</t>
  </si>
  <si>
    <t>INV-BisaStok-00280</t>
  </si>
  <si>
    <t>INV-BisaStok-00166</t>
  </si>
  <si>
    <t>INV-BisaStok-00524</t>
  </si>
  <si>
    <t>Persediaan ITBISA-RESISTOR-150K-1/4W</t>
  </si>
  <si>
    <t>INV-BisaStok-00753</t>
  </si>
  <si>
    <t>INV-BisaStok-00754</t>
  </si>
  <si>
    <t>INV-BisaStok-00766</t>
  </si>
  <si>
    <t>INV-BisaStok-00772</t>
  </si>
  <si>
    <t>INV-BisaStok-00781</t>
  </si>
  <si>
    <t>Persediaan ITBISA-RESISTOR-390-1/4W</t>
  </si>
  <si>
    <t>INV-BisaStok-00791</t>
  </si>
  <si>
    <t>INV-BisaStok-00637</t>
  </si>
  <si>
    <t>INV-BisaStok-00643</t>
  </si>
  <si>
    <t>INV-BisaStok-00654</t>
  </si>
  <si>
    <t>INV-BisaStok-00681</t>
  </si>
  <si>
    <t>INV-BisaStok-00440</t>
  </si>
  <si>
    <t>INV-BisaStok-00439</t>
  </si>
  <si>
    <t>INV-BisaStok-00335</t>
  </si>
  <si>
    <t>Persediaan ITBISA-IC-JRC4558D-DIP8</t>
  </si>
  <si>
    <t>INV-BisaStok-00362</t>
  </si>
  <si>
    <t>BBN-BisaHilang-00319</t>
  </si>
  <si>
    <t>INV-BisaHilang-00319</t>
  </si>
  <si>
    <t>PIU-BisaStok-00361</t>
  </si>
  <si>
    <t>KAS-BisaStok-00361</t>
  </si>
  <si>
    <t>PIU-BisaStok-00265</t>
  </si>
  <si>
    <t>KAS-BisaStok-00265</t>
  </si>
  <si>
    <t>PIU-BisaStok-00275</t>
  </si>
  <si>
    <t>KAS-BisaStok-00275</t>
  </si>
  <si>
    <t>PIU-BisaStok-00636</t>
  </si>
  <si>
    <t>KAS-BisaStok-00636</t>
  </si>
  <si>
    <t>PIU-BisaStok-00641</t>
  </si>
  <si>
    <t>KAS-BisaStok-00641</t>
  </si>
  <si>
    <t>PIU-BisaStok-00646</t>
  </si>
  <si>
    <t>KAS-BisaStok-00646</t>
  </si>
  <si>
    <t>PIU-BisaStok-00657</t>
  </si>
  <si>
    <t>KAS-BisaStok-00657</t>
  </si>
  <si>
    <t>PIU-BisaStok-00673</t>
  </si>
  <si>
    <t>KAS-BisaStok-00673</t>
  </si>
  <si>
    <t>PIU-BisaStok-00677</t>
  </si>
  <si>
    <t>KAS-BisaStok-00677</t>
  </si>
  <si>
    <t>PIU-BisaStok-00679</t>
  </si>
  <si>
    <t>KAS-BisaStok-00679</t>
  </si>
  <si>
    <t>PIU-BisaStok-00680</t>
  </si>
  <si>
    <t>KAS-BisaStok-00680</t>
  </si>
  <si>
    <t>PIU-BisaStok-00685</t>
  </si>
  <si>
    <t>KAS-BisaStok-00685</t>
  </si>
  <si>
    <t>PIU-BisaStok-00687</t>
  </si>
  <si>
    <t>KAS-BisaStok-00687</t>
  </si>
  <si>
    <t>PIU-BisaStok-00688</t>
  </si>
  <si>
    <t>KAS-BisaStok-00688</t>
  </si>
  <si>
    <t>PIU-BisaStok-00189</t>
  </si>
  <si>
    <t>KAS-BisaStok-00189</t>
  </si>
  <si>
    <t>PIU-BisaStok-00114</t>
  </si>
  <si>
    <t>KAS-BisaStok-00114</t>
  </si>
  <si>
    <t>PIU-BisaStok-00863</t>
  </si>
  <si>
    <t>KAS-BisaStok-00863</t>
  </si>
  <si>
    <t>INV-BisaStok-00189</t>
  </si>
  <si>
    <t>INV-BisaStok-00863</t>
  </si>
  <si>
    <t>INV-BisaStok-00361</t>
  </si>
  <si>
    <t>INV-BisaStok-00114</t>
  </si>
  <si>
    <t>PIU-BisaStok-00004</t>
  </si>
  <si>
    <t>KAS-BisaStok-00004</t>
  </si>
  <si>
    <t>PIU-BisaStok-00306</t>
  </si>
  <si>
    <t>KAS-BisaStok-00306</t>
  </si>
  <si>
    <t>PIU-BisaStok-00334</t>
  </si>
  <si>
    <t>KAS-BisaStok-00334</t>
  </si>
  <si>
    <t>PIU-BisaStok-00344</t>
  </si>
  <si>
    <t>KAS-BisaStok-00344</t>
  </si>
  <si>
    <t>INV-BisaStok-00265</t>
  </si>
  <si>
    <t>INV-BisaStok-00275</t>
  </si>
  <si>
    <t>INV-BisaStok-00636</t>
  </si>
  <si>
    <t>Persediaan ITBISA-NPN-2N5551-TO92</t>
  </si>
  <si>
    <t>INV-BisaStok-00641</t>
  </si>
  <si>
    <t>INV-BisaStok-00646</t>
  </si>
  <si>
    <t>Persediaan ITBISA-NPN-S9013-TO92</t>
  </si>
  <si>
    <t>INV-BisaStok-00657</t>
  </si>
  <si>
    <t>INV-BisaStok-00673</t>
  </si>
  <si>
    <t>Persediaan ITBISA-PNP-2N5401-TO92</t>
  </si>
  <si>
    <t>INV-BisaStok-00677</t>
  </si>
  <si>
    <t>Persediaan ITBISA-PNP-A1015-TO92</t>
  </si>
  <si>
    <t>INV-BisaStok-00679</t>
  </si>
  <si>
    <t>INV-BisaStok-00680</t>
  </si>
  <si>
    <t>Persediaan ITBISA-PNP-BC558-TO92</t>
  </si>
  <si>
    <t>INV-BisaStok-00685</t>
  </si>
  <si>
    <t>Persediaan ITBISA-PNP-S8550-TO92</t>
  </si>
  <si>
    <t>INV-BisaStok-00687</t>
  </si>
  <si>
    <t>Persediaan ITBISA-PNP-S9012-TO92</t>
  </si>
  <si>
    <t>INV-BisaStok-00688</t>
  </si>
  <si>
    <t>PIU-BisaStok-00659</t>
  </si>
  <si>
    <t>KAS-BisaStok-00659</t>
  </si>
  <si>
    <t>DBT-BisaPerlengkapan-00082</t>
  </si>
  <si>
    <t>CRT-BisaPerlengkapan-00082</t>
  </si>
  <si>
    <t>DBT-BisaPerlengkapan-00083</t>
  </si>
  <si>
    <t>CRT-BisaPerlengkapan-00083</t>
  </si>
  <si>
    <t>BBN-BisaHilang-00321</t>
  </si>
  <si>
    <t>INV-BisaHilang-00321</t>
  </si>
  <si>
    <t>INV-BisaHilang-00322</t>
  </si>
  <si>
    <t>BNS-BisaHilang-00322</t>
  </si>
  <si>
    <t>PIU-BisaStok-00465</t>
  </si>
  <si>
    <t>KAS-BisaStok-00465</t>
  </si>
  <si>
    <t>PIU-BisaStok-00253</t>
  </si>
  <si>
    <t>KAS-BisaStok-00253</t>
  </si>
  <si>
    <t>PIU-BisaStok-00252</t>
  </si>
  <si>
    <t>KAS-BisaStok-00252</t>
  </si>
  <si>
    <t>PIU-BisaStok-00251</t>
  </si>
  <si>
    <t>KAS-BisaStok-00251</t>
  </si>
  <si>
    <t>PIU-BisaStok-00642</t>
  </si>
  <si>
    <t>KAS-BisaStok-00642</t>
  </si>
  <si>
    <t>PIU-BisaStok-00959</t>
  </si>
  <si>
    <t>KAS-BisaStok-00959</t>
  </si>
  <si>
    <t>PIU-BisaStok-00165</t>
  </si>
  <si>
    <t>KAS-BisaStok-00165</t>
  </si>
  <si>
    <t>PIU-BisaStok-00862</t>
  </si>
  <si>
    <t>KAS-BisaStok-00862</t>
  </si>
  <si>
    <t>PIU-BisaStok-00254</t>
  </si>
  <si>
    <t>KAS-BisaStok-00254</t>
  </si>
  <si>
    <t>INV-BisaStok-00254</t>
  </si>
  <si>
    <t>Persediaan ITBISA-CHIP-ESP32-WROOM-ANTENNA</t>
  </si>
  <si>
    <t>INV-BisaStok-00253</t>
  </si>
  <si>
    <t>INV-BisaStok-00251</t>
  </si>
  <si>
    <t>INV-BisaStok-00862</t>
  </si>
  <si>
    <t>INV-BisaStok-00659</t>
  </si>
  <si>
    <t>INV-BisaStok-00642</t>
  </si>
  <si>
    <t>INV-BisaStok-00252</t>
  </si>
  <si>
    <t>DBT-BisaPerlengkapan-00085</t>
  </si>
  <si>
    <t>CRT-BisaPerlengkapan-00085</t>
  </si>
  <si>
    <t>PIU-BisaStok-00235</t>
  </si>
  <si>
    <t>KAS-BisaStok-00235</t>
  </si>
  <si>
    <t>INV-BisaStok-00465</t>
  </si>
  <si>
    <t>PIU-BisaStok-00597</t>
  </si>
  <si>
    <t>KAS-BisaStok-00597</t>
  </si>
  <si>
    <t>INV-BisaStok-00235</t>
  </si>
  <si>
    <t>INV-BisaStok-00597</t>
  </si>
  <si>
    <t>PIU-BisaStok-00901</t>
  </si>
  <si>
    <t>KAS-BisaStok-00901</t>
  </si>
  <si>
    <t>PIU-BisaStok-00628</t>
  </si>
  <si>
    <t>KAS-BisaStok-00628</t>
  </si>
  <si>
    <t>PIU-BisaStok-00729</t>
  </si>
  <si>
    <t>KAS-BisaStok-00729</t>
  </si>
  <si>
    <t>PIU-BisaStok-00931</t>
  </si>
  <si>
    <t>KAS-BisaStok-00931</t>
  </si>
  <si>
    <t>PIU-BisaStok-00640</t>
  </si>
  <si>
    <t>KAS-BisaStok-00640</t>
  </si>
  <si>
    <t>PIU-BisaStok-00562</t>
  </si>
  <si>
    <t>KAS-BisaStok-00562</t>
  </si>
  <si>
    <t>PIU-BisaStok-00676</t>
  </si>
  <si>
    <t>KAS-BisaStok-00676</t>
  </si>
  <si>
    <t>PIU-BisaStok-00678</t>
  </si>
  <si>
    <t>KAS-BisaStok-00678</t>
  </si>
  <si>
    <t>PIU-BisaStok-00684</t>
  </si>
  <si>
    <t>KAS-BisaStok-00684</t>
  </si>
  <si>
    <t>PIU-BisaStok-00686</t>
  </si>
  <si>
    <t>KAS-BisaStok-00686</t>
  </si>
  <si>
    <t>PIU-BisaStok-00600</t>
  </si>
  <si>
    <t>KAS-BisaStok-00600</t>
  </si>
  <si>
    <t>PIU-BisaStok-00811</t>
  </si>
  <si>
    <t>KAS-BisaStok-00811</t>
  </si>
  <si>
    <t>PIU-BisaStok-00813</t>
  </si>
  <si>
    <t>KAS-BisaStok-00813</t>
  </si>
  <si>
    <t>PIU-BisaStok-00751</t>
  </si>
  <si>
    <t>KAS-BisaStok-00751</t>
  </si>
  <si>
    <t>PIU-BisaStok-00752</t>
  </si>
  <si>
    <t>KAS-BisaStok-00752</t>
  </si>
  <si>
    <t>PIU-BisaStok-00760</t>
  </si>
  <si>
    <t>KAS-BisaStok-00760</t>
  </si>
  <si>
    <t>PIU-BisaStok-00764</t>
  </si>
  <si>
    <t>KAS-BisaStok-00764</t>
  </si>
  <si>
    <t>PIU-BisaStok-00777</t>
  </si>
  <si>
    <t>KAS-BisaStok-00777</t>
  </si>
  <si>
    <t>PIU-BisaStok-00592</t>
  </si>
  <si>
    <t>KAS-BisaStok-00592</t>
  </si>
  <si>
    <t>PIU-BisaStok-00793</t>
  </si>
  <si>
    <t>KAS-BisaStok-00793</t>
  </si>
  <si>
    <t>PIU-BisaStok-00797</t>
  </si>
  <si>
    <t>KAS-BisaStok-00797</t>
  </si>
  <si>
    <t>PIU-BisaStok-00553</t>
  </si>
  <si>
    <t>KAS-BisaStok-00553</t>
  </si>
  <si>
    <t>PIU-BisaStok-00352</t>
  </si>
  <si>
    <t>KAS-BisaStok-00352</t>
  </si>
  <si>
    <t>INV-BisaStok-00813</t>
  </si>
  <si>
    <t>INV-BisaStok-00777</t>
  </si>
  <si>
    <t>INV-BisaStok-00793</t>
  </si>
  <si>
    <t>INV-BisaStok-00797</t>
  </si>
  <si>
    <t>INV-BisaStok-00352</t>
  </si>
  <si>
    <t>Persediaan ITBISA-KAPASITOR-ELCO-2200UF-25V</t>
  </si>
  <si>
    <t>INV-BisaStok-00562</t>
  </si>
  <si>
    <t>INV-BisaStok-00811</t>
  </si>
  <si>
    <t>Persediaan ITBISA-RESISTOR-120K-1/4W</t>
  </si>
  <si>
    <t>INV-BisaStok-00751</t>
  </si>
  <si>
    <t>Persediaan ITBISA-RESISTOR-12K-1/4W</t>
  </si>
  <si>
    <t>INV-BisaStok-00752</t>
  </si>
  <si>
    <t>INV-BisaStok-00760</t>
  </si>
  <si>
    <t>Persediaan ITBISA-RESISTOR-1M-1/4W</t>
  </si>
  <si>
    <t>INV-BisaStok-00764</t>
  </si>
  <si>
    <t>INV-BisaStok-00600</t>
  </si>
  <si>
    <t>INV-BisaStok-00592</t>
  </si>
  <si>
    <t>INV-BisaStok-00553</t>
  </si>
  <si>
    <t>INV-BisaStok-00901</t>
  </si>
  <si>
    <t>INV-BisaStok-00931</t>
  </si>
  <si>
    <t>INV-BisaStok-00628</t>
  </si>
  <si>
    <t>INV-BisaStok-00640</t>
  </si>
  <si>
    <t>INV-BisaStok-00676</t>
  </si>
  <si>
    <t>INV-BisaStok-00678</t>
  </si>
  <si>
    <t>INV-BisaStok-00684</t>
  </si>
  <si>
    <t>INV-BisaStok-00686</t>
  </si>
  <si>
    <t>INV-BisaStok-00729</t>
  </si>
  <si>
    <t>PIU-BisaStok-00113</t>
  </si>
  <si>
    <t>KAS-BisaStok-00113</t>
  </si>
  <si>
    <t>INV-BisaStok-00959</t>
  </si>
  <si>
    <t>INV-BisaStok-00165</t>
  </si>
  <si>
    <t>PIU-BisaStok-00409</t>
  </si>
  <si>
    <t>KAS-BisaStok-00409</t>
  </si>
  <si>
    <t>PIU-BisaStok-00264</t>
  </si>
  <si>
    <t>KAS-BisaStok-00264</t>
  </si>
  <si>
    <t>DBT-BisaPerlengkapan-00087</t>
  </si>
  <si>
    <t>CRT-BisaPerlengkapan-00087</t>
  </si>
  <si>
    <t>PIU-BisaStok-00577</t>
  </si>
  <si>
    <t>KAS-BisaStok-00577</t>
  </si>
  <si>
    <t>PIU-BisaStok-00566</t>
  </si>
  <si>
    <t>KAS-BisaStok-00566</t>
  </si>
  <si>
    <t>PIU-BisaStok-00263</t>
  </si>
  <si>
    <t>KAS-BisaStok-00263</t>
  </si>
  <si>
    <t>PIU-BisaStok-00565</t>
  </si>
  <si>
    <t>KAS-BisaStok-00565</t>
  </si>
  <si>
    <t>INV-BisaStok-00004</t>
  </si>
  <si>
    <t>INV-BisaStok-00334</t>
  </si>
  <si>
    <t>PIU-BisaStok-00234</t>
  </si>
  <si>
    <t>KAS-BisaStok-00234</t>
  </si>
  <si>
    <t>PIU-BisaStok-00995</t>
  </si>
  <si>
    <t>KAS-BisaStok-00995</t>
  </si>
  <si>
    <t>INV-BisaStok-00263</t>
  </si>
  <si>
    <t>INV-BisaStok-00995</t>
  </si>
  <si>
    <t>INV-BisaStok-00306</t>
  </si>
  <si>
    <t>INV-BisaStok-00264</t>
  </si>
  <si>
    <t>INV-BisaStok-00566</t>
  </si>
  <si>
    <t>INV-BisaStok-00577</t>
  </si>
  <si>
    <t>INV-BisaStok-00565</t>
  </si>
  <si>
    <t>INV-BisaStok-00344</t>
  </si>
  <si>
    <t>INV-BisaStok-00409</t>
  </si>
  <si>
    <t>INV-BisaStok-00234</t>
  </si>
  <si>
    <t>INV-BisaStok-00113</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</si>
</sst>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
    <numFmt numFmtId="165" formatCode="d&quot;-&quot;mm&quot;-&quot;yyyy&quot; &quot;hh&quot;:&quot;mm&quot;:&quot;ss"/>
    <numFmt numFmtId="166" formatCode="#,##0.00;(#,##0.00)"/>
    <numFmt numFmtId="167" formatCode="d&quot;-&quot;mmm&quot;-&quot;yyyy"/>
    <numFmt numFmtId="168" formatCode="#,##0.0000;(#,##0.0000)"/>
    <numFmt numFmtId="169" formatCode="#,##0.00000000;(#,##0.00000000)"/>
    <numFmt numFmtId="170" formatCode="m/d/yyyy h:mm:ss"/>
    <numFmt numFmtId="171" formatCode="dd&quot;-&quot;mmm&quot;-&quot;yyyy"/>
    <numFmt numFmtId="172" formatCode="dmmmyy h:mm"/>
    <numFmt numFmtId="173" formatCode="d-mmm-yyyy h:mm"/>
  </numFmts>
  <fonts count="39">
    <font>
      <sz val="10.0"/>
      <color rgb="FF000000"/>
      <name val="Arial"/>
    </font>
    <font/>
    <font>
      <u/>
      <color rgb="FF1155CC"/>
    </font>
    <font>
      <b/>
      <color rgb="FF000000"/>
    </font>
    <font>
      <b/>
      <color rgb="FFFFFFFF"/>
    </font>
    <font>
      <b/>
      <color rgb="FFFFFFFF"/>
      <name val="Arial"/>
    </font>
    <font>
      <name val="Arial"/>
    </font>
    <font>
      <u/>
      <color rgb="FF0000FF"/>
    </font>
    <font>
      <u/>
      <color rgb="FF0000FF"/>
    </font>
    <font>
      <u/>
      <color rgb="FF0000FF"/>
    </font>
    <font>
      <u/>
      <color rgb="FF0000FF"/>
    </font>
    <font>
      <u/>
      <color rgb="FF0000FF"/>
    </font>
    <font>
      <u/>
      <color rgb="FF0000FF"/>
    </font>
    <font>
      <u/>
      <color rgb="FF0000FF"/>
    </font>
    <font>
      <u/>
      <color rgb="FF0000FF"/>
      <name val="Arial"/>
    </font>
    <font>
      <u/>
      <color rgb="FF0000FF"/>
    </font>
    <font>
      <u/>
      <color rgb="FF0000FF"/>
    </font>
    <font>
      <u/>
      <color rgb="FF0000FF"/>
    </font>
    <font>
      <u/>
      <color rgb="FF1155CC"/>
      <name val="Arial"/>
    </font>
    <font>
      <u/>
      <color rgb="FF1155CC"/>
    </font>
    <font>
      <u/>
      <color rgb="FF0000FF"/>
    </font>
    <font>
      <u/>
      <color rgb="FF0000FF"/>
    </font>
    <font>
      <u/>
      <color rgb="FF0000FF"/>
    </font>
    <font>
      <u/>
      <color rgb="FF0000FF"/>
    </font>
    <font>
      <color rgb="FF000000"/>
    </font>
    <font>
      <sz val="10.0"/>
      <name val="Arial"/>
    </font>
    <font>
      <color rgb="FF000000"/>
      <name val="Arial"/>
    </font>
    <font>
      <u/>
      <color rgb="FF0000FF"/>
      <name val="Arial"/>
    </font>
    <font>
      <u/>
      <color rgb="FF0000FF"/>
      <name val="Arial"/>
    </font>
    <font>
      <u/>
      <color rgb="FF0000FF"/>
    </font>
    <font>
      <u/>
      <color rgb="FF1155CC"/>
      <name val="Arial"/>
    </font>
    <font>
      <u/>
      <color rgb="FF1155CC"/>
      <name val="Arial"/>
    </font>
    <font>
      <color rgb="FF000000"/>
      <name val="'Arial'"/>
    </font>
    <font>
      <u/>
      <color rgb="FF000000"/>
      <name val="Arial"/>
    </font>
    <font>
      <i/>
      <name val="Arial"/>
    </font>
    <font>
      <u/>
      <color rgb="FF0000FF"/>
      <name val="Arial"/>
    </font>
    <font>
      <u/>
      <color rgb="FF0000FF"/>
      <name val="Arial"/>
    </font>
    <font>
      <u/>
      <color rgb="FF0000FF"/>
    </font>
    <font>
      <u/>
      <color rgb="FF0000FF"/>
      <name val="Arial"/>
    </font>
  </fonts>
  <fills count="7">
    <fill>
      <patternFill patternType="none"/>
    </fill>
    <fill>
      <patternFill patternType="lightGray"/>
    </fill>
    <fill>
      <patternFill patternType="solid">
        <fgColor rgb="FF073763"/>
        <bgColor rgb="FF073763"/>
      </patternFill>
    </fill>
    <fill>
      <patternFill patternType="solid">
        <fgColor rgb="FF0B5394"/>
        <bgColor rgb="FF0B5394"/>
      </patternFill>
    </fill>
    <fill>
      <patternFill patternType="solid">
        <fgColor rgb="FFFF0000"/>
        <bgColor rgb="FFFF0000"/>
      </patternFill>
    </fill>
    <fill>
      <patternFill patternType="solid">
        <fgColor rgb="FFFFFFFF"/>
        <bgColor rgb="FFFFFFFF"/>
      </patternFill>
    </fill>
    <fill>
      <patternFill patternType="solid">
        <fgColor rgb="FFFFFF00"/>
        <bgColor rgb="FFFFFF00"/>
      </patternFill>
    </fill>
  </fills>
  <borders count="6">
    <border/>
    <border>
      <right style="thick">
        <color rgb="FF000000"/>
      </right>
    </border>
    <border>
      <left style="thick">
        <color rgb="FF000000"/>
      </left>
    </border>
    <border>
      <left style="thick">
        <color rgb="FF000000"/>
      </left>
      <right style="thick">
        <color rgb="FF000000"/>
      </right>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26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xf>
    <xf borderId="0" fillId="0" fontId="1" numFmtId="0" xfId="0" applyAlignment="1" applyFont="1">
      <alignment horizontal="center"/>
    </xf>
    <xf borderId="0" fillId="2" fontId="3" numFmtId="164" xfId="0" applyAlignment="1" applyFill="1" applyFont="1" applyNumberFormat="1">
      <alignment horizontal="center" readingOrder="0" vertical="center"/>
    </xf>
    <xf borderId="0" fillId="0" fontId="1" numFmtId="165" xfId="0" applyAlignment="1" applyFont="1" applyNumberFormat="1">
      <alignment horizontal="center" readingOrder="0" vertical="center"/>
    </xf>
    <xf borderId="1" fillId="0" fontId="1" numFmtId="165" xfId="0" applyAlignment="1" applyBorder="1" applyFont="1" applyNumberFormat="1">
      <alignment horizontal="center" readingOrder="0" vertical="center"/>
    </xf>
    <xf borderId="2" fillId="3" fontId="4" numFmtId="164" xfId="0" applyAlignment="1" applyBorder="1" applyFill="1" applyFont="1" applyNumberFormat="1">
      <alignment horizontal="center" readingOrder="0" vertical="center"/>
    </xf>
    <xf borderId="0" fillId="3" fontId="4" numFmtId="164" xfId="0" applyAlignment="1" applyFont="1" applyNumberFormat="1">
      <alignment horizontal="center" readingOrder="0" vertical="center"/>
    </xf>
    <xf borderId="3" fillId="2" fontId="4" numFmtId="164" xfId="0" applyAlignment="1" applyBorder="1" applyFont="1" applyNumberFormat="1">
      <alignment horizontal="center" readingOrder="0" vertical="center"/>
    </xf>
    <xf borderId="2" fillId="3" fontId="5" numFmtId="166" xfId="0" applyAlignment="1" applyBorder="1" applyFont="1" applyNumberFormat="1">
      <alignment horizontal="center" readingOrder="0" vertical="center"/>
    </xf>
    <xf borderId="0" fillId="0" fontId="1" numFmtId="164" xfId="0" applyAlignment="1" applyFont="1" applyNumberFormat="1">
      <alignment horizontal="center" readingOrder="0" vertical="center"/>
    </xf>
    <xf borderId="2" fillId="0" fontId="6" numFmtId="164" xfId="0" applyAlignment="1" applyBorder="1" applyFont="1" applyNumberFormat="1">
      <alignment horizontal="center" readingOrder="0" shrinkToFit="0" vertical="center" wrapText="1"/>
    </xf>
    <xf borderId="0" fillId="0" fontId="6" numFmtId="164" xfId="0" applyAlignment="1" applyFont="1" applyNumberFormat="1">
      <alignment horizontal="center" readingOrder="0" shrinkToFit="0" vertical="center" wrapText="1"/>
    </xf>
    <xf borderId="0" fillId="0" fontId="1" numFmtId="164" xfId="0" applyAlignment="1" applyFont="1" applyNumberFormat="1">
      <alignment horizontal="center" readingOrder="0" shrinkToFit="0" vertical="center" wrapText="1"/>
    </xf>
    <xf borderId="0" fillId="0" fontId="6" numFmtId="164" xfId="0" applyAlignment="1" applyFont="1" applyNumberFormat="1">
      <alignment horizontal="center" readingOrder="0" shrinkToFit="0" vertical="center" wrapText="0"/>
    </xf>
    <xf borderId="1" fillId="0" fontId="6" numFmtId="0" xfId="0" applyAlignment="1" applyBorder="1" applyFont="1">
      <alignment horizontal="center" readingOrder="0" shrinkToFit="0" vertical="center" wrapText="1"/>
    </xf>
    <xf borderId="0" fillId="0" fontId="6" numFmtId="166" xfId="0" applyAlignment="1" applyFont="1" applyNumberFormat="1">
      <alignment horizontal="center" shrinkToFit="0" vertical="center" wrapText="1"/>
    </xf>
    <xf borderId="0" fillId="0" fontId="6" numFmtId="166" xfId="0" applyAlignment="1" applyFont="1" applyNumberFormat="1">
      <alignment horizontal="center" readingOrder="0" shrinkToFit="0" vertical="center" wrapText="1"/>
    </xf>
    <xf borderId="1" fillId="0" fontId="6" numFmtId="164" xfId="0" applyAlignment="1" applyBorder="1" applyFont="1" applyNumberFormat="1">
      <alignment horizontal="center" readingOrder="0" shrinkToFit="0" vertical="center" wrapText="1"/>
    </xf>
    <xf borderId="2" fillId="2" fontId="4" numFmtId="164" xfId="0" applyAlignment="1" applyBorder="1" applyFont="1" applyNumberFormat="1">
      <alignment horizontal="center" readingOrder="0" vertical="center"/>
    </xf>
    <xf borderId="0" fillId="2" fontId="5" numFmtId="166" xfId="0" applyAlignment="1" applyFont="1" applyNumberFormat="1">
      <alignment horizontal="center" vertical="center"/>
    </xf>
    <xf borderId="0" fillId="2" fontId="4" numFmtId="164" xfId="0" applyAlignment="1" applyFont="1" applyNumberFormat="1">
      <alignment horizontal="center" readingOrder="0" vertical="center"/>
    </xf>
    <xf borderId="1" fillId="2" fontId="5" numFmtId="166" xfId="0" applyAlignment="1" applyBorder="1" applyFont="1" applyNumberFormat="1">
      <alignment horizontal="center" vertical="center"/>
    </xf>
    <xf borderId="2" fillId="2" fontId="5" numFmtId="166" xfId="0" applyAlignment="1" applyBorder="1" applyFont="1" applyNumberFormat="1">
      <alignment horizontal="center" vertical="center"/>
    </xf>
    <xf borderId="0" fillId="2" fontId="4" numFmtId="166" xfId="0" applyAlignment="1" applyFont="1" applyNumberFormat="1">
      <alignment horizontal="center" readingOrder="0" vertical="center"/>
    </xf>
    <xf borderId="1" fillId="2" fontId="4" numFmtId="166" xfId="0" applyAlignment="1" applyBorder="1" applyFont="1" applyNumberFormat="1">
      <alignment horizontal="center" readingOrder="0" vertical="center"/>
    </xf>
    <xf borderId="2" fillId="0" fontId="1" numFmtId="164" xfId="0" applyAlignment="1" applyBorder="1" applyFont="1" applyNumberFormat="1">
      <alignment horizontal="center" readingOrder="0" shrinkToFit="0" vertical="center" wrapText="1"/>
    </xf>
    <xf borderId="0" fillId="0" fontId="1" numFmtId="0" xfId="0" applyAlignment="1" applyFont="1">
      <alignment horizontal="center" readingOrder="0" vertical="center"/>
    </xf>
    <xf borderId="0" fillId="0" fontId="1" numFmtId="164" xfId="0" applyAlignment="1" applyFont="1" applyNumberFormat="1">
      <alignment horizontal="center" readingOrder="0" shrinkToFit="0" vertical="center" wrapText="0"/>
    </xf>
    <xf borderId="1" fillId="0" fontId="1" numFmtId="0" xfId="0" applyAlignment="1" applyBorder="1" applyFont="1">
      <alignment horizontal="center" readingOrder="0" vertical="center"/>
    </xf>
    <xf borderId="2" fillId="0" fontId="1" numFmtId="164" xfId="0" applyAlignment="1" applyBorder="1" applyFont="1" applyNumberFormat="1">
      <alignment horizontal="center" readingOrder="0" vertical="center"/>
    </xf>
    <xf borderId="0" fillId="0" fontId="1" numFmtId="166" xfId="0" applyAlignment="1" applyFont="1" applyNumberFormat="1">
      <alignment horizontal="center" readingOrder="0" vertical="center"/>
    </xf>
    <xf borderId="1" fillId="0" fontId="1" numFmtId="164" xfId="0" applyAlignment="1" applyBorder="1" applyFont="1" applyNumberFormat="1">
      <alignment horizontal="center" readingOrder="0" vertical="center"/>
    </xf>
    <xf borderId="3" fillId="0" fontId="1" numFmtId="164" xfId="0" applyAlignment="1" applyBorder="1" applyFont="1" applyNumberFormat="1">
      <alignment horizontal="center" readingOrder="0" vertical="center"/>
    </xf>
    <xf borderId="2" fillId="0" fontId="1" numFmtId="166" xfId="0" applyAlignment="1" applyBorder="1" applyFont="1" applyNumberFormat="1">
      <alignment horizontal="center" readingOrder="0" vertical="center"/>
    </xf>
    <xf borderId="0" fillId="0" fontId="1" numFmtId="166" xfId="0" applyAlignment="1" applyFont="1" applyNumberFormat="1">
      <alignment horizontal="center" vertical="center"/>
    </xf>
    <xf borderId="1" fillId="0" fontId="1" numFmtId="166" xfId="0" applyAlignment="1" applyBorder="1" applyFont="1" applyNumberFormat="1">
      <alignment horizontal="center" vertical="center"/>
    </xf>
    <xf borderId="1" fillId="0" fontId="1" numFmtId="166" xfId="0" applyAlignment="1" applyBorder="1" applyFont="1" applyNumberFormat="1">
      <alignment horizontal="center" readingOrder="0" vertical="center"/>
    </xf>
    <xf borderId="0" fillId="0" fontId="1" numFmtId="167" xfId="0" applyAlignment="1" applyFont="1" applyNumberFormat="1">
      <alignment horizontal="center" readingOrder="0" vertical="center"/>
    </xf>
    <xf borderId="1" fillId="0" fontId="1" numFmtId="167" xfId="0" applyAlignment="1" applyBorder="1" applyFont="1" applyNumberFormat="1">
      <alignment horizontal="center" readingOrder="0" vertical="center"/>
    </xf>
    <xf borderId="0" fillId="0" fontId="7" numFmtId="164" xfId="0" applyAlignment="1" applyFont="1" applyNumberFormat="1">
      <alignment horizontal="center" readingOrder="0" vertical="center"/>
    </xf>
    <xf borderId="2" fillId="0" fontId="1" numFmtId="166" xfId="0" applyAlignment="1" applyBorder="1" applyFont="1" applyNumberFormat="1">
      <alignment horizontal="center" vertical="center"/>
    </xf>
    <xf borderId="0" fillId="4" fontId="1" numFmtId="164" xfId="0" applyAlignment="1" applyFill="1" applyFont="1" applyNumberFormat="1">
      <alignment horizontal="center" readingOrder="0" vertical="center"/>
    </xf>
    <xf borderId="0" fillId="0" fontId="8" numFmtId="164" xfId="0" applyAlignment="1" applyFont="1" applyNumberFormat="1">
      <alignment horizontal="center" readingOrder="0" vertical="center"/>
    </xf>
    <xf borderId="0" fillId="0" fontId="9" numFmtId="164" xfId="0" applyAlignment="1" applyFont="1" applyNumberFormat="1">
      <alignment horizontal="center" readingOrder="0" shrinkToFit="0" vertical="center" wrapText="0"/>
    </xf>
    <xf borderId="0" fillId="5" fontId="1" numFmtId="164" xfId="0" applyAlignment="1" applyFill="1" applyFont="1" applyNumberFormat="1">
      <alignment horizontal="center" readingOrder="0" vertical="center"/>
    </xf>
    <xf borderId="2" fillId="4" fontId="1" numFmtId="164" xfId="0" applyAlignment="1" applyBorder="1" applyFont="1" applyNumberFormat="1">
      <alignment horizontal="center" readingOrder="0" shrinkToFit="0" vertical="center" wrapText="1"/>
    </xf>
    <xf borderId="0" fillId="4" fontId="10" numFmtId="164" xfId="0" applyAlignment="1" applyFont="1" applyNumberFormat="1">
      <alignment horizontal="center" readingOrder="0" shrinkToFit="0" vertical="center" wrapText="0"/>
    </xf>
    <xf borderId="1" fillId="4" fontId="1" numFmtId="164" xfId="0" applyAlignment="1" applyBorder="1" applyFont="1" applyNumberFormat="1">
      <alignment horizontal="center" readingOrder="0" vertical="center"/>
    </xf>
    <xf borderId="2" fillId="4" fontId="1" numFmtId="164" xfId="0" applyAlignment="1" applyBorder="1" applyFont="1" applyNumberFormat="1">
      <alignment horizontal="center" readingOrder="0" vertical="center"/>
    </xf>
    <xf borderId="0" fillId="4" fontId="1" numFmtId="166" xfId="0" applyAlignment="1" applyFont="1" applyNumberFormat="1">
      <alignment horizontal="center" readingOrder="0" vertical="center"/>
    </xf>
    <xf borderId="1" fillId="4" fontId="1" numFmtId="164" xfId="0" applyAlignment="1" applyBorder="1" applyFont="1" applyNumberFormat="1">
      <alignment horizontal="center" vertical="center"/>
    </xf>
    <xf borderId="3" fillId="4" fontId="1" numFmtId="164" xfId="0" applyAlignment="1" applyBorder="1" applyFont="1" applyNumberFormat="1">
      <alignment horizontal="center" readingOrder="0" vertical="center"/>
    </xf>
    <xf borderId="2" fillId="4" fontId="1" numFmtId="166" xfId="0" applyAlignment="1" applyBorder="1" applyFont="1" applyNumberFormat="1">
      <alignment horizontal="center" vertical="center"/>
    </xf>
    <xf borderId="0" fillId="4" fontId="1" numFmtId="166" xfId="0" applyAlignment="1" applyFont="1" applyNumberFormat="1">
      <alignment horizontal="center" vertical="center"/>
    </xf>
    <xf borderId="1" fillId="4" fontId="1" numFmtId="166" xfId="0" applyAlignment="1" applyBorder="1" applyFont="1" applyNumberFormat="1">
      <alignment horizontal="center" vertical="center"/>
    </xf>
    <xf borderId="0" fillId="0" fontId="11" numFmtId="164" xfId="0" applyAlignment="1" applyFont="1" applyNumberFormat="1">
      <alignment horizontal="center" readingOrder="0" shrinkToFit="0" vertical="center" wrapText="0"/>
    </xf>
    <xf borderId="1" fillId="0" fontId="1" numFmtId="164" xfId="0" applyAlignment="1" applyBorder="1" applyFont="1" applyNumberFormat="1">
      <alignment horizontal="center" vertical="center"/>
    </xf>
    <xf borderId="0" fillId="0" fontId="12" numFmtId="164" xfId="0" applyAlignment="1" applyFont="1" applyNumberFormat="1">
      <alignment horizontal="center" shrinkToFit="0" vertical="center" wrapText="0"/>
    </xf>
    <xf borderId="0" fillId="0" fontId="6" numFmtId="166" xfId="0" applyAlignment="1" applyFont="1" applyNumberFormat="1">
      <alignment horizontal="center" vertical="bottom"/>
    </xf>
    <xf borderId="0" fillId="0" fontId="1" numFmtId="164" xfId="0" applyAlignment="1" applyFont="1" applyNumberFormat="1">
      <alignment horizontal="center" shrinkToFit="0" vertical="center" wrapText="0"/>
    </xf>
    <xf borderId="3" fillId="0" fontId="1" numFmtId="164" xfId="0" applyAlignment="1" applyBorder="1" applyFont="1" applyNumberFormat="1">
      <alignment horizontal="center" vertical="center"/>
    </xf>
    <xf borderId="2" fillId="0" fontId="1" numFmtId="164" xfId="0" applyAlignment="1" applyBorder="1" applyFont="1" applyNumberFormat="1">
      <alignment horizontal="center" vertical="center"/>
    </xf>
    <xf borderId="0" fillId="0" fontId="1" numFmtId="164" xfId="0" applyAlignment="1" applyFont="1" applyNumberFormat="1">
      <alignment horizontal="center" vertical="center"/>
    </xf>
    <xf borderId="2" fillId="0" fontId="6" numFmtId="164" xfId="0" applyAlignment="1" applyBorder="1" applyFont="1" applyNumberFormat="1">
      <alignment horizontal="center" readingOrder="0"/>
    </xf>
    <xf borderId="0" fillId="0" fontId="6" numFmtId="164" xfId="0" applyAlignment="1" applyFont="1" applyNumberFormat="1">
      <alignment horizontal="center" readingOrder="0"/>
    </xf>
    <xf borderId="0" fillId="0" fontId="6" numFmtId="166" xfId="0" applyAlignment="1" applyFont="1" applyNumberFormat="1">
      <alignment horizontal="center"/>
    </xf>
    <xf borderId="2" fillId="0" fontId="6" numFmtId="164" xfId="0" applyAlignment="1" applyBorder="1" applyFont="1" applyNumberFormat="1">
      <alignment horizontal="center"/>
    </xf>
    <xf borderId="0" fillId="0" fontId="6" numFmtId="164" xfId="0" applyAlignment="1" applyFont="1" applyNumberFormat="1">
      <alignment horizontal="center"/>
    </xf>
    <xf borderId="2" fillId="0" fontId="6" numFmtId="164" xfId="0" applyAlignment="1" applyBorder="1" applyFont="1" applyNumberFormat="1">
      <alignment horizontal="center" shrinkToFit="0" wrapText="1"/>
    </xf>
    <xf borderId="1" fillId="0" fontId="6" numFmtId="0" xfId="0" applyAlignment="1" applyBorder="1" applyFont="1">
      <alignment horizontal="center"/>
    </xf>
    <xf borderId="1" fillId="0" fontId="6" numFmtId="164" xfId="0" applyAlignment="1" applyBorder="1" applyFont="1" applyNumberFormat="1">
      <alignment horizontal="center"/>
    </xf>
    <xf borderId="3" fillId="0" fontId="6" numFmtId="164" xfId="0" applyAlignment="1" applyBorder="1" applyFont="1" applyNumberFormat="1">
      <alignment horizontal="center"/>
    </xf>
    <xf borderId="2" fillId="0" fontId="6" numFmtId="166" xfId="0" applyAlignment="1" applyBorder="1" applyFont="1" applyNumberFormat="1">
      <alignment horizontal="center"/>
    </xf>
    <xf borderId="0" fillId="0" fontId="6" numFmtId="166" xfId="0" applyFont="1" applyNumberFormat="1"/>
    <xf borderId="1" fillId="0" fontId="6" numFmtId="166" xfId="0" applyAlignment="1" applyBorder="1" applyFont="1" applyNumberFormat="1">
      <alignment horizontal="center"/>
    </xf>
    <xf borderId="0" fillId="0" fontId="6" numFmtId="167" xfId="0" applyAlignment="1" applyFont="1" applyNumberFormat="1">
      <alignment horizontal="center" readingOrder="0"/>
    </xf>
    <xf borderId="2" fillId="0" fontId="6" numFmtId="164" xfId="0" applyAlignment="1" applyBorder="1" applyFont="1" applyNumberFormat="1">
      <alignment horizontal="center" shrinkToFit="0" vertical="center" wrapText="1"/>
    </xf>
    <xf borderId="0" fillId="0" fontId="6" numFmtId="164" xfId="0" applyAlignment="1" applyFont="1" applyNumberFormat="1">
      <alignment horizontal="center" shrinkToFit="0" vertical="center" wrapText="0"/>
    </xf>
    <xf borderId="1" fillId="0" fontId="6" numFmtId="164" xfId="0" applyAlignment="1" applyBorder="1" applyFont="1" applyNumberFormat="1">
      <alignment horizontal="center" vertical="center"/>
    </xf>
    <xf borderId="2" fillId="0" fontId="6" numFmtId="164" xfId="0" applyAlignment="1" applyBorder="1" applyFont="1" applyNumberFormat="1">
      <alignment horizontal="center" vertical="center"/>
    </xf>
    <xf borderId="0" fillId="0" fontId="6" numFmtId="164" xfId="0" applyAlignment="1" applyFont="1" applyNumberFormat="1">
      <alignment horizontal="center" vertical="center"/>
    </xf>
    <xf borderId="0" fillId="0" fontId="6" numFmtId="166" xfId="0" applyAlignment="1" applyFont="1" applyNumberFormat="1">
      <alignment horizontal="center" vertical="center"/>
    </xf>
    <xf borderId="0" fillId="0" fontId="13" numFmtId="164" xfId="0" applyAlignment="1" applyFont="1" applyNumberFormat="1">
      <alignment readingOrder="0"/>
    </xf>
    <xf borderId="0" fillId="5" fontId="1" numFmtId="164" xfId="0" applyAlignment="1" applyFont="1" applyNumberFormat="1">
      <alignment horizontal="center" readingOrder="0" shrinkToFit="0" vertical="center" wrapText="1"/>
    </xf>
    <xf borderId="0" fillId="0" fontId="6" numFmtId="0" xfId="0" applyAlignment="1" applyFont="1">
      <alignment horizontal="center" readingOrder="0" vertical="center"/>
    </xf>
    <xf borderId="0" fillId="0" fontId="14" numFmtId="164" xfId="0" applyAlignment="1" applyFont="1" applyNumberFormat="1">
      <alignment horizontal="center" shrinkToFit="0" vertical="center" wrapText="0"/>
    </xf>
    <xf borderId="1" fillId="0" fontId="6" numFmtId="164" xfId="0" applyAlignment="1" applyBorder="1" applyFont="1" applyNumberFormat="1">
      <alignment horizontal="center" readingOrder="0" vertical="center"/>
    </xf>
    <xf borderId="2" fillId="0" fontId="6" numFmtId="164" xfId="0" applyAlignment="1" applyBorder="1" applyFont="1" applyNumberFormat="1">
      <alignment horizontal="center" readingOrder="0" vertical="center"/>
    </xf>
    <xf borderId="0" fillId="0" fontId="6" numFmtId="164" xfId="0" applyAlignment="1" applyFont="1" applyNumberFormat="1">
      <alignment horizontal="center" readingOrder="0" vertical="center"/>
    </xf>
    <xf borderId="0" fillId="0" fontId="6" numFmtId="166" xfId="0" applyAlignment="1" applyFont="1" applyNumberFormat="1">
      <alignment horizontal="center" readingOrder="0" vertical="center"/>
    </xf>
    <xf borderId="3" fillId="0" fontId="6" numFmtId="164" xfId="0" applyAlignment="1" applyBorder="1" applyFont="1" applyNumberFormat="1">
      <alignment horizontal="center" vertical="center"/>
    </xf>
    <xf borderId="2" fillId="0" fontId="6" numFmtId="166" xfId="0" applyAlignment="1" applyBorder="1" applyFont="1" applyNumberFormat="1">
      <alignment horizontal="center" vertical="center"/>
    </xf>
    <xf borderId="1" fillId="0" fontId="6" numFmtId="166" xfId="0" applyAlignment="1" applyBorder="1" applyFont="1" applyNumberFormat="1">
      <alignment horizontal="center" vertical="center"/>
    </xf>
    <xf borderId="2" fillId="0" fontId="6" numFmtId="166" xfId="0" applyAlignment="1" applyBorder="1" applyFont="1" applyNumberFormat="1">
      <alignment horizontal="center" readingOrder="0" vertical="center"/>
    </xf>
    <xf borderId="2" fillId="5" fontId="1" numFmtId="164" xfId="0" applyAlignment="1" applyBorder="1" applyFont="1" applyNumberFormat="1">
      <alignment horizontal="center" readingOrder="0" shrinkToFit="0" vertical="center" wrapText="1"/>
    </xf>
    <xf borderId="0" fillId="5" fontId="15" numFmtId="164" xfId="0" applyAlignment="1" applyFont="1" applyNumberFormat="1">
      <alignment horizontal="center" shrinkToFit="0" vertical="center" wrapText="0"/>
    </xf>
    <xf borderId="1" fillId="5" fontId="1" numFmtId="164" xfId="0" applyAlignment="1" applyBorder="1" applyFont="1" applyNumberFormat="1">
      <alignment horizontal="center" readingOrder="0" vertical="center"/>
    </xf>
    <xf borderId="2" fillId="5" fontId="1" numFmtId="164" xfId="0" applyAlignment="1" applyBorder="1" applyFont="1" applyNumberFormat="1">
      <alignment horizontal="center" readingOrder="0" vertical="center"/>
    </xf>
    <xf borderId="0" fillId="5" fontId="1" numFmtId="166" xfId="0" applyAlignment="1" applyFont="1" applyNumberFormat="1">
      <alignment horizontal="center" readingOrder="0" vertical="center"/>
    </xf>
    <xf borderId="0" fillId="5" fontId="6" numFmtId="166" xfId="0" applyAlignment="1" applyFont="1" applyNumberFormat="1">
      <alignment horizontal="center" vertical="bottom"/>
    </xf>
    <xf borderId="1" fillId="5" fontId="1" numFmtId="164" xfId="0" applyAlignment="1" applyBorder="1" applyFont="1" applyNumberFormat="1">
      <alignment horizontal="center" vertical="center"/>
    </xf>
    <xf borderId="3" fillId="5" fontId="1" numFmtId="164" xfId="0" applyAlignment="1" applyBorder="1" applyFont="1" applyNumberFormat="1">
      <alignment horizontal="center" readingOrder="0" vertical="center"/>
    </xf>
    <xf borderId="2" fillId="5" fontId="1" numFmtId="166" xfId="0" applyAlignment="1" applyBorder="1" applyFont="1" applyNumberFormat="1">
      <alignment horizontal="center" vertical="center"/>
    </xf>
    <xf borderId="0" fillId="5" fontId="1" numFmtId="166" xfId="0" applyAlignment="1" applyFont="1" applyNumberFormat="1">
      <alignment horizontal="center" vertical="center"/>
    </xf>
    <xf borderId="1" fillId="5" fontId="1" numFmtId="166" xfId="0" applyAlignment="1" applyBorder="1" applyFont="1" applyNumberFormat="1">
      <alignment horizontal="center" vertical="center"/>
    </xf>
    <xf borderId="0" fillId="6" fontId="1" numFmtId="164" xfId="0" applyAlignment="1" applyFill="1" applyFont="1" applyNumberFormat="1">
      <alignment horizontal="center" readingOrder="0" vertical="center"/>
    </xf>
    <xf borderId="1" fillId="0" fontId="6" numFmtId="168" xfId="0" applyAlignment="1" applyBorder="1" applyFont="1" applyNumberFormat="1">
      <alignment horizontal="center"/>
    </xf>
    <xf borderId="2" fillId="0" fontId="6" numFmtId="168" xfId="0" applyAlignment="1" applyBorder="1" applyFont="1" applyNumberFormat="1">
      <alignment horizontal="center"/>
    </xf>
    <xf borderId="0" fillId="0" fontId="1" numFmtId="169" xfId="0" applyAlignment="1" applyFont="1" applyNumberFormat="1">
      <alignment horizontal="center" readingOrder="0" vertical="center"/>
    </xf>
    <xf borderId="1" fillId="0" fontId="6" numFmtId="168" xfId="0" applyAlignment="1" applyBorder="1" applyFont="1" applyNumberFormat="1">
      <alignment horizontal="center" readingOrder="0"/>
    </xf>
    <xf borderId="2" fillId="0" fontId="6" numFmtId="168" xfId="0" applyAlignment="1" applyBorder="1" applyFont="1" applyNumberFormat="1">
      <alignment horizontal="center" readingOrder="0"/>
    </xf>
    <xf borderId="0" fillId="6" fontId="1" numFmtId="164" xfId="0" applyAlignment="1" applyFont="1" applyNumberFormat="1">
      <alignment horizontal="center" readingOrder="0" shrinkToFit="0" vertical="center" wrapText="0"/>
    </xf>
    <xf borderId="1" fillId="6" fontId="1" numFmtId="164" xfId="0" applyAlignment="1" applyBorder="1" applyFont="1" applyNumberFormat="1">
      <alignment horizontal="center" readingOrder="0" vertical="center"/>
    </xf>
    <xf borderId="2" fillId="6" fontId="1" numFmtId="164" xfId="0" applyAlignment="1" applyBorder="1" applyFont="1" applyNumberFormat="1">
      <alignment horizontal="center" readingOrder="0" vertical="center"/>
    </xf>
    <xf borderId="0" fillId="6" fontId="1" numFmtId="166" xfId="0" applyAlignment="1" applyFont="1" applyNumberFormat="1">
      <alignment horizontal="center" readingOrder="0" vertical="center"/>
    </xf>
    <xf borderId="1" fillId="6" fontId="1" numFmtId="164" xfId="0" applyAlignment="1" applyBorder="1" applyFont="1" applyNumberFormat="1">
      <alignment horizontal="center" vertical="center"/>
    </xf>
    <xf borderId="3" fillId="6" fontId="1" numFmtId="164" xfId="0" applyAlignment="1" applyBorder="1" applyFont="1" applyNumberFormat="1">
      <alignment horizontal="center" readingOrder="0" vertical="center"/>
    </xf>
    <xf borderId="2" fillId="6" fontId="1" numFmtId="166" xfId="0" applyAlignment="1" applyBorder="1" applyFont="1" applyNumberFormat="1">
      <alignment horizontal="center" vertical="center"/>
    </xf>
    <xf borderId="0" fillId="6" fontId="1" numFmtId="166" xfId="0" applyAlignment="1" applyFont="1" applyNumberFormat="1">
      <alignment horizontal="center" vertical="center"/>
    </xf>
    <xf borderId="1" fillId="6" fontId="1" numFmtId="166" xfId="0" applyAlignment="1" applyBorder="1" applyFont="1" applyNumberFormat="1">
      <alignment horizontal="center" vertical="center"/>
    </xf>
    <xf borderId="2" fillId="0" fontId="1" numFmtId="0" xfId="0" applyBorder="1" applyFont="1"/>
    <xf borderId="0" fillId="0" fontId="16" numFmtId="164" xfId="0" applyAlignment="1" applyFont="1" applyNumberFormat="1">
      <alignment readingOrder="0"/>
    </xf>
    <xf borderId="0" fillId="0" fontId="17" numFmtId="0" xfId="0" applyAlignment="1" applyFont="1">
      <alignment horizontal="center" readingOrder="0" vertical="center"/>
    </xf>
    <xf borderId="0" fillId="0" fontId="6" numFmtId="0" xfId="0" applyAlignment="1" applyFont="1">
      <alignment horizontal="center" vertical="center"/>
    </xf>
    <xf borderId="0" fillId="0" fontId="18" numFmtId="164" xfId="0" applyAlignment="1" applyFont="1" applyNumberFormat="1">
      <alignment horizontal="center" shrinkToFit="0" vertical="center" wrapText="0"/>
    </xf>
    <xf borderId="0" fillId="0" fontId="1" numFmtId="3" xfId="0" applyAlignment="1" applyFont="1" applyNumberFormat="1">
      <alignment horizontal="center" readingOrder="0" vertical="center"/>
    </xf>
    <xf borderId="0" fillId="0" fontId="19" numFmtId="164" xfId="0" applyAlignment="1" applyFont="1" applyNumberFormat="1">
      <alignment horizontal="center" readingOrder="0" shrinkToFit="0" vertical="center" wrapText="0"/>
    </xf>
    <xf borderId="0" fillId="0" fontId="20" numFmtId="3" xfId="0" applyAlignment="1" applyFont="1" applyNumberFormat="1">
      <alignment horizontal="center" shrinkToFit="0" vertical="center" wrapText="0"/>
    </xf>
    <xf borderId="0" fillId="0" fontId="21" numFmtId="3" xfId="0" applyAlignment="1" applyFont="1" applyNumberFormat="1">
      <alignment horizontal="center" readingOrder="0" shrinkToFit="0" vertical="center" wrapText="0"/>
    </xf>
    <xf borderId="0" fillId="5" fontId="22" numFmtId="164" xfId="0" applyAlignment="1" applyFont="1" applyNumberFormat="1">
      <alignment horizontal="center" readingOrder="0" vertical="center"/>
    </xf>
    <xf borderId="0" fillId="5" fontId="6" numFmtId="164" xfId="0" applyAlignment="1" applyFont="1" applyNumberFormat="1">
      <alignment readingOrder="0"/>
    </xf>
    <xf borderId="0" fillId="0" fontId="23" numFmtId="0" xfId="0" applyAlignment="1" applyFont="1">
      <alignment horizontal="center" readingOrder="0" shrinkToFit="0" vertical="center" wrapText="0"/>
    </xf>
    <xf borderId="0" fillId="0" fontId="6" numFmtId="166" xfId="0" applyAlignment="1" applyFont="1" applyNumberFormat="1">
      <alignment horizontal="center"/>
    </xf>
    <xf borderId="0" fillId="0" fontId="24" numFmtId="164" xfId="0" applyAlignment="1" applyFont="1" applyNumberFormat="1">
      <alignment horizontal="center" readingOrder="0" vertical="center"/>
    </xf>
    <xf borderId="0" fillId="0" fontId="1" numFmtId="0" xfId="0" applyAlignment="1" applyFont="1">
      <alignment readingOrder="0"/>
    </xf>
    <xf borderId="1" fillId="4" fontId="1" numFmtId="0" xfId="0" applyAlignment="1" applyBorder="1" applyFont="1">
      <alignment horizontal="center" readingOrder="0" vertical="center"/>
    </xf>
    <xf borderId="0" fillId="0" fontId="25" numFmtId="0" xfId="0" applyAlignment="1" applyFont="1">
      <alignment horizontal="center" readingOrder="0" vertical="center"/>
    </xf>
    <xf borderId="1" fillId="0" fontId="25" numFmtId="0" xfId="0" applyAlignment="1" applyBorder="1" applyFont="1">
      <alignment horizontal="center" readingOrder="0" vertical="center"/>
    </xf>
    <xf borderId="2" fillId="0" fontId="25" numFmtId="164" xfId="0" applyAlignment="1" applyBorder="1" applyFont="1" applyNumberFormat="1">
      <alignment horizontal="center" readingOrder="0" vertical="center"/>
    </xf>
    <xf borderId="3" fillId="0" fontId="25" numFmtId="0" xfId="0" applyAlignment="1" applyBorder="1" applyFont="1">
      <alignment horizontal="center" readingOrder="0" shrinkToFit="0" vertical="center" wrapText="0"/>
    </xf>
    <xf borderId="2" fillId="0" fontId="25" numFmtId="0" xfId="0" applyAlignment="1" applyBorder="1" applyFont="1">
      <alignment horizontal="center" readingOrder="0" shrinkToFit="0" vertical="center" wrapText="1"/>
    </xf>
    <xf borderId="0" fillId="0" fontId="25" numFmtId="167" xfId="0" applyAlignment="1" applyFont="1" applyNumberFormat="1">
      <alignment horizontal="center" readingOrder="0" vertical="center"/>
    </xf>
    <xf borderId="1" fillId="5" fontId="0" numFmtId="0" xfId="0" applyAlignment="1" applyBorder="1" applyFont="1">
      <alignment horizontal="center" vertical="center"/>
    </xf>
    <xf borderId="2" fillId="0" fontId="25" numFmtId="164" xfId="0" applyAlignment="1" applyBorder="1" applyFont="1" applyNumberFormat="1">
      <alignment horizontal="center" shrinkToFit="0" vertical="center" wrapText="1"/>
    </xf>
    <xf borderId="1" fillId="0" fontId="25" numFmtId="164" xfId="0" applyAlignment="1" applyBorder="1" applyFont="1" applyNumberFormat="1">
      <alignment horizontal="center" shrinkToFit="0" vertical="center" wrapText="1"/>
    </xf>
    <xf borderId="3" fillId="0" fontId="25" numFmtId="164" xfId="0" applyAlignment="1" applyBorder="1" applyFont="1" applyNumberFormat="1">
      <alignment horizontal="center" shrinkToFit="0" vertical="center" wrapText="0"/>
    </xf>
    <xf borderId="2" fillId="0" fontId="25" numFmtId="164" xfId="0" applyAlignment="1" applyBorder="1" applyFont="1" applyNumberFormat="1">
      <alignment horizontal="left" shrinkToFit="0" vertical="center" wrapText="1"/>
    </xf>
    <xf borderId="1" fillId="0" fontId="25" numFmtId="164" xfId="0" applyAlignment="1" applyBorder="1" applyFont="1" applyNumberFormat="1">
      <alignment horizontal="center" readingOrder="0" vertical="center"/>
    </xf>
    <xf borderId="2" fillId="0" fontId="25" numFmtId="164" xfId="0" applyAlignment="1" applyBorder="1" applyFont="1" applyNumberFormat="1">
      <alignment horizontal="center" readingOrder="0" shrinkToFit="0" vertical="center" wrapText="1"/>
    </xf>
    <xf borderId="1" fillId="0" fontId="25" numFmtId="164" xfId="0" applyAlignment="1" applyBorder="1" applyFont="1" applyNumberFormat="1">
      <alignment horizontal="center" readingOrder="0" shrinkToFit="0" vertical="center" wrapText="1"/>
    </xf>
    <xf borderId="3" fillId="0" fontId="1" numFmtId="164" xfId="0" applyAlignment="1" applyBorder="1" applyFont="1" applyNumberFormat="1">
      <alignment horizontal="center" readingOrder="0" shrinkToFit="0" vertical="center" wrapText="0"/>
    </xf>
    <xf borderId="2" fillId="0" fontId="1" numFmtId="164" xfId="0" applyAlignment="1" applyBorder="1" applyFont="1" applyNumberFormat="1">
      <alignment horizontal="left" readingOrder="0" shrinkToFit="0" vertical="center" wrapText="1"/>
    </xf>
    <xf borderId="1" fillId="5" fontId="0" numFmtId="0" xfId="0" applyAlignment="1" applyBorder="1" applyFont="1">
      <alignment horizontal="center" readingOrder="0" vertical="center"/>
    </xf>
    <xf borderId="0" fillId="0" fontId="1" numFmtId="167" xfId="0" applyFont="1" applyNumberFormat="1"/>
    <xf borderId="1" fillId="0" fontId="6" numFmtId="0" xfId="0" applyAlignment="1" applyBorder="1" applyFont="1">
      <alignment horizontal="center" readingOrder="0" vertical="center"/>
    </xf>
    <xf borderId="1" fillId="0" fontId="1" numFmtId="0" xfId="0" applyBorder="1" applyFont="1"/>
    <xf borderId="0" fillId="0" fontId="6" numFmtId="167" xfId="0" applyAlignment="1" applyFont="1" applyNumberFormat="1">
      <alignment horizontal="center" vertical="bottom"/>
    </xf>
    <xf borderId="1" fillId="5" fontId="26" numFmtId="0" xfId="0" applyAlignment="1" applyBorder="1" applyFont="1">
      <alignment horizontal="center"/>
    </xf>
    <xf borderId="2" fillId="0" fontId="6" numFmtId="164" xfId="0" applyAlignment="1" applyBorder="1" applyFont="1" applyNumberFormat="1">
      <alignment horizontal="center" shrinkToFit="0" wrapText="1"/>
    </xf>
    <xf borderId="1" fillId="0" fontId="6" numFmtId="164" xfId="0" applyAlignment="1" applyBorder="1" applyFont="1" applyNumberFormat="1">
      <alignment horizontal="center" shrinkToFit="0" wrapText="1"/>
    </xf>
    <xf borderId="3" fillId="0" fontId="6" numFmtId="164" xfId="0" applyAlignment="1" applyBorder="1" applyFont="1" applyNumberFormat="1">
      <alignment horizontal="center" readingOrder="0"/>
    </xf>
    <xf borderId="2" fillId="0" fontId="6" numFmtId="164" xfId="0" applyAlignment="1" applyBorder="1" applyFont="1" applyNumberFormat="1">
      <alignment horizontal="left" shrinkToFit="0" wrapText="1"/>
    </xf>
    <xf borderId="2" fillId="0" fontId="25" numFmtId="3" xfId="0" applyAlignment="1" applyBorder="1" applyFont="1" applyNumberFormat="1">
      <alignment horizontal="center" readingOrder="0" shrinkToFit="0" vertical="center" wrapText="1"/>
    </xf>
    <xf borderId="0" fillId="0" fontId="25" numFmtId="170" xfId="0" applyAlignment="1" applyFont="1" applyNumberFormat="1">
      <alignment horizontal="center" readingOrder="0" vertical="center"/>
    </xf>
    <xf borderId="0" fillId="2" fontId="4" numFmtId="164" xfId="0" applyAlignment="1" applyFont="1" applyNumberFormat="1">
      <alignment horizontal="center" readingOrder="0" shrinkToFit="0" vertical="center" wrapText="1"/>
    </xf>
    <xf borderId="1" fillId="2" fontId="4" numFmtId="164" xfId="0" applyAlignment="1" applyBorder="1" applyFont="1" applyNumberFormat="1">
      <alignment horizontal="center" readingOrder="0" shrinkToFit="0" vertical="center" wrapText="1"/>
    </xf>
    <xf borderId="2" fillId="2" fontId="4" numFmtId="0" xfId="0" applyAlignment="1" applyBorder="1" applyFont="1">
      <alignment horizontal="center" readingOrder="0" shrinkToFit="0" vertical="center" wrapText="1"/>
    </xf>
    <xf borderId="0" fillId="2" fontId="4" numFmtId="0" xfId="0" applyAlignment="1" applyFont="1">
      <alignment horizontal="center" readingOrder="0" shrinkToFit="0" vertical="center" wrapText="1"/>
    </xf>
    <xf borderId="0" fillId="2" fontId="4" numFmtId="166" xfId="0" applyAlignment="1" applyFont="1" applyNumberFormat="1">
      <alignment horizontal="center" readingOrder="0" shrinkToFit="0" vertical="center" wrapText="1"/>
    </xf>
    <xf borderId="1" fillId="2" fontId="4" numFmtId="3" xfId="0" applyAlignment="1" applyBorder="1" applyFont="1" applyNumberFormat="1">
      <alignment horizontal="center" readingOrder="0" shrinkToFit="0" vertical="center" wrapText="1"/>
    </xf>
    <xf borderId="2" fillId="2" fontId="4" numFmtId="166" xfId="0" applyAlignment="1" applyBorder="1" applyFont="1" applyNumberFormat="1">
      <alignment horizontal="center" readingOrder="0" shrinkToFit="0" vertical="center" wrapText="1"/>
    </xf>
    <xf borderId="1" fillId="2" fontId="4" numFmtId="166" xfId="0" applyAlignment="1" applyBorder="1" applyFont="1" applyNumberFormat="1">
      <alignment horizontal="center" readingOrder="0" shrinkToFit="0" vertical="center" wrapText="1"/>
    </xf>
    <xf borderId="2" fillId="2" fontId="4" numFmtId="164" xfId="0" applyAlignment="1" applyBorder="1" applyFont="1" applyNumberFormat="1">
      <alignment horizontal="center" readingOrder="0" shrinkToFit="0" vertical="center" wrapText="1"/>
    </xf>
    <xf borderId="0" fillId="2" fontId="4" numFmtId="171" xfId="0" applyAlignment="1" applyFont="1" applyNumberFormat="1">
      <alignment horizontal="center" readingOrder="0" shrinkToFit="0" vertical="center" wrapText="1"/>
    </xf>
    <xf borderId="2" fillId="2" fontId="4" numFmtId="3" xfId="0" applyAlignment="1" applyBorder="1" applyFont="1" applyNumberFormat="1">
      <alignment horizontal="center" readingOrder="0" shrinkToFit="0" vertical="center" wrapText="1"/>
    </xf>
    <xf borderId="0" fillId="2" fontId="4" numFmtId="3" xfId="0" applyAlignment="1" applyFont="1" applyNumberFormat="1">
      <alignment horizontal="center" readingOrder="0" shrinkToFit="0" vertical="center" wrapText="1"/>
    </xf>
    <xf borderId="0" fillId="0" fontId="1" numFmtId="0" xfId="0" applyAlignment="1" applyFont="1">
      <alignment horizontal="center" vertical="center"/>
    </xf>
    <xf borderId="2" fillId="0" fontId="1" numFmtId="166" xfId="0" applyAlignment="1" applyBorder="1" applyFont="1" applyNumberFormat="1">
      <alignment horizontal="left" vertical="center"/>
    </xf>
    <xf borderId="0" fillId="0" fontId="1" numFmtId="171" xfId="0" applyAlignment="1" applyFont="1" applyNumberFormat="1">
      <alignment horizontal="center" shrinkToFit="0" vertical="center" wrapText="1"/>
    </xf>
    <xf borderId="0" fillId="0" fontId="1" numFmtId="166" xfId="0" applyAlignment="1" applyFont="1" applyNumberFormat="1">
      <alignment horizontal="center" shrinkToFit="0" vertical="center" wrapText="1"/>
    </xf>
    <xf borderId="1" fillId="0" fontId="1" numFmtId="3" xfId="0" applyAlignment="1" applyBorder="1" applyFont="1" applyNumberFormat="1">
      <alignment horizontal="center" readingOrder="0" shrinkToFit="0" vertical="center" wrapText="1"/>
    </xf>
    <xf borderId="2" fillId="0" fontId="1" numFmtId="3" xfId="0" applyAlignment="1" applyBorder="1" applyFont="1" applyNumberFormat="1">
      <alignment horizontal="center"/>
    </xf>
    <xf borderId="0" fillId="0" fontId="1" numFmtId="3" xfId="0" applyAlignment="1" applyFont="1" applyNumberFormat="1">
      <alignment horizontal="center"/>
    </xf>
    <xf borderId="2" fillId="0" fontId="1" numFmtId="3" xfId="0" applyAlignment="1" applyBorder="1" applyFont="1" applyNumberFormat="1">
      <alignment horizontal="center" vertical="center"/>
    </xf>
    <xf borderId="0" fillId="0" fontId="1" numFmtId="3" xfId="0" applyAlignment="1" applyFont="1" applyNumberFormat="1">
      <alignment horizontal="center" vertical="center"/>
    </xf>
    <xf borderId="0" fillId="0" fontId="6" numFmtId="167" xfId="0" applyAlignment="1" applyFont="1" applyNumberFormat="1">
      <alignment horizontal="center" vertical="center"/>
    </xf>
    <xf borderId="0" fillId="0" fontId="6" numFmtId="3" xfId="0" applyAlignment="1" applyFont="1" applyNumberFormat="1">
      <alignment horizontal="center" readingOrder="0" vertical="center"/>
    </xf>
    <xf borderId="0" fillId="0" fontId="1" numFmtId="3" xfId="0" applyAlignment="1" applyFont="1" applyNumberFormat="1">
      <alignment horizontal="left" vertical="center"/>
    </xf>
    <xf borderId="0" fillId="0" fontId="1" numFmtId="3" xfId="0" applyAlignment="1" applyFont="1" applyNumberFormat="1">
      <alignment horizontal="left" readingOrder="0" vertical="center"/>
    </xf>
    <xf borderId="0" fillId="0" fontId="6" numFmtId="164" xfId="0" applyAlignment="1" applyFont="1" applyNumberFormat="1">
      <alignment horizontal="center" shrinkToFit="0" wrapText="1"/>
    </xf>
    <xf borderId="0" fillId="0" fontId="6" numFmtId="167" xfId="0" applyAlignment="1" applyFont="1" applyNumberFormat="1">
      <alignment horizontal="center"/>
    </xf>
    <xf borderId="0" fillId="0" fontId="6" numFmtId="164" xfId="0" applyAlignment="1" applyFont="1" applyNumberFormat="1">
      <alignment horizontal="center" readingOrder="0" shrinkToFit="0" wrapText="1"/>
    </xf>
    <xf borderId="0" fillId="0" fontId="6" numFmtId="3" xfId="0" applyAlignment="1" applyFont="1" applyNumberFormat="1">
      <alignment horizontal="center" readingOrder="0"/>
    </xf>
    <xf borderId="0" fillId="0" fontId="6" numFmtId="3" xfId="0" applyAlignment="1" applyFont="1" applyNumberFormat="1">
      <alignment horizontal="left" readingOrder="0"/>
    </xf>
    <xf borderId="0" fillId="0" fontId="6" numFmtId="164" xfId="0" applyAlignment="1" applyFont="1" applyNumberFormat="1">
      <alignment horizontal="center" readingOrder="0"/>
    </xf>
    <xf borderId="0" fillId="0" fontId="1" numFmtId="166" xfId="0" applyAlignment="1" applyFont="1" applyNumberFormat="1">
      <alignment horizontal="left" vertical="center"/>
    </xf>
    <xf borderId="0" fillId="0" fontId="1" numFmtId="172" xfId="0" applyAlignment="1" applyFont="1" applyNumberFormat="1">
      <alignment horizontal="center" readingOrder="0" vertical="center"/>
    </xf>
    <xf borderId="0" fillId="0" fontId="6"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2" fontId="5" numFmtId="0" xfId="0" applyAlignment="1" applyFont="1">
      <alignment horizontal="center" shrinkToFit="0" vertical="center" wrapText="1"/>
    </xf>
    <xf borderId="0" fillId="0" fontId="26" numFmtId="0" xfId="0" applyAlignment="1" applyFont="1">
      <alignment horizontal="center" readingOrder="0" shrinkToFit="0" vertical="center" wrapText="1"/>
    </xf>
    <xf borderId="0" fillId="0" fontId="6" numFmtId="3" xfId="0" applyAlignment="1" applyFont="1" applyNumberFormat="1">
      <alignment horizontal="center" shrinkToFit="0" vertical="center" wrapText="1"/>
    </xf>
    <xf borderId="0" fillId="0" fontId="27" numFmtId="0" xfId="0" applyAlignment="1" applyFont="1">
      <alignment horizontal="center" readingOrder="0" shrinkToFit="0" vertical="center" wrapText="1"/>
    </xf>
    <xf borderId="0" fillId="0" fontId="1" numFmtId="3" xfId="0" applyAlignment="1" applyFont="1" applyNumberFormat="1">
      <alignment horizontal="center" shrinkToFit="0" vertical="center" wrapText="1"/>
    </xf>
    <xf borderId="0" fillId="0" fontId="28" numFmtId="164" xfId="0" applyAlignment="1" applyFont="1" applyNumberFormat="1">
      <alignment horizontal="center" readingOrder="0" shrinkToFit="0" vertical="center" wrapText="1"/>
    </xf>
    <xf borderId="0" fillId="0" fontId="6" numFmtId="164" xfId="0" applyAlignment="1" applyFont="1" applyNumberFormat="1">
      <alignment horizontal="center"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3" xfId="0" applyAlignment="1" applyFont="1" applyNumberFormat="1">
      <alignment horizontal="center" readingOrder="0" shrinkToFit="0" vertical="center" wrapText="1"/>
    </xf>
    <xf borderId="0" fillId="0" fontId="26" numFmtId="0" xfId="0" applyAlignment="1" applyFont="1">
      <alignment horizontal="center" shrinkToFit="0" vertical="center" wrapText="1"/>
    </xf>
    <xf borderId="0" fillId="0" fontId="29" numFmtId="0" xfId="0" applyAlignment="1" applyFont="1">
      <alignment horizontal="center" readingOrder="0" shrinkToFit="0" vertical="center" wrapText="1"/>
    </xf>
    <xf borderId="0" fillId="0" fontId="30" numFmtId="0" xfId="0" applyAlignment="1" applyFont="1">
      <alignment horizontal="center" shrinkToFit="0" vertical="center" wrapText="1"/>
    </xf>
    <xf borderId="0" fillId="0" fontId="31" numFmtId="0" xfId="0" applyAlignment="1" applyFont="1">
      <alignment horizontal="center" readingOrder="0" shrinkToFit="0" vertical="center" wrapText="1"/>
    </xf>
    <xf borderId="0" fillId="0" fontId="32" numFmtId="0" xfId="0" applyAlignment="1" applyFont="1">
      <alignment horizontal="center" readingOrder="0" vertical="center"/>
    </xf>
    <xf borderId="0" fillId="0" fontId="6" numFmtId="3" xfId="0" applyAlignment="1" applyFont="1" applyNumberFormat="1">
      <alignment horizontal="center" readingOrder="0" shrinkToFit="0" vertical="center" wrapText="1"/>
    </xf>
    <xf borderId="0" fillId="5" fontId="26" numFmtId="0" xfId="0" applyAlignment="1" applyFont="1">
      <alignment horizontal="center" readingOrder="0" vertical="center"/>
    </xf>
    <xf borderId="0" fillId="5" fontId="26" numFmtId="164" xfId="0" applyAlignment="1" applyFont="1" applyNumberFormat="1">
      <alignment horizontal="center" readingOrder="0" vertical="center"/>
    </xf>
    <xf borderId="0" fillId="0" fontId="26" numFmtId="164" xfId="0" applyAlignment="1" applyFont="1" applyNumberFormat="1">
      <alignment horizontal="center" readingOrder="0" shrinkToFit="0" vertical="center" wrapText="1"/>
    </xf>
    <xf borderId="0" fillId="0" fontId="33" numFmtId="0" xfId="0" applyAlignment="1" applyFont="1">
      <alignment horizontal="center" shrinkToFit="0" vertical="center" wrapText="1"/>
    </xf>
    <xf borderId="0" fillId="0" fontId="1" numFmtId="0" xfId="0" applyAlignment="1" applyFont="1">
      <alignment horizontal="left" readingOrder="0" vertical="center"/>
    </xf>
    <xf borderId="0" fillId="0" fontId="6" numFmtId="0" xfId="0" applyAlignment="1" applyFont="1">
      <alignment horizontal="center" vertical="center"/>
    </xf>
    <xf borderId="0" fillId="0" fontId="6" numFmtId="0" xfId="0" applyAlignment="1" applyFont="1">
      <alignment horizontal="left" vertical="center"/>
    </xf>
    <xf borderId="0" fillId="0" fontId="34" numFmtId="164" xfId="0" applyAlignment="1" applyFont="1" applyNumberFormat="1">
      <alignment horizontal="left" vertical="center"/>
    </xf>
    <xf borderId="0" fillId="0" fontId="6" numFmtId="0" xfId="0" applyAlignment="1" applyFont="1">
      <alignment horizontal="left" readingOrder="0" vertical="center"/>
    </xf>
    <xf borderId="0" fillId="0" fontId="6" numFmtId="167" xfId="0" applyAlignment="1" applyFont="1" applyNumberFormat="1">
      <alignment horizontal="center" shrinkToFit="0" wrapText="1"/>
    </xf>
    <xf borderId="0" fillId="0" fontId="6" numFmtId="166" xfId="0" applyAlignment="1" applyFont="1" applyNumberFormat="1">
      <alignment horizontal="center" readingOrder="0" shrinkToFit="0" wrapText="1"/>
    </xf>
    <xf borderId="0" fillId="0" fontId="6" numFmtId="166" xfId="0" applyAlignment="1" applyFont="1" applyNumberFormat="1">
      <alignment horizontal="center" shrinkToFit="0" wrapText="1"/>
    </xf>
    <xf borderId="0" fillId="0" fontId="6" numFmtId="0" xfId="0" applyAlignment="1" applyFont="1">
      <alignment horizontal="left" shrinkToFit="0" wrapText="1"/>
    </xf>
    <xf borderId="0" fillId="0" fontId="35" numFmtId="0" xfId="0" applyAlignment="1" applyFont="1">
      <alignment horizontal="left" readingOrder="0" vertical="center"/>
    </xf>
    <xf borderId="0" fillId="0" fontId="6" numFmtId="167" xfId="0" applyAlignment="1" applyFont="1" applyNumberFormat="1">
      <alignment horizontal="center" readingOrder="0" vertical="center"/>
    </xf>
    <xf borderId="0" fillId="0" fontId="36" numFmtId="0" xfId="0" applyAlignment="1" applyFont="1">
      <alignment horizontal="left" readingOrder="0"/>
    </xf>
    <xf borderId="0" fillId="0" fontId="6" numFmtId="0" xfId="0" applyAlignment="1" applyFont="1">
      <alignment horizontal="center" readingOrder="0"/>
    </xf>
    <xf borderId="0" fillId="0" fontId="6" numFmtId="0" xfId="0" applyAlignment="1" applyFont="1">
      <alignment horizontal="center"/>
    </xf>
    <xf borderId="0" fillId="0" fontId="37" numFmtId="0" xfId="0" applyAlignment="1" applyFont="1">
      <alignment horizontal="left" readingOrder="0" vertical="center"/>
    </xf>
    <xf borderId="0" fillId="0" fontId="6" numFmtId="167" xfId="0" applyAlignment="1" applyFont="1" applyNumberFormat="1">
      <alignment horizontal="center"/>
    </xf>
    <xf borderId="0" fillId="0" fontId="6" numFmtId="166" xfId="0" applyAlignment="1" applyFont="1" applyNumberFormat="1">
      <alignment horizontal="center" readingOrder="0" vertical="bottom"/>
    </xf>
    <xf borderId="0" fillId="0" fontId="6" numFmtId="166" xfId="0" applyAlignment="1" applyFont="1" applyNumberFormat="1">
      <alignment horizontal="center" vertical="bottom"/>
    </xf>
    <xf borderId="0" fillId="0" fontId="6" numFmtId="0" xfId="0" applyAlignment="1" applyFont="1">
      <alignment horizontal="left"/>
    </xf>
    <xf borderId="0" fillId="0" fontId="38" numFmtId="0" xfId="0" applyAlignment="1" applyFont="1">
      <alignment horizontal="left" readingOrder="0"/>
    </xf>
    <xf borderId="0" fillId="0" fontId="6" numFmtId="0" xfId="0" applyAlignment="1" applyFont="1">
      <alignment horizontal="left" readingOrder="0"/>
    </xf>
    <xf borderId="0" fillId="0" fontId="6" numFmtId="0" xfId="0" applyAlignment="1" applyFont="1">
      <alignment horizontal="left" readingOrder="0"/>
    </xf>
    <xf borderId="0" fillId="0" fontId="6" numFmtId="172" xfId="0" applyAlignment="1" applyFont="1" applyNumberFormat="1">
      <alignment horizontal="center" readingOrder="0"/>
    </xf>
    <xf borderId="0" fillId="0" fontId="6" numFmtId="173" xfId="0" applyAlignment="1" applyFont="1" applyNumberFormat="1">
      <alignment horizontal="center" readingOrder="0"/>
    </xf>
    <xf borderId="4" fillId="2" fontId="5" numFmtId="171" xfId="0" applyAlignment="1" applyBorder="1" applyFont="1" applyNumberFormat="1">
      <alignment horizontal="center" vertical="center"/>
    </xf>
    <xf borderId="4" fillId="2" fontId="5" numFmtId="167" xfId="0" applyAlignment="1" applyBorder="1" applyFont="1" applyNumberFormat="1">
      <alignment horizontal="left" vertical="center"/>
    </xf>
    <xf borderId="5" fillId="2" fontId="5" numFmtId="164" xfId="0" applyAlignment="1" applyBorder="1" applyFont="1" applyNumberFormat="1">
      <alignment horizontal="center" vertical="center"/>
    </xf>
    <xf borderId="4" fillId="2" fontId="5" numFmtId="166" xfId="0" applyAlignment="1" applyBorder="1" applyFont="1" applyNumberFormat="1">
      <alignment horizontal="center" vertical="center"/>
    </xf>
    <xf borderId="5" fillId="2" fontId="5" numFmtId="166" xfId="0" applyAlignment="1" applyBorder="1" applyFont="1" applyNumberFormat="1">
      <alignment horizontal="center" vertical="center"/>
    </xf>
    <xf borderId="0" fillId="0" fontId="1" numFmtId="171" xfId="0" applyAlignment="1" applyFont="1" applyNumberFormat="1">
      <alignment horizontal="center" vertical="center"/>
    </xf>
    <xf borderId="0" fillId="0" fontId="1" numFmtId="0" xfId="0" applyAlignment="1" applyFont="1">
      <alignment horizontal="left" vertical="center"/>
    </xf>
    <xf borderId="0" fillId="2" fontId="5" numFmtId="3" xfId="0" applyAlignment="1" applyFont="1" applyNumberFormat="1">
      <alignment horizontal="center" readingOrder="0" shrinkToFit="0" vertical="center" wrapText="1"/>
    </xf>
    <xf borderId="2" fillId="2" fontId="5" numFmtId="3" xfId="0" applyAlignment="1" applyBorder="1" applyFont="1" applyNumberFormat="1">
      <alignment horizontal="center" readingOrder="0" shrinkToFit="0" vertical="center" wrapText="1"/>
    </xf>
    <xf borderId="0" fillId="4" fontId="1" numFmtId="166" xfId="0" applyAlignment="1" applyFont="1" applyNumberFormat="1">
      <alignment horizontal="left" vertical="center"/>
    </xf>
    <xf borderId="1" fillId="0" fontId="1" numFmtId="3" xfId="0" applyAlignment="1" applyBorder="1" applyFont="1" applyNumberFormat="1">
      <alignment horizontal="center" shrinkToFit="0" vertical="center" wrapText="1"/>
    </xf>
    <xf borderId="3" fillId="0" fontId="1" numFmtId="3" xfId="0" applyAlignment="1" applyBorder="1" applyFont="1" applyNumberFormat="1">
      <alignment horizontal="center" shrinkToFit="0" vertical="center" wrapText="1"/>
    </xf>
    <xf borderId="2" fillId="0" fontId="1" numFmtId="3" xfId="0" applyAlignment="1" applyBorder="1" applyFont="1" applyNumberFormat="1">
      <alignment horizontal="center" shrinkToFit="0" vertical="center" wrapText="1"/>
    </xf>
    <xf borderId="2" fillId="0" fontId="1" numFmtId="3" xfId="0" applyAlignment="1" applyBorder="1" applyFont="1" applyNumberFormat="1">
      <alignment horizontal="center" readingOrder="0" vertical="center"/>
    </xf>
    <xf borderId="1" fillId="0" fontId="1" numFmtId="3" xfId="0" applyAlignment="1" applyBorder="1" applyFont="1" applyNumberFormat="1">
      <alignment horizontal="center" vertical="center"/>
    </xf>
    <xf borderId="3" fillId="0" fontId="1" numFmtId="3" xfId="0" applyAlignment="1" applyBorder="1" applyFont="1" applyNumberFormat="1">
      <alignment horizontal="center" vertical="center"/>
    </xf>
    <xf borderId="1" fillId="0" fontId="1" numFmtId="0" xfId="0" applyAlignment="1" applyBorder="1" applyFont="1">
      <alignment horizontal="center" vertical="center"/>
    </xf>
    <xf borderId="3" fillId="0" fontId="1" numFmtId="0" xfId="0" applyAlignment="1" applyBorder="1" applyFont="1">
      <alignment horizontal="center" vertical="center"/>
    </xf>
    <xf borderId="2" fillId="0" fontId="1" numFmtId="0" xfId="0" applyAlignment="1" applyBorder="1" applyFont="1">
      <alignment horizontal="center" vertical="center"/>
    </xf>
    <xf borderId="0" fillId="2" fontId="5" numFmtId="167" xfId="0" applyAlignment="1" applyFont="1" applyNumberFormat="1">
      <alignment horizontal="center" vertical="center"/>
    </xf>
    <xf borderId="0" fillId="2" fontId="5" numFmtId="3" xfId="0" applyAlignment="1" applyFont="1" applyNumberFormat="1">
      <alignment horizontal="center" vertical="center"/>
    </xf>
    <xf borderId="0" fillId="0" fontId="1" numFmtId="167" xfId="0" applyAlignment="1" applyFont="1" applyNumberFormat="1">
      <alignment horizontal="center" vertical="center"/>
    </xf>
  </cellXfs>
  <cellStyles count="1">
    <cellStyle xfId="0" name="Normal" builtinId="0"/>
  </cellStyles>
  <dxfs count="2">
    <dxf>
      <font/>
      <fill>
        <patternFill patternType="solid">
          <fgColor rgb="FFFF0000"/>
          <bgColor rgb="FFFF0000"/>
        </patternFill>
      </fill>
      <border/>
    </dxf>
    <dxf>
      <font>
        <color rgb="FFFFFFF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aliexpress.com/item/4000108442094.html?spm=a2g0s.9042311.0.0.10ae4c4doI457b" TargetMode="External"/><Relationship Id="rId42" Type="http://schemas.openxmlformats.org/officeDocument/2006/relationships/hyperlink" Target="https://shopee.co.id/product/284374820/4243014535" TargetMode="External"/><Relationship Id="rId41" Type="http://schemas.openxmlformats.org/officeDocument/2006/relationships/hyperlink" Target="https://www.aliexpress.com/item/Cable-Dupont-Jumper-Wire-Dupont-30CM-Male-to-Male-Female-to-Male-Female-to-Female-Jumper/32987024879.html?spm=a2g0s.9042311.0.0.69984c4d0kaZ5j" TargetMode="External"/><Relationship Id="rId44" Type="http://schemas.openxmlformats.org/officeDocument/2006/relationships/hyperlink" Target="https://www.aliexpress.com/item/4000108442094.html?spm=a2g0s.9042311.0.0.10ae4c4doI457b" TargetMode="External"/><Relationship Id="rId43" Type="http://schemas.openxmlformats.org/officeDocument/2006/relationships/hyperlink" Target="https://shopee.co.id/product/262644695/3534519716" TargetMode="External"/><Relationship Id="rId46" Type="http://schemas.openxmlformats.org/officeDocument/2006/relationships/hyperlink" Target="https://shopee.co.id/product/284374820/5743012856" TargetMode="External"/><Relationship Id="rId45" Type="http://schemas.openxmlformats.org/officeDocument/2006/relationships/hyperlink" Target="https://shopee.co.id/product/306599500/7553290429" TargetMode="External"/><Relationship Id="rId107" Type="http://schemas.openxmlformats.org/officeDocument/2006/relationships/drawing" Target="../drawings/drawing2.xml"/><Relationship Id="rId106" Type="http://schemas.openxmlformats.org/officeDocument/2006/relationships/hyperlink" Target="https://www.tokopedia.com/anursyam/senter-classic-pendek-senter-besi-senter-jadul-vyba-ft300" TargetMode="External"/><Relationship Id="rId105" Type="http://schemas.openxmlformats.org/officeDocument/2006/relationships/hyperlink" Target="https://www.tokopedia.com/anursyam/senter-classic-pendek-senter-besi-senter-jadul-vyba-ft300" TargetMode="External"/><Relationship Id="rId104" Type="http://schemas.openxmlformats.org/officeDocument/2006/relationships/hyperlink" Target="https://www.tokopedia.com/anursyam/senter-classic-pendek-senter-besi-senter-jadul-vyba-ft300" TargetMode="External"/><Relationship Id="rId108" Type="http://schemas.openxmlformats.org/officeDocument/2006/relationships/vmlDrawing" Target="../drawings/vmlDrawing1.vml"/><Relationship Id="rId48" Type="http://schemas.openxmlformats.org/officeDocument/2006/relationships/hyperlink" Target="https://www.aliexpress.com/item/4000108442094.html?spm=a2g0s.9042311.0.0.10ae4c4doI457b" TargetMode="External"/><Relationship Id="rId47" Type="http://schemas.openxmlformats.org/officeDocument/2006/relationships/hyperlink" Target="https://shopee.co.id/product/284374820/5743012856" TargetMode="External"/><Relationship Id="rId49" Type="http://schemas.openxmlformats.org/officeDocument/2006/relationships/hyperlink" Target="https://www.aliexpress.com/item/Cable-Dupont-Jumper-Wire-Dupont-30CM-Male-to-Male-Female-to-Male-Female-to-Female-Jumper/32987024879.html?spm=a2g0s.9042311.0.0.69984c4d0kaZ5j" TargetMode="External"/><Relationship Id="rId103" Type="http://schemas.openxmlformats.org/officeDocument/2006/relationships/hyperlink" Target="https://www.tokopedia.com/anursyam/senter-classic-pendek-senter-besi-senter-jadul-vyba-ft300" TargetMode="External"/><Relationship Id="rId102" Type="http://schemas.openxmlformats.org/officeDocument/2006/relationships/hyperlink" Target="https://www.tokopedia.com/gudanglampuelektrik/senter-klasik-2-batre-ft300-kaleng-vyba?utm_source=whatsapp&amp;utm_medium=share&amp;utm_campaign=PDP-2644979-887137683-301022-contextual_image" TargetMode="External"/><Relationship Id="rId101" Type="http://schemas.openxmlformats.org/officeDocument/2006/relationships/hyperlink" Target="https://www.tokopedia.com/gudanglampuelektrik/senter-klasik-2-batre-ft300-kaleng-vyba?utm_source=whatsapp&amp;utm_medium=share&amp;utm_campaign=PDP-2644979-887137683-301022-contextual_image" TargetMode="External"/><Relationship Id="rId100" Type="http://schemas.openxmlformats.org/officeDocument/2006/relationships/hyperlink" Target="https://www.tokopedia.com/gudanglampuelektrik/senter-klasik-2-batre-ft300-kaleng-vyba?utm_source=whatsapp&amp;utm_medium=share&amp;utm_campaign=PDP-2644979-887137683-301022-contextual_image" TargetMode="External"/><Relationship Id="rId31" Type="http://schemas.openxmlformats.org/officeDocument/2006/relationships/hyperlink" Target="https://www.tokopedia.com/cncstorebandung/cnc-ne555-dip-8-ne555p-555-clock-timer-oscillator-ic" TargetMode="External"/><Relationship Id="rId30" Type="http://schemas.openxmlformats.org/officeDocument/2006/relationships/hyperlink" Target="https://detail.1688.com/offer/624513627642.html" TargetMode="External"/><Relationship Id="rId33" Type="http://schemas.openxmlformats.org/officeDocument/2006/relationships/hyperlink" Target="https://id.aliexpress.com/item/33019094457.html?spm=a2g0o.order_list.0.0.77792faen5RFZ2&amp;gatewayAdapt=glo2idn" TargetMode="External"/><Relationship Id="rId32" Type="http://schemas.openxmlformats.org/officeDocument/2006/relationships/hyperlink" Target="https://www.tokopedia.com/aisyahrobot/ne555-ne555p-555-dip-8-ic-timers-new-high-quality-timer" TargetMode="External"/><Relationship Id="rId35" Type="http://schemas.openxmlformats.org/officeDocument/2006/relationships/hyperlink" Target="https://shopee.co.id/product/240782907/4429396623?v=c60&amp;smtt=0.0.4" TargetMode="External"/><Relationship Id="rId34" Type="http://schemas.openxmlformats.org/officeDocument/2006/relationships/hyperlink" Target="https://shopee.co.id/product/229053276/7232726452?v=ddb&amp;smtt=0.0.3" TargetMode="External"/><Relationship Id="rId37" Type="http://schemas.openxmlformats.org/officeDocument/2006/relationships/hyperlink" Target="https://www.aliexpress.com/item/32862975606.html?spm=a2g0s.9042311.0.0.4a834c4dYqLWqi" TargetMode="External"/><Relationship Id="rId36" Type="http://schemas.openxmlformats.org/officeDocument/2006/relationships/hyperlink" Target="https://www.aliexpress.com/item/500PCS-LOT-NE555-NE555P-NE555N-555-Timers-DIP-8-best-quality/32803415201.html?spm=a2g0s.9042311.0.0.2c244c4dIjE1C4" TargetMode="External"/><Relationship Id="rId39" Type="http://schemas.openxmlformats.org/officeDocument/2006/relationships/hyperlink" Target="https://shopee.co.id/product/93752133/1780814987?smtt=0.0.9" TargetMode="External"/><Relationship Id="rId38" Type="http://schemas.openxmlformats.org/officeDocument/2006/relationships/hyperlink" Target="https://shopee.co.id/product/333443649/6361482812" TargetMode="External"/><Relationship Id="rId20" Type="http://schemas.openxmlformats.org/officeDocument/2006/relationships/hyperlink" Target="https://detail.1688.com/offer/680266617777.html" TargetMode="External"/><Relationship Id="rId22" Type="http://schemas.openxmlformats.org/officeDocument/2006/relationships/hyperlink" Target="https://shopee.co.id/product/309535256/3454758137" TargetMode="External"/><Relationship Id="rId21" Type="http://schemas.openxmlformats.org/officeDocument/2006/relationships/hyperlink" Target="https://detail.1688.com/offer/706944321046.html" TargetMode="External"/><Relationship Id="rId24" Type="http://schemas.openxmlformats.org/officeDocument/2006/relationships/hyperlink" Target="https://www.aliexpress.com/item/33020893264.html" TargetMode="External"/><Relationship Id="rId23" Type="http://schemas.openxmlformats.org/officeDocument/2006/relationships/hyperlink" Target="https://www.aliexpress.com/item/32893635560.html" TargetMode="External"/><Relationship Id="rId26" Type="http://schemas.openxmlformats.org/officeDocument/2006/relationships/hyperlink" Target="https://shopee.co.id/product/280697154/5441094574" TargetMode="External"/><Relationship Id="rId25" Type="http://schemas.openxmlformats.org/officeDocument/2006/relationships/hyperlink" Target="https://detail.1688.com/offer/940169024033.html" TargetMode="External"/><Relationship Id="rId28" Type="http://schemas.openxmlformats.org/officeDocument/2006/relationships/hyperlink" Target="https://www.aliexpress.com/item/32995364588.html" TargetMode="External"/><Relationship Id="rId27" Type="http://schemas.openxmlformats.org/officeDocument/2006/relationships/hyperlink" Target="https://detail.1688.com/offer/726967883494.html" TargetMode="External"/><Relationship Id="rId29" Type="http://schemas.openxmlformats.org/officeDocument/2006/relationships/hyperlink" Target="https://detail.1688.com/offer/631022276083.html" TargetMode="External"/><Relationship Id="rId95" Type="http://schemas.openxmlformats.org/officeDocument/2006/relationships/hyperlink" Target="https://www.aliexpress.com/item/4000452444583.html" TargetMode="External"/><Relationship Id="rId94" Type="http://schemas.openxmlformats.org/officeDocument/2006/relationships/hyperlink" Target="https://www.tokopedia.com/aisyahrobot/socket-ic-8p-8-p-adapter-soket-ic-8pin-8-pin-dip-8" TargetMode="External"/><Relationship Id="rId97" Type="http://schemas.openxmlformats.org/officeDocument/2006/relationships/hyperlink" Target="https://www.tokopedia.com/braxie/senter-murah-tiger-head" TargetMode="External"/><Relationship Id="rId96" Type="http://schemas.openxmlformats.org/officeDocument/2006/relationships/hyperlink" Target="https://www.aliexpress.com/item/32975852342.html" TargetMode="External"/><Relationship Id="rId11" Type="http://schemas.openxmlformats.org/officeDocument/2006/relationships/hyperlink" Target="https://detail.1688.com/offer/678795685587.html" TargetMode="External"/><Relationship Id="rId99" Type="http://schemas.openxmlformats.org/officeDocument/2006/relationships/hyperlink" Target="https://www.tokopedia.com/gudanglampuelektrik/senter-klasik-2-batre-ft300-kaleng-vyba?utm_source=whatsapp&amp;utm_medium=share&amp;utm_campaign=PDP-2644979-887137683-301022-contextual_image" TargetMode="External"/><Relationship Id="rId10" Type="http://schemas.openxmlformats.org/officeDocument/2006/relationships/hyperlink" Target="https://www.aliexpress.com/item/50pcs-1bit-1-bit-Common-Anode-Positive-Digital-Tube-0-56-0-56in-Red-LED-Digit/32262476520.html?spm=a2g0s.9042311.0.0.3da24c4dThHZe2" TargetMode="External"/><Relationship Id="rId98" Type="http://schemas.openxmlformats.org/officeDocument/2006/relationships/hyperlink" Target="https://www.tokopedia.com/gudanglampuelektrik/senter-klasik-2-batre-ft300-kaleng-vyba?utm_source=whatsapp&amp;utm_medium=share&amp;utm_campaign=PDP-2644979-887137683-301022-contextual_image" TargetMode="External"/><Relationship Id="rId13" Type="http://schemas.openxmlformats.org/officeDocument/2006/relationships/hyperlink" Target="https://www.aliexpress.com/item/50pcs-1lot-1-bit-Common-Cathode-Digital-Tube-0-56-0-56in-Red-LED-Digit-7/32701379925.html?spm=a2g0s.9042311.0.0.334d4c4d1XLiYh" TargetMode="External"/><Relationship Id="rId12" Type="http://schemas.openxmlformats.org/officeDocument/2006/relationships/hyperlink" Target="https://www.aliexpress.com/item/50pcs-1lot-1-bit-Common-Cathode-Digital-Tube-0-56-0-56in-Red-LED-Digit-7/32701379925.html?spm=a2g0s.9042311.0.0.334d4c4d1XLiYh" TargetMode="External"/><Relationship Id="rId91" Type="http://schemas.openxmlformats.org/officeDocument/2006/relationships/hyperlink" Target="https://www.tokopedia.com/tokopuwei/socket-ic-16p-16-p-16pin-16-pin-adapter-soket-ic-16pin-16-pin-af78" TargetMode="External"/><Relationship Id="rId90" Type="http://schemas.openxmlformats.org/officeDocument/2006/relationships/hyperlink" Target="https://tokopedia.link/0zTym1Kyfxb" TargetMode="External"/><Relationship Id="rId93" Type="http://schemas.openxmlformats.org/officeDocument/2006/relationships/hyperlink" Target="https://shopee.co.id/product/162340996/2440349528" TargetMode="External"/><Relationship Id="rId92" Type="http://schemas.openxmlformats.org/officeDocument/2006/relationships/hyperlink" Target="https://www.tokopedia.com/tokopuwei/socket-ic-16p-16-p-16pin-16-pin-adapter-soket-ic-16pin-16-pin-af78" TargetMode="External"/><Relationship Id="rId15" Type="http://schemas.openxmlformats.org/officeDocument/2006/relationships/hyperlink" Target="https://www.tokopedia.com/eveready/baterai-abc-super-power-size-d-15v" TargetMode="External"/><Relationship Id="rId14" Type="http://schemas.openxmlformats.org/officeDocument/2006/relationships/hyperlink" Target="https://www.tokopedia.com/larose99/baterai-abc-super-power-besar-tipe-d-baterai-besar-abc-hitam-1pcs" TargetMode="External"/><Relationship Id="rId17" Type="http://schemas.openxmlformats.org/officeDocument/2006/relationships/hyperlink" Target="https://detail.1688.com/offer/743754647039.html" TargetMode="External"/><Relationship Id="rId16" Type="http://schemas.openxmlformats.org/officeDocument/2006/relationships/hyperlink" Target="https://www.tokopedia.com/vhiercher/baterai-abc-super-power-size-jumbo-jype-dr20p-2pcs?utm_source=Android&amp;utm_source=Android&amp;utm_medium=Share&amp;utm_medium=Share&amp;utm_campaign=Product%20Share&amp;utm_campaign=Product%20Share&amp;_branch_match_id=608566204171584310" TargetMode="External"/><Relationship Id="rId19" Type="http://schemas.openxmlformats.org/officeDocument/2006/relationships/hyperlink" Target="https://detail.1688.com/offer/586404749466.html" TargetMode="External"/><Relationship Id="rId18" Type="http://schemas.openxmlformats.org/officeDocument/2006/relationships/hyperlink" Target="https://detail.1688.com/offer/730812269155.html" TargetMode="External"/><Relationship Id="rId84" Type="http://schemas.openxmlformats.org/officeDocument/2006/relationships/hyperlink" Target="https://www.tokopedia.com/smartmm/resistor-1-4w-560ohm-1000biji" TargetMode="External"/><Relationship Id="rId83" Type="http://schemas.openxmlformats.org/officeDocument/2006/relationships/hyperlink" Target="https://www.tokopedia.com/multigshop/1000-pcs-resistor-470k-1-4-watt" TargetMode="External"/><Relationship Id="rId86" Type="http://schemas.openxmlformats.org/officeDocument/2006/relationships/hyperlink" Target="https://www.tokopedia.com/multigshop/1000-pcs-resistor-680k-1-4-watt-5" TargetMode="External"/><Relationship Id="rId85" Type="http://schemas.openxmlformats.org/officeDocument/2006/relationships/hyperlink" Target="https://www.tokopedia.com/smartmm/resistor-1-4w-56k-1000biji" TargetMode="External"/><Relationship Id="rId88" Type="http://schemas.openxmlformats.org/officeDocument/2006/relationships/hyperlink" Target="https://ocistok.com/product/1688/735309238537" TargetMode="External"/><Relationship Id="rId87" Type="http://schemas.openxmlformats.org/officeDocument/2006/relationships/hyperlink" Target="https://ocistok.com/product/1688/735309238537" TargetMode="External"/><Relationship Id="rId89" Type="http://schemas.openxmlformats.org/officeDocument/2006/relationships/hyperlink" Target="https://tokopedia.link/0zTym1Kyfxb" TargetMode="External"/><Relationship Id="rId80" Type="http://schemas.openxmlformats.org/officeDocument/2006/relationships/hyperlink" Target="https://www.tokopedia.com/multigshop/1000-pcs-resistor-22k-1-4-watt-5" TargetMode="External"/><Relationship Id="rId82" Type="http://schemas.openxmlformats.org/officeDocument/2006/relationships/hyperlink" Target="https://www.tokopedia.com/smartmm/resistor-1-4w-33k-1000biji" TargetMode="External"/><Relationship Id="rId81" Type="http://schemas.openxmlformats.org/officeDocument/2006/relationships/hyperlink" Target="https://www.tokopedia.com/smartmm/resistor-1-4w-27k-1000biji" TargetMode="External"/><Relationship Id="rId1" Type="http://schemas.openxmlformats.org/officeDocument/2006/relationships/comments" Target="../comments1.xml"/><Relationship Id="rId2" Type="http://schemas.openxmlformats.org/officeDocument/2006/relationships/hyperlink" Target="https://detail.1688.com/offer/554814591930.html" TargetMode="External"/><Relationship Id="rId3" Type="http://schemas.openxmlformats.org/officeDocument/2006/relationships/hyperlink" Target="https://detail.1688.com/offer/666573965265.html" TargetMode="External"/><Relationship Id="rId4" Type="http://schemas.openxmlformats.org/officeDocument/2006/relationships/hyperlink" Target="https://shopee.co.id/product/36506495/7612131078" TargetMode="External"/><Relationship Id="rId9" Type="http://schemas.openxmlformats.org/officeDocument/2006/relationships/hyperlink" Target="https://www.aliexpress.com/item/50pcs-1bit-1-bit-Common-Anode-Positive-Digital-Tube-0-56-0-56in-Red-LED-Digit/32262476520.html?spm=a2g0s.9042311.0.0.334d4c4d1XLiYh" TargetMode="External"/><Relationship Id="rId5" Type="http://schemas.openxmlformats.org/officeDocument/2006/relationships/hyperlink" Target="https://shopee.co.id/product/240782907/4328806797" TargetMode="External"/><Relationship Id="rId6" Type="http://schemas.openxmlformats.org/officeDocument/2006/relationships/hyperlink" Target="https://shopee.co.id/product/240782907/4328806797?smtt=0.0.9" TargetMode="External"/><Relationship Id="rId7" Type="http://schemas.openxmlformats.org/officeDocument/2006/relationships/hyperlink" Target="https://www.aliexpress.com/item/32262476520.html?spm" TargetMode="External"/><Relationship Id="rId8" Type="http://schemas.openxmlformats.org/officeDocument/2006/relationships/hyperlink" Target="https://www.aliexpress.com/item/50pcs-1bit-1-bit-Common-Anode-Positive-Digital-Tube-0-56-0-56in-Red-LED-Digit/32262476520.html?spm=a2g0s.9042311.0.0.334d4c4d1XLiYh" TargetMode="External"/><Relationship Id="rId73" Type="http://schemas.openxmlformats.org/officeDocument/2006/relationships/hyperlink" Target="https://tokopedia.link/0zTym1Kyfxb" TargetMode="External"/><Relationship Id="rId72" Type="http://schemas.openxmlformats.org/officeDocument/2006/relationships/hyperlink" Target="https://www.aliexpress.com/item/10Pcs-5-7-PCB-5x7-PCB-5cm-7cm-DIY-Prototype-Paper-PCB-Universal-Board-yellow/33059724640.html?spm=a2g0s.9042311.0.0.2c244c4dIjE1C4" TargetMode="External"/><Relationship Id="rId75" Type="http://schemas.openxmlformats.org/officeDocument/2006/relationships/hyperlink" Target="https://www.tokopedia.com/evelinel/bohlam-e-10-bola-lampu-senter-drat-e10-rapid-isi-50-pcs-kotak?utm_source=whatsapp&amp;utm_medium=share&amp;utm_campaign=PDP-2644979-5342447705-301022-contextual_image" TargetMode="External"/><Relationship Id="rId74" Type="http://schemas.openxmlformats.org/officeDocument/2006/relationships/hyperlink" Target="https://www.tokopedia.com/evelinel/bohlam-e-10-bola-lampu-senter-drat-e10-rapid-isi-50-pcs-kotak?utm_source=whatsapp&amp;utm_medium=share&amp;utm_campaign=PDP-2644979-5342447705-301022-contextual_image" TargetMode="External"/><Relationship Id="rId77" Type="http://schemas.openxmlformats.org/officeDocument/2006/relationships/hyperlink" Target="https://detail.1688.com/offer/775368378784.html" TargetMode="External"/><Relationship Id="rId76" Type="http://schemas.openxmlformats.org/officeDocument/2006/relationships/hyperlink" Target="https://detail.1688.com/offer/775368378784.html" TargetMode="External"/><Relationship Id="rId79" Type="http://schemas.openxmlformats.org/officeDocument/2006/relationships/hyperlink" Target="https://www.tokopedia.com/smartmm/resistor-1-4w-1k-1000biji" TargetMode="External"/><Relationship Id="rId78" Type="http://schemas.openxmlformats.org/officeDocument/2006/relationships/hyperlink" Target="https://www.tokopedia.com/smartmm/resistor-1-4w-15k-1000biji" TargetMode="External"/><Relationship Id="rId71" Type="http://schemas.openxmlformats.org/officeDocument/2006/relationships/hyperlink" Target="https://shopee.co.id/product/306599500/5953287050" TargetMode="External"/><Relationship Id="rId70" Type="http://schemas.openxmlformats.org/officeDocument/2006/relationships/hyperlink" Target="https://shopee.co.id/product/306599500/5953287050" TargetMode="External"/><Relationship Id="rId62" Type="http://schemas.openxmlformats.org/officeDocument/2006/relationships/hyperlink" Target="https://www.aliexpress.com/item/4000108442094.html?spm=a2g0s.9042311.0.0.10ae4c4doI457b" TargetMode="External"/><Relationship Id="rId61" Type="http://schemas.openxmlformats.org/officeDocument/2006/relationships/hyperlink" Target="https://shopee.co.id/product/284374820/4243014538" TargetMode="External"/><Relationship Id="rId64" Type="http://schemas.openxmlformats.org/officeDocument/2006/relationships/hyperlink" Target="https://detail.1688.com/offer/748153183771.html" TargetMode="External"/><Relationship Id="rId63" Type="http://schemas.openxmlformats.org/officeDocument/2006/relationships/hyperlink" Target="https://shopee.co.id/-secoup-L298N-D-Dual-H-Bridge-Stepper-Motor-Module-Robot-Smart-Car-i.129763917.2218478073" TargetMode="External"/><Relationship Id="rId66" Type="http://schemas.openxmlformats.org/officeDocument/2006/relationships/hyperlink" Target="https://shopee.co.id/product/120302154/1966330568?v=35e&amp;smtt=0.0.4" TargetMode="External"/><Relationship Id="rId65" Type="http://schemas.openxmlformats.org/officeDocument/2006/relationships/hyperlink" Target="https://shopee.co.id/product/120302154/1966330568" TargetMode="External"/><Relationship Id="rId68" Type="http://schemas.openxmlformats.org/officeDocument/2006/relationships/hyperlink" Target="https://shopee.co.id/product/229053276/3332897657?v=e60&amp;smtt=0.0.3" TargetMode="External"/><Relationship Id="rId67" Type="http://schemas.openxmlformats.org/officeDocument/2006/relationships/hyperlink" Target="https://a.aliexpress.com/_dZpnlXS" TargetMode="External"/><Relationship Id="rId60" Type="http://schemas.openxmlformats.org/officeDocument/2006/relationships/hyperlink" Target="https://shopee.co.id/40Pcs-Kabel-Pita-Arduino-Kawat-Jumper-Dupont-Line-Male-ke-Male-Female-ke-Female-Male-ke-Female-i.9945170.693425192" TargetMode="External"/><Relationship Id="rId69" Type="http://schemas.openxmlformats.org/officeDocument/2006/relationships/hyperlink" Target="https://shopee.co.id/product/306599500/5953287050" TargetMode="External"/><Relationship Id="rId51" Type="http://schemas.openxmlformats.org/officeDocument/2006/relationships/hyperlink" Target="https://shopee.co.id/product/331366014/6761053108" TargetMode="External"/><Relationship Id="rId50" Type="http://schemas.openxmlformats.org/officeDocument/2006/relationships/hyperlink" Target="https://shopee.co.id/product/331366014/6761053108" TargetMode="External"/><Relationship Id="rId53" Type="http://schemas.openxmlformats.org/officeDocument/2006/relationships/hyperlink" Target="https://shopee.co.id/product/93752133/1780802899" TargetMode="External"/><Relationship Id="rId52" Type="http://schemas.openxmlformats.org/officeDocument/2006/relationships/hyperlink" Target="https://shopee.co.id/product/331366014/6761053108" TargetMode="External"/><Relationship Id="rId55" Type="http://schemas.openxmlformats.org/officeDocument/2006/relationships/hyperlink" Target="https://shopee.co.id/product/93752133/1780802899" TargetMode="External"/><Relationship Id="rId54" Type="http://schemas.openxmlformats.org/officeDocument/2006/relationships/hyperlink" Target="https://www.aliexpress.com/item/4000108442094.html?spm=a2g0s.9042311.0.0.10ae4c4doI457b" TargetMode="External"/><Relationship Id="rId57" Type="http://schemas.openxmlformats.org/officeDocument/2006/relationships/hyperlink" Target="https://www.aliexpress.com/item/32838594669.html?spm=a2g0s.9042311.0.0.29aa4c4dhfKzat" TargetMode="External"/><Relationship Id="rId56" Type="http://schemas.openxmlformats.org/officeDocument/2006/relationships/hyperlink" Target="https://shopee.co.id/product/284374820/5743012875" TargetMode="External"/><Relationship Id="rId59" Type="http://schemas.openxmlformats.org/officeDocument/2006/relationships/hyperlink" Target="https://www.aliexpress.com/item/Cable-Dupont-Jumper-Wire-Dupont-30CM-Male-to-Male-Female-to-Male-Female-to-Female-Jumper/32987024879.html?spm=a2g0s.9042311.0.0.69984c4d0kaZ5j" TargetMode="External"/><Relationship Id="rId58" Type="http://schemas.openxmlformats.org/officeDocument/2006/relationships/hyperlink" Target="https://www.aliexpress.com/item/4000108442094.html?spm=a2g0s.9042311.0.0.10ae4c4doI457b"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zenius.net" TargetMode="External"/><Relationship Id="rId42" Type="http://schemas.openxmlformats.org/officeDocument/2006/relationships/hyperlink" Target="http://zenius.net" TargetMode="External"/><Relationship Id="rId41" Type="http://schemas.openxmlformats.org/officeDocument/2006/relationships/hyperlink" Target="http://zenius.net" TargetMode="External"/><Relationship Id="rId44" Type="http://schemas.openxmlformats.org/officeDocument/2006/relationships/hyperlink" Target="http://zenius.net" TargetMode="External"/><Relationship Id="rId43" Type="http://schemas.openxmlformats.org/officeDocument/2006/relationships/hyperlink" Target="http://zenius.net" TargetMode="External"/><Relationship Id="rId46" Type="http://schemas.openxmlformats.org/officeDocument/2006/relationships/drawing" Target="../drawings/drawing6.xml"/><Relationship Id="rId45" Type="http://schemas.openxmlformats.org/officeDocument/2006/relationships/hyperlink" Target="http://zenius.net" TargetMode="External"/><Relationship Id="rId47" Type="http://schemas.openxmlformats.org/officeDocument/2006/relationships/vmlDrawing" Target="../drawings/vmlDrawing2.vml"/><Relationship Id="rId31" Type="http://schemas.openxmlformats.org/officeDocument/2006/relationships/hyperlink" Target="https://www.bukalapak.com/p/elektronik/komponen-elektronik/3eycwsd-jual-itbisa-resistor-22k-0-25w-1-persen-toleransi-cokelat-metal-film-blue-0-25-w-watt-biru-22000-ohm-22kohm-22000ohm-1-percent-brown-tolerance" TargetMode="External"/><Relationship Id="rId30" Type="http://schemas.openxmlformats.org/officeDocument/2006/relationships/hyperlink" Target="https://tokopedia.com/itbisa/itbisa-ic-4n35-optocoupler-phototransistor-photocoupler-dip6-6-pin" TargetMode="External"/><Relationship Id="rId33" Type="http://schemas.openxmlformats.org/officeDocument/2006/relationships/hyperlink" Target="https://shopee.co.id/product/80492423/4438402579/" TargetMode="External"/><Relationship Id="rId32" Type="http://schemas.openxmlformats.org/officeDocument/2006/relationships/hyperlink" Target="https://tokopedia.com/itbisa/itbisa-resistor-22k-1-4w-0-25w-1-metal-film-blue-1-4-w-0-25-watt" TargetMode="External"/><Relationship Id="rId35" Type="http://schemas.openxmlformats.org/officeDocument/2006/relationships/hyperlink" Target="http://zenius.net" TargetMode="External"/><Relationship Id="rId34" Type="http://schemas.openxmlformats.org/officeDocument/2006/relationships/hyperlink" Target="http://zenius.net" TargetMode="External"/><Relationship Id="rId37" Type="http://schemas.openxmlformats.org/officeDocument/2006/relationships/hyperlink" Target="http://zenius.net" TargetMode="External"/><Relationship Id="rId36" Type="http://schemas.openxmlformats.org/officeDocument/2006/relationships/hyperlink" Target="http://zenius.net" TargetMode="External"/><Relationship Id="rId39" Type="http://schemas.openxmlformats.org/officeDocument/2006/relationships/hyperlink" Target="http://zenius.net" TargetMode="External"/><Relationship Id="rId38" Type="http://schemas.openxmlformats.org/officeDocument/2006/relationships/hyperlink" Target="http://zenius.net" TargetMode="External"/><Relationship Id="rId20" Type="http://schemas.openxmlformats.org/officeDocument/2006/relationships/hyperlink" Target="https://tokopedia.com/itbisa/itbisa-40pcs-kabel-jumper-20-cm-male-to-male-m-m-2-54-mm-mm-m-m-20cm" TargetMode="External"/><Relationship Id="rId22" Type="http://schemas.openxmlformats.org/officeDocument/2006/relationships/hyperlink" Target="https://www.bukalapak.com/p/elektronik/komponen-elektronik/3t187p8-jual-itbisa-40pcs-kabel-jumper-20-cm-female-to-female-f-f-ff-f-f-2-54mm-arduino-breadboard-40-pcs-20cm-buah-pin-2-54-mm-wire-cable-rainbow-pelangi-sensor" TargetMode="External"/><Relationship Id="rId21" Type="http://schemas.openxmlformats.org/officeDocument/2006/relationships/hyperlink" Target="https://shopee.co.id/product/80492423/4855244491/" TargetMode="External"/><Relationship Id="rId24" Type="http://schemas.openxmlformats.org/officeDocument/2006/relationships/hyperlink" Target="https://shopee.co.id/product/80492423/5655241072/" TargetMode="External"/><Relationship Id="rId23" Type="http://schemas.openxmlformats.org/officeDocument/2006/relationships/hyperlink" Target="https://www.tokopedia.com/itbisa/itbisa-40pcs-kabel-jumper-20-cm-female-to-female-f-f-2-54-mm-ff-20cm" TargetMode="External"/><Relationship Id="rId26" Type="http://schemas.openxmlformats.org/officeDocument/2006/relationships/hyperlink" Target="https://www.tokopedia.com/itbisa/itbisa-40pcs-kabel-jumper-10-cm-male-to-male-m-m-2-54-mm-mm-m-m-10cm" TargetMode="External"/><Relationship Id="rId25" Type="http://schemas.openxmlformats.org/officeDocument/2006/relationships/hyperlink" Target="https://www.bukalapak.com/p/elektronik/komponen-elektronik/vbuzpu-jual-itbisa-40pcs-kabel-jumper-10-cm-male-to-male-m-m-2-54-mm-merk-dupont-arduino-breadboard-40-pcs-buah-mm-m-m-pin-2-54mm-10cm-cable" TargetMode="External"/><Relationship Id="rId28" Type="http://schemas.openxmlformats.org/officeDocument/2006/relationships/hyperlink" Target="https://www.tokopedia.com/itbisa/itbisa-seven-7-segment-ca-common-anode-0-56-inch-red-1bit-led-merah" TargetMode="External"/><Relationship Id="rId27" Type="http://schemas.openxmlformats.org/officeDocument/2006/relationships/hyperlink" Target="https://shopee.co.id/product/80492423/2291050648/" TargetMode="External"/><Relationship Id="rId29" Type="http://schemas.openxmlformats.org/officeDocument/2006/relationships/hyperlink" Target="https://tokopedia.com/itbisa/itbisa-baterai-abc-super-power-1-5-v-volt-size-d-hitam-carbon-zinc" TargetMode="External"/><Relationship Id="rId11" Type="http://schemas.openxmlformats.org/officeDocument/2006/relationships/hyperlink" Target="https://www.bukalapak.com/p/elektronik/komponen-elektronik/1p5d40c-jual-itbisa-40pcs-kabel-jumper-10-cm-female-to-female-f-f-2-54-mm-merk-dupont-arduino-breadboard-40-pcs-buah-ff-f-f-pin-2-54mm-10cm-cable" TargetMode="External"/><Relationship Id="rId10" Type="http://schemas.openxmlformats.org/officeDocument/2006/relationships/hyperlink" Target="https://shopee.co.id/product/80492423/2291143520/" TargetMode="External"/><Relationship Id="rId13" Type="http://schemas.openxmlformats.org/officeDocument/2006/relationships/hyperlink" Target="https://shopee.co.id/product/80492423/2287703561/" TargetMode="External"/><Relationship Id="rId12" Type="http://schemas.openxmlformats.org/officeDocument/2006/relationships/hyperlink" Target="https://www.tokopedia.com/itbisa/itbisa-40pcs-kabel-jumper-10-cm-female-to-female-f-f-2-54-mm-ff-10cm" TargetMode="External"/><Relationship Id="rId15" Type="http://schemas.openxmlformats.org/officeDocument/2006/relationships/hyperlink" Target="https://tokopedia.com/itbisa/itbisa-socket-ic-dip-8-2x4-narrow-soket-dip8-8dip-8-dip-pin-kaki" TargetMode="External"/><Relationship Id="rId14" Type="http://schemas.openxmlformats.org/officeDocument/2006/relationships/hyperlink" Target="https://www.bukalapak.com/p/elektronik/komponen-elektronik/2aposh9-jual-itbisa-socket-ic-dip-8-2x4-narrow-soket-integrated-circuit-8-pin-kaki-lubang-datar-dip8-8dip" TargetMode="External"/><Relationship Id="rId17" Type="http://schemas.openxmlformats.org/officeDocument/2006/relationships/hyperlink" Target="https://www.bukalapak.com/p/elektronik/komponen-elektronik/3ge7cl1-jual-itbisa-socket-ic-dip16-2x8-narrow-dip-16-pin-16p-soket-dip-16-2-54mm-2-54-mm-dudukan-16-lubang-16-dip-integrated-integrate-circuit-2-x-8-8x2-8-x-2" TargetMode="External"/><Relationship Id="rId16" Type="http://schemas.openxmlformats.org/officeDocument/2006/relationships/hyperlink" Target="https://shopee.co.id/product/80492423/2287659492/" TargetMode="External"/><Relationship Id="rId19" Type="http://schemas.openxmlformats.org/officeDocument/2006/relationships/hyperlink" Target="https://www.bukalapak.com/p/elektronik/komponen-elektronik/3t18497-jual-itbisa-40pcs-kabel-jumper-20-cm-male-to-male-m-m-mm-m-m-2-54mm-arduino-breadboard-40-pcs-20cm-buah-pin-2-54-mm-wire-cable-rainbow-pelangi-sensor" TargetMode="External"/><Relationship Id="rId18" Type="http://schemas.openxmlformats.org/officeDocument/2006/relationships/hyperlink" Target="https://tokopedia.com/itbisa/itbisa-socket-ic-dip16-2x8-narrow-dip-16-pin-16p-soket-dip-16-2-54mm" TargetMode="External"/><Relationship Id="rId1" Type="http://schemas.openxmlformats.org/officeDocument/2006/relationships/comments" Target="../comments2.xml"/><Relationship Id="rId2" Type="http://schemas.openxmlformats.org/officeDocument/2006/relationships/hyperlink" Target="https://www.bukalapak.com/p/elektronik/komponen-elektronik/12cm7sr-jual-itbisa-7-segment-cc-common-katoda-0-56-inci-merah-1-bit-led-display-jam-digital-nilai-sensor-7-segment-seven-red-cathode-0-56inch-inch-1bit" TargetMode="External"/><Relationship Id="rId3" Type="http://schemas.openxmlformats.org/officeDocument/2006/relationships/hyperlink" Target="https://tokopedia.com/itbisa/itbisa-seven-7-segment-cc-common-cathode-0-56-inch-red-1bit-merah" TargetMode="External"/><Relationship Id="rId4" Type="http://schemas.openxmlformats.org/officeDocument/2006/relationships/hyperlink" Target="https://www.bukalapak.com/p/elektronik/komponen-elektronik/12cn11o-jual-itbisa-ic-ua741cn-dip-8-op-amp-filter-penguat-lpf-hpf-bpf-integrated-circuit-ua-741-ua741-op-amp-opamp-8-pin-kaki-dip8-8dip" TargetMode="External"/><Relationship Id="rId9" Type="http://schemas.openxmlformats.org/officeDocument/2006/relationships/hyperlink" Target="https://www.tokopedia.com/itbisa/itbisa-transistor-bjt-npn-2n2222-a-2n2222a-h331-penguat-switch-to92" TargetMode="External"/><Relationship Id="rId5" Type="http://schemas.openxmlformats.org/officeDocument/2006/relationships/hyperlink" Target="https://www.bukalapak.com/p/elektronik/komponen-elektronik/163beu6-jual-itbisa-40pcs-kabel-jumper-10-cm-male-to-female-m-f-2-54-mm-merk-dupont-arduino-breadboard-40-pcs-buah-mf-m-f-pin-2-54mm-10cm-cable" TargetMode="External"/><Relationship Id="rId6" Type="http://schemas.openxmlformats.org/officeDocument/2006/relationships/hyperlink" Target="https://www.tokopedia.com/itbisa/itbisa-40pcs-kabel-jumper-10-cm-male-to-female-m-f-2-54-mm-mf-10cm" TargetMode="External"/><Relationship Id="rId7" Type="http://schemas.openxmlformats.org/officeDocument/2006/relationships/hyperlink" Target="https://shopee.co.id/product/80492423/2291036855/" TargetMode="External"/><Relationship Id="rId8" Type="http://schemas.openxmlformats.org/officeDocument/2006/relationships/hyperlink" Target="https://www.bukalapak.com/p/elektronik/komponen-elektronik/1b2qbb9-jual-itbisa-transistor-bjt-npn-2n2222a-h331-to92-0-6a-30v-penguat-switch-transistors-2n2222-2n-2222-a-to-92-h-331-0-6-op-amp-switching-30-v-30volt"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drawing" Target="../drawings/drawing8.xml"/><Relationship Id="rId11" Type="http://schemas.openxmlformats.org/officeDocument/2006/relationships/hyperlink" Target="https://tokopedia.link/qup9nQgyfxb" TargetMode="External"/><Relationship Id="rId10" Type="http://schemas.openxmlformats.org/officeDocument/2006/relationships/hyperlink" Target="https://tokopedia.link/K8AtqJfyfxb" TargetMode="External"/><Relationship Id="rId13" Type="http://schemas.openxmlformats.org/officeDocument/2006/relationships/hyperlink" Target="https://tokopedia.link/fDyHQ37xfxb" TargetMode="External"/><Relationship Id="rId12" Type="http://schemas.openxmlformats.org/officeDocument/2006/relationships/hyperlink" Target="https://tokopedia.link/6vTecTjyfxb" TargetMode="External"/><Relationship Id="rId15" Type="http://schemas.openxmlformats.org/officeDocument/2006/relationships/hyperlink" Target="https://tokopedia.link/eOn43UAyfxb" TargetMode="External"/><Relationship Id="rId14" Type="http://schemas.openxmlformats.org/officeDocument/2006/relationships/hyperlink" Target="https://tokopedia.link/58XuMW6xfxb" TargetMode="External"/><Relationship Id="rId17" Type="http://schemas.openxmlformats.org/officeDocument/2006/relationships/hyperlink" Target="https://tokopedia.link/eOn43UAyfxb" TargetMode="External"/><Relationship Id="rId16" Type="http://schemas.openxmlformats.org/officeDocument/2006/relationships/hyperlink" Target="https://tokopedia.link/FKWUltB9Kxb" TargetMode="External"/><Relationship Id="rId19" Type="http://schemas.openxmlformats.org/officeDocument/2006/relationships/hyperlink" Target="https://tokopedia.link/eOn43UAyfxb" TargetMode="External"/><Relationship Id="rId18" Type="http://schemas.openxmlformats.org/officeDocument/2006/relationships/hyperlink" Target="https://tokopedia.link/K8AtqJfyfxb" TargetMode="External"/><Relationship Id="rId1" Type="http://schemas.openxmlformats.org/officeDocument/2006/relationships/hyperlink" Target="https://www.tokopedia.com/dwi-jaya/kantong-plastik-klip-3-cm-x-5-cm-isi-1000-pcs" TargetMode="External"/><Relationship Id="rId2" Type="http://schemas.openxmlformats.org/officeDocument/2006/relationships/hyperlink" Target="https://www.tokopedia.com/jayaplastik/plastik-klip-8x12-cm-termurah" TargetMode="External"/><Relationship Id="rId3" Type="http://schemas.openxmlformats.org/officeDocument/2006/relationships/hyperlink" Target="https://www.tokopedia.com/gemilang888/kantong-plastik-klip-uk-10x15-cm-plastik-zipper-lock-plastik-obat" TargetMode="External"/><Relationship Id="rId4" Type="http://schemas.openxmlformats.org/officeDocument/2006/relationships/hyperlink" Target="https://www.tokopedia.com/zenindah/kardus-karton-box-uk-10-x-10-x-20-cm-untuk-packing" TargetMode="External"/><Relationship Id="rId9" Type="http://schemas.openxmlformats.org/officeDocument/2006/relationships/hyperlink" Target="https://tokopedia.link/XGyG4Ieyfxb" TargetMode="External"/><Relationship Id="rId5" Type="http://schemas.openxmlformats.org/officeDocument/2006/relationships/hyperlink" Target="https://www.tokopedia.com/murahhematstore/lakban-bening-coklat-super-murah-coklat-promooo-45mm-x50y-rolll-putih" TargetMode="External"/><Relationship Id="rId6" Type="http://schemas.openxmlformats.org/officeDocument/2006/relationships/hyperlink" Target="https://www.tokopedia.com/tokopackaging/pe-klip-6x10-kantong-plastik-klip-bening-transparan-kemasan-obat-baju" TargetMode="External"/><Relationship Id="rId7" Type="http://schemas.openxmlformats.org/officeDocument/2006/relationships/hyperlink" Target="https://www.tokopedia.com/hqstationary/promo-kertas-hvs-a4-75gsm-ekon-copy-produk-paperone-1-rim" TargetMode="External"/><Relationship Id="rId8" Type="http://schemas.openxmlformats.org/officeDocument/2006/relationships/hyperlink" Target="https://shopee.co.id/product/10970573/1853873359"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46.88"/>
  </cols>
  <sheetData>
    <row r="1">
      <c r="A1" s="1" t="s">
        <v>0</v>
      </c>
      <c r="B1" s="1" t="s">
        <v>1</v>
      </c>
    </row>
    <row r="2">
      <c r="A2" s="2" t="str">
        <f>HYPERLINK("https://docs.google.com/spreadsheets/d/1ESni1h-9NP1dVdHaEILuc6WWv_P8-mWX3jXPRX9GysM/edit#gid=1979551602","BisaStok")</f>
        <v>BisaStok</v>
      </c>
      <c r="B2" s="1" t="s">
        <v>2</v>
      </c>
    </row>
    <row r="3">
      <c r="A3" s="2" t="str">
        <f>HYPERLINK("https://docs.google.com/spreadsheets/d/1ESni1h-9NP1dVdHaEILuc6WWv_P8-mWX3jXPRX9GysM/edit#gid=533652570","BisaPerlengkapan")</f>
        <v>BisaPerlengkapan</v>
      </c>
      <c r="B3" s="1" t="s">
        <v>3</v>
      </c>
    </row>
    <row r="4">
      <c r="A4" s="2" t="str">
        <f>HYPERLINK("https://docs.google.com/spreadsheets/d/1ESni1h-9NP1dVdHaEILuc6WWv_P8-mWX3jXPRX9GysM/edit#gid=1164177046","BisaHitungImpor")</f>
        <v>BisaHitungImpor</v>
      </c>
      <c r="B4" s="3"/>
    </row>
    <row r="5">
      <c r="A5" s="2" t="str">
        <f>HYPERLINK("https://docs.google.com/spreadsheets/d/1ESni1h-9NP1dVdHaEILuc6WWv_P8-mWX3jXPRX9GysM/edit#gid=90517666","BisaEksporBisaJual")</f>
        <v>BisaEksporBisaJual</v>
      </c>
      <c r="B5" s="3"/>
    </row>
    <row r="6">
      <c r="A6" s="2" t="str">
        <f>HYPERLINK("https://docs.google.com/spreadsheets/d/1ESni1h-9NP1dVdHaEILuc6WWv_P8-mWX3jXPRX9GysM/edit#gid=171163769","BisaHilang")</f>
        <v>BisaHilang</v>
      </c>
      <c r="B6" s="3"/>
    </row>
    <row r="7">
      <c r="A7" s="2" t="str">
        <f>HYPERLINK("https://docs.google.com/spreadsheets/d/1ESni1h-9NP1dVdHaEILuc6WWv_P8-mWX3jXPRX9GysM/edit#gid=1152745648","BisaJualBukalapak")</f>
        <v>BisaJualBukalapak</v>
      </c>
      <c r="B7" s="1" t="s">
        <v>4</v>
      </c>
    </row>
    <row r="8">
      <c r="A8" s="2" t="str">
        <f>HYPERLINK("https://docs.google.com/spreadsheets/d/1ESni1h-9NP1dVdHaEILuc6WWv_P8-mWX3jXPRX9GysM/edit#gid=1873910816","BisaJualTokopedia")</f>
        <v>BisaJualTokopedia</v>
      </c>
      <c r="B8" s="1" t="s">
        <v>5</v>
      </c>
    </row>
    <row r="9">
      <c r="A9" s="2" t="str">
        <f>HYPERLINK("https://docs.google.com/spreadsheets/d/1ESni1h-9NP1dVdHaEILuc6WWv_P8-mWX3jXPRX9GysM/edit#gid=1921632670","BisaJualBliBli")</f>
        <v>BisaJualBliBli</v>
      </c>
      <c r="B9" s="3"/>
    </row>
    <row r="10">
      <c r="A10" s="2" t="str">
        <f>HYPERLINK("https://docs.google.com/spreadsheets/d/1ESni1h-9NP1dVdHaEILuc6WWv_P8-mWX3jXPRX9GysM/edit#gid=1461742550","BisaJualWeb")</f>
        <v>BisaJualWeb</v>
      </c>
      <c r="B10" s="3"/>
    </row>
    <row r="11">
      <c r="A11" s="2" t="str">
        <f>HYPERLINK("https://docs.google.com/spreadsheets/d/1ESni1h-9NP1dVdHaEILuc6WWv_P8-mWX3jXPRX9GysM/edit#gid=526519451","BisaJualCOD")</f>
        <v>BisaJualCOD</v>
      </c>
      <c r="B11" s="3"/>
    </row>
    <row r="12">
      <c r="A12" s="2" t="str">
        <f>HYPERLINK("https://docs.google.com/spreadsheets/d/1ESni1h-9NP1dVdHaEILuc6WWv_P8-mWX3jXPRX9GysM/edit#gid=716139622","BisaSEO")</f>
        <v>BisaSEO</v>
      </c>
      <c r="B12" s="3"/>
    </row>
    <row r="13">
      <c r="A13" s="3"/>
      <c r="B13" s="3"/>
    </row>
    <row r="14">
      <c r="A14" s="3"/>
      <c r="B14" s="3"/>
    </row>
    <row r="17">
      <c r="A17" s="3"/>
      <c r="B17" s="3"/>
    </row>
    <row r="18">
      <c r="A18" s="3"/>
      <c r="B18" s="3"/>
    </row>
    <row r="19">
      <c r="A19" s="3"/>
      <c r="B19"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50.63"/>
    <col customWidth="1" min="2" max="2" width="16.5"/>
    <col customWidth="1" min="3" max="3" width="16.63"/>
    <col customWidth="1" min="4" max="4" width="21.88"/>
    <col customWidth="1" min="5" max="5" width="9.75"/>
    <col customWidth="1" min="6" max="6" width="21.5"/>
    <col customWidth="1" min="7" max="7" width="46.25"/>
    <col customWidth="1" min="8" max="8" width="51.25"/>
    <col customWidth="1" min="9" max="9" width="8.25"/>
    <col customWidth="1" min="10" max="10" width="10.88"/>
    <col customWidth="1" min="11" max="11" width="9.5"/>
    <col customWidth="1" min="12" max="12" width="10.0"/>
    <col customWidth="1" min="13" max="15" width="9.75"/>
    <col customWidth="1" min="16" max="16" width="10.75"/>
    <col customWidth="1" min="17" max="17" width="9.5"/>
    <col customWidth="1" min="18" max="18" width="8.25"/>
    <col customWidth="1" min="19" max="19" width="9.75"/>
    <col customWidth="1" min="20" max="20" width="9.25"/>
    <col customWidth="1" min="21" max="21" width="9.75"/>
    <col customWidth="1" min="22" max="22" width="8.13"/>
    <col customWidth="1" min="23" max="23" width="8.25"/>
    <col customWidth="1" min="24" max="24" width="11.63"/>
    <col customWidth="1" min="25" max="25" width="10.75"/>
    <col customWidth="1" min="26" max="26" width="9.38"/>
    <col customWidth="1" min="27" max="27" width="9.75"/>
    <col customWidth="1" min="28" max="28" width="11.63"/>
    <col customWidth="1" min="29" max="29" width="10.88"/>
    <col customWidth="1" min="30" max="30" width="14.25"/>
    <col customWidth="1" min="31" max="31" width="8.75"/>
    <col customWidth="1" min="32" max="32" width="64.38"/>
  </cols>
  <sheetData>
    <row r="1">
      <c r="A1" s="4" t="s">
        <v>6</v>
      </c>
      <c r="B1" s="5"/>
      <c r="C1" s="6"/>
      <c r="D1" s="7" t="s">
        <v>7</v>
      </c>
      <c r="E1" s="8"/>
      <c r="F1" s="8" t="s">
        <v>8</v>
      </c>
      <c r="J1" s="7" t="s">
        <v>9</v>
      </c>
      <c r="Q1" s="9"/>
      <c r="R1" s="7" t="s">
        <v>10</v>
      </c>
      <c r="X1" s="10" t="s">
        <v>11</v>
      </c>
      <c r="AD1" s="10" t="s">
        <v>12</v>
      </c>
    </row>
    <row r="2">
      <c r="A2" s="11" t="s">
        <v>13</v>
      </c>
      <c r="B2" s="5" t="s">
        <v>14</v>
      </c>
      <c r="C2" s="6" t="s">
        <v>15</v>
      </c>
      <c r="D2" s="12" t="s">
        <v>16</v>
      </c>
      <c r="E2" s="13" t="s">
        <v>17</v>
      </c>
      <c r="F2" s="14" t="s">
        <v>18</v>
      </c>
      <c r="G2" s="15" t="s">
        <v>19</v>
      </c>
      <c r="H2" s="14" t="s">
        <v>20</v>
      </c>
      <c r="I2" s="16" t="s">
        <v>21</v>
      </c>
      <c r="J2" s="12" t="s">
        <v>22</v>
      </c>
      <c r="K2" s="13" t="s">
        <v>23</v>
      </c>
      <c r="L2" s="17" t="s">
        <v>24</v>
      </c>
      <c r="M2" s="17" t="s">
        <v>25</v>
      </c>
      <c r="N2" s="18" t="s">
        <v>26</v>
      </c>
      <c r="O2" s="18" t="s">
        <v>27</v>
      </c>
      <c r="P2" s="19" t="s">
        <v>28</v>
      </c>
      <c r="Q2" s="9" t="str">
        <f t="array" ref="Q2:Q1026">{"Banyak
Barang
(Buah)";IF(J3:J1026*K3:K1026=0,,J3:J1026*K3:K1026)}</f>
        <v>Banyak
Barang
(Buah)</v>
      </c>
      <c r="R2" s="20" t="str">
        <f t="array" ref="R2:R1026">{"Total
Harga
Lot
(USD)";IF(J3:J1026*L3:L1026=0,,J3:J1026*L3:L1026)}</f>
        <v>Total
Harga
Lot
(USD)</v>
      </c>
      <c r="S2" s="21" t="str">
        <f t="array" ref="S2:S1026">{"Ongkos
Kirim
(USD)";IF(M3:M1026=0,,M3:M1026)}</f>
        <v>Ongkos
Kirim
(USD)</v>
      </c>
      <c r="T2" s="21" t="str">
        <f t="array" ref="T2:T1026">{"Diskon
Barang
(USD)";IF(N3:N1026=0,,N3:N1026)}</f>
        <v>Diskon
Barang
(USD)</v>
      </c>
      <c r="U2" s="21" t="str">
        <f t="array" ref="U2:U1026">{"Diskon
Ongkos
Kirim
(USD)";IF(O3:O1026=0,,O3:O1026)}</f>
        <v>Diskon
Ongkos
Kirim
(USD)</v>
      </c>
      <c r="V2" s="22" t="str">
        <f t="array" ref="V2:V1026">{"Total
HPP
(USD)";IF(R3:R1026+M3:M1026-N3:N1026-O3:O1026=0,,R3:R1026+M3:M1026-N3:N1026-O3:O1026)}</f>
        <v>Total
HPP
(USD)</v>
      </c>
      <c r="W2" s="23" t="str">
        <f t="array" ref="W2:W1026">{"HPP
per
Buah
(USD)";IF(V3:V1026=0,,V3:V1026/Q3:Q1026)}</f>
        <v>HPP
per
Buah
(USD)</v>
      </c>
      <c r="X2" s="24" t="str">
        <f t="array" ref="X2:X1026">{"Total
Harga
Lot
(Rp)";IF(R3:R1026=0,,R3:R1026*P3:P1026)}</f>
        <v>Total
Harga
Lot
(Rp)</v>
      </c>
      <c r="Y2" s="25" t="str">
        <f t="array" ref="Y2:Y1026">{"Ongkos
Kirim
(Rp)";IF(S3:S1026*$P$3:$P1026=0,,S3:S1026*$P$3:$P1026)}</f>
        <v>Ongkos
Kirim
(Rp)</v>
      </c>
      <c r="Z2" s="25" t="str">
        <f t="array" ref="Z2:Z1026">{"Diskon
Barang
(Rp)";IF(T3:T1026*$P$3:$P1026=0,,T3:T1026*$P$3:$P1026)}</f>
        <v>Diskon
Barang
(Rp)</v>
      </c>
      <c r="AA2" s="25" t="str">
        <f t="array" ref="AA2:AA1026">{"Diskon
Ongkos
Kirim
(Rp)";IF(U3:U1026*$P$3:$P1026=0,,U3:U1026*$P$3:$P1026)}</f>
        <v>Diskon
Ongkos
Kirim
(Rp)</v>
      </c>
      <c r="AB2" s="25" t="str">
        <f t="array" ref="AB2:AB1026">{"Total
HPP
(Rp)";IF(V3:V1026*$P$3:$P1026=0,,V3:V1026*$P$3:$P1026)}</f>
        <v>Total
HPP
(Rp)</v>
      </c>
      <c r="AC2" s="26" t="str">
        <f t="array" ref="AC2:AC1026">{"HPP
per
Buah
(Rp)";IF(AB3:AB1026=0,,AB3:AB1026/Q3:Q1026)}</f>
        <v>HPP
per
Buah
(Rp)</v>
      </c>
      <c r="AD2" s="12" t="s">
        <v>29</v>
      </c>
      <c r="AE2" s="13" t="s">
        <v>30</v>
      </c>
      <c r="AF2" s="13" t="s">
        <v>31</v>
      </c>
    </row>
    <row r="3" hidden="1">
      <c r="A3" s="11"/>
      <c r="B3" s="5"/>
      <c r="C3" s="6"/>
      <c r="D3" s="27"/>
      <c r="E3" s="28"/>
      <c r="F3" s="11"/>
      <c r="G3" s="29"/>
      <c r="H3" s="11"/>
      <c r="I3" s="30"/>
      <c r="J3" s="31"/>
      <c r="K3" s="11"/>
      <c r="L3" s="32"/>
      <c r="M3" s="32"/>
      <c r="N3" s="32"/>
      <c r="O3" s="32"/>
      <c r="P3" s="33"/>
      <c r="Q3" s="34"/>
      <c r="R3" s="35"/>
      <c r="S3" s="36"/>
      <c r="T3" s="36"/>
      <c r="U3" s="36"/>
      <c r="V3" s="36"/>
      <c r="W3" s="37"/>
      <c r="X3" s="35"/>
      <c r="Y3" s="32"/>
      <c r="Z3" s="32"/>
      <c r="AA3" s="32"/>
      <c r="AB3" s="32"/>
      <c r="AC3" s="38"/>
      <c r="AD3" s="31"/>
      <c r="AE3" s="11"/>
      <c r="AF3" s="11"/>
    </row>
    <row r="4">
      <c r="A4" s="11" t="s">
        <v>32</v>
      </c>
      <c r="B4" s="39">
        <v>45957.56190972222</v>
      </c>
      <c r="C4" s="40">
        <v>46003.61041666667</v>
      </c>
      <c r="D4" s="27" t="s">
        <v>33</v>
      </c>
      <c r="E4" s="11" t="b">
        <v>1</v>
      </c>
      <c r="F4" s="11" t="s">
        <v>34</v>
      </c>
      <c r="G4" s="41" t="s">
        <v>35</v>
      </c>
      <c r="H4" s="11" t="s">
        <v>36</v>
      </c>
      <c r="I4" s="30">
        <v>5.0</v>
      </c>
      <c r="J4" s="31">
        <v>7500.0</v>
      </c>
      <c r="K4" s="11">
        <v>1.0</v>
      </c>
      <c r="L4" s="32">
        <f>(672)/P4</f>
        <v>672</v>
      </c>
      <c r="M4" s="32">
        <f>(5076186 - 5040000)/P4</f>
        <v>36186</v>
      </c>
      <c r="N4" s="32">
        <v>0.0</v>
      </c>
      <c r="O4" s="32">
        <f>(27000/4)/P4</f>
        <v>6750</v>
      </c>
      <c r="P4" s="33">
        <v>1.0</v>
      </c>
      <c r="Q4" s="34">
        <v>7500.0</v>
      </c>
      <c r="R4" s="42">
        <v>5040000.0</v>
      </c>
      <c r="S4" s="36">
        <v>36186.0</v>
      </c>
      <c r="T4" s="36"/>
      <c r="U4" s="36">
        <v>6750.0</v>
      </c>
      <c r="V4" s="36">
        <v>5069436.0</v>
      </c>
      <c r="W4" s="37">
        <v>675.9248</v>
      </c>
      <c r="X4" s="42">
        <v>5040000.0</v>
      </c>
      <c r="Y4" s="36">
        <v>36186.0</v>
      </c>
      <c r="Z4" s="36"/>
      <c r="AA4" s="36">
        <v>6750.0</v>
      </c>
      <c r="AB4" s="36">
        <v>5069436.0</v>
      </c>
      <c r="AC4" s="37">
        <v>675.9248</v>
      </c>
      <c r="AD4" s="35"/>
      <c r="AE4" s="11"/>
      <c r="AF4" s="11"/>
    </row>
    <row r="5">
      <c r="A5" s="11" t="s">
        <v>32</v>
      </c>
      <c r="B5" s="39">
        <v>45858.14513888889</v>
      </c>
      <c r="C5" s="40">
        <v>45862.56736111111</v>
      </c>
      <c r="D5" s="27" t="s">
        <v>37</v>
      </c>
      <c r="E5" s="11" t="b">
        <v>0</v>
      </c>
      <c r="F5" s="11" t="s">
        <v>38</v>
      </c>
      <c r="G5" s="11" t="s">
        <v>39</v>
      </c>
      <c r="H5" s="11" t="s">
        <v>40</v>
      </c>
      <c r="I5" s="30">
        <v>5.0</v>
      </c>
      <c r="J5" s="31">
        <v>95.0</v>
      </c>
      <c r="K5" s="11">
        <v>1.0</v>
      </c>
      <c r="L5" s="32">
        <f t="shared" ref="L5:L6" si="1">(1300)/P5</f>
        <v>0.07926829268</v>
      </c>
      <c r="M5" s="32">
        <f t="shared" ref="M5:M6" si="2">(1000)/P5</f>
        <v>0.06097560976</v>
      </c>
      <c r="N5" s="32">
        <f>(9880 + 3137)/P5</f>
        <v>0.7937195122</v>
      </c>
      <c r="O5" s="32">
        <v>0.0</v>
      </c>
      <c r="P5" s="33">
        <v>16400.0</v>
      </c>
      <c r="Q5" s="34">
        <v>95.0</v>
      </c>
      <c r="R5" s="42">
        <v>7.530487804878049</v>
      </c>
      <c r="S5" s="36">
        <v>0.06097560975609756</v>
      </c>
      <c r="T5" s="36">
        <v>0.7937195121951219</v>
      </c>
      <c r="U5" s="36"/>
      <c r="V5" s="36">
        <v>6.797743902439024</v>
      </c>
      <c r="W5" s="37">
        <v>0.07155519897304236</v>
      </c>
      <c r="X5" s="42">
        <v>123500.0</v>
      </c>
      <c r="Y5" s="36">
        <v>1000.0</v>
      </c>
      <c r="Z5" s="36">
        <v>13017.0</v>
      </c>
      <c r="AA5" s="36"/>
      <c r="AB5" s="36">
        <v>111482.99999999999</v>
      </c>
      <c r="AC5" s="37">
        <v>1173.5052631578947</v>
      </c>
      <c r="AD5" s="31"/>
      <c r="AE5" s="11"/>
      <c r="AF5" s="11"/>
    </row>
    <row r="6">
      <c r="A6" s="11" t="s">
        <v>32</v>
      </c>
      <c r="B6" s="39">
        <v>45858.14236111111</v>
      </c>
      <c r="C6" s="40">
        <v>45862.40555555555</v>
      </c>
      <c r="D6" s="27" t="s">
        <v>37</v>
      </c>
      <c r="E6" s="11" t="b">
        <v>0</v>
      </c>
      <c r="F6" s="11" t="s">
        <v>38</v>
      </c>
      <c r="G6" s="11" t="s">
        <v>39</v>
      </c>
      <c r="H6" s="11" t="s">
        <v>41</v>
      </c>
      <c r="I6" s="30">
        <v>5.0</v>
      </c>
      <c r="J6" s="31">
        <v>210.0</v>
      </c>
      <c r="K6" s="11">
        <v>1.0</v>
      </c>
      <c r="L6" s="32">
        <f t="shared" si="1"/>
        <v>0.07926829268</v>
      </c>
      <c r="M6" s="32">
        <f t="shared" si="2"/>
        <v>0.06097560976</v>
      </c>
      <c r="N6" s="32">
        <f>(13650 + 12968)/P6</f>
        <v>1.62304878</v>
      </c>
      <c r="O6" s="32">
        <v>0.0</v>
      </c>
      <c r="P6" s="33">
        <v>16400.0</v>
      </c>
      <c r="Q6" s="34">
        <v>210.0</v>
      </c>
      <c r="R6" s="42">
        <v>16.646341463414636</v>
      </c>
      <c r="S6" s="36">
        <v>0.06097560975609756</v>
      </c>
      <c r="T6" s="36">
        <v>1.6230487804878049</v>
      </c>
      <c r="U6" s="36"/>
      <c r="V6" s="36">
        <v>15.08426829268293</v>
      </c>
      <c r="W6" s="37">
        <v>0.07182984901277585</v>
      </c>
      <c r="X6" s="42">
        <v>273000.00000000006</v>
      </c>
      <c r="Y6" s="36">
        <v>1000.0</v>
      </c>
      <c r="Z6" s="36">
        <v>26618.0</v>
      </c>
      <c r="AA6" s="36"/>
      <c r="AB6" s="36">
        <v>247382.00000000006</v>
      </c>
      <c r="AC6" s="37">
        <v>1178.0095238095241</v>
      </c>
      <c r="AD6" s="31"/>
      <c r="AE6" s="11"/>
      <c r="AF6" s="11"/>
    </row>
    <row r="7">
      <c r="A7" s="43" t="s">
        <v>32</v>
      </c>
      <c r="B7" s="39">
        <v>45374.678941122686</v>
      </c>
      <c r="C7" s="40">
        <v>45472.770833333336</v>
      </c>
      <c r="D7" s="27" t="s">
        <v>33</v>
      </c>
      <c r="E7" s="11" t="b">
        <v>1</v>
      </c>
      <c r="F7" s="11" t="s">
        <v>34</v>
      </c>
      <c r="G7" s="44" t="s">
        <v>42</v>
      </c>
      <c r="H7" s="11" t="s">
        <v>43</v>
      </c>
      <c r="I7" s="30">
        <v>5.0</v>
      </c>
      <c r="J7" s="31">
        <v>5000.0</v>
      </c>
      <c r="K7" s="11">
        <v>1.0</v>
      </c>
      <c r="L7" s="32">
        <f>(684)/P7</f>
        <v>0.043776</v>
      </c>
      <c r="M7" s="32">
        <v>0.0</v>
      </c>
      <c r="N7" s="32">
        <v>0.0</v>
      </c>
      <c r="O7" s="32">
        <v>0.0</v>
      </c>
      <c r="P7" s="33">
        <v>15625.0</v>
      </c>
      <c r="Q7" s="34">
        <v>5000.0</v>
      </c>
      <c r="R7" s="42">
        <v>218.88000000000002</v>
      </c>
      <c r="S7" s="36"/>
      <c r="T7" s="36"/>
      <c r="U7" s="36"/>
      <c r="V7" s="36">
        <v>218.88000000000002</v>
      </c>
      <c r="W7" s="37">
        <v>0.043776</v>
      </c>
      <c r="X7" s="42">
        <v>3420000.0000000005</v>
      </c>
      <c r="Y7" s="36"/>
      <c r="Z7" s="36"/>
      <c r="AA7" s="36"/>
      <c r="AB7" s="36">
        <v>3420000.0000000005</v>
      </c>
      <c r="AC7" s="37">
        <v>684.0000000000001</v>
      </c>
      <c r="AD7" s="31"/>
      <c r="AE7" s="11"/>
      <c r="AF7" s="11"/>
    </row>
    <row r="8">
      <c r="A8" s="11" t="s">
        <v>32</v>
      </c>
      <c r="B8" s="39">
        <v>45371.748611111114</v>
      </c>
      <c r="C8" s="40">
        <v>45376.65332752315</v>
      </c>
      <c r="D8" s="27" t="s">
        <v>37</v>
      </c>
      <c r="E8" s="11" t="b">
        <v>0</v>
      </c>
      <c r="F8" s="11" t="s">
        <v>38</v>
      </c>
      <c r="G8" s="11" t="s">
        <v>44</v>
      </c>
      <c r="H8" s="11" t="s">
        <v>44</v>
      </c>
      <c r="I8" s="30">
        <v>5.0</v>
      </c>
      <c r="J8" s="31">
        <v>260.0</v>
      </c>
      <c r="K8" s="11">
        <v>1.0</v>
      </c>
      <c r="L8" s="32">
        <f t="shared" ref="L8:L11" si="3">(1250)/P8</f>
        <v>0.07939028263</v>
      </c>
      <c r="M8" s="32">
        <f t="shared" ref="M8:M13" si="4">(1000)/P8</f>
        <v>0.0635122261</v>
      </c>
      <c r="N8" s="32">
        <f>(3250)/P8</f>
        <v>0.2064147348</v>
      </c>
      <c r="O8" s="32">
        <v>0.0</v>
      </c>
      <c r="P8" s="33">
        <v>15745.0</v>
      </c>
      <c r="Q8" s="34">
        <v>260.0</v>
      </c>
      <c r="R8" s="42">
        <v>20.6414734836456</v>
      </c>
      <c r="S8" s="36">
        <v>0.06351222610352493</v>
      </c>
      <c r="T8" s="36">
        <v>0.206414734836456</v>
      </c>
      <c r="U8" s="36"/>
      <c r="V8" s="36">
        <v>20.49857097491267</v>
      </c>
      <c r="W8" s="37">
        <v>0.07884065759581796</v>
      </c>
      <c r="X8" s="42">
        <v>325000.0</v>
      </c>
      <c r="Y8" s="36">
        <v>1000.0</v>
      </c>
      <c r="Z8" s="36">
        <v>3250.0</v>
      </c>
      <c r="AA8" s="36"/>
      <c r="AB8" s="36">
        <v>322750.0</v>
      </c>
      <c r="AC8" s="37">
        <v>1241.3461538461538</v>
      </c>
      <c r="AD8" s="31"/>
      <c r="AE8" s="11"/>
      <c r="AF8" s="11"/>
    </row>
    <row r="9">
      <c r="A9" s="11" t="s">
        <v>32</v>
      </c>
      <c r="B9" s="39">
        <v>45371.74722222222</v>
      </c>
      <c r="C9" s="40">
        <v>45376.65332752315</v>
      </c>
      <c r="D9" s="27" t="s">
        <v>37</v>
      </c>
      <c r="E9" s="11" t="b">
        <v>0</v>
      </c>
      <c r="F9" s="11" t="s">
        <v>38</v>
      </c>
      <c r="G9" s="11" t="s">
        <v>44</v>
      </c>
      <c r="H9" s="11" t="s">
        <v>44</v>
      </c>
      <c r="I9" s="30">
        <v>5.0</v>
      </c>
      <c r="J9" s="31">
        <v>260.0</v>
      </c>
      <c r="K9" s="11">
        <v>1.0</v>
      </c>
      <c r="L9" s="32">
        <f t="shared" si="3"/>
        <v>0.07939028263</v>
      </c>
      <c r="M9" s="32">
        <f t="shared" si="4"/>
        <v>0.0635122261</v>
      </c>
      <c r="N9" s="32">
        <f>(5000)/P9</f>
        <v>0.3175611305</v>
      </c>
      <c r="O9" s="32">
        <v>0.0</v>
      </c>
      <c r="P9" s="33">
        <v>15745.0</v>
      </c>
      <c r="Q9" s="34">
        <v>260.0</v>
      </c>
      <c r="R9" s="42">
        <v>20.6414734836456</v>
      </c>
      <c r="S9" s="36">
        <v>0.06351222610352493</v>
      </c>
      <c r="T9" s="36">
        <v>0.31756113051762463</v>
      </c>
      <c r="U9" s="36"/>
      <c r="V9" s="36">
        <v>20.387424579231503</v>
      </c>
      <c r="W9" s="37">
        <v>0.0784131714585827</v>
      </c>
      <c r="X9" s="42">
        <v>325000.0</v>
      </c>
      <c r="Y9" s="36">
        <v>1000.0</v>
      </c>
      <c r="Z9" s="36">
        <v>5000.0</v>
      </c>
      <c r="AA9" s="36"/>
      <c r="AB9" s="36">
        <v>321000.0</v>
      </c>
      <c r="AC9" s="37">
        <v>1234.6153846153845</v>
      </c>
      <c r="AD9" s="31"/>
      <c r="AE9" s="11"/>
      <c r="AF9" s="11"/>
    </row>
    <row r="10">
      <c r="A10" s="11" t="s">
        <v>32</v>
      </c>
      <c r="B10" s="39">
        <v>45371.74513888889</v>
      </c>
      <c r="C10" s="40">
        <v>45376.65332752315</v>
      </c>
      <c r="D10" s="27" t="s">
        <v>37</v>
      </c>
      <c r="E10" s="11" t="b">
        <v>0</v>
      </c>
      <c r="F10" s="11" t="s">
        <v>38</v>
      </c>
      <c r="G10" s="11" t="s">
        <v>44</v>
      </c>
      <c r="H10" s="11" t="s">
        <v>44</v>
      </c>
      <c r="I10" s="30">
        <v>5.0</v>
      </c>
      <c r="J10" s="31">
        <v>260.0</v>
      </c>
      <c r="K10" s="11">
        <v>1.0</v>
      </c>
      <c r="L10" s="32">
        <f t="shared" si="3"/>
        <v>0.07939028263</v>
      </c>
      <c r="M10" s="32">
        <f t="shared" si="4"/>
        <v>0.0635122261</v>
      </c>
      <c r="N10" s="32">
        <f>(3250 + 5000)/P10</f>
        <v>0.5239758654</v>
      </c>
      <c r="O10" s="32">
        <v>0.0</v>
      </c>
      <c r="P10" s="33">
        <v>15745.0</v>
      </c>
      <c r="Q10" s="34">
        <v>260.0</v>
      </c>
      <c r="R10" s="42">
        <v>20.6414734836456</v>
      </c>
      <c r="S10" s="36">
        <v>0.06351222610352493</v>
      </c>
      <c r="T10" s="36">
        <v>0.5239758653540807</v>
      </c>
      <c r="U10" s="36"/>
      <c r="V10" s="36">
        <v>20.181009844395046</v>
      </c>
      <c r="W10" s="37">
        <v>0.07761926863228864</v>
      </c>
      <c r="X10" s="42">
        <v>325000.0</v>
      </c>
      <c r="Y10" s="36">
        <v>1000.0</v>
      </c>
      <c r="Z10" s="36">
        <v>8250.0</v>
      </c>
      <c r="AA10" s="36"/>
      <c r="AB10" s="36">
        <v>317750.0</v>
      </c>
      <c r="AC10" s="37">
        <v>1222.1153846153845</v>
      </c>
      <c r="AD10" s="31"/>
      <c r="AE10" s="11"/>
      <c r="AF10" s="11"/>
    </row>
    <row r="11">
      <c r="A11" s="11" t="s">
        <v>32</v>
      </c>
      <c r="B11" s="39">
        <v>45371.74375</v>
      </c>
      <c r="C11" s="40">
        <v>45376.65332752315</v>
      </c>
      <c r="D11" s="27" t="s">
        <v>37</v>
      </c>
      <c r="E11" s="11" t="b">
        <v>0</v>
      </c>
      <c r="F11" s="11" t="s">
        <v>38</v>
      </c>
      <c r="G11" s="11" t="s">
        <v>44</v>
      </c>
      <c r="H11" s="11" t="s">
        <v>44</v>
      </c>
      <c r="I11" s="30">
        <v>5.0</v>
      </c>
      <c r="J11" s="31">
        <v>260.0</v>
      </c>
      <c r="K11" s="11">
        <v>1.0</v>
      </c>
      <c r="L11" s="32">
        <f t="shared" si="3"/>
        <v>0.07939028263</v>
      </c>
      <c r="M11" s="32">
        <f t="shared" si="4"/>
        <v>0.0635122261</v>
      </c>
      <c r="N11" s="32">
        <f>(5000 + 12633)/P11</f>
        <v>1.119911083</v>
      </c>
      <c r="O11" s="32">
        <v>0.0</v>
      </c>
      <c r="P11" s="33">
        <v>15745.0</v>
      </c>
      <c r="Q11" s="34">
        <v>260.0</v>
      </c>
      <c r="R11" s="42">
        <v>20.6414734836456</v>
      </c>
      <c r="S11" s="36">
        <v>0.06351222610352493</v>
      </c>
      <c r="T11" s="36">
        <v>1.119911082883455</v>
      </c>
      <c r="U11" s="36"/>
      <c r="V11" s="36">
        <v>19.585074626865673</v>
      </c>
      <c r="W11" s="37">
        <v>0.07532721010332952</v>
      </c>
      <c r="X11" s="42">
        <v>325000.0</v>
      </c>
      <c r="Y11" s="36">
        <v>1000.0</v>
      </c>
      <c r="Z11" s="36">
        <v>17633.0</v>
      </c>
      <c r="AA11" s="36"/>
      <c r="AB11" s="36">
        <v>308367.0</v>
      </c>
      <c r="AC11" s="37">
        <v>1186.0269230769231</v>
      </c>
      <c r="AD11" s="31"/>
      <c r="AE11" s="11"/>
      <c r="AF11" s="11"/>
    </row>
    <row r="12">
      <c r="A12" s="11" t="s">
        <v>32</v>
      </c>
      <c r="B12" s="39">
        <v>45367.611805555556</v>
      </c>
      <c r="C12" s="40">
        <v>45371.365011574075</v>
      </c>
      <c r="D12" s="27" t="s">
        <v>37</v>
      </c>
      <c r="E12" s="11" t="b">
        <v>0</v>
      </c>
      <c r="F12" s="11" t="s">
        <v>38</v>
      </c>
      <c r="G12" s="11" t="s">
        <v>44</v>
      </c>
      <c r="H12" s="11" t="s">
        <v>44</v>
      </c>
      <c r="I12" s="30">
        <v>5.0</v>
      </c>
      <c r="J12" s="31">
        <v>260.0</v>
      </c>
      <c r="K12" s="11">
        <v>1.0</v>
      </c>
      <c r="L12" s="32">
        <f t="shared" ref="L12:L13" si="5">(1240)/P12</f>
        <v>0.07928388747</v>
      </c>
      <c r="M12" s="32">
        <f t="shared" si="4"/>
        <v>0.06393861893</v>
      </c>
      <c r="N12" s="32">
        <f>(1612 + 12896)/P12</f>
        <v>0.9276214834</v>
      </c>
      <c r="O12" s="32">
        <v>0.0</v>
      </c>
      <c r="P12" s="33">
        <v>15640.0</v>
      </c>
      <c r="Q12" s="34">
        <v>260.0</v>
      </c>
      <c r="R12" s="42">
        <v>20.61381074168798</v>
      </c>
      <c r="S12" s="36">
        <v>0.0639386189258312</v>
      </c>
      <c r="T12" s="36">
        <v>0.9276214833759591</v>
      </c>
      <c r="U12" s="36"/>
      <c r="V12" s="36">
        <v>19.750127877237855</v>
      </c>
      <c r="W12" s="37">
        <v>0.07596203029706868</v>
      </c>
      <c r="X12" s="42">
        <v>322400.0</v>
      </c>
      <c r="Y12" s="36">
        <v>1000.0000000000001</v>
      </c>
      <c r="Z12" s="36">
        <v>14508.0</v>
      </c>
      <c r="AA12" s="36"/>
      <c r="AB12" s="36">
        <v>308892.00000000006</v>
      </c>
      <c r="AC12" s="37">
        <v>1188.046153846154</v>
      </c>
      <c r="AD12" s="31"/>
      <c r="AE12" s="11"/>
      <c r="AF12" s="11"/>
    </row>
    <row r="13">
      <c r="A13" s="11" t="s">
        <v>32</v>
      </c>
      <c r="B13" s="39">
        <v>45348.6917044213</v>
      </c>
      <c r="C13" s="40">
        <v>45350.481788958336</v>
      </c>
      <c r="D13" s="27" t="s">
        <v>37</v>
      </c>
      <c r="E13" s="11" t="b">
        <v>0</v>
      </c>
      <c r="F13" s="11" t="s">
        <v>38</v>
      </c>
      <c r="G13" s="11" t="s">
        <v>44</v>
      </c>
      <c r="H13" s="11" t="s">
        <v>44</v>
      </c>
      <c r="I13" s="30">
        <v>5.0</v>
      </c>
      <c r="J13" s="31">
        <v>450.0</v>
      </c>
      <c r="K13" s="11">
        <v>1.0</v>
      </c>
      <c r="L13" s="32">
        <f t="shared" si="5"/>
        <v>0.07929909829</v>
      </c>
      <c r="M13" s="32">
        <f t="shared" si="4"/>
        <v>0.06395088572</v>
      </c>
      <c r="N13" s="32">
        <f>(5580)/P13</f>
        <v>0.3568459423</v>
      </c>
      <c r="O13" s="32">
        <v>0.0</v>
      </c>
      <c r="P13" s="33">
        <v>15637.0</v>
      </c>
      <c r="Q13" s="34">
        <v>450.0</v>
      </c>
      <c r="R13" s="42">
        <v>35.68459423163011</v>
      </c>
      <c r="S13" s="36">
        <v>0.06395088571976722</v>
      </c>
      <c r="T13" s="36">
        <v>0.35684594231630107</v>
      </c>
      <c r="U13" s="36"/>
      <c r="V13" s="36">
        <v>35.39169917503358</v>
      </c>
      <c r="W13" s="37">
        <v>0.0786482203889635</v>
      </c>
      <c r="X13" s="42">
        <v>558000.0</v>
      </c>
      <c r="Y13" s="36">
        <v>1000.0</v>
      </c>
      <c r="Z13" s="36">
        <v>5580.0</v>
      </c>
      <c r="AA13" s="36"/>
      <c r="AB13" s="36">
        <v>553420.0000000001</v>
      </c>
      <c r="AC13" s="37">
        <v>1229.8222222222225</v>
      </c>
      <c r="AD13" s="31"/>
      <c r="AE13" s="11"/>
      <c r="AF13" s="11"/>
    </row>
    <row r="14">
      <c r="A14" s="11" t="s">
        <v>32</v>
      </c>
      <c r="B14" s="39">
        <v>45334.47694317129</v>
      </c>
      <c r="C14" s="40">
        <v>45413.61111111111</v>
      </c>
      <c r="D14" s="27" t="s">
        <v>33</v>
      </c>
      <c r="E14" s="11" t="b">
        <v>1</v>
      </c>
      <c r="F14" s="11" t="s">
        <v>34</v>
      </c>
      <c r="G14" s="11" t="s">
        <v>45</v>
      </c>
      <c r="H14" s="11"/>
      <c r="I14" s="30">
        <v>5.0</v>
      </c>
      <c r="J14" s="31">
        <v>3000.0</v>
      </c>
      <c r="K14" s="11">
        <v>1.0</v>
      </c>
      <c r="L14" s="32">
        <f>(657)/P14</f>
        <v>0.04176466849</v>
      </c>
      <c r="M14" s="32">
        <v>0.0</v>
      </c>
      <c r="N14" s="32">
        <v>0.0</v>
      </c>
      <c r="O14" s="32">
        <v>0.0</v>
      </c>
      <c r="P14" s="33">
        <v>15731.0</v>
      </c>
      <c r="Q14" s="34">
        <v>3000.0</v>
      </c>
      <c r="R14" s="42">
        <v>125.29400546691247</v>
      </c>
      <c r="S14" s="36"/>
      <c r="T14" s="36"/>
      <c r="U14" s="36"/>
      <c r="V14" s="36">
        <v>125.29400546691247</v>
      </c>
      <c r="W14" s="37">
        <v>0.04176466848897082</v>
      </c>
      <c r="X14" s="42">
        <v>1971000.0</v>
      </c>
      <c r="Y14" s="36"/>
      <c r="Z14" s="36"/>
      <c r="AA14" s="36"/>
      <c r="AB14" s="36">
        <v>1971000.0</v>
      </c>
      <c r="AC14" s="37">
        <v>657.0</v>
      </c>
      <c r="AD14" s="31"/>
      <c r="AE14" s="11"/>
      <c r="AF14" s="11"/>
    </row>
    <row r="15">
      <c r="A15" s="11" t="s">
        <v>32</v>
      </c>
      <c r="B15" s="39">
        <v>45013.0</v>
      </c>
      <c r="C15" s="40">
        <v>45061.0</v>
      </c>
      <c r="D15" s="27" t="s">
        <v>33</v>
      </c>
      <c r="E15" s="11" t="b">
        <v>1</v>
      </c>
      <c r="F15" s="29" t="s">
        <v>46</v>
      </c>
      <c r="G15" s="29" t="s">
        <v>46</v>
      </c>
      <c r="H15" s="29"/>
      <c r="I15" s="30">
        <v>5.0</v>
      </c>
      <c r="J15" s="31">
        <v>10050.0</v>
      </c>
      <c r="K15" s="11">
        <v>1.0</v>
      </c>
      <c r="L15" s="32">
        <f>731/P15</f>
        <v>0.04851984601</v>
      </c>
      <c r="M15" s="32">
        <v>0.0</v>
      </c>
      <c r="N15" s="32">
        <v>0.0</v>
      </c>
      <c r="O15" s="32">
        <v>0.0</v>
      </c>
      <c r="P15" s="33">
        <v>15066.0</v>
      </c>
      <c r="Q15" s="34">
        <v>10050.0</v>
      </c>
      <c r="R15" s="42">
        <v>487.62445240939866</v>
      </c>
      <c r="S15" s="36"/>
      <c r="T15" s="36"/>
      <c r="U15" s="36"/>
      <c r="V15" s="36">
        <v>487.62445240939866</v>
      </c>
      <c r="W15" s="37">
        <v>0.04851984601088544</v>
      </c>
      <c r="X15" s="42">
        <v>7346550.0</v>
      </c>
      <c r="Y15" s="36"/>
      <c r="Z15" s="36"/>
      <c r="AA15" s="36"/>
      <c r="AB15" s="36">
        <v>7346550.0</v>
      </c>
      <c r="AC15" s="37">
        <v>731.0</v>
      </c>
      <c r="AD15" s="31"/>
      <c r="AE15" s="11"/>
      <c r="AF15" s="11"/>
    </row>
    <row r="16">
      <c r="A16" s="11" t="s">
        <v>32</v>
      </c>
      <c r="B16" s="39">
        <v>44990.80486111111</v>
      </c>
      <c r="C16" s="40">
        <v>45361.51081825231</v>
      </c>
      <c r="D16" s="27" t="s">
        <v>37</v>
      </c>
      <c r="E16" s="11" t="b">
        <v>0</v>
      </c>
      <c r="F16" s="11" t="s">
        <v>38</v>
      </c>
      <c r="G16" s="11" t="s">
        <v>44</v>
      </c>
      <c r="H16" s="11" t="s">
        <v>44</v>
      </c>
      <c r="I16" s="30">
        <v>5.0</v>
      </c>
      <c r="J16" s="31">
        <v>260.0</v>
      </c>
      <c r="K16" s="11">
        <v>1.0</v>
      </c>
      <c r="L16" s="32">
        <f t="shared" ref="L16:L17" si="6">(1240)/P16</f>
        <v>0.07873015873</v>
      </c>
      <c r="M16" s="32">
        <f t="shared" ref="M16:M17" si="7">(1000)/P16</f>
        <v>0.06349206349</v>
      </c>
      <c r="N16" s="32">
        <f>(3224 + 1612)/P16</f>
        <v>0.307047619</v>
      </c>
      <c r="O16" s="32">
        <v>0.0</v>
      </c>
      <c r="P16" s="33">
        <v>15750.0</v>
      </c>
      <c r="Q16" s="34">
        <v>260.0</v>
      </c>
      <c r="R16" s="42">
        <v>20.46984126984127</v>
      </c>
      <c r="S16" s="36">
        <v>0.06349206349206349</v>
      </c>
      <c r="T16" s="36">
        <v>0.30704761904761907</v>
      </c>
      <c r="U16" s="36"/>
      <c r="V16" s="36">
        <v>20.226285714285716</v>
      </c>
      <c r="W16" s="37">
        <v>0.0777934065934066</v>
      </c>
      <c r="X16" s="42">
        <v>322400.00000000006</v>
      </c>
      <c r="Y16" s="36">
        <v>1000.0</v>
      </c>
      <c r="Z16" s="36">
        <v>4836.0</v>
      </c>
      <c r="AA16" s="36"/>
      <c r="AB16" s="36">
        <v>318564.0</v>
      </c>
      <c r="AC16" s="37">
        <v>1225.246153846154</v>
      </c>
      <c r="AD16" s="31"/>
      <c r="AE16" s="11"/>
      <c r="AF16" s="11"/>
    </row>
    <row r="17">
      <c r="A17" s="11" t="s">
        <v>32</v>
      </c>
      <c r="B17" s="39">
        <v>44990.802083333336</v>
      </c>
      <c r="C17" s="40">
        <v>45361.51084177083</v>
      </c>
      <c r="D17" s="27" t="s">
        <v>37</v>
      </c>
      <c r="E17" s="11" t="b">
        <v>0</v>
      </c>
      <c r="F17" s="11" t="s">
        <v>38</v>
      </c>
      <c r="G17" s="11" t="s">
        <v>44</v>
      </c>
      <c r="H17" s="11" t="s">
        <v>44</v>
      </c>
      <c r="I17" s="30">
        <v>5.0</v>
      </c>
      <c r="J17" s="31">
        <v>260.0</v>
      </c>
      <c r="K17" s="11">
        <v>1.0</v>
      </c>
      <c r="L17" s="32">
        <f t="shared" si="6"/>
        <v>0.07873015873</v>
      </c>
      <c r="M17" s="32">
        <f t="shared" si="7"/>
        <v>0.06349206349</v>
      </c>
      <c r="N17" s="32">
        <f>(3224 + 5000 + 1595)/P17</f>
        <v>0.6234285714</v>
      </c>
      <c r="O17" s="32">
        <v>0.0</v>
      </c>
      <c r="P17" s="33">
        <v>15750.0</v>
      </c>
      <c r="Q17" s="34">
        <v>260.0</v>
      </c>
      <c r="R17" s="42">
        <v>20.46984126984127</v>
      </c>
      <c r="S17" s="36">
        <v>0.06349206349206349</v>
      </c>
      <c r="T17" s="36">
        <v>0.6234285714285714</v>
      </c>
      <c r="U17" s="36"/>
      <c r="V17" s="36">
        <v>19.909904761904762</v>
      </c>
      <c r="W17" s="37">
        <v>0.07657655677655678</v>
      </c>
      <c r="X17" s="42">
        <v>322400.00000000006</v>
      </c>
      <c r="Y17" s="36">
        <v>1000.0</v>
      </c>
      <c r="Z17" s="36">
        <v>9819.0</v>
      </c>
      <c r="AA17" s="36"/>
      <c r="AB17" s="36">
        <v>313581.0</v>
      </c>
      <c r="AC17" s="37">
        <v>1206.0807692307692</v>
      </c>
      <c r="AD17" s="31"/>
      <c r="AE17" s="11"/>
      <c r="AF17" s="11"/>
    </row>
    <row r="18">
      <c r="A18" s="11" t="s">
        <v>32</v>
      </c>
      <c r="B18" s="39">
        <v>44839.0</v>
      </c>
      <c r="C18" s="40">
        <v>44889.0</v>
      </c>
      <c r="D18" s="27" t="s">
        <v>33</v>
      </c>
      <c r="E18" s="11" t="b">
        <v>1</v>
      </c>
      <c r="F18" s="29" t="s">
        <v>46</v>
      </c>
      <c r="G18" s="11" t="s">
        <v>46</v>
      </c>
      <c r="H18" s="11" t="s">
        <v>47</v>
      </c>
      <c r="I18" s="30">
        <v>5.0</v>
      </c>
      <c r="J18" s="31">
        <v>37.0</v>
      </c>
      <c r="K18" s="11">
        <v>150.0</v>
      </c>
      <c r="L18" s="32">
        <f>(1731600+6926400)/2/37/P18</f>
        <v>7.8</v>
      </c>
      <c r="M18" s="32">
        <f>1000/P18</f>
        <v>0.06666666667</v>
      </c>
      <c r="N18" s="32">
        <f>(51948+500000-112525-1000)/2/P18</f>
        <v>14.6141</v>
      </c>
      <c r="O18" s="32">
        <v>0.0</v>
      </c>
      <c r="P18" s="33">
        <v>15000.0</v>
      </c>
      <c r="Q18" s="34">
        <v>5550.0</v>
      </c>
      <c r="R18" s="42">
        <v>288.59999999999997</v>
      </c>
      <c r="S18" s="36">
        <v>0.06666666666666667</v>
      </c>
      <c r="T18" s="36">
        <v>14.6141</v>
      </c>
      <c r="U18" s="36"/>
      <c r="V18" s="36">
        <v>274.0525666666666</v>
      </c>
      <c r="W18" s="37">
        <v>0.049378840840840835</v>
      </c>
      <c r="X18" s="42">
        <v>4328999.999999999</v>
      </c>
      <c r="Y18" s="36">
        <v>1000.0</v>
      </c>
      <c r="Z18" s="36">
        <v>219211.5</v>
      </c>
      <c r="AA18" s="36"/>
      <c r="AB18" s="36">
        <v>4110788.4999999995</v>
      </c>
      <c r="AC18" s="37">
        <v>740.6826126126125</v>
      </c>
      <c r="AD18" s="31"/>
      <c r="AE18" s="11"/>
      <c r="AF18" s="11"/>
    </row>
    <row r="19">
      <c r="A19" s="11" t="s">
        <v>32</v>
      </c>
      <c r="B19" s="39">
        <v>44008.0</v>
      </c>
      <c r="C19" s="40">
        <v>44022.0</v>
      </c>
      <c r="D19" s="27" t="s">
        <v>48</v>
      </c>
      <c r="E19" s="11" t="b">
        <v>1</v>
      </c>
      <c r="F19" s="11" t="s">
        <v>49</v>
      </c>
      <c r="G19" s="45" t="s">
        <v>50</v>
      </c>
      <c r="H19" s="46" t="s">
        <v>51</v>
      </c>
      <c r="I19" s="33">
        <v>4.0</v>
      </c>
      <c r="J19" s="31">
        <v>20.0</v>
      </c>
      <c r="K19" s="11">
        <v>10.0</v>
      </c>
      <c r="L19" s="32">
        <f>13908/P19</f>
        <v>1.3908</v>
      </c>
      <c r="M19" s="32">
        <f t="shared" ref="M19:M21" si="8">12000/P19</f>
        <v>1.2</v>
      </c>
      <c r="N19" s="32"/>
      <c r="O19" s="32">
        <f>M19</f>
        <v>1.2</v>
      </c>
      <c r="P19" s="33">
        <v>10000.0</v>
      </c>
      <c r="Q19" s="34">
        <v>200.0</v>
      </c>
      <c r="R19" s="42">
        <v>27.816000000000003</v>
      </c>
      <c r="S19" s="36">
        <v>1.2</v>
      </c>
      <c r="T19" s="36"/>
      <c r="U19" s="36">
        <v>1.2</v>
      </c>
      <c r="V19" s="36">
        <v>27.816000000000003</v>
      </c>
      <c r="W19" s="37">
        <v>0.13908</v>
      </c>
      <c r="X19" s="42">
        <v>278160.0</v>
      </c>
      <c r="Y19" s="36">
        <v>12000.0</v>
      </c>
      <c r="Z19" s="36"/>
      <c r="AA19" s="36">
        <v>12000.0</v>
      </c>
      <c r="AB19" s="36">
        <v>278160.0</v>
      </c>
      <c r="AC19" s="37">
        <v>1390.8</v>
      </c>
      <c r="AD19" s="31"/>
      <c r="AE19" s="11"/>
      <c r="AF19" s="11"/>
    </row>
    <row r="20">
      <c r="A20" s="11" t="s">
        <v>32</v>
      </c>
      <c r="B20" s="39">
        <v>44008.0</v>
      </c>
      <c r="C20" s="40">
        <v>44020.0</v>
      </c>
      <c r="D20" s="27" t="s">
        <v>48</v>
      </c>
      <c r="E20" s="11" t="b">
        <v>1</v>
      </c>
      <c r="F20" s="11" t="s">
        <v>49</v>
      </c>
      <c r="G20" s="45" t="s">
        <v>52</v>
      </c>
      <c r="H20" s="46" t="s">
        <v>53</v>
      </c>
      <c r="I20" s="33">
        <v>5.0</v>
      </c>
      <c r="J20" s="31">
        <v>50.0</v>
      </c>
      <c r="K20" s="11">
        <v>10.0</v>
      </c>
      <c r="L20" s="32">
        <f>13997/P20</f>
        <v>1.3997</v>
      </c>
      <c r="M20" s="32">
        <f t="shared" si="8"/>
        <v>1.2</v>
      </c>
      <c r="N20" s="32"/>
      <c r="O20" s="32"/>
      <c r="P20" s="33">
        <v>10000.0</v>
      </c>
      <c r="Q20" s="34">
        <v>500.0</v>
      </c>
      <c r="R20" s="42">
        <v>69.985</v>
      </c>
      <c r="S20" s="36">
        <v>1.2</v>
      </c>
      <c r="T20" s="36"/>
      <c r="U20" s="36"/>
      <c r="V20" s="36">
        <v>71.185</v>
      </c>
      <c r="W20" s="37">
        <v>0.14237</v>
      </c>
      <c r="X20" s="42">
        <v>699850.0</v>
      </c>
      <c r="Y20" s="36">
        <v>12000.0</v>
      </c>
      <c r="Z20" s="36"/>
      <c r="AA20" s="36"/>
      <c r="AB20" s="36">
        <v>711850.0</v>
      </c>
      <c r="AC20" s="37">
        <v>1423.7</v>
      </c>
      <c r="AD20" s="31"/>
      <c r="AE20" s="11"/>
      <c r="AF20" s="11"/>
    </row>
    <row r="21">
      <c r="A21" s="11" t="s">
        <v>32</v>
      </c>
      <c r="B21" s="39">
        <v>43971.0</v>
      </c>
      <c r="C21" s="40">
        <v>43980.0</v>
      </c>
      <c r="D21" s="27" t="s">
        <v>48</v>
      </c>
      <c r="E21" s="11" t="b">
        <v>1</v>
      </c>
      <c r="F21" s="11" t="s">
        <v>49</v>
      </c>
      <c r="G21" s="45" t="s">
        <v>54</v>
      </c>
      <c r="H21" s="46" t="s">
        <v>55</v>
      </c>
      <c r="I21" s="30">
        <v>5.0</v>
      </c>
      <c r="J21" s="31">
        <v>50.0</v>
      </c>
      <c r="K21" s="11">
        <v>10.0</v>
      </c>
      <c r="L21" s="32">
        <f>13997/P21</f>
        <v>1.3997</v>
      </c>
      <c r="M21" s="32">
        <f t="shared" si="8"/>
        <v>1.2</v>
      </c>
      <c r="N21" s="32"/>
      <c r="O21" s="32"/>
      <c r="P21" s="33">
        <v>10000.0</v>
      </c>
      <c r="Q21" s="34">
        <v>500.0</v>
      </c>
      <c r="R21" s="42">
        <v>69.985</v>
      </c>
      <c r="S21" s="36">
        <v>1.2</v>
      </c>
      <c r="T21" s="36"/>
      <c r="U21" s="36"/>
      <c r="V21" s="36">
        <v>71.185</v>
      </c>
      <c r="W21" s="37">
        <v>0.14237</v>
      </c>
      <c r="X21" s="42">
        <v>699850.0</v>
      </c>
      <c r="Y21" s="36">
        <v>12000.0</v>
      </c>
      <c r="Z21" s="36"/>
      <c r="AA21" s="36"/>
      <c r="AB21" s="36">
        <v>711850.0</v>
      </c>
      <c r="AC21" s="37">
        <v>1423.7</v>
      </c>
      <c r="AD21" s="31"/>
      <c r="AE21" s="11"/>
      <c r="AF21" s="11"/>
    </row>
    <row r="22">
      <c r="A22" s="43" t="s">
        <v>32</v>
      </c>
      <c r="B22" s="39">
        <v>43887.0</v>
      </c>
      <c r="C22" s="40">
        <v>43987.0</v>
      </c>
      <c r="D22" s="47" t="s">
        <v>56</v>
      </c>
      <c r="E22" s="43" t="b">
        <v>1</v>
      </c>
      <c r="F22" s="43" t="s">
        <v>57</v>
      </c>
      <c r="G22" s="48" t="s">
        <v>58</v>
      </c>
      <c r="H22" s="43" t="s">
        <v>59</v>
      </c>
      <c r="I22" s="49"/>
      <c r="J22" s="50">
        <v>15.0</v>
      </c>
      <c r="K22" s="43">
        <v>50.0</v>
      </c>
      <c r="L22" s="51">
        <v>4.21</v>
      </c>
      <c r="M22" s="51"/>
      <c r="N22" s="51"/>
      <c r="O22" s="51"/>
      <c r="P22" s="52">
        <f>899572/(4.21*15)</f>
        <v>14245.00396</v>
      </c>
      <c r="Q22" s="53">
        <v>750.0</v>
      </c>
      <c r="R22" s="54">
        <v>63.15</v>
      </c>
      <c r="S22" s="55"/>
      <c r="T22" s="55"/>
      <c r="U22" s="55"/>
      <c r="V22" s="55">
        <v>63.15</v>
      </c>
      <c r="W22" s="56">
        <v>0.0842</v>
      </c>
      <c r="X22" s="54">
        <v>899572.0</v>
      </c>
      <c r="Y22" s="55"/>
      <c r="Z22" s="55"/>
      <c r="AA22" s="55"/>
      <c r="AB22" s="55">
        <v>899572.0</v>
      </c>
      <c r="AC22" s="56">
        <v>1199.4293333333333</v>
      </c>
      <c r="AD22" s="50"/>
      <c r="AE22" s="43"/>
      <c r="AF22" s="43"/>
    </row>
    <row r="23">
      <c r="A23" s="11" t="s">
        <v>32</v>
      </c>
      <c r="B23" s="39">
        <v>43798.0</v>
      </c>
      <c r="C23" s="40">
        <v>43829.0</v>
      </c>
      <c r="D23" s="27" t="s">
        <v>56</v>
      </c>
      <c r="E23" s="11" t="b">
        <v>1</v>
      </c>
      <c r="F23" s="11" t="s">
        <v>57</v>
      </c>
      <c r="G23" s="57" t="s">
        <v>60</v>
      </c>
      <c r="H23" s="46" t="s">
        <v>61</v>
      </c>
      <c r="I23" s="33"/>
      <c r="J23" s="31">
        <v>12.0</v>
      </c>
      <c r="K23" s="11">
        <v>50.0</v>
      </c>
      <c r="L23" s="32">
        <v>4.21</v>
      </c>
      <c r="M23" s="32"/>
      <c r="N23" s="32">
        <v>5.0</v>
      </c>
      <c r="O23" s="32"/>
      <c r="P23" s="33">
        <f>1309247/(91.04)</f>
        <v>14381.00835</v>
      </c>
      <c r="Q23" s="34">
        <v>600.0</v>
      </c>
      <c r="R23" s="42">
        <v>50.519999999999996</v>
      </c>
      <c r="S23" s="36"/>
      <c r="T23" s="36">
        <v>5.0</v>
      </c>
      <c r="U23" s="36"/>
      <c r="V23" s="36">
        <v>45.519999999999996</v>
      </c>
      <c r="W23" s="37">
        <v>0.07586666666666667</v>
      </c>
      <c r="X23" s="42">
        <v>726528.5417398944</v>
      </c>
      <c r="Y23" s="36"/>
      <c r="Z23" s="36">
        <v>71905.04173989454</v>
      </c>
      <c r="AA23" s="36"/>
      <c r="AB23" s="36">
        <v>654623.4999999999</v>
      </c>
      <c r="AC23" s="37">
        <v>1091.0391666666665</v>
      </c>
      <c r="AD23" s="31"/>
      <c r="AE23" s="11"/>
      <c r="AF23" s="11"/>
    </row>
    <row r="24">
      <c r="A24" s="11" t="s">
        <v>32</v>
      </c>
      <c r="B24" s="39">
        <v>43782.0</v>
      </c>
      <c r="C24" s="40">
        <v>43810.0</v>
      </c>
      <c r="D24" s="27" t="s">
        <v>56</v>
      </c>
      <c r="E24" s="11" t="b">
        <v>1</v>
      </c>
      <c r="F24" s="11" t="s">
        <v>57</v>
      </c>
      <c r="G24" s="57" t="s">
        <v>60</v>
      </c>
      <c r="H24" s="46" t="s">
        <v>62</v>
      </c>
      <c r="I24" s="33"/>
      <c r="J24" s="31">
        <v>10.0</v>
      </c>
      <c r="K24" s="11">
        <v>50.0</v>
      </c>
      <c r="L24" s="32">
        <v>4.16</v>
      </c>
      <c r="M24" s="32">
        <f>10000/P24</f>
        <v>0.6973499611</v>
      </c>
      <c r="N24" s="32">
        <v>1.0</v>
      </c>
      <c r="O24" s="32"/>
      <c r="P24" s="58">
        <f>(1014125+269592)/(12*4.16+10*4.16-2)</f>
        <v>14340.00223</v>
      </c>
      <c r="Q24" s="34">
        <v>500.0</v>
      </c>
      <c r="R24" s="42">
        <v>41.6</v>
      </c>
      <c r="S24" s="36">
        <v>0.6973499610895549</v>
      </c>
      <c r="T24" s="36">
        <v>1.0</v>
      </c>
      <c r="U24" s="36"/>
      <c r="V24" s="36">
        <v>41.29734996108956</v>
      </c>
      <c r="W24" s="37">
        <v>0.08259469992217912</v>
      </c>
      <c r="X24" s="42">
        <v>596544.092940125</v>
      </c>
      <c r="Y24" s="36">
        <v>10000.0</v>
      </c>
      <c r="Z24" s="36">
        <v>14340.00223413762</v>
      </c>
      <c r="AA24" s="36"/>
      <c r="AB24" s="36">
        <v>592204.0907059874</v>
      </c>
      <c r="AC24" s="37">
        <v>1184.4081814119747</v>
      </c>
      <c r="AD24" s="31"/>
      <c r="AE24" s="11"/>
      <c r="AF24" s="11"/>
    </row>
    <row r="25">
      <c r="A25" s="11" t="s">
        <v>32</v>
      </c>
      <c r="B25" s="39">
        <v>43719.0</v>
      </c>
      <c r="C25" s="40">
        <v>43749.79705271991</v>
      </c>
      <c r="D25" s="27" t="s">
        <v>56</v>
      </c>
      <c r="E25" s="11" t="b">
        <v>1</v>
      </c>
      <c r="F25" s="29" t="s">
        <v>57</v>
      </c>
      <c r="G25" s="45" t="str">
        <f>"https://www.aliexpress.com/item/20pcs-bag-Red-bright-LED-red-0-5-0-56-inches-a-common-cathode-shell-12/32262476520.html?spm=2114.search0104.3.136.695b58f9P8tLRf&amp;ws_ab_test=searchweb0_0,searchweb201602_5_10065_10068_5734615_319_317_10696_453_10084_10924_45"&amp;"4_10083_10618_10920_10921_10307_10922_537_536_10059_10884_10887_100031_321_322_10103_5734515,searchweb201603_1,ppcSwitch_0&amp;algo_expid=ec02fe65-0b12-4543-bfac-829a7f0163f6-20&amp;algo_pvid=ec02fe65-0b12-4543-bfac-829a7f0163f6"</f>
        <v>https://www.aliexpress.com/item/20pcs-bag-Red-bright-LED-red-0-5-0-56-inches-a-common-cathode-shell-12/32262476520.html?spm=2114.search0104.3.136.695b58f9P8tLRf&amp;ws_ab_test=searchweb0_0,searchweb201602_5_10065_10068_5734615_319_317_10696_453_10084_10924_454_10083_10618_10920_10921_10307_10922_537_536_10059_10884_10887_100031_321_322_10103_5734515,searchweb201603_1,ppcSwitch_0&amp;algo_expid=ec02fe65-0b12-4543-bfac-829a7f0163f6-20&amp;algo_pvid=ec02fe65-0b12-4543-bfac-829a7f0163f6</v>
      </c>
      <c r="H25" s="29" t="s">
        <v>63</v>
      </c>
      <c r="I25" s="33"/>
      <c r="J25" s="31">
        <v>12.0</v>
      </c>
      <c r="K25" s="11">
        <v>50.0</v>
      </c>
      <c r="L25" s="32">
        <v>4.35</v>
      </c>
      <c r="M25" s="32">
        <f>(20000/P25)/2+10000/P25</f>
        <v>1.394310838</v>
      </c>
      <c r="N25" s="32"/>
      <c r="O25" s="32"/>
      <c r="P25" s="33">
        <f>748757/(4.35*12)</f>
        <v>14344.00383</v>
      </c>
      <c r="Q25" s="34">
        <v>600.0</v>
      </c>
      <c r="R25" s="42">
        <v>52.199999999999996</v>
      </c>
      <c r="S25" s="36">
        <v>1.3943108378285611</v>
      </c>
      <c r="T25" s="36"/>
      <c r="U25" s="36"/>
      <c r="V25" s="36">
        <v>53.59431083782856</v>
      </c>
      <c r="W25" s="37">
        <v>0.08932385139638094</v>
      </c>
      <c r="X25" s="42">
        <v>748757.0</v>
      </c>
      <c r="Y25" s="36">
        <v>20000.0</v>
      </c>
      <c r="Z25" s="36"/>
      <c r="AA25" s="36"/>
      <c r="AB25" s="36">
        <v>768757.0</v>
      </c>
      <c r="AC25" s="37">
        <v>1281.2616666666668</v>
      </c>
      <c r="AD25" s="31"/>
      <c r="AE25" s="11">
        <v>1500.0</v>
      </c>
      <c r="AF25" s="11"/>
    </row>
    <row r="26">
      <c r="A26" s="11" t="s">
        <v>32</v>
      </c>
      <c r="B26" s="39">
        <v>43617.96635548611</v>
      </c>
      <c r="C26" s="40">
        <v>43639.94891</v>
      </c>
      <c r="D26" s="27" t="s">
        <v>56</v>
      </c>
      <c r="E26" s="11" t="b">
        <v>1</v>
      </c>
      <c r="F26" s="29" t="s">
        <v>57</v>
      </c>
      <c r="G26" s="57" t="s">
        <v>64</v>
      </c>
      <c r="H26" s="29" t="s">
        <v>65</v>
      </c>
      <c r="I26" s="33"/>
      <c r="J26" s="31">
        <v>12.0</v>
      </c>
      <c r="K26" s="11">
        <v>50.0</v>
      </c>
      <c r="L26" s="32">
        <v>4.12</v>
      </c>
      <c r="M26" s="32"/>
      <c r="N26" s="32"/>
      <c r="O26" s="32"/>
      <c r="P26" s="33">
        <f>732477/49.92</f>
        <v>14673.01683</v>
      </c>
      <c r="Q26" s="34">
        <v>600.0</v>
      </c>
      <c r="R26" s="42">
        <v>49.44</v>
      </c>
      <c r="S26" s="36"/>
      <c r="T26" s="36"/>
      <c r="U26" s="36"/>
      <c r="V26" s="36">
        <v>49.44</v>
      </c>
      <c r="W26" s="37">
        <v>0.0824</v>
      </c>
      <c r="X26" s="42">
        <v>725433.9519230769</v>
      </c>
      <c r="Y26" s="36"/>
      <c r="Z26" s="36"/>
      <c r="AA26" s="36"/>
      <c r="AB26" s="36">
        <v>725433.9519230769</v>
      </c>
      <c r="AC26" s="37">
        <v>1209.0565865384615</v>
      </c>
      <c r="AD26" s="31">
        <v>1500.0</v>
      </c>
      <c r="AE26" s="11">
        <v>1500.0</v>
      </c>
      <c r="AF26" s="11"/>
    </row>
    <row r="27">
      <c r="A27" s="11" t="s">
        <v>32</v>
      </c>
      <c r="B27" s="39">
        <v>43581.0</v>
      </c>
      <c r="C27" s="40">
        <f>B27</f>
        <v>43581</v>
      </c>
      <c r="D27" s="27" t="s">
        <v>66</v>
      </c>
      <c r="E27" s="11" t="b">
        <v>0</v>
      </c>
      <c r="F27" s="29" t="s">
        <v>67</v>
      </c>
      <c r="G27" s="29" t="s">
        <v>67</v>
      </c>
      <c r="H27" s="29" t="s">
        <v>67</v>
      </c>
      <c r="I27" s="33"/>
      <c r="J27" s="31">
        <v>100.0</v>
      </c>
      <c r="K27" s="11">
        <v>1.0</v>
      </c>
      <c r="L27" s="32">
        <f>1300/P27</f>
        <v>0.13</v>
      </c>
      <c r="M27" s="32"/>
      <c r="N27" s="32"/>
      <c r="O27" s="32"/>
      <c r="P27" s="33">
        <v>10000.0</v>
      </c>
      <c r="Q27" s="34">
        <v>100.0</v>
      </c>
      <c r="R27" s="42">
        <v>13.0</v>
      </c>
      <c r="S27" s="36"/>
      <c r="T27" s="36"/>
      <c r="U27" s="36"/>
      <c r="V27" s="36">
        <v>13.0</v>
      </c>
      <c r="W27" s="37">
        <v>0.13</v>
      </c>
      <c r="X27" s="42">
        <v>130000.0</v>
      </c>
      <c r="Y27" s="36"/>
      <c r="Z27" s="36"/>
      <c r="AA27" s="36"/>
      <c r="AB27" s="36">
        <v>130000.0</v>
      </c>
      <c r="AC27" s="37">
        <v>1300.0</v>
      </c>
      <c r="AD27" s="31"/>
      <c r="AE27" s="11">
        <v>1500.0</v>
      </c>
      <c r="AF27" s="11"/>
    </row>
    <row r="28">
      <c r="A28" s="11" t="s">
        <v>32</v>
      </c>
      <c r="B28" s="39">
        <v>43572.0</v>
      </c>
      <c r="C28" s="40">
        <v>43596.0</v>
      </c>
      <c r="D28" s="27" t="s">
        <v>68</v>
      </c>
      <c r="E28" s="11" t="b">
        <v>1</v>
      </c>
      <c r="F28" s="11" t="s">
        <v>57</v>
      </c>
      <c r="G28" s="59" t="str">
        <f>"https://www.aliexpress.com/item/20pcs-bag-Red-bright-LED-red-0-5-0-56-inches-a-common-cathode-shell-12/32262476520.html?spm=a2g0s.12269583.0.0.109b57f2T8L4qD"</f>
        <v>https://www.aliexpress.com/item/20pcs-bag-Red-bright-LED-red-0-5-0-56-inches-a-common-cathode-shell-12/32262476520.html?spm=a2g0s.12269583.0.0.109b57f2T8L4qD</v>
      </c>
      <c r="H28" s="46" t="s">
        <v>69</v>
      </c>
      <c r="I28" s="33"/>
      <c r="J28" s="31">
        <v>10.0</v>
      </c>
      <c r="K28" s="11">
        <v>50.0</v>
      </c>
      <c r="L28" s="32">
        <v>4.3</v>
      </c>
      <c r="M28" s="32">
        <v>0.0</v>
      </c>
      <c r="N28" s="32">
        <v>0.0</v>
      </c>
      <c r="O28" s="32">
        <v>0.0</v>
      </c>
      <c r="P28" s="58">
        <f>616921/(4.3*10)</f>
        <v>14347</v>
      </c>
      <c r="Q28" s="34">
        <v>500.0</v>
      </c>
      <c r="R28" s="42">
        <v>43.0</v>
      </c>
      <c r="S28" s="36"/>
      <c r="T28" s="36"/>
      <c r="U28" s="36"/>
      <c r="V28" s="36">
        <v>43.0</v>
      </c>
      <c r="W28" s="37">
        <v>0.086</v>
      </c>
      <c r="X28" s="42">
        <v>616921.0</v>
      </c>
      <c r="Y28" s="36"/>
      <c r="Z28" s="36"/>
      <c r="AA28" s="36"/>
      <c r="AB28" s="36">
        <v>616921.0</v>
      </c>
      <c r="AC28" s="37">
        <v>1233.842</v>
      </c>
      <c r="AD28" s="31">
        <v>1400.0</v>
      </c>
      <c r="AE28" s="11">
        <v>1500.0</v>
      </c>
      <c r="AF28" s="11"/>
    </row>
    <row r="29">
      <c r="A29" s="11" t="s">
        <v>32</v>
      </c>
      <c r="B29" s="39">
        <v>43570.433668784724</v>
      </c>
      <c r="C29" s="40">
        <f t="shared" ref="C29:C31" si="9">B29</f>
        <v>43570.43367</v>
      </c>
      <c r="D29" s="27" t="s">
        <v>66</v>
      </c>
      <c r="E29" s="11" t="b">
        <v>0</v>
      </c>
      <c r="F29" s="29" t="s">
        <v>67</v>
      </c>
      <c r="G29" s="29" t="s">
        <v>67</v>
      </c>
      <c r="H29" s="29" t="s">
        <v>67</v>
      </c>
      <c r="I29" s="33"/>
      <c r="J29" s="31">
        <v>160.0</v>
      </c>
      <c r="K29" s="11">
        <v>1.0</v>
      </c>
      <c r="L29" s="32">
        <f t="shared" ref="L29:L31" si="10">1300/P29</f>
        <v>0.13</v>
      </c>
      <c r="M29" s="32">
        <v>0.0</v>
      </c>
      <c r="N29" s="32">
        <v>0.0</v>
      </c>
      <c r="O29" s="32">
        <v>0.0</v>
      </c>
      <c r="P29" s="33">
        <v>10000.0</v>
      </c>
      <c r="Q29" s="34">
        <v>160.0</v>
      </c>
      <c r="R29" s="42">
        <v>20.8</v>
      </c>
      <c r="S29" s="36"/>
      <c r="T29" s="36"/>
      <c r="U29" s="36"/>
      <c r="V29" s="36">
        <v>20.8</v>
      </c>
      <c r="W29" s="37">
        <v>0.13</v>
      </c>
      <c r="X29" s="42">
        <v>208000.0</v>
      </c>
      <c r="Y29" s="36"/>
      <c r="Z29" s="36"/>
      <c r="AA29" s="36"/>
      <c r="AB29" s="36">
        <v>208000.0</v>
      </c>
      <c r="AC29" s="37">
        <v>1300.0</v>
      </c>
      <c r="AD29" s="31">
        <v>1400.0</v>
      </c>
      <c r="AE29" s="11">
        <v>1500.0</v>
      </c>
      <c r="AF29" s="11"/>
    </row>
    <row r="30">
      <c r="A30" s="11" t="s">
        <v>32</v>
      </c>
      <c r="B30" s="39">
        <v>43536.48418277778</v>
      </c>
      <c r="C30" s="40">
        <f t="shared" si="9"/>
        <v>43536.48418</v>
      </c>
      <c r="D30" s="27" t="s">
        <v>66</v>
      </c>
      <c r="E30" s="11" t="b">
        <v>0</v>
      </c>
      <c r="F30" s="29" t="s">
        <v>67</v>
      </c>
      <c r="G30" s="29" t="s">
        <v>67</v>
      </c>
      <c r="H30" s="29" t="s">
        <v>67</v>
      </c>
      <c r="I30" s="33"/>
      <c r="J30" s="31">
        <v>90.0</v>
      </c>
      <c r="K30" s="11">
        <v>1.0</v>
      </c>
      <c r="L30" s="36">
        <f t="shared" si="10"/>
        <v>0.13</v>
      </c>
      <c r="M30" s="32">
        <v>0.0</v>
      </c>
      <c r="N30" s="32"/>
      <c r="O30" s="32"/>
      <c r="P30" s="33">
        <v>10000.0</v>
      </c>
      <c r="Q30" s="34">
        <v>90.0</v>
      </c>
      <c r="R30" s="42">
        <v>11.700000000000001</v>
      </c>
      <c r="S30" s="36"/>
      <c r="T30" s="36"/>
      <c r="U30" s="36"/>
      <c r="V30" s="36">
        <v>11.700000000000001</v>
      </c>
      <c r="W30" s="37">
        <v>0.13</v>
      </c>
      <c r="X30" s="42">
        <v>117000.00000000001</v>
      </c>
      <c r="Y30" s="36"/>
      <c r="Z30" s="36"/>
      <c r="AA30" s="36"/>
      <c r="AB30" s="36">
        <v>117000.00000000001</v>
      </c>
      <c r="AC30" s="37">
        <v>1300.0000000000002</v>
      </c>
      <c r="AD30" s="31">
        <v>1400.0</v>
      </c>
      <c r="AE30" s="11">
        <v>1500.0</v>
      </c>
      <c r="AF30" s="11"/>
    </row>
    <row r="31">
      <c r="A31" s="11" t="s">
        <v>32</v>
      </c>
      <c r="B31" s="39">
        <v>43535.646029606476</v>
      </c>
      <c r="C31" s="40">
        <f t="shared" si="9"/>
        <v>43535.64603</v>
      </c>
      <c r="D31" s="27" t="s">
        <v>66</v>
      </c>
      <c r="E31" s="11" t="b">
        <v>0</v>
      </c>
      <c r="F31" s="29" t="s">
        <v>67</v>
      </c>
      <c r="G31" s="29" t="s">
        <v>67</v>
      </c>
      <c r="H31" s="29" t="s">
        <v>67</v>
      </c>
      <c r="I31" s="33"/>
      <c r="J31" s="31">
        <v>25.0</v>
      </c>
      <c r="K31" s="11">
        <v>1.0</v>
      </c>
      <c r="L31" s="36">
        <f t="shared" si="10"/>
        <v>0.13</v>
      </c>
      <c r="M31" s="32">
        <v>0.0</v>
      </c>
      <c r="N31" s="32"/>
      <c r="O31" s="32"/>
      <c r="P31" s="33">
        <v>10000.0</v>
      </c>
      <c r="Q31" s="34">
        <v>25.0</v>
      </c>
      <c r="R31" s="42">
        <v>3.25</v>
      </c>
      <c r="S31" s="36"/>
      <c r="T31" s="36"/>
      <c r="U31" s="36"/>
      <c r="V31" s="36">
        <v>3.25</v>
      </c>
      <c r="W31" s="37">
        <v>0.13</v>
      </c>
      <c r="X31" s="42">
        <v>32500.0</v>
      </c>
      <c r="Y31" s="36"/>
      <c r="Z31" s="36"/>
      <c r="AA31" s="36"/>
      <c r="AB31" s="36">
        <v>32500.0</v>
      </c>
      <c r="AC31" s="37">
        <v>1300.0</v>
      </c>
      <c r="AD31" s="31">
        <v>1400.0</v>
      </c>
      <c r="AE31" s="11">
        <v>1500.0</v>
      </c>
      <c r="AF31" s="11"/>
    </row>
    <row r="32">
      <c r="A32" s="11" t="s">
        <v>32</v>
      </c>
      <c r="B32" s="39">
        <v>43530.663348263886</v>
      </c>
      <c r="C32" s="40">
        <v>43550.0</v>
      </c>
      <c r="D32" s="27" t="s">
        <v>68</v>
      </c>
      <c r="E32" s="28" t="b">
        <v>1</v>
      </c>
      <c r="F32" s="11" t="s">
        <v>57</v>
      </c>
      <c r="G32" s="59" t="str">
        <f t="shared" ref="G32:G34" si="11">"https://www.aliexpress.com/item/20pcs-bag-Red-bright-LED-red-0-5-0-56-inches-a-common-cathode-shell-12/32262476520.html?spm=2114.search0104.3.136.695b58f9P8tLRf&amp;ws_ab_test=searchweb0_0,searchweb201602_5_10065_10068_5734615_319_317_10696_453_10084_10924_45"&amp;"4_10083_10618_10920_10921_10307_10922_537_536_10059_10884_10887_100031_321_322_10103_5734515,searchweb201603_1,ppcSwitch_0&amp;algo_expid=ec02fe65-0b12-4543-bfac-829a7f0163f6-20&amp;algo_pvid=ec02fe65-0b12-4543-bfac-829a7f0163f6"</f>
        <v>https://www.aliexpress.com/item/20pcs-bag-Red-bright-LED-red-0-5-0-56-inches-a-common-cathode-shell-12/32262476520.html?spm=2114.search0104.3.136.695b58f9P8tLRf&amp;ws_ab_test=searchweb0_0,searchweb201602_5_10065_10068_5734615_319_317_10696_453_10084_10924_454_10083_10618_10920_10921_10307_10922_537_536_10059_10884_10887_100031_321_322_10103_5734515,searchweb201603_1,ppcSwitch_0&amp;algo_expid=ec02fe65-0b12-4543-bfac-829a7f0163f6-20&amp;algo_pvid=ec02fe65-0b12-4543-bfac-829a7f0163f6</v>
      </c>
      <c r="H32" s="11" t="s">
        <v>70</v>
      </c>
      <c r="I32" s="33"/>
      <c r="J32" s="31">
        <v>8.0</v>
      </c>
      <c r="K32" s="11">
        <v>50.0</v>
      </c>
      <c r="L32" s="32">
        <v>4.3</v>
      </c>
      <c r="M32" s="32">
        <v>0.0</v>
      </c>
      <c r="N32" s="60">
        <v>0.0</v>
      </c>
      <c r="O32" s="60">
        <v>0.0</v>
      </c>
      <c r="P32" s="58">
        <f>991477/(8*4.3 + 8*4.3)</f>
        <v>14411.00291</v>
      </c>
      <c r="Q32" s="34">
        <v>400.0</v>
      </c>
      <c r="R32" s="42">
        <v>34.4</v>
      </c>
      <c r="S32" s="36"/>
      <c r="T32" s="36"/>
      <c r="U32" s="36"/>
      <c r="V32" s="36">
        <v>34.4</v>
      </c>
      <c r="W32" s="37">
        <v>0.086</v>
      </c>
      <c r="X32" s="42">
        <v>495738.5</v>
      </c>
      <c r="Y32" s="36"/>
      <c r="Z32" s="36"/>
      <c r="AA32" s="36"/>
      <c r="AB32" s="36">
        <v>495738.5</v>
      </c>
      <c r="AC32" s="37">
        <v>1239.34625</v>
      </c>
      <c r="AD32" s="31">
        <v>1400.0</v>
      </c>
      <c r="AE32" s="11">
        <v>1500.0</v>
      </c>
      <c r="AF32" s="11"/>
    </row>
    <row r="33">
      <c r="A33" s="11" t="s">
        <v>32</v>
      </c>
      <c r="B33" s="39">
        <v>43428.0</v>
      </c>
      <c r="C33" s="40">
        <v>43432.0</v>
      </c>
      <c r="D33" s="27" t="s">
        <v>68</v>
      </c>
      <c r="E33" s="11" t="b">
        <v>1</v>
      </c>
      <c r="F33" s="11" t="s">
        <v>57</v>
      </c>
      <c r="G33" s="59" t="str">
        <f t="shared" si="11"/>
        <v>https://www.aliexpress.com/item/20pcs-bag-Red-bright-LED-red-0-5-0-56-inches-a-common-cathode-shell-12/32262476520.html?spm=2114.search0104.3.136.695b58f9P8tLRf&amp;ws_ab_test=searchweb0_0,searchweb201602_5_10065_10068_5734615_319_317_10696_453_10084_10924_454_10083_10618_10920_10921_10307_10922_537_536_10059_10884_10887_100031_321_322_10103_5734515,searchweb201603_1,ppcSwitch_0&amp;algo_expid=ec02fe65-0b12-4543-bfac-829a7f0163f6-20&amp;algo_pvid=ec02fe65-0b12-4543-bfac-829a7f0163f6</v>
      </c>
      <c r="H33" s="11" t="s">
        <v>71</v>
      </c>
      <c r="I33" s="33"/>
      <c r="J33" s="31">
        <v>2.0</v>
      </c>
      <c r="K33" s="11">
        <v>50.0</v>
      </c>
      <c r="L33" s="32">
        <v>4.25</v>
      </c>
      <c r="M33" s="36"/>
      <c r="N33" s="60">
        <v>4.0</v>
      </c>
      <c r="O33" s="60">
        <v>0.0</v>
      </c>
      <c r="P33" s="58">
        <f>66794/(4.25*2 - 4)</f>
        <v>14843.11111</v>
      </c>
      <c r="Q33" s="34">
        <v>100.0</v>
      </c>
      <c r="R33" s="42">
        <v>8.5</v>
      </c>
      <c r="S33" s="36"/>
      <c r="T33" s="36">
        <v>4.0</v>
      </c>
      <c r="U33" s="36"/>
      <c r="V33" s="36">
        <v>4.5</v>
      </c>
      <c r="W33" s="37">
        <v>0.045</v>
      </c>
      <c r="X33" s="42">
        <v>126166.44444444445</v>
      </c>
      <c r="Y33" s="36"/>
      <c r="Z33" s="36">
        <v>59372.444444444445</v>
      </c>
      <c r="AA33" s="36"/>
      <c r="AB33" s="36">
        <v>66794.0</v>
      </c>
      <c r="AC33" s="37">
        <v>667.94</v>
      </c>
      <c r="AD33" s="31">
        <v>1300.0</v>
      </c>
      <c r="AE33" s="11">
        <v>1500.0</v>
      </c>
      <c r="AF33" s="11"/>
    </row>
    <row r="34">
      <c r="A34" s="11" t="s">
        <v>32</v>
      </c>
      <c r="B34" s="39">
        <v>43428.0</v>
      </c>
      <c r="C34" s="40">
        <v>43446.0</v>
      </c>
      <c r="D34" s="27" t="s">
        <v>68</v>
      </c>
      <c r="E34" s="11" t="b">
        <v>1</v>
      </c>
      <c r="F34" s="11" t="s">
        <v>57</v>
      </c>
      <c r="G34" s="59" t="str">
        <f t="shared" si="11"/>
        <v>https://www.aliexpress.com/item/20pcs-bag-Red-bright-LED-red-0-5-0-56-inches-a-common-cathode-shell-12/32262476520.html?spm=2114.search0104.3.136.695b58f9P8tLRf&amp;ws_ab_test=searchweb0_0,searchweb201602_5_10065_10068_5734615_319_317_10696_453_10084_10924_454_10083_10618_10920_10921_10307_10922_537_536_10059_10884_10887_100031_321_322_10103_5734515,searchweb201603_1,ppcSwitch_0&amp;algo_expid=ec02fe65-0b12-4543-bfac-829a7f0163f6-20&amp;algo_pvid=ec02fe65-0b12-4543-bfac-829a7f0163f6</v>
      </c>
      <c r="H34" s="11" t="s">
        <v>72</v>
      </c>
      <c r="I34" s="33"/>
      <c r="J34" s="31">
        <v>2.0</v>
      </c>
      <c r="K34" s="11">
        <v>50.0</v>
      </c>
      <c r="L34" s="32">
        <v>4.25</v>
      </c>
      <c r="M34" s="36"/>
      <c r="N34" s="60">
        <f>2.05/2</f>
        <v>1.025</v>
      </c>
      <c r="O34" s="60">
        <v>0.0</v>
      </c>
      <c r="P34" s="58">
        <f>693911/(30.5*1 + (4.25*3 + 4.25*2) - 5)</f>
        <v>14843.01604</v>
      </c>
      <c r="Q34" s="34">
        <v>100.0</v>
      </c>
      <c r="R34" s="42">
        <v>8.5</v>
      </c>
      <c r="S34" s="36"/>
      <c r="T34" s="36">
        <v>1.025</v>
      </c>
      <c r="U34" s="36"/>
      <c r="V34" s="36">
        <v>7.475</v>
      </c>
      <c r="W34" s="37">
        <v>0.07475</v>
      </c>
      <c r="X34" s="42">
        <v>126165.63636363637</v>
      </c>
      <c r="Y34" s="36"/>
      <c r="Z34" s="36">
        <v>15214.091443850268</v>
      </c>
      <c r="AA34" s="36"/>
      <c r="AB34" s="36">
        <v>110951.5449197861</v>
      </c>
      <c r="AC34" s="37">
        <v>1109.515449197861</v>
      </c>
      <c r="AD34" s="31">
        <v>1300.0</v>
      </c>
      <c r="AE34" s="11">
        <v>1500.0</v>
      </c>
      <c r="AF34" s="11"/>
    </row>
    <row r="35">
      <c r="A35" s="43" t="s">
        <v>73</v>
      </c>
      <c r="B35" s="39">
        <v>45374.678941122686</v>
      </c>
      <c r="C35" s="40">
        <v>45477.916666666664</v>
      </c>
      <c r="D35" s="27" t="s">
        <v>33</v>
      </c>
      <c r="E35" s="11" t="b">
        <v>1</v>
      </c>
      <c r="F35" s="11" t="s">
        <v>34</v>
      </c>
      <c r="G35" s="44" t="s">
        <v>74</v>
      </c>
      <c r="H35" s="11" t="s">
        <v>75</v>
      </c>
      <c r="I35" s="30">
        <v>5.0</v>
      </c>
      <c r="J35" s="31">
        <v>3000.0</v>
      </c>
      <c r="K35" s="11">
        <v>1.0</v>
      </c>
      <c r="L35" s="32">
        <f>(2000)/P35</f>
        <v>0.128</v>
      </c>
      <c r="M35" s="32">
        <v>0.0</v>
      </c>
      <c r="N35" s="32">
        <v>0.0</v>
      </c>
      <c r="O35" s="32">
        <v>0.0</v>
      </c>
      <c r="P35" s="33">
        <v>15625.0</v>
      </c>
      <c r="Q35" s="34">
        <v>3000.0</v>
      </c>
      <c r="R35" s="42">
        <v>384.0</v>
      </c>
      <c r="S35" s="36"/>
      <c r="T35" s="36"/>
      <c r="U35" s="36"/>
      <c r="V35" s="36">
        <v>384.0</v>
      </c>
      <c r="W35" s="37">
        <v>0.128</v>
      </c>
      <c r="X35" s="42">
        <v>6000000.0</v>
      </c>
      <c r="Y35" s="36"/>
      <c r="Z35" s="36"/>
      <c r="AA35" s="36"/>
      <c r="AB35" s="36">
        <v>6000000.0</v>
      </c>
      <c r="AC35" s="37">
        <v>2000.0</v>
      </c>
      <c r="AD35" s="31"/>
      <c r="AE35" s="11"/>
      <c r="AF35" s="11"/>
    </row>
    <row r="36">
      <c r="A36" s="11" t="s">
        <v>73</v>
      </c>
      <c r="B36" s="39">
        <v>45202.3540625</v>
      </c>
      <c r="C36" s="40">
        <v>45232.63928240741</v>
      </c>
      <c r="D36" s="27" t="s">
        <v>33</v>
      </c>
      <c r="E36" s="11" t="b">
        <v>1</v>
      </c>
      <c r="F36" s="11" t="s">
        <v>46</v>
      </c>
      <c r="G36" s="61"/>
      <c r="H36" s="46" t="s">
        <v>46</v>
      </c>
      <c r="I36" s="30">
        <v>5.0</v>
      </c>
      <c r="J36" s="31">
        <v>1000.0</v>
      </c>
      <c r="K36" s="11">
        <v>1.0</v>
      </c>
      <c r="L36" s="32">
        <f>2049/P36</f>
        <v>0.1312283848</v>
      </c>
      <c r="M36" s="32">
        <v>0.0</v>
      </c>
      <c r="N36" s="32">
        <v>0.0</v>
      </c>
      <c r="O36" s="32">
        <v>0.0</v>
      </c>
      <c r="P36" s="33">
        <v>15614.0</v>
      </c>
      <c r="Q36" s="34">
        <v>1000.0</v>
      </c>
      <c r="R36" s="42">
        <v>131.22838478288716</v>
      </c>
      <c r="S36" s="36"/>
      <c r="T36" s="36"/>
      <c r="U36" s="36"/>
      <c r="V36" s="36">
        <v>131.22838478288716</v>
      </c>
      <c r="W36" s="37">
        <v>0.13122838478288718</v>
      </c>
      <c r="X36" s="42">
        <v>2049000.0000000002</v>
      </c>
      <c r="Y36" s="36"/>
      <c r="Z36" s="36"/>
      <c r="AA36" s="36"/>
      <c r="AB36" s="36">
        <v>2049000.0000000002</v>
      </c>
      <c r="AC36" s="37">
        <v>2049.0000000000005</v>
      </c>
      <c r="AD36" s="31"/>
      <c r="AE36" s="11"/>
      <c r="AF36" s="11"/>
    </row>
    <row r="37">
      <c r="A37" s="11" t="s">
        <v>76</v>
      </c>
      <c r="B37" s="39">
        <v>45863.006944444445</v>
      </c>
      <c r="C37" s="40">
        <v>45865.73263888889</v>
      </c>
      <c r="D37" s="27" t="s">
        <v>37</v>
      </c>
      <c r="E37" s="11" t="b">
        <v>0</v>
      </c>
      <c r="F37" s="11" t="s">
        <v>49</v>
      </c>
      <c r="G37" s="11" t="s">
        <v>77</v>
      </c>
      <c r="H37" s="11" t="s">
        <v>78</v>
      </c>
      <c r="I37" s="30">
        <v>5.0</v>
      </c>
      <c r="J37" s="31">
        <v>1.0</v>
      </c>
      <c r="K37" s="11">
        <v>750.0</v>
      </c>
      <c r="L37" s="32">
        <f t="shared" ref="L37:L39" si="12">(3060000)/P37</f>
        <v>187.7300613</v>
      </c>
      <c r="M37" s="32">
        <f>(25000 + 1000)/P37</f>
        <v>1.595092025</v>
      </c>
      <c r="N37" s="32">
        <f t="shared" ref="N37:N39" si="13">(X37*12%)/P37</f>
        <v>22.52760736</v>
      </c>
      <c r="O37" s="32">
        <f>(10000)/P37</f>
        <v>0.6134969325</v>
      </c>
      <c r="P37" s="33">
        <v>16300.0</v>
      </c>
      <c r="Q37" s="34">
        <v>750.0</v>
      </c>
      <c r="R37" s="42">
        <v>187.73006134969324</v>
      </c>
      <c r="S37" s="36">
        <v>1.5950920245398772</v>
      </c>
      <c r="T37" s="36">
        <v>22.52760736196319</v>
      </c>
      <c r="U37" s="36">
        <v>0.6134969325153374</v>
      </c>
      <c r="V37" s="36">
        <v>166.18404907975457</v>
      </c>
      <c r="W37" s="37">
        <v>0.22157873210633944</v>
      </c>
      <c r="X37" s="42">
        <v>3060000.0</v>
      </c>
      <c r="Y37" s="36">
        <v>26000.0</v>
      </c>
      <c r="Z37" s="36">
        <v>367200.0</v>
      </c>
      <c r="AA37" s="36">
        <v>10000.0</v>
      </c>
      <c r="AB37" s="36">
        <v>2708799.9999999995</v>
      </c>
      <c r="AC37" s="37">
        <v>3611.7333333333327</v>
      </c>
      <c r="AD37" s="31"/>
      <c r="AE37" s="11"/>
      <c r="AF37" s="11"/>
    </row>
    <row r="38">
      <c r="A38" s="11" t="s">
        <v>76</v>
      </c>
      <c r="B38" s="39">
        <v>45772.02013888889</v>
      </c>
      <c r="C38" s="40">
        <v>45775.46805555555</v>
      </c>
      <c r="D38" s="27" t="s">
        <v>37</v>
      </c>
      <c r="E38" s="11" t="b">
        <v>0</v>
      </c>
      <c r="F38" s="11" t="s">
        <v>49</v>
      </c>
      <c r="G38" s="11" t="s">
        <v>77</v>
      </c>
      <c r="H38" s="11" t="s">
        <v>79</v>
      </c>
      <c r="I38" s="30">
        <v>5.0</v>
      </c>
      <c r="J38" s="31">
        <v>1.0</v>
      </c>
      <c r="K38" s="11">
        <v>750.0</v>
      </c>
      <c r="L38" s="32">
        <f t="shared" si="12"/>
        <v>182.2621955</v>
      </c>
      <c r="M38" s="32">
        <f>(27904 + 736)/P38</f>
        <v>1.705878849</v>
      </c>
      <c r="N38" s="32">
        <f t="shared" si="13"/>
        <v>21.87146346</v>
      </c>
      <c r="O38" s="32">
        <f>(20000)/P38</f>
        <v>1.19125618</v>
      </c>
      <c r="P38" s="33">
        <v>16789.0</v>
      </c>
      <c r="Q38" s="34">
        <v>750.0</v>
      </c>
      <c r="R38" s="42">
        <v>182.26219548513907</v>
      </c>
      <c r="S38" s="36">
        <v>1.7058788492465304</v>
      </c>
      <c r="T38" s="36">
        <v>21.871463458216688</v>
      </c>
      <c r="U38" s="36">
        <v>1.1912561796414318</v>
      </c>
      <c r="V38" s="36">
        <v>160.90535469652747</v>
      </c>
      <c r="W38" s="37">
        <v>0.2145404729287033</v>
      </c>
      <c r="X38" s="42">
        <v>3060000.0</v>
      </c>
      <c r="Y38" s="36">
        <v>28640.0</v>
      </c>
      <c r="Z38" s="36">
        <v>367200.0</v>
      </c>
      <c r="AA38" s="36">
        <v>20000.0</v>
      </c>
      <c r="AB38" s="36">
        <v>2701439.9999999995</v>
      </c>
      <c r="AC38" s="37">
        <v>3601.919999999999</v>
      </c>
      <c r="AD38" s="31"/>
      <c r="AE38" s="11"/>
      <c r="AF38" s="11"/>
    </row>
    <row r="39">
      <c r="A39" s="11" t="s">
        <v>76</v>
      </c>
      <c r="B39" s="39">
        <v>45690.17569444444</v>
      </c>
      <c r="C39" s="40">
        <v>45694.254166666666</v>
      </c>
      <c r="D39" s="27" t="s">
        <v>37</v>
      </c>
      <c r="E39" s="11" t="b">
        <v>0</v>
      </c>
      <c r="F39" s="11" t="s">
        <v>49</v>
      </c>
      <c r="G39" s="11" t="s">
        <v>77</v>
      </c>
      <c r="H39" s="11" t="s">
        <v>80</v>
      </c>
      <c r="I39" s="30">
        <v>5.0</v>
      </c>
      <c r="J39" s="31">
        <v>1.0</v>
      </c>
      <c r="K39" s="11">
        <v>750.0</v>
      </c>
      <c r="L39" s="32">
        <f t="shared" si="12"/>
        <v>187.7300613</v>
      </c>
      <c r="M39" s="32">
        <f>(736)/P39</f>
        <v>0.04515337423</v>
      </c>
      <c r="N39" s="32">
        <f t="shared" si="13"/>
        <v>22.52760736</v>
      </c>
      <c r="O39" s="32">
        <v>0.0</v>
      </c>
      <c r="P39" s="33">
        <v>16300.0</v>
      </c>
      <c r="Q39" s="34">
        <v>750.0</v>
      </c>
      <c r="R39" s="42">
        <v>187.73006134969324</v>
      </c>
      <c r="S39" s="36">
        <v>0.04515337423312883</v>
      </c>
      <c r="T39" s="36">
        <v>22.52760736196319</v>
      </c>
      <c r="U39" s="36"/>
      <c r="V39" s="36">
        <v>165.2476073619632</v>
      </c>
      <c r="W39" s="37">
        <v>0.22033014314928426</v>
      </c>
      <c r="X39" s="42">
        <v>3060000.0</v>
      </c>
      <c r="Y39" s="36">
        <v>736.0</v>
      </c>
      <c r="Z39" s="36">
        <v>367200.0</v>
      </c>
      <c r="AA39" s="36"/>
      <c r="AB39" s="36">
        <v>2693536.0</v>
      </c>
      <c r="AC39" s="37">
        <v>3591.3813333333333</v>
      </c>
      <c r="AD39" s="31"/>
      <c r="AE39" s="11"/>
      <c r="AF39" s="11"/>
    </row>
    <row r="40">
      <c r="A40" s="11" t="s">
        <v>76</v>
      </c>
      <c r="B40" s="39">
        <v>45607.756944444445</v>
      </c>
      <c r="C40" s="40">
        <v>45611.45763888889</v>
      </c>
      <c r="D40" s="27" t="s">
        <v>33</v>
      </c>
      <c r="E40" s="11" t="b">
        <v>0</v>
      </c>
      <c r="F40" s="11" t="s">
        <v>49</v>
      </c>
      <c r="G40" s="11" t="s">
        <v>77</v>
      </c>
      <c r="H40" s="11" t="s">
        <v>81</v>
      </c>
      <c r="I40" s="30">
        <v>5.0</v>
      </c>
      <c r="J40" s="31">
        <v>1.0</v>
      </c>
      <c r="K40" s="11">
        <v>1700.0</v>
      </c>
      <c r="L40" s="32">
        <f>(6936000)/P40</f>
        <v>439.961941</v>
      </c>
      <c r="M40" s="32">
        <f>(834)/P40</f>
        <v>0.0529019981</v>
      </c>
      <c r="N40" s="32">
        <f>(832320)/P40</f>
        <v>52.79543292</v>
      </c>
      <c r="O40" s="32">
        <v>0.0</v>
      </c>
      <c r="P40" s="33">
        <v>15765.0</v>
      </c>
      <c r="Q40" s="34">
        <v>1700.0</v>
      </c>
      <c r="R40" s="42">
        <v>439.96194100856326</v>
      </c>
      <c r="S40" s="36">
        <v>0.05290199809705043</v>
      </c>
      <c r="T40" s="36">
        <v>52.79543292102759</v>
      </c>
      <c r="U40" s="36"/>
      <c r="V40" s="36">
        <v>387.2194100856327</v>
      </c>
      <c r="W40" s="37">
        <v>0.22777612357978394</v>
      </c>
      <c r="X40" s="42">
        <v>6936000.0</v>
      </c>
      <c r="Y40" s="36">
        <v>834.0</v>
      </c>
      <c r="Z40" s="36">
        <v>832320.0</v>
      </c>
      <c r="AA40" s="36"/>
      <c r="AB40" s="36">
        <v>6104514.0</v>
      </c>
      <c r="AC40" s="37">
        <v>3590.890588235294</v>
      </c>
      <c r="AD40" s="31"/>
      <c r="AE40" s="11"/>
      <c r="AF40" s="11"/>
    </row>
    <row r="41">
      <c r="A41" s="11" t="s">
        <v>76</v>
      </c>
      <c r="B41" s="39">
        <v>45605.17638888889</v>
      </c>
      <c r="C41" s="40">
        <v>45607.572222222225</v>
      </c>
      <c r="D41" s="27" t="s">
        <v>33</v>
      </c>
      <c r="E41" s="11" t="b">
        <v>0</v>
      </c>
      <c r="F41" s="11" t="s">
        <v>49</v>
      </c>
      <c r="G41" s="11" t="s">
        <v>77</v>
      </c>
      <c r="H41" s="11" t="s">
        <v>82</v>
      </c>
      <c r="I41" s="30">
        <v>5.0</v>
      </c>
      <c r="J41" s="31">
        <v>1.0</v>
      </c>
      <c r="K41" s="11">
        <v>750.0</v>
      </c>
      <c r="L41" s="32">
        <f>(3060000)/P41</f>
        <v>195.3274607</v>
      </c>
      <c r="M41" s="32">
        <f>(694)/P41</f>
        <v>0.04429975744</v>
      </c>
      <c r="N41" s="32">
        <f>(244800)/P41</f>
        <v>15.62619686</v>
      </c>
      <c r="O41" s="32">
        <v>0.0</v>
      </c>
      <c r="P41" s="33">
        <v>15666.0</v>
      </c>
      <c r="Q41" s="34">
        <v>750.0</v>
      </c>
      <c r="R41" s="42">
        <v>195.32746074301033</v>
      </c>
      <c r="S41" s="36">
        <v>0.04429975743648666</v>
      </c>
      <c r="T41" s="36">
        <v>15.626196859440828</v>
      </c>
      <c r="U41" s="36"/>
      <c r="V41" s="36">
        <v>179.745563641006</v>
      </c>
      <c r="W41" s="37">
        <v>0.2396607515213413</v>
      </c>
      <c r="X41" s="42">
        <v>3060000.0</v>
      </c>
      <c r="Y41" s="36">
        <v>694.0</v>
      </c>
      <c r="Z41" s="36">
        <v>244800.0</v>
      </c>
      <c r="AA41" s="36"/>
      <c r="AB41" s="36">
        <v>2815894.0</v>
      </c>
      <c r="AC41" s="37">
        <v>3754.5253333333335</v>
      </c>
      <c r="AD41" s="31"/>
      <c r="AE41" s="11"/>
      <c r="AF41" s="11"/>
    </row>
    <row r="42">
      <c r="A42" s="11" t="s">
        <v>76</v>
      </c>
      <c r="B42" s="39">
        <v>45590.006944444445</v>
      </c>
      <c r="C42" s="40">
        <v>45593.46875</v>
      </c>
      <c r="D42" s="27" t="s">
        <v>37</v>
      </c>
      <c r="E42" s="11" t="b">
        <v>0</v>
      </c>
      <c r="F42" s="11" t="s">
        <v>49</v>
      </c>
      <c r="G42" s="11" t="s">
        <v>77</v>
      </c>
      <c r="H42" s="11" t="s">
        <v>83</v>
      </c>
      <c r="I42" s="30">
        <v>5.0</v>
      </c>
      <c r="J42" s="31">
        <v>1.0</v>
      </c>
      <c r="K42" s="11">
        <v>800.0</v>
      </c>
      <c r="L42" s="32">
        <f>(3264000)/P42</f>
        <v>207.9643198</v>
      </c>
      <c r="M42" s="32">
        <f>(792)/P42</f>
        <v>0.05046193055</v>
      </c>
      <c r="N42" s="32">
        <f>(391680)/P42</f>
        <v>24.95571838</v>
      </c>
      <c r="O42" s="32">
        <v>0.0</v>
      </c>
      <c r="P42" s="33">
        <v>15695.0</v>
      </c>
      <c r="Q42" s="34">
        <v>800.0</v>
      </c>
      <c r="R42" s="42">
        <v>207.96431984708505</v>
      </c>
      <c r="S42" s="36">
        <v>0.050461930551130935</v>
      </c>
      <c r="T42" s="36">
        <v>24.955718381650208</v>
      </c>
      <c r="U42" s="36"/>
      <c r="V42" s="36">
        <v>183.059063395986</v>
      </c>
      <c r="W42" s="37">
        <v>0.22882382924498249</v>
      </c>
      <c r="X42" s="42">
        <v>3264000.0</v>
      </c>
      <c r="Y42" s="36">
        <v>792.0</v>
      </c>
      <c r="Z42" s="36">
        <v>391680.0</v>
      </c>
      <c r="AA42" s="36"/>
      <c r="AB42" s="36">
        <v>2873112.0</v>
      </c>
      <c r="AC42" s="37">
        <v>3591.39</v>
      </c>
      <c r="AD42" s="31"/>
      <c r="AE42" s="11"/>
      <c r="AF42" s="11"/>
    </row>
    <row r="43">
      <c r="A43" s="11" t="s">
        <v>76</v>
      </c>
      <c r="B43" s="39">
        <v>45514.620833333334</v>
      </c>
      <c r="C43" s="40">
        <v>45515.705555555556</v>
      </c>
      <c r="D43" s="27" t="s">
        <v>37</v>
      </c>
      <c r="E43" s="11" t="b">
        <v>0</v>
      </c>
      <c r="F43" s="11" t="s">
        <v>49</v>
      </c>
      <c r="G43" s="11" t="s">
        <v>84</v>
      </c>
      <c r="H43" s="11" t="s">
        <v>85</v>
      </c>
      <c r="I43" s="30">
        <v>5.0</v>
      </c>
      <c r="J43" s="31">
        <v>9.0</v>
      </c>
      <c r="K43" s="11">
        <v>10.0</v>
      </c>
      <c r="L43" s="32">
        <f>(41750)/P43</f>
        <v>2.617718979</v>
      </c>
      <c r="M43" s="32">
        <f t="shared" ref="M43:M45" si="14">(1000)/P43</f>
        <v>0.06269985579</v>
      </c>
      <c r="N43" s="32">
        <f>(7515)/P43</f>
        <v>0.4711894163</v>
      </c>
      <c r="O43" s="32">
        <v>0.0</v>
      </c>
      <c r="P43" s="33">
        <v>15949.0</v>
      </c>
      <c r="Q43" s="34">
        <v>90.0</v>
      </c>
      <c r="R43" s="42">
        <v>23.55947081321713</v>
      </c>
      <c r="S43" s="36">
        <v>0.06269985579033169</v>
      </c>
      <c r="T43" s="36">
        <v>0.4711894162643426</v>
      </c>
      <c r="U43" s="36"/>
      <c r="V43" s="36">
        <v>23.15098125274312</v>
      </c>
      <c r="W43" s="37">
        <v>0.25723312503047907</v>
      </c>
      <c r="X43" s="42">
        <v>375750.0</v>
      </c>
      <c r="Y43" s="36">
        <v>1000.0000000000001</v>
      </c>
      <c r="Z43" s="36">
        <v>7515.0</v>
      </c>
      <c r="AA43" s="36"/>
      <c r="AB43" s="36">
        <v>369235.0</v>
      </c>
      <c r="AC43" s="37">
        <v>4102.611111111111</v>
      </c>
      <c r="AD43" s="31"/>
      <c r="AE43" s="11"/>
      <c r="AF43" s="11"/>
    </row>
    <row r="44">
      <c r="A44" s="11" t="s">
        <v>76</v>
      </c>
      <c r="B44" s="39">
        <v>45514.61041666667</v>
      </c>
      <c r="C44" s="40">
        <v>45516.52916666667</v>
      </c>
      <c r="D44" s="27" t="s">
        <v>33</v>
      </c>
      <c r="E44" s="11" t="b">
        <v>0</v>
      </c>
      <c r="F44" s="11" t="s">
        <v>49</v>
      </c>
      <c r="G44" s="11" t="s">
        <v>84</v>
      </c>
      <c r="H44" s="11" t="s">
        <v>86</v>
      </c>
      <c r="I44" s="30">
        <v>5.0</v>
      </c>
      <c r="J44" s="31">
        <v>60.0</v>
      </c>
      <c r="K44" s="11">
        <v>10.0</v>
      </c>
      <c r="L44" s="32">
        <f>(40750)/P44</f>
        <v>2.555019123</v>
      </c>
      <c r="M44" s="32">
        <f t="shared" si="14"/>
        <v>0.06269985579</v>
      </c>
      <c r="N44" s="32">
        <f>(97800)/P44</f>
        <v>6.132045896</v>
      </c>
      <c r="O44" s="32">
        <v>0.0</v>
      </c>
      <c r="P44" s="33">
        <v>15949.0</v>
      </c>
      <c r="Q44" s="34">
        <v>600.0</v>
      </c>
      <c r="R44" s="42">
        <v>153.301147407361</v>
      </c>
      <c r="S44" s="36">
        <v>0.06269985579033169</v>
      </c>
      <c r="T44" s="36">
        <v>6.132045896294438</v>
      </c>
      <c r="U44" s="36"/>
      <c r="V44" s="36">
        <v>147.23180136685687</v>
      </c>
      <c r="W44" s="37">
        <v>0.2453863356114281</v>
      </c>
      <c r="X44" s="42">
        <v>2445000.0000000005</v>
      </c>
      <c r="Y44" s="36">
        <v>1000.0000000000001</v>
      </c>
      <c r="Z44" s="36">
        <v>97800.0</v>
      </c>
      <c r="AA44" s="36"/>
      <c r="AB44" s="36">
        <v>2348200.0000000005</v>
      </c>
      <c r="AC44" s="37">
        <v>3913.6666666666674</v>
      </c>
      <c r="AD44" s="31"/>
      <c r="AE44" s="11"/>
      <c r="AF44" s="11"/>
    </row>
    <row r="45">
      <c r="A45" s="11" t="s">
        <v>76</v>
      </c>
      <c r="B45" s="39">
        <v>45514.60833333333</v>
      </c>
      <c r="C45" s="40">
        <v>45517.50892125</v>
      </c>
      <c r="D45" s="27" t="s">
        <v>37</v>
      </c>
      <c r="E45" s="11" t="b">
        <v>0</v>
      </c>
      <c r="F45" s="11" t="s">
        <v>49</v>
      </c>
      <c r="G45" s="11" t="s">
        <v>84</v>
      </c>
      <c r="H45" s="11" t="s">
        <v>87</v>
      </c>
      <c r="I45" s="30">
        <v>5.0</v>
      </c>
      <c r="J45" s="31">
        <v>100.0</v>
      </c>
      <c r="K45" s="11">
        <v>10.0</v>
      </c>
      <c r="L45" s="32">
        <f>(40000)/P45</f>
        <v>2.507994232</v>
      </c>
      <c r="M45" s="32">
        <f t="shared" si="14"/>
        <v>0.06269985579</v>
      </c>
      <c r="N45" s="32">
        <f>(120000)/P45</f>
        <v>7.523982695</v>
      </c>
      <c r="O45" s="32">
        <v>0.0</v>
      </c>
      <c r="P45" s="33">
        <v>15949.0</v>
      </c>
      <c r="Q45" s="34">
        <v>1000.0</v>
      </c>
      <c r="R45" s="42">
        <v>250.79942316132673</v>
      </c>
      <c r="S45" s="36">
        <v>0.06269985579033169</v>
      </c>
      <c r="T45" s="36">
        <v>7.523982694839802</v>
      </c>
      <c r="U45" s="36"/>
      <c r="V45" s="36">
        <v>243.33814032227724</v>
      </c>
      <c r="W45" s="37">
        <v>0.24333814032227724</v>
      </c>
      <c r="X45" s="42">
        <v>4000000.0</v>
      </c>
      <c r="Y45" s="36">
        <v>1000.0000000000001</v>
      </c>
      <c r="Z45" s="36">
        <v>120000.0</v>
      </c>
      <c r="AA45" s="36"/>
      <c r="AB45" s="36">
        <v>3880999.9999999995</v>
      </c>
      <c r="AC45" s="37">
        <v>3880.9999999999995</v>
      </c>
      <c r="AD45" s="31"/>
      <c r="AE45" s="11"/>
      <c r="AF45" s="11"/>
    </row>
    <row r="46">
      <c r="A46" s="11" t="s">
        <v>76</v>
      </c>
      <c r="B46" s="39">
        <v>45417.75625</v>
      </c>
      <c r="C46" s="40">
        <v>45417.75625</v>
      </c>
      <c r="D46" s="27" t="s">
        <v>37</v>
      </c>
      <c r="E46" s="11" t="b">
        <v>0</v>
      </c>
      <c r="F46" s="11" t="s">
        <v>49</v>
      </c>
      <c r="G46" s="11" t="s">
        <v>88</v>
      </c>
      <c r="H46" s="11" t="s">
        <v>88</v>
      </c>
      <c r="I46" s="30">
        <v>5.0</v>
      </c>
      <c r="J46" s="31">
        <v>10.0</v>
      </c>
      <c r="K46" s="11">
        <v>100.0</v>
      </c>
      <c r="L46" s="32">
        <f t="shared" ref="L46:L48" si="15">(360000)/P46</f>
        <v>22.54367838</v>
      </c>
      <c r="M46" s="32">
        <f>(960)/P46</f>
        <v>0.06011647567</v>
      </c>
      <c r="N46" s="32">
        <f>(288000)/P46</f>
        <v>18.0349427</v>
      </c>
      <c r="O46" s="32">
        <v>0.0</v>
      </c>
      <c r="P46" s="33">
        <v>15969.0</v>
      </c>
      <c r="Q46" s="34">
        <v>1000.0</v>
      </c>
      <c r="R46" s="42">
        <v>225.43678376855158</v>
      </c>
      <c r="S46" s="36">
        <v>0.06011647567161375</v>
      </c>
      <c r="T46" s="36">
        <v>18.034942701484127</v>
      </c>
      <c r="U46" s="36"/>
      <c r="V46" s="36">
        <v>207.46195754273907</v>
      </c>
      <c r="W46" s="37">
        <v>0.20746195754273908</v>
      </c>
      <c r="X46" s="42">
        <v>3600000.0</v>
      </c>
      <c r="Y46" s="36">
        <v>960.0</v>
      </c>
      <c r="Z46" s="36">
        <v>288000.0</v>
      </c>
      <c r="AA46" s="36"/>
      <c r="AB46" s="36">
        <v>3312960.0</v>
      </c>
      <c r="AC46" s="37">
        <v>3312.96</v>
      </c>
      <c r="AD46" s="31"/>
      <c r="AE46" s="11"/>
      <c r="AF46" s="11"/>
    </row>
    <row r="47">
      <c r="A47" s="11" t="s">
        <v>76</v>
      </c>
      <c r="B47" s="39">
        <v>45354.03402777778</v>
      </c>
      <c r="C47" s="40">
        <v>45363.741481481484</v>
      </c>
      <c r="D47" s="27" t="s">
        <v>33</v>
      </c>
      <c r="E47" s="11" t="b">
        <v>0</v>
      </c>
      <c r="F47" s="11" t="s">
        <v>49</v>
      </c>
      <c r="G47" s="11" t="s">
        <v>89</v>
      </c>
      <c r="H47" s="11" t="s">
        <v>89</v>
      </c>
      <c r="I47" s="30">
        <v>5.0</v>
      </c>
      <c r="J47" s="31">
        <v>11.0</v>
      </c>
      <c r="K47" s="11">
        <v>100.0</v>
      </c>
      <c r="L47" s="32">
        <f t="shared" si="15"/>
        <v>22.92847589</v>
      </c>
      <c r="M47" s="32">
        <f t="shared" ref="M47:M48" si="16">(1000)/P47</f>
        <v>0.06369021081</v>
      </c>
      <c r="N47" s="32">
        <f>(198000)/P47</f>
        <v>12.61066174</v>
      </c>
      <c r="O47" s="32">
        <v>0.0</v>
      </c>
      <c r="P47" s="33">
        <v>15701.0</v>
      </c>
      <c r="Q47" s="34">
        <v>1100.0</v>
      </c>
      <c r="R47" s="42">
        <v>252.2132348258073</v>
      </c>
      <c r="S47" s="36">
        <v>0.0636902108145978</v>
      </c>
      <c r="T47" s="36">
        <v>12.610661741290365</v>
      </c>
      <c r="U47" s="36"/>
      <c r="V47" s="36">
        <v>239.66626329533153</v>
      </c>
      <c r="W47" s="37">
        <v>0.2178784211775741</v>
      </c>
      <c r="X47" s="42">
        <v>3960000.0000000005</v>
      </c>
      <c r="Y47" s="36">
        <v>1000.0000000000001</v>
      </c>
      <c r="Z47" s="36">
        <v>198000.0</v>
      </c>
      <c r="AA47" s="36"/>
      <c r="AB47" s="36">
        <v>3763000.0000000005</v>
      </c>
      <c r="AC47" s="37">
        <v>3420.9090909090914</v>
      </c>
      <c r="AD47" s="31"/>
      <c r="AE47" s="11"/>
      <c r="AF47" s="11"/>
    </row>
    <row r="48">
      <c r="A48" s="11" t="s">
        <v>76</v>
      </c>
      <c r="B48" s="39">
        <v>45347.91494297454</v>
      </c>
      <c r="C48" s="40">
        <v>45353.710335648146</v>
      </c>
      <c r="D48" s="27" t="s">
        <v>37</v>
      </c>
      <c r="E48" s="11" t="b">
        <v>0</v>
      </c>
      <c r="F48" s="11" t="s">
        <v>49</v>
      </c>
      <c r="G48" s="11" t="s">
        <v>89</v>
      </c>
      <c r="H48" s="11" t="s">
        <v>89</v>
      </c>
      <c r="I48" s="30">
        <v>5.0</v>
      </c>
      <c r="J48" s="31">
        <v>10.0</v>
      </c>
      <c r="K48" s="11">
        <v>100.0</v>
      </c>
      <c r="L48" s="32">
        <f t="shared" si="15"/>
        <v>23.08580223</v>
      </c>
      <c r="M48" s="32">
        <f t="shared" si="16"/>
        <v>0.06412722842</v>
      </c>
      <c r="N48" s="32">
        <f>(180000)/P48</f>
        <v>11.54290112</v>
      </c>
      <c r="O48" s="32">
        <v>0.0</v>
      </c>
      <c r="P48" s="33">
        <v>15594.0</v>
      </c>
      <c r="Q48" s="34">
        <v>1000.0</v>
      </c>
      <c r="R48" s="42">
        <v>230.8580223162755</v>
      </c>
      <c r="S48" s="36">
        <v>0.06412722842118763</v>
      </c>
      <c r="T48" s="36">
        <v>11.542901115813775</v>
      </c>
      <c r="U48" s="36"/>
      <c r="V48" s="36">
        <v>219.37924842888293</v>
      </c>
      <c r="W48" s="37">
        <v>0.21937924842888293</v>
      </c>
      <c r="X48" s="42">
        <v>3600000.0000000005</v>
      </c>
      <c r="Y48" s="36">
        <v>1000.0</v>
      </c>
      <c r="Z48" s="36">
        <v>180000.0</v>
      </c>
      <c r="AA48" s="36"/>
      <c r="AB48" s="36">
        <v>3421000.0000000005</v>
      </c>
      <c r="AC48" s="37">
        <v>3421.0000000000005</v>
      </c>
      <c r="AD48" s="31"/>
      <c r="AE48" s="11"/>
      <c r="AF48" s="11"/>
    </row>
    <row r="49">
      <c r="A49" s="11" t="s">
        <v>76</v>
      </c>
      <c r="B49" s="39">
        <v>45202.3540625</v>
      </c>
      <c r="C49" s="40">
        <v>45232.63928240741</v>
      </c>
      <c r="D49" s="27" t="s">
        <v>33</v>
      </c>
      <c r="E49" s="11" t="b">
        <v>1</v>
      </c>
      <c r="F49" s="11" t="s">
        <v>46</v>
      </c>
      <c r="G49" s="61"/>
      <c r="H49" s="46" t="s">
        <v>46</v>
      </c>
      <c r="I49" s="30">
        <v>5.0</v>
      </c>
      <c r="J49" s="31">
        <v>3000.0</v>
      </c>
      <c r="K49" s="11">
        <v>1.0</v>
      </c>
      <c r="L49" s="32">
        <f>2756/P49</f>
        <v>0.1765082618</v>
      </c>
      <c r="M49" s="32">
        <v>0.0</v>
      </c>
      <c r="N49" s="32">
        <v>0.0</v>
      </c>
      <c r="O49" s="32">
        <v>0.0</v>
      </c>
      <c r="P49" s="33">
        <v>15614.0</v>
      </c>
      <c r="Q49" s="34">
        <v>3000.0</v>
      </c>
      <c r="R49" s="42">
        <v>529.524785448956</v>
      </c>
      <c r="S49" s="36"/>
      <c r="T49" s="36"/>
      <c r="U49" s="36"/>
      <c r="V49" s="36">
        <v>529.524785448956</v>
      </c>
      <c r="W49" s="37">
        <v>0.17650826181631865</v>
      </c>
      <c r="X49" s="42">
        <v>8267999.999999999</v>
      </c>
      <c r="Y49" s="36"/>
      <c r="Z49" s="36"/>
      <c r="AA49" s="36"/>
      <c r="AB49" s="36">
        <v>8267999.999999999</v>
      </c>
      <c r="AC49" s="37">
        <v>2755.9999999999995</v>
      </c>
      <c r="AD49" s="31"/>
      <c r="AE49" s="11"/>
      <c r="AF49" s="11"/>
    </row>
    <row r="50">
      <c r="A50" s="11" t="s">
        <v>76</v>
      </c>
      <c r="B50" s="39">
        <v>45002.0</v>
      </c>
      <c r="C50" s="40">
        <v>45085.0</v>
      </c>
      <c r="D50" s="27" t="s">
        <v>33</v>
      </c>
      <c r="E50" s="11" t="b">
        <v>1</v>
      </c>
      <c r="F50" s="29" t="s">
        <v>46</v>
      </c>
      <c r="G50" s="29" t="s">
        <v>46</v>
      </c>
      <c r="H50" s="29"/>
      <c r="I50" s="30">
        <v>5.0</v>
      </c>
      <c r="J50" s="31">
        <v>1000.0</v>
      </c>
      <c r="K50" s="11">
        <v>1.0</v>
      </c>
      <c r="L50" s="32">
        <f>2893/P50</f>
        <v>0.1881626016</v>
      </c>
      <c r="M50" s="32">
        <v>0.0</v>
      </c>
      <c r="N50" s="32">
        <v>0.0</v>
      </c>
      <c r="O50" s="32">
        <v>0.0</v>
      </c>
      <c r="P50" s="33">
        <v>15375.0</v>
      </c>
      <c r="Q50" s="34">
        <v>1000.0</v>
      </c>
      <c r="R50" s="42">
        <v>188.16260162601625</v>
      </c>
      <c r="S50" s="36"/>
      <c r="T50" s="36"/>
      <c r="U50" s="36"/>
      <c r="V50" s="36">
        <v>188.16260162601625</v>
      </c>
      <c r="W50" s="37">
        <v>0.18816260162601625</v>
      </c>
      <c r="X50" s="42">
        <v>2893000.0</v>
      </c>
      <c r="Y50" s="36"/>
      <c r="Z50" s="36"/>
      <c r="AA50" s="36"/>
      <c r="AB50" s="36">
        <v>2893000.0</v>
      </c>
      <c r="AC50" s="37">
        <v>2893.0</v>
      </c>
      <c r="AD50" s="31"/>
      <c r="AE50" s="11"/>
      <c r="AF50" s="11"/>
    </row>
    <row r="51">
      <c r="A51" s="11" t="s">
        <v>90</v>
      </c>
      <c r="B51" s="39">
        <v>45265.689625983796</v>
      </c>
      <c r="C51" s="40">
        <v>45341.63958333333</v>
      </c>
      <c r="D51" s="27" t="s">
        <v>33</v>
      </c>
      <c r="E51" s="11" t="b">
        <v>1</v>
      </c>
      <c r="F51" s="11" t="s">
        <v>34</v>
      </c>
      <c r="G51" s="11" t="s">
        <v>45</v>
      </c>
      <c r="H51" s="11"/>
      <c r="I51" s="30">
        <v>5.0</v>
      </c>
      <c r="J51" s="31">
        <v>500.0</v>
      </c>
      <c r="K51" s="11">
        <v>1.0</v>
      </c>
      <c r="L51" s="32">
        <f>6028/P51</f>
        <v>0.3892296765</v>
      </c>
      <c r="M51" s="32">
        <v>0.0</v>
      </c>
      <c r="N51" s="32">
        <v>0.0</v>
      </c>
      <c r="O51" s="32">
        <v>0.0</v>
      </c>
      <c r="P51" s="58">
        <v>15487.0</v>
      </c>
      <c r="Q51" s="34">
        <v>500.0</v>
      </c>
      <c r="R51" s="42">
        <v>194.61483825143668</v>
      </c>
      <c r="S51" s="36"/>
      <c r="T51" s="36"/>
      <c r="U51" s="36"/>
      <c r="V51" s="36">
        <v>194.61483825143668</v>
      </c>
      <c r="W51" s="37">
        <v>0.3892296765028734</v>
      </c>
      <c r="X51" s="42">
        <v>3014000.0</v>
      </c>
      <c r="Y51" s="36"/>
      <c r="Z51" s="36"/>
      <c r="AA51" s="36"/>
      <c r="AB51" s="36">
        <v>3014000.0</v>
      </c>
      <c r="AC51" s="37">
        <v>6028.0</v>
      </c>
      <c r="AD51" s="31"/>
      <c r="AE51" s="11"/>
      <c r="AF51" s="11"/>
    </row>
    <row r="52">
      <c r="A52" s="11" t="s">
        <v>90</v>
      </c>
      <c r="B52" s="39">
        <v>43607.63662311343</v>
      </c>
      <c r="C52" s="40">
        <v>43607.637622372684</v>
      </c>
      <c r="D52" s="27" t="s">
        <v>66</v>
      </c>
      <c r="E52" s="11" t="b">
        <v>0</v>
      </c>
      <c r="F52" s="29" t="s">
        <v>67</v>
      </c>
      <c r="G52" s="29" t="s">
        <v>67</v>
      </c>
      <c r="H52" s="29" t="s">
        <v>67</v>
      </c>
      <c r="I52" s="33"/>
      <c r="J52" s="31">
        <v>10.0</v>
      </c>
      <c r="K52" s="11">
        <v>1.0</v>
      </c>
      <c r="L52" s="32">
        <v>1.5</v>
      </c>
      <c r="M52" s="32"/>
      <c r="N52" s="32"/>
      <c r="O52" s="32"/>
      <c r="P52" s="33">
        <v>10000.0</v>
      </c>
      <c r="Q52" s="62">
        <v>10.0</v>
      </c>
      <c r="R52" s="42">
        <v>15.0</v>
      </c>
      <c r="S52" s="36"/>
      <c r="T52" s="36"/>
      <c r="U52" s="36"/>
      <c r="V52" s="36">
        <v>15.0</v>
      </c>
      <c r="W52" s="37">
        <v>1.5</v>
      </c>
      <c r="X52" s="42">
        <v>150000.0</v>
      </c>
      <c r="Y52" s="36"/>
      <c r="Z52" s="36"/>
      <c r="AA52" s="36"/>
      <c r="AB52" s="36">
        <v>150000.0</v>
      </c>
      <c r="AC52" s="37">
        <v>15000.0</v>
      </c>
      <c r="AD52" s="63"/>
      <c r="AE52" s="64"/>
      <c r="AF52" s="64"/>
    </row>
    <row r="53">
      <c r="A53" s="11" t="s">
        <v>90</v>
      </c>
      <c r="B53" s="39">
        <v>43554.0</v>
      </c>
      <c r="C53" s="40">
        <v>43563.0</v>
      </c>
      <c r="D53" s="27" t="s">
        <v>56</v>
      </c>
      <c r="E53" s="11" t="b">
        <v>0</v>
      </c>
      <c r="F53" s="11" t="s">
        <v>91</v>
      </c>
      <c r="G53" s="59" t="str">
        <f>"https://www.bukalapak.com/p/elektronik/komponen-elektronik/ck5cxm-jual-hs-23101bs-2-2-inch-single-anode-merah?from=list-product&amp;funnel=omnisearch&amp;product_owner=normal_seller&amp;pos=0&amp;cf=1&amp;sort_origin=relevansi&amp;search_sort_default=true&amp;promoted=0"</f>
        <v>https://www.bukalapak.com/p/elektronik/komponen-elektronik/ck5cxm-jual-hs-23101bs-2-2-inch-single-anode-merah?from=list-product&amp;funnel=omnisearch&amp;product_owner=normal_seller&amp;pos=0&amp;cf=1&amp;sort_origin=relevansi&amp;search_sort_default=true&amp;promoted=0</v>
      </c>
      <c r="H53" s="11" t="s">
        <v>92</v>
      </c>
      <c r="I53" s="33"/>
      <c r="J53" s="31">
        <v>10.0</v>
      </c>
      <c r="K53" s="11">
        <v>1.0</v>
      </c>
      <c r="L53" s="36">
        <f>14000/P53</f>
        <v>1.4</v>
      </c>
      <c r="M53" s="36">
        <f>7000/P53</f>
        <v>0.7</v>
      </c>
      <c r="N53" s="32"/>
      <c r="O53" s="32"/>
      <c r="P53" s="33">
        <v>10000.0</v>
      </c>
      <c r="Q53" s="34">
        <v>10.0</v>
      </c>
      <c r="R53" s="42">
        <v>14.0</v>
      </c>
      <c r="S53" s="36">
        <v>0.7</v>
      </c>
      <c r="T53" s="36"/>
      <c r="U53" s="36"/>
      <c r="V53" s="36">
        <v>14.7</v>
      </c>
      <c r="W53" s="37">
        <v>1.47</v>
      </c>
      <c r="X53" s="42">
        <v>140000.0</v>
      </c>
      <c r="Y53" s="36">
        <v>7000.0</v>
      </c>
      <c r="Z53" s="36"/>
      <c r="AA53" s="36"/>
      <c r="AB53" s="36">
        <v>147000.0</v>
      </c>
      <c r="AC53" s="37">
        <v>14700.0</v>
      </c>
      <c r="AD53" s="31">
        <v>15000.0</v>
      </c>
      <c r="AE53" s="11">
        <v>15000.0</v>
      </c>
      <c r="AF53" s="11"/>
    </row>
    <row r="54">
      <c r="A54" s="11" t="s">
        <v>93</v>
      </c>
      <c r="B54" s="39">
        <v>45013.0</v>
      </c>
      <c r="C54" s="40">
        <v>45061.0</v>
      </c>
      <c r="D54" s="27" t="s">
        <v>33</v>
      </c>
      <c r="E54" s="11" t="b">
        <v>1</v>
      </c>
      <c r="F54" s="29" t="s">
        <v>46</v>
      </c>
      <c r="G54" s="29" t="s">
        <v>46</v>
      </c>
      <c r="H54" s="29"/>
      <c r="I54" s="30">
        <v>5.0</v>
      </c>
      <c r="J54" s="31">
        <v>10050.0</v>
      </c>
      <c r="K54" s="11">
        <v>1.0</v>
      </c>
      <c r="L54" s="32">
        <f>731/P54</f>
        <v>0.04851984601</v>
      </c>
      <c r="M54" s="32">
        <v>0.0</v>
      </c>
      <c r="N54" s="32">
        <v>0.0</v>
      </c>
      <c r="O54" s="32">
        <v>0.0</v>
      </c>
      <c r="P54" s="33">
        <v>15066.0</v>
      </c>
      <c r="Q54" s="34">
        <v>10050.0</v>
      </c>
      <c r="R54" s="42">
        <v>487.62445240939866</v>
      </c>
      <c r="S54" s="36"/>
      <c r="T54" s="36"/>
      <c r="U54" s="36"/>
      <c r="V54" s="36">
        <v>487.62445240939866</v>
      </c>
      <c r="W54" s="37">
        <v>0.04851984601088544</v>
      </c>
      <c r="X54" s="42">
        <v>7346550.0</v>
      </c>
      <c r="Y54" s="36"/>
      <c r="Z54" s="36"/>
      <c r="AA54" s="36"/>
      <c r="AB54" s="36">
        <v>7346550.0</v>
      </c>
      <c r="AC54" s="37">
        <v>731.0</v>
      </c>
      <c r="AD54" s="31"/>
      <c r="AE54" s="11"/>
      <c r="AF54" s="11"/>
    </row>
    <row r="55">
      <c r="A55" s="11" t="s">
        <v>93</v>
      </c>
      <c r="B55" s="39">
        <v>44839.0</v>
      </c>
      <c r="C55" s="40">
        <v>44889.0</v>
      </c>
      <c r="D55" s="27" t="s">
        <v>33</v>
      </c>
      <c r="E55" s="11" t="b">
        <v>1</v>
      </c>
      <c r="F55" s="11" t="s">
        <v>46</v>
      </c>
      <c r="G55" s="11" t="s">
        <v>46</v>
      </c>
      <c r="H55" s="11" t="s">
        <v>47</v>
      </c>
      <c r="I55" s="30">
        <v>5.0</v>
      </c>
      <c r="J55" s="31">
        <v>37.0</v>
      </c>
      <c r="K55" s="11">
        <v>150.0</v>
      </c>
      <c r="L55" s="32">
        <f>(1731600+6926400)/2/37/P55</f>
        <v>7.8</v>
      </c>
      <c r="M55" s="32">
        <f>1000/P55</f>
        <v>0.06666666667</v>
      </c>
      <c r="N55" s="32">
        <f>(51948+500000-112525-1000)/2/P55</f>
        <v>14.6141</v>
      </c>
      <c r="O55" s="32">
        <v>0.0</v>
      </c>
      <c r="P55" s="33">
        <v>15000.0</v>
      </c>
      <c r="Q55" s="34">
        <v>5550.0</v>
      </c>
      <c r="R55" s="42">
        <v>288.59999999999997</v>
      </c>
      <c r="S55" s="36">
        <v>0.06666666666666667</v>
      </c>
      <c r="T55" s="36">
        <v>14.6141</v>
      </c>
      <c r="U55" s="36"/>
      <c r="V55" s="36">
        <v>274.0525666666666</v>
      </c>
      <c r="W55" s="37">
        <v>0.049378840840840835</v>
      </c>
      <c r="X55" s="42">
        <v>4328999.999999999</v>
      </c>
      <c r="Y55" s="36">
        <v>1000.0</v>
      </c>
      <c r="Z55" s="36">
        <v>219211.5</v>
      </c>
      <c r="AA55" s="36"/>
      <c r="AB55" s="36">
        <v>4110788.4999999995</v>
      </c>
      <c r="AC55" s="37">
        <v>740.6826126126125</v>
      </c>
      <c r="AD55" s="31"/>
      <c r="AE55" s="11"/>
      <c r="AF55" s="11"/>
    </row>
    <row r="56">
      <c r="A56" s="11" t="s">
        <v>93</v>
      </c>
      <c r="B56" s="39">
        <v>43798.0</v>
      </c>
      <c r="C56" s="40">
        <v>43829.0</v>
      </c>
      <c r="D56" s="27" t="s">
        <v>56</v>
      </c>
      <c r="E56" s="11" t="b">
        <v>1</v>
      </c>
      <c r="F56" s="11" t="s">
        <v>57</v>
      </c>
      <c r="G56" s="57" t="s">
        <v>94</v>
      </c>
      <c r="H56" s="46" t="s">
        <v>61</v>
      </c>
      <c r="I56" s="33"/>
      <c r="J56" s="31">
        <v>12.0</v>
      </c>
      <c r="K56" s="11">
        <v>50.0</v>
      </c>
      <c r="L56" s="32">
        <v>4.21</v>
      </c>
      <c r="M56" s="32"/>
      <c r="N56" s="32">
        <v>5.0</v>
      </c>
      <c r="O56" s="32"/>
      <c r="P56" s="33">
        <f>1309247/(91.04)</f>
        <v>14381.00835</v>
      </c>
      <c r="Q56" s="34">
        <v>600.0</v>
      </c>
      <c r="R56" s="42">
        <v>50.519999999999996</v>
      </c>
      <c r="S56" s="36"/>
      <c r="T56" s="36">
        <v>5.0</v>
      </c>
      <c r="U56" s="36"/>
      <c r="V56" s="36">
        <v>45.519999999999996</v>
      </c>
      <c r="W56" s="37">
        <v>0.07586666666666667</v>
      </c>
      <c r="X56" s="42">
        <v>726528.5417398944</v>
      </c>
      <c r="Y56" s="36"/>
      <c r="Z56" s="36">
        <v>71905.04173989454</v>
      </c>
      <c r="AA56" s="36"/>
      <c r="AB56" s="36">
        <v>654623.4999999999</v>
      </c>
      <c r="AC56" s="37">
        <v>1091.0391666666665</v>
      </c>
      <c r="AD56" s="31"/>
      <c r="AE56" s="11"/>
      <c r="AF56" s="11"/>
    </row>
    <row r="57">
      <c r="A57" s="11" t="s">
        <v>93</v>
      </c>
      <c r="B57" s="39">
        <v>43782.0</v>
      </c>
      <c r="C57" s="40">
        <v>43810.0</v>
      </c>
      <c r="D57" s="27" t="s">
        <v>56</v>
      </c>
      <c r="E57" s="11" t="b">
        <v>1</v>
      </c>
      <c r="F57" s="11" t="s">
        <v>57</v>
      </c>
      <c r="G57" s="57" t="s">
        <v>94</v>
      </c>
      <c r="H57" s="46" t="s">
        <v>62</v>
      </c>
      <c r="I57" s="33"/>
      <c r="J57" s="31">
        <v>12.0</v>
      </c>
      <c r="K57" s="11">
        <v>50.0</v>
      </c>
      <c r="L57" s="32">
        <v>4.16</v>
      </c>
      <c r="M57" s="32">
        <f>10000/P57</f>
        <v>0.6973499611</v>
      </c>
      <c r="N57" s="32">
        <v>1.0</v>
      </c>
      <c r="O57" s="32"/>
      <c r="P57" s="58">
        <f>(1014125+269592)/(12*4.16+10*4.16-2)</f>
        <v>14340.00223</v>
      </c>
      <c r="Q57" s="34">
        <v>600.0</v>
      </c>
      <c r="R57" s="42">
        <v>49.92</v>
      </c>
      <c r="S57" s="36">
        <v>0.6973499610895549</v>
      </c>
      <c r="T57" s="36">
        <v>1.0</v>
      </c>
      <c r="U57" s="36"/>
      <c r="V57" s="36">
        <v>49.61734996108956</v>
      </c>
      <c r="W57" s="37">
        <v>0.0826955832684826</v>
      </c>
      <c r="X57" s="42">
        <v>715852.9115281501</v>
      </c>
      <c r="Y57" s="36">
        <v>10000.0</v>
      </c>
      <c r="Z57" s="36">
        <v>14340.00223413762</v>
      </c>
      <c r="AA57" s="36"/>
      <c r="AB57" s="36">
        <v>711512.9092940125</v>
      </c>
      <c r="AC57" s="37">
        <v>1185.8548488233541</v>
      </c>
      <c r="AD57" s="31"/>
      <c r="AE57" s="11"/>
      <c r="AF57" s="11"/>
    </row>
    <row r="58">
      <c r="A58" s="11" t="s">
        <v>93</v>
      </c>
      <c r="B58" s="39">
        <v>43719.0</v>
      </c>
      <c r="C58" s="40">
        <v>43749.7970690625</v>
      </c>
      <c r="D58" s="27" t="s">
        <v>56</v>
      </c>
      <c r="E58" s="11" t="b">
        <v>1</v>
      </c>
      <c r="F58" s="29" t="s">
        <v>57</v>
      </c>
      <c r="G58" s="45" t="str">
        <f>"https://www.aliexpress.com/item/1-3-Inch-Blue-I2C-IIC-Serial-128X64-OLED-LCD-LED-Display-Module-for-51-MSP420/32701379925.html?spm=2114.search0104.3.129.695b58f9P8tLRf&amp;ws_ab_test=searchweb0_0,searchweb201602_5_10065_10068_5734615_319_317_10696_453_10084_1"&amp;"0924_454_10083_10618_10920_10921_10307_10922_537_536_10059_10884_10887_100031_321_322_10103_5734515,searchweb201603_1,ppcSwitch_0&amp;algo_expid=ec02fe65-0b12-4543-bfac-829a7f0163f6-19&amp;algo_pvid=ec02fe65-0b12-4543-bfac-829a7f0163f6"</f>
        <v>https://www.aliexpress.com/item/1-3-Inch-Blue-I2C-IIC-Serial-128X64-OLED-LCD-LED-Display-Module-for-51-MSP420/32701379925.html?spm=2114.search0104.3.129.695b58f9P8tLRf&amp;ws_ab_test=searchweb0_0,searchweb201602_5_10065_10068_5734615_319_317_10696_453_10084_10924_454_10083_10618_10920_10921_10307_10922_537_536_10059_10884_10887_100031_321_322_10103_5734515,searchweb201603_1,ppcSwitch_0&amp;algo_expid=ec02fe65-0b12-4543-bfac-829a7f0163f6-19&amp;algo_pvid=ec02fe65-0b12-4543-bfac-829a7f0163f6</v>
      </c>
      <c r="H58" s="29" t="s">
        <v>95</v>
      </c>
      <c r="I58" s="33"/>
      <c r="J58" s="31">
        <v>12.0</v>
      </c>
      <c r="K58" s="11">
        <v>50.0</v>
      </c>
      <c r="L58" s="32">
        <v>4.35</v>
      </c>
      <c r="M58" s="32">
        <f>(20000/P58)/2+10000/P58</f>
        <v>1.394310838</v>
      </c>
      <c r="N58" s="32">
        <f>14122/P58</f>
        <v>0.9845228826</v>
      </c>
      <c r="O58" s="32"/>
      <c r="P58" s="33">
        <f>748757/(4.35*12)</f>
        <v>14344.00383</v>
      </c>
      <c r="Q58" s="34">
        <v>600.0</v>
      </c>
      <c r="R58" s="42">
        <v>52.199999999999996</v>
      </c>
      <c r="S58" s="36">
        <v>1.3943108378285611</v>
      </c>
      <c r="T58" s="36">
        <v>0.984522882590747</v>
      </c>
      <c r="U58" s="36"/>
      <c r="V58" s="36">
        <v>52.60978795523781</v>
      </c>
      <c r="W58" s="37">
        <v>0.08768297992539635</v>
      </c>
      <c r="X58" s="42">
        <v>748757.0</v>
      </c>
      <c r="Y58" s="36">
        <v>20000.0</v>
      </c>
      <c r="Z58" s="36">
        <v>14122.0</v>
      </c>
      <c r="AA58" s="36"/>
      <c r="AB58" s="36">
        <v>754635.0</v>
      </c>
      <c r="AC58" s="37">
        <v>1257.725</v>
      </c>
      <c r="AD58" s="31"/>
      <c r="AE58" s="11">
        <v>1500.0</v>
      </c>
      <c r="AF58" s="11"/>
    </row>
    <row r="59">
      <c r="A59" s="11" t="s">
        <v>93</v>
      </c>
      <c r="B59" s="39">
        <v>43581.0</v>
      </c>
      <c r="C59" s="40">
        <v>43589.0</v>
      </c>
      <c r="D59" s="27" t="s">
        <v>68</v>
      </c>
      <c r="E59" s="11" t="b">
        <v>1</v>
      </c>
      <c r="F59" s="11" t="s">
        <v>49</v>
      </c>
      <c r="G59" s="59" t="str">
        <f>"https://shopee.co.id/10Pcs-Anoda-Display-LED-1bit-7-Segment-0.5-Warna-Merah-i.119360657.1867222172"</f>
        <v>https://shopee.co.id/10Pcs-Anoda-Display-LED-1bit-7-Segment-0.5-Warna-Merah-i.119360657.1867222172</v>
      </c>
      <c r="H59" s="46" t="s">
        <v>96</v>
      </c>
      <c r="I59" s="33"/>
      <c r="J59" s="31">
        <v>20.0</v>
      </c>
      <c r="K59" s="11">
        <v>10.0</v>
      </c>
      <c r="L59" s="32">
        <f>13893/P59</f>
        <v>1.3893</v>
      </c>
      <c r="M59" s="32">
        <f>10000/P59</f>
        <v>1</v>
      </c>
      <c r="N59" s="32">
        <v>0.0</v>
      </c>
      <c r="O59" s="32">
        <f>10000/P59</f>
        <v>1</v>
      </c>
      <c r="P59" s="33">
        <v>10000.0</v>
      </c>
      <c r="Q59" s="34">
        <v>200.0</v>
      </c>
      <c r="R59" s="42">
        <v>27.786</v>
      </c>
      <c r="S59" s="36">
        <v>1.0</v>
      </c>
      <c r="T59" s="36"/>
      <c r="U59" s="36">
        <v>1.0</v>
      </c>
      <c r="V59" s="36">
        <v>27.786</v>
      </c>
      <c r="W59" s="37">
        <v>0.13893</v>
      </c>
      <c r="X59" s="42">
        <v>277860.0</v>
      </c>
      <c r="Y59" s="36">
        <v>10000.0</v>
      </c>
      <c r="Z59" s="36"/>
      <c r="AA59" s="36">
        <v>10000.0</v>
      </c>
      <c r="AB59" s="36">
        <v>277860.0</v>
      </c>
      <c r="AC59" s="37">
        <v>1389.3</v>
      </c>
      <c r="AD59" s="31">
        <v>1500.0</v>
      </c>
      <c r="AE59" s="11">
        <v>1500.0</v>
      </c>
      <c r="AF59" s="11"/>
    </row>
    <row r="60">
      <c r="A60" s="11" t="s">
        <v>93</v>
      </c>
      <c r="B60" s="39">
        <v>43572.0</v>
      </c>
      <c r="C60" s="40">
        <v>43602.03789969908</v>
      </c>
      <c r="D60" s="27" t="s">
        <v>56</v>
      </c>
      <c r="E60" s="11" t="b">
        <v>1</v>
      </c>
      <c r="F60" s="11" t="s">
        <v>57</v>
      </c>
      <c r="G60" s="59" t="str">
        <f>"https://www.aliexpress.com/item/1-3-Inch-Blue-I2C-IIC-Serial-128X64-OLED-LCD-LED-Display-Module-for-51-MSP420/32701379925.html?spm=a2g0s.12269583.0.0.e9ff58aci800B3"</f>
        <v>https://www.aliexpress.com/item/1-3-Inch-Blue-I2C-IIC-Serial-128X64-OLED-LCD-LED-Display-Module-for-51-MSP420/32701379925.html?spm=a2g0s.12269583.0.0.e9ff58aci800B3</v>
      </c>
      <c r="H60" s="46" t="s">
        <v>97</v>
      </c>
      <c r="I60" s="33"/>
      <c r="J60" s="31">
        <v>10.0</v>
      </c>
      <c r="K60" s="11">
        <v>50.0</v>
      </c>
      <c r="L60" s="32">
        <v>4.3</v>
      </c>
      <c r="M60" s="32">
        <v>0.0</v>
      </c>
      <c r="N60" s="32">
        <v>0.0</v>
      </c>
      <c r="O60" s="32">
        <v>0.0</v>
      </c>
      <c r="P60" s="58">
        <f>616921/(4.3*10)</f>
        <v>14347</v>
      </c>
      <c r="Q60" s="34">
        <v>500.0</v>
      </c>
      <c r="R60" s="42">
        <v>43.0</v>
      </c>
      <c r="S60" s="36"/>
      <c r="T60" s="36"/>
      <c r="U60" s="36"/>
      <c r="V60" s="36">
        <v>43.0</v>
      </c>
      <c r="W60" s="37">
        <v>0.086</v>
      </c>
      <c r="X60" s="42">
        <v>616921.0</v>
      </c>
      <c r="Y60" s="36"/>
      <c r="Z60" s="36"/>
      <c r="AA60" s="36"/>
      <c r="AB60" s="36">
        <v>616921.0</v>
      </c>
      <c r="AC60" s="37">
        <v>1233.842</v>
      </c>
      <c r="AD60" s="31">
        <v>1500.0</v>
      </c>
      <c r="AE60" s="11">
        <v>1500.0</v>
      </c>
      <c r="AF60" s="11"/>
    </row>
    <row r="61">
      <c r="A61" s="11" t="s">
        <v>93</v>
      </c>
      <c r="B61" s="39">
        <v>43569.0</v>
      </c>
      <c r="C61" s="40">
        <f>B61</f>
        <v>43569</v>
      </c>
      <c r="D61" s="27" t="s">
        <v>66</v>
      </c>
      <c r="E61" s="11" t="b">
        <v>0</v>
      </c>
      <c r="F61" s="29" t="s">
        <v>67</v>
      </c>
      <c r="G61" s="29" t="s">
        <v>67</v>
      </c>
      <c r="H61" s="29" t="s">
        <v>67</v>
      </c>
      <c r="I61" s="33"/>
      <c r="J61" s="31">
        <v>100.0</v>
      </c>
      <c r="K61" s="11">
        <v>1.0</v>
      </c>
      <c r="L61" s="32">
        <f>1300/P61</f>
        <v>0.13</v>
      </c>
      <c r="M61" s="32"/>
      <c r="N61" s="32"/>
      <c r="O61" s="32"/>
      <c r="P61" s="33">
        <v>10000.0</v>
      </c>
      <c r="Q61" s="34">
        <v>100.0</v>
      </c>
      <c r="R61" s="42">
        <v>13.0</v>
      </c>
      <c r="S61" s="36"/>
      <c r="T61" s="36"/>
      <c r="U61" s="36"/>
      <c r="V61" s="36">
        <v>13.0</v>
      </c>
      <c r="W61" s="37">
        <v>0.13</v>
      </c>
      <c r="X61" s="42">
        <v>130000.0</v>
      </c>
      <c r="Y61" s="36"/>
      <c r="Z61" s="36"/>
      <c r="AA61" s="36"/>
      <c r="AB61" s="36">
        <v>130000.0</v>
      </c>
      <c r="AC61" s="37">
        <v>1300.0</v>
      </c>
      <c r="AD61" s="31">
        <v>1400.0</v>
      </c>
      <c r="AE61" s="11">
        <v>1500.0</v>
      </c>
      <c r="AF61" s="11"/>
    </row>
    <row r="62">
      <c r="A62" s="11" t="s">
        <v>93</v>
      </c>
      <c r="B62" s="39">
        <v>43530.66332465278</v>
      </c>
      <c r="C62" s="40">
        <v>43550.0</v>
      </c>
      <c r="D62" s="27" t="s">
        <v>68</v>
      </c>
      <c r="E62" s="28" t="b">
        <v>1</v>
      </c>
      <c r="F62" s="11" t="s">
        <v>57</v>
      </c>
      <c r="G62" s="59" t="str">
        <f t="shared" ref="G62:G64" si="17">"https://www.aliexpress.com/item/1-3-Inch-Blue-I2C-IIC-Serial-128X64-OLED-LCD-LED-Display-Module-for-51-MSP420/32701379925.html?tt=LINE&amp;aff_platform=default&amp;cpt=1543021930032&amp;sk=ioVTkeG&amp;aff_trace_key=8c94b152e33040f387341e43a2a9292c-1543021930032-08877-ioV"&amp;"TkeG&amp;terminal_id=a4f07686fa4c4be491c0b99934cb2c24"</f>
        <v>https://www.aliexpress.com/item/1-3-Inch-Blue-I2C-IIC-Serial-128X64-OLED-LCD-LED-Display-Module-for-51-MSP420/32701379925.html?tt=LINE&amp;aff_platform=default&amp;cpt=1543021930032&amp;sk=ioVTkeG&amp;aff_trace_key=8c94b152e33040f387341e43a2a9292c-1543021930032-08877-ioVTkeG&amp;terminal_id=a4f07686fa4c4be491c0b99934cb2c24</v>
      </c>
      <c r="H62" s="11" t="s">
        <v>70</v>
      </c>
      <c r="I62" s="33"/>
      <c r="J62" s="31">
        <v>8.0</v>
      </c>
      <c r="K62" s="11">
        <v>50.0</v>
      </c>
      <c r="L62" s="32">
        <v>4.3</v>
      </c>
      <c r="M62" s="32">
        <v>0.0</v>
      </c>
      <c r="N62" s="60">
        <v>0.0</v>
      </c>
      <c r="O62" s="60">
        <v>0.0</v>
      </c>
      <c r="P62" s="58">
        <f>991477/(8*4.3 + 8*4.3)</f>
        <v>14411.00291</v>
      </c>
      <c r="Q62" s="34">
        <v>400.0</v>
      </c>
      <c r="R62" s="42">
        <v>34.4</v>
      </c>
      <c r="S62" s="36"/>
      <c r="T62" s="36"/>
      <c r="U62" s="36"/>
      <c r="V62" s="36">
        <v>34.4</v>
      </c>
      <c r="W62" s="37">
        <v>0.086</v>
      </c>
      <c r="X62" s="42">
        <v>495738.5</v>
      </c>
      <c r="Y62" s="36"/>
      <c r="Z62" s="36"/>
      <c r="AA62" s="36"/>
      <c r="AB62" s="36">
        <v>495738.5</v>
      </c>
      <c r="AC62" s="37">
        <v>1239.34625</v>
      </c>
      <c r="AD62" s="31">
        <v>1400.0</v>
      </c>
      <c r="AE62" s="11">
        <v>1500.0</v>
      </c>
      <c r="AF62" s="11"/>
    </row>
    <row r="63">
      <c r="A63" s="11" t="s">
        <v>93</v>
      </c>
      <c r="B63" s="39">
        <v>43483.67929438657</v>
      </c>
      <c r="C63" s="40">
        <v>43495.0</v>
      </c>
      <c r="D63" s="27" t="s">
        <v>98</v>
      </c>
      <c r="E63" s="28" t="b">
        <v>1</v>
      </c>
      <c r="F63" s="11" t="s">
        <v>57</v>
      </c>
      <c r="G63" s="59" t="str">
        <f t="shared" si="17"/>
        <v>https://www.aliexpress.com/item/1-3-Inch-Blue-I2C-IIC-Serial-128X64-OLED-LCD-LED-Display-Module-for-51-MSP420/32701379925.html?tt=LINE&amp;aff_platform=default&amp;cpt=1543021930032&amp;sk=ioVTkeG&amp;aff_trace_key=8c94b152e33040f387341e43a2a9292c-1543021930032-08877-ioVTkeG&amp;terminal_id=a4f07686fa4c4be491c0b99934cb2c24</v>
      </c>
      <c r="H63" s="11" t="s">
        <v>99</v>
      </c>
      <c r="I63" s="33"/>
      <c r="J63" s="31">
        <v>3.0</v>
      </c>
      <c r="K63" s="11">
        <v>50.0</v>
      </c>
      <c r="L63" s="32">
        <v>4.78</v>
      </c>
      <c r="M63" s="32">
        <v>0.0</v>
      </c>
      <c r="N63" s="60">
        <v>0.0</v>
      </c>
      <c r="O63" s="60">
        <v>0.0</v>
      </c>
      <c r="P63" s="58">
        <f>977545/(3*4.78 + 4*13.31)</f>
        <v>14465.00444</v>
      </c>
      <c r="Q63" s="34">
        <v>150.0</v>
      </c>
      <c r="R63" s="42">
        <v>14.34</v>
      </c>
      <c r="S63" s="36"/>
      <c r="T63" s="36"/>
      <c r="U63" s="36"/>
      <c r="V63" s="36">
        <v>14.34</v>
      </c>
      <c r="W63" s="37">
        <v>0.0956</v>
      </c>
      <c r="X63" s="42">
        <v>207428.16365788697</v>
      </c>
      <c r="Y63" s="36"/>
      <c r="Z63" s="36"/>
      <c r="AA63" s="36"/>
      <c r="AB63" s="36">
        <v>207428.16365788697</v>
      </c>
      <c r="AC63" s="37">
        <v>1382.854424385913</v>
      </c>
      <c r="AD63" s="31">
        <v>1400.0</v>
      </c>
      <c r="AE63" s="11">
        <v>1500.0</v>
      </c>
      <c r="AF63" s="11" t="s">
        <v>100</v>
      </c>
    </row>
    <row r="64">
      <c r="A64" s="11" t="s">
        <v>93</v>
      </c>
      <c r="B64" s="39">
        <v>43428.0</v>
      </c>
      <c r="C64" s="40">
        <v>43446.0</v>
      </c>
      <c r="D64" s="27" t="s">
        <v>68</v>
      </c>
      <c r="E64" s="11" t="b">
        <v>1</v>
      </c>
      <c r="F64" s="11" t="s">
        <v>57</v>
      </c>
      <c r="G64" s="59" t="str">
        <f t="shared" si="17"/>
        <v>https://www.aliexpress.com/item/1-3-Inch-Blue-I2C-IIC-Serial-128X64-OLED-LCD-LED-Display-Module-for-51-MSP420/32701379925.html?tt=LINE&amp;aff_platform=default&amp;cpt=1543021930032&amp;sk=ioVTkeG&amp;aff_trace_key=8c94b152e33040f387341e43a2a9292c-1543021930032-08877-ioVTkeG&amp;terminal_id=a4f07686fa4c4be491c0b99934cb2c24</v>
      </c>
      <c r="H64" s="11" t="s">
        <v>72</v>
      </c>
      <c r="I64" s="33"/>
      <c r="J64" s="31">
        <v>3.0</v>
      </c>
      <c r="K64" s="11">
        <v>50.0</v>
      </c>
      <c r="L64" s="32">
        <v>4.25</v>
      </c>
      <c r="M64" s="36"/>
      <c r="N64" s="60">
        <f>2.05/2</f>
        <v>1.025</v>
      </c>
      <c r="O64" s="60">
        <v>0.0</v>
      </c>
      <c r="P64" s="58">
        <f>693911/(30.5*1 + (4.25*3 + 4.25*2) - 5)</f>
        <v>14843.01604</v>
      </c>
      <c r="Q64" s="34">
        <v>150.0</v>
      </c>
      <c r="R64" s="42">
        <v>12.75</v>
      </c>
      <c r="S64" s="36"/>
      <c r="T64" s="36">
        <v>1.025</v>
      </c>
      <c r="U64" s="36"/>
      <c r="V64" s="36">
        <v>11.725</v>
      </c>
      <c r="W64" s="37">
        <v>0.07816666666666666</v>
      </c>
      <c r="X64" s="42">
        <v>189248.45454545456</v>
      </c>
      <c r="Y64" s="36"/>
      <c r="Z64" s="36">
        <v>15214.091443850268</v>
      </c>
      <c r="AA64" s="36"/>
      <c r="AB64" s="36">
        <v>174034.36310160428</v>
      </c>
      <c r="AC64" s="37">
        <v>1160.2290873440286</v>
      </c>
      <c r="AD64" s="31">
        <v>1400.0</v>
      </c>
      <c r="AE64" s="11">
        <v>1500.0</v>
      </c>
      <c r="AF64" s="11"/>
    </row>
    <row r="65">
      <c r="A65" s="11" t="s">
        <v>101</v>
      </c>
      <c r="B65" s="39">
        <v>45202.3540625</v>
      </c>
      <c r="C65" s="40">
        <v>45232.63928240741</v>
      </c>
      <c r="D65" s="27" t="s">
        <v>33</v>
      </c>
      <c r="E65" s="11" t="b">
        <v>1</v>
      </c>
      <c r="F65" s="11" t="s">
        <v>46</v>
      </c>
      <c r="G65" s="61"/>
      <c r="H65" s="46" t="s">
        <v>46</v>
      </c>
      <c r="I65" s="30">
        <v>5.0</v>
      </c>
      <c r="J65" s="31">
        <v>2000.0</v>
      </c>
      <c r="K65" s="11">
        <v>1.0</v>
      </c>
      <c r="L65" s="32">
        <f>2756/P65</f>
        <v>0.1765082618</v>
      </c>
      <c r="M65" s="32">
        <v>0.0</v>
      </c>
      <c r="N65" s="32">
        <v>0.0</v>
      </c>
      <c r="O65" s="32">
        <v>0.0</v>
      </c>
      <c r="P65" s="33">
        <v>15614.0</v>
      </c>
      <c r="Q65" s="34">
        <v>2000.0</v>
      </c>
      <c r="R65" s="42">
        <v>353.01652363263736</v>
      </c>
      <c r="S65" s="36"/>
      <c r="T65" s="36"/>
      <c r="U65" s="36"/>
      <c r="V65" s="36">
        <v>353.01652363263736</v>
      </c>
      <c r="W65" s="37">
        <v>0.17650826181631868</v>
      </c>
      <c r="X65" s="42">
        <v>5512000.0</v>
      </c>
      <c r="Y65" s="36"/>
      <c r="Z65" s="36"/>
      <c r="AA65" s="36"/>
      <c r="AB65" s="36">
        <v>5512000.0</v>
      </c>
      <c r="AC65" s="37">
        <v>2756.0</v>
      </c>
      <c r="AD65" s="31"/>
      <c r="AE65" s="11"/>
      <c r="AF65" s="11"/>
    </row>
    <row r="66">
      <c r="A66" s="11" t="s">
        <v>101</v>
      </c>
      <c r="B66" s="39">
        <v>45002.0</v>
      </c>
      <c r="C66" s="40">
        <v>45085.0</v>
      </c>
      <c r="D66" s="27" t="s">
        <v>33</v>
      </c>
      <c r="E66" s="11" t="b">
        <v>1</v>
      </c>
      <c r="F66" s="29" t="s">
        <v>46</v>
      </c>
      <c r="G66" s="29" t="s">
        <v>46</v>
      </c>
      <c r="H66" s="29"/>
      <c r="I66" s="30">
        <v>5.0</v>
      </c>
      <c r="J66" s="31">
        <v>1000.0</v>
      </c>
      <c r="K66" s="11">
        <v>1.0</v>
      </c>
      <c r="L66" s="32">
        <f>2893/P66</f>
        <v>0.1881626016</v>
      </c>
      <c r="M66" s="32">
        <v>0.0</v>
      </c>
      <c r="N66" s="32">
        <v>0.0</v>
      </c>
      <c r="O66" s="32">
        <v>0.0</v>
      </c>
      <c r="P66" s="33">
        <v>15375.0</v>
      </c>
      <c r="Q66" s="34">
        <v>1000.0</v>
      </c>
      <c r="R66" s="42">
        <v>188.16260162601625</v>
      </c>
      <c r="S66" s="36"/>
      <c r="T66" s="36"/>
      <c r="U66" s="36"/>
      <c r="V66" s="36">
        <v>188.16260162601625</v>
      </c>
      <c r="W66" s="37">
        <v>0.18816260162601625</v>
      </c>
      <c r="X66" s="42">
        <v>2893000.0</v>
      </c>
      <c r="Y66" s="36"/>
      <c r="Z66" s="36"/>
      <c r="AA66" s="36"/>
      <c r="AB66" s="36">
        <v>2893000.0</v>
      </c>
      <c r="AC66" s="37">
        <v>2893.0</v>
      </c>
      <c r="AD66" s="31"/>
      <c r="AE66" s="11"/>
      <c r="AF66" s="11"/>
    </row>
    <row r="67">
      <c r="A67" s="11" t="s">
        <v>102</v>
      </c>
      <c r="B67" s="39">
        <v>45265.6896355787</v>
      </c>
      <c r="C67" s="40">
        <v>45341.63958333333</v>
      </c>
      <c r="D67" s="27" t="s">
        <v>33</v>
      </c>
      <c r="E67" s="11" t="b">
        <v>1</v>
      </c>
      <c r="F67" s="11" t="s">
        <v>34</v>
      </c>
      <c r="G67" s="11" t="s">
        <v>45</v>
      </c>
      <c r="H67" s="11"/>
      <c r="I67" s="30">
        <v>5.0</v>
      </c>
      <c r="J67" s="31">
        <v>500.0</v>
      </c>
      <c r="K67" s="11">
        <v>1.0</v>
      </c>
      <c r="L67" s="32">
        <f>6028/P67</f>
        <v>0.3892296765</v>
      </c>
      <c r="M67" s="32">
        <v>0.0</v>
      </c>
      <c r="N67" s="32">
        <v>0.0</v>
      </c>
      <c r="O67" s="32">
        <v>0.0</v>
      </c>
      <c r="P67" s="58">
        <v>15487.0</v>
      </c>
      <c r="Q67" s="34">
        <v>500.0</v>
      </c>
      <c r="R67" s="42">
        <v>194.61483825143668</v>
      </c>
      <c r="S67" s="36"/>
      <c r="T67" s="36"/>
      <c r="U67" s="36"/>
      <c r="V67" s="36">
        <v>194.61483825143668</v>
      </c>
      <c r="W67" s="37">
        <v>0.3892296765028734</v>
      </c>
      <c r="X67" s="42">
        <v>3014000.0</v>
      </c>
      <c r="Y67" s="36"/>
      <c r="Z67" s="36"/>
      <c r="AA67" s="36"/>
      <c r="AB67" s="36">
        <v>3014000.0</v>
      </c>
      <c r="AC67" s="37">
        <v>6028.0</v>
      </c>
      <c r="AD67" s="31"/>
      <c r="AE67" s="11"/>
      <c r="AF67" s="11"/>
    </row>
    <row r="68">
      <c r="A68" s="11" t="s">
        <v>103</v>
      </c>
      <c r="B68" s="39">
        <v>45802.65625</v>
      </c>
      <c r="C68" s="40">
        <v>45811.416666666664</v>
      </c>
      <c r="D68" s="27" t="s">
        <v>33</v>
      </c>
      <c r="E68" s="11" t="b">
        <v>0</v>
      </c>
      <c r="F68" s="11" t="s">
        <v>104</v>
      </c>
      <c r="G68" s="11" t="s">
        <v>104</v>
      </c>
      <c r="H68" s="11" t="s">
        <v>104</v>
      </c>
      <c r="I68" s="30">
        <v>5.0</v>
      </c>
      <c r="J68" s="31">
        <v>1.0</v>
      </c>
      <c r="K68" s="11">
        <v>12.0</v>
      </c>
      <c r="L68" s="32">
        <f>(134532)/P68</f>
        <v>8.264651677</v>
      </c>
      <c r="M68" s="32">
        <v>0.0</v>
      </c>
      <c r="N68" s="32">
        <v>0.0</v>
      </c>
      <c r="O68" s="32">
        <v>0.0</v>
      </c>
      <c r="P68" s="33">
        <v>16278.0</v>
      </c>
      <c r="Q68" s="34">
        <v>12.0</v>
      </c>
      <c r="R68" s="42">
        <v>8.26465167711021</v>
      </c>
      <c r="S68" s="36"/>
      <c r="T68" s="36"/>
      <c r="U68" s="36"/>
      <c r="V68" s="36">
        <v>8.26465167711021</v>
      </c>
      <c r="W68" s="37">
        <v>0.6887209730925176</v>
      </c>
      <c r="X68" s="42">
        <v>134532.0</v>
      </c>
      <c r="Y68" s="36"/>
      <c r="Z68" s="36"/>
      <c r="AA68" s="36"/>
      <c r="AB68" s="36">
        <v>134532.0</v>
      </c>
      <c r="AC68" s="37">
        <v>11211.0</v>
      </c>
      <c r="AD68" s="31"/>
      <c r="AE68" s="11"/>
      <c r="AF68" s="11"/>
    </row>
    <row r="69">
      <c r="A69" s="11" t="s">
        <v>103</v>
      </c>
      <c r="B69" s="39">
        <v>45587.53333333333</v>
      </c>
      <c r="C69" s="40">
        <v>45589.915972222225</v>
      </c>
      <c r="D69" s="27" t="s">
        <v>33</v>
      </c>
      <c r="E69" s="11" t="b">
        <v>0</v>
      </c>
      <c r="F69" s="11" t="s">
        <v>104</v>
      </c>
      <c r="G69" s="11" t="s">
        <v>104</v>
      </c>
      <c r="H69" s="11" t="s">
        <v>104</v>
      </c>
      <c r="I69" s="30">
        <v>5.0</v>
      </c>
      <c r="J69" s="31">
        <v>2.0</v>
      </c>
      <c r="K69" s="11">
        <v>12.0</v>
      </c>
      <c r="L69" s="32">
        <f>(134500)/P69</f>
        <v>8.62953933</v>
      </c>
      <c r="M69" s="32">
        <v>0.0</v>
      </c>
      <c r="N69" s="32">
        <v>0.0</v>
      </c>
      <c r="O69" s="32">
        <v>0.0</v>
      </c>
      <c r="P69" s="33">
        <v>15586.0</v>
      </c>
      <c r="Q69" s="34">
        <v>24.0</v>
      </c>
      <c r="R69" s="42">
        <v>17.2590786603362</v>
      </c>
      <c r="S69" s="36"/>
      <c r="T69" s="36"/>
      <c r="U69" s="36"/>
      <c r="V69" s="36">
        <v>17.2590786603362</v>
      </c>
      <c r="W69" s="37">
        <v>0.7191282775140083</v>
      </c>
      <c r="X69" s="42">
        <v>269000.0</v>
      </c>
      <c r="Y69" s="36"/>
      <c r="Z69" s="36"/>
      <c r="AA69" s="36"/>
      <c r="AB69" s="36">
        <v>269000.0</v>
      </c>
      <c r="AC69" s="37">
        <v>11208.333333333334</v>
      </c>
      <c r="AD69" s="31"/>
      <c r="AE69" s="11"/>
      <c r="AF69" s="11"/>
    </row>
    <row r="70">
      <c r="A70" s="11" t="s">
        <v>103</v>
      </c>
      <c r="B70" s="39">
        <v>45484.33888888889</v>
      </c>
      <c r="C70" s="40">
        <v>45484.504166666666</v>
      </c>
      <c r="D70" s="27" t="s">
        <v>33</v>
      </c>
      <c r="E70" s="11" t="b">
        <v>0</v>
      </c>
      <c r="F70" s="11" t="s">
        <v>49</v>
      </c>
      <c r="G70" s="11" t="s">
        <v>105</v>
      </c>
      <c r="H70" s="11" t="s">
        <v>106</v>
      </c>
      <c r="I70" s="30">
        <v>5.0</v>
      </c>
      <c r="J70" s="31">
        <v>2.0</v>
      </c>
      <c r="K70" s="11">
        <v>12.0</v>
      </c>
      <c r="L70" s="32">
        <f>(319200/2)/P70</f>
        <v>9.906275216</v>
      </c>
      <c r="M70" s="32">
        <f>(65000 + 1000)/P70</f>
        <v>4.096579976</v>
      </c>
      <c r="N70" s="32">
        <f>(9576)/P70</f>
        <v>0.5943765129</v>
      </c>
      <c r="O70" s="32">
        <f>(50000)/P70</f>
        <v>3.103469679</v>
      </c>
      <c r="P70" s="33">
        <v>16111.0</v>
      </c>
      <c r="Q70" s="34">
        <v>24.0</v>
      </c>
      <c r="R70" s="42">
        <v>19.812550431382284</v>
      </c>
      <c r="S70" s="36">
        <v>4.09657997641363</v>
      </c>
      <c r="T70" s="36">
        <v>0.5943765129414685</v>
      </c>
      <c r="U70" s="36">
        <v>3.1034696791012353</v>
      </c>
      <c r="V70" s="36">
        <v>20.21128421575321</v>
      </c>
      <c r="W70" s="37">
        <v>0.8421368423230504</v>
      </c>
      <c r="X70" s="42">
        <v>319200.0</v>
      </c>
      <c r="Y70" s="36">
        <v>66000.0</v>
      </c>
      <c r="Z70" s="36">
        <v>9576.0</v>
      </c>
      <c r="AA70" s="36">
        <v>50000.0</v>
      </c>
      <c r="AB70" s="36">
        <v>325623.99999999994</v>
      </c>
      <c r="AC70" s="37">
        <v>13567.666666666664</v>
      </c>
      <c r="AD70" s="31"/>
      <c r="AE70" s="11"/>
      <c r="AF70" s="11"/>
    </row>
    <row r="71">
      <c r="A71" s="11" t="s">
        <v>103</v>
      </c>
      <c r="B71" s="39">
        <v>45418.268055555556</v>
      </c>
      <c r="C71" s="40">
        <v>45420.76944444444</v>
      </c>
      <c r="D71" s="27" t="s">
        <v>33</v>
      </c>
      <c r="E71" s="11" t="b">
        <v>0</v>
      </c>
      <c r="F71" s="11" t="s">
        <v>49</v>
      </c>
      <c r="G71" s="11" t="s">
        <v>107</v>
      </c>
      <c r="H71" s="11" t="s">
        <v>107</v>
      </c>
      <c r="I71" s="30">
        <v>5.0</v>
      </c>
      <c r="J71" s="31">
        <v>1.0</v>
      </c>
      <c r="K71" s="11">
        <v>1.0</v>
      </c>
      <c r="L71" s="32">
        <f>(9000)/P71</f>
        <v>0.5614472863</v>
      </c>
      <c r="M71" s="32">
        <f>(1000)/P71</f>
        <v>0.06238303182</v>
      </c>
      <c r="N71" s="32">
        <v>0.0</v>
      </c>
      <c r="O71" s="32">
        <v>0.0</v>
      </c>
      <c r="P71" s="33">
        <v>16030.0</v>
      </c>
      <c r="Q71" s="34">
        <v>1.0</v>
      </c>
      <c r="R71" s="42">
        <v>0.561447286338116</v>
      </c>
      <c r="S71" s="36">
        <v>0.06238303181534623</v>
      </c>
      <c r="T71" s="36"/>
      <c r="U71" s="36"/>
      <c r="V71" s="36">
        <v>0.6238303181534622</v>
      </c>
      <c r="W71" s="37">
        <v>0.6238303181534622</v>
      </c>
      <c r="X71" s="42">
        <v>9000.0</v>
      </c>
      <c r="Y71" s="36">
        <v>1000.0</v>
      </c>
      <c r="Z71" s="36"/>
      <c r="AA71" s="36"/>
      <c r="AB71" s="36">
        <v>10000.0</v>
      </c>
      <c r="AC71" s="37">
        <v>10000.0</v>
      </c>
      <c r="AD71" s="31"/>
      <c r="AE71" s="11"/>
      <c r="AF71" s="11"/>
    </row>
    <row r="72">
      <c r="A72" s="11" t="s">
        <v>103</v>
      </c>
      <c r="B72" s="39">
        <v>45235.0</v>
      </c>
      <c r="C72" s="40">
        <v>45236.48415310185</v>
      </c>
      <c r="D72" s="27" t="s">
        <v>33</v>
      </c>
      <c r="E72" s="11" t="b">
        <v>0</v>
      </c>
      <c r="F72" s="11" t="s">
        <v>104</v>
      </c>
      <c r="G72" s="11" t="s">
        <v>104</v>
      </c>
      <c r="H72" s="11" t="s">
        <v>104</v>
      </c>
      <c r="I72" s="30">
        <v>5.0</v>
      </c>
      <c r="J72" s="31">
        <v>3.0</v>
      </c>
      <c r="K72" s="11">
        <v>12.0</v>
      </c>
      <c r="L72" s="32">
        <f t="shared" ref="L72:L74" si="18">(124500)/P72</f>
        <v>8.017774343</v>
      </c>
      <c r="M72" s="32">
        <v>0.0</v>
      </c>
      <c r="N72" s="32">
        <v>0.0</v>
      </c>
      <c r="O72" s="32">
        <v>0.0</v>
      </c>
      <c r="P72" s="58">
        <v>15528.0</v>
      </c>
      <c r="Q72" s="34">
        <v>36.0</v>
      </c>
      <c r="R72" s="42">
        <v>24.053323029366307</v>
      </c>
      <c r="S72" s="36"/>
      <c r="T72" s="36"/>
      <c r="U72" s="36"/>
      <c r="V72" s="36">
        <v>24.053323029366307</v>
      </c>
      <c r="W72" s="37">
        <v>0.6681478619268418</v>
      </c>
      <c r="X72" s="42">
        <v>373500.0</v>
      </c>
      <c r="Y72" s="36"/>
      <c r="Z72" s="36"/>
      <c r="AA72" s="36"/>
      <c r="AB72" s="36">
        <v>373500.0</v>
      </c>
      <c r="AC72" s="37">
        <v>10375.0</v>
      </c>
      <c r="AD72" s="31"/>
      <c r="AE72" s="11"/>
      <c r="AF72" s="11"/>
    </row>
    <row r="73">
      <c r="A73" s="11" t="s">
        <v>103</v>
      </c>
      <c r="B73" s="39">
        <v>45216.0</v>
      </c>
      <c r="C73" s="40">
        <v>45218.87241950231</v>
      </c>
      <c r="D73" s="27" t="s">
        <v>33</v>
      </c>
      <c r="E73" s="11" t="b">
        <v>0</v>
      </c>
      <c r="F73" s="11" t="s">
        <v>104</v>
      </c>
      <c r="G73" s="11" t="s">
        <v>104</v>
      </c>
      <c r="H73" s="11" t="s">
        <v>104</v>
      </c>
      <c r="I73" s="30">
        <v>5.0</v>
      </c>
      <c r="J73" s="31">
        <v>2.0</v>
      </c>
      <c r="K73" s="11">
        <v>12.0</v>
      </c>
      <c r="L73" s="32">
        <f t="shared" si="18"/>
        <v>7.85488959</v>
      </c>
      <c r="M73" s="32">
        <v>0.0</v>
      </c>
      <c r="N73" s="32">
        <v>0.0</v>
      </c>
      <c r="O73" s="32">
        <v>0.0</v>
      </c>
      <c r="P73" s="58">
        <v>15850.0</v>
      </c>
      <c r="Q73" s="34">
        <v>24.0</v>
      </c>
      <c r="R73" s="42">
        <v>15.709779179810726</v>
      </c>
      <c r="S73" s="36"/>
      <c r="T73" s="36"/>
      <c r="U73" s="36"/>
      <c r="V73" s="36">
        <v>15.709779179810726</v>
      </c>
      <c r="W73" s="37">
        <v>0.6545741324921136</v>
      </c>
      <c r="X73" s="42">
        <v>249000.0</v>
      </c>
      <c r="Y73" s="36"/>
      <c r="Z73" s="36"/>
      <c r="AA73" s="36"/>
      <c r="AB73" s="36">
        <v>249000.0</v>
      </c>
      <c r="AC73" s="37">
        <v>10375.0</v>
      </c>
      <c r="AD73" s="31"/>
      <c r="AE73" s="11"/>
      <c r="AF73" s="11"/>
    </row>
    <row r="74">
      <c r="A74" s="11" t="s">
        <v>103</v>
      </c>
      <c r="B74" s="39">
        <v>45091.0</v>
      </c>
      <c r="C74" s="40">
        <v>45092.0</v>
      </c>
      <c r="D74" s="27" t="s">
        <v>33</v>
      </c>
      <c r="E74" s="11" t="b">
        <v>0</v>
      </c>
      <c r="F74" s="11" t="s">
        <v>104</v>
      </c>
      <c r="G74" s="11" t="s">
        <v>104</v>
      </c>
      <c r="H74" s="11" t="s">
        <v>104</v>
      </c>
      <c r="I74" s="30">
        <v>5.0</v>
      </c>
      <c r="J74" s="31">
        <v>2.0</v>
      </c>
      <c r="K74" s="11">
        <v>12.0</v>
      </c>
      <c r="L74" s="32">
        <f t="shared" si="18"/>
        <v>8.32608841</v>
      </c>
      <c r="M74" s="32">
        <v>0.0</v>
      </c>
      <c r="N74" s="32">
        <v>0.0</v>
      </c>
      <c r="O74" s="32">
        <v>0.0</v>
      </c>
      <c r="P74" s="33">
        <v>14953.0</v>
      </c>
      <c r="Q74" s="34">
        <v>24.0</v>
      </c>
      <c r="R74" s="42">
        <v>16.652176820704874</v>
      </c>
      <c r="S74" s="36"/>
      <c r="T74" s="36"/>
      <c r="U74" s="36"/>
      <c r="V74" s="36">
        <v>16.652176820704874</v>
      </c>
      <c r="W74" s="37">
        <v>0.6938407008627031</v>
      </c>
      <c r="X74" s="42">
        <v>248999.99999999997</v>
      </c>
      <c r="Y74" s="36"/>
      <c r="Z74" s="36"/>
      <c r="AA74" s="36"/>
      <c r="AB74" s="36">
        <v>248999.99999999997</v>
      </c>
      <c r="AC74" s="37">
        <v>10374.999999999998</v>
      </c>
      <c r="AD74" s="31"/>
      <c r="AE74" s="11"/>
      <c r="AF74" s="11"/>
    </row>
    <row r="75">
      <c r="A75" s="11" t="s">
        <v>108</v>
      </c>
      <c r="B75" s="39">
        <v>45756.65416666667</v>
      </c>
      <c r="C75" s="40">
        <v>45772.5</v>
      </c>
      <c r="D75" s="27" t="s">
        <v>33</v>
      </c>
      <c r="E75" s="11" t="b">
        <v>0</v>
      </c>
      <c r="F75" s="11" t="s">
        <v>104</v>
      </c>
      <c r="G75" s="11" t="s">
        <v>104</v>
      </c>
      <c r="H75" s="11" t="s">
        <v>104</v>
      </c>
      <c r="I75" s="30">
        <v>5.0</v>
      </c>
      <c r="J75" s="31">
        <v>2.0</v>
      </c>
      <c r="K75" s="11">
        <f>(36*8)</f>
        <v>288</v>
      </c>
      <c r="L75" s="32">
        <f>(1578420)/P75</f>
        <v>93.92561738</v>
      </c>
      <c r="M75" s="32">
        <f>0</f>
        <v>0</v>
      </c>
      <c r="N75" s="32">
        <f>(200000 + 741857)/P75</f>
        <v>56.04623624</v>
      </c>
      <c r="O75" s="32">
        <v>0.0</v>
      </c>
      <c r="P75" s="33">
        <v>16805.0</v>
      </c>
      <c r="Q75" s="34">
        <v>576.0</v>
      </c>
      <c r="R75" s="42">
        <v>187.85123475156203</v>
      </c>
      <c r="S75" s="36"/>
      <c r="T75" s="36">
        <v>56.04623623921452</v>
      </c>
      <c r="U75" s="36"/>
      <c r="V75" s="36">
        <v>131.8049985123475</v>
      </c>
      <c r="W75" s="37">
        <v>0.22882812241727</v>
      </c>
      <c r="X75" s="42">
        <v>3156840.0</v>
      </c>
      <c r="Y75" s="36"/>
      <c r="Z75" s="36">
        <v>941857.0</v>
      </c>
      <c r="AA75" s="36"/>
      <c r="AB75" s="36">
        <v>2214983.0</v>
      </c>
      <c r="AC75" s="37">
        <v>3845.456597222222</v>
      </c>
      <c r="AD75" s="31"/>
      <c r="AE75" s="11"/>
      <c r="AF75" s="11"/>
    </row>
    <row r="76">
      <c r="A76" s="11" t="s">
        <v>108</v>
      </c>
      <c r="B76" s="39">
        <v>45684.17569444444</v>
      </c>
      <c r="C76" s="40">
        <v>45690.47430555556</v>
      </c>
      <c r="D76" s="27" t="s">
        <v>37</v>
      </c>
      <c r="E76" s="11" t="b">
        <v>0</v>
      </c>
      <c r="F76" s="11" t="s">
        <v>49</v>
      </c>
      <c r="G76" s="11" t="s">
        <v>109</v>
      </c>
      <c r="H76" s="11" t="s">
        <v>110</v>
      </c>
      <c r="I76" s="30">
        <v>5.0</v>
      </c>
      <c r="J76" s="31">
        <v>43.0</v>
      </c>
      <c r="K76" s="11">
        <v>6.0</v>
      </c>
      <c r="L76" s="32">
        <f>(28000)/P76</f>
        <v>1.731387583</v>
      </c>
      <c r="M76" s="32">
        <f>(1000)/P76</f>
        <v>0.06183527084</v>
      </c>
      <c r="N76" s="32">
        <f>(299750 + 5000)/P76</f>
        <v>18.84429879</v>
      </c>
      <c r="O76" s="32">
        <v>0.0</v>
      </c>
      <c r="P76" s="33">
        <v>16172.0</v>
      </c>
      <c r="Q76" s="34">
        <v>258.0</v>
      </c>
      <c r="R76" s="42">
        <v>74.44966608953747</v>
      </c>
      <c r="S76" s="36">
        <v>0.06183527083848627</v>
      </c>
      <c r="T76" s="36">
        <v>18.84429878802869</v>
      </c>
      <c r="U76" s="36"/>
      <c r="V76" s="36">
        <v>55.667202572347264</v>
      </c>
      <c r="W76" s="37">
        <v>0.21576435105560954</v>
      </c>
      <c r="X76" s="42">
        <v>1204000.0</v>
      </c>
      <c r="Y76" s="36">
        <v>1000.0</v>
      </c>
      <c r="Z76" s="36">
        <v>304750.0</v>
      </c>
      <c r="AA76" s="36"/>
      <c r="AB76" s="36">
        <v>900250.0</v>
      </c>
      <c r="AC76" s="37">
        <v>3489.3410852713178</v>
      </c>
      <c r="AD76" s="31"/>
      <c r="AE76" s="11"/>
      <c r="AF76" s="11"/>
    </row>
    <row r="77">
      <c r="A77" s="11" t="s">
        <v>108</v>
      </c>
      <c r="B77" s="39">
        <v>45679.604166666664</v>
      </c>
      <c r="C77" s="40">
        <v>45681.604166666664</v>
      </c>
      <c r="D77" s="27" t="s">
        <v>33</v>
      </c>
      <c r="E77" s="11" t="b">
        <v>0</v>
      </c>
      <c r="F77" s="11" t="s">
        <v>104</v>
      </c>
      <c r="G77" s="11" t="s">
        <v>104</v>
      </c>
      <c r="H77" s="11" t="s">
        <v>104</v>
      </c>
      <c r="I77" s="30">
        <v>5.0</v>
      </c>
      <c r="J77" s="65">
        <v>2.0</v>
      </c>
      <c r="K77" s="66">
        <v>288.0</v>
      </c>
      <c r="L77" s="67">
        <f>(1578420)/P77</f>
        <v>96.68728943</v>
      </c>
      <c r="M77" s="67">
        <v>0.0</v>
      </c>
      <c r="N77" s="67">
        <f>(200000 + 741857)/P77</f>
        <v>57.69415008</v>
      </c>
      <c r="O77" s="67">
        <v>0.0</v>
      </c>
      <c r="P77" s="33">
        <v>16325.0</v>
      </c>
      <c r="Q77" s="34">
        <v>576.0</v>
      </c>
      <c r="R77" s="42">
        <v>193.37457886676876</v>
      </c>
      <c r="S77" s="36"/>
      <c r="T77" s="36">
        <v>57.69415007656968</v>
      </c>
      <c r="U77" s="36"/>
      <c r="V77" s="36">
        <v>135.68042879019907</v>
      </c>
      <c r="W77" s="37">
        <v>0.2355562999829845</v>
      </c>
      <c r="X77" s="42">
        <v>3156840.0</v>
      </c>
      <c r="Y77" s="36"/>
      <c r="Z77" s="36">
        <v>941857.0</v>
      </c>
      <c r="AA77" s="36"/>
      <c r="AB77" s="36">
        <v>2214983.0</v>
      </c>
      <c r="AC77" s="37">
        <v>3845.456597222222</v>
      </c>
      <c r="AD77" s="31"/>
      <c r="AE77" s="11"/>
      <c r="AF77" s="11"/>
    </row>
    <row r="78">
      <c r="A78" s="11" t="s">
        <v>108</v>
      </c>
      <c r="B78" s="39">
        <v>45666.77222222222</v>
      </c>
      <c r="C78" s="40">
        <v>45671.580555555556</v>
      </c>
      <c r="D78" s="27" t="s">
        <v>37</v>
      </c>
      <c r="E78" s="11" t="b">
        <v>0</v>
      </c>
      <c r="F78" s="11" t="s">
        <v>49</v>
      </c>
      <c r="G78" s="11" t="s">
        <v>109</v>
      </c>
      <c r="H78" s="11" t="s">
        <v>111</v>
      </c>
      <c r="I78" s="30">
        <v>5.0</v>
      </c>
      <c r="J78" s="31">
        <v>20.0</v>
      </c>
      <c r="K78" s="11">
        <v>6.0</v>
      </c>
      <c r="L78" s="32">
        <f t="shared" ref="L78:L81" si="19">(28000)/P78</f>
        <v>1.728288377</v>
      </c>
      <c r="M78" s="32">
        <f>(1900)/P78</f>
        <v>0.1172767113</v>
      </c>
      <c r="N78" s="32">
        <f>(99900 + 5000)/P78</f>
        <v>6.474908956</v>
      </c>
      <c r="O78" s="32">
        <v>0.0</v>
      </c>
      <c r="P78" s="33">
        <v>16201.0</v>
      </c>
      <c r="Q78" s="34">
        <v>120.0</v>
      </c>
      <c r="R78" s="42">
        <v>34.56576754521326</v>
      </c>
      <c r="S78" s="36">
        <v>0.11727671131411642</v>
      </c>
      <c r="T78" s="36">
        <v>6.474908956237269</v>
      </c>
      <c r="U78" s="36"/>
      <c r="V78" s="36">
        <v>28.208135300290113</v>
      </c>
      <c r="W78" s="37">
        <v>0.23506779416908427</v>
      </c>
      <c r="X78" s="42">
        <v>560000.0000000001</v>
      </c>
      <c r="Y78" s="36">
        <v>1900.0</v>
      </c>
      <c r="Z78" s="36">
        <v>104900.0</v>
      </c>
      <c r="AA78" s="36"/>
      <c r="AB78" s="36">
        <v>457000.0000000001</v>
      </c>
      <c r="AC78" s="37">
        <v>3808.3333333333344</v>
      </c>
      <c r="AD78" s="31"/>
      <c r="AE78" s="11"/>
      <c r="AF78" s="11"/>
    </row>
    <row r="79">
      <c r="A79" s="11" t="s">
        <v>108</v>
      </c>
      <c r="B79" s="39">
        <v>45647.481944444444</v>
      </c>
      <c r="C79" s="40">
        <v>45652.509722222225</v>
      </c>
      <c r="D79" s="27" t="s">
        <v>33</v>
      </c>
      <c r="E79" s="11" t="b">
        <v>0</v>
      </c>
      <c r="F79" s="11" t="s">
        <v>49</v>
      </c>
      <c r="G79" s="11" t="s">
        <v>109</v>
      </c>
      <c r="H79" s="11" t="s">
        <v>112</v>
      </c>
      <c r="I79" s="30">
        <v>5.0</v>
      </c>
      <c r="J79" s="31">
        <v>43.0</v>
      </c>
      <c r="K79" s="11">
        <v>6.0</v>
      </c>
      <c r="L79" s="32">
        <f t="shared" si="19"/>
        <v>1.736111111</v>
      </c>
      <c r="M79" s="32">
        <v>0.0</v>
      </c>
      <c r="N79" s="32">
        <f>(299750 + 5000)/P79</f>
        <v>18.89570933</v>
      </c>
      <c r="O79" s="32">
        <v>0.0</v>
      </c>
      <c r="P79" s="33">
        <v>16128.0</v>
      </c>
      <c r="Q79" s="34">
        <v>258.0</v>
      </c>
      <c r="R79" s="42">
        <v>74.65277777777779</v>
      </c>
      <c r="S79" s="36"/>
      <c r="T79" s="36">
        <v>18.895709325396826</v>
      </c>
      <c r="U79" s="36"/>
      <c r="V79" s="36">
        <v>55.75706845238096</v>
      </c>
      <c r="W79" s="37">
        <v>0.21611266842008126</v>
      </c>
      <c r="X79" s="42">
        <v>1204000.0000000002</v>
      </c>
      <c r="Y79" s="36"/>
      <c r="Z79" s="36">
        <v>304750.0</v>
      </c>
      <c r="AA79" s="36"/>
      <c r="AB79" s="36">
        <v>899250.0000000002</v>
      </c>
      <c r="AC79" s="37">
        <v>3485.4651162790706</v>
      </c>
      <c r="AD79" s="31"/>
      <c r="AE79" s="11"/>
      <c r="AF79" s="11"/>
    </row>
    <row r="80">
      <c r="A80" s="11" t="s">
        <v>108</v>
      </c>
      <c r="B80" s="39">
        <v>45643.620833333334</v>
      </c>
      <c r="C80" s="40">
        <v>45645.94930555556</v>
      </c>
      <c r="D80" s="27" t="s">
        <v>33</v>
      </c>
      <c r="E80" s="11" t="b">
        <v>0</v>
      </c>
      <c r="F80" s="11" t="s">
        <v>49</v>
      </c>
      <c r="G80" s="11" t="s">
        <v>109</v>
      </c>
      <c r="H80" s="11" t="s">
        <v>113</v>
      </c>
      <c r="I80" s="30">
        <v>5.0</v>
      </c>
      <c r="J80" s="31">
        <v>1.0</v>
      </c>
      <c r="K80" s="11">
        <v>6.0</v>
      </c>
      <c r="L80" s="32">
        <f t="shared" si="19"/>
        <v>1.736111111</v>
      </c>
      <c r="M80" s="32">
        <v>0.0</v>
      </c>
      <c r="N80" s="32">
        <f>(5000)/P80</f>
        <v>0.3100198413</v>
      </c>
      <c r="O80" s="32">
        <v>0.0</v>
      </c>
      <c r="P80" s="33">
        <v>16128.0</v>
      </c>
      <c r="Q80" s="34">
        <v>6.0</v>
      </c>
      <c r="R80" s="42">
        <v>1.7361111111111112</v>
      </c>
      <c r="S80" s="36"/>
      <c r="T80" s="36">
        <v>0.3100198412698413</v>
      </c>
      <c r="U80" s="36"/>
      <c r="V80" s="36">
        <v>1.4260912698412698</v>
      </c>
      <c r="W80" s="37">
        <v>0.23768187830687829</v>
      </c>
      <c r="X80" s="42">
        <v>28000.0</v>
      </c>
      <c r="Y80" s="36"/>
      <c r="Z80" s="36">
        <v>5000.0</v>
      </c>
      <c r="AA80" s="36"/>
      <c r="AB80" s="36">
        <v>23000.0</v>
      </c>
      <c r="AC80" s="37">
        <v>3833.3333333333335</v>
      </c>
      <c r="AD80" s="31"/>
      <c r="AE80" s="11"/>
      <c r="AF80" s="11"/>
    </row>
    <row r="81">
      <c r="A81" s="11" t="s">
        <v>108</v>
      </c>
      <c r="B81" s="39">
        <v>45643.61875</v>
      </c>
      <c r="C81" s="40">
        <v>45645.89861111111</v>
      </c>
      <c r="D81" s="27" t="s">
        <v>33</v>
      </c>
      <c r="E81" s="11" t="b">
        <v>0</v>
      </c>
      <c r="F81" s="11" t="s">
        <v>49</v>
      </c>
      <c r="G81" s="11" t="s">
        <v>109</v>
      </c>
      <c r="H81" s="11" t="s">
        <v>114</v>
      </c>
      <c r="I81" s="30">
        <v>5.0</v>
      </c>
      <c r="J81" s="31">
        <v>43.0</v>
      </c>
      <c r="K81" s="11">
        <v>6.0</v>
      </c>
      <c r="L81" s="32">
        <f t="shared" si="19"/>
        <v>1.736111111</v>
      </c>
      <c r="M81" s="32">
        <v>0.0</v>
      </c>
      <c r="N81" s="32">
        <f>(299750 + 5000)/P81</f>
        <v>18.89570933</v>
      </c>
      <c r="O81" s="32">
        <v>0.0</v>
      </c>
      <c r="P81" s="33">
        <v>16128.0</v>
      </c>
      <c r="Q81" s="34">
        <v>258.0</v>
      </c>
      <c r="R81" s="42">
        <v>74.65277777777779</v>
      </c>
      <c r="S81" s="36"/>
      <c r="T81" s="36">
        <v>18.895709325396826</v>
      </c>
      <c r="U81" s="36"/>
      <c r="V81" s="36">
        <v>55.75706845238096</v>
      </c>
      <c r="W81" s="37">
        <v>0.21611266842008126</v>
      </c>
      <c r="X81" s="42">
        <v>1204000.0000000002</v>
      </c>
      <c r="Y81" s="36"/>
      <c r="Z81" s="36">
        <v>304750.0</v>
      </c>
      <c r="AA81" s="36"/>
      <c r="AB81" s="36">
        <v>899250.0000000002</v>
      </c>
      <c r="AC81" s="37">
        <v>3485.4651162790706</v>
      </c>
      <c r="AD81" s="31"/>
      <c r="AE81" s="11"/>
      <c r="AF81" s="11"/>
    </row>
    <row r="82">
      <c r="A82" s="11" t="s">
        <v>108</v>
      </c>
      <c r="B82" s="39">
        <v>45591.396527777775</v>
      </c>
      <c r="C82" s="40">
        <v>45593.305555555555</v>
      </c>
      <c r="D82" s="27" t="s">
        <v>37</v>
      </c>
      <c r="E82" s="11" t="b">
        <v>0</v>
      </c>
      <c r="F82" s="11" t="s">
        <v>49</v>
      </c>
      <c r="G82" s="11" t="s">
        <v>115</v>
      </c>
      <c r="H82" s="11" t="s">
        <v>116</v>
      </c>
      <c r="I82" s="30">
        <v>5.0</v>
      </c>
      <c r="J82" s="31">
        <v>1.0</v>
      </c>
      <c r="K82" s="11">
        <v>432.0</v>
      </c>
      <c r="L82" s="32">
        <f>(1975000)/P82</f>
        <v>125.8362536</v>
      </c>
      <c r="M82" s="32">
        <f>(1000)/P82</f>
        <v>0.06371455878</v>
      </c>
      <c r="N82" s="32">
        <f>(296250)/P82</f>
        <v>18.87543804</v>
      </c>
      <c r="O82" s="32">
        <v>0.0</v>
      </c>
      <c r="P82" s="33">
        <v>15695.0</v>
      </c>
      <c r="Q82" s="34">
        <v>432.0</v>
      </c>
      <c r="R82" s="42">
        <v>125.83625358394393</v>
      </c>
      <c r="S82" s="36">
        <v>0.06371455877668047</v>
      </c>
      <c r="T82" s="36">
        <v>18.87543803759159</v>
      </c>
      <c r="U82" s="36"/>
      <c r="V82" s="36">
        <v>107.02453010512902</v>
      </c>
      <c r="W82" s="37">
        <v>0.2477419678359468</v>
      </c>
      <c r="X82" s="42">
        <v>1975000.0</v>
      </c>
      <c r="Y82" s="36">
        <v>1000.0</v>
      </c>
      <c r="Z82" s="36">
        <v>296250.0</v>
      </c>
      <c r="AA82" s="36"/>
      <c r="AB82" s="36">
        <v>1679750.0</v>
      </c>
      <c r="AC82" s="37">
        <v>3888.310185185185</v>
      </c>
      <c r="AD82" s="31"/>
      <c r="AE82" s="11"/>
      <c r="AF82" s="11"/>
    </row>
    <row r="83">
      <c r="A83" s="11" t="s">
        <v>108</v>
      </c>
      <c r="B83" s="39">
        <v>45584.032638888886</v>
      </c>
      <c r="C83" s="40">
        <v>45589.61041666667</v>
      </c>
      <c r="D83" s="27" t="s">
        <v>33</v>
      </c>
      <c r="E83" s="11" t="b">
        <v>0</v>
      </c>
      <c r="F83" s="11" t="s">
        <v>49</v>
      </c>
      <c r="G83" s="11" t="s">
        <v>117</v>
      </c>
      <c r="H83" s="11" t="s">
        <v>118</v>
      </c>
      <c r="I83" s="30">
        <v>5.0</v>
      </c>
      <c r="J83" s="31">
        <v>1.0</v>
      </c>
      <c r="K83" s="11">
        <f>(72*6)</f>
        <v>432</v>
      </c>
      <c r="L83" s="32">
        <f>(1850000)/P83</f>
        <v>119.6249596</v>
      </c>
      <c r="M83" s="32">
        <f>(91001 + 633)/P83</f>
        <v>5.925250566</v>
      </c>
      <c r="N83" s="32">
        <f>(185000)/P83</f>
        <v>11.96249596</v>
      </c>
      <c r="O83" s="32">
        <v>0.0</v>
      </c>
      <c r="P83" s="33">
        <v>15465.0</v>
      </c>
      <c r="Q83" s="34">
        <v>432.0</v>
      </c>
      <c r="R83" s="42">
        <v>119.6249595861623</v>
      </c>
      <c r="S83" s="36">
        <v>5.9252505657937276</v>
      </c>
      <c r="T83" s="36">
        <v>11.96249595861623</v>
      </c>
      <c r="U83" s="36"/>
      <c r="V83" s="36">
        <v>113.5877141933398</v>
      </c>
      <c r="W83" s="37">
        <v>0.26293452359569397</v>
      </c>
      <c r="X83" s="42">
        <v>1850000.0</v>
      </c>
      <c r="Y83" s="36">
        <v>91634.0</v>
      </c>
      <c r="Z83" s="36">
        <v>185000.0</v>
      </c>
      <c r="AA83" s="36"/>
      <c r="AB83" s="36">
        <v>1756634.0</v>
      </c>
      <c r="AC83" s="37">
        <v>4066.2824074074074</v>
      </c>
      <c r="AD83" s="31"/>
      <c r="AE83" s="11"/>
      <c r="AF83" s="11"/>
    </row>
    <row r="84">
      <c r="A84" s="11" t="s">
        <v>108</v>
      </c>
      <c r="B84" s="39">
        <v>45580.566666666666</v>
      </c>
      <c r="C84" s="40">
        <v>45580.65277777778</v>
      </c>
      <c r="D84" s="27" t="s">
        <v>33</v>
      </c>
      <c r="E84" s="11" t="b">
        <v>0</v>
      </c>
      <c r="F84" s="11" t="s">
        <v>104</v>
      </c>
      <c r="G84" s="11" t="s">
        <v>104</v>
      </c>
      <c r="H84" s="11" t="s">
        <v>104</v>
      </c>
      <c r="I84" s="30">
        <v>5.0</v>
      </c>
      <c r="J84" s="68">
        <v>36.0</v>
      </c>
      <c r="K84" s="69">
        <v>8.0</v>
      </c>
      <c r="L84" s="67">
        <f>(43750)/P84</f>
        <v>2.798746162</v>
      </c>
      <c r="M84" s="67">
        <v>0.0</v>
      </c>
      <c r="N84" s="67">
        <f>(100000 + 370125)/P84</f>
        <v>30.07452661</v>
      </c>
      <c r="O84" s="67">
        <v>0.0</v>
      </c>
      <c r="P84" s="33">
        <v>15632.0</v>
      </c>
      <c r="Q84" s="34">
        <v>288.0</v>
      </c>
      <c r="R84" s="42">
        <v>100.75486182190379</v>
      </c>
      <c r="S84" s="36"/>
      <c r="T84" s="36">
        <v>30.07452661207779</v>
      </c>
      <c r="U84" s="36"/>
      <c r="V84" s="36">
        <v>70.680335209826</v>
      </c>
      <c r="W84" s="37">
        <v>0.2454178305896736</v>
      </c>
      <c r="X84" s="42">
        <v>1575000.0</v>
      </c>
      <c r="Y84" s="36"/>
      <c r="Z84" s="36">
        <v>470125.0</v>
      </c>
      <c r="AA84" s="36"/>
      <c r="AB84" s="36">
        <v>1104875.0</v>
      </c>
      <c r="AC84" s="37">
        <v>3836.371527777778</v>
      </c>
      <c r="AD84" s="31"/>
      <c r="AE84" s="11"/>
      <c r="AF84" s="11"/>
    </row>
    <row r="85">
      <c r="A85" s="11" t="s">
        <v>108</v>
      </c>
      <c r="B85" s="39">
        <v>45560.68194444444</v>
      </c>
      <c r="C85" s="40">
        <v>45565.70694444444</v>
      </c>
      <c r="D85" s="27" t="s">
        <v>33</v>
      </c>
      <c r="E85" s="11" t="b">
        <v>0</v>
      </c>
      <c r="F85" s="11" t="s">
        <v>49</v>
      </c>
      <c r="G85" s="11" t="s">
        <v>117</v>
      </c>
      <c r="H85" s="11" t="s">
        <v>119</v>
      </c>
      <c r="I85" s="30">
        <v>5.0</v>
      </c>
      <c r="J85" s="31">
        <v>1.0</v>
      </c>
      <c r="K85" s="11">
        <v>432.0</v>
      </c>
      <c r="L85" s="32">
        <f>(1800000)/P85</f>
        <v>119.039746</v>
      </c>
      <c r="M85" s="32">
        <f>(91001+1000)/P85</f>
        <v>6.08431982</v>
      </c>
      <c r="N85" s="32">
        <f>(180000)/P85</f>
        <v>11.9039746</v>
      </c>
      <c r="O85" s="32">
        <v>0.0</v>
      </c>
      <c r="P85" s="33">
        <v>15121.0</v>
      </c>
      <c r="Q85" s="34">
        <v>432.0</v>
      </c>
      <c r="R85" s="42">
        <v>119.03974604854176</v>
      </c>
      <c r="S85" s="36">
        <v>6.084319820117717</v>
      </c>
      <c r="T85" s="36">
        <v>11.903974604854175</v>
      </c>
      <c r="U85" s="36"/>
      <c r="V85" s="36">
        <v>113.2200912638053</v>
      </c>
      <c r="W85" s="37">
        <v>0.2620835445921419</v>
      </c>
      <c r="X85" s="42">
        <v>1800000.0</v>
      </c>
      <c r="Y85" s="36">
        <v>92001.0</v>
      </c>
      <c r="Z85" s="36">
        <v>180000.0</v>
      </c>
      <c r="AA85" s="36"/>
      <c r="AB85" s="36">
        <v>1712001.0</v>
      </c>
      <c r="AC85" s="37">
        <v>3962.965277777778</v>
      </c>
      <c r="AD85" s="31"/>
      <c r="AE85" s="11"/>
      <c r="AF85" s="11"/>
    </row>
    <row r="86">
      <c r="A86" s="11" t="s">
        <v>108</v>
      </c>
      <c r="B86" s="39">
        <v>45527.433333333334</v>
      </c>
      <c r="C86" s="40">
        <v>45575.575694444444</v>
      </c>
      <c r="D86" s="27" t="s">
        <v>33</v>
      </c>
      <c r="E86" s="11" t="b">
        <v>0</v>
      </c>
      <c r="F86" s="11" t="s">
        <v>104</v>
      </c>
      <c r="G86" s="11" t="s">
        <v>104</v>
      </c>
      <c r="H86" s="11" t="s">
        <v>104</v>
      </c>
      <c r="I86" s="30">
        <v>5.0</v>
      </c>
      <c r="J86" s="68">
        <v>36.0</v>
      </c>
      <c r="K86" s="69">
        <v>8.0</v>
      </c>
      <c r="L86" s="67">
        <f t="shared" ref="L86:L88" si="20">(43750)/P86</f>
        <v>2.816765388</v>
      </c>
      <c r="M86" s="67">
        <v>0.0</v>
      </c>
      <c r="N86" s="67">
        <f t="shared" ref="N86:N88" si="21">(100000 + 370125)/P86</f>
        <v>30.26815606</v>
      </c>
      <c r="O86" s="67">
        <v>0.0</v>
      </c>
      <c r="P86" s="33">
        <v>15532.0</v>
      </c>
      <c r="Q86" s="34">
        <v>288.0</v>
      </c>
      <c r="R86" s="42">
        <v>101.40355395312903</v>
      </c>
      <c r="S86" s="36"/>
      <c r="T86" s="36">
        <v>30.268156064898275</v>
      </c>
      <c r="U86" s="36"/>
      <c r="V86" s="36">
        <v>71.13539788823076</v>
      </c>
      <c r="W86" s="37">
        <v>0.24699790933413457</v>
      </c>
      <c r="X86" s="42">
        <v>1575000.0000000002</v>
      </c>
      <c r="Y86" s="36"/>
      <c r="Z86" s="36">
        <v>470125.0</v>
      </c>
      <c r="AA86" s="36"/>
      <c r="AB86" s="36">
        <v>1104875.0</v>
      </c>
      <c r="AC86" s="37">
        <v>3836.371527777778</v>
      </c>
      <c r="AD86" s="31"/>
      <c r="AE86" s="11"/>
      <c r="AF86" s="11"/>
    </row>
    <row r="87">
      <c r="A87" s="11" t="s">
        <v>108</v>
      </c>
      <c r="B87" s="39">
        <v>45502.5625</v>
      </c>
      <c r="C87" s="40">
        <v>45509.55347222222</v>
      </c>
      <c r="D87" s="70" t="s">
        <v>33</v>
      </c>
      <c r="E87" s="69" t="b">
        <v>0</v>
      </c>
      <c r="F87" s="11" t="s">
        <v>104</v>
      </c>
      <c r="G87" s="11" t="s">
        <v>104</v>
      </c>
      <c r="H87" s="11" t="s">
        <v>104</v>
      </c>
      <c r="I87" s="71">
        <v>5.0</v>
      </c>
      <c r="J87" s="68">
        <v>36.0</v>
      </c>
      <c r="K87" s="69">
        <v>8.0</v>
      </c>
      <c r="L87" s="67">
        <f t="shared" si="20"/>
        <v>2.704791345</v>
      </c>
      <c r="M87" s="67">
        <v>0.0</v>
      </c>
      <c r="N87" s="67">
        <f t="shared" si="21"/>
        <v>29.06491499</v>
      </c>
      <c r="O87" s="67">
        <v>0.0</v>
      </c>
      <c r="P87" s="72">
        <v>16175.0</v>
      </c>
      <c r="Q87" s="73">
        <v>288.0</v>
      </c>
      <c r="R87" s="74">
        <v>97.3724884080371</v>
      </c>
      <c r="S87" s="75"/>
      <c r="T87" s="67">
        <v>29.064914992272026</v>
      </c>
      <c r="U87" s="75"/>
      <c r="V87" s="67">
        <v>68.30757341576508</v>
      </c>
      <c r="W87" s="76">
        <v>0.2371790743602954</v>
      </c>
      <c r="X87" s="74">
        <v>1575000.0</v>
      </c>
      <c r="Y87" s="75"/>
      <c r="Z87" s="67">
        <v>470125.0</v>
      </c>
      <c r="AA87" s="75"/>
      <c r="AB87" s="67">
        <v>1104875.0000000002</v>
      </c>
      <c r="AC87" s="76">
        <v>3836.3715277777787</v>
      </c>
      <c r="AD87" s="31"/>
      <c r="AE87" s="11"/>
      <c r="AF87" s="11"/>
    </row>
    <row r="88">
      <c r="A88" s="11" t="s">
        <v>108</v>
      </c>
      <c r="B88" s="39">
        <v>45489.416666666664</v>
      </c>
      <c r="C88" s="40">
        <v>45491.689707453705</v>
      </c>
      <c r="D88" s="27" t="s">
        <v>33</v>
      </c>
      <c r="E88" s="11" t="b">
        <v>0</v>
      </c>
      <c r="F88" s="11" t="s">
        <v>104</v>
      </c>
      <c r="G88" s="11" t="s">
        <v>104</v>
      </c>
      <c r="H88" s="11" t="s">
        <v>104</v>
      </c>
      <c r="I88" s="30">
        <v>5.0</v>
      </c>
      <c r="J88" s="31">
        <v>36.0</v>
      </c>
      <c r="K88" s="11">
        <v>8.0</v>
      </c>
      <c r="L88" s="32">
        <f t="shared" si="20"/>
        <v>2.704791345</v>
      </c>
      <c r="M88" s="32">
        <v>0.0</v>
      </c>
      <c r="N88" s="32">
        <f t="shared" si="21"/>
        <v>29.06491499</v>
      </c>
      <c r="O88" s="32">
        <v>0.0</v>
      </c>
      <c r="P88" s="33">
        <v>16175.0</v>
      </c>
      <c r="Q88" s="34">
        <v>288.0</v>
      </c>
      <c r="R88" s="42">
        <v>97.3724884080371</v>
      </c>
      <c r="S88" s="36"/>
      <c r="T88" s="36">
        <v>29.064914992272026</v>
      </c>
      <c r="U88" s="36"/>
      <c r="V88" s="36">
        <v>68.30757341576508</v>
      </c>
      <c r="W88" s="37">
        <v>0.2371790743602954</v>
      </c>
      <c r="X88" s="42">
        <v>1575000.0</v>
      </c>
      <c r="Y88" s="36"/>
      <c r="Z88" s="36">
        <v>470125.0</v>
      </c>
      <c r="AA88" s="36"/>
      <c r="AB88" s="36">
        <v>1104875.0000000002</v>
      </c>
      <c r="AC88" s="37">
        <v>3836.3715277777787</v>
      </c>
      <c r="AD88" s="31"/>
      <c r="AE88" s="11"/>
      <c r="AF88" s="11"/>
    </row>
    <row r="89">
      <c r="A89" s="11" t="s">
        <v>108</v>
      </c>
      <c r="B89" s="39">
        <v>45481.55347222222</v>
      </c>
      <c r="C89" s="40">
        <v>45481.583333333336</v>
      </c>
      <c r="D89" s="27" t="s">
        <v>33</v>
      </c>
      <c r="E89" s="11" t="b">
        <v>0</v>
      </c>
      <c r="F89" s="11" t="s">
        <v>49</v>
      </c>
      <c r="G89" s="11" t="s">
        <v>120</v>
      </c>
      <c r="H89" s="11" t="s">
        <v>121</v>
      </c>
      <c r="I89" s="30">
        <v>5.0</v>
      </c>
      <c r="J89" s="31">
        <v>20.0</v>
      </c>
      <c r="K89" s="11">
        <v>8.0</v>
      </c>
      <c r="L89" s="32">
        <f>(36988)/P89</f>
        <v>2.270177377</v>
      </c>
      <c r="M89" s="32">
        <f>(1000)/P89</f>
        <v>0.06137605106</v>
      </c>
      <c r="N89" s="32">
        <f>(29591)/P89</f>
        <v>1.816178727</v>
      </c>
      <c r="O89" s="32">
        <v>0.0</v>
      </c>
      <c r="P89" s="33">
        <v>16293.0</v>
      </c>
      <c r="Q89" s="34">
        <v>160.0</v>
      </c>
      <c r="R89" s="42">
        <v>45.40354753575155</v>
      </c>
      <c r="S89" s="36">
        <v>0.06137605106487449</v>
      </c>
      <c r="T89" s="36">
        <v>1.8161787270607008</v>
      </c>
      <c r="U89" s="36"/>
      <c r="V89" s="36">
        <v>43.64874485975572</v>
      </c>
      <c r="W89" s="37">
        <v>0.27280465537347326</v>
      </c>
      <c r="X89" s="42">
        <v>739760.0</v>
      </c>
      <c r="Y89" s="36">
        <v>1000.0</v>
      </c>
      <c r="Z89" s="36">
        <v>29591.0</v>
      </c>
      <c r="AA89" s="36"/>
      <c r="AB89" s="36">
        <v>711169.0</v>
      </c>
      <c r="AC89" s="37">
        <v>4444.80625</v>
      </c>
      <c r="AD89" s="31"/>
      <c r="AE89" s="11"/>
      <c r="AF89" s="11"/>
    </row>
    <row r="90">
      <c r="A90" s="11" t="s">
        <v>108</v>
      </c>
      <c r="B90" s="39">
        <v>45450.291666666664</v>
      </c>
      <c r="C90" s="40">
        <v>45450.44981013889</v>
      </c>
      <c r="D90" s="27" t="s">
        <v>33</v>
      </c>
      <c r="E90" s="11" t="b">
        <v>0</v>
      </c>
      <c r="F90" s="11" t="s">
        <v>104</v>
      </c>
      <c r="G90" s="11" t="s">
        <v>104</v>
      </c>
      <c r="H90" s="11" t="s">
        <v>104</v>
      </c>
      <c r="I90" s="30">
        <v>5.0</v>
      </c>
      <c r="J90" s="31">
        <v>36.0</v>
      </c>
      <c r="K90" s="11">
        <v>8.0</v>
      </c>
      <c r="L90" s="32">
        <f>(43750)/P90</f>
        <v>2.69678851</v>
      </c>
      <c r="M90" s="32">
        <v>0.0</v>
      </c>
      <c r="N90" s="32">
        <f>(100000 + 370125)/P90</f>
        <v>28.97891882</v>
      </c>
      <c r="O90" s="32">
        <v>0.0</v>
      </c>
      <c r="P90" s="33">
        <v>16223.0</v>
      </c>
      <c r="Q90" s="34">
        <v>288.0</v>
      </c>
      <c r="R90" s="42">
        <v>97.08438636503729</v>
      </c>
      <c r="S90" s="36"/>
      <c r="T90" s="36">
        <v>28.978918818960736</v>
      </c>
      <c r="U90" s="36"/>
      <c r="V90" s="36">
        <v>68.10546754607655</v>
      </c>
      <c r="W90" s="37">
        <v>0.23647731786832138</v>
      </c>
      <c r="X90" s="42">
        <v>1575000.0</v>
      </c>
      <c r="Y90" s="36"/>
      <c r="Z90" s="36">
        <v>470125.0</v>
      </c>
      <c r="AA90" s="36"/>
      <c r="AB90" s="36">
        <v>1104875.0</v>
      </c>
      <c r="AC90" s="37">
        <v>3836.371527777778</v>
      </c>
      <c r="AD90" s="31"/>
      <c r="AE90" s="11"/>
      <c r="AF90" s="11"/>
    </row>
    <row r="91">
      <c r="A91" s="11" t="s">
        <v>108</v>
      </c>
      <c r="B91" s="39">
        <v>45446.99722222222</v>
      </c>
      <c r="C91" s="40">
        <v>45448.588604178236</v>
      </c>
      <c r="D91" s="27" t="s">
        <v>33</v>
      </c>
      <c r="E91" s="11" t="b">
        <v>0</v>
      </c>
      <c r="F91" s="11" t="s">
        <v>49</v>
      </c>
      <c r="G91" s="11" t="s">
        <v>122</v>
      </c>
      <c r="H91" s="11" t="s">
        <v>123</v>
      </c>
      <c r="I91" s="30">
        <v>5.0</v>
      </c>
      <c r="J91" s="31">
        <v>1.0</v>
      </c>
      <c r="K91" s="11">
        <f>(72*6)</f>
        <v>432</v>
      </c>
      <c r="L91" s="32">
        <f>(1800000)/P91</f>
        <v>111.0425663</v>
      </c>
      <c r="M91" s="32">
        <f t="shared" ref="M91:M94" si="22">(1000)/P91</f>
        <v>0.06169031462</v>
      </c>
      <c r="N91" s="32">
        <f>(144000)/P91</f>
        <v>8.883405305</v>
      </c>
      <c r="O91" s="32">
        <v>0.0</v>
      </c>
      <c r="P91" s="33">
        <v>16210.0</v>
      </c>
      <c r="Q91" s="34">
        <v>432.0</v>
      </c>
      <c r="R91" s="42">
        <v>111.04256631708822</v>
      </c>
      <c r="S91" s="36">
        <v>0.061690314620604564</v>
      </c>
      <c r="T91" s="36">
        <v>8.883405305367058</v>
      </c>
      <c r="U91" s="36"/>
      <c r="V91" s="36">
        <v>102.22085132634176</v>
      </c>
      <c r="W91" s="37">
        <v>0.2366223410331985</v>
      </c>
      <c r="X91" s="42">
        <v>1800000.0</v>
      </c>
      <c r="Y91" s="36">
        <v>1000.0</v>
      </c>
      <c r="Z91" s="36">
        <v>144000.0</v>
      </c>
      <c r="AA91" s="36"/>
      <c r="AB91" s="36">
        <v>1657000.0</v>
      </c>
      <c r="AC91" s="37">
        <v>3835.6481481481483</v>
      </c>
      <c r="AD91" s="31"/>
      <c r="AE91" s="11"/>
      <c r="AF91" s="11"/>
    </row>
    <row r="92">
      <c r="A92" s="11" t="s">
        <v>108</v>
      </c>
      <c r="B92" s="39">
        <v>45445.86041666667</v>
      </c>
      <c r="C92" s="40">
        <v>45447.833333333336</v>
      </c>
      <c r="D92" s="27" t="s">
        <v>33</v>
      </c>
      <c r="E92" s="11" t="b">
        <v>0</v>
      </c>
      <c r="F92" s="11" t="s">
        <v>49</v>
      </c>
      <c r="G92" s="11" t="s">
        <v>124</v>
      </c>
      <c r="H92" s="11" t="s">
        <v>125</v>
      </c>
      <c r="I92" s="30">
        <v>5.0</v>
      </c>
      <c r="J92" s="31">
        <v>2.0</v>
      </c>
      <c r="K92" s="11">
        <v>6.0</v>
      </c>
      <c r="L92" s="32">
        <f>(26000)/P92</f>
        <v>1.599507844</v>
      </c>
      <c r="M92" s="32">
        <f t="shared" si="22"/>
        <v>0.06151953245</v>
      </c>
      <c r="N92" s="32">
        <f>(10000)/P92</f>
        <v>0.6151953245</v>
      </c>
      <c r="O92" s="32">
        <v>0.0</v>
      </c>
      <c r="P92" s="33">
        <v>16255.0</v>
      </c>
      <c r="Q92" s="34">
        <v>12.0</v>
      </c>
      <c r="R92" s="42">
        <v>3.199015687480775</v>
      </c>
      <c r="S92" s="36">
        <v>0.061519532451553366</v>
      </c>
      <c r="T92" s="36">
        <v>0.6151953245155337</v>
      </c>
      <c r="U92" s="36"/>
      <c r="V92" s="36">
        <v>2.645339895416795</v>
      </c>
      <c r="W92" s="37">
        <v>0.2204449912847329</v>
      </c>
      <c r="X92" s="42">
        <v>52000.0</v>
      </c>
      <c r="Y92" s="36">
        <v>1000.0</v>
      </c>
      <c r="Z92" s="36">
        <v>10000.0</v>
      </c>
      <c r="AA92" s="36"/>
      <c r="AB92" s="36">
        <v>43000.0</v>
      </c>
      <c r="AC92" s="37">
        <v>3583.3333333333335</v>
      </c>
      <c r="AD92" s="31"/>
      <c r="AE92" s="11"/>
      <c r="AF92" s="11"/>
    </row>
    <row r="93">
      <c r="A93" s="11" t="s">
        <v>108</v>
      </c>
      <c r="B93" s="39">
        <v>45444.01458333333</v>
      </c>
      <c r="C93" s="40">
        <v>45450.51875</v>
      </c>
      <c r="D93" s="27" t="s">
        <v>37</v>
      </c>
      <c r="E93" s="11" t="b">
        <v>0</v>
      </c>
      <c r="F93" s="11" t="s">
        <v>49</v>
      </c>
      <c r="G93" s="11" t="s">
        <v>122</v>
      </c>
      <c r="H93" s="11" t="s">
        <v>126</v>
      </c>
      <c r="I93" s="30">
        <v>5.0</v>
      </c>
      <c r="J93" s="31">
        <v>1.0</v>
      </c>
      <c r="K93" s="11">
        <f>(72*6)</f>
        <v>432</v>
      </c>
      <c r="L93" s="32">
        <f>(1800000)/P93</f>
        <v>110.7351584</v>
      </c>
      <c r="M93" s="32">
        <f t="shared" si="22"/>
        <v>0.06151953245</v>
      </c>
      <c r="N93" s="32">
        <f>(100000)/P93</f>
        <v>6.151953245</v>
      </c>
      <c r="O93" s="32">
        <v>0.0</v>
      </c>
      <c r="P93" s="33">
        <v>16255.0</v>
      </c>
      <c r="Q93" s="34">
        <v>432.0</v>
      </c>
      <c r="R93" s="42">
        <v>110.73515841279607</v>
      </c>
      <c r="S93" s="36">
        <v>0.061519532451553366</v>
      </c>
      <c r="T93" s="36">
        <v>6.151953245155337</v>
      </c>
      <c r="U93" s="36"/>
      <c r="V93" s="36">
        <v>104.64472470009228</v>
      </c>
      <c r="W93" s="37">
        <v>0.2422331590279914</v>
      </c>
      <c r="X93" s="42">
        <v>1800000.0</v>
      </c>
      <c r="Y93" s="36">
        <v>1000.0</v>
      </c>
      <c r="Z93" s="36">
        <v>100000.0</v>
      </c>
      <c r="AA93" s="36"/>
      <c r="AB93" s="36">
        <v>1701000.0</v>
      </c>
      <c r="AC93" s="37">
        <v>3937.5</v>
      </c>
      <c r="AD93" s="31"/>
      <c r="AE93" s="11"/>
      <c r="AF93" s="11"/>
    </row>
    <row r="94">
      <c r="A94" s="11" t="s">
        <v>108</v>
      </c>
      <c r="B94" s="39">
        <v>45441.646626747686</v>
      </c>
      <c r="C94" s="40">
        <v>45441.646771851854</v>
      </c>
      <c r="D94" s="27" t="s">
        <v>33</v>
      </c>
      <c r="E94" s="11" t="b">
        <v>0</v>
      </c>
      <c r="F94" s="11" t="s">
        <v>49</v>
      </c>
      <c r="G94" s="11" t="s">
        <v>127</v>
      </c>
      <c r="H94" s="11" t="s">
        <v>128</v>
      </c>
      <c r="I94" s="30">
        <v>5.0</v>
      </c>
      <c r="J94" s="31">
        <v>72.0</v>
      </c>
      <c r="K94" s="11">
        <v>6.0</v>
      </c>
      <c r="L94" s="32">
        <f>(26000)/P94</f>
        <v>1.606822817</v>
      </c>
      <c r="M94" s="32">
        <f t="shared" si="22"/>
        <v>0.06180087757</v>
      </c>
      <c r="N94" s="32">
        <f>(56160)/P94</f>
        <v>3.470737284</v>
      </c>
      <c r="O94" s="32">
        <v>0.0</v>
      </c>
      <c r="P94" s="33">
        <v>16181.0</v>
      </c>
      <c r="Q94" s="34">
        <v>432.0</v>
      </c>
      <c r="R94" s="42">
        <v>115.69124281564798</v>
      </c>
      <c r="S94" s="36">
        <v>0.06180087757246153</v>
      </c>
      <c r="T94" s="36">
        <v>3.4707372844694393</v>
      </c>
      <c r="U94" s="36"/>
      <c r="V94" s="36">
        <v>112.28230640875101</v>
      </c>
      <c r="W94" s="37">
        <v>0.25991274631655326</v>
      </c>
      <c r="X94" s="42">
        <v>1872000.0</v>
      </c>
      <c r="Y94" s="36">
        <v>1000.0</v>
      </c>
      <c r="Z94" s="36">
        <v>56160.0</v>
      </c>
      <c r="AA94" s="36"/>
      <c r="AB94" s="36">
        <v>1816840.0000000002</v>
      </c>
      <c r="AC94" s="37">
        <v>4205.648148148149</v>
      </c>
      <c r="AD94" s="31"/>
      <c r="AE94" s="11"/>
      <c r="AF94" s="11"/>
    </row>
    <row r="95">
      <c r="A95" s="11" t="s">
        <v>108</v>
      </c>
      <c r="B95" s="39">
        <v>45441.489630219905</v>
      </c>
      <c r="C95" s="40">
        <v>45441.64217899306</v>
      </c>
      <c r="D95" s="27" t="s">
        <v>33</v>
      </c>
      <c r="E95" s="11" t="b">
        <v>0</v>
      </c>
      <c r="F95" s="11" t="s">
        <v>49</v>
      </c>
      <c r="G95" s="11" t="s">
        <v>129</v>
      </c>
      <c r="H95" s="11" t="s">
        <v>130</v>
      </c>
      <c r="I95" s="30">
        <v>5.0</v>
      </c>
      <c r="J95" s="31">
        <v>96.0</v>
      </c>
      <c r="K95" s="11">
        <v>6.0</v>
      </c>
      <c r="L95" s="32">
        <f>(26500)/P95</f>
        <v>1.637723256</v>
      </c>
      <c r="M95" s="32">
        <f>(1000 + 53000)/P95</f>
        <v>3.337247389</v>
      </c>
      <c r="N95" s="32">
        <f>(100000)/P95</f>
        <v>6.180087757</v>
      </c>
      <c r="O95" s="32">
        <f>(50000)/P95</f>
        <v>3.090043879</v>
      </c>
      <c r="P95" s="33">
        <v>16181.0</v>
      </c>
      <c r="Q95" s="34">
        <v>576.0</v>
      </c>
      <c r="R95" s="42">
        <v>157.22143254434212</v>
      </c>
      <c r="S95" s="36">
        <v>3.3372473889129224</v>
      </c>
      <c r="T95" s="36">
        <v>6.180087757246153</v>
      </c>
      <c r="U95" s="36">
        <v>3.0900438786230766</v>
      </c>
      <c r="V95" s="36">
        <v>151.2885482973858</v>
      </c>
      <c r="W95" s="37">
        <v>0.26265372968296147</v>
      </c>
      <c r="X95" s="42">
        <v>2544000.0</v>
      </c>
      <c r="Y95" s="36">
        <v>54000.0</v>
      </c>
      <c r="Z95" s="36">
        <v>100000.0</v>
      </c>
      <c r="AA95" s="36">
        <v>50000.0</v>
      </c>
      <c r="AB95" s="36">
        <v>2447999.9999999995</v>
      </c>
      <c r="AC95" s="37">
        <v>4249.999999999999</v>
      </c>
      <c r="AD95" s="31"/>
      <c r="AE95" s="11"/>
      <c r="AF95" s="11"/>
    </row>
    <row r="96">
      <c r="A96" s="11" t="s">
        <v>108</v>
      </c>
      <c r="B96" s="39">
        <v>45441.489630219905</v>
      </c>
      <c r="C96" s="40">
        <v>45441.582197083335</v>
      </c>
      <c r="D96" s="27" t="s">
        <v>33</v>
      </c>
      <c r="E96" s="11" t="b">
        <v>0</v>
      </c>
      <c r="F96" s="11" t="s">
        <v>49</v>
      </c>
      <c r="G96" s="11" t="s">
        <v>127</v>
      </c>
      <c r="H96" s="11" t="s">
        <v>131</v>
      </c>
      <c r="I96" s="30">
        <v>5.0</v>
      </c>
      <c r="J96" s="31">
        <v>80.0</v>
      </c>
      <c r="K96" s="11">
        <v>6.0</v>
      </c>
      <c r="L96" s="32">
        <f>(26000)/P96</f>
        <v>1.606822817</v>
      </c>
      <c r="M96" s="32">
        <f>(1000)/P96</f>
        <v>0.06180087757</v>
      </c>
      <c r="N96" s="32">
        <f>(83200)/P96</f>
        <v>5.141833014</v>
      </c>
      <c r="O96" s="32">
        <v>0.0</v>
      </c>
      <c r="P96" s="33">
        <v>16181.0</v>
      </c>
      <c r="Q96" s="34">
        <v>480.0</v>
      </c>
      <c r="R96" s="42">
        <v>128.54582535071998</v>
      </c>
      <c r="S96" s="36">
        <v>0.06180087757246153</v>
      </c>
      <c r="T96" s="36">
        <v>5.1418330140287996</v>
      </c>
      <c r="U96" s="36"/>
      <c r="V96" s="36">
        <v>123.46579321426364</v>
      </c>
      <c r="W96" s="37">
        <v>0.2572204025297159</v>
      </c>
      <c r="X96" s="42">
        <v>2080000.0</v>
      </c>
      <c r="Y96" s="36">
        <v>1000.0</v>
      </c>
      <c r="Z96" s="36">
        <v>83200.0</v>
      </c>
      <c r="AA96" s="36"/>
      <c r="AB96" s="36">
        <v>1997800.0</v>
      </c>
      <c r="AC96" s="37">
        <v>4162.083333333333</v>
      </c>
      <c r="AD96" s="31"/>
      <c r="AE96" s="11"/>
      <c r="AF96" s="11"/>
    </row>
    <row r="97">
      <c r="A97" s="11" t="s">
        <v>108</v>
      </c>
      <c r="B97" s="39">
        <v>45432.95972222222</v>
      </c>
      <c r="C97" s="40">
        <v>45435.49658005787</v>
      </c>
      <c r="D97" s="27" t="s">
        <v>33</v>
      </c>
      <c r="E97" s="11" t="b">
        <v>0</v>
      </c>
      <c r="F97" s="11" t="s">
        <v>49</v>
      </c>
      <c r="G97" s="11" t="s">
        <v>132</v>
      </c>
      <c r="H97" s="11" t="s">
        <v>133</v>
      </c>
      <c r="I97" s="30">
        <v>5.0</v>
      </c>
      <c r="J97" s="31">
        <v>35.0</v>
      </c>
      <c r="K97" s="11">
        <v>6.0</v>
      </c>
      <c r="L97" s="32">
        <f>(822500/35)/P97</f>
        <v>1.468474661</v>
      </c>
      <c r="M97" s="32">
        <f>(368)/P97</f>
        <v>0.02299568831</v>
      </c>
      <c r="N97" s="32">
        <f>(32900)/P97</f>
        <v>2.055864525</v>
      </c>
      <c r="O97" s="32">
        <v>0.0</v>
      </c>
      <c r="P97" s="33">
        <v>16003.0</v>
      </c>
      <c r="Q97" s="34">
        <v>210.0</v>
      </c>
      <c r="R97" s="42">
        <v>51.396613135037185</v>
      </c>
      <c r="S97" s="36">
        <v>0.022995688308442168</v>
      </c>
      <c r="T97" s="36">
        <v>2.0558645254014873</v>
      </c>
      <c r="U97" s="36"/>
      <c r="V97" s="36">
        <v>49.36374429794414</v>
      </c>
      <c r="W97" s="37">
        <v>0.23506544903782922</v>
      </c>
      <c r="X97" s="42">
        <v>822500.0000000001</v>
      </c>
      <c r="Y97" s="36">
        <v>368.0</v>
      </c>
      <c r="Z97" s="36">
        <v>32900.0</v>
      </c>
      <c r="AA97" s="36"/>
      <c r="AB97" s="36">
        <v>789968.0</v>
      </c>
      <c r="AC97" s="37">
        <v>3761.752380952381</v>
      </c>
      <c r="AD97" s="31"/>
      <c r="AE97" s="11"/>
      <c r="AF97" s="11"/>
    </row>
    <row r="98">
      <c r="A98" s="11" t="s">
        <v>108</v>
      </c>
      <c r="B98" s="39">
        <v>45426.998611111114</v>
      </c>
      <c r="C98" s="40">
        <v>45427.73333333333</v>
      </c>
      <c r="D98" s="27" t="s">
        <v>33</v>
      </c>
      <c r="E98" s="11" t="b">
        <v>0</v>
      </c>
      <c r="F98" s="11" t="s">
        <v>49</v>
      </c>
      <c r="G98" s="11" t="s">
        <v>134</v>
      </c>
      <c r="H98" s="11" t="s">
        <v>135</v>
      </c>
      <c r="I98" s="30">
        <v>5.0</v>
      </c>
      <c r="J98" s="31">
        <v>11.0</v>
      </c>
      <c r="K98" s="11">
        <v>6.0</v>
      </c>
      <c r="L98" s="32">
        <f>(23000)/P98</f>
        <v>1.429104014</v>
      </c>
      <c r="M98" s="32">
        <f>(153)/P98</f>
        <v>0.00950664844</v>
      </c>
      <c r="N98" s="32">
        <f>(12650)/P98</f>
        <v>0.7860072077</v>
      </c>
      <c r="O98" s="32">
        <v>0.0</v>
      </c>
      <c r="P98" s="33">
        <v>16094.0</v>
      </c>
      <c r="Q98" s="34">
        <v>66.0</v>
      </c>
      <c r="R98" s="42">
        <v>15.720144153100536</v>
      </c>
      <c r="S98" s="36">
        <v>0.009506648440412576</v>
      </c>
      <c r="T98" s="36">
        <v>0.7860072076550267</v>
      </c>
      <c r="U98" s="36"/>
      <c r="V98" s="36">
        <v>14.943643593885922</v>
      </c>
      <c r="W98" s="37">
        <v>0.22641884233160486</v>
      </c>
      <c r="X98" s="42">
        <v>253000.00000000003</v>
      </c>
      <c r="Y98" s="36">
        <v>153.0</v>
      </c>
      <c r="Z98" s="36">
        <v>12650.0</v>
      </c>
      <c r="AA98" s="36"/>
      <c r="AB98" s="36">
        <v>240503.00000000003</v>
      </c>
      <c r="AC98" s="37">
        <v>3643.984848484849</v>
      </c>
      <c r="AD98" s="31"/>
      <c r="AE98" s="11"/>
      <c r="AF98" s="11"/>
    </row>
    <row r="99">
      <c r="A99" s="11" t="s">
        <v>108</v>
      </c>
      <c r="B99" s="39">
        <v>45409.32847222222</v>
      </c>
      <c r="C99" s="40">
        <v>45413.416666666664</v>
      </c>
      <c r="D99" s="27" t="s">
        <v>37</v>
      </c>
      <c r="E99" s="11" t="b">
        <v>0</v>
      </c>
      <c r="F99" s="11" t="s">
        <v>38</v>
      </c>
      <c r="G99" s="11" t="s">
        <v>136</v>
      </c>
      <c r="H99" s="11" t="s">
        <v>136</v>
      </c>
      <c r="I99" s="30">
        <v>5.0</v>
      </c>
      <c r="J99" s="31">
        <v>12.0</v>
      </c>
      <c r="K99" s="11">
        <v>6.0</v>
      </c>
      <c r="L99" s="32">
        <f>(23999)/P99</f>
        <v>1.477679946</v>
      </c>
      <c r="M99" s="32">
        <f>(1900 + 1000/2)/P99</f>
        <v>0.1477741518</v>
      </c>
      <c r="N99" s="32">
        <f>(14399)/P99</f>
        <v>0.8865833385</v>
      </c>
      <c r="O99" s="32">
        <v>0.0</v>
      </c>
      <c r="P99" s="33">
        <v>16241.0</v>
      </c>
      <c r="Q99" s="34">
        <v>72.0</v>
      </c>
      <c r="R99" s="42">
        <v>17.732159349793733</v>
      </c>
      <c r="S99" s="36">
        <v>0.14777415183794101</v>
      </c>
      <c r="T99" s="36">
        <v>0.8865833384643803</v>
      </c>
      <c r="U99" s="36"/>
      <c r="V99" s="36">
        <v>16.993350163167293</v>
      </c>
      <c r="W99" s="37">
        <v>0.23601875226621238</v>
      </c>
      <c r="X99" s="42">
        <v>287988.0</v>
      </c>
      <c r="Y99" s="36">
        <v>2400.0</v>
      </c>
      <c r="Z99" s="36">
        <v>14399.0</v>
      </c>
      <c r="AA99" s="36"/>
      <c r="AB99" s="36">
        <v>275989.0</v>
      </c>
      <c r="AC99" s="37">
        <v>3833.1805555555557</v>
      </c>
      <c r="AD99" s="31"/>
      <c r="AE99" s="11"/>
      <c r="AF99" s="11"/>
    </row>
    <row r="100">
      <c r="A100" s="11" t="s">
        <v>108</v>
      </c>
      <c r="B100" s="39">
        <v>45409.04583333333</v>
      </c>
      <c r="C100" s="40">
        <v>45411.6754106713</v>
      </c>
      <c r="D100" s="27" t="s">
        <v>37</v>
      </c>
      <c r="E100" s="11" t="b">
        <v>0</v>
      </c>
      <c r="F100" s="11" t="s">
        <v>49</v>
      </c>
      <c r="G100" s="11" t="s">
        <v>137</v>
      </c>
      <c r="H100" s="11" t="s">
        <v>137</v>
      </c>
      <c r="I100" s="30">
        <v>5.0</v>
      </c>
      <c r="J100" s="31">
        <v>10.0</v>
      </c>
      <c r="K100" s="11">
        <v>6.0</v>
      </c>
      <c r="L100" s="32">
        <f>(230000/10)/P100</f>
        <v>1.416168955</v>
      </c>
      <c r="M100" s="32">
        <f t="shared" ref="M100:M102" si="23">(1000)/P100</f>
        <v>0.06157256327</v>
      </c>
      <c r="N100" s="32">
        <v>0.0</v>
      </c>
      <c r="O100" s="32">
        <v>0.0</v>
      </c>
      <c r="P100" s="33">
        <v>16241.0</v>
      </c>
      <c r="Q100" s="34">
        <v>60.0</v>
      </c>
      <c r="R100" s="42">
        <v>14.161689551136014</v>
      </c>
      <c r="S100" s="36">
        <v>0.061572563265808754</v>
      </c>
      <c r="T100" s="36"/>
      <c r="U100" s="36"/>
      <c r="V100" s="36">
        <v>14.223262114401823</v>
      </c>
      <c r="W100" s="37">
        <v>0.23705436857336373</v>
      </c>
      <c r="X100" s="42">
        <v>230000.0</v>
      </c>
      <c r="Y100" s="36">
        <v>1000.0</v>
      </c>
      <c r="Z100" s="36"/>
      <c r="AA100" s="36"/>
      <c r="AB100" s="36">
        <v>231000.0</v>
      </c>
      <c r="AC100" s="37">
        <v>3850.0</v>
      </c>
      <c r="AD100" s="31"/>
      <c r="AE100" s="11"/>
      <c r="AF100" s="11"/>
    </row>
    <row r="101">
      <c r="A101" s="11" t="s">
        <v>108</v>
      </c>
      <c r="B101" s="39">
        <v>45409.01388888889</v>
      </c>
      <c r="C101" s="40">
        <v>45411.424305555556</v>
      </c>
      <c r="D101" s="27" t="s">
        <v>33</v>
      </c>
      <c r="E101" s="11" t="b">
        <v>0</v>
      </c>
      <c r="F101" s="11" t="s">
        <v>49</v>
      </c>
      <c r="G101" s="11" t="s">
        <v>138</v>
      </c>
      <c r="H101" s="11" t="s">
        <v>138</v>
      </c>
      <c r="I101" s="30">
        <v>5.0</v>
      </c>
      <c r="J101" s="31">
        <v>4.0</v>
      </c>
      <c r="K101" s="11">
        <v>6.0</v>
      </c>
      <c r="L101" s="32">
        <f>(103996/4)/P101</f>
        <v>1.600825072</v>
      </c>
      <c r="M101" s="32">
        <f t="shared" si="23"/>
        <v>0.06157256327</v>
      </c>
      <c r="N101" s="32">
        <f>(10000)/P101</f>
        <v>0.6157256327</v>
      </c>
      <c r="O101" s="32">
        <v>0.0</v>
      </c>
      <c r="P101" s="33">
        <v>16241.0</v>
      </c>
      <c r="Q101" s="34">
        <v>24.0</v>
      </c>
      <c r="R101" s="42">
        <v>6.403300289391048</v>
      </c>
      <c r="S101" s="36">
        <v>0.061572563265808754</v>
      </c>
      <c r="T101" s="36">
        <v>0.6157256326580876</v>
      </c>
      <c r="U101" s="36"/>
      <c r="V101" s="36">
        <v>5.84914721999877</v>
      </c>
      <c r="W101" s="37">
        <v>0.24371446749994874</v>
      </c>
      <c r="X101" s="42">
        <v>103996.0</v>
      </c>
      <c r="Y101" s="36">
        <v>1000.0</v>
      </c>
      <c r="Z101" s="36">
        <v>10000.0</v>
      </c>
      <c r="AA101" s="36"/>
      <c r="AB101" s="36">
        <v>94996.00000000001</v>
      </c>
      <c r="AC101" s="37">
        <v>3958.1666666666674</v>
      </c>
      <c r="AD101" s="31"/>
      <c r="AE101" s="11"/>
      <c r="AF101" s="11"/>
    </row>
    <row r="102">
      <c r="A102" s="11" t="s">
        <v>108</v>
      </c>
      <c r="B102" s="39">
        <v>45384.22708333333</v>
      </c>
      <c r="C102" s="40">
        <v>45384.49791666667</v>
      </c>
      <c r="D102" s="27" t="s">
        <v>33</v>
      </c>
      <c r="E102" s="11" t="b">
        <v>0</v>
      </c>
      <c r="F102" s="11" t="s">
        <v>49</v>
      </c>
      <c r="G102" s="11" t="s">
        <v>139</v>
      </c>
      <c r="H102" s="11" t="s">
        <v>139</v>
      </c>
      <c r="I102" s="30">
        <v>5.0</v>
      </c>
      <c r="J102" s="31">
        <v>29.0</v>
      </c>
      <c r="K102" s="11">
        <v>6.0</v>
      </c>
      <c r="L102" s="32">
        <f>(667000/29)/P102</f>
        <v>1.445904319</v>
      </c>
      <c r="M102" s="32">
        <f t="shared" si="23"/>
        <v>0.06286540517</v>
      </c>
      <c r="N102" s="32">
        <f>(33350)/P102</f>
        <v>2.096561262</v>
      </c>
      <c r="O102" s="32">
        <v>0.0</v>
      </c>
      <c r="P102" s="33">
        <v>15907.0</v>
      </c>
      <c r="Q102" s="34">
        <v>174.0</v>
      </c>
      <c r="R102" s="42">
        <v>41.93122524674671</v>
      </c>
      <c r="S102" s="36">
        <v>0.0628654051675363</v>
      </c>
      <c r="T102" s="36">
        <v>2.0965612623373358</v>
      </c>
      <c r="U102" s="36"/>
      <c r="V102" s="36">
        <v>39.89752938957691</v>
      </c>
      <c r="W102" s="37">
        <v>0.22929614591710867</v>
      </c>
      <c r="X102" s="42">
        <v>667000.0</v>
      </c>
      <c r="Y102" s="36">
        <v>1000.0</v>
      </c>
      <c r="Z102" s="36">
        <v>33350.0</v>
      </c>
      <c r="AA102" s="36"/>
      <c r="AB102" s="36">
        <v>634649.9999999999</v>
      </c>
      <c r="AC102" s="37">
        <v>3647.4137931034475</v>
      </c>
      <c r="AD102" s="31"/>
      <c r="AE102" s="11"/>
      <c r="AF102" s="11"/>
    </row>
    <row r="103">
      <c r="A103" s="11" t="s">
        <v>108</v>
      </c>
      <c r="B103" s="39">
        <v>45379.21805555555</v>
      </c>
      <c r="C103" s="40">
        <v>45382.395370370374</v>
      </c>
      <c r="D103" s="27" t="s">
        <v>37</v>
      </c>
      <c r="E103" s="11" t="b">
        <v>0</v>
      </c>
      <c r="F103" s="11" t="s">
        <v>49</v>
      </c>
      <c r="G103" s="11" t="s">
        <v>140</v>
      </c>
      <c r="H103" s="11" t="s">
        <v>140</v>
      </c>
      <c r="I103" s="30">
        <v>5.0</v>
      </c>
      <c r="J103" s="31">
        <v>7.0</v>
      </c>
      <c r="K103" s="11">
        <v>6.0</v>
      </c>
      <c r="L103" s="32">
        <f>(173250/7)/P103</f>
        <v>1.559251559</v>
      </c>
      <c r="M103" s="32">
        <f>(3000 + 1000)/P103</f>
        <v>0.252000252</v>
      </c>
      <c r="N103" s="32">
        <f>(17325)/P103</f>
        <v>1.091476091</v>
      </c>
      <c r="O103" s="32">
        <v>0.0</v>
      </c>
      <c r="P103" s="33">
        <v>15873.0</v>
      </c>
      <c r="Q103" s="34">
        <v>42.0</v>
      </c>
      <c r="R103" s="42">
        <v>10.914760914760915</v>
      </c>
      <c r="S103" s="36">
        <v>0.252000252000252</v>
      </c>
      <c r="T103" s="36">
        <v>1.0914760914760915</v>
      </c>
      <c r="U103" s="36"/>
      <c r="V103" s="36">
        <v>10.075285075285077</v>
      </c>
      <c r="W103" s="37">
        <v>0.23988773988773993</v>
      </c>
      <c r="X103" s="42">
        <v>173250.0</v>
      </c>
      <c r="Y103" s="36">
        <v>4000.0</v>
      </c>
      <c r="Z103" s="36">
        <v>17325.0</v>
      </c>
      <c r="AA103" s="36"/>
      <c r="AB103" s="36">
        <v>159925.00000000003</v>
      </c>
      <c r="AC103" s="37">
        <v>3807.738095238096</v>
      </c>
      <c r="AD103" s="31"/>
      <c r="AE103" s="11"/>
      <c r="AF103" s="11"/>
    </row>
    <row r="104">
      <c r="A104" s="11" t="s">
        <v>108</v>
      </c>
      <c r="B104" s="39">
        <v>45356.35277777778</v>
      </c>
      <c r="C104" s="40">
        <v>45356.65138888889</v>
      </c>
      <c r="D104" s="27" t="s">
        <v>33</v>
      </c>
      <c r="E104" s="11" t="b">
        <v>0</v>
      </c>
      <c r="F104" s="11" t="s">
        <v>49</v>
      </c>
      <c r="G104" s="11" t="s">
        <v>89</v>
      </c>
      <c r="H104" s="11" t="s">
        <v>89</v>
      </c>
      <c r="I104" s="30">
        <v>5.0</v>
      </c>
      <c r="J104" s="31">
        <v>5.0</v>
      </c>
      <c r="K104" s="11">
        <v>6.0</v>
      </c>
      <c r="L104" s="32">
        <f>(24900)/P104</f>
        <v>1.580952381</v>
      </c>
      <c r="M104" s="32">
        <f t="shared" ref="M104:M105" si="24">(1000)/P104</f>
        <v>0.06349206349</v>
      </c>
      <c r="N104" s="32">
        <v>0.0</v>
      </c>
      <c r="O104" s="32">
        <v>0.0</v>
      </c>
      <c r="P104" s="33">
        <v>15750.0</v>
      </c>
      <c r="Q104" s="34">
        <v>30.0</v>
      </c>
      <c r="R104" s="42">
        <v>7.904761904761904</v>
      </c>
      <c r="S104" s="36">
        <v>0.06349206349206349</v>
      </c>
      <c r="T104" s="36"/>
      <c r="U104" s="36"/>
      <c r="V104" s="36">
        <v>7.9682539682539675</v>
      </c>
      <c r="W104" s="37">
        <v>0.26560846560846557</v>
      </c>
      <c r="X104" s="42">
        <v>124499.99999999999</v>
      </c>
      <c r="Y104" s="36">
        <v>1000.0</v>
      </c>
      <c r="Z104" s="36"/>
      <c r="AA104" s="36"/>
      <c r="AB104" s="36">
        <v>125499.99999999999</v>
      </c>
      <c r="AC104" s="37">
        <v>4183.333333333333</v>
      </c>
      <c r="AD104" s="31"/>
      <c r="AE104" s="11"/>
      <c r="AF104" s="11"/>
    </row>
    <row r="105">
      <c r="A105" s="11" t="s">
        <v>108</v>
      </c>
      <c r="B105" s="39">
        <v>45355.72299638889</v>
      </c>
      <c r="C105" s="40">
        <v>45357.791666666664</v>
      </c>
      <c r="D105" s="27" t="s">
        <v>33</v>
      </c>
      <c r="E105" s="11" t="b">
        <v>0</v>
      </c>
      <c r="F105" s="11" t="s">
        <v>49</v>
      </c>
      <c r="G105" s="11" t="s">
        <v>89</v>
      </c>
      <c r="H105" s="11" t="s">
        <v>89</v>
      </c>
      <c r="I105" s="30">
        <v>5.0</v>
      </c>
      <c r="J105" s="31">
        <v>1.0</v>
      </c>
      <c r="K105" s="11">
        <v>6.0</v>
      </c>
      <c r="L105" s="32">
        <f>(25000)/P105</f>
        <v>1.588209135</v>
      </c>
      <c r="M105" s="32">
        <f t="shared" si="24"/>
        <v>0.06352836542</v>
      </c>
      <c r="N105" s="32">
        <f t="shared" ref="N105:N106" si="25">(10000)/P105</f>
        <v>0.6352836542</v>
      </c>
      <c r="O105" s="32">
        <v>0.0</v>
      </c>
      <c r="P105" s="33">
        <v>15741.0</v>
      </c>
      <c r="Q105" s="34">
        <v>6.0</v>
      </c>
      <c r="R105" s="42">
        <v>1.5882091353789467</v>
      </c>
      <c r="S105" s="36">
        <v>0.06352836541515787</v>
      </c>
      <c r="T105" s="36">
        <v>0.6352836541515787</v>
      </c>
      <c r="U105" s="36"/>
      <c r="V105" s="36">
        <v>1.016453846642526</v>
      </c>
      <c r="W105" s="37">
        <v>0.169408974440421</v>
      </c>
      <c r="X105" s="42">
        <v>25000.0</v>
      </c>
      <c r="Y105" s="36">
        <v>1000.0</v>
      </c>
      <c r="Z105" s="36">
        <v>10000.0</v>
      </c>
      <c r="AA105" s="36"/>
      <c r="AB105" s="36">
        <v>16000.0</v>
      </c>
      <c r="AC105" s="37">
        <v>2666.6666666666665</v>
      </c>
      <c r="AD105" s="31"/>
      <c r="AE105" s="11"/>
      <c r="AF105" s="11"/>
    </row>
    <row r="106">
      <c r="A106" s="11" t="s">
        <v>108</v>
      </c>
      <c r="B106" s="39">
        <v>45354.049305555556</v>
      </c>
      <c r="C106" s="40">
        <v>45359.66111111111</v>
      </c>
      <c r="D106" s="27" t="s">
        <v>33</v>
      </c>
      <c r="E106" s="11" t="b">
        <v>0</v>
      </c>
      <c r="F106" s="11" t="s">
        <v>49</v>
      </c>
      <c r="G106" s="11" t="s">
        <v>89</v>
      </c>
      <c r="H106" s="11" t="s">
        <v>89</v>
      </c>
      <c r="I106" s="30">
        <v>5.0</v>
      </c>
      <c r="J106" s="31">
        <v>2.0</v>
      </c>
      <c r="K106" s="11">
        <v>6.0</v>
      </c>
      <c r="L106" s="32">
        <f>(24900)/P106</f>
        <v>1.585886249</v>
      </c>
      <c r="M106" s="32">
        <f>(295 + 1000)/P106</f>
        <v>0.082478823</v>
      </c>
      <c r="N106" s="32">
        <f t="shared" si="25"/>
        <v>0.6369021081</v>
      </c>
      <c r="O106" s="32">
        <v>0.0</v>
      </c>
      <c r="P106" s="33">
        <v>15701.0</v>
      </c>
      <c r="Q106" s="34">
        <v>12.0</v>
      </c>
      <c r="R106" s="42">
        <v>3.17177249856697</v>
      </c>
      <c r="S106" s="36">
        <v>0.08247882300490414</v>
      </c>
      <c r="T106" s="36">
        <v>0.6369021081459779</v>
      </c>
      <c r="U106" s="36"/>
      <c r="V106" s="36">
        <v>2.6173492134258964</v>
      </c>
      <c r="W106" s="37">
        <v>0.21811243445215803</v>
      </c>
      <c r="X106" s="42">
        <v>49800.0</v>
      </c>
      <c r="Y106" s="36">
        <v>1295.0</v>
      </c>
      <c r="Z106" s="36">
        <v>10000.0</v>
      </c>
      <c r="AA106" s="36"/>
      <c r="AB106" s="36">
        <v>41095.0</v>
      </c>
      <c r="AC106" s="37">
        <v>3424.5833333333335</v>
      </c>
      <c r="AD106" s="31"/>
      <c r="AE106" s="11"/>
      <c r="AF106" s="11"/>
    </row>
    <row r="107">
      <c r="A107" s="11" t="s">
        <v>108</v>
      </c>
      <c r="B107" s="39">
        <v>45352.78333333333</v>
      </c>
      <c r="C107" s="40">
        <v>45363.741481481484</v>
      </c>
      <c r="D107" s="27" t="s">
        <v>33</v>
      </c>
      <c r="E107" s="11" t="b">
        <v>0</v>
      </c>
      <c r="F107" s="11" t="s">
        <v>49</v>
      </c>
      <c r="G107" s="11" t="s">
        <v>89</v>
      </c>
      <c r="H107" s="11" t="s">
        <v>89</v>
      </c>
      <c r="I107" s="30">
        <v>5.0</v>
      </c>
      <c r="J107" s="31">
        <v>590.0</v>
      </c>
      <c r="K107" s="11">
        <v>1.0</v>
      </c>
      <c r="L107" s="32">
        <f>(2490000/590)/P107</f>
        <v>0.2688114002</v>
      </c>
      <c r="M107" s="32">
        <f t="shared" ref="M107:M108" si="26">(1000)/P107</f>
        <v>0.06369426752</v>
      </c>
      <c r="N107" s="32">
        <f>(97608 + 49820)/P107</f>
        <v>9.390318471</v>
      </c>
      <c r="O107" s="32">
        <v>0.0</v>
      </c>
      <c r="P107" s="33">
        <v>15700.0</v>
      </c>
      <c r="Q107" s="34">
        <v>590.0</v>
      </c>
      <c r="R107" s="42">
        <v>158.59872611464968</v>
      </c>
      <c r="S107" s="36">
        <v>0.06369426751592357</v>
      </c>
      <c r="T107" s="36">
        <v>9.39031847133758</v>
      </c>
      <c r="U107" s="36"/>
      <c r="V107" s="36">
        <v>149.27210191082804</v>
      </c>
      <c r="W107" s="37">
        <v>0.2530035625607255</v>
      </c>
      <c r="X107" s="42">
        <v>2490000.0</v>
      </c>
      <c r="Y107" s="36">
        <v>1000.0</v>
      </c>
      <c r="Z107" s="36">
        <v>147428.0</v>
      </c>
      <c r="AA107" s="36"/>
      <c r="AB107" s="36">
        <v>2343572.0000000005</v>
      </c>
      <c r="AC107" s="37">
        <v>3972.1559322033904</v>
      </c>
      <c r="AD107" s="31"/>
      <c r="AE107" s="11"/>
      <c r="AF107" s="11"/>
    </row>
    <row r="108">
      <c r="A108" s="11" t="s">
        <v>108</v>
      </c>
      <c r="B108" s="39">
        <v>45337.481944444444</v>
      </c>
      <c r="C108" s="40">
        <v>45337.64905431713</v>
      </c>
      <c r="D108" s="27" t="s">
        <v>33</v>
      </c>
      <c r="E108" s="11" t="b">
        <v>0</v>
      </c>
      <c r="F108" s="11" t="s">
        <v>49</v>
      </c>
      <c r="G108" s="11" t="s">
        <v>89</v>
      </c>
      <c r="H108" s="11" t="s">
        <v>89</v>
      </c>
      <c r="I108" s="30">
        <v>5.0</v>
      </c>
      <c r="J108" s="31">
        <v>10.0</v>
      </c>
      <c r="K108" s="11">
        <v>6.0</v>
      </c>
      <c r="L108" s="32">
        <f>(25000)/P108</f>
        <v>1.599283521</v>
      </c>
      <c r="M108" s="32">
        <f t="shared" si="26"/>
        <v>0.06397134084</v>
      </c>
      <c r="N108" s="32">
        <v>0.0</v>
      </c>
      <c r="O108" s="32">
        <v>0.0</v>
      </c>
      <c r="P108" s="33">
        <v>15632.0</v>
      </c>
      <c r="Q108" s="34">
        <v>60.0</v>
      </c>
      <c r="R108" s="42">
        <v>15.992835209825998</v>
      </c>
      <c r="S108" s="36">
        <v>0.06397134083930399</v>
      </c>
      <c r="T108" s="36"/>
      <c r="U108" s="36"/>
      <c r="V108" s="36">
        <v>16.056806550665303</v>
      </c>
      <c r="W108" s="37">
        <v>0.2676134425110884</v>
      </c>
      <c r="X108" s="42">
        <v>250000.0</v>
      </c>
      <c r="Y108" s="36">
        <v>1000.0</v>
      </c>
      <c r="Z108" s="36"/>
      <c r="AA108" s="36"/>
      <c r="AB108" s="36">
        <v>251000.00000000003</v>
      </c>
      <c r="AC108" s="37">
        <v>4183.333333333334</v>
      </c>
      <c r="AD108" s="31"/>
      <c r="AE108" s="11"/>
      <c r="AF108" s="11"/>
    </row>
    <row r="109">
      <c r="A109" s="11" t="s">
        <v>108</v>
      </c>
      <c r="B109" s="39">
        <v>45242.0</v>
      </c>
      <c r="C109" s="40">
        <v>45242.0</v>
      </c>
      <c r="D109" s="27" t="s">
        <v>33</v>
      </c>
      <c r="E109" s="11" t="b">
        <v>0</v>
      </c>
      <c r="F109" s="11" t="s">
        <v>104</v>
      </c>
      <c r="G109" s="11" t="s">
        <v>104</v>
      </c>
      <c r="H109" s="11" t="s">
        <v>104</v>
      </c>
      <c r="I109" s="30">
        <v>5.0</v>
      </c>
      <c r="J109" s="31">
        <v>8.0</v>
      </c>
      <c r="K109" s="11">
        <v>6.0</v>
      </c>
      <c r="L109" s="32">
        <f>(23800)/P109</f>
        <v>1.51824445</v>
      </c>
      <c r="M109" s="32">
        <f>(18000+1000)/P109</f>
        <v>1.212043889</v>
      </c>
      <c r="N109" s="32">
        <f>(38080)/P109</f>
        <v>2.42919112</v>
      </c>
      <c r="O109" s="32">
        <f>(18000)/P109</f>
        <v>1.148252105</v>
      </c>
      <c r="P109" s="33">
        <v>15676.0</v>
      </c>
      <c r="Q109" s="34">
        <v>48.0</v>
      </c>
      <c r="R109" s="42">
        <v>12.145955600918601</v>
      </c>
      <c r="S109" s="36">
        <v>1.2120438887471294</v>
      </c>
      <c r="T109" s="36">
        <v>2.42919112018372</v>
      </c>
      <c r="U109" s="36">
        <v>1.1482521051288594</v>
      </c>
      <c r="V109" s="36">
        <v>9.78055626435315</v>
      </c>
      <c r="W109" s="37">
        <v>0.20376158884069062</v>
      </c>
      <c r="X109" s="42">
        <v>190400.0</v>
      </c>
      <c r="Y109" s="36">
        <v>19000.0</v>
      </c>
      <c r="Z109" s="36">
        <v>38080.0</v>
      </c>
      <c r="AA109" s="36">
        <v>18000.0</v>
      </c>
      <c r="AB109" s="36">
        <v>153319.99999999997</v>
      </c>
      <c r="AC109" s="37">
        <v>3194.166666666666</v>
      </c>
      <c r="AD109" s="31"/>
      <c r="AE109" s="11"/>
      <c r="AF109" s="11"/>
    </row>
    <row r="110">
      <c r="A110" s="11" t="s">
        <v>108</v>
      </c>
      <c r="B110" s="39">
        <v>45235.0</v>
      </c>
      <c r="C110" s="40">
        <v>45236.48415310185</v>
      </c>
      <c r="D110" s="27" t="s">
        <v>33</v>
      </c>
      <c r="E110" s="11" t="b">
        <v>0</v>
      </c>
      <c r="F110" s="11" t="s">
        <v>104</v>
      </c>
      <c r="G110" s="11" t="s">
        <v>104</v>
      </c>
      <c r="H110" s="11" t="s">
        <v>104</v>
      </c>
      <c r="I110" s="30">
        <v>5.0</v>
      </c>
      <c r="J110" s="31">
        <f>5*12</f>
        <v>60</v>
      </c>
      <c r="K110" s="11">
        <v>6.0</v>
      </c>
      <c r="L110" s="32">
        <f>(31000)/P110</f>
        <v>1.996393612</v>
      </c>
      <c r="M110" s="32">
        <v>0.0</v>
      </c>
      <c r="N110" s="32">
        <f>(437100)/P110</f>
        <v>28.14914992</v>
      </c>
      <c r="O110" s="32">
        <v>0.0</v>
      </c>
      <c r="P110" s="58">
        <v>15528.0</v>
      </c>
      <c r="Q110" s="34">
        <v>360.0</v>
      </c>
      <c r="R110" s="42">
        <v>119.78361669242658</v>
      </c>
      <c r="S110" s="36"/>
      <c r="T110" s="36">
        <v>28.149149922720248</v>
      </c>
      <c r="U110" s="36"/>
      <c r="V110" s="36">
        <v>91.63446676970634</v>
      </c>
      <c r="W110" s="37">
        <v>0.2545401854714065</v>
      </c>
      <c r="X110" s="42">
        <v>1860000.0</v>
      </c>
      <c r="Y110" s="36"/>
      <c r="Z110" s="36">
        <v>437100.0</v>
      </c>
      <c r="AA110" s="36"/>
      <c r="AB110" s="36">
        <v>1422900.0</v>
      </c>
      <c r="AC110" s="37">
        <v>3952.5</v>
      </c>
      <c r="AD110" s="31"/>
      <c r="AE110" s="11"/>
      <c r="AF110" s="11"/>
    </row>
    <row r="111">
      <c r="A111" s="11" t="s">
        <v>108</v>
      </c>
      <c r="B111" s="39">
        <v>45216.0</v>
      </c>
      <c r="C111" s="40">
        <v>45218.87241950231</v>
      </c>
      <c r="D111" s="27" t="s">
        <v>33</v>
      </c>
      <c r="E111" s="11" t="b">
        <v>0</v>
      </c>
      <c r="F111" s="11" t="s">
        <v>104</v>
      </c>
      <c r="G111" s="11" t="s">
        <v>104</v>
      </c>
      <c r="H111" s="11" t="s">
        <v>104</v>
      </c>
      <c r="I111" s="30">
        <v>5.0</v>
      </c>
      <c r="J111" s="31">
        <f>1*12</f>
        <v>12</v>
      </c>
      <c r="K111" s="11">
        <v>6.0</v>
      </c>
      <c r="L111" s="32">
        <f t="shared" ref="L111:L112" si="27">(27900)/P111</f>
        <v>1.760252366</v>
      </c>
      <c r="M111" s="32">
        <v>0.0</v>
      </c>
      <c r="N111" s="32">
        <f>(78678)/P111</f>
        <v>4.963911672</v>
      </c>
      <c r="O111" s="32">
        <v>0.0</v>
      </c>
      <c r="P111" s="58">
        <v>15850.0</v>
      </c>
      <c r="Q111" s="34">
        <v>72.0</v>
      </c>
      <c r="R111" s="42">
        <v>21.123028391167193</v>
      </c>
      <c r="S111" s="36"/>
      <c r="T111" s="36">
        <v>4.96391167192429</v>
      </c>
      <c r="U111" s="36"/>
      <c r="V111" s="36">
        <v>16.159116719242903</v>
      </c>
      <c r="W111" s="37">
        <v>0.22443217665615142</v>
      </c>
      <c r="X111" s="42">
        <v>334800.0</v>
      </c>
      <c r="Y111" s="36"/>
      <c r="Z111" s="36">
        <v>78678.0</v>
      </c>
      <c r="AA111" s="36"/>
      <c r="AB111" s="36">
        <v>256122.0</v>
      </c>
      <c r="AC111" s="37">
        <v>3557.25</v>
      </c>
      <c r="AD111" s="31"/>
      <c r="AE111" s="11"/>
      <c r="AF111" s="11"/>
    </row>
    <row r="112">
      <c r="A112" s="11" t="s">
        <v>108</v>
      </c>
      <c r="B112" s="39">
        <v>45091.0</v>
      </c>
      <c r="C112" s="40">
        <v>45092.0</v>
      </c>
      <c r="D112" s="27" t="s">
        <v>33</v>
      </c>
      <c r="E112" s="11" t="b">
        <v>0</v>
      </c>
      <c r="F112" s="11" t="s">
        <v>104</v>
      </c>
      <c r="G112" s="11" t="s">
        <v>104</v>
      </c>
      <c r="H112" s="11" t="s">
        <v>104</v>
      </c>
      <c r="I112" s="30">
        <v>5.0</v>
      </c>
      <c r="J112" s="31">
        <f>2*12</f>
        <v>24</v>
      </c>
      <c r="K112" s="11">
        <v>6.0</v>
      </c>
      <c r="L112" s="32">
        <f t="shared" si="27"/>
        <v>1.865846318</v>
      </c>
      <c r="M112" s="32">
        <v>0.0</v>
      </c>
      <c r="N112" s="32">
        <f>(157356)/P112</f>
        <v>10.52337324</v>
      </c>
      <c r="O112" s="32">
        <v>0.0</v>
      </c>
      <c r="P112" s="33">
        <v>14953.0</v>
      </c>
      <c r="Q112" s="34">
        <v>144.0</v>
      </c>
      <c r="R112" s="42">
        <v>44.780311643148536</v>
      </c>
      <c r="S112" s="36"/>
      <c r="T112" s="36">
        <v>10.523373236139905</v>
      </c>
      <c r="U112" s="36"/>
      <c r="V112" s="36">
        <v>34.25693840700863</v>
      </c>
      <c r="W112" s="37">
        <v>0.23789540560422662</v>
      </c>
      <c r="X112" s="42">
        <v>669600.0000000001</v>
      </c>
      <c r="Y112" s="36"/>
      <c r="Z112" s="36">
        <v>157356.0</v>
      </c>
      <c r="AA112" s="36"/>
      <c r="AB112" s="36">
        <v>512244.0000000001</v>
      </c>
      <c r="AC112" s="37">
        <v>3557.250000000001</v>
      </c>
      <c r="AD112" s="31"/>
      <c r="AE112" s="11"/>
      <c r="AF112" s="11"/>
    </row>
    <row r="113">
      <c r="A113" s="11" t="s">
        <v>141</v>
      </c>
      <c r="B113" s="77">
        <v>45996.71597222222</v>
      </c>
      <c r="C113" s="40">
        <v>46012.67361111111</v>
      </c>
      <c r="D113" s="27" t="s">
        <v>33</v>
      </c>
      <c r="E113" s="11" t="b">
        <v>0</v>
      </c>
      <c r="F113" s="11" t="s">
        <v>104</v>
      </c>
      <c r="G113" s="11" t="s">
        <v>104</v>
      </c>
      <c r="H113" s="11" t="s">
        <v>104</v>
      </c>
      <c r="I113" s="30">
        <v>5.0</v>
      </c>
      <c r="J113" s="31">
        <v>1.0</v>
      </c>
      <c r="K113" s="11">
        <v>288.0</v>
      </c>
      <c r="L113" s="32">
        <f>(1578420)/P113</f>
        <v>1578420</v>
      </c>
      <c r="M113" s="32">
        <v>0.0</v>
      </c>
      <c r="N113" s="32">
        <f>(100000 + 438011)/P113</f>
        <v>538011</v>
      </c>
      <c r="O113" s="32">
        <v>0.0</v>
      </c>
      <c r="P113" s="33">
        <v>1.0</v>
      </c>
      <c r="Q113" s="34">
        <v>288.0</v>
      </c>
      <c r="R113" s="42">
        <v>1578420.0</v>
      </c>
      <c r="S113" s="36"/>
      <c r="T113" s="36">
        <v>538011.0</v>
      </c>
      <c r="U113" s="36"/>
      <c r="V113" s="36">
        <v>1040409.0</v>
      </c>
      <c r="W113" s="37">
        <v>3612.53125</v>
      </c>
      <c r="X113" s="42">
        <v>1578420.0</v>
      </c>
      <c r="Y113" s="36"/>
      <c r="Z113" s="36">
        <v>538011.0</v>
      </c>
      <c r="AA113" s="36"/>
      <c r="AB113" s="36">
        <v>1040409.0</v>
      </c>
      <c r="AC113" s="37">
        <v>3612.53125</v>
      </c>
      <c r="AD113" s="31"/>
      <c r="AE113" s="11"/>
      <c r="AF113" s="11"/>
    </row>
    <row r="114">
      <c r="A114" s="11" t="s">
        <v>141</v>
      </c>
      <c r="B114" s="39">
        <v>45955.04375</v>
      </c>
      <c r="C114" s="40">
        <v>45957.47361111111</v>
      </c>
      <c r="D114" s="27" t="s">
        <v>33</v>
      </c>
      <c r="E114" s="11" t="b">
        <v>0</v>
      </c>
      <c r="F114" s="11" t="s">
        <v>49</v>
      </c>
      <c r="G114" s="11" t="s">
        <v>142</v>
      </c>
      <c r="H114" s="11" t="s">
        <v>143</v>
      </c>
      <c r="I114" s="30">
        <v>5.0</v>
      </c>
      <c r="J114" s="31">
        <v>24.0</v>
      </c>
      <c r="K114" s="11">
        <v>6.0</v>
      </c>
      <c r="L114" s="32">
        <f>(23400)/P114</f>
        <v>1.407942238</v>
      </c>
      <c r="M114" s="32">
        <f>(846)/P114</f>
        <v>0.05090252708</v>
      </c>
      <c r="N114" s="32">
        <f>(X114*15%)/P114</f>
        <v>5.068592058</v>
      </c>
      <c r="O114" s="32">
        <v>0.0</v>
      </c>
      <c r="P114" s="33">
        <v>16620.0</v>
      </c>
      <c r="Q114" s="34">
        <v>144.0</v>
      </c>
      <c r="R114" s="42">
        <v>33.79061371841155</v>
      </c>
      <c r="S114" s="36">
        <v>0.050902527075812276</v>
      </c>
      <c r="T114" s="36">
        <v>5.068592057761733</v>
      </c>
      <c r="U114" s="36"/>
      <c r="V114" s="36">
        <v>28.77292418772563</v>
      </c>
      <c r="W114" s="37">
        <v>0.19981197352587243</v>
      </c>
      <c r="X114" s="42">
        <v>561600.0</v>
      </c>
      <c r="Y114" s="36">
        <v>846.0</v>
      </c>
      <c r="Z114" s="36">
        <v>84240.0</v>
      </c>
      <c r="AA114" s="36"/>
      <c r="AB114" s="36">
        <v>478205.99999999994</v>
      </c>
      <c r="AC114" s="37">
        <v>3320.8749999999995</v>
      </c>
      <c r="AD114" s="31"/>
      <c r="AE114" s="11"/>
      <c r="AF114" s="11"/>
    </row>
    <row r="115">
      <c r="A115" s="11" t="s">
        <v>141</v>
      </c>
      <c r="B115" s="39">
        <v>45802.65625</v>
      </c>
      <c r="C115" s="40">
        <v>45811.416666666664</v>
      </c>
      <c r="D115" s="27" t="s">
        <v>33</v>
      </c>
      <c r="E115" s="11" t="b">
        <v>0</v>
      </c>
      <c r="F115" s="11" t="s">
        <v>104</v>
      </c>
      <c r="G115" s="11" t="s">
        <v>104</v>
      </c>
      <c r="H115" s="11" t="s">
        <v>104</v>
      </c>
      <c r="I115" s="30">
        <v>5.0</v>
      </c>
      <c r="J115" s="31">
        <v>1.0</v>
      </c>
      <c r="K115" s="11">
        <v>288.0</v>
      </c>
      <c r="L115" s="32">
        <f t="shared" ref="L115:L118" si="28">(1578420)/P115</f>
        <v>96.9664578</v>
      </c>
      <c r="M115" s="32">
        <v>0.0</v>
      </c>
      <c r="N115" s="32">
        <f t="shared" ref="N115:N116" si="29">(100000 + 438011)/P115</f>
        <v>33.05141909</v>
      </c>
      <c r="O115" s="32">
        <v>0.0</v>
      </c>
      <c r="P115" s="33">
        <v>16278.0</v>
      </c>
      <c r="Q115" s="34">
        <v>288.0</v>
      </c>
      <c r="R115" s="42">
        <v>96.96645779579801</v>
      </c>
      <c r="S115" s="36"/>
      <c r="T115" s="36">
        <v>33.0514190932547</v>
      </c>
      <c r="U115" s="36"/>
      <c r="V115" s="36">
        <v>63.915038702543306</v>
      </c>
      <c r="W115" s="37">
        <v>0.22192721771716425</v>
      </c>
      <c r="X115" s="42">
        <v>1578420.0</v>
      </c>
      <c r="Y115" s="36"/>
      <c r="Z115" s="36">
        <v>538011.0</v>
      </c>
      <c r="AA115" s="36"/>
      <c r="AB115" s="36">
        <v>1040408.9999999999</v>
      </c>
      <c r="AC115" s="37">
        <v>3612.5312499999995</v>
      </c>
      <c r="AD115" s="31"/>
      <c r="AE115" s="11"/>
      <c r="AF115" s="11"/>
    </row>
    <row r="116">
      <c r="A116" s="11" t="s">
        <v>141</v>
      </c>
      <c r="B116" s="39">
        <v>45713.37013888889</v>
      </c>
      <c r="C116" s="40">
        <v>45716.45763888889</v>
      </c>
      <c r="D116" s="27" t="s">
        <v>33</v>
      </c>
      <c r="E116" s="11" t="b">
        <v>0</v>
      </c>
      <c r="F116" s="11" t="s">
        <v>104</v>
      </c>
      <c r="G116" s="11" t="s">
        <v>104</v>
      </c>
      <c r="H116" s="11" t="s">
        <v>104</v>
      </c>
      <c r="I116" s="30">
        <v>5.0</v>
      </c>
      <c r="J116" s="65">
        <v>1.0</v>
      </c>
      <c r="K116" s="66">
        <v>288.0</v>
      </c>
      <c r="L116" s="32">
        <f t="shared" si="28"/>
        <v>96.95454545</v>
      </c>
      <c r="M116" s="32">
        <v>0.0</v>
      </c>
      <c r="N116" s="32">
        <f t="shared" si="29"/>
        <v>33.04735872</v>
      </c>
      <c r="O116" s="32">
        <v>0.0</v>
      </c>
      <c r="P116" s="33">
        <v>16280.0</v>
      </c>
      <c r="Q116" s="34">
        <v>288.0</v>
      </c>
      <c r="R116" s="42">
        <v>96.95454545454545</v>
      </c>
      <c r="S116" s="36"/>
      <c r="T116" s="36">
        <v>33.04735872235872</v>
      </c>
      <c r="U116" s="36"/>
      <c r="V116" s="36">
        <v>63.90718673218673</v>
      </c>
      <c r="W116" s="37">
        <v>0.22189995393120393</v>
      </c>
      <c r="X116" s="42">
        <v>1578420.0</v>
      </c>
      <c r="Y116" s="36"/>
      <c r="Z116" s="36">
        <v>538011.0</v>
      </c>
      <c r="AA116" s="36"/>
      <c r="AB116" s="36">
        <v>1040409.0</v>
      </c>
      <c r="AC116" s="37">
        <v>3612.53125</v>
      </c>
      <c r="AD116" s="31"/>
      <c r="AE116" s="11"/>
      <c r="AF116" s="11"/>
    </row>
    <row r="117">
      <c r="A117" s="11" t="s">
        <v>141</v>
      </c>
      <c r="B117" s="39">
        <v>45713.37013888889</v>
      </c>
      <c r="C117" s="40">
        <v>45715.45763888889</v>
      </c>
      <c r="D117" s="27" t="s">
        <v>33</v>
      </c>
      <c r="E117" s="11" t="b">
        <v>0</v>
      </c>
      <c r="F117" s="11" t="s">
        <v>104</v>
      </c>
      <c r="G117" s="11" t="s">
        <v>104</v>
      </c>
      <c r="H117" s="11" t="s">
        <v>104</v>
      </c>
      <c r="I117" s="30">
        <v>5.0</v>
      </c>
      <c r="J117" s="65">
        <v>1.0</v>
      </c>
      <c r="K117" s="66">
        <v>288.0</v>
      </c>
      <c r="L117" s="32">
        <f t="shared" si="28"/>
        <v>96.95454545</v>
      </c>
      <c r="M117" s="32">
        <v>0.0</v>
      </c>
      <c r="N117" s="32">
        <f>(100000 + 438012)/P117</f>
        <v>33.04742015</v>
      </c>
      <c r="O117" s="32">
        <v>0.0</v>
      </c>
      <c r="P117" s="33">
        <v>16280.0</v>
      </c>
      <c r="Q117" s="34">
        <v>288.0</v>
      </c>
      <c r="R117" s="42">
        <v>96.95454545454545</v>
      </c>
      <c r="S117" s="36"/>
      <c r="T117" s="36">
        <v>33.04742014742015</v>
      </c>
      <c r="U117" s="36"/>
      <c r="V117" s="36">
        <v>63.907125307125305</v>
      </c>
      <c r="W117" s="37">
        <v>0.22189974064974063</v>
      </c>
      <c r="X117" s="42">
        <v>1578420.0</v>
      </c>
      <c r="Y117" s="36"/>
      <c r="Z117" s="36">
        <v>538012.0</v>
      </c>
      <c r="AA117" s="36"/>
      <c r="AB117" s="36">
        <v>1040408.0</v>
      </c>
      <c r="AC117" s="37">
        <v>3612.527777777778</v>
      </c>
      <c r="AD117" s="31"/>
      <c r="AE117" s="11"/>
      <c r="AF117" s="11"/>
    </row>
    <row r="118">
      <c r="A118" s="11" t="s">
        <v>141</v>
      </c>
      <c r="B118" s="39">
        <v>45679.604166666664</v>
      </c>
      <c r="C118" s="40">
        <v>45681.604166666664</v>
      </c>
      <c r="D118" s="27" t="s">
        <v>33</v>
      </c>
      <c r="E118" s="11" t="b">
        <v>0</v>
      </c>
      <c r="F118" s="11" t="s">
        <v>104</v>
      </c>
      <c r="G118" s="11" t="s">
        <v>104</v>
      </c>
      <c r="H118" s="11" t="s">
        <v>104</v>
      </c>
      <c r="I118" s="30">
        <v>5.0</v>
      </c>
      <c r="J118" s="65">
        <v>2.0</v>
      </c>
      <c r="K118" s="66">
        <v>288.0</v>
      </c>
      <c r="L118" s="67">
        <f t="shared" si="28"/>
        <v>96.68728943</v>
      </c>
      <c r="M118" s="67">
        <v>0.0</v>
      </c>
      <c r="N118" s="67">
        <f>(200000 + 876023)/P118</f>
        <v>65.91258806</v>
      </c>
      <c r="O118" s="67">
        <v>0.0</v>
      </c>
      <c r="P118" s="33">
        <v>16325.0</v>
      </c>
      <c r="Q118" s="34">
        <v>576.0</v>
      </c>
      <c r="R118" s="42">
        <v>193.37457886676876</v>
      </c>
      <c r="S118" s="36"/>
      <c r="T118" s="36">
        <v>65.91258805513017</v>
      </c>
      <c r="U118" s="36"/>
      <c r="V118" s="36">
        <v>127.46199081163859</v>
      </c>
      <c r="W118" s="37">
        <v>0.2212881784924281</v>
      </c>
      <c r="X118" s="42">
        <v>3156840.0</v>
      </c>
      <c r="Y118" s="36"/>
      <c r="Z118" s="36">
        <v>1076023.0</v>
      </c>
      <c r="AA118" s="36"/>
      <c r="AB118" s="36">
        <v>2080817.0</v>
      </c>
      <c r="AC118" s="37">
        <v>3612.5295138888887</v>
      </c>
      <c r="AD118" s="31"/>
      <c r="AE118" s="11"/>
      <c r="AF118" s="11"/>
    </row>
    <row r="119">
      <c r="A119" s="11" t="s">
        <v>141</v>
      </c>
      <c r="B119" s="39">
        <v>45580.566666666666</v>
      </c>
      <c r="C119" s="40">
        <v>45580.65277777778</v>
      </c>
      <c r="D119" s="27" t="s">
        <v>33</v>
      </c>
      <c r="E119" s="11" t="b">
        <v>0</v>
      </c>
      <c r="F119" s="11" t="s">
        <v>104</v>
      </c>
      <c r="G119" s="11" t="s">
        <v>104</v>
      </c>
      <c r="H119" s="11" t="s">
        <v>104</v>
      </c>
      <c r="I119" s="30">
        <v>5.0</v>
      </c>
      <c r="J119" s="68">
        <v>36.0</v>
      </c>
      <c r="K119" s="69">
        <v>8.0</v>
      </c>
      <c r="L119" s="67">
        <f t="shared" ref="L119:L123" si="30">(43700)/P119</f>
        <v>2.795547595</v>
      </c>
      <c r="M119" s="67">
        <v>0.0</v>
      </c>
      <c r="N119" s="67">
        <f t="shared" ref="N119:N123" si="31">(100000 + 436563)/P119</f>
        <v>34.32465455</v>
      </c>
      <c r="O119" s="67">
        <v>0.0</v>
      </c>
      <c r="P119" s="33">
        <v>15632.0</v>
      </c>
      <c r="Q119" s="34">
        <v>288.0</v>
      </c>
      <c r="R119" s="42">
        <v>100.63971340839305</v>
      </c>
      <c r="S119" s="36"/>
      <c r="T119" s="36">
        <v>34.32465455475947</v>
      </c>
      <c r="U119" s="36"/>
      <c r="V119" s="36">
        <v>66.31505885363359</v>
      </c>
      <c r="W119" s="37">
        <v>0.23026062101956107</v>
      </c>
      <c r="X119" s="42">
        <v>1573200.0000000002</v>
      </c>
      <c r="Y119" s="36"/>
      <c r="Z119" s="36">
        <v>536563.0</v>
      </c>
      <c r="AA119" s="36"/>
      <c r="AB119" s="36">
        <v>1036637.0000000002</v>
      </c>
      <c r="AC119" s="37">
        <v>3599.4340277777787</v>
      </c>
      <c r="AD119" s="31"/>
      <c r="AE119" s="11"/>
      <c r="AF119" s="11"/>
    </row>
    <row r="120">
      <c r="A120" s="11" t="s">
        <v>141</v>
      </c>
      <c r="B120" s="39">
        <v>45527.433333333334</v>
      </c>
      <c r="C120" s="40">
        <v>45575.575694444444</v>
      </c>
      <c r="D120" s="27" t="s">
        <v>33</v>
      </c>
      <c r="E120" s="11" t="b">
        <v>0</v>
      </c>
      <c r="F120" s="11" t="s">
        <v>104</v>
      </c>
      <c r="G120" s="11" t="s">
        <v>104</v>
      </c>
      <c r="H120" s="11" t="s">
        <v>104</v>
      </c>
      <c r="I120" s="30">
        <v>5.0</v>
      </c>
      <c r="J120" s="68">
        <v>36.0</v>
      </c>
      <c r="K120" s="69">
        <v>8.0</v>
      </c>
      <c r="L120" s="67">
        <f t="shared" si="30"/>
        <v>2.813546227</v>
      </c>
      <c r="M120" s="67">
        <v>0.0</v>
      </c>
      <c r="N120" s="67">
        <f t="shared" si="31"/>
        <v>34.5456477</v>
      </c>
      <c r="O120" s="67">
        <v>0.0</v>
      </c>
      <c r="P120" s="33">
        <v>15532.0</v>
      </c>
      <c r="Q120" s="34">
        <v>288.0</v>
      </c>
      <c r="R120" s="42">
        <v>101.28766417718259</v>
      </c>
      <c r="S120" s="36"/>
      <c r="T120" s="36">
        <v>34.54564769508112</v>
      </c>
      <c r="U120" s="36"/>
      <c r="V120" s="36">
        <v>66.74201648210146</v>
      </c>
      <c r="W120" s="37">
        <v>0.23174311278507453</v>
      </c>
      <c r="X120" s="42">
        <v>1573200.0</v>
      </c>
      <c r="Y120" s="36"/>
      <c r="Z120" s="36">
        <v>536563.0</v>
      </c>
      <c r="AA120" s="36"/>
      <c r="AB120" s="36">
        <v>1036636.9999999999</v>
      </c>
      <c r="AC120" s="37">
        <v>3599.4340277777774</v>
      </c>
      <c r="AD120" s="31"/>
      <c r="AE120" s="11"/>
      <c r="AF120" s="11"/>
    </row>
    <row r="121">
      <c r="A121" s="11" t="s">
        <v>141</v>
      </c>
      <c r="B121" s="39">
        <v>45527.433333333334</v>
      </c>
      <c r="C121" s="40">
        <v>45575.57638888889</v>
      </c>
      <c r="D121" s="27" t="s">
        <v>33</v>
      </c>
      <c r="E121" s="11" t="b">
        <v>0</v>
      </c>
      <c r="F121" s="11" t="s">
        <v>104</v>
      </c>
      <c r="G121" s="11" t="s">
        <v>104</v>
      </c>
      <c r="H121" s="11" t="s">
        <v>104</v>
      </c>
      <c r="I121" s="30">
        <v>5.0</v>
      </c>
      <c r="J121" s="68">
        <v>36.0</v>
      </c>
      <c r="K121" s="69">
        <v>8.0</v>
      </c>
      <c r="L121" s="67">
        <f t="shared" si="30"/>
        <v>2.813546227</v>
      </c>
      <c r="M121" s="67">
        <v>0.0</v>
      </c>
      <c r="N121" s="67">
        <f t="shared" si="31"/>
        <v>34.5456477</v>
      </c>
      <c r="O121" s="67">
        <v>0.0</v>
      </c>
      <c r="P121" s="33">
        <v>15532.0</v>
      </c>
      <c r="Q121" s="34">
        <v>288.0</v>
      </c>
      <c r="R121" s="42">
        <v>101.28766417718259</v>
      </c>
      <c r="S121" s="36"/>
      <c r="T121" s="36">
        <v>34.54564769508112</v>
      </c>
      <c r="U121" s="36"/>
      <c r="V121" s="36">
        <v>66.74201648210146</v>
      </c>
      <c r="W121" s="37">
        <v>0.23174311278507453</v>
      </c>
      <c r="X121" s="42">
        <v>1573200.0</v>
      </c>
      <c r="Y121" s="36"/>
      <c r="Z121" s="36">
        <v>536563.0</v>
      </c>
      <c r="AA121" s="36"/>
      <c r="AB121" s="36">
        <v>1036636.9999999999</v>
      </c>
      <c r="AC121" s="37">
        <v>3599.4340277777774</v>
      </c>
      <c r="AD121" s="31"/>
      <c r="AE121" s="11"/>
      <c r="AF121" s="11"/>
    </row>
    <row r="122">
      <c r="A122" s="11" t="s">
        <v>141</v>
      </c>
      <c r="B122" s="39">
        <v>45502.5625</v>
      </c>
      <c r="C122" s="40">
        <v>45509.55347222222</v>
      </c>
      <c r="D122" s="70" t="s">
        <v>33</v>
      </c>
      <c r="E122" s="69" t="b">
        <v>0</v>
      </c>
      <c r="F122" s="11" t="s">
        <v>104</v>
      </c>
      <c r="G122" s="11" t="s">
        <v>104</v>
      </c>
      <c r="H122" s="11" t="s">
        <v>104</v>
      </c>
      <c r="I122" s="71">
        <v>5.0</v>
      </c>
      <c r="J122" s="68">
        <v>36.0</v>
      </c>
      <c r="K122" s="69">
        <v>8.0</v>
      </c>
      <c r="L122" s="67">
        <f t="shared" si="30"/>
        <v>2.701700155</v>
      </c>
      <c r="M122" s="67">
        <v>0.0</v>
      </c>
      <c r="N122" s="67">
        <f t="shared" si="31"/>
        <v>33.17236476</v>
      </c>
      <c r="O122" s="67">
        <v>0.0</v>
      </c>
      <c r="P122" s="72">
        <v>16175.0</v>
      </c>
      <c r="Q122" s="73">
        <v>288.0</v>
      </c>
      <c r="R122" s="74">
        <v>97.26120556414219</v>
      </c>
      <c r="S122" s="75"/>
      <c r="T122" s="67">
        <v>33.172364760432764</v>
      </c>
      <c r="U122" s="75"/>
      <c r="V122" s="67">
        <v>64.08884080370942</v>
      </c>
      <c r="W122" s="76">
        <v>0.22253069723510213</v>
      </c>
      <c r="X122" s="74">
        <v>1573199.9999999998</v>
      </c>
      <c r="Y122" s="75"/>
      <c r="Z122" s="67">
        <v>536563.0</v>
      </c>
      <c r="AA122" s="75"/>
      <c r="AB122" s="67">
        <v>1036636.9999999998</v>
      </c>
      <c r="AC122" s="76">
        <v>3599.434027777777</v>
      </c>
      <c r="AD122" s="31"/>
      <c r="AE122" s="11"/>
      <c r="AF122" s="11"/>
    </row>
    <row r="123">
      <c r="A123" s="11" t="s">
        <v>141</v>
      </c>
      <c r="B123" s="39">
        <v>45489.416666666664</v>
      </c>
      <c r="C123" s="40">
        <v>45491.689721145834</v>
      </c>
      <c r="D123" s="27" t="s">
        <v>33</v>
      </c>
      <c r="E123" s="11" t="b">
        <v>0</v>
      </c>
      <c r="F123" s="11" t="s">
        <v>104</v>
      </c>
      <c r="G123" s="11" t="s">
        <v>104</v>
      </c>
      <c r="H123" s="11" t="s">
        <v>104</v>
      </c>
      <c r="I123" s="30">
        <v>5.0</v>
      </c>
      <c r="J123" s="31">
        <v>36.0</v>
      </c>
      <c r="K123" s="11">
        <v>8.0</v>
      </c>
      <c r="L123" s="32">
        <f t="shared" si="30"/>
        <v>2.701700155</v>
      </c>
      <c r="M123" s="32">
        <v>0.0</v>
      </c>
      <c r="N123" s="32">
        <f t="shared" si="31"/>
        <v>33.17236476</v>
      </c>
      <c r="O123" s="32">
        <v>0.0</v>
      </c>
      <c r="P123" s="33">
        <v>16175.0</v>
      </c>
      <c r="Q123" s="34">
        <v>288.0</v>
      </c>
      <c r="R123" s="42">
        <v>97.26120556414219</v>
      </c>
      <c r="S123" s="36"/>
      <c r="T123" s="36">
        <v>33.172364760432764</v>
      </c>
      <c r="U123" s="36"/>
      <c r="V123" s="36">
        <v>64.08884080370942</v>
      </c>
      <c r="W123" s="37">
        <v>0.22253069723510213</v>
      </c>
      <c r="X123" s="42">
        <v>1573199.9999999998</v>
      </c>
      <c r="Y123" s="36"/>
      <c r="Z123" s="36">
        <v>536563.0</v>
      </c>
      <c r="AA123" s="36"/>
      <c r="AB123" s="36">
        <v>1036636.9999999998</v>
      </c>
      <c r="AC123" s="37">
        <v>3599.434027777777</v>
      </c>
      <c r="AD123" s="31"/>
      <c r="AE123" s="11"/>
      <c r="AF123" s="11"/>
    </row>
    <row r="124">
      <c r="A124" s="11" t="s">
        <v>141</v>
      </c>
      <c r="B124" s="39">
        <v>45458.001388888886</v>
      </c>
      <c r="C124" s="40">
        <v>45462.53958333333</v>
      </c>
      <c r="D124" s="27" t="s">
        <v>37</v>
      </c>
      <c r="E124" s="11" t="b">
        <v>0</v>
      </c>
      <c r="F124" s="11" t="s">
        <v>49</v>
      </c>
      <c r="G124" s="11" t="s">
        <v>144</v>
      </c>
      <c r="H124" s="11" t="s">
        <v>145</v>
      </c>
      <c r="I124" s="30">
        <v>5.0</v>
      </c>
      <c r="J124" s="31">
        <v>33.0</v>
      </c>
      <c r="K124" s="11">
        <v>6.0</v>
      </c>
      <c r="L124" s="32">
        <f t="shared" ref="L124:L126" si="32">(24950)/P124</f>
        <v>1.513405314</v>
      </c>
      <c r="M124" s="32">
        <f t="shared" ref="M124:M126" si="33">(22500 + 1000)/P124</f>
        <v>1.425451899</v>
      </c>
      <c r="N124" s="32">
        <f t="shared" ref="N124:N126" si="34">(98802)/P124</f>
        <v>5.993085042</v>
      </c>
      <c r="O124" s="32">
        <f t="shared" ref="O124:O126" si="35">(20000)/P124</f>
        <v>1.213150552</v>
      </c>
      <c r="P124" s="33">
        <v>16486.0</v>
      </c>
      <c r="Q124" s="34">
        <v>198.0</v>
      </c>
      <c r="R124" s="42">
        <v>49.942375348780786</v>
      </c>
      <c r="S124" s="36">
        <v>1.425451898580614</v>
      </c>
      <c r="T124" s="36">
        <v>5.993085041853694</v>
      </c>
      <c r="U124" s="36">
        <v>1.213150551983501</v>
      </c>
      <c r="V124" s="36">
        <v>44.1615916535242</v>
      </c>
      <c r="W124" s="37">
        <v>0.22303834168446565</v>
      </c>
      <c r="X124" s="42">
        <v>823350.0</v>
      </c>
      <c r="Y124" s="36">
        <v>23500.0</v>
      </c>
      <c r="Z124" s="36">
        <v>98802.0</v>
      </c>
      <c r="AA124" s="36">
        <v>20000.0</v>
      </c>
      <c r="AB124" s="36">
        <v>728047.9999999999</v>
      </c>
      <c r="AC124" s="37">
        <v>3677.0101010101002</v>
      </c>
      <c r="AD124" s="31"/>
      <c r="AE124" s="11"/>
      <c r="AF124" s="11"/>
    </row>
    <row r="125">
      <c r="A125" s="11" t="s">
        <v>141</v>
      </c>
      <c r="B125" s="39">
        <v>45457.00486111111</v>
      </c>
      <c r="C125" s="40">
        <v>45460.60429577546</v>
      </c>
      <c r="D125" s="27" t="s">
        <v>37</v>
      </c>
      <c r="E125" s="11" t="b">
        <v>0</v>
      </c>
      <c r="F125" s="11" t="s">
        <v>49</v>
      </c>
      <c r="G125" s="11" t="s">
        <v>144</v>
      </c>
      <c r="H125" s="11" t="s">
        <v>146</v>
      </c>
      <c r="I125" s="30">
        <v>5.0</v>
      </c>
      <c r="J125" s="31">
        <v>33.0</v>
      </c>
      <c r="K125" s="11">
        <v>6.0</v>
      </c>
      <c r="L125" s="32">
        <f t="shared" si="32"/>
        <v>1.513405314</v>
      </c>
      <c r="M125" s="32">
        <f t="shared" si="33"/>
        <v>1.425451899</v>
      </c>
      <c r="N125" s="32">
        <f t="shared" si="34"/>
        <v>5.993085042</v>
      </c>
      <c r="O125" s="32">
        <f t="shared" si="35"/>
        <v>1.213150552</v>
      </c>
      <c r="P125" s="33">
        <v>16486.0</v>
      </c>
      <c r="Q125" s="34">
        <v>198.0</v>
      </c>
      <c r="R125" s="42">
        <v>49.942375348780786</v>
      </c>
      <c r="S125" s="36">
        <v>1.425451898580614</v>
      </c>
      <c r="T125" s="36">
        <v>5.993085041853694</v>
      </c>
      <c r="U125" s="36">
        <v>1.213150551983501</v>
      </c>
      <c r="V125" s="36">
        <v>44.1615916535242</v>
      </c>
      <c r="W125" s="37">
        <v>0.22303834168446565</v>
      </c>
      <c r="X125" s="42">
        <v>823350.0</v>
      </c>
      <c r="Y125" s="36">
        <v>23500.0</v>
      </c>
      <c r="Z125" s="36">
        <v>98802.0</v>
      </c>
      <c r="AA125" s="36">
        <v>20000.0</v>
      </c>
      <c r="AB125" s="36">
        <v>728047.9999999999</v>
      </c>
      <c r="AC125" s="37">
        <v>3677.0101010101002</v>
      </c>
      <c r="AD125" s="31"/>
      <c r="AE125" s="11"/>
      <c r="AF125" s="11"/>
    </row>
    <row r="126">
      <c r="A126" s="11" t="s">
        <v>141</v>
      </c>
      <c r="B126" s="39">
        <v>45455.010416666664</v>
      </c>
      <c r="C126" s="40">
        <v>45458.47708333333</v>
      </c>
      <c r="D126" s="27" t="s">
        <v>37</v>
      </c>
      <c r="E126" s="11" t="b">
        <v>0</v>
      </c>
      <c r="F126" s="11" t="s">
        <v>49</v>
      </c>
      <c r="G126" s="11" t="s">
        <v>144</v>
      </c>
      <c r="H126" s="11" t="s">
        <v>147</v>
      </c>
      <c r="I126" s="30">
        <v>5.0</v>
      </c>
      <c r="J126" s="31">
        <v>33.0</v>
      </c>
      <c r="K126" s="11">
        <v>6.0</v>
      </c>
      <c r="L126" s="32">
        <f t="shared" si="32"/>
        <v>1.530674847</v>
      </c>
      <c r="M126" s="32">
        <f t="shared" si="33"/>
        <v>1.441717791</v>
      </c>
      <c r="N126" s="32">
        <f t="shared" si="34"/>
        <v>6.061472393</v>
      </c>
      <c r="O126" s="32">
        <f t="shared" si="35"/>
        <v>1.226993865</v>
      </c>
      <c r="P126" s="33">
        <v>16300.0</v>
      </c>
      <c r="Q126" s="34">
        <v>198.0</v>
      </c>
      <c r="R126" s="42">
        <v>50.512269938650306</v>
      </c>
      <c r="S126" s="36">
        <v>1.4417177914110428</v>
      </c>
      <c r="T126" s="36">
        <v>6.061472392638037</v>
      </c>
      <c r="U126" s="36">
        <v>1.2269938650306749</v>
      </c>
      <c r="V126" s="36">
        <v>44.66552147239264</v>
      </c>
      <c r="W126" s="37">
        <v>0.2255834417797608</v>
      </c>
      <c r="X126" s="42">
        <v>823350.0</v>
      </c>
      <c r="Y126" s="36">
        <v>23500.0</v>
      </c>
      <c r="Z126" s="36">
        <v>98802.0</v>
      </c>
      <c r="AA126" s="36">
        <v>20000.0</v>
      </c>
      <c r="AB126" s="36">
        <v>728048.0</v>
      </c>
      <c r="AC126" s="37">
        <v>3677.010101010101</v>
      </c>
      <c r="AD126" s="31"/>
      <c r="AE126" s="11"/>
      <c r="AF126" s="11"/>
    </row>
    <row r="127">
      <c r="A127" s="11" t="s">
        <v>141</v>
      </c>
      <c r="B127" s="39">
        <v>45450.291666666664</v>
      </c>
      <c r="C127" s="40">
        <v>45450.44981013889</v>
      </c>
      <c r="D127" s="27" t="s">
        <v>33</v>
      </c>
      <c r="E127" s="11" t="b">
        <v>0</v>
      </c>
      <c r="F127" s="11" t="s">
        <v>104</v>
      </c>
      <c r="G127" s="11" t="s">
        <v>104</v>
      </c>
      <c r="H127" s="11" t="s">
        <v>104</v>
      </c>
      <c r="I127" s="30">
        <v>5.0</v>
      </c>
      <c r="J127" s="31">
        <v>36.0</v>
      </c>
      <c r="K127" s="11">
        <v>8.0</v>
      </c>
      <c r="L127" s="32">
        <f>(43700)/P127</f>
        <v>2.693706466</v>
      </c>
      <c r="M127" s="32">
        <v>0.0</v>
      </c>
      <c r="N127" s="32">
        <f>(100000 + 436563)/P127</f>
        <v>33.07421562</v>
      </c>
      <c r="O127" s="32">
        <v>0.0</v>
      </c>
      <c r="P127" s="33">
        <v>16223.0</v>
      </c>
      <c r="Q127" s="34">
        <v>288.0</v>
      </c>
      <c r="R127" s="42">
        <v>96.97343278062012</v>
      </c>
      <c r="S127" s="36"/>
      <c r="T127" s="36">
        <v>33.07421561979905</v>
      </c>
      <c r="U127" s="36"/>
      <c r="V127" s="36">
        <v>63.89921716082107</v>
      </c>
      <c r="W127" s="37">
        <v>0.22187228180840649</v>
      </c>
      <c r="X127" s="42">
        <v>1573200.0000000002</v>
      </c>
      <c r="Y127" s="36"/>
      <c r="Z127" s="36">
        <v>536563.0</v>
      </c>
      <c r="AA127" s="36"/>
      <c r="AB127" s="36">
        <v>1036637.0000000001</v>
      </c>
      <c r="AC127" s="37">
        <v>3599.4340277777783</v>
      </c>
      <c r="AD127" s="31"/>
      <c r="AE127" s="11"/>
      <c r="AF127" s="11"/>
    </row>
    <row r="128">
      <c r="A128" s="11" t="s">
        <v>141</v>
      </c>
      <c r="B128" s="39">
        <v>45432.95972222222</v>
      </c>
      <c r="C128" s="40">
        <v>45435.49658005787</v>
      </c>
      <c r="D128" s="27" t="s">
        <v>33</v>
      </c>
      <c r="E128" s="11" t="b">
        <v>0</v>
      </c>
      <c r="F128" s="11" t="s">
        <v>49</v>
      </c>
      <c r="G128" s="11" t="s">
        <v>132</v>
      </c>
      <c r="H128" s="11" t="s">
        <v>133</v>
      </c>
      <c r="I128" s="30">
        <v>5.0</v>
      </c>
      <c r="J128" s="31">
        <v>60.0</v>
      </c>
      <c r="K128" s="11">
        <v>6.0</v>
      </c>
      <c r="L128" s="32">
        <f>(1410000/60)/P128</f>
        <v>1.468474661</v>
      </c>
      <c r="M128" s="32">
        <f>(632)/P128</f>
        <v>0.03949259514</v>
      </c>
      <c r="N128" s="32">
        <f>(56400)/P128</f>
        <v>3.524339186</v>
      </c>
      <c r="O128" s="32">
        <v>0.0</v>
      </c>
      <c r="P128" s="33">
        <v>16003.0</v>
      </c>
      <c r="Q128" s="34">
        <v>360.0</v>
      </c>
      <c r="R128" s="42">
        <v>88.10847966006375</v>
      </c>
      <c r="S128" s="36">
        <v>0.039492595138411545</v>
      </c>
      <c r="T128" s="36">
        <v>3.5243391864025497</v>
      </c>
      <c r="U128" s="36"/>
      <c r="V128" s="36">
        <v>84.62363306879962</v>
      </c>
      <c r="W128" s="37">
        <v>0.23506564741333227</v>
      </c>
      <c r="X128" s="42">
        <v>1410000.0000000002</v>
      </c>
      <c r="Y128" s="36">
        <v>632.0</v>
      </c>
      <c r="Z128" s="36">
        <v>56400.0</v>
      </c>
      <c r="AA128" s="36"/>
      <c r="AB128" s="36">
        <v>1354232.0000000002</v>
      </c>
      <c r="AC128" s="37">
        <v>3761.7555555555564</v>
      </c>
      <c r="AD128" s="31"/>
      <c r="AE128" s="11"/>
      <c r="AF128" s="11"/>
    </row>
    <row r="129">
      <c r="A129" s="11" t="s">
        <v>141</v>
      </c>
      <c r="B129" s="39">
        <v>45426.998611111114</v>
      </c>
      <c r="C129" s="40">
        <v>45427.73333333333</v>
      </c>
      <c r="D129" s="27" t="s">
        <v>33</v>
      </c>
      <c r="E129" s="11" t="b">
        <v>0</v>
      </c>
      <c r="F129" s="11" t="s">
        <v>49</v>
      </c>
      <c r="G129" s="11" t="s">
        <v>134</v>
      </c>
      <c r="H129" s="11" t="s">
        <v>135</v>
      </c>
      <c r="I129" s="30">
        <v>5.0</v>
      </c>
      <c r="J129" s="31">
        <v>1.0</v>
      </c>
      <c r="K129" s="11">
        <v>6.0</v>
      </c>
      <c r="L129" s="32">
        <f>(23000)/P129</f>
        <v>1.429104014</v>
      </c>
      <c r="M129" s="32">
        <f>(14)/P129</f>
        <v>0.0008698893998</v>
      </c>
      <c r="N129" s="32">
        <f>(1150)/P129</f>
        <v>0.0714552007</v>
      </c>
      <c r="O129" s="32">
        <v>0.0</v>
      </c>
      <c r="P129" s="33">
        <v>16094.0</v>
      </c>
      <c r="Q129" s="34">
        <v>6.0</v>
      </c>
      <c r="R129" s="42">
        <v>1.4291040139182305</v>
      </c>
      <c r="S129" s="36">
        <v>8.698893997763141E-4</v>
      </c>
      <c r="T129" s="36">
        <v>0.07145520069591152</v>
      </c>
      <c r="U129" s="36"/>
      <c r="V129" s="36">
        <v>1.3585187026220953</v>
      </c>
      <c r="W129" s="37">
        <v>0.22641978377034921</v>
      </c>
      <c r="X129" s="42">
        <v>23000.0</v>
      </c>
      <c r="Y129" s="36">
        <v>14.0</v>
      </c>
      <c r="Z129" s="36">
        <v>1150.0</v>
      </c>
      <c r="AA129" s="36"/>
      <c r="AB129" s="36">
        <v>21864.0</v>
      </c>
      <c r="AC129" s="37">
        <v>3644.0</v>
      </c>
      <c r="AD129" s="31"/>
      <c r="AE129" s="11"/>
      <c r="AF129" s="11"/>
    </row>
    <row r="130">
      <c r="A130" s="11" t="s">
        <v>141</v>
      </c>
      <c r="B130" s="39">
        <v>45423.813888888886</v>
      </c>
      <c r="C130" s="40">
        <v>45428.771527777775</v>
      </c>
      <c r="D130" s="27" t="s">
        <v>33</v>
      </c>
      <c r="E130" s="11" t="b">
        <v>0</v>
      </c>
      <c r="F130" s="11" t="s">
        <v>49</v>
      </c>
      <c r="G130" s="11" t="s">
        <v>148</v>
      </c>
      <c r="H130" s="11" t="s">
        <v>149</v>
      </c>
      <c r="I130" s="30">
        <v>5.0</v>
      </c>
      <c r="J130" s="31">
        <v>29.0</v>
      </c>
      <c r="K130" s="11">
        <v>6.0</v>
      </c>
      <c r="L130" s="32">
        <f>(561000/29)/P130</f>
        <v>1.204909847</v>
      </c>
      <c r="M130" s="32">
        <f t="shared" ref="M130:M132" si="36">(1000)/P130</f>
        <v>0.06228589225</v>
      </c>
      <c r="N130" s="32">
        <f>(10000 + 27050)/P130</f>
        <v>2.307692308</v>
      </c>
      <c r="O130" s="32">
        <v>0.0</v>
      </c>
      <c r="P130" s="33">
        <v>16055.0</v>
      </c>
      <c r="Q130" s="34">
        <v>174.0</v>
      </c>
      <c r="R130" s="42">
        <v>34.942385549673</v>
      </c>
      <c r="S130" s="36">
        <v>0.06228589224540641</v>
      </c>
      <c r="T130" s="36">
        <v>2.3076923076923075</v>
      </c>
      <c r="U130" s="36"/>
      <c r="V130" s="36">
        <v>32.6969791342261</v>
      </c>
      <c r="W130" s="37">
        <v>0.18791367318520746</v>
      </c>
      <c r="X130" s="42">
        <v>561000.0</v>
      </c>
      <c r="Y130" s="36">
        <v>1000.0</v>
      </c>
      <c r="Z130" s="36">
        <v>37050.0</v>
      </c>
      <c r="AA130" s="36"/>
      <c r="AB130" s="36">
        <v>524950.0</v>
      </c>
      <c r="AC130" s="37">
        <v>3016.9540229885056</v>
      </c>
      <c r="AD130" s="31"/>
      <c r="AE130" s="11"/>
      <c r="AF130" s="11"/>
    </row>
    <row r="131">
      <c r="A131" s="11" t="s">
        <v>141</v>
      </c>
      <c r="B131" s="39">
        <v>45348.81706234954</v>
      </c>
      <c r="C131" s="40">
        <v>45349.541666666664</v>
      </c>
      <c r="D131" s="27" t="s">
        <v>33</v>
      </c>
      <c r="E131" s="11" t="b">
        <v>0</v>
      </c>
      <c r="F131" s="11" t="s">
        <v>49</v>
      </c>
      <c r="G131" s="11" t="s">
        <v>89</v>
      </c>
      <c r="H131" s="11" t="s">
        <v>89</v>
      </c>
      <c r="I131" s="30">
        <v>5.0</v>
      </c>
      <c r="J131" s="31">
        <v>100.0</v>
      </c>
      <c r="K131" s="11">
        <v>6.0</v>
      </c>
      <c r="L131" s="32">
        <f>(24000)/P131</f>
        <v>1.534821257</v>
      </c>
      <c r="M131" s="32">
        <f t="shared" si="36"/>
        <v>0.06395088572</v>
      </c>
      <c r="N131" s="32">
        <f>(96000)/P131</f>
        <v>6.139285029</v>
      </c>
      <c r="O131" s="32">
        <v>0.0</v>
      </c>
      <c r="P131" s="33">
        <v>15637.0</v>
      </c>
      <c r="Q131" s="34">
        <v>600.0</v>
      </c>
      <c r="R131" s="42">
        <v>153.48212572744134</v>
      </c>
      <c r="S131" s="36">
        <v>0.06395088571976722</v>
      </c>
      <c r="T131" s="36">
        <v>6.139285029097653</v>
      </c>
      <c r="U131" s="36"/>
      <c r="V131" s="36">
        <v>147.40679158406346</v>
      </c>
      <c r="W131" s="37">
        <v>0.2456779859734391</v>
      </c>
      <c r="X131" s="42">
        <v>2400000.0000000005</v>
      </c>
      <c r="Y131" s="36">
        <v>1000.0</v>
      </c>
      <c r="Z131" s="36">
        <v>96000.0</v>
      </c>
      <c r="AA131" s="36"/>
      <c r="AB131" s="36">
        <v>2305000.0000000005</v>
      </c>
      <c r="AC131" s="37">
        <v>3841.6666666666674</v>
      </c>
      <c r="AD131" s="31"/>
      <c r="AE131" s="11"/>
      <c r="AF131" s="11"/>
    </row>
    <row r="132">
      <c r="A132" s="11" t="s">
        <v>141</v>
      </c>
      <c r="B132" s="39">
        <v>45348.495037395835</v>
      </c>
      <c r="C132" s="40">
        <v>45352.48536333333</v>
      </c>
      <c r="D132" s="27" t="s">
        <v>37</v>
      </c>
      <c r="E132" s="11" t="b">
        <v>0</v>
      </c>
      <c r="F132" s="11" t="s">
        <v>49</v>
      </c>
      <c r="G132" s="11" t="s">
        <v>89</v>
      </c>
      <c r="H132" s="11" t="s">
        <v>89</v>
      </c>
      <c r="I132" s="30">
        <v>5.0</v>
      </c>
      <c r="J132" s="31">
        <v>144.0</v>
      </c>
      <c r="K132" s="11">
        <v>6.0</v>
      </c>
      <c r="L132" s="32">
        <f>23300/P132</f>
        <v>1.490055637</v>
      </c>
      <c r="M132" s="32">
        <f t="shared" si="36"/>
        <v>0.06395088572</v>
      </c>
      <c r="N132" s="32">
        <f>(25000)/P132</f>
        <v>1.598772143</v>
      </c>
      <c r="O132" s="32">
        <v>0.0</v>
      </c>
      <c r="P132" s="33">
        <v>15637.0</v>
      </c>
      <c r="Q132" s="34">
        <v>864.0</v>
      </c>
      <c r="R132" s="42">
        <v>214.56801176696297</v>
      </c>
      <c r="S132" s="36">
        <v>0.06395088571976722</v>
      </c>
      <c r="T132" s="36">
        <v>1.5987721429941806</v>
      </c>
      <c r="U132" s="36"/>
      <c r="V132" s="36">
        <v>213.03319050968855</v>
      </c>
      <c r="W132" s="37">
        <v>0.24656619271954694</v>
      </c>
      <c r="X132" s="42">
        <v>3355200.0</v>
      </c>
      <c r="Y132" s="36">
        <v>1000.0</v>
      </c>
      <c r="Z132" s="36">
        <v>25000.0</v>
      </c>
      <c r="AA132" s="36"/>
      <c r="AB132" s="36">
        <v>3331200.0</v>
      </c>
      <c r="AC132" s="37">
        <v>3855.5555555555557</v>
      </c>
      <c r="AD132" s="31"/>
      <c r="AE132" s="11"/>
      <c r="AF132" s="11"/>
    </row>
    <row r="133">
      <c r="A133" s="11" t="s">
        <v>141</v>
      </c>
      <c r="B133" s="39">
        <v>45270.75030113426</v>
      </c>
      <c r="C133" s="40">
        <v>45273.45445347222</v>
      </c>
      <c r="D133" s="27" t="s">
        <v>37</v>
      </c>
      <c r="E133" s="11" t="b">
        <v>0</v>
      </c>
      <c r="F133" s="11" t="s">
        <v>49</v>
      </c>
      <c r="G133" s="11" t="s">
        <v>89</v>
      </c>
      <c r="H133" s="11" t="s">
        <v>89</v>
      </c>
      <c r="I133" s="30">
        <v>5.0</v>
      </c>
      <c r="J133" s="31">
        <v>72.0</v>
      </c>
      <c r="K133" s="11">
        <v>6.0</v>
      </c>
      <c r="L133" s="32">
        <f>(24000)/P133</f>
        <v>1.541128877</v>
      </c>
      <c r="M133" s="32">
        <f>(1000+49700)/P133</f>
        <v>3.255634752</v>
      </c>
      <c r="N133" s="32">
        <f>(69120)/P133</f>
        <v>4.438451165</v>
      </c>
      <c r="O133" s="32">
        <f>(49700)/P133</f>
        <v>3.191421049</v>
      </c>
      <c r="P133" s="58">
        <v>15573.0</v>
      </c>
      <c r="Q133" s="34">
        <v>432.0</v>
      </c>
      <c r="R133" s="42">
        <v>110.96127913696783</v>
      </c>
      <c r="S133" s="36">
        <v>3.255634752456174</v>
      </c>
      <c r="T133" s="36">
        <v>4.438451165478713</v>
      </c>
      <c r="U133" s="36">
        <v>3.19142104925191</v>
      </c>
      <c r="V133" s="36">
        <v>106.58704167469338</v>
      </c>
      <c r="W133" s="37">
        <v>0.2467292631358643</v>
      </c>
      <c r="X133" s="42">
        <v>1728000.0</v>
      </c>
      <c r="Y133" s="36">
        <v>50700.0</v>
      </c>
      <c r="Z133" s="36">
        <v>69120.0</v>
      </c>
      <c r="AA133" s="36">
        <v>49700.0</v>
      </c>
      <c r="AB133" s="36">
        <v>1659880.0</v>
      </c>
      <c r="AC133" s="37">
        <v>3842.314814814815</v>
      </c>
      <c r="AD133" s="31"/>
      <c r="AE133" s="11"/>
      <c r="AF133" s="11"/>
    </row>
    <row r="134">
      <c r="A134" s="11" t="s">
        <v>141</v>
      </c>
      <c r="B134" s="39">
        <v>45235.0</v>
      </c>
      <c r="C134" s="40">
        <v>45236.48415310185</v>
      </c>
      <c r="D134" s="27" t="s">
        <v>33</v>
      </c>
      <c r="E134" s="11" t="b">
        <v>0</v>
      </c>
      <c r="F134" s="11" t="s">
        <v>104</v>
      </c>
      <c r="G134" s="11" t="s">
        <v>104</v>
      </c>
      <c r="H134" s="11" t="s">
        <v>104</v>
      </c>
      <c r="I134" s="30">
        <v>5.0</v>
      </c>
      <c r="J134" s="31">
        <f>3*12</f>
        <v>36</v>
      </c>
      <c r="K134" s="11">
        <v>6.0</v>
      </c>
      <c r="L134" s="32">
        <f>(31000)/P134</f>
        <v>1.996393612</v>
      </c>
      <c r="M134" s="32">
        <v>0.0</v>
      </c>
      <c r="N134" s="32">
        <f>(309690)/P134</f>
        <v>19.94397218</v>
      </c>
      <c r="O134" s="32">
        <v>0.0</v>
      </c>
      <c r="P134" s="58">
        <v>15528.0</v>
      </c>
      <c r="Q134" s="34">
        <v>216.0</v>
      </c>
      <c r="R134" s="42">
        <v>71.87017001545595</v>
      </c>
      <c r="S134" s="36"/>
      <c r="T134" s="36">
        <v>19.943972179289027</v>
      </c>
      <c r="U134" s="36"/>
      <c r="V134" s="36">
        <v>51.92619783616693</v>
      </c>
      <c r="W134" s="37">
        <v>0.24039906405632838</v>
      </c>
      <c r="X134" s="42">
        <v>1116000.0</v>
      </c>
      <c r="Y134" s="36"/>
      <c r="Z134" s="36">
        <v>309690.0</v>
      </c>
      <c r="AA134" s="36"/>
      <c r="AB134" s="36">
        <v>806310.0</v>
      </c>
      <c r="AC134" s="37">
        <v>3732.9166666666665</v>
      </c>
      <c r="AD134" s="31"/>
      <c r="AE134" s="11"/>
      <c r="AF134" s="11"/>
    </row>
    <row r="135">
      <c r="A135" s="11" t="s">
        <v>141</v>
      </c>
      <c r="B135" s="39">
        <v>45216.0</v>
      </c>
      <c r="C135" s="40">
        <v>45218.87241950231</v>
      </c>
      <c r="D135" s="27" t="s">
        <v>33</v>
      </c>
      <c r="E135" s="11" t="b">
        <v>0</v>
      </c>
      <c r="F135" s="11" t="s">
        <v>104</v>
      </c>
      <c r="G135" s="11" t="s">
        <v>104</v>
      </c>
      <c r="H135" s="11" t="s">
        <v>104</v>
      </c>
      <c r="I135" s="30">
        <v>5.0</v>
      </c>
      <c r="J135" s="31">
        <f>1*12</f>
        <v>12</v>
      </c>
      <c r="K135" s="11">
        <v>6.0</v>
      </c>
      <c r="L135" s="32">
        <f t="shared" ref="L135:L136" si="37">(27900)/P135</f>
        <v>1.760252366</v>
      </c>
      <c r="M135" s="32">
        <v>0.0</v>
      </c>
      <c r="N135" s="32">
        <f>(92907)/P135</f>
        <v>5.861640379</v>
      </c>
      <c r="O135" s="32">
        <v>0.0</v>
      </c>
      <c r="P135" s="58">
        <v>15850.0</v>
      </c>
      <c r="Q135" s="34">
        <v>72.0</v>
      </c>
      <c r="R135" s="42">
        <v>21.123028391167193</v>
      </c>
      <c r="S135" s="36"/>
      <c r="T135" s="36">
        <v>5.861640378548896</v>
      </c>
      <c r="U135" s="36"/>
      <c r="V135" s="36">
        <v>15.261388012618298</v>
      </c>
      <c r="W135" s="37">
        <v>0.21196372239747635</v>
      </c>
      <c r="X135" s="42">
        <v>334800.0</v>
      </c>
      <c r="Y135" s="36"/>
      <c r="Z135" s="36">
        <v>92907.0</v>
      </c>
      <c r="AA135" s="36"/>
      <c r="AB135" s="36">
        <v>241893.00000000003</v>
      </c>
      <c r="AC135" s="37">
        <v>3359.6250000000005</v>
      </c>
      <c r="AD135" s="31"/>
      <c r="AE135" s="11"/>
      <c r="AF135" s="11"/>
    </row>
    <row r="136">
      <c r="A136" s="11" t="s">
        <v>141</v>
      </c>
      <c r="B136" s="39">
        <v>45091.0</v>
      </c>
      <c r="C136" s="40">
        <v>45092.0</v>
      </c>
      <c r="D136" s="27" t="s">
        <v>33</v>
      </c>
      <c r="E136" s="11" t="b">
        <v>0</v>
      </c>
      <c r="F136" s="11" t="s">
        <v>104</v>
      </c>
      <c r="G136" s="11" t="s">
        <v>104</v>
      </c>
      <c r="H136" s="11" t="s">
        <v>104</v>
      </c>
      <c r="I136" s="30">
        <v>5.0</v>
      </c>
      <c r="J136" s="31">
        <f>2*12</f>
        <v>24</v>
      </c>
      <c r="K136" s="11">
        <v>6.0</v>
      </c>
      <c r="L136" s="32">
        <f t="shared" si="37"/>
        <v>1.865846318</v>
      </c>
      <c r="M136" s="32">
        <v>0.0</v>
      </c>
      <c r="N136" s="32">
        <f>(185814)/P136</f>
        <v>12.42653648</v>
      </c>
      <c r="O136" s="32">
        <v>0.0</v>
      </c>
      <c r="P136" s="33">
        <v>14953.0</v>
      </c>
      <c r="Q136" s="34">
        <v>144.0</v>
      </c>
      <c r="R136" s="42">
        <v>44.780311643148536</v>
      </c>
      <c r="S136" s="36"/>
      <c r="T136" s="36">
        <v>12.426536480973718</v>
      </c>
      <c r="U136" s="36"/>
      <c r="V136" s="36">
        <v>32.35377516217482</v>
      </c>
      <c r="W136" s="37">
        <v>0.2246789941817696</v>
      </c>
      <c r="X136" s="42">
        <v>669600.0000000001</v>
      </c>
      <c r="Y136" s="36"/>
      <c r="Z136" s="36">
        <v>185814.0</v>
      </c>
      <c r="AA136" s="36"/>
      <c r="AB136" s="36">
        <v>483786.00000000006</v>
      </c>
      <c r="AC136" s="37">
        <v>3359.6250000000005</v>
      </c>
      <c r="AD136" s="31"/>
      <c r="AE136" s="11"/>
      <c r="AF136" s="11"/>
    </row>
    <row r="137">
      <c r="A137" s="11" t="s">
        <v>150</v>
      </c>
      <c r="B137" s="39">
        <v>43320.659479166665</v>
      </c>
      <c r="C137" s="40">
        <f>B137</f>
        <v>43320.65948</v>
      </c>
      <c r="D137" s="78"/>
      <c r="E137" s="11" t="b">
        <v>0</v>
      </c>
      <c r="F137" s="15" t="s">
        <v>151</v>
      </c>
      <c r="G137" s="79" t="s">
        <v>151</v>
      </c>
      <c r="H137" s="15" t="s">
        <v>151</v>
      </c>
      <c r="I137" s="80"/>
      <c r="J137" s="81">
        <v>30.0</v>
      </c>
      <c r="K137" s="82">
        <v>2.0</v>
      </c>
      <c r="L137" s="83">
        <f>10000/P137</f>
        <v>1</v>
      </c>
      <c r="M137" s="32">
        <v>0.0</v>
      </c>
      <c r="N137" s="32"/>
      <c r="O137" s="32"/>
      <c r="P137" s="33">
        <v>10000.0</v>
      </c>
      <c r="Q137" s="34">
        <v>60.0</v>
      </c>
      <c r="R137" s="42">
        <v>30.0</v>
      </c>
      <c r="S137" s="36"/>
      <c r="T137" s="36"/>
      <c r="U137" s="36"/>
      <c r="V137" s="36">
        <v>30.0</v>
      </c>
      <c r="W137" s="37">
        <v>0.5</v>
      </c>
      <c r="X137" s="42">
        <v>300000.0</v>
      </c>
      <c r="Y137" s="36"/>
      <c r="Z137" s="36"/>
      <c r="AA137" s="36"/>
      <c r="AB137" s="36">
        <v>300000.0</v>
      </c>
      <c r="AC137" s="37">
        <v>5000.0</v>
      </c>
      <c r="AD137" s="31">
        <v>5000.0</v>
      </c>
      <c r="AE137" s="11">
        <v>5000.0</v>
      </c>
      <c r="AF137" s="11"/>
    </row>
    <row r="138">
      <c r="A138" s="11" t="s">
        <v>152</v>
      </c>
      <c r="B138" s="39">
        <v>45414.906805555554</v>
      </c>
      <c r="C138" s="40">
        <v>45415.65481947917</v>
      </c>
      <c r="D138" s="27" t="s">
        <v>33</v>
      </c>
      <c r="E138" s="11" t="b">
        <v>0</v>
      </c>
      <c r="F138" s="11" t="s">
        <v>38</v>
      </c>
      <c r="G138" s="11" t="s">
        <v>153</v>
      </c>
      <c r="H138" s="11" t="s">
        <v>153</v>
      </c>
      <c r="I138" s="30">
        <v>5.0</v>
      </c>
      <c r="J138" s="31">
        <v>60.0</v>
      </c>
      <c r="K138" s="11">
        <v>2.0</v>
      </c>
      <c r="L138" s="32">
        <f>(10000)/P138</f>
        <v>0.6214267959</v>
      </c>
      <c r="M138" s="32">
        <f>(20000)/P138</f>
        <v>1.242853592</v>
      </c>
      <c r="N138" s="32">
        <v>0.0</v>
      </c>
      <c r="O138" s="32">
        <v>0.0</v>
      </c>
      <c r="P138" s="33">
        <v>16092.0</v>
      </c>
      <c r="Q138" s="34">
        <v>120.0</v>
      </c>
      <c r="R138" s="42">
        <v>37.28560775540641</v>
      </c>
      <c r="S138" s="36">
        <v>1.2428535918468804</v>
      </c>
      <c r="T138" s="36"/>
      <c r="U138" s="36"/>
      <c r="V138" s="36">
        <v>38.52846134725329</v>
      </c>
      <c r="W138" s="37">
        <v>0.3210705112271108</v>
      </c>
      <c r="X138" s="42">
        <v>600000.0</v>
      </c>
      <c r="Y138" s="36">
        <v>20000.0</v>
      </c>
      <c r="Z138" s="36"/>
      <c r="AA138" s="36"/>
      <c r="AB138" s="36">
        <v>620000.0</v>
      </c>
      <c r="AC138" s="37">
        <v>5166.666666666667</v>
      </c>
      <c r="AD138" s="31"/>
      <c r="AE138" s="11"/>
      <c r="AF138" s="11"/>
    </row>
    <row r="139">
      <c r="A139" s="11" t="s">
        <v>152</v>
      </c>
      <c r="B139" s="39">
        <v>45412.92013888889</v>
      </c>
      <c r="C139" s="40">
        <v>45416.416666666664</v>
      </c>
      <c r="D139" s="27" t="s">
        <v>33</v>
      </c>
      <c r="E139" s="11" t="b">
        <v>0</v>
      </c>
      <c r="F139" s="11" t="s">
        <v>38</v>
      </c>
      <c r="G139" s="11" t="s">
        <v>154</v>
      </c>
      <c r="H139" s="11" t="s">
        <v>154</v>
      </c>
      <c r="I139" s="30">
        <v>5.0</v>
      </c>
      <c r="J139" s="31">
        <v>20.0</v>
      </c>
      <c r="K139" s="11">
        <v>1.0</v>
      </c>
      <c r="L139" s="32">
        <f t="shared" ref="L139:L144" si="38">(5850)/P139</f>
        <v>0.3602438574</v>
      </c>
      <c r="M139" s="32">
        <f t="shared" ref="M139:M140" si="39">(1000 + 900)/P139</f>
        <v>0.1170022785</v>
      </c>
      <c r="N139" s="32">
        <f>(5850)/P139</f>
        <v>0.3602438574</v>
      </c>
      <c r="O139" s="32">
        <v>0.0</v>
      </c>
      <c r="P139" s="33">
        <v>16239.0</v>
      </c>
      <c r="Q139" s="34">
        <v>20.0</v>
      </c>
      <c r="R139" s="42">
        <v>7.204877147607611</v>
      </c>
      <c r="S139" s="36">
        <v>0.11700227846542274</v>
      </c>
      <c r="T139" s="36">
        <v>0.36024385738038056</v>
      </c>
      <c r="U139" s="36"/>
      <c r="V139" s="36">
        <v>6.961635568692653</v>
      </c>
      <c r="W139" s="37">
        <v>0.34808177843463267</v>
      </c>
      <c r="X139" s="42">
        <v>117000.0</v>
      </c>
      <c r="Y139" s="36">
        <v>1900.0</v>
      </c>
      <c r="Z139" s="36">
        <v>5850.0</v>
      </c>
      <c r="AA139" s="36"/>
      <c r="AB139" s="36">
        <v>113050.0</v>
      </c>
      <c r="AC139" s="37">
        <v>5652.5</v>
      </c>
      <c r="AD139" s="31"/>
      <c r="AE139" s="11"/>
      <c r="AF139" s="11"/>
    </row>
    <row r="140">
      <c r="A140" s="11" t="s">
        <v>152</v>
      </c>
      <c r="B140" s="39">
        <v>45412.919444444444</v>
      </c>
      <c r="C140" s="40">
        <v>45416.416666666664</v>
      </c>
      <c r="D140" s="27" t="s">
        <v>33</v>
      </c>
      <c r="E140" s="11" t="b">
        <v>0</v>
      </c>
      <c r="F140" s="11" t="s">
        <v>38</v>
      </c>
      <c r="G140" s="11" t="s">
        <v>154</v>
      </c>
      <c r="H140" s="11" t="s">
        <v>154</v>
      </c>
      <c r="I140" s="30">
        <v>5.0</v>
      </c>
      <c r="J140" s="31">
        <v>20.0</v>
      </c>
      <c r="K140" s="11">
        <v>1.0</v>
      </c>
      <c r="L140" s="32">
        <f t="shared" si="38"/>
        <v>0.3602438574</v>
      </c>
      <c r="M140" s="32">
        <f t="shared" si="39"/>
        <v>0.1170022785</v>
      </c>
      <c r="N140" s="32">
        <f>(7020)/P140</f>
        <v>0.4322926289</v>
      </c>
      <c r="O140" s="32">
        <v>0.0</v>
      </c>
      <c r="P140" s="33">
        <v>16239.0</v>
      </c>
      <c r="Q140" s="34">
        <v>20.0</v>
      </c>
      <c r="R140" s="42">
        <v>7.204877147607611</v>
      </c>
      <c r="S140" s="36">
        <v>0.11700227846542274</v>
      </c>
      <c r="T140" s="36">
        <v>0.4322926288564567</v>
      </c>
      <c r="U140" s="36"/>
      <c r="V140" s="36">
        <v>6.889586797216577</v>
      </c>
      <c r="W140" s="37">
        <v>0.34447933986082885</v>
      </c>
      <c r="X140" s="42">
        <v>117000.0</v>
      </c>
      <c r="Y140" s="36">
        <v>1900.0</v>
      </c>
      <c r="Z140" s="36">
        <v>7020.0</v>
      </c>
      <c r="AA140" s="36"/>
      <c r="AB140" s="36">
        <v>111879.99999999999</v>
      </c>
      <c r="AC140" s="37">
        <v>5593.999999999999</v>
      </c>
      <c r="AD140" s="31"/>
      <c r="AE140" s="11"/>
      <c r="AF140" s="11"/>
    </row>
    <row r="141">
      <c r="A141" s="11" t="s">
        <v>152</v>
      </c>
      <c r="B141" s="39">
        <v>45411.56458333333</v>
      </c>
      <c r="C141" s="40">
        <v>45413.347916666666</v>
      </c>
      <c r="D141" s="27" t="s">
        <v>37</v>
      </c>
      <c r="E141" s="11" t="b">
        <v>0</v>
      </c>
      <c r="F141" s="11" t="s">
        <v>38</v>
      </c>
      <c r="G141" s="11" t="s">
        <v>154</v>
      </c>
      <c r="H141" s="11" t="s">
        <v>154</v>
      </c>
      <c r="I141" s="30">
        <v>5.0</v>
      </c>
      <c r="J141" s="31">
        <v>11.0</v>
      </c>
      <c r="K141" s="11">
        <v>1.0</v>
      </c>
      <c r="L141" s="32">
        <f t="shared" si="38"/>
        <v>0.3602438574</v>
      </c>
      <c r="M141" s="32">
        <f t="shared" ref="M141:M142" si="40">(1000 + 500)/P141</f>
        <v>0.09237021984</v>
      </c>
      <c r="N141" s="32">
        <f>(2574)/P141</f>
        <v>0.1585072972</v>
      </c>
      <c r="O141" s="32">
        <v>0.0</v>
      </c>
      <c r="P141" s="33">
        <v>16239.0</v>
      </c>
      <c r="Q141" s="34">
        <v>11.0</v>
      </c>
      <c r="R141" s="42">
        <v>3.962682431184186</v>
      </c>
      <c r="S141" s="36">
        <v>0.09237021984112322</v>
      </c>
      <c r="T141" s="36">
        <v>0.15850729724736745</v>
      </c>
      <c r="U141" s="36"/>
      <c r="V141" s="36">
        <v>3.8965453537779418</v>
      </c>
      <c r="W141" s="37">
        <v>0.35423139579799473</v>
      </c>
      <c r="X141" s="42">
        <v>64350.0</v>
      </c>
      <c r="Y141" s="36">
        <v>1500.0</v>
      </c>
      <c r="Z141" s="36">
        <v>2574.0</v>
      </c>
      <c r="AA141" s="36"/>
      <c r="AB141" s="36">
        <v>63275.99999999999</v>
      </c>
      <c r="AC141" s="37">
        <v>5752.363636363636</v>
      </c>
      <c r="AD141" s="31"/>
      <c r="AE141" s="11"/>
      <c r="AF141" s="11"/>
    </row>
    <row r="142">
      <c r="A142" s="11" t="s">
        <v>152</v>
      </c>
      <c r="B142" s="39">
        <v>45411.563888888886</v>
      </c>
      <c r="C142" s="40">
        <v>45413.60972222222</v>
      </c>
      <c r="D142" s="27" t="s">
        <v>37</v>
      </c>
      <c r="E142" s="11" t="b">
        <v>0</v>
      </c>
      <c r="F142" s="11" t="s">
        <v>38</v>
      </c>
      <c r="G142" s="11" t="s">
        <v>154</v>
      </c>
      <c r="H142" s="11" t="s">
        <v>154</v>
      </c>
      <c r="I142" s="30">
        <v>5.0</v>
      </c>
      <c r="J142" s="31">
        <v>11.0</v>
      </c>
      <c r="K142" s="11">
        <v>1.0</v>
      </c>
      <c r="L142" s="32">
        <f t="shared" si="38"/>
        <v>0.3602438574</v>
      </c>
      <c r="M142" s="32">
        <f t="shared" si="40"/>
        <v>0.09237021984</v>
      </c>
      <c r="N142" s="32">
        <f>(3218)/P142</f>
        <v>0.1981649116</v>
      </c>
      <c r="O142" s="32">
        <v>0.0</v>
      </c>
      <c r="P142" s="33">
        <v>16239.0</v>
      </c>
      <c r="Q142" s="34">
        <v>11.0</v>
      </c>
      <c r="R142" s="42">
        <v>3.962682431184186</v>
      </c>
      <c r="S142" s="36">
        <v>0.09237021984112322</v>
      </c>
      <c r="T142" s="36">
        <v>0.1981649116324897</v>
      </c>
      <c r="U142" s="36"/>
      <c r="V142" s="36">
        <v>3.8568877393928194</v>
      </c>
      <c r="W142" s="37">
        <v>0.35062615812661996</v>
      </c>
      <c r="X142" s="42">
        <v>64350.0</v>
      </c>
      <c r="Y142" s="36">
        <v>1500.0</v>
      </c>
      <c r="Z142" s="36">
        <v>3218.0</v>
      </c>
      <c r="AA142" s="36"/>
      <c r="AB142" s="36">
        <v>62631.99999999999</v>
      </c>
      <c r="AC142" s="37">
        <v>5693.818181818181</v>
      </c>
      <c r="AD142" s="31"/>
      <c r="AE142" s="11"/>
      <c r="AF142" s="11"/>
    </row>
    <row r="143">
      <c r="A143" s="11" t="s">
        <v>152</v>
      </c>
      <c r="B143" s="39">
        <v>45411.5625</v>
      </c>
      <c r="C143" s="40">
        <v>45412.51502474537</v>
      </c>
      <c r="D143" s="27" t="s">
        <v>33</v>
      </c>
      <c r="E143" s="11" t="b">
        <v>0</v>
      </c>
      <c r="F143" s="11" t="s">
        <v>38</v>
      </c>
      <c r="G143" s="11" t="s">
        <v>154</v>
      </c>
      <c r="H143" s="11" t="s">
        <v>154</v>
      </c>
      <c r="I143" s="30">
        <v>5.0</v>
      </c>
      <c r="J143" s="31">
        <v>20.0</v>
      </c>
      <c r="K143" s="11">
        <v>1.0</v>
      </c>
      <c r="L143" s="32">
        <f t="shared" si="38"/>
        <v>0.3602438574</v>
      </c>
      <c r="M143" s="32">
        <f t="shared" ref="M143:M144" si="41">(1000 + 900)/P143</f>
        <v>0.1170022785</v>
      </c>
      <c r="N143" s="32">
        <f>(5850)/P143</f>
        <v>0.3602438574</v>
      </c>
      <c r="O143" s="32">
        <v>0.0</v>
      </c>
      <c r="P143" s="33">
        <v>16239.0</v>
      </c>
      <c r="Q143" s="34">
        <v>20.0</v>
      </c>
      <c r="R143" s="42">
        <v>7.204877147607611</v>
      </c>
      <c r="S143" s="36">
        <v>0.11700227846542274</v>
      </c>
      <c r="T143" s="36">
        <v>0.36024385738038056</v>
      </c>
      <c r="U143" s="36"/>
      <c r="V143" s="36">
        <v>6.961635568692653</v>
      </c>
      <c r="W143" s="37">
        <v>0.34808177843463267</v>
      </c>
      <c r="X143" s="42">
        <v>117000.0</v>
      </c>
      <c r="Y143" s="36">
        <v>1900.0</v>
      </c>
      <c r="Z143" s="36">
        <v>5850.0</v>
      </c>
      <c r="AA143" s="36"/>
      <c r="AB143" s="36">
        <v>113050.0</v>
      </c>
      <c r="AC143" s="37">
        <v>5652.5</v>
      </c>
      <c r="AD143" s="31"/>
      <c r="AE143" s="11"/>
      <c r="AF143" s="11"/>
    </row>
    <row r="144">
      <c r="A144" s="11" t="s">
        <v>152</v>
      </c>
      <c r="B144" s="39">
        <v>45411.561111111114</v>
      </c>
      <c r="C144" s="40">
        <v>45412.51501458333</v>
      </c>
      <c r="D144" s="27" t="s">
        <v>33</v>
      </c>
      <c r="E144" s="11" t="b">
        <v>0</v>
      </c>
      <c r="F144" s="11" t="s">
        <v>38</v>
      </c>
      <c r="G144" s="11" t="s">
        <v>154</v>
      </c>
      <c r="H144" s="11" t="s">
        <v>154</v>
      </c>
      <c r="I144" s="30">
        <v>5.0</v>
      </c>
      <c r="J144" s="31">
        <v>20.0</v>
      </c>
      <c r="K144" s="11">
        <v>1.0</v>
      </c>
      <c r="L144" s="32">
        <f t="shared" si="38"/>
        <v>0.3602438574</v>
      </c>
      <c r="M144" s="32">
        <f t="shared" si="41"/>
        <v>0.1170022785</v>
      </c>
      <c r="N144" s="32">
        <f>(7020)/P144</f>
        <v>0.4322926289</v>
      </c>
      <c r="O144" s="32">
        <v>0.0</v>
      </c>
      <c r="P144" s="33">
        <v>16239.0</v>
      </c>
      <c r="Q144" s="34">
        <v>20.0</v>
      </c>
      <c r="R144" s="42">
        <v>7.204877147607611</v>
      </c>
      <c r="S144" s="36">
        <v>0.11700227846542274</v>
      </c>
      <c r="T144" s="36">
        <v>0.4322926288564567</v>
      </c>
      <c r="U144" s="36"/>
      <c r="V144" s="36">
        <v>6.889586797216577</v>
      </c>
      <c r="W144" s="37">
        <v>0.34447933986082885</v>
      </c>
      <c r="X144" s="42">
        <v>117000.0</v>
      </c>
      <c r="Y144" s="36">
        <v>1900.0</v>
      </c>
      <c r="Z144" s="36">
        <v>7020.0</v>
      </c>
      <c r="AA144" s="36"/>
      <c r="AB144" s="36">
        <v>111879.99999999999</v>
      </c>
      <c r="AC144" s="37">
        <v>5593.999999999999</v>
      </c>
      <c r="AD144" s="31"/>
      <c r="AE144" s="11"/>
      <c r="AF144" s="11"/>
    </row>
    <row r="145">
      <c r="A145" s="11" t="s">
        <v>152</v>
      </c>
      <c r="B145" s="39">
        <v>45272.86841420139</v>
      </c>
      <c r="C145" s="40">
        <v>45276.70138888889</v>
      </c>
      <c r="D145" s="27" t="s">
        <v>33</v>
      </c>
      <c r="E145" s="11" t="b">
        <v>0</v>
      </c>
      <c r="F145" s="11" t="s">
        <v>38</v>
      </c>
      <c r="G145" s="11" t="s">
        <v>154</v>
      </c>
      <c r="H145" s="11" t="s">
        <v>154</v>
      </c>
      <c r="I145" s="30">
        <v>5.0</v>
      </c>
      <c r="J145" s="31">
        <v>21.0</v>
      </c>
      <c r="K145" s="11">
        <v>1.0</v>
      </c>
      <c r="L145" s="32">
        <f t="shared" ref="L145:L147" si="42">(5500)/P145</f>
        <v>0.3525415037</v>
      </c>
      <c r="M145" s="32">
        <f t="shared" ref="M145:M147" si="43">(1000+23000)/P145</f>
        <v>1.538362925</v>
      </c>
      <c r="N145" s="32">
        <v>0.0</v>
      </c>
      <c r="O145" s="32">
        <f t="shared" ref="O145:O147" si="44">(23000)/P145</f>
        <v>1.47426447</v>
      </c>
      <c r="P145" s="58">
        <v>15601.0</v>
      </c>
      <c r="Q145" s="34">
        <v>21.0</v>
      </c>
      <c r="R145" s="42">
        <v>7.403371578744952</v>
      </c>
      <c r="S145" s="36">
        <v>1.5383629254534965</v>
      </c>
      <c r="T145" s="36"/>
      <c r="U145" s="36">
        <v>1.4742644702262675</v>
      </c>
      <c r="V145" s="36">
        <v>7.467470033972181</v>
      </c>
      <c r="W145" s="37">
        <v>0.35559381114153243</v>
      </c>
      <c r="X145" s="42">
        <v>115500.0</v>
      </c>
      <c r="Y145" s="36">
        <v>24000.0</v>
      </c>
      <c r="Z145" s="36"/>
      <c r="AA145" s="36">
        <v>23000.0</v>
      </c>
      <c r="AB145" s="36">
        <v>116500.0</v>
      </c>
      <c r="AC145" s="37">
        <v>5547.619047619048</v>
      </c>
      <c r="AD145" s="31"/>
      <c r="AE145" s="11"/>
      <c r="AF145" s="11"/>
    </row>
    <row r="146">
      <c r="A146" s="11" t="s">
        <v>152</v>
      </c>
      <c r="B146" s="39">
        <v>45272.8658739699</v>
      </c>
      <c r="C146" s="40">
        <v>45276.70138888889</v>
      </c>
      <c r="D146" s="27" t="s">
        <v>33</v>
      </c>
      <c r="E146" s="11" t="b">
        <v>0</v>
      </c>
      <c r="F146" s="11" t="s">
        <v>38</v>
      </c>
      <c r="G146" s="11" t="s">
        <v>154</v>
      </c>
      <c r="H146" s="11" t="s">
        <v>154</v>
      </c>
      <c r="I146" s="30">
        <v>5.0</v>
      </c>
      <c r="J146" s="31">
        <v>21.0</v>
      </c>
      <c r="K146" s="11">
        <v>1.0</v>
      </c>
      <c r="L146" s="32">
        <f t="shared" si="42"/>
        <v>0.3525415037</v>
      </c>
      <c r="M146" s="32">
        <f t="shared" si="43"/>
        <v>1.538362925</v>
      </c>
      <c r="N146" s="32">
        <f>(1155)/P146</f>
        <v>0.07403371579</v>
      </c>
      <c r="O146" s="32">
        <f t="shared" si="44"/>
        <v>1.47426447</v>
      </c>
      <c r="P146" s="58">
        <v>15601.0</v>
      </c>
      <c r="Q146" s="34">
        <v>21.0</v>
      </c>
      <c r="R146" s="42">
        <v>7.403371578744952</v>
      </c>
      <c r="S146" s="36">
        <v>1.5383629254534965</v>
      </c>
      <c r="T146" s="36">
        <v>0.07403371578744952</v>
      </c>
      <c r="U146" s="36">
        <v>1.4742644702262675</v>
      </c>
      <c r="V146" s="36">
        <v>7.393436318184732</v>
      </c>
      <c r="W146" s="37">
        <v>0.35206839610403484</v>
      </c>
      <c r="X146" s="42">
        <v>115500.0</v>
      </c>
      <c r="Y146" s="36">
        <v>24000.0</v>
      </c>
      <c r="Z146" s="36">
        <v>1155.0</v>
      </c>
      <c r="AA146" s="36">
        <v>23000.0</v>
      </c>
      <c r="AB146" s="36">
        <v>115345.00000000001</v>
      </c>
      <c r="AC146" s="37">
        <v>5492.619047619049</v>
      </c>
      <c r="AD146" s="31"/>
      <c r="AE146" s="11"/>
      <c r="AF146" s="11"/>
    </row>
    <row r="147">
      <c r="A147" s="11" t="s">
        <v>152</v>
      </c>
      <c r="B147" s="39">
        <v>45272.86472990741</v>
      </c>
      <c r="C147" s="40">
        <v>45276.70138888889</v>
      </c>
      <c r="D147" s="27" t="s">
        <v>33</v>
      </c>
      <c r="E147" s="11" t="b">
        <v>0</v>
      </c>
      <c r="F147" s="11" t="s">
        <v>38</v>
      </c>
      <c r="G147" s="11" t="s">
        <v>154</v>
      </c>
      <c r="H147" s="11" t="s">
        <v>154</v>
      </c>
      <c r="I147" s="30">
        <v>5.0</v>
      </c>
      <c r="J147" s="31">
        <v>21.0</v>
      </c>
      <c r="K147" s="11">
        <v>1.0</v>
      </c>
      <c r="L147" s="32">
        <f t="shared" si="42"/>
        <v>0.3525415037</v>
      </c>
      <c r="M147" s="32">
        <f t="shared" si="43"/>
        <v>1.538362925</v>
      </c>
      <c r="N147" s="32">
        <v>0.0</v>
      </c>
      <c r="O147" s="32">
        <f t="shared" si="44"/>
        <v>1.47426447</v>
      </c>
      <c r="P147" s="58">
        <v>15601.0</v>
      </c>
      <c r="Q147" s="34">
        <v>21.0</v>
      </c>
      <c r="R147" s="42">
        <v>7.403371578744952</v>
      </c>
      <c r="S147" s="36">
        <v>1.5383629254534965</v>
      </c>
      <c r="T147" s="36"/>
      <c r="U147" s="36">
        <v>1.4742644702262675</v>
      </c>
      <c r="V147" s="36">
        <v>7.467470033972181</v>
      </c>
      <c r="W147" s="37">
        <v>0.35559381114153243</v>
      </c>
      <c r="X147" s="42">
        <v>115500.0</v>
      </c>
      <c r="Y147" s="36">
        <v>24000.0</v>
      </c>
      <c r="Z147" s="36"/>
      <c r="AA147" s="36">
        <v>23000.0</v>
      </c>
      <c r="AB147" s="36">
        <v>116500.0</v>
      </c>
      <c r="AC147" s="37">
        <v>5547.619047619048</v>
      </c>
      <c r="AD147" s="31"/>
      <c r="AE147" s="11"/>
      <c r="AF147" s="11"/>
    </row>
    <row r="148">
      <c r="A148" s="11" t="s">
        <v>152</v>
      </c>
      <c r="B148" s="39">
        <v>45270.72817447917</v>
      </c>
      <c r="C148" s="40">
        <v>45272.860313425925</v>
      </c>
      <c r="D148" s="27" t="s">
        <v>33</v>
      </c>
      <c r="E148" s="11" t="b">
        <v>0</v>
      </c>
      <c r="F148" s="11" t="s">
        <v>38</v>
      </c>
      <c r="G148" s="11" t="s">
        <v>155</v>
      </c>
      <c r="H148" s="11" t="s">
        <v>156</v>
      </c>
      <c r="I148" s="30">
        <v>5.0</v>
      </c>
      <c r="J148" s="31">
        <v>5.0</v>
      </c>
      <c r="K148" s="11">
        <v>12.0</v>
      </c>
      <c r="L148" s="32">
        <f>(66000)/P148</f>
        <v>4.238104411</v>
      </c>
      <c r="M148" s="32">
        <f>5*(1000+12000)/P148</f>
        <v>4.173890708</v>
      </c>
      <c r="N148" s="32">
        <f>(1000+660)/P148</f>
        <v>0.1065947473</v>
      </c>
      <c r="O148" s="32">
        <f>5*(12000)/P148</f>
        <v>3.852822192</v>
      </c>
      <c r="P148" s="58">
        <v>15573.0</v>
      </c>
      <c r="Q148" s="34">
        <v>60.0</v>
      </c>
      <c r="R148" s="42">
        <v>21.190522057407048</v>
      </c>
      <c r="S148" s="36">
        <v>4.173890708277146</v>
      </c>
      <c r="T148" s="36">
        <v>0.10659474731907789</v>
      </c>
      <c r="U148" s="36">
        <v>3.8528221922558274</v>
      </c>
      <c r="V148" s="36">
        <v>21.404995826109285</v>
      </c>
      <c r="W148" s="37">
        <v>0.35674993043515474</v>
      </c>
      <c r="X148" s="42">
        <v>329999.99999999994</v>
      </c>
      <c r="Y148" s="36">
        <v>65000.0</v>
      </c>
      <c r="Z148" s="36">
        <v>1660.0</v>
      </c>
      <c r="AA148" s="36">
        <v>60000.0</v>
      </c>
      <c r="AB148" s="36">
        <v>333339.9999999999</v>
      </c>
      <c r="AC148" s="37">
        <v>5555.666666666665</v>
      </c>
      <c r="AD148" s="31"/>
      <c r="AE148" s="11"/>
      <c r="AF148" s="11"/>
    </row>
    <row r="149">
      <c r="A149" s="11" t="s">
        <v>152</v>
      </c>
      <c r="B149" s="39">
        <v>45133.0</v>
      </c>
      <c r="C149" s="40">
        <v>45154.56890046296</v>
      </c>
      <c r="D149" s="27" t="s">
        <v>33</v>
      </c>
      <c r="E149" s="11" t="b">
        <v>0</v>
      </c>
      <c r="F149" s="11" t="s">
        <v>157</v>
      </c>
      <c r="G149" s="61"/>
      <c r="H149" s="46"/>
      <c r="I149" s="30">
        <v>5.0</v>
      </c>
      <c r="J149" s="31">
        <v>84.0</v>
      </c>
      <c r="K149" s="11">
        <v>1.0</v>
      </c>
      <c r="L149" s="32">
        <f>5700/P149</f>
        <v>0.379317229</v>
      </c>
      <c r="M149" s="32">
        <f>(18500+2000+2000)/P149</f>
        <v>1.497304851</v>
      </c>
      <c r="N149" s="32">
        <v>0.0</v>
      </c>
      <c r="O149" s="32">
        <v>0.0</v>
      </c>
      <c r="P149" s="33">
        <v>15027.0</v>
      </c>
      <c r="Q149" s="34">
        <v>84.0</v>
      </c>
      <c r="R149" s="42">
        <v>31.862647234977043</v>
      </c>
      <c r="S149" s="36">
        <v>1.497304851267718</v>
      </c>
      <c r="T149" s="36"/>
      <c r="U149" s="36"/>
      <c r="V149" s="36">
        <v>33.35995208624476</v>
      </c>
      <c r="W149" s="37">
        <v>0.39714228674100904</v>
      </c>
      <c r="X149" s="42">
        <v>478800.0</v>
      </c>
      <c r="Y149" s="36">
        <v>22500.0</v>
      </c>
      <c r="Z149" s="36"/>
      <c r="AA149" s="36"/>
      <c r="AB149" s="36">
        <v>501300.0</v>
      </c>
      <c r="AC149" s="37">
        <v>5967.857142857143</v>
      </c>
      <c r="AD149" s="31"/>
      <c r="AE149" s="11"/>
      <c r="AF149" s="11"/>
    </row>
    <row r="150">
      <c r="A150" s="11" t="s">
        <v>152</v>
      </c>
      <c r="B150" s="39">
        <v>45082.0</v>
      </c>
      <c r="C150" s="40">
        <v>45082.69378349537</v>
      </c>
      <c r="D150" s="27" t="s">
        <v>33</v>
      </c>
      <c r="E150" s="11" t="b">
        <v>0</v>
      </c>
      <c r="F150" s="11" t="s">
        <v>38</v>
      </c>
      <c r="G150" s="61"/>
      <c r="H150" s="46" t="s">
        <v>158</v>
      </c>
      <c r="I150" s="30">
        <v>5.0</v>
      </c>
      <c r="J150" s="31">
        <v>180.0</v>
      </c>
      <c r="K150" s="11">
        <v>1.0</v>
      </c>
      <c r="L150" s="32">
        <f t="shared" ref="L150:L151" si="45">(5650)/P150</f>
        <v>0.3798063996</v>
      </c>
      <c r="M150" s="32">
        <f>(34000+6400+3000)/P150</f>
        <v>2.917450928</v>
      </c>
      <c r="N150" s="32">
        <f>(10000+50850)/P150</f>
        <v>4.090481312</v>
      </c>
      <c r="O150" s="32">
        <v>0.0</v>
      </c>
      <c r="P150" s="33">
        <v>14876.0</v>
      </c>
      <c r="Q150" s="34">
        <v>180.0</v>
      </c>
      <c r="R150" s="42">
        <v>68.36515192255982</v>
      </c>
      <c r="S150" s="36">
        <v>2.917450927668728</v>
      </c>
      <c r="T150" s="36">
        <v>4.090481312180693</v>
      </c>
      <c r="U150" s="36"/>
      <c r="V150" s="36">
        <v>67.19212153804784</v>
      </c>
      <c r="W150" s="37">
        <v>0.3732895641002658</v>
      </c>
      <c r="X150" s="42">
        <v>1016999.9999999999</v>
      </c>
      <c r="Y150" s="36">
        <v>43400.0</v>
      </c>
      <c r="Z150" s="36">
        <v>60849.99999999999</v>
      </c>
      <c r="AA150" s="36"/>
      <c r="AB150" s="36">
        <v>999549.9999999998</v>
      </c>
      <c r="AC150" s="37">
        <v>5553.055555555554</v>
      </c>
      <c r="AD150" s="31"/>
      <c r="AE150" s="11"/>
      <c r="AF150" s="11"/>
    </row>
    <row r="151">
      <c r="A151" s="11" t="s">
        <v>152</v>
      </c>
      <c r="B151" s="39">
        <v>45082.0</v>
      </c>
      <c r="C151" s="40">
        <v>45084.0</v>
      </c>
      <c r="D151" s="27" t="s">
        <v>33</v>
      </c>
      <c r="E151" s="11" t="b">
        <v>0</v>
      </c>
      <c r="F151" s="11" t="s">
        <v>38</v>
      </c>
      <c r="G151" s="61"/>
      <c r="H151" s="46" t="s">
        <v>158</v>
      </c>
      <c r="I151" s="30">
        <v>5.0</v>
      </c>
      <c r="J151" s="31">
        <v>90.0</v>
      </c>
      <c r="K151" s="11">
        <v>1.0</v>
      </c>
      <c r="L151" s="32">
        <f t="shared" si="45"/>
        <v>0.3798063996</v>
      </c>
      <c r="M151" s="32">
        <f>(25000+3300+2000)/P151</f>
        <v>2.03683786</v>
      </c>
      <c r="N151" s="32">
        <v>0.0</v>
      </c>
      <c r="O151" s="32">
        <f>(25000)/P151</f>
        <v>1.68055929</v>
      </c>
      <c r="P151" s="33">
        <v>14876.0</v>
      </c>
      <c r="Q151" s="34">
        <v>90.0</v>
      </c>
      <c r="R151" s="42">
        <v>34.18257596127991</v>
      </c>
      <c r="S151" s="36">
        <v>2.036837859639688</v>
      </c>
      <c r="T151" s="36"/>
      <c r="U151" s="36">
        <v>1.6805592901317559</v>
      </c>
      <c r="V151" s="36">
        <v>34.538854530787845</v>
      </c>
      <c r="W151" s="37">
        <v>0.3837650503420872</v>
      </c>
      <c r="X151" s="42">
        <v>508499.99999999994</v>
      </c>
      <c r="Y151" s="36">
        <v>30300.0</v>
      </c>
      <c r="Z151" s="36"/>
      <c r="AA151" s="36">
        <v>25000.0</v>
      </c>
      <c r="AB151" s="36">
        <v>513800.0</v>
      </c>
      <c r="AC151" s="37">
        <v>5708.888888888889</v>
      </c>
      <c r="AD151" s="31"/>
      <c r="AE151" s="11"/>
      <c r="AF151" s="11"/>
    </row>
    <row r="152">
      <c r="A152" s="11" t="s">
        <v>152</v>
      </c>
      <c r="B152" s="39">
        <v>45017.0</v>
      </c>
      <c r="C152" s="40">
        <v>45020.0</v>
      </c>
      <c r="D152" s="27" t="s">
        <v>33</v>
      </c>
      <c r="E152" s="11" t="b">
        <v>0</v>
      </c>
      <c r="F152" s="11" t="s">
        <v>38</v>
      </c>
      <c r="G152" s="61"/>
      <c r="H152" s="46" t="s">
        <v>159</v>
      </c>
      <c r="I152" s="30">
        <v>5.0</v>
      </c>
      <c r="J152" s="31">
        <v>6.0</v>
      </c>
      <c r="K152" s="11">
        <v>10.0</v>
      </c>
      <c r="L152" s="32">
        <f>56000/P152</f>
        <v>3.741064867</v>
      </c>
      <c r="M152" s="32">
        <f>(11500+6*1000)/P152</f>
        <v>1.169082771</v>
      </c>
      <c r="N152" s="32">
        <v>0.0</v>
      </c>
      <c r="O152" s="32">
        <f t="shared" ref="O152:O153" si="46">11500/P152</f>
        <v>0.7682543924</v>
      </c>
      <c r="P152" s="33">
        <v>14969.0</v>
      </c>
      <c r="Q152" s="34">
        <v>60.0</v>
      </c>
      <c r="R152" s="42">
        <v>22.44638920435567</v>
      </c>
      <c r="S152" s="36">
        <v>1.169082771060191</v>
      </c>
      <c r="T152" s="36"/>
      <c r="U152" s="36">
        <v>0.7682543924109827</v>
      </c>
      <c r="V152" s="36">
        <v>22.847217583004873</v>
      </c>
      <c r="W152" s="37">
        <v>0.38078695971674786</v>
      </c>
      <c r="X152" s="42">
        <v>336000.0</v>
      </c>
      <c r="Y152" s="36">
        <v>17500.0</v>
      </c>
      <c r="Z152" s="36"/>
      <c r="AA152" s="36">
        <v>11500.0</v>
      </c>
      <c r="AB152" s="36">
        <v>341999.99999999994</v>
      </c>
      <c r="AC152" s="37">
        <v>5699.999999999999</v>
      </c>
      <c r="AD152" s="31"/>
      <c r="AE152" s="11"/>
      <c r="AF152" s="11"/>
    </row>
    <row r="153">
      <c r="A153" s="11" t="s">
        <v>152</v>
      </c>
      <c r="B153" s="39">
        <v>44920.0</v>
      </c>
      <c r="C153" s="40">
        <v>44922.0</v>
      </c>
      <c r="D153" s="27" t="s">
        <v>33</v>
      </c>
      <c r="E153" s="11" t="b">
        <v>0</v>
      </c>
      <c r="F153" s="11" t="s">
        <v>38</v>
      </c>
      <c r="G153" s="57" t="s">
        <v>160</v>
      </c>
      <c r="H153" s="46" t="s">
        <v>161</v>
      </c>
      <c r="I153" s="30">
        <v>5.0</v>
      </c>
      <c r="J153" s="31">
        <v>5.0</v>
      </c>
      <c r="K153" s="11">
        <v>10.0</v>
      </c>
      <c r="L153" s="32">
        <f>54500/P153</f>
        <v>3.487107301</v>
      </c>
      <c r="M153" s="32">
        <f>(11500+400)/P153</f>
        <v>0.7614050803</v>
      </c>
      <c r="N153" s="32">
        <v>0.0</v>
      </c>
      <c r="O153" s="67">
        <f t="shared" si="46"/>
        <v>0.7358116322</v>
      </c>
      <c r="P153" s="33">
        <v>15629.0</v>
      </c>
      <c r="Q153" s="34">
        <v>50.0</v>
      </c>
      <c r="R153" s="42">
        <v>17.43553650265532</v>
      </c>
      <c r="S153" s="36">
        <v>0.7614050802994433</v>
      </c>
      <c r="T153" s="36"/>
      <c r="U153" s="36">
        <v>0.7358116322221512</v>
      </c>
      <c r="V153" s="36">
        <v>17.461129950732612</v>
      </c>
      <c r="W153" s="37">
        <v>0.34922259901465225</v>
      </c>
      <c r="X153" s="42">
        <v>272500.0</v>
      </c>
      <c r="Y153" s="36">
        <v>11900.0</v>
      </c>
      <c r="Z153" s="36"/>
      <c r="AA153" s="36">
        <v>11500.0</v>
      </c>
      <c r="AB153" s="36">
        <v>272900.0</v>
      </c>
      <c r="AC153" s="37">
        <v>5458.0</v>
      </c>
      <c r="AD153" s="31"/>
      <c r="AE153" s="11"/>
      <c r="AF153" s="11"/>
    </row>
    <row r="154">
      <c r="A154" s="11" t="s">
        <v>152</v>
      </c>
      <c r="B154" s="39">
        <v>44869.0</v>
      </c>
      <c r="C154" s="40">
        <v>44869.0</v>
      </c>
      <c r="D154" s="27" t="s">
        <v>33</v>
      </c>
      <c r="E154" s="11" t="b">
        <v>0</v>
      </c>
      <c r="F154" s="11" t="s">
        <v>38</v>
      </c>
      <c r="G154" s="11" t="s">
        <v>162</v>
      </c>
      <c r="H154" s="11" t="s">
        <v>162</v>
      </c>
      <c r="I154" s="30">
        <v>5.0</v>
      </c>
      <c r="J154" s="31">
        <v>1.0</v>
      </c>
      <c r="K154" s="11">
        <v>144.0</v>
      </c>
      <c r="L154" s="32">
        <f>710000/P154</f>
        <v>45.51282051</v>
      </c>
      <c r="M154" s="32">
        <f>25000/P154</f>
        <v>1.602564103</v>
      </c>
      <c r="N154" s="32">
        <v>0.0</v>
      </c>
      <c r="O154" s="32">
        <v>0.0</v>
      </c>
      <c r="P154" s="33">
        <v>15600.0</v>
      </c>
      <c r="Q154" s="34">
        <v>144.0</v>
      </c>
      <c r="R154" s="42">
        <v>45.51282051282051</v>
      </c>
      <c r="S154" s="36">
        <v>1.6025641025641026</v>
      </c>
      <c r="T154" s="36"/>
      <c r="U154" s="36"/>
      <c r="V154" s="36">
        <v>47.11538461538461</v>
      </c>
      <c r="W154" s="37">
        <v>0.32719017094017094</v>
      </c>
      <c r="X154" s="42">
        <v>710000.0</v>
      </c>
      <c r="Y154" s="36">
        <v>25000.0</v>
      </c>
      <c r="Z154" s="36"/>
      <c r="AA154" s="36"/>
      <c r="AB154" s="36">
        <v>735000.0</v>
      </c>
      <c r="AC154" s="37">
        <v>5104.166666666667</v>
      </c>
      <c r="AD154" s="31"/>
      <c r="AE154" s="11"/>
      <c r="AF154" s="11"/>
    </row>
    <row r="155">
      <c r="A155" s="11" t="s">
        <v>152</v>
      </c>
      <c r="B155" s="39">
        <v>44181.626463981476</v>
      </c>
      <c r="C155" s="40">
        <v>44185.0</v>
      </c>
      <c r="D155" s="27" t="s">
        <v>163</v>
      </c>
      <c r="E155" s="11" t="b">
        <v>0</v>
      </c>
      <c r="F155" s="11" t="s">
        <v>38</v>
      </c>
      <c r="G155" s="45" t="s">
        <v>164</v>
      </c>
      <c r="H155" s="46" t="s">
        <v>165</v>
      </c>
      <c r="I155" s="30">
        <v>5.0</v>
      </c>
      <c r="J155" s="31">
        <v>92.0</v>
      </c>
      <c r="K155" s="11">
        <v>1.0</v>
      </c>
      <c r="L155" s="32">
        <f>3850/P155</f>
        <v>0.385</v>
      </c>
      <c r="M155" s="32">
        <f>30000/P155</f>
        <v>3</v>
      </c>
      <c r="N155" s="32">
        <v>0.0</v>
      </c>
      <c r="O155" s="32">
        <f>5000/P155</f>
        <v>0.5</v>
      </c>
      <c r="P155" s="33">
        <v>10000.0</v>
      </c>
      <c r="Q155" s="34">
        <v>92.0</v>
      </c>
      <c r="R155" s="42">
        <v>35.42</v>
      </c>
      <c r="S155" s="36">
        <v>3.0</v>
      </c>
      <c r="T155" s="36"/>
      <c r="U155" s="36">
        <v>0.5</v>
      </c>
      <c r="V155" s="36">
        <v>37.92</v>
      </c>
      <c r="W155" s="37">
        <v>0.4121739130434783</v>
      </c>
      <c r="X155" s="42">
        <v>354200.0</v>
      </c>
      <c r="Y155" s="36">
        <v>30000.0</v>
      </c>
      <c r="Z155" s="36"/>
      <c r="AA155" s="36">
        <v>5000.0</v>
      </c>
      <c r="AB155" s="36">
        <v>379200.0</v>
      </c>
      <c r="AC155" s="37">
        <v>4121.739130434783</v>
      </c>
      <c r="AD155" s="31"/>
      <c r="AE155" s="11"/>
      <c r="AF155" s="11"/>
    </row>
    <row r="156">
      <c r="A156" s="11" t="s">
        <v>152</v>
      </c>
      <c r="B156" s="39">
        <v>44019.0</v>
      </c>
      <c r="C156" s="40">
        <v>44019.0</v>
      </c>
      <c r="D156" s="27" t="s">
        <v>48</v>
      </c>
      <c r="E156" s="11" t="b">
        <v>0</v>
      </c>
      <c r="F156" s="11" t="s">
        <v>166</v>
      </c>
      <c r="G156" s="29" t="s">
        <v>166</v>
      </c>
      <c r="H156" s="46" t="s">
        <v>167</v>
      </c>
      <c r="I156" s="33">
        <v>5.0</v>
      </c>
      <c r="J156" s="31">
        <v>30.0</v>
      </c>
      <c r="K156" s="11">
        <v>1.0</v>
      </c>
      <c r="L156" s="32">
        <f>3500/P156</f>
        <v>0.35</v>
      </c>
      <c r="M156" s="32"/>
      <c r="N156" s="32"/>
      <c r="O156" s="32"/>
      <c r="P156" s="33">
        <v>10000.0</v>
      </c>
      <c r="Q156" s="34">
        <v>30.0</v>
      </c>
      <c r="R156" s="42">
        <v>10.5</v>
      </c>
      <c r="S156" s="36"/>
      <c r="T156" s="36"/>
      <c r="U156" s="36"/>
      <c r="V156" s="36">
        <v>10.5</v>
      </c>
      <c r="W156" s="37">
        <v>0.35</v>
      </c>
      <c r="X156" s="42">
        <v>105000.0</v>
      </c>
      <c r="Y156" s="36"/>
      <c r="Z156" s="36"/>
      <c r="AA156" s="36"/>
      <c r="AB156" s="36">
        <v>105000.0</v>
      </c>
      <c r="AC156" s="37">
        <v>3500.0</v>
      </c>
      <c r="AD156" s="31"/>
      <c r="AE156" s="11"/>
      <c r="AF156" s="11"/>
    </row>
    <row r="157">
      <c r="A157" s="11" t="s">
        <v>152</v>
      </c>
      <c r="B157" s="39">
        <v>43988.0</v>
      </c>
      <c r="C157" s="40">
        <v>43988.0</v>
      </c>
      <c r="D157" s="27" t="s">
        <v>48</v>
      </c>
      <c r="E157" s="11" t="b">
        <v>0</v>
      </c>
      <c r="F157" s="29" t="s">
        <v>166</v>
      </c>
      <c r="G157" s="29" t="s">
        <v>166</v>
      </c>
      <c r="H157" s="29" t="s">
        <v>167</v>
      </c>
      <c r="I157" s="33">
        <v>5.0</v>
      </c>
      <c r="J157" s="31">
        <v>30.0</v>
      </c>
      <c r="K157" s="11">
        <v>1.0</v>
      </c>
      <c r="L157" s="32">
        <f>3500/P157</f>
        <v>0.35</v>
      </c>
      <c r="M157" s="32"/>
      <c r="N157" s="32"/>
      <c r="O157" s="32"/>
      <c r="P157" s="33">
        <v>10000.0</v>
      </c>
      <c r="Q157" s="34">
        <v>30.0</v>
      </c>
      <c r="R157" s="42">
        <v>10.5</v>
      </c>
      <c r="S157" s="36"/>
      <c r="T157" s="36"/>
      <c r="U157" s="36"/>
      <c r="V157" s="36">
        <v>10.5</v>
      </c>
      <c r="W157" s="37">
        <v>0.35</v>
      </c>
      <c r="X157" s="42">
        <v>105000.0</v>
      </c>
      <c r="Y157" s="36"/>
      <c r="Z157" s="36"/>
      <c r="AA157" s="36"/>
      <c r="AB157" s="36">
        <v>105000.0</v>
      </c>
      <c r="AC157" s="37">
        <v>3500.0</v>
      </c>
      <c r="AD157" s="31"/>
      <c r="AE157" s="11"/>
      <c r="AF157" s="11"/>
    </row>
    <row r="158">
      <c r="A158" s="11" t="s">
        <v>152</v>
      </c>
      <c r="B158" s="39">
        <v>43634.0</v>
      </c>
      <c r="C158" s="40">
        <v>43640.58688769676</v>
      </c>
      <c r="D158" s="27" t="s">
        <v>66</v>
      </c>
      <c r="E158" s="11" t="b">
        <v>0</v>
      </c>
      <c r="F158" s="29" t="s">
        <v>38</v>
      </c>
      <c r="G158" s="45" t="str">
        <f>"https://www.tokopedia.com/vhiercher/baterai-abc-super-power-size-jumbo-jype-dr20p-2pcs"</f>
        <v>https://www.tokopedia.com/vhiercher/baterai-abc-super-power-size-jumbo-jype-dr20p-2pcs</v>
      </c>
      <c r="H158" s="29" t="s">
        <v>47</v>
      </c>
      <c r="I158" s="33"/>
      <c r="J158" s="31">
        <v>20.0</v>
      </c>
      <c r="K158" s="11">
        <v>2.0</v>
      </c>
      <c r="L158" s="32">
        <f>5800/P158</f>
        <v>0.58</v>
      </c>
      <c r="M158" s="32">
        <f>30000/P158</f>
        <v>3</v>
      </c>
      <c r="N158" s="32"/>
      <c r="O158" s="32"/>
      <c r="P158" s="33">
        <v>10000.0</v>
      </c>
      <c r="Q158" s="34">
        <v>40.0</v>
      </c>
      <c r="R158" s="42">
        <v>11.6</v>
      </c>
      <c r="S158" s="36">
        <v>3.0</v>
      </c>
      <c r="T158" s="36"/>
      <c r="U158" s="36"/>
      <c r="V158" s="36">
        <v>14.6</v>
      </c>
      <c r="W158" s="37">
        <v>0.365</v>
      </c>
      <c r="X158" s="42">
        <v>116000.0</v>
      </c>
      <c r="Y158" s="36">
        <v>30000.0</v>
      </c>
      <c r="Z158" s="36"/>
      <c r="AA158" s="36"/>
      <c r="AB158" s="36">
        <v>146000.0</v>
      </c>
      <c r="AC158" s="37">
        <v>3650.0</v>
      </c>
      <c r="AD158" s="31"/>
      <c r="AE158" s="11"/>
      <c r="AF158" s="11"/>
    </row>
    <row r="159">
      <c r="A159" s="11" t="s">
        <v>152</v>
      </c>
      <c r="B159" s="39">
        <v>43584.0</v>
      </c>
      <c r="C159" s="40">
        <v>43586.0</v>
      </c>
      <c r="D159" s="27" t="s">
        <v>56</v>
      </c>
      <c r="E159" s="11" t="b">
        <v>1</v>
      </c>
      <c r="F159" s="11" t="s">
        <v>38</v>
      </c>
      <c r="G159" s="84" t="s">
        <v>168</v>
      </c>
      <c r="H159" s="85" t="s">
        <v>169</v>
      </c>
      <c r="I159" s="33"/>
      <c r="J159" s="31">
        <v>20.0</v>
      </c>
      <c r="K159" s="11">
        <v>2.0</v>
      </c>
      <c r="L159" s="32">
        <v>0.58</v>
      </c>
      <c r="M159" s="32">
        <v>3.0</v>
      </c>
      <c r="N159" s="32">
        <v>0.0</v>
      </c>
      <c r="O159" s="32">
        <v>0.0</v>
      </c>
      <c r="P159" s="33">
        <v>10000.0</v>
      </c>
      <c r="Q159" s="34">
        <v>40.0</v>
      </c>
      <c r="R159" s="42">
        <v>11.6</v>
      </c>
      <c r="S159" s="36">
        <v>3.0</v>
      </c>
      <c r="T159" s="36"/>
      <c r="U159" s="36"/>
      <c r="V159" s="36">
        <v>14.6</v>
      </c>
      <c r="W159" s="37">
        <v>0.365</v>
      </c>
      <c r="X159" s="42">
        <v>116000.0</v>
      </c>
      <c r="Y159" s="36">
        <v>30000.0</v>
      </c>
      <c r="Z159" s="36"/>
      <c r="AA159" s="36"/>
      <c r="AB159" s="36">
        <v>146000.0</v>
      </c>
      <c r="AC159" s="37">
        <v>3650.0</v>
      </c>
      <c r="AD159" s="31">
        <v>5000.0</v>
      </c>
      <c r="AE159" s="11">
        <v>5000.0</v>
      </c>
      <c r="AF159" s="11"/>
    </row>
    <row r="160">
      <c r="A160" s="11" t="s">
        <v>152</v>
      </c>
      <c r="B160" s="39">
        <v>43315.0</v>
      </c>
      <c r="C160" s="40">
        <v>43323.0</v>
      </c>
      <c r="D160" s="27" t="s">
        <v>98</v>
      </c>
      <c r="E160" s="11" t="b">
        <v>0</v>
      </c>
      <c r="F160" s="11" t="s">
        <v>38</v>
      </c>
      <c r="G160" s="59" t="str">
        <f t="shared" ref="G160:G163" si="47">"https://www.tokopedia.com/vhiercher/baterai-batre-abc-super-power-size-d-harga-untuk-1pcs"</f>
        <v>https://www.tokopedia.com/vhiercher/baterai-batre-abc-super-power-size-d-harga-untuk-1pcs</v>
      </c>
      <c r="H160" s="11" t="s">
        <v>170</v>
      </c>
      <c r="I160" s="33"/>
      <c r="J160" s="31">
        <v>15.0</v>
      </c>
      <c r="K160" s="11">
        <v>1.0</v>
      </c>
      <c r="L160" s="36">
        <f t="shared" ref="L160:L163" si="48">2800/P160</f>
        <v>0.28</v>
      </c>
      <c r="M160" s="36">
        <f t="shared" ref="M160:M163" si="49">9000/10000</f>
        <v>0.9</v>
      </c>
      <c r="N160" s="32"/>
      <c r="O160" s="32"/>
      <c r="P160" s="33">
        <v>10000.0</v>
      </c>
      <c r="Q160" s="34">
        <v>15.0</v>
      </c>
      <c r="R160" s="42">
        <v>4.2</v>
      </c>
      <c r="S160" s="36">
        <v>0.9</v>
      </c>
      <c r="T160" s="36"/>
      <c r="U160" s="36"/>
      <c r="V160" s="36">
        <v>5.1000000000000005</v>
      </c>
      <c r="W160" s="37">
        <v>0.34</v>
      </c>
      <c r="X160" s="42">
        <v>42000.0</v>
      </c>
      <c r="Y160" s="36">
        <v>9000.0</v>
      </c>
      <c r="Z160" s="36"/>
      <c r="AA160" s="36"/>
      <c r="AB160" s="36">
        <v>51000.00000000001</v>
      </c>
      <c r="AC160" s="37">
        <v>3400.0000000000005</v>
      </c>
      <c r="AD160" s="31">
        <v>5000.0</v>
      </c>
      <c r="AE160" s="11">
        <v>5000.0</v>
      </c>
      <c r="AF160" s="11"/>
    </row>
    <row r="161">
      <c r="A161" s="11" t="s">
        <v>152</v>
      </c>
      <c r="B161" s="39">
        <v>43315.0</v>
      </c>
      <c r="C161" s="40">
        <v>43323.0</v>
      </c>
      <c r="D161" s="27" t="s">
        <v>98</v>
      </c>
      <c r="E161" s="11" t="b">
        <v>0</v>
      </c>
      <c r="F161" s="11" t="s">
        <v>38</v>
      </c>
      <c r="G161" s="59" t="str">
        <f t="shared" si="47"/>
        <v>https://www.tokopedia.com/vhiercher/baterai-batre-abc-super-power-size-d-harga-untuk-1pcs</v>
      </c>
      <c r="H161" s="11" t="s">
        <v>171</v>
      </c>
      <c r="I161" s="33"/>
      <c r="J161" s="31">
        <v>15.0</v>
      </c>
      <c r="K161" s="11">
        <v>1.0</v>
      </c>
      <c r="L161" s="36">
        <f t="shared" si="48"/>
        <v>0.28</v>
      </c>
      <c r="M161" s="36">
        <f t="shared" si="49"/>
        <v>0.9</v>
      </c>
      <c r="N161" s="32"/>
      <c r="O161" s="32"/>
      <c r="P161" s="33">
        <v>10000.0</v>
      </c>
      <c r="Q161" s="34">
        <v>15.0</v>
      </c>
      <c r="R161" s="42">
        <v>4.2</v>
      </c>
      <c r="S161" s="36">
        <v>0.9</v>
      </c>
      <c r="T161" s="36"/>
      <c r="U161" s="36"/>
      <c r="V161" s="36">
        <v>5.1000000000000005</v>
      </c>
      <c r="W161" s="37">
        <v>0.34</v>
      </c>
      <c r="X161" s="42">
        <v>42000.0</v>
      </c>
      <c r="Y161" s="36">
        <v>9000.0</v>
      </c>
      <c r="Z161" s="36"/>
      <c r="AA161" s="36"/>
      <c r="AB161" s="36">
        <v>51000.00000000001</v>
      </c>
      <c r="AC161" s="37">
        <v>3400.0000000000005</v>
      </c>
      <c r="AD161" s="31">
        <v>5000.0</v>
      </c>
      <c r="AE161" s="11">
        <v>5000.0</v>
      </c>
      <c r="AF161" s="11"/>
    </row>
    <row r="162">
      <c r="A162" s="11" t="s">
        <v>152</v>
      </c>
      <c r="B162" s="39">
        <v>43315.0</v>
      </c>
      <c r="C162" s="40">
        <v>43323.0</v>
      </c>
      <c r="D162" s="27" t="s">
        <v>98</v>
      </c>
      <c r="E162" s="11" t="b">
        <v>0</v>
      </c>
      <c r="F162" s="11" t="s">
        <v>38</v>
      </c>
      <c r="G162" s="59" t="str">
        <f t="shared" si="47"/>
        <v>https://www.tokopedia.com/vhiercher/baterai-batre-abc-super-power-size-d-harga-untuk-1pcs</v>
      </c>
      <c r="H162" s="11" t="s">
        <v>172</v>
      </c>
      <c r="I162" s="33"/>
      <c r="J162" s="31">
        <v>15.0</v>
      </c>
      <c r="K162" s="11">
        <v>1.0</v>
      </c>
      <c r="L162" s="36">
        <f t="shared" si="48"/>
        <v>0.28</v>
      </c>
      <c r="M162" s="36">
        <f t="shared" si="49"/>
        <v>0.9</v>
      </c>
      <c r="N162" s="32"/>
      <c r="O162" s="32"/>
      <c r="P162" s="33">
        <v>10000.0</v>
      </c>
      <c r="Q162" s="34">
        <v>15.0</v>
      </c>
      <c r="R162" s="42">
        <v>4.2</v>
      </c>
      <c r="S162" s="36">
        <v>0.9</v>
      </c>
      <c r="T162" s="36"/>
      <c r="U162" s="36"/>
      <c r="V162" s="36">
        <v>5.1000000000000005</v>
      </c>
      <c r="W162" s="37">
        <v>0.34</v>
      </c>
      <c r="X162" s="42">
        <v>42000.0</v>
      </c>
      <c r="Y162" s="36">
        <v>9000.0</v>
      </c>
      <c r="Z162" s="36"/>
      <c r="AA162" s="36"/>
      <c r="AB162" s="36">
        <v>51000.00000000001</v>
      </c>
      <c r="AC162" s="37">
        <v>3400.0000000000005</v>
      </c>
      <c r="AD162" s="31">
        <v>5000.0</v>
      </c>
      <c r="AE162" s="11">
        <v>5000.0</v>
      </c>
      <c r="AF162" s="11"/>
    </row>
    <row r="163">
      <c r="A163" s="11" t="s">
        <v>152</v>
      </c>
      <c r="B163" s="39">
        <v>43315.0</v>
      </c>
      <c r="C163" s="40">
        <v>43323.0</v>
      </c>
      <c r="D163" s="27" t="s">
        <v>98</v>
      </c>
      <c r="E163" s="11" t="b">
        <v>0</v>
      </c>
      <c r="F163" s="11" t="s">
        <v>38</v>
      </c>
      <c r="G163" s="59" t="str">
        <f t="shared" si="47"/>
        <v>https://www.tokopedia.com/vhiercher/baterai-batre-abc-super-power-size-d-harga-untuk-1pcs</v>
      </c>
      <c r="H163" s="11" t="s">
        <v>173</v>
      </c>
      <c r="I163" s="33"/>
      <c r="J163" s="31">
        <v>15.0</v>
      </c>
      <c r="K163" s="11">
        <v>1.0</v>
      </c>
      <c r="L163" s="36">
        <f t="shared" si="48"/>
        <v>0.28</v>
      </c>
      <c r="M163" s="36">
        <f t="shared" si="49"/>
        <v>0.9</v>
      </c>
      <c r="N163" s="32"/>
      <c r="O163" s="32"/>
      <c r="P163" s="33">
        <v>10000.0</v>
      </c>
      <c r="Q163" s="34">
        <v>15.0</v>
      </c>
      <c r="R163" s="42">
        <v>4.2</v>
      </c>
      <c r="S163" s="36">
        <v>0.9</v>
      </c>
      <c r="T163" s="36"/>
      <c r="U163" s="36"/>
      <c r="V163" s="36">
        <v>5.1000000000000005</v>
      </c>
      <c r="W163" s="37">
        <v>0.34</v>
      </c>
      <c r="X163" s="42">
        <v>42000.0</v>
      </c>
      <c r="Y163" s="36">
        <v>9000.0</v>
      </c>
      <c r="Z163" s="36"/>
      <c r="AA163" s="36"/>
      <c r="AB163" s="36">
        <v>51000.00000000001</v>
      </c>
      <c r="AC163" s="37">
        <v>3400.0000000000005</v>
      </c>
      <c r="AD163" s="31">
        <v>5000.0</v>
      </c>
      <c r="AE163" s="11">
        <v>5000.0</v>
      </c>
      <c r="AF163" s="11"/>
    </row>
    <row r="164">
      <c r="A164" s="11" t="s">
        <v>174</v>
      </c>
      <c r="B164" s="39">
        <v>45218.87263347222</v>
      </c>
      <c r="C164" s="40">
        <v>45218.87241950231</v>
      </c>
      <c r="D164" s="27" t="s">
        <v>33</v>
      </c>
      <c r="E164" s="11" t="b">
        <v>0</v>
      </c>
      <c r="F164" s="11" t="s">
        <v>104</v>
      </c>
      <c r="G164" s="11" t="s">
        <v>104</v>
      </c>
      <c r="H164" s="11" t="s">
        <v>104</v>
      </c>
      <c r="I164" s="30">
        <v>5.0</v>
      </c>
      <c r="J164" s="31">
        <v>2.0</v>
      </c>
      <c r="K164" s="11">
        <v>1.0</v>
      </c>
      <c r="L164" s="32">
        <v>0.0</v>
      </c>
      <c r="M164" s="32">
        <v>0.0</v>
      </c>
      <c r="N164" s="32">
        <v>0.0</v>
      </c>
      <c r="O164" s="32">
        <v>0.0</v>
      </c>
      <c r="P164" s="58">
        <v>15850.0</v>
      </c>
      <c r="Q164" s="34">
        <v>2.0</v>
      </c>
      <c r="R164" s="42"/>
      <c r="S164" s="36"/>
      <c r="T164" s="36"/>
      <c r="U164" s="36"/>
      <c r="V164" s="36"/>
      <c r="W164" s="37"/>
      <c r="X164" s="42"/>
      <c r="Y164" s="36"/>
      <c r="Z164" s="36"/>
      <c r="AA164" s="36"/>
      <c r="AB164" s="36"/>
      <c r="AC164" s="37"/>
      <c r="AD164" s="31"/>
      <c r="AE164" s="11"/>
      <c r="AF164" s="11"/>
    </row>
    <row r="165">
      <c r="A165" s="11" t="s">
        <v>175</v>
      </c>
      <c r="B165" s="77">
        <v>45972.15069444444</v>
      </c>
      <c r="C165" s="40">
        <v>46002.59444444445</v>
      </c>
      <c r="D165" s="27" t="s">
        <v>33</v>
      </c>
      <c r="E165" s="11" t="b">
        <v>0</v>
      </c>
      <c r="F165" s="11" t="s">
        <v>49</v>
      </c>
      <c r="G165" s="11" t="s">
        <v>176</v>
      </c>
      <c r="H165" s="11" t="s">
        <v>177</v>
      </c>
      <c r="I165" s="30">
        <v>5.0</v>
      </c>
      <c r="J165" s="31">
        <v>27.0</v>
      </c>
      <c r="K165" s="11">
        <v>1.0</v>
      </c>
      <c r="L165" s="32">
        <f>(44615)/P165</f>
        <v>44615</v>
      </c>
      <c r="M165" s="32">
        <f>(1500)/P165</f>
        <v>1500</v>
      </c>
      <c r="N165" s="32">
        <f>ROUNDUP((X165*15%) + 1,0)/P165</f>
        <v>180692</v>
      </c>
      <c r="O165" s="32">
        <v>0.0</v>
      </c>
      <c r="P165" s="33">
        <v>1.0</v>
      </c>
      <c r="Q165" s="34">
        <v>27.0</v>
      </c>
      <c r="R165" s="42">
        <v>1204605.0</v>
      </c>
      <c r="S165" s="36">
        <v>1500.0</v>
      </c>
      <c r="T165" s="36">
        <v>180692.0</v>
      </c>
      <c r="U165" s="36"/>
      <c r="V165" s="36">
        <v>1025413.0</v>
      </c>
      <c r="W165" s="37">
        <v>37978.25925925926</v>
      </c>
      <c r="X165" s="42">
        <v>1204605.0</v>
      </c>
      <c r="Y165" s="36">
        <v>1500.0</v>
      </c>
      <c r="Z165" s="36">
        <v>180692.0</v>
      </c>
      <c r="AA165" s="36"/>
      <c r="AB165" s="36">
        <v>1025413.0</v>
      </c>
      <c r="AC165" s="37">
        <v>37978.25925925926</v>
      </c>
      <c r="AD165" s="31"/>
      <c r="AE165" s="11"/>
      <c r="AF165" s="11"/>
    </row>
    <row r="166">
      <c r="A166" s="11" t="s">
        <v>175</v>
      </c>
      <c r="B166" s="39">
        <v>45940.010416666664</v>
      </c>
      <c r="C166" s="40">
        <v>45942.774305555555</v>
      </c>
      <c r="D166" s="27" t="s">
        <v>33</v>
      </c>
      <c r="E166" s="11" t="b">
        <v>0</v>
      </c>
      <c r="F166" s="11" t="s">
        <v>49</v>
      </c>
      <c r="G166" s="11" t="s">
        <v>178</v>
      </c>
      <c r="H166" s="11" t="s">
        <v>179</v>
      </c>
      <c r="I166" s="30">
        <v>5.0</v>
      </c>
      <c r="J166" s="31">
        <v>19.0</v>
      </c>
      <c r="K166" s="11">
        <v>1.0</v>
      </c>
      <c r="L166" s="32">
        <f>(43250)/P166</f>
        <v>2.608564536</v>
      </c>
      <c r="M166" s="32">
        <f>(2000)/P166</f>
        <v>0.1206272618</v>
      </c>
      <c r="N166" s="32">
        <f>(98610)/P166</f>
        <v>5.947527141</v>
      </c>
      <c r="O166" s="32">
        <v>0.0</v>
      </c>
      <c r="P166" s="33">
        <v>16580.0</v>
      </c>
      <c r="Q166" s="34">
        <v>19.0</v>
      </c>
      <c r="R166" s="42">
        <v>49.5627261761158</v>
      </c>
      <c r="S166" s="36">
        <v>0.12062726176115803</v>
      </c>
      <c r="T166" s="36">
        <v>5.947527141133897</v>
      </c>
      <c r="U166" s="36"/>
      <c r="V166" s="36">
        <v>43.73582629674306</v>
      </c>
      <c r="W166" s="37">
        <v>2.3018855945654244</v>
      </c>
      <c r="X166" s="42">
        <v>821750.0</v>
      </c>
      <c r="Y166" s="36">
        <v>2000.0</v>
      </c>
      <c r="Z166" s="36">
        <v>98610.0</v>
      </c>
      <c r="AA166" s="36"/>
      <c r="AB166" s="36">
        <v>725140.0</v>
      </c>
      <c r="AC166" s="37">
        <v>38165.26315789474</v>
      </c>
      <c r="AD166" s="31"/>
      <c r="AE166" s="11"/>
      <c r="AF166" s="11"/>
    </row>
    <row r="167">
      <c r="A167" s="11" t="s">
        <v>175</v>
      </c>
      <c r="B167" s="39">
        <v>45905.50763888889</v>
      </c>
      <c r="C167" s="40">
        <v>45907.38888888889</v>
      </c>
      <c r="D167" s="27" t="s">
        <v>33</v>
      </c>
      <c r="E167" s="11" t="b">
        <v>0</v>
      </c>
      <c r="F167" s="11" t="s">
        <v>49</v>
      </c>
      <c r="G167" s="11" t="s">
        <v>178</v>
      </c>
      <c r="H167" s="11" t="s">
        <v>180</v>
      </c>
      <c r="I167" s="30">
        <v>5.0</v>
      </c>
      <c r="J167" s="31">
        <v>2.0</v>
      </c>
      <c r="K167" s="11">
        <v>1.0</v>
      </c>
      <c r="L167" s="32">
        <f t="shared" ref="L167:L168" si="50">(45850 - 3000)/P167</f>
        <v>2.621436437</v>
      </c>
      <c r="M167" s="32">
        <f>(1600)/P167</f>
        <v>0.0978832742</v>
      </c>
      <c r="N167" s="32">
        <f>(8000)/P167</f>
        <v>0.489416371</v>
      </c>
      <c r="O167" s="32">
        <v>0.0</v>
      </c>
      <c r="P167" s="33">
        <v>16346.0</v>
      </c>
      <c r="Q167" s="34">
        <v>2.0</v>
      </c>
      <c r="R167" s="42">
        <v>5.242872874097639</v>
      </c>
      <c r="S167" s="36">
        <v>0.09788327419552184</v>
      </c>
      <c r="T167" s="36">
        <v>0.4894163709776092</v>
      </c>
      <c r="U167" s="36"/>
      <c r="V167" s="36">
        <v>4.851339777315552</v>
      </c>
      <c r="W167" s="37">
        <v>2.425669888657776</v>
      </c>
      <c r="X167" s="42">
        <v>85700.0</v>
      </c>
      <c r="Y167" s="36">
        <v>1600.0</v>
      </c>
      <c r="Z167" s="36">
        <v>8000.0</v>
      </c>
      <c r="AA167" s="36"/>
      <c r="AB167" s="36">
        <v>79300.00000000001</v>
      </c>
      <c r="AC167" s="37">
        <v>39650.00000000001</v>
      </c>
      <c r="AD167" s="31"/>
      <c r="AE167" s="11"/>
      <c r="AF167" s="11"/>
    </row>
    <row r="168">
      <c r="A168" s="11" t="s">
        <v>175</v>
      </c>
      <c r="B168" s="39">
        <v>45901.28611111111</v>
      </c>
      <c r="C168" s="40">
        <v>45903.42013888889</v>
      </c>
      <c r="D168" s="27" t="s">
        <v>33</v>
      </c>
      <c r="E168" s="11" t="b">
        <v>0</v>
      </c>
      <c r="F168" s="11" t="s">
        <v>49</v>
      </c>
      <c r="G168" s="11" t="s">
        <v>178</v>
      </c>
      <c r="H168" s="11" t="s">
        <v>181</v>
      </c>
      <c r="I168" s="30">
        <v>5.0</v>
      </c>
      <c r="J168" s="31">
        <v>19.0</v>
      </c>
      <c r="K168" s="11">
        <v>1.0</v>
      </c>
      <c r="L168" s="32">
        <f t="shared" si="50"/>
        <v>2.612008534</v>
      </c>
      <c r="M168" s="32">
        <f>(679)/P168</f>
        <v>0.04138982018</v>
      </c>
      <c r="N168" s="32">
        <f>(X168*10%)/P168</f>
        <v>4.962816215</v>
      </c>
      <c r="O168" s="32">
        <v>0.0</v>
      </c>
      <c r="P168" s="33">
        <v>16405.0</v>
      </c>
      <c r="Q168" s="34">
        <v>19.0</v>
      </c>
      <c r="R168" s="42">
        <v>49.62816214568729</v>
      </c>
      <c r="S168" s="36">
        <v>0.04138982017677537</v>
      </c>
      <c r="T168" s="36">
        <v>4.962816214568729</v>
      </c>
      <c r="U168" s="36"/>
      <c r="V168" s="36">
        <v>44.70673575129534</v>
      </c>
      <c r="W168" s="37">
        <v>2.352986092173439</v>
      </c>
      <c r="X168" s="42">
        <v>814150.0</v>
      </c>
      <c r="Y168" s="36">
        <v>679.0</v>
      </c>
      <c r="Z168" s="36">
        <v>81415.0</v>
      </c>
      <c r="AA168" s="36"/>
      <c r="AB168" s="36">
        <v>733414.0000000001</v>
      </c>
      <c r="AC168" s="37">
        <v>38600.73684210527</v>
      </c>
      <c r="AD168" s="31"/>
      <c r="AE168" s="11"/>
      <c r="AF168" s="11"/>
    </row>
    <row r="169">
      <c r="A169" s="11" t="s">
        <v>175</v>
      </c>
      <c r="B169" s="39">
        <v>45802.001388888886</v>
      </c>
      <c r="C169" s="40">
        <v>45805.48333333333</v>
      </c>
      <c r="D169" s="27" t="s">
        <v>33</v>
      </c>
      <c r="E169" s="11" t="b">
        <v>0</v>
      </c>
      <c r="F169" s="11" t="s">
        <v>49</v>
      </c>
      <c r="G169" s="11" t="s">
        <v>178</v>
      </c>
      <c r="H169" s="11" t="s">
        <v>182</v>
      </c>
      <c r="I169" s="30">
        <v>5.0</v>
      </c>
      <c r="J169" s="31">
        <v>18.0</v>
      </c>
      <c r="K169" s="11">
        <v>1.0</v>
      </c>
      <c r="L169" s="32">
        <f t="shared" ref="L169:L172" si="51">(42950)/P169</f>
        <v>2.642751661</v>
      </c>
      <c r="M169" s="32">
        <f>(600)/P169</f>
        <v>0.0369185331</v>
      </c>
      <c r="N169" s="32">
        <f t="shared" ref="N169:N172" si="52">(X169*12%)/P169</f>
        <v>5.708343588</v>
      </c>
      <c r="O169" s="32">
        <v>0.0</v>
      </c>
      <c r="P169" s="33">
        <v>16252.0</v>
      </c>
      <c r="Q169" s="34">
        <v>18.0</v>
      </c>
      <c r="R169" s="42">
        <v>47.569529904011816</v>
      </c>
      <c r="S169" s="36">
        <v>0.03691853310361801</v>
      </c>
      <c r="T169" s="36">
        <v>5.7083435884814175</v>
      </c>
      <c r="U169" s="36"/>
      <c r="V169" s="36">
        <v>41.89810484863401</v>
      </c>
      <c r="W169" s="37">
        <v>2.3276724915907785</v>
      </c>
      <c r="X169" s="42">
        <v>773100.0</v>
      </c>
      <c r="Y169" s="36">
        <v>600.0</v>
      </c>
      <c r="Z169" s="36">
        <v>92772.0</v>
      </c>
      <c r="AA169" s="36"/>
      <c r="AB169" s="36">
        <v>680928.0</v>
      </c>
      <c r="AC169" s="37">
        <v>37829.333333333336</v>
      </c>
      <c r="AD169" s="31"/>
      <c r="AE169" s="11"/>
      <c r="AF169" s="11"/>
    </row>
    <row r="170">
      <c r="A170" s="11" t="s">
        <v>175</v>
      </c>
      <c r="B170" s="39">
        <v>45682.027094907404</v>
      </c>
      <c r="C170" s="40">
        <v>45684.691666666666</v>
      </c>
      <c r="D170" s="27" t="s">
        <v>33</v>
      </c>
      <c r="E170" s="11" t="b">
        <v>0</v>
      </c>
      <c r="F170" s="11" t="s">
        <v>49</v>
      </c>
      <c r="G170" s="11" t="s">
        <v>178</v>
      </c>
      <c r="H170" s="11" t="s">
        <v>183</v>
      </c>
      <c r="I170" s="30">
        <v>5.0</v>
      </c>
      <c r="J170" s="31">
        <v>40.0</v>
      </c>
      <c r="K170" s="11">
        <v>1.0</v>
      </c>
      <c r="L170" s="32">
        <f t="shared" si="51"/>
        <v>2.655824883</v>
      </c>
      <c r="M170" s="32">
        <f>(400)/P170</f>
        <v>0.02473410834</v>
      </c>
      <c r="N170" s="32">
        <f t="shared" si="52"/>
        <v>12.74795944</v>
      </c>
      <c r="O170" s="32">
        <v>0.0</v>
      </c>
      <c r="P170" s="33">
        <v>16172.0</v>
      </c>
      <c r="Q170" s="34">
        <v>40.0</v>
      </c>
      <c r="R170" s="42">
        <v>106.2329953005194</v>
      </c>
      <c r="S170" s="36">
        <v>0.02473410833539451</v>
      </c>
      <c r="T170" s="36">
        <v>12.747959436062327</v>
      </c>
      <c r="U170" s="36"/>
      <c r="V170" s="36">
        <v>93.50976997279247</v>
      </c>
      <c r="W170" s="37">
        <v>2.3377442493198117</v>
      </c>
      <c r="X170" s="42">
        <v>1717999.9999999998</v>
      </c>
      <c r="Y170" s="36">
        <v>400.0</v>
      </c>
      <c r="Z170" s="36">
        <v>206159.99999999997</v>
      </c>
      <c r="AA170" s="36"/>
      <c r="AB170" s="36">
        <v>1512239.9999999998</v>
      </c>
      <c r="AC170" s="37">
        <v>37805.99999999999</v>
      </c>
      <c r="AD170" s="31"/>
      <c r="AE170" s="11"/>
      <c r="AF170" s="11"/>
    </row>
    <row r="171">
      <c r="A171" s="11" t="s">
        <v>175</v>
      </c>
      <c r="B171" s="39">
        <v>45621.73611111111</v>
      </c>
      <c r="C171" s="40">
        <v>45625.416666666664</v>
      </c>
      <c r="D171" s="27" t="s">
        <v>37</v>
      </c>
      <c r="E171" s="11" t="b">
        <v>0</v>
      </c>
      <c r="F171" s="11" t="s">
        <v>49</v>
      </c>
      <c r="G171" s="11" t="s">
        <v>178</v>
      </c>
      <c r="H171" s="11" t="s">
        <v>184</v>
      </c>
      <c r="I171" s="30">
        <v>5.0</v>
      </c>
      <c r="J171" s="31">
        <v>52.0</v>
      </c>
      <c r="K171" s="11">
        <v>1.0</v>
      </c>
      <c r="L171" s="32">
        <f t="shared" si="51"/>
        <v>2.701087982</v>
      </c>
      <c r="M171" s="32">
        <f>(962/2)/P171</f>
        <v>0.03024966983</v>
      </c>
      <c r="N171" s="32">
        <f t="shared" si="52"/>
        <v>16.85478901</v>
      </c>
      <c r="O171" s="32">
        <v>0.0</v>
      </c>
      <c r="P171" s="33">
        <v>15901.0</v>
      </c>
      <c r="Q171" s="34">
        <v>52.0</v>
      </c>
      <c r="R171" s="42">
        <v>140.45657505817243</v>
      </c>
      <c r="S171" s="36">
        <v>0.030249669832086032</v>
      </c>
      <c r="T171" s="36">
        <v>16.854789006980692</v>
      </c>
      <c r="U171" s="36"/>
      <c r="V171" s="36">
        <v>123.63203572102381</v>
      </c>
      <c r="W171" s="37">
        <v>2.377539148481227</v>
      </c>
      <c r="X171" s="42">
        <v>2233400.0</v>
      </c>
      <c r="Y171" s="36">
        <v>481.0</v>
      </c>
      <c r="Z171" s="36">
        <v>268008.0</v>
      </c>
      <c r="AA171" s="36"/>
      <c r="AB171" s="36">
        <v>1965872.9999999995</v>
      </c>
      <c r="AC171" s="37">
        <v>37805.24999999999</v>
      </c>
      <c r="AD171" s="31"/>
      <c r="AE171" s="11"/>
      <c r="AF171" s="11"/>
    </row>
    <row r="172">
      <c r="A172" s="11" t="s">
        <v>175</v>
      </c>
      <c r="B172" s="39">
        <v>45621.01597222222</v>
      </c>
      <c r="C172" s="40">
        <v>45624.48472222222</v>
      </c>
      <c r="D172" s="27" t="s">
        <v>37</v>
      </c>
      <c r="E172" s="11" t="b">
        <v>0</v>
      </c>
      <c r="F172" s="11" t="s">
        <v>49</v>
      </c>
      <c r="G172" s="11" t="s">
        <v>178</v>
      </c>
      <c r="H172" s="11" t="s">
        <v>185</v>
      </c>
      <c r="I172" s="30">
        <v>5.0</v>
      </c>
      <c r="J172" s="31">
        <v>150.0</v>
      </c>
      <c r="K172" s="11">
        <v>1.0</v>
      </c>
      <c r="L172" s="32">
        <f t="shared" si="51"/>
        <v>2.701087982</v>
      </c>
      <c r="M172" s="32">
        <f>(827/2)/P172</f>
        <v>0.0260046538</v>
      </c>
      <c r="N172" s="32">
        <f t="shared" si="52"/>
        <v>48.61958367</v>
      </c>
      <c r="O172" s="32">
        <v>0.0</v>
      </c>
      <c r="P172" s="33">
        <v>15901.0</v>
      </c>
      <c r="Q172" s="34">
        <v>150.0</v>
      </c>
      <c r="R172" s="42">
        <v>405.16319728318973</v>
      </c>
      <c r="S172" s="36">
        <v>0.02600465379535878</v>
      </c>
      <c r="T172" s="36">
        <v>48.61958367398277</v>
      </c>
      <c r="U172" s="36"/>
      <c r="V172" s="36">
        <v>356.5696182630023</v>
      </c>
      <c r="W172" s="37">
        <v>2.3771307884200157</v>
      </c>
      <c r="X172" s="42">
        <v>6442500.0</v>
      </c>
      <c r="Y172" s="36">
        <v>413.5</v>
      </c>
      <c r="Z172" s="36">
        <v>773100.0</v>
      </c>
      <c r="AA172" s="36"/>
      <c r="AB172" s="36">
        <v>5669813.5</v>
      </c>
      <c r="AC172" s="37">
        <v>37798.75666666667</v>
      </c>
      <c r="AD172" s="31"/>
      <c r="AE172" s="11"/>
      <c r="AF172" s="11"/>
    </row>
    <row r="173">
      <c r="A173" s="11" t="s">
        <v>175</v>
      </c>
      <c r="B173" s="39">
        <v>45081.0</v>
      </c>
      <c r="C173" s="40">
        <v>45132.0</v>
      </c>
      <c r="D173" s="27" t="s">
        <v>33</v>
      </c>
      <c r="E173" s="11" t="b">
        <v>1</v>
      </c>
      <c r="F173" s="11" t="s">
        <v>186</v>
      </c>
      <c r="G173" s="11" t="s">
        <v>187</v>
      </c>
      <c r="H173" s="46" t="s">
        <v>188</v>
      </c>
      <c r="I173" s="30">
        <v>5.0</v>
      </c>
      <c r="J173" s="31">
        <v>1000.0</v>
      </c>
      <c r="K173" s="11">
        <v>1.0</v>
      </c>
      <c r="L173" s="32">
        <f>35000/P173</f>
        <v>2.348993289</v>
      </c>
      <c r="M173" s="32">
        <f>((2000000)/2 + (56)/3)/P173</f>
        <v>67.11534676</v>
      </c>
      <c r="N173" s="32">
        <v>0.0</v>
      </c>
      <c r="O173" s="32">
        <v>0.0</v>
      </c>
      <c r="P173" s="33">
        <v>14900.0</v>
      </c>
      <c r="Q173" s="34">
        <v>1000.0</v>
      </c>
      <c r="R173" s="42">
        <v>2348.993288590604</v>
      </c>
      <c r="S173" s="36">
        <v>67.11534675615212</v>
      </c>
      <c r="T173" s="36"/>
      <c r="U173" s="36"/>
      <c r="V173" s="36">
        <v>2416.1086353467563</v>
      </c>
      <c r="W173" s="37">
        <v>2.4161086353467565</v>
      </c>
      <c r="X173" s="42">
        <v>3.5E7</v>
      </c>
      <c r="Y173" s="36">
        <v>1000018.6666666666</v>
      </c>
      <c r="Z173" s="36"/>
      <c r="AA173" s="36"/>
      <c r="AB173" s="36">
        <v>3.600001866666667E7</v>
      </c>
      <c r="AC173" s="37">
        <v>36000.01866666667</v>
      </c>
      <c r="AD173" s="31"/>
      <c r="AE173" s="11"/>
      <c r="AF173" s="11" t="s">
        <v>189</v>
      </c>
    </row>
    <row r="174">
      <c r="A174" s="86" t="s">
        <v>190</v>
      </c>
      <c r="B174" s="39">
        <v>43553.844392743056</v>
      </c>
      <c r="C174" s="40">
        <v>43571.0</v>
      </c>
      <c r="D174" s="12" t="s">
        <v>68</v>
      </c>
      <c r="E174" s="11" t="b">
        <v>1</v>
      </c>
      <c r="F174" s="11" t="s">
        <v>57</v>
      </c>
      <c r="G174" s="87" t="str">
        <f>"https://www.aliexpress.com/item/1pcs-lot-ShengYang-high-quality-UNO-R3-MEGA328P-CH340G-for-Arduino-Compatible-With-USB-CABLE/32887226075.html?spm=a2g0s.9042311.0.0.138a4c4du32vpn"</f>
        <v>https://www.aliexpress.com/item/1pcs-lot-ShengYang-high-quality-UNO-R3-MEGA328P-CH340G-for-Arduino-Compatible-With-USB-CABLE/32887226075.html?spm=a2g0s.9042311.0.0.138a4c4du32vpn</v>
      </c>
      <c r="H174" s="11" t="s">
        <v>191</v>
      </c>
      <c r="I174" s="88">
        <v>5.0</v>
      </c>
      <c r="J174" s="89">
        <v>7.0</v>
      </c>
      <c r="K174" s="90">
        <v>1.0</v>
      </c>
      <c r="L174" s="91">
        <v>3.06</v>
      </c>
      <c r="M174" s="91">
        <v>0.0</v>
      </c>
      <c r="N174" s="83">
        <v>3.0</v>
      </c>
      <c r="O174" s="60">
        <v>0.0</v>
      </c>
      <c r="P174" s="80">
        <f>267625/(7*3.06 - 3)</f>
        <v>14529.04452</v>
      </c>
      <c r="Q174" s="92">
        <v>7.0</v>
      </c>
      <c r="R174" s="93">
        <v>21.42</v>
      </c>
      <c r="S174" s="83"/>
      <c r="T174" s="83">
        <v>3.0</v>
      </c>
      <c r="U174" s="83"/>
      <c r="V174" s="83">
        <v>18.42</v>
      </c>
      <c r="W174" s="94">
        <v>2.6314285714285717</v>
      </c>
      <c r="X174" s="93">
        <v>311212.1335504886</v>
      </c>
      <c r="Y174" s="83"/>
      <c r="Z174" s="83">
        <v>43587.133550488594</v>
      </c>
      <c r="AA174" s="83"/>
      <c r="AB174" s="83">
        <v>267625.0</v>
      </c>
      <c r="AC174" s="94">
        <v>38232.142857142855</v>
      </c>
      <c r="AD174" s="95">
        <v>48000.0</v>
      </c>
      <c r="AE174" s="11">
        <v>60000.0</v>
      </c>
      <c r="AF174" s="90"/>
    </row>
    <row r="175">
      <c r="A175" s="86" t="s">
        <v>190</v>
      </c>
      <c r="B175" s="39">
        <v>43492.501265370374</v>
      </c>
      <c r="C175" s="40">
        <v>43552.0</v>
      </c>
      <c r="D175" s="27" t="s">
        <v>56</v>
      </c>
      <c r="E175" s="28" t="b">
        <v>1</v>
      </c>
      <c r="F175" s="11" t="s">
        <v>57</v>
      </c>
      <c r="G175" s="59" t="str">
        <f>"https://www.aliexpress.com/item/high-quality-One-set-UNO-R3-CH340G-MEGA328P-for-Arduino-UNO-R3-USB-CABLE-ATMEGA328P-AU/32810623079.html?spm=2114.search0204.3.9.63c854a8ZoGKmT&amp;ws_ab_test=searchweb0_0,searchweb201602_1_10065_10068_319_317_5734611_5734811_10"&amp;"696_5734711_10924_453_10084_454_10083_10618_10920_10921_10307_10922_537_536_10059_10884_10887_100031_321_322_10103_5734511,searchweb201603_2,ppcSwitch_0_ppcChannel&amp;algo_expid=77855fec-5d46-4e6a-bdf1-41486f208e62-1&amp;algo_pvid=77855fec-5d46-4e6a-bdf1-41486f2"&amp;"08e62"</f>
        <v>https://www.aliexpress.com/item/high-quality-One-set-UNO-R3-CH340G-MEGA328P-for-Arduino-UNO-R3-USB-CABLE-ATMEGA328P-AU/32810623079.html?spm=2114.search0204.3.9.63c854a8ZoGKmT&amp;ws_ab_test=searchweb0_0,searchweb201602_1_10065_10068_319_317_5734611_5734811_10696_5734711_10924_453_10084_454_10083_10618_10920_10921_10307_10922_537_536_10059_10884_10887_100031_321_322_10103_5734511,searchweb201603_2,ppcSwitch_0_ppcChannel&amp;algo_expid=77855fec-5d46-4e6a-bdf1-41486f208e62-1&amp;algo_pvid=77855fec-5d46-4e6a-bdf1-41486f208e62</v>
      </c>
      <c r="H175" s="11" t="s">
        <v>192</v>
      </c>
      <c r="I175" s="33">
        <v>0.0</v>
      </c>
      <c r="J175" s="31">
        <v>1.0</v>
      </c>
      <c r="K175" s="11">
        <v>1.0</v>
      </c>
      <c r="L175" s="32">
        <v>2.52</v>
      </c>
      <c r="M175" s="32">
        <v>0.42</v>
      </c>
      <c r="N175" s="60">
        <v>0.0</v>
      </c>
      <c r="O175" s="60">
        <v>0.0</v>
      </c>
      <c r="P175" s="58">
        <f t="shared" ref="P175:P177" si="53">1052970/(9.99+1*3.11+1*2.94+1*3.21+17.78+100*0.0738+0.75+0.9+3.56+0.65+1.48+0.95+4.67+1.88+0.72+0.41+8.52+2.69+1.3)</f>
        <v>14446.01454</v>
      </c>
      <c r="Q175" s="34">
        <v>1.0</v>
      </c>
      <c r="R175" s="42">
        <v>2.52</v>
      </c>
      <c r="S175" s="36">
        <v>0.42</v>
      </c>
      <c r="T175" s="36"/>
      <c r="U175" s="36"/>
      <c r="V175" s="36">
        <v>2.94</v>
      </c>
      <c r="W175" s="37">
        <v>2.94</v>
      </c>
      <c r="X175" s="42">
        <v>36403.956647002335</v>
      </c>
      <c r="Y175" s="36">
        <v>6067.326107833722</v>
      </c>
      <c r="Z175" s="36"/>
      <c r="AA175" s="36"/>
      <c r="AB175" s="36">
        <v>42471.28275483606</v>
      </c>
      <c r="AC175" s="37">
        <v>42471.28275483606</v>
      </c>
      <c r="AD175" s="31">
        <v>45000.0</v>
      </c>
      <c r="AE175" s="11">
        <v>60000.0</v>
      </c>
      <c r="AF175" s="11" t="s">
        <v>100</v>
      </c>
    </row>
    <row r="176">
      <c r="A176" s="86" t="s">
        <v>190</v>
      </c>
      <c r="B176" s="39">
        <v>43492.501265370374</v>
      </c>
      <c r="C176" s="40">
        <v>43559.0</v>
      </c>
      <c r="D176" s="27" t="s">
        <v>56</v>
      </c>
      <c r="E176" s="28" t="b">
        <v>1</v>
      </c>
      <c r="F176" s="11" t="s">
        <v>57</v>
      </c>
      <c r="G176" s="59" t="str">
        <f>"https://www.aliexpress.com/item/1pcs-Smart-Electronics-high-quality-UNO-R3-MEGA328P-CH340G-for-arduino-Compatible-with-USB-CABLE/32803501325.html?spm=2114.search0204.3.17.63c854a8ZoGKmT&amp;ws_ab_test=searchweb0_0,searchweb201602_1_10065_10068_319_317_5734611"&amp;"_5734811_10696_5734711_10924_453_10084_454_10083_10618_10920_10921_10307_10922_537_536_10059_10884_10887_100031_321_322_10103_5734511,searchweb201603_2,ppcSwitch_0_ppcChannel&amp;algo_expid=77855fec-5d46-4e6a-bdf1-41486f208e62-2&amp;algo_pvid=77855fec-5d46-4e6a-b"&amp;"df1-41486f208e62"</f>
        <v>https://www.aliexpress.com/item/1pcs-Smart-Electronics-high-quality-UNO-R3-MEGA328P-CH340G-for-arduino-Compatible-with-USB-CABLE/32803501325.html?spm=2114.search0204.3.17.63c854a8ZoGKmT&amp;ws_ab_test=searchweb0_0,searchweb201602_1_10065_10068_319_317_5734611_5734811_10696_5734711_10924_453_10084_454_10083_10618_10920_10921_10307_10922_537_536_10059_10884_10887_100031_321_322_10103_5734511,searchweb201603_2,ppcSwitch_0_ppcChannel&amp;algo_expid=77855fec-5d46-4e6a-bdf1-41486f208e62-2&amp;algo_pvid=77855fec-5d46-4e6a-bdf1-41486f208e62</v>
      </c>
      <c r="H176" s="11" t="s">
        <v>193</v>
      </c>
      <c r="I176" s="88">
        <v>4.0</v>
      </c>
      <c r="J176" s="81">
        <v>1.0</v>
      </c>
      <c r="K176" s="90">
        <v>1.0</v>
      </c>
      <c r="L176" s="91">
        <v>3.21</v>
      </c>
      <c r="M176" s="83">
        <v>0.0</v>
      </c>
      <c r="N176" s="60">
        <v>0.0</v>
      </c>
      <c r="O176" s="60">
        <v>0.0</v>
      </c>
      <c r="P176" s="80">
        <f t="shared" si="53"/>
        <v>14446.01454</v>
      </c>
      <c r="Q176" s="92">
        <v>1.0</v>
      </c>
      <c r="R176" s="93">
        <v>3.21</v>
      </c>
      <c r="S176" s="83"/>
      <c r="T176" s="83"/>
      <c r="U176" s="83"/>
      <c r="V176" s="83">
        <v>3.21</v>
      </c>
      <c r="W176" s="94">
        <v>3.21</v>
      </c>
      <c r="X176" s="93">
        <v>46371.706681300595</v>
      </c>
      <c r="Y176" s="83"/>
      <c r="Z176" s="83"/>
      <c r="AA176" s="83"/>
      <c r="AB176" s="83">
        <v>46371.706681300595</v>
      </c>
      <c r="AC176" s="94">
        <v>46371.706681300595</v>
      </c>
      <c r="AD176" s="31">
        <v>45000.0</v>
      </c>
      <c r="AE176" s="11">
        <v>60000.0</v>
      </c>
      <c r="AF176" s="11" t="s">
        <v>100</v>
      </c>
    </row>
    <row r="177">
      <c r="A177" s="86" t="s">
        <v>190</v>
      </c>
      <c r="B177" s="39">
        <v>43492.501265370374</v>
      </c>
      <c r="C177" s="40">
        <v>43552.0</v>
      </c>
      <c r="D177" s="27" t="s">
        <v>56</v>
      </c>
      <c r="E177" s="28" t="b">
        <v>1</v>
      </c>
      <c r="F177" s="11" t="s">
        <v>57</v>
      </c>
      <c r="G177" s="59" t="str">
        <f>"https://www.aliexpress.com/item/WAVGAT-high-quality-One-set-UNO-R3-CH340G-MEGA328P-for-Arduino-UNO-R3-USB-CABLE-ATMEGA328P/32959902921.html?spm=2114.search0104.3.199.9e6ca854cTbiDA&amp;ws_ab_test=searchweb0_0,searchweb201602_4_10065_10068_319_10059_10884_317_"&amp;"10887_10696_100031_321_322_10084_453_10083_454_10103_433_10618_431_10307_537_536_10902,searchweb201603_6,ppcSwitch_0&amp;algo_expid=34526737-bd28-4d6b-a545-3c494cacd028-31&amp;algo_pvid=34526737-bd28-4d6b-a545-3c494cacd028"</f>
        <v>https://www.aliexpress.com/item/WAVGAT-high-quality-One-set-UNO-R3-CH340G-MEGA328P-for-Arduino-UNO-R3-USB-CABLE-ATMEGA328P/32959902921.html?spm=2114.search0104.3.199.9e6ca854cTbiDA&amp;ws_ab_test=searchweb0_0,searchweb201602_4_10065_10068_319_10059_10884_317_10887_10696_100031_321_322_10084_453_10083_454_10103_433_10618_431_10307_537_536_10902,searchweb201603_6,ppcSwitch_0&amp;algo_expid=34526737-bd28-4d6b-a545-3c494cacd028-31&amp;algo_pvid=34526737-bd28-4d6b-a545-3c494cacd028</v>
      </c>
      <c r="H177" s="11" t="s">
        <v>194</v>
      </c>
      <c r="I177" s="88">
        <v>0.0</v>
      </c>
      <c r="J177" s="81">
        <v>1.0</v>
      </c>
      <c r="K177" s="90">
        <v>1.0</v>
      </c>
      <c r="L177" s="91">
        <v>2.86</v>
      </c>
      <c r="M177" s="91">
        <v>0.25</v>
      </c>
      <c r="N177" s="60">
        <v>0.0</v>
      </c>
      <c r="O177" s="60">
        <v>0.0</v>
      </c>
      <c r="P177" s="80">
        <f t="shared" si="53"/>
        <v>14446.01454</v>
      </c>
      <c r="Q177" s="92">
        <v>1.0</v>
      </c>
      <c r="R177" s="93">
        <v>2.86</v>
      </c>
      <c r="S177" s="83">
        <v>0.25</v>
      </c>
      <c r="T177" s="83"/>
      <c r="U177" s="83"/>
      <c r="V177" s="83">
        <v>3.11</v>
      </c>
      <c r="W177" s="94">
        <v>3.11</v>
      </c>
      <c r="X177" s="93">
        <v>41315.601591439154</v>
      </c>
      <c r="Y177" s="83">
        <v>3611.503635615311</v>
      </c>
      <c r="Z177" s="83"/>
      <c r="AA177" s="83"/>
      <c r="AB177" s="83">
        <v>44927.10522705447</v>
      </c>
      <c r="AC177" s="94">
        <v>44927.10522705447</v>
      </c>
      <c r="AD177" s="31">
        <v>45000.0</v>
      </c>
      <c r="AE177" s="11">
        <v>60000.0</v>
      </c>
      <c r="AF177" s="11" t="s">
        <v>100</v>
      </c>
    </row>
    <row r="178">
      <c r="A178" s="86" t="s">
        <v>195</v>
      </c>
      <c r="B178" s="39">
        <v>43553.876544803235</v>
      </c>
      <c r="C178" s="40">
        <v>43563.0</v>
      </c>
      <c r="D178" s="96" t="s">
        <v>56</v>
      </c>
      <c r="E178" s="46" t="b">
        <v>1</v>
      </c>
      <c r="F178" s="46" t="s">
        <v>57</v>
      </c>
      <c r="G178" s="97" t="str">
        <f>"https://www.aliexpress.com/item/Cuiisw-1PCS-UNO-R3-UNO-board-UNO-R3-CH340G-MEGA328P-Chip-16Mhz-For-Arduino-UNO-R3/32272099710.html?spm=a2g0s.9042311.0.0.138a4c4du32vpn"</f>
        <v>https://www.aliexpress.com/item/Cuiisw-1PCS-UNO-R3-UNO-board-UNO-R3-CH340G-MEGA328P-Chip-16Mhz-For-Arduino-UNO-R3/32272099710.html?spm=a2g0s.9042311.0.0.138a4c4du32vpn</v>
      </c>
      <c r="H178" s="46" t="s">
        <v>196</v>
      </c>
      <c r="I178" s="98">
        <v>5.0</v>
      </c>
      <c r="J178" s="99">
        <v>13.0</v>
      </c>
      <c r="K178" s="46">
        <v>1.0</v>
      </c>
      <c r="L178" s="100">
        <v>2.93</v>
      </c>
      <c r="M178" s="100">
        <v>0.0</v>
      </c>
      <c r="N178" s="101">
        <f>1 + 2</f>
        <v>3</v>
      </c>
      <c r="O178" s="101">
        <v>0.0</v>
      </c>
      <c r="P178" s="102">
        <f>509823/35.09</f>
        <v>14529.01111</v>
      </c>
      <c r="Q178" s="103">
        <v>13.0</v>
      </c>
      <c r="R178" s="104">
        <v>38.09</v>
      </c>
      <c r="S178" s="105"/>
      <c r="T178" s="105">
        <v>3.0</v>
      </c>
      <c r="U178" s="105"/>
      <c r="V178" s="105">
        <v>35.09</v>
      </c>
      <c r="W178" s="106">
        <v>2.6992307692307693</v>
      </c>
      <c r="X178" s="104">
        <v>553410.0333428327</v>
      </c>
      <c r="Y178" s="105"/>
      <c r="Z178" s="105">
        <v>43587.033342832714</v>
      </c>
      <c r="AA178" s="105"/>
      <c r="AB178" s="105">
        <v>509823.0</v>
      </c>
      <c r="AC178" s="106">
        <v>39217.153846153844</v>
      </c>
      <c r="AD178" s="95">
        <v>48000.0</v>
      </c>
      <c r="AE178" s="11">
        <v>60000.0</v>
      </c>
      <c r="AF178" s="46"/>
    </row>
    <row r="179">
      <c r="A179" s="11" t="s">
        <v>197</v>
      </c>
      <c r="B179" s="39">
        <v>45645.833333333336</v>
      </c>
      <c r="C179" s="40">
        <v>45649.38333333333</v>
      </c>
      <c r="D179" s="27" t="s">
        <v>33</v>
      </c>
      <c r="E179" s="11" t="b">
        <v>0</v>
      </c>
      <c r="F179" s="11" t="s">
        <v>49</v>
      </c>
      <c r="G179" s="11" t="s">
        <v>198</v>
      </c>
      <c r="H179" s="11" t="s">
        <v>199</v>
      </c>
      <c r="I179" s="30">
        <v>5.0</v>
      </c>
      <c r="J179" s="31">
        <v>50.0</v>
      </c>
      <c r="K179" s="11">
        <v>1.0</v>
      </c>
      <c r="L179" s="32">
        <f>(33900)/P179</f>
        <v>2.080137449</v>
      </c>
      <c r="M179" s="32">
        <f>(9400 + 1204)/P179</f>
        <v>0.6506719028</v>
      </c>
      <c r="N179" s="32">
        <f>X179*15%/P179</f>
        <v>15.60103086</v>
      </c>
      <c r="O179" s="32">
        <v>0.0</v>
      </c>
      <c r="P179" s="33">
        <v>16297.0</v>
      </c>
      <c r="Q179" s="34">
        <v>50.0</v>
      </c>
      <c r="R179" s="42">
        <v>104.00687243050868</v>
      </c>
      <c r="S179" s="36">
        <v>0.6506719028041971</v>
      </c>
      <c r="T179" s="36">
        <v>15.601030864576302</v>
      </c>
      <c r="U179" s="36"/>
      <c r="V179" s="36">
        <v>89.05651346873657</v>
      </c>
      <c r="W179" s="37">
        <v>1.7811302693747313</v>
      </c>
      <c r="X179" s="42">
        <v>1695000.0</v>
      </c>
      <c r="Y179" s="36">
        <v>10604.0</v>
      </c>
      <c r="Z179" s="36">
        <v>254250.0</v>
      </c>
      <c r="AA179" s="36"/>
      <c r="AB179" s="36">
        <v>1451353.9999999998</v>
      </c>
      <c r="AC179" s="37">
        <v>29027.079999999994</v>
      </c>
      <c r="AD179" s="31"/>
      <c r="AE179" s="11"/>
      <c r="AF179" s="11"/>
    </row>
    <row r="180">
      <c r="A180" s="11" t="s">
        <v>197</v>
      </c>
      <c r="B180" s="39">
        <v>45607.77361111111</v>
      </c>
      <c r="C180" s="40">
        <v>45610.51458333333</v>
      </c>
      <c r="D180" s="27" t="s">
        <v>33</v>
      </c>
      <c r="E180" s="11" t="b">
        <v>0</v>
      </c>
      <c r="F180" s="11" t="s">
        <v>38</v>
      </c>
      <c r="G180" s="11" t="s">
        <v>200</v>
      </c>
      <c r="H180" s="11" t="s">
        <v>201</v>
      </c>
      <c r="I180" s="30">
        <v>5.0</v>
      </c>
      <c r="J180" s="31">
        <v>1.0</v>
      </c>
      <c r="K180" s="11">
        <v>1.0</v>
      </c>
      <c r="L180" s="32">
        <f t="shared" ref="L180:L181" si="54">(34500)/P180</f>
        <v>2.188392008</v>
      </c>
      <c r="M180" s="32">
        <f>(1000)/P180</f>
        <v>0.06343165239</v>
      </c>
      <c r="N180" s="32">
        <f>(10000)/P180</f>
        <v>0.6343165239</v>
      </c>
      <c r="O180" s="32">
        <v>0.0</v>
      </c>
      <c r="P180" s="33">
        <v>15765.0</v>
      </c>
      <c r="Q180" s="34">
        <v>1.0</v>
      </c>
      <c r="R180" s="42">
        <v>2.188392007611798</v>
      </c>
      <c r="S180" s="36">
        <v>0.06343165239454487</v>
      </c>
      <c r="T180" s="36">
        <v>0.6343165239454488</v>
      </c>
      <c r="U180" s="36"/>
      <c r="V180" s="36">
        <v>1.6175071360608944</v>
      </c>
      <c r="W180" s="37">
        <v>1.6175071360608944</v>
      </c>
      <c r="X180" s="42">
        <v>34500.0</v>
      </c>
      <c r="Y180" s="36">
        <v>999.9999999999999</v>
      </c>
      <c r="Z180" s="36">
        <v>10000.0</v>
      </c>
      <c r="AA180" s="36"/>
      <c r="AB180" s="36">
        <v>25500.0</v>
      </c>
      <c r="AC180" s="37">
        <v>25500.0</v>
      </c>
      <c r="AD180" s="31"/>
      <c r="AE180" s="11"/>
      <c r="AF180" s="11"/>
    </row>
    <row r="181">
      <c r="A181" s="11" t="s">
        <v>197</v>
      </c>
      <c r="B181" s="39">
        <v>45544.63680555556</v>
      </c>
      <c r="C181" s="40">
        <v>45547.59097222222</v>
      </c>
      <c r="D181" s="27" t="s">
        <v>37</v>
      </c>
      <c r="E181" s="11" t="b">
        <v>0</v>
      </c>
      <c r="F181" s="11" t="s">
        <v>38</v>
      </c>
      <c r="G181" s="11" t="s">
        <v>200</v>
      </c>
      <c r="H181" s="11" t="s">
        <v>202</v>
      </c>
      <c r="I181" s="30">
        <v>5.0</v>
      </c>
      <c r="J181" s="31">
        <v>100.0</v>
      </c>
      <c r="K181" s="11">
        <v>1.0</v>
      </c>
      <c r="L181" s="32">
        <f t="shared" si="54"/>
        <v>2.172407279</v>
      </c>
      <c r="M181" s="32">
        <f>(500)/P181</f>
        <v>0.03148416347</v>
      </c>
      <c r="N181" s="32">
        <f>(345000)/P181</f>
        <v>21.72407279</v>
      </c>
      <c r="O181" s="32">
        <v>0.0</v>
      </c>
      <c r="P181" s="33">
        <v>15881.0</v>
      </c>
      <c r="Q181" s="34">
        <v>100.0</v>
      </c>
      <c r="R181" s="42">
        <v>217.24072791385933</v>
      </c>
      <c r="S181" s="36">
        <v>0.03148416346577671</v>
      </c>
      <c r="T181" s="36">
        <v>21.724072791385932</v>
      </c>
      <c r="U181" s="36"/>
      <c r="V181" s="36">
        <v>195.54813928593916</v>
      </c>
      <c r="W181" s="37">
        <v>1.9554813928593915</v>
      </c>
      <c r="X181" s="42">
        <v>3450000.0</v>
      </c>
      <c r="Y181" s="36">
        <v>499.99999999999994</v>
      </c>
      <c r="Z181" s="36">
        <v>345000.0</v>
      </c>
      <c r="AA181" s="36"/>
      <c r="AB181" s="36">
        <v>3105499.9999999995</v>
      </c>
      <c r="AC181" s="37">
        <v>31054.999999999996</v>
      </c>
      <c r="AD181" s="31"/>
      <c r="AE181" s="11"/>
      <c r="AF181" s="11"/>
    </row>
    <row r="182">
      <c r="A182" s="11" t="s">
        <v>197</v>
      </c>
      <c r="B182" s="39">
        <v>45498.52777777778</v>
      </c>
      <c r="C182" s="40">
        <v>45500.388194444444</v>
      </c>
      <c r="D182" s="27" t="s">
        <v>33</v>
      </c>
      <c r="E182" s="11" t="b">
        <v>0</v>
      </c>
      <c r="F182" s="11" t="s">
        <v>49</v>
      </c>
      <c r="G182" s="11" t="s">
        <v>203</v>
      </c>
      <c r="H182" s="11" t="s">
        <v>204</v>
      </c>
      <c r="I182" s="30">
        <v>5.0</v>
      </c>
      <c r="J182" s="31">
        <v>4.0</v>
      </c>
      <c r="K182" s="11">
        <v>1.0</v>
      </c>
      <c r="L182" s="32">
        <f>(34990)/P182</f>
        <v>2.140846794</v>
      </c>
      <c r="M182" s="32">
        <f>(1000)/P182</f>
        <v>0.06118453255</v>
      </c>
      <c r="N182" s="32">
        <f>(13996)/P182</f>
        <v>0.8563387176</v>
      </c>
      <c r="O182" s="32">
        <v>0.0</v>
      </c>
      <c r="P182" s="33">
        <v>16344.0</v>
      </c>
      <c r="Q182" s="34">
        <v>4.0</v>
      </c>
      <c r="R182" s="42">
        <v>8.563387175721978</v>
      </c>
      <c r="S182" s="36">
        <v>0.06118453255017132</v>
      </c>
      <c r="T182" s="36">
        <v>0.8563387175721977</v>
      </c>
      <c r="U182" s="36"/>
      <c r="V182" s="36">
        <v>7.768232990699952</v>
      </c>
      <c r="W182" s="37">
        <v>1.942058247674988</v>
      </c>
      <c r="X182" s="42">
        <v>139960.0</v>
      </c>
      <c r="Y182" s="36">
        <v>1000.0</v>
      </c>
      <c r="Z182" s="36">
        <v>13996.0</v>
      </c>
      <c r="AA182" s="36"/>
      <c r="AB182" s="36">
        <v>126964.00000000001</v>
      </c>
      <c r="AC182" s="37">
        <v>31741.000000000004</v>
      </c>
      <c r="AD182" s="31"/>
      <c r="AE182" s="11"/>
      <c r="AF182" s="11"/>
    </row>
    <row r="183">
      <c r="A183" s="11" t="s">
        <v>197</v>
      </c>
      <c r="B183" s="39">
        <v>45487.47361111111</v>
      </c>
      <c r="C183" s="40">
        <v>45490.7</v>
      </c>
      <c r="D183" s="27" t="s">
        <v>33</v>
      </c>
      <c r="E183" s="11" t="b">
        <v>0</v>
      </c>
      <c r="F183" s="11" t="s">
        <v>38</v>
      </c>
      <c r="G183" s="11" t="s">
        <v>200</v>
      </c>
      <c r="H183" s="11" t="s">
        <v>205</v>
      </c>
      <c r="I183" s="30">
        <v>5.0</v>
      </c>
      <c r="J183" s="31">
        <v>6.0</v>
      </c>
      <c r="K183" s="11">
        <v>1.0</v>
      </c>
      <c r="L183" s="32">
        <f>(34500)/P183</f>
        <v>2.138871668</v>
      </c>
      <c r="M183" s="32">
        <v>0.0</v>
      </c>
      <c r="N183" s="32">
        <f>(50000)/P183</f>
        <v>3.099814011</v>
      </c>
      <c r="O183" s="32">
        <v>0.0</v>
      </c>
      <c r="P183" s="33">
        <v>16130.0</v>
      </c>
      <c r="Q183" s="34">
        <v>6.0</v>
      </c>
      <c r="R183" s="42">
        <v>12.833230006199628</v>
      </c>
      <c r="S183" s="36"/>
      <c r="T183" s="36">
        <v>3.0998140111593306</v>
      </c>
      <c r="U183" s="36"/>
      <c r="V183" s="36">
        <v>9.733415995040296</v>
      </c>
      <c r="W183" s="37">
        <v>1.6222359991733828</v>
      </c>
      <c r="X183" s="42">
        <v>207000.0</v>
      </c>
      <c r="Y183" s="36"/>
      <c r="Z183" s="36">
        <v>50000.0</v>
      </c>
      <c r="AA183" s="36"/>
      <c r="AB183" s="36">
        <v>156999.99999999997</v>
      </c>
      <c r="AC183" s="37">
        <v>26166.66666666666</v>
      </c>
      <c r="AD183" s="31"/>
      <c r="AE183" s="11"/>
      <c r="AF183" s="11"/>
    </row>
    <row r="184">
      <c r="A184" s="11" t="s">
        <v>197</v>
      </c>
      <c r="B184" s="39">
        <v>45405.67986111111</v>
      </c>
      <c r="C184" s="40">
        <v>45408.708333333336</v>
      </c>
      <c r="D184" s="27" t="s">
        <v>33</v>
      </c>
      <c r="E184" s="11" t="b">
        <v>0</v>
      </c>
      <c r="F184" s="11" t="s">
        <v>49</v>
      </c>
      <c r="G184" s="11" t="s">
        <v>206</v>
      </c>
      <c r="H184" s="11" t="s">
        <v>206</v>
      </c>
      <c r="I184" s="30">
        <v>5.0</v>
      </c>
      <c r="J184" s="31">
        <v>30.0</v>
      </c>
      <c r="K184" s="11">
        <v>1.0</v>
      </c>
      <c r="L184" s="32">
        <f>(32500)/P184</f>
        <v>2.003575612</v>
      </c>
      <c r="M184" s="32">
        <f>(1000)/2/P184</f>
        <v>0.03082424018</v>
      </c>
      <c r="N184" s="32">
        <f>(66750/2)/P184</f>
        <v>2.057518032</v>
      </c>
      <c r="O184" s="32">
        <v>0.0</v>
      </c>
      <c r="P184" s="33">
        <v>16221.0</v>
      </c>
      <c r="Q184" s="34">
        <v>30.0</v>
      </c>
      <c r="R184" s="42">
        <v>60.10726835583503</v>
      </c>
      <c r="S184" s="36">
        <v>0.030824240182479503</v>
      </c>
      <c r="T184" s="36">
        <v>2.0575180321805067</v>
      </c>
      <c r="U184" s="36"/>
      <c r="V184" s="36">
        <v>58.08057456383701</v>
      </c>
      <c r="W184" s="37">
        <v>1.9360191521279004</v>
      </c>
      <c r="X184" s="42">
        <v>975000.0</v>
      </c>
      <c r="Y184" s="36">
        <v>500.0</v>
      </c>
      <c r="Z184" s="36">
        <v>33375.0</v>
      </c>
      <c r="AA184" s="36"/>
      <c r="AB184" s="36">
        <v>942125.0000000001</v>
      </c>
      <c r="AC184" s="37">
        <v>31404.16666666667</v>
      </c>
      <c r="AD184" s="31"/>
      <c r="AE184" s="11"/>
      <c r="AF184" s="11"/>
    </row>
    <row r="185">
      <c r="A185" s="11" t="s">
        <v>197</v>
      </c>
      <c r="B185" s="39">
        <v>45390.48611111111</v>
      </c>
      <c r="C185" s="40">
        <v>45392.68530092593</v>
      </c>
      <c r="D185" s="27" t="s">
        <v>37</v>
      </c>
      <c r="E185" s="11" t="b">
        <v>0</v>
      </c>
      <c r="F185" s="11" t="s">
        <v>200</v>
      </c>
      <c r="G185" s="11" t="s">
        <v>200</v>
      </c>
      <c r="H185" s="11" t="s">
        <v>200</v>
      </c>
      <c r="I185" s="30">
        <v>5.0</v>
      </c>
      <c r="J185" s="31">
        <v>100.0</v>
      </c>
      <c r="K185" s="11">
        <v>1.0</v>
      </c>
      <c r="L185" s="32">
        <f>(31500)/P185</f>
        <v>1.979513605</v>
      </c>
      <c r="M185" s="32">
        <v>0.0</v>
      </c>
      <c r="N185" s="32">
        <v>0.0</v>
      </c>
      <c r="O185" s="32">
        <v>0.0</v>
      </c>
      <c r="P185" s="33">
        <v>15913.0</v>
      </c>
      <c r="Q185" s="34">
        <v>100.0</v>
      </c>
      <c r="R185" s="42">
        <v>197.95136052284298</v>
      </c>
      <c r="S185" s="36"/>
      <c r="T185" s="36"/>
      <c r="U185" s="36"/>
      <c r="V185" s="36">
        <v>197.95136052284298</v>
      </c>
      <c r="W185" s="37">
        <v>1.9795136052284297</v>
      </c>
      <c r="X185" s="42">
        <v>3150000.0000000005</v>
      </c>
      <c r="Y185" s="36"/>
      <c r="Z185" s="36"/>
      <c r="AA185" s="36"/>
      <c r="AB185" s="36">
        <v>3150000.0000000005</v>
      </c>
      <c r="AC185" s="37">
        <v>31500.000000000004</v>
      </c>
      <c r="AD185" s="31"/>
      <c r="AE185" s="11"/>
      <c r="AF185" s="11"/>
    </row>
    <row r="186">
      <c r="A186" s="107" t="s">
        <v>197</v>
      </c>
      <c r="B186" s="39">
        <v>45374.678941122686</v>
      </c>
      <c r="C186" s="40">
        <v>45477.510416666664</v>
      </c>
      <c r="D186" s="27" t="s">
        <v>33</v>
      </c>
      <c r="E186" s="11" t="b">
        <v>1</v>
      </c>
      <c r="F186" s="11" t="s">
        <v>34</v>
      </c>
      <c r="G186" s="44" t="s">
        <v>207</v>
      </c>
      <c r="H186" s="11" t="s">
        <v>208</v>
      </c>
      <c r="I186" s="30">
        <v>5.0</v>
      </c>
      <c r="J186" s="31">
        <v>250.0</v>
      </c>
      <c r="K186" s="11">
        <v>1.0</v>
      </c>
      <c r="L186" s="32">
        <f>(28714)/P186</f>
        <v>1.837696</v>
      </c>
      <c r="M186" s="32">
        <v>0.0</v>
      </c>
      <c r="N186" s="32">
        <v>0.0</v>
      </c>
      <c r="O186" s="32">
        <v>0.0</v>
      </c>
      <c r="P186" s="33">
        <v>15625.0</v>
      </c>
      <c r="Q186" s="34">
        <v>250.0</v>
      </c>
      <c r="R186" s="42">
        <v>459.424</v>
      </c>
      <c r="S186" s="36"/>
      <c r="T186" s="36"/>
      <c r="U186" s="36"/>
      <c r="V186" s="36">
        <v>459.424</v>
      </c>
      <c r="W186" s="37">
        <v>1.837696</v>
      </c>
      <c r="X186" s="42">
        <v>7178500.0</v>
      </c>
      <c r="Y186" s="36"/>
      <c r="Z186" s="36"/>
      <c r="AA186" s="36"/>
      <c r="AB186" s="36">
        <v>7178500.0</v>
      </c>
      <c r="AC186" s="37">
        <v>28714.0</v>
      </c>
      <c r="AD186" s="31"/>
      <c r="AE186" s="11"/>
      <c r="AF186" s="11"/>
    </row>
    <row r="187">
      <c r="A187" s="11" t="s">
        <v>197</v>
      </c>
      <c r="B187" s="39">
        <v>45366.643055555556</v>
      </c>
      <c r="C187" s="40">
        <v>45368.47193826389</v>
      </c>
      <c r="D187" s="27" t="s">
        <v>37</v>
      </c>
      <c r="E187" s="11" t="b">
        <v>0</v>
      </c>
      <c r="F187" s="11" t="s">
        <v>200</v>
      </c>
      <c r="G187" s="11" t="s">
        <v>200</v>
      </c>
      <c r="H187" s="11" t="s">
        <v>200</v>
      </c>
      <c r="I187" s="30">
        <v>5.0</v>
      </c>
      <c r="J187" s="31">
        <v>50.0</v>
      </c>
      <c r="K187" s="11">
        <v>1.0</v>
      </c>
      <c r="L187" s="32">
        <f>(31500)/P187</f>
        <v>2.014066496</v>
      </c>
      <c r="M187" s="32">
        <v>0.0</v>
      </c>
      <c r="N187" s="32">
        <v>0.0</v>
      </c>
      <c r="O187" s="32">
        <v>0.0</v>
      </c>
      <c r="P187" s="33">
        <v>15640.0</v>
      </c>
      <c r="Q187" s="34">
        <v>50.0</v>
      </c>
      <c r="R187" s="42">
        <v>100.70332480818414</v>
      </c>
      <c r="S187" s="36"/>
      <c r="T187" s="36"/>
      <c r="U187" s="36"/>
      <c r="V187" s="36">
        <v>100.70332480818414</v>
      </c>
      <c r="W187" s="37">
        <v>2.0140664961636827</v>
      </c>
      <c r="X187" s="42">
        <v>1574999.9999999998</v>
      </c>
      <c r="Y187" s="36"/>
      <c r="Z187" s="36"/>
      <c r="AA187" s="36"/>
      <c r="AB187" s="36">
        <v>1574999.9999999998</v>
      </c>
      <c r="AC187" s="37">
        <v>31499.999999999996</v>
      </c>
      <c r="AD187" s="31"/>
      <c r="AE187" s="11"/>
      <c r="AF187" s="11"/>
    </row>
    <row r="188">
      <c r="A188" s="11" t="s">
        <v>197</v>
      </c>
      <c r="B188" s="39">
        <v>45250.74079570602</v>
      </c>
      <c r="C188" s="40">
        <v>45320.62021990741</v>
      </c>
      <c r="D188" s="27" t="s">
        <v>33</v>
      </c>
      <c r="E188" s="11" t="b">
        <v>1</v>
      </c>
      <c r="F188" s="11" t="s">
        <v>34</v>
      </c>
      <c r="G188" s="11" t="s">
        <v>45</v>
      </c>
      <c r="H188" s="11"/>
      <c r="I188" s="30">
        <v>5.0</v>
      </c>
      <c r="J188" s="31">
        <v>50.0</v>
      </c>
      <c r="K188" s="11">
        <v>1.0</v>
      </c>
      <c r="L188" s="32">
        <f>27953/P188</f>
        <v>1.811600778</v>
      </c>
      <c r="M188" s="32">
        <v>0.0</v>
      </c>
      <c r="N188" s="32">
        <v>0.0</v>
      </c>
      <c r="O188" s="32">
        <v>0.0</v>
      </c>
      <c r="P188" s="58">
        <v>15430.0</v>
      </c>
      <c r="Q188" s="34">
        <v>50.0</v>
      </c>
      <c r="R188" s="42">
        <v>90.58003888528839</v>
      </c>
      <c r="S188" s="36"/>
      <c r="T188" s="36"/>
      <c r="U188" s="36"/>
      <c r="V188" s="36">
        <v>90.58003888528839</v>
      </c>
      <c r="W188" s="37">
        <v>1.8116007777057677</v>
      </c>
      <c r="X188" s="42">
        <v>1397649.9999999998</v>
      </c>
      <c r="Y188" s="36"/>
      <c r="Z188" s="36"/>
      <c r="AA188" s="36"/>
      <c r="AB188" s="36">
        <v>1397649.9999999998</v>
      </c>
      <c r="AC188" s="37">
        <v>27952.999999999996</v>
      </c>
      <c r="AD188" s="31"/>
      <c r="AE188" s="11"/>
      <c r="AF188" s="11"/>
    </row>
    <row r="189">
      <c r="A189" s="11" t="s">
        <v>209</v>
      </c>
      <c r="B189" s="39">
        <v>45955.03680555556</v>
      </c>
      <c r="C189" s="40">
        <v>45956.57430555556</v>
      </c>
      <c r="D189" s="27" t="s">
        <v>33</v>
      </c>
      <c r="E189" s="11" t="b">
        <v>0</v>
      </c>
      <c r="F189" s="11" t="s">
        <v>49</v>
      </c>
      <c r="G189" s="11" t="s">
        <v>210</v>
      </c>
      <c r="H189" s="11" t="s">
        <v>211</v>
      </c>
      <c r="I189" s="30">
        <v>5.0</v>
      </c>
      <c r="J189" s="31">
        <v>3.0</v>
      </c>
      <c r="K189" s="11">
        <v>1.0</v>
      </c>
      <c r="L189" s="32">
        <f>(8000)/P189</f>
        <v>0.4813477738</v>
      </c>
      <c r="M189" s="32">
        <f t="shared" ref="M189:M191" si="55">(1000)/P189</f>
        <v>0.06016847172</v>
      </c>
      <c r="N189" s="32">
        <f>(4000)/P189</f>
        <v>0.2406738869</v>
      </c>
      <c r="O189" s="32">
        <v>0.0</v>
      </c>
      <c r="P189" s="33">
        <v>16620.0</v>
      </c>
      <c r="Q189" s="34">
        <v>3.0</v>
      </c>
      <c r="R189" s="42">
        <v>1.4440433212996389</v>
      </c>
      <c r="S189" s="36">
        <v>0.06016847172081829</v>
      </c>
      <c r="T189" s="36">
        <v>0.24067388688327315</v>
      </c>
      <c r="U189" s="36"/>
      <c r="V189" s="36">
        <v>1.2635379061371839</v>
      </c>
      <c r="W189" s="37">
        <v>0.42117930204572795</v>
      </c>
      <c r="X189" s="42">
        <v>23999.999999999996</v>
      </c>
      <c r="Y189" s="36">
        <v>1000.0</v>
      </c>
      <c r="Z189" s="36">
        <v>4000.0</v>
      </c>
      <c r="AA189" s="36"/>
      <c r="AB189" s="36">
        <v>20999.999999999996</v>
      </c>
      <c r="AC189" s="37">
        <v>6999.999999999999</v>
      </c>
      <c r="AD189" s="31"/>
      <c r="AE189" s="11"/>
      <c r="AF189" s="11"/>
    </row>
    <row r="190">
      <c r="A190" s="11" t="s">
        <v>209</v>
      </c>
      <c r="B190" s="39">
        <v>45925.00208333333</v>
      </c>
      <c r="C190" s="40">
        <v>45927.64444444444</v>
      </c>
      <c r="D190" s="27" t="s">
        <v>33</v>
      </c>
      <c r="E190" s="11" t="b">
        <v>0</v>
      </c>
      <c r="F190" s="11" t="s">
        <v>49</v>
      </c>
      <c r="G190" s="11" t="s">
        <v>212</v>
      </c>
      <c r="H190" s="11" t="s">
        <v>213</v>
      </c>
      <c r="I190" s="30">
        <v>5.0</v>
      </c>
      <c r="J190" s="31">
        <v>1.0</v>
      </c>
      <c r="K190" s="11">
        <v>1.0</v>
      </c>
      <c r="L190" s="32">
        <f>(8550)/P190</f>
        <v>0.5117309073</v>
      </c>
      <c r="M190" s="32">
        <f t="shared" si="55"/>
        <v>0.05985156811</v>
      </c>
      <c r="N190" s="32">
        <f>(5000)/P190</f>
        <v>0.2992578406</v>
      </c>
      <c r="O190" s="32">
        <v>0.0</v>
      </c>
      <c r="P190" s="33">
        <v>16708.0</v>
      </c>
      <c r="Q190" s="34">
        <v>1.0</v>
      </c>
      <c r="R190" s="42">
        <v>0.5117309073497726</v>
      </c>
      <c r="S190" s="36">
        <v>0.05985156811108451</v>
      </c>
      <c r="T190" s="36">
        <v>0.29925784055542254</v>
      </c>
      <c r="U190" s="36"/>
      <c r="V190" s="36">
        <v>0.2723246349054345</v>
      </c>
      <c r="W190" s="37">
        <v>0.2723246349054345</v>
      </c>
      <c r="X190" s="42">
        <v>8550.0</v>
      </c>
      <c r="Y190" s="36">
        <v>1000.0</v>
      </c>
      <c r="Z190" s="36">
        <v>5000.0</v>
      </c>
      <c r="AA190" s="36"/>
      <c r="AB190" s="36">
        <v>4550.0</v>
      </c>
      <c r="AC190" s="37">
        <v>4550.0</v>
      </c>
      <c r="AD190" s="31"/>
      <c r="AE190" s="11"/>
      <c r="AF190" s="11"/>
    </row>
    <row r="191">
      <c r="A191" s="11" t="s">
        <v>209</v>
      </c>
      <c r="B191" s="39">
        <v>45642.688888888886</v>
      </c>
      <c r="C191" s="40">
        <v>45644.722916666666</v>
      </c>
      <c r="D191" s="27" t="s">
        <v>37</v>
      </c>
      <c r="E191" s="11" t="b">
        <v>0</v>
      </c>
      <c r="F191" s="11" t="s">
        <v>49</v>
      </c>
      <c r="G191" s="11" t="s">
        <v>214</v>
      </c>
      <c r="H191" s="11" t="s">
        <v>215</v>
      </c>
      <c r="I191" s="30">
        <v>5.0</v>
      </c>
      <c r="J191" s="31">
        <v>40.0</v>
      </c>
      <c r="K191" s="11">
        <v>1.0</v>
      </c>
      <c r="L191" s="32">
        <f>(7500)/P191</f>
        <v>0.4685157421</v>
      </c>
      <c r="M191" s="32">
        <f t="shared" si="55"/>
        <v>0.06246876562</v>
      </c>
      <c r="N191" s="32">
        <f>(12000)/P191</f>
        <v>0.7496251874</v>
      </c>
      <c r="O191" s="32">
        <v>0.0</v>
      </c>
      <c r="P191" s="33">
        <v>16008.0</v>
      </c>
      <c r="Q191" s="34">
        <v>40.0</v>
      </c>
      <c r="R191" s="42">
        <v>18.740629685157423</v>
      </c>
      <c r="S191" s="36">
        <v>0.062468765617191405</v>
      </c>
      <c r="T191" s="36">
        <v>0.7496251874062968</v>
      </c>
      <c r="U191" s="36"/>
      <c r="V191" s="36">
        <v>18.053473263368314</v>
      </c>
      <c r="W191" s="37">
        <v>0.45133683158420784</v>
      </c>
      <c r="X191" s="42">
        <v>300000.0</v>
      </c>
      <c r="Y191" s="36">
        <v>1000.0</v>
      </c>
      <c r="Z191" s="36">
        <v>12000.0</v>
      </c>
      <c r="AA191" s="36"/>
      <c r="AB191" s="36">
        <v>289000.0</v>
      </c>
      <c r="AC191" s="37">
        <v>7225.0</v>
      </c>
      <c r="AD191" s="31"/>
      <c r="AE191" s="11"/>
      <c r="AF191" s="11"/>
    </row>
    <row r="192">
      <c r="A192" s="11" t="s">
        <v>209</v>
      </c>
      <c r="B192" s="39">
        <v>45592.979166666664</v>
      </c>
      <c r="C192" s="40">
        <v>45598.70972222222</v>
      </c>
      <c r="D192" s="27" t="s">
        <v>33</v>
      </c>
      <c r="E192" s="11" t="b">
        <v>0</v>
      </c>
      <c r="F192" s="11" t="s">
        <v>49</v>
      </c>
      <c r="G192" s="11" t="s">
        <v>212</v>
      </c>
      <c r="H192" s="11" t="s">
        <v>216</v>
      </c>
      <c r="I192" s="30">
        <v>5.0</v>
      </c>
      <c r="J192" s="31">
        <v>50.0</v>
      </c>
      <c r="K192" s="11">
        <v>1.0</v>
      </c>
      <c r="L192" s="32">
        <f>(8250)/P192</f>
        <v>0.5256451099</v>
      </c>
      <c r="M192" s="32">
        <f>(1000/4)/P192</f>
        <v>0.01592863969</v>
      </c>
      <c r="N192" s="36">
        <f>(412500)*10%/P192</f>
        <v>2.62822555</v>
      </c>
      <c r="O192" s="32">
        <v>0.0</v>
      </c>
      <c r="P192" s="33">
        <v>15695.0</v>
      </c>
      <c r="Q192" s="34">
        <v>50.0</v>
      </c>
      <c r="R192" s="42">
        <v>26.282255495380696</v>
      </c>
      <c r="S192" s="36">
        <v>0.01592863969417012</v>
      </c>
      <c r="T192" s="36">
        <v>2.6282255495380693</v>
      </c>
      <c r="U192" s="36"/>
      <c r="V192" s="36">
        <v>23.669958585536797</v>
      </c>
      <c r="W192" s="37">
        <v>0.4733991717107359</v>
      </c>
      <c r="X192" s="42">
        <v>412500.0</v>
      </c>
      <c r="Y192" s="36">
        <v>250.0</v>
      </c>
      <c r="Z192" s="36">
        <v>41250.0</v>
      </c>
      <c r="AA192" s="36"/>
      <c r="AB192" s="36">
        <v>371500.00000000006</v>
      </c>
      <c r="AC192" s="37">
        <v>7430.000000000001</v>
      </c>
      <c r="AD192" s="31"/>
      <c r="AE192" s="11"/>
      <c r="AF192" s="11"/>
    </row>
    <row r="193">
      <c r="A193" s="11" t="s">
        <v>209</v>
      </c>
      <c r="B193" s="39">
        <v>45590.56597222222</v>
      </c>
      <c r="C193" s="40">
        <v>45593.67152777778</v>
      </c>
      <c r="D193" s="27" t="s">
        <v>33</v>
      </c>
      <c r="E193" s="11" t="b">
        <v>0</v>
      </c>
      <c r="F193" s="11" t="s">
        <v>49</v>
      </c>
      <c r="G193" s="11" t="s">
        <v>217</v>
      </c>
      <c r="H193" s="11" t="s">
        <v>218</v>
      </c>
      <c r="I193" s="30">
        <v>5.0</v>
      </c>
      <c r="J193" s="31">
        <v>53.0</v>
      </c>
      <c r="K193" s="11">
        <v>1.0</v>
      </c>
      <c r="L193" s="32">
        <f t="shared" ref="L193:L194" si="56">(8500)/P193</f>
        <v>0.5415737496</v>
      </c>
      <c r="M193" s="32">
        <f>(542)/P193</f>
        <v>0.03453329086</v>
      </c>
      <c r="N193" s="32">
        <f>(54060)/P193</f>
        <v>3.444409047</v>
      </c>
      <c r="O193" s="32">
        <v>0.0</v>
      </c>
      <c r="P193" s="33">
        <v>15695.0</v>
      </c>
      <c r="Q193" s="34">
        <v>53.0</v>
      </c>
      <c r="R193" s="42">
        <v>28.703408728894555</v>
      </c>
      <c r="S193" s="36">
        <v>0.034533290856960816</v>
      </c>
      <c r="T193" s="36">
        <v>3.4444090474673463</v>
      </c>
      <c r="U193" s="36"/>
      <c r="V193" s="36">
        <v>25.29353297228417</v>
      </c>
      <c r="W193" s="37">
        <v>0.477236471175173</v>
      </c>
      <c r="X193" s="42">
        <v>450500.00000000006</v>
      </c>
      <c r="Y193" s="36">
        <v>542.0</v>
      </c>
      <c r="Z193" s="36">
        <v>54060.0</v>
      </c>
      <c r="AA193" s="36"/>
      <c r="AB193" s="36">
        <v>396982.0</v>
      </c>
      <c r="AC193" s="37">
        <v>7490.226415094339</v>
      </c>
      <c r="AD193" s="31"/>
      <c r="AE193" s="11"/>
      <c r="AF193" s="11"/>
    </row>
    <row r="194">
      <c r="A194" s="11" t="s">
        <v>209</v>
      </c>
      <c r="B194" s="39">
        <v>45531.563888888886</v>
      </c>
      <c r="C194" s="40">
        <v>45534.57986111111</v>
      </c>
      <c r="D194" s="27" t="s">
        <v>33</v>
      </c>
      <c r="E194" s="11" t="b">
        <v>0</v>
      </c>
      <c r="F194" s="11" t="s">
        <v>49</v>
      </c>
      <c r="G194" s="11" t="s">
        <v>219</v>
      </c>
      <c r="H194" s="11" t="s">
        <v>220</v>
      </c>
      <c r="I194" s="30">
        <v>5.0</v>
      </c>
      <c r="J194" s="31">
        <v>4.0</v>
      </c>
      <c r="K194" s="11">
        <v>1.0</v>
      </c>
      <c r="L194" s="32">
        <f t="shared" si="56"/>
        <v>0.5503042859</v>
      </c>
      <c r="M194" s="32">
        <f>(1000)/P194</f>
        <v>0.06474168069</v>
      </c>
      <c r="N194" s="32">
        <v>0.0</v>
      </c>
      <c r="O194" s="32">
        <v>0.0</v>
      </c>
      <c r="P194" s="33">
        <v>15446.0</v>
      </c>
      <c r="Q194" s="34">
        <v>4.0</v>
      </c>
      <c r="R194" s="42">
        <v>2.201217143597048</v>
      </c>
      <c r="S194" s="36">
        <v>0.06474168069403081</v>
      </c>
      <c r="T194" s="36"/>
      <c r="U194" s="36"/>
      <c r="V194" s="36">
        <v>2.2659588242910784</v>
      </c>
      <c r="W194" s="37">
        <v>0.5664897060727696</v>
      </c>
      <c r="X194" s="42">
        <v>34000.0</v>
      </c>
      <c r="Y194" s="36">
        <v>1000.0</v>
      </c>
      <c r="Z194" s="36"/>
      <c r="AA194" s="36"/>
      <c r="AB194" s="36">
        <v>35000.0</v>
      </c>
      <c r="AC194" s="37">
        <v>8750.0</v>
      </c>
      <c r="AD194" s="31"/>
      <c r="AE194" s="11"/>
      <c r="AF194" s="11"/>
    </row>
    <row r="195">
      <c r="A195" s="11" t="s">
        <v>209</v>
      </c>
      <c r="B195" s="39">
        <v>45407.39861111111</v>
      </c>
      <c r="C195" s="40">
        <v>45408.638194444444</v>
      </c>
      <c r="D195" s="27" t="s">
        <v>33</v>
      </c>
      <c r="E195" s="11" t="b">
        <v>0</v>
      </c>
      <c r="F195" s="11" t="s">
        <v>38</v>
      </c>
      <c r="G195" s="11" t="s">
        <v>221</v>
      </c>
      <c r="H195" s="11" t="s">
        <v>221</v>
      </c>
      <c r="I195" s="30">
        <v>5.0</v>
      </c>
      <c r="J195" s="31">
        <v>1.0</v>
      </c>
      <c r="K195" s="11">
        <v>1.0</v>
      </c>
      <c r="L195" s="32">
        <f>(7995)/P195</f>
        <v>0.493274926</v>
      </c>
      <c r="M195" s="32">
        <f t="shared" ref="M195:M196" si="57">(1000)/2/P195</f>
        <v>0.03084896347</v>
      </c>
      <c r="N195" s="32">
        <f>(2874/2)/P195</f>
        <v>0.08865992103</v>
      </c>
      <c r="O195" s="32">
        <v>0.0</v>
      </c>
      <c r="P195" s="33">
        <v>16208.0</v>
      </c>
      <c r="Q195" s="34">
        <v>1.0</v>
      </c>
      <c r="R195" s="42">
        <v>0.4932749259624877</v>
      </c>
      <c r="S195" s="36">
        <v>0.030848963474827247</v>
      </c>
      <c r="T195" s="36">
        <v>0.0886599210266535</v>
      </c>
      <c r="U195" s="36"/>
      <c r="V195" s="36">
        <v>0.43546396841066143</v>
      </c>
      <c r="W195" s="37">
        <v>0.43546396841066143</v>
      </c>
      <c r="X195" s="42">
        <v>7995.0</v>
      </c>
      <c r="Y195" s="36">
        <v>500.0</v>
      </c>
      <c r="Z195" s="36">
        <v>1437.0</v>
      </c>
      <c r="AA195" s="36"/>
      <c r="AB195" s="36">
        <v>7058.0</v>
      </c>
      <c r="AC195" s="37">
        <v>7058.0</v>
      </c>
      <c r="AD195" s="31"/>
      <c r="AE195" s="11"/>
      <c r="AF195" s="11"/>
    </row>
    <row r="196">
      <c r="A196" s="11" t="s">
        <v>209</v>
      </c>
      <c r="B196" s="39">
        <v>45405.67986111111</v>
      </c>
      <c r="C196" s="40">
        <v>45408.708333333336</v>
      </c>
      <c r="D196" s="27" t="s">
        <v>33</v>
      </c>
      <c r="E196" s="11" t="b">
        <v>0</v>
      </c>
      <c r="F196" s="11" t="s">
        <v>49</v>
      </c>
      <c r="G196" s="11" t="s">
        <v>206</v>
      </c>
      <c r="H196" s="11" t="s">
        <v>206</v>
      </c>
      <c r="I196" s="30">
        <v>5.0</v>
      </c>
      <c r="J196" s="31">
        <v>48.0</v>
      </c>
      <c r="K196" s="11">
        <v>1.0</v>
      </c>
      <c r="L196" s="32">
        <f>(7500)/P196</f>
        <v>0.4623636027</v>
      </c>
      <c r="M196" s="32">
        <f t="shared" si="57"/>
        <v>0.03082424018</v>
      </c>
      <c r="N196" s="32">
        <f>(66750/2)/P196</f>
        <v>2.057518032</v>
      </c>
      <c r="O196" s="32">
        <v>0.0</v>
      </c>
      <c r="P196" s="33">
        <v>16221.0</v>
      </c>
      <c r="Q196" s="34">
        <v>48.0</v>
      </c>
      <c r="R196" s="42">
        <v>22.19345293138524</v>
      </c>
      <c r="S196" s="36">
        <v>0.030824240182479503</v>
      </c>
      <c r="T196" s="36">
        <v>2.0575180321805067</v>
      </c>
      <c r="U196" s="36"/>
      <c r="V196" s="36">
        <v>20.166759139387214</v>
      </c>
      <c r="W196" s="37">
        <v>0.4201408154039003</v>
      </c>
      <c r="X196" s="42">
        <v>360000.0</v>
      </c>
      <c r="Y196" s="36">
        <v>500.0</v>
      </c>
      <c r="Z196" s="36">
        <v>33375.0</v>
      </c>
      <c r="AA196" s="36"/>
      <c r="AB196" s="36">
        <v>327125.0</v>
      </c>
      <c r="AC196" s="37">
        <v>6815.104166666667</v>
      </c>
      <c r="AD196" s="31"/>
      <c r="AE196" s="11"/>
      <c r="AF196" s="11"/>
    </row>
    <row r="197">
      <c r="A197" s="11" t="s">
        <v>209</v>
      </c>
      <c r="B197" s="39">
        <v>45380.467361111114</v>
      </c>
      <c r="C197" s="40">
        <v>45382.645310312495</v>
      </c>
      <c r="D197" s="27" t="s">
        <v>37</v>
      </c>
      <c r="E197" s="11" t="b">
        <v>0</v>
      </c>
      <c r="F197" s="11" t="s">
        <v>49</v>
      </c>
      <c r="G197" s="11" t="s">
        <v>222</v>
      </c>
      <c r="H197" s="11" t="s">
        <v>222</v>
      </c>
      <c r="I197" s="30">
        <v>5.0</v>
      </c>
      <c r="J197" s="31">
        <v>1.0</v>
      </c>
      <c r="K197" s="11">
        <v>1.0</v>
      </c>
      <c r="L197" s="32">
        <f>(7900)/P197</f>
        <v>0.4973558298</v>
      </c>
      <c r="M197" s="32">
        <f>(1000/5)/P197</f>
        <v>0.01259128683</v>
      </c>
      <c r="N197" s="32">
        <v>0.0</v>
      </c>
      <c r="O197" s="32">
        <v>0.0</v>
      </c>
      <c r="P197" s="33">
        <v>15884.0</v>
      </c>
      <c r="Q197" s="34">
        <v>1.0</v>
      </c>
      <c r="R197" s="42">
        <v>0.49735582976580206</v>
      </c>
      <c r="S197" s="36">
        <v>0.012591286829513977</v>
      </c>
      <c r="T197" s="36"/>
      <c r="U197" s="36"/>
      <c r="V197" s="36">
        <v>0.509947116595316</v>
      </c>
      <c r="W197" s="37">
        <v>0.509947116595316</v>
      </c>
      <c r="X197" s="42">
        <v>7900.0</v>
      </c>
      <c r="Y197" s="36">
        <v>200.0</v>
      </c>
      <c r="Z197" s="36"/>
      <c r="AA197" s="36"/>
      <c r="AB197" s="36">
        <v>8099.999999999999</v>
      </c>
      <c r="AC197" s="37">
        <v>8099.999999999999</v>
      </c>
      <c r="AD197" s="31"/>
      <c r="AE197" s="11"/>
      <c r="AF197" s="11"/>
    </row>
    <row r="198">
      <c r="A198" s="107" t="s">
        <v>209</v>
      </c>
      <c r="B198" s="39">
        <v>45374.678941122686</v>
      </c>
      <c r="C198" s="40">
        <v>45442.8048953588</v>
      </c>
      <c r="D198" s="27" t="s">
        <v>33</v>
      </c>
      <c r="E198" s="11" t="b">
        <v>1</v>
      </c>
      <c r="F198" s="11" t="s">
        <v>34</v>
      </c>
      <c r="G198" s="44" t="s">
        <v>223</v>
      </c>
      <c r="H198" s="11" t="s">
        <v>224</v>
      </c>
      <c r="I198" s="30">
        <v>5.0</v>
      </c>
      <c r="J198" s="31">
        <v>200.0</v>
      </c>
      <c r="K198" s="11">
        <v>1.0</v>
      </c>
      <c r="L198" s="32">
        <f>(6614)/P198</f>
        <v>0.423296</v>
      </c>
      <c r="M198" s="32">
        <v>0.0</v>
      </c>
      <c r="N198" s="32">
        <v>0.0</v>
      </c>
      <c r="O198" s="32">
        <v>0.0</v>
      </c>
      <c r="P198" s="33">
        <v>15625.0</v>
      </c>
      <c r="Q198" s="34">
        <v>200.0</v>
      </c>
      <c r="R198" s="42">
        <v>84.6592</v>
      </c>
      <c r="S198" s="36"/>
      <c r="T198" s="36"/>
      <c r="U198" s="36"/>
      <c r="V198" s="36">
        <v>84.6592</v>
      </c>
      <c r="W198" s="37">
        <v>0.423296</v>
      </c>
      <c r="X198" s="42">
        <v>1322800.0</v>
      </c>
      <c r="Y198" s="36"/>
      <c r="Z198" s="36"/>
      <c r="AA198" s="36"/>
      <c r="AB198" s="36">
        <v>1322800.0</v>
      </c>
      <c r="AC198" s="37">
        <v>6614.0</v>
      </c>
      <c r="AD198" s="31"/>
      <c r="AE198" s="11"/>
      <c r="AF198" s="11"/>
    </row>
    <row r="199">
      <c r="A199" s="11" t="s">
        <v>209</v>
      </c>
      <c r="B199" s="39">
        <v>45250.74079570602</v>
      </c>
      <c r="C199" s="40">
        <v>45305.58137335649</v>
      </c>
      <c r="D199" s="27" t="s">
        <v>33</v>
      </c>
      <c r="E199" s="11" t="b">
        <v>1</v>
      </c>
      <c r="F199" s="11" t="s">
        <v>34</v>
      </c>
      <c r="G199" s="11" t="s">
        <v>45</v>
      </c>
      <c r="H199" s="11"/>
      <c r="I199" s="30">
        <v>5.0</v>
      </c>
      <c r="J199" s="31">
        <v>160.0</v>
      </c>
      <c r="K199" s="11">
        <v>1.0</v>
      </c>
      <c r="L199" s="32">
        <f>6312/P199</f>
        <v>0.409073234</v>
      </c>
      <c r="M199" s="32">
        <v>0.0</v>
      </c>
      <c r="N199" s="32">
        <v>0.0</v>
      </c>
      <c r="O199" s="32">
        <v>0.0</v>
      </c>
      <c r="P199" s="58">
        <v>15430.0</v>
      </c>
      <c r="Q199" s="34">
        <v>160.0</v>
      </c>
      <c r="R199" s="42">
        <v>65.45171743357096</v>
      </c>
      <c r="S199" s="36"/>
      <c r="T199" s="36"/>
      <c r="U199" s="36"/>
      <c r="V199" s="36">
        <v>65.45171743357096</v>
      </c>
      <c r="W199" s="37">
        <v>0.40907323395981854</v>
      </c>
      <c r="X199" s="42">
        <v>1009920.0</v>
      </c>
      <c r="Y199" s="36"/>
      <c r="Z199" s="36"/>
      <c r="AA199" s="36"/>
      <c r="AB199" s="36">
        <v>1009920.0</v>
      </c>
      <c r="AC199" s="37">
        <v>6312.0</v>
      </c>
      <c r="AD199" s="31"/>
      <c r="AE199" s="11"/>
      <c r="AF199" s="11"/>
    </row>
    <row r="200">
      <c r="A200" s="11" t="s">
        <v>225</v>
      </c>
      <c r="B200" s="39">
        <v>43485.0</v>
      </c>
      <c r="C200" s="40">
        <f t="shared" ref="C200:C209" si="58">B200</f>
        <v>43485</v>
      </c>
      <c r="D200" s="27" t="s">
        <v>226</v>
      </c>
      <c r="E200" s="11" t="b">
        <v>0</v>
      </c>
      <c r="F200" s="11" t="s">
        <v>91</v>
      </c>
      <c r="G200" s="11" t="s">
        <v>227</v>
      </c>
      <c r="H200" s="11" t="s">
        <v>227</v>
      </c>
      <c r="I200" s="108"/>
      <c r="J200" s="109">
        <v>0.8171</v>
      </c>
      <c r="K200" s="11">
        <v>1.0</v>
      </c>
      <c r="L200" s="32">
        <f>611960/P200</f>
        <v>61.196</v>
      </c>
      <c r="M200" s="32">
        <v>0.0</v>
      </c>
      <c r="N200" s="110">
        <v>5.16E-5</v>
      </c>
      <c r="O200" s="32">
        <v>0.0</v>
      </c>
      <c r="P200" s="33">
        <v>10000.0</v>
      </c>
      <c r="Q200" s="34">
        <v>0.8171</v>
      </c>
      <c r="R200" s="42">
        <v>50.0032516</v>
      </c>
      <c r="S200" s="36"/>
      <c r="T200" s="36">
        <v>5.16E-5</v>
      </c>
      <c r="U200" s="36"/>
      <c r="V200" s="36">
        <v>50.0032</v>
      </c>
      <c r="W200" s="37">
        <v>61.19593684983478</v>
      </c>
      <c r="X200" s="42">
        <v>500032.516</v>
      </c>
      <c r="Y200" s="36"/>
      <c r="Z200" s="36">
        <v>0.516</v>
      </c>
      <c r="AA200" s="36"/>
      <c r="AB200" s="36">
        <v>500032.0</v>
      </c>
      <c r="AC200" s="37">
        <v>611959.3684983478</v>
      </c>
      <c r="AD200" s="31"/>
      <c r="AE200" s="11"/>
      <c r="AF200" s="11"/>
    </row>
    <row r="201">
      <c r="A201" s="11" t="s">
        <v>225</v>
      </c>
      <c r="B201" s="39">
        <v>43423.0</v>
      </c>
      <c r="C201" s="40">
        <f t="shared" si="58"/>
        <v>43423</v>
      </c>
      <c r="D201" s="27" t="s">
        <v>226</v>
      </c>
      <c r="E201" s="11" t="b">
        <v>0</v>
      </c>
      <c r="F201" s="11" t="s">
        <v>91</v>
      </c>
      <c r="G201" s="11" t="s">
        <v>228</v>
      </c>
      <c r="H201" s="11" t="s">
        <v>228</v>
      </c>
      <c r="I201" s="108"/>
      <c r="J201" s="109">
        <v>0.817</v>
      </c>
      <c r="K201" s="11">
        <v>1.0</v>
      </c>
      <c r="L201" s="32">
        <f>612466/P201</f>
        <v>61.2466</v>
      </c>
      <c r="M201" s="32">
        <v>0.0</v>
      </c>
      <c r="N201" s="110">
        <v>7.22E-5</v>
      </c>
      <c r="O201" s="32">
        <v>0.0</v>
      </c>
      <c r="P201" s="33">
        <v>10000.0</v>
      </c>
      <c r="Q201" s="34">
        <v>0.817</v>
      </c>
      <c r="R201" s="42">
        <v>50.038472199999994</v>
      </c>
      <c r="S201" s="36"/>
      <c r="T201" s="36">
        <v>7.22E-5</v>
      </c>
      <c r="U201" s="36"/>
      <c r="V201" s="36">
        <v>50.038399999999996</v>
      </c>
      <c r="W201" s="37">
        <v>61.246511627906976</v>
      </c>
      <c r="X201" s="42">
        <v>500384.72199999995</v>
      </c>
      <c r="Y201" s="36"/>
      <c r="Z201" s="36">
        <v>0.7220000000000001</v>
      </c>
      <c r="AA201" s="36"/>
      <c r="AB201" s="36">
        <v>500383.99999999994</v>
      </c>
      <c r="AC201" s="37">
        <v>612465.1162790697</v>
      </c>
      <c r="AD201" s="31"/>
      <c r="AE201" s="11"/>
      <c r="AF201" s="11"/>
    </row>
    <row r="202">
      <c r="A202" s="11" t="s">
        <v>225</v>
      </c>
      <c r="B202" s="39">
        <v>43395.0</v>
      </c>
      <c r="C202" s="40">
        <f t="shared" si="58"/>
        <v>43395</v>
      </c>
      <c r="D202" s="27" t="s">
        <v>226</v>
      </c>
      <c r="E202" s="11" t="b">
        <v>0</v>
      </c>
      <c r="F202" s="11" t="s">
        <v>91</v>
      </c>
      <c r="G202" s="11" t="s">
        <v>228</v>
      </c>
      <c r="H202" s="11" t="s">
        <v>228</v>
      </c>
      <c r="I202" s="108"/>
      <c r="J202" s="109">
        <v>1.1202</v>
      </c>
      <c r="K202" s="11">
        <v>1.0</v>
      </c>
      <c r="L202" s="32">
        <f>637690/P202</f>
        <v>63.769</v>
      </c>
      <c r="M202" s="32">
        <v>0.0</v>
      </c>
      <c r="N202" s="110">
        <v>3.38E-5</v>
      </c>
      <c r="O202" s="32">
        <v>0.0</v>
      </c>
      <c r="P202" s="33">
        <v>10000.0</v>
      </c>
      <c r="Q202" s="34">
        <v>1.1202</v>
      </c>
      <c r="R202" s="42">
        <v>71.43403380000001</v>
      </c>
      <c r="S202" s="36"/>
      <c r="T202" s="36">
        <v>3.38E-5</v>
      </c>
      <c r="U202" s="36"/>
      <c r="V202" s="36">
        <v>71.43400000000001</v>
      </c>
      <c r="W202" s="37">
        <v>63.768969826816644</v>
      </c>
      <c r="X202" s="42">
        <v>714340.3380000001</v>
      </c>
      <c r="Y202" s="36"/>
      <c r="Z202" s="36">
        <v>0.338</v>
      </c>
      <c r="AA202" s="36"/>
      <c r="AB202" s="36">
        <v>714340.0000000001</v>
      </c>
      <c r="AC202" s="37">
        <v>637689.6982681665</v>
      </c>
      <c r="AD202" s="31"/>
      <c r="AE202" s="11"/>
      <c r="AF202" s="11"/>
    </row>
    <row r="203">
      <c r="A203" s="11" t="s">
        <v>225</v>
      </c>
      <c r="B203" s="39">
        <v>43388.0</v>
      </c>
      <c r="C203" s="40">
        <f t="shared" si="58"/>
        <v>43388</v>
      </c>
      <c r="D203" s="27" t="s">
        <v>226</v>
      </c>
      <c r="E203" s="11" t="b">
        <v>0</v>
      </c>
      <c r="F203" s="11" t="s">
        <v>91</v>
      </c>
      <c r="G203" s="11" t="s">
        <v>228</v>
      </c>
      <c r="H203" s="11" t="s">
        <v>228</v>
      </c>
      <c r="I203" s="108"/>
      <c r="J203" s="109">
        <v>0.2948</v>
      </c>
      <c r="K203" s="11">
        <v>1.0</v>
      </c>
      <c r="L203" s="32">
        <f t="shared" ref="L203:L204" si="59">636178/P203</f>
        <v>63.6178</v>
      </c>
      <c r="M203" s="32">
        <v>0.0</v>
      </c>
      <c r="N203" s="110">
        <v>2.744E-5</v>
      </c>
      <c r="O203" s="32">
        <v>0.0</v>
      </c>
      <c r="P203" s="33">
        <v>10000.0</v>
      </c>
      <c r="Q203" s="34">
        <v>0.2948</v>
      </c>
      <c r="R203" s="42">
        <v>18.75452744</v>
      </c>
      <c r="S203" s="36"/>
      <c r="T203" s="36">
        <v>2.744E-5</v>
      </c>
      <c r="U203" s="36"/>
      <c r="V203" s="36">
        <v>18.7545</v>
      </c>
      <c r="W203" s="37">
        <v>63.617706919945725</v>
      </c>
      <c r="X203" s="42">
        <v>187545.2744</v>
      </c>
      <c r="Y203" s="36"/>
      <c r="Z203" s="36">
        <v>0.27440000000000003</v>
      </c>
      <c r="AA203" s="36"/>
      <c r="AB203" s="36">
        <v>187545.0</v>
      </c>
      <c r="AC203" s="37">
        <v>636177.0691994573</v>
      </c>
      <c r="AD203" s="31"/>
      <c r="AE203" s="11"/>
      <c r="AF203" s="11"/>
    </row>
    <row r="204">
      <c r="A204" s="11" t="s">
        <v>225</v>
      </c>
      <c r="B204" s="39">
        <v>43387.0</v>
      </c>
      <c r="C204" s="40">
        <f t="shared" si="58"/>
        <v>43387</v>
      </c>
      <c r="D204" s="27" t="s">
        <v>226</v>
      </c>
      <c r="E204" s="11" t="b">
        <v>0</v>
      </c>
      <c r="F204" s="11" t="s">
        <v>91</v>
      </c>
      <c r="G204" s="11" t="s">
        <v>228</v>
      </c>
      <c r="H204" s="11" t="s">
        <v>228</v>
      </c>
      <c r="I204" s="108"/>
      <c r="J204" s="109">
        <v>0.2948</v>
      </c>
      <c r="K204" s="11">
        <v>1.0</v>
      </c>
      <c r="L204" s="32">
        <f t="shared" si="59"/>
        <v>63.6178</v>
      </c>
      <c r="M204" s="32">
        <v>0.0</v>
      </c>
      <c r="N204" s="110">
        <v>2.744E-5</v>
      </c>
      <c r="O204" s="32">
        <v>0.0</v>
      </c>
      <c r="P204" s="33">
        <v>10000.0</v>
      </c>
      <c r="Q204" s="34">
        <v>0.2948</v>
      </c>
      <c r="R204" s="42">
        <v>18.75452744</v>
      </c>
      <c r="S204" s="36"/>
      <c r="T204" s="36">
        <v>2.744E-5</v>
      </c>
      <c r="U204" s="36"/>
      <c r="V204" s="36">
        <v>18.7545</v>
      </c>
      <c r="W204" s="37">
        <v>63.617706919945725</v>
      </c>
      <c r="X204" s="42">
        <v>187545.2744</v>
      </c>
      <c r="Y204" s="36"/>
      <c r="Z204" s="36">
        <v>0.27440000000000003</v>
      </c>
      <c r="AA204" s="36"/>
      <c r="AB204" s="36">
        <v>187545.0</v>
      </c>
      <c r="AC204" s="37">
        <v>636177.0691994573</v>
      </c>
      <c r="AD204" s="31"/>
      <c r="AE204" s="11"/>
      <c r="AF204" s="11"/>
    </row>
    <row r="205">
      <c r="A205" s="11" t="s">
        <v>225</v>
      </c>
      <c r="B205" s="39">
        <v>43300.0</v>
      </c>
      <c r="C205" s="40">
        <f t="shared" si="58"/>
        <v>43300</v>
      </c>
      <c r="D205" s="27" t="s">
        <v>229</v>
      </c>
      <c r="E205" s="11" t="b">
        <v>0</v>
      </c>
      <c r="F205" s="11" t="s">
        <v>91</v>
      </c>
      <c r="G205" s="11" t="s">
        <v>230</v>
      </c>
      <c r="H205" s="11" t="s">
        <v>230</v>
      </c>
      <c r="I205" s="108"/>
      <c r="J205" s="109">
        <v>0.332</v>
      </c>
      <c r="K205" s="11">
        <v>1.0</v>
      </c>
      <c r="L205" s="32">
        <f t="shared" ref="L205:L206" si="60">601871/P205</f>
        <v>60.1871</v>
      </c>
      <c r="M205" s="32">
        <v>0.0</v>
      </c>
      <c r="N205" s="110">
        <v>1.72E-5</v>
      </c>
      <c r="O205" s="32">
        <v>0.0</v>
      </c>
      <c r="P205" s="33">
        <v>10000.0</v>
      </c>
      <c r="Q205" s="34">
        <v>0.332</v>
      </c>
      <c r="R205" s="42">
        <v>19.9821172</v>
      </c>
      <c r="S205" s="36"/>
      <c r="T205" s="36">
        <v>1.72E-5</v>
      </c>
      <c r="U205" s="36"/>
      <c r="V205" s="36">
        <v>19.982100000000003</v>
      </c>
      <c r="W205" s="37">
        <v>60.18704819277109</v>
      </c>
      <c r="X205" s="42">
        <v>199821.17200000002</v>
      </c>
      <c r="Y205" s="36"/>
      <c r="Z205" s="36">
        <v>0.17200000000000001</v>
      </c>
      <c r="AA205" s="36"/>
      <c r="AB205" s="36">
        <v>199821.00000000003</v>
      </c>
      <c r="AC205" s="37">
        <v>601870.4819277109</v>
      </c>
      <c r="AD205" s="31"/>
      <c r="AE205" s="11"/>
      <c r="AF205" s="11"/>
    </row>
    <row r="206">
      <c r="A206" s="11" t="s">
        <v>225</v>
      </c>
      <c r="B206" s="39">
        <v>43300.0</v>
      </c>
      <c r="C206" s="40">
        <f t="shared" si="58"/>
        <v>43300</v>
      </c>
      <c r="D206" s="27" t="s">
        <v>229</v>
      </c>
      <c r="E206" s="11" t="b">
        <v>0</v>
      </c>
      <c r="F206" s="11" t="s">
        <v>91</v>
      </c>
      <c r="G206" s="11" t="s">
        <v>230</v>
      </c>
      <c r="H206" s="11" t="s">
        <v>230</v>
      </c>
      <c r="I206" s="108"/>
      <c r="J206" s="109">
        <v>0.332</v>
      </c>
      <c r="K206" s="11">
        <v>1.0</v>
      </c>
      <c r="L206" s="32">
        <f t="shared" si="60"/>
        <v>60.1871</v>
      </c>
      <c r="M206" s="32">
        <v>0.0</v>
      </c>
      <c r="N206" s="110">
        <v>1.72E-5</v>
      </c>
      <c r="O206" s="32">
        <v>0.0</v>
      </c>
      <c r="P206" s="33">
        <v>10000.0</v>
      </c>
      <c r="Q206" s="34">
        <v>0.332</v>
      </c>
      <c r="R206" s="42">
        <v>19.9821172</v>
      </c>
      <c r="S206" s="36"/>
      <c r="T206" s="36">
        <v>1.72E-5</v>
      </c>
      <c r="U206" s="36"/>
      <c r="V206" s="36">
        <v>19.982100000000003</v>
      </c>
      <c r="W206" s="37">
        <v>60.18704819277109</v>
      </c>
      <c r="X206" s="42">
        <v>199821.17200000002</v>
      </c>
      <c r="Y206" s="36"/>
      <c r="Z206" s="36">
        <v>0.17200000000000001</v>
      </c>
      <c r="AA206" s="36"/>
      <c r="AB206" s="36">
        <v>199821.00000000003</v>
      </c>
      <c r="AC206" s="37">
        <v>601870.4819277109</v>
      </c>
      <c r="AD206" s="31"/>
      <c r="AE206" s="11"/>
      <c r="AF206" s="11"/>
    </row>
    <row r="207">
      <c r="A207" s="11" t="s">
        <v>225</v>
      </c>
      <c r="B207" s="39">
        <v>43299.0</v>
      </c>
      <c r="C207" s="40">
        <f t="shared" si="58"/>
        <v>43299</v>
      </c>
      <c r="D207" s="27" t="s">
        <v>229</v>
      </c>
      <c r="E207" s="11" t="b">
        <v>0</v>
      </c>
      <c r="F207" s="11" t="s">
        <v>91</v>
      </c>
      <c r="G207" s="11" t="s">
        <v>230</v>
      </c>
      <c r="H207" s="11" t="s">
        <v>230</v>
      </c>
      <c r="I207" s="108"/>
      <c r="J207" s="109">
        <v>0.332</v>
      </c>
      <c r="K207" s="11">
        <v>1.0</v>
      </c>
      <c r="L207" s="32">
        <f>600862/P207</f>
        <v>60.0862</v>
      </c>
      <c r="M207" s="32">
        <v>0.0</v>
      </c>
      <c r="N207" s="110">
        <v>1.84E-5</v>
      </c>
      <c r="O207" s="32">
        <v>0.0</v>
      </c>
      <c r="P207" s="33">
        <v>10000.0</v>
      </c>
      <c r="Q207" s="34">
        <v>0.332</v>
      </c>
      <c r="R207" s="42">
        <v>19.9486184</v>
      </c>
      <c r="S207" s="36"/>
      <c r="T207" s="36">
        <v>1.84E-5</v>
      </c>
      <c r="U207" s="36"/>
      <c r="V207" s="36">
        <v>19.948600000000003</v>
      </c>
      <c r="W207" s="37">
        <v>60.08614457831326</v>
      </c>
      <c r="X207" s="42">
        <v>199486.184</v>
      </c>
      <c r="Y207" s="36"/>
      <c r="Z207" s="36">
        <v>0.184</v>
      </c>
      <c r="AA207" s="36"/>
      <c r="AB207" s="36">
        <v>199486.00000000003</v>
      </c>
      <c r="AC207" s="37">
        <v>600861.4457831326</v>
      </c>
      <c r="AD207" s="31"/>
      <c r="AE207" s="11"/>
      <c r="AF207" s="11"/>
    </row>
    <row r="208">
      <c r="A208" s="11" t="s">
        <v>225</v>
      </c>
      <c r="B208" s="39">
        <v>43295.0</v>
      </c>
      <c r="C208" s="40">
        <f t="shared" si="58"/>
        <v>43295</v>
      </c>
      <c r="D208" s="27" t="s">
        <v>226</v>
      </c>
      <c r="E208" s="11" t="b">
        <v>0</v>
      </c>
      <c r="F208" s="11" t="s">
        <v>91</v>
      </c>
      <c r="G208" s="11" t="s">
        <v>228</v>
      </c>
      <c r="H208" s="11" t="s">
        <v>228</v>
      </c>
      <c r="I208" s="108"/>
      <c r="J208" s="109">
        <v>1.0</v>
      </c>
      <c r="K208" s="11">
        <v>1.0</v>
      </c>
      <c r="L208" s="32">
        <f>607923/P208</f>
        <v>60.7923</v>
      </c>
      <c r="M208" s="32">
        <v>0.0</v>
      </c>
      <c r="N208" s="110">
        <v>0.0</v>
      </c>
      <c r="O208" s="32">
        <v>0.0</v>
      </c>
      <c r="P208" s="33">
        <v>10000.0</v>
      </c>
      <c r="Q208" s="34">
        <v>1.0</v>
      </c>
      <c r="R208" s="42">
        <v>60.7923</v>
      </c>
      <c r="S208" s="36"/>
      <c r="T208" s="36"/>
      <c r="U208" s="36"/>
      <c r="V208" s="36">
        <v>60.7923</v>
      </c>
      <c r="W208" s="37">
        <v>60.7923</v>
      </c>
      <c r="X208" s="42">
        <v>607923.0</v>
      </c>
      <c r="Y208" s="36"/>
      <c r="Z208" s="36"/>
      <c r="AA208" s="36"/>
      <c r="AB208" s="36">
        <v>607923.0</v>
      </c>
      <c r="AC208" s="37">
        <v>607923.0</v>
      </c>
      <c r="AD208" s="31"/>
      <c r="AE208" s="11"/>
      <c r="AF208" s="11"/>
    </row>
    <row r="209">
      <c r="A209" s="11" t="s">
        <v>225</v>
      </c>
      <c r="B209" s="39">
        <v>43271.0</v>
      </c>
      <c r="C209" s="40">
        <f t="shared" si="58"/>
        <v>43271</v>
      </c>
      <c r="D209" s="27" t="s">
        <v>226</v>
      </c>
      <c r="E209" s="11" t="b">
        <v>0</v>
      </c>
      <c r="F209" s="11" t="s">
        <v>91</v>
      </c>
      <c r="G209" s="11" t="s">
        <v>228</v>
      </c>
      <c r="H209" s="11" t="s">
        <v>228</v>
      </c>
      <c r="I209" s="108"/>
      <c r="J209" s="109">
        <v>0.999</v>
      </c>
      <c r="K209" s="11">
        <v>1.0</v>
      </c>
      <c r="L209" s="32">
        <f>607924/P209</f>
        <v>60.7924</v>
      </c>
      <c r="M209" s="32">
        <v>0.0</v>
      </c>
      <c r="N209" s="110">
        <f>0.0000076</f>
        <v>0.0000076</v>
      </c>
      <c r="O209" s="32">
        <v>0.0</v>
      </c>
      <c r="P209" s="33">
        <v>10000.0</v>
      </c>
      <c r="Q209" s="34">
        <v>0.999</v>
      </c>
      <c r="R209" s="42">
        <v>60.731607600000004</v>
      </c>
      <c r="S209" s="36"/>
      <c r="T209" s="36">
        <v>7.6E-6</v>
      </c>
      <c r="U209" s="36"/>
      <c r="V209" s="36">
        <v>60.7316</v>
      </c>
      <c r="W209" s="37">
        <v>60.792392392392394</v>
      </c>
      <c r="X209" s="42">
        <v>607316.076</v>
      </c>
      <c r="Y209" s="36"/>
      <c r="Z209" s="36">
        <v>0.076</v>
      </c>
      <c r="AA209" s="36"/>
      <c r="AB209" s="36">
        <v>607316.0</v>
      </c>
      <c r="AC209" s="37">
        <v>607923.9239239239</v>
      </c>
      <c r="AD209" s="31"/>
      <c r="AE209" s="11"/>
      <c r="AF209" s="11"/>
    </row>
    <row r="210">
      <c r="A210" s="11" t="s">
        <v>231</v>
      </c>
      <c r="B210" s="39">
        <v>43524.0</v>
      </c>
      <c r="C210" s="40">
        <v>43524.0</v>
      </c>
      <c r="D210" s="27" t="s">
        <v>232</v>
      </c>
      <c r="E210" s="11" t="b">
        <v>0</v>
      </c>
      <c r="F210" s="11" t="s">
        <v>91</v>
      </c>
      <c r="G210" s="11" t="s">
        <v>227</v>
      </c>
      <c r="H210" s="11" t="s">
        <v>227</v>
      </c>
      <c r="I210" s="108"/>
      <c r="J210" s="109">
        <v>807.6022</v>
      </c>
      <c r="K210" s="11">
        <v>1.0</v>
      </c>
      <c r="L210" s="32">
        <f>1115/P210</f>
        <v>0.1115</v>
      </c>
      <c r="M210" s="32">
        <v>0.0</v>
      </c>
      <c r="N210" s="110">
        <v>0.0476453</v>
      </c>
      <c r="O210" s="32">
        <v>0.0</v>
      </c>
      <c r="P210" s="33">
        <v>10000.0</v>
      </c>
      <c r="Q210" s="34">
        <v>807.6022</v>
      </c>
      <c r="R210" s="42">
        <v>90.0476453</v>
      </c>
      <c r="S210" s="36"/>
      <c r="T210" s="36">
        <v>0.0476453</v>
      </c>
      <c r="U210" s="36"/>
      <c r="V210" s="36">
        <v>90.0</v>
      </c>
      <c r="W210" s="37">
        <v>0.11144100399924615</v>
      </c>
      <c r="X210" s="42">
        <v>900476.453</v>
      </c>
      <c r="Y210" s="36"/>
      <c r="Z210" s="36">
        <v>476.45300000000003</v>
      </c>
      <c r="AA210" s="36"/>
      <c r="AB210" s="36">
        <v>900000.0</v>
      </c>
      <c r="AC210" s="37">
        <v>1114.4100399924616</v>
      </c>
      <c r="AD210" s="31"/>
      <c r="AE210" s="11"/>
      <c r="AF210" s="11"/>
    </row>
    <row r="211">
      <c r="A211" s="11" t="s">
        <v>233</v>
      </c>
      <c r="B211" s="39">
        <v>43590.344061296295</v>
      </c>
      <c r="C211" s="40">
        <v>43592.0</v>
      </c>
      <c r="D211" s="27" t="s">
        <v>232</v>
      </c>
      <c r="E211" s="11" t="b">
        <v>0</v>
      </c>
      <c r="F211" s="11" t="s">
        <v>91</v>
      </c>
      <c r="G211" s="11" t="s">
        <v>227</v>
      </c>
      <c r="H211" s="46" t="s">
        <v>234</v>
      </c>
      <c r="I211" s="108"/>
      <c r="J211" s="109">
        <v>225.1461</v>
      </c>
      <c r="K211" s="11">
        <v>1.0</v>
      </c>
      <c r="L211" s="32">
        <f>1110.4/P211</f>
        <v>0.11104</v>
      </c>
      <c r="M211" s="32">
        <v>0.0</v>
      </c>
      <c r="N211" s="110">
        <v>2.22944E-4</v>
      </c>
      <c r="O211" s="32"/>
      <c r="P211" s="33">
        <v>10000.0</v>
      </c>
      <c r="Q211" s="34">
        <v>225.1461</v>
      </c>
      <c r="R211" s="42">
        <v>25.000222944</v>
      </c>
      <c r="S211" s="36"/>
      <c r="T211" s="36">
        <v>2.22944E-4</v>
      </c>
      <c r="U211" s="36"/>
      <c r="V211" s="36">
        <v>25.0</v>
      </c>
      <c r="W211" s="37">
        <v>0.11103900978076015</v>
      </c>
      <c r="X211" s="42">
        <v>250002.22944</v>
      </c>
      <c r="Y211" s="36"/>
      <c r="Z211" s="36">
        <v>2.2294400000000003</v>
      </c>
      <c r="AA211" s="36"/>
      <c r="AB211" s="36">
        <v>250000.0</v>
      </c>
      <c r="AC211" s="37">
        <v>1110.3900978076015</v>
      </c>
      <c r="AD211" s="31"/>
      <c r="AE211" s="11"/>
      <c r="AF211" s="11"/>
    </row>
    <row r="212">
      <c r="A212" s="11" t="s">
        <v>233</v>
      </c>
      <c r="B212" s="39">
        <v>43485.0</v>
      </c>
      <c r="C212" s="40">
        <v>43486.0</v>
      </c>
      <c r="D212" s="27" t="s">
        <v>232</v>
      </c>
      <c r="E212" s="11" t="b">
        <v>0</v>
      </c>
      <c r="F212" s="11" t="s">
        <v>91</v>
      </c>
      <c r="G212" s="11" t="s">
        <v>227</v>
      </c>
      <c r="H212" s="11" t="s">
        <v>227</v>
      </c>
      <c r="I212" s="108"/>
      <c r="J212" s="109">
        <v>285.1225</v>
      </c>
      <c r="K212" s="11">
        <v>1.0</v>
      </c>
      <c r="L212" s="32">
        <f>1097/P212</f>
        <v>0.1097</v>
      </c>
      <c r="M212" s="32">
        <v>0.0</v>
      </c>
      <c r="N212" s="110">
        <f>0.02793825</f>
        <v>0.02793825</v>
      </c>
      <c r="O212" s="32">
        <v>0.0</v>
      </c>
      <c r="P212" s="33">
        <v>10000.0</v>
      </c>
      <c r="Q212" s="34">
        <v>285.1225</v>
      </c>
      <c r="R212" s="42">
        <v>31.277938250000002</v>
      </c>
      <c r="S212" s="36"/>
      <c r="T212" s="36">
        <v>0.02793825</v>
      </c>
      <c r="U212" s="36"/>
      <c r="V212" s="36">
        <v>31.250000000000004</v>
      </c>
      <c r="W212" s="37">
        <v>0.10960201316977791</v>
      </c>
      <c r="X212" s="42">
        <v>312779.3825</v>
      </c>
      <c r="Y212" s="36"/>
      <c r="Z212" s="36">
        <v>279.3825</v>
      </c>
      <c r="AA212" s="36"/>
      <c r="AB212" s="36">
        <v>312500.00000000006</v>
      </c>
      <c r="AC212" s="37">
        <v>1096.020131697779</v>
      </c>
      <c r="AD212" s="31"/>
      <c r="AE212" s="11"/>
      <c r="AF212" s="11"/>
    </row>
    <row r="213">
      <c r="A213" s="11" t="s">
        <v>233</v>
      </c>
      <c r="B213" s="39">
        <v>43454.0</v>
      </c>
      <c r="C213" s="40">
        <v>43454.0</v>
      </c>
      <c r="D213" s="27" t="s">
        <v>232</v>
      </c>
      <c r="E213" s="11" t="b">
        <v>0</v>
      </c>
      <c r="F213" s="11" t="s">
        <v>91</v>
      </c>
      <c r="G213" s="11" t="s">
        <v>227</v>
      </c>
      <c r="H213" s="11" t="s">
        <v>227</v>
      </c>
      <c r="I213" s="111"/>
      <c r="J213" s="112">
        <f>114.5454 +1.70530256582424E-13</f>
        <v>114.5454</v>
      </c>
      <c r="K213" s="11">
        <v>1.0</v>
      </c>
      <c r="L213" s="32">
        <f t="shared" ref="L213:L215" si="61">1092/P213</f>
        <v>0.1092</v>
      </c>
      <c r="M213" s="32">
        <v>0.0</v>
      </c>
      <c r="N213" s="110">
        <v>0.00835768</v>
      </c>
      <c r="O213" s="32">
        <v>0.0</v>
      </c>
      <c r="P213" s="33">
        <v>10000.0</v>
      </c>
      <c r="Q213" s="34">
        <v>114.54540000000017</v>
      </c>
      <c r="R213" s="42">
        <v>12.50835768000002</v>
      </c>
      <c r="S213" s="36"/>
      <c r="T213" s="36">
        <v>0.00835768</v>
      </c>
      <c r="U213" s="36"/>
      <c r="V213" s="36">
        <v>12.50000000000002</v>
      </c>
      <c r="W213" s="37">
        <v>0.10912703609223942</v>
      </c>
      <c r="X213" s="42">
        <v>125083.57680000018</v>
      </c>
      <c r="Y213" s="36"/>
      <c r="Z213" s="36">
        <v>83.57679999999999</v>
      </c>
      <c r="AA213" s="36"/>
      <c r="AB213" s="36">
        <v>125000.00000000019</v>
      </c>
      <c r="AC213" s="37">
        <v>1091.270360922394</v>
      </c>
      <c r="AD213" s="31"/>
      <c r="AE213" s="11"/>
      <c r="AF213" s="11"/>
    </row>
    <row r="214">
      <c r="A214" s="11" t="s">
        <v>233</v>
      </c>
      <c r="B214" s="39">
        <v>43454.0</v>
      </c>
      <c r="C214" s="40">
        <v>43454.0</v>
      </c>
      <c r="D214" s="27" t="s">
        <v>232</v>
      </c>
      <c r="E214" s="11" t="b">
        <v>0</v>
      </c>
      <c r="F214" s="11" t="s">
        <v>91</v>
      </c>
      <c r="G214" s="11" t="s">
        <v>227</v>
      </c>
      <c r="H214" s="11" t="s">
        <v>227</v>
      </c>
      <c r="I214" s="108"/>
      <c r="J214" s="109">
        <v>114.5454</v>
      </c>
      <c r="K214" s="11">
        <v>1.0</v>
      </c>
      <c r="L214" s="32">
        <f t="shared" si="61"/>
        <v>0.1092</v>
      </c>
      <c r="M214" s="32">
        <v>0.0</v>
      </c>
      <c r="N214" s="110">
        <v>0.00835768</v>
      </c>
      <c r="O214" s="32">
        <v>0.0</v>
      </c>
      <c r="P214" s="33">
        <v>10000.0</v>
      </c>
      <c r="Q214" s="34">
        <v>114.5454</v>
      </c>
      <c r="R214" s="42">
        <v>12.508357680000001</v>
      </c>
      <c r="S214" s="36"/>
      <c r="T214" s="36">
        <v>0.00835768</v>
      </c>
      <c r="U214" s="36"/>
      <c r="V214" s="36">
        <v>12.500000000000002</v>
      </c>
      <c r="W214" s="37">
        <v>0.10912703609223942</v>
      </c>
      <c r="X214" s="42">
        <v>125083.57680000001</v>
      </c>
      <c r="Y214" s="36"/>
      <c r="Z214" s="36">
        <v>83.57679999999999</v>
      </c>
      <c r="AA214" s="36"/>
      <c r="AB214" s="36">
        <v>125000.00000000001</v>
      </c>
      <c r="AC214" s="37">
        <v>1091.2703609223943</v>
      </c>
      <c r="AD214" s="31"/>
      <c r="AE214" s="11"/>
      <c r="AF214" s="11"/>
    </row>
    <row r="215">
      <c r="A215" s="11" t="s">
        <v>233</v>
      </c>
      <c r="B215" s="39">
        <v>43454.0</v>
      </c>
      <c r="C215" s="40">
        <v>43454.0</v>
      </c>
      <c r="D215" s="27" t="s">
        <v>232</v>
      </c>
      <c r="E215" s="11" t="b">
        <v>0</v>
      </c>
      <c r="F215" s="11" t="s">
        <v>91</v>
      </c>
      <c r="G215" s="11" t="s">
        <v>227</v>
      </c>
      <c r="H215" s="11" t="s">
        <v>227</v>
      </c>
      <c r="I215" s="108"/>
      <c r="J215" s="109">
        <v>114.5454</v>
      </c>
      <c r="K215" s="11">
        <v>1.0</v>
      </c>
      <c r="L215" s="32">
        <f t="shared" si="61"/>
        <v>0.1092</v>
      </c>
      <c r="M215" s="32">
        <v>0.0</v>
      </c>
      <c r="N215" s="110">
        <v>0.00835768</v>
      </c>
      <c r="O215" s="32">
        <v>0.0</v>
      </c>
      <c r="P215" s="33">
        <v>10000.0</v>
      </c>
      <c r="Q215" s="34">
        <v>114.5454</v>
      </c>
      <c r="R215" s="42">
        <v>12.508357680000001</v>
      </c>
      <c r="S215" s="36"/>
      <c r="T215" s="36">
        <v>0.00835768</v>
      </c>
      <c r="U215" s="36"/>
      <c r="V215" s="36">
        <v>12.500000000000002</v>
      </c>
      <c r="W215" s="37">
        <v>0.10912703609223942</v>
      </c>
      <c r="X215" s="42">
        <v>125083.57680000001</v>
      </c>
      <c r="Y215" s="36"/>
      <c r="Z215" s="36">
        <v>83.57679999999999</v>
      </c>
      <c r="AA215" s="36"/>
      <c r="AB215" s="36">
        <v>125000.00000000001</v>
      </c>
      <c r="AC215" s="37">
        <v>1091.2703609223943</v>
      </c>
      <c r="AD215" s="31"/>
      <c r="AE215" s="11"/>
      <c r="AF215" s="11"/>
    </row>
    <row r="216">
      <c r="A216" s="11" t="s">
        <v>235</v>
      </c>
      <c r="B216" s="39">
        <v>43590.34408351852</v>
      </c>
      <c r="C216" s="40">
        <v>43592.0</v>
      </c>
      <c r="D216" s="27" t="s">
        <v>232</v>
      </c>
      <c r="E216" s="11" t="b">
        <v>0</v>
      </c>
      <c r="F216" s="11" t="s">
        <v>91</v>
      </c>
      <c r="G216" s="11" t="s">
        <v>227</v>
      </c>
      <c r="H216" s="46" t="s">
        <v>236</v>
      </c>
      <c r="I216" s="108"/>
      <c r="J216" s="109">
        <v>140.7063</v>
      </c>
      <c r="K216" s="11">
        <v>1.0</v>
      </c>
      <c r="L216" s="32">
        <f>1421.41/P216</f>
        <v>0.142141</v>
      </c>
      <c r="M216" s="32"/>
      <c r="N216" s="110">
        <v>1.341883E-4</v>
      </c>
      <c r="O216" s="32"/>
      <c r="P216" s="33">
        <v>10000.0</v>
      </c>
      <c r="Q216" s="34">
        <v>140.7063</v>
      </c>
      <c r="R216" s="42">
        <v>20.000134188300002</v>
      </c>
      <c r="S216" s="36"/>
      <c r="T216" s="36">
        <v>1.341883E-4</v>
      </c>
      <c r="U216" s="36"/>
      <c r="V216" s="36">
        <v>20.000000000000004</v>
      </c>
      <c r="W216" s="37">
        <v>0.14214004632344113</v>
      </c>
      <c r="X216" s="42">
        <v>200001.34188300002</v>
      </c>
      <c r="Y216" s="36"/>
      <c r="Z216" s="36">
        <v>1.341883</v>
      </c>
      <c r="AA216" s="36"/>
      <c r="AB216" s="36">
        <v>200000.00000000003</v>
      </c>
      <c r="AC216" s="37">
        <v>1421.4004632344113</v>
      </c>
      <c r="AD216" s="31"/>
      <c r="AE216" s="11"/>
      <c r="AF216" s="11"/>
    </row>
    <row r="217">
      <c r="A217" s="107" t="s">
        <v>237</v>
      </c>
      <c r="B217" s="39">
        <v>43724.0</v>
      </c>
      <c r="C217" s="40">
        <f>B217</f>
        <v>43724</v>
      </c>
      <c r="D217" s="27" t="s">
        <v>232</v>
      </c>
      <c r="E217" s="107" t="b">
        <v>0</v>
      </c>
      <c r="F217" s="113" t="s">
        <v>91</v>
      </c>
      <c r="G217" s="11" t="s">
        <v>227</v>
      </c>
      <c r="H217" s="107" t="s">
        <v>238</v>
      </c>
      <c r="I217" s="114"/>
      <c r="J217" s="115"/>
      <c r="K217" s="107"/>
      <c r="L217" s="116"/>
      <c r="M217" s="116"/>
      <c r="N217" s="116"/>
      <c r="O217" s="116"/>
      <c r="P217" s="117"/>
      <c r="Q217" s="118"/>
      <c r="R217" s="119"/>
      <c r="S217" s="120"/>
      <c r="T217" s="120"/>
      <c r="U217" s="120"/>
      <c r="V217" s="120"/>
      <c r="W217" s="121"/>
      <c r="X217" s="119"/>
      <c r="Y217" s="120"/>
      <c r="Z217" s="120"/>
      <c r="AA217" s="120"/>
      <c r="AB217" s="120"/>
      <c r="AC217" s="121"/>
      <c r="AD217" s="115"/>
      <c r="AE217" s="107"/>
      <c r="AF217" s="107"/>
    </row>
    <row r="218">
      <c r="A218" s="11" t="s">
        <v>237</v>
      </c>
      <c r="B218" s="39">
        <v>43455.0</v>
      </c>
      <c r="C218" s="40">
        <v>43460.0</v>
      </c>
      <c r="D218" s="27" t="s">
        <v>232</v>
      </c>
      <c r="E218" s="11" t="b">
        <v>0</v>
      </c>
      <c r="F218" s="11" t="s">
        <v>91</v>
      </c>
      <c r="G218" s="11" t="s">
        <v>227</v>
      </c>
      <c r="H218" s="11" t="s">
        <v>227</v>
      </c>
      <c r="I218" s="108"/>
      <c r="J218" s="109">
        <v>671.75</v>
      </c>
      <c r="K218" s="11">
        <v>1.0</v>
      </c>
      <c r="L218" s="32">
        <f>1489/P218</f>
        <v>0.1489</v>
      </c>
      <c r="M218" s="32">
        <v>0.0</v>
      </c>
      <c r="N218" s="110">
        <v>0.023575</v>
      </c>
      <c r="O218" s="32">
        <v>0.0</v>
      </c>
      <c r="P218" s="33">
        <v>10000.0</v>
      </c>
      <c r="Q218" s="34">
        <v>671.75</v>
      </c>
      <c r="R218" s="42">
        <v>100.02357500000001</v>
      </c>
      <c r="S218" s="36"/>
      <c r="T218" s="36">
        <v>0.023575</v>
      </c>
      <c r="U218" s="36"/>
      <c r="V218" s="36">
        <v>100.00000000000001</v>
      </c>
      <c r="W218" s="37">
        <v>0.14886490509862302</v>
      </c>
      <c r="X218" s="42">
        <v>1000235.7500000001</v>
      </c>
      <c r="Y218" s="36"/>
      <c r="Z218" s="36">
        <v>235.75</v>
      </c>
      <c r="AA218" s="36"/>
      <c r="AB218" s="36">
        <v>1000000.0000000001</v>
      </c>
      <c r="AC218" s="37">
        <v>1488.6490509862301</v>
      </c>
      <c r="AD218" s="31"/>
      <c r="AE218" s="11"/>
      <c r="AF218" s="11"/>
    </row>
    <row r="219">
      <c r="A219" s="11" t="s">
        <v>239</v>
      </c>
      <c r="B219" s="39">
        <v>43590.34402467593</v>
      </c>
      <c r="C219" s="40">
        <v>43592.0</v>
      </c>
      <c r="D219" s="27" t="s">
        <v>232</v>
      </c>
      <c r="E219" s="11" t="b">
        <v>0</v>
      </c>
      <c r="F219" s="11" t="s">
        <v>91</v>
      </c>
      <c r="G219" s="11" t="s">
        <v>227</v>
      </c>
      <c r="H219" s="46" t="s">
        <v>240</v>
      </c>
      <c r="I219" s="108"/>
      <c r="J219" s="109">
        <v>225.6333</v>
      </c>
      <c r="K219" s="11">
        <v>1.0</v>
      </c>
      <c r="L219" s="32">
        <f>1108/P219</f>
        <v>0.1108</v>
      </c>
      <c r="M219" s="32">
        <v>0.0</v>
      </c>
      <c r="N219" s="110">
        <v>1.6964E-4</v>
      </c>
      <c r="O219" s="32">
        <v>0.0</v>
      </c>
      <c r="P219" s="33">
        <v>10000.0</v>
      </c>
      <c r="Q219" s="34">
        <v>225.6333</v>
      </c>
      <c r="R219" s="42">
        <v>25.00016964</v>
      </c>
      <c r="S219" s="36"/>
      <c r="T219" s="36">
        <v>1.6964E-4</v>
      </c>
      <c r="U219" s="36"/>
      <c r="V219" s="36">
        <v>25.0</v>
      </c>
      <c r="W219" s="37">
        <v>0.11079924816062169</v>
      </c>
      <c r="X219" s="42">
        <v>250001.6964</v>
      </c>
      <c r="Y219" s="36"/>
      <c r="Z219" s="36">
        <v>1.6964000000000001</v>
      </c>
      <c r="AA219" s="36"/>
      <c r="AB219" s="36">
        <v>250000.0</v>
      </c>
      <c r="AC219" s="37">
        <v>1107.9924816062169</v>
      </c>
      <c r="AD219" s="31"/>
      <c r="AE219" s="11"/>
      <c r="AF219" s="11"/>
    </row>
    <row r="220">
      <c r="A220" s="11" t="s">
        <v>239</v>
      </c>
      <c r="B220" s="39">
        <v>43485.0</v>
      </c>
      <c r="C220" s="40">
        <v>43486.0</v>
      </c>
      <c r="D220" s="27" t="s">
        <v>232</v>
      </c>
      <c r="E220" s="11" t="b">
        <v>0</v>
      </c>
      <c r="F220" s="11" t="s">
        <v>91</v>
      </c>
      <c r="G220" s="11" t="s">
        <v>227</v>
      </c>
      <c r="H220" s="11" t="s">
        <v>227</v>
      </c>
      <c r="I220" s="108"/>
      <c r="J220" s="109">
        <v>286.4902</v>
      </c>
      <c r="K220" s="11">
        <v>1.0</v>
      </c>
      <c r="L220" s="32">
        <f>1091/P220</f>
        <v>0.1091</v>
      </c>
      <c r="M220" s="32">
        <v>0.0</v>
      </c>
      <c r="N220" s="110">
        <v>0.00608082</v>
      </c>
      <c r="O220" s="32">
        <v>0.0</v>
      </c>
      <c r="P220" s="33">
        <v>10000.0</v>
      </c>
      <c r="Q220" s="34">
        <v>286.4902</v>
      </c>
      <c r="R220" s="42">
        <v>31.25608082</v>
      </c>
      <c r="S220" s="36"/>
      <c r="T220" s="36">
        <v>0.00608082</v>
      </c>
      <c r="U220" s="36"/>
      <c r="V220" s="36">
        <v>31.25</v>
      </c>
      <c r="W220" s="37">
        <v>0.10907877477135343</v>
      </c>
      <c r="X220" s="42">
        <v>312560.8082</v>
      </c>
      <c r="Y220" s="36"/>
      <c r="Z220" s="36">
        <v>60.8082</v>
      </c>
      <c r="AA220" s="36"/>
      <c r="AB220" s="36">
        <v>312500.0</v>
      </c>
      <c r="AC220" s="37">
        <v>1090.7877477135344</v>
      </c>
      <c r="AD220" s="31"/>
      <c r="AE220" s="11"/>
      <c r="AF220" s="11"/>
    </row>
    <row r="221">
      <c r="A221" s="11" t="s">
        <v>239</v>
      </c>
      <c r="B221" s="39">
        <v>43398.0</v>
      </c>
      <c r="C221" s="40">
        <v>43403.0</v>
      </c>
      <c r="D221" s="27" t="s">
        <v>232</v>
      </c>
      <c r="E221" s="11" t="b">
        <v>0</v>
      </c>
      <c r="F221" s="11" t="s">
        <v>91</v>
      </c>
      <c r="G221" s="11" t="s">
        <v>227</v>
      </c>
      <c r="H221" s="11" t="s">
        <v>227</v>
      </c>
      <c r="I221" s="108"/>
      <c r="J221" s="109">
        <v>1856.3542</v>
      </c>
      <c r="K221" s="11">
        <v>1.0</v>
      </c>
      <c r="L221" s="32">
        <f>1078/P221</f>
        <v>0.1078</v>
      </c>
      <c r="M221" s="32">
        <v>0.0</v>
      </c>
      <c r="N221" s="110">
        <v>0.11498276</v>
      </c>
      <c r="O221" s="32">
        <v>0.0</v>
      </c>
      <c r="P221" s="33">
        <v>10000.0</v>
      </c>
      <c r="Q221" s="34">
        <v>1856.3542</v>
      </c>
      <c r="R221" s="42">
        <v>200.11498276</v>
      </c>
      <c r="S221" s="36"/>
      <c r="T221" s="36">
        <v>0.11498276</v>
      </c>
      <c r="U221" s="36"/>
      <c r="V221" s="36">
        <v>200.0</v>
      </c>
      <c r="W221" s="37">
        <v>0.10773805990257679</v>
      </c>
      <c r="X221" s="42">
        <v>2001149.8276</v>
      </c>
      <c r="Y221" s="36"/>
      <c r="Z221" s="36">
        <v>1149.8276</v>
      </c>
      <c r="AA221" s="36"/>
      <c r="AB221" s="36">
        <v>2000000.0</v>
      </c>
      <c r="AC221" s="37">
        <v>1077.3805990257679</v>
      </c>
      <c r="AD221" s="31"/>
      <c r="AE221" s="11"/>
      <c r="AF221" s="11"/>
    </row>
    <row r="222">
      <c r="A222" s="11" t="s">
        <v>239</v>
      </c>
      <c r="B222" s="39">
        <v>43300.0</v>
      </c>
      <c r="C222" s="40">
        <v>43301.0</v>
      </c>
      <c r="D222" s="27" t="s">
        <v>232</v>
      </c>
      <c r="E222" s="11" t="b">
        <v>0</v>
      </c>
      <c r="F222" s="11" t="s">
        <v>91</v>
      </c>
      <c r="G222" s="11" t="s">
        <v>227</v>
      </c>
      <c r="H222" s="11" t="s">
        <v>227</v>
      </c>
      <c r="I222" s="108"/>
      <c r="J222" s="109">
        <v>704.9382</v>
      </c>
      <c r="K222" s="11">
        <v>1.0</v>
      </c>
      <c r="L222" s="32">
        <f t="shared" ref="L222:L223" si="62">1064/P222</f>
        <v>0.1064</v>
      </c>
      <c r="M222" s="32">
        <v>0.0</v>
      </c>
      <c r="N222" s="110">
        <v>0.00542448</v>
      </c>
      <c r="O222" s="32">
        <v>0.0</v>
      </c>
      <c r="P222" s="33">
        <v>10000.0</v>
      </c>
      <c r="Q222" s="34">
        <v>704.9382</v>
      </c>
      <c r="R222" s="42">
        <v>75.00542448</v>
      </c>
      <c r="S222" s="36"/>
      <c r="T222" s="36">
        <v>0.00542448</v>
      </c>
      <c r="U222" s="36"/>
      <c r="V222" s="36">
        <v>75.0</v>
      </c>
      <c r="W222" s="37">
        <v>0.10639230502758965</v>
      </c>
      <c r="X222" s="42">
        <v>750054.2448</v>
      </c>
      <c r="Y222" s="36"/>
      <c r="Z222" s="36">
        <v>54.2448</v>
      </c>
      <c r="AA222" s="36"/>
      <c r="AB222" s="36">
        <v>750000.0</v>
      </c>
      <c r="AC222" s="37">
        <v>1063.9230502758965</v>
      </c>
      <c r="AD222" s="31"/>
      <c r="AE222" s="11"/>
      <c r="AF222" s="11"/>
    </row>
    <row r="223">
      <c r="A223" s="11" t="s">
        <v>239</v>
      </c>
      <c r="B223" s="39">
        <v>43296.0</v>
      </c>
      <c r="C223" s="40">
        <v>43297.0</v>
      </c>
      <c r="D223" s="27" t="s">
        <v>232</v>
      </c>
      <c r="E223" s="11" t="b">
        <v>0</v>
      </c>
      <c r="F223" s="11" t="s">
        <v>91</v>
      </c>
      <c r="G223" s="11" t="s">
        <v>227</v>
      </c>
      <c r="H223" s="11" t="s">
        <v>227</v>
      </c>
      <c r="I223" s="108"/>
      <c r="J223" s="109">
        <v>329.1715</v>
      </c>
      <c r="K223" s="11">
        <v>1.0</v>
      </c>
      <c r="L223" s="32">
        <f t="shared" si="62"/>
        <v>0.1064</v>
      </c>
      <c r="M223" s="32">
        <v>0.0</v>
      </c>
      <c r="N223" s="110">
        <v>0.0238476</v>
      </c>
      <c r="O223" s="32">
        <v>0.0</v>
      </c>
      <c r="P223" s="33">
        <v>10000.0</v>
      </c>
      <c r="Q223" s="34">
        <v>329.1715</v>
      </c>
      <c r="R223" s="42">
        <v>35.023847599999996</v>
      </c>
      <c r="S223" s="36"/>
      <c r="T223" s="36">
        <v>0.0238476</v>
      </c>
      <c r="U223" s="36"/>
      <c r="V223" s="36">
        <v>34.99999999999999</v>
      </c>
      <c r="W223" s="37">
        <v>0.10632755265872045</v>
      </c>
      <c r="X223" s="42">
        <v>350238.47599999997</v>
      </c>
      <c r="Y223" s="36"/>
      <c r="Z223" s="36">
        <v>238.476</v>
      </c>
      <c r="AA223" s="36"/>
      <c r="AB223" s="36">
        <v>349999.99999999994</v>
      </c>
      <c r="AC223" s="37">
        <v>1063.2755265872045</v>
      </c>
      <c r="AD223" s="31"/>
      <c r="AE223" s="11"/>
      <c r="AF223" s="11"/>
    </row>
    <row r="224">
      <c r="A224" s="11" t="s">
        <v>239</v>
      </c>
      <c r="B224" s="39">
        <v>43281.0</v>
      </c>
      <c r="C224" s="40">
        <v>43283.0</v>
      </c>
      <c r="D224" s="27" t="s">
        <v>232</v>
      </c>
      <c r="E224" s="11" t="b">
        <v>0</v>
      </c>
      <c r="F224" s="11" t="s">
        <v>91</v>
      </c>
      <c r="G224" s="11" t="s">
        <v>227</v>
      </c>
      <c r="H224" s="11" t="s">
        <v>227</v>
      </c>
      <c r="I224" s="108"/>
      <c r="J224" s="109">
        <f>141.3981 + 2.27373675443232E-13</f>
        <v>141.3981</v>
      </c>
      <c r="K224" s="11">
        <v>1.0</v>
      </c>
      <c r="L224" s="32">
        <f>1061/P224</f>
        <v>0.1061</v>
      </c>
      <c r="M224" s="32">
        <v>0.0</v>
      </c>
      <c r="N224" s="110">
        <v>0.00233841</v>
      </c>
      <c r="O224" s="32">
        <v>0.0</v>
      </c>
      <c r="P224" s="33">
        <v>10000.0</v>
      </c>
      <c r="Q224" s="34">
        <v>141.39810000000023</v>
      </c>
      <c r="R224" s="42">
        <v>15.002338410000023</v>
      </c>
      <c r="S224" s="36"/>
      <c r="T224" s="36">
        <v>0.00233841</v>
      </c>
      <c r="U224" s="36"/>
      <c r="V224" s="36">
        <v>15.000000000000023</v>
      </c>
      <c r="W224" s="37">
        <v>0.10608346222473992</v>
      </c>
      <c r="X224" s="42">
        <v>150023.38410000023</v>
      </c>
      <c r="Y224" s="36"/>
      <c r="Z224" s="36">
        <v>23.3841</v>
      </c>
      <c r="AA224" s="36"/>
      <c r="AB224" s="36">
        <v>150000.00000000023</v>
      </c>
      <c r="AC224" s="37">
        <v>1060.8346222473992</v>
      </c>
      <c r="AD224" s="31"/>
      <c r="AE224" s="11"/>
      <c r="AF224" s="11"/>
    </row>
    <row r="225">
      <c r="A225" s="11" t="s">
        <v>241</v>
      </c>
      <c r="B225" s="39">
        <v>45802.06805555556</v>
      </c>
      <c r="C225" s="40">
        <v>45810.728472222225</v>
      </c>
      <c r="D225" s="27" t="s">
        <v>33</v>
      </c>
      <c r="E225" s="11" t="b">
        <v>0</v>
      </c>
      <c r="F225" s="11" t="s">
        <v>49</v>
      </c>
      <c r="G225" s="11" t="s">
        <v>212</v>
      </c>
      <c r="H225" s="11" t="s">
        <v>242</v>
      </c>
      <c r="I225" s="30">
        <v>5.0</v>
      </c>
      <c r="J225" s="31">
        <v>2000.0</v>
      </c>
      <c r="K225" s="11">
        <v>1.0</v>
      </c>
      <c r="L225" s="32">
        <f t="shared" ref="L225:L227" si="63">(1300)/P225</f>
        <v>0.07999015506</v>
      </c>
      <c r="M225" s="32">
        <f>(622)/P225</f>
        <v>0.03827221265</v>
      </c>
      <c r="N225" s="32">
        <f>(260000)/P225</f>
        <v>15.99803101</v>
      </c>
      <c r="O225" s="32">
        <v>0.0</v>
      </c>
      <c r="P225" s="33">
        <v>16252.0</v>
      </c>
      <c r="Q225" s="34">
        <v>2000.0</v>
      </c>
      <c r="R225" s="42">
        <v>159.98031011567807</v>
      </c>
      <c r="S225" s="36">
        <v>0.038272212650750675</v>
      </c>
      <c r="T225" s="36">
        <v>15.998031011567807</v>
      </c>
      <c r="U225" s="36"/>
      <c r="V225" s="36">
        <v>144.02055131676101</v>
      </c>
      <c r="W225" s="37">
        <v>0.0720102756583805</v>
      </c>
      <c r="X225" s="42">
        <v>2600000.0</v>
      </c>
      <c r="Y225" s="36">
        <v>622.0</v>
      </c>
      <c r="Z225" s="36">
        <v>260000.0</v>
      </c>
      <c r="AA225" s="36"/>
      <c r="AB225" s="36">
        <v>2340622.0</v>
      </c>
      <c r="AC225" s="37">
        <v>1170.311</v>
      </c>
      <c r="AD225" s="31"/>
      <c r="AE225" s="11"/>
      <c r="AF225" s="11"/>
    </row>
    <row r="226">
      <c r="A226" s="11" t="s">
        <v>241</v>
      </c>
      <c r="B226" s="39">
        <v>45782.75555555556</v>
      </c>
      <c r="C226" s="40">
        <v>45789.53125</v>
      </c>
      <c r="D226" s="27" t="s">
        <v>37</v>
      </c>
      <c r="E226" s="11" t="b">
        <v>0</v>
      </c>
      <c r="F226" s="11" t="s">
        <v>49</v>
      </c>
      <c r="G226" s="11" t="s">
        <v>212</v>
      </c>
      <c r="H226" s="11" t="s">
        <v>243</v>
      </c>
      <c r="I226" s="30">
        <v>5.0</v>
      </c>
      <c r="J226" s="31">
        <v>1000.0</v>
      </c>
      <c r="K226" s="11">
        <v>1.0</v>
      </c>
      <c r="L226" s="32">
        <f t="shared" si="63"/>
        <v>0.07916692041</v>
      </c>
      <c r="M226" s="32">
        <f>(1000)/2/P226</f>
        <v>0.03044881554</v>
      </c>
      <c r="N226" s="32">
        <f>(X226*12%)/P226</f>
        <v>9.500030449</v>
      </c>
      <c r="O226" s="32">
        <v>0.0</v>
      </c>
      <c r="P226" s="33">
        <v>16421.0</v>
      </c>
      <c r="Q226" s="34">
        <v>1000.0</v>
      </c>
      <c r="R226" s="42">
        <v>79.16692040679618</v>
      </c>
      <c r="S226" s="36">
        <v>0.030448815541075452</v>
      </c>
      <c r="T226" s="36">
        <v>9.500030448815542</v>
      </c>
      <c r="U226" s="36"/>
      <c r="V226" s="36">
        <v>69.69733877352172</v>
      </c>
      <c r="W226" s="37">
        <v>0.06969733877352172</v>
      </c>
      <c r="X226" s="42">
        <v>1300000.0</v>
      </c>
      <c r="Y226" s="36">
        <v>500.0</v>
      </c>
      <c r="Z226" s="36">
        <v>156000.0</v>
      </c>
      <c r="AA226" s="36"/>
      <c r="AB226" s="36">
        <v>1144500.0000000002</v>
      </c>
      <c r="AC226" s="37">
        <v>1144.5000000000002</v>
      </c>
      <c r="AD226" s="31"/>
      <c r="AE226" s="11"/>
      <c r="AF226" s="11"/>
    </row>
    <row r="227">
      <c r="A227" s="11" t="s">
        <v>241</v>
      </c>
      <c r="B227" s="39">
        <v>45690.32152777778</v>
      </c>
      <c r="C227" s="40">
        <v>45698.728472222225</v>
      </c>
      <c r="D227" s="27" t="s">
        <v>37</v>
      </c>
      <c r="E227" s="11" t="b">
        <v>0</v>
      </c>
      <c r="F227" s="11" t="s">
        <v>49</v>
      </c>
      <c r="G227" s="11" t="s">
        <v>212</v>
      </c>
      <c r="H227" s="11" t="s">
        <v>244</v>
      </c>
      <c r="I227" s="30">
        <v>5.0</v>
      </c>
      <c r="J227" s="31">
        <v>1500.0</v>
      </c>
      <c r="K227" s="11">
        <v>1.0</v>
      </c>
      <c r="L227" s="32">
        <f t="shared" si="63"/>
        <v>0.07975460123</v>
      </c>
      <c r="M227" s="32">
        <f>(469)/P227</f>
        <v>0.02877300613</v>
      </c>
      <c r="N227" s="32">
        <f>(X227*12% + 1)/P227</f>
        <v>14.35588957</v>
      </c>
      <c r="O227" s="32">
        <v>0.0</v>
      </c>
      <c r="P227" s="33">
        <v>16300.0</v>
      </c>
      <c r="Q227" s="34">
        <v>1500.0</v>
      </c>
      <c r="R227" s="42">
        <v>119.6319018404908</v>
      </c>
      <c r="S227" s="36">
        <v>0.028773006134969324</v>
      </c>
      <c r="T227" s="36">
        <v>14.355889570552147</v>
      </c>
      <c r="U227" s="36"/>
      <c r="V227" s="36">
        <v>105.30478527607362</v>
      </c>
      <c r="W227" s="37">
        <v>0.07020319018404908</v>
      </c>
      <c r="X227" s="42">
        <v>1950000.0</v>
      </c>
      <c r="Y227" s="36">
        <v>469.0</v>
      </c>
      <c r="Z227" s="36">
        <v>234001.0</v>
      </c>
      <c r="AA227" s="36"/>
      <c r="AB227" s="36">
        <v>1716468.0</v>
      </c>
      <c r="AC227" s="37">
        <v>1144.312</v>
      </c>
      <c r="AD227" s="31"/>
      <c r="AE227" s="11"/>
      <c r="AF227" s="11"/>
    </row>
    <row r="228">
      <c r="A228" s="11" t="s">
        <v>241</v>
      </c>
      <c r="B228" s="39">
        <v>45598.59930555556</v>
      </c>
      <c r="C228" s="40">
        <v>45605.541666666664</v>
      </c>
      <c r="D228" s="27" t="s">
        <v>37</v>
      </c>
      <c r="E228" s="11" t="b">
        <v>0</v>
      </c>
      <c r="F228" s="11" t="s">
        <v>49</v>
      </c>
      <c r="G228" s="11" t="s">
        <v>212</v>
      </c>
      <c r="H228" s="11" t="s">
        <v>245</v>
      </c>
      <c r="I228" s="30">
        <v>5.0</v>
      </c>
      <c r="J228" s="31">
        <v>1000.0</v>
      </c>
      <c r="K228" s="11">
        <v>1.0</v>
      </c>
      <c r="L228" s="32">
        <f>(1275)/P228</f>
        <v>0.08048226234</v>
      </c>
      <c r="M228" s="32">
        <f>(1000/5 + 1800/5)/P228</f>
        <v>0.03534907209</v>
      </c>
      <c r="N228" s="32">
        <f>X228*8%/P228</f>
        <v>6.438580987</v>
      </c>
      <c r="O228" s="32">
        <v>0.0</v>
      </c>
      <c r="P228" s="33">
        <v>15842.0</v>
      </c>
      <c r="Q228" s="34">
        <v>1000.0</v>
      </c>
      <c r="R228" s="42">
        <v>80.48226234061356</v>
      </c>
      <c r="S228" s="36">
        <v>0.03534907208685772</v>
      </c>
      <c r="T228" s="36">
        <v>6.438580987249085</v>
      </c>
      <c r="U228" s="36"/>
      <c r="V228" s="36">
        <v>74.07903042545134</v>
      </c>
      <c r="W228" s="37">
        <v>0.07407903042545133</v>
      </c>
      <c r="X228" s="42">
        <v>1275000.0</v>
      </c>
      <c r="Y228" s="36">
        <v>560.0</v>
      </c>
      <c r="Z228" s="36">
        <v>102000.0</v>
      </c>
      <c r="AA228" s="36"/>
      <c r="AB228" s="36">
        <v>1173560.0</v>
      </c>
      <c r="AC228" s="37">
        <v>1173.56</v>
      </c>
      <c r="AD228" s="31"/>
      <c r="AE228" s="11"/>
      <c r="AF228" s="11"/>
    </row>
    <row r="229">
      <c r="A229" s="11" t="s">
        <v>241</v>
      </c>
      <c r="B229" s="39">
        <v>45566.740277777775</v>
      </c>
      <c r="C229" s="40">
        <v>45567.53958333333</v>
      </c>
      <c r="D229" s="27" t="s">
        <v>33</v>
      </c>
      <c r="E229" s="11" t="b">
        <v>0</v>
      </c>
      <c r="F229" s="11" t="s">
        <v>49</v>
      </c>
      <c r="G229" s="11" t="s">
        <v>246</v>
      </c>
      <c r="H229" s="11" t="s">
        <v>247</v>
      </c>
      <c r="I229" s="30">
        <v>5.0</v>
      </c>
      <c r="J229" s="31">
        <v>1500.0</v>
      </c>
      <c r="K229" s="11">
        <v>1.0</v>
      </c>
      <c r="L229" s="32">
        <f>(1350)/P229</f>
        <v>0.08846657929</v>
      </c>
      <c r="M229" s="32">
        <f>(817)/P229</f>
        <v>0.05353866317</v>
      </c>
      <c r="N229" s="32">
        <f>(202500)/P229</f>
        <v>13.26998689</v>
      </c>
      <c r="O229" s="32">
        <v>0.0</v>
      </c>
      <c r="P229" s="33">
        <v>15260.0</v>
      </c>
      <c r="Q229" s="34">
        <v>1500.0</v>
      </c>
      <c r="R229" s="42">
        <v>132.69986893840104</v>
      </c>
      <c r="S229" s="36">
        <v>0.0535386631716907</v>
      </c>
      <c r="T229" s="36">
        <v>13.269986893840105</v>
      </c>
      <c r="U229" s="36"/>
      <c r="V229" s="36">
        <v>119.48342070773262</v>
      </c>
      <c r="W229" s="37">
        <v>0.07965561380515508</v>
      </c>
      <c r="X229" s="42">
        <v>2024999.9999999998</v>
      </c>
      <c r="Y229" s="36">
        <v>817.0</v>
      </c>
      <c r="Z229" s="36">
        <v>202500.0</v>
      </c>
      <c r="AA229" s="36"/>
      <c r="AB229" s="36">
        <v>1823316.9999999998</v>
      </c>
      <c r="AC229" s="37">
        <v>1215.5446666666664</v>
      </c>
      <c r="AD229" s="31"/>
      <c r="AE229" s="11"/>
      <c r="AF229" s="11"/>
    </row>
    <row r="230">
      <c r="A230" s="11" t="s">
        <v>241</v>
      </c>
      <c r="B230" s="39">
        <v>45419.51666666667</v>
      </c>
      <c r="C230" s="40">
        <v>45419.691127881946</v>
      </c>
      <c r="D230" s="27" t="s">
        <v>33</v>
      </c>
      <c r="E230" s="11" t="b">
        <v>0</v>
      </c>
      <c r="F230" s="11" t="s">
        <v>49</v>
      </c>
      <c r="G230" s="11" t="s">
        <v>246</v>
      </c>
      <c r="H230" s="11" t="s">
        <v>248</v>
      </c>
      <c r="I230" s="30">
        <v>5.0</v>
      </c>
      <c r="J230" s="31">
        <v>750.0</v>
      </c>
      <c r="K230" s="11">
        <v>1.0</v>
      </c>
      <c r="L230" s="32">
        <f>(1012500/750)/P230</f>
        <v>0.08414360509</v>
      </c>
      <c r="M230" s="32">
        <f>(1000 + 5000)/P230</f>
        <v>0.3739715782</v>
      </c>
      <c r="N230" s="32">
        <f>(40500)/P230</f>
        <v>2.524308153</v>
      </c>
      <c r="O230" s="32">
        <v>0.0</v>
      </c>
      <c r="P230" s="33">
        <v>16044.0</v>
      </c>
      <c r="Q230" s="34">
        <v>750.0</v>
      </c>
      <c r="R230" s="42">
        <v>63.107703814510096</v>
      </c>
      <c r="S230" s="36">
        <v>0.3739715781600598</v>
      </c>
      <c r="T230" s="36">
        <v>2.524308152580404</v>
      </c>
      <c r="U230" s="36"/>
      <c r="V230" s="36">
        <v>60.95736724008975</v>
      </c>
      <c r="W230" s="37">
        <v>0.08127648965345301</v>
      </c>
      <c r="X230" s="42">
        <v>1012500.0</v>
      </c>
      <c r="Y230" s="36">
        <v>6000.0</v>
      </c>
      <c r="Z230" s="36">
        <v>40500.0</v>
      </c>
      <c r="AA230" s="36"/>
      <c r="AB230" s="36">
        <v>978000.0</v>
      </c>
      <c r="AC230" s="37">
        <v>1304.0</v>
      </c>
      <c r="AD230" s="31"/>
      <c r="AE230" s="11"/>
      <c r="AF230" s="11"/>
    </row>
    <row r="231">
      <c r="A231" s="11" t="s">
        <v>241</v>
      </c>
      <c r="B231" s="39">
        <v>45372.63888888889</v>
      </c>
      <c r="C231" s="40">
        <v>45375.57344907407</v>
      </c>
      <c r="D231" s="27" t="s">
        <v>37</v>
      </c>
      <c r="E231" s="11" t="b">
        <v>0</v>
      </c>
      <c r="F231" s="11" t="s">
        <v>249</v>
      </c>
      <c r="G231" s="11" t="s">
        <v>249</v>
      </c>
      <c r="H231" s="11" t="s">
        <v>249</v>
      </c>
      <c r="I231" s="30">
        <v>5.0</v>
      </c>
      <c r="J231" s="31">
        <v>100.0</v>
      </c>
      <c r="K231" s="11">
        <v>1.0</v>
      </c>
      <c r="L231" s="32">
        <f>(1235)/P231</f>
        <v>0.07873764743</v>
      </c>
      <c r="M231" s="32">
        <v>0.0</v>
      </c>
      <c r="N231" s="32">
        <v>0.0</v>
      </c>
      <c r="O231" s="32">
        <v>0.0</v>
      </c>
      <c r="P231" s="33">
        <v>15685.0</v>
      </c>
      <c r="Q231" s="34">
        <v>100.0</v>
      </c>
      <c r="R231" s="42">
        <v>7.8737647433854</v>
      </c>
      <c r="S231" s="36"/>
      <c r="T231" s="36"/>
      <c r="U231" s="36"/>
      <c r="V231" s="36">
        <v>7.8737647433854</v>
      </c>
      <c r="W231" s="37">
        <v>0.078737647433854</v>
      </c>
      <c r="X231" s="42">
        <v>123500.0</v>
      </c>
      <c r="Y231" s="36"/>
      <c r="Z231" s="36"/>
      <c r="AA231" s="36"/>
      <c r="AB231" s="36">
        <v>123500.0</v>
      </c>
      <c r="AC231" s="37">
        <v>1235.0</v>
      </c>
      <c r="AD231" s="31"/>
      <c r="AE231" s="11"/>
      <c r="AF231" s="11"/>
    </row>
    <row r="232">
      <c r="A232" s="11" t="s">
        <v>241</v>
      </c>
      <c r="B232" s="39">
        <v>45367.59097222222</v>
      </c>
      <c r="C232" s="40">
        <v>45368.67162809028</v>
      </c>
      <c r="D232" s="27" t="s">
        <v>33</v>
      </c>
      <c r="E232" s="11" t="b">
        <v>0</v>
      </c>
      <c r="F232" s="11" t="s">
        <v>200</v>
      </c>
      <c r="G232" s="11" t="s">
        <v>200</v>
      </c>
      <c r="H232" s="11" t="s">
        <v>200</v>
      </c>
      <c r="I232" s="30">
        <v>5.0</v>
      </c>
      <c r="J232" s="31">
        <v>100.0</v>
      </c>
      <c r="K232" s="11">
        <v>1.0</v>
      </c>
      <c r="L232" s="32">
        <f t="shared" ref="L232:L233" si="64">(1350)/P232</f>
        <v>0.08630609896</v>
      </c>
      <c r="M232" s="32">
        <v>0.0</v>
      </c>
      <c r="N232" s="32">
        <v>0.0</v>
      </c>
      <c r="O232" s="32">
        <v>0.0</v>
      </c>
      <c r="P232" s="33">
        <v>15642.0</v>
      </c>
      <c r="Q232" s="34">
        <v>100.0</v>
      </c>
      <c r="R232" s="42">
        <v>8.63060989643268</v>
      </c>
      <c r="S232" s="36"/>
      <c r="T232" s="36"/>
      <c r="U232" s="36"/>
      <c r="V232" s="36">
        <v>8.63060989643268</v>
      </c>
      <c r="W232" s="37">
        <v>0.08630609896432681</v>
      </c>
      <c r="X232" s="42">
        <v>135000.0</v>
      </c>
      <c r="Y232" s="36"/>
      <c r="Z232" s="36"/>
      <c r="AA232" s="36"/>
      <c r="AB232" s="36">
        <v>135000.0</v>
      </c>
      <c r="AC232" s="37">
        <v>1350.0</v>
      </c>
      <c r="AD232" s="31"/>
      <c r="AE232" s="11"/>
      <c r="AF232" s="11"/>
    </row>
    <row r="233">
      <c r="A233" s="11" t="s">
        <v>241</v>
      </c>
      <c r="B233" s="39">
        <v>45366.643055555556</v>
      </c>
      <c r="C233" s="40">
        <v>45368.471929629624</v>
      </c>
      <c r="D233" s="27" t="s">
        <v>37</v>
      </c>
      <c r="E233" s="11" t="b">
        <v>0</v>
      </c>
      <c r="F233" s="11" t="s">
        <v>200</v>
      </c>
      <c r="G233" s="11" t="s">
        <v>200</v>
      </c>
      <c r="H233" s="11" t="s">
        <v>200</v>
      </c>
      <c r="I233" s="30">
        <v>5.0</v>
      </c>
      <c r="J233" s="31">
        <v>100.0</v>
      </c>
      <c r="K233" s="11">
        <v>1.0</v>
      </c>
      <c r="L233" s="32">
        <f t="shared" si="64"/>
        <v>0.08631713555</v>
      </c>
      <c r="M233" s="32">
        <v>0.0</v>
      </c>
      <c r="N233" s="32">
        <v>0.0</v>
      </c>
      <c r="O233" s="32">
        <v>0.0</v>
      </c>
      <c r="P233" s="33">
        <v>15640.0</v>
      </c>
      <c r="Q233" s="34">
        <v>100.0</v>
      </c>
      <c r="R233" s="42">
        <v>8.631713554987213</v>
      </c>
      <c r="S233" s="36"/>
      <c r="T233" s="36"/>
      <c r="U233" s="36"/>
      <c r="V233" s="36">
        <v>8.631713554987213</v>
      </c>
      <c r="W233" s="37">
        <v>0.08631713554987214</v>
      </c>
      <c r="X233" s="42">
        <v>135000.0</v>
      </c>
      <c r="Y233" s="36"/>
      <c r="Z233" s="36"/>
      <c r="AA233" s="36"/>
      <c r="AB233" s="36">
        <v>135000.0</v>
      </c>
      <c r="AC233" s="37">
        <v>1350.0</v>
      </c>
      <c r="AD233" s="31"/>
      <c r="AE233" s="11"/>
      <c r="AF233" s="11"/>
    </row>
    <row r="234">
      <c r="A234" s="11" t="s">
        <v>250</v>
      </c>
      <c r="B234" s="77">
        <v>46003.626388888886</v>
      </c>
      <c r="C234" s="40">
        <v>46008.92222222222</v>
      </c>
      <c r="D234" s="27" t="s">
        <v>33</v>
      </c>
      <c r="E234" s="11" t="b">
        <v>0</v>
      </c>
      <c r="F234" s="11" t="s">
        <v>49</v>
      </c>
      <c r="G234" s="11" t="s">
        <v>251</v>
      </c>
      <c r="H234" s="11" t="s">
        <v>252</v>
      </c>
      <c r="I234" s="30">
        <v>5.0</v>
      </c>
      <c r="J234" s="31">
        <v>1.0</v>
      </c>
      <c r="K234" s="11">
        <v>1.0</v>
      </c>
      <c r="L234" s="32">
        <f>(32076)/P234</f>
        <v>32076</v>
      </c>
      <c r="M234" s="32">
        <f t="shared" ref="M234:M236" si="65">(1000)/P234</f>
        <v>1000</v>
      </c>
      <c r="N234" s="32">
        <f>(10000)/P234</f>
        <v>10000</v>
      </c>
      <c r="O234" s="32">
        <v>0.0</v>
      </c>
      <c r="P234" s="33">
        <v>1.0</v>
      </c>
      <c r="Q234" s="34">
        <v>1.0</v>
      </c>
      <c r="R234" s="42">
        <v>32076.0</v>
      </c>
      <c r="S234" s="36">
        <v>1000.0</v>
      </c>
      <c r="T234" s="36">
        <v>10000.0</v>
      </c>
      <c r="U234" s="36"/>
      <c r="V234" s="36">
        <v>23076.0</v>
      </c>
      <c r="W234" s="37">
        <v>23076.0</v>
      </c>
      <c r="X234" s="42">
        <v>32076.0</v>
      </c>
      <c r="Y234" s="36">
        <v>1000.0</v>
      </c>
      <c r="Z234" s="36">
        <v>10000.0</v>
      </c>
      <c r="AA234" s="36"/>
      <c r="AB234" s="36">
        <v>23076.0</v>
      </c>
      <c r="AC234" s="37">
        <v>23076.0</v>
      </c>
      <c r="AD234" s="31"/>
      <c r="AE234" s="11"/>
      <c r="AF234" s="11"/>
    </row>
    <row r="235">
      <c r="A235" s="11" t="s">
        <v>250</v>
      </c>
      <c r="B235" s="77">
        <v>45980.674305555556</v>
      </c>
      <c r="C235" s="40">
        <v>45983.52777777778</v>
      </c>
      <c r="D235" s="27" t="s">
        <v>37</v>
      </c>
      <c r="E235" s="11" t="b">
        <v>0</v>
      </c>
      <c r="F235" s="11" t="s">
        <v>49</v>
      </c>
      <c r="G235" s="11" t="s">
        <v>253</v>
      </c>
      <c r="H235" s="11" t="s">
        <v>254</v>
      </c>
      <c r="I235" s="30">
        <v>5.0</v>
      </c>
      <c r="J235" s="31">
        <v>39.0</v>
      </c>
      <c r="K235" s="11">
        <v>1.0</v>
      </c>
      <c r="L235" s="32">
        <f>(33950)/P235</f>
        <v>33950</v>
      </c>
      <c r="M235" s="32">
        <f t="shared" si="65"/>
        <v>1000</v>
      </c>
      <c r="N235" s="32">
        <f>ROUNDDOWN((X235*15%) - 299,0)</f>
        <v>198308</v>
      </c>
      <c r="O235" s="32">
        <f>(2000)/P235</f>
        <v>2000</v>
      </c>
      <c r="P235" s="33">
        <v>1.0</v>
      </c>
      <c r="Q235" s="34">
        <v>39.0</v>
      </c>
      <c r="R235" s="42">
        <v>1324050.0</v>
      </c>
      <c r="S235" s="36">
        <v>1000.0</v>
      </c>
      <c r="T235" s="36">
        <v>198308.0</v>
      </c>
      <c r="U235" s="36">
        <v>2000.0</v>
      </c>
      <c r="V235" s="36">
        <v>1124742.0</v>
      </c>
      <c r="W235" s="37">
        <v>28839.53846153846</v>
      </c>
      <c r="X235" s="42">
        <v>1324050.0</v>
      </c>
      <c r="Y235" s="36">
        <v>1000.0</v>
      </c>
      <c r="Z235" s="36">
        <v>198308.0</v>
      </c>
      <c r="AA235" s="36">
        <v>2000.0</v>
      </c>
      <c r="AB235" s="36">
        <v>1124742.0</v>
      </c>
      <c r="AC235" s="37">
        <v>28839.53846153846</v>
      </c>
      <c r="AD235" s="31"/>
      <c r="AE235" s="11"/>
      <c r="AF235" s="11"/>
    </row>
    <row r="236">
      <c r="A236" s="11" t="s">
        <v>250</v>
      </c>
      <c r="B236" s="39">
        <v>45830.96944444445</v>
      </c>
      <c r="C236" s="40">
        <v>45833.50833333333</v>
      </c>
      <c r="D236" s="27" t="s">
        <v>37</v>
      </c>
      <c r="E236" s="11" t="b">
        <v>0</v>
      </c>
      <c r="F236" s="11" t="s">
        <v>49</v>
      </c>
      <c r="G236" s="11" t="s">
        <v>200</v>
      </c>
      <c r="H236" s="11" t="s">
        <v>255</v>
      </c>
      <c r="I236" s="30">
        <v>5.0</v>
      </c>
      <c r="J236" s="31">
        <v>29.0</v>
      </c>
      <c r="K236" s="11">
        <v>1.0</v>
      </c>
      <c r="L236" s="32">
        <f>(34150)/P236</f>
        <v>2.080287524</v>
      </c>
      <c r="M236" s="32">
        <f t="shared" si="65"/>
        <v>0.06091617934</v>
      </c>
      <c r="N236" s="32">
        <f>(99035)/P236</f>
        <v>6.032833821</v>
      </c>
      <c r="O236" s="32">
        <v>0.0</v>
      </c>
      <c r="P236" s="33">
        <v>16416.0</v>
      </c>
      <c r="Q236" s="34">
        <v>29.0</v>
      </c>
      <c r="R236" s="42">
        <v>60.328338206627684</v>
      </c>
      <c r="S236" s="36">
        <v>0.060916179337231965</v>
      </c>
      <c r="T236" s="36">
        <v>6.032833820662768</v>
      </c>
      <c r="U236" s="36"/>
      <c r="V236" s="36">
        <v>54.35642056530215</v>
      </c>
      <c r="W236" s="37">
        <v>1.8743593298380052</v>
      </c>
      <c r="X236" s="42">
        <v>990350.0000000001</v>
      </c>
      <c r="Y236" s="36">
        <v>1000.0</v>
      </c>
      <c r="Z236" s="36">
        <v>99035.0</v>
      </c>
      <c r="AA236" s="36"/>
      <c r="AB236" s="36">
        <v>892315.0000000001</v>
      </c>
      <c r="AC236" s="37">
        <v>30769.482758620692</v>
      </c>
      <c r="AD236" s="31"/>
      <c r="AE236" s="11"/>
      <c r="AF236" s="11"/>
    </row>
    <row r="237">
      <c r="A237" s="11" t="s">
        <v>250</v>
      </c>
      <c r="B237" s="39">
        <v>45814.00833333333</v>
      </c>
      <c r="C237" s="40">
        <v>45817.77777777778</v>
      </c>
      <c r="D237" s="27" t="s">
        <v>33</v>
      </c>
      <c r="E237" s="11" t="b">
        <v>0</v>
      </c>
      <c r="F237" s="11" t="s">
        <v>49</v>
      </c>
      <c r="G237" s="11" t="s">
        <v>256</v>
      </c>
      <c r="H237" s="11" t="s">
        <v>257</v>
      </c>
      <c r="I237" s="30">
        <v>5.0</v>
      </c>
      <c r="J237" s="31">
        <v>30.0</v>
      </c>
      <c r="K237" s="11">
        <v>1.0</v>
      </c>
      <c r="L237" s="32">
        <f>(34900)/P237</f>
        <v>2.137039985</v>
      </c>
      <c r="M237" s="32">
        <f>(2000)/P237</f>
        <v>0.1224664748</v>
      </c>
      <c r="N237" s="32">
        <f>(125640)/P237</f>
        <v>7.693343947</v>
      </c>
      <c r="O237" s="32">
        <v>0.0</v>
      </c>
      <c r="P237" s="33">
        <v>16331.0</v>
      </c>
      <c r="Q237" s="34">
        <v>30.0</v>
      </c>
      <c r="R237" s="42">
        <v>64.11119955912069</v>
      </c>
      <c r="S237" s="36">
        <v>0.1224664748025228</v>
      </c>
      <c r="T237" s="36">
        <v>7.693343947094483</v>
      </c>
      <c r="U237" s="36"/>
      <c r="V237" s="36">
        <v>56.54032208682873</v>
      </c>
      <c r="W237" s="37">
        <v>1.884677402894291</v>
      </c>
      <c r="X237" s="42">
        <v>1047000.0</v>
      </c>
      <c r="Y237" s="36">
        <v>2000.0</v>
      </c>
      <c r="Z237" s="36">
        <v>125640.0</v>
      </c>
      <c r="AA237" s="36"/>
      <c r="AB237" s="36">
        <v>923360.0</v>
      </c>
      <c r="AC237" s="37">
        <v>30778.666666666668</v>
      </c>
      <c r="AD237" s="31"/>
      <c r="AE237" s="11"/>
      <c r="AF237" s="11"/>
    </row>
    <row r="238">
      <c r="A238" s="11" t="s">
        <v>250</v>
      </c>
      <c r="B238" s="39">
        <v>45802.48055555556</v>
      </c>
      <c r="C238" s="40">
        <v>45805.48333333333</v>
      </c>
      <c r="D238" s="27" t="s">
        <v>33</v>
      </c>
      <c r="E238" s="11" t="b">
        <v>0</v>
      </c>
      <c r="F238" s="11" t="s">
        <v>49</v>
      </c>
      <c r="G238" s="11" t="s">
        <v>219</v>
      </c>
      <c r="H238" s="11" t="s">
        <v>258</v>
      </c>
      <c r="I238" s="30">
        <v>5.0</v>
      </c>
      <c r="J238" s="31">
        <v>19.0</v>
      </c>
      <c r="K238" s="11">
        <v>1.0</v>
      </c>
      <c r="L238" s="32">
        <f>(35900)/P238</f>
        <v>2.208958897</v>
      </c>
      <c r="M238" s="32">
        <f t="shared" ref="M238:M240" si="66">(1000)/P238</f>
        <v>0.06153088851</v>
      </c>
      <c r="N238" s="32">
        <f>(100000)/P238</f>
        <v>6.153088851</v>
      </c>
      <c r="O238" s="32">
        <v>0.0</v>
      </c>
      <c r="P238" s="33">
        <v>16252.0</v>
      </c>
      <c r="Q238" s="34">
        <v>19.0</v>
      </c>
      <c r="R238" s="42">
        <v>41.970219049963085</v>
      </c>
      <c r="S238" s="36">
        <v>0.06153088850603003</v>
      </c>
      <c r="T238" s="36">
        <v>6.153088850603003</v>
      </c>
      <c r="U238" s="36"/>
      <c r="V238" s="36">
        <v>35.87866108786611</v>
      </c>
      <c r="W238" s="37">
        <v>1.8883505835719003</v>
      </c>
      <c r="X238" s="42">
        <v>682100.0</v>
      </c>
      <c r="Y238" s="36">
        <v>1000.0</v>
      </c>
      <c r="Z238" s="36">
        <v>100000.0</v>
      </c>
      <c r="AA238" s="36"/>
      <c r="AB238" s="36">
        <v>583100.0</v>
      </c>
      <c r="AC238" s="37">
        <v>30689.473684210527</v>
      </c>
      <c r="AD238" s="31"/>
      <c r="AE238" s="11"/>
      <c r="AF238" s="11"/>
    </row>
    <row r="239">
      <c r="A239" s="11" t="s">
        <v>250</v>
      </c>
      <c r="B239" s="39">
        <v>45784.635416666664</v>
      </c>
      <c r="C239" s="40">
        <v>45786.68194444444</v>
      </c>
      <c r="D239" s="27" t="s">
        <v>33</v>
      </c>
      <c r="E239" s="11" t="b">
        <v>0</v>
      </c>
      <c r="F239" s="11" t="s">
        <v>49</v>
      </c>
      <c r="G239" s="11" t="s">
        <v>219</v>
      </c>
      <c r="H239" s="11" t="s">
        <v>259</v>
      </c>
      <c r="I239" s="30">
        <v>5.0</v>
      </c>
      <c r="J239" s="31">
        <v>7.0</v>
      </c>
      <c r="K239" s="11">
        <v>1.0</v>
      </c>
      <c r="L239" s="32">
        <f t="shared" ref="L239:L240" si="67">(30900)/P239</f>
        <v>1.873635702</v>
      </c>
      <c r="M239" s="32">
        <f t="shared" si="66"/>
        <v>0.06063545962</v>
      </c>
      <c r="N239" s="32">
        <f>(12978)/P239</f>
        <v>0.7869269949</v>
      </c>
      <c r="O239" s="32">
        <v>0.0</v>
      </c>
      <c r="P239" s="33">
        <v>16492.0</v>
      </c>
      <c r="Q239" s="34">
        <v>7.0</v>
      </c>
      <c r="R239" s="42">
        <v>13.115449915110355</v>
      </c>
      <c r="S239" s="36">
        <v>0.0606354596167839</v>
      </c>
      <c r="T239" s="36">
        <v>0.7869269949066214</v>
      </c>
      <c r="U239" s="36"/>
      <c r="V239" s="36">
        <v>12.389158379820516</v>
      </c>
      <c r="W239" s="37">
        <v>1.769879768545788</v>
      </c>
      <c r="X239" s="42">
        <v>216299.99999999997</v>
      </c>
      <c r="Y239" s="36">
        <v>1000.0</v>
      </c>
      <c r="Z239" s="36">
        <v>12978.0</v>
      </c>
      <c r="AA239" s="36"/>
      <c r="AB239" s="36">
        <v>204321.99999999997</v>
      </c>
      <c r="AC239" s="37">
        <v>29188.857142857138</v>
      </c>
      <c r="AD239" s="31"/>
      <c r="AE239" s="11"/>
      <c r="AF239" s="11"/>
    </row>
    <row r="240">
      <c r="A240" s="11" t="s">
        <v>250</v>
      </c>
      <c r="B240" s="39">
        <v>45784.63125</v>
      </c>
      <c r="C240" s="40">
        <v>45786.68194444444</v>
      </c>
      <c r="D240" s="27" t="s">
        <v>33</v>
      </c>
      <c r="E240" s="11" t="b">
        <v>0</v>
      </c>
      <c r="F240" s="11" t="s">
        <v>49</v>
      </c>
      <c r="G240" s="11" t="s">
        <v>219</v>
      </c>
      <c r="H240" s="11" t="s">
        <v>260</v>
      </c>
      <c r="I240" s="30">
        <v>5.0</v>
      </c>
      <c r="J240" s="31">
        <v>3.0</v>
      </c>
      <c r="K240" s="11">
        <v>1.0</v>
      </c>
      <c r="L240" s="32">
        <f t="shared" si="67"/>
        <v>1.873635702</v>
      </c>
      <c r="M240" s="32">
        <f t="shared" si="66"/>
        <v>0.06063545962</v>
      </c>
      <c r="N240" s="32">
        <f>(10000)/P240</f>
        <v>0.6063545962</v>
      </c>
      <c r="O240" s="32">
        <v>0.0</v>
      </c>
      <c r="P240" s="33">
        <v>16492.0</v>
      </c>
      <c r="Q240" s="34">
        <v>3.0</v>
      </c>
      <c r="R240" s="42">
        <v>5.620907106475867</v>
      </c>
      <c r="S240" s="36">
        <v>0.0606354596167839</v>
      </c>
      <c r="T240" s="36">
        <v>0.6063545961678389</v>
      </c>
      <c r="U240" s="36"/>
      <c r="V240" s="36">
        <v>5.075187969924812</v>
      </c>
      <c r="W240" s="37">
        <v>1.6917293233082706</v>
      </c>
      <c r="X240" s="42">
        <v>92700.0</v>
      </c>
      <c r="Y240" s="36">
        <v>1000.0</v>
      </c>
      <c r="Z240" s="36">
        <v>10000.0</v>
      </c>
      <c r="AA240" s="36"/>
      <c r="AB240" s="36">
        <v>83700.0</v>
      </c>
      <c r="AC240" s="37">
        <v>27900.0</v>
      </c>
      <c r="AD240" s="31"/>
      <c r="AE240" s="11"/>
      <c r="AF240" s="11"/>
    </row>
    <row r="241">
      <c r="A241" s="11" t="s">
        <v>250</v>
      </c>
      <c r="B241" s="39">
        <v>45428.99375</v>
      </c>
      <c r="C241" s="40">
        <v>45430.44930555556</v>
      </c>
      <c r="D241" s="27" t="s">
        <v>33</v>
      </c>
      <c r="E241" s="11" t="b">
        <v>0</v>
      </c>
      <c r="F241" s="11" t="s">
        <v>38</v>
      </c>
      <c r="G241" s="11" t="s">
        <v>200</v>
      </c>
      <c r="H241" s="11" t="s">
        <v>261</v>
      </c>
      <c r="I241" s="30">
        <v>5.0</v>
      </c>
      <c r="J241" s="31">
        <v>28.0</v>
      </c>
      <c r="K241" s="11">
        <v>1.0</v>
      </c>
      <c r="L241" s="32">
        <f t="shared" ref="L241:L249" si="68">(31900)/P241</f>
        <v>2.001380262</v>
      </c>
      <c r="M241" s="32">
        <f>(893)/P241</f>
        <v>0.0560260995</v>
      </c>
      <c r="N241" s="32">
        <f>(89320 - 27)/P241</f>
        <v>5.602170776</v>
      </c>
      <c r="O241" s="32">
        <v>0.0</v>
      </c>
      <c r="P241" s="33">
        <v>15939.0</v>
      </c>
      <c r="Q241" s="34">
        <v>28.0</v>
      </c>
      <c r="R241" s="42">
        <v>56.03864734299516</v>
      </c>
      <c r="S241" s="36">
        <v>0.056026099504360376</v>
      </c>
      <c r="T241" s="36">
        <v>5.6021707760838195</v>
      </c>
      <c r="U241" s="36"/>
      <c r="V241" s="36">
        <v>50.4925026664157</v>
      </c>
      <c r="W241" s="37">
        <v>1.8033036666577036</v>
      </c>
      <c r="X241" s="42">
        <v>893199.9999999999</v>
      </c>
      <c r="Y241" s="36">
        <v>893.0</v>
      </c>
      <c r="Z241" s="36">
        <v>89293.0</v>
      </c>
      <c r="AA241" s="36"/>
      <c r="AB241" s="36">
        <v>804799.9999999999</v>
      </c>
      <c r="AC241" s="37">
        <v>28742.857142857138</v>
      </c>
      <c r="AD241" s="31"/>
      <c r="AE241" s="11"/>
      <c r="AF241" s="11"/>
    </row>
    <row r="242">
      <c r="A242" s="11" t="s">
        <v>250</v>
      </c>
      <c r="B242" s="39">
        <v>45427.885416666664</v>
      </c>
      <c r="C242" s="40">
        <v>45429.48159605324</v>
      </c>
      <c r="D242" s="27" t="s">
        <v>33</v>
      </c>
      <c r="E242" s="11" t="b">
        <v>0</v>
      </c>
      <c r="F242" s="11" t="s">
        <v>38</v>
      </c>
      <c r="G242" s="11" t="s">
        <v>200</v>
      </c>
      <c r="H242" s="11" t="s">
        <v>262</v>
      </c>
      <c r="I242" s="30">
        <v>5.0</v>
      </c>
      <c r="J242" s="31">
        <v>2.0</v>
      </c>
      <c r="K242" s="11">
        <v>1.0</v>
      </c>
      <c r="L242" s="32">
        <f t="shared" si="68"/>
        <v>1.978417266</v>
      </c>
      <c r="M242" s="32">
        <f>(211)/P242</f>
        <v>0.01308608286</v>
      </c>
      <c r="N242" s="32">
        <f>(4550)/P242</f>
        <v>0.2821880427</v>
      </c>
      <c r="O242" s="32">
        <v>0.0</v>
      </c>
      <c r="P242" s="33">
        <v>16124.0</v>
      </c>
      <c r="Q242" s="34">
        <v>2.0</v>
      </c>
      <c r="R242" s="42">
        <v>3.9568345323741005</v>
      </c>
      <c r="S242" s="36">
        <v>0.01308608285785165</v>
      </c>
      <c r="T242" s="36">
        <v>0.2821880426693128</v>
      </c>
      <c r="U242" s="36"/>
      <c r="V242" s="36">
        <v>3.6877325725626395</v>
      </c>
      <c r="W242" s="37">
        <v>1.8438662862813198</v>
      </c>
      <c r="X242" s="42">
        <v>63800.0</v>
      </c>
      <c r="Y242" s="36">
        <v>211.0</v>
      </c>
      <c r="Z242" s="36">
        <v>4550.0</v>
      </c>
      <c r="AA242" s="36"/>
      <c r="AB242" s="36">
        <v>59461.0</v>
      </c>
      <c r="AC242" s="37">
        <v>29730.5</v>
      </c>
      <c r="AD242" s="31"/>
      <c r="AE242" s="11"/>
      <c r="AF242" s="11"/>
    </row>
    <row r="243">
      <c r="A243" s="11" t="s">
        <v>250</v>
      </c>
      <c r="B243" s="39">
        <v>45427.88055555556</v>
      </c>
      <c r="C243" s="40">
        <v>45429.48183619213</v>
      </c>
      <c r="D243" s="27" t="s">
        <v>33</v>
      </c>
      <c r="E243" s="11" t="b">
        <v>0</v>
      </c>
      <c r="F243" s="11" t="s">
        <v>38</v>
      </c>
      <c r="G243" s="11" t="s">
        <v>200</v>
      </c>
      <c r="H243" s="11" t="s">
        <v>263</v>
      </c>
      <c r="I243" s="30">
        <v>5.0</v>
      </c>
      <c r="J243" s="31">
        <v>1.0</v>
      </c>
      <c r="K243" s="11">
        <v>1.0</v>
      </c>
      <c r="L243" s="32">
        <f t="shared" si="68"/>
        <v>1.978417266</v>
      </c>
      <c r="M243" s="32">
        <f t="shared" ref="M243:M249" si="69">(1000)/P243</f>
        <v>0.06201935004</v>
      </c>
      <c r="N243" s="32">
        <f>(9570)/P243</f>
        <v>0.5935251799</v>
      </c>
      <c r="O243" s="32">
        <v>0.0</v>
      </c>
      <c r="P243" s="33">
        <v>16124.0</v>
      </c>
      <c r="Q243" s="34">
        <v>1.0</v>
      </c>
      <c r="R243" s="42">
        <v>1.9784172661870503</v>
      </c>
      <c r="S243" s="36">
        <v>0.06201935003721161</v>
      </c>
      <c r="T243" s="36">
        <v>0.5935251798561151</v>
      </c>
      <c r="U243" s="36"/>
      <c r="V243" s="36">
        <v>1.446911436368147</v>
      </c>
      <c r="W243" s="37">
        <v>1.446911436368147</v>
      </c>
      <c r="X243" s="42">
        <v>31900.0</v>
      </c>
      <c r="Y243" s="36">
        <v>1000.0</v>
      </c>
      <c r="Z243" s="36">
        <v>9570.0</v>
      </c>
      <c r="AA243" s="36"/>
      <c r="AB243" s="36">
        <v>23330.000000000004</v>
      </c>
      <c r="AC243" s="37">
        <v>23330.000000000004</v>
      </c>
      <c r="AD243" s="122"/>
      <c r="AE243" s="11"/>
      <c r="AF243" s="11"/>
    </row>
    <row r="244">
      <c r="A244" s="11" t="s">
        <v>250</v>
      </c>
      <c r="B244" s="39">
        <v>45426.93263888889</v>
      </c>
      <c r="C244" s="40">
        <v>45429.45688315972</v>
      </c>
      <c r="D244" s="27" t="s">
        <v>37</v>
      </c>
      <c r="E244" s="11" t="b">
        <v>0</v>
      </c>
      <c r="F244" s="11" t="s">
        <v>38</v>
      </c>
      <c r="G244" s="11" t="s">
        <v>200</v>
      </c>
      <c r="H244" s="11" t="s">
        <v>264</v>
      </c>
      <c r="I244" s="30">
        <v>5.0</v>
      </c>
      <c r="J244" s="31">
        <v>31.0</v>
      </c>
      <c r="K244" s="11">
        <v>1.0</v>
      </c>
      <c r="L244" s="32">
        <f t="shared" si="68"/>
        <v>1.982105132</v>
      </c>
      <c r="M244" s="32">
        <f t="shared" si="69"/>
        <v>0.06213495713</v>
      </c>
      <c r="N244" s="32">
        <f>(98890 + 5000 + 4450)/P244</f>
        <v>6.731701255</v>
      </c>
      <c r="O244" s="32">
        <v>0.0</v>
      </c>
      <c r="P244" s="33">
        <v>16094.0</v>
      </c>
      <c r="Q244" s="34">
        <v>31.0</v>
      </c>
      <c r="R244" s="42">
        <v>61.445259102771224</v>
      </c>
      <c r="S244" s="36">
        <v>0.06213495712687958</v>
      </c>
      <c r="T244" s="36">
        <v>6.731701255126134</v>
      </c>
      <c r="U244" s="36"/>
      <c r="V244" s="36">
        <v>54.77569280477197</v>
      </c>
      <c r="W244" s="37">
        <v>1.766957832411999</v>
      </c>
      <c r="X244" s="42">
        <v>988900.0000000001</v>
      </c>
      <c r="Y244" s="36">
        <v>1000.0</v>
      </c>
      <c r="Z244" s="36">
        <v>108340.0</v>
      </c>
      <c r="AA244" s="36"/>
      <c r="AB244" s="36">
        <v>881560.0000000001</v>
      </c>
      <c r="AC244" s="37">
        <v>28437.419354838712</v>
      </c>
      <c r="AD244" s="31"/>
      <c r="AE244" s="11"/>
      <c r="AF244" s="11"/>
    </row>
    <row r="245">
      <c r="A245" s="11" t="s">
        <v>250</v>
      </c>
      <c r="B245" s="39">
        <v>45426.913194444445</v>
      </c>
      <c r="C245" s="40">
        <v>45428.45347222222</v>
      </c>
      <c r="D245" s="27" t="s">
        <v>33</v>
      </c>
      <c r="E245" s="11" t="b">
        <v>0</v>
      </c>
      <c r="F245" s="11" t="s">
        <v>38</v>
      </c>
      <c r="G245" s="11" t="s">
        <v>200</v>
      </c>
      <c r="H245" s="11" t="s">
        <v>265</v>
      </c>
      <c r="I245" s="30">
        <v>5.0</v>
      </c>
      <c r="J245" s="31">
        <v>1.0</v>
      </c>
      <c r="K245" s="11">
        <v>1.0</v>
      </c>
      <c r="L245" s="32">
        <f t="shared" si="68"/>
        <v>1.982105132</v>
      </c>
      <c r="M245" s="32">
        <f t="shared" si="69"/>
        <v>0.06213495713</v>
      </c>
      <c r="N245" s="32">
        <f>(9570)/P245</f>
        <v>0.5946315397</v>
      </c>
      <c r="O245" s="32">
        <v>0.0</v>
      </c>
      <c r="P245" s="33">
        <v>16094.0</v>
      </c>
      <c r="Q245" s="34">
        <v>1.0</v>
      </c>
      <c r="R245" s="42">
        <v>1.9821051323474588</v>
      </c>
      <c r="S245" s="36">
        <v>0.06213495712687958</v>
      </c>
      <c r="T245" s="36">
        <v>0.5946315397042377</v>
      </c>
      <c r="U245" s="36"/>
      <c r="V245" s="36">
        <v>1.4496085497701008</v>
      </c>
      <c r="W245" s="37">
        <v>1.4496085497701008</v>
      </c>
      <c r="X245" s="42">
        <v>31900.0</v>
      </c>
      <c r="Y245" s="36">
        <v>1000.0</v>
      </c>
      <c r="Z245" s="36">
        <v>9570.0</v>
      </c>
      <c r="AA245" s="36"/>
      <c r="AB245" s="36">
        <v>23330.000000000004</v>
      </c>
      <c r="AC245" s="37">
        <v>23330.000000000004</v>
      </c>
      <c r="AD245" s="31"/>
      <c r="AE245" s="11"/>
      <c r="AF245" s="11"/>
    </row>
    <row r="246">
      <c r="A246" s="11" t="s">
        <v>250</v>
      </c>
      <c r="B246" s="39">
        <v>45425.941666666666</v>
      </c>
      <c r="C246" s="40">
        <v>45427.42222222222</v>
      </c>
      <c r="D246" s="27" t="s">
        <v>33</v>
      </c>
      <c r="E246" s="11" t="b">
        <v>0</v>
      </c>
      <c r="F246" s="11" t="s">
        <v>38</v>
      </c>
      <c r="G246" s="11" t="s">
        <v>200</v>
      </c>
      <c r="H246" s="11" t="s">
        <v>266</v>
      </c>
      <c r="I246" s="30">
        <v>5.0</v>
      </c>
      <c r="J246" s="31">
        <v>8.0</v>
      </c>
      <c r="K246" s="11">
        <v>1.0</v>
      </c>
      <c r="L246" s="32">
        <f t="shared" si="68"/>
        <v>1.978417266</v>
      </c>
      <c r="M246" s="32">
        <f t="shared" si="69"/>
        <v>0.06201935004</v>
      </c>
      <c r="N246" s="32">
        <f>(5000 + 15312)/P246</f>
        <v>1.259737038</v>
      </c>
      <c r="O246" s="32">
        <v>0.0</v>
      </c>
      <c r="P246" s="33">
        <v>16124.0</v>
      </c>
      <c r="Q246" s="34">
        <v>8.0</v>
      </c>
      <c r="R246" s="42">
        <v>15.827338129496402</v>
      </c>
      <c r="S246" s="36">
        <v>0.06201935003721161</v>
      </c>
      <c r="T246" s="36">
        <v>1.2597370379558421</v>
      </c>
      <c r="U246" s="36"/>
      <c r="V246" s="36">
        <v>14.62962044157777</v>
      </c>
      <c r="W246" s="37">
        <v>1.8287025551972214</v>
      </c>
      <c r="X246" s="42">
        <v>255200.0</v>
      </c>
      <c r="Y246" s="36">
        <v>1000.0</v>
      </c>
      <c r="Z246" s="36">
        <v>20312.0</v>
      </c>
      <c r="AA246" s="36"/>
      <c r="AB246" s="36">
        <v>235887.99999999997</v>
      </c>
      <c r="AC246" s="37">
        <v>29485.999999999996</v>
      </c>
      <c r="AD246" s="31"/>
      <c r="AE246" s="11"/>
      <c r="AF246" s="11"/>
    </row>
    <row r="247">
      <c r="A247" s="11" t="s">
        <v>250</v>
      </c>
      <c r="B247" s="39">
        <v>45425.89861111111</v>
      </c>
      <c r="C247" s="40">
        <v>45427.42291666667</v>
      </c>
      <c r="D247" s="27" t="s">
        <v>33</v>
      </c>
      <c r="E247" s="11" t="b">
        <v>0</v>
      </c>
      <c r="F247" s="11" t="s">
        <v>38</v>
      </c>
      <c r="G247" s="11" t="s">
        <v>200</v>
      </c>
      <c r="H247" s="11" t="s">
        <v>267</v>
      </c>
      <c r="I247" s="30">
        <v>5.0</v>
      </c>
      <c r="J247" s="31">
        <v>1.0</v>
      </c>
      <c r="K247" s="11">
        <v>1.0</v>
      </c>
      <c r="L247" s="32">
        <f t="shared" si="68"/>
        <v>1.978417266</v>
      </c>
      <c r="M247" s="32">
        <f t="shared" si="69"/>
        <v>0.06201935004</v>
      </c>
      <c r="N247" s="32">
        <f t="shared" ref="N247:N249" si="70">(9570)/P247</f>
        <v>0.5935251799</v>
      </c>
      <c r="O247" s="32">
        <v>0.0</v>
      </c>
      <c r="P247" s="33">
        <v>16124.0</v>
      </c>
      <c r="Q247" s="34">
        <v>1.0</v>
      </c>
      <c r="R247" s="42">
        <v>1.9784172661870503</v>
      </c>
      <c r="S247" s="36">
        <v>0.06201935003721161</v>
      </c>
      <c r="T247" s="36">
        <v>0.5935251798561151</v>
      </c>
      <c r="U247" s="36"/>
      <c r="V247" s="36">
        <v>1.446911436368147</v>
      </c>
      <c r="W247" s="37">
        <v>1.446911436368147</v>
      </c>
      <c r="X247" s="42">
        <v>31900.0</v>
      </c>
      <c r="Y247" s="36">
        <v>1000.0</v>
      </c>
      <c r="Z247" s="36">
        <v>9570.0</v>
      </c>
      <c r="AA247" s="36"/>
      <c r="AB247" s="36">
        <v>23330.000000000004</v>
      </c>
      <c r="AC247" s="37">
        <v>23330.000000000004</v>
      </c>
      <c r="AD247" s="31"/>
      <c r="AE247" s="11"/>
      <c r="AF247" s="11"/>
    </row>
    <row r="248">
      <c r="A248" s="11" t="s">
        <v>250</v>
      </c>
      <c r="B248" s="39">
        <v>45424.978472222225</v>
      </c>
      <c r="C248" s="40">
        <v>45426.52222222222</v>
      </c>
      <c r="D248" s="27" t="s">
        <v>33</v>
      </c>
      <c r="E248" s="11" t="b">
        <v>0</v>
      </c>
      <c r="F248" s="11" t="s">
        <v>38</v>
      </c>
      <c r="G248" s="11" t="s">
        <v>200</v>
      </c>
      <c r="H248" s="11" t="s">
        <v>268</v>
      </c>
      <c r="I248" s="30">
        <v>5.0</v>
      </c>
      <c r="J248" s="31">
        <v>1.0</v>
      </c>
      <c r="K248" s="11">
        <v>1.0</v>
      </c>
      <c r="L248" s="32">
        <f t="shared" si="68"/>
        <v>1.988158305</v>
      </c>
      <c r="M248" s="32">
        <f t="shared" si="69"/>
        <v>0.06232471175</v>
      </c>
      <c r="N248" s="32">
        <f t="shared" si="70"/>
        <v>0.5964474914</v>
      </c>
      <c r="O248" s="32">
        <v>0.0</v>
      </c>
      <c r="P248" s="33">
        <v>16045.0</v>
      </c>
      <c r="Q248" s="34">
        <v>1.0</v>
      </c>
      <c r="R248" s="42">
        <v>1.9881583047678404</v>
      </c>
      <c r="S248" s="36">
        <v>0.06232471174820817</v>
      </c>
      <c r="T248" s="36">
        <v>0.5964474914303521</v>
      </c>
      <c r="U248" s="36"/>
      <c r="V248" s="36">
        <v>1.4540355250856962</v>
      </c>
      <c r="W248" s="37">
        <v>1.4540355250856962</v>
      </c>
      <c r="X248" s="42">
        <v>31900.0</v>
      </c>
      <c r="Y248" s="36">
        <v>1000.0</v>
      </c>
      <c r="Z248" s="36">
        <v>9570.0</v>
      </c>
      <c r="AA248" s="36"/>
      <c r="AB248" s="36">
        <v>23329.999999999996</v>
      </c>
      <c r="AC248" s="37">
        <v>23329.999999999996</v>
      </c>
      <c r="AD248" s="31"/>
      <c r="AE248" s="11"/>
      <c r="AF248" s="11"/>
    </row>
    <row r="249">
      <c r="A249" s="11" t="s">
        <v>250</v>
      </c>
      <c r="B249" s="39">
        <v>45423.5375</v>
      </c>
      <c r="C249" s="40">
        <v>45424.416666666664</v>
      </c>
      <c r="D249" s="27" t="s">
        <v>33</v>
      </c>
      <c r="E249" s="11" t="b">
        <v>0</v>
      </c>
      <c r="F249" s="11" t="s">
        <v>38</v>
      </c>
      <c r="G249" s="11" t="s">
        <v>200</v>
      </c>
      <c r="H249" s="11" t="s">
        <v>269</v>
      </c>
      <c r="I249" s="30">
        <v>5.0</v>
      </c>
      <c r="J249" s="31">
        <v>1.0</v>
      </c>
      <c r="K249" s="11">
        <v>1.0</v>
      </c>
      <c r="L249" s="32">
        <f t="shared" si="68"/>
        <v>1.986919963</v>
      </c>
      <c r="M249" s="32">
        <f t="shared" si="69"/>
        <v>0.06228589225</v>
      </c>
      <c r="N249" s="32">
        <f t="shared" si="70"/>
        <v>0.5960759888</v>
      </c>
      <c r="O249" s="32">
        <v>0.0</v>
      </c>
      <c r="P249" s="33">
        <v>16055.0</v>
      </c>
      <c r="Q249" s="34">
        <v>1.0</v>
      </c>
      <c r="R249" s="42">
        <v>1.9869199626284646</v>
      </c>
      <c r="S249" s="36">
        <v>0.06228589224540641</v>
      </c>
      <c r="T249" s="36">
        <v>0.5960759887885394</v>
      </c>
      <c r="U249" s="36"/>
      <c r="V249" s="36">
        <v>1.4531298660853316</v>
      </c>
      <c r="W249" s="37">
        <v>1.4531298660853316</v>
      </c>
      <c r="X249" s="42">
        <v>31900.0</v>
      </c>
      <c r="Y249" s="36">
        <v>1000.0</v>
      </c>
      <c r="Z249" s="36">
        <v>9570.0</v>
      </c>
      <c r="AA249" s="36"/>
      <c r="AB249" s="36">
        <v>23330.0</v>
      </c>
      <c r="AC249" s="37">
        <v>23330.0</v>
      </c>
      <c r="AD249" s="31"/>
      <c r="AE249" s="11"/>
      <c r="AF249" s="11"/>
    </row>
    <row r="250">
      <c r="A250" s="11" t="s">
        <v>250</v>
      </c>
      <c r="B250" s="39">
        <v>45361.60343336806</v>
      </c>
      <c r="C250" s="40">
        <v>45365.48382252315</v>
      </c>
      <c r="D250" s="27" t="s">
        <v>37</v>
      </c>
      <c r="E250" s="11" t="b">
        <v>0</v>
      </c>
      <c r="F250" s="11" t="s">
        <v>200</v>
      </c>
      <c r="G250" s="11" t="s">
        <v>200</v>
      </c>
      <c r="H250" s="11" t="s">
        <v>200</v>
      </c>
      <c r="I250" s="30">
        <v>5.0</v>
      </c>
      <c r="J250" s="31">
        <v>25.0</v>
      </c>
      <c r="K250" s="11">
        <v>1.0</v>
      </c>
      <c r="L250" s="32">
        <f>(30000)/P250</f>
        <v>1.930377711</v>
      </c>
      <c r="M250" s="32">
        <v>0.0</v>
      </c>
      <c r="N250" s="32">
        <v>0.0</v>
      </c>
      <c r="O250" s="32">
        <v>0.0</v>
      </c>
      <c r="P250" s="33">
        <v>15541.0</v>
      </c>
      <c r="Q250" s="34">
        <v>25.0</v>
      </c>
      <c r="R250" s="42">
        <v>48.25944276430088</v>
      </c>
      <c r="S250" s="36"/>
      <c r="T250" s="36"/>
      <c r="U250" s="36"/>
      <c r="V250" s="36">
        <v>48.25944276430088</v>
      </c>
      <c r="W250" s="37">
        <v>1.9303777105720352</v>
      </c>
      <c r="X250" s="42">
        <v>750000.0</v>
      </c>
      <c r="Y250" s="36"/>
      <c r="Z250" s="36"/>
      <c r="AA250" s="36"/>
      <c r="AB250" s="36">
        <v>750000.0</v>
      </c>
      <c r="AC250" s="37">
        <v>30000.0</v>
      </c>
      <c r="AD250" s="31"/>
      <c r="AE250" s="11"/>
      <c r="AF250" s="11"/>
    </row>
    <row r="251">
      <c r="A251" s="11" t="s">
        <v>270</v>
      </c>
      <c r="B251" s="77">
        <v>45972.10902777778</v>
      </c>
      <c r="C251" s="40">
        <v>45974.68125</v>
      </c>
      <c r="D251" s="27" t="s">
        <v>33</v>
      </c>
      <c r="E251" s="11" t="b">
        <v>0</v>
      </c>
      <c r="F251" s="11" t="s">
        <v>49</v>
      </c>
      <c r="G251" s="11" t="s">
        <v>271</v>
      </c>
      <c r="H251" s="11" t="s">
        <v>272</v>
      </c>
      <c r="I251" s="30">
        <v>5.0</v>
      </c>
      <c r="J251" s="31">
        <v>5.0</v>
      </c>
      <c r="K251" s="11">
        <v>1.0</v>
      </c>
      <c r="L251" s="32">
        <f t="shared" ref="L251:L253" si="71">(29900)/P251</f>
        <v>29900</v>
      </c>
      <c r="M251" s="32">
        <f t="shared" ref="M251:M253" si="72">(3500 + 1000)/P251</f>
        <v>4500</v>
      </c>
      <c r="N251" s="32">
        <f>(29900)/P251</f>
        <v>29900</v>
      </c>
      <c r="O251" s="32">
        <v>0.0</v>
      </c>
      <c r="P251" s="33">
        <v>1.0</v>
      </c>
      <c r="Q251" s="34">
        <v>5.0</v>
      </c>
      <c r="R251" s="42">
        <v>149500.0</v>
      </c>
      <c r="S251" s="36">
        <v>4500.0</v>
      </c>
      <c r="T251" s="36">
        <v>29900.0</v>
      </c>
      <c r="U251" s="36"/>
      <c r="V251" s="36">
        <v>124100.0</v>
      </c>
      <c r="W251" s="37">
        <v>24820.0</v>
      </c>
      <c r="X251" s="42">
        <v>149500.0</v>
      </c>
      <c r="Y251" s="36">
        <v>4500.0</v>
      </c>
      <c r="Z251" s="36">
        <v>29900.0</v>
      </c>
      <c r="AA251" s="36"/>
      <c r="AB251" s="36">
        <v>124100.0</v>
      </c>
      <c r="AC251" s="37">
        <v>24820.0</v>
      </c>
      <c r="AD251" s="31"/>
      <c r="AE251" s="11"/>
      <c r="AF251" s="11"/>
    </row>
    <row r="252">
      <c r="A252" s="11" t="s">
        <v>270</v>
      </c>
      <c r="B252" s="77">
        <v>45972.106944444444</v>
      </c>
      <c r="C252" s="40">
        <v>45975.736805555556</v>
      </c>
      <c r="D252" s="27" t="s">
        <v>33</v>
      </c>
      <c r="E252" s="11" t="b">
        <v>0</v>
      </c>
      <c r="F252" s="11" t="s">
        <v>49</v>
      </c>
      <c r="G252" s="11" t="s">
        <v>271</v>
      </c>
      <c r="H252" s="11" t="s">
        <v>273</v>
      </c>
      <c r="I252" s="30">
        <v>5.0</v>
      </c>
      <c r="J252" s="31">
        <v>2.0</v>
      </c>
      <c r="K252" s="11">
        <v>1.0</v>
      </c>
      <c r="L252" s="32">
        <f t="shared" si="71"/>
        <v>29900</v>
      </c>
      <c r="M252" s="32">
        <f t="shared" si="72"/>
        <v>4500</v>
      </c>
      <c r="N252" s="32">
        <f>(35000)/P252</f>
        <v>35000</v>
      </c>
      <c r="O252" s="32">
        <v>0.0</v>
      </c>
      <c r="P252" s="33">
        <v>1.0</v>
      </c>
      <c r="Q252" s="34">
        <v>2.0</v>
      </c>
      <c r="R252" s="42">
        <v>59800.0</v>
      </c>
      <c r="S252" s="36">
        <v>4500.0</v>
      </c>
      <c r="T252" s="36">
        <v>35000.0</v>
      </c>
      <c r="U252" s="36"/>
      <c r="V252" s="36">
        <v>29300.0</v>
      </c>
      <c r="W252" s="37">
        <v>14650.0</v>
      </c>
      <c r="X252" s="42">
        <v>59800.0</v>
      </c>
      <c r="Y252" s="36">
        <v>4500.0</v>
      </c>
      <c r="Z252" s="36">
        <v>35000.0</v>
      </c>
      <c r="AA252" s="36"/>
      <c r="AB252" s="36">
        <v>29300.0</v>
      </c>
      <c r="AC252" s="37">
        <v>14650.0</v>
      </c>
      <c r="AD252" s="31"/>
      <c r="AE252" s="11"/>
      <c r="AF252" s="11"/>
    </row>
    <row r="253">
      <c r="A253" s="11" t="s">
        <v>270</v>
      </c>
      <c r="B253" s="77">
        <v>45972.10208333333</v>
      </c>
      <c r="C253" s="40">
        <v>45974.52847222222</v>
      </c>
      <c r="D253" s="27" t="s">
        <v>33</v>
      </c>
      <c r="E253" s="11" t="b">
        <v>0</v>
      </c>
      <c r="F253" s="11" t="s">
        <v>49</v>
      </c>
      <c r="G253" s="11" t="s">
        <v>271</v>
      </c>
      <c r="H253" s="11" t="s">
        <v>274</v>
      </c>
      <c r="I253" s="30">
        <v>5.0</v>
      </c>
      <c r="J253" s="31">
        <v>1.0</v>
      </c>
      <c r="K253" s="11">
        <v>1.0</v>
      </c>
      <c r="L253" s="32">
        <f t="shared" si="71"/>
        <v>29900</v>
      </c>
      <c r="M253" s="32">
        <f t="shared" si="72"/>
        <v>4500</v>
      </c>
      <c r="N253" s="32">
        <f>(11000)/P253</f>
        <v>11000</v>
      </c>
      <c r="O253" s="32">
        <v>0.0</v>
      </c>
      <c r="P253" s="33">
        <v>1.0</v>
      </c>
      <c r="Q253" s="34">
        <v>1.0</v>
      </c>
      <c r="R253" s="42">
        <v>29900.0</v>
      </c>
      <c r="S253" s="36">
        <v>4500.0</v>
      </c>
      <c r="T253" s="36">
        <v>11000.0</v>
      </c>
      <c r="U253" s="36"/>
      <c r="V253" s="36">
        <v>23400.0</v>
      </c>
      <c r="W253" s="37">
        <v>23400.0</v>
      </c>
      <c r="X253" s="42">
        <v>29900.0</v>
      </c>
      <c r="Y253" s="36">
        <v>4500.0</v>
      </c>
      <c r="Z253" s="36">
        <v>11000.0</v>
      </c>
      <c r="AA253" s="36"/>
      <c r="AB253" s="36">
        <v>23400.0</v>
      </c>
      <c r="AC253" s="37">
        <v>23400.0</v>
      </c>
      <c r="AD253" s="31"/>
      <c r="AE253" s="11"/>
      <c r="AF253" s="11"/>
    </row>
    <row r="254">
      <c r="A254" s="11" t="s">
        <v>275</v>
      </c>
      <c r="B254" s="77">
        <v>45972.63958333333</v>
      </c>
      <c r="C254" s="40">
        <v>45974.467361111114</v>
      </c>
      <c r="D254" s="27" t="s">
        <v>37</v>
      </c>
      <c r="E254" s="11" t="b">
        <v>0</v>
      </c>
      <c r="F254" s="11" t="s">
        <v>49</v>
      </c>
      <c r="G254" s="11" t="s">
        <v>271</v>
      </c>
      <c r="H254" s="11" t="s">
        <v>276</v>
      </c>
      <c r="I254" s="30">
        <v>5.0</v>
      </c>
      <c r="J254" s="31">
        <v>100.0</v>
      </c>
      <c r="K254" s="11">
        <v>1.0</v>
      </c>
      <c r="L254" s="32">
        <f>(16393)/P254</f>
        <v>16393</v>
      </c>
      <c r="M254" s="32">
        <f t="shared" ref="M254:M255" si="73">(2000)/P254</f>
        <v>2000</v>
      </c>
      <c r="N254" s="32">
        <f>(X254*15% - 300)/P254</f>
        <v>245595</v>
      </c>
      <c r="O254" s="32">
        <f>(2000)/P254</f>
        <v>2000</v>
      </c>
      <c r="P254" s="33">
        <v>1.0</v>
      </c>
      <c r="Q254" s="34">
        <v>100.0</v>
      </c>
      <c r="R254" s="42">
        <v>1639300.0</v>
      </c>
      <c r="S254" s="36">
        <v>2000.0</v>
      </c>
      <c r="T254" s="36">
        <v>245595.0</v>
      </c>
      <c r="U254" s="36">
        <v>2000.0</v>
      </c>
      <c r="V254" s="36">
        <v>1393705.0</v>
      </c>
      <c r="W254" s="37">
        <v>13937.05</v>
      </c>
      <c r="X254" s="42">
        <v>1639300.0</v>
      </c>
      <c r="Y254" s="36">
        <v>2000.0</v>
      </c>
      <c r="Z254" s="36">
        <v>245595.0</v>
      </c>
      <c r="AA254" s="36">
        <v>2000.0</v>
      </c>
      <c r="AB254" s="36">
        <v>1393705.0</v>
      </c>
      <c r="AC254" s="37">
        <v>13937.05</v>
      </c>
      <c r="AD254" s="31"/>
      <c r="AE254" s="11"/>
      <c r="AF254" s="11"/>
    </row>
    <row r="255">
      <c r="A255" s="11" t="s">
        <v>275</v>
      </c>
      <c r="B255" s="39">
        <v>45814.00277777778</v>
      </c>
      <c r="C255" s="40">
        <v>45818.37569444445</v>
      </c>
      <c r="D255" s="27" t="s">
        <v>37</v>
      </c>
      <c r="E255" s="11" t="b">
        <v>0</v>
      </c>
      <c r="F255" s="11" t="s">
        <v>49</v>
      </c>
      <c r="G255" s="11" t="s">
        <v>200</v>
      </c>
      <c r="H255" s="11" t="s">
        <v>277</v>
      </c>
      <c r="I255" s="30">
        <v>5.0</v>
      </c>
      <c r="J255" s="31">
        <v>49.0</v>
      </c>
      <c r="K255" s="11">
        <v>1.0</v>
      </c>
      <c r="L255" s="32">
        <f t="shared" ref="L255:L256" si="74">(16900)/P255</f>
        <v>1.034841712</v>
      </c>
      <c r="M255" s="32">
        <f t="shared" si="73"/>
        <v>0.1224664748</v>
      </c>
      <c r="N255" s="32">
        <f>(99372)/P255</f>
        <v>6.084869267</v>
      </c>
      <c r="O255" s="32">
        <v>0.0</v>
      </c>
      <c r="P255" s="33">
        <v>16331.0</v>
      </c>
      <c r="Q255" s="34">
        <v>49.0</v>
      </c>
      <c r="R255" s="42">
        <v>50.707243891984575</v>
      </c>
      <c r="S255" s="36">
        <v>0.1224664748025228</v>
      </c>
      <c r="T255" s="36">
        <v>6.084869267038148</v>
      </c>
      <c r="U255" s="36"/>
      <c r="V255" s="36">
        <v>44.744841099748946</v>
      </c>
      <c r="W255" s="37">
        <v>0.9131600224438561</v>
      </c>
      <c r="X255" s="42">
        <v>828100.0000000001</v>
      </c>
      <c r="Y255" s="36">
        <v>2000.0</v>
      </c>
      <c r="Z255" s="36">
        <v>99372.0</v>
      </c>
      <c r="AA255" s="36"/>
      <c r="AB255" s="36">
        <v>730728.0</v>
      </c>
      <c r="AC255" s="37">
        <v>14912.816326530612</v>
      </c>
      <c r="AD255" s="31"/>
      <c r="AE255" s="11"/>
      <c r="AF255" s="11"/>
    </row>
    <row r="256">
      <c r="A256" s="11" t="s">
        <v>275</v>
      </c>
      <c r="B256" s="39">
        <v>45814.00069444445</v>
      </c>
      <c r="C256" s="40">
        <v>45817.65277777778</v>
      </c>
      <c r="D256" s="27" t="s">
        <v>37</v>
      </c>
      <c r="E256" s="11" t="b">
        <v>0</v>
      </c>
      <c r="F256" s="11" t="s">
        <v>49</v>
      </c>
      <c r="G256" s="11" t="s">
        <v>200</v>
      </c>
      <c r="H256" s="11" t="s">
        <v>278</v>
      </c>
      <c r="I256" s="30">
        <v>5.0</v>
      </c>
      <c r="J256" s="31">
        <v>1.0</v>
      </c>
      <c r="K256" s="11">
        <v>1.0</v>
      </c>
      <c r="L256" s="32">
        <f t="shared" si="74"/>
        <v>1.034841712</v>
      </c>
      <c r="M256" s="32">
        <f>(1900)/P256</f>
        <v>0.1163431511</v>
      </c>
      <c r="N256" s="32">
        <f>(5000)/P256</f>
        <v>0.306166187</v>
      </c>
      <c r="O256" s="32">
        <v>0.0</v>
      </c>
      <c r="P256" s="33">
        <v>16331.0</v>
      </c>
      <c r="Q256" s="34">
        <v>1.0</v>
      </c>
      <c r="R256" s="42">
        <v>1.0348417120813178</v>
      </c>
      <c r="S256" s="36">
        <v>0.11634315106239666</v>
      </c>
      <c r="T256" s="36">
        <v>0.30616618700630704</v>
      </c>
      <c r="U256" s="36"/>
      <c r="V256" s="36">
        <v>0.8450186761374074</v>
      </c>
      <c r="W256" s="37">
        <v>0.8450186761374074</v>
      </c>
      <c r="X256" s="42">
        <v>16900.0</v>
      </c>
      <c r="Y256" s="36">
        <v>1900.0</v>
      </c>
      <c r="Z256" s="36">
        <v>5000.0</v>
      </c>
      <c r="AA256" s="36"/>
      <c r="AB256" s="36">
        <v>13800.000000000002</v>
      </c>
      <c r="AC256" s="37">
        <v>13800.000000000002</v>
      </c>
      <c r="AD256" s="31"/>
      <c r="AE256" s="11"/>
      <c r="AF256" s="11"/>
    </row>
    <row r="257">
      <c r="A257" s="11" t="s">
        <v>275</v>
      </c>
      <c r="B257" s="39">
        <v>45638.00763888889</v>
      </c>
      <c r="C257" s="40">
        <v>45642.61666666667</v>
      </c>
      <c r="D257" s="27" t="s">
        <v>33</v>
      </c>
      <c r="E257" s="11" t="b">
        <v>0</v>
      </c>
      <c r="F257" s="11" t="s">
        <v>49</v>
      </c>
      <c r="G257" s="11" t="s">
        <v>279</v>
      </c>
      <c r="H257" s="11" t="s">
        <v>280</v>
      </c>
      <c r="I257" s="30">
        <v>5.0</v>
      </c>
      <c r="J257" s="31">
        <v>100.0</v>
      </c>
      <c r="K257" s="11">
        <v>1.0</v>
      </c>
      <c r="L257" s="32">
        <f>(16300)/P257</f>
        <v>1.021303258</v>
      </c>
      <c r="M257" s="32">
        <f>(613/2)/P257</f>
        <v>0.01920426065</v>
      </c>
      <c r="N257" s="32">
        <f>(X257*20%)/P257</f>
        <v>20.42606516</v>
      </c>
      <c r="O257" s="32">
        <v>0.0</v>
      </c>
      <c r="P257" s="33">
        <v>15960.0</v>
      </c>
      <c r="Q257" s="34">
        <v>100.0</v>
      </c>
      <c r="R257" s="42">
        <v>102.13032581453633</v>
      </c>
      <c r="S257" s="36">
        <v>0.019204260651629074</v>
      </c>
      <c r="T257" s="36">
        <v>20.426065162907268</v>
      </c>
      <c r="U257" s="36"/>
      <c r="V257" s="36">
        <v>81.7234649122807</v>
      </c>
      <c r="W257" s="37">
        <v>0.8172346491228071</v>
      </c>
      <c r="X257" s="42">
        <v>1630000.0</v>
      </c>
      <c r="Y257" s="36">
        <v>306.5</v>
      </c>
      <c r="Z257" s="36">
        <v>326000.0</v>
      </c>
      <c r="AA257" s="36"/>
      <c r="AB257" s="36">
        <v>1304306.5</v>
      </c>
      <c r="AC257" s="37">
        <v>13043.065</v>
      </c>
      <c r="AD257" s="31"/>
      <c r="AE257" s="11"/>
      <c r="AF257" s="11"/>
    </row>
    <row r="258">
      <c r="A258" s="11" t="s">
        <v>275</v>
      </c>
      <c r="B258" s="39">
        <v>45417.81736111111</v>
      </c>
      <c r="C258" s="40">
        <v>45422.52847222222</v>
      </c>
      <c r="D258" s="27" t="s">
        <v>37</v>
      </c>
      <c r="E258" s="11" t="b">
        <v>0</v>
      </c>
      <c r="F258" s="11" t="s">
        <v>49</v>
      </c>
      <c r="G258" s="11" t="s">
        <v>281</v>
      </c>
      <c r="H258" s="11" t="s">
        <v>281</v>
      </c>
      <c r="I258" s="30">
        <v>5.0</v>
      </c>
      <c r="J258" s="31">
        <v>30.0</v>
      </c>
      <c r="K258" s="11">
        <v>1.0</v>
      </c>
      <c r="L258" s="32">
        <f>(16800)/P258</f>
        <v>1.052038324</v>
      </c>
      <c r="M258" s="32">
        <f>(503)/P258</f>
        <v>0.0314985284</v>
      </c>
      <c r="N258" s="32">
        <f>(50300)/P258</f>
        <v>3.14985284</v>
      </c>
      <c r="O258" s="32">
        <v>0.0</v>
      </c>
      <c r="P258" s="33">
        <v>15969.0</v>
      </c>
      <c r="Q258" s="34">
        <v>30.0</v>
      </c>
      <c r="R258" s="42">
        <v>31.561149727597222</v>
      </c>
      <c r="S258" s="36">
        <v>0.031498528398772624</v>
      </c>
      <c r="T258" s="36">
        <v>3.149852839877262</v>
      </c>
      <c r="U258" s="36"/>
      <c r="V258" s="36">
        <v>28.44279541611873</v>
      </c>
      <c r="W258" s="37">
        <v>0.9480931805372911</v>
      </c>
      <c r="X258" s="42">
        <v>504000.00000000006</v>
      </c>
      <c r="Y258" s="36">
        <v>503.00000000000006</v>
      </c>
      <c r="Z258" s="36">
        <v>50300.0</v>
      </c>
      <c r="AA258" s="36"/>
      <c r="AB258" s="36">
        <v>454203.0</v>
      </c>
      <c r="AC258" s="37">
        <v>15140.1</v>
      </c>
      <c r="AD258" s="31"/>
      <c r="AE258" s="11"/>
      <c r="AF258" s="11"/>
    </row>
    <row r="259">
      <c r="A259" s="11" t="s">
        <v>275</v>
      </c>
      <c r="B259" s="39">
        <v>45390.48611111111</v>
      </c>
      <c r="C259" s="40">
        <v>45392.68530092593</v>
      </c>
      <c r="D259" s="27" t="s">
        <v>37</v>
      </c>
      <c r="E259" s="11" t="b">
        <v>0</v>
      </c>
      <c r="F259" s="11" t="s">
        <v>200</v>
      </c>
      <c r="G259" s="11" t="s">
        <v>200</v>
      </c>
      <c r="H259" s="11" t="s">
        <v>200</v>
      </c>
      <c r="I259" s="30">
        <v>5.0</v>
      </c>
      <c r="J259" s="31">
        <v>25.0</v>
      </c>
      <c r="K259" s="11">
        <v>1.0</v>
      </c>
      <c r="L259" s="32">
        <f t="shared" ref="L259:L261" si="75">(15000)/P259</f>
        <v>0.9426255263</v>
      </c>
      <c r="M259" s="32">
        <v>0.0</v>
      </c>
      <c r="N259" s="32">
        <v>0.0</v>
      </c>
      <c r="O259" s="32">
        <v>0.0</v>
      </c>
      <c r="P259" s="33">
        <v>15913.0</v>
      </c>
      <c r="Q259" s="34">
        <v>25.0</v>
      </c>
      <c r="R259" s="42">
        <v>23.565638157481306</v>
      </c>
      <c r="S259" s="36"/>
      <c r="T259" s="36"/>
      <c r="U259" s="36"/>
      <c r="V259" s="36">
        <v>23.565638157481306</v>
      </c>
      <c r="W259" s="37">
        <v>0.9426255262992522</v>
      </c>
      <c r="X259" s="42">
        <v>375000.0</v>
      </c>
      <c r="Y259" s="36"/>
      <c r="Z259" s="36"/>
      <c r="AA259" s="36"/>
      <c r="AB259" s="36">
        <v>375000.0</v>
      </c>
      <c r="AC259" s="37">
        <v>15000.0</v>
      </c>
      <c r="AD259" s="31"/>
      <c r="AE259" s="11"/>
      <c r="AF259" s="11"/>
    </row>
    <row r="260">
      <c r="A260" s="11" t="s">
        <v>275</v>
      </c>
      <c r="B260" s="39">
        <v>45367.59097222222</v>
      </c>
      <c r="C260" s="40">
        <v>45368.67162809028</v>
      </c>
      <c r="D260" s="27" t="s">
        <v>33</v>
      </c>
      <c r="E260" s="11" t="b">
        <v>0</v>
      </c>
      <c r="F260" s="11" t="s">
        <v>200</v>
      </c>
      <c r="G260" s="11" t="s">
        <v>200</v>
      </c>
      <c r="H260" s="11" t="s">
        <v>200</v>
      </c>
      <c r="I260" s="30">
        <v>5.0</v>
      </c>
      <c r="J260" s="31">
        <v>25.0</v>
      </c>
      <c r="K260" s="11">
        <v>1.0</v>
      </c>
      <c r="L260" s="32">
        <f t="shared" si="75"/>
        <v>0.9589566552</v>
      </c>
      <c r="M260" s="32">
        <v>0.0</v>
      </c>
      <c r="N260" s="32">
        <v>0.0</v>
      </c>
      <c r="O260" s="32">
        <v>0.0</v>
      </c>
      <c r="P260" s="33">
        <v>15642.0</v>
      </c>
      <c r="Q260" s="34">
        <v>25.0</v>
      </c>
      <c r="R260" s="42">
        <v>23.97391637897967</v>
      </c>
      <c r="S260" s="36"/>
      <c r="T260" s="36"/>
      <c r="U260" s="36"/>
      <c r="V260" s="36">
        <v>23.97391637897967</v>
      </c>
      <c r="W260" s="37">
        <v>0.9589566551591868</v>
      </c>
      <c r="X260" s="42">
        <v>375000.0</v>
      </c>
      <c r="Y260" s="36"/>
      <c r="Z260" s="36"/>
      <c r="AA260" s="36"/>
      <c r="AB260" s="36">
        <v>375000.0</v>
      </c>
      <c r="AC260" s="37">
        <v>15000.0</v>
      </c>
      <c r="AD260" s="31"/>
      <c r="AE260" s="11"/>
      <c r="AF260" s="11"/>
    </row>
    <row r="261">
      <c r="A261" s="11" t="s">
        <v>275</v>
      </c>
      <c r="B261" s="39">
        <v>45361.60343336806</v>
      </c>
      <c r="C261" s="40">
        <v>45365.48381252315</v>
      </c>
      <c r="D261" s="27" t="s">
        <v>37</v>
      </c>
      <c r="E261" s="11" t="b">
        <v>0</v>
      </c>
      <c r="F261" s="11" t="s">
        <v>200</v>
      </c>
      <c r="G261" s="11" t="s">
        <v>200</v>
      </c>
      <c r="H261" s="11" t="s">
        <v>200</v>
      </c>
      <c r="I261" s="30">
        <v>5.0</v>
      </c>
      <c r="J261" s="31">
        <v>25.0</v>
      </c>
      <c r="K261" s="11">
        <v>1.0</v>
      </c>
      <c r="L261" s="32">
        <f t="shared" si="75"/>
        <v>0.9651888553</v>
      </c>
      <c r="M261" s="32">
        <v>0.0</v>
      </c>
      <c r="N261" s="32">
        <v>0.0</v>
      </c>
      <c r="O261" s="32">
        <v>0.0</v>
      </c>
      <c r="P261" s="33">
        <v>15541.0</v>
      </c>
      <c r="Q261" s="34">
        <v>25.0</v>
      </c>
      <c r="R261" s="42">
        <v>24.12972138215044</v>
      </c>
      <c r="S261" s="36"/>
      <c r="T261" s="36"/>
      <c r="U261" s="36"/>
      <c r="V261" s="36">
        <v>24.12972138215044</v>
      </c>
      <c r="W261" s="37">
        <v>0.9651888552860176</v>
      </c>
      <c r="X261" s="42">
        <v>375000.0</v>
      </c>
      <c r="Y261" s="36"/>
      <c r="Z261" s="36"/>
      <c r="AA261" s="36"/>
      <c r="AB261" s="36">
        <v>375000.0</v>
      </c>
      <c r="AC261" s="37">
        <v>15000.0</v>
      </c>
      <c r="AD261" s="31"/>
      <c r="AE261" s="11"/>
      <c r="AF261" s="11"/>
    </row>
    <row r="262">
      <c r="A262" s="28" t="s">
        <v>282</v>
      </c>
      <c r="B262" s="39">
        <v>43527.0</v>
      </c>
      <c r="C262" s="40">
        <v>43527.0</v>
      </c>
      <c r="D262" s="27" t="s">
        <v>56</v>
      </c>
      <c r="E262" s="11" t="b">
        <v>0</v>
      </c>
      <c r="F262" s="11" t="s">
        <v>38</v>
      </c>
      <c r="G262" s="61"/>
      <c r="H262" s="46" t="s">
        <v>283</v>
      </c>
      <c r="I262" s="33"/>
      <c r="J262" s="31">
        <v>1.0</v>
      </c>
      <c r="K262" s="11">
        <v>1.0</v>
      </c>
      <c r="L262" s="32">
        <v>67.0</v>
      </c>
      <c r="M262" s="32"/>
      <c r="N262" s="32"/>
      <c r="O262" s="32"/>
      <c r="P262" s="33">
        <v>10000.0</v>
      </c>
      <c r="Q262" s="34">
        <v>1.0</v>
      </c>
      <c r="R262" s="42">
        <v>67.0</v>
      </c>
      <c r="S262" s="36"/>
      <c r="T262" s="36"/>
      <c r="U262" s="36"/>
      <c r="V262" s="36">
        <v>67.0</v>
      </c>
      <c r="W262" s="37">
        <v>67.0</v>
      </c>
      <c r="X262" s="42">
        <v>670000.0</v>
      </c>
      <c r="Y262" s="36"/>
      <c r="Z262" s="36"/>
      <c r="AA262" s="36"/>
      <c r="AB262" s="36">
        <v>670000.0</v>
      </c>
      <c r="AC262" s="37">
        <v>670000.0</v>
      </c>
      <c r="AD262" s="31"/>
      <c r="AE262" s="11"/>
      <c r="AF262" s="11"/>
    </row>
    <row r="263">
      <c r="A263" s="11" t="s">
        <v>284</v>
      </c>
      <c r="B263" s="77">
        <v>46003.02013888889</v>
      </c>
      <c r="C263" s="40">
        <v>46004.799305555556</v>
      </c>
      <c r="D263" s="27" t="s">
        <v>33</v>
      </c>
      <c r="E263" s="11" t="b">
        <v>0</v>
      </c>
      <c r="F263" s="11" t="s">
        <v>49</v>
      </c>
      <c r="G263" s="11" t="s">
        <v>285</v>
      </c>
      <c r="H263" s="11" t="s">
        <v>286</v>
      </c>
      <c r="I263" s="30">
        <v>5.0</v>
      </c>
      <c r="J263" s="31">
        <v>100.0</v>
      </c>
      <c r="K263" s="11">
        <v>1.0</v>
      </c>
      <c r="L263" s="32">
        <f>(6199)/P263</f>
        <v>6199</v>
      </c>
      <c r="M263" s="32">
        <f>(1473)/P263</f>
        <v>1473</v>
      </c>
      <c r="N263" s="32">
        <f>(X263*20%)/P263</f>
        <v>123980</v>
      </c>
      <c r="O263" s="32">
        <v>0.0</v>
      </c>
      <c r="P263" s="33">
        <v>1.0</v>
      </c>
      <c r="Q263" s="34">
        <v>100.0</v>
      </c>
      <c r="R263" s="42">
        <v>619900.0</v>
      </c>
      <c r="S263" s="36">
        <v>1473.0</v>
      </c>
      <c r="T263" s="36">
        <v>123980.0</v>
      </c>
      <c r="U263" s="36"/>
      <c r="V263" s="36">
        <v>497393.0</v>
      </c>
      <c r="W263" s="37">
        <v>4973.93</v>
      </c>
      <c r="X263" s="42">
        <v>619900.0</v>
      </c>
      <c r="Y263" s="36">
        <v>1473.0</v>
      </c>
      <c r="Z263" s="36">
        <v>123980.0</v>
      </c>
      <c r="AA263" s="36"/>
      <c r="AB263" s="36">
        <v>497393.0</v>
      </c>
      <c r="AC263" s="37">
        <v>4973.93</v>
      </c>
      <c r="AD263" s="31"/>
      <c r="AE263" s="11"/>
      <c r="AF263" s="11"/>
    </row>
    <row r="264">
      <c r="A264" s="11" t="s">
        <v>284</v>
      </c>
      <c r="B264" s="77">
        <v>46002.67569444444</v>
      </c>
      <c r="C264" s="40">
        <v>46005.43541666667</v>
      </c>
      <c r="D264" s="27" t="s">
        <v>37</v>
      </c>
      <c r="E264" s="11" t="b">
        <v>0</v>
      </c>
      <c r="F264" s="11" t="s">
        <v>49</v>
      </c>
      <c r="G264" s="11" t="s">
        <v>287</v>
      </c>
      <c r="H264" s="11" t="s">
        <v>288</v>
      </c>
      <c r="I264" s="30">
        <v>5.0</v>
      </c>
      <c r="J264" s="31">
        <v>86.0</v>
      </c>
      <c r="K264" s="11">
        <v>1.0</v>
      </c>
      <c r="L264" s="32">
        <f t="shared" ref="L264:L266" si="76">(6198)/P264</f>
        <v>6198</v>
      </c>
      <c r="M264" s="32">
        <f>(1602)/P264</f>
        <v>1602</v>
      </c>
      <c r="N264" s="32">
        <f>ROUNDDOWN((X264*15%)/P264,0)</f>
        <v>79954</v>
      </c>
      <c r="O264" s="32">
        <v>0.0</v>
      </c>
      <c r="P264" s="33">
        <v>1.0</v>
      </c>
      <c r="Q264" s="34">
        <v>86.0</v>
      </c>
      <c r="R264" s="42">
        <v>533028.0</v>
      </c>
      <c r="S264" s="36">
        <v>1602.0</v>
      </c>
      <c r="T264" s="36">
        <v>79954.0</v>
      </c>
      <c r="U264" s="36"/>
      <c r="V264" s="36">
        <v>454676.0</v>
      </c>
      <c r="W264" s="37">
        <v>5286.930232558139</v>
      </c>
      <c r="X264" s="42">
        <v>533028.0</v>
      </c>
      <c r="Y264" s="36">
        <v>1602.0</v>
      </c>
      <c r="Z264" s="36">
        <v>79954.0</v>
      </c>
      <c r="AA264" s="36"/>
      <c r="AB264" s="36">
        <v>454676.0</v>
      </c>
      <c r="AC264" s="37">
        <v>5286.930232558139</v>
      </c>
      <c r="AD264" s="31"/>
      <c r="AE264" s="11"/>
      <c r="AF264" s="11"/>
    </row>
    <row r="265">
      <c r="A265" s="11" t="s">
        <v>284</v>
      </c>
      <c r="B265" s="39">
        <v>45955.01597222222</v>
      </c>
      <c r="C265" s="40">
        <v>45957.69097222222</v>
      </c>
      <c r="D265" s="27" t="s">
        <v>37</v>
      </c>
      <c r="E265" s="11" t="b">
        <v>0</v>
      </c>
      <c r="F265" s="11" t="s">
        <v>49</v>
      </c>
      <c r="G265" s="11" t="s">
        <v>287</v>
      </c>
      <c r="H265" s="11" t="s">
        <v>289</v>
      </c>
      <c r="I265" s="30">
        <v>5.0</v>
      </c>
      <c r="J265" s="31">
        <v>40.0</v>
      </c>
      <c r="K265" s="11">
        <v>1.0</v>
      </c>
      <c r="L265" s="32">
        <f t="shared" si="76"/>
        <v>0.3729241877</v>
      </c>
      <c r="M265" s="32">
        <f>(486/2)/P265</f>
        <v>0.01462093863</v>
      </c>
      <c r="N265" s="32">
        <f t="shared" ref="N265:N266" si="77">(X265*15%)/P265</f>
        <v>2.237545126</v>
      </c>
      <c r="O265" s="32">
        <v>0.0</v>
      </c>
      <c r="P265" s="33">
        <v>16620.0</v>
      </c>
      <c r="Q265" s="34">
        <v>40.0</v>
      </c>
      <c r="R265" s="42">
        <v>14.916967509025271</v>
      </c>
      <c r="S265" s="36">
        <v>0.014620938628158844</v>
      </c>
      <c r="T265" s="36">
        <v>2.2375451263537904</v>
      </c>
      <c r="U265" s="36"/>
      <c r="V265" s="36">
        <v>12.69404332129964</v>
      </c>
      <c r="W265" s="37">
        <v>0.317351083032491</v>
      </c>
      <c r="X265" s="42">
        <v>247920.0</v>
      </c>
      <c r="Y265" s="36">
        <v>243.0</v>
      </c>
      <c r="Z265" s="36">
        <v>37188.0</v>
      </c>
      <c r="AA265" s="36"/>
      <c r="AB265" s="36">
        <v>210975.00000000003</v>
      </c>
      <c r="AC265" s="37">
        <v>5274.375000000001</v>
      </c>
      <c r="AD265" s="31"/>
      <c r="AE265" s="11"/>
      <c r="AF265" s="11"/>
    </row>
    <row r="266">
      <c r="A266" s="11" t="s">
        <v>284</v>
      </c>
      <c r="B266" s="39">
        <v>45940.74930555555</v>
      </c>
      <c r="C266" s="40">
        <v>45942.525</v>
      </c>
      <c r="D266" s="27" t="s">
        <v>33</v>
      </c>
      <c r="E266" s="11" t="b">
        <v>0</v>
      </c>
      <c r="F266" s="11" t="s">
        <v>49</v>
      </c>
      <c r="G266" s="11" t="s">
        <v>287</v>
      </c>
      <c r="H266" s="11" t="s">
        <v>290</v>
      </c>
      <c r="I266" s="30">
        <v>5.0</v>
      </c>
      <c r="J266" s="31">
        <v>50.0</v>
      </c>
      <c r="K266" s="11">
        <v>1.0</v>
      </c>
      <c r="L266" s="32">
        <f t="shared" si="76"/>
        <v>0.3738238842</v>
      </c>
      <c r="M266" s="32">
        <f>(2000/3)/P266</f>
        <v>0.04020908725</v>
      </c>
      <c r="N266" s="32">
        <f t="shared" si="77"/>
        <v>2.803679131</v>
      </c>
      <c r="O266" s="32">
        <v>0.0</v>
      </c>
      <c r="P266" s="33">
        <v>16580.0</v>
      </c>
      <c r="Q266" s="34">
        <v>50.0</v>
      </c>
      <c r="R266" s="42">
        <v>18.691194209891435</v>
      </c>
      <c r="S266" s="36">
        <v>0.04020908725371934</v>
      </c>
      <c r="T266" s="36">
        <v>2.8036791314837153</v>
      </c>
      <c r="U266" s="36"/>
      <c r="V266" s="36">
        <v>15.927724165661438</v>
      </c>
      <c r="W266" s="37">
        <v>0.3185544833132288</v>
      </c>
      <c r="X266" s="42">
        <v>309900.0</v>
      </c>
      <c r="Y266" s="36">
        <v>666.6666666666666</v>
      </c>
      <c r="Z266" s="36">
        <v>46485.0</v>
      </c>
      <c r="AA266" s="36"/>
      <c r="AB266" s="36">
        <v>264081.6666666666</v>
      </c>
      <c r="AC266" s="37">
        <v>5281.633333333332</v>
      </c>
      <c r="AD266" s="31"/>
      <c r="AE266" s="11"/>
      <c r="AF266" s="11"/>
    </row>
    <row r="267">
      <c r="A267" s="11" t="s">
        <v>284</v>
      </c>
      <c r="B267" s="39">
        <v>45500.934868310185</v>
      </c>
      <c r="C267" s="40">
        <v>45503.74791666667</v>
      </c>
      <c r="D267" s="27" t="s">
        <v>33</v>
      </c>
      <c r="E267" s="11" t="b">
        <v>0</v>
      </c>
      <c r="F267" s="11" t="s">
        <v>38</v>
      </c>
      <c r="G267" s="11" t="s">
        <v>200</v>
      </c>
      <c r="H267" s="11" t="s">
        <v>291</v>
      </c>
      <c r="I267" s="30">
        <v>5.0</v>
      </c>
      <c r="J267" s="31">
        <v>164.0</v>
      </c>
      <c r="K267" s="11">
        <v>1.0</v>
      </c>
      <c r="L267" s="32">
        <f t="shared" ref="L267:L268" si="78">(6100)/P267</f>
        <v>0.374141315</v>
      </c>
      <c r="M267" s="32">
        <f>(6200 + 1000)/P267</f>
        <v>0.441609421</v>
      </c>
      <c r="N267" s="32">
        <f>(100000 + 5000)/P267</f>
        <v>6.44013739</v>
      </c>
      <c r="O267" s="32">
        <v>0.0</v>
      </c>
      <c r="P267" s="33">
        <v>16304.0</v>
      </c>
      <c r="Q267" s="34">
        <v>164.0</v>
      </c>
      <c r="R267" s="42">
        <v>61.35917566241413</v>
      </c>
      <c r="S267" s="36">
        <v>0.44160942100098133</v>
      </c>
      <c r="T267" s="36">
        <v>6.440137389597645</v>
      </c>
      <c r="U267" s="36"/>
      <c r="V267" s="36">
        <v>55.36064769381747</v>
      </c>
      <c r="W267" s="37">
        <v>0.3375649249623016</v>
      </c>
      <c r="X267" s="42">
        <v>1000400.0</v>
      </c>
      <c r="Y267" s="36">
        <v>7200.0</v>
      </c>
      <c r="Z267" s="36">
        <v>105000.0</v>
      </c>
      <c r="AA267" s="36"/>
      <c r="AB267" s="36">
        <v>902600.0</v>
      </c>
      <c r="AC267" s="37">
        <v>5503.658536585366</v>
      </c>
      <c r="AD267" s="31"/>
      <c r="AE267" s="11"/>
      <c r="AF267" s="11"/>
    </row>
    <row r="268">
      <c r="A268" s="11" t="s">
        <v>284</v>
      </c>
      <c r="B268" s="39">
        <v>45492.964583333334</v>
      </c>
      <c r="C268" s="40">
        <v>45495.42638888889</v>
      </c>
      <c r="D268" s="27" t="s">
        <v>37</v>
      </c>
      <c r="E268" s="11" t="b">
        <v>0</v>
      </c>
      <c r="F268" s="11" t="s">
        <v>38</v>
      </c>
      <c r="G268" s="11" t="s">
        <v>200</v>
      </c>
      <c r="H268" s="11" t="s">
        <v>292</v>
      </c>
      <c r="I268" s="30">
        <v>5.0</v>
      </c>
      <c r="J268" s="31">
        <v>84.0</v>
      </c>
      <c r="K268" s="11">
        <v>1.0</v>
      </c>
      <c r="L268" s="32">
        <f t="shared" si="78"/>
        <v>0.3762412879</v>
      </c>
      <c r="M268" s="32">
        <f>(3200 + 1000)/P268</f>
        <v>0.2590513785</v>
      </c>
      <c r="N268" s="32">
        <f>(51240)/P268</f>
        <v>3.160426818</v>
      </c>
      <c r="O268" s="32">
        <v>0.0</v>
      </c>
      <c r="P268" s="33">
        <v>16213.0</v>
      </c>
      <c r="Q268" s="34">
        <v>84.0</v>
      </c>
      <c r="R268" s="42">
        <v>31.604268179855673</v>
      </c>
      <c r="S268" s="36">
        <v>0.25905137852340715</v>
      </c>
      <c r="T268" s="36">
        <v>3.160426817985567</v>
      </c>
      <c r="U268" s="36"/>
      <c r="V268" s="36">
        <v>28.702892740393512</v>
      </c>
      <c r="W268" s="37">
        <v>0.3417011040523037</v>
      </c>
      <c r="X268" s="42">
        <v>512400.0</v>
      </c>
      <c r="Y268" s="36">
        <v>4200.0</v>
      </c>
      <c r="Z268" s="36">
        <v>51240.0</v>
      </c>
      <c r="AA268" s="36"/>
      <c r="AB268" s="36">
        <v>465360.0</v>
      </c>
      <c r="AC268" s="37">
        <v>5540.0</v>
      </c>
      <c r="AD268" s="31"/>
      <c r="AE268" s="11"/>
      <c r="AF268" s="11"/>
    </row>
    <row r="269">
      <c r="A269" s="11" t="s">
        <v>284</v>
      </c>
      <c r="B269" s="39">
        <v>45490.739583333336</v>
      </c>
      <c r="C269" s="40">
        <v>45494.45625</v>
      </c>
      <c r="D269" s="27" t="s">
        <v>37</v>
      </c>
      <c r="E269" s="11" t="b">
        <v>0</v>
      </c>
      <c r="F269" s="11" t="s">
        <v>49</v>
      </c>
      <c r="G269" s="11" t="s">
        <v>293</v>
      </c>
      <c r="H269" s="11" t="s">
        <v>294</v>
      </c>
      <c r="I269" s="30">
        <v>5.0</v>
      </c>
      <c r="J269" s="31">
        <v>26.0</v>
      </c>
      <c r="K269" s="11">
        <v>1.0</v>
      </c>
      <c r="L269" s="32">
        <f>(6000)/P269</f>
        <v>0.3713790542</v>
      </c>
      <c r="M269" s="32">
        <f>(1000)/P269</f>
        <v>0.06189650904</v>
      </c>
      <c r="N269" s="32">
        <f>(3120)/P269</f>
        <v>0.1931171082</v>
      </c>
      <c r="O269" s="32">
        <v>0.0</v>
      </c>
      <c r="P269" s="33">
        <v>16156.0</v>
      </c>
      <c r="Q269" s="34">
        <v>26.0</v>
      </c>
      <c r="R269" s="42">
        <v>9.65585540975489</v>
      </c>
      <c r="S269" s="36">
        <v>0.06189650903689032</v>
      </c>
      <c r="T269" s="36">
        <v>0.1931171081950978</v>
      </c>
      <c r="U269" s="36"/>
      <c r="V269" s="36">
        <v>9.524634810596682</v>
      </c>
      <c r="W269" s="37">
        <v>0.3663321080998724</v>
      </c>
      <c r="X269" s="42">
        <v>156000.0</v>
      </c>
      <c r="Y269" s="36">
        <v>1000.0</v>
      </c>
      <c r="Z269" s="36">
        <v>3120.0</v>
      </c>
      <c r="AA269" s="36"/>
      <c r="AB269" s="36">
        <v>153880.0</v>
      </c>
      <c r="AC269" s="37">
        <v>5918.461538461538</v>
      </c>
      <c r="AD269" s="31"/>
      <c r="AE269" s="11"/>
      <c r="AF269" s="11"/>
    </row>
    <row r="270">
      <c r="A270" s="11" t="s">
        <v>284</v>
      </c>
      <c r="B270" s="39">
        <v>45489.481944444444</v>
      </c>
      <c r="C270" s="40">
        <v>45491.68955253472</v>
      </c>
      <c r="D270" s="27" t="s">
        <v>33</v>
      </c>
      <c r="E270" s="11" t="b">
        <v>0</v>
      </c>
      <c r="F270" s="11" t="s">
        <v>38</v>
      </c>
      <c r="G270" s="11" t="s">
        <v>200</v>
      </c>
      <c r="H270" s="11" t="s">
        <v>295</v>
      </c>
      <c r="I270" s="30">
        <v>5.0</v>
      </c>
      <c r="J270" s="31">
        <v>20.0</v>
      </c>
      <c r="K270" s="11">
        <v>1.0</v>
      </c>
      <c r="L270" s="32">
        <f>(6100)/P270</f>
        <v>0.3763573544</v>
      </c>
      <c r="M270" s="32">
        <f>(900)/P270</f>
        <v>0.05552813425</v>
      </c>
      <c r="N270" s="32">
        <f>(48800)/P270</f>
        <v>3.010858835</v>
      </c>
      <c r="O270" s="32">
        <v>0.0</v>
      </c>
      <c r="P270" s="33">
        <v>16208.0</v>
      </c>
      <c r="Q270" s="34">
        <v>20.0</v>
      </c>
      <c r="R270" s="42">
        <v>7.527147087857848</v>
      </c>
      <c r="S270" s="36">
        <v>0.05552813425468904</v>
      </c>
      <c r="T270" s="36">
        <v>3.0108588351431393</v>
      </c>
      <c r="U270" s="36"/>
      <c r="V270" s="36">
        <v>4.571816386969398</v>
      </c>
      <c r="W270" s="37">
        <v>0.2285908193484699</v>
      </c>
      <c r="X270" s="42">
        <v>122000.0</v>
      </c>
      <c r="Y270" s="36">
        <v>900.0</v>
      </c>
      <c r="Z270" s="36">
        <v>48800.0</v>
      </c>
      <c r="AA270" s="36"/>
      <c r="AB270" s="36">
        <v>74100.0</v>
      </c>
      <c r="AC270" s="37">
        <v>3705.0</v>
      </c>
      <c r="AD270" s="31"/>
      <c r="AE270" s="11"/>
      <c r="AF270" s="11"/>
    </row>
    <row r="271">
      <c r="A271" s="11" t="s">
        <v>284</v>
      </c>
      <c r="B271" s="39">
        <v>45433.004166666666</v>
      </c>
      <c r="C271" s="40">
        <v>45434.84097222222</v>
      </c>
      <c r="D271" s="27" t="s">
        <v>33</v>
      </c>
      <c r="E271" s="11" t="b">
        <v>0</v>
      </c>
      <c r="F271" s="11" t="s">
        <v>49</v>
      </c>
      <c r="G271" s="11" t="s">
        <v>293</v>
      </c>
      <c r="H271" s="11" t="s">
        <v>296</v>
      </c>
      <c r="I271" s="30">
        <v>5.0</v>
      </c>
      <c r="J271" s="31">
        <v>2.0</v>
      </c>
      <c r="K271" s="11">
        <v>1.0</v>
      </c>
      <c r="L271" s="32">
        <f>(10500/2)/P271</f>
        <v>0.327899569</v>
      </c>
      <c r="M271" s="32">
        <f>(125)/P271</f>
        <v>0.007807132596</v>
      </c>
      <c r="N271" s="32">
        <f>(1250)/P271</f>
        <v>0.07807132596</v>
      </c>
      <c r="O271" s="32">
        <v>0.0</v>
      </c>
      <c r="P271" s="33">
        <v>16011.0</v>
      </c>
      <c r="Q271" s="34">
        <v>2.0</v>
      </c>
      <c r="R271" s="42">
        <v>0.6557991380925614</v>
      </c>
      <c r="S271" s="36">
        <v>0.007807132596340016</v>
      </c>
      <c r="T271" s="36">
        <v>0.07807132596340016</v>
      </c>
      <c r="U271" s="36"/>
      <c r="V271" s="36">
        <v>0.5855349447255013</v>
      </c>
      <c r="W271" s="37">
        <v>0.29276747236275064</v>
      </c>
      <c r="X271" s="42">
        <v>10500.0</v>
      </c>
      <c r="Y271" s="36">
        <v>125.0</v>
      </c>
      <c r="Z271" s="36">
        <v>1250.0</v>
      </c>
      <c r="AA271" s="36"/>
      <c r="AB271" s="36">
        <v>9375.0</v>
      </c>
      <c r="AC271" s="37">
        <v>4687.5</v>
      </c>
      <c r="AD271" s="31"/>
      <c r="AE271" s="11"/>
      <c r="AF271" s="11"/>
    </row>
    <row r="272">
      <c r="A272" s="11" t="s">
        <v>284</v>
      </c>
      <c r="B272" s="39">
        <v>45417.98055555556</v>
      </c>
      <c r="C272" s="40">
        <v>45422.654861111114</v>
      </c>
      <c r="D272" s="27" t="s">
        <v>33</v>
      </c>
      <c r="E272" s="11" t="b">
        <v>0</v>
      </c>
      <c r="F272" s="11" t="s">
        <v>49</v>
      </c>
      <c r="G272" s="11" t="s">
        <v>297</v>
      </c>
      <c r="H272" s="11" t="s">
        <v>297</v>
      </c>
      <c r="I272" s="30">
        <v>5.0</v>
      </c>
      <c r="J272" s="31">
        <v>25.0</v>
      </c>
      <c r="K272" s="11">
        <v>1.0</v>
      </c>
      <c r="L272" s="32">
        <f>(156250/25)/P272</f>
        <v>0.3913833052</v>
      </c>
      <c r="M272" s="32">
        <f>(68)/P272</f>
        <v>0.00425825036</v>
      </c>
      <c r="N272" s="32">
        <f>(12500)/P272</f>
        <v>0.7827666103</v>
      </c>
      <c r="O272" s="32">
        <v>0.0</v>
      </c>
      <c r="P272" s="33">
        <v>15969.0</v>
      </c>
      <c r="Q272" s="34">
        <v>25.0</v>
      </c>
      <c r="R272" s="42">
        <v>9.784582628843385</v>
      </c>
      <c r="S272" s="36">
        <v>0.004258250360072641</v>
      </c>
      <c r="T272" s="36">
        <v>0.7827666103074707</v>
      </c>
      <c r="U272" s="36"/>
      <c r="V272" s="36">
        <v>9.006074268895986</v>
      </c>
      <c r="W272" s="37">
        <v>0.36024297075583944</v>
      </c>
      <c r="X272" s="42">
        <v>156250.0</v>
      </c>
      <c r="Y272" s="36">
        <v>68.0</v>
      </c>
      <c r="Z272" s="36">
        <v>12500.0</v>
      </c>
      <c r="AA272" s="36"/>
      <c r="AB272" s="36">
        <v>143818.0</v>
      </c>
      <c r="AC272" s="37">
        <v>5752.72</v>
      </c>
      <c r="AD272" s="31"/>
      <c r="AE272" s="11"/>
      <c r="AF272" s="11"/>
    </row>
    <row r="273">
      <c r="A273" s="11" t="s">
        <v>284</v>
      </c>
      <c r="B273" s="39">
        <v>45372.63888888889</v>
      </c>
      <c r="C273" s="40">
        <v>45375.57344907407</v>
      </c>
      <c r="D273" s="27" t="s">
        <v>37</v>
      </c>
      <c r="E273" s="11" t="b">
        <v>0</v>
      </c>
      <c r="F273" s="11" t="s">
        <v>249</v>
      </c>
      <c r="G273" s="11" t="s">
        <v>249</v>
      </c>
      <c r="H273" s="11" t="s">
        <v>249</v>
      </c>
      <c r="I273" s="30">
        <v>5.0</v>
      </c>
      <c r="J273" s="31">
        <v>50.0</v>
      </c>
      <c r="K273" s="11">
        <v>1.0</v>
      </c>
      <c r="L273" s="32">
        <f>(5700)/P273</f>
        <v>0.3634045266</v>
      </c>
      <c r="M273" s="32">
        <v>0.0</v>
      </c>
      <c r="N273" s="32">
        <v>0.0</v>
      </c>
      <c r="O273" s="32">
        <v>0.0</v>
      </c>
      <c r="P273" s="33">
        <v>15685.0</v>
      </c>
      <c r="Q273" s="34">
        <v>50.0</v>
      </c>
      <c r="R273" s="42">
        <v>18.170226330889385</v>
      </c>
      <c r="S273" s="36"/>
      <c r="T273" s="36"/>
      <c r="U273" s="36"/>
      <c r="V273" s="36">
        <v>18.170226330889385</v>
      </c>
      <c r="W273" s="37">
        <v>0.3634045266177877</v>
      </c>
      <c r="X273" s="42">
        <v>285000.0</v>
      </c>
      <c r="Y273" s="36"/>
      <c r="Z273" s="36"/>
      <c r="AA273" s="36"/>
      <c r="AB273" s="36">
        <v>285000.0</v>
      </c>
      <c r="AC273" s="37">
        <v>5700.0</v>
      </c>
      <c r="AD273" s="31"/>
      <c r="AE273" s="11"/>
      <c r="AF273" s="11"/>
    </row>
    <row r="274">
      <c r="A274" s="11" t="s">
        <v>284</v>
      </c>
      <c r="B274" s="39">
        <v>45366.643055555556</v>
      </c>
      <c r="C274" s="40">
        <v>45368.47195146991</v>
      </c>
      <c r="D274" s="27" t="s">
        <v>37</v>
      </c>
      <c r="E274" s="11" t="b">
        <v>0</v>
      </c>
      <c r="F274" s="11" t="s">
        <v>200</v>
      </c>
      <c r="G274" s="11" t="s">
        <v>200</v>
      </c>
      <c r="H274" s="11" t="s">
        <v>200</v>
      </c>
      <c r="I274" s="30">
        <v>5.0</v>
      </c>
      <c r="J274" s="31">
        <v>50.0</v>
      </c>
      <c r="K274" s="11">
        <v>1.0</v>
      </c>
      <c r="L274" s="32">
        <f>(6200)/P274</f>
        <v>0.3964194373</v>
      </c>
      <c r="M274" s="32">
        <v>0.0</v>
      </c>
      <c r="N274" s="32">
        <v>0.0</v>
      </c>
      <c r="O274" s="32">
        <v>0.0</v>
      </c>
      <c r="P274" s="33">
        <v>15640.0</v>
      </c>
      <c r="Q274" s="34">
        <v>50.0</v>
      </c>
      <c r="R274" s="42">
        <v>19.82097186700767</v>
      </c>
      <c r="S274" s="36"/>
      <c r="T274" s="36"/>
      <c r="U274" s="36"/>
      <c r="V274" s="36">
        <v>19.82097186700767</v>
      </c>
      <c r="W274" s="37">
        <v>0.39641943734015345</v>
      </c>
      <c r="X274" s="42">
        <v>310000.0</v>
      </c>
      <c r="Y274" s="36"/>
      <c r="Z274" s="36"/>
      <c r="AA274" s="36"/>
      <c r="AB274" s="36">
        <v>310000.0</v>
      </c>
      <c r="AC274" s="37">
        <v>6200.0</v>
      </c>
      <c r="AD274" s="31"/>
      <c r="AE274" s="11"/>
      <c r="AF274" s="11"/>
    </row>
    <row r="275">
      <c r="A275" s="11" t="s">
        <v>298</v>
      </c>
      <c r="B275" s="39">
        <v>45955.01597222222</v>
      </c>
      <c r="C275" s="40">
        <v>45957.69097222222</v>
      </c>
      <c r="D275" s="27" t="s">
        <v>37</v>
      </c>
      <c r="E275" s="11" t="b">
        <v>0</v>
      </c>
      <c r="F275" s="11" t="s">
        <v>49</v>
      </c>
      <c r="G275" s="11" t="s">
        <v>287</v>
      </c>
      <c r="H275" s="11" t="s">
        <v>289</v>
      </c>
      <c r="I275" s="30">
        <v>5.0</v>
      </c>
      <c r="J275" s="31">
        <v>40.0</v>
      </c>
      <c r="K275" s="11">
        <v>1.0</v>
      </c>
      <c r="L275" s="32">
        <f t="shared" ref="L275:L276" si="79">(9947)/P275</f>
        <v>0.5984957882</v>
      </c>
      <c r="M275" s="32">
        <f>(486/2)/P275</f>
        <v>0.01462093863</v>
      </c>
      <c r="N275" s="32">
        <f t="shared" ref="N275:N276" si="80">(X275*15%)/P275</f>
        <v>3.590974729</v>
      </c>
      <c r="O275" s="32">
        <v>0.0</v>
      </c>
      <c r="P275" s="33">
        <v>16620.0</v>
      </c>
      <c r="Q275" s="34">
        <v>40.0</v>
      </c>
      <c r="R275" s="42">
        <v>23.939831528279182</v>
      </c>
      <c r="S275" s="36">
        <v>0.014620938628158844</v>
      </c>
      <c r="T275" s="36">
        <v>3.590974729241877</v>
      </c>
      <c r="U275" s="36"/>
      <c r="V275" s="36">
        <v>20.363477737665463</v>
      </c>
      <c r="W275" s="37">
        <v>0.5090869434416365</v>
      </c>
      <c r="X275" s="42">
        <v>397880.0</v>
      </c>
      <c r="Y275" s="36">
        <v>243.0</v>
      </c>
      <c r="Z275" s="36">
        <v>59682.0</v>
      </c>
      <c r="AA275" s="36"/>
      <c r="AB275" s="36">
        <v>338441.0</v>
      </c>
      <c r="AC275" s="37">
        <v>8461.025</v>
      </c>
      <c r="AD275" s="31"/>
      <c r="AE275" s="11"/>
      <c r="AF275" s="11"/>
    </row>
    <row r="276">
      <c r="A276" s="11" t="s">
        <v>298</v>
      </c>
      <c r="B276" s="39">
        <v>45940.74930555555</v>
      </c>
      <c r="C276" s="40">
        <v>45942.525</v>
      </c>
      <c r="D276" s="27" t="s">
        <v>33</v>
      </c>
      <c r="E276" s="11" t="b">
        <v>0</v>
      </c>
      <c r="F276" s="11" t="s">
        <v>49</v>
      </c>
      <c r="G276" s="11" t="s">
        <v>287</v>
      </c>
      <c r="H276" s="11" t="s">
        <v>290</v>
      </c>
      <c r="I276" s="30">
        <v>5.0</v>
      </c>
      <c r="J276" s="31">
        <v>50.0</v>
      </c>
      <c r="K276" s="11">
        <v>1.0</v>
      </c>
      <c r="L276" s="32">
        <f t="shared" si="79"/>
        <v>0.5999396864</v>
      </c>
      <c r="M276" s="32">
        <f>(2000/3)/P276</f>
        <v>0.04020908725</v>
      </c>
      <c r="N276" s="32">
        <f t="shared" si="80"/>
        <v>4.499547648</v>
      </c>
      <c r="O276" s="32">
        <v>0.0</v>
      </c>
      <c r="P276" s="33">
        <v>16580.0</v>
      </c>
      <c r="Q276" s="34">
        <v>50.0</v>
      </c>
      <c r="R276" s="42">
        <v>29.996984318455972</v>
      </c>
      <c r="S276" s="36">
        <v>0.04020908725371934</v>
      </c>
      <c r="T276" s="36">
        <v>4.499547647768396</v>
      </c>
      <c r="U276" s="36"/>
      <c r="V276" s="36">
        <v>25.537645757941295</v>
      </c>
      <c r="W276" s="37">
        <v>0.5107529151588259</v>
      </c>
      <c r="X276" s="42">
        <v>497350.0</v>
      </c>
      <c r="Y276" s="36">
        <v>666.6666666666666</v>
      </c>
      <c r="Z276" s="36">
        <v>74602.5</v>
      </c>
      <c r="AA276" s="36"/>
      <c r="AB276" s="36">
        <v>423414.1666666667</v>
      </c>
      <c r="AC276" s="37">
        <v>8468.283333333333</v>
      </c>
      <c r="AD276" s="31"/>
      <c r="AE276" s="11"/>
      <c r="AF276" s="11"/>
    </row>
    <row r="277">
      <c r="A277" s="11" t="s">
        <v>298</v>
      </c>
      <c r="B277" s="39">
        <v>45485.614583333336</v>
      </c>
      <c r="C277" s="40">
        <v>45489.6875</v>
      </c>
      <c r="D277" s="27" t="s">
        <v>33</v>
      </c>
      <c r="E277" s="11" t="b">
        <v>0</v>
      </c>
      <c r="F277" s="11" t="s">
        <v>38</v>
      </c>
      <c r="G277" s="11" t="s">
        <v>299</v>
      </c>
      <c r="H277" s="11" t="s">
        <v>300</v>
      </c>
      <c r="I277" s="30">
        <v>5.0</v>
      </c>
      <c r="J277" s="31">
        <v>47.0</v>
      </c>
      <c r="K277" s="11">
        <v>1.0</v>
      </c>
      <c r="L277" s="32">
        <f>(418125/47)/P277</f>
        <v>0.5520836909</v>
      </c>
      <c r="M277" s="32">
        <v>0.0</v>
      </c>
      <c r="N277" s="32">
        <v>0.0</v>
      </c>
      <c r="O277" s="32">
        <v>0.0</v>
      </c>
      <c r="P277" s="33">
        <v>16114.0</v>
      </c>
      <c r="Q277" s="34">
        <v>47.0</v>
      </c>
      <c r="R277" s="42">
        <v>25.947933473997765</v>
      </c>
      <c r="S277" s="36"/>
      <c r="T277" s="36"/>
      <c r="U277" s="36"/>
      <c r="V277" s="36">
        <v>25.947933473997765</v>
      </c>
      <c r="W277" s="37">
        <v>0.5520836909361226</v>
      </c>
      <c r="X277" s="42">
        <v>418125.0</v>
      </c>
      <c r="Y277" s="36"/>
      <c r="Z277" s="36"/>
      <c r="AA277" s="36"/>
      <c r="AB277" s="36">
        <v>418125.0</v>
      </c>
      <c r="AC277" s="37">
        <v>8896.27659574468</v>
      </c>
      <c r="AD277" s="31"/>
      <c r="AE277" s="11"/>
      <c r="AF277" s="11"/>
    </row>
    <row r="278">
      <c r="A278" s="11" t="s">
        <v>298</v>
      </c>
      <c r="B278" s="39">
        <v>45480.40902777778</v>
      </c>
      <c r="C278" s="40">
        <v>45486.455555555556</v>
      </c>
      <c r="D278" s="27" t="s">
        <v>37</v>
      </c>
      <c r="E278" s="11" t="b">
        <v>0</v>
      </c>
      <c r="F278" s="11" t="s">
        <v>38</v>
      </c>
      <c r="G278" s="11" t="s">
        <v>246</v>
      </c>
      <c r="H278" s="11" t="s">
        <v>301</v>
      </c>
      <c r="I278" s="30">
        <v>5.0</v>
      </c>
      <c r="J278" s="31">
        <v>40.0</v>
      </c>
      <c r="K278" s="11">
        <v>1.0</v>
      </c>
      <c r="L278" s="32">
        <f>(10000)/P278</f>
        <v>0.6153088851</v>
      </c>
      <c r="M278" s="32">
        <v>0.0</v>
      </c>
      <c r="N278" s="32">
        <f>(40000)/P278</f>
        <v>2.46123554</v>
      </c>
      <c r="O278" s="32">
        <v>0.0</v>
      </c>
      <c r="P278" s="33">
        <v>16252.0</v>
      </c>
      <c r="Q278" s="34">
        <v>40.0</v>
      </c>
      <c r="R278" s="42">
        <v>24.61235540241201</v>
      </c>
      <c r="S278" s="36"/>
      <c r="T278" s="36">
        <v>2.461235540241201</v>
      </c>
      <c r="U278" s="36"/>
      <c r="V278" s="36">
        <v>22.15111986217081</v>
      </c>
      <c r="W278" s="37">
        <v>0.5537779965542702</v>
      </c>
      <c r="X278" s="42">
        <v>400000.0</v>
      </c>
      <c r="Y278" s="36"/>
      <c r="Z278" s="36">
        <v>40000.0</v>
      </c>
      <c r="AA278" s="36"/>
      <c r="AB278" s="36">
        <v>360000.0</v>
      </c>
      <c r="AC278" s="37">
        <v>9000.0</v>
      </c>
      <c r="AD278" s="31"/>
      <c r="AE278" s="11"/>
      <c r="AF278" s="11"/>
    </row>
    <row r="279">
      <c r="A279" s="11" t="s">
        <v>298</v>
      </c>
      <c r="B279" s="39">
        <v>45429.34444444445</v>
      </c>
      <c r="C279" s="40">
        <v>45430.44930555556</v>
      </c>
      <c r="D279" s="27" t="s">
        <v>33</v>
      </c>
      <c r="E279" s="11" t="b">
        <v>0</v>
      </c>
      <c r="F279" s="11" t="s">
        <v>38</v>
      </c>
      <c r="G279" s="11" t="s">
        <v>200</v>
      </c>
      <c r="H279" s="11" t="s">
        <v>302</v>
      </c>
      <c r="I279" s="30">
        <v>5.0</v>
      </c>
      <c r="J279" s="31">
        <v>36.0</v>
      </c>
      <c r="K279" s="11">
        <v>1.0</v>
      </c>
      <c r="L279" s="32">
        <f>(10200)/P279</f>
        <v>0.6384177255</v>
      </c>
      <c r="M279" s="32">
        <f>(367)/P279</f>
        <v>0.02297052012</v>
      </c>
      <c r="N279" s="32">
        <f>(36720)/P279</f>
        <v>2.298303812</v>
      </c>
      <c r="O279" s="32">
        <v>0.0</v>
      </c>
      <c r="P279" s="33">
        <v>15977.0</v>
      </c>
      <c r="Q279" s="34">
        <v>36.0</v>
      </c>
      <c r="R279" s="42">
        <v>22.98303811729361</v>
      </c>
      <c r="S279" s="36">
        <v>0.022970520122676346</v>
      </c>
      <c r="T279" s="36">
        <v>2.298303811729361</v>
      </c>
      <c r="U279" s="36"/>
      <c r="V279" s="36">
        <v>20.707704825686925</v>
      </c>
      <c r="W279" s="37">
        <v>0.5752140229357479</v>
      </c>
      <c r="X279" s="42">
        <v>367200.0</v>
      </c>
      <c r="Y279" s="36">
        <v>367.0</v>
      </c>
      <c r="Z279" s="36">
        <v>36720.0</v>
      </c>
      <c r="AA279" s="36"/>
      <c r="AB279" s="36">
        <v>330847.0</v>
      </c>
      <c r="AC279" s="37">
        <v>9190.194444444445</v>
      </c>
      <c r="AD279" s="31"/>
      <c r="AE279" s="11"/>
      <c r="AF279" s="11"/>
    </row>
    <row r="280">
      <c r="A280" s="11" t="s">
        <v>303</v>
      </c>
      <c r="B280" s="39">
        <v>45940.74930555555</v>
      </c>
      <c r="C280" s="40">
        <v>45942.525</v>
      </c>
      <c r="D280" s="27" t="s">
        <v>33</v>
      </c>
      <c r="E280" s="11" t="b">
        <v>0</v>
      </c>
      <c r="F280" s="11" t="s">
        <v>49</v>
      </c>
      <c r="G280" s="11" t="s">
        <v>287</v>
      </c>
      <c r="H280" s="11" t="s">
        <v>290</v>
      </c>
      <c r="I280" s="30">
        <v>5.0</v>
      </c>
      <c r="J280" s="31">
        <v>50.0</v>
      </c>
      <c r="K280" s="11">
        <v>1.0</v>
      </c>
      <c r="L280" s="32">
        <f>(9849)/P280</f>
        <v>0.5940289505</v>
      </c>
      <c r="M280" s="32">
        <f>(2000/3)/P280</f>
        <v>0.04020908725</v>
      </c>
      <c r="N280" s="32">
        <f>(X280*15%)/P280</f>
        <v>4.455217129</v>
      </c>
      <c r="O280" s="32">
        <v>0.0</v>
      </c>
      <c r="P280" s="33">
        <v>16580.0</v>
      </c>
      <c r="Q280" s="34">
        <v>50.0</v>
      </c>
      <c r="R280" s="42">
        <v>29.701447527141134</v>
      </c>
      <c r="S280" s="36">
        <v>0.04020908725371934</v>
      </c>
      <c r="T280" s="36">
        <v>4.45521712907117</v>
      </c>
      <c r="U280" s="36"/>
      <c r="V280" s="36">
        <v>25.286439485323683</v>
      </c>
      <c r="W280" s="37">
        <v>0.5057287897064736</v>
      </c>
      <c r="X280" s="42">
        <v>492450.0</v>
      </c>
      <c r="Y280" s="36">
        <v>666.6666666666666</v>
      </c>
      <c r="Z280" s="36">
        <v>73867.5</v>
      </c>
      <c r="AA280" s="36"/>
      <c r="AB280" s="36">
        <v>419249.1666666667</v>
      </c>
      <c r="AC280" s="37">
        <v>8384.983333333334</v>
      </c>
      <c r="AD280" s="31"/>
      <c r="AE280" s="11"/>
      <c r="AF280" s="11"/>
    </row>
    <row r="281">
      <c r="A281" s="11" t="s">
        <v>303</v>
      </c>
      <c r="B281" s="39">
        <v>45690.32152777778</v>
      </c>
      <c r="C281" s="40">
        <v>45692.425</v>
      </c>
      <c r="D281" s="27" t="s">
        <v>37</v>
      </c>
      <c r="E281" s="11" t="b">
        <v>0</v>
      </c>
      <c r="F281" s="11" t="s">
        <v>49</v>
      </c>
      <c r="G281" s="11" t="s">
        <v>287</v>
      </c>
      <c r="H281" s="11" t="s">
        <v>304</v>
      </c>
      <c r="I281" s="30">
        <v>5.0</v>
      </c>
      <c r="J281" s="31">
        <v>142.0</v>
      </c>
      <c r="K281" s="11">
        <v>1.0</v>
      </c>
      <c r="L281" s="32">
        <f>(9997)/P281</f>
        <v>0.6133128834</v>
      </c>
      <c r="M281" s="32">
        <f>(341)/P281</f>
        <v>0.0209202454</v>
      </c>
      <c r="N281" s="32">
        <f>ROUNDUP((X281*12%)/P281,0)</f>
        <v>11</v>
      </c>
      <c r="O281" s="32">
        <v>0.0</v>
      </c>
      <c r="P281" s="33">
        <v>16300.0</v>
      </c>
      <c r="Q281" s="34">
        <v>142.0</v>
      </c>
      <c r="R281" s="42">
        <v>87.09042944785276</v>
      </c>
      <c r="S281" s="36">
        <v>0.020920245398773005</v>
      </c>
      <c r="T281" s="36">
        <v>11.0</v>
      </c>
      <c r="U281" s="36"/>
      <c r="V281" s="36">
        <v>76.11134969325153</v>
      </c>
      <c r="W281" s="37">
        <v>0.5359954203750108</v>
      </c>
      <c r="X281" s="42">
        <v>1419574.0</v>
      </c>
      <c r="Y281" s="36">
        <v>341.0</v>
      </c>
      <c r="Z281" s="36">
        <v>179300.0</v>
      </c>
      <c r="AA281" s="36"/>
      <c r="AB281" s="36">
        <v>1240614.9999999998</v>
      </c>
      <c r="AC281" s="37">
        <v>8736.725352112675</v>
      </c>
      <c r="AD281" s="31"/>
      <c r="AE281" s="11"/>
      <c r="AF281" s="11"/>
    </row>
    <row r="282">
      <c r="A282" s="11" t="s">
        <v>303</v>
      </c>
      <c r="B282" s="39">
        <v>45645.833333333336</v>
      </c>
      <c r="C282" s="40">
        <v>45647.69236111111</v>
      </c>
      <c r="D282" s="27" t="s">
        <v>33</v>
      </c>
      <c r="E282" s="11" t="b">
        <v>0</v>
      </c>
      <c r="F282" s="11" t="s">
        <v>49</v>
      </c>
      <c r="G282" s="11" t="s">
        <v>246</v>
      </c>
      <c r="H282" s="11" t="s">
        <v>305</v>
      </c>
      <c r="I282" s="30">
        <v>5.0</v>
      </c>
      <c r="J282" s="31">
        <v>80.0</v>
      </c>
      <c r="K282" s="11">
        <v>1.0</v>
      </c>
      <c r="L282" s="32">
        <f t="shared" ref="L282:L285" si="81">(10200)/P282</f>
        <v>0.6258820642</v>
      </c>
      <c r="M282" s="32">
        <f>(15000 + 2024)/2/P282</f>
        <v>0.5223047187</v>
      </c>
      <c r="N282" s="32">
        <f>X282*15%/P282</f>
        <v>7.51058477</v>
      </c>
      <c r="O282" s="32">
        <v>0.0</v>
      </c>
      <c r="P282" s="33">
        <v>16297.0</v>
      </c>
      <c r="Q282" s="34">
        <v>80.0</v>
      </c>
      <c r="R282" s="42">
        <v>50.070565134687364</v>
      </c>
      <c r="S282" s="36">
        <v>0.522304718659876</v>
      </c>
      <c r="T282" s="36">
        <v>7.5105847702031046</v>
      </c>
      <c r="U282" s="36"/>
      <c r="V282" s="36">
        <v>43.082285083144136</v>
      </c>
      <c r="W282" s="37">
        <v>0.5385285635393017</v>
      </c>
      <c r="X282" s="42">
        <v>816000.0</v>
      </c>
      <c r="Y282" s="36">
        <v>8512.0</v>
      </c>
      <c r="Z282" s="36">
        <v>122400.0</v>
      </c>
      <c r="AA282" s="36"/>
      <c r="AB282" s="36">
        <v>702112.0</v>
      </c>
      <c r="AC282" s="37">
        <v>8776.4</v>
      </c>
      <c r="AD282" s="31"/>
      <c r="AE282" s="11"/>
      <c r="AF282" s="11"/>
    </row>
    <row r="283">
      <c r="A283" s="11" t="s">
        <v>303</v>
      </c>
      <c r="B283" s="39">
        <v>45607.00208333333</v>
      </c>
      <c r="C283" s="40">
        <v>45608.52569444444</v>
      </c>
      <c r="D283" s="27" t="s">
        <v>33</v>
      </c>
      <c r="E283" s="11" t="b">
        <v>0</v>
      </c>
      <c r="F283" s="11" t="s">
        <v>49</v>
      </c>
      <c r="G283" s="11" t="s">
        <v>246</v>
      </c>
      <c r="H283" s="11" t="s">
        <v>306</v>
      </c>
      <c r="I283" s="30">
        <v>5.0</v>
      </c>
      <c r="J283" s="31">
        <v>1.0</v>
      </c>
      <c r="K283" s="11">
        <v>1.0</v>
      </c>
      <c r="L283" s="32">
        <f t="shared" si="81"/>
        <v>0.6470028544</v>
      </c>
      <c r="M283" s="32">
        <f>(1000)/P283</f>
        <v>0.06343165239</v>
      </c>
      <c r="N283" s="32">
        <f>(5000)/P283</f>
        <v>0.317158262</v>
      </c>
      <c r="O283" s="32">
        <v>0.0</v>
      </c>
      <c r="P283" s="33">
        <v>15765.0</v>
      </c>
      <c r="Q283" s="34">
        <v>1.0</v>
      </c>
      <c r="R283" s="42">
        <v>0.6470028544243578</v>
      </c>
      <c r="S283" s="36">
        <v>0.06343165239454487</v>
      </c>
      <c r="T283" s="36">
        <v>0.3171582619727244</v>
      </c>
      <c r="U283" s="36"/>
      <c r="V283" s="36">
        <v>0.39327624484617824</v>
      </c>
      <c r="W283" s="37">
        <v>0.39327624484617824</v>
      </c>
      <c r="X283" s="42">
        <v>10200.0</v>
      </c>
      <c r="Y283" s="36">
        <v>999.9999999999999</v>
      </c>
      <c r="Z283" s="36">
        <v>5000.0</v>
      </c>
      <c r="AA283" s="36"/>
      <c r="AB283" s="36">
        <v>6200.0</v>
      </c>
      <c r="AC283" s="37">
        <v>6200.0</v>
      </c>
      <c r="AD283" s="31"/>
      <c r="AE283" s="11"/>
      <c r="AF283" s="11"/>
    </row>
    <row r="284">
      <c r="A284" s="11" t="s">
        <v>303</v>
      </c>
      <c r="B284" s="39">
        <v>45600.56041666667</v>
      </c>
      <c r="C284" s="40">
        <v>45602.62542824074</v>
      </c>
      <c r="D284" s="27" t="s">
        <v>37</v>
      </c>
      <c r="E284" s="11" t="b">
        <v>0</v>
      </c>
      <c r="F284" s="11" t="s">
        <v>49</v>
      </c>
      <c r="G284" s="11" t="s">
        <v>246</v>
      </c>
      <c r="H284" s="11" t="s">
        <v>307</v>
      </c>
      <c r="I284" s="30">
        <v>5.0</v>
      </c>
      <c r="J284" s="31">
        <v>1.0</v>
      </c>
      <c r="K284" s="11">
        <v>1.0</v>
      </c>
      <c r="L284" s="32">
        <f t="shared" si="81"/>
        <v>0.6470438975</v>
      </c>
      <c r="M284" s="32">
        <f t="shared" ref="M284:M285" si="82">(1000 + 1000)/P284</f>
        <v>0.1268713524</v>
      </c>
      <c r="N284" s="32">
        <f t="shared" ref="N284:N285" si="83">(4000)/P284</f>
        <v>0.2537427049</v>
      </c>
      <c r="O284" s="32">
        <v>0.0</v>
      </c>
      <c r="P284" s="33">
        <v>15764.0</v>
      </c>
      <c r="Q284" s="34">
        <v>1.0</v>
      </c>
      <c r="R284" s="42">
        <v>0.6470438974879472</v>
      </c>
      <c r="S284" s="36">
        <v>0.1268713524486171</v>
      </c>
      <c r="T284" s="36">
        <v>0.2537427048972342</v>
      </c>
      <c r="U284" s="36"/>
      <c r="V284" s="36">
        <v>0.5201725450393302</v>
      </c>
      <c r="W284" s="37">
        <v>0.5201725450393302</v>
      </c>
      <c r="X284" s="42">
        <v>10200.0</v>
      </c>
      <c r="Y284" s="36">
        <v>2000.0</v>
      </c>
      <c r="Z284" s="36">
        <v>4000.0</v>
      </c>
      <c r="AA284" s="36"/>
      <c r="AB284" s="36">
        <v>8200.000000000002</v>
      </c>
      <c r="AC284" s="37">
        <v>8200.000000000002</v>
      </c>
      <c r="AD284" s="31"/>
      <c r="AE284" s="11"/>
      <c r="AF284" s="11"/>
    </row>
    <row r="285">
      <c r="A285" s="11" t="s">
        <v>303</v>
      </c>
      <c r="B285" s="39">
        <v>45600.55972222222</v>
      </c>
      <c r="C285" s="40">
        <v>45602.62542824074</v>
      </c>
      <c r="D285" s="27" t="s">
        <v>37</v>
      </c>
      <c r="E285" s="11" t="b">
        <v>0</v>
      </c>
      <c r="F285" s="11" t="s">
        <v>49</v>
      </c>
      <c r="G285" s="11" t="s">
        <v>246</v>
      </c>
      <c r="H285" s="11" t="s">
        <v>308</v>
      </c>
      <c r="I285" s="30">
        <v>5.0</v>
      </c>
      <c r="J285" s="31">
        <v>1.0</v>
      </c>
      <c r="K285" s="11">
        <v>1.0</v>
      </c>
      <c r="L285" s="32">
        <f t="shared" si="81"/>
        <v>0.6470438975</v>
      </c>
      <c r="M285" s="32">
        <f t="shared" si="82"/>
        <v>0.1268713524</v>
      </c>
      <c r="N285" s="32">
        <f t="shared" si="83"/>
        <v>0.2537427049</v>
      </c>
      <c r="O285" s="32">
        <v>0.0</v>
      </c>
      <c r="P285" s="33">
        <v>15764.0</v>
      </c>
      <c r="Q285" s="34">
        <v>1.0</v>
      </c>
      <c r="R285" s="42">
        <v>0.6470438974879472</v>
      </c>
      <c r="S285" s="36">
        <v>0.1268713524486171</v>
      </c>
      <c r="T285" s="36">
        <v>0.2537427048972342</v>
      </c>
      <c r="U285" s="36"/>
      <c r="V285" s="36">
        <v>0.5201725450393302</v>
      </c>
      <c r="W285" s="37">
        <v>0.5201725450393302</v>
      </c>
      <c r="X285" s="42">
        <v>10200.0</v>
      </c>
      <c r="Y285" s="36">
        <v>2000.0</v>
      </c>
      <c r="Z285" s="36">
        <v>4000.0</v>
      </c>
      <c r="AA285" s="36"/>
      <c r="AB285" s="36">
        <v>8200.000000000002</v>
      </c>
      <c r="AC285" s="37">
        <v>8200.000000000002</v>
      </c>
      <c r="AD285" s="31"/>
      <c r="AE285" s="11"/>
      <c r="AF285" s="11"/>
    </row>
    <row r="286">
      <c r="A286" s="11" t="s">
        <v>303</v>
      </c>
      <c r="B286" s="39">
        <v>45499.36875</v>
      </c>
      <c r="C286" s="40">
        <v>45501.46527777778</v>
      </c>
      <c r="D286" s="27" t="s">
        <v>37</v>
      </c>
      <c r="E286" s="11" t="b">
        <v>0</v>
      </c>
      <c r="F286" s="11" t="s">
        <v>38</v>
      </c>
      <c r="G286" s="11" t="s">
        <v>200</v>
      </c>
      <c r="H286" s="11" t="s">
        <v>309</v>
      </c>
      <c r="I286" s="30">
        <v>5.0</v>
      </c>
      <c r="J286" s="31">
        <v>21.0</v>
      </c>
      <c r="K286" s="11">
        <v>1.0</v>
      </c>
      <c r="L286" s="32">
        <f>(9950)/P286</f>
        <v>0.610279686</v>
      </c>
      <c r="M286" s="32">
        <v>0.0</v>
      </c>
      <c r="N286" s="32">
        <f>(20836)/P286</f>
        <v>1.277968597</v>
      </c>
      <c r="O286" s="32">
        <v>0.0</v>
      </c>
      <c r="P286" s="33">
        <v>16304.0</v>
      </c>
      <c r="Q286" s="34">
        <v>21.0</v>
      </c>
      <c r="R286" s="42">
        <v>12.815873405299314</v>
      </c>
      <c r="S286" s="36"/>
      <c r="T286" s="36">
        <v>1.2779685966633956</v>
      </c>
      <c r="U286" s="36"/>
      <c r="V286" s="36">
        <v>11.537904808635918</v>
      </c>
      <c r="W286" s="37">
        <v>0.5494240385064723</v>
      </c>
      <c r="X286" s="42">
        <v>208950.00000000003</v>
      </c>
      <c r="Y286" s="36"/>
      <c r="Z286" s="36">
        <v>20836.0</v>
      </c>
      <c r="AA286" s="36"/>
      <c r="AB286" s="36">
        <v>188114.0</v>
      </c>
      <c r="AC286" s="37">
        <v>8957.809523809523</v>
      </c>
      <c r="AD286" s="31"/>
      <c r="AE286" s="11"/>
      <c r="AF286" s="11"/>
    </row>
    <row r="287">
      <c r="A287" s="11" t="s">
        <v>303</v>
      </c>
      <c r="B287" s="39">
        <v>45429.34444444445</v>
      </c>
      <c r="C287" s="40">
        <v>45430.44930555556</v>
      </c>
      <c r="D287" s="27" t="s">
        <v>33</v>
      </c>
      <c r="E287" s="11" t="b">
        <v>0</v>
      </c>
      <c r="F287" s="11" t="s">
        <v>38</v>
      </c>
      <c r="G287" s="11" t="s">
        <v>200</v>
      </c>
      <c r="H287" s="11" t="s">
        <v>302</v>
      </c>
      <c r="I287" s="30">
        <v>5.0</v>
      </c>
      <c r="J287" s="31">
        <v>36.0</v>
      </c>
      <c r="K287" s="11">
        <v>1.0</v>
      </c>
      <c r="L287" s="32">
        <f>(9600)/P287</f>
        <v>0.6008637416</v>
      </c>
      <c r="M287" s="32">
        <f>(346)/P287</f>
        <v>0.02165613069</v>
      </c>
      <c r="N287" s="32">
        <f>(34560)/P287</f>
        <v>2.16310947</v>
      </c>
      <c r="O287" s="32">
        <v>0.0</v>
      </c>
      <c r="P287" s="33">
        <v>15977.0</v>
      </c>
      <c r="Q287" s="34">
        <v>36.0</v>
      </c>
      <c r="R287" s="42">
        <v>21.63109469862928</v>
      </c>
      <c r="S287" s="36">
        <v>0.021656130687863803</v>
      </c>
      <c r="T287" s="36">
        <v>2.163109469862928</v>
      </c>
      <c r="U287" s="36"/>
      <c r="V287" s="36">
        <v>19.489641359454215</v>
      </c>
      <c r="W287" s="37">
        <v>0.541378926651506</v>
      </c>
      <c r="X287" s="42">
        <v>345600.0</v>
      </c>
      <c r="Y287" s="36">
        <v>346.0</v>
      </c>
      <c r="Z287" s="36">
        <v>34560.0</v>
      </c>
      <c r="AA287" s="36"/>
      <c r="AB287" s="36">
        <v>311386.0</v>
      </c>
      <c r="AC287" s="37">
        <v>8649.611111111111</v>
      </c>
      <c r="AD287" s="31"/>
      <c r="AE287" s="11"/>
      <c r="AF287" s="11"/>
    </row>
    <row r="288">
      <c r="A288" s="11" t="s">
        <v>310</v>
      </c>
      <c r="B288" s="39">
        <v>45833.00555555556</v>
      </c>
      <c r="C288" s="40">
        <v>45835.532638888886</v>
      </c>
      <c r="D288" s="27" t="s">
        <v>37</v>
      </c>
      <c r="E288" s="11" t="b">
        <v>0</v>
      </c>
      <c r="F288" s="11" t="s">
        <v>49</v>
      </c>
      <c r="G288" s="11" t="s">
        <v>285</v>
      </c>
      <c r="H288" s="11" t="s">
        <v>311</v>
      </c>
      <c r="I288" s="30">
        <v>5.0</v>
      </c>
      <c r="J288" s="31">
        <v>100.0</v>
      </c>
      <c r="K288" s="11">
        <v>1.0</v>
      </c>
      <c r="L288" s="32">
        <f>(7849)/P288</f>
        <v>0.4803843564</v>
      </c>
      <c r="M288" s="32">
        <f>(378)/P288</f>
        <v>0.02313483077</v>
      </c>
      <c r="N288" s="32">
        <f t="shared" ref="N288:N289" si="84">(X288*12%)/P288</f>
        <v>5.764612277</v>
      </c>
      <c r="O288" s="32">
        <v>0.0</v>
      </c>
      <c r="P288" s="33">
        <v>16339.0</v>
      </c>
      <c r="Q288" s="34">
        <v>100.0</v>
      </c>
      <c r="R288" s="42">
        <v>48.0384356447763</v>
      </c>
      <c r="S288" s="36">
        <v>0.023134830772997123</v>
      </c>
      <c r="T288" s="36">
        <v>5.764612277373156</v>
      </c>
      <c r="U288" s="36"/>
      <c r="V288" s="36">
        <v>42.29695819817614</v>
      </c>
      <c r="W288" s="37">
        <v>0.42296958198176143</v>
      </c>
      <c r="X288" s="42">
        <v>784900.0</v>
      </c>
      <c r="Y288" s="36">
        <v>378.0</v>
      </c>
      <c r="Z288" s="36">
        <v>94188.0</v>
      </c>
      <c r="AA288" s="36"/>
      <c r="AB288" s="36">
        <v>691090.0</v>
      </c>
      <c r="AC288" s="37">
        <v>6910.9</v>
      </c>
      <c r="AD288" s="31"/>
      <c r="AE288" s="11"/>
      <c r="AF288" s="11"/>
    </row>
    <row r="289">
      <c r="A289" s="11" t="s">
        <v>310</v>
      </c>
      <c r="B289" s="39">
        <v>45712.001388888886</v>
      </c>
      <c r="C289" s="40">
        <v>45714.41805555556</v>
      </c>
      <c r="D289" s="27" t="s">
        <v>33</v>
      </c>
      <c r="E289" s="11" t="b">
        <v>0</v>
      </c>
      <c r="F289" s="11" t="s">
        <v>49</v>
      </c>
      <c r="G289" s="11" t="s">
        <v>285</v>
      </c>
      <c r="H289" s="11" t="s">
        <v>89</v>
      </c>
      <c r="I289" s="30">
        <v>5.0</v>
      </c>
      <c r="J289" s="31">
        <v>100.0</v>
      </c>
      <c r="K289" s="11">
        <v>1.0</v>
      </c>
      <c r="L289" s="32">
        <f t="shared" ref="L289:L290" si="85">(7893)/P289</f>
        <v>0.4848875783</v>
      </c>
      <c r="M289" s="32">
        <f t="shared" ref="M289:M290" si="86">(190)/P289</f>
        <v>0.0116721956</v>
      </c>
      <c r="N289" s="32">
        <f t="shared" si="84"/>
        <v>5.81865094</v>
      </c>
      <c r="O289" s="32">
        <v>0.0</v>
      </c>
      <c r="P289" s="33">
        <v>16278.0</v>
      </c>
      <c r="Q289" s="34">
        <v>100.0</v>
      </c>
      <c r="R289" s="42">
        <v>48.488757832657576</v>
      </c>
      <c r="S289" s="36">
        <v>0.011672195601425236</v>
      </c>
      <c r="T289" s="36">
        <v>5.818650939918909</v>
      </c>
      <c r="U289" s="36"/>
      <c r="V289" s="36">
        <v>42.68177908834009</v>
      </c>
      <c r="W289" s="37">
        <v>0.42681779088340094</v>
      </c>
      <c r="X289" s="42">
        <v>789300.0</v>
      </c>
      <c r="Y289" s="36">
        <v>190.0</v>
      </c>
      <c r="Z289" s="36">
        <v>94716.0</v>
      </c>
      <c r="AA289" s="36"/>
      <c r="AB289" s="36">
        <v>694774.0</v>
      </c>
      <c r="AC289" s="37">
        <v>6947.74</v>
      </c>
      <c r="AD289" s="31"/>
      <c r="AE289" s="11"/>
      <c r="AF289" s="11"/>
    </row>
    <row r="290">
      <c r="A290" s="11" t="s">
        <v>310</v>
      </c>
      <c r="B290" s="39">
        <v>45690.32152777778</v>
      </c>
      <c r="C290" s="40">
        <v>45692.425</v>
      </c>
      <c r="D290" s="27" t="s">
        <v>37</v>
      </c>
      <c r="E290" s="11" t="b">
        <v>0</v>
      </c>
      <c r="F290" s="11" t="s">
        <v>49</v>
      </c>
      <c r="G290" s="11" t="s">
        <v>285</v>
      </c>
      <c r="H290" s="11" t="s">
        <v>312</v>
      </c>
      <c r="I290" s="30">
        <v>5.0</v>
      </c>
      <c r="J290" s="31">
        <v>100.0</v>
      </c>
      <c r="K290" s="11">
        <v>1.0</v>
      </c>
      <c r="L290" s="32">
        <f t="shared" si="85"/>
        <v>0.4842331288</v>
      </c>
      <c r="M290" s="32">
        <f t="shared" si="86"/>
        <v>0.01165644172</v>
      </c>
      <c r="N290" s="32">
        <f>(X290*12% - 1)/P290</f>
        <v>5.810736196</v>
      </c>
      <c r="O290" s="32">
        <v>0.0</v>
      </c>
      <c r="P290" s="33">
        <v>16300.0</v>
      </c>
      <c r="Q290" s="34">
        <v>100.0</v>
      </c>
      <c r="R290" s="42">
        <v>48.423312883435585</v>
      </c>
      <c r="S290" s="36">
        <v>0.011656441717791411</v>
      </c>
      <c r="T290" s="36">
        <v>5.810736196319018</v>
      </c>
      <c r="U290" s="36"/>
      <c r="V290" s="36">
        <v>42.624233128834355</v>
      </c>
      <c r="W290" s="37">
        <v>0.42624233128834355</v>
      </c>
      <c r="X290" s="42">
        <v>789300.0</v>
      </c>
      <c r="Y290" s="36">
        <v>190.0</v>
      </c>
      <c r="Z290" s="36">
        <v>94715.0</v>
      </c>
      <c r="AA290" s="36"/>
      <c r="AB290" s="36">
        <v>694775.0</v>
      </c>
      <c r="AC290" s="37">
        <v>6947.75</v>
      </c>
      <c r="AD290" s="31"/>
      <c r="AE290" s="11"/>
      <c r="AF290" s="11"/>
    </row>
    <row r="291">
      <c r="A291" s="11" t="s">
        <v>310</v>
      </c>
      <c r="B291" s="39">
        <v>45499.36875</v>
      </c>
      <c r="C291" s="40">
        <v>45501.478472222225</v>
      </c>
      <c r="D291" s="27" t="s">
        <v>37</v>
      </c>
      <c r="E291" s="11" t="b">
        <v>0</v>
      </c>
      <c r="F291" s="11" t="s">
        <v>38</v>
      </c>
      <c r="G291" s="11" t="s">
        <v>313</v>
      </c>
      <c r="H291" s="11" t="s">
        <v>314</v>
      </c>
      <c r="I291" s="30">
        <v>5.0</v>
      </c>
      <c r="J291" s="31">
        <v>22.0</v>
      </c>
      <c r="K291" s="11">
        <v>1.0</v>
      </c>
      <c r="L291" s="32">
        <f>(8050)/P291</f>
        <v>0.4937438665</v>
      </c>
      <c r="M291" s="32">
        <f>(1200)/P291</f>
        <v>0.07360157017</v>
      </c>
      <c r="N291" s="32">
        <f>(17660)/P291</f>
        <v>1.083169774</v>
      </c>
      <c r="O291" s="32">
        <v>0.0</v>
      </c>
      <c r="P291" s="33">
        <v>16304.0</v>
      </c>
      <c r="Q291" s="34">
        <v>22.0</v>
      </c>
      <c r="R291" s="42">
        <v>10.862365063788028</v>
      </c>
      <c r="S291" s="36">
        <v>0.07360157016683022</v>
      </c>
      <c r="T291" s="36">
        <v>1.0831697742885182</v>
      </c>
      <c r="U291" s="36"/>
      <c r="V291" s="36">
        <v>9.852796859666341</v>
      </c>
      <c r="W291" s="37">
        <v>0.4478544027121064</v>
      </c>
      <c r="X291" s="42">
        <v>177100.0</v>
      </c>
      <c r="Y291" s="36">
        <v>1200.0</v>
      </c>
      <c r="Z291" s="36">
        <v>17660.0</v>
      </c>
      <c r="AA291" s="36"/>
      <c r="AB291" s="36">
        <v>160640.00000000003</v>
      </c>
      <c r="AC291" s="37">
        <v>7301.818181818183</v>
      </c>
      <c r="AD291" s="31"/>
      <c r="AE291" s="11"/>
      <c r="AF291" s="11"/>
    </row>
    <row r="292">
      <c r="A292" s="11" t="s">
        <v>310</v>
      </c>
      <c r="B292" s="39">
        <v>45429.34444444445</v>
      </c>
      <c r="C292" s="40">
        <v>45430.44930555556</v>
      </c>
      <c r="D292" s="27" t="s">
        <v>33</v>
      </c>
      <c r="E292" s="11" t="b">
        <v>0</v>
      </c>
      <c r="F292" s="11" t="s">
        <v>38</v>
      </c>
      <c r="G292" s="11" t="s">
        <v>200</v>
      </c>
      <c r="H292" s="11" t="s">
        <v>302</v>
      </c>
      <c r="I292" s="30">
        <v>5.0</v>
      </c>
      <c r="J292" s="31">
        <v>35.0</v>
      </c>
      <c r="K292" s="11">
        <v>1.0</v>
      </c>
      <c r="L292" s="32">
        <f>(8200)/P292</f>
        <v>0.5132377793</v>
      </c>
      <c r="M292" s="32">
        <f>(287)/P292</f>
        <v>0.01796332228</v>
      </c>
      <c r="N292" s="32">
        <f>(28700)/P292</f>
        <v>1.796332228</v>
      </c>
      <c r="O292" s="32">
        <v>0.0</v>
      </c>
      <c r="P292" s="33">
        <v>15977.0</v>
      </c>
      <c r="Q292" s="34">
        <v>35.0</v>
      </c>
      <c r="R292" s="42">
        <v>17.96332227577142</v>
      </c>
      <c r="S292" s="36">
        <v>0.01796332227577142</v>
      </c>
      <c r="T292" s="36">
        <v>1.796332227577142</v>
      </c>
      <c r="U292" s="36"/>
      <c r="V292" s="36">
        <v>16.18495337047005</v>
      </c>
      <c r="W292" s="37">
        <v>0.4624272391562872</v>
      </c>
      <c r="X292" s="42">
        <v>287000.0</v>
      </c>
      <c r="Y292" s="36">
        <v>287.0</v>
      </c>
      <c r="Z292" s="36">
        <v>28700.0</v>
      </c>
      <c r="AA292" s="36"/>
      <c r="AB292" s="36">
        <v>258587.0</v>
      </c>
      <c r="AC292" s="37">
        <v>7388.2</v>
      </c>
      <c r="AD292" s="31"/>
      <c r="AE292" s="11"/>
      <c r="AF292" s="11"/>
    </row>
    <row r="293">
      <c r="A293" s="11" t="s">
        <v>315</v>
      </c>
      <c r="B293" s="39">
        <v>43459.0</v>
      </c>
      <c r="C293" s="40">
        <v>43461.0</v>
      </c>
      <c r="D293" s="27" t="s">
        <v>56</v>
      </c>
      <c r="E293" s="11" t="b">
        <v>0</v>
      </c>
      <c r="F293" s="11" t="s">
        <v>316</v>
      </c>
      <c r="G293" s="59" t="str">
        <f>"https://www.blibli.com/p/epson-l310-printer-hitam/ps--JAU-22251-00067"</f>
        <v>https://www.blibli.com/p/epson-l310-printer-hitam/ps--JAU-22251-00067</v>
      </c>
      <c r="H293" s="11" t="s">
        <v>317</v>
      </c>
      <c r="I293" s="33"/>
      <c r="J293" s="31">
        <v>1.0</v>
      </c>
      <c r="K293" s="11">
        <v>1.0</v>
      </c>
      <c r="L293" s="32">
        <f>1725000*(1-25%)/P293</f>
        <v>129.375</v>
      </c>
      <c r="M293" s="32">
        <v>0.0</v>
      </c>
      <c r="N293" s="32"/>
      <c r="O293" s="32"/>
      <c r="P293" s="33">
        <v>10000.0</v>
      </c>
      <c r="Q293" s="34">
        <v>1.0</v>
      </c>
      <c r="R293" s="42">
        <v>129.375</v>
      </c>
      <c r="S293" s="36"/>
      <c r="T293" s="36"/>
      <c r="U293" s="36"/>
      <c r="V293" s="36">
        <v>129.375</v>
      </c>
      <c r="W293" s="37">
        <v>129.375</v>
      </c>
      <c r="X293" s="42">
        <v>1293750.0</v>
      </c>
      <c r="Y293" s="36"/>
      <c r="Z293" s="36"/>
      <c r="AA293" s="36"/>
      <c r="AB293" s="36">
        <v>1293750.0</v>
      </c>
      <c r="AC293" s="37">
        <v>1293750.0</v>
      </c>
      <c r="AD293" s="31">
        <v>1725000.0</v>
      </c>
      <c r="AE293" s="11">
        <v>1725000.0</v>
      </c>
      <c r="AF293" s="11"/>
    </row>
    <row r="294">
      <c r="A294" s="11" t="s">
        <v>318</v>
      </c>
      <c r="B294" s="39">
        <v>45598.59930555556</v>
      </c>
      <c r="C294" s="40">
        <v>45605.541666666664</v>
      </c>
      <c r="D294" s="27" t="s">
        <v>37</v>
      </c>
      <c r="E294" s="11" t="b">
        <v>0</v>
      </c>
      <c r="F294" s="11" t="s">
        <v>49</v>
      </c>
      <c r="G294" s="11" t="s">
        <v>212</v>
      </c>
      <c r="H294" s="11" t="s">
        <v>245</v>
      </c>
      <c r="I294" s="30">
        <v>5.0</v>
      </c>
      <c r="J294" s="31">
        <v>100.0</v>
      </c>
      <c r="K294" s="11">
        <v>1.0</v>
      </c>
      <c r="L294" s="32">
        <f t="shared" ref="L294:L295" si="87">(6100)/P294</f>
        <v>0.3850523924</v>
      </c>
      <c r="M294" s="32">
        <f>(1000/5 + 1800/5)/P294</f>
        <v>0.03534907209</v>
      </c>
      <c r="N294" s="32">
        <f>X294*8%/P294</f>
        <v>3.080419139</v>
      </c>
      <c r="O294" s="32">
        <v>0.0</v>
      </c>
      <c r="P294" s="33">
        <v>15842.0</v>
      </c>
      <c r="Q294" s="34">
        <v>100.0</v>
      </c>
      <c r="R294" s="42">
        <v>38.505239237470015</v>
      </c>
      <c r="S294" s="36">
        <v>0.03534907208685772</v>
      </c>
      <c r="T294" s="36">
        <v>3.0804191389976014</v>
      </c>
      <c r="U294" s="36"/>
      <c r="V294" s="36">
        <v>35.460169170559276</v>
      </c>
      <c r="W294" s="37">
        <v>0.35460169170559275</v>
      </c>
      <c r="X294" s="42">
        <v>610000.0</v>
      </c>
      <c r="Y294" s="36">
        <v>560.0</v>
      </c>
      <c r="Z294" s="36">
        <v>48800.0</v>
      </c>
      <c r="AA294" s="36"/>
      <c r="AB294" s="36">
        <v>561760.0</v>
      </c>
      <c r="AC294" s="37">
        <v>5617.6</v>
      </c>
      <c r="AD294" s="31"/>
      <c r="AE294" s="11"/>
      <c r="AF294" s="11"/>
    </row>
    <row r="295">
      <c r="A295" s="11" t="s">
        <v>318</v>
      </c>
      <c r="B295" s="39">
        <v>45592.979166666664</v>
      </c>
      <c r="C295" s="40">
        <v>45598.70972222222</v>
      </c>
      <c r="D295" s="27" t="s">
        <v>33</v>
      </c>
      <c r="E295" s="11" t="b">
        <v>0</v>
      </c>
      <c r="F295" s="11" t="s">
        <v>49</v>
      </c>
      <c r="G295" s="11" t="s">
        <v>212</v>
      </c>
      <c r="H295" s="11" t="s">
        <v>216</v>
      </c>
      <c r="I295" s="30">
        <v>5.0</v>
      </c>
      <c r="J295" s="31">
        <v>100.0</v>
      </c>
      <c r="K295" s="11">
        <v>1.0</v>
      </c>
      <c r="L295" s="32">
        <f t="shared" si="87"/>
        <v>0.3886588085</v>
      </c>
      <c r="M295" s="32">
        <f>(1000/4)/P295</f>
        <v>0.01592863969</v>
      </c>
      <c r="N295" s="36">
        <f>(610000)*10%/P295</f>
        <v>3.886588085</v>
      </c>
      <c r="O295" s="32">
        <v>0.0</v>
      </c>
      <c r="P295" s="33">
        <v>15695.0</v>
      </c>
      <c r="Q295" s="34">
        <v>100.0</v>
      </c>
      <c r="R295" s="42">
        <v>38.86588085377509</v>
      </c>
      <c r="S295" s="36">
        <v>0.01592863969417012</v>
      </c>
      <c r="T295" s="36">
        <v>3.8865880853775088</v>
      </c>
      <c r="U295" s="36"/>
      <c r="V295" s="36">
        <v>34.995221408091744</v>
      </c>
      <c r="W295" s="37">
        <v>0.3499522140809174</v>
      </c>
      <c r="X295" s="42">
        <v>610000.0</v>
      </c>
      <c r="Y295" s="36">
        <v>250.0</v>
      </c>
      <c r="Z295" s="36">
        <v>61000.0</v>
      </c>
      <c r="AA295" s="36"/>
      <c r="AB295" s="36">
        <v>549249.9999999999</v>
      </c>
      <c r="AC295" s="37">
        <v>5492.499999999999</v>
      </c>
      <c r="AD295" s="31"/>
      <c r="AE295" s="11"/>
      <c r="AF295" s="11"/>
    </row>
    <row r="296">
      <c r="A296" s="11" t="s">
        <v>318</v>
      </c>
      <c r="B296" s="39">
        <v>45531.74236111111</v>
      </c>
      <c r="C296" s="40">
        <v>45534.42638888889</v>
      </c>
      <c r="D296" s="27" t="s">
        <v>37</v>
      </c>
      <c r="E296" s="11" t="b">
        <v>0</v>
      </c>
      <c r="F296" s="11" t="s">
        <v>38</v>
      </c>
      <c r="G296" s="11" t="s">
        <v>39</v>
      </c>
      <c r="H296" s="11" t="s">
        <v>319</v>
      </c>
      <c r="I296" s="30">
        <v>5.0</v>
      </c>
      <c r="J296" s="31">
        <v>6.0</v>
      </c>
      <c r="K296" s="11">
        <v>1.0</v>
      </c>
      <c r="L296" s="32">
        <f t="shared" ref="L296:L297" si="88">(6150)/P296</f>
        <v>0.3981613363</v>
      </c>
      <c r="M296" s="32">
        <f>(1000)/2/P296</f>
        <v>0.03237084035</v>
      </c>
      <c r="N296" s="32">
        <v>0.0</v>
      </c>
      <c r="O296" s="32">
        <v>0.0</v>
      </c>
      <c r="P296" s="33">
        <v>15446.0</v>
      </c>
      <c r="Q296" s="34">
        <v>6.0</v>
      </c>
      <c r="R296" s="42">
        <v>2.388968017609737</v>
      </c>
      <c r="S296" s="36">
        <v>0.03237084034701541</v>
      </c>
      <c r="T296" s="36"/>
      <c r="U296" s="36"/>
      <c r="V296" s="36">
        <v>2.4213388579567523</v>
      </c>
      <c r="W296" s="37">
        <v>0.4035564763261254</v>
      </c>
      <c r="X296" s="42">
        <v>36900.0</v>
      </c>
      <c r="Y296" s="36">
        <v>500.0</v>
      </c>
      <c r="Z296" s="36"/>
      <c r="AA296" s="36"/>
      <c r="AB296" s="36">
        <v>37399.99999999999</v>
      </c>
      <c r="AC296" s="37">
        <v>6233.333333333332</v>
      </c>
      <c r="AD296" s="31"/>
      <c r="AE296" s="11"/>
      <c r="AF296" s="11"/>
    </row>
    <row r="297">
      <c r="A297" s="11" t="s">
        <v>318</v>
      </c>
      <c r="B297" s="39">
        <v>45521.47361111111</v>
      </c>
      <c r="C297" s="40">
        <v>45523.638194444444</v>
      </c>
      <c r="D297" s="27" t="s">
        <v>33</v>
      </c>
      <c r="E297" s="11" t="b">
        <v>0</v>
      </c>
      <c r="F297" s="11" t="s">
        <v>38</v>
      </c>
      <c r="G297" s="11" t="s">
        <v>39</v>
      </c>
      <c r="H297" s="11" t="s">
        <v>320</v>
      </c>
      <c r="I297" s="30">
        <v>5.0</v>
      </c>
      <c r="J297" s="31">
        <v>17.0</v>
      </c>
      <c r="K297" s="11">
        <v>1.0</v>
      </c>
      <c r="L297" s="32">
        <f t="shared" si="88"/>
        <v>0.3959567345</v>
      </c>
      <c r="M297" s="32">
        <f>(51000 + 1000)/P297</f>
        <v>3.347926861</v>
      </c>
      <c r="N297" s="32">
        <f>(2614)/P297</f>
        <v>0.168297708</v>
      </c>
      <c r="O297" s="32">
        <f>(40000)/P297</f>
        <v>2.575328354</v>
      </c>
      <c r="P297" s="33">
        <v>15532.0</v>
      </c>
      <c r="Q297" s="34">
        <v>17.0</v>
      </c>
      <c r="R297" s="42">
        <v>6.731264486221993</v>
      </c>
      <c r="S297" s="36">
        <v>3.347926860674736</v>
      </c>
      <c r="T297" s="36">
        <v>0.1682977079577646</v>
      </c>
      <c r="U297" s="36">
        <v>2.5753283543651815</v>
      </c>
      <c r="V297" s="36">
        <v>7.335565284573782</v>
      </c>
      <c r="W297" s="37">
        <v>0.43150384026904604</v>
      </c>
      <c r="X297" s="42">
        <v>104549.99999999999</v>
      </c>
      <c r="Y297" s="36">
        <v>52000.0</v>
      </c>
      <c r="Z297" s="36">
        <v>2614.0</v>
      </c>
      <c r="AA297" s="36">
        <v>40000.0</v>
      </c>
      <c r="AB297" s="36">
        <v>113935.99999999999</v>
      </c>
      <c r="AC297" s="37">
        <v>6702.1176470588225</v>
      </c>
      <c r="AD297" s="31"/>
      <c r="AE297" s="11"/>
      <c r="AF297" s="11"/>
    </row>
    <row r="298">
      <c r="A298" s="11" t="s">
        <v>318</v>
      </c>
      <c r="B298" s="39">
        <v>45512.041666666664</v>
      </c>
      <c r="C298" s="40">
        <v>45514.40833333333</v>
      </c>
      <c r="D298" s="27" t="s">
        <v>37</v>
      </c>
      <c r="E298" s="11" t="b">
        <v>0</v>
      </c>
      <c r="F298" s="11" t="s">
        <v>49</v>
      </c>
      <c r="G298" s="11" t="s">
        <v>251</v>
      </c>
      <c r="H298" s="11" t="s">
        <v>321</v>
      </c>
      <c r="I298" s="30">
        <v>5.0</v>
      </c>
      <c r="J298" s="31">
        <v>35.0</v>
      </c>
      <c r="K298" s="11">
        <v>1.0</v>
      </c>
      <c r="L298" s="32">
        <f t="shared" ref="L298:L299" si="89">(5500)/P298</f>
        <v>0.3440510447</v>
      </c>
      <c r="M298" s="32">
        <f>(200 + 31000/4)/P298</f>
        <v>0.4973101464</v>
      </c>
      <c r="N298" s="32">
        <f>(X298*10%)/P298</f>
        <v>1.204178656</v>
      </c>
      <c r="O298" s="32">
        <f>(30000/4)/P298</f>
        <v>0.4691605155</v>
      </c>
      <c r="P298" s="33">
        <v>15986.0</v>
      </c>
      <c r="Q298" s="34">
        <v>35.0</v>
      </c>
      <c r="R298" s="42">
        <v>12.04178656324284</v>
      </c>
      <c r="S298" s="36">
        <v>0.4973101463780808</v>
      </c>
      <c r="T298" s="36">
        <v>1.204178656324284</v>
      </c>
      <c r="U298" s="36">
        <v>0.46916051545101967</v>
      </c>
      <c r="V298" s="36">
        <v>10.865757537845615</v>
      </c>
      <c r="W298" s="37">
        <v>0.3104502153670176</v>
      </c>
      <c r="X298" s="42">
        <v>192500.00000000003</v>
      </c>
      <c r="Y298" s="36">
        <v>7950.0</v>
      </c>
      <c r="Z298" s="36">
        <v>19250.000000000004</v>
      </c>
      <c r="AA298" s="36">
        <v>7500.0</v>
      </c>
      <c r="AB298" s="36">
        <v>173700.0</v>
      </c>
      <c r="AC298" s="37">
        <v>4962.857142857143</v>
      </c>
      <c r="AD298" s="31"/>
      <c r="AE298" s="11"/>
      <c r="AF298" s="11"/>
    </row>
    <row r="299">
      <c r="A299" s="11" t="s">
        <v>318</v>
      </c>
      <c r="B299" s="39">
        <v>45512.03680555556</v>
      </c>
      <c r="C299" s="40">
        <v>45514.67361111111</v>
      </c>
      <c r="D299" s="27" t="s">
        <v>37</v>
      </c>
      <c r="E299" s="11" t="b">
        <v>0</v>
      </c>
      <c r="F299" s="11" t="s">
        <v>49</v>
      </c>
      <c r="G299" s="11" t="s">
        <v>251</v>
      </c>
      <c r="H299" s="11" t="s">
        <v>322</v>
      </c>
      <c r="I299" s="30">
        <v>5.0</v>
      </c>
      <c r="J299" s="31">
        <v>12.0</v>
      </c>
      <c r="K299" s="11">
        <v>1.0</v>
      </c>
      <c r="L299" s="32">
        <f t="shared" si="89"/>
        <v>0.3440510447</v>
      </c>
      <c r="M299" s="32">
        <f>(500)/P299</f>
        <v>0.0312773677</v>
      </c>
      <c r="N299" s="32">
        <f>(X299*15%)/P299</f>
        <v>0.6192918804</v>
      </c>
      <c r="O299" s="32">
        <v>0.0</v>
      </c>
      <c r="P299" s="33">
        <v>15986.0</v>
      </c>
      <c r="Q299" s="34">
        <v>12.0</v>
      </c>
      <c r="R299" s="42">
        <v>4.128612535968973</v>
      </c>
      <c r="S299" s="36">
        <v>0.03127736769673464</v>
      </c>
      <c r="T299" s="36">
        <v>0.6192918803953459</v>
      </c>
      <c r="U299" s="36"/>
      <c r="V299" s="36">
        <v>3.5405980232703613</v>
      </c>
      <c r="W299" s="37">
        <v>0.2950498352725301</v>
      </c>
      <c r="X299" s="42">
        <v>66000.0</v>
      </c>
      <c r="Y299" s="36">
        <v>500.0</v>
      </c>
      <c r="Z299" s="36">
        <v>9900.0</v>
      </c>
      <c r="AA299" s="36"/>
      <c r="AB299" s="36">
        <v>56599.99999999999</v>
      </c>
      <c r="AC299" s="37">
        <v>4716.666666666666</v>
      </c>
      <c r="AD299" s="31"/>
      <c r="AE299" s="11"/>
      <c r="AF299" s="11"/>
    </row>
    <row r="300">
      <c r="A300" s="11" t="s">
        <v>318</v>
      </c>
      <c r="B300" s="39">
        <v>45485.614583333336</v>
      </c>
      <c r="C300" s="40">
        <v>45486.722916666666</v>
      </c>
      <c r="D300" s="27" t="s">
        <v>33</v>
      </c>
      <c r="E300" s="11" t="b">
        <v>0</v>
      </c>
      <c r="F300" s="11" t="s">
        <v>38</v>
      </c>
      <c r="G300" s="11" t="s">
        <v>323</v>
      </c>
      <c r="H300" s="11" t="s">
        <v>324</v>
      </c>
      <c r="I300" s="30">
        <v>5.0</v>
      </c>
      <c r="J300" s="31">
        <v>50.0</v>
      </c>
      <c r="K300" s="11">
        <v>1.0</v>
      </c>
      <c r="L300" s="32">
        <f t="shared" ref="L300:L301" si="90">(6000)/P300</f>
        <v>0.3723470274</v>
      </c>
      <c r="M300" s="32">
        <f>(1900)/P300</f>
        <v>0.117909892</v>
      </c>
      <c r="N300" s="32">
        <f>(30001)/P300</f>
        <v>1.861797195</v>
      </c>
      <c r="O300" s="32">
        <v>0.0</v>
      </c>
      <c r="P300" s="33">
        <v>16114.0</v>
      </c>
      <c r="Q300" s="34">
        <v>50.0</v>
      </c>
      <c r="R300" s="42">
        <v>18.617351371478218</v>
      </c>
      <c r="S300" s="36">
        <v>0.11790989201936204</v>
      </c>
      <c r="T300" s="36">
        <v>1.8617971949857266</v>
      </c>
      <c r="U300" s="36"/>
      <c r="V300" s="36">
        <v>16.873464068511854</v>
      </c>
      <c r="W300" s="37">
        <v>0.3374692813702371</v>
      </c>
      <c r="X300" s="42">
        <v>300000.0</v>
      </c>
      <c r="Y300" s="36">
        <v>1900.0</v>
      </c>
      <c r="Z300" s="36">
        <v>30001.0</v>
      </c>
      <c r="AA300" s="36"/>
      <c r="AB300" s="36">
        <v>271899.0</v>
      </c>
      <c r="AC300" s="37">
        <v>5437.98</v>
      </c>
      <c r="AD300" s="31"/>
      <c r="AE300" s="11"/>
      <c r="AF300" s="11"/>
    </row>
    <row r="301">
      <c r="A301" s="11" t="s">
        <v>318</v>
      </c>
      <c r="B301" s="39">
        <v>45429.83125</v>
      </c>
      <c r="C301" s="40">
        <v>45432.75</v>
      </c>
      <c r="D301" s="27" t="s">
        <v>33</v>
      </c>
      <c r="E301" s="11" t="b">
        <v>0</v>
      </c>
      <c r="F301" s="11" t="s">
        <v>38</v>
      </c>
      <c r="G301" s="11" t="s">
        <v>323</v>
      </c>
      <c r="H301" s="11" t="s">
        <v>325</v>
      </c>
      <c r="I301" s="30">
        <v>5.0</v>
      </c>
      <c r="J301" s="31">
        <v>71.0</v>
      </c>
      <c r="K301" s="11">
        <v>1.0</v>
      </c>
      <c r="L301" s="32">
        <f t="shared" si="90"/>
        <v>0.3755398385</v>
      </c>
      <c r="M301" s="32">
        <f>(280 + 9647 + 2628)/P301</f>
        <v>0.7858171121</v>
      </c>
      <c r="N301" s="32">
        <f>(34080)/P301</f>
        <v>2.133066283</v>
      </c>
      <c r="O301" s="32">
        <f>(8389)/P301</f>
        <v>0.5250672842</v>
      </c>
      <c r="P301" s="33">
        <v>15977.0</v>
      </c>
      <c r="Q301" s="34">
        <v>71.0</v>
      </c>
      <c r="R301" s="42">
        <v>26.66332853476873</v>
      </c>
      <c r="S301" s="36">
        <v>0.7858171120986418</v>
      </c>
      <c r="T301" s="36">
        <v>2.1330662827814986</v>
      </c>
      <c r="U301" s="36">
        <v>0.5250672842210677</v>
      </c>
      <c r="V301" s="36">
        <v>24.791012079864807</v>
      </c>
      <c r="W301" s="37">
        <v>0.349169184223448</v>
      </c>
      <c r="X301" s="42">
        <v>426000.0</v>
      </c>
      <c r="Y301" s="36">
        <v>12555.0</v>
      </c>
      <c r="Z301" s="36">
        <v>34080.0</v>
      </c>
      <c r="AA301" s="36">
        <v>8389.0</v>
      </c>
      <c r="AB301" s="36">
        <v>396086.0</v>
      </c>
      <c r="AC301" s="37">
        <v>5578.6760563380285</v>
      </c>
      <c r="AD301" s="31"/>
      <c r="AE301" s="11"/>
      <c r="AF301" s="11"/>
    </row>
    <row r="302">
      <c r="A302" s="11" t="s">
        <v>326</v>
      </c>
      <c r="B302" s="39">
        <v>43576.05097488426</v>
      </c>
      <c r="C302" s="40">
        <v>43645.975515162034</v>
      </c>
      <c r="D302" s="27" t="s">
        <v>56</v>
      </c>
      <c r="E302" s="11" t="b">
        <v>1</v>
      </c>
      <c r="F302" s="11" t="s">
        <v>57</v>
      </c>
      <c r="G302" s="59" t="str">
        <f>"https://www.aliexpress.com/item/50pcs-lot-4N35-DIP-6-In-Stock/32834781450.html?spm=2114.search0104.3.314.54a140c2ebdsKg&amp;ws_ab_test=searchweb0_0,searchweb201602_9_10065_10068_319_10059_10884_317_10887_10696_321_322_10084_453_10083_454_10103_10618_10307_537"&amp;"_536,searchweb201603_90,ppcSwitch_0&amp;algo_expid=e0dcd053-d6f6-43f2-afd7-f64fc9ff5dce-47&amp;algo_pvid=e0dcd053-d6f6-43f2-afd7-f64fc9ff5dce&amp;transAbTest=ae803_4"</f>
        <v>https://www.aliexpress.com/item/50pcs-lot-4N35-DIP-6-In-Stock/32834781450.html?spm=2114.search0104.3.314.54a140c2ebdsKg&amp;ws_ab_test=searchweb0_0,searchweb201602_9_10065_10068_319_10059_10884_317_10887_10696_321_322_10084_453_10083_454_10103_10618_10307_537_536,searchweb201603_90,ppcSwitch_0&amp;algo_expid=e0dcd053-d6f6-43f2-afd7-f64fc9ff5dce-47&amp;algo_pvid=e0dcd053-d6f6-43f2-afd7-f64fc9ff5dce&amp;transAbTest=ae803_4</v>
      </c>
      <c r="H302" s="46" t="s">
        <v>327</v>
      </c>
      <c r="I302" s="33"/>
      <c r="J302" s="31">
        <v>1.0</v>
      </c>
      <c r="K302" s="11">
        <v>50.0</v>
      </c>
      <c r="L302" s="32">
        <v>2.87</v>
      </c>
      <c r="M302" s="32">
        <v>0.0</v>
      </c>
      <c r="N302" s="32">
        <f>40112/P302</f>
        <v>2.83543361</v>
      </c>
      <c r="O302" s="32">
        <v>0.0</v>
      </c>
      <c r="P302" s="58">
        <f>40601/(1*2.87)</f>
        <v>14146.6899</v>
      </c>
      <c r="Q302" s="34">
        <v>50.0</v>
      </c>
      <c r="R302" s="42">
        <v>2.87</v>
      </c>
      <c r="S302" s="36"/>
      <c r="T302" s="36">
        <v>2.8354336100096056</v>
      </c>
      <c r="U302" s="36"/>
      <c r="V302" s="36">
        <v>0.03456638999039452</v>
      </c>
      <c r="W302" s="37">
        <v>6.913277998078904E-4</v>
      </c>
      <c r="X302" s="42">
        <v>40601.0</v>
      </c>
      <c r="Y302" s="36"/>
      <c r="Z302" s="36">
        <v>40112.0</v>
      </c>
      <c r="AA302" s="36"/>
      <c r="AB302" s="36">
        <v>489.00000000000273</v>
      </c>
      <c r="AC302" s="37">
        <v>9.780000000000054</v>
      </c>
      <c r="AD302" s="31">
        <v>2000.0</v>
      </c>
      <c r="AE302" s="11">
        <v>2000.0</v>
      </c>
      <c r="AF302" s="11" t="s">
        <v>328</v>
      </c>
    </row>
    <row r="303">
      <c r="A303" s="43" t="s">
        <v>329</v>
      </c>
      <c r="B303" s="39">
        <v>45419.49930555555</v>
      </c>
      <c r="C303" s="40">
        <v>45486.833333333336</v>
      </c>
      <c r="D303" s="27" t="s">
        <v>33</v>
      </c>
      <c r="E303" s="11" t="b">
        <v>1</v>
      </c>
      <c r="F303" s="11" t="s">
        <v>34</v>
      </c>
      <c r="G303" s="11" t="s">
        <v>45</v>
      </c>
      <c r="H303" s="11" t="s">
        <v>330</v>
      </c>
      <c r="I303" s="30">
        <v>5.0</v>
      </c>
      <c r="J303" s="31">
        <v>5000.0</v>
      </c>
      <c r="K303" s="11">
        <v>1.0</v>
      </c>
      <c r="L303" s="32">
        <f>(1339)/P303</f>
        <v>0.08345799053</v>
      </c>
      <c r="M303" s="32">
        <v>0.0</v>
      </c>
      <c r="N303" s="32">
        <v>0.0</v>
      </c>
      <c r="O303" s="32">
        <v>0.0</v>
      </c>
      <c r="P303" s="33">
        <v>16044.0</v>
      </c>
      <c r="Q303" s="34">
        <v>5000.0</v>
      </c>
      <c r="R303" s="42">
        <v>417.2899526302667</v>
      </c>
      <c r="S303" s="36"/>
      <c r="T303" s="36"/>
      <c r="U303" s="36"/>
      <c r="V303" s="36">
        <v>417.2899526302667</v>
      </c>
      <c r="W303" s="37">
        <v>0.08345799052605335</v>
      </c>
      <c r="X303" s="42">
        <v>6694999.999999999</v>
      </c>
      <c r="Y303" s="36"/>
      <c r="Z303" s="36"/>
      <c r="AA303" s="36"/>
      <c r="AB303" s="36">
        <v>6694999.999999999</v>
      </c>
      <c r="AC303" s="37">
        <v>1338.9999999999998</v>
      </c>
      <c r="AD303" s="31"/>
      <c r="AE303" s="11"/>
      <c r="AF303" s="11"/>
    </row>
    <row r="304">
      <c r="A304" s="11" t="s">
        <v>329</v>
      </c>
      <c r="B304" s="39">
        <v>45013.0</v>
      </c>
      <c r="C304" s="40">
        <v>45077.0</v>
      </c>
      <c r="D304" s="27" t="s">
        <v>33</v>
      </c>
      <c r="E304" s="11" t="b">
        <v>1</v>
      </c>
      <c r="F304" s="29" t="s">
        <v>46</v>
      </c>
      <c r="G304" s="29" t="s">
        <v>46</v>
      </c>
      <c r="H304" s="29"/>
      <c r="I304" s="30">
        <v>5.0</v>
      </c>
      <c r="J304" s="31">
        <v>5040.0</v>
      </c>
      <c r="K304" s="11">
        <v>1.0</v>
      </c>
      <c r="L304" s="32">
        <f>1522/P304</f>
        <v>0.1010221691</v>
      </c>
      <c r="M304" s="32">
        <v>0.0</v>
      </c>
      <c r="N304" s="32">
        <v>0.0</v>
      </c>
      <c r="O304" s="32">
        <v>0.0</v>
      </c>
      <c r="P304" s="33">
        <v>15066.0</v>
      </c>
      <c r="Q304" s="34">
        <v>5040.0</v>
      </c>
      <c r="R304" s="42">
        <v>509.1517323775388</v>
      </c>
      <c r="S304" s="36"/>
      <c r="T304" s="36"/>
      <c r="U304" s="36"/>
      <c r="V304" s="36">
        <v>509.1517323775388</v>
      </c>
      <c r="W304" s="37">
        <v>0.10102216912252754</v>
      </c>
      <c r="X304" s="42">
        <v>7670879.999999999</v>
      </c>
      <c r="Y304" s="36"/>
      <c r="Z304" s="36"/>
      <c r="AA304" s="36"/>
      <c r="AB304" s="36">
        <v>7670879.999999999</v>
      </c>
      <c r="AC304" s="37">
        <v>1521.9999999999998</v>
      </c>
      <c r="AD304" s="31"/>
      <c r="AE304" s="11"/>
      <c r="AF304" s="11"/>
    </row>
    <row r="305">
      <c r="A305" s="11" t="s">
        <v>329</v>
      </c>
      <c r="B305" s="39">
        <v>44874.0</v>
      </c>
      <c r="C305" s="40">
        <v>44921.0</v>
      </c>
      <c r="D305" s="27" t="s">
        <v>33</v>
      </c>
      <c r="E305" s="11" t="b">
        <v>1</v>
      </c>
      <c r="F305" s="11" t="s">
        <v>46</v>
      </c>
      <c r="G305" s="11" t="s">
        <v>46</v>
      </c>
      <c r="H305" s="11" t="s">
        <v>47</v>
      </c>
      <c r="I305" s="30">
        <v>5.0</v>
      </c>
      <c r="J305" s="31">
        <v>3000.0</v>
      </c>
      <c r="K305" s="11">
        <v>1.0</v>
      </c>
      <c r="L305" s="32">
        <f>1630/P305</f>
        <v>0.1044871795</v>
      </c>
      <c r="M305" s="32">
        <f>(1000+1000+1000+9500)/7/P305</f>
        <v>0.1144688645</v>
      </c>
      <c r="N305" s="32">
        <f>(500000/7)/P305</f>
        <v>4.578754579</v>
      </c>
      <c r="O305" s="32">
        <v>0.0</v>
      </c>
      <c r="P305" s="33">
        <v>15600.0</v>
      </c>
      <c r="Q305" s="34">
        <v>3000.0</v>
      </c>
      <c r="R305" s="42">
        <v>313.46153846153845</v>
      </c>
      <c r="S305" s="36">
        <v>0.11446886446886448</v>
      </c>
      <c r="T305" s="36">
        <v>4.578754578754579</v>
      </c>
      <c r="U305" s="36"/>
      <c r="V305" s="36">
        <v>308.99725274725273</v>
      </c>
      <c r="W305" s="37">
        <v>0.10299908424908424</v>
      </c>
      <c r="X305" s="42">
        <v>4890000.0</v>
      </c>
      <c r="Y305" s="36">
        <v>1785.7142857142858</v>
      </c>
      <c r="Z305" s="36">
        <v>71428.57142857143</v>
      </c>
      <c r="AA305" s="36"/>
      <c r="AB305" s="36">
        <v>4820357.142857143</v>
      </c>
      <c r="AC305" s="37">
        <v>1606.7857142857142</v>
      </c>
      <c r="AD305" s="31"/>
      <c r="AE305" s="11"/>
      <c r="AF305" s="11"/>
    </row>
    <row r="306">
      <c r="A306" s="11" t="s">
        <v>331</v>
      </c>
      <c r="B306" s="39">
        <v>45957.56190972222</v>
      </c>
      <c r="C306" s="40">
        <v>46005.42847222222</v>
      </c>
      <c r="D306" s="27" t="s">
        <v>33</v>
      </c>
      <c r="E306" s="11" t="b">
        <v>1</v>
      </c>
      <c r="F306" s="11" t="s">
        <v>34</v>
      </c>
      <c r="G306" s="41" t="s">
        <v>332</v>
      </c>
      <c r="H306" s="11" t="s">
        <v>333</v>
      </c>
      <c r="I306" s="30">
        <v>5.0</v>
      </c>
      <c r="J306" s="31">
        <v>5000.0</v>
      </c>
      <c r="K306" s="11">
        <v>1.0</v>
      </c>
      <c r="L306" s="32">
        <f>(637)/P306</f>
        <v>637</v>
      </c>
      <c r="M306" s="32">
        <f>(3203870 - 3185000)/P306</f>
        <v>18870</v>
      </c>
      <c r="N306" s="32">
        <v>0.0</v>
      </c>
      <c r="O306" s="32">
        <f>(27000/4)/P306</f>
        <v>6750</v>
      </c>
      <c r="P306" s="33">
        <v>1.0</v>
      </c>
      <c r="Q306" s="34">
        <v>5000.0</v>
      </c>
      <c r="R306" s="42">
        <v>3185000.0</v>
      </c>
      <c r="S306" s="36">
        <v>18870.0</v>
      </c>
      <c r="T306" s="36"/>
      <c r="U306" s="36">
        <v>6750.0</v>
      </c>
      <c r="V306" s="36">
        <v>3197120.0</v>
      </c>
      <c r="W306" s="37">
        <v>639.424</v>
      </c>
      <c r="X306" s="42">
        <v>3185000.0</v>
      </c>
      <c r="Y306" s="36">
        <v>18870.0</v>
      </c>
      <c r="Z306" s="36"/>
      <c r="AA306" s="36">
        <v>6750.0</v>
      </c>
      <c r="AB306" s="36">
        <v>3197120.0</v>
      </c>
      <c r="AC306" s="37">
        <v>639.424</v>
      </c>
      <c r="AD306" s="35"/>
      <c r="AE306" s="11"/>
      <c r="AF306" s="11"/>
    </row>
    <row r="307">
      <c r="A307" s="11" t="s">
        <v>331</v>
      </c>
      <c r="B307" s="39">
        <v>45925.04375</v>
      </c>
      <c r="C307" s="40">
        <v>45930.6125</v>
      </c>
      <c r="D307" s="27" t="s">
        <v>37</v>
      </c>
      <c r="E307" s="11" t="b">
        <v>0</v>
      </c>
      <c r="F307" s="11" t="s">
        <v>49</v>
      </c>
      <c r="G307" s="11" t="s">
        <v>334</v>
      </c>
      <c r="H307" s="11" t="s">
        <v>335</v>
      </c>
      <c r="I307" s="30">
        <v>5.0</v>
      </c>
      <c r="J307" s="31">
        <v>9.0</v>
      </c>
      <c r="K307" s="11">
        <v>1.0</v>
      </c>
      <c r="L307" s="32">
        <f>(1200)/P307</f>
        <v>0.07182188173</v>
      </c>
      <c r="M307" s="32">
        <f>(1900)/P307</f>
        <v>0.1137179794</v>
      </c>
      <c r="N307" s="32">
        <f>(5000)/P307</f>
        <v>0.2992578406</v>
      </c>
      <c r="O307" s="32">
        <v>0.0</v>
      </c>
      <c r="P307" s="33">
        <v>16708.0</v>
      </c>
      <c r="Q307" s="34">
        <v>9.0</v>
      </c>
      <c r="R307" s="42">
        <v>0.6463969355997127</v>
      </c>
      <c r="S307" s="36">
        <v>0.11371797941106057</v>
      </c>
      <c r="T307" s="36">
        <v>0.29925784055542254</v>
      </c>
      <c r="U307" s="36"/>
      <c r="V307" s="36">
        <v>0.4608570744553507</v>
      </c>
      <c r="W307" s="37">
        <v>0.05120634160615008</v>
      </c>
      <c r="X307" s="42">
        <v>10800.0</v>
      </c>
      <c r="Y307" s="36">
        <v>1900.0</v>
      </c>
      <c r="Z307" s="36">
        <v>5000.0</v>
      </c>
      <c r="AA307" s="36"/>
      <c r="AB307" s="36">
        <v>7699.999999999999</v>
      </c>
      <c r="AC307" s="37">
        <v>855.5555555555554</v>
      </c>
      <c r="AD307" s="31"/>
      <c r="AE307" s="11"/>
      <c r="AF307" s="11"/>
    </row>
    <row r="308">
      <c r="A308" s="11" t="s">
        <v>331</v>
      </c>
      <c r="B308" s="39">
        <v>45742.21319444444</v>
      </c>
      <c r="C308" s="40">
        <v>45744.72152777778</v>
      </c>
      <c r="D308" s="27" t="s">
        <v>37</v>
      </c>
      <c r="E308" s="11" t="b">
        <v>0</v>
      </c>
      <c r="F308" s="11" t="s">
        <v>49</v>
      </c>
      <c r="G308" s="11" t="s">
        <v>336</v>
      </c>
      <c r="H308" s="11" t="s">
        <v>337</v>
      </c>
      <c r="I308" s="30">
        <v>5.0</v>
      </c>
      <c r="J308" s="31">
        <v>500.0</v>
      </c>
      <c r="K308" s="11">
        <v>1.0</v>
      </c>
      <c r="L308" s="32">
        <f>(1000)/P308</f>
        <v>0.06025911419</v>
      </c>
      <c r="M308" s="32">
        <f>(120)/P308</f>
        <v>0.007231093703</v>
      </c>
      <c r="N308" s="32">
        <f>(X308*12%)/P308</f>
        <v>3.615546851</v>
      </c>
      <c r="O308" s="32">
        <v>0.0</v>
      </c>
      <c r="P308" s="33">
        <v>16595.0</v>
      </c>
      <c r="Q308" s="34">
        <v>500.0</v>
      </c>
      <c r="R308" s="42">
        <v>30.129557095510695</v>
      </c>
      <c r="S308" s="36">
        <v>0.0072310937029225674</v>
      </c>
      <c r="T308" s="36">
        <v>3.6155468514612834</v>
      </c>
      <c r="U308" s="36"/>
      <c r="V308" s="36">
        <v>26.521241337752336</v>
      </c>
      <c r="W308" s="37">
        <v>0.053042482675504675</v>
      </c>
      <c r="X308" s="42">
        <v>500000.0</v>
      </c>
      <c r="Y308" s="36">
        <v>120.0</v>
      </c>
      <c r="Z308" s="36">
        <v>60000.0</v>
      </c>
      <c r="AA308" s="36"/>
      <c r="AB308" s="36">
        <v>440120.0</v>
      </c>
      <c r="AC308" s="37">
        <v>880.24</v>
      </c>
      <c r="AD308" s="31"/>
      <c r="AE308" s="11"/>
      <c r="AF308" s="11"/>
    </row>
    <row r="309">
      <c r="A309" s="43" t="s">
        <v>331</v>
      </c>
      <c r="B309" s="39">
        <v>45455.60972222222</v>
      </c>
      <c r="C309" s="40">
        <v>45495.666666666664</v>
      </c>
      <c r="D309" s="27" t="s">
        <v>33</v>
      </c>
      <c r="E309" s="11" t="b">
        <v>1</v>
      </c>
      <c r="F309" s="11" t="s">
        <v>34</v>
      </c>
      <c r="G309" s="44" t="s">
        <v>338</v>
      </c>
      <c r="H309" s="11" t="s">
        <v>339</v>
      </c>
      <c r="I309" s="30">
        <v>5.0</v>
      </c>
      <c r="J309" s="31">
        <v>5000.0</v>
      </c>
      <c r="K309" s="11">
        <v>1.0</v>
      </c>
      <c r="L309" s="32">
        <f>(623)/P309</f>
        <v>0.0382208589</v>
      </c>
      <c r="M309" s="32">
        <v>0.0</v>
      </c>
      <c r="N309" s="32">
        <v>0.0</v>
      </c>
      <c r="O309" s="32">
        <v>0.0</v>
      </c>
      <c r="P309" s="33">
        <v>16300.0</v>
      </c>
      <c r="Q309" s="34">
        <v>5000.0</v>
      </c>
      <c r="R309" s="42">
        <v>191.1042944785276</v>
      </c>
      <c r="S309" s="36"/>
      <c r="T309" s="36"/>
      <c r="U309" s="36"/>
      <c r="V309" s="36">
        <v>191.1042944785276</v>
      </c>
      <c r="W309" s="37">
        <v>0.03822085889570552</v>
      </c>
      <c r="X309" s="42">
        <v>3115000.0</v>
      </c>
      <c r="Y309" s="36"/>
      <c r="Z309" s="36"/>
      <c r="AA309" s="36"/>
      <c r="AB309" s="36">
        <v>3115000.0</v>
      </c>
      <c r="AC309" s="37">
        <v>623.0</v>
      </c>
      <c r="AD309" s="31"/>
      <c r="AE309" s="11"/>
      <c r="AF309" s="11"/>
    </row>
    <row r="310">
      <c r="A310" s="11" t="s">
        <v>331</v>
      </c>
      <c r="B310" s="39">
        <v>45429.95486111111</v>
      </c>
      <c r="C310" s="40">
        <v>45432.450206863425</v>
      </c>
      <c r="D310" s="27" t="s">
        <v>37</v>
      </c>
      <c r="E310" s="11" t="b">
        <v>0</v>
      </c>
      <c r="F310" s="11" t="s">
        <v>38</v>
      </c>
      <c r="G310" s="11" t="s">
        <v>340</v>
      </c>
      <c r="H310" s="11" t="s">
        <v>341</v>
      </c>
      <c r="I310" s="30">
        <v>5.0</v>
      </c>
      <c r="J310" s="31">
        <v>4000.0</v>
      </c>
      <c r="K310" s="11">
        <v>1.0</v>
      </c>
      <c r="L310" s="32">
        <f>(900)/P310</f>
        <v>0.05633097578</v>
      </c>
      <c r="M310" s="32">
        <f>(720 + 40000 + 21900)/P310</f>
        <v>3.919384115</v>
      </c>
      <c r="N310" s="32">
        <f>(360000)/P310</f>
        <v>22.53239031</v>
      </c>
      <c r="O310" s="32">
        <v>0.0</v>
      </c>
      <c r="P310" s="33">
        <v>15977.0</v>
      </c>
      <c r="Q310" s="34">
        <v>4000.0</v>
      </c>
      <c r="R310" s="42">
        <v>225.3239031107217</v>
      </c>
      <c r="S310" s="36">
        <v>3.9193841146648305</v>
      </c>
      <c r="T310" s="36">
        <v>22.532390311072167</v>
      </c>
      <c r="U310" s="36"/>
      <c r="V310" s="36">
        <v>206.71089691431436</v>
      </c>
      <c r="W310" s="37">
        <v>0.05167772422857859</v>
      </c>
      <c r="X310" s="42">
        <v>3600000.0000000005</v>
      </c>
      <c r="Y310" s="36">
        <v>62620.0</v>
      </c>
      <c r="Z310" s="36">
        <v>360000.0</v>
      </c>
      <c r="AA310" s="36"/>
      <c r="AB310" s="36">
        <v>3302620.0000000005</v>
      </c>
      <c r="AC310" s="37">
        <v>825.6550000000001</v>
      </c>
      <c r="AD310" s="31"/>
      <c r="AE310" s="11"/>
      <c r="AF310" s="11"/>
    </row>
    <row r="311">
      <c r="A311" s="107" t="s">
        <v>331</v>
      </c>
      <c r="B311" s="39">
        <v>45374.678941122686</v>
      </c>
      <c r="C311" s="40">
        <v>45452.822222222225</v>
      </c>
      <c r="D311" s="27" t="s">
        <v>33</v>
      </c>
      <c r="E311" s="11" t="b">
        <v>1</v>
      </c>
      <c r="F311" s="11" t="s">
        <v>34</v>
      </c>
      <c r="G311" s="44" t="s">
        <v>342</v>
      </c>
      <c r="H311" s="11" t="s">
        <v>343</v>
      </c>
      <c r="I311" s="30">
        <v>5.0</v>
      </c>
      <c r="J311" s="31">
        <v>5000.0</v>
      </c>
      <c r="K311" s="11">
        <v>1.0</v>
      </c>
      <c r="L311" s="32">
        <f>(661)/P311</f>
        <v>0.042304</v>
      </c>
      <c r="M311" s="32">
        <v>0.0</v>
      </c>
      <c r="N311" s="32">
        <v>0.0</v>
      </c>
      <c r="O311" s="32">
        <v>0.0</v>
      </c>
      <c r="P311" s="33">
        <v>15625.0</v>
      </c>
      <c r="Q311" s="34">
        <v>5000.0</v>
      </c>
      <c r="R311" s="42">
        <v>211.52</v>
      </c>
      <c r="S311" s="36"/>
      <c r="T311" s="36"/>
      <c r="U311" s="36"/>
      <c r="V311" s="36">
        <v>211.52</v>
      </c>
      <c r="W311" s="37">
        <v>0.042304</v>
      </c>
      <c r="X311" s="42">
        <v>3305000.0</v>
      </c>
      <c r="Y311" s="36"/>
      <c r="Z311" s="36"/>
      <c r="AA311" s="36"/>
      <c r="AB311" s="36">
        <v>3305000.0</v>
      </c>
      <c r="AC311" s="37">
        <v>661.0</v>
      </c>
      <c r="AD311" s="31"/>
      <c r="AE311" s="11"/>
      <c r="AF311" s="11"/>
    </row>
    <row r="312">
      <c r="A312" s="11" t="s">
        <v>331</v>
      </c>
      <c r="B312" s="39">
        <v>45372.63888888889</v>
      </c>
      <c r="C312" s="40">
        <v>45375.57344907407</v>
      </c>
      <c r="D312" s="27" t="s">
        <v>37</v>
      </c>
      <c r="E312" s="11" t="b">
        <v>0</v>
      </c>
      <c r="F312" s="11" t="s">
        <v>249</v>
      </c>
      <c r="G312" s="11" t="s">
        <v>249</v>
      </c>
      <c r="H312" s="11" t="s">
        <v>249</v>
      </c>
      <c r="I312" s="30">
        <v>5.0</v>
      </c>
      <c r="J312" s="31">
        <v>1000.0</v>
      </c>
      <c r="K312" s="11">
        <v>1.0</v>
      </c>
      <c r="L312" s="32">
        <f>(1000)/P312</f>
        <v>0.06375518011</v>
      </c>
      <c r="M312" s="32">
        <v>0.0</v>
      </c>
      <c r="N312" s="32">
        <v>0.0</v>
      </c>
      <c r="O312" s="32">
        <v>0.0</v>
      </c>
      <c r="P312" s="33">
        <v>15685.0</v>
      </c>
      <c r="Q312" s="34">
        <v>1000.0</v>
      </c>
      <c r="R312" s="42">
        <v>63.75518010838381</v>
      </c>
      <c r="S312" s="36"/>
      <c r="T312" s="36"/>
      <c r="U312" s="36"/>
      <c r="V312" s="36">
        <v>63.75518010838381</v>
      </c>
      <c r="W312" s="37">
        <v>0.06375518010838381</v>
      </c>
      <c r="X312" s="42">
        <v>1000000.0000000001</v>
      </c>
      <c r="Y312" s="36"/>
      <c r="Z312" s="36"/>
      <c r="AA312" s="36"/>
      <c r="AB312" s="36">
        <v>1000000.0000000001</v>
      </c>
      <c r="AC312" s="37">
        <v>1000.0000000000001</v>
      </c>
      <c r="AD312" s="31"/>
      <c r="AE312" s="11"/>
      <c r="AF312" s="11"/>
    </row>
    <row r="313">
      <c r="A313" s="11" t="s">
        <v>331</v>
      </c>
      <c r="B313" s="39">
        <v>45369.70486111111</v>
      </c>
      <c r="C313" s="40">
        <v>45371.365011574075</v>
      </c>
      <c r="D313" s="27" t="s">
        <v>37</v>
      </c>
      <c r="E313" s="11" t="b">
        <v>0</v>
      </c>
      <c r="F313" s="11" t="s">
        <v>200</v>
      </c>
      <c r="G313" s="11" t="s">
        <v>200</v>
      </c>
      <c r="H313" s="11" t="s">
        <v>200</v>
      </c>
      <c r="I313" s="30">
        <v>5.0</v>
      </c>
      <c r="J313" s="31">
        <v>1000.0</v>
      </c>
      <c r="K313" s="11">
        <v>1.0</v>
      </c>
      <c r="L313" s="32">
        <f>(850)/P313</f>
        <v>0.05395112663</v>
      </c>
      <c r="M313" s="32">
        <v>0.0</v>
      </c>
      <c r="N313" s="32">
        <v>0.0</v>
      </c>
      <c r="O313" s="32">
        <v>0.0</v>
      </c>
      <c r="P313" s="33">
        <v>15755.0</v>
      </c>
      <c r="Q313" s="34">
        <v>1000.0</v>
      </c>
      <c r="R313" s="42">
        <v>53.95112662646779</v>
      </c>
      <c r="S313" s="36"/>
      <c r="T313" s="36"/>
      <c r="U313" s="36"/>
      <c r="V313" s="36">
        <v>53.95112662646779</v>
      </c>
      <c r="W313" s="37">
        <v>0.05395112662646779</v>
      </c>
      <c r="X313" s="42">
        <v>850000.0</v>
      </c>
      <c r="Y313" s="36"/>
      <c r="Z313" s="36"/>
      <c r="AA313" s="36"/>
      <c r="AB313" s="36">
        <v>850000.0</v>
      </c>
      <c r="AC313" s="37">
        <v>850.0</v>
      </c>
      <c r="AD313" s="31"/>
      <c r="AE313" s="11"/>
      <c r="AF313" s="11"/>
    </row>
    <row r="314">
      <c r="A314" s="11" t="s">
        <v>331</v>
      </c>
      <c r="B314" s="39">
        <v>45250.74079570602</v>
      </c>
      <c r="C314" s="40">
        <v>45329.63081018518</v>
      </c>
      <c r="D314" s="27" t="s">
        <v>33</v>
      </c>
      <c r="E314" s="11" t="b">
        <v>1</v>
      </c>
      <c r="F314" s="11" t="s">
        <v>34</v>
      </c>
      <c r="G314" s="11" t="s">
        <v>45</v>
      </c>
      <c r="H314" s="11"/>
      <c r="I314" s="30">
        <v>5.0</v>
      </c>
      <c r="J314" s="31">
        <v>5000.0</v>
      </c>
      <c r="K314" s="11">
        <v>1.0</v>
      </c>
      <c r="L314" s="32">
        <f>(431/P314) + (1101406/5000/P314)</f>
        <v>0.04220876215</v>
      </c>
      <c r="M314" s="32">
        <v>0.0</v>
      </c>
      <c r="N314" s="32">
        <v>0.0</v>
      </c>
      <c r="O314" s="32">
        <v>0.0</v>
      </c>
      <c r="P314" s="58">
        <v>15430.0</v>
      </c>
      <c r="Q314" s="34">
        <v>5000.0</v>
      </c>
      <c r="R314" s="42">
        <v>211.04381075826313</v>
      </c>
      <c r="S314" s="36"/>
      <c r="T314" s="36"/>
      <c r="U314" s="36"/>
      <c r="V314" s="36">
        <v>211.04381075826313</v>
      </c>
      <c r="W314" s="37">
        <v>0.042208762151652625</v>
      </c>
      <c r="X314" s="42">
        <v>3256406.0</v>
      </c>
      <c r="Y314" s="36"/>
      <c r="Z314" s="36"/>
      <c r="AA314" s="36"/>
      <c r="AB314" s="36">
        <v>3256406.0</v>
      </c>
      <c r="AC314" s="37">
        <v>651.2812</v>
      </c>
      <c r="AD314" s="31"/>
      <c r="AE314" s="11"/>
      <c r="AF314" s="11"/>
    </row>
    <row r="315">
      <c r="A315" s="11" t="s">
        <v>331</v>
      </c>
      <c r="B315" s="39">
        <v>45202.3540625</v>
      </c>
      <c r="C315" s="40">
        <v>45232.63928240741</v>
      </c>
      <c r="D315" s="27" t="s">
        <v>33</v>
      </c>
      <c r="E315" s="11" t="b">
        <v>1</v>
      </c>
      <c r="F315" s="11" t="s">
        <v>46</v>
      </c>
      <c r="G315" s="61"/>
      <c r="H315" s="46" t="s">
        <v>46</v>
      </c>
      <c r="I315" s="30">
        <v>5.0</v>
      </c>
      <c r="J315" s="31">
        <v>2000.0</v>
      </c>
      <c r="K315" s="11">
        <v>1.0</v>
      </c>
      <c r="L315" s="32">
        <f t="shared" ref="L315:L316" si="91">826/P315</f>
        <v>0.05290124247</v>
      </c>
      <c r="M315" s="32">
        <v>0.0</v>
      </c>
      <c r="N315" s="32">
        <v>0.0</v>
      </c>
      <c r="O315" s="32">
        <v>0.0</v>
      </c>
      <c r="P315" s="33">
        <v>15614.0</v>
      </c>
      <c r="Q315" s="34">
        <v>2000.0</v>
      </c>
      <c r="R315" s="42">
        <v>105.80248494940437</v>
      </c>
      <c r="S315" s="36"/>
      <c r="T315" s="36"/>
      <c r="U315" s="36"/>
      <c r="V315" s="36">
        <v>105.80248494940437</v>
      </c>
      <c r="W315" s="37">
        <v>0.05290124247470219</v>
      </c>
      <c r="X315" s="42">
        <v>1652000.0</v>
      </c>
      <c r="Y315" s="36"/>
      <c r="Z315" s="36"/>
      <c r="AA315" s="36"/>
      <c r="AB315" s="36">
        <v>1652000.0</v>
      </c>
      <c r="AC315" s="37">
        <v>826.0</v>
      </c>
      <c r="AD315" s="31"/>
      <c r="AE315" s="11"/>
      <c r="AF315" s="11"/>
    </row>
    <row r="316">
      <c r="A316" s="11" t="s">
        <v>331</v>
      </c>
      <c r="B316" s="39">
        <v>45013.0</v>
      </c>
      <c r="C316" s="40">
        <v>45077.0</v>
      </c>
      <c r="D316" s="27" t="s">
        <v>33</v>
      </c>
      <c r="E316" s="11" t="b">
        <v>1</v>
      </c>
      <c r="F316" s="29" t="s">
        <v>46</v>
      </c>
      <c r="G316" s="29" t="s">
        <v>46</v>
      </c>
      <c r="H316" s="29"/>
      <c r="I316" s="30">
        <v>5.0</v>
      </c>
      <c r="J316" s="31">
        <v>5000.0</v>
      </c>
      <c r="K316" s="11">
        <v>1.0</v>
      </c>
      <c r="L316" s="32">
        <f t="shared" si="91"/>
        <v>0.05482543475</v>
      </c>
      <c r="M316" s="32">
        <v>0.0</v>
      </c>
      <c r="N316" s="32">
        <v>0.0</v>
      </c>
      <c r="O316" s="32">
        <v>0.0</v>
      </c>
      <c r="P316" s="33">
        <v>15066.0</v>
      </c>
      <c r="Q316" s="34">
        <v>5000.0</v>
      </c>
      <c r="R316" s="42">
        <v>274.1271737687508</v>
      </c>
      <c r="S316" s="36"/>
      <c r="T316" s="36"/>
      <c r="U316" s="36"/>
      <c r="V316" s="36">
        <v>274.1271737687508</v>
      </c>
      <c r="W316" s="37">
        <v>0.054825434753750166</v>
      </c>
      <c r="X316" s="42">
        <v>4130000.0</v>
      </c>
      <c r="Y316" s="36"/>
      <c r="Z316" s="36"/>
      <c r="AA316" s="36"/>
      <c r="AB316" s="36">
        <v>4130000.0</v>
      </c>
      <c r="AC316" s="37">
        <v>826.0</v>
      </c>
      <c r="AD316" s="31"/>
      <c r="AE316" s="11"/>
      <c r="AF316" s="11"/>
    </row>
    <row r="317">
      <c r="A317" s="11" t="s">
        <v>331</v>
      </c>
      <c r="B317" s="39">
        <v>44874.0</v>
      </c>
      <c r="C317" s="40">
        <v>44921.0</v>
      </c>
      <c r="D317" s="27" t="s">
        <v>33</v>
      </c>
      <c r="E317" s="11" t="b">
        <v>1</v>
      </c>
      <c r="F317" s="11" t="s">
        <v>46</v>
      </c>
      <c r="G317" s="11" t="s">
        <v>46</v>
      </c>
      <c r="H317" s="11" t="s">
        <v>47</v>
      </c>
      <c r="I317" s="30">
        <v>5.0</v>
      </c>
      <c r="J317" s="31">
        <v>3000.0</v>
      </c>
      <c r="K317" s="11">
        <v>1.0</v>
      </c>
      <c r="L317" s="32">
        <f>890/P317</f>
        <v>0.05705128205</v>
      </c>
      <c r="M317" s="32">
        <f>(1000+1000+1000+9500)/7/P317</f>
        <v>0.1144688645</v>
      </c>
      <c r="N317" s="32">
        <f>(500000/7)/P317</f>
        <v>4.578754579</v>
      </c>
      <c r="O317" s="32">
        <v>0.0</v>
      </c>
      <c r="P317" s="33">
        <v>15600.0</v>
      </c>
      <c r="Q317" s="34">
        <v>3000.0</v>
      </c>
      <c r="R317" s="42">
        <v>171.15384615384616</v>
      </c>
      <c r="S317" s="36">
        <v>0.11446886446886448</v>
      </c>
      <c r="T317" s="36">
        <v>4.578754578754579</v>
      </c>
      <c r="U317" s="36"/>
      <c r="V317" s="36">
        <v>166.68956043956047</v>
      </c>
      <c r="W317" s="37">
        <v>0.055563186813186824</v>
      </c>
      <c r="X317" s="42">
        <v>2670000.0</v>
      </c>
      <c r="Y317" s="36">
        <v>1785.7142857142858</v>
      </c>
      <c r="Z317" s="36">
        <v>71428.57142857143</v>
      </c>
      <c r="AA317" s="36"/>
      <c r="AB317" s="36">
        <v>2600357.142857143</v>
      </c>
      <c r="AC317" s="37">
        <v>866.7857142857144</v>
      </c>
      <c r="AD317" s="31"/>
      <c r="AE317" s="11"/>
      <c r="AF317" s="11"/>
    </row>
    <row r="318">
      <c r="A318" s="11" t="s">
        <v>344</v>
      </c>
      <c r="B318" s="39">
        <v>44158.487008020835</v>
      </c>
      <c r="C318" s="40">
        <v>44170.72566119213</v>
      </c>
      <c r="D318" s="27" t="s">
        <v>163</v>
      </c>
      <c r="E318" s="11" t="b">
        <v>1</v>
      </c>
      <c r="F318" s="11" t="s">
        <v>49</v>
      </c>
      <c r="G318" s="45" t="s">
        <v>345</v>
      </c>
      <c r="H318" s="46" t="s">
        <v>346</v>
      </c>
      <c r="I318" s="30">
        <v>5.0</v>
      </c>
      <c r="J318" s="31">
        <v>10.0</v>
      </c>
      <c r="K318" s="11">
        <v>100.0</v>
      </c>
      <c r="L318" s="32">
        <f>16142/P318</f>
        <v>1.6142</v>
      </c>
      <c r="M318" s="32">
        <f>12000/P318</f>
        <v>1.2</v>
      </c>
      <c r="N318" s="32">
        <v>0.0</v>
      </c>
      <c r="O318" s="32">
        <f>12000/P318</f>
        <v>1.2</v>
      </c>
      <c r="P318" s="33">
        <v>10000.0</v>
      </c>
      <c r="Q318" s="34">
        <v>1000.0</v>
      </c>
      <c r="R318" s="42">
        <v>16.142</v>
      </c>
      <c r="S318" s="36">
        <v>1.2</v>
      </c>
      <c r="T318" s="36"/>
      <c r="U318" s="36">
        <v>1.2</v>
      </c>
      <c r="V318" s="36">
        <v>16.142</v>
      </c>
      <c r="W318" s="37">
        <v>0.016142</v>
      </c>
      <c r="X318" s="42">
        <v>161420.0</v>
      </c>
      <c r="Y318" s="36">
        <v>12000.0</v>
      </c>
      <c r="Z318" s="36"/>
      <c r="AA318" s="36">
        <v>12000.0</v>
      </c>
      <c r="AB318" s="36">
        <v>161420.0</v>
      </c>
      <c r="AC318" s="37">
        <v>161.42</v>
      </c>
      <c r="AD318" s="31"/>
      <c r="AE318" s="11"/>
      <c r="AF318" s="11"/>
    </row>
    <row r="319">
      <c r="A319" s="11" t="s">
        <v>344</v>
      </c>
      <c r="B319" s="39">
        <v>43883.0</v>
      </c>
      <c r="C319" s="40">
        <v>43911.0</v>
      </c>
      <c r="D319" s="27" t="s">
        <v>56</v>
      </c>
      <c r="E319" s="11" t="b">
        <v>1</v>
      </c>
      <c r="F319" s="11" t="s">
        <v>57</v>
      </c>
      <c r="G319" s="57" t="s">
        <v>347</v>
      </c>
      <c r="H319" s="29" t="s">
        <v>348</v>
      </c>
      <c r="I319" s="33">
        <v>5.0</v>
      </c>
      <c r="J319" s="31">
        <v>1.0</v>
      </c>
      <c r="K319" s="11">
        <v>100.0</v>
      </c>
      <c r="L319" s="32">
        <v>1.01</v>
      </c>
      <c r="M319" s="32"/>
      <c r="N319" s="32"/>
      <c r="O319" s="32"/>
      <c r="P319" s="58">
        <f>14194/1.01</f>
        <v>14053.46535</v>
      </c>
      <c r="Q319" s="34">
        <v>100.0</v>
      </c>
      <c r="R319" s="42">
        <v>1.01</v>
      </c>
      <c r="S319" s="36"/>
      <c r="T319" s="36"/>
      <c r="U319" s="36"/>
      <c r="V319" s="36">
        <v>1.01</v>
      </c>
      <c r="W319" s="37">
        <v>0.0101</v>
      </c>
      <c r="X319" s="42">
        <v>14194.0</v>
      </c>
      <c r="Y319" s="36"/>
      <c r="Z319" s="36"/>
      <c r="AA319" s="36"/>
      <c r="AB319" s="36">
        <v>14194.0</v>
      </c>
      <c r="AC319" s="37">
        <v>141.94</v>
      </c>
      <c r="AD319" s="31"/>
      <c r="AE319" s="11">
        <v>250.0</v>
      </c>
      <c r="AF319" s="11"/>
    </row>
    <row r="320">
      <c r="A320" s="11" t="s">
        <v>344</v>
      </c>
      <c r="B320" s="39">
        <v>43883.0</v>
      </c>
      <c r="C320" s="40">
        <v>43948.0</v>
      </c>
      <c r="D320" s="27" t="s">
        <v>56</v>
      </c>
      <c r="E320" s="11" t="b">
        <v>1</v>
      </c>
      <c r="F320" s="11" t="s">
        <v>57</v>
      </c>
      <c r="G320" s="57" t="s">
        <v>349</v>
      </c>
      <c r="H320" s="29" t="s">
        <v>350</v>
      </c>
      <c r="I320" s="33">
        <v>5.0</v>
      </c>
      <c r="J320" s="31">
        <v>8.0</v>
      </c>
      <c r="K320" s="11">
        <v>50.0</v>
      </c>
      <c r="L320" s="32">
        <v>0.53</v>
      </c>
      <c r="M320" s="32">
        <f>25000/P320</f>
        <v>1.778971218</v>
      </c>
      <c r="N320" s="32"/>
      <c r="O320" s="32"/>
      <c r="P320" s="58">
        <f>59585/4.24</f>
        <v>14053.06604</v>
      </c>
      <c r="Q320" s="34">
        <v>400.0</v>
      </c>
      <c r="R320" s="42">
        <v>4.24</v>
      </c>
      <c r="S320" s="36">
        <v>1.7789712175883192</v>
      </c>
      <c r="T320" s="36"/>
      <c r="U320" s="36"/>
      <c r="V320" s="36">
        <v>6.018971217588319</v>
      </c>
      <c r="W320" s="37">
        <v>0.015047428043970799</v>
      </c>
      <c r="X320" s="42">
        <v>59585.0</v>
      </c>
      <c r="Y320" s="36">
        <v>25000.0</v>
      </c>
      <c r="Z320" s="36"/>
      <c r="AA320" s="36"/>
      <c r="AB320" s="36">
        <v>84585.0</v>
      </c>
      <c r="AC320" s="37">
        <v>211.4625</v>
      </c>
      <c r="AD320" s="31"/>
      <c r="AE320" s="11">
        <v>250.0</v>
      </c>
      <c r="AF320" s="11"/>
    </row>
    <row r="321">
      <c r="A321" s="11" t="s">
        <v>351</v>
      </c>
      <c r="B321" s="39">
        <v>45909.60277777778</v>
      </c>
      <c r="C321" s="40">
        <v>45912.44097222222</v>
      </c>
      <c r="D321" s="27" t="s">
        <v>33</v>
      </c>
      <c r="E321" s="11" t="b">
        <v>0</v>
      </c>
      <c r="F321" s="11" t="s">
        <v>49</v>
      </c>
      <c r="G321" s="11" t="s">
        <v>279</v>
      </c>
      <c r="H321" s="11" t="s">
        <v>352</v>
      </c>
      <c r="I321" s="30">
        <v>5.0</v>
      </c>
      <c r="J321" s="31">
        <v>26.0</v>
      </c>
      <c r="K321" s="11">
        <v>1.0</v>
      </c>
      <c r="L321" s="32">
        <f t="shared" ref="L321:L322" si="92">(31000)/P321</f>
        <v>1.880269303</v>
      </c>
      <c r="M321" s="32">
        <f>(1000)/P321</f>
        <v>0.06065384849</v>
      </c>
      <c r="N321" s="32">
        <f t="shared" ref="N321:N322" si="93">(X321*12%)/P321</f>
        <v>5.866440226</v>
      </c>
      <c r="O321" s="32">
        <v>0.0</v>
      </c>
      <c r="P321" s="33">
        <v>16487.0</v>
      </c>
      <c r="Q321" s="34">
        <v>26.0</v>
      </c>
      <c r="R321" s="42">
        <v>48.8870018802693</v>
      </c>
      <c r="S321" s="36">
        <v>0.06065384848668648</v>
      </c>
      <c r="T321" s="36">
        <v>5.866440225632316</v>
      </c>
      <c r="U321" s="36"/>
      <c r="V321" s="36">
        <v>43.08121550312367</v>
      </c>
      <c r="W321" s="37">
        <v>1.6569698270432183</v>
      </c>
      <c r="X321" s="42">
        <v>806000.0</v>
      </c>
      <c r="Y321" s="36">
        <v>1000.0</v>
      </c>
      <c r="Z321" s="36">
        <v>96720.0</v>
      </c>
      <c r="AA321" s="36"/>
      <c r="AB321" s="36">
        <v>710280.0</v>
      </c>
      <c r="AC321" s="37">
        <v>27318.46153846154</v>
      </c>
      <c r="AD321" s="31"/>
      <c r="AE321" s="11"/>
      <c r="AF321" s="11"/>
    </row>
    <row r="322">
      <c r="A322" s="11" t="s">
        <v>351</v>
      </c>
      <c r="B322" s="39">
        <v>45833.00555555556</v>
      </c>
      <c r="C322" s="40">
        <v>45840.67083333333</v>
      </c>
      <c r="D322" s="27" t="s">
        <v>37</v>
      </c>
      <c r="E322" s="11" t="b">
        <v>0</v>
      </c>
      <c r="F322" s="11" t="s">
        <v>49</v>
      </c>
      <c r="G322" s="11" t="s">
        <v>279</v>
      </c>
      <c r="H322" s="11" t="s">
        <v>353</v>
      </c>
      <c r="I322" s="30">
        <v>5.0</v>
      </c>
      <c r="J322" s="31">
        <v>109.0</v>
      </c>
      <c r="K322" s="11">
        <v>1.0</v>
      </c>
      <c r="L322" s="32">
        <f t="shared" si="92"/>
        <v>1.897300936</v>
      </c>
      <c r="M322" s="32">
        <f>(1622)/P322</f>
        <v>0.09927168125</v>
      </c>
      <c r="N322" s="32">
        <f t="shared" si="93"/>
        <v>24.81669625</v>
      </c>
      <c r="O322" s="32">
        <v>0.0</v>
      </c>
      <c r="P322" s="33">
        <v>16339.0</v>
      </c>
      <c r="Q322" s="34">
        <v>109.0</v>
      </c>
      <c r="R322" s="42">
        <v>206.80580206867006</v>
      </c>
      <c r="S322" s="36">
        <v>0.09927168125344268</v>
      </c>
      <c r="T322" s="36">
        <v>24.816696248240408</v>
      </c>
      <c r="U322" s="36"/>
      <c r="V322" s="36">
        <v>182.08837750168308</v>
      </c>
      <c r="W322" s="37">
        <v>1.6705355734099365</v>
      </c>
      <c r="X322" s="42">
        <v>3379000.0</v>
      </c>
      <c r="Y322" s="36">
        <v>1622.0</v>
      </c>
      <c r="Z322" s="36">
        <v>405480.0</v>
      </c>
      <c r="AA322" s="36"/>
      <c r="AB322" s="36">
        <v>2975142.0</v>
      </c>
      <c r="AC322" s="37">
        <v>27294.880733944956</v>
      </c>
      <c r="AD322" s="31"/>
      <c r="AE322" s="11"/>
      <c r="AF322" s="11"/>
    </row>
    <row r="323">
      <c r="A323" s="11" t="s">
        <v>351</v>
      </c>
      <c r="B323" s="39">
        <v>45801.87777777778</v>
      </c>
      <c r="C323" s="40">
        <v>45804.748611111114</v>
      </c>
      <c r="D323" s="27" t="s">
        <v>33</v>
      </c>
      <c r="E323" s="11" t="b">
        <v>0</v>
      </c>
      <c r="F323" s="11" t="s">
        <v>49</v>
      </c>
      <c r="G323" s="11" t="s">
        <v>354</v>
      </c>
      <c r="H323" s="11" t="s">
        <v>355</v>
      </c>
      <c r="I323" s="30">
        <v>5.0</v>
      </c>
      <c r="J323" s="31">
        <v>4.0</v>
      </c>
      <c r="K323" s="11">
        <v>1.0</v>
      </c>
      <c r="L323" s="32">
        <f t="shared" ref="L323:L324" si="94">(43000)/P323</f>
        <v>2.649088221</v>
      </c>
      <c r="M323" s="32">
        <f t="shared" ref="M323:M324" si="95">(1900)/P323</f>
        <v>0.1170527353</v>
      </c>
      <c r="N323" s="32">
        <f>(25000)/P323</f>
        <v>1.54016757</v>
      </c>
      <c r="O323" s="32">
        <v>0.0</v>
      </c>
      <c r="P323" s="33">
        <v>16232.0</v>
      </c>
      <c r="Q323" s="34">
        <v>4.0</v>
      </c>
      <c r="R323" s="42">
        <v>10.596352883193692</v>
      </c>
      <c r="S323" s="36">
        <v>0.11705273533760473</v>
      </c>
      <c r="T323" s="36">
        <v>1.5401675702316413</v>
      </c>
      <c r="U323" s="36"/>
      <c r="V323" s="36">
        <v>9.173238048299655</v>
      </c>
      <c r="W323" s="37">
        <v>2.293309512074914</v>
      </c>
      <c r="X323" s="42">
        <v>172000.0</v>
      </c>
      <c r="Y323" s="36">
        <v>1900.0</v>
      </c>
      <c r="Z323" s="36">
        <v>25000.0</v>
      </c>
      <c r="AA323" s="36"/>
      <c r="AB323" s="36">
        <v>148900.0</v>
      </c>
      <c r="AC323" s="37">
        <v>37225.0</v>
      </c>
      <c r="AD323" s="31"/>
      <c r="AE323" s="11"/>
      <c r="AF323" s="11"/>
    </row>
    <row r="324">
      <c r="A324" s="11" t="s">
        <v>351</v>
      </c>
      <c r="B324" s="39">
        <v>45801.86111111111</v>
      </c>
      <c r="C324" s="40">
        <v>45804.748611111114</v>
      </c>
      <c r="D324" s="27" t="s">
        <v>33</v>
      </c>
      <c r="E324" s="11" t="b">
        <v>0</v>
      </c>
      <c r="F324" s="11" t="s">
        <v>49</v>
      </c>
      <c r="G324" s="11" t="s">
        <v>354</v>
      </c>
      <c r="H324" s="11" t="s">
        <v>356</v>
      </c>
      <c r="I324" s="30">
        <v>5.0</v>
      </c>
      <c r="J324" s="31">
        <v>1.0</v>
      </c>
      <c r="K324" s="11">
        <v>1.0</v>
      </c>
      <c r="L324" s="32">
        <f t="shared" si="94"/>
        <v>2.649088221</v>
      </c>
      <c r="M324" s="32">
        <f t="shared" si="95"/>
        <v>0.1170527353</v>
      </c>
      <c r="N324" s="32">
        <f>(5000)/P324</f>
        <v>0.308033514</v>
      </c>
      <c r="O324" s="32">
        <v>0.0</v>
      </c>
      <c r="P324" s="33">
        <v>16232.0</v>
      </c>
      <c r="Q324" s="34">
        <v>1.0</v>
      </c>
      <c r="R324" s="42">
        <v>2.649088220798423</v>
      </c>
      <c r="S324" s="36">
        <v>0.11705273533760473</v>
      </c>
      <c r="T324" s="36">
        <v>0.3080335140463282</v>
      </c>
      <c r="U324" s="36"/>
      <c r="V324" s="36">
        <v>2.4581074420896996</v>
      </c>
      <c r="W324" s="37">
        <v>2.4581074420896996</v>
      </c>
      <c r="X324" s="42">
        <v>43000.0</v>
      </c>
      <c r="Y324" s="36">
        <v>1900.0</v>
      </c>
      <c r="Z324" s="36">
        <v>5000.0</v>
      </c>
      <c r="AA324" s="36"/>
      <c r="AB324" s="36">
        <v>39900.0</v>
      </c>
      <c r="AC324" s="37">
        <v>39900.0</v>
      </c>
      <c r="AD324" s="31"/>
      <c r="AE324" s="11"/>
      <c r="AF324" s="11"/>
    </row>
    <row r="325">
      <c r="A325" s="11" t="s">
        <v>351</v>
      </c>
      <c r="B325" s="39">
        <v>45742.21319444444</v>
      </c>
      <c r="C325" s="40">
        <v>45744.47361111111</v>
      </c>
      <c r="D325" s="27" t="s">
        <v>37</v>
      </c>
      <c r="E325" s="11" t="b">
        <v>0</v>
      </c>
      <c r="F325" s="11" t="s">
        <v>49</v>
      </c>
      <c r="G325" s="11" t="s">
        <v>357</v>
      </c>
      <c r="H325" s="11" t="s">
        <v>358</v>
      </c>
      <c r="I325" s="30">
        <v>5.0</v>
      </c>
      <c r="J325" s="31">
        <v>87.0</v>
      </c>
      <c r="K325" s="11">
        <v>1.0</v>
      </c>
      <c r="L325" s="32">
        <f t="shared" ref="L325:L326" si="96">(42000)/P325</f>
        <v>2.530882796</v>
      </c>
      <c r="M325" s="32">
        <f>(880)/P325</f>
        <v>0.05302802049</v>
      </c>
      <c r="N325" s="32">
        <f t="shared" ref="N325:N326" si="97">(X325*12%)/P325</f>
        <v>26.42241639</v>
      </c>
      <c r="O325" s="32">
        <v>0.0</v>
      </c>
      <c r="P325" s="33">
        <v>16595.0</v>
      </c>
      <c r="Q325" s="34">
        <v>87.0</v>
      </c>
      <c r="R325" s="42">
        <v>220.18680325399217</v>
      </c>
      <c r="S325" s="36">
        <v>0.05302802048809883</v>
      </c>
      <c r="T325" s="36">
        <v>26.42241639047906</v>
      </c>
      <c r="U325" s="36"/>
      <c r="V325" s="36">
        <v>193.81741488400118</v>
      </c>
      <c r="W325" s="37">
        <v>2.2277863779770253</v>
      </c>
      <c r="X325" s="42">
        <v>3654000.0</v>
      </c>
      <c r="Y325" s="36">
        <v>880.0</v>
      </c>
      <c r="Z325" s="36">
        <v>438480.0</v>
      </c>
      <c r="AA325" s="36"/>
      <c r="AB325" s="36">
        <v>3216399.9999999995</v>
      </c>
      <c r="AC325" s="37">
        <v>36970.11494252873</v>
      </c>
      <c r="AD325" s="31"/>
      <c r="AE325" s="11"/>
      <c r="AF325" s="11"/>
    </row>
    <row r="326">
      <c r="A326" s="11" t="s">
        <v>351</v>
      </c>
      <c r="B326" s="39">
        <v>45737.759722222225</v>
      </c>
      <c r="C326" s="40">
        <v>45740.478472222225</v>
      </c>
      <c r="D326" s="27" t="s">
        <v>37</v>
      </c>
      <c r="E326" s="11" t="b">
        <v>0</v>
      </c>
      <c r="F326" s="11" t="s">
        <v>49</v>
      </c>
      <c r="G326" s="11" t="s">
        <v>357</v>
      </c>
      <c r="H326" s="11" t="s">
        <v>359</v>
      </c>
      <c r="I326" s="30">
        <v>5.0</v>
      </c>
      <c r="J326" s="31">
        <v>99.0</v>
      </c>
      <c r="K326" s="11">
        <v>1.0</v>
      </c>
      <c r="L326" s="32">
        <f t="shared" si="96"/>
        <v>2.556610665</v>
      </c>
      <c r="M326" s="32">
        <f t="shared" ref="M326:M332" si="98">(1000)/P326</f>
        <v>0.06087168249</v>
      </c>
      <c r="N326" s="32">
        <f t="shared" si="97"/>
        <v>30.3725347</v>
      </c>
      <c r="O326" s="32">
        <v>0.0</v>
      </c>
      <c r="P326" s="33">
        <v>16428.0</v>
      </c>
      <c r="Q326" s="34">
        <v>99.0</v>
      </c>
      <c r="R326" s="42">
        <v>253.10445580715853</v>
      </c>
      <c r="S326" s="36">
        <v>0.060871682493304116</v>
      </c>
      <c r="T326" s="36">
        <v>30.372534696859024</v>
      </c>
      <c r="U326" s="36"/>
      <c r="V326" s="36">
        <v>222.79279279279282</v>
      </c>
      <c r="W326" s="37">
        <v>2.250432250432251</v>
      </c>
      <c r="X326" s="42">
        <v>4158000.0000000005</v>
      </c>
      <c r="Y326" s="36">
        <v>1000.0</v>
      </c>
      <c r="Z326" s="36">
        <v>498960.00000000006</v>
      </c>
      <c r="AA326" s="36"/>
      <c r="AB326" s="36">
        <v>3660040.0000000005</v>
      </c>
      <c r="AC326" s="37">
        <v>36970.10101010102</v>
      </c>
      <c r="AD326" s="31"/>
      <c r="AE326" s="11"/>
      <c r="AF326" s="11"/>
    </row>
    <row r="327">
      <c r="A327" s="11" t="s">
        <v>351</v>
      </c>
      <c r="B327" s="39">
        <v>45649.70416666667</v>
      </c>
      <c r="C327" s="40">
        <v>45652.425</v>
      </c>
      <c r="D327" s="27" t="s">
        <v>37</v>
      </c>
      <c r="E327" s="11" t="b">
        <v>0</v>
      </c>
      <c r="F327" s="11" t="s">
        <v>49</v>
      </c>
      <c r="G327" s="11" t="s">
        <v>279</v>
      </c>
      <c r="H327" s="11" t="s">
        <v>360</v>
      </c>
      <c r="I327" s="30">
        <v>5.0</v>
      </c>
      <c r="J327" s="31">
        <v>87.0</v>
      </c>
      <c r="K327" s="11">
        <v>1.0</v>
      </c>
      <c r="L327" s="32">
        <f t="shared" ref="L327:L328" si="99">(38000)/P327</f>
        <v>2.352067343</v>
      </c>
      <c r="M327" s="32">
        <f t="shared" si="98"/>
        <v>0.06189650904</v>
      </c>
      <c r="N327" s="32">
        <f>(X327*15%)/P327</f>
        <v>30.69447883</v>
      </c>
      <c r="O327" s="32">
        <v>0.0</v>
      </c>
      <c r="P327" s="33">
        <v>16156.0</v>
      </c>
      <c r="Q327" s="34">
        <v>87.0</v>
      </c>
      <c r="R327" s="42">
        <v>204.6298588759594</v>
      </c>
      <c r="S327" s="36">
        <v>0.06189650903689032</v>
      </c>
      <c r="T327" s="36">
        <v>30.69447883139391</v>
      </c>
      <c r="U327" s="36"/>
      <c r="V327" s="36">
        <v>173.99727655360238</v>
      </c>
      <c r="W327" s="37">
        <v>1.9999686960184182</v>
      </c>
      <c r="X327" s="42">
        <v>3306000.0</v>
      </c>
      <c r="Y327" s="36">
        <v>1000.0</v>
      </c>
      <c r="Z327" s="36">
        <v>495900.0</v>
      </c>
      <c r="AA327" s="36"/>
      <c r="AB327" s="36">
        <v>2811100.0</v>
      </c>
      <c r="AC327" s="37">
        <v>32311.494252873563</v>
      </c>
      <c r="AD327" s="31"/>
      <c r="AE327" s="11"/>
      <c r="AF327" s="11"/>
    </row>
    <row r="328">
      <c r="A328" s="11" t="s">
        <v>351</v>
      </c>
      <c r="B328" s="39">
        <v>45646.652083333334</v>
      </c>
      <c r="C328" s="40">
        <v>45648.43263888889</v>
      </c>
      <c r="D328" s="27" t="s">
        <v>37</v>
      </c>
      <c r="E328" s="11" t="b">
        <v>0</v>
      </c>
      <c r="F328" s="11" t="s">
        <v>49</v>
      </c>
      <c r="G328" s="11" t="s">
        <v>279</v>
      </c>
      <c r="H328" s="11" t="s">
        <v>361</v>
      </c>
      <c r="I328" s="30">
        <v>5.0</v>
      </c>
      <c r="J328" s="31">
        <v>4.0</v>
      </c>
      <c r="K328" s="11">
        <v>1.0</v>
      </c>
      <c r="L328" s="32">
        <f t="shared" si="99"/>
        <v>2.337310862</v>
      </c>
      <c r="M328" s="32">
        <f t="shared" si="98"/>
        <v>0.06150818059</v>
      </c>
      <c r="N328" s="32">
        <f>(22800)/P328</f>
        <v>1.402386517</v>
      </c>
      <c r="O328" s="32">
        <v>0.0</v>
      </c>
      <c r="P328" s="33">
        <v>16258.0</v>
      </c>
      <c r="Q328" s="34">
        <v>4.0</v>
      </c>
      <c r="R328" s="42">
        <v>9.349243449378767</v>
      </c>
      <c r="S328" s="36">
        <v>0.061508180588018206</v>
      </c>
      <c r="T328" s="36">
        <v>1.402386517406815</v>
      </c>
      <c r="U328" s="36"/>
      <c r="V328" s="36">
        <v>8.008365112559968</v>
      </c>
      <c r="W328" s="37">
        <v>2.002091278139992</v>
      </c>
      <c r="X328" s="42">
        <v>152000.0</v>
      </c>
      <c r="Y328" s="36">
        <v>1000.0</v>
      </c>
      <c r="Z328" s="36">
        <v>22800.0</v>
      </c>
      <c r="AA328" s="36"/>
      <c r="AB328" s="36">
        <v>130199.99999999996</v>
      </c>
      <c r="AC328" s="37">
        <v>32549.99999999999</v>
      </c>
      <c r="AD328" s="31"/>
      <c r="AE328" s="11"/>
      <c r="AF328" s="11"/>
    </row>
    <row r="329">
      <c r="A329" s="11" t="s">
        <v>351</v>
      </c>
      <c r="B329" s="39">
        <v>45428.99652777778</v>
      </c>
      <c r="C329" s="40">
        <v>45433.72996107639</v>
      </c>
      <c r="D329" s="27" t="s">
        <v>33</v>
      </c>
      <c r="E329" s="11" t="b">
        <v>0</v>
      </c>
      <c r="F329" s="11" t="s">
        <v>38</v>
      </c>
      <c r="G329" s="11" t="s">
        <v>362</v>
      </c>
      <c r="H329" s="11" t="s">
        <v>363</v>
      </c>
      <c r="I329" s="30">
        <v>5.0</v>
      </c>
      <c r="J329" s="31">
        <v>1.0</v>
      </c>
      <c r="K329" s="11">
        <v>100.0</v>
      </c>
      <c r="L329" s="32">
        <f t="shared" ref="L329:L330" si="100">(3300000)/P329</f>
        <v>207.0393375</v>
      </c>
      <c r="M329" s="32">
        <f t="shared" si="98"/>
        <v>0.06273919317</v>
      </c>
      <c r="N329" s="32">
        <f>(264000)/P329</f>
        <v>16.563147</v>
      </c>
      <c r="O329" s="32">
        <v>0.0</v>
      </c>
      <c r="P329" s="33">
        <v>15939.0</v>
      </c>
      <c r="Q329" s="34">
        <v>100.0</v>
      </c>
      <c r="R329" s="42">
        <v>207.0393374741201</v>
      </c>
      <c r="S329" s="36">
        <v>0.06273919317397578</v>
      </c>
      <c r="T329" s="36">
        <v>16.563146997929607</v>
      </c>
      <c r="U329" s="36"/>
      <c r="V329" s="36">
        <v>190.53892966936445</v>
      </c>
      <c r="W329" s="37">
        <v>1.9053892966936445</v>
      </c>
      <c r="X329" s="42">
        <v>3300000.0</v>
      </c>
      <c r="Y329" s="36">
        <v>999.9999999999999</v>
      </c>
      <c r="Z329" s="36">
        <v>264000.0</v>
      </c>
      <c r="AA329" s="36"/>
      <c r="AB329" s="36">
        <v>3037000.0</v>
      </c>
      <c r="AC329" s="37">
        <v>30370.0</v>
      </c>
      <c r="AD329" s="31"/>
      <c r="AE329" s="11"/>
      <c r="AF329" s="11"/>
    </row>
    <row r="330">
      <c r="A330" s="11" t="s">
        <v>351</v>
      </c>
      <c r="B330" s="39">
        <v>45372.8948682176</v>
      </c>
      <c r="C330" s="40">
        <v>45374.67943625</v>
      </c>
      <c r="D330" s="27" t="s">
        <v>37</v>
      </c>
      <c r="E330" s="11" t="b">
        <v>0</v>
      </c>
      <c r="F330" s="11" t="s">
        <v>38</v>
      </c>
      <c r="G330" s="11" t="s">
        <v>154</v>
      </c>
      <c r="H330" s="11" t="s">
        <v>154</v>
      </c>
      <c r="I330" s="30">
        <v>5.0</v>
      </c>
      <c r="J330" s="31">
        <v>1.0</v>
      </c>
      <c r="K330" s="11">
        <v>100.0</v>
      </c>
      <c r="L330" s="32">
        <f t="shared" si="100"/>
        <v>210.3920944</v>
      </c>
      <c r="M330" s="32">
        <f t="shared" si="98"/>
        <v>0.06375518011</v>
      </c>
      <c r="N330" s="32">
        <f>(200000)/P330</f>
        <v>12.75103602</v>
      </c>
      <c r="O330" s="32">
        <v>0.0</v>
      </c>
      <c r="P330" s="33">
        <v>15685.0</v>
      </c>
      <c r="Q330" s="34">
        <v>100.0</v>
      </c>
      <c r="R330" s="42">
        <v>210.39209435766656</v>
      </c>
      <c r="S330" s="36">
        <v>0.06375518010838381</v>
      </c>
      <c r="T330" s="36">
        <v>12.75103602167676</v>
      </c>
      <c r="U330" s="36"/>
      <c r="V330" s="36">
        <v>197.7048135160982</v>
      </c>
      <c r="W330" s="37">
        <v>1.9770481351609819</v>
      </c>
      <c r="X330" s="42">
        <v>3300000.0</v>
      </c>
      <c r="Y330" s="36">
        <v>1000.0000000000001</v>
      </c>
      <c r="Z330" s="36">
        <v>200000.0</v>
      </c>
      <c r="AA330" s="36"/>
      <c r="AB330" s="36">
        <v>3101000.0000000005</v>
      </c>
      <c r="AC330" s="37">
        <v>31010.000000000004</v>
      </c>
      <c r="AD330" s="31"/>
      <c r="AE330" s="11"/>
      <c r="AF330" s="11"/>
    </row>
    <row r="331">
      <c r="A331" s="11" t="s">
        <v>351</v>
      </c>
      <c r="B331" s="39">
        <v>45350.51756275463</v>
      </c>
      <c r="C331" s="40">
        <v>45352.48550616898</v>
      </c>
      <c r="D331" s="27" t="s">
        <v>37</v>
      </c>
      <c r="E331" s="11" t="b">
        <v>0</v>
      </c>
      <c r="F331" s="11" t="s">
        <v>38</v>
      </c>
      <c r="G331" s="11" t="s">
        <v>154</v>
      </c>
      <c r="H331" s="11" t="s">
        <v>154</v>
      </c>
      <c r="I331" s="30">
        <v>5.0</v>
      </c>
      <c r="J331" s="31">
        <v>30.0</v>
      </c>
      <c r="K331" s="11">
        <v>1.0</v>
      </c>
      <c r="L331" s="32">
        <f>(34000)/P331</f>
        <v>2.169059011</v>
      </c>
      <c r="M331" s="32">
        <f t="shared" si="98"/>
        <v>0.06379585327</v>
      </c>
      <c r="N331" s="32">
        <f>(10200)/P331</f>
        <v>0.6507177033</v>
      </c>
      <c r="O331" s="32">
        <v>0.0</v>
      </c>
      <c r="P331" s="33">
        <v>15675.0</v>
      </c>
      <c r="Q331" s="34">
        <v>30.0</v>
      </c>
      <c r="R331" s="42">
        <v>65.07177033492823</v>
      </c>
      <c r="S331" s="36">
        <v>0.06379585326953748</v>
      </c>
      <c r="T331" s="36">
        <v>0.6507177033492823</v>
      </c>
      <c r="U331" s="36"/>
      <c r="V331" s="36">
        <v>64.48484848484848</v>
      </c>
      <c r="W331" s="37">
        <v>2.1494949494949496</v>
      </c>
      <c r="X331" s="42">
        <v>1020000.0</v>
      </c>
      <c r="Y331" s="36">
        <v>999.9999999999999</v>
      </c>
      <c r="Z331" s="36">
        <v>10200.0</v>
      </c>
      <c r="AA331" s="36"/>
      <c r="AB331" s="36">
        <v>1010800.0</v>
      </c>
      <c r="AC331" s="37">
        <v>33693.333333333336</v>
      </c>
      <c r="AD331" s="31"/>
      <c r="AE331" s="11"/>
      <c r="AF331" s="11"/>
    </row>
    <row r="332">
      <c r="A332" s="11" t="s">
        <v>351</v>
      </c>
      <c r="B332" s="39">
        <v>45337.5375</v>
      </c>
      <c r="C332" s="40">
        <v>45340.45416666667</v>
      </c>
      <c r="D332" s="27" t="s">
        <v>37</v>
      </c>
      <c r="E332" s="11" t="b">
        <v>0</v>
      </c>
      <c r="F332" s="11" t="s">
        <v>38</v>
      </c>
      <c r="G332" s="11" t="s">
        <v>44</v>
      </c>
      <c r="H332" s="11" t="s">
        <v>44</v>
      </c>
      <c r="I332" s="30">
        <v>5.0</v>
      </c>
      <c r="J332" s="31">
        <v>5.0</v>
      </c>
      <c r="K332" s="11">
        <v>1.0</v>
      </c>
      <c r="L332" s="32">
        <f t="shared" ref="L332:L333" si="101">(34500)/P332</f>
        <v>2.207011259</v>
      </c>
      <c r="M332" s="32">
        <f t="shared" si="98"/>
        <v>0.06397134084</v>
      </c>
      <c r="N332" s="32">
        <f>(1725)/P332</f>
        <v>0.1103505629</v>
      </c>
      <c r="O332" s="32">
        <v>0.0</v>
      </c>
      <c r="P332" s="33">
        <v>15632.0</v>
      </c>
      <c r="Q332" s="34">
        <v>5.0</v>
      </c>
      <c r="R332" s="42">
        <v>11.035056294779938</v>
      </c>
      <c r="S332" s="36">
        <v>0.06397134083930399</v>
      </c>
      <c r="T332" s="36">
        <v>0.11035056294779938</v>
      </c>
      <c r="U332" s="36"/>
      <c r="V332" s="36">
        <v>10.988677072671443</v>
      </c>
      <c r="W332" s="37">
        <v>2.1977354145342884</v>
      </c>
      <c r="X332" s="42">
        <v>172500.0</v>
      </c>
      <c r="Y332" s="36">
        <v>1000.0</v>
      </c>
      <c r="Z332" s="36">
        <v>1725.0</v>
      </c>
      <c r="AA332" s="36"/>
      <c r="AB332" s="36">
        <v>171775.0</v>
      </c>
      <c r="AC332" s="37">
        <v>34355.0</v>
      </c>
      <c r="AD332" s="31"/>
      <c r="AE332" s="11"/>
      <c r="AF332" s="11"/>
    </row>
    <row r="333">
      <c r="A333" s="11" t="s">
        <v>351</v>
      </c>
      <c r="B333" s="39">
        <v>45312.73125</v>
      </c>
      <c r="C333" s="40">
        <v>45316.604166666664</v>
      </c>
      <c r="D333" s="27" t="s">
        <v>37</v>
      </c>
      <c r="E333" s="11" t="b">
        <v>0</v>
      </c>
      <c r="F333" s="11" t="s">
        <v>38</v>
      </c>
      <c r="G333" s="11" t="s">
        <v>154</v>
      </c>
      <c r="H333" s="11" t="s">
        <v>154</v>
      </c>
      <c r="I333" s="30">
        <v>5.0</v>
      </c>
      <c r="J333" s="31">
        <v>20.0</v>
      </c>
      <c r="K333" s="11">
        <v>1.0</v>
      </c>
      <c r="L333" s="32">
        <f t="shared" si="101"/>
        <v>2.208706786</v>
      </c>
      <c r="M333" s="32">
        <f>(24000 + 1000)/P333</f>
        <v>1.600512164</v>
      </c>
      <c r="N333" s="32">
        <f>(10350)/P333</f>
        <v>0.6626120359</v>
      </c>
      <c r="O333" s="32">
        <f>(20000/P333)</f>
        <v>1.280409731</v>
      </c>
      <c r="P333" s="33">
        <v>15620.0</v>
      </c>
      <c r="Q333" s="34">
        <v>20.0</v>
      </c>
      <c r="R333" s="42">
        <v>44.1741357234315</v>
      </c>
      <c r="S333" s="36">
        <v>1.6005121638924455</v>
      </c>
      <c r="T333" s="36">
        <v>0.6626120358514724</v>
      </c>
      <c r="U333" s="36">
        <v>1.2804097311139564</v>
      </c>
      <c r="V333" s="36">
        <v>43.831626120358514</v>
      </c>
      <c r="W333" s="37">
        <v>2.191581306017926</v>
      </c>
      <c r="X333" s="42">
        <v>690000.0</v>
      </c>
      <c r="Y333" s="36">
        <v>25000.0</v>
      </c>
      <c r="Z333" s="36">
        <v>10350.0</v>
      </c>
      <c r="AA333" s="36">
        <v>20000.0</v>
      </c>
      <c r="AB333" s="36">
        <v>684650.0</v>
      </c>
      <c r="AC333" s="37">
        <v>34232.5</v>
      </c>
      <c r="AD333" s="31"/>
      <c r="AE333" s="11"/>
      <c r="AF333" s="11"/>
    </row>
    <row r="334">
      <c r="A334" s="11" t="s">
        <v>364</v>
      </c>
      <c r="B334" s="39">
        <v>45957.56190972222</v>
      </c>
      <c r="C334" s="40">
        <v>46003.61041666667</v>
      </c>
      <c r="D334" s="27" t="s">
        <v>33</v>
      </c>
      <c r="E334" s="11" t="b">
        <v>1</v>
      </c>
      <c r="F334" s="11" t="s">
        <v>34</v>
      </c>
      <c r="G334" s="41" t="s">
        <v>365</v>
      </c>
      <c r="H334" s="11" t="s">
        <v>366</v>
      </c>
      <c r="I334" s="30">
        <v>5.0</v>
      </c>
      <c r="J334" s="31">
        <v>6000.0</v>
      </c>
      <c r="K334" s="11">
        <v>1.0</v>
      </c>
      <c r="L334" s="32">
        <f>(721)/P334</f>
        <v>721</v>
      </c>
      <c r="M334" s="32">
        <f>(4374534 - 4326000)/P334</f>
        <v>48534</v>
      </c>
      <c r="N334" s="32">
        <v>0.0</v>
      </c>
      <c r="O334" s="32">
        <f>(27000/4)/P334</f>
        <v>6750</v>
      </c>
      <c r="P334" s="33">
        <v>1.0</v>
      </c>
      <c r="Q334" s="34">
        <v>6000.0</v>
      </c>
      <c r="R334" s="42">
        <v>4326000.0</v>
      </c>
      <c r="S334" s="36">
        <v>48534.0</v>
      </c>
      <c r="T334" s="36"/>
      <c r="U334" s="36">
        <v>6750.0</v>
      </c>
      <c r="V334" s="36">
        <v>4367784.0</v>
      </c>
      <c r="W334" s="37">
        <v>727.964</v>
      </c>
      <c r="X334" s="42">
        <v>4326000.0</v>
      </c>
      <c r="Y334" s="36">
        <v>48534.0</v>
      </c>
      <c r="Z334" s="36"/>
      <c r="AA334" s="36">
        <v>6750.0</v>
      </c>
      <c r="AB334" s="36">
        <v>4367784.0</v>
      </c>
      <c r="AC334" s="37">
        <v>727.964</v>
      </c>
      <c r="AD334" s="35"/>
      <c r="AE334" s="11"/>
      <c r="AF334" s="11"/>
    </row>
    <row r="335">
      <c r="A335" s="11" t="s">
        <v>364</v>
      </c>
      <c r="B335" s="39">
        <v>45940.75902777778</v>
      </c>
      <c r="C335" s="40">
        <v>45946.56875</v>
      </c>
      <c r="D335" s="27" t="s">
        <v>33</v>
      </c>
      <c r="E335" s="11" t="b">
        <v>0</v>
      </c>
      <c r="F335" s="11" t="s">
        <v>49</v>
      </c>
      <c r="G335" s="11" t="s">
        <v>367</v>
      </c>
      <c r="H335" s="11" t="s">
        <v>368</v>
      </c>
      <c r="I335" s="30">
        <v>5.0</v>
      </c>
      <c r="J335" s="31">
        <v>800.0</v>
      </c>
      <c r="K335" s="11">
        <v>1.0</v>
      </c>
      <c r="L335" s="32">
        <f t="shared" ref="L335:L339" si="102">(950)/P335</f>
        <v>0.05729794934</v>
      </c>
      <c r="M335" s="32">
        <f>(1000)/2/P335</f>
        <v>0.03015681544</v>
      </c>
      <c r="N335" s="32">
        <f>(X335*15%)/P335</f>
        <v>6.87575392</v>
      </c>
      <c r="O335" s="32">
        <v>0.0</v>
      </c>
      <c r="P335" s="33">
        <v>16580.0</v>
      </c>
      <c r="Q335" s="34">
        <v>800.0</v>
      </c>
      <c r="R335" s="42">
        <v>45.83835946924005</v>
      </c>
      <c r="S335" s="36">
        <v>0.030156815440289506</v>
      </c>
      <c r="T335" s="36">
        <v>6.875753920386007</v>
      </c>
      <c r="U335" s="36"/>
      <c r="V335" s="36">
        <v>38.992762364294336</v>
      </c>
      <c r="W335" s="37">
        <v>0.04874095295536792</v>
      </c>
      <c r="X335" s="42">
        <v>760000.0</v>
      </c>
      <c r="Y335" s="36">
        <v>500.0</v>
      </c>
      <c r="Z335" s="36">
        <v>114000.0</v>
      </c>
      <c r="AA335" s="36"/>
      <c r="AB335" s="36">
        <v>646500.0000000001</v>
      </c>
      <c r="AC335" s="37">
        <v>808.1250000000001</v>
      </c>
      <c r="AD335" s="31"/>
      <c r="AE335" s="11"/>
      <c r="AF335" s="11"/>
    </row>
    <row r="336">
      <c r="A336" s="11" t="s">
        <v>364</v>
      </c>
      <c r="B336" s="39">
        <v>45713.02847222222</v>
      </c>
      <c r="C336" s="40">
        <v>45715.59722222222</v>
      </c>
      <c r="D336" s="27" t="s">
        <v>37</v>
      </c>
      <c r="E336" s="11" t="b">
        <v>0</v>
      </c>
      <c r="F336" s="11" t="s">
        <v>38</v>
      </c>
      <c r="G336" s="11" t="s">
        <v>369</v>
      </c>
      <c r="H336" s="11" t="s">
        <v>370</v>
      </c>
      <c r="I336" s="30">
        <v>5.0</v>
      </c>
      <c r="J336" s="31">
        <v>400.0</v>
      </c>
      <c r="K336" s="11">
        <v>1.0</v>
      </c>
      <c r="L336" s="32">
        <f t="shared" si="102"/>
        <v>0.05835380835</v>
      </c>
      <c r="M336" s="32">
        <f>(1000 + 2500)/P336</f>
        <v>0.214987715</v>
      </c>
      <c r="N336" s="32">
        <f>(X336*10%)/P336</f>
        <v>2.334152334</v>
      </c>
      <c r="O336" s="32">
        <v>0.0</v>
      </c>
      <c r="P336" s="33">
        <v>16280.0</v>
      </c>
      <c r="Q336" s="34">
        <v>400.0</v>
      </c>
      <c r="R336" s="42">
        <v>23.34152334152334</v>
      </c>
      <c r="S336" s="36">
        <v>0.214987714987715</v>
      </c>
      <c r="T336" s="36">
        <v>2.3341523341523343</v>
      </c>
      <c r="U336" s="36"/>
      <c r="V336" s="36">
        <v>21.22235872235872</v>
      </c>
      <c r="W336" s="37">
        <v>0.0530558968058968</v>
      </c>
      <c r="X336" s="42">
        <v>380000.0</v>
      </c>
      <c r="Y336" s="36">
        <v>3500.0</v>
      </c>
      <c r="Z336" s="36">
        <v>38000.0</v>
      </c>
      <c r="AA336" s="36"/>
      <c r="AB336" s="36">
        <v>345499.99999999994</v>
      </c>
      <c r="AC336" s="37">
        <v>863.7499999999999</v>
      </c>
      <c r="AD336" s="31"/>
      <c r="AE336" s="11"/>
      <c r="AF336" s="11"/>
    </row>
    <row r="337">
      <c r="A337" s="11" t="s">
        <v>364</v>
      </c>
      <c r="B337" s="39">
        <v>45690.40069444444</v>
      </c>
      <c r="C337" s="40">
        <v>45692.425</v>
      </c>
      <c r="D337" s="27" t="s">
        <v>37</v>
      </c>
      <c r="E337" s="11" t="b">
        <v>0</v>
      </c>
      <c r="F337" s="11" t="s">
        <v>38</v>
      </c>
      <c r="G337" s="11" t="s">
        <v>369</v>
      </c>
      <c r="H337" s="11" t="s">
        <v>371</v>
      </c>
      <c r="I337" s="30">
        <v>5.0</v>
      </c>
      <c r="J337" s="31">
        <v>385.0</v>
      </c>
      <c r="K337" s="11">
        <v>1.0</v>
      </c>
      <c r="L337" s="32">
        <f t="shared" si="102"/>
        <v>0.05828220859</v>
      </c>
      <c r="M337" s="32">
        <f>(2400 + 667)/P337</f>
        <v>0.1881595092</v>
      </c>
      <c r="N337" s="32">
        <f>ROUNDUP(X337*7%,0)/P337</f>
        <v>1.570736196</v>
      </c>
      <c r="O337" s="32">
        <v>0.0</v>
      </c>
      <c r="P337" s="33">
        <v>16300.0</v>
      </c>
      <c r="Q337" s="34">
        <v>385.0</v>
      </c>
      <c r="R337" s="42">
        <v>22.438650306748464</v>
      </c>
      <c r="S337" s="36">
        <v>0.188159509202454</v>
      </c>
      <c r="T337" s="36">
        <v>1.5707361963190185</v>
      </c>
      <c r="U337" s="36"/>
      <c r="V337" s="36">
        <v>21.0560736196319</v>
      </c>
      <c r="W337" s="37">
        <v>0.0546911003107322</v>
      </c>
      <c r="X337" s="42">
        <v>365749.99999999994</v>
      </c>
      <c r="Y337" s="36">
        <v>3067.0</v>
      </c>
      <c r="Z337" s="36">
        <v>25603.0</v>
      </c>
      <c r="AA337" s="36"/>
      <c r="AB337" s="36">
        <v>343213.99999999994</v>
      </c>
      <c r="AC337" s="37">
        <v>891.4649350649349</v>
      </c>
      <c r="AD337" s="31"/>
      <c r="AE337" s="11"/>
      <c r="AF337" s="11"/>
    </row>
    <row r="338">
      <c r="A338" s="11" t="s">
        <v>364</v>
      </c>
      <c r="B338" s="39">
        <v>45590.56597222222</v>
      </c>
      <c r="C338" s="40">
        <v>45593.88611111111</v>
      </c>
      <c r="D338" s="27" t="s">
        <v>33</v>
      </c>
      <c r="E338" s="11" t="b">
        <v>0</v>
      </c>
      <c r="F338" s="11" t="s">
        <v>49</v>
      </c>
      <c r="G338" s="11" t="s">
        <v>369</v>
      </c>
      <c r="H338" s="11" t="s">
        <v>372</v>
      </c>
      <c r="I338" s="30">
        <v>5.0</v>
      </c>
      <c r="J338" s="31">
        <v>400.0</v>
      </c>
      <c r="K338" s="11">
        <v>1.0</v>
      </c>
      <c r="L338" s="32">
        <f t="shared" si="102"/>
        <v>0.06052883084</v>
      </c>
      <c r="M338" s="32">
        <f>(458)/P338</f>
        <v>0.02918126792</v>
      </c>
      <c r="N338" s="32">
        <f>(45600)/P338</f>
        <v>2.90538388</v>
      </c>
      <c r="O338" s="32">
        <v>0.0</v>
      </c>
      <c r="P338" s="33">
        <v>15695.0</v>
      </c>
      <c r="Q338" s="34">
        <v>400.0</v>
      </c>
      <c r="R338" s="42">
        <v>24.211532335138582</v>
      </c>
      <c r="S338" s="36">
        <v>0.029181267919719655</v>
      </c>
      <c r="T338" s="36">
        <v>2.9053838802166294</v>
      </c>
      <c r="U338" s="36"/>
      <c r="V338" s="36">
        <v>21.335329722841674</v>
      </c>
      <c r="W338" s="37">
        <v>0.05333832430710419</v>
      </c>
      <c r="X338" s="42">
        <v>380000.00000000006</v>
      </c>
      <c r="Y338" s="36">
        <v>458.0</v>
      </c>
      <c r="Z338" s="36">
        <v>45600.0</v>
      </c>
      <c r="AA338" s="36"/>
      <c r="AB338" s="36">
        <v>334858.00000000006</v>
      </c>
      <c r="AC338" s="37">
        <v>837.1450000000001</v>
      </c>
      <c r="AD338" s="31"/>
      <c r="AE338" s="11"/>
      <c r="AF338" s="11"/>
    </row>
    <row r="339">
      <c r="A339" s="11" t="s">
        <v>364</v>
      </c>
      <c r="B339" s="39">
        <v>45584.032638888886</v>
      </c>
      <c r="C339" s="40">
        <v>45586.39375</v>
      </c>
      <c r="D339" s="27" t="s">
        <v>33</v>
      </c>
      <c r="E339" s="11" t="b">
        <v>0</v>
      </c>
      <c r="F339" s="11" t="s">
        <v>49</v>
      </c>
      <c r="G339" s="11" t="s">
        <v>369</v>
      </c>
      <c r="H339" s="11" t="s">
        <v>373</v>
      </c>
      <c r="I339" s="30">
        <v>5.0</v>
      </c>
      <c r="J339" s="31">
        <v>400.0</v>
      </c>
      <c r="K339" s="11">
        <v>1.0</v>
      </c>
      <c r="L339" s="32">
        <f t="shared" si="102"/>
        <v>0.0614290333</v>
      </c>
      <c r="M339" s="32">
        <f>(124)/P339</f>
        <v>0.008018105399</v>
      </c>
      <c r="N339" s="32">
        <f>(38000)/P339</f>
        <v>2.457161332</v>
      </c>
      <c r="O339" s="32">
        <v>0.0</v>
      </c>
      <c r="P339" s="33">
        <v>15465.0</v>
      </c>
      <c r="Q339" s="34">
        <v>400.0</v>
      </c>
      <c r="R339" s="42">
        <v>24.571613320400907</v>
      </c>
      <c r="S339" s="36">
        <v>0.008018105399288716</v>
      </c>
      <c r="T339" s="36">
        <v>2.4571613320400907</v>
      </c>
      <c r="U339" s="36"/>
      <c r="V339" s="36">
        <v>22.122470093760104</v>
      </c>
      <c r="W339" s="37">
        <v>0.05530617523440026</v>
      </c>
      <c r="X339" s="42">
        <v>380000.0</v>
      </c>
      <c r="Y339" s="36">
        <v>124.0</v>
      </c>
      <c r="Z339" s="36">
        <v>38000.0</v>
      </c>
      <c r="AA339" s="36"/>
      <c r="AB339" s="36">
        <v>342124.0</v>
      </c>
      <c r="AC339" s="37">
        <v>855.31</v>
      </c>
      <c r="AD339" s="31"/>
      <c r="AE339" s="11"/>
      <c r="AF339" s="11"/>
    </row>
    <row r="340">
      <c r="A340" s="11" t="s">
        <v>364</v>
      </c>
      <c r="B340" s="39">
        <v>45085.0</v>
      </c>
      <c r="C340" s="40">
        <v>45129.0</v>
      </c>
      <c r="D340" s="27" t="s">
        <v>33</v>
      </c>
      <c r="E340" s="11" t="b">
        <v>1</v>
      </c>
      <c r="F340" s="11" t="s">
        <v>46</v>
      </c>
      <c r="G340" s="11" t="s">
        <v>46</v>
      </c>
      <c r="H340" s="11" t="s">
        <v>159</v>
      </c>
      <c r="I340" s="30">
        <v>5.0</v>
      </c>
      <c r="J340" s="31">
        <v>15000.0</v>
      </c>
      <c r="K340" s="11">
        <v>1.0</v>
      </c>
      <c r="L340" s="32">
        <f>(654)/P340</f>
        <v>0.04389261745</v>
      </c>
      <c r="M340" s="32">
        <v>0.0</v>
      </c>
      <c r="N340" s="32">
        <v>0.0</v>
      </c>
      <c r="O340" s="32">
        <v>0.0</v>
      </c>
      <c r="P340" s="33">
        <v>14900.0</v>
      </c>
      <c r="Q340" s="34">
        <v>15000.0</v>
      </c>
      <c r="R340" s="42">
        <v>658.3892617449665</v>
      </c>
      <c r="S340" s="36"/>
      <c r="T340" s="36"/>
      <c r="U340" s="36"/>
      <c r="V340" s="36">
        <v>658.3892617449665</v>
      </c>
      <c r="W340" s="37">
        <v>0.04389261744966443</v>
      </c>
      <c r="X340" s="42">
        <v>9810000.0</v>
      </c>
      <c r="Y340" s="36"/>
      <c r="Z340" s="36"/>
      <c r="AA340" s="36"/>
      <c r="AB340" s="36">
        <v>9810000.0</v>
      </c>
      <c r="AC340" s="37">
        <v>654.0</v>
      </c>
      <c r="AD340" s="31"/>
      <c r="AE340" s="11"/>
      <c r="AF340" s="11"/>
    </row>
    <row r="341">
      <c r="A341" s="11" t="s">
        <v>364</v>
      </c>
      <c r="B341" s="39">
        <v>45079.0</v>
      </c>
      <c r="C341" s="40">
        <v>45081.0</v>
      </c>
      <c r="D341" s="27" t="s">
        <v>33</v>
      </c>
      <c r="E341" s="11" t="b">
        <v>0</v>
      </c>
      <c r="F341" s="11" t="s">
        <v>38</v>
      </c>
      <c r="G341" s="29" t="s">
        <v>374</v>
      </c>
      <c r="H341" s="46" t="s">
        <v>159</v>
      </c>
      <c r="I341" s="30">
        <v>5.0</v>
      </c>
      <c r="J341" s="31">
        <v>250.0</v>
      </c>
      <c r="K341" s="11">
        <v>1.0</v>
      </c>
      <c r="L341" s="32">
        <f>960/P341</f>
        <v>0.06487143967</v>
      </c>
      <c r="M341" s="32">
        <f>(2000)/P341</f>
        <v>0.1351488327</v>
      </c>
      <c r="N341" s="32">
        <v>0.0</v>
      </c>
      <c r="O341" s="32">
        <v>0.0</v>
      </c>
      <c r="P341" s="33">
        <v>14798.5</v>
      </c>
      <c r="Q341" s="34">
        <v>250.0</v>
      </c>
      <c r="R341" s="42">
        <v>16.217859918234957</v>
      </c>
      <c r="S341" s="36">
        <v>0.13514883265195796</v>
      </c>
      <c r="T341" s="36"/>
      <c r="U341" s="36"/>
      <c r="V341" s="36">
        <v>16.353008750886914</v>
      </c>
      <c r="W341" s="37">
        <v>0.06541203500354766</v>
      </c>
      <c r="X341" s="42">
        <v>240000.0</v>
      </c>
      <c r="Y341" s="36">
        <v>1999.9999999999998</v>
      </c>
      <c r="Z341" s="36"/>
      <c r="AA341" s="36"/>
      <c r="AB341" s="36">
        <v>242000.0</v>
      </c>
      <c r="AC341" s="37">
        <v>968.0</v>
      </c>
      <c r="AD341" s="31"/>
      <c r="AE341" s="11"/>
      <c r="AF341" s="11"/>
    </row>
    <row r="342">
      <c r="A342" s="11" t="s">
        <v>364</v>
      </c>
      <c r="B342" s="39">
        <v>44874.0</v>
      </c>
      <c r="C342" s="40">
        <v>44921.0</v>
      </c>
      <c r="D342" s="27" t="s">
        <v>33</v>
      </c>
      <c r="E342" s="11" t="b">
        <v>1</v>
      </c>
      <c r="F342" s="11" t="s">
        <v>46</v>
      </c>
      <c r="G342" s="11" t="s">
        <v>46</v>
      </c>
      <c r="H342" s="11" t="s">
        <v>47</v>
      </c>
      <c r="I342" s="30">
        <v>5.0</v>
      </c>
      <c r="J342" s="31">
        <v>3000.0</v>
      </c>
      <c r="K342" s="11">
        <v>1.0</v>
      </c>
      <c r="L342" s="32">
        <f>710/P342</f>
        <v>0.04551282051</v>
      </c>
      <c r="M342" s="32">
        <f>(1000+1000+1000+9500)/7/P342</f>
        <v>0.1144688645</v>
      </c>
      <c r="N342" s="32">
        <f>(500000/7)/P342</f>
        <v>4.578754579</v>
      </c>
      <c r="O342" s="32">
        <v>0.0</v>
      </c>
      <c r="P342" s="33">
        <v>15600.0</v>
      </c>
      <c r="Q342" s="34">
        <v>3000.0</v>
      </c>
      <c r="R342" s="42">
        <v>136.53846153846152</v>
      </c>
      <c r="S342" s="36">
        <v>0.11446886446886448</v>
      </c>
      <c r="T342" s="36">
        <v>4.578754578754579</v>
      </c>
      <c r="U342" s="36"/>
      <c r="V342" s="36">
        <v>132.07417582417582</v>
      </c>
      <c r="W342" s="37">
        <v>0.04402472527472528</v>
      </c>
      <c r="X342" s="42">
        <v>2129999.9999999995</v>
      </c>
      <c r="Y342" s="36">
        <v>1785.7142857142858</v>
      </c>
      <c r="Z342" s="36">
        <v>71428.57142857143</v>
      </c>
      <c r="AA342" s="36"/>
      <c r="AB342" s="36">
        <v>2060357.142857143</v>
      </c>
      <c r="AC342" s="37">
        <v>686.7857142857143</v>
      </c>
      <c r="AD342" s="31"/>
      <c r="AE342" s="11"/>
      <c r="AF342" s="11"/>
    </row>
    <row r="343">
      <c r="A343" s="11" t="s">
        <v>364</v>
      </c>
      <c r="B343" s="39">
        <v>44125.0</v>
      </c>
      <c r="C343" s="40">
        <v>44129.0</v>
      </c>
      <c r="D343" s="27" t="s">
        <v>163</v>
      </c>
      <c r="E343" s="11" t="b">
        <v>1</v>
      </c>
      <c r="F343" s="11" t="s">
        <v>49</v>
      </c>
      <c r="G343" s="45" t="s">
        <v>375</v>
      </c>
      <c r="H343" s="46" t="s">
        <v>376</v>
      </c>
      <c r="I343" s="30">
        <v>5.0</v>
      </c>
      <c r="J343" s="31">
        <v>35.0</v>
      </c>
      <c r="K343" s="11">
        <v>10.0</v>
      </c>
      <c r="L343" s="32">
        <f>9348/P343</f>
        <v>0.9348</v>
      </c>
      <c r="M343" s="32">
        <f>12000/P343</f>
        <v>1.2</v>
      </c>
      <c r="N343" s="32">
        <v>0.0</v>
      </c>
      <c r="O343" s="32">
        <f>12000/P343</f>
        <v>1.2</v>
      </c>
      <c r="P343" s="33">
        <v>10000.0</v>
      </c>
      <c r="Q343" s="34">
        <v>350.0</v>
      </c>
      <c r="R343" s="42">
        <v>32.717999999999996</v>
      </c>
      <c r="S343" s="36">
        <v>1.2</v>
      </c>
      <c r="T343" s="36"/>
      <c r="U343" s="36">
        <v>1.2</v>
      </c>
      <c r="V343" s="36">
        <v>32.717999999999996</v>
      </c>
      <c r="W343" s="37">
        <v>0.09348</v>
      </c>
      <c r="X343" s="42">
        <v>327179.99999999994</v>
      </c>
      <c r="Y343" s="36">
        <v>12000.0</v>
      </c>
      <c r="Z343" s="36"/>
      <c r="AA343" s="36">
        <v>12000.0</v>
      </c>
      <c r="AB343" s="36">
        <v>327179.99999999994</v>
      </c>
      <c r="AC343" s="37">
        <v>934.7999999999998</v>
      </c>
      <c r="AD343" s="31"/>
      <c r="AE343" s="11"/>
      <c r="AF343" s="11"/>
    </row>
    <row r="344">
      <c r="A344" s="11" t="s">
        <v>377</v>
      </c>
      <c r="B344" s="39">
        <v>45957.56190972222</v>
      </c>
      <c r="C344" s="40">
        <v>46007.6625</v>
      </c>
      <c r="D344" s="27" t="s">
        <v>33</v>
      </c>
      <c r="E344" s="11" t="b">
        <v>1</v>
      </c>
      <c r="F344" s="11" t="s">
        <v>34</v>
      </c>
      <c r="G344" s="41" t="s">
        <v>378</v>
      </c>
      <c r="H344" s="11" t="s">
        <v>379</v>
      </c>
      <c r="I344" s="30">
        <v>5.0</v>
      </c>
      <c r="J344" s="31">
        <v>10000.0</v>
      </c>
      <c r="K344" s="11">
        <v>1.0</v>
      </c>
      <c r="L344" s="32">
        <f>(777)/P344</f>
        <v>777</v>
      </c>
      <c r="M344" s="32">
        <f>(7802190 - 7770000)/P344</f>
        <v>32190</v>
      </c>
      <c r="N344" s="32">
        <v>0.0</v>
      </c>
      <c r="O344" s="32">
        <f>(27000/4)/P344</f>
        <v>6750</v>
      </c>
      <c r="P344" s="33">
        <v>1.0</v>
      </c>
      <c r="Q344" s="34">
        <v>10000.0</v>
      </c>
      <c r="R344" s="42">
        <v>7770000.0</v>
      </c>
      <c r="S344" s="36">
        <v>32190.0</v>
      </c>
      <c r="T344" s="36"/>
      <c r="U344" s="36">
        <v>6750.0</v>
      </c>
      <c r="V344" s="36">
        <v>7795440.0</v>
      </c>
      <c r="W344" s="37">
        <v>779.544</v>
      </c>
      <c r="X344" s="42">
        <v>7770000.0</v>
      </c>
      <c r="Y344" s="36">
        <v>32190.0</v>
      </c>
      <c r="Z344" s="36"/>
      <c r="AA344" s="36">
        <v>6750.0</v>
      </c>
      <c r="AB344" s="36">
        <v>7795440.0</v>
      </c>
      <c r="AC344" s="37">
        <v>779.544</v>
      </c>
      <c r="AD344" s="35"/>
      <c r="AE344" s="11"/>
      <c r="AF344" s="11"/>
    </row>
    <row r="345">
      <c r="A345" s="11" t="s">
        <v>377</v>
      </c>
      <c r="B345" s="39">
        <v>45480.013194444444</v>
      </c>
      <c r="C345" s="40">
        <v>45484.785416666666</v>
      </c>
      <c r="D345" s="27" t="s">
        <v>33</v>
      </c>
      <c r="E345" s="11" t="b">
        <v>0</v>
      </c>
      <c r="F345" s="11" t="s">
        <v>49</v>
      </c>
      <c r="G345" s="11" t="s">
        <v>380</v>
      </c>
      <c r="H345" s="11" t="s">
        <v>381</v>
      </c>
      <c r="I345" s="30">
        <v>5.0</v>
      </c>
      <c r="J345" s="31">
        <v>110.0</v>
      </c>
      <c r="K345" s="11">
        <v>1.0</v>
      </c>
      <c r="L345" s="32">
        <f>(1800)/P345</f>
        <v>0.1107555993</v>
      </c>
      <c r="M345" s="32">
        <f>(1000 + 1000)/P345</f>
        <v>0.123061777</v>
      </c>
      <c r="N345" s="32">
        <f>(19800)/P345</f>
        <v>1.218311592</v>
      </c>
      <c r="O345" s="32">
        <v>0.0</v>
      </c>
      <c r="P345" s="33">
        <v>16252.0</v>
      </c>
      <c r="Q345" s="34">
        <v>110.0</v>
      </c>
      <c r="R345" s="42">
        <v>12.183115924193945</v>
      </c>
      <c r="S345" s="36">
        <v>0.12306177701206006</v>
      </c>
      <c r="T345" s="36">
        <v>1.2183115924193946</v>
      </c>
      <c r="U345" s="36"/>
      <c r="V345" s="36">
        <v>11.08786610878661</v>
      </c>
      <c r="W345" s="37">
        <v>0.100798782807151</v>
      </c>
      <c r="X345" s="42">
        <v>198000.0</v>
      </c>
      <c r="Y345" s="36">
        <v>2000.0</v>
      </c>
      <c r="Z345" s="36">
        <v>19800.0</v>
      </c>
      <c r="AA345" s="36"/>
      <c r="AB345" s="36">
        <v>180199.99999999997</v>
      </c>
      <c r="AC345" s="37">
        <v>1638.181818181818</v>
      </c>
      <c r="AD345" s="31"/>
      <c r="AE345" s="11"/>
      <c r="AF345" s="11"/>
    </row>
    <row r="346">
      <c r="A346" s="43" t="s">
        <v>377</v>
      </c>
      <c r="B346" s="39">
        <v>45426.59305555555</v>
      </c>
      <c r="C346" s="40">
        <v>45484.666666666664</v>
      </c>
      <c r="D346" s="27" t="s">
        <v>33</v>
      </c>
      <c r="E346" s="11" t="b">
        <v>1</v>
      </c>
      <c r="F346" s="11" t="s">
        <v>34</v>
      </c>
      <c r="G346" s="11" t="s">
        <v>45</v>
      </c>
      <c r="H346" s="11" t="s">
        <v>382</v>
      </c>
      <c r="I346" s="30">
        <v>5.0</v>
      </c>
      <c r="J346" s="31">
        <v>5000.0</v>
      </c>
      <c r="K346" s="11">
        <v>1.0</v>
      </c>
      <c r="L346" s="32">
        <f>(908)/P346</f>
        <v>0.05629960317</v>
      </c>
      <c r="M346" s="32">
        <v>0.0</v>
      </c>
      <c r="N346" s="32">
        <v>0.0</v>
      </c>
      <c r="O346" s="32">
        <v>0.0</v>
      </c>
      <c r="P346" s="33">
        <v>16128.0</v>
      </c>
      <c r="Q346" s="34">
        <v>5000.0</v>
      </c>
      <c r="R346" s="42">
        <v>281.4980158730159</v>
      </c>
      <c r="S346" s="36"/>
      <c r="T346" s="36"/>
      <c r="U346" s="36"/>
      <c r="V346" s="36">
        <v>281.4980158730159</v>
      </c>
      <c r="W346" s="37">
        <v>0.05629960317460318</v>
      </c>
      <c r="X346" s="42">
        <v>4540000.0</v>
      </c>
      <c r="Y346" s="36"/>
      <c r="Z346" s="36"/>
      <c r="AA346" s="36"/>
      <c r="AB346" s="36">
        <v>4540000.0</v>
      </c>
      <c r="AC346" s="37">
        <v>908.0</v>
      </c>
      <c r="AD346" s="31"/>
      <c r="AE346" s="11"/>
      <c r="AF346" s="11"/>
    </row>
    <row r="347">
      <c r="A347" s="11" t="s">
        <v>377</v>
      </c>
      <c r="B347" s="39">
        <v>45372.63888888889</v>
      </c>
      <c r="C347" s="40">
        <v>45375.57344907407</v>
      </c>
      <c r="D347" s="27" t="s">
        <v>37</v>
      </c>
      <c r="E347" s="11" t="b">
        <v>0</v>
      </c>
      <c r="F347" s="11" t="s">
        <v>249</v>
      </c>
      <c r="G347" s="11" t="s">
        <v>249</v>
      </c>
      <c r="H347" s="11" t="s">
        <v>249</v>
      </c>
      <c r="I347" s="30">
        <v>5.0</v>
      </c>
      <c r="J347" s="31">
        <v>1000.0</v>
      </c>
      <c r="K347" s="11">
        <v>1.0</v>
      </c>
      <c r="L347" s="32">
        <f>(1700)/P347</f>
        <v>0.1083838062</v>
      </c>
      <c r="M347" s="32">
        <v>0.0</v>
      </c>
      <c r="N347" s="32">
        <v>0.0</v>
      </c>
      <c r="O347" s="32">
        <v>0.0</v>
      </c>
      <c r="P347" s="33">
        <v>15685.0</v>
      </c>
      <c r="Q347" s="34">
        <v>1000.0</v>
      </c>
      <c r="R347" s="42">
        <v>108.38380618425248</v>
      </c>
      <c r="S347" s="36"/>
      <c r="T347" s="36"/>
      <c r="U347" s="36"/>
      <c r="V347" s="36">
        <v>108.38380618425248</v>
      </c>
      <c r="W347" s="37">
        <v>0.10838380618425247</v>
      </c>
      <c r="X347" s="42">
        <v>1700000.0000000002</v>
      </c>
      <c r="Y347" s="36"/>
      <c r="Z347" s="36"/>
      <c r="AA347" s="36"/>
      <c r="AB347" s="36">
        <v>1700000.0000000002</v>
      </c>
      <c r="AC347" s="37">
        <v>1700.0000000000002</v>
      </c>
      <c r="AD347" s="31"/>
      <c r="AE347" s="11"/>
      <c r="AF347" s="11"/>
    </row>
    <row r="348">
      <c r="A348" s="11" t="s">
        <v>377</v>
      </c>
      <c r="B348" s="39">
        <v>45354.425</v>
      </c>
      <c r="C348" s="40">
        <v>45357.74513888889</v>
      </c>
      <c r="D348" s="27" t="s">
        <v>37</v>
      </c>
      <c r="E348" s="11" t="b">
        <v>0</v>
      </c>
      <c r="F348" s="11" t="s">
        <v>49</v>
      </c>
      <c r="G348" s="11" t="s">
        <v>89</v>
      </c>
      <c r="H348" s="11" t="s">
        <v>89</v>
      </c>
      <c r="I348" s="30">
        <v>5.0</v>
      </c>
      <c r="J348" s="31">
        <v>525.0</v>
      </c>
      <c r="K348" s="11">
        <v>1.0</v>
      </c>
      <c r="L348" s="32">
        <f>(997500/525)/P348</f>
        <v>0.1210114005</v>
      </c>
      <c r="M348" s="32">
        <f>(1000)/P348</f>
        <v>0.06369021081</v>
      </c>
      <c r="N348" s="32">
        <f>(99750)/P348</f>
        <v>6.353098529</v>
      </c>
      <c r="O348" s="32">
        <v>0.0</v>
      </c>
      <c r="P348" s="33">
        <v>15701.0</v>
      </c>
      <c r="Q348" s="34">
        <v>525.0</v>
      </c>
      <c r="R348" s="42">
        <v>63.5309852875613</v>
      </c>
      <c r="S348" s="36">
        <v>0.0636902108145978</v>
      </c>
      <c r="T348" s="36">
        <v>6.353098528756131</v>
      </c>
      <c r="U348" s="36"/>
      <c r="V348" s="36">
        <v>57.24157696961977</v>
      </c>
      <c r="W348" s="37">
        <v>0.10903157518022813</v>
      </c>
      <c r="X348" s="42">
        <v>997500.0</v>
      </c>
      <c r="Y348" s="36">
        <v>1000.0000000000001</v>
      </c>
      <c r="Z348" s="36">
        <v>99750.0</v>
      </c>
      <c r="AA348" s="36"/>
      <c r="AB348" s="36">
        <v>898750.0</v>
      </c>
      <c r="AC348" s="37">
        <v>1711.904761904762</v>
      </c>
      <c r="AD348" s="31"/>
      <c r="AE348" s="11"/>
      <c r="AF348" s="11"/>
    </row>
    <row r="349">
      <c r="A349" s="11" t="s">
        <v>377</v>
      </c>
      <c r="B349" s="39">
        <v>45002.0</v>
      </c>
      <c r="C349" s="40">
        <v>45085.0</v>
      </c>
      <c r="D349" s="27" t="s">
        <v>33</v>
      </c>
      <c r="E349" s="11" t="b">
        <v>1</v>
      </c>
      <c r="F349" s="29" t="s">
        <v>46</v>
      </c>
      <c r="G349" s="29" t="s">
        <v>46</v>
      </c>
      <c r="H349" s="29"/>
      <c r="I349" s="30">
        <v>5.0</v>
      </c>
      <c r="J349" s="31">
        <v>5000.0</v>
      </c>
      <c r="K349" s="11">
        <v>1.0</v>
      </c>
      <c r="L349" s="32">
        <f t="shared" ref="L349:L350" si="103">940/P349</f>
        <v>0.06113821138</v>
      </c>
      <c r="M349" s="32">
        <v>0.0</v>
      </c>
      <c r="N349" s="32">
        <v>0.0</v>
      </c>
      <c r="O349" s="32">
        <v>0.0</v>
      </c>
      <c r="P349" s="33">
        <v>15375.0</v>
      </c>
      <c r="Q349" s="34">
        <v>5000.0</v>
      </c>
      <c r="R349" s="42">
        <v>305.6910569105691</v>
      </c>
      <c r="S349" s="36"/>
      <c r="T349" s="36"/>
      <c r="U349" s="36"/>
      <c r="V349" s="36">
        <v>305.6910569105691</v>
      </c>
      <c r="W349" s="37">
        <v>0.06113821138211382</v>
      </c>
      <c r="X349" s="42">
        <v>4700000.0</v>
      </c>
      <c r="Y349" s="36"/>
      <c r="Z349" s="36"/>
      <c r="AA349" s="36"/>
      <c r="AB349" s="36">
        <v>4700000.0</v>
      </c>
      <c r="AC349" s="37">
        <v>940.0</v>
      </c>
      <c r="AD349" s="31"/>
      <c r="AE349" s="11"/>
      <c r="AF349" s="11"/>
    </row>
    <row r="350">
      <c r="A350" s="11" t="s">
        <v>377</v>
      </c>
      <c r="B350" s="39">
        <v>44874.0</v>
      </c>
      <c r="C350" s="40">
        <v>44921.0</v>
      </c>
      <c r="D350" s="27" t="s">
        <v>33</v>
      </c>
      <c r="E350" s="11" t="b">
        <v>1</v>
      </c>
      <c r="F350" s="11" t="s">
        <v>46</v>
      </c>
      <c r="G350" s="11" t="s">
        <v>46</v>
      </c>
      <c r="H350" s="11" t="s">
        <v>47</v>
      </c>
      <c r="I350" s="30">
        <v>5.0</v>
      </c>
      <c r="J350" s="31">
        <v>3000.0</v>
      </c>
      <c r="K350" s="11">
        <v>1.0</v>
      </c>
      <c r="L350" s="32">
        <f t="shared" si="103"/>
        <v>0.06025641026</v>
      </c>
      <c r="M350" s="32">
        <f>(1000+1000+1000+9500)/7/P350</f>
        <v>0.1144688645</v>
      </c>
      <c r="N350" s="32">
        <f>(500000/7)/P350</f>
        <v>4.578754579</v>
      </c>
      <c r="O350" s="32">
        <v>0.0</v>
      </c>
      <c r="P350" s="33">
        <v>15600.0</v>
      </c>
      <c r="Q350" s="34">
        <v>3000.0</v>
      </c>
      <c r="R350" s="42">
        <v>180.76923076923077</v>
      </c>
      <c r="S350" s="36">
        <v>0.11446886446886448</v>
      </c>
      <c r="T350" s="36">
        <v>4.578754578754579</v>
      </c>
      <c r="U350" s="36"/>
      <c r="V350" s="36">
        <v>176.30494505494508</v>
      </c>
      <c r="W350" s="37">
        <v>0.058768315018315025</v>
      </c>
      <c r="X350" s="42">
        <v>2820000.0</v>
      </c>
      <c r="Y350" s="36">
        <v>1785.7142857142858</v>
      </c>
      <c r="Z350" s="36">
        <v>71428.57142857143</v>
      </c>
      <c r="AA350" s="36"/>
      <c r="AB350" s="36">
        <v>2750357.142857143</v>
      </c>
      <c r="AC350" s="37">
        <v>916.7857142857144</v>
      </c>
      <c r="AD350" s="31"/>
      <c r="AE350" s="11"/>
      <c r="AF350" s="11"/>
    </row>
    <row r="351">
      <c r="A351" s="11" t="s">
        <v>377</v>
      </c>
      <c r="B351" s="39">
        <v>43888.0</v>
      </c>
      <c r="C351" s="40">
        <v>43994.0</v>
      </c>
      <c r="D351" s="27" t="s">
        <v>56</v>
      </c>
      <c r="E351" s="11" t="b">
        <v>1</v>
      </c>
      <c r="F351" s="11" t="s">
        <v>57</v>
      </c>
      <c r="G351" s="57" t="s">
        <v>383</v>
      </c>
      <c r="H351" s="46" t="s">
        <v>384</v>
      </c>
      <c r="I351" s="33">
        <v>5.0</v>
      </c>
      <c r="J351" s="31">
        <v>1.0</v>
      </c>
      <c r="K351" s="11">
        <v>100.0</v>
      </c>
      <c r="L351" s="32">
        <v>8.47</v>
      </c>
      <c r="M351" s="32">
        <f>46000/P351</f>
        <v>3.255650721</v>
      </c>
      <c r="N351" s="32"/>
      <c r="O351" s="32"/>
      <c r="P351" s="58">
        <f>119675/8.47</f>
        <v>14129.27981</v>
      </c>
      <c r="Q351" s="34">
        <v>100.0</v>
      </c>
      <c r="R351" s="42">
        <v>8.47</v>
      </c>
      <c r="S351" s="36">
        <v>3.2556507207019014</v>
      </c>
      <c r="T351" s="36"/>
      <c r="U351" s="36"/>
      <c r="V351" s="36">
        <v>11.725650720701902</v>
      </c>
      <c r="W351" s="37">
        <v>0.11725650720701902</v>
      </c>
      <c r="X351" s="42">
        <v>119675.0</v>
      </c>
      <c r="Y351" s="36">
        <v>46000.0</v>
      </c>
      <c r="Z351" s="36"/>
      <c r="AA351" s="36"/>
      <c r="AB351" s="36">
        <v>165675.0</v>
      </c>
      <c r="AC351" s="37">
        <v>1656.75</v>
      </c>
      <c r="AD351" s="31"/>
      <c r="AE351" s="11"/>
      <c r="AF351" s="11"/>
    </row>
    <row r="352">
      <c r="A352" s="11" t="s">
        <v>385</v>
      </c>
      <c r="B352" s="77">
        <v>45986.61111111111</v>
      </c>
      <c r="C352" s="40">
        <v>45987.67083333333</v>
      </c>
      <c r="D352" s="27" t="s">
        <v>33</v>
      </c>
      <c r="E352" s="11" t="b">
        <v>0</v>
      </c>
      <c r="F352" s="11" t="s">
        <v>38</v>
      </c>
      <c r="G352" s="11" t="s">
        <v>340</v>
      </c>
      <c r="H352" s="11" t="s">
        <v>386</v>
      </c>
      <c r="I352" s="30">
        <v>5.0</v>
      </c>
      <c r="J352" s="31">
        <v>333.0</v>
      </c>
      <c r="K352" s="11">
        <v>1.0</v>
      </c>
      <c r="L352" s="32">
        <f t="shared" ref="L352:L353" si="104">(1000)/P352</f>
        <v>1000</v>
      </c>
      <c r="M352" s="32">
        <f>(8000 + 2100 + 1000)/P352</f>
        <v>11100</v>
      </c>
      <c r="N352" s="32">
        <f>(49950 + 2830)/P352</f>
        <v>52780</v>
      </c>
      <c r="O352" s="32">
        <v>0.0</v>
      </c>
      <c r="P352" s="33">
        <v>1.0</v>
      </c>
      <c r="Q352" s="34">
        <v>333.0</v>
      </c>
      <c r="R352" s="42">
        <v>333000.0</v>
      </c>
      <c r="S352" s="36">
        <v>11100.0</v>
      </c>
      <c r="T352" s="36">
        <v>52780.0</v>
      </c>
      <c r="U352" s="36"/>
      <c r="V352" s="36">
        <v>291320.0</v>
      </c>
      <c r="W352" s="37">
        <v>874.8348348348349</v>
      </c>
      <c r="X352" s="42">
        <v>333000.0</v>
      </c>
      <c r="Y352" s="36">
        <v>11100.0</v>
      </c>
      <c r="Z352" s="36">
        <v>52780.0</v>
      </c>
      <c r="AA352" s="36"/>
      <c r="AB352" s="36">
        <v>291320.0</v>
      </c>
      <c r="AC352" s="37">
        <v>874.8348348348349</v>
      </c>
      <c r="AD352" s="31"/>
      <c r="AE352" s="11"/>
      <c r="AF352" s="11"/>
    </row>
    <row r="353">
      <c r="A353" s="11" t="s">
        <v>385</v>
      </c>
      <c r="B353" s="39">
        <v>45830.96666666667</v>
      </c>
      <c r="C353" s="40">
        <v>45833.40277777778</v>
      </c>
      <c r="D353" s="27" t="s">
        <v>37</v>
      </c>
      <c r="E353" s="11" t="b">
        <v>0</v>
      </c>
      <c r="F353" s="11" t="s">
        <v>38</v>
      </c>
      <c r="G353" s="11" t="s">
        <v>340</v>
      </c>
      <c r="H353" s="11" t="s">
        <v>387</v>
      </c>
      <c r="I353" s="30">
        <v>5.0</v>
      </c>
      <c r="J353" s="31">
        <v>400.0</v>
      </c>
      <c r="K353" s="11">
        <v>1.0</v>
      </c>
      <c r="L353" s="32">
        <f t="shared" si="104"/>
        <v>0.06091617934</v>
      </c>
      <c r="M353" s="32">
        <f>(15000 + 2500 + 1000)/P353</f>
        <v>1.126949318</v>
      </c>
      <c r="N353" s="32">
        <f>(19700 + 6000 + 5615)/P353</f>
        <v>1.907590156</v>
      </c>
      <c r="O353" s="32">
        <v>0.0</v>
      </c>
      <c r="P353" s="33">
        <v>16416.0</v>
      </c>
      <c r="Q353" s="34">
        <v>400.0</v>
      </c>
      <c r="R353" s="42">
        <v>24.366471734892787</v>
      </c>
      <c r="S353" s="36">
        <v>1.1269493177387915</v>
      </c>
      <c r="T353" s="36">
        <v>1.9075901559454191</v>
      </c>
      <c r="U353" s="36"/>
      <c r="V353" s="36">
        <v>23.58583089668616</v>
      </c>
      <c r="W353" s="37">
        <v>0.0589645772417154</v>
      </c>
      <c r="X353" s="42">
        <v>400000.0</v>
      </c>
      <c r="Y353" s="36">
        <v>18500.0</v>
      </c>
      <c r="Z353" s="36">
        <v>31315.0</v>
      </c>
      <c r="AA353" s="36"/>
      <c r="AB353" s="36">
        <v>387185.0</v>
      </c>
      <c r="AC353" s="37">
        <v>967.9625</v>
      </c>
      <c r="AD353" s="31"/>
      <c r="AE353" s="11"/>
      <c r="AF353" s="11"/>
    </row>
    <row r="354">
      <c r="A354" s="11" t="s">
        <v>385</v>
      </c>
      <c r="B354" s="39">
        <v>45719.74097222222</v>
      </c>
      <c r="C354" s="40">
        <v>45722.39236111111</v>
      </c>
      <c r="D354" s="27" t="s">
        <v>37</v>
      </c>
      <c r="E354" s="11" t="b">
        <v>0</v>
      </c>
      <c r="F354" s="11" t="s">
        <v>49</v>
      </c>
      <c r="G354" s="11" t="s">
        <v>334</v>
      </c>
      <c r="H354" s="11" t="s">
        <v>388</v>
      </c>
      <c r="I354" s="30">
        <v>5.0</v>
      </c>
      <c r="J354" s="31">
        <v>750.0</v>
      </c>
      <c r="K354" s="11">
        <v>1.0</v>
      </c>
      <c r="L354" s="32">
        <f>(1100)/P354</f>
        <v>0.06638503319</v>
      </c>
      <c r="M354" s="32">
        <f>(1000)/P354</f>
        <v>0.06035003018</v>
      </c>
      <c r="N354" s="32">
        <f>(X354*12%)/P354</f>
        <v>5.974652987</v>
      </c>
      <c r="O354" s="32">
        <v>0.0</v>
      </c>
      <c r="P354" s="33">
        <v>16570.0</v>
      </c>
      <c r="Q354" s="34">
        <v>750.0</v>
      </c>
      <c r="R354" s="42">
        <v>49.788774894387444</v>
      </c>
      <c r="S354" s="36">
        <v>0.060350030175015085</v>
      </c>
      <c r="T354" s="36">
        <v>5.974652987326493</v>
      </c>
      <c r="U354" s="36"/>
      <c r="V354" s="36">
        <v>43.87447193723597</v>
      </c>
      <c r="W354" s="37">
        <v>0.05849929591631462</v>
      </c>
      <c r="X354" s="42">
        <v>825000.0</v>
      </c>
      <c r="Y354" s="36">
        <v>1000.0</v>
      </c>
      <c r="Z354" s="36">
        <v>99000.0</v>
      </c>
      <c r="AA354" s="36"/>
      <c r="AB354" s="36">
        <v>727000.0</v>
      </c>
      <c r="AC354" s="37">
        <v>969.3333333333334</v>
      </c>
      <c r="AD354" s="31"/>
      <c r="AE354" s="11"/>
      <c r="AF354" s="11"/>
    </row>
    <row r="355">
      <c r="A355" s="11" t="s">
        <v>385</v>
      </c>
      <c r="B355" s="39">
        <v>45718.51111111111</v>
      </c>
      <c r="C355" s="40">
        <v>45721.404861111114</v>
      </c>
      <c r="D355" s="27" t="s">
        <v>37</v>
      </c>
      <c r="E355" s="11" t="b">
        <v>0</v>
      </c>
      <c r="F355" s="11" t="s">
        <v>38</v>
      </c>
      <c r="G355" s="11" t="s">
        <v>340</v>
      </c>
      <c r="H355" s="11" t="s">
        <v>389</v>
      </c>
      <c r="I355" s="30">
        <v>5.0</v>
      </c>
      <c r="J355" s="31">
        <v>400.0</v>
      </c>
      <c r="K355" s="11">
        <v>1.0</v>
      </c>
      <c r="L355" s="32">
        <f>(1000)/P355</f>
        <v>0.06050704907</v>
      </c>
      <c r="M355" s="32">
        <f>(1000 + 2600)/P355</f>
        <v>0.2178253767</v>
      </c>
      <c r="N355" s="32">
        <f>(X355*6%)/P355</f>
        <v>1.452169178</v>
      </c>
      <c r="O355" s="32">
        <v>0.0</v>
      </c>
      <c r="P355" s="33">
        <v>16527.0</v>
      </c>
      <c r="Q355" s="34">
        <v>400.0</v>
      </c>
      <c r="R355" s="42">
        <v>24.20281962848672</v>
      </c>
      <c r="S355" s="36">
        <v>0.21782537665638046</v>
      </c>
      <c r="T355" s="36">
        <v>1.4521691777092032</v>
      </c>
      <c r="U355" s="36"/>
      <c r="V355" s="36">
        <v>22.9684758274339</v>
      </c>
      <c r="W355" s="37">
        <v>0.057421189568584746</v>
      </c>
      <c r="X355" s="42">
        <v>400000.0</v>
      </c>
      <c r="Y355" s="36">
        <v>3600.0</v>
      </c>
      <c r="Z355" s="36">
        <v>24000.0</v>
      </c>
      <c r="AA355" s="36"/>
      <c r="AB355" s="36">
        <v>379600.00000000006</v>
      </c>
      <c r="AC355" s="37">
        <v>949.0000000000001</v>
      </c>
      <c r="AD355" s="31"/>
      <c r="AE355" s="11"/>
      <c r="AF355" s="11"/>
    </row>
    <row r="356">
      <c r="A356" s="11" t="s">
        <v>385</v>
      </c>
      <c r="B356" s="39">
        <v>45713.57083333333</v>
      </c>
      <c r="C356" s="40">
        <v>45717.49236111111</v>
      </c>
      <c r="D356" s="27" t="s">
        <v>37</v>
      </c>
      <c r="E356" s="11" t="b">
        <v>0</v>
      </c>
      <c r="F356" s="11" t="s">
        <v>38</v>
      </c>
      <c r="G356" s="11" t="s">
        <v>390</v>
      </c>
      <c r="H356" s="11" t="s">
        <v>391</v>
      </c>
      <c r="I356" s="30">
        <v>5.0</v>
      </c>
      <c r="J356" s="31">
        <v>1.0</v>
      </c>
      <c r="K356" s="11">
        <v>2500.0</v>
      </c>
      <c r="L356" s="32">
        <f>(2400000)/P356</f>
        <v>147.4201474</v>
      </c>
      <c r="M356" s="32">
        <f>(1000/4)/P356</f>
        <v>0.01535626536</v>
      </c>
      <c r="N356" s="32">
        <f>(X356*10%)/P356</f>
        <v>14.74201474</v>
      </c>
      <c r="O356" s="32">
        <v>0.0</v>
      </c>
      <c r="P356" s="33">
        <v>16280.0</v>
      </c>
      <c r="Q356" s="34">
        <v>2500.0</v>
      </c>
      <c r="R356" s="42">
        <v>147.42014742014743</v>
      </c>
      <c r="S356" s="36">
        <v>0.015356265356265357</v>
      </c>
      <c r="T356" s="36">
        <v>14.742014742014742</v>
      </c>
      <c r="U356" s="36"/>
      <c r="V356" s="36">
        <v>132.69348894348897</v>
      </c>
      <c r="W356" s="37">
        <v>0.05307739557739559</v>
      </c>
      <c r="X356" s="42">
        <v>2400000.0</v>
      </c>
      <c r="Y356" s="36">
        <v>250.0</v>
      </c>
      <c r="Z356" s="36">
        <v>240000.0</v>
      </c>
      <c r="AA356" s="36"/>
      <c r="AB356" s="36">
        <v>2160250.0000000005</v>
      </c>
      <c r="AC356" s="37">
        <v>864.1000000000001</v>
      </c>
      <c r="AD356" s="31"/>
      <c r="AE356" s="11"/>
      <c r="AF356" s="11"/>
    </row>
    <row r="357">
      <c r="A357" s="11" t="s">
        <v>385</v>
      </c>
      <c r="B357" s="39">
        <v>45492.964583333334</v>
      </c>
      <c r="C357" s="40">
        <v>45495.42638888889</v>
      </c>
      <c r="D357" s="27" t="s">
        <v>37</v>
      </c>
      <c r="E357" s="11" t="b">
        <v>0</v>
      </c>
      <c r="F357" s="11" t="s">
        <v>38</v>
      </c>
      <c r="G357" s="11" t="s">
        <v>390</v>
      </c>
      <c r="H357" s="11" t="s">
        <v>392</v>
      </c>
      <c r="I357" s="30">
        <v>5.0</v>
      </c>
      <c r="J357" s="31">
        <v>1500.0</v>
      </c>
      <c r="K357" s="11">
        <v>1.0</v>
      </c>
      <c r="L357" s="32">
        <f>(990)/P357</f>
        <v>0.06106211065</v>
      </c>
      <c r="M357" s="32">
        <v>0.0</v>
      </c>
      <c r="N357" s="32">
        <f>(148500)/P357</f>
        <v>9.159316598</v>
      </c>
      <c r="O357" s="32">
        <v>0.0</v>
      </c>
      <c r="P357" s="33">
        <v>16213.0</v>
      </c>
      <c r="Q357" s="34">
        <v>1500.0</v>
      </c>
      <c r="R357" s="42">
        <v>91.59316597791896</v>
      </c>
      <c r="S357" s="36"/>
      <c r="T357" s="36">
        <v>9.159316597791895</v>
      </c>
      <c r="U357" s="36"/>
      <c r="V357" s="36">
        <v>82.43384938012706</v>
      </c>
      <c r="W357" s="37">
        <v>0.05495589958675137</v>
      </c>
      <c r="X357" s="42">
        <v>1485000.0</v>
      </c>
      <c r="Y357" s="36"/>
      <c r="Z357" s="36">
        <v>148500.0</v>
      </c>
      <c r="AA357" s="36"/>
      <c r="AB357" s="36">
        <v>1336500.0</v>
      </c>
      <c r="AC357" s="37">
        <v>891.0</v>
      </c>
      <c r="AD357" s="31"/>
      <c r="AE357" s="11"/>
      <c r="AF357" s="11"/>
    </row>
    <row r="358">
      <c r="A358" s="11" t="s">
        <v>385</v>
      </c>
      <c r="B358" s="39">
        <v>45355.03402777778</v>
      </c>
      <c r="C358" s="40">
        <v>45360.73336805555</v>
      </c>
      <c r="D358" s="27" t="s">
        <v>37</v>
      </c>
      <c r="E358" s="11" t="b">
        <v>0</v>
      </c>
      <c r="F358" s="11" t="s">
        <v>49</v>
      </c>
      <c r="G358" s="11" t="s">
        <v>89</v>
      </c>
      <c r="H358" s="11" t="s">
        <v>89</v>
      </c>
      <c r="I358" s="30">
        <v>5.0</v>
      </c>
      <c r="J358" s="31">
        <v>1900.0</v>
      </c>
      <c r="K358" s="11">
        <v>1.0</v>
      </c>
      <c r="L358" s="32">
        <f>(1050)/P358</f>
        <v>0.06670478369</v>
      </c>
      <c r="M358" s="32">
        <f>(1000)/P358</f>
        <v>0.06352836542</v>
      </c>
      <c r="N358" s="32">
        <f>(1000 + 99700)/P358</f>
        <v>6.397306397</v>
      </c>
      <c r="O358" s="32">
        <v>0.0</v>
      </c>
      <c r="P358" s="33">
        <v>15741.0</v>
      </c>
      <c r="Q358" s="34">
        <v>1900.0</v>
      </c>
      <c r="R358" s="42">
        <v>126.73908900323994</v>
      </c>
      <c r="S358" s="36">
        <v>0.06352836541515787</v>
      </c>
      <c r="T358" s="36">
        <v>6.397306397306397</v>
      </c>
      <c r="U358" s="36"/>
      <c r="V358" s="36">
        <v>120.4053109713487</v>
      </c>
      <c r="W358" s="37">
        <v>0.06337121630070984</v>
      </c>
      <c r="X358" s="42">
        <v>1995000.0</v>
      </c>
      <c r="Y358" s="36">
        <v>1000.0</v>
      </c>
      <c r="Z358" s="36">
        <v>100700.0</v>
      </c>
      <c r="AA358" s="36"/>
      <c r="AB358" s="36">
        <v>1895299.9999999998</v>
      </c>
      <c r="AC358" s="37">
        <v>997.5263157894735</v>
      </c>
      <c r="AD358" s="31"/>
      <c r="AE358" s="11"/>
      <c r="AF358" s="11"/>
    </row>
    <row r="359">
      <c r="A359" s="11" t="s">
        <v>385</v>
      </c>
      <c r="B359" s="39">
        <v>45081.0</v>
      </c>
      <c r="C359" s="40">
        <v>45132.0</v>
      </c>
      <c r="D359" s="27" t="s">
        <v>33</v>
      </c>
      <c r="E359" s="11" t="b">
        <v>1</v>
      </c>
      <c r="F359" s="11" t="s">
        <v>186</v>
      </c>
      <c r="G359" s="11" t="s">
        <v>187</v>
      </c>
      <c r="H359" s="46" t="s">
        <v>188</v>
      </c>
      <c r="I359" s="30">
        <v>5.0</v>
      </c>
      <c r="J359" s="31">
        <v>5000.0</v>
      </c>
      <c r="K359" s="11">
        <v>1.0</v>
      </c>
      <c r="L359" s="32">
        <f>(580)/P359</f>
        <v>0.0389261745</v>
      </c>
      <c r="M359" s="32">
        <f>((56)/3)/P359</f>
        <v>0.001252796421</v>
      </c>
      <c r="N359" s="32">
        <v>0.0</v>
      </c>
      <c r="O359" s="32">
        <v>0.0</v>
      </c>
      <c r="P359" s="33">
        <v>14900.0</v>
      </c>
      <c r="Q359" s="34">
        <v>5000.0</v>
      </c>
      <c r="R359" s="42">
        <v>194.63087248322148</v>
      </c>
      <c r="S359" s="36">
        <v>0.0012527964205816555</v>
      </c>
      <c r="T359" s="36"/>
      <c r="U359" s="36"/>
      <c r="V359" s="36">
        <v>194.63212527964205</v>
      </c>
      <c r="W359" s="37">
        <v>0.03892642505592841</v>
      </c>
      <c r="X359" s="42">
        <v>2900000.0</v>
      </c>
      <c r="Y359" s="36">
        <v>18.666666666666668</v>
      </c>
      <c r="Z359" s="36"/>
      <c r="AA359" s="36"/>
      <c r="AB359" s="36">
        <v>2900018.6666666665</v>
      </c>
      <c r="AC359" s="37">
        <v>580.0037333333333</v>
      </c>
      <c r="AD359" s="31"/>
      <c r="AE359" s="11"/>
      <c r="AF359" s="11"/>
    </row>
    <row r="360">
      <c r="A360" s="11" t="s">
        <v>393</v>
      </c>
      <c r="B360" s="39">
        <v>45406.02361111111</v>
      </c>
      <c r="C360" s="40">
        <v>45407.68472222222</v>
      </c>
      <c r="D360" s="27" t="s">
        <v>33</v>
      </c>
      <c r="E360" s="11" t="b">
        <v>0</v>
      </c>
      <c r="F360" s="11" t="s">
        <v>49</v>
      </c>
      <c r="G360" s="11" t="s">
        <v>394</v>
      </c>
      <c r="H360" s="11" t="s">
        <v>394</v>
      </c>
      <c r="I360" s="30">
        <v>5.0</v>
      </c>
      <c r="J360" s="31">
        <v>4.0</v>
      </c>
      <c r="K360" s="11">
        <v>1.0</v>
      </c>
      <c r="L360" s="32">
        <f>(9200/4)/P360</f>
        <v>0.1417216095</v>
      </c>
      <c r="M360" s="32">
        <f>(1000)/P360</f>
        <v>0.06161809107</v>
      </c>
      <c r="N360" s="32">
        <f>(500)/P360</f>
        <v>0.03080904554</v>
      </c>
      <c r="O360" s="32">
        <v>0.0</v>
      </c>
      <c r="P360" s="33">
        <v>16229.0</v>
      </c>
      <c r="Q360" s="34">
        <v>4.0</v>
      </c>
      <c r="R360" s="42">
        <v>0.5668864378581552</v>
      </c>
      <c r="S360" s="36">
        <v>0.0616180910715386</v>
      </c>
      <c r="T360" s="36">
        <v>0.0308090455357693</v>
      </c>
      <c r="U360" s="36"/>
      <c r="V360" s="36">
        <v>0.5976954833939244</v>
      </c>
      <c r="W360" s="37">
        <v>0.1494238708484811</v>
      </c>
      <c r="X360" s="42">
        <v>9200.0</v>
      </c>
      <c r="Y360" s="36">
        <v>1000.0</v>
      </c>
      <c r="Z360" s="36">
        <v>500.0</v>
      </c>
      <c r="AA360" s="36"/>
      <c r="AB360" s="36">
        <v>9700.0</v>
      </c>
      <c r="AC360" s="37">
        <v>2425.0</v>
      </c>
      <c r="AD360" s="31"/>
      <c r="AE360" s="11"/>
      <c r="AF360" s="11"/>
    </row>
    <row r="361">
      <c r="A361" s="11" t="s">
        <v>395</v>
      </c>
      <c r="B361" s="39">
        <v>45955.01597222222</v>
      </c>
      <c r="C361" s="40">
        <v>45957.41875</v>
      </c>
      <c r="D361" s="27" t="s">
        <v>37</v>
      </c>
      <c r="E361" s="11" t="b">
        <v>0</v>
      </c>
      <c r="F361" s="11" t="s">
        <v>49</v>
      </c>
      <c r="G361" s="11" t="s">
        <v>367</v>
      </c>
      <c r="H361" s="11" t="s">
        <v>396</v>
      </c>
      <c r="I361" s="30">
        <v>5.0</v>
      </c>
      <c r="J361" s="31">
        <v>21.0</v>
      </c>
      <c r="K361" s="11">
        <v>50.0</v>
      </c>
      <c r="L361" s="32">
        <f>(32500)/P361</f>
        <v>1.955475331</v>
      </c>
      <c r="M361" s="32">
        <f>(514)/P361</f>
        <v>0.03092659446</v>
      </c>
      <c r="N361" s="32">
        <f t="shared" ref="N361:N362" si="105">(X361*15%)/P361</f>
        <v>6.159747292</v>
      </c>
      <c r="O361" s="32">
        <v>0.0</v>
      </c>
      <c r="P361" s="33">
        <v>16620.0</v>
      </c>
      <c r="Q361" s="34">
        <v>1050.0</v>
      </c>
      <c r="R361" s="42">
        <v>41.064981949458485</v>
      </c>
      <c r="S361" s="36">
        <v>0.030926594464500603</v>
      </c>
      <c r="T361" s="36">
        <v>6.159747292418772</v>
      </c>
      <c r="U361" s="36"/>
      <c r="V361" s="36">
        <v>34.93616125150422</v>
      </c>
      <c r="W361" s="37">
        <v>0.03327253452524211</v>
      </c>
      <c r="X361" s="42">
        <v>682500.0</v>
      </c>
      <c r="Y361" s="36">
        <v>514.0</v>
      </c>
      <c r="Z361" s="36">
        <v>102375.0</v>
      </c>
      <c r="AA361" s="36"/>
      <c r="AB361" s="36">
        <v>580639.0000000001</v>
      </c>
      <c r="AC361" s="37">
        <v>552.9895238095239</v>
      </c>
      <c r="AD361" s="31"/>
      <c r="AE361" s="11"/>
      <c r="AF361" s="11"/>
    </row>
    <row r="362">
      <c r="A362" s="11" t="s">
        <v>395</v>
      </c>
      <c r="B362" s="39">
        <v>45940.75902777778</v>
      </c>
      <c r="C362" s="40">
        <v>45946.56875</v>
      </c>
      <c r="D362" s="27" t="s">
        <v>33</v>
      </c>
      <c r="E362" s="11" t="b">
        <v>0</v>
      </c>
      <c r="F362" s="11" t="s">
        <v>49</v>
      </c>
      <c r="G362" s="11" t="s">
        <v>367</v>
      </c>
      <c r="H362" s="11" t="s">
        <v>368</v>
      </c>
      <c r="I362" s="30">
        <v>5.0</v>
      </c>
      <c r="J362" s="31">
        <v>1754.0</v>
      </c>
      <c r="K362" s="11">
        <v>1.0</v>
      </c>
      <c r="L362" s="32">
        <f>(1140000/1754)/P362</f>
        <v>0.03920042144</v>
      </c>
      <c r="M362" s="32">
        <f>(1000)/2/P362</f>
        <v>0.03015681544</v>
      </c>
      <c r="N362" s="32">
        <f t="shared" si="105"/>
        <v>10.31363088</v>
      </c>
      <c r="O362" s="32">
        <v>0.0</v>
      </c>
      <c r="P362" s="33">
        <v>16580.0</v>
      </c>
      <c r="Q362" s="34">
        <v>1754.0</v>
      </c>
      <c r="R362" s="42">
        <v>68.75753920386008</v>
      </c>
      <c r="S362" s="36">
        <v>0.030156815440289506</v>
      </c>
      <c r="T362" s="36">
        <v>10.31363088057901</v>
      </c>
      <c r="U362" s="36"/>
      <c r="V362" s="36">
        <v>58.47406513872136</v>
      </c>
      <c r="W362" s="37">
        <v>0.03333755139037706</v>
      </c>
      <c r="X362" s="42">
        <v>1140000.0</v>
      </c>
      <c r="Y362" s="36">
        <v>500.0</v>
      </c>
      <c r="Z362" s="36">
        <v>171000.0</v>
      </c>
      <c r="AA362" s="36"/>
      <c r="AB362" s="36">
        <v>969500.0000000001</v>
      </c>
      <c r="AC362" s="37">
        <v>552.7366020524516</v>
      </c>
      <c r="AD362" s="31"/>
      <c r="AE362" s="11"/>
      <c r="AF362" s="11"/>
    </row>
    <row r="363">
      <c r="A363" s="11" t="s">
        <v>397</v>
      </c>
      <c r="B363" s="39">
        <v>45426.998611111114</v>
      </c>
      <c r="C363" s="40">
        <v>45429.45688315972</v>
      </c>
      <c r="D363" s="27" t="s">
        <v>33</v>
      </c>
      <c r="E363" s="11" t="b">
        <v>0</v>
      </c>
      <c r="F363" s="11" t="s">
        <v>49</v>
      </c>
      <c r="G363" s="11" t="s">
        <v>398</v>
      </c>
      <c r="H363" s="11" t="s">
        <v>399</v>
      </c>
      <c r="I363" s="30">
        <v>5.0</v>
      </c>
      <c r="J363" s="31">
        <v>1150.0</v>
      </c>
      <c r="K363" s="11">
        <v>1.0</v>
      </c>
      <c r="L363" s="32">
        <f>(1200)/P363</f>
        <v>0.07456194855</v>
      </c>
      <c r="M363" s="32">
        <f>(833)/P363</f>
        <v>0.05175841929</v>
      </c>
      <c r="N363" s="32">
        <f>(69000)/P363</f>
        <v>4.287312042</v>
      </c>
      <c r="O363" s="32">
        <v>0.0</v>
      </c>
      <c r="P363" s="33">
        <v>16094.0</v>
      </c>
      <c r="Q363" s="34">
        <v>1150.0</v>
      </c>
      <c r="R363" s="42">
        <v>85.74624083509381</v>
      </c>
      <c r="S363" s="36">
        <v>0.05175841928669069</v>
      </c>
      <c r="T363" s="36">
        <v>4.287312041754691</v>
      </c>
      <c r="U363" s="36"/>
      <c r="V363" s="36">
        <v>81.51068721262581</v>
      </c>
      <c r="W363" s="37">
        <v>0.07087885844576157</v>
      </c>
      <c r="X363" s="42">
        <v>1379999.9999999998</v>
      </c>
      <c r="Y363" s="36">
        <v>833.0</v>
      </c>
      <c r="Z363" s="36">
        <v>69000.0</v>
      </c>
      <c r="AA363" s="36"/>
      <c r="AB363" s="36">
        <v>1311832.9999999998</v>
      </c>
      <c r="AC363" s="37">
        <v>1140.7243478260868</v>
      </c>
      <c r="AD363" s="31"/>
      <c r="AE363" s="11"/>
      <c r="AF363" s="11"/>
    </row>
    <row r="364">
      <c r="A364" s="11" t="s">
        <v>397</v>
      </c>
      <c r="B364" s="39">
        <v>45378.69513888889</v>
      </c>
      <c r="C364" s="40">
        <v>45381.708333333336</v>
      </c>
      <c r="D364" s="27" t="s">
        <v>37</v>
      </c>
      <c r="E364" s="11" t="b">
        <v>0</v>
      </c>
      <c r="F364" s="11" t="s">
        <v>38</v>
      </c>
      <c r="G364" s="11" t="s">
        <v>44</v>
      </c>
      <c r="H364" s="11" t="s">
        <v>44</v>
      </c>
      <c r="I364" s="30">
        <v>5.0</v>
      </c>
      <c r="J364" s="31">
        <v>10.0</v>
      </c>
      <c r="K364" s="11">
        <v>1.0</v>
      </c>
      <c r="L364" s="32">
        <f>(1176)/P364</f>
        <v>0.07395761273</v>
      </c>
      <c r="M364" s="32">
        <f>(400 + 1000)/3/P364</f>
        <v>0.02934825902</v>
      </c>
      <c r="N364" s="32">
        <f>(2058)/3/P364</f>
        <v>0.04314194076</v>
      </c>
      <c r="O364" s="32">
        <v>0.0</v>
      </c>
      <c r="P364" s="33">
        <v>15901.0</v>
      </c>
      <c r="Q364" s="34">
        <v>10.0</v>
      </c>
      <c r="R364" s="42">
        <v>0.739576127287592</v>
      </c>
      <c r="S364" s="36">
        <v>0.02934825901934889</v>
      </c>
      <c r="T364" s="36">
        <v>0.04314194075844287</v>
      </c>
      <c r="U364" s="36"/>
      <c r="V364" s="36">
        <v>0.725782445548498</v>
      </c>
      <c r="W364" s="37">
        <v>0.0725782445548498</v>
      </c>
      <c r="X364" s="42">
        <v>11760.000000000002</v>
      </c>
      <c r="Y364" s="36">
        <v>466.6666666666667</v>
      </c>
      <c r="Z364" s="36">
        <v>686.0</v>
      </c>
      <c r="AA364" s="36"/>
      <c r="AB364" s="36">
        <v>11540.666666666668</v>
      </c>
      <c r="AC364" s="37">
        <v>1154.0666666666668</v>
      </c>
      <c r="AD364" s="31"/>
      <c r="AE364" s="11"/>
      <c r="AF364" s="11"/>
    </row>
    <row r="365">
      <c r="A365" s="43" t="s">
        <v>397</v>
      </c>
      <c r="B365" s="39">
        <v>45374.678941122686</v>
      </c>
      <c r="C365" s="40">
        <v>45457.841581782406</v>
      </c>
      <c r="D365" s="27" t="s">
        <v>33</v>
      </c>
      <c r="E365" s="11" t="b">
        <v>1</v>
      </c>
      <c r="F365" s="11" t="s">
        <v>34</v>
      </c>
      <c r="G365" s="44" t="s">
        <v>400</v>
      </c>
      <c r="H365" s="11" t="s">
        <v>401</v>
      </c>
      <c r="I365" s="30">
        <v>5.0</v>
      </c>
      <c r="J365" s="31">
        <v>5000.0</v>
      </c>
      <c r="K365" s="11">
        <v>1.0</v>
      </c>
      <c r="L365" s="32">
        <f>(813)/P365 + (240465/5000)/P364</f>
        <v>0.05505652676</v>
      </c>
      <c r="M365" s="32">
        <v>0.0</v>
      </c>
      <c r="N365" s="32">
        <v>0.0</v>
      </c>
      <c r="O365" s="32">
        <v>0.0</v>
      </c>
      <c r="P365" s="33">
        <v>15625.0</v>
      </c>
      <c r="Q365" s="34">
        <v>5000.0</v>
      </c>
      <c r="R365" s="42">
        <v>275.28263379661655</v>
      </c>
      <c r="S365" s="36"/>
      <c r="T365" s="36"/>
      <c r="U365" s="36"/>
      <c r="V365" s="36">
        <v>275.28263379661655</v>
      </c>
      <c r="W365" s="37">
        <v>0.05505652675932331</v>
      </c>
      <c r="X365" s="42">
        <v>4301291.153072134</v>
      </c>
      <c r="Y365" s="36"/>
      <c r="Z365" s="36"/>
      <c r="AA365" s="36"/>
      <c r="AB365" s="36">
        <v>4301291.153072134</v>
      </c>
      <c r="AC365" s="37">
        <v>860.2582306144267</v>
      </c>
      <c r="AD365" s="31"/>
      <c r="AE365" s="11"/>
      <c r="AF365" s="11"/>
    </row>
    <row r="366">
      <c r="A366" s="11" t="s">
        <v>397</v>
      </c>
      <c r="B366" s="39">
        <v>45297.49682163194</v>
      </c>
      <c r="C366" s="40">
        <v>45302.694444444445</v>
      </c>
      <c r="D366" s="27" t="s">
        <v>33</v>
      </c>
      <c r="E366" s="11" t="b">
        <v>0</v>
      </c>
      <c r="F366" s="11" t="s">
        <v>49</v>
      </c>
      <c r="G366" s="11" t="s">
        <v>89</v>
      </c>
      <c r="H366" s="11" t="s">
        <v>89</v>
      </c>
      <c r="I366" s="30">
        <v>5.0</v>
      </c>
      <c r="J366" s="31">
        <v>105.0</v>
      </c>
      <c r="K366" s="11">
        <v>1.0</v>
      </c>
      <c r="L366" s="32">
        <f>1176/P366</f>
        <v>0.07585628588</v>
      </c>
      <c r="M366" s="32">
        <f>(1235 + 1000 + (129424-125715))/P366</f>
        <v>0.3834096626</v>
      </c>
      <c r="N366" s="32">
        <f>(49392)/P366</f>
        <v>3.185964007</v>
      </c>
      <c r="O366" s="32">
        <v>0.0</v>
      </c>
      <c r="P366" s="58">
        <v>15503.0</v>
      </c>
      <c r="Q366" s="34">
        <v>105.0</v>
      </c>
      <c r="R366" s="42">
        <v>7.964910017415984</v>
      </c>
      <c r="S366" s="36">
        <v>0.3834096626459395</v>
      </c>
      <c r="T366" s="36">
        <v>3.1859640069663935</v>
      </c>
      <c r="U366" s="36"/>
      <c r="V366" s="36">
        <v>5.162355673095529</v>
      </c>
      <c r="W366" s="37">
        <v>0.049165292124719324</v>
      </c>
      <c r="X366" s="42">
        <v>123480.0</v>
      </c>
      <c r="Y366" s="36">
        <v>5944.0</v>
      </c>
      <c r="Z366" s="36">
        <v>49392.0</v>
      </c>
      <c r="AA366" s="36"/>
      <c r="AB366" s="36">
        <v>80031.99999999999</v>
      </c>
      <c r="AC366" s="37">
        <v>762.2095238095237</v>
      </c>
      <c r="AD366" s="31"/>
      <c r="AE366" s="11"/>
      <c r="AF366" s="11"/>
    </row>
    <row r="367">
      <c r="A367" s="11" t="s">
        <v>397</v>
      </c>
      <c r="B367" s="39">
        <v>45271.518155682876</v>
      </c>
      <c r="C367" s="40">
        <v>45319.677858194445</v>
      </c>
      <c r="D367" s="27" t="s">
        <v>33</v>
      </c>
      <c r="E367" s="11" t="b">
        <v>1</v>
      </c>
      <c r="F367" s="11" t="s">
        <v>34</v>
      </c>
      <c r="G367" s="11" t="s">
        <v>45</v>
      </c>
      <c r="H367" s="11"/>
      <c r="I367" s="30">
        <v>5.0</v>
      </c>
      <c r="J367" s="31">
        <v>5000.0</v>
      </c>
      <c r="K367" s="11">
        <v>1.0</v>
      </c>
      <c r="L367" s="32">
        <f>(804)/P367</f>
        <v>0.05148565574</v>
      </c>
      <c r="M367" s="32">
        <v>0.0</v>
      </c>
      <c r="N367" s="32">
        <v>0.0</v>
      </c>
      <c r="O367" s="32">
        <v>0.0</v>
      </c>
      <c r="P367" s="58">
        <v>15616.0</v>
      </c>
      <c r="Q367" s="34">
        <v>5000.0</v>
      </c>
      <c r="R367" s="42">
        <v>257.4282786885246</v>
      </c>
      <c r="S367" s="36"/>
      <c r="T367" s="36"/>
      <c r="U367" s="36"/>
      <c r="V367" s="36">
        <v>257.4282786885246</v>
      </c>
      <c r="W367" s="37">
        <v>0.051485655737704916</v>
      </c>
      <c r="X367" s="42">
        <v>4020000.0</v>
      </c>
      <c r="Y367" s="36"/>
      <c r="Z367" s="36"/>
      <c r="AA367" s="36"/>
      <c r="AB367" s="36">
        <v>4020000.0</v>
      </c>
      <c r="AC367" s="37">
        <v>804.0</v>
      </c>
      <c r="AD367" s="31"/>
      <c r="AE367" s="11"/>
      <c r="AF367" s="11"/>
    </row>
    <row r="368">
      <c r="A368" s="11" t="s">
        <v>397</v>
      </c>
      <c r="B368" s="39">
        <v>45085.0</v>
      </c>
      <c r="C368" s="40">
        <v>45129.0</v>
      </c>
      <c r="D368" s="27" t="s">
        <v>33</v>
      </c>
      <c r="E368" s="11" t="b">
        <v>1</v>
      </c>
      <c r="F368" s="11" t="s">
        <v>46</v>
      </c>
      <c r="G368" s="11" t="s">
        <v>46</v>
      </c>
      <c r="H368" s="11" t="s">
        <v>159</v>
      </c>
      <c r="I368" s="30">
        <v>5.0</v>
      </c>
      <c r="J368" s="31">
        <v>11000.0</v>
      </c>
      <c r="K368" s="11">
        <v>1.0</v>
      </c>
      <c r="L368" s="32">
        <f>(871)/P368</f>
        <v>0.05845637584</v>
      </c>
      <c r="M368" s="32">
        <v>0.0</v>
      </c>
      <c r="N368" s="32">
        <v>0.0</v>
      </c>
      <c r="O368" s="32">
        <v>0.0</v>
      </c>
      <c r="P368" s="33">
        <v>14900.0</v>
      </c>
      <c r="Q368" s="34">
        <v>11000.0</v>
      </c>
      <c r="R368" s="42">
        <v>643.0201342281879</v>
      </c>
      <c r="S368" s="36"/>
      <c r="T368" s="36"/>
      <c r="U368" s="36"/>
      <c r="V368" s="36">
        <v>643.0201342281879</v>
      </c>
      <c r="W368" s="37">
        <v>0.05845637583892617</v>
      </c>
      <c r="X368" s="42">
        <v>9581000.0</v>
      </c>
      <c r="Y368" s="36"/>
      <c r="Z368" s="36"/>
      <c r="AA368" s="36"/>
      <c r="AB368" s="36">
        <v>9581000.0</v>
      </c>
      <c r="AC368" s="37">
        <v>871.0</v>
      </c>
      <c r="AD368" s="31"/>
      <c r="AE368" s="11"/>
      <c r="AF368" s="11"/>
    </row>
    <row r="369">
      <c r="A369" s="11" t="s">
        <v>397</v>
      </c>
      <c r="B369" s="39">
        <v>44874.0</v>
      </c>
      <c r="C369" s="40">
        <v>44921.0</v>
      </c>
      <c r="D369" s="27" t="s">
        <v>33</v>
      </c>
      <c r="E369" s="11" t="b">
        <v>1</v>
      </c>
      <c r="F369" s="11" t="s">
        <v>46</v>
      </c>
      <c r="G369" s="11" t="s">
        <v>46</v>
      </c>
      <c r="H369" s="11" t="s">
        <v>47</v>
      </c>
      <c r="I369" s="30">
        <v>5.0</v>
      </c>
      <c r="J369" s="31">
        <v>6000.0</v>
      </c>
      <c r="K369" s="11">
        <v>1.0</v>
      </c>
      <c r="L369" s="32">
        <f>972/P369</f>
        <v>0.06230769231</v>
      </c>
      <c r="M369" s="32">
        <f>(1000+1000+1000+9500)/7/P369</f>
        <v>0.1144688645</v>
      </c>
      <c r="N369" s="32">
        <f>(500000/7)/P369</f>
        <v>4.578754579</v>
      </c>
      <c r="O369" s="32">
        <v>0.0</v>
      </c>
      <c r="P369" s="33">
        <v>15600.0</v>
      </c>
      <c r="Q369" s="34">
        <v>6000.0</v>
      </c>
      <c r="R369" s="42">
        <v>373.84615384615387</v>
      </c>
      <c r="S369" s="36">
        <v>0.11446886446886448</v>
      </c>
      <c r="T369" s="36">
        <v>4.578754578754579</v>
      </c>
      <c r="U369" s="36"/>
      <c r="V369" s="36">
        <v>369.38186813186815</v>
      </c>
      <c r="W369" s="37">
        <v>0.06156364468864469</v>
      </c>
      <c r="X369" s="42">
        <v>5832000.0</v>
      </c>
      <c r="Y369" s="36">
        <v>1785.7142857142858</v>
      </c>
      <c r="Z369" s="36">
        <v>71428.57142857143</v>
      </c>
      <c r="AA369" s="36"/>
      <c r="AB369" s="36">
        <v>5762357.142857143</v>
      </c>
      <c r="AC369" s="37">
        <v>960.3928571428571</v>
      </c>
      <c r="AD369" s="31"/>
      <c r="AE369" s="11"/>
      <c r="AF369" s="11"/>
    </row>
    <row r="370">
      <c r="A370" s="11" t="s">
        <v>402</v>
      </c>
      <c r="B370" s="39">
        <v>45378.69513888889</v>
      </c>
      <c r="C370" s="40">
        <v>45381.708333333336</v>
      </c>
      <c r="D370" s="27" t="s">
        <v>37</v>
      </c>
      <c r="E370" s="11" t="b">
        <v>0</v>
      </c>
      <c r="F370" s="11" t="s">
        <v>38</v>
      </c>
      <c r="G370" s="11" t="s">
        <v>44</v>
      </c>
      <c r="H370" s="11" t="s">
        <v>44</v>
      </c>
      <c r="I370" s="30">
        <v>5.0</v>
      </c>
      <c r="J370" s="31">
        <v>10.0</v>
      </c>
      <c r="K370" s="11">
        <v>1.0</v>
      </c>
      <c r="L370" s="32">
        <f>(1470)/P370</f>
        <v>0.09244701591</v>
      </c>
      <c r="M370" s="32">
        <f>(400 + 1000)/3/P370</f>
        <v>0.02934825902</v>
      </c>
      <c r="N370" s="32">
        <f>(2058)/3/P370</f>
        <v>0.04314194076</v>
      </c>
      <c r="O370" s="32">
        <v>0.0</v>
      </c>
      <c r="P370" s="33">
        <v>15901.0</v>
      </c>
      <c r="Q370" s="34">
        <v>10.0</v>
      </c>
      <c r="R370" s="42">
        <v>0.9244701591094899</v>
      </c>
      <c r="S370" s="36">
        <v>0.02934825901934889</v>
      </c>
      <c r="T370" s="36">
        <v>0.04314194075844287</v>
      </c>
      <c r="U370" s="36"/>
      <c r="V370" s="36">
        <v>0.9106764773703959</v>
      </c>
      <c r="W370" s="37">
        <v>0.0910676477370396</v>
      </c>
      <c r="X370" s="42">
        <v>14700.0</v>
      </c>
      <c r="Y370" s="36">
        <v>466.6666666666667</v>
      </c>
      <c r="Z370" s="36">
        <v>686.0</v>
      </c>
      <c r="AA370" s="36"/>
      <c r="AB370" s="36">
        <v>14480.666666666666</v>
      </c>
      <c r="AC370" s="37">
        <v>1448.0666666666666</v>
      </c>
      <c r="AD370" s="31"/>
      <c r="AE370" s="11"/>
      <c r="AF370" s="11"/>
    </row>
    <row r="371">
      <c r="A371" s="11" t="s">
        <v>403</v>
      </c>
      <c r="B371" s="39">
        <v>45452.71527777778</v>
      </c>
      <c r="C371" s="40">
        <v>45456.59444444445</v>
      </c>
      <c r="D371" s="27" t="s">
        <v>33</v>
      </c>
      <c r="E371" s="11" t="b">
        <v>0</v>
      </c>
      <c r="F371" s="11" t="s">
        <v>49</v>
      </c>
      <c r="G371" s="11" t="s">
        <v>404</v>
      </c>
      <c r="H371" s="11" t="s">
        <v>405</v>
      </c>
      <c r="I371" s="30">
        <v>5.0</v>
      </c>
      <c r="J371" s="31">
        <v>1000.0</v>
      </c>
      <c r="K371" s="11">
        <v>1.0</v>
      </c>
      <c r="L371" s="32">
        <f>(1150)/P371</f>
        <v>0.07065184002</v>
      </c>
      <c r="M371" s="32">
        <f>(1000)/P371</f>
        <v>0.06143638263</v>
      </c>
      <c r="N371" s="32">
        <f>(44000 + 50000)/P371</f>
        <v>5.775019967</v>
      </c>
      <c r="O371" s="32">
        <v>0.0</v>
      </c>
      <c r="P371" s="33">
        <v>16277.0</v>
      </c>
      <c r="Q371" s="34">
        <v>1000.0</v>
      </c>
      <c r="R371" s="42">
        <v>70.65184001965964</v>
      </c>
      <c r="S371" s="36">
        <v>0.06143638262579099</v>
      </c>
      <c r="T371" s="36">
        <v>5.775019966824353</v>
      </c>
      <c r="U371" s="36"/>
      <c r="V371" s="36">
        <v>64.93825643546107</v>
      </c>
      <c r="W371" s="37">
        <v>0.06493825643546107</v>
      </c>
      <c r="X371" s="42">
        <v>1150000.0</v>
      </c>
      <c r="Y371" s="36">
        <v>1000.0</v>
      </c>
      <c r="Z371" s="36">
        <v>94000.0</v>
      </c>
      <c r="AA371" s="36"/>
      <c r="AB371" s="36">
        <v>1056999.9999999998</v>
      </c>
      <c r="AC371" s="37">
        <v>1056.9999999999998</v>
      </c>
      <c r="AD371" s="31"/>
      <c r="AE371" s="11"/>
      <c r="AF371" s="11"/>
    </row>
    <row r="372">
      <c r="A372" s="11" t="s">
        <v>403</v>
      </c>
      <c r="B372" s="39">
        <v>45378.69513888889</v>
      </c>
      <c r="C372" s="40">
        <v>45381.708333333336</v>
      </c>
      <c r="D372" s="27" t="s">
        <v>37</v>
      </c>
      <c r="E372" s="11" t="b">
        <v>0</v>
      </c>
      <c r="F372" s="11" t="s">
        <v>38</v>
      </c>
      <c r="G372" s="11" t="s">
        <v>44</v>
      </c>
      <c r="H372" s="11" t="s">
        <v>44</v>
      </c>
      <c r="I372" s="30">
        <v>5.0</v>
      </c>
      <c r="J372" s="31">
        <v>10.0</v>
      </c>
      <c r="K372" s="11">
        <v>1.0</v>
      </c>
      <c r="L372" s="32">
        <f>(1470)/P372</f>
        <v>0.09244701591</v>
      </c>
      <c r="M372" s="32">
        <f>(400 + 1000)/3/P372</f>
        <v>0.02934825902</v>
      </c>
      <c r="N372" s="32">
        <f>(2058)/3/P372</f>
        <v>0.04314194076</v>
      </c>
      <c r="O372" s="32">
        <v>0.0</v>
      </c>
      <c r="P372" s="33">
        <v>15901.0</v>
      </c>
      <c r="Q372" s="34">
        <v>10.0</v>
      </c>
      <c r="R372" s="42">
        <v>0.9244701591094899</v>
      </c>
      <c r="S372" s="36">
        <v>0.02934825901934889</v>
      </c>
      <c r="T372" s="36">
        <v>0.04314194075844287</v>
      </c>
      <c r="U372" s="36"/>
      <c r="V372" s="36">
        <v>0.9106764773703959</v>
      </c>
      <c r="W372" s="37">
        <v>0.0910676477370396</v>
      </c>
      <c r="X372" s="42">
        <v>14700.0</v>
      </c>
      <c r="Y372" s="36">
        <v>466.6666666666667</v>
      </c>
      <c r="Z372" s="36">
        <v>686.0</v>
      </c>
      <c r="AA372" s="36"/>
      <c r="AB372" s="36">
        <v>14480.666666666666</v>
      </c>
      <c r="AC372" s="37">
        <v>1448.0666666666666</v>
      </c>
      <c r="AD372" s="31"/>
      <c r="AE372" s="11"/>
      <c r="AF372" s="11"/>
    </row>
    <row r="373">
      <c r="A373" s="11" t="s">
        <v>403</v>
      </c>
      <c r="B373" s="39">
        <v>45002.0</v>
      </c>
      <c r="C373" s="40">
        <v>45085.0</v>
      </c>
      <c r="D373" s="27" t="s">
        <v>33</v>
      </c>
      <c r="E373" s="11" t="b">
        <v>1</v>
      </c>
      <c r="F373" s="29" t="s">
        <v>46</v>
      </c>
      <c r="G373" s="29" t="s">
        <v>46</v>
      </c>
      <c r="H373" s="29"/>
      <c r="I373" s="30">
        <v>5.0</v>
      </c>
      <c r="J373" s="31">
        <v>3000.0</v>
      </c>
      <c r="K373" s="11">
        <v>1.0</v>
      </c>
      <c r="L373" s="32">
        <f>990/P373</f>
        <v>0.0643902439</v>
      </c>
      <c r="M373" s="32">
        <v>0.0</v>
      </c>
      <c r="N373" s="32">
        <v>0.0</v>
      </c>
      <c r="O373" s="32">
        <v>0.0</v>
      </c>
      <c r="P373" s="33">
        <v>15375.0</v>
      </c>
      <c r="Q373" s="34">
        <v>3000.0</v>
      </c>
      <c r="R373" s="42">
        <v>193.1707317073171</v>
      </c>
      <c r="S373" s="36"/>
      <c r="T373" s="36"/>
      <c r="U373" s="36"/>
      <c r="V373" s="36">
        <v>193.1707317073171</v>
      </c>
      <c r="W373" s="37">
        <v>0.06439024390243903</v>
      </c>
      <c r="X373" s="42">
        <v>2970000.0000000005</v>
      </c>
      <c r="Y373" s="36"/>
      <c r="Z373" s="36"/>
      <c r="AA373" s="36"/>
      <c r="AB373" s="36">
        <v>2970000.0000000005</v>
      </c>
      <c r="AC373" s="37">
        <v>990.0000000000001</v>
      </c>
      <c r="AD373" s="31"/>
      <c r="AE373" s="11"/>
      <c r="AF373" s="11"/>
    </row>
    <row r="374">
      <c r="A374" s="11" t="s">
        <v>406</v>
      </c>
      <c r="B374" s="39">
        <v>43590.40835653935</v>
      </c>
      <c r="C374" s="40">
        <v>43596.0</v>
      </c>
      <c r="D374" s="27" t="s">
        <v>56</v>
      </c>
      <c r="E374" s="11" t="b">
        <v>1</v>
      </c>
      <c r="F374" s="11" t="s">
        <v>49</v>
      </c>
      <c r="G374" s="59" t="str">
        <f>"https://shopee.co.id/20pcs-IC-lm741c-lm741cn-DIP-8Pin-UA741CN-Amp-LM741-Amp-i.77214376.1434513222"</f>
        <v>https://shopee.co.id/20pcs-IC-lm741c-lm741cn-DIP-8Pin-UA741CN-Amp-LM741-Amp-i.77214376.1434513222</v>
      </c>
      <c r="H374" s="46" t="s">
        <v>407</v>
      </c>
      <c r="I374" s="33"/>
      <c r="J374" s="31">
        <v>4.0</v>
      </c>
      <c r="K374" s="11">
        <v>20.0</v>
      </c>
      <c r="L374" s="32">
        <f>25822/P374</f>
        <v>2.5822</v>
      </c>
      <c r="M374" s="32">
        <f>10000/P374</f>
        <v>1</v>
      </c>
      <c r="N374" s="32"/>
      <c r="O374" s="32">
        <f>10000/P374</f>
        <v>1</v>
      </c>
      <c r="P374" s="33">
        <v>10000.0</v>
      </c>
      <c r="Q374" s="34">
        <v>80.0</v>
      </c>
      <c r="R374" s="42">
        <v>10.3288</v>
      </c>
      <c r="S374" s="36">
        <v>1.0</v>
      </c>
      <c r="T374" s="36"/>
      <c r="U374" s="36">
        <v>1.0</v>
      </c>
      <c r="V374" s="36">
        <v>10.3288</v>
      </c>
      <c r="W374" s="37">
        <v>0.12911</v>
      </c>
      <c r="X374" s="42">
        <v>103288.0</v>
      </c>
      <c r="Y374" s="36">
        <v>10000.0</v>
      </c>
      <c r="Z374" s="36"/>
      <c r="AA374" s="36">
        <v>10000.0</v>
      </c>
      <c r="AB374" s="36">
        <v>103288.0</v>
      </c>
      <c r="AC374" s="37">
        <v>1291.1</v>
      </c>
      <c r="AD374" s="31">
        <v>1500.0</v>
      </c>
      <c r="AE374" s="11">
        <v>1500.0</v>
      </c>
      <c r="AF374" s="11"/>
    </row>
    <row r="375">
      <c r="A375" s="11" t="s">
        <v>408</v>
      </c>
      <c r="B375" s="39">
        <v>45856.61300925926</v>
      </c>
      <c r="C375" s="40">
        <v>45908.52361111111</v>
      </c>
      <c r="D375" s="27" t="s">
        <v>33</v>
      </c>
      <c r="E375" s="11" t="b">
        <v>1</v>
      </c>
      <c r="F375" s="11" t="s">
        <v>34</v>
      </c>
      <c r="G375" s="41" t="s">
        <v>409</v>
      </c>
      <c r="H375" s="11" t="s">
        <v>410</v>
      </c>
      <c r="I375" s="30">
        <v>5.0</v>
      </c>
      <c r="J375" s="31">
        <v>10000.0</v>
      </c>
      <c r="K375" s="11">
        <v>1.0</v>
      </c>
      <c r="L375" s="32">
        <f>(287)/P375</f>
        <v>0.01757609162</v>
      </c>
      <c r="M375" s="32">
        <f>(18870)/P375</f>
        <v>1.155612714</v>
      </c>
      <c r="N375" s="32">
        <v>0.0</v>
      </c>
      <c r="O375" s="32">
        <v>0.0</v>
      </c>
      <c r="P375" s="33">
        <v>16329.0</v>
      </c>
      <c r="Q375" s="34">
        <v>10000.0</v>
      </c>
      <c r="R375" s="42">
        <v>175.7609161614306</v>
      </c>
      <c r="S375" s="36">
        <v>1.1556127135770715</v>
      </c>
      <c r="T375" s="36"/>
      <c r="U375" s="36"/>
      <c r="V375" s="36">
        <v>176.91652887500769</v>
      </c>
      <c r="W375" s="37">
        <v>0.01769165288750077</v>
      </c>
      <c r="X375" s="42">
        <v>2870000.0000000005</v>
      </c>
      <c r="Y375" s="36">
        <v>18870.0</v>
      </c>
      <c r="Z375" s="36"/>
      <c r="AA375" s="36"/>
      <c r="AB375" s="36">
        <v>2888870.0000000005</v>
      </c>
      <c r="AC375" s="37">
        <v>288.88700000000006</v>
      </c>
      <c r="AD375" s="31"/>
      <c r="AE375" s="11"/>
      <c r="AF375" s="11"/>
    </row>
    <row r="376">
      <c r="A376" s="11" t="s">
        <v>408</v>
      </c>
      <c r="B376" s="39">
        <v>45802.07152777778</v>
      </c>
      <c r="C376" s="40">
        <v>45805.39097222222</v>
      </c>
      <c r="D376" s="27" t="s">
        <v>37</v>
      </c>
      <c r="E376" s="11" t="b">
        <v>0</v>
      </c>
      <c r="F376" s="11" t="s">
        <v>49</v>
      </c>
      <c r="G376" s="11" t="s">
        <v>219</v>
      </c>
      <c r="H376" s="11" t="s">
        <v>411</v>
      </c>
      <c r="I376" s="30">
        <v>5.0</v>
      </c>
      <c r="J376" s="31">
        <v>10.0</v>
      </c>
      <c r="K376" s="11">
        <v>1.0</v>
      </c>
      <c r="L376" s="32">
        <f>(650)/P376</f>
        <v>0.03999507753</v>
      </c>
      <c r="M376" s="32">
        <f t="shared" ref="M376:M378" si="106">(1000)/P376</f>
        <v>0.06153088851</v>
      </c>
      <c r="N376" s="32">
        <f>(5000)/P376</f>
        <v>0.3076544425</v>
      </c>
      <c r="O376" s="32">
        <v>0.0</v>
      </c>
      <c r="P376" s="33">
        <v>16252.0</v>
      </c>
      <c r="Q376" s="34">
        <v>10.0</v>
      </c>
      <c r="R376" s="42">
        <v>0.39995077528919515</v>
      </c>
      <c r="S376" s="36">
        <v>0.06153088850603003</v>
      </c>
      <c r="T376" s="36">
        <v>0.3076544425301501</v>
      </c>
      <c r="U376" s="36"/>
      <c r="V376" s="36">
        <v>0.15382722126507503</v>
      </c>
      <c r="W376" s="37">
        <v>0.015382722126507504</v>
      </c>
      <c r="X376" s="42">
        <v>6500.0</v>
      </c>
      <c r="Y376" s="36">
        <v>1000.0</v>
      </c>
      <c r="Z376" s="36">
        <v>5000.0</v>
      </c>
      <c r="AA376" s="36"/>
      <c r="AB376" s="36">
        <v>2499.9999999999995</v>
      </c>
      <c r="AC376" s="37">
        <v>249.99999999999994</v>
      </c>
      <c r="AD376" s="31"/>
      <c r="AE376" s="11"/>
      <c r="AF376" s="11"/>
    </row>
    <row r="377">
      <c r="A377" s="11" t="s">
        <v>408</v>
      </c>
      <c r="B377" s="39">
        <v>45774.55138888889</v>
      </c>
      <c r="C377" s="40">
        <v>45776.51736111111</v>
      </c>
      <c r="D377" s="27" t="s">
        <v>37</v>
      </c>
      <c r="E377" s="11" t="b">
        <v>0</v>
      </c>
      <c r="F377" s="11" t="s">
        <v>38</v>
      </c>
      <c r="G377" s="11" t="s">
        <v>362</v>
      </c>
      <c r="H377" s="11" t="s">
        <v>412</v>
      </c>
      <c r="I377" s="30">
        <v>5.0</v>
      </c>
      <c r="J377" s="31">
        <v>400.0</v>
      </c>
      <c r="K377" s="11">
        <v>1.0</v>
      </c>
      <c r="L377" s="32">
        <f t="shared" ref="L377:L378" si="107">(500)/P377</f>
        <v>0.02978140449</v>
      </c>
      <c r="M377" s="32">
        <f t="shared" si="106"/>
        <v>0.05956280898</v>
      </c>
      <c r="N377" s="32">
        <f>(14000)/P377</f>
        <v>0.8338793257</v>
      </c>
      <c r="O377" s="32">
        <v>0.0</v>
      </c>
      <c r="P377" s="33">
        <v>16789.0</v>
      </c>
      <c r="Q377" s="34">
        <v>400.0</v>
      </c>
      <c r="R377" s="42">
        <v>11.912561796414318</v>
      </c>
      <c r="S377" s="36">
        <v>0.05956280898207159</v>
      </c>
      <c r="T377" s="36">
        <v>0.8338793257490024</v>
      </c>
      <c r="U377" s="36"/>
      <c r="V377" s="36">
        <v>11.138245279647387</v>
      </c>
      <c r="W377" s="37">
        <v>0.02784561319911847</v>
      </c>
      <c r="X377" s="42">
        <v>199999.99999999997</v>
      </c>
      <c r="Y377" s="36">
        <v>1000.0</v>
      </c>
      <c r="Z377" s="36">
        <v>14000.0</v>
      </c>
      <c r="AA377" s="36"/>
      <c r="AB377" s="36">
        <v>187000.0</v>
      </c>
      <c r="AC377" s="37">
        <v>467.5</v>
      </c>
      <c r="AD377" s="31"/>
      <c r="AE377" s="11"/>
      <c r="AF377" s="11"/>
    </row>
    <row r="378">
      <c r="A378" s="11" t="s">
        <v>408</v>
      </c>
      <c r="B378" s="39">
        <v>45772.02569444444</v>
      </c>
      <c r="C378" s="40">
        <v>45774.42013888889</v>
      </c>
      <c r="D378" s="27" t="s">
        <v>37</v>
      </c>
      <c r="E378" s="11" t="b">
        <v>0</v>
      </c>
      <c r="F378" s="11" t="s">
        <v>38</v>
      </c>
      <c r="G378" s="11" t="s">
        <v>362</v>
      </c>
      <c r="H378" s="11" t="s">
        <v>413</v>
      </c>
      <c r="I378" s="30">
        <v>5.0</v>
      </c>
      <c r="J378" s="31">
        <v>133.0</v>
      </c>
      <c r="K378" s="11">
        <v>1.0</v>
      </c>
      <c r="L378" s="32">
        <f t="shared" si="107"/>
        <v>0.02978140449</v>
      </c>
      <c r="M378" s="32">
        <f t="shared" si="106"/>
        <v>0.05956280898</v>
      </c>
      <c r="N378" s="32">
        <f>(X378*30%)/P378</f>
        <v>1.188278039</v>
      </c>
      <c r="O378" s="32">
        <v>0.0</v>
      </c>
      <c r="P378" s="33">
        <v>16789.0</v>
      </c>
      <c r="Q378" s="34">
        <v>133.0</v>
      </c>
      <c r="R378" s="42">
        <v>3.960926797307761</v>
      </c>
      <c r="S378" s="36">
        <v>0.05956280898207159</v>
      </c>
      <c r="T378" s="36">
        <v>1.1882780391923282</v>
      </c>
      <c r="U378" s="36"/>
      <c r="V378" s="36">
        <v>2.832211567097504</v>
      </c>
      <c r="W378" s="37">
        <v>0.021294823812763188</v>
      </c>
      <c r="X378" s="42">
        <v>66500.0</v>
      </c>
      <c r="Y378" s="36">
        <v>1000.0</v>
      </c>
      <c r="Z378" s="36">
        <v>19950.0</v>
      </c>
      <c r="AA378" s="36"/>
      <c r="AB378" s="36">
        <v>47549.99999999999</v>
      </c>
      <c r="AC378" s="37">
        <v>357.51879699248116</v>
      </c>
      <c r="AD378" s="31"/>
      <c r="AE378" s="11"/>
      <c r="AF378" s="11"/>
    </row>
    <row r="379">
      <c r="A379" s="11" t="s">
        <v>408</v>
      </c>
      <c r="B379" s="39">
        <v>45621.73611111111</v>
      </c>
      <c r="C379" s="40">
        <v>45626.433333333334</v>
      </c>
      <c r="D379" s="27" t="s">
        <v>37</v>
      </c>
      <c r="E379" s="11" t="b">
        <v>0</v>
      </c>
      <c r="F379" s="11" t="s">
        <v>49</v>
      </c>
      <c r="G379" s="11" t="s">
        <v>414</v>
      </c>
      <c r="H379" s="11" t="s">
        <v>415</v>
      </c>
      <c r="I379" s="30">
        <v>5.0</v>
      </c>
      <c r="J379" s="31">
        <v>20.0</v>
      </c>
      <c r="K379" s="11">
        <v>10.0</v>
      </c>
      <c r="L379" s="32">
        <f>(4750)/P379</f>
        <v>0.2987233507</v>
      </c>
      <c r="M379" s="32">
        <f>(38)/P379</f>
        <v>0.002389786806</v>
      </c>
      <c r="N379" s="32">
        <f>(11400)/P379</f>
        <v>0.7169360418</v>
      </c>
      <c r="O379" s="32">
        <v>0.0</v>
      </c>
      <c r="P379" s="33">
        <v>15901.0</v>
      </c>
      <c r="Q379" s="34">
        <v>200.0</v>
      </c>
      <c r="R379" s="42">
        <v>5.974467014653166</v>
      </c>
      <c r="S379" s="36">
        <v>0.0023897868058612667</v>
      </c>
      <c r="T379" s="36">
        <v>0.71693604175838</v>
      </c>
      <c r="U379" s="36"/>
      <c r="V379" s="36">
        <v>5.259920759700647</v>
      </c>
      <c r="W379" s="37">
        <v>0.026299603798503237</v>
      </c>
      <c r="X379" s="42">
        <v>95000.0</v>
      </c>
      <c r="Y379" s="36">
        <v>38.0</v>
      </c>
      <c r="Z379" s="36">
        <v>11400.0</v>
      </c>
      <c r="AA379" s="36"/>
      <c r="AB379" s="36">
        <v>83638.0</v>
      </c>
      <c r="AC379" s="37">
        <v>418.19</v>
      </c>
      <c r="AD379" s="31"/>
      <c r="AE379" s="11"/>
      <c r="AF379" s="11"/>
    </row>
    <row r="380">
      <c r="A380" s="11" t="s">
        <v>408</v>
      </c>
      <c r="B380" s="39">
        <v>45621.60138888889</v>
      </c>
      <c r="C380" s="40">
        <v>45624.67222222222</v>
      </c>
      <c r="D380" s="27" t="s">
        <v>37</v>
      </c>
      <c r="E380" s="11" t="b">
        <v>0</v>
      </c>
      <c r="F380" s="11" t="s">
        <v>38</v>
      </c>
      <c r="G380" s="11" t="s">
        <v>390</v>
      </c>
      <c r="H380" s="11" t="s">
        <v>416</v>
      </c>
      <c r="I380" s="30">
        <v>5.0</v>
      </c>
      <c r="J380" s="31">
        <v>2.0</v>
      </c>
      <c r="K380" s="11">
        <v>1000.0</v>
      </c>
      <c r="L380" s="32">
        <f>(445000)/P380</f>
        <v>27.98566128</v>
      </c>
      <c r="M380" s="32">
        <f>(1000)/2/P380</f>
        <v>0.03144456324</v>
      </c>
      <c r="N380" s="32">
        <f>(89000)/P380</f>
        <v>5.597132256</v>
      </c>
      <c r="O380" s="32">
        <v>0.0</v>
      </c>
      <c r="P380" s="33">
        <v>15901.0</v>
      </c>
      <c r="Q380" s="34">
        <v>2000.0</v>
      </c>
      <c r="R380" s="42">
        <v>55.97132255832967</v>
      </c>
      <c r="S380" s="36">
        <v>0.03144456323501667</v>
      </c>
      <c r="T380" s="36">
        <v>5.597132255832967</v>
      </c>
      <c r="U380" s="36"/>
      <c r="V380" s="36">
        <v>50.40563486573172</v>
      </c>
      <c r="W380" s="37">
        <v>0.02520281743286586</v>
      </c>
      <c r="X380" s="42">
        <v>890000.0</v>
      </c>
      <c r="Y380" s="36">
        <v>500.00000000000006</v>
      </c>
      <c r="Z380" s="36">
        <v>89000.0</v>
      </c>
      <c r="AA380" s="36"/>
      <c r="AB380" s="36">
        <v>801500.0000000001</v>
      </c>
      <c r="AC380" s="37">
        <v>400.75000000000006</v>
      </c>
      <c r="AD380" s="31"/>
      <c r="AE380" s="11"/>
      <c r="AF380" s="11"/>
    </row>
    <row r="381">
      <c r="A381" s="11" t="s">
        <v>408</v>
      </c>
      <c r="B381" s="39">
        <v>45621.57361111111</v>
      </c>
      <c r="C381" s="40">
        <v>45624.708333333336</v>
      </c>
      <c r="D381" s="27" t="s">
        <v>37</v>
      </c>
      <c r="E381" s="11" t="b">
        <v>0</v>
      </c>
      <c r="F381" s="11" t="s">
        <v>49</v>
      </c>
      <c r="G381" s="11" t="s">
        <v>414</v>
      </c>
      <c r="H381" s="11" t="s">
        <v>417</v>
      </c>
      <c r="I381" s="30">
        <v>5.0</v>
      </c>
      <c r="J381" s="31">
        <v>175.0</v>
      </c>
      <c r="K381" s="11">
        <v>10.0</v>
      </c>
      <c r="L381" s="32">
        <f>(4750)/P381</f>
        <v>0.2987233507</v>
      </c>
      <c r="M381" s="32">
        <f>(1000)/P381</f>
        <v>0.06288912647</v>
      </c>
      <c r="N381" s="32">
        <f>(99750)/P381</f>
        <v>6.273190365</v>
      </c>
      <c r="O381" s="32">
        <v>0.0</v>
      </c>
      <c r="P381" s="33">
        <v>15901.0</v>
      </c>
      <c r="Q381" s="34">
        <v>1750.0</v>
      </c>
      <c r="R381" s="42">
        <v>52.27658637821521</v>
      </c>
      <c r="S381" s="36">
        <v>0.06288912647003334</v>
      </c>
      <c r="T381" s="36">
        <v>6.273190365385825</v>
      </c>
      <c r="U381" s="36"/>
      <c r="V381" s="36">
        <v>46.06628513929942</v>
      </c>
      <c r="W381" s="37">
        <v>0.026323591508171096</v>
      </c>
      <c r="X381" s="42">
        <v>831250.0</v>
      </c>
      <c r="Y381" s="36">
        <v>1000.0000000000001</v>
      </c>
      <c r="Z381" s="36">
        <v>99750.0</v>
      </c>
      <c r="AA381" s="36"/>
      <c r="AB381" s="36">
        <v>732500.0</v>
      </c>
      <c r="AC381" s="37">
        <v>418.57142857142856</v>
      </c>
      <c r="AD381" s="31"/>
      <c r="AE381" s="11"/>
      <c r="AF381" s="11"/>
    </row>
    <row r="382">
      <c r="A382" s="11" t="s">
        <v>408</v>
      </c>
      <c r="B382" s="39">
        <v>45604.98055555556</v>
      </c>
      <c r="C382" s="40">
        <v>45607.41180555556</v>
      </c>
      <c r="D382" s="27" t="s">
        <v>37</v>
      </c>
      <c r="E382" s="11" t="b">
        <v>0</v>
      </c>
      <c r="F382" s="11" t="s">
        <v>38</v>
      </c>
      <c r="G382" s="11" t="s">
        <v>362</v>
      </c>
      <c r="H382" s="11" t="s">
        <v>418</v>
      </c>
      <c r="I382" s="30">
        <v>5.0</v>
      </c>
      <c r="J382" s="31">
        <v>2000.0</v>
      </c>
      <c r="K382" s="11">
        <v>1.0</v>
      </c>
      <c r="L382" s="32">
        <f>(500)/P382</f>
        <v>0.03191625176</v>
      </c>
      <c r="M382" s="32">
        <f>(1000/3)/P382</f>
        <v>0.02127750117</v>
      </c>
      <c r="N382" s="32">
        <f>(80000)/P382</f>
        <v>5.106600281</v>
      </c>
      <c r="O382" s="32">
        <v>0.0</v>
      </c>
      <c r="P382" s="33">
        <v>15666.0</v>
      </c>
      <c r="Q382" s="34">
        <v>2000.0</v>
      </c>
      <c r="R382" s="42">
        <v>63.83250351078769</v>
      </c>
      <c r="S382" s="36">
        <v>0.021277501170262562</v>
      </c>
      <c r="T382" s="36">
        <v>5.106600280863016</v>
      </c>
      <c r="U382" s="36"/>
      <c r="V382" s="36">
        <v>58.747180731094936</v>
      </c>
      <c r="W382" s="37">
        <v>0.02937359036554747</v>
      </c>
      <c r="X382" s="42">
        <v>999999.9999999999</v>
      </c>
      <c r="Y382" s="36">
        <v>333.3333333333333</v>
      </c>
      <c r="Z382" s="36">
        <v>80000.0</v>
      </c>
      <c r="AA382" s="36"/>
      <c r="AB382" s="36">
        <v>920333.3333333333</v>
      </c>
      <c r="AC382" s="37">
        <v>460.16666666666663</v>
      </c>
      <c r="AD382" s="31"/>
      <c r="AE382" s="11"/>
      <c r="AF382" s="11"/>
    </row>
    <row r="383">
      <c r="A383" s="11" t="s">
        <v>408</v>
      </c>
      <c r="B383" s="39">
        <v>45599.69097222222</v>
      </c>
      <c r="C383" s="40">
        <v>45604.416666666664</v>
      </c>
      <c r="D383" s="27" t="s">
        <v>37</v>
      </c>
      <c r="E383" s="11" t="b">
        <v>0</v>
      </c>
      <c r="F383" s="11" t="s">
        <v>49</v>
      </c>
      <c r="G383" s="11" t="s">
        <v>419</v>
      </c>
      <c r="H383" s="11" t="s">
        <v>420</v>
      </c>
      <c r="I383" s="30">
        <v>5.0</v>
      </c>
      <c r="J383" s="31">
        <v>100.0</v>
      </c>
      <c r="K383" s="11">
        <v>1.0</v>
      </c>
      <c r="L383" s="32">
        <f>(498)/P383</f>
        <v>0.03142154079</v>
      </c>
      <c r="M383" s="32">
        <f t="shared" ref="M383:M384" si="108">(1000)/P383</f>
        <v>0.06309546344</v>
      </c>
      <c r="N383" s="32">
        <v>0.0</v>
      </c>
      <c r="O383" s="32">
        <v>0.0</v>
      </c>
      <c r="P383" s="33">
        <v>15849.0</v>
      </c>
      <c r="Q383" s="34">
        <v>100.0</v>
      </c>
      <c r="R383" s="42">
        <v>3.142154079121711</v>
      </c>
      <c r="S383" s="36">
        <v>0.06309546343617894</v>
      </c>
      <c r="T383" s="36"/>
      <c r="U383" s="36"/>
      <c r="V383" s="36">
        <v>3.20524954255789</v>
      </c>
      <c r="W383" s="37">
        <v>0.0320524954255789</v>
      </c>
      <c r="X383" s="42">
        <v>49800.0</v>
      </c>
      <c r="Y383" s="36">
        <v>1000.0000000000001</v>
      </c>
      <c r="Z383" s="36"/>
      <c r="AA383" s="36"/>
      <c r="AB383" s="36">
        <v>50800.0</v>
      </c>
      <c r="AC383" s="37">
        <v>508.0</v>
      </c>
      <c r="AD383" s="31"/>
      <c r="AE383" s="11"/>
      <c r="AF383" s="11"/>
    </row>
    <row r="384">
      <c r="A384" s="11" t="s">
        <v>408</v>
      </c>
      <c r="B384" s="39">
        <v>45599.584027777775</v>
      </c>
      <c r="C384" s="40">
        <v>45602.583333333336</v>
      </c>
      <c r="D384" s="27" t="s">
        <v>37</v>
      </c>
      <c r="E384" s="11" t="b">
        <v>0</v>
      </c>
      <c r="F384" s="11" t="s">
        <v>38</v>
      </c>
      <c r="G384" s="11" t="s">
        <v>362</v>
      </c>
      <c r="H384" s="11" t="s">
        <v>421</v>
      </c>
      <c r="I384" s="30">
        <v>5.0</v>
      </c>
      <c r="J384" s="31">
        <v>50.0</v>
      </c>
      <c r="K384" s="11">
        <v>1.0</v>
      </c>
      <c r="L384" s="32">
        <f t="shared" ref="L384:L386" si="109">(500)/P384</f>
        <v>0.03154773172</v>
      </c>
      <c r="M384" s="32">
        <f t="shared" si="108"/>
        <v>0.06309546344</v>
      </c>
      <c r="N384" s="32">
        <f>(20000)/P384</f>
        <v>1.261909269</v>
      </c>
      <c r="O384" s="32">
        <v>0.0</v>
      </c>
      <c r="P384" s="33">
        <v>15849.0</v>
      </c>
      <c r="Q384" s="34">
        <v>50.0</v>
      </c>
      <c r="R384" s="42">
        <v>1.5773865859044736</v>
      </c>
      <c r="S384" s="36">
        <v>0.06309546343617894</v>
      </c>
      <c r="T384" s="36">
        <v>1.2619092687235787</v>
      </c>
      <c r="U384" s="36"/>
      <c r="V384" s="36">
        <v>0.3785727806170738</v>
      </c>
      <c r="W384" s="37">
        <v>0.007571455612341476</v>
      </c>
      <c r="X384" s="42">
        <v>25000.0</v>
      </c>
      <c r="Y384" s="36">
        <v>1000.0000000000001</v>
      </c>
      <c r="Z384" s="36">
        <v>20000.0</v>
      </c>
      <c r="AA384" s="36"/>
      <c r="AB384" s="36">
        <v>6000.000000000003</v>
      </c>
      <c r="AC384" s="37">
        <v>120.00000000000006</v>
      </c>
      <c r="AD384" s="31"/>
      <c r="AE384" s="11"/>
      <c r="AF384" s="11"/>
    </row>
    <row r="385">
      <c r="A385" s="11" t="s">
        <v>408</v>
      </c>
      <c r="B385" s="39">
        <v>45544.63680555556</v>
      </c>
      <c r="C385" s="40">
        <v>45547.46875</v>
      </c>
      <c r="D385" s="27" t="s">
        <v>37</v>
      </c>
      <c r="E385" s="11" t="b">
        <v>0</v>
      </c>
      <c r="F385" s="11" t="s">
        <v>38</v>
      </c>
      <c r="G385" s="11" t="s">
        <v>362</v>
      </c>
      <c r="H385" s="11" t="s">
        <v>422</v>
      </c>
      <c r="I385" s="30">
        <v>5.0</v>
      </c>
      <c r="J385" s="31">
        <v>2300.0</v>
      </c>
      <c r="K385" s="11">
        <v>1.0</v>
      </c>
      <c r="L385" s="32">
        <f t="shared" si="109"/>
        <v>0.03148416347</v>
      </c>
      <c r="M385" s="32">
        <f>(500)/P385</f>
        <v>0.03148416347</v>
      </c>
      <c r="N385" s="32">
        <f>(115000)/P385</f>
        <v>7.241357597</v>
      </c>
      <c r="O385" s="32">
        <v>0.0</v>
      </c>
      <c r="P385" s="33">
        <v>15881.0</v>
      </c>
      <c r="Q385" s="34">
        <v>2300.0</v>
      </c>
      <c r="R385" s="42">
        <v>72.41357597128643</v>
      </c>
      <c r="S385" s="36">
        <v>0.03148416346577671</v>
      </c>
      <c r="T385" s="36">
        <v>7.241357597128644</v>
      </c>
      <c r="U385" s="36"/>
      <c r="V385" s="36">
        <v>65.20370253762357</v>
      </c>
      <c r="W385" s="37">
        <v>0.028349435885923292</v>
      </c>
      <c r="X385" s="42">
        <v>1149999.9999999998</v>
      </c>
      <c r="Y385" s="36">
        <v>499.99999999999994</v>
      </c>
      <c r="Z385" s="36">
        <v>115000.0</v>
      </c>
      <c r="AA385" s="36"/>
      <c r="AB385" s="36">
        <v>1035499.9999999999</v>
      </c>
      <c r="AC385" s="37">
        <v>450.21739130434776</v>
      </c>
      <c r="AD385" s="31"/>
      <c r="AE385" s="11"/>
      <c r="AF385" s="11"/>
    </row>
    <row r="386">
      <c r="A386" s="11" t="s">
        <v>408</v>
      </c>
      <c r="B386" s="39">
        <v>45504.86597222222</v>
      </c>
      <c r="C386" s="40">
        <v>45507.441666666666</v>
      </c>
      <c r="D386" s="27" t="s">
        <v>37</v>
      </c>
      <c r="E386" s="11" t="b">
        <v>0</v>
      </c>
      <c r="F386" s="11" t="s">
        <v>38</v>
      </c>
      <c r="G386" s="11" t="s">
        <v>362</v>
      </c>
      <c r="H386" s="11" t="s">
        <v>423</v>
      </c>
      <c r="I386" s="30">
        <v>5.0</v>
      </c>
      <c r="J386" s="31">
        <v>2000.0</v>
      </c>
      <c r="K386" s="11">
        <v>1.0</v>
      </c>
      <c r="L386" s="32">
        <f t="shared" si="109"/>
        <v>0.03074652564</v>
      </c>
      <c r="M386" s="32">
        <f>(1000)/P386</f>
        <v>0.06149305129</v>
      </c>
      <c r="N386" s="32">
        <f>(100000)/P386</f>
        <v>6.149305129</v>
      </c>
      <c r="O386" s="32">
        <v>0.0</v>
      </c>
      <c r="P386" s="33">
        <v>16262.0</v>
      </c>
      <c r="Q386" s="34">
        <v>2000.0</v>
      </c>
      <c r="R386" s="42">
        <v>61.49305128520477</v>
      </c>
      <c r="S386" s="36">
        <v>0.06149305128520477</v>
      </c>
      <c r="T386" s="36">
        <v>6.149305128520477</v>
      </c>
      <c r="U386" s="36"/>
      <c r="V386" s="36">
        <v>55.4052392079695</v>
      </c>
      <c r="W386" s="37">
        <v>0.02770261960398475</v>
      </c>
      <c r="X386" s="42">
        <v>1000000.0</v>
      </c>
      <c r="Y386" s="36">
        <v>1000.0</v>
      </c>
      <c r="Z386" s="36">
        <v>100000.0</v>
      </c>
      <c r="AA386" s="36"/>
      <c r="AB386" s="36">
        <v>901000.0</v>
      </c>
      <c r="AC386" s="37">
        <v>450.5</v>
      </c>
      <c r="AD386" s="31"/>
      <c r="AE386" s="11"/>
      <c r="AF386" s="11"/>
    </row>
    <row r="387">
      <c r="A387" s="11" t="s">
        <v>408</v>
      </c>
      <c r="B387" s="39">
        <v>45470.93680555555</v>
      </c>
      <c r="C387" s="40">
        <v>45473.46319444444</v>
      </c>
      <c r="D387" s="27" t="s">
        <v>33</v>
      </c>
      <c r="E387" s="11" t="b">
        <v>0</v>
      </c>
      <c r="F387" s="11" t="s">
        <v>38</v>
      </c>
      <c r="G387" s="11" t="s">
        <v>362</v>
      </c>
      <c r="H387" s="11" t="s">
        <v>424</v>
      </c>
      <c r="I387" s="30">
        <v>5.0</v>
      </c>
      <c r="J387" s="31">
        <v>2300.0</v>
      </c>
      <c r="K387" s="11">
        <v>1.0</v>
      </c>
      <c r="L387" s="32">
        <f t="shared" ref="L387:L388" si="110">(450)/P387</f>
        <v>0.02745576571</v>
      </c>
      <c r="M387" s="32">
        <f>(838)/P387</f>
        <v>0.05112873703</v>
      </c>
      <c r="N387" s="32">
        <f>(82800 + 4761)/P387</f>
        <v>5.342342892</v>
      </c>
      <c r="O387" s="32">
        <v>0.0</v>
      </c>
      <c r="P387" s="33">
        <v>16390.0</v>
      </c>
      <c r="Q387" s="34">
        <v>2300.0</v>
      </c>
      <c r="R387" s="42">
        <v>63.148261134838314</v>
      </c>
      <c r="S387" s="36">
        <v>0.051128737034777307</v>
      </c>
      <c r="T387" s="36">
        <v>5.342342892007322</v>
      </c>
      <c r="U387" s="36"/>
      <c r="V387" s="36">
        <v>57.85704697986577</v>
      </c>
      <c r="W387" s="37">
        <v>0.025155237817332945</v>
      </c>
      <c r="X387" s="42">
        <v>1035000.0</v>
      </c>
      <c r="Y387" s="36">
        <v>838.0</v>
      </c>
      <c r="Z387" s="36">
        <v>87561.0</v>
      </c>
      <c r="AA387" s="36"/>
      <c r="AB387" s="36">
        <v>948277.0</v>
      </c>
      <c r="AC387" s="37">
        <v>412.29434782608695</v>
      </c>
      <c r="AD387" s="31"/>
      <c r="AE387" s="11"/>
      <c r="AF387" s="11"/>
    </row>
    <row r="388">
      <c r="A388" s="11" t="s">
        <v>408</v>
      </c>
      <c r="B388" s="39">
        <v>45449.82430555556</v>
      </c>
      <c r="C388" s="40">
        <v>45452.43194444444</v>
      </c>
      <c r="D388" s="27" t="s">
        <v>37</v>
      </c>
      <c r="E388" s="11" t="b">
        <v>0</v>
      </c>
      <c r="F388" s="11" t="s">
        <v>38</v>
      </c>
      <c r="G388" s="11" t="s">
        <v>362</v>
      </c>
      <c r="H388" s="11" t="s">
        <v>425</v>
      </c>
      <c r="I388" s="30">
        <v>5.0</v>
      </c>
      <c r="J388" s="31">
        <v>2000.0</v>
      </c>
      <c r="K388" s="11">
        <v>1.0</v>
      </c>
      <c r="L388" s="32">
        <f t="shared" si="110"/>
        <v>0.0277383961</v>
      </c>
      <c r="M388" s="32">
        <f>(1000)/P388</f>
        <v>0.06164088023</v>
      </c>
      <c r="N388" s="32">
        <f>(89109 + 4054)/P388</f>
        <v>5.742649325</v>
      </c>
      <c r="O388" s="32">
        <v>0.0</v>
      </c>
      <c r="P388" s="33">
        <v>16223.0</v>
      </c>
      <c r="Q388" s="34">
        <v>2000.0</v>
      </c>
      <c r="R388" s="42">
        <v>55.476792208592734</v>
      </c>
      <c r="S388" s="36">
        <v>0.06164088023176971</v>
      </c>
      <c r="T388" s="36">
        <v>5.742649325032361</v>
      </c>
      <c r="U388" s="36"/>
      <c r="V388" s="36">
        <v>49.795783763792144</v>
      </c>
      <c r="W388" s="37">
        <v>0.024897891881896072</v>
      </c>
      <c r="X388" s="42">
        <v>899999.9999999999</v>
      </c>
      <c r="Y388" s="36">
        <v>1000.0</v>
      </c>
      <c r="Z388" s="36">
        <v>93163.0</v>
      </c>
      <c r="AA388" s="36"/>
      <c r="AB388" s="36">
        <v>807837.0</v>
      </c>
      <c r="AC388" s="37">
        <v>403.9185</v>
      </c>
      <c r="AD388" s="31"/>
      <c r="AE388" s="11"/>
      <c r="AF388" s="11"/>
    </row>
    <row r="389">
      <c r="A389" s="43" t="s">
        <v>408</v>
      </c>
      <c r="B389" s="39">
        <v>45426.59305555555</v>
      </c>
      <c r="C389" s="40">
        <v>45484.666666666664</v>
      </c>
      <c r="D389" s="27" t="s">
        <v>33</v>
      </c>
      <c r="E389" s="11" t="b">
        <v>1</v>
      </c>
      <c r="F389" s="11" t="s">
        <v>34</v>
      </c>
      <c r="G389" s="11" t="s">
        <v>45</v>
      </c>
      <c r="H389" s="11" t="s">
        <v>426</v>
      </c>
      <c r="I389" s="30">
        <v>5.0</v>
      </c>
      <c r="J389" s="31">
        <v>9000.0</v>
      </c>
      <c r="K389" s="11">
        <v>1.0</v>
      </c>
      <c r="L389" s="32">
        <f>(284)/P389</f>
        <v>0.01760912698</v>
      </c>
      <c r="M389" s="32">
        <v>0.0</v>
      </c>
      <c r="N389" s="32">
        <v>0.0</v>
      </c>
      <c r="O389" s="32">
        <v>0.0</v>
      </c>
      <c r="P389" s="33">
        <v>16128.0</v>
      </c>
      <c r="Q389" s="34">
        <v>9000.0</v>
      </c>
      <c r="R389" s="42">
        <v>158.48214285714286</v>
      </c>
      <c r="S389" s="36"/>
      <c r="T389" s="36"/>
      <c r="U389" s="36"/>
      <c r="V389" s="36">
        <v>158.48214285714286</v>
      </c>
      <c r="W389" s="37">
        <v>0.017609126984126984</v>
      </c>
      <c r="X389" s="42">
        <v>2556000.0</v>
      </c>
      <c r="Y389" s="36"/>
      <c r="Z389" s="36"/>
      <c r="AA389" s="36"/>
      <c r="AB389" s="36">
        <v>2556000.0</v>
      </c>
      <c r="AC389" s="37">
        <v>284.0</v>
      </c>
      <c r="AD389" s="31"/>
      <c r="AE389" s="11"/>
      <c r="AF389" s="11"/>
    </row>
    <row r="390">
      <c r="A390" s="11" t="s">
        <v>408</v>
      </c>
      <c r="B390" s="39">
        <v>45411.722916666666</v>
      </c>
      <c r="C390" s="40">
        <v>45413.8066040625</v>
      </c>
      <c r="D390" s="27" t="s">
        <v>33</v>
      </c>
      <c r="E390" s="11" t="b">
        <v>0</v>
      </c>
      <c r="F390" s="11" t="s">
        <v>38</v>
      </c>
      <c r="G390" s="11" t="s">
        <v>427</v>
      </c>
      <c r="H390" s="11" t="s">
        <v>427</v>
      </c>
      <c r="I390" s="30">
        <v>5.0</v>
      </c>
      <c r="J390" s="31">
        <v>2300.0</v>
      </c>
      <c r="K390" s="11">
        <v>1.0</v>
      </c>
      <c r="L390" s="32">
        <f t="shared" ref="L390:L392" si="111">(450)/P390</f>
        <v>0.02771106595</v>
      </c>
      <c r="M390" s="32">
        <f t="shared" ref="M390:M392" si="112">(1000)/P390</f>
        <v>0.06158014656</v>
      </c>
      <c r="N390" s="32">
        <f t="shared" ref="N390:N392" si="113">(51750)/P390</f>
        <v>3.186772585</v>
      </c>
      <c r="O390" s="32">
        <v>0.0</v>
      </c>
      <c r="P390" s="33">
        <v>16239.0</v>
      </c>
      <c r="Q390" s="34">
        <v>2300.0</v>
      </c>
      <c r="R390" s="42">
        <v>63.73545169037502</v>
      </c>
      <c r="S390" s="36">
        <v>0.06158014656074882</v>
      </c>
      <c r="T390" s="36">
        <v>3.186772584518751</v>
      </c>
      <c r="U390" s="36"/>
      <c r="V390" s="36">
        <v>60.61025925241702</v>
      </c>
      <c r="W390" s="37">
        <v>0.02635228663148566</v>
      </c>
      <c r="X390" s="42">
        <v>1035000.0</v>
      </c>
      <c r="Y390" s="36">
        <v>1000.0</v>
      </c>
      <c r="Z390" s="36">
        <v>51750.0</v>
      </c>
      <c r="AA390" s="36"/>
      <c r="AB390" s="36">
        <v>984250.0</v>
      </c>
      <c r="AC390" s="37">
        <v>427.9347826086956</v>
      </c>
      <c r="AD390" s="31"/>
      <c r="AE390" s="11"/>
      <c r="AF390" s="11"/>
    </row>
    <row r="391">
      <c r="A391" s="11" t="s">
        <v>408</v>
      </c>
      <c r="B391" s="39">
        <v>45411.722916666666</v>
      </c>
      <c r="C391" s="40">
        <v>45414.416666666664</v>
      </c>
      <c r="D391" s="27" t="s">
        <v>37</v>
      </c>
      <c r="E391" s="11" t="b">
        <v>0</v>
      </c>
      <c r="F391" s="11" t="s">
        <v>38</v>
      </c>
      <c r="G391" s="11" t="s">
        <v>428</v>
      </c>
      <c r="H391" s="11" t="s">
        <v>428</v>
      </c>
      <c r="I391" s="30">
        <v>5.0</v>
      </c>
      <c r="J391" s="31">
        <v>2300.0</v>
      </c>
      <c r="K391" s="11">
        <v>1.0</v>
      </c>
      <c r="L391" s="32">
        <f t="shared" si="111"/>
        <v>0.02771106595</v>
      </c>
      <c r="M391" s="32">
        <f t="shared" si="112"/>
        <v>0.06158014656</v>
      </c>
      <c r="N391" s="32">
        <f t="shared" si="113"/>
        <v>3.186772585</v>
      </c>
      <c r="O391" s="32">
        <v>0.0</v>
      </c>
      <c r="P391" s="33">
        <v>16239.0</v>
      </c>
      <c r="Q391" s="34">
        <v>2300.0</v>
      </c>
      <c r="R391" s="42">
        <v>63.73545169037502</v>
      </c>
      <c r="S391" s="36">
        <v>0.06158014656074882</v>
      </c>
      <c r="T391" s="36">
        <v>3.186772584518751</v>
      </c>
      <c r="U391" s="36"/>
      <c r="V391" s="36">
        <v>60.61025925241702</v>
      </c>
      <c r="W391" s="37">
        <v>0.02635228663148566</v>
      </c>
      <c r="X391" s="42">
        <v>1035000.0</v>
      </c>
      <c r="Y391" s="36">
        <v>1000.0</v>
      </c>
      <c r="Z391" s="36">
        <v>51750.0</v>
      </c>
      <c r="AA391" s="36"/>
      <c r="AB391" s="36">
        <v>984250.0</v>
      </c>
      <c r="AC391" s="37">
        <v>427.9347826086956</v>
      </c>
      <c r="AD391" s="31"/>
      <c r="AE391" s="11"/>
      <c r="AF391" s="11"/>
    </row>
    <row r="392">
      <c r="A392" s="11" t="s">
        <v>408</v>
      </c>
      <c r="B392" s="39">
        <v>45411.69652777778</v>
      </c>
      <c r="C392" s="40">
        <v>45414.416666666664</v>
      </c>
      <c r="D392" s="27" t="s">
        <v>37</v>
      </c>
      <c r="E392" s="11" t="b">
        <v>0</v>
      </c>
      <c r="F392" s="11" t="s">
        <v>38</v>
      </c>
      <c r="G392" s="11" t="s">
        <v>154</v>
      </c>
      <c r="H392" s="11" t="s">
        <v>154</v>
      </c>
      <c r="I392" s="30">
        <v>5.0</v>
      </c>
      <c r="J392" s="31">
        <v>2300.0</v>
      </c>
      <c r="K392" s="11">
        <v>1.0</v>
      </c>
      <c r="L392" s="32">
        <f t="shared" si="111"/>
        <v>0.02771106595</v>
      </c>
      <c r="M392" s="32">
        <f t="shared" si="112"/>
        <v>0.06158014656</v>
      </c>
      <c r="N392" s="32">
        <f t="shared" si="113"/>
        <v>3.186772585</v>
      </c>
      <c r="O392" s="32">
        <v>0.0</v>
      </c>
      <c r="P392" s="33">
        <v>16239.0</v>
      </c>
      <c r="Q392" s="34">
        <v>2300.0</v>
      </c>
      <c r="R392" s="42">
        <v>63.73545169037502</v>
      </c>
      <c r="S392" s="36">
        <v>0.06158014656074882</v>
      </c>
      <c r="T392" s="36">
        <v>3.186772584518751</v>
      </c>
      <c r="U392" s="36"/>
      <c r="V392" s="36">
        <v>60.61025925241702</v>
      </c>
      <c r="W392" s="37">
        <v>0.02635228663148566</v>
      </c>
      <c r="X392" s="42">
        <v>1035000.0</v>
      </c>
      <c r="Y392" s="36">
        <v>1000.0</v>
      </c>
      <c r="Z392" s="36">
        <v>51750.0</v>
      </c>
      <c r="AA392" s="36"/>
      <c r="AB392" s="36">
        <v>984250.0</v>
      </c>
      <c r="AC392" s="37">
        <v>427.9347826086956</v>
      </c>
      <c r="AD392" s="31"/>
      <c r="AE392" s="11"/>
      <c r="AF392" s="11"/>
    </row>
    <row r="393">
      <c r="A393" s="11" t="s">
        <v>408</v>
      </c>
      <c r="B393" s="39">
        <v>45362.48055555556</v>
      </c>
      <c r="C393" s="40">
        <v>45365.42222222222</v>
      </c>
      <c r="D393" s="27" t="s">
        <v>33</v>
      </c>
      <c r="E393" s="11" t="b">
        <v>0</v>
      </c>
      <c r="F393" s="11" t="s">
        <v>49</v>
      </c>
      <c r="G393" s="11" t="s">
        <v>89</v>
      </c>
      <c r="H393" s="11" t="s">
        <v>89</v>
      </c>
      <c r="I393" s="30">
        <v>5.0</v>
      </c>
      <c r="J393" s="31">
        <v>2.0</v>
      </c>
      <c r="K393" s="11">
        <v>1.0</v>
      </c>
      <c r="L393" s="32">
        <f>(600)/P393</f>
        <v>0.03846153846</v>
      </c>
      <c r="M393" s="32">
        <f>(1000 * (1200/(79000+1200))/P393)</f>
        <v>0.00095914061</v>
      </c>
      <c r="N393" s="32">
        <f>(10000 * (1200/(79000+1200))/P393)</f>
        <v>0.0095914061</v>
      </c>
      <c r="O393" s="32">
        <v>0.0</v>
      </c>
      <c r="P393" s="33">
        <v>15600.0</v>
      </c>
      <c r="Q393" s="34">
        <v>2.0</v>
      </c>
      <c r="R393" s="42">
        <v>0.07692307692307693</v>
      </c>
      <c r="S393" s="36">
        <v>9.591406100134279E-4</v>
      </c>
      <c r="T393" s="36">
        <v>0.00959140610013428</v>
      </c>
      <c r="U393" s="36"/>
      <c r="V393" s="36">
        <v>0.06829081143295607</v>
      </c>
      <c r="W393" s="37">
        <v>0.03414540571647803</v>
      </c>
      <c r="X393" s="42">
        <v>1200.0</v>
      </c>
      <c r="Y393" s="36">
        <v>14.962593516209475</v>
      </c>
      <c r="Z393" s="36">
        <v>149.62593516209475</v>
      </c>
      <c r="AA393" s="36"/>
      <c r="AB393" s="36">
        <v>1065.3366583541147</v>
      </c>
      <c r="AC393" s="37">
        <v>532.6683291770573</v>
      </c>
      <c r="AD393" s="31"/>
      <c r="AE393" s="11"/>
      <c r="AF393" s="11"/>
    </row>
    <row r="394">
      <c r="A394" s="11" t="s">
        <v>408</v>
      </c>
      <c r="B394" s="39">
        <v>44920.0</v>
      </c>
      <c r="C394" s="40">
        <v>44922.0</v>
      </c>
      <c r="D394" s="27" t="s">
        <v>33</v>
      </c>
      <c r="E394" s="11" t="b">
        <v>0</v>
      </c>
      <c r="F394" s="11" t="s">
        <v>38</v>
      </c>
      <c r="G394" s="57" t="s">
        <v>429</v>
      </c>
      <c r="H394" s="46" t="s">
        <v>159</v>
      </c>
      <c r="I394" s="30">
        <v>5.0</v>
      </c>
      <c r="J394" s="31">
        <v>1.0</v>
      </c>
      <c r="K394" s="11">
        <v>100.0</v>
      </c>
      <c r="L394" s="32">
        <f>55000/P394</f>
        <v>3.519099111</v>
      </c>
      <c r="M394" s="32">
        <f>14000/P394</f>
        <v>0.8957706827</v>
      </c>
      <c r="N394" s="32">
        <v>0.0</v>
      </c>
      <c r="O394" s="67">
        <f>14000/P394</f>
        <v>0.8957706827</v>
      </c>
      <c r="P394" s="33">
        <v>15629.0</v>
      </c>
      <c r="Q394" s="34">
        <v>100.0</v>
      </c>
      <c r="R394" s="42">
        <v>3.519099110627679</v>
      </c>
      <c r="S394" s="36">
        <v>0.8957706827052274</v>
      </c>
      <c r="T394" s="36"/>
      <c r="U394" s="36">
        <v>0.8957706827052274</v>
      </c>
      <c r="V394" s="36">
        <v>3.519099110627679</v>
      </c>
      <c r="W394" s="37">
        <v>0.03519099110627679</v>
      </c>
      <c r="X394" s="42">
        <v>55000.0</v>
      </c>
      <c r="Y394" s="36">
        <v>14000.0</v>
      </c>
      <c r="Z394" s="36"/>
      <c r="AA394" s="36">
        <v>14000.0</v>
      </c>
      <c r="AB394" s="36">
        <v>55000.0</v>
      </c>
      <c r="AC394" s="37">
        <v>550.0</v>
      </c>
      <c r="AD394" s="31"/>
      <c r="AE394" s="11"/>
      <c r="AF394" s="11"/>
    </row>
    <row r="395">
      <c r="A395" s="11" t="s">
        <v>408</v>
      </c>
      <c r="B395" s="39">
        <v>44846.0</v>
      </c>
      <c r="C395" s="40">
        <v>44889.0</v>
      </c>
      <c r="D395" s="27" t="s">
        <v>33</v>
      </c>
      <c r="E395" s="11" t="b">
        <v>1</v>
      </c>
      <c r="F395" s="11" t="s">
        <v>46</v>
      </c>
      <c r="G395" s="11" t="s">
        <v>46</v>
      </c>
      <c r="H395" s="11" t="s">
        <v>47</v>
      </c>
      <c r="I395" s="30">
        <v>5.0</v>
      </c>
      <c r="J395" s="31">
        <v>400.0</v>
      </c>
      <c r="K395" s="11">
        <v>50.0</v>
      </c>
      <c r="L395" s="32">
        <f>380*50/P395</f>
        <v>1.266666667</v>
      </c>
      <c r="M395" s="32">
        <f>1000/P395</f>
        <v>0.06666666667</v>
      </c>
      <c r="N395" s="32">
        <f>385600*(7600000/(7600000+2040000))/P395</f>
        <v>20.26666667</v>
      </c>
      <c r="O395" s="32">
        <v>0.0</v>
      </c>
      <c r="P395" s="33">
        <v>15000.0</v>
      </c>
      <c r="Q395" s="34">
        <v>20000.0</v>
      </c>
      <c r="R395" s="42">
        <v>506.66666666666663</v>
      </c>
      <c r="S395" s="36">
        <v>0.06666666666666667</v>
      </c>
      <c r="T395" s="36">
        <v>20.266666666666666</v>
      </c>
      <c r="U395" s="36"/>
      <c r="V395" s="36">
        <v>486.46666666666664</v>
      </c>
      <c r="W395" s="37">
        <v>0.024323333333333332</v>
      </c>
      <c r="X395" s="42">
        <v>7599999.999999999</v>
      </c>
      <c r="Y395" s="36">
        <v>1000.0</v>
      </c>
      <c r="Z395" s="36">
        <v>304000.0</v>
      </c>
      <c r="AA395" s="36"/>
      <c r="AB395" s="36">
        <v>7297000.0</v>
      </c>
      <c r="AC395" s="37">
        <v>364.85</v>
      </c>
      <c r="AD395" s="31"/>
      <c r="AE395" s="11"/>
      <c r="AF395" s="11"/>
    </row>
    <row r="396">
      <c r="A396" s="11" t="s">
        <v>408</v>
      </c>
      <c r="B396" s="39">
        <v>44806.0</v>
      </c>
      <c r="C396" s="40">
        <v>44808.0</v>
      </c>
      <c r="D396" s="27" t="s">
        <v>33</v>
      </c>
      <c r="E396" s="11" t="b">
        <v>0</v>
      </c>
      <c r="F396" s="11" t="s">
        <v>38</v>
      </c>
      <c r="G396" s="45" t="s">
        <v>430</v>
      </c>
      <c r="H396" s="46" t="s">
        <v>431</v>
      </c>
      <c r="I396" s="30">
        <v>5.0</v>
      </c>
      <c r="J396" s="31">
        <v>1000.0</v>
      </c>
      <c r="K396" s="11">
        <v>1.0</v>
      </c>
      <c r="L396" s="32">
        <f>600/P396</f>
        <v>0.06</v>
      </c>
      <c r="M396" s="32">
        <f>(10000+1000)/P396</f>
        <v>1.1</v>
      </c>
      <c r="N396" s="32">
        <f>24000/P396</f>
        <v>2.4</v>
      </c>
      <c r="O396" s="32">
        <f>10000-P396</f>
        <v>0</v>
      </c>
      <c r="P396" s="33">
        <v>10000.0</v>
      </c>
      <c r="Q396" s="34">
        <v>1000.0</v>
      </c>
      <c r="R396" s="42">
        <v>60.0</v>
      </c>
      <c r="S396" s="36">
        <v>1.1</v>
      </c>
      <c r="T396" s="36">
        <v>2.4</v>
      </c>
      <c r="U396" s="36"/>
      <c r="V396" s="36">
        <v>58.7</v>
      </c>
      <c r="W396" s="37">
        <v>0.0587</v>
      </c>
      <c r="X396" s="42">
        <v>600000.0</v>
      </c>
      <c r="Y396" s="36">
        <v>11000.0</v>
      </c>
      <c r="Z396" s="36">
        <v>24000.0</v>
      </c>
      <c r="AA396" s="36"/>
      <c r="AB396" s="36">
        <v>587000.0</v>
      </c>
      <c r="AC396" s="37">
        <v>587.0</v>
      </c>
      <c r="AD396" s="31"/>
      <c r="AE396" s="11"/>
      <c r="AF396" s="11"/>
    </row>
    <row r="397">
      <c r="A397" s="11" t="s">
        <v>408</v>
      </c>
      <c r="B397" s="39">
        <v>44795.0</v>
      </c>
      <c r="C397" s="40">
        <v>44827.0</v>
      </c>
      <c r="D397" s="27" t="s">
        <v>33</v>
      </c>
      <c r="E397" s="11" t="b">
        <v>1</v>
      </c>
      <c r="F397" s="11" t="s">
        <v>57</v>
      </c>
      <c r="G397" s="45" t="s">
        <v>432</v>
      </c>
      <c r="H397" s="46" t="s">
        <v>433</v>
      </c>
      <c r="I397" s="30">
        <v>5.0</v>
      </c>
      <c r="J397" s="31">
        <v>8.0</v>
      </c>
      <c r="K397" s="11">
        <v>1000.0</v>
      </c>
      <c r="L397" s="32">
        <v>26.24</v>
      </c>
      <c r="M397" s="32">
        <f>13.95 + (3*49650)/P397</f>
        <v>23.77040671</v>
      </c>
      <c r="N397" s="32">
        <v>0.0</v>
      </c>
      <c r="O397" s="32">
        <v>0.0</v>
      </c>
      <c r="P397" s="58">
        <f>(3395525+0)/(8*26.24 + 13.95)</f>
        <v>15167.39626</v>
      </c>
      <c r="Q397" s="34">
        <v>8000.0</v>
      </c>
      <c r="R397" s="42">
        <v>209.92</v>
      </c>
      <c r="S397" s="36">
        <v>23.770406711775056</v>
      </c>
      <c r="T397" s="36"/>
      <c r="U397" s="36"/>
      <c r="V397" s="36">
        <v>233.69040671177504</v>
      </c>
      <c r="W397" s="37">
        <v>0.02921130083897188</v>
      </c>
      <c r="X397" s="42">
        <v>3183939.8222182514</v>
      </c>
      <c r="Y397" s="36">
        <v>360535.17778174835</v>
      </c>
      <c r="Z397" s="36"/>
      <c r="AA397" s="36"/>
      <c r="AB397" s="36">
        <v>3544475.0</v>
      </c>
      <c r="AC397" s="37">
        <v>443.059375</v>
      </c>
      <c r="AD397" s="31"/>
      <c r="AE397" s="11"/>
      <c r="AF397" s="11"/>
    </row>
    <row r="398">
      <c r="A398" s="11" t="s">
        <v>408</v>
      </c>
      <c r="B398" s="39">
        <v>44010.0</v>
      </c>
      <c r="C398" s="40">
        <v>44020.0</v>
      </c>
      <c r="D398" s="27" t="s">
        <v>48</v>
      </c>
      <c r="E398" s="11" t="b">
        <v>1</v>
      </c>
      <c r="F398" s="11" t="s">
        <v>49</v>
      </c>
      <c r="G398" s="45" t="s">
        <v>434</v>
      </c>
      <c r="H398" s="46" t="s">
        <v>435</v>
      </c>
      <c r="I398" s="33">
        <v>5.0</v>
      </c>
      <c r="J398" s="31">
        <v>12.0</v>
      </c>
      <c r="K398" s="11">
        <v>20.0</v>
      </c>
      <c r="L398" s="32">
        <f>10648/P398</f>
        <v>1.0648</v>
      </c>
      <c r="M398" s="32">
        <f>12000/P398</f>
        <v>1.2</v>
      </c>
      <c r="N398" s="32"/>
      <c r="O398" s="32">
        <f>M398</f>
        <v>1.2</v>
      </c>
      <c r="P398" s="33">
        <v>10000.0</v>
      </c>
      <c r="Q398" s="34">
        <v>240.0</v>
      </c>
      <c r="R398" s="42">
        <v>12.7776</v>
      </c>
      <c r="S398" s="36">
        <v>1.2</v>
      </c>
      <c r="T398" s="36"/>
      <c r="U398" s="36">
        <v>1.2</v>
      </c>
      <c r="V398" s="36">
        <v>12.7776</v>
      </c>
      <c r="W398" s="37">
        <v>0.053239999999999996</v>
      </c>
      <c r="X398" s="42">
        <v>127776.0</v>
      </c>
      <c r="Y398" s="36">
        <v>12000.0</v>
      </c>
      <c r="Z398" s="36"/>
      <c r="AA398" s="36">
        <v>12000.0</v>
      </c>
      <c r="AB398" s="36">
        <v>127776.0</v>
      </c>
      <c r="AC398" s="37">
        <v>532.4</v>
      </c>
      <c r="AD398" s="31"/>
      <c r="AE398" s="11"/>
      <c r="AF398" s="11"/>
    </row>
    <row r="399">
      <c r="A399" s="11" t="s">
        <v>408</v>
      </c>
      <c r="B399" s="39">
        <v>43984.0</v>
      </c>
      <c r="C399" s="40">
        <v>43992.88332820602</v>
      </c>
      <c r="D399" s="27" t="s">
        <v>48</v>
      </c>
      <c r="E399" s="11" t="b">
        <v>1</v>
      </c>
      <c r="F399" s="11" t="s">
        <v>49</v>
      </c>
      <c r="G399" s="45" t="s">
        <v>436</v>
      </c>
      <c r="H399" s="46" t="s">
        <v>437</v>
      </c>
      <c r="I399" s="33">
        <v>5.0</v>
      </c>
      <c r="J399" s="31">
        <v>50.0</v>
      </c>
      <c r="K399" s="11">
        <v>10.0</v>
      </c>
      <c r="L399" s="32">
        <f>4661/P399</f>
        <v>0.4661</v>
      </c>
      <c r="M399" s="32">
        <f>12000/P399</f>
        <v>1.2</v>
      </c>
      <c r="N399" s="32"/>
      <c r="O399" s="32"/>
      <c r="P399" s="33">
        <v>10000.0</v>
      </c>
      <c r="Q399" s="34">
        <v>500.0</v>
      </c>
      <c r="R399" s="42">
        <v>23.305</v>
      </c>
      <c r="S399" s="36">
        <v>1.2</v>
      </c>
      <c r="T399" s="36"/>
      <c r="U399" s="36"/>
      <c r="V399" s="36">
        <v>24.505</v>
      </c>
      <c r="W399" s="37">
        <v>0.04901</v>
      </c>
      <c r="X399" s="42">
        <v>233050.0</v>
      </c>
      <c r="Y399" s="36">
        <v>12000.0</v>
      </c>
      <c r="Z399" s="36"/>
      <c r="AA399" s="36"/>
      <c r="AB399" s="36">
        <v>245050.0</v>
      </c>
      <c r="AC399" s="37">
        <v>490.1</v>
      </c>
      <c r="AD399" s="31"/>
      <c r="AE399" s="11"/>
      <c r="AF399" s="11"/>
    </row>
    <row r="400">
      <c r="A400" s="11" t="s">
        <v>408</v>
      </c>
      <c r="B400" s="39">
        <v>43951.87968402778</v>
      </c>
      <c r="C400" s="40">
        <v>44036.0</v>
      </c>
      <c r="D400" s="27" t="s">
        <v>56</v>
      </c>
      <c r="E400" s="11" t="b">
        <v>1</v>
      </c>
      <c r="F400" s="11" t="s">
        <v>57</v>
      </c>
      <c r="G400" s="57" t="s">
        <v>438</v>
      </c>
      <c r="H400" s="46" t="s">
        <v>439</v>
      </c>
      <c r="I400" s="33">
        <v>5.0</v>
      </c>
      <c r="J400" s="31">
        <v>6.0</v>
      </c>
      <c r="K400" s="11">
        <v>500.0</v>
      </c>
      <c r="L400" s="32">
        <v>12.95</v>
      </c>
      <c r="M400" s="32">
        <f>77000/P400</f>
        <v>4.855950445</v>
      </c>
      <c r="N400" s="32"/>
      <c r="O400" s="32"/>
      <c r="P400" s="58">
        <f>1232076/(6*12.95)</f>
        <v>15856.83398</v>
      </c>
      <c r="Q400" s="34">
        <v>3000.0</v>
      </c>
      <c r="R400" s="42">
        <v>77.69999999999999</v>
      </c>
      <c r="S400" s="36">
        <v>4.855950444615429</v>
      </c>
      <c r="T400" s="36"/>
      <c r="U400" s="36"/>
      <c r="V400" s="36">
        <v>82.55595044461542</v>
      </c>
      <c r="W400" s="37">
        <v>0.02751865014820514</v>
      </c>
      <c r="X400" s="42">
        <v>1232076.0</v>
      </c>
      <c r="Y400" s="36">
        <v>77000.0</v>
      </c>
      <c r="Z400" s="36"/>
      <c r="AA400" s="36"/>
      <c r="AB400" s="36">
        <v>1309076.0</v>
      </c>
      <c r="AC400" s="37">
        <v>436.3586666666667</v>
      </c>
      <c r="AD400" s="31"/>
      <c r="AE400" s="11"/>
      <c r="AF400" s="11"/>
    </row>
    <row r="401">
      <c r="A401" s="11" t="s">
        <v>408</v>
      </c>
      <c r="B401" s="39">
        <v>43831.0</v>
      </c>
      <c r="C401" s="40">
        <v>43867.0</v>
      </c>
      <c r="D401" s="27" t="s">
        <v>56</v>
      </c>
      <c r="E401" s="11" t="b">
        <v>1</v>
      </c>
      <c r="F401" s="11" t="s">
        <v>57</v>
      </c>
      <c r="G401" s="123" t="s">
        <v>440</v>
      </c>
      <c r="H401" s="29" t="s">
        <v>441</v>
      </c>
      <c r="I401" s="33">
        <v>5.0</v>
      </c>
      <c r="J401" s="31">
        <v>14.0</v>
      </c>
      <c r="K401" s="11">
        <v>100.0</v>
      </c>
      <c r="L401" s="32">
        <v>1.85</v>
      </c>
      <c r="M401" s="32">
        <v>8.46</v>
      </c>
      <c r="N401" s="32">
        <v>1.0</v>
      </c>
      <c r="O401" s="32"/>
      <c r="P401" s="33">
        <f>474513/33.36</f>
        <v>14224.01079</v>
      </c>
      <c r="Q401" s="62">
        <v>1400.0</v>
      </c>
      <c r="R401" s="42">
        <v>25.900000000000002</v>
      </c>
      <c r="S401" s="36">
        <v>8.46</v>
      </c>
      <c r="T401" s="36">
        <v>1.0</v>
      </c>
      <c r="U401" s="36"/>
      <c r="V401" s="36">
        <v>33.36</v>
      </c>
      <c r="W401" s="37">
        <v>0.023828571428571428</v>
      </c>
      <c r="X401" s="42">
        <v>368401.8794964029</v>
      </c>
      <c r="Y401" s="36">
        <v>120335.13129496404</v>
      </c>
      <c r="Z401" s="36">
        <v>14224.010791366907</v>
      </c>
      <c r="AA401" s="36"/>
      <c r="AB401" s="36">
        <v>474513.0</v>
      </c>
      <c r="AC401" s="37">
        <v>338.9378571428571</v>
      </c>
      <c r="AD401" s="63"/>
      <c r="AE401" s="64"/>
      <c r="AF401" s="64"/>
    </row>
    <row r="402">
      <c r="A402" s="11" t="s">
        <v>408</v>
      </c>
      <c r="B402" s="39">
        <v>43751.376835497686</v>
      </c>
      <c r="C402" s="40">
        <v>43767.0</v>
      </c>
      <c r="D402" s="27" t="s">
        <v>56</v>
      </c>
      <c r="E402" s="11" t="b">
        <v>1</v>
      </c>
      <c r="F402" s="29" t="s">
        <v>57</v>
      </c>
      <c r="G402" s="45" t="str">
        <f>"https://www.aliexpress.com/item/32862975606.html?spm=a2g0s.12269583.0.0.90da3f996d8FNa"</f>
        <v>https://www.aliexpress.com/item/32862975606.html?spm=a2g0s.12269583.0.0.90da3f996d8FNa</v>
      </c>
      <c r="H402" s="29" t="s">
        <v>442</v>
      </c>
      <c r="I402" s="33"/>
      <c r="J402" s="31">
        <v>10.0</v>
      </c>
      <c r="K402" s="11">
        <v>100.0</v>
      </c>
      <c r="L402" s="32">
        <v>1.85</v>
      </c>
      <c r="M402" s="32">
        <f>5.82</f>
        <v>5.82</v>
      </c>
      <c r="N402" s="32">
        <f>0.5</f>
        <v>0.5</v>
      </c>
      <c r="O402" s="32"/>
      <c r="P402" s="33">
        <f>531595/(1.85*10+5.82+0.76*10+5.94-1)</f>
        <v>14422.00217</v>
      </c>
      <c r="Q402" s="34">
        <v>1000.0</v>
      </c>
      <c r="R402" s="42">
        <v>18.5</v>
      </c>
      <c r="S402" s="36">
        <v>5.82</v>
      </c>
      <c r="T402" s="36">
        <v>0.5</v>
      </c>
      <c r="U402" s="36"/>
      <c r="V402" s="36">
        <v>23.82</v>
      </c>
      <c r="W402" s="37">
        <v>0.02382</v>
      </c>
      <c r="X402" s="42">
        <v>266807.0401519262</v>
      </c>
      <c r="Y402" s="36">
        <v>83936.05263157895</v>
      </c>
      <c r="Z402" s="36">
        <v>7211.001085187195</v>
      </c>
      <c r="AA402" s="36"/>
      <c r="AB402" s="36">
        <v>343532.09169831796</v>
      </c>
      <c r="AC402" s="37">
        <v>343.53209169831797</v>
      </c>
      <c r="AD402" s="31"/>
      <c r="AE402" s="11"/>
      <c r="AF402" s="11"/>
    </row>
    <row r="403">
      <c r="A403" s="11" t="s">
        <v>408</v>
      </c>
      <c r="B403" s="39">
        <v>43616.37776122685</v>
      </c>
      <c r="C403" s="40">
        <v>43639.94839092593</v>
      </c>
      <c r="D403" s="27" t="s">
        <v>56</v>
      </c>
      <c r="E403" s="11" t="b">
        <v>1</v>
      </c>
      <c r="F403" s="29" t="s">
        <v>57</v>
      </c>
      <c r="G403" s="45" t="str">
        <f>"https://www.aliexpress.com/item/100PCS-LOT-New-NE555-NE555P-NE555N-555-Timers-DIP-8-TEXAS/32834175165.html?spm=a2g0s.9042311.0.0.285c4c4dBrHR8H"</f>
        <v>https://www.aliexpress.com/item/100PCS-LOT-New-NE555-NE555P-NE555N-555-Timers-DIP-8-TEXAS/32834175165.html?spm=a2g0s.9042311.0.0.285c4c4dBrHR8H</v>
      </c>
      <c r="H403" s="29" t="s">
        <v>443</v>
      </c>
      <c r="I403" s="33"/>
      <c r="J403" s="31">
        <v>25.0</v>
      </c>
      <c r="K403" s="11">
        <v>100.0</v>
      </c>
      <c r="L403" s="32">
        <v>2.68</v>
      </c>
      <c r="M403" s="32">
        <f>0.87 + 20000/P403</f>
        <v>2.23351124</v>
      </c>
      <c r="N403" s="32">
        <v>1.0</v>
      </c>
      <c r="O403" s="32">
        <v>0.0</v>
      </c>
      <c r="P403" s="33">
        <f>(980850/66.87)</f>
        <v>14668.01256</v>
      </c>
      <c r="Q403" s="34">
        <v>2500.0</v>
      </c>
      <c r="R403" s="42">
        <v>67.0</v>
      </c>
      <c r="S403" s="36">
        <v>2.233511240250803</v>
      </c>
      <c r="T403" s="36">
        <v>1.0</v>
      </c>
      <c r="U403" s="36"/>
      <c r="V403" s="36">
        <v>68.2335112402508</v>
      </c>
      <c r="W403" s="37">
        <v>0.02729340449610032</v>
      </c>
      <c r="X403" s="42">
        <v>982756.8416330192</v>
      </c>
      <c r="Y403" s="36">
        <v>32761.17092866756</v>
      </c>
      <c r="Z403" s="36">
        <v>14668.012561686854</v>
      </c>
      <c r="AA403" s="36"/>
      <c r="AB403" s="36">
        <v>1000850.0</v>
      </c>
      <c r="AC403" s="37">
        <v>400.34</v>
      </c>
      <c r="AD403" s="31">
        <v>500.0</v>
      </c>
      <c r="AE403" s="11">
        <v>500.0</v>
      </c>
      <c r="AF403" s="11" t="s">
        <v>444</v>
      </c>
    </row>
    <row r="404">
      <c r="A404" s="11" t="s">
        <v>408</v>
      </c>
      <c r="B404" s="39">
        <v>43536.47925773148</v>
      </c>
      <c r="C404" s="40">
        <v>43572.75644162037</v>
      </c>
      <c r="D404" s="27" t="s">
        <v>98</v>
      </c>
      <c r="E404" s="11" t="b">
        <v>1</v>
      </c>
      <c r="F404" s="11" t="s">
        <v>57</v>
      </c>
      <c r="G404" s="59" t="str">
        <f>"https://www.aliexpress.com/item/100PCS-NE555P-NE555-NE-555-DIP-8-SINGLE-BIPOLAR-TIMERS-IC-CHIP-DIP-8/32862975606.html?spm=a2g0s.13010208.99999999.277.72a13c00DZts31"</f>
        <v>https://www.aliexpress.com/item/100PCS-NE555P-NE555-NE-555-DIP-8-SINGLE-BIPOLAR-TIMERS-IC-CHIP-DIP-8/32862975606.html?spm=a2g0s.13010208.99999999.277.72a13c00DZts31</v>
      </c>
      <c r="H404" s="11" t="s">
        <v>445</v>
      </c>
      <c r="I404" s="33">
        <v>4.0</v>
      </c>
      <c r="J404" s="31">
        <v>9.0</v>
      </c>
      <c r="K404" s="11">
        <v>100.0</v>
      </c>
      <c r="L404" s="32">
        <v>2.7</v>
      </c>
      <c r="M404" s="32">
        <v>0.0</v>
      </c>
      <c r="N404" s="60">
        <v>1.0</v>
      </c>
      <c r="O404" s="60">
        <v>0.0</v>
      </c>
      <c r="P404" s="58">
        <f>338689/(9*2.7 - 1)</f>
        <v>14536.00858</v>
      </c>
      <c r="Q404" s="34">
        <v>900.0</v>
      </c>
      <c r="R404" s="42">
        <v>24.3</v>
      </c>
      <c r="S404" s="36"/>
      <c r="T404" s="36">
        <v>1.0</v>
      </c>
      <c r="U404" s="36"/>
      <c r="V404" s="36">
        <v>23.3</v>
      </c>
      <c r="W404" s="37">
        <v>0.02588888888888889</v>
      </c>
      <c r="X404" s="42">
        <v>353225.00858369103</v>
      </c>
      <c r="Y404" s="36"/>
      <c r="Z404" s="36">
        <v>14536.008583690988</v>
      </c>
      <c r="AA404" s="36"/>
      <c r="AB404" s="36">
        <v>338689.0</v>
      </c>
      <c r="AC404" s="37">
        <v>376.3211111111111</v>
      </c>
      <c r="AD404" s="31">
        <v>500.0</v>
      </c>
      <c r="AE404" s="11">
        <v>500.0</v>
      </c>
      <c r="AF404" s="11"/>
    </row>
    <row r="405">
      <c r="A405" s="11" t="s">
        <v>408</v>
      </c>
      <c r="B405" s="39">
        <v>43533.695682060184</v>
      </c>
      <c r="C405" s="40">
        <v>43553.0</v>
      </c>
      <c r="D405" s="27" t="s">
        <v>56</v>
      </c>
      <c r="E405" s="28" t="b">
        <v>1</v>
      </c>
      <c r="F405" s="11" t="s">
        <v>57</v>
      </c>
      <c r="G405" s="45" t="str">
        <f t="shared" ref="G405:G406" si="114">"https://www.aliexpress.com/item/Free-shipping-500PCS-LOT-NE555-NE555P-NE555N-555-Timers-DIP-8-best-quality/32803415201.html?spm=a2g0s.9042311.0.0.27424c4dumFmP4"</f>
        <v>https://www.aliexpress.com/item/Free-shipping-500PCS-LOT-NE555-NE555P-NE555N-555-Timers-DIP-8-best-quality/32803415201.html?spm=a2g0s.9042311.0.0.27424c4dumFmP4</v>
      </c>
      <c r="H405" s="11" t="s">
        <v>446</v>
      </c>
      <c r="I405" s="33"/>
      <c r="J405" s="31">
        <v>3.0</v>
      </c>
      <c r="K405" s="11">
        <v>500.0</v>
      </c>
      <c r="L405" s="32">
        <v>13.31</v>
      </c>
      <c r="M405" s="32">
        <v>0.0</v>
      </c>
      <c r="N405" s="60">
        <v>0.0</v>
      </c>
      <c r="O405" s="60">
        <v>0.0</v>
      </c>
      <c r="P405" s="58">
        <f>579265/(3*13.31)</f>
        <v>14507.01227</v>
      </c>
      <c r="Q405" s="34">
        <v>1500.0</v>
      </c>
      <c r="R405" s="42">
        <v>39.93</v>
      </c>
      <c r="S405" s="36"/>
      <c r="T405" s="36"/>
      <c r="U405" s="36"/>
      <c r="V405" s="36">
        <v>39.93</v>
      </c>
      <c r="W405" s="37">
        <v>0.02662</v>
      </c>
      <c r="X405" s="42">
        <v>579265.0</v>
      </c>
      <c r="Y405" s="36"/>
      <c r="Z405" s="36"/>
      <c r="AA405" s="36"/>
      <c r="AB405" s="36">
        <v>579265.0</v>
      </c>
      <c r="AC405" s="37">
        <v>386.1766666666667</v>
      </c>
      <c r="AD405" s="31">
        <v>500.0</v>
      </c>
      <c r="AE405" s="11">
        <v>500.0</v>
      </c>
      <c r="AF405" s="11" t="s">
        <v>100</v>
      </c>
    </row>
    <row r="406">
      <c r="A406" s="11" t="s">
        <v>408</v>
      </c>
      <c r="B406" s="39">
        <v>43483.67941592593</v>
      </c>
      <c r="C406" s="40">
        <v>43502.0</v>
      </c>
      <c r="D406" s="27" t="s">
        <v>98</v>
      </c>
      <c r="E406" s="28" t="b">
        <v>1</v>
      </c>
      <c r="F406" s="11" t="s">
        <v>57</v>
      </c>
      <c r="G406" s="45" t="str">
        <f t="shared" si="114"/>
        <v>https://www.aliexpress.com/item/Free-shipping-500PCS-LOT-NE555-NE555P-NE555N-555-Timers-DIP-8-best-quality/32803415201.html?spm=a2g0s.9042311.0.0.27424c4dumFmP4</v>
      </c>
      <c r="H406" s="11" t="s">
        <v>447</v>
      </c>
      <c r="I406" s="33"/>
      <c r="J406" s="31">
        <v>4.0</v>
      </c>
      <c r="K406" s="11">
        <v>500.0</v>
      </c>
      <c r="L406" s="32">
        <v>13.31</v>
      </c>
      <c r="M406" s="32">
        <v>0.0</v>
      </c>
      <c r="N406" s="60">
        <v>0.0</v>
      </c>
      <c r="O406" s="60">
        <v>0.0</v>
      </c>
      <c r="P406" s="58">
        <f>977545/(3*4.78 + 4*13.31)</f>
        <v>14465.00444</v>
      </c>
      <c r="Q406" s="34">
        <v>2000.0</v>
      </c>
      <c r="R406" s="42">
        <v>53.24</v>
      </c>
      <c r="S406" s="36"/>
      <c r="T406" s="36"/>
      <c r="U406" s="36"/>
      <c r="V406" s="36">
        <v>53.24</v>
      </c>
      <c r="W406" s="37">
        <v>0.02662</v>
      </c>
      <c r="X406" s="42">
        <v>770116.8363421131</v>
      </c>
      <c r="Y406" s="36"/>
      <c r="Z406" s="36"/>
      <c r="AA406" s="36"/>
      <c r="AB406" s="36">
        <v>770116.8363421131</v>
      </c>
      <c r="AC406" s="37">
        <v>385.05841817105653</v>
      </c>
      <c r="AD406" s="27">
        <v>500.0</v>
      </c>
      <c r="AE406" s="11">
        <v>500.0</v>
      </c>
      <c r="AF406" s="14" t="s">
        <v>100</v>
      </c>
    </row>
    <row r="407">
      <c r="A407" s="11" t="s">
        <v>408</v>
      </c>
      <c r="B407" s="39">
        <v>43427.0</v>
      </c>
      <c r="C407" s="40">
        <v>43446.0</v>
      </c>
      <c r="D407" s="27" t="s">
        <v>98</v>
      </c>
      <c r="E407" s="28" t="b">
        <v>1</v>
      </c>
      <c r="F407" s="11" t="s">
        <v>57</v>
      </c>
      <c r="G407" s="59" t="str">
        <f>"https://www.aliexpress.com/item/Free-shipping-500PCS-LOT-NE555-NE555P-NE555N-555-Timers-DIP-8-TEXAS-best-quality/32803415201.html?spm=a2g0s.12269583.0.0.49cc1509BSVaCm"</f>
        <v>https://www.aliexpress.com/item/Free-shipping-500PCS-LOT-NE555-NE555P-NE555N-555-Timers-DIP-8-TEXAS-best-quality/32803415201.html?spm=a2g0s.12269583.0.0.49cc1509BSVaCm</v>
      </c>
      <c r="H407" s="11" t="s">
        <v>448</v>
      </c>
      <c r="I407" s="33"/>
      <c r="J407" s="31">
        <v>4.0</v>
      </c>
      <c r="K407" s="11">
        <v>500.0</v>
      </c>
      <c r="L407" s="32">
        <v>14.01</v>
      </c>
      <c r="M407" s="32">
        <v>0.0</v>
      </c>
      <c r="N407" s="60">
        <v>5.0</v>
      </c>
      <c r="O407" s="60">
        <v>0.0</v>
      </c>
      <c r="P407" s="58">
        <f>757587/(14.01*4 - 5)</f>
        <v>14843.00549</v>
      </c>
      <c r="Q407" s="34">
        <v>2000.0</v>
      </c>
      <c r="R407" s="42">
        <v>56.04</v>
      </c>
      <c r="S407" s="36"/>
      <c r="T407" s="36">
        <v>5.0</v>
      </c>
      <c r="U407" s="36"/>
      <c r="V407" s="36">
        <v>51.04</v>
      </c>
      <c r="W407" s="37">
        <v>0.02552</v>
      </c>
      <c r="X407" s="42">
        <v>831802.0274294671</v>
      </c>
      <c r="Y407" s="36"/>
      <c r="Z407" s="36">
        <v>74215.02742946708</v>
      </c>
      <c r="AA407" s="36"/>
      <c r="AB407" s="36">
        <v>757587.0</v>
      </c>
      <c r="AC407" s="37">
        <v>378.7935</v>
      </c>
      <c r="AD407" s="27">
        <v>500.0</v>
      </c>
      <c r="AE407" s="11">
        <v>500.0</v>
      </c>
      <c r="AF407" s="14"/>
    </row>
    <row r="408">
      <c r="A408" s="11" t="s">
        <v>408</v>
      </c>
      <c r="B408" s="39">
        <v>43298.0</v>
      </c>
      <c r="C408" s="40">
        <v>43332.0</v>
      </c>
      <c r="D408" s="27" t="s">
        <v>66</v>
      </c>
      <c r="E408" s="28" t="b">
        <v>1</v>
      </c>
      <c r="F408" s="11" t="s">
        <v>57</v>
      </c>
      <c r="G408" s="45" t="str">
        <f>"https://www.aliexpress.com/item/free-shipping-100PCS-New-NE555-NE555P-NE555N-555-Timers-DIP-8-The-new-quality-is-very/32834818271.html?spm=a2g0s.9042311.0.0.50c24c4dxN4D85"</f>
        <v>https://www.aliexpress.com/item/free-shipping-100PCS-New-NE555-NE555P-NE555N-555-Timers-DIP-8-The-new-quality-is-very/32834818271.html?spm=a2g0s.9042311.0.0.50c24c4dxN4D85</v>
      </c>
      <c r="H408" s="11" t="s">
        <v>449</v>
      </c>
      <c r="I408" s="33"/>
      <c r="J408" s="31">
        <v>20.0</v>
      </c>
      <c r="K408" s="11">
        <v>100.0</v>
      </c>
      <c r="L408" s="32">
        <v>2.84</v>
      </c>
      <c r="M408" s="32">
        <v>2.11</v>
      </c>
      <c r="N408" s="60">
        <v>0.0</v>
      </c>
      <c r="O408" s="60">
        <v>0.0</v>
      </c>
      <c r="P408" s="58">
        <f>1423717/((1.84*20 + 1.28) + (2.84*20 + 2.11))</f>
        <v>14679.00815</v>
      </c>
      <c r="Q408" s="34">
        <v>2000.0</v>
      </c>
      <c r="R408" s="42">
        <v>56.8</v>
      </c>
      <c r="S408" s="36">
        <v>2.11</v>
      </c>
      <c r="T408" s="36"/>
      <c r="U408" s="36"/>
      <c r="V408" s="36">
        <v>58.91</v>
      </c>
      <c r="W408" s="37">
        <v>0.029455</v>
      </c>
      <c r="X408" s="42">
        <v>833767.6626456334</v>
      </c>
      <c r="Y408" s="36">
        <v>30972.707186307864</v>
      </c>
      <c r="Z408" s="36"/>
      <c r="AA408" s="36"/>
      <c r="AB408" s="36">
        <v>864740.3698319413</v>
      </c>
      <c r="AC408" s="37">
        <v>432.37018491597064</v>
      </c>
      <c r="AD408" s="27">
        <v>500.0</v>
      </c>
      <c r="AE408" s="11">
        <v>500.0</v>
      </c>
      <c r="AF408" s="11"/>
    </row>
    <row r="409">
      <c r="A409" s="11" t="s">
        <v>450</v>
      </c>
      <c r="B409" s="77">
        <v>46002.67569444444</v>
      </c>
      <c r="C409" s="40">
        <v>46008.525</v>
      </c>
      <c r="D409" s="27" t="s">
        <v>37</v>
      </c>
      <c r="E409" s="11" t="b">
        <v>0</v>
      </c>
      <c r="F409" s="11" t="s">
        <v>49</v>
      </c>
      <c r="G409" s="11" t="s">
        <v>451</v>
      </c>
      <c r="H409" s="11" t="s">
        <v>452</v>
      </c>
      <c r="I409" s="30">
        <v>5.0</v>
      </c>
      <c r="J409" s="31">
        <v>2000.0</v>
      </c>
      <c r="K409" s="11">
        <v>1.0</v>
      </c>
      <c r="L409" s="32">
        <f>(399)/P409</f>
        <v>399</v>
      </c>
      <c r="M409" s="32">
        <f>(2398)/P409</f>
        <v>2398</v>
      </c>
      <c r="N409" s="32">
        <f>(X409*15%)/P409 + 1</f>
        <v>119701</v>
      </c>
      <c r="O409" s="32">
        <v>0.0</v>
      </c>
      <c r="P409" s="33">
        <v>1.0</v>
      </c>
      <c r="Q409" s="34">
        <v>2000.0</v>
      </c>
      <c r="R409" s="42">
        <v>798000.0</v>
      </c>
      <c r="S409" s="36">
        <v>2398.0</v>
      </c>
      <c r="T409" s="36">
        <v>119701.0</v>
      </c>
      <c r="U409" s="36"/>
      <c r="V409" s="36">
        <v>680697.0</v>
      </c>
      <c r="W409" s="37">
        <v>340.3485</v>
      </c>
      <c r="X409" s="42">
        <v>798000.0</v>
      </c>
      <c r="Y409" s="36">
        <v>2398.0</v>
      </c>
      <c r="Z409" s="36">
        <v>119701.0</v>
      </c>
      <c r="AA409" s="36"/>
      <c r="AB409" s="36">
        <v>680697.0</v>
      </c>
      <c r="AC409" s="37">
        <v>340.3485</v>
      </c>
      <c r="AD409" s="31"/>
      <c r="AE409" s="11"/>
      <c r="AF409" s="11"/>
    </row>
    <row r="410">
      <c r="A410" s="11" t="s">
        <v>450</v>
      </c>
      <c r="B410" s="39">
        <v>45834.76111111111</v>
      </c>
      <c r="C410" s="40">
        <v>45838.55972222222</v>
      </c>
      <c r="D410" s="27" t="s">
        <v>37</v>
      </c>
      <c r="E410" s="11" t="b">
        <v>0</v>
      </c>
      <c r="F410" s="11" t="s">
        <v>49</v>
      </c>
      <c r="G410" s="11" t="s">
        <v>451</v>
      </c>
      <c r="H410" s="11" t="s">
        <v>453</v>
      </c>
      <c r="I410" s="30">
        <v>5.0</v>
      </c>
      <c r="J410" s="31">
        <v>300.0</v>
      </c>
      <c r="K410" s="11">
        <v>1.0</v>
      </c>
      <c r="L410" s="32">
        <f t="shared" ref="L410:L411" si="115">(400)/P410</f>
        <v>0.02446333558</v>
      </c>
      <c r="M410" s="32">
        <f>(800)/P410</f>
        <v>0.04892667115</v>
      </c>
      <c r="N410" s="32">
        <f>(X410*8%)/P410</f>
        <v>0.5871200538</v>
      </c>
      <c r="O410" s="32">
        <v>0.0</v>
      </c>
      <c r="P410" s="33">
        <v>16351.0</v>
      </c>
      <c r="Q410" s="34">
        <v>300.0</v>
      </c>
      <c r="R410" s="42">
        <v>7.339000672741728</v>
      </c>
      <c r="S410" s="36">
        <v>0.04892667115161152</v>
      </c>
      <c r="T410" s="36">
        <v>0.5871200538193382</v>
      </c>
      <c r="U410" s="36"/>
      <c r="V410" s="36">
        <v>6.800807290074001</v>
      </c>
      <c r="W410" s="37">
        <v>0.022669357633580002</v>
      </c>
      <c r="X410" s="42">
        <v>119999.99999999999</v>
      </c>
      <c r="Y410" s="36">
        <v>800.0</v>
      </c>
      <c r="Z410" s="36">
        <v>9599.999999999998</v>
      </c>
      <c r="AA410" s="36"/>
      <c r="AB410" s="36">
        <v>111199.99999999999</v>
      </c>
      <c r="AC410" s="37">
        <v>370.66666666666663</v>
      </c>
      <c r="AD410" s="31"/>
      <c r="AE410" s="11"/>
      <c r="AF410" s="11"/>
    </row>
    <row r="411">
      <c r="A411" s="11" t="s">
        <v>450</v>
      </c>
      <c r="B411" s="39">
        <v>45830.97708333333</v>
      </c>
      <c r="C411" s="40">
        <v>45833.686111111114</v>
      </c>
      <c r="D411" s="27" t="s">
        <v>37</v>
      </c>
      <c r="E411" s="11" t="b">
        <v>0</v>
      </c>
      <c r="F411" s="11" t="s">
        <v>49</v>
      </c>
      <c r="G411" s="11" t="s">
        <v>451</v>
      </c>
      <c r="H411" s="11" t="s">
        <v>454</v>
      </c>
      <c r="I411" s="30">
        <v>5.0</v>
      </c>
      <c r="J411" s="31">
        <v>2500.0</v>
      </c>
      <c r="K411" s="11">
        <v>1.0</v>
      </c>
      <c r="L411" s="32">
        <f t="shared" si="115"/>
        <v>0.02436647173</v>
      </c>
      <c r="M411" s="32">
        <f>(1000)/P411</f>
        <v>0.06091617934</v>
      </c>
      <c r="N411" s="32">
        <f>(100000)/P411</f>
        <v>6.091617934</v>
      </c>
      <c r="O411" s="32">
        <v>0.0</v>
      </c>
      <c r="P411" s="33">
        <v>16416.0</v>
      </c>
      <c r="Q411" s="34">
        <v>2500.0</v>
      </c>
      <c r="R411" s="42">
        <v>60.916179337231966</v>
      </c>
      <c r="S411" s="36">
        <v>0.060916179337231965</v>
      </c>
      <c r="T411" s="36">
        <v>6.091617933723197</v>
      </c>
      <c r="U411" s="36"/>
      <c r="V411" s="36">
        <v>54.885477582846</v>
      </c>
      <c r="W411" s="37">
        <v>0.0219541910331384</v>
      </c>
      <c r="X411" s="42">
        <v>1000000.0</v>
      </c>
      <c r="Y411" s="36">
        <v>1000.0</v>
      </c>
      <c r="Z411" s="36">
        <v>100000.0</v>
      </c>
      <c r="AA411" s="36"/>
      <c r="AB411" s="36">
        <v>901000.0</v>
      </c>
      <c r="AC411" s="37">
        <v>360.4</v>
      </c>
      <c r="AD411" s="31"/>
      <c r="AE411" s="11"/>
      <c r="AF411" s="11"/>
    </row>
    <row r="412">
      <c r="A412" s="11" t="s">
        <v>450</v>
      </c>
      <c r="B412" s="39">
        <v>45802.06805555556</v>
      </c>
      <c r="C412" s="40">
        <v>45804.748611111114</v>
      </c>
      <c r="D412" s="27" t="s">
        <v>33</v>
      </c>
      <c r="E412" s="11" t="b">
        <v>0</v>
      </c>
      <c r="F412" s="11" t="s">
        <v>49</v>
      </c>
      <c r="G412" s="11" t="s">
        <v>455</v>
      </c>
      <c r="H412" s="11" t="s">
        <v>456</v>
      </c>
      <c r="I412" s="30">
        <v>5.0</v>
      </c>
      <c r="J412" s="31">
        <v>400.0</v>
      </c>
      <c r="K412" s="11">
        <v>10.0</v>
      </c>
      <c r="L412" s="32">
        <f>(3950)/P412</f>
        <v>0.2430470096</v>
      </c>
      <c r="M412" s="32">
        <f>(378)/P412</f>
        <v>0.02325867586</v>
      </c>
      <c r="N412" s="32">
        <f>(158000)/P412</f>
        <v>9.721880384</v>
      </c>
      <c r="O412" s="32">
        <v>0.0</v>
      </c>
      <c r="P412" s="33">
        <v>16252.0</v>
      </c>
      <c r="Q412" s="34">
        <v>4000.0</v>
      </c>
      <c r="R412" s="42">
        <v>97.21880383952744</v>
      </c>
      <c r="S412" s="36">
        <v>0.02325867585527935</v>
      </c>
      <c r="T412" s="36">
        <v>9.721880383952744</v>
      </c>
      <c r="U412" s="36"/>
      <c r="V412" s="36">
        <v>87.52018213142998</v>
      </c>
      <c r="W412" s="37">
        <v>0.021880045532857495</v>
      </c>
      <c r="X412" s="42">
        <v>1580000.0</v>
      </c>
      <c r="Y412" s="36">
        <v>378.0</v>
      </c>
      <c r="Z412" s="36">
        <v>158000.0</v>
      </c>
      <c r="AA412" s="36"/>
      <c r="AB412" s="36">
        <v>1422378.0</v>
      </c>
      <c r="AC412" s="37">
        <v>355.5945</v>
      </c>
      <c r="AD412" s="31"/>
      <c r="AE412" s="11"/>
      <c r="AF412" s="11"/>
    </row>
    <row r="413">
      <c r="A413" s="11" t="s">
        <v>450</v>
      </c>
      <c r="B413" s="39">
        <v>45768.54791666667</v>
      </c>
      <c r="C413" s="40">
        <v>45771.665972222225</v>
      </c>
      <c r="D413" s="27" t="s">
        <v>37</v>
      </c>
      <c r="E413" s="11" t="b">
        <v>0</v>
      </c>
      <c r="F413" s="11" t="s">
        <v>49</v>
      </c>
      <c r="G413" s="11" t="s">
        <v>451</v>
      </c>
      <c r="H413" s="11" t="s">
        <v>457</v>
      </c>
      <c r="I413" s="30">
        <v>5.0</v>
      </c>
      <c r="J413" s="31">
        <v>1000.0</v>
      </c>
      <c r="K413" s="11">
        <v>1.0</v>
      </c>
      <c r="L413" s="32">
        <f t="shared" ref="L413:L415" si="116">(400)/P413</f>
        <v>0.023776972</v>
      </c>
      <c r="M413" s="32">
        <f>(408)/P413</f>
        <v>0.02425251144</v>
      </c>
      <c r="N413" s="32">
        <f t="shared" ref="N413:N414" si="117">(X413*10%)/P413</f>
        <v>2.3776972</v>
      </c>
      <c r="O413" s="32">
        <v>0.0</v>
      </c>
      <c r="P413" s="33">
        <v>16823.0</v>
      </c>
      <c r="Q413" s="34">
        <v>1000.0</v>
      </c>
      <c r="R413" s="42">
        <v>23.776972002615466</v>
      </c>
      <c r="S413" s="36">
        <v>0.024252511442667775</v>
      </c>
      <c r="T413" s="36">
        <v>2.377697200261547</v>
      </c>
      <c r="U413" s="36"/>
      <c r="V413" s="36">
        <v>21.423527313796587</v>
      </c>
      <c r="W413" s="37">
        <v>0.021423527313796587</v>
      </c>
      <c r="X413" s="42">
        <v>400000.0</v>
      </c>
      <c r="Y413" s="36">
        <v>408.0</v>
      </c>
      <c r="Z413" s="36">
        <v>40000.0</v>
      </c>
      <c r="AA413" s="36"/>
      <c r="AB413" s="36">
        <v>360408.0</v>
      </c>
      <c r="AC413" s="37">
        <v>360.408</v>
      </c>
      <c r="AD413" s="31"/>
      <c r="AE413" s="11"/>
      <c r="AF413" s="11"/>
    </row>
    <row r="414">
      <c r="A414" s="11" t="s">
        <v>450</v>
      </c>
      <c r="B414" s="39">
        <v>45751.76527777778</v>
      </c>
      <c r="C414" s="40">
        <v>45755.404861111114</v>
      </c>
      <c r="D414" s="27" t="s">
        <v>37</v>
      </c>
      <c r="E414" s="11" t="b">
        <v>0</v>
      </c>
      <c r="F414" s="11" t="s">
        <v>49</v>
      </c>
      <c r="G414" s="11" t="s">
        <v>451</v>
      </c>
      <c r="H414" s="11" t="s">
        <v>458</v>
      </c>
      <c r="I414" s="30">
        <v>5.0</v>
      </c>
      <c r="J414" s="31">
        <v>2300.0</v>
      </c>
      <c r="K414" s="11">
        <v>1.0</v>
      </c>
      <c r="L414" s="32">
        <f t="shared" si="116"/>
        <v>0.02389771777</v>
      </c>
      <c r="M414" s="32">
        <f>(924)/P414</f>
        <v>0.05520372804</v>
      </c>
      <c r="N414" s="32">
        <f t="shared" si="117"/>
        <v>5.496475087</v>
      </c>
      <c r="O414" s="32">
        <v>0.0</v>
      </c>
      <c r="P414" s="33">
        <v>16738.0</v>
      </c>
      <c r="Q414" s="34">
        <v>2300.0</v>
      </c>
      <c r="R414" s="42">
        <v>54.96475086629227</v>
      </c>
      <c r="S414" s="36">
        <v>0.0552037280439718</v>
      </c>
      <c r="T414" s="36">
        <v>5.496475086629227</v>
      </c>
      <c r="U414" s="36"/>
      <c r="V414" s="36">
        <v>49.523479507707016</v>
      </c>
      <c r="W414" s="37">
        <v>0.021531947612046527</v>
      </c>
      <c r="X414" s="42">
        <v>920000.0</v>
      </c>
      <c r="Y414" s="36">
        <v>924.0</v>
      </c>
      <c r="Z414" s="36">
        <v>92000.0</v>
      </c>
      <c r="AA414" s="36"/>
      <c r="AB414" s="36">
        <v>828924.0</v>
      </c>
      <c r="AC414" s="37">
        <v>360.4017391304348</v>
      </c>
      <c r="AD414" s="31"/>
      <c r="AE414" s="11"/>
      <c r="AF414" s="11"/>
    </row>
    <row r="415">
      <c r="A415" s="11" t="s">
        <v>450</v>
      </c>
      <c r="B415" s="39">
        <v>45751.72986111111</v>
      </c>
      <c r="C415" s="40">
        <v>45754.58611111111</v>
      </c>
      <c r="D415" s="27" t="s">
        <v>37</v>
      </c>
      <c r="E415" s="11" t="b">
        <v>0</v>
      </c>
      <c r="F415" s="11" t="s">
        <v>49</v>
      </c>
      <c r="G415" s="11" t="s">
        <v>451</v>
      </c>
      <c r="H415" s="11" t="s">
        <v>459</v>
      </c>
      <c r="I415" s="30">
        <v>5.0</v>
      </c>
      <c r="J415" s="31">
        <v>1700.0</v>
      </c>
      <c r="K415" s="11">
        <v>1.0</v>
      </c>
      <c r="L415" s="32">
        <f t="shared" si="116"/>
        <v>0.02389771777</v>
      </c>
      <c r="M415" s="32">
        <f>(1000)/P415</f>
        <v>0.05974429442</v>
      </c>
      <c r="N415" s="32">
        <f>(X415*5%)/P415</f>
        <v>2.03130601</v>
      </c>
      <c r="O415" s="32">
        <v>0.0</v>
      </c>
      <c r="P415" s="33">
        <v>16738.0</v>
      </c>
      <c r="Q415" s="34">
        <v>1700.0</v>
      </c>
      <c r="R415" s="42">
        <v>40.62612020552037</v>
      </c>
      <c r="S415" s="36">
        <v>0.0597442944198829</v>
      </c>
      <c r="T415" s="36">
        <v>2.0313060102760185</v>
      </c>
      <c r="U415" s="36"/>
      <c r="V415" s="36">
        <v>38.65455848966424</v>
      </c>
      <c r="W415" s="37">
        <v>0.022737975582155436</v>
      </c>
      <c r="X415" s="42">
        <v>680000.0</v>
      </c>
      <c r="Y415" s="36">
        <v>1000.0</v>
      </c>
      <c r="Z415" s="36">
        <v>34000.0</v>
      </c>
      <c r="AA415" s="36"/>
      <c r="AB415" s="36">
        <v>647000.0</v>
      </c>
      <c r="AC415" s="37">
        <v>380.5882352941176</v>
      </c>
      <c r="AD415" s="31"/>
      <c r="AE415" s="11"/>
      <c r="AF415" s="11"/>
    </row>
    <row r="416">
      <c r="A416" s="11" t="s">
        <v>450</v>
      </c>
      <c r="B416" s="39">
        <v>45712.001388888886</v>
      </c>
      <c r="C416" s="40">
        <v>45716.66111111111</v>
      </c>
      <c r="D416" s="27" t="s">
        <v>33</v>
      </c>
      <c r="E416" s="11" t="b">
        <v>0</v>
      </c>
      <c r="F416" s="11" t="s">
        <v>49</v>
      </c>
      <c r="G416" s="11" t="s">
        <v>460</v>
      </c>
      <c r="H416" s="11" t="s">
        <v>461</v>
      </c>
      <c r="I416" s="30">
        <v>5.0</v>
      </c>
      <c r="J416" s="31">
        <v>3000.0</v>
      </c>
      <c r="K416" s="11">
        <v>1.0</v>
      </c>
      <c r="L416" s="32">
        <f>(411)/P416</f>
        <v>0.02524880206</v>
      </c>
      <c r="M416" s="32">
        <f>(498/2)/P416</f>
        <v>0.0152967195</v>
      </c>
      <c r="N416" s="32">
        <f>(X416*12%)/P416</f>
        <v>9.089568743</v>
      </c>
      <c r="O416" s="32">
        <v>0.0</v>
      </c>
      <c r="P416" s="33">
        <v>16278.0</v>
      </c>
      <c r="Q416" s="34">
        <v>3000.0</v>
      </c>
      <c r="R416" s="42">
        <v>75.74640619240692</v>
      </c>
      <c r="S416" s="36">
        <v>0.015296719498709916</v>
      </c>
      <c r="T416" s="36">
        <v>9.089568743088831</v>
      </c>
      <c r="U416" s="36"/>
      <c r="V416" s="36">
        <v>66.6721341688168</v>
      </c>
      <c r="W416" s="37">
        <v>0.022224044722938933</v>
      </c>
      <c r="X416" s="42">
        <v>1233000.0</v>
      </c>
      <c r="Y416" s="36">
        <v>249.0</v>
      </c>
      <c r="Z416" s="36">
        <v>147960.0</v>
      </c>
      <c r="AA416" s="36"/>
      <c r="AB416" s="36">
        <v>1085288.9999999998</v>
      </c>
      <c r="AC416" s="37">
        <v>361.7629999999999</v>
      </c>
      <c r="AD416" s="31"/>
      <c r="AE416" s="11"/>
      <c r="AF416" s="11"/>
    </row>
    <row r="417">
      <c r="A417" s="11" t="s">
        <v>450</v>
      </c>
      <c r="B417" s="39">
        <v>45683.08611111111</v>
      </c>
      <c r="C417" s="40">
        <v>45687.58888888889</v>
      </c>
      <c r="D417" s="27" t="s">
        <v>33</v>
      </c>
      <c r="E417" s="11" t="b">
        <v>0</v>
      </c>
      <c r="F417" s="11" t="s">
        <v>38</v>
      </c>
      <c r="G417" s="11" t="s">
        <v>367</v>
      </c>
      <c r="H417" s="11" t="s">
        <v>462</v>
      </c>
      <c r="I417" s="30">
        <v>5.0</v>
      </c>
      <c r="J417" s="31">
        <v>102.0</v>
      </c>
      <c r="K417" s="11">
        <v>1.0</v>
      </c>
      <c r="L417" s="32">
        <f>(390)/P417</f>
        <v>0.02411575563</v>
      </c>
      <c r="M417" s="32">
        <f>(1000)/P417</f>
        <v>0.06183527084</v>
      </c>
      <c r="N417" s="32">
        <f>(19890)/P417</f>
        <v>1.229903537</v>
      </c>
      <c r="O417" s="32">
        <v>0.0</v>
      </c>
      <c r="P417" s="33">
        <v>16172.0</v>
      </c>
      <c r="Q417" s="34">
        <v>102.0</v>
      </c>
      <c r="R417" s="42">
        <v>2.4598070739549835</v>
      </c>
      <c r="S417" s="36">
        <v>0.06183527083848627</v>
      </c>
      <c r="T417" s="36">
        <v>1.229903536977492</v>
      </c>
      <c r="U417" s="36"/>
      <c r="V417" s="36">
        <v>1.2917388078159777</v>
      </c>
      <c r="W417" s="37">
        <v>0.012664105958980173</v>
      </c>
      <c r="X417" s="42">
        <v>39779.99999999999</v>
      </c>
      <c r="Y417" s="36">
        <v>1000.0</v>
      </c>
      <c r="Z417" s="36">
        <v>19890.0</v>
      </c>
      <c r="AA417" s="36"/>
      <c r="AB417" s="36">
        <v>20889.999999999993</v>
      </c>
      <c r="AC417" s="37">
        <v>204.80392156862737</v>
      </c>
      <c r="AD417" s="31"/>
      <c r="AE417" s="11"/>
      <c r="AF417" s="11"/>
    </row>
    <row r="418">
      <c r="A418" s="11" t="s">
        <v>450</v>
      </c>
      <c r="B418" s="39">
        <v>45644.67013888889</v>
      </c>
      <c r="C418" s="40">
        <v>45646.659014386576</v>
      </c>
      <c r="D418" s="27" t="s">
        <v>33</v>
      </c>
      <c r="E418" s="11" t="b">
        <v>0</v>
      </c>
      <c r="F418" s="11" t="s">
        <v>38</v>
      </c>
      <c r="G418" s="11" t="s">
        <v>390</v>
      </c>
      <c r="H418" s="11" t="s">
        <v>463</v>
      </c>
      <c r="I418" s="30">
        <v>5.0</v>
      </c>
      <c r="J418" s="31">
        <v>1.0</v>
      </c>
      <c r="K418" s="11">
        <v>1000.0</v>
      </c>
      <c r="L418" s="32">
        <f>(400000)/P418</f>
        <v>24.63054187</v>
      </c>
      <c r="M418" s="32">
        <f t="shared" ref="M418:M419" si="118">(804)/4/P418</f>
        <v>0.01237684729</v>
      </c>
      <c r="N418" s="32">
        <f t="shared" ref="N418:N419" si="119">(X418*10%)/P418</f>
        <v>2.463054187</v>
      </c>
      <c r="O418" s="32">
        <v>0.0</v>
      </c>
      <c r="P418" s="33">
        <v>16240.0</v>
      </c>
      <c r="Q418" s="34">
        <v>1000.0</v>
      </c>
      <c r="R418" s="42">
        <v>24.63054187192118</v>
      </c>
      <c r="S418" s="36">
        <v>0.012376847290640394</v>
      </c>
      <c r="T418" s="36">
        <v>2.4630541871921183</v>
      </c>
      <c r="U418" s="36"/>
      <c r="V418" s="36">
        <v>22.179864532019703</v>
      </c>
      <c r="W418" s="37">
        <v>0.022179864532019703</v>
      </c>
      <c r="X418" s="42">
        <v>400000.0</v>
      </c>
      <c r="Y418" s="36">
        <v>201.0</v>
      </c>
      <c r="Z418" s="36">
        <v>40000.0</v>
      </c>
      <c r="AA418" s="36"/>
      <c r="AB418" s="36">
        <v>360201.0</v>
      </c>
      <c r="AC418" s="37">
        <v>360.201</v>
      </c>
      <c r="AD418" s="31"/>
      <c r="AE418" s="11"/>
      <c r="AF418" s="11"/>
    </row>
    <row r="419">
      <c r="A419" s="11" t="s">
        <v>450</v>
      </c>
      <c r="B419" s="39">
        <v>45644.67013888889</v>
      </c>
      <c r="C419" s="40">
        <v>45646.659014386576</v>
      </c>
      <c r="D419" s="27" t="s">
        <v>33</v>
      </c>
      <c r="E419" s="11" t="b">
        <v>0</v>
      </c>
      <c r="F419" s="11" t="s">
        <v>38</v>
      </c>
      <c r="G419" s="11" t="s">
        <v>390</v>
      </c>
      <c r="H419" s="11" t="s">
        <v>463</v>
      </c>
      <c r="I419" s="30">
        <v>5.0</v>
      </c>
      <c r="J419" s="31">
        <v>2.0</v>
      </c>
      <c r="K419" s="11">
        <v>100.0</v>
      </c>
      <c r="L419" s="32">
        <f>(40000)/P419</f>
        <v>2.463054187</v>
      </c>
      <c r="M419" s="32">
        <f t="shared" si="118"/>
        <v>0.01237684729</v>
      </c>
      <c r="N419" s="32">
        <f t="shared" si="119"/>
        <v>0.4926108374</v>
      </c>
      <c r="O419" s="32">
        <v>0.0</v>
      </c>
      <c r="P419" s="33">
        <v>16240.0</v>
      </c>
      <c r="Q419" s="34">
        <v>200.0</v>
      </c>
      <c r="R419" s="42">
        <v>4.926108374384237</v>
      </c>
      <c r="S419" s="36">
        <v>0.012376847290640394</v>
      </c>
      <c r="T419" s="36">
        <v>0.49261083743842365</v>
      </c>
      <c r="U419" s="36"/>
      <c r="V419" s="36">
        <v>4.445874384236453</v>
      </c>
      <c r="W419" s="37">
        <v>0.022229371921182267</v>
      </c>
      <c r="X419" s="42">
        <v>80000.0</v>
      </c>
      <c r="Y419" s="36">
        <v>201.0</v>
      </c>
      <c r="Z419" s="36">
        <v>8000.0</v>
      </c>
      <c r="AA419" s="36"/>
      <c r="AB419" s="36">
        <v>72201.0</v>
      </c>
      <c r="AC419" s="37">
        <v>361.005</v>
      </c>
      <c r="AD419" s="31"/>
      <c r="AE419" s="11"/>
      <c r="AF419" s="11"/>
    </row>
    <row r="420">
      <c r="A420" s="11" t="s">
        <v>450</v>
      </c>
      <c r="B420" s="39">
        <v>45621.541666666664</v>
      </c>
      <c r="C420" s="40">
        <v>45624.67222222222</v>
      </c>
      <c r="D420" s="27" t="s">
        <v>37</v>
      </c>
      <c r="E420" s="11" t="b">
        <v>0</v>
      </c>
      <c r="F420" s="11" t="s">
        <v>38</v>
      </c>
      <c r="G420" s="11" t="s">
        <v>362</v>
      </c>
      <c r="H420" s="11" t="s">
        <v>464</v>
      </c>
      <c r="I420" s="30">
        <v>5.0</v>
      </c>
      <c r="J420" s="31">
        <v>2.0</v>
      </c>
      <c r="K420" s="11">
        <v>1000.0</v>
      </c>
      <c r="L420" s="32">
        <f>(400000)/P420</f>
        <v>25.15565059</v>
      </c>
      <c r="M420" s="32">
        <f>(1000/4)/P420</f>
        <v>0.01572228162</v>
      </c>
      <c r="N420" s="32">
        <f>(96000)/P420</f>
        <v>6.037356141</v>
      </c>
      <c r="O420" s="32">
        <v>0.0</v>
      </c>
      <c r="P420" s="33">
        <v>15901.0</v>
      </c>
      <c r="Q420" s="34">
        <v>2000.0</v>
      </c>
      <c r="R420" s="42">
        <v>50.31130117602667</v>
      </c>
      <c r="S420" s="36">
        <v>0.015722281617508334</v>
      </c>
      <c r="T420" s="36">
        <v>6.0373561411232</v>
      </c>
      <c r="U420" s="36"/>
      <c r="V420" s="36">
        <v>44.289667316520976</v>
      </c>
      <c r="W420" s="37">
        <v>0.022144833658260487</v>
      </c>
      <c r="X420" s="42">
        <v>800000.0</v>
      </c>
      <c r="Y420" s="36">
        <v>250.00000000000003</v>
      </c>
      <c r="Z420" s="36">
        <v>96000.0</v>
      </c>
      <c r="AA420" s="36"/>
      <c r="AB420" s="36">
        <v>704250.0</v>
      </c>
      <c r="AC420" s="37">
        <v>352.125</v>
      </c>
      <c r="AD420" s="31"/>
      <c r="AE420" s="11"/>
      <c r="AF420" s="11"/>
    </row>
    <row r="421">
      <c r="A421" s="11" t="s">
        <v>450</v>
      </c>
      <c r="B421" s="39">
        <v>45604.98055555556</v>
      </c>
      <c r="C421" s="40">
        <v>45607.41180555556</v>
      </c>
      <c r="D421" s="27" t="s">
        <v>37</v>
      </c>
      <c r="E421" s="11" t="b">
        <v>0</v>
      </c>
      <c r="F421" s="11" t="s">
        <v>38</v>
      </c>
      <c r="G421" s="11" t="s">
        <v>362</v>
      </c>
      <c r="H421" s="11" t="s">
        <v>418</v>
      </c>
      <c r="I421" s="30">
        <v>5.0</v>
      </c>
      <c r="J421" s="31">
        <v>300.0</v>
      </c>
      <c r="K421" s="11">
        <v>1.0</v>
      </c>
      <c r="L421" s="32">
        <f t="shared" ref="L421:L422" si="120">(400)/P421</f>
        <v>0.0255330014</v>
      </c>
      <c r="M421" s="32">
        <f>(1000/3)/P421</f>
        <v>0.02127750117</v>
      </c>
      <c r="N421" s="32">
        <f>(9600)/P421</f>
        <v>0.6127920337</v>
      </c>
      <c r="O421" s="32">
        <v>0.0</v>
      </c>
      <c r="P421" s="33">
        <v>15666.0</v>
      </c>
      <c r="Q421" s="34">
        <v>300.0</v>
      </c>
      <c r="R421" s="42">
        <v>7.659900421294523</v>
      </c>
      <c r="S421" s="36">
        <v>0.021277501170262562</v>
      </c>
      <c r="T421" s="36">
        <v>0.6127920337035618</v>
      </c>
      <c r="U421" s="36"/>
      <c r="V421" s="36">
        <v>7.068385888761224</v>
      </c>
      <c r="W421" s="37">
        <v>0.023561286295870745</v>
      </c>
      <c r="X421" s="42">
        <v>120000.0</v>
      </c>
      <c r="Y421" s="36">
        <v>333.3333333333333</v>
      </c>
      <c r="Z421" s="36">
        <v>9600.0</v>
      </c>
      <c r="AA421" s="36"/>
      <c r="AB421" s="36">
        <v>110733.33333333333</v>
      </c>
      <c r="AC421" s="37">
        <v>369.1111111111111</v>
      </c>
      <c r="AD421" s="31"/>
      <c r="AE421" s="11"/>
      <c r="AF421" s="11"/>
    </row>
    <row r="422">
      <c r="A422" s="11" t="s">
        <v>450</v>
      </c>
      <c r="B422" s="39">
        <v>45473.41805555556</v>
      </c>
      <c r="C422" s="40">
        <v>45479.5375</v>
      </c>
      <c r="D422" s="27" t="s">
        <v>33</v>
      </c>
      <c r="E422" s="11" t="b">
        <v>0</v>
      </c>
      <c r="F422" s="11" t="s">
        <v>38</v>
      </c>
      <c r="G422" s="11" t="s">
        <v>465</v>
      </c>
      <c r="H422" s="11" t="s">
        <v>466</v>
      </c>
      <c r="I422" s="30">
        <v>5.0</v>
      </c>
      <c r="J422" s="31">
        <v>1600.0</v>
      </c>
      <c r="K422" s="11">
        <v>1.0</v>
      </c>
      <c r="L422" s="32">
        <f t="shared" si="120"/>
        <v>0.0244648318</v>
      </c>
      <c r="M422" s="32">
        <f>(515)/P422</f>
        <v>0.03149847095</v>
      </c>
      <c r="N422" s="32">
        <f>(51200)/P422</f>
        <v>3.131498471</v>
      </c>
      <c r="O422" s="32">
        <v>0.0</v>
      </c>
      <c r="P422" s="33">
        <v>16350.0</v>
      </c>
      <c r="Q422" s="34">
        <v>1600.0</v>
      </c>
      <c r="R422" s="42">
        <v>39.14373088685015</v>
      </c>
      <c r="S422" s="36">
        <v>0.03149847094801223</v>
      </c>
      <c r="T422" s="36">
        <v>3.1314984709480123</v>
      </c>
      <c r="U422" s="36"/>
      <c r="V422" s="36">
        <v>36.043730886850156</v>
      </c>
      <c r="W422" s="37">
        <v>0.022527331804281348</v>
      </c>
      <c r="X422" s="42">
        <v>640000.0</v>
      </c>
      <c r="Y422" s="36">
        <v>515.0</v>
      </c>
      <c r="Z422" s="36">
        <v>51200.0</v>
      </c>
      <c r="AA422" s="36"/>
      <c r="AB422" s="36">
        <v>589315.0</v>
      </c>
      <c r="AC422" s="37">
        <v>368.321875</v>
      </c>
      <c r="AD422" s="31"/>
      <c r="AE422" s="11"/>
      <c r="AF422" s="11"/>
    </row>
    <row r="423">
      <c r="A423" s="11" t="s">
        <v>450</v>
      </c>
      <c r="B423" s="39">
        <v>45461.885416666664</v>
      </c>
      <c r="C423" s="40">
        <v>45464.458333333336</v>
      </c>
      <c r="D423" s="27" t="s">
        <v>37</v>
      </c>
      <c r="E423" s="11" t="b">
        <v>0</v>
      </c>
      <c r="F423" s="11" t="s">
        <v>38</v>
      </c>
      <c r="G423" s="11" t="s">
        <v>323</v>
      </c>
      <c r="H423" s="11" t="s">
        <v>467</v>
      </c>
      <c r="I423" s="30">
        <v>5.0</v>
      </c>
      <c r="J423" s="31">
        <v>600.0</v>
      </c>
      <c r="K423" s="11">
        <v>1.0</v>
      </c>
      <c r="L423" s="32">
        <f>(375)/P423</f>
        <v>0.02274657285</v>
      </c>
      <c r="M423" s="32">
        <f>(1000)/P423</f>
        <v>0.0606575276</v>
      </c>
      <c r="N423" s="32">
        <f>(4500)/P423</f>
        <v>0.2729588742</v>
      </c>
      <c r="O423" s="32">
        <v>0.0</v>
      </c>
      <c r="P423" s="33">
        <v>16486.0</v>
      </c>
      <c r="Q423" s="34">
        <v>600.0</v>
      </c>
      <c r="R423" s="42">
        <v>13.647943709814388</v>
      </c>
      <c r="S423" s="36">
        <v>0.06065752759917506</v>
      </c>
      <c r="T423" s="36">
        <v>0.2729588741962878</v>
      </c>
      <c r="U423" s="36"/>
      <c r="V423" s="36">
        <v>13.435642363217276</v>
      </c>
      <c r="W423" s="37">
        <v>0.022392737272028795</v>
      </c>
      <c r="X423" s="42">
        <v>225000.0</v>
      </c>
      <c r="Y423" s="36">
        <v>1000.0</v>
      </c>
      <c r="Z423" s="36">
        <v>4500.0</v>
      </c>
      <c r="AA423" s="36"/>
      <c r="AB423" s="36">
        <v>221500.00000000003</v>
      </c>
      <c r="AC423" s="37">
        <v>369.16666666666674</v>
      </c>
      <c r="AD423" s="31"/>
      <c r="AE423" s="11"/>
      <c r="AF423" s="11"/>
    </row>
    <row r="424">
      <c r="A424" s="11" t="s">
        <v>450</v>
      </c>
      <c r="B424" s="39">
        <v>45453.34652777778</v>
      </c>
      <c r="C424" s="40">
        <v>45456.59444444445</v>
      </c>
      <c r="D424" s="27" t="s">
        <v>33</v>
      </c>
      <c r="E424" s="11" t="b">
        <v>0</v>
      </c>
      <c r="F424" s="11" t="s">
        <v>38</v>
      </c>
      <c r="G424" s="11" t="s">
        <v>362</v>
      </c>
      <c r="H424" s="11" t="s">
        <v>468</v>
      </c>
      <c r="I424" s="30">
        <v>5.0</v>
      </c>
      <c r="J424" s="31">
        <v>1300.0</v>
      </c>
      <c r="K424" s="11">
        <v>1.0</v>
      </c>
      <c r="L424" s="32">
        <f>(400)/P424</f>
        <v>0.02451130584</v>
      </c>
      <c r="M424" s="32">
        <f>(793)/P424</f>
        <v>0.04859366383</v>
      </c>
      <c r="N424" s="32">
        <f>(10398)/P424</f>
        <v>0.6371713953</v>
      </c>
      <c r="O424" s="32">
        <v>0.0</v>
      </c>
      <c r="P424" s="33">
        <v>16319.0</v>
      </c>
      <c r="Q424" s="34">
        <v>1300.0</v>
      </c>
      <c r="R424" s="42">
        <v>31.8646975917642</v>
      </c>
      <c r="S424" s="36">
        <v>0.04859366382744041</v>
      </c>
      <c r="T424" s="36">
        <v>0.6371713953060849</v>
      </c>
      <c r="U424" s="36"/>
      <c r="V424" s="36">
        <v>31.276119860285558</v>
      </c>
      <c r="W424" s="37">
        <v>0.0240585537386812</v>
      </c>
      <c r="X424" s="42">
        <v>520000.0</v>
      </c>
      <c r="Y424" s="36">
        <v>793.0</v>
      </c>
      <c r="Z424" s="36">
        <v>10398.0</v>
      </c>
      <c r="AA424" s="36"/>
      <c r="AB424" s="36">
        <v>510395.0</v>
      </c>
      <c r="AC424" s="37">
        <v>392.6115384615385</v>
      </c>
      <c r="AD424" s="31"/>
      <c r="AE424" s="11"/>
      <c r="AF424" s="11"/>
    </row>
    <row r="425">
      <c r="A425" s="11" t="s">
        <v>450</v>
      </c>
      <c r="B425" s="39">
        <v>45451.85763888889</v>
      </c>
      <c r="C425" s="40">
        <v>45456.51388888889</v>
      </c>
      <c r="D425" s="27" t="s">
        <v>33</v>
      </c>
      <c r="E425" s="11" t="b">
        <v>0</v>
      </c>
      <c r="F425" s="11" t="s">
        <v>38</v>
      </c>
      <c r="G425" s="11" t="s">
        <v>323</v>
      </c>
      <c r="H425" s="11" t="s">
        <v>469</v>
      </c>
      <c r="I425" s="30">
        <v>5.0</v>
      </c>
      <c r="J425" s="31">
        <v>400.0</v>
      </c>
      <c r="K425" s="11">
        <v>1.0</v>
      </c>
      <c r="L425" s="32">
        <f>(375)/P425</f>
        <v>0.02304005898</v>
      </c>
      <c r="M425" s="32">
        <f t="shared" ref="M425:M426" si="121">(1000)/P425</f>
        <v>0.06144015729</v>
      </c>
      <c r="N425" s="32">
        <f>(3000)/P425</f>
        <v>0.1843204719</v>
      </c>
      <c r="O425" s="32">
        <v>0.0</v>
      </c>
      <c r="P425" s="33">
        <v>16276.0</v>
      </c>
      <c r="Q425" s="34">
        <v>400.0</v>
      </c>
      <c r="R425" s="42">
        <v>9.216023593020397</v>
      </c>
      <c r="S425" s="36">
        <v>0.06144015728680265</v>
      </c>
      <c r="T425" s="36">
        <v>0.18432047186040795</v>
      </c>
      <c r="U425" s="36"/>
      <c r="V425" s="36">
        <v>9.093143278446792</v>
      </c>
      <c r="W425" s="37">
        <v>0.022732858196116982</v>
      </c>
      <c r="X425" s="42">
        <v>149999.99999999997</v>
      </c>
      <c r="Y425" s="36">
        <v>1000.0</v>
      </c>
      <c r="Z425" s="36">
        <v>3000.0</v>
      </c>
      <c r="AA425" s="36"/>
      <c r="AB425" s="36">
        <v>148000.0</v>
      </c>
      <c r="AC425" s="37">
        <v>370.0</v>
      </c>
      <c r="AD425" s="31"/>
      <c r="AE425" s="11"/>
      <c r="AF425" s="11"/>
    </row>
    <row r="426">
      <c r="A426" s="11" t="s">
        <v>450</v>
      </c>
      <c r="B426" s="39">
        <v>45429.858923101856</v>
      </c>
      <c r="C426" s="40">
        <v>45431.729166666664</v>
      </c>
      <c r="D426" s="27" t="s">
        <v>33</v>
      </c>
      <c r="E426" s="11" t="b">
        <v>0</v>
      </c>
      <c r="F426" s="11" t="s">
        <v>38</v>
      </c>
      <c r="G426" s="11" t="s">
        <v>390</v>
      </c>
      <c r="H426" s="11" t="s">
        <v>470</v>
      </c>
      <c r="I426" s="30">
        <v>5.0</v>
      </c>
      <c r="J426" s="31">
        <v>2500.0</v>
      </c>
      <c r="K426" s="11">
        <v>1.0</v>
      </c>
      <c r="L426" s="32">
        <f t="shared" ref="L426:L427" si="122">(400)/P426</f>
        <v>0.02503598923</v>
      </c>
      <c r="M426" s="32">
        <f t="shared" si="121"/>
        <v>0.06258997309</v>
      </c>
      <c r="N426" s="32">
        <f>(100000 + 4500)/P426</f>
        <v>6.540652188</v>
      </c>
      <c r="O426" s="32">
        <v>0.0</v>
      </c>
      <c r="P426" s="33">
        <v>15977.0</v>
      </c>
      <c r="Q426" s="34">
        <v>2500.0</v>
      </c>
      <c r="R426" s="42">
        <v>62.58997308631157</v>
      </c>
      <c r="S426" s="36">
        <v>0.06258997308631158</v>
      </c>
      <c r="T426" s="36">
        <v>6.54065218751956</v>
      </c>
      <c r="U426" s="36"/>
      <c r="V426" s="36">
        <v>56.11191087187832</v>
      </c>
      <c r="W426" s="37">
        <v>0.02244476434875133</v>
      </c>
      <c r="X426" s="42">
        <v>1000000.0</v>
      </c>
      <c r="Y426" s="36">
        <v>1000.0</v>
      </c>
      <c r="Z426" s="36">
        <v>104500.0</v>
      </c>
      <c r="AA426" s="36"/>
      <c r="AB426" s="36">
        <v>896500.0</v>
      </c>
      <c r="AC426" s="37">
        <v>358.6</v>
      </c>
      <c r="AD426" s="31"/>
      <c r="AE426" s="11"/>
      <c r="AF426" s="11"/>
    </row>
    <row r="427">
      <c r="A427" s="11" t="s">
        <v>450</v>
      </c>
      <c r="B427" s="39">
        <v>45421.770833333336</v>
      </c>
      <c r="C427" s="40">
        <v>45425.56707704861</v>
      </c>
      <c r="D427" s="27" t="s">
        <v>37</v>
      </c>
      <c r="E427" s="11" t="b">
        <v>0</v>
      </c>
      <c r="F427" s="11" t="s">
        <v>38</v>
      </c>
      <c r="G427" s="11" t="s">
        <v>390</v>
      </c>
      <c r="H427" s="11" t="s">
        <v>471</v>
      </c>
      <c r="I427" s="30">
        <v>5.0</v>
      </c>
      <c r="J427" s="31">
        <v>900.0</v>
      </c>
      <c r="K427" s="11">
        <v>1.0</v>
      </c>
      <c r="L427" s="32">
        <f t="shared" si="122"/>
        <v>0.0248849073</v>
      </c>
      <c r="M427" s="32">
        <f>(363)/P427</f>
        <v>0.02258305338</v>
      </c>
      <c r="N427" s="32">
        <f>(36000)/P427</f>
        <v>2.239641657</v>
      </c>
      <c r="O427" s="32">
        <v>0.0</v>
      </c>
      <c r="P427" s="33">
        <v>16074.0</v>
      </c>
      <c r="Q427" s="34">
        <v>900.0</v>
      </c>
      <c r="R427" s="42">
        <v>22.396416573348265</v>
      </c>
      <c r="S427" s="36">
        <v>0.022583053378126168</v>
      </c>
      <c r="T427" s="36">
        <v>2.2396416573348263</v>
      </c>
      <c r="U427" s="36"/>
      <c r="V427" s="36">
        <v>20.179357969391567</v>
      </c>
      <c r="W427" s="37">
        <v>0.02242150885487952</v>
      </c>
      <c r="X427" s="42">
        <v>360000.0</v>
      </c>
      <c r="Y427" s="36">
        <v>363.0</v>
      </c>
      <c r="Z427" s="36">
        <v>36000.0</v>
      </c>
      <c r="AA427" s="36"/>
      <c r="AB427" s="36">
        <v>324363.00000000006</v>
      </c>
      <c r="AC427" s="37">
        <v>360.4033333333334</v>
      </c>
      <c r="AD427" s="31"/>
      <c r="AE427" s="11"/>
      <c r="AF427" s="11"/>
    </row>
    <row r="428">
      <c r="A428" s="11" t="s">
        <v>472</v>
      </c>
      <c r="B428" s="39">
        <v>45085.0</v>
      </c>
      <c r="C428" s="40">
        <v>45129.0</v>
      </c>
      <c r="D428" s="27" t="s">
        <v>33</v>
      </c>
      <c r="E428" s="11" t="b">
        <v>1</v>
      </c>
      <c r="F428" s="11" t="s">
        <v>46</v>
      </c>
      <c r="G428" s="11" t="s">
        <v>46</v>
      </c>
      <c r="H428" s="11" t="s">
        <v>159</v>
      </c>
      <c r="I428" s="30">
        <v>5.0</v>
      </c>
      <c r="J428" s="31">
        <v>10000.0</v>
      </c>
      <c r="K428" s="11">
        <v>1.0</v>
      </c>
      <c r="L428" s="32">
        <f>(572)/P428</f>
        <v>0.03838926174</v>
      </c>
      <c r="M428" s="32">
        <v>0.0</v>
      </c>
      <c r="N428" s="32">
        <v>0.0</v>
      </c>
      <c r="O428" s="32">
        <v>0.0</v>
      </c>
      <c r="P428" s="33">
        <v>14900.0</v>
      </c>
      <c r="Q428" s="34">
        <v>10000.0</v>
      </c>
      <c r="R428" s="42">
        <v>383.89261744966444</v>
      </c>
      <c r="S428" s="36"/>
      <c r="T428" s="36"/>
      <c r="U428" s="36"/>
      <c r="V428" s="36">
        <v>383.89261744966444</v>
      </c>
      <c r="W428" s="37">
        <v>0.038389261744966444</v>
      </c>
      <c r="X428" s="42">
        <v>5720000.0</v>
      </c>
      <c r="Y428" s="36"/>
      <c r="Z428" s="36"/>
      <c r="AA428" s="36"/>
      <c r="AB428" s="36">
        <v>5720000.0</v>
      </c>
      <c r="AC428" s="37">
        <v>572.0</v>
      </c>
      <c r="AD428" s="31"/>
      <c r="AE428" s="11"/>
      <c r="AF428" s="11"/>
    </row>
    <row r="429">
      <c r="A429" s="11" t="s">
        <v>472</v>
      </c>
      <c r="B429" s="39">
        <v>44181.626151435186</v>
      </c>
      <c r="C429" s="40">
        <v>44191.0</v>
      </c>
      <c r="D429" s="27" t="s">
        <v>163</v>
      </c>
      <c r="E429" s="11" t="b">
        <v>1</v>
      </c>
      <c r="F429" s="11" t="s">
        <v>49</v>
      </c>
      <c r="G429" s="124" t="s">
        <v>473</v>
      </c>
      <c r="H429" s="46" t="s">
        <v>474</v>
      </c>
      <c r="I429" s="30">
        <v>5.0</v>
      </c>
      <c r="J429" s="31">
        <v>50.0</v>
      </c>
      <c r="K429" s="11">
        <v>10.0</v>
      </c>
      <c r="L429" s="32">
        <f>10849/P429</f>
        <v>1.0849</v>
      </c>
      <c r="M429" s="32">
        <f>12000/P429</f>
        <v>1.2</v>
      </c>
      <c r="N429" s="32">
        <v>0.0</v>
      </c>
      <c r="O429" s="32">
        <f>9/P429</f>
        <v>0.0009</v>
      </c>
      <c r="P429" s="33">
        <v>10000.0</v>
      </c>
      <c r="Q429" s="34">
        <v>500.0</v>
      </c>
      <c r="R429" s="42">
        <v>54.245</v>
      </c>
      <c r="S429" s="36">
        <v>1.2</v>
      </c>
      <c r="T429" s="36"/>
      <c r="U429" s="36">
        <v>9.0E-4</v>
      </c>
      <c r="V429" s="36">
        <v>55.4441</v>
      </c>
      <c r="W429" s="37">
        <v>0.11088819999999999</v>
      </c>
      <c r="X429" s="42">
        <v>542450.0</v>
      </c>
      <c r="Y429" s="36">
        <v>12000.0</v>
      </c>
      <c r="Z429" s="36"/>
      <c r="AA429" s="36">
        <v>9.0</v>
      </c>
      <c r="AB429" s="36">
        <v>554441.0</v>
      </c>
      <c r="AC429" s="37">
        <v>1108.882</v>
      </c>
      <c r="AD429" s="31"/>
      <c r="AE429" s="11"/>
      <c r="AF429" s="11"/>
    </row>
    <row r="430">
      <c r="A430" s="11" t="s">
        <v>472</v>
      </c>
      <c r="B430" s="39">
        <v>43590.40834466435</v>
      </c>
      <c r="C430" s="40">
        <v>43602.03756473379</v>
      </c>
      <c r="D430" s="27" t="s">
        <v>56</v>
      </c>
      <c r="E430" s="11" t="b">
        <v>1</v>
      </c>
      <c r="F430" s="11" t="s">
        <v>49</v>
      </c>
      <c r="G430" s="59" t="str">
        <f>"https://shopee.co.id/10PCS-UA741-DIP8-UA741CN-DIP-Operational-Amplifier-New-i.98113849.2173130535"</f>
        <v>https://shopee.co.id/10PCS-UA741-DIP8-UA741CN-DIP-Operational-Amplifier-New-i.98113849.2173130535</v>
      </c>
      <c r="H430" s="46" t="s">
        <v>475</v>
      </c>
      <c r="I430" s="33">
        <v>5.0</v>
      </c>
      <c r="J430" s="31">
        <v>15.0</v>
      </c>
      <c r="K430" s="11">
        <v>10.0</v>
      </c>
      <c r="L430" s="32">
        <f>6880/P430</f>
        <v>0.688</v>
      </c>
      <c r="M430" s="32">
        <f>10000/P430</f>
        <v>1</v>
      </c>
      <c r="N430" s="32"/>
      <c r="O430" s="32">
        <f>10000/P430</f>
        <v>1</v>
      </c>
      <c r="P430" s="33">
        <v>10000.0</v>
      </c>
      <c r="Q430" s="34">
        <v>150.0</v>
      </c>
      <c r="R430" s="42">
        <v>10.319999999999999</v>
      </c>
      <c r="S430" s="36">
        <v>1.0</v>
      </c>
      <c r="T430" s="36"/>
      <c r="U430" s="36">
        <v>1.0</v>
      </c>
      <c r="V430" s="36">
        <v>10.319999999999999</v>
      </c>
      <c r="W430" s="37">
        <v>0.06879999999999999</v>
      </c>
      <c r="X430" s="42">
        <v>103199.99999999999</v>
      </c>
      <c r="Y430" s="36">
        <v>10000.0</v>
      </c>
      <c r="Z430" s="36"/>
      <c r="AA430" s="36">
        <v>10000.0</v>
      </c>
      <c r="AB430" s="36">
        <v>103199.99999999999</v>
      </c>
      <c r="AC430" s="37">
        <v>687.9999999999999</v>
      </c>
      <c r="AD430" s="31">
        <v>1500.0</v>
      </c>
      <c r="AE430" s="11">
        <v>1500.0</v>
      </c>
      <c r="AF430" s="11"/>
    </row>
    <row r="431">
      <c r="A431" s="11" t="s">
        <v>472</v>
      </c>
      <c r="B431" s="39">
        <v>43571.0</v>
      </c>
      <c r="C431" s="40">
        <v>43596.0</v>
      </c>
      <c r="D431" s="27" t="s">
        <v>68</v>
      </c>
      <c r="E431" s="11" t="b">
        <v>1</v>
      </c>
      <c r="F431" s="11" t="s">
        <v>57</v>
      </c>
      <c r="G431" s="59" t="str">
        <f>"https://www.aliexpress.com/item/10PCS-LOT-UA741CN-UA741-UA741CP-LM741-741-DIP8-Best-quality-New-original/32870786740.html?spm=a2g0s.12269583.0.0.77aa6a56UytRjQ"</f>
        <v>https://www.aliexpress.com/item/10PCS-LOT-UA741CN-UA741-UA741CP-LM741-741-DIP8-Best-quality-New-original/32870786740.html?spm=a2g0s.12269583.0.0.77aa6a56UytRjQ</v>
      </c>
      <c r="H431" s="46" t="s">
        <v>476</v>
      </c>
      <c r="I431" s="33">
        <v>5.0</v>
      </c>
      <c r="J431" s="31">
        <v>100.0</v>
      </c>
      <c r="K431" s="11">
        <v>10.0</v>
      </c>
      <c r="L431" s="32">
        <v>0.6</v>
      </c>
      <c r="M431" s="32">
        <v>0.0</v>
      </c>
      <c r="N431" s="32">
        <v>1.0</v>
      </c>
      <c r="O431" s="32">
        <v>0.0</v>
      </c>
      <c r="P431" s="58">
        <f>846473/(100*0.6 - 1)</f>
        <v>14347</v>
      </c>
      <c r="Q431" s="34">
        <v>1000.0</v>
      </c>
      <c r="R431" s="42">
        <v>60.0</v>
      </c>
      <c r="S431" s="36"/>
      <c r="T431" s="36">
        <v>1.0</v>
      </c>
      <c r="U431" s="36"/>
      <c r="V431" s="36">
        <v>59.0</v>
      </c>
      <c r="W431" s="37">
        <v>0.059</v>
      </c>
      <c r="X431" s="42">
        <v>860820.0</v>
      </c>
      <c r="Y431" s="36"/>
      <c r="Z431" s="36">
        <v>14347.0</v>
      </c>
      <c r="AA431" s="36"/>
      <c r="AB431" s="36">
        <v>846473.0</v>
      </c>
      <c r="AC431" s="37">
        <v>846.473</v>
      </c>
      <c r="AD431" s="99">
        <v>1400.0</v>
      </c>
      <c r="AE431" s="11">
        <v>1500.0</v>
      </c>
      <c r="AF431" s="11"/>
    </row>
    <row r="432">
      <c r="A432" s="11" t="s">
        <v>472</v>
      </c>
      <c r="B432" s="39">
        <v>43561.470671539355</v>
      </c>
      <c r="C432" s="40">
        <f>B432</f>
        <v>43561.47067</v>
      </c>
      <c r="D432" s="27" t="s">
        <v>66</v>
      </c>
      <c r="E432" s="11" t="b">
        <v>0</v>
      </c>
      <c r="F432" s="29" t="s">
        <v>67</v>
      </c>
      <c r="G432" s="29" t="s">
        <v>67</v>
      </c>
      <c r="H432" s="29" t="s">
        <v>67</v>
      </c>
      <c r="I432" s="33"/>
      <c r="J432" s="31">
        <v>200.0</v>
      </c>
      <c r="K432" s="11">
        <v>1.0</v>
      </c>
      <c r="L432" s="36">
        <f>1000/P432</f>
        <v>0.1</v>
      </c>
      <c r="M432" s="32">
        <v>0.0</v>
      </c>
      <c r="N432" s="32">
        <v>0.0</v>
      </c>
      <c r="O432" s="32">
        <v>0.0</v>
      </c>
      <c r="P432" s="33">
        <v>10000.0</v>
      </c>
      <c r="Q432" s="34">
        <v>200.0</v>
      </c>
      <c r="R432" s="42">
        <v>20.0</v>
      </c>
      <c r="S432" s="36"/>
      <c r="T432" s="36"/>
      <c r="U432" s="36"/>
      <c r="V432" s="36">
        <v>20.0</v>
      </c>
      <c r="W432" s="37">
        <v>0.1</v>
      </c>
      <c r="X432" s="42">
        <v>200000.0</v>
      </c>
      <c r="Y432" s="36"/>
      <c r="Z432" s="36"/>
      <c r="AA432" s="36"/>
      <c r="AB432" s="36">
        <v>200000.0</v>
      </c>
      <c r="AC432" s="37">
        <v>1000.0</v>
      </c>
      <c r="AD432" s="99">
        <v>1400.0</v>
      </c>
      <c r="AE432" s="11">
        <v>1500.0</v>
      </c>
      <c r="AF432" s="11"/>
    </row>
    <row r="433">
      <c r="A433" s="46" t="s">
        <v>472</v>
      </c>
      <c r="B433" s="39">
        <v>43428.0</v>
      </c>
      <c r="C433" s="40">
        <v>43446.0</v>
      </c>
      <c r="D433" s="27" t="s">
        <v>68</v>
      </c>
      <c r="E433" s="11" t="b">
        <v>1</v>
      </c>
      <c r="F433" s="11" t="s">
        <v>57</v>
      </c>
      <c r="G433" s="97" t="str">
        <f>"https://www.aliexpress.com/item/500PCS-LOT-UA741CN-UA741-741CN-741-DIP8/32862231145.html?spm=2114.search0104.3.153.a9e96cc6PbKjxA&amp;ws_ab_test=searchweb0_0,searchweb201602_5_10065_10068_5734615_319_317_10696_453_10084_10924_454_10083_10618_10920_10921_10307"&amp;"_10922_537_536_10059_10884_10887_100031_321_322_10103_5734515,searchweb201603_1,ppcSwitch_0&amp;algo_expid=a7525bcc-3f0f-4c43-a336-01c2083dfd49-23&amp;algo_pvid=a7525bcc-3f0f-4c43-a336-01c2083dfd49"</f>
        <v>https://www.aliexpress.com/item/500PCS-LOT-UA741CN-UA741-741CN-741-DIP8/32862231145.html?spm=2114.search0104.3.153.a9e96cc6PbKjxA&amp;ws_ab_test=searchweb0_0,searchweb201602_5_10065_10068_5734615_319_317_10696_453_10084_10924_454_10083_10618_10920_10921_10307_10922_537_536_10059_10884_10887_100031_321_322_10103_5734515,searchweb201603_1,ppcSwitch_0&amp;algo_expid=a7525bcc-3f0f-4c43-a336-01c2083dfd49-23&amp;algo_pvid=a7525bcc-3f0f-4c43-a336-01c2083dfd49</v>
      </c>
      <c r="H433" s="11" t="s">
        <v>477</v>
      </c>
      <c r="I433" s="98"/>
      <c r="J433" s="99">
        <v>1.0</v>
      </c>
      <c r="K433" s="46">
        <v>500.0</v>
      </c>
      <c r="L433" s="100">
        <v>30.5</v>
      </c>
      <c r="M433" s="105"/>
      <c r="N433" s="101">
        <v>2.95</v>
      </c>
      <c r="O433" s="101">
        <v>0.0</v>
      </c>
      <c r="P433" s="102">
        <f>693911/(30.5*1 + (4.25*3 + 4.25*2) - 5)</f>
        <v>14843.01604</v>
      </c>
      <c r="Q433" s="103">
        <v>500.0</v>
      </c>
      <c r="R433" s="104">
        <v>30.5</v>
      </c>
      <c r="S433" s="105"/>
      <c r="T433" s="105">
        <v>2.95</v>
      </c>
      <c r="U433" s="105"/>
      <c r="V433" s="105">
        <v>27.55</v>
      </c>
      <c r="W433" s="106">
        <v>0.0551</v>
      </c>
      <c r="X433" s="104">
        <v>452711.98930481286</v>
      </c>
      <c r="Y433" s="105"/>
      <c r="Z433" s="105">
        <v>43786.897326203216</v>
      </c>
      <c r="AA433" s="105"/>
      <c r="AB433" s="105">
        <v>408925.0919786097</v>
      </c>
      <c r="AC433" s="106">
        <v>817.8501839572193</v>
      </c>
      <c r="AD433" s="99">
        <v>1400.0</v>
      </c>
      <c r="AE433" s="46">
        <v>1500.0</v>
      </c>
      <c r="AF433" s="46"/>
    </row>
    <row r="434">
      <c r="A434" s="11" t="s">
        <v>478</v>
      </c>
      <c r="B434" s="39">
        <v>45719.75833333333</v>
      </c>
      <c r="C434" s="40">
        <v>45722.46597222222</v>
      </c>
      <c r="D434" s="27" t="s">
        <v>33</v>
      </c>
      <c r="E434" s="11" t="b">
        <v>0</v>
      </c>
      <c r="F434" s="11" t="s">
        <v>38</v>
      </c>
      <c r="G434" s="11" t="s">
        <v>362</v>
      </c>
      <c r="H434" s="11" t="s">
        <v>479</v>
      </c>
      <c r="I434" s="30">
        <v>5.0</v>
      </c>
      <c r="J434" s="31">
        <v>2.0</v>
      </c>
      <c r="K434" s="11">
        <v>1000.0</v>
      </c>
      <c r="L434" s="32">
        <f>(1000000)/P434</f>
        <v>60.35003018</v>
      </c>
      <c r="M434" s="32">
        <f t="shared" ref="M434:M435" si="123">(1000)/P434</f>
        <v>0.06035003018</v>
      </c>
      <c r="N434" s="32">
        <f>(X434*7% + X434*7.5%)/P434</f>
        <v>17.50150875</v>
      </c>
      <c r="O434" s="32">
        <v>0.0</v>
      </c>
      <c r="P434" s="33">
        <v>16570.0</v>
      </c>
      <c r="Q434" s="34">
        <v>2000.0</v>
      </c>
      <c r="R434" s="42">
        <v>120.70006035003017</v>
      </c>
      <c r="S434" s="36">
        <v>0.060350030175015085</v>
      </c>
      <c r="T434" s="36">
        <v>17.501508750754375</v>
      </c>
      <c r="U434" s="36"/>
      <c r="V434" s="36">
        <v>103.2589016294508</v>
      </c>
      <c r="W434" s="37">
        <v>0.051629450814725406</v>
      </c>
      <c r="X434" s="42">
        <v>2000000.0</v>
      </c>
      <c r="Y434" s="36">
        <v>1000.0</v>
      </c>
      <c r="Z434" s="36">
        <v>290000.0</v>
      </c>
      <c r="AA434" s="36"/>
      <c r="AB434" s="36">
        <v>1710999.9999999998</v>
      </c>
      <c r="AC434" s="37">
        <v>855.4999999999999</v>
      </c>
      <c r="AD434" s="31"/>
      <c r="AE434" s="11"/>
      <c r="AF434" s="11"/>
    </row>
    <row r="435">
      <c r="A435" s="11" t="s">
        <v>478</v>
      </c>
      <c r="B435" s="39">
        <v>45624.69861111111</v>
      </c>
      <c r="C435" s="40">
        <v>45627.625</v>
      </c>
      <c r="D435" s="27" t="s">
        <v>33</v>
      </c>
      <c r="E435" s="11" t="b">
        <v>0</v>
      </c>
      <c r="F435" s="11" t="s">
        <v>38</v>
      </c>
      <c r="G435" s="11" t="s">
        <v>362</v>
      </c>
      <c r="H435" s="11" t="s">
        <v>480</v>
      </c>
      <c r="I435" s="30">
        <v>5.0</v>
      </c>
      <c r="J435" s="31">
        <v>200.0</v>
      </c>
      <c r="K435" s="11">
        <v>1.0</v>
      </c>
      <c r="L435" s="32">
        <f>(1000)/P435</f>
        <v>0.06298022421</v>
      </c>
      <c r="M435" s="32">
        <f t="shared" si="123"/>
        <v>0.06298022421</v>
      </c>
      <c r="N435" s="32">
        <v>0.0</v>
      </c>
      <c r="O435" s="32">
        <v>0.0</v>
      </c>
      <c r="P435" s="33">
        <v>15878.0</v>
      </c>
      <c r="Q435" s="34">
        <v>200.0</v>
      </c>
      <c r="R435" s="42">
        <v>12.596044841919637</v>
      </c>
      <c r="S435" s="36">
        <v>0.06298022420959819</v>
      </c>
      <c r="T435" s="36"/>
      <c r="U435" s="36"/>
      <c r="V435" s="36">
        <v>12.659025066129235</v>
      </c>
      <c r="W435" s="37">
        <v>0.06329512533064617</v>
      </c>
      <c r="X435" s="42">
        <v>200000.0</v>
      </c>
      <c r="Y435" s="36">
        <v>1000.0</v>
      </c>
      <c r="Z435" s="36"/>
      <c r="AA435" s="36"/>
      <c r="AB435" s="36">
        <v>201000.0</v>
      </c>
      <c r="AC435" s="37">
        <v>1005.0</v>
      </c>
      <c r="AD435" s="31"/>
      <c r="AE435" s="11"/>
      <c r="AF435" s="11"/>
    </row>
    <row r="436">
      <c r="A436" s="11" t="s">
        <v>478</v>
      </c>
      <c r="B436" s="39">
        <v>44874.0</v>
      </c>
      <c r="C436" s="40">
        <v>44921.0</v>
      </c>
      <c r="D436" s="27" t="s">
        <v>33</v>
      </c>
      <c r="E436" s="11" t="b">
        <v>1</v>
      </c>
      <c r="F436" s="11" t="s">
        <v>46</v>
      </c>
      <c r="G436" s="11" t="s">
        <v>46</v>
      </c>
      <c r="H436" s="11" t="s">
        <v>47</v>
      </c>
      <c r="I436" s="30">
        <v>5.0</v>
      </c>
      <c r="J436" s="31">
        <v>3000.0</v>
      </c>
      <c r="K436" s="11">
        <v>1.0</v>
      </c>
      <c r="L436" s="32">
        <f>850/P436</f>
        <v>0.05448717949</v>
      </c>
      <c r="M436" s="32">
        <f>(1000+1000+1000+9500)/7/P436</f>
        <v>0.1144688645</v>
      </c>
      <c r="N436" s="32">
        <f>(500000/7)/P436</f>
        <v>4.578754579</v>
      </c>
      <c r="O436" s="32">
        <v>0.0</v>
      </c>
      <c r="P436" s="33">
        <v>15600.0</v>
      </c>
      <c r="Q436" s="34">
        <v>3000.0</v>
      </c>
      <c r="R436" s="42">
        <v>163.46153846153845</v>
      </c>
      <c r="S436" s="36">
        <v>0.11446886446886448</v>
      </c>
      <c r="T436" s="36">
        <v>4.578754578754579</v>
      </c>
      <c r="U436" s="36"/>
      <c r="V436" s="36">
        <v>158.99725274725276</v>
      </c>
      <c r="W436" s="37">
        <v>0.052999084249084255</v>
      </c>
      <c r="X436" s="42">
        <v>2550000.0</v>
      </c>
      <c r="Y436" s="36">
        <v>1785.7142857142858</v>
      </c>
      <c r="Z436" s="36">
        <v>71428.57142857143</v>
      </c>
      <c r="AA436" s="36"/>
      <c r="AB436" s="36">
        <v>2480357.142857143</v>
      </c>
      <c r="AC436" s="37">
        <v>826.7857142857144</v>
      </c>
      <c r="AD436" s="31"/>
      <c r="AE436" s="11"/>
      <c r="AF436" s="11"/>
    </row>
    <row r="437">
      <c r="A437" s="43" t="s">
        <v>481</v>
      </c>
      <c r="B437" s="39">
        <v>45426.59305555555</v>
      </c>
      <c r="C437" s="40">
        <v>45493.666666666664</v>
      </c>
      <c r="D437" s="27" t="s">
        <v>33</v>
      </c>
      <c r="E437" s="11" t="b">
        <v>1</v>
      </c>
      <c r="F437" s="11" t="s">
        <v>34</v>
      </c>
      <c r="G437" s="11" t="s">
        <v>45</v>
      </c>
      <c r="H437" s="11" t="s">
        <v>482</v>
      </c>
      <c r="I437" s="30">
        <v>5.0</v>
      </c>
      <c r="J437" s="31">
        <v>2999.0</v>
      </c>
      <c r="K437" s="11">
        <v>1.0</v>
      </c>
      <c r="L437" s="32">
        <f>(1018)/P437</f>
        <v>0.06312003968</v>
      </c>
      <c r="M437" s="32">
        <v>0.0</v>
      </c>
      <c r="N437" s="32">
        <v>0.0</v>
      </c>
      <c r="O437" s="32">
        <v>0.0</v>
      </c>
      <c r="P437" s="33">
        <v>16128.0</v>
      </c>
      <c r="Q437" s="34">
        <v>2999.0</v>
      </c>
      <c r="R437" s="42">
        <v>189.2969990079365</v>
      </c>
      <c r="S437" s="36"/>
      <c r="T437" s="36"/>
      <c r="U437" s="36"/>
      <c r="V437" s="36">
        <v>189.2969990079365</v>
      </c>
      <c r="W437" s="37">
        <v>0.06312003968253968</v>
      </c>
      <c r="X437" s="42">
        <v>3052982.0</v>
      </c>
      <c r="Y437" s="36"/>
      <c r="Z437" s="36"/>
      <c r="AA437" s="36"/>
      <c r="AB437" s="36">
        <v>3052982.0</v>
      </c>
      <c r="AC437" s="37">
        <v>1018.0</v>
      </c>
      <c r="AD437" s="31"/>
      <c r="AE437" s="11"/>
      <c r="AF437" s="11"/>
    </row>
    <row r="438">
      <c r="A438" s="11" t="s">
        <v>481</v>
      </c>
      <c r="B438" s="39">
        <v>45202.3540625</v>
      </c>
      <c r="C438" s="40">
        <v>45232.63928240741</v>
      </c>
      <c r="D438" s="27" t="s">
        <v>33</v>
      </c>
      <c r="E438" s="11" t="b">
        <v>1</v>
      </c>
      <c r="F438" s="11" t="s">
        <v>46</v>
      </c>
      <c r="G438" s="61"/>
      <c r="H438" s="46" t="s">
        <v>46</v>
      </c>
      <c r="I438" s="30">
        <v>5.0</v>
      </c>
      <c r="J438" s="31">
        <v>1000.0</v>
      </c>
      <c r="K438" s="11">
        <v>1.0</v>
      </c>
      <c r="L438" s="32">
        <f>1265/P438</f>
        <v>0.08101703599</v>
      </c>
      <c r="M438" s="32">
        <v>0.0</v>
      </c>
      <c r="N438" s="32">
        <v>0.0</v>
      </c>
      <c r="O438" s="32">
        <v>0.0</v>
      </c>
      <c r="P438" s="33">
        <v>15614.0</v>
      </c>
      <c r="Q438" s="34">
        <v>1000.0</v>
      </c>
      <c r="R438" s="42">
        <v>81.01703599333932</v>
      </c>
      <c r="S438" s="36"/>
      <c r="T438" s="36"/>
      <c r="U438" s="36"/>
      <c r="V438" s="36">
        <v>81.01703599333932</v>
      </c>
      <c r="W438" s="37">
        <v>0.08101703599333931</v>
      </c>
      <c r="X438" s="42">
        <v>1265000.0000000002</v>
      </c>
      <c r="Y438" s="36"/>
      <c r="Z438" s="36"/>
      <c r="AA438" s="36"/>
      <c r="AB438" s="36">
        <v>1265000.0000000002</v>
      </c>
      <c r="AC438" s="37">
        <v>1265.0000000000002</v>
      </c>
      <c r="AD438" s="31"/>
      <c r="AE438" s="11"/>
      <c r="AF438" s="11"/>
    </row>
    <row r="439">
      <c r="A439" s="11" t="s">
        <v>483</v>
      </c>
      <c r="B439" s="39">
        <v>45940.76736111111</v>
      </c>
      <c r="C439" s="40">
        <v>45945.45625</v>
      </c>
      <c r="D439" s="27" t="s">
        <v>37</v>
      </c>
      <c r="E439" s="11" t="b">
        <v>0</v>
      </c>
      <c r="F439" s="11" t="s">
        <v>38</v>
      </c>
      <c r="G439" s="11" t="s">
        <v>484</v>
      </c>
      <c r="H439" s="11" t="s">
        <v>485</v>
      </c>
      <c r="I439" s="30">
        <v>5.0</v>
      </c>
      <c r="J439" s="31">
        <v>5.0</v>
      </c>
      <c r="K439" s="11">
        <v>100.0</v>
      </c>
      <c r="L439" s="32">
        <f t="shared" ref="L439:L440" si="124">(80000)/P439</f>
        <v>4.82509047</v>
      </c>
      <c r="M439" s="32">
        <v>0.0</v>
      </c>
      <c r="N439" s="32">
        <f>(35000)/P439</f>
        <v>2.110977081</v>
      </c>
      <c r="O439" s="32">
        <v>0.0</v>
      </c>
      <c r="P439" s="33">
        <v>16580.0</v>
      </c>
      <c r="Q439" s="34">
        <v>500.0</v>
      </c>
      <c r="R439" s="42">
        <v>24.1254523522316</v>
      </c>
      <c r="S439" s="36"/>
      <c r="T439" s="36">
        <v>2.1109770808202653</v>
      </c>
      <c r="U439" s="36"/>
      <c r="V439" s="36">
        <v>22.014475271411335</v>
      </c>
      <c r="W439" s="37">
        <v>0.04402895054282267</v>
      </c>
      <c r="X439" s="42">
        <v>399999.99999999994</v>
      </c>
      <c r="Y439" s="36"/>
      <c r="Z439" s="36">
        <v>35000.0</v>
      </c>
      <c r="AA439" s="36"/>
      <c r="AB439" s="36">
        <v>364999.99999999994</v>
      </c>
      <c r="AC439" s="37">
        <v>729.9999999999999</v>
      </c>
      <c r="AD439" s="31"/>
      <c r="AE439" s="11"/>
      <c r="AF439" s="11"/>
    </row>
    <row r="440">
      <c r="A440" s="11" t="s">
        <v>483</v>
      </c>
      <c r="B440" s="39">
        <v>45940.73263888889</v>
      </c>
      <c r="C440" s="40">
        <v>45944.46597222222</v>
      </c>
      <c r="D440" s="27" t="s">
        <v>37</v>
      </c>
      <c r="E440" s="11" t="b">
        <v>0</v>
      </c>
      <c r="F440" s="11" t="s">
        <v>38</v>
      </c>
      <c r="G440" s="11" t="s">
        <v>484</v>
      </c>
      <c r="H440" s="11" t="s">
        <v>486</v>
      </c>
      <c r="I440" s="30">
        <v>5.0</v>
      </c>
      <c r="J440" s="31">
        <v>5.0</v>
      </c>
      <c r="K440" s="11">
        <v>100.0</v>
      </c>
      <c r="L440" s="32">
        <f t="shared" si="124"/>
        <v>4.82509047</v>
      </c>
      <c r="M440" s="32">
        <v>0.0</v>
      </c>
      <c r="N440" s="32">
        <f>(60000 + 51000)/P440</f>
        <v>6.694813028</v>
      </c>
      <c r="O440" s="32">
        <v>0.0</v>
      </c>
      <c r="P440" s="33">
        <v>16580.0</v>
      </c>
      <c r="Q440" s="34">
        <v>500.0</v>
      </c>
      <c r="R440" s="42">
        <v>24.1254523522316</v>
      </c>
      <c r="S440" s="36"/>
      <c r="T440" s="36">
        <v>6.69481302774427</v>
      </c>
      <c r="U440" s="36"/>
      <c r="V440" s="36">
        <v>17.43063932448733</v>
      </c>
      <c r="W440" s="37">
        <v>0.03486127864897466</v>
      </c>
      <c r="X440" s="42">
        <v>399999.99999999994</v>
      </c>
      <c r="Y440" s="36"/>
      <c r="Z440" s="36">
        <v>111000.0</v>
      </c>
      <c r="AA440" s="36"/>
      <c r="AB440" s="36">
        <v>288999.99999999994</v>
      </c>
      <c r="AC440" s="37">
        <v>577.9999999999999</v>
      </c>
      <c r="AD440" s="31"/>
      <c r="AE440" s="11"/>
      <c r="AF440" s="11"/>
    </row>
    <row r="441">
      <c r="A441" s="11" t="s">
        <v>483</v>
      </c>
      <c r="B441" s="39">
        <v>45938.09583333333</v>
      </c>
      <c r="C441" s="40">
        <v>45941.43541666667</v>
      </c>
      <c r="D441" s="27" t="s">
        <v>37</v>
      </c>
      <c r="E441" s="11" t="b">
        <v>0</v>
      </c>
      <c r="F441" s="11" t="s">
        <v>38</v>
      </c>
      <c r="G441" s="11" t="s">
        <v>484</v>
      </c>
      <c r="H441" s="11" t="s">
        <v>487</v>
      </c>
      <c r="I441" s="30">
        <v>5.0</v>
      </c>
      <c r="J441" s="31">
        <v>15.0</v>
      </c>
      <c r="K441" s="11">
        <v>1.0</v>
      </c>
      <c r="L441" s="32">
        <f>(850)/P441</f>
        <v>0.05122333374</v>
      </c>
      <c r="M441" s="32">
        <v>0.0</v>
      </c>
      <c r="N441" s="32">
        <f>(39930 + 43923)*(12750)/(12750 + 320000) / P441</f>
        <v>0.1936242015</v>
      </c>
      <c r="O441" s="32">
        <v>0.0</v>
      </c>
      <c r="P441" s="33">
        <v>16594.0</v>
      </c>
      <c r="Q441" s="34">
        <v>15.0</v>
      </c>
      <c r="R441" s="42">
        <v>0.7683500060262746</v>
      </c>
      <c r="S441" s="36"/>
      <c r="T441" s="36">
        <v>0.1936242015186212</v>
      </c>
      <c r="U441" s="36"/>
      <c r="V441" s="36">
        <v>0.5747258045076533</v>
      </c>
      <c r="W441" s="37">
        <v>0.038315053633843556</v>
      </c>
      <c r="X441" s="42">
        <v>12750.0</v>
      </c>
      <c r="Y441" s="36"/>
      <c r="Z441" s="36">
        <v>3213.0</v>
      </c>
      <c r="AA441" s="36"/>
      <c r="AB441" s="36">
        <v>9537.0</v>
      </c>
      <c r="AC441" s="37">
        <v>635.8</v>
      </c>
      <c r="AD441" s="31"/>
      <c r="AE441" s="11"/>
      <c r="AF441" s="11"/>
    </row>
    <row r="442">
      <c r="A442" s="11" t="s">
        <v>483</v>
      </c>
      <c r="B442" s="39">
        <v>45938.09583333333</v>
      </c>
      <c r="C442" s="40">
        <v>45941.43541666667</v>
      </c>
      <c r="D442" s="27" t="s">
        <v>37</v>
      </c>
      <c r="E442" s="11" t="b">
        <v>0</v>
      </c>
      <c r="F442" s="11" t="s">
        <v>38</v>
      </c>
      <c r="G442" s="11" t="s">
        <v>484</v>
      </c>
      <c r="H442" s="11" t="s">
        <v>487</v>
      </c>
      <c r="I442" s="30">
        <v>5.0</v>
      </c>
      <c r="J442" s="31">
        <v>4.0</v>
      </c>
      <c r="K442" s="11">
        <v>100.0</v>
      </c>
      <c r="L442" s="32">
        <f>(80000)/P442</f>
        <v>4.821019646</v>
      </c>
      <c r="M442" s="32">
        <v>0.0</v>
      </c>
      <c r="N442" s="32">
        <f>(39930 + 43923)*(320000)/(12750 + 320000) / P442</f>
        <v>4.859587803</v>
      </c>
      <c r="O442" s="32">
        <v>0.0</v>
      </c>
      <c r="P442" s="33">
        <v>16594.0</v>
      </c>
      <c r="Q442" s="34">
        <v>400.0</v>
      </c>
      <c r="R442" s="42">
        <v>19.284078582620225</v>
      </c>
      <c r="S442" s="36"/>
      <c r="T442" s="36">
        <v>4.859587802820297</v>
      </c>
      <c r="U442" s="36"/>
      <c r="V442" s="36">
        <v>14.424490779799928</v>
      </c>
      <c r="W442" s="37">
        <v>0.03606122694949982</v>
      </c>
      <c r="X442" s="42">
        <v>320000.0</v>
      </c>
      <c r="Y442" s="36"/>
      <c r="Z442" s="36">
        <v>80640.0</v>
      </c>
      <c r="AA442" s="36"/>
      <c r="AB442" s="36">
        <v>239360.0</v>
      </c>
      <c r="AC442" s="37">
        <v>598.4</v>
      </c>
      <c r="AD442" s="31"/>
      <c r="AE442" s="11"/>
      <c r="AF442" s="11"/>
    </row>
    <row r="443">
      <c r="A443" s="11" t="s">
        <v>483</v>
      </c>
      <c r="B443" s="39">
        <v>45925.12569444445</v>
      </c>
      <c r="C443" s="40">
        <v>45925.43263888889</v>
      </c>
      <c r="D443" s="27" t="s">
        <v>37</v>
      </c>
      <c r="E443" s="11" t="b">
        <v>0</v>
      </c>
      <c r="F443" s="11" t="s">
        <v>38</v>
      </c>
      <c r="G443" s="11" t="s">
        <v>484</v>
      </c>
      <c r="H443" s="11" t="s">
        <v>488</v>
      </c>
      <c r="I443" s="30">
        <v>5.0</v>
      </c>
      <c r="J443" s="31">
        <v>143.0</v>
      </c>
      <c r="K443" s="11">
        <v>1.0</v>
      </c>
      <c r="L443" s="32">
        <f t="shared" ref="L443:L444" si="125">(700)/P443</f>
        <v>0.04189609768</v>
      </c>
      <c r="M443" s="32">
        <v>0.0</v>
      </c>
      <c r="N443" s="32">
        <f t="shared" ref="N443:N444" si="126">(20000)/P443</f>
        <v>1.197031362</v>
      </c>
      <c r="O443" s="32">
        <v>0.0</v>
      </c>
      <c r="P443" s="33">
        <v>16708.0</v>
      </c>
      <c r="Q443" s="34">
        <v>143.0</v>
      </c>
      <c r="R443" s="42">
        <v>5.991141967919559</v>
      </c>
      <c r="S443" s="36"/>
      <c r="T443" s="36">
        <v>1.1970313622216902</v>
      </c>
      <c r="U443" s="36"/>
      <c r="V443" s="36">
        <v>4.7941106056978695</v>
      </c>
      <c r="W443" s="37">
        <v>0.033525248990894194</v>
      </c>
      <c r="X443" s="42">
        <v>100100.0</v>
      </c>
      <c r="Y443" s="36"/>
      <c r="Z443" s="36">
        <v>20000.0</v>
      </c>
      <c r="AA443" s="36"/>
      <c r="AB443" s="36">
        <v>80100.0</v>
      </c>
      <c r="AC443" s="37">
        <v>560.1398601398602</v>
      </c>
      <c r="AD443" s="31"/>
      <c r="AE443" s="11"/>
      <c r="AF443" s="11"/>
    </row>
    <row r="444">
      <c r="A444" s="11" t="s">
        <v>483</v>
      </c>
      <c r="B444" s="39">
        <v>45925.12430555555</v>
      </c>
      <c r="C444" s="40">
        <v>45925.43263888889</v>
      </c>
      <c r="D444" s="27" t="s">
        <v>37</v>
      </c>
      <c r="E444" s="11" t="b">
        <v>0</v>
      </c>
      <c r="F444" s="11" t="s">
        <v>38</v>
      </c>
      <c r="G444" s="11" t="s">
        <v>484</v>
      </c>
      <c r="H444" s="11" t="s">
        <v>489</v>
      </c>
      <c r="I444" s="30">
        <v>5.0</v>
      </c>
      <c r="J444" s="31">
        <v>143.0</v>
      </c>
      <c r="K444" s="11">
        <v>1.0</v>
      </c>
      <c r="L444" s="32">
        <f t="shared" si="125"/>
        <v>0.04189609768</v>
      </c>
      <c r="M444" s="32">
        <v>0.0</v>
      </c>
      <c r="N444" s="32">
        <f t="shared" si="126"/>
        <v>1.197031362</v>
      </c>
      <c r="O444" s="32">
        <v>0.0</v>
      </c>
      <c r="P444" s="33">
        <v>16708.0</v>
      </c>
      <c r="Q444" s="34">
        <v>143.0</v>
      </c>
      <c r="R444" s="42">
        <v>5.991141967919559</v>
      </c>
      <c r="S444" s="36"/>
      <c r="T444" s="36">
        <v>1.1970313622216902</v>
      </c>
      <c r="U444" s="36"/>
      <c r="V444" s="36">
        <v>4.7941106056978695</v>
      </c>
      <c r="W444" s="37">
        <v>0.033525248990894194</v>
      </c>
      <c r="X444" s="42">
        <v>100100.0</v>
      </c>
      <c r="Y444" s="36"/>
      <c r="Z444" s="36">
        <v>20000.0</v>
      </c>
      <c r="AA444" s="36"/>
      <c r="AB444" s="36">
        <v>80100.0</v>
      </c>
      <c r="AC444" s="37">
        <v>560.1398601398602</v>
      </c>
      <c r="AD444" s="31"/>
      <c r="AE444" s="11"/>
      <c r="AF444" s="11"/>
    </row>
    <row r="445">
      <c r="A445" s="11" t="s">
        <v>483</v>
      </c>
      <c r="B445" s="39">
        <v>45855.759722222225</v>
      </c>
      <c r="C445" s="40">
        <v>45867.20208333333</v>
      </c>
      <c r="D445" s="27" t="s">
        <v>37</v>
      </c>
      <c r="E445" s="11" t="b">
        <v>0</v>
      </c>
      <c r="F445" s="11" t="s">
        <v>38</v>
      </c>
      <c r="G445" s="11" t="s">
        <v>39</v>
      </c>
      <c r="H445" s="11" t="s">
        <v>490</v>
      </c>
      <c r="I445" s="30">
        <v>5.0</v>
      </c>
      <c r="J445" s="31">
        <v>37.0</v>
      </c>
      <c r="K445" s="11">
        <v>10.0</v>
      </c>
      <c r="L445" s="32">
        <f t="shared" ref="L445:L449" si="127">(6900)/P445</f>
        <v>0.4240673591</v>
      </c>
      <c r="M445" s="32">
        <f t="shared" ref="M445:M449" si="128">(1000)/P445</f>
        <v>0.06145903755</v>
      </c>
      <c r="N445" s="32">
        <f>(10212 + 12254)/P445</f>
        <v>1.380738738</v>
      </c>
      <c r="O445" s="32">
        <v>0.0</v>
      </c>
      <c r="P445" s="33">
        <v>16271.0</v>
      </c>
      <c r="Q445" s="34">
        <v>370.0</v>
      </c>
      <c r="R445" s="42">
        <v>15.690492286890787</v>
      </c>
      <c r="S445" s="36">
        <v>0.061459037551471946</v>
      </c>
      <c r="T445" s="36">
        <v>1.3807387376313687</v>
      </c>
      <c r="U445" s="36"/>
      <c r="V445" s="36">
        <v>14.371212586810891</v>
      </c>
      <c r="W445" s="37">
        <v>0.0388411150994889</v>
      </c>
      <c r="X445" s="42">
        <v>255300.0</v>
      </c>
      <c r="Y445" s="36">
        <v>1000.0</v>
      </c>
      <c r="Z445" s="36">
        <v>22466.0</v>
      </c>
      <c r="AA445" s="36"/>
      <c r="AB445" s="36">
        <v>233834.0</v>
      </c>
      <c r="AC445" s="37">
        <v>631.9837837837838</v>
      </c>
      <c r="AD445" s="31"/>
      <c r="AE445" s="11"/>
      <c r="AF445" s="11"/>
    </row>
    <row r="446">
      <c r="A446" s="11" t="s">
        <v>483</v>
      </c>
      <c r="B446" s="39">
        <v>45831.84722222222</v>
      </c>
      <c r="C446" s="40">
        <v>45833.72430555556</v>
      </c>
      <c r="D446" s="27" t="s">
        <v>33</v>
      </c>
      <c r="E446" s="11" t="b">
        <v>0</v>
      </c>
      <c r="F446" s="11" t="s">
        <v>38</v>
      </c>
      <c r="G446" s="11" t="s">
        <v>39</v>
      </c>
      <c r="H446" s="11" t="s">
        <v>491</v>
      </c>
      <c r="I446" s="30">
        <v>5.0</v>
      </c>
      <c r="J446" s="31">
        <v>30.0</v>
      </c>
      <c r="K446" s="11">
        <v>10.0</v>
      </c>
      <c r="L446" s="32">
        <f t="shared" si="127"/>
        <v>0.4172966435</v>
      </c>
      <c r="M446" s="32">
        <f t="shared" si="128"/>
        <v>0.06047777442</v>
      </c>
      <c r="N446" s="32">
        <f t="shared" ref="N446:N447" si="129">(10350)/P446</f>
        <v>0.6259449652</v>
      </c>
      <c r="O446" s="32">
        <v>0.0</v>
      </c>
      <c r="P446" s="33">
        <v>16535.0</v>
      </c>
      <c r="Q446" s="34">
        <v>300.0</v>
      </c>
      <c r="R446" s="42">
        <v>12.518899304505593</v>
      </c>
      <c r="S446" s="36">
        <v>0.06047777441790142</v>
      </c>
      <c r="T446" s="36">
        <v>0.6259449652252798</v>
      </c>
      <c r="U446" s="36"/>
      <c r="V446" s="36">
        <v>11.953432113698215</v>
      </c>
      <c r="W446" s="37">
        <v>0.039844773712327385</v>
      </c>
      <c r="X446" s="42">
        <v>207000.0</v>
      </c>
      <c r="Y446" s="36">
        <v>1000.0</v>
      </c>
      <c r="Z446" s="36">
        <v>10350.0</v>
      </c>
      <c r="AA446" s="36"/>
      <c r="AB446" s="36">
        <v>197649.99999999997</v>
      </c>
      <c r="AC446" s="37">
        <v>658.8333333333333</v>
      </c>
      <c r="AD446" s="31"/>
      <c r="AE446" s="11"/>
      <c r="AF446" s="11"/>
    </row>
    <row r="447">
      <c r="A447" s="11" t="s">
        <v>483</v>
      </c>
      <c r="B447" s="39">
        <v>45831.84583333333</v>
      </c>
      <c r="C447" s="40">
        <v>45833.72430555556</v>
      </c>
      <c r="D447" s="27" t="s">
        <v>33</v>
      </c>
      <c r="E447" s="11" t="b">
        <v>0</v>
      </c>
      <c r="F447" s="11" t="s">
        <v>38</v>
      </c>
      <c r="G447" s="11" t="s">
        <v>39</v>
      </c>
      <c r="H447" s="11" t="s">
        <v>492</v>
      </c>
      <c r="I447" s="30">
        <v>5.0</v>
      </c>
      <c r="J447" s="31">
        <v>30.0</v>
      </c>
      <c r="K447" s="11">
        <v>10.0</v>
      </c>
      <c r="L447" s="32">
        <f t="shared" si="127"/>
        <v>0.4172966435</v>
      </c>
      <c r="M447" s="32">
        <f t="shared" si="128"/>
        <v>0.06047777442</v>
      </c>
      <c r="N447" s="32">
        <f t="shared" si="129"/>
        <v>0.6259449652</v>
      </c>
      <c r="O447" s="32">
        <v>0.0</v>
      </c>
      <c r="P447" s="33">
        <v>16535.0</v>
      </c>
      <c r="Q447" s="34">
        <v>300.0</v>
      </c>
      <c r="R447" s="42">
        <v>12.518899304505593</v>
      </c>
      <c r="S447" s="36">
        <v>0.06047777441790142</v>
      </c>
      <c r="T447" s="36">
        <v>0.6259449652252798</v>
      </c>
      <c r="U447" s="36"/>
      <c r="V447" s="36">
        <v>11.953432113698215</v>
      </c>
      <c r="W447" s="37">
        <v>0.039844773712327385</v>
      </c>
      <c r="X447" s="42">
        <v>207000.0</v>
      </c>
      <c r="Y447" s="36">
        <v>1000.0</v>
      </c>
      <c r="Z447" s="36">
        <v>10350.0</v>
      </c>
      <c r="AA447" s="36"/>
      <c r="AB447" s="36">
        <v>197649.99999999997</v>
      </c>
      <c r="AC447" s="37">
        <v>658.8333333333333</v>
      </c>
      <c r="AD447" s="31"/>
      <c r="AE447" s="11"/>
      <c r="AF447" s="11"/>
    </row>
    <row r="448">
      <c r="A448" s="11" t="s">
        <v>483</v>
      </c>
      <c r="B448" s="39">
        <v>45831.84375</v>
      </c>
      <c r="C448" s="40">
        <v>45833.72430555556</v>
      </c>
      <c r="D448" s="27" t="s">
        <v>33</v>
      </c>
      <c r="E448" s="11" t="b">
        <v>0</v>
      </c>
      <c r="F448" s="11" t="s">
        <v>38</v>
      </c>
      <c r="G448" s="11" t="s">
        <v>39</v>
      </c>
      <c r="H448" s="11" t="s">
        <v>493</v>
      </c>
      <c r="I448" s="30">
        <v>5.0</v>
      </c>
      <c r="J448" s="31">
        <v>38.0</v>
      </c>
      <c r="K448" s="11">
        <v>10.0</v>
      </c>
      <c r="L448" s="32">
        <f t="shared" si="127"/>
        <v>0.4172966435</v>
      </c>
      <c r="M448" s="32">
        <f t="shared" si="128"/>
        <v>0.06047777442</v>
      </c>
      <c r="N448" s="32">
        <f>(13110)/P448</f>
        <v>0.7928636226</v>
      </c>
      <c r="O448" s="32">
        <v>0.0</v>
      </c>
      <c r="P448" s="33">
        <v>16535.0</v>
      </c>
      <c r="Q448" s="34">
        <v>380.0</v>
      </c>
      <c r="R448" s="42">
        <v>15.857272452373753</v>
      </c>
      <c r="S448" s="36">
        <v>0.06047777441790142</v>
      </c>
      <c r="T448" s="36">
        <v>0.7928636226186876</v>
      </c>
      <c r="U448" s="36"/>
      <c r="V448" s="36">
        <v>15.124886604172966</v>
      </c>
      <c r="W448" s="37">
        <v>0.03980233316887623</v>
      </c>
      <c r="X448" s="42">
        <v>262200.0</v>
      </c>
      <c r="Y448" s="36">
        <v>1000.0</v>
      </c>
      <c r="Z448" s="36">
        <v>13110.0</v>
      </c>
      <c r="AA448" s="36"/>
      <c r="AB448" s="36">
        <v>250090.0</v>
      </c>
      <c r="AC448" s="37">
        <v>658.1315789473684</v>
      </c>
      <c r="AD448" s="31"/>
      <c r="AE448" s="11"/>
      <c r="AF448" s="11"/>
    </row>
    <row r="449">
      <c r="A449" s="11" t="s">
        <v>483</v>
      </c>
      <c r="B449" s="39">
        <v>45831.84097222222</v>
      </c>
      <c r="C449" s="40">
        <v>45833.72430555556</v>
      </c>
      <c r="D449" s="27" t="s">
        <v>33</v>
      </c>
      <c r="E449" s="11" t="b">
        <v>0</v>
      </c>
      <c r="F449" s="11" t="s">
        <v>38</v>
      </c>
      <c r="G449" s="11" t="s">
        <v>39</v>
      </c>
      <c r="H449" s="11" t="s">
        <v>494</v>
      </c>
      <c r="I449" s="30">
        <v>5.0</v>
      </c>
      <c r="J449" s="31">
        <v>1.0</v>
      </c>
      <c r="K449" s="11">
        <v>10.0</v>
      </c>
      <c r="L449" s="32">
        <f t="shared" si="127"/>
        <v>0.4172966435</v>
      </c>
      <c r="M449" s="32">
        <f t="shared" si="128"/>
        <v>0.06047777442</v>
      </c>
      <c r="N449" s="32">
        <f>(5000)/P449</f>
        <v>0.3023888721</v>
      </c>
      <c r="O449" s="32">
        <v>0.0</v>
      </c>
      <c r="P449" s="33">
        <v>16535.0</v>
      </c>
      <c r="Q449" s="34">
        <v>10.0</v>
      </c>
      <c r="R449" s="42">
        <v>0.4172966434835198</v>
      </c>
      <c r="S449" s="36">
        <v>0.06047777441790142</v>
      </c>
      <c r="T449" s="36">
        <v>0.3023888720895071</v>
      </c>
      <c r="U449" s="36"/>
      <c r="V449" s="36">
        <v>0.17538554581191412</v>
      </c>
      <c r="W449" s="37">
        <v>0.017538554581191412</v>
      </c>
      <c r="X449" s="42">
        <v>6900.0</v>
      </c>
      <c r="Y449" s="36">
        <v>1000.0</v>
      </c>
      <c r="Z449" s="36">
        <v>5000.0</v>
      </c>
      <c r="AA449" s="36"/>
      <c r="AB449" s="36">
        <v>2900.0</v>
      </c>
      <c r="AC449" s="37">
        <v>290.0</v>
      </c>
      <c r="AD449" s="31"/>
      <c r="AE449" s="11"/>
      <c r="AF449" s="11"/>
    </row>
    <row r="450">
      <c r="A450" s="11" t="s">
        <v>483</v>
      </c>
      <c r="B450" s="39">
        <v>45713.57083333333</v>
      </c>
      <c r="C450" s="40">
        <v>45717.49236111111</v>
      </c>
      <c r="D450" s="27" t="s">
        <v>37</v>
      </c>
      <c r="E450" s="11" t="b">
        <v>0</v>
      </c>
      <c r="F450" s="11" t="s">
        <v>38</v>
      </c>
      <c r="G450" s="11" t="s">
        <v>390</v>
      </c>
      <c r="H450" s="11" t="s">
        <v>391</v>
      </c>
      <c r="I450" s="30">
        <v>5.0</v>
      </c>
      <c r="J450" s="31">
        <v>1.0</v>
      </c>
      <c r="K450" s="11">
        <v>180.0</v>
      </c>
      <c r="L450" s="32">
        <f t="shared" ref="L450:L452" si="130">(135000)/P450</f>
        <v>8.292383292</v>
      </c>
      <c r="M450" s="32">
        <f>(1000/4)/P450</f>
        <v>0.01535626536</v>
      </c>
      <c r="N450" s="32">
        <f t="shared" ref="N450:N451" si="131">(X450*10%)/P450</f>
        <v>0.8292383292</v>
      </c>
      <c r="O450" s="32">
        <v>0.0</v>
      </c>
      <c r="P450" s="33">
        <v>16280.0</v>
      </c>
      <c r="Q450" s="34">
        <v>180.0</v>
      </c>
      <c r="R450" s="42">
        <v>8.292383292383292</v>
      </c>
      <c r="S450" s="36">
        <v>0.015356265356265357</v>
      </c>
      <c r="T450" s="36">
        <v>0.8292383292383292</v>
      </c>
      <c r="U450" s="36"/>
      <c r="V450" s="36">
        <v>7.478501228501228</v>
      </c>
      <c r="W450" s="37">
        <v>0.041547229047229045</v>
      </c>
      <c r="X450" s="42">
        <v>135000.0</v>
      </c>
      <c r="Y450" s="36">
        <v>250.0</v>
      </c>
      <c r="Z450" s="36">
        <v>13500.0</v>
      </c>
      <c r="AA450" s="36"/>
      <c r="AB450" s="36">
        <v>121750.0</v>
      </c>
      <c r="AC450" s="37">
        <v>676.3888888888889</v>
      </c>
      <c r="AD450" s="31"/>
      <c r="AE450" s="11"/>
      <c r="AF450" s="11"/>
    </row>
    <row r="451">
      <c r="A451" s="11" t="s">
        <v>483</v>
      </c>
      <c r="B451" s="39">
        <v>45644.67013888889</v>
      </c>
      <c r="C451" s="40">
        <v>45646.659014386576</v>
      </c>
      <c r="D451" s="27" t="s">
        <v>33</v>
      </c>
      <c r="E451" s="11" t="b">
        <v>0</v>
      </c>
      <c r="F451" s="11" t="s">
        <v>38</v>
      </c>
      <c r="G451" s="11" t="s">
        <v>390</v>
      </c>
      <c r="H451" s="11" t="s">
        <v>463</v>
      </c>
      <c r="I451" s="30">
        <v>5.0</v>
      </c>
      <c r="J451" s="31">
        <v>5.0</v>
      </c>
      <c r="K451" s="11">
        <v>180.0</v>
      </c>
      <c r="L451" s="32">
        <f t="shared" si="130"/>
        <v>8.312807882</v>
      </c>
      <c r="M451" s="32">
        <f>(804)/4/P451</f>
        <v>0.01237684729</v>
      </c>
      <c r="N451" s="32">
        <f t="shared" si="131"/>
        <v>4.156403941</v>
      </c>
      <c r="O451" s="32">
        <v>0.0</v>
      </c>
      <c r="P451" s="33">
        <v>16240.0</v>
      </c>
      <c r="Q451" s="34">
        <v>900.0</v>
      </c>
      <c r="R451" s="42">
        <v>41.56403940886699</v>
      </c>
      <c r="S451" s="36">
        <v>0.012376847290640394</v>
      </c>
      <c r="T451" s="36">
        <v>4.156403940886698</v>
      </c>
      <c r="U451" s="36"/>
      <c r="V451" s="36">
        <v>37.42001231527093</v>
      </c>
      <c r="W451" s="37">
        <v>0.04157779146141215</v>
      </c>
      <c r="X451" s="42">
        <v>674999.9999999999</v>
      </c>
      <c r="Y451" s="36">
        <v>201.0</v>
      </c>
      <c r="Z451" s="36">
        <v>67499.99999999999</v>
      </c>
      <c r="AA451" s="36"/>
      <c r="AB451" s="36">
        <v>607700.9999999999</v>
      </c>
      <c r="AC451" s="37">
        <v>675.2233333333332</v>
      </c>
      <c r="AD451" s="31"/>
      <c r="AE451" s="11"/>
      <c r="AF451" s="11"/>
    </row>
    <row r="452">
      <c r="A452" s="11" t="s">
        <v>483</v>
      </c>
      <c r="B452" s="39">
        <v>45604.98055555556</v>
      </c>
      <c r="C452" s="40">
        <v>45607.41180555556</v>
      </c>
      <c r="D452" s="27" t="s">
        <v>37</v>
      </c>
      <c r="E452" s="11" t="b">
        <v>0</v>
      </c>
      <c r="F452" s="11" t="s">
        <v>38</v>
      </c>
      <c r="G452" s="11" t="s">
        <v>362</v>
      </c>
      <c r="H452" s="11" t="s">
        <v>495</v>
      </c>
      <c r="I452" s="30">
        <v>5.0</v>
      </c>
      <c r="J452" s="31">
        <v>9.0</v>
      </c>
      <c r="K452" s="11">
        <v>180.0</v>
      </c>
      <c r="L452" s="32">
        <f t="shared" si="130"/>
        <v>8.617387974</v>
      </c>
      <c r="M452" s="32">
        <f>(1000/3)/P452</f>
        <v>0.02127750117</v>
      </c>
      <c r="N452" s="32">
        <f>(97200)/P452</f>
        <v>6.204519341</v>
      </c>
      <c r="O452" s="32">
        <v>0.0</v>
      </c>
      <c r="P452" s="33">
        <v>15666.0</v>
      </c>
      <c r="Q452" s="34">
        <v>1620.0</v>
      </c>
      <c r="R452" s="42">
        <v>77.55649176560705</v>
      </c>
      <c r="S452" s="36">
        <v>0.021277501170262562</v>
      </c>
      <c r="T452" s="36">
        <v>6.204519341248564</v>
      </c>
      <c r="U452" s="36"/>
      <c r="V452" s="36">
        <v>71.37324992552874</v>
      </c>
      <c r="W452" s="37">
        <v>0.044057561682425146</v>
      </c>
      <c r="X452" s="42">
        <v>1215000.0</v>
      </c>
      <c r="Y452" s="36">
        <v>333.3333333333333</v>
      </c>
      <c r="Z452" s="36">
        <v>97200.0</v>
      </c>
      <c r="AA452" s="36"/>
      <c r="AB452" s="36">
        <v>1118133.3333333333</v>
      </c>
      <c r="AC452" s="37">
        <v>690.2057613168723</v>
      </c>
      <c r="AD452" s="31"/>
      <c r="AE452" s="11"/>
      <c r="AF452" s="11"/>
    </row>
    <row r="453">
      <c r="A453" s="11" t="s">
        <v>483</v>
      </c>
      <c r="B453" s="39">
        <v>45517.96111111111</v>
      </c>
      <c r="C453" s="40">
        <v>45520.740277777775</v>
      </c>
      <c r="D453" s="27" t="s">
        <v>33</v>
      </c>
      <c r="E453" s="11" t="b">
        <v>0</v>
      </c>
      <c r="F453" s="11" t="s">
        <v>38</v>
      </c>
      <c r="G453" s="11" t="s">
        <v>496</v>
      </c>
      <c r="H453" s="11" t="s">
        <v>497</v>
      </c>
      <c r="I453" s="30">
        <v>5.0</v>
      </c>
      <c r="J453" s="31">
        <v>750.0</v>
      </c>
      <c r="K453" s="11">
        <v>1.0</v>
      </c>
      <c r="L453" s="32">
        <f>(849)/P453</f>
        <v>0.05388423458</v>
      </c>
      <c r="M453" s="32">
        <f t="shared" ref="M453:M456" si="132">(1000)/P453</f>
        <v>0.06346788525</v>
      </c>
      <c r="N453" s="32">
        <f>(19103)/P453</f>
        <v>1.212427012</v>
      </c>
      <c r="O453" s="32">
        <v>0.0</v>
      </c>
      <c r="P453" s="33">
        <v>15756.0</v>
      </c>
      <c r="Q453" s="34">
        <v>750.0</v>
      </c>
      <c r="R453" s="42">
        <v>40.413175932977914</v>
      </c>
      <c r="S453" s="36">
        <v>0.06346788525006347</v>
      </c>
      <c r="T453" s="36">
        <v>1.2124270119319625</v>
      </c>
      <c r="U453" s="36"/>
      <c r="V453" s="36">
        <v>39.26421680629601</v>
      </c>
      <c r="W453" s="37">
        <v>0.05235228907506135</v>
      </c>
      <c r="X453" s="42">
        <v>636750.0</v>
      </c>
      <c r="Y453" s="36">
        <v>1000.0000000000001</v>
      </c>
      <c r="Z453" s="36">
        <v>19103.0</v>
      </c>
      <c r="AA453" s="36"/>
      <c r="AB453" s="36">
        <v>618647.0</v>
      </c>
      <c r="AC453" s="37">
        <v>824.8626666666667</v>
      </c>
      <c r="AD453" s="31"/>
      <c r="AE453" s="11"/>
      <c r="AF453" s="11"/>
    </row>
    <row r="454">
      <c r="A454" s="11" t="s">
        <v>483</v>
      </c>
      <c r="B454" s="39">
        <v>45515.53125</v>
      </c>
      <c r="C454" s="40">
        <v>45519.44861111111</v>
      </c>
      <c r="D454" s="27" t="s">
        <v>37</v>
      </c>
      <c r="E454" s="11" t="b">
        <v>0</v>
      </c>
      <c r="F454" s="11" t="s">
        <v>49</v>
      </c>
      <c r="G454" s="11" t="s">
        <v>498</v>
      </c>
      <c r="H454" s="11" t="s">
        <v>499</v>
      </c>
      <c r="I454" s="30">
        <v>5.0</v>
      </c>
      <c r="J454" s="31">
        <v>250.0</v>
      </c>
      <c r="K454" s="11">
        <v>1.0</v>
      </c>
      <c r="L454" s="32">
        <f t="shared" ref="L454:L455" si="133">(900)/P454</f>
        <v>0.05642987021</v>
      </c>
      <c r="M454" s="32">
        <f t="shared" si="132"/>
        <v>0.06269985579</v>
      </c>
      <c r="N454" s="32">
        <v>0.0</v>
      </c>
      <c r="O454" s="32">
        <v>0.0</v>
      </c>
      <c r="P454" s="33">
        <v>15949.0</v>
      </c>
      <c r="Q454" s="34">
        <v>250.0</v>
      </c>
      <c r="R454" s="42">
        <v>14.107467552824628</v>
      </c>
      <c r="S454" s="36">
        <v>0.06269985579033169</v>
      </c>
      <c r="T454" s="36"/>
      <c r="U454" s="36"/>
      <c r="V454" s="36">
        <v>14.17016740861496</v>
      </c>
      <c r="W454" s="37">
        <v>0.05668066963445984</v>
      </c>
      <c r="X454" s="42">
        <v>225000.0</v>
      </c>
      <c r="Y454" s="36">
        <v>1000.0000000000001</v>
      </c>
      <c r="Z454" s="36"/>
      <c r="AA454" s="36"/>
      <c r="AB454" s="36">
        <v>226000.0</v>
      </c>
      <c r="AC454" s="37">
        <v>904.0</v>
      </c>
      <c r="AD454" s="31"/>
      <c r="AE454" s="11"/>
      <c r="AF454" s="11"/>
    </row>
    <row r="455">
      <c r="A455" s="11" t="s">
        <v>483</v>
      </c>
      <c r="B455" s="39">
        <v>45515.425</v>
      </c>
      <c r="C455" s="40">
        <v>45518.52437802083</v>
      </c>
      <c r="D455" s="27" t="s">
        <v>37</v>
      </c>
      <c r="E455" s="11" t="b">
        <v>0</v>
      </c>
      <c r="F455" s="11" t="s">
        <v>49</v>
      </c>
      <c r="G455" s="11" t="s">
        <v>500</v>
      </c>
      <c r="H455" s="11" t="s">
        <v>501</v>
      </c>
      <c r="I455" s="30">
        <v>5.0</v>
      </c>
      <c r="J455" s="31">
        <v>2000.0</v>
      </c>
      <c r="K455" s="11">
        <v>1.0</v>
      </c>
      <c r="L455" s="32">
        <f t="shared" si="133"/>
        <v>0.05642987021</v>
      </c>
      <c r="M455" s="32">
        <f t="shared" si="132"/>
        <v>0.06269985579</v>
      </c>
      <c r="N455" s="32">
        <f>(82800 + 144000)/P455</f>
        <v>14.22032729</v>
      </c>
      <c r="O455" s="32">
        <v>0.0</v>
      </c>
      <c r="P455" s="33">
        <v>15949.0</v>
      </c>
      <c r="Q455" s="34">
        <v>2000.0</v>
      </c>
      <c r="R455" s="42">
        <v>112.85974042259703</v>
      </c>
      <c r="S455" s="36">
        <v>0.06269985579033169</v>
      </c>
      <c r="T455" s="36">
        <v>14.220327293247225</v>
      </c>
      <c r="U455" s="36"/>
      <c r="V455" s="36">
        <v>98.70211298514013</v>
      </c>
      <c r="W455" s="37">
        <v>0.049351056492570065</v>
      </c>
      <c r="X455" s="42">
        <v>1800000.0</v>
      </c>
      <c r="Y455" s="36">
        <v>1000.0000000000001</v>
      </c>
      <c r="Z455" s="36">
        <v>226800.0</v>
      </c>
      <c r="AA455" s="36"/>
      <c r="AB455" s="36">
        <v>1574200.0</v>
      </c>
      <c r="AC455" s="37">
        <v>787.1</v>
      </c>
      <c r="AD455" s="31"/>
      <c r="AE455" s="11"/>
      <c r="AF455" s="11"/>
    </row>
    <row r="456">
      <c r="A456" s="11" t="s">
        <v>483</v>
      </c>
      <c r="B456" s="39">
        <v>45428.96041666667</v>
      </c>
      <c r="C456" s="40">
        <v>45433.72714847222</v>
      </c>
      <c r="D456" s="27" t="s">
        <v>33</v>
      </c>
      <c r="E456" s="11" t="b">
        <v>0</v>
      </c>
      <c r="F456" s="11" t="s">
        <v>38</v>
      </c>
      <c r="G456" s="11" t="s">
        <v>39</v>
      </c>
      <c r="H456" s="11" t="s">
        <v>413</v>
      </c>
      <c r="I456" s="30">
        <v>5.0</v>
      </c>
      <c r="J456" s="31">
        <v>57.0</v>
      </c>
      <c r="K456" s="11">
        <v>1.0</v>
      </c>
      <c r="L456" s="32">
        <f>(700)/P456</f>
        <v>0.04391743522</v>
      </c>
      <c r="M456" s="32">
        <f t="shared" si="132"/>
        <v>0.06273919317</v>
      </c>
      <c r="N456" s="32">
        <f>(19950)/P456</f>
        <v>1.251646904</v>
      </c>
      <c r="O456" s="32">
        <v>0.0</v>
      </c>
      <c r="P456" s="33">
        <v>15939.0</v>
      </c>
      <c r="Q456" s="34">
        <v>57.0</v>
      </c>
      <c r="R456" s="42">
        <v>2.503293807641634</v>
      </c>
      <c r="S456" s="36">
        <v>0.06273919317397578</v>
      </c>
      <c r="T456" s="36">
        <v>1.251646903820817</v>
      </c>
      <c r="U456" s="36"/>
      <c r="V456" s="36">
        <v>1.3143860969947925</v>
      </c>
      <c r="W456" s="37">
        <v>0.023059405210434956</v>
      </c>
      <c r="X456" s="42">
        <v>39900.0</v>
      </c>
      <c r="Y456" s="36">
        <v>999.9999999999999</v>
      </c>
      <c r="Z456" s="36">
        <v>19950.0</v>
      </c>
      <c r="AA456" s="36"/>
      <c r="AB456" s="36">
        <v>20949.999999999996</v>
      </c>
      <c r="AC456" s="37">
        <v>367.54385964912274</v>
      </c>
      <c r="AD456" s="31"/>
      <c r="AE456" s="11"/>
      <c r="AF456" s="11"/>
    </row>
    <row r="457">
      <c r="A457" s="11" t="s">
        <v>483</v>
      </c>
      <c r="B457" s="39">
        <v>45372.63888888889</v>
      </c>
      <c r="C457" s="40">
        <v>45375.57344907407</v>
      </c>
      <c r="D457" s="27" t="s">
        <v>37</v>
      </c>
      <c r="E457" s="11" t="b">
        <v>0</v>
      </c>
      <c r="F457" s="11" t="s">
        <v>249</v>
      </c>
      <c r="G457" s="11" t="s">
        <v>249</v>
      </c>
      <c r="H457" s="11" t="s">
        <v>249</v>
      </c>
      <c r="I457" s="30">
        <v>5.0</v>
      </c>
      <c r="J457" s="31">
        <v>1000.0</v>
      </c>
      <c r="K457" s="11">
        <v>1.0</v>
      </c>
      <c r="L457" s="32">
        <f>(570)/P457</f>
        <v>0.03634045266</v>
      </c>
      <c r="M457" s="32">
        <v>0.0</v>
      </c>
      <c r="N457" s="32">
        <v>0.0</v>
      </c>
      <c r="O457" s="32">
        <v>0.0</v>
      </c>
      <c r="P457" s="33">
        <v>15685.0</v>
      </c>
      <c r="Q457" s="34">
        <v>1000.0</v>
      </c>
      <c r="R457" s="42">
        <v>36.34045266177877</v>
      </c>
      <c r="S457" s="36"/>
      <c r="T457" s="36"/>
      <c r="U457" s="36"/>
      <c r="V457" s="36">
        <v>36.34045266177877</v>
      </c>
      <c r="W457" s="37">
        <v>0.03634045266177877</v>
      </c>
      <c r="X457" s="42">
        <v>570000.0</v>
      </c>
      <c r="Y457" s="36"/>
      <c r="Z457" s="36"/>
      <c r="AA457" s="36"/>
      <c r="AB457" s="36">
        <v>570000.0</v>
      </c>
      <c r="AC457" s="37">
        <v>570.0</v>
      </c>
      <c r="AD457" s="31"/>
      <c r="AE457" s="11"/>
      <c r="AF457" s="11"/>
    </row>
    <row r="458">
      <c r="A458" s="11" t="s">
        <v>502</v>
      </c>
      <c r="B458" s="39">
        <v>45644.67013888889</v>
      </c>
      <c r="C458" s="40">
        <v>45646.659014386576</v>
      </c>
      <c r="D458" s="27" t="s">
        <v>33</v>
      </c>
      <c r="E458" s="11" t="b">
        <v>0</v>
      </c>
      <c r="F458" s="11" t="s">
        <v>38</v>
      </c>
      <c r="G458" s="11" t="s">
        <v>390</v>
      </c>
      <c r="H458" s="11" t="s">
        <v>463</v>
      </c>
      <c r="I458" s="30">
        <v>5.0</v>
      </c>
      <c r="J458" s="31">
        <v>5.0</v>
      </c>
      <c r="K458" s="11">
        <v>100.0</v>
      </c>
      <c r="L458" s="32">
        <f>(65000)/P458</f>
        <v>4.002463054</v>
      </c>
      <c r="M458" s="32">
        <f>(804)/4/P458</f>
        <v>0.01237684729</v>
      </c>
      <c r="N458" s="32">
        <f>(X458*10%)/P458</f>
        <v>2.001231527</v>
      </c>
      <c r="O458" s="32">
        <v>0.0</v>
      </c>
      <c r="P458" s="33">
        <v>16240.0</v>
      </c>
      <c r="Q458" s="34">
        <v>500.0</v>
      </c>
      <c r="R458" s="42">
        <v>20.01231527093596</v>
      </c>
      <c r="S458" s="36">
        <v>0.012376847290640394</v>
      </c>
      <c r="T458" s="36">
        <v>2.001231527093596</v>
      </c>
      <c r="U458" s="36"/>
      <c r="V458" s="36">
        <v>18.023460591133002</v>
      </c>
      <c r="W458" s="37">
        <v>0.036046921182266004</v>
      </c>
      <c r="X458" s="42">
        <v>325000.0</v>
      </c>
      <c r="Y458" s="36">
        <v>201.0</v>
      </c>
      <c r="Z458" s="36">
        <v>32500.0</v>
      </c>
      <c r="AA458" s="36"/>
      <c r="AB458" s="36">
        <v>292700.99999999994</v>
      </c>
      <c r="AC458" s="37">
        <v>585.4019999999999</v>
      </c>
      <c r="AD458" s="31"/>
      <c r="AE458" s="11"/>
      <c r="AF458" s="11"/>
    </row>
    <row r="459">
      <c r="A459" s="11" t="s">
        <v>502</v>
      </c>
      <c r="B459" s="39">
        <v>45566.7375</v>
      </c>
      <c r="C459" s="40">
        <v>45570.59166666667</v>
      </c>
      <c r="D459" s="27" t="s">
        <v>37</v>
      </c>
      <c r="E459" s="11" t="b">
        <v>0</v>
      </c>
      <c r="F459" s="11" t="s">
        <v>38</v>
      </c>
      <c r="G459" s="11" t="s">
        <v>390</v>
      </c>
      <c r="H459" s="11" t="s">
        <v>503</v>
      </c>
      <c r="I459" s="30">
        <v>5.0</v>
      </c>
      <c r="J459" s="31">
        <v>550.0</v>
      </c>
      <c r="K459" s="11">
        <v>1.0</v>
      </c>
      <c r="L459" s="32">
        <f>(650)/P459</f>
        <v>0.04259501966</v>
      </c>
      <c r="M459" s="32">
        <f>(1000/3)/P459</f>
        <v>0.02184359983</v>
      </c>
      <c r="N459" s="36">
        <f>(357500)*5%/P459</f>
        <v>1.171363041</v>
      </c>
      <c r="O459" s="32">
        <v>0.0</v>
      </c>
      <c r="P459" s="33">
        <v>15260.0</v>
      </c>
      <c r="Q459" s="34">
        <v>550.0</v>
      </c>
      <c r="R459" s="42">
        <v>23.427260812581913</v>
      </c>
      <c r="S459" s="36">
        <v>0.0218435998252512</v>
      </c>
      <c r="T459" s="36">
        <v>1.1713630406290956</v>
      </c>
      <c r="U459" s="36"/>
      <c r="V459" s="36">
        <v>22.277741371778067</v>
      </c>
      <c r="W459" s="37">
        <v>0.04050498431232376</v>
      </c>
      <c r="X459" s="42">
        <v>357500.0</v>
      </c>
      <c r="Y459" s="36">
        <v>333.3333333333333</v>
      </c>
      <c r="Z459" s="36">
        <v>17875.0</v>
      </c>
      <c r="AA459" s="36"/>
      <c r="AB459" s="36">
        <v>339958.3333333333</v>
      </c>
      <c r="AC459" s="37">
        <v>618.1060606060606</v>
      </c>
      <c r="AD459" s="31"/>
      <c r="AE459" s="11"/>
      <c r="AF459" s="11"/>
    </row>
    <row r="460">
      <c r="A460" s="11" t="s">
        <v>504</v>
      </c>
      <c r="B460" s="39">
        <v>43444.85486111111</v>
      </c>
      <c r="C460" s="40">
        <v>43435.0</v>
      </c>
      <c r="D460" s="27" t="s">
        <v>56</v>
      </c>
      <c r="E460" s="39" t="b">
        <v>0</v>
      </c>
      <c r="F460" s="11" t="s">
        <v>38</v>
      </c>
      <c r="G460" s="29" t="s">
        <v>505</v>
      </c>
      <c r="H460" s="11" t="s">
        <v>506</v>
      </c>
      <c r="I460" s="33"/>
      <c r="J460" s="31">
        <v>1.0</v>
      </c>
      <c r="K460" s="11">
        <v>1.0</v>
      </c>
      <c r="L460" s="32">
        <f>8050000*(1-2%)/P460</f>
        <v>788.9</v>
      </c>
      <c r="M460" s="32">
        <v>0.0</v>
      </c>
      <c r="N460" s="32"/>
      <c r="O460" s="32"/>
      <c r="P460" s="33">
        <v>10000.0</v>
      </c>
      <c r="Q460" s="34">
        <v>1.0</v>
      </c>
      <c r="R460" s="42">
        <v>788.9</v>
      </c>
      <c r="S460" s="36"/>
      <c r="T460" s="36"/>
      <c r="U460" s="36"/>
      <c r="V460" s="36">
        <v>788.9</v>
      </c>
      <c r="W460" s="37">
        <v>788.9</v>
      </c>
      <c r="X460" s="42">
        <v>7889000.0</v>
      </c>
      <c r="Y460" s="36"/>
      <c r="Z460" s="36"/>
      <c r="AA460" s="36"/>
      <c r="AB460" s="36">
        <v>7889000.0</v>
      </c>
      <c r="AC460" s="37">
        <v>7889000.0</v>
      </c>
      <c r="AD460" s="31">
        <v>8050000.0</v>
      </c>
      <c r="AE460" s="11">
        <v>8050000.0</v>
      </c>
      <c r="AF460" s="11" t="s">
        <v>100</v>
      </c>
    </row>
    <row r="461">
      <c r="A461" s="11" t="s">
        <v>507</v>
      </c>
      <c r="B461" s="39">
        <v>45592.979166666664</v>
      </c>
      <c r="C461" s="40">
        <v>45598.70972222222</v>
      </c>
      <c r="D461" s="27" t="s">
        <v>33</v>
      </c>
      <c r="E461" s="11" t="b">
        <v>0</v>
      </c>
      <c r="F461" s="11" t="s">
        <v>49</v>
      </c>
      <c r="G461" s="11" t="s">
        <v>212</v>
      </c>
      <c r="H461" s="11" t="s">
        <v>216</v>
      </c>
      <c r="I461" s="30">
        <v>5.0</v>
      </c>
      <c r="J461" s="31">
        <v>1000.0</v>
      </c>
      <c r="K461" s="11">
        <v>1.0</v>
      </c>
      <c r="L461" s="32">
        <f>(675)/P461</f>
        <v>0.04300732717</v>
      </c>
      <c r="M461" s="32">
        <f>(1000/4)/P461</f>
        <v>0.01592863969</v>
      </c>
      <c r="N461" s="36">
        <f>(675000)*10%/P461</f>
        <v>4.300732717</v>
      </c>
      <c r="O461" s="32">
        <v>0.0</v>
      </c>
      <c r="P461" s="33">
        <v>15695.0</v>
      </c>
      <c r="Q461" s="34">
        <v>1000.0</v>
      </c>
      <c r="R461" s="42">
        <v>43.00732717425932</v>
      </c>
      <c r="S461" s="36">
        <v>0.01592863969417012</v>
      </c>
      <c r="T461" s="36">
        <v>4.300732717425932</v>
      </c>
      <c r="U461" s="36"/>
      <c r="V461" s="36">
        <v>38.72252309652756</v>
      </c>
      <c r="W461" s="37">
        <v>0.03872252309652756</v>
      </c>
      <c r="X461" s="42">
        <v>675000.0000000001</v>
      </c>
      <c r="Y461" s="36">
        <v>250.0</v>
      </c>
      <c r="Z461" s="36">
        <v>67500.0</v>
      </c>
      <c r="AA461" s="36"/>
      <c r="AB461" s="36">
        <v>607750.0</v>
      </c>
      <c r="AC461" s="37">
        <v>607.75</v>
      </c>
      <c r="AD461" s="31"/>
      <c r="AE461" s="11"/>
      <c r="AF461" s="11"/>
    </row>
    <row r="462">
      <c r="A462" s="11" t="s">
        <v>507</v>
      </c>
      <c r="B462" s="39">
        <v>45590.006944444445</v>
      </c>
      <c r="C462" s="40">
        <v>45597.615277777775</v>
      </c>
      <c r="D462" s="27" t="s">
        <v>37</v>
      </c>
      <c r="E462" s="11" t="b">
        <v>0</v>
      </c>
      <c r="F462" s="11" t="s">
        <v>49</v>
      </c>
      <c r="G462" s="11" t="s">
        <v>212</v>
      </c>
      <c r="H462" s="11" t="s">
        <v>508</v>
      </c>
      <c r="I462" s="30">
        <v>5.0</v>
      </c>
      <c r="J462" s="31">
        <v>600.0</v>
      </c>
      <c r="K462" s="11">
        <v>1.0</v>
      </c>
      <c r="L462" s="32">
        <f t="shared" ref="L462:L464" si="134">(680)/P462</f>
        <v>0.04332589997</v>
      </c>
      <c r="M462" s="32">
        <f>(99)/P462</f>
        <v>0.006307741319</v>
      </c>
      <c r="N462" s="32">
        <f>(48960)/P462</f>
        <v>3.119464798</v>
      </c>
      <c r="O462" s="32">
        <v>0.0</v>
      </c>
      <c r="P462" s="33">
        <v>15695.0</v>
      </c>
      <c r="Q462" s="34">
        <v>600.0</v>
      </c>
      <c r="R462" s="42">
        <v>25.99553998088563</v>
      </c>
      <c r="S462" s="36">
        <v>0.006307741318891367</v>
      </c>
      <c r="T462" s="36">
        <v>3.119464797706276</v>
      </c>
      <c r="U462" s="36"/>
      <c r="V462" s="36">
        <v>22.88238292449825</v>
      </c>
      <c r="W462" s="37">
        <v>0.038137304874163745</v>
      </c>
      <c r="X462" s="42">
        <v>408000.0</v>
      </c>
      <c r="Y462" s="36">
        <v>99.0</v>
      </c>
      <c r="Z462" s="36">
        <v>48960.0</v>
      </c>
      <c r="AA462" s="36"/>
      <c r="AB462" s="36">
        <v>359139.0</v>
      </c>
      <c r="AC462" s="37">
        <v>598.565</v>
      </c>
      <c r="AD462" s="31"/>
      <c r="AE462" s="11"/>
      <c r="AF462" s="11"/>
    </row>
    <row r="463">
      <c r="A463" s="11" t="s">
        <v>507</v>
      </c>
      <c r="B463" s="39">
        <v>45453.34652777778</v>
      </c>
      <c r="C463" s="40">
        <v>45456.59444444445</v>
      </c>
      <c r="D463" s="27" t="s">
        <v>33</v>
      </c>
      <c r="E463" s="11" t="b">
        <v>0</v>
      </c>
      <c r="F463" s="11" t="s">
        <v>38</v>
      </c>
      <c r="G463" s="11" t="s">
        <v>362</v>
      </c>
      <c r="H463" s="11" t="s">
        <v>468</v>
      </c>
      <c r="I463" s="30">
        <v>5.0</v>
      </c>
      <c r="J463" s="31">
        <v>200.0</v>
      </c>
      <c r="K463" s="11">
        <v>1.0</v>
      </c>
      <c r="L463" s="32">
        <f t="shared" si="134"/>
        <v>0.04166921993</v>
      </c>
      <c r="M463" s="32">
        <f>(207)/P463</f>
        <v>0.01268460077</v>
      </c>
      <c r="N463" s="32">
        <f>(2722)/P463</f>
        <v>0.1667994362</v>
      </c>
      <c r="O463" s="32">
        <v>0.0</v>
      </c>
      <c r="P463" s="33">
        <v>16319.0</v>
      </c>
      <c r="Q463" s="34">
        <v>200.0</v>
      </c>
      <c r="R463" s="42">
        <v>8.33384398553833</v>
      </c>
      <c r="S463" s="36">
        <v>0.012684600772106133</v>
      </c>
      <c r="T463" s="36">
        <v>0.16679943623996568</v>
      </c>
      <c r="U463" s="36"/>
      <c r="V463" s="36">
        <v>8.17972915007047</v>
      </c>
      <c r="W463" s="37">
        <v>0.04089864575035235</v>
      </c>
      <c r="X463" s="42">
        <v>136000.0</v>
      </c>
      <c r="Y463" s="36">
        <v>207.0</v>
      </c>
      <c r="Z463" s="36">
        <v>2722.0</v>
      </c>
      <c r="AA463" s="36"/>
      <c r="AB463" s="36">
        <v>133485.0</v>
      </c>
      <c r="AC463" s="37">
        <v>667.425</v>
      </c>
      <c r="AD463" s="31"/>
      <c r="AE463" s="11"/>
      <c r="AF463" s="11"/>
    </row>
    <row r="464">
      <c r="A464" s="11" t="s">
        <v>507</v>
      </c>
      <c r="B464" s="39">
        <v>45372.88125</v>
      </c>
      <c r="C464" s="40">
        <v>45374.67943625</v>
      </c>
      <c r="D464" s="27" t="s">
        <v>37</v>
      </c>
      <c r="E464" s="11" t="b">
        <v>0</v>
      </c>
      <c r="F464" s="11" t="s">
        <v>38</v>
      </c>
      <c r="G464" s="11" t="s">
        <v>154</v>
      </c>
      <c r="H464" s="11" t="s">
        <v>154</v>
      </c>
      <c r="I464" s="30">
        <v>5.0</v>
      </c>
      <c r="J464" s="31">
        <v>460.0</v>
      </c>
      <c r="K464" s="11">
        <v>1.0</v>
      </c>
      <c r="L464" s="32">
        <f t="shared" si="134"/>
        <v>0.04335352247</v>
      </c>
      <c r="M464" s="32">
        <f t="shared" ref="M464:M465" si="135">(1000)/P464</f>
        <v>0.06375518011</v>
      </c>
      <c r="N464" s="32">
        <f>(25000)/P464</f>
        <v>1.593879503</v>
      </c>
      <c r="O464" s="32">
        <v>0.0</v>
      </c>
      <c r="P464" s="33">
        <v>15685.0</v>
      </c>
      <c r="Q464" s="34">
        <v>460.0</v>
      </c>
      <c r="R464" s="42">
        <v>19.942620337902454</v>
      </c>
      <c r="S464" s="36">
        <v>0.06375518010838381</v>
      </c>
      <c r="T464" s="36">
        <v>1.593879502709595</v>
      </c>
      <c r="U464" s="36"/>
      <c r="V464" s="36">
        <v>18.412496015301244</v>
      </c>
      <c r="W464" s="37">
        <v>0.040027165250654875</v>
      </c>
      <c r="X464" s="42">
        <v>312800.0</v>
      </c>
      <c r="Y464" s="36">
        <v>1000.0000000000001</v>
      </c>
      <c r="Z464" s="36">
        <v>25000.0</v>
      </c>
      <c r="AA464" s="36"/>
      <c r="AB464" s="36">
        <v>288800.0</v>
      </c>
      <c r="AC464" s="37">
        <v>627.8260869565217</v>
      </c>
      <c r="AD464" s="31"/>
      <c r="AE464" s="11"/>
      <c r="AF464" s="11"/>
    </row>
    <row r="465">
      <c r="A465" s="11" t="s">
        <v>509</v>
      </c>
      <c r="B465" s="77">
        <v>45972.01875</v>
      </c>
      <c r="C465" s="40">
        <v>45980.69236111111</v>
      </c>
      <c r="D465" s="27" t="s">
        <v>33</v>
      </c>
      <c r="E465" s="11" t="b">
        <v>0</v>
      </c>
      <c r="F465" s="11" t="s">
        <v>49</v>
      </c>
      <c r="G465" s="11" t="s">
        <v>212</v>
      </c>
      <c r="H465" s="11" t="s">
        <v>510</v>
      </c>
      <c r="I465" s="30">
        <v>5.0</v>
      </c>
      <c r="J465" s="31">
        <v>2129.0</v>
      </c>
      <c r="K465" s="11">
        <v>1.0</v>
      </c>
      <c r="L465" s="32">
        <f>(2250*350/2129)/P465</f>
        <v>369.8919681</v>
      </c>
      <c r="M465" s="32">
        <f t="shared" si="135"/>
        <v>1000</v>
      </c>
      <c r="N465" s="32">
        <f t="shared" ref="N465:N466" si="136">(X465*12%)/P465</f>
        <v>94500</v>
      </c>
      <c r="O465" s="32">
        <v>0.0</v>
      </c>
      <c r="P465" s="33">
        <v>1.0</v>
      </c>
      <c r="Q465" s="34">
        <v>2129.0</v>
      </c>
      <c r="R465" s="42">
        <v>787500.0</v>
      </c>
      <c r="S465" s="36">
        <v>1000.0</v>
      </c>
      <c r="T465" s="36">
        <v>94500.0</v>
      </c>
      <c r="U465" s="36"/>
      <c r="V465" s="36">
        <v>694000.0</v>
      </c>
      <c r="W465" s="37">
        <v>325.974635979333</v>
      </c>
      <c r="X465" s="42">
        <v>787500.0</v>
      </c>
      <c r="Y465" s="36">
        <v>1000.0</v>
      </c>
      <c r="Z465" s="36">
        <v>94500.0</v>
      </c>
      <c r="AA465" s="36"/>
      <c r="AB465" s="36">
        <v>694000.0</v>
      </c>
      <c r="AC465" s="37">
        <v>325.974635979333</v>
      </c>
      <c r="AD465" s="31"/>
      <c r="AE465" s="11"/>
      <c r="AF465" s="11"/>
    </row>
    <row r="466">
      <c r="A466" s="11" t="s">
        <v>509</v>
      </c>
      <c r="B466" s="39">
        <v>45712.763194444444</v>
      </c>
      <c r="C466" s="40">
        <v>45715.59375</v>
      </c>
      <c r="D466" s="27" t="s">
        <v>33</v>
      </c>
      <c r="E466" s="11" t="b">
        <v>0</v>
      </c>
      <c r="F466" s="11" t="s">
        <v>49</v>
      </c>
      <c r="G466" s="11" t="s">
        <v>212</v>
      </c>
      <c r="H466" s="11" t="s">
        <v>511</v>
      </c>
      <c r="I466" s="30">
        <v>5.0</v>
      </c>
      <c r="J466" s="31">
        <v>500.0</v>
      </c>
      <c r="K466" s="11">
        <v>1.0</v>
      </c>
      <c r="L466" s="32">
        <f t="shared" ref="L466:L468" si="137">(360)/P466</f>
        <v>0.02211573903</v>
      </c>
      <c r="M466" s="32">
        <f>(676/2)/P466</f>
        <v>0.02076422165</v>
      </c>
      <c r="N466" s="32">
        <f t="shared" si="136"/>
        <v>1.326944342</v>
      </c>
      <c r="O466" s="32">
        <v>0.0</v>
      </c>
      <c r="P466" s="33">
        <v>16278.0</v>
      </c>
      <c r="Q466" s="34">
        <v>500.0</v>
      </c>
      <c r="R466" s="42">
        <v>11.057869517139697</v>
      </c>
      <c r="S466" s="36">
        <v>0.02076422164885121</v>
      </c>
      <c r="T466" s="36">
        <v>1.3269443420567635</v>
      </c>
      <c r="U466" s="36"/>
      <c r="V466" s="36">
        <v>9.751689396731784</v>
      </c>
      <c r="W466" s="37">
        <v>0.019503378793463567</v>
      </c>
      <c r="X466" s="42">
        <v>179999.99999999997</v>
      </c>
      <c r="Y466" s="36">
        <v>338.0</v>
      </c>
      <c r="Z466" s="36">
        <v>21599.999999999996</v>
      </c>
      <c r="AA466" s="36"/>
      <c r="AB466" s="36">
        <v>158737.99999999997</v>
      </c>
      <c r="AC466" s="37">
        <v>317.47599999999994</v>
      </c>
      <c r="AD466" s="31"/>
      <c r="AE466" s="11"/>
      <c r="AF466" s="11"/>
    </row>
    <row r="467">
      <c r="A467" s="11" t="s">
        <v>509</v>
      </c>
      <c r="B467" s="39">
        <v>45642.129166666666</v>
      </c>
      <c r="C467" s="40">
        <v>45644.913194444445</v>
      </c>
      <c r="D467" s="27" t="s">
        <v>33</v>
      </c>
      <c r="E467" s="11" t="b">
        <v>0</v>
      </c>
      <c r="F467" s="11" t="s">
        <v>49</v>
      </c>
      <c r="G467" s="11" t="s">
        <v>212</v>
      </c>
      <c r="H467" s="11" t="s">
        <v>512</v>
      </c>
      <c r="I467" s="30">
        <v>5.0</v>
      </c>
      <c r="J467" s="31">
        <v>30.0</v>
      </c>
      <c r="K467" s="11">
        <v>1.0</v>
      </c>
      <c r="L467" s="32">
        <f t="shared" si="137"/>
        <v>0.02248875562</v>
      </c>
      <c r="M467" s="32">
        <f>(2000)/P467</f>
        <v>0.1249375312</v>
      </c>
      <c r="N467" s="32">
        <f>(10000)/P467</f>
        <v>0.6246876562</v>
      </c>
      <c r="O467" s="32">
        <v>0.0</v>
      </c>
      <c r="P467" s="33">
        <v>16008.0</v>
      </c>
      <c r="Q467" s="34">
        <v>30.0</v>
      </c>
      <c r="R467" s="42">
        <v>0.6746626686656673</v>
      </c>
      <c r="S467" s="36">
        <v>0.12493753123438281</v>
      </c>
      <c r="T467" s="36">
        <v>0.624687656171914</v>
      </c>
      <c r="U467" s="36"/>
      <c r="V467" s="36">
        <v>0.17491254372813603</v>
      </c>
      <c r="W467" s="37">
        <v>0.0058304181242712005</v>
      </c>
      <c r="X467" s="42">
        <v>10800.000000000002</v>
      </c>
      <c r="Y467" s="36">
        <v>2000.0</v>
      </c>
      <c r="Z467" s="36">
        <v>10000.0</v>
      </c>
      <c r="AA467" s="36"/>
      <c r="AB467" s="36">
        <v>2800.0000000000014</v>
      </c>
      <c r="AC467" s="37">
        <v>93.33333333333339</v>
      </c>
      <c r="AD467" s="31"/>
      <c r="AE467" s="11"/>
      <c r="AF467" s="11"/>
    </row>
    <row r="468">
      <c r="A468" s="11" t="s">
        <v>509</v>
      </c>
      <c r="B468" s="39">
        <v>45598.59930555556</v>
      </c>
      <c r="C468" s="40">
        <v>45605.541666666664</v>
      </c>
      <c r="D468" s="27" t="s">
        <v>37</v>
      </c>
      <c r="E468" s="11" t="b">
        <v>0</v>
      </c>
      <c r="F468" s="11" t="s">
        <v>49</v>
      </c>
      <c r="G468" s="11" t="s">
        <v>212</v>
      </c>
      <c r="H468" s="11" t="s">
        <v>245</v>
      </c>
      <c r="I468" s="30">
        <v>5.0</v>
      </c>
      <c r="J468" s="31">
        <v>500.0</v>
      </c>
      <c r="K468" s="11">
        <v>1.0</v>
      </c>
      <c r="L468" s="32">
        <f t="shared" si="137"/>
        <v>0.02272440348</v>
      </c>
      <c r="M468" s="32">
        <f>(1000/5 + 1800/5)/P468</f>
        <v>0.03534907209</v>
      </c>
      <c r="N468" s="32">
        <f>X468*8%/P468</f>
        <v>0.9089761394</v>
      </c>
      <c r="O468" s="32">
        <v>0.0</v>
      </c>
      <c r="P468" s="33">
        <v>15842.0</v>
      </c>
      <c r="Q468" s="34">
        <v>500.0</v>
      </c>
      <c r="R468" s="42">
        <v>11.362201742204267</v>
      </c>
      <c r="S468" s="36">
        <v>0.03534907208685772</v>
      </c>
      <c r="T468" s="36">
        <v>0.9089761393763414</v>
      </c>
      <c r="U468" s="36"/>
      <c r="V468" s="36">
        <v>10.488574674914783</v>
      </c>
      <c r="W468" s="37">
        <v>0.02097714934982957</v>
      </c>
      <c r="X468" s="42">
        <v>180000.0</v>
      </c>
      <c r="Y468" s="36">
        <v>560.0</v>
      </c>
      <c r="Z468" s="36">
        <v>14400.0</v>
      </c>
      <c r="AA468" s="36"/>
      <c r="AB468" s="36">
        <v>166160.0</v>
      </c>
      <c r="AC468" s="37">
        <v>332.32</v>
      </c>
      <c r="AD468" s="31"/>
      <c r="AE468" s="11"/>
      <c r="AF468" s="11"/>
    </row>
    <row r="469">
      <c r="A469" s="11" t="s">
        <v>509</v>
      </c>
      <c r="B469" s="39">
        <v>45439.88055555556</v>
      </c>
      <c r="C469" s="40">
        <v>45442.7985122338</v>
      </c>
      <c r="D469" s="27" t="s">
        <v>37</v>
      </c>
      <c r="E469" s="11" t="b">
        <v>0</v>
      </c>
      <c r="F469" s="11" t="s">
        <v>38</v>
      </c>
      <c r="G469" s="11" t="s">
        <v>390</v>
      </c>
      <c r="H469" s="11" t="s">
        <v>513</v>
      </c>
      <c r="I469" s="30">
        <v>5.0</v>
      </c>
      <c r="J469" s="31">
        <v>88.0</v>
      </c>
      <c r="K469" s="11">
        <v>1.0</v>
      </c>
      <c r="L469" s="32">
        <f t="shared" ref="L469:L472" si="138">(375)/P469</f>
        <v>0.0233426704</v>
      </c>
      <c r="M469" s="32">
        <f t="shared" ref="M469:M472" si="139">(1000)/P469</f>
        <v>0.06224712107</v>
      </c>
      <c r="N469" s="32">
        <f t="shared" ref="N469:N472" si="140">(9900)/P469</f>
        <v>0.6162464986</v>
      </c>
      <c r="O469" s="32">
        <v>0.0</v>
      </c>
      <c r="P469" s="33">
        <v>16065.0</v>
      </c>
      <c r="Q469" s="34">
        <v>88.0</v>
      </c>
      <c r="R469" s="42">
        <v>2.0541549953314657</v>
      </c>
      <c r="S469" s="36">
        <v>0.06224712107065048</v>
      </c>
      <c r="T469" s="36">
        <v>0.6162464985994398</v>
      </c>
      <c r="U469" s="36"/>
      <c r="V469" s="36">
        <v>1.5001556178026765</v>
      </c>
      <c r="W469" s="37">
        <v>0.01704722292957587</v>
      </c>
      <c r="X469" s="42">
        <v>33000.0</v>
      </c>
      <c r="Y469" s="36">
        <v>1000.0</v>
      </c>
      <c r="Z469" s="36">
        <v>9900.0</v>
      </c>
      <c r="AA469" s="36"/>
      <c r="AB469" s="36">
        <v>24099.999999999996</v>
      </c>
      <c r="AC469" s="37">
        <v>273.8636363636363</v>
      </c>
      <c r="AD469" s="31"/>
      <c r="AE469" s="11"/>
      <c r="AF469" s="11"/>
    </row>
    <row r="470">
      <c r="A470" s="11" t="s">
        <v>509</v>
      </c>
      <c r="B470" s="39">
        <v>45439.73125</v>
      </c>
      <c r="C470" s="40">
        <v>45442.7985122338</v>
      </c>
      <c r="D470" s="27" t="s">
        <v>37</v>
      </c>
      <c r="E470" s="11" t="b">
        <v>0</v>
      </c>
      <c r="F470" s="11" t="s">
        <v>38</v>
      </c>
      <c r="G470" s="11" t="s">
        <v>390</v>
      </c>
      <c r="H470" s="11" t="s">
        <v>201</v>
      </c>
      <c r="I470" s="30">
        <v>5.0</v>
      </c>
      <c r="J470" s="31">
        <v>88.0</v>
      </c>
      <c r="K470" s="11">
        <v>1.0</v>
      </c>
      <c r="L470" s="32">
        <f t="shared" si="138"/>
        <v>0.0233426704</v>
      </c>
      <c r="M470" s="32">
        <f t="shared" si="139"/>
        <v>0.06224712107</v>
      </c>
      <c r="N470" s="32">
        <f t="shared" si="140"/>
        <v>0.6162464986</v>
      </c>
      <c r="O470" s="32">
        <v>0.0</v>
      </c>
      <c r="P470" s="33">
        <v>16065.0</v>
      </c>
      <c r="Q470" s="34">
        <v>88.0</v>
      </c>
      <c r="R470" s="42">
        <v>2.0541549953314657</v>
      </c>
      <c r="S470" s="36">
        <v>0.06224712107065048</v>
      </c>
      <c r="T470" s="36">
        <v>0.6162464985994398</v>
      </c>
      <c r="U470" s="36"/>
      <c r="V470" s="36">
        <v>1.5001556178026765</v>
      </c>
      <c r="W470" s="37">
        <v>0.01704722292957587</v>
      </c>
      <c r="X470" s="42">
        <v>33000.0</v>
      </c>
      <c r="Y470" s="36">
        <v>1000.0</v>
      </c>
      <c r="Z470" s="36">
        <v>9900.0</v>
      </c>
      <c r="AA470" s="36"/>
      <c r="AB470" s="36">
        <v>24099.999999999996</v>
      </c>
      <c r="AC470" s="37">
        <v>273.8636363636363</v>
      </c>
      <c r="AD470" s="31"/>
      <c r="AE470" s="11"/>
      <c r="AF470" s="11"/>
    </row>
    <row r="471">
      <c r="A471" s="11" t="s">
        <v>509</v>
      </c>
      <c r="B471" s="39">
        <v>45438.61111111111</v>
      </c>
      <c r="C471" s="40">
        <v>45441.82296564815</v>
      </c>
      <c r="D471" s="27" t="s">
        <v>37</v>
      </c>
      <c r="E471" s="11" t="b">
        <v>0</v>
      </c>
      <c r="F471" s="11" t="s">
        <v>38</v>
      </c>
      <c r="G471" s="11" t="s">
        <v>390</v>
      </c>
      <c r="H471" s="11" t="s">
        <v>514</v>
      </c>
      <c r="I471" s="30">
        <v>5.0</v>
      </c>
      <c r="J471" s="31">
        <v>88.0</v>
      </c>
      <c r="K471" s="11">
        <v>1.0</v>
      </c>
      <c r="L471" s="32">
        <f t="shared" si="138"/>
        <v>0.02337176691</v>
      </c>
      <c r="M471" s="32">
        <f t="shared" si="139"/>
        <v>0.06232471175</v>
      </c>
      <c r="N471" s="32">
        <f t="shared" si="140"/>
        <v>0.6170146463</v>
      </c>
      <c r="O471" s="32">
        <v>0.0</v>
      </c>
      <c r="P471" s="33">
        <v>16045.0</v>
      </c>
      <c r="Q471" s="34">
        <v>88.0</v>
      </c>
      <c r="R471" s="42">
        <v>2.0567154876908695</v>
      </c>
      <c r="S471" s="36">
        <v>0.06232471174820817</v>
      </c>
      <c r="T471" s="36">
        <v>0.6170146463072609</v>
      </c>
      <c r="U471" s="36"/>
      <c r="V471" s="36">
        <v>1.502025553131817</v>
      </c>
      <c r="W471" s="37">
        <v>0.01706847219467974</v>
      </c>
      <c r="X471" s="42">
        <v>33000.0</v>
      </c>
      <c r="Y471" s="36">
        <v>1000.0</v>
      </c>
      <c r="Z471" s="36">
        <v>9900.0</v>
      </c>
      <c r="AA471" s="36"/>
      <c r="AB471" s="36">
        <v>24100.000000000004</v>
      </c>
      <c r="AC471" s="37">
        <v>273.86363636363643</v>
      </c>
      <c r="AD471" s="31"/>
      <c r="AE471" s="11"/>
      <c r="AF471" s="11"/>
    </row>
    <row r="472">
      <c r="A472" s="11" t="s">
        <v>509</v>
      </c>
      <c r="B472" s="39">
        <v>45437.65625</v>
      </c>
      <c r="C472" s="40">
        <v>45438.65</v>
      </c>
      <c r="D472" s="27" t="s">
        <v>33</v>
      </c>
      <c r="E472" s="11" t="b">
        <v>0</v>
      </c>
      <c r="F472" s="11" t="s">
        <v>38</v>
      </c>
      <c r="G472" s="11" t="s">
        <v>390</v>
      </c>
      <c r="H472" s="11" t="s">
        <v>515</v>
      </c>
      <c r="I472" s="30">
        <v>5.0</v>
      </c>
      <c r="J472" s="31">
        <v>88.0</v>
      </c>
      <c r="K472" s="11">
        <v>1.0</v>
      </c>
      <c r="L472" s="32">
        <f t="shared" si="138"/>
        <v>0.02337176691</v>
      </c>
      <c r="M472" s="32">
        <f t="shared" si="139"/>
        <v>0.06232471175</v>
      </c>
      <c r="N472" s="32">
        <f t="shared" si="140"/>
        <v>0.6170146463</v>
      </c>
      <c r="O472" s="32">
        <v>0.0</v>
      </c>
      <c r="P472" s="33">
        <v>16045.0</v>
      </c>
      <c r="Q472" s="34">
        <v>88.0</v>
      </c>
      <c r="R472" s="42">
        <v>2.0567154876908695</v>
      </c>
      <c r="S472" s="36">
        <v>0.06232471174820817</v>
      </c>
      <c r="T472" s="36">
        <v>0.6170146463072609</v>
      </c>
      <c r="U472" s="36"/>
      <c r="V472" s="36">
        <v>1.502025553131817</v>
      </c>
      <c r="W472" s="37">
        <v>0.01706847219467974</v>
      </c>
      <c r="X472" s="42">
        <v>33000.0</v>
      </c>
      <c r="Y472" s="36">
        <v>1000.0</v>
      </c>
      <c r="Z472" s="36">
        <v>9900.0</v>
      </c>
      <c r="AA472" s="36"/>
      <c r="AB472" s="36">
        <v>24100.000000000004</v>
      </c>
      <c r="AC472" s="37">
        <v>273.86363636363643</v>
      </c>
      <c r="AD472" s="31"/>
      <c r="AE472" s="11"/>
      <c r="AF472" s="11"/>
    </row>
    <row r="473">
      <c r="A473" s="11" t="s">
        <v>509</v>
      </c>
      <c r="B473" s="39">
        <v>45418.275</v>
      </c>
      <c r="C473" s="40">
        <v>45421.59652777778</v>
      </c>
      <c r="D473" s="27" t="s">
        <v>33</v>
      </c>
      <c r="E473" s="11" t="b">
        <v>0</v>
      </c>
      <c r="F473" s="11" t="s">
        <v>49</v>
      </c>
      <c r="G473" s="11" t="s">
        <v>107</v>
      </c>
      <c r="H473" s="11" t="s">
        <v>107</v>
      </c>
      <c r="I473" s="30">
        <v>5.0</v>
      </c>
      <c r="J473" s="31">
        <v>2.0</v>
      </c>
      <c r="K473" s="11">
        <v>1.0</v>
      </c>
      <c r="L473" s="32">
        <f>(574/2)/P473</f>
        <v>0.01790393013</v>
      </c>
      <c r="M473" s="32">
        <f>(6)/P473</f>
        <v>0.0003742981909</v>
      </c>
      <c r="N473" s="32">
        <f>(100)/P473</f>
        <v>0.006238303182</v>
      </c>
      <c r="O473" s="32">
        <v>0.0</v>
      </c>
      <c r="P473" s="33">
        <v>16030.0</v>
      </c>
      <c r="Q473" s="34">
        <v>2.0</v>
      </c>
      <c r="R473" s="42">
        <v>0.03580786026200873</v>
      </c>
      <c r="S473" s="36">
        <v>3.7429819089207733E-4</v>
      </c>
      <c r="T473" s="36">
        <v>0.006238303181534623</v>
      </c>
      <c r="U473" s="36"/>
      <c r="V473" s="36">
        <v>0.029943855271366185</v>
      </c>
      <c r="W473" s="37">
        <v>0.014971927635683092</v>
      </c>
      <c r="X473" s="42">
        <v>574.0</v>
      </c>
      <c r="Y473" s="36">
        <v>6.0</v>
      </c>
      <c r="Z473" s="36">
        <v>100.0</v>
      </c>
      <c r="AA473" s="36"/>
      <c r="AB473" s="36">
        <v>479.99999999999994</v>
      </c>
      <c r="AC473" s="37">
        <v>239.99999999999997</v>
      </c>
      <c r="AD473" s="31"/>
      <c r="AE473" s="11"/>
      <c r="AF473" s="11"/>
    </row>
    <row r="474">
      <c r="A474" s="11" t="s">
        <v>516</v>
      </c>
      <c r="B474" s="39">
        <v>45772.00347222222</v>
      </c>
      <c r="C474" s="40">
        <v>45775.402083333334</v>
      </c>
      <c r="D474" s="27" t="s">
        <v>37</v>
      </c>
      <c r="E474" s="11" t="b">
        <v>0</v>
      </c>
      <c r="F474" s="11" t="s">
        <v>49</v>
      </c>
      <c r="G474" s="11" t="s">
        <v>460</v>
      </c>
      <c r="H474" s="11" t="s">
        <v>517</v>
      </c>
      <c r="I474" s="30">
        <v>5.0</v>
      </c>
      <c r="J474" s="31">
        <v>100.0</v>
      </c>
      <c r="K474" s="11">
        <v>40.0</v>
      </c>
      <c r="L474" s="32">
        <f t="shared" ref="L474:L475" si="141">(7500)/P474</f>
        <v>0.4467210674</v>
      </c>
      <c r="M474" s="32">
        <f>(180)/P474</f>
        <v>0.01072130562</v>
      </c>
      <c r="N474" s="32">
        <f t="shared" ref="N474:N475" si="142">(X474*12%)/P474</f>
        <v>5.360652808</v>
      </c>
      <c r="O474" s="32">
        <v>0.0</v>
      </c>
      <c r="P474" s="33">
        <v>16789.0</v>
      </c>
      <c r="Q474" s="34">
        <v>4000.0</v>
      </c>
      <c r="R474" s="42">
        <v>44.672106736553694</v>
      </c>
      <c r="S474" s="36">
        <v>0.010721305616772887</v>
      </c>
      <c r="T474" s="36">
        <v>5.360652808386443</v>
      </c>
      <c r="U474" s="36"/>
      <c r="V474" s="36">
        <v>39.32217523378402</v>
      </c>
      <c r="W474" s="37">
        <v>0.009830543808446005</v>
      </c>
      <c r="X474" s="42">
        <v>750000.0</v>
      </c>
      <c r="Y474" s="36">
        <v>180.0</v>
      </c>
      <c r="Z474" s="36">
        <v>90000.0</v>
      </c>
      <c r="AA474" s="36"/>
      <c r="AB474" s="36">
        <v>660180.0</v>
      </c>
      <c r="AC474" s="37">
        <v>165.045</v>
      </c>
      <c r="AD474" s="31"/>
      <c r="AE474" s="11"/>
      <c r="AF474" s="11"/>
    </row>
    <row r="475">
      <c r="A475" s="11" t="s">
        <v>516</v>
      </c>
      <c r="B475" s="39">
        <v>45682.027083333334</v>
      </c>
      <c r="C475" s="40">
        <v>45685.47222222222</v>
      </c>
      <c r="D475" s="27" t="s">
        <v>33</v>
      </c>
      <c r="E475" s="11" t="b">
        <v>0</v>
      </c>
      <c r="F475" s="11" t="s">
        <v>49</v>
      </c>
      <c r="G475" s="11" t="s">
        <v>460</v>
      </c>
      <c r="H475" s="11" t="s">
        <v>518</v>
      </c>
      <c r="I475" s="30">
        <v>5.0</v>
      </c>
      <c r="J475" s="31">
        <v>110.0</v>
      </c>
      <c r="K475" s="11">
        <v>40.0</v>
      </c>
      <c r="L475" s="32">
        <f t="shared" si="141"/>
        <v>0.4637645313</v>
      </c>
      <c r="M475" s="32">
        <f>(558/3)/P475</f>
        <v>0.01150136038</v>
      </c>
      <c r="N475" s="32">
        <f t="shared" si="142"/>
        <v>6.121691813</v>
      </c>
      <c r="O475" s="32">
        <v>0.0</v>
      </c>
      <c r="P475" s="33">
        <v>16172.0</v>
      </c>
      <c r="Q475" s="34">
        <v>4400.0</v>
      </c>
      <c r="R475" s="42">
        <v>51.01409844175117</v>
      </c>
      <c r="S475" s="36">
        <v>0.011501360375958447</v>
      </c>
      <c r="T475" s="36">
        <v>6.121691813010141</v>
      </c>
      <c r="U475" s="36"/>
      <c r="V475" s="36">
        <v>44.90390798911699</v>
      </c>
      <c r="W475" s="37">
        <v>0.010205433633890225</v>
      </c>
      <c r="X475" s="42">
        <v>825000.0</v>
      </c>
      <c r="Y475" s="36">
        <v>186.0</v>
      </c>
      <c r="Z475" s="36">
        <v>99000.0</v>
      </c>
      <c r="AA475" s="36"/>
      <c r="AB475" s="36">
        <v>726185.9999999999</v>
      </c>
      <c r="AC475" s="37">
        <v>165.0422727272727</v>
      </c>
      <c r="AD475" s="31"/>
      <c r="AE475" s="11"/>
      <c r="AF475" s="11"/>
    </row>
    <row r="476">
      <c r="A476" s="11" t="s">
        <v>516</v>
      </c>
      <c r="B476" s="39">
        <v>45468.998611111114</v>
      </c>
      <c r="C476" s="40">
        <v>45472.71388888889</v>
      </c>
      <c r="D476" s="27" t="s">
        <v>37</v>
      </c>
      <c r="E476" s="11" t="b">
        <v>0</v>
      </c>
      <c r="F476" s="11" t="s">
        <v>49</v>
      </c>
      <c r="G476" s="11" t="s">
        <v>498</v>
      </c>
      <c r="H476" s="11" t="s">
        <v>519</v>
      </c>
      <c r="I476" s="30">
        <v>5.0</v>
      </c>
      <c r="J476" s="31">
        <v>12.0</v>
      </c>
      <c r="K476" s="11">
        <v>40.0</v>
      </c>
      <c r="L476" s="32">
        <f t="shared" ref="L476:L477" si="143">(8000)/P476</f>
        <v>0.4875373271</v>
      </c>
      <c r="M476" s="32">
        <f>(74)/P476</f>
        <v>0.004509720275</v>
      </c>
      <c r="N476" s="32">
        <f>(9600)/P476</f>
        <v>0.5850447925</v>
      </c>
      <c r="O476" s="32">
        <v>0.0</v>
      </c>
      <c r="P476" s="33">
        <v>16409.0</v>
      </c>
      <c r="Q476" s="34">
        <v>480.0</v>
      </c>
      <c r="R476" s="42">
        <v>5.850447924919251</v>
      </c>
      <c r="S476" s="36">
        <v>0.00450972027545859</v>
      </c>
      <c r="T476" s="36">
        <v>0.5850447924919252</v>
      </c>
      <c r="U476" s="36"/>
      <c r="V476" s="36">
        <v>5.2699128527027845</v>
      </c>
      <c r="W476" s="37">
        <v>0.010978985109797468</v>
      </c>
      <c r="X476" s="42">
        <v>96000.0</v>
      </c>
      <c r="Y476" s="36">
        <v>74.0</v>
      </c>
      <c r="Z476" s="36">
        <v>9600.0</v>
      </c>
      <c r="AA476" s="36"/>
      <c r="AB476" s="36">
        <v>86473.99999999999</v>
      </c>
      <c r="AC476" s="37">
        <v>180.15416666666664</v>
      </c>
      <c r="AD476" s="31"/>
      <c r="AE476" s="11"/>
      <c r="AF476" s="11"/>
    </row>
    <row r="477">
      <c r="A477" s="11" t="s">
        <v>516</v>
      </c>
      <c r="B477" s="39">
        <v>45468.652083333334</v>
      </c>
      <c r="C477" s="40">
        <v>45470.625</v>
      </c>
      <c r="D477" s="27" t="s">
        <v>37</v>
      </c>
      <c r="E477" s="11" t="b">
        <v>0</v>
      </c>
      <c r="F477" s="11" t="s">
        <v>49</v>
      </c>
      <c r="G477" s="11" t="s">
        <v>498</v>
      </c>
      <c r="H477" s="11" t="s">
        <v>520</v>
      </c>
      <c r="I477" s="30">
        <v>5.0</v>
      </c>
      <c r="J477" s="31">
        <v>4.0</v>
      </c>
      <c r="K477" s="11">
        <v>40.0</v>
      </c>
      <c r="L477" s="32">
        <f t="shared" si="143"/>
        <v>0.4875373271</v>
      </c>
      <c r="M477" s="32">
        <f>(167)/P477</f>
        <v>0.0101773417</v>
      </c>
      <c r="N477" s="32">
        <f>(3200)/P477</f>
        <v>0.1950149308</v>
      </c>
      <c r="O477" s="32">
        <v>0.0</v>
      </c>
      <c r="P477" s="33">
        <v>16409.0</v>
      </c>
      <c r="Q477" s="34">
        <v>160.0</v>
      </c>
      <c r="R477" s="42">
        <v>1.9501493083064172</v>
      </c>
      <c r="S477" s="36">
        <v>0.010177341702724114</v>
      </c>
      <c r="T477" s="36">
        <v>0.19501493083064173</v>
      </c>
      <c r="U477" s="36"/>
      <c r="V477" s="36">
        <v>1.7653117191784997</v>
      </c>
      <c r="W477" s="37">
        <v>0.011033198244865624</v>
      </c>
      <c r="X477" s="42">
        <v>32000.0</v>
      </c>
      <c r="Y477" s="36">
        <v>167.0</v>
      </c>
      <c r="Z477" s="36">
        <v>3200.0</v>
      </c>
      <c r="AA477" s="36"/>
      <c r="AB477" s="36">
        <v>28967.000000000004</v>
      </c>
      <c r="AC477" s="37">
        <v>181.04375000000002</v>
      </c>
      <c r="AD477" s="31"/>
      <c r="AE477" s="11"/>
      <c r="AF477" s="11"/>
    </row>
    <row r="478">
      <c r="A478" s="11" t="s">
        <v>516</v>
      </c>
      <c r="B478" s="39">
        <v>45417.98055555556</v>
      </c>
      <c r="C478" s="40">
        <v>45421.62433767361</v>
      </c>
      <c r="D478" s="27" t="s">
        <v>33</v>
      </c>
      <c r="E478" s="11" t="b">
        <v>0</v>
      </c>
      <c r="F478" s="11" t="s">
        <v>49</v>
      </c>
      <c r="G478" s="11" t="s">
        <v>521</v>
      </c>
      <c r="H478" s="11" t="s">
        <v>521</v>
      </c>
      <c r="I478" s="30">
        <v>5.0</v>
      </c>
      <c r="J478" s="31">
        <v>35.0</v>
      </c>
      <c r="K478" s="11">
        <v>40.0</v>
      </c>
      <c r="L478" s="32">
        <f>(259525/35)/P478</f>
        <v>0.4643371532</v>
      </c>
      <c r="M478" s="32">
        <f>(112)/P478</f>
        <v>0.007013588828</v>
      </c>
      <c r="N478" s="32">
        <f>(20762)/P478</f>
        <v>1.300144029</v>
      </c>
      <c r="O478" s="32">
        <v>0.0</v>
      </c>
      <c r="P478" s="33">
        <v>15969.0</v>
      </c>
      <c r="Q478" s="34">
        <v>1400.0</v>
      </c>
      <c r="R478" s="42">
        <v>16.251800363203706</v>
      </c>
      <c r="S478" s="36">
        <v>0.007013588828354938</v>
      </c>
      <c r="T478" s="36">
        <v>1.3001440290562967</v>
      </c>
      <c r="U478" s="36"/>
      <c r="V478" s="36">
        <v>14.958669922975764</v>
      </c>
      <c r="W478" s="37">
        <v>0.010684764230696975</v>
      </c>
      <c r="X478" s="42">
        <v>259525.0</v>
      </c>
      <c r="Y478" s="36">
        <v>112.0</v>
      </c>
      <c r="Z478" s="36">
        <v>20762.0</v>
      </c>
      <c r="AA478" s="36"/>
      <c r="AB478" s="36">
        <v>238874.99999999997</v>
      </c>
      <c r="AC478" s="37">
        <v>170.62499999999997</v>
      </c>
      <c r="AD478" s="31"/>
      <c r="AE478" s="11"/>
      <c r="AF478" s="11"/>
    </row>
    <row r="479">
      <c r="A479" s="11" t="s">
        <v>516</v>
      </c>
      <c r="B479" s="39">
        <v>45417.75625</v>
      </c>
      <c r="C479" s="40">
        <v>45423.561111111114</v>
      </c>
      <c r="D479" s="27" t="s">
        <v>37</v>
      </c>
      <c r="E479" s="11" t="b">
        <v>0</v>
      </c>
      <c r="F479" s="11" t="s">
        <v>49</v>
      </c>
      <c r="G479" s="11" t="s">
        <v>522</v>
      </c>
      <c r="H479" s="11" t="s">
        <v>522</v>
      </c>
      <c r="I479" s="30">
        <v>5.0</v>
      </c>
      <c r="J479" s="31">
        <v>20.0</v>
      </c>
      <c r="K479" s="11">
        <v>40.0</v>
      </c>
      <c r="L479" s="32">
        <f>(148300/20)/P479</f>
        <v>0.4643371532</v>
      </c>
      <c r="M479" s="32">
        <f>(21000 + 40)/P479</f>
        <v>1.317552758</v>
      </c>
      <c r="N479" s="32">
        <f>(11864)/P479</f>
        <v>0.7429394452</v>
      </c>
      <c r="O479" s="32">
        <f>(20000)/P479</f>
        <v>1.252426576</v>
      </c>
      <c r="P479" s="33">
        <v>15969.0</v>
      </c>
      <c r="Q479" s="34">
        <v>800.0</v>
      </c>
      <c r="R479" s="42">
        <v>9.286743064687833</v>
      </c>
      <c r="S479" s="36">
        <v>1.3175527584695348</v>
      </c>
      <c r="T479" s="36">
        <v>0.7429394451750266</v>
      </c>
      <c r="U479" s="36">
        <v>1.252426576491953</v>
      </c>
      <c r="V479" s="36">
        <v>8.608929801490389</v>
      </c>
      <c r="W479" s="37">
        <v>0.010761162251862987</v>
      </c>
      <c r="X479" s="42">
        <v>148300.0</v>
      </c>
      <c r="Y479" s="36">
        <v>21040.0</v>
      </c>
      <c r="Z479" s="36">
        <v>11864.0</v>
      </c>
      <c r="AA479" s="36">
        <v>20000.0</v>
      </c>
      <c r="AB479" s="36">
        <v>137476.00000000003</v>
      </c>
      <c r="AC479" s="37">
        <v>171.84500000000003</v>
      </c>
      <c r="AD479" s="31"/>
      <c r="AE479" s="11"/>
      <c r="AF479" s="11"/>
    </row>
    <row r="480">
      <c r="A480" s="11" t="s">
        <v>516</v>
      </c>
      <c r="B480" s="39">
        <v>45408.74791666667</v>
      </c>
      <c r="C480" s="40">
        <v>45410.70921342593</v>
      </c>
      <c r="D480" s="27" t="s">
        <v>33</v>
      </c>
      <c r="E480" s="11" t="b">
        <v>0</v>
      </c>
      <c r="F480" s="11" t="s">
        <v>38</v>
      </c>
      <c r="G480" s="11" t="s">
        <v>154</v>
      </c>
      <c r="H480" s="11" t="s">
        <v>154</v>
      </c>
      <c r="I480" s="30">
        <v>5.0</v>
      </c>
      <c r="J480" s="31">
        <v>1.0</v>
      </c>
      <c r="K480" s="11">
        <v>40.0</v>
      </c>
      <c r="L480" s="32">
        <f>(6600)/P480</f>
        <v>0.4063789176</v>
      </c>
      <c r="M480" s="32">
        <f>(1000)/2/P480</f>
        <v>0.03078628163</v>
      </c>
      <c r="N480" s="32">
        <f>(6006/2)/P480</f>
        <v>0.1849024075</v>
      </c>
      <c r="O480" s="32">
        <v>0.0</v>
      </c>
      <c r="P480" s="33">
        <v>16241.0</v>
      </c>
      <c r="Q480" s="34">
        <v>40.0</v>
      </c>
      <c r="R480" s="42">
        <v>0.4063789175543378</v>
      </c>
      <c r="S480" s="36">
        <v>0.030786281632904377</v>
      </c>
      <c r="T480" s="36">
        <v>0.1849024074872237</v>
      </c>
      <c r="U480" s="36"/>
      <c r="V480" s="36">
        <v>0.2522627917000185</v>
      </c>
      <c r="W480" s="37">
        <v>0.006306569792500462</v>
      </c>
      <c r="X480" s="42">
        <v>6600.0</v>
      </c>
      <c r="Y480" s="36">
        <v>500.0</v>
      </c>
      <c r="Z480" s="36">
        <v>3003.0</v>
      </c>
      <c r="AA480" s="36"/>
      <c r="AB480" s="36">
        <v>4097.0</v>
      </c>
      <c r="AC480" s="37">
        <v>102.425</v>
      </c>
      <c r="AD480" s="31"/>
      <c r="AE480" s="11"/>
      <c r="AF480" s="11"/>
    </row>
    <row r="481">
      <c r="A481" s="11" t="s">
        <v>516</v>
      </c>
      <c r="B481" s="39">
        <v>43993.0</v>
      </c>
      <c r="C481" s="40">
        <v>44003.0</v>
      </c>
      <c r="D481" s="27" t="s">
        <v>48</v>
      </c>
      <c r="E481" s="11" t="b">
        <v>1</v>
      </c>
      <c r="F481" s="11" t="s">
        <v>49</v>
      </c>
      <c r="G481" s="45" t="s">
        <v>523</v>
      </c>
      <c r="H481" s="46" t="s">
        <v>524</v>
      </c>
      <c r="I481" s="33">
        <v>5.0</v>
      </c>
      <c r="J481" s="31">
        <v>50.0</v>
      </c>
      <c r="K481" s="11">
        <v>40.0</v>
      </c>
      <c r="L481" s="32">
        <f>7934/P481</f>
        <v>0.7934</v>
      </c>
      <c r="M481" s="32">
        <f>12000/P481</f>
        <v>1.2</v>
      </c>
      <c r="N481" s="32"/>
      <c r="O481" s="32">
        <f>M481</f>
        <v>1.2</v>
      </c>
      <c r="P481" s="33">
        <v>10000.0</v>
      </c>
      <c r="Q481" s="34">
        <v>2000.0</v>
      </c>
      <c r="R481" s="42">
        <v>39.67</v>
      </c>
      <c r="S481" s="36">
        <v>1.2</v>
      </c>
      <c r="T481" s="36"/>
      <c r="U481" s="36">
        <v>1.2</v>
      </c>
      <c r="V481" s="36">
        <v>39.67</v>
      </c>
      <c r="W481" s="37">
        <v>0.019835000000000002</v>
      </c>
      <c r="X481" s="42">
        <v>396700.0</v>
      </c>
      <c r="Y481" s="36">
        <v>12000.0</v>
      </c>
      <c r="Z481" s="36"/>
      <c r="AA481" s="36">
        <v>12000.0</v>
      </c>
      <c r="AB481" s="36">
        <v>396700.0</v>
      </c>
      <c r="AC481" s="37">
        <v>198.35</v>
      </c>
      <c r="AD481" s="31">
        <v>300.0</v>
      </c>
      <c r="AE481" s="11">
        <v>500.0</v>
      </c>
      <c r="AF481" s="11"/>
    </row>
    <row r="482">
      <c r="A482" s="11" t="s">
        <v>516</v>
      </c>
      <c r="B482" s="39">
        <v>43780.807145300925</v>
      </c>
      <c r="C482" s="40">
        <v>43797.0</v>
      </c>
      <c r="D482" s="27" t="s">
        <v>56</v>
      </c>
      <c r="E482" s="11" t="b">
        <v>1</v>
      </c>
      <c r="F482" s="29" t="s">
        <v>57</v>
      </c>
      <c r="G482" s="57" t="s">
        <v>525</v>
      </c>
      <c r="H482" s="29" t="s">
        <v>526</v>
      </c>
      <c r="I482" s="33"/>
      <c r="J482" s="31">
        <v>6.0</v>
      </c>
      <c r="K482" s="11">
        <v>40.0</v>
      </c>
      <c r="L482" s="32">
        <f>1.5/3</f>
        <v>0.5</v>
      </c>
      <c r="M482" s="32"/>
      <c r="N482" s="32"/>
      <c r="O482" s="32"/>
      <c r="P482" s="33">
        <f>(3*93373)/(1.5*2*3 + 1.76*2*3)</f>
        <v>14321.01227</v>
      </c>
      <c r="Q482" s="34">
        <v>240.0</v>
      </c>
      <c r="R482" s="42">
        <v>3.0</v>
      </c>
      <c r="S482" s="36"/>
      <c r="T482" s="36"/>
      <c r="U482" s="36"/>
      <c r="V482" s="36">
        <v>3.0</v>
      </c>
      <c r="W482" s="37">
        <v>0.0125</v>
      </c>
      <c r="X482" s="42">
        <v>42963.036809815945</v>
      </c>
      <c r="Y482" s="36"/>
      <c r="Z482" s="36"/>
      <c r="AA482" s="36"/>
      <c r="AB482" s="36">
        <v>42963.036809815945</v>
      </c>
      <c r="AC482" s="37">
        <v>179.0126533742331</v>
      </c>
      <c r="AD482" s="31">
        <v>300.0</v>
      </c>
      <c r="AE482" s="11">
        <v>500.0</v>
      </c>
      <c r="AF482" s="11"/>
    </row>
    <row r="483">
      <c r="A483" s="11" t="s">
        <v>516</v>
      </c>
      <c r="B483" s="39">
        <v>43587.963904178236</v>
      </c>
      <c r="C483" s="40">
        <v>43602.77798804398</v>
      </c>
      <c r="D483" s="27" t="s">
        <v>56</v>
      </c>
      <c r="E483" s="11" t="b">
        <v>1</v>
      </c>
      <c r="F483" s="11" t="s">
        <v>57</v>
      </c>
      <c r="G483" s="123" t="s">
        <v>527</v>
      </c>
      <c r="H483" s="46" t="s">
        <v>528</v>
      </c>
      <c r="I483" s="33"/>
      <c r="J483" s="31">
        <f>28+5</f>
        <v>33</v>
      </c>
      <c r="K483" s="11">
        <v>40.0</v>
      </c>
      <c r="L483" s="32">
        <f>(((1.33/3)*28)+(0.56*5))/(28+5)</f>
        <v>0.461010101</v>
      </c>
      <c r="M483" s="32">
        <v>0.0</v>
      </c>
      <c r="N483" s="32">
        <f>4/3</f>
        <v>1.333333333</v>
      </c>
      <c r="O483" s="32">
        <v>0.0</v>
      </c>
      <c r="P483" s="58">
        <f>647893/44.59</f>
        <v>14530.00673</v>
      </c>
      <c r="Q483" s="34">
        <v>1320.0</v>
      </c>
      <c r="R483" s="42">
        <v>15.213333333333335</v>
      </c>
      <c r="S483" s="36"/>
      <c r="T483" s="36">
        <v>1.3333333333333333</v>
      </c>
      <c r="U483" s="36"/>
      <c r="V483" s="36">
        <v>13.88</v>
      </c>
      <c r="W483" s="37">
        <v>0.010515151515151516</v>
      </c>
      <c r="X483" s="42">
        <v>221049.8356881214</v>
      </c>
      <c r="Y483" s="36"/>
      <c r="Z483" s="36">
        <v>19373.342303954545</v>
      </c>
      <c r="AA483" s="36"/>
      <c r="AB483" s="36">
        <v>201676.49338416685</v>
      </c>
      <c r="AC483" s="37">
        <v>152.78522226073247</v>
      </c>
      <c r="AD483" s="31">
        <v>300.0</v>
      </c>
      <c r="AE483" s="11">
        <v>500.0</v>
      </c>
      <c r="AF483" s="11"/>
    </row>
    <row r="484">
      <c r="A484" s="11" t="s">
        <v>516</v>
      </c>
      <c r="B484" s="39">
        <v>43295.0</v>
      </c>
      <c r="C484" s="40">
        <v>43313.0</v>
      </c>
      <c r="D484" s="27" t="s">
        <v>66</v>
      </c>
      <c r="E484" s="28" t="b">
        <v>1</v>
      </c>
      <c r="F484" s="11" t="s">
        <v>57</v>
      </c>
      <c r="G484" s="45" t="str">
        <f>"https://www.aliexpress.com/item/40PCS-Dupont-10CM-Female-To-Female-Jumper-Wire-Ribbon-Cable-for-Arduino/32812422608.html?spm=a2g0s.9042311.0.0.7c934c4dFt1pIh"</f>
        <v>https://www.aliexpress.com/item/40PCS-Dupont-10CM-Female-To-Female-Jumper-Wire-Ribbon-Cable-for-Arduino/32812422608.html?spm=a2g0s.9042311.0.0.7c934c4dFt1pIh</v>
      </c>
      <c r="H484" s="11" t="s">
        <v>529</v>
      </c>
      <c r="I484" s="33"/>
      <c r="J484" s="31">
        <v>6.0</v>
      </c>
      <c r="K484" s="11">
        <v>40.0</v>
      </c>
      <c r="L484" s="32">
        <v>0.72</v>
      </c>
      <c r="M484" s="32">
        <v>0.0</v>
      </c>
      <c r="N484" s="60">
        <v>0.0</v>
      </c>
      <c r="O484" s="60">
        <v>0.0</v>
      </c>
      <c r="P484" s="33">
        <f t="shared" ref="P484:P489" si="144">1121368/(3*0.72*6 + 2*0.72*6 + 3*0.65*7 + (2*0.65*7 + 0.58*8) + (0.65*7 + 0.63*7 + 0.67*7) + (0.56*8) + (0.68*7) + (0.67*7))</f>
        <v>14645.00457</v>
      </c>
      <c r="Q484" s="34">
        <v>240.0</v>
      </c>
      <c r="R484" s="35">
        <v>4.32</v>
      </c>
      <c r="S484" s="36"/>
      <c r="T484" s="36"/>
      <c r="U484" s="36"/>
      <c r="V484" s="36">
        <v>4.32</v>
      </c>
      <c r="W484" s="37">
        <v>0.018000000000000002</v>
      </c>
      <c r="X484" s="35">
        <v>63266.41974663706</v>
      </c>
      <c r="Y484" s="32"/>
      <c r="Z484" s="32"/>
      <c r="AA484" s="32"/>
      <c r="AB484" s="32">
        <v>63266.41974663706</v>
      </c>
      <c r="AC484" s="38">
        <v>263.61008227765444</v>
      </c>
      <c r="AD484" s="31">
        <v>300.0</v>
      </c>
      <c r="AE484" s="11">
        <v>500.0</v>
      </c>
      <c r="AF484" s="11"/>
    </row>
    <row r="485">
      <c r="A485" s="82" t="s">
        <v>516</v>
      </c>
      <c r="B485" s="39">
        <v>43295.0</v>
      </c>
      <c r="C485" s="40">
        <v>43313.0</v>
      </c>
      <c r="D485" s="78" t="s">
        <v>66</v>
      </c>
      <c r="E485" s="125" t="b">
        <v>1</v>
      </c>
      <c r="F485" s="90" t="s">
        <v>57</v>
      </c>
      <c r="G485" s="126" t="str">
        <f>"https://www.aliexpress.com/item/40PCS-Dupont-10CM-Female-To-Female-Jumper-Wire-Ribbon-Cable-for-Arduino/32661309874.html?spm=a2g0s.9042311.0.0.50c24c4dxN4D85"</f>
        <v>https://www.aliexpress.com/item/40PCS-Dupont-10CM-Female-To-Female-Jumper-Wire-Ribbon-Cable-for-Arduino/32661309874.html?spm=a2g0s.9042311.0.0.50c24c4dxN4D85</v>
      </c>
      <c r="H485" s="90" t="s">
        <v>530</v>
      </c>
      <c r="I485" s="80"/>
      <c r="J485" s="81">
        <v>6.0</v>
      </c>
      <c r="K485" s="82">
        <v>40.0</v>
      </c>
      <c r="L485" s="83">
        <v>0.72</v>
      </c>
      <c r="M485" s="83">
        <v>0.0</v>
      </c>
      <c r="N485" s="60">
        <v>0.0</v>
      </c>
      <c r="O485" s="60">
        <v>0.0</v>
      </c>
      <c r="P485" s="80">
        <f t="shared" si="144"/>
        <v>14645.00457</v>
      </c>
      <c r="Q485" s="92">
        <v>240.0</v>
      </c>
      <c r="R485" s="93">
        <v>4.32</v>
      </c>
      <c r="S485" s="83"/>
      <c r="T485" s="83"/>
      <c r="U485" s="83"/>
      <c r="V485" s="83">
        <v>4.32</v>
      </c>
      <c r="W485" s="94">
        <v>0.018000000000000002</v>
      </c>
      <c r="X485" s="93">
        <v>63266.41974663706</v>
      </c>
      <c r="Y485" s="83"/>
      <c r="Z485" s="83"/>
      <c r="AA485" s="83"/>
      <c r="AB485" s="83">
        <v>63266.41974663706</v>
      </c>
      <c r="AC485" s="94">
        <v>263.61008227765444</v>
      </c>
      <c r="AD485" s="81">
        <v>300.0</v>
      </c>
      <c r="AE485" s="11">
        <v>500.0</v>
      </c>
      <c r="AF485" s="82"/>
    </row>
    <row r="486">
      <c r="A486" s="11" t="s">
        <v>516</v>
      </c>
      <c r="B486" s="39">
        <v>43295.0</v>
      </c>
      <c r="C486" s="40">
        <v>43313.0</v>
      </c>
      <c r="D486" s="27" t="s">
        <v>66</v>
      </c>
      <c r="E486" s="28" t="b">
        <v>1</v>
      </c>
      <c r="F486" s="11" t="s">
        <v>57</v>
      </c>
      <c r="G486" s="45" t="str">
        <f>"https://www.aliexpress.com/item/WAVGAT-40PCS-Dupont-10CM-Female-To-Female-F-F-Jumper-Wire-Ribbon-Cable-Free-shipping/32822646871.html?spm=a2g0s.9042311.0.0.50c24c4dxN4D85"</f>
        <v>https://www.aliexpress.com/item/WAVGAT-40PCS-Dupont-10CM-Female-To-Female-F-F-Jumper-Wire-Ribbon-Cable-Free-shipping/32822646871.html?spm=a2g0s.9042311.0.0.50c24c4dxN4D85</v>
      </c>
      <c r="H486" s="11" t="s">
        <v>531</v>
      </c>
      <c r="I486" s="33"/>
      <c r="J486" s="31">
        <v>7.0</v>
      </c>
      <c r="K486" s="127">
        <v>40.0</v>
      </c>
      <c r="L486" s="32">
        <v>0.65</v>
      </c>
      <c r="M486" s="32">
        <v>0.0</v>
      </c>
      <c r="N486" s="60">
        <v>0.0</v>
      </c>
      <c r="O486" s="60">
        <v>0.0</v>
      </c>
      <c r="P486" s="33">
        <f t="shared" si="144"/>
        <v>14645.00457</v>
      </c>
      <c r="Q486" s="34">
        <v>280.0</v>
      </c>
      <c r="R486" s="35">
        <v>4.55</v>
      </c>
      <c r="S486" s="36"/>
      <c r="T486" s="36"/>
      <c r="U486" s="36"/>
      <c r="V486" s="36">
        <v>4.55</v>
      </c>
      <c r="W486" s="37">
        <v>0.01625</v>
      </c>
      <c r="X486" s="35">
        <v>66634.77079796264</v>
      </c>
      <c r="Y486" s="32"/>
      <c r="Z486" s="32"/>
      <c r="AA486" s="32"/>
      <c r="AB486" s="32">
        <v>66634.77079796264</v>
      </c>
      <c r="AC486" s="38">
        <v>237.98132427843802</v>
      </c>
      <c r="AD486" s="31">
        <v>300.0</v>
      </c>
      <c r="AE486" s="11">
        <v>500.0</v>
      </c>
      <c r="AF486" s="11"/>
    </row>
    <row r="487">
      <c r="A487" s="11" t="s">
        <v>516</v>
      </c>
      <c r="B487" s="39">
        <v>43295.0</v>
      </c>
      <c r="C487" s="40">
        <v>43313.0</v>
      </c>
      <c r="D487" s="27" t="s">
        <v>66</v>
      </c>
      <c r="E487" s="28" t="b">
        <v>1</v>
      </c>
      <c r="F487" s="11" t="s">
        <v>57</v>
      </c>
      <c r="G487" s="45" t="str">
        <f>"https://www.aliexpress.com/item/WAVGAT-40PCS-Dupont-10CM-Female-To-Female-F-F-Jumper-Wire-Ribbon-Cable-for-arduino/32825115359.html?spm=a2g0s.9042311.0.0.50c24c4dxN4D85"</f>
        <v>https://www.aliexpress.com/item/WAVGAT-40PCS-Dupont-10CM-Female-To-Female-F-F-Jumper-Wire-Ribbon-Cable-for-arduino/32825115359.html?spm=a2g0s.9042311.0.0.50c24c4dxN4D85</v>
      </c>
      <c r="H487" s="11" t="s">
        <v>532</v>
      </c>
      <c r="I487" s="33"/>
      <c r="J487" s="31">
        <v>7.0</v>
      </c>
      <c r="K487" s="127">
        <v>40.0</v>
      </c>
      <c r="L487" s="32">
        <v>0.65</v>
      </c>
      <c r="M487" s="32">
        <v>0.0</v>
      </c>
      <c r="N487" s="60">
        <v>0.0</v>
      </c>
      <c r="O487" s="60">
        <v>0.0</v>
      </c>
      <c r="P487" s="33">
        <f t="shared" si="144"/>
        <v>14645.00457</v>
      </c>
      <c r="Q487" s="34">
        <v>280.0</v>
      </c>
      <c r="R487" s="35">
        <v>4.55</v>
      </c>
      <c r="S487" s="36"/>
      <c r="T487" s="36"/>
      <c r="U487" s="36"/>
      <c r="V487" s="36">
        <v>4.55</v>
      </c>
      <c r="W487" s="37">
        <v>0.01625</v>
      </c>
      <c r="X487" s="35">
        <v>66634.77079796264</v>
      </c>
      <c r="Y487" s="32"/>
      <c r="Z487" s="32"/>
      <c r="AA487" s="32"/>
      <c r="AB487" s="32">
        <v>66634.77079796264</v>
      </c>
      <c r="AC487" s="38">
        <v>237.98132427843802</v>
      </c>
      <c r="AD487" s="31">
        <v>300.0</v>
      </c>
      <c r="AE487" s="11">
        <v>500.0</v>
      </c>
      <c r="AF487" s="11"/>
    </row>
    <row r="488">
      <c r="A488" s="11" t="s">
        <v>516</v>
      </c>
      <c r="B488" s="39">
        <v>43295.0</v>
      </c>
      <c r="C488" s="40">
        <v>43313.0</v>
      </c>
      <c r="D488" s="27" t="s">
        <v>66</v>
      </c>
      <c r="E488" s="28" t="b">
        <v>1</v>
      </c>
      <c r="F488" s="11" t="s">
        <v>57</v>
      </c>
      <c r="G488" s="45" t="str">
        <f>"https://www.aliexpress.com/item/40pcs-lot-10cm-2-54mm-1pin-feMale-to-feMale-jumper-wire-Dupont-cable/32807398267.html?spm=a2g0s.9042311.0.0.50c24c4dxN4D85"</f>
        <v>https://www.aliexpress.com/item/40pcs-lot-10cm-2-54mm-1pin-feMale-to-feMale-jumper-wire-Dupont-cable/32807398267.html?spm=a2g0s.9042311.0.0.50c24c4dxN4D85</v>
      </c>
      <c r="H488" s="11" t="s">
        <v>533</v>
      </c>
      <c r="I488" s="33"/>
      <c r="J488" s="31">
        <v>7.0</v>
      </c>
      <c r="K488" s="11">
        <v>40.0</v>
      </c>
      <c r="L488" s="32">
        <v>0.63</v>
      </c>
      <c r="M488" s="32">
        <v>0.0</v>
      </c>
      <c r="N488" s="60">
        <v>0.0</v>
      </c>
      <c r="O488" s="60">
        <v>0.0</v>
      </c>
      <c r="P488" s="33">
        <f t="shared" si="144"/>
        <v>14645.00457</v>
      </c>
      <c r="Q488" s="34">
        <v>280.0</v>
      </c>
      <c r="R488" s="35">
        <v>4.41</v>
      </c>
      <c r="S488" s="36"/>
      <c r="T488" s="36"/>
      <c r="U488" s="36"/>
      <c r="V488" s="36">
        <v>4.41</v>
      </c>
      <c r="W488" s="37">
        <v>0.01575</v>
      </c>
      <c r="X488" s="35">
        <v>64584.47015802533</v>
      </c>
      <c r="Y488" s="32"/>
      <c r="Z488" s="32"/>
      <c r="AA488" s="32"/>
      <c r="AB488" s="32">
        <v>64584.47015802533</v>
      </c>
      <c r="AC488" s="38">
        <v>230.65882199294762</v>
      </c>
      <c r="AD488" s="31">
        <v>300.0</v>
      </c>
      <c r="AE488" s="11">
        <v>500.0</v>
      </c>
      <c r="AF488" s="11"/>
    </row>
    <row r="489">
      <c r="A489" s="11" t="s">
        <v>516</v>
      </c>
      <c r="B489" s="39">
        <v>43295.0</v>
      </c>
      <c r="C489" s="40">
        <v>43313.0</v>
      </c>
      <c r="D489" s="27" t="s">
        <v>66</v>
      </c>
      <c r="E489" s="28" t="b">
        <v>1</v>
      </c>
      <c r="F489" s="11" t="s">
        <v>57</v>
      </c>
      <c r="G489" s="45" t="str">
        <f>"https://www.aliexpress.com/item/40pcs-lot-10cm-2-54mm-1pin-Female-to-Female-jumper-wire-Dupont-cable/32800215149.html?spm=a2g0s.9042311.0.0.50c24c4dxN4D85"</f>
        <v>https://www.aliexpress.com/item/40pcs-lot-10cm-2-54mm-1pin-Female-to-Female-jumper-wire-Dupont-cable/32800215149.html?spm=a2g0s.9042311.0.0.50c24c4dxN4D85</v>
      </c>
      <c r="H489" s="11" t="s">
        <v>534</v>
      </c>
      <c r="I489" s="33"/>
      <c r="J489" s="31">
        <v>8.0</v>
      </c>
      <c r="K489" s="11">
        <v>40.0</v>
      </c>
      <c r="L489" s="32">
        <v>0.56</v>
      </c>
      <c r="M489" s="32">
        <v>0.0</v>
      </c>
      <c r="N489" s="60">
        <v>0.0</v>
      </c>
      <c r="O489" s="60">
        <v>0.0</v>
      </c>
      <c r="P489" s="33">
        <f t="shared" si="144"/>
        <v>14645.00457</v>
      </c>
      <c r="Q489" s="34">
        <v>320.0</v>
      </c>
      <c r="R489" s="35">
        <v>4.48</v>
      </c>
      <c r="S489" s="36"/>
      <c r="T489" s="36"/>
      <c r="U489" s="36"/>
      <c r="V489" s="36">
        <v>4.48</v>
      </c>
      <c r="W489" s="37">
        <v>0.014000000000000002</v>
      </c>
      <c r="X489" s="35">
        <v>65609.62047799399</v>
      </c>
      <c r="Y489" s="32"/>
      <c r="Z489" s="32"/>
      <c r="AA489" s="32"/>
      <c r="AB489" s="32">
        <v>65609.62047799399</v>
      </c>
      <c r="AC489" s="38">
        <v>205.0300639937312</v>
      </c>
      <c r="AD489" s="31">
        <v>300.0</v>
      </c>
      <c r="AE489" s="11">
        <v>500.0</v>
      </c>
      <c r="AF489" s="11"/>
    </row>
    <row r="490">
      <c r="A490" s="11" t="s">
        <v>535</v>
      </c>
      <c r="B490" s="39">
        <v>45712.001388888886</v>
      </c>
      <c r="C490" s="40">
        <v>45716.66111111111</v>
      </c>
      <c r="D490" s="27" t="s">
        <v>33</v>
      </c>
      <c r="E490" s="11" t="b">
        <v>0</v>
      </c>
      <c r="F490" s="11" t="s">
        <v>49</v>
      </c>
      <c r="G490" s="11" t="s">
        <v>460</v>
      </c>
      <c r="H490" s="11" t="s">
        <v>461</v>
      </c>
      <c r="I490" s="30">
        <v>5.0</v>
      </c>
      <c r="J490" s="31">
        <v>112.0</v>
      </c>
      <c r="K490" s="11">
        <v>40.0</v>
      </c>
      <c r="L490" s="32">
        <f>(7500)/P490</f>
        <v>0.4607445632</v>
      </c>
      <c r="M490" s="32">
        <f>(498/2)/P490</f>
        <v>0.0152967195</v>
      </c>
      <c r="N490" s="32">
        <f>(X490*12%)/P490</f>
        <v>6.19240693</v>
      </c>
      <c r="O490" s="32">
        <v>0.0</v>
      </c>
      <c r="P490" s="33">
        <v>16278.0</v>
      </c>
      <c r="Q490" s="34">
        <v>4480.0</v>
      </c>
      <c r="R490" s="42">
        <v>51.60339107998526</v>
      </c>
      <c r="S490" s="36">
        <v>0.015296719498709916</v>
      </c>
      <c r="T490" s="36">
        <v>6.1924069295982305</v>
      </c>
      <c r="U490" s="36"/>
      <c r="V490" s="36">
        <v>45.42628086988574</v>
      </c>
      <c r="W490" s="37">
        <v>0.010139794837028065</v>
      </c>
      <c r="X490" s="42">
        <v>840000.0</v>
      </c>
      <c r="Y490" s="36">
        <v>249.0</v>
      </c>
      <c r="Z490" s="36">
        <v>100800.0</v>
      </c>
      <c r="AA490" s="36"/>
      <c r="AB490" s="36">
        <v>739449.0</v>
      </c>
      <c r="AC490" s="37">
        <v>165.05558035714284</v>
      </c>
      <c r="AD490" s="31"/>
      <c r="AE490" s="11"/>
      <c r="AF490" s="11"/>
    </row>
    <row r="491">
      <c r="A491" s="11" t="s">
        <v>535</v>
      </c>
      <c r="B491" s="39">
        <v>45643.45138888889</v>
      </c>
      <c r="C491" s="40">
        <v>45645.69097222222</v>
      </c>
      <c r="D491" s="27" t="s">
        <v>33</v>
      </c>
      <c r="E491" s="11" t="b">
        <v>0</v>
      </c>
      <c r="F491" s="11" t="s">
        <v>49</v>
      </c>
      <c r="G491" s="11" t="s">
        <v>251</v>
      </c>
      <c r="H491" s="11" t="s">
        <v>536</v>
      </c>
      <c r="I491" s="30">
        <v>5.0</v>
      </c>
      <c r="J491" s="31">
        <v>10.0</v>
      </c>
      <c r="K491" s="11">
        <v>40.0</v>
      </c>
      <c r="L491" s="32">
        <f>(7400)/P491</f>
        <v>0.4588293651</v>
      </c>
      <c r="M491" s="32">
        <f>(1000)/P491</f>
        <v>0.06200396825</v>
      </c>
      <c r="N491" s="32">
        <f>(3700)/P491</f>
        <v>0.2294146825</v>
      </c>
      <c r="O491" s="32">
        <v>0.0</v>
      </c>
      <c r="P491" s="33">
        <v>16128.0</v>
      </c>
      <c r="Q491" s="34">
        <v>400.0</v>
      </c>
      <c r="R491" s="42">
        <v>4.58829365079365</v>
      </c>
      <c r="S491" s="36">
        <v>0.062003968253968256</v>
      </c>
      <c r="T491" s="36">
        <v>0.22941468253968253</v>
      </c>
      <c r="U491" s="36"/>
      <c r="V491" s="36">
        <v>4.420882936507936</v>
      </c>
      <c r="W491" s="37">
        <v>0.01105220734126984</v>
      </c>
      <c r="X491" s="42">
        <v>73999.99999999999</v>
      </c>
      <c r="Y491" s="36">
        <v>1000.0</v>
      </c>
      <c r="Z491" s="36">
        <v>3700.0</v>
      </c>
      <c r="AA491" s="36"/>
      <c r="AB491" s="36">
        <v>71299.99999999999</v>
      </c>
      <c r="AC491" s="37">
        <v>178.24999999999997</v>
      </c>
      <c r="AD491" s="31"/>
      <c r="AE491" s="11"/>
      <c r="AF491" s="11"/>
    </row>
    <row r="492">
      <c r="A492" s="11" t="s">
        <v>535</v>
      </c>
      <c r="B492" s="39">
        <v>45621.01597222222</v>
      </c>
      <c r="C492" s="40">
        <v>45624.709027777775</v>
      </c>
      <c r="D492" s="27" t="s">
        <v>37</v>
      </c>
      <c r="E492" s="11" t="b">
        <v>0</v>
      </c>
      <c r="F492" s="11" t="s">
        <v>49</v>
      </c>
      <c r="G492" s="11" t="s">
        <v>414</v>
      </c>
      <c r="H492" s="11" t="s">
        <v>537</v>
      </c>
      <c r="I492" s="30">
        <v>5.0</v>
      </c>
      <c r="J492" s="31">
        <v>75.0</v>
      </c>
      <c r="K492" s="11">
        <v>40.0</v>
      </c>
      <c r="L492" s="32">
        <f>(7500)/P492</f>
        <v>0.4716684485</v>
      </c>
      <c r="M492" s="32">
        <f>(77/2)/P492</f>
        <v>0.002421231369</v>
      </c>
      <c r="N492" s="32">
        <f>(X492*12%)/P492</f>
        <v>4.245016037</v>
      </c>
      <c r="O492" s="32">
        <v>0.0</v>
      </c>
      <c r="P492" s="33">
        <v>15901.0</v>
      </c>
      <c r="Q492" s="34">
        <v>3000.0</v>
      </c>
      <c r="R492" s="42">
        <v>35.375133639393745</v>
      </c>
      <c r="S492" s="36">
        <v>0.0024212313690962833</v>
      </c>
      <c r="T492" s="36">
        <v>4.245016036727249</v>
      </c>
      <c r="U492" s="36"/>
      <c r="V492" s="36">
        <v>31.132538834035593</v>
      </c>
      <c r="W492" s="37">
        <v>0.010377512944678532</v>
      </c>
      <c r="X492" s="42">
        <v>562499.9999999999</v>
      </c>
      <c r="Y492" s="36">
        <v>38.5</v>
      </c>
      <c r="Z492" s="36">
        <v>67499.99999999999</v>
      </c>
      <c r="AA492" s="36"/>
      <c r="AB492" s="36">
        <v>495038.49999999994</v>
      </c>
      <c r="AC492" s="37">
        <v>165.0128333333333</v>
      </c>
      <c r="AD492" s="31"/>
      <c r="AE492" s="11"/>
      <c r="AF492" s="11"/>
    </row>
    <row r="493">
      <c r="A493" s="11" t="s">
        <v>535</v>
      </c>
      <c r="B493" s="39">
        <v>45417.69652777778</v>
      </c>
      <c r="C493" s="40">
        <v>45420.600694444445</v>
      </c>
      <c r="D493" s="27" t="s">
        <v>33</v>
      </c>
      <c r="E493" s="11" t="b">
        <v>0</v>
      </c>
      <c r="F493" s="11" t="s">
        <v>49</v>
      </c>
      <c r="G493" s="11" t="s">
        <v>538</v>
      </c>
      <c r="H493" s="11" t="s">
        <v>538</v>
      </c>
      <c r="I493" s="30">
        <v>5.0</v>
      </c>
      <c r="J493" s="31">
        <v>26.0</v>
      </c>
      <c r="K493" s="11">
        <v>40.0</v>
      </c>
      <c r="L493" s="32">
        <f>(209950/26)/P493</f>
        <v>0.5056672303</v>
      </c>
      <c r="M493" s="32">
        <f>(1000)/P493</f>
        <v>0.06262132882</v>
      </c>
      <c r="N493" s="32">
        <f>(10000 + 19995)/P493</f>
        <v>1.878326758</v>
      </c>
      <c r="O493" s="32">
        <v>0.0</v>
      </c>
      <c r="P493" s="33">
        <v>15969.0</v>
      </c>
      <c r="Q493" s="34">
        <v>1040.0</v>
      </c>
      <c r="R493" s="42">
        <v>13.147347986724277</v>
      </c>
      <c r="S493" s="36">
        <v>0.06262132882459766</v>
      </c>
      <c r="T493" s="36">
        <v>1.8783267580938068</v>
      </c>
      <c r="U493" s="36"/>
      <c r="V493" s="36">
        <v>11.33164255745507</v>
      </c>
      <c r="W493" s="37">
        <v>0.010895810151399106</v>
      </c>
      <c r="X493" s="42">
        <v>209949.99999999997</v>
      </c>
      <c r="Y493" s="36">
        <v>1000.0</v>
      </c>
      <c r="Z493" s="36">
        <v>29995.0</v>
      </c>
      <c r="AA493" s="36"/>
      <c r="AB493" s="36">
        <v>180955.0</v>
      </c>
      <c r="AC493" s="37">
        <v>173.99519230769232</v>
      </c>
      <c r="AD493" s="31"/>
      <c r="AE493" s="11"/>
      <c r="AF493" s="11"/>
    </row>
    <row r="494">
      <c r="A494" s="11" t="s">
        <v>535</v>
      </c>
      <c r="B494" s="39">
        <v>45402.67013888889</v>
      </c>
      <c r="C494" s="40">
        <v>45407.42013888889</v>
      </c>
      <c r="D494" s="27" t="s">
        <v>37</v>
      </c>
      <c r="E494" s="11" t="b">
        <v>0</v>
      </c>
      <c r="F494" s="66" t="s">
        <v>49</v>
      </c>
      <c r="G494" s="69" t="s">
        <v>539</v>
      </c>
      <c r="H494" s="66" t="s">
        <v>539</v>
      </c>
      <c r="I494" s="30">
        <v>5.0</v>
      </c>
      <c r="J494" s="31">
        <v>40.0</v>
      </c>
      <c r="K494" s="11">
        <v>40.0</v>
      </c>
      <c r="L494" s="32">
        <f>(296000/40)/P494</f>
        <v>0.4562831422</v>
      </c>
      <c r="M494" s="32">
        <f t="shared" ref="M494:M495" si="145">(1000/5)/P494</f>
        <v>0.01233197682</v>
      </c>
      <c r="N494" s="32">
        <f>(100000/5)/P494</f>
        <v>1.233197682</v>
      </c>
      <c r="O494" s="32">
        <v>0.0</v>
      </c>
      <c r="P494" s="33">
        <v>16218.0</v>
      </c>
      <c r="Q494" s="34">
        <v>1600.0</v>
      </c>
      <c r="R494" s="42">
        <v>18.251325687507705</v>
      </c>
      <c r="S494" s="36">
        <v>0.012331976815883586</v>
      </c>
      <c r="T494" s="36">
        <v>1.2331976815883585</v>
      </c>
      <c r="U494" s="36"/>
      <c r="V494" s="36">
        <v>17.03045998273523</v>
      </c>
      <c r="W494" s="37">
        <v>0.010644037489209519</v>
      </c>
      <c r="X494" s="42">
        <v>295999.99999999994</v>
      </c>
      <c r="Y494" s="36">
        <v>200.0</v>
      </c>
      <c r="Z494" s="36">
        <v>20000.0</v>
      </c>
      <c r="AA494" s="36"/>
      <c r="AB494" s="36">
        <v>276199.99999999994</v>
      </c>
      <c r="AC494" s="37">
        <v>172.62499999999997</v>
      </c>
      <c r="AD494" s="31"/>
      <c r="AE494" s="11"/>
      <c r="AF494" s="11"/>
    </row>
    <row r="495">
      <c r="A495" s="11" t="s">
        <v>535</v>
      </c>
      <c r="B495" s="39">
        <v>45380.467361111114</v>
      </c>
      <c r="C495" s="40">
        <v>45382.645310312495</v>
      </c>
      <c r="D495" s="27" t="s">
        <v>37</v>
      </c>
      <c r="E495" s="11" t="b">
        <v>0</v>
      </c>
      <c r="F495" s="11" t="s">
        <v>49</v>
      </c>
      <c r="G495" s="11" t="s">
        <v>222</v>
      </c>
      <c r="H495" s="11" t="s">
        <v>222</v>
      </c>
      <c r="I495" s="30">
        <v>5.0</v>
      </c>
      <c r="J495" s="31">
        <v>1.0</v>
      </c>
      <c r="K495" s="11">
        <v>40.0</v>
      </c>
      <c r="L495" s="32">
        <f>(7719)/P495</f>
        <v>0.4859607152</v>
      </c>
      <c r="M495" s="32">
        <f t="shared" si="145"/>
        <v>0.01259128683</v>
      </c>
      <c r="N495" s="32">
        <v>0.0</v>
      </c>
      <c r="O495" s="32">
        <v>0.0</v>
      </c>
      <c r="P495" s="33">
        <v>15884.0</v>
      </c>
      <c r="Q495" s="34">
        <v>40.0</v>
      </c>
      <c r="R495" s="42">
        <v>0.48596071518509193</v>
      </c>
      <c r="S495" s="36">
        <v>0.012591286829513977</v>
      </c>
      <c r="T495" s="36"/>
      <c r="U495" s="36"/>
      <c r="V495" s="36">
        <v>0.4985520020146059</v>
      </c>
      <c r="W495" s="37">
        <v>0.012463800050365148</v>
      </c>
      <c r="X495" s="42">
        <v>7719.0</v>
      </c>
      <c r="Y495" s="36">
        <v>200.0</v>
      </c>
      <c r="Z495" s="36"/>
      <c r="AA495" s="36"/>
      <c r="AB495" s="36">
        <v>7919.000000000001</v>
      </c>
      <c r="AC495" s="37">
        <v>197.97500000000002</v>
      </c>
      <c r="AD495" s="31"/>
      <c r="AE495" s="11"/>
      <c r="AF495" s="11"/>
    </row>
    <row r="496">
      <c r="A496" s="11" t="s">
        <v>535</v>
      </c>
      <c r="B496" s="39">
        <v>44042.0</v>
      </c>
      <c r="C496" s="40">
        <v>44052.0</v>
      </c>
      <c r="D496" s="27" t="s">
        <v>37</v>
      </c>
      <c r="E496" s="11" t="b">
        <v>1</v>
      </c>
      <c r="F496" s="11" t="s">
        <v>49</v>
      </c>
      <c r="G496" s="128" t="s">
        <v>540</v>
      </c>
      <c r="H496" s="46" t="s">
        <v>541</v>
      </c>
      <c r="I496" s="30">
        <v>4.0</v>
      </c>
      <c r="J496" s="31">
        <v>38.0</v>
      </c>
      <c r="K496" s="11">
        <v>40.0</v>
      </c>
      <c r="L496" s="32">
        <f>8094/P496</f>
        <v>0.8094</v>
      </c>
      <c r="M496" s="32">
        <f>12000/P496</f>
        <v>1.2</v>
      </c>
      <c r="N496" s="32"/>
      <c r="O496" s="32">
        <f>12000/P496</f>
        <v>1.2</v>
      </c>
      <c r="P496" s="33">
        <v>10000.0</v>
      </c>
      <c r="Q496" s="34">
        <v>1520.0</v>
      </c>
      <c r="R496" s="42">
        <v>30.7572</v>
      </c>
      <c r="S496" s="36">
        <v>1.2</v>
      </c>
      <c r="T496" s="36"/>
      <c r="U496" s="36">
        <v>1.2</v>
      </c>
      <c r="V496" s="36">
        <v>30.7572</v>
      </c>
      <c r="W496" s="37">
        <v>0.020235</v>
      </c>
      <c r="X496" s="42">
        <v>307572.0</v>
      </c>
      <c r="Y496" s="36">
        <v>12000.0</v>
      </c>
      <c r="Z496" s="36"/>
      <c r="AA496" s="36">
        <v>12000.0</v>
      </c>
      <c r="AB496" s="36">
        <v>307572.0</v>
      </c>
      <c r="AC496" s="37">
        <v>202.35</v>
      </c>
      <c r="AD496" s="31"/>
      <c r="AE496" s="11"/>
      <c r="AF496" s="11"/>
    </row>
    <row r="497">
      <c r="A497" s="11" t="s">
        <v>535</v>
      </c>
      <c r="B497" s="39">
        <v>44006.0</v>
      </c>
      <c r="C497" s="40">
        <v>44017.0</v>
      </c>
      <c r="D497" s="27" t="s">
        <v>48</v>
      </c>
      <c r="E497" s="11" t="b">
        <v>1</v>
      </c>
      <c r="F497" s="11" t="s">
        <v>49</v>
      </c>
      <c r="G497" s="45" t="s">
        <v>542</v>
      </c>
      <c r="H497" s="46" t="s">
        <v>543</v>
      </c>
      <c r="I497" s="33">
        <v>5.0</v>
      </c>
      <c r="J497" s="31">
        <v>11.0</v>
      </c>
      <c r="K497" s="11">
        <v>40.0</v>
      </c>
      <c r="L497" s="32">
        <f>9576/P497</f>
        <v>0.9576</v>
      </c>
      <c r="M497" s="32">
        <f>12000/P497</f>
        <v>1.2</v>
      </c>
      <c r="N497" s="32"/>
      <c r="O497" s="32">
        <f>M497</f>
        <v>1.2</v>
      </c>
      <c r="P497" s="33">
        <v>10000.0</v>
      </c>
      <c r="Q497" s="34">
        <v>440.0</v>
      </c>
      <c r="R497" s="42">
        <v>10.5336</v>
      </c>
      <c r="S497" s="36">
        <v>1.2</v>
      </c>
      <c r="T497" s="36"/>
      <c r="U497" s="36">
        <v>1.2</v>
      </c>
      <c r="V497" s="36">
        <v>10.5336</v>
      </c>
      <c r="W497" s="37">
        <v>0.02394</v>
      </c>
      <c r="X497" s="42">
        <v>105336.0</v>
      </c>
      <c r="Y497" s="36">
        <v>12000.0</v>
      </c>
      <c r="Z497" s="36"/>
      <c r="AA497" s="36">
        <v>12000.0</v>
      </c>
      <c r="AB497" s="36">
        <v>105336.0</v>
      </c>
      <c r="AC497" s="37">
        <v>239.4</v>
      </c>
      <c r="AD497" s="31"/>
      <c r="AE497" s="11"/>
      <c r="AF497" s="11"/>
    </row>
    <row r="498">
      <c r="A498" s="11" t="s">
        <v>535</v>
      </c>
      <c r="B498" s="39">
        <v>43780.80751615741</v>
      </c>
      <c r="C498" s="40">
        <v>43797.0</v>
      </c>
      <c r="D498" s="27" t="s">
        <v>56</v>
      </c>
      <c r="E498" s="11" t="b">
        <v>1</v>
      </c>
      <c r="F498" s="29" t="s">
        <v>57</v>
      </c>
      <c r="G498" s="57" t="s">
        <v>525</v>
      </c>
      <c r="H498" s="29" t="s">
        <v>526</v>
      </c>
      <c r="I498" s="33"/>
      <c r="J498" s="31">
        <v>6.0</v>
      </c>
      <c r="K498" s="11">
        <v>40.0</v>
      </c>
      <c r="L498" s="32">
        <f>1.76/3</f>
        <v>0.5866666667</v>
      </c>
      <c r="M498" s="32"/>
      <c r="N498" s="32"/>
      <c r="O498" s="32"/>
      <c r="P498" s="33">
        <f>(3*93373)/(1.5*2*3 + 1.76*2*3)</f>
        <v>14321.01227</v>
      </c>
      <c r="Q498" s="34">
        <v>240.0</v>
      </c>
      <c r="R498" s="42">
        <v>3.52</v>
      </c>
      <c r="S498" s="36"/>
      <c r="T498" s="36"/>
      <c r="U498" s="36"/>
      <c r="V498" s="36">
        <v>3.52</v>
      </c>
      <c r="W498" s="37">
        <v>0.014666666666666666</v>
      </c>
      <c r="X498" s="42">
        <v>50409.96319018404</v>
      </c>
      <c r="Y498" s="36"/>
      <c r="Z498" s="36"/>
      <c r="AA498" s="36"/>
      <c r="AB498" s="36">
        <v>50409.96319018404</v>
      </c>
      <c r="AC498" s="37">
        <v>210.0415132924335</v>
      </c>
      <c r="AD498" s="31"/>
      <c r="AE498" s="11"/>
      <c r="AF498" s="11"/>
    </row>
    <row r="499">
      <c r="A499" s="11" t="s">
        <v>544</v>
      </c>
      <c r="B499" s="39">
        <v>45682.027083333334</v>
      </c>
      <c r="C499" s="40">
        <v>45685.47222222222</v>
      </c>
      <c r="D499" s="27" t="s">
        <v>33</v>
      </c>
      <c r="E499" s="11" t="b">
        <v>0</v>
      </c>
      <c r="F499" s="11" t="s">
        <v>49</v>
      </c>
      <c r="G499" s="11" t="s">
        <v>460</v>
      </c>
      <c r="H499" s="11" t="s">
        <v>518</v>
      </c>
      <c r="I499" s="30">
        <v>5.0</v>
      </c>
      <c r="J499" s="31">
        <v>100.0</v>
      </c>
      <c r="K499" s="11">
        <v>40.0</v>
      </c>
      <c r="L499" s="32">
        <f>(7500)/P499</f>
        <v>0.4637645313</v>
      </c>
      <c r="M499" s="32">
        <f>(558/3)/P499</f>
        <v>0.01150136038</v>
      </c>
      <c r="N499" s="32">
        <f>(X499*12%)/P499</f>
        <v>5.565174375</v>
      </c>
      <c r="O499" s="32">
        <v>0.0</v>
      </c>
      <c r="P499" s="33">
        <v>16172.0</v>
      </c>
      <c r="Q499" s="34">
        <v>4000.0</v>
      </c>
      <c r="R499" s="42">
        <v>46.3764531288647</v>
      </c>
      <c r="S499" s="36">
        <v>0.011501360375958447</v>
      </c>
      <c r="T499" s="36">
        <v>5.565174375463765</v>
      </c>
      <c r="U499" s="36"/>
      <c r="V499" s="36">
        <v>40.8227801137769</v>
      </c>
      <c r="W499" s="37">
        <v>0.010205695028444225</v>
      </c>
      <c r="X499" s="42">
        <v>750000.0</v>
      </c>
      <c r="Y499" s="36">
        <v>186.0</v>
      </c>
      <c r="Z499" s="36">
        <v>90000.0</v>
      </c>
      <c r="AA499" s="36"/>
      <c r="AB499" s="36">
        <v>660186.0</v>
      </c>
      <c r="AC499" s="37">
        <v>165.0465</v>
      </c>
      <c r="AD499" s="31"/>
      <c r="AE499" s="11"/>
      <c r="AF499" s="11"/>
    </row>
    <row r="500">
      <c r="A500" s="11" t="s">
        <v>544</v>
      </c>
      <c r="B500" s="39">
        <v>45580.603472222225</v>
      </c>
      <c r="C500" s="40">
        <v>45583.35902777778</v>
      </c>
      <c r="D500" s="27" t="s">
        <v>33</v>
      </c>
      <c r="E500" s="11" t="b">
        <v>0</v>
      </c>
      <c r="F500" s="11" t="s">
        <v>49</v>
      </c>
      <c r="G500" s="11" t="s">
        <v>115</v>
      </c>
      <c r="H500" s="11" t="s">
        <v>545</v>
      </c>
      <c r="I500" s="30">
        <v>5.0</v>
      </c>
      <c r="J500" s="31">
        <v>10.0</v>
      </c>
      <c r="K500" s="11">
        <v>40.0</v>
      </c>
      <c r="L500" s="32">
        <f>(8800)/P500</f>
        <v>0.5629477994</v>
      </c>
      <c r="M500" s="32">
        <f>(1000)/P500</f>
        <v>0.06397134084</v>
      </c>
      <c r="N500" s="32">
        <f>(3000)/P500</f>
        <v>0.1919140225</v>
      </c>
      <c r="O500" s="32">
        <v>0.0</v>
      </c>
      <c r="P500" s="33">
        <v>15632.0</v>
      </c>
      <c r="Q500" s="34">
        <v>400.0</v>
      </c>
      <c r="R500" s="42">
        <v>5.629477993858751</v>
      </c>
      <c r="S500" s="36">
        <v>0.06397134083930399</v>
      </c>
      <c r="T500" s="36">
        <v>0.19191402251791198</v>
      </c>
      <c r="U500" s="36"/>
      <c r="V500" s="36">
        <v>5.501535312180144</v>
      </c>
      <c r="W500" s="37">
        <v>0.013753838280450358</v>
      </c>
      <c r="X500" s="42">
        <v>88000.0</v>
      </c>
      <c r="Y500" s="36">
        <v>1000.0</v>
      </c>
      <c r="Z500" s="36">
        <v>3000.0</v>
      </c>
      <c r="AA500" s="36"/>
      <c r="AB500" s="36">
        <v>86000.0</v>
      </c>
      <c r="AC500" s="37">
        <v>215.0</v>
      </c>
      <c r="AD500" s="31"/>
      <c r="AE500" s="11"/>
      <c r="AF500" s="11"/>
    </row>
    <row r="501">
      <c r="A501" s="11" t="s">
        <v>544</v>
      </c>
      <c r="B501" s="39">
        <v>45512.041666666664</v>
      </c>
      <c r="C501" s="40">
        <v>45514.40833333333</v>
      </c>
      <c r="D501" s="27" t="s">
        <v>37</v>
      </c>
      <c r="E501" s="11" t="b">
        <v>0</v>
      </c>
      <c r="F501" s="11" t="s">
        <v>49</v>
      </c>
      <c r="G501" s="11" t="s">
        <v>251</v>
      </c>
      <c r="H501" s="11" t="s">
        <v>321</v>
      </c>
      <c r="I501" s="30">
        <v>5.0</v>
      </c>
      <c r="J501" s="31">
        <v>42.0</v>
      </c>
      <c r="K501" s="11">
        <v>40.0</v>
      </c>
      <c r="L501" s="32">
        <f>(7900)/P501</f>
        <v>0.4941824096</v>
      </c>
      <c r="M501" s="32">
        <f>(200 + 31000/4)/P501</f>
        <v>0.4973101464</v>
      </c>
      <c r="N501" s="32">
        <f>(X501*10%)/P501</f>
        <v>2.07556612</v>
      </c>
      <c r="O501" s="32">
        <f>(30000/4)/P501</f>
        <v>0.4691605155</v>
      </c>
      <c r="P501" s="33">
        <v>15986.0</v>
      </c>
      <c r="Q501" s="34">
        <v>1680.0</v>
      </c>
      <c r="R501" s="42">
        <v>20.75566120355311</v>
      </c>
      <c r="S501" s="36">
        <v>0.4973101463780808</v>
      </c>
      <c r="T501" s="36">
        <v>2.075566120355311</v>
      </c>
      <c r="U501" s="36">
        <v>0.46916051545101967</v>
      </c>
      <c r="V501" s="36">
        <v>18.70824471412486</v>
      </c>
      <c r="W501" s="37">
        <v>0.011135859948883844</v>
      </c>
      <c r="X501" s="42">
        <v>331800.0</v>
      </c>
      <c r="Y501" s="36">
        <v>7950.0</v>
      </c>
      <c r="Z501" s="36">
        <v>33180.0</v>
      </c>
      <c r="AA501" s="36">
        <v>7500.0</v>
      </c>
      <c r="AB501" s="36">
        <v>299070.0</v>
      </c>
      <c r="AC501" s="37">
        <v>178.01785714285714</v>
      </c>
      <c r="AD501" s="31"/>
      <c r="AE501" s="11"/>
      <c r="AF501" s="11"/>
    </row>
    <row r="502">
      <c r="A502" s="11" t="s">
        <v>544</v>
      </c>
      <c r="B502" s="39">
        <v>45468.998611111114</v>
      </c>
      <c r="C502" s="40">
        <v>45472.71388888889</v>
      </c>
      <c r="D502" s="27" t="s">
        <v>37</v>
      </c>
      <c r="E502" s="11" t="b">
        <v>0</v>
      </c>
      <c r="F502" s="11" t="s">
        <v>49</v>
      </c>
      <c r="G502" s="11" t="s">
        <v>498</v>
      </c>
      <c r="H502" s="11" t="s">
        <v>519</v>
      </c>
      <c r="I502" s="30">
        <v>5.0</v>
      </c>
      <c r="J502" s="31">
        <v>140.0</v>
      </c>
      <c r="K502" s="11">
        <v>40.0</v>
      </c>
      <c r="L502" s="32">
        <f>(8000)/P502</f>
        <v>0.4875373271</v>
      </c>
      <c r="M502" s="32">
        <f>(859)/P502</f>
        <v>0.05234932049</v>
      </c>
      <c r="N502" s="32">
        <f>(112000)/P502</f>
        <v>6.825522579</v>
      </c>
      <c r="O502" s="32">
        <v>0.0</v>
      </c>
      <c r="P502" s="33">
        <v>16409.0</v>
      </c>
      <c r="Q502" s="34">
        <v>5600.0</v>
      </c>
      <c r="R502" s="42">
        <v>68.25522579072461</v>
      </c>
      <c r="S502" s="36">
        <v>0.05234932049485039</v>
      </c>
      <c r="T502" s="36">
        <v>6.8255225790724605</v>
      </c>
      <c r="U502" s="36"/>
      <c r="V502" s="36">
        <v>61.482052532147</v>
      </c>
      <c r="W502" s="37">
        <v>0.010978937952169107</v>
      </c>
      <c r="X502" s="42">
        <v>1120000.0</v>
      </c>
      <c r="Y502" s="36">
        <v>859.0</v>
      </c>
      <c r="Z502" s="36">
        <v>112000.0</v>
      </c>
      <c r="AA502" s="36"/>
      <c r="AB502" s="36">
        <v>1008859.0000000001</v>
      </c>
      <c r="AC502" s="37">
        <v>180.15339285714288</v>
      </c>
      <c r="AD502" s="31"/>
      <c r="AE502" s="11"/>
      <c r="AF502" s="11"/>
    </row>
    <row r="503">
      <c r="A503" s="11" t="s">
        <v>544</v>
      </c>
      <c r="B503" s="39">
        <v>45429.30763888889</v>
      </c>
      <c r="C503" s="40">
        <v>45430.71944444445</v>
      </c>
      <c r="D503" s="27" t="s">
        <v>33</v>
      </c>
      <c r="E503" s="11" t="b">
        <v>0</v>
      </c>
      <c r="F503" s="11" t="s">
        <v>38</v>
      </c>
      <c r="G503" s="11" t="s">
        <v>546</v>
      </c>
      <c r="H503" s="11" t="s">
        <v>547</v>
      </c>
      <c r="I503" s="30">
        <v>5.0</v>
      </c>
      <c r="J503" s="31">
        <v>5.0</v>
      </c>
      <c r="K503" s="11">
        <v>40.0</v>
      </c>
      <c r="L503" s="32">
        <f>(7400)/P503</f>
        <v>0.4631658008</v>
      </c>
      <c r="M503" s="32">
        <f>(1278)/P503</f>
        <v>0.0799899856</v>
      </c>
      <c r="N503" s="32">
        <f>(18263)/P503</f>
        <v>1.143080678</v>
      </c>
      <c r="O503" s="32">
        <v>0.0</v>
      </c>
      <c r="P503" s="33">
        <v>15977.0</v>
      </c>
      <c r="Q503" s="34">
        <v>200.0</v>
      </c>
      <c r="R503" s="42">
        <v>2.315829004193528</v>
      </c>
      <c r="S503" s="36">
        <v>0.07998998560430619</v>
      </c>
      <c r="T503" s="36">
        <v>1.1430806784753083</v>
      </c>
      <c r="U503" s="36"/>
      <c r="V503" s="36">
        <v>1.2527383113225259</v>
      </c>
      <c r="W503" s="37">
        <v>0.006263691556612629</v>
      </c>
      <c r="X503" s="42">
        <v>37000.0</v>
      </c>
      <c r="Y503" s="36">
        <v>1278.0</v>
      </c>
      <c r="Z503" s="36">
        <v>18263.0</v>
      </c>
      <c r="AA503" s="36"/>
      <c r="AB503" s="36">
        <v>20014.999999999996</v>
      </c>
      <c r="AC503" s="37">
        <v>100.07499999999999</v>
      </c>
      <c r="AD503" s="31"/>
      <c r="AE503" s="11"/>
      <c r="AF503" s="11"/>
    </row>
    <row r="504">
      <c r="A504" s="11" t="s">
        <v>544</v>
      </c>
      <c r="B504" s="39">
        <v>45408.75902777778</v>
      </c>
      <c r="C504" s="40">
        <v>45410.707688229166</v>
      </c>
      <c r="D504" s="27" t="s">
        <v>33</v>
      </c>
      <c r="E504" s="11" t="b">
        <v>0</v>
      </c>
      <c r="F504" s="11" t="s">
        <v>38</v>
      </c>
      <c r="G504" s="11" t="s">
        <v>154</v>
      </c>
      <c r="H504" s="11" t="s">
        <v>154</v>
      </c>
      <c r="I504" s="30">
        <v>5.0</v>
      </c>
      <c r="J504" s="31">
        <v>11.0</v>
      </c>
      <c r="K504" s="11">
        <v>40.0</v>
      </c>
      <c r="L504" s="32">
        <f t="shared" ref="L504:L510" si="146">(6600)/P504</f>
        <v>0.4063789176</v>
      </c>
      <c r="M504" s="32">
        <v>0.0</v>
      </c>
      <c r="N504" s="32">
        <v>0.0</v>
      </c>
      <c r="O504" s="32">
        <v>0.0</v>
      </c>
      <c r="P504" s="33">
        <v>16241.0</v>
      </c>
      <c r="Q504" s="34">
        <v>440.0</v>
      </c>
      <c r="R504" s="42">
        <v>4.4701680930977155</v>
      </c>
      <c r="S504" s="36"/>
      <c r="T504" s="36"/>
      <c r="U504" s="36"/>
      <c r="V504" s="36">
        <v>4.4701680930977155</v>
      </c>
      <c r="W504" s="37">
        <v>0.010159472938858443</v>
      </c>
      <c r="X504" s="42">
        <v>72600.0</v>
      </c>
      <c r="Y504" s="36"/>
      <c r="Z504" s="36"/>
      <c r="AA504" s="36"/>
      <c r="AB504" s="36">
        <v>72600.0</v>
      </c>
      <c r="AC504" s="37">
        <v>165.0</v>
      </c>
      <c r="AD504" s="31"/>
      <c r="AE504" s="11"/>
      <c r="AF504" s="11"/>
    </row>
    <row r="505">
      <c r="A505" s="11" t="s">
        <v>544</v>
      </c>
      <c r="B505" s="39">
        <v>45408.75555555556</v>
      </c>
      <c r="C505" s="40">
        <v>45411.756830162034</v>
      </c>
      <c r="D505" s="27" t="s">
        <v>37</v>
      </c>
      <c r="E505" s="11" t="b">
        <v>0</v>
      </c>
      <c r="F505" s="11" t="s">
        <v>38</v>
      </c>
      <c r="G505" s="11" t="s">
        <v>154</v>
      </c>
      <c r="H505" s="11" t="s">
        <v>154</v>
      </c>
      <c r="I505" s="30">
        <v>5.0</v>
      </c>
      <c r="J505" s="31">
        <v>12.0</v>
      </c>
      <c r="K505" s="11">
        <v>40.0</v>
      </c>
      <c r="L505" s="32">
        <f t="shared" si="146"/>
        <v>0.4063789176</v>
      </c>
      <c r="M505" s="32">
        <f t="shared" ref="M505:M509" si="147">(1000)/P505</f>
        <v>0.06157256327</v>
      </c>
      <c r="N505" s="32">
        <f>(1188)/P505</f>
        <v>0.07314820516</v>
      </c>
      <c r="O505" s="32">
        <v>0.0</v>
      </c>
      <c r="P505" s="33">
        <v>16241.0</v>
      </c>
      <c r="Q505" s="34">
        <v>480.0</v>
      </c>
      <c r="R505" s="42">
        <v>4.876547010652054</v>
      </c>
      <c r="S505" s="36">
        <v>0.061572563265808754</v>
      </c>
      <c r="T505" s="36">
        <v>0.07314820515978081</v>
      </c>
      <c r="U505" s="36"/>
      <c r="V505" s="36">
        <v>4.8649713687580824</v>
      </c>
      <c r="W505" s="37">
        <v>0.010135357018246005</v>
      </c>
      <c r="X505" s="42">
        <v>79200.0</v>
      </c>
      <c r="Y505" s="36">
        <v>1000.0</v>
      </c>
      <c r="Z505" s="36">
        <v>1188.0</v>
      </c>
      <c r="AA505" s="36"/>
      <c r="AB505" s="36">
        <v>79012.00000000001</v>
      </c>
      <c r="AC505" s="37">
        <v>164.60833333333338</v>
      </c>
      <c r="AD505" s="31"/>
      <c r="AE505" s="11"/>
      <c r="AF505" s="11"/>
    </row>
    <row r="506">
      <c r="A506" s="11" t="s">
        <v>544</v>
      </c>
      <c r="B506" s="39">
        <v>45408.754166666666</v>
      </c>
      <c r="C506" s="40">
        <v>45410.707982685184</v>
      </c>
      <c r="D506" s="27" t="s">
        <v>33</v>
      </c>
      <c r="E506" s="11" t="b">
        <v>0</v>
      </c>
      <c r="F506" s="11" t="s">
        <v>38</v>
      </c>
      <c r="G506" s="11" t="s">
        <v>154</v>
      </c>
      <c r="H506" s="11" t="s">
        <v>154</v>
      </c>
      <c r="I506" s="30">
        <v>5.0</v>
      </c>
      <c r="J506" s="31">
        <v>12.0</v>
      </c>
      <c r="K506" s="11">
        <v>40.0</v>
      </c>
      <c r="L506" s="32">
        <f t="shared" si="146"/>
        <v>0.4063789176</v>
      </c>
      <c r="M506" s="32">
        <f t="shared" si="147"/>
        <v>0.06157256327</v>
      </c>
      <c r="N506" s="32">
        <f t="shared" ref="N506:N507" si="148">(3168)/P506</f>
        <v>0.1950618804</v>
      </c>
      <c r="O506" s="32">
        <v>0.0</v>
      </c>
      <c r="P506" s="33">
        <v>16241.0</v>
      </c>
      <c r="Q506" s="34">
        <v>480.0</v>
      </c>
      <c r="R506" s="42">
        <v>4.876547010652054</v>
      </c>
      <c r="S506" s="36">
        <v>0.061572563265808754</v>
      </c>
      <c r="T506" s="36">
        <v>0.19506188042608213</v>
      </c>
      <c r="U506" s="36"/>
      <c r="V506" s="36">
        <v>4.743057693491781</v>
      </c>
      <c r="W506" s="37">
        <v>0.009881370194774542</v>
      </c>
      <c r="X506" s="42">
        <v>79200.0</v>
      </c>
      <c r="Y506" s="36">
        <v>1000.0</v>
      </c>
      <c r="Z506" s="36">
        <v>3168.0</v>
      </c>
      <c r="AA506" s="36"/>
      <c r="AB506" s="36">
        <v>77032.00000000001</v>
      </c>
      <c r="AC506" s="37">
        <v>160.48333333333338</v>
      </c>
      <c r="AD506" s="31"/>
      <c r="AE506" s="11"/>
      <c r="AF506" s="11"/>
    </row>
    <row r="507">
      <c r="A507" s="11" t="s">
        <v>544</v>
      </c>
      <c r="B507" s="39">
        <v>45408.75347222222</v>
      </c>
      <c r="C507" s="40">
        <v>45411.75681027777</v>
      </c>
      <c r="D507" s="27" t="s">
        <v>37</v>
      </c>
      <c r="E507" s="11" t="b">
        <v>0</v>
      </c>
      <c r="F507" s="11" t="s">
        <v>38</v>
      </c>
      <c r="G507" s="11" t="s">
        <v>154</v>
      </c>
      <c r="H507" s="11" t="s">
        <v>154</v>
      </c>
      <c r="I507" s="30">
        <v>5.0</v>
      </c>
      <c r="J507" s="31">
        <v>12.0</v>
      </c>
      <c r="K507" s="11">
        <v>40.0</v>
      </c>
      <c r="L507" s="32">
        <f t="shared" si="146"/>
        <v>0.4063789176</v>
      </c>
      <c r="M507" s="32">
        <f t="shared" si="147"/>
        <v>0.06157256327</v>
      </c>
      <c r="N507" s="32">
        <f t="shared" si="148"/>
        <v>0.1950618804</v>
      </c>
      <c r="O507" s="32">
        <v>0.0</v>
      </c>
      <c r="P507" s="33">
        <v>16241.0</v>
      </c>
      <c r="Q507" s="34">
        <v>480.0</v>
      </c>
      <c r="R507" s="42">
        <v>4.876547010652054</v>
      </c>
      <c r="S507" s="36">
        <v>0.061572563265808754</v>
      </c>
      <c r="T507" s="36">
        <v>0.19506188042608213</v>
      </c>
      <c r="U507" s="36"/>
      <c r="V507" s="36">
        <v>4.743057693491781</v>
      </c>
      <c r="W507" s="37">
        <v>0.009881370194774542</v>
      </c>
      <c r="X507" s="42">
        <v>79200.0</v>
      </c>
      <c r="Y507" s="36">
        <v>1000.0</v>
      </c>
      <c r="Z507" s="36">
        <v>3168.0</v>
      </c>
      <c r="AA507" s="36"/>
      <c r="AB507" s="36">
        <v>77032.00000000001</v>
      </c>
      <c r="AC507" s="37">
        <v>160.48333333333338</v>
      </c>
      <c r="AD507" s="31"/>
      <c r="AE507" s="11"/>
      <c r="AF507" s="11"/>
    </row>
    <row r="508">
      <c r="A508" s="11" t="s">
        <v>544</v>
      </c>
      <c r="B508" s="39">
        <v>45408.751388888886</v>
      </c>
      <c r="C508" s="40">
        <v>45410.71042640046</v>
      </c>
      <c r="D508" s="27" t="s">
        <v>33</v>
      </c>
      <c r="E508" s="11" t="b">
        <v>0</v>
      </c>
      <c r="F508" s="11" t="s">
        <v>38</v>
      </c>
      <c r="G508" s="11" t="s">
        <v>154</v>
      </c>
      <c r="H508" s="11" t="s">
        <v>154</v>
      </c>
      <c r="I508" s="30">
        <v>5.0</v>
      </c>
      <c r="J508" s="31">
        <v>12.0</v>
      </c>
      <c r="K508" s="11">
        <v>40.0</v>
      </c>
      <c r="L508" s="32">
        <f t="shared" si="146"/>
        <v>0.4063789176</v>
      </c>
      <c r="M508" s="32">
        <f t="shared" si="147"/>
        <v>0.06157256327</v>
      </c>
      <c r="N508" s="32">
        <f t="shared" ref="N508:N509" si="149">(3960)/P508</f>
        <v>0.2438273505</v>
      </c>
      <c r="O508" s="32">
        <v>0.0</v>
      </c>
      <c r="P508" s="33">
        <v>16241.0</v>
      </c>
      <c r="Q508" s="34">
        <v>480.0</v>
      </c>
      <c r="R508" s="42">
        <v>4.876547010652054</v>
      </c>
      <c r="S508" s="36">
        <v>0.061572563265808754</v>
      </c>
      <c r="T508" s="36">
        <v>0.24382735053260268</v>
      </c>
      <c r="U508" s="36"/>
      <c r="V508" s="36">
        <v>4.69429222338526</v>
      </c>
      <c r="W508" s="37">
        <v>0.00977977546538596</v>
      </c>
      <c r="X508" s="42">
        <v>79200.0</v>
      </c>
      <c r="Y508" s="36">
        <v>1000.0</v>
      </c>
      <c r="Z508" s="36">
        <v>3960.0</v>
      </c>
      <c r="AA508" s="36"/>
      <c r="AB508" s="36">
        <v>76240.00000000001</v>
      </c>
      <c r="AC508" s="37">
        <v>158.83333333333337</v>
      </c>
      <c r="AD508" s="31"/>
      <c r="AE508" s="11"/>
      <c r="AF508" s="11"/>
    </row>
    <row r="509">
      <c r="A509" s="11" t="s">
        <v>544</v>
      </c>
      <c r="B509" s="39">
        <v>45408.74930555555</v>
      </c>
      <c r="C509" s="40">
        <v>45411.75679694445</v>
      </c>
      <c r="D509" s="27" t="s">
        <v>37</v>
      </c>
      <c r="E509" s="11" t="b">
        <v>0</v>
      </c>
      <c r="F509" s="11" t="s">
        <v>38</v>
      </c>
      <c r="G509" s="11" t="s">
        <v>154</v>
      </c>
      <c r="H509" s="11" t="s">
        <v>154</v>
      </c>
      <c r="I509" s="30">
        <v>5.0</v>
      </c>
      <c r="J509" s="31">
        <v>12.0</v>
      </c>
      <c r="K509" s="11">
        <v>40.0</v>
      </c>
      <c r="L509" s="32">
        <f t="shared" si="146"/>
        <v>0.4063789176</v>
      </c>
      <c r="M509" s="32">
        <f t="shared" si="147"/>
        <v>0.06157256327</v>
      </c>
      <c r="N509" s="32">
        <f t="shared" si="149"/>
        <v>0.2438273505</v>
      </c>
      <c r="O509" s="32">
        <v>0.0</v>
      </c>
      <c r="P509" s="33">
        <v>16241.0</v>
      </c>
      <c r="Q509" s="34">
        <v>480.0</v>
      </c>
      <c r="R509" s="42">
        <v>4.876547010652054</v>
      </c>
      <c r="S509" s="36">
        <v>0.061572563265808754</v>
      </c>
      <c r="T509" s="36">
        <v>0.24382735053260268</v>
      </c>
      <c r="U509" s="36"/>
      <c r="V509" s="36">
        <v>4.69429222338526</v>
      </c>
      <c r="W509" s="37">
        <v>0.00977977546538596</v>
      </c>
      <c r="X509" s="42">
        <v>79200.0</v>
      </c>
      <c r="Y509" s="36">
        <v>1000.0</v>
      </c>
      <c r="Z509" s="36">
        <v>3960.0</v>
      </c>
      <c r="AA509" s="36"/>
      <c r="AB509" s="36">
        <v>76240.00000000001</v>
      </c>
      <c r="AC509" s="37">
        <v>158.83333333333337</v>
      </c>
      <c r="AD509" s="31"/>
      <c r="AE509" s="11"/>
      <c r="AF509" s="11"/>
    </row>
    <row r="510">
      <c r="A510" s="11" t="s">
        <v>544</v>
      </c>
      <c r="B510" s="39">
        <v>45408.74791666667</v>
      </c>
      <c r="C510" s="40">
        <v>45410.70922596064</v>
      </c>
      <c r="D510" s="27" t="s">
        <v>33</v>
      </c>
      <c r="E510" s="11" t="b">
        <v>0</v>
      </c>
      <c r="F510" s="11" t="s">
        <v>38</v>
      </c>
      <c r="G510" s="11" t="s">
        <v>154</v>
      </c>
      <c r="H510" s="11" t="s">
        <v>154</v>
      </c>
      <c r="I510" s="30">
        <v>5.0</v>
      </c>
      <c r="J510" s="31">
        <v>12.0</v>
      </c>
      <c r="K510" s="11">
        <v>40.0</v>
      </c>
      <c r="L510" s="32">
        <f t="shared" si="146"/>
        <v>0.4063789176</v>
      </c>
      <c r="M510" s="32">
        <f>(1000)/2/P510</f>
        <v>0.03078628163</v>
      </c>
      <c r="N510" s="32">
        <f>(6006/2)/P510</f>
        <v>0.1849024075</v>
      </c>
      <c r="O510" s="32">
        <v>0.0</v>
      </c>
      <c r="P510" s="33">
        <v>16241.0</v>
      </c>
      <c r="Q510" s="34">
        <v>480.0</v>
      </c>
      <c r="R510" s="42">
        <v>4.876547010652054</v>
      </c>
      <c r="S510" s="36">
        <v>0.030786281632904377</v>
      </c>
      <c r="T510" s="36">
        <v>0.1849024074872237</v>
      </c>
      <c r="U510" s="36"/>
      <c r="V510" s="36">
        <v>4.722430884797735</v>
      </c>
      <c r="W510" s="37">
        <v>0.009838397676661947</v>
      </c>
      <c r="X510" s="42">
        <v>79200.0</v>
      </c>
      <c r="Y510" s="36">
        <v>500.0</v>
      </c>
      <c r="Z510" s="36">
        <v>3003.0</v>
      </c>
      <c r="AA510" s="36"/>
      <c r="AB510" s="36">
        <v>76697.00000000001</v>
      </c>
      <c r="AC510" s="37">
        <v>159.7854166666667</v>
      </c>
      <c r="AD510" s="31"/>
      <c r="AE510" s="11"/>
      <c r="AF510" s="11"/>
    </row>
    <row r="511">
      <c r="A511" s="11" t="s">
        <v>544</v>
      </c>
      <c r="B511" s="39">
        <v>44119.46753443287</v>
      </c>
      <c r="C511" s="40">
        <v>44126.56835729167</v>
      </c>
      <c r="D511" s="27" t="s">
        <v>163</v>
      </c>
      <c r="E511" s="11" t="b">
        <v>1</v>
      </c>
      <c r="F511" s="11" t="s">
        <v>49</v>
      </c>
      <c r="G511" s="45" t="s">
        <v>548</v>
      </c>
      <c r="H511" s="46" t="s">
        <v>549</v>
      </c>
      <c r="I511" s="30">
        <v>5.0</v>
      </c>
      <c r="J511" s="31">
        <v>10.0</v>
      </c>
      <c r="K511" s="11">
        <v>40.0</v>
      </c>
      <c r="L511" s="32">
        <f>6839/P511</f>
        <v>0.6839</v>
      </c>
      <c r="M511" s="32">
        <f>9000/P511</f>
        <v>0.9</v>
      </c>
      <c r="N511" s="32">
        <v>0.0</v>
      </c>
      <c r="O511" s="32">
        <f>9000/P511</f>
        <v>0.9</v>
      </c>
      <c r="P511" s="33">
        <v>10000.0</v>
      </c>
      <c r="Q511" s="34">
        <v>400.0</v>
      </c>
      <c r="R511" s="42">
        <v>6.8389999999999995</v>
      </c>
      <c r="S511" s="36">
        <v>0.9</v>
      </c>
      <c r="T511" s="36"/>
      <c r="U511" s="36">
        <v>0.9</v>
      </c>
      <c r="V511" s="36">
        <v>6.8389999999999995</v>
      </c>
      <c r="W511" s="37">
        <v>0.017097499999999998</v>
      </c>
      <c r="X511" s="42">
        <v>68390.0</v>
      </c>
      <c r="Y511" s="36">
        <v>9000.0</v>
      </c>
      <c r="Z511" s="36"/>
      <c r="AA511" s="36">
        <v>9000.0</v>
      </c>
      <c r="AB511" s="36">
        <v>68390.0</v>
      </c>
      <c r="AC511" s="37">
        <v>170.975</v>
      </c>
      <c r="AD511" s="31">
        <v>300.0</v>
      </c>
      <c r="AE511" s="11">
        <v>500.0</v>
      </c>
      <c r="AF511" s="11"/>
    </row>
    <row r="512">
      <c r="A512" s="11" t="s">
        <v>544</v>
      </c>
      <c r="B512" s="39">
        <v>44119.46642125</v>
      </c>
      <c r="C512" s="40">
        <v>44127.608194942135</v>
      </c>
      <c r="D512" s="27" t="s">
        <v>163</v>
      </c>
      <c r="E512" s="11" t="b">
        <v>1</v>
      </c>
      <c r="F512" s="11" t="s">
        <v>49</v>
      </c>
      <c r="G512" s="45" t="s">
        <v>550</v>
      </c>
      <c r="H512" s="46" t="s">
        <v>551</v>
      </c>
      <c r="I512" s="30">
        <v>5.0</v>
      </c>
      <c r="J512" s="31">
        <v>30.0</v>
      </c>
      <c r="K512" s="11">
        <v>40.0</v>
      </c>
      <c r="L512" s="32">
        <f>6954/P512</f>
        <v>0.6954</v>
      </c>
      <c r="M512" s="32">
        <f t="shared" ref="M512:M513" si="150">12000/P512</f>
        <v>1.2</v>
      </c>
      <c r="N512" s="32">
        <v>0.0</v>
      </c>
      <c r="O512" s="32">
        <f t="shared" ref="O512:O513" si="151">12000/P512</f>
        <v>1.2</v>
      </c>
      <c r="P512" s="33">
        <v>10000.0</v>
      </c>
      <c r="Q512" s="34">
        <v>1200.0</v>
      </c>
      <c r="R512" s="42">
        <v>20.862000000000002</v>
      </c>
      <c r="S512" s="36">
        <v>1.2</v>
      </c>
      <c r="T512" s="36"/>
      <c r="U512" s="36">
        <v>1.2</v>
      </c>
      <c r="V512" s="36">
        <v>20.862000000000002</v>
      </c>
      <c r="W512" s="37">
        <v>0.017385</v>
      </c>
      <c r="X512" s="42">
        <v>208620.00000000003</v>
      </c>
      <c r="Y512" s="36">
        <v>12000.0</v>
      </c>
      <c r="Z512" s="36"/>
      <c r="AA512" s="36">
        <v>12000.0</v>
      </c>
      <c r="AB512" s="36">
        <v>208620.00000000003</v>
      </c>
      <c r="AC512" s="37">
        <v>173.85000000000002</v>
      </c>
      <c r="AD512" s="31">
        <v>300.0</v>
      </c>
      <c r="AE512" s="11">
        <v>500.0</v>
      </c>
      <c r="AF512" s="11"/>
    </row>
    <row r="513">
      <c r="A513" s="11" t="s">
        <v>544</v>
      </c>
      <c r="B513" s="39">
        <v>44039.0</v>
      </c>
      <c r="C513" s="40">
        <v>44048.0</v>
      </c>
      <c r="D513" s="27" t="s">
        <v>37</v>
      </c>
      <c r="E513" s="11" t="b">
        <v>1</v>
      </c>
      <c r="F513" s="11" t="s">
        <v>49</v>
      </c>
      <c r="G513" s="128" t="s">
        <v>550</v>
      </c>
      <c r="H513" s="46" t="s">
        <v>552</v>
      </c>
      <c r="I513" s="33">
        <v>4.0</v>
      </c>
      <c r="J513" s="31">
        <v>50.0</v>
      </c>
      <c r="K513" s="11">
        <v>40.0</v>
      </c>
      <c r="L513" s="32">
        <f>6498/P513</f>
        <v>0.6498</v>
      </c>
      <c r="M513" s="32">
        <f t="shared" si="150"/>
        <v>1.2</v>
      </c>
      <c r="N513" s="32"/>
      <c r="O513" s="32">
        <f t="shared" si="151"/>
        <v>1.2</v>
      </c>
      <c r="P513" s="33">
        <v>10000.0</v>
      </c>
      <c r="Q513" s="34">
        <v>2000.0</v>
      </c>
      <c r="R513" s="42">
        <v>32.49</v>
      </c>
      <c r="S513" s="36">
        <v>1.2</v>
      </c>
      <c r="T513" s="36"/>
      <c r="U513" s="36">
        <v>1.2</v>
      </c>
      <c r="V513" s="36">
        <v>32.49</v>
      </c>
      <c r="W513" s="37">
        <v>0.016245000000000002</v>
      </c>
      <c r="X513" s="42">
        <v>324900.0</v>
      </c>
      <c r="Y513" s="36">
        <v>12000.0</v>
      </c>
      <c r="Z513" s="36"/>
      <c r="AA513" s="36">
        <v>12000.0</v>
      </c>
      <c r="AB513" s="36">
        <v>324900.0</v>
      </c>
      <c r="AC513" s="37">
        <v>162.45</v>
      </c>
      <c r="AD513" s="31">
        <v>300.0</v>
      </c>
      <c r="AE513" s="11">
        <v>500.0</v>
      </c>
      <c r="AF513" s="11"/>
    </row>
    <row r="514">
      <c r="A514" s="11" t="s">
        <v>544</v>
      </c>
      <c r="B514" s="39">
        <v>43780.80715717592</v>
      </c>
      <c r="C514" s="40">
        <v>43797.0</v>
      </c>
      <c r="D514" s="27" t="s">
        <v>56</v>
      </c>
      <c r="E514" s="11" t="b">
        <v>1</v>
      </c>
      <c r="F514" s="29" t="s">
        <v>57</v>
      </c>
      <c r="G514" s="57" t="s">
        <v>525</v>
      </c>
      <c r="H514" s="29" t="s">
        <v>526</v>
      </c>
      <c r="I514" s="33"/>
      <c r="J514" s="31">
        <v>6.0</v>
      </c>
      <c r="K514" s="11">
        <v>40.0</v>
      </c>
      <c r="L514" s="32">
        <f>1.5/3</f>
        <v>0.5</v>
      </c>
      <c r="M514" s="32"/>
      <c r="N514" s="32"/>
      <c r="O514" s="32"/>
      <c r="P514" s="33">
        <f>(3*93373)/(1.5*2*3 + 1.76*2*3)</f>
        <v>14321.01227</v>
      </c>
      <c r="Q514" s="34">
        <v>240.0</v>
      </c>
      <c r="R514" s="42">
        <v>3.0</v>
      </c>
      <c r="S514" s="36"/>
      <c r="T514" s="36"/>
      <c r="U514" s="36"/>
      <c r="V514" s="36">
        <v>3.0</v>
      </c>
      <c r="W514" s="37">
        <v>0.0125</v>
      </c>
      <c r="X514" s="42">
        <v>42963.036809815945</v>
      </c>
      <c r="Y514" s="36"/>
      <c r="Z514" s="36"/>
      <c r="AA514" s="36"/>
      <c r="AB514" s="36">
        <v>42963.036809815945</v>
      </c>
      <c r="AC514" s="37">
        <v>179.0126533742331</v>
      </c>
      <c r="AD514" s="31">
        <v>300.0</v>
      </c>
      <c r="AE514" s="11">
        <v>500.0</v>
      </c>
      <c r="AF514" s="11"/>
    </row>
    <row r="515">
      <c r="A515" s="11" t="s">
        <v>544</v>
      </c>
      <c r="B515" s="39">
        <v>43614.0</v>
      </c>
      <c r="C515" s="40">
        <v>43614.0</v>
      </c>
      <c r="D515" s="27" t="s">
        <v>66</v>
      </c>
      <c r="E515" s="11" t="b">
        <v>0</v>
      </c>
      <c r="F515" s="29" t="s">
        <v>67</v>
      </c>
      <c r="G515" s="29" t="s">
        <v>67</v>
      </c>
      <c r="H515" s="29" t="s">
        <v>67</v>
      </c>
      <c r="I515" s="33"/>
      <c r="J515" s="31">
        <v>1.0</v>
      </c>
      <c r="K515" s="11">
        <v>40.0</v>
      </c>
      <c r="L515" s="36">
        <f>12500/10000</f>
        <v>1.25</v>
      </c>
      <c r="M515" s="36"/>
      <c r="N515" s="32"/>
      <c r="O515" s="32"/>
      <c r="P515" s="33">
        <v>10000.0</v>
      </c>
      <c r="Q515" s="62">
        <v>40.0</v>
      </c>
      <c r="R515" s="42">
        <v>1.25</v>
      </c>
      <c r="S515" s="36"/>
      <c r="T515" s="36"/>
      <c r="U515" s="36"/>
      <c r="V515" s="36">
        <v>1.25</v>
      </c>
      <c r="W515" s="37">
        <v>0.03125</v>
      </c>
      <c r="X515" s="42">
        <v>12500.0</v>
      </c>
      <c r="Y515" s="36"/>
      <c r="Z515" s="36"/>
      <c r="AA515" s="36"/>
      <c r="AB515" s="36">
        <v>12500.0</v>
      </c>
      <c r="AC515" s="37">
        <v>312.5</v>
      </c>
      <c r="AD515" s="31">
        <v>300.0</v>
      </c>
      <c r="AE515" s="11">
        <v>500.0</v>
      </c>
      <c r="AF515" s="64"/>
    </row>
    <row r="516">
      <c r="A516" s="11" t="s">
        <v>544</v>
      </c>
      <c r="B516" s="39">
        <v>43587.963893402775</v>
      </c>
      <c r="C516" s="40">
        <v>43602.77795587963</v>
      </c>
      <c r="D516" s="27" t="s">
        <v>56</v>
      </c>
      <c r="E516" s="11" t="b">
        <v>1</v>
      </c>
      <c r="F516" s="11" t="s">
        <v>57</v>
      </c>
      <c r="G516" s="123" t="s">
        <v>527</v>
      </c>
      <c r="H516" s="46" t="s">
        <v>528</v>
      </c>
      <c r="I516" s="33"/>
      <c r="J516" s="31">
        <f>28+10</f>
        <v>38</v>
      </c>
      <c r="K516" s="11">
        <v>40.0</v>
      </c>
      <c r="L516" s="32">
        <f>(((1.33/3)*28)+(0.57*10))/(28+10)</f>
        <v>0.4766666667</v>
      </c>
      <c r="M516" s="32">
        <v>0.0</v>
      </c>
      <c r="N516" s="32">
        <f>4/3</f>
        <v>1.333333333</v>
      </c>
      <c r="O516" s="32">
        <v>0.0</v>
      </c>
      <c r="P516" s="58">
        <f>647893/44.59</f>
        <v>14530.00673</v>
      </c>
      <c r="Q516" s="34">
        <v>1520.0</v>
      </c>
      <c r="R516" s="42">
        <v>18.113333333333333</v>
      </c>
      <c r="S516" s="36"/>
      <c r="T516" s="36">
        <v>1.3333333333333333</v>
      </c>
      <c r="U516" s="36"/>
      <c r="V516" s="36">
        <v>16.78</v>
      </c>
      <c r="W516" s="37">
        <v>0.011039473684210528</v>
      </c>
      <c r="X516" s="42">
        <v>263186.8551992225</v>
      </c>
      <c r="Y516" s="36"/>
      <c r="Z516" s="36">
        <v>19373.342303954545</v>
      </c>
      <c r="AA516" s="36"/>
      <c r="AB516" s="36">
        <v>243813.512895268</v>
      </c>
      <c r="AC516" s="37">
        <v>160.4036269047816</v>
      </c>
      <c r="AD516" s="31">
        <v>300.0</v>
      </c>
      <c r="AE516" s="11">
        <v>500.0</v>
      </c>
      <c r="AF516" s="11"/>
    </row>
    <row r="517">
      <c r="A517" s="11" t="s">
        <v>544</v>
      </c>
      <c r="B517" s="39">
        <v>43295.0</v>
      </c>
      <c r="C517" s="40">
        <v>43313.0</v>
      </c>
      <c r="D517" s="27" t="s">
        <v>66</v>
      </c>
      <c r="E517" s="28" t="b">
        <v>1</v>
      </c>
      <c r="F517" s="11" t="s">
        <v>57</v>
      </c>
      <c r="G517" s="59" t="str">
        <f>"https://www.aliexpress.com/item/40PCS-Dupont-10CM-Male-To-Female-Jumper-Wire-Ribbon-Cable-for-Arduino/32700517521.html?spm=a2g0s.9042311.0.0.7c934c4dFt1pIh"</f>
        <v>https://www.aliexpress.com/item/40PCS-Dupont-10CM-Male-To-Female-Jumper-Wire-Ribbon-Cable-for-Arduino/32700517521.html?spm=a2g0s.9042311.0.0.7c934c4dFt1pIh</v>
      </c>
      <c r="H517" s="11" t="s">
        <v>529</v>
      </c>
      <c r="I517" s="33"/>
      <c r="J517" s="31">
        <v>6.0</v>
      </c>
      <c r="K517" s="11">
        <v>40.0</v>
      </c>
      <c r="L517" s="32">
        <v>0.72</v>
      </c>
      <c r="M517" s="32">
        <v>0.0</v>
      </c>
      <c r="N517" s="60">
        <v>0.0</v>
      </c>
      <c r="O517" s="60">
        <v>0.0</v>
      </c>
      <c r="P517" s="33">
        <f t="shared" ref="P517:P523" si="152">1121368/(3*0.72*6 + 2*0.72*6 + 3*0.65*7 + (2*0.65*7 + 0.58*8) + (0.65*7 + 0.63*7 + 0.67*7) + (0.56*8) + (0.68*7) + (0.67*7))</f>
        <v>14645.00457</v>
      </c>
      <c r="Q517" s="34">
        <v>240.0</v>
      </c>
      <c r="R517" s="42">
        <v>4.32</v>
      </c>
      <c r="S517" s="36"/>
      <c r="T517" s="36"/>
      <c r="U517" s="36"/>
      <c r="V517" s="36">
        <v>4.32</v>
      </c>
      <c r="W517" s="37">
        <v>0.018000000000000002</v>
      </c>
      <c r="X517" s="42">
        <v>63266.41974663706</v>
      </c>
      <c r="Y517" s="36"/>
      <c r="Z517" s="36"/>
      <c r="AA517" s="36"/>
      <c r="AB517" s="36">
        <v>63266.41974663706</v>
      </c>
      <c r="AC517" s="37">
        <v>263.61008227765444</v>
      </c>
      <c r="AD517" s="31">
        <v>300.0</v>
      </c>
      <c r="AE517" s="11">
        <v>500.0</v>
      </c>
      <c r="AF517" s="11"/>
    </row>
    <row r="518">
      <c r="A518" s="11" t="s">
        <v>544</v>
      </c>
      <c r="B518" s="39">
        <v>43295.0</v>
      </c>
      <c r="C518" s="40">
        <v>43313.0</v>
      </c>
      <c r="D518" s="27" t="s">
        <v>66</v>
      </c>
      <c r="E518" s="28" t="b">
        <v>1</v>
      </c>
      <c r="F518" s="11" t="s">
        <v>57</v>
      </c>
      <c r="G518" s="129" t="str">
        <f>"https://www.aliexpress.com/item/Dupont-10CM-Male-To-Female-Jumper-Wire-Ribbon-Cable-for-Arduino/32661325331.html?spm=a2g0s.9042311.0.0.50c24c4dxN4D85"</f>
        <v>https://www.aliexpress.com/item/Dupont-10CM-Male-To-Female-Jumper-Wire-Ribbon-Cable-for-Arduino/32661325331.html?spm=a2g0s.9042311.0.0.50c24c4dxN4D85</v>
      </c>
      <c r="H518" s="11" t="s">
        <v>530</v>
      </c>
      <c r="I518" s="33"/>
      <c r="J518" s="31">
        <v>6.0</v>
      </c>
      <c r="K518" s="127">
        <v>40.0</v>
      </c>
      <c r="L518" s="32">
        <v>0.72</v>
      </c>
      <c r="M518" s="32">
        <v>0.0</v>
      </c>
      <c r="N518" s="60">
        <v>0.0</v>
      </c>
      <c r="O518" s="60">
        <v>0.0</v>
      </c>
      <c r="P518" s="33">
        <f t="shared" si="152"/>
        <v>14645.00457</v>
      </c>
      <c r="Q518" s="34">
        <v>240.0</v>
      </c>
      <c r="R518" s="35">
        <v>4.32</v>
      </c>
      <c r="S518" s="36"/>
      <c r="T518" s="36"/>
      <c r="U518" s="36"/>
      <c r="V518" s="36">
        <v>4.32</v>
      </c>
      <c r="W518" s="37">
        <v>0.018000000000000002</v>
      </c>
      <c r="X518" s="35">
        <v>63266.41974663706</v>
      </c>
      <c r="Y518" s="32"/>
      <c r="Z518" s="32"/>
      <c r="AA518" s="32"/>
      <c r="AB518" s="32">
        <v>63266.41974663706</v>
      </c>
      <c r="AC518" s="38">
        <v>263.61008227765444</v>
      </c>
      <c r="AD518" s="31">
        <v>300.0</v>
      </c>
      <c r="AE518" s="11">
        <v>500.0</v>
      </c>
      <c r="AF518" s="11"/>
    </row>
    <row r="519">
      <c r="A519" s="11" t="s">
        <v>544</v>
      </c>
      <c r="B519" s="39">
        <v>43295.0</v>
      </c>
      <c r="C519" s="40">
        <v>43313.0</v>
      </c>
      <c r="D519" s="27" t="s">
        <v>66</v>
      </c>
      <c r="E519" s="28" t="b">
        <v>1</v>
      </c>
      <c r="F519" s="11" t="s">
        <v>57</v>
      </c>
      <c r="G519" s="45" t="str">
        <f>"https://www.aliexpress.com/item/WAVGAT-40pcs-10cm-2-54mm-1pin-1p-1p-male-to-female-jumper-wire-Dupont-cable/32825839970.html?spm=a2g0s.9042311.0.0.50c24c4dxN4D85"</f>
        <v>https://www.aliexpress.com/item/WAVGAT-40pcs-10cm-2-54mm-1pin-1p-1p-male-to-female-jumper-wire-Dupont-cable/32825839970.html?spm=a2g0s.9042311.0.0.50c24c4dxN4D85</v>
      </c>
      <c r="H519" s="11" t="s">
        <v>531</v>
      </c>
      <c r="I519" s="33"/>
      <c r="J519" s="31">
        <v>7.0</v>
      </c>
      <c r="K519" s="127">
        <v>40.0</v>
      </c>
      <c r="L519" s="32">
        <v>0.65</v>
      </c>
      <c r="M519" s="32">
        <v>0.0</v>
      </c>
      <c r="N519" s="60">
        <v>0.0</v>
      </c>
      <c r="O519" s="60">
        <v>0.0</v>
      </c>
      <c r="P519" s="33">
        <f t="shared" si="152"/>
        <v>14645.00457</v>
      </c>
      <c r="Q519" s="34">
        <v>280.0</v>
      </c>
      <c r="R519" s="35">
        <v>4.55</v>
      </c>
      <c r="S519" s="36"/>
      <c r="T519" s="36"/>
      <c r="U519" s="36"/>
      <c r="V519" s="36">
        <v>4.55</v>
      </c>
      <c r="W519" s="37">
        <v>0.01625</v>
      </c>
      <c r="X519" s="35">
        <v>66634.77079796264</v>
      </c>
      <c r="Y519" s="32"/>
      <c r="Z519" s="32"/>
      <c r="AA519" s="32"/>
      <c r="AB519" s="32">
        <v>66634.77079796264</v>
      </c>
      <c r="AC519" s="38">
        <v>237.98132427843802</v>
      </c>
      <c r="AD519" s="31">
        <v>300.0</v>
      </c>
      <c r="AE519" s="11">
        <v>500.0</v>
      </c>
      <c r="AF519" s="11"/>
    </row>
    <row r="520">
      <c r="A520" s="11" t="s">
        <v>544</v>
      </c>
      <c r="B520" s="39">
        <v>43295.0</v>
      </c>
      <c r="C520" s="40">
        <v>43313.0</v>
      </c>
      <c r="D520" s="27" t="s">
        <v>66</v>
      </c>
      <c r="E520" s="28" t="b">
        <v>1</v>
      </c>
      <c r="F520" s="11" t="s">
        <v>57</v>
      </c>
      <c r="G520" s="130" t="str">
        <f>"https://www.aliexpress.com/item/WAVGAT-40pcs-10cm-2-54mm-1pin-1p-1p-male-to-female-jumper-wire-Dupont-cable-for/32825083543.html?spm=a2g0s.9042311.0.0.50c24c4dxN4D85"</f>
        <v>https://www.aliexpress.com/item/WAVGAT-40pcs-10cm-2-54mm-1pin-1p-1p-male-to-female-jumper-wire-Dupont-cable-for/32825083543.html?spm=a2g0s.9042311.0.0.50c24c4dxN4D85</v>
      </c>
      <c r="H520" s="11" t="s">
        <v>532</v>
      </c>
      <c r="I520" s="33"/>
      <c r="J520" s="31">
        <v>7.0</v>
      </c>
      <c r="K520" s="127">
        <v>40.0</v>
      </c>
      <c r="L520" s="32">
        <v>0.65</v>
      </c>
      <c r="M520" s="32">
        <v>0.0</v>
      </c>
      <c r="N520" s="60">
        <v>0.0</v>
      </c>
      <c r="O520" s="60">
        <v>0.0</v>
      </c>
      <c r="P520" s="33">
        <f t="shared" si="152"/>
        <v>14645.00457</v>
      </c>
      <c r="Q520" s="34">
        <v>280.0</v>
      </c>
      <c r="R520" s="35">
        <v>4.55</v>
      </c>
      <c r="S520" s="36"/>
      <c r="T520" s="36"/>
      <c r="U520" s="36"/>
      <c r="V520" s="36">
        <v>4.55</v>
      </c>
      <c r="W520" s="37">
        <v>0.01625</v>
      </c>
      <c r="X520" s="35">
        <v>66634.77079796264</v>
      </c>
      <c r="Y520" s="32"/>
      <c r="Z520" s="32"/>
      <c r="AA520" s="32"/>
      <c r="AB520" s="32">
        <v>66634.77079796264</v>
      </c>
      <c r="AC520" s="38">
        <v>237.98132427843802</v>
      </c>
      <c r="AD520" s="31">
        <v>300.0</v>
      </c>
      <c r="AE520" s="11">
        <v>500.0</v>
      </c>
      <c r="AF520" s="11"/>
    </row>
    <row r="521">
      <c r="A521" s="11" t="s">
        <v>544</v>
      </c>
      <c r="B521" s="39">
        <v>43295.0</v>
      </c>
      <c r="C521" s="40">
        <v>43313.0</v>
      </c>
      <c r="D521" s="27" t="s">
        <v>66</v>
      </c>
      <c r="E521" s="28" t="b">
        <v>1</v>
      </c>
      <c r="F521" s="11" t="s">
        <v>57</v>
      </c>
      <c r="G521" s="45" t="str">
        <f>"https://www.aliexpress.com/item/1lot-40pcs-10cm-2-54mm-1pin-1p-1p-male-to-female-jumper-wire-Dupont-cable-for/32809591902.html?spm=a2g0s.9042311.0.0.50c24c4dxN4D85"</f>
        <v>https://www.aliexpress.com/item/1lot-40pcs-10cm-2-54mm-1pin-1p-1p-male-to-female-jumper-wire-Dupont-cable-for/32809591902.html?spm=a2g0s.9042311.0.0.50c24c4dxN4D85</v>
      </c>
      <c r="H521" s="11" t="s">
        <v>533</v>
      </c>
      <c r="I521" s="33"/>
      <c r="J521" s="31">
        <v>7.0</v>
      </c>
      <c r="K521" s="11">
        <v>40.0</v>
      </c>
      <c r="L521" s="32">
        <v>0.65</v>
      </c>
      <c r="M521" s="32">
        <v>0.0</v>
      </c>
      <c r="N521" s="60">
        <v>0.0</v>
      </c>
      <c r="O521" s="60">
        <v>0.0</v>
      </c>
      <c r="P521" s="33">
        <f t="shared" si="152"/>
        <v>14645.00457</v>
      </c>
      <c r="Q521" s="34">
        <v>280.0</v>
      </c>
      <c r="R521" s="35">
        <v>4.55</v>
      </c>
      <c r="S521" s="36"/>
      <c r="T521" s="36"/>
      <c r="U521" s="36"/>
      <c r="V521" s="36">
        <v>4.55</v>
      </c>
      <c r="W521" s="37">
        <v>0.01625</v>
      </c>
      <c r="X521" s="35">
        <v>66634.77079796264</v>
      </c>
      <c r="Y521" s="32"/>
      <c r="Z521" s="32"/>
      <c r="AA521" s="32"/>
      <c r="AB521" s="32">
        <v>66634.77079796264</v>
      </c>
      <c r="AC521" s="38">
        <v>237.98132427843802</v>
      </c>
      <c r="AD521" s="11">
        <v>300.0</v>
      </c>
      <c r="AE521" s="11">
        <v>500.0</v>
      </c>
      <c r="AF521" s="11"/>
    </row>
    <row r="522">
      <c r="A522" s="11" t="s">
        <v>544</v>
      </c>
      <c r="B522" s="39">
        <v>43295.0</v>
      </c>
      <c r="C522" s="40">
        <v>43313.0</v>
      </c>
      <c r="D522" s="27" t="s">
        <v>66</v>
      </c>
      <c r="E522" s="28" t="b">
        <v>1</v>
      </c>
      <c r="F522" s="11" t="s">
        <v>57</v>
      </c>
      <c r="G522" s="59" t="str">
        <f>"https://www.aliexpress.com/item/Dupont-Line-40pcs-10cm-Male-To-Female-Jumper-Wire-Dupont-Cable-2-54mm-Male-to-female/32762406783.html?spm=a2g0s.9042311.0.0.50c24c4dxN4D85"</f>
        <v>https://www.aliexpress.com/item/Dupont-Line-40pcs-10cm-Male-To-Female-Jumper-Wire-Dupont-Cable-2-54mm-Male-to-female/32762406783.html?spm=a2g0s.9042311.0.0.50c24c4dxN4D85</v>
      </c>
      <c r="H522" s="11" t="s">
        <v>553</v>
      </c>
      <c r="I522" s="33"/>
      <c r="J522" s="31">
        <v>7.0</v>
      </c>
      <c r="K522" s="11">
        <v>40.0</v>
      </c>
      <c r="L522" s="32">
        <v>0.68</v>
      </c>
      <c r="M522" s="32">
        <v>0.0</v>
      </c>
      <c r="N522" s="60">
        <v>0.0</v>
      </c>
      <c r="O522" s="60">
        <v>0.0</v>
      </c>
      <c r="P522" s="33">
        <f t="shared" si="152"/>
        <v>14645.00457</v>
      </c>
      <c r="Q522" s="34">
        <v>280.0</v>
      </c>
      <c r="R522" s="42">
        <v>4.760000000000001</v>
      </c>
      <c r="S522" s="36"/>
      <c r="T522" s="36"/>
      <c r="U522" s="36"/>
      <c r="V522" s="36">
        <v>4.760000000000001</v>
      </c>
      <c r="W522" s="37">
        <v>0.017</v>
      </c>
      <c r="X522" s="42">
        <v>69710.22175786862</v>
      </c>
      <c r="Y522" s="36"/>
      <c r="Z522" s="36"/>
      <c r="AA522" s="36"/>
      <c r="AB522" s="36">
        <v>69710.22175786862</v>
      </c>
      <c r="AC522" s="37">
        <v>248.96507770667367</v>
      </c>
      <c r="AD522" s="31">
        <v>300.0</v>
      </c>
      <c r="AE522" s="11">
        <v>500.0</v>
      </c>
      <c r="AF522" s="11"/>
    </row>
    <row r="523">
      <c r="A523" s="11" t="s">
        <v>544</v>
      </c>
      <c r="B523" s="39">
        <v>43295.0</v>
      </c>
      <c r="C523" s="40">
        <v>43313.0</v>
      </c>
      <c r="D523" s="27" t="s">
        <v>66</v>
      </c>
      <c r="E523" s="28" t="b">
        <v>1</v>
      </c>
      <c r="F523" s="11" t="s">
        <v>57</v>
      </c>
      <c r="G523" s="45" t="str">
        <f>"https://www.aliexpress.com/item/40pcs-lot-10cm-40P-2-54mm-dupont-cable-jumper-wire-dupont-line-male-to-female-dupont/32674901253.html?spm=a2g0s.9042311.0.0.50c24c4dxN4D85"</f>
        <v>https://www.aliexpress.com/item/40pcs-lot-10cm-40P-2-54mm-dupont-cable-jumper-wire-dupont-line-male-to-female-dupont/32674901253.html?spm=a2g0s.9042311.0.0.50c24c4dxN4D85</v>
      </c>
      <c r="H523" s="11" t="s">
        <v>554</v>
      </c>
      <c r="I523" s="33"/>
      <c r="J523" s="31">
        <v>7.0</v>
      </c>
      <c r="K523" s="11">
        <v>40.0</v>
      </c>
      <c r="L523" s="32">
        <v>0.67</v>
      </c>
      <c r="M523" s="32">
        <v>0.0</v>
      </c>
      <c r="N523" s="60">
        <v>0.0</v>
      </c>
      <c r="O523" s="60">
        <v>0.0</v>
      </c>
      <c r="P523" s="33">
        <f t="shared" si="152"/>
        <v>14645.00457</v>
      </c>
      <c r="Q523" s="34">
        <v>280.0</v>
      </c>
      <c r="R523" s="35">
        <v>4.69</v>
      </c>
      <c r="S523" s="36"/>
      <c r="T523" s="36"/>
      <c r="U523" s="36"/>
      <c r="V523" s="36">
        <v>4.69</v>
      </c>
      <c r="W523" s="37">
        <v>0.01675</v>
      </c>
      <c r="X523" s="35">
        <v>68685.07143789995</v>
      </c>
      <c r="Y523" s="32"/>
      <c r="Z523" s="32"/>
      <c r="AA523" s="32"/>
      <c r="AB523" s="32">
        <v>68685.07143789995</v>
      </c>
      <c r="AC523" s="38">
        <v>245.3038265639284</v>
      </c>
      <c r="AD523" s="31">
        <v>300.0</v>
      </c>
      <c r="AE523" s="11">
        <v>500.0</v>
      </c>
      <c r="AF523" s="11"/>
    </row>
    <row r="524">
      <c r="A524" s="11" t="s">
        <v>555</v>
      </c>
      <c r="B524" s="39">
        <v>45940.01527777778</v>
      </c>
      <c r="C524" s="40">
        <v>45943.47361111111</v>
      </c>
      <c r="D524" s="27" t="s">
        <v>37</v>
      </c>
      <c r="E524" s="11" t="b">
        <v>0</v>
      </c>
      <c r="F524" s="11" t="s">
        <v>49</v>
      </c>
      <c r="G524" s="11" t="s">
        <v>414</v>
      </c>
      <c r="H524" s="11" t="s">
        <v>556</v>
      </c>
      <c r="I524" s="30">
        <v>5.0</v>
      </c>
      <c r="J524" s="31">
        <v>40.0</v>
      </c>
      <c r="K524" s="11">
        <v>40.0</v>
      </c>
      <c r="L524" s="32">
        <f>(8125)/P524</f>
        <v>0.4900482509</v>
      </c>
      <c r="M524" s="32">
        <f>(786)/P524</f>
        <v>0.04740651387</v>
      </c>
      <c r="N524" s="32">
        <f>(39000)/P524</f>
        <v>2.352231604</v>
      </c>
      <c r="O524" s="32">
        <v>0.0</v>
      </c>
      <c r="P524" s="33">
        <v>16580.0</v>
      </c>
      <c r="Q524" s="34">
        <v>1600.0</v>
      </c>
      <c r="R524" s="42">
        <v>19.60193003618818</v>
      </c>
      <c r="S524" s="36">
        <v>0.047406513872135105</v>
      </c>
      <c r="T524" s="36">
        <v>2.3522316043425815</v>
      </c>
      <c r="U524" s="36"/>
      <c r="V524" s="36">
        <v>17.297104945717734</v>
      </c>
      <c r="W524" s="37">
        <v>0.010810690591073584</v>
      </c>
      <c r="X524" s="42">
        <v>325000.0</v>
      </c>
      <c r="Y524" s="36">
        <v>786.0</v>
      </c>
      <c r="Z524" s="36">
        <v>39000.0</v>
      </c>
      <c r="AA524" s="36"/>
      <c r="AB524" s="36">
        <v>286786.00000000006</v>
      </c>
      <c r="AC524" s="37">
        <v>179.24125000000004</v>
      </c>
      <c r="AD524" s="31"/>
      <c r="AE524" s="11"/>
      <c r="AF524" s="11"/>
    </row>
    <row r="525">
      <c r="A525" s="11" t="s">
        <v>555</v>
      </c>
      <c r="B525" s="39">
        <v>45621.01597222222</v>
      </c>
      <c r="C525" s="40">
        <v>45624.709027777775</v>
      </c>
      <c r="D525" s="27" t="s">
        <v>37</v>
      </c>
      <c r="E525" s="11" t="b">
        <v>0</v>
      </c>
      <c r="F525" s="11" t="s">
        <v>49</v>
      </c>
      <c r="G525" s="11" t="s">
        <v>414</v>
      </c>
      <c r="H525" s="11" t="s">
        <v>537</v>
      </c>
      <c r="I525" s="30">
        <v>5.0</v>
      </c>
      <c r="J525" s="31">
        <v>10.0</v>
      </c>
      <c r="K525" s="11">
        <v>40.0</v>
      </c>
      <c r="L525" s="32">
        <f t="shared" ref="L525:L527" si="153">(7500)/P525</f>
        <v>0.4716684485</v>
      </c>
      <c r="M525" s="32">
        <f>(77/2)/P525</f>
        <v>0.002421231369</v>
      </c>
      <c r="N525" s="32">
        <f>(X525*12%)/P525</f>
        <v>0.5660021382</v>
      </c>
      <c r="O525" s="32">
        <v>0.0</v>
      </c>
      <c r="P525" s="33">
        <v>15901.0</v>
      </c>
      <c r="Q525" s="34">
        <v>400.0</v>
      </c>
      <c r="R525" s="42">
        <v>4.716684485252499</v>
      </c>
      <c r="S525" s="36">
        <v>0.0024212313690962833</v>
      </c>
      <c r="T525" s="36">
        <v>0.5660021382303</v>
      </c>
      <c r="U525" s="36"/>
      <c r="V525" s="36">
        <v>4.1531035783912955</v>
      </c>
      <c r="W525" s="37">
        <v>0.010382758945978239</v>
      </c>
      <c r="X525" s="42">
        <v>75000.0</v>
      </c>
      <c r="Y525" s="36">
        <v>38.5</v>
      </c>
      <c r="Z525" s="36">
        <v>9000.0</v>
      </c>
      <c r="AA525" s="36"/>
      <c r="AB525" s="36">
        <v>66038.49999999999</v>
      </c>
      <c r="AC525" s="37">
        <v>165.09624999999997</v>
      </c>
      <c r="AD525" s="31"/>
      <c r="AE525" s="11"/>
      <c r="AF525" s="11"/>
    </row>
    <row r="526">
      <c r="A526" s="11" t="s">
        <v>555</v>
      </c>
      <c r="B526" s="39">
        <v>45605.17638888889</v>
      </c>
      <c r="C526" s="40">
        <v>45607.572222222225</v>
      </c>
      <c r="D526" s="27" t="s">
        <v>33</v>
      </c>
      <c r="E526" s="11" t="b">
        <v>0</v>
      </c>
      <c r="F526" s="11" t="s">
        <v>49</v>
      </c>
      <c r="G526" s="11" t="s">
        <v>414</v>
      </c>
      <c r="H526" s="11" t="s">
        <v>557</v>
      </c>
      <c r="I526" s="30">
        <v>5.0</v>
      </c>
      <c r="J526" s="31">
        <v>85.0</v>
      </c>
      <c r="K526" s="11">
        <v>40.0</v>
      </c>
      <c r="L526" s="32">
        <f t="shared" si="153"/>
        <v>0.4787437763</v>
      </c>
      <c r="M526" s="32">
        <f>(306/2)/P526</f>
        <v>0.009766373037</v>
      </c>
      <c r="N526" s="32">
        <f>(51000)/P526</f>
        <v>3.255457679</v>
      </c>
      <c r="O526" s="32">
        <v>0.0</v>
      </c>
      <c r="P526" s="33">
        <v>15666.0</v>
      </c>
      <c r="Q526" s="34">
        <v>3400.0</v>
      </c>
      <c r="R526" s="42">
        <v>40.69322098812715</v>
      </c>
      <c r="S526" s="36">
        <v>0.009766373037150517</v>
      </c>
      <c r="T526" s="36">
        <v>3.2554576790501724</v>
      </c>
      <c r="U526" s="36"/>
      <c r="V526" s="36">
        <v>37.44752968211413</v>
      </c>
      <c r="W526" s="37">
        <v>0.011013979318268861</v>
      </c>
      <c r="X526" s="42">
        <v>637500.0</v>
      </c>
      <c r="Y526" s="36">
        <v>153.0</v>
      </c>
      <c r="Z526" s="36">
        <v>51000.0</v>
      </c>
      <c r="AA526" s="36"/>
      <c r="AB526" s="36">
        <v>586653.0</v>
      </c>
      <c r="AC526" s="37">
        <v>172.545</v>
      </c>
      <c r="AD526" s="31"/>
      <c r="AE526" s="11"/>
      <c r="AF526" s="11"/>
    </row>
    <row r="527">
      <c r="A527" s="11" t="s">
        <v>555</v>
      </c>
      <c r="B527" s="39">
        <v>45590.006944444445</v>
      </c>
      <c r="C527" s="40">
        <v>45593.48263888889</v>
      </c>
      <c r="D527" s="27" t="s">
        <v>37</v>
      </c>
      <c r="E527" s="11" t="b">
        <v>0</v>
      </c>
      <c r="F527" s="11" t="s">
        <v>49</v>
      </c>
      <c r="G527" s="11" t="s">
        <v>414</v>
      </c>
      <c r="H527" s="11" t="s">
        <v>558</v>
      </c>
      <c r="I527" s="30">
        <v>5.0</v>
      </c>
      <c r="J527" s="31">
        <v>30.0</v>
      </c>
      <c r="K527" s="11">
        <v>40.0</v>
      </c>
      <c r="L527" s="32">
        <f t="shared" si="153"/>
        <v>0.4778591908</v>
      </c>
      <c r="M527" s="32">
        <f>(59)/P527</f>
        <v>0.003759158968</v>
      </c>
      <c r="N527" s="32">
        <f>(27000)/P527</f>
        <v>1.720293087</v>
      </c>
      <c r="O527" s="32">
        <v>0.0</v>
      </c>
      <c r="P527" s="33">
        <v>15695.0</v>
      </c>
      <c r="Q527" s="34">
        <v>1200.0</v>
      </c>
      <c r="R527" s="42">
        <v>14.335775724753105</v>
      </c>
      <c r="S527" s="36">
        <v>0.003759158967824148</v>
      </c>
      <c r="T527" s="36">
        <v>1.7202930869703728</v>
      </c>
      <c r="U527" s="36"/>
      <c r="V527" s="36">
        <v>12.619241796750558</v>
      </c>
      <c r="W527" s="37">
        <v>0.010516034830625465</v>
      </c>
      <c r="X527" s="42">
        <v>225000.0</v>
      </c>
      <c r="Y527" s="36">
        <v>59.0</v>
      </c>
      <c r="Z527" s="36">
        <v>27000.0</v>
      </c>
      <c r="AA527" s="36"/>
      <c r="AB527" s="36">
        <v>198059.0</v>
      </c>
      <c r="AC527" s="37">
        <v>165.04916666666668</v>
      </c>
      <c r="AD527" s="31"/>
      <c r="AE527" s="11"/>
      <c r="AF527" s="11"/>
    </row>
    <row r="528">
      <c r="A528" s="11" t="s">
        <v>555</v>
      </c>
      <c r="B528" s="39">
        <v>45402.67013888889</v>
      </c>
      <c r="C528" s="40">
        <v>45407.42013888889</v>
      </c>
      <c r="D528" s="27" t="s">
        <v>37</v>
      </c>
      <c r="E528" s="11" t="b">
        <v>0</v>
      </c>
      <c r="F528" s="66" t="s">
        <v>49</v>
      </c>
      <c r="G528" s="69" t="s">
        <v>539</v>
      </c>
      <c r="H528" s="66" t="s">
        <v>539</v>
      </c>
      <c r="I528" s="30">
        <v>5.0</v>
      </c>
      <c r="J528" s="31">
        <v>40.0</v>
      </c>
      <c r="K528" s="11">
        <v>40.0</v>
      </c>
      <c r="L528" s="32">
        <f>(312000/40)/P528</f>
        <v>0.4809470958</v>
      </c>
      <c r="M528" s="32">
        <f t="shared" ref="M528:M529" si="154">(1000/5)/P528</f>
        <v>0.01233197682</v>
      </c>
      <c r="N528" s="32">
        <f>(100000/5)/P528</f>
        <v>1.233197682</v>
      </c>
      <c r="O528" s="32">
        <v>0.0</v>
      </c>
      <c r="P528" s="33">
        <v>16218.0</v>
      </c>
      <c r="Q528" s="34">
        <v>1600.0</v>
      </c>
      <c r="R528" s="42">
        <v>19.237883832778394</v>
      </c>
      <c r="S528" s="36">
        <v>0.012331976815883586</v>
      </c>
      <c r="T528" s="36">
        <v>1.2331976815883585</v>
      </c>
      <c r="U528" s="36"/>
      <c r="V528" s="36">
        <v>18.01701812800592</v>
      </c>
      <c r="W528" s="37">
        <v>0.011260636330003699</v>
      </c>
      <c r="X528" s="42">
        <v>312000.0</v>
      </c>
      <c r="Y528" s="36">
        <v>200.0</v>
      </c>
      <c r="Z528" s="36">
        <v>20000.0</v>
      </c>
      <c r="AA528" s="36"/>
      <c r="AB528" s="36">
        <v>292200.0</v>
      </c>
      <c r="AC528" s="37">
        <v>182.625</v>
      </c>
      <c r="AD528" s="31"/>
      <c r="AE528" s="11"/>
      <c r="AF528" s="11"/>
    </row>
    <row r="529">
      <c r="A529" s="11" t="s">
        <v>555</v>
      </c>
      <c r="B529" s="39">
        <v>45380.467361111114</v>
      </c>
      <c r="C529" s="40">
        <v>45382.645310312495</v>
      </c>
      <c r="D529" s="27" t="s">
        <v>37</v>
      </c>
      <c r="E529" s="11" t="b">
        <v>0</v>
      </c>
      <c r="F529" s="11" t="s">
        <v>49</v>
      </c>
      <c r="G529" s="11" t="s">
        <v>222</v>
      </c>
      <c r="H529" s="11" t="s">
        <v>222</v>
      </c>
      <c r="I529" s="30">
        <v>5.0</v>
      </c>
      <c r="J529" s="31">
        <v>1.0</v>
      </c>
      <c r="K529" s="11">
        <v>40.0</v>
      </c>
      <c r="L529" s="32">
        <f>(7920)/P529</f>
        <v>0.4986149584</v>
      </c>
      <c r="M529" s="32">
        <f t="shared" si="154"/>
        <v>0.01259128683</v>
      </c>
      <c r="N529" s="32">
        <v>0.0</v>
      </c>
      <c r="O529" s="32">
        <v>0.0</v>
      </c>
      <c r="P529" s="33">
        <v>15884.0</v>
      </c>
      <c r="Q529" s="34">
        <v>40.0</v>
      </c>
      <c r="R529" s="42">
        <v>0.4986149584487535</v>
      </c>
      <c r="S529" s="36">
        <v>0.012591286829513977</v>
      </c>
      <c r="T529" s="36"/>
      <c r="U529" s="36"/>
      <c r="V529" s="36">
        <v>0.5112062452782674</v>
      </c>
      <c r="W529" s="37">
        <v>0.012780156131956686</v>
      </c>
      <c r="X529" s="42">
        <v>7920.0</v>
      </c>
      <c r="Y529" s="36">
        <v>200.0</v>
      </c>
      <c r="Z529" s="36"/>
      <c r="AA529" s="36"/>
      <c r="AB529" s="36">
        <v>8120.0</v>
      </c>
      <c r="AC529" s="37">
        <v>203.0</v>
      </c>
      <c r="AD529" s="31"/>
      <c r="AE529" s="11"/>
      <c r="AF529" s="11"/>
    </row>
    <row r="530">
      <c r="A530" s="11" t="s">
        <v>555</v>
      </c>
      <c r="B530" s="39">
        <v>44166.33348773148</v>
      </c>
      <c r="C530" s="40">
        <v>44174.74300336806</v>
      </c>
      <c r="D530" s="27" t="s">
        <v>163</v>
      </c>
      <c r="E530" s="11" t="b">
        <v>1</v>
      </c>
      <c r="F530" s="11" t="s">
        <v>49</v>
      </c>
      <c r="G530" s="45" t="s">
        <v>559</v>
      </c>
      <c r="H530" s="46" t="s">
        <v>560</v>
      </c>
      <c r="I530" s="30">
        <v>5.0</v>
      </c>
      <c r="J530" s="31">
        <v>50.0</v>
      </c>
      <c r="K530" s="11">
        <v>40.0</v>
      </c>
      <c r="L530" s="32">
        <f t="shared" ref="L530:L532" si="155">5869/P530</f>
        <v>0.5869</v>
      </c>
      <c r="M530" s="32">
        <f t="shared" ref="M530:M533" si="156">12000/P530</f>
        <v>1.2</v>
      </c>
      <c r="N530" s="32">
        <v>0.0</v>
      </c>
      <c r="O530" s="32">
        <f t="shared" ref="O530:O532" si="157">12000/P530</f>
        <v>1.2</v>
      </c>
      <c r="P530" s="33">
        <v>10000.0</v>
      </c>
      <c r="Q530" s="34">
        <v>2000.0</v>
      </c>
      <c r="R530" s="42">
        <v>29.345</v>
      </c>
      <c r="S530" s="36">
        <v>1.2</v>
      </c>
      <c r="T530" s="36"/>
      <c r="U530" s="36">
        <v>1.2</v>
      </c>
      <c r="V530" s="36">
        <v>29.345</v>
      </c>
      <c r="W530" s="37">
        <v>0.0146725</v>
      </c>
      <c r="X530" s="42">
        <v>293450.0</v>
      </c>
      <c r="Y530" s="36">
        <v>12000.0</v>
      </c>
      <c r="Z530" s="36"/>
      <c r="AA530" s="36">
        <v>12000.0</v>
      </c>
      <c r="AB530" s="36">
        <v>293450.0</v>
      </c>
      <c r="AC530" s="37">
        <v>146.725</v>
      </c>
      <c r="AD530" s="31"/>
      <c r="AE530" s="11"/>
      <c r="AF530" s="11"/>
    </row>
    <row r="531">
      <c r="A531" s="11" t="s">
        <v>555</v>
      </c>
      <c r="B531" s="39">
        <v>44166.33348773148</v>
      </c>
      <c r="C531" s="40">
        <v>44174.74298251157</v>
      </c>
      <c r="D531" s="27" t="s">
        <v>163</v>
      </c>
      <c r="E531" s="11" t="b">
        <v>1</v>
      </c>
      <c r="F531" s="11" t="s">
        <v>49</v>
      </c>
      <c r="G531" s="45" t="s">
        <v>559</v>
      </c>
      <c r="H531" s="46" t="s">
        <v>561</v>
      </c>
      <c r="I531" s="30">
        <v>5.0</v>
      </c>
      <c r="J531" s="31">
        <v>50.0</v>
      </c>
      <c r="K531" s="11">
        <v>40.0</v>
      </c>
      <c r="L531" s="32">
        <f t="shared" si="155"/>
        <v>0.5869</v>
      </c>
      <c r="M531" s="32">
        <f t="shared" si="156"/>
        <v>1.2</v>
      </c>
      <c r="N531" s="32">
        <v>0.0</v>
      </c>
      <c r="O531" s="32">
        <f t="shared" si="157"/>
        <v>1.2</v>
      </c>
      <c r="P531" s="33">
        <v>10000.0</v>
      </c>
      <c r="Q531" s="34">
        <v>2000.0</v>
      </c>
      <c r="R531" s="42">
        <v>29.345</v>
      </c>
      <c r="S531" s="36">
        <v>1.2</v>
      </c>
      <c r="T531" s="36"/>
      <c r="U531" s="36">
        <v>1.2</v>
      </c>
      <c r="V531" s="36">
        <v>29.345</v>
      </c>
      <c r="W531" s="37">
        <v>0.0146725</v>
      </c>
      <c r="X531" s="42">
        <v>293450.0</v>
      </c>
      <c r="Y531" s="36">
        <v>12000.0</v>
      </c>
      <c r="Z531" s="36"/>
      <c r="AA531" s="36">
        <v>12000.0</v>
      </c>
      <c r="AB531" s="36">
        <v>293450.0</v>
      </c>
      <c r="AC531" s="37">
        <v>146.725</v>
      </c>
      <c r="AD531" s="31"/>
      <c r="AE531" s="11"/>
      <c r="AF531" s="11"/>
    </row>
    <row r="532">
      <c r="A532" s="11" t="s">
        <v>555</v>
      </c>
      <c r="B532" s="39">
        <v>44166.33348773148</v>
      </c>
      <c r="C532" s="40">
        <v>44174.742956828704</v>
      </c>
      <c r="D532" s="27" t="s">
        <v>163</v>
      </c>
      <c r="E532" s="11" t="b">
        <v>1</v>
      </c>
      <c r="F532" s="11" t="s">
        <v>49</v>
      </c>
      <c r="G532" s="45" t="s">
        <v>559</v>
      </c>
      <c r="H532" s="46" t="s">
        <v>562</v>
      </c>
      <c r="I532" s="30">
        <v>5.0</v>
      </c>
      <c r="J532" s="31">
        <v>50.0</v>
      </c>
      <c r="K532" s="11">
        <v>40.0</v>
      </c>
      <c r="L532" s="32">
        <f t="shared" si="155"/>
        <v>0.5869</v>
      </c>
      <c r="M532" s="32">
        <f t="shared" si="156"/>
        <v>1.2</v>
      </c>
      <c r="N532" s="32">
        <v>0.0</v>
      </c>
      <c r="O532" s="32">
        <f t="shared" si="157"/>
        <v>1.2</v>
      </c>
      <c r="P532" s="33">
        <v>10000.0</v>
      </c>
      <c r="Q532" s="34">
        <v>2000.0</v>
      </c>
      <c r="R532" s="42">
        <v>29.345</v>
      </c>
      <c r="S532" s="36">
        <v>1.2</v>
      </c>
      <c r="T532" s="36"/>
      <c r="U532" s="36">
        <v>1.2</v>
      </c>
      <c r="V532" s="36">
        <v>29.345</v>
      </c>
      <c r="W532" s="37">
        <v>0.0146725</v>
      </c>
      <c r="X532" s="42">
        <v>293450.0</v>
      </c>
      <c r="Y532" s="36">
        <v>12000.0</v>
      </c>
      <c r="Z532" s="36"/>
      <c r="AA532" s="36">
        <v>12000.0</v>
      </c>
      <c r="AB532" s="36">
        <v>293450.0</v>
      </c>
      <c r="AC532" s="37">
        <v>146.725</v>
      </c>
      <c r="AD532" s="31"/>
      <c r="AE532" s="11"/>
      <c r="AF532" s="11"/>
    </row>
    <row r="533">
      <c r="A533" s="11" t="s">
        <v>555</v>
      </c>
      <c r="B533" s="39">
        <v>43990.991056643514</v>
      </c>
      <c r="C533" s="40">
        <v>44001.0</v>
      </c>
      <c r="D533" s="27" t="s">
        <v>48</v>
      </c>
      <c r="E533" s="11" t="b">
        <v>1</v>
      </c>
      <c r="F533" s="11" t="s">
        <v>49</v>
      </c>
      <c r="G533" s="84" t="s">
        <v>563</v>
      </c>
      <c r="H533" s="46" t="s">
        <v>564</v>
      </c>
      <c r="I533" s="33">
        <v>4.0</v>
      </c>
      <c r="J533" s="31">
        <v>50.0</v>
      </c>
      <c r="K533" s="11">
        <v>40.0</v>
      </c>
      <c r="L533" s="32">
        <f>10602/P533</f>
        <v>1.0602</v>
      </c>
      <c r="M533" s="32">
        <f t="shared" si="156"/>
        <v>1.2</v>
      </c>
      <c r="N533" s="32"/>
      <c r="O533" s="32">
        <f>M533</f>
        <v>1.2</v>
      </c>
      <c r="P533" s="33">
        <v>10000.0</v>
      </c>
      <c r="Q533" s="34">
        <v>2000.0</v>
      </c>
      <c r="R533" s="42">
        <v>53.010000000000005</v>
      </c>
      <c r="S533" s="36">
        <v>1.2</v>
      </c>
      <c r="T533" s="36"/>
      <c r="U533" s="36">
        <v>1.2</v>
      </c>
      <c r="V533" s="36">
        <v>53.010000000000005</v>
      </c>
      <c r="W533" s="37">
        <v>0.026505000000000004</v>
      </c>
      <c r="X533" s="42">
        <v>530100.0</v>
      </c>
      <c r="Y533" s="36">
        <v>12000.0</v>
      </c>
      <c r="Z533" s="36"/>
      <c r="AA533" s="36">
        <v>12000.0</v>
      </c>
      <c r="AB533" s="36">
        <v>530100.0</v>
      </c>
      <c r="AC533" s="37">
        <v>265.05</v>
      </c>
      <c r="AD533" s="31"/>
      <c r="AE533" s="11"/>
      <c r="AF533" s="11"/>
    </row>
    <row r="534">
      <c r="A534" s="11" t="s">
        <v>555</v>
      </c>
      <c r="B534" s="39">
        <v>43780.80810471065</v>
      </c>
      <c r="C534" s="40">
        <v>43797.0</v>
      </c>
      <c r="D534" s="27" t="s">
        <v>56</v>
      </c>
      <c r="E534" s="11" t="b">
        <v>1</v>
      </c>
      <c r="F534" s="29" t="s">
        <v>57</v>
      </c>
      <c r="G534" s="57" t="s">
        <v>525</v>
      </c>
      <c r="H534" s="29" t="s">
        <v>526</v>
      </c>
      <c r="I534" s="33"/>
      <c r="J534" s="31">
        <v>6.0</v>
      </c>
      <c r="K534" s="11">
        <v>40.0</v>
      </c>
      <c r="L534" s="32">
        <f>1.76/3</f>
        <v>0.5866666667</v>
      </c>
      <c r="M534" s="32"/>
      <c r="N534" s="32"/>
      <c r="O534" s="32"/>
      <c r="P534" s="33">
        <f>(3*93373)/(1.5*2*3 + 1.76*2*3)</f>
        <v>14321.01227</v>
      </c>
      <c r="Q534" s="34">
        <v>240.0</v>
      </c>
      <c r="R534" s="42">
        <v>3.52</v>
      </c>
      <c r="S534" s="36"/>
      <c r="T534" s="36"/>
      <c r="U534" s="36"/>
      <c r="V534" s="36">
        <v>3.52</v>
      </c>
      <c r="W534" s="37">
        <v>0.014666666666666666</v>
      </c>
      <c r="X534" s="42">
        <v>50409.96319018404</v>
      </c>
      <c r="Y534" s="36"/>
      <c r="Z534" s="36"/>
      <c r="AA534" s="36"/>
      <c r="AB534" s="36">
        <v>50409.96319018404</v>
      </c>
      <c r="AC534" s="37">
        <v>210.0415132924335</v>
      </c>
      <c r="AD534" s="31"/>
      <c r="AE534" s="11"/>
      <c r="AF534" s="11"/>
    </row>
    <row r="535">
      <c r="A535" s="11" t="s">
        <v>555</v>
      </c>
      <c r="B535" s="39">
        <v>43771.0</v>
      </c>
      <c r="C535" s="40">
        <v>43780.0</v>
      </c>
      <c r="D535" s="27" t="s">
        <v>56</v>
      </c>
      <c r="E535" s="11" t="b">
        <v>1</v>
      </c>
      <c r="F535" s="11" t="s">
        <v>49</v>
      </c>
      <c r="G535" s="131" t="s">
        <v>563</v>
      </c>
      <c r="H535" s="132" t="s">
        <v>565</v>
      </c>
      <c r="I535" s="33"/>
      <c r="J535" s="31">
        <v>11.0</v>
      </c>
      <c r="K535" s="11">
        <v>40.0</v>
      </c>
      <c r="L535" s="32">
        <f>91776/11/P535</f>
        <v>0.8343272727</v>
      </c>
      <c r="M535" s="32"/>
      <c r="N535" s="32"/>
      <c r="O535" s="32"/>
      <c r="P535" s="33">
        <v>10000.0</v>
      </c>
      <c r="Q535" s="34">
        <v>440.0</v>
      </c>
      <c r="R535" s="42">
        <v>9.177600000000002</v>
      </c>
      <c r="S535" s="36"/>
      <c r="T535" s="36"/>
      <c r="U535" s="36"/>
      <c r="V535" s="36">
        <v>9.177600000000002</v>
      </c>
      <c r="W535" s="37">
        <v>0.02085818181818182</v>
      </c>
      <c r="X535" s="42">
        <v>91776.00000000001</v>
      </c>
      <c r="Y535" s="36"/>
      <c r="Z535" s="36"/>
      <c r="AA535" s="36"/>
      <c r="AB535" s="36">
        <v>91776.00000000001</v>
      </c>
      <c r="AC535" s="37">
        <v>208.58181818181822</v>
      </c>
      <c r="AD535" s="31"/>
      <c r="AE535" s="11"/>
      <c r="AF535" s="11"/>
    </row>
    <row r="536">
      <c r="A536" s="11" t="s">
        <v>566</v>
      </c>
      <c r="B536" s="39">
        <v>45682.027083333334</v>
      </c>
      <c r="C536" s="40">
        <v>45685.47222222222</v>
      </c>
      <c r="D536" s="27" t="s">
        <v>33</v>
      </c>
      <c r="E536" s="11" t="b">
        <v>0</v>
      </c>
      <c r="F536" s="11" t="s">
        <v>49</v>
      </c>
      <c r="G536" s="11" t="s">
        <v>460</v>
      </c>
      <c r="H536" s="11" t="s">
        <v>518</v>
      </c>
      <c r="I536" s="30">
        <v>5.0</v>
      </c>
      <c r="J536" s="31">
        <v>100.0</v>
      </c>
      <c r="K536" s="11">
        <v>40.0</v>
      </c>
      <c r="L536" s="32">
        <f>(7500)/P536</f>
        <v>0.4637645313</v>
      </c>
      <c r="M536" s="32">
        <f>(558/3)/P536</f>
        <v>0.01150136038</v>
      </c>
      <c r="N536" s="32">
        <f>(X536*12%)/P536</f>
        <v>5.565174375</v>
      </c>
      <c r="O536" s="32">
        <v>0.0</v>
      </c>
      <c r="P536" s="33">
        <v>16172.0</v>
      </c>
      <c r="Q536" s="34">
        <v>4000.0</v>
      </c>
      <c r="R536" s="42">
        <v>46.3764531288647</v>
      </c>
      <c r="S536" s="36">
        <v>0.011501360375958447</v>
      </c>
      <c r="T536" s="36">
        <v>5.565174375463765</v>
      </c>
      <c r="U536" s="36"/>
      <c r="V536" s="36">
        <v>40.8227801137769</v>
      </c>
      <c r="W536" s="37">
        <v>0.010205695028444225</v>
      </c>
      <c r="X536" s="42">
        <v>750000.0</v>
      </c>
      <c r="Y536" s="36">
        <v>186.0</v>
      </c>
      <c r="Z536" s="36">
        <v>90000.0</v>
      </c>
      <c r="AA536" s="36"/>
      <c r="AB536" s="36">
        <v>660186.0</v>
      </c>
      <c r="AC536" s="37">
        <v>165.0465</v>
      </c>
      <c r="AD536" s="31"/>
      <c r="AE536" s="11"/>
      <c r="AF536" s="11"/>
    </row>
    <row r="537">
      <c r="A537" s="11" t="s">
        <v>566</v>
      </c>
      <c r="B537" s="39">
        <v>45512.041666666664</v>
      </c>
      <c r="C537" s="40">
        <v>45514.40833333333</v>
      </c>
      <c r="D537" s="27" t="s">
        <v>37</v>
      </c>
      <c r="E537" s="11" t="b">
        <v>0</v>
      </c>
      <c r="F537" s="11" t="s">
        <v>49</v>
      </c>
      <c r="G537" s="11" t="s">
        <v>251</v>
      </c>
      <c r="H537" s="11" t="s">
        <v>321</v>
      </c>
      <c r="I537" s="30">
        <v>5.0</v>
      </c>
      <c r="J537" s="31">
        <v>35.0</v>
      </c>
      <c r="K537" s="11">
        <v>40.0</v>
      </c>
      <c r="L537" s="32">
        <f>(7900)/P537</f>
        <v>0.4941824096</v>
      </c>
      <c r="M537" s="32">
        <f>(200 + 31000/4)/P537</f>
        <v>0.4973101464</v>
      </c>
      <c r="N537" s="32">
        <f>(X537*10%)/P537</f>
        <v>1.729638434</v>
      </c>
      <c r="O537" s="32">
        <f>(30000/4)/P537</f>
        <v>0.4691605155</v>
      </c>
      <c r="P537" s="33">
        <v>15986.0</v>
      </c>
      <c r="Q537" s="34">
        <v>1400.0</v>
      </c>
      <c r="R537" s="42">
        <v>17.296384336294256</v>
      </c>
      <c r="S537" s="36">
        <v>0.4973101463780808</v>
      </c>
      <c r="T537" s="36">
        <v>1.7296384336294257</v>
      </c>
      <c r="U537" s="36">
        <v>0.46916051545101967</v>
      </c>
      <c r="V537" s="36">
        <v>15.594895533591892</v>
      </c>
      <c r="W537" s="37">
        <v>0.01113921109542278</v>
      </c>
      <c r="X537" s="42">
        <v>276500.0</v>
      </c>
      <c r="Y537" s="36">
        <v>7950.0</v>
      </c>
      <c r="Z537" s="36">
        <v>27650.0</v>
      </c>
      <c r="AA537" s="36">
        <v>7500.0</v>
      </c>
      <c r="AB537" s="36">
        <v>249299.99999999997</v>
      </c>
      <c r="AC537" s="37">
        <v>178.07142857142856</v>
      </c>
      <c r="AD537" s="31"/>
      <c r="AE537" s="11"/>
      <c r="AF537" s="11"/>
    </row>
    <row r="538">
      <c r="A538" s="11" t="s">
        <v>566</v>
      </c>
      <c r="B538" s="39">
        <v>45468.998611111114</v>
      </c>
      <c r="C538" s="40">
        <v>45472.71388888889</v>
      </c>
      <c r="D538" s="27" t="s">
        <v>37</v>
      </c>
      <c r="E538" s="11" t="b">
        <v>0</v>
      </c>
      <c r="F538" s="11" t="s">
        <v>49</v>
      </c>
      <c r="G538" s="11" t="s">
        <v>498</v>
      </c>
      <c r="H538" s="11" t="s">
        <v>519</v>
      </c>
      <c r="I538" s="30">
        <v>5.0</v>
      </c>
      <c r="J538" s="31">
        <v>11.0</v>
      </c>
      <c r="K538" s="11">
        <v>40.0</v>
      </c>
      <c r="L538" s="32">
        <f t="shared" ref="L538:L540" si="158">(8000)/P538</f>
        <v>0.4875373271</v>
      </c>
      <c r="M538" s="32">
        <f>(67)/P538</f>
        <v>0.004083125114</v>
      </c>
      <c r="N538" s="32">
        <f>(8800)/P538</f>
        <v>0.5362910598</v>
      </c>
      <c r="O538" s="32">
        <v>0.0</v>
      </c>
      <c r="P538" s="33">
        <v>16409.0</v>
      </c>
      <c r="Q538" s="34">
        <v>440.0</v>
      </c>
      <c r="R538" s="42">
        <v>5.362910597842648</v>
      </c>
      <c r="S538" s="36">
        <v>0.0040831251142665614</v>
      </c>
      <c r="T538" s="36">
        <v>0.5362910597842647</v>
      </c>
      <c r="U538" s="36"/>
      <c r="V538" s="36">
        <v>4.83070266317265</v>
      </c>
      <c r="W538" s="37">
        <v>0.01097886968902875</v>
      </c>
      <c r="X538" s="42">
        <v>88000.0</v>
      </c>
      <c r="Y538" s="36">
        <v>67.0</v>
      </c>
      <c r="Z538" s="36">
        <v>8800.0</v>
      </c>
      <c r="AA538" s="36"/>
      <c r="AB538" s="36">
        <v>79267.00000000001</v>
      </c>
      <c r="AC538" s="37">
        <v>180.15227272727276</v>
      </c>
      <c r="AD538" s="31"/>
      <c r="AE538" s="11"/>
      <c r="AF538" s="11"/>
    </row>
    <row r="539">
      <c r="A539" s="11" t="s">
        <v>566</v>
      </c>
      <c r="B539" s="39">
        <v>45468.652083333334</v>
      </c>
      <c r="C539" s="40">
        <v>45470.625</v>
      </c>
      <c r="D539" s="27" t="s">
        <v>37</v>
      </c>
      <c r="E539" s="11" t="b">
        <v>0</v>
      </c>
      <c r="F539" s="11" t="s">
        <v>49</v>
      </c>
      <c r="G539" s="11" t="s">
        <v>498</v>
      </c>
      <c r="H539" s="11" t="s">
        <v>520</v>
      </c>
      <c r="I539" s="30">
        <v>5.0</v>
      </c>
      <c r="J539" s="31">
        <v>20.0</v>
      </c>
      <c r="K539" s="11">
        <v>40.0</v>
      </c>
      <c r="L539" s="32">
        <f t="shared" si="158"/>
        <v>0.4875373271</v>
      </c>
      <c r="M539" s="32">
        <f>(833)/P539</f>
        <v>0.05076482418</v>
      </c>
      <c r="N539" s="32">
        <f>(16000)/P539</f>
        <v>0.9750746542</v>
      </c>
      <c r="O539" s="32">
        <v>0.0</v>
      </c>
      <c r="P539" s="33">
        <v>16409.0</v>
      </c>
      <c r="Q539" s="34">
        <v>800.0</v>
      </c>
      <c r="R539" s="42">
        <v>9.750746541532086</v>
      </c>
      <c r="S539" s="36">
        <v>0.05076482418185142</v>
      </c>
      <c r="T539" s="36">
        <v>0.9750746541532086</v>
      </c>
      <c r="U539" s="36"/>
      <c r="V539" s="36">
        <v>8.826436711560728</v>
      </c>
      <c r="W539" s="37">
        <v>0.01103304588945091</v>
      </c>
      <c r="X539" s="42">
        <v>160000.0</v>
      </c>
      <c r="Y539" s="36">
        <v>833.0</v>
      </c>
      <c r="Z539" s="36">
        <v>16000.0</v>
      </c>
      <c r="AA539" s="36"/>
      <c r="AB539" s="36">
        <v>144832.99999999997</v>
      </c>
      <c r="AC539" s="37">
        <v>181.04124999999996</v>
      </c>
      <c r="AD539" s="31"/>
      <c r="AE539" s="11"/>
      <c r="AF539" s="11"/>
    </row>
    <row r="540">
      <c r="A540" s="11" t="s">
        <v>566</v>
      </c>
      <c r="B540" s="39">
        <v>45421.80347222222</v>
      </c>
      <c r="C540" s="40">
        <v>45423.666666666664</v>
      </c>
      <c r="D540" s="27" t="s">
        <v>33</v>
      </c>
      <c r="E540" s="11" t="b">
        <v>0</v>
      </c>
      <c r="F540" s="11" t="s">
        <v>38</v>
      </c>
      <c r="G540" s="11" t="s">
        <v>567</v>
      </c>
      <c r="H540" s="11" t="s">
        <v>568</v>
      </c>
      <c r="I540" s="30">
        <v>5.0</v>
      </c>
      <c r="J540" s="31">
        <v>76.0</v>
      </c>
      <c r="K540" s="11">
        <v>40.0</v>
      </c>
      <c r="L540" s="32">
        <f t="shared" si="158"/>
        <v>0.4976981461</v>
      </c>
      <c r="M540" s="32">
        <f>(3800 + 1000)/P540</f>
        <v>0.2986188876</v>
      </c>
      <c r="N540" s="32">
        <f>(36480)/P540</f>
        <v>2.269503546</v>
      </c>
      <c r="O540" s="32">
        <v>0.0</v>
      </c>
      <c r="P540" s="33">
        <v>16074.0</v>
      </c>
      <c r="Q540" s="34">
        <v>3040.0</v>
      </c>
      <c r="R540" s="42">
        <v>37.825059101654844</v>
      </c>
      <c r="S540" s="36">
        <v>0.2986188876446435</v>
      </c>
      <c r="T540" s="36">
        <v>2.269503546099291</v>
      </c>
      <c r="U540" s="36"/>
      <c r="V540" s="36">
        <v>35.85417444320019</v>
      </c>
      <c r="W540" s="37">
        <v>0.011794136330000064</v>
      </c>
      <c r="X540" s="42">
        <v>608000.0</v>
      </c>
      <c r="Y540" s="36">
        <v>4800.0</v>
      </c>
      <c r="Z540" s="36">
        <v>36480.0</v>
      </c>
      <c r="AA540" s="36"/>
      <c r="AB540" s="36">
        <v>576319.9999999999</v>
      </c>
      <c r="AC540" s="37">
        <v>189.578947368421</v>
      </c>
      <c r="AD540" s="31"/>
      <c r="AE540" s="11"/>
      <c r="AF540" s="11"/>
    </row>
    <row r="541">
      <c r="A541" s="11" t="s">
        <v>566</v>
      </c>
      <c r="B541" s="39">
        <v>45402.67013888889</v>
      </c>
      <c r="C541" s="40">
        <v>45407.42013888889</v>
      </c>
      <c r="D541" s="27" t="s">
        <v>37</v>
      </c>
      <c r="E541" s="11" t="b">
        <v>0</v>
      </c>
      <c r="F541" s="66" t="s">
        <v>49</v>
      </c>
      <c r="G541" s="69" t="s">
        <v>539</v>
      </c>
      <c r="H541" s="66" t="s">
        <v>539</v>
      </c>
      <c r="I541" s="30">
        <v>5.0</v>
      </c>
      <c r="J541" s="31">
        <v>40.0</v>
      </c>
      <c r="K541" s="11">
        <v>40.0</v>
      </c>
      <c r="L541" s="32">
        <f>(316000/40)/P541</f>
        <v>0.4871130842</v>
      </c>
      <c r="M541" s="32">
        <f t="shared" ref="M541:M542" si="159">(1000/5)/P541</f>
        <v>0.01233197682</v>
      </c>
      <c r="N541" s="32">
        <f>(100000/5)/P541</f>
        <v>1.233197682</v>
      </c>
      <c r="O541" s="32">
        <v>0.0</v>
      </c>
      <c r="P541" s="33">
        <v>16218.0</v>
      </c>
      <c r="Q541" s="34">
        <v>1600.0</v>
      </c>
      <c r="R541" s="42">
        <v>19.484523369096067</v>
      </c>
      <c r="S541" s="36">
        <v>0.012331976815883586</v>
      </c>
      <c r="T541" s="36">
        <v>1.2331976815883585</v>
      </c>
      <c r="U541" s="36"/>
      <c r="V541" s="36">
        <v>18.263657664323592</v>
      </c>
      <c r="W541" s="37">
        <v>0.011414786040202246</v>
      </c>
      <c r="X541" s="42">
        <v>316000.0</v>
      </c>
      <c r="Y541" s="36">
        <v>200.0</v>
      </c>
      <c r="Z541" s="36">
        <v>20000.0</v>
      </c>
      <c r="AA541" s="36"/>
      <c r="AB541" s="36">
        <v>296200.0</v>
      </c>
      <c r="AC541" s="37">
        <v>185.125</v>
      </c>
      <c r="AD541" s="31"/>
      <c r="AE541" s="11"/>
      <c r="AF541" s="11"/>
    </row>
    <row r="542">
      <c r="A542" s="11" t="s">
        <v>566</v>
      </c>
      <c r="B542" s="39">
        <v>45380.467361111114</v>
      </c>
      <c r="C542" s="40">
        <v>45382.645310312495</v>
      </c>
      <c r="D542" s="27" t="s">
        <v>37</v>
      </c>
      <c r="E542" s="11" t="b">
        <v>0</v>
      </c>
      <c r="F542" s="11" t="s">
        <v>49</v>
      </c>
      <c r="G542" s="11" t="s">
        <v>222</v>
      </c>
      <c r="H542" s="11" t="s">
        <v>222</v>
      </c>
      <c r="I542" s="30">
        <v>5.0</v>
      </c>
      <c r="J542" s="31">
        <v>1.0</v>
      </c>
      <c r="K542" s="11">
        <v>40.0</v>
      </c>
      <c r="L542" s="32">
        <f>(7920)/P542</f>
        <v>0.4986149584</v>
      </c>
      <c r="M542" s="32">
        <f t="shared" si="159"/>
        <v>0.01259128683</v>
      </c>
      <c r="N542" s="32">
        <v>0.0</v>
      </c>
      <c r="O542" s="32">
        <v>0.0</v>
      </c>
      <c r="P542" s="33">
        <v>15884.0</v>
      </c>
      <c r="Q542" s="34">
        <v>40.0</v>
      </c>
      <c r="R542" s="42">
        <v>0.4986149584487535</v>
      </c>
      <c r="S542" s="36">
        <v>0.012591286829513977</v>
      </c>
      <c r="T542" s="36"/>
      <c r="U542" s="36"/>
      <c r="V542" s="36">
        <v>0.5112062452782674</v>
      </c>
      <c r="W542" s="37">
        <v>0.012780156131956686</v>
      </c>
      <c r="X542" s="42">
        <v>7920.0</v>
      </c>
      <c r="Y542" s="36">
        <v>200.0</v>
      </c>
      <c r="Z542" s="36"/>
      <c r="AA542" s="36"/>
      <c r="AB542" s="36">
        <v>8120.0</v>
      </c>
      <c r="AC542" s="37">
        <v>203.0</v>
      </c>
      <c r="AD542" s="31"/>
      <c r="AE542" s="11"/>
      <c r="AF542" s="11"/>
    </row>
    <row r="543">
      <c r="A543" s="11" t="s">
        <v>566</v>
      </c>
      <c r="B543" s="39">
        <v>44105.0</v>
      </c>
      <c r="C543" s="40">
        <v>44115.9853496412</v>
      </c>
      <c r="D543" s="27" t="s">
        <v>163</v>
      </c>
      <c r="E543" s="11" t="b">
        <v>1</v>
      </c>
      <c r="F543" s="11" t="s">
        <v>49</v>
      </c>
      <c r="G543" s="45" t="s">
        <v>569</v>
      </c>
      <c r="H543" s="46" t="s">
        <v>570</v>
      </c>
      <c r="I543" s="30">
        <v>4.0</v>
      </c>
      <c r="J543" s="31">
        <v>41.0</v>
      </c>
      <c r="K543" s="11">
        <v>40.0</v>
      </c>
      <c r="L543" s="32">
        <f>7752/P543</f>
        <v>0.7752</v>
      </c>
      <c r="M543" s="32">
        <f>12000/P543</f>
        <v>1.2</v>
      </c>
      <c r="N543" s="32">
        <v>0.0</v>
      </c>
      <c r="O543" s="32">
        <f>12000/P543</f>
        <v>1.2</v>
      </c>
      <c r="P543" s="33">
        <v>10000.0</v>
      </c>
      <c r="Q543" s="34">
        <v>1640.0</v>
      </c>
      <c r="R543" s="42">
        <v>31.7832</v>
      </c>
      <c r="S543" s="36">
        <v>1.2</v>
      </c>
      <c r="T543" s="36"/>
      <c r="U543" s="36">
        <v>1.2</v>
      </c>
      <c r="V543" s="36">
        <v>31.783200000000004</v>
      </c>
      <c r="W543" s="37">
        <v>0.01938</v>
      </c>
      <c r="X543" s="42">
        <v>317832.0</v>
      </c>
      <c r="Y543" s="36">
        <v>12000.0</v>
      </c>
      <c r="Z543" s="36"/>
      <c r="AA543" s="36">
        <v>12000.0</v>
      </c>
      <c r="AB543" s="36">
        <v>317832.00000000006</v>
      </c>
      <c r="AC543" s="37">
        <v>193.80000000000004</v>
      </c>
      <c r="AD543" s="31">
        <v>300.0</v>
      </c>
      <c r="AE543" s="11">
        <v>500.0</v>
      </c>
      <c r="AF543" s="11"/>
    </row>
    <row r="544">
      <c r="A544" s="11" t="s">
        <v>566</v>
      </c>
      <c r="B544" s="39">
        <v>43811.0</v>
      </c>
      <c r="C544" s="40">
        <v>43844.0</v>
      </c>
      <c r="D544" s="27" t="s">
        <v>56</v>
      </c>
      <c r="E544" s="11" t="b">
        <v>1</v>
      </c>
      <c r="F544" s="11" t="s">
        <v>57</v>
      </c>
      <c r="G544" s="44" t="s">
        <v>571</v>
      </c>
      <c r="H544" s="29" t="s">
        <v>572</v>
      </c>
      <c r="I544" s="33">
        <v>3.0</v>
      </c>
      <c r="J544" s="31">
        <v>30.0</v>
      </c>
      <c r="K544" s="11">
        <v>40.0</v>
      </c>
      <c r="L544" s="32">
        <v>0.55</v>
      </c>
      <c r="M544" s="36"/>
      <c r="N544" s="32"/>
      <c r="O544" s="32"/>
      <c r="P544" s="33">
        <f>236330/16.5</f>
        <v>14323.0303</v>
      </c>
      <c r="Q544" s="62">
        <v>1200.0</v>
      </c>
      <c r="R544" s="42">
        <v>16.5</v>
      </c>
      <c r="S544" s="36"/>
      <c r="T544" s="36"/>
      <c r="U544" s="36"/>
      <c r="V544" s="36">
        <v>16.5</v>
      </c>
      <c r="W544" s="37">
        <v>0.01375</v>
      </c>
      <c r="X544" s="42">
        <v>236330.0</v>
      </c>
      <c r="Y544" s="36"/>
      <c r="Z544" s="36"/>
      <c r="AA544" s="36"/>
      <c r="AB544" s="36">
        <v>236330.0</v>
      </c>
      <c r="AC544" s="37">
        <v>196.94166666666666</v>
      </c>
      <c r="AD544" s="31">
        <v>300.0</v>
      </c>
      <c r="AE544" s="11">
        <v>500.0</v>
      </c>
      <c r="AF544" s="64"/>
    </row>
    <row r="545">
      <c r="A545" s="11" t="s">
        <v>566</v>
      </c>
      <c r="B545" s="39">
        <v>43804.0</v>
      </c>
      <c r="C545" s="40">
        <f>B545</f>
        <v>43804</v>
      </c>
      <c r="D545" s="27" t="s">
        <v>66</v>
      </c>
      <c r="E545" s="11" t="b">
        <v>0</v>
      </c>
      <c r="F545" s="29" t="s">
        <v>67</v>
      </c>
      <c r="G545" s="29" t="s">
        <v>67</v>
      </c>
      <c r="H545" s="29" t="s">
        <v>67</v>
      </c>
      <c r="I545" s="33"/>
      <c r="J545" s="31">
        <v>11.0</v>
      </c>
      <c r="K545" s="11">
        <v>40.0</v>
      </c>
      <c r="L545" s="32">
        <f>10000/P545</f>
        <v>1</v>
      </c>
      <c r="M545" s="32"/>
      <c r="N545" s="32"/>
      <c r="O545" s="32"/>
      <c r="P545" s="33">
        <v>10000.0</v>
      </c>
      <c r="Q545" s="34">
        <v>440.0</v>
      </c>
      <c r="R545" s="42">
        <v>11.0</v>
      </c>
      <c r="S545" s="36"/>
      <c r="T545" s="36"/>
      <c r="U545" s="36"/>
      <c r="V545" s="36">
        <v>11.0</v>
      </c>
      <c r="W545" s="37">
        <v>0.025</v>
      </c>
      <c r="X545" s="42">
        <v>110000.0</v>
      </c>
      <c r="Y545" s="36"/>
      <c r="Z545" s="36"/>
      <c r="AA545" s="36"/>
      <c r="AB545" s="36">
        <v>110000.0</v>
      </c>
      <c r="AC545" s="37">
        <v>250.0</v>
      </c>
      <c r="AD545" s="31">
        <v>300.0</v>
      </c>
      <c r="AE545" s="11">
        <v>500.0</v>
      </c>
      <c r="AF545" s="11"/>
    </row>
    <row r="546">
      <c r="A546" s="11" t="s">
        <v>566</v>
      </c>
      <c r="B546" s="39">
        <v>43780.80716809028</v>
      </c>
      <c r="C546" s="40">
        <v>43797.0</v>
      </c>
      <c r="D546" s="27" t="s">
        <v>56</v>
      </c>
      <c r="E546" s="11" t="b">
        <v>1</v>
      </c>
      <c r="F546" s="29" t="s">
        <v>57</v>
      </c>
      <c r="G546" s="57" t="s">
        <v>525</v>
      </c>
      <c r="H546" s="29" t="s">
        <v>526</v>
      </c>
      <c r="I546" s="33"/>
      <c r="J546" s="31">
        <v>6.0</v>
      </c>
      <c r="K546" s="11">
        <v>40.0</v>
      </c>
      <c r="L546" s="32">
        <f>1.5/3</f>
        <v>0.5</v>
      </c>
      <c r="M546" s="32"/>
      <c r="N546" s="32"/>
      <c r="O546" s="32"/>
      <c r="P546" s="33">
        <f>(3*93373)/(1.5*2*3 + 1.76*2*3)</f>
        <v>14321.01227</v>
      </c>
      <c r="Q546" s="34">
        <v>240.0</v>
      </c>
      <c r="R546" s="42">
        <v>3.0</v>
      </c>
      <c r="S546" s="36"/>
      <c r="T546" s="36"/>
      <c r="U546" s="36"/>
      <c r="V546" s="36">
        <v>3.0</v>
      </c>
      <c r="W546" s="37">
        <v>0.0125</v>
      </c>
      <c r="X546" s="42">
        <v>42963.036809815945</v>
      </c>
      <c r="Y546" s="36"/>
      <c r="Z546" s="36"/>
      <c r="AA546" s="36"/>
      <c r="AB546" s="36">
        <v>42963.036809815945</v>
      </c>
      <c r="AC546" s="37">
        <v>179.0126533742331</v>
      </c>
      <c r="AD546" s="31">
        <v>300.0</v>
      </c>
      <c r="AE546" s="11">
        <v>500.0</v>
      </c>
      <c r="AF546" s="11"/>
    </row>
    <row r="547">
      <c r="A547" s="11" t="s">
        <v>566</v>
      </c>
      <c r="B547" s="39">
        <v>43587.96388096065</v>
      </c>
      <c r="C547" s="40">
        <v>43601.0</v>
      </c>
      <c r="D547" s="27" t="s">
        <v>56</v>
      </c>
      <c r="E547" s="11" t="b">
        <v>1</v>
      </c>
      <c r="F547" s="11" t="s">
        <v>57</v>
      </c>
      <c r="G547" s="123" t="s">
        <v>527</v>
      </c>
      <c r="H547" s="46" t="s">
        <v>573</v>
      </c>
      <c r="I547" s="33"/>
      <c r="J547" s="31">
        <f>28+5</f>
        <v>33</v>
      </c>
      <c r="K547" s="11">
        <v>40.0</v>
      </c>
      <c r="L547" s="32">
        <f>(((1.33/3)*28)+(0.57*5))/(28+5)</f>
        <v>0.4625252525</v>
      </c>
      <c r="M547" s="32">
        <v>0.0</v>
      </c>
      <c r="N547" s="32">
        <f>4/3</f>
        <v>1.333333333</v>
      </c>
      <c r="O547" s="32">
        <v>0.0</v>
      </c>
      <c r="P547" s="58">
        <f>647893/44.59</f>
        <v>14530.00673</v>
      </c>
      <c r="Q547" s="34">
        <v>1320.0</v>
      </c>
      <c r="R547" s="42">
        <v>15.263333333333335</v>
      </c>
      <c r="S547" s="36"/>
      <c r="T547" s="36">
        <v>1.3333333333333333</v>
      </c>
      <c r="U547" s="36"/>
      <c r="V547" s="36">
        <v>13.930000000000001</v>
      </c>
      <c r="W547" s="37">
        <v>0.010553030303030304</v>
      </c>
      <c r="X547" s="42">
        <v>221776.33602451973</v>
      </c>
      <c r="Y547" s="36"/>
      <c r="Z547" s="36">
        <v>19373.342303954545</v>
      </c>
      <c r="AA547" s="36"/>
      <c r="AB547" s="36">
        <v>202402.99372056517</v>
      </c>
      <c r="AC547" s="37">
        <v>153.33560130345845</v>
      </c>
      <c r="AD547" s="89">
        <v>300.0</v>
      </c>
      <c r="AE547" s="11">
        <v>500.0</v>
      </c>
      <c r="AF547" s="11"/>
    </row>
    <row r="548">
      <c r="A548" s="90" t="s">
        <v>566</v>
      </c>
      <c r="B548" s="39">
        <v>43551.91399857639</v>
      </c>
      <c r="C548" s="40">
        <v>43560.856413726855</v>
      </c>
      <c r="D548" s="27" t="s">
        <v>66</v>
      </c>
      <c r="E548" s="28" t="b">
        <v>1</v>
      </c>
      <c r="F548" s="11" t="s">
        <v>49</v>
      </c>
      <c r="G548" s="45" t="s">
        <v>574</v>
      </c>
      <c r="H548" s="11" t="s">
        <v>575</v>
      </c>
      <c r="I548" s="88"/>
      <c r="J548" s="89">
        <v>14.0</v>
      </c>
      <c r="K548" s="90">
        <v>40.0</v>
      </c>
      <c r="L548" s="83">
        <f>7563/P548</f>
        <v>0.7563</v>
      </c>
      <c r="M548" s="91">
        <f>10000/P548</f>
        <v>1</v>
      </c>
      <c r="N548" s="91">
        <f>2118/P548</f>
        <v>0.2118</v>
      </c>
      <c r="O548" s="91">
        <f>10000/P548</f>
        <v>1</v>
      </c>
      <c r="P548" s="88">
        <v>10000.0</v>
      </c>
      <c r="Q548" s="92">
        <v>560.0</v>
      </c>
      <c r="R548" s="93">
        <v>10.5882</v>
      </c>
      <c r="S548" s="83">
        <v>1.0</v>
      </c>
      <c r="T548" s="83">
        <v>0.2118</v>
      </c>
      <c r="U548" s="83">
        <v>1.0</v>
      </c>
      <c r="V548" s="83">
        <v>10.3764</v>
      </c>
      <c r="W548" s="94">
        <v>0.018529285714285713</v>
      </c>
      <c r="X548" s="93">
        <v>105882.0</v>
      </c>
      <c r="Y548" s="83">
        <v>10000.0</v>
      </c>
      <c r="Z548" s="83">
        <v>2118.0</v>
      </c>
      <c r="AA548" s="83">
        <v>10000.0</v>
      </c>
      <c r="AB548" s="83">
        <v>103764.0</v>
      </c>
      <c r="AC548" s="94">
        <v>185.29285714285714</v>
      </c>
      <c r="AD548" s="89">
        <v>300.0</v>
      </c>
      <c r="AE548" s="11">
        <v>500.0</v>
      </c>
      <c r="AF548" s="90" t="s">
        <v>100</v>
      </c>
    </row>
    <row r="549">
      <c r="A549" s="11" t="s">
        <v>566</v>
      </c>
      <c r="B549" s="39">
        <v>43295.0</v>
      </c>
      <c r="C549" s="40">
        <v>43313.0</v>
      </c>
      <c r="D549" s="27" t="s">
        <v>66</v>
      </c>
      <c r="E549" s="28" t="b">
        <v>1</v>
      </c>
      <c r="F549" s="11" t="s">
        <v>57</v>
      </c>
      <c r="G549" s="45" t="str">
        <f>"https://www.aliexpress.com/item/40PCS-10CM-2-54MM-Row-Male-to-Male-Dupont-Cable-Breadboard-Jumper-Wire-For-arduino/32700513558.html?spm=a2g0s.9042311.0.0.7c934c4dFt1pIh"</f>
        <v>https://www.aliexpress.com/item/40PCS-10CM-2-54MM-Row-Male-to-Male-Dupont-Cable-Breadboard-Jumper-Wire-For-arduino/32700513558.html?spm=a2g0s.9042311.0.0.7c934c4dFt1pIh</v>
      </c>
      <c r="H549" s="11" t="s">
        <v>529</v>
      </c>
      <c r="I549" s="33"/>
      <c r="J549" s="31">
        <v>6.0</v>
      </c>
      <c r="K549" s="11">
        <v>40.0</v>
      </c>
      <c r="L549" s="32">
        <v>0.72</v>
      </c>
      <c r="M549" s="32">
        <v>0.0</v>
      </c>
      <c r="N549" s="60">
        <v>0.0</v>
      </c>
      <c r="O549" s="60">
        <v>0.0</v>
      </c>
      <c r="P549" s="33">
        <f t="shared" ref="P549:P552" si="160">1121368/(3*0.72*6 + 2*0.72*6 + 3*0.65*7 + (2*0.65*7 + 0.58*8) + (0.65*7 + 0.63*7 + 0.67*7) + (0.56*8) + (0.68*7) + (0.67*7))</f>
        <v>14645.00457</v>
      </c>
      <c r="Q549" s="34">
        <v>240.0</v>
      </c>
      <c r="R549" s="35">
        <v>4.32</v>
      </c>
      <c r="S549" s="36"/>
      <c r="T549" s="36"/>
      <c r="U549" s="36"/>
      <c r="V549" s="36">
        <v>4.32</v>
      </c>
      <c r="W549" s="37">
        <v>0.018000000000000002</v>
      </c>
      <c r="X549" s="35">
        <v>63266.41974663706</v>
      </c>
      <c r="Y549" s="32"/>
      <c r="Z549" s="32"/>
      <c r="AA549" s="32"/>
      <c r="AB549" s="32">
        <v>63266.41974663706</v>
      </c>
      <c r="AC549" s="38">
        <v>263.61008227765444</v>
      </c>
      <c r="AD549" s="31">
        <v>300.0</v>
      </c>
      <c r="AE549" s="11">
        <v>500.0</v>
      </c>
      <c r="AF549" s="11"/>
    </row>
    <row r="550">
      <c r="A550" s="11" t="s">
        <v>566</v>
      </c>
      <c r="B550" s="39">
        <v>43295.0</v>
      </c>
      <c r="C550" s="40">
        <v>43313.0</v>
      </c>
      <c r="D550" s="27" t="s">
        <v>66</v>
      </c>
      <c r="E550" s="28" t="b">
        <v>1</v>
      </c>
      <c r="F550" s="11" t="s">
        <v>57</v>
      </c>
      <c r="G550" s="133" t="str">
        <f>"https://www.aliexpress.com/item/40pcs-lot-10cm-2-54mm-1pin-Male-to-Male-jumper-wire-Dupont-cable/32820881576.html?spm=a2g0s.9042311.0.0.50c24c4dxN4D85"</f>
        <v>https://www.aliexpress.com/item/40pcs-lot-10cm-2-54mm-1pin-Male-to-Male-jumper-wire-Dupont-cable/32820881576.html?spm=a2g0s.9042311.0.0.50c24c4dxN4D85</v>
      </c>
      <c r="H550" s="11" t="s">
        <v>531</v>
      </c>
      <c r="I550" s="33"/>
      <c r="J550" s="31">
        <v>7.0</v>
      </c>
      <c r="K550" s="127">
        <v>40.0</v>
      </c>
      <c r="L550" s="32">
        <v>0.65</v>
      </c>
      <c r="M550" s="32">
        <v>0.0</v>
      </c>
      <c r="N550" s="60">
        <v>0.0</v>
      </c>
      <c r="O550" s="60">
        <v>0.0</v>
      </c>
      <c r="P550" s="33">
        <f t="shared" si="160"/>
        <v>14645.00457</v>
      </c>
      <c r="Q550" s="34">
        <v>280.0</v>
      </c>
      <c r="R550" s="35">
        <v>4.55</v>
      </c>
      <c r="S550" s="36"/>
      <c r="T550" s="36"/>
      <c r="U550" s="36"/>
      <c r="V550" s="36">
        <v>4.55</v>
      </c>
      <c r="W550" s="37">
        <v>0.01625</v>
      </c>
      <c r="X550" s="35">
        <v>66634.77079796264</v>
      </c>
      <c r="Y550" s="32"/>
      <c r="Z550" s="32"/>
      <c r="AA550" s="32"/>
      <c r="AB550" s="32">
        <v>66634.77079796264</v>
      </c>
      <c r="AC550" s="38">
        <v>237.98132427843802</v>
      </c>
      <c r="AD550" s="31">
        <v>300.0</v>
      </c>
      <c r="AE550" s="11">
        <v>500.0</v>
      </c>
      <c r="AF550" s="11"/>
    </row>
    <row r="551">
      <c r="A551" s="11" t="s">
        <v>566</v>
      </c>
      <c r="B551" s="39">
        <v>43295.0</v>
      </c>
      <c r="C551" s="40">
        <v>43313.0</v>
      </c>
      <c r="D551" s="27" t="s">
        <v>66</v>
      </c>
      <c r="E551" s="28" t="b">
        <v>1</v>
      </c>
      <c r="F551" s="11" t="s">
        <v>57</v>
      </c>
      <c r="G551" s="45" t="str">
        <f>"https://www.aliexpress.com/item/40pcs-lot-10cm-2-54mm-1pin-Male-to-Male-jumper-wire-Dupont-cable-for-WAVGAT/32821448523.html?spm=a2g0s.9042311.0.0.50c24c4dxN4D85"</f>
        <v>https://www.aliexpress.com/item/40pcs-lot-10cm-2-54mm-1pin-Male-to-Male-jumper-wire-Dupont-cable-for-WAVGAT/32821448523.html?spm=a2g0s.9042311.0.0.50c24c4dxN4D85</v>
      </c>
      <c r="H551" s="11" t="s">
        <v>532</v>
      </c>
      <c r="I551" s="33"/>
      <c r="J551" s="31">
        <v>8.0</v>
      </c>
      <c r="K551" s="11">
        <v>40.0</v>
      </c>
      <c r="L551" s="32">
        <v>0.58</v>
      </c>
      <c r="M551" s="32">
        <v>0.0</v>
      </c>
      <c r="N551" s="60">
        <v>0.0</v>
      </c>
      <c r="O551" s="60">
        <v>0.0</v>
      </c>
      <c r="P551" s="33">
        <f t="shared" si="160"/>
        <v>14645.00457</v>
      </c>
      <c r="Q551" s="34">
        <v>320.0</v>
      </c>
      <c r="R551" s="35">
        <v>4.64</v>
      </c>
      <c r="S551" s="36"/>
      <c r="T551" s="36"/>
      <c r="U551" s="36"/>
      <c r="V551" s="36">
        <v>4.64</v>
      </c>
      <c r="W551" s="37">
        <v>0.014499999999999999</v>
      </c>
      <c r="X551" s="35">
        <v>67952.8212093509</v>
      </c>
      <c r="Y551" s="32"/>
      <c r="Z551" s="32"/>
      <c r="AA551" s="32"/>
      <c r="AB551" s="32">
        <v>67952.8212093509</v>
      </c>
      <c r="AC551" s="38">
        <v>212.35256627922158</v>
      </c>
      <c r="AD551" s="31">
        <v>300.0</v>
      </c>
      <c r="AE551" s="11">
        <v>500.0</v>
      </c>
      <c r="AF551" s="11"/>
    </row>
    <row r="552">
      <c r="A552" s="11" t="s">
        <v>566</v>
      </c>
      <c r="B552" s="39">
        <v>43295.0</v>
      </c>
      <c r="C552" s="40">
        <v>43313.0</v>
      </c>
      <c r="D552" s="27" t="s">
        <v>66</v>
      </c>
      <c r="E552" s="28" t="b">
        <v>1</v>
      </c>
      <c r="F552" s="11" t="s">
        <v>57</v>
      </c>
      <c r="G552" s="45" t="str">
        <f>"https://www.aliexpress.com/item/1lot-40pcs-10cm-2-54mm-1pin-1p-1p-male-to-male-jumper-wire-Dupont-cable/32806829089.html?spm=a2g0s.9042311.0.0.50c24c4dxN4D85"</f>
        <v>https://www.aliexpress.com/item/1lot-40pcs-10cm-2-54mm-1pin-1p-1p-male-to-male-jumper-wire-Dupont-cable/32806829089.html?spm=a2g0s.9042311.0.0.50c24c4dxN4D85</v>
      </c>
      <c r="H552" s="11" t="s">
        <v>533</v>
      </c>
      <c r="I552" s="33"/>
      <c r="J552" s="31">
        <v>7.0</v>
      </c>
      <c r="K552" s="11">
        <v>40.0</v>
      </c>
      <c r="L552" s="32">
        <v>0.67</v>
      </c>
      <c r="M552" s="32">
        <v>0.0</v>
      </c>
      <c r="N552" s="60">
        <v>0.0</v>
      </c>
      <c r="O552" s="60">
        <v>0.0</v>
      </c>
      <c r="P552" s="33">
        <f t="shared" si="160"/>
        <v>14645.00457</v>
      </c>
      <c r="Q552" s="34">
        <v>280.0</v>
      </c>
      <c r="R552" s="35">
        <v>4.69</v>
      </c>
      <c r="S552" s="36"/>
      <c r="T552" s="36"/>
      <c r="U552" s="36"/>
      <c r="V552" s="36">
        <v>4.69</v>
      </c>
      <c r="W552" s="37">
        <v>0.01675</v>
      </c>
      <c r="X552" s="35">
        <v>68685.07143789995</v>
      </c>
      <c r="Y552" s="32"/>
      <c r="Z552" s="32"/>
      <c r="AA552" s="32"/>
      <c r="AB552" s="32">
        <v>68685.07143789995</v>
      </c>
      <c r="AC552" s="38">
        <v>245.3038265639284</v>
      </c>
      <c r="AD552" s="31">
        <v>300.0</v>
      </c>
      <c r="AE552" s="11">
        <v>500.0</v>
      </c>
      <c r="AF552" s="11"/>
    </row>
    <row r="553">
      <c r="A553" s="11" t="s">
        <v>576</v>
      </c>
      <c r="B553" s="77">
        <v>45986.606944444444</v>
      </c>
      <c r="C553" s="40">
        <v>45989.623611111114</v>
      </c>
      <c r="D553" s="27" t="s">
        <v>37</v>
      </c>
      <c r="E553" s="11" t="b">
        <v>0</v>
      </c>
      <c r="F553" s="11" t="s">
        <v>38</v>
      </c>
      <c r="G553" s="11" t="s">
        <v>577</v>
      </c>
      <c r="H553" s="11" t="s">
        <v>578</v>
      </c>
      <c r="I553" s="30">
        <v>5.0</v>
      </c>
      <c r="J553" s="31">
        <v>38.0</v>
      </c>
      <c r="K553" s="11">
        <v>40.0</v>
      </c>
      <c r="L553" s="32">
        <f>(8750)/P553</f>
        <v>8750</v>
      </c>
      <c r="M553" s="32">
        <f>(2200)/P553</f>
        <v>2200</v>
      </c>
      <c r="N553" s="32">
        <f>(49875)/P553</f>
        <v>49875</v>
      </c>
      <c r="O553" s="32">
        <v>0.0</v>
      </c>
      <c r="P553" s="33">
        <v>1.0</v>
      </c>
      <c r="Q553" s="34">
        <v>1520.0</v>
      </c>
      <c r="R553" s="42">
        <v>332500.0</v>
      </c>
      <c r="S553" s="36">
        <v>2200.0</v>
      </c>
      <c r="T553" s="36">
        <v>49875.0</v>
      </c>
      <c r="U553" s="36"/>
      <c r="V553" s="36">
        <v>284825.0</v>
      </c>
      <c r="W553" s="37">
        <v>187.38486842105263</v>
      </c>
      <c r="X553" s="42">
        <v>332500.0</v>
      </c>
      <c r="Y553" s="36">
        <v>2200.0</v>
      </c>
      <c r="Z553" s="36">
        <v>49875.0</v>
      </c>
      <c r="AA553" s="36"/>
      <c r="AB553" s="36">
        <v>284825.0</v>
      </c>
      <c r="AC553" s="37">
        <v>187.38486842105263</v>
      </c>
      <c r="AD553" s="31"/>
      <c r="AE553" s="11"/>
      <c r="AF553" s="11"/>
    </row>
    <row r="554">
      <c r="A554" s="11" t="s">
        <v>576</v>
      </c>
      <c r="B554" s="39">
        <v>45605.17638888889</v>
      </c>
      <c r="C554" s="40">
        <v>45607.572222222225</v>
      </c>
      <c r="D554" s="27" t="s">
        <v>33</v>
      </c>
      <c r="E554" s="11" t="b">
        <v>0</v>
      </c>
      <c r="F554" s="11" t="s">
        <v>49</v>
      </c>
      <c r="G554" s="11" t="s">
        <v>414</v>
      </c>
      <c r="H554" s="11" t="s">
        <v>557</v>
      </c>
      <c r="I554" s="30">
        <v>5.0</v>
      </c>
      <c r="J554" s="31">
        <v>95.0</v>
      </c>
      <c r="K554" s="11">
        <v>40.0</v>
      </c>
      <c r="L554" s="32">
        <f t="shared" ref="L554:L555" si="161">(7500)/P554</f>
        <v>0.4787437763</v>
      </c>
      <c r="M554" s="32">
        <f>(306/2)/P554</f>
        <v>0.009766373037</v>
      </c>
      <c r="N554" s="32">
        <f>(57000)/P554</f>
        <v>3.6384527</v>
      </c>
      <c r="O554" s="32">
        <v>0.0</v>
      </c>
      <c r="P554" s="33">
        <v>15666.0</v>
      </c>
      <c r="Q554" s="34">
        <v>3800.0</v>
      </c>
      <c r="R554" s="42">
        <v>45.48065875143623</v>
      </c>
      <c r="S554" s="36">
        <v>0.009766373037150517</v>
      </c>
      <c r="T554" s="36">
        <v>3.6384527001148985</v>
      </c>
      <c r="U554" s="36"/>
      <c r="V554" s="36">
        <v>41.851972424358486</v>
      </c>
      <c r="W554" s="37">
        <v>0.01101367695377855</v>
      </c>
      <c r="X554" s="42">
        <v>712500.0</v>
      </c>
      <c r="Y554" s="36">
        <v>153.0</v>
      </c>
      <c r="Z554" s="36">
        <v>57000.0</v>
      </c>
      <c r="AA554" s="36"/>
      <c r="AB554" s="36">
        <v>655653.0</v>
      </c>
      <c r="AC554" s="37">
        <v>172.54026315789474</v>
      </c>
      <c r="AD554" s="31"/>
      <c r="AE554" s="11"/>
      <c r="AF554" s="11"/>
    </row>
    <row r="555">
      <c r="A555" s="11" t="s">
        <v>576</v>
      </c>
      <c r="B555" s="39">
        <v>45590.006944444445</v>
      </c>
      <c r="C555" s="40">
        <v>45593.48263888889</v>
      </c>
      <c r="D555" s="27" t="s">
        <v>37</v>
      </c>
      <c r="E555" s="11" t="b">
        <v>0</v>
      </c>
      <c r="F555" s="11" t="s">
        <v>49</v>
      </c>
      <c r="G555" s="11" t="s">
        <v>414</v>
      </c>
      <c r="H555" s="11" t="s">
        <v>558</v>
      </c>
      <c r="I555" s="30">
        <v>5.0</v>
      </c>
      <c r="J555" s="31">
        <v>30.0</v>
      </c>
      <c r="K555" s="11">
        <v>40.0</v>
      </c>
      <c r="L555" s="32">
        <f t="shared" si="161"/>
        <v>0.4778591908</v>
      </c>
      <c r="M555" s="32">
        <f>(50)/P555</f>
        <v>0.003185727939</v>
      </c>
      <c r="N555" s="32">
        <f>(27000)/P555</f>
        <v>1.720293087</v>
      </c>
      <c r="O555" s="32">
        <v>0.0</v>
      </c>
      <c r="P555" s="33">
        <v>15695.0</v>
      </c>
      <c r="Q555" s="34">
        <v>1200.0</v>
      </c>
      <c r="R555" s="42">
        <v>14.335775724753105</v>
      </c>
      <c r="S555" s="36">
        <v>0.0031857279388340237</v>
      </c>
      <c r="T555" s="36">
        <v>1.7202930869703728</v>
      </c>
      <c r="U555" s="36"/>
      <c r="V555" s="36">
        <v>12.618668365721568</v>
      </c>
      <c r="W555" s="37">
        <v>0.01051555697143464</v>
      </c>
      <c r="X555" s="42">
        <v>225000.0</v>
      </c>
      <c r="Y555" s="36">
        <v>50.0</v>
      </c>
      <c r="Z555" s="36">
        <v>27000.0</v>
      </c>
      <c r="AA555" s="36"/>
      <c r="AB555" s="36">
        <v>198050.0</v>
      </c>
      <c r="AC555" s="37">
        <v>165.04166666666666</v>
      </c>
      <c r="AD555" s="31"/>
      <c r="AE555" s="11"/>
      <c r="AF555" s="11"/>
    </row>
    <row r="556">
      <c r="A556" s="11" t="s">
        <v>576</v>
      </c>
      <c r="B556" s="39">
        <v>45417.927083333336</v>
      </c>
      <c r="C556" s="40">
        <v>45420.90694444445</v>
      </c>
      <c r="D556" s="27" t="s">
        <v>33</v>
      </c>
      <c r="E556" s="11" t="b">
        <v>0</v>
      </c>
      <c r="F556" s="11" t="s">
        <v>49</v>
      </c>
      <c r="G556" s="11" t="s">
        <v>579</v>
      </c>
      <c r="H556" s="11" t="s">
        <v>579</v>
      </c>
      <c r="I556" s="30">
        <v>5.0</v>
      </c>
      <c r="J556" s="31">
        <v>26.0</v>
      </c>
      <c r="K556" s="11">
        <v>40.0</v>
      </c>
      <c r="L556" s="32">
        <f>(195000/26)/P556</f>
        <v>0.4696599662</v>
      </c>
      <c r="M556" s="32">
        <f t="shared" ref="M556:M557" si="162">(1000)/P556</f>
        <v>0.06262132882</v>
      </c>
      <c r="N556" s="32">
        <f>(19500)/P556</f>
        <v>1.221115912</v>
      </c>
      <c r="O556" s="32">
        <v>0.0</v>
      </c>
      <c r="P556" s="33">
        <v>15969.0</v>
      </c>
      <c r="Q556" s="34">
        <v>1040.0</v>
      </c>
      <c r="R556" s="42">
        <v>12.211159120796543</v>
      </c>
      <c r="S556" s="36">
        <v>0.06262132882459766</v>
      </c>
      <c r="T556" s="36">
        <v>1.2211159120796544</v>
      </c>
      <c r="U556" s="36"/>
      <c r="V556" s="36">
        <v>11.052664537541487</v>
      </c>
      <c r="W556" s="37">
        <v>0.010627562055328353</v>
      </c>
      <c r="X556" s="42">
        <v>195000.0</v>
      </c>
      <c r="Y556" s="36">
        <v>1000.0</v>
      </c>
      <c r="Z556" s="36">
        <v>19500.0</v>
      </c>
      <c r="AA556" s="36"/>
      <c r="AB556" s="36">
        <v>176500.0</v>
      </c>
      <c r="AC556" s="37">
        <v>169.71153846153845</v>
      </c>
      <c r="AD556" s="31"/>
      <c r="AE556" s="11"/>
      <c r="AF556" s="11"/>
    </row>
    <row r="557">
      <c r="A557" s="11" t="s">
        <v>576</v>
      </c>
      <c r="B557" s="39">
        <v>45404.85555555556</v>
      </c>
      <c r="C557" s="40">
        <v>45407.54027777778</v>
      </c>
      <c r="D557" s="27" t="s">
        <v>33</v>
      </c>
      <c r="E557" s="11" t="b">
        <v>0</v>
      </c>
      <c r="F557" s="11" t="s">
        <v>49</v>
      </c>
      <c r="G557" s="11" t="s">
        <v>580</v>
      </c>
      <c r="H557" s="11" t="s">
        <v>580</v>
      </c>
      <c r="I557" s="30">
        <v>5.0</v>
      </c>
      <c r="J557" s="31">
        <v>12.0</v>
      </c>
      <c r="K557" s="11">
        <v>40.0</v>
      </c>
      <c r="L557" s="32">
        <f>(90000/12)/P557</f>
        <v>0.4613681102</v>
      </c>
      <c r="M557" s="32">
        <f t="shared" si="162"/>
        <v>0.06151574803</v>
      </c>
      <c r="N557" s="32">
        <f>(10000)/P557</f>
        <v>0.6151574803</v>
      </c>
      <c r="O557" s="32">
        <v>0.0</v>
      </c>
      <c r="P557" s="33">
        <v>16256.0</v>
      </c>
      <c r="Q557" s="34">
        <v>480.0</v>
      </c>
      <c r="R557" s="42">
        <v>5.536417322834646</v>
      </c>
      <c r="S557" s="36">
        <v>0.061515748031496065</v>
      </c>
      <c r="T557" s="36">
        <v>0.6151574803149606</v>
      </c>
      <c r="U557" s="36"/>
      <c r="V557" s="36">
        <v>4.9827755905511815</v>
      </c>
      <c r="W557" s="37">
        <v>0.010380782480314961</v>
      </c>
      <c r="X557" s="42">
        <v>90000.00000000001</v>
      </c>
      <c r="Y557" s="36">
        <v>1000.0</v>
      </c>
      <c r="Z557" s="36">
        <v>10000.0</v>
      </c>
      <c r="AA557" s="36"/>
      <c r="AB557" s="36">
        <v>81000.0</v>
      </c>
      <c r="AC557" s="37">
        <v>168.75</v>
      </c>
      <c r="AD557" s="31"/>
      <c r="AE557" s="11"/>
      <c r="AF557" s="11"/>
    </row>
    <row r="558">
      <c r="A558" s="11" t="s">
        <v>576</v>
      </c>
      <c r="B558" s="39">
        <v>45402.67013888889</v>
      </c>
      <c r="C558" s="40">
        <v>45407.42013888889</v>
      </c>
      <c r="D558" s="27" t="s">
        <v>37</v>
      </c>
      <c r="E558" s="11" t="b">
        <v>0</v>
      </c>
      <c r="F558" s="66" t="s">
        <v>49</v>
      </c>
      <c r="G558" s="69" t="s">
        <v>539</v>
      </c>
      <c r="H558" s="66" t="s">
        <v>539</v>
      </c>
      <c r="I558" s="30">
        <v>5.0</v>
      </c>
      <c r="J558" s="31">
        <v>40.0</v>
      </c>
      <c r="K558" s="11">
        <v>40.0</v>
      </c>
      <c r="L558" s="32">
        <f>(316000/40)/P558</f>
        <v>0.4871130842</v>
      </c>
      <c r="M558" s="32">
        <f t="shared" ref="M558:M559" si="163">(1000/5)/P558</f>
        <v>0.01233197682</v>
      </c>
      <c r="N558" s="32">
        <f>(100000/5)/P558</f>
        <v>1.233197682</v>
      </c>
      <c r="O558" s="32">
        <v>0.0</v>
      </c>
      <c r="P558" s="33">
        <v>16218.0</v>
      </c>
      <c r="Q558" s="34">
        <v>1600.0</v>
      </c>
      <c r="R558" s="42">
        <v>19.484523369096067</v>
      </c>
      <c r="S558" s="36">
        <v>0.012331976815883586</v>
      </c>
      <c r="T558" s="36">
        <v>1.2331976815883585</v>
      </c>
      <c r="U558" s="36"/>
      <c r="V558" s="36">
        <v>18.263657664323592</v>
      </c>
      <c r="W558" s="37">
        <v>0.011414786040202246</v>
      </c>
      <c r="X558" s="42">
        <v>316000.0</v>
      </c>
      <c r="Y558" s="36">
        <v>200.0</v>
      </c>
      <c r="Z558" s="36">
        <v>20000.0</v>
      </c>
      <c r="AA558" s="36"/>
      <c r="AB558" s="36">
        <v>296200.0</v>
      </c>
      <c r="AC558" s="37">
        <v>185.125</v>
      </c>
      <c r="AD558" s="31"/>
      <c r="AE558" s="11"/>
      <c r="AF558" s="11"/>
    </row>
    <row r="559">
      <c r="A559" s="11" t="s">
        <v>576</v>
      </c>
      <c r="B559" s="39">
        <v>45380.467361111114</v>
      </c>
      <c r="C559" s="40">
        <v>45382.645310312495</v>
      </c>
      <c r="D559" s="27" t="s">
        <v>37</v>
      </c>
      <c r="E559" s="11" t="b">
        <v>0</v>
      </c>
      <c r="F559" s="11" t="s">
        <v>49</v>
      </c>
      <c r="G559" s="11" t="s">
        <v>222</v>
      </c>
      <c r="H559" s="11" t="s">
        <v>222</v>
      </c>
      <c r="I559" s="30">
        <v>5.0</v>
      </c>
      <c r="J559" s="31">
        <v>1.0</v>
      </c>
      <c r="K559" s="11">
        <v>40.0</v>
      </c>
      <c r="L559" s="32">
        <f>(8091)/P559</f>
        <v>0.5093805087</v>
      </c>
      <c r="M559" s="32">
        <f t="shared" si="163"/>
        <v>0.01259128683</v>
      </c>
      <c r="N559" s="32">
        <v>0.0</v>
      </c>
      <c r="O559" s="32">
        <v>0.0</v>
      </c>
      <c r="P559" s="33">
        <v>15884.0</v>
      </c>
      <c r="Q559" s="34">
        <v>40.0</v>
      </c>
      <c r="R559" s="42">
        <v>0.5093805086879879</v>
      </c>
      <c r="S559" s="36">
        <v>0.012591286829513977</v>
      </c>
      <c r="T559" s="36"/>
      <c r="U559" s="36"/>
      <c r="V559" s="36">
        <v>0.5219717955175018</v>
      </c>
      <c r="W559" s="37">
        <v>0.013049294887937546</v>
      </c>
      <c r="X559" s="42">
        <v>8091.0</v>
      </c>
      <c r="Y559" s="36">
        <v>200.0</v>
      </c>
      <c r="Z559" s="36"/>
      <c r="AA559" s="36"/>
      <c r="AB559" s="36">
        <v>8291.0</v>
      </c>
      <c r="AC559" s="37">
        <v>207.275</v>
      </c>
      <c r="AD559" s="31"/>
      <c r="AE559" s="11"/>
      <c r="AF559" s="11"/>
    </row>
    <row r="560">
      <c r="A560" s="11" t="s">
        <v>576</v>
      </c>
      <c r="B560" s="39">
        <v>44042.0</v>
      </c>
      <c r="C560" s="40">
        <v>44052.0</v>
      </c>
      <c r="D560" s="27" t="s">
        <v>37</v>
      </c>
      <c r="E560" s="11" t="b">
        <v>1</v>
      </c>
      <c r="F560" s="11" t="s">
        <v>49</v>
      </c>
      <c r="G560" s="45" t="s">
        <v>581</v>
      </c>
      <c r="H560" s="46" t="s">
        <v>541</v>
      </c>
      <c r="I560" s="30">
        <v>4.0</v>
      </c>
      <c r="J560" s="31">
        <v>46.0</v>
      </c>
      <c r="K560" s="11">
        <v>40.0</v>
      </c>
      <c r="L560" s="32">
        <f>9462/P560</f>
        <v>0.9462</v>
      </c>
      <c r="M560" s="32">
        <f>12000/P560</f>
        <v>1.2</v>
      </c>
      <c r="N560" s="32"/>
      <c r="O560" s="32">
        <f>12000/P560</f>
        <v>1.2</v>
      </c>
      <c r="P560" s="33">
        <v>10000.0</v>
      </c>
      <c r="Q560" s="34">
        <v>1840.0</v>
      </c>
      <c r="R560" s="42">
        <v>43.525200000000005</v>
      </c>
      <c r="S560" s="36">
        <v>1.2</v>
      </c>
      <c r="T560" s="36"/>
      <c r="U560" s="36">
        <v>1.2</v>
      </c>
      <c r="V560" s="36">
        <v>43.525200000000005</v>
      </c>
      <c r="W560" s="37">
        <v>0.023655000000000002</v>
      </c>
      <c r="X560" s="42">
        <v>435252.00000000006</v>
      </c>
      <c r="Y560" s="36">
        <v>12000.0</v>
      </c>
      <c r="Z560" s="36"/>
      <c r="AA560" s="36">
        <v>12000.0</v>
      </c>
      <c r="AB560" s="36">
        <v>435252.00000000006</v>
      </c>
      <c r="AC560" s="37">
        <v>236.55000000000004</v>
      </c>
      <c r="AD560" s="31"/>
      <c r="AE560" s="11"/>
      <c r="AF560" s="11"/>
    </row>
    <row r="561">
      <c r="A561" s="11" t="s">
        <v>576</v>
      </c>
      <c r="B561" s="39">
        <v>43780.80750427084</v>
      </c>
      <c r="C561" s="40">
        <v>43797.0</v>
      </c>
      <c r="D561" s="27" t="s">
        <v>56</v>
      </c>
      <c r="E561" s="11" t="b">
        <v>1</v>
      </c>
      <c r="F561" s="29" t="s">
        <v>57</v>
      </c>
      <c r="G561" s="57" t="s">
        <v>525</v>
      </c>
      <c r="H561" s="29" t="s">
        <v>526</v>
      </c>
      <c r="I561" s="33"/>
      <c r="J561" s="31">
        <v>6.0</v>
      </c>
      <c r="K561" s="11">
        <v>40.0</v>
      </c>
      <c r="L561" s="32">
        <f>1.76/3</f>
        <v>0.5866666667</v>
      </c>
      <c r="M561" s="32"/>
      <c r="N561" s="32"/>
      <c r="O561" s="32"/>
      <c r="P561" s="33">
        <f>(3*93373)/(1.5*2*3 + 1.76*2*3)</f>
        <v>14321.01227</v>
      </c>
      <c r="Q561" s="34">
        <v>240.0</v>
      </c>
      <c r="R561" s="42">
        <v>3.52</v>
      </c>
      <c r="S561" s="36"/>
      <c r="T561" s="36"/>
      <c r="U561" s="36"/>
      <c r="V561" s="36">
        <v>3.52</v>
      </c>
      <c r="W561" s="37">
        <v>0.014666666666666666</v>
      </c>
      <c r="X561" s="42">
        <v>50409.96319018404</v>
      </c>
      <c r="Y561" s="36"/>
      <c r="Z561" s="36"/>
      <c r="AA561" s="36"/>
      <c r="AB561" s="36">
        <v>50409.96319018404</v>
      </c>
      <c r="AC561" s="37">
        <v>210.0415132924335</v>
      </c>
      <c r="AD561" s="31"/>
      <c r="AE561" s="11"/>
      <c r="AF561" s="11"/>
    </row>
    <row r="562">
      <c r="A562" s="11" t="s">
        <v>582</v>
      </c>
      <c r="B562" s="77">
        <v>45986.02361111111</v>
      </c>
      <c r="C562" s="40">
        <v>45987.80694444444</v>
      </c>
      <c r="D562" s="27" t="s">
        <v>33</v>
      </c>
      <c r="E562" s="11" t="b">
        <v>0</v>
      </c>
      <c r="F562" s="11" t="s">
        <v>49</v>
      </c>
      <c r="G562" s="11" t="s">
        <v>583</v>
      </c>
      <c r="H562" s="11" t="s">
        <v>584</v>
      </c>
      <c r="I562" s="30">
        <v>5.0</v>
      </c>
      <c r="J562" s="31">
        <v>500.0</v>
      </c>
      <c r="K562" s="11">
        <v>1.0</v>
      </c>
      <c r="L562" s="32">
        <f>(975)/P562</f>
        <v>975</v>
      </c>
      <c r="M562" s="32">
        <f>(249)/P562</f>
        <v>249</v>
      </c>
      <c r="N562" s="32">
        <f>(X562*15%)/P562</f>
        <v>73125</v>
      </c>
      <c r="O562" s="32">
        <v>0.0</v>
      </c>
      <c r="P562" s="33">
        <v>1.0</v>
      </c>
      <c r="Q562" s="34">
        <v>500.0</v>
      </c>
      <c r="R562" s="42">
        <v>487500.0</v>
      </c>
      <c r="S562" s="36">
        <v>249.0</v>
      </c>
      <c r="T562" s="36">
        <v>73125.0</v>
      </c>
      <c r="U562" s="36"/>
      <c r="V562" s="36">
        <v>414624.0</v>
      </c>
      <c r="W562" s="37">
        <v>829.248</v>
      </c>
      <c r="X562" s="42">
        <v>487500.0</v>
      </c>
      <c r="Y562" s="36">
        <v>249.0</v>
      </c>
      <c r="Z562" s="36">
        <v>73125.0</v>
      </c>
      <c r="AA562" s="36"/>
      <c r="AB562" s="36">
        <v>414624.0</v>
      </c>
      <c r="AC562" s="37">
        <v>829.248</v>
      </c>
      <c r="AD562" s="31"/>
      <c r="AE562" s="11"/>
      <c r="AF562" s="11"/>
    </row>
    <row r="563">
      <c r="A563" s="11" t="s">
        <v>585</v>
      </c>
      <c r="B563" s="39">
        <v>43309.0</v>
      </c>
      <c r="C563" s="40">
        <f>B563</f>
        <v>43309</v>
      </c>
      <c r="D563" s="27"/>
      <c r="E563" s="28" t="b">
        <v>0</v>
      </c>
      <c r="F563" s="11" t="s">
        <v>157</v>
      </c>
      <c r="G563" s="11" t="s">
        <v>586</v>
      </c>
      <c r="H563" s="11" t="s">
        <v>586</v>
      </c>
      <c r="I563" s="33"/>
      <c r="J563" s="31">
        <v>1.0</v>
      </c>
      <c r="K563" s="11">
        <v>1.0</v>
      </c>
      <c r="L563" s="32">
        <v>0.0</v>
      </c>
      <c r="M563" s="32">
        <v>0.0</v>
      </c>
      <c r="N563" s="32"/>
      <c r="O563" s="32"/>
      <c r="P563" s="33">
        <v>10000.0</v>
      </c>
      <c r="Q563" s="34">
        <v>1.0</v>
      </c>
      <c r="R563" s="42"/>
      <c r="S563" s="36"/>
      <c r="T563" s="36"/>
      <c r="U563" s="36"/>
      <c r="V563" s="36"/>
      <c r="W563" s="37"/>
      <c r="X563" s="42"/>
      <c r="Y563" s="36"/>
      <c r="Z563" s="36"/>
      <c r="AA563" s="36"/>
      <c r="AB563" s="36"/>
      <c r="AC563" s="37"/>
      <c r="AD563" s="31">
        <v>0.0</v>
      </c>
      <c r="AE563" s="11">
        <v>0.0</v>
      </c>
      <c r="AF563" s="11"/>
    </row>
    <row r="564">
      <c r="A564" s="11" t="s">
        <v>587</v>
      </c>
      <c r="B564" s="39">
        <v>43316.76351851852</v>
      </c>
      <c r="C564" s="40">
        <v>43316.76351851852</v>
      </c>
      <c r="D564" s="27" t="s">
        <v>98</v>
      </c>
      <c r="E564" s="11" t="b">
        <v>0</v>
      </c>
      <c r="F564" s="11" t="s">
        <v>91</v>
      </c>
      <c r="G564" s="59" t="str">
        <f>"https://www.bukalapak.com/p/fashion-pria/perhiasan-aksesoris-170/goy3on-jual-kupluk-beanie-polos-murah-berkwalitas?product_sku=1004390973"</f>
        <v>https://www.bukalapak.com/p/fashion-pria/perhiasan-aksesoris-170/goy3on-jual-kupluk-beanie-polos-murah-berkwalitas?product_sku=1004390973</v>
      </c>
      <c r="H564" s="11" t="s">
        <v>588</v>
      </c>
      <c r="I564" s="33"/>
      <c r="J564" s="31">
        <v>26.0</v>
      </c>
      <c r="K564" s="11">
        <v>1.0</v>
      </c>
      <c r="L564" s="36">
        <f>7600/P564</f>
        <v>0.76</v>
      </c>
      <c r="M564" s="32">
        <f>(14000+15000)/10000</f>
        <v>2.9</v>
      </c>
      <c r="N564" s="32"/>
      <c r="O564" s="32"/>
      <c r="P564" s="33">
        <v>10000.0</v>
      </c>
      <c r="Q564" s="34">
        <v>26.0</v>
      </c>
      <c r="R564" s="42">
        <v>19.76</v>
      </c>
      <c r="S564" s="36">
        <v>2.9</v>
      </c>
      <c r="T564" s="36"/>
      <c r="U564" s="36"/>
      <c r="V564" s="36">
        <v>22.66</v>
      </c>
      <c r="W564" s="37">
        <v>0.8715384615384616</v>
      </c>
      <c r="X564" s="42">
        <v>197600.00000000003</v>
      </c>
      <c r="Y564" s="36">
        <v>29000.0</v>
      </c>
      <c r="Z564" s="36"/>
      <c r="AA564" s="36"/>
      <c r="AB564" s="36">
        <v>226600.0</v>
      </c>
      <c r="AC564" s="37">
        <v>8715.384615384615</v>
      </c>
      <c r="AD564" s="31">
        <v>12000.0</v>
      </c>
      <c r="AE564" s="11">
        <v>15000.0</v>
      </c>
      <c r="AF564" s="11"/>
    </row>
    <row r="565">
      <c r="A565" s="11" t="s">
        <v>589</v>
      </c>
      <c r="B565" s="77">
        <v>46003.02013888889</v>
      </c>
      <c r="C565" s="40">
        <v>46006.47708333333</v>
      </c>
      <c r="D565" s="27" t="s">
        <v>33</v>
      </c>
      <c r="E565" s="11" t="b">
        <v>0</v>
      </c>
      <c r="F565" s="11" t="s">
        <v>49</v>
      </c>
      <c r="G565" s="11" t="s">
        <v>251</v>
      </c>
      <c r="H565" s="11" t="s">
        <v>590</v>
      </c>
      <c r="I565" s="30">
        <v>5.0</v>
      </c>
      <c r="J565" s="31">
        <v>90.0</v>
      </c>
      <c r="K565" s="11">
        <v>1.0</v>
      </c>
      <c r="L565" s="32">
        <f t="shared" ref="L565:L566" si="164">(11818)/P565</f>
        <v>11818</v>
      </c>
      <c r="M565" s="32">
        <f>(2527)/P565</f>
        <v>2527</v>
      </c>
      <c r="N565" s="32">
        <f>(X565*20%)/P565</f>
        <v>212724</v>
      </c>
      <c r="O565" s="32">
        <v>0.0</v>
      </c>
      <c r="P565" s="33">
        <v>1.0</v>
      </c>
      <c r="Q565" s="34">
        <v>90.0</v>
      </c>
      <c r="R565" s="42">
        <v>1063620.0</v>
      </c>
      <c r="S565" s="36">
        <v>2527.0</v>
      </c>
      <c r="T565" s="36">
        <v>212724.0</v>
      </c>
      <c r="U565" s="36"/>
      <c r="V565" s="36">
        <v>853423.0</v>
      </c>
      <c r="W565" s="37">
        <v>9482.477777777778</v>
      </c>
      <c r="X565" s="42">
        <v>1063620.0</v>
      </c>
      <c r="Y565" s="36">
        <v>2527.0</v>
      </c>
      <c r="Z565" s="36">
        <v>212724.0</v>
      </c>
      <c r="AA565" s="36"/>
      <c r="AB565" s="36">
        <v>853423.0</v>
      </c>
      <c r="AC565" s="37">
        <v>9482.477777777778</v>
      </c>
      <c r="AD565" s="31"/>
      <c r="AE565" s="11"/>
      <c r="AF565" s="11"/>
    </row>
    <row r="566">
      <c r="A566" s="11" t="s">
        <v>589</v>
      </c>
      <c r="B566" s="77">
        <v>46003.00625</v>
      </c>
      <c r="C566" s="40">
        <v>46005.44027777778</v>
      </c>
      <c r="D566" s="27" t="s">
        <v>33</v>
      </c>
      <c r="E566" s="11" t="b">
        <v>0</v>
      </c>
      <c r="F566" s="11" t="s">
        <v>49</v>
      </c>
      <c r="G566" s="11" t="s">
        <v>251</v>
      </c>
      <c r="H566" s="11" t="s">
        <v>591</v>
      </c>
      <c r="I566" s="30">
        <v>5.0</v>
      </c>
      <c r="J566" s="31">
        <v>1.0</v>
      </c>
      <c r="K566" s="11">
        <v>1.0</v>
      </c>
      <c r="L566" s="32">
        <f t="shared" si="164"/>
        <v>11818</v>
      </c>
      <c r="M566" s="32">
        <f>(1000)/P566</f>
        <v>1000</v>
      </c>
      <c r="N566" s="32">
        <f>(10000)/P566</f>
        <v>10000</v>
      </c>
      <c r="O566" s="32">
        <v>0.0</v>
      </c>
      <c r="P566" s="33">
        <v>1.0</v>
      </c>
      <c r="Q566" s="34">
        <v>1.0</v>
      </c>
      <c r="R566" s="42">
        <v>11818.0</v>
      </c>
      <c r="S566" s="36">
        <v>1000.0</v>
      </c>
      <c r="T566" s="36">
        <v>10000.0</v>
      </c>
      <c r="U566" s="36"/>
      <c r="V566" s="36">
        <v>2818.0</v>
      </c>
      <c r="W566" s="37">
        <v>2818.0</v>
      </c>
      <c r="X566" s="42">
        <v>11818.0</v>
      </c>
      <c r="Y566" s="36">
        <v>1000.0</v>
      </c>
      <c r="Z566" s="36">
        <v>10000.0</v>
      </c>
      <c r="AA566" s="36"/>
      <c r="AB566" s="36">
        <v>2818.0</v>
      </c>
      <c r="AC566" s="37">
        <v>2818.0</v>
      </c>
      <c r="AD566" s="31"/>
      <c r="AE566" s="11"/>
      <c r="AF566" s="11"/>
    </row>
    <row r="567">
      <c r="A567" s="11" t="s">
        <v>589</v>
      </c>
      <c r="B567" s="39">
        <v>45532.436111111114</v>
      </c>
      <c r="C567" s="40">
        <v>45533.49930555555</v>
      </c>
      <c r="D567" s="27" t="s">
        <v>33</v>
      </c>
      <c r="E567" s="11" t="b">
        <v>0</v>
      </c>
      <c r="F567" s="11" t="s">
        <v>38</v>
      </c>
      <c r="G567" s="11" t="s">
        <v>200</v>
      </c>
      <c r="H567" s="11" t="s">
        <v>592</v>
      </c>
      <c r="I567" s="30">
        <v>5.0</v>
      </c>
      <c r="J567" s="31">
        <v>29.0</v>
      </c>
      <c r="K567" s="11">
        <v>1.0</v>
      </c>
      <c r="L567" s="32">
        <f>(12990)/P567</f>
        <v>0.8409944322</v>
      </c>
      <c r="M567" s="32">
        <f>(1000/3)/P567</f>
        <v>0.02158056023</v>
      </c>
      <c r="N567" s="32">
        <f>(37671)/P567</f>
        <v>2.438883853</v>
      </c>
      <c r="O567" s="32">
        <v>0.0</v>
      </c>
      <c r="P567" s="33">
        <v>15446.0</v>
      </c>
      <c r="Q567" s="34">
        <v>29.0</v>
      </c>
      <c r="R567" s="42">
        <v>24.38883853424835</v>
      </c>
      <c r="S567" s="36">
        <v>0.021580560231343606</v>
      </c>
      <c r="T567" s="36">
        <v>2.438883853424835</v>
      </c>
      <c r="U567" s="36"/>
      <c r="V567" s="36">
        <v>21.97153524105486</v>
      </c>
      <c r="W567" s="37">
        <v>0.757639146243271</v>
      </c>
      <c r="X567" s="42">
        <v>376710.0</v>
      </c>
      <c r="Y567" s="36">
        <v>333.3333333333333</v>
      </c>
      <c r="Z567" s="36">
        <v>37671.0</v>
      </c>
      <c r="AA567" s="36"/>
      <c r="AB567" s="36">
        <v>339372.3333333334</v>
      </c>
      <c r="AC567" s="37">
        <v>11702.494252873565</v>
      </c>
      <c r="AD567" s="31"/>
      <c r="AE567" s="11"/>
      <c r="AF567" s="11"/>
    </row>
    <row r="568">
      <c r="A568" s="11" t="s">
        <v>589</v>
      </c>
      <c r="B568" s="39">
        <v>45512.03472222222</v>
      </c>
      <c r="C568" s="40">
        <v>45514.47083333333</v>
      </c>
      <c r="D568" s="27" t="s">
        <v>37</v>
      </c>
      <c r="E568" s="11" t="b">
        <v>0</v>
      </c>
      <c r="F568" s="11" t="s">
        <v>49</v>
      </c>
      <c r="G568" s="11" t="s">
        <v>593</v>
      </c>
      <c r="H568" s="11" t="s">
        <v>594</v>
      </c>
      <c r="I568" s="30">
        <v>5.0</v>
      </c>
      <c r="J568" s="31">
        <v>100.0</v>
      </c>
      <c r="K568" s="11">
        <v>1.0</v>
      </c>
      <c r="L568" s="32">
        <f>(13400)/P568</f>
        <v>0.8382334543</v>
      </c>
      <c r="M568" s="32">
        <f>(403)/P568</f>
        <v>0.02520955836</v>
      </c>
      <c r="N568" s="32">
        <f>(X568*15%)/P568</f>
        <v>12.57350181</v>
      </c>
      <c r="O568" s="32">
        <v>0.0</v>
      </c>
      <c r="P568" s="33">
        <v>15986.0</v>
      </c>
      <c r="Q568" s="34">
        <v>100.0</v>
      </c>
      <c r="R568" s="42">
        <v>83.82334542724884</v>
      </c>
      <c r="S568" s="36">
        <v>0.025209558363568123</v>
      </c>
      <c r="T568" s="36">
        <v>12.573501814087326</v>
      </c>
      <c r="U568" s="36"/>
      <c r="V568" s="36">
        <v>71.27505317152509</v>
      </c>
      <c r="W568" s="37">
        <v>0.7127505317152508</v>
      </c>
      <c r="X568" s="42">
        <v>1340000.0</v>
      </c>
      <c r="Y568" s="36">
        <v>403.0</v>
      </c>
      <c r="Z568" s="36">
        <v>201000.0</v>
      </c>
      <c r="AA568" s="36"/>
      <c r="AB568" s="36">
        <v>1139403.0</v>
      </c>
      <c r="AC568" s="37">
        <v>11394.03</v>
      </c>
      <c r="AD568" s="31"/>
      <c r="AE568" s="11"/>
      <c r="AF568" s="11"/>
    </row>
    <row r="569">
      <c r="A569" s="11" t="s">
        <v>589</v>
      </c>
      <c r="B569" s="39">
        <v>45485.614583333336</v>
      </c>
      <c r="C569" s="40">
        <v>45488.833333333336</v>
      </c>
      <c r="D569" s="27" t="s">
        <v>33</v>
      </c>
      <c r="E569" s="11" t="b">
        <v>0</v>
      </c>
      <c r="F569" s="11" t="s">
        <v>38</v>
      </c>
      <c r="G569" s="11" t="s">
        <v>496</v>
      </c>
      <c r="H569" s="11" t="s">
        <v>595</v>
      </c>
      <c r="I569" s="30">
        <v>5.0</v>
      </c>
      <c r="J569" s="31">
        <v>25.0</v>
      </c>
      <c r="K569" s="11">
        <v>1.0</v>
      </c>
      <c r="L569" s="32">
        <f>(12799)/P569</f>
        <v>0.7942782673</v>
      </c>
      <c r="M569" s="32">
        <v>0.0</v>
      </c>
      <c r="N569" s="32">
        <f>(31997)/P569</f>
        <v>1.985664639</v>
      </c>
      <c r="O569" s="32">
        <v>0.0</v>
      </c>
      <c r="P569" s="33">
        <v>16114.0</v>
      </c>
      <c r="Q569" s="34">
        <v>25.0</v>
      </c>
      <c r="R569" s="42">
        <v>19.856956683629143</v>
      </c>
      <c r="S569" s="36"/>
      <c r="T569" s="36">
        <v>1.9856646394439619</v>
      </c>
      <c r="U569" s="36"/>
      <c r="V569" s="36">
        <v>17.871292044185182</v>
      </c>
      <c r="W569" s="37">
        <v>0.7148516817674073</v>
      </c>
      <c r="X569" s="42">
        <v>319975.0</v>
      </c>
      <c r="Y569" s="36"/>
      <c r="Z569" s="36">
        <v>31997.0</v>
      </c>
      <c r="AA569" s="36"/>
      <c r="AB569" s="36">
        <v>287978.0</v>
      </c>
      <c r="AC569" s="37">
        <v>11519.12</v>
      </c>
      <c r="AD569" s="31"/>
      <c r="AE569" s="11"/>
      <c r="AF569" s="11"/>
    </row>
    <row r="570">
      <c r="A570" s="11" t="s">
        <v>589</v>
      </c>
      <c r="B570" s="39">
        <v>45429.83125</v>
      </c>
      <c r="C570" s="40">
        <v>45432.75</v>
      </c>
      <c r="D570" s="27" t="s">
        <v>33</v>
      </c>
      <c r="E570" s="11" t="b">
        <v>0</v>
      </c>
      <c r="F570" s="11" t="s">
        <v>38</v>
      </c>
      <c r="G570" s="11" t="s">
        <v>323</v>
      </c>
      <c r="H570" s="11" t="s">
        <v>325</v>
      </c>
      <c r="I570" s="30">
        <v>5.0</v>
      </c>
      <c r="J570" s="31">
        <v>65.0</v>
      </c>
      <c r="K570" s="11">
        <v>1.0</v>
      </c>
      <c r="L570" s="32">
        <f>(12500)/P570</f>
        <v>0.7823746636</v>
      </c>
      <c r="M570" s="32">
        <f>(533 + 18399 + 5013)/P570</f>
        <v>1.498716906</v>
      </c>
      <c r="N570" s="32">
        <f>(65000)/P570</f>
        <v>4.068348251</v>
      </c>
      <c r="O570" s="32">
        <f>(15999)/P570</f>
        <v>1.001376979</v>
      </c>
      <c r="P570" s="33">
        <v>15977.0</v>
      </c>
      <c r="Q570" s="34">
        <v>65.0</v>
      </c>
      <c r="R570" s="42">
        <v>50.85435313262815</v>
      </c>
      <c r="S570" s="36">
        <v>1.4987169055517306</v>
      </c>
      <c r="T570" s="36">
        <v>4.068348250610252</v>
      </c>
      <c r="U570" s="36">
        <v>1.0013769794078988</v>
      </c>
      <c r="V570" s="36">
        <v>47.28334480816173</v>
      </c>
      <c r="W570" s="37">
        <v>0.7274360739717189</v>
      </c>
      <c r="X570" s="42">
        <v>812499.9999999999</v>
      </c>
      <c r="Y570" s="36">
        <v>23945.0</v>
      </c>
      <c r="Z570" s="36">
        <v>64999.99999999999</v>
      </c>
      <c r="AA570" s="36">
        <v>15999.0</v>
      </c>
      <c r="AB570" s="36">
        <v>755446.0</v>
      </c>
      <c r="AC570" s="37">
        <v>11622.246153846154</v>
      </c>
      <c r="AD570" s="31"/>
      <c r="AE570" s="11"/>
      <c r="AF570" s="11"/>
    </row>
    <row r="571">
      <c r="A571" s="11" t="s">
        <v>596</v>
      </c>
      <c r="B571" s="39">
        <v>45712.001388888886</v>
      </c>
      <c r="C571" s="40">
        <v>45713.43402777778</v>
      </c>
      <c r="D571" s="27" t="s">
        <v>33</v>
      </c>
      <c r="E571" s="11" t="b">
        <v>0</v>
      </c>
      <c r="F571" s="11" t="s">
        <v>49</v>
      </c>
      <c r="G571" s="11" t="s">
        <v>593</v>
      </c>
      <c r="H571" s="11" t="s">
        <v>89</v>
      </c>
      <c r="I571" s="30">
        <v>5.0</v>
      </c>
      <c r="J571" s="31">
        <v>100.0</v>
      </c>
      <c r="K571" s="11">
        <v>1.0</v>
      </c>
      <c r="L571" s="32">
        <f>(13000)/P571</f>
        <v>0.7986239096</v>
      </c>
      <c r="M571" s="32">
        <f>(312)/P571</f>
        <v>0.01916697383</v>
      </c>
      <c r="N571" s="32">
        <f>(X571*12%)/P571</f>
        <v>9.583486915</v>
      </c>
      <c r="O571" s="32">
        <v>0.0</v>
      </c>
      <c r="P571" s="33">
        <v>16278.0</v>
      </c>
      <c r="Q571" s="34">
        <v>100.0</v>
      </c>
      <c r="R571" s="42">
        <v>79.86239095712004</v>
      </c>
      <c r="S571" s="36">
        <v>0.01916697382970881</v>
      </c>
      <c r="T571" s="36">
        <v>9.583486914854404</v>
      </c>
      <c r="U571" s="36"/>
      <c r="V571" s="36">
        <v>70.29807101609535</v>
      </c>
      <c r="W571" s="37">
        <v>0.7029807101609535</v>
      </c>
      <c r="X571" s="42">
        <v>1300000.0</v>
      </c>
      <c r="Y571" s="36">
        <v>312.0</v>
      </c>
      <c r="Z571" s="36">
        <v>156000.0</v>
      </c>
      <c r="AA571" s="36"/>
      <c r="AB571" s="36">
        <v>1144312.0</v>
      </c>
      <c r="AC571" s="37">
        <v>11443.12</v>
      </c>
      <c r="AD571" s="31"/>
      <c r="AE571" s="11"/>
      <c r="AF571" s="11"/>
    </row>
    <row r="572">
      <c r="A572" s="11" t="s">
        <v>596</v>
      </c>
      <c r="B572" s="39">
        <v>45621.541666666664</v>
      </c>
      <c r="C572" s="40">
        <v>45624.67291666667</v>
      </c>
      <c r="D572" s="27" t="s">
        <v>37</v>
      </c>
      <c r="E572" s="11" t="b">
        <v>0</v>
      </c>
      <c r="F572" s="11" t="s">
        <v>38</v>
      </c>
      <c r="G572" s="11" t="s">
        <v>313</v>
      </c>
      <c r="H572" s="11" t="s">
        <v>597</v>
      </c>
      <c r="I572" s="30">
        <v>5.0</v>
      </c>
      <c r="J572" s="31">
        <v>65.0</v>
      </c>
      <c r="K572" s="11">
        <v>1.0</v>
      </c>
      <c r="L572" s="32">
        <f t="shared" ref="L572:L573" si="165">(12600)/P572</f>
        <v>0.7924029935</v>
      </c>
      <c r="M572" s="32">
        <f>(1000/4 + 5200)/P572</f>
        <v>0.3427457393</v>
      </c>
      <c r="N572" s="32">
        <f>(98280)/P572</f>
        <v>6.180743349</v>
      </c>
      <c r="O572" s="32">
        <v>0.0</v>
      </c>
      <c r="P572" s="33">
        <v>15901.0</v>
      </c>
      <c r="Q572" s="34">
        <v>65.0</v>
      </c>
      <c r="R572" s="42">
        <v>51.5061945789573</v>
      </c>
      <c r="S572" s="36">
        <v>0.34274573926168167</v>
      </c>
      <c r="T572" s="36">
        <v>6.180743349474875</v>
      </c>
      <c r="U572" s="36"/>
      <c r="V572" s="36">
        <v>45.668196968744105</v>
      </c>
      <c r="W572" s="37">
        <v>0.7025876456729863</v>
      </c>
      <c r="X572" s="42">
        <v>819000.0</v>
      </c>
      <c r="Y572" s="36">
        <v>5450.0</v>
      </c>
      <c r="Z572" s="36">
        <v>98280.0</v>
      </c>
      <c r="AA572" s="36"/>
      <c r="AB572" s="36">
        <v>726170.0</v>
      </c>
      <c r="AC572" s="37">
        <v>11171.846153846154</v>
      </c>
      <c r="AD572" s="31"/>
      <c r="AE572" s="11"/>
      <c r="AF572" s="11"/>
    </row>
    <row r="573">
      <c r="A573" s="11" t="s">
        <v>596</v>
      </c>
      <c r="B573" s="39">
        <v>45621.493055555555</v>
      </c>
      <c r="C573" s="40">
        <v>45624.62152777778</v>
      </c>
      <c r="D573" s="27" t="s">
        <v>33</v>
      </c>
      <c r="E573" s="11" t="b">
        <v>0</v>
      </c>
      <c r="F573" s="11" t="s">
        <v>38</v>
      </c>
      <c r="G573" s="11" t="s">
        <v>313</v>
      </c>
      <c r="H573" s="11" t="s">
        <v>598</v>
      </c>
      <c r="I573" s="30">
        <v>5.0</v>
      </c>
      <c r="J573" s="31">
        <v>23.0</v>
      </c>
      <c r="K573" s="11">
        <v>1.0</v>
      </c>
      <c r="L573" s="32">
        <f t="shared" si="165"/>
        <v>0.7924029935</v>
      </c>
      <c r="M573" s="32">
        <f>(1000 + 1900)/P573</f>
        <v>0.1823784668</v>
      </c>
      <c r="N573" s="32">
        <f>(28980)/P573</f>
        <v>1.822526885</v>
      </c>
      <c r="O573" s="32">
        <v>0.0</v>
      </c>
      <c r="P573" s="33">
        <v>15901.0</v>
      </c>
      <c r="Q573" s="34">
        <v>23.0</v>
      </c>
      <c r="R573" s="42">
        <v>18.22526885101566</v>
      </c>
      <c r="S573" s="36">
        <v>0.18237846676309666</v>
      </c>
      <c r="T573" s="36">
        <v>1.822526885101566</v>
      </c>
      <c r="U573" s="36"/>
      <c r="V573" s="36">
        <v>16.58512043267719</v>
      </c>
      <c r="W573" s="37">
        <v>0.7210921927250952</v>
      </c>
      <c r="X573" s="42">
        <v>289800.0</v>
      </c>
      <c r="Y573" s="36">
        <v>2900.0</v>
      </c>
      <c r="Z573" s="36">
        <v>28980.0</v>
      </c>
      <c r="AA573" s="36"/>
      <c r="AB573" s="36">
        <v>263720.0</v>
      </c>
      <c r="AC573" s="37">
        <v>11466.08695652174</v>
      </c>
      <c r="AD573" s="31"/>
      <c r="AE573" s="11"/>
      <c r="AF573" s="11"/>
    </row>
    <row r="574">
      <c r="A574" s="11" t="s">
        <v>596</v>
      </c>
      <c r="B574" s="39">
        <v>45512.03680555556</v>
      </c>
      <c r="C574" s="40">
        <v>45514.67361111111</v>
      </c>
      <c r="D574" s="27" t="s">
        <v>37</v>
      </c>
      <c r="E574" s="11" t="b">
        <v>0</v>
      </c>
      <c r="F574" s="11" t="s">
        <v>49</v>
      </c>
      <c r="G574" s="11" t="s">
        <v>251</v>
      </c>
      <c r="H574" s="11" t="s">
        <v>322</v>
      </c>
      <c r="I574" s="30">
        <v>5.0</v>
      </c>
      <c r="J574" s="31">
        <v>10.0</v>
      </c>
      <c r="K574" s="11">
        <v>1.0</v>
      </c>
      <c r="L574" s="32">
        <f>(13400)/P574</f>
        <v>0.8382334543</v>
      </c>
      <c r="M574" s="32">
        <f>(500)/P574</f>
        <v>0.0312773677</v>
      </c>
      <c r="N574" s="32">
        <f>(X574*15%)/P574</f>
        <v>1.257350181</v>
      </c>
      <c r="O574" s="32">
        <v>0.0</v>
      </c>
      <c r="P574" s="33">
        <v>15986.0</v>
      </c>
      <c r="Q574" s="34">
        <v>10.0</v>
      </c>
      <c r="R574" s="42">
        <v>8.382334542724884</v>
      </c>
      <c r="S574" s="36">
        <v>0.03127736769673464</v>
      </c>
      <c r="T574" s="36">
        <v>1.2573501814087327</v>
      </c>
      <c r="U574" s="36"/>
      <c r="V574" s="36">
        <v>7.156261729012886</v>
      </c>
      <c r="W574" s="37">
        <v>0.7156261729012886</v>
      </c>
      <c r="X574" s="42">
        <v>134000.0</v>
      </c>
      <c r="Y574" s="36">
        <v>500.0</v>
      </c>
      <c r="Z574" s="36">
        <v>20100.0</v>
      </c>
      <c r="AA574" s="36"/>
      <c r="AB574" s="36">
        <v>114400.0</v>
      </c>
      <c r="AC574" s="37">
        <v>11440.0</v>
      </c>
      <c r="AD574" s="31"/>
      <c r="AE574" s="11"/>
      <c r="AF574" s="11"/>
    </row>
    <row r="575">
      <c r="A575" s="11" t="s">
        <v>596</v>
      </c>
      <c r="B575" s="39">
        <v>45485.614583333336</v>
      </c>
      <c r="C575" s="40">
        <v>45488.833333333336</v>
      </c>
      <c r="D575" s="27" t="s">
        <v>33</v>
      </c>
      <c r="E575" s="11" t="b">
        <v>0</v>
      </c>
      <c r="F575" s="11" t="s">
        <v>38</v>
      </c>
      <c r="G575" s="11" t="s">
        <v>496</v>
      </c>
      <c r="H575" s="11" t="s">
        <v>595</v>
      </c>
      <c r="I575" s="30">
        <v>5.0</v>
      </c>
      <c r="J575" s="31">
        <v>25.0</v>
      </c>
      <c r="K575" s="11">
        <v>1.0</v>
      </c>
      <c r="L575" s="32">
        <f>(12799)/P575</f>
        <v>0.7942782673</v>
      </c>
      <c r="M575" s="32">
        <v>0.0</v>
      </c>
      <c r="N575" s="32">
        <f>(31998)/P575</f>
        <v>1.985726697</v>
      </c>
      <c r="O575" s="32">
        <v>0.0</v>
      </c>
      <c r="P575" s="33">
        <v>16114.0</v>
      </c>
      <c r="Q575" s="34">
        <v>25.0</v>
      </c>
      <c r="R575" s="42">
        <v>19.856956683629143</v>
      </c>
      <c r="S575" s="36"/>
      <c r="T575" s="36">
        <v>1.9857266972818668</v>
      </c>
      <c r="U575" s="36"/>
      <c r="V575" s="36">
        <v>17.871229986347277</v>
      </c>
      <c r="W575" s="37">
        <v>0.7148491994538911</v>
      </c>
      <c r="X575" s="42">
        <v>319975.0</v>
      </c>
      <c r="Y575" s="36"/>
      <c r="Z575" s="36">
        <v>31998.0</v>
      </c>
      <c r="AA575" s="36"/>
      <c r="AB575" s="36">
        <v>287977.0</v>
      </c>
      <c r="AC575" s="37">
        <v>11519.08</v>
      </c>
      <c r="AD575" s="31"/>
      <c r="AE575" s="11"/>
      <c r="AF575" s="11"/>
    </row>
    <row r="576">
      <c r="A576" s="11" t="s">
        <v>596</v>
      </c>
      <c r="B576" s="39">
        <v>45429.83125</v>
      </c>
      <c r="C576" s="40">
        <v>45432.75</v>
      </c>
      <c r="D576" s="27" t="s">
        <v>33</v>
      </c>
      <c r="E576" s="11" t="b">
        <v>0</v>
      </c>
      <c r="F576" s="11" t="s">
        <v>38</v>
      </c>
      <c r="G576" s="11" t="s">
        <v>323</v>
      </c>
      <c r="H576" s="11" t="s">
        <v>325</v>
      </c>
      <c r="I576" s="30">
        <v>5.0</v>
      </c>
      <c r="J576" s="31">
        <v>14.0</v>
      </c>
      <c r="K576" s="11">
        <v>1.0</v>
      </c>
      <c r="L576" s="32">
        <f>(12500)/P576</f>
        <v>0.7823746636</v>
      </c>
      <c r="M576" s="32">
        <f>(115 + 3963 + 1080)/P576</f>
        <v>0.3228390812</v>
      </c>
      <c r="N576" s="32">
        <f>(14000)/P576</f>
        <v>0.8762596232</v>
      </c>
      <c r="O576" s="32">
        <f>(3446)/P576</f>
        <v>0.2156850473</v>
      </c>
      <c r="P576" s="33">
        <v>15977.0</v>
      </c>
      <c r="Q576" s="34">
        <v>14.0</v>
      </c>
      <c r="R576" s="42">
        <v>10.953245290104524</v>
      </c>
      <c r="S576" s="36">
        <v>0.3228390811791951</v>
      </c>
      <c r="T576" s="36">
        <v>0.876259623208362</v>
      </c>
      <c r="U576" s="36">
        <v>0.21568504725542967</v>
      </c>
      <c r="V576" s="36">
        <v>10.184139700819927</v>
      </c>
      <c r="W576" s="37">
        <v>0.7274385500585662</v>
      </c>
      <c r="X576" s="42">
        <v>174999.99999999997</v>
      </c>
      <c r="Y576" s="36">
        <v>5158.0</v>
      </c>
      <c r="Z576" s="36">
        <v>14000.0</v>
      </c>
      <c r="AA576" s="36">
        <v>3446.0</v>
      </c>
      <c r="AB576" s="36">
        <v>162711.99999999997</v>
      </c>
      <c r="AC576" s="37">
        <v>11622.285714285712</v>
      </c>
      <c r="AD576" s="31"/>
      <c r="AE576" s="11"/>
      <c r="AF576" s="11"/>
    </row>
    <row r="577">
      <c r="A577" s="11" t="s">
        <v>599</v>
      </c>
      <c r="B577" s="77">
        <v>46002.6875</v>
      </c>
      <c r="C577" s="40">
        <v>46005.80416666667</v>
      </c>
      <c r="D577" s="27" t="s">
        <v>33</v>
      </c>
      <c r="E577" s="11" t="b">
        <v>0</v>
      </c>
      <c r="F577" s="11" t="s">
        <v>49</v>
      </c>
      <c r="G577" s="11" t="s">
        <v>212</v>
      </c>
      <c r="H577" s="11" t="s">
        <v>600</v>
      </c>
      <c r="I577" s="30">
        <v>5.0</v>
      </c>
      <c r="J577" s="31">
        <v>428.0</v>
      </c>
      <c r="K577" s="11">
        <v>1.0</v>
      </c>
      <c r="L577" s="32">
        <f>(350)/P577</f>
        <v>350</v>
      </c>
      <c r="M577" s="32">
        <f>(2200)/P577</f>
        <v>2200</v>
      </c>
      <c r="N577" s="32">
        <f>(X577*20%)/P577</f>
        <v>29960</v>
      </c>
      <c r="O577" s="32">
        <v>0.0</v>
      </c>
      <c r="P577" s="33">
        <v>1.0</v>
      </c>
      <c r="Q577" s="34">
        <v>428.0</v>
      </c>
      <c r="R577" s="42">
        <v>149800.0</v>
      </c>
      <c r="S577" s="36">
        <v>2200.0</v>
      </c>
      <c r="T577" s="36">
        <v>29960.0</v>
      </c>
      <c r="U577" s="36"/>
      <c r="V577" s="36">
        <v>122040.0</v>
      </c>
      <c r="W577" s="37">
        <v>285.14018691588785</v>
      </c>
      <c r="X577" s="42">
        <v>149800.0</v>
      </c>
      <c r="Y577" s="36">
        <v>2200.0</v>
      </c>
      <c r="Z577" s="36">
        <v>29960.0</v>
      </c>
      <c r="AA577" s="36"/>
      <c r="AB577" s="36">
        <v>122040.0</v>
      </c>
      <c r="AC577" s="37">
        <v>285.14018691588785</v>
      </c>
      <c r="AD577" s="31"/>
      <c r="AE577" s="11"/>
      <c r="AF577" s="11"/>
    </row>
    <row r="578">
      <c r="A578" s="11" t="s">
        <v>599</v>
      </c>
      <c r="B578" s="39">
        <v>45705.48402777778</v>
      </c>
      <c r="C578" s="40">
        <v>45708.67638888889</v>
      </c>
      <c r="D578" s="27" t="s">
        <v>37</v>
      </c>
      <c r="E578" s="11" t="b">
        <v>0</v>
      </c>
      <c r="F578" s="11" t="s">
        <v>49</v>
      </c>
      <c r="G578" s="11" t="s">
        <v>601</v>
      </c>
      <c r="H578" s="11" t="s">
        <v>602</v>
      </c>
      <c r="I578" s="30">
        <v>5.0</v>
      </c>
      <c r="J578" s="31">
        <v>47.0</v>
      </c>
      <c r="K578" s="11">
        <v>1.0</v>
      </c>
      <c r="L578" s="32">
        <f>(300)/P578</f>
        <v>0.01848770568</v>
      </c>
      <c r="M578" s="32">
        <f>(3)/P578</f>
        <v>0.0001848770568</v>
      </c>
      <c r="N578" s="32">
        <f>(1128)/P578</f>
        <v>0.06951377334</v>
      </c>
      <c r="O578" s="32">
        <v>0.0</v>
      </c>
      <c r="P578" s="33">
        <v>16227.0</v>
      </c>
      <c r="Q578" s="34">
        <v>47.0</v>
      </c>
      <c r="R578" s="42">
        <v>0.8689221667591052</v>
      </c>
      <c r="S578" s="36">
        <v>1.8487705675725643E-4</v>
      </c>
      <c r="T578" s="36">
        <v>0.06951377334072842</v>
      </c>
      <c r="U578" s="36"/>
      <c r="V578" s="36">
        <v>0.7995932704751341</v>
      </c>
      <c r="W578" s="37">
        <v>0.01701262277606668</v>
      </c>
      <c r="X578" s="42">
        <v>14100.0</v>
      </c>
      <c r="Y578" s="36">
        <v>3.0</v>
      </c>
      <c r="Z578" s="36">
        <v>1128.0</v>
      </c>
      <c r="AA578" s="36"/>
      <c r="AB578" s="36">
        <v>12975.0</v>
      </c>
      <c r="AC578" s="37">
        <v>276.06382978723406</v>
      </c>
      <c r="AD578" s="31"/>
      <c r="AE578" s="11"/>
      <c r="AF578" s="11"/>
    </row>
    <row r="579">
      <c r="A579" s="11" t="s">
        <v>599</v>
      </c>
      <c r="B579" s="39">
        <v>45449.35</v>
      </c>
      <c r="C579" s="40">
        <v>45455.71666666667</v>
      </c>
      <c r="D579" s="27" t="s">
        <v>33</v>
      </c>
      <c r="E579" s="11" t="b">
        <v>0</v>
      </c>
      <c r="F579" s="11" t="s">
        <v>38</v>
      </c>
      <c r="G579" s="11" t="s">
        <v>212</v>
      </c>
      <c r="H579" s="11" t="s">
        <v>603</v>
      </c>
      <c r="I579" s="30">
        <v>5.0</v>
      </c>
      <c r="J579" s="31">
        <v>700.0</v>
      </c>
      <c r="K579" s="11">
        <v>1.0</v>
      </c>
      <c r="L579" s="32">
        <f>(340)/P579</f>
        <v>0.02092694036</v>
      </c>
      <c r="M579" s="32">
        <f>239/P579</f>
        <v>0.01471040808</v>
      </c>
      <c r="N579" s="32">
        <f>(23800)/P579</f>
        <v>1.464885825</v>
      </c>
      <c r="O579" s="32">
        <v>0.0</v>
      </c>
      <c r="P579" s="33">
        <v>16247.0</v>
      </c>
      <c r="Q579" s="34">
        <v>700.0</v>
      </c>
      <c r="R579" s="42">
        <v>14.648858250753985</v>
      </c>
      <c r="S579" s="36">
        <v>0.014710408075336986</v>
      </c>
      <c r="T579" s="36">
        <v>1.4648858250753984</v>
      </c>
      <c r="U579" s="36"/>
      <c r="V579" s="36">
        <v>13.198682833753923</v>
      </c>
      <c r="W579" s="37">
        <v>0.01885526119107703</v>
      </c>
      <c r="X579" s="42">
        <v>238000.0</v>
      </c>
      <c r="Y579" s="36">
        <v>239.0</v>
      </c>
      <c r="Z579" s="36">
        <v>23800.0</v>
      </c>
      <c r="AA579" s="36"/>
      <c r="AB579" s="36">
        <v>214438.99999999997</v>
      </c>
      <c r="AC579" s="37">
        <v>306.34142857142854</v>
      </c>
      <c r="AD579" s="31"/>
      <c r="AE579" s="11"/>
      <c r="AF579" s="11"/>
    </row>
    <row r="580">
      <c r="A580" s="11" t="s">
        <v>599</v>
      </c>
      <c r="B580" s="39">
        <v>45421.770833333336</v>
      </c>
      <c r="C580" s="40">
        <v>45425.48080503472</v>
      </c>
      <c r="D580" s="27" t="s">
        <v>37</v>
      </c>
      <c r="E580" s="11" t="b">
        <v>0</v>
      </c>
      <c r="F580" s="11" t="s">
        <v>38</v>
      </c>
      <c r="G580" s="11" t="s">
        <v>39</v>
      </c>
      <c r="H580" s="11" t="s">
        <v>604</v>
      </c>
      <c r="I580" s="30">
        <v>5.0</v>
      </c>
      <c r="J580" s="31">
        <v>150.0</v>
      </c>
      <c r="K580" s="11">
        <v>1.0</v>
      </c>
      <c r="L580" s="32">
        <f>(359)/P580</f>
        <v>0.02233420431</v>
      </c>
      <c r="M580" s="32">
        <f>(54 + 500)/P580</f>
        <v>0.03446559662</v>
      </c>
      <c r="N580" s="32">
        <f>(5385)/P580</f>
        <v>0.3350130646</v>
      </c>
      <c r="O580" s="32">
        <v>0.0</v>
      </c>
      <c r="P580" s="33">
        <v>16074.0</v>
      </c>
      <c r="Q580" s="34">
        <v>150.0</v>
      </c>
      <c r="R580" s="42">
        <v>3.3501306457633446</v>
      </c>
      <c r="S580" s="36">
        <v>0.034465596615652606</v>
      </c>
      <c r="T580" s="36">
        <v>0.33501306457633445</v>
      </c>
      <c r="U580" s="36"/>
      <c r="V580" s="36">
        <v>3.0495831778026625</v>
      </c>
      <c r="W580" s="37">
        <v>0.020330554518684416</v>
      </c>
      <c r="X580" s="42">
        <v>53850.0</v>
      </c>
      <c r="Y580" s="36">
        <v>554.0</v>
      </c>
      <c r="Z580" s="36">
        <v>5385.0</v>
      </c>
      <c r="AA580" s="36"/>
      <c r="AB580" s="36">
        <v>49019.0</v>
      </c>
      <c r="AC580" s="37">
        <v>326.79333333333335</v>
      </c>
      <c r="AD580" s="31"/>
      <c r="AE580" s="11"/>
      <c r="AF580" s="11"/>
    </row>
    <row r="581">
      <c r="A581" s="11" t="s">
        <v>599</v>
      </c>
      <c r="B581" s="39">
        <v>45316.17986111111</v>
      </c>
      <c r="C581" s="40">
        <v>45685.532638888886</v>
      </c>
      <c r="D581" s="27" t="s">
        <v>33</v>
      </c>
      <c r="E581" s="11" t="b">
        <v>0</v>
      </c>
      <c r="F581" s="11" t="s">
        <v>49</v>
      </c>
      <c r="G581" s="11" t="s">
        <v>212</v>
      </c>
      <c r="H581" s="11" t="s">
        <v>605</v>
      </c>
      <c r="I581" s="30">
        <v>5.0</v>
      </c>
      <c r="J581" s="31">
        <v>286.0</v>
      </c>
      <c r="K581" s="11">
        <v>1.0</v>
      </c>
      <c r="L581" s="32">
        <f>(350)/P581</f>
        <v>0.0214987715</v>
      </c>
      <c r="M581" s="32">
        <f>(1000)/P581</f>
        <v>0.06142506143</v>
      </c>
      <c r="N581" s="32">
        <f>(10000)/P581</f>
        <v>0.6142506143</v>
      </c>
      <c r="O581" s="32">
        <v>0.0</v>
      </c>
      <c r="P581" s="33">
        <v>16280.0</v>
      </c>
      <c r="Q581" s="34">
        <v>286.0</v>
      </c>
      <c r="R581" s="42">
        <v>6.148648648648649</v>
      </c>
      <c r="S581" s="36">
        <v>0.06142506142506143</v>
      </c>
      <c r="T581" s="36">
        <v>0.6142506142506142</v>
      </c>
      <c r="U581" s="36"/>
      <c r="V581" s="36">
        <v>5.595823095823096</v>
      </c>
      <c r="W581" s="37">
        <v>0.019565815020360477</v>
      </c>
      <c r="X581" s="42">
        <v>100100.00000000001</v>
      </c>
      <c r="Y581" s="36">
        <v>1000.0</v>
      </c>
      <c r="Z581" s="36">
        <v>10000.0</v>
      </c>
      <c r="AA581" s="36"/>
      <c r="AB581" s="36">
        <v>91100.00000000001</v>
      </c>
      <c r="AC581" s="37">
        <v>318.5314685314686</v>
      </c>
      <c r="AD581" s="31"/>
      <c r="AE581" s="11"/>
      <c r="AF581" s="11"/>
    </row>
    <row r="582">
      <c r="A582" s="11" t="s">
        <v>606</v>
      </c>
      <c r="B582" s="39">
        <v>45361.60343336806</v>
      </c>
      <c r="C582" s="40">
        <v>45365.48385350694</v>
      </c>
      <c r="D582" s="27" t="s">
        <v>37</v>
      </c>
      <c r="E582" s="11" t="b">
        <v>0</v>
      </c>
      <c r="F582" s="11" t="s">
        <v>200</v>
      </c>
      <c r="G582" s="11" t="s">
        <v>200</v>
      </c>
      <c r="H582" s="11" t="s">
        <v>200</v>
      </c>
      <c r="I582" s="30">
        <v>5.0</v>
      </c>
      <c r="J582" s="31">
        <v>10.0</v>
      </c>
      <c r="K582" s="11">
        <v>1.0</v>
      </c>
      <c r="L582" s="32">
        <f>(36500)/P582</f>
        <v>2.348626215</v>
      </c>
      <c r="M582" s="32">
        <v>0.0</v>
      </c>
      <c r="N582" s="32">
        <v>0.0</v>
      </c>
      <c r="O582" s="32">
        <v>0.0</v>
      </c>
      <c r="P582" s="33">
        <v>15541.0</v>
      </c>
      <c r="Q582" s="34">
        <v>10.0</v>
      </c>
      <c r="R582" s="42">
        <v>23.486262145293097</v>
      </c>
      <c r="S582" s="36"/>
      <c r="T582" s="36"/>
      <c r="U582" s="36"/>
      <c r="V582" s="36">
        <v>23.486262145293097</v>
      </c>
      <c r="W582" s="37">
        <v>2.3486262145293098</v>
      </c>
      <c r="X582" s="42">
        <v>365000.0</v>
      </c>
      <c r="Y582" s="36"/>
      <c r="Z582" s="36"/>
      <c r="AA582" s="36"/>
      <c r="AB582" s="36">
        <v>365000.0</v>
      </c>
      <c r="AC582" s="37">
        <v>36500.0</v>
      </c>
      <c r="AD582" s="31"/>
      <c r="AE582" s="11"/>
      <c r="AF582" s="11"/>
    </row>
    <row r="583">
      <c r="A583" s="11" t="s">
        <v>607</v>
      </c>
      <c r="B583" s="39">
        <v>45772.00347222222</v>
      </c>
      <c r="C583" s="40">
        <v>45410.558333333334</v>
      </c>
      <c r="D583" s="27" t="s">
        <v>37</v>
      </c>
      <c r="E583" s="11" t="b">
        <v>0</v>
      </c>
      <c r="F583" s="11" t="s">
        <v>49</v>
      </c>
      <c r="G583" s="11" t="s">
        <v>246</v>
      </c>
      <c r="H583" s="11" t="s">
        <v>608</v>
      </c>
      <c r="I583" s="30">
        <v>5.0</v>
      </c>
      <c r="J583" s="31">
        <v>1.0</v>
      </c>
      <c r="K583" s="11">
        <v>50.0</v>
      </c>
      <c r="L583" s="32">
        <f t="shared" ref="L583:L584" si="166">(2033500)/P583</f>
        <v>121.1209721</v>
      </c>
      <c r="M583" s="32">
        <f>(489)/P583</f>
        <v>0.02912621359</v>
      </c>
      <c r="N583" s="32">
        <f>(X583*12%)/P583</f>
        <v>14.53451665</v>
      </c>
      <c r="O583" s="32">
        <v>0.0</v>
      </c>
      <c r="P583" s="33">
        <v>16789.0</v>
      </c>
      <c r="Q583" s="34">
        <v>50.0</v>
      </c>
      <c r="R583" s="42">
        <v>121.1209720650426</v>
      </c>
      <c r="S583" s="36">
        <v>0.02912621359223301</v>
      </c>
      <c r="T583" s="36">
        <v>14.53451664780511</v>
      </c>
      <c r="U583" s="36"/>
      <c r="V583" s="36">
        <v>106.61558163082972</v>
      </c>
      <c r="W583" s="37">
        <v>2.1323116326165943</v>
      </c>
      <c r="X583" s="42">
        <v>2033500.0</v>
      </c>
      <c r="Y583" s="36">
        <v>489.0</v>
      </c>
      <c r="Z583" s="36">
        <v>244020.0</v>
      </c>
      <c r="AA583" s="36"/>
      <c r="AB583" s="36">
        <v>1789969.0000000002</v>
      </c>
      <c r="AC583" s="37">
        <v>35799.380000000005</v>
      </c>
      <c r="AD583" s="31"/>
      <c r="AE583" s="11"/>
      <c r="AF583" s="11"/>
    </row>
    <row r="584">
      <c r="A584" s="11" t="s">
        <v>607</v>
      </c>
      <c r="B584" s="39">
        <v>45645.833333333336</v>
      </c>
      <c r="C584" s="40">
        <v>45647.69236111111</v>
      </c>
      <c r="D584" s="27" t="s">
        <v>33</v>
      </c>
      <c r="E584" s="11" t="b">
        <v>0</v>
      </c>
      <c r="F584" s="11" t="s">
        <v>49</v>
      </c>
      <c r="G584" s="11" t="s">
        <v>246</v>
      </c>
      <c r="H584" s="11" t="s">
        <v>305</v>
      </c>
      <c r="I584" s="30">
        <v>5.0</v>
      </c>
      <c r="J584" s="31">
        <v>1.0</v>
      </c>
      <c r="K584" s="11">
        <v>50.0</v>
      </c>
      <c r="L584" s="32">
        <f t="shared" si="166"/>
        <v>124.7775664</v>
      </c>
      <c r="M584" s="32">
        <f>(15000 + 2024)/2/P584</f>
        <v>0.5223047187</v>
      </c>
      <c r="N584" s="32">
        <f>X584*15%/P584</f>
        <v>18.71663496</v>
      </c>
      <c r="O584" s="32">
        <v>0.0</v>
      </c>
      <c r="P584" s="33">
        <v>16297.0</v>
      </c>
      <c r="Q584" s="34">
        <v>50.0</v>
      </c>
      <c r="R584" s="42">
        <v>124.77756642326808</v>
      </c>
      <c r="S584" s="36">
        <v>0.522304718659876</v>
      </c>
      <c r="T584" s="36">
        <v>18.71663496349021</v>
      </c>
      <c r="U584" s="36"/>
      <c r="V584" s="36">
        <v>106.58323617843776</v>
      </c>
      <c r="W584" s="37">
        <v>2.1316647235687554</v>
      </c>
      <c r="X584" s="42">
        <v>2033500.0</v>
      </c>
      <c r="Y584" s="36">
        <v>8512.0</v>
      </c>
      <c r="Z584" s="36">
        <v>305025.0</v>
      </c>
      <c r="AA584" s="36"/>
      <c r="AB584" s="36">
        <v>1736987.0000000002</v>
      </c>
      <c r="AC584" s="37">
        <v>34739.740000000005</v>
      </c>
      <c r="AD584" s="31"/>
      <c r="AE584" s="11"/>
      <c r="AF584" s="11"/>
    </row>
    <row r="585">
      <c r="A585" s="11" t="s">
        <v>607</v>
      </c>
      <c r="B585" s="39">
        <v>45411.425</v>
      </c>
      <c r="C585" s="40">
        <v>45412.678106631945</v>
      </c>
      <c r="D585" s="27" t="s">
        <v>33</v>
      </c>
      <c r="E585" s="11" t="b">
        <v>0</v>
      </c>
      <c r="F585" s="11" t="s">
        <v>49</v>
      </c>
      <c r="G585" s="11" t="s">
        <v>609</v>
      </c>
      <c r="H585" s="11" t="s">
        <v>609</v>
      </c>
      <c r="I585" s="30">
        <v>5.0</v>
      </c>
      <c r="J585" s="31">
        <v>61.0</v>
      </c>
      <c r="K585" s="11">
        <v>1.0</v>
      </c>
      <c r="L585" s="32">
        <f>(2494900/61)/P585</f>
        <v>2.518627994</v>
      </c>
      <c r="M585" s="32">
        <f>(1000)/P585</f>
        <v>0.06158014656</v>
      </c>
      <c r="N585" s="32">
        <f>(99796)/P585</f>
        <v>6.145452306</v>
      </c>
      <c r="O585" s="32">
        <v>0.0</v>
      </c>
      <c r="P585" s="33">
        <v>16239.0</v>
      </c>
      <c r="Q585" s="34">
        <v>61.0</v>
      </c>
      <c r="R585" s="42">
        <v>153.63630765441224</v>
      </c>
      <c r="S585" s="36">
        <v>0.06158014656074882</v>
      </c>
      <c r="T585" s="36">
        <v>6.145452306176488</v>
      </c>
      <c r="U585" s="36"/>
      <c r="V585" s="36">
        <v>147.5524354947965</v>
      </c>
      <c r="W585" s="37">
        <v>2.418892385160598</v>
      </c>
      <c r="X585" s="42">
        <v>2494900.0000000005</v>
      </c>
      <c r="Y585" s="36">
        <v>1000.0</v>
      </c>
      <c r="Z585" s="36">
        <v>99796.0</v>
      </c>
      <c r="AA585" s="36"/>
      <c r="AB585" s="36">
        <v>2396104.0000000005</v>
      </c>
      <c r="AC585" s="37">
        <v>39280.39344262296</v>
      </c>
      <c r="AD585" s="31"/>
      <c r="AE585" s="11"/>
      <c r="AF585" s="11"/>
    </row>
    <row r="586">
      <c r="A586" s="11" t="s">
        <v>607</v>
      </c>
      <c r="B586" s="39">
        <v>45407.39861111111</v>
      </c>
      <c r="C586" s="40">
        <v>45408.638194444444</v>
      </c>
      <c r="D586" s="27" t="s">
        <v>33</v>
      </c>
      <c r="E586" s="11" t="b">
        <v>0</v>
      </c>
      <c r="F586" s="11" t="s">
        <v>38</v>
      </c>
      <c r="G586" s="11" t="s">
        <v>221</v>
      </c>
      <c r="H586" s="11" t="s">
        <v>221</v>
      </c>
      <c r="I586" s="30">
        <v>5.0</v>
      </c>
      <c r="J586" s="31">
        <v>1.0</v>
      </c>
      <c r="K586" s="11">
        <v>1.0</v>
      </c>
      <c r="L586" s="32">
        <f>(39900)/P586</f>
        <v>2.461747285</v>
      </c>
      <c r="M586" s="32">
        <f>(1000)/2/P586</f>
        <v>0.03084896347</v>
      </c>
      <c r="N586" s="32">
        <f>(2874/2)/P586</f>
        <v>0.08865992103</v>
      </c>
      <c r="O586" s="32">
        <v>0.0</v>
      </c>
      <c r="P586" s="33">
        <v>16208.0</v>
      </c>
      <c r="Q586" s="34">
        <v>1.0</v>
      </c>
      <c r="R586" s="42">
        <v>2.461747285291214</v>
      </c>
      <c r="S586" s="36">
        <v>0.030848963474827247</v>
      </c>
      <c r="T586" s="36">
        <v>0.0886599210266535</v>
      </c>
      <c r="U586" s="36"/>
      <c r="V586" s="36">
        <v>2.403936327739388</v>
      </c>
      <c r="W586" s="37">
        <v>2.403936327739388</v>
      </c>
      <c r="X586" s="42">
        <v>39900.0</v>
      </c>
      <c r="Y586" s="36">
        <v>500.0</v>
      </c>
      <c r="Z586" s="36">
        <v>1437.0</v>
      </c>
      <c r="AA586" s="36"/>
      <c r="AB586" s="36">
        <v>38963.0</v>
      </c>
      <c r="AC586" s="37">
        <v>38963.0</v>
      </c>
      <c r="AD586" s="31"/>
      <c r="AE586" s="11"/>
      <c r="AF586" s="11"/>
    </row>
    <row r="587">
      <c r="A587" s="11" t="s">
        <v>607</v>
      </c>
      <c r="B587" s="39">
        <v>45399.58194444444</v>
      </c>
      <c r="C587" s="40">
        <v>45401.666666666664</v>
      </c>
      <c r="D587" s="27" t="s">
        <v>37</v>
      </c>
      <c r="E587" s="11" t="b">
        <v>0</v>
      </c>
      <c r="F587" s="11" t="s">
        <v>49</v>
      </c>
      <c r="G587" s="11" t="s">
        <v>610</v>
      </c>
      <c r="H587" s="11" t="s">
        <v>610</v>
      </c>
      <c r="I587" s="30">
        <v>5.0</v>
      </c>
      <c r="J587" s="31">
        <v>1.0</v>
      </c>
      <c r="K587" s="11">
        <v>1.0</v>
      </c>
      <c r="L587" s="32">
        <f t="shared" ref="L587:L590" si="167">(40000)/P587</f>
        <v>2.463054187</v>
      </c>
      <c r="M587" s="32">
        <f t="shared" ref="M587:M590" si="168">(1000)/P587</f>
        <v>0.06157635468</v>
      </c>
      <c r="N587" s="32">
        <f t="shared" ref="N587:N589" si="169">(10000)/P587</f>
        <v>0.6157635468</v>
      </c>
      <c r="O587" s="32">
        <v>0.0</v>
      </c>
      <c r="P587" s="33">
        <v>16240.0</v>
      </c>
      <c r="Q587" s="34">
        <v>1.0</v>
      </c>
      <c r="R587" s="42">
        <v>2.4630541871921183</v>
      </c>
      <c r="S587" s="36">
        <v>0.06157635467980296</v>
      </c>
      <c r="T587" s="36">
        <v>0.6157635467980296</v>
      </c>
      <c r="U587" s="36"/>
      <c r="V587" s="36">
        <v>1.9088669950738917</v>
      </c>
      <c r="W587" s="37">
        <v>1.9088669950738917</v>
      </c>
      <c r="X587" s="42">
        <v>40000.0</v>
      </c>
      <c r="Y587" s="36">
        <v>1000.0</v>
      </c>
      <c r="Z587" s="36">
        <v>10000.0</v>
      </c>
      <c r="AA587" s="36"/>
      <c r="AB587" s="36">
        <v>31000.0</v>
      </c>
      <c r="AC587" s="37">
        <v>31000.0</v>
      </c>
      <c r="AD587" s="31"/>
      <c r="AE587" s="11"/>
      <c r="AF587" s="11"/>
    </row>
    <row r="588">
      <c r="A588" s="11" t="s">
        <v>607</v>
      </c>
      <c r="B588" s="39">
        <v>45390.561111111114</v>
      </c>
      <c r="C588" s="40">
        <v>45393.509722222225</v>
      </c>
      <c r="D588" s="27" t="s">
        <v>37</v>
      </c>
      <c r="E588" s="11" t="b">
        <v>0</v>
      </c>
      <c r="F588" s="11" t="s">
        <v>49</v>
      </c>
      <c r="G588" s="11" t="s">
        <v>611</v>
      </c>
      <c r="H588" s="11" t="s">
        <v>611</v>
      </c>
      <c r="I588" s="30">
        <v>5.0</v>
      </c>
      <c r="J588" s="31">
        <v>1.0</v>
      </c>
      <c r="K588" s="11">
        <v>1.0</v>
      </c>
      <c r="L588" s="32">
        <f t="shared" si="167"/>
        <v>2.517623364</v>
      </c>
      <c r="M588" s="32">
        <f t="shared" si="168"/>
        <v>0.06294058409</v>
      </c>
      <c r="N588" s="32">
        <f t="shared" si="169"/>
        <v>0.6294058409</v>
      </c>
      <c r="O588" s="32">
        <v>0.0</v>
      </c>
      <c r="P588" s="33">
        <v>15888.0</v>
      </c>
      <c r="Q588" s="34">
        <v>1.0</v>
      </c>
      <c r="R588" s="42">
        <v>2.5176233635448138</v>
      </c>
      <c r="S588" s="36">
        <v>0.06294058408862034</v>
      </c>
      <c r="T588" s="36">
        <v>0.6294058408862034</v>
      </c>
      <c r="U588" s="36"/>
      <c r="V588" s="36">
        <v>1.9511581067472306</v>
      </c>
      <c r="W588" s="37">
        <v>1.9511581067472306</v>
      </c>
      <c r="X588" s="42">
        <v>40000.0</v>
      </c>
      <c r="Y588" s="36">
        <v>1000.0</v>
      </c>
      <c r="Z588" s="36">
        <v>10000.0</v>
      </c>
      <c r="AA588" s="36"/>
      <c r="AB588" s="36">
        <v>31000.0</v>
      </c>
      <c r="AC588" s="37">
        <v>31000.0</v>
      </c>
      <c r="AD588" s="31"/>
      <c r="AE588" s="11"/>
      <c r="AF588" s="11"/>
    </row>
    <row r="589">
      <c r="A589" s="11" t="s">
        <v>607</v>
      </c>
      <c r="B589" s="39">
        <v>45389.225</v>
      </c>
      <c r="C589" s="40">
        <v>45401.62449043982</v>
      </c>
      <c r="D589" s="27" t="s">
        <v>37</v>
      </c>
      <c r="E589" s="11" t="b">
        <v>0</v>
      </c>
      <c r="F589" s="11" t="s">
        <v>49</v>
      </c>
      <c r="G589" s="11" t="s">
        <v>612</v>
      </c>
      <c r="H589" s="11" t="s">
        <v>612</v>
      </c>
      <c r="I589" s="30">
        <v>5.0</v>
      </c>
      <c r="J589" s="31">
        <v>2.0</v>
      </c>
      <c r="K589" s="11">
        <v>1.0</v>
      </c>
      <c r="L589" s="32">
        <f t="shared" si="167"/>
        <v>2.517623364</v>
      </c>
      <c r="M589" s="32">
        <f t="shared" si="168"/>
        <v>0.06294058409</v>
      </c>
      <c r="N589" s="32">
        <f t="shared" si="169"/>
        <v>0.6294058409</v>
      </c>
      <c r="O589" s="32">
        <v>0.0</v>
      </c>
      <c r="P589" s="33">
        <v>15888.0</v>
      </c>
      <c r="Q589" s="34">
        <v>2.0</v>
      </c>
      <c r="R589" s="42">
        <v>5.0352467270896275</v>
      </c>
      <c r="S589" s="36">
        <v>0.06294058408862034</v>
      </c>
      <c r="T589" s="36">
        <v>0.6294058408862034</v>
      </c>
      <c r="U589" s="36"/>
      <c r="V589" s="36">
        <v>4.468781470292044</v>
      </c>
      <c r="W589" s="37">
        <v>2.234390735146022</v>
      </c>
      <c r="X589" s="42">
        <v>80000.0</v>
      </c>
      <c r="Y589" s="36">
        <v>1000.0</v>
      </c>
      <c r="Z589" s="36">
        <v>10000.0</v>
      </c>
      <c r="AA589" s="36"/>
      <c r="AB589" s="36">
        <v>71000.0</v>
      </c>
      <c r="AC589" s="37">
        <v>35500.0</v>
      </c>
      <c r="AD589" s="31"/>
      <c r="AE589" s="11"/>
      <c r="AF589" s="11"/>
    </row>
    <row r="590">
      <c r="A590" s="11" t="s">
        <v>607</v>
      </c>
      <c r="B590" s="39">
        <v>45389.211805555555</v>
      </c>
      <c r="C590" s="40">
        <v>45393.509722222225</v>
      </c>
      <c r="D590" s="27" t="s">
        <v>37</v>
      </c>
      <c r="E590" s="11" t="b">
        <v>0</v>
      </c>
      <c r="F590" s="11" t="s">
        <v>49</v>
      </c>
      <c r="G590" s="11" t="s">
        <v>613</v>
      </c>
      <c r="H590" s="11" t="s">
        <v>613</v>
      </c>
      <c r="I590" s="30">
        <v>5.0</v>
      </c>
      <c r="J590" s="31">
        <v>13.0</v>
      </c>
      <c r="K590" s="11">
        <v>1.0</v>
      </c>
      <c r="L590" s="32">
        <f t="shared" si="167"/>
        <v>2.517623364</v>
      </c>
      <c r="M590" s="32">
        <f t="shared" si="168"/>
        <v>0.06294058409</v>
      </c>
      <c r="N590" s="32">
        <f>(20800)/P590</f>
        <v>1.309164149</v>
      </c>
      <c r="O590" s="32">
        <v>0.0</v>
      </c>
      <c r="P590" s="33">
        <v>15888.0</v>
      </c>
      <c r="Q590" s="34">
        <v>13.0</v>
      </c>
      <c r="R590" s="42">
        <v>32.72910372608258</v>
      </c>
      <c r="S590" s="36">
        <v>0.06294058408862034</v>
      </c>
      <c r="T590" s="36">
        <v>1.309164149043303</v>
      </c>
      <c r="U590" s="36"/>
      <c r="V590" s="36">
        <v>31.482880161127895</v>
      </c>
      <c r="W590" s="37">
        <v>2.4217600123944534</v>
      </c>
      <c r="X590" s="42">
        <v>520000.0</v>
      </c>
      <c r="Y590" s="36">
        <v>1000.0</v>
      </c>
      <c r="Z590" s="36">
        <v>20800.0</v>
      </c>
      <c r="AA590" s="36"/>
      <c r="AB590" s="36">
        <v>500200.0</v>
      </c>
      <c r="AC590" s="37">
        <v>38476.92307692308</v>
      </c>
      <c r="AD590" s="31"/>
      <c r="AE590" s="11"/>
      <c r="AF590" s="11"/>
    </row>
    <row r="591">
      <c r="A591" s="11" t="s">
        <v>607</v>
      </c>
      <c r="B591" s="39">
        <v>45362.48055555556</v>
      </c>
      <c r="C591" s="40">
        <v>45365.42222222222</v>
      </c>
      <c r="D591" s="27" t="s">
        <v>33</v>
      </c>
      <c r="E591" s="11" t="b">
        <v>0</v>
      </c>
      <c r="F591" s="11" t="s">
        <v>49</v>
      </c>
      <c r="G591" s="11" t="s">
        <v>89</v>
      </c>
      <c r="H591" s="11" t="s">
        <v>89</v>
      </c>
      <c r="I591" s="30">
        <v>5.0</v>
      </c>
      <c r="J591" s="31">
        <v>2.0</v>
      </c>
      <c r="K591" s="11">
        <v>1.0</v>
      </c>
      <c r="L591" s="32">
        <f>(39500)/P591</f>
        <v>2.532051282</v>
      </c>
      <c r="M591" s="32">
        <f>(1000 * (79000/(79000+1200))/P591)</f>
        <v>0.06314342349</v>
      </c>
      <c r="N591" s="32">
        <f>(10000 * (79000/(79000+1200))/P591)</f>
        <v>0.6314342349</v>
      </c>
      <c r="O591" s="32">
        <v>0.0</v>
      </c>
      <c r="P591" s="33">
        <v>15600.0</v>
      </c>
      <c r="Q591" s="34">
        <v>2.0</v>
      </c>
      <c r="R591" s="42">
        <v>5.064102564102564</v>
      </c>
      <c r="S591" s="36">
        <v>0.06314342349255068</v>
      </c>
      <c r="T591" s="36">
        <v>0.6314342349255068</v>
      </c>
      <c r="U591" s="36"/>
      <c r="V591" s="36">
        <v>4.495811752669607</v>
      </c>
      <c r="W591" s="37">
        <v>2.2479058763348037</v>
      </c>
      <c r="X591" s="42">
        <v>79000.0</v>
      </c>
      <c r="Y591" s="36">
        <v>985.0374064837907</v>
      </c>
      <c r="Z591" s="36">
        <v>9850.374064837906</v>
      </c>
      <c r="AA591" s="36"/>
      <c r="AB591" s="36">
        <v>70134.66334164588</v>
      </c>
      <c r="AC591" s="37">
        <v>35067.33167082294</v>
      </c>
      <c r="AD591" s="31"/>
      <c r="AE591" s="11"/>
      <c r="AF591" s="11"/>
    </row>
    <row r="592">
      <c r="A592" s="11" t="s">
        <v>614</v>
      </c>
      <c r="B592" s="77">
        <v>45986.603472222225</v>
      </c>
      <c r="C592" s="40">
        <v>45988.61736111111</v>
      </c>
      <c r="D592" s="27" t="s">
        <v>33</v>
      </c>
      <c r="E592" s="11" t="b">
        <v>0</v>
      </c>
      <c r="F592" s="11" t="s">
        <v>38</v>
      </c>
      <c r="G592" s="11" t="s">
        <v>390</v>
      </c>
      <c r="H592" s="11" t="s">
        <v>615</v>
      </c>
      <c r="I592" s="30">
        <v>5.0</v>
      </c>
      <c r="J592" s="31">
        <v>2.0</v>
      </c>
      <c r="K592" s="11">
        <v>1000.0</v>
      </c>
      <c r="L592" s="32">
        <f t="shared" ref="L592:L594" si="170">(70000)/P592</f>
        <v>70000</v>
      </c>
      <c r="M592" s="32">
        <v>0.0</v>
      </c>
      <c r="N592" s="32">
        <f>((43000 + 1720)/2)/P592</f>
        <v>22360</v>
      </c>
      <c r="O592" s="32">
        <v>0.0</v>
      </c>
      <c r="P592" s="33">
        <v>1.0</v>
      </c>
      <c r="Q592" s="34">
        <v>2000.0</v>
      </c>
      <c r="R592" s="42">
        <v>140000.0</v>
      </c>
      <c r="S592" s="36"/>
      <c r="T592" s="36">
        <v>22360.0</v>
      </c>
      <c r="U592" s="36"/>
      <c r="V592" s="36">
        <v>117640.0</v>
      </c>
      <c r="W592" s="37">
        <v>58.82</v>
      </c>
      <c r="X592" s="42">
        <v>140000.0</v>
      </c>
      <c r="Y592" s="36"/>
      <c r="Z592" s="36">
        <v>22360.0</v>
      </c>
      <c r="AA592" s="36"/>
      <c r="AB592" s="36">
        <v>117640.0</v>
      </c>
      <c r="AC592" s="37">
        <v>58.82</v>
      </c>
      <c r="AD592" s="31"/>
      <c r="AE592" s="11"/>
      <c r="AF592" s="11"/>
    </row>
    <row r="593">
      <c r="A593" s="11" t="s">
        <v>614</v>
      </c>
      <c r="B593" s="39">
        <v>45713.57083333333</v>
      </c>
      <c r="C593" s="40">
        <v>45717.49236111111</v>
      </c>
      <c r="D593" s="27" t="s">
        <v>37</v>
      </c>
      <c r="E593" s="11" t="b">
        <v>0</v>
      </c>
      <c r="F593" s="11" t="s">
        <v>38</v>
      </c>
      <c r="G593" s="11" t="s">
        <v>390</v>
      </c>
      <c r="H593" s="11" t="s">
        <v>391</v>
      </c>
      <c r="I593" s="30">
        <v>5.0</v>
      </c>
      <c r="J593" s="31">
        <v>2.0</v>
      </c>
      <c r="K593" s="11">
        <v>1000.0</v>
      </c>
      <c r="L593" s="32">
        <f t="shared" si="170"/>
        <v>4.2997543</v>
      </c>
      <c r="M593" s="32">
        <f>(1000/4)/P593</f>
        <v>0.01535626536</v>
      </c>
      <c r="N593" s="32">
        <f>(X593*10%)/P593</f>
        <v>0.85995086</v>
      </c>
      <c r="O593" s="32">
        <v>0.0</v>
      </c>
      <c r="P593" s="33">
        <v>16280.0</v>
      </c>
      <c r="Q593" s="34">
        <v>2000.0</v>
      </c>
      <c r="R593" s="42">
        <v>8.5995085995086</v>
      </c>
      <c r="S593" s="36">
        <v>0.015356265356265357</v>
      </c>
      <c r="T593" s="36">
        <v>0.85995085995086</v>
      </c>
      <c r="U593" s="36"/>
      <c r="V593" s="36">
        <v>7.754914004914005</v>
      </c>
      <c r="W593" s="37">
        <v>0.0038774570024570024</v>
      </c>
      <c r="X593" s="42">
        <v>140000.0</v>
      </c>
      <c r="Y593" s="36">
        <v>250.0</v>
      </c>
      <c r="Z593" s="36">
        <v>14000.0</v>
      </c>
      <c r="AA593" s="36"/>
      <c r="AB593" s="36">
        <v>126250.0</v>
      </c>
      <c r="AC593" s="37">
        <v>63.125</v>
      </c>
      <c r="AD593" s="31"/>
      <c r="AE593" s="11"/>
      <c r="AF593" s="11"/>
    </row>
    <row r="594">
      <c r="A594" s="11" t="s">
        <v>614</v>
      </c>
      <c r="B594" s="39">
        <v>45566.7375</v>
      </c>
      <c r="C594" s="40">
        <v>45570.59166666667</v>
      </c>
      <c r="D594" s="27" t="s">
        <v>37</v>
      </c>
      <c r="E594" s="11" t="b">
        <v>0</v>
      </c>
      <c r="F594" s="11" t="s">
        <v>38</v>
      </c>
      <c r="G594" s="11" t="s">
        <v>390</v>
      </c>
      <c r="H594" s="11" t="s">
        <v>503</v>
      </c>
      <c r="I594" s="30">
        <v>5.0</v>
      </c>
      <c r="J594" s="31">
        <v>2.0</v>
      </c>
      <c r="K594" s="11">
        <v>1000.0</v>
      </c>
      <c r="L594" s="32">
        <f t="shared" si="170"/>
        <v>4.587155963</v>
      </c>
      <c r="M594" s="32">
        <f>(1000/3)/P594</f>
        <v>0.02184359983</v>
      </c>
      <c r="N594" s="36">
        <f>(140000)*5%/P594</f>
        <v>0.4587155963</v>
      </c>
      <c r="O594" s="32">
        <v>0.0</v>
      </c>
      <c r="P594" s="33">
        <v>15260.0</v>
      </c>
      <c r="Q594" s="34">
        <v>2000.0</v>
      </c>
      <c r="R594" s="42">
        <v>9.174311926605505</v>
      </c>
      <c r="S594" s="36">
        <v>0.0218435998252512</v>
      </c>
      <c r="T594" s="36">
        <v>0.45871559633027525</v>
      </c>
      <c r="U594" s="36"/>
      <c r="V594" s="36">
        <v>8.73743993010048</v>
      </c>
      <c r="W594" s="37">
        <v>0.00436871996505024</v>
      </c>
      <c r="X594" s="42">
        <v>140000.0</v>
      </c>
      <c r="Y594" s="36">
        <v>333.3333333333333</v>
      </c>
      <c r="Z594" s="36">
        <v>7000.0</v>
      </c>
      <c r="AA594" s="36"/>
      <c r="AB594" s="36">
        <v>133333.33333333334</v>
      </c>
      <c r="AC594" s="37">
        <v>66.66666666666667</v>
      </c>
      <c r="AD594" s="31"/>
      <c r="AE594" s="11"/>
      <c r="AF594" s="11"/>
    </row>
    <row r="595">
      <c r="A595" s="11" t="s">
        <v>614</v>
      </c>
      <c r="B595" s="39">
        <v>45500.94583333333</v>
      </c>
      <c r="C595" s="40">
        <v>45505.48333333333</v>
      </c>
      <c r="D595" s="27" t="s">
        <v>37</v>
      </c>
      <c r="E595" s="11" t="b">
        <v>0</v>
      </c>
      <c r="F595" s="11" t="s">
        <v>38</v>
      </c>
      <c r="G595" s="11" t="s">
        <v>39</v>
      </c>
      <c r="H595" s="11" t="s">
        <v>616</v>
      </c>
      <c r="I595" s="30">
        <v>5.0</v>
      </c>
      <c r="J595" s="31">
        <v>1.0</v>
      </c>
      <c r="K595" s="11">
        <v>1000.0</v>
      </c>
      <c r="L595" s="32">
        <f>(69000)/P595</f>
        <v>4.232090285</v>
      </c>
      <c r="M595" s="32">
        <v>0.0</v>
      </c>
      <c r="N595" s="32">
        <f>(4140)/P595</f>
        <v>0.2539254171</v>
      </c>
      <c r="O595" s="32">
        <v>0.0</v>
      </c>
      <c r="P595" s="33">
        <v>16304.0</v>
      </c>
      <c r="Q595" s="34">
        <v>1000.0</v>
      </c>
      <c r="R595" s="42">
        <v>4.232090284592738</v>
      </c>
      <c r="S595" s="36"/>
      <c r="T595" s="36">
        <v>0.25392541707556426</v>
      </c>
      <c r="U595" s="36"/>
      <c r="V595" s="36">
        <v>3.978164867517174</v>
      </c>
      <c r="W595" s="37">
        <v>0.003978164867517174</v>
      </c>
      <c r="X595" s="42">
        <v>69000.0</v>
      </c>
      <c r="Y595" s="36"/>
      <c r="Z595" s="36">
        <v>4140.0</v>
      </c>
      <c r="AA595" s="36"/>
      <c r="AB595" s="36">
        <v>64860.00000000001</v>
      </c>
      <c r="AC595" s="37">
        <v>64.86000000000001</v>
      </c>
      <c r="AD595" s="31"/>
      <c r="AE595" s="11"/>
      <c r="AF595" s="11"/>
    </row>
    <row r="596">
      <c r="A596" s="11" t="s">
        <v>614</v>
      </c>
      <c r="B596" s="39">
        <v>45449.35</v>
      </c>
      <c r="C596" s="40">
        <v>45450.541666666664</v>
      </c>
      <c r="D596" s="27" t="s">
        <v>33</v>
      </c>
      <c r="E596" s="11" t="b">
        <v>0</v>
      </c>
      <c r="F596" s="11" t="s">
        <v>38</v>
      </c>
      <c r="G596" s="11" t="s">
        <v>390</v>
      </c>
      <c r="H596" s="11" t="s">
        <v>617</v>
      </c>
      <c r="I596" s="30">
        <v>5.0</v>
      </c>
      <c r="J596" s="31">
        <v>1.0</v>
      </c>
      <c r="K596" s="11">
        <v>1000.0</v>
      </c>
      <c r="L596" s="32">
        <f>(70000)/P596</f>
        <v>4.308487721</v>
      </c>
      <c r="M596" s="32">
        <f>70/P596</f>
        <v>0.004308487721</v>
      </c>
      <c r="N596" s="32">
        <f>(7000)/P596</f>
        <v>0.4308487721</v>
      </c>
      <c r="O596" s="32">
        <v>0.0</v>
      </c>
      <c r="P596" s="33">
        <v>16247.0</v>
      </c>
      <c r="Q596" s="34">
        <v>1000.0</v>
      </c>
      <c r="R596" s="42">
        <v>4.308487720809996</v>
      </c>
      <c r="S596" s="36">
        <v>0.004308487720809996</v>
      </c>
      <c r="T596" s="36">
        <v>0.4308487720809996</v>
      </c>
      <c r="U596" s="36"/>
      <c r="V596" s="36">
        <v>3.8819474364498068</v>
      </c>
      <c r="W596" s="37">
        <v>0.0038819474364498066</v>
      </c>
      <c r="X596" s="42">
        <v>70000.0</v>
      </c>
      <c r="Y596" s="36">
        <v>70.0</v>
      </c>
      <c r="Z596" s="36">
        <v>7000.0</v>
      </c>
      <c r="AA596" s="36"/>
      <c r="AB596" s="36">
        <v>63070.00000000001</v>
      </c>
      <c r="AC596" s="37">
        <v>63.07000000000001</v>
      </c>
      <c r="AD596" s="31"/>
      <c r="AE596" s="11"/>
      <c r="AF596" s="11"/>
    </row>
    <row r="597">
      <c r="A597" s="11" t="s">
        <v>618</v>
      </c>
      <c r="B597" s="77">
        <v>45981.64027777778</v>
      </c>
      <c r="C597" s="40">
        <v>45984.53333333333</v>
      </c>
      <c r="D597" s="27" t="s">
        <v>37</v>
      </c>
      <c r="E597" s="11" t="b">
        <v>0</v>
      </c>
      <c r="F597" s="11" t="s">
        <v>49</v>
      </c>
      <c r="G597" s="11" t="s">
        <v>39</v>
      </c>
      <c r="H597" s="11" t="s">
        <v>619</v>
      </c>
      <c r="I597" s="30">
        <v>5.0</v>
      </c>
      <c r="J597" s="31">
        <v>1.0</v>
      </c>
      <c r="K597" s="11">
        <v>1000.0</v>
      </c>
      <c r="L597" s="32">
        <f>(80000)/P597</f>
        <v>80000</v>
      </c>
      <c r="M597" s="32">
        <v>0.0</v>
      </c>
      <c r="N597" s="32">
        <f>(15000 + 650)/P597</f>
        <v>15650</v>
      </c>
      <c r="O597" s="32">
        <v>0.0</v>
      </c>
      <c r="P597" s="33">
        <v>1.0</v>
      </c>
      <c r="Q597" s="34">
        <v>1000.0</v>
      </c>
      <c r="R597" s="42">
        <v>80000.0</v>
      </c>
      <c r="S597" s="36"/>
      <c r="T597" s="36">
        <v>15650.0</v>
      </c>
      <c r="U597" s="36"/>
      <c r="V597" s="36">
        <v>64350.0</v>
      </c>
      <c r="W597" s="37">
        <v>64.35</v>
      </c>
      <c r="X597" s="42">
        <v>80000.0</v>
      </c>
      <c r="Y597" s="36"/>
      <c r="Z597" s="36">
        <v>15650.0</v>
      </c>
      <c r="AA597" s="36"/>
      <c r="AB597" s="36">
        <v>64350.0</v>
      </c>
      <c r="AC597" s="37">
        <v>64.35</v>
      </c>
      <c r="AD597" s="31"/>
      <c r="AE597" s="11"/>
      <c r="AF597" s="11"/>
    </row>
    <row r="598">
      <c r="A598" s="11" t="s">
        <v>618</v>
      </c>
      <c r="B598" s="39">
        <v>45474.95763888889</v>
      </c>
      <c r="C598" s="40">
        <v>45479.47777777778</v>
      </c>
      <c r="D598" s="27" t="s">
        <v>37</v>
      </c>
      <c r="E598" s="11" t="b">
        <v>0</v>
      </c>
      <c r="F598" s="11" t="s">
        <v>38</v>
      </c>
      <c r="G598" s="11" t="s">
        <v>390</v>
      </c>
      <c r="H598" s="11" t="s">
        <v>620</v>
      </c>
      <c r="I598" s="30">
        <v>5.0</v>
      </c>
      <c r="J598" s="31">
        <v>1.0</v>
      </c>
      <c r="K598" s="11">
        <v>1000.0</v>
      </c>
      <c r="L598" s="32">
        <f>(65000)/P598</f>
        <v>3.969950528</v>
      </c>
      <c r="M598" s="32">
        <f>(66)/P598</f>
        <v>0.00403102669</v>
      </c>
      <c r="N598" s="32">
        <f>(6500 + 293)/P598</f>
        <v>0.4148903683</v>
      </c>
      <c r="O598" s="32">
        <v>0.0</v>
      </c>
      <c r="P598" s="33">
        <v>16373.0</v>
      </c>
      <c r="Q598" s="34">
        <v>1000.0</v>
      </c>
      <c r="R598" s="42">
        <v>3.969950528308801</v>
      </c>
      <c r="S598" s="36">
        <v>0.004031026690282782</v>
      </c>
      <c r="T598" s="36">
        <v>0.4148903682892567</v>
      </c>
      <c r="U598" s="36"/>
      <c r="V598" s="36">
        <v>3.559091186709827</v>
      </c>
      <c r="W598" s="37">
        <v>0.003559091186709827</v>
      </c>
      <c r="X598" s="42">
        <v>65000.0</v>
      </c>
      <c r="Y598" s="36">
        <v>66.0</v>
      </c>
      <c r="Z598" s="36">
        <v>6793.0</v>
      </c>
      <c r="AA598" s="36"/>
      <c r="AB598" s="36">
        <v>58273.0</v>
      </c>
      <c r="AC598" s="37">
        <v>58.273</v>
      </c>
      <c r="AD598" s="31"/>
      <c r="AE598" s="11"/>
      <c r="AF598" s="11"/>
    </row>
    <row r="599">
      <c r="A599" s="11" t="s">
        <v>618</v>
      </c>
      <c r="B599" s="39">
        <v>45470.93680555555</v>
      </c>
      <c r="C599" s="40">
        <v>45472.489583333336</v>
      </c>
      <c r="D599" s="27" t="s">
        <v>33</v>
      </c>
      <c r="E599" s="11" t="b">
        <v>0</v>
      </c>
      <c r="F599" s="11" t="s">
        <v>38</v>
      </c>
      <c r="G599" s="11" t="s">
        <v>390</v>
      </c>
      <c r="H599" s="11" t="s">
        <v>621</v>
      </c>
      <c r="I599" s="30">
        <v>5.0</v>
      </c>
      <c r="J599" s="31">
        <v>1.0</v>
      </c>
      <c r="K599" s="11">
        <v>1000.0</v>
      </c>
      <c r="L599" s="32">
        <f>(70000)/P599</f>
        <v>4.270896888</v>
      </c>
      <c r="M599" s="32">
        <f>(57)/P599</f>
        <v>0.003477730323</v>
      </c>
      <c r="N599" s="32">
        <f>(5600 + 920)/P599</f>
        <v>0.3978035387</v>
      </c>
      <c r="O599" s="32">
        <v>0.0</v>
      </c>
      <c r="P599" s="33">
        <v>16390.0</v>
      </c>
      <c r="Q599" s="34">
        <v>1000.0</v>
      </c>
      <c r="R599" s="42">
        <v>4.270896888346552</v>
      </c>
      <c r="S599" s="36">
        <v>0.003477730323367907</v>
      </c>
      <c r="T599" s="36">
        <v>0.39780353874313606</v>
      </c>
      <c r="U599" s="36"/>
      <c r="V599" s="36">
        <v>3.8765710799267845</v>
      </c>
      <c r="W599" s="37">
        <v>0.0038765710799267845</v>
      </c>
      <c r="X599" s="42">
        <v>70000.0</v>
      </c>
      <c r="Y599" s="36">
        <v>57.0</v>
      </c>
      <c r="Z599" s="36">
        <v>6520.0</v>
      </c>
      <c r="AA599" s="36"/>
      <c r="AB599" s="36">
        <v>63537.0</v>
      </c>
      <c r="AC599" s="37">
        <v>63.537</v>
      </c>
      <c r="AD599" s="31"/>
      <c r="AE599" s="11"/>
      <c r="AF599" s="11"/>
    </row>
    <row r="600">
      <c r="A600" s="11" t="s">
        <v>622</v>
      </c>
      <c r="B600" s="77">
        <v>45986.603472222225</v>
      </c>
      <c r="C600" s="40">
        <v>45988.61736111111</v>
      </c>
      <c r="D600" s="27" t="s">
        <v>33</v>
      </c>
      <c r="E600" s="11" t="b">
        <v>0</v>
      </c>
      <c r="F600" s="11" t="s">
        <v>38</v>
      </c>
      <c r="G600" s="11" t="s">
        <v>390</v>
      </c>
      <c r="H600" s="11" t="s">
        <v>615</v>
      </c>
      <c r="I600" s="30">
        <v>5.0</v>
      </c>
      <c r="J600" s="31">
        <v>1.0</v>
      </c>
      <c r="K600" s="11">
        <v>1000.0</v>
      </c>
      <c r="L600" s="32">
        <f t="shared" ref="L600:L601" si="171">(75000)/P600</f>
        <v>75000</v>
      </c>
      <c r="M600" s="32">
        <v>0.0</v>
      </c>
      <c r="N600" s="32">
        <f>((43000 + 1720)/2)/P600</f>
        <v>22360</v>
      </c>
      <c r="O600" s="32">
        <v>0.0</v>
      </c>
      <c r="P600" s="33">
        <v>1.0</v>
      </c>
      <c r="Q600" s="34">
        <v>1000.0</v>
      </c>
      <c r="R600" s="42">
        <v>75000.0</v>
      </c>
      <c r="S600" s="36"/>
      <c r="T600" s="36">
        <v>22360.0</v>
      </c>
      <c r="U600" s="36"/>
      <c r="V600" s="36">
        <v>52640.0</v>
      </c>
      <c r="W600" s="37">
        <v>52.64</v>
      </c>
      <c r="X600" s="42">
        <v>75000.0</v>
      </c>
      <c r="Y600" s="36"/>
      <c r="Z600" s="36">
        <v>22360.0</v>
      </c>
      <c r="AA600" s="36"/>
      <c r="AB600" s="36">
        <v>52640.0</v>
      </c>
      <c r="AC600" s="37">
        <v>52.64</v>
      </c>
      <c r="AD600" s="31"/>
      <c r="AE600" s="11"/>
      <c r="AF600" s="11"/>
    </row>
    <row r="601">
      <c r="A601" s="11" t="s">
        <v>622</v>
      </c>
      <c r="B601" s="39">
        <v>45925.10138888889</v>
      </c>
      <c r="C601" s="40">
        <v>45926.63680555556</v>
      </c>
      <c r="D601" s="27" t="s">
        <v>33</v>
      </c>
      <c r="E601" s="11" t="b">
        <v>0</v>
      </c>
      <c r="F601" s="11" t="s">
        <v>38</v>
      </c>
      <c r="G601" s="11" t="s">
        <v>390</v>
      </c>
      <c r="H601" s="11" t="s">
        <v>623</v>
      </c>
      <c r="I601" s="30">
        <v>5.0</v>
      </c>
      <c r="J601" s="31">
        <v>3.0</v>
      </c>
      <c r="K601" s="11">
        <v>1000.0</v>
      </c>
      <c r="L601" s="32">
        <f t="shared" si="171"/>
        <v>4.488867608</v>
      </c>
      <c r="M601" s="32">
        <v>0.0</v>
      </c>
      <c r="N601" s="32">
        <f>(45000)/P601</f>
        <v>2.693320565</v>
      </c>
      <c r="O601" s="32">
        <v>0.0</v>
      </c>
      <c r="P601" s="33">
        <v>16708.0</v>
      </c>
      <c r="Q601" s="34">
        <v>3000.0</v>
      </c>
      <c r="R601" s="42">
        <v>13.466602824994014</v>
      </c>
      <c r="S601" s="36"/>
      <c r="T601" s="36">
        <v>2.693320564998803</v>
      </c>
      <c r="U601" s="36"/>
      <c r="V601" s="36">
        <v>10.773282259995211</v>
      </c>
      <c r="W601" s="37">
        <v>0.0035910940866650705</v>
      </c>
      <c r="X601" s="42">
        <v>225000.0</v>
      </c>
      <c r="Y601" s="36"/>
      <c r="Z601" s="36">
        <v>45000.0</v>
      </c>
      <c r="AA601" s="36"/>
      <c r="AB601" s="36">
        <v>180000.0</v>
      </c>
      <c r="AC601" s="37">
        <v>60.0</v>
      </c>
      <c r="AD601" s="31"/>
      <c r="AE601" s="11"/>
      <c r="AF601" s="11"/>
    </row>
    <row r="602">
      <c r="A602" s="11" t="s">
        <v>622</v>
      </c>
      <c r="B602" s="39">
        <v>45500.94583333333</v>
      </c>
      <c r="C602" s="40">
        <v>45505.48333333333</v>
      </c>
      <c r="D602" s="27" t="s">
        <v>37</v>
      </c>
      <c r="E602" s="11" t="b">
        <v>0</v>
      </c>
      <c r="F602" s="11" t="s">
        <v>38</v>
      </c>
      <c r="G602" s="11" t="s">
        <v>39</v>
      </c>
      <c r="H602" s="11" t="s">
        <v>616</v>
      </c>
      <c r="I602" s="30">
        <v>5.0</v>
      </c>
      <c r="J602" s="31">
        <v>3.0</v>
      </c>
      <c r="K602" s="11">
        <v>1000.0</v>
      </c>
      <c r="L602" s="32">
        <f>(64300)/P602</f>
        <v>3.943817468</v>
      </c>
      <c r="M602" s="32">
        <v>0.0</v>
      </c>
      <c r="N602" s="32">
        <f>(11574)/P602</f>
        <v>0.7098871443</v>
      </c>
      <c r="O602" s="32">
        <v>0.0</v>
      </c>
      <c r="P602" s="33">
        <v>16304.0</v>
      </c>
      <c r="Q602" s="34">
        <v>3000.0</v>
      </c>
      <c r="R602" s="42">
        <v>11.831452404317957</v>
      </c>
      <c r="S602" s="36"/>
      <c r="T602" s="36">
        <v>0.7098871442590775</v>
      </c>
      <c r="U602" s="36"/>
      <c r="V602" s="36">
        <v>11.12156526005888</v>
      </c>
      <c r="W602" s="37">
        <v>0.0037071884200196264</v>
      </c>
      <c r="X602" s="42">
        <v>192899.99999999997</v>
      </c>
      <c r="Y602" s="36"/>
      <c r="Z602" s="36">
        <v>11574.0</v>
      </c>
      <c r="AA602" s="36"/>
      <c r="AB602" s="36">
        <v>181325.99999999997</v>
      </c>
      <c r="AC602" s="37">
        <v>60.44199999999999</v>
      </c>
      <c r="AD602" s="31"/>
      <c r="AE602" s="11"/>
      <c r="AF602" s="11"/>
    </row>
    <row r="603">
      <c r="A603" s="11" t="s">
        <v>622</v>
      </c>
      <c r="B603" s="39">
        <v>45474.95763888889</v>
      </c>
      <c r="C603" s="40">
        <v>45479.47777777778</v>
      </c>
      <c r="D603" s="27" t="s">
        <v>37</v>
      </c>
      <c r="E603" s="11" t="b">
        <v>0</v>
      </c>
      <c r="F603" s="11" t="s">
        <v>38</v>
      </c>
      <c r="G603" s="11" t="s">
        <v>390</v>
      </c>
      <c r="H603" s="11" t="s">
        <v>620</v>
      </c>
      <c r="I603" s="30">
        <v>5.0</v>
      </c>
      <c r="J603" s="31">
        <v>1.0</v>
      </c>
      <c r="K603" s="11">
        <v>1000.0</v>
      </c>
      <c r="L603" s="32">
        <f>(70000)/P603</f>
        <v>4.275331338</v>
      </c>
      <c r="M603" s="32">
        <f>(70)/P603</f>
        <v>0.004275331338</v>
      </c>
      <c r="N603" s="32">
        <f>(7000+314)/P603</f>
        <v>0.4467110487</v>
      </c>
      <c r="O603" s="32">
        <v>0.0</v>
      </c>
      <c r="P603" s="33">
        <v>16373.0</v>
      </c>
      <c r="Q603" s="34">
        <v>1000.0</v>
      </c>
      <c r="R603" s="42">
        <v>4.275331338178709</v>
      </c>
      <c r="S603" s="36">
        <v>0.004275331338178709</v>
      </c>
      <c r="T603" s="36">
        <v>0.4467110486777011</v>
      </c>
      <c r="U603" s="36"/>
      <c r="V603" s="36">
        <v>3.8328956208391864</v>
      </c>
      <c r="W603" s="37">
        <v>0.0038328956208391863</v>
      </c>
      <c r="X603" s="42">
        <v>70000.0</v>
      </c>
      <c r="Y603" s="36">
        <v>70.0</v>
      </c>
      <c r="Z603" s="36">
        <v>7314.0</v>
      </c>
      <c r="AA603" s="36"/>
      <c r="AB603" s="36">
        <v>62756.0</v>
      </c>
      <c r="AC603" s="37">
        <v>62.756</v>
      </c>
      <c r="AD603" s="31"/>
      <c r="AE603" s="11"/>
      <c r="AF603" s="11"/>
    </row>
    <row r="604">
      <c r="A604" s="11" t="s">
        <v>622</v>
      </c>
      <c r="B604" s="39">
        <v>45470.93680555555</v>
      </c>
      <c r="C604" s="40">
        <v>45472.489583333336</v>
      </c>
      <c r="D604" s="27" t="s">
        <v>33</v>
      </c>
      <c r="E604" s="11" t="b">
        <v>0</v>
      </c>
      <c r="F604" s="11" t="s">
        <v>38</v>
      </c>
      <c r="G604" s="11" t="s">
        <v>390</v>
      </c>
      <c r="H604" s="11" t="s">
        <v>621</v>
      </c>
      <c r="I604" s="30">
        <v>5.0</v>
      </c>
      <c r="J604" s="31">
        <v>2.0</v>
      </c>
      <c r="K604" s="11">
        <v>1000.0</v>
      </c>
      <c r="L604" s="32">
        <f>(65000)/P604</f>
        <v>3.965832825</v>
      </c>
      <c r="M604" s="32">
        <f>(105)/P604</f>
        <v>0.006406345333</v>
      </c>
      <c r="N604" s="32">
        <f>(10400)/P604</f>
        <v>0.634533252</v>
      </c>
      <c r="O604" s="32">
        <v>0.0</v>
      </c>
      <c r="P604" s="33">
        <v>16390.0</v>
      </c>
      <c r="Q604" s="34">
        <v>2000.0</v>
      </c>
      <c r="R604" s="42">
        <v>7.9316656497864555</v>
      </c>
      <c r="S604" s="36">
        <v>0.006406345332519829</v>
      </c>
      <c r="T604" s="36">
        <v>0.6345332519829164</v>
      </c>
      <c r="U604" s="36"/>
      <c r="V604" s="36">
        <v>7.303538743136059</v>
      </c>
      <c r="W604" s="37">
        <v>0.0036517693715680294</v>
      </c>
      <c r="X604" s="42">
        <v>130000.0</v>
      </c>
      <c r="Y604" s="36">
        <v>105.0</v>
      </c>
      <c r="Z604" s="36">
        <v>10400.0</v>
      </c>
      <c r="AA604" s="36"/>
      <c r="AB604" s="36">
        <v>119705.0</v>
      </c>
      <c r="AC604" s="37">
        <v>59.8525</v>
      </c>
      <c r="AD604" s="31"/>
      <c r="AE604" s="11"/>
      <c r="AF604" s="11"/>
    </row>
    <row r="605">
      <c r="A605" s="11" t="s">
        <v>624</v>
      </c>
      <c r="B605" s="39">
        <v>45713.57083333333</v>
      </c>
      <c r="C605" s="40">
        <v>45717.49236111111</v>
      </c>
      <c r="D605" s="27" t="s">
        <v>37</v>
      </c>
      <c r="E605" s="11" t="b">
        <v>0</v>
      </c>
      <c r="F605" s="11" t="s">
        <v>38</v>
      </c>
      <c r="G605" s="11" t="s">
        <v>390</v>
      </c>
      <c r="H605" s="11" t="s">
        <v>391</v>
      </c>
      <c r="I605" s="30">
        <v>5.0</v>
      </c>
      <c r="J605" s="31">
        <v>2.0</v>
      </c>
      <c r="K605" s="11">
        <v>1000.0</v>
      </c>
      <c r="L605" s="32">
        <f>(85000)/P605</f>
        <v>5.221130221</v>
      </c>
      <c r="M605" s="32">
        <f>(1000/4)/P605</f>
        <v>0.01535626536</v>
      </c>
      <c r="N605" s="32">
        <f>(X605*10%)/P605</f>
        <v>1.044226044</v>
      </c>
      <c r="O605" s="32">
        <v>0.0</v>
      </c>
      <c r="P605" s="33">
        <v>16280.0</v>
      </c>
      <c r="Q605" s="34">
        <v>2000.0</v>
      </c>
      <c r="R605" s="42">
        <v>10.442260442260443</v>
      </c>
      <c r="S605" s="36">
        <v>0.015356265356265357</v>
      </c>
      <c r="T605" s="36">
        <v>1.0442260442260443</v>
      </c>
      <c r="U605" s="36"/>
      <c r="V605" s="36">
        <v>9.413390663390665</v>
      </c>
      <c r="W605" s="37">
        <v>0.004706695331695332</v>
      </c>
      <c r="X605" s="42">
        <v>170000.0</v>
      </c>
      <c r="Y605" s="36">
        <v>250.0</v>
      </c>
      <c r="Z605" s="36">
        <v>17000.0</v>
      </c>
      <c r="AA605" s="36"/>
      <c r="AB605" s="36">
        <v>153250.00000000003</v>
      </c>
      <c r="AC605" s="37">
        <v>76.62500000000001</v>
      </c>
      <c r="AD605" s="31"/>
      <c r="AE605" s="11"/>
      <c r="AF605" s="11"/>
    </row>
    <row r="606">
      <c r="A606" s="11" t="s">
        <v>624</v>
      </c>
      <c r="B606" s="39">
        <v>45644.67013888889</v>
      </c>
      <c r="C606" s="40">
        <v>45646.659014386576</v>
      </c>
      <c r="D606" s="27" t="s">
        <v>33</v>
      </c>
      <c r="E606" s="11" t="b">
        <v>0</v>
      </c>
      <c r="F606" s="11" t="s">
        <v>38</v>
      </c>
      <c r="G606" s="11" t="s">
        <v>39</v>
      </c>
      <c r="H606" s="11" t="s">
        <v>463</v>
      </c>
      <c r="I606" s="30">
        <v>5.0</v>
      </c>
      <c r="J606" s="31">
        <v>2.0</v>
      </c>
      <c r="K606" s="11">
        <v>1000.0</v>
      </c>
      <c r="L606" s="32">
        <f t="shared" ref="L606:L607" si="172">(79000)/P606</f>
        <v>4.86453202</v>
      </c>
      <c r="M606" s="32">
        <f>(96)/P606</f>
        <v>0.005911330049</v>
      </c>
      <c r="N606" s="32">
        <v>0.0</v>
      </c>
      <c r="O606" s="32">
        <v>0.0</v>
      </c>
      <c r="P606" s="33">
        <v>16240.0</v>
      </c>
      <c r="Q606" s="34">
        <v>2000.0</v>
      </c>
      <c r="R606" s="42">
        <v>9.729064039408867</v>
      </c>
      <c r="S606" s="36">
        <v>0.005911330049261084</v>
      </c>
      <c r="T606" s="36"/>
      <c r="U606" s="36"/>
      <c r="V606" s="36">
        <v>9.734975369458128</v>
      </c>
      <c r="W606" s="37">
        <v>0.0048674876847290644</v>
      </c>
      <c r="X606" s="42">
        <v>158000.0</v>
      </c>
      <c r="Y606" s="36">
        <v>96.0</v>
      </c>
      <c r="Z606" s="36"/>
      <c r="AA606" s="36"/>
      <c r="AB606" s="36">
        <v>158096.0</v>
      </c>
      <c r="AC606" s="37">
        <v>79.048</v>
      </c>
      <c r="AD606" s="31"/>
      <c r="AE606" s="11"/>
      <c r="AF606" s="11"/>
    </row>
    <row r="607">
      <c r="A607" s="11" t="s">
        <v>624</v>
      </c>
      <c r="B607" s="39">
        <v>45500.94583333333</v>
      </c>
      <c r="C607" s="40">
        <v>45505.48333333333</v>
      </c>
      <c r="D607" s="27" t="s">
        <v>37</v>
      </c>
      <c r="E607" s="11" t="b">
        <v>0</v>
      </c>
      <c r="F607" s="11" t="s">
        <v>38</v>
      </c>
      <c r="G607" s="11" t="s">
        <v>39</v>
      </c>
      <c r="H607" s="11" t="s">
        <v>616</v>
      </c>
      <c r="I607" s="30">
        <v>5.0</v>
      </c>
      <c r="J607" s="31">
        <v>2.0</v>
      </c>
      <c r="K607" s="11">
        <v>1000.0</v>
      </c>
      <c r="L607" s="32">
        <f t="shared" si="172"/>
        <v>4.845436703</v>
      </c>
      <c r="M607" s="32">
        <v>0.0</v>
      </c>
      <c r="N607" s="32">
        <f>(9480)/P607</f>
        <v>0.5814524043</v>
      </c>
      <c r="O607" s="32">
        <v>0.0</v>
      </c>
      <c r="P607" s="33">
        <v>16304.0</v>
      </c>
      <c r="Q607" s="34">
        <v>2000.0</v>
      </c>
      <c r="R607" s="42">
        <v>9.690873405299312</v>
      </c>
      <c r="S607" s="36"/>
      <c r="T607" s="36">
        <v>0.5814524043179587</v>
      </c>
      <c r="U607" s="36"/>
      <c r="V607" s="36">
        <v>9.109421000981353</v>
      </c>
      <c r="W607" s="37">
        <v>0.004554710500490677</v>
      </c>
      <c r="X607" s="42">
        <v>158000.0</v>
      </c>
      <c r="Y607" s="36"/>
      <c r="Z607" s="36">
        <v>9480.0</v>
      </c>
      <c r="AA607" s="36"/>
      <c r="AB607" s="36">
        <v>148519.99999999997</v>
      </c>
      <c r="AC607" s="37">
        <v>74.25999999999999</v>
      </c>
      <c r="AD607" s="31"/>
      <c r="AE607" s="11"/>
      <c r="AF607" s="11"/>
    </row>
    <row r="608">
      <c r="A608" s="11" t="s">
        <v>624</v>
      </c>
      <c r="B608" s="39">
        <v>45449.35</v>
      </c>
      <c r="C608" s="40">
        <v>45450.541666666664</v>
      </c>
      <c r="D608" s="27" t="s">
        <v>33</v>
      </c>
      <c r="E608" s="11" t="b">
        <v>0</v>
      </c>
      <c r="F608" s="11" t="s">
        <v>38</v>
      </c>
      <c r="G608" s="11" t="s">
        <v>390</v>
      </c>
      <c r="H608" s="11" t="s">
        <v>617</v>
      </c>
      <c r="I608" s="30">
        <v>5.0</v>
      </c>
      <c r="J608" s="31">
        <v>1.0</v>
      </c>
      <c r="K608" s="11">
        <v>1000.0</v>
      </c>
      <c r="L608" s="32">
        <f t="shared" ref="L608:L609" si="173">(85000)/P608</f>
        <v>5.23173509</v>
      </c>
      <c r="M608" s="32">
        <f>85/P608</f>
        <v>0.00523173509</v>
      </c>
      <c r="N608" s="32">
        <f>(8500)/P608</f>
        <v>0.523173509</v>
      </c>
      <c r="O608" s="32">
        <v>0.0</v>
      </c>
      <c r="P608" s="33">
        <v>16247.0</v>
      </c>
      <c r="Q608" s="34">
        <v>1000.0</v>
      </c>
      <c r="R608" s="42">
        <v>5.231735089554995</v>
      </c>
      <c r="S608" s="36">
        <v>0.005231735089554995</v>
      </c>
      <c r="T608" s="36">
        <v>0.5231735089554995</v>
      </c>
      <c r="U608" s="36"/>
      <c r="V608" s="36">
        <v>4.71379331568905</v>
      </c>
      <c r="W608" s="37">
        <v>0.0047137933156890495</v>
      </c>
      <c r="X608" s="42">
        <v>85000.0</v>
      </c>
      <c r="Y608" s="36">
        <v>85.0</v>
      </c>
      <c r="Z608" s="36">
        <v>8500.0</v>
      </c>
      <c r="AA608" s="36"/>
      <c r="AB608" s="36">
        <v>76585.0</v>
      </c>
      <c r="AC608" s="37">
        <v>76.585</v>
      </c>
      <c r="AD608" s="31"/>
      <c r="AE608" s="11"/>
      <c r="AF608" s="11"/>
    </row>
    <row r="609">
      <c r="A609" s="11" t="s">
        <v>624</v>
      </c>
      <c r="B609" s="39">
        <v>45425.896527777775</v>
      </c>
      <c r="C609" s="40">
        <v>45429.468530937505</v>
      </c>
      <c r="D609" s="27" t="s">
        <v>37</v>
      </c>
      <c r="E609" s="11" t="b">
        <v>0</v>
      </c>
      <c r="F609" s="11" t="s">
        <v>38</v>
      </c>
      <c r="G609" s="11" t="s">
        <v>374</v>
      </c>
      <c r="H609" s="11" t="s">
        <v>625</v>
      </c>
      <c r="I609" s="30">
        <v>5.0</v>
      </c>
      <c r="J609" s="31">
        <v>1.0</v>
      </c>
      <c r="K609" s="11">
        <v>1000.0</v>
      </c>
      <c r="L609" s="32">
        <f t="shared" si="173"/>
        <v>5.271644753</v>
      </c>
      <c r="M609" s="32">
        <f>(1000)/2/P609</f>
        <v>0.03100967502</v>
      </c>
      <c r="N609" s="32">
        <f>(4250)/P609</f>
        <v>0.2635822377</v>
      </c>
      <c r="O609" s="32">
        <v>0.0</v>
      </c>
      <c r="P609" s="33">
        <v>16124.0</v>
      </c>
      <c r="Q609" s="34">
        <v>1000.0</v>
      </c>
      <c r="R609" s="42">
        <v>5.271644753162986</v>
      </c>
      <c r="S609" s="36">
        <v>0.031009675018605805</v>
      </c>
      <c r="T609" s="36">
        <v>0.26358223765814937</v>
      </c>
      <c r="U609" s="36"/>
      <c r="V609" s="36">
        <v>5.039072190523442</v>
      </c>
      <c r="W609" s="37">
        <v>0.005039072190523442</v>
      </c>
      <c r="X609" s="42">
        <v>85000.0</v>
      </c>
      <c r="Y609" s="36">
        <v>500.0</v>
      </c>
      <c r="Z609" s="36">
        <v>4250.0</v>
      </c>
      <c r="AA609" s="36"/>
      <c r="AB609" s="36">
        <v>81249.99999999999</v>
      </c>
      <c r="AC609" s="37">
        <v>81.24999999999999</v>
      </c>
      <c r="AD609" s="31"/>
      <c r="AE609" s="11"/>
      <c r="AF609" s="11"/>
    </row>
    <row r="610">
      <c r="A610" s="11" t="s">
        <v>626</v>
      </c>
      <c r="B610" s="39">
        <v>45566.7375</v>
      </c>
      <c r="C610" s="40">
        <v>45570.59166666667</v>
      </c>
      <c r="D610" s="27" t="s">
        <v>37</v>
      </c>
      <c r="E610" s="11" t="b">
        <v>0</v>
      </c>
      <c r="F610" s="11" t="s">
        <v>38</v>
      </c>
      <c r="G610" s="11" t="s">
        <v>390</v>
      </c>
      <c r="H610" s="11" t="s">
        <v>503</v>
      </c>
      <c r="I610" s="30">
        <v>5.0</v>
      </c>
      <c r="J610" s="31">
        <v>2.0</v>
      </c>
      <c r="K610" s="11">
        <v>1000.0</v>
      </c>
      <c r="L610" s="32">
        <f t="shared" ref="L610:L611" si="174">(70000)/P610</f>
        <v>4.587155963</v>
      </c>
      <c r="M610" s="32">
        <f>(1000/3)/P610</f>
        <v>0.02184359983</v>
      </c>
      <c r="N610" s="36">
        <f>(140000)*5%/P610</f>
        <v>0.4587155963</v>
      </c>
      <c r="O610" s="32">
        <v>0.0</v>
      </c>
      <c r="P610" s="33">
        <v>15260.0</v>
      </c>
      <c r="Q610" s="34">
        <v>2000.0</v>
      </c>
      <c r="R610" s="42">
        <v>9.174311926605505</v>
      </c>
      <c r="S610" s="36">
        <v>0.0218435998252512</v>
      </c>
      <c r="T610" s="36">
        <v>0.45871559633027525</v>
      </c>
      <c r="U610" s="36"/>
      <c r="V610" s="36">
        <v>8.73743993010048</v>
      </c>
      <c r="W610" s="37">
        <v>0.00436871996505024</v>
      </c>
      <c r="X610" s="42">
        <v>140000.0</v>
      </c>
      <c r="Y610" s="36">
        <v>333.3333333333333</v>
      </c>
      <c r="Z610" s="36">
        <v>7000.0</v>
      </c>
      <c r="AA610" s="36"/>
      <c r="AB610" s="36">
        <v>133333.33333333334</v>
      </c>
      <c r="AC610" s="37">
        <v>66.66666666666667</v>
      </c>
      <c r="AD610" s="31"/>
      <c r="AE610" s="11"/>
      <c r="AF610" s="11"/>
    </row>
    <row r="611">
      <c r="A611" s="11" t="s">
        <v>626</v>
      </c>
      <c r="B611" s="39">
        <v>45532.63333333333</v>
      </c>
      <c r="C611" s="40">
        <v>45534.76111111111</v>
      </c>
      <c r="D611" s="27" t="s">
        <v>33</v>
      </c>
      <c r="E611" s="11" t="b">
        <v>0</v>
      </c>
      <c r="F611" s="11" t="s">
        <v>38</v>
      </c>
      <c r="G611" s="11" t="s">
        <v>390</v>
      </c>
      <c r="H611" s="11" t="s">
        <v>627</v>
      </c>
      <c r="I611" s="30">
        <v>5.0</v>
      </c>
      <c r="J611" s="31">
        <v>1.0</v>
      </c>
      <c r="K611" s="11">
        <v>1000.0</v>
      </c>
      <c r="L611" s="32">
        <f t="shared" si="174"/>
        <v>4.531917649</v>
      </c>
      <c r="M611" s="32">
        <f>(1000)/P611</f>
        <v>0.06474168069</v>
      </c>
      <c r="N611" s="32">
        <f>(10000)/P611</f>
        <v>0.6474168069</v>
      </c>
      <c r="O611" s="32">
        <v>0.0</v>
      </c>
      <c r="P611" s="33">
        <v>15446.0</v>
      </c>
      <c r="Q611" s="34">
        <v>1000.0</v>
      </c>
      <c r="R611" s="42">
        <v>4.531917648582157</v>
      </c>
      <c r="S611" s="36">
        <v>0.06474168069403081</v>
      </c>
      <c r="T611" s="36">
        <v>0.6474168069403081</v>
      </c>
      <c r="U611" s="36"/>
      <c r="V611" s="36">
        <v>3.9492425223358794</v>
      </c>
      <c r="W611" s="37">
        <v>0.00394924252233588</v>
      </c>
      <c r="X611" s="42">
        <v>70000.0</v>
      </c>
      <c r="Y611" s="36">
        <v>1000.0</v>
      </c>
      <c r="Z611" s="36">
        <v>10000.0</v>
      </c>
      <c r="AA611" s="36"/>
      <c r="AB611" s="36">
        <v>60999.99999999999</v>
      </c>
      <c r="AC611" s="37">
        <v>60.99999999999999</v>
      </c>
      <c r="AD611" s="31"/>
      <c r="AE611" s="11"/>
      <c r="AF611" s="11"/>
    </row>
    <row r="612">
      <c r="A612" s="11" t="s">
        <v>628</v>
      </c>
      <c r="B612" s="39">
        <v>43458.93819444445</v>
      </c>
      <c r="C612" s="40">
        <v>43435.0</v>
      </c>
      <c r="D612" s="27" t="s">
        <v>56</v>
      </c>
      <c r="E612" s="39" t="b">
        <v>0</v>
      </c>
      <c r="F612" s="11" t="s">
        <v>38</v>
      </c>
      <c r="G612" s="29" t="s">
        <v>505</v>
      </c>
      <c r="H612" s="11" t="s">
        <v>506</v>
      </c>
      <c r="I612" s="33"/>
      <c r="J612" s="31">
        <v>1.0</v>
      </c>
      <c r="K612" s="11">
        <v>1.0</v>
      </c>
      <c r="L612" s="36">
        <f>500000*(1-25%)/P612</f>
        <v>37.5</v>
      </c>
      <c r="M612" s="36">
        <f>7000/P612</f>
        <v>0.7</v>
      </c>
      <c r="N612" s="32"/>
      <c r="O612" s="32"/>
      <c r="P612" s="33">
        <v>10000.0</v>
      </c>
      <c r="Q612" s="34">
        <v>1.0</v>
      </c>
      <c r="R612" s="42">
        <v>37.5</v>
      </c>
      <c r="S612" s="36">
        <v>0.7</v>
      </c>
      <c r="T612" s="36"/>
      <c r="U612" s="36"/>
      <c r="V612" s="36">
        <v>38.2</v>
      </c>
      <c r="W612" s="37">
        <v>38.2</v>
      </c>
      <c r="X612" s="42">
        <v>375000.0</v>
      </c>
      <c r="Y612" s="36">
        <v>7000.0</v>
      </c>
      <c r="Z612" s="36"/>
      <c r="AA612" s="36"/>
      <c r="AB612" s="36">
        <v>382000.0</v>
      </c>
      <c r="AC612" s="37">
        <v>382000.0</v>
      </c>
      <c r="AD612" s="31">
        <v>500000.0</v>
      </c>
      <c r="AE612" s="11">
        <v>500000.0</v>
      </c>
      <c r="AF612" s="11" t="s">
        <v>100</v>
      </c>
    </row>
    <row r="613">
      <c r="A613" s="11" t="s">
        <v>629</v>
      </c>
      <c r="B613" s="39">
        <v>45619.614583333336</v>
      </c>
      <c r="C613" s="40">
        <v>45621.62777777778</v>
      </c>
      <c r="D613" s="27" t="s">
        <v>33</v>
      </c>
      <c r="E613" s="11" t="b">
        <v>0</v>
      </c>
      <c r="F613" s="11" t="s">
        <v>49</v>
      </c>
      <c r="G613" s="11" t="s">
        <v>334</v>
      </c>
      <c r="H613" s="11" t="s">
        <v>630</v>
      </c>
      <c r="I613" s="30">
        <v>5.0</v>
      </c>
      <c r="J613" s="31">
        <v>1.0</v>
      </c>
      <c r="K613" s="11">
        <v>1.0</v>
      </c>
      <c r="L613" s="32">
        <f>(4500)/P613</f>
        <v>0.2823086575</v>
      </c>
      <c r="M613" s="32">
        <f>(1000)/P613</f>
        <v>0.06273525721</v>
      </c>
      <c r="N613" s="32">
        <v>0.0</v>
      </c>
      <c r="O613" s="32">
        <v>0.0</v>
      </c>
      <c r="P613" s="33">
        <v>15940.0</v>
      </c>
      <c r="Q613" s="34">
        <v>1.0</v>
      </c>
      <c r="R613" s="42">
        <v>0.2823086574654956</v>
      </c>
      <c r="S613" s="36">
        <v>0.06273525721455459</v>
      </c>
      <c r="T613" s="36"/>
      <c r="U613" s="36"/>
      <c r="V613" s="36">
        <v>0.3450439146800502</v>
      </c>
      <c r="W613" s="37">
        <v>0.3450439146800502</v>
      </c>
      <c r="X613" s="42">
        <v>4500.0</v>
      </c>
      <c r="Y613" s="36">
        <v>1000.0000000000001</v>
      </c>
      <c r="Z613" s="36"/>
      <c r="AA613" s="36"/>
      <c r="AB613" s="36">
        <v>5500.0</v>
      </c>
      <c r="AC613" s="37">
        <v>5500.0</v>
      </c>
      <c r="AD613" s="31"/>
      <c r="AE613" s="11"/>
      <c r="AF613" s="11"/>
    </row>
    <row r="614">
      <c r="A614" s="11" t="s">
        <v>629</v>
      </c>
      <c r="B614" s="39">
        <v>45429.30763888889</v>
      </c>
      <c r="C614" s="40">
        <v>45430.71944444445</v>
      </c>
      <c r="D614" s="27" t="s">
        <v>33</v>
      </c>
      <c r="E614" s="11" t="b">
        <v>0</v>
      </c>
      <c r="F614" s="11" t="s">
        <v>38</v>
      </c>
      <c r="G614" s="11" t="s">
        <v>546</v>
      </c>
      <c r="H614" s="11" t="s">
        <v>547</v>
      </c>
      <c r="I614" s="30">
        <v>5.0</v>
      </c>
      <c r="J614" s="31">
        <v>8.0</v>
      </c>
      <c r="K614" s="11">
        <v>1.0</v>
      </c>
      <c r="L614" s="32">
        <f>(440)/P614</f>
        <v>0.02753958816</v>
      </c>
      <c r="M614" s="32">
        <f>(122)/P614</f>
        <v>0.007635976717</v>
      </c>
      <c r="N614" s="32">
        <f>(1737)/P614</f>
        <v>0.1087187833</v>
      </c>
      <c r="O614" s="32">
        <v>0.0</v>
      </c>
      <c r="P614" s="33">
        <v>15977.0</v>
      </c>
      <c r="Q614" s="34">
        <v>8.0</v>
      </c>
      <c r="R614" s="42">
        <v>0.22031670526381675</v>
      </c>
      <c r="S614" s="36">
        <v>0.007635976716530012</v>
      </c>
      <c r="T614" s="36">
        <v>0.1087187832509232</v>
      </c>
      <c r="U614" s="36"/>
      <c r="V614" s="36">
        <v>0.11923389872942357</v>
      </c>
      <c r="W614" s="37">
        <v>0.014904237341177946</v>
      </c>
      <c r="X614" s="42">
        <v>3520.0</v>
      </c>
      <c r="Y614" s="36">
        <v>122.0</v>
      </c>
      <c r="Z614" s="36">
        <v>1737.0</v>
      </c>
      <c r="AA614" s="36"/>
      <c r="AB614" s="36">
        <v>1905.0000000000005</v>
      </c>
      <c r="AC614" s="37">
        <v>238.12500000000006</v>
      </c>
      <c r="AD614" s="31"/>
      <c r="AE614" s="11"/>
      <c r="AF614" s="11"/>
    </row>
    <row r="615">
      <c r="A615" s="11" t="s">
        <v>631</v>
      </c>
      <c r="B615" s="39">
        <v>43617.971658124996</v>
      </c>
      <c r="C615" s="40">
        <v>43639.94893201389</v>
      </c>
      <c r="D615" s="27" t="s">
        <v>56</v>
      </c>
      <c r="E615" s="11" t="b">
        <v>1</v>
      </c>
      <c r="F615" s="29" t="s">
        <v>49</v>
      </c>
      <c r="G615" s="45" t="s">
        <v>632</v>
      </c>
      <c r="H615" s="29" t="s">
        <v>633</v>
      </c>
      <c r="I615" s="33"/>
      <c r="J615" s="31">
        <v>30.0</v>
      </c>
      <c r="K615" s="11">
        <v>1.0</v>
      </c>
      <c r="L615" s="32">
        <f>15990/P615</f>
        <v>1.599</v>
      </c>
      <c r="M615" s="32">
        <f>10000/P615</f>
        <v>1</v>
      </c>
      <c r="N615" s="32">
        <v>0.0</v>
      </c>
      <c r="O615" s="32">
        <v>0.0</v>
      </c>
      <c r="P615" s="33">
        <v>10000.0</v>
      </c>
      <c r="Q615" s="34">
        <v>30.0</v>
      </c>
      <c r="R615" s="42">
        <v>47.97</v>
      </c>
      <c r="S615" s="36">
        <v>1.0</v>
      </c>
      <c r="T615" s="36"/>
      <c r="U615" s="36"/>
      <c r="V615" s="36">
        <v>48.97</v>
      </c>
      <c r="W615" s="37">
        <v>1.6323333333333332</v>
      </c>
      <c r="X615" s="42">
        <v>479700.0</v>
      </c>
      <c r="Y615" s="36">
        <v>10000.0</v>
      </c>
      <c r="Z615" s="36"/>
      <c r="AA615" s="36"/>
      <c r="AB615" s="36">
        <v>489700.0</v>
      </c>
      <c r="AC615" s="37">
        <v>16323.333333333334</v>
      </c>
      <c r="AD615" s="31"/>
      <c r="AE615" s="11"/>
      <c r="AF615" s="11"/>
    </row>
    <row r="616">
      <c r="A616" s="11" t="s">
        <v>631</v>
      </c>
      <c r="B616" s="39">
        <v>43606.71220959491</v>
      </c>
      <c r="C616" s="40">
        <v>43607.0</v>
      </c>
      <c r="D616" s="27" t="s">
        <v>66</v>
      </c>
      <c r="E616" s="11" t="b">
        <v>0</v>
      </c>
      <c r="F616" s="11" t="s">
        <v>38</v>
      </c>
      <c r="G616" s="41" t="str">
        <f>"https://www.tokopedia.com/raftech/l298n-motor-driver-controller-board-module"</f>
        <v>https://www.tokopedia.com/raftech/l298n-motor-driver-controller-board-module</v>
      </c>
      <c r="H616" s="11" t="s">
        <v>634</v>
      </c>
      <c r="I616" s="33"/>
      <c r="J616" s="31">
        <v>15.0</v>
      </c>
      <c r="K616" s="11">
        <v>1.0</v>
      </c>
      <c r="L616" s="32">
        <f>17500/P616</f>
        <v>1.75</v>
      </c>
      <c r="M616" s="32">
        <f>8000/P616</f>
        <v>0.8</v>
      </c>
      <c r="N616" s="32">
        <v>0.0</v>
      </c>
      <c r="O616" s="32">
        <v>0.0</v>
      </c>
      <c r="P616" s="33">
        <v>10000.0</v>
      </c>
      <c r="Q616" s="34">
        <v>15.0</v>
      </c>
      <c r="R616" s="42">
        <v>26.25</v>
      </c>
      <c r="S616" s="36">
        <v>0.8</v>
      </c>
      <c r="T616" s="36"/>
      <c r="U616" s="36"/>
      <c r="V616" s="36">
        <v>27.05</v>
      </c>
      <c r="W616" s="37">
        <v>1.8033333333333335</v>
      </c>
      <c r="X616" s="42">
        <v>262500.0</v>
      </c>
      <c r="Y616" s="36">
        <v>8000.0</v>
      </c>
      <c r="Z616" s="36"/>
      <c r="AA616" s="36"/>
      <c r="AB616" s="36">
        <v>270500.0</v>
      </c>
      <c r="AC616" s="37">
        <v>18033.333333333332</v>
      </c>
      <c r="AD616" s="31">
        <v>17000.0</v>
      </c>
      <c r="AE616" s="11">
        <v>17000.0</v>
      </c>
      <c r="AF616" s="11"/>
    </row>
    <row r="617">
      <c r="A617" s="11" t="s">
        <v>631</v>
      </c>
      <c r="B617" s="39">
        <v>43575.60509439815</v>
      </c>
      <c r="C617" s="40">
        <v>43586.0</v>
      </c>
      <c r="D617" s="27" t="s">
        <v>66</v>
      </c>
      <c r="E617" s="11" t="b">
        <v>1</v>
      </c>
      <c r="F617" s="11" t="s">
        <v>49</v>
      </c>
      <c r="G617" s="59" t="str">
        <f>"https://shopee.co.id/L298N-Modul-Smart-Driver-Stepper-Motor-Driver-Dual-H-Bridge-untuk-Robot-Mobil-i.70529893.1993076608"</f>
        <v>https://shopee.co.id/L298N-Modul-Smart-Driver-Stepper-Motor-Driver-Dual-H-Bridge-untuk-Robot-Mobil-i.70529893.1993076608</v>
      </c>
      <c r="H617" s="46" t="s">
        <v>635</v>
      </c>
      <c r="I617" s="33"/>
      <c r="J617" s="31">
        <v>20.0</v>
      </c>
      <c r="K617" s="11">
        <v>1.0</v>
      </c>
      <c r="L617" s="32">
        <f>16320/P617</f>
        <v>1.632</v>
      </c>
      <c r="M617" s="32">
        <f>10000/P617</f>
        <v>1</v>
      </c>
      <c r="N617" s="32">
        <v>0.0</v>
      </c>
      <c r="O617" s="32">
        <f>10000/P617</f>
        <v>1</v>
      </c>
      <c r="P617" s="33">
        <v>10000.0</v>
      </c>
      <c r="Q617" s="34">
        <v>20.0</v>
      </c>
      <c r="R617" s="42">
        <v>32.64</v>
      </c>
      <c r="S617" s="36">
        <v>1.0</v>
      </c>
      <c r="T617" s="36"/>
      <c r="U617" s="36">
        <v>1.0</v>
      </c>
      <c r="V617" s="36">
        <v>32.64</v>
      </c>
      <c r="W617" s="37">
        <v>1.6320000000000001</v>
      </c>
      <c r="X617" s="42">
        <v>326400.0</v>
      </c>
      <c r="Y617" s="36">
        <v>10000.0</v>
      </c>
      <c r="Z617" s="36"/>
      <c r="AA617" s="36">
        <v>10000.0</v>
      </c>
      <c r="AB617" s="36">
        <v>326400.0</v>
      </c>
      <c r="AC617" s="37">
        <v>16320.0</v>
      </c>
      <c r="AD617" s="31">
        <v>17500.0</v>
      </c>
      <c r="AE617" s="11">
        <v>20000.0</v>
      </c>
      <c r="AF617" s="11"/>
    </row>
    <row r="618">
      <c r="A618" s="11" t="s">
        <v>636</v>
      </c>
      <c r="B618" s="39">
        <v>45361.60343336806</v>
      </c>
      <c r="C618" s="40">
        <v>45365.48383856482</v>
      </c>
      <c r="D618" s="27" t="s">
        <v>37</v>
      </c>
      <c r="E618" s="11" t="b">
        <v>0</v>
      </c>
      <c r="F618" s="11" t="s">
        <v>200</v>
      </c>
      <c r="G618" s="11" t="s">
        <v>200</v>
      </c>
      <c r="H618" s="11" t="s">
        <v>200</v>
      </c>
      <c r="I618" s="30">
        <v>5.0</v>
      </c>
      <c r="J618" s="31">
        <v>25.0</v>
      </c>
      <c r="K618" s="11">
        <v>1.0</v>
      </c>
      <c r="L618" s="32">
        <f>(45000)/P618</f>
        <v>2.895566566</v>
      </c>
      <c r="M618" s="32">
        <v>0.0</v>
      </c>
      <c r="N618" s="32">
        <v>0.0</v>
      </c>
      <c r="O618" s="32">
        <v>0.0</v>
      </c>
      <c r="P618" s="33">
        <v>15541.0</v>
      </c>
      <c r="Q618" s="34">
        <v>25.0</v>
      </c>
      <c r="R618" s="42">
        <v>72.38916414645132</v>
      </c>
      <c r="S618" s="36"/>
      <c r="T618" s="36"/>
      <c r="U618" s="36"/>
      <c r="V618" s="36">
        <v>72.38916414645132</v>
      </c>
      <c r="W618" s="37">
        <v>2.895566565858053</v>
      </c>
      <c r="X618" s="42">
        <v>1125000.0</v>
      </c>
      <c r="Y618" s="36"/>
      <c r="Z618" s="36"/>
      <c r="AA618" s="36"/>
      <c r="AB618" s="36">
        <v>1125000.0</v>
      </c>
      <c r="AC618" s="37">
        <v>45000.0</v>
      </c>
      <c r="AD618" s="31"/>
      <c r="AE618" s="11"/>
      <c r="AF618" s="11"/>
    </row>
    <row r="619">
      <c r="A619" s="11" t="s">
        <v>637</v>
      </c>
      <c r="B619" s="39">
        <v>45429.62013888889</v>
      </c>
      <c r="C619" s="40">
        <v>45432.450179340274</v>
      </c>
      <c r="D619" s="27" t="s">
        <v>33</v>
      </c>
      <c r="E619" s="11" t="b">
        <v>0</v>
      </c>
      <c r="F619" s="11" t="s">
        <v>49</v>
      </c>
      <c r="G619" s="11" t="s">
        <v>638</v>
      </c>
      <c r="H619" s="11" t="s">
        <v>639</v>
      </c>
      <c r="I619" s="30">
        <v>5.0</v>
      </c>
      <c r="J619" s="31">
        <v>5.0</v>
      </c>
      <c r="K619" s="11">
        <v>1.0</v>
      </c>
      <c r="L619" s="32">
        <f>(43120)/P619</f>
        <v>2.698879639</v>
      </c>
      <c r="M619" s="32">
        <f>(1000)/P619</f>
        <v>0.06258997309</v>
      </c>
      <c r="N619" s="32">
        <v>0.0</v>
      </c>
      <c r="O619" s="32">
        <v>0.0</v>
      </c>
      <c r="P619" s="33">
        <v>15977.0</v>
      </c>
      <c r="Q619" s="34">
        <v>5.0</v>
      </c>
      <c r="R619" s="42">
        <v>13.494398197408774</v>
      </c>
      <c r="S619" s="36">
        <v>0.06258997308631158</v>
      </c>
      <c r="T619" s="36"/>
      <c r="U619" s="36"/>
      <c r="V619" s="36">
        <v>13.556988170495085</v>
      </c>
      <c r="W619" s="37">
        <v>2.711397634099017</v>
      </c>
      <c r="X619" s="42">
        <v>215599.99999999997</v>
      </c>
      <c r="Y619" s="36">
        <v>1000.0</v>
      </c>
      <c r="Z619" s="36"/>
      <c r="AA619" s="36"/>
      <c r="AB619" s="36">
        <v>216599.99999999997</v>
      </c>
      <c r="AC619" s="37">
        <v>43319.99999999999</v>
      </c>
      <c r="AD619" s="31"/>
      <c r="AE619" s="11"/>
      <c r="AF619" s="11"/>
    </row>
    <row r="620">
      <c r="A620" s="11" t="s">
        <v>637</v>
      </c>
      <c r="B620" s="39">
        <v>45429.615277777775</v>
      </c>
      <c r="C620" s="40">
        <v>45429.729166666664</v>
      </c>
      <c r="D620" s="27" t="s">
        <v>33</v>
      </c>
      <c r="E620" s="11" t="b">
        <v>0</v>
      </c>
      <c r="F620" s="11" t="s">
        <v>49</v>
      </c>
      <c r="G620" s="11" t="s">
        <v>640</v>
      </c>
      <c r="H620" s="11" t="s">
        <v>641</v>
      </c>
      <c r="I620" s="30">
        <v>5.0</v>
      </c>
      <c r="J620" s="31">
        <v>20.0</v>
      </c>
      <c r="K620" s="11">
        <v>1.0</v>
      </c>
      <c r="L620" s="32">
        <f>(50000)/P620</f>
        <v>3.129498654</v>
      </c>
      <c r="M620" s="32">
        <v>0.0</v>
      </c>
      <c r="N620" s="32">
        <f>(39960)/P620</f>
        <v>2.501095325</v>
      </c>
      <c r="O620" s="32">
        <v>0.0</v>
      </c>
      <c r="P620" s="33">
        <v>15977.0</v>
      </c>
      <c r="Q620" s="34">
        <v>20.0</v>
      </c>
      <c r="R620" s="42">
        <v>62.58997308631157</v>
      </c>
      <c r="S620" s="36"/>
      <c r="T620" s="36">
        <v>2.5010953245290106</v>
      </c>
      <c r="U620" s="36"/>
      <c r="V620" s="36">
        <v>60.08887776178256</v>
      </c>
      <c r="W620" s="37">
        <v>3.004443888089128</v>
      </c>
      <c r="X620" s="42">
        <v>1000000.0</v>
      </c>
      <c r="Y620" s="36"/>
      <c r="Z620" s="36">
        <v>39960.0</v>
      </c>
      <c r="AA620" s="36"/>
      <c r="AB620" s="36">
        <v>960040.0</v>
      </c>
      <c r="AC620" s="37">
        <v>48002.0</v>
      </c>
      <c r="AD620" s="31"/>
      <c r="AE620" s="11"/>
      <c r="AF620" s="11"/>
    </row>
    <row r="621">
      <c r="A621" s="11" t="s">
        <v>637</v>
      </c>
      <c r="B621" s="39">
        <v>45429.57708333333</v>
      </c>
      <c r="C621" s="40">
        <v>45432.450165277776</v>
      </c>
      <c r="D621" s="27" t="s">
        <v>33</v>
      </c>
      <c r="E621" s="11" t="b">
        <v>0</v>
      </c>
      <c r="F621" s="11" t="s">
        <v>49</v>
      </c>
      <c r="G621" s="11" t="s">
        <v>638</v>
      </c>
      <c r="H621" s="11" t="s">
        <v>642</v>
      </c>
      <c r="I621" s="30">
        <v>5.0</v>
      </c>
      <c r="J621" s="31">
        <v>10.0</v>
      </c>
      <c r="K621" s="11">
        <v>1.0</v>
      </c>
      <c r="L621" s="32">
        <f>(43120)/P621</f>
        <v>2.698879639</v>
      </c>
      <c r="M621" s="32">
        <f t="shared" ref="M621:M622" si="175">(1000)/P621</f>
        <v>0.06258997309</v>
      </c>
      <c r="N621" s="32">
        <v>0.0</v>
      </c>
      <c r="O621" s="32">
        <v>0.0</v>
      </c>
      <c r="P621" s="33">
        <v>15977.0</v>
      </c>
      <c r="Q621" s="34">
        <v>10.0</v>
      </c>
      <c r="R621" s="42">
        <v>26.988796394817548</v>
      </c>
      <c r="S621" s="36">
        <v>0.06258997308631158</v>
      </c>
      <c r="T621" s="36"/>
      <c r="U621" s="36"/>
      <c r="V621" s="36">
        <v>27.05138636790386</v>
      </c>
      <c r="W621" s="37">
        <v>2.705138636790386</v>
      </c>
      <c r="X621" s="42">
        <v>431199.99999999994</v>
      </c>
      <c r="Y621" s="36">
        <v>1000.0</v>
      </c>
      <c r="Z621" s="36"/>
      <c r="AA621" s="36"/>
      <c r="AB621" s="36">
        <v>432199.99999999994</v>
      </c>
      <c r="AC621" s="37">
        <v>43219.99999999999</v>
      </c>
      <c r="AD621" s="31"/>
      <c r="AE621" s="11"/>
      <c r="AF621" s="11"/>
    </row>
    <row r="622">
      <c r="A622" s="11" t="s">
        <v>643</v>
      </c>
      <c r="B622" s="39">
        <v>45430.77291666667</v>
      </c>
      <c r="C622" s="40">
        <v>45433.72740001157</v>
      </c>
      <c r="D622" s="27" t="s">
        <v>33</v>
      </c>
      <c r="E622" s="11" t="b">
        <v>0</v>
      </c>
      <c r="F622" s="11" t="s">
        <v>38</v>
      </c>
      <c r="G622" s="11" t="s">
        <v>644</v>
      </c>
      <c r="H622" s="11" t="s">
        <v>645</v>
      </c>
      <c r="I622" s="30">
        <v>5.0</v>
      </c>
      <c r="J622" s="31">
        <v>19.0</v>
      </c>
      <c r="K622" s="11">
        <v>1.0</v>
      </c>
      <c r="L622" s="32">
        <f>(40000)/P622</f>
        <v>2.505637685</v>
      </c>
      <c r="M622" s="32">
        <f t="shared" si="175"/>
        <v>0.06264094212</v>
      </c>
      <c r="N622" s="32">
        <f>(76000 + 3420)/P622</f>
        <v>4.974943623</v>
      </c>
      <c r="O622" s="32">
        <v>0.0</v>
      </c>
      <c r="P622" s="33">
        <v>15964.0</v>
      </c>
      <c r="Q622" s="34">
        <v>19.0</v>
      </c>
      <c r="R622" s="42">
        <v>47.60711601102481</v>
      </c>
      <c r="S622" s="36">
        <v>0.06264094211976948</v>
      </c>
      <c r="T622" s="36">
        <v>4.974943623152092</v>
      </c>
      <c r="U622" s="36"/>
      <c r="V622" s="36">
        <v>42.694813329992485</v>
      </c>
      <c r="W622" s="37">
        <v>2.247095438420657</v>
      </c>
      <c r="X622" s="42">
        <v>760000.0</v>
      </c>
      <c r="Y622" s="36">
        <v>999.9999999999999</v>
      </c>
      <c r="Z622" s="36">
        <v>79420.0</v>
      </c>
      <c r="AA622" s="36"/>
      <c r="AB622" s="36">
        <v>681580.0</v>
      </c>
      <c r="AC622" s="37">
        <v>35872.63157894737</v>
      </c>
      <c r="AD622" s="31"/>
      <c r="AE622" s="11"/>
      <c r="AF622" s="11"/>
    </row>
    <row r="623">
      <c r="A623" s="11" t="s">
        <v>646</v>
      </c>
      <c r="B623" s="39">
        <v>45409.65833333333</v>
      </c>
      <c r="C623" s="40">
        <v>45411.658839895834</v>
      </c>
      <c r="D623" s="27" t="s">
        <v>33</v>
      </c>
      <c r="E623" s="11" t="b">
        <v>0</v>
      </c>
      <c r="F623" s="11" t="s">
        <v>38</v>
      </c>
      <c r="G623" s="11" t="s">
        <v>428</v>
      </c>
      <c r="H623" s="11" t="s">
        <v>428</v>
      </c>
      <c r="I623" s="30">
        <v>5.0</v>
      </c>
      <c r="J623" s="31">
        <v>35.0</v>
      </c>
      <c r="K623" s="11">
        <v>1.0</v>
      </c>
      <c r="L623" s="32">
        <f>(25500)/P623</f>
        <v>1.570100363</v>
      </c>
      <c r="M623" s="32">
        <f>(1000)/2/P623</f>
        <v>0.03078628163</v>
      </c>
      <c r="N623" s="32">
        <f>(44625 + 30000 + 4239)/P623</f>
        <v>4.855858629</v>
      </c>
      <c r="O623" s="32">
        <v>0.0</v>
      </c>
      <c r="P623" s="33">
        <v>16241.0</v>
      </c>
      <c r="Q623" s="34">
        <v>35.0</v>
      </c>
      <c r="R623" s="42">
        <v>54.95351271473431</v>
      </c>
      <c r="S623" s="36">
        <v>0.030786281632904377</v>
      </c>
      <c r="T623" s="36">
        <v>4.855858629394742</v>
      </c>
      <c r="U623" s="36"/>
      <c r="V623" s="36">
        <v>50.12844036697247</v>
      </c>
      <c r="W623" s="37">
        <v>1.4322411533420705</v>
      </c>
      <c r="X623" s="42">
        <v>892499.9999999999</v>
      </c>
      <c r="Y623" s="36">
        <v>500.0</v>
      </c>
      <c r="Z623" s="36">
        <v>78864.0</v>
      </c>
      <c r="AA623" s="36"/>
      <c r="AB623" s="36">
        <v>814135.9999999999</v>
      </c>
      <c r="AC623" s="37">
        <v>23261.028571428567</v>
      </c>
      <c r="AD623" s="31"/>
      <c r="AE623" s="11"/>
      <c r="AF623" s="11"/>
    </row>
    <row r="624">
      <c r="A624" s="43" t="s">
        <v>646</v>
      </c>
      <c r="B624" s="39">
        <v>45374.678941122686</v>
      </c>
      <c r="C624" s="40">
        <v>45459.645833333336</v>
      </c>
      <c r="D624" s="27" t="s">
        <v>33</v>
      </c>
      <c r="E624" s="11" t="b">
        <v>1</v>
      </c>
      <c r="F624" s="11" t="s">
        <v>34</v>
      </c>
      <c r="G624" s="44" t="s">
        <v>647</v>
      </c>
      <c r="H624" s="11" t="s">
        <v>648</v>
      </c>
      <c r="I624" s="30">
        <v>5.0</v>
      </c>
      <c r="J624" s="31">
        <v>200.0</v>
      </c>
      <c r="K624" s="11">
        <v>1.0</v>
      </c>
      <c r="L624" s="32">
        <f>(24010)/P624</f>
        <v>1.53664</v>
      </c>
      <c r="M624" s="32">
        <v>0.0</v>
      </c>
      <c r="N624" s="32">
        <v>0.0</v>
      </c>
      <c r="O624" s="32">
        <v>0.0</v>
      </c>
      <c r="P624" s="33">
        <v>15625.0</v>
      </c>
      <c r="Q624" s="34">
        <v>200.0</v>
      </c>
      <c r="R624" s="42">
        <v>307.328</v>
      </c>
      <c r="S624" s="36"/>
      <c r="T624" s="36"/>
      <c r="U624" s="36"/>
      <c r="V624" s="36">
        <v>307.328</v>
      </c>
      <c r="W624" s="37">
        <v>1.5366399999999998</v>
      </c>
      <c r="X624" s="42">
        <v>4802000.0</v>
      </c>
      <c r="Y624" s="36"/>
      <c r="Z624" s="36"/>
      <c r="AA624" s="36"/>
      <c r="AB624" s="36">
        <v>4802000.0</v>
      </c>
      <c r="AC624" s="37">
        <v>24010.0</v>
      </c>
      <c r="AD624" s="31"/>
      <c r="AE624" s="11"/>
      <c r="AF624" s="11"/>
    </row>
    <row r="625">
      <c r="A625" s="11" t="s">
        <v>646</v>
      </c>
      <c r="B625" s="39">
        <v>45372.63888888889</v>
      </c>
      <c r="C625" s="40">
        <v>45375.57344907407</v>
      </c>
      <c r="D625" s="27" t="s">
        <v>37</v>
      </c>
      <c r="E625" s="11" t="b">
        <v>0</v>
      </c>
      <c r="F625" s="11" t="s">
        <v>249</v>
      </c>
      <c r="G625" s="11" t="s">
        <v>249</v>
      </c>
      <c r="H625" s="11" t="s">
        <v>249</v>
      </c>
      <c r="I625" s="30">
        <v>5.0</v>
      </c>
      <c r="J625" s="31">
        <v>50.0</v>
      </c>
      <c r="K625" s="11">
        <v>1.0</v>
      </c>
      <c r="L625" s="32">
        <f>(26125)/P625</f>
        <v>1.66560408</v>
      </c>
      <c r="M625" s="32">
        <v>0.0</v>
      </c>
      <c r="N625" s="32">
        <v>0.0</v>
      </c>
      <c r="O625" s="32">
        <v>0.0</v>
      </c>
      <c r="P625" s="33">
        <v>15685.0</v>
      </c>
      <c r="Q625" s="34">
        <v>50.0</v>
      </c>
      <c r="R625" s="42">
        <v>83.28020401657635</v>
      </c>
      <c r="S625" s="36"/>
      <c r="T625" s="36"/>
      <c r="U625" s="36"/>
      <c r="V625" s="36">
        <v>83.28020401657635</v>
      </c>
      <c r="W625" s="37">
        <v>1.665604080331527</v>
      </c>
      <c r="X625" s="42">
        <v>1306250.0</v>
      </c>
      <c r="Y625" s="36"/>
      <c r="Z625" s="36"/>
      <c r="AA625" s="36"/>
      <c r="AB625" s="36">
        <v>1306250.0</v>
      </c>
      <c r="AC625" s="37">
        <v>26125.0</v>
      </c>
      <c r="AD625" s="31"/>
      <c r="AE625" s="11"/>
      <c r="AF625" s="11"/>
    </row>
    <row r="626">
      <c r="A626" s="11" t="s">
        <v>646</v>
      </c>
      <c r="B626" s="39">
        <v>45250.74079570602</v>
      </c>
      <c r="C626" s="40">
        <v>45320.62021990741</v>
      </c>
      <c r="D626" s="27" t="s">
        <v>33</v>
      </c>
      <c r="E626" s="11" t="b">
        <v>1</v>
      </c>
      <c r="F626" s="11" t="s">
        <v>34</v>
      </c>
      <c r="G626" s="11" t="s">
        <v>45</v>
      </c>
      <c r="H626" s="11"/>
      <c r="I626" s="30">
        <v>5.0</v>
      </c>
      <c r="J626" s="31">
        <v>100.0</v>
      </c>
      <c r="K626" s="11">
        <v>1.0</v>
      </c>
      <c r="L626" s="32">
        <f>23371/P626</f>
        <v>1.514646792</v>
      </c>
      <c r="M626" s="32">
        <v>0.0</v>
      </c>
      <c r="N626" s="32">
        <v>0.0</v>
      </c>
      <c r="O626" s="32">
        <v>0.0</v>
      </c>
      <c r="P626" s="58">
        <v>15430.0</v>
      </c>
      <c r="Q626" s="34">
        <v>100.0</v>
      </c>
      <c r="R626" s="42">
        <v>151.4646791963707</v>
      </c>
      <c r="S626" s="36"/>
      <c r="T626" s="36"/>
      <c r="U626" s="36"/>
      <c r="V626" s="36">
        <v>151.4646791963707</v>
      </c>
      <c r="W626" s="37">
        <v>1.514646791963707</v>
      </c>
      <c r="X626" s="42">
        <v>2337100.0</v>
      </c>
      <c r="Y626" s="36"/>
      <c r="Z626" s="36"/>
      <c r="AA626" s="36"/>
      <c r="AB626" s="36">
        <v>2337100.0</v>
      </c>
      <c r="AC626" s="37">
        <v>23371.0</v>
      </c>
      <c r="AD626" s="31"/>
      <c r="AE626" s="11"/>
      <c r="AF626" s="11"/>
    </row>
    <row r="627">
      <c r="A627" s="11" t="s">
        <v>646</v>
      </c>
      <c r="B627" s="39">
        <v>45211.9875</v>
      </c>
      <c r="C627" s="40">
        <v>45247.583333333336</v>
      </c>
      <c r="D627" s="27" t="s">
        <v>33</v>
      </c>
      <c r="E627" s="11" t="b">
        <v>1</v>
      </c>
      <c r="F627" s="11" t="s">
        <v>57</v>
      </c>
      <c r="G627" s="11"/>
      <c r="H627" s="11" t="s">
        <v>649</v>
      </c>
      <c r="I627" s="30">
        <v>5.0</v>
      </c>
      <c r="J627" s="31">
        <v>1.0</v>
      </c>
      <c r="K627" s="11">
        <v>1.0</v>
      </c>
      <c r="L627" s="32">
        <f>0.49</f>
        <v>0.49</v>
      </c>
      <c r="M627" s="32">
        <f>12818/P627</f>
        <v>0.7984220088</v>
      </c>
      <c r="N627" s="32">
        <v>0.01</v>
      </c>
      <c r="O627" s="32">
        <v>0.0</v>
      </c>
      <c r="P627" s="58">
        <f>7706/(0.48)</f>
        <v>16054.16667</v>
      </c>
      <c r="Q627" s="34">
        <v>1.0</v>
      </c>
      <c r="R627" s="42">
        <v>0.49</v>
      </c>
      <c r="S627" s="36">
        <v>0.7984220088242927</v>
      </c>
      <c r="T627" s="36">
        <v>0.01</v>
      </c>
      <c r="U627" s="36"/>
      <c r="V627" s="36">
        <v>1.2784220088242926</v>
      </c>
      <c r="W627" s="37">
        <v>1.2784220088242926</v>
      </c>
      <c r="X627" s="42">
        <v>7866.541666666667</v>
      </c>
      <c r="Y627" s="36">
        <v>12818.0</v>
      </c>
      <c r="Z627" s="36">
        <v>160.54166666666669</v>
      </c>
      <c r="AA627" s="36"/>
      <c r="AB627" s="36">
        <v>20524.0</v>
      </c>
      <c r="AC627" s="37">
        <v>20524.0</v>
      </c>
      <c r="AD627" s="31"/>
      <c r="AE627" s="11"/>
      <c r="AF627" s="11"/>
    </row>
    <row r="628">
      <c r="A628" s="11" t="s">
        <v>650</v>
      </c>
      <c r="B628" s="77">
        <v>45986.02361111111</v>
      </c>
      <c r="C628" s="40">
        <v>45990.55416666667</v>
      </c>
      <c r="D628" s="27" t="s">
        <v>37</v>
      </c>
      <c r="E628" s="11" t="b">
        <v>0</v>
      </c>
      <c r="F628" s="11" t="s">
        <v>49</v>
      </c>
      <c r="G628" s="11" t="s">
        <v>651</v>
      </c>
      <c r="H628" s="11" t="s">
        <v>652</v>
      </c>
      <c r="I628" s="30">
        <v>5.0</v>
      </c>
      <c r="J628" s="31">
        <v>300.0</v>
      </c>
      <c r="K628" s="11">
        <v>1.0</v>
      </c>
      <c r="L628" s="32">
        <f>(125)/P628</f>
        <v>125</v>
      </c>
      <c r="M628" s="32">
        <f>(218/6)/P628</f>
        <v>36.33333333</v>
      </c>
      <c r="N628" s="32">
        <f>(X628*15%)/P628</f>
        <v>5625</v>
      </c>
      <c r="O628" s="32">
        <v>0.0</v>
      </c>
      <c r="P628" s="33">
        <v>1.0</v>
      </c>
      <c r="Q628" s="34">
        <v>300.0</v>
      </c>
      <c r="R628" s="42">
        <v>37500.0</v>
      </c>
      <c r="S628" s="36">
        <v>36.333333333333336</v>
      </c>
      <c r="T628" s="36">
        <v>5625.0</v>
      </c>
      <c r="U628" s="36"/>
      <c r="V628" s="36">
        <v>31911.333333333336</v>
      </c>
      <c r="W628" s="37">
        <v>106.37111111111112</v>
      </c>
      <c r="X628" s="42">
        <v>37500.0</v>
      </c>
      <c r="Y628" s="36">
        <v>36.333333333333336</v>
      </c>
      <c r="Z628" s="36">
        <v>5625.0</v>
      </c>
      <c r="AA628" s="36"/>
      <c r="AB628" s="36">
        <v>31911.333333333336</v>
      </c>
      <c r="AC628" s="37">
        <v>106.37111111111112</v>
      </c>
      <c r="AD628" s="31"/>
      <c r="AE628" s="11"/>
      <c r="AF628" s="11"/>
    </row>
    <row r="629">
      <c r="A629" s="11" t="s">
        <v>650</v>
      </c>
      <c r="B629" s="39">
        <v>45202.3540625</v>
      </c>
      <c r="C629" s="40">
        <v>45232.63928240741</v>
      </c>
      <c r="D629" s="27" t="s">
        <v>33</v>
      </c>
      <c r="E629" s="11" t="b">
        <v>1</v>
      </c>
      <c r="F629" s="11" t="s">
        <v>46</v>
      </c>
      <c r="G629" s="61"/>
      <c r="H629" s="46" t="s">
        <v>46</v>
      </c>
      <c r="I629" s="30">
        <v>5.0</v>
      </c>
      <c r="J629" s="31">
        <v>20000.0</v>
      </c>
      <c r="K629" s="11">
        <v>1.0</v>
      </c>
      <c r="L629" s="32">
        <f>90/P629</f>
        <v>0.005764057897</v>
      </c>
      <c r="M629" s="32">
        <v>0.0</v>
      </c>
      <c r="N629" s="32">
        <v>0.0</v>
      </c>
      <c r="O629" s="32">
        <v>0.0</v>
      </c>
      <c r="P629" s="33">
        <v>15614.0</v>
      </c>
      <c r="Q629" s="34">
        <v>20000.0</v>
      </c>
      <c r="R629" s="42">
        <v>115.28115793518637</v>
      </c>
      <c r="S629" s="36"/>
      <c r="T629" s="36"/>
      <c r="U629" s="36"/>
      <c r="V629" s="36">
        <v>115.28115793518637</v>
      </c>
      <c r="W629" s="37">
        <v>0.005764057896759318</v>
      </c>
      <c r="X629" s="42">
        <v>1800000.0</v>
      </c>
      <c r="Y629" s="36"/>
      <c r="Z629" s="36"/>
      <c r="AA629" s="36"/>
      <c r="AB629" s="36">
        <v>1800000.0</v>
      </c>
      <c r="AC629" s="37">
        <v>90.0</v>
      </c>
      <c r="AD629" s="31"/>
      <c r="AE629" s="11"/>
      <c r="AF629" s="11"/>
    </row>
    <row r="630">
      <c r="A630" s="11" t="s">
        <v>650</v>
      </c>
      <c r="B630" s="39">
        <v>44874.0</v>
      </c>
      <c r="C630" s="40">
        <v>44921.0</v>
      </c>
      <c r="D630" s="27" t="s">
        <v>33</v>
      </c>
      <c r="E630" s="11" t="b">
        <v>1</v>
      </c>
      <c r="F630" s="11" t="s">
        <v>46</v>
      </c>
      <c r="G630" s="11" t="s">
        <v>46</v>
      </c>
      <c r="H630" s="11" t="s">
        <v>47</v>
      </c>
      <c r="I630" s="30">
        <v>5.0</v>
      </c>
      <c r="J630" s="31">
        <v>10000.0</v>
      </c>
      <c r="K630" s="11">
        <v>1.0</v>
      </c>
      <c r="L630" s="32">
        <f>98/P630</f>
        <v>0.006282051282</v>
      </c>
      <c r="M630" s="32">
        <f>(1000+1000+1000+9500)/7/P630</f>
        <v>0.1144688645</v>
      </c>
      <c r="N630" s="32">
        <f>(500000/7)/P630</f>
        <v>4.578754579</v>
      </c>
      <c r="O630" s="32">
        <v>0.0</v>
      </c>
      <c r="P630" s="33">
        <v>15600.0</v>
      </c>
      <c r="Q630" s="34">
        <v>10000.0</v>
      </c>
      <c r="R630" s="42">
        <v>62.82051282051282</v>
      </c>
      <c r="S630" s="36">
        <v>0.11446886446886448</v>
      </c>
      <c r="T630" s="36">
        <v>4.578754578754579</v>
      </c>
      <c r="U630" s="36"/>
      <c r="V630" s="36">
        <v>58.3562271062271</v>
      </c>
      <c r="W630" s="37">
        <v>0.00583562271062271</v>
      </c>
      <c r="X630" s="42">
        <v>980000.0</v>
      </c>
      <c r="Y630" s="36">
        <v>1785.7142857142858</v>
      </c>
      <c r="Z630" s="36">
        <v>71428.57142857143</v>
      </c>
      <c r="AA630" s="36"/>
      <c r="AB630" s="36">
        <v>910357.1428571428</v>
      </c>
      <c r="AC630" s="37">
        <v>91.03571428571428</v>
      </c>
      <c r="AD630" s="31"/>
      <c r="AE630" s="11"/>
      <c r="AF630" s="11"/>
    </row>
    <row r="631">
      <c r="A631" s="11" t="s">
        <v>650</v>
      </c>
      <c r="B631" s="39">
        <v>44119.468419108794</v>
      </c>
      <c r="C631" s="40">
        <v>44126.56829814815</v>
      </c>
      <c r="D631" s="27" t="s">
        <v>163</v>
      </c>
      <c r="E631" s="11" t="b">
        <v>1</v>
      </c>
      <c r="F631" s="11" t="s">
        <v>49</v>
      </c>
      <c r="G631" s="45" t="s">
        <v>653</v>
      </c>
      <c r="H631" s="46" t="s">
        <v>654</v>
      </c>
      <c r="I631" s="30">
        <v>5.0</v>
      </c>
      <c r="J631" s="31">
        <v>3.0</v>
      </c>
      <c r="K631" s="11">
        <v>1000.0</v>
      </c>
      <c r="L631" s="32">
        <f t="shared" ref="L631:L632" si="176">132946/P631</f>
        <v>13.2946</v>
      </c>
      <c r="M631" s="32">
        <f>9000/P631</f>
        <v>0.9</v>
      </c>
      <c r="N631" s="91">
        <v>0.0</v>
      </c>
      <c r="O631" s="32">
        <f>9000/P631</f>
        <v>0.9</v>
      </c>
      <c r="P631" s="33">
        <v>10000.0</v>
      </c>
      <c r="Q631" s="34">
        <v>3000.0</v>
      </c>
      <c r="R631" s="42">
        <v>39.8838</v>
      </c>
      <c r="S631" s="36">
        <v>0.9</v>
      </c>
      <c r="T631" s="36"/>
      <c r="U631" s="36">
        <v>0.9</v>
      </c>
      <c r="V631" s="36">
        <v>39.8838</v>
      </c>
      <c r="W631" s="37">
        <v>0.0132946</v>
      </c>
      <c r="X631" s="42">
        <v>398838.0</v>
      </c>
      <c r="Y631" s="36">
        <v>9000.0</v>
      </c>
      <c r="Z631" s="36"/>
      <c r="AA631" s="36">
        <v>9000.0</v>
      </c>
      <c r="AB631" s="36">
        <v>398838.0</v>
      </c>
      <c r="AC631" s="37">
        <v>132.946</v>
      </c>
      <c r="AD631" s="31">
        <v>180.0</v>
      </c>
      <c r="AE631" s="11"/>
      <c r="AF631" s="11"/>
    </row>
    <row r="632">
      <c r="A632" s="11" t="s">
        <v>650</v>
      </c>
      <c r="B632" s="39">
        <v>43984.0</v>
      </c>
      <c r="C632" s="40">
        <v>43988.0</v>
      </c>
      <c r="D632" s="27" t="s">
        <v>48</v>
      </c>
      <c r="E632" s="11" t="b">
        <v>1</v>
      </c>
      <c r="F632" s="11" t="s">
        <v>49</v>
      </c>
      <c r="G632" s="45" t="s">
        <v>655</v>
      </c>
      <c r="H632" s="46" t="s">
        <v>656</v>
      </c>
      <c r="I632" s="33">
        <v>5.0</v>
      </c>
      <c r="J632" s="31">
        <v>2.0</v>
      </c>
      <c r="K632" s="11">
        <v>1000.0</v>
      </c>
      <c r="L632" s="32">
        <f t="shared" si="176"/>
        <v>13.2946</v>
      </c>
      <c r="M632" s="32">
        <v>0.0</v>
      </c>
      <c r="N632" s="91">
        <v>0.0</v>
      </c>
      <c r="O632" s="83">
        <v>0.0</v>
      </c>
      <c r="P632" s="33">
        <v>10000.0</v>
      </c>
      <c r="Q632" s="34">
        <v>2000.0</v>
      </c>
      <c r="R632" s="42">
        <v>26.5892</v>
      </c>
      <c r="S632" s="36"/>
      <c r="T632" s="36"/>
      <c r="U632" s="36"/>
      <c r="V632" s="36">
        <v>26.5892</v>
      </c>
      <c r="W632" s="37">
        <v>0.0132946</v>
      </c>
      <c r="X632" s="42">
        <v>265892.0</v>
      </c>
      <c r="Y632" s="36"/>
      <c r="Z632" s="36"/>
      <c r="AA632" s="36"/>
      <c r="AB632" s="36">
        <v>265892.0</v>
      </c>
      <c r="AC632" s="37">
        <v>132.946</v>
      </c>
      <c r="AD632" s="31"/>
      <c r="AE632" s="11"/>
      <c r="AF632" s="11"/>
    </row>
    <row r="633">
      <c r="A633" s="11" t="s">
        <v>650</v>
      </c>
      <c r="B633" s="39">
        <v>43544.6365833912</v>
      </c>
      <c r="C633" s="40">
        <v>43563.0</v>
      </c>
      <c r="D633" s="27" t="s">
        <v>56</v>
      </c>
      <c r="E633" s="11" t="b">
        <v>1</v>
      </c>
      <c r="F633" s="11" t="s">
        <v>57</v>
      </c>
      <c r="G633" s="59" t="str">
        <f t="shared" ref="G633:G635" si="177">"https://www.aliexpress.com/item/Free-Shipping-1000pcs-lot-2N2222-2N2222A-Transistor-NPN-Switching-Transistors-TO-92-0-6A-30V-Best/32842281577.html?spm=2114.search0104.3.90.270062645IYpjn&amp;ws_ab_test=searchweb0_0,searchweb201602_5_10065_10068_319_10059_1088"&amp;"4_317_10887_10696_100031_321_322_10084_453_10083_454_10103_433_10618_431_10307_537_536,searchweb201603_51,ppcSwitch_0&amp;algo_expid=5abeaa64-f04e-4fd4-91c1-70f3e4caddb0-14&amp;algo_pvid=5abeaa64-f04e-4fd4-91c1-70f3e4caddb0&amp;transAbTest=ae803_4"</f>
        <v>https://www.aliexpress.com/item/Free-Shipping-1000pcs-lot-2N2222-2N2222A-Transistor-NPN-Switching-Transistors-TO-92-0-6A-30V-Best/32842281577.html?spm=2114.search0104.3.90.270062645IYpjn&amp;ws_ab_test=searchweb0_0,searchweb201602_5_10065_10068_319_10059_10884_317_10887_10696_100031_321_322_10084_453_10083_454_10103_433_10618_431_10307_537_536,searchweb201603_51,ppcSwitch_0&amp;algo_expid=5abeaa64-f04e-4fd4-91c1-70f3e4caddb0-14&amp;algo_pvid=5abeaa64-f04e-4fd4-91c1-70f3e4caddb0&amp;transAbTest=ae803_4</v>
      </c>
      <c r="H633" s="11" t="s">
        <v>657</v>
      </c>
      <c r="I633" s="33"/>
      <c r="J633" s="31">
        <v>3.0</v>
      </c>
      <c r="K633" s="11">
        <v>1000.0</v>
      </c>
      <c r="L633" s="32">
        <v>7.23</v>
      </c>
      <c r="M633" s="32">
        <v>0.0</v>
      </c>
      <c r="N633" s="91">
        <v>0.0</v>
      </c>
      <c r="O633" s="83">
        <v>0.0</v>
      </c>
      <c r="P633" s="33">
        <f>314787/(7.23*3)</f>
        <v>14513.00138</v>
      </c>
      <c r="Q633" s="34">
        <v>3000.0</v>
      </c>
      <c r="R633" s="42">
        <v>21.69</v>
      </c>
      <c r="S633" s="36"/>
      <c r="T633" s="36"/>
      <c r="U633" s="36"/>
      <c r="V633" s="36">
        <v>21.69</v>
      </c>
      <c r="W633" s="37">
        <v>0.00723</v>
      </c>
      <c r="X633" s="42">
        <v>314787.0</v>
      </c>
      <c r="Y633" s="36"/>
      <c r="Z633" s="36"/>
      <c r="AA633" s="36"/>
      <c r="AB633" s="36">
        <v>314787.0</v>
      </c>
      <c r="AC633" s="37">
        <v>104.929</v>
      </c>
      <c r="AD633" s="31">
        <v>200.0</v>
      </c>
      <c r="AE633" s="11">
        <v>500.0</v>
      </c>
      <c r="AF633" s="11" t="s">
        <v>100</v>
      </c>
    </row>
    <row r="634">
      <c r="A634" s="11" t="s">
        <v>650</v>
      </c>
      <c r="B634" s="39">
        <v>43543.8781034375</v>
      </c>
      <c r="C634" s="40">
        <v>43573.975147731486</v>
      </c>
      <c r="D634" s="27" t="s">
        <v>98</v>
      </c>
      <c r="E634" s="11" t="b">
        <v>1</v>
      </c>
      <c r="F634" s="11" t="s">
        <v>57</v>
      </c>
      <c r="G634" s="59" t="str">
        <f t="shared" si="177"/>
        <v>https://www.aliexpress.com/item/Free-Shipping-1000pcs-lot-2N2222-2N2222A-Transistor-NPN-Switching-Transistors-TO-92-0-6A-30V-Best/32842281577.html?spm=2114.search0104.3.90.270062645IYpjn&amp;ws_ab_test=searchweb0_0,searchweb201602_5_10065_10068_319_10059_10884_317_10887_10696_100031_321_322_10084_453_10083_454_10103_433_10618_431_10307_537_536,searchweb201603_51,ppcSwitch_0&amp;algo_expid=5abeaa64-f04e-4fd4-91c1-70f3e4caddb0-14&amp;algo_pvid=5abeaa64-f04e-4fd4-91c1-70f3e4caddb0&amp;transAbTest=ae803_4</v>
      </c>
      <c r="H634" s="11" t="s">
        <v>658</v>
      </c>
      <c r="I634" s="33"/>
      <c r="J634" s="31">
        <v>2.0</v>
      </c>
      <c r="K634" s="11">
        <v>1000.0</v>
      </c>
      <c r="L634" s="32">
        <v>7.23</v>
      </c>
      <c r="M634" s="32">
        <v>0.0</v>
      </c>
      <c r="N634" s="83">
        <v>0.0</v>
      </c>
      <c r="O634" s="83">
        <v>0.0</v>
      </c>
      <c r="P634" s="33">
        <f>209858/(7.23*2)</f>
        <v>14513.00138</v>
      </c>
      <c r="Q634" s="34">
        <v>2000.0</v>
      </c>
      <c r="R634" s="42">
        <v>14.46</v>
      </c>
      <c r="S634" s="36"/>
      <c r="T634" s="36"/>
      <c r="U634" s="36"/>
      <c r="V634" s="36">
        <v>14.46</v>
      </c>
      <c r="W634" s="37">
        <v>0.00723</v>
      </c>
      <c r="X634" s="42">
        <v>209858.0</v>
      </c>
      <c r="Y634" s="36"/>
      <c r="Z634" s="36"/>
      <c r="AA634" s="36"/>
      <c r="AB634" s="36">
        <v>209858.0</v>
      </c>
      <c r="AC634" s="37">
        <v>104.929</v>
      </c>
      <c r="AD634" s="31">
        <v>200.0</v>
      </c>
      <c r="AE634" s="11">
        <v>500.0</v>
      </c>
      <c r="AF634" s="11"/>
    </row>
    <row r="635">
      <c r="A635" s="11" t="s">
        <v>650</v>
      </c>
      <c r="B635" s="39">
        <v>43491.0</v>
      </c>
      <c r="C635" s="40">
        <v>43523.0</v>
      </c>
      <c r="D635" s="27" t="s">
        <v>56</v>
      </c>
      <c r="E635" s="28" t="b">
        <v>1</v>
      </c>
      <c r="F635" s="11" t="s">
        <v>57</v>
      </c>
      <c r="G635" s="59" t="str">
        <f t="shared" si="177"/>
        <v>https://www.aliexpress.com/item/Free-Shipping-1000pcs-lot-2N2222-2N2222A-Transistor-NPN-Switching-Transistors-TO-92-0-6A-30V-Best/32842281577.html?spm=2114.search0104.3.90.270062645IYpjn&amp;ws_ab_test=searchweb0_0,searchweb201602_5_10065_10068_319_10059_10884_317_10887_10696_100031_321_322_10084_453_10083_454_10103_433_10618_431_10307_537_536,searchweb201603_51,ppcSwitch_0&amp;algo_expid=5abeaa64-f04e-4fd4-91c1-70f3e4caddb0-14&amp;algo_pvid=5abeaa64-f04e-4fd4-91c1-70f3e4caddb0&amp;transAbTest=ae803_4</v>
      </c>
      <c r="H635" s="11" t="s">
        <v>659</v>
      </c>
      <c r="I635" s="33"/>
      <c r="J635" s="31">
        <v>1.0</v>
      </c>
      <c r="K635" s="11">
        <v>1000.0</v>
      </c>
      <c r="L635" s="32">
        <v>7.38</v>
      </c>
      <c r="M635" s="32">
        <v>0.0</v>
      </c>
      <c r="N635" s="83">
        <v>0.0</v>
      </c>
      <c r="O635" s="83">
        <v>0.0</v>
      </c>
      <c r="P635" s="58">
        <f>1052970/(9.99+1*3.11+1*2.94+1*3.21+17.78+100*0.0738+0.75+0.9+3.56+0.65+1.48+0.95+4.67+1.88+0.72+0.41+8.52+2.69+1.3)</f>
        <v>14446.01454</v>
      </c>
      <c r="Q635" s="34">
        <v>1000.0</v>
      </c>
      <c r="R635" s="42">
        <v>7.38</v>
      </c>
      <c r="S635" s="36"/>
      <c r="T635" s="36"/>
      <c r="U635" s="36"/>
      <c r="V635" s="36">
        <v>7.38</v>
      </c>
      <c r="W635" s="37">
        <v>0.00738</v>
      </c>
      <c r="X635" s="42">
        <v>106611.58732336397</v>
      </c>
      <c r="Y635" s="36"/>
      <c r="Z635" s="36"/>
      <c r="AA635" s="36"/>
      <c r="AB635" s="36">
        <v>106611.58732336397</v>
      </c>
      <c r="AC635" s="37">
        <v>106.61158732336398</v>
      </c>
      <c r="AD635" s="31">
        <v>175.0</v>
      </c>
      <c r="AE635" s="11">
        <v>500.0</v>
      </c>
      <c r="AF635" s="11" t="s">
        <v>100</v>
      </c>
    </row>
    <row r="636">
      <c r="A636" s="11" t="s">
        <v>660</v>
      </c>
      <c r="B636" s="39">
        <v>45955.03194444445</v>
      </c>
      <c r="C636" s="40">
        <v>45958.885416666664</v>
      </c>
      <c r="D636" s="27" t="s">
        <v>33</v>
      </c>
      <c r="E636" s="11" t="b">
        <v>0</v>
      </c>
      <c r="F636" s="11" t="s">
        <v>49</v>
      </c>
      <c r="G636" s="11" t="s">
        <v>651</v>
      </c>
      <c r="H636" s="11" t="s">
        <v>661</v>
      </c>
      <c r="I636" s="30">
        <v>5.0</v>
      </c>
      <c r="J636" s="31">
        <v>1000.0</v>
      </c>
      <c r="K636" s="11">
        <v>1.0</v>
      </c>
      <c r="L636" s="32">
        <f t="shared" ref="L636:L646" si="178">(125)/P636</f>
        <v>0.007521058965</v>
      </c>
      <c r="M636" s="32">
        <f>(1000/11)/P636</f>
        <v>0.005469861066</v>
      </c>
      <c r="N636" s="32">
        <f>(X636*15%)/P636</f>
        <v>1.128158845</v>
      </c>
      <c r="O636" s="32">
        <v>0.0</v>
      </c>
      <c r="P636" s="33">
        <v>16620.0</v>
      </c>
      <c r="Q636" s="34">
        <v>1000.0</v>
      </c>
      <c r="R636" s="42">
        <v>7.521058965102286</v>
      </c>
      <c r="S636" s="36">
        <v>0.005469861065528935</v>
      </c>
      <c r="T636" s="36">
        <v>1.128158844765343</v>
      </c>
      <c r="U636" s="36"/>
      <c r="V636" s="36">
        <v>6.398369981402472</v>
      </c>
      <c r="W636" s="37">
        <v>0.0063983699814024715</v>
      </c>
      <c r="X636" s="42">
        <v>125000.0</v>
      </c>
      <c r="Y636" s="36">
        <v>90.9090909090909</v>
      </c>
      <c r="Z636" s="36">
        <v>18750.0</v>
      </c>
      <c r="AA636" s="36"/>
      <c r="AB636" s="36">
        <v>106340.90909090909</v>
      </c>
      <c r="AC636" s="37">
        <v>106.3409090909091</v>
      </c>
      <c r="AD636" s="31"/>
      <c r="AE636" s="11"/>
      <c r="AF636" s="11"/>
    </row>
    <row r="637">
      <c r="A637" s="11" t="s">
        <v>660</v>
      </c>
      <c r="B637" s="39">
        <v>45940.01527777778</v>
      </c>
      <c r="C637" s="40">
        <v>45943.48333333333</v>
      </c>
      <c r="D637" s="27" t="s">
        <v>37</v>
      </c>
      <c r="E637" s="11" t="b">
        <v>0</v>
      </c>
      <c r="F637" s="11" t="s">
        <v>49</v>
      </c>
      <c r="G637" s="11" t="s">
        <v>651</v>
      </c>
      <c r="H637" s="11" t="s">
        <v>662</v>
      </c>
      <c r="I637" s="30">
        <v>5.0</v>
      </c>
      <c r="J637" s="31">
        <v>1000.0</v>
      </c>
      <c r="K637" s="11">
        <v>1.0</v>
      </c>
      <c r="L637" s="32">
        <f t="shared" si="178"/>
        <v>0.00753920386</v>
      </c>
      <c r="M637" s="32">
        <f>(1214/4)/P637</f>
        <v>0.01830518697</v>
      </c>
      <c r="N637" s="32">
        <f>(60000/4)/P637</f>
        <v>0.9047044632</v>
      </c>
      <c r="O637" s="32">
        <v>0.0</v>
      </c>
      <c r="P637" s="33">
        <v>16580.0</v>
      </c>
      <c r="Q637" s="34">
        <v>1000.0</v>
      </c>
      <c r="R637" s="42">
        <v>7.5392038600723765</v>
      </c>
      <c r="S637" s="36">
        <v>0.01830518697225573</v>
      </c>
      <c r="T637" s="36">
        <v>0.9047044632086851</v>
      </c>
      <c r="U637" s="36"/>
      <c r="V637" s="36">
        <v>6.652804583835947</v>
      </c>
      <c r="W637" s="37">
        <v>0.0066528045838359475</v>
      </c>
      <c r="X637" s="42">
        <v>125000.0</v>
      </c>
      <c r="Y637" s="36">
        <v>303.5</v>
      </c>
      <c r="Z637" s="36">
        <v>15000.0</v>
      </c>
      <c r="AA637" s="36"/>
      <c r="AB637" s="36">
        <v>110303.5</v>
      </c>
      <c r="AC637" s="37">
        <v>110.3035</v>
      </c>
      <c r="AD637" s="31"/>
      <c r="AE637" s="11"/>
      <c r="AF637" s="11"/>
    </row>
    <row r="638">
      <c r="A638" s="11" t="s">
        <v>660</v>
      </c>
      <c r="B638" s="39">
        <v>45563.55902777778</v>
      </c>
      <c r="C638" s="40">
        <v>45568.660416666666</v>
      </c>
      <c r="D638" s="27" t="s">
        <v>37</v>
      </c>
      <c r="E638" s="11" t="b">
        <v>0</v>
      </c>
      <c r="F638" s="11" t="s">
        <v>49</v>
      </c>
      <c r="G638" s="11" t="s">
        <v>651</v>
      </c>
      <c r="H638" s="11" t="s">
        <v>663</v>
      </c>
      <c r="I638" s="30">
        <v>5.0</v>
      </c>
      <c r="J638" s="31">
        <v>100.0</v>
      </c>
      <c r="K638" s="11">
        <v>1.0</v>
      </c>
      <c r="L638" s="32">
        <f t="shared" si="178"/>
        <v>0.008223684211</v>
      </c>
      <c r="M638" s="32">
        <f>(5)/P638</f>
        <v>0.0003289473684</v>
      </c>
      <c r="N638" s="32">
        <f>(3750/3)/P638</f>
        <v>0.08223684211</v>
      </c>
      <c r="O638" s="32">
        <v>0.0</v>
      </c>
      <c r="P638" s="33">
        <v>15200.0</v>
      </c>
      <c r="Q638" s="34">
        <v>100.0</v>
      </c>
      <c r="R638" s="42">
        <v>0.8223684210526315</v>
      </c>
      <c r="S638" s="36">
        <v>3.289473684210526E-4</v>
      </c>
      <c r="T638" s="36">
        <v>0.08223684210526316</v>
      </c>
      <c r="U638" s="36"/>
      <c r="V638" s="36">
        <v>0.7404605263157894</v>
      </c>
      <c r="W638" s="37">
        <v>0.007404605263157894</v>
      </c>
      <c r="X638" s="42">
        <v>12500.0</v>
      </c>
      <c r="Y638" s="36">
        <v>5.0</v>
      </c>
      <c r="Z638" s="36">
        <v>1250.0</v>
      </c>
      <c r="AA638" s="36"/>
      <c r="AB638" s="36">
        <v>11254.999999999998</v>
      </c>
      <c r="AC638" s="37">
        <v>112.54999999999998</v>
      </c>
      <c r="AD638" s="31"/>
      <c r="AE638" s="11"/>
      <c r="AF638" s="11"/>
    </row>
    <row r="639">
      <c r="A639" s="28" t="s">
        <v>660</v>
      </c>
      <c r="B639" s="39">
        <v>45414.600694444445</v>
      </c>
      <c r="C639" s="40">
        <v>45419.59861111111</v>
      </c>
      <c r="D639" s="27" t="s">
        <v>37</v>
      </c>
      <c r="E639" s="11" t="b">
        <v>0</v>
      </c>
      <c r="F639" s="11" t="s">
        <v>49</v>
      </c>
      <c r="G639" s="11" t="s">
        <v>664</v>
      </c>
      <c r="H639" s="11" t="s">
        <v>664</v>
      </c>
      <c r="I639" s="30">
        <v>5.0</v>
      </c>
      <c r="J639" s="31">
        <v>200.0</v>
      </c>
      <c r="K639" s="11">
        <v>1.0</v>
      </c>
      <c r="L639" s="32">
        <f t="shared" si="178"/>
        <v>0.007767834949</v>
      </c>
      <c r="M639" s="32">
        <f>(1000/6)/P639</f>
        <v>0.01035711327</v>
      </c>
      <c r="N639" s="32">
        <f>(3250/6)/P639</f>
        <v>0.03366061811</v>
      </c>
      <c r="O639" s="32">
        <v>0.0</v>
      </c>
      <c r="P639" s="33">
        <v>16092.0</v>
      </c>
      <c r="Q639" s="34">
        <v>200.0</v>
      </c>
      <c r="R639" s="42">
        <v>1.5535669898086004</v>
      </c>
      <c r="S639" s="36">
        <v>0.010357113265390669</v>
      </c>
      <c r="T639" s="36">
        <v>0.03366061811251968</v>
      </c>
      <c r="U639" s="36"/>
      <c r="V639" s="36">
        <v>1.5302634849614714</v>
      </c>
      <c r="W639" s="37">
        <v>0.007651317424807357</v>
      </c>
      <c r="X639" s="42">
        <v>24999.999999999996</v>
      </c>
      <c r="Y639" s="36">
        <v>166.66666666666666</v>
      </c>
      <c r="Z639" s="36">
        <v>541.6666666666666</v>
      </c>
      <c r="AA639" s="36"/>
      <c r="AB639" s="36">
        <v>24624.999999999996</v>
      </c>
      <c r="AC639" s="37">
        <v>123.12499999999999</v>
      </c>
      <c r="AD639" s="31"/>
      <c r="AE639" s="11"/>
      <c r="AF639" s="11"/>
    </row>
    <row r="640">
      <c r="A640" s="11" t="s">
        <v>665</v>
      </c>
      <c r="B640" s="77">
        <v>45986.02361111111</v>
      </c>
      <c r="C640" s="40">
        <v>45990.55416666667</v>
      </c>
      <c r="D640" s="27" t="s">
        <v>37</v>
      </c>
      <c r="E640" s="11" t="b">
        <v>0</v>
      </c>
      <c r="F640" s="11" t="s">
        <v>49</v>
      </c>
      <c r="G640" s="11" t="s">
        <v>651</v>
      </c>
      <c r="H640" s="11" t="s">
        <v>652</v>
      </c>
      <c r="I640" s="30">
        <v>5.0</v>
      </c>
      <c r="J640" s="31">
        <v>200.0</v>
      </c>
      <c r="K640" s="11">
        <v>1.0</v>
      </c>
      <c r="L640" s="32">
        <f t="shared" si="178"/>
        <v>125</v>
      </c>
      <c r="M640" s="32">
        <f>(218/6)/P640</f>
        <v>36.33333333</v>
      </c>
      <c r="N640" s="32">
        <f t="shared" ref="N640:N641" si="179">(X640*15%)/P640</f>
        <v>3750</v>
      </c>
      <c r="O640" s="32">
        <v>0.0</v>
      </c>
      <c r="P640" s="33">
        <v>1.0</v>
      </c>
      <c r="Q640" s="34">
        <v>200.0</v>
      </c>
      <c r="R640" s="42">
        <v>25000.0</v>
      </c>
      <c r="S640" s="36">
        <v>36.333333333333336</v>
      </c>
      <c r="T640" s="36">
        <v>3750.0</v>
      </c>
      <c r="U640" s="36"/>
      <c r="V640" s="36">
        <v>21286.333333333332</v>
      </c>
      <c r="W640" s="37">
        <v>106.43166666666666</v>
      </c>
      <c r="X640" s="42">
        <v>25000.0</v>
      </c>
      <c r="Y640" s="36">
        <v>36.333333333333336</v>
      </c>
      <c r="Z640" s="36">
        <v>3750.0</v>
      </c>
      <c r="AA640" s="36"/>
      <c r="AB640" s="36">
        <v>21286.333333333332</v>
      </c>
      <c r="AC640" s="37">
        <v>106.43166666666666</v>
      </c>
      <c r="AD640" s="31"/>
      <c r="AE640" s="11"/>
      <c r="AF640" s="11"/>
    </row>
    <row r="641">
      <c r="A641" s="11" t="s">
        <v>665</v>
      </c>
      <c r="B641" s="39">
        <v>45955.03194444445</v>
      </c>
      <c r="C641" s="40">
        <v>45958.885416666664</v>
      </c>
      <c r="D641" s="27" t="s">
        <v>33</v>
      </c>
      <c r="E641" s="11" t="b">
        <v>0</v>
      </c>
      <c r="F641" s="11" t="s">
        <v>49</v>
      </c>
      <c r="G641" s="11" t="s">
        <v>651</v>
      </c>
      <c r="H641" s="11" t="s">
        <v>661</v>
      </c>
      <c r="I641" s="30">
        <v>5.0</v>
      </c>
      <c r="J641" s="31">
        <v>1000.0</v>
      </c>
      <c r="K641" s="11">
        <v>1.0</v>
      </c>
      <c r="L641" s="32">
        <f t="shared" si="178"/>
        <v>0.007521058965</v>
      </c>
      <c r="M641" s="32">
        <f>(1000/11)/P641</f>
        <v>0.005469861066</v>
      </c>
      <c r="N641" s="32">
        <f t="shared" si="179"/>
        <v>1.128158845</v>
      </c>
      <c r="O641" s="32">
        <v>0.0</v>
      </c>
      <c r="P641" s="33">
        <v>16620.0</v>
      </c>
      <c r="Q641" s="34">
        <v>1000.0</v>
      </c>
      <c r="R641" s="42">
        <v>7.521058965102286</v>
      </c>
      <c r="S641" s="36">
        <v>0.005469861065528935</v>
      </c>
      <c r="T641" s="36">
        <v>1.128158844765343</v>
      </c>
      <c r="U641" s="36"/>
      <c r="V641" s="36">
        <v>6.398369981402472</v>
      </c>
      <c r="W641" s="37">
        <v>0.0063983699814024715</v>
      </c>
      <c r="X641" s="42">
        <v>125000.0</v>
      </c>
      <c r="Y641" s="36">
        <v>90.9090909090909</v>
      </c>
      <c r="Z641" s="36">
        <v>18750.0</v>
      </c>
      <c r="AA641" s="36"/>
      <c r="AB641" s="36">
        <v>106340.90909090909</v>
      </c>
      <c r="AC641" s="37">
        <v>106.3409090909091</v>
      </c>
      <c r="AD641" s="31"/>
      <c r="AE641" s="11"/>
      <c r="AF641" s="11"/>
    </row>
    <row r="642">
      <c r="A642" s="11" t="s">
        <v>666</v>
      </c>
      <c r="B642" s="77">
        <v>45972.15</v>
      </c>
      <c r="C642" s="40">
        <v>45975.597916666666</v>
      </c>
      <c r="D642" s="27" t="s">
        <v>33</v>
      </c>
      <c r="E642" s="11" t="b">
        <v>0</v>
      </c>
      <c r="F642" s="11" t="s">
        <v>49</v>
      </c>
      <c r="G642" s="11" t="s">
        <v>651</v>
      </c>
      <c r="H642" s="11" t="s">
        <v>667</v>
      </c>
      <c r="I642" s="30">
        <v>5.0</v>
      </c>
      <c r="J642" s="31">
        <v>593.0</v>
      </c>
      <c r="K642" s="11">
        <v>1.0</v>
      </c>
      <c r="L642" s="32">
        <f t="shared" si="178"/>
        <v>125</v>
      </c>
      <c r="M642" s="32">
        <f>(112)/P642</f>
        <v>112</v>
      </c>
      <c r="N642" s="32">
        <f>ROUNDDOWN((X642*15%),0)/P642</f>
        <v>11118</v>
      </c>
      <c r="O642" s="32">
        <v>0.0</v>
      </c>
      <c r="P642" s="33">
        <v>1.0</v>
      </c>
      <c r="Q642" s="34">
        <v>593.0</v>
      </c>
      <c r="R642" s="42">
        <v>74125.0</v>
      </c>
      <c r="S642" s="36">
        <v>112.0</v>
      </c>
      <c r="T642" s="36">
        <v>11118.0</v>
      </c>
      <c r="U642" s="36"/>
      <c r="V642" s="36">
        <v>63119.0</v>
      </c>
      <c r="W642" s="37">
        <v>106.44013490725126</v>
      </c>
      <c r="X642" s="42">
        <v>74125.0</v>
      </c>
      <c r="Y642" s="36">
        <v>112.0</v>
      </c>
      <c r="Z642" s="36">
        <v>11118.0</v>
      </c>
      <c r="AA642" s="36"/>
      <c r="AB642" s="36">
        <v>63119.0</v>
      </c>
      <c r="AC642" s="37">
        <v>106.44013490725126</v>
      </c>
      <c r="AD642" s="31"/>
      <c r="AE642" s="11"/>
      <c r="AF642" s="11"/>
    </row>
    <row r="643">
      <c r="A643" s="11" t="s">
        <v>666</v>
      </c>
      <c r="B643" s="39">
        <v>45940.01527777778</v>
      </c>
      <c r="C643" s="40">
        <v>45943.48333333333</v>
      </c>
      <c r="D643" s="27" t="s">
        <v>37</v>
      </c>
      <c r="E643" s="11" t="b">
        <v>0</v>
      </c>
      <c r="F643" s="11" t="s">
        <v>49</v>
      </c>
      <c r="G643" s="11" t="s">
        <v>651</v>
      </c>
      <c r="H643" s="11" t="s">
        <v>662</v>
      </c>
      <c r="I643" s="30">
        <v>5.0</v>
      </c>
      <c r="J643" s="31">
        <v>1000.0</v>
      </c>
      <c r="K643" s="11">
        <v>1.0</v>
      </c>
      <c r="L643" s="32">
        <f t="shared" si="178"/>
        <v>0.00753920386</v>
      </c>
      <c r="M643" s="32">
        <f>(1214/4)/P643</f>
        <v>0.01830518697</v>
      </c>
      <c r="N643" s="32">
        <f>(60000/4)/P643</f>
        <v>0.9047044632</v>
      </c>
      <c r="O643" s="32">
        <v>0.0</v>
      </c>
      <c r="P643" s="33">
        <v>16580.0</v>
      </c>
      <c r="Q643" s="34">
        <v>1000.0</v>
      </c>
      <c r="R643" s="42">
        <v>7.5392038600723765</v>
      </c>
      <c r="S643" s="36">
        <v>0.01830518697225573</v>
      </c>
      <c r="T643" s="36">
        <v>0.9047044632086851</v>
      </c>
      <c r="U643" s="36"/>
      <c r="V643" s="36">
        <v>6.652804583835947</v>
      </c>
      <c r="W643" s="37">
        <v>0.0066528045838359475</v>
      </c>
      <c r="X643" s="42">
        <v>125000.0</v>
      </c>
      <c r="Y643" s="36">
        <v>303.5</v>
      </c>
      <c r="Z643" s="36">
        <v>15000.0</v>
      </c>
      <c r="AA643" s="36"/>
      <c r="AB643" s="36">
        <v>110303.5</v>
      </c>
      <c r="AC643" s="37">
        <v>110.3035</v>
      </c>
      <c r="AD643" s="31"/>
      <c r="AE643" s="11"/>
      <c r="AF643" s="11"/>
    </row>
    <row r="644">
      <c r="A644" s="11" t="s">
        <v>666</v>
      </c>
      <c r="B644" s="39">
        <v>45512.041666666664</v>
      </c>
      <c r="C644" s="40">
        <v>45515.510416666664</v>
      </c>
      <c r="D644" s="27" t="s">
        <v>37</v>
      </c>
      <c r="E644" s="11" t="b">
        <v>0</v>
      </c>
      <c r="F644" s="11" t="s">
        <v>49</v>
      </c>
      <c r="G644" s="11" t="s">
        <v>651</v>
      </c>
      <c r="H644" s="11" t="s">
        <v>668</v>
      </c>
      <c r="I644" s="30">
        <v>5.0</v>
      </c>
      <c r="J644" s="31">
        <v>500.0</v>
      </c>
      <c r="K644" s="11">
        <v>1.0</v>
      </c>
      <c r="L644" s="32">
        <f t="shared" si="178"/>
        <v>0.007819341924</v>
      </c>
      <c r="M644" s="32">
        <f>(125/2)/P644</f>
        <v>0.003909670962</v>
      </c>
      <c r="N644" s="32">
        <f>(X644*10%)/P644</f>
        <v>0.3909670962</v>
      </c>
      <c r="O644" s="32">
        <v>0.0</v>
      </c>
      <c r="P644" s="33">
        <v>15986.0</v>
      </c>
      <c r="Q644" s="34">
        <v>500.0</v>
      </c>
      <c r="R644" s="42">
        <v>3.9096709620918304</v>
      </c>
      <c r="S644" s="36">
        <v>0.00390967096209183</v>
      </c>
      <c r="T644" s="36">
        <v>0.390967096209183</v>
      </c>
      <c r="U644" s="36"/>
      <c r="V644" s="36">
        <v>3.522613536844739</v>
      </c>
      <c r="W644" s="37">
        <v>0.007045227073689478</v>
      </c>
      <c r="X644" s="42">
        <v>62500.0</v>
      </c>
      <c r="Y644" s="36">
        <v>62.5</v>
      </c>
      <c r="Z644" s="36">
        <v>6250.0</v>
      </c>
      <c r="AA644" s="36"/>
      <c r="AB644" s="36">
        <v>56312.5</v>
      </c>
      <c r="AC644" s="37">
        <v>112.625</v>
      </c>
      <c r="AD644" s="31"/>
      <c r="AE644" s="11"/>
      <c r="AF644" s="11"/>
    </row>
    <row r="645">
      <c r="A645" s="28" t="s">
        <v>666</v>
      </c>
      <c r="B645" s="39">
        <v>45414.600694444445</v>
      </c>
      <c r="C645" s="40">
        <v>45419.59861111111</v>
      </c>
      <c r="D645" s="27" t="s">
        <v>37</v>
      </c>
      <c r="E645" s="11" t="b">
        <v>0</v>
      </c>
      <c r="F645" s="11" t="s">
        <v>49</v>
      </c>
      <c r="G645" s="11" t="s">
        <v>664</v>
      </c>
      <c r="H645" s="11" t="s">
        <v>664</v>
      </c>
      <c r="I645" s="30">
        <v>5.0</v>
      </c>
      <c r="J645" s="31">
        <v>200.0</v>
      </c>
      <c r="K645" s="11">
        <v>1.0</v>
      </c>
      <c r="L645" s="32">
        <f t="shared" si="178"/>
        <v>0.007767834949</v>
      </c>
      <c r="M645" s="32">
        <f>(1000/6)/P645</f>
        <v>0.01035711327</v>
      </c>
      <c r="N645" s="32">
        <f>(3250/6)/P645</f>
        <v>0.03366061811</v>
      </c>
      <c r="O645" s="32">
        <v>0.0</v>
      </c>
      <c r="P645" s="33">
        <v>16092.0</v>
      </c>
      <c r="Q645" s="34">
        <v>200.0</v>
      </c>
      <c r="R645" s="42">
        <v>1.5535669898086004</v>
      </c>
      <c r="S645" s="36">
        <v>0.010357113265390669</v>
      </c>
      <c r="T645" s="36">
        <v>0.03366061811251968</v>
      </c>
      <c r="U645" s="36"/>
      <c r="V645" s="36">
        <v>1.5302634849614714</v>
      </c>
      <c r="W645" s="37">
        <v>0.007651317424807357</v>
      </c>
      <c r="X645" s="42">
        <v>24999.999999999996</v>
      </c>
      <c r="Y645" s="36">
        <v>166.66666666666666</v>
      </c>
      <c r="Z645" s="36">
        <v>541.6666666666666</v>
      </c>
      <c r="AA645" s="36"/>
      <c r="AB645" s="36">
        <v>24624.999999999996</v>
      </c>
      <c r="AC645" s="37">
        <v>123.12499999999999</v>
      </c>
      <c r="AD645" s="31"/>
      <c r="AE645" s="11"/>
      <c r="AF645" s="11"/>
    </row>
    <row r="646">
      <c r="A646" s="11" t="s">
        <v>669</v>
      </c>
      <c r="B646" s="39">
        <v>45955.03194444445</v>
      </c>
      <c r="C646" s="40">
        <v>45958.885416666664</v>
      </c>
      <c r="D646" s="27" t="s">
        <v>33</v>
      </c>
      <c r="E646" s="11" t="b">
        <v>0</v>
      </c>
      <c r="F646" s="11" t="s">
        <v>49</v>
      </c>
      <c r="G646" s="11" t="s">
        <v>651</v>
      </c>
      <c r="H646" s="11" t="s">
        <v>661</v>
      </c>
      <c r="I646" s="30">
        <v>5.0</v>
      </c>
      <c r="J646" s="31">
        <v>1000.0</v>
      </c>
      <c r="K646" s="11">
        <v>1.0</v>
      </c>
      <c r="L646" s="32">
        <f t="shared" si="178"/>
        <v>0.007521058965</v>
      </c>
      <c r="M646" s="32">
        <f>(1000/11)/P646</f>
        <v>0.005469861066</v>
      </c>
      <c r="N646" s="32">
        <f>(X646*15%)/P646</f>
        <v>1.128158845</v>
      </c>
      <c r="O646" s="32">
        <v>0.0</v>
      </c>
      <c r="P646" s="33">
        <v>16620.0</v>
      </c>
      <c r="Q646" s="34">
        <v>1000.0</v>
      </c>
      <c r="R646" s="42">
        <v>7.521058965102286</v>
      </c>
      <c r="S646" s="36">
        <v>0.005469861065528935</v>
      </c>
      <c r="T646" s="36">
        <v>1.128158844765343</v>
      </c>
      <c r="U646" s="36"/>
      <c r="V646" s="36">
        <v>6.398369981402472</v>
      </c>
      <c r="W646" s="37">
        <v>0.0063983699814024715</v>
      </c>
      <c r="X646" s="42">
        <v>125000.0</v>
      </c>
      <c r="Y646" s="36">
        <v>90.9090909090909</v>
      </c>
      <c r="Z646" s="36">
        <v>18750.0</v>
      </c>
      <c r="AA646" s="36"/>
      <c r="AB646" s="36">
        <v>106340.90909090909</v>
      </c>
      <c r="AC646" s="37">
        <v>106.3409090909091</v>
      </c>
      <c r="AD646" s="31"/>
      <c r="AE646" s="11"/>
      <c r="AF646" s="11"/>
    </row>
    <row r="647">
      <c r="A647" s="11" t="s">
        <v>669</v>
      </c>
      <c r="B647" s="39">
        <v>45925.118055555555</v>
      </c>
      <c r="C647" s="40">
        <v>45927.4</v>
      </c>
      <c r="D647" s="27" t="s">
        <v>33</v>
      </c>
      <c r="E647" s="11" t="b">
        <v>0</v>
      </c>
      <c r="F647" s="11" t="s">
        <v>38</v>
      </c>
      <c r="G647" s="11" t="s">
        <v>670</v>
      </c>
      <c r="H647" s="11" t="s">
        <v>671</v>
      </c>
      <c r="I647" s="30">
        <v>5.0</v>
      </c>
      <c r="J647" s="31">
        <v>1.0</v>
      </c>
      <c r="K647" s="11">
        <v>1000.0</v>
      </c>
      <c r="L647" s="32">
        <f>(185000)/P647</f>
        <v>11.0725401</v>
      </c>
      <c r="M647" s="32">
        <f>(1300 + 1000)/P647</f>
        <v>0.1376586067</v>
      </c>
      <c r="N647" s="32">
        <f>(37000)/P647</f>
        <v>2.21450802</v>
      </c>
      <c r="O647" s="32">
        <v>0.0</v>
      </c>
      <c r="P647" s="33">
        <v>16708.0</v>
      </c>
      <c r="Q647" s="34">
        <v>1000.0</v>
      </c>
      <c r="R647" s="42">
        <v>11.072540100550635</v>
      </c>
      <c r="S647" s="36">
        <v>0.13765860665549437</v>
      </c>
      <c r="T647" s="36">
        <v>2.214508020110127</v>
      </c>
      <c r="U647" s="36"/>
      <c r="V647" s="36">
        <v>8.995690687096001</v>
      </c>
      <c r="W647" s="37">
        <v>0.008995690687096</v>
      </c>
      <c r="X647" s="42">
        <v>185000.0</v>
      </c>
      <c r="Y647" s="36">
        <v>2300.0</v>
      </c>
      <c r="Z647" s="36">
        <v>37000.0</v>
      </c>
      <c r="AA647" s="36"/>
      <c r="AB647" s="36">
        <v>150300.0</v>
      </c>
      <c r="AC647" s="37">
        <v>150.3</v>
      </c>
      <c r="AD647" s="31"/>
      <c r="AE647" s="11"/>
      <c r="AF647" s="11"/>
    </row>
    <row r="648">
      <c r="A648" s="11" t="s">
        <v>669</v>
      </c>
      <c r="B648" s="39">
        <v>45813.80694444444</v>
      </c>
      <c r="C648" s="40">
        <v>45817.35833333333</v>
      </c>
      <c r="D648" s="27" t="s">
        <v>37</v>
      </c>
      <c r="E648" s="11" t="b">
        <v>0</v>
      </c>
      <c r="F648" s="11" t="s">
        <v>49</v>
      </c>
      <c r="G648" s="11" t="s">
        <v>455</v>
      </c>
      <c r="H648" s="11" t="s">
        <v>672</v>
      </c>
      <c r="I648" s="30">
        <v>5.0</v>
      </c>
      <c r="J648" s="31">
        <v>2.0</v>
      </c>
      <c r="K648" s="11">
        <v>1000.0</v>
      </c>
      <c r="L648" s="32">
        <f>(160000)/P648</f>
        <v>9.811737291</v>
      </c>
      <c r="M648" s="32">
        <f>(2000)/P648</f>
        <v>0.1226467161</v>
      </c>
      <c r="N648" s="32">
        <f>(38400)/P648</f>
        <v>2.35481695</v>
      </c>
      <c r="O648" s="32">
        <v>0.0</v>
      </c>
      <c r="P648" s="33">
        <v>16307.0</v>
      </c>
      <c r="Q648" s="34">
        <v>2000.0</v>
      </c>
      <c r="R648" s="42">
        <v>19.62347458146808</v>
      </c>
      <c r="S648" s="36">
        <v>0.1226467161341755</v>
      </c>
      <c r="T648" s="36">
        <v>2.3548169497761697</v>
      </c>
      <c r="U648" s="36"/>
      <c r="V648" s="36">
        <v>17.391304347826086</v>
      </c>
      <c r="W648" s="37">
        <v>0.008695652173913044</v>
      </c>
      <c r="X648" s="42">
        <v>320000.0</v>
      </c>
      <c r="Y648" s="36">
        <v>2000.0</v>
      </c>
      <c r="Z648" s="36">
        <v>38400.0</v>
      </c>
      <c r="AA648" s="36"/>
      <c r="AB648" s="36">
        <v>283600.0</v>
      </c>
      <c r="AC648" s="37">
        <v>141.8</v>
      </c>
      <c r="AD648" s="31"/>
      <c r="AE648" s="11"/>
      <c r="AF648" s="11"/>
    </row>
    <row r="649">
      <c r="A649" s="11" t="s">
        <v>669</v>
      </c>
      <c r="B649" s="39">
        <v>45438.55694444444</v>
      </c>
      <c r="C649" s="40">
        <v>45443.805555555555</v>
      </c>
      <c r="D649" s="27" t="s">
        <v>37</v>
      </c>
      <c r="E649" s="11" t="b">
        <v>0</v>
      </c>
      <c r="F649" s="11" t="s">
        <v>49</v>
      </c>
      <c r="G649" s="11" t="s">
        <v>651</v>
      </c>
      <c r="H649" s="11" t="s">
        <v>673</v>
      </c>
      <c r="I649" s="30">
        <v>5.0</v>
      </c>
      <c r="J649" s="31">
        <v>100.0</v>
      </c>
      <c r="K649" s="11">
        <v>1.0</v>
      </c>
      <c r="L649" s="32">
        <f t="shared" ref="L649:L650" si="180">(125)/P649</f>
        <v>0.007790588969</v>
      </c>
      <c r="M649" s="32">
        <f>(385)/P649</f>
        <v>0.02399501402</v>
      </c>
      <c r="N649" s="32">
        <v>0.0</v>
      </c>
      <c r="O649" s="32">
        <v>0.0</v>
      </c>
      <c r="P649" s="33">
        <v>16045.0</v>
      </c>
      <c r="Q649" s="34">
        <v>100.0</v>
      </c>
      <c r="R649" s="42">
        <v>0.7790588968526021</v>
      </c>
      <c r="S649" s="36">
        <v>0.023995014023060143</v>
      </c>
      <c r="T649" s="36"/>
      <c r="U649" s="36"/>
      <c r="V649" s="36">
        <v>0.8030539108756622</v>
      </c>
      <c r="W649" s="37">
        <v>0.008030539108756623</v>
      </c>
      <c r="X649" s="42">
        <v>12500.0</v>
      </c>
      <c r="Y649" s="36">
        <v>385.0</v>
      </c>
      <c r="Z649" s="36"/>
      <c r="AA649" s="36"/>
      <c r="AB649" s="36">
        <v>12885.0</v>
      </c>
      <c r="AC649" s="37">
        <v>128.85</v>
      </c>
      <c r="AD649" s="31"/>
      <c r="AE649" s="11"/>
      <c r="AF649" s="11"/>
    </row>
    <row r="650">
      <c r="A650" s="11" t="s">
        <v>669</v>
      </c>
      <c r="B650" s="39">
        <v>45414.600694444445</v>
      </c>
      <c r="C650" s="40">
        <v>45419.59861111111</v>
      </c>
      <c r="D650" s="27" t="s">
        <v>37</v>
      </c>
      <c r="E650" s="11" t="b">
        <v>0</v>
      </c>
      <c r="F650" s="11" t="s">
        <v>49</v>
      </c>
      <c r="G650" s="11" t="s">
        <v>664</v>
      </c>
      <c r="H650" s="11" t="s">
        <v>664</v>
      </c>
      <c r="I650" s="30">
        <v>5.0</v>
      </c>
      <c r="J650" s="31">
        <v>300.0</v>
      </c>
      <c r="K650" s="11">
        <v>1.0</v>
      </c>
      <c r="L650" s="32">
        <f t="shared" si="180"/>
        <v>0.007767834949</v>
      </c>
      <c r="M650" s="32">
        <f>(1000/6)/P650</f>
        <v>0.01035711327</v>
      </c>
      <c r="N650" s="32">
        <f>(3250/6)/P650</f>
        <v>0.03366061811</v>
      </c>
      <c r="O650" s="32">
        <v>0.0</v>
      </c>
      <c r="P650" s="33">
        <v>16092.0</v>
      </c>
      <c r="Q650" s="34">
        <v>300.0</v>
      </c>
      <c r="R650" s="42">
        <v>2.3303504847129006</v>
      </c>
      <c r="S650" s="36">
        <v>0.010357113265390669</v>
      </c>
      <c r="T650" s="36">
        <v>0.03366061811251968</v>
      </c>
      <c r="U650" s="36"/>
      <c r="V650" s="36">
        <v>2.307046979865772</v>
      </c>
      <c r="W650" s="37">
        <v>0.007690156599552573</v>
      </c>
      <c r="X650" s="42">
        <v>37500.0</v>
      </c>
      <c r="Y650" s="36">
        <v>166.66666666666666</v>
      </c>
      <c r="Z650" s="36">
        <v>541.6666666666666</v>
      </c>
      <c r="AA650" s="36"/>
      <c r="AB650" s="36">
        <v>37125.0</v>
      </c>
      <c r="AC650" s="37">
        <v>123.75</v>
      </c>
      <c r="AD650" s="31"/>
      <c r="AE650" s="11"/>
      <c r="AF650" s="11"/>
    </row>
    <row r="651">
      <c r="A651" s="11" t="s">
        <v>669</v>
      </c>
      <c r="B651" s="39">
        <v>45411.47638888889</v>
      </c>
      <c r="C651" s="40">
        <v>45412.83528993056</v>
      </c>
      <c r="D651" s="27" t="s">
        <v>37</v>
      </c>
      <c r="E651" s="11" t="b">
        <v>0</v>
      </c>
      <c r="F651" s="11" t="s">
        <v>49</v>
      </c>
      <c r="G651" s="11" t="s">
        <v>674</v>
      </c>
      <c r="H651" s="11" t="s">
        <v>674</v>
      </c>
      <c r="I651" s="30">
        <v>5.0</v>
      </c>
      <c r="J651" s="31">
        <v>5.0</v>
      </c>
      <c r="K651" s="11">
        <v>1.0</v>
      </c>
      <c r="L651" s="32">
        <f>(175)/P651</f>
        <v>0.01077652565</v>
      </c>
      <c r="M651" s="32">
        <f>(11)/P651</f>
        <v>0.0006773816122</v>
      </c>
      <c r="N651" s="32">
        <f>(44)/P651</f>
        <v>0.002709526449</v>
      </c>
      <c r="O651" s="32">
        <v>0.0</v>
      </c>
      <c r="P651" s="33">
        <v>16239.0</v>
      </c>
      <c r="Q651" s="34">
        <v>5.0</v>
      </c>
      <c r="R651" s="42">
        <v>0.05388262824065521</v>
      </c>
      <c r="S651" s="36">
        <v>6.77381612168237E-4</v>
      </c>
      <c r="T651" s="36">
        <v>0.002709526448672948</v>
      </c>
      <c r="U651" s="36"/>
      <c r="V651" s="36">
        <v>0.0518504834041505</v>
      </c>
      <c r="W651" s="37">
        <v>0.0103700966808301</v>
      </c>
      <c r="X651" s="42">
        <v>875.0</v>
      </c>
      <c r="Y651" s="36">
        <v>11.0</v>
      </c>
      <c r="Z651" s="36">
        <v>44.0</v>
      </c>
      <c r="AA651" s="36"/>
      <c r="AB651" s="36">
        <v>842.0</v>
      </c>
      <c r="AC651" s="37">
        <v>168.4</v>
      </c>
      <c r="AD651" s="31"/>
      <c r="AE651" s="11"/>
      <c r="AF651" s="11"/>
    </row>
    <row r="652">
      <c r="A652" s="11" t="s">
        <v>669</v>
      </c>
      <c r="B652" s="39">
        <v>43991.0</v>
      </c>
      <c r="C652" s="40">
        <v>44085.0</v>
      </c>
      <c r="D652" s="27" t="s">
        <v>37</v>
      </c>
      <c r="E652" s="11" t="b">
        <v>1</v>
      </c>
      <c r="F652" s="11" t="s">
        <v>57</v>
      </c>
      <c r="G652" s="57" t="s">
        <v>675</v>
      </c>
      <c r="H652" s="46" t="s">
        <v>676</v>
      </c>
      <c r="I652" s="30">
        <v>5.0</v>
      </c>
      <c r="J652" s="31">
        <v>20.0</v>
      </c>
      <c r="K652" s="11">
        <v>100.0</v>
      </c>
      <c r="L652" s="32">
        <f>186091/20/P652</f>
        <v>0.65</v>
      </c>
      <c r="M652" s="32">
        <f>20000/P652</f>
        <v>1.397165903</v>
      </c>
      <c r="N652" s="32">
        <f>186091/P652</f>
        <v>13</v>
      </c>
      <c r="O652" s="32"/>
      <c r="P652" s="33">
        <f>186091/13</f>
        <v>14314.69231</v>
      </c>
      <c r="Q652" s="34">
        <v>2000.0</v>
      </c>
      <c r="R652" s="42">
        <v>12.999999999999998</v>
      </c>
      <c r="S652" s="36">
        <v>1.397165902703516</v>
      </c>
      <c r="T652" s="36">
        <v>13.0</v>
      </c>
      <c r="U652" s="36"/>
      <c r="V652" s="36">
        <v>1.3971659027035148</v>
      </c>
      <c r="W652" s="37">
        <v>6.985829513517574E-4</v>
      </c>
      <c r="X652" s="42">
        <v>186091.0</v>
      </c>
      <c r="Y652" s="36">
        <v>20000.0</v>
      </c>
      <c r="Z652" s="36">
        <v>186091.0</v>
      </c>
      <c r="AA652" s="36"/>
      <c r="AB652" s="36">
        <v>19999.999999999985</v>
      </c>
      <c r="AC652" s="37">
        <v>9.999999999999993</v>
      </c>
      <c r="AD652" s="31"/>
      <c r="AE652" s="11"/>
      <c r="AF652" s="11"/>
    </row>
    <row r="653">
      <c r="A653" s="11" t="s">
        <v>669</v>
      </c>
      <c r="B653" s="39">
        <v>43991.0</v>
      </c>
      <c r="C653" s="40">
        <v>43999.0</v>
      </c>
      <c r="D653" s="27" t="s">
        <v>48</v>
      </c>
      <c r="E653" s="11" t="b">
        <v>1</v>
      </c>
      <c r="F653" s="11" t="s">
        <v>49</v>
      </c>
      <c r="G653" s="45" t="s">
        <v>677</v>
      </c>
      <c r="H653" s="46" t="s">
        <v>678</v>
      </c>
      <c r="I653" s="33">
        <v>5.0</v>
      </c>
      <c r="J653" s="31">
        <v>1.0</v>
      </c>
      <c r="K653" s="11">
        <v>1000.0</v>
      </c>
      <c r="L653" s="32">
        <f>171342/P653</f>
        <v>17.1342</v>
      </c>
      <c r="M653" s="32">
        <f>12000/P653</f>
        <v>1.2</v>
      </c>
      <c r="N653" s="32"/>
      <c r="O653" s="32">
        <f>M653</f>
        <v>1.2</v>
      </c>
      <c r="P653" s="33">
        <v>10000.0</v>
      </c>
      <c r="Q653" s="34">
        <v>1000.0</v>
      </c>
      <c r="R653" s="42">
        <v>17.1342</v>
      </c>
      <c r="S653" s="36">
        <v>1.2</v>
      </c>
      <c r="T653" s="36"/>
      <c r="U653" s="36">
        <v>1.2</v>
      </c>
      <c r="V653" s="36">
        <v>17.1342</v>
      </c>
      <c r="W653" s="37">
        <v>0.0171342</v>
      </c>
      <c r="X653" s="42">
        <v>171342.0</v>
      </c>
      <c r="Y653" s="36">
        <v>12000.0</v>
      </c>
      <c r="Z653" s="36"/>
      <c r="AA653" s="36">
        <v>12000.0</v>
      </c>
      <c r="AB653" s="36">
        <v>171342.0</v>
      </c>
      <c r="AC653" s="37">
        <v>171.342</v>
      </c>
      <c r="AD653" s="31"/>
      <c r="AE653" s="11"/>
      <c r="AF653" s="11"/>
    </row>
    <row r="654">
      <c r="A654" s="11" t="s">
        <v>679</v>
      </c>
      <c r="B654" s="39">
        <v>45940.01527777778</v>
      </c>
      <c r="C654" s="40">
        <v>45943.48333333333</v>
      </c>
      <c r="D654" s="27" t="s">
        <v>37</v>
      </c>
      <c r="E654" s="11" t="b">
        <v>0</v>
      </c>
      <c r="F654" s="11" t="s">
        <v>49</v>
      </c>
      <c r="G654" s="11" t="s">
        <v>651</v>
      </c>
      <c r="H654" s="11" t="s">
        <v>662</v>
      </c>
      <c r="I654" s="30">
        <v>5.0</v>
      </c>
      <c r="J654" s="31">
        <v>1000.0</v>
      </c>
      <c r="K654" s="11">
        <v>1.0</v>
      </c>
      <c r="L654" s="32">
        <f t="shared" ref="L654:L657" si="181">(125)/P654</f>
        <v>0.00753920386</v>
      </c>
      <c r="M654" s="32">
        <f>(1214/4)/P654</f>
        <v>0.01830518697</v>
      </c>
      <c r="N654" s="32">
        <f>(60000/4)/P654</f>
        <v>0.9047044632</v>
      </c>
      <c r="O654" s="32">
        <v>0.0</v>
      </c>
      <c r="P654" s="33">
        <v>16580.0</v>
      </c>
      <c r="Q654" s="34">
        <v>1000.0</v>
      </c>
      <c r="R654" s="42">
        <v>7.5392038600723765</v>
      </c>
      <c r="S654" s="36">
        <v>0.01830518697225573</v>
      </c>
      <c r="T654" s="36">
        <v>0.9047044632086851</v>
      </c>
      <c r="U654" s="36"/>
      <c r="V654" s="36">
        <v>6.652804583835947</v>
      </c>
      <c r="W654" s="37">
        <v>0.0066528045838359475</v>
      </c>
      <c r="X654" s="42">
        <v>125000.0</v>
      </c>
      <c r="Y654" s="36">
        <v>303.5</v>
      </c>
      <c r="Z654" s="36">
        <v>15000.0</v>
      </c>
      <c r="AA654" s="36"/>
      <c r="AB654" s="36">
        <v>110303.5</v>
      </c>
      <c r="AC654" s="37">
        <v>110.3035</v>
      </c>
      <c r="AD654" s="31"/>
      <c r="AE654" s="11"/>
      <c r="AF654" s="11"/>
    </row>
    <row r="655">
      <c r="A655" s="11" t="s">
        <v>679</v>
      </c>
      <c r="B655" s="39">
        <v>45563.55902777778</v>
      </c>
      <c r="C655" s="40">
        <v>45568.660416666666</v>
      </c>
      <c r="D655" s="27" t="s">
        <v>37</v>
      </c>
      <c r="E655" s="11" t="b">
        <v>0</v>
      </c>
      <c r="F655" s="11" t="s">
        <v>49</v>
      </c>
      <c r="G655" s="11" t="s">
        <v>651</v>
      </c>
      <c r="H655" s="11" t="s">
        <v>663</v>
      </c>
      <c r="I655" s="30">
        <v>5.0</v>
      </c>
      <c r="J655" s="31">
        <v>100.0</v>
      </c>
      <c r="K655" s="11">
        <v>1.0</v>
      </c>
      <c r="L655" s="32">
        <f t="shared" si="181"/>
        <v>0.008223684211</v>
      </c>
      <c r="M655" s="32">
        <f>(5)/P655</f>
        <v>0.0003289473684</v>
      </c>
      <c r="N655" s="32">
        <f>(3750/3)/P655</f>
        <v>0.08223684211</v>
      </c>
      <c r="O655" s="32">
        <v>0.0</v>
      </c>
      <c r="P655" s="33">
        <v>15200.0</v>
      </c>
      <c r="Q655" s="34">
        <v>100.0</v>
      </c>
      <c r="R655" s="42">
        <v>0.8223684210526315</v>
      </c>
      <c r="S655" s="36">
        <v>3.289473684210526E-4</v>
      </c>
      <c r="T655" s="36">
        <v>0.08223684210526316</v>
      </c>
      <c r="U655" s="36"/>
      <c r="V655" s="36">
        <v>0.7404605263157894</v>
      </c>
      <c r="W655" s="37">
        <v>0.007404605263157894</v>
      </c>
      <c r="X655" s="42">
        <v>12500.0</v>
      </c>
      <c r="Y655" s="36">
        <v>5.0</v>
      </c>
      <c r="Z655" s="36">
        <v>1250.0</v>
      </c>
      <c r="AA655" s="36"/>
      <c r="AB655" s="36">
        <v>11254.999999999998</v>
      </c>
      <c r="AC655" s="37">
        <v>112.54999999999998</v>
      </c>
      <c r="AD655" s="31"/>
      <c r="AE655" s="11"/>
      <c r="AF655" s="11"/>
    </row>
    <row r="656">
      <c r="A656" s="28" t="s">
        <v>679</v>
      </c>
      <c r="B656" s="39">
        <v>45414.600694444445</v>
      </c>
      <c r="C656" s="40">
        <v>45419.59861111111</v>
      </c>
      <c r="D656" s="27" t="s">
        <v>37</v>
      </c>
      <c r="E656" s="11" t="b">
        <v>0</v>
      </c>
      <c r="F656" s="11" t="s">
        <v>49</v>
      </c>
      <c r="G656" s="11" t="s">
        <v>664</v>
      </c>
      <c r="H656" s="11" t="s">
        <v>664</v>
      </c>
      <c r="I656" s="30">
        <v>5.0</v>
      </c>
      <c r="J656" s="31">
        <v>200.0</v>
      </c>
      <c r="K656" s="11">
        <v>1.0</v>
      </c>
      <c r="L656" s="32">
        <f t="shared" si="181"/>
        <v>0.007767834949</v>
      </c>
      <c r="M656" s="32">
        <f>(1000/6)/P656</f>
        <v>0.01035711327</v>
      </c>
      <c r="N656" s="32">
        <f>(3250/6)/P656</f>
        <v>0.03366061811</v>
      </c>
      <c r="O656" s="32">
        <v>0.0</v>
      </c>
      <c r="P656" s="33">
        <v>16092.0</v>
      </c>
      <c r="Q656" s="34">
        <v>200.0</v>
      </c>
      <c r="R656" s="42">
        <v>1.5535669898086004</v>
      </c>
      <c r="S656" s="36">
        <v>0.010357113265390669</v>
      </c>
      <c r="T656" s="36">
        <v>0.03366061811251968</v>
      </c>
      <c r="U656" s="36"/>
      <c r="V656" s="36">
        <v>1.5302634849614714</v>
      </c>
      <c r="W656" s="37">
        <v>0.007651317424807357</v>
      </c>
      <c r="X656" s="42">
        <v>24999.999999999996</v>
      </c>
      <c r="Y656" s="36">
        <v>166.66666666666666</v>
      </c>
      <c r="Z656" s="36">
        <v>541.6666666666666</v>
      </c>
      <c r="AA656" s="36"/>
      <c r="AB656" s="36">
        <v>24624.999999999996</v>
      </c>
      <c r="AC656" s="37">
        <v>123.12499999999999</v>
      </c>
      <c r="AD656" s="31"/>
      <c r="AE656" s="11"/>
      <c r="AF656" s="11"/>
    </row>
    <row r="657">
      <c r="A657" s="11" t="s">
        <v>680</v>
      </c>
      <c r="B657" s="39">
        <v>45955.03194444445</v>
      </c>
      <c r="C657" s="40">
        <v>45958.885416666664</v>
      </c>
      <c r="D657" s="27" t="s">
        <v>33</v>
      </c>
      <c r="E657" s="11" t="b">
        <v>0</v>
      </c>
      <c r="F657" s="11" t="s">
        <v>49</v>
      </c>
      <c r="G657" s="11" t="s">
        <v>651</v>
      </c>
      <c r="H657" s="11" t="s">
        <v>661</v>
      </c>
      <c r="I657" s="30">
        <v>5.0</v>
      </c>
      <c r="J657" s="31">
        <v>1000.0</v>
      </c>
      <c r="K657" s="11">
        <v>1.0</v>
      </c>
      <c r="L657" s="32">
        <f t="shared" si="181"/>
        <v>0.007521058965</v>
      </c>
      <c r="M657" s="32">
        <f>(1000/11)/P657</f>
        <v>0.005469861066</v>
      </c>
      <c r="N657" s="32">
        <f>(X657*15%)/P657</f>
        <v>1.128158845</v>
      </c>
      <c r="O657" s="32">
        <v>0.0</v>
      </c>
      <c r="P657" s="33">
        <v>16620.0</v>
      </c>
      <c r="Q657" s="34">
        <v>1000.0</v>
      </c>
      <c r="R657" s="42">
        <v>7.521058965102286</v>
      </c>
      <c r="S657" s="36">
        <v>0.005469861065528935</v>
      </c>
      <c r="T657" s="36">
        <v>1.128158844765343</v>
      </c>
      <c r="U657" s="36"/>
      <c r="V657" s="36">
        <v>6.398369981402472</v>
      </c>
      <c r="W657" s="37">
        <v>0.0063983699814024715</v>
      </c>
      <c r="X657" s="42">
        <v>125000.0</v>
      </c>
      <c r="Y657" s="36">
        <v>90.9090909090909</v>
      </c>
      <c r="Z657" s="36">
        <v>18750.0</v>
      </c>
      <c r="AA657" s="36"/>
      <c r="AB657" s="36">
        <v>106340.90909090909</v>
      </c>
      <c r="AC657" s="37">
        <v>106.3409090909091</v>
      </c>
      <c r="AD657" s="31"/>
      <c r="AE657" s="11"/>
      <c r="AF657" s="11"/>
    </row>
    <row r="658">
      <c r="A658" s="11" t="s">
        <v>681</v>
      </c>
      <c r="B658" s="39">
        <v>43458.875</v>
      </c>
      <c r="C658" s="40">
        <v>43435.0</v>
      </c>
      <c r="D658" s="27" t="s">
        <v>56</v>
      </c>
      <c r="E658" s="11" t="b">
        <v>0</v>
      </c>
      <c r="F658" s="11" t="s">
        <v>38</v>
      </c>
      <c r="G658" s="29" t="s">
        <v>505</v>
      </c>
      <c r="H658" s="11" t="s">
        <v>506</v>
      </c>
      <c r="I658" s="33"/>
      <c r="J658" s="31">
        <v>1.0</v>
      </c>
      <c r="K658" s="11">
        <v>1.0</v>
      </c>
      <c r="L658" s="36">
        <f>4000000*(1-25%)/P658</f>
        <v>300</v>
      </c>
      <c r="M658" s="36">
        <f>7000/P658</f>
        <v>0.7</v>
      </c>
      <c r="N658" s="32"/>
      <c r="O658" s="32"/>
      <c r="P658" s="33">
        <v>10000.0</v>
      </c>
      <c r="Q658" s="34">
        <v>1.0</v>
      </c>
      <c r="R658" s="42">
        <v>300.0</v>
      </c>
      <c r="S658" s="36">
        <v>0.7</v>
      </c>
      <c r="T658" s="36"/>
      <c r="U658" s="36"/>
      <c r="V658" s="36">
        <v>300.7</v>
      </c>
      <c r="W658" s="37">
        <v>300.7</v>
      </c>
      <c r="X658" s="42">
        <v>3000000.0</v>
      </c>
      <c r="Y658" s="36">
        <v>7000.0</v>
      </c>
      <c r="Z658" s="36"/>
      <c r="AA658" s="36"/>
      <c r="AB658" s="36">
        <v>3007000.0</v>
      </c>
      <c r="AC658" s="37">
        <v>3007000.0</v>
      </c>
      <c r="AD658" s="31">
        <v>4000000.0</v>
      </c>
      <c r="AE658" s="11">
        <v>4000000.0</v>
      </c>
      <c r="AF658" s="11"/>
    </row>
    <row r="659">
      <c r="A659" s="11" t="s">
        <v>682</v>
      </c>
      <c r="B659" s="77">
        <v>45969.65069444444</v>
      </c>
      <c r="C659" s="40">
        <v>45974.813888888886</v>
      </c>
      <c r="D659" s="27" t="s">
        <v>33</v>
      </c>
      <c r="E659" s="11" t="b">
        <v>0</v>
      </c>
      <c r="F659" s="11" t="s">
        <v>49</v>
      </c>
      <c r="G659" s="11" t="s">
        <v>683</v>
      </c>
      <c r="H659" s="11" t="s">
        <v>684</v>
      </c>
      <c r="I659" s="30">
        <v>5.0</v>
      </c>
      <c r="J659" s="31">
        <v>500.0</v>
      </c>
      <c r="K659" s="11">
        <v>1.0</v>
      </c>
      <c r="L659" s="32">
        <f>(1100)/P659</f>
        <v>1100</v>
      </c>
      <c r="M659" s="32">
        <f>(668)/P659</f>
        <v>668</v>
      </c>
      <c r="N659" s="32">
        <f>(X659*12%) + 1</f>
        <v>66001</v>
      </c>
      <c r="O659" s="32">
        <v>0.0</v>
      </c>
      <c r="P659" s="33">
        <v>1.0</v>
      </c>
      <c r="Q659" s="34">
        <v>500.0</v>
      </c>
      <c r="R659" s="42">
        <v>550000.0</v>
      </c>
      <c r="S659" s="36">
        <v>668.0</v>
      </c>
      <c r="T659" s="36">
        <v>66001.0</v>
      </c>
      <c r="U659" s="36"/>
      <c r="V659" s="36">
        <v>484667.0</v>
      </c>
      <c r="W659" s="37">
        <v>969.334</v>
      </c>
      <c r="X659" s="42">
        <v>550000.0</v>
      </c>
      <c r="Y659" s="36">
        <v>668.0</v>
      </c>
      <c r="Z659" s="36">
        <v>66001.0</v>
      </c>
      <c r="AA659" s="36"/>
      <c r="AB659" s="36">
        <v>484667.0</v>
      </c>
      <c r="AC659" s="37">
        <v>969.334</v>
      </c>
      <c r="AD659" s="31"/>
      <c r="AE659" s="11"/>
      <c r="AF659" s="11"/>
    </row>
    <row r="660">
      <c r="A660" s="11" t="s">
        <v>682</v>
      </c>
      <c r="B660" s="39">
        <v>45638.822916666664</v>
      </c>
      <c r="C660" s="40">
        <v>45642.90069444444</v>
      </c>
      <c r="D660" s="27" t="s">
        <v>33</v>
      </c>
      <c r="E660" s="11" t="b">
        <v>0</v>
      </c>
      <c r="F660" s="11" t="s">
        <v>38</v>
      </c>
      <c r="G660" s="11" t="s">
        <v>685</v>
      </c>
      <c r="H660" s="11" t="s">
        <v>463</v>
      </c>
      <c r="I660" s="30">
        <v>5.0</v>
      </c>
      <c r="J660" s="31">
        <v>33.0</v>
      </c>
      <c r="K660" s="11">
        <v>1.0</v>
      </c>
      <c r="L660" s="32">
        <f>(1000)/P660</f>
        <v>0.0626566416</v>
      </c>
      <c r="M660" s="32">
        <f>(400 + 1000 + 30500)/P660</f>
        <v>1.998746867</v>
      </c>
      <c r="N660" s="32">
        <f>(9900)/P660</f>
        <v>0.6203007519</v>
      </c>
      <c r="O660" s="32">
        <f>(30000)/P660</f>
        <v>1.879699248</v>
      </c>
      <c r="P660" s="33">
        <v>15960.0</v>
      </c>
      <c r="Q660" s="34">
        <v>33.0</v>
      </c>
      <c r="R660" s="42">
        <v>2.0676691729323307</v>
      </c>
      <c r="S660" s="36">
        <v>1.9987468671679198</v>
      </c>
      <c r="T660" s="36">
        <v>0.6203007518796992</v>
      </c>
      <c r="U660" s="36">
        <v>1.8796992481203008</v>
      </c>
      <c r="V660" s="36">
        <v>1.5664160401002505</v>
      </c>
      <c r="W660" s="37">
        <v>0.04746715273031062</v>
      </c>
      <c r="X660" s="42">
        <v>33000.0</v>
      </c>
      <c r="Y660" s="36">
        <v>31900.0</v>
      </c>
      <c r="Z660" s="36">
        <v>9900.0</v>
      </c>
      <c r="AA660" s="36">
        <v>30000.0</v>
      </c>
      <c r="AB660" s="36">
        <v>24999.999999999996</v>
      </c>
      <c r="AC660" s="37">
        <v>757.5757575757575</v>
      </c>
      <c r="AD660" s="31"/>
      <c r="AE660" s="11"/>
      <c r="AF660" s="11"/>
    </row>
    <row r="661">
      <c r="A661" s="11" t="s">
        <v>682</v>
      </c>
      <c r="B661" s="39">
        <v>45429.83125</v>
      </c>
      <c r="C661" s="40">
        <v>45432.75</v>
      </c>
      <c r="D661" s="27" t="s">
        <v>33</v>
      </c>
      <c r="E661" s="11" t="b">
        <v>0</v>
      </c>
      <c r="F661" s="11" t="s">
        <v>38</v>
      </c>
      <c r="G661" s="11" t="s">
        <v>323</v>
      </c>
      <c r="H661" s="11" t="s">
        <v>325</v>
      </c>
      <c r="I661" s="30">
        <v>5.0</v>
      </c>
      <c r="J661" s="31">
        <v>100.0</v>
      </c>
      <c r="K661" s="11">
        <v>1.0</v>
      </c>
      <c r="L661" s="32">
        <f>(1100)/P661</f>
        <v>0.06884897039</v>
      </c>
      <c r="M661" s="32">
        <f>(72 + 2491 + 679)/P661</f>
        <v>0.2029166927</v>
      </c>
      <c r="N661" s="32">
        <f>(8800)/P661</f>
        <v>0.5507917632</v>
      </c>
      <c r="O661" s="32">
        <f>(2166)/P661</f>
        <v>0.1355698817</v>
      </c>
      <c r="P661" s="33">
        <v>15977.0</v>
      </c>
      <c r="Q661" s="34">
        <v>100.0</v>
      </c>
      <c r="R661" s="42">
        <v>6.884897039494272</v>
      </c>
      <c r="S661" s="36">
        <v>0.2029166927458221</v>
      </c>
      <c r="T661" s="36">
        <v>0.5507917631595418</v>
      </c>
      <c r="U661" s="36">
        <v>0.13556988170495088</v>
      </c>
      <c r="V661" s="36">
        <v>6.401452087375601</v>
      </c>
      <c r="W661" s="37">
        <v>0.064014520873756</v>
      </c>
      <c r="X661" s="42">
        <v>109999.99999999999</v>
      </c>
      <c r="Y661" s="36">
        <v>3242.0</v>
      </c>
      <c r="Z661" s="36">
        <v>8800.0</v>
      </c>
      <c r="AA661" s="36">
        <v>2166.0</v>
      </c>
      <c r="AB661" s="36">
        <v>102275.99999999997</v>
      </c>
      <c r="AC661" s="37">
        <v>1022.7599999999998</v>
      </c>
      <c r="AD661" s="31"/>
      <c r="AE661" s="11"/>
      <c r="AF661" s="11"/>
    </row>
    <row r="662">
      <c r="A662" s="11" t="s">
        <v>682</v>
      </c>
      <c r="B662" s="39">
        <v>45425.896527777775</v>
      </c>
      <c r="C662" s="40">
        <v>45429.46853993056</v>
      </c>
      <c r="D662" s="27" t="s">
        <v>37</v>
      </c>
      <c r="E662" s="11" t="b">
        <v>0</v>
      </c>
      <c r="F662" s="11" t="s">
        <v>38</v>
      </c>
      <c r="G662" s="11" t="s">
        <v>374</v>
      </c>
      <c r="H662" s="11" t="s">
        <v>625</v>
      </c>
      <c r="I662" s="30">
        <v>5.0</v>
      </c>
      <c r="J662" s="31">
        <v>400.0</v>
      </c>
      <c r="K662" s="11">
        <v>1.0</v>
      </c>
      <c r="L662" s="32">
        <f>(1190)/P662</f>
        <v>0.07380302654</v>
      </c>
      <c r="M662" s="32">
        <f>(1000)/2/P662</f>
        <v>0.03100967502</v>
      </c>
      <c r="N662" s="32">
        <f>(23800)/P662</f>
        <v>1.476060531</v>
      </c>
      <c r="O662" s="32">
        <v>0.0</v>
      </c>
      <c r="P662" s="33">
        <v>16124.0</v>
      </c>
      <c r="Q662" s="34">
        <v>400.0</v>
      </c>
      <c r="R662" s="42">
        <v>29.52121061771273</v>
      </c>
      <c r="S662" s="36">
        <v>0.031009675018605805</v>
      </c>
      <c r="T662" s="36">
        <v>1.4760605308856363</v>
      </c>
      <c r="U662" s="36"/>
      <c r="V662" s="36">
        <v>28.076159761845698</v>
      </c>
      <c r="W662" s="37">
        <v>0.07019039940461425</v>
      </c>
      <c r="X662" s="42">
        <v>476000.00000000006</v>
      </c>
      <c r="Y662" s="36">
        <v>500.0</v>
      </c>
      <c r="Z662" s="36">
        <v>23800.0</v>
      </c>
      <c r="AA662" s="36"/>
      <c r="AB662" s="36">
        <v>452700.00000000006</v>
      </c>
      <c r="AC662" s="37">
        <v>1131.7500000000002</v>
      </c>
      <c r="AD662" s="31"/>
      <c r="AE662" s="11"/>
      <c r="AF662" s="11"/>
    </row>
    <row r="663">
      <c r="A663" s="11" t="s">
        <v>682</v>
      </c>
      <c r="B663" s="39">
        <v>45406.02361111111</v>
      </c>
      <c r="C663" s="40">
        <v>45407.68472222222</v>
      </c>
      <c r="D663" s="27" t="s">
        <v>33</v>
      </c>
      <c r="E663" s="11" t="b">
        <v>0</v>
      </c>
      <c r="F663" s="11" t="s">
        <v>49</v>
      </c>
      <c r="G663" s="11" t="s">
        <v>394</v>
      </c>
      <c r="H663" s="11" t="s">
        <v>394</v>
      </c>
      <c r="I663" s="30">
        <v>5.0</v>
      </c>
      <c r="J663" s="31">
        <v>17.0</v>
      </c>
      <c r="K663" s="11">
        <v>1.0</v>
      </c>
      <c r="L663" s="32">
        <f>(22100/17)/P663</f>
        <v>0.08010351839</v>
      </c>
      <c r="M663" s="32">
        <f>(1000)/P663</f>
        <v>0.06161809107</v>
      </c>
      <c r="N663" s="32">
        <f>(500)/P663</f>
        <v>0.03080904554</v>
      </c>
      <c r="O663" s="32">
        <v>0.0</v>
      </c>
      <c r="P663" s="33">
        <v>16229.0</v>
      </c>
      <c r="Q663" s="34">
        <v>17.0</v>
      </c>
      <c r="R663" s="42">
        <v>1.361759812681003</v>
      </c>
      <c r="S663" s="36">
        <v>0.0616180910715386</v>
      </c>
      <c r="T663" s="36">
        <v>0.0308090455357693</v>
      </c>
      <c r="U663" s="36"/>
      <c r="V663" s="36">
        <v>1.3925688582167726</v>
      </c>
      <c r="W663" s="37">
        <v>0.08191581518922192</v>
      </c>
      <c r="X663" s="42">
        <v>22100.0</v>
      </c>
      <c r="Y663" s="36">
        <v>1000.0</v>
      </c>
      <c r="Z663" s="36">
        <v>500.0</v>
      </c>
      <c r="AA663" s="36"/>
      <c r="AB663" s="36">
        <v>22600.000000000004</v>
      </c>
      <c r="AC663" s="37">
        <v>1329.4117647058827</v>
      </c>
      <c r="AD663" s="31"/>
      <c r="AE663" s="11"/>
      <c r="AF663" s="11"/>
    </row>
    <row r="664">
      <c r="A664" s="11" t="s">
        <v>682</v>
      </c>
      <c r="B664" s="39">
        <v>45244.74791666667</v>
      </c>
      <c r="C664" s="40">
        <v>45249.259722222225</v>
      </c>
      <c r="D664" s="27" t="s">
        <v>33</v>
      </c>
      <c r="E664" s="11" t="b">
        <v>0</v>
      </c>
      <c r="F664" s="11" t="s">
        <v>49</v>
      </c>
      <c r="G664" s="11" t="s">
        <v>49</v>
      </c>
      <c r="H664" s="11"/>
      <c r="I664" s="30">
        <v>5.0</v>
      </c>
      <c r="J664" s="31">
        <v>40.0</v>
      </c>
      <c r="K664" s="11">
        <v>1.0</v>
      </c>
      <c r="L664" s="32">
        <f>1274/P664</f>
        <v>0.08127073233</v>
      </c>
      <c r="M664" s="32">
        <f>(12000+1000)/P664</f>
        <v>0.829293187</v>
      </c>
      <c r="N664" s="32">
        <v>0.0</v>
      </c>
      <c r="O664" s="32">
        <f>(12000)/P664</f>
        <v>0.7655014034</v>
      </c>
      <c r="P664" s="33">
        <v>15676.0</v>
      </c>
      <c r="Q664" s="34">
        <v>40.0</v>
      </c>
      <c r="R664" s="42">
        <v>3.2508292931870377</v>
      </c>
      <c r="S664" s="36">
        <v>0.8292931870375095</v>
      </c>
      <c r="T664" s="36"/>
      <c r="U664" s="36">
        <v>0.7655014034192396</v>
      </c>
      <c r="V664" s="36">
        <v>3.3146210768053077</v>
      </c>
      <c r="W664" s="37">
        <v>0.08286552692013269</v>
      </c>
      <c r="X664" s="42">
        <v>50960.0</v>
      </c>
      <c r="Y664" s="36">
        <v>13000.0</v>
      </c>
      <c r="Z664" s="36"/>
      <c r="AA664" s="36">
        <v>12000.0</v>
      </c>
      <c r="AB664" s="36">
        <v>51960.00000000001</v>
      </c>
      <c r="AC664" s="37">
        <v>1299.0000000000002</v>
      </c>
      <c r="AD664" s="31"/>
      <c r="AE664" s="11"/>
      <c r="AF664" s="11"/>
    </row>
    <row r="665">
      <c r="A665" s="11" t="s">
        <v>682</v>
      </c>
      <c r="B665" s="39">
        <v>44158.49551172454</v>
      </c>
      <c r="C665" s="40">
        <v>44164.0</v>
      </c>
      <c r="D665" s="27" t="s">
        <v>163</v>
      </c>
      <c r="E665" s="11" t="b">
        <v>1</v>
      </c>
      <c r="F665" s="11" t="s">
        <v>49</v>
      </c>
      <c r="G665" s="45" t="s">
        <v>686</v>
      </c>
      <c r="H665" s="46" t="s">
        <v>687</v>
      </c>
      <c r="I665" s="30">
        <v>5.0</v>
      </c>
      <c r="J665" s="31">
        <v>50.0</v>
      </c>
      <c r="K665" s="11">
        <v>1.0</v>
      </c>
      <c r="L665" s="32">
        <f t="shared" ref="L665:L667" si="182">911/P665</f>
        <v>0.0911</v>
      </c>
      <c r="M665" s="32">
        <f t="shared" ref="M665:M667" si="183">12000/P665</f>
        <v>1.2</v>
      </c>
      <c r="N665" s="32">
        <v>0.0</v>
      </c>
      <c r="O665" s="32">
        <f t="shared" ref="O665:O667" si="184">12000/P665</f>
        <v>1.2</v>
      </c>
      <c r="P665" s="33">
        <v>10000.0</v>
      </c>
      <c r="Q665" s="34">
        <v>50.0</v>
      </c>
      <c r="R665" s="42">
        <v>4.555</v>
      </c>
      <c r="S665" s="36">
        <v>1.2</v>
      </c>
      <c r="T665" s="36"/>
      <c r="U665" s="36">
        <v>1.2</v>
      </c>
      <c r="V665" s="36">
        <v>4.555</v>
      </c>
      <c r="W665" s="37">
        <v>0.0911</v>
      </c>
      <c r="X665" s="42">
        <v>45550.0</v>
      </c>
      <c r="Y665" s="36">
        <v>12000.0</v>
      </c>
      <c r="Z665" s="36"/>
      <c r="AA665" s="36">
        <v>12000.0</v>
      </c>
      <c r="AB665" s="36">
        <v>45550.0</v>
      </c>
      <c r="AC665" s="37">
        <v>911.0</v>
      </c>
      <c r="AD665" s="31"/>
      <c r="AE665" s="11"/>
      <c r="AF665" s="11"/>
    </row>
    <row r="666">
      <c r="A666" s="11" t="s">
        <v>682</v>
      </c>
      <c r="B666" s="39">
        <v>44158.49551172454</v>
      </c>
      <c r="C666" s="40">
        <v>44164.0</v>
      </c>
      <c r="D666" s="27" t="s">
        <v>163</v>
      </c>
      <c r="E666" s="11" t="b">
        <v>1</v>
      </c>
      <c r="F666" s="11" t="s">
        <v>49</v>
      </c>
      <c r="G666" s="45" t="s">
        <v>686</v>
      </c>
      <c r="H666" s="46" t="s">
        <v>688</v>
      </c>
      <c r="I666" s="30">
        <v>5.0</v>
      </c>
      <c r="J666" s="31">
        <v>50.0</v>
      </c>
      <c r="K666" s="11">
        <v>1.0</v>
      </c>
      <c r="L666" s="32">
        <f t="shared" si="182"/>
        <v>0.0911</v>
      </c>
      <c r="M666" s="32">
        <f t="shared" si="183"/>
        <v>1.2</v>
      </c>
      <c r="N666" s="32">
        <v>0.0</v>
      </c>
      <c r="O666" s="32">
        <f t="shared" si="184"/>
        <v>1.2</v>
      </c>
      <c r="P666" s="33">
        <v>10000.0</v>
      </c>
      <c r="Q666" s="34">
        <v>50.0</v>
      </c>
      <c r="R666" s="42">
        <v>4.555</v>
      </c>
      <c r="S666" s="36">
        <v>1.2</v>
      </c>
      <c r="T666" s="36"/>
      <c r="U666" s="36">
        <v>1.2</v>
      </c>
      <c r="V666" s="36">
        <v>4.555</v>
      </c>
      <c r="W666" s="37">
        <v>0.0911</v>
      </c>
      <c r="X666" s="42">
        <v>45550.0</v>
      </c>
      <c r="Y666" s="36">
        <v>12000.0</v>
      </c>
      <c r="Z666" s="36"/>
      <c r="AA666" s="36">
        <v>12000.0</v>
      </c>
      <c r="AB666" s="36">
        <v>45550.0</v>
      </c>
      <c r="AC666" s="37">
        <v>911.0</v>
      </c>
      <c r="AD666" s="31"/>
      <c r="AE666" s="11"/>
      <c r="AF666" s="11"/>
    </row>
    <row r="667">
      <c r="A667" s="11" t="s">
        <v>682</v>
      </c>
      <c r="B667" s="39">
        <v>44158.49551172454</v>
      </c>
      <c r="C667" s="40">
        <v>44164.0</v>
      </c>
      <c r="D667" s="27" t="s">
        <v>163</v>
      </c>
      <c r="E667" s="11" t="b">
        <v>1</v>
      </c>
      <c r="F667" s="11" t="s">
        <v>49</v>
      </c>
      <c r="G667" s="45" t="s">
        <v>686</v>
      </c>
      <c r="H667" s="46" t="s">
        <v>689</v>
      </c>
      <c r="I667" s="30">
        <v>5.0</v>
      </c>
      <c r="J667" s="31">
        <v>50.0</v>
      </c>
      <c r="K667" s="11">
        <v>1.0</v>
      </c>
      <c r="L667" s="32">
        <f t="shared" si="182"/>
        <v>0.0911</v>
      </c>
      <c r="M667" s="32">
        <f t="shared" si="183"/>
        <v>1.2</v>
      </c>
      <c r="N667" s="32">
        <v>0.0</v>
      </c>
      <c r="O667" s="32">
        <f t="shared" si="184"/>
        <v>1.2</v>
      </c>
      <c r="P667" s="33">
        <v>10000.0</v>
      </c>
      <c r="Q667" s="34">
        <v>50.0</v>
      </c>
      <c r="R667" s="42">
        <v>4.555</v>
      </c>
      <c r="S667" s="36">
        <v>1.2</v>
      </c>
      <c r="T667" s="36"/>
      <c r="U667" s="36">
        <v>1.2</v>
      </c>
      <c r="V667" s="36">
        <v>4.555</v>
      </c>
      <c r="W667" s="37">
        <v>0.0911</v>
      </c>
      <c r="X667" s="42">
        <v>45550.0</v>
      </c>
      <c r="Y667" s="36">
        <v>12000.0</v>
      </c>
      <c r="Z667" s="36"/>
      <c r="AA667" s="36">
        <v>12000.0</v>
      </c>
      <c r="AB667" s="36">
        <v>45550.0</v>
      </c>
      <c r="AC667" s="37">
        <v>911.0</v>
      </c>
      <c r="AD667" s="31"/>
      <c r="AE667" s="11"/>
      <c r="AF667" s="11"/>
    </row>
    <row r="668">
      <c r="A668" s="11" t="s">
        <v>682</v>
      </c>
      <c r="B668" s="39">
        <v>43972.0</v>
      </c>
      <c r="C668" s="40">
        <v>44022.0</v>
      </c>
      <c r="D668" s="27" t="s">
        <v>56</v>
      </c>
      <c r="E668" s="11" t="b">
        <v>1</v>
      </c>
      <c r="F668" s="11" t="s">
        <v>57</v>
      </c>
      <c r="G668" s="128" t="s">
        <v>690</v>
      </c>
      <c r="H668" s="46" t="s">
        <v>691</v>
      </c>
      <c r="I668" s="33">
        <v>5.0</v>
      </c>
      <c r="J668" s="31">
        <v>7.0</v>
      </c>
      <c r="K668" s="11">
        <v>10.0</v>
      </c>
      <c r="L668" s="32">
        <v>0.79</v>
      </c>
      <c r="M668" s="32">
        <v>0.38</v>
      </c>
      <c r="N668" s="32">
        <v>0.5</v>
      </c>
      <c r="O668" s="32"/>
      <c r="P668" s="58">
        <f>82347/5.41</f>
        <v>15221.25693</v>
      </c>
      <c r="Q668" s="34">
        <v>70.0</v>
      </c>
      <c r="R668" s="42">
        <v>5.53</v>
      </c>
      <c r="S668" s="36">
        <v>0.38</v>
      </c>
      <c r="T668" s="36">
        <v>0.5</v>
      </c>
      <c r="U668" s="36"/>
      <c r="V668" s="36">
        <v>5.41</v>
      </c>
      <c r="W668" s="37">
        <v>0.07728571428571429</v>
      </c>
      <c r="X668" s="42">
        <v>84173.55083179298</v>
      </c>
      <c r="Y668" s="36">
        <v>5784.077634011091</v>
      </c>
      <c r="Z668" s="36">
        <v>7610.628465804067</v>
      </c>
      <c r="AA668" s="36"/>
      <c r="AB668" s="36">
        <v>82347.0</v>
      </c>
      <c r="AC668" s="37">
        <v>1176.3857142857144</v>
      </c>
      <c r="AD668" s="31"/>
      <c r="AE668" s="11"/>
      <c r="AF668" s="11"/>
    </row>
    <row r="669">
      <c r="A669" s="11" t="s">
        <v>682</v>
      </c>
      <c r="B669" s="39">
        <v>43620.633590613426</v>
      </c>
      <c r="C669" s="40">
        <v>43647.0</v>
      </c>
      <c r="D669" s="27" t="s">
        <v>68</v>
      </c>
      <c r="E669" s="11" t="b">
        <v>1</v>
      </c>
      <c r="F669" s="29" t="s">
        <v>57</v>
      </c>
      <c r="G669" s="45" t="str">
        <f>"https://www.aliexpress.com/item/10pcs-lot-5x7-cm-Copper-Prototype-Diy-Universal-Printed-Circuit-PCB-Development-Board-Protoboard-For-Arduino/32677435056.html?spm=a2g0s.9042311.0.0.5ef54c4dTg4IAL"</f>
        <v>https://www.aliexpress.com/item/10pcs-lot-5x7-cm-Copper-Prototype-Diy-Universal-Printed-Circuit-PCB-Development-Board-Protoboard-For-Arduino/32677435056.html?spm=a2g0s.9042311.0.0.5ef54c4dTg4IAL</v>
      </c>
      <c r="H669" s="29" t="s">
        <v>692</v>
      </c>
      <c r="I669" s="33"/>
      <c r="J669" s="31">
        <v>33.0</v>
      </c>
      <c r="K669" s="11">
        <v>10.0</v>
      </c>
      <c r="L669" s="32">
        <v>0.44</v>
      </c>
      <c r="M669" s="32">
        <f>14.73 + 20000/P669</f>
        <v>16.09304522</v>
      </c>
      <c r="N669" s="32">
        <v>2.0</v>
      </c>
      <c r="O669" s="32"/>
      <c r="P669" s="33">
        <f>399840/27.25</f>
        <v>14673.02752</v>
      </c>
      <c r="Q669" s="34">
        <v>330.0</v>
      </c>
      <c r="R669" s="42">
        <v>14.52</v>
      </c>
      <c r="S669" s="36">
        <v>16.093045218087234</v>
      </c>
      <c r="T669" s="36">
        <v>2.0</v>
      </c>
      <c r="U669" s="36"/>
      <c r="V669" s="36">
        <v>28.613045218087233</v>
      </c>
      <c r="W669" s="37">
        <v>0.08670619763056737</v>
      </c>
      <c r="X669" s="42">
        <v>213052.35963302752</v>
      </c>
      <c r="Y669" s="36">
        <v>236133.695412844</v>
      </c>
      <c r="Z669" s="36">
        <v>29346.05504587156</v>
      </c>
      <c r="AA669" s="36"/>
      <c r="AB669" s="36">
        <v>419839.99999999994</v>
      </c>
      <c r="AC669" s="37">
        <v>1272.242424242424</v>
      </c>
      <c r="AD669" s="31">
        <v>2000.0</v>
      </c>
      <c r="AE669" s="11">
        <v>2000.0</v>
      </c>
      <c r="AF669" s="11" t="s">
        <v>444</v>
      </c>
    </row>
    <row r="670">
      <c r="A670" s="11" t="s">
        <v>693</v>
      </c>
      <c r="B670" s="39">
        <v>45512.03472222222</v>
      </c>
      <c r="C670" s="40">
        <v>45515.58472222222</v>
      </c>
      <c r="D670" s="27" t="s">
        <v>37</v>
      </c>
      <c r="E670" s="11" t="b">
        <v>0</v>
      </c>
      <c r="F670" s="11" t="s">
        <v>49</v>
      </c>
      <c r="G670" s="11" t="s">
        <v>500</v>
      </c>
      <c r="H670" s="11" t="s">
        <v>694</v>
      </c>
      <c r="I670" s="30">
        <v>5.0</v>
      </c>
      <c r="J670" s="31">
        <v>300.0</v>
      </c>
      <c r="K670" s="11">
        <v>1.0</v>
      </c>
      <c r="L670" s="32">
        <f>(1000)/P670</f>
        <v>0.06255473539</v>
      </c>
      <c r="M670" s="32">
        <f>(31000 + 78)/P670</f>
        <v>1.944076067</v>
      </c>
      <c r="N670" s="32">
        <f>(38250 + 45000)/P670</f>
        <v>5.207681722</v>
      </c>
      <c r="O670" s="32">
        <f>(30000)/P670</f>
        <v>1.876642062</v>
      </c>
      <c r="P670" s="33">
        <v>15986.0</v>
      </c>
      <c r="Q670" s="34">
        <v>300.0</v>
      </c>
      <c r="R670" s="42">
        <v>18.766420618040787</v>
      </c>
      <c r="S670" s="36">
        <v>1.9440760665582384</v>
      </c>
      <c r="T670" s="36">
        <v>5.207681721506318</v>
      </c>
      <c r="U670" s="36">
        <v>1.8766420618040787</v>
      </c>
      <c r="V670" s="36">
        <v>13.626172901288628</v>
      </c>
      <c r="W670" s="37">
        <v>0.04542057633762876</v>
      </c>
      <c r="X670" s="42">
        <v>300000.0</v>
      </c>
      <c r="Y670" s="36">
        <v>31078.0</v>
      </c>
      <c r="Z670" s="36">
        <v>83250.0</v>
      </c>
      <c r="AA670" s="36">
        <v>30000.0</v>
      </c>
      <c r="AB670" s="36">
        <v>217828.0</v>
      </c>
      <c r="AC670" s="37">
        <v>726.0933333333334</v>
      </c>
      <c r="AD670" s="31"/>
      <c r="AE670" s="11"/>
      <c r="AF670" s="11"/>
    </row>
    <row r="671">
      <c r="A671" s="11" t="s">
        <v>695</v>
      </c>
      <c r="B671" s="39">
        <v>45513.0</v>
      </c>
      <c r="C671" s="40">
        <v>45514.666666666664</v>
      </c>
      <c r="D671" s="27" t="s">
        <v>33</v>
      </c>
      <c r="E671" s="11" t="b">
        <v>0</v>
      </c>
      <c r="F671" s="11" t="s">
        <v>38</v>
      </c>
      <c r="G671" s="11" t="s">
        <v>362</v>
      </c>
      <c r="H671" s="11" t="s">
        <v>696</v>
      </c>
      <c r="I671" s="30">
        <v>5.0</v>
      </c>
      <c r="J671" s="31">
        <v>5.0</v>
      </c>
      <c r="K671" s="11">
        <v>200.0</v>
      </c>
      <c r="L671" s="32">
        <f>(70000)/P671</f>
        <v>4.388989905</v>
      </c>
      <c r="M671" s="32">
        <v>0.0</v>
      </c>
      <c r="N671" s="32">
        <f>(X671*10%)/P671</f>
        <v>2.194494953</v>
      </c>
      <c r="O671" s="32">
        <v>0.0</v>
      </c>
      <c r="P671" s="33">
        <v>15949.0</v>
      </c>
      <c r="Q671" s="34">
        <v>1000.0</v>
      </c>
      <c r="R671" s="42">
        <v>21.94494952661609</v>
      </c>
      <c r="S671" s="36"/>
      <c r="T671" s="36">
        <v>2.194494952661609</v>
      </c>
      <c r="U671" s="36"/>
      <c r="V671" s="36">
        <v>19.750454573954478</v>
      </c>
      <c r="W671" s="37">
        <v>0.01975045457395448</v>
      </c>
      <c r="X671" s="42">
        <v>350000.0</v>
      </c>
      <c r="Y671" s="36"/>
      <c r="Z671" s="36">
        <v>35000.0</v>
      </c>
      <c r="AA671" s="36"/>
      <c r="AB671" s="36">
        <v>315000.0</v>
      </c>
      <c r="AC671" s="37">
        <v>315.0</v>
      </c>
      <c r="AD671" s="31"/>
      <c r="AE671" s="11"/>
      <c r="AF671" s="11"/>
    </row>
    <row r="672">
      <c r="A672" s="11" t="s">
        <v>695</v>
      </c>
      <c r="B672" s="39">
        <v>45512.03472222222</v>
      </c>
      <c r="C672" s="40">
        <v>45515.56458333333</v>
      </c>
      <c r="D672" s="27" t="s">
        <v>37</v>
      </c>
      <c r="E672" s="11" t="b">
        <v>0</v>
      </c>
      <c r="F672" s="11" t="s">
        <v>49</v>
      </c>
      <c r="G672" s="11" t="s">
        <v>246</v>
      </c>
      <c r="H672" s="11" t="s">
        <v>697</v>
      </c>
      <c r="I672" s="30">
        <v>5.0</v>
      </c>
      <c r="J672" s="31">
        <v>1000.0</v>
      </c>
      <c r="K672" s="11">
        <v>1.0</v>
      </c>
      <c r="L672" s="32">
        <f>(500)/P672</f>
        <v>0.0312773677</v>
      </c>
      <c r="M672" s="32">
        <f>(250)/P672</f>
        <v>0.01563868385</v>
      </c>
      <c r="N672" s="32">
        <f t="shared" ref="N672:N673" si="185">(X672*15%)/P672</f>
        <v>4.691605155</v>
      </c>
      <c r="O672" s="32">
        <v>0.0</v>
      </c>
      <c r="P672" s="33">
        <v>15986.0</v>
      </c>
      <c r="Q672" s="34">
        <v>1000.0</v>
      </c>
      <c r="R672" s="42">
        <v>31.277367696734643</v>
      </c>
      <c r="S672" s="36">
        <v>0.01563868384836732</v>
      </c>
      <c r="T672" s="36">
        <v>4.691605154510197</v>
      </c>
      <c r="U672" s="36"/>
      <c r="V672" s="36">
        <v>26.601401226072817</v>
      </c>
      <c r="W672" s="37">
        <v>0.026601401226072817</v>
      </c>
      <c r="X672" s="42">
        <v>500000.0</v>
      </c>
      <c r="Y672" s="36">
        <v>250.0</v>
      </c>
      <c r="Z672" s="36">
        <v>75000.0</v>
      </c>
      <c r="AA672" s="36"/>
      <c r="AB672" s="36">
        <v>425250.00000000006</v>
      </c>
      <c r="AC672" s="37">
        <v>425.25000000000006</v>
      </c>
      <c r="AD672" s="31"/>
      <c r="AE672" s="11"/>
      <c r="AF672" s="11"/>
    </row>
    <row r="673">
      <c r="A673" s="11" t="s">
        <v>698</v>
      </c>
      <c r="B673" s="39">
        <v>45955.03194444445</v>
      </c>
      <c r="C673" s="40">
        <v>45958.885416666664</v>
      </c>
      <c r="D673" s="27" t="s">
        <v>33</v>
      </c>
      <c r="E673" s="11" t="b">
        <v>0</v>
      </c>
      <c r="F673" s="11" t="s">
        <v>49</v>
      </c>
      <c r="G673" s="11" t="s">
        <v>651</v>
      </c>
      <c r="H673" s="11" t="s">
        <v>661</v>
      </c>
      <c r="I673" s="30">
        <v>5.0</v>
      </c>
      <c r="J673" s="31">
        <v>1000.0</v>
      </c>
      <c r="K673" s="11">
        <v>1.0</v>
      </c>
      <c r="L673" s="32">
        <f t="shared" ref="L673:L688" si="186">(125)/P673</f>
        <v>0.007521058965</v>
      </c>
      <c r="M673" s="32">
        <f>(1000/11)/P673</f>
        <v>0.005469861066</v>
      </c>
      <c r="N673" s="32">
        <f t="shared" si="185"/>
        <v>1.128158845</v>
      </c>
      <c r="O673" s="32">
        <v>0.0</v>
      </c>
      <c r="P673" s="33">
        <v>16620.0</v>
      </c>
      <c r="Q673" s="34">
        <v>1000.0</v>
      </c>
      <c r="R673" s="42">
        <v>7.521058965102286</v>
      </c>
      <c r="S673" s="36">
        <v>0.005469861065528935</v>
      </c>
      <c r="T673" s="36">
        <v>1.128158844765343</v>
      </c>
      <c r="U673" s="36"/>
      <c r="V673" s="36">
        <v>6.398369981402472</v>
      </c>
      <c r="W673" s="37">
        <v>0.0063983699814024715</v>
      </c>
      <c r="X673" s="42">
        <v>125000.0</v>
      </c>
      <c r="Y673" s="36">
        <v>90.9090909090909</v>
      </c>
      <c r="Z673" s="36">
        <v>18750.0</v>
      </c>
      <c r="AA673" s="36"/>
      <c r="AB673" s="36">
        <v>106340.90909090909</v>
      </c>
      <c r="AC673" s="37">
        <v>106.3409090909091</v>
      </c>
      <c r="AD673" s="31"/>
      <c r="AE673" s="11"/>
      <c r="AF673" s="11"/>
    </row>
    <row r="674">
      <c r="A674" s="11" t="s">
        <v>698</v>
      </c>
      <c r="B674" s="39">
        <v>45563.55902777778</v>
      </c>
      <c r="C674" s="40">
        <v>45568.660416666666</v>
      </c>
      <c r="D674" s="27" t="s">
        <v>37</v>
      </c>
      <c r="E674" s="11" t="b">
        <v>0</v>
      </c>
      <c r="F674" s="11" t="s">
        <v>49</v>
      </c>
      <c r="G674" s="11" t="s">
        <v>651</v>
      </c>
      <c r="H674" s="11" t="s">
        <v>663</v>
      </c>
      <c r="I674" s="30">
        <v>5.0</v>
      </c>
      <c r="J674" s="31">
        <v>100.0</v>
      </c>
      <c r="K674" s="11">
        <v>1.0</v>
      </c>
      <c r="L674" s="32">
        <f t="shared" si="186"/>
        <v>0.008223684211</v>
      </c>
      <c r="M674" s="32">
        <f>(5)/P674</f>
        <v>0.0003289473684</v>
      </c>
      <c r="N674" s="32">
        <f>(3750/3)/P674</f>
        <v>0.08223684211</v>
      </c>
      <c r="O674" s="32">
        <v>0.0</v>
      </c>
      <c r="P674" s="33">
        <v>15200.0</v>
      </c>
      <c r="Q674" s="34">
        <v>100.0</v>
      </c>
      <c r="R674" s="42">
        <v>0.8223684210526315</v>
      </c>
      <c r="S674" s="36">
        <v>3.289473684210526E-4</v>
      </c>
      <c r="T674" s="36">
        <v>0.08223684210526316</v>
      </c>
      <c r="U674" s="36"/>
      <c r="V674" s="36">
        <v>0.7404605263157894</v>
      </c>
      <c r="W674" s="37">
        <v>0.007404605263157894</v>
      </c>
      <c r="X674" s="42">
        <v>12500.0</v>
      </c>
      <c r="Y674" s="36">
        <v>5.0</v>
      </c>
      <c r="Z674" s="36">
        <v>1250.0</v>
      </c>
      <c r="AA674" s="36"/>
      <c r="AB674" s="36">
        <v>11254.999999999998</v>
      </c>
      <c r="AC674" s="37">
        <v>112.54999999999998</v>
      </c>
      <c r="AD674" s="31"/>
      <c r="AE674" s="11"/>
      <c r="AF674" s="11"/>
    </row>
    <row r="675">
      <c r="A675" s="28" t="s">
        <v>698</v>
      </c>
      <c r="B675" s="39">
        <v>45414.600694444445</v>
      </c>
      <c r="C675" s="40">
        <v>45419.59861111111</v>
      </c>
      <c r="D675" s="27" t="s">
        <v>37</v>
      </c>
      <c r="E675" s="11" t="b">
        <v>0</v>
      </c>
      <c r="F675" s="11" t="s">
        <v>49</v>
      </c>
      <c r="G675" s="11" t="s">
        <v>664</v>
      </c>
      <c r="H675" s="11" t="s">
        <v>664</v>
      </c>
      <c r="I675" s="30">
        <v>5.0</v>
      </c>
      <c r="J675" s="31">
        <v>200.0</v>
      </c>
      <c r="K675" s="11">
        <v>1.0</v>
      </c>
      <c r="L675" s="32">
        <f t="shared" si="186"/>
        <v>0.007767834949</v>
      </c>
      <c r="M675" s="32">
        <f>(1000/6)/P675</f>
        <v>0.01035711327</v>
      </c>
      <c r="N675" s="32">
        <f>(3250/6)/P675</f>
        <v>0.03366061811</v>
      </c>
      <c r="O675" s="32">
        <v>0.0</v>
      </c>
      <c r="P675" s="33">
        <v>16092.0</v>
      </c>
      <c r="Q675" s="34">
        <v>200.0</v>
      </c>
      <c r="R675" s="42">
        <v>1.5535669898086004</v>
      </c>
      <c r="S675" s="36">
        <v>0.010357113265390669</v>
      </c>
      <c r="T675" s="36">
        <v>0.03366061811251968</v>
      </c>
      <c r="U675" s="36"/>
      <c r="V675" s="36">
        <v>1.5302634849614714</v>
      </c>
      <c r="W675" s="37">
        <v>0.007651317424807357</v>
      </c>
      <c r="X675" s="42">
        <v>24999.999999999996</v>
      </c>
      <c r="Y675" s="36">
        <v>166.66666666666666</v>
      </c>
      <c r="Z675" s="36">
        <v>541.6666666666666</v>
      </c>
      <c r="AA675" s="36"/>
      <c r="AB675" s="36">
        <v>24624.999999999996</v>
      </c>
      <c r="AC675" s="37">
        <v>123.12499999999999</v>
      </c>
      <c r="AD675" s="31"/>
      <c r="AE675" s="11"/>
      <c r="AF675" s="11"/>
    </row>
    <row r="676">
      <c r="A676" s="11" t="s">
        <v>699</v>
      </c>
      <c r="B676" s="77">
        <v>45986.02361111111</v>
      </c>
      <c r="C676" s="40">
        <v>45990.55416666667</v>
      </c>
      <c r="D676" s="27" t="s">
        <v>37</v>
      </c>
      <c r="E676" s="11" t="b">
        <v>0</v>
      </c>
      <c r="F676" s="11" t="s">
        <v>49</v>
      </c>
      <c r="G676" s="11" t="s">
        <v>651</v>
      </c>
      <c r="H676" s="11" t="s">
        <v>652</v>
      </c>
      <c r="I676" s="30">
        <v>5.0</v>
      </c>
      <c r="J676" s="31">
        <v>1000.0</v>
      </c>
      <c r="K676" s="11">
        <v>1.0</v>
      </c>
      <c r="L676" s="32">
        <f t="shared" si="186"/>
        <v>125</v>
      </c>
      <c r="M676" s="32">
        <f>(218/6)/P676</f>
        <v>36.33333333</v>
      </c>
      <c r="N676" s="32">
        <f t="shared" ref="N676:N680" si="187">(X676*15%)/P676</f>
        <v>18750</v>
      </c>
      <c r="O676" s="32">
        <v>0.0</v>
      </c>
      <c r="P676" s="33">
        <v>1.0</v>
      </c>
      <c r="Q676" s="34">
        <v>1000.0</v>
      </c>
      <c r="R676" s="42">
        <v>125000.0</v>
      </c>
      <c r="S676" s="36">
        <v>36.333333333333336</v>
      </c>
      <c r="T676" s="36">
        <v>18750.0</v>
      </c>
      <c r="U676" s="36"/>
      <c r="V676" s="36">
        <v>106286.33333333333</v>
      </c>
      <c r="W676" s="37">
        <v>106.28633333333333</v>
      </c>
      <c r="X676" s="42">
        <v>125000.0</v>
      </c>
      <c r="Y676" s="36">
        <v>36.333333333333336</v>
      </c>
      <c r="Z676" s="36">
        <v>18750.0</v>
      </c>
      <c r="AA676" s="36"/>
      <c r="AB676" s="36">
        <v>106286.33333333333</v>
      </c>
      <c r="AC676" s="37">
        <v>106.28633333333333</v>
      </c>
      <c r="AD676" s="31"/>
      <c r="AE676" s="11"/>
      <c r="AF676" s="11"/>
    </row>
    <row r="677">
      <c r="A677" s="11" t="s">
        <v>699</v>
      </c>
      <c r="B677" s="39">
        <v>45955.03194444445</v>
      </c>
      <c r="C677" s="40">
        <v>45958.885416666664</v>
      </c>
      <c r="D677" s="27" t="s">
        <v>33</v>
      </c>
      <c r="E677" s="11" t="b">
        <v>0</v>
      </c>
      <c r="F677" s="11" t="s">
        <v>49</v>
      </c>
      <c r="G677" s="11" t="s">
        <v>651</v>
      </c>
      <c r="H677" s="11" t="s">
        <v>661</v>
      </c>
      <c r="I677" s="30">
        <v>5.0</v>
      </c>
      <c r="J677" s="31">
        <v>650.0</v>
      </c>
      <c r="K677" s="11">
        <v>1.0</v>
      </c>
      <c r="L677" s="32">
        <f t="shared" si="186"/>
        <v>0.007521058965</v>
      </c>
      <c r="M677" s="32">
        <f>(1000/11)/P677</f>
        <v>0.005469861066</v>
      </c>
      <c r="N677" s="32">
        <f t="shared" si="187"/>
        <v>0.7333032491</v>
      </c>
      <c r="O677" s="32">
        <v>0.0</v>
      </c>
      <c r="P677" s="33">
        <v>16620.0</v>
      </c>
      <c r="Q677" s="34">
        <v>650.0</v>
      </c>
      <c r="R677" s="42">
        <v>4.888688327316486</v>
      </c>
      <c r="S677" s="36">
        <v>0.005469861065528935</v>
      </c>
      <c r="T677" s="36">
        <v>0.7333032490974729</v>
      </c>
      <c r="U677" s="36"/>
      <c r="V677" s="36">
        <v>4.160854939284542</v>
      </c>
      <c r="W677" s="37">
        <v>0.006401315291206988</v>
      </c>
      <c r="X677" s="42">
        <v>81250.0</v>
      </c>
      <c r="Y677" s="36">
        <v>90.9090909090909</v>
      </c>
      <c r="Z677" s="36">
        <v>12187.5</v>
      </c>
      <c r="AA677" s="36"/>
      <c r="AB677" s="36">
        <v>69153.40909090909</v>
      </c>
      <c r="AC677" s="37">
        <v>106.38986013986013</v>
      </c>
      <c r="AD677" s="31"/>
      <c r="AE677" s="11"/>
      <c r="AF677" s="11"/>
    </row>
    <row r="678">
      <c r="A678" s="11" t="s">
        <v>700</v>
      </c>
      <c r="B678" s="77">
        <v>45986.02361111111</v>
      </c>
      <c r="C678" s="40">
        <v>45990.55416666667</v>
      </c>
      <c r="D678" s="27" t="s">
        <v>37</v>
      </c>
      <c r="E678" s="11" t="b">
        <v>0</v>
      </c>
      <c r="F678" s="11" t="s">
        <v>49</v>
      </c>
      <c r="G678" s="11" t="s">
        <v>651</v>
      </c>
      <c r="H678" s="11" t="s">
        <v>652</v>
      </c>
      <c r="I678" s="30">
        <v>5.0</v>
      </c>
      <c r="J678" s="31">
        <v>1000.0</v>
      </c>
      <c r="K678" s="11">
        <v>1.0</v>
      </c>
      <c r="L678" s="32">
        <f t="shared" si="186"/>
        <v>125</v>
      </c>
      <c r="M678" s="32">
        <f>(218/6)/P678</f>
        <v>36.33333333</v>
      </c>
      <c r="N678" s="32">
        <f t="shared" si="187"/>
        <v>18750</v>
      </c>
      <c r="O678" s="32">
        <v>0.0</v>
      </c>
      <c r="P678" s="33">
        <v>1.0</v>
      </c>
      <c r="Q678" s="34">
        <v>1000.0</v>
      </c>
      <c r="R678" s="42">
        <v>125000.0</v>
      </c>
      <c r="S678" s="36">
        <v>36.333333333333336</v>
      </c>
      <c r="T678" s="36">
        <v>18750.0</v>
      </c>
      <c r="U678" s="36"/>
      <c r="V678" s="36">
        <v>106286.33333333333</v>
      </c>
      <c r="W678" s="37">
        <v>106.28633333333333</v>
      </c>
      <c r="X678" s="42">
        <v>125000.0</v>
      </c>
      <c r="Y678" s="36">
        <v>36.333333333333336</v>
      </c>
      <c r="Z678" s="36">
        <v>18750.0</v>
      </c>
      <c r="AA678" s="36"/>
      <c r="AB678" s="36">
        <v>106286.33333333333</v>
      </c>
      <c r="AC678" s="37">
        <v>106.28633333333333</v>
      </c>
      <c r="AD678" s="31"/>
      <c r="AE678" s="11"/>
      <c r="AF678" s="11"/>
    </row>
    <row r="679">
      <c r="A679" s="11" t="s">
        <v>700</v>
      </c>
      <c r="B679" s="39">
        <v>45955.03194444445</v>
      </c>
      <c r="C679" s="40">
        <v>45958.885416666664</v>
      </c>
      <c r="D679" s="27" t="s">
        <v>33</v>
      </c>
      <c r="E679" s="11" t="b">
        <v>0</v>
      </c>
      <c r="F679" s="11" t="s">
        <v>49</v>
      </c>
      <c r="G679" s="11" t="s">
        <v>651</v>
      </c>
      <c r="H679" s="11" t="s">
        <v>661</v>
      </c>
      <c r="I679" s="30">
        <v>5.0</v>
      </c>
      <c r="J679" s="31">
        <v>1000.0</v>
      </c>
      <c r="K679" s="11">
        <v>1.0</v>
      </c>
      <c r="L679" s="32">
        <f t="shared" si="186"/>
        <v>0.007521058965</v>
      </c>
      <c r="M679" s="32">
        <f t="shared" ref="M679:M680" si="188">(1000/11)/P679</f>
        <v>0.005469861066</v>
      </c>
      <c r="N679" s="32">
        <f t="shared" si="187"/>
        <v>1.128158845</v>
      </c>
      <c r="O679" s="32">
        <v>0.0</v>
      </c>
      <c r="P679" s="33">
        <v>16620.0</v>
      </c>
      <c r="Q679" s="34">
        <v>1000.0</v>
      </c>
      <c r="R679" s="42">
        <v>7.521058965102286</v>
      </c>
      <c r="S679" s="36">
        <v>0.005469861065528935</v>
      </c>
      <c r="T679" s="36">
        <v>1.128158844765343</v>
      </c>
      <c r="U679" s="36"/>
      <c r="V679" s="36">
        <v>6.398369981402472</v>
      </c>
      <c r="W679" s="37">
        <v>0.0063983699814024715</v>
      </c>
      <c r="X679" s="42">
        <v>125000.0</v>
      </c>
      <c r="Y679" s="36">
        <v>90.9090909090909</v>
      </c>
      <c r="Z679" s="36">
        <v>18750.0</v>
      </c>
      <c r="AA679" s="36"/>
      <c r="AB679" s="36">
        <v>106340.90909090909</v>
      </c>
      <c r="AC679" s="37">
        <v>106.3409090909091</v>
      </c>
      <c r="AD679" s="31"/>
      <c r="AE679" s="11"/>
      <c r="AF679" s="11"/>
    </row>
    <row r="680">
      <c r="A680" s="11" t="s">
        <v>701</v>
      </c>
      <c r="B680" s="39">
        <v>45955.03194444445</v>
      </c>
      <c r="C680" s="40">
        <v>45958.885416666664</v>
      </c>
      <c r="D680" s="27" t="s">
        <v>33</v>
      </c>
      <c r="E680" s="11" t="b">
        <v>0</v>
      </c>
      <c r="F680" s="11" t="s">
        <v>49</v>
      </c>
      <c r="G680" s="11" t="s">
        <v>651</v>
      </c>
      <c r="H680" s="11" t="s">
        <v>661</v>
      </c>
      <c r="I680" s="30">
        <v>5.0</v>
      </c>
      <c r="J680" s="31">
        <v>1000.0</v>
      </c>
      <c r="K680" s="11">
        <v>1.0</v>
      </c>
      <c r="L680" s="32">
        <f t="shared" si="186"/>
        <v>0.007521058965</v>
      </c>
      <c r="M680" s="32">
        <f t="shared" si="188"/>
        <v>0.005469861066</v>
      </c>
      <c r="N680" s="32">
        <f t="shared" si="187"/>
        <v>1.128158845</v>
      </c>
      <c r="O680" s="32">
        <v>0.0</v>
      </c>
      <c r="P680" s="33">
        <v>16620.0</v>
      </c>
      <c r="Q680" s="34">
        <v>1000.0</v>
      </c>
      <c r="R680" s="42">
        <v>7.521058965102286</v>
      </c>
      <c r="S680" s="36">
        <v>0.005469861065528935</v>
      </c>
      <c r="T680" s="36">
        <v>1.128158844765343</v>
      </c>
      <c r="U680" s="36"/>
      <c r="V680" s="36">
        <v>6.398369981402472</v>
      </c>
      <c r="W680" s="37">
        <v>0.0063983699814024715</v>
      </c>
      <c r="X680" s="42">
        <v>125000.0</v>
      </c>
      <c r="Y680" s="36">
        <v>90.9090909090909</v>
      </c>
      <c r="Z680" s="36">
        <v>18750.0</v>
      </c>
      <c r="AA680" s="36"/>
      <c r="AB680" s="36">
        <v>106340.90909090909</v>
      </c>
      <c r="AC680" s="37">
        <v>106.3409090909091</v>
      </c>
      <c r="AD680" s="31"/>
      <c r="AE680" s="11"/>
      <c r="AF680" s="11"/>
    </row>
    <row r="681">
      <c r="A681" s="11" t="s">
        <v>701</v>
      </c>
      <c r="B681" s="39">
        <v>45940.01527777778</v>
      </c>
      <c r="C681" s="40">
        <v>45943.48333333333</v>
      </c>
      <c r="D681" s="27" t="s">
        <v>37</v>
      </c>
      <c r="E681" s="11" t="b">
        <v>0</v>
      </c>
      <c r="F681" s="11" t="s">
        <v>49</v>
      </c>
      <c r="G681" s="11" t="s">
        <v>651</v>
      </c>
      <c r="H681" s="11" t="s">
        <v>662</v>
      </c>
      <c r="I681" s="30">
        <v>5.0</v>
      </c>
      <c r="J681" s="31">
        <v>1000.0</v>
      </c>
      <c r="K681" s="11">
        <v>1.0</v>
      </c>
      <c r="L681" s="32">
        <f t="shared" si="186"/>
        <v>0.00753920386</v>
      </c>
      <c r="M681" s="32">
        <f>(1214/4)/P681</f>
        <v>0.01830518697</v>
      </c>
      <c r="N681" s="32">
        <f>(60000/4)/P681</f>
        <v>0.9047044632</v>
      </c>
      <c r="O681" s="32">
        <v>0.0</v>
      </c>
      <c r="P681" s="33">
        <v>16580.0</v>
      </c>
      <c r="Q681" s="34">
        <v>1000.0</v>
      </c>
      <c r="R681" s="42">
        <v>7.5392038600723765</v>
      </c>
      <c r="S681" s="36">
        <v>0.01830518697225573</v>
      </c>
      <c r="T681" s="36">
        <v>0.9047044632086851</v>
      </c>
      <c r="U681" s="36"/>
      <c r="V681" s="36">
        <v>6.652804583835947</v>
      </c>
      <c r="W681" s="37">
        <v>0.0066528045838359475</v>
      </c>
      <c r="X681" s="42">
        <v>125000.0</v>
      </c>
      <c r="Y681" s="36">
        <v>303.5</v>
      </c>
      <c r="Z681" s="36">
        <v>15000.0</v>
      </c>
      <c r="AA681" s="36"/>
      <c r="AB681" s="36">
        <v>110303.5</v>
      </c>
      <c r="AC681" s="37">
        <v>110.3035</v>
      </c>
      <c r="AD681" s="31"/>
      <c r="AE681" s="11"/>
      <c r="AF681" s="11"/>
    </row>
    <row r="682">
      <c r="A682" s="11" t="s">
        <v>701</v>
      </c>
      <c r="B682" s="39">
        <v>45512.041666666664</v>
      </c>
      <c r="C682" s="40">
        <v>45515.510416666664</v>
      </c>
      <c r="D682" s="27" t="s">
        <v>37</v>
      </c>
      <c r="E682" s="11" t="b">
        <v>0</v>
      </c>
      <c r="F682" s="11" t="s">
        <v>49</v>
      </c>
      <c r="G682" s="11" t="s">
        <v>651</v>
      </c>
      <c r="H682" s="11" t="s">
        <v>668</v>
      </c>
      <c r="I682" s="30">
        <v>5.0</v>
      </c>
      <c r="J682" s="31">
        <v>500.0</v>
      </c>
      <c r="K682" s="11">
        <v>1.0</v>
      </c>
      <c r="L682" s="32">
        <f t="shared" si="186"/>
        <v>0.007819341924</v>
      </c>
      <c r="M682" s="32">
        <f>(125/2)/P682</f>
        <v>0.003909670962</v>
      </c>
      <c r="N682" s="32">
        <f>(X682*10%)/P682</f>
        <v>0.3909670962</v>
      </c>
      <c r="O682" s="32">
        <v>0.0</v>
      </c>
      <c r="P682" s="33">
        <v>15986.0</v>
      </c>
      <c r="Q682" s="34">
        <v>500.0</v>
      </c>
      <c r="R682" s="42">
        <v>3.9096709620918304</v>
      </c>
      <c r="S682" s="36">
        <v>0.00390967096209183</v>
      </c>
      <c r="T682" s="36">
        <v>0.390967096209183</v>
      </c>
      <c r="U682" s="36"/>
      <c r="V682" s="36">
        <v>3.522613536844739</v>
      </c>
      <c r="W682" s="37">
        <v>0.007045227073689478</v>
      </c>
      <c r="X682" s="42">
        <v>62500.0</v>
      </c>
      <c r="Y682" s="36">
        <v>62.5</v>
      </c>
      <c r="Z682" s="36">
        <v>6250.0</v>
      </c>
      <c r="AA682" s="36"/>
      <c r="AB682" s="36">
        <v>56312.5</v>
      </c>
      <c r="AC682" s="37">
        <v>112.625</v>
      </c>
      <c r="AD682" s="31"/>
      <c r="AE682" s="11"/>
      <c r="AF682" s="11"/>
    </row>
    <row r="683">
      <c r="A683" s="28" t="s">
        <v>701</v>
      </c>
      <c r="B683" s="39">
        <v>45414.600694444445</v>
      </c>
      <c r="C683" s="40">
        <v>45419.59861111111</v>
      </c>
      <c r="D683" s="27" t="s">
        <v>37</v>
      </c>
      <c r="E683" s="11" t="b">
        <v>0</v>
      </c>
      <c r="F683" s="11" t="s">
        <v>49</v>
      </c>
      <c r="G683" s="11" t="s">
        <v>664</v>
      </c>
      <c r="H683" s="11" t="s">
        <v>664</v>
      </c>
      <c r="I683" s="30">
        <v>5.0</v>
      </c>
      <c r="J683" s="31">
        <v>200.0</v>
      </c>
      <c r="K683" s="11">
        <v>1.0</v>
      </c>
      <c r="L683" s="32">
        <f t="shared" si="186"/>
        <v>0.007767834949</v>
      </c>
      <c r="M683" s="32">
        <f>(1000/6)/P683</f>
        <v>0.01035711327</v>
      </c>
      <c r="N683" s="32">
        <f>(3250/6)/P683</f>
        <v>0.03366061811</v>
      </c>
      <c r="O683" s="32">
        <v>0.0</v>
      </c>
      <c r="P683" s="33">
        <v>16092.0</v>
      </c>
      <c r="Q683" s="34">
        <v>200.0</v>
      </c>
      <c r="R683" s="42">
        <v>1.5535669898086004</v>
      </c>
      <c r="S683" s="36">
        <v>0.010357113265390669</v>
      </c>
      <c r="T683" s="36">
        <v>0.03366061811251968</v>
      </c>
      <c r="U683" s="36"/>
      <c r="V683" s="36">
        <v>1.5302634849614714</v>
      </c>
      <c r="W683" s="37">
        <v>0.007651317424807357</v>
      </c>
      <c r="X683" s="42">
        <v>24999.999999999996</v>
      </c>
      <c r="Y683" s="36">
        <v>166.66666666666666</v>
      </c>
      <c r="Z683" s="36">
        <v>541.6666666666666</v>
      </c>
      <c r="AA683" s="36"/>
      <c r="AB683" s="36">
        <v>24624.999999999996</v>
      </c>
      <c r="AC683" s="37">
        <v>123.12499999999999</v>
      </c>
      <c r="AD683" s="31"/>
      <c r="AE683" s="11"/>
      <c r="AF683" s="11"/>
    </row>
    <row r="684">
      <c r="A684" s="11" t="s">
        <v>702</v>
      </c>
      <c r="B684" s="77">
        <v>45986.02361111111</v>
      </c>
      <c r="C684" s="40">
        <v>45990.55416666667</v>
      </c>
      <c r="D684" s="27" t="s">
        <v>37</v>
      </c>
      <c r="E684" s="11" t="b">
        <v>0</v>
      </c>
      <c r="F684" s="11" t="s">
        <v>49</v>
      </c>
      <c r="G684" s="11" t="s">
        <v>651</v>
      </c>
      <c r="H684" s="11" t="s">
        <v>652</v>
      </c>
      <c r="I684" s="30">
        <v>5.0</v>
      </c>
      <c r="J684" s="31">
        <v>500.0</v>
      </c>
      <c r="K684" s="11">
        <v>1.0</v>
      </c>
      <c r="L684" s="32">
        <f t="shared" si="186"/>
        <v>125</v>
      </c>
      <c r="M684" s="32">
        <f>(218/6)/P684</f>
        <v>36.33333333</v>
      </c>
      <c r="N684" s="32">
        <f t="shared" ref="N684:N688" si="189">(X684*15%)/P684</f>
        <v>9375</v>
      </c>
      <c r="O684" s="32">
        <v>0.0</v>
      </c>
      <c r="P684" s="33">
        <v>1.0</v>
      </c>
      <c r="Q684" s="34">
        <v>500.0</v>
      </c>
      <c r="R684" s="42">
        <v>62500.0</v>
      </c>
      <c r="S684" s="36">
        <v>36.333333333333336</v>
      </c>
      <c r="T684" s="36">
        <v>9375.0</v>
      </c>
      <c r="U684" s="36"/>
      <c r="V684" s="36">
        <v>53161.333333333336</v>
      </c>
      <c r="W684" s="37">
        <v>106.32266666666668</v>
      </c>
      <c r="X684" s="42">
        <v>62500.0</v>
      </c>
      <c r="Y684" s="36">
        <v>36.333333333333336</v>
      </c>
      <c r="Z684" s="36">
        <v>9375.0</v>
      </c>
      <c r="AA684" s="36"/>
      <c r="AB684" s="36">
        <v>53161.333333333336</v>
      </c>
      <c r="AC684" s="37">
        <v>106.32266666666668</v>
      </c>
      <c r="AD684" s="31"/>
      <c r="AE684" s="11"/>
      <c r="AF684" s="11"/>
    </row>
    <row r="685">
      <c r="A685" s="11" t="s">
        <v>702</v>
      </c>
      <c r="B685" s="39">
        <v>45955.03194444445</v>
      </c>
      <c r="C685" s="40">
        <v>45958.885416666664</v>
      </c>
      <c r="D685" s="27" t="s">
        <v>33</v>
      </c>
      <c r="E685" s="11" t="b">
        <v>0</v>
      </c>
      <c r="F685" s="11" t="s">
        <v>49</v>
      </c>
      <c r="G685" s="11" t="s">
        <v>651</v>
      </c>
      <c r="H685" s="11" t="s">
        <v>661</v>
      </c>
      <c r="I685" s="30">
        <v>5.0</v>
      </c>
      <c r="J685" s="31">
        <v>1000.0</v>
      </c>
      <c r="K685" s="11">
        <v>1.0</v>
      </c>
      <c r="L685" s="32">
        <f t="shared" si="186"/>
        <v>0.007521058965</v>
      </c>
      <c r="M685" s="32">
        <f>(1000/11)/P685</f>
        <v>0.005469861066</v>
      </c>
      <c r="N685" s="32">
        <f t="shared" si="189"/>
        <v>1.128158845</v>
      </c>
      <c r="O685" s="32">
        <v>0.0</v>
      </c>
      <c r="P685" s="33">
        <v>16620.0</v>
      </c>
      <c r="Q685" s="34">
        <v>1000.0</v>
      </c>
      <c r="R685" s="42">
        <v>7.521058965102286</v>
      </c>
      <c r="S685" s="36">
        <v>0.005469861065528935</v>
      </c>
      <c r="T685" s="36">
        <v>1.128158844765343</v>
      </c>
      <c r="U685" s="36"/>
      <c r="V685" s="36">
        <v>6.398369981402472</v>
      </c>
      <c r="W685" s="37">
        <v>0.0063983699814024715</v>
      </c>
      <c r="X685" s="42">
        <v>125000.0</v>
      </c>
      <c r="Y685" s="36">
        <v>90.9090909090909</v>
      </c>
      <c r="Z685" s="36">
        <v>18750.0</v>
      </c>
      <c r="AA685" s="36"/>
      <c r="AB685" s="36">
        <v>106340.90909090909</v>
      </c>
      <c r="AC685" s="37">
        <v>106.3409090909091</v>
      </c>
      <c r="AD685" s="31"/>
      <c r="AE685" s="11"/>
      <c r="AF685" s="11"/>
    </row>
    <row r="686">
      <c r="A686" s="11" t="s">
        <v>703</v>
      </c>
      <c r="B686" s="77">
        <v>45986.02361111111</v>
      </c>
      <c r="C686" s="40">
        <v>45990.55416666667</v>
      </c>
      <c r="D686" s="27" t="s">
        <v>37</v>
      </c>
      <c r="E686" s="11" t="b">
        <v>0</v>
      </c>
      <c r="F686" s="11" t="s">
        <v>49</v>
      </c>
      <c r="G686" s="11" t="s">
        <v>651</v>
      </c>
      <c r="H686" s="11" t="s">
        <v>652</v>
      </c>
      <c r="I686" s="30">
        <v>5.0</v>
      </c>
      <c r="J686" s="31">
        <v>400.0</v>
      </c>
      <c r="K686" s="11">
        <v>1.0</v>
      </c>
      <c r="L686" s="32">
        <f t="shared" si="186"/>
        <v>125</v>
      </c>
      <c r="M686" s="32">
        <f>(218/6)/P686</f>
        <v>36.33333333</v>
      </c>
      <c r="N686" s="32">
        <f t="shared" si="189"/>
        <v>7500</v>
      </c>
      <c r="O686" s="32">
        <v>0.0</v>
      </c>
      <c r="P686" s="33">
        <v>1.0</v>
      </c>
      <c r="Q686" s="34">
        <v>400.0</v>
      </c>
      <c r="R686" s="42">
        <v>50000.0</v>
      </c>
      <c r="S686" s="36">
        <v>36.333333333333336</v>
      </c>
      <c r="T686" s="36">
        <v>7500.0</v>
      </c>
      <c r="U686" s="36"/>
      <c r="V686" s="36">
        <v>42536.333333333336</v>
      </c>
      <c r="W686" s="37">
        <v>106.34083333333334</v>
      </c>
      <c r="X686" s="42">
        <v>50000.0</v>
      </c>
      <c r="Y686" s="36">
        <v>36.333333333333336</v>
      </c>
      <c r="Z686" s="36">
        <v>7500.0</v>
      </c>
      <c r="AA686" s="36"/>
      <c r="AB686" s="36">
        <v>42536.333333333336</v>
      </c>
      <c r="AC686" s="37">
        <v>106.34083333333334</v>
      </c>
      <c r="AD686" s="31"/>
      <c r="AE686" s="11"/>
      <c r="AF686" s="11"/>
    </row>
    <row r="687">
      <c r="A687" s="11" t="s">
        <v>703</v>
      </c>
      <c r="B687" s="39">
        <v>45955.03194444445</v>
      </c>
      <c r="C687" s="40">
        <v>45958.885416666664</v>
      </c>
      <c r="D687" s="27" t="s">
        <v>33</v>
      </c>
      <c r="E687" s="11" t="b">
        <v>0</v>
      </c>
      <c r="F687" s="11" t="s">
        <v>49</v>
      </c>
      <c r="G687" s="11" t="s">
        <v>651</v>
      </c>
      <c r="H687" s="11" t="s">
        <v>661</v>
      </c>
      <c r="I687" s="30">
        <v>5.0</v>
      </c>
      <c r="J687" s="31">
        <v>1000.0</v>
      </c>
      <c r="K687" s="11">
        <v>1.0</v>
      </c>
      <c r="L687" s="32">
        <f t="shared" si="186"/>
        <v>0.007521058965</v>
      </c>
      <c r="M687" s="32">
        <f t="shared" ref="M687:M688" si="190">(1000/11)/P687</f>
        <v>0.005469861066</v>
      </c>
      <c r="N687" s="32">
        <f t="shared" si="189"/>
        <v>1.128158845</v>
      </c>
      <c r="O687" s="32">
        <v>0.0</v>
      </c>
      <c r="P687" s="33">
        <v>16620.0</v>
      </c>
      <c r="Q687" s="34">
        <v>1000.0</v>
      </c>
      <c r="R687" s="42">
        <v>7.521058965102286</v>
      </c>
      <c r="S687" s="36">
        <v>0.005469861065528935</v>
      </c>
      <c r="T687" s="36">
        <v>1.128158844765343</v>
      </c>
      <c r="U687" s="36"/>
      <c r="V687" s="36">
        <v>6.398369981402472</v>
      </c>
      <c r="W687" s="37">
        <v>0.0063983699814024715</v>
      </c>
      <c r="X687" s="42">
        <v>125000.0</v>
      </c>
      <c r="Y687" s="36">
        <v>90.9090909090909</v>
      </c>
      <c r="Z687" s="36">
        <v>18750.0</v>
      </c>
      <c r="AA687" s="36"/>
      <c r="AB687" s="36">
        <v>106340.90909090909</v>
      </c>
      <c r="AC687" s="37">
        <v>106.3409090909091</v>
      </c>
      <c r="AD687" s="31"/>
      <c r="AE687" s="11"/>
      <c r="AF687" s="11"/>
    </row>
    <row r="688">
      <c r="A688" s="11" t="s">
        <v>704</v>
      </c>
      <c r="B688" s="39">
        <v>45955.03194444445</v>
      </c>
      <c r="C688" s="40">
        <v>45958.885416666664</v>
      </c>
      <c r="D688" s="27" t="s">
        <v>33</v>
      </c>
      <c r="E688" s="11" t="b">
        <v>0</v>
      </c>
      <c r="F688" s="11" t="s">
        <v>49</v>
      </c>
      <c r="G688" s="11" t="s">
        <v>651</v>
      </c>
      <c r="H688" s="11" t="s">
        <v>661</v>
      </c>
      <c r="I688" s="30">
        <v>5.0</v>
      </c>
      <c r="J688" s="31">
        <v>1000.0</v>
      </c>
      <c r="K688" s="11">
        <v>1.0</v>
      </c>
      <c r="L688" s="32">
        <f t="shared" si="186"/>
        <v>0.007521058965</v>
      </c>
      <c r="M688" s="32">
        <f t="shared" si="190"/>
        <v>0.005469861066</v>
      </c>
      <c r="N688" s="32">
        <f t="shared" si="189"/>
        <v>1.128158845</v>
      </c>
      <c r="O688" s="32">
        <v>0.0</v>
      </c>
      <c r="P688" s="33">
        <v>16620.0</v>
      </c>
      <c r="Q688" s="34">
        <v>1000.0</v>
      </c>
      <c r="R688" s="42">
        <v>7.521058965102286</v>
      </c>
      <c r="S688" s="36">
        <v>0.005469861065528935</v>
      </c>
      <c r="T688" s="36">
        <v>1.128158844765343</v>
      </c>
      <c r="U688" s="36"/>
      <c r="V688" s="36">
        <v>6.398369981402472</v>
      </c>
      <c r="W688" s="37">
        <v>0.0063983699814024715</v>
      </c>
      <c r="X688" s="42">
        <v>125000.0</v>
      </c>
      <c r="Y688" s="36">
        <v>90.9090909090909</v>
      </c>
      <c r="Z688" s="36">
        <v>18750.0</v>
      </c>
      <c r="AA688" s="36"/>
      <c r="AB688" s="36">
        <v>106340.90909090909</v>
      </c>
      <c r="AC688" s="37">
        <v>106.3409090909091</v>
      </c>
      <c r="AD688" s="31"/>
      <c r="AE688" s="11"/>
      <c r="AF688" s="11"/>
    </row>
    <row r="689">
      <c r="A689" s="11" t="s">
        <v>705</v>
      </c>
      <c r="B689" s="39">
        <v>43284.0</v>
      </c>
      <c r="C689" s="40">
        <v>43286.0</v>
      </c>
      <c r="D689" s="27" t="s">
        <v>66</v>
      </c>
      <c r="E689" s="11" t="b">
        <v>0</v>
      </c>
      <c r="F689" s="11" t="s">
        <v>49</v>
      </c>
      <c r="G689" s="59" t="str">
        <f>"https://shopee.co.id/Jas-Hujan-Ponco-Modern-merek-Elephant-i.17257333.174021456"</f>
        <v>https://shopee.co.id/Jas-Hujan-Ponco-Modern-merek-Elephant-i.17257333.174021456</v>
      </c>
      <c r="H689" s="11" t="s">
        <v>706</v>
      </c>
      <c r="I689" s="33"/>
      <c r="J689" s="31">
        <v>13.0</v>
      </c>
      <c r="K689" s="11">
        <v>1.0</v>
      </c>
      <c r="L689" s="36">
        <f>18000/P689</f>
        <v>1.8</v>
      </c>
      <c r="M689" s="32">
        <v>0.0</v>
      </c>
      <c r="N689" s="32"/>
      <c r="O689" s="32"/>
      <c r="P689" s="33">
        <v>10000.0</v>
      </c>
      <c r="Q689" s="34">
        <v>13.0</v>
      </c>
      <c r="R689" s="42">
        <v>23.400000000000002</v>
      </c>
      <c r="S689" s="36"/>
      <c r="T689" s="36"/>
      <c r="U689" s="36"/>
      <c r="V689" s="36">
        <v>23.400000000000002</v>
      </c>
      <c r="W689" s="37">
        <v>1.8000000000000003</v>
      </c>
      <c r="X689" s="42">
        <v>234000.00000000003</v>
      </c>
      <c r="Y689" s="36"/>
      <c r="Z689" s="36"/>
      <c r="AA689" s="36"/>
      <c r="AB689" s="36">
        <v>234000.00000000003</v>
      </c>
      <c r="AC689" s="37">
        <v>18000.000000000004</v>
      </c>
      <c r="AD689" s="31">
        <v>22500.0</v>
      </c>
      <c r="AE689" s="11">
        <v>25000.0</v>
      </c>
      <c r="AF689" s="11"/>
    </row>
    <row r="690">
      <c r="A690" s="11" t="s">
        <v>707</v>
      </c>
      <c r="B690" s="39">
        <v>45411.51111111111</v>
      </c>
      <c r="C690" s="40">
        <v>45414.416666666664</v>
      </c>
      <c r="D690" s="27" t="s">
        <v>37</v>
      </c>
      <c r="E690" s="11" t="b">
        <v>0</v>
      </c>
      <c r="F690" s="11" t="s">
        <v>49</v>
      </c>
      <c r="G690" s="11" t="s">
        <v>708</v>
      </c>
      <c r="H690" s="11" t="s">
        <v>708</v>
      </c>
      <c r="I690" s="30">
        <v>5.0</v>
      </c>
      <c r="J690" s="31">
        <v>3.0</v>
      </c>
      <c r="K690" s="11">
        <v>50.0</v>
      </c>
      <c r="L690" s="32">
        <f>(95100/3)/P690</f>
        <v>1.952090646</v>
      </c>
      <c r="M690" s="32">
        <f t="shared" ref="M690:M692" si="191">(1000)/P690</f>
        <v>0.06158014656</v>
      </c>
      <c r="N690" s="32">
        <v>0.0</v>
      </c>
      <c r="O690" s="32">
        <v>0.0</v>
      </c>
      <c r="P690" s="33">
        <v>16239.0</v>
      </c>
      <c r="Q690" s="34">
        <v>150.0</v>
      </c>
      <c r="R690" s="42">
        <v>5.856271937927213</v>
      </c>
      <c r="S690" s="36">
        <v>0.06158014656074882</v>
      </c>
      <c r="T690" s="36"/>
      <c r="U690" s="36"/>
      <c r="V690" s="36">
        <v>5.917852084487961</v>
      </c>
      <c r="W690" s="37">
        <v>0.03945234722991974</v>
      </c>
      <c r="X690" s="42">
        <v>95100.00000000001</v>
      </c>
      <c r="Y690" s="36">
        <v>1000.0</v>
      </c>
      <c r="Z690" s="36"/>
      <c r="AA690" s="36"/>
      <c r="AB690" s="36">
        <v>96100.0</v>
      </c>
      <c r="AC690" s="37">
        <v>640.6666666666666</v>
      </c>
      <c r="AD690" s="31"/>
      <c r="AE690" s="11"/>
      <c r="AF690" s="11"/>
    </row>
    <row r="691">
      <c r="A691" s="11" t="s">
        <v>707</v>
      </c>
      <c r="B691" s="39">
        <v>45357.373557638886</v>
      </c>
      <c r="C691" s="40">
        <v>45357.594981435184</v>
      </c>
      <c r="D691" s="27" t="s">
        <v>33</v>
      </c>
      <c r="E691" s="11" t="b">
        <v>0</v>
      </c>
      <c r="F691" s="11" t="s">
        <v>49</v>
      </c>
      <c r="G691" s="11" t="s">
        <v>89</v>
      </c>
      <c r="H691" s="11" t="s">
        <v>89</v>
      </c>
      <c r="I691" s="30">
        <v>5.0</v>
      </c>
      <c r="J691" s="31">
        <v>28.0</v>
      </c>
      <c r="K691" s="11">
        <v>50.0</v>
      </c>
      <c r="L691" s="32">
        <f>(37000)/P691</f>
        <v>2.349206349</v>
      </c>
      <c r="M691" s="32">
        <f t="shared" si="191"/>
        <v>0.06349206349</v>
      </c>
      <c r="N691" s="32">
        <f>(41440)/P691</f>
        <v>2.631111111</v>
      </c>
      <c r="O691" s="32">
        <v>0.0</v>
      </c>
      <c r="P691" s="33">
        <v>15750.0</v>
      </c>
      <c r="Q691" s="34">
        <v>1400.0</v>
      </c>
      <c r="R691" s="42">
        <v>65.77777777777779</v>
      </c>
      <c r="S691" s="36">
        <v>0.06349206349206349</v>
      </c>
      <c r="T691" s="36">
        <v>2.631111111111111</v>
      </c>
      <c r="U691" s="36"/>
      <c r="V691" s="36">
        <v>63.21015873015874</v>
      </c>
      <c r="W691" s="37">
        <v>0.04515011337868481</v>
      </c>
      <c r="X691" s="42">
        <v>1036000.0000000001</v>
      </c>
      <c r="Y691" s="36">
        <v>1000.0</v>
      </c>
      <c r="Z691" s="36">
        <v>41440.0</v>
      </c>
      <c r="AA691" s="36"/>
      <c r="AB691" s="36">
        <v>995560.0000000001</v>
      </c>
      <c r="AC691" s="37">
        <v>711.1142857142858</v>
      </c>
      <c r="AD691" s="31"/>
      <c r="AE691" s="11"/>
      <c r="AF691" s="11"/>
    </row>
    <row r="692">
      <c r="A692" s="11" t="s">
        <v>707</v>
      </c>
      <c r="B692" s="39">
        <v>45350.89054010417</v>
      </c>
      <c r="C692" s="40">
        <v>45352.42292824074</v>
      </c>
      <c r="D692" s="27" t="s">
        <v>33</v>
      </c>
      <c r="E692" s="11" t="b">
        <v>0</v>
      </c>
      <c r="F692" s="11" t="s">
        <v>49</v>
      </c>
      <c r="G692" s="11" t="s">
        <v>89</v>
      </c>
      <c r="H692" s="11" t="s">
        <v>89</v>
      </c>
      <c r="I692" s="30">
        <v>5.0</v>
      </c>
      <c r="J692" s="31">
        <v>3.0</v>
      </c>
      <c r="K692" s="11">
        <v>50.0</v>
      </c>
      <c r="L692" s="32">
        <f>(31700)/P692</f>
        <v>2.022328549</v>
      </c>
      <c r="M692" s="32">
        <f t="shared" si="191"/>
        <v>0.06379585327</v>
      </c>
      <c r="N692" s="32">
        <v>0.0</v>
      </c>
      <c r="O692" s="32">
        <v>0.0</v>
      </c>
      <c r="P692" s="33">
        <v>15675.0</v>
      </c>
      <c r="Q692" s="34">
        <v>150.0</v>
      </c>
      <c r="R692" s="42">
        <v>6.0669856459330145</v>
      </c>
      <c r="S692" s="36">
        <v>0.06379585326953748</v>
      </c>
      <c r="T692" s="36"/>
      <c r="U692" s="36"/>
      <c r="V692" s="36">
        <v>6.130781499202552</v>
      </c>
      <c r="W692" s="37">
        <v>0.040871876661350344</v>
      </c>
      <c r="X692" s="42">
        <v>95100.0</v>
      </c>
      <c r="Y692" s="36">
        <v>999.9999999999999</v>
      </c>
      <c r="Z692" s="36"/>
      <c r="AA692" s="36"/>
      <c r="AB692" s="36">
        <v>96100.0</v>
      </c>
      <c r="AC692" s="37">
        <v>640.6666666666666</v>
      </c>
      <c r="AD692" s="31"/>
      <c r="AE692" s="11"/>
      <c r="AF692" s="11"/>
    </row>
    <row r="693">
      <c r="A693" s="11" t="s">
        <v>707</v>
      </c>
      <c r="B693" s="39">
        <v>44952.0</v>
      </c>
      <c r="C693" s="40">
        <v>44961.0</v>
      </c>
      <c r="D693" s="27" t="s">
        <v>33</v>
      </c>
      <c r="E693" s="11" t="b">
        <v>0</v>
      </c>
      <c r="F693" s="11" t="s">
        <v>38</v>
      </c>
      <c r="G693" s="57" t="s">
        <v>709</v>
      </c>
      <c r="H693" s="46" t="s">
        <v>159</v>
      </c>
      <c r="I693" s="30">
        <v>5.0</v>
      </c>
      <c r="J693" s="31">
        <v>1.0</v>
      </c>
      <c r="K693" s="11">
        <v>200.0</v>
      </c>
      <c r="L693" s="32">
        <f>200*580/P693</f>
        <v>7.742624483</v>
      </c>
      <c r="M693" s="32">
        <f>(18000+1000+700)/P693</f>
        <v>1.314911227</v>
      </c>
      <c r="N693" s="32">
        <v>0.0</v>
      </c>
      <c r="O693" s="67">
        <f>18000/P693</f>
        <v>1.20144173</v>
      </c>
      <c r="P693" s="33">
        <v>14982.0</v>
      </c>
      <c r="Q693" s="34">
        <v>200.0</v>
      </c>
      <c r="R693" s="42">
        <v>7.742624482712588</v>
      </c>
      <c r="S693" s="36">
        <v>1.3149112268054999</v>
      </c>
      <c r="T693" s="36"/>
      <c r="U693" s="36">
        <v>1.2014417300760913</v>
      </c>
      <c r="V693" s="36">
        <v>7.856093979441997</v>
      </c>
      <c r="W693" s="37">
        <v>0.039280469897209985</v>
      </c>
      <c r="X693" s="42">
        <v>116000.0</v>
      </c>
      <c r="Y693" s="36">
        <v>19700.0</v>
      </c>
      <c r="Z693" s="36"/>
      <c r="AA693" s="36">
        <v>18000.0</v>
      </c>
      <c r="AB693" s="36">
        <v>117700.0</v>
      </c>
      <c r="AC693" s="37">
        <v>588.5</v>
      </c>
      <c r="AD693" s="31"/>
      <c r="AE693" s="11"/>
      <c r="AF693" s="11"/>
    </row>
    <row r="694">
      <c r="A694" s="11" t="s">
        <v>707</v>
      </c>
      <c r="B694" s="39">
        <v>44863.0</v>
      </c>
      <c r="C694" s="40">
        <v>44866.0</v>
      </c>
      <c r="D694" s="27" t="s">
        <v>33</v>
      </c>
      <c r="E694" s="11" t="b">
        <v>0</v>
      </c>
      <c r="F694" s="11" t="s">
        <v>38</v>
      </c>
      <c r="G694" s="45" t="s">
        <v>710</v>
      </c>
      <c r="H694" s="11" t="s">
        <v>711</v>
      </c>
      <c r="I694" s="30">
        <v>5.0</v>
      </c>
      <c r="J694" s="31">
        <v>1.0</v>
      </c>
      <c r="K694" s="11">
        <v>200.0</v>
      </c>
      <c r="L694" s="32">
        <f>K694*580/P694</f>
        <v>7.468933102</v>
      </c>
      <c r="M694" s="32">
        <f>(J694*700)/P694</f>
        <v>0.04507114803</v>
      </c>
      <c r="N694" s="32">
        <v>0.0</v>
      </c>
      <c r="O694" s="32">
        <v>0.0</v>
      </c>
      <c r="P694" s="33">
        <v>15531.0</v>
      </c>
      <c r="Q694" s="34">
        <v>200.0</v>
      </c>
      <c r="R694" s="42">
        <v>7.468933101538858</v>
      </c>
      <c r="S694" s="36">
        <v>0.04507114802652759</v>
      </c>
      <c r="T694" s="36"/>
      <c r="U694" s="36"/>
      <c r="V694" s="36">
        <v>7.514004249565386</v>
      </c>
      <c r="W694" s="37">
        <v>0.03757002124782693</v>
      </c>
      <c r="X694" s="42">
        <v>116000.0</v>
      </c>
      <c r="Y694" s="36">
        <v>700.0</v>
      </c>
      <c r="Z694" s="36"/>
      <c r="AA694" s="36"/>
      <c r="AB694" s="36">
        <v>116700.00000000001</v>
      </c>
      <c r="AC694" s="37">
        <v>583.5000000000001</v>
      </c>
      <c r="AD694" s="31"/>
      <c r="AE694" s="11"/>
      <c r="AF694" s="11"/>
    </row>
    <row r="695">
      <c r="A695" s="11" t="s">
        <v>707</v>
      </c>
      <c r="B695" s="39">
        <v>43773.0</v>
      </c>
      <c r="C695" s="40">
        <v>43775.0</v>
      </c>
      <c r="D695" s="27" t="s">
        <v>66</v>
      </c>
      <c r="E695" s="11" t="b">
        <v>0</v>
      </c>
      <c r="F695" s="11" t="s">
        <v>38</v>
      </c>
      <c r="G695" s="61"/>
      <c r="H695" s="46" t="s">
        <v>47</v>
      </c>
      <c r="I695" s="33"/>
      <c r="J695" s="31">
        <v>300.0</v>
      </c>
      <c r="K695" s="11">
        <v>1.0</v>
      </c>
      <c r="L695" s="32">
        <f>700/P695</f>
        <v>0.07</v>
      </c>
      <c r="M695" s="32"/>
      <c r="N695" s="32"/>
      <c r="O695" s="32"/>
      <c r="P695" s="33">
        <v>10000.0</v>
      </c>
      <c r="Q695" s="34">
        <v>300.0</v>
      </c>
      <c r="R695" s="42">
        <v>21.000000000000004</v>
      </c>
      <c r="S695" s="36"/>
      <c r="T695" s="36"/>
      <c r="U695" s="36"/>
      <c r="V695" s="36">
        <v>21.000000000000004</v>
      </c>
      <c r="W695" s="37">
        <v>0.07</v>
      </c>
      <c r="X695" s="42">
        <v>210000.00000000003</v>
      </c>
      <c r="Y695" s="36"/>
      <c r="Z695" s="36"/>
      <c r="AA695" s="36"/>
      <c r="AB695" s="36">
        <v>210000.00000000003</v>
      </c>
      <c r="AC695" s="37">
        <v>700.0000000000001</v>
      </c>
      <c r="AD695" s="31"/>
      <c r="AE695" s="11"/>
      <c r="AF695" s="11"/>
    </row>
    <row r="696">
      <c r="A696" s="11" t="s">
        <v>707</v>
      </c>
      <c r="B696" s="39">
        <v>43460.0</v>
      </c>
      <c r="C696" s="40">
        <v>43463.0</v>
      </c>
      <c r="D696" s="27" t="s">
        <v>56</v>
      </c>
      <c r="E696" s="11" t="b">
        <v>0</v>
      </c>
      <c r="F696" s="29" t="s">
        <v>38</v>
      </c>
      <c r="G696" s="59" t="str">
        <f>"https://tokopedia.link/IM6taYz3WS"</f>
        <v>https://tokopedia.link/IM6taYz3WS</v>
      </c>
      <c r="H696" s="29" t="s">
        <v>712</v>
      </c>
      <c r="I696" s="33"/>
      <c r="J696" s="31">
        <v>100.0</v>
      </c>
      <c r="K696" s="11">
        <v>1.0</v>
      </c>
      <c r="L696" s="36">
        <f>650/P696</f>
        <v>0.065</v>
      </c>
      <c r="M696" s="36">
        <f>(11000-10000)/P696</f>
        <v>0.1</v>
      </c>
      <c r="N696" s="32"/>
      <c r="O696" s="134"/>
      <c r="P696" s="33">
        <v>10000.0</v>
      </c>
      <c r="Q696" s="34">
        <v>100.0</v>
      </c>
      <c r="R696" s="42">
        <v>6.5</v>
      </c>
      <c r="S696" s="36">
        <v>0.1</v>
      </c>
      <c r="T696" s="36"/>
      <c r="U696" s="36"/>
      <c r="V696" s="36">
        <v>6.6</v>
      </c>
      <c r="W696" s="37">
        <v>0.066</v>
      </c>
      <c r="X696" s="42">
        <v>65000.0</v>
      </c>
      <c r="Y696" s="36">
        <v>1000.0</v>
      </c>
      <c r="Z696" s="36"/>
      <c r="AA696" s="36"/>
      <c r="AB696" s="36">
        <v>66000.0</v>
      </c>
      <c r="AC696" s="37">
        <v>660.0</v>
      </c>
      <c r="AD696" s="31">
        <v>1000.0</v>
      </c>
      <c r="AE696" s="11">
        <v>1000.0</v>
      </c>
      <c r="AF696" s="11"/>
    </row>
    <row r="697">
      <c r="A697" s="11" t="s">
        <v>713</v>
      </c>
      <c r="B697" s="39">
        <v>44871.0</v>
      </c>
      <c r="C697" s="40">
        <v>44873.0</v>
      </c>
      <c r="D697" s="27" t="s">
        <v>33</v>
      </c>
      <c r="E697" s="11" t="b">
        <v>0</v>
      </c>
      <c r="F697" s="11" t="s">
        <v>38</v>
      </c>
      <c r="G697" s="45" t="s">
        <v>710</v>
      </c>
      <c r="H697" s="11" t="s">
        <v>47</v>
      </c>
      <c r="I697" s="30">
        <v>5.0</v>
      </c>
      <c r="J697" s="31">
        <v>1.0</v>
      </c>
      <c r="K697" s="11">
        <v>1000.0</v>
      </c>
      <c r="L697" s="32">
        <f>K697*580/P697</f>
        <v>37.17948718</v>
      </c>
      <c r="M697" s="32">
        <f>(J697*(3100) + 583100*2%)/P697</f>
        <v>0.9462820513</v>
      </c>
      <c r="N697" s="32">
        <f>34800/P697</f>
        <v>2.230769231</v>
      </c>
      <c r="O697" s="32">
        <v>0.0</v>
      </c>
      <c r="P697" s="33">
        <v>15600.0</v>
      </c>
      <c r="Q697" s="34">
        <v>1000.0</v>
      </c>
      <c r="R697" s="42">
        <v>37.17948717948718</v>
      </c>
      <c r="S697" s="36">
        <v>0.9462820512820512</v>
      </c>
      <c r="T697" s="36">
        <v>2.230769230769231</v>
      </c>
      <c r="U697" s="36"/>
      <c r="V697" s="36">
        <v>35.895</v>
      </c>
      <c r="W697" s="37">
        <v>0.035895</v>
      </c>
      <c r="X697" s="42">
        <v>580000.0</v>
      </c>
      <c r="Y697" s="36">
        <v>14762.0</v>
      </c>
      <c r="Z697" s="36">
        <v>34800.0</v>
      </c>
      <c r="AA697" s="36"/>
      <c r="AB697" s="36">
        <v>559962.0</v>
      </c>
      <c r="AC697" s="37">
        <v>559.962</v>
      </c>
      <c r="AD697" s="31"/>
      <c r="AE697" s="11"/>
      <c r="AF697" s="11"/>
    </row>
    <row r="698">
      <c r="A698" s="43" t="s">
        <v>714</v>
      </c>
      <c r="B698" s="39">
        <v>45455.60972222222</v>
      </c>
      <c r="C698" s="40">
        <v>45527.625</v>
      </c>
      <c r="D698" s="27" t="s">
        <v>33</v>
      </c>
      <c r="E698" s="11" t="b">
        <v>1</v>
      </c>
      <c r="F698" s="11" t="s">
        <v>34</v>
      </c>
      <c r="G698" s="41" t="s">
        <v>715</v>
      </c>
      <c r="H698" s="11" t="s">
        <v>716</v>
      </c>
      <c r="I698" s="30">
        <v>5.0</v>
      </c>
      <c r="J698" s="31">
        <v>8000.0</v>
      </c>
      <c r="K698" s="11">
        <v>1.0</v>
      </c>
      <c r="L698" s="32">
        <f>(1637)/P698</f>
        <v>0.1004294479</v>
      </c>
      <c r="M698" s="32">
        <v>0.0</v>
      </c>
      <c r="N698" s="32">
        <v>0.0</v>
      </c>
      <c r="O698" s="32">
        <v>0.0</v>
      </c>
      <c r="P698" s="33">
        <v>16300.0</v>
      </c>
      <c r="Q698" s="34">
        <v>8000.0</v>
      </c>
      <c r="R698" s="42">
        <v>803.435582822086</v>
      </c>
      <c r="S698" s="36"/>
      <c r="T698" s="36"/>
      <c r="U698" s="36"/>
      <c r="V698" s="36">
        <v>803.435582822086</v>
      </c>
      <c r="W698" s="37">
        <v>0.10042944785276074</v>
      </c>
      <c r="X698" s="42">
        <v>1.3096000000000002E7</v>
      </c>
      <c r="Y698" s="36"/>
      <c r="Z698" s="36"/>
      <c r="AA698" s="36"/>
      <c r="AB698" s="36">
        <v>1.3096000000000002E7</v>
      </c>
      <c r="AC698" s="37">
        <v>1637.0000000000002</v>
      </c>
      <c r="AD698" s="31"/>
      <c r="AE698" s="11"/>
      <c r="AF698" s="11"/>
    </row>
    <row r="699">
      <c r="A699" s="11" t="s">
        <v>717</v>
      </c>
      <c r="B699" s="39">
        <v>45782.75555555556</v>
      </c>
      <c r="C699" s="40">
        <v>45789.53125</v>
      </c>
      <c r="D699" s="27" t="s">
        <v>37</v>
      </c>
      <c r="E699" s="11" t="b">
        <v>0</v>
      </c>
      <c r="F699" s="11" t="s">
        <v>49</v>
      </c>
      <c r="G699" s="11" t="s">
        <v>212</v>
      </c>
      <c r="H699" s="11" t="s">
        <v>243</v>
      </c>
      <c r="I699" s="30">
        <v>5.0</v>
      </c>
      <c r="J699" s="31">
        <v>1000.0</v>
      </c>
      <c r="K699" s="11">
        <v>1.0</v>
      </c>
      <c r="L699" s="32">
        <f t="shared" ref="L699:L700" si="192">(2250)/P699</f>
        <v>0.1370196699</v>
      </c>
      <c r="M699" s="32">
        <f>(1000)/2/P699</f>
        <v>0.03044881554</v>
      </c>
      <c r="N699" s="32">
        <f>(X699*12%)/P699</f>
        <v>16.44236039</v>
      </c>
      <c r="O699" s="32">
        <v>0.0</v>
      </c>
      <c r="P699" s="33">
        <v>16421.0</v>
      </c>
      <c r="Q699" s="34">
        <v>1000.0</v>
      </c>
      <c r="R699" s="42">
        <v>137.01966993483953</v>
      </c>
      <c r="S699" s="36">
        <v>0.030448815541075452</v>
      </c>
      <c r="T699" s="36">
        <v>16.442360392180746</v>
      </c>
      <c r="U699" s="36"/>
      <c r="V699" s="36">
        <v>120.60775835819985</v>
      </c>
      <c r="W699" s="37">
        <v>0.12060775835819984</v>
      </c>
      <c r="X699" s="42">
        <v>2250000.0</v>
      </c>
      <c r="Y699" s="36">
        <v>500.0</v>
      </c>
      <c r="Z699" s="36">
        <v>270000.0</v>
      </c>
      <c r="AA699" s="36"/>
      <c r="AB699" s="36">
        <v>1980499.9999999998</v>
      </c>
      <c r="AC699" s="37">
        <v>1980.4999999999998</v>
      </c>
      <c r="AD699" s="31"/>
      <c r="AE699" s="11"/>
      <c r="AF699" s="11"/>
    </row>
    <row r="700">
      <c r="A700" s="11" t="s">
        <v>717</v>
      </c>
      <c r="B700" s="39">
        <v>45705.48402777778</v>
      </c>
      <c r="C700" s="40">
        <v>45711.41875</v>
      </c>
      <c r="D700" s="27" t="s">
        <v>37</v>
      </c>
      <c r="E700" s="11" t="b">
        <v>0</v>
      </c>
      <c r="F700" s="11" t="s">
        <v>49</v>
      </c>
      <c r="G700" s="11" t="s">
        <v>212</v>
      </c>
      <c r="H700" s="11" t="s">
        <v>718</v>
      </c>
      <c r="I700" s="30">
        <v>5.0</v>
      </c>
      <c r="J700" s="31">
        <v>1000.0</v>
      </c>
      <c r="K700" s="11">
        <v>1.0</v>
      </c>
      <c r="L700" s="32">
        <f t="shared" si="192"/>
        <v>0.1386577926</v>
      </c>
      <c r="M700" s="32">
        <f>(946/2)/P700</f>
        <v>0.02914894928</v>
      </c>
      <c r="N700" s="32">
        <f>(X700*8%)/P700</f>
        <v>11.09262341</v>
      </c>
      <c r="O700" s="32">
        <v>0.0</v>
      </c>
      <c r="P700" s="33">
        <v>16227.0</v>
      </c>
      <c r="Q700" s="34">
        <v>1000.0</v>
      </c>
      <c r="R700" s="42">
        <v>138.6577925679423</v>
      </c>
      <c r="S700" s="36">
        <v>0.029148949282060764</v>
      </c>
      <c r="T700" s="36">
        <v>11.092623405435384</v>
      </c>
      <c r="U700" s="36"/>
      <c r="V700" s="36">
        <v>127.59431811178898</v>
      </c>
      <c r="W700" s="37">
        <v>0.12759431811178898</v>
      </c>
      <c r="X700" s="42">
        <v>2249999.9999999995</v>
      </c>
      <c r="Y700" s="36">
        <v>473.0</v>
      </c>
      <c r="Z700" s="36">
        <v>179999.99999999997</v>
      </c>
      <c r="AA700" s="36"/>
      <c r="AB700" s="36">
        <v>2070472.9999999998</v>
      </c>
      <c r="AC700" s="37">
        <v>2070.473</v>
      </c>
      <c r="AD700" s="31"/>
      <c r="AE700" s="11"/>
      <c r="AF700" s="11"/>
    </row>
    <row r="701">
      <c r="A701" s="11" t="s">
        <v>717</v>
      </c>
      <c r="B701" s="39">
        <v>45598.59930555556</v>
      </c>
      <c r="C701" s="40">
        <v>45605.541666666664</v>
      </c>
      <c r="D701" s="27" t="s">
        <v>37</v>
      </c>
      <c r="E701" s="11" t="b">
        <v>0</v>
      </c>
      <c r="F701" s="11" t="s">
        <v>49</v>
      </c>
      <c r="G701" s="11" t="s">
        <v>212</v>
      </c>
      <c r="H701" s="11" t="s">
        <v>245</v>
      </c>
      <c r="I701" s="30">
        <v>5.0</v>
      </c>
      <c r="J701" s="31">
        <v>500.0</v>
      </c>
      <c r="K701" s="11">
        <v>1.0</v>
      </c>
      <c r="L701" s="32">
        <f t="shared" ref="L701:L702" si="193">(2100)/P701</f>
        <v>0.1325590203</v>
      </c>
      <c r="M701" s="32">
        <f>(1000/5 + 1800/5)/P701</f>
        <v>0.03534907209</v>
      </c>
      <c r="N701" s="32">
        <f>X701*8%/P701</f>
        <v>5.302360813</v>
      </c>
      <c r="O701" s="32">
        <v>0.0</v>
      </c>
      <c r="P701" s="33">
        <v>15842.0</v>
      </c>
      <c r="Q701" s="34">
        <v>500.0</v>
      </c>
      <c r="R701" s="42">
        <v>66.27951016285823</v>
      </c>
      <c r="S701" s="36">
        <v>0.03534907208685772</v>
      </c>
      <c r="T701" s="36">
        <v>5.302360813028658</v>
      </c>
      <c r="U701" s="36"/>
      <c r="V701" s="36">
        <v>61.01249842191643</v>
      </c>
      <c r="W701" s="37">
        <v>0.12202499684383286</v>
      </c>
      <c r="X701" s="42">
        <v>1050000.0</v>
      </c>
      <c r="Y701" s="36">
        <v>560.0</v>
      </c>
      <c r="Z701" s="36">
        <v>84000.0</v>
      </c>
      <c r="AA701" s="36"/>
      <c r="AB701" s="36">
        <v>966560.0000000001</v>
      </c>
      <c r="AC701" s="37">
        <v>1933.1200000000003</v>
      </c>
      <c r="AD701" s="31"/>
      <c r="AE701" s="11"/>
      <c r="AF701" s="11"/>
    </row>
    <row r="702">
      <c r="A702" s="11" t="s">
        <v>717</v>
      </c>
      <c r="B702" s="39">
        <v>45592.979166666664</v>
      </c>
      <c r="C702" s="40">
        <v>45598.70972222222</v>
      </c>
      <c r="D702" s="27" t="s">
        <v>33</v>
      </c>
      <c r="E702" s="11" t="b">
        <v>0</v>
      </c>
      <c r="F702" s="11" t="s">
        <v>49</v>
      </c>
      <c r="G702" s="11" t="s">
        <v>212</v>
      </c>
      <c r="H702" s="11" t="s">
        <v>216</v>
      </c>
      <c r="I702" s="30">
        <v>5.0</v>
      </c>
      <c r="J702" s="31">
        <v>600.0</v>
      </c>
      <c r="K702" s="11">
        <v>1.0</v>
      </c>
      <c r="L702" s="32">
        <f t="shared" si="193"/>
        <v>0.1338005734</v>
      </c>
      <c r="M702" s="32">
        <f>(1000/4)/P702</f>
        <v>0.01592863969</v>
      </c>
      <c r="N702" s="36">
        <f>(1260000)*10%/P702</f>
        <v>8.028034406</v>
      </c>
      <c r="O702" s="32">
        <v>0.0</v>
      </c>
      <c r="P702" s="33">
        <v>15695.0</v>
      </c>
      <c r="Q702" s="34">
        <v>600.0</v>
      </c>
      <c r="R702" s="42">
        <v>80.2803440586174</v>
      </c>
      <c r="S702" s="36">
        <v>0.01592863969417012</v>
      </c>
      <c r="T702" s="36">
        <v>8.028034405861739</v>
      </c>
      <c r="U702" s="36"/>
      <c r="V702" s="36">
        <v>72.26823829244984</v>
      </c>
      <c r="W702" s="37">
        <v>0.12044706382074973</v>
      </c>
      <c r="X702" s="42">
        <v>1260000.0000000002</v>
      </c>
      <c r="Y702" s="36">
        <v>250.0</v>
      </c>
      <c r="Z702" s="36">
        <v>125999.99999999999</v>
      </c>
      <c r="AA702" s="36"/>
      <c r="AB702" s="36">
        <v>1134250.0000000002</v>
      </c>
      <c r="AC702" s="37">
        <v>1890.416666666667</v>
      </c>
      <c r="AD702" s="31"/>
      <c r="AE702" s="11"/>
      <c r="AF702" s="11"/>
    </row>
    <row r="703">
      <c r="A703" s="11" t="s">
        <v>717</v>
      </c>
      <c r="B703" s="39">
        <v>45584.032638888886</v>
      </c>
      <c r="C703" s="40">
        <v>45586.51666666667</v>
      </c>
      <c r="D703" s="27" t="s">
        <v>33</v>
      </c>
      <c r="E703" s="11" t="b">
        <v>0</v>
      </c>
      <c r="F703" s="11" t="s">
        <v>49</v>
      </c>
      <c r="G703" s="11" t="s">
        <v>362</v>
      </c>
      <c r="H703" s="11" t="s">
        <v>719</v>
      </c>
      <c r="I703" s="30">
        <v>5.0</v>
      </c>
      <c r="J703" s="31">
        <v>300.0</v>
      </c>
      <c r="K703" s="11">
        <v>1.0</v>
      </c>
      <c r="L703" s="32">
        <f>(2500)/P703</f>
        <v>0.1616553508</v>
      </c>
      <c r="M703" s="32">
        <f>(243)/P703</f>
        <v>0.0157129001</v>
      </c>
      <c r="N703" s="32">
        <f>(75000)/P703</f>
        <v>4.849660524</v>
      </c>
      <c r="O703" s="32">
        <v>0.0</v>
      </c>
      <c r="P703" s="33">
        <v>15465.0</v>
      </c>
      <c r="Q703" s="34">
        <v>300.0</v>
      </c>
      <c r="R703" s="42">
        <v>48.49660523763336</v>
      </c>
      <c r="S703" s="36">
        <v>0.01571290009699321</v>
      </c>
      <c r="T703" s="36">
        <v>4.849660523763337</v>
      </c>
      <c r="U703" s="36"/>
      <c r="V703" s="36">
        <v>43.66265761396701</v>
      </c>
      <c r="W703" s="37">
        <v>0.14554219204655672</v>
      </c>
      <c r="X703" s="42">
        <v>749999.9999999999</v>
      </c>
      <c r="Y703" s="36">
        <v>243.0</v>
      </c>
      <c r="Z703" s="36">
        <v>75000.0</v>
      </c>
      <c r="AA703" s="36"/>
      <c r="AB703" s="36">
        <v>675242.9999999999</v>
      </c>
      <c r="AC703" s="37">
        <v>2250.8099999999995</v>
      </c>
      <c r="AD703" s="31"/>
      <c r="AE703" s="11"/>
      <c r="AF703" s="11"/>
    </row>
    <row r="704">
      <c r="A704" s="11" t="s">
        <v>717</v>
      </c>
      <c r="B704" s="39">
        <v>45535.805555555555</v>
      </c>
      <c r="C704" s="40">
        <v>45540.32430555556</v>
      </c>
      <c r="D704" s="27" t="s">
        <v>37</v>
      </c>
      <c r="E704" s="11" t="b">
        <v>0</v>
      </c>
      <c r="F704" s="11" t="s">
        <v>49</v>
      </c>
      <c r="G704" s="11" t="s">
        <v>198</v>
      </c>
      <c r="H704" s="11" t="s">
        <v>720</v>
      </c>
      <c r="I704" s="30">
        <v>5.0</v>
      </c>
      <c r="J704" s="31">
        <v>400.0</v>
      </c>
      <c r="K704" s="11">
        <v>1.0</v>
      </c>
      <c r="L704" s="32">
        <f>(2490)/P704</f>
        <v>0.1603141901</v>
      </c>
      <c r="M704" s="32">
        <f>(22500 + 1000)/P704</f>
        <v>1.513005408</v>
      </c>
      <c r="N704" s="32">
        <f>(99600)/P704</f>
        <v>6.412567602</v>
      </c>
      <c r="O704" s="32">
        <f>(20000)/P704</f>
        <v>1.287664177</v>
      </c>
      <c r="P704" s="33">
        <v>15532.0</v>
      </c>
      <c r="Q704" s="34">
        <v>400.0</v>
      </c>
      <c r="R704" s="42">
        <v>64.12567602369302</v>
      </c>
      <c r="S704" s="36">
        <v>1.513005408189544</v>
      </c>
      <c r="T704" s="36">
        <v>6.412567602369302</v>
      </c>
      <c r="U704" s="36">
        <v>1.2876641771825907</v>
      </c>
      <c r="V704" s="36">
        <v>57.93844965233067</v>
      </c>
      <c r="W704" s="37">
        <v>0.14484612413082668</v>
      </c>
      <c r="X704" s="42">
        <v>996000.0</v>
      </c>
      <c r="Y704" s="36">
        <v>23500.0</v>
      </c>
      <c r="Z704" s="36">
        <v>99600.0</v>
      </c>
      <c r="AA704" s="36">
        <v>20000.0</v>
      </c>
      <c r="AB704" s="36">
        <v>899899.9999999999</v>
      </c>
      <c r="AC704" s="37">
        <v>2249.7499999999995</v>
      </c>
      <c r="AD704" s="31"/>
      <c r="AE704" s="11"/>
      <c r="AF704" s="11"/>
    </row>
    <row r="705">
      <c r="A705" s="11" t="s">
        <v>717</v>
      </c>
      <c r="B705" s="39">
        <v>45532.436111111114</v>
      </c>
      <c r="C705" s="40">
        <v>45534.525</v>
      </c>
      <c r="D705" s="27" t="s">
        <v>33</v>
      </c>
      <c r="E705" s="11" t="b">
        <v>0</v>
      </c>
      <c r="F705" s="11" t="s">
        <v>38</v>
      </c>
      <c r="G705" s="11" t="s">
        <v>362</v>
      </c>
      <c r="H705" s="11" t="s">
        <v>721</v>
      </c>
      <c r="I705" s="30">
        <v>5.0</v>
      </c>
      <c r="J705" s="31">
        <v>400.0</v>
      </c>
      <c r="K705" s="11">
        <v>1.0</v>
      </c>
      <c r="L705" s="32">
        <f>(2250)/P705</f>
        <v>0.1456687816</v>
      </c>
      <c r="M705" s="32">
        <f t="shared" ref="M705:M706" si="194">(1000/3)/P705</f>
        <v>0.02158056023</v>
      </c>
      <c r="N705" s="32">
        <f>(90000)/P705</f>
        <v>5.826751262</v>
      </c>
      <c r="O705" s="32">
        <v>0.0</v>
      </c>
      <c r="P705" s="33">
        <v>15446.0</v>
      </c>
      <c r="Q705" s="34">
        <v>400.0</v>
      </c>
      <c r="R705" s="42">
        <v>58.267512624627734</v>
      </c>
      <c r="S705" s="36">
        <v>0.021580560231343606</v>
      </c>
      <c r="T705" s="36">
        <v>5.826751262462774</v>
      </c>
      <c r="U705" s="36"/>
      <c r="V705" s="36">
        <v>52.462341922396305</v>
      </c>
      <c r="W705" s="37">
        <v>0.13115585480599076</v>
      </c>
      <c r="X705" s="42">
        <v>900000.0</v>
      </c>
      <c r="Y705" s="36">
        <v>333.3333333333333</v>
      </c>
      <c r="Z705" s="36">
        <v>90000.0</v>
      </c>
      <c r="AA705" s="36"/>
      <c r="AB705" s="36">
        <v>810333.3333333334</v>
      </c>
      <c r="AC705" s="37">
        <v>2025.8333333333335</v>
      </c>
      <c r="AD705" s="31"/>
      <c r="AE705" s="11"/>
      <c r="AF705" s="11"/>
    </row>
    <row r="706">
      <c r="A706" s="11" t="s">
        <v>717</v>
      </c>
      <c r="B706" s="39">
        <v>45532.436111111114</v>
      </c>
      <c r="C706" s="40">
        <v>45533.68541666667</v>
      </c>
      <c r="D706" s="27" t="s">
        <v>33</v>
      </c>
      <c r="E706" s="11" t="b">
        <v>0</v>
      </c>
      <c r="F706" s="11" t="s">
        <v>38</v>
      </c>
      <c r="G706" s="11" t="s">
        <v>323</v>
      </c>
      <c r="H706" s="11" t="s">
        <v>722</v>
      </c>
      <c r="I706" s="30">
        <v>5.0</v>
      </c>
      <c r="J706" s="31">
        <v>300.0</v>
      </c>
      <c r="K706" s="11">
        <v>1.0</v>
      </c>
      <c r="L706" s="32">
        <f>(2400)/P706</f>
        <v>0.1553800337</v>
      </c>
      <c r="M706" s="32">
        <f t="shared" si="194"/>
        <v>0.02158056023</v>
      </c>
      <c r="N706" s="32">
        <f>(72000)/P706</f>
        <v>4.66140101</v>
      </c>
      <c r="O706" s="32">
        <v>0.0</v>
      </c>
      <c r="P706" s="33">
        <v>15446.0</v>
      </c>
      <c r="Q706" s="34">
        <v>300.0</v>
      </c>
      <c r="R706" s="42">
        <v>46.61401009970219</v>
      </c>
      <c r="S706" s="36">
        <v>0.021580560231343606</v>
      </c>
      <c r="T706" s="36">
        <v>4.661401009970219</v>
      </c>
      <c r="U706" s="36"/>
      <c r="V706" s="36">
        <v>41.974189649963314</v>
      </c>
      <c r="W706" s="37">
        <v>0.13991396549987772</v>
      </c>
      <c r="X706" s="42">
        <v>720000.0</v>
      </c>
      <c r="Y706" s="36">
        <v>333.3333333333333</v>
      </c>
      <c r="Z706" s="36">
        <v>72000.0</v>
      </c>
      <c r="AA706" s="36"/>
      <c r="AB706" s="36">
        <v>648333.3333333334</v>
      </c>
      <c r="AC706" s="37">
        <v>2161.1111111111113</v>
      </c>
      <c r="AD706" s="31"/>
      <c r="AE706" s="11"/>
      <c r="AF706" s="11"/>
    </row>
    <row r="707">
      <c r="A707" s="11" t="s">
        <v>717</v>
      </c>
      <c r="B707" s="39">
        <v>45516.76944444444</v>
      </c>
      <c r="C707" s="40">
        <v>45520.254166666666</v>
      </c>
      <c r="D707" s="27" t="s">
        <v>33</v>
      </c>
      <c r="E707" s="11" t="b">
        <v>0</v>
      </c>
      <c r="F707" s="11" t="s">
        <v>49</v>
      </c>
      <c r="G707" s="11" t="s">
        <v>198</v>
      </c>
      <c r="H707" s="11" t="s">
        <v>723</v>
      </c>
      <c r="I707" s="30">
        <v>5.0</v>
      </c>
      <c r="J707" s="31">
        <v>1000.0</v>
      </c>
      <c r="K707" s="11">
        <v>1.0</v>
      </c>
      <c r="L707" s="32">
        <f>(2499)/P707</f>
        <v>0.1579146919</v>
      </c>
      <c r="M707" s="32">
        <f t="shared" ref="M707:M714" si="195">(1000)/P707</f>
        <v>0.06319115324</v>
      </c>
      <c r="N707" s="32">
        <f>(99960)/P707</f>
        <v>6.316587678</v>
      </c>
      <c r="O707" s="32">
        <v>0.0</v>
      </c>
      <c r="P707" s="33">
        <v>15825.0</v>
      </c>
      <c r="Q707" s="34">
        <v>1000.0</v>
      </c>
      <c r="R707" s="42">
        <v>157.91469194312796</v>
      </c>
      <c r="S707" s="36">
        <v>0.0631911532385466</v>
      </c>
      <c r="T707" s="36">
        <v>6.316587677725119</v>
      </c>
      <c r="U707" s="36"/>
      <c r="V707" s="36">
        <v>151.66129541864137</v>
      </c>
      <c r="W707" s="37">
        <v>0.15166129541864137</v>
      </c>
      <c r="X707" s="42">
        <v>2499000.0</v>
      </c>
      <c r="Y707" s="36">
        <v>999.9999999999999</v>
      </c>
      <c r="Z707" s="36">
        <v>99960.0</v>
      </c>
      <c r="AA707" s="36"/>
      <c r="AB707" s="36">
        <v>2400039.9999999995</v>
      </c>
      <c r="AC707" s="37">
        <v>2400.0399999999995</v>
      </c>
      <c r="AD707" s="31"/>
      <c r="AE707" s="11"/>
      <c r="AF707" s="11"/>
    </row>
    <row r="708">
      <c r="A708" s="11" t="s">
        <v>717</v>
      </c>
      <c r="B708" s="39">
        <v>45499.36875</v>
      </c>
      <c r="C708" s="40">
        <v>45501.46527777778</v>
      </c>
      <c r="D708" s="27" t="s">
        <v>37</v>
      </c>
      <c r="E708" s="11" t="b">
        <v>0</v>
      </c>
      <c r="F708" s="11" t="s">
        <v>38</v>
      </c>
      <c r="G708" s="11" t="s">
        <v>362</v>
      </c>
      <c r="H708" s="11" t="s">
        <v>724</v>
      </c>
      <c r="I708" s="30">
        <v>5.0</v>
      </c>
      <c r="J708" s="31">
        <v>287.0</v>
      </c>
      <c r="K708" s="11">
        <v>1.0</v>
      </c>
      <c r="L708" s="32">
        <f t="shared" ref="L708:L712" si="196">(2149)/P708</f>
        <v>0.1318081452</v>
      </c>
      <c r="M708" s="32">
        <f t="shared" si="195"/>
        <v>0.06133464181</v>
      </c>
      <c r="N708" s="32">
        <f>(61504)/P708</f>
        <v>3.77232581</v>
      </c>
      <c r="O708" s="32">
        <v>0.0</v>
      </c>
      <c r="P708" s="33">
        <v>16304.0</v>
      </c>
      <c r="Q708" s="34">
        <v>287.0</v>
      </c>
      <c r="R708" s="42">
        <v>37.828937684003925</v>
      </c>
      <c r="S708" s="36">
        <v>0.061334641805691856</v>
      </c>
      <c r="T708" s="36">
        <v>3.772325809617272</v>
      </c>
      <c r="U708" s="36"/>
      <c r="V708" s="36">
        <v>34.11794651619235</v>
      </c>
      <c r="W708" s="37">
        <v>0.1188778624257573</v>
      </c>
      <c r="X708" s="42">
        <v>616763.0</v>
      </c>
      <c r="Y708" s="36">
        <v>1000.0</v>
      </c>
      <c r="Z708" s="36">
        <v>61504.0</v>
      </c>
      <c r="AA708" s="36"/>
      <c r="AB708" s="36">
        <v>556259.0</v>
      </c>
      <c r="AC708" s="37">
        <v>1938.184668989547</v>
      </c>
      <c r="AD708" s="31"/>
      <c r="AE708" s="11"/>
      <c r="AF708" s="11"/>
    </row>
    <row r="709">
      <c r="A709" s="11" t="s">
        <v>717</v>
      </c>
      <c r="B709" s="39">
        <v>45498.31736111111</v>
      </c>
      <c r="C709" s="40">
        <v>45500.88611111111</v>
      </c>
      <c r="D709" s="27" t="s">
        <v>33</v>
      </c>
      <c r="E709" s="11" t="b">
        <v>0</v>
      </c>
      <c r="F709" s="11" t="s">
        <v>38</v>
      </c>
      <c r="G709" s="11" t="s">
        <v>362</v>
      </c>
      <c r="H709" s="11" t="s">
        <v>725</v>
      </c>
      <c r="I709" s="30">
        <v>5.0</v>
      </c>
      <c r="J709" s="31">
        <v>287.0</v>
      </c>
      <c r="K709" s="11">
        <v>1.0</v>
      </c>
      <c r="L709" s="32">
        <f t="shared" si="196"/>
        <v>0.1314855605</v>
      </c>
      <c r="M709" s="32">
        <f t="shared" si="195"/>
        <v>0.06118453255</v>
      </c>
      <c r="N709" s="32">
        <f>(61654)/P709</f>
        <v>3.77227117</v>
      </c>
      <c r="O709" s="32">
        <v>0.0</v>
      </c>
      <c r="P709" s="33">
        <v>16344.0</v>
      </c>
      <c r="Q709" s="34">
        <v>287.0</v>
      </c>
      <c r="R709" s="42">
        <v>37.73635584924131</v>
      </c>
      <c r="S709" s="36">
        <v>0.06118453255017132</v>
      </c>
      <c r="T709" s="36">
        <v>3.7722711698482625</v>
      </c>
      <c r="U709" s="36"/>
      <c r="V709" s="36">
        <v>34.025269211943225</v>
      </c>
      <c r="W709" s="37">
        <v>0.11855494498934922</v>
      </c>
      <c r="X709" s="42">
        <v>616763.0</v>
      </c>
      <c r="Y709" s="36">
        <v>1000.0</v>
      </c>
      <c r="Z709" s="36">
        <v>61654.0</v>
      </c>
      <c r="AA709" s="36"/>
      <c r="AB709" s="36">
        <v>556109.0000000001</v>
      </c>
      <c r="AC709" s="37">
        <v>1937.6620209059238</v>
      </c>
      <c r="AD709" s="31"/>
      <c r="AE709" s="11"/>
      <c r="AF709" s="11"/>
    </row>
    <row r="710">
      <c r="A710" s="11" t="s">
        <v>717</v>
      </c>
      <c r="B710" s="39">
        <v>45492.97152777778</v>
      </c>
      <c r="C710" s="40">
        <v>45495.42638888889</v>
      </c>
      <c r="D710" s="27" t="s">
        <v>37</v>
      </c>
      <c r="E710" s="11" t="b">
        <v>0</v>
      </c>
      <c r="F710" s="11" t="s">
        <v>38</v>
      </c>
      <c r="G710" s="11" t="s">
        <v>362</v>
      </c>
      <c r="H710" s="11" t="s">
        <v>726</v>
      </c>
      <c r="I710" s="30">
        <v>5.0</v>
      </c>
      <c r="J710" s="31">
        <v>70.0</v>
      </c>
      <c r="K710" s="11">
        <v>1.0</v>
      </c>
      <c r="L710" s="32">
        <f t="shared" si="196"/>
        <v>0.1325479553</v>
      </c>
      <c r="M710" s="32">
        <f t="shared" si="195"/>
        <v>0.06167889965</v>
      </c>
      <c r="N710" s="32">
        <f>(10000)/P710</f>
        <v>0.6167889965</v>
      </c>
      <c r="O710" s="32">
        <v>0.0</v>
      </c>
      <c r="P710" s="33">
        <v>16213.0</v>
      </c>
      <c r="Q710" s="34">
        <v>70.0</v>
      </c>
      <c r="R710" s="42">
        <v>9.278356874113367</v>
      </c>
      <c r="S710" s="36">
        <v>0.06167889964843027</v>
      </c>
      <c r="T710" s="36">
        <v>0.6167889964843027</v>
      </c>
      <c r="U710" s="36"/>
      <c r="V710" s="36">
        <v>8.723246777277495</v>
      </c>
      <c r="W710" s="37">
        <v>0.12461781110396422</v>
      </c>
      <c r="X710" s="42">
        <v>150430.00000000003</v>
      </c>
      <c r="Y710" s="36">
        <v>1000.0</v>
      </c>
      <c r="Z710" s="36">
        <v>10000.0</v>
      </c>
      <c r="AA710" s="36"/>
      <c r="AB710" s="36">
        <v>141430.00000000003</v>
      </c>
      <c r="AC710" s="37">
        <v>2020.4285714285718</v>
      </c>
      <c r="AD710" s="31"/>
      <c r="AE710" s="11"/>
      <c r="AF710" s="11"/>
    </row>
    <row r="711">
      <c r="A711" s="11" t="s">
        <v>717</v>
      </c>
      <c r="B711" s="39">
        <v>45492.970138888886</v>
      </c>
      <c r="C711" s="40">
        <v>45495.42638888889</v>
      </c>
      <c r="D711" s="27" t="s">
        <v>37</v>
      </c>
      <c r="E711" s="11" t="b">
        <v>0</v>
      </c>
      <c r="F711" s="11" t="s">
        <v>38</v>
      </c>
      <c r="G711" s="11" t="s">
        <v>362</v>
      </c>
      <c r="H711" s="11" t="s">
        <v>727</v>
      </c>
      <c r="I711" s="30">
        <v>5.0</v>
      </c>
      <c r="J711" s="31">
        <v>140.0</v>
      </c>
      <c r="K711" s="11">
        <v>1.0</v>
      </c>
      <c r="L711" s="32">
        <f t="shared" si="196"/>
        <v>0.1325479553</v>
      </c>
      <c r="M711" s="32">
        <f t="shared" si="195"/>
        <v>0.06167889965</v>
      </c>
      <c r="N711" s="32">
        <f>(20000)/P711</f>
        <v>1.233577993</v>
      </c>
      <c r="O711" s="32">
        <v>0.0</v>
      </c>
      <c r="P711" s="33">
        <v>16213.0</v>
      </c>
      <c r="Q711" s="34">
        <v>140.0</v>
      </c>
      <c r="R711" s="42">
        <v>18.556713748226734</v>
      </c>
      <c r="S711" s="36">
        <v>0.06167889964843027</v>
      </c>
      <c r="T711" s="36">
        <v>1.2335779929686055</v>
      </c>
      <c r="U711" s="36"/>
      <c r="V711" s="36">
        <v>17.38481465490656</v>
      </c>
      <c r="W711" s="37">
        <v>0.12417724753504686</v>
      </c>
      <c r="X711" s="42">
        <v>300860.00000000006</v>
      </c>
      <c r="Y711" s="36">
        <v>1000.0</v>
      </c>
      <c r="Z711" s="36">
        <v>20000.0</v>
      </c>
      <c r="AA711" s="36"/>
      <c r="AB711" s="36">
        <v>281860.00000000006</v>
      </c>
      <c r="AC711" s="37">
        <v>2013.2857142857147</v>
      </c>
      <c r="AD711" s="31"/>
      <c r="AE711" s="11"/>
      <c r="AF711" s="11"/>
    </row>
    <row r="712">
      <c r="A712" s="11" t="s">
        <v>717</v>
      </c>
      <c r="B712" s="39">
        <v>45492.96805555555</v>
      </c>
      <c r="C712" s="40">
        <v>45495.42638888889</v>
      </c>
      <c r="D712" s="27" t="s">
        <v>33</v>
      </c>
      <c r="E712" s="11" t="b">
        <v>0</v>
      </c>
      <c r="F712" s="11" t="s">
        <v>38</v>
      </c>
      <c r="G712" s="11" t="s">
        <v>362</v>
      </c>
      <c r="H712" s="11" t="s">
        <v>728</v>
      </c>
      <c r="I712" s="30">
        <v>5.0</v>
      </c>
      <c r="J712" s="31">
        <v>163.0</v>
      </c>
      <c r="K712" s="11">
        <v>1.0</v>
      </c>
      <c r="L712" s="32">
        <f t="shared" si="196"/>
        <v>0.1325479553</v>
      </c>
      <c r="M712" s="32">
        <f t="shared" si="195"/>
        <v>0.06167889965</v>
      </c>
      <c r="N712" s="32">
        <f>(30000)/P712</f>
        <v>1.850366989</v>
      </c>
      <c r="O712" s="32">
        <v>0.0</v>
      </c>
      <c r="P712" s="33">
        <v>16213.0</v>
      </c>
      <c r="Q712" s="34">
        <v>163.0</v>
      </c>
      <c r="R712" s="42">
        <v>21.605316721149695</v>
      </c>
      <c r="S712" s="36">
        <v>0.06167889964843027</v>
      </c>
      <c r="T712" s="36">
        <v>1.8503669894529082</v>
      </c>
      <c r="U712" s="36"/>
      <c r="V712" s="36">
        <v>19.816628631345218</v>
      </c>
      <c r="W712" s="37">
        <v>0.121574408781259</v>
      </c>
      <c r="X712" s="42">
        <v>350287.0</v>
      </c>
      <c r="Y712" s="36">
        <v>1000.0</v>
      </c>
      <c r="Z712" s="36">
        <v>30000.0</v>
      </c>
      <c r="AA712" s="36"/>
      <c r="AB712" s="36">
        <v>321287.0</v>
      </c>
      <c r="AC712" s="37">
        <v>1971.0858895705521</v>
      </c>
      <c r="AD712" s="31"/>
      <c r="AE712" s="11"/>
      <c r="AF712" s="11"/>
    </row>
    <row r="713">
      <c r="A713" s="11" t="s">
        <v>717</v>
      </c>
      <c r="B713" s="39">
        <v>45485.614583333336</v>
      </c>
      <c r="C713" s="40">
        <v>45488.833333333336</v>
      </c>
      <c r="D713" s="27" t="s">
        <v>33</v>
      </c>
      <c r="E713" s="11" t="b">
        <v>0</v>
      </c>
      <c r="F713" s="11" t="s">
        <v>38</v>
      </c>
      <c r="G713" s="11" t="s">
        <v>362</v>
      </c>
      <c r="H713" s="11" t="s">
        <v>729</v>
      </c>
      <c r="I713" s="30">
        <v>5.0</v>
      </c>
      <c r="J713" s="31">
        <v>285.0</v>
      </c>
      <c r="K713" s="11">
        <v>1.0</v>
      </c>
      <c r="L713" s="32">
        <f t="shared" ref="L713:L725" si="197">(2100)/P713</f>
        <v>0.1303214596</v>
      </c>
      <c r="M713" s="32">
        <f t="shared" si="195"/>
        <v>0.0620578379</v>
      </c>
      <c r="N713" s="32">
        <f t="shared" ref="N713:N714" si="198">(59850)/P713</f>
        <v>3.714161599</v>
      </c>
      <c r="O713" s="32">
        <v>0.0</v>
      </c>
      <c r="P713" s="33">
        <v>16114.0</v>
      </c>
      <c r="Q713" s="34">
        <v>285.0</v>
      </c>
      <c r="R713" s="42">
        <v>37.14161598609904</v>
      </c>
      <c r="S713" s="36">
        <v>0.062057837904927395</v>
      </c>
      <c r="T713" s="36">
        <v>3.7141615986099046</v>
      </c>
      <c r="U713" s="36"/>
      <c r="V713" s="36">
        <v>33.489512225394066</v>
      </c>
      <c r="W713" s="37">
        <v>0.11750706043997917</v>
      </c>
      <c r="X713" s="42">
        <v>598499.9999999999</v>
      </c>
      <c r="Y713" s="36">
        <v>1000.0</v>
      </c>
      <c r="Z713" s="36">
        <v>59850.0</v>
      </c>
      <c r="AA713" s="36"/>
      <c r="AB713" s="36">
        <v>539650.0</v>
      </c>
      <c r="AC713" s="37">
        <v>1893.5087719298247</v>
      </c>
      <c r="AD713" s="31"/>
      <c r="AE713" s="11"/>
      <c r="AF713" s="11"/>
    </row>
    <row r="714">
      <c r="A714" s="11" t="s">
        <v>717</v>
      </c>
      <c r="B714" s="39">
        <v>45480.40902777778</v>
      </c>
      <c r="C714" s="40">
        <v>45485.45416666667</v>
      </c>
      <c r="D714" s="27" t="s">
        <v>37</v>
      </c>
      <c r="E714" s="11" t="b">
        <v>0</v>
      </c>
      <c r="F714" s="11" t="s">
        <v>38</v>
      </c>
      <c r="G714" s="11" t="s">
        <v>362</v>
      </c>
      <c r="H714" s="11" t="s">
        <v>730</v>
      </c>
      <c r="I714" s="30">
        <v>5.0</v>
      </c>
      <c r="J714" s="31">
        <v>285.0</v>
      </c>
      <c r="K714" s="11">
        <v>1.0</v>
      </c>
      <c r="L714" s="32">
        <f t="shared" si="197"/>
        <v>0.1292148659</v>
      </c>
      <c r="M714" s="32">
        <f t="shared" si="195"/>
        <v>0.06153088851</v>
      </c>
      <c r="N714" s="32">
        <f t="shared" si="198"/>
        <v>3.682623677</v>
      </c>
      <c r="O714" s="32">
        <v>0.0</v>
      </c>
      <c r="P714" s="33">
        <v>16252.0</v>
      </c>
      <c r="Q714" s="34">
        <v>285.0</v>
      </c>
      <c r="R714" s="42">
        <v>36.826236770858976</v>
      </c>
      <c r="S714" s="36">
        <v>0.06153088850603003</v>
      </c>
      <c r="T714" s="36">
        <v>3.682623677085897</v>
      </c>
      <c r="U714" s="36"/>
      <c r="V714" s="36">
        <v>33.205143982279104</v>
      </c>
      <c r="W714" s="37">
        <v>0.11650927713080388</v>
      </c>
      <c r="X714" s="42">
        <v>598500.0000000001</v>
      </c>
      <c r="Y714" s="36">
        <v>1000.0</v>
      </c>
      <c r="Z714" s="36">
        <v>59850.0</v>
      </c>
      <c r="AA714" s="36"/>
      <c r="AB714" s="36">
        <v>539650.0</v>
      </c>
      <c r="AC714" s="37">
        <v>1893.5087719298247</v>
      </c>
      <c r="AD714" s="31"/>
      <c r="AE714" s="11"/>
      <c r="AF714" s="11"/>
    </row>
    <row r="715">
      <c r="A715" s="11" t="s">
        <v>717</v>
      </c>
      <c r="B715" s="39">
        <v>45473.41805555556</v>
      </c>
      <c r="C715" s="40">
        <v>45475.59166666667</v>
      </c>
      <c r="D715" s="27" t="s">
        <v>33</v>
      </c>
      <c r="E715" s="11" t="b">
        <v>0</v>
      </c>
      <c r="F715" s="11" t="s">
        <v>38</v>
      </c>
      <c r="G715" s="11" t="s">
        <v>362</v>
      </c>
      <c r="H715" s="11" t="s">
        <v>731</v>
      </c>
      <c r="I715" s="30">
        <v>5.0</v>
      </c>
      <c r="J715" s="31">
        <v>287.0</v>
      </c>
      <c r="K715" s="11">
        <v>1.0</v>
      </c>
      <c r="L715" s="32">
        <f t="shared" si="197"/>
        <v>0.128440367</v>
      </c>
      <c r="M715" s="32">
        <f>(485)/P715</f>
        <v>0.02966360856</v>
      </c>
      <c r="N715" s="32">
        <f>(48216)/P715</f>
        <v>2.948990826</v>
      </c>
      <c r="O715" s="32">
        <v>0.0</v>
      </c>
      <c r="P715" s="33">
        <v>16350.0</v>
      </c>
      <c r="Q715" s="34">
        <v>287.0</v>
      </c>
      <c r="R715" s="42">
        <v>36.862385321100916</v>
      </c>
      <c r="S715" s="36">
        <v>0.02966360856269113</v>
      </c>
      <c r="T715" s="36">
        <v>2.9489908256880732</v>
      </c>
      <c r="U715" s="36"/>
      <c r="V715" s="36">
        <v>33.94305810397554</v>
      </c>
      <c r="W715" s="37">
        <v>0.11826849513580327</v>
      </c>
      <c r="X715" s="42">
        <v>602700.0</v>
      </c>
      <c r="Y715" s="36">
        <v>485.0</v>
      </c>
      <c r="Z715" s="36">
        <v>48216.0</v>
      </c>
      <c r="AA715" s="36"/>
      <c r="AB715" s="36">
        <v>554969.0</v>
      </c>
      <c r="AC715" s="37">
        <v>1933.6898954703834</v>
      </c>
      <c r="AD715" s="31"/>
      <c r="AE715" s="11"/>
      <c r="AF715" s="11"/>
    </row>
    <row r="716">
      <c r="A716" s="11" t="s">
        <v>717</v>
      </c>
      <c r="B716" s="39">
        <v>45469.29583333333</v>
      </c>
      <c r="C716" s="40">
        <v>45471.47152777778</v>
      </c>
      <c r="D716" s="27" t="s">
        <v>33</v>
      </c>
      <c r="E716" s="11" t="b">
        <v>0</v>
      </c>
      <c r="F716" s="11" t="s">
        <v>38</v>
      </c>
      <c r="G716" s="11" t="s">
        <v>362</v>
      </c>
      <c r="H716" s="11" t="s">
        <v>732</v>
      </c>
      <c r="I716" s="30">
        <v>5.0</v>
      </c>
      <c r="J716" s="31">
        <v>295.0</v>
      </c>
      <c r="K716" s="11">
        <v>1.0</v>
      </c>
      <c r="L716" s="32">
        <f t="shared" si="197"/>
        <v>0.1277294568</v>
      </c>
      <c r="M716" s="32">
        <f>(496)/P716</f>
        <v>0.03016848124</v>
      </c>
      <c r="N716" s="32">
        <f>(49560)/P716</f>
        <v>3.014415182</v>
      </c>
      <c r="O716" s="32">
        <v>0.0</v>
      </c>
      <c r="P716" s="33">
        <v>16441.0</v>
      </c>
      <c r="Q716" s="34">
        <v>295.0</v>
      </c>
      <c r="R716" s="42">
        <v>37.680189769478744</v>
      </c>
      <c r="S716" s="36">
        <v>0.030168481235934554</v>
      </c>
      <c r="T716" s="36">
        <v>3.0144151815582996</v>
      </c>
      <c r="U716" s="36"/>
      <c r="V716" s="36">
        <v>34.69594306915638</v>
      </c>
      <c r="W716" s="37">
        <v>0.11761336633612332</v>
      </c>
      <c r="X716" s="42">
        <v>619500.0</v>
      </c>
      <c r="Y716" s="36">
        <v>496.0</v>
      </c>
      <c r="Z716" s="36">
        <v>49560.0</v>
      </c>
      <c r="AA716" s="36"/>
      <c r="AB716" s="36">
        <v>570436.0</v>
      </c>
      <c r="AC716" s="37">
        <v>1933.6813559322034</v>
      </c>
      <c r="AD716" s="31"/>
      <c r="AE716" s="11"/>
      <c r="AF716" s="11"/>
    </row>
    <row r="717">
      <c r="A717" s="11" t="s">
        <v>717</v>
      </c>
      <c r="B717" s="39">
        <v>45468.32361111111</v>
      </c>
      <c r="C717" s="40">
        <v>45471.464583333334</v>
      </c>
      <c r="D717" s="27" t="s">
        <v>37</v>
      </c>
      <c r="E717" s="11" t="b">
        <v>0</v>
      </c>
      <c r="F717" s="11" t="s">
        <v>38</v>
      </c>
      <c r="G717" s="11" t="s">
        <v>362</v>
      </c>
      <c r="H717" s="11" t="s">
        <v>733</v>
      </c>
      <c r="I717" s="30">
        <v>5.0</v>
      </c>
      <c r="J717" s="31">
        <v>287.0</v>
      </c>
      <c r="K717" s="11">
        <v>1.0</v>
      </c>
      <c r="L717" s="32">
        <f t="shared" si="197"/>
        <v>0.1279785484</v>
      </c>
      <c r="M717" s="32">
        <f t="shared" ref="M717:M720" si="199">(1000)/P717</f>
        <v>0.06094216588</v>
      </c>
      <c r="N717" s="32">
        <f>(X717*10%)/P717</f>
        <v>3.672984338</v>
      </c>
      <c r="O717" s="32">
        <v>0.0</v>
      </c>
      <c r="P717" s="33">
        <v>16409.0</v>
      </c>
      <c r="Q717" s="34">
        <v>287.0</v>
      </c>
      <c r="R717" s="42">
        <v>36.72984337863368</v>
      </c>
      <c r="S717" s="36">
        <v>0.06094216588457554</v>
      </c>
      <c r="T717" s="36">
        <v>3.6729843378633684</v>
      </c>
      <c r="U717" s="36"/>
      <c r="V717" s="36">
        <v>33.11780120665489</v>
      </c>
      <c r="W717" s="37">
        <v>0.11539303556325745</v>
      </c>
      <c r="X717" s="42">
        <v>602700.0000000001</v>
      </c>
      <c r="Y717" s="36">
        <v>1000.0</v>
      </c>
      <c r="Z717" s="36">
        <v>60270.000000000015</v>
      </c>
      <c r="AA717" s="36"/>
      <c r="AB717" s="36">
        <v>543430.0000000001</v>
      </c>
      <c r="AC717" s="37">
        <v>1893.4843205574916</v>
      </c>
      <c r="AD717" s="31"/>
      <c r="AE717" s="11"/>
      <c r="AF717" s="11"/>
    </row>
    <row r="718">
      <c r="A718" s="11" t="s">
        <v>717</v>
      </c>
      <c r="B718" s="39">
        <v>45463.38055555556</v>
      </c>
      <c r="C718" s="40">
        <v>45464.666666666664</v>
      </c>
      <c r="D718" s="27" t="s">
        <v>33</v>
      </c>
      <c r="E718" s="11" t="b">
        <v>0</v>
      </c>
      <c r="F718" s="11" t="s">
        <v>38</v>
      </c>
      <c r="G718" s="11" t="s">
        <v>362</v>
      </c>
      <c r="H718" s="11" t="s">
        <v>734</v>
      </c>
      <c r="I718" s="30">
        <v>5.0</v>
      </c>
      <c r="J718" s="31">
        <v>287.0</v>
      </c>
      <c r="K718" s="11">
        <v>1.0</v>
      </c>
      <c r="L718" s="32">
        <f t="shared" si="197"/>
        <v>0.1274503854</v>
      </c>
      <c r="M718" s="32">
        <f t="shared" si="199"/>
        <v>0.06069065971</v>
      </c>
      <c r="N718" s="32">
        <f t="shared" ref="N718:N719" si="200">(15068)/P718</f>
        <v>0.9144868605</v>
      </c>
      <c r="O718" s="32">
        <v>0.0</v>
      </c>
      <c r="P718" s="33">
        <v>16477.0</v>
      </c>
      <c r="Q718" s="34">
        <v>287.0</v>
      </c>
      <c r="R718" s="42">
        <v>36.57826060569278</v>
      </c>
      <c r="S718" s="36">
        <v>0.06069065970747102</v>
      </c>
      <c r="T718" s="36">
        <v>0.9144868604721733</v>
      </c>
      <c r="U718" s="36"/>
      <c r="V718" s="36">
        <v>35.72446440492808</v>
      </c>
      <c r="W718" s="37">
        <v>0.12447548573145671</v>
      </c>
      <c r="X718" s="42">
        <v>602700.0</v>
      </c>
      <c r="Y718" s="36">
        <v>1000.0</v>
      </c>
      <c r="Z718" s="36">
        <v>15068.0</v>
      </c>
      <c r="AA718" s="36"/>
      <c r="AB718" s="36">
        <v>588631.9999999999</v>
      </c>
      <c r="AC718" s="37">
        <v>2050.9825783972124</v>
      </c>
      <c r="AD718" s="31"/>
      <c r="AE718" s="11"/>
      <c r="AF718" s="11"/>
    </row>
    <row r="719">
      <c r="A719" s="11" t="s">
        <v>717</v>
      </c>
      <c r="B719" s="39">
        <v>45456.38125</v>
      </c>
      <c r="C719" s="40">
        <v>45458.42588949074</v>
      </c>
      <c r="D719" s="27" t="s">
        <v>37</v>
      </c>
      <c r="E719" s="11" t="b">
        <v>0</v>
      </c>
      <c r="F719" s="11" t="s">
        <v>38</v>
      </c>
      <c r="G719" s="11" t="s">
        <v>362</v>
      </c>
      <c r="H719" s="11" t="s">
        <v>735</v>
      </c>
      <c r="I719" s="30">
        <v>5.0</v>
      </c>
      <c r="J719" s="31">
        <v>287.0</v>
      </c>
      <c r="K719" s="11">
        <v>1.0</v>
      </c>
      <c r="L719" s="32">
        <f t="shared" si="197"/>
        <v>0.1289767842</v>
      </c>
      <c r="M719" s="32">
        <f t="shared" si="199"/>
        <v>0.06141751628</v>
      </c>
      <c r="N719" s="32">
        <f t="shared" si="200"/>
        <v>0.9254391352</v>
      </c>
      <c r="O719" s="32">
        <v>0.0</v>
      </c>
      <c r="P719" s="33">
        <v>16282.0</v>
      </c>
      <c r="Q719" s="34">
        <v>287.0</v>
      </c>
      <c r="R719" s="42">
        <v>37.016337059329324</v>
      </c>
      <c r="S719" s="36">
        <v>0.06141751627564181</v>
      </c>
      <c r="T719" s="36">
        <v>0.9254391352413709</v>
      </c>
      <c r="U719" s="36"/>
      <c r="V719" s="36">
        <v>36.152315440363594</v>
      </c>
      <c r="W719" s="37">
        <v>0.12596625588976862</v>
      </c>
      <c r="X719" s="42">
        <v>602700.0</v>
      </c>
      <c r="Y719" s="36">
        <v>1000.0</v>
      </c>
      <c r="Z719" s="36">
        <v>15068.0</v>
      </c>
      <c r="AA719" s="36"/>
      <c r="AB719" s="36">
        <v>588632.0</v>
      </c>
      <c r="AC719" s="37">
        <v>2050.9825783972124</v>
      </c>
      <c r="AD719" s="31"/>
      <c r="AE719" s="11"/>
      <c r="AF719" s="11"/>
    </row>
    <row r="720">
      <c r="A720" s="11" t="s">
        <v>717</v>
      </c>
      <c r="B720" s="39">
        <v>45455.95694444444</v>
      </c>
      <c r="C720" s="40">
        <v>45457.557297962965</v>
      </c>
      <c r="D720" s="27" t="s">
        <v>33</v>
      </c>
      <c r="E720" s="11" t="b">
        <v>0</v>
      </c>
      <c r="F720" s="11" t="s">
        <v>38</v>
      </c>
      <c r="G720" s="11" t="s">
        <v>323</v>
      </c>
      <c r="H720" s="11" t="s">
        <v>736</v>
      </c>
      <c r="I720" s="30">
        <v>5.0</v>
      </c>
      <c r="J720" s="31">
        <v>328.0</v>
      </c>
      <c r="K720" s="11">
        <v>1.0</v>
      </c>
      <c r="L720" s="32">
        <f t="shared" si="197"/>
        <v>0.1293342366</v>
      </c>
      <c r="M720" s="32">
        <f t="shared" si="199"/>
        <v>0.06158773172</v>
      </c>
      <c r="N720" s="32">
        <f>(17220)/P720</f>
        <v>1.06054074</v>
      </c>
      <c r="O720" s="32">
        <v>0.0</v>
      </c>
      <c r="P720" s="33">
        <v>16237.0</v>
      </c>
      <c r="Q720" s="34">
        <v>328.0</v>
      </c>
      <c r="R720" s="42">
        <v>42.42162961138142</v>
      </c>
      <c r="S720" s="36">
        <v>0.06158773172384061</v>
      </c>
      <c r="T720" s="36">
        <v>1.0605407402845353</v>
      </c>
      <c r="U720" s="36"/>
      <c r="V720" s="36">
        <v>41.42267660282072</v>
      </c>
      <c r="W720" s="37">
        <v>0.12628864817933147</v>
      </c>
      <c r="X720" s="42">
        <v>688800.0000000001</v>
      </c>
      <c r="Y720" s="36">
        <v>1000.0</v>
      </c>
      <c r="Z720" s="36">
        <v>17220.0</v>
      </c>
      <c r="AA720" s="36"/>
      <c r="AB720" s="36">
        <v>672580.0000000001</v>
      </c>
      <c r="AC720" s="37">
        <v>2050.5487804878053</v>
      </c>
      <c r="AD720" s="31"/>
      <c r="AE720" s="11"/>
      <c r="AF720" s="11"/>
    </row>
    <row r="721">
      <c r="A721" s="11" t="s">
        <v>717</v>
      </c>
      <c r="B721" s="39">
        <v>45449.35</v>
      </c>
      <c r="C721" s="40">
        <v>45452.81319444445</v>
      </c>
      <c r="D721" s="27" t="s">
        <v>33</v>
      </c>
      <c r="E721" s="11" t="b">
        <v>0</v>
      </c>
      <c r="F721" s="11" t="s">
        <v>38</v>
      </c>
      <c r="G721" s="11" t="s">
        <v>362</v>
      </c>
      <c r="H721" s="11" t="s">
        <v>737</v>
      </c>
      <c r="I721" s="30">
        <v>5.0</v>
      </c>
      <c r="J721" s="31">
        <v>287.0</v>
      </c>
      <c r="K721" s="11">
        <v>1.0</v>
      </c>
      <c r="L721" s="32">
        <f t="shared" si="197"/>
        <v>0.1292546316</v>
      </c>
      <c r="M721" s="32">
        <f>605/P721</f>
        <v>0.03723764387</v>
      </c>
      <c r="N721" s="32">
        <f>(60270)/P721</f>
        <v>3.709607928</v>
      </c>
      <c r="O721" s="32">
        <v>0.0</v>
      </c>
      <c r="P721" s="33">
        <v>16247.0</v>
      </c>
      <c r="Q721" s="34">
        <v>287.0</v>
      </c>
      <c r="R721" s="42">
        <v>37.096079276174066</v>
      </c>
      <c r="S721" s="36">
        <v>0.037237643872714964</v>
      </c>
      <c r="T721" s="36">
        <v>3.709607927617406</v>
      </c>
      <c r="U721" s="36"/>
      <c r="V721" s="36">
        <v>33.423708992429376</v>
      </c>
      <c r="W721" s="37">
        <v>0.11645891634992814</v>
      </c>
      <c r="X721" s="42">
        <v>602700.0</v>
      </c>
      <c r="Y721" s="36">
        <v>605.0</v>
      </c>
      <c r="Z721" s="36">
        <v>60270.0</v>
      </c>
      <c r="AA721" s="36"/>
      <c r="AB721" s="36">
        <v>543035.0000000001</v>
      </c>
      <c r="AC721" s="37">
        <v>1892.1080139372827</v>
      </c>
      <c r="AD721" s="31"/>
      <c r="AE721" s="11"/>
      <c r="AF721" s="11"/>
    </row>
    <row r="722">
      <c r="A722" s="11" t="s">
        <v>717</v>
      </c>
      <c r="B722" s="39">
        <v>45444.42152777778</v>
      </c>
      <c r="C722" s="40">
        <v>45446.416666666664</v>
      </c>
      <c r="D722" s="27" t="s">
        <v>37</v>
      </c>
      <c r="E722" s="11" t="b">
        <v>0</v>
      </c>
      <c r="F722" s="11" t="s">
        <v>38</v>
      </c>
      <c r="G722" s="11" t="s">
        <v>362</v>
      </c>
      <c r="H722" s="11" t="s">
        <v>738</v>
      </c>
      <c r="I722" s="30">
        <v>5.0</v>
      </c>
      <c r="J722" s="31">
        <v>100.0</v>
      </c>
      <c r="K722" s="11">
        <v>1.0</v>
      </c>
      <c r="L722" s="32">
        <f t="shared" si="197"/>
        <v>0.1291910181</v>
      </c>
      <c r="M722" s="32">
        <f t="shared" ref="M722:M724" si="201">(1000)/P722</f>
        <v>0.06151953245</v>
      </c>
      <c r="N722" s="32">
        <f t="shared" ref="N722:N723" si="202">(35000 + 875)/P722</f>
        <v>2.207013227</v>
      </c>
      <c r="O722" s="32">
        <v>0.0</v>
      </c>
      <c r="P722" s="33">
        <v>16255.0</v>
      </c>
      <c r="Q722" s="34">
        <v>100.0</v>
      </c>
      <c r="R722" s="42">
        <v>12.919101814826206</v>
      </c>
      <c r="S722" s="36">
        <v>0.061519532451553366</v>
      </c>
      <c r="T722" s="36">
        <v>2.2070132266994773</v>
      </c>
      <c r="U722" s="36"/>
      <c r="V722" s="36">
        <v>10.773608120578283</v>
      </c>
      <c r="W722" s="37">
        <v>0.10773608120578283</v>
      </c>
      <c r="X722" s="42">
        <v>209999.99999999997</v>
      </c>
      <c r="Y722" s="36">
        <v>1000.0</v>
      </c>
      <c r="Z722" s="36">
        <v>35875.0</v>
      </c>
      <c r="AA722" s="36"/>
      <c r="AB722" s="36">
        <v>175125.0</v>
      </c>
      <c r="AC722" s="37">
        <v>1751.25</v>
      </c>
      <c r="AD722" s="31"/>
      <c r="AE722" s="11"/>
      <c r="AF722" s="11"/>
    </row>
    <row r="723">
      <c r="A723" s="11" t="s">
        <v>717</v>
      </c>
      <c r="B723" s="39">
        <v>45444.41736111111</v>
      </c>
      <c r="C723" s="40">
        <v>45446.416666666664</v>
      </c>
      <c r="D723" s="27" t="s">
        <v>37</v>
      </c>
      <c r="E723" s="11" t="b">
        <v>0</v>
      </c>
      <c r="F723" s="11" t="s">
        <v>38</v>
      </c>
      <c r="G723" s="11" t="s">
        <v>362</v>
      </c>
      <c r="H723" s="11" t="s">
        <v>739</v>
      </c>
      <c r="I723" s="30">
        <v>5.0</v>
      </c>
      <c r="J723" s="31">
        <v>100.0</v>
      </c>
      <c r="K723" s="11">
        <v>1.0</v>
      </c>
      <c r="L723" s="32">
        <f t="shared" si="197"/>
        <v>0.1291910181</v>
      </c>
      <c r="M723" s="32">
        <f t="shared" si="201"/>
        <v>0.06151953245</v>
      </c>
      <c r="N723" s="32">
        <f t="shared" si="202"/>
        <v>2.207013227</v>
      </c>
      <c r="O723" s="32">
        <v>0.0</v>
      </c>
      <c r="P723" s="33">
        <v>16255.0</v>
      </c>
      <c r="Q723" s="34">
        <v>100.0</v>
      </c>
      <c r="R723" s="42">
        <v>12.919101814826206</v>
      </c>
      <c r="S723" s="36">
        <v>0.061519532451553366</v>
      </c>
      <c r="T723" s="36">
        <v>2.2070132266994773</v>
      </c>
      <c r="U723" s="36"/>
      <c r="V723" s="36">
        <v>10.773608120578283</v>
      </c>
      <c r="W723" s="37">
        <v>0.10773608120578283</v>
      </c>
      <c r="X723" s="42">
        <v>209999.99999999997</v>
      </c>
      <c r="Y723" s="36">
        <v>1000.0</v>
      </c>
      <c r="Z723" s="36">
        <v>35875.0</v>
      </c>
      <c r="AA723" s="36"/>
      <c r="AB723" s="36">
        <v>175125.0</v>
      </c>
      <c r="AC723" s="37">
        <v>1751.25</v>
      </c>
      <c r="AD723" s="31"/>
      <c r="AE723" s="11"/>
      <c r="AF723" s="11"/>
    </row>
    <row r="724">
      <c r="A724" s="11" t="s">
        <v>717</v>
      </c>
      <c r="B724" s="39">
        <v>45444.38888888889</v>
      </c>
      <c r="C724" s="40">
        <v>45445.84305555555</v>
      </c>
      <c r="D724" s="27" t="s">
        <v>33</v>
      </c>
      <c r="E724" s="11" t="b">
        <v>0</v>
      </c>
      <c r="F724" s="11" t="s">
        <v>38</v>
      </c>
      <c r="G724" s="11" t="s">
        <v>362</v>
      </c>
      <c r="H724" s="11" t="s">
        <v>740</v>
      </c>
      <c r="I724" s="30">
        <v>5.0</v>
      </c>
      <c r="J724" s="31">
        <v>287.0</v>
      </c>
      <c r="K724" s="11">
        <v>1.0</v>
      </c>
      <c r="L724" s="32">
        <f t="shared" si="197"/>
        <v>0.1291910181</v>
      </c>
      <c r="M724" s="32">
        <f t="shared" si="201"/>
        <v>0.06151953245</v>
      </c>
      <c r="N724" s="32">
        <f>(36162)/P724</f>
        <v>2.224669333</v>
      </c>
      <c r="O724" s="32">
        <v>0.0</v>
      </c>
      <c r="P724" s="33">
        <v>16255.0</v>
      </c>
      <c r="Q724" s="34">
        <v>287.0</v>
      </c>
      <c r="R724" s="42">
        <v>37.07782220855121</v>
      </c>
      <c r="S724" s="36">
        <v>0.061519532451553366</v>
      </c>
      <c r="T724" s="36">
        <v>2.224669332513073</v>
      </c>
      <c r="U724" s="36"/>
      <c r="V724" s="36">
        <v>34.91467240848969</v>
      </c>
      <c r="W724" s="37">
        <v>0.12165391083097454</v>
      </c>
      <c r="X724" s="42">
        <v>602699.9999999999</v>
      </c>
      <c r="Y724" s="36">
        <v>1000.0</v>
      </c>
      <c r="Z724" s="36">
        <v>36162.0</v>
      </c>
      <c r="AA724" s="36"/>
      <c r="AB724" s="36">
        <v>567538.0</v>
      </c>
      <c r="AC724" s="37">
        <v>1977.4843205574914</v>
      </c>
      <c r="AD724" s="31"/>
      <c r="AE724" s="11"/>
      <c r="AF724" s="11"/>
    </row>
    <row r="725">
      <c r="A725" s="11" t="s">
        <v>717</v>
      </c>
      <c r="B725" s="39">
        <v>45437.995833333334</v>
      </c>
      <c r="C725" s="40">
        <v>45442.45360982639</v>
      </c>
      <c r="D725" s="27" t="s">
        <v>37</v>
      </c>
      <c r="E725" s="11" t="b">
        <v>0</v>
      </c>
      <c r="F725" s="11" t="s">
        <v>38</v>
      </c>
      <c r="G725" s="11" t="s">
        <v>362</v>
      </c>
      <c r="H725" s="11" t="s">
        <v>741</v>
      </c>
      <c r="I725" s="30">
        <v>5.0</v>
      </c>
      <c r="J725" s="31">
        <v>127.0</v>
      </c>
      <c r="K725" s="11">
        <v>1.0</v>
      </c>
      <c r="L725" s="32">
        <f t="shared" si="197"/>
        <v>0.1308818947</v>
      </c>
      <c r="M725" s="32">
        <f>(267)/P725</f>
        <v>0.01664069804</v>
      </c>
      <c r="N725" s="32">
        <f>(26670)/P725</f>
        <v>1.662200062</v>
      </c>
      <c r="O725" s="32">
        <v>0.0</v>
      </c>
      <c r="P725" s="33">
        <v>16045.0</v>
      </c>
      <c r="Q725" s="34">
        <v>127.0</v>
      </c>
      <c r="R725" s="42">
        <v>16.622000623247118</v>
      </c>
      <c r="S725" s="36">
        <v>0.01664069803677158</v>
      </c>
      <c r="T725" s="36">
        <v>1.6622000623247117</v>
      </c>
      <c r="U725" s="36"/>
      <c r="V725" s="36">
        <v>14.976441258959177</v>
      </c>
      <c r="W725" s="37">
        <v>0.1179247343225132</v>
      </c>
      <c r="X725" s="42">
        <v>266700.0</v>
      </c>
      <c r="Y725" s="36">
        <v>267.0</v>
      </c>
      <c r="Z725" s="36">
        <v>26670.0</v>
      </c>
      <c r="AA725" s="36"/>
      <c r="AB725" s="36">
        <v>240297.0</v>
      </c>
      <c r="AC725" s="37">
        <v>1892.1023622047244</v>
      </c>
      <c r="AD725" s="31"/>
      <c r="AE725" s="11"/>
      <c r="AF725" s="11"/>
    </row>
    <row r="726">
      <c r="A726" s="11" t="s">
        <v>717</v>
      </c>
      <c r="B726" s="39">
        <v>45436.84652777778</v>
      </c>
      <c r="C726" s="40">
        <v>45438.80625</v>
      </c>
      <c r="D726" s="27" t="s">
        <v>33</v>
      </c>
      <c r="E726" s="11" t="b">
        <v>0</v>
      </c>
      <c r="F726" s="11" t="s">
        <v>38</v>
      </c>
      <c r="G726" s="11" t="s">
        <v>742</v>
      </c>
      <c r="H726" s="11" t="s">
        <v>743</v>
      </c>
      <c r="I726" s="30">
        <v>5.0</v>
      </c>
      <c r="J726" s="31">
        <v>348.0</v>
      </c>
      <c r="K726" s="11">
        <v>1.0</v>
      </c>
      <c r="L726" s="32">
        <f>(2149)/P726</f>
        <v>0.1339358055</v>
      </c>
      <c r="M726" s="32">
        <f>(750)/P726</f>
        <v>0.04674353381</v>
      </c>
      <c r="N726" s="32">
        <f>(74785 + 29914 + 3365)/P726</f>
        <v>6.73505765</v>
      </c>
      <c r="O726" s="32">
        <v>0.0</v>
      </c>
      <c r="P726" s="33">
        <v>16045.0</v>
      </c>
      <c r="Q726" s="34">
        <v>348.0</v>
      </c>
      <c r="R726" s="42">
        <v>46.60966033032097</v>
      </c>
      <c r="S726" s="36">
        <v>0.046743533811156125</v>
      </c>
      <c r="T726" s="36">
        <v>6.7350576503583675</v>
      </c>
      <c r="U726" s="36"/>
      <c r="V726" s="36">
        <v>39.92134621377376</v>
      </c>
      <c r="W726" s="37">
        <v>0.11471651210854529</v>
      </c>
      <c r="X726" s="42">
        <v>747852.0</v>
      </c>
      <c r="Y726" s="36">
        <v>750.0</v>
      </c>
      <c r="Z726" s="36">
        <v>108064.0</v>
      </c>
      <c r="AA726" s="36"/>
      <c r="AB726" s="36">
        <v>640538.0</v>
      </c>
      <c r="AC726" s="37">
        <v>1840.6264367816093</v>
      </c>
      <c r="AD726" s="31"/>
      <c r="AE726" s="11"/>
      <c r="AF726" s="11"/>
    </row>
    <row r="727">
      <c r="A727" s="11" t="s">
        <v>717</v>
      </c>
      <c r="B727" s="39">
        <v>45434.99930555555</v>
      </c>
      <c r="C727" s="40">
        <v>45439.63333333333</v>
      </c>
      <c r="D727" s="27" t="s">
        <v>33</v>
      </c>
      <c r="E727" s="11" t="b">
        <v>0</v>
      </c>
      <c r="F727" s="11" t="s">
        <v>38</v>
      </c>
      <c r="G727" s="11" t="s">
        <v>362</v>
      </c>
      <c r="H727" s="11" t="s">
        <v>744</v>
      </c>
      <c r="I727" s="30">
        <v>5.0</v>
      </c>
      <c r="J727" s="31">
        <v>159.0</v>
      </c>
      <c r="K727" s="11">
        <v>1.0</v>
      </c>
      <c r="L727" s="32">
        <f t="shared" ref="L727:L728" si="203">(2100)/P727</f>
        <v>0.1308655824</v>
      </c>
      <c r="M727" s="32">
        <f>(334)/P727</f>
        <v>0.02081385929</v>
      </c>
      <c r="N727" s="32">
        <f>(33390)/P727</f>
        <v>2.080762759</v>
      </c>
      <c r="O727" s="32">
        <v>0.0</v>
      </c>
      <c r="P727" s="33">
        <v>16047.0</v>
      </c>
      <c r="Q727" s="34">
        <v>159.0</v>
      </c>
      <c r="R727" s="42">
        <v>20.80762759394279</v>
      </c>
      <c r="S727" s="36">
        <v>0.0208138592883405</v>
      </c>
      <c r="T727" s="36">
        <v>2.0807627593942795</v>
      </c>
      <c r="U727" s="36"/>
      <c r="V727" s="36">
        <v>18.747678693836853</v>
      </c>
      <c r="W727" s="37">
        <v>0.11790992889205568</v>
      </c>
      <c r="X727" s="42">
        <v>333899.99999999994</v>
      </c>
      <c r="Y727" s="36">
        <v>334.0</v>
      </c>
      <c r="Z727" s="36">
        <v>33390.0</v>
      </c>
      <c r="AA727" s="36"/>
      <c r="AB727" s="36">
        <v>300844.0</v>
      </c>
      <c r="AC727" s="37">
        <v>1892.1006289308177</v>
      </c>
      <c r="AD727" s="31"/>
      <c r="AE727" s="11"/>
      <c r="AF727" s="11"/>
    </row>
    <row r="728">
      <c r="A728" s="11" t="s">
        <v>717</v>
      </c>
      <c r="B728" s="39">
        <v>45421.770833333336</v>
      </c>
      <c r="C728" s="40">
        <v>45426.44159096065</v>
      </c>
      <c r="D728" s="27" t="s">
        <v>37</v>
      </c>
      <c r="E728" s="11" t="b">
        <v>0</v>
      </c>
      <c r="F728" s="11" t="s">
        <v>38</v>
      </c>
      <c r="G728" s="11" t="s">
        <v>362</v>
      </c>
      <c r="H728" s="11" t="s">
        <v>745</v>
      </c>
      <c r="I728" s="30">
        <v>5.0</v>
      </c>
      <c r="J728" s="31">
        <v>125.0</v>
      </c>
      <c r="K728" s="11">
        <v>1.0</v>
      </c>
      <c r="L728" s="32">
        <f t="shared" si="203"/>
        <v>0.1306457633</v>
      </c>
      <c r="M728" s="32">
        <f>(265)/P728</f>
        <v>0.01648625109</v>
      </c>
      <c r="N728" s="32">
        <f>(26250)/P728</f>
        <v>1.633072042</v>
      </c>
      <c r="O728" s="32">
        <v>0.0</v>
      </c>
      <c r="P728" s="33">
        <v>16074.0</v>
      </c>
      <c r="Q728" s="34">
        <v>125.0</v>
      </c>
      <c r="R728" s="42">
        <v>16.33072041806644</v>
      </c>
      <c r="S728" s="36">
        <v>0.016486251088714696</v>
      </c>
      <c r="T728" s="36">
        <v>1.6330720418066442</v>
      </c>
      <c r="U728" s="36"/>
      <c r="V728" s="36">
        <v>14.714134627348512</v>
      </c>
      <c r="W728" s="37">
        <v>0.1177130770187881</v>
      </c>
      <c r="X728" s="42">
        <v>262500.0</v>
      </c>
      <c r="Y728" s="36">
        <v>265.0</v>
      </c>
      <c r="Z728" s="36">
        <v>26250.0</v>
      </c>
      <c r="AA728" s="36"/>
      <c r="AB728" s="36">
        <v>236515.0</v>
      </c>
      <c r="AC728" s="37">
        <v>1892.12</v>
      </c>
      <c r="AD728" s="31"/>
      <c r="AE728" s="11"/>
      <c r="AF728" s="11"/>
    </row>
    <row r="729">
      <c r="A729" s="11" t="s">
        <v>746</v>
      </c>
      <c r="B729" s="77">
        <v>45986.02361111111</v>
      </c>
      <c r="C729" s="40">
        <v>45990.57083333333</v>
      </c>
      <c r="D729" s="27" t="s">
        <v>37</v>
      </c>
      <c r="E729" s="11" t="b">
        <v>0</v>
      </c>
      <c r="F729" s="11" t="s">
        <v>49</v>
      </c>
      <c r="G729" s="11" t="s">
        <v>246</v>
      </c>
      <c r="H729" s="11" t="s">
        <v>747</v>
      </c>
      <c r="I729" s="30">
        <v>5.0</v>
      </c>
      <c r="J729" s="31">
        <v>50.0</v>
      </c>
      <c r="K729" s="11">
        <v>1.0</v>
      </c>
      <c r="L729" s="32">
        <f>(5000)/P729</f>
        <v>5000</v>
      </c>
      <c r="M729" s="32">
        <f>(126)/P729</f>
        <v>126</v>
      </c>
      <c r="N729" s="32">
        <f>(X729*15%)/P729</f>
        <v>37500</v>
      </c>
      <c r="O729" s="32">
        <v>0.0</v>
      </c>
      <c r="P729" s="33">
        <v>1.0</v>
      </c>
      <c r="Q729" s="34">
        <v>50.0</v>
      </c>
      <c r="R729" s="42">
        <v>250000.0</v>
      </c>
      <c r="S729" s="36">
        <v>126.0</v>
      </c>
      <c r="T729" s="36">
        <v>37500.0</v>
      </c>
      <c r="U729" s="36"/>
      <c r="V729" s="36">
        <v>212626.0</v>
      </c>
      <c r="W729" s="37">
        <v>4252.52</v>
      </c>
      <c r="X729" s="42">
        <v>250000.0</v>
      </c>
      <c r="Y729" s="36">
        <v>126.0</v>
      </c>
      <c r="Z729" s="36">
        <v>37500.0</v>
      </c>
      <c r="AA729" s="36"/>
      <c r="AB729" s="36">
        <v>212626.0</v>
      </c>
      <c r="AC729" s="37">
        <v>4252.52</v>
      </c>
      <c r="AD729" s="31"/>
      <c r="AE729" s="11"/>
      <c r="AF729" s="11"/>
    </row>
    <row r="730">
      <c r="A730" s="11" t="s">
        <v>746</v>
      </c>
      <c r="B730" s="39">
        <v>45607.756944444445</v>
      </c>
      <c r="C730" s="40">
        <v>45610.51458333333</v>
      </c>
      <c r="D730" s="27" t="s">
        <v>33</v>
      </c>
      <c r="E730" s="11" t="b">
        <v>0</v>
      </c>
      <c r="F730" s="11" t="s">
        <v>49</v>
      </c>
      <c r="G730" s="11" t="s">
        <v>198</v>
      </c>
      <c r="H730" s="11" t="s">
        <v>748</v>
      </c>
      <c r="I730" s="30">
        <v>5.0</v>
      </c>
      <c r="J730" s="31">
        <v>65.0</v>
      </c>
      <c r="K730" s="11">
        <v>1.0</v>
      </c>
      <c r="L730" s="32">
        <f>(5390)/P730</f>
        <v>0.3418966064</v>
      </c>
      <c r="M730" s="32">
        <f>(42)/P730</f>
        <v>0.002664129401</v>
      </c>
      <c r="N730" s="32">
        <f>(42042)/P730</f>
        <v>2.66679353</v>
      </c>
      <c r="O730" s="32">
        <v>0.0</v>
      </c>
      <c r="P730" s="33">
        <v>15765.0</v>
      </c>
      <c r="Q730" s="34">
        <v>65.0</v>
      </c>
      <c r="R730" s="42">
        <v>22.2232794164288</v>
      </c>
      <c r="S730" s="36">
        <v>0.002664129400570885</v>
      </c>
      <c r="T730" s="36">
        <v>2.666793529971456</v>
      </c>
      <c r="U730" s="36"/>
      <c r="V730" s="36">
        <v>19.559150015857913</v>
      </c>
      <c r="W730" s="37">
        <v>0.3009100002439679</v>
      </c>
      <c r="X730" s="42">
        <v>350350.0</v>
      </c>
      <c r="Y730" s="36">
        <v>42.0</v>
      </c>
      <c r="Z730" s="36">
        <v>42042.0</v>
      </c>
      <c r="AA730" s="36"/>
      <c r="AB730" s="36">
        <v>308350.0</v>
      </c>
      <c r="AC730" s="37">
        <v>4743.846153846154</v>
      </c>
      <c r="AD730" s="31"/>
      <c r="AE730" s="11"/>
      <c r="AF730" s="11"/>
    </row>
    <row r="731">
      <c r="A731" s="43" t="s">
        <v>749</v>
      </c>
      <c r="B731" s="39">
        <v>45455.60972222222</v>
      </c>
      <c r="C731" s="40">
        <v>45527.958333333336</v>
      </c>
      <c r="D731" s="27" t="s">
        <v>33</v>
      </c>
      <c r="E731" s="11" t="b">
        <v>1</v>
      </c>
      <c r="F731" s="11" t="s">
        <v>34</v>
      </c>
      <c r="G731" s="41" t="s">
        <v>715</v>
      </c>
      <c r="H731" s="11" t="s">
        <v>716</v>
      </c>
      <c r="I731" s="30">
        <v>5.0</v>
      </c>
      <c r="J731" s="31">
        <v>3000.0</v>
      </c>
      <c r="K731" s="11">
        <v>1.0</v>
      </c>
      <c r="L731" s="32">
        <f>(1637)/P731</f>
        <v>0.1004294479</v>
      </c>
      <c r="M731" s="32">
        <v>0.0</v>
      </c>
      <c r="N731" s="32">
        <v>0.0</v>
      </c>
      <c r="O731" s="32">
        <v>0.0</v>
      </c>
      <c r="P731" s="33">
        <v>16300.0</v>
      </c>
      <c r="Q731" s="34">
        <v>3000.0</v>
      </c>
      <c r="R731" s="42">
        <v>301.28834355828224</v>
      </c>
      <c r="S731" s="36"/>
      <c r="T731" s="36"/>
      <c r="U731" s="36"/>
      <c r="V731" s="36">
        <v>301.28834355828224</v>
      </c>
      <c r="W731" s="37">
        <v>0.10042944785276074</v>
      </c>
      <c r="X731" s="42">
        <v>4911000.0</v>
      </c>
      <c r="Y731" s="36"/>
      <c r="Z731" s="36"/>
      <c r="AA731" s="36"/>
      <c r="AB731" s="36">
        <v>4911000.0</v>
      </c>
      <c r="AC731" s="37">
        <v>1637.0</v>
      </c>
      <c r="AD731" s="31"/>
      <c r="AE731" s="11"/>
      <c r="AF731" s="11"/>
    </row>
    <row r="732">
      <c r="A732" s="11" t="s">
        <v>750</v>
      </c>
      <c r="B732" s="39">
        <v>45712.763194444444</v>
      </c>
      <c r="C732" s="40">
        <v>45715.59375</v>
      </c>
      <c r="D732" s="27" t="s">
        <v>33</v>
      </c>
      <c r="E732" s="11" t="b">
        <v>0</v>
      </c>
      <c r="F732" s="11" t="s">
        <v>49</v>
      </c>
      <c r="G732" s="11" t="s">
        <v>212</v>
      </c>
      <c r="H732" s="11" t="s">
        <v>511</v>
      </c>
      <c r="I732" s="30">
        <v>5.0</v>
      </c>
      <c r="J732" s="31">
        <v>1100.0</v>
      </c>
      <c r="K732" s="11">
        <v>1.0</v>
      </c>
      <c r="L732" s="32">
        <f t="shared" ref="L732:L733" si="204">(2250)/P732</f>
        <v>0.138223369</v>
      </c>
      <c r="M732" s="32">
        <f>(676/2)/P732</f>
        <v>0.02076422165</v>
      </c>
      <c r="N732" s="32">
        <f>(X732*12%)/P732</f>
        <v>18.2454847</v>
      </c>
      <c r="O732" s="32">
        <v>0.0</v>
      </c>
      <c r="P732" s="33">
        <v>16278.0</v>
      </c>
      <c r="Q732" s="34">
        <v>1100.0</v>
      </c>
      <c r="R732" s="42">
        <v>152.04570586067084</v>
      </c>
      <c r="S732" s="36">
        <v>0.02076422164885121</v>
      </c>
      <c r="T732" s="36">
        <v>18.2454847032805</v>
      </c>
      <c r="U732" s="36"/>
      <c r="V732" s="36">
        <v>133.82098537903917</v>
      </c>
      <c r="W732" s="37">
        <v>0.12165544125367198</v>
      </c>
      <c r="X732" s="42">
        <v>2475000.0</v>
      </c>
      <c r="Y732" s="36">
        <v>338.0</v>
      </c>
      <c r="Z732" s="36">
        <v>297000.0</v>
      </c>
      <c r="AA732" s="36"/>
      <c r="AB732" s="36">
        <v>2178337.9999999995</v>
      </c>
      <c r="AC732" s="37">
        <v>1980.3072727272722</v>
      </c>
      <c r="AD732" s="31"/>
      <c r="AE732" s="11"/>
      <c r="AF732" s="11"/>
    </row>
    <row r="733">
      <c r="A733" s="11" t="s">
        <v>750</v>
      </c>
      <c r="B733" s="39">
        <v>45705.48402777778</v>
      </c>
      <c r="C733" s="40">
        <v>45711.41875</v>
      </c>
      <c r="D733" s="27" t="s">
        <v>37</v>
      </c>
      <c r="E733" s="11" t="b">
        <v>0</v>
      </c>
      <c r="F733" s="11" t="s">
        <v>49</v>
      </c>
      <c r="G733" s="11" t="s">
        <v>212</v>
      </c>
      <c r="H733" s="11" t="s">
        <v>718</v>
      </c>
      <c r="I733" s="30">
        <v>5.0</v>
      </c>
      <c r="J733" s="31">
        <v>900.0</v>
      </c>
      <c r="K733" s="11">
        <v>1.0</v>
      </c>
      <c r="L733" s="32">
        <f t="shared" si="204"/>
        <v>0.1386577926</v>
      </c>
      <c r="M733" s="32">
        <f>(946/2)/P733</f>
        <v>0.02914894928</v>
      </c>
      <c r="N733" s="32">
        <f>(X733*8%)/P733</f>
        <v>9.983361065</v>
      </c>
      <c r="O733" s="32">
        <v>0.0</v>
      </c>
      <c r="P733" s="33">
        <v>16227.0</v>
      </c>
      <c r="Q733" s="34">
        <v>900.0</v>
      </c>
      <c r="R733" s="42">
        <v>124.79201331114808</v>
      </c>
      <c r="S733" s="36">
        <v>0.029148949282060764</v>
      </c>
      <c r="T733" s="36">
        <v>9.983361064891847</v>
      </c>
      <c r="U733" s="36"/>
      <c r="V733" s="36">
        <v>114.83780119553829</v>
      </c>
      <c r="W733" s="37">
        <v>0.12759755688393143</v>
      </c>
      <c r="X733" s="42">
        <v>2025000.0</v>
      </c>
      <c r="Y733" s="36">
        <v>473.0</v>
      </c>
      <c r="Z733" s="36">
        <v>162000.0</v>
      </c>
      <c r="AA733" s="36"/>
      <c r="AB733" s="36">
        <v>1863472.9999999998</v>
      </c>
      <c r="AC733" s="37">
        <v>2070.5255555555555</v>
      </c>
      <c r="AD733" s="31"/>
      <c r="AE733" s="11"/>
      <c r="AF733" s="11"/>
    </row>
    <row r="734">
      <c r="A734" s="11" t="s">
        <v>750</v>
      </c>
      <c r="B734" s="39">
        <v>45598.59930555556</v>
      </c>
      <c r="C734" s="40">
        <v>45605.541666666664</v>
      </c>
      <c r="D734" s="27" t="s">
        <v>37</v>
      </c>
      <c r="E734" s="11" t="b">
        <v>0</v>
      </c>
      <c r="F734" s="11" t="s">
        <v>49</v>
      </c>
      <c r="G734" s="11" t="s">
        <v>212</v>
      </c>
      <c r="H734" s="11" t="s">
        <v>245</v>
      </c>
      <c r="I734" s="30">
        <v>5.0</v>
      </c>
      <c r="J734" s="31">
        <v>500.0</v>
      </c>
      <c r="K734" s="11">
        <v>1.0</v>
      </c>
      <c r="L734" s="32">
        <f t="shared" ref="L734:L742" si="205">(2100)/P734</f>
        <v>0.1325590203</v>
      </c>
      <c r="M734" s="32">
        <f>(1000/5 + 1800/5)/P734</f>
        <v>0.03534907209</v>
      </c>
      <c r="N734" s="32">
        <f>X734*8%/P734</f>
        <v>5.302360813</v>
      </c>
      <c r="O734" s="32">
        <v>0.0</v>
      </c>
      <c r="P734" s="33">
        <v>15842.0</v>
      </c>
      <c r="Q734" s="34">
        <v>500.0</v>
      </c>
      <c r="R734" s="42">
        <v>66.27951016285823</v>
      </c>
      <c r="S734" s="36">
        <v>0.03534907208685772</v>
      </c>
      <c r="T734" s="36">
        <v>5.302360813028658</v>
      </c>
      <c r="U734" s="36"/>
      <c r="V734" s="36">
        <v>61.01249842191643</v>
      </c>
      <c r="W734" s="37">
        <v>0.12202499684383286</v>
      </c>
      <c r="X734" s="42">
        <v>1050000.0</v>
      </c>
      <c r="Y734" s="36">
        <v>560.0</v>
      </c>
      <c r="Z734" s="36">
        <v>84000.0</v>
      </c>
      <c r="AA734" s="36"/>
      <c r="AB734" s="36">
        <v>966560.0000000001</v>
      </c>
      <c r="AC734" s="37">
        <v>1933.1200000000003</v>
      </c>
      <c r="AD734" s="31"/>
      <c r="AE734" s="11"/>
      <c r="AF734" s="11"/>
    </row>
    <row r="735">
      <c r="A735" s="11" t="s">
        <v>750</v>
      </c>
      <c r="B735" s="39">
        <v>45474.95763888889</v>
      </c>
      <c r="C735" s="40">
        <v>45479.47777777778</v>
      </c>
      <c r="D735" s="27" t="s">
        <v>37</v>
      </c>
      <c r="E735" s="11" t="b">
        <v>0</v>
      </c>
      <c r="F735" s="11" t="s">
        <v>38</v>
      </c>
      <c r="G735" s="11" t="s">
        <v>323</v>
      </c>
      <c r="H735" s="11" t="s">
        <v>751</v>
      </c>
      <c r="I735" s="30">
        <v>5.0</v>
      </c>
      <c r="J735" s="31">
        <v>120.0</v>
      </c>
      <c r="K735" s="11">
        <v>1.0</v>
      </c>
      <c r="L735" s="32">
        <f t="shared" si="205"/>
        <v>0.1282599401</v>
      </c>
      <c r="M735" s="32">
        <f>(255)/P735</f>
        <v>0.0155744213</v>
      </c>
      <c r="N735" s="32">
        <f>(25200 + 1134)/P735</f>
        <v>1.608379649</v>
      </c>
      <c r="O735" s="32">
        <v>0.0</v>
      </c>
      <c r="P735" s="33">
        <v>16373.0</v>
      </c>
      <c r="Q735" s="34">
        <v>120.0</v>
      </c>
      <c r="R735" s="42">
        <v>15.391192817443352</v>
      </c>
      <c r="S735" s="36">
        <v>0.015574421303365296</v>
      </c>
      <c r="T735" s="36">
        <v>1.6083796494228302</v>
      </c>
      <c r="U735" s="36"/>
      <c r="V735" s="36">
        <v>13.798387589323887</v>
      </c>
      <c r="W735" s="37">
        <v>0.11498656324436572</v>
      </c>
      <c r="X735" s="42">
        <v>252000.0</v>
      </c>
      <c r="Y735" s="36">
        <v>255.0</v>
      </c>
      <c r="Z735" s="36">
        <v>26334.0</v>
      </c>
      <c r="AA735" s="36"/>
      <c r="AB735" s="36">
        <v>225921.0</v>
      </c>
      <c r="AC735" s="37">
        <v>1882.675</v>
      </c>
      <c r="AD735" s="31"/>
      <c r="AE735" s="11"/>
      <c r="AF735" s="11"/>
    </row>
    <row r="736">
      <c r="A736" s="11" t="s">
        <v>750</v>
      </c>
      <c r="B736" s="39">
        <v>45474.95763888889</v>
      </c>
      <c r="C736" s="40">
        <v>45480.57083333333</v>
      </c>
      <c r="D736" s="27" t="s">
        <v>37</v>
      </c>
      <c r="E736" s="11" t="b">
        <v>0</v>
      </c>
      <c r="F736" s="11" t="s">
        <v>38</v>
      </c>
      <c r="G736" s="11" t="s">
        <v>362</v>
      </c>
      <c r="H736" s="11" t="s">
        <v>752</v>
      </c>
      <c r="I736" s="30">
        <v>5.0</v>
      </c>
      <c r="J736" s="31">
        <v>287.0</v>
      </c>
      <c r="K736" s="11">
        <v>1.0</v>
      </c>
      <c r="L736" s="32">
        <f t="shared" si="205"/>
        <v>0.1282599401</v>
      </c>
      <c r="M736" s="32">
        <f>(609)/P736</f>
        <v>0.03719538264</v>
      </c>
      <c r="N736" s="32">
        <f>(60270 + 2712)/P736</f>
        <v>3.846698833</v>
      </c>
      <c r="O736" s="32">
        <v>0.0</v>
      </c>
      <c r="P736" s="33">
        <v>16373.0</v>
      </c>
      <c r="Q736" s="34">
        <v>287.0</v>
      </c>
      <c r="R736" s="42">
        <v>36.81060282171868</v>
      </c>
      <c r="S736" s="36">
        <v>0.037195382642154766</v>
      </c>
      <c r="T736" s="36">
        <v>3.8466988334453065</v>
      </c>
      <c r="U736" s="36"/>
      <c r="V736" s="36">
        <v>33.001099370915526</v>
      </c>
      <c r="W736" s="37">
        <v>0.11498640895789382</v>
      </c>
      <c r="X736" s="42">
        <v>602700.0</v>
      </c>
      <c r="Y736" s="36">
        <v>609.0</v>
      </c>
      <c r="Z736" s="36">
        <v>62982.0</v>
      </c>
      <c r="AA736" s="36"/>
      <c r="AB736" s="36">
        <v>540326.9999999999</v>
      </c>
      <c r="AC736" s="37">
        <v>1882.6724738675955</v>
      </c>
      <c r="AD736" s="31"/>
      <c r="AE736" s="11"/>
      <c r="AF736" s="11"/>
    </row>
    <row r="737">
      <c r="A737" s="11" t="s">
        <v>750</v>
      </c>
      <c r="B737" s="39">
        <v>45469.29583333333</v>
      </c>
      <c r="C737" s="40">
        <v>45471.64444444444</v>
      </c>
      <c r="D737" s="27" t="s">
        <v>33</v>
      </c>
      <c r="E737" s="11" t="b">
        <v>0</v>
      </c>
      <c r="F737" s="11" t="s">
        <v>38</v>
      </c>
      <c r="G737" s="11" t="s">
        <v>323</v>
      </c>
      <c r="H737" s="11" t="s">
        <v>753</v>
      </c>
      <c r="I737" s="30">
        <v>5.0</v>
      </c>
      <c r="J737" s="31">
        <v>300.0</v>
      </c>
      <c r="K737" s="11">
        <v>1.0</v>
      </c>
      <c r="L737" s="32">
        <f t="shared" si="205"/>
        <v>0.1277294568</v>
      </c>
      <c r="M737" s="32">
        <f>(504)/P737</f>
        <v>0.03065506964</v>
      </c>
      <c r="N737" s="32">
        <f>(50400)/P737</f>
        <v>3.065506964</v>
      </c>
      <c r="O737" s="32">
        <v>0.0</v>
      </c>
      <c r="P737" s="33">
        <v>16441.0</v>
      </c>
      <c r="Q737" s="34">
        <v>300.0</v>
      </c>
      <c r="R737" s="42">
        <v>38.31883705370719</v>
      </c>
      <c r="S737" s="36">
        <v>0.030655069642965757</v>
      </c>
      <c r="T737" s="36">
        <v>3.0655069642965755</v>
      </c>
      <c r="U737" s="36"/>
      <c r="V737" s="36">
        <v>35.283985159053586</v>
      </c>
      <c r="W737" s="37">
        <v>0.11761328386351196</v>
      </c>
      <c r="X737" s="42">
        <v>629999.9999999999</v>
      </c>
      <c r="Y737" s="36">
        <v>504.0</v>
      </c>
      <c r="Z737" s="36">
        <v>50400.0</v>
      </c>
      <c r="AA737" s="36"/>
      <c r="AB737" s="36">
        <v>580104.0</v>
      </c>
      <c r="AC737" s="37">
        <v>1933.68</v>
      </c>
      <c r="AD737" s="31"/>
      <c r="AE737" s="11"/>
      <c r="AF737" s="11"/>
    </row>
    <row r="738">
      <c r="A738" s="11" t="s">
        <v>750</v>
      </c>
      <c r="B738" s="39">
        <v>45458.46319444444</v>
      </c>
      <c r="C738" s="40">
        <v>45459.47638888889</v>
      </c>
      <c r="D738" s="27" t="s">
        <v>33</v>
      </c>
      <c r="E738" s="11" t="b">
        <v>0</v>
      </c>
      <c r="F738" s="11" t="s">
        <v>38</v>
      </c>
      <c r="G738" s="11" t="s">
        <v>323</v>
      </c>
      <c r="H738" s="11" t="s">
        <v>754</v>
      </c>
      <c r="I738" s="30">
        <v>5.0</v>
      </c>
      <c r="J738" s="31">
        <v>328.0</v>
      </c>
      <c r="K738" s="11">
        <v>1.0</v>
      </c>
      <c r="L738" s="32">
        <f t="shared" si="205"/>
        <v>0.127380808</v>
      </c>
      <c r="M738" s="32">
        <f>(1000)/P738</f>
        <v>0.0606575276</v>
      </c>
      <c r="N738" s="32">
        <f>(17220)/P738</f>
        <v>1.044522625</v>
      </c>
      <c r="O738" s="32">
        <v>0.0</v>
      </c>
      <c r="P738" s="33">
        <v>16486.0</v>
      </c>
      <c r="Q738" s="34">
        <v>328.0</v>
      </c>
      <c r="R738" s="42">
        <v>41.78090501031178</v>
      </c>
      <c r="S738" s="36">
        <v>0.06065752759917506</v>
      </c>
      <c r="T738" s="36">
        <v>1.0445226252577946</v>
      </c>
      <c r="U738" s="36"/>
      <c r="V738" s="36">
        <v>40.79703991265316</v>
      </c>
      <c r="W738" s="37">
        <v>0.12438121924589379</v>
      </c>
      <c r="X738" s="42">
        <v>688800.0</v>
      </c>
      <c r="Y738" s="36">
        <v>1000.0</v>
      </c>
      <c r="Z738" s="36">
        <v>17220.0</v>
      </c>
      <c r="AA738" s="36"/>
      <c r="AB738" s="36">
        <v>672580.0</v>
      </c>
      <c r="AC738" s="37">
        <v>2050.548780487805</v>
      </c>
      <c r="AD738" s="31"/>
      <c r="AE738" s="11"/>
      <c r="AF738" s="11"/>
    </row>
    <row r="739">
      <c r="A739" s="11" t="s">
        <v>750</v>
      </c>
      <c r="B739" s="39">
        <v>45437.995833333334</v>
      </c>
      <c r="C739" s="40">
        <v>45442.453627002316</v>
      </c>
      <c r="D739" s="27" t="s">
        <v>37</v>
      </c>
      <c r="E739" s="11" t="b">
        <v>0</v>
      </c>
      <c r="F739" s="11" t="s">
        <v>38</v>
      </c>
      <c r="G739" s="11" t="s">
        <v>362</v>
      </c>
      <c r="H739" s="11" t="s">
        <v>741</v>
      </c>
      <c r="I739" s="30">
        <v>5.0</v>
      </c>
      <c r="J739" s="31">
        <v>150.0</v>
      </c>
      <c r="K739" s="11">
        <v>1.0</v>
      </c>
      <c r="L739" s="32">
        <f t="shared" si="205"/>
        <v>0.1308818947</v>
      </c>
      <c r="M739" s="32">
        <f>(316)/P739</f>
        <v>0.01969460891</v>
      </c>
      <c r="N739" s="32">
        <f>(31500)/P739</f>
        <v>1.96322842</v>
      </c>
      <c r="O739" s="32">
        <v>0.0</v>
      </c>
      <c r="P739" s="33">
        <v>16045.0</v>
      </c>
      <c r="Q739" s="34">
        <v>150.0</v>
      </c>
      <c r="R739" s="42">
        <v>19.63228420068557</v>
      </c>
      <c r="S739" s="36">
        <v>0.01969460891243378</v>
      </c>
      <c r="T739" s="36">
        <v>1.9632284200685572</v>
      </c>
      <c r="U739" s="36"/>
      <c r="V739" s="36">
        <v>17.68875038952945</v>
      </c>
      <c r="W739" s="37">
        <v>0.11792500259686299</v>
      </c>
      <c r="X739" s="42">
        <v>315000.0</v>
      </c>
      <c r="Y739" s="36">
        <v>316.0</v>
      </c>
      <c r="Z739" s="36">
        <v>31500.0</v>
      </c>
      <c r="AA739" s="36"/>
      <c r="AB739" s="36">
        <v>283816.0</v>
      </c>
      <c r="AC739" s="37">
        <v>1892.1066666666666</v>
      </c>
      <c r="AD739" s="31"/>
      <c r="AE739" s="11"/>
      <c r="AF739" s="11"/>
    </row>
    <row r="740">
      <c r="A740" s="11" t="s">
        <v>750</v>
      </c>
      <c r="B740" s="39">
        <v>45436.84652777778</v>
      </c>
      <c r="C740" s="40">
        <v>45440.91544755787</v>
      </c>
      <c r="D740" s="27" t="s">
        <v>33</v>
      </c>
      <c r="E740" s="11" t="b">
        <v>0</v>
      </c>
      <c r="F740" s="11" t="s">
        <v>38</v>
      </c>
      <c r="G740" s="11" t="s">
        <v>362</v>
      </c>
      <c r="H740" s="11" t="s">
        <v>755</v>
      </c>
      <c r="I740" s="30">
        <v>5.0</v>
      </c>
      <c r="J740" s="31">
        <v>119.0</v>
      </c>
      <c r="K740" s="11">
        <v>1.0</v>
      </c>
      <c r="L740" s="32">
        <f t="shared" si="205"/>
        <v>0.1308818947</v>
      </c>
      <c r="M740" s="32">
        <f>(250)/P740</f>
        <v>0.01558117794</v>
      </c>
      <c r="N740" s="32">
        <f>(24990 + 1124)/P740</f>
        <v>1.627547523</v>
      </c>
      <c r="O740" s="32">
        <v>0.0</v>
      </c>
      <c r="P740" s="33">
        <v>16045.0</v>
      </c>
      <c r="Q740" s="34">
        <v>119.0</v>
      </c>
      <c r="R740" s="42">
        <v>15.57494546587722</v>
      </c>
      <c r="S740" s="36">
        <v>0.015581177937052042</v>
      </c>
      <c r="T740" s="36">
        <v>1.627547522592708</v>
      </c>
      <c r="U740" s="36"/>
      <c r="V740" s="36">
        <v>13.962979121221565</v>
      </c>
      <c r="W740" s="37">
        <v>0.11733595900186189</v>
      </c>
      <c r="X740" s="42">
        <v>249900.0</v>
      </c>
      <c r="Y740" s="36">
        <v>250.0</v>
      </c>
      <c r="Z740" s="36">
        <v>26114.0</v>
      </c>
      <c r="AA740" s="36"/>
      <c r="AB740" s="36">
        <v>224036.0</v>
      </c>
      <c r="AC740" s="37">
        <v>1882.6554621848738</v>
      </c>
      <c r="AD740" s="31"/>
      <c r="AE740" s="11"/>
      <c r="AF740" s="11"/>
    </row>
    <row r="741">
      <c r="A741" s="11" t="s">
        <v>750</v>
      </c>
      <c r="B741" s="39">
        <v>45434.99930555555</v>
      </c>
      <c r="C741" s="40">
        <v>45439.63333333333</v>
      </c>
      <c r="D741" s="27" t="s">
        <v>33</v>
      </c>
      <c r="E741" s="11" t="b">
        <v>0</v>
      </c>
      <c r="F741" s="11" t="s">
        <v>38</v>
      </c>
      <c r="G741" s="11" t="s">
        <v>362</v>
      </c>
      <c r="H741" s="11" t="s">
        <v>744</v>
      </c>
      <c r="I741" s="30">
        <v>5.0</v>
      </c>
      <c r="J741" s="31">
        <v>100.0</v>
      </c>
      <c r="K741" s="11">
        <v>1.0</v>
      </c>
      <c r="L741" s="32">
        <f t="shared" si="205"/>
        <v>0.1308655824</v>
      </c>
      <c r="M741" s="32">
        <f>(210)/P741</f>
        <v>0.01308655824</v>
      </c>
      <c r="N741" s="32">
        <f>(21000)/P741</f>
        <v>1.308655824</v>
      </c>
      <c r="O741" s="32">
        <v>0.0</v>
      </c>
      <c r="P741" s="33">
        <v>16047.0</v>
      </c>
      <c r="Q741" s="34">
        <v>100.0</v>
      </c>
      <c r="R741" s="42">
        <v>13.086558235184146</v>
      </c>
      <c r="S741" s="36">
        <v>0.013086558235184146</v>
      </c>
      <c r="T741" s="36">
        <v>1.3086558235184147</v>
      </c>
      <c r="U741" s="36"/>
      <c r="V741" s="36">
        <v>11.790988969900916</v>
      </c>
      <c r="W741" s="37">
        <v>0.11790988969900916</v>
      </c>
      <c r="X741" s="42">
        <v>210000.0</v>
      </c>
      <c r="Y741" s="36">
        <v>210.0</v>
      </c>
      <c r="Z741" s="36">
        <v>21000.0</v>
      </c>
      <c r="AA741" s="36"/>
      <c r="AB741" s="36">
        <v>189210.0</v>
      </c>
      <c r="AC741" s="37">
        <v>1892.1</v>
      </c>
      <c r="AD741" s="31"/>
      <c r="AE741" s="11"/>
      <c r="AF741" s="11"/>
    </row>
    <row r="742">
      <c r="A742" s="11" t="s">
        <v>750</v>
      </c>
      <c r="B742" s="39">
        <v>45421.770833333336</v>
      </c>
      <c r="C742" s="40">
        <v>45426.44158261574</v>
      </c>
      <c r="D742" s="27" t="s">
        <v>37</v>
      </c>
      <c r="E742" s="11" t="b">
        <v>0</v>
      </c>
      <c r="F742" s="11" t="s">
        <v>38</v>
      </c>
      <c r="G742" s="11" t="s">
        <v>362</v>
      </c>
      <c r="H742" s="11" t="s">
        <v>745</v>
      </c>
      <c r="I742" s="30">
        <v>5.0</v>
      </c>
      <c r="J742" s="31">
        <v>150.0</v>
      </c>
      <c r="K742" s="11">
        <v>1.0</v>
      </c>
      <c r="L742" s="32">
        <f t="shared" si="205"/>
        <v>0.1306457633</v>
      </c>
      <c r="M742" s="32">
        <f>(318)/P742</f>
        <v>0.01978350131</v>
      </c>
      <c r="N742" s="32">
        <f>(31500)/P742</f>
        <v>1.95968645</v>
      </c>
      <c r="O742" s="32">
        <v>0.0</v>
      </c>
      <c r="P742" s="33">
        <v>16074.0</v>
      </c>
      <c r="Q742" s="34">
        <v>150.0</v>
      </c>
      <c r="R742" s="42">
        <v>19.596864501679732</v>
      </c>
      <c r="S742" s="36">
        <v>0.019783501306457632</v>
      </c>
      <c r="T742" s="36">
        <v>1.9596864501679732</v>
      </c>
      <c r="U742" s="36"/>
      <c r="V742" s="36">
        <v>17.656961552818217</v>
      </c>
      <c r="W742" s="37">
        <v>0.11771307701878811</v>
      </c>
      <c r="X742" s="42">
        <v>315000.0</v>
      </c>
      <c r="Y742" s="36">
        <v>318.0</v>
      </c>
      <c r="Z742" s="36">
        <v>31500.0</v>
      </c>
      <c r="AA742" s="36"/>
      <c r="AB742" s="36">
        <v>283818.0</v>
      </c>
      <c r="AC742" s="37">
        <v>1892.12</v>
      </c>
      <c r="AD742" s="31"/>
      <c r="AE742" s="11"/>
      <c r="AF742" s="11"/>
    </row>
    <row r="743">
      <c r="A743" s="11" t="s">
        <v>756</v>
      </c>
      <c r="B743" s="39">
        <v>45795.775</v>
      </c>
      <c r="C743" s="40">
        <v>45797.44027777778</v>
      </c>
      <c r="D743" s="27" t="s">
        <v>33</v>
      </c>
      <c r="E743" s="11" t="b">
        <v>0</v>
      </c>
      <c r="F743" s="11" t="s">
        <v>49</v>
      </c>
      <c r="G743" s="11" t="s">
        <v>757</v>
      </c>
      <c r="H743" s="11" t="s">
        <v>758</v>
      </c>
      <c r="I743" s="30">
        <v>5.0</v>
      </c>
      <c r="J743" s="31">
        <v>3.0</v>
      </c>
      <c r="K743" s="11">
        <v>1000.0</v>
      </c>
      <c r="L743" s="32">
        <f t="shared" ref="L743:L744" si="206">(22150)/P743</f>
        <v>1.343482744</v>
      </c>
      <c r="M743" s="32">
        <f t="shared" ref="M743:M744" si="207">(1000/15)/P743</f>
        <v>0.004043589899</v>
      </c>
      <c r="N743" s="32">
        <f t="shared" ref="N743:N744" si="208">(X743*10%)/P743</f>
        <v>0.4030448232</v>
      </c>
      <c r="O743" s="32">
        <v>0.0</v>
      </c>
      <c r="P743" s="33">
        <v>16487.0</v>
      </c>
      <c r="Q743" s="34">
        <v>3000.0</v>
      </c>
      <c r="R743" s="42">
        <v>4.0304482319403165</v>
      </c>
      <c r="S743" s="36">
        <v>0.004043589899112432</v>
      </c>
      <c r="T743" s="36">
        <v>0.4030448231940317</v>
      </c>
      <c r="U743" s="36"/>
      <c r="V743" s="36">
        <v>3.631446998645397</v>
      </c>
      <c r="W743" s="37">
        <v>0.001210482332881799</v>
      </c>
      <c r="X743" s="42">
        <v>66450.0</v>
      </c>
      <c r="Y743" s="36">
        <v>66.66666666666667</v>
      </c>
      <c r="Z743" s="36">
        <v>6645.0</v>
      </c>
      <c r="AA743" s="36"/>
      <c r="AB743" s="36">
        <v>59871.66666666666</v>
      </c>
      <c r="AC743" s="37">
        <v>19.957222222222217</v>
      </c>
      <c r="AD743" s="31"/>
      <c r="AE743" s="11"/>
      <c r="AF743" s="11"/>
    </row>
    <row r="744">
      <c r="A744" s="11" t="s">
        <v>756</v>
      </c>
      <c r="B744" s="39">
        <v>45795.775</v>
      </c>
      <c r="C744" s="40">
        <v>45797.44027777778</v>
      </c>
      <c r="D744" s="27" t="s">
        <v>33</v>
      </c>
      <c r="E744" s="11" t="b">
        <v>0</v>
      </c>
      <c r="F744" s="11" t="s">
        <v>49</v>
      </c>
      <c r="G744" s="11" t="s">
        <v>757</v>
      </c>
      <c r="H744" s="11" t="s">
        <v>758</v>
      </c>
      <c r="I744" s="30">
        <v>5.0</v>
      </c>
      <c r="J744" s="31">
        <v>3.0</v>
      </c>
      <c r="K744" s="11">
        <v>1000.0</v>
      </c>
      <c r="L744" s="32">
        <f t="shared" si="206"/>
        <v>1.343482744</v>
      </c>
      <c r="M744" s="32">
        <f t="shared" si="207"/>
        <v>0.004043589899</v>
      </c>
      <c r="N744" s="32">
        <f t="shared" si="208"/>
        <v>0.4030448232</v>
      </c>
      <c r="O744" s="32">
        <v>0.0</v>
      </c>
      <c r="P744" s="33">
        <v>16487.0</v>
      </c>
      <c r="Q744" s="34">
        <v>3000.0</v>
      </c>
      <c r="R744" s="42">
        <v>4.0304482319403165</v>
      </c>
      <c r="S744" s="36">
        <v>0.004043589899112432</v>
      </c>
      <c r="T744" s="36">
        <v>0.4030448231940317</v>
      </c>
      <c r="U744" s="36"/>
      <c r="V744" s="36">
        <v>3.631446998645397</v>
      </c>
      <c r="W744" s="37">
        <v>0.001210482332881799</v>
      </c>
      <c r="X744" s="42">
        <v>66450.0</v>
      </c>
      <c r="Y744" s="36">
        <v>66.66666666666667</v>
      </c>
      <c r="Z744" s="36">
        <v>6645.0</v>
      </c>
      <c r="AA744" s="36"/>
      <c r="AB744" s="36">
        <v>59871.66666666666</v>
      </c>
      <c r="AC744" s="37">
        <v>19.957222222222217</v>
      </c>
      <c r="AD744" s="31"/>
      <c r="AE744" s="11"/>
      <c r="AF744" s="11"/>
    </row>
    <row r="745">
      <c r="A745" s="11" t="s">
        <v>756</v>
      </c>
      <c r="B745" s="39">
        <v>45399.714583333334</v>
      </c>
      <c r="C745" s="40">
        <v>45402.53333333333</v>
      </c>
      <c r="D745" s="27" t="s">
        <v>37</v>
      </c>
      <c r="E745" s="11" t="b">
        <v>0</v>
      </c>
      <c r="F745" s="11" t="s">
        <v>49</v>
      </c>
      <c r="G745" s="11" t="s">
        <v>759</v>
      </c>
      <c r="H745" s="11" t="s">
        <v>759</v>
      </c>
      <c r="I745" s="30">
        <v>5.0</v>
      </c>
      <c r="J745" s="31">
        <v>1.0</v>
      </c>
      <c r="K745" s="11">
        <v>1000.0</v>
      </c>
      <c r="L745" s="32">
        <f>(20000)/P745</f>
        <v>1.231527094</v>
      </c>
      <c r="M745" s="32">
        <f>(1000/5)/P745</f>
        <v>0.01231527094</v>
      </c>
      <c r="N745" s="32">
        <f>(2400/5)/P745</f>
        <v>0.02955665025</v>
      </c>
      <c r="O745" s="32">
        <v>0.0</v>
      </c>
      <c r="P745" s="33">
        <v>16240.0</v>
      </c>
      <c r="Q745" s="34">
        <v>1000.0</v>
      </c>
      <c r="R745" s="42">
        <v>1.2315270935960592</v>
      </c>
      <c r="S745" s="36">
        <v>0.012315270935960592</v>
      </c>
      <c r="T745" s="36">
        <v>0.029556650246305417</v>
      </c>
      <c r="U745" s="36"/>
      <c r="V745" s="36">
        <v>1.2142857142857144</v>
      </c>
      <c r="W745" s="37">
        <v>0.0012142857142857144</v>
      </c>
      <c r="X745" s="42">
        <v>20000.0</v>
      </c>
      <c r="Y745" s="36">
        <v>200.0</v>
      </c>
      <c r="Z745" s="36">
        <v>480.0</v>
      </c>
      <c r="AA745" s="36"/>
      <c r="AB745" s="36">
        <v>19720.000000000004</v>
      </c>
      <c r="AC745" s="37">
        <v>19.720000000000002</v>
      </c>
      <c r="AD745" s="31"/>
      <c r="AE745" s="11"/>
      <c r="AF745" s="11"/>
    </row>
    <row r="746">
      <c r="A746" s="11" t="s">
        <v>756</v>
      </c>
      <c r="B746" s="39">
        <v>43774.0</v>
      </c>
      <c r="C746" s="40">
        <v>43777.0</v>
      </c>
      <c r="D746" s="27" t="s">
        <v>66</v>
      </c>
      <c r="E746" s="11" t="b">
        <v>0</v>
      </c>
      <c r="F746" s="11" t="s">
        <v>38</v>
      </c>
      <c r="G746" s="61"/>
      <c r="H746" s="46" t="s">
        <v>47</v>
      </c>
      <c r="I746" s="33"/>
      <c r="J746" s="31">
        <v>1.0</v>
      </c>
      <c r="K746" s="11">
        <v>1000.0</v>
      </c>
      <c r="L746" s="32">
        <f>21000/P746</f>
        <v>2.1</v>
      </c>
      <c r="M746" s="32"/>
      <c r="N746" s="32"/>
      <c r="O746" s="32"/>
      <c r="P746" s="33">
        <v>10000.0</v>
      </c>
      <c r="Q746" s="34">
        <v>1000.0</v>
      </c>
      <c r="R746" s="42">
        <v>2.1</v>
      </c>
      <c r="S746" s="36"/>
      <c r="T746" s="36"/>
      <c r="U746" s="36"/>
      <c r="V746" s="36">
        <v>2.1</v>
      </c>
      <c r="W746" s="37">
        <v>0.0021000000000000003</v>
      </c>
      <c r="X746" s="42">
        <v>21000.0</v>
      </c>
      <c r="Y746" s="36"/>
      <c r="Z746" s="36"/>
      <c r="AA746" s="36"/>
      <c r="AB746" s="36">
        <v>21000.0</v>
      </c>
      <c r="AC746" s="37">
        <v>21.0</v>
      </c>
      <c r="AD746" s="31"/>
      <c r="AE746" s="11"/>
      <c r="AF746" s="11"/>
    </row>
    <row r="747">
      <c r="A747" s="11" t="s">
        <v>760</v>
      </c>
      <c r="B747" s="39">
        <v>45795.775</v>
      </c>
      <c r="C747" s="40">
        <v>45797.44027777778</v>
      </c>
      <c r="D747" s="27" t="s">
        <v>33</v>
      </c>
      <c r="E747" s="11" t="b">
        <v>0</v>
      </c>
      <c r="F747" s="11" t="s">
        <v>49</v>
      </c>
      <c r="G747" s="11" t="s">
        <v>757</v>
      </c>
      <c r="H747" s="11" t="s">
        <v>758</v>
      </c>
      <c r="I747" s="30">
        <v>5.0</v>
      </c>
      <c r="J747" s="31">
        <v>3.0</v>
      </c>
      <c r="K747" s="11">
        <v>1000.0</v>
      </c>
      <c r="L747" s="32">
        <f>(22150)/P747</f>
        <v>1.343482744</v>
      </c>
      <c r="M747" s="32">
        <f>(1000/15)/P747</f>
        <v>0.004043589899</v>
      </c>
      <c r="N747" s="32">
        <f>(X747*10%)/P747</f>
        <v>0.4030448232</v>
      </c>
      <c r="O747" s="32">
        <v>0.0</v>
      </c>
      <c r="P747" s="33">
        <v>16487.0</v>
      </c>
      <c r="Q747" s="34">
        <v>3000.0</v>
      </c>
      <c r="R747" s="42">
        <v>4.0304482319403165</v>
      </c>
      <c r="S747" s="36">
        <v>0.004043589899112432</v>
      </c>
      <c r="T747" s="36">
        <v>0.4030448231940317</v>
      </c>
      <c r="U747" s="36"/>
      <c r="V747" s="36">
        <v>3.631446998645397</v>
      </c>
      <c r="W747" s="37">
        <v>0.001210482332881799</v>
      </c>
      <c r="X747" s="42">
        <v>66450.0</v>
      </c>
      <c r="Y747" s="36">
        <v>66.66666666666667</v>
      </c>
      <c r="Z747" s="36">
        <v>6645.0</v>
      </c>
      <c r="AA747" s="36"/>
      <c r="AB747" s="36">
        <v>59871.66666666666</v>
      </c>
      <c r="AC747" s="37">
        <v>19.957222222222217</v>
      </c>
      <c r="AD747" s="31"/>
      <c r="AE747" s="11"/>
      <c r="AF747" s="11"/>
    </row>
    <row r="748">
      <c r="A748" s="11" t="s">
        <v>760</v>
      </c>
      <c r="B748" s="39">
        <v>45438.55694444444</v>
      </c>
      <c r="C748" s="40">
        <v>45443.805555555555</v>
      </c>
      <c r="D748" s="27" t="s">
        <v>37</v>
      </c>
      <c r="E748" s="11" t="b">
        <v>0</v>
      </c>
      <c r="F748" s="11" t="s">
        <v>49</v>
      </c>
      <c r="G748" s="11" t="s">
        <v>651</v>
      </c>
      <c r="H748" s="11" t="s">
        <v>673</v>
      </c>
      <c r="I748" s="30">
        <v>5.0</v>
      </c>
      <c r="J748" s="31">
        <v>200.0</v>
      </c>
      <c r="K748" s="11">
        <v>1.0</v>
      </c>
      <c r="L748" s="32">
        <f>(100)/P748</f>
        <v>0.006232471175</v>
      </c>
      <c r="M748" s="32">
        <f>(615)/P748</f>
        <v>0.03832969773</v>
      </c>
      <c r="N748" s="32">
        <v>0.0</v>
      </c>
      <c r="O748" s="32">
        <v>0.0</v>
      </c>
      <c r="P748" s="33">
        <v>16045.0</v>
      </c>
      <c r="Q748" s="34">
        <v>200.0</v>
      </c>
      <c r="R748" s="42">
        <v>1.2464942349641632</v>
      </c>
      <c r="S748" s="36">
        <v>0.03832969772514802</v>
      </c>
      <c r="T748" s="36"/>
      <c r="U748" s="36"/>
      <c r="V748" s="36">
        <v>1.2848239326893112</v>
      </c>
      <c r="W748" s="37">
        <v>0.006424119663446556</v>
      </c>
      <c r="X748" s="42">
        <v>20000.0</v>
      </c>
      <c r="Y748" s="36">
        <v>615.0</v>
      </c>
      <c r="Z748" s="36"/>
      <c r="AA748" s="36"/>
      <c r="AB748" s="36">
        <v>20614.999999999996</v>
      </c>
      <c r="AC748" s="37">
        <v>103.07499999999999</v>
      </c>
      <c r="AD748" s="31"/>
      <c r="AE748" s="11"/>
      <c r="AF748" s="11"/>
    </row>
    <row r="749">
      <c r="A749" s="11" t="s">
        <v>760</v>
      </c>
      <c r="B749" s="39">
        <v>45353.972916666666</v>
      </c>
      <c r="C749" s="40">
        <v>45356.67309027778</v>
      </c>
      <c r="D749" s="27" t="s">
        <v>37</v>
      </c>
      <c r="E749" s="11" t="b">
        <v>0</v>
      </c>
      <c r="F749" s="11" t="s">
        <v>49</v>
      </c>
      <c r="G749" s="11" t="s">
        <v>761</v>
      </c>
      <c r="H749" s="11" t="s">
        <v>761</v>
      </c>
      <c r="I749" s="30">
        <v>5.0</v>
      </c>
      <c r="J749" s="31">
        <v>2.0</v>
      </c>
      <c r="K749" s="11">
        <v>1000.0</v>
      </c>
      <c r="L749" s="32">
        <f>(20000)/P749</f>
        <v>1.27388535</v>
      </c>
      <c r="M749" s="32">
        <f>(1000)/P749</f>
        <v>0.06369426752</v>
      </c>
      <c r="N749" s="32">
        <v>0.0</v>
      </c>
      <c r="O749" s="32">
        <v>0.0</v>
      </c>
      <c r="P749" s="33">
        <v>15700.0</v>
      </c>
      <c r="Q749" s="34">
        <v>2000.0</v>
      </c>
      <c r="R749" s="42">
        <v>2.5477707006369426</v>
      </c>
      <c r="S749" s="36">
        <v>0.06369426751592357</v>
      </c>
      <c r="T749" s="36"/>
      <c r="U749" s="36"/>
      <c r="V749" s="36">
        <v>2.611464968152866</v>
      </c>
      <c r="W749" s="37">
        <v>0.001305732484076433</v>
      </c>
      <c r="X749" s="42">
        <v>40000.0</v>
      </c>
      <c r="Y749" s="36">
        <v>1000.0</v>
      </c>
      <c r="Z749" s="36"/>
      <c r="AA749" s="36"/>
      <c r="AB749" s="36">
        <v>41000.0</v>
      </c>
      <c r="AC749" s="37">
        <v>20.5</v>
      </c>
      <c r="AD749" s="31"/>
      <c r="AE749" s="11"/>
      <c r="AF749" s="11"/>
    </row>
    <row r="750">
      <c r="A750" s="11" t="s">
        <v>760</v>
      </c>
      <c r="B750" s="39">
        <v>43774.0</v>
      </c>
      <c r="C750" s="40">
        <v>43777.0</v>
      </c>
      <c r="D750" s="27" t="s">
        <v>66</v>
      </c>
      <c r="E750" s="11" t="b">
        <v>0</v>
      </c>
      <c r="F750" s="11" t="s">
        <v>38</v>
      </c>
      <c r="G750" s="61"/>
      <c r="H750" s="46" t="s">
        <v>47</v>
      </c>
      <c r="I750" s="33"/>
      <c r="J750" s="31">
        <v>1.0</v>
      </c>
      <c r="K750" s="11">
        <v>1000.0</v>
      </c>
      <c r="L750" s="32">
        <f>21000/P750</f>
        <v>2.1</v>
      </c>
      <c r="M750" s="32"/>
      <c r="N750" s="32"/>
      <c r="O750" s="32"/>
      <c r="P750" s="33">
        <v>10000.0</v>
      </c>
      <c r="Q750" s="34">
        <v>1000.0</v>
      </c>
      <c r="R750" s="42">
        <v>2.1</v>
      </c>
      <c r="S750" s="36"/>
      <c r="T750" s="36"/>
      <c r="U750" s="36"/>
      <c r="V750" s="36">
        <v>2.1</v>
      </c>
      <c r="W750" s="37">
        <v>0.0021000000000000003</v>
      </c>
      <c r="X750" s="42">
        <v>21000.0</v>
      </c>
      <c r="Y750" s="36"/>
      <c r="Z750" s="36"/>
      <c r="AA750" s="36"/>
      <c r="AB750" s="36">
        <v>21000.0</v>
      </c>
      <c r="AC750" s="37">
        <v>21.0</v>
      </c>
      <c r="AD750" s="31"/>
      <c r="AE750" s="11"/>
      <c r="AF750" s="11"/>
    </row>
    <row r="751">
      <c r="A751" s="11" t="s">
        <v>762</v>
      </c>
      <c r="B751" s="77">
        <v>45986.603472222225</v>
      </c>
      <c r="C751" s="40">
        <v>45988.43541666667</v>
      </c>
      <c r="D751" s="27" t="s">
        <v>37</v>
      </c>
      <c r="E751" s="11" t="b">
        <v>0</v>
      </c>
      <c r="F751" s="11" t="s">
        <v>38</v>
      </c>
      <c r="G751" s="11" t="s">
        <v>763</v>
      </c>
      <c r="H751" s="11" t="s">
        <v>764</v>
      </c>
      <c r="I751" s="30">
        <v>5.0</v>
      </c>
      <c r="J751" s="31">
        <v>1.0</v>
      </c>
      <c r="K751" s="11">
        <v>1000.0</v>
      </c>
      <c r="L751" s="32">
        <f t="shared" ref="L751:L754" si="209">(20000)/P751</f>
        <v>20000</v>
      </c>
      <c r="M751" s="32">
        <f t="shared" ref="M751:M752" si="210">(8000/5)/P751</f>
        <v>1600</v>
      </c>
      <c r="N751" s="32">
        <f t="shared" ref="N751:N752" si="211">((20000 + 800)/5)/P751</f>
        <v>4160</v>
      </c>
      <c r="O751" s="32">
        <v>0.0</v>
      </c>
      <c r="P751" s="33">
        <v>1.0</v>
      </c>
      <c r="Q751" s="34">
        <v>1000.0</v>
      </c>
      <c r="R751" s="42">
        <v>20000.0</v>
      </c>
      <c r="S751" s="36">
        <v>1600.0</v>
      </c>
      <c r="T751" s="36">
        <v>4160.0</v>
      </c>
      <c r="U751" s="36"/>
      <c r="V751" s="36">
        <v>17440.0</v>
      </c>
      <c r="W751" s="37">
        <v>17.44</v>
      </c>
      <c r="X751" s="42">
        <v>20000.0</v>
      </c>
      <c r="Y751" s="36">
        <v>1600.0</v>
      </c>
      <c r="Z751" s="36">
        <v>4160.0</v>
      </c>
      <c r="AA751" s="36"/>
      <c r="AB751" s="36">
        <v>17440.0</v>
      </c>
      <c r="AC751" s="37">
        <v>17.44</v>
      </c>
      <c r="AD751" s="31"/>
      <c r="AE751" s="11"/>
      <c r="AF751" s="11"/>
    </row>
    <row r="752">
      <c r="A752" s="11" t="s">
        <v>765</v>
      </c>
      <c r="B752" s="77">
        <v>45986.603472222225</v>
      </c>
      <c r="C752" s="40">
        <v>45988.43541666667</v>
      </c>
      <c r="D752" s="27" t="s">
        <v>37</v>
      </c>
      <c r="E752" s="11" t="b">
        <v>0</v>
      </c>
      <c r="F752" s="11" t="s">
        <v>38</v>
      </c>
      <c r="G752" s="11" t="s">
        <v>763</v>
      </c>
      <c r="H752" s="11" t="s">
        <v>764</v>
      </c>
      <c r="I752" s="30">
        <v>5.0</v>
      </c>
      <c r="J752" s="31">
        <v>1.0</v>
      </c>
      <c r="K752" s="11">
        <v>1000.0</v>
      </c>
      <c r="L752" s="32">
        <f t="shared" si="209"/>
        <v>20000</v>
      </c>
      <c r="M752" s="32">
        <f t="shared" si="210"/>
        <v>1600</v>
      </c>
      <c r="N752" s="32">
        <f t="shared" si="211"/>
        <v>4160</v>
      </c>
      <c r="O752" s="32">
        <v>0.0</v>
      </c>
      <c r="P752" s="33">
        <v>1.0</v>
      </c>
      <c r="Q752" s="34">
        <v>1000.0</v>
      </c>
      <c r="R752" s="42">
        <v>20000.0</v>
      </c>
      <c r="S752" s="36">
        <v>1600.0</v>
      </c>
      <c r="T752" s="36">
        <v>4160.0</v>
      </c>
      <c r="U752" s="36"/>
      <c r="V752" s="36">
        <v>17440.0</v>
      </c>
      <c r="W752" s="37">
        <v>17.44</v>
      </c>
      <c r="X752" s="42">
        <v>20000.0</v>
      </c>
      <c r="Y752" s="36">
        <v>1600.0</v>
      </c>
      <c r="Z752" s="36">
        <v>4160.0</v>
      </c>
      <c r="AA752" s="36"/>
      <c r="AB752" s="36">
        <v>17440.0</v>
      </c>
      <c r="AC752" s="37">
        <v>17.44</v>
      </c>
      <c r="AD752" s="31"/>
      <c r="AE752" s="11"/>
      <c r="AF752" s="11"/>
    </row>
    <row r="753">
      <c r="A753" s="11" t="s">
        <v>766</v>
      </c>
      <c r="B753" s="39">
        <v>45940.73888888889</v>
      </c>
      <c r="C753" s="40">
        <v>45943.47361111111</v>
      </c>
      <c r="D753" s="27" t="s">
        <v>37</v>
      </c>
      <c r="E753" s="11" t="b">
        <v>0</v>
      </c>
      <c r="F753" s="11" t="s">
        <v>38</v>
      </c>
      <c r="G753" s="11" t="s">
        <v>767</v>
      </c>
      <c r="H753" s="11" t="s">
        <v>768</v>
      </c>
      <c r="I753" s="30">
        <v>5.0</v>
      </c>
      <c r="J753" s="31">
        <v>1.0</v>
      </c>
      <c r="K753" s="11">
        <v>1000.0</v>
      </c>
      <c r="L753" s="32">
        <f t="shared" si="209"/>
        <v>1.206272618</v>
      </c>
      <c r="M753" s="32">
        <f t="shared" ref="M753:M754" si="212">(J753*(23600 + 1000)/8)/P753</f>
        <v>0.185464415</v>
      </c>
      <c r="N753" s="32">
        <f t="shared" ref="N753:N754" si="213">(J753*(48000 + 11881)/8)/P753</f>
        <v>0.4514550663</v>
      </c>
      <c r="O753" s="32">
        <v>0.0</v>
      </c>
      <c r="P753" s="33">
        <v>16580.0</v>
      </c>
      <c r="Q753" s="34">
        <v>1000.0</v>
      </c>
      <c r="R753" s="42">
        <v>1.2062726176115801</v>
      </c>
      <c r="S753" s="36">
        <v>0.18546441495778046</v>
      </c>
      <c r="T753" s="36">
        <v>0.451455066344994</v>
      </c>
      <c r="U753" s="36"/>
      <c r="V753" s="36">
        <v>0.9402819662243665</v>
      </c>
      <c r="W753" s="37">
        <v>9.402819662243665E-4</v>
      </c>
      <c r="X753" s="42">
        <v>20000.0</v>
      </c>
      <c r="Y753" s="36">
        <v>3075.0</v>
      </c>
      <c r="Z753" s="36">
        <v>7485.125</v>
      </c>
      <c r="AA753" s="36"/>
      <c r="AB753" s="36">
        <v>15589.874999999998</v>
      </c>
      <c r="AC753" s="37">
        <v>15.589874999999997</v>
      </c>
      <c r="AD753" s="31"/>
      <c r="AE753" s="11"/>
      <c r="AF753" s="11"/>
    </row>
    <row r="754">
      <c r="A754" s="11" t="s">
        <v>769</v>
      </c>
      <c r="B754" s="39">
        <v>45940.73888888889</v>
      </c>
      <c r="C754" s="40">
        <v>45943.47361111111</v>
      </c>
      <c r="D754" s="27" t="s">
        <v>37</v>
      </c>
      <c r="E754" s="11" t="b">
        <v>0</v>
      </c>
      <c r="F754" s="11" t="s">
        <v>38</v>
      </c>
      <c r="G754" s="11" t="s">
        <v>767</v>
      </c>
      <c r="H754" s="11" t="s">
        <v>768</v>
      </c>
      <c r="I754" s="30">
        <v>5.0</v>
      </c>
      <c r="J754" s="31">
        <v>1.0</v>
      </c>
      <c r="K754" s="11">
        <v>1000.0</v>
      </c>
      <c r="L754" s="32">
        <f t="shared" si="209"/>
        <v>1.206272618</v>
      </c>
      <c r="M754" s="32">
        <f t="shared" si="212"/>
        <v>0.185464415</v>
      </c>
      <c r="N754" s="32">
        <f t="shared" si="213"/>
        <v>0.4514550663</v>
      </c>
      <c r="O754" s="32">
        <v>0.0</v>
      </c>
      <c r="P754" s="33">
        <v>16580.0</v>
      </c>
      <c r="Q754" s="34">
        <v>1000.0</v>
      </c>
      <c r="R754" s="42">
        <v>1.2062726176115801</v>
      </c>
      <c r="S754" s="36">
        <v>0.18546441495778046</v>
      </c>
      <c r="T754" s="36">
        <v>0.451455066344994</v>
      </c>
      <c r="U754" s="36"/>
      <c r="V754" s="36">
        <v>0.9402819662243665</v>
      </c>
      <c r="W754" s="37">
        <v>9.402819662243665E-4</v>
      </c>
      <c r="X754" s="42">
        <v>20000.0</v>
      </c>
      <c r="Y754" s="36">
        <v>3075.0</v>
      </c>
      <c r="Z754" s="36">
        <v>7485.125</v>
      </c>
      <c r="AA754" s="36"/>
      <c r="AB754" s="36">
        <v>15589.874999999998</v>
      </c>
      <c r="AC754" s="37">
        <v>15.589874999999997</v>
      </c>
      <c r="AD754" s="31"/>
      <c r="AE754" s="11"/>
      <c r="AF754" s="11"/>
    </row>
    <row r="755">
      <c r="A755" s="11" t="s">
        <v>769</v>
      </c>
      <c r="B755" s="39">
        <v>45795.775</v>
      </c>
      <c r="C755" s="40">
        <v>45797.44027777778</v>
      </c>
      <c r="D755" s="27" t="s">
        <v>33</v>
      </c>
      <c r="E755" s="11" t="b">
        <v>0</v>
      </c>
      <c r="F755" s="11" t="s">
        <v>49</v>
      </c>
      <c r="G755" s="11" t="s">
        <v>757</v>
      </c>
      <c r="H755" s="11" t="s">
        <v>758</v>
      </c>
      <c r="I755" s="30">
        <v>5.0</v>
      </c>
      <c r="J755" s="31">
        <v>3.0</v>
      </c>
      <c r="K755" s="11">
        <v>1000.0</v>
      </c>
      <c r="L755" s="32">
        <f>(22150)/P755</f>
        <v>1.343482744</v>
      </c>
      <c r="M755" s="32">
        <f>(1000/15)/P755</f>
        <v>0.004043589899</v>
      </c>
      <c r="N755" s="32">
        <f>(X755*10%)/P755</f>
        <v>0.4030448232</v>
      </c>
      <c r="O755" s="32">
        <v>0.0</v>
      </c>
      <c r="P755" s="33">
        <v>16487.0</v>
      </c>
      <c r="Q755" s="34">
        <v>3000.0</v>
      </c>
      <c r="R755" s="42">
        <v>4.0304482319403165</v>
      </c>
      <c r="S755" s="36">
        <v>0.004043589899112432</v>
      </c>
      <c r="T755" s="36">
        <v>0.4030448231940317</v>
      </c>
      <c r="U755" s="36"/>
      <c r="V755" s="36">
        <v>3.631446998645397</v>
      </c>
      <c r="W755" s="37">
        <v>0.001210482332881799</v>
      </c>
      <c r="X755" s="42">
        <v>66450.0</v>
      </c>
      <c r="Y755" s="36">
        <v>66.66666666666667</v>
      </c>
      <c r="Z755" s="36">
        <v>6645.0</v>
      </c>
      <c r="AA755" s="36"/>
      <c r="AB755" s="36">
        <v>59871.66666666666</v>
      </c>
      <c r="AC755" s="37">
        <v>19.957222222222217</v>
      </c>
      <c r="AD755" s="31"/>
      <c r="AE755" s="11"/>
      <c r="AF755" s="11"/>
    </row>
    <row r="756">
      <c r="A756" s="11" t="s">
        <v>769</v>
      </c>
      <c r="B756" s="39">
        <v>45399.714583333334</v>
      </c>
      <c r="C756" s="40">
        <v>45402.53333333333</v>
      </c>
      <c r="D756" s="27" t="s">
        <v>37</v>
      </c>
      <c r="E756" s="11" t="b">
        <v>0</v>
      </c>
      <c r="F756" s="11" t="s">
        <v>49</v>
      </c>
      <c r="G756" s="11" t="s">
        <v>759</v>
      </c>
      <c r="H756" s="11" t="s">
        <v>759</v>
      </c>
      <c r="I756" s="30">
        <v>5.0</v>
      </c>
      <c r="J756" s="31">
        <v>1.0</v>
      </c>
      <c r="K756" s="11">
        <v>1000.0</v>
      </c>
      <c r="L756" s="32">
        <f>(20000)/P756</f>
        <v>1.231527094</v>
      </c>
      <c r="M756" s="32">
        <f>(1000/5)/P756</f>
        <v>0.01231527094</v>
      </c>
      <c r="N756" s="32">
        <f>(2400/5)/P756</f>
        <v>0.02955665025</v>
      </c>
      <c r="O756" s="32">
        <v>0.0</v>
      </c>
      <c r="P756" s="33">
        <v>16240.0</v>
      </c>
      <c r="Q756" s="34">
        <v>1000.0</v>
      </c>
      <c r="R756" s="42">
        <v>1.2315270935960592</v>
      </c>
      <c r="S756" s="36">
        <v>0.012315270935960592</v>
      </c>
      <c r="T756" s="36">
        <v>0.029556650246305417</v>
      </c>
      <c r="U756" s="36"/>
      <c r="V756" s="36">
        <v>1.2142857142857144</v>
      </c>
      <c r="W756" s="37">
        <v>0.0012142857142857144</v>
      </c>
      <c r="X756" s="42">
        <v>20000.0</v>
      </c>
      <c r="Y756" s="36">
        <v>200.0</v>
      </c>
      <c r="Z756" s="36">
        <v>480.0</v>
      </c>
      <c r="AA756" s="36"/>
      <c r="AB756" s="36">
        <v>19720.000000000004</v>
      </c>
      <c r="AC756" s="37">
        <v>19.720000000000002</v>
      </c>
      <c r="AD756" s="31"/>
      <c r="AE756" s="11"/>
      <c r="AF756" s="11"/>
    </row>
    <row r="757">
      <c r="A757" s="11" t="s">
        <v>769</v>
      </c>
      <c r="B757" s="39">
        <v>44039.0</v>
      </c>
      <c r="C757" s="40">
        <v>44041.0</v>
      </c>
      <c r="D757" s="27" t="s">
        <v>48</v>
      </c>
      <c r="E757" s="11" t="b">
        <v>0</v>
      </c>
      <c r="F757" s="11" t="s">
        <v>38</v>
      </c>
      <c r="G757" s="128" t="s">
        <v>770</v>
      </c>
      <c r="H757" s="46" t="s">
        <v>47</v>
      </c>
      <c r="I757" s="33">
        <v>5.0</v>
      </c>
      <c r="J757" s="31">
        <v>1.0</v>
      </c>
      <c r="K757" s="11">
        <v>1000.0</v>
      </c>
      <c r="L757" s="32">
        <f>20000/P757</f>
        <v>2</v>
      </c>
      <c r="M757" s="32"/>
      <c r="N757" s="32"/>
      <c r="O757" s="32"/>
      <c r="P757" s="33">
        <v>10000.0</v>
      </c>
      <c r="Q757" s="34">
        <v>1000.0</v>
      </c>
      <c r="R757" s="42">
        <v>2.0</v>
      </c>
      <c r="S757" s="36"/>
      <c r="T757" s="36"/>
      <c r="U757" s="36"/>
      <c r="V757" s="36">
        <v>2.0</v>
      </c>
      <c r="W757" s="37">
        <v>0.002</v>
      </c>
      <c r="X757" s="42">
        <v>20000.0</v>
      </c>
      <c r="Y757" s="36"/>
      <c r="Z757" s="36"/>
      <c r="AA757" s="36"/>
      <c r="AB757" s="36">
        <v>20000.0</v>
      </c>
      <c r="AC757" s="37">
        <v>20.0</v>
      </c>
      <c r="AD757" s="31"/>
      <c r="AE757" s="11"/>
      <c r="AF757" s="11"/>
    </row>
    <row r="758">
      <c r="A758" s="11" t="s">
        <v>771</v>
      </c>
      <c r="B758" s="39">
        <v>45795.775</v>
      </c>
      <c r="C758" s="40">
        <v>45797.44027777778</v>
      </c>
      <c r="D758" s="27" t="s">
        <v>33</v>
      </c>
      <c r="E758" s="11" t="b">
        <v>0</v>
      </c>
      <c r="F758" s="11" t="s">
        <v>49</v>
      </c>
      <c r="G758" s="11" t="s">
        <v>757</v>
      </c>
      <c r="H758" s="11" t="s">
        <v>758</v>
      </c>
      <c r="I758" s="30">
        <v>5.0</v>
      </c>
      <c r="J758" s="31">
        <v>3.0</v>
      </c>
      <c r="K758" s="11">
        <v>1000.0</v>
      </c>
      <c r="L758" s="32">
        <f>(22150)/P758</f>
        <v>1.343482744</v>
      </c>
      <c r="M758" s="32">
        <f>(1000/15)/P758</f>
        <v>0.004043589899</v>
      </c>
      <c r="N758" s="32">
        <f>(X758*10%)/P758</f>
        <v>0.4030448232</v>
      </c>
      <c r="O758" s="32">
        <v>0.0</v>
      </c>
      <c r="P758" s="33">
        <v>16487.0</v>
      </c>
      <c r="Q758" s="34">
        <v>3000.0</v>
      </c>
      <c r="R758" s="42">
        <v>4.0304482319403165</v>
      </c>
      <c r="S758" s="36">
        <v>0.004043589899112432</v>
      </c>
      <c r="T758" s="36">
        <v>0.4030448231940317</v>
      </c>
      <c r="U758" s="36"/>
      <c r="V758" s="36">
        <v>3.631446998645397</v>
      </c>
      <c r="W758" s="37">
        <v>0.001210482332881799</v>
      </c>
      <c r="X758" s="42">
        <v>66450.0</v>
      </c>
      <c r="Y758" s="36">
        <v>66.66666666666667</v>
      </c>
      <c r="Z758" s="36">
        <v>6645.0</v>
      </c>
      <c r="AA758" s="36"/>
      <c r="AB758" s="36">
        <v>59871.66666666666</v>
      </c>
      <c r="AC758" s="37">
        <v>19.957222222222217</v>
      </c>
      <c r="AD758" s="31"/>
      <c r="AE758" s="11"/>
      <c r="AF758" s="11"/>
    </row>
    <row r="759">
      <c r="A759" s="11" t="s">
        <v>771</v>
      </c>
      <c r="B759" s="39">
        <v>45399.714583333334</v>
      </c>
      <c r="C759" s="40">
        <v>45402.53333333333</v>
      </c>
      <c r="D759" s="27" t="s">
        <v>37</v>
      </c>
      <c r="E759" s="11" t="b">
        <v>0</v>
      </c>
      <c r="F759" s="11" t="s">
        <v>49</v>
      </c>
      <c r="G759" s="11" t="s">
        <v>759</v>
      </c>
      <c r="H759" s="11" t="s">
        <v>759</v>
      </c>
      <c r="I759" s="30">
        <v>5.0</v>
      </c>
      <c r="J759" s="31">
        <v>1.0</v>
      </c>
      <c r="K759" s="11">
        <v>1000.0</v>
      </c>
      <c r="L759" s="32">
        <f t="shared" ref="L759:L760" si="214">(20000)/P759</f>
        <v>1.231527094</v>
      </c>
      <c r="M759" s="32">
        <f>(1000/5)/P759</f>
        <v>0.01231527094</v>
      </c>
      <c r="N759" s="32">
        <f>(2400/5)/P759</f>
        <v>0.02955665025</v>
      </c>
      <c r="O759" s="32">
        <v>0.0</v>
      </c>
      <c r="P759" s="33">
        <v>16240.0</v>
      </c>
      <c r="Q759" s="34">
        <v>1000.0</v>
      </c>
      <c r="R759" s="42">
        <v>1.2315270935960592</v>
      </c>
      <c r="S759" s="36">
        <v>0.012315270935960592</v>
      </c>
      <c r="T759" s="36">
        <v>0.029556650246305417</v>
      </c>
      <c r="U759" s="36"/>
      <c r="V759" s="36">
        <v>1.2142857142857144</v>
      </c>
      <c r="W759" s="37">
        <v>0.0012142857142857144</v>
      </c>
      <c r="X759" s="42">
        <v>20000.0</v>
      </c>
      <c r="Y759" s="36">
        <v>200.0</v>
      </c>
      <c r="Z759" s="36">
        <v>480.0</v>
      </c>
      <c r="AA759" s="36"/>
      <c r="AB759" s="36">
        <v>19720.000000000004</v>
      </c>
      <c r="AC759" s="37">
        <v>19.720000000000002</v>
      </c>
      <c r="AD759" s="31"/>
      <c r="AE759" s="11"/>
      <c r="AF759" s="11"/>
    </row>
    <row r="760">
      <c r="A760" s="11" t="s">
        <v>772</v>
      </c>
      <c r="B760" s="77">
        <v>45986.603472222225</v>
      </c>
      <c r="C760" s="40">
        <v>45988.43541666667</v>
      </c>
      <c r="D760" s="27" t="s">
        <v>37</v>
      </c>
      <c r="E760" s="11" t="b">
        <v>0</v>
      </c>
      <c r="F760" s="11" t="s">
        <v>38</v>
      </c>
      <c r="G760" s="11" t="s">
        <v>763</v>
      </c>
      <c r="H760" s="11" t="s">
        <v>764</v>
      </c>
      <c r="I760" s="30">
        <v>5.0</v>
      </c>
      <c r="J760" s="31">
        <v>1.0</v>
      </c>
      <c r="K760" s="11">
        <v>1000.0</v>
      </c>
      <c r="L760" s="32">
        <f t="shared" si="214"/>
        <v>20000</v>
      </c>
      <c r="M760" s="32">
        <f>(8000/5)/P760</f>
        <v>1600</v>
      </c>
      <c r="N760" s="32">
        <f>((20000 + 800)/5)/P760</f>
        <v>4160</v>
      </c>
      <c r="O760" s="32">
        <v>0.0</v>
      </c>
      <c r="P760" s="33">
        <v>1.0</v>
      </c>
      <c r="Q760" s="34">
        <v>1000.0</v>
      </c>
      <c r="R760" s="42">
        <v>20000.0</v>
      </c>
      <c r="S760" s="36">
        <v>1600.0</v>
      </c>
      <c r="T760" s="36">
        <v>4160.0</v>
      </c>
      <c r="U760" s="36"/>
      <c r="V760" s="36">
        <v>17440.0</v>
      </c>
      <c r="W760" s="37">
        <v>17.44</v>
      </c>
      <c r="X760" s="42">
        <v>20000.0</v>
      </c>
      <c r="Y760" s="36">
        <v>1600.0</v>
      </c>
      <c r="Z760" s="36">
        <v>4160.0</v>
      </c>
      <c r="AA760" s="36"/>
      <c r="AB760" s="36">
        <v>17440.0</v>
      </c>
      <c r="AC760" s="37">
        <v>17.44</v>
      </c>
      <c r="AD760" s="31"/>
      <c r="AE760" s="11"/>
      <c r="AF760" s="11"/>
    </row>
    <row r="761">
      <c r="A761" s="11" t="s">
        <v>772</v>
      </c>
      <c r="B761" s="39">
        <v>45795.78125</v>
      </c>
      <c r="C761" s="40">
        <v>45798.552777777775</v>
      </c>
      <c r="D761" s="27" t="s">
        <v>33</v>
      </c>
      <c r="E761" s="11" t="b">
        <v>0</v>
      </c>
      <c r="F761" s="11" t="s">
        <v>49</v>
      </c>
      <c r="G761" s="11" t="s">
        <v>773</v>
      </c>
      <c r="H761" s="11" t="s">
        <v>774</v>
      </c>
      <c r="I761" s="30">
        <v>5.0</v>
      </c>
      <c r="J761" s="31">
        <v>2.0</v>
      </c>
      <c r="K761" s="11">
        <v>1000.0</v>
      </c>
      <c r="L761" s="32">
        <f>(22500)/P761</f>
        <v>1.364711591</v>
      </c>
      <c r="M761" s="32">
        <f>(1000)/2/P761</f>
        <v>0.03032692424</v>
      </c>
      <c r="N761" s="32">
        <f>(X761*2%)/P761</f>
        <v>0.05458846364</v>
      </c>
      <c r="O761" s="32">
        <v>0.0</v>
      </c>
      <c r="P761" s="33">
        <v>16487.0</v>
      </c>
      <c r="Q761" s="34">
        <v>2000.0</v>
      </c>
      <c r="R761" s="42">
        <v>2.7294231819008914</v>
      </c>
      <c r="S761" s="36">
        <v>0.03032692424334324</v>
      </c>
      <c r="T761" s="36">
        <v>0.05458846363801783</v>
      </c>
      <c r="U761" s="36"/>
      <c r="V761" s="36">
        <v>2.705161642506217</v>
      </c>
      <c r="W761" s="37">
        <v>0.0013525808212531084</v>
      </c>
      <c r="X761" s="42">
        <v>45000.0</v>
      </c>
      <c r="Y761" s="36">
        <v>500.0</v>
      </c>
      <c r="Z761" s="36">
        <v>900.0</v>
      </c>
      <c r="AA761" s="36"/>
      <c r="AB761" s="36">
        <v>44600.0</v>
      </c>
      <c r="AC761" s="37">
        <v>22.3</v>
      </c>
      <c r="AD761" s="31"/>
      <c r="AE761" s="11"/>
      <c r="AF761" s="11"/>
    </row>
    <row r="762">
      <c r="A762" s="11" t="s">
        <v>772</v>
      </c>
      <c r="B762" s="39">
        <v>45421.20486111111</v>
      </c>
      <c r="C762" s="40">
        <v>45423.62569444445</v>
      </c>
      <c r="D762" s="27" t="s">
        <v>37</v>
      </c>
      <c r="E762" s="11" t="b">
        <v>0</v>
      </c>
      <c r="F762" s="11" t="s">
        <v>49</v>
      </c>
      <c r="G762" s="11" t="s">
        <v>775</v>
      </c>
      <c r="H762" s="11" t="s">
        <v>776</v>
      </c>
      <c r="I762" s="30">
        <v>5.0</v>
      </c>
      <c r="J762" s="31">
        <v>1.0</v>
      </c>
      <c r="K762" s="11">
        <v>1000.0</v>
      </c>
      <c r="L762" s="32">
        <f>(21500)/P762</f>
        <v>1.337563768</v>
      </c>
      <c r="M762" s="32">
        <f>(1000/5)/P762</f>
        <v>0.01244245365</v>
      </c>
      <c r="N762" s="32">
        <v>0.0</v>
      </c>
      <c r="O762" s="32">
        <v>0.0</v>
      </c>
      <c r="P762" s="33">
        <v>16074.0</v>
      </c>
      <c r="Q762" s="34">
        <v>1000.0</v>
      </c>
      <c r="R762" s="42">
        <v>1.3375637675749659</v>
      </c>
      <c r="S762" s="36">
        <v>0.012442453651860147</v>
      </c>
      <c r="T762" s="36"/>
      <c r="U762" s="36"/>
      <c r="V762" s="36">
        <v>1.350006221226826</v>
      </c>
      <c r="W762" s="37">
        <v>0.001350006221226826</v>
      </c>
      <c r="X762" s="42">
        <v>21500.0</v>
      </c>
      <c r="Y762" s="36">
        <v>200.0</v>
      </c>
      <c r="Z762" s="36"/>
      <c r="AA762" s="36"/>
      <c r="AB762" s="36">
        <v>21700.0</v>
      </c>
      <c r="AC762" s="37">
        <v>21.7</v>
      </c>
      <c r="AD762" s="31"/>
      <c r="AE762" s="11"/>
      <c r="AF762" s="11"/>
    </row>
    <row r="763">
      <c r="A763" s="11" t="s">
        <v>772</v>
      </c>
      <c r="B763" s="39">
        <v>44042.0</v>
      </c>
      <c r="C763" s="40">
        <v>44045.0</v>
      </c>
      <c r="D763" s="27" t="s">
        <v>48</v>
      </c>
      <c r="E763" s="11" t="b">
        <v>0</v>
      </c>
      <c r="F763" s="11" t="s">
        <v>38</v>
      </c>
      <c r="G763" s="128" t="s">
        <v>777</v>
      </c>
      <c r="H763" s="46" t="s">
        <v>47</v>
      </c>
      <c r="I763" s="33">
        <v>5.0</v>
      </c>
      <c r="J763" s="31">
        <v>1.0</v>
      </c>
      <c r="K763" s="11">
        <v>1000.0</v>
      </c>
      <c r="L763" s="32">
        <f>20000/P763</f>
        <v>2</v>
      </c>
      <c r="M763" s="32"/>
      <c r="N763" s="32"/>
      <c r="O763" s="32"/>
      <c r="P763" s="33">
        <v>10000.0</v>
      </c>
      <c r="Q763" s="34">
        <v>1000.0</v>
      </c>
      <c r="R763" s="42">
        <v>2.0</v>
      </c>
      <c r="S763" s="36"/>
      <c r="T763" s="36"/>
      <c r="U763" s="36"/>
      <c r="V763" s="36">
        <v>2.0</v>
      </c>
      <c r="W763" s="37">
        <v>0.002</v>
      </c>
      <c r="X763" s="42">
        <v>20000.0</v>
      </c>
      <c r="Y763" s="36"/>
      <c r="Z763" s="36"/>
      <c r="AA763" s="36"/>
      <c r="AB763" s="36">
        <v>20000.0</v>
      </c>
      <c r="AC763" s="37">
        <v>20.0</v>
      </c>
      <c r="AD763" s="31"/>
      <c r="AE763" s="11"/>
      <c r="AF763" s="11"/>
    </row>
    <row r="764">
      <c r="A764" s="11" t="s">
        <v>778</v>
      </c>
      <c r="B764" s="77">
        <v>45986.603472222225</v>
      </c>
      <c r="C764" s="40">
        <v>45988.43541666667</v>
      </c>
      <c r="D764" s="27" t="s">
        <v>37</v>
      </c>
      <c r="E764" s="11" t="b">
        <v>0</v>
      </c>
      <c r="F764" s="11" t="s">
        <v>38</v>
      </c>
      <c r="G764" s="11" t="s">
        <v>763</v>
      </c>
      <c r="H764" s="11" t="s">
        <v>764</v>
      </c>
      <c r="I764" s="30">
        <v>5.0</v>
      </c>
      <c r="J764" s="31">
        <v>1.0</v>
      </c>
      <c r="K764" s="11">
        <v>1000.0</v>
      </c>
      <c r="L764" s="32">
        <f>(20000)/P764</f>
        <v>20000</v>
      </c>
      <c r="M764" s="32">
        <f>(8000/5)/P764</f>
        <v>1600</v>
      </c>
      <c r="N764" s="32">
        <f>((20000 + 800)/5)/P764</f>
        <v>4160</v>
      </c>
      <c r="O764" s="32">
        <v>0.0</v>
      </c>
      <c r="P764" s="33">
        <v>1.0</v>
      </c>
      <c r="Q764" s="34">
        <v>1000.0</v>
      </c>
      <c r="R764" s="42">
        <v>20000.0</v>
      </c>
      <c r="S764" s="36">
        <v>1600.0</v>
      </c>
      <c r="T764" s="36">
        <v>4160.0</v>
      </c>
      <c r="U764" s="36"/>
      <c r="V764" s="36">
        <v>17440.0</v>
      </c>
      <c r="W764" s="37">
        <v>17.44</v>
      </c>
      <c r="X764" s="42">
        <v>20000.0</v>
      </c>
      <c r="Y764" s="36">
        <v>1600.0</v>
      </c>
      <c r="Z764" s="36">
        <v>4160.0</v>
      </c>
      <c r="AA764" s="36"/>
      <c r="AB764" s="36">
        <v>17440.0</v>
      </c>
      <c r="AC764" s="37">
        <v>17.44</v>
      </c>
      <c r="AD764" s="31"/>
      <c r="AE764" s="11"/>
      <c r="AF764" s="11"/>
    </row>
    <row r="765">
      <c r="A765" s="11" t="s">
        <v>779</v>
      </c>
      <c r="B765" s="39">
        <v>45705.48402777778</v>
      </c>
      <c r="C765" s="40">
        <v>45708.68402777778</v>
      </c>
      <c r="D765" s="27" t="s">
        <v>37</v>
      </c>
      <c r="E765" s="11" t="b">
        <v>0</v>
      </c>
      <c r="F765" s="11" t="s">
        <v>49</v>
      </c>
      <c r="G765" s="135" t="s">
        <v>780</v>
      </c>
      <c r="H765" s="11" t="s">
        <v>781</v>
      </c>
      <c r="I765" s="30">
        <v>5.0</v>
      </c>
      <c r="J765" s="31">
        <v>5.0</v>
      </c>
      <c r="K765" s="11">
        <v>1000.0</v>
      </c>
      <c r="L765" s="32">
        <f>(23000)/P765</f>
        <v>1.417390768</v>
      </c>
      <c r="M765" s="32">
        <f>(51/2)/P765</f>
        <v>0.001571454982</v>
      </c>
      <c r="N765" s="32">
        <f>(18400/2)/P765</f>
        <v>0.5669563074</v>
      </c>
      <c r="O765" s="32">
        <v>0.0</v>
      </c>
      <c r="P765" s="33">
        <v>16227.0</v>
      </c>
      <c r="Q765" s="34">
        <v>5000.0</v>
      </c>
      <c r="R765" s="42">
        <v>7.086953842361496</v>
      </c>
      <c r="S765" s="36">
        <v>0.0015714549824366797</v>
      </c>
      <c r="T765" s="36">
        <v>0.5669563073889197</v>
      </c>
      <c r="U765" s="36"/>
      <c r="V765" s="36">
        <v>6.521568989955013</v>
      </c>
      <c r="W765" s="37">
        <v>0.0013043137979910026</v>
      </c>
      <c r="X765" s="42">
        <v>115000.0</v>
      </c>
      <c r="Y765" s="36">
        <v>25.5</v>
      </c>
      <c r="Z765" s="36">
        <v>9200.0</v>
      </c>
      <c r="AA765" s="36"/>
      <c r="AB765" s="36">
        <v>105825.5</v>
      </c>
      <c r="AC765" s="37">
        <v>21.1651</v>
      </c>
      <c r="AD765" s="31"/>
      <c r="AE765" s="11"/>
      <c r="AF765" s="11"/>
    </row>
    <row r="766">
      <c r="A766" s="11" t="s">
        <v>782</v>
      </c>
      <c r="B766" s="39">
        <v>45940.73888888889</v>
      </c>
      <c r="C766" s="40">
        <v>45943.47361111111</v>
      </c>
      <c r="D766" s="27" t="s">
        <v>37</v>
      </c>
      <c r="E766" s="11" t="b">
        <v>0</v>
      </c>
      <c r="F766" s="11" t="s">
        <v>38</v>
      </c>
      <c r="G766" s="11" t="s">
        <v>767</v>
      </c>
      <c r="H766" s="11" t="s">
        <v>768</v>
      </c>
      <c r="I766" s="30">
        <v>5.0</v>
      </c>
      <c r="J766" s="31">
        <v>1.0</v>
      </c>
      <c r="K766" s="11">
        <v>1000.0</v>
      </c>
      <c r="L766" s="32">
        <f>(20000)/P766</f>
        <v>1.206272618</v>
      </c>
      <c r="M766" s="32">
        <f>(J766*(23600 + 1000)/8)/P766</f>
        <v>0.185464415</v>
      </c>
      <c r="N766" s="32">
        <f>(J766*(48000 + 11881)/8)/P766</f>
        <v>0.4514550663</v>
      </c>
      <c r="O766" s="32">
        <v>0.0</v>
      </c>
      <c r="P766" s="33">
        <v>16580.0</v>
      </c>
      <c r="Q766" s="34">
        <v>1000.0</v>
      </c>
      <c r="R766" s="42">
        <v>1.2062726176115801</v>
      </c>
      <c r="S766" s="36">
        <v>0.18546441495778046</v>
      </c>
      <c r="T766" s="36">
        <v>0.451455066344994</v>
      </c>
      <c r="U766" s="36"/>
      <c r="V766" s="36">
        <v>0.9402819662243665</v>
      </c>
      <c r="W766" s="37">
        <v>9.402819662243665E-4</v>
      </c>
      <c r="X766" s="42">
        <v>20000.0</v>
      </c>
      <c r="Y766" s="36">
        <v>3075.0</v>
      </c>
      <c r="Z766" s="36">
        <v>7485.125</v>
      </c>
      <c r="AA766" s="36"/>
      <c r="AB766" s="36">
        <v>15589.874999999998</v>
      </c>
      <c r="AC766" s="37">
        <v>15.589874999999997</v>
      </c>
      <c r="AD766" s="31"/>
      <c r="AE766" s="11"/>
      <c r="AF766" s="11"/>
    </row>
    <row r="767">
      <c r="A767" s="11" t="s">
        <v>782</v>
      </c>
      <c r="B767" s="39">
        <v>45795.775</v>
      </c>
      <c r="C767" s="40">
        <v>45797.44027777778</v>
      </c>
      <c r="D767" s="27" t="s">
        <v>33</v>
      </c>
      <c r="E767" s="11" t="b">
        <v>0</v>
      </c>
      <c r="F767" s="11" t="s">
        <v>49</v>
      </c>
      <c r="G767" s="11" t="s">
        <v>757</v>
      </c>
      <c r="H767" s="11" t="s">
        <v>758</v>
      </c>
      <c r="I767" s="30">
        <v>5.0</v>
      </c>
      <c r="J767" s="31">
        <v>3.0</v>
      </c>
      <c r="K767" s="11">
        <v>1000.0</v>
      </c>
      <c r="L767" s="32">
        <f>(22150)/P767</f>
        <v>1.343482744</v>
      </c>
      <c r="M767" s="32">
        <f>(1000/15)/P767</f>
        <v>0.004043589899</v>
      </c>
      <c r="N767" s="32">
        <f>(X767*10%)/P767</f>
        <v>0.4030448232</v>
      </c>
      <c r="O767" s="32">
        <v>0.0</v>
      </c>
      <c r="P767" s="33">
        <v>16487.0</v>
      </c>
      <c r="Q767" s="34">
        <v>3000.0</v>
      </c>
      <c r="R767" s="42">
        <v>4.0304482319403165</v>
      </c>
      <c r="S767" s="36">
        <v>0.004043589899112432</v>
      </c>
      <c r="T767" s="36">
        <v>0.4030448231940317</v>
      </c>
      <c r="U767" s="36"/>
      <c r="V767" s="36">
        <v>3.631446998645397</v>
      </c>
      <c r="W767" s="37">
        <v>0.001210482332881799</v>
      </c>
      <c r="X767" s="42">
        <v>66450.0</v>
      </c>
      <c r="Y767" s="36">
        <v>66.66666666666667</v>
      </c>
      <c r="Z767" s="36">
        <v>6645.0</v>
      </c>
      <c r="AA767" s="36"/>
      <c r="AB767" s="36">
        <v>59871.66666666666</v>
      </c>
      <c r="AC767" s="37">
        <v>19.957222222222217</v>
      </c>
      <c r="AD767" s="31"/>
      <c r="AE767" s="11"/>
      <c r="AF767" s="11"/>
    </row>
    <row r="768">
      <c r="A768" s="11" t="s">
        <v>782</v>
      </c>
      <c r="B768" s="39">
        <v>45399.714583333334</v>
      </c>
      <c r="C768" s="40">
        <v>45402.53333333333</v>
      </c>
      <c r="D768" s="27" t="s">
        <v>37</v>
      </c>
      <c r="E768" s="11" t="b">
        <v>0</v>
      </c>
      <c r="F768" s="11" t="s">
        <v>49</v>
      </c>
      <c r="G768" s="11" t="s">
        <v>759</v>
      </c>
      <c r="H768" s="11" t="s">
        <v>759</v>
      </c>
      <c r="I768" s="30">
        <v>5.0</v>
      </c>
      <c r="J768" s="31">
        <v>1.0</v>
      </c>
      <c r="K768" s="11">
        <v>1000.0</v>
      </c>
      <c r="L768" s="32">
        <f>(20000)/P768</f>
        <v>1.231527094</v>
      </c>
      <c r="M768" s="32">
        <f>(1000/5)/P768</f>
        <v>0.01231527094</v>
      </c>
      <c r="N768" s="32">
        <f>(2400/5)/P768</f>
        <v>0.02955665025</v>
      </c>
      <c r="O768" s="32">
        <v>0.0</v>
      </c>
      <c r="P768" s="33">
        <v>16240.0</v>
      </c>
      <c r="Q768" s="34">
        <v>1000.0</v>
      </c>
      <c r="R768" s="42">
        <v>1.2315270935960592</v>
      </c>
      <c r="S768" s="36">
        <v>0.012315270935960592</v>
      </c>
      <c r="T768" s="36">
        <v>0.029556650246305417</v>
      </c>
      <c r="U768" s="36"/>
      <c r="V768" s="36">
        <v>1.2142857142857144</v>
      </c>
      <c r="W768" s="37">
        <v>0.0012142857142857144</v>
      </c>
      <c r="X768" s="42">
        <v>20000.0</v>
      </c>
      <c r="Y768" s="36">
        <v>200.0</v>
      </c>
      <c r="Z768" s="36">
        <v>480.0</v>
      </c>
      <c r="AA768" s="36"/>
      <c r="AB768" s="36">
        <v>19720.000000000004</v>
      </c>
      <c r="AC768" s="37">
        <v>19.720000000000002</v>
      </c>
      <c r="AD768" s="31"/>
      <c r="AE768" s="11"/>
      <c r="AF768" s="11"/>
    </row>
    <row r="769">
      <c r="A769" s="11" t="s">
        <v>782</v>
      </c>
      <c r="B769" s="39">
        <v>44032.0</v>
      </c>
      <c r="C769" s="40">
        <v>44039.0</v>
      </c>
      <c r="D769" s="27" t="s">
        <v>48</v>
      </c>
      <c r="E769" s="11" t="b">
        <v>0</v>
      </c>
      <c r="F769" s="11" t="s">
        <v>38</v>
      </c>
      <c r="G769" s="128" t="s">
        <v>783</v>
      </c>
      <c r="H769" s="46" t="s">
        <v>47</v>
      </c>
      <c r="I769" s="33">
        <v>5.0</v>
      </c>
      <c r="J769" s="31">
        <v>3.0</v>
      </c>
      <c r="K769" s="11">
        <v>1000.0</v>
      </c>
      <c r="L769" s="32">
        <f t="shared" ref="L769:L770" si="215">21000/P769</f>
        <v>2.1</v>
      </c>
      <c r="M769" s="32">
        <f>J769*8600/6/P769</f>
        <v>0.43</v>
      </c>
      <c r="N769" s="32"/>
      <c r="O769" s="32"/>
      <c r="P769" s="33">
        <v>10000.0</v>
      </c>
      <c r="Q769" s="34">
        <v>3000.0</v>
      </c>
      <c r="R769" s="42">
        <v>6.300000000000001</v>
      </c>
      <c r="S769" s="36">
        <v>0.43</v>
      </c>
      <c r="T769" s="36"/>
      <c r="U769" s="36"/>
      <c r="V769" s="36">
        <v>6.73</v>
      </c>
      <c r="W769" s="37">
        <v>0.0022433333333333333</v>
      </c>
      <c r="X769" s="42">
        <v>63000.00000000001</v>
      </c>
      <c r="Y769" s="36">
        <v>4300.0</v>
      </c>
      <c r="Z769" s="36"/>
      <c r="AA769" s="36"/>
      <c r="AB769" s="36">
        <v>67300.0</v>
      </c>
      <c r="AC769" s="37">
        <v>22.433333333333334</v>
      </c>
      <c r="AD769" s="31"/>
      <c r="AE769" s="11"/>
      <c r="AF769" s="11"/>
    </row>
    <row r="770">
      <c r="A770" s="11" t="s">
        <v>782</v>
      </c>
      <c r="B770" s="39">
        <v>43774.0</v>
      </c>
      <c r="C770" s="40">
        <v>43777.0</v>
      </c>
      <c r="D770" s="27" t="s">
        <v>66</v>
      </c>
      <c r="E770" s="11" t="b">
        <v>0</v>
      </c>
      <c r="F770" s="11" t="s">
        <v>38</v>
      </c>
      <c r="G770" s="61"/>
      <c r="H770" s="46" t="s">
        <v>47</v>
      </c>
      <c r="I770" s="33"/>
      <c r="J770" s="31">
        <v>1.0</v>
      </c>
      <c r="K770" s="11">
        <v>1000.0</v>
      </c>
      <c r="L770" s="32">
        <f t="shared" si="215"/>
        <v>2.1</v>
      </c>
      <c r="M770" s="32"/>
      <c r="N770" s="32"/>
      <c r="O770" s="32"/>
      <c r="P770" s="33">
        <v>10000.0</v>
      </c>
      <c r="Q770" s="34">
        <v>1000.0</v>
      </c>
      <c r="R770" s="42">
        <v>2.1</v>
      </c>
      <c r="S770" s="36"/>
      <c r="T770" s="36"/>
      <c r="U770" s="36"/>
      <c r="V770" s="36">
        <v>2.1</v>
      </c>
      <c r="W770" s="37">
        <v>0.0021000000000000003</v>
      </c>
      <c r="X770" s="42">
        <v>21000.0</v>
      </c>
      <c r="Y770" s="36"/>
      <c r="Z770" s="36"/>
      <c r="AA770" s="36"/>
      <c r="AB770" s="36">
        <v>21000.0</v>
      </c>
      <c r="AC770" s="37">
        <v>21.0</v>
      </c>
      <c r="AD770" s="31"/>
      <c r="AE770" s="11"/>
      <c r="AF770" s="11"/>
    </row>
    <row r="771">
      <c r="A771" s="11" t="s">
        <v>784</v>
      </c>
      <c r="B771" s="39">
        <v>45705.48402777778</v>
      </c>
      <c r="C771" s="40">
        <v>45708.68402777778</v>
      </c>
      <c r="D771" s="27" t="s">
        <v>37</v>
      </c>
      <c r="E771" s="11" t="b">
        <v>0</v>
      </c>
      <c r="F771" s="11" t="s">
        <v>49</v>
      </c>
      <c r="G771" s="135" t="s">
        <v>780</v>
      </c>
      <c r="H771" s="11" t="s">
        <v>781</v>
      </c>
      <c r="I771" s="30">
        <v>5.0</v>
      </c>
      <c r="J771" s="31">
        <v>5.0</v>
      </c>
      <c r="K771" s="11">
        <v>1000.0</v>
      </c>
      <c r="L771" s="32">
        <f>(23000)/P771</f>
        <v>1.417390768</v>
      </c>
      <c r="M771" s="32">
        <f>(51/2)/P771</f>
        <v>0.001571454982</v>
      </c>
      <c r="N771" s="32">
        <f>(18400/2)/P771</f>
        <v>0.5669563074</v>
      </c>
      <c r="O771" s="32">
        <v>0.0</v>
      </c>
      <c r="P771" s="33">
        <v>16227.0</v>
      </c>
      <c r="Q771" s="34">
        <v>5000.0</v>
      </c>
      <c r="R771" s="42">
        <v>7.086953842361496</v>
      </c>
      <c r="S771" s="36">
        <v>0.0015714549824366797</v>
      </c>
      <c r="T771" s="36">
        <v>0.5669563073889197</v>
      </c>
      <c r="U771" s="36"/>
      <c r="V771" s="36">
        <v>6.521568989955013</v>
      </c>
      <c r="W771" s="37">
        <v>0.0013043137979910026</v>
      </c>
      <c r="X771" s="42">
        <v>115000.0</v>
      </c>
      <c r="Y771" s="36">
        <v>25.5</v>
      </c>
      <c r="Z771" s="36">
        <v>9200.0</v>
      </c>
      <c r="AA771" s="36"/>
      <c r="AB771" s="36">
        <v>105825.5</v>
      </c>
      <c r="AC771" s="37">
        <v>21.1651</v>
      </c>
      <c r="AD771" s="31"/>
      <c r="AE771" s="11"/>
      <c r="AF771" s="11"/>
    </row>
    <row r="772">
      <c r="A772" s="11" t="s">
        <v>785</v>
      </c>
      <c r="B772" s="39">
        <v>45940.73888888889</v>
      </c>
      <c r="C772" s="40">
        <v>45943.47361111111</v>
      </c>
      <c r="D772" s="27" t="s">
        <v>37</v>
      </c>
      <c r="E772" s="11" t="b">
        <v>0</v>
      </c>
      <c r="F772" s="11" t="s">
        <v>38</v>
      </c>
      <c r="G772" s="11" t="s">
        <v>767</v>
      </c>
      <c r="H772" s="11" t="s">
        <v>768</v>
      </c>
      <c r="I772" s="30">
        <v>5.0</v>
      </c>
      <c r="J772" s="31">
        <v>1.0</v>
      </c>
      <c r="K772" s="11">
        <v>1000.0</v>
      </c>
      <c r="L772" s="32">
        <f>(20000)/P772</f>
        <v>1.206272618</v>
      </c>
      <c r="M772" s="32">
        <f>(J772*(23600 + 1000)/8)/P772</f>
        <v>0.185464415</v>
      </c>
      <c r="N772" s="32">
        <f>(J772*(48000 + 11881)/8)/P772</f>
        <v>0.4514550663</v>
      </c>
      <c r="O772" s="32">
        <v>0.0</v>
      </c>
      <c r="P772" s="33">
        <v>16580.0</v>
      </c>
      <c r="Q772" s="34">
        <v>1000.0</v>
      </c>
      <c r="R772" s="42">
        <v>1.2062726176115801</v>
      </c>
      <c r="S772" s="36">
        <v>0.18546441495778046</v>
      </c>
      <c r="T772" s="36">
        <v>0.451455066344994</v>
      </c>
      <c r="U772" s="36"/>
      <c r="V772" s="36">
        <v>0.9402819662243665</v>
      </c>
      <c r="W772" s="37">
        <v>9.402819662243665E-4</v>
      </c>
      <c r="X772" s="42">
        <v>20000.0</v>
      </c>
      <c r="Y772" s="36">
        <v>3075.0</v>
      </c>
      <c r="Z772" s="36">
        <v>7485.125</v>
      </c>
      <c r="AA772" s="36"/>
      <c r="AB772" s="36">
        <v>15589.874999999998</v>
      </c>
      <c r="AC772" s="37">
        <v>15.589874999999997</v>
      </c>
      <c r="AD772" s="31"/>
      <c r="AE772" s="11"/>
      <c r="AF772" s="11"/>
    </row>
    <row r="773">
      <c r="A773" s="11" t="s">
        <v>785</v>
      </c>
      <c r="B773" s="39">
        <v>45795.775</v>
      </c>
      <c r="C773" s="40">
        <v>45797.44027777778</v>
      </c>
      <c r="D773" s="27" t="s">
        <v>33</v>
      </c>
      <c r="E773" s="11" t="b">
        <v>0</v>
      </c>
      <c r="F773" s="11" t="s">
        <v>49</v>
      </c>
      <c r="G773" s="11" t="s">
        <v>757</v>
      </c>
      <c r="H773" s="11" t="s">
        <v>758</v>
      </c>
      <c r="I773" s="30">
        <v>5.0</v>
      </c>
      <c r="J773" s="31">
        <v>3.0</v>
      </c>
      <c r="K773" s="11">
        <v>1000.0</v>
      </c>
      <c r="L773" s="32">
        <f t="shared" ref="L773:L774" si="216">(22150)/P773</f>
        <v>1.343482744</v>
      </c>
      <c r="M773" s="32">
        <f t="shared" ref="M773:M774" si="217">(1000/15)/P773</f>
        <v>0.004043589899</v>
      </c>
      <c r="N773" s="32">
        <f t="shared" ref="N773:N774" si="218">(X773*10%)/P773</f>
        <v>0.4030448232</v>
      </c>
      <c r="O773" s="32">
        <v>0.0</v>
      </c>
      <c r="P773" s="33">
        <v>16487.0</v>
      </c>
      <c r="Q773" s="34">
        <v>3000.0</v>
      </c>
      <c r="R773" s="42">
        <v>4.0304482319403165</v>
      </c>
      <c r="S773" s="36">
        <v>0.004043589899112432</v>
      </c>
      <c r="T773" s="36">
        <v>0.4030448231940317</v>
      </c>
      <c r="U773" s="36"/>
      <c r="V773" s="36">
        <v>3.631446998645397</v>
      </c>
      <c r="W773" s="37">
        <v>0.001210482332881799</v>
      </c>
      <c r="X773" s="42">
        <v>66450.0</v>
      </c>
      <c r="Y773" s="36">
        <v>66.66666666666667</v>
      </c>
      <c r="Z773" s="36">
        <v>6645.0</v>
      </c>
      <c r="AA773" s="36"/>
      <c r="AB773" s="36">
        <v>59871.66666666666</v>
      </c>
      <c r="AC773" s="37">
        <v>19.957222222222217</v>
      </c>
      <c r="AD773" s="31"/>
      <c r="AE773" s="11"/>
      <c r="AF773" s="11"/>
    </row>
    <row r="774">
      <c r="A774" s="11" t="s">
        <v>786</v>
      </c>
      <c r="B774" s="39">
        <v>45795.775</v>
      </c>
      <c r="C774" s="40">
        <v>45797.44027777778</v>
      </c>
      <c r="D774" s="27" t="s">
        <v>33</v>
      </c>
      <c r="E774" s="11" t="b">
        <v>0</v>
      </c>
      <c r="F774" s="11" t="s">
        <v>49</v>
      </c>
      <c r="G774" s="11" t="s">
        <v>757</v>
      </c>
      <c r="H774" s="11" t="s">
        <v>758</v>
      </c>
      <c r="I774" s="30">
        <v>5.0</v>
      </c>
      <c r="J774" s="31">
        <v>3.0</v>
      </c>
      <c r="K774" s="11">
        <v>1000.0</v>
      </c>
      <c r="L774" s="32">
        <f t="shared" si="216"/>
        <v>1.343482744</v>
      </c>
      <c r="M774" s="32">
        <f t="shared" si="217"/>
        <v>0.004043589899</v>
      </c>
      <c r="N774" s="32">
        <f t="shared" si="218"/>
        <v>0.4030448232</v>
      </c>
      <c r="O774" s="32">
        <v>0.0</v>
      </c>
      <c r="P774" s="33">
        <v>16487.0</v>
      </c>
      <c r="Q774" s="34">
        <v>3000.0</v>
      </c>
      <c r="R774" s="42">
        <v>4.0304482319403165</v>
      </c>
      <c r="S774" s="36">
        <v>0.004043589899112432</v>
      </c>
      <c r="T774" s="36">
        <v>0.4030448231940317</v>
      </c>
      <c r="U774" s="36"/>
      <c r="V774" s="36">
        <v>3.631446998645397</v>
      </c>
      <c r="W774" s="37">
        <v>0.001210482332881799</v>
      </c>
      <c r="X774" s="42">
        <v>66450.0</v>
      </c>
      <c r="Y774" s="36">
        <v>66.66666666666667</v>
      </c>
      <c r="Z774" s="36">
        <v>6645.0</v>
      </c>
      <c r="AA774" s="36"/>
      <c r="AB774" s="36">
        <v>59871.66666666666</v>
      </c>
      <c r="AC774" s="37">
        <v>19.957222222222217</v>
      </c>
      <c r="AD774" s="31"/>
      <c r="AE774" s="11"/>
      <c r="AF774" s="11"/>
    </row>
    <row r="775">
      <c r="A775" s="11" t="s">
        <v>786</v>
      </c>
      <c r="B775" s="39">
        <v>45421.20486111111</v>
      </c>
      <c r="C775" s="40">
        <v>45423.62569444445</v>
      </c>
      <c r="D775" s="27" t="s">
        <v>37</v>
      </c>
      <c r="E775" s="11" t="b">
        <v>0</v>
      </c>
      <c r="F775" s="11" t="s">
        <v>49</v>
      </c>
      <c r="G775" s="11" t="s">
        <v>775</v>
      </c>
      <c r="H775" s="11" t="s">
        <v>776</v>
      </c>
      <c r="I775" s="30">
        <v>5.0</v>
      </c>
      <c r="J775" s="31">
        <v>1.0</v>
      </c>
      <c r="K775" s="11">
        <v>1000.0</v>
      </c>
      <c r="L775" s="32">
        <f>(21500)/P775</f>
        <v>1.337563768</v>
      </c>
      <c r="M775" s="32">
        <f>(1000/5)/P775</f>
        <v>0.01244245365</v>
      </c>
      <c r="N775" s="32">
        <v>0.0</v>
      </c>
      <c r="O775" s="32">
        <v>0.0</v>
      </c>
      <c r="P775" s="33">
        <v>16074.0</v>
      </c>
      <c r="Q775" s="34">
        <v>1000.0</v>
      </c>
      <c r="R775" s="42">
        <v>1.3375637675749659</v>
      </c>
      <c r="S775" s="36">
        <v>0.012442453651860147</v>
      </c>
      <c r="T775" s="36"/>
      <c r="U775" s="36"/>
      <c r="V775" s="36">
        <v>1.350006221226826</v>
      </c>
      <c r="W775" s="37">
        <v>0.001350006221226826</v>
      </c>
      <c r="X775" s="42">
        <v>21500.0</v>
      </c>
      <c r="Y775" s="36">
        <v>200.0</v>
      </c>
      <c r="Z775" s="36"/>
      <c r="AA775" s="36"/>
      <c r="AB775" s="36">
        <v>21700.0</v>
      </c>
      <c r="AC775" s="37">
        <v>21.7</v>
      </c>
      <c r="AD775" s="31"/>
      <c r="AE775" s="11"/>
      <c r="AF775" s="11"/>
    </row>
    <row r="776">
      <c r="A776" s="11" t="s">
        <v>786</v>
      </c>
      <c r="B776" s="39">
        <v>44042.0</v>
      </c>
      <c r="C776" s="40">
        <v>44045.0</v>
      </c>
      <c r="D776" s="27" t="s">
        <v>48</v>
      </c>
      <c r="E776" s="11" t="b">
        <v>0</v>
      </c>
      <c r="F776" s="11" t="s">
        <v>38</v>
      </c>
      <c r="G776" s="128" t="s">
        <v>787</v>
      </c>
      <c r="H776" s="46" t="s">
        <v>47</v>
      </c>
      <c r="I776" s="33">
        <v>5.0</v>
      </c>
      <c r="J776" s="31">
        <v>1.0</v>
      </c>
      <c r="K776" s="11">
        <v>1000.0</v>
      </c>
      <c r="L776" s="32">
        <f>20000/P776</f>
        <v>2</v>
      </c>
      <c r="M776" s="32"/>
      <c r="N776" s="32"/>
      <c r="O776" s="32"/>
      <c r="P776" s="33">
        <v>10000.0</v>
      </c>
      <c r="Q776" s="34">
        <v>1000.0</v>
      </c>
      <c r="R776" s="42">
        <v>2.0</v>
      </c>
      <c r="S776" s="36"/>
      <c r="T776" s="36"/>
      <c r="U776" s="36"/>
      <c r="V776" s="36">
        <v>2.0</v>
      </c>
      <c r="W776" s="37">
        <v>0.002</v>
      </c>
      <c r="X776" s="42">
        <v>20000.0</v>
      </c>
      <c r="Y776" s="36"/>
      <c r="Z776" s="36"/>
      <c r="AA776" s="36"/>
      <c r="AB776" s="36">
        <v>20000.0</v>
      </c>
      <c r="AC776" s="37">
        <v>20.0</v>
      </c>
      <c r="AD776" s="31"/>
      <c r="AE776" s="11"/>
      <c r="AF776" s="11"/>
    </row>
    <row r="777">
      <c r="A777" s="11" t="s">
        <v>788</v>
      </c>
      <c r="B777" s="77">
        <v>45986.603472222225</v>
      </c>
      <c r="C777" s="40">
        <v>45987.64513888889</v>
      </c>
      <c r="D777" s="27" t="s">
        <v>33</v>
      </c>
      <c r="E777" s="11" t="b">
        <v>0</v>
      </c>
      <c r="F777" s="11" t="s">
        <v>38</v>
      </c>
      <c r="G777" s="11" t="s">
        <v>767</v>
      </c>
      <c r="H777" s="11" t="s">
        <v>789</v>
      </c>
      <c r="I777" s="30">
        <v>5.0</v>
      </c>
      <c r="J777" s="31">
        <v>1.0</v>
      </c>
      <c r="K777" s="11">
        <v>1000.0</v>
      </c>
      <c r="L777" s="32">
        <f>(19900)/P777</f>
        <v>19900</v>
      </c>
      <c r="M777" s="32">
        <f>(7500/4)/P777</f>
        <v>1875</v>
      </c>
      <c r="N777" s="32">
        <f>((15940 + 638)/4)/P777</f>
        <v>4144.5</v>
      </c>
      <c r="O777" s="32">
        <v>0.0</v>
      </c>
      <c r="P777" s="33">
        <v>1.0</v>
      </c>
      <c r="Q777" s="34">
        <v>1000.0</v>
      </c>
      <c r="R777" s="42">
        <v>19900.0</v>
      </c>
      <c r="S777" s="36">
        <v>1875.0</v>
      </c>
      <c r="T777" s="36">
        <v>4144.5</v>
      </c>
      <c r="U777" s="36"/>
      <c r="V777" s="36">
        <v>17630.5</v>
      </c>
      <c r="W777" s="37">
        <v>17.6305</v>
      </c>
      <c r="X777" s="42">
        <v>19900.0</v>
      </c>
      <c r="Y777" s="36">
        <v>1875.0</v>
      </c>
      <c r="Z777" s="36">
        <v>4144.5</v>
      </c>
      <c r="AA777" s="36"/>
      <c r="AB777" s="36">
        <v>17630.5</v>
      </c>
      <c r="AC777" s="37">
        <v>17.6305</v>
      </c>
      <c r="AD777" s="31"/>
      <c r="AE777" s="11"/>
      <c r="AF777" s="11"/>
    </row>
    <row r="778">
      <c r="A778" s="11" t="s">
        <v>788</v>
      </c>
      <c r="B778" s="39">
        <v>45795.775</v>
      </c>
      <c r="C778" s="40">
        <v>45797.44027777778</v>
      </c>
      <c r="D778" s="27" t="s">
        <v>33</v>
      </c>
      <c r="E778" s="11" t="b">
        <v>0</v>
      </c>
      <c r="F778" s="11" t="s">
        <v>49</v>
      </c>
      <c r="G778" s="11" t="s">
        <v>757</v>
      </c>
      <c r="H778" s="11" t="s">
        <v>758</v>
      </c>
      <c r="I778" s="30">
        <v>5.0</v>
      </c>
      <c r="J778" s="31">
        <v>3.0</v>
      </c>
      <c r="K778" s="11">
        <v>1000.0</v>
      </c>
      <c r="L778" s="32">
        <f>(22150)/P778</f>
        <v>1.343482744</v>
      </c>
      <c r="M778" s="32">
        <f>(1000/15)/P778</f>
        <v>0.004043589899</v>
      </c>
      <c r="N778" s="32">
        <f>(X778*10%)/P778</f>
        <v>0.4030448232</v>
      </c>
      <c r="O778" s="32">
        <v>0.0</v>
      </c>
      <c r="P778" s="33">
        <v>16487.0</v>
      </c>
      <c r="Q778" s="34">
        <v>3000.0</v>
      </c>
      <c r="R778" s="42">
        <v>4.0304482319403165</v>
      </c>
      <c r="S778" s="36">
        <v>0.004043589899112432</v>
      </c>
      <c r="T778" s="36">
        <v>0.4030448231940317</v>
      </c>
      <c r="U778" s="36"/>
      <c r="V778" s="36">
        <v>3.631446998645397</v>
      </c>
      <c r="W778" s="37">
        <v>0.001210482332881799</v>
      </c>
      <c r="X778" s="42">
        <v>66450.0</v>
      </c>
      <c r="Y778" s="36">
        <v>66.66666666666667</v>
      </c>
      <c r="Z778" s="36">
        <v>6645.0</v>
      </c>
      <c r="AA778" s="36"/>
      <c r="AB778" s="36">
        <v>59871.66666666666</v>
      </c>
      <c r="AC778" s="37">
        <v>19.957222222222217</v>
      </c>
      <c r="AD778" s="31"/>
      <c r="AE778" s="11"/>
      <c r="AF778" s="11"/>
    </row>
    <row r="779">
      <c r="A779" s="11" t="s">
        <v>788</v>
      </c>
      <c r="B779" s="39">
        <v>45421.20486111111</v>
      </c>
      <c r="C779" s="40">
        <v>45423.62569444445</v>
      </c>
      <c r="D779" s="27" t="s">
        <v>37</v>
      </c>
      <c r="E779" s="11" t="b">
        <v>0</v>
      </c>
      <c r="F779" s="11" t="s">
        <v>49</v>
      </c>
      <c r="G779" s="11" t="s">
        <v>775</v>
      </c>
      <c r="H779" s="11" t="s">
        <v>776</v>
      </c>
      <c r="I779" s="30">
        <v>5.0</v>
      </c>
      <c r="J779" s="31">
        <v>1.0</v>
      </c>
      <c r="K779" s="11">
        <v>1000.0</v>
      </c>
      <c r="L779" s="32">
        <f>(21500)/P779</f>
        <v>1.337563768</v>
      </c>
      <c r="M779" s="32">
        <f>(1000/5)/P779</f>
        <v>0.01244245365</v>
      </c>
      <c r="N779" s="32">
        <v>0.0</v>
      </c>
      <c r="O779" s="32">
        <v>0.0</v>
      </c>
      <c r="P779" s="33">
        <v>16074.0</v>
      </c>
      <c r="Q779" s="34">
        <v>1000.0</v>
      </c>
      <c r="R779" s="42">
        <v>1.3375637675749659</v>
      </c>
      <c r="S779" s="36">
        <v>0.012442453651860147</v>
      </c>
      <c r="T779" s="36"/>
      <c r="U779" s="36"/>
      <c r="V779" s="36">
        <v>1.350006221226826</v>
      </c>
      <c r="W779" s="37">
        <v>0.001350006221226826</v>
      </c>
      <c r="X779" s="42">
        <v>21500.0</v>
      </c>
      <c r="Y779" s="36">
        <v>200.0</v>
      </c>
      <c r="Z779" s="36"/>
      <c r="AA779" s="36"/>
      <c r="AB779" s="36">
        <v>21700.0</v>
      </c>
      <c r="AC779" s="37">
        <v>21.7</v>
      </c>
      <c r="AD779" s="31"/>
      <c r="AE779" s="11"/>
      <c r="AF779" s="11"/>
    </row>
    <row r="780">
      <c r="A780" s="11" t="s">
        <v>788</v>
      </c>
      <c r="B780" s="39">
        <v>43774.0</v>
      </c>
      <c r="C780" s="40">
        <v>43777.0</v>
      </c>
      <c r="D780" s="27" t="s">
        <v>66</v>
      </c>
      <c r="E780" s="11" t="b">
        <v>0</v>
      </c>
      <c r="F780" s="11" t="s">
        <v>38</v>
      </c>
      <c r="G780" s="61"/>
      <c r="H780" s="46" t="s">
        <v>47</v>
      </c>
      <c r="I780" s="33"/>
      <c r="J780" s="31">
        <v>1.0</v>
      </c>
      <c r="K780" s="11">
        <v>1000.0</v>
      </c>
      <c r="L780" s="32">
        <f>21000/P780</f>
        <v>2.1</v>
      </c>
      <c r="M780" s="32"/>
      <c r="N780" s="32"/>
      <c r="O780" s="32"/>
      <c r="P780" s="33">
        <v>10000.0</v>
      </c>
      <c r="Q780" s="34">
        <v>1000.0</v>
      </c>
      <c r="R780" s="42">
        <v>2.1</v>
      </c>
      <c r="S780" s="36"/>
      <c r="T780" s="36"/>
      <c r="U780" s="36"/>
      <c r="V780" s="36">
        <v>2.1</v>
      </c>
      <c r="W780" s="37">
        <v>0.0021000000000000003</v>
      </c>
      <c r="X780" s="42">
        <v>21000.0</v>
      </c>
      <c r="Y780" s="36"/>
      <c r="Z780" s="36"/>
      <c r="AA780" s="36"/>
      <c r="AB780" s="36">
        <v>21000.0</v>
      </c>
      <c r="AC780" s="37">
        <v>21.0</v>
      </c>
      <c r="AD780" s="31"/>
      <c r="AE780" s="11"/>
      <c r="AF780" s="11"/>
    </row>
    <row r="781">
      <c r="A781" s="11" t="s">
        <v>790</v>
      </c>
      <c r="B781" s="39">
        <v>45940.73888888889</v>
      </c>
      <c r="C781" s="40">
        <v>45943.47361111111</v>
      </c>
      <c r="D781" s="27" t="s">
        <v>37</v>
      </c>
      <c r="E781" s="11" t="b">
        <v>0</v>
      </c>
      <c r="F781" s="11" t="s">
        <v>38</v>
      </c>
      <c r="G781" s="11" t="s">
        <v>767</v>
      </c>
      <c r="H781" s="11" t="s">
        <v>768</v>
      </c>
      <c r="I781" s="30">
        <v>5.0</v>
      </c>
      <c r="J781" s="31">
        <v>2.0</v>
      </c>
      <c r="K781" s="11">
        <v>1000.0</v>
      </c>
      <c r="L781" s="32">
        <f>(20000)/P781</f>
        <v>1.206272618</v>
      </c>
      <c r="M781" s="32">
        <f>(J781*(23600 + 1000)/8)/P781</f>
        <v>0.3709288299</v>
      </c>
      <c r="N781" s="32">
        <f>(J781*(48000 + 11881)/8)/P781</f>
        <v>0.9029101327</v>
      </c>
      <c r="O781" s="32">
        <v>0.0</v>
      </c>
      <c r="P781" s="33">
        <v>16580.0</v>
      </c>
      <c r="Q781" s="34">
        <v>2000.0</v>
      </c>
      <c r="R781" s="42">
        <v>2.4125452352231602</v>
      </c>
      <c r="S781" s="36">
        <v>0.3709288299155609</v>
      </c>
      <c r="T781" s="36">
        <v>0.902910132689988</v>
      </c>
      <c r="U781" s="36"/>
      <c r="V781" s="36">
        <v>1.880563932448733</v>
      </c>
      <c r="W781" s="37">
        <v>9.402819662243665E-4</v>
      </c>
      <c r="X781" s="42">
        <v>40000.0</v>
      </c>
      <c r="Y781" s="36">
        <v>6150.0</v>
      </c>
      <c r="Z781" s="36">
        <v>14970.25</v>
      </c>
      <c r="AA781" s="36"/>
      <c r="AB781" s="36">
        <v>31179.749999999996</v>
      </c>
      <c r="AC781" s="37">
        <v>15.589874999999997</v>
      </c>
      <c r="AD781" s="31"/>
      <c r="AE781" s="11"/>
      <c r="AF781" s="11"/>
    </row>
    <row r="782">
      <c r="A782" s="11" t="s">
        <v>790</v>
      </c>
      <c r="B782" s="39">
        <v>45795.775</v>
      </c>
      <c r="C782" s="40">
        <v>45797.44027777778</v>
      </c>
      <c r="D782" s="27" t="s">
        <v>33</v>
      </c>
      <c r="E782" s="11" t="b">
        <v>0</v>
      </c>
      <c r="F782" s="11" t="s">
        <v>49</v>
      </c>
      <c r="G782" s="11" t="s">
        <v>757</v>
      </c>
      <c r="H782" s="11" t="s">
        <v>758</v>
      </c>
      <c r="I782" s="30">
        <v>5.0</v>
      </c>
      <c r="J782" s="31">
        <v>3.0</v>
      </c>
      <c r="K782" s="11">
        <v>1000.0</v>
      </c>
      <c r="L782" s="32">
        <f>(22150)/P782</f>
        <v>1.343482744</v>
      </c>
      <c r="M782" s="32">
        <f>(1000/15)/P782</f>
        <v>0.004043589899</v>
      </c>
      <c r="N782" s="32">
        <f>(X782*10%)/P782</f>
        <v>0.4030448232</v>
      </c>
      <c r="O782" s="32">
        <v>0.0</v>
      </c>
      <c r="P782" s="33">
        <v>16487.0</v>
      </c>
      <c r="Q782" s="34">
        <v>3000.0</v>
      </c>
      <c r="R782" s="42">
        <v>4.0304482319403165</v>
      </c>
      <c r="S782" s="36">
        <v>0.004043589899112432</v>
      </c>
      <c r="T782" s="36">
        <v>0.4030448231940317</v>
      </c>
      <c r="U782" s="36"/>
      <c r="V782" s="36">
        <v>3.631446998645397</v>
      </c>
      <c r="W782" s="37">
        <v>0.001210482332881799</v>
      </c>
      <c r="X782" s="42">
        <v>66450.0</v>
      </c>
      <c r="Y782" s="36">
        <v>66.66666666666667</v>
      </c>
      <c r="Z782" s="36">
        <v>6645.0</v>
      </c>
      <c r="AA782" s="36"/>
      <c r="AB782" s="36">
        <v>59871.66666666666</v>
      </c>
      <c r="AC782" s="37">
        <v>19.957222222222217</v>
      </c>
      <c r="AD782" s="31"/>
      <c r="AE782" s="11"/>
      <c r="AF782" s="11"/>
    </row>
    <row r="783">
      <c r="A783" s="11" t="s">
        <v>791</v>
      </c>
      <c r="B783" s="39">
        <v>45795.78125</v>
      </c>
      <c r="C783" s="40">
        <v>45798.552777777775</v>
      </c>
      <c r="D783" s="27" t="s">
        <v>33</v>
      </c>
      <c r="E783" s="11" t="b">
        <v>0</v>
      </c>
      <c r="F783" s="11" t="s">
        <v>49</v>
      </c>
      <c r="G783" s="11" t="s">
        <v>773</v>
      </c>
      <c r="H783" s="11" t="s">
        <v>774</v>
      </c>
      <c r="I783" s="30">
        <v>5.0</v>
      </c>
      <c r="J783" s="31">
        <v>3.0</v>
      </c>
      <c r="K783" s="11">
        <v>1000.0</v>
      </c>
      <c r="L783" s="32">
        <f t="shared" ref="L783:L784" si="219">(22000)/P783</f>
        <v>1.334384667</v>
      </c>
      <c r="M783" s="32">
        <f>(1000)/2/P783</f>
        <v>0.03032692424</v>
      </c>
      <c r="N783" s="32">
        <f>(X783*2%)/P783</f>
        <v>0.08006308</v>
      </c>
      <c r="O783" s="32">
        <v>0.0</v>
      </c>
      <c r="P783" s="33">
        <v>16487.0</v>
      </c>
      <c r="Q783" s="34">
        <v>3000.0</v>
      </c>
      <c r="R783" s="42">
        <v>4.003154000121308</v>
      </c>
      <c r="S783" s="36">
        <v>0.03032692424334324</v>
      </c>
      <c r="T783" s="36">
        <v>0.08006308000242615</v>
      </c>
      <c r="U783" s="36"/>
      <c r="V783" s="36">
        <v>3.9534178443622245</v>
      </c>
      <c r="W783" s="37">
        <v>0.0013178059481207414</v>
      </c>
      <c r="X783" s="42">
        <v>66000.0</v>
      </c>
      <c r="Y783" s="36">
        <v>500.0</v>
      </c>
      <c r="Z783" s="36">
        <v>1320.0</v>
      </c>
      <c r="AA783" s="36"/>
      <c r="AB783" s="36">
        <v>65179.99999999999</v>
      </c>
      <c r="AC783" s="37">
        <v>21.726666666666663</v>
      </c>
      <c r="AD783" s="31"/>
      <c r="AE783" s="11"/>
      <c r="AF783" s="11"/>
    </row>
    <row r="784">
      <c r="A784" s="11" t="s">
        <v>791</v>
      </c>
      <c r="B784" s="39">
        <v>45677.77013888889</v>
      </c>
      <c r="C784" s="40">
        <v>45680.40277777778</v>
      </c>
      <c r="D784" s="27" t="s">
        <v>37</v>
      </c>
      <c r="E784" s="11" t="b">
        <v>0</v>
      </c>
      <c r="F784" s="11" t="s">
        <v>49</v>
      </c>
      <c r="G784" s="11" t="s">
        <v>773</v>
      </c>
      <c r="H784" s="11" t="s">
        <v>792</v>
      </c>
      <c r="I784" s="30">
        <v>5.0</v>
      </c>
      <c r="J784" s="31">
        <v>2.0</v>
      </c>
      <c r="K784" s="11">
        <v>1000.0</v>
      </c>
      <c r="L784" s="32">
        <f t="shared" si="219"/>
        <v>1.342281879</v>
      </c>
      <c r="M784" s="32">
        <f>(1290)/P784</f>
        <v>0.07870652837</v>
      </c>
      <c r="N784" s="32">
        <f>(15000)/P784</f>
        <v>0.9151921904</v>
      </c>
      <c r="O784" s="32">
        <v>0.0</v>
      </c>
      <c r="P784" s="33">
        <v>16390.0</v>
      </c>
      <c r="Q784" s="34">
        <v>2000.0</v>
      </c>
      <c r="R784" s="42">
        <v>2.684563758389262</v>
      </c>
      <c r="S784" s="36">
        <v>0.0787065283709579</v>
      </c>
      <c r="T784" s="36">
        <v>0.9151921903599756</v>
      </c>
      <c r="U784" s="36"/>
      <c r="V784" s="36">
        <v>1.8480780964002443</v>
      </c>
      <c r="W784" s="37">
        <v>9.240390482001222E-4</v>
      </c>
      <c r="X784" s="42">
        <v>44000.0</v>
      </c>
      <c r="Y784" s="36">
        <v>1290.0</v>
      </c>
      <c r="Z784" s="36">
        <v>15000.0</v>
      </c>
      <c r="AA784" s="36"/>
      <c r="AB784" s="36">
        <v>30290.000000000004</v>
      </c>
      <c r="AC784" s="37">
        <v>15.145000000000001</v>
      </c>
      <c r="AD784" s="31"/>
      <c r="AE784" s="11"/>
      <c r="AF784" s="11"/>
    </row>
    <row r="785">
      <c r="A785" s="11" t="s">
        <v>791</v>
      </c>
      <c r="B785" s="39">
        <v>45381.200694444444</v>
      </c>
      <c r="C785" s="40">
        <v>45384.56769976852</v>
      </c>
      <c r="D785" s="27" t="s">
        <v>37</v>
      </c>
      <c r="E785" s="11" t="b">
        <v>0</v>
      </c>
      <c r="F785" s="11" t="s">
        <v>49</v>
      </c>
      <c r="G785" s="11" t="s">
        <v>793</v>
      </c>
      <c r="H785" s="11" t="s">
        <v>793</v>
      </c>
      <c r="I785" s="30">
        <v>5.0</v>
      </c>
      <c r="J785" s="31">
        <v>1.0</v>
      </c>
      <c r="K785" s="11">
        <v>1000.0</v>
      </c>
      <c r="L785" s="32">
        <f t="shared" ref="L785:L786" si="220">(21500)/P785</f>
        <v>1.353904282</v>
      </c>
      <c r="M785" s="32">
        <f>(1000/4)/P785</f>
        <v>0.01574307305</v>
      </c>
      <c r="N785" s="32">
        <v>0.0</v>
      </c>
      <c r="O785" s="32">
        <v>0.0</v>
      </c>
      <c r="P785" s="33">
        <v>15880.0</v>
      </c>
      <c r="Q785" s="34">
        <v>1000.0</v>
      </c>
      <c r="R785" s="42">
        <v>1.353904282115869</v>
      </c>
      <c r="S785" s="36">
        <v>0.015743073047858942</v>
      </c>
      <c r="T785" s="36"/>
      <c r="U785" s="36"/>
      <c r="V785" s="36">
        <v>1.369647355163728</v>
      </c>
      <c r="W785" s="37">
        <v>0.001369647355163728</v>
      </c>
      <c r="X785" s="42">
        <v>21500.0</v>
      </c>
      <c r="Y785" s="36">
        <v>250.0</v>
      </c>
      <c r="Z785" s="36"/>
      <c r="AA785" s="36"/>
      <c r="AB785" s="36">
        <v>21750.0</v>
      </c>
      <c r="AC785" s="37">
        <v>21.75</v>
      </c>
      <c r="AD785" s="31"/>
      <c r="AE785" s="11"/>
      <c r="AF785" s="11"/>
    </row>
    <row r="786">
      <c r="A786" s="11" t="s">
        <v>791</v>
      </c>
      <c r="B786" s="39">
        <v>45348.45058377315</v>
      </c>
      <c r="C786" s="40">
        <v>45350.52265856482</v>
      </c>
      <c r="D786" s="27" t="s">
        <v>37</v>
      </c>
      <c r="E786" s="11" t="b">
        <v>0</v>
      </c>
      <c r="F786" s="11" t="s">
        <v>49</v>
      </c>
      <c r="G786" s="11" t="s">
        <v>89</v>
      </c>
      <c r="H786" s="11" t="s">
        <v>89</v>
      </c>
      <c r="I786" s="30">
        <v>5.0</v>
      </c>
      <c r="J786" s="31">
        <v>2.0</v>
      </c>
      <c r="K786" s="11">
        <v>1000.0</v>
      </c>
      <c r="L786" s="32">
        <f t="shared" si="220"/>
        <v>1.374944043</v>
      </c>
      <c r="M786" s="32">
        <f>(1000)/2/P786</f>
        <v>0.03197544286</v>
      </c>
      <c r="N786" s="32">
        <v>0.0</v>
      </c>
      <c r="O786" s="32">
        <v>0.0</v>
      </c>
      <c r="P786" s="33">
        <v>15637.0</v>
      </c>
      <c r="Q786" s="34">
        <v>2000.0</v>
      </c>
      <c r="R786" s="42">
        <v>2.7498880859499906</v>
      </c>
      <c r="S786" s="36">
        <v>0.03197544285988361</v>
      </c>
      <c r="T786" s="36"/>
      <c r="U786" s="36"/>
      <c r="V786" s="36">
        <v>2.781863528809874</v>
      </c>
      <c r="W786" s="37">
        <v>0.0013909317644049371</v>
      </c>
      <c r="X786" s="42">
        <v>43000.0</v>
      </c>
      <c r="Y786" s="36">
        <v>500.0</v>
      </c>
      <c r="Z786" s="36"/>
      <c r="AA786" s="36"/>
      <c r="AB786" s="36">
        <v>43500.0</v>
      </c>
      <c r="AC786" s="37">
        <v>21.75</v>
      </c>
      <c r="AD786" s="31"/>
      <c r="AE786" s="11"/>
      <c r="AF786" s="11"/>
    </row>
    <row r="787">
      <c r="A787" s="11" t="s">
        <v>791</v>
      </c>
      <c r="B787" s="39">
        <v>45083.0</v>
      </c>
      <c r="C787" s="40">
        <v>45087.0</v>
      </c>
      <c r="D787" s="27" t="s">
        <v>33</v>
      </c>
      <c r="E787" s="11" t="b">
        <v>0</v>
      </c>
      <c r="F787" s="11" t="s">
        <v>38</v>
      </c>
      <c r="G787" s="61"/>
      <c r="H787" s="46" t="s">
        <v>159</v>
      </c>
      <c r="I787" s="30">
        <v>5.0</v>
      </c>
      <c r="J787" s="31">
        <v>1.0</v>
      </c>
      <c r="K787" s="11">
        <v>1000.0</v>
      </c>
      <c r="L787" s="32">
        <f t="shared" ref="L787:L788" si="221">(25000)/P787</f>
        <v>1.678979181</v>
      </c>
      <c r="M787" s="32">
        <f t="shared" ref="M787:M788" si="222">((2000)/3)/P787</f>
        <v>0.04477277815</v>
      </c>
      <c r="N787" s="32">
        <v>0.0</v>
      </c>
      <c r="O787" s="32">
        <v>0.0</v>
      </c>
      <c r="P787" s="33">
        <v>14890.0</v>
      </c>
      <c r="Q787" s="34">
        <v>1000.0</v>
      </c>
      <c r="R787" s="42">
        <v>1.6789791806581598</v>
      </c>
      <c r="S787" s="36">
        <v>0.04477277815088426</v>
      </c>
      <c r="T787" s="36"/>
      <c r="U787" s="36"/>
      <c r="V787" s="36">
        <v>1.723751958809044</v>
      </c>
      <c r="W787" s="37">
        <v>0.001723751958809044</v>
      </c>
      <c r="X787" s="42">
        <v>25000.0</v>
      </c>
      <c r="Y787" s="36">
        <v>666.6666666666666</v>
      </c>
      <c r="Z787" s="36"/>
      <c r="AA787" s="36"/>
      <c r="AB787" s="36">
        <v>25666.666666666664</v>
      </c>
      <c r="AC787" s="37">
        <v>25.666666666666664</v>
      </c>
      <c r="AD787" s="31"/>
      <c r="AE787" s="11"/>
      <c r="AF787" s="11"/>
    </row>
    <row r="788">
      <c r="A788" s="11" t="s">
        <v>794</v>
      </c>
      <c r="B788" s="39">
        <v>45083.0</v>
      </c>
      <c r="C788" s="40">
        <v>45087.0</v>
      </c>
      <c r="D788" s="27" t="s">
        <v>33</v>
      </c>
      <c r="E788" s="11" t="b">
        <v>0</v>
      </c>
      <c r="F788" s="11" t="s">
        <v>38</v>
      </c>
      <c r="G788" s="61"/>
      <c r="H788" s="46" t="s">
        <v>159</v>
      </c>
      <c r="I788" s="30">
        <v>5.0</v>
      </c>
      <c r="J788" s="31">
        <v>1.0</v>
      </c>
      <c r="K788" s="11">
        <v>1000.0</v>
      </c>
      <c r="L788" s="32">
        <f t="shared" si="221"/>
        <v>1.678979181</v>
      </c>
      <c r="M788" s="32">
        <f t="shared" si="222"/>
        <v>0.04477277815</v>
      </c>
      <c r="N788" s="32">
        <v>0.0</v>
      </c>
      <c r="O788" s="32">
        <v>0.0</v>
      </c>
      <c r="P788" s="33">
        <v>14890.0</v>
      </c>
      <c r="Q788" s="34">
        <v>1000.0</v>
      </c>
      <c r="R788" s="42">
        <v>1.6789791806581598</v>
      </c>
      <c r="S788" s="36">
        <v>0.04477277815088426</v>
      </c>
      <c r="T788" s="36"/>
      <c r="U788" s="36"/>
      <c r="V788" s="36">
        <v>1.723751958809044</v>
      </c>
      <c r="W788" s="37">
        <v>0.001723751958809044</v>
      </c>
      <c r="X788" s="42">
        <v>25000.0</v>
      </c>
      <c r="Y788" s="36">
        <v>666.6666666666666</v>
      </c>
      <c r="Z788" s="36"/>
      <c r="AA788" s="36"/>
      <c r="AB788" s="36">
        <v>25666.666666666664</v>
      </c>
      <c r="AC788" s="37">
        <v>25.666666666666664</v>
      </c>
      <c r="AD788" s="31"/>
      <c r="AE788" s="11"/>
      <c r="AF788" s="11"/>
    </row>
    <row r="789">
      <c r="A789" s="11" t="s">
        <v>795</v>
      </c>
      <c r="B789" s="39">
        <v>45381.200694444444</v>
      </c>
      <c r="C789" s="40">
        <v>45384.567682037035</v>
      </c>
      <c r="D789" s="27" t="s">
        <v>37</v>
      </c>
      <c r="E789" s="11" t="b">
        <v>0</v>
      </c>
      <c r="F789" s="11" t="s">
        <v>49</v>
      </c>
      <c r="G789" s="11" t="s">
        <v>793</v>
      </c>
      <c r="H789" s="11" t="s">
        <v>793</v>
      </c>
      <c r="I789" s="30">
        <v>5.0</v>
      </c>
      <c r="J789" s="31">
        <v>1.0</v>
      </c>
      <c r="K789" s="11">
        <v>1000.0</v>
      </c>
      <c r="L789" s="32">
        <f>(21500)/P789</f>
        <v>1.353904282</v>
      </c>
      <c r="M789" s="32">
        <f>(1000/4)/P789</f>
        <v>0.01574307305</v>
      </c>
      <c r="N789" s="32">
        <v>0.0</v>
      </c>
      <c r="O789" s="32">
        <v>0.0</v>
      </c>
      <c r="P789" s="33">
        <v>15880.0</v>
      </c>
      <c r="Q789" s="34">
        <v>1000.0</v>
      </c>
      <c r="R789" s="42">
        <v>1.353904282115869</v>
      </c>
      <c r="S789" s="36">
        <v>0.015743073047858942</v>
      </c>
      <c r="T789" s="36"/>
      <c r="U789" s="36"/>
      <c r="V789" s="36">
        <v>1.369647355163728</v>
      </c>
      <c r="W789" s="37">
        <v>0.001369647355163728</v>
      </c>
      <c r="X789" s="42">
        <v>21500.0</v>
      </c>
      <c r="Y789" s="36">
        <v>250.0</v>
      </c>
      <c r="Z789" s="36"/>
      <c r="AA789" s="36"/>
      <c r="AB789" s="36">
        <v>21750.0</v>
      </c>
      <c r="AC789" s="37">
        <v>21.75</v>
      </c>
      <c r="AD789" s="31"/>
      <c r="AE789" s="11"/>
      <c r="AF789" s="11"/>
    </row>
    <row r="790">
      <c r="A790" s="11" t="s">
        <v>795</v>
      </c>
      <c r="B790" s="39">
        <v>44042.0</v>
      </c>
      <c r="C790" s="40">
        <v>44045.0</v>
      </c>
      <c r="D790" s="27" t="s">
        <v>48</v>
      </c>
      <c r="E790" s="11" t="b">
        <v>0</v>
      </c>
      <c r="F790" s="11" t="s">
        <v>38</v>
      </c>
      <c r="G790" s="128" t="s">
        <v>796</v>
      </c>
      <c r="H790" s="46" t="s">
        <v>47</v>
      </c>
      <c r="I790" s="33">
        <v>5.0</v>
      </c>
      <c r="J790" s="31">
        <v>1.0</v>
      </c>
      <c r="K790" s="11">
        <v>1000.0</v>
      </c>
      <c r="L790" s="32">
        <f>20000/P790</f>
        <v>2</v>
      </c>
      <c r="M790" s="32"/>
      <c r="N790" s="32"/>
      <c r="O790" s="32"/>
      <c r="P790" s="33">
        <v>10000.0</v>
      </c>
      <c r="Q790" s="34">
        <v>1000.0</v>
      </c>
      <c r="R790" s="42">
        <v>2.0</v>
      </c>
      <c r="S790" s="36"/>
      <c r="T790" s="36"/>
      <c r="U790" s="36"/>
      <c r="V790" s="36">
        <v>2.0</v>
      </c>
      <c r="W790" s="37">
        <v>0.002</v>
      </c>
      <c r="X790" s="42">
        <v>20000.0</v>
      </c>
      <c r="Y790" s="36"/>
      <c r="Z790" s="36"/>
      <c r="AA790" s="36"/>
      <c r="AB790" s="36">
        <v>20000.0</v>
      </c>
      <c r="AC790" s="37">
        <v>20.0</v>
      </c>
      <c r="AD790" s="31"/>
      <c r="AE790" s="11"/>
      <c r="AF790" s="11"/>
    </row>
    <row r="791">
      <c r="A791" s="11" t="s">
        <v>797</v>
      </c>
      <c r="B791" s="39">
        <v>45940.73888888889</v>
      </c>
      <c r="C791" s="40">
        <v>45943.47361111111</v>
      </c>
      <c r="D791" s="27" t="s">
        <v>37</v>
      </c>
      <c r="E791" s="11" t="b">
        <v>0</v>
      </c>
      <c r="F791" s="11" t="s">
        <v>38</v>
      </c>
      <c r="G791" s="11" t="s">
        <v>767</v>
      </c>
      <c r="H791" s="11" t="s">
        <v>768</v>
      </c>
      <c r="I791" s="30">
        <v>5.0</v>
      </c>
      <c r="J791" s="31">
        <v>2.0</v>
      </c>
      <c r="K791" s="11">
        <v>1000.0</v>
      </c>
      <c r="L791" s="32">
        <f>(20000)/P791</f>
        <v>1.206272618</v>
      </c>
      <c r="M791" s="32">
        <f>(J791*(23600 + 1000)/8)/P791</f>
        <v>0.3709288299</v>
      </c>
      <c r="N791" s="32">
        <f>(J791*(48000 + 11881)/8)/P791</f>
        <v>0.9029101327</v>
      </c>
      <c r="O791" s="32">
        <v>0.0</v>
      </c>
      <c r="P791" s="33">
        <v>16580.0</v>
      </c>
      <c r="Q791" s="34">
        <v>2000.0</v>
      </c>
      <c r="R791" s="42">
        <v>2.4125452352231602</v>
      </c>
      <c r="S791" s="36">
        <v>0.3709288299155609</v>
      </c>
      <c r="T791" s="36">
        <v>0.902910132689988</v>
      </c>
      <c r="U791" s="36"/>
      <c r="V791" s="36">
        <v>1.880563932448733</v>
      </c>
      <c r="W791" s="37">
        <v>9.402819662243665E-4</v>
      </c>
      <c r="X791" s="42">
        <v>40000.0</v>
      </c>
      <c r="Y791" s="36">
        <v>6150.0</v>
      </c>
      <c r="Z791" s="36">
        <v>14970.25</v>
      </c>
      <c r="AA791" s="36"/>
      <c r="AB791" s="36">
        <v>31179.749999999996</v>
      </c>
      <c r="AC791" s="37">
        <v>15.589874999999997</v>
      </c>
      <c r="AD791" s="31"/>
      <c r="AE791" s="11"/>
      <c r="AF791" s="11"/>
    </row>
    <row r="792">
      <c r="A792" s="11" t="s">
        <v>798</v>
      </c>
      <c r="B792" s="39">
        <v>45795.775</v>
      </c>
      <c r="C792" s="40">
        <v>45797.44027777778</v>
      </c>
      <c r="D792" s="27" t="s">
        <v>33</v>
      </c>
      <c r="E792" s="11" t="b">
        <v>0</v>
      </c>
      <c r="F792" s="11" t="s">
        <v>49</v>
      </c>
      <c r="G792" s="11" t="s">
        <v>757</v>
      </c>
      <c r="H792" s="11" t="s">
        <v>758</v>
      </c>
      <c r="I792" s="30">
        <v>5.0</v>
      </c>
      <c r="J792" s="31">
        <v>3.0</v>
      </c>
      <c r="K792" s="11">
        <v>1000.0</v>
      </c>
      <c r="L792" s="32">
        <f>(22150)/P792</f>
        <v>1.343482744</v>
      </c>
      <c r="M792" s="32">
        <f>(1000/15)/P792</f>
        <v>0.004043589899</v>
      </c>
      <c r="N792" s="32">
        <f>(X792*10%)/P792</f>
        <v>0.4030448232</v>
      </c>
      <c r="O792" s="32">
        <v>0.0</v>
      </c>
      <c r="P792" s="33">
        <v>16487.0</v>
      </c>
      <c r="Q792" s="34">
        <v>3000.0</v>
      </c>
      <c r="R792" s="42">
        <v>4.0304482319403165</v>
      </c>
      <c r="S792" s="36">
        <v>0.004043589899112432</v>
      </c>
      <c r="T792" s="36">
        <v>0.4030448231940317</v>
      </c>
      <c r="U792" s="36"/>
      <c r="V792" s="36">
        <v>3.631446998645397</v>
      </c>
      <c r="W792" s="37">
        <v>0.001210482332881799</v>
      </c>
      <c r="X792" s="42">
        <v>66450.0</v>
      </c>
      <c r="Y792" s="36">
        <v>66.66666666666667</v>
      </c>
      <c r="Z792" s="36">
        <v>6645.0</v>
      </c>
      <c r="AA792" s="36"/>
      <c r="AB792" s="36">
        <v>59871.66666666666</v>
      </c>
      <c r="AC792" s="37">
        <v>19.957222222222217</v>
      </c>
      <c r="AD792" s="31"/>
      <c r="AE792" s="11"/>
      <c r="AF792" s="11"/>
    </row>
    <row r="793">
      <c r="A793" s="11" t="s">
        <v>799</v>
      </c>
      <c r="B793" s="77">
        <v>45986.603472222225</v>
      </c>
      <c r="C793" s="40">
        <v>45987.64513888889</v>
      </c>
      <c r="D793" s="27" t="s">
        <v>33</v>
      </c>
      <c r="E793" s="11" t="b">
        <v>0</v>
      </c>
      <c r="F793" s="11" t="s">
        <v>38</v>
      </c>
      <c r="G793" s="11" t="s">
        <v>767</v>
      </c>
      <c r="H793" s="11" t="s">
        <v>789</v>
      </c>
      <c r="I793" s="30">
        <v>5.0</v>
      </c>
      <c r="J793" s="31">
        <v>1.0</v>
      </c>
      <c r="K793" s="11">
        <v>1000.0</v>
      </c>
      <c r="L793" s="32">
        <f>(20000)/P793</f>
        <v>20000</v>
      </c>
      <c r="M793" s="32">
        <f>(7500/4)/P793</f>
        <v>1875</v>
      </c>
      <c r="N793" s="32">
        <f>((15940 + 638)/4)/P793</f>
        <v>4144.5</v>
      </c>
      <c r="O793" s="32">
        <v>0.0</v>
      </c>
      <c r="P793" s="33">
        <v>1.0</v>
      </c>
      <c r="Q793" s="34">
        <v>1000.0</v>
      </c>
      <c r="R793" s="42">
        <v>20000.0</v>
      </c>
      <c r="S793" s="36">
        <v>1875.0</v>
      </c>
      <c r="T793" s="36">
        <v>4144.5</v>
      </c>
      <c r="U793" s="36"/>
      <c r="V793" s="36">
        <v>17730.5</v>
      </c>
      <c r="W793" s="37">
        <v>17.7305</v>
      </c>
      <c r="X793" s="42">
        <v>20000.0</v>
      </c>
      <c r="Y793" s="36">
        <v>1875.0</v>
      </c>
      <c r="Z793" s="36">
        <v>4144.5</v>
      </c>
      <c r="AA793" s="36"/>
      <c r="AB793" s="36">
        <v>17730.5</v>
      </c>
      <c r="AC793" s="37">
        <v>17.7305</v>
      </c>
      <c r="AD793" s="31"/>
      <c r="AE793" s="11"/>
      <c r="AF793" s="11"/>
    </row>
    <row r="794">
      <c r="A794" s="11" t="s">
        <v>799</v>
      </c>
      <c r="B794" s="39">
        <v>45381.200694444444</v>
      </c>
      <c r="C794" s="40">
        <v>45384.567671365745</v>
      </c>
      <c r="D794" s="27" t="s">
        <v>37</v>
      </c>
      <c r="E794" s="11" t="b">
        <v>0</v>
      </c>
      <c r="F794" s="11" t="s">
        <v>49</v>
      </c>
      <c r="G794" s="11" t="s">
        <v>793</v>
      </c>
      <c r="H794" s="11" t="s">
        <v>793</v>
      </c>
      <c r="I794" s="30">
        <v>5.0</v>
      </c>
      <c r="J794" s="31">
        <v>1.0</v>
      </c>
      <c r="K794" s="11">
        <v>1000.0</v>
      </c>
      <c r="L794" s="32">
        <f>(21500)/P794</f>
        <v>1.353904282</v>
      </c>
      <c r="M794" s="32">
        <f>(1000/4)/P794</f>
        <v>0.01574307305</v>
      </c>
      <c r="N794" s="32">
        <v>0.0</v>
      </c>
      <c r="O794" s="32">
        <v>0.0</v>
      </c>
      <c r="P794" s="33">
        <v>15880.0</v>
      </c>
      <c r="Q794" s="34">
        <v>1000.0</v>
      </c>
      <c r="R794" s="42">
        <v>1.353904282115869</v>
      </c>
      <c r="S794" s="36">
        <v>0.015743073047858942</v>
      </c>
      <c r="T794" s="36"/>
      <c r="U794" s="36"/>
      <c r="V794" s="36">
        <v>1.369647355163728</v>
      </c>
      <c r="W794" s="37">
        <v>0.001369647355163728</v>
      </c>
      <c r="X794" s="42">
        <v>21500.0</v>
      </c>
      <c r="Y794" s="36">
        <v>250.0</v>
      </c>
      <c r="Z794" s="36"/>
      <c r="AA794" s="36"/>
      <c r="AB794" s="36">
        <v>21750.0</v>
      </c>
      <c r="AC794" s="37">
        <v>21.75</v>
      </c>
      <c r="AD794" s="31"/>
      <c r="AE794" s="11"/>
      <c r="AF794" s="11"/>
    </row>
    <row r="795">
      <c r="A795" s="11" t="s">
        <v>799</v>
      </c>
      <c r="B795" s="39">
        <v>43774.0</v>
      </c>
      <c r="C795" s="40">
        <v>43777.0</v>
      </c>
      <c r="D795" s="27" t="s">
        <v>66</v>
      </c>
      <c r="E795" s="11" t="b">
        <v>0</v>
      </c>
      <c r="F795" s="11" t="s">
        <v>38</v>
      </c>
      <c r="G795" s="61"/>
      <c r="H795" s="46" t="s">
        <v>47</v>
      </c>
      <c r="I795" s="33"/>
      <c r="J795" s="31">
        <v>1.0</v>
      </c>
      <c r="K795" s="11">
        <v>1000.0</v>
      </c>
      <c r="L795" s="32">
        <f t="shared" ref="L795:L796" si="223">21000/P795</f>
        <v>2.1</v>
      </c>
      <c r="M795" s="32"/>
      <c r="N795" s="32"/>
      <c r="O795" s="32"/>
      <c r="P795" s="33">
        <v>10000.0</v>
      </c>
      <c r="Q795" s="34">
        <v>1000.0</v>
      </c>
      <c r="R795" s="42">
        <v>2.1</v>
      </c>
      <c r="S795" s="36"/>
      <c r="T795" s="36"/>
      <c r="U795" s="36"/>
      <c r="V795" s="36">
        <v>2.1</v>
      </c>
      <c r="W795" s="37">
        <v>0.0021000000000000003</v>
      </c>
      <c r="X795" s="42">
        <v>21000.0</v>
      </c>
      <c r="Y795" s="36"/>
      <c r="Z795" s="36"/>
      <c r="AA795" s="36"/>
      <c r="AB795" s="36">
        <v>21000.0</v>
      </c>
      <c r="AC795" s="37">
        <v>21.0</v>
      </c>
      <c r="AD795" s="31"/>
      <c r="AE795" s="11"/>
      <c r="AF795" s="11"/>
    </row>
    <row r="796">
      <c r="A796" s="11" t="s">
        <v>800</v>
      </c>
      <c r="B796" s="39">
        <v>44032.0</v>
      </c>
      <c r="C796" s="40">
        <v>44039.0</v>
      </c>
      <c r="D796" s="27" t="s">
        <v>48</v>
      </c>
      <c r="E796" s="11" t="b">
        <v>0</v>
      </c>
      <c r="F796" s="11" t="s">
        <v>38</v>
      </c>
      <c r="G796" s="128" t="s">
        <v>801</v>
      </c>
      <c r="H796" s="46" t="s">
        <v>47</v>
      </c>
      <c r="I796" s="33">
        <v>5.0</v>
      </c>
      <c r="J796" s="31">
        <v>1.0</v>
      </c>
      <c r="K796" s="11">
        <v>1000.0</v>
      </c>
      <c r="L796" s="32">
        <f t="shared" si="223"/>
        <v>2.1</v>
      </c>
      <c r="M796" s="32">
        <f>J796*8600/6/P796</f>
        <v>0.1433333333</v>
      </c>
      <c r="N796" s="32"/>
      <c r="O796" s="32"/>
      <c r="P796" s="33">
        <v>10000.0</v>
      </c>
      <c r="Q796" s="34">
        <v>1000.0</v>
      </c>
      <c r="R796" s="42">
        <v>2.1</v>
      </c>
      <c r="S796" s="36">
        <v>0.1433333333333333</v>
      </c>
      <c r="T796" s="36"/>
      <c r="U796" s="36"/>
      <c r="V796" s="36">
        <v>2.243333333333333</v>
      </c>
      <c r="W796" s="37">
        <v>0.0022433333333333333</v>
      </c>
      <c r="X796" s="42">
        <v>21000.0</v>
      </c>
      <c r="Y796" s="36">
        <v>1433.333333333333</v>
      </c>
      <c r="Z796" s="36"/>
      <c r="AA796" s="36"/>
      <c r="AB796" s="36">
        <v>22433.333333333332</v>
      </c>
      <c r="AC796" s="37">
        <v>22.433333333333334</v>
      </c>
      <c r="AD796" s="31"/>
      <c r="AE796" s="11"/>
      <c r="AF796" s="11"/>
    </row>
    <row r="797">
      <c r="A797" s="11" t="s">
        <v>802</v>
      </c>
      <c r="B797" s="77">
        <v>45986.603472222225</v>
      </c>
      <c r="C797" s="40">
        <v>45987.64513888889</v>
      </c>
      <c r="D797" s="27" t="s">
        <v>33</v>
      </c>
      <c r="E797" s="11" t="b">
        <v>0</v>
      </c>
      <c r="F797" s="11" t="s">
        <v>38</v>
      </c>
      <c r="G797" s="11" t="s">
        <v>767</v>
      </c>
      <c r="H797" s="11" t="s">
        <v>789</v>
      </c>
      <c r="I797" s="30">
        <v>5.0</v>
      </c>
      <c r="J797" s="31">
        <v>1.0</v>
      </c>
      <c r="K797" s="11">
        <v>1000.0</v>
      </c>
      <c r="L797" s="32">
        <f>(19900)/P797</f>
        <v>19900</v>
      </c>
      <c r="M797" s="32">
        <f>(7500/4)/P797</f>
        <v>1875</v>
      </c>
      <c r="N797" s="32">
        <f>((15940 + 638)/4)/P797</f>
        <v>4144.5</v>
      </c>
      <c r="O797" s="32">
        <v>0.0</v>
      </c>
      <c r="P797" s="33">
        <v>1.0</v>
      </c>
      <c r="Q797" s="34">
        <v>1000.0</v>
      </c>
      <c r="R797" s="42">
        <v>19900.0</v>
      </c>
      <c r="S797" s="36">
        <v>1875.0</v>
      </c>
      <c r="T797" s="36">
        <v>4144.5</v>
      </c>
      <c r="U797" s="36"/>
      <c r="V797" s="36">
        <v>17630.5</v>
      </c>
      <c r="W797" s="37">
        <v>17.6305</v>
      </c>
      <c r="X797" s="42">
        <v>19900.0</v>
      </c>
      <c r="Y797" s="36">
        <v>1875.0</v>
      </c>
      <c r="Z797" s="36">
        <v>4144.5</v>
      </c>
      <c r="AA797" s="36"/>
      <c r="AB797" s="36">
        <v>17630.5</v>
      </c>
      <c r="AC797" s="37">
        <v>17.6305</v>
      </c>
      <c r="AD797" s="31"/>
      <c r="AE797" s="11"/>
      <c r="AF797" s="11"/>
    </row>
    <row r="798">
      <c r="A798" s="11" t="s">
        <v>802</v>
      </c>
      <c r="B798" s="39">
        <v>45795.775</v>
      </c>
      <c r="C798" s="40">
        <v>45797.44027777778</v>
      </c>
      <c r="D798" s="27" t="s">
        <v>33</v>
      </c>
      <c r="E798" s="11" t="b">
        <v>0</v>
      </c>
      <c r="F798" s="11" t="s">
        <v>49</v>
      </c>
      <c r="G798" s="11" t="s">
        <v>757</v>
      </c>
      <c r="H798" s="11" t="s">
        <v>758</v>
      </c>
      <c r="I798" s="30">
        <v>5.0</v>
      </c>
      <c r="J798" s="31">
        <v>3.0</v>
      </c>
      <c r="K798" s="11">
        <v>1000.0</v>
      </c>
      <c r="L798" s="32">
        <f>(22150)/P798</f>
        <v>1.343482744</v>
      </c>
      <c r="M798" s="32">
        <f>(1000/15)/P798</f>
        <v>0.004043589899</v>
      </c>
      <c r="N798" s="32">
        <f>(X798*10%)/P798</f>
        <v>0.4030448232</v>
      </c>
      <c r="O798" s="32">
        <v>0.0</v>
      </c>
      <c r="P798" s="33">
        <v>16487.0</v>
      </c>
      <c r="Q798" s="34">
        <v>3000.0</v>
      </c>
      <c r="R798" s="42">
        <v>4.0304482319403165</v>
      </c>
      <c r="S798" s="36">
        <v>0.004043589899112432</v>
      </c>
      <c r="T798" s="36">
        <v>0.4030448231940317</v>
      </c>
      <c r="U798" s="36"/>
      <c r="V798" s="36">
        <v>3.631446998645397</v>
      </c>
      <c r="W798" s="37">
        <v>0.001210482332881799</v>
      </c>
      <c r="X798" s="42">
        <v>66450.0</v>
      </c>
      <c r="Y798" s="36">
        <v>66.66666666666667</v>
      </c>
      <c r="Z798" s="36">
        <v>6645.0</v>
      </c>
      <c r="AA798" s="36"/>
      <c r="AB798" s="36">
        <v>59871.66666666666</v>
      </c>
      <c r="AC798" s="37">
        <v>19.957222222222217</v>
      </c>
      <c r="AD798" s="31"/>
      <c r="AE798" s="11"/>
      <c r="AF798" s="11"/>
    </row>
    <row r="799">
      <c r="A799" s="11" t="s">
        <v>803</v>
      </c>
      <c r="B799" s="39">
        <v>45421.20486111111</v>
      </c>
      <c r="C799" s="40">
        <v>45423.62569444445</v>
      </c>
      <c r="D799" s="27" t="s">
        <v>37</v>
      </c>
      <c r="E799" s="11" t="b">
        <v>0</v>
      </c>
      <c r="F799" s="11" t="s">
        <v>49</v>
      </c>
      <c r="G799" s="11" t="s">
        <v>775</v>
      </c>
      <c r="H799" s="11" t="s">
        <v>776</v>
      </c>
      <c r="I799" s="30">
        <v>5.0</v>
      </c>
      <c r="J799" s="31">
        <v>1.0</v>
      </c>
      <c r="K799" s="11">
        <v>1000.0</v>
      </c>
      <c r="L799" s="32">
        <f>(21500)/P799</f>
        <v>1.337563768</v>
      </c>
      <c r="M799" s="32">
        <f t="shared" ref="M799:M800" si="224">(1000/5)/P799</f>
        <v>0.01244245365</v>
      </c>
      <c r="N799" s="32">
        <v>0.0</v>
      </c>
      <c r="O799" s="32">
        <v>0.0</v>
      </c>
      <c r="P799" s="33">
        <v>16074.0</v>
      </c>
      <c r="Q799" s="34">
        <v>1000.0</v>
      </c>
      <c r="R799" s="42">
        <v>1.3375637675749659</v>
      </c>
      <c r="S799" s="36">
        <v>0.012442453651860147</v>
      </c>
      <c r="T799" s="36"/>
      <c r="U799" s="36"/>
      <c r="V799" s="36">
        <v>1.350006221226826</v>
      </c>
      <c r="W799" s="37">
        <v>0.001350006221226826</v>
      </c>
      <c r="X799" s="42">
        <v>21500.0</v>
      </c>
      <c r="Y799" s="36">
        <v>200.0</v>
      </c>
      <c r="Z799" s="36"/>
      <c r="AA799" s="36"/>
      <c r="AB799" s="36">
        <v>21700.0</v>
      </c>
      <c r="AC799" s="37">
        <v>21.7</v>
      </c>
      <c r="AD799" s="31"/>
      <c r="AE799" s="11"/>
      <c r="AF799" s="11"/>
    </row>
    <row r="800">
      <c r="A800" s="11" t="s">
        <v>803</v>
      </c>
      <c r="B800" s="39">
        <v>45399.714583333334</v>
      </c>
      <c r="C800" s="40">
        <v>45402.53333333333</v>
      </c>
      <c r="D800" s="27" t="s">
        <v>37</v>
      </c>
      <c r="E800" s="11" t="b">
        <v>0</v>
      </c>
      <c r="F800" s="11" t="s">
        <v>49</v>
      </c>
      <c r="G800" s="11" t="s">
        <v>759</v>
      </c>
      <c r="H800" s="11" t="s">
        <v>759</v>
      </c>
      <c r="I800" s="30">
        <v>5.0</v>
      </c>
      <c r="J800" s="31">
        <v>1.0</v>
      </c>
      <c r="K800" s="11">
        <v>1000.0</v>
      </c>
      <c r="L800" s="32">
        <f>(20000)/P800</f>
        <v>1.231527094</v>
      </c>
      <c r="M800" s="32">
        <f t="shared" si="224"/>
        <v>0.01231527094</v>
      </c>
      <c r="N800" s="32">
        <f>(2400/5)/P800</f>
        <v>0.02955665025</v>
      </c>
      <c r="O800" s="32">
        <v>0.0</v>
      </c>
      <c r="P800" s="33">
        <v>16240.0</v>
      </c>
      <c r="Q800" s="34">
        <v>1000.0</v>
      </c>
      <c r="R800" s="42">
        <v>1.2315270935960592</v>
      </c>
      <c r="S800" s="36">
        <v>0.012315270935960592</v>
      </c>
      <c r="T800" s="36">
        <v>0.029556650246305417</v>
      </c>
      <c r="U800" s="36"/>
      <c r="V800" s="36">
        <v>1.2142857142857144</v>
      </c>
      <c r="W800" s="37">
        <v>0.0012142857142857144</v>
      </c>
      <c r="X800" s="42">
        <v>20000.0</v>
      </c>
      <c r="Y800" s="36">
        <v>200.0</v>
      </c>
      <c r="Z800" s="36">
        <v>480.0</v>
      </c>
      <c r="AA800" s="36"/>
      <c r="AB800" s="36">
        <v>19720.000000000004</v>
      </c>
      <c r="AC800" s="37">
        <v>19.720000000000002</v>
      </c>
      <c r="AD800" s="31"/>
      <c r="AE800" s="11"/>
      <c r="AF800" s="11"/>
    </row>
    <row r="801">
      <c r="A801" s="11" t="s">
        <v>803</v>
      </c>
      <c r="B801" s="39">
        <v>45083.0</v>
      </c>
      <c r="C801" s="40">
        <v>45087.0</v>
      </c>
      <c r="D801" s="27" t="s">
        <v>33</v>
      </c>
      <c r="E801" s="11" t="b">
        <v>0</v>
      </c>
      <c r="F801" s="11" t="s">
        <v>38</v>
      </c>
      <c r="G801" s="61"/>
      <c r="H801" s="46" t="s">
        <v>159</v>
      </c>
      <c r="I801" s="30">
        <v>5.0</v>
      </c>
      <c r="J801" s="31">
        <v>1.0</v>
      </c>
      <c r="K801" s="11">
        <v>1000.0</v>
      </c>
      <c r="L801" s="32">
        <f>(25000)/P801</f>
        <v>1.678979181</v>
      </c>
      <c r="M801" s="32">
        <f>((2000)/3)/P801</f>
        <v>0.04477277815</v>
      </c>
      <c r="N801" s="32">
        <v>0.0</v>
      </c>
      <c r="O801" s="32">
        <v>0.0</v>
      </c>
      <c r="P801" s="33">
        <v>14890.0</v>
      </c>
      <c r="Q801" s="34">
        <v>1000.0</v>
      </c>
      <c r="R801" s="42">
        <v>1.6789791806581598</v>
      </c>
      <c r="S801" s="36">
        <v>0.04477277815088426</v>
      </c>
      <c r="T801" s="36"/>
      <c r="U801" s="36"/>
      <c r="V801" s="36">
        <v>1.723751958809044</v>
      </c>
      <c r="W801" s="37">
        <v>0.001723751958809044</v>
      </c>
      <c r="X801" s="42">
        <v>25000.0</v>
      </c>
      <c r="Y801" s="36">
        <v>666.6666666666666</v>
      </c>
      <c r="Z801" s="36"/>
      <c r="AA801" s="36"/>
      <c r="AB801" s="36">
        <v>25666.666666666664</v>
      </c>
      <c r="AC801" s="37">
        <v>25.666666666666664</v>
      </c>
      <c r="AD801" s="31"/>
      <c r="AE801" s="11"/>
      <c r="AF801" s="11"/>
    </row>
    <row r="802">
      <c r="A802" s="11" t="s">
        <v>803</v>
      </c>
      <c r="B802" s="39">
        <v>43774.0</v>
      </c>
      <c r="C802" s="40">
        <v>43777.0</v>
      </c>
      <c r="D802" s="27" t="s">
        <v>66</v>
      </c>
      <c r="E802" s="11" t="b">
        <v>0</v>
      </c>
      <c r="F802" s="11" t="s">
        <v>38</v>
      </c>
      <c r="G802" s="61"/>
      <c r="H802" s="46" t="s">
        <v>47</v>
      </c>
      <c r="I802" s="33"/>
      <c r="J802" s="31">
        <v>1.0</v>
      </c>
      <c r="K802" s="11">
        <v>1000.0</v>
      </c>
      <c r="L802" s="32">
        <f>21000/P802</f>
        <v>2.1</v>
      </c>
      <c r="M802" s="32"/>
      <c r="N802" s="32"/>
      <c r="O802" s="32"/>
      <c r="P802" s="33">
        <v>10000.0</v>
      </c>
      <c r="Q802" s="34">
        <v>1000.0</v>
      </c>
      <c r="R802" s="42">
        <v>2.1</v>
      </c>
      <c r="S802" s="36"/>
      <c r="T802" s="36"/>
      <c r="U802" s="36"/>
      <c r="V802" s="36">
        <v>2.1</v>
      </c>
      <c r="W802" s="37">
        <v>0.0021000000000000003</v>
      </c>
      <c r="X802" s="42">
        <v>21000.0</v>
      </c>
      <c r="Y802" s="36"/>
      <c r="Z802" s="36"/>
      <c r="AA802" s="36"/>
      <c r="AB802" s="36">
        <v>21000.0</v>
      </c>
      <c r="AC802" s="37">
        <v>21.0</v>
      </c>
      <c r="AD802" s="31"/>
      <c r="AE802" s="11"/>
      <c r="AF802" s="11"/>
    </row>
    <row r="803">
      <c r="A803" s="11" t="s">
        <v>804</v>
      </c>
      <c r="B803" s="39">
        <v>45795.775</v>
      </c>
      <c r="C803" s="40">
        <v>45797.44027777778</v>
      </c>
      <c r="D803" s="27" t="s">
        <v>33</v>
      </c>
      <c r="E803" s="11" t="b">
        <v>0</v>
      </c>
      <c r="F803" s="11" t="s">
        <v>49</v>
      </c>
      <c r="G803" s="11" t="s">
        <v>757</v>
      </c>
      <c r="H803" s="11" t="s">
        <v>758</v>
      </c>
      <c r="I803" s="30">
        <v>5.0</v>
      </c>
      <c r="J803" s="31">
        <v>3.0</v>
      </c>
      <c r="K803" s="11">
        <v>1000.0</v>
      </c>
      <c r="L803" s="32">
        <f>(22150)/P803</f>
        <v>1.343482744</v>
      </c>
      <c r="M803" s="32">
        <f>(1000/15)/P803</f>
        <v>0.004043589899</v>
      </c>
      <c r="N803" s="32">
        <f>(X803*10%)/P803</f>
        <v>0.4030448232</v>
      </c>
      <c r="O803" s="32">
        <v>0.0</v>
      </c>
      <c r="P803" s="33">
        <v>16487.0</v>
      </c>
      <c r="Q803" s="34">
        <v>3000.0</v>
      </c>
      <c r="R803" s="42">
        <v>4.0304482319403165</v>
      </c>
      <c r="S803" s="36">
        <v>0.004043589899112432</v>
      </c>
      <c r="T803" s="36">
        <v>0.4030448231940317</v>
      </c>
      <c r="U803" s="36"/>
      <c r="V803" s="36">
        <v>3.631446998645397</v>
      </c>
      <c r="W803" s="37">
        <v>0.001210482332881799</v>
      </c>
      <c r="X803" s="42">
        <v>66450.0</v>
      </c>
      <c r="Y803" s="36">
        <v>66.66666666666667</v>
      </c>
      <c r="Z803" s="36">
        <v>6645.0</v>
      </c>
      <c r="AA803" s="36"/>
      <c r="AB803" s="36">
        <v>59871.66666666666</v>
      </c>
      <c r="AC803" s="37">
        <v>19.957222222222217</v>
      </c>
      <c r="AD803" s="31"/>
      <c r="AE803" s="11"/>
      <c r="AF803" s="11"/>
    </row>
    <row r="804">
      <c r="A804" s="11" t="s">
        <v>804</v>
      </c>
      <c r="B804" s="39">
        <v>45399.714583333334</v>
      </c>
      <c r="C804" s="40">
        <v>45402.53333333333</v>
      </c>
      <c r="D804" s="27" t="s">
        <v>37</v>
      </c>
      <c r="E804" s="11" t="b">
        <v>0</v>
      </c>
      <c r="F804" s="11" t="s">
        <v>49</v>
      </c>
      <c r="G804" s="11" t="s">
        <v>759</v>
      </c>
      <c r="H804" s="11" t="s">
        <v>759</v>
      </c>
      <c r="I804" s="30">
        <v>5.0</v>
      </c>
      <c r="J804" s="31">
        <v>1.0</v>
      </c>
      <c r="K804" s="11">
        <v>1000.0</v>
      </c>
      <c r="L804" s="32">
        <f>(20000)/P804</f>
        <v>1.231527094</v>
      </c>
      <c r="M804" s="32">
        <f>(1000/5)/P804</f>
        <v>0.01231527094</v>
      </c>
      <c r="N804" s="32">
        <f>(2400/5)/P804</f>
        <v>0.02955665025</v>
      </c>
      <c r="O804" s="32">
        <v>0.0</v>
      </c>
      <c r="P804" s="33">
        <v>16240.0</v>
      </c>
      <c r="Q804" s="34">
        <v>1000.0</v>
      </c>
      <c r="R804" s="42">
        <v>1.2315270935960592</v>
      </c>
      <c r="S804" s="36">
        <v>0.012315270935960592</v>
      </c>
      <c r="T804" s="36">
        <v>0.029556650246305417</v>
      </c>
      <c r="U804" s="36"/>
      <c r="V804" s="36">
        <v>1.2142857142857144</v>
      </c>
      <c r="W804" s="37">
        <v>0.0012142857142857144</v>
      </c>
      <c r="X804" s="42">
        <v>20000.0</v>
      </c>
      <c r="Y804" s="36">
        <v>200.0</v>
      </c>
      <c r="Z804" s="36">
        <v>480.0</v>
      </c>
      <c r="AA804" s="36"/>
      <c r="AB804" s="36">
        <v>19720.000000000004</v>
      </c>
      <c r="AC804" s="37">
        <v>19.720000000000002</v>
      </c>
      <c r="AD804" s="31"/>
      <c r="AE804" s="11"/>
      <c r="AF804" s="11"/>
    </row>
    <row r="805">
      <c r="A805" s="11" t="s">
        <v>804</v>
      </c>
      <c r="B805" s="39">
        <v>44039.0</v>
      </c>
      <c r="C805" s="40">
        <v>44041.0</v>
      </c>
      <c r="D805" s="27" t="s">
        <v>48</v>
      </c>
      <c r="E805" s="11" t="b">
        <v>0</v>
      </c>
      <c r="F805" s="11" t="s">
        <v>38</v>
      </c>
      <c r="G805" s="45" t="s">
        <v>805</v>
      </c>
      <c r="H805" s="46" t="s">
        <v>47</v>
      </c>
      <c r="I805" s="33">
        <v>5.0</v>
      </c>
      <c r="J805" s="31">
        <v>1.0</v>
      </c>
      <c r="K805" s="11">
        <v>1000.0</v>
      </c>
      <c r="L805" s="32">
        <f t="shared" ref="L805:L806" si="225">20000/P805</f>
        <v>2</v>
      </c>
      <c r="M805" s="32"/>
      <c r="N805" s="32"/>
      <c r="O805" s="32"/>
      <c r="P805" s="33">
        <v>10000.0</v>
      </c>
      <c r="Q805" s="34">
        <v>1000.0</v>
      </c>
      <c r="R805" s="42">
        <v>2.0</v>
      </c>
      <c r="S805" s="36"/>
      <c r="T805" s="36"/>
      <c r="U805" s="36"/>
      <c r="V805" s="36">
        <v>2.0</v>
      </c>
      <c r="W805" s="37">
        <v>0.002</v>
      </c>
      <c r="X805" s="42">
        <v>20000.0</v>
      </c>
      <c r="Y805" s="36"/>
      <c r="Z805" s="36"/>
      <c r="AA805" s="36"/>
      <c r="AB805" s="36">
        <v>20000.0</v>
      </c>
      <c r="AC805" s="37">
        <v>20.0</v>
      </c>
      <c r="AD805" s="31"/>
      <c r="AE805" s="11"/>
      <c r="AF805" s="11"/>
    </row>
    <row r="806">
      <c r="A806" s="11" t="s">
        <v>806</v>
      </c>
      <c r="B806" s="39">
        <v>44039.0</v>
      </c>
      <c r="C806" s="40">
        <v>44041.0</v>
      </c>
      <c r="D806" s="27" t="s">
        <v>48</v>
      </c>
      <c r="E806" s="11" t="b">
        <v>0</v>
      </c>
      <c r="F806" s="11" t="s">
        <v>38</v>
      </c>
      <c r="G806" s="128" t="s">
        <v>807</v>
      </c>
      <c r="H806" s="46" t="s">
        <v>47</v>
      </c>
      <c r="I806" s="33">
        <v>5.0</v>
      </c>
      <c r="J806" s="31">
        <v>1.0</v>
      </c>
      <c r="K806" s="11">
        <v>1000.0</v>
      </c>
      <c r="L806" s="32">
        <f t="shared" si="225"/>
        <v>2</v>
      </c>
      <c r="M806" s="32"/>
      <c r="N806" s="32"/>
      <c r="O806" s="32"/>
      <c r="P806" s="33">
        <v>10000.0</v>
      </c>
      <c r="Q806" s="34">
        <v>1000.0</v>
      </c>
      <c r="R806" s="42">
        <v>2.0</v>
      </c>
      <c r="S806" s="36"/>
      <c r="T806" s="36"/>
      <c r="U806" s="36"/>
      <c r="V806" s="36">
        <v>2.0</v>
      </c>
      <c r="W806" s="37">
        <v>0.002</v>
      </c>
      <c r="X806" s="42">
        <v>20000.0</v>
      </c>
      <c r="Y806" s="36"/>
      <c r="Z806" s="36"/>
      <c r="AA806" s="36"/>
      <c r="AB806" s="36">
        <v>20000.0</v>
      </c>
      <c r="AC806" s="37">
        <v>20.0</v>
      </c>
      <c r="AD806" s="31"/>
      <c r="AE806" s="11"/>
      <c r="AF806" s="11"/>
    </row>
    <row r="807">
      <c r="A807" s="11" t="s">
        <v>808</v>
      </c>
      <c r="B807" s="39">
        <v>45795.775</v>
      </c>
      <c r="C807" s="40">
        <v>45797.44027777778</v>
      </c>
      <c r="D807" s="27" t="s">
        <v>33</v>
      </c>
      <c r="E807" s="11" t="b">
        <v>0</v>
      </c>
      <c r="F807" s="11" t="s">
        <v>49</v>
      </c>
      <c r="G807" s="11" t="s">
        <v>757</v>
      </c>
      <c r="H807" s="11" t="s">
        <v>758</v>
      </c>
      <c r="I807" s="30">
        <v>5.0</v>
      </c>
      <c r="J807" s="31">
        <v>3.0</v>
      </c>
      <c r="K807" s="11">
        <v>1000.0</v>
      </c>
      <c r="L807" s="32">
        <f>(22150)/P807</f>
        <v>1.343482744</v>
      </c>
      <c r="M807" s="32">
        <f>(1000/15)/P807</f>
        <v>0.004043589899</v>
      </c>
      <c r="N807" s="32">
        <f>(X807*10%)/P807</f>
        <v>0.4030448232</v>
      </c>
      <c r="O807" s="32">
        <v>0.0</v>
      </c>
      <c r="P807" s="33">
        <v>16487.0</v>
      </c>
      <c r="Q807" s="34">
        <v>3000.0</v>
      </c>
      <c r="R807" s="42">
        <v>4.0304482319403165</v>
      </c>
      <c r="S807" s="36">
        <v>0.004043589899112432</v>
      </c>
      <c r="T807" s="36">
        <v>0.4030448231940317</v>
      </c>
      <c r="U807" s="36"/>
      <c r="V807" s="36">
        <v>3.631446998645397</v>
      </c>
      <c r="W807" s="37">
        <v>0.001210482332881799</v>
      </c>
      <c r="X807" s="42">
        <v>66450.0</v>
      </c>
      <c r="Y807" s="36">
        <v>66.66666666666667</v>
      </c>
      <c r="Z807" s="36">
        <v>6645.0</v>
      </c>
      <c r="AA807" s="36"/>
      <c r="AB807" s="36">
        <v>59871.66666666666</v>
      </c>
      <c r="AC807" s="37">
        <v>19.957222222222217</v>
      </c>
      <c r="AD807" s="31"/>
      <c r="AE807" s="11"/>
      <c r="AF807" s="11"/>
    </row>
    <row r="808">
      <c r="A808" s="11" t="s">
        <v>808</v>
      </c>
      <c r="B808" s="39">
        <v>45421.20486111111</v>
      </c>
      <c r="C808" s="40">
        <v>45423.62569444445</v>
      </c>
      <c r="D808" s="27" t="s">
        <v>37</v>
      </c>
      <c r="E808" s="11" t="b">
        <v>0</v>
      </c>
      <c r="F808" s="11" t="s">
        <v>49</v>
      </c>
      <c r="G808" s="11" t="s">
        <v>775</v>
      </c>
      <c r="H808" s="11" t="s">
        <v>776</v>
      </c>
      <c r="I808" s="30">
        <v>5.0</v>
      </c>
      <c r="J808" s="31">
        <v>1.0</v>
      </c>
      <c r="K808" s="11">
        <v>1000.0</v>
      </c>
      <c r="L808" s="32">
        <f t="shared" ref="L808:L810" si="226">(21500)/P808</f>
        <v>1.337563768</v>
      </c>
      <c r="M808" s="32">
        <f>(1000/5)/P808</f>
        <v>0.01244245365</v>
      </c>
      <c r="N808" s="32">
        <v>0.0</v>
      </c>
      <c r="O808" s="32">
        <v>0.0</v>
      </c>
      <c r="P808" s="33">
        <v>16074.0</v>
      </c>
      <c r="Q808" s="34">
        <v>1000.0</v>
      </c>
      <c r="R808" s="42">
        <v>1.3375637675749659</v>
      </c>
      <c r="S808" s="36">
        <v>0.012442453651860147</v>
      </c>
      <c r="T808" s="36"/>
      <c r="U808" s="36"/>
      <c r="V808" s="36">
        <v>1.350006221226826</v>
      </c>
      <c r="W808" s="37">
        <v>0.001350006221226826</v>
      </c>
      <c r="X808" s="42">
        <v>21500.0</v>
      </c>
      <c r="Y808" s="36">
        <v>200.0</v>
      </c>
      <c r="Z808" s="36"/>
      <c r="AA808" s="36"/>
      <c r="AB808" s="36">
        <v>21700.0</v>
      </c>
      <c r="AC808" s="37">
        <v>21.7</v>
      </c>
      <c r="AD808" s="31"/>
      <c r="AE808" s="11"/>
      <c r="AF808" s="11"/>
    </row>
    <row r="809">
      <c r="A809" s="11" t="s">
        <v>808</v>
      </c>
      <c r="B809" s="39">
        <v>45381.200694444444</v>
      </c>
      <c r="C809" s="40">
        <v>45384.567692048615</v>
      </c>
      <c r="D809" s="27" t="s">
        <v>37</v>
      </c>
      <c r="E809" s="11" t="b">
        <v>0</v>
      </c>
      <c r="F809" s="11" t="s">
        <v>49</v>
      </c>
      <c r="G809" s="11" t="s">
        <v>793</v>
      </c>
      <c r="H809" s="11" t="s">
        <v>793</v>
      </c>
      <c r="I809" s="30">
        <v>5.0</v>
      </c>
      <c r="J809" s="31">
        <v>1.0</v>
      </c>
      <c r="K809" s="11">
        <v>1000.0</v>
      </c>
      <c r="L809" s="32">
        <f t="shared" si="226"/>
        <v>1.353904282</v>
      </c>
      <c r="M809" s="32">
        <f>(1000/4)/P809</f>
        <v>0.01574307305</v>
      </c>
      <c r="N809" s="32">
        <v>0.0</v>
      </c>
      <c r="O809" s="32">
        <v>0.0</v>
      </c>
      <c r="P809" s="33">
        <v>15880.0</v>
      </c>
      <c r="Q809" s="34">
        <v>1000.0</v>
      </c>
      <c r="R809" s="42">
        <v>1.353904282115869</v>
      </c>
      <c r="S809" s="36">
        <v>0.015743073047858942</v>
      </c>
      <c r="T809" s="36"/>
      <c r="U809" s="36"/>
      <c r="V809" s="36">
        <v>1.369647355163728</v>
      </c>
      <c r="W809" s="37">
        <v>0.001369647355163728</v>
      </c>
      <c r="X809" s="42">
        <v>21500.0</v>
      </c>
      <c r="Y809" s="36">
        <v>250.0</v>
      </c>
      <c r="Z809" s="36"/>
      <c r="AA809" s="36"/>
      <c r="AB809" s="36">
        <v>21750.0</v>
      </c>
      <c r="AC809" s="37">
        <v>21.75</v>
      </c>
      <c r="AD809" s="31"/>
      <c r="AE809" s="11"/>
      <c r="AF809" s="11"/>
    </row>
    <row r="810">
      <c r="A810" s="11" t="s">
        <v>808</v>
      </c>
      <c r="B810" s="39">
        <v>45348.45060354167</v>
      </c>
      <c r="C810" s="40">
        <v>45350.52266615741</v>
      </c>
      <c r="D810" s="27" t="s">
        <v>37</v>
      </c>
      <c r="E810" s="11" t="b">
        <v>0</v>
      </c>
      <c r="F810" s="11" t="s">
        <v>49</v>
      </c>
      <c r="G810" s="11" t="s">
        <v>89</v>
      </c>
      <c r="H810" s="11" t="s">
        <v>89</v>
      </c>
      <c r="I810" s="30">
        <v>5.0</v>
      </c>
      <c r="J810" s="31">
        <v>2.0</v>
      </c>
      <c r="K810" s="11">
        <v>1000.0</v>
      </c>
      <c r="L810" s="32">
        <f t="shared" si="226"/>
        <v>1.374944043</v>
      </c>
      <c r="M810" s="32">
        <f>(1000)/2/P810</f>
        <v>0.03197544286</v>
      </c>
      <c r="N810" s="32">
        <v>0.0</v>
      </c>
      <c r="O810" s="32">
        <v>0.0</v>
      </c>
      <c r="P810" s="33">
        <v>15637.0</v>
      </c>
      <c r="Q810" s="34">
        <v>2000.0</v>
      </c>
      <c r="R810" s="42">
        <v>2.7498880859499906</v>
      </c>
      <c r="S810" s="36">
        <v>0.03197544285988361</v>
      </c>
      <c r="T810" s="36"/>
      <c r="U810" s="36"/>
      <c r="V810" s="36">
        <v>2.781863528809874</v>
      </c>
      <c r="W810" s="37">
        <v>0.0013909317644049371</v>
      </c>
      <c r="X810" s="42">
        <v>43000.0</v>
      </c>
      <c r="Y810" s="36">
        <v>500.0</v>
      </c>
      <c r="Z810" s="36"/>
      <c r="AA810" s="36"/>
      <c r="AB810" s="36">
        <v>43500.0</v>
      </c>
      <c r="AC810" s="37">
        <v>21.75</v>
      </c>
      <c r="AD810" s="31"/>
      <c r="AE810" s="11"/>
      <c r="AF810" s="11"/>
    </row>
    <row r="811">
      <c r="A811" s="11" t="s">
        <v>809</v>
      </c>
      <c r="B811" s="77">
        <v>45986.603472222225</v>
      </c>
      <c r="C811" s="40">
        <v>45988.43541666667</v>
      </c>
      <c r="D811" s="27" t="s">
        <v>37</v>
      </c>
      <c r="E811" s="11" t="b">
        <v>0</v>
      </c>
      <c r="F811" s="11" t="s">
        <v>38</v>
      </c>
      <c r="G811" s="11" t="s">
        <v>763</v>
      </c>
      <c r="H811" s="11" t="s">
        <v>764</v>
      </c>
      <c r="I811" s="30">
        <v>5.0</v>
      </c>
      <c r="J811" s="31">
        <v>1.0</v>
      </c>
      <c r="K811" s="11">
        <v>1000.0</v>
      </c>
      <c r="L811" s="32">
        <f>(20000)/P811</f>
        <v>20000</v>
      </c>
      <c r="M811" s="32">
        <f>(8000/5)/P811</f>
        <v>1600</v>
      </c>
      <c r="N811" s="32">
        <f>((20000 + 800)/5)/P811</f>
        <v>4160</v>
      </c>
      <c r="O811" s="32">
        <v>0.0</v>
      </c>
      <c r="P811" s="33">
        <v>1.0</v>
      </c>
      <c r="Q811" s="34">
        <v>1000.0</v>
      </c>
      <c r="R811" s="42">
        <v>20000.0</v>
      </c>
      <c r="S811" s="36">
        <v>1600.0</v>
      </c>
      <c r="T811" s="36">
        <v>4160.0</v>
      </c>
      <c r="U811" s="36"/>
      <c r="V811" s="36">
        <v>17440.0</v>
      </c>
      <c r="W811" s="37">
        <v>17.44</v>
      </c>
      <c r="X811" s="42">
        <v>20000.0</v>
      </c>
      <c r="Y811" s="36">
        <v>1600.0</v>
      </c>
      <c r="Z811" s="36">
        <v>4160.0</v>
      </c>
      <c r="AA811" s="36"/>
      <c r="AB811" s="36">
        <v>17440.0</v>
      </c>
      <c r="AC811" s="37">
        <v>17.44</v>
      </c>
      <c r="AD811" s="31"/>
      <c r="AE811" s="11"/>
      <c r="AF811" s="11"/>
    </row>
    <row r="812">
      <c r="A812" s="11" t="s">
        <v>809</v>
      </c>
      <c r="B812" s="39">
        <v>44032.0</v>
      </c>
      <c r="C812" s="40">
        <v>44039.0</v>
      </c>
      <c r="D812" s="27" t="s">
        <v>48</v>
      </c>
      <c r="E812" s="11" t="b">
        <v>0</v>
      </c>
      <c r="F812" s="11" t="s">
        <v>38</v>
      </c>
      <c r="G812" s="128" t="s">
        <v>810</v>
      </c>
      <c r="H812" s="136" t="s">
        <v>47</v>
      </c>
      <c r="I812" s="33">
        <v>5.0</v>
      </c>
      <c r="J812" s="31">
        <v>1.0</v>
      </c>
      <c r="K812" s="11">
        <v>1000.0</v>
      </c>
      <c r="L812" s="32">
        <f>21000/P812</f>
        <v>2.1</v>
      </c>
      <c r="M812" s="32">
        <f>J812*8600/6/P812</f>
        <v>0.1433333333</v>
      </c>
      <c r="N812" s="32"/>
      <c r="O812" s="32"/>
      <c r="P812" s="33">
        <v>10000.0</v>
      </c>
      <c r="Q812" s="34">
        <v>1000.0</v>
      </c>
      <c r="R812" s="42">
        <v>2.1</v>
      </c>
      <c r="S812" s="36">
        <v>0.1433333333333333</v>
      </c>
      <c r="T812" s="36"/>
      <c r="U812" s="36"/>
      <c r="V812" s="36">
        <v>2.243333333333333</v>
      </c>
      <c r="W812" s="37">
        <v>0.0022433333333333333</v>
      </c>
      <c r="X812" s="42">
        <v>21000.0</v>
      </c>
      <c r="Y812" s="36">
        <v>1433.333333333333</v>
      </c>
      <c r="Z812" s="36"/>
      <c r="AA812" s="36"/>
      <c r="AB812" s="36">
        <v>22433.333333333332</v>
      </c>
      <c r="AC812" s="37">
        <v>22.433333333333334</v>
      </c>
      <c r="AD812" s="31"/>
      <c r="AE812" s="11"/>
      <c r="AF812" s="11"/>
    </row>
    <row r="813">
      <c r="A813" s="11" t="s">
        <v>811</v>
      </c>
      <c r="B813" s="77">
        <v>45986.603472222225</v>
      </c>
      <c r="C813" s="40">
        <v>45987.64513888889</v>
      </c>
      <c r="D813" s="27" t="s">
        <v>33</v>
      </c>
      <c r="E813" s="11" t="b">
        <v>0</v>
      </c>
      <c r="F813" s="11" t="s">
        <v>38</v>
      </c>
      <c r="G813" s="11" t="s">
        <v>767</v>
      </c>
      <c r="H813" s="11" t="s">
        <v>789</v>
      </c>
      <c r="I813" s="30">
        <v>5.0</v>
      </c>
      <c r="J813" s="31">
        <v>1.0</v>
      </c>
      <c r="K813" s="11">
        <v>1000.0</v>
      </c>
      <c r="L813" s="32">
        <f>(19900)/P813</f>
        <v>19900</v>
      </c>
      <c r="M813" s="32">
        <f>(7500/4)/P813</f>
        <v>1875</v>
      </c>
      <c r="N813" s="32">
        <f>((15940 + 638)/4)/P813</f>
        <v>4144.5</v>
      </c>
      <c r="O813" s="32">
        <v>0.0</v>
      </c>
      <c r="P813" s="33">
        <v>1.0</v>
      </c>
      <c r="Q813" s="34">
        <v>1000.0</v>
      </c>
      <c r="R813" s="42">
        <v>19900.0</v>
      </c>
      <c r="S813" s="36">
        <v>1875.0</v>
      </c>
      <c r="T813" s="36">
        <v>4144.5</v>
      </c>
      <c r="U813" s="36"/>
      <c r="V813" s="36">
        <v>17630.5</v>
      </c>
      <c r="W813" s="37">
        <v>17.6305</v>
      </c>
      <c r="X813" s="42">
        <v>19900.0</v>
      </c>
      <c r="Y813" s="36">
        <v>1875.0</v>
      </c>
      <c r="Z813" s="36">
        <v>4144.5</v>
      </c>
      <c r="AA813" s="36"/>
      <c r="AB813" s="36">
        <v>17630.5</v>
      </c>
      <c r="AC813" s="37">
        <v>17.6305</v>
      </c>
      <c r="AD813" s="31"/>
      <c r="AE813" s="11"/>
      <c r="AF813" s="11"/>
    </row>
    <row r="814">
      <c r="A814" s="11" t="s">
        <v>811</v>
      </c>
      <c r="B814" s="39">
        <v>45795.775</v>
      </c>
      <c r="C814" s="40">
        <v>45797.44027777778</v>
      </c>
      <c r="D814" s="27" t="s">
        <v>33</v>
      </c>
      <c r="E814" s="11" t="b">
        <v>0</v>
      </c>
      <c r="F814" s="11" t="s">
        <v>49</v>
      </c>
      <c r="G814" s="11" t="s">
        <v>757</v>
      </c>
      <c r="H814" s="11" t="s">
        <v>758</v>
      </c>
      <c r="I814" s="30">
        <v>5.0</v>
      </c>
      <c r="J814" s="31">
        <v>3.0</v>
      </c>
      <c r="K814" s="11">
        <v>1000.0</v>
      </c>
      <c r="L814" s="32">
        <f>(22150)/P814</f>
        <v>1.343482744</v>
      </c>
      <c r="M814" s="32">
        <f>(1000/15)/P814</f>
        <v>0.004043589899</v>
      </c>
      <c r="N814" s="32">
        <f>(X814*10%)/P814</f>
        <v>0.4030448232</v>
      </c>
      <c r="O814" s="32">
        <v>0.0</v>
      </c>
      <c r="P814" s="33">
        <v>16487.0</v>
      </c>
      <c r="Q814" s="34">
        <v>3000.0</v>
      </c>
      <c r="R814" s="42">
        <v>4.0304482319403165</v>
      </c>
      <c r="S814" s="36">
        <v>0.004043589899112432</v>
      </c>
      <c r="T814" s="36">
        <v>0.4030448231940317</v>
      </c>
      <c r="U814" s="36"/>
      <c r="V814" s="36">
        <v>3.631446998645397</v>
      </c>
      <c r="W814" s="37">
        <v>0.001210482332881799</v>
      </c>
      <c r="X814" s="42">
        <v>66450.0</v>
      </c>
      <c r="Y814" s="36">
        <v>66.66666666666667</v>
      </c>
      <c r="Z814" s="36">
        <v>6645.0</v>
      </c>
      <c r="AA814" s="36"/>
      <c r="AB814" s="36">
        <v>59871.66666666666</v>
      </c>
      <c r="AC814" s="37">
        <v>19.957222222222217</v>
      </c>
      <c r="AD814" s="31"/>
      <c r="AE814" s="11"/>
      <c r="AF814" s="11"/>
    </row>
    <row r="815">
      <c r="A815" s="11" t="s">
        <v>812</v>
      </c>
      <c r="B815" s="39">
        <v>45624.70486111111</v>
      </c>
      <c r="C815" s="40">
        <v>45626.86597222222</v>
      </c>
      <c r="D815" s="27" t="s">
        <v>37</v>
      </c>
      <c r="E815" s="11" t="b">
        <v>0</v>
      </c>
      <c r="F815" s="11" t="s">
        <v>49</v>
      </c>
      <c r="G815" s="11" t="s">
        <v>246</v>
      </c>
      <c r="H815" s="11" t="s">
        <v>813</v>
      </c>
      <c r="I815" s="30">
        <v>5.0</v>
      </c>
      <c r="J815" s="31">
        <v>1.0</v>
      </c>
      <c r="K815" s="11">
        <v>1.0</v>
      </c>
      <c r="L815" s="32">
        <f>(12200)/P815</f>
        <v>0.7683587354</v>
      </c>
      <c r="M815" s="32">
        <f>(1000)/P815</f>
        <v>0.06298022421</v>
      </c>
      <c r="N815" s="32">
        <v>0.0</v>
      </c>
      <c r="O815" s="32">
        <v>0.0</v>
      </c>
      <c r="P815" s="33">
        <v>15878.0</v>
      </c>
      <c r="Q815" s="34">
        <v>1.0</v>
      </c>
      <c r="R815" s="42">
        <v>0.7683587353570979</v>
      </c>
      <c r="S815" s="36">
        <v>0.06298022420959819</v>
      </c>
      <c r="T815" s="36"/>
      <c r="U815" s="36"/>
      <c r="V815" s="36">
        <v>0.831338959566696</v>
      </c>
      <c r="W815" s="37">
        <v>0.831338959566696</v>
      </c>
      <c r="X815" s="42">
        <v>12200.0</v>
      </c>
      <c r="Y815" s="36">
        <v>1000.0</v>
      </c>
      <c r="Z815" s="36"/>
      <c r="AA815" s="36"/>
      <c r="AB815" s="36">
        <v>13200.0</v>
      </c>
      <c r="AC815" s="37">
        <v>13200.0</v>
      </c>
      <c r="AD815" s="31"/>
      <c r="AE815" s="11"/>
      <c r="AF815" s="11"/>
    </row>
    <row r="816">
      <c r="A816" s="11" t="s">
        <v>812</v>
      </c>
      <c r="B816" s="39">
        <v>45621.01597222222</v>
      </c>
      <c r="C816" s="40">
        <v>45623.49722222222</v>
      </c>
      <c r="D816" s="27" t="s">
        <v>37</v>
      </c>
      <c r="E816" s="11" t="b">
        <v>0</v>
      </c>
      <c r="F816" s="11" t="s">
        <v>49</v>
      </c>
      <c r="G816" s="11" t="s">
        <v>814</v>
      </c>
      <c r="H816" s="11" t="s">
        <v>815</v>
      </c>
      <c r="I816" s="30">
        <v>5.0</v>
      </c>
      <c r="J816" s="31">
        <v>66.0</v>
      </c>
      <c r="K816" s="11">
        <v>1.0</v>
      </c>
      <c r="L816" s="32">
        <f>(12150)/P816</f>
        <v>0.7641028866</v>
      </c>
      <c r="M816" s="32">
        <f>(96)/P816</f>
        <v>0.006037356141</v>
      </c>
      <c r="N816" s="32">
        <f>(96228)/P816</f>
        <v>6.051694862</v>
      </c>
      <c r="O816" s="32">
        <v>0.0</v>
      </c>
      <c r="P816" s="33">
        <v>15901.0</v>
      </c>
      <c r="Q816" s="34">
        <v>66.0</v>
      </c>
      <c r="R816" s="42">
        <v>50.43079051631973</v>
      </c>
      <c r="S816" s="36">
        <v>0.0060373561411232</v>
      </c>
      <c r="T816" s="36">
        <v>6.051694861958367</v>
      </c>
      <c r="U816" s="36"/>
      <c r="V816" s="36">
        <v>44.385133010502486</v>
      </c>
      <c r="W816" s="37">
        <v>0.6725020153106437</v>
      </c>
      <c r="X816" s="42">
        <v>801900.0</v>
      </c>
      <c r="Y816" s="36">
        <v>96.0</v>
      </c>
      <c r="Z816" s="36">
        <v>96228.0</v>
      </c>
      <c r="AA816" s="36"/>
      <c r="AB816" s="36">
        <v>705768.0</v>
      </c>
      <c r="AC816" s="37">
        <v>10693.454545454546</v>
      </c>
      <c r="AD816" s="31"/>
      <c r="AE816" s="11"/>
      <c r="AF816" s="11"/>
    </row>
    <row r="817">
      <c r="A817" s="11" t="s">
        <v>812</v>
      </c>
      <c r="B817" s="39">
        <v>45607.756944444445</v>
      </c>
      <c r="C817" s="40">
        <v>45610.373611111114</v>
      </c>
      <c r="D817" s="27" t="s">
        <v>33</v>
      </c>
      <c r="E817" s="11" t="b">
        <v>0</v>
      </c>
      <c r="F817" s="11" t="s">
        <v>49</v>
      </c>
      <c r="G817" s="11" t="s">
        <v>203</v>
      </c>
      <c r="H817" s="11" t="s">
        <v>816</v>
      </c>
      <c r="I817" s="30">
        <v>5.0</v>
      </c>
      <c r="J817" s="31">
        <v>85.0</v>
      </c>
      <c r="K817" s="11">
        <v>1.0</v>
      </c>
      <c r="L817" s="32">
        <f>(11583)/P817</f>
        <v>0.7347288297</v>
      </c>
      <c r="M817" s="32">
        <f>(124)/P817</f>
        <v>0.007865524897</v>
      </c>
      <c r="N817" s="32">
        <f>(78765)/P817</f>
        <v>4.996194101</v>
      </c>
      <c r="O817" s="32">
        <v>0.0</v>
      </c>
      <c r="P817" s="33">
        <v>15765.0</v>
      </c>
      <c r="Q817" s="34">
        <v>85.0</v>
      </c>
      <c r="R817" s="42">
        <v>62.451950523311126</v>
      </c>
      <c r="S817" s="36">
        <v>0.007865524896923565</v>
      </c>
      <c r="T817" s="36">
        <v>4.996194100856327</v>
      </c>
      <c r="U817" s="36"/>
      <c r="V817" s="36">
        <v>57.46362194735172</v>
      </c>
      <c r="W817" s="37">
        <v>0.6760426111453144</v>
      </c>
      <c r="X817" s="42">
        <v>984554.9999999999</v>
      </c>
      <c r="Y817" s="36">
        <v>124.00000000000001</v>
      </c>
      <c r="Z817" s="36">
        <v>78765.0</v>
      </c>
      <c r="AA817" s="36"/>
      <c r="AB817" s="36">
        <v>905913.9999999999</v>
      </c>
      <c r="AC817" s="37">
        <v>10657.81176470588</v>
      </c>
      <c r="AD817" s="31"/>
      <c r="AE817" s="11"/>
      <c r="AF817" s="11"/>
    </row>
    <row r="818">
      <c r="A818" s="11" t="s">
        <v>817</v>
      </c>
      <c r="B818" s="39">
        <v>45563.55902777778</v>
      </c>
      <c r="C818" s="40">
        <v>45565.45972222222</v>
      </c>
      <c r="D818" s="27" t="s">
        <v>37</v>
      </c>
      <c r="E818" s="11" t="b">
        <v>0</v>
      </c>
      <c r="F818" s="11" t="s">
        <v>49</v>
      </c>
      <c r="G818" s="11" t="s">
        <v>246</v>
      </c>
      <c r="H818" s="11" t="s">
        <v>818</v>
      </c>
      <c r="I818" s="30">
        <v>5.0</v>
      </c>
      <c r="J818" s="31">
        <v>115.0</v>
      </c>
      <c r="K818" s="11">
        <v>1.0</v>
      </c>
      <c r="L818" s="32">
        <f>(20000)/P818</f>
        <v>1.315789474</v>
      </c>
      <c r="M818" s="32">
        <f>(904)/P818</f>
        <v>0.05947368421</v>
      </c>
      <c r="N818" s="32">
        <f>(230000)/P818</f>
        <v>15.13157895</v>
      </c>
      <c r="O818" s="32">
        <v>0.0</v>
      </c>
      <c r="P818" s="33">
        <v>15200.0</v>
      </c>
      <c r="Q818" s="34">
        <v>115.0</v>
      </c>
      <c r="R818" s="42">
        <v>151.31578947368422</v>
      </c>
      <c r="S818" s="36">
        <v>0.05947368421052632</v>
      </c>
      <c r="T818" s="36">
        <v>15.131578947368421</v>
      </c>
      <c r="U818" s="36"/>
      <c r="V818" s="36">
        <v>136.24368421052634</v>
      </c>
      <c r="W818" s="37">
        <v>1.1847276887871856</v>
      </c>
      <c r="X818" s="42">
        <v>2300000.0</v>
      </c>
      <c r="Y818" s="36">
        <v>904.0</v>
      </c>
      <c r="Z818" s="36">
        <v>230000.0</v>
      </c>
      <c r="AA818" s="36"/>
      <c r="AB818" s="36">
        <v>2070904.0000000005</v>
      </c>
      <c r="AC818" s="37">
        <v>18007.860869565222</v>
      </c>
      <c r="AD818" s="31"/>
      <c r="AE818" s="11"/>
      <c r="AF818" s="11"/>
    </row>
    <row r="819">
      <c r="A819" s="11" t="s">
        <v>817</v>
      </c>
      <c r="B819" s="39">
        <v>45512.03472222222</v>
      </c>
      <c r="C819" s="40">
        <v>45515.56458333333</v>
      </c>
      <c r="D819" s="27" t="s">
        <v>37</v>
      </c>
      <c r="E819" s="11" t="b">
        <v>0</v>
      </c>
      <c r="F819" s="11" t="s">
        <v>49</v>
      </c>
      <c r="G819" s="11" t="s">
        <v>246</v>
      </c>
      <c r="H819" s="11" t="s">
        <v>697</v>
      </c>
      <c r="I819" s="30">
        <v>5.0</v>
      </c>
      <c r="J819" s="31">
        <v>57.0</v>
      </c>
      <c r="K819" s="11">
        <v>1.0</v>
      </c>
      <c r="L819" s="32">
        <f>(21500)/P819</f>
        <v>1.344926811</v>
      </c>
      <c r="M819" s="32">
        <f>(269)/P819</f>
        <v>0.01682722382</v>
      </c>
      <c r="N819" s="32">
        <f>(X819*15%)/P819</f>
        <v>11.49912423</v>
      </c>
      <c r="O819" s="32">
        <v>0.0</v>
      </c>
      <c r="P819" s="33">
        <v>15986.0</v>
      </c>
      <c r="Q819" s="34">
        <v>57.0</v>
      </c>
      <c r="R819" s="42">
        <v>76.6608282246966</v>
      </c>
      <c r="S819" s="36">
        <v>0.01682722382084324</v>
      </c>
      <c r="T819" s="36">
        <v>11.499124233704489</v>
      </c>
      <c r="U819" s="36"/>
      <c r="V819" s="36">
        <v>65.17853121481295</v>
      </c>
      <c r="W819" s="37">
        <v>1.1434830037686483</v>
      </c>
      <c r="X819" s="42">
        <v>1225499.9999999998</v>
      </c>
      <c r="Y819" s="36">
        <v>269.0</v>
      </c>
      <c r="Z819" s="36">
        <v>183824.99999999997</v>
      </c>
      <c r="AA819" s="36"/>
      <c r="AB819" s="36">
        <v>1041943.9999999998</v>
      </c>
      <c r="AC819" s="37">
        <v>18279.71929824561</v>
      </c>
      <c r="AD819" s="31"/>
      <c r="AE819" s="11"/>
      <c r="AF819" s="11"/>
    </row>
    <row r="820">
      <c r="A820" s="11" t="s">
        <v>817</v>
      </c>
      <c r="B820" s="39">
        <v>45500.94583333333</v>
      </c>
      <c r="C820" s="40">
        <v>45504.501388888886</v>
      </c>
      <c r="D820" s="27" t="s">
        <v>37</v>
      </c>
      <c r="E820" s="11" t="b">
        <v>0</v>
      </c>
      <c r="F820" s="11" t="s">
        <v>38</v>
      </c>
      <c r="G820" s="11" t="s">
        <v>246</v>
      </c>
      <c r="H820" s="11" t="s">
        <v>819</v>
      </c>
      <c r="I820" s="30">
        <v>5.0</v>
      </c>
      <c r="J820" s="31">
        <v>50.0</v>
      </c>
      <c r="K820" s="11">
        <v>1.0</v>
      </c>
      <c r="L820" s="32">
        <f t="shared" ref="L820:L822" si="227">(20000)/P820</f>
        <v>1.226692836</v>
      </c>
      <c r="M820" s="32">
        <f>(6200 + 1000)/P820</f>
        <v>0.441609421</v>
      </c>
      <c r="N820" s="32">
        <f>(60000)/P820</f>
        <v>3.680078508</v>
      </c>
      <c r="O820" s="32">
        <v>0.0</v>
      </c>
      <c r="P820" s="33">
        <v>16304.0</v>
      </c>
      <c r="Q820" s="34">
        <v>50.0</v>
      </c>
      <c r="R820" s="42">
        <v>61.33464180569186</v>
      </c>
      <c r="S820" s="36">
        <v>0.44160942100098133</v>
      </c>
      <c r="T820" s="36">
        <v>3.680078508341511</v>
      </c>
      <c r="U820" s="36"/>
      <c r="V820" s="36">
        <v>58.09617271835133</v>
      </c>
      <c r="W820" s="37">
        <v>1.1619234543670267</v>
      </c>
      <c r="X820" s="42">
        <v>1000000.0000000001</v>
      </c>
      <c r="Y820" s="36">
        <v>7200.0</v>
      </c>
      <c r="Z820" s="36">
        <v>60000.0</v>
      </c>
      <c r="AA820" s="36"/>
      <c r="AB820" s="36">
        <v>947200.0000000001</v>
      </c>
      <c r="AC820" s="37">
        <v>18944.000000000004</v>
      </c>
      <c r="AD820" s="31"/>
      <c r="AE820" s="11"/>
      <c r="AF820" s="11"/>
    </row>
    <row r="821">
      <c r="A821" s="11" t="s">
        <v>817</v>
      </c>
      <c r="B821" s="39">
        <v>45409.65833333333</v>
      </c>
      <c r="C821" s="40">
        <v>45413.666666666664</v>
      </c>
      <c r="D821" s="27" t="s">
        <v>33</v>
      </c>
      <c r="E821" s="11" t="b">
        <v>0</v>
      </c>
      <c r="F821" s="11" t="s">
        <v>38</v>
      </c>
      <c r="G821" s="11" t="s">
        <v>428</v>
      </c>
      <c r="H821" s="11" t="s">
        <v>428</v>
      </c>
      <c r="I821" s="30">
        <v>5.0</v>
      </c>
      <c r="J821" s="31">
        <v>115.0</v>
      </c>
      <c r="K821" s="11">
        <v>1.0</v>
      </c>
      <c r="L821" s="32">
        <f t="shared" si="227"/>
        <v>1.231451265</v>
      </c>
      <c r="M821" s="32">
        <f t="shared" ref="M821:M822" si="228">(1000)/2/P821</f>
        <v>0.03078628163</v>
      </c>
      <c r="N821" s="32">
        <f>(115000 + 10925)/P821</f>
        <v>7.753525029</v>
      </c>
      <c r="O821" s="32">
        <v>0.0</v>
      </c>
      <c r="P821" s="33">
        <v>16241.0</v>
      </c>
      <c r="Q821" s="34">
        <v>115.0</v>
      </c>
      <c r="R821" s="42">
        <v>141.61689551136013</v>
      </c>
      <c r="S821" s="36">
        <v>0.030786281632904377</v>
      </c>
      <c r="T821" s="36">
        <v>7.753525029246967</v>
      </c>
      <c r="U821" s="36"/>
      <c r="V821" s="36">
        <v>133.89415676374608</v>
      </c>
      <c r="W821" s="37">
        <v>1.1642970153369225</v>
      </c>
      <c r="X821" s="42">
        <v>2300000.0</v>
      </c>
      <c r="Y821" s="36">
        <v>500.0</v>
      </c>
      <c r="Z821" s="36">
        <v>125925.0</v>
      </c>
      <c r="AA821" s="36"/>
      <c r="AB821" s="36">
        <v>2174575.0</v>
      </c>
      <c r="AC821" s="37">
        <v>18909.347826086956</v>
      </c>
      <c r="AD821" s="31"/>
      <c r="AE821" s="11"/>
      <c r="AF821" s="11"/>
    </row>
    <row r="822">
      <c r="A822" s="11" t="s">
        <v>817</v>
      </c>
      <c r="B822" s="39">
        <v>45409.32847222222</v>
      </c>
      <c r="C822" s="40">
        <v>45412.402281689814</v>
      </c>
      <c r="D822" s="27" t="s">
        <v>37</v>
      </c>
      <c r="E822" s="11" t="b">
        <v>0</v>
      </c>
      <c r="F822" s="11" t="s">
        <v>38</v>
      </c>
      <c r="G822" s="11" t="s">
        <v>820</v>
      </c>
      <c r="H822" s="11" t="s">
        <v>820</v>
      </c>
      <c r="I822" s="30">
        <v>5.0</v>
      </c>
      <c r="J822" s="31">
        <v>65.0</v>
      </c>
      <c r="K822" s="11">
        <v>1.0</v>
      </c>
      <c r="L822" s="32">
        <f t="shared" si="227"/>
        <v>1.231451265</v>
      </c>
      <c r="M822" s="32">
        <f t="shared" si="228"/>
        <v>0.03078628163</v>
      </c>
      <c r="N822" s="32">
        <f>(65000)/P822</f>
        <v>4.002216612</v>
      </c>
      <c r="O822" s="32">
        <v>0.0</v>
      </c>
      <c r="P822" s="33">
        <v>16241.0</v>
      </c>
      <c r="Q822" s="34">
        <v>65.0</v>
      </c>
      <c r="R822" s="42">
        <v>80.04433224555139</v>
      </c>
      <c r="S822" s="36">
        <v>0.030786281632904377</v>
      </c>
      <c r="T822" s="36">
        <v>4.002216612277569</v>
      </c>
      <c r="U822" s="36"/>
      <c r="V822" s="36">
        <v>76.07290191490672</v>
      </c>
      <c r="W822" s="37">
        <v>1.1703523371524112</v>
      </c>
      <c r="X822" s="42">
        <v>1300000.0</v>
      </c>
      <c r="Y822" s="36">
        <v>500.0</v>
      </c>
      <c r="Z822" s="36">
        <v>64999.99999999999</v>
      </c>
      <c r="AA822" s="36"/>
      <c r="AB822" s="36">
        <v>1235500.0</v>
      </c>
      <c r="AC822" s="37">
        <v>19007.69230769231</v>
      </c>
      <c r="AD822" s="31"/>
      <c r="AE822" s="11"/>
      <c r="AF822" s="11"/>
    </row>
    <row r="823">
      <c r="A823" s="11" t="s">
        <v>817</v>
      </c>
      <c r="B823" s="39">
        <v>45354.04513888889</v>
      </c>
      <c r="C823" s="40">
        <v>45358.67125</v>
      </c>
      <c r="D823" s="27" t="s">
        <v>33</v>
      </c>
      <c r="E823" s="11" t="b">
        <v>0</v>
      </c>
      <c r="F823" s="11" t="s">
        <v>49</v>
      </c>
      <c r="G823" s="11" t="s">
        <v>89</v>
      </c>
      <c r="H823" s="11" t="s">
        <v>89</v>
      </c>
      <c r="I823" s="30">
        <v>5.0</v>
      </c>
      <c r="J823" s="31">
        <v>9.0</v>
      </c>
      <c r="K823" s="11">
        <v>1.0</v>
      </c>
      <c r="L823" s="32">
        <f t="shared" ref="L823:L824" si="229">(22000)/P823</f>
        <v>1.401184638</v>
      </c>
      <c r="M823" s="32">
        <f t="shared" ref="M823:M824" si="230">(1000)/P823</f>
        <v>0.06369021081</v>
      </c>
      <c r="N823" s="32">
        <f>(19800)/P823</f>
        <v>1.261066174</v>
      </c>
      <c r="O823" s="32">
        <v>0.0</v>
      </c>
      <c r="P823" s="33">
        <v>15701.0</v>
      </c>
      <c r="Q823" s="34">
        <v>9.0</v>
      </c>
      <c r="R823" s="42">
        <v>12.610661741290363</v>
      </c>
      <c r="S823" s="36">
        <v>0.0636902108145978</v>
      </c>
      <c r="T823" s="36">
        <v>1.2610661741290363</v>
      </c>
      <c r="U823" s="36"/>
      <c r="V823" s="36">
        <v>11.413285777975924</v>
      </c>
      <c r="W823" s="37">
        <v>1.2681428642195471</v>
      </c>
      <c r="X823" s="42">
        <v>198000.0</v>
      </c>
      <c r="Y823" s="36">
        <v>1000.0000000000001</v>
      </c>
      <c r="Z823" s="36">
        <v>19800.0</v>
      </c>
      <c r="AA823" s="36"/>
      <c r="AB823" s="36">
        <v>179199.99999999997</v>
      </c>
      <c r="AC823" s="37">
        <v>19911.11111111111</v>
      </c>
      <c r="AD823" s="31"/>
      <c r="AE823" s="11"/>
      <c r="AF823" s="11"/>
    </row>
    <row r="824">
      <c r="A824" s="11" t="s">
        <v>817</v>
      </c>
      <c r="B824" s="39">
        <v>45354.04513888889</v>
      </c>
      <c r="C824" s="40">
        <v>45358.67125</v>
      </c>
      <c r="D824" s="27" t="s">
        <v>33</v>
      </c>
      <c r="E824" s="11" t="b">
        <v>0</v>
      </c>
      <c r="F824" s="11" t="s">
        <v>49</v>
      </c>
      <c r="G824" s="11" t="s">
        <v>89</v>
      </c>
      <c r="H824" s="11" t="s">
        <v>89</v>
      </c>
      <c r="I824" s="30">
        <v>5.0</v>
      </c>
      <c r="J824" s="31">
        <v>5.0</v>
      </c>
      <c r="K824" s="11">
        <v>1.0</v>
      </c>
      <c r="L824" s="32">
        <f t="shared" si="229"/>
        <v>1.401184638</v>
      </c>
      <c r="M824" s="32">
        <f t="shared" si="230"/>
        <v>0.06369021081</v>
      </c>
      <c r="N824" s="32">
        <f>(10000)/P824</f>
        <v>0.6369021081</v>
      </c>
      <c r="O824" s="32">
        <v>0.0</v>
      </c>
      <c r="P824" s="33">
        <v>15701.0</v>
      </c>
      <c r="Q824" s="34">
        <v>5.0</v>
      </c>
      <c r="R824" s="42">
        <v>7.005923189605757</v>
      </c>
      <c r="S824" s="36">
        <v>0.0636902108145978</v>
      </c>
      <c r="T824" s="36">
        <v>0.6369021081459779</v>
      </c>
      <c r="U824" s="36"/>
      <c r="V824" s="36">
        <v>6.432711292274377</v>
      </c>
      <c r="W824" s="37">
        <v>1.2865422584548756</v>
      </c>
      <c r="X824" s="42">
        <v>109999.99999999999</v>
      </c>
      <c r="Y824" s="36">
        <v>1000.0000000000001</v>
      </c>
      <c r="Z824" s="36">
        <v>10000.0</v>
      </c>
      <c r="AA824" s="36"/>
      <c r="AB824" s="36">
        <v>101000.0</v>
      </c>
      <c r="AC824" s="37">
        <v>20200.0</v>
      </c>
      <c r="AD824" s="31"/>
      <c r="AE824" s="11"/>
      <c r="AF824" s="11"/>
    </row>
    <row r="825">
      <c r="A825" s="11" t="s">
        <v>821</v>
      </c>
      <c r="B825" s="39">
        <v>45773.73402777778</v>
      </c>
      <c r="C825" s="40">
        <v>45777.717361111114</v>
      </c>
      <c r="D825" s="27" t="s">
        <v>33</v>
      </c>
      <c r="E825" s="11" t="b">
        <v>0</v>
      </c>
      <c r="F825" s="11" t="s">
        <v>49</v>
      </c>
      <c r="G825" s="11" t="s">
        <v>822</v>
      </c>
      <c r="H825" s="11" t="s">
        <v>823</v>
      </c>
      <c r="I825" s="30">
        <v>5.0</v>
      </c>
      <c r="J825" s="31">
        <v>28.0</v>
      </c>
      <c r="K825" s="11">
        <v>1.0</v>
      </c>
      <c r="L825" s="32">
        <f>(19000)/P825</f>
        <v>1.142582236</v>
      </c>
      <c r="M825" s="32">
        <f>(955)/P825</f>
        <v>0.05742979133</v>
      </c>
      <c r="N825" s="32">
        <f>(X825*8%)/P825</f>
        <v>2.559384208</v>
      </c>
      <c r="O825" s="32">
        <v>0.0</v>
      </c>
      <c r="P825" s="33">
        <v>16629.0</v>
      </c>
      <c r="Q825" s="34">
        <v>28.0</v>
      </c>
      <c r="R825" s="42">
        <v>31.992302603884777</v>
      </c>
      <c r="S825" s="36">
        <v>0.05742979132840219</v>
      </c>
      <c r="T825" s="36">
        <v>2.5593842083107825</v>
      </c>
      <c r="U825" s="36"/>
      <c r="V825" s="36">
        <v>29.490348186902395</v>
      </c>
      <c r="W825" s="37">
        <v>1.0532267209607997</v>
      </c>
      <c r="X825" s="42">
        <v>532000.0</v>
      </c>
      <c r="Y825" s="36">
        <v>955.0</v>
      </c>
      <c r="Z825" s="36">
        <v>42560.0</v>
      </c>
      <c r="AA825" s="36"/>
      <c r="AB825" s="36">
        <v>490394.99999999994</v>
      </c>
      <c r="AC825" s="37">
        <v>17514.10714285714</v>
      </c>
      <c r="AD825" s="31"/>
      <c r="AE825" s="11"/>
      <c r="AF825" s="11"/>
    </row>
    <row r="826">
      <c r="A826" s="11" t="s">
        <v>821</v>
      </c>
      <c r="B826" s="39">
        <v>45590.544444444444</v>
      </c>
      <c r="C826" s="40">
        <v>45598.603472222225</v>
      </c>
      <c r="D826" s="27" t="s">
        <v>37</v>
      </c>
      <c r="E826" s="11" t="b">
        <v>0</v>
      </c>
      <c r="F826" s="11" t="s">
        <v>38</v>
      </c>
      <c r="G826" s="11" t="s">
        <v>246</v>
      </c>
      <c r="H826" s="11" t="s">
        <v>824</v>
      </c>
      <c r="I826" s="30">
        <v>5.0</v>
      </c>
      <c r="J826" s="31">
        <v>100.0</v>
      </c>
      <c r="K826" s="11">
        <v>1.0</v>
      </c>
      <c r="L826" s="32">
        <f t="shared" ref="L826:L827" si="231">(20000)/P826</f>
        <v>1.274291176</v>
      </c>
      <c r="M826" s="32">
        <f>(12300 + 1000)/P826</f>
        <v>0.8474036317</v>
      </c>
      <c r="N826" s="32">
        <f>(200000)/P826</f>
        <v>12.74291176</v>
      </c>
      <c r="O826" s="32">
        <v>0.0</v>
      </c>
      <c r="P826" s="33">
        <v>15695.0</v>
      </c>
      <c r="Q826" s="34">
        <v>100.0</v>
      </c>
      <c r="R826" s="42">
        <v>127.42911755336095</v>
      </c>
      <c r="S826" s="36">
        <v>0.8474036317298502</v>
      </c>
      <c r="T826" s="36">
        <v>12.742911755336094</v>
      </c>
      <c r="U826" s="36"/>
      <c r="V826" s="36">
        <v>115.53360942975472</v>
      </c>
      <c r="W826" s="37">
        <v>1.1553360942975472</v>
      </c>
      <c r="X826" s="42">
        <v>2000000.0000000002</v>
      </c>
      <c r="Y826" s="36">
        <v>13300.0</v>
      </c>
      <c r="Z826" s="36">
        <v>200000.0</v>
      </c>
      <c r="AA826" s="36"/>
      <c r="AB826" s="36">
        <v>1813300.0000000002</v>
      </c>
      <c r="AC826" s="37">
        <v>18133.000000000004</v>
      </c>
      <c r="AD826" s="31"/>
      <c r="AE826" s="11"/>
      <c r="AF826" s="11"/>
    </row>
    <row r="827">
      <c r="A827" s="11" t="s">
        <v>821</v>
      </c>
      <c r="B827" s="39">
        <v>45429.95486111111</v>
      </c>
      <c r="C827" s="40">
        <v>45434.632219293984</v>
      </c>
      <c r="D827" s="27" t="s">
        <v>37</v>
      </c>
      <c r="E827" s="11" t="b">
        <v>0</v>
      </c>
      <c r="F827" s="11" t="s">
        <v>38</v>
      </c>
      <c r="G827" s="11" t="s">
        <v>323</v>
      </c>
      <c r="H827" s="11" t="s">
        <v>825</v>
      </c>
      <c r="I827" s="30">
        <v>5.0</v>
      </c>
      <c r="J827" s="31">
        <v>70.0</v>
      </c>
      <c r="K827" s="11">
        <v>1.0</v>
      </c>
      <c r="L827" s="32">
        <f t="shared" si="231"/>
        <v>1.251799462</v>
      </c>
      <c r="M827" s="32">
        <f>(280 + 8600)/P827</f>
        <v>0.555798961</v>
      </c>
      <c r="N827" s="32">
        <f>(140000)/P827</f>
        <v>8.762596232</v>
      </c>
      <c r="O827" s="32">
        <v>0.0</v>
      </c>
      <c r="P827" s="33">
        <v>15977.0</v>
      </c>
      <c r="Q827" s="34">
        <v>70.0</v>
      </c>
      <c r="R827" s="42">
        <v>87.6259623208362</v>
      </c>
      <c r="S827" s="36">
        <v>0.5557989610064468</v>
      </c>
      <c r="T827" s="36">
        <v>8.76259623208362</v>
      </c>
      <c r="U827" s="36"/>
      <c r="V827" s="36">
        <v>79.41916504975902</v>
      </c>
      <c r="W827" s="37">
        <v>1.134559500710843</v>
      </c>
      <c r="X827" s="42">
        <v>1399999.9999999998</v>
      </c>
      <c r="Y827" s="36">
        <v>8880.0</v>
      </c>
      <c r="Z827" s="36">
        <v>140000.0</v>
      </c>
      <c r="AA827" s="36"/>
      <c r="AB827" s="36">
        <v>1268879.9999999998</v>
      </c>
      <c r="AC827" s="37">
        <v>18126.85714285714</v>
      </c>
      <c r="AD827" s="31"/>
      <c r="AE827" s="11"/>
      <c r="AF827" s="11"/>
    </row>
    <row r="828">
      <c r="A828" s="11" t="s">
        <v>821</v>
      </c>
      <c r="B828" s="39">
        <v>45417.85833333333</v>
      </c>
      <c r="C828" s="40">
        <v>45420.84200803241</v>
      </c>
      <c r="D828" s="27" t="s">
        <v>33</v>
      </c>
      <c r="E828" s="11" t="b">
        <v>0</v>
      </c>
      <c r="F828" s="11" t="s">
        <v>38</v>
      </c>
      <c r="G828" s="11" t="s">
        <v>826</v>
      </c>
      <c r="H828" s="11" t="s">
        <v>826</v>
      </c>
      <c r="I828" s="30">
        <v>5.0</v>
      </c>
      <c r="J828" s="31">
        <v>86.0</v>
      </c>
      <c r="K828" s="11">
        <v>1.0</v>
      </c>
      <c r="L828" s="32">
        <f>(23000)/P828</f>
        <v>1.440290563</v>
      </c>
      <c r="M828" s="32">
        <f>(1000 + 47000)/P828</f>
        <v>3.005823784</v>
      </c>
      <c r="N828" s="32">
        <f>(158240 + 27401)/P828</f>
        <v>11.6250861</v>
      </c>
      <c r="O828" s="32">
        <f>(40000)/P828</f>
        <v>2.504853153</v>
      </c>
      <c r="P828" s="33">
        <v>15969.0</v>
      </c>
      <c r="Q828" s="34">
        <v>86.0</v>
      </c>
      <c r="R828" s="42">
        <v>123.86498841505417</v>
      </c>
      <c r="S828" s="36">
        <v>3.005823783580688</v>
      </c>
      <c r="T828" s="36">
        <v>11.625086104327133</v>
      </c>
      <c r="U828" s="36">
        <v>2.504853152983906</v>
      </c>
      <c r="V828" s="36">
        <v>112.74087294132381</v>
      </c>
      <c r="W828" s="37">
        <v>1.310940383038649</v>
      </c>
      <c r="X828" s="42">
        <v>1978000.0</v>
      </c>
      <c r="Y828" s="36">
        <v>48000.0</v>
      </c>
      <c r="Z828" s="36">
        <v>185641.0</v>
      </c>
      <c r="AA828" s="36">
        <v>40000.0</v>
      </c>
      <c r="AB828" s="36">
        <v>1800359.0</v>
      </c>
      <c r="AC828" s="37">
        <v>20934.406976744187</v>
      </c>
      <c r="AD828" s="31"/>
      <c r="AE828" s="11"/>
      <c r="AF828" s="11"/>
    </row>
    <row r="829">
      <c r="A829" s="11" t="s">
        <v>821</v>
      </c>
      <c r="B829" s="39">
        <v>45377.743554155095</v>
      </c>
      <c r="C829" s="40">
        <v>45380.58819444444</v>
      </c>
      <c r="D829" s="27" t="s">
        <v>37</v>
      </c>
      <c r="E829" s="11" t="b">
        <v>0</v>
      </c>
      <c r="F829" s="11" t="s">
        <v>38</v>
      </c>
      <c r="G829" s="11" t="s">
        <v>44</v>
      </c>
      <c r="H829" s="11" t="s">
        <v>44</v>
      </c>
      <c r="I829" s="30">
        <v>5.0</v>
      </c>
      <c r="J829" s="31">
        <v>73.0</v>
      </c>
      <c r="K829" s="11">
        <v>1.0</v>
      </c>
      <c r="L829" s="32">
        <f>(24300)/P829</f>
        <v>1.538948702</v>
      </c>
      <c r="M829" s="32">
        <f>(10800 + 1000)/P829</f>
        <v>0.7473084231</v>
      </c>
      <c r="N829" s="32">
        <f>(88695)/P829</f>
        <v>5.617162761</v>
      </c>
      <c r="O829" s="32">
        <v>0.0</v>
      </c>
      <c r="P829" s="33">
        <v>15790.0</v>
      </c>
      <c r="Q829" s="34">
        <v>73.0</v>
      </c>
      <c r="R829" s="42">
        <v>112.34325522482584</v>
      </c>
      <c r="S829" s="36">
        <v>0.747308423052565</v>
      </c>
      <c r="T829" s="36">
        <v>5.617162761241292</v>
      </c>
      <c r="U829" s="36"/>
      <c r="V829" s="36">
        <v>107.47340088663711</v>
      </c>
      <c r="W829" s="37">
        <v>1.4722383683100975</v>
      </c>
      <c r="X829" s="42">
        <v>1773900.0</v>
      </c>
      <c r="Y829" s="36">
        <v>11800.0</v>
      </c>
      <c r="Z829" s="36">
        <v>88695.0</v>
      </c>
      <c r="AA829" s="36"/>
      <c r="AB829" s="36">
        <v>1697005.0</v>
      </c>
      <c r="AC829" s="37">
        <v>23246.64383561644</v>
      </c>
      <c r="AD829" s="31"/>
      <c r="AE829" s="11"/>
      <c r="AF829" s="11"/>
    </row>
    <row r="830">
      <c r="A830" s="11" t="s">
        <v>821</v>
      </c>
      <c r="B830" s="39">
        <v>45377.72553128473</v>
      </c>
      <c r="C830" s="40">
        <v>45379.39910879629</v>
      </c>
      <c r="D830" s="27" t="s">
        <v>33</v>
      </c>
      <c r="E830" s="11" t="b">
        <v>0</v>
      </c>
      <c r="F830" s="11" t="s">
        <v>38</v>
      </c>
      <c r="G830" s="11" t="s">
        <v>44</v>
      </c>
      <c r="H830" s="11" t="s">
        <v>44</v>
      </c>
      <c r="I830" s="30">
        <v>5.0</v>
      </c>
      <c r="J830" s="31">
        <v>130.0</v>
      </c>
      <c r="K830" s="11">
        <v>1.0</v>
      </c>
      <c r="L830" s="32">
        <f>(23000)/P830</f>
        <v>1.456618113</v>
      </c>
      <c r="M830" s="32">
        <f>(7000 + 1000)/P830</f>
        <v>0.5066497783</v>
      </c>
      <c r="N830" s="32">
        <f>(149500)/P830</f>
        <v>9.468017733</v>
      </c>
      <c r="O830" s="32">
        <v>0.0</v>
      </c>
      <c r="P830" s="33">
        <v>15790.0</v>
      </c>
      <c r="Q830" s="34">
        <v>130.0</v>
      </c>
      <c r="R830" s="42">
        <v>189.36035465484483</v>
      </c>
      <c r="S830" s="36">
        <v>0.506649778340722</v>
      </c>
      <c r="T830" s="36">
        <v>9.468017732742242</v>
      </c>
      <c r="U830" s="36"/>
      <c r="V830" s="36">
        <v>180.3989867004433</v>
      </c>
      <c r="W830" s="37">
        <v>1.387684513080333</v>
      </c>
      <c r="X830" s="42">
        <v>2990000.0</v>
      </c>
      <c r="Y830" s="36">
        <v>8000.0</v>
      </c>
      <c r="Z830" s="36">
        <v>149500.0</v>
      </c>
      <c r="AA830" s="36"/>
      <c r="AB830" s="36">
        <v>2848499.9999999995</v>
      </c>
      <c r="AC830" s="37">
        <v>21911.538461538457</v>
      </c>
      <c r="AD830" s="31"/>
      <c r="AE830" s="11"/>
      <c r="AF830" s="11"/>
    </row>
    <row r="831">
      <c r="A831" s="11" t="s">
        <v>821</v>
      </c>
      <c r="B831" s="39">
        <v>45371.59166666667</v>
      </c>
      <c r="C831" s="40">
        <v>45373.416666666664</v>
      </c>
      <c r="D831" s="27" t="s">
        <v>37</v>
      </c>
      <c r="E831" s="11" t="b">
        <v>0</v>
      </c>
      <c r="F831" s="11" t="s">
        <v>200</v>
      </c>
      <c r="G831" s="11" t="s">
        <v>200</v>
      </c>
      <c r="H831" s="11" t="s">
        <v>200</v>
      </c>
      <c r="I831" s="30">
        <v>5.0</v>
      </c>
      <c r="J831" s="31">
        <v>55.0</v>
      </c>
      <c r="K831" s="11">
        <v>1.0</v>
      </c>
      <c r="L831" s="32">
        <f t="shared" ref="L831:L832" si="232">(20500)/P831</f>
        <v>1.306981192</v>
      </c>
      <c r="M831" s="32">
        <v>0.0</v>
      </c>
      <c r="N831" s="32">
        <v>0.0</v>
      </c>
      <c r="O831" s="32">
        <v>0.0</v>
      </c>
      <c r="P831" s="33">
        <v>15685.0</v>
      </c>
      <c r="Q831" s="34">
        <v>55.0</v>
      </c>
      <c r="R831" s="42">
        <v>71.88396557220274</v>
      </c>
      <c r="S831" s="36"/>
      <c r="T831" s="36"/>
      <c r="U831" s="36"/>
      <c r="V831" s="36">
        <v>71.88396557220274</v>
      </c>
      <c r="W831" s="37">
        <v>1.306981192221868</v>
      </c>
      <c r="X831" s="42">
        <v>1127500.0</v>
      </c>
      <c r="Y831" s="36"/>
      <c r="Z831" s="36"/>
      <c r="AA831" s="36"/>
      <c r="AB831" s="36">
        <v>1127500.0</v>
      </c>
      <c r="AC831" s="37">
        <v>20500.0</v>
      </c>
      <c r="AD831" s="31"/>
      <c r="AE831" s="11"/>
      <c r="AF831" s="11"/>
    </row>
    <row r="832">
      <c r="A832" s="11" t="s">
        <v>821</v>
      </c>
      <c r="B832" s="39">
        <v>45369.70486111111</v>
      </c>
      <c r="C832" s="40">
        <v>45371.365011574075</v>
      </c>
      <c r="D832" s="27" t="s">
        <v>37</v>
      </c>
      <c r="E832" s="11" t="b">
        <v>0</v>
      </c>
      <c r="F832" s="11" t="s">
        <v>200</v>
      </c>
      <c r="G832" s="11" t="s">
        <v>200</v>
      </c>
      <c r="H832" s="11" t="s">
        <v>200</v>
      </c>
      <c r="I832" s="30">
        <v>5.0</v>
      </c>
      <c r="J832" s="31">
        <v>50.0</v>
      </c>
      <c r="K832" s="11">
        <v>1.0</v>
      </c>
      <c r="L832" s="32">
        <f t="shared" si="232"/>
        <v>1.30117423</v>
      </c>
      <c r="M832" s="32">
        <v>0.0</v>
      </c>
      <c r="N832" s="32">
        <v>0.0</v>
      </c>
      <c r="O832" s="32">
        <v>0.0</v>
      </c>
      <c r="P832" s="33">
        <v>15755.0</v>
      </c>
      <c r="Q832" s="34">
        <v>50.0</v>
      </c>
      <c r="R832" s="42">
        <v>65.05871152015233</v>
      </c>
      <c r="S832" s="36"/>
      <c r="T832" s="36"/>
      <c r="U832" s="36"/>
      <c r="V832" s="36">
        <v>65.05871152015233</v>
      </c>
      <c r="W832" s="37">
        <v>1.3011742304030465</v>
      </c>
      <c r="X832" s="42">
        <v>1025000.0</v>
      </c>
      <c r="Y832" s="36"/>
      <c r="Z832" s="36"/>
      <c r="AA832" s="36"/>
      <c r="AB832" s="36">
        <v>1025000.0</v>
      </c>
      <c r="AC832" s="37">
        <v>20500.0</v>
      </c>
      <c r="AD832" s="31"/>
      <c r="AE832" s="11"/>
      <c r="AF832" s="11"/>
    </row>
    <row r="833">
      <c r="A833" s="11" t="s">
        <v>821</v>
      </c>
      <c r="B833" s="39">
        <v>45363.61111111111</v>
      </c>
      <c r="C833" s="40">
        <v>45429.708333333336</v>
      </c>
      <c r="D833" s="27" t="s">
        <v>33</v>
      </c>
      <c r="E833" s="11" t="b">
        <v>1</v>
      </c>
      <c r="F833" s="11" t="s">
        <v>34</v>
      </c>
      <c r="G833" s="11" t="s">
        <v>45</v>
      </c>
      <c r="H833" s="11"/>
      <c r="I833" s="30">
        <v>5.0</v>
      </c>
      <c r="J833" s="31">
        <v>500.0</v>
      </c>
      <c r="K833" s="11">
        <v>1.0</v>
      </c>
      <c r="L833" s="32">
        <f>(13531)/P833</f>
        <v>0.8668161435</v>
      </c>
      <c r="M833" s="32">
        <v>0.0</v>
      </c>
      <c r="N833" s="32">
        <v>0.0</v>
      </c>
      <c r="O833" s="32">
        <v>0.0</v>
      </c>
      <c r="P833" s="33">
        <v>15610.0</v>
      </c>
      <c r="Q833" s="34">
        <v>500.0</v>
      </c>
      <c r="R833" s="42">
        <v>433.4080717488789</v>
      </c>
      <c r="S833" s="36"/>
      <c r="T833" s="36"/>
      <c r="U833" s="36"/>
      <c r="V833" s="36">
        <v>433.4080717488789</v>
      </c>
      <c r="W833" s="37">
        <v>0.8668161434977578</v>
      </c>
      <c r="X833" s="42">
        <v>6765500.0</v>
      </c>
      <c r="Y833" s="36"/>
      <c r="Z833" s="36"/>
      <c r="AA833" s="36"/>
      <c r="AB833" s="36">
        <v>6765500.0</v>
      </c>
      <c r="AC833" s="37">
        <v>13531.0</v>
      </c>
      <c r="AD833" s="31"/>
      <c r="AE833" s="11"/>
      <c r="AF833" s="11"/>
    </row>
    <row r="834">
      <c r="A834" s="11" t="s">
        <v>821</v>
      </c>
      <c r="B834" s="39">
        <v>45361.60343336806</v>
      </c>
      <c r="C834" s="40">
        <v>45365.482779363425</v>
      </c>
      <c r="D834" s="27" t="s">
        <v>33</v>
      </c>
      <c r="E834" s="11" t="b">
        <v>0</v>
      </c>
      <c r="F834" s="11" t="s">
        <v>200</v>
      </c>
      <c r="G834" s="11" t="s">
        <v>200</v>
      </c>
      <c r="H834" s="11" t="s">
        <v>200</v>
      </c>
      <c r="I834" s="30">
        <v>5.0</v>
      </c>
      <c r="J834" s="31">
        <v>100.0</v>
      </c>
      <c r="K834" s="11">
        <v>1.0</v>
      </c>
      <c r="L834" s="32">
        <f>(20500)/P834</f>
        <v>1.318582363</v>
      </c>
      <c r="M834" s="32">
        <v>0.0</v>
      </c>
      <c r="N834" s="32">
        <v>0.0</v>
      </c>
      <c r="O834" s="32">
        <v>0.0</v>
      </c>
      <c r="P834" s="33">
        <v>15547.0</v>
      </c>
      <c r="Q834" s="34">
        <v>100.0</v>
      </c>
      <c r="R834" s="42">
        <v>131.85823631568792</v>
      </c>
      <c r="S834" s="36"/>
      <c r="T834" s="36"/>
      <c r="U834" s="36"/>
      <c r="V834" s="36">
        <v>131.85823631568792</v>
      </c>
      <c r="W834" s="37">
        <v>1.3185823631568792</v>
      </c>
      <c r="X834" s="42">
        <v>2050000.0</v>
      </c>
      <c r="Y834" s="36"/>
      <c r="Z834" s="36"/>
      <c r="AA834" s="36"/>
      <c r="AB834" s="36">
        <v>2050000.0</v>
      </c>
      <c r="AC834" s="37">
        <v>20500.0</v>
      </c>
      <c r="AD834" s="31"/>
      <c r="AE834" s="11"/>
      <c r="AF834" s="11"/>
    </row>
    <row r="835">
      <c r="A835" s="11" t="s">
        <v>821</v>
      </c>
      <c r="B835" s="39">
        <v>45250.74079570602</v>
      </c>
      <c r="C835" s="40">
        <v>45307.541666666664</v>
      </c>
      <c r="D835" s="27" t="s">
        <v>33</v>
      </c>
      <c r="E835" s="11" t="b">
        <v>1</v>
      </c>
      <c r="F835" s="11" t="s">
        <v>34</v>
      </c>
      <c r="G835" s="11" t="s">
        <v>45</v>
      </c>
      <c r="H835" s="11"/>
      <c r="I835" s="30">
        <v>5.0</v>
      </c>
      <c r="J835" s="31">
        <v>100.0</v>
      </c>
      <c r="K835" s="11">
        <v>1.0</v>
      </c>
      <c r="L835" s="32">
        <f>14090/P835</f>
        <v>0.9131561892</v>
      </c>
      <c r="M835" s="32">
        <v>0.0</v>
      </c>
      <c r="N835" s="32">
        <v>0.0</v>
      </c>
      <c r="O835" s="32">
        <v>0.0</v>
      </c>
      <c r="P835" s="58">
        <v>15430.0</v>
      </c>
      <c r="Q835" s="34">
        <v>100.0</v>
      </c>
      <c r="R835" s="42">
        <v>91.31561892417369</v>
      </c>
      <c r="S835" s="36"/>
      <c r="T835" s="36"/>
      <c r="U835" s="36"/>
      <c r="V835" s="36">
        <v>91.31561892417369</v>
      </c>
      <c r="W835" s="37">
        <v>0.9131561892417369</v>
      </c>
      <c r="X835" s="42">
        <v>1409000.0</v>
      </c>
      <c r="Y835" s="36"/>
      <c r="Z835" s="36"/>
      <c r="AA835" s="36"/>
      <c r="AB835" s="36">
        <v>1409000.0</v>
      </c>
      <c r="AC835" s="37">
        <v>14090.0</v>
      </c>
      <c r="AD835" s="31"/>
      <c r="AE835" s="11"/>
      <c r="AF835" s="11"/>
    </row>
    <row r="836">
      <c r="A836" s="11" t="s">
        <v>827</v>
      </c>
      <c r="B836" s="39">
        <v>43391.0</v>
      </c>
      <c r="C836" s="39">
        <f t="shared" ref="C836:C840" si="233">B836</f>
        <v>43391</v>
      </c>
      <c r="D836" s="27" t="s">
        <v>828</v>
      </c>
      <c r="E836" s="11" t="b">
        <v>0</v>
      </c>
      <c r="F836" s="11" t="s">
        <v>157</v>
      </c>
      <c r="G836" s="11" t="s">
        <v>829</v>
      </c>
      <c r="H836" s="11" t="s">
        <v>829</v>
      </c>
      <c r="I836" s="33"/>
      <c r="J836" s="31">
        <v>1.0</v>
      </c>
      <c r="K836" s="11">
        <v>1.0</v>
      </c>
      <c r="L836" s="32">
        <f>10000/P836</f>
        <v>1</v>
      </c>
      <c r="M836" s="32">
        <v>0.0</v>
      </c>
      <c r="N836" s="32">
        <v>0.0</v>
      </c>
      <c r="O836" s="32">
        <v>0.0</v>
      </c>
      <c r="P836" s="33">
        <v>10000.0</v>
      </c>
      <c r="Q836" s="34">
        <v>1.0</v>
      </c>
      <c r="R836" s="42">
        <v>1.0</v>
      </c>
      <c r="S836" s="36"/>
      <c r="T836" s="36"/>
      <c r="U836" s="36"/>
      <c r="V836" s="36">
        <v>1.0</v>
      </c>
      <c r="W836" s="37">
        <v>1.0</v>
      </c>
      <c r="X836" s="42">
        <v>10000.0</v>
      </c>
      <c r="Y836" s="36"/>
      <c r="Z836" s="36"/>
      <c r="AA836" s="36"/>
      <c r="AB836" s="36">
        <v>10000.0</v>
      </c>
      <c r="AC836" s="37">
        <v>10000.0</v>
      </c>
      <c r="AD836" s="31">
        <f t="shared" ref="AD836:AD840" si="234">AC836</f>
        <v>10000</v>
      </c>
      <c r="AE836" s="11"/>
      <c r="AF836" s="11"/>
    </row>
    <row r="837">
      <c r="A837" s="11" t="s">
        <v>830</v>
      </c>
      <c r="B837" s="39">
        <v>43477.0</v>
      </c>
      <c r="C837" s="39">
        <f t="shared" si="233"/>
        <v>43477</v>
      </c>
      <c r="D837" s="27" t="s">
        <v>831</v>
      </c>
      <c r="E837" s="11" t="b">
        <v>0</v>
      </c>
      <c r="F837" s="11" t="s">
        <v>316</v>
      </c>
      <c r="G837" s="11" t="s">
        <v>832</v>
      </c>
      <c r="H837" s="11" t="s">
        <v>832</v>
      </c>
      <c r="I837" s="33"/>
      <c r="J837" s="31">
        <v>1.0</v>
      </c>
      <c r="K837" s="11">
        <v>1.0</v>
      </c>
      <c r="L837" s="32">
        <f>500000/P837</f>
        <v>50</v>
      </c>
      <c r="M837" s="32">
        <v>0.0</v>
      </c>
      <c r="N837" s="32">
        <v>0.0</v>
      </c>
      <c r="O837" s="32">
        <v>0.0</v>
      </c>
      <c r="P837" s="33">
        <v>10000.0</v>
      </c>
      <c r="Q837" s="34">
        <v>1.0</v>
      </c>
      <c r="R837" s="42">
        <v>50.0</v>
      </c>
      <c r="S837" s="36"/>
      <c r="T837" s="36"/>
      <c r="U837" s="36"/>
      <c r="V837" s="36">
        <v>50.0</v>
      </c>
      <c r="W837" s="37">
        <v>50.0</v>
      </c>
      <c r="X837" s="42">
        <v>500000.0</v>
      </c>
      <c r="Y837" s="36"/>
      <c r="Z837" s="36"/>
      <c r="AA837" s="36"/>
      <c r="AB837" s="36">
        <v>500000.0</v>
      </c>
      <c r="AC837" s="37">
        <v>500000.0</v>
      </c>
      <c r="AD837" s="31">
        <f t="shared" si="234"/>
        <v>500000</v>
      </c>
      <c r="AE837" s="11"/>
      <c r="AF837" s="11"/>
    </row>
    <row r="838">
      <c r="A838" s="11" t="s">
        <v>833</v>
      </c>
      <c r="B838" s="39">
        <v>43299.0</v>
      </c>
      <c r="C838" s="39">
        <f t="shared" si="233"/>
        <v>43299</v>
      </c>
      <c r="D838" s="27" t="s">
        <v>834</v>
      </c>
      <c r="E838" s="11" t="b">
        <v>0</v>
      </c>
      <c r="F838" s="11" t="s">
        <v>157</v>
      </c>
      <c r="G838" s="11" t="s">
        <v>835</v>
      </c>
      <c r="H838" s="11" t="s">
        <v>835</v>
      </c>
      <c r="I838" s="33"/>
      <c r="J838" s="31">
        <v>1.0</v>
      </c>
      <c r="K838" s="11">
        <v>1.0</v>
      </c>
      <c r="L838" s="32">
        <f>100000/P838</f>
        <v>10</v>
      </c>
      <c r="M838" s="32">
        <v>0.0</v>
      </c>
      <c r="N838" s="32">
        <v>0.0</v>
      </c>
      <c r="O838" s="32">
        <v>0.0</v>
      </c>
      <c r="P838" s="33">
        <v>10000.0</v>
      </c>
      <c r="Q838" s="34">
        <v>1.0</v>
      </c>
      <c r="R838" s="42">
        <v>10.0</v>
      </c>
      <c r="S838" s="36"/>
      <c r="T838" s="36"/>
      <c r="U838" s="36"/>
      <c r="V838" s="36">
        <v>10.0</v>
      </c>
      <c r="W838" s="37">
        <v>10.0</v>
      </c>
      <c r="X838" s="42">
        <v>100000.0</v>
      </c>
      <c r="Y838" s="36"/>
      <c r="Z838" s="36"/>
      <c r="AA838" s="36"/>
      <c r="AB838" s="36">
        <v>100000.0</v>
      </c>
      <c r="AC838" s="37">
        <v>100000.0</v>
      </c>
      <c r="AD838" s="31">
        <f t="shared" si="234"/>
        <v>100000</v>
      </c>
      <c r="AE838" s="11"/>
      <c r="AF838" s="11"/>
    </row>
    <row r="839">
      <c r="A839" s="11" t="s">
        <v>836</v>
      </c>
      <c r="B839" s="39">
        <v>43391.0</v>
      </c>
      <c r="C839" s="40">
        <f t="shared" si="233"/>
        <v>43391</v>
      </c>
      <c r="D839" s="27" t="s">
        <v>837</v>
      </c>
      <c r="E839" s="11" t="b">
        <v>0</v>
      </c>
      <c r="F839" s="11" t="s">
        <v>157</v>
      </c>
      <c r="G839" s="11" t="s">
        <v>838</v>
      </c>
      <c r="H839" s="11" t="s">
        <v>838</v>
      </c>
      <c r="I839" s="33"/>
      <c r="J839" s="31">
        <v>1.0</v>
      </c>
      <c r="K839" s="11">
        <v>1.0</v>
      </c>
      <c r="L839" s="32">
        <f>50000/P839</f>
        <v>5</v>
      </c>
      <c r="M839" s="32">
        <v>0.0</v>
      </c>
      <c r="N839" s="32">
        <v>0.0</v>
      </c>
      <c r="O839" s="32">
        <v>0.0</v>
      </c>
      <c r="P839" s="33">
        <v>10000.0</v>
      </c>
      <c r="Q839" s="34">
        <v>1.0</v>
      </c>
      <c r="R839" s="42">
        <v>5.0</v>
      </c>
      <c r="S839" s="36"/>
      <c r="T839" s="36"/>
      <c r="U839" s="36"/>
      <c r="V839" s="36">
        <v>5.0</v>
      </c>
      <c r="W839" s="37">
        <v>5.0</v>
      </c>
      <c r="X839" s="42">
        <v>50000.0</v>
      </c>
      <c r="Y839" s="36"/>
      <c r="Z839" s="36"/>
      <c r="AA839" s="36"/>
      <c r="AB839" s="36">
        <v>50000.0</v>
      </c>
      <c r="AC839" s="37">
        <v>50000.0</v>
      </c>
      <c r="AD839" s="31">
        <f t="shared" si="234"/>
        <v>50000</v>
      </c>
      <c r="AE839" s="11"/>
      <c r="AF839" s="11"/>
    </row>
    <row r="840">
      <c r="A840" s="11" t="s">
        <v>839</v>
      </c>
      <c r="B840" s="39">
        <v>43299.0</v>
      </c>
      <c r="C840" s="40">
        <f t="shared" si="233"/>
        <v>43299</v>
      </c>
      <c r="D840" s="27" t="s">
        <v>840</v>
      </c>
      <c r="E840" s="11" t="b">
        <v>0</v>
      </c>
      <c r="F840" s="11" t="s">
        <v>157</v>
      </c>
      <c r="G840" s="11" t="s">
        <v>841</v>
      </c>
      <c r="H840" s="11" t="s">
        <v>841</v>
      </c>
      <c r="I840" s="33"/>
      <c r="J840" s="31">
        <v>1.0</v>
      </c>
      <c r="K840" s="11">
        <v>1.0</v>
      </c>
      <c r="L840" s="32">
        <f>100000/P840</f>
        <v>10</v>
      </c>
      <c r="M840" s="32">
        <v>0.0</v>
      </c>
      <c r="N840" s="32">
        <v>0.0</v>
      </c>
      <c r="O840" s="32">
        <v>0.0</v>
      </c>
      <c r="P840" s="33">
        <v>10000.0</v>
      </c>
      <c r="Q840" s="34">
        <v>1.0</v>
      </c>
      <c r="R840" s="42">
        <v>10.0</v>
      </c>
      <c r="S840" s="36"/>
      <c r="T840" s="36"/>
      <c r="U840" s="36"/>
      <c r="V840" s="36">
        <v>10.0</v>
      </c>
      <c r="W840" s="37">
        <v>10.0</v>
      </c>
      <c r="X840" s="42">
        <v>100000.0</v>
      </c>
      <c r="Y840" s="36"/>
      <c r="Z840" s="36"/>
      <c r="AA840" s="36"/>
      <c r="AB840" s="36">
        <v>100000.0</v>
      </c>
      <c r="AC840" s="37">
        <v>100000.0</v>
      </c>
      <c r="AD840" s="31">
        <f t="shared" si="234"/>
        <v>100000</v>
      </c>
      <c r="AE840" s="11"/>
      <c r="AF840" s="11"/>
    </row>
    <row r="841">
      <c r="A841" s="11" t="s">
        <v>842</v>
      </c>
      <c r="B841" s="39">
        <v>43459.0</v>
      </c>
      <c r="C841" s="40">
        <v>43435.0</v>
      </c>
      <c r="D841" s="27" t="s">
        <v>56</v>
      </c>
      <c r="E841" s="11" t="b">
        <v>0</v>
      </c>
      <c r="F841" s="11" t="s">
        <v>38</v>
      </c>
      <c r="G841" s="29" t="s">
        <v>505</v>
      </c>
      <c r="H841" s="11" t="s">
        <v>506</v>
      </c>
      <c r="I841" s="33"/>
      <c r="J841" s="31">
        <v>1.0</v>
      </c>
      <c r="K841" s="11">
        <v>1.0</v>
      </c>
      <c r="L841" s="36">
        <f>(2200000-560000)/P841</f>
        <v>164</v>
      </c>
      <c r="M841" s="36">
        <f>7000/P841</f>
        <v>0.7</v>
      </c>
      <c r="N841" s="32"/>
      <c r="O841" s="32"/>
      <c r="P841" s="33">
        <v>10000.0</v>
      </c>
      <c r="Q841" s="34">
        <v>1.0</v>
      </c>
      <c r="R841" s="42">
        <v>164.0</v>
      </c>
      <c r="S841" s="36">
        <v>0.7</v>
      </c>
      <c r="T841" s="36"/>
      <c r="U841" s="36"/>
      <c r="V841" s="36">
        <v>164.7</v>
      </c>
      <c r="W841" s="37">
        <v>164.7</v>
      </c>
      <c r="X841" s="42">
        <v>1640000.0</v>
      </c>
      <c r="Y841" s="36">
        <v>7000.0</v>
      </c>
      <c r="Z841" s="36"/>
      <c r="AA841" s="36"/>
      <c r="AB841" s="36">
        <v>1647000.0</v>
      </c>
      <c r="AC841" s="37">
        <v>1647000.0</v>
      </c>
      <c r="AD841" s="31">
        <v>2200000.0</v>
      </c>
      <c r="AE841" s="11">
        <v>2200000.0</v>
      </c>
      <c r="AF841" s="11" t="s">
        <v>100</v>
      </c>
    </row>
    <row r="842">
      <c r="A842" s="11" t="s">
        <v>843</v>
      </c>
      <c r="B842" s="39">
        <v>43313.0</v>
      </c>
      <c r="C842" s="40">
        <v>43314.0</v>
      </c>
      <c r="D842" s="27" t="s">
        <v>98</v>
      </c>
      <c r="E842" s="11" t="b">
        <v>0</v>
      </c>
      <c r="F842" s="11" t="s">
        <v>38</v>
      </c>
      <c r="G842" s="59" t="str">
        <f>"https://www.tokopedia.com/kudamas/sarung-tangan-katun-8-benang-1-pasang-1"</f>
        <v>https://www.tokopedia.com/kudamas/sarung-tangan-katun-8-benang-1-pasang-1</v>
      </c>
      <c r="H842" s="11" t="s">
        <v>844</v>
      </c>
      <c r="I842" s="33"/>
      <c r="J842" s="31">
        <v>70.0</v>
      </c>
      <c r="K842" s="11">
        <v>1.0</v>
      </c>
      <c r="L842" s="36">
        <f>2000/P842</f>
        <v>0.2</v>
      </c>
      <c r="M842" s="36">
        <f>66000/10000</f>
        <v>6.6</v>
      </c>
      <c r="N842" s="32"/>
      <c r="O842" s="32"/>
      <c r="P842" s="33">
        <v>10000.0</v>
      </c>
      <c r="Q842" s="34">
        <v>70.0</v>
      </c>
      <c r="R842" s="42">
        <v>14.0</v>
      </c>
      <c r="S842" s="36">
        <v>6.6</v>
      </c>
      <c r="T842" s="36"/>
      <c r="U842" s="36"/>
      <c r="V842" s="36">
        <v>20.6</v>
      </c>
      <c r="W842" s="37">
        <v>0.2942857142857143</v>
      </c>
      <c r="X842" s="42">
        <v>140000.0</v>
      </c>
      <c r="Y842" s="36">
        <v>66000.0</v>
      </c>
      <c r="Z842" s="36"/>
      <c r="AA842" s="36"/>
      <c r="AB842" s="36">
        <v>206000.0</v>
      </c>
      <c r="AC842" s="37">
        <v>2942.8571428571427</v>
      </c>
      <c r="AD842" s="31">
        <v>4000.0</v>
      </c>
      <c r="AE842" s="11">
        <v>5000.0</v>
      </c>
      <c r="AF842" s="11"/>
    </row>
    <row r="843">
      <c r="A843" s="11" t="s">
        <v>845</v>
      </c>
      <c r="B843" s="39">
        <v>43318.0</v>
      </c>
      <c r="C843" s="40">
        <v>43322.0</v>
      </c>
      <c r="D843" s="27" t="s">
        <v>98</v>
      </c>
      <c r="E843" s="11" t="b">
        <v>0</v>
      </c>
      <c r="F843" s="11" t="s">
        <v>91</v>
      </c>
      <c r="G843" s="59" t="str">
        <f>"https://www.bukalapak.com/p/fashion-wanita/sarung-tangan-935/dze1fg-jual-sarung-tangan-rajut-mix-colour-hangat-lembut?product_sku=839766064"</f>
        <v>https://www.bukalapak.com/p/fashion-wanita/sarung-tangan-935/dze1fg-jual-sarung-tangan-rajut-mix-colour-hangat-lembut?product_sku=839766064</v>
      </c>
      <c r="H843" s="11" t="s">
        <v>846</v>
      </c>
      <c r="I843" s="33"/>
      <c r="J843" s="31">
        <v>44.0</v>
      </c>
      <c r="K843" s="11">
        <v>1.0</v>
      </c>
      <c r="L843" s="36">
        <f>6200/P843</f>
        <v>0.62</v>
      </c>
      <c r="M843" s="36">
        <f>8500/10000</f>
        <v>0.85</v>
      </c>
      <c r="N843" s="32"/>
      <c r="O843" s="32"/>
      <c r="P843" s="33">
        <v>10000.0</v>
      </c>
      <c r="Q843" s="34">
        <v>44.0</v>
      </c>
      <c r="R843" s="42">
        <v>27.28</v>
      </c>
      <c r="S843" s="36">
        <v>0.85</v>
      </c>
      <c r="T843" s="36"/>
      <c r="U843" s="36"/>
      <c r="V843" s="36">
        <v>28.130000000000003</v>
      </c>
      <c r="W843" s="37">
        <v>0.6393181818181819</v>
      </c>
      <c r="X843" s="42">
        <v>272800.0</v>
      </c>
      <c r="Y843" s="36">
        <v>8500.0</v>
      </c>
      <c r="Z843" s="36"/>
      <c r="AA843" s="36"/>
      <c r="AB843" s="36">
        <v>281300.0</v>
      </c>
      <c r="AC843" s="37">
        <v>6393.181818181818</v>
      </c>
      <c r="AD843" s="31">
        <v>8500.0</v>
      </c>
      <c r="AE843" s="11">
        <v>10000.0</v>
      </c>
      <c r="AF843" s="11"/>
    </row>
    <row r="844">
      <c r="A844" s="11" t="s">
        <v>847</v>
      </c>
      <c r="B844" s="39">
        <v>45417.98055555556</v>
      </c>
      <c r="C844" s="40">
        <v>45421.60432241898</v>
      </c>
      <c r="D844" s="27" t="s">
        <v>33</v>
      </c>
      <c r="E844" s="11" t="b">
        <v>0</v>
      </c>
      <c r="F844" s="11" t="s">
        <v>49</v>
      </c>
      <c r="G844" s="11" t="s">
        <v>848</v>
      </c>
      <c r="H844" s="11" t="s">
        <v>848</v>
      </c>
      <c r="I844" s="30">
        <v>5.0</v>
      </c>
      <c r="J844" s="31">
        <v>50.0</v>
      </c>
      <c r="K844" s="11">
        <v>1.0</v>
      </c>
      <c r="L844" s="32">
        <f>(9000)/P844</f>
        <v>0.5635919594</v>
      </c>
      <c r="M844" s="32">
        <f>(193)/P844</f>
        <v>0.01208591646</v>
      </c>
      <c r="N844" s="32">
        <f>(36000)/P844</f>
        <v>2.254367838</v>
      </c>
      <c r="O844" s="32">
        <v>0.0</v>
      </c>
      <c r="P844" s="33">
        <v>15969.0</v>
      </c>
      <c r="Q844" s="34">
        <v>50.0</v>
      </c>
      <c r="R844" s="42">
        <v>28.179597971068947</v>
      </c>
      <c r="S844" s="36">
        <v>0.012085916463147347</v>
      </c>
      <c r="T844" s="36">
        <v>2.254367837685516</v>
      </c>
      <c r="U844" s="36"/>
      <c r="V844" s="36">
        <v>25.93731604984658</v>
      </c>
      <c r="W844" s="37">
        <v>0.5187463209969316</v>
      </c>
      <c r="X844" s="42">
        <v>450000.0</v>
      </c>
      <c r="Y844" s="36">
        <v>193.0</v>
      </c>
      <c r="Z844" s="36">
        <v>36000.0</v>
      </c>
      <c r="AA844" s="36"/>
      <c r="AB844" s="36">
        <v>414193.0</v>
      </c>
      <c r="AC844" s="37">
        <v>8283.86</v>
      </c>
      <c r="AD844" s="31"/>
      <c r="AE844" s="11"/>
      <c r="AF844" s="11"/>
    </row>
    <row r="845">
      <c r="A845" s="11" t="s">
        <v>849</v>
      </c>
      <c r="B845" s="39">
        <v>45638.00763888889</v>
      </c>
      <c r="C845" s="40">
        <v>45642.61666666667</v>
      </c>
      <c r="D845" s="27" t="s">
        <v>33</v>
      </c>
      <c r="E845" s="11" t="b">
        <v>0</v>
      </c>
      <c r="F845" s="11" t="s">
        <v>49</v>
      </c>
      <c r="G845" s="11" t="s">
        <v>279</v>
      </c>
      <c r="H845" s="11" t="s">
        <v>280</v>
      </c>
      <c r="I845" s="30">
        <v>5.0</v>
      </c>
      <c r="J845" s="31">
        <v>200.0</v>
      </c>
      <c r="K845" s="11">
        <v>1.0</v>
      </c>
      <c r="L845" s="32">
        <f t="shared" ref="L845:L846" si="235">(8500)/P845</f>
        <v>0.5325814536</v>
      </c>
      <c r="M845" s="32">
        <f>(613/2)/P845</f>
        <v>0.01920426065</v>
      </c>
      <c r="N845" s="32">
        <f>(X845*20%)/P845</f>
        <v>21.30325815</v>
      </c>
      <c r="O845" s="32">
        <v>0.0</v>
      </c>
      <c r="P845" s="33">
        <v>15960.0</v>
      </c>
      <c r="Q845" s="34">
        <v>200.0</v>
      </c>
      <c r="R845" s="42">
        <v>106.51629072681705</v>
      </c>
      <c r="S845" s="36">
        <v>0.019204260651629074</v>
      </c>
      <c r="T845" s="36">
        <v>21.303258145363408</v>
      </c>
      <c r="U845" s="36"/>
      <c r="V845" s="36">
        <v>85.23223684210527</v>
      </c>
      <c r="W845" s="37">
        <v>0.42616118421052634</v>
      </c>
      <c r="X845" s="42">
        <v>1700000.0</v>
      </c>
      <c r="Y845" s="36">
        <v>306.5</v>
      </c>
      <c r="Z845" s="36">
        <v>340000.0</v>
      </c>
      <c r="AA845" s="36"/>
      <c r="AB845" s="36">
        <v>1360306.5</v>
      </c>
      <c r="AC845" s="37">
        <v>6801.5325</v>
      </c>
      <c r="AD845" s="31"/>
      <c r="AE845" s="11"/>
      <c r="AF845" s="11"/>
    </row>
    <row r="846">
      <c r="A846" s="11" t="s">
        <v>849</v>
      </c>
      <c r="B846" s="39">
        <v>45621.541666666664</v>
      </c>
      <c r="C846" s="40">
        <v>45624.67222222222</v>
      </c>
      <c r="D846" s="27" t="s">
        <v>37</v>
      </c>
      <c r="E846" s="11" t="b">
        <v>0</v>
      </c>
      <c r="F846" s="11" t="s">
        <v>38</v>
      </c>
      <c r="G846" s="11" t="s">
        <v>279</v>
      </c>
      <c r="H846" s="11" t="s">
        <v>850</v>
      </c>
      <c r="I846" s="30">
        <v>5.0</v>
      </c>
      <c r="J846" s="31">
        <v>40.0</v>
      </c>
      <c r="K846" s="11">
        <v>1.0</v>
      </c>
      <c r="L846" s="32">
        <f t="shared" si="235"/>
        <v>0.534557575</v>
      </c>
      <c r="M846" s="32">
        <f>(1000/4)/P846</f>
        <v>0.01572228162</v>
      </c>
      <c r="N846" s="32">
        <f>(40800)/P846</f>
        <v>2.56587636</v>
      </c>
      <c r="O846" s="32">
        <v>0.0</v>
      </c>
      <c r="P846" s="33">
        <v>15901.0</v>
      </c>
      <c r="Q846" s="34">
        <v>40.0</v>
      </c>
      <c r="R846" s="42">
        <v>21.382302999811333</v>
      </c>
      <c r="S846" s="36">
        <v>0.015722281617508334</v>
      </c>
      <c r="T846" s="36">
        <v>2.5658763599773597</v>
      </c>
      <c r="U846" s="36"/>
      <c r="V846" s="36">
        <v>18.832148921451484</v>
      </c>
      <c r="W846" s="37">
        <v>0.4708037230362871</v>
      </c>
      <c r="X846" s="42">
        <v>340000.0</v>
      </c>
      <c r="Y846" s="36">
        <v>250.00000000000003</v>
      </c>
      <c r="Z846" s="36">
        <v>40800.0</v>
      </c>
      <c r="AA846" s="36"/>
      <c r="AB846" s="36">
        <v>299450.00000000006</v>
      </c>
      <c r="AC846" s="37">
        <v>7486.250000000002</v>
      </c>
      <c r="AD846" s="31"/>
      <c r="AE846" s="11"/>
      <c r="AF846" s="11"/>
    </row>
    <row r="847">
      <c r="A847" s="11" t="s">
        <v>849</v>
      </c>
      <c r="B847" s="39">
        <v>45581.584027777775</v>
      </c>
      <c r="C847" s="40">
        <v>45583.53680555556</v>
      </c>
      <c r="D847" s="27" t="s">
        <v>33</v>
      </c>
      <c r="E847" s="11" t="b">
        <v>0</v>
      </c>
      <c r="F847" s="11" t="s">
        <v>49</v>
      </c>
      <c r="G847" s="11" t="s">
        <v>414</v>
      </c>
      <c r="H847" s="11" t="s">
        <v>851</v>
      </c>
      <c r="I847" s="30">
        <v>5.0</v>
      </c>
      <c r="J847" s="31">
        <v>17.0</v>
      </c>
      <c r="K847" s="11">
        <v>1.0</v>
      </c>
      <c r="L847" s="32">
        <f>(8300)/P847</f>
        <v>0.532631714</v>
      </c>
      <c r="M847" s="32">
        <f>(1000)/P847</f>
        <v>0.06417249567</v>
      </c>
      <c r="N847" s="32">
        <f>(2822)/P847</f>
        <v>0.1810947828</v>
      </c>
      <c r="O847" s="32">
        <v>0.0</v>
      </c>
      <c r="P847" s="33">
        <v>15583.0</v>
      </c>
      <c r="Q847" s="34">
        <v>17.0</v>
      </c>
      <c r="R847" s="42">
        <v>9.054739138805108</v>
      </c>
      <c r="S847" s="36">
        <v>0.06417249566835655</v>
      </c>
      <c r="T847" s="36">
        <v>0.18109478277610216</v>
      </c>
      <c r="U847" s="36"/>
      <c r="V847" s="36">
        <v>8.937816851697363</v>
      </c>
      <c r="W847" s="37">
        <v>0.525753932452786</v>
      </c>
      <c r="X847" s="42">
        <v>141100.0</v>
      </c>
      <c r="Y847" s="36">
        <v>1000.0000000000001</v>
      </c>
      <c r="Z847" s="36">
        <v>2822.0</v>
      </c>
      <c r="AA847" s="36"/>
      <c r="AB847" s="36">
        <v>139278.0</v>
      </c>
      <c r="AC847" s="37">
        <v>8192.823529411764</v>
      </c>
      <c r="AD847" s="31"/>
      <c r="AE847" s="11"/>
      <c r="AF847" s="11"/>
    </row>
    <row r="848">
      <c r="A848" s="43" t="s">
        <v>849</v>
      </c>
      <c r="B848" s="39">
        <v>45580.638194444444</v>
      </c>
      <c r="C848" s="40">
        <v>45582.67847222222</v>
      </c>
      <c r="D848" s="47" t="s">
        <v>33</v>
      </c>
      <c r="E848" s="43" t="b">
        <v>0</v>
      </c>
      <c r="F848" s="43" t="s">
        <v>49</v>
      </c>
      <c r="G848" s="43" t="s">
        <v>251</v>
      </c>
      <c r="H848" s="43" t="s">
        <v>852</v>
      </c>
      <c r="I848" s="137">
        <v>5.0</v>
      </c>
      <c r="J848" s="50">
        <v>4.0</v>
      </c>
      <c r="K848" s="43">
        <v>1.0</v>
      </c>
      <c r="L848" s="51">
        <f>(8800)/P848</f>
        <v>0.5648992168</v>
      </c>
      <c r="M848" s="51">
        <f>(1000 + 211 + (22990 - 22331))/P848</f>
        <v>0.1200410836</v>
      </c>
      <c r="N848" s="51">
        <f>(14080)/P848</f>
        <v>0.903838747</v>
      </c>
      <c r="O848" s="51">
        <v>0.0</v>
      </c>
      <c r="P848" s="49">
        <v>15578.0</v>
      </c>
      <c r="Q848" s="53">
        <v>4.0</v>
      </c>
      <c r="R848" s="54">
        <v>2.2595968673770703</v>
      </c>
      <c r="S848" s="55">
        <v>0.12004108357940686</v>
      </c>
      <c r="T848" s="55">
        <v>0.9038387469508281</v>
      </c>
      <c r="U848" s="55"/>
      <c r="V848" s="55">
        <v>1.4757992040056491</v>
      </c>
      <c r="W848" s="56">
        <v>0.3689498010014123</v>
      </c>
      <c r="X848" s="54">
        <v>35200.0</v>
      </c>
      <c r="Y848" s="55">
        <v>1870.0</v>
      </c>
      <c r="Z848" s="55">
        <v>14080.0</v>
      </c>
      <c r="AA848" s="55"/>
      <c r="AB848" s="55">
        <v>22990.000000000004</v>
      </c>
      <c r="AC848" s="56">
        <v>5747.500000000001</v>
      </c>
      <c r="AD848" s="50"/>
      <c r="AE848" s="43"/>
      <c r="AF848" s="43"/>
    </row>
    <row r="849">
      <c r="A849" s="11" t="s">
        <v>849</v>
      </c>
      <c r="B849" s="39">
        <v>45566.708333333336</v>
      </c>
      <c r="C849" s="40">
        <v>45569.847916666666</v>
      </c>
      <c r="D849" s="27" t="s">
        <v>33</v>
      </c>
      <c r="E849" s="11" t="b">
        <v>0</v>
      </c>
      <c r="F849" s="11" t="s">
        <v>38</v>
      </c>
      <c r="G849" s="11" t="s">
        <v>279</v>
      </c>
      <c r="H849" s="11" t="s">
        <v>853</v>
      </c>
      <c r="I849" s="30">
        <v>5.0</v>
      </c>
      <c r="J849" s="31">
        <v>4.0</v>
      </c>
      <c r="K849" s="11">
        <v>1.0</v>
      </c>
      <c r="L849" s="32">
        <f t="shared" ref="L849:L851" si="236">(8500)/P849</f>
        <v>0.5570117955</v>
      </c>
      <c r="M849" s="32">
        <f t="shared" ref="M849:M850" si="237">(1000)/P849</f>
        <v>0.06553079948</v>
      </c>
      <c r="N849" s="32">
        <f>(10000)/P849</f>
        <v>0.6553079948</v>
      </c>
      <c r="O849" s="32">
        <v>0.0</v>
      </c>
      <c r="P849" s="33">
        <v>15260.0</v>
      </c>
      <c r="Q849" s="34">
        <v>4.0</v>
      </c>
      <c r="R849" s="42">
        <v>2.2280471821756227</v>
      </c>
      <c r="S849" s="36">
        <v>0.0655307994757536</v>
      </c>
      <c r="T849" s="36">
        <v>0.6553079947575361</v>
      </c>
      <c r="U849" s="36"/>
      <c r="V849" s="36">
        <v>1.6382699868938402</v>
      </c>
      <c r="W849" s="37">
        <v>0.40956749672346004</v>
      </c>
      <c r="X849" s="42">
        <v>34000.0</v>
      </c>
      <c r="Y849" s="36">
        <v>1000.0</v>
      </c>
      <c r="Z849" s="36">
        <v>10000.0</v>
      </c>
      <c r="AA849" s="36"/>
      <c r="AB849" s="36">
        <v>25000.0</v>
      </c>
      <c r="AC849" s="37">
        <v>6250.0</v>
      </c>
      <c r="AD849" s="31"/>
      <c r="AE849" s="11"/>
      <c r="AF849" s="11"/>
    </row>
    <row r="850">
      <c r="A850" s="11" t="s">
        <v>849</v>
      </c>
      <c r="B850" s="39">
        <v>45566.70625</v>
      </c>
      <c r="C850" s="40">
        <v>45569.847916666666</v>
      </c>
      <c r="D850" s="27" t="s">
        <v>33</v>
      </c>
      <c r="E850" s="11" t="b">
        <v>0</v>
      </c>
      <c r="F850" s="11" t="s">
        <v>38</v>
      </c>
      <c r="G850" s="11" t="s">
        <v>279</v>
      </c>
      <c r="H850" s="11" t="s">
        <v>854</v>
      </c>
      <c r="I850" s="30">
        <v>5.0</v>
      </c>
      <c r="J850" s="31">
        <v>4.0</v>
      </c>
      <c r="K850" s="11">
        <v>1.0</v>
      </c>
      <c r="L850" s="32">
        <f t="shared" si="236"/>
        <v>0.5570117955</v>
      </c>
      <c r="M850" s="32">
        <f t="shared" si="237"/>
        <v>0.06553079948</v>
      </c>
      <c r="N850" s="32">
        <f>(20000)/P850</f>
        <v>1.31061599</v>
      </c>
      <c r="O850" s="32">
        <v>0.0</v>
      </c>
      <c r="P850" s="33">
        <v>15260.0</v>
      </c>
      <c r="Q850" s="34">
        <v>4.0</v>
      </c>
      <c r="R850" s="42">
        <v>2.2280471821756227</v>
      </c>
      <c r="S850" s="36">
        <v>0.0655307994757536</v>
      </c>
      <c r="T850" s="36">
        <v>1.3106159895150722</v>
      </c>
      <c r="U850" s="36"/>
      <c r="V850" s="36">
        <v>0.982961992136304</v>
      </c>
      <c r="W850" s="37">
        <v>0.245740498034076</v>
      </c>
      <c r="X850" s="42">
        <v>34000.0</v>
      </c>
      <c r="Y850" s="36">
        <v>1000.0</v>
      </c>
      <c r="Z850" s="36">
        <v>20000.0</v>
      </c>
      <c r="AA850" s="36"/>
      <c r="AB850" s="36">
        <v>14999.999999999998</v>
      </c>
      <c r="AC850" s="37">
        <v>3749.9999999999995</v>
      </c>
      <c r="AD850" s="31"/>
      <c r="AE850" s="11"/>
      <c r="AF850" s="11"/>
    </row>
    <row r="851">
      <c r="A851" s="11" t="s">
        <v>849</v>
      </c>
      <c r="B851" s="39">
        <v>45437.995833333334</v>
      </c>
      <c r="C851" s="40">
        <v>45442.52613398148</v>
      </c>
      <c r="D851" s="27" t="s">
        <v>37</v>
      </c>
      <c r="E851" s="11" t="b">
        <v>0</v>
      </c>
      <c r="F851" s="11" t="s">
        <v>38</v>
      </c>
      <c r="G851" s="11" t="s">
        <v>279</v>
      </c>
      <c r="H851" s="11" t="s">
        <v>855</v>
      </c>
      <c r="I851" s="30">
        <v>5.0</v>
      </c>
      <c r="J851" s="31">
        <v>49.0</v>
      </c>
      <c r="K851" s="11">
        <v>1.0</v>
      </c>
      <c r="L851" s="32">
        <f t="shared" si="236"/>
        <v>0.5297600499</v>
      </c>
      <c r="M851" s="32">
        <f>(417)/P851</f>
        <v>0.0259894048</v>
      </c>
      <c r="N851" s="32">
        <f>(41650)/P851</f>
        <v>2.595824244</v>
      </c>
      <c r="O851" s="32">
        <v>0.0</v>
      </c>
      <c r="P851" s="33">
        <v>16045.0</v>
      </c>
      <c r="Q851" s="34">
        <v>49.0</v>
      </c>
      <c r="R851" s="42">
        <v>25.958242443128704</v>
      </c>
      <c r="S851" s="36">
        <v>0.025989404799002806</v>
      </c>
      <c r="T851" s="36">
        <v>2.59582424431287</v>
      </c>
      <c r="U851" s="36"/>
      <c r="V851" s="36">
        <v>23.388407603614837</v>
      </c>
      <c r="W851" s="37">
        <v>0.4773144408900987</v>
      </c>
      <c r="X851" s="42">
        <v>416500.00000000006</v>
      </c>
      <c r="Y851" s="36">
        <v>417.0</v>
      </c>
      <c r="Z851" s="36">
        <v>41650.0</v>
      </c>
      <c r="AA851" s="36"/>
      <c r="AB851" s="36">
        <v>375267.00000000006</v>
      </c>
      <c r="AC851" s="37">
        <v>7658.510204081634</v>
      </c>
      <c r="AD851" s="31"/>
      <c r="AE851" s="11"/>
      <c r="AF851" s="11"/>
    </row>
    <row r="852">
      <c r="A852" s="11" t="s">
        <v>849</v>
      </c>
      <c r="B852" s="39">
        <v>45417.98055555556</v>
      </c>
      <c r="C852" s="40">
        <v>45421.62435960648</v>
      </c>
      <c r="D852" s="27" t="s">
        <v>33</v>
      </c>
      <c r="E852" s="11" t="b">
        <v>0</v>
      </c>
      <c r="F852" s="11" t="s">
        <v>49</v>
      </c>
      <c r="G852" s="11" t="s">
        <v>521</v>
      </c>
      <c r="H852" s="11" t="s">
        <v>521</v>
      </c>
      <c r="I852" s="30">
        <v>5.0</v>
      </c>
      <c r="J852" s="31">
        <v>25.0</v>
      </c>
      <c r="K852" s="11">
        <v>1.0</v>
      </c>
      <c r="L852" s="32">
        <f>8613/P852</f>
        <v>0.5393575052</v>
      </c>
      <c r="M852" s="32">
        <f>(93)/P852</f>
        <v>0.005823783581</v>
      </c>
      <c r="N852" s="32">
        <f>(17226)/P852</f>
        <v>1.07871501</v>
      </c>
      <c r="O852" s="32">
        <v>0.0</v>
      </c>
      <c r="P852" s="33">
        <v>15969.0</v>
      </c>
      <c r="Q852" s="34">
        <v>25.0</v>
      </c>
      <c r="R852" s="42">
        <v>13.48393762915649</v>
      </c>
      <c r="S852" s="36">
        <v>0.005823783580687582</v>
      </c>
      <c r="T852" s="36">
        <v>1.0787150103325192</v>
      </c>
      <c r="U852" s="36"/>
      <c r="V852" s="36">
        <v>12.411046402404658</v>
      </c>
      <c r="W852" s="37">
        <v>0.4964418560961863</v>
      </c>
      <c r="X852" s="42">
        <v>215324.99999999997</v>
      </c>
      <c r="Y852" s="36">
        <v>93.0</v>
      </c>
      <c r="Z852" s="36">
        <v>17226.0</v>
      </c>
      <c r="AA852" s="36"/>
      <c r="AB852" s="36">
        <v>198191.99999999997</v>
      </c>
      <c r="AC852" s="37">
        <v>7927.6799999999985</v>
      </c>
      <c r="AD852" s="31"/>
      <c r="AE852" s="11"/>
      <c r="AF852" s="11"/>
    </row>
    <row r="853">
      <c r="A853" s="11" t="s">
        <v>856</v>
      </c>
      <c r="B853" s="39">
        <v>45712.763194444444</v>
      </c>
      <c r="C853" s="40">
        <v>45713.30486111111</v>
      </c>
      <c r="D853" s="27" t="s">
        <v>33</v>
      </c>
      <c r="E853" s="11" t="b">
        <v>0</v>
      </c>
      <c r="F853" s="11" t="s">
        <v>49</v>
      </c>
      <c r="G853" s="11" t="s">
        <v>857</v>
      </c>
      <c r="H853" s="11" t="s">
        <v>858</v>
      </c>
      <c r="I853" s="30">
        <v>5.0</v>
      </c>
      <c r="J853" s="31">
        <v>98.0</v>
      </c>
      <c r="K853" s="11">
        <v>1.0</v>
      </c>
      <c r="L853" s="32">
        <f>(13000)/P853</f>
        <v>0.7986239096</v>
      </c>
      <c r="M853" s="32">
        <f>(324)/P853</f>
        <v>0.01990416513</v>
      </c>
      <c r="N853" s="32">
        <f t="shared" ref="N853:N854" si="238">(X853*12%)/P853</f>
        <v>9.391817177</v>
      </c>
      <c r="O853" s="32">
        <v>0.0</v>
      </c>
      <c r="P853" s="33">
        <v>16278.0</v>
      </c>
      <c r="Q853" s="34">
        <v>98.0</v>
      </c>
      <c r="R853" s="42">
        <v>78.26514313797765</v>
      </c>
      <c r="S853" s="36">
        <v>0.019904165130851456</v>
      </c>
      <c r="T853" s="36">
        <v>9.391817176557316</v>
      </c>
      <c r="U853" s="36"/>
      <c r="V853" s="36">
        <v>68.89323012655119</v>
      </c>
      <c r="W853" s="37">
        <v>0.7029921441484815</v>
      </c>
      <c r="X853" s="42">
        <v>1274000.0</v>
      </c>
      <c r="Y853" s="36">
        <v>324.0</v>
      </c>
      <c r="Z853" s="36">
        <v>152880.0</v>
      </c>
      <c r="AA853" s="36"/>
      <c r="AB853" s="36">
        <v>1121444.0000000002</v>
      </c>
      <c r="AC853" s="37">
        <v>11443.306122448981</v>
      </c>
      <c r="AD853" s="31"/>
      <c r="AE853" s="11"/>
      <c r="AF853" s="11"/>
    </row>
    <row r="854">
      <c r="A854" s="11" t="s">
        <v>856</v>
      </c>
      <c r="B854" s="39">
        <v>45690.17569444444</v>
      </c>
      <c r="C854" s="40">
        <v>45693.34305555555</v>
      </c>
      <c r="D854" s="27" t="s">
        <v>37</v>
      </c>
      <c r="E854" s="11" t="b">
        <v>0</v>
      </c>
      <c r="F854" s="11" t="s">
        <v>49</v>
      </c>
      <c r="G854" s="11" t="s">
        <v>398</v>
      </c>
      <c r="H854" s="11" t="s">
        <v>859</v>
      </c>
      <c r="I854" s="30">
        <v>5.0</v>
      </c>
      <c r="J854" s="31">
        <v>35.0</v>
      </c>
      <c r="K854" s="11">
        <v>1.0</v>
      </c>
      <c r="L854" s="32">
        <f>(12900)/P854</f>
        <v>0.7914110429</v>
      </c>
      <c r="M854" s="32">
        <f>(108)/P854</f>
        <v>0.006625766871</v>
      </c>
      <c r="N854" s="32">
        <f t="shared" si="238"/>
        <v>3.32392638</v>
      </c>
      <c r="O854" s="32">
        <v>0.0</v>
      </c>
      <c r="P854" s="33">
        <v>16300.0</v>
      </c>
      <c r="Q854" s="34">
        <v>35.0</v>
      </c>
      <c r="R854" s="42">
        <v>27.699386503067483</v>
      </c>
      <c r="S854" s="36">
        <v>0.006625766871165644</v>
      </c>
      <c r="T854" s="36">
        <v>3.323926380368098</v>
      </c>
      <c r="U854" s="36"/>
      <c r="V854" s="36">
        <v>24.382085889570554</v>
      </c>
      <c r="W854" s="37">
        <v>0.6966310254163015</v>
      </c>
      <c r="X854" s="42">
        <v>451500.0</v>
      </c>
      <c r="Y854" s="36">
        <v>108.0</v>
      </c>
      <c r="Z854" s="36">
        <v>54180.0</v>
      </c>
      <c r="AA854" s="36"/>
      <c r="AB854" s="36">
        <v>397428.00000000006</v>
      </c>
      <c r="AC854" s="37">
        <v>11355.085714285717</v>
      </c>
      <c r="AD854" s="31"/>
      <c r="AE854" s="11"/>
      <c r="AF854" s="11"/>
    </row>
    <row r="855">
      <c r="A855" s="11" t="s">
        <v>856</v>
      </c>
      <c r="B855" s="39">
        <v>45498.31736111111</v>
      </c>
      <c r="C855" s="40">
        <v>45500.88611111111</v>
      </c>
      <c r="D855" s="27" t="s">
        <v>33</v>
      </c>
      <c r="E855" s="11" t="b">
        <v>0</v>
      </c>
      <c r="F855" s="11" t="s">
        <v>38</v>
      </c>
      <c r="G855" s="11" t="s">
        <v>219</v>
      </c>
      <c r="H855" s="11" t="s">
        <v>860</v>
      </c>
      <c r="I855" s="30">
        <v>5.0</v>
      </c>
      <c r="J855" s="31">
        <v>28.0</v>
      </c>
      <c r="K855" s="11">
        <v>1.0</v>
      </c>
      <c r="L855" s="32">
        <f>(13700)/P855</f>
        <v>0.8382280959</v>
      </c>
      <c r="M855" s="32">
        <f>(2400)/P855</f>
        <v>0.1468428781</v>
      </c>
      <c r="N855" s="32">
        <f>(38346)/P855</f>
        <v>2.346182085</v>
      </c>
      <c r="O855" s="32">
        <v>0.0</v>
      </c>
      <c r="P855" s="33">
        <v>16344.0</v>
      </c>
      <c r="Q855" s="34">
        <v>28.0</v>
      </c>
      <c r="R855" s="42">
        <v>23.470386686245718</v>
      </c>
      <c r="S855" s="36">
        <v>0.14684287812041116</v>
      </c>
      <c r="T855" s="36">
        <v>2.3461820851688695</v>
      </c>
      <c r="U855" s="36"/>
      <c r="V855" s="36">
        <v>21.271047479197257</v>
      </c>
      <c r="W855" s="37">
        <v>0.7596802671141878</v>
      </c>
      <c r="X855" s="42">
        <v>383600.0</v>
      </c>
      <c r="Y855" s="36">
        <v>2400.0</v>
      </c>
      <c r="Z855" s="36">
        <v>38346.0</v>
      </c>
      <c r="AA855" s="36"/>
      <c r="AB855" s="36">
        <v>347654.0</v>
      </c>
      <c r="AC855" s="37">
        <v>12416.214285714286</v>
      </c>
      <c r="AD855" s="31"/>
      <c r="AE855" s="11"/>
      <c r="AF855" s="11"/>
    </row>
    <row r="856">
      <c r="A856" s="11" t="s">
        <v>856</v>
      </c>
      <c r="B856" s="39">
        <v>45449.91805555556</v>
      </c>
      <c r="C856" s="40">
        <v>45452.415972222225</v>
      </c>
      <c r="D856" s="27" t="s">
        <v>37</v>
      </c>
      <c r="E856" s="11" t="b">
        <v>0</v>
      </c>
      <c r="F856" s="11" t="s">
        <v>49</v>
      </c>
      <c r="G856" s="11" t="s">
        <v>861</v>
      </c>
      <c r="H856" s="11" t="s">
        <v>862</v>
      </c>
      <c r="I856" s="30">
        <v>5.0</v>
      </c>
      <c r="J856" s="31">
        <v>15.0</v>
      </c>
      <c r="K856" s="11">
        <v>1.0</v>
      </c>
      <c r="L856" s="32">
        <f t="shared" ref="L856:L858" si="239">(13500)/P856</f>
        <v>0.8321518831</v>
      </c>
      <c r="M856" s="32">
        <f t="shared" ref="M856:M858" si="240">(1000)/P856</f>
        <v>0.06164088023</v>
      </c>
      <c r="N856" s="32">
        <f>(20000)/P856</f>
        <v>1.232817605</v>
      </c>
      <c r="O856" s="32">
        <v>0.0</v>
      </c>
      <c r="P856" s="33">
        <v>16223.0</v>
      </c>
      <c r="Q856" s="34">
        <v>15.0</v>
      </c>
      <c r="R856" s="42">
        <v>12.482278246933367</v>
      </c>
      <c r="S856" s="36">
        <v>0.06164088023176971</v>
      </c>
      <c r="T856" s="36">
        <v>1.2328176046353942</v>
      </c>
      <c r="U856" s="36"/>
      <c r="V856" s="36">
        <v>11.311101522529741</v>
      </c>
      <c r="W856" s="37">
        <v>0.7540734348353161</v>
      </c>
      <c r="X856" s="42">
        <v>202500.0</v>
      </c>
      <c r="Y856" s="36">
        <v>1000.0</v>
      </c>
      <c r="Z856" s="36">
        <v>20000.0</v>
      </c>
      <c r="AA856" s="36"/>
      <c r="AB856" s="36">
        <v>183500.0</v>
      </c>
      <c r="AC856" s="37">
        <v>12233.333333333334</v>
      </c>
      <c r="AD856" s="31"/>
      <c r="AE856" s="11"/>
      <c r="AF856" s="11"/>
    </row>
    <row r="857">
      <c r="A857" s="11" t="s">
        <v>856</v>
      </c>
      <c r="B857" s="39">
        <v>45449.3375</v>
      </c>
      <c r="C857" s="40">
        <v>45451.416666666664</v>
      </c>
      <c r="D857" s="27" t="s">
        <v>33</v>
      </c>
      <c r="E857" s="11" t="b">
        <v>0</v>
      </c>
      <c r="F857" s="11" t="s">
        <v>38</v>
      </c>
      <c r="G857" s="11" t="s">
        <v>863</v>
      </c>
      <c r="H857" s="11" t="s">
        <v>864</v>
      </c>
      <c r="I857" s="30">
        <v>5.0</v>
      </c>
      <c r="J857" s="31">
        <v>4.0</v>
      </c>
      <c r="K857" s="11">
        <v>1.0</v>
      </c>
      <c r="L857" s="32">
        <f t="shared" si="239"/>
        <v>0.8321518831</v>
      </c>
      <c r="M857" s="32">
        <f t="shared" si="240"/>
        <v>0.06164088023</v>
      </c>
      <c r="N857" s="32">
        <f>(15000)/P857</f>
        <v>0.9246132035</v>
      </c>
      <c r="O857" s="32">
        <v>0.0</v>
      </c>
      <c r="P857" s="33">
        <v>16223.0</v>
      </c>
      <c r="Q857" s="34">
        <v>4.0</v>
      </c>
      <c r="R857" s="42">
        <v>3.3286075325155644</v>
      </c>
      <c r="S857" s="36">
        <v>0.06164088023176971</v>
      </c>
      <c r="T857" s="36">
        <v>0.9246132034765456</v>
      </c>
      <c r="U857" s="36"/>
      <c r="V857" s="36">
        <v>2.4656352092707885</v>
      </c>
      <c r="W857" s="37">
        <v>0.6164088023176971</v>
      </c>
      <c r="X857" s="42">
        <v>54000.0</v>
      </c>
      <c r="Y857" s="36">
        <v>1000.0</v>
      </c>
      <c r="Z857" s="36">
        <v>15000.0</v>
      </c>
      <c r="AA857" s="36"/>
      <c r="AB857" s="36">
        <v>40000.0</v>
      </c>
      <c r="AC857" s="37">
        <v>10000.0</v>
      </c>
      <c r="AD857" s="31"/>
      <c r="AE857" s="11"/>
      <c r="AF857" s="11"/>
    </row>
    <row r="858">
      <c r="A858" s="11" t="s">
        <v>856</v>
      </c>
      <c r="B858" s="39">
        <v>45444.347916666666</v>
      </c>
      <c r="C858" s="40">
        <v>45445.84305555555</v>
      </c>
      <c r="D858" s="27" t="s">
        <v>33</v>
      </c>
      <c r="E858" s="11" t="b">
        <v>0</v>
      </c>
      <c r="F858" s="11" t="s">
        <v>38</v>
      </c>
      <c r="G858" s="11" t="s">
        <v>863</v>
      </c>
      <c r="H858" s="11" t="s">
        <v>865</v>
      </c>
      <c r="I858" s="30">
        <v>5.0</v>
      </c>
      <c r="J858" s="31">
        <v>13.0</v>
      </c>
      <c r="K858" s="11">
        <v>1.0</v>
      </c>
      <c r="L858" s="32">
        <f t="shared" si="239"/>
        <v>0.8305136881</v>
      </c>
      <c r="M858" s="32">
        <f t="shared" si="240"/>
        <v>0.06151953245</v>
      </c>
      <c r="N858" s="32">
        <f>(35000)/P858</f>
        <v>2.153183636</v>
      </c>
      <c r="O858" s="32">
        <v>0.0</v>
      </c>
      <c r="P858" s="33">
        <v>16255.0</v>
      </c>
      <c r="Q858" s="34">
        <v>13.0</v>
      </c>
      <c r="R858" s="42">
        <v>10.796677945247616</v>
      </c>
      <c r="S858" s="36">
        <v>0.061519532451553366</v>
      </c>
      <c r="T858" s="36">
        <v>2.1531836358043677</v>
      </c>
      <c r="U858" s="36"/>
      <c r="V858" s="36">
        <v>8.705013841894802</v>
      </c>
      <c r="W858" s="37">
        <v>0.6696164493765232</v>
      </c>
      <c r="X858" s="42">
        <v>175500.0</v>
      </c>
      <c r="Y858" s="36">
        <v>1000.0</v>
      </c>
      <c r="Z858" s="36">
        <v>35000.0</v>
      </c>
      <c r="AA858" s="36"/>
      <c r="AB858" s="36">
        <v>141500.0</v>
      </c>
      <c r="AC858" s="37">
        <v>10884.615384615385</v>
      </c>
      <c r="AD858" s="31"/>
      <c r="AE858" s="11"/>
      <c r="AF858" s="11"/>
    </row>
    <row r="859">
      <c r="A859" s="11" t="s">
        <v>856</v>
      </c>
      <c r="B859" s="39">
        <v>45381.97083333333</v>
      </c>
      <c r="C859" s="40">
        <v>45381.97083333333</v>
      </c>
      <c r="D859" s="27" t="s">
        <v>33</v>
      </c>
      <c r="E859" s="11" t="b">
        <v>0</v>
      </c>
      <c r="F859" s="11" t="s">
        <v>49</v>
      </c>
      <c r="G859" s="11" t="s">
        <v>866</v>
      </c>
      <c r="H859" s="11" t="s">
        <v>866</v>
      </c>
      <c r="I859" s="30">
        <v>5.0</v>
      </c>
      <c r="J859" s="31">
        <v>2.0</v>
      </c>
      <c r="K859" s="11">
        <v>1.0</v>
      </c>
      <c r="L859" s="32">
        <f t="shared" ref="L859:L861" si="241">(13000)/P859</f>
        <v>0.8186397985</v>
      </c>
      <c r="M859" s="32">
        <f>(1000/3)/P859</f>
        <v>0.02099076406</v>
      </c>
      <c r="N859" s="32">
        <v>0.0</v>
      </c>
      <c r="O859" s="32">
        <v>0.0</v>
      </c>
      <c r="P859" s="33">
        <v>15880.0</v>
      </c>
      <c r="Q859" s="34">
        <v>2.0</v>
      </c>
      <c r="R859" s="42">
        <v>1.63727959697733</v>
      </c>
      <c r="S859" s="36">
        <v>0.020990764063811923</v>
      </c>
      <c r="T859" s="36"/>
      <c r="U859" s="36"/>
      <c r="V859" s="36">
        <v>1.6582703610411418</v>
      </c>
      <c r="W859" s="37">
        <v>0.8291351805205709</v>
      </c>
      <c r="X859" s="42">
        <v>26000.0</v>
      </c>
      <c r="Y859" s="36">
        <v>333.3333333333333</v>
      </c>
      <c r="Z859" s="36"/>
      <c r="AA859" s="36"/>
      <c r="AB859" s="36">
        <v>26333.333333333332</v>
      </c>
      <c r="AC859" s="37">
        <v>13166.666666666666</v>
      </c>
      <c r="AD859" s="31"/>
      <c r="AE859" s="11"/>
      <c r="AF859" s="11"/>
    </row>
    <row r="860">
      <c r="A860" s="11" t="s">
        <v>856</v>
      </c>
      <c r="B860" s="39">
        <v>45381.72361111111</v>
      </c>
      <c r="C860" s="40">
        <v>45385.74791666667</v>
      </c>
      <c r="D860" s="27" t="s">
        <v>37</v>
      </c>
      <c r="E860" s="11" t="b">
        <v>0</v>
      </c>
      <c r="F860" s="11" t="s">
        <v>49</v>
      </c>
      <c r="G860" s="11" t="s">
        <v>867</v>
      </c>
      <c r="H860" s="11" t="s">
        <v>867</v>
      </c>
      <c r="I860" s="30">
        <v>5.0</v>
      </c>
      <c r="J860" s="31">
        <v>7.0</v>
      </c>
      <c r="K860" s="11">
        <v>1.0</v>
      </c>
      <c r="L860" s="32">
        <f t="shared" si="241"/>
        <v>0.8186397985</v>
      </c>
      <c r="M860" s="32">
        <f t="shared" ref="M860:M861" si="242">(1000)/P860</f>
        <v>0.06297229219</v>
      </c>
      <c r="N860" s="32">
        <v>0.0</v>
      </c>
      <c r="O860" s="32">
        <v>0.0</v>
      </c>
      <c r="P860" s="33">
        <v>15880.0</v>
      </c>
      <c r="Q860" s="34">
        <v>7.0</v>
      </c>
      <c r="R860" s="42">
        <v>5.730478589420655</v>
      </c>
      <c r="S860" s="36">
        <v>0.06297229219143577</v>
      </c>
      <c r="T860" s="36"/>
      <c r="U860" s="36"/>
      <c r="V860" s="36">
        <v>5.793450881612091</v>
      </c>
      <c r="W860" s="37">
        <v>0.8276358402302987</v>
      </c>
      <c r="X860" s="42">
        <v>91000.0</v>
      </c>
      <c r="Y860" s="36">
        <v>1000.0</v>
      </c>
      <c r="Z860" s="36"/>
      <c r="AA860" s="36"/>
      <c r="AB860" s="36">
        <v>92000.0</v>
      </c>
      <c r="AC860" s="37">
        <v>13142.857142857143</v>
      </c>
      <c r="AD860" s="31"/>
      <c r="AE860" s="11"/>
      <c r="AF860" s="11"/>
    </row>
    <row r="861">
      <c r="A861" s="11" t="s">
        <v>856</v>
      </c>
      <c r="B861" s="39">
        <v>45381.72222222222</v>
      </c>
      <c r="C861" s="40">
        <v>45387.57916666667</v>
      </c>
      <c r="D861" s="27" t="s">
        <v>33</v>
      </c>
      <c r="E861" s="11" t="b">
        <v>0</v>
      </c>
      <c r="F861" s="11" t="s">
        <v>49</v>
      </c>
      <c r="G861" s="11" t="s">
        <v>868</v>
      </c>
      <c r="H861" s="11" t="s">
        <v>868</v>
      </c>
      <c r="I861" s="30">
        <v>5.0</v>
      </c>
      <c r="J861" s="31">
        <v>7.0</v>
      </c>
      <c r="K861" s="11">
        <v>1.0</v>
      </c>
      <c r="L861" s="32">
        <f t="shared" si="241"/>
        <v>0.8186397985</v>
      </c>
      <c r="M861" s="32">
        <f t="shared" si="242"/>
        <v>0.06297229219</v>
      </c>
      <c r="N861" s="32">
        <f>(3413)/P861</f>
        <v>0.2149244332</v>
      </c>
      <c r="O861" s="32">
        <v>0.0</v>
      </c>
      <c r="P861" s="33">
        <v>15880.0</v>
      </c>
      <c r="Q861" s="34">
        <v>7.0</v>
      </c>
      <c r="R861" s="42">
        <v>5.730478589420655</v>
      </c>
      <c r="S861" s="36">
        <v>0.06297229219143577</v>
      </c>
      <c r="T861" s="36">
        <v>0.21492443324937027</v>
      </c>
      <c r="U861" s="36"/>
      <c r="V861" s="36">
        <v>5.57852644836272</v>
      </c>
      <c r="W861" s="37">
        <v>0.7969323497661029</v>
      </c>
      <c r="X861" s="42">
        <v>91000.0</v>
      </c>
      <c r="Y861" s="36">
        <v>1000.0</v>
      </c>
      <c r="Z861" s="36">
        <v>3413.0</v>
      </c>
      <c r="AA861" s="36"/>
      <c r="AB861" s="36">
        <v>88587.0</v>
      </c>
      <c r="AC861" s="37">
        <v>12655.285714285714</v>
      </c>
      <c r="AD861" s="31"/>
      <c r="AE861" s="11"/>
      <c r="AF861" s="11"/>
    </row>
    <row r="862">
      <c r="A862" s="11" t="s">
        <v>869</v>
      </c>
      <c r="B862" s="77">
        <v>45972.166666666664</v>
      </c>
      <c r="C862" s="40">
        <v>45974.71875</v>
      </c>
      <c r="D862" s="27" t="s">
        <v>37</v>
      </c>
      <c r="E862" s="11" t="b">
        <v>0</v>
      </c>
      <c r="F862" s="11" t="s">
        <v>49</v>
      </c>
      <c r="G862" s="11" t="s">
        <v>253</v>
      </c>
      <c r="H862" s="11" t="s">
        <v>870</v>
      </c>
      <c r="I862" s="30">
        <v>5.0</v>
      </c>
      <c r="J862" s="31">
        <v>73.0</v>
      </c>
      <c r="K862" s="11">
        <v>1.0</v>
      </c>
      <c r="L862" s="32">
        <f>(12318)/P862</f>
        <v>12318</v>
      </c>
      <c r="M862" s="32">
        <f>(898)/P862</f>
        <v>898</v>
      </c>
      <c r="N862" s="32">
        <f>ROUNDDOWN((X862*15% - 300),0)/P862</f>
        <v>134582</v>
      </c>
      <c r="O862" s="32">
        <f>(2000)/P862</f>
        <v>2000</v>
      </c>
      <c r="P862" s="33">
        <v>1.0</v>
      </c>
      <c r="Q862" s="34">
        <v>73.0</v>
      </c>
      <c r="R862" s="42">
        <v>899214.0</v>
      </c>
      <c r="S862" s="36">
        <v>898.0</v>
      </c>
      <c r="T862" s="36">
        <v>134582.0</v>
      </c>
      <c r="U862" s="36">
        <v>2000.0</v>
      </c>
      <c r="V862" s="36">
        <v>763530.0</v>
      </c>
      <c r="W862" s="37">
        <v>10459.315068493152</v>
      </c>
      <c r="X862" s="42">
        <v>899214.0</v>
      </c>
      <c r="Y862" s="36">
        <v>898.0</v>
      </c>
      <c r="Z862" s="36">
        <v>134582.0</v>
      </c>
      <c r="AA862" s="36">
        <v>2000.0</v>
      </c>
      <c r="AB862" s="36">
        <v>763530.0</v>
      </c>
      <c r="AC862" s="37">
        <v>10459.315068493152</v>
      </c>
      <c r="AD862" s="31"/>
      <c r="AE862" s="11"/>
      <c r="AF862" s="11"/>
    </row>
    <row r="863">
      <c r="A863" s="11" t="s">
        <v>869</v>
      </c>
      <c r="B863" s="39">
        <v>45955.04375</v>
      </c>
      <c r="C863" s="40">
        <v>45956.575</v>
      </c>
      <c r="D863" s="27" t="s">
        <v>33</v>
      </c>
      <c r="E863" s="11" t="b">
        <v>0</v>
      </c>
      <c r="F863" s="11" t="s">
        <v>49</v>
      </c>
      <c r="G863" s="11" t="s">
        <v>285</v>
      </c>
      <c r="H863" s="11" t="s">
        <v>871</v>
      </c>
      <c r="I863" s="30">
        <v>5.0</v>
      </c>
      <c r="J863" s="31">
        <v>60.0</v>
      </c>
      <c r="K863" s="11">
        <v>1.0</v>
      </c>
      <c r="L863" s="32">
        <f>(12747)/P863</f>
        <v>0.766967509</v>
      </c>
      <c r="M863" s="32">
        <f>(1154)/P863</f>
        <v>0.06943441637</v>
      </c>
      <c r="N863" s="32">
        <f>(X863*15%)/P863</f>
        <v>6.902707581</v>
      </c>
      <c r="O863" s="32">
        <v>0.0</v>
      </c>
      <c r="P863" s="33">
        <v>16620.0</v>
      </c>
      <c r="Q863" s="34">
        <v>60.0</v>
      </c>
      <c r="R863" s="42">
        <v>46.018050541516246</v>
      </c>
      <c r="S863" s="36">
        <v>0.06943441636582431</v>
      </c>
      <c r="T863" s="36">
        <v>6.902707581227437</v>
      </c>
      <c r="U863" s="36"/>
      <c r="V863" s="36">
        <v>39.18477737665463</v>
      </c>
      <c r="W863" s="37">
        <v>0.6530796229442438</v>
      </c>
      <c r="X863" s="42">
        <v>764820.0</v>
      </c>
      <c r="Y863" s="36">
        <v>1154.0</v>
      </c>
      <c r="Z863" s="36">
        <v>114723.0</v>
      </c>
      <c r="AA863" s="36"/>
      <c r="AB863" s="36">
        <v>651251.0</v>
      </c>
      <c r="AC863" s="37">
        <v>10854.183333333332</v>
      </c>
      <c r="AD863" s="31"/>
      <c r="AE863" s="11"/>
      <c r="AF863" s="11"/>
    </row>
    <row r="864">
      <c r="A864" s="11" t="s">
        <v>869</v>
      </c>
      <c r="B864" s="39">
        <v>45690.29305555556</v>
      </c>
      <c r="C864" s="40">
        <v>45691.67361111111</v>
      </c>
      <c r="D864" s="27" t="s">
        <v>33</v>
      </c>
      <c r="E864" s="11" t="b">
        <v>0</v>
      </c>
      <c r="F864" s="11" t="s">
        <v>49</v>
      </c>
      <c r="G864" s="11" t="s">
        <v>246</v>
      </c>
      <c r="H864" s="11" t="s">
        <v>872</v>
      </c>
      <c r="I864" s="30">
        <v>5.0</v>
      </c>
      <c r="J864" s="31">
        <v>16.0</v>
      </c>
      <c r="K864" s="11">
        <v>1.0</v>
      </c>
      <c r="L864" s="32">
        <f t="shared" ref="L864:L865" si="243">(12000)/P864</f>
        <v>0.736196319</v>
      </c>
      <c r="M864" s="32">
        <f t="shared" ref="M864:M867" si="244">(1000)/P864</f>
        <v>0.06134969325</v>
      </c>
      <c r="N864" s="32">
        <f t="shared" ref="N864:N865" si="245">(19200)/P864</f>
        <v>1.17791411</v>
      </c>
      <c r="O864" s="32">
        <v>0.0</v>
      </c>
      <c r="P864" s="33">
        <v>16300.0</v>
      </c>
      <c r="Q864" s="34">
        <v>16.0</v>
      </c>
      <c r="R864" s="42">
        <v>11.779141104294478</v>
      </c>
      <c r="S864" s="36">
        <v>0.06134969325153374</v>
      </c>
      <c r="T864" s="36">
        <v>1.177914110429448</v>
      </c>
      <c r="U864" s="36"/>
      <c r="V864" s="36">
        <v>10.662576687116564</v>
      </c>
      <c r="W864" s="37">
        <v>0.6664110429447853</v>
      </c>
      <c r="X864" s="42">
        <v>192000.0</v>
      </c>
      <c r="Y864" s="36">
        <v>1000.0</v>
      </c>
      <c r="Z864" s="36">
        <v>19200.0</v>
      </c>
      <c r="AA864" s="36"/>
      <c r="AB864" s="36">
        <v>173800.0</v>
      </c>
      <c r="AC864" s="37">
        <v>10862.5</v>
      </c>
      <c r="AD864" s="31"/>
      <c r="AE864" s="11"/>
      <c r="AF864" s="11"/>
    </row>
    <row r="865">
      <c r="A865" s="11" t="s">
        <v>869</v>
      </c>
      <c r="B865" s="39">
        <v>45690.15277777778</v>
      </c>
      <c r="C865" s="40">
        <v>45693.34375</v>
      </c>
      <c r="D865" s="27" t="s">
        <v>37</v>
      </c>
      <c r="E865" s="11" t="b">
        <v>0</v>
      </c>
      <c r="F865" s="11" t="s">
        <v>49</v>
      </c>
      <c r="G865" s="11" t="s">
        <v>246</v>
      </c>
      <c r="H865" s="11" t="s">
        <v>873</v>
      </c>
      <c r="I865" s="30">
        <v>5.0</v>
      </c>
      <c r="J865" s="31">
        <v>16.0</v>
      </c>
      <c r="K865" s="11">
        <v>1.0</v>
      </c>
      <c r="L865" s="32">
        <f t="shared" si="243"/>
        <v>0.736196319</v>
      </c>
      <c r="M865" s="32">
        <f t="shared" si="244"/>
        <v>0.06134969325</v>
      </c>
      <c r="N865" s="32">
        <f t="shared" si="245"/>
        <v>1.17791411</v>
      </c>
      <c r="O865" s="32">
        <v>0.0</v>
      </c>
      <c r="P865" s="33">
        <v>16300.0</v>
      </c>
      <c r="Q865" s="34">
        <v>16.0</v>
      </c>
      <c r="R865" s="42">
        <v>11.779141104294478</v>
      </c>
      <c r="S865" s="36">
        <v>0.06134969325153374</v>
      </c>
      <c r="T865" s="36">
        <v>1.177914110429448</v>
      </c>
      <c r="U865" s="36"/>
      <c r="V865" s="36">
        <v>10.662576687116564</v>
      </c>
      <c r="W865" s="37">
        <v>0.6664110429447853</v>
      </c>
      <c r="X865" s="42">
        <v>192000.0</v>
      </c>
      <c r="Y865" s="36">
        <v>1000.0</v>
      </c>
      <c r="Z865" s="36">
        <v>19200.0</v>
      </c>
      <c r="AA865" s="36"/>
      <c r="AB865" s="36">
        <v>173800.0</v>
      </c>
      <c r="AC865" s="37">
        <v>10862.5</v>
      </c>
      <c r="AD865" s="31"/>
      <c r="AE865" s="11"/>
      <c r="AF865" s="11"/>
    </row>
    <row r="866">
      <c r="A866" s="11" t="s">
        <v>869</v>
      </c>
      <c r="B866" s="39">
        <v>45637.811111111114</v>
      </c>
      <c r="C866" s="40">
        <v>45641.40555555555</v>
      </c>
      <c r="D866" s="27" t="s">
        <v>33</v>
      </c>
      <c r="E866" s="11" t="b">
        <v>0</v>
      </c>
      <c r="F866" s="11" t="s">
        <v>49</v>
      </c>
      <c r="G866" s="11" t="s">
        <v>203</v>
      </c>
      <c r="H866" s="11" t="s">
        <v>874</v>
      </c>
      <c r="I866" s="30">
        <v>5.0</v>
      </c>
      <c r="J866" s="31">
        <v>67.0</v>
      </c>
      <c r="K866" s="11">
        <v>1.0</v>
      </c>
      <c r="L866" s="32">
        <f t="shared" ref="L866:L867" si="246">(12200)/P866</f>
        <v>0.7639323732</v>
      </c>
      <c r="M866" s="32">
        <f t="shared" si="244"/>
        <v>0.06261740764</v>
      </c>
      <c r="N866" s="32">
        <f t="shared" ref="N866:N867" si="247">(98088)/P866</f>
        <v>6.142016281</v>
      </c>
      <c r="O866" s="32">
        <v>0.0</v>
      </c>
      <c r="P866" s="33">
        <v>15970.0</v>
      </c>
      <c r="Q866" s="34">
        <v>67.0</v>
      </c>
      <c r="R866" s="42">
        <v>51.18346900438321</v>
      </c>
      <c r="S866" s="36">
        <v>0.06261740763932373</v>
      </c>
      <c r="T866" s="36">
        <v>6.142016280525986</v>
      </c>
      <c r="U866" s="36"/>
      <c r="V866" s="36">
        <v>45.10407013149655</v>
      </c>
      <c r="W866" s="37">
        <v>0.6731950765895007</v>
      </c>
      <c r="X866" s="42">
        <v>817399.9999999999</v>
      </c>
      <c r="Y866" s="36">
        <v>1000.0</v>
      </c>
      <c r="Z866" s="36">
        <v>98088.0</v>
      </c>
      <c r="AA866" s="36"/>
      <c r="AB866" s="36">
        <v>720311.9999999999</v>
      </c>
      <c r="AC866" s="37">
        <v>10750.925373134327</v>
      </c>
      <c r="AD866" s="31"/>
      <c r="AE866" s="11"/>
      <c r="AF866" s="11"/>
    </row>
    <row r="867">
      <c r="A867" s="11" t="s">
        <v>869</v>
      </c>
      <c r="B867" s="39">
        <v>45637.811111111114</v>
      </c>
      <c r="C867" s="40">
        <v>45642.39722222222</v>
      </c>
      <c r="D867" s="27" t="s">
        <v>37</v>
      </c>
      <c r="E867" s="11" t="b">
        <v>0</v>
      </c>
      <c r="F867" s="11" t="s">
        <v>49</v>
      </c>
      <c r="G867" s="11" t="s">
        <v>203</v>
      </c>
      <c r="H867" s="11" t="s">
        <v>875</v>
      </c>
      <c r="I867" s="30">
        <v>5.0</v>
      </c>
      <c r="J867" s="31">
        <v>67.0</v>
      </c>
      <c r="K867" s="11">
        <v>1.0</v>
      </c>
      <c r="L867" s="32">
        <f t="shared" si="246"/>
        <v>0.7639323732</v>
      </c>
      <c r="M867" s="32">
        <f t="shared" si="244"/>
        <v>0.06261740764</v>
      </c>
      <c r="N867" s="32">
        <f t="shared" si="247"/>
        <v>6.142016281</v>
      </c>
      <c r="O867" s="32">
        <v>0.0</v>
      </c>
      <c r="P867" s="33">
        <v>15970.0</v>
      </c>
      <c r="Q867" s="34">
        <v>67.0</v>
      </c>
      <c r="R867" s="42">
        <v>51.18346900438321</v>
      </c>
      <c r="S867" s="36">
        <v>0.06261740763932373</v>
      </c>
      <c r="T867" s="36">
        <v>6.142016280525986</v>
      </c>
      <c r="U867" s="36"/>
      <c r="V867" s="36">
        <v>45.10407013149655</v>
      </c>
      <c r="W867" s="37">
        <v>0.6731950765895007</v>
      </c>
      <c r="X867" s="42">
        <v>817399.9999999999</v>
      </c>
      <c r="Y867" s="36">
        <v>1000.0</v>
      </c>
      <c r="Z867" s="36">
        <v>98088.0</v>
      </c>
      <c r="AA867" s="36"/>
      <c r="AB867" s="36">
        <v>720311.9999999999</v>
      </c>
      <c r="AC867" s="37">
        <v>10750.925373134327</v>
      </c>
      <c r="AD867" s="31"/>
      <c r="AE867" s="11"/>
      <c r="AF867" s="11"/>
    </row>
    <row r="868">
      <c r="A868" s="11" t="s">
        <v>869</v>
      </c>
      <c r="B868" s="39">
        <v>45598.45347222222</v>
      </c>
      <c r="C868" s="40">
        <v>45602.493055555555</v>
      </c>
      <c r="D868" s="27" t="s">
        <v>37</v>
      </c>
      <c r="E868" s="11" t="b">
        <v>0</v>
      </c>
      <c r="F868" s="11" t="s">
        <v>49</v>
      </c>
      <c r="G868" s="11" t="s">
        <v>323</v>
      </c>
      <c r="H868" s="11" t="s">
        <v>876</v>
      </c>
      <c r="I868" s="30">
        <v>5.0</v>
      </c>
      <c r="J868" s="31">
        <v>200.0</v>
      </c>
      <c r="K868" s="11">
        <v>1.0</v>
      </c>
      <c r="L868" s="32">
        <f>(12100)/P868</f>
        <v>0.7637924504</v>
      </c>
      <c r="M868" s="32">
        <f>(666)/P868</f>
        <v>0.04204014645</v>
      </c>
      <c r="N868" s="32">
        <f>(193600)/P868</f>
        <v>12.22067921</v>
      </c>
      <c r="O868" s="32">
        <v>0.0</v>
      </c>
      <c r="P868" s="33">
        <v>15842.0</v>
      </c>
      <c r="Q868" s="34">
        <v>200.0</v>
      </c>
      <c r="R868" s="42">
        <v>152.75849008963516</v>
      </c>
      <c r="S868" s="36">
        <v>0.042040146446155786</v>
      </c>
      <c r="T868" s="36">
        <v>12.220679207170813</v>
      </c>
      <c r="U868" s="36"/>
      <c r="V868" s="36">
        <v>140.57985102891053</v>
      </c>
      <c r="W868" s="37">
        <v>0.7028992551445526</v>
      </c>
      <c r="X868" s="42">
        <v>2420000.0</v>
      </c>
      <c r="Y868" s="36">
        <v>666.0</v>
      </c>
      <c r="Z868" s="36">
        <v>193600.0</v>
      </c>
      <c r="AA868" s="36"/>
      <c r="AB868" s="36">
        <v>2227066.0000000005</v>
      </c>
      <c r="AC868" s="37">
        <v>11135.330000000002</v>
      </c>
      <c r="AD868" s="31"/>
      <c r="AE868" s="11"/>
      <c r="AF868" s="11"/>
    </row>
    <row r="869">
      <c r="A869" s="11" t="s">
        <v>869</v>
      </c>
      <c r="B869" s="39">
        <v>45436.01180555556</v>
      </c>
      <c r="C869" s="40">
        <v>45438.614583333336</v>
      </c>
      <c r="D869" s="27" t="s">
        <v>33</v>
      </c>
      <c r="E869" s="11" t="b">
        <v>0</v>
      </c>
      <c r="F869" s="11" t="s">
        <v>49</v>
      </c>
      <c r="G869" s="11" t="s">
        <v>877</v>
      </c>
      <c r="H869" s="11" t="s">
        <v>878</v>
      </c>
      <c r="I869" s="30">
        <v>5.0</v>
      </c>
      <c r="J869" s="31">
        <v>5.0</v>
      </c>
      <c r="K869" s="11">
        <v>1.0</v>
      </c>
      <c r="L869" s="32">
        <f t="shared" ref="L869:L871" si="248">(59950/5)/P869</f>
        <v>0.7472732939</v>
      </c>
      <c r="M869" s="32">
        <f t="shared" ref="M869:M872" si="249">(1000)/P869</f>
        <v>0.06232471175</v>
      </c>
      <c r="N869" s="32">
        <f t="shared" ref="N869:N872" si="250">(10000)/P869</f>
        <v>0.6232471175</v>
      </c>
      <c r="O869" s="32">
        <v>0.0</v>
      </c>
      <c r="P869" s="33">
        <v>16045.0</v>
      </c>
      <c r="Q869" s="34">
        <v>5.0</v>
      </c>
      <c r="R869" s="42">
        <v>3.7363664693050795</v>
      </c>
      <c r="S869" s="36">
        <v>0.06232471174820817</v>
      </c>
      <c r="T869" s="36">
        <v>0.6232471174820816</v>
      </c>
      <c r="U869" s="36"/>
      <c r="V869" s="36">
        <v>3.1754440635712062</v>
      </c>
      <c r="W869" s="37">
        <v>0.6350888127142412</v>
      </c>
      <c r="X869" s="42">
        <v>59950.0</v>
      </c>
      <c r="Y869" s="36">
        <v>1000.0</v>
      </c>
      <c r="Z869" s="36">
        <v>10000.0</v>
      </c>
      <c r="AA869" s="36"/>
      <c r="AB869" s="36">
        <v>50950.00000000001</v>
      </c>
      <c r="AC869" s="37">
        <v>10190.000000000002</v>
      </c>
      <c r="AD869" s="31"/>
      <c r="AE869" s="11"/>
      <c r="AF869" s="11"/>
    </row>
    <row r="870">
      <c r="A870" s="11" t="s">
        <v>869</v>
      </c>
      <c r="B870" s="39">
        <v>45432.04027777778</v>
      </c>
      <c r="C870" s="40">
        <v>45434.688888888886</v>
      </c>
      <c r="D870" s="27" t="s">
        <v>33</v>
      </c>
      <c r="E870" s="11" t="b">
        <v>0</v>
      </c>
      <c r="F870" s="11" t="s">
        <v>49</v>
      </c>
      <c r="G870" s="11" t="s">
        <v>877</v>
      </c>
      <c r="H870" s="11" t="s">
        <v>879</v>
      </c>
      <c r="I870" s="30">
        <v>5.0</v>
      </c>
      <c r="J870" s="31">
        <v>5.0</v>
      </c>
      <c r="K870" s="11">
        <v>1.0</v>
      </c>
      <c r="L870" s="32">
        <f t="shared" si="248"/>
        <v>0.7492345185</v>
      </c>
      <c r="M870" s="32">
        <f t="shared" si="249"/>
        <v>0.06248828345</v>
      </c>
      <c r="N870" s="32">
        <f t="shared" si="250"/>
        <v>0.6248828345</v>
      </c>
      <c r="O870" s="32">
        <v>0.0</v>
      </c>
      <c r="P870" s="33">
        <v>16003.0</v>
      </c>
      <c r="Q870" s="34">
        <v>5.0</v>
      </c>
      <c r="R870" s="42">
        <v>3.74617259263888</v>
      </c>
      <c r="S870" s="36">
        <v>0.06248828344685371</v>
      </c>
      <c r="T870" s="36">
        <v>0.6248828344685371</v>
      </c>
      <c r="U870" s="36"/>
      <c r="V870" s="36">
        <v>3.183778041617196</v>
      </c>
      <c r="W870" s="37">
        <v>0.6367556083234392</v>
      </c>
      <c r="X870" s="42">
        <v>59949.99999999999</v>
      </c>
      <c r="Y870" s="36">
        <v>1000.0</v>
      </c>
      <c r="Z870" s="36">
        <v>10000.0</v>
      </c>
      <c r="AA870" s="36"/>
      <c r="AB870" s="36">
        <v>50949.99999999999</v>
      </c>
      <c r="AC870" s="37">
        <v>10189.999999999998</v>
      </c>
      <c r="AD870" s="31"/>
      <c r="AE870" s="11"/>
      <c r="AF870" s="11"/>
    </row>
    <row r="871">
      <c r="A871" s="11" t="s">
        <v>869</v>
      </c>
      <c r="B871" s="39">
        <v>45429.00208333333</v>
      </c>
      <c r="C871" s="40">
        <v>45431.441666666666</v>
      </c>
      <c r="D871" s="27" t="s">
        <v>33</v>
      </c>
      <c r="E871" s="11" t="b">
        <v>0</v>
      </c>
      <c r="F871" s="11" t="s">
        <v>49</v>
      </c>
      <c r="G871" s="11" t="s">
        <v>877</v>
      </c>
      <c r="H871" s="11" t="s">
        <v>880</v>
      </c>
      <c r="I871" s="30">
        <v>5.0</v>
      </c>
      <c r="J871" s="31">
        <v>5.0</v>
      </c>
      <c r="K871" s="11">
        <v>1.0</v>
      </c>
      <c r="L871" s="32">
        <f t="shared" si="248"/>
        <v>0.7509237803</v>
      </c>
      <c r="M871" s="32">
        <f t="shared" si="249"/>
        <v>0.06262917267</v>
      </c>
      <c r="N871" s="32">
        <f t="shared" si="250"/>
        <v>0.6262917267</v>
      </c>
      <c r="O871" s="32">
        <v>0.0</v>
      </c>
      <c r="P871" s="33">
        <v>15967.0</v>
      </c>
      <c r="Q871" s="34">
        <v>5.0</v>
      </c>
      <c r="R871" s="42">
        <v>3.754618901484311</v>
      </c>
      <c r="S871" s="36">
        <v>0.06262917266862905</v>
      </c>
      <c r="T871" s="36">
        <v>0.6262917266862905</v>
      </c>
      <c r="U871" s="36"/>
      <c r="V871" s="36">
        <v>3.1909563474666496</v>
      </c>
      <c r="W871" s="37">
        <v>0.6381912694933299</v>
      </c>
      <c r="X871" s="42">
        <v>59949.99999999999</v>
      </c>
      <c r="Y871" s="36">
        <v>1000.0000000000001</v>
      </c>
      <c r="Z871" s="36">
        <v>10000.0</v>
      </c>
      <c r="AA871" s="36"/>
      <c r="AB871" s="36">
        <v>50949.99999999999</v>
      </c>
      <c r="AC871" s="37">
        <v>10189.999999999998</v>
      </c>
      <c r="AD871" s="31"/>
      <c r="AE871" s="11"/>
      <c r="AF871" s="11"/>
    </row>
    <row r="872">
      <c r="A872" s="11" t="s">
        <v>869</v>
      </c>
      <c r="B872" s="39">
        <v>45429.001388888886</v>
      </c>
      <c r="C872" s="40">
        <v>45431.441666666666</v>
      </c>
      <c r="D872" s="27" t="s">
        <v>33</v>
      </c>
      <c r="E872" s="11" t="b">
        <v>0</v>
      </c>
      <c r="F872" s="11" t="s">
        <v>49</v>
      </c>
      <c r="G872" s="11" t="s">
        <v>877</v>
      </c>
      <c r="H872" s="11" t="s">
        <v>881</v>
      </c>
      <c r="I872" s="30">
        <v>5.0</v>
      </c>
      <c r="J872" s="31">
        <v>5.0</v>
      </c>
      <c r="K872" s="11">
        <v>1.0</v>
      </c>
      <c r="L872" s="32">
        <f>(11990)/P872</f>
        <v>0.7509237803</v>
      </c>
      <c r="M872" s="32">
        <f t="shared" si="249"/>
        <v>0.06262917267</v>
      </c>
      <c r="N872" s="32">
        <f t="shared" si="250"/>
        <v>0.6262917267</v>
      </c>
      <c r="O872" s="32">
        <v>0.0</v>
      </c>
      <c r="P872" s="33">
        <v>15967.0</v>
      </c>
      <c r="Q872" s="34">
        <v>5.0</v>
      </c>
      <c r="R872" s="42">
        <v>3.754618901484311</v>
      </c>
      <c r="S872" s="36">
        <v>0.06262917266862905</v>
      </c>
      <c r="T872" s="36">
        <v>0.6262917266862905</v>
      </c>
      <c r="U872" s="36"/>
      <c r="V872" s="36">
        <v>3.1909563474666496</v>
      </c>
      <c r="W872" s="37">
        <v>0.6381912694933299</v>
      </c>
      <c r="X872" s="42">
        <v>59949.99999999999</v>
      </c>
      <c r="Y872" s="36">
        <v>1000.0000000000001</v>
      </c>
      <c r="Z872" s="36">
        <v>10000.0</v>
      </c>
      <c r="AA872" s="36"/>
      <c r="AB872" s="36">
        <v>50949.99999999999</v>
      </c>
      <c r="AC872" s="37">
        <v>10189.999999999998</v>
      </c>
      <c r="AD872" s="31"/>
      <c r="AE872" s="11"/>
      <c r="AF872" s="11"/>
    </row>
    <row r="873">
      <c r="A873" s="11" t="s">
        <v>869</v>
      </c>
      <c r="B873" s="39">
        <v>45428.99375</v>
      </c>
      <c r="C873" s="40">
        <v>45430.44930555556</v>
      </c>
      <c r="D873" s="27" t="s">
        <v>33</v>
      </c>
      <c r="E873" s="11" t="b">
        <v>0</v>
      </c>
      <c r="F873" s="11" t="s">
        <v>38</v>
      </c>
      <c r="G873" s="11" t="s">
        <v>200</v>
      </c>
      <c r="H873" s="11" t="s">
        <v>261</v>
      </c>
      <c r="I873" s="30">
        <v>5.0</v>
      </c>
      <c r="J873" s="31">
        <v>9.0</v>
      </c>
      <c r="K873" s="11">
        <v>1.0</v>
      </c>
      <c r="L873" s="32">
        <f t="shared" ref="L873:L874" si="251">(11900)/P873</f>
        <v>0.7465963988</v>
      </c>
      <c r="M873" s="32">
        <f>(107)/P873</f>
        <v>0.00671309367</v>
      </c>
      <c r="N873" s="32">
        <f>(10710 - 3) /P873</f>
        <v>0.6717485413</v>
      </c>
      <c r="O873" s="32">
        <v>0.0</v>
      </c>
      <c r="P873" s="33">
        <v>15939.0</v>
      </c>
      <c r="Q873" s="34">
        <v>9.0</v>
      </c>
      <c r="R873" s="42">
        <v>6.719367588932807</v>
      </c>
      <c r="S873" s="36">
        <v>0.006713093669615409</v>
      </c>
      <c r="T873" s="36">
        <v>0.6717485413137587</v>
      </c>
      <c r="U873" s="36"/>
      <c r="V873" s="36">
        <v>6.054332141288663</v>
      </c>
      <c r="W873" s="37">
        <v>0.6727035712542959</v>
      </c>
      <c r="X873" s="42">
        <v>107100.0</v>
      </c>
      <c r="Y873" s="36">
        <v>107.0</v>
      </c>
      <c r="Z873" s="36">
        <v>10707.0</v>
      </c>
      <c r="AA873" s="36"/>
      <c r="AB873" s="36">
        <v>96500.0</v>
      </c>
      <c r="AC873" s="37">
        <v>10722.222222222223</v>
      </c>
      <c r="AD873" s="31"/>
      <c r="AE873" s="11"/>
      <c r="AF873" s="11"/>
    </row>
    <row r="874">
      <c r="A874" s="11" t="s">
        <v>869</v>
      </c>
      <c r="B874" s="39">
        <v>45428.96805555555</v>
      </c>
      <c r="C874" s="40">
        <v>45430.44930555556</v>
      </c>
      <c r="D874" s="27" t="s">
        <v>33</v>
      </c>
      <c r="E874" s="11" t="b">
        <v>0</v>
      </c>
      <c r="F874" s="11" t="s">
        <v>38</v>
      </c>
      <c r="G874" s="11" t="s">
        <v>200</v>
      </c>
      <c r="H874" s="11" t="s">
        <v>882</v>
      </c>
      <c r="I874" s="30">
        <v>5.0</v>
      </c>
      <c r="J874" s="31">
        <v>230.0</v>
      </c>
      <c r="K874" s="11">
        <v>1.0</v>
      </c>
      <c r="L874" s="32">
        <f t="shared" si="251"/>
        <v>0.7465963988</v>
      </c>
      <c r="M874" s="32">
        <f t="shared" ref="M874:M876" si="252">(1000)/P874</f>
        <v>0.06273919317</v>
      </c>
      <c r="N874" s="32">
        <f>(273700)/P874</f>
        <v>17.17171717</v>
      </c>
      <c r="O874" s="32">
        <v>0.0</v>
      </c>
      <c r="P874" s="33">
        <v>15939.0</v>
      </c>
      <c r="Q874" s="34">
        <v>230.0</v>
      </c>
      <c r="R874" s="42">
        <v>171.7171717171717</v>
      </c>
      <c r="S874" s="36">
        <v>0.06273919317397578</v>
      </c>
      <c r="T874" s="36">
        <v>17.171717171717173</v>
      </c>
      <c r="U874" s="36"/>
      <c r="V874" s="36">
        <v>154.6081937386285</v>
      </c>
      <c r="W874" s="37">
        <v>0.6722095379940369</v>
      </c>
      <c r="X874" s="42">
        <v>2737000.0</v>
      </c>
      <c r="Y874" s="36">
        <v>999.9999999999999</v>
      </c>
      <c r="Z874" s="36">
        <v>273700.0</v>
      </c>
      <c r="AA874" s="36"/>
      <c r="AB874" s="36">
        <v>2464299.9999999995</v>
      </c>
      <c r="AC874" s="37">
        <v>10714.347826086954</v>
      </c>
      <c r="AD874" s="31"/>
      <c r="AE874" s="11"/>
      <c r="AF874" s="11"/>
    </row>
    <row r="875">
      <c r="A875" s="11" t="s">
        <v>869</v>
      </c>
      <c r="B875" s="39">
        <v>45428.00625</v>
      </c>
      <c r="C875" s="40">
        <v>45430.44930555556</v>
      </c>
      <c r="D875" s="27" t="s">
        <v>33</v>
      </c>
      <c r="E875" s="11" t="b">
        <v>0</v>
      </c>
      <c r="F875" s="11" t="s">
        <v>49</v>
      </c>
      <c r="G875" s="11" t="s">
        <v>877</v>
      </c>
      <c r="H875" s="11" t="s">
        <v>883</v>
      </c>
      <c r="I875" s="30">
        <v>5.0</v>
      </c>
      <c r="J875" s="31">
        <v>5.0</v>
      </c>
      <c r="K875" s="11">
        <v>1.0</v>
      </c>
      <c r="L875" s="32">
        <f>(59950/5)/P875</f>
        <v>0.7522429262</v>
      </c>
      <c r="M875" s="32">
        <f t="shared" si="252"/>
        <v>0.06273919317</v>
      </c>
      <c r="N875" s="32">
        <f t="shared" ref="N875:N876" si="253">(10000)/P875</f>
        <v>0.6273919317</v>
      </c>
      <c r="O875" s="32">
        <v>0.0</v>
      </c>
      <c r="P875" s="33">
        <v>15939.0</v>
      </c>
      <c r="Q875" s="34">
        <v>5.0</v>
      </c>
      <c r="R875" s="42">
        <v>3.761214630779848</v>
      </c>
      <c r="S875" s="36">
        <v>0.06273919317397578</v>
      </c>
      <c r="T875" s="36">
        <v>0.6273919317397578</v>
      </c>
      <c r="U875" s="36"/>
      <c r="V875" s="36">
        <v>3.196561892214066</v>
      </c>
      <c r="W875" s="37">
        <v>0.6393123784428132</v>
      </c>
      <c r="X875" s="42">
        <v>59950.0</v>
      </c>
      <c r="Y875" s="36">
        <v>999.9999999999999</v>
      </c>
      <c r="Z875" s="36">
        <v>10000.0</v>
      </c>
      <c r="AA875" s="36"/>
      <c r="AB875" s="36">
        <v>50950.0</v>
      </c>
      <c r="AC875" s="37">
        <v>10190.0</v>
      </c>
      <c r="AD875" s="31"/>
      <c r="AE875" s="11"/>
      <c r="AF875" s="11"/>
    </row>
    <row r="876">
      <c r="A876" s="11" t="s">
        <v>869</v>
      </c>
      <c r="B876" s="39">
        <v>45428.00208333333</v>
      </c>
      <c r="C876" s="40">
        <v>45430.44930555556</v>
      </c>
      <c r="D876" s="27" t="s">
        <v>33</v>
      </c>
      <c r="E876" s="11" t="b">
        <v>0</v>
      </c>
      <c r="F876" s="11" t="s">
        <v>49</v>
      </c>
      <c r="G876" s="11" t="s">
        <v>877</v>
      </c>
      <c r="H876" s="11" t="s">
        <v>884</v>
      </c>
      <c r="I876" s="30">
        <v>5.0</v>
      </c>
      <c r="J876" s="31">
        <v>5.0</v>
      </c>
      <c r="K876" s="11">
        <v>1.0</v>
      </c>
      <c r="L876" s="32">
        <f>(11990)/P876</f>
        <v>0.7522429262</v>
      </c>
      <c r="M876" s="32">
        <f t="shared" si="252"/>
        <v>0.06273919317</v>
      </c>
      <c r="N876" s="32">
        <f t="shared" si="253"/>
        <v>0.6273919317</v>
      </c>
      <c r="O876" s="32">
        <v>0.0</v>
      </c>
      <c r="P876" s="33">
        <v>15939.0</v>
      </c>
      <c r="Q876" s="34">
        <v>5.0</v>
      </c>
      <c r="R876" s="42">
        <v>3.761214630779848</v>
      </c>
      <c r="S876" s="36">
        <v>0.06273919317397578</v>
      </c>
      <c r="T876" s="36">
        <v>0.6273919317397578</v>
      </c>
      <c r="U876" s="36"/>
      <c r="V876" s="36">
        <v>3.196561892214066</v>
      </c>
      <c r="W876" s="37">
        <v>0.6393123784428132</v>
      </c>
      <c r="X876" s="42">
        <v>59950.0</v>
      </c>
      <c r="Y876" s="36">
        <v>999.9999999999999</v>
      </c>
      <c r="Z876" s="36">
        <v>10000.0</v>
      </c>
      <c r="AA876" s="36"/>
      <c r="AB876" s="36">
        <v>50950.0</v>
      </c>
      <c r="AC876" s="37">
        <v>10190.0</v>
      </c>
      <c r="AD876" s="31"/>
      <c r="AE876" s="11"/>
      <c r="AF876" s="11"/>
    </row>
    <row r="877">
      <c r="A877" s="11" t="s">
        <v>869</v>
      </c>
      <c r="B877" s="39">
        <v>45427.885416666664</v>
      </c>
      <c r="C877" s="40">
        <v>45429.48158680556</v>
      </c>
      <c r="D877" s="27" t="s">
        <v>33</v>
      </c>
      <c r="E877" s="11" t="b">
        <v>0</v>
      </c>
      <c r="F877" s="11" t="s">
        <v>38</v>
      </c>
      <c r="G877" s="11" t="s">
        <v>200</v>
      </c>
      <c r="H877" s="11" t="s">
        <v>262</v>
      </c>
      <c r="I877" s="30">
        <v>5.0</v>
      </c>
      <c r="J877" s="31">
        <v>20.0</v>
      </c>
      <c r="K877" s="11">
        <v>1.0</v>
      </c>
      <c r="L877" s="32">
        <f>(11900)/P877</f>
        <v>0.7380302654</v>
      </c>
      <c r="M877" s="32">
        <f>(789)/P877</f>
        <v>0.04893326718</v>
      </c>
      <c r="N877" s="32">
        <f>(16973)/P877</f>
        <v>1.052654428</v>
      </c>
      <c r="O877" s="32">
        <v>0.0</v>
      </c>
      <c r="P877" s="33">
        <v>16124.0</v>
      </c>
      <c r="Q877" s="34">
        <v>20.0</v>
      </c>
      <c r="R877" s="42">
        <v>14.760605308856363</v>
      </c>
      <c r="S877" s="36">
        <v>0.04893326717935996</v>
      </c>
      <c r="T877" s="36">
        <v>1.0526544281815926</v>
      </c>
      <c r="U877" s="36"/>
      <c r="V877" s="36">
        <v>13.75688414785413</v>
      </c>
      <c r="W877" s="37">
        <v>0.6878442073927065</v>
      </c>
      <c r="X877" s="42">
        <v>238000.0</v>
      </c>
      <c r="Y877" s="36">
        <v>789.0</v>
      </c>
      <c r="Z877" s="36">
        <v>16973.0</v>
      </c>
      <c r="AA877" s="36"/>
      <c r="AB877" s="36">
        <v>221816.0</v>
      </c>
      <c r="AC877" s="37">
        <v>11090.8</v>
      </c>
      <c r="AD877" s="31"/>
      <c r="AE877" s="11"/>
      <c r="AF877" s="11"/>
    </row>
    <row r="878">
      <c r="A878" s="11" t="s">
        <v>869</v>
      </c>
      <c r="B878" s="39">
        <v>45427.00625</v>
      </c>
      <c r="C878" s="40">
        <v>45429.731944444444</v>
      </c>
      <c r="D878" s="27" t="s">
        <v>33</v>
      </c>
      <c r="E878" s="11" t="b">
        <v>0</v>
      </c>
      <c r="F878" s="11" t="s">
        <v>49</v>
      </c>
      <c r="G878" s="11" t="s">
        <v>877</v>
      </c>
      <c r="H878" s="11" t="s">
        <v>885</v>
      </c>
      <c r="I878" s="30">
        <v>5.0</v>
      </c>
      <c r="J878" s="31">
        <v>5.0</v>
      </c>
      <c r="K878" s="11">
        <v>1.0</v>
      </c>
      <c r="L878" s="32">
        <f>(59950/5)/P878</f>
        <v>0.7490472918</v>
      </c>
      <c r="M878" s="32">
        <f t="shared" ref="M878:M884" si="254">(1000)/P878</f>
        <v>0.06247266821</v>
      </c>
      <c r="N878" s="32">
        <f t="shared" ref="N878:N882" si="255">(10000)/P878</f>
        <v>0.6247266821</v>
      </c>
      <c r="O878" s="32">
        <v>0.0</v>
      </c>
      <c r="P878" s="33">
        <v>16007.0</v>
      </c>
      <c r="Q878" s="34">
        <v>5.0</v>
      </c>
      <c r="R878" s="42">
        <v>3.745236459049166</v>
      </c>
      <c r="S878" s="36">
        <v>0.06247266820765915</v>
      </c>
      <c r="T878" s="36">
        <v>0.6247266820765915</v>
      </c>
      <c r="U878" s="36"/>
      <c r="V878" s="36">
        <v>3.1829824451802335</v>
      </c>
      <c r="W878" s="37">
        <v>0.6365964890360467</v>
      </c>
      <c r="X878" s="42">
        <v>59950.0</v>
      </c>
      <c r="Y878" s="36">
        <v>1000.0</v>
      </c>
      <c r="Z878" s="36">
        <v>10000.0</v>
      </c>
      <c r="AA878" s="36"/>
      <c r="AB878" s="36">
        <v>50950.0</v>
      </c>
      <c r="AC878" s="37">
        <v>10190.0</v>
      </c>
      <c r="AD878" s="31"/>
      <c r="AE878" s="11"/>
      <c r="AF878" s="11"/>
    </row>
    <row r="879">
      <c r="A879" s="11" t="s">
        <v>869</v>
      </c>
      <c r="B879" s="39">
        <v>45427.00347222222</v>
      </c>
      <c r="C879" s="40">
        <v>45429.731944444444</v>
      </c>
      <c r="D879" s="27" t="s">
        <v>33</v>
      </c>
      <c r="E879" s="11" t="b">
        <v>0</v>
      </c>
      <c r="F879" s="11" t="s">
        <v>49</v>
      </c>
      <c r="G879" s="11" t="s">
        <v>877</v>
      </c>
      <c r="H879" s="11" t="s">
        <v>886</v>
      </c>
      <c r="I879" s="30">
        <v>5.0</v>
      </c>
      <c r="J879" s="31">
        <v>5.0</v>
      </c>
      <c r="K879" s="11">
        <v>1.0</v>
      </c>
      <c r="L879" s="32">
        <f t="shared" ref="L879:L881" si="256">(11990)/P879</f>
        <v>0.744998136</v>
      </c>
      <c r="M879" s="32">
        <f t="shared" si="254"/>
        <v>0.06213495713</v>
      </c>
      <c r="N879" s="32">
        <f t="shared" si="255"/>
        <v>0.6213495713</v>
      </c>
      <c r="O879" s="32">
        <v>0.0</v>
      </c>
      <c r="P879" s="33">
        <v>16094.0</v>
      </c>
      <c r="Q879" s="34">
        <v>5.0</v>
      </c>
      <c r="R879" s="42">
        <v>3.7249906797564307</v>
      </c>
      <c r="S879" s="36">
        <v>0.06213495712687958</v>
      </c>
      <c r="T879" s="36">
        <v>0.6213495712687959</v>
      </c>
      <c r="U879" s="36"/>
      <c r="V879" s="36">
        <v>3.1657760656145144</v>
      </c>
      <c r="W879" s="37">
        <v>0.6331552131229029</v>
      </c>
      <c r="X879" s="42">
        <v>59949.99999999999</v>
      </c>
      <c r="Y879" s="36">
        <v>1000.0</v>
      </c>
      <c r="Z879" s="36">
        <v>10000.0</v>
      </c>
      <c r="AA879" s="36"/>
      <c r="AB879" s="36">
        <v>50949.99999999999</v>
      </c>
      <c r="AC879" s="37">
        <v>10189.999999999998</v>
      </c>
      <c r="AD879" s="31"/>
      <c r="AE879" s="11"/>
      <c r="AF879" s="11"/>
    </row>
    <row r="880">
      <c r="A880" s="11" t="s">
        <v>869</v>
      </c>
      <c r="B880" s="39">
        <v>45426.0125</v>
      </c>
      <c r="C880" s="40">
        <v>45428.46666666667</v>
      </c>
      <c r="D880" s="27" t="s">
        <v>33</v>
      </c>
      <c r="E880" s="11" t="b">
        <v>0</v>
      </c>
      <c r="F880" s="11" t="s">
        <v>49</v>
      </c>
      <c r="G880" s="11" t="s">
        <v>877</v>
      </c>
      <c r="H880" s="11" t="s">
        <v>887</v>
      </c>
      <c r="I880" s="30">
        <v>5.0</v>
      </c>
      <c r="J880" s="31">
        <v>5.0</v>
      </c>
      <c r="K880" s="11">
        <v>1.0</v>
      </c>
      <c r="L880" s="32">
        <f t="shared" si="256"/>
        <v>0.744998136</v>
      </c>
      <c r="M880" s="32">
        <f t="shared" si="254"/>
        <v>0.06213495713</v>
      </c>
      <c r="N880" s="32">
        <f t="shared" si="255"/>
        <v>0.6213495713</v>
      </c>
      <c r="O880" s="32">
        <v>0.0</v>
      </c>
      <c r="P880" s="33">
        <v>16094.0</v>
      </c>
      <c r="Q880" s="34">
        <v>5.0</v>
      </c>
      <c r="R880" s="42">
        <v>3.7249906797564307</v>
      </c>
      <c r="S880" s="36">
        <v>0.06213495712687958</v>
      </c>
      <c r="T880" s="36">
        <v>0.6213495712687959</v>
      </c>
      <c r="U880" s="36"/>
      <c r="V880" s="36">
        <v>3.1657760656145144</v>
      </c>
      <c r="W880" s="37">
        <v>0.6331552131229029</v>
      </c>
      <c r="X880" s="42">
        <v>59949.99999999999</v>
      </c>
      <c r="Y880" s="36">
        <v>1000.0</v>
      </c>
      <c r="Z880" s="36">
        <v>10000.0</v>
      </c>
      <c r="AA880" s="36"/>
      <c r="AB880" s="36">
        <v>50949.99999999999</v>
      </c>
      <c r="AC880" s="37">
        <v>10189.999999999998</v>
      </c>
      <c r="AD880" s="31"/>
      <c r="AE880" s="11"/>
      <c r="AF880" s="11"/>
    </row>
    <row r="881">
      <c r="A881" s="11" t="s">
        <v>869</v>
      </c>
      <c r="B881" s="39">
        <v>45426.010416666664</v>
      </c>
      <c r="C881" s="40">
        <v>45428.46597222222</v>
      </c>
      <c r="D881" s="27" t="s">
        <v>33</v>
      </c>
      <c r="E881" s="11" t="b">
        <v>0</v>
      </c>
      <c r="F881" s="11" t="s">
        <v>49</v>
      </c>
      <c r="G881" s="11" t="s">
        <v>877</v>
      </c>
      <c r="H881" s="11" t="s">
        <v>888</v>
      </c>
      <c r="I881" s="30">
        <v>5.0</v>
      </c>
      <c r="J881" s="31">
        <v>5.0</v>
      </c>
      <c r="K881" s="11">
        <v>1.0</v>
      </c>
      <c r="L881" s="32">
        <f t="shared" si="256"/>
        <v>0.7434275794</v>
      </c>
      <c r="M881" s="32">
        <f t="shared" si="254"/>
        <v>0.06200396825</v>
      </c>
      <c r="N881" s="32">
        <f t="shared" si="255"/>
        <v>0.6200396825</v>
      </c>
      <c r="O881" s="32">
        <v>0.0</v>
      </c>
      <c r="P881" s="33">
        <v>16128.0</v>
      </c>
      <c r="Q881" s="34">
        <v>5.0</v>
      </c>
      <c r="R881" s="42">
        <v>3.717137896825397</v>
      </c>
      <c r="S881" s="36">
        <v>0.062003968253968256</v>
      </c>
      <c r="T881" s="36">
        <v>0.6200396825396826</v>
      </c>
      <c r="U881" s="36"/>
      <c r="V881" s="36">
        <v>3.159102182539683</v>
      </c>
      <c r="W881" s="37">
        <v>0.6318204365079365</v>
      </c>
      <c r="X881" s="42">
        <v>59950.00000000001</v>
      </c>
      <c r="Y881" s="36">
        <v>1000.0</v>
      </c>
      <c r="Z881" s="36">
        <v>10000.0</v>
      </c>
      <c r="AA881" s="36"/>
      <c r="AB881" s="36">
        <v>50950.00000000001</v>
      </c>
      <c r="AC881" s="37">
        <v>10190.000000000002</v>
      </c>
      <c r="AD881" s="31"/>
      <c r="AE881" s="11"/>
      <c r="AF881" s="11"/>
    </row>
    <row r="882">
      <c r="A882" s="11" t="s">
        <v>869</v>
      </c>
      <c r="B882" s="39">
        <v>45425.004166666666</v>
      </c>
      <c r="C882" s="40">
        <v>45427.49166666667</v>
      </c>
      <c r="D882" s="27" t="s">
        <v>33</v>
      </c>
      <c r="E882" s="11" t="b">
        <v>0</v>
      </c>
      <c r="F882" s="11" t="s">
        <v>49</v>
      </c>
      <c r="G882" s="11" t="s">
        <v>877</v>
      </c>
      <c r="H882" s="11" t="s">
        <v>889</v>
      </c>
      <c r="I882" s="30">
        <v>5.0</v>
      </c>
      <c r="J882" s="31">
        <v>5.0</v>
      </c>
      <c r="K882" s="11">
        <v>1.0</v>
      </c>
      <c r="L882" s="32">
        <f>(59950/5)/P882</f>
        <v>0.7436120069</v>
      </c>
      <c r="M882" s="32">
        <f t="shared" si="254"/>
        <v>0.06201935004</v>
      </c>
      <c r="N882" s="32">
        <f t="shared" si="255"/>
        <v>0.6201935004</v>
      </c>
      <c r="O882" s="32">
        <v>0.0</v>
      </c>
      <c r="P882" s="33">
        <v>16124.0</v>
      </c>
      <c r="Q882" s="34">
        <v>5.0</v>
      </c>
      <c r="R882" s="42">
        <v>3.7180600347308363</v>
      </c>
      <c r="S882" s="36">
        <v>0.06201935003721161</v>
      </c>
      <c r="T882" s="36">
        <v>0.6201935003721161</v>
      </c>
      <c r="U882" s="36"/>
      <c r="V882" s="36">
        <v>3.1598858843959317</v>
      </c>
      <c r="W882" s="37">
        <v>0.6319771768791863</v>
      </c>
      <c r="X882" s="42">
        <v>59950.00000000001</v>
      </c>
      <c r="Y882" s="36">
        <v>1000.0</v>
      </c>
      <c r="Z882" s="36">
        <v>10000.0</v>
      </c>
      <c r="AA882" s="36"/>
      <c r="AB882" s="36">
        <v>50950.0</v>
      </c>
      <c r="AC882" s="37">
        <v>10190.0</v>
      </c>
      <c r="AD882" s="31"/>
      <c r="AE882" s="11"/>
      <c r="AF882" s="11"/>
    </row>
    <row r="883">
      <c r="A883" s="11" t="s">
        <v>869</v>
      </c>
      <c r="B883" s="39">
        <v>45425.001388888886</v>
      </c>
      <c r="C883" s="40">
        <v>45427.49166666667</v>
      </c>
      <c r="D883" s="27" t="s">
        <v>33</v>
      </c>
      <c r="E883" s="11" t="b">
        <v>0</v>
      </c>
      <c r="F883" s="11" t="s">
        <v>49</v>
      </c>
      <c r="G883" s="11" t="s">
        <v>877</v>
      </c>
      <c r="H883" s="11" t="s">
        <v>890</v>
      </c>
      <c r="I883" s="30">
        <v>5.0</v>
      </c>
      <c r="J883" s="31">
        <v>3.0</v>
      </c>
      <c r="K883" s="11">
        <v>1.0</v>
      </c>
      <c r="L883" s="32">
        <f t="shared" ref="L883:L884" si="257">(11990)/P883</f>
        <v>0.7436120069</v>
      </c>
      <c r="M883" s="32">
        <f t="shared" si="254"/>
        <v>0.06201935004</v>
      </c>
      <c r="N883" s="32">
        <f>(5000)/P883</f>
        <v>0.3100967502</v>
      </c>
      <c r="O883" s="32">
        <v>0.0</v>
      </c>
      <c r="P883" s="33">
        <v>16124.0</v>
      </c>
      <c r="Q883" s="34">
        <v>3.0</v>
      </c>
      <c r="R883" s="42">
        <v>2.2308360208385016</v>
      </c>
      <c r="S883" s="36">
        <v>0.06201935003721161</v>
      </c>
      <c r="T883" s="36">
        <v>0.31009675018605803</v>
      </c>
      <c r="U883" s="36"/>
      <c r="V883" s="36">
        <v>1.982758620689655</v>
      </c>
      <c r="W883" s="37">
        <v>0.660919540229885</v>
      </c>
      <c r="X883" s="42">
        <v>35970.0</v>
      </c>
      <c r="Y883" s="36">
        <v>1000.0</v>
      </c>
      <c r="Z883" s="36">
        <v>5000.0</v>
      </c>
      <c r="AA883" s="36"/>
      <c r="AB883" s="36">
        <v>31969.999999999996</v>
      </c>
      <c r="AC883" s="37">
        <v>10656.666666666666</v>
      </c>
      <c r="AD883" s="31"/>
      <c r="AE883" s="11"/>
      <c r="AF883" s="11"/>
    </row>
    <row r="884">
      <c r="A884" s="11" t="s">
        <v>869</v>
      </c>
      <c r="B884" s="39">
        <v>45425.00069444445</v>
      </c>
      <c r="C884" s="40">
        <v>45427.49166666667</v>
      </c>
      <c r="D884" s="27" t="s">
        <v>33</v>
      </c>
      <c r="E884" s="11" t="b">
        <v>0</v>
      </c>
      <c r="F884" s="11" t="s">
        <v>49</v>
      </c>
      <c r="G884" s="11" t="s">
        <v>877</v>
      </c>
      <c r="H884" s="11" t="s">
        <v>891</v>
      </c>
      <c r="I884" s="30">
        <v>5.0</v>
      </c>
      <c r="J884" s="31">
        <v>5.0</v>
      </c>
      <c r="K884" s="11">
        <v>1.0</v>
      </c>
      <c r="L884" s="32">
        <f t="shared" si="257"/>
        <v>0.7436120069</v>
      </c>
      <c r="M884" s="32">
        <f t="shared" si="254"/>
        <v>0.06201935004</v>
      </c>
      <c r="N884" s="32">
        <f>(10000)/P884</f>
        <v>0.6201935004</v>
      </c>
      <c r="O884" s="32">
        <v>0.0</v>
      </c>
      <c r="P884" s="33">
        <v>16124.0</v>
      </c>
      <c r="Q884" s="34">
        <v>5.0</v>
      </c>
      <c r="R884" s="42">
        <v>3.7180600347308363</v>
      </c>
      <c r="S884" s="36">
        <v>0.06201935003721161</v>
      </c>
      <c r="T884" s="36">
        <v>0.6201935003721161</v>
      </c>
      <c r="U884" s="36"/>
      <c r="V884" s="36">
        <v>3.1598858843959317</v>
      </c>
      <c r="W884" s="37">
        <v>0.6319771768791863</v>
      </c>
      <c r="X884" s="42">
        <v>59950.00000000001</v>
      </c>
      <c r="Y884" s="36">
        <v>1000.0</v>
      </c>
      <c r="Z884" s="36">
        <v>10000.0</v>
      </c>
      <c r="AA884" s="36"/>
      <c r="AB884" s="36">
        <v>50950.0</v>
      </c>
      <c r="AC884" s="37">
        <v>10190.0</v>
      </c>
      <c r="AD884" s="31"/>
      <c r="AE884" s="11"/>
      <c r="AF884" s="11"/>
    </row>
    <row r="885">
      <c r="A885" s="11" t="s">
        <v>869</v>
      </c>
      <c r="B885" s="39">
        <v>45411.47638888889</v>
      </c>
      <c r="C885" s="40">
        <v>45412.83528151621</v>
      </c>
      <c r="D885" s="27" t="s">
        <v>37</v>
      </c>
      <c r="E885" s="11" t="b">
        <v>0</v>
      </c>
      <c r="F885" s="11" t="s">
        <v>49</v>
      </c>
      <c r="G885" s="11" t="s">
        <v>674</v>
      </c>
      <c r="H885" s="11" t="s">
        <v>674</v>
      </c>
      <c r="I885" s="30">
        <v>5.0</v>
      </c>
      <c r="J885" s="31">
        <v>6.0</v>
      </c>
      <c r="K885" s="11">
        <v>1.0</v>
      </c>
      <c r="L885" s="32">
        <f>(13500)/P885</f>
        <v>0.8313319786</v>
      </c>
      <c r="M885" s="32">
        <f>(1000 - 11)/P885</f>
        <v>0.06090276495</v>
      </c>
      <c r="N885" s="32">
        <f>(4094 - 44)/P885</f>
        <v>0.2493995936</v>
      </c>
      <c r="O885" s="32">
        <v>0.0</v>
      </c>
      <c r="P885" s="33">
        <v>16239.0</v>
      </c>
      <c r="Q885" s="34">
        <v>6.0</v>
      </c>
      <c r="R885" s="42">
        <v>4.987991871420654</v>
      </c>
      <c r="S885" s="36">
        <v>0.06090276494858058</v>
      </c>
      <c r="T885" s="36">
        <v>0.2493995935710327</v>
      </c>
      <c r="U885" s="36"/>
      <c r="V885" s="36">
        <v>4.799495042798202</v>
      </c>
      <c r="W885" s="37">
        <v>0.799915840466367</v>
      </c>
      <c r="X885" s="42">
        <v>81000.0</v>
      </c>
      <c r="Y885" s="36">
        <v>989.0</v>
      </c>
      <c r="Z885" s="36">
        <v>4050.0</v>
      </c>
      <c r="AA885" s="36"/>
      <c r="AB885" s="36">
        <v>77939.0</v>
      </c>
      <c r="AC885" s="37">
        <v>12989.833333333334</v>
      </c>
      <c r="AD885" s="31"/>
      <c r="AE885" s="11"/>
      <c r="AF885" s="11"/>
    </row>
    <row r="886">
      <c r="A886" s="11" t="s">
        <v>869</v>
      </c>
      <c r="B886" s="39">
        <v>45402.67013888889</v>
      </c>
      <c r="C886" s="40">
        <v>45407.42013888889</v>
      </c>
      <c r="D886" s="27" t="s">
        <v>37</v>
      </c>
      <c r="E886" s="11" t="b">
        <v>0</v>
      </c>
      <c r="F886" s="66" t="s">
        <v>49</v>
      </c>
      <c r="G886" s="69" t="s">
        <v>539</v>
      </c>
      <c r="H886" s="66" t="s">
        <v>539</v>
      </c>
      <c r="I886" s="30">
        <v>5.0</v>
      </c>
      <c r="J886" s="31">
        <v>110.0</v>
      </c>
      <c r="K886" s="11">
        <v>1.0</v>
      </c>
      <c r="L886" s="32">
        <f>(1265000/110)/P886</f>
        <v>0.7090886669</v>
      </c>
      <c r="M886" s="32">
        <f>(1000/5)/P886</f>
        <v>0.01233197682</v>
      </c>
      <c r="N886" s="32">
        <f>(100000/5)/P886</f>
        <v>1.233197682</v>
      </c>
      <c r="O886" s="32">
        <v>0.0</v>
      </c>
      <c r="P886" s="33">
        <v>16218.0</v>
      </c>
      <c r="Q886" s="34">
        <v>110.0</v>
      </c>
      <c r="R886" s="42">
        <v>77.99975336046369</v>
      </c>
      <c r="S886" s="36">
        <v>0.012331976815883586</v>
      </c>
      <c r="T886" s="36">
        <v>1.2331976815883585</v>
      </c>
      <c r="U886" s="36"/>
      <c r="V886" s="36">
        <v>76.77888765569121</v>
      </c>
      <c r="W886" s="37">
        <v>0.6979898877790109</v>
      </c>
      <c r="X886" s="42">
        <v>1265000.0</v>
      </c>
      <c r="Y886" s="36">
        <v>200.0</v>
      </c>
      <c r="Z886" s="36">
        <v>20000.0</v>
      </c>
      <c r="AA886" s="36"/>
      <c r="AB886" s="36">
        <v>1245200.0</v>
      </c>
      <c r="AC886" s="37">
        <v>11320.0</v>
      </c>
      <c r="AD886" s="31"/>
      <c r="AE886" s="11"/>
      <c r="AF886" s="11"/>
    </row>
    <row r="887">
      <c r="A887" s="11" t="s">
        <v>869</v>
      </c>
      <c r="B887" s="39">
        <v>45397.9875</v>
      </c>
      <c r="C887" s="40">
        <v>45401.62445778935</v>
      </c>
      <c r="D887" s="27" t="s">
        <v>37</v>
      </c>
      <c r="E887" s="11" t="b">
        <v>0</v>
      </c>
      <c r="F887" s="11" t="s">
        <v>49</v>
      </c>
      <c r="G887" s="11" t="s">
        <v>892</v>
      </c>
      <c r="H887" s="11" t="s">
        <v>892</v>
      </c>
      <c r="I887" s="30">
        <v>5.0</v>
      </c>
      <c r="J887" s="31">
        <v>65.0</v>
      </c>
      <c r="K887" s="11">
        <v>1.0</v>
      </c>
      <c r="L887" s="32">
        <f t="shared" ref="L887:L888" si="258">(12000)/P887</f>
        <v>0.7457584985</v>
      </c>
      <c r="M887" s="32">
        <f>(1000)/P887</f>
        <v>0.06214654154</v>
      </c>
      <c r="N887" s="32">
        <f>(39000)/P887</f>
        <v>2.42371512</v>
      </c>
      <c r="O887" s="32">
        <v>0.0</v>
      </c>
      <c r="P887" s="33">
        <v>16091.0</v>
      </c>
      <c r="Q887" s="34">
        <v>65.0</v>
      </c>
      <c r="R887" s="42">
        <v>48.47430240507116</v>
      </c>
      <c r="S887" s="36">
        <v>0.062146541544963026</v>
      </c>
      <c r="T887" s="36">
        <v>2.423715120253558</v>
      </c>
      <c r="U887" s="36"/>
      <c r="V887" s="36">
        <v>46.11273382636256</v>
      </c>
      <c r="W887" s="37">
        <v>0.7094266742517317</v>
      </c>
      <c r="X887" s="42">
        <v>780000.0</v>
      </c>
      <c r="Y887" s="36">
        <v>1000.0</v>
      </c>
      <c r="Z887" s="36">
        <v>39000.0</v>
      </c>
      <c r="AA887" s="36"/>
      <c r="AB887" s="36">
        <v>741999.9999999999</v>
      </c>
      <c r="AC887" s="37">
        <v>11415.384615384613</v>
      </c>
      <c r="AD887" s="31"/>
      <c r="AE887" s="11"/>
      <c r="AF887" s="11"/>
    </row>
    <row r="888">
      <c r="A888" s="11" t="s">
        <v>869</v>
      </c>
      <c r="B888" s="39">
        <v>45381.97083333333</v>
      </c>
      <c r="C888" s="40">
        <v>45381.97083333333</v>
      </c>
      <c r="D888" s="27" t="s">
        <v>33</v>
      </c>
      <c r="E888" s="11" t="b">
        <v>0</v>
      </c>
      <c r="F888" s="11" t="s">
        <v>49</v>
      </c>
      <c r="G888" s="11" t="s">
        <v>866</v>
      </c>
      <c r="H888" s="11" t="s">
        <v>866</v>
      </c>
      <c r="I888" s="30">
        <v>5.0</v>
      </c>
      <c r="J888" s="31">
        <v>2.0</v>
      </c>
      <c r="K888" s="11">
        <v>1.0</v>
      </c>
      <c r="L888" s="32">
        <f t="shared" si="258"/>
        <v>0.7556675063</v>
      </c>
      <c r="M888" s="32">
        <f>(1000/3)/P888</f>
        <v>0.02099076406</v>
      </c>
      <c r="N888" s="32">
        <v>0.0</v>
      </c>
      <c r="O888" s="32">
        <v>0.0</v>
      </c>
      <c r="P888" s="33">
        <v>15880.0</v>
      </c>
      <c r="Q888" s="34">
        <v>2.0</v>
      </c>
      <c r="R888" s="42">
        <v>1.5113350125944585</v>
      </c>
      <c r="S888" s="36">
        <v>0.020990764063811923</v>
      </c>
      <c r="T888" s="36"/>
      <c r="U888" s="36"/>
      <c r="V888" s="36">
        <v>1.5323257766582703</v>
      </c>
      <c r="W888" s="37">
        <v>0.7661628883291351</v>
      </c>
      <c r="X888" s="42">
        <v>24000.0</v>
      </c>
      <c r="Y888" s="36">
        <v>333.3333333333333</v>
      </c>
      <c r="Z888" s="36"/>
      <c r="AA888" s="36"/>
      <c r="AB888" s="36">
        <v>24333.333333333332</v>
      </c>
      <c r="AC888" s="37">
        <v>12166.666666666666</v>
      </c>
      <c r="AD888" s="31"/>
      <c r="AE888" s="11"/>
      <c r="AF888" s="11"/>
    </row>
    <row r="889">
      <c r="A889" s="11" t="s">
        <v>869</v>
      </c>
      <c r="B889" s="39">
        <v>45337.83125</v>
      </c>
      <c r="C889" s="40">
        <v>45340.774305555555</v>
      </c>
      <c r="D889" s="27" t="s">
        <v>33</v>
      </c>
      <c r="E889" s="11" t="b">
        <v>0</v>
      </c>
      <c r="F889" s="11" t="s">
        <v>49</v>
      </c>
      <c r="G889" s="11" t="s">
        <v>89</v>
      </c>
      <c r="H889" s="11" t="s">
        <v>89</v>
      </c>
      <c r="I889" s="30">
        <v>5.0</v>
      </c>
      <c r="J889" s="31">
        <v>75.0</v>
      </c>
      <c r="K889" s="11">
        <v>1.0</v>
      </c>
      <c r="L889" s="32">
        <f>(899250)/J889/P889</f>
        <v>0.7682942458</v>
      </c>
      <c r="M889" s="32">
        <f>(451)/P889</f>
        <v>0.02889914136</v>
      </c>
      <c r="N889" s="32">
        <f>(35970)/P889</f>
        <v>2.304882737</v>
      </c>
      <c r="O889" s="32">
        <v>0.0</v>
      </c>
      <c r="P889" s="33">
        <v>15606.0</v>
      </c>
      <c r="Q889" s="34">
        <v>75.0</v>
      </c>
      <c r="R889" s="42">
        <v>57.62206843521722</v>
      </c>
      <c r="S889" s="36">
        <v>0.02889914135588876</v>
      </c>
      <c r="T889" s="36">
        <v>2.304882737408689</v>
      </c>
      <c r="U889" s="36"/>
      <c r="V889" s="36">
        <v>55.34608483916442</v>
      </c>
      <c r="W889" s="37">
        <v>0.7379477978555256</v>
      </c>
      <c r="X889" s="42">
        <v>899250.0</v>
      </c>
      <c r="Y889" s="36">
        <v>451.0</v>
      </c>
      <c r="Z889" s="36">
        <v>35970.0</v>
      </c>
      <c r="AA889" s="36"/>
      <c r="AB889" s="36">
        <v>863730.9999999999</v>
      </c>
      <c r="AC889" s="37">
        <v>11516.413333333332</v>
      </c>
      <c r="AD889" s="31"/>
      <c r="AE889" s="11"/>
      <c r="AF889" s="11"/>
    </row>
    <row r="890">
      <c r="A890" s="11" t="s">
        <v>869</v>
      </c>
      <c r="B890" s="39">
        <v>45337.83125</v>
      </c>
      <c r="C890" s="40">
        <v>45340.774305555555</v>
      </c>
      <c r="D890" s="27" t="s">
        <v>33</v>
      </c>
      <c r="E890" s="11" t="b">
        <v>0</v>
      </c>
      <c r="F890" s="11" t="s">
        <v>49</v>
      </c>
      <c r="G890" s="11" t="s">
        <v>89</v>
      </c>
      <c r="H890" s="11" t="s">
        <v>89</v>
      </c>
      <c r="I890" s="30">
        <v>5.0</v>
      </c>
      <c r="J890" s="31">
        <v>90.0</v>
      </c>
      <c r="K890" s="11">
        <v>1.0</v>
      </c>
      <c r="L890" s="32">
        <f>(1093500)/J890/P890</f>
        <v>0.7785467128</v>
      </c>
      <c r="M890" s="32">
        <f>(549)/P890</f>
        <v>0.03517877739</v>
      </c>
      <c r="N890" s="32">
        <f>(43734+150)/P890</f>
        <v>2.811995386</v>
      </c>
      <c r="O890" s="32">
        <v>0.0</v>
      </c>
      <c r="P890" s="33">
        <v>15606.0</v>
      </c>
      <c r="Q890" s="34">
        <v>90.0</v>
      </c>
      <c r="R890" s="42">
        <v>70.06920415224914</v>
      </c>
      <c r="S890" s="36">
        <v>0.03517877739331027</v>
      </c>
      <c r="T890" s="36">
        <v>2.81199538638985</v>
      </c>
      <c r="U890" s="36"/>
      <c r="V890" s="36">
        <v>67.2923875432526</v>
      </c>
      <c r="W890" s="37">
        <v>0.747693194925029</v>
      </c>
      <c r="X890" s="42">
        <v>1093500.0</v>
      </c>
      <c r="Y890" s="36">
        <v>549.0</v>
      </c>
      <c r="Z890" s="36">
        <v>43884.0</v>
      </c>
      <c r="AA890" s="36"/>
      <c r="AB890" s="36">
        <v>1050165.0</v>
      </c>
      <c r="AC890" s="37">
        <v>11668.5</v>
      </c>
      <c r="AD890" s="31"/>
      <c r="AE890" s="11"/>
      <c r="AF890" s="11"/>
    </row>
    <row r="891">
      <c r="A891" s="11" t="s">
        <v>869</v>
      </c>
      <c r="B891" s="39">
        <v>45323.49183712963</v>
      </c>
      <c r="C891" s="40">
        <v>45429.708333333336</v>
      </c>
      <c r="D891" s="27" t="s">
        <v>33</v>
      </c>
      <c r="E891" s="11" t="b">
        <v>1</v>
      </c>
      <c r="F891" s="11" t="s">
        <v>34</v>
      </c>
      <c r="G891" s="11" t="s">
        <v>45</v>
      </c>
      <c r="H891" s="11"/>
      <c r="I891" s="30">
        <v>5.0</v>
      </c>
      <c r="J891" s="31">
        <v>130.0</v>
      </c>
      <c r="K891" s="11">
        <v>1.0</v>
      </c>
      <c r="L891" s="32">
        <f>9821/P891</f>
        <v>0.6228042362</v>
      </c>
      <c r="M891" s="32">
        <v>0.0</v>
      </c>
      <c r="N891" s="32">
        <v>0.0</v>
      </c>
      <c r="O891" s="32">
        <v>0.0</v>
      </c>
      <c r="P891" s="33">
        <v>15769.0</v>
      </c>
      <c r="Q891" s="34">
        <v>130.0</v>
      </c>
      <c r="R891" s="42">
        <v>80.96455070074197</v>
      </c>
      <c r="S891" s="36"/>
      <c r="T891" s="36"/>
      <c r="U891" s="36"/>
      <c r="V891" s="36">
        <v>80.96455070074197</v>
      </c>
      <c r="W891" s="37">
        <v>0.6228042361595536</v>
      </c>
      <c r="X891" s="42">
        <v>1276730.0</v>
      </c>
      <c r="Y891" s="36"/>
      <c r="Z891" s="36"/>
      <c r="AA891" s="36"/>
      <c r="AB891" s="36">
        <v>1276730.0</v>
      </c>
      <c r="AC891" s="37">
        <v>9821.0</v>
      </c>
      <c r="AD891" s="31"/>
      <c r="AE891" s="11"/>
      <c r="AF891" s="11"/>
    </row>
    <row r="892">
      <c r="A892" s="11" t="s">
        <v>869</v>
      </c>
      <c r="B892" s="39">
        <v>45250.74079570602</v>
      </c>
      <c r="C892" s="40">
        <v>45304.583333333336</v>
      </c>
      <c r="D892" s="27" t="s">
        <v>33</v>
      </c>
      <c r="E892" s="11" t="b">
        <v>1</v>
      </c>
      <c r="F892" s="11" t="s">
        <v>34</v>
      </c>
      <c r="G892" s="41" t="s">
        <v>893</v>
      </c>
      <c r="H892" s="11" t="s">
        <v>894</v>
      </c>
      <c r="I892" s="30">
        <v>5.0</v>
      </c>
      <c r="J892" s="31">
        <v>75.0</v>
      </c>
      <c r="K892" s="11">
        <v>1.0</v>
      </c>
      <c r="L892" s="32">
        <f>9886/P892</f>
        <v>0.6406999352</v>
      </c>
      <c r="M892" s="32">
        <v>0.0</v>
      </c>
      <c r="N892" s="32">
        <v>0.0</v>
      </c>
      <c r="O892" s="32">
        <v>0.0</v>
      </c>
      <c r="P892" s="58">
        <v>15430.0</v>
      </c>
      <c r="Q892" s="34">
        <v>75.0</v>
      </c>
      <c r="R892" s="42">
        <v>48.052495139338944</v>
      </c>
      <c r="S892" s="36"/>
      <c r="T892" s="36"/>
      <c r="U892" s="36"/>
      <c r="V892" s="36">
        <v>48.052495139338944</v>
      </c>
      <c r="W892" s="37">
        <v>0.640699935191186</v>
      </c>
      <c r="X892" s="42">
        <v>741449.9999999999</v>
      </c>
      <c r="Y892" s="36"/>
      <c r="Z892" s="36"/>
      <c r="AA892" s="36"/>
      <c r="AB892" s="36">
        <v>741449.9999999999</v>
      </c>
      <c r="AC892" s="37">
        <v>9885.999999999998</v>
      </c>
      <c r="AD892" s="31"/>
      <c r="AE892" s="11"/>
      <c r="AF892" s="11"/>
    </row>
    <row r="893">
      <c r="A893" s="11" t="s">
        <v>895</v>
      </c>
      <c r="B893" s="39">
        <v>45751.76527777778</v>
      </c>
      <c r="C893" s="40">
        <v>45754.61041666667</v>
      </c>
      <c r="D893" s="27" t="s">
        <v>37</v>
      </c>
      <c r="E893" s="11" t="b">
        <v>0</v>
      </c>
      <c r="F893" s="11" t="s">
        <v>49</v>
      </c>
      <c r="G893" s="11" t="s">
        <v>857</v>
      </c>
      <c r="H893" s="11" t="s">
        <v>896</v>
      </c>
      <c r="I893" s="30">
        <v>5.0</v>
      </c>
      <c r="J893" s="31">
        <v>6.0</v>
      </c>
      <c r="K893" s="11">
        <v>1.0</v>
      </c>
      <c r="L893" s="32">
        <f t="shared" ref="L893:L894" si="259">(12600)/P893</f>
        <v>0.7527781097</v>
      </c>
      <c r="M893" s="32">
        <f>(76)/P893</f>
        <v>0.004540566376</v>
      </c>
      <c r="N893" s="32">
        <f>(X893*10%)/P893</f>
        <v>0.4516668658</v>
      </c>
      <c r="O893" s="32">
        <v>0.0</v>
      </c>
      <c r="P893" s="33">
        <v>16738.0</v>
      </c>
      <c r="Q893" s="34">
        <v>6.0</v>
      </c>
      <c r="R893" s="42">
        <v>4.516668658143147</v>
      </c>
      <c r="S893" s="36">
        <v>0.0045405663759111</v>
      </c>
      <c r="T893" s="36">
        <v>0.45166686581431476</v>
      </c>
      <c r="U893" s="36"/>
      <c r="V893" s="36">
        <v>4.0695423587047435</v>
      </c>
      <c r="W893" s="37">
        <v>0.6782570597841239</v>
      </c>
      <c r="X893" s="42">
        <v>75600.0</v>
      </c>
      <c r="Y893" s="36">
        <v>76.0</v>
      </c>
      <c r="Z893" s="36">
        <v>7560.0</v>
      </c>
      <c r="AA893" s="36"/>
      <c r="AB893" s="36">
        <v>68116.0</v>
      </c>
      <c r="AC893" s="37">
        <v>11352.666666666666</v>
      </c>
      <c r="AD893" s="31"/>
      <c r="AE893" s="11"/>
      <c r="AF893" s="11"/>
    </row>
    <row r="894">
      <c r="A894" s="11" t="s">
        <v>895</v>
      </c>
      <c r="B894" s="39">
        <v>45666.78402777778</v>
      </c>
      <c r="C894" s="40">
        <v>45667.73611111111</v>
      </c>
      <c r="D894" s="27" t="s">
        <v>33</v>
      </c>
      <c r="E894" s="11" t="b">
        <v>0</v>
      </c>
      <c r="F894" s="11" t="s">
        <v>49</v>
      </c>
      <c r="G894" s="11" t="s">
        <v>857</v>
      </c>
      <c r="H894" s="11" t="s">
        <v>897</v>
      </c>
      <c r="I894" s="30">
        <v>5.0</v>
      </c>
      <c r="J894" s="31">
        <v>258.0</v>
      </c>
      <c r="K894" s="11">
        <v>1.0</v>
      </c>
      <c r="L894" s="32">
        <f t="shared" si="259"/>
        <v>0.7777297698</v>
      </c>
      <c r="M894" s="32">
        <f>(975)/P894</f>
        <v>0.06018147028</v>
      </c>
      <c r="N894" s="32">
        <f>(487620)/P894</f>
        <v>30.09814209</v>
      </c>
      <c r="O894" s="32">
        <v>0.0</v>
      </c>
      <c r="P894" s="33">
        <v>16201.0</v>
      </c>
      <c r="Q894" s="34">
        <v>258.0</v>
      </c>
      <c r="R894" s="42">
        <v>200.654280599963</v>
      </c>
      <c r="S894" s="36">
        <v>0.06018147027961237</v>
      </c>
      <c r="T894" s="36">
        <v>30.098142089994443</v>
      </c>
      <c r="U894" s="36"/>
      <c r="V894" s="36">
        <v>170.61631998024816</v>
      </c>
      <c r="W894" s="37">
        <v>0.6613035658149153</v>
      </c>
      <c r="X894" s="42">
        <v>3250800.0000000005</v>
      </c>
      <c r="Y894" s="36">
        <v>975.0</v>
      </c>
      <c r="Z894" s="36">
        <v>487620.0</v>
      </c>
      <c r="AA894" s="36"/>
      <c r="AB894" s="36">
        <v>2764155.0000000005</v>
      </c>
      <c r="AC894" s="37">
        <v>10713.779069767445</v>
      </c>
      <c r="AD894" s="31"/>
      <c r="AE894" s="11"/>
      <c r="AF894" s="11"/>
    </row>
    <row r="895">
      <c r="A895" s="11" t="s">
        <v>895</v>
      </c>
      <c r="B895" s="39">
        <v>45590.53888888889</v>
      </c>
      <c r="C895" s="40">
        <v>45592.41180555556</v>
      </c>
      <c r="D895" s="27" t="s">
        <v>37</v>
      </c>
      <c r="E895" s="11" t="b">
        <v>0</v>
      </c>
      <c r="F895" s="11" t="s">
        <v>38</v>
      </c>
      <c r="G895" s="11" t="s">
        <v>898</v>
      </c>
      <c r="H895" s="11" t="s">
        <v>899</v>
      </c>
      <c r="I895" s="30">
        <v>5.0</v>
      </c>
      <c r="J895" s="31">
        <v>77.0</v>
      </c>
      <c r="K895" s="11">
        <v>1.0</v>
      </c>
      <c r="L895" s="32">
        <f>(11900)/P895</f>
        <v>0.7582032494</v>
      </c>
      <c r="M895" s="32">
        <f>(1000)/P895</f>
        <v>0.06371455878</v>
      </c>
      <c r="N895" s="32">
        <f>(109956)/P895</f>
        <v>7.005798025</v>
      </c>
      <c r="O895" s="32">
        <v>0.0</v>
      </c>
      <c r="P895" s="33">
        <v>15695.0</v>
      </c>
      <c r="Q895" s="34">
        <v>77.0</v>
      </c>
      <c r="R895" s="42">
        <v>58.38165020707232</v>
      </c>
      <c r="S895" s="36">
        <v>0.06371455877668047</v>
      </c>
      <c r="T895" s="36">
        <v>7.005798024848678</v>
      </c>
      <c r="U895" s="36"/>
      <c r="V895" s="36">
        <v>51.43956674100032</v>
      </c>
      <c r="W895" s="37">
        <v>0.6680463213116925</v>
      </c>
      <c r="X895" s="42">
        <v>916300.0</v>
      </c>
      <c r="Y895" s="36">
        <v>1000.0</v>
      </c>
      <c r="Z895" s="36">
        <v>109956.0</v>
      </c>
      <c r="AA895" s="36"/>
      <c r="AB895" s="36">
        <v>807344.0</v>
      </c>
      <c r="AC895" s="37">
        <v>10484.987012987012</v>
      </c>
      <c r="AD895" s="31"/>
      <c r="AE895" s="11"/>
      <c r="AF895" s="11"/>
    </row>
    <row r="896">
      <c r="A896" s="11" t="s">
        <v>895</v>
      </c>
      <c r="B896" s="39">
        <v>45381.97083333333</v>
      </c>
      <c r="C896" s="40">
        <v>45381.97083333333</v>
      </c>
      <c r="D896" s="27" t="s">
        <v>33</v>
      </c>
      <c r="E896" s="11" t="b">
        <v>0</v>
      </c>
      <c r="F896" s="11" t="s">
        <v>49</v>
      </c>
      <c r="G896" s="11" t="s">
        <v>866</v>
      </c>
      <c r="H896" s="11" t="s">
        <v>866</v>
      </c>
      <c r="I896" s="30">
        <v>5.0</v>
      </c>
      <c r="J896" s="31">
        <v>5.0</v>
      </c>
      <c r="K896" s="11">
        <v>1.0</v>
      </c>
      <c r="L896" s="32">
        <f>(12000)/P896</f>
        <v>0.7556675063</v>
      </c>
      <c r="M896" s="32">
        <f>(1000/3)/P896</f>
        <v>0.02099076406</v>
      </c>
      <c r="N896" s="32">
        <v>0.0</v>
      </c>
      <c r="O896" s="32">
        <v>0.0</v>
      </c>
      <c r="P896" s="33">
        <v>15880.0</v>
      </c>
      <c r="Q896" s="34">
        <v>5.0</v>
      </c>
      <c r="R896" s="42">
        <v>3.7783375314861463</v>
      </c>
      <c r="S896" s="36">
        <v>0.020990764063811923</v>
      </c>
      <c r="T896" s="36"/>
      <c r="U896" s="36"/>
      <c r="V896" s="36">
        <v>3.7993282955499583</v>
      </c>
      <c r="W896" s="37">
        <v>0.7598656591099917</v>
      </c>
      <c r="X896" s="42">
        <v>60000.0</v>
      </c>
      <c r="Y896" s="36">
        <v>333.3333333333333</v>
      </c>
      <c r="Z896" s="36"/>
      <c r="AA896" s="36"/>
      <c r="AB896" s="36">
        <v>60333.333333333336</v>
      </c>
      <c r="AC896" s="37">
        <v>12066.666666666668</v>
      </c>
      <c r="AD896" s="31"/>
      <c r="AE896" s="11"/>
      <c r="AF896" s="11"/>
    </row>
    <row r="897">
      <c r="A897" s="11" t="s">
        <v>895</v>
      </c>
      <c r="B897" s="39">
        <v>45323.491848715275</v>
      </c>
      <c r="C897" s="40">
        <v>45429.708333333336</v>
      </c>
      <c r="D897" s="27" t="s">
        <v>33</v>
      </c>
      <c r="E897" s="11" t="b">
        <v>1</v>
      </c>
      <c r="F897" s="11" t="s">
        <v>34</v>
      </c>
      <c r="G897" s="11" t="s">
        <v>45</v>
      </c>
      <c r="H897" s="11"/>
      <c r="I897" s="30">
        <v>5.0</v>
      </c>
      <c r="J897" s="31">
        <v>200.0</v>
      </c>
      <c r="K897" s="11">
        <v>1.0</v>
      </c>
      <c r="L897" s="32">
        <f>9821/P897</f>
        <v>0.6228042362</v>
      </c>
      <c r="M897" s="32">
        <v>0.0</v>
      </c>
      <c r="N897" s="32">
        <v>0.0</v>
      </c>
      <c r="O897" s="32">
        <v>0.0</v>
      </c>
      <c r="P897" s="33">
        <v>15769.0</v>
      </c>
      <c r="Q897" s="34">
        <v>200.0</v>
      </c>
      <c r="R897" s="42">
        <v>124.56084723191071</v>
      </c>
      <c r="S897" s="36"/>
      <c r="T897" s="36"/>
      <c r="U897" s="36"/>
      <c r="V897" s="36">
        <v>124.56084723191071</v>
      </c>
      <c r="W897" s="37">
        <v>0.6228042361595536</v>
      </c>
      <c r="X897" s="42">
        <v>1964200.0</v>
      </c>
      <c r="Y897" s="36"/>
      <c r="Z897" s="36"/>
      <c r="AA897" s="36"/>
      <c r="AB897" s="36">
        <v>1964200.0</v>
      </c>
      <c r="AC897" s="37">
        <v>9821.0</v>
      </c>
      <c r="AD897" s="31"/>
      <c r="AE897" s="11"/>
      <c r="AF897" s="11"/>
    </row>
    <row r="898">
      <c r="A898" s="11" t="s">
        <v>895</v>
      </c>
      <c r="B898" s="39">
        <v>45250.74079570602</v>
      </c>
      <c r="C898" s="40">
        <v>45304.583333333336</v>
      </c>
      <c r="D898" s="27" t="s">
        <v>33</v>
      </c>
      <c r="E898" s="11" t="b">
        <v>1</v>
      </c>
      <c r="F898" s="11" t="s">
        <v>34</v>
      </c>
      <c r="G898" s="41" t="s">
        <v>893</v>
      </c>
      <c r="H898" s="11" t="s">
        <v>900</v>
      </c>
      <c r="I898" s="30">
        <v>5.0</v>
      </c>
      <c r="J898" s="31">
        <v>75.0</v>
      </c>
      <c r="K898" s="11">
        <v>1.0</v>
      </c>
      <c r="L898" s="32">
        <f>9886/P898</f>
        <v>0.6406999352</v>
      </c>
      <c r="M898" s="32">
        <v>0.0</v>
      </c>
      <c r="N898" s="32">
        <v>0.0</v>
      </c>
      <c r="O898" s="32">
        <v>0.0</v>
      </c>
      <c r="P898" s="58">
        <v>15430.0</v>
      </c>
      <c r="Q898" s="34">
        <v>75.0</v>
      </c>
      <c r="R898" s="42">
        <v>48.052495139338944</v>
      </c>
      <c r="S898" s="36"/>
      <c r="T898" s="36"/>
      <c r="U898" s="36"/>
      <c r="V898" s="36">
        <v>48.052495139338944</v>
      </c>
      <c r="W898" s="37">
        <v>0.640699935191186</v>
      </c>
      <c r="X898" s="42">
        <v>741449.9999999999</v>
      </c>
      <c r="Y898" s="36"/>
      <c r="Z898" s="36"/>
      <c r="AA898" s="36"/>
      <c r="AB898" s="36">
        <v>741449.9999999999</v>
      </c>
      <c r="AC898" s="37">
        <v>9885.999999999998</v>
      </c>
      <c r="AD898" s="31"/>
      <c r="AE898" s="11"/>
      <c r="AF898" s="11"/>
    </row>
    <row r="899">
      <c r="A899" s="11" t="s">
        <v>901</v>
      </c>
      <c r="B899" s="39">
        <v>45453.54027777778</v>
      </c>
      <c r="C899" s="40">
        <v>45456.541666666664</v>
      </c>
      <c r="D899" s="27" t="s">
        <v>33</v>
      </c>
      <c r="E899" s="11" t="b">
        <v>0</v>
      </c>
      <c r="F899" s="11" t="s">
        <v>38</v>
      </c>
      <c r="G899" s="11" t="s">
        <v>902</v>
      </c>
      <c r="H899" s="11" t="s">
        <v>903</v>
      </c>
      <c r="I899" s="30">
        <v>5.0</v>
      </c>
      <c r="J899" s="31">
        <v>10.0</v>
      </c>
      <c r="K899" s="11">
        <v>1.0</v>
      </c>
      <c r="L899" s="32">
        <f>(950)/P899</f>
        <v>0.05821435137</v>
      </c>
      <c r="M899" s="32">
        <f>(251)/P899</f>
        <v>0.01538084441</v>
      </c>
      <c r="N899" s="32">
        <f>(238)/P899</f>
        <v>0.01458422697</v>
      </c>
      <c r="O899" s="32">
        <v>0.0</v>
      </c>
      <c r="P899" s="33">
        <v>16319.0</v>
      </c>
      <c r="Q899" s="34">
        <v>10.0</v>
      </c>
      <c r="R899" s="42">
        <v>0.5821435136956922</v>
      </c>
      <c r="S899" s="36">
        <v>0.015380844414486181</v>
      </c>
      <c r="T899" s="36">
        <v>0.014584226974692078</v>
      </c>
      <c r="U899" s="36"/>
      <c r="V899" s="36">
        <v>0.5829401311354863</v>
      </c>
      <c r="W899" s="37">
        <v>0.05829401311354863</v>
      </c>
      <c r="X899" s="42">
        <v>9500.0</v>
      </c>
      <c r="Y899" s="36">
        <v>251.0</v>
      </c>
      <c r="Z899" s="36">
        <v>238.0</v>
      </c>
      <c r="AA899" s="36"/>
      <c r="AB899" s="36">
        <v>9513.0</v>
      </c>
      <c r="AC899" s="37">
        <v>951.3</v>
      </c>
      <c r="AD899" s="31"/>
      <c r="AE899" s="11"/>
      <c r="AF899" s="11"/>
    </row>
    <row r="900">
      <c r="A900" s="11" t="s">
        <v>904</v>
      </c>
      <c r="B900" s="39">
        <v>45453.54027777778</v>
      </c>
      <c r="C900" s="40">
        <v>45456.541666666664</v>
      </c>
      <c r="D900" s="27" t="s">
        <v>33</v>
      </c>
      <c r="E900" s="11" t="b">
        <v>0</v>
      </c>
      <c r="F900" s="11" t="s">
        <v>38</v>
      </c>
      <c r="G900" s="11" t="s">
        <v>902</v>
      </c>
      <c r="H900" s="11" t="s">
        <v>903</v>
      </c>
      <c r="I900" s="30">
        <v>5.0</v>
      </c>
      <c r="J900" s="31">
        <v>15.0</v>
      </c>
      <c r="K900" s="11">
        <v>1.0</v>
      </c>
      <c r="L900" s="32">
        <f>(2900)/P900</f>
        <v>0.1777069673</v>
      </c>
      <c r="M900" s="32">
        <f>(1149)/P900</f>
        <v>0.07040872602</v>
      </c>
      <c r="N900" s="32">
        <f>(1088)/P900</f>
        <v>0.06667075188</v>
      </c>
      <c r="O900" s="32">
        <v>0.0</v>
      </c>
      <c r="P900" s="33">
        <v>16319.0</v>
      </c>
      <c r="Q900" s="34">
        <v>15.0</v>
      </c>
      <c r="R900" s="42">
        <v>2.6656045100802745</v>
      </c>
      <c r="S900" s="36">
        <v>0.07040872602487898</v>
      </c>
      <c r="T900" s="36">
        <v>0.06667075188430664</v>
      </c>
      <c r="U900" s="36"/>
      <c r="V900" s="36">
        <v>2.669342484220847</v>
      </c>
      <c r="W900" s="37">
        <v>0.17795616561472313</v>
      </c>
      <c r="X900" s="42">
        <v>43500.0</v>
      </c>
      <c r="Y900" s="36">
        <v>1149.0</v>
      </c>
      <c r="Z900" s="36">
        <v>1088.0</v>
      </c>
      <c r="AA900" s="36"/>
      <c r="AB900" s="36">
        <v>43561.0</v>
      </c>
      <c r="AC900" s="37">
        <v>2904.0666666666666</v>
      </c>
      <c r="AD900" s="31"/>
      <c r="AE900" s="11"/>
      <c r="AF900" s="11"/>
    </row>
    <row r="901">
      <c r="A901" s="11" t="s">
        <v>905</v>
      </c>
      <c r="B901" s="77">
        <v>45986.02361111111</v>
      </c>
      <c r="C901" s="40">
        <v>45990.43125</v>
      </c>
      <c r="D901" s="27" t="s">
        <v>37</v>
      </c>
      <c r="E901" s="11" t="b">
        <v>0</v>
      </c>
      <c r="F901" s="11" t="s">
        <v>49</v>
      </c>
      <c r="G901" s="11" t="s">
        <v>906</v>
      </c>
      <c r="H901" s="11" t="s">
        <v>907</v>
      </c>
      <c r="I901" s="30">
        <v>5.0</v>
      </c>
      <c r="J901" s="31">
        <v>1000.0</v>
      </c>
      <c r="K901" s="11">
        <v>1.0</v>
      </c>
      <c r="L901" s="32">
        <f>(265)/P901</f>
        <v>265</v>
      </c>
      <c r="M901" s="32">
        <f>(407/2)/P901</f>
        <v>203.5</v>
      </c>
      <c r="N901" s="32">
        <f>(X901*15% - 600)/P901</f>
        <v>39150</v>
      </c>
      <c r="O901" s="32">
        <f>(8000/2)/P901</f>
        <v>4000</v>
      </c>
      <c r="P901" s="33">
        <v>1.0</v>
      </c>
      <c r="Q901" s="34">
        <v>1000.0</v>
      </c>
      <c r="R901" s="42">
        <v>265000.0</v>
      </c>
      <c r="S901" s="36">
        <v>203.5</v>
      </c>
      <c r="T901" s="36">
        <v>39150.0</v>
      </c>
      <c r="U901" s="36">
        <v>4000.0</v>
      </c>
      <c r="V901" s="36">
        <v>222053.5</v>
      </c>
      <c r="W901" s="37">
        <v>222.0535</v>
      </c>
      <c r="X901" s="42">
        <v>265000.0</v>
      </c>
      <c r="Y901" s="36">
        <v>203.5</v>
      </c>
      <c r="Z901" s="36">
        <v>39150.0</v>
      </c>
      <c r="AA901" s="36">
        <v>4000.0</v>
      </c>
      <c r="AB901" s="36">
        <v>222053.5</v>
      </c>
      <c r="AC901" s="37">
        <v>222.0535</v>
      </c>
      <c r="AD901" s="31"/>
      <c r="AE901" s="11"/>
      <c r="AF901" s="11"/>
    </row>
    <row r="902">
      <c r="A902" s="11" t="s">
        <v>905</v>
      </c>
      <c r="B902" s="39">
        <v>45432.049305555556</v>
      </c>
      <c r="C902" s="40">
        <v>45433.690823425924</v>
      </c>
      <c r="D902" s="27" t="s">
        <v>33</v>
      </c>
      <c r="E902" s="11" t="b">
        <v>0</v>
      </c>
      <c r="F902" s="11" t="s">
        <v>49</v>
      </c>
      <c r="G902" s="11" t="s">
        <v>908</v>
      </c>
      <c r="H902" s="11" t="s">
        <v>909</v>
      </c>
      <c r="I902" s="30">
        <v>5.0</v>
      </c>
      <c r="J902" s="31">
        <v>500.0</v>
      </c>
      <c r="K902" s="11">
        <v>1.0</v>
      </c>
      <c r="L902" s="32">
        <f>(275)/P902</f>
        <v>0.01718427795</v>
      </c>
      <c r="M902" s="32">
        <f>(64)/P902</f>
        <v>0.003999250141</v>
      </c>
      <c r="N902" s="32">
        <f>(5500)/P902</f>
        <v>0.343685559</v>
      </c>
      <c r="O902" s="32">
        <v>0.0</v>
      </c>
      <c r="P902" s="33">
        <v>16003.0</v>
      </c>
      <c r="Q902" s="34">
        <v>500.0</v>
      </c>
      <c r="R902" s="42">
        <v>8.592138973942387</v>
      </c>
      <c r="S902" s="36">
        <v>0.003999250140598638</v>
      </c>
      <c r="T902" s="36">
        <v>0.3436855589576954</v>
      </c>
      <c r="U902" s="36"/>
      <c r="V902" s="36">
        <v>8.25245266512529</v>
      </c>
      <c r="W902" s="37">
        <v>0.01650490533025058</v>
      </c>
      <c r="X902" s="42">
        <v>137500.0</v>
      </c>
      <c r="Y902" s="36">
        <v>64.0</v>
      </c>
      <c r="Z902" s="36">
        <v>5500.0</v>
      </c>
      <c r="AA902" s="36"/>
      <c r="AB902" s="36">
        <v>132064.0</v>
      </c>
      <c r="AC902" s="37">
        <v>264.128</v>
      </c>
      <c r="AD902" s="31"/>
      <c r="AE902" s="11"/>
      <c r="AF902" s="11"/>
    </row>
    <row r="903">
      <c r="A903" s="11" t="s">
        <v>910</v>
      </c>
      <c r="B903" s="39">
        <v>45925.12152777778</v>
      </c>
      <c r="C903" s="40">
        <v>45927.43263888889</v>
      </c>
      <c r="D903" s="27" t="s">
        <v>37</v>
      </c>
      <c r="E903" s="11" t="b">
        <v>0</v>
      </c>
      <c r="F903" s="11" t="s">
        <v>38</v>
      </c>
      <c r="G903" s="11" t="s">
        <v>367</v>
      </c>
      <c r="H903" s="11" t="s">
        <v>911</v>
      </c>
      <c r="I903" s="30">
        <v>5.0</v>
      </c>
      <c r="J903" s="31">
        <v>2.0</v>
      </c>
      <c r="K903" s="11">
        <v>90.0</v>
      </c>
      <c r="L903" s="32">
        <f t="shared" ref="L903:L906" si="260">(20250)/P903</f>
        <v>1.211994254</v>
      </c>
      <c r="M903" s="32">
        <v>0.0</v>
      </c>
      <c r="N903" s="32">
        <f>(12150)/P903</f>
        <v>0.7271965525</v>
      </c>
      <c r="O903" s="32">
        <v>0.0</v>
      </c>
      <c r="P903" s="33">
        <v>16708.0</v>
      </c>
      <c r="Q903" s="34">
        <v>180.0</v>
      </c>
      <c r="R903" s="42">
        <v>2.4239885084989226</v>
      </c>
      <c r="S903" s="36"/>
      <c r="T903" s="36">
        <v>0.7271965525496769</v>
      </c>
      <c r="U903" s="36"/>
      <c r="V903" s="36">
        <v>1.6967919559492457</v>
      </c>
      <c r="W903" s="37">
        <v>0.00942662197749581</v>
      </c>
      <c r="X903" s="42">
        <v>40500.0</v>
      </c>
      <c r="Y903" s="36"/>
      <c r="Z903" s="36">
        <v>12150.0</v>
      </c>
      <c r="AA903" s="36"/>
      <c r="AB903" s="36">
        <v>28349.999999999996</v>
      </c>
      <c r="AC903" s="37">
        <v>157.49999999999997</v>
      </c>
      <c r="AD903" s="31"/>
      <c r="AE903" s="11"/>
      <c r="AF903" s="11"/>
    </row>
    <row r="904">
      <c r="A904" s="11" t="s">
        <v>910</v>
      </c>
      <c r="B904" s="39">
        <v>45923.78194444445</v>
      </c>
      <c r="C904" s="40">
        <v>45926.45347222222</v>
      </c>
      <c r="D904" s="27" t="s">
        <v>37</v>
      </c>
      <c r="E904" s="11" t="b">
        <v>0</v>
      </c>
      <c r="F904" s="11" t="s">
        <v>38</v>
      </c>
      <c r="G904" s="11" t="s">
        <v>367</v>
      </c>
      <c r="H904" s="11" t="s">
        <v>912</v>
      </c>
      <c r="I904" s="30">
        <v>5.0</v>
      </c>
      <c r="J904" s="31">
        <v>6.0</v>
      </c>
      <c r="K904" s="11">
        <v>90.0</v>
      </c>
      <c r="L904" s="32">
        <f t="shared" si="260"/>
        <v>1.215486194</v>
      </c>
      <c r="M904" s="32">
        <v>0.0</v>
      </c>
      <c r="N904" s="32">
        <f>(9720)/P904</f>
        <v>0.5834333733</v>
      </c>
      <c r="O904" s="32">
        <v>0.0</v>
      </c>
      <c r="P904" s="33">
        <v>16660.0</v>
      </c>
      <c r="Q904" s="34">
        <v>540.0</v>
      </c>
      <c r="R904" s="42">
        <v>7.292917166866746</v>
      </c>
      <c r="S904" s="36"/>
      <c r="T904" s="36">
        <v>0.5834333733493398</v>
      </c>
      <c r="U904" s="36"/>
      <c r="V904" s="36">
        <v>6.709483793517407</v>
      </c>
      <c r="W904" s="37">
        <v>0.012424969987995199</v>
      </c>
      <c r="X904" s="42">
        <v>121500.0</v>
      </c>
      <c r="Y904" s="36"/>
      <c r="Z904" s="36">
        <v>9720.0</v>
      </c>
      <c r="AA904" s="36"/>
      <c r="AB904" s="36">
        <v>111780.0</v>
      </c>
      <c r="AC904" s="37">
        <v>207.0</v>
      </c>
      <c r="AD904" s="31"/>
      <c r="AE904" s="11"/>
      <c r="AF904" s="11"/>
    </row>
    <row r="905">
      <c r="A905" s="11" t="s">
        <v>910</v>
      </c>
      <c r="B905" s="39">
        <v>45923.779861111114</v>
      </c>
      <c r="C905" s="40">
        <v>45926.45347222222</v>
      </c>
      <c r="D905" s="27" t="s">
        <v>37</v>
      </c>
      <c r="E905" s="11" t="b">
        <v>0</v>
      </c>
      <c r="F905" s="11" t="s">
        <v>38</v>
      </c>
      <c r="G905" s="11" t="s">
        <v>367</v>
      </c>
      <c r="H905" s="11" t="s">
        <v>913</v>
      </c>
      <c r="I905" s="30">
        <v>5.0</v>
      </c>
      <c r="J905" s="31">
        <v>15.0</v>
      </c>
      <c r="K905" s="11">
        <v>90.0</v>
      </c>
      <c r="L905" s="32">
        <f t="shared" si="260"/>
        <v>1.215486194</v>
      </c>
      <c r="M905" s="32">
        <v>0.0</v>
      </c>
      <c r="N905" s="32">
        <f>(30000)/P905</f>
        <v>1.800720288</v>
      </c>
      <c r="O905" s="32">
        <v>0.0</v>
      </c>
      <c r="P905" s="33">
        <v>16660.0</v>
      </c>
      <c r="Q905" s="34">
        <v>1350.0</v>
      </c>
      <c r="R905" s="42">
        <v>18.232292917166866</v>
      </c>
      <c r="S905" s="36"/>
      <c r="T905" s="36">
        <v>1.8007202881152462</v>
      </c>
      <c r="U905" s="36"/>
      <c r="V905" s="36">
        <v>16.43157262905162</v>
      </c>
      <c r="W905" s="37">
        <v>0.012171535280778977</v>
      </c>
      <c r="X905" s="42">
        <v>303750.0</v>
      </c>
      <c r="Y905" s="36"/>
      <c r="Z905" s="36">
        <v>30000.0</v>
      </c>
      <c r="AA905" s="36"/>
      <c r="AB905" s="36">
        <v>273749.99999999994</v>
      </c>
      <c r="AC905" s="37">
        <v>202.77777777777774</v>
      </c>
      <c r="AD905" s="31"/>
      <c r="AE905" s="11"/>
      <c r="AF905" s="11"/>
    </row>
    <row r="906">
      <c r="A906" s="11" t="s">
        <v>910</v>
      </c>
      <c r="B906" s="39">
        <v>45923.77638888889</v>
      </c>
      <c r="C906" s="40">
        <v>45925.50763888889</v>
      </c>
      <c r="D906" s="27" t="s">
        <v>33</v>
      </c>
      <c r="E906" s="11" t="b">
        <v>0</v>
      </c>
      <c r="F906" s="11" t="s">
        <v>38</v>
      </c>
      <c r="G906" s="11" t="s">
        <v>367</v>
      </c>
      <c r="H906" s="11" t="s">
        <v>914</v>
      </c>
      <c r="I906" s="30">
        <v>5.0</v>
      </c>
      <c r="J906" s="31">
        <v>18.0</v>
      </c>
      <c r="K906" s="11">
        <v>90.0</v>
      </c>
      <c r="L906" s="32">
        <f t="shared" si="260"/>
        <v>1.215486194</v>
      </c>
      <c r="M906" s="32">
        <v>0.0</v>
      </c>
      <c r="N906" s="32">
        <f>(40000)/P906</f>
        <v>2.400960384</v>
      </c>
      <c r="O906" s="32">
        <v>0.0</v>
      </c>
      <c r="P906" s="33">
        <v>16660.0</v>
      </c>
      <c r="Q906" s="34">
        <v>1620.0</v>
      </c>
      <c r="R906" s="42">
        <v>21.878751500600238</v>
      </c>
      <c r="S906" s="36"/>
      <c r="T906" s="36">
        <v>2.4009603841536613</v>
      </c>
      <c r="U906" s="36"/>
      <c r="V906" s="36">
        <v>19.477791116446575</v>
      </c>
      <c r="W906" s="37">
        <v>0.01202332784965838</v>
      </c>
      <c r="X906" s="42">
        <v>364499.99999999994</v>
      </c>
      <c r="Y906" s="36"/>
      <c r="Z906" s="36">
        <v>40000.0</v>
      </c>
      <c r="AA906" s="36"/>
      <c r="AB906" s="36">
        <v>324499.99999999994</v>
      </c>
      <c r="AC906" s="37">
        <v>200.3086419753086</v>
      </c>
      <c r="AD906" s="31"/>
      <c r="AE906" s="11"/>
      <c r="AF906" s="11"/>
    </row>
    <row r="907">
      <c r="A907" s="11" t="s">
        <v>910</v>
      </c>
      <c r="B907" s="39">
        <v>45834.643055555556</v>
      </c>
      <c r="C907" s="40">
        <v>45838.44375</v>
      </c>
      <c r="D907" s="27" t="s">
        <v>37</v>
      </c>
      <c r="E907" s="11" t="b">
        <v>0</v>
      </c>
      <c r="F907" s="11" t="s">
        <v>38</v>
      </c>
      <c r="G907" s="11" t="s">
        <v>367</v>
      </c>
      <c r="H907" s="11" t="s">
        <v>915</v>
      </c>
      <c r="I907" s="30">
        <v>5.0</v>
      </c>
      <c r="J907" s="31">
        <v>2.0</v>
      </c>
      <c r="K907" s="11">
        <v>1419.0</v>
      </c>
      <c r="L907" s="32">
        <f>(390000)/P907</f>
        <v>24.07407407</v>
      </c>
      <c r="M907" s="32">
        <f>(1000)/P907</f>
        <v>0.06172839506</v>
      </c>
      <c r="N907" s="32">
        <f>(62400 + 35830)/P907</f>
        <v>6.063580247</v>
      </c>
      <c r="O907" s="32">
        <v>0.0</v>
      </c>
      <c r="P907" s="33">
        <v>16200.0</v>
      </c>
      <c r="Q907" s="34">
        <v>2838.0</v>
      </c>
      <c r="R907" s="42">
        <v>48.148148148148145</v>
      </c>
      <c r="S907" s="36">
        <v>0.06172839506172839</v>
      </c>
      <c r="T907" s="36">
        <v>6.06358024691358</v>
      </c>
      <c r="U907" s="36"/>
      <c r="V907" s="36">
        <v>42.14629629629629</v>
      </c>
      <c r="W907" s="37">
        <v>0.014850703416594889</v>
      </c>
      <c r="X907" s="42">
        <v>780000.0</v>
      </c>
      <c r="Y907" s="36">
        <v>1000.0</v>
      </c>
      <c r="Z907" s="36">
        <v>98230.0</v>
      </c>
      <c r="AA907" s="36"/>
      <c r="AB907" s="36">
        <v>682769.9999999999</v>
      </c>
      <c r="AC907" s="37">
        <v>240.58139534883716</v>
      </c>
      <c r="AD907" s="31"/>
      <c r="AE907" s="11"/>
      <c r="AF907" s="11"/>
    </row>
    <row r="908">
      <c r="A908" s="11" t="s">
        <v>910</v>
      </c>
      <c r="B908" s="39">
        <v>45621.60138888889</v>
      </c>
      <c r="C908" s="40">
        <v>45624.67222222222</v>
      </c>
      <c r="D908" s="27" t="s">
        <v>37</v>
      </c>
      <c r="E908" s="11" t="b">
        <v>0</v>
      </c>
      <c r="F908" s="11" t="s">
        <v>38</v>
      </c>
      <c r="G908" s="11" t="s">
        <v>367</v>
      </c>
      <c r="H908" s="11" t="s">
        <v>916</v>
      </c>
      <c r="I908" s="30">
        <v>5.0</v>
      </c>
      <c r="J908" s="31">
        <v>23.0</v>
      </c>
      <c r="K908" s="11">
        <v>100.0</v>
      </c>
      <c r="L908" s="32">
        <f>(30000)/P908</f>
        <v>1.886673794</v>
      </c>
      <c r="M908" s="32">
        <f>(1000)/2/P908</f>
        <v>0.03144456324</v>
      </c>
      <c r="N908" s="32">
        <f>(69000)/P908</f>
        <v>4.339349726</v>
      </c>
      <c r="O908" s="32">
        <v>0.0</v>
      </c>
      <c r="P908" s="33">
        <v>15901.0</v>
      </c>
      <c r="Q908" s="34">
        <v>2300.0</v>
      </c>
      <c r="R908" s="42">
        <v>43.393497264322995</v>
      </c>
      <c r="S908" s="36">
        <v>0.03144456323501667</v>
      </c>
      <c r="T908" s="36">
        <v>4.3393497264322995</v>
      </c>
      <c r="U908" s="36"/>
      <c r="V908" s="36">
        <v>39.08559210112571</v>
      </c>
      <c r="W908" s="37">
        <v>0.016993735696141613</v>
      </c>
      <c r="X908" s="42">
        <v>690000.0</v>
      </c>
      <c r="Y908" s="36">
        <v>500.00000000000006</v>
      </c>
      <c r="Z908" s="36">
        <v>69000.0</v>
      </c>
      <c r="AA908" s="36"/>
      <c r="AB908" s="36">
        <v>621500.0</v>
      </c>
      <c r="AC908" s="37">
        <v>270.2173913043478</v>
      </c>
      <c r="AD908" s="31"/>
      <c r="AE908" s="11"/>
      <c r="AF908" s="11"/>
    </row>
    <row r="909">
      <c r="A909" s="11" t="s">
        <v>910</v>
      </c>
      <c r="B909" s="39">
        <v>45621.541666666664</v>
      </c>
      <c r="C909" s="40">
        <v>45627.72222222222</v>
      </c>
      <c r="D909" s="27" t="s">
        <v>37</v>
      </c>
      <c r="E909" s="11" t="b">
        <v>0</v>
      </c>
      <c r="F909" s="11" t="s">
        <v>38</v>
      </c>
      <c r="G909" s="11" t="s">
        <v>367</v>
      </c>
      <c r="H909" s="11" t="s">
        <v>917</v>
      </c>
      <c r="I909" s="30">
        <v>5.0</v>
      </c>
      <c r="J909" s="31">
        <v>60.0</v>
      </c>
      <c r="K909" s="11">
        <v>30.0</v>
      </c>
      <c r="L909" s="32">
        <f>(9000)/P909</f>
        <v>0.5660021382</v>
      </c>
      <c r="M909" s="32">
        <f>(1000/4)/P909</f>
        <v>0.01572228162</v>
      </c>
      <c r="N909" s="32">
        <f>(64800)/P909</f>
        <v>4.075215395</v>
      </c>
      <c r="O909" s="32">
        <v>0.0</v>
      </c>
      <c r="P909" s="33">
        <v>15901.0</v>
      </c>
      <c r="Q909" s="34">
        <v>1800.0</v>
      </c>
      <c r="R909" s="42">
        <v>33.960128293818</v>
      </c>
      <c r="S909" s="36">
        <v>0.015722281617508334</v>
      </c>
      <c r="T909" s="36">
        <v>4.07521539525816</v>
      </c>
      <c r="U909" s="36"/>
      <c r="V909" s="36">
        <v>29.90063518017735</v>
      </c>
      <c r="W909" s="37">
        <v>0.016611463988987416</v>
      </c>
      <c r="X909" s="42">
        <v>540000.0</v>
      </c>
      <c r="Y909" s="36">
        <v>250.00000000000003</v>
      </c>
      <c r="Z909" s="36">
        <v>64799.99999999999</v>
      </c>
      <c r="AA909" s="36"/>
      <c r="AB909" s="36">
        <v>475450.00000000006</v>
      </c>
      <c r="AC909" s="37">
        <v>264.1388888888889</v>
      </c>
      <c r="AD909" s="31"/>
      <c r="AE909" s="11"/>
      <c r="AF909" s="11"/>
    </row>
    <row r="910">
      <c r="A910" s="11" t="s">
        <v>910</v>
      </c>
      <c r="B910" s="39">
        <v>45531.74513888889</v>
      </c>
      <c r="C910" s="40">
        <v>45533.686111111114</v>
      </c>
      <c r="D910" s="27" t="s">
        <v>33</v>
      </c>
      <c r="E910" s="11" t="b">
        <v>0</v>
      </c>
      <c r="F910" s="11" t="s">
        <v>38</v>
      </c>
      <c r="G910" s="11" t="s">
        <v>367</v>
      </c>
      <c r="H910" s="11" t="s">
        <v>918</v>
      </c>
      <c r="I910" s="30">
        <v>5.0</v>
      </c>
      <c r="J910" s="31">
        <v>2300.0</v>
      </c>
      <c r="K910" s="11">
        <v>1.0</v>
      </c>
      <c r="L910" s="32">
        <f t="shared" ref="L910:L913" si="261">(300)/P910</f>
        <v>0.01942250421</v>
      </c>
      <c r="M910" s="32">
        <f>(1000)/P910</f>
        <v>0.06474168069</v>
      </c>
      <c r="N910" s="32">
        <v>0.0</v>
      </c>
      <c r="O910" s="32">
        <v>0.0</v>
      </c>
      <c r="P910" s="33">
        <v>15446.0</v>
      </c>
      <c r="Q910" s="34">
        <v>2300.0</v>
      </c>
      <c r="R910" s="42">
        <v>44.671759678881266</v>
      </c>
      <c r="S910" s="36">
        <v>0.06474168069403081</v>
      </c>
      <c r="T910" s="36"/>
      <c r="U910" s="36"/>
      <c r="V910" s="36">
        <v>44.7365013595753</v>
      </c>
      <c r="W910" s="37">
        <v>0.019450652765032737</v>
      </c>
      <c r="X910" s="42">
        <v>690000.0</v>
      </c>
      <c r="Y910" s="36">
        <v>1000.0</v>
      </c>
      <c r="Z910" s="36"/>
      <c r="AA910" s="36"/>
      <c r="AB910" s="36">
        <v>691000.0000000001</v>
      </c>
      <c r="AC910" s="37">
        <v>300.4347826086957</v>
      </c>
      <c r="AD910" s="31"/>
      <c r="AE910" s="11"/>
      <c r="AF910" s="11"/>
    </row>
    <row r="911">
      <c r="A911" s="11" t="s">
        <v>910</v>
      </c>
      <c r="B911" s="39">
        <v>45531.74236111111</v>
      </c>
      <c r="C911" s="40">
        <v>45534.47777777778</v>
      </c>
      <c r="D911" s="27" t="s">
        <v>37</v>
      </c>
      <c r="E911" s="11" t="b">
        <v>0</v>
      </c>
      <c r="F911" s="11" t="s">
        <v>38</v>
      </c>
      <c r="G911" s="11" t="s">
        <v>367</v>
      </c>
      <c r="H911" s="11" t="s">
        <v>919</v>
      </c>
      <c r="I911" s="30">
        <v>5.0</v>
      </c>
      <c r="J911" s="31">
        <v>2300.0</v>
      </c>
      <c r="K911" s="11">
        <v>1.0</v>
      </c>
      <c r="L911" s="32">
        <f t="shared" si="261"/>
        <v>0.01942250421</v>
      </c>
      <c r="M911" s="32">
        <f>(1000)/2/P911</f>
        <v>0.03237084035</v>
      </c>
      <c r="N911" s="32">
        <f>(10350)/P911</f>
        <v>0.6700763952</v>
      </c>
      <c r="O911" s="32">
        <v>0.0</v>
      </c>
      <c r="P911" s="33">
        <v>15446.0</v>
      </c>
      <c r="Q911" s="34">
        <v>2300.0</v>
      </c>
      <c r="R911" s="42">
        <v>44.671759678881266</v>
      </c>
      <c r="S911" s="36">
        <v>0.03237084034701541</v>
      </c>
      <c r="T911" s="36">
        <v>0.6700763951832189</v>
      </c>
      <c r="U911" s="36"/>
      <c r="V911" s="36">
        <v>44.03405412404506</v>
      </c>
      <c r="W911" s="37">
        <v>0.019145240923497852</v>
      </c>
      <c r="X911" s="42">
        <v>690000.0</v>
      </c>
      <c r="Y911" s="36">
        <v>500.0</v>
      </c>
      <c r="Z911" s="36">
        <v>10350.0</v>
      </c>
      <c r="AA911" s="36"/>
      <c r="AB911" s="36">
        <v>680150.0</v>
      </c>
      <c r="AC911" s="37">
        <v>295.7173913043478</v>
      </c>
      <c r="AD911" s="31"/>
      <c r="AE911" s="11"/>
      <c r="AF911" s="11"/>
    </row>
    <row r="912">
      <c r="A912" s="11" t="s">
        <v>910</v>
      </c>
      <c r="B912" s="39">
        <v>45493.66180555556</v>
      </c>
      <c r="C912" s="40">
        <v>45494.836805555555</v>
      </c>
      <c r="D912" s="27" t="s">
        <v>33</v>
      </c>
      <c r="E912" s="11" t="b">
        <v>0</v>
      </c>
      <c r="F912" s="11" t="s">
        <v>38</v>
      </c>
      <c r="G912" s="11" t="s">
        <v>367</v>
      </c>
      <c r="H912" s="11" t="s">
        <v>920</v>
      </c>
      <c r="I912" s="30">
        <v>5.0</v>
      </c>
      <c r="J912" s="31">
        <v>1000.0</v>
      </c>
      <c r="K912" s="11">
        <v>1.0</v>
      </c>
      <c r="L912" s="32">
        <f t="shared" si="261"/>
        <v>0.01850366989</v>
      </c>
      <c r="M912" s="32">
        <f>(1000)/P912</f>
        <v>0.06167889965</v>
      </c>
      <c r="N912" s="32">
        <f>(7500)/P912</f>
        <v>0.4625917474</v>
      </c>
      <c r="O912" s="32">
        <v>0.0</v>
      </c>
      <c r="P912" s="33">
        <v>16213.0</v>
      </c>
      <c r="Q912" s="34">
        <v>1000.0</v>
      </c>
      <c r="R912" s="42">
        <v>18.503669894529082</v>
      </c>
      <c r="S912" s="36">
        <v>0.06167889964843027</v>
      </c>
      <c r="T912" s="36">
        <v>0.46259174736322706</v>
      </c>
      <c r="U912" s="36"/>
      <c r="V912" s="36">
        <v>18.102757046814286</v>
      </c>
      <c r="W912" s="37">
        <v>0.018102757046814286</v>
      </c>
      <c r="X912" s="42">
        <v>300000.0</v>
      </c>
      <c r="Y912" s="36">
        <v>1000.0</v>
      </c>
      <c r="Z912" s="36">
        <v>7500.0</v>
      </c>
      <c r="AA912" s="36"/>
      <c r="AB912" s="36">
        <v>293500.0</v>
      </c>
      <c r="AC912" s="37">
        <v>293.5</v>
      </c>
      <c r="AD912" s="31"/>
      <c r="AE912" s="11"/>
      <c r="AF912" s="11"/>
    </row>
    <row r="913">
      <c r="A913" s="11" t="s">
        <v>910</v>
      </c>
      <c r="B913" s="39">
        <v>45493.660416666666</v>
      </c>
      <c r="C913" s="40">
        <v>45495.59722222222</v>
      </c>
      <c r="D913" s="27" t="s">
        <v>33</v>
      </c>
      <c r="E913" s="11" t="b">
        <v>0</v>
      </c>
      <c r="F913" s="11" t="s">
        <v>38</v>
      </c>
      <c r="G913" s="11" t="s">
        <v>367</v>
      </c>
      <c r="H913" s="11" t="s">
        <v>921</v>
      </c>
      <c r="I913" s="30">
        <v>5.0</v>
      </c>
      <c r="J913" s="31">
        <v>230.0</v>
      </c>
      <c r="K913" s="11">
        <v>1.0</v>
      </c>
      <c r="L913" s="32">
        <f t="shared" si="261"/>
        <v>0.01850366989</v>
      </c>
      <c r="M913" s="32">
        <f>(22500 + 1000)/P913</f>
        <v>1.449454142</v>
      </c>
      <c r="N913" s="32">
        <v>0.0</v>
      </c>
      <c r="O913" s="32">
        <f>(20000)/P913</f>
        <v>1.233577993</v>
      </c>
      <c r="P913" s="33">
        <v>16213.0</v>
      </c>
      <c r="Q913" s="34">
        <v>230.0</v>
      </c>
      <c r="R913" s="42">
        <v>4.255844075741689</v>
      </c>
      <c r="S913" s="36">
        <v>1.4494541417381115</v>
      </c>
      <c r="T913" s="36"/>
      <c r="U913" s="36">
        <v>1.2335779929686055</v>
      </c>
      <c r="V913" s="36">
        <v>4.471720224511195</v>
      </c>
      <c r="W913" s="37">
        <v>0.01944226184570085</v>
      </c>
      <c r="X913" s="42">
        <v>69000.0</v>
      </c>
      <c r="Y913" s="36">
        <v>23500.0</v>
      </c>
      <c r="Z913" s="36"/>
      <c r="AA913" s="36">
        <v>20000.0</v>
      </c>
      <c r="AB913" s="36">
        <v>72500.0</v>
      </c>
      <c r="AC913" s="37">
        <v>315.2173913043478</v>
      </c>
      <c r="AD913" s="31"/>
      <c r="AE913" s="11"/>
      <c r="AF913" s="11"/>
    </row>
    <row r="914">
      <c r="A914" s="11" t="s">
        <v>910</v>
      </c>
      <c r="B914" s="39">
        <v>45464.410416666666</v>
      </c>
      <c r="C914" s="40">
        <v>45466.538194444445</v>
      </c>
      <c r="D914" s="27" t="s">
        <v>37</v>
      </c>
      <c r="E914" s="11" t="b">
        <v>0</v>
      </c>
      <c r="F914" s="11" t="s">
        <v>38</v>
      </c>
      <c r="G914" s="11" t="s">
        <v>367</v>
      </c>
      <c r="H914" s="11" t="s">
        <v>922</v>
      </c>
      <c r="I914" s="30">
        <v>5.0</v>
      </c>
      <c r="J914" s="31">
        <v>1000.0</v>
      </c>
      <c r="K914" s="11">
        <v>1.0</v>
      </c>
      <c r="L914" s="32">
        <f t="shared" ref="L914:L915" si="262">(250)/P914</f>
        <v>0.01517266493</v>
      </c>
      <c r="M914" s="32">
        <f>(1000)/P914</f>
        <v>0.06069065971</v>
      </c>
      <c r="N914" s="32">
        <f>(5000 + 1225)/P914</f>
        <v>0.3777993567</v>
      </c>
      <c r="O914" s="32">
        <v>0.0</v>
      </c>
      <c r="P914" s="33">
        <v>16477.0</v>
      </c>
      <c r="Q914" s="34">
        <v>1000.0</v>
      </c>
      <c r="R914" s="42">
        <v>15.172664926867755</v>
      </c>
      <c r="S914" s="36">
        <v>0.06069065970747102</v>
      </c>
      <c r="T914" s="36">
        <v>0.3777993566790071</v>
      </c>
      <c r="U914" s="36"/>
      <c r="V914" s="36">
        <v>14.85555622989622</v>
      </c>
      <c r="W914" s="37">
        <v>0.014855556229896219</v>
      </c>
      <c r="X914" s="42">
        <v>250000.0</v>
      </c>
      <c r="Y914" s="36">
        <v>1000.0</v>
      </c>
      <c r="Z914" s="36">
        <v>6225.0</v>
      </c>
      <c r="AA914" s="36"/>
      <c r="AB914" s="36">
        <v>244775.0</v>
      </c>
      <c r="AC914" s="37">
        <v>244.775</v>
      </c>
      <c r="AD914" s="31"/>
      <c r="AE914" s="11"/>
      <c r="AF914" s="11"/>
    </row>
    <row r="915">
      <c r="A915" s="11" t="s">
        <v>910</v>
      </c>
      <c r="B915" s="39">
        <v>45464.407638888886</v>
      </c>
      <c r="C915" s="40">
        <v>45465.71075866898</v>
      </c>
      <c r="D915" s="27" t="s">
        <v>37</v>
      </c>
      <c r="E915" s="11" t="b">
        <v>0</v>
      </c>
      <c r="F915" s="11" t="s">
        <v>38</v>
      </c>
      <c r="G915" s="11" t="s">
        <v>367</v>
      </c>
      <c r="H915" s="11" t="s">
        <v>923</v>
      </c>
      <c r="I915" s="30">
        <v>5.0</v>
      </c>
      <c r="J915" s="31">
        <v>200.0</v>
      </c>
      <c r="K915" s="11">
        <v>1.0</v>
      </c>
      <c r="L915" s="32">
        <f t="shared" si="262"/>
        <v>0.01517266493</v>
      </c>
      <c r="M915" s="32">
        <f>(22500 + 1000)/P915</f>
        <v>1.426230503</v>
      </c>
      <c r="N915" s="32">
        <v>0.0</v>
      </c>
      <c r="O915" s="32">
        <f>(20000)/P915</f>
        <v>1.213813194</v>
      </c>
      <c r="P915" s="33">
        <v>16477.0</v>
      </c>
      <c r="Q915" s="34">
        <v>200.0</v>
      </c>
      <c r="R915" s="42">
        <v>3.034532985373551</v>
      </c>
      <c r="S915" s="36">
        <v>1.4262305031255689</v>
      </c>
      <c r="T915" s="36"/>
      <c r="U915" s="36">
        <v>1.2138131941494203</v>
      </c>
      <c r="V915" s="36">
        <v>3.2469502943497</v>
      </c>
      <c r="W915" s="37">
        <v>0.0162347514717485</v>
      </c>
      <c r="X915" s="42">
        <v>50000.0</v>
      </c>
      <c r="Y915" s="36">
        <v>23500.0</v>
      </c>
      <c r="Z915" s="36"/>
      <c r="AA915" s="36">
        <v>20000.0</v>
      </c>
      <c r="AB915" s="36">
        <v>53500.00000000001</v>
      </c>
      <c r="AC915" s="37">
        <v>267.50000000000006</v>
      </c>
      <c r="AD915" s="31"/>
      <c r="AE915" s="11"/>
      <c r="AF915" s="11"/>
    </row>
    <row r="916">
      <c r="A916" s="11" t="s">
        <v>910</v>
      </c>
      <c r="B916" s="39">
        <v>45449.33472222222</v>
      </c>
      <c r="C916" s="40">
        <v>45451.541666666664</v>
      </c>
      <c r="D916" s="27" t="s">
        <v>37</v>
      </c>
      <c r="E916" s="11" t="b">
        <v>0</v>
      </c>
      <c r="F916" s="11" t="s">
        <v>38</v>
      </c>
      <c r="G916" s="11" t="s">
        <v>367</v>
      </c>
      <c r="H916" s="11" t="s">
        <v>924</v>
      </c>
      <c r="I916" s="30">
        <v>5.0</v>
      </c>
      <c r="J916" s="31">
        <v>8.0</v>
      </c>
      <c r="K916" s="11">
        <v>30.0</v>
      </c>
      <c r="L916" s="32">
        <f>(30*250)/P916</f>
        <v>0.4623066017</v>
      </c>
      <c r="M916" s="32">
        <f>(1000)/P916</f>
        <v>0.06164088023</v>
      </c>
      <c r="N916" s="32">
        <f>(10000)/P916</f>
        <v>0.6164088023</v>
      </c>
      <c r="O916" s="32">
        <v>0.0</v>
      </c>
      <c r="P916" s="33">
        <v>16223.0</v>
      </c>
      <c r="Q916" s="34">
        <v>240.0</v>
      </c>
      <c r="R916" s="42">
        <v>3.6984528139061825</v>
      </c>
      <c r="S916" s="36">
        <v>0.06164088023176971</v>
      </c>
      <c r="T916" s="36">
        <v>0.6164088023176971</v>
      </c>
      <c r="U916" s="36"/>
      <c r="V916" s="36">
        <v>3.1436848918202553</v>
      </c>
      <c r="W916" s="37">
        <v>0.013098687049251065</v>
      </c>
      <c r="X916" s="42">
        <v>60000.0</v>
      </c>
      <c r="Y916" s="36">
        <v>1000.0</v>
      </c>
      <c r="Z916" s="36">
        <v>10000.0</v>
      </c>
      <c r="AA916" s="36"/>
      <c r="AB916" s="36">
        <v>51000.0</v>
      </c>
      <c r="AC916" s="37">
        <v>212.5</v>
      </c>
      <c r="AD916" s="31"/>
      <c r="AE916" s="11"/>
      <c r="AF916" s="11"/>
    </row>
    <row r="917">
      <c r="A917" s="11" t="s">
        <v>910</v>
      </c>
      <c r="B917" s="39">
        <v>45432.049305555556</v>
      </c>
      <c r="C917" s="40">
        <v>45433.690823425924</v>
      </c>
      <c r="D917" s="27" t="s">
        <v>33</v>
      </c>
      <c r="E917" s="11" t="b">
        <v>0</v>
      </c>
      <c r="F917" s="11" t="s">
        <v>49</v>
      </c>
      <c r="G917" s="11" t="s">
        <v>908</v>
      </c>
      <c r="H917" s="11" t="s">
        <v>909</v>
      </c>
      <c r="I917" s="30">
        <v>5.0</v>
      </c>
      <c r="J917" s="31">
        <v>500.0</v>
      </c>
      <c r="K917" s="11">
        <v>1.0</v>
      </c>
      <c r="L917" s="32">
        <f>(300)/P917</f>
        <v>0.01874648503</v>
      </c>
      <c r="M917" s="32">
        <f>(69)/P917</f>
        <v>0.004311691558</v>
      </c>
      <c r="N917" s="32">
        <f>(6000)/P917</f>
        <v>0.3749297007</v>
      </c>
      <c r="O917" s="32">
        <v>0.0</v>
      </c>
      <c r="P917" s="33">
        <v>16003.0</v>
      </c>
      <c r="Q917" s="34">
        <v>500.0</v>
      </c>
      <c r="R917" s="42">
        <v>9.373242517028057</v>
      </c>
      <c r="S917" s="36">
        <v>0.004311691557832906</v>
      </c>
      <c r="T917" s="36">
        <v>0.3749297006811223</v>
      </c>
      <c r="U917" s="36"/>
      <c r="V917" s="36">
        <v>9.002624507904768</v>
      </c>
      <c r="W917" s="37">
        <v>0.018005249015809535</v>
      </c>
      <c r="X917" s="42">
        <v>150000.0</v>
      </c>
      <c r="Y917" s="36">
        <v>69.0</v>
      </c>
      <c r="Z917" s="36">
        <v>6000.0</v>
      </c>
      <c r="AA917" s="36"/>
      <c r="AB917" s="36">
        <v>144069.0</v>
      </c>
      <c r="AC917" s="37">
        <v>288.138</v>
      </c>
      <c r="AD917" s="31"/>
      <c r="AE917" s="11"/>
      <c r="AF917" s="11"/>
    </row>
    <row r="918">
      <c r="A918" s="11" t="s">
        <v>910</v>
      </c>
      <c r="B918" s="39">
        <v>45419.756944444445</v>
      </c>
      <c r="C918" s="40">
        <v>45422.42916666667</v>
      </c>
      <c r="D918" s="27" t="s">
        <v>37</v>
      </c>
      <c r="E918" s="11" t="b">
        <v>0</v>
      </c>
      <c r="F918" s="11" t="s">
        <v>49</v>
      </c>
      <c r="G918" s="11" t="s">
        <v>908</v>
      </c>
      <c r="H918" s="11" t="s">
        <v>925</v>
      </c>
      <c r="I918" s="30">
        <v>5.0</v>
      </c>
      <c r="J918" s="31">
        <v>150.0</v>
      </c>
      <c r="K918" s="11">
        <v>1.0</v>
      </c>
      <c r="L918" s="32">
        <f>(48750/150)/P918</f>
        <v>0.02025679382</v>
      </c>
      <c r="M918" s="32">
        <f>(1000)/P918</f>
        <v>0.06232859636</v>
      </c>
      <c r="N918" s="32">
        <f>(10000)/P918</f>
        <v>0.6232859636</v>
      </c>
      <c r="O918" s="32">
        <v>0.0</v>
      </c>
      <c r="P918" s="33">
        <v>16044.0</v>
      </c>
      <c r="Q918" s="34">
        <v>150.0</v>
      </c>
      <c r="R918" s="42">
        <v>3.038519072550486</v>
      </c>
      <c r="S918" s="36">
        <v>0.06232859636000997</v>
      </c>
      <c r="T918" s="36">
        <v>0.6232859636000997</v>
      </c>
      <c r="U918" s="36"/>
      <c r="V918" s="36">
        <v>2.477561705310396</v>
      </c>
      <c r="W918" s="37">
        <v>0.01651707803540264</v>
      </c>
      <c r="X918" s="42">
        <v>48750.0</v>
      </c>
      <c r="Y918" s="36">
        <v>1000.0</v>
      </c>
      <c r="Z918" s="36">
        <v>10000.0</v>
      </c>
      <c r="AA918" s="36"/>
      <c r="AB918" s="36">
        <v>39749.99999999999</v>
      </c>
      <c r="AC918" s="37">
        <v>264.99999999999994</v>
      </c>
      <c r="AD918" s="31"/>
      <c r="AE918" s="11"/>
      <c r="AF918" s="11"/>
    </row>
    <row r="919">
      <c r="A919" s="11" t="s">
        <v>910</v>
      </c>
      <c r="B919" s="39">
        <v>45410.96805555555</v>
      </c>
      <c r="C919" s="40">
        <v>45412.67052435185</v>
      </c>
      <c r="D919" s="27" t="s">
        <v>33</v>
      </c>
      <c r="E919" s="11" t="b">
        <v>0</v>
      </c>
      <c r="F919" s="11" t="s">
        <v>49</v>
      </c>
      <c r="G919" s="11" t="s">
        <v>926</v>
      </c>
      <c r="H919" s="11" t="s">
        <v>926</v>
      </c>
      <c r="I919" s="30">
        <v>5.0</v>
      </c>
      <c r="J919" s="31">
        <v>800.0</v>
      </c>
      <c r="K919" s="11">
        <v>1.0</v>
      </c>
      <c r="L919" s="32">
        <f>(240000/800)/P919</f>
        <v>0.01847404397</v>
      </c>
      <c r="M919" s="32">
        <f>(1000)/2/P919</f>
        <v>0.03079007328</v>
      </c>
      <c r="N919" s="32">
        <f>(12264/2)/P919</f>
        <v>0.3776094587</v>
      </c>
      <c r="O919" s="32">
        <v>0.0</v>
      </c>
      <c r="P919" s="33">
        <v>16239.0</v>
      </c>
      <c r="Q919" s="34">
        <v>800.0</v>
      </c>
      <c r="R919" s="42">
        <v>14.779235174579716</v>
      </c>
      <c r="S919" s="36">
        <v>0.03079007328037441</v>
      </c>
      <c r="T919" s="36">
        <v>0.3776094587105117</v>
      </c>
      <c r="U919" s="36"/>
      <c r="V919" s="36">
        <v>14.43241578914958</v>
      </c>
      <c r="W919" s="37">
        <v>0.018040519736436975</v>
      </c>
      <c r="X919" s="42">
        <v>240000.0</v>
      </c>
      <c r="Y919" s="36">
        <v>500.0</v>
      </c>
      <c r="Z919" s="36">
        <v>6132.0</v>
      </c>
      <c r="AA919" s="36"/>
      <c r="AB919" s="36">
        <v>234368.00000000003</v>
      </c>
      <c r="AC919" s="37">
        <v>292.96000000000004</v>
      </c>
      <c r="AD919" s="31"/>
      <c r="AE919" s="11"/>
      <c r="AF919" s="11"/>
    </row>
    <row r="920">
      <c r="A920" s="11" t="s">
        <v>910</v>
      </c>
      <c r="B920" s="39">
        <v>45330.558344907404</v>
      </c>
      <c r="C920" s="40">
        <v>45334.40928157407</v>
      </c>
      <c r="D920" s="27" t="s">
        <v>33</v>
      </c>
      <c r="E920" s="11" t="b">
        <v>0</v>
      </c>
      <c r="F920" s="11" t="s">
        <v>49</v>
      </c>
      <c r="G920" s="11" t="s">
        <v>89</v>
      </c>
      <c r="H920" s="11" t="s">
        <v>89</v>
      </c>
      <c r="I920" s="30">
        <v>5.0</v>
      </c>
      <c r="J920" s="31">
        <v>75.0</v>
      </c>
      <c r="K920" s="11">
        <v>1.0</v>
      </c>
      <c r="L920" s="32">
        <f>(450/P920)</f>
        <v>0.02874113815</v>
      </c>
      <c r="M920" s="32">
        <f>(36000+1000)/2/P920</f>
        <v>1.181580124</v>
      </c>
      <c r="N920" s="32">
        <v>0.0</v>
      </c>
      <c r="O920" s="32">
        <f>(30000)/2/P920</f>
        <v>0.9580379383</v>
      </c>
      <c r="P920" s="33">
        <v>15657.0</v>
      </c>
      <c r="Q920" s="34">
        <v>75.0</v>
      </c>
      <c r="R920" s="42">
        <v>2.155585361180303</v>
      </c>
      <c r="S920" s="36">
        <v>1.18158012390624</v>
      </c>
      <c r="T920" s="36"/>
      <c r="U920" s="36">
        <v>0.9580379383023567</v>
      </c>
      <c r="V920" s="36">
        <v>2.3791275467841864</v>
      </c>
      <c r="W920" s="37">
        <v>0.03172170062378915</v>
      </c>
      <c r="X920" s="42">
        <v>33750.0</v>
      </c>
      <c r="Y920" s="36">
        <v>18500.0</v>
      </c>
      <c r="Z920" s="36"/>
      <c r="AA920" s="36">
        <v>15000.0</v>
      </c>
      <c r="AB920" s="36">
        <v>37250.00000000001</v>
      </c>
      <c r="AC920" s="37">
        <v>496.66666666666674</v>
      </c>
      <c r="AD920" s="31"/>
      <c r="AE920" s="11"/>
      <c r="AF920" s="11"/>
    </row>
    <row r="921">
      <c r="A921" s="11" t="s">
        <v>910</v>
      </c>
      <c r="B921" s="39">
        <v>44965.0</v>
      </c>
      <c r="C921" s="40">
        <v>44970.0</v>
      </c>
      <c r="D921" s="27" t="s">
        <v>33</v>
      </c>
      <c r="E921" s="11" t="b">
        <v>0</v>
      </c>
      <c r="F921" s="11" t="s">
        <v>38</v>
      </c>
      <c r="G921" s="57" t="s">
        <v>927</v>
      </c>
      <c r="H921" s="46" t="s">
        <v>159</v>
      </c>
      <c r="I921" s="30">
        <v>4.0</v>
      </c>
      <c r="J921" s="31">
        <v>1.0</v>
      </c>
      <c r="K921" s="11">
        <v>160.0</v>
      </c>
      <c r="L921" s="32">
        <f t="shared" ref="L921:L922" si="263">61600/P921</f>
        <v>4.076770351</v>
      </c>
      <c r="M921" s="32">
        <f t="shared" ref="M921:M922" si="264">(1000)/P921</f>
        <v>0.06618133686</v>
      </c>
      <c r="N921" s="32">
        <v>0.0</v>
      </c>
      <c r="O921" s="67">
        <v>0.0</v>
      </c>
      <c r="P921" s="33">
        <v>15110.0</v>
      </c>
      <c r="Q921" s="34">
        <v>160.0</v>
      </c>
      <c r="R921" s="42">
        <v>4.076770350761086</v>
      </c>
      <c r="S921" s="36">
        <v>0.06618133686300463</v>
      </c>
      <c r="T921" s="36"/>
      <c r="U921" s="36"/>
      <c r="V921" s="36">
        <v>4.14295168762409</v>
      </c>
      <c r="W921" s="37">
        <v>0.025893448047650564</v>
      </c>
      <c r="X921" s="42">
        <v>61600.00000000001</v>
      </c>
      <c r="Y921" s="36">
        <v>1000.0</v>
      </c>
      <c r="Z921" s="36"/>
      <c r="AA921" s="36"/>
      <c r="AB921" s="36">
        <v>62600.0</v>
      </c>
      <c r="AC921" s="37">
        <v>391.25</v>
      </c>
      <c r="AD921" s="31"/>
      <c r="AE921" s="11"/>
      <c r="AF921" s="11"/>
    </row>
    <row r="922">
      <c r="A922" s="11" t="s">
        <v>910</v>
      </c>
      <c r="B922" s="39">
        <v>44944.0</v>
      </c>
      <c r="C922" s="40">
        <v>44947.0</v>
      </c>
      <c r="D922" s="27" t="s">
        <v>33</v>
      </c>
      <c r="E922" s="11" t="b">
        <v>0</v>
      </c>
      <c r="F922" s="11" t="s">
        <v>38</v>
      </c>
      <c r="G922" s="57" t="s">
        <v>927</v>
      </c>
      <c r="H922" s="46" t="s">
        <v>159</v>
      </c>
      <c r="I922" s="30">
        <v>4.0</v>
      </c>
      <c r="J922" s="31">
        <v>1.0</v>
      </c>
      <c r="K922" s="11">
        <v>180.0</v>
      </c>
      <c r="L922" s="32">
        <f t="shared" si="263"/>
        <v>4.089490805</v>
      </c>
      <c r="M922" s="32">
        <f t="shared" si="264"/>
        <v>0.06638783775</v>
      </c>
      <c r="N922" s="32">
        <v>0.0</v>
      </c>
      <c r="O922" s="67">
        <v>0.0</v>
      </c>
      <c r="P922" s="33">
        <v>15063.0</v>
      </c>
      <c r="Q922" s="34">
        <v>180.0</v>
      </c>
      <c r="R922" s="42">
        <v>4.089490805284472</v>
      </c>
      <c r="S922" s="36">
        <v>0.06638783774812454</v>
      </c>
      <c r="T922" s="36"/>
      <c r="U922" s="36"/>
      <c r="V922" s="36">
        <v>4.1558786430325965</v>
      </c>
      <c r="W922" s="37">
        <v>0.023088214683514425</v>
      </c>
      <c r="X922" s="42">
        <v>61599.99999999999</v>
      </c>
      <c r="Y922" s="36">
        <v>999.9999999999999</v>
      </c>
      <c r="Z922" s="36"/>
      <c r="AA922" s="36"/>
      <c r="AB922" s="36">
        <v>62600.0</v>
      </c>
      <c r="AC922" s="37">
        <v>347.77777777777777</v>
      </c>
      <c r="AD922" s="31"/>
      <c r="AE922" s="11"/>
      <c r="AF922" s="11"/>
    </row>
    <row r="923">
      <c r="A923" s="11" t="s">
        <v>910</v>
      </c>
      <c r="B923" s="39">
        <v>44009.0</v>
      </c>
      <c r="C923" s="40">
        <v>44012.0</v>
      </c>
      <c r="D923" s="27" t="s">
        <v>48</v>
      </c>
      <c r="E923" s="11" t="b">
        <v>0</v>
      </c>
      <c r="F923" s="11" t="s">
        <v>38</v>
      </c>
      <c r="G923" s="128" t="s">
        <v>928</v>
      </c>
      <c r="H923" s="46" t="s">
        <v>929</v>
      </c>
      <c r="I923" s="33">
        <v>5.0</v>
      </c>
      <c r="J923" s="31">
        <v>750.0</v>
      </c>
      <c r="K923" s="11">
        <v>1.0</v>
      </c>
      <c r="L923" s="32">
        <f t="shared" ref="L923:L924" si="265">400/P923</f>
        <v>0.04</v>
      </c>
      <c r="M923" s="32">
        <f>1300/P923</f>
        <v>0.13</v>
      </c>
      <c r="N923" s="32"/>
      <c r="O923" s="32"/>
      <c r="P923" s="33">
        <v>10000.0</v>
      </c>
      <c r="Q923" s="34">
        <v>750.0</v>
      </c>
      <c r="R923" s="42">
        <v>30.0</v>
      </c>
      <c r="S923" s="36">
        <v>0.13</v>
      </c>
      <c r="T923" s="36"/>
      <c r="U923" s="36"/>
      <c r="V923" s="36">
        <v>30.13</v>
      </c>
      <c r="W923" s="37">
        <v>0.04017333333333333</v>
      </c>
      <c r="X923" s="42">
        <v>300000.0</v>
      </c>
      <c r="Y923" s="36">
        <v>1300.0</v>
      </c>
      <c r="Z923" s="36"/>
      <c r="AA923" s="36"/>
      <c r="AB923" s="36">
        <v>301300.0</v>
      </c>
      <c r="AC923" s="37">
        <v>401.73333333333335</v>
      </c>
      <c r="AD923" s="31"/>
      <c r="AE923" s="11"/>
      <c r="AF923" s="11"/>
    </row>
    <row r="924">
      <c r="A924" s="11" t="s">
        <v>910</v>
      </c>
      <c r="B924" s="39">
        <v>44008.0</v>
      </c>
      <c r="C924" s="40">
        <v>44009.0</v>
      </c>
      <c r="D924" s="27" t="s">
        <v>48</v>
      </c>
      <c r="E924" s="11" t="b">
        <v>0</v>
      </c>
      <c r="F924" s="11" t="s">
        <v>38</v>
      </c>
      <c r="G924" s="128" t="s">
        <v>928</v>
      </c>
      <c r="H924" s="46" t="s">
        <v>930</v>
      </c>
      <c r="I924" s="33">
        <v>5.0</v>
      </c>
      <c r="J924" s="31">
        <v>200.0</v>
      </c>
      <c r="K924" s="11">
        <v>1.0</v>
      </c>
      <c r="L924" s="32">
        <f t="shared" si="265"/>
        <v>0.04</v>
      </c>
      <c r="M924" s="32">
        <f>400/P924</f>
        <v>0.04</v>
      </c>
      <c r="N924" s="32"/>
      <c r="O924" s="32"/>
      <c r="P924" s="33">
        <v>10000.0</v>
      </c>
      <c r="Q924" s="34">
        <v>200.0</v>
      </c>
      <c r="R924" s="42">
        <v>8.0</v>
      </c>
      <c r="S924" s="36">
        <v>0.04</v>
      </c>
      <c r="T924" s="36"/>
      <c r="U924" s="36"/>
      <c r="V924" s="36">
        <v>8.04</v>
      </c>
      <c r="W924" s="37">
        <v>0.04019999999999999</v>
      </c>
      <c r="X924" s="42">
        <v>80000.0</v>
      </c>
      <c r="Y924" s="36">
        <v>400.0</v>
      </c>
      <c r="Z924" s="36"/>
      <c r="AA924" s="36"/>
      <c r="AB924" s="36">
        <v>80399.99999999999</v>
      </c>
      <c r="AC924" s="37">
        <v>401.99999999999994</v>
      </c>
      <c r="AD924" s="31"/>
      <c r="AE924" s="11"/>
      <c r="AF924" s="11"/>
    </row>
    <row r="925">
      <c r="A925" s="11" t="s">
        <v>910</v>
      </c>
      <c r="B925" s="39">
        <v>43989.0</v>
      </c>
      <c r="C925" s="40">
        <v>43997.0</v>
      </c>
      <c r="D925" s="27" t="s">
        <v>48</v>
      </c>
      <c r="E925" s="11" t="b">
        <v>1</v>
      </c>
      <c r="F925" s="11" t="s">
        <v>49</v>
      </c>
      <c r="G925" s="84" t="s">
        <v>931</v>
      </c>
      <c r="H925" s="46" t="s">
        <v>932</v>
      </c>
      <c r="I925" s="33">
        <v>5.0</v>
      </c>
      <c r="J925" s="31">
        <v>2.0</v>
      </c>
      <c r="K925" s="11">
        <v>100.0</v>
      </c>
      <c r="L925" s="32">
        <f>45030/P925</f>
        <v>4.503</v>
      </c>
      <c r="M925" s="32">
        <f>12000/P925</f>
        <v>1.2</v>
      </c>
      <c r="N925" s="32"/>
      <c r="O925" s="32">
        <f>M925</f>
        <v>1.2</v>
      </c>
      <c r="P925" s="33">
        <v>10000.0</v>
      </c>
      <c r="Q925" s="34">
        <v>200.0</v>
      </c>
      <c r="R925" s="42">
        <v>9.006</v>
      </c>
      <c r="S925" s="36">
        <v>1.2</v>
      </c>
      <c r="T925" s="36"/>
      <c r="U925" s="36">
        <v>1.2</v>
      </c>
      <c r="V925" s="36">
        <v>9.006</v>
      </c>
      <c r="W925" s="37">
        <v>0.04503</v>
      </c>
      <c r="X925" s="42">
        <v>90060.0</v>
      </c>
      <c r="Y925" s="36">
        <v>12000.0</v>
      </c>
      <c r="Z925" s="36"/>
      <c r="AA925" s="36">
        <v>12000.0</v>
      </c>
      <c r="AB925" s="36">
        <v>90060.0</v>
      </c>
      <c r="AC925" s="37">
        <v>450.3</v>
      </c>
      <c r="AD925" s="31">
        <v>400.0</v>
      </c>
      <c r="AE925" s="11">
        <v>500.0</v>
      </c>
      <c r="AF925" s="11"/>
    </row>
    <row r="926">
      <c r="A926" s="11" t="s">
        <v>933</v>
      </c>
      <c r="B926" s="39">
        <v>45486.572916666664</v>
      </c>
      <c r="C926" s="40">
        <v>45488.833333333336</v>
      </c>
      <c r="D926" s="27" t="s">
        <v>37</v>
      </c>
      <c r="E926" s="11" t="b">
        <v>0</v>
      </c>
      <c r="F926" s="11" t="s">
        <v>49</v>
      </c>
      <c r="G926" s="11" t="s">
        <v>934</v>
      </c>
      <c r="H926" s="11" t="s">
        <v>935</v>
      </c>
      <c r="I926" s="30">
        <v>5.0</v>
      </c>
      <c r="J926" s="31">
        <v>100.0</v>
      </c>
      <c r="K926" s="11">
        <v>1.0</v>
      </c>
      <c r="L926" s="32">
        <f t="shared" ref="L926:L927" si="266">(525)/P926</f>
        <v>0.0325803649</v>
      </c>
      <c r="M926" s="32">
        <f>(1000)/P926</f>
        <v>0.0620578379</v>
      </c>
      <c r="N926" s="32">
        <v>0.0</v>
      </c>
      <c r="O926" s="32">
        <v>0.0</v>
      </c>
      <c r="P926" s="33">
        <v>16114.0</v>
      </c>
      <c r="Q926" s="34">
        <v>100.0</v>
      </c>
      <c r="R926" s="42">
        <v>3.258036490008688</v>
      </c>
      <c r="S926" s="36">
        <v>0.062057837904927395</v>
      </c>
      <c r="T926" s="36"/>
      <c r="U926" s="36"/>
      <c r="V926" s="36">
        <v>3.3200943279136155</v>
      </c>
      <c r="W926" s="37">
        <v>0.033200943279136155</v>
      </c>
      <c r="X926" s="42">
        <v>52500.0</v>
      </c>
      <c r="Y926" s="36">
        <v>1000.0</v>
      </c>
      <c r="Z926" s="36"/>
      <c r="AA926" s="36"/>
      <c r="AB926" s="36">
        <v>53500.0</v>
      </c>
      <c r="AC926" s="37">
        <v>535.0</v>
      </c>
      <c r="AD926" s="31"/>
      <c r="AE926" s="11"/>
      <c r="AF926" s="11"/>
    </row>
    <row r="927">
      <c r="A927" s="11" t="s">
        <v>933</v>
      </c>
      <c r="B927" s="39">
        <v>45473.84097222222</v>
      </c>
      <c r="C927" s="40">
        <v>45477.720138888886</v>
      </c>
      <c r="D927" s="27" t="s">
        <v>37</v>
      </c>
      <c r="E927" s="11" t="b">
        <v>0</v>
      </c>
      <c r="F927" s="11" t="s">
        <v>49</v>
      </c>
      <c r="G927" s="11" t="s">
        <v>934</v>
      </c>
      <c r="H927" s="11" t="s">
        <v>936</v>
      </c>
      <c r="I927" s="30">
        <v>5.0</v>
      </c>
      <c r="J927" s="31">
        <v>50.0</v>
      </c>
      <c r="K927" s="11">
        <v>1.0</v>
      </c>
      <c r="L927" s="32">
        <f t="shared" si="266"/>
        <v>0.03211009174</v>
      </c>
      <c r="M927" s="11">
        <f>(478)/P927</f>
        <v>0.02923547401</v>
      </c>
      <c r="N927" s="32">
        <v>0.0</v>
      </c>
      <c r="O927" s="32">
        <v>0.0</v>
      </c>
      <c r="P927" s="33">
        <v>16350.0</v>
      </c>
      <c r="Q927" s="34">
        <v>50.0</v>
      </c>
      <c r="R927" s="42">
        <v>1.6055045871559634</v>
      </c>
      <c r="S927" s="36">
        <v>0.02923547400611621</v>
      </c>
      <c r="T927" s="36"/>
      <c r="U927" s="36"/>
      <c r="V927" s="36">
        <v>1.6347400611620797</v>
      </c>
      <c r="W927" s="37">
        <v>0.032694801223241594</v>
      </c>
      <c r="X927" s="42">
        <v>26250.000000000004</v>
      </c>
      <c r="Y927" s="36">
        <v>478.0</v>
      </c>
      <c r="Z927" s="36"/>
      <c r="AA927" s="36"/>
      <c r="AB927" s="36">
        <v>26728.000000000004</v>
      </c>
      <c r="AC927" s="37">
        <v>534.5600000000001</v>
      </c>
      <c r="AD927" s="31">
        <f>(1000)*X927/SUM($X$628:$X$629)</f>
        <v>14.28571429</v>
      </c>
      <c r="AE927" s="11"/>
      <c r="AF927" s="11"/>
    </row>
    <row r="928">
      <c r="A928" s="11" t="s">
        <v>933</v>
      </c>
      <c r="B928" s="39">
        <v>45458.02013888889</v>
      </c>
      <c r="C928" s="40">
        <v>45459.697916666664</v>
      </c>
      <c r="D928" s="27" t="s">
        <v>33</v>
      </c>
      <c r="E928" s="11" t="b">
        <v>0</v>
      </c>
      <c r="F928" s="11" t="s">
        <v>38</v>
      </c>
      <c r="G928" s="11" t="s">
        <v>937</v>
      </c>
      <c r="H928" s="11" t="s">
        <v>938</v>
      </c>
      <c r="I928" s="30">
        <v>5.0</v>
      </c>
      <c r="J928" s="31">
        <v>1000.0</v>
      </c>
      <c r="K928" s="11">
        <v>1.0</v>
      </c>
      <c r="L928" s="32">
        <f t="shared" ref="L928:L930" si="267">(300)/P928</f>
        <v>0.01819725828</v>
      </c>
      <c r="M928" s="32">
        <f t="shared" ref="M928:M929" si="268">(1000)/P928</f>
        <v>0.0606575276</v>
      </c>
      <c r="N928" s="32">
        <f>(3000 + 1485)/P928</f>
        <v>0.2720490113</v>
      </c>
      <c r="O928" s="32">
        <v>0.0</v>
      </c>
      <c r="P928" s="33">
        <v>16486.0</v>
      </c>
      <c r="Q928" s="34">
        <v>1000.0</v>
      </c>
      <c r="R928" s="42">
        <v>18.197258279752518</v>
      </c>
      <c r="S928" s="36">
        <v>0.06065752759917506</v>
      </c>
      <c r="T928" s="36">
        <v>0.27204901128230013</v>
      </c>
      <c r="U928" s="36"/>
      <c r="V928" s="36">
        <v>17.985866796069395</v>
      </c>
      <c r="W928" s="37">
        <v>0.017985866796069394</v>
      </c>
      <c r="X928" s="42">
        <v>300000.0</v>
      </c>
      <c r="Y928" s="36">
        <v>1000.0</v>
      </c>
      <c r="Z928" s="36">
        <v>4485.0</v>
      </c>
      <c r="AA928" s="36"/>
      <c r="AB928" s="36">
        <v>296515.00000000006</v>
      </c>
      <c r="AC928" s="37">
        <v>296.51500000000004</v>
      </c>
      <c r="AD928" s="31"/>
      <c r="AE928" s="11"/>
      <c r="AF928" s="11"/>
    </row>
    <row r="929">
      <c r="A929" s="11" t="s">
        <v>933</v>
      </c>
      <c r="B929" s="39">
        <v>45457.38611111111</v>
      </c>
      <c r="C929" s="40">
        <v>45458.42291666667</v>
      </c>
      <c r="D929" s="27" t="s">
        <v>33</v>
      </c>
      <c r="E929" s="11" t="b">
        <v>0</v>
      </c>
      <c r="F929" s="11" t="s">
        <v>49</v>
      </c>
      <c r="G929" s="11" t="s">
        <v>937</v>
      </c>
      <c r="H929" s="11" t="s">
        <v>939</v>
      </c>
      <c r="I929" s="30">
        <v>5.0</v>
      </c>
      <c r="J929" s="31">
        <v>100.0</v>
      </c>
      <c r="K929" s="11">
        <v>1.0</v>
      </c>
      <c r="L929" s="32">
        <f t="shared" si="267"/>
        <v>0.01819725828</v>
      </c>
      <c r="M929" s="32">
        <f t="shared" si="268"/>
        <v>0.0606575276</v>
      </c>
      <c r="N929" s="32">
        <v>0.0</v>
      </c>
      <c r="O929" s="32">
        <v>0.0</v>
      </c>
      <c r="P929" s="33">
        <v>16486.0</v>
      </c>
      <c r="Q929" s="34">
        <v>100.0</v>
      </c>
      <c r="R929" s="42">
        <v>1.8197258279752517</v>
      </c>
      <c r="S929" s="36">
        <v>0.06065752759917506</v>
      </c>
      <c r="T929" s="36"/>
      <c r="U929" s="36"/>
      <c r="V929" s="36">
        <v>1.8803833555744267</v>
      </c>
      <c r="W929" s="37">
        <v>0.018803833555744266</v>
      </c>
      <c r="X929" s="42">
        <v>30000.0</v>
      </c>
      <c r="Y929" s="36">
        <v>1000.0</v>
      </c>
      <c r="Z929" s="36"/>
      <c r="AA929" s="36"/>
      <c r="AB929" s="36">
        <v>31000.0</v>
      </c>
      <c r="AC929" s="37">
        <v>310.0</v>
      </c>
      <c r="AD929" s="31"/>
      <c r="AE929" s="11"/>
      <c r="AF929" s="11"/>
    </row>
    <row r="930">
      <c r="A930" s="11" t="s">
        <v>933</v>
      </c>
      <c r="B930" s="39">
        <v>45089.0</v>
      </c>
      <c r="C930" s="40">
        <v>45090.0</v>
      </c>
      <c r="D930" s="27" t="s">
        <v>33</v>
      </c>
      <c r="E930" s="11" t="b">
        <v>0</v>
      </c>
      <c r="F930" s="11" t="s">
        <v>157</v>
      </c>
      <c r="G930" s="61"/>
      <c r="H930" s="46"/>
      <c r="I930" s="30">
        <v>5.0</v>
      </c>
      <c r="J930" s="31">
        <v>200.0</v>
      </c>
      <c r="K930" s="11">
        <v>1.0</v>
      </c>
      <c r="L930" s="32">
        <f t="shared" si="267"/>
        <v>0.02006286364</v>
      </c>
      <c r="M930" s="32">
        <f>(7500+2000)/P930</f>
        <v>0.6353240152</v>
      </c>
      <c r="N930" s="32">
        <v>0.0</v>
      </c>
      <c r="O930" s="32">
        <v>0.0</v>
      </c>
      <c r="P930" s="33">
        <v>14953.0</v>
      </c>
      <c r="Q930" s="34">
        <v>200.0</v>
      </c>
      <c r="R930" s="42">
        <v>4.012572727880693</v>
      </c>
      <c r="S930" s="36">
        <v>0.6353240152477764</v>
      </c>
      <c r="T930" s="36"/>
      <c r="U930" s="36"/>
      <c r="V930" s="36">
        <v>4.647896743128469</v>
      </c>
      <c r="W930" s="37">
        <v>0.023239483715642346</v>
      </c>
      <c r="X930" s="42">
        <v>60000.0</v>
      </c>
      <c r="Y930" s="36">
        <v>9500.0</v>
      </c>
      <c r="Z930" s="36"/>
      <c r="AA930" s="36"/>
      <c r="AB930" s="36">
        <v>69500.0</v>
      </c>
      <c r="AC930" s="37">
        <v>347.5</v>
      </c>
      <c r="AD930" s="31"/>
      <c r="AE930" s="11"/>
      <c r="AF930" s="11"/>
    </row>
    <row r="931">
      <c r="A931" s="11" t="s">
        <v>940</v>
      </c>
      <c r="B931" s="77">
        <v>45986.02361111111</v>
      </c>
      <c r="C931" s="40">
        <v>45990.43125</v>
      </c>
      <c r="D931" s="27" t="s">
        <v>37</v>
      </c>
      <c r="E931" s="11" t="b">
        <v>0</v>
      </c>
      <c r="F931" s="11" t="s">
        <v>49</v>
      </c>
      <c r="G931" s="11" t="s">
        <v>906</v>
      </c>
      <c r="H931" s="11" t="s">
        <v>907</v>
      </c>
      <c r="I931" s="30">
        <v>5.0</v>
      </c>
      <c r="J931" s="31">
        <v>1000.0</v>
      </c>
      <c r="K931" s="11">
        <v>1.0</v>
      </c>
      <c r="L931" s="32">
        <f>(540)/P931</f>
        <v>540</v>
      </c>
      <c r="M931" s="32">
        <f>(407/2)/P931</f>
        <v>203.5</v>
      </c>
      <c r="N931" s="32">
        <f>(X931*15% - 600)/P931</f>
        <v>80400</v>
      </c>
      <c r="O931" s="32">
        <f>(8000/2)/P931</f>
        <v>4000</v>
      </c>
      <c r="P931" s="33">
        <v>1.0</v>
      </c>
      <c r="Q931" s="34">
        <v>1000.0</v>
      </c>
      <c r="R931" s="42">
        <v>540000.0</v>
      </c>
      <c r="S931" s="36">
        <v>203.5</v>
      </c>
      <c r="T931" s="36">
        <v>80400.0</v>
      </c>
      <c r="U931" s="36">
        <v>4000.0</v>
      </c>
      <c r="V931" s="36">
        <v>455803.5</v>
      </c>
      <c r="W931" s="37">
        <v>455.8035</v>
      </c>
      <c r="X931" s="42">
        <v>540000.0</v>
      </c>
      <c r="Y931" s="36">
        <v>203.5</v>
      </c>
      <c r="Z931" s="36">
        <v>80400.0</v>
      </c>
      <c r="AA931" s="36">
        <v>4000.0</v>
      </c>
      <c r="AB931" s="36">
        <v>455803.5</v>
      </c>
      <c r="AC931" s="37">
        <v>455.8035</v>
      </c>
      <c r="AD931" s="31"/>
      <c r="AE931" s="11"/>
      <c r="AF931" s="11"/>
    </row>
    <row r="932">
      <c r="A932" s="11" t="s">
        <v>940</v>
      </c>
      <c r="B932" s="39">
        <v>45566.740277777775</v>
      </c>
      <c r="C932" s="40">
        <v>45570.419444444444</v>
      </c>
      <c r="D932" s="27" t="s">
        <v>33</v>
      </c>
      <c r="E932" s="11" t="b">
        <v>0</v>
      </c>
      <c r="F932" s="11" t="s">
        <v>49</v>
      </c>
      <c r="G932" s="11" t="s">
        <v>934</v>
      </c>
      <c r="H932" s="11" t="s">
        <v>941</v>
      </c>
      <c r="I932" s="30">
        <v>5.0</v>
      </c>
      <c r="J932" s="31">
        <v>650.0</v>
      </c>
      <c r="K932" s="11">
        <v>1.0</v>
      </c>
      <c r="L932" s="32">
        <f t="shared" ref="L932:L933" si="269">(700)/P932</f>
        <v>0.04587155963</v>
      </c>
      <c r="M932" s="32">
        <f>(183)/P932</f>
        <v>0.0119921363</v>
      </c>
      <c r="N932" s="32">
        <f>(45500)/P932</f>
        <v>2.981651376</v>
      </c>
      <c r="O932" s="32">
        <v>0.0</v>
      </c>
      <c r="P932" s="33">
        <v>15260.0</v>
      </c>
      <c r="Q932" s="34">
        <v>650.0</v>
      </c>
      <c r="R932" s="42">
        <v>29.816513761467892</v>
      </c>
      <c r="S932" s="36">
        <v>0.011992136304062909</v>
      </c>
      <c r="T932" s="36">
        <v>2.981651376146789</v>
      </c>
      <c r="U932" s="36"/>
      <c r="V932" s="36">
        <v>26.846854521625165</v>
      </c>
      <c r="W932" s="37">
        <v>0.041302853110192564</v>
      </c>
      <c r="X932" s="42">
        <v>455000.00000000006</v>
      </c>
      <c r="Y932" s="36">
        <v>183.0</v>
      </c>
      <c r="Z932" s="36">
        <v>45500.0</v>
      </c>
      <c r="AA932" s="36"/>
      <c r="AB932" s="36">
        <v>409683.0</v>
      </c>
      <c r="AC932" s="37">
        <v>630.2815384615385</v>
      </c>
      <c r="AD932" s="31"/>
      <c r="AE932" s="11"/>
      <c r="AF932" s="11"/>
    </row>
    <row r="933">
      <c r="A933" s="11" t="s">
        <v>940</v>
      </c>
      <c r="B933" s="39">
        <v>45473.84097222222</v>
      </c>
      <c r="C933" s="40">
        <v>45477.720138888886</v>
      </c>
      <c r="D933" s="27" t="s">
        <v>37</v>
      </c>
      <c r="E933" s="11" t="b">
        <v>0</v>
      </c>
      <c r="F933" s="11" t="s">
        <v>49</v>
      </c>
      <c r="G933" s="11" t="s">
        <v>934</v>
      </c>
      <c r="H933" s="11" t="s">
        <v>936</v>
      </c>
      <c r="I933" s="30">
        <v>5.0</v>
      </c>
      <c r="J933" s="31">
        <v>41.0</v>
      </c>
      <c r="K933" s="11">
        <v>1.0</v>
      </c>
      <c r="L933" s="32">
        <f t="shared" si="269"/>
        <v>0.04281345566</v>
      </c>
      <c r="M933" s="11">
        <f>(522)/P933</f>
        <v>0.0319266055</v>
      </c>
      <c r="N933" s="32">
        <v>0.0</v>
      </c>
      <c r="O933" s="32">
        <v>0.0</v>
      </c>
      <c r="P933" s="33">
        <v>16350.0</v>
      </c>
      <c r="Q933" s="34">
        <v>41.0</v>
      </c>
      <c r="R933" s="42">
        <v>1.7553516819571864</v>
      </c>
      <c r="S933" s="36">
        <v>0.031926605504587154</v>
      </c>
      <c r="T933" s="36"/>
      <c r="U933" s="36"/>
      <c r="V933" s="36">
        <v>1.7872782874617736</v>
      </c>
      <c r="W933" s="37">
        <v>0.04359215335272618</v>
      </c>
      <c r="X933" s="42">
        <v>28699.999999999996</v>
      </c>
      <c r="Y933" s="36">
        <v>522.0</v>
      </c>
      <c r="Z933" s="36"/>
      <c r="AA933" s="36"/>
      <c r="AB933" s="36">
        <v>29222.0</v>
      </c>
      <c r="AC933" s="37">
        <v>712.7317073170732</v>
      </c>
      <c r="AD933" s="31">
        <f>(1000)*X933/SUM($X$628:$X$629)</f>
        <v>15.61904762</v>
      </c>
      <c r="AE933" s="11"/>
      <c r="AF933" s="11"/>
    </row>
    <row r="934">
      <c r="A934" s="11" t="s">
        <v>940</v>
      </c>
      <c r="B934" s="39">
        <v>45422.15694444445</v>
      </c>
      <c r="C934" s="40">
        <v>45423.62847222222</v>
      </c>
      <c r="D934" s="27" t="s">
        <v>33</v>
      </c>
      <c r="E934" s="11" t="b">
        <v>0</v>
      </c>
      <c r="F934" s="11" t="s">
        <v>49</v>
      </c>
      <c r="G934" s="11" t="s">
        <v>942</v>
      </c>
      <c r="H934" s="11" t="s">
        <v>943</v>
      </c>
      <c r="I934" s="30">
        <v>5.0</v>
      </c>
      <c r="J934" s="31">
        <v>43.0</v>
      </c>
      <c r="K934" s="11">
        <v>1.0</v>
      </c>
      <c r="L934" s="32">
        <f>(30100/43)/P934</f>
        <v>0.04365722839</v>
      </c>
      <c r="M934" s="32">
        <f>(1000)/P934</f>
        <v>0.06236746913</v>
      </c>
      <c r="N934" s="32">
        <f>(10000)/P934</f>
        <v>0.6236746913</v>
      </c>
      <c r="O934" s="32">
        <v>0.0</v>
      </c>
      <c r="P934" s="33">
        <v>16034.0</v>
      </c>
      <c r="Q934" s="34">
        <v>43.0</v>
      </c>
      <c r="R934" s="42">
        <v>1.8772608207558936</v>
      </c>
      <c r="S934" s="36">
        <v>0.06236746912810278</v>
      </c>
      <c r="T934" s="36">
        <v>0.6236746912810278</v>
      </c>
      <c r="U934" s="36"/>
      <c r="V934" s="36">
        <v>1.3159535986029687</v>
      </c>
      <c r="W934" s="37">
        <v>0.030603572060534157</v>
      </c>
      <c r="X934" s="42">
        <v>30100.0</v>
      </c>
      <c r="Y934" s="36">
        <v>1000.0</v>
      </c>
      <c r="Z934" s="36">
        <v>10000.0</v>
      </c>
      <c r="AA934" s="36"/>
      <c r="AB934" s="36">
        <v>21100.0</v>
      </c>
      <c r="AC934" s="37">
        <v>490.69767441860466</v>
      </c>
      <c r="AD934" s="31"/>
      <c r="AE934" s="11"/>
      <c r="AF934" s="11"/>
    </row>
    <row r="935">
      <c r="A935" s="11" t="s">
        <v>940</v>
      </c>
      <c r="B935" s="39">
        <v>45415.35</v>
      </c>
      <c r="C935" s="40">
        <v>45421.39791666667</v>
      </c>
      <c r="D935" s="27" t="s">
        <v>37</v>
      </c>
      <c r="E935" s="11" t="b">
        <v>0</v>
      </c>
      <c r="F935" s="11" t="s">
        <v>38</v>
      </c>
      <c r="G935" s="11" t="s">
        <v>267</v>
      </c>
      <c r="H935" s="11" t="s">
        <v>267</v>
      </c>
      <c r="I935" s="30">
        <v>5.0</v>
      </c>
      <c r="J935" s="31">
        <v>71.0</v>
      </c>
      <c r="K935" s="11">
        <v>1.0</v>
      </c>
      <c r="L935" s="32">
        <f>(700)/P935</f>
        <v>0.04349987571</v>
      </c>
      <c r="M935" s="32">
        <f>(1000 + 400)/P935</f>
        <v>0.08699975143</v>
      </c>
      <c r="N935" s="32">
        <f>(14910)/P935</f>
        <v>0.9265473527</v>
      </c>
      <c r="O935" s="32">
        <v>0.0</v>
      </c>
      <c r="P935" s="33">
        <v>16092.0</v>
      </c>
      <c r="Q935" s="34">
        <v>71.0</v>
      </c>
      <c r="R935" s="42">
        <v>3.0884911757394975</v>
      </c>
      <c r="S935" s="36">
        <v>0.08699975142928162</v>
      </c>
      <c r="T935" s="36">
        <v>0.9265473527218494</v>
      </c>
      <c r="U935" s="36"/>
      <c r="V935" s="36">
        <v>2.2489435744469297</v>
      </c>
      <c r="W935" s="37">
        <v>0.03167526161192859</v>
      </c>
      <c r="X935" s="42">
        <v>49699.99999999999</v>
      </c>
      <c r="Y935" s="36">
        <v>1400.0</v>
      </c>
      <c r="Z935" s="36">
        <v>14910.0</v>
      </c>
      <c r="AA935" s="36"/>
      <c r="AB935" s="36">
        <v>36189.99999999999</v>
      </c>
      <c r="AC935" s="37">
        <v>509.71830985915483</v>
      </c>
      <c r="AD935" s="31"/>
      <c r="AE935" s="11"/>
      <c r="AF935" s="11"/>
    </row>
    <row r="936">
      <c r="A936" s="11" t="s">
        <v>940</v>
      </c>
      <c r="B936" s="39">
        <v>45372.63888888889</v>
      </c>
      <c r="C936" s="40">
        <v>45375.57344907407</v>
      </c>
      <c r="D936" s="27" t="s">
        <v>37</v>
      </c>
      <c r="E936" s="11" t="b">
        <v>0</v>
      </c>
      <c r="F936" s="11" t="s">
        <v>249</v>
      </c>
      <c r="G936" s="11" t="s">
        <v>249</v>
      </c>
      <c r="H936" s="11" t="s">
        <v>249</v>
      </c>
      <c r="I936" s="30">
        <v>5.0</v>
      </c>
      <c r="J936" s="31">
        <v>100.0</v>
      </c>
      <c r="K936" s="11">
        <v>1.0</v>
      </c>
      <c r="L936" s="32">
        <f>(760)/P936</f>
        <v>0.04845393688</v>
      </c>
      <c r="M936" s="32">
        <v>0.0</v>
      </c>
      <c r="N936" s="32">
        <v>0.0</v>
      </c>
      <c r="O936" s="32">
        <v>0.0</v>
      </c>
      <c r="P936" s="33">
        <v>15685.0</v>
      </c>
      <c r="Q936" s="34">
        <v>100.0</v>
      </c>
      <c r="R936" s="42">
        <v>4.845393688237169</v>
      </c>
      <c r="S936" s="36"/>
      <c r="T936" s="36"/>
      <c r="U936" s="36"/>
      <c r="V936" s="36">
        <v>4.845393688237169</v>
      </c>
      <c r="W936" s="37">
        <v>0.04845393688237169</v>
      </c>
      <c r="X936" s="42">
        <v>76000.0</v>
      </c>
      <c r="Y936" s="36"/>
      <c r="Z936" s="36"/>
      <c r="AA936" s="36"/>
      <c r="AB936" s="36">
        <v>76000.0</v>
      </c>
      <c r="AC936" s="37">
        <v>760.0</v>
      </c>
      <c r="AD936" s="31"/>
      <c r="AE936" s="11"/>
      <c r="AF936" s="11"/>
    </row>
    <row r="937">
      <c r="A937" s="11" t="s">
        <v>944</v>
      </c>
      <c r="B937" s="39">
        <v>45644.67013888889</v>
      </c>
      <c r="C937" s="40">
        <v>45646.659014386576</v>
      </c>
      <c r="D937" s="27" t="s">
        <v>33</v>
      </c>
      <c r="E937" s="11" t="b">
        <v>0</v>
      </c>
      <c r="F937" s="11" t="s">
        <v>38</v>
      </c>
      <c r="G937" s="11" t="s">
        <v>367</v>
      </c>
      <c r="H937" s="11" t="s">
        <v>463</v>
      </c>
      <c r="I937" s="30">
        <v>5.0</v>
      </c>
      <c r="J937" s="31">
        <v>20.0</v>
      </c>
      <c r="K937" s="11">
        <v>60.0</v>
      </c>
      <c r="L937" s="32">
        <f>(8400)/P937</f>
        <v>0.5172413793</v>
      </c>
      <c r="M937" s="32">
        <f>(100)/P937</f>
        <v>0.006157635468</v>
      </c>
      <c r="N937" s="32">
        <f>(X937*10%)/P937</f>
        <v>1.034482759</v>
      </c>
      <c r="O937" s="32">
        <v>0.0</v>
      </c>
      <c r="P937" s="33">
        <v>16240.0</v>
      </c>
      <c r="Q937" s="34">
        <v>1200.0</v>
      </c>
      <c r="R937" s="42">
        <v>10.344827586206897</v>
      </c>
      <c r="S937" s="36">
        <v>0.006157635467980296</v>
      </c>
      <c r="T937" s="36">
        <v>1.0344827586206897</v>
      </c>
      <c r="U937" s="36"/>
      <c r="V937" s="36">
        <v>9.316502463054187</v>
      </c>
      <c r="W937" s="37">
        <v>0.007763752052545155</v>
      </c>
      <c r="X937" s="42">
        <v>168000.0</v>
      </c>
      <c r="Y937" s="36">
        <v>100.0</v>
      </c>
      <c r="Z937" s="36">
        <v>16800.0</v>
      </c>
      <c r="AA937" s="36"/>
      <c r="AB937" s="36">
        <v>151300.0</v>
      </c>
      <c r="AC937" s="37">
        <v>126.08333333333333</v>
      </c>
      <c r="AD937" s="31"/>
      <c r="AE937" s="11"/>
      <c r="AF937" s="11"/>
    </row>
    <row r="938">
      <c r="A938" s="11" t="s">
        <v>944</v>
      </c>
      <c r="B938" s="39">
        <v>45410.96805555555</v>
      </c>
      <c r="C938" s="40">
        <v>45412.67790085648</v>
      </c>
      <c r="D938" s="27" t="s">
        <v>33</v>
      </c>
      <c r="E938" s="11" t="b">
        <v>0</v>
      </c>
      <c r="F938" s="11" t="s">
        <v>49</v>
      </c>
      <c r="G938" s="11" t="s">
        <v>926</v>
      </c>
      <c r="H938" s="11" t="s">
        <v>926</v>
      </c>
      <c r="I938" s="30">
        <v>5.0</v>
      </c>
      <c r="J938" s="31">
        <v>360.0</v>
      </c>
      <c r="K938" s="11">
        <v>1.0</v>
      </c>
      <c r="L938" s="32">
        <f>(66600/360)/P938</f>
        <v>0.01139232711</v>
      </c>
      <c r="M938" s="32">
        <f>(1000)/2/P938</f>
        <v>0.03079007328</v>
      </c>
      <c r="N938" s="32">
        <f>(12264/2)/P938</f>
        <v>0.3776094587</v>
      </c>
      <c r="O938" s="32">
        <v>0.0</v>
      </c>
      <c r="P938" s="33">
        <v>16239.0</v>
      </c>
      <c r="Q938" s="34">
        <v>360.0</v>
      </c>
      <c r="R938" s="42">
        <v>4.101237760945871</v>
      </c>
      <c r="S938" s="36">
        <v>0.03079007328037441</v>
      </c>
      <c r="T938" s="36">
        <v>0.3776094587105117</v>
      </c>
      <c r="U938" s="36"/>
      <c r="V938" s="36">
        <v>3.7544183755157334</v>
      </c>
      <c r="W938" s="37">
        <v>0.010428939931988148</v>
      </c>
      <c r="X938" s="42">
        <v>66600.0</v>
      </c>
      <c r="Y938" s="36">
        <v>500.0</v>
      </c>
      <c r="Z938" s="36">
        <v>6132.0</v>
      </c>
      <c r="AA938" s="36"/>
      <c r="AB938" s="36">
        <v>60967.99999999999</v>
      </c>
      <c r="AC938" s="37">
        <v>169.35555555555553</v>
      </c>
      <c r="AD938" s="31"/>
      <c r="AE938" s="11"/>
      <c r="AF938" s="11"/>
    </row>
    <row r="939">
      <c r="A939" s="11" t="s">
        <v>944</v>
      </c>
      <c r="B939" s="39">
        <v>45330.558333333334</v>
      </c>
      <c r="C939" s="40">
        <v>45334.409269675925</v>
      </c>
      <c r="D939" s="27" t="s">
        <v>33</v>
      </c>
      <c r="E939" s="11" t="b">
        <v>0</v>
      </c>
      <c r="F939" s="11" t="s">
        <v>49</v>
      </c>
      <c r="G939" s="11" t="s">
        <v>89</v>
      </c>
      <c r="H939" s="11" t="s">
        <v>89</v>
      </c>
      <c r="I939" s="30">
        <v>5.0</v>
      </c>
      <c r="J939" s="31">
        <v>75.0</v>
      </c>
      <c r="K939" s="11">
        <v>1.0</v>
      </c>
      <c r="L939" s="32">
        <f>(265/P939)</f>
        <v>0.01692533691</v>
      </c>
      <c r="M939" s="32">
        <f>(36000+1000)/2/P939</f>
        <v>1.181580124</v>
      </c>
      <c r="N939" s="32">
        <v>0.0</v>
      </c>
      <c r="O939" s="32">
        <f>(30000)/2/P939</f>
        <v>0.9580379383</v>
      </c>
      <c r="P939" s="33">
        <v>15657.0</v>
      </c>
      <c r="Q939" s="34">
        <v>75.0</v>
      </c>
      <c r="R939" s="42">
        <v>1.2694002682506227</v>
      </c>
      <c r="S939" s="36">
        <v>1.18158012390624</v>
      </c>
      <c r="T939" s="36"/>
      <c r="U939" s="36">
        <v>0.9580379383023567</v>
      </c>
      <c r="V939" s="36">
        <v>1.4929424538545062</v>
      </c>
      <c r="W939" s="37">
        <v>0.019905899384726748</v>
      </c>
      <c r="X939" s="42">
        <v>19875.0</v>
      </c>
      <c r="Y939" s="36">
        <v>18500.0</v>
      </c>
      <c r="Z939" s="36"/>
      <c r="AA939" s="36">
        <v>15000.0</v>
      </c>
      <c r="AB939" s="36">
        <v>23375.000000000004</v>
      </c>
      <c r="AC939" s="37">
        <v>311.66666666666674</v>
      </c>
      <c r="AD939" s="31"/>
      <c r="AE939" s="11"/>
      <c r="AF939" s="11"/>
    </row>
    <row r="940">
      <c r="A940" s="11" t="s">
        <v>944</v>
      </c>
      <c r="B940" s="39">
        <v>44920.0</v>
      </c>
      <c r="C940" s="40">
        <v>44922.0</v>
      </c>
      <c r="D940" s="27" t="s">
        <v>33</v>
      </c>
      <c r="E940" s="11" t="b">
        <v>0</v>
      </c>
      <c r="F940" s="11" t="s">
        <v>38</v>
      </c>
      <c r="G940" s="57" t="s">
        <v>945</v>
      </c>
      <c r="H940" s="46" t="s">
        <v>946</v>
      </c>
      <c r="I940" s="30">
        <v>5.0</v>
      </c>
      <c r="J940" s="31">
        <v>9.0</v>
      </c>
      <c r="K940" s="11">
        <v>100.0</v>
      </c>
      <c r="L940" s="32">
        <f>21800/P940</f>
        <v>1.39484292</v>
      </c>
      <c r="M940" s="32">
        <f>11500/P940</f>
        <v>0.7358116322</v>
      </c>
      <c r="N940" s="32">
        <v>0.0</v>
      </c>
      <c r="O940" s="67">
        <f>11500/P940</f>
        <v>0.7358116322</v>
      </c>
      <c r="P940" s="33">
        <v>15629.0</v>
      </c>
      <c r="Q940" s="34">
        <v>900.0</v>
      </c>
      <c r="R940" s="42">
        <v>12.553586281911832</v>
      </c>
      <c r="S940" s="36">
        <v>0.7358116322221512</v>
      </c>
      <c r="T940" s="36"/>
      <c r="U940" s="36">
        <v>0.7358116322221512</v>
      </c>
      <c r="V940" s="36">
        <v>12.553586281911832</v>
      </c>
      <c r="W940" s="37">
        <v>0.013948429202124258</v>
      </c>
      <c r="X940" s="42">
        <v>196200.00000000003</v>
      </c>
      <c r="Y940" s="36">
        <v>11500.0</v>
      </c>
      <c r="Z940" s="36"/>
      <c r="AA940" s="36">
        <v>11500.0</v>
      </c>
      <c r="AB940" s="36">
        <v>196200.00000000003</v>
      </c>
      <c r="AC940" s="37">
        <v>218.00000000000003</v>
      </c>
      <c r="AD940" s="31"/>
      <c r="AE940" s="11"/>
      <c r="AF940" s="11"/>
    </row>
    <row r="941">
      <c r="A941" s="11" t="s">
        <v>944</v>
      </c>
      <c r="B941" s="39">
        <v>44846.0</v>
      </c>
      <c r="C941" s="40">
        <v>44889.0</v>
      </c>
      <c r="D941" s="27" t="s">
        <v>33</v>
      </c>
      <c r="E941" s="11" t="b">
        <v>1</v>
      </c>
      <c r="F941" s="11" t="s">
        <v>46</v>
      </c>
      <c r="G941" s="11" t="s">
        <v>46</v>
      </c>
      <c r="H941" s="11" t="s">
        <v>47</v>
      </c>
      <c r="I941" s="30">
        <v>5.0</v>
      </c>
      <c r="J941" s="31">
        <v>200.0</v>
      </c>
      <c r="K941" s="11">
        <v>60.0</v>
      </c>
      <c r="L941" s="32">
        <f>170*60/P941</f>
        <v>0.68</v>
      </c>
      <c r="M941" s="32">
        <f>1000/P941</f>
        <v>0.06666666667</v>
      </c>
      <c r="N941" s="32">
        <f>385600*(2040000/(7600000+2040000))/P941</f>
        <v>5.44</v>
      </c>
      <c r="O941" s="32">
        <v>0.0</v>
      </c>
      <c r="P941" s="33">
        <v>15000.0</v>
      </c>
      <c r="Q941" s="34">
        <v>12000.0</v>
      </c>
      <c r="R941" s="42">
        <v>136.0</v>
      </c>
      <c r="S941" s="36">
        <v>0.06666666666666667</v>
      </c>
      <c r="T941" s="36">
        <v>5.44</v>
      </c>
      <c r="U941" s="36"/>
      <c r="V941" s="36">
        <v>130.62666666666667</v>
      </c>
      <c r="W941" s="37">
        <v>0.010885555555555555</v>
      </c>
      <c r="X941" s="42">
        <v>2040000.0</v>
      </c>
      <c r="Y941" s="36">
        <v>1000.0</v>
      </c>
      <c r="Z941" s="36">
        <v>81600.0</v>
      </c>
      <c r="AA941" s="36"/>
      <c r="AB941" s="36">
        <v>1959400.0</v>
      </c>
      <c r="AC941" s="37">
        <v>163.28333333333333</v>
      </c>
      <c r="AD941" s="31"/>
      <c r="AE941" s="11"/>
      <c r="AF941" s="11"/>
    </row>
    <row r="942">
      <c r="A942" s="11" t="s">
        <v>944</v>
      </c>
      <c r="B942" s="39">
        <v>43888.0</v>
      </c>
      <c r="C942" s="40">
        <v>43958.0</v>
      </c>
      <c r="D942" s="27" t="s">
        <v>56</v>
      </c>
      <c r="E942" s="11" t="b">
        <v>1</v>
      </c>
      <c r="F942" s="11" t="s">
        <v>57</v>
      </c>
      <c r="G942" s="123" t="s">
        <v>947</v>
      </c>
      <c r="H942" s="46" t="s">
        <v>948</v>
      </c>
      <c r="I942" s="33">
        <v>5.0</v>
      </c>
      <c r="J942" s="31">
        <v>20.0</v>
      </c>
      <c r="K942" s="11">
        <v>50.0</v>
      </c>
      <c r="L942" s="32">
        <v>0.34</v>
      </c>
      <c r="M942" s="32">
        <f>6.68 + 44000/P942</f>
        <v>9.758437468</v>
      </c>
      <c r="N942" s="32"/>
      <c r="O942" s="32"/>
      <c r="P942" s="58">
        <f t="shared" ref="P942:P943" si="270">424644/(0.34*20 + 6.68 + 0.75*10 + 8.73)</f>
        <v>14292.96533</v>
      </c>
      <c r="Q942" s="34">
        <v>1000.0</v>
      </c>
      <c r="R942" s="42">
        <v>6.800000000000001</v>
      </c>
      <c r="S942" s="36">
        <v>9.758437467619935</v>
      </c>
      <c r="T942" s="36"/>
      <c r="U942" s="36"/>
      <c r="V942" s="36">
        <v>16.558437467619935</v>
      </c>
      <c r="W942" s="37">
        <v>0.016558437467619935</v>
      </c>
      <c r="X942" s="42">
        <v>97192.16425445979</v>
      </c>
      <c r="Y942" s="36">
        <v>139477.00841467516</v>
      </c>
      <c r="Z942" s="36"/>
      <c r="AA942" s="36"/>
      <c r="AB942" s="36">
        <v>236669.17266913495</v>
      </c>
      <c r="AC942" s="37">
        <v>236.66917266913495</v>
      </c>
      <c r="AD942" s="31"/>
      <c r="AE942" s="11"/>
      <c r="AF942" s="11"/>
    </row>
    <row r="943">
      <c r="A943" s="11" t="s">
        <v>944</v>
      </c>
      <c r="B943" s="39">
        <v>43888.0</v>
      </c>
      <c r="C943" s="40">
        <v>43971.81907957176</v>
      </c>
      <c r="D943" s="27" t="s">
        <v>56</v>
      </c>
      <c r="E943" s="11" t="b">
        <v>1</v>
      </c>
      <c r="F943" s="11" t="s">
        <v>57</v>
      </c>
      <c r="G943" s="57" t="s">
        <v>949</v>
      </c>
      <c r="H943" s="46" t="s">
        <v>950</v>
      </c>
      <c r="I943" s="33">
        <v>5.0</v>
      </c>
      <c r="J943" s="31">
        <v>10.0</v>
      </c>
      <c r="K943" s="11">
        <v>100.0</v>
      </c>
      <c r="L943" s="32">
        <v>0.76</v>
      </c>
      <c r="M943" s="32">
        <f>8.73 + 51000/P943</f>
        <v>12.29818888</v>
      </c>
      <c r="N943" s="32"/>
      <c r="O943" s="32"/>
      <c r="P943" s="58">
        <f t="shared" si="270"/>
        <v>14292.96533</v>
      </c>
      <c r="Q943" s="34">
        <v>1000.0</v>
      </c>
      <c r="R943" s="42">
        <v>7.6</v>
      </c>
      <c r="S943" s="36">
        <v>12.298188882923109</v>
      </c>
      <c r="T943" s="36"/>
      <c r="U943" s="36"/>
      <c r="V943" s="36">
        <v>19.898188882923108</v>
      </c>
      <c r="W943" s="37">
        <v>0.019898188882923107</v>
      </c>
      <c r="X943" s="42">
        <v>108626.53651969033</v>
      </c>
      <c r="Y943" s="36">
        <v>175777.58734432852</v>
      </c>
      <c r="Z943" s="36"/>
      <c r="AA943" s="36"/>
      <c r="AB943" s="36">
        <v>284404.1238640188</v>
      </c>
      <c r="AC943" s="37">
        <v>284.4041238640188</v>
      </c>
      <c r="AD943" s="31"/>
      <c r="AE943" s="11"/>
      <c r="AF943" s="11"/>
    </row>
    <row r="944">
      <c r="A944" s="11" t="s">
        <v>944</v>
      </c>
      <c r="B944" s="39">
        <v>43751.37685497685</v>
      </c>
      <c r="C944" s="40">
        <v>43767.0</v>
      </c>
      <c r="D944" s="27" t="s">
        <v>56</v>
      </c>
      <c r="E944" s="11" t="b">
        <v>1</v>
      </c>
      <c r="F944" s="29" t="s">
        <v>57</v>
      </c>
      <c r="G944" s="45" t="str">
        <f>"https://www.aliexpress.com/item/32975852342.html?spm=a2g0s.12269583.0.0.1fb582aco6vlhO"</f>
        <v>https://www.aliexpress.com/item/32975852342.html?spm=a2g0s.12269583.0.0.1fb582aco6vlhO</v>
      </c>
      <c r="H944" s="29" t="s">
        <v>951</v>
      </c>
      <c r="I944" s="33">
        <v>5.0</v>
      </c>
      <c r="J944" s="31">
        <v>10.0</v>
      </c>
      <c r="K944" s="11">
        <v>100.0</v>
      </c>
      <c r="L944" s="32">
        <v>0.76</v>
      </c>
      <c r="M944" s="32">
        <v>5.94</v>
      </c>
      <c r="N944" s="32">
        <f>0.5</f>
        <v>0.5</v>
      </c>
      <c r="O944" s="32"/>
      <c r="P944" s="33">
        <f>531595/(1.85*10+5.82+0.76*10+5.94-1)</f>
        <v>14422.00217</v>
      </c>
      <c r="Q944" s="34">
        <v>1000.0</v>
      </c>
      <c r="R944" s="42">
        <v>7.6</v>
      </c>
      <c r="S944" s="36">
        <v>5.94</v>
      </c>
      <c r="T944" s="36">
        <v>0.5</v>
      </c>
      <c r="U944" s="36"/>
      <c r="V944" s="36">
        <v>13.04</v>
      </c>
      <c r="W944" s="37">
        <v>0.01304</v>
      </c>
      <c r="X944" s="42">
        <v>109607.21649484536</v>
      </c>
      <c r="Y944" s="36">
        <v>85666.69289202389</v>
      </c>
      <c r="Z944" s="36">
        <v>7211.001085187195</v>
      </c>
      <c r="AA944" s="36"/>
      <c r="AB944" s="36">
        <v>188062.90830168204</v>
      </c>
      <c r="AC944" s="37">
        <v>188.06290830168203</v>
      </c>
      <c r="AD944" s="31"/>
      <c r="AE944" s="11"/>
      <c r="AF944" s="11"/>
    </row>
    <row r="945">
      <c r="A945" s="11" t="s">
        <v>944</v>
      </c>
      <c r="B945" s="39">
        <v>43616.37777157407</v>
      </c>
      <c r="C945" s="40">
        <v>43640.0</v>
      </c>
      <c r="D945" s="27" t="s">
        <v>56</v>
      </c>
      <c r="E945" s="11" t="b">
        <v>1</v>
      </c>
      <c r="F945" s="29" t="s">
        <v>57</v>
      </c>
      <c r="G945" s="45" t="str">
        <f>"https://www.aliexpress.com/item/66PCS-Lot-DIP-IC-Sockets-Adaptor-Solder-Type-Socket-Kit-6-8-14-16-18-20/33026257227.html?spm=a2g0s.9042311.0.0.285c4c4dBrHR8H"</f>
        <v>https://www.aliexpress.com/item/66PCS-Lot-DIP-IC-Sockets-Adaptor-Solder-Type-Socket-Kit-6-8-14-16-18-20/33026257227.html?spm=a2g0s.9042311.0.0.285c4c4dBrHR8H</v>
      </c>
      <c r="H945" s="29" t="s">
        <v>952</v>
      </c>
      <c r="I945" s="33"/>
      <c r="J945" s="31">
        <v>20.0</v>
      </c>
      <c r="K945" s="11">
        <v>60.0</v>
      </c>
      <c r="L945" s="32">
        <v>0.89</v>
      </c>
      <c r="M945" s="32">
        <v>0.0</v>
      </c>
      <c r="N945" s="32">
        <v>0.0</v>
      </c>
      <c r="O945" s="32">
        <v>0.0</v>
      </c>
      <c r="P945" s="33">
        <f>(261091/17.8)</f>
        <v>14668.03371</v>
      </c>
      <c r="Q945" s="34">
        <v>1200.0</v>
      </c>
      <c r="R945" s="42">
        <v>17.8</v>
      </c>
      <c r="S945" s="36"/>
      <c r="T945" s="36"/>
      <c r="U945" s="36"/>
      <c r="V945" s="36">
        <v>17.8</v>
      </c>
      <c r="W945" s="37">
        <v>0.014833333333333334</v>
      </c>
      <c r="X945" s="42">
        <v>261091.0</v>
      </c>
      <c r="Y945" s="36"/>
      <c r="Z945" s="36"/>
      <c r="AA945" s="36"/>
      <c r="AB945" s="36">
        <v>261091.0</v>
      </c>
      <c r="AC945" s="37">
        <v>217.57583333333332</v>
      </c>
      <c r="AD945" s="31">
        <v>300.0</v>
      </c>
      <c r="AE945" s="11">
        <v>500.0</v>
      </c>
      <c r="AF945" s="11"/>
    </row>
    <row r="946">
      <c r="A946" s="11" t="s">
        <v>944</v>
      </c>
      <c r="B946" s="39">
        <v>43607.63664340277</v>
      </c>
      <c r="C946" s="40">
        <v>43607.63763978009</v>
      </c>
      <c r="D946" s="27" t="s">
        <v>66</v>
      </c>
      <c r="E946" s="11" t="b">
        <v>0</v>
      </c>
      <c r="F946" s="29" t="s">
        <v>67</v>
      </c>
      <c r="G946" s="29" t="s">
        <v>67</v>
      </c>
      <c r="H946" s="29" t="s">
        <v>67</v>
      </c>
      <c r="I946" s="33"/>
      <c r="J946" s="31">
        <v>11.0</v>
      </c>
      <c r="K946" s="11">
        <v>1.0</v>
      </c>
      <c r="L946" s="32">
        <f>300/P946</f>
        <v>0.03</v>
      </c>
      <c r="M946" s="32"/>
      <c r="N946" s="32"/>
      <c r="O946" s="32"/>
      <c r="P946" s="33">
        <v>10000.0</v>
      </c>
      <c r="Q946" s="34">
        <v>11.0</v>
      </c>
      <c r="R946" s="42">
        <v>0.32999999999999996</v>
      </c>
      <c r="S946" s="36"/>
      <c r="T946" s="36"/>
      <c r="U946" s="36"/>
      <c r="V946" s="36">
        <v>0.32999999999999996</v>
      </c>
      <c r="W946" s="37">
        <v>0.029999999999999995</v>
      </c>
      <c r="X946" s="42">
        <v>3299.9999999999995</v>
      </c>
      <c r="Y946" s="36"/>
      <c r="Z946" s="36"/>
      <c r="AA946" s="36"/>
      <c r="AB946" s="36">
        <v>3299.9999999999995</v>
      </c>
      <c r="AC946" s="37">
        <v>299.99999999999994</v>
      </c>
      <c r="AD946" s="31">
        <v>300.0</v>
      </c>
      <c r="AE946" s="11">
        <v>500.0</v>
      </c>
      <c r="AF946" s="11"/>
    </row>
    <row r="947">
      <c r="A947" s="11" t="s">
        <v>944</v>
      </c>
      <c r="B947" s="39">
        <v>43548.36440806713</v>
      </c>
      <c r="C947" s="40">
        <v>43550.0</v>
      </c>
      <c r="D947" s="27" t="s">
        <v>66</v>
      </c>
      <c r="E947" s="11" t="b">
        <v>0</v>
      </c>
      <c r="F947" s="11" t="s">
        <v>38</v>
      </c>
      <c r="G947" s="59" t="str">
        <f>"https://www.tokopedia.com/nugarada/socket-ic-8p-8-p-adapter-soket-ic-8pin-8-pin-dip-8-af76"</f>
        <v>https://www.tokopedia.com/nugarada/socket-ic-8p-8-p-adapter-soket-ic-8pin-8-pin-dip-8-af76</v>
      </c>
      <c r="H947" s="11" t="s">
        <v>953</v>
      </c>
      <c r="I947" s="33"/>
      <c r="J947" s="31">
        <v>100.0</v>
      </c>
      <c r="K947" s="11">
        <v>1.0</v>
      </c>
      <c r="L947" s="36">
        <f t="shared" ref="L947:L948" si="271">250/P947</f>
        <v>0.025</v>
      </c>
      <c r="M947" s="36">
        <f>8000/P947</f>
        <v>0.8</v>
      </c>
      <c r="N947" s="32">
        <v>0.0</v>
      </c>
      <c r="O947" s="32">
        <v>0.0</v>
      </c>
      <c r="P947" s="33">
        <v>10000.0</v>
      </c>
      <c r="Q947" s="34">
        <v>100.0</v>
      </c>
      <c r="R947" s="42">
        <v>2.5</v>
      </c>
      <c r="S947" s="36">
        <v>0.8</v>
      </c>
      <c r="T947" s="36"/>
      <c r="U947" s="36"/>
      <c r="V947" s="36">
        <v>3.3</v>
      </c>
      <c r="W947" s="37">
        <v>0.033</v>
      </c>
      <c r="X947" s="42">
        <v>25000.0</v>
      </c>
      <c r="Y947" s="36">
        <v>8000.0</v>
      </c>
      <c r="Z947" s="36"/>
      <c r="AA947" s="36"/>
      <c r="AB947" s="36">
        <v>33000.0</v>
      </c>
      <c r="AC947" s="37">
        <v>330.0</v>
      </c>
      <c r="AD947" s="31">
        <v>300.0</v>
      </c>
      <c r="AE947" s="11">
        <v>500.0</v>
      </c>
      <c r="AF947" s="11"/>
    </row>
    <row r="948">
      <c r="A948" s="11" t="s">
        <v>944</v>
      </c>
      <c r="B948" s="39">
        <v>43548.36237785879</v>
      </c>
      <c r="C948" s="40">
        <v>43551.0</v>
      </c>
      <c r="D948" s="27" t="s">
        <v>66</v>
      </c>
      <c r="E948" s="11" t="b">
        <v>0</v>
      </c>
      <c r="F948" s="11" t="s">
        <v>38</v>
      </c>
      <c r="G948" s="59" t="str">
        <f>"https://www.tokopedia.com/deltaelektronic/socket-ic-8-pin-soket-ic-2x4"</f>
        <v>https://www.tokopedia.com/deltaelektronic/socket-ic-8-pin-soket-ic-2x4</v>
      </c>
      <c r="H948" s="11" t="s">
        <v>954</v>
      </c>
      <c r="I948" s="33"/>
      <c r="J948" s="31">
        <v>100.0</v>
      </c>
      <c r="K948" s="11">
        <v>1.0</v>
      </c>
      <c r="L948" s="36">
        <f t="shared" si="271"/>
        <v>0.025</v>
      </c>
      <c r="M948" s="36">
        <f>7000/P948</f>
        <v>0.7</v>
      </c>
      <c r="N948" s="32">
        <v>0.0</v>
      </c>
      <c r="O948" s="32">
        <v>0.0</v>
      </c>
      <c r="P948" s="33">
        <v>10000.0</v>
      </c>
      <c r="Q948" s="34">
        <v>100.0</v>
      </c>
      <c r="R948" s="42">
        <v>2.5</v>
      </c>
      <c r="S948" s="36">
        <v>0.7</v>
      </c>
      <c r="T948" s="36"/>
      <c r="U948" s="36"/>
      <c r="V948" s="36">
        <v>3.2</v>
      </c>
      <c r="W948" s="37">
        <v>0.032</v>
      </c>
      <c r="X948" s="42">
        <v>25000.0</v>
      </c>
      <c r="Y948" s="36">
        <v>7000.0</v>
      </c>
      <c r="Z948" s="36"/>
      <c r="AA948" s="36"/>
      <c r="AB948" s="36">
        <v>32000.0</v>
      </c>
      <c r="AC948" s="37">
        <v>320.0</v>
      </c>
      <c r="AD948" s="31">
        <v>300.0</v>
      </c>
      <c r="AE948" s="11">
        <v>500.0</v>
      </c>
      <c r="AF948" s="11"/>
    </row>
    <row r="949">
      <c r="A949" s="11" t="s">
        <v>944</v>
      </c>
      <c r="B949" s="39">
        <v>43298.0</v>
      </c>
      <c r="C949" s="40">
        <v>43341.0</v>
      </c>
      <c r="D949" s="27" t="s">
        <v>66</v>
      </c>
      <c r="E949" s="28" t="b">
        <v>1</v>
      </c>
      <c r="F949" s="11" t="s">
        <v>57</v>
      </c>
      <c r="G949" s="59" t="str">
        <f>"https://www.aliexpress.com/item/100pcs-Round-Hole-8-Pins-2-54MM-DIP-DIP8-IC-Sockets-Adaptor-Solder-Type-8-PIN/32865970805.html?spm=a2g0s.9042311.0.0.50c24c4dxN4D85"</f>
        <v>https://www.aliexpress.com/item/100pcs-Round-Hole-8-Pins-2-54MM-DIP-DIP8-IC-Sockets-Adaptor-Solder-Type-8-PIN/32865970805.html?spm=a2g0s.9042311.0.0.50c24c4dxN4D85</v>
      </c>
      <c r="H949" s="11" t="s">
        <v>955</v>
      </c>
      <c r="I949" s="33">
        <v>0.0</v>
      </c>
      <c r="J949" s="31">
        <v>20.0</v>
      </c>
      <c r="K949" s="11">
        <v>100.0</v>
      </c>
      <c r="L949" s="32">
        <v>1.84</v>
      </c>
      <c r="M949" s="36">
        <f>3.28</f>
        <v>3.28</v>
      </c>
      <c r="N949" s="91">
        <v>1.0</v>
      </c>
      <c r="O949" s="91">
        <v>1.0</v>
      </c>
      <c r="P949" s="58">
        <f>1423717/((1.84*20 + 1.28) + (2.84*20 + 2.11))</f>
        <v>14679.00815</v>
      </c>
      <c r="Q949" s="34">
        <v>2000.0</v>
      </c>
      <c r="R949" s="42">
        <v>36.800000000000004</v>
      </c>
      <c r="S949" s="36">
        <v>3.28</v>
      </c>
      <c r="T949" s="36">
        <v>1.0</v>
      </c>
      <c r="U949" s="36">
        <v>1.0</v>
      </c>
      <c r="V949" s="36">
        <v>38.080000000000005</v>
      </c>
      <c r="W949" s="37">
        <v>0.01904</v>
      </c>
      <c r="X949" s="42">
        <v>540187.4997422415</v>
      </c>
      <c r="Y949" s="36">
        <v>48147.1467161563</v>
      </c>
      <c r="Z949" s="36">
        <v>14679.008145169604</v>
      </c>
      <c r="AA949" s="36">
        <v>14679.008145169604</v>
      </c>
      <c r="AB949" s="36">
        <v>558976.6301680586</v>
      </c>
      <c r="AC949" s="37">
        <v>279.4883150840293</v>
      </c>
      <c r="AD949" s="31">
        <v>300.0</v>
      </c>
      <c r="AE949" s="11">
        <v>500.0</v>
      </c>
      <c r="AF949" s="11"/>
    </row>
    <row r="950">
      <c r="A950" s="11" t="s">
        <v>956</v>
      </c>
      <c r="B950" s="39">
        <v>43313.0</v>
      </c>
      <c r="C950" s="40">
        <v>43314.0</v>
      </c>
      <c r="D950" s="27" t="s">
        <v>98</v>
      </c>
      <c r="E950" s="11" t="b">
        <v>0</v>
      </c>
      <c r="F950" s="11" t="s">
        <v>38</v>
      </c>
      <c r="G950" s="59" t="str">
        <f>"https://www.tokopedia.com/yanszcolection/syal-rajut-kombinasi-scarf-shawl-1"</f>
        <v>https://www.tokopedia.com/yanszcolection/syal-rajut-kombinasi-scarf-shawl-1</v>
      </c>
      <c r="H950" s="11" t="s">
        <v>957</v>
      </c>
      <c r="I950" s="33"/>
      <c r="J950" s="31">
        <v>30.0</v>
      </c>
      <c r="K950" s="11">
        <v>1.0</v>
      </c>
      <c r="L950" s="36">
        <f>9500/10000</f>
        <v>0.95</v>
      </c>
      <c r="M950" s="36">
        <f>24000/10000</f>
        <v>2.4</v>
      </c>
      <c r="N950" s="32">
        <v>0.0</v>
      </c>
      <c r="O950" s="32">
        <v>0.0</v>
      </c>
      <c r="P950" s="33">
        <v>10000.0</v>
      </c>
      <c r="Q950" s="34">
        <v>30.0</v>
      </c>
      <c r="R950" s="42">
        <v>28.5</v>
      </c>
      <c r="S950" s="36">
        <v>2.4</v>
      </c>
      <c r="T950" s="36"/>
      <c r="U950" s="36"/>
      <c r="V950" s="36">
        <v>30.9</v>
      </c>
      <c r="W950" s="37">
        <v>1.03</v>
      </c>
      <c r="X950" s="42">
        <v>285000.0</v>
      </c>
      <c r="Y950" s="36">
        <v>24000.0</v>
      </c>
      <c r="Z950" s="36"/>
      <c r="AA950" s="36"/>
      <c r="AB950" s="36">
        <v>309000.0</v>
      </c>
      <c r="AC950" s="37">
        <v>10300.0</v>
      </c>
      <c r="AD950" s="31">
        <v>15000.0</v>
      </c>
      <c r="AE950" s="11">
        <v>20000.0</v>
      </c>
      <c r="AF950" s="11"/>
    </row>
    <row r="951">
      <c r="A951" s="11" t="s">
        <v>958</v>
      </c>
      <c r="B951" s="39">
        <v>45681.91805555556</v>
      </c>
      <c r="C951" s="40">
        <v>45685.32013888889</v>
      </c>
      <c r="D951" s="27" t="s">
        <v>33</v>
      </c>
      <c r="E951" s="11" t="b">
        <v>0</v>
      </c>
      <c r="F951" s="11" t="s">
        <v>49</v>
      </c>
      <c r="G951" s="11" t="s">
        <v>212</v>
      </c>
      <c r="H951" s="11" t="s">
        <v>959</v>
      </c>
      <c r="I951" s="30">
        <v>5.0</v>
      </c>
      <c r="J951" s="31">
        <v>254.0</v>
      </c>
      <c r="K951" s="11">
        <v>1.0</v>
      </c>
      <c r="L951" s="32">
        <f>(395)/P951</f>
        <v>0.02426289926</v>
      </c>
      <c r="M951" s="32">
        <f>(1000)/P951</f>
        <v>0.06142506143</v>
      </c>
      <c r="N951" s="32">
        <f>(10000)/P951</f>
        <v>0.6142506143</v>
      </c>
      <c r="O951" s="32">
        <v>0.0</v>
      </c>
      <c r="P951" s="33">
        <v>16280.0</v>
      </c>
      <c r="Q951" s="34">
        <v>254.0</v>
      </c>
      <c r="R951" s="42">
        <v>6.162776412776413</v>
      </c>
      <c r="S951" s="36">
        <v>0.06142506142506143</v>
      </c>
      <c r="T951" s="36">
        <v>0.6142506142506142</v>
      </c>
      <c r="U951" s="36"/>
      <c r="V951" s="36">
        <v>5.60995085995086</v>
      </c>
      <c r="W951" s="37">
        <v>0.022086420708467953</v>
      </c>
      <c r="X951" s="42">
        <v>100330.0</v>
      </c>
      <c r="Y951" s="36">
        <v>1000.0</v>
      </c>
      <c r="Z951" s="36">
        <v>10000.0</v>
      </c>
      <c r="AA951" s="36"/>
      <c r="AB951" s="36">
        <v>91330.0</v>
      </c>
      <c r="AC951" s="37">
        <v>359.56692913385825</v>
      </c>
      <c r="AD951" s="31"/>
      <c r="AE951" s="11"/>
      <c r="AF951" s="11"/>
    </row>
    <row r="952">
      <c r="A952" s="11" t="s">
        <v>958</v>
      </c>
      <c r="B952" s="39">
        <v>45512.041666666664</v>
      </c>
      <c r="C952" s="40">
        <v>45514.40833333333</v>
      </c>
      <c r="D952" s="27" t="s">
        <v>37</v>
      </c>
      <c r="E952" s="11" t="b">
        <v>0</v>
      </c>
      <c r="F952" s="11" t="s">
        <v>49</v>
      </c>
      <c r="G952" s="11" t="s">
        <v>251</v>
      </c>
      <c r="H952" s="11" t="s">
        <v>321</v>
      </c>
      <c r="I952" s="30">
        <v>5.0</v>
      </c>
      <c r="J952" s="31">
        <v>200.0</v>
      </c>
      <c r="K952" s="11">
        <v>1.0</v>
      </c>
      <c r="L952" s="32">
        <f>(350)/P952</f>
        <v>0.02189415739</v>
      </c>
      <c r="M952" s="32">
        <f>(275 + 31000/4)/P952</f>
        <v>0.5020017515</v>
      </c>
      <c r="N952" s="32">
        <f>(X952*10%)/P952</f>
        <v>0.4378831478</v>
      </c>
      <c r="O952" s="32">
        <f>(30000/4)/P952</f>
        <v>0.4691605155</v>
      </c>
      <c r="P952" s="33">
        <v>15986.0</v>
      </c>
      <c r="Q952" s="34">
        <v>200.0</v>
      </c>
      <c r="R952" s="42">
        <v>4.3788314775428505</v>
      </c>
      <c r="S952" s="36">
        <v>0.502001751532591</v>
      </c>
      <c r="T952" s="36">
        <v>0.4378831477542851</v>
      </c>
      <c r="U952" s="36">
        <v>0.46916051545101967</v>
      </c>
      <c r="V952" s="36">
        <v>3.973789565870136</v>
      </c>
      <c r="W952" s="37">
        <v>0.01986894782935068</v>
      </c>
      <c r="X952" s="42">
        <v>70000.00000000001</v>
      </c>
      <c r="Y952" s="36">
        <v>8024.999999999999</v>
      </c>
      <c r="Z952" s="36">
        <v>7000.000000000002</v>
      </c>
      <c r="AA952" s="36">
        <v>7500.0</v>
      </c>
      <c r="AB952" s="36">
        <v>63524.99999999999</v>
      </c>
      <c r="AC952" s="37">
        <v>317.62499999999994</v>
      </c>
      <c r="AD952" s="31"/>
      <c r="AE952" s="11"/>
      <c r="AF952" s="11"/>
    </row>
    <row r="953">
      <c r="A953" s="11" t="s">
        <v>960</v>
      </c>
      <c r="B953" s="39">
        <v>45336.46041666667</v>
      </c>
      <c r="C953" s="40">
        <v>45313.25</v>
      </c>
      <c r="D953" s="27" t="s">
        <v>33</v>
      </c>
      <c r="E953" s="11" t="b">
        <v>0</v>
      </c>
      <c r="F953" s="11" t="s">
        <v>49</v>
      </c>
      <c r="G953" s="11" t="s">
        <v>89</v>
      </c>
      <c r="H953" s="11" t="s">
        <v>89</v>
      </c>
      <c r="I953" s="30">
        <v>5.0</v>
      </c>
      <c r="J953" s="31">
        <v>132.0</v>
      </c>
      <c r="K953" s="11">
        <v>1.0</v>
      </c>
      <c r="L953" s="32">
        <f>(1386000/132)/P953</f>
        <v>0.6713554987</v>
      </c>
      <c r="M953" s="32">
        <f>(182500+1000)/P953</f>
        <v>11.73273657</v>
      </c>
      <c r="N953" s="32">
        <f>(69300)/P953</f>
        <v>4.430946292</v>
      </c>
      <c r="O953" s="32">
        <f>(100000)/P953</f>
        <v>6.393861893</v>
      </c>
      <c r="P953" s="33">
        <v>15640.0</v>
      </c>
      <c r="Q953" s="34">
        <v>132.0</v>
      </c>
      <c r="R953" s="42">
        <v>88.61892583120203</v>
      </c>
      <c r="S953" s="36">
        <v>11.732736572890026</v>
      </c>
      <c r="T953" s="36">
        <v>4.430946291560102</v>
      </c>
      <c r="U953" s="36">
        <v>6.3938618925831205</v>
      </c>
      <c r="V953" s="36">
        <v>89.52685421994883</v>
      </c>
      <c r="W953" s="37">
        <v>0.6782337440905214</v>
      </c>
      <c r="X953" s="42">
        <v>1385999.9999999998</v>
      </c>
      <c r="Y953" s="36">
        <v>183500.0</v>
      </c>
      <c r="Z953" s="36">
        <v>69300.0</v>
      </c>
      <c r="AA953" s="36">
        <v>100000.0</v>
      </c>
      <c r="AB953" s="36">
        <v>1400199.9999999998</v>
      </c>
      <c r="AC953" s="37">
        <v>10607.575757575756</v>
      </c>
      <c r="AD953" s="31"/>
      <c r="AE953" s="11"/>
      <c r="AF953" s="11"/>
    </row>
    <row r="954">
      <c r="A954" s="11" t="s">
        <v>960</v>
      </c>
      <c r="B954" s="39">
        <v>43344.0</v>
      </c>
      <c r="C954" s="40">
        <v>43348.0</v>
      </c>
      <c r="D954" s="27" t="s">
        <v>98</v>
      </c>
      <c r="E954" s="11" t="b">
        <v>0</v>
      </c>
      <c r="F954" s="11" t="s">
        <v>49</v>
      </c>
      <c r="G954" s="59" t="str">
        <f t="shared" ref="G954:G957" si="272">"https://shopee.co.id/Senter-tiger-head-brand-2-baterai-i.20764004.660903972"</f>
        <v>https://shopee.co.id/Senter-tiger-head-brand-2-baterai-i.20764004.660903972</v>
      </c>
      <c r="H954" s="11" t="s">
        <v>961</v>
      </c>
      <c r="I954" s="33"/>
      <c r="J954" s="31">
        <v>19.0</v>
      </c>
      <c r="K954" s="11">
        <v>1.0</v>
      </c>
      <c r="L954" s="32">
        <f t="shared" ref="L954:L957" si="273">9500/P954</f>
        <v>0.95</v>
      </c>
      <c r="M954" s="36">
        <f>7.2-2</f>
        <v>5.2</v>
      </c>
      <c r="N954" s="32">
        <v>0.0</v>
      </c>
      <c r="O954" s="32">
        <v>0.0</v>
      </c>
      <c r="P954" s="33">
        <v>10000.0</v>
      </c>
      <c r="Q954" s="34">
        <v>19.0</v>
      </c>
      <c r="R954" s="42">
        <v>18.05</v>
      </c>
      <c r="S954" s="36">
        <v>5.2</v>
      </c>
      <c r="T954" s="36"/>
      <c r="U954" s="36"/>
      <c r="V954" s="36">
        <v>23.25</v>
      </c>
      <c r="W954" s="37">
        <v>1.2236842105263157</v>
      </c>
      <c r="X954" s="42">
        <v>180500.0</v>
      </c>
      <c r="Y954" s="36">
        <v>52000.0</v>
      </c>
      <c r="Z954" s="36"/>
      <c r="AA954" s="36"/>
      <c r="AB954" s="36">
        <v>232500.0</v>
      </c>
      <c r="AC954" s="37">
        <v>12236.842105263158</v>
      </c>
      <c r="AD954" s="31">
        <v>20000.0</v>
      </c>
      <c r="AE954" s="11">
        <v>20000.0</v>
      </c>
      <c r="AF954" s="11"/>
    </row>
    <row r="955">
      <c r="A955" s="11" t="s">
        <v>960</v>
      </c>
      <c r="B955" s="39">
        <v>43317.0</v>
      </c>
      <c r="C955" s="40">
        <v>43320.0</v>
      </c>
      <c r="D955" s="27" t="s">
        <v>98</v>
      </c>
      <c r="E955" s="11" t="b">
        <v>0</v>
      </c>
      <c r="F955" s="11" t="s">
        <v>49</v>
      </c>
      <c r="G955" s="59" t="str">
        <f t="shared" si="272"/>
        <v>https://shopee.co.id/Senter-tiger-head-brand-2-baterai-i.20764004.660903972</v>
      </c>
      <c r="H955" s="11" t="s">
        <v>962</v>
      </c>
      <c r="I955" s="33"/>
      <c r="J955" s="31">
        <v>19.0</v>
      </c>
      <c r="K955" s="11">
        <v>1.0</v>
      </c>
      <c r="L955" s="36">
        <f t="shared" si="273"/>
        <v>0.95</v>
      </c>
      <c r="M955" s="36">
        <f t="shared" ref="M955:M956" si="274">52000/10000</f>
        <v>5.2</v>
      </c>
      <c r="N955" s="32">
        <v>0.0</v>
      </c>
      <c r="O955" s="32">
        <v>0.0</v>
      </c>
      <c r="P955" s="33">
        <v>10000.0</v>
      </c>
      <c r="Q955" s="34">
        <v>19.0</v>
      </c>
      <c r="R955" s="42">
        <v>18.05</v>
      </c>
      <c r="S955" s="36">
        <v>5.2</v>
      </c>
      <c r="T955" s="36"/>
      <c r="U955" s="36"/>
      <c r="V955" s="36">
        <v>23.25</v>
      </c>
      <c r="W955" s="37">
        <v>1.2236842105263157</v>
      </c>
      <c r="X955" s="42">
        <v>180500.0</v>
      </c>
      <c r="Y955" s="36">
        <v>52000.0</v>
      </c>
      <c r="Z955" s="36"/>
      <c r="AA955" s="36"/>
      <c r="AB955" s="36">
        <v>232500.0</v>
      </c>
      <c r="AC955" s="37">
        <v>12236.842105263158</v>
      </c>
      <c r="AD955" s="31">
        <v>20000.0</v>
      </c>
      <c r="AE955" s="11">
        <v>20000.0</v>
      </c>
      <c r="AF955" s="11"/>
    </row>
    <row r="956">
      <c r="A956" s="11" t="s">
        <v>960</v>
      </c>
      <c r="B956" s="39">
        <v>43316.0</v>
      </c>
      <c r="C956" s="40">
        <v>43318.0</v>
      </c>
      <c r="D956" s="27" t="s">
        <v>98</v>
      </c>
      <c r="E956" s="11" t="b">
        <v>0</v>
      </c>
      <c r="F956" s="11" t="s">
        <v>49</v>
      </c>
      <c r="G956" s="59" t="str">
        <f t="shared" si="272"/>
        <v>https://shopee.co.id/Senter-tiger-head-brand-2-baterai-i.20764004.660903972</v>
      </c>
      <c r="H956" s="11" t="s">
        <v>963</v>
      </c>
      <c r="I956" s="33"/>
      <c r="J956" s="31">
        <v>19.0</v>
      </c>
      <c r="K956" s="11">
        <v>1.0</v>
      </c>
      <c r="L956" s="36">
        <f t="shared" si="273"/>
        <v>0.95</v>
      </c>
      <c r="M956" s="36">
        <f t="shared" si="274"/>
        <v>5.2</v>
      </c>
      <c r="N956" s="32">
        <v>0.0</v>
      </c>
      <c r="O956" s="32">
        <v>0.0</v>
      </c>
      <c r="P956" s="33">
        <v>10000.0</v>
      </c>
      <c r="Q956" s="34">
        <v>19.0</v>
      </c>
      <c r="R956" s="42">
        <v>18.05</v>
      </c>
      <c r="S956" s="36">
        <v>5.2</v>
      </c>
      <c r="T956" s="36"/>
      <c r="U956" s="36"/>
      <c r="V956" s="36">
        <v>23.25</v>
      </c>
      <c r="W956" s="37">
        <v>1.2236842105263157</v>
      </c>
      <c r="X956" s="42">
        <v>180500.0</v>
      </c>
      <c r="Y956" s="36">
        <v>52000.0</v>
      </c>
      <c r="Z956" s="36"/>
      <c r="AA956" s="36"/>
      <c r="AB956" s="36">
        <v>232500.0</v>
      </c>
      <c r="AC956" s="37">
        <v>12236.842105263158</v>
      </c>
      <c r="AD956" s="31">
        <v>20000.0</v>
      </c>
      <c r="AE956" s="11">
        <v>20000.0</v>
      </c>
      <c r="AF956" s="11"/>
    </row>
    <row r="957">
      <c r="A957" s="11" t="s">
        <v>960</v>
      </c>
      <c r="B957" s="39">
        <v>43306.0</v>
      </c>
      <c r="C957" s="40">
        <v>43309.0</v>
      </c>
      <c r="D957" s="27" t="s">
        <v>98</v>
      </c>
      <c r="E957" s="11" t="b">
        <v>0</v>
      </c>
      <c r="F957" s="11" t="s">
        <v>49</v>
      </c>
      <c r="G957" s="59" t="str">
        <f t="shared" si="272"/>
        <v>https://shopee.co.id/Senter-tiger-head-brand-2-baterai-i.20764004.660903972</v>
      </c>
      <c r="H957" s="11" t="s">
        <v>964</v>
      </c>
      <c r="I957" s="33"/>
      <c r="J957" s="31">
        <v>30.0</v>
      </c>
      <c r="K957" s="11">
        <v>1.0</v>
      </c>
      <c r="L957" s="36">
        <f t="shared" si="273"/>
        <v>0.95</v>
      </c>
      <c r="M957" s="36">
        <f>108000/10000</f>
        <v>10.8</v>
      </c>
      <c r="N957" s="32">
        <v>0.0</v>
      </c>
      <c r="O957" s="32">
        <v>0.0</v>
      </c>
      <c r="P957" s="33">
        <v>10000.0</v>
      </c>
      <c r="Q957" s="34">
        <v>30.0</v>
      </c>
      <c r="R957" s="42">
        <v>28.5</v>
      </c>
      <c r="S957" s="36">
        <v>10.8</v>
      </c>
      <c r="T957" s="36"/>
      <c r="U957" s="36"/>
      <c r="V957" s="36">
        <v>39.3</v>
      </c>
      <c r="W957" s="37">
        <v>1.3099999999999998</v>
      </c>
      <c r="X957" s="42">
        <v>285000.0</v>
      </c>
      <c r="Y957" s="36">
        <v>108000.0</v>
      </c>
      <c r="Z957" s="36"/>
      <c r="AA957" s="36"/>
      <c r="AB957" s="32">
        <v>393000.0</v>
      </c>
      <c r="AC957" s="37">
        <v>13100.0</v>
      </c>
      <c r="AD957" s="31">
        <v>17500.0</v>
      </c>
      <c r="AE957" s="11">
        <v>20000.0</v>
      </c>
      <c r="AF957" s="11"/>
    </row>
    <row r="958">
      <c r="A958" s="11" t="s">
        <v>965</v>
      </c>
      <c r="B958" s="39">
        <v>44920.0</v>
      </c>
      <c r="C958" s="40">
        <v>44926.0</v>
      </c>
      <c r="D958" s="27" t="s">
        <v>33</v>
      </c>
      <c r="E958" s="11" t="b">
        <v>0</v>
      </c>
      <c r="F958" s="11" t="s">
        <v>38</v>
      </c>
      <c r="G958" s="45" t="s">
        <v>966</v>
      </c>
      <c r="H958" s="46" t="s">
        <v>159</v>
      </c>
      <c r="I958" s="30">
        <v>5.0</v>
      </c>
      <c r="J958" s="31">
        <v>1.0</v>
      </c>
      <c r="K958" s="11">
        <v>10.0</v>
      </c>
      <c r="L958" s="32">
        <f>50000/P958</f>
        <v>3.19918101</v>
      </c>
      <c r="M958" s="32">
        <f>36000/P958</f>
        <v>2.303410327</v>
      </c>
      <c r="N958" s="32">
        <v>0.0</v>
      </c>
      <c r="O958" s="67">
        <f>36000/P958</f>
        <v>2.303410327</v>
      </c>
      <c r="P958" s="33">
        <v>15629.0</v>
      </c>
      <c r="Q958" s="34">
        <v>10.0</v>
      </c>
      <c r="R958" s="42">
        <v>3.1991810096615265</v>
      </c>
      <c r="S958" s="36">
        <v>2.3034103269562993</v>
      </c>
      <c r="T958" s="36"/>
      <c r="U958" s="36">
        <v>2.3034103269562993</v>
      </c>
      <c r="V958" s="36">
        <v>3.1991810096615265</v>
      </c>
      <c r="W958" s="37">
        <v>0.31991810096615264</v>
      </c>
      <c r="X958" s="42">
        <v>50000.0</v>
      </c>
      <c r="Y958" s="36">
        <v>36000.0</v>
      </c>
      <c r="Z958" s="36"/>
      <c r="AA958" s="36">
        <v>36000.0</v>
      </c>
      <c r="AB958" s="36">
        <v>50000.0</v>
      </c>
      <c r="AC958" s="37">
        <v>5000.0</v>
      </c>
      <c r="AD958" s="31"/>
      <c r="AE958" s="11"/>
      <c r="AF958" s="11"/>
    </row>
    <row r="959">
      <c r="A959" s="11" t="s">
        <v>967</v>
      </c>
      <c r="B959" s="77">
        <v>45972.15069444444</v>
      </c>
      <c r="C959" s="40">
        <v>46002.59444444445</v>
      </c>
      <c r="D959" s="27" t="s">
        <v>33</v>
      </c>
      <c r="E959" s="11" t="b">
        <v>0</v>
      </c>
      <c r="F959" s="11" t="s">
        <v>49</v>
      </c>
      <c r="G959" s="11" t="s">
        <v>176</v>
      </c>
      <c r="H959" s="11" t="s">
        <v>177</v>
      </c>
      <c r="I959" s="30">
        <v>5.0</v>
      </c>
      <c r="J959" s="31">
        <v>27.0</v>
      </c>
      <c r="K959" s="11">
        <v>1.0</v>
      </c>
      <c r="L959" s="32">
        <f>(2000)/P959</f>
        <v>2000</v>
      </c>
      <c r="M959" s="32">
        <f>(388)/P959</f>
        <v>388</v>
      </c>
      <c r="N959" s="32">
        <f>(X959*15%)/P959</f>
        <v>8100</v>
      </c>
      <c r="O959" s="32">
        <v>0.0</v>
      </c>
      <c r="P959" s="33">
        <v>1.0</v>
      </c>
      <c r="Q959" s="34">
        <v>27.0</v>
      </c>
      <c r="R959" s="42">
        <v>54000.0</v>
      </c>
      <c r="S959" s="36">
        <v>388.0</v>
      </c>
      <c r="T959" s="36">
        <v>8100.0</v>
      </c>
      <c r="U959" s="36"/>
      <c r="V959" s="36">
        <v>46288.0</v>
      </c>
      <c r="W959" s="37">
        <v>1714.3703703703704</v>
      </c>
      <c r="X959" s="42">
        <v>54000.0</v>
      </c>
      <c r="Y959" s="36">
        <v>388.0</v>
      </c>
      <c r="Z959" s="36">
        <v>8100.0</v>
      </c>
      <c r="AA959" s="36"/>
      <c r="AB959" s="36">
        <v>46288.0</v>
      </c>
      <c r="AC959" s="37">
        <v>1714.3703703703704</v>
      </c>
      <c r="AD959" s="31"/>
      <c r="AE959" s="11"/>
      <c r="AF959" s="11"/>
    </row>
    <row r="960">
      <c r="A960" s="11" t="s">
        <v>967</v>
      </c>
      <c r="B960" s="39">
        <v>45905.50763888889</v>
      </c>
      <c r="C960" s="40">
        <v>45907.38888888889</v>
      </c>
      <c r="D960" s="27" t="s">
        <v>33</v>
      </c>
      <c r="E960" s="11" t="b">
        <v>0</v>
      </c>
      <c r="F960" s="11" t="s">
        <v>49</v>
      </c>
      <c r="G960" s="11" t="s">
        <v>178</v>
      </c>
      <c r="H960" s="11" t="s">
        <v>180</v>
      </c>
      <c r="I960" s="30">
        <v>5.0</v>
      </c>
      <c r="J960" s="31">
        <v>2.0</v>
      </c>
      <c r="K960" s="11">
        <v>1.0</v>
      </c>
      <c r="L960" s="32">
        <f t="shared" ref="L960:L965" si="275">(3000)/P960</f>
        <v>0.1835311391</v>
      </c>
      <c r="M960" s="32">
        <f>(400)/P960</f>
        <v>0.02447081855</v>
      </c>
      <c r="N960" s="32">
        <f>(2000)/P960</f>
        <v>0.1223540927</v>
      </c>
      <c r="O960" s="32">
        <v>0.0</v>
      </c>
      <c r="P960" s="33">
        <v>16346.0</v>
      </c>
      <c r="Q960" s="34">
        <v>2.0</v>
      </c>
      <c r="R960" s="42">
        <v>0.3670622782332069</v>
      </c>
      <c r="S960" s="36">
        <v>0.02447081854888046</v>
      </c>
      <c r="T960" s="36">
        <v>0.1223540927444023</v>
      </c>
      <c r="U960" s="36"/>
      <c r="V960" s="36">
        <v>0.2691790040376851</v>
      </c>
      <c r="W960" s="37">
        <v>0.13458950201884254</v>
      </c>
      <c r="X960" s="42">
        <v>6000.0</v>
      </c>
      <c r="Y960" s="36">
        <v>400.0</v>
      </c>
      <c r="Z960" s="36">
        <v>2000.0</v>
      </c>
      <c r="AA960" s="36"/>
      <c r="AB960" s="36">
        <v>4400.0</v>
      </c>
      <c r="AC960" s="37">
        <v>2200.0</v>
      </c>
      <c r="AD960" s="31"/>
      <c r="AE960" s="11"/>
      <c r="AF960" s="11"/>
    </row>
    <row r="961">
      <c r="A961" s="11" t="s">
        <v>967</v>
      </c>
      <c r="B961" s="39">
        <v>45901.28611111111</v>
      </c>
      <c r="C961" s="40">
        <v>45903.42013888889</v>
      </c>
      <c r="D961" s="27" t="s">
        <v>33</v>
      </c>
      <c r="E961" s="11" t="b">
        <v>0</v>
      </c>
      <c r="F961" s="11" t="s">
        <v>49</v>
      </c>
      <c r="G961" s="11" t="s">
        <v>178</v>
      </c>
      <c r="H961" s="11" t="s">
        <v>181</v>
      </c>
      <c r="I961" s="30">
        <v>5.0</v>
      </c>
      <c r="J961" s="31">
        <v>19.0</v>
      </c>
      <c r="K961" s="11">
        <v>1.0</v>
      </c>
      <c r="L961" s="32">
        <f t="shared" si="275"/>
        <v>0.1828710759</v>
      </c>
      <c r="M961" s="32">
        <f>(200)/P961</f>
        <v>0.01219140506</v>
      </c>
      <c r="N961" s="32">
        <f>(X961*10%)/P961</f>
        <v>0.3474550442</v>
      </c>
      <c r="O961" s="32">
        <v>0.0</v>
      </c>
      <c r="P961" s="33">
        <v>16405.0</v>
      </c>
      <c r="Q961" s="34">
        <v>19.0</v>
      </c>
      <c r="R961" s="42">
        <v>3.474550441938433</v>
      </c>
      <c r="S961" s="36">
        <v>0.0121914050594331</v>
      </c>
      <c r="T961" s="36">
        <v>0.3474550441938433</v>
      </c>
      <c r="U961" s="36"/>
      <c r="V961" s="36">
        <v>3.139286802804023</v>
      </c>
      <c r="W961" s="37">
        <v>0.16522562120021175</v>
      </c>
      <c r="X961" s="42">
        <v>57000.0</v>
      </c>
      <c r="Y961" s="36">
        <v>200.0</v>
      </c>
      <c r="Z961" s="36">
        <v>5700.0</v>
      </c>
      <c r="AA961" s="36"/>
      <c r="AB961" s="36">
        <v>51500.0</v>
      </c>
      <c r="AC961" s="37">
        <v>2710.5263157894738</v>
      </c>
      <c r="AD961" s="31"/>
      <c r="AE961" s="11"/>
      <c r="AF961" s="11"/>
    </row>
    <row r="962">
      <c r="A962" s="11" t="s">
        <v>967</v>
      </c>
      <c r="B962" s="39">
        <v>45802.001388888886</v>
      </c>
      <c r="C962" s="40">
        <v>45805.48333333333</v>
      </c>
      <c r="D962" s="27" t="s">
        <v>33</v>
      </c>
      <c r="E962" s="11" t="b">
        <v>0</v>
      </c>
      <c r="F962" s="11" t="s">
        <v>49</v>
      </c>
      <c r="G962" s="11" t="s">
        <v>178</v>
      </c>
      <c r="H962" s="11" t="s">
        <v>182</v>
      </c>
      <c r="I962" s="30">
        <v>5.0</v>
      </c>
      <c r="J962" s="31">
        <v>18.0</v>
      </c>
      <c r="K962" s="11">
        <v>1.0</v>
      </c>
      <c r="L962" s="32">
        <f t="shared" si="275"/>
        <v>0.1845926655</v>
      </c>
      <c r="M962" s="32">
        <f>(400)/P962</f>
        <v>0.0246123554</v>
      </c>
      <c r="N962" s="32">
        <f t="shared" ref="N962:N965" si="276">(X962*12%)/P962</f>
        <v>0.3987201575</v>
      </c>
      <c r="O962" s="32">
        <v>0.0</v>
      </c>
      <c r="P962" s="33">
        <v>16252.0</v>
      </c>
      <c r="Q962" s="34">
        <v>18.0</v>
      </c>
      <c r="R962" s="42">
        <v>3.3226679793256215</v>
      </c>
      <c r="S962" s="36">
        <v>0.024612355402412012</v>
      </c>
      <c r="T962" s="36">
        <v>0.3987201575190746</v>
      </c>
      <c r="U962" s="36"/>
      <c r="V962" s="36">
        <v>2.9485601772089587</v>
      </c>
      <c r="W962" s="37">
        <v>0.16380889873383103</v>
      </c>
      <c r="X962" s="42">
        <v>54000.0</v>
      </c>
      <c r="Y962" s="36">
        <v>400.0</v>
      </c>
      <c r="Z962" s="36">
        <v>6480.0</v>
      </c>
      <c r="AA962" s="36"/>
      <c r="AB962" s="36">
        <v>47920.0</v>
      </c>
      <c r="AC962" s="37">
        <v>2662.222222222222</v>
      </c>
      <c r="AD962" s="31"/>
      <c r="AE962" s="11"/>
      <c r="AF962" s="11"/>
    </row>
    <row r="963">
      <c r="A963" s="11" t="s">
        <v>967</v>
      </c>
      <c r="B963" s="39">
        <v>45682.027094907404</v>
      </c>
      <c r="C963" s="40">
        <v>45684.691666666666</v>
      </c>
      <c r="D963" s="27" t="s">
        <v>33</v>
      </c>
      <c r="E963" s="11" t="b">
        <v>0</v>
      </c>
      <c r="F963" s="11" t="s">
        <v>49</v>
      </c>
      <c r="G963" s="11" t="s">
        <v>178</v>
      </c>
      <c r="H963" s="11" t="s">
        <v>183</v>
      </c>
      <c r="I963" s="30">
        <v>5.0</v>
      </c>
      <c r="J963" s="31">
        <v>40.0</v>
      </c>
      <c r="K963" s="11">
        <v>1.0</v>
      </c>
      <c r="L963" s="32">
        <f t="shared" si="275"/>
        <v>0.1855058125</v>
      </c>
      <c r="M963" s="32">
        <f>(42)/P963</f>
        <v>0.002597081375</v>
      </c>
      <c r="N963" s="32">
        <f t="shared" si="276"/>
        <v>0.8904279001</v>
      </c>
      <c r="O963" s="32">
        <v>0.0</v>
      </c>
      <c r="P963" s="33">
        <v>16172.0</v>
      </c>
      <c r="Q963" s="34">
        <v>40.0</v>
      </c>
      <c r="R963" s="42">
        <v>7.4202325006183525</v>
      </c>
      <c r="S963" s="36">
        <v>0.0025970813752164233</v>
      </c>
      <c r="T963" s="36">
        <v>0.8904279000742024</v>
      </c>
      <c r="U963" s="36"/>
      <c r="V963" s="36">
        <v>6.532401681919366</v>
      </c>
      <c r="W963" s="37">
        <v>0.16331004204798416</v>
      </c>
      <c r="X963" s="42">
        <v>120000.0</v>
      </c>
      <c r="Y963" s="36">
        <v>42.0</v>
      </c>
      <c r="Z963" s="36">
        <v>14400.0</v>
      </c>
      <c r="AA963" s="36"/>
      <c r="AB963" s="36">
        <v>105642.0</v>
      </c>
      <c r="AC963" s="37">
        <v>2641.05</v>
      </c>
      <c r="AD963" s="31"/>
      <c r="AE963" s="11"/>
      <c r="AF963" s="11"/>
    </row>
    <row r="964">
      <c r="A964" s="11" t="s">
        <v>967</v>
      </c>
      <c r="B964" s="39">
        <v>45621.73611111111</v>
      </c>
      <c r="C964" s="40">
        <v>45625.416666666664</v>
      </c>
      <c r="D964" s="27" t="s">
        <v>37</v>
      </c>
      <c r="E964" s="11" t="b">
        <v>0</v>
      </c>
      <c r="F964" s="11" t="s">
        <v>49</v>
      </c>
      <c r="G964" s="11" t="s">
        <v>178</v>
      </c>
      <c r="H964" s="11" t="s">
        <v>184</v>
      </c>
      <c r="I964" s="30">
        <v>5.0</v>
      </c>
      <c r="J964" s="31">
        <v>52.0</v>
      </c>
      <c r="K964" s="11">
        <v>1.0</v>
      </c>
      <c r="L964" s="32">
        <f t="shared" si="275"/>
        <v>0.1886673794</v>
      </c>
      <c r="M964" s="32">
        <f>(962/2)/P964</f>
        <v>0.03024966983</v>
      </c>
      <c r="N964" s="32">
        <f t="shared" si="276"/>
        <v>1.177284448</v>
      </c>
      <c r="O964" s="32">
        <v>0.0</v>
      </c>
      <c r="P964" s="33">
        <v>15901.0</v>
      </c>
      <c r="Q964" s="34">
        <v>52.0</v>
      </c>
      <c r="R964" s="42">
        <v>9.8107037293252</v>
      </c>
      <c r="S964" s="36">
        <v>0.030249669832086032</v>
      </c>
      <c r="T964" s="36">
        <v>1.177284447519024</v>
      </c>
      <c r="U964" s="36"/>
      <c r="V964" s="36">
        <v>8.663668951638261</v>
      </c>
      <c r="W964" s="37">
        <v>0.1666090183007358</v>
      </c>
      <c r="X964" s="42">
        <v>156000.0</v>
      </c>
      <c r="Y964" s="36">
        <v>481.0</v>
      </c>
      <c r="Z964" s="36">
        <v>18720.0</v>
      </c>
      <c r="AA964" s="36"/>
      <c r="AB964" s="36">
        <v>137761.0</v>
      </c>
      <c r="AC964" s="37">
        <v>2649.25</v>
      </c>
      <c r="AD964" s="31"/>
      <c r="AE964" s="11"/>
      <c r="AF964" s="11"/>
    </row>
    <row r="965">
      <c r="A965" s="11" t="s">
        <v>967</v>
      </c>
      <c r="B965" s="39">
        <v>45621.01597222222</v>
      </c>
      <c r="C965" s="40">
        <v>45624.48472222222</v>
      </c>
      <c r="D965" s="27" t="s">
        <v>37</v>
      </c>
      <c r="E965" s="11" t="b">
        <v>0</v>
      </c>
      <c r="F965" s="11" t="s">
        <v>49</v>
      </c>
      <c r="G965" s="11" t="s">
        <v>178</v>
      </c>
      <c r="H965" s="11" t="s">
        <v>185</v>
      </c>
      <c r="I965" s="30">
        <v>5.0</v>
      </c>
      <c r="J965" s="31">
        <v>150.0</v>
      </c>
      <c r="K965" s="11">
        <v>1.0</v>
      </c>
      <c r="L965" s="32">
        <f t="shared" si="275"/>
        <v>0.1886673794</v>
      </c>
      <c r="M965" s="32">
        <f>(827/2)/P965</f>
        <v>0.0260046538</v>
      </c>
      <c r="N965" s="32">
        <f t="shared" si="276"/>
        <v>3.396012829</v>
      </c>
      <c r="O965" s="32">
        <v>0.0</v>
      </c>
      <c r="P965" s="33">
        <v>15901.0</v>
      </c>
      <c r="Q965" s="34">
        <v>150.0</v>
      </c>
      <c r="R965" s="42">
        <v>28.300106911515</v>
      </c>
      <c r="S965" s="36">
        <v>0.02600465379535878</v>
      </c>
      <c r="T965" s="36">
        <v>3.3960128293818004</v>
      </c>
      <c r="U965" s="36"/>
      <c r="V965" s="36">
        <v>24.93009873592856</v>
      </c>
      <c r="W965" s="37">
        <v>0.16620065823952374</v>
      </c>
      <c r="X965" s="42">
        <v>450000.00000000006</v>
      </c>
      <c r="Y965" s="36">
        <v>413.5</v>
      </c>
      <c r="Z965" s="36">
        <v>54000.00000000001</v>
      </c>
      <c r="AA965" s="36"/>
      <c r="AB965" s="36">
        <v>396413.50000000006</v>
      </c>
      <c r="AC965" s="37">
        <v>2642.756666666667</v>
      </c>
      <c r="AD965" s="31"/>
      <c r="AE965" s="11"/>
      <c r="AF965" s="11"/>
    </row>
    <row r="966">
      <c r="A966" s="11" t="s">
        <v>967</v>
      </c>
      <c r="B966" s="39">
        <v>45619.620833333334</v>
      </c>
      <c r="C966" s="40">
        <v>45621.660416666666</v>
      </c>
      <c r="D966" s="27" t="s">
        <v>37</v>
      </c>
      <c r="E966" s="11" t="b">
        <v>0</v>
      </c>
      <c r="F966" s="11" t="s">
        <v>49</v>
      </c>
      <c r="G966" s="11" t="s">
        <v>246</v>
      </c>
      <c r="H966" s="11" t="s">
        <v>968</v>
      </c>
      <c r="I966" s="30">
        <v>5.0</v>
      </c>
      <c r="J966" s="31">
        <v>1.0</v>
      </c>
      <c r="K966" s="11">
        <v>1.0</v>
      </c>
      <c r="L966" s="32">
        <f>(4500)/P966</f>
        <v>0.2823086575</v>
      </c>
      <c r="M966" s="32">
        <f>(1000)/P966</f>
        <v>0.06273525721</v>
      </c>
      <c r="N966" s="32">
        <v>0.0</v>
      </c>
      <c r="O966" s="32">
        <v>0.0</v>
      </c>
      <c r="P966" s="33">
        <v>15940.0</v>
      </c>
      <c r="Q966" s="34">
        <v>1.0</v>
      </c>
      <c r="R966" s="42">
        <v>0.2823086574654956</v>
      </c>
      <c r="S966" s="36">
        <v>0.06273525721455459</v>
      </c>
      <c r="T966" s="36"/>
      <c r="U966" s="36"/>
      <c r="V966" s="36">
        <v>0.3450439146800502</v>
      </c>
      <c r="W966" s="37">
        <v>0.3450439146800502</v>
      </c>
      <c r="X966" s="42">
        <v>4500.0</v>
      </c>
      <c r="Y966" s="36">
        <v>1000.0000000000001</v>
      </c>
      <c r="Z966" s="36"/>
      <c r="AA966" s="36"/>
      <c r="AB966" s="36">
        <v>5500.0</v>
      </c>
      <c r="AC966" s="37">
        <v>5500.0</v>
      </c>
      <c r="AD966" s="31"/>
      <c r="AE966" s="11"/>
      <c r="AF966" s="11"/>
    </row>
    <row r="967">
      <c r="A967" s="11" t="s">
        <v>967</v>
      </c>
      <c r="B967" s="39">
        <v>45081.0</v>
      </c>
      <c r="C967" s="40">
        <v>45132.0</v>
      </c>
      <c r="D967" s="27" t="s">
        <v>33</v>
      </c>
      <c r="E967" s="11" t="b">
        <v>1</v>
      </c>
      <c r="F967" s="11" t="s">
        <v>186</v>
      </c>
      <c r="G967" s="11" t="s">
        <v>187</v>
      </c>
      <c r="H967" s="46" t="s">
        <v>188</v>
      </c>
      <c r="I967" s="30">
        <v>5.0</v>
      </c>
      <c r="J967" s="31">
        <v>1000.0</v>
      </c>
      <c r="K967" s="11">
        <v>1.0</v>
      </c>
      <c r="L967" s="32">
        <f>3000/P967</f>
        <v>0.2013422819</v>
      </c>
      <c r="M967" s="32">
        <f>((2000000)/2 + (56)/3)/P967</f>
        <v>67.11534676</v>
      </c>
      <c r="N967" s="32">
        <v>0.0</v>
      </c>
      <c r="O967" s="32">
        <v>0.0</v>
      </c>
      <c r="P967" s="33">
        <v>14900.0</v>
      </c>
      <c r="Q967" s="34">
        <v>1000.0</v>
      </c>
      <c r="R967" s="42">
        <v>201.34228187919462</v>
      </c>
      <c r="S967" s="36">
        <v>67.11534675615212</v>
      </c>
      <c r="T967" s="36"/>
      <c r="U967" s="36"/>
      <c r="V967" s="36">
        <v>268.45762863534674</v>
      </c>
      <c r="W967" s="37">
        <v>0.2684576286353467</v>
      </c>
      <c r="X967" s="42">
        <v>3000000.0</v>
      </c>
      <c r="Y967" s="36">
        <v>1000018.6666666666</v>
      </c>
      <c r="Z967" s="36"/>
      <c r="AA967" s="36"/>
      <c r="AB967" s="36">
        <v>4000018.6666666665</v>
      </c>
      <c r="AC967" s="37">
        <v>4000.0186666666664</v>
      </c>
      <c r="AD967" s="31"/>
      <c r="AE967" s="11"/>
      <c r="AF967" s="11" t="s">
        <v>189</v>
      </c>
    </row>
    <row r="968">
      <c r="A968" s="11" t="s">
        <v>969</v>
      </c>
      <c r="B968" s="39">
        <v>43607.63667895833</v>
      </c>
      <c r="C968" s="40">
        <v>43607.63769199074</v>
      </c>
      <c r="D968" s="27" t="s">
        <v>66</v>
      </c>
      <c r="E968" s="11" t="b">
        <v>0</v>
      </c>
      <c r="F968" s="29" t="s">
        <v>67</v>
      </c>
      <c r="G968" s="29" t="s">
        <v>67</v>
      </c>
      <c r="H968" s="29" t="s">
        <v>67</v>
      </c>
      <c r="I968" s="33"/>
      <c r="J968" s="31">
        <v>2.0</v>
      </c>
      <c r="K968" s="11">
        <v>1.0</v>
      </c>
      <c r="L968" s="32">
        <f>6500/P968</f>
        <v>0.65</v>
      </c>
      <c r="M968" s="32"/>
      <c r="N968" s="32"/>
      <c r="O968" s="32"/>
      <c r="P968" s="33">
        <v>10000.0</v>
      </c>
      <c r="Q968" s="62">
        <v>2.0</v>
      </c>
      <c r="R968" s="42">
        <v>1.3</v>
      </c>
      <c r="S968" s="36"/>
      <c r="T968" s="36"/>
      <c r="U968" s="36"/>
      <c r="V968" s="36">
        <v>1.3</v>
      </c>
      <c r="W968" s="37">
        <v>0.65</v>
      </c>
      <c r="X968" s="42">
        <v>13000.0</v>
      </c>
      <c r="Y968" s="36"/>
      <c r="Z968" s="36"/>
      <c r="AA968" s="36"/>
      <c r="AB968" s="36">
        <v>13000.0</v>
      </c>
      <c r="AC968" s="37">
        <v>6500.0</v>
      </c>
      <c r="AD968" s="63"/>
      <c r="AE968" s="64"/>
      <c r="AF968" s="64"/>
    </row>
    <row r="969">
      <c r="A969" s="11" t="s">
        <v>970</v>
      </c>
      <c r="B969" s="39">
        <v>45272.86045626157</v>
      </c>
      <c r="C969" s="40">
        <v>45272.861294456015</v>
      </c>
      <c r="D969" s="27" t="s">
        <v>33</v>
      </c>
      <c r="E969" s="11" t="b">
        <v>0</v>
      </c>
      <c r="F969" s="11" t="s">
        <v>38</v>
      </c>
      <c r="G969" s="11" t="s">
        <v>154</v>
      </c>
      <c r="H969" s="11" t="s">
        <v>154</v>
      </c>
      <c r="I969" s="30">
        <v>5.0</v>
      </c>
      <c r="J969" s="31">
        <v>6.0</v>
      </c>
      <c r="K969" s="11">
        <v>1.0</v>
      </c>
      <c r="L969" s="32">
        <f t="shared" ref="L969:L971" si="277">12000/P969</f>
        <v>0.7691814627</v>
      </c>
      <c r="M969" s="32">
        <f>(1000+23000+600)/P969</f>
        <v>1.576821999</v>
      </c>
      <c r="N969" s="32">
        <v>0.0</v>
      </c>
      <c r="O969" s="32">
        <f>(23000)/P969</f>
        <v>1.47426447</v>
      </c>
      <c r="P969" s="58">
        <v>15601.0</v>
      </c>
      <c r="Q969" s="34">
        <v>6.0</v>
      </c>
      <c r="R969" s="42">
        <v>4.61508877636049</v>
      </c>
      <c r="S969" s="36">
        <v>1.576821998589834</v>
      </c>
      <c r="T969" s="36"/>
      <c r="U969" s="36">
        <v>1.4742644702262675</v>
      </c>
      <c r="V969" s="36">
        <v>4.717646304724056</v>
      </c>
      <c r="W969" s="37">
        <v>0.786274384120676</v>
      </c>
      <c r="X969" s="42">
        <v>72000.0</v>
      </c>
      <c r="Y969" s="36">
        <v>24600.0</v>
      </c>
      <c r="Z969" s="36"/>
      <c r="AA969" s="36">
        <v>23000.0</v>
      </c>
      <c r="AB969" s="36">
        <v>73600.0</v>
      </c>
      <c r="AC969" s="37">
        <v>12266.666666666666</v>
      </c>
      <c r="AD969" s="31"/>
      <c r="AE969" s="11"/>
      <c r="AF969" s="11"/>
    </row>
    <row r="970">
      <c r="A970" s="11" t="s">
        <v>970</v>
      </c>
      <c r="B970" s="39">
        <v>45270.785936458335</v>
      </c>
      <c r="C970" s="40">
        <v>45240.87116898148</v>
      </c>
      <c r="D970" s="27" t="s">
        <v>33</v>
      </c>
      <c r="E970" s="11" t="b">
        <v>0</v>
      </c>
      <c r="F970" s="11" t="s">
        <v>38</v>
      </c>
      <c r="G970" s="11" t="s">
        <v>154</v>
      </c>
      <c r="H970" s="11" t="s">
        <v>154</v>
      </c>
      <c r="I970" s="30">
        <v>5.0</v>
      </c>
      <c r="J970" s="31">
        <v>4.0</v>
      </c>
      <c r="K970" s="11">
        <v>1.0</v>
      </c>
      <c r="L970" s="32">
        <f t="shared" si="277"/>
        <v>0.7705644385</v>
      </c>
      <c r="M970" s="32">
        <f t="shared" ref="M970:M971" si="278">(11500 - 11500 + 400 + 1000)/P970</f>
        <v>0.08989918449</v>
      </c>
      <c r="N970" s="32">
        <v>0.0</v>
      </c>
      <c r="O970" s="32">
        <v>0.0</v>
      </c>
      <c r="P970" s="58">
        <v>15573.0</v>
      </c>
      <c r="Q970" s="34">
        <v>4.0</v>
      </c>
      <c r="R970" s="42">
        <v>3.082257753804662</v>
      </c>
      <c r="S970" s="36">
        <v>0.0898991844859693</v>
      </c>
      <c r="T970" s="36"/>
      <c r="U970" s="36"/>
      <c r="V970" s="36">
        <v>3.172156938290631</v>
      </c>
      <c r="W970" s="37">
        <v>0.7930392345726578</v>
      </c>
      <c r="X970" s="42">
        <v>48000.0</v>
      </c>
      <c r="Y970" s="36">
        <v>1400.0</v>
      </c>
      <c r="Z970" s="36"/>
      <c r="AA970" s="36"/>
      <c r="AB970" s="36">
        <v>49400.0</v>
      </c>
      <c r="AC970" s="37">
        <v>12350.0</v>
      </c>
      <c r="AD970" s="31"/>
      <c r="AE970" s="11"/>
      <c r="AF970" s="11"/>
    </row>
    <row r="971">
      <c r="A971" s="11" t="s">
        <v>970</v>
      </c>
      <c r="B971" s="39">
        <v>45234.956218321764</v>
      </c>
      <c r="C971" s="40">
        <v>45240.87116898148</v>
      </c>
      <c r="D971" s="27" t="s">
        <v>33</v>
      </c>
      <c r="E971" s="11" t="b">
        <v>0</v>
      </c>
      <c r="F971" s="11" t="s">
        <v>157</v>
      </c>
      <c r="G971" s="11"/>
      <c r="H971" s="11"/>
      <c r="I971" s="30">
        <v>5.0</v>
      </c>
      <c r="J971" s="31">
        <v>4.0</v>
      </c>
      <c r="K971" s="11">
        <v>1.0</v>
      </c>
      <c r="L971" s="32">
        <f t="shared" si="277"/>
        <v>0.7697735583</v>
      </c>
      <c r="M971" s="32">
        <f t="shared" si="278"/>
        <v>0.08980691513</v>
      </c>
      <c r="N971" s="32">
        <v>0.0</v>
      </c>
      <c r="O971" s="32">
        <v>0.0</v>
      </c>
      <c r="P971" s="58">
        <v>15589.0</v>
      </c>
      <c r="Q971" s="34">
        <v>4.0</v>
      </c>
      <c r="R971" s="42">
        <v>3.0790942331130924</v>
      </c>
      <c r="S971" s="36">
        <v>0.0898069151324652</v>
      </c>
      <c r="T971" s="36"/>
      <c r="U971" s="36"/>
      <c r="V971" s="36">
        <v>3.1689011482455576</v>
      </c>
      <c r="W971" s="37">
        <v>0.7922252870613894</v>
      </c>
      <c r="X971" s="42">
        <v>48000.0</v>
      </c>
      <c r="Y971" s="36">
        <v>1400.0</v>
      </c>
      <c r="Z971" s="36"/>
      <c r="AA971" s="36"/>
      <c r="AB971" s="36">
        <v>49400.0</v>
      </c>
      <c r="AC971" s="37">
        <v>12350.0</v>
      </c>
      <c r="AD971" s="31"/>
      <c r="AE971" s="11"/>
      <c r="AF971" s="11"/>
    </row>
    <row r="972">
      <c r="A972" s="11" t="s">
        <v>970</v>
      </c>
      <c r="B972" s="39">
        <v>45234.956211296296</v>
      </c>
      <c r="C972" s="40">
        <v>45240.87116898148</v>
      </c>
      <c r="D972" s="27" t="s">
        <v>33</v>
      </c>
      <c r="E972" s="11" t="b">
        <v>0</v>
      </c>
      <c r="F972" s="11" t="s">
        <v>157</v>
      </c>
      <c r="G972" s="11"/>
      <c r="H972" s="11"/>
      <c r="I972" s="30">
        <v>5.0</v>
      </c>
      <c r="J972" s="31">
        <v>7.0</v>
      </c>
      <c r="K972" s="11">
        <v>1.0</v>
      </c>
      <c r="L972" s="32">
        <f>13000/P972</f>
        <v>0.8339213548</v>
      </c>
      <c r="M972" s="32">
        <f>(23000 - 20000 + 700 + 1000)/P972</f>
        <v>0.3014946437</v>
      </c>
      <c r="N972" s="32">
        <v>0.0</v>
      </c>
      <c r="O972" s="32">
        <v>0.0</v>
      </c>
      <c r="P972" s="58">
        <v>15589.0</v>
      </c>
      <c r="Q972" s="34">
        <v>7.0</v>
      </c>
      <c r="R972" s="42">
        <v>5.8374494836102375</v>
      </c>
      <c r="S972" s="36">
        <v>0.3014946436589903</v>
      </c>
      <c r="T972" s="36"/>
      <c r="U972" s="36"/>
      <c r="V972" s="36">
        <v>6.138944127269228</v>
      </c>
      <c r="W972" s="37">
        <v>0.8769920181813182</v>
      </c>
      <c r="X972" s="42">
        <v>91000.0</v>
      </c>
      <c r="Y972" s="36">
        <v>4700.0</v>
      </c>
      <c r="Z972" s="36"/>
      <c r="AA972" s="36"/>
      <c r="AB972" s="36">
        <v>95699.99999999999</v>
      </c>
      <c r="AC972" s="37">
        <v>13671.428571428569</v>
      </c>
      <c r="AD972" s="31"/>
      <c r="AE972" s="11"/>
      <c r="AF972" s="11"/>
    </row>
    <row r="973">
      <c r="A973" s="11" t="s">
        <v>970</v>
      </c>
      <c r="B973" s="39">
        <v>45234.95619376157</v>
      </c>
      <c r="C973" s="40">
        <v>45240.87116898148</v>
      </c>
      <c r="D973" s="27" t="s">
        <v>33</v>
      </c>
      <c r="E973" s="11" t="b">
        <v>0</v>
      </c>
      <c r="F973" s="11" t="s">
        <v>157</v>
      </c>
      <c r="G973" s="11"/>
      <c r="H973" s="11"/>
      <c r="I973" s="30">
        <v>5.0</v>
      </c>
      <c r="J973" s="31">
        <v>4.0</v>
      </c>
      <c r="K973" s="11">
        <v>1.0</v>
      </c>
      <c r="L973" s="32">
        <f>12000/P973</f>
        <v>0.7697735583</v>
      </c>
      <c r="M973" s="32">
        <f>(11500 - 11500 + 400 + 1000)/P973</f>
        <v>0.08980691513</v>
      </c>
      <c r="N973" s="32">
        <v>0.0</v>
      </c>
      <c r="O973" s="32">
        <v>0.0</v>
      </c>
      <c r="P973" s="58">
        <v>15589.0</v>
      </c>
      <c r="Q973" s="34">
        <v>4.0</v>
      </c>
      <c r="R973" s="42">
        <v>3.0790942331130924</v>
      </c>
      <c r="S973" s="36">
        <v>0.0898069151324652</v>
      </c>
      <c r="T973" s="36"/>
      <c r="U973" s="36"/>
      <c r="V973" s="36">
        <v>3.1689011482455576</v>
      </c>
      <c r="W973" s="37">
        <v>0.7922252870613894</v>
      </c>
      <c r="X973" s="42">
        <v>48000.0</v>
      </c>
      <c r="Y973" s="36">
        <v>1400.0</v>
      </c>
      <c r="Z973" s="36"/>
      <c r="AA973" s="36"/>
      <c r="AB973" s="36">
        <v>49400.0</v>
      </c>
      <c r="AC973" s="37">
        <v>12350.0</v>
      </c>
      <c r="AD973" s="31"/>
      <c r="AE973" s="11"/>
      <c r="AF973" s="11"/>
    </row>
    <row r="974">
      <c r="A974" s="11" t="s">
        <v>970</v>
      </c>
      <c r="B974" s="39">
        <v>45128.044344525464</v>
      </c>
      <c r="C974" s="40">
        <v>45132.0</v>
      </c>
      <c r="D974" s="27" t="s">
        <v>33</v>
      </c>
      <c r="E974" s="11" t="b">
        <v>0</v>
      </c>
      <c r="F974" s="11" t="s">
        <v>38</v>
      </c>
      <c r="G974" s="61"/>
      <c r="H974" s="46" t="s">
        <v>47</v>
      </c>
      <c r="I974" s="30">
        <v>5.0</v>
      </c>
      <c r="J974" s="31">
        <v>1.0</v>
      </c>
      <c r="K974" s="11">
        <v>27.0</v>
      </c>
      <c r="L974" s="32">
        <f>27*12000/P974</f>
        <v>21.54255319</v>
      </c>
      <c r="M974" s="32">
        <f>(2000+2100+25000)/P974</f>
        <v>1.934840426</v>
      </c>
      <c r="N974" s="32">
        <v>0.0</v>
      </c>
      <c r="O974" s="32">
        <v>0.0</v>
      </c>
      <c r="P974" s="33">
        <v>15040.0</v>
      </c>
      <c r="Q974" s="34">
        <v>27.0</v>
      </c>
      <c r="R974" s="42">
        <v>21.54255319148936</v>
      </c>
      <c r="S974" s="36">
        <v>1.934840425531915</v>
      </c>
      <c r="T974" s="36"/>
      <c r="U974" s="36"/>
      <c r="V974" s="36">
        <v>23.477393617021278</v>
      </c>
      <c r="W974" s="37">
        <v>0.869533096926714</v>
      </c>
      <c r="X974" s="42">
        <v>324000.0</v>
      </c>
      <c r="Y974" s="36">
        <v>29100.0</v>
      </c>
      <c r="Z974" s="36"/>
      <c r="AA974" s="36"/>
      <c r="AB974" s="36">
        <v>353100.0</v>
      </c>
      <c r="AC974" s="37">
        <v>13077.777777777777</v>
      </c>
      <c r="AD974" s="31"/>
      <c r="AE974" s="11"/>
      <c r="AF974" s="11"/>
    </row>
    <row r="975">
      <c r="A975" s="11" t="s">
        <v>970</v>
      </c>
      <c r="B975" s="39">
        <v>45128.04320605324</v>
      </c>
      <c r="C975" s="40">
        <v>45132.0</v>
      </c>
      <c r="D975" s="27" t="s">
        <v>33</v>
      </c>
      <c r="E975" s="11" t="b">
        <v>0</v>
      </c>
      <c r="F975" s="11" t="s">
        <v>38</v>
      </c>
      <c r="G975" s="61"/>
      <c r="H975" s="46" t="s">
        <v>47</v>
      </c>
      <c r="I975" s="30">
        <v>5.0</v>
      </c>
      <c r="J975" s="31">
        <v>5.0</v>
      </c>
      <c r="K975" s="11">
        <v>4.0</v>
      </c>
      <c r="L975" s="32">
        <f t="shared" ref="L975:L976" si="279">(4*12000)/P975</f>
        <v>3.213927017</v>
      </c>
      <c r="M975" s="32">
        <f>5*(2000+400)/P975</f>
        <v>0.8034817543</v>
      </c>
      <c r="N975" s="32">
        <v>0.0</v>
      </c>
      <c r="O975" s="32">
        <v>0.0</v>
      </c>
      <c r="P975" s="33">
        <v>14935.0</v>
      </c>
      <c r="Q975" s="34">
        <v>20.0</v>
      </c>
      <c r="R975" s="42">
        <v>16.069635085369935</v>
      </c>
      <c r="S975" s="36">
        <v>0.8034817542684968</v>
      </c>
      <c r="T975" s="36"/>
      <c r="U975" s="36"/>
      <c r="V975" s="36">
        <v>16.87311683963843</v>
      </c>
      <c r="W975" s="37">
        <v>0.8436558419819216</v>
      </c>
      <c r="X975" s="42">
        <v>239999.99999999997</v>
      </c>
      <c r="Y975" s="36">
        <v>12000.0</v>
      </c>
      <c r="Z975" s="36"/>
      <c r="AA975" s="36"/>
      <c r="AB975" s="36">
        <v>251999.99999999997</v>
      </c>
      <c r="AC975" s="37">
        <v>12599.999999999998</v>
      </c>
      <c r="AD975" s="31"/>
      <c r="AE975" s="11"/>
      <c r="AF975" s="11"/>
    </row>
    <row r="976">
      <c r="A976" s="11" t="s">
        <v>970</v>
      </c>
      <c r="B976" s="39">
        <v>45095.0</v>
      </c>
      <c r="C976" s="40">
        <v>45099.0</v>
      </c>
      <c r="D976" s="27" t="s">
        <v>33</v>
      </c>
      <c r="E976" s="11" t="b">
        <v>0</v>
      </c>
      <c r="F976" s="11" t="s">
        <v>38</v>
      </c>
      <c r="G976" s="61"/>
      <c r="H976" s="46" t="s">
        <v>47</v>
      </c>
      <c r="I976" s="30">
        <v>5.0</v>
      </c>
      <c r="J976" s="31">
        <v>3.0</v>
      </c>
      <c r="K976" s="11">
        <v>4.0</v>
      </c>
      <c r="L976" s="32">
        <f t="shared" si="279"/>
        <v>3.226456947</v>
      </c>
      <c r="M976" s="32">
        <f>3*(2000+400)/P976</f>
        <v>0.483968542</v>
      </c>
      <c r="N976" s="32">
        <v>0.0</v>
      </c>
      <c r="O976" s="32">
        <v>0.0</v>
      </c>
      <c r="P976" s="33">
        <v>14877.0</v>
      </c>
      <c r="Q976" s="34">
        <v>12.0</v>
      </c>
      <c r="R976" s="42">
        <v>9.679370840895341</v>
      </c>
      <c r="S976" s="36">
        <v>0.4839685420447671</v>
      </c>
      <c r="T976" s="36"/>
      <c r="U976" s="36"/>
      <c r="V976" s="36">
        <v>10.163339382940109</v>
      </c>
      <c r="W976" s="37">
        <v>0.8469449485783423</v>
      </c>
      <c r="X976" s="42">
        <v>144000.0</v>
      </c>
      <c r="Y976" s="36">
        <v>7200.0</v>
      </c>
      <c r="Z976" s="36"/>
      <c r="AA976" s="36"/>
      <c r="AB976" s="36">
        <v>151200.0</v>
      </c>
      <c r="AC976" s="37">
        <v>12600.0</v>
      </c>
      <c r="AD976" s="31"/>
      <c r="AE976" s="11"/>
      <c r="AF976" s="11"/>
    </row>
    <row r="977">
      <c r="A977" s="11" t="s">
        <v>970</v>
      </c>
      <c r="B977" s="39">
        <v>45062.00277777778</v>
      </c>
      <c r="C977" s="40">
        <v>45064.0</v>
      </c>
      <c r="D977" s="27" t="s">
        <v>33</v>
      </c>
      <c r="E977" s="11" t="b">
        <v>0</v>
      </c>
      <c r="F977" s="11" t="s">
        <v>49</v>
      </c>
      <c r="G977" s="61"/>
      <c r="H977" s="46" t="s">
        <v>971</v>
      </c>
      <c r="I977" s="30">
        <v>5.0</v>
      </c>
      <c r="J977" s="31">
        <v>1.0</v>
      </c>
      <c r="K977" s="11">
        <v>1.0</v>
      </c>
      <c r="L977" s="32">
        <f t="shared" ref="L977:L979" si="280">(4999)/P977</f>
        <v>0.3378045072</v>
      </c>
      <c r="M977" s="32">
        <f t="shared" ref="M977:M979" si="281">((1000)/2)/P977</f>
        <v>0.03378720816</v>
      </c>
      <c r="N977" s="32">
        <v>0.0</v>
      </c>
      <c r="O977" s="32">
        <v>0.0</v>
      </c>
      <c r="P977" s="33">
        <v>14798.5</v>
      </c>
      <c r="Q977" s="34">
        <v>1.0</v>
      </c>
      <c r="R977" s="42">
        <v>0.3378045072135689</v>
      </c>
      <c r="S977" s="36">
        <v>0.03378720816298949</v>
      </c>
      <c r="T977" s="36"/>
      <c r="U977" s="36"/>
      <c r="V977" s="36">
        <v>0.3715917153765584</v>
      </c>
      <c r="W977" s="37">
        <v>0.3715917153765584</v>
      </c>
      <c r="X977" s="42">
        <v>4999.0</v>
      </c>
      <c r="Y977" s="36">
        <v>499.99999999999994</v>
      </c>
      <c r="Z977" s="36"/>
      <c r="AA977" s="36"/>
      <c r="AB977" s="36">
        <v>5498.999999999999</v>
      </c>
      <c r="AC977" s="37">
        <v>5498.999999999999</v>
      </c>
      <c r="AD977" s="31"/>
      <c r="AE977" s="11"/>
      <c r="AF977" s="11"/>
    </row>
    <row r="978">
      <c r="A978" s="11" t="s">
        <v>970</v>
      </c>
      <c r="B978" s="39">
        <v>45062.001388888886</v>
      </c>
      <c r="C978" s="40">
        <v>45064.0</v>
      </c>
      <c r="D978" s="27" t="s">
        <v>33</v>
      </c>
      <c r="E978" s="11" t="b">
        <v>0</v>
      </c>
      <c r="F978" s="11" t="s">
        <v>49</v>
      </c>
      <c r="G978" s="61"/>
      <c r="H978" s="46" t="s">
        <v>972</v>
      </c>
      <c r="I978" s="30">
        <v>5.0</v>
      </c>
      <c r="J978" s="31">
        <v>2.0</v>
      </c>
      <c r="K978" s="11">
        <v>1.0</v>
      </c>
      <c r="L978" s="32">
        <f t="shared" si="280"/>
        <v>0.3378045072</v>
      </c>
      <c r="M978" s="32">
        <f t="shared" si="281"/>
        <v>0.03378720816</v>
      </c>
      <c r="N978" s="32">
        <v>0.0</v>
      </c>
      <c r="O978" s="32">
        <v>0.0</v>
      </c>
      <c r="P978" s="33">
        <v>14798.5</v>
      </c>
      <c r="Q978" s="34">
        <v>2.0</v>
      </c>
      <c r="R978" s="42">
        <v>0.6756090144271378</v>
      </c>
      <c r="S978" s="36">
        <v>0.03378720816298949</v>
      </c>
      <c r="T978" s="36"/>
      <c r="U978" s="36"/>
      <c r="V978" s="36">
        <v>0.7093962225901274</v>
      </c>
      <c r="W978" s="37">
        <v>0.3546981112950637</v>
      </c>
      <c r="X978" s="42">
        <v>9998.0</v>
      </c>
      <c r="Y978" s="36">
        <v>499.99999999999994</v>
      </c>
      <c r="Z978" s="36"/>
      <c r="AA978" s="36"/>
      <c r="AB978" s="36">
        <v>10498.0</v>
      </c>
      <c r="AC978" s="37">
        <v>5249.0</v>
      </c>
      <c r="AD978" s="31"/>
      <c r="AE978" s="11"/>
      <c r="AF978" s="11"/>
    </row>
    <row r="979">
      <c r="A979" s="11" t="s">
        <v>970</v>
      </c>
      <c r="B979" s="39">
        <v>45062.0</v>
      </c>
      <c r="C979" s="40">
        <v>45064.0</v>
      </c>
      <c r="D979" s="27" t="s">
        <v>33</v>
      </c>
      <c r="E979" s="11" t="b">
        <v>0</v>
      </c>
      <c r="F979" s="11" t="s">
        <v>49</v>
      </c>
      <c r="G979" s="61"/>
      <c r="H979" s="46" t="s">
        <v>973</v>
      </c>
      <c r="I979" s="30">
        <v>5.0</v>
      </c>
      <c r="J979" s="31">
        <v>1.0</v>
      </c>
      <c r="K979" s="11">
        <v>1.0</v>
      </c>
      <c r="L979" s="32">
        <f t="shared" si="280"/>
        <v>0.3378045072</v>
      </c>
      <c r="M979" s="32">
        <f t="shared" si="281"/>
        <v>0.03378720816</v>
      </c>
      <c r="N979" s="32">
        <v>0.0</v>
      </c>
      <c r="O979" s="32">
        <v>0.0</v>
      </c>
      <c r="P979" s="33">
        <v>14798.5</v>
      </c>
      <c r="Q979" s="34">
        <v>1.0</v>
      </c>
      <c r="R979" s="42">
        <v>0.3378045072135689</v>
      </c>
      <c r="S979" s="36">
        <v>0.03378720816298949</v>
      </c>
      <c r="T979" s="36"/>
      <c r="U979" s="36"/>
      <c r="V979" s="36">
        <v>0.3715917153765584</v>
      </c>
      <c r="W979" s="37">
        <v>0.3715917153765584</v>
      </c>
      <c r="X979" s="42">
        <v>4999.0</v>
      </c>
      <c r="Y979" s="36">
        <v>499.99999999999994</v>
      </c>
      <c r="Z979" s="36"/>
      <c r="AA979" s="36"/>
      <c r="AB979" s="36">
        <v>5498.999999999999</v>
      </c>
      <c r="AC979" s="37">
        <v>5498.999999999999</v>
      </c>
      <c r="AD979" s="31"/>
      <c r="AE979" s="11"/>
      <c r="AF979" s="11"/>
    </row>
    <row r="980">
      <c r="A980" s="11" t="s">
        <v>970</v>
      </c>
      <c r="B980" s="39">
        <v>45021.0</v>
      </c>
      <c r="C980" s="40">
        <v>45023.0</v>
      </c>
      <c r="D980" s="27" t="s">
        <v>33</v>
      </c>
      <c r="E980" s="11" t="b">
        <v>0</v>
      </c>
      <c r="F980" s="11" t="s">
        <v>38</v>
      </c>
      <c r="G980" s="61"/>
      <c r="H980" s="46" t="s">
        <v>159</v>
      </c>
      <c r="I980" s="30">
        <v>5.0</v>
      </c>
      <c r="J980" s="31">
        <v>1.0</v>
      </c>
      <c r="K980" s="11">
        <v>5.0</v>
      </c>
      <c r="L980" s="32">
        <f>5*4900/P980</f>
        <v>1.664515252</v>
      </c>
      <c r="M980" s="32">
        <f t="shared" ref="M980:M981" si="282">(11500+1000)/P980</f>
        <v>0.8492424757</v>
      </c>
      <c r="N980" s="32">
        <f>7350/P980</f>
        <v>0.4993545757</v>
      </c>
      <c r="O980" s="32">
        <f>11500/P980</f>
        <v>0.7813030777</v>
      </c>
      <c r="P980" s="33">
        <v>14719.0</v>
      </c>
      <c r="Q980" s="34">
        <v>5.0</v>
      </c>
      <c r="R980" s="42">
        <v>1.6645152523948639</v>
      </c>
      <c r="S980" s="36">
        <v>0.8492424757116652</v>
      </c>
      <c r="T980" s="36">
        <v>0.49935457571845915</v>
      </c>
      <c r="U980" s="36">
        <v>0.781303077654732</v>
      </c>
      <c r="V980" s="36">
        <v>1.233100074733338</v>
      </c>
      <c r="W980" s="37">
        <v>0.2466200149466676</v>
      </c>
      <c r="X980" s="42">
        <v>24500.0</v>
      </c>
      <c r="Y980" s="36">
        <v>12500.0</v>
      </c>
      <c r="Z980" s="36">
        <v>7350.0</v>
      </c>
      <c r="AA980" s="36">
        <v>11500.0</v>
      </c>
      <c r="AB980" s="36">
        <v>18150.000000000004</v>
      </c>
      <c r="AC980" s="37">
        <v>3630.000000000001</v>
      </c>
      <c r="AD980" s="31"/>
      <c r="AE980" s="11"/>
      <c r="AF980" s="11"/>
    </row>
    <row r="981">
      <c r="A981" s="11" t="s">
        <v>970</v>
      </c>
      <c r="B981" s="39">
        <v>44988.47700342593</v>
      </c>
      <c r="C981" s="40">
        <v>44992.0</v>
      </c>
      <c r="D981" s="27" t="s">
        <v>33</v>
      </c>
      <c r="E981" s="11" t="b">
        <v>0</v>
      </c>
      <c r="F981" s="11" t="s">
        <v>38</v>
      </c>
      <c r="G981" s="61"/>
      <c r="H981" s="46" t="s">
        <v>159</v>
      </c>
      <c r="I981" s="30">
        <v>5.0</v>
      </c>
      <c r="J981" s="31">
        <v>1.0</v>
      </c>
      <c r="K981" s="11">
        <v>8.0</v>
      </c>
      <c r="L981" s="32">
        <f>40000/P981</f>
        <v>2.61079564</v>
      </c>
      <c r="M981" s="32">
        <f t="shared" si="282"/>
        <v>0.8158736375</v>
      </c>
      <c r="N981" s="32">
        <v>0.0</v>
      </c>
      <c r="O981" s="32">
        <f t="shared" ref="O981:O982" si="283">(11500)/P981</f>
        <v>0.7506037465</v>
      </c>
      <c r="P981" s="33">
        <v>15321.0</v>
      </c>
      <c r="Q981" s="34">
        <v>8.0</v>
      </c>
      <c r="R981" s="42">
        <v>2.6107956399712813</v>
      </c>
      <c r="S981" s="36">
        <v>0.8158736374910254</v>
      </c>
      <c r="T981" s="36"/>
      <c r="U981" s="36">
        <v>0.7506037464917433</v>
      </c>
      <c r="V981" s="36">
        <v>2.6760655309705634</v>
      </c>
      <c r="W981" s="37">
        <v>0.33450819137132043</v>
      </c>
      <c r="X981" s="42">
        <v>40000.0</v>
      </c>
      <c r="Y981" s="36">
        <v>12500.0</v>
      </c>
      <c r="Z981" s="36"/>
      <c r="AA981" s="36">
        <v>11500.0</v>
      </c>
      <c r="AB981" s="36">
        <v>41000.0</v>
      </c>
      <c r="AC981" s="37">
        <v>5125.0</v>
      </c>
      <c r="AD981" s="31"/>
      <c r="AE981" s="11"/>
      <c r="AF981" s="11"/>
    </row>
    <row r="982">
      <c r="A982" s="11" t="s">
        <v>970</v>
      </c>
      <c r="B982" s="39">
        <v>44988.476979722225</v>
      </c>
      <c r="C982" s="40">
        <v>44991.0</v>
      </c>
      <c r="D982" s="27" t="s">
        <v>33</v>
      </c>
      <c r="E982" s="11" t="b">
        <v>0</v>
      </c>
      <c r="F982" s="11" t="s">
        <v>38</v>
      </c>
      <c r="G982" s="61"/>
      <c r="H982" s="46" t="s">
        <v>159</v>
      </c>
      <c r="I982" s="30">
        <v>5.0</v>
      </c>
      <c r="J982" s="31">
        <v>1.0</v>
      </c>
      <c r="K982" s="11">
        <v>4.0</v>
      </c>
      <c r="L982" s="32">
        <f>48000/P982</f>
        <v>3.132954768</v>
      </c>
      <c r="M982" s="32">
        <f>(11500+400+1000)/P982</f>
        <v>0.8419815939</v>
      </c>
      <c r="N982" s="32">
        <v>0.0</v>
      </c>
      <c r="O982" s="32">
        <f t="shared" si="283"/>
        <v>0.7506037465</v>
      </c>
      <c r="P982" s="33">
        <v>15321.0</v>
      </c>
      <c r="Q982" s="34">
        <v>4.0</v>
      </c>
      <c r="R982" s="42">
        <v>3.1329547679655376</v>
      </c>
      <c r="S982" s="36">
        <v>0.8419815938907382</v>
      </c>
      <c r="T982" s="36"/>
      <c r="U982" s="36">
        <v>0.7506037464917433</v>
      </c>
      <c r="V982" s="36">
        <v>3.2243326153645326</v>
      </c>
      <c r="W982" s="37">
        <v>0.8060831538411332</v>
      </c>
      <c r="X982" s="42">
        <v>48000.0</v>
      </c>
      <c r="Y982" s="36">
        <v>12900.0</v>
      </c>
      <c r="Z982" s="36"/>
      <c r="AA982" s="36">
        <v>11500.0</v>
      </c>
      <c r="AB982" s="36">
        <v>49400.00000000001</v>
      </c>
      <c r="AC982" s="37">
        <v>12350.000000000002</v>
      </c>
      <c r="AD982" s="31"/>
      <c r="AE982" s="11"/>
      <c r="AF982" s="11"/>
    </row>
    <row r="983">
      <c r="A983" s="11" t="s">
        <v>970</v>
      </c>
      <c r="B983" s="39">
        <v>44894.0</v>
      </c>
      <c r="C983" s="40">
        <v>44895.0</v>
      </c>
      <c r="D983" s="27" t="s">
        <v>33</v>
      </c>
      <c r="E983" s="11" t="b">
        <v>0</v>
      </c>
      <c r="F983" s="11" t="s">
        <v>38</v>
      </c>
      <c r="G983" s="45" t="s">
        <v>974</v>
      </c>
      <c r="H983" s="46" t="s">
        <v>975</v>
      </c>
      <c r="I983" s="30">
        <v>5.0</v>
      </c>
      <c r="J983" s="31">
        <v>36.0</v>
      </c>
      <c r="K983" s="11">
        <v>1.0</v>
      </c>
      <c r="L983" s="32">
        <f>6000/P983</f>
        <v>0.3815580286</v>
      </c>
      <c r="M983" s="32">
        <f>(400+400+400+300)/P983</f>
        <v>0.09538950715</v>
      </c>
      <c r="N983" s="32">
        <v>0.0</v>
      </c>
      <c r="O983" s="32">
        <v>0.0</v>
      </c>
      <c r="P983" s="33">
        <v>15725.0</v>
      </c>
      <c r="Q983" s="34">
        <v>36.0</v>
      </c>
      <c r="R983" s="42">
        <v>13.736089030206678</v>
      </c>
      <c r="S983" s="36">
        <v>0.09538950715421304</v>
      </c>
      <c r="T983" s="36"/>
      <c r="U983" s="36"/>
      <c r="V983" s="36">
        <v>13.83147853736089</v>
      </c>
      <c r="W983" s="37">
        <v>0.38420773714891365</v>
      </c>
      <c r="X983" s="42">
        <v>216000.0</v>
      </c>
      <c r="Y983" s="36">
        <v>1500.0</v>
      </c>
      <c r="Z983" s="36"/>
      <c r="AA983" s="36"/>
      <c r="AB983" s="36">
        <v>217500.0</v>
      </c>
      <c r="AC983" s="37">
        <v>6041.666666666667</v>
      </c>
      <c r="AD983" s="31"/>
      <c r="AE983" s="11"/>
      <c r="AF983" s="11"/>
    </row>
    <row r="984">
      <c r="A984" s="11" t="s">
        <v>970</v>
      </c>
      <c r="B984" s="39">
        <v>44868.0</v>
      </c>
      <c r="C984" s="40">
        <v>44870.0</v>
      </c>
      <c r="D984" s="27" t="s">
        <v>33</v>
      </c>
      <c r="E984" s="11" t="b">
        <v>0</v>
      </c>
      <c r="F984" s="11" t="s">
        <v>38</v>
      </c>
      <c r="G984" s="45" t="s">
        <v>974</v>
      </c>
      <c r="H984" s="11" t="s">
        <v>976</v>
      </c>
      <c r="I984" s="30">
        <v>5.0</v>
      </c>
      <c r="J984" s="31">
        <v>6.0</v>
      </c>
      <c r="K984" s="11">
        <v>10.0</v>
      </c>
      <c r="L984" s="32">
        <f t="shared" ref="L984:L987" si="284">K984*6000/P984</f>
        <v>3.846153846</v>
      </c>
      <c r="M984" s="32">
        <f t="shared" ref="M984:M987" si="285">(J984*(1000+400))/P984</f>
        <v>0.5384615385</v>
      </c>
      <c r="N984" s="32">
        <v>0.0</v>
      </c>
      <c r="O984" s="32">
        <v>0.0</v>
      </c>
      <c r="P984" s="33">
        <v>15600.0</v>
      </c>
      <c r="Q984" s="34">
        <v>60.0</v>
      </c>
      <c r="R984" s="42">
        <v>23.076923076923077</v>
      </c>
      <c r="S984" s="36">
        <v>0.5384615384615384</v>
      </c>
      <c r="T984" s="36"/>
      <c r="U984" s="36"/>
      <c r="V984" s="36">
        <v>23.615384615384617</v>
      </c>
      <c r="W984" s="37">
        <v>0.39358974358974363</v>
      </c>
      <c r="X984" s="42">
        <v>360000.0</v>
      </c>
      <c r="Y984" s="36">
        <v>8400.0</v>
      </c>
      <c r="Z984" s="36"/>
      <c r="AA984" s="36"/>
      <c r="AB984" s="36">
        <v>368400.0</v>
      </c>
      <c r="AC984" s="37">
        <v>6140.0</v>
      </c>
      <c r="AD984" s="31"/>
      <c r="AE984" s="11"/>
      <c r="AF984" s="11"/>
    </row>
    <row r="985">
      <c r="A985" s="11" t="s">
        <v>970</v>
      </c>
      <c r="B985" s="39">
        <v>44863.0</v>
      </c>
      <c r="C985" s="40">
        <v>44866.0</v>
      </c>
      <c r="D985" s="27" t="s">
        <v>33</v>
      </c>
      <c r="E985" s="11" t="b">
        <v>0</v>
      </c>
      <c r="F985" s="11" t="s">
        <v>38</v>
      </c>
      <c r="G985" s="45" t="s">
        <v>974</v>
      </c>
      <c r="H985" s="11" t="s">
        <v>977</v>
      </c>
      <c r="I985" s="30">
        <v>5.0</v>
      </c>
      <c r="J985" s="31">
        <v>2.0</v>
      </c>
      <c r="K985" s="11">
        <v>10.0</v>
      </c>
      <c r="L985" s="32">
        <f t="shared" si="284"/>
        <v>3.863241259</v>
      </c>
      <c r="M985" s="32">
        <f t="shared" si="285"/>
        <v>0.1802845921</v>
      </c>
      <c r="N985" s="32">
        <v>0.0</v>
      </c>
      <c r="O985" s="32">
        <v>0.0</v>
      </c>
      <c r="P985" s="33">
        <v>15531.0</v>
      </c>
      <c r="Q985" s="34">
        <v>20.0</v>
      </c>
      <c r="R985" s="42">
        <v>7.7264825188333015</v>
      </c>
      <c r="S985" s="36">
        <v>0.18028459210611036</v>
      </c>
      <c r="T985" s="36"/>
      <c r="U985" s="36"/>
      <c r="V985" s="36">
        <v>7.906767110939412</v>
      </c>
      <c r="W985" s="37">
        <v>0.3953383555469706</v>
      </c>
      <c r="X985" s="42">
        <v>120000.0</v>
      </c>
      <c r="Y985" s="36">
        <v>2800.0</v>
      </c>
      <c r="Z985" s="36"/>
      <c r="AA985" s="36"/>
      <c r="AB985" s="36">
        <v>122800.0</v>
      </c>
      <c r="AC985" s="37">
        <v>6140.0</v>
      </c>
      <c r="AD985" s="31"/>
      <c r="AE985" s="11"/>
      <c r="AF985" s="11"/>
    </row>
    <row r="986">
      <c r="A986" s="11" t="s">
        <v>970</v>
      </c>
      <c r="B986" s="39">
        <v>44863.0</v>
      </c>
      <c r="C986" s="40">
        <v>44866.0</v>
      </c>
      <c r="D986" s="27" t="s">
        <v>33</v>
      </c>
      <c r="E986" s="11" t="b">
        <v>0</v>
      </c>
      <c r="F986" s="11" t="s">
        <v>38</v>
      </c>
      <c r="G986" s="45" t="s">
        <v>974</v>
      </c>
      <c r="H986" s="11" t="s">
        <v>978</v>
      </c>
      <c r="I986" s="30">
        <v>5.0</v>
      </c>
      <c r="J986" s="31">
        <v>8.0</v>
      </c>
      <c r="K986" s="11">
        <v>10.0</v>
      </c>
      <c r="L986" s="32">
        <f t="shared" si="284"/>
        <v>3.863241259</v>
      </c>
      <c r="M986" s="32">
        <f t="shared" si="285"/>
        <v>0.7211383684</v>
      </c>
      <c r="N986" s="32">
        <v>0.0</v>
      </c>
      <c r="O986" s="32">
        <v>0.0</v>
      </c>
      <c r="P986" s="33">
        <v>15531.0</v>
      </c>
      <c r="Q986" s="34">
        <v>80.0</v>
      </c>
      <c r="R986" s="42">
        <v>30.905930075333206</v>
      </c>
      <c r="S986" s="36">
        <v>0.7211383684244415</v>
      </c>
      <c r="T986" s="36"/>
      <c r="U986" s="36"/>
      <c r="V986" s="36">
        <v>31.627068443757647</v>
      </c>
      <c r="W986" s="37">
        <v>0.3953383555469706</v>
      </c>
      <c r="X986" s="42">
        <v>480000.0</v>
      </c>
      <c r="Y986" s="36">
        <v>11200.0</v>
      </c>
      <c r="Z986" s="36"/>
      <c r="AA986" s="36"/>
      <c r="AB986" s="36">
        <v>491200.0</v>
      </c>
      <c r="AC986" s="37">
        <v>6140.0</v>
      </c>
      <c r="AD986" s="31"/>
      <c r="AE986" s="11"/>
      <c r="AF986" s="11"/>
    </row>
    <row r="987">
      <c r="A987" s="11" t="s">
        <v>970</v>
      </c>
      <c r="B987" s="39">
        <v>44860.0</v>
      </c>
      <c r="C987" s="40">
        <v>44862.0</v>
      </c>
      <c r="D987" s="27" t="s">
        <v>33</v>
      </c>
      <c r="E987" s="11" t="b">
        <v>0</v>
      </c>
      <c r="F987" s="11" t="s">
        <v>38</v>
      </c>
      <c r="G987" s="45" t="s">
        <v>974</v>
      </c>
      <c r="H987" s="11" t="s">
        <v>946</v>
      </c>
      <c r="I987" s="30">
        <v>5.0</v>
      </c>
      <c r="J987" s="31">
        <v>10.0</v>
      </c>
      <c r="K987" s="11">
        <v>10.0</v>
      </c>
      <c r="L987" s="32">
        <f t="shared" si="284"/>
        <v>3.863241259</v>
      </c>
      <c r="M987" s="32">
        <f t="shared" si="285"/>
        <v>0.9014229605</v>
      </c>
      <c r="N987" s="32">
        <v>0.0</v>
      </c>
      <c r="O987" s="32">
        <v>0.0</v>
      </c>
      <c r="P987" s="33">
        <v>15531.0</v>
      </c>
      <c r="Q987" s="34">
        <v>100.0</v>
      </c>
      <c r="R987" s="42">
        <v>38.63241259416651</v>
      </c>
      <c r="S987" s="36">
        <v>0.9014229605305518</v>
      </c>
      <c r="T987" s="36"/>
      <c r="U987" s="36"/>
      <c r="V987" s="36">
        <v>39.53383555469706</v>
      </c>
      <c r="W987" s="37">
        <v>0.3953383555469706</v>
      </c>
      <c r="X987" s="42">
        <v>600000.0000000001</v>
      </c>
      <c r="Y987" s="36">
        <v>14000.0</v>
      </c>
      <c r="Z987" s="36"/>
      <c r="AA987" s="36"/>
      <c r="AB987" s="36">
        <v>614000.0000000001</v>
      </c>
      <c r="AC987" s="37">
        <v>6140.000000000001</v>
      </c>
      <c r="AD987" s="31"/>
      <c r="AE987" s="11"/>
      <c r="AF987" s="11"/>
    </row>
    <row r="988">
      <c r="A988" s="11" t="s">
        <v>970</v>
      </c>
      <c r="B988" s="39">
        <v>43647.0</v>
      </c>
      <c r="C988" s="40">
        <v>43652.0</v>
      </c>
      <c r="D988" s="27" t="s">
        <v>56</v>
      </c>
      <c r="E988" s="11" t="b">
        <v>0</v>
      </c>
      <c r="F988" s="29" t="s">
        <v>38</v>
      </c>
      <c r="G988" s="45" t="s">
        <v>979</v>
      </c>
      <c r="H988" s="29" t="s">
        <v>980</v>
      </c>
      <c r="I988" s="33"/>
      <c r="J988" s="31">
        <v>12.0</v>
      </c>
      <c r="K988" s="11">
        <v>1.0</v>
      </c>
      <c r="L988" s="32">
        <f t="shared" ref="L988:L991" si="286">11500/P988</f>
        <v>1.15</v>
      </c>
      <c r="M988" s="32">
        <f t="shared" ref="M988:M991" si="287">12000/P988</f>
        <v>1.2</v>
      </c>
      <c r="N988" s="32">
        <v>0.0</v>
      </c>
      <c r="O988" s="32">
        <v>0.0</v>
      </c>
      <c r="P988" s="33">
        <v>10000.0</v>
      </c>
      <c r="Q988" s="34">
        <v>12.0</v>
      </c>
      <c r="R988" s="42">
        <v>13.799999999999999</v>
      </c>
      <c r="S988" s="36">
        <v>1.2</v>
      </c>
      <c r="T988" s="36"/>
      <c r="U988" s="36"/>
      <c r="V988" s="36">
        <v>14.999999999999998</v>
      </c>
      <c r="W988" s="37">
        <v>1.2499999999999998</v>
      </c>
      <c r="X988" s="42">
        <v>138000.0</v>
      </c>
      <c r="Y988" s="36">
        <v>12000.0</v>
      </c>
      <c r="Z988" s="36"/>
      <c r="AA988" s="36"/>
      <c r="AB988" s="36">
        <v>149999.99999999997</v>
      </c>
      <c r="AC988" s="37">
        <v>12499.999999999998</v>
      </c>
      <c r="AD988" s="31"/>
      <c r="AE988" s="11"/>
      <c r="AF988" s="11"/>
    </row>
    <row r="989">
      <c r="A989" s="11" t="s">
        <v>970</v>
      </c>
      <c r="B989" s="39">
        <v>43647.0</v>
      </c>
      <c r="C989" s="40">
        <v>43652.0</v>
      </c>
      <c r="D989" s="27" t="s">
        <v>56</v>
      </c>
      <c r="E989" s="11" t="b">
        <v>0</v>
      </c>
      <c r="F989" s="29" t="s">
        <v>38</v>
      </c>
      <c r="G989" s="45" t="s">
        <v>979</v>
      </c>
      <c r="H989" s="29" t="s">
        <v>981</v>
      </c>
      <c r="I989" s="33"/>
      <c r="J989" s="31">
        <v>12.0</v>
      </c>
      <c r="K989" s="11">
        <v>1.0</v>
      </c>
      <c r="L989" s="32">
        <f t="shared" si="286"/>
        <v>1.15</v>
      </c>
      <c r="M989" s="32">
        <f t="shared" si="287"/>
        <v>1.2</v>
      </c>
      <c r="N989" s="32">
        <v>0.0</v>
      </c>
      <c r="O989" s="32">
        <v>0.0</v>
      </c>
      <c r="P989" s="33">
        <v>10000.0</v>
      </c>
      <c r="Q989" s="34">
        <v>12.0</v>
      </c>
      <c r="R989" s="42">
        <v>13.799999999999999</v>
      </c>
      <c r="S989" s="36">
        <v>1.2</v>
      </c>
      <c r="T989" s="36"/>
      <c r="U989" s="36"/>
      <c r="V989" s="36">
        <v>14.999999999999998</v>
      </c>
      <c r="W989" s="37">
        <v>1.2499999999999998</v>
      </c>
      <c r="X989" s="42">
        <v>138000.0</v>
      </c>
      <c r="Y989" s="36">
        <v>12000.0</v>
      </c>
      <c r="Z989" s="36"/>
      <c r="AA989" s="36"/>
      <c r="AB989" s="36">
        <v>149999.99999999997</v>
      </c>
      <c r="AC989" s="37">
        <v>12499.999999999998</v>
      </c>
      <c r="AD989" s="31"/>
      <c r="AE989" s="11"/>
      <c r="AF989" s="11"/>
    </row>
    <row r="990">
      <c r="A990" s="11" t="s">
        <v>970</v>
      </c>
      <c r="B990" s="39">
        <v>43644.0</v>
      </c>
      <c r="C990" s="40">
        <v>43647.0</v>
      </c>
      <c r="D990" s="27" t="s">
        <v>56</v>
      </c>
      <c r="E990" s="11" t="b">
        <v>0</v>
      </c>
      <c r="F990" s="29" t="s">
        <v>38</v>
      </c>
      <c r="G990" s="45" t="s">
        <v>979</v>
      </c>
      <c r="H990" s="29" t="s">
        <v>982</v>
      </c>
      <c r="I990" s="33"/>
      <c r="J990" s="31">
        <v>12.0</v>
      </c>
      <c r="K990" s="11">
        <v>1.0</v>
      </c>
      <c r="L990" s="32">
        <f t="shared" si="286"/>
        <v>1.15</v>
      </c>
      <c r="M990" s="32">
        <f t="shared" si="287"/>
        <v>1.2</v>
      </c>
      <c r="N990" s="32">
        <v>0.0</v>
      </c>
      <c r="O990" s="32">
        <v>0.0</v>
      </c>
      <c r="P990" s="33">
        <v>10000.0</v>
      </c>
      <c r="Q990" s="34">
        <v>12.0</v>
      </c>
      <c r="R990" s="42">
        <v>13.799999999999999</v>
      </c>
      <c r="S990" s="36">
        <v>1.2</v>
      </c>
      <c r="T990" s="36"/>
      <c r="U990" s="36"/>
      <c r="V990" s="36">
        <v>14.999999999999998</v>
      </c>
      <c r="W990" s="37">
        <v>1.2499999999999998</v>
      </c>
      <c r="X990" s="42">
        <v>138000.0</v>
      </c>
      <c r="Y990" s="36">
        <v>12000.0</v>
      </c>
      <c r="Z990" s="36"/>
      <c r="AA990" s="36"/>
      <c r="AB990" s="36">
        <v>149999.99999999997</v>
      </c>
      <c r="AC990" s="37">
        <v>12499.999999999998</v>
      </c>
      <c r="AD990" s="31"/>
      <c r="AE990" s="11"/>
      <c r="AF990" s="11"/>
    </row>
    <row r="991">
      <c r="A991" s="11" t="s">
        <v>970</v>
      </c>
      <c r="B991" s="39">
        <v>43644.0</v>
      </c>
      <c r="C991" s="40">
        <v>43647.0</v>
      </c>
      <c r="D991" s="27" t="s">
        <v>56</v>
      </c>
      <c r="E991" s="11" t="b">
        <v>0</v>
      </c>
      <c r="F991" s="29" t="s">
        <v>38</v>
      </c>
      <c r="G991" s="45" t="s">
        <v>979</v>
      </c>
      <c r="H991" s="29" t="s">
        <v>983</v>
      </c>
      <c r="I991" s="33"/>
      <c r="J991" s="31">
        <v>12.0</v>
      </c>
      <c r="K991" s="11">
        <v>1.0</v>
      </c>
      <c r="L991" s="32">
        <f t="shared" si="286"/>
        <v>1.15</v>
      </c>
      <c r="M991" s="32">
        <f t="shared" si="287"/>
        <v>1.2</v>
      </c>
      <c r="N991" s="32">
        <v>0.0</v>
      </c>
      <c r="O991" s="32">
        <v>0.0</v>
      </c>
      <c r="P991" s="33">
        <v>10000.0</v>
      </c>
      <c r="Q991" s="34">
        <v>12.0</v>
      </c>
      <c r="R991" s="42">
        <v>13.799999999999999</v>
      </c>
      <c r="S991" s="36">
        <v>1.2</v>
      </c>
      <c r="T991" s="36"/>
      <c r="U991" s="36"/>
      <c r="V991" s="36">
        <v>14.999999999999998</v>
      </c>
      <c r="W991" s="37">
        <v>1.2499999999999998</v>
      </c>
      <c r="X991" s="42">
        <v>138000.0</v>
      </c>
      <c r="Y991" s="36">
        <v>12000.0</v>
      </c>
      <c r="Z991" s="36"/>
      <c r="AA991" s="36"/>
      <c r="AB991" s="36">
        <v>149999.99999999997</v>
      </c>
      <c r="AC991" s="37">
        <v>12499.999999999998</v>
      </c>
      <c r="AD991" s="31"/>
      <c r="AE991" s="11"/>
      <c r="AF991" s="11"/>
    </row>
    <row r="992">
      <c r="A992" s="11" t="s">
        <v>984</v>
      </c>
      <c r="B992" s="39">
        <v>45062.00347222222</v>
      </c>
      <c r="C992" s="40">
        <v>45064.0</v>
      </c>
      <c r="D992" s="27" t="s">
        <v>33</v>
      </c>
      <c r="E992" s="11" t="b">
        <v>0</v>
      </c>
      <c r="F992" s="11" t="s">
        <v>49</v>
      </c>
      <c r="G992" s="61"/>
      <c r="H992" s="46" t="s">
        <v>971</v>
      </c>
      <c r="I992" s="30">
        <v>5.0</v>
      </c>
      <c r="J992" s="31">
        <v>3.0</v>
      </c>
      <c r="K992" s="11">
        <v>1.0</v>
      </c>
      <c r="L992" s="32">
        <f t="shared" ref="L992:L994" si="288">(8999)/P992</f>
        <v>0.6081021725</v>
      </c>
      <c r="M992" s="32">
        <f t="shared" ref="M992:M994" si="289">((1000)/2)/P992</f>
        <v>0.03378720816</v>
      </c>
      <c r="N992" s="32">
        <v>0.0</v>
      </c>
      <c r="O992" s="32">
        <v>0.0</v>
      </c>
      <c r="P992" s="33">
        <v>14798.5</v>
      </c>
      <c r="Q992" s="34">
        <v>3.0</v>
      </c>
      <c r="R992" s="42">
        <v>1.8243065175524547</v>
      </c>
      <c r="S992" s="36">
        <v>0.03378720816298949</v>
      </c>
      <c r="T992" s="36"/>
      <c r="U992" s="36"/>
      <c r="V992" s="36">
        <v>1.8580937257154442</v>
      </c>
      <c r="W992" s="37">
        <v>0.6193645752384814</v>
      </c>
      <c r="X992" s="42">
        <v>26997.0</v>
      </c>
      <c r="Y992" s="36">
        <v>499.99999999999994</v>
      </c>
      <c r="Z992" s="36"/>
      <c r="AA992" s="36"/>
      <c r="AB992" s="36">
        <v>27497.0</v>
      </c>
      <c r="AC992" s="37">
        <v>9165.666666666666</v>
      </c>
      <c r="AD992" s="31"/>
      <c r="AE992" s="11"/>
      <c r="AF992" s="11"/>
    </row>
    <row r="993">
      <c r="A993" s="11" t="s">
        <v>984</v>
      </c>
      <c r="B993" s="39">
        <v>45062.00208333333</v>
      </c>
      <c r="C993" s="40">
        <v>45064.0</v>
      </c>
      <c r="D993" s="27" t="s">
        <v>33</v>
      </c>
      <c r="E993" s="11" t="b">
        <v>0</v>
      </c>
      <c r="F993" s="11" t="s">
        <v>49</v>
      </c>
      <c r="G993" s="61"/>
      <c r="H993" s="46" t="s">
        <v>972</v>
      </c>
      <c r="I993" s="30">
        <v>5.0</v>
      </c>
      <c r="J993" s="31">
        <v>2.0</v>
      </c>
      <c r="K993" s="11">
        <v>1.0</v>
      </c>
      <c r="L993" s="32">
        <f t="shared" si="288"/>
        <v>0.6081021725</v>
      </c>
      <c r="M993" s="32">
        <f t="shared" si="289"/>
        <v>0.03378720816</v>
      </c>
      <c r="N993" s="32">
        <v>0.0</v>
      </c>
      <c r="O993" s="32">
        <v>0.0</v>
      </c>
      <c r="P993" s="33">
        <v>14798.5</v>
      </c>
      <c r="Q993" s="34">
        <v>2.0</v>
      </c>
      <c r="R993" s="42">
        <v>1.2162043450349698</v>
      </c>
      <c r="S993" s="36">
        <v>0.03378720816298949</v>
      </c>
      <c r="T993" s="36"/>
      <c r="U993" s="36"/>
      <c r="V993" s="36">
        <v>1.2499915531979593</v>
      </c>
      <c r="W993" s="37">
        <v>0.6249957765989796</v>
      </c>
      <c r="X993" s="42">
        <v>17998.0</v>
      </c>
      <c r="Y993" s="36">
        <v>499.99999999999994</v>
      </c>
      <c r="Z993" s="36"/>
      <c r="AA993" s="36"/>
      <c r="AB993" s="36">
        <v>18498.0</v>
      </c>
      <c r="AC993" s="37">
        <v>9249.0</v>
      </c>
      <c r="AD993" s="31"/>
      <c r="AE993" s="11"/>
      <c r="AF993" s="11"/>
    </row>
    <row r="994">
      <c r="A994" s="11" t="s">
        <v>984</v>
      </c>
      <c r="B994" s="39">
        <v>45062.00069444445</v>
      </c>
      <c r="C994" s="40">
        <v>45064.0</v>
      </c>
      <c r="D994" s="27" t="s">
        <v>33</v>
      </c>
      <c r="E994" s="11" t="b">
        <v>0</v>
      </c>
      <c r="F994" s="11" t="s">
        <v>49</v>
      </c>
      <c r="G994" s="61"/>
      <c r="H994" s="46" t="s">
        <v>973</v>
      </c>
      <c r="I994" s="30">
        <v>5.0</v>
      </c>
      <c r="J994" s="31">
        <v>3.0</v>
      </c>
      <c r="K994" s="11">
        <v>1.0</v>
      </c>
      <c r="L994" s="32">
        <f t="shared" si="288"/>
        <v>0.6081021725</v>
      </c>
      <c r="M994" s="32">
        <f t="shared" si="289"/>
        <v>0.03378720816</v>
      </c>
      <c r="N994" s="32">
        <v>0.0</v>
      </c>
      <c r="O994" s="32">
        <v>0.0</v>
      </c>
      <c r="P994" s="33">
        <v>14798.5</v>
      </c>
      <c r="Q994" s="34">
        <v>3.0</v>
      </c>
      <c r="R994" s="42">
        <v>1.8243065175524547</v>
      </c>
      <c r="S994" s="36">
        <v>0.03378720816298949</v>
      </c>
      <c r="T994" s="36"/>
      <c r="U994" s="36"/>
      <c r="V994" s="36">
        <v>1.8580937257154442</v>
      </c>
      <c r="W994" s="37">
        <v>0.6193645752384814</v>
      </c>
      <c r="X994" s="42">
        <v>26997.0</v>
      </c>
      <c r="Y994" s="36">
        <v>499.99999999999994</v>
      </c>
      <c r="Z994" s="36"/>
      <c r="AA994" s="36"/>
      <c r="AB994" s="36">
        <v>27497.0</v>
      </c>
      <c r="AC994" s="37">
        <v>9165.666666666666</v>
      </c>
      <c r="AD994" s="31"/>
      <c r="AE994" s="11"/>
      <c r="AF994" s="11"/>
    </row>
    <row r="995">
      <c r="A995" s="11" t="s">
        <v>985</v>
      </c>
      <c r="B995" s="77">
        <v>46003.63333333333</v>
      </c>
      <c r="C995" s="40">
        <v>46004.81597222222</v>
      </c>
      <c r="D995" s="27" t="s">
        <v>33</v>
      </c>
      <c r="E995" s="11" t="b">
        <v>0</v>
      </c>
      <c r="F995" s="11" t="s">
        <v>49</v>
      </c>
      <c r="G995" s="11" t="s">
        <v>986</v>
      </c>
      <c r="H995" s="11" t="s">
        <v>987</v>
      </c>
      <c r="I995" s="30">
        <v>5.0</v>
      </c>
      <c r="J995" s="31">
        <v>100.0</v>
      </c>
      <c r="K995" s="11">
        <v>1.0</v>
      </c>
      <c r="L995" s="32">
        <f>(25949)/P995</f>
        <v>25949</v>
      </c>
      <c r="M995" s="32">
        <f>(4000)/P995</f>
        <v>4000</v>
      </c>
      <c r="N995" s="32">
        <f>(X995*20% - 200 + 1000)</f>
        <v>519780</v>
      </c>
      <c r="O995" s="32">
        <v>0.0</v>
      </c>
      <c r="P995" s="33">
        <v>1.0</v>
      </c>
      <c r="Q995" s="34">
        <v>100.0</v>
      </c>
      <c r="R995" s="42">
        <v>2594900.0</v>
      </c>
      <c r="S995" s="36">
        <v>4000.0</v>
      </c>
      <c r="T995" s="36">
        <v>519780.0</v>
      </c>
      <c r="U995" s="36"/>
      <c r="V995" s="36">
        <v>2079120.0</v>
      </c>
      <c r="W995" s="37">
        <v>20791.2</v>
      </c>
      <c r="X995" s="42">
        <v>2594900.0</v>
      </c>
      <c r="Y995" s="36">
        <v>4000.0</v>
      </c>
      <c r="Z995" s="36">
        <v>519780.0</v>
      </c>
      <c r="AA995" s="36"/>
      <c r="AB995" s="36">
        <v>2079120.0</v>
      </c>
      <c r="AC995" s="37">
        <v>20791.2</v>
      </c>
      <c r="AD995" s="31"/>
      <c r="AE995" s="11"/>
      <c r="AF995" s="11"/>
    </row>
    <row r="996">
      <c r="A996" s="11" t="s">
        <v>985</v>
      </c>
      <c r="B996" s="39">
        <v>45621.33541666667</v>
      </c>
      <c r="C996" s="40">
        <v>45622.461805555555</v>
      </c>
      <c r="D996" s="27" t="s">
        <v>33</v>
      </c>
      <c r="E996" s="11" t="b">
        <v>0</v>
      </c>
      <c r="F996" s="11" t="s">
        <v>49</v>
      </c>
      <c r="G996" s="11" t="s">
        <v>200</v>
      </c>
      <c r="H996" s="11" t="s">
        <v>988</v>
      </c>
      <c r="I996" s="30">
        <v>5.0</v>
      </c>
      <c r="J996" s="31">
        <v>34.0</v>
      </c>
      <c r="K996" s="11">
        <v>1.0</v>
      </c>
      <c r="L996" s="32">
        <f t="shared" ref="L996:L997" si="290">(24273)/P996</f>
        <v>1.526507767</v>
      </c>
      <c r="M996" s="32">
        <f>(1000)/P996</f>
        <v>0.06288912647</v>
      </c>
      <c r="N996" s="32">
        <f>(99034)/P996</f>
        <v>6.228161751</v>
      </c>
      <c r="O996" s="32">
        <v>0.0</v>
      </c>
      <c r="P996" s="33">
        <v>15901.0</v>
      </c>
      <c r="Q996" s="34">
        <v>34.0</v>
      </c>
      <c r="R996" s="42">
        <v>51.90126407144204</v>
      </c>
      <c r="S996" s="36">
        <v>0.06288912647003334</v>
      </c>
      <c r="T996" s="36">
        <v>6.228161750833281</v>
      </c>
      <c r="U996" s="36"/>
      <c r="V996" s="36">
        <v>45.735991447078796</v>
      </c>
      <c r="W996" s="37">
        <v>1.3451762190317293</v>
      </c>
      <c r="X996" s="42">
        <v>825281.9999999999</v>
      </c>
      <c r="Y996" s="36">
        <v>1000.0000000000001</v>
      </c>
      <c r="Z996" s="36">
        <v>99034.0</v>
      </c>
      <c r="AA996" s="36"/>
      <c r="AB996" s="36">
        <v>727247.9999999999</v>
      </c>
      <c r="AC996" s="37">
        <v>21389.647058823524</v>
      </c>
      <c r="AD996" s="31"/>
      <c r="AE996" s="11"/>
      <c r="AF996" s="11"/>
    </row>
    <row r="997">
      <c r="A997" s="11" t="s">
        <v>985</v>
      </c>
      <c r="B997" s="39">
        <v>45598.45347222222</v>
      </c>
      <c r="C997" s="40">
        <v>45602.493055555555</v>
      </c>
      <c r="D997" s="27" t="s">
        <v>37</v>
      </c>
      <c r="E997" s="11" t="b">
        <v>0</v>
      </c>
      <c r="F997" s="11" t="s">
        <v>49</v>
      </c>
      <c r="G997" s="11" t="s">
        <v>200</v>
      </c>
      <c r="H997" s="11" t="s">
        <v>989</v>
      </c>
      <c r="I997" s="30">
        <v>5.0</v>
      </c>
      <c r="J997" s="31">
        <v>50.0</v>
      </c>
      <c r="K997" s="11">
        <v>1.0</v>
      </c>
      <c r="L997" s="32">
        <f t="shared" si="290"/>
        <v>1.532192905</v>
      </c>
      <c r="M997" s="32">
        <f>(334)/P997</f>
        <v>0.02108319657</v>
      </c>
      <c r="N997" s="32">
        <f>(96932 + 2000)/P997</f>
        <v>6.244918571</v>
      </c>
      <c r="O997" s="32">
        <v>0.0</v>
      </c>
      <c r="P997" s="33">
        <v>15842.0</v>
      </c>
      <c r="Q997" s="34">
        <v>50.0</v>
      </c>
      <c r="R997" s="42">
        <v>76.60964524681228</v>
      </c>
      <c r="S997" s="36">
        <v>0.02108319656609014</v>
      </c>
      <c r="T997" s="36">
        <v>6.244918570887514</v>
      </c>
      <c r="U997" s="36"/>
      <c r="V997" s="36">
        <v>70.38580987249085</v>
      </c>
      <c r="W997" s="37">
        <v>1.4077161974498171</v>
      </c>
      <c r="X997" s="42">
        <v>1213650.0</v>
      </c>
      <c r="Y997" s="36">
        <v>334.0</v>
      </c>
      <c r="Z997" s="36">
        <v>98932.0</v>
      </c>
      <c r="AA997" s="36"/>
      <c r="AB997" s="36">
        <v>1115052.0</v>
      </c>
      <c r="AC997" s="37">
        <v>22301.04</v>
      </c>
      <c r="AD997" s="31"/>
      <c r="AE997" s="11"/>
      <c r="AF997" s="11"/>
    </row>
    <row r="998">
      <c r="A998" s="11" t="s">
        <v>985</v>
      </c>
      <c r="B998" s="39">
        <v>45434.99930555555</v>
      </c>
      <c r="C998" s="40">
        <v>45437.87037653935</v>
      </c>
      <c r="D998" s="27" t="s">
        <v>33</v>
      </c>
      <c r="E998" s="11" t="b">
        <v>0</v>
      </c>
      <c r="F998" s="11" t="s">
        <v>38</v>
      </c>
      <c r="G998" s="11" t="s">
        <v>990</v>
      </c>
      <c r="H998" s="11" t="s">
        <v>991</v>
      </c>
      <c r="I998" s="30">
        <v>5.0</v>
      </c>
      <c r="J998" s="31">
        <v>19.0</v>
      </c>
      <c r="K998" s="11">
        <v>1.0</v>
      </c>
      <c r="L998" s="32">
        <f>(24000)/P998</f>
        <v>1.495606655</v>
      </c>
      <c r="M998" s="32">
        <f>(456 + 2900)/P998</f>
        <v>0.209135664</v>
      </c>
      <c r="N998" s="32">
        <f>(45600)/P998</f>
        <v>2.841652645</v>
      </c>
      <c r="O998" s="32">
        <v>0.0</v>
      </c>
      <c r="P998" s="33">
        <v>16047.0</v>
      </c>
      <c r="Q998" s="34">
        <v>19.0</v>
      </c>
      <c r="R998" s="42">
        <v>28.41652645354272</v>
      </c>
      <c r="S998" s="36">
        <v>0.20913566398703806</v>
      </c>
      <c r="T998" s="36">
        <v>2.8416526453542716</v>
      </c>
      <c r="U998" s="36"/>
      <c r="V998" s="36">
        <v>25.784009472175484</v>
      </c>
      <c r="W998" s="37">
        <v>1.3570531301144992</v>
      </c>
      <c r="X998" s="42">
        <v>456000.0</v>
      </c>
      <c r="Y998" s="36">
        <v>3356.0</v>
      </c>
      <c r="Z998" s="36">
        <v>45600.0</v>
      </c>
      <c r="AA998" s="36"/>
      <c r="AB998" s="36">
        <v>413756.0</v>
      </c>
      <c r="AC998" s="37">
        <v>21776.63157894737</v>
      </c>
      <c r="AD998" s="31"/>
      <c r="AE998" s="11"/>
      <c r="AF998" s="11"/>
    </row>
    <row r="999">
      <c r="A999" s="11" t="s">
        <v>985</v>
      </c>
      <c r="B999" s="39">
        <v>45433.004166666666</v>
      </c>
      <c r="C999" s="40">
        <v>45434.84097222222</v>
      </c>
      <c r="D999" s="27" t="s">
        <v>33</v>
      </c>
      <c r="E999" s="11" t="b">
        <v>0</v>
      </c>
      <c r="F999" s="11" t="s">
        <v>49</v>
      </c>
      <c r="G999" s="11" t="s">
        <v>293</v>
      </c>
      <c r="H999" s="11" t="s">
        <v>296</v>
      </c>
      <c r="I999" s="30">
        <v>5.0</v>
      </c>
      <c r="J999" s="31">
        <v>3.0</v>
      </c>
      <c r="K999" s="11">
        <v>1.0</v>
      </c>
      <c r="L999" s="32">
        <f>(73500/3)/P999</f>
        <v>1.530197989</v>
      </c>
      <c r="M999" s="32">
        <f>(875)/P999</f>
        <v>0.05464992817</v>
      </c>
      <c r="N999" s="32">
        <f>(8750)/P999</f>
        <v>0.5464992817</v>
      </c>
      <c r="O999" s="32">
        <v>0.0</v>
      </c>
      <c r="P999" s="33">
        <v>16011.0</v>
      </c>
      <c r="Q999" s="34">
        <v>3.0</v>
      </c>
      <c r="R999" s="42">
        <v>4.59059396664793</v>
      </c>
      <c r="S999" s="36">
        <v>0.054649928174380115</v>
      </c>
      <c r="T999" s="36">
        <v>0.5464992817438011</v>
      </c>
      <c r="U999" s="36"/>
      <c r="V999" s="36">
        <v>4.098744613078509</v>
      </c>
      <c r="W999" s="37">
        <v>1.366248204359503</v>
      </c>
      <c r="X999" s="42">
        <v>73500.0</v>
      </c>
      <c r="Y999" s="36">
        <v>875.0</v>
      </c>
      <c r="Z999" s="36">
        <v>8750.0</v>
      </c>
      <c r="AA999" s="36"/>
      <c r="AB999" s="36">
        <v>65625.0</v>
      </c>
      <c r="AC999" s="37">
        <v>21875.0</v>
      </c>
      <c r="AD999" s="31"/>
      <c r="AE999" s="11"/>
      <c r="AF999" s="11"/>
    </row>
    <row r="1000">
      <c r="A1000" s="11" t="s">
        <v>985</v>
      </c>
      <c r="B1000" s="39">
        <v>45423.572916666664</v>
      </c>
      <c r="C1000" s="40">
        <v>45425.56180555555</v>
      </c>
      <c r="D1000" s="27" t="s">
        <v>37</v>
      </c>
      <c r="E1000" s="11" t="b">
        <v>0</v>
      </c>
      <c r="F1000" s="11" t="s">
        <v>49</v>
      </c>
      <c r="G1000" s="11" t="s">
        <v>203</v>
      </c>
      <c r="H1000" s="11" t="s">
        <v>992</v>
      </c>
      <c r="I1000" s="30">
        <v>5.0</v>
      </c>
      <c r="J1000" s="31">
        <v>16.0</v>
      </c>
      <c r="K1000" s="11">
        <v>1.0</v>
      </c>
      <c r="L1000" s="32">
        <f>(398400/16)/P1000</f>
        <v>1.550918717</v>
      </c>
      <c r="M1000" s="32">
        <f>(1000)/P1000</f>
        <v>0.06228589225</v>
      </c>
      <c r="N1000" s="32">
        <f>(39840)/P1000</f>
        <v>2.481469947</v>
      </c>
      <c r="O1000" s="32">
        <v>0.0</v>
      </c>
      <c r="P1000" s="33">
        <v>16055.0</v>
      </c>
      <c r="Q1000" s="34">
        <v>16.0</v>
      </c>
      <c r="R1000" s="42">
        <v>24.814699470569916</v>
      </c>
      <c r="S1000" s="36">
        <v>0.06228589224540641</v>
      </c>
      <c r="T1000" s="36">
        <v>2.4814699470569916</v>
      </c>
      <c r="U1000" s="36"/>
      <c r="V1000" s="36">
        <v>22.395515415758332</v>
      </c>
      <c r="W1000" s="37">
        <v>1.3997197134848958</v>
      </c>
      <c r="X1000" s="42">
        <v>398400.0</v>
      </c>
      <c r="Y1000" s="36">
        <v>1000.0</v>
      </c>
      <c r="Z1000" s="36">
        <v>39840.0</v>
      </c>
      <c r="AA1000" s="36"/>
      <c r="AB1000" s="36">
        <v>359560.0</v>
      </c>
      <c r="AC1000" s="37">
        <v>22472.5</v>
      </c>
      <c r="AD1000" s="31"/>
      <c r="AE1000" s="11"/>
      <c r="AF1000" s="11"/>
    </row>
    <row r="1001">
      <c r="A1001" s="11" t="s">
        <v>985</v>
      </c>
      <c r="B1001" s="39">
        <v>45418.275</v>
      </c>
      <c r="C1001" s="40">
        <v>45421.59652777778</v>
      </c>
      <c r="D1001" s="27" t="s">
        <v>33</v>
      </c>
      <c r="E1001" s="11" t="b">
        <v>0</v>
      </c>
      <c r="F1001" s="11" t="s">
        <v>49</v>
      </c>
      <c r="G1001" s="11" t="s">
        <v>107</v>
      </c>
      <c r="H1001" s="11" t="s">
        <v>107</v>
      </c>
      <c r="I1001" s="30">
        <v>5.0</v>
      </c>
      <c r="J1001" s="31">
        <v>4.0</v>
      </c>
      <c r="K1001" s="11">
        <v>1.0</v>
      </c>
      <c r="L1001" s="32">
        <f>(99600/4)/P1001</f>
        <v>1.553337492</v>
      </c>
      <c r="M1001" s="32">
        <f>(994)/P1001</f>
        <v>0.06200873362</v>
      </c>
      <c r="N1001" s="32">
        <f>(9900)/P1001</f>
        <v>0.617592015</v>
      </c>
      <c r="O1001" s="32">
        <v>0.0</v>
      </c>
      <c r="P1001" s="33">
        <v>16030.0</v>
      </c>
      <c r="Q1001" s="34">
        <v>4.0</v>
      </c>
      <c r="R1001" s="42">
        <v>6.213349968808484</v>
      </c>
      <c r="S1001" s="36">
        <v>0.06200873362445415</v>
      </c>
      <c r="T1001" s="36">
        <v>0.6175920149719276</v>
      </c>
      <c r="U1001" s="36"/>
      <c r="V1001" s="36">
        <v>5.65776668746101</v>
      </c>
      <c r="W1001" s="37">
        <v>1.4144416718652526</v>
      </c>
      <c r="X1001" s="42">
        <v>99600.0</v>
      </c>
      <c r="Y1001" s="36">
        <v>994.0</v>
      </c>
      <c r="Z1001" s="36">
        <v>9900.0</v>
      </c>
      <c r="AA1001" s="36"/>
      <c r="AB1001" s="36">
        <v>90694.0</v>
      </c>
      <c r="AC1001" s="37">
        <v>22673.5</v>
      </c>
      <c r="AD1001" s="31"/>
      <c r="AE1001" s="11"/>
      <c r="AF1001" s="11"/>
    </row>
    <row r="1002">
      <c r="A1002" s="11" t="s">
        <v>985</v>
      </c>
      <c r="B1002" s="39">
        <v>45417.98055555556</v>
      </c>
      <c r="C1002" s="40">
        <v>45421.607203680556</v>
      </c>
      <c r="D1002" s="27" t="s">
        <v>33</v>
      </c>
      <c r="E1002" s="11" t="b">
        <v>0</v>
      </c>
      <c r="F1002" s="11" t="s">
        <v>49</v>
      </c>
      <c r="G1002" s="11" t="s">
        <v>521</v>
      </c>
      <c r="H1002" s="11" t="s">
        <v>521</v>
      </c>
      <c r="I1002" s="30">
        <v>5.0</v>
      </c>
      <c r="J1002" s="31">
        <v>50.0</v>
      </c>
      <c r="K1002" s="11">
        <v>1.0</v>
      </c>
      <c r="L1002" s="32">
        <f>(1245000/50)/P1002</f>
        <v>1.559271088</v>
      </c>
      <c r="M1002" s="32">
        <f>(534)/P1002</f>
        <v>0.03343978959</v>
      </c>
      <c r="N1002" s="32">
        <f>(99600)/P1002</f>
        <v>6.237084351</v>
      </c>
      <c r="O1002" s="32">
        <v>0.0</v>
      </c>
      <c r="P1002" s="33">
        <v>15969.0</v>
      </c>
      <c r="Q1002" s="34">
        <v>50.0</v>
      </c>
      <c r="R1002" s="42">
        <v>77.96355438662408</v>
      </c>
      <c r="S1002" s="36">
        <v>0.03343978959233515</v>
      </c>
      <c r="T1002" s="36">
        <v>6.237084350929926</v>
      </c>
      <c r="U1002" s="36"/>
      <c r="V1002" s="36">
        <v>71.75990982528648</v>
      </c>
      <c r="W1002" s="37">
        <v>1.4351981965057297</v>
      </c>
      <c r="X1002" s="42">
        <v>1245000.0</v>
      </c>
      <c r="Y1002" s="36">
        <v>534.0</v>
      </c>
      <c r="Z1002" s="36">
        <v>99600.0</v>
      </c>
      <c r="AA1002" s="36"/>
      <c r="AB1002" s="36">
        <v>1145933.9999999998</v>
      </c>
      <c r="AC1002" s="37">
        <v>22918.679999999997</v>
      </c>
      <c r="AD1002" s="31"/>
      <c r="AE1002" s="11"/>
      <c r="AF1002" s="11"/>
    </row>
    <row r="1003">
      <c r="A1003" s="11" t="s">
        <v>985</v>
      </c>
      <c r="B1003" s="39">
        <v>45417.81736111111</v>
      </c>
      <c r="C1003" s="40">
        <v>45420.7</v>
      </c>
      <c r="D1003" s="27" t="s">
        <v>37</v>
      </c>
      <c r="E1003" s="11" t="b">
        <v>0</v>
      </c>
      <c r="F1003" s="11" t="s">
        <v>49</v>
      </c>
      <c r="G1003" s="11" t="s">
        <v>993</v>
      </c>
      <c r="H1003" s="11" t="s">
        <v>993</v>
      </c>
      <c r="I1003" s="30">
        <v>5.0</v>
      </c>
      <c r="J1003" s="31">
        <v>20.0</v>
      </c>
      <c r="K1003" s="11">
        <v>1.0</v>
      </c>
      <c r="L1003" s="32">
        <f>(24900)/P1003</f>
        <v>1.559271088</v>
      </c>
      <c r="M1003" s="32">
        <f>(497)/P1003</f>
        <v>0.03112280043</v>
      </c>
      <c r="N1003" s="32">
        <f>(49700)/P1003</f>
        <v>3.112280043</v>
      </c>
      <c r="O1003" s="32">
        <v>0.0</v>
      </c>
      <c r="P1003" s="33">
        <v>15969.0</v>
      </c>
      <c r="Q1003" s="34">
        <v>20.0</v>
      </c>
      <c r="R1003" s="42">
        <v>31.18542175464963</v>
      </c>
      <c r="S1003" s="36">
        <v>0.031122800425825038</v>
      </c>
      <c r="T1003" s="36">
        <v>3.1122800425825035</v>
      </c>
      <c r="U1003" s="36"/>
      <c r="V1003" s="36">
        <v>28.10426451249295</v>
      </c>
      <c r="W1003" s="37">
        <v>1.4052132256246475</v>
      </c>
      <c r="X1003" s="42">
        <v>497999.99999999994</v>
      </c>
      <c r="Y1003" s="36">
        <v>497.0</v>
      </c>
      <c r="Z1003" s="36">
        <v>49700.0</v>
      </c>
      <c r="AA1003" s="36"/>
      <c r="AB1003" s="36">
        <v>448796.99999999994</v>
      </c>
      <c r="AC1003" s="37">
        <v>22439.85</v>
      </c>
      <c r="AD1003" s="31"/>
      <c r="AE1003" s="11"/>
      <c r="AF1003" s="11"/>
    </row>
    <row r="1004">
      <c r="A1004" s="11" t="s">
        <v>985</v>
      </c>
      <c r="B1004" s="39">
        <v>45367.59097222222</v>
      </c>
      <c r="C1004" s="40">
        <v>45368.67162809028</v>
      </c>
      <c r="D1004" s="27" t="s">
        <v>33</v>
      </c>
      <c r="E1004" s="11" t="b">
        <v>0</v>
      </c>
      <c r="F1004" s="11" t="s">
        <v>200</v>
      </c>
      <c r="G1004" s="11" t="s">
        <v>200</v>
      </c>
      <c r="H1004" s="11" t="s">
        <v>200</v>
      </c>
      <c r="I1004" s="30">
        <v>5.0</v>
      </c>
      <c r="J1004" s="31">
        <v>25.0</v>
      </c>
      <c r="K1004" s="11">
        <v>1.0</v>
      </c>
      <c r="L1004" s="32">
        <f>(22000)/P1004</f>
        <v>1.406469761</v>
      </c>
      <c r="M1004" s="32">
        <v>0.0</v>
      </c>
      <c r="N1004" s="32">
        <v>0.0</v>
      </c>
      <c r="O1004" s="32">
        <v>0.0</v>
      </c>
      <c r="P1004" s="33">
        <v>15642.0</v>
      </c>
      <c r="Q1004" s="34">
        <v>25.0</v>
      </c>
      <c r="R1004" s="42">
        <v>35.16174402250351</v>
      </c>
      <c r="S1004" s="36"/>
      <c r="T1004" s="36"/>
      <c r="U1004" s="36"/>
      <c r="V1004" s="36">
        <v>35.16174402250351</v>
      </c>
      <c r="W1004" s="37">
        <v>1.4064697609001404</v>
      </c>
      <c r="X1004" s="42">
        <v>550000.0</v>
      </c>
      <c r="Y1004" s="36"/>
      <c r="Z1004" s="36"/>
      <c r="AA1004" s="36"/>
      <c r="AB1004" s="36">
        <v>550000.0</v>
      </c>
      <c r="AC1004" s="37">
        <v>22000.0</v>
      </c>
      <c r="AD1004" s="31"/>
      <c r="AE1004" s="11"/>
      <c r="AF1004" s="11"/>
    </row>
    <row r="1005">
      <c r="A1005" s="11" t="s">
        <v>985</v>
      </c>
      <c r="B1005" s="39">
        <v>45361.60343336806</v>
      </c>
      <c r="C1005" s="40">
        <v>45365.483847361116</v>
      </c>
      <c r="D1005" s="27" t="s">
        <v>37</v>
      </c>
      <c r="E1005" s="11" t="b">
        <v>0</v>
      </c>
      <c r="F1005" s="11" t="s">
        <v>200</v>
      </c>
      <c r="G1005" s="11" t="s">
        <v>200</v>
      </c>
      <c r="H1005" s="11" t="s">
        <v>200</v>
      </c>
      <c r="I1005" s="30">
        <v>5.0</v>
      </c>
      <c r="J1005" s="31">
        <v>25.0</v>
      </c>
      <c r="K1005" s="11">
        <v>1.0</v>
      </c>
      <c r="L1005" s="32">
        <f>(22500)/P1005</f>
        <v>1.447783283</v>
      </c>
      <c r="M1005" s="32">
        <v>0.0</v>
      </c>
      <c r="N1005" s="32">
        <v>0.0</v>
      </c>
      <c r="O1005" s="32">
        <v>0.0</v>
      </c>
      <c r="P1005" s="33">
        <v>15541.0</v>
      </c>
      <c r="Q1005" s="34">
        <v>25.0</v>
      </c>
      <c r="R1005" s="42">
        <v>36.19458207322566</v>
      </c>
      <c r="S1005" s="36"/>
      <c r="T1005" s="36"/>
      <c r="U1005" s="36"/>
      <c r="V1005" s="36">
        <v>36.19458207322566</v>
      </c>
      <c r="W1005" s="37">
        <v>1.4477832829290265</v>
      </c>
      <c r="X1005" s="42">
        <v>562500.0</v>
      </c>
      <c r="Y1005" s="36"/>
      <c r="Z1005" s="36"/>
      <c r="AA1005" s="36"/>
      <c r="AB1005" s="36">
        <v>562500.0</v>
      </c>
      <c r="AC1005" s="37">
        <v>22500.0</v>
      </c>
      <c r="AD1005" s="31"/>
      <c r="AE1005" s="11"/>
      <c r="AF1005" s="11"/>
    </row>
    <row r="1006">
      <c r="A1006" s="11" t="s">
        <v>994</v>
      </c>
      <c r="B1006" s="39">
        <v>43458.93819444445</v>
      </c>
      <c r="C1006" s="40">
        <v>43435.0</v>
      </c>
      <c r="D1006" s="27" t="s">
        <v>56</v>
      </c>
      <c r="E1006" s="39" t="b">
        <v>0</v>
      </c>
      <c r="F1006" s="11" t="s">
        <v>38</v>
      </c>
      <c r="G1006" s="29" t="s">
        <v>505</v>
      </c>
      <c r="H1006" s="11" t="s">
        <v>506</v>
      </c>
      <c r="I1006" s="33"/>
      <c r="J1006" s="31">
        <v>2.0</v>
      </c>
      <c r="K1006" s="11">
        <v>1.0</v>
      </c>
      <c r="L1006" s="36">
        <f>190000*(1-25%)/P1006</f>
        <v>14.25</v>
      </c>
      <c r="M1006" s="36">
        <f>7000/P1006</f>
        <v>0.7</v>
      </c>
      <c r="N1006" s="32">
        <v>0.0</v>
      </c>
      <c r="O1006" s="32">
        <v>0.0</v>
      </c>
      <c r="P1006" s="33">
        <v>10000.0</v>
      </c>
      <c r="Q1006" s="34">
        <v>2.0</v>
      </c>
      <c r="R1006" s="42">
        <v>28.5</v>
      </c>
      <c r="S1006" s="36">
        <v>0.7</v>
      </c>
      <c r="T1006" s="36"/>
      <c r="U1006" s="36"/>
      <c r="V1006" s="36">
        <v>29.2</v>
      </c>
      <c r="W1006" s="37">
        <v>14.6</v>
      </c>
      <c r="X1006" s="42">
        <v>285000.0</v>
      </c>
      <c r="Y1006" s="36">
        <v>7000.0</v>
      </c>
      <c r="Z1006" s="36"/>
      <c r="AA1006" s="36"/>
      <c r="AB1006" s="36">
        <v>292000.0</v>
      </c>
      <c r="AC1006" s="37">
        <v>146000.0</v>
      </c>
      <c r="AD1006" s="31">
        <v>190000.0</v>
      </c>
      <c r="AE1006" s="11">
        <v>190000.0</v>
      </c>
      <c r="AF1006" s="11" t="s">
        <v>100</v>
      </c>
    </row>
    <row r="1007">
      <c r="A1007" s="11" t="s">
        <v>995</v>
      </c>
      <c r="B1007" s="39">
        <v>43415.50237703703</v>
      </c>
      <c r="C1007" s="40">
        <v>43419.0</v>
      </c>
      <c r="D1007" s="27" t="s">
        <v>98</v>
      </c>
      <c r="E1007" s="11" t="b">
        <v>0</v>
      </c>
      <c r="F1007" s="11" t="s">
        <v>316</v>
      </c>
      <c r="G1007" s="59" t="str">
        <f>"https://www.blibli.com/p/xiaomi-redmi-6a-smartphone-16-gb-2-gb-resmi-tam/ps--CAP-60033-00090?ds=CAP-60033-00090-00003&amp;list=Search%20Results%20Page"</f>
        <v>https://www.blibli.com/p/xiaomi-redmi-6a-smartphone-16-gb-2-gb-resmi-tam/ps--CAP-60033-00090?ds=CAP-60033-00090-00003&amp;list=Search%20Results%20Page</v>
      </c>
      <c r="H1007" s="11" t="s">
        <v>996</v>
      </c>
      <c r="I1007" s="33"/>
      <c r="J1007" s="31">
        <v>1.0</v>
      </c>
      <c r="K1007" s="11">
        <v>1.0</v>
      </c>
      <c r="L1007" s="36">
        <f>(1460000-1000-100)/P1007</f>
        <v>145.89</v>
      </c>
      <c r="M1007" s="32">
        <v>0.0</v>
      </c>
      <c r="N1007" s="32">
        <v>0.0</v>
      </c>
      <c r="O1007" s="32">
        <v>0.0</v>
      </c>
      <c r="P1007" s="33">
        <v>10000.0</v>
      </c>
      <c r="Q1007" s="34">
        <v>1.0</v>
      </c>
      <c r="R1007" s="42">
        <v>145.89</v>
      </c>
      <c r="S1007" s="36"/>
      <c r="T1007" s="36"/>
      <c r="U1007" s="36"/>
      <c r="V1007" s="36">
        <v>145.89</v>
      </c>
      <c r="W1007" s="37">
        <v>145.89</v>
      </c>
      <c r="X1007" s="42">
        <v>1458899.9999999998</v>
      </c>
      <c r="Y1007" s="36"/>
      <c r="Z1007" s="36"/>
      <c r="AA1007" s="36"/>
      <c r="AB1007" s="36">
        <v>1458899.9999999998</v>
      </c>
      <c r="AC1007" s="37">
        <v>1458899.9999999998</v>
      </c>
      <c r="AD1007" s="31">
        <v>1325000.0</v>
      </c>
      <c r="AE1007" s="11">
        <v>1325000.0</v>
      </c>
      <c r="AF1007" s="11"/>
    </row>
    <row r="1008">
      <c r="A1008" s="11" t="s">
        <v>997</v>
      </c>
      <c r="B1008" s="39">
        <v>43459.0</v>
      </c>
      <c r="C1008" s="40">
        <v>43435.0</v>
      </c>
      <c r="D1008" s="27" t="s">
        <v>56</v>
      </c>
      <c r="E1008" s="11" t="b">
        <v>0</v>
      </c>
      <c r="F1008" s="11" t="s">
        <v>38</v>
      </c>
      <c r="G1008" s="29" t="s">
        <v>505</v>
      </c>
      <c r="H1008" s="11" t="s">
        <v>506</v>
      </c>
      <c r="I1008" s="33"/>
      <c r="J1008" s="31">
        <v>1.0</v>
      </c>
      <c r="K1008" s="11">
        <v>1.0</v>
      </c>
      <c r="L1008" s="36">
        <f>2675000*(1-25%)/P1008</f>
        <v>200.625</v>
      </c>
      <c r="M1008" s="36">
        <f>7000/P1008</f>
        <v>0.7</v>
      </c>
      <c r="N1008" s="32">
        <v>0.0</v>
      </c>
      <c r="O1008" s="32">
        <v>0.0</v>
      </c>
      <c r="P1008" s="33">
        <v>10000.0</v>
      </c>
      <c r="Q1008" s="34">
        <v>1.0</v>
      </c>
      <c r="R1008" s="42">
        <v>200.625</v>
      </c>
      <c r="S1008" s="36">
        <v>0.7</v>
      </c>
      <c r="T1008" s="36"/>
      <c r="U1008" s="36"/>
      <c r="V1008" s="36">
        <v>201.325</v>
      </c>
      <c r="W1008" s="37">
        <v>201.325</v>
      </c>
      <c r="X1008" s="42">
        <v>2006250.0</v>
      </c>
      <c r="Y1008" s="36">
        <v>7000.0</v>
      </c>
      <c r="Z1008" s="36"/>
      <c r="AA1008" s="36"/>
      <c r="AB1008" s="36">
        <v>2013250.0</v>
      </c>
      <c r="AC1008" s="37">
        <v>2013250.0</v>
      </c>
      <c r="AD1008" s="31">
        <v>2675000.0</v>
      </c>
      <c r="AE1008" s="11">
        <v>2675000.0</v>
      </c>
      <c r="AF1008" s="11"/>
    </row>
    <row r="1009">
      <c r="A1009" s="11" t="s">
        <v>998</v>
      </c>
      <c r="B1009" s="39">
        <v>43415.502343009255</v>
      </c>
      <c r="C1009" s="40">
        <v>43421.0</v>
      </c>
      <c r="D1009" s="27" t="s">
        <v>98</v>
      </c>
      <c r="E1009" s="11" t="b">
        <v>0</v>
      </c>
      <c r="F1009" s="11" t="s">
        <v>316</v>
      </c>
      <c r="G1009" s="59" t="str">
        <f>"https://www.blibli.com/p/xiaomi-redmi-note-5a-smartphone-16gb-2gb-tam/ps--DIL-38128-00337"</f>
        <v>https://www.blibli.com/p/xiaomi-redmi-note-5a-smartphone-16gb-2gb-tam/ps--DIL-38128-00337</v>
      </c>
      <c r="H1009" s="11" t="s">
        <v>999</v>
      </c>
      <c r="I1009" s="33"/>
      <c r="J1009" s="31">
        <v>1.0</v>
      </c>
      <c r="K1009" s="11">
        <v>1.0</v>
      </c>
      <c r="L1009" s="36">
        <f>(1619000-1-100)/P1009</f>
        <v>161.8899</v>
      </c>
      <c r="M1009" s="32">
        <v>0.0</v>
      </c>
      <c r="N1009" s="32">
        <v>0.0</v>
      </c>
      <c r="O1009" s="32">
        <v>0.0</v>
      </c>
      <c r="P1009" s="33">
        <v>10000.0</v>
      </c>
      <c r="Q1009" s="34">
        <v>1.0</v>
      </c>
      <c r="R1009" s="42">
        <v>161.8899</v>
      </c>
      <c r="S1009" s="36"/>
      <c r="T1009" s="36"/>
      <c r="U1009" s="36"/>
      <c r="V1009" s="36">
        <v>161.8899</v>
      </c>
      <c r="W1009" s="37">
        <v>161.8899</v>
      </c>
      <c r="X1009" s="42">
        <v>1618899.0</v>
      </c>
      <c r="Y1009" s="36"/>
      <c r="Z1009" s="36"/>
      <c r="AA1009" s="36"/>
      <c r="AB1009" s="36">
        <v>1618899.0</v>
      </c>
      <c r="AC1009" s="37">
        <v>1618899.0</v>
      </c>
      <c r="AD1009" s="31">
        <v>1500000.0</v>
      </c>
      <c r="AE1009" s="11">
        <v>1500000.0</v>
      </c>
      <c r="AF1009" s="11"/>
    </row>
    <row r="1010">
      <c r="A1010" s="11" t="s">
        <v>1000</v>
      </c>
      <c r="B1010" s="39">
        <v>43458.875</v>
      </c>
      <c r="C1010" s="40">
        <v>43435.0</v>
      </c>
      <c r="D1010" s="27" t="s">
        <v>56</v>
      </c>
      <c r="E1010" s="11" t="b">
        <v>0</v>
      </c>
      <c r="F1010" s="11" t="s">
        <v>38</v>
      </c>
      <c r="G1010" s="29" t="s">
        <v>505</v>
      </c>
      <c r="H1010" s="11" t="s">
        <v>506</v>
      </c>
      <c r="I1010" s="33"/>
      <c r="J1010" s="31">
        <v>1.0</v>
      </c>
      <c r="K1010" s="11">
        <v>1.0</v>
      </c>
      <c r="L1010" s="36">
        <f>400000*(1-25%)/P1010</f>
        <v>30</v>
      </c>
      <c r="M1010" s="36">
        <f t="shared" ref="M1010:M1011" si="291">7000/P1010</f>
        <v>0.7</v>
      </c>
      <c r="N1010" s="32">
        <v>0.0</v>
      </c>
      <c r="O1010" s="32">
        <v>0.0</v>
      </c>
      <c r="P1010" s="33">
        <v>10000.0</v>
      </c>
      <c r="Q1010" s="34">
        <v>1.0</v>
      </c>
      <c r="R1010" s="42">
        <v>30.0</v>
      </c>
      <c r="S1010" s="36">
        <v>0.7</v>
      </c>
      <c r="T1010" s="36"/>
      <c r="U1010" s="36"/>
      <c r="V1010" s="36">
        <v>30.7</v>
      </c>
      <c r="W1010" s="37">
        <v>30.7</v>
      </c>
      <c r="X1010" s="42">
        <v>300000.0</v>
      </c>
      <c r="Y1010" s="36">
        <v>7000.0</v>
      </c>
      <c r="Z1010" s="36"/>
      <c r="AA1010" s="36"/>
      <c r="AB1010" s="36">
        <v>307000.0</v>
      </c>
      <c r="AC1010" s="37">
        <v>307000.0</v>
      </c>
      <c r="AD1010" s="31">
        <v>400000.0</v>
      </c>
      <c r="AE1010" s="11">
        <v>400000.0</v>
      </c>
      <c r="AF1010" s="11"/>
    </row>
    <row r="1011">
      <c r="A1011" s="11" t="s">
        <v>1000</v>
      </c>
      <c r="B1011" s="39">
        <v>43433.60555555556</v>
      </c>
      <c r="C1011" s="40">
        <v>43435.0</v>
      </c>
      <c r="D1011" s="27" t="s">
        <v>56</v>
      </c>
      <c r="E1011" s="39" t="b">
        <v>0</v>
      </c>
      <c r="F1011" s="11" t="s">
        <v>38</v>
      </c>
      <c r="G1011" s="29" t="s">
        <v>505</v>
      </c>
      <c r="H1011" s="11" t="s">
        <v>506</v>
      </c>
      <c r="I1011" s="33"/>
      <c r="J1011" s="31">
        <v>1.0</v>
      </c>
      <c r="K1011" s="11">
        <v>1.0</v>
      </c>
      <c r="L1011" s="36">
        <f>(450000 - (450000*2%))/P1011</f>
        <v>44.1</v>
      </c>
      <c r="M1011" s="32">
        <f t="shared" si="291"/>
        <v>0.7</v>
      </c>
      <c r="N1011" s="32">
        <v>0.0</v>
      </c>
      <c r="O1011" s="32">
        <v>0.0</v>
      </c>
      <c r="P1011" s="33">
        <v>10000.0</v>
      </c>
      <c r="Q1011" s="34">
        <v>1.0</v>
      </c>
      <c r="R1011" s="42">
        <v>44.1</v>
      </c>
      <c r="S1011" s="36">
        <v>0.7</v>
      </c>
      <c r="T1011" s="36"/>
      <c r="U1011" s="36"/>
      <c r="V1011" s="36">
        <v>44.800000000000004</v>
      </c>
      <c r="W1011" s="37">
        <v>44.800000000000004</v>
      </c>
      <c r="X1011" s="42">
        <v>441000.0</v>
      </c>
      <c r="Y1011" s="36">
        <v>7000.0</v>
      </c>
      <c r="Z1011" s="36"/>
      <c r="AA1011" s="36"/>
      <c r="AB1011" s="36">
        <v>448000.00000000006</v>
      </c>
      <c r="AC1011" s="37">
        <v>448000.00000000006</v>
      </c>
      <c r="AD1011" s="31">
        <v>450000.0</v>
      </c>
      <c r="AE1011" s="11">
        <v>450000.0</v>
      </c>
      <c r="AF1011" s="11" t="s">
        <v>100</v>
      </c>
    </row>
    <row r="1012">
      <c r="A1012" s="11"/>
      <c r="B1012" s="5"/>
      <c r="C1012" s="6"/>
      <c r="D1012" s="27"/>
      <c r="E1012" s="11" t="b">
        <v>0</v>
      </c>
      <c r="F1012" s="11"/>
      <c r="G1012" s="11"/>
      <c r="H1012" s="11"/>
      <c r="I1012" s="30"/>
      <c r="J1012" s="31"/>
      <c r="K1012" s="11"/>
      <c r="L1012" s="32"/>
      <c r="M1012" s="32"/>
      <c r="N1012" s="32"/>
      <c r="O1012" s="32"/>
      <c r="P1012" s="33"/>
      <c r="Q1012" s="34"/>
      <c r="R1012" s="42"/>
      <c r="S1012" s="36"/>
      <c r="T1012" s="36"/>
      <c r="U1012" s="36"/>
      <c r="V1012" s="36"/>
      <c r="W1012" s="37"/>
      <c r="X1012" s="42"/>
      <c r="Y1012" s="36"/>
      <c r="Z1012" s="36"/>
      <c r="AA1012" s="36"/>
      <c r="AB1012" s="36"/>
      <c r="AC1012" s="37"/>
      <c r="AD1012" s="31"/>
      <c r="AE1012" s="11"/>
      <c r="AF1012" s="11"/>
    </row>
    <row r="1013">
      <c r="A1013" s="11"/>
      <c r="B1013" s="5"/>
      <c r="C1013" s="6"/>
      <c r="D1013" s="27"/>
      <c r="E1013" s="11" t="b">
        <v>0</v>
      </c>
      <c r="F1013" s="11"/>
      <c r="G1013" s="11"/>
      <c r="H1013" s="11"/>
      <c r="I1013" s="30"/>
      <c r="J1013" s="31"/>
      <c r="K1013" s="11"/>
      <c r="L1013" s="32"/>
      <c r="M1013" s="32"/>
      <c r="N1013" s="32"/>
      <c r="O1013" s="32"/>
      <c r="P1013" s="33"/>
      <c r="Q1013" s="34"/>
      <c r="R1013" s="42"/>
      <c r="S1013" s="36"/>
      <c r="T1013" s="36"/>
      <c r="U1013" s="36"/>
      <c r="V1013" s="36"/>
      <c r="W1013" s="37"/>
      <c r="X1013" s="42"/>
      <c r="Y1013" s="36"/>
      <c r="Z1013" s="36"/>
      <c r="AA1013" s="36"/>
      <c r="AB1013" s="36"/>
      <c r="AC1013" s="37"/>
      <c r="AD1013" s="31"/>
      <c r="AE1013" s="11"/>
      <c r="AF1013" s="11"/>
    </row>
    <row r="1014">
      <c r="A1014" s="11"/>
      <c r="B1014" s="5"/>
      <c r="C1014" s="6"/>
      <c r="D1014" s="27"/>
      <c r="E1014" s="11" t="b">
        <v>0</v>
      </c>
      <c r="F1014" s="11"/>
      <c r="G1014" s="11"/>
      <c r="H1014" s="11"/>
      <c r="I1014" s="30"/>
      <c r="J1014" s="31"/>
      <c r="K1014" s="11"/>
      <c r="L1014" s="32"/>
      <c r="M1014" s="32"/>
      <c r="N1014" s="32"/>
      <c r="O1014" s="32"/>
      <c r="P1014" s="33"/>
      <c r="Q1014" s="34"/>
      <c r="R1014" s="42"/>
      <c r="S1014" s="36"/>
      <c r="T1014" s="36"/>
      <c r="U1014" s="36"/>
      <c r="V1014" s="36"/>
      <c r="W1014" s="37"/>
      <c r="X1014" s="42"/>
      <c r="Y1014" s="36"/>
      <c r="Z1014" s="36"/>
      <c r="AA1014" s="36"/>
      <c r="AB1014" s="36"/>
      <c r="AC1014" s="37"/>
      <c r="AD1014" s="31"/>
      <c r="AE1014" s="11"/>
      <c r="AF1014" s="11"/>
    </row>
    <row r="1015">
      <c r="A1015" s="11"/>
      <c r="B1015" s="5"/>
      <c r="C1015" s="6"/>
      <c r="D1015" s="27"/>
      <c r="E1015" s="11" t="b">
        <v>0</v>
      </c>
      <c r="F1015" s="11"/>
      <c r="G1015" s="11"/>
      <c r="H1015" s="11"/>
      <c r="I1015" s="30"/>
      <c r="J1015" s="31"/>
      <c r="K1015" s="11"/>
      <c r="L1015" s="32"/>
      <c r="M1015" s="32"/>
      <c r="N1015" s="32"/>
      <c r="O1015" s="32"/>
      <c r="P1015" s="33"/>
      <c r="Q1015" s="34"/>
      <c r="R1015" s="42"/>
      <c r="S1015" s="36"/>
      <c r="T1015" s="36"/>
      <c r="U1015" s="36"/>
      <c r="V1015" s="36"/>
      <c r="W1015" s="37"/>
      <c r="X1015" s="42"/>
      <c r="Y1015" s="36"/>
      <c r="Z1015" s="36"/>
      <c r="AA1015" s="36"/>
      <c r="AB1015" s="36"/>
      <c r="AC1015" s="37"/>
      <c r="AD1015" s="31"/>
      <c r="AE1015" s="11"/>
      <c r="AF1015" s="11"/>
    </row>
    <row r="1016">
      <c r="A1016" s="11"/>
      <c r="B1016" s="5"/>
      <c r="C1016" s="6"/>
      <c r="D1016" s="27"/>
      <c r="E1016" s="11" t="b">
        <v>0</v>
      </c>
      <c r="F1016" s="11"/>
      <c r="G1016" s="11"/>
      <c r="H1016" s="11"/>
      <c r="I1016" s="30"/>
      <c r="J1016" s="31"/>
      <c r="K1016" s="11"/>
      <c r="L1016" s="32"/>
      <c r="M1016" s="32"/>
      <c r="N1016" s="32"/>
      <c r="O1016" s="32"/>
      <c r="P1016" s="33"/>
      <c r="Q1016" s="34"/>
      <c r="R1016" s="42"/>
      <c r="S1016" s="36"/>
      <c r="T1016" s="36"/>
      <c r="U1016" s="36"/>
      <c r="V1016" s="36"/>
      <c r="W1016" s="37"/>
      <c r="X1016" s="42"/>
      <c r="Y1016" s="36"/>
      <c r="Z1016" s="36"/>
      <c r="AA1016" s="36"/>
      <c r="AB1016" s="36"/>
      <c r="AC1016" s="37"/>
      <c r="AD1016" s="31"/>
      <c r="AE1016" s="11"/>
      <c r="AF1016" s="11"/>
    </row>
    <row r="1017">
      <c r="A1017" s="11"/>
      <c r="B1017" s="5"/>
      <c r="C1017" s="6"/>
      <c r="D1017" s="27"/>
      <c r="E1017" s="11" t="b">
        <v>0</v>
      </c>
      <c r="F1017" s="11"/>
      <c r="G1017" s="11"/>
      <c r="H1017" s="11"/>
      <c r="I1017" s="30"/>
      <c r="J1017" s="31"/>
      <c r="K1017" s="11"/>
      <c r="L1017" s="32"/>
      <c r="M1017" s="32"/>
      <c r="N1017" s="32"/>
      <c r="O1017" s="32"/>
      <c r="P1017" s="33"/>
      <c r="Q1017" s="34"/>
      <c r="R1017" s="42"/>
      <c r="S1017" s="36"/>
      <c r="T1017" s="36"/>
      <c r="U1017" s="36"/>
      <c r="V1017" s="36"/>
      <c r="W1017" s="37"/>
      <c r="X1017" s="42"/>
      <c r="Y1017" s="36"/>
      <c r="Z1017" s="36"/>
      <c r="AA1017" s="36"/>
      <c r="AB1017" s="36"/>
      <c r="AC1017" s="37"/>
      <c r="AD1017" s="31"/>
      <c r="AE1017" s="11"/>
      <c r="AF1017" s="11"/>
    </row>
    <row r="1018">
      <c r="A1018" s="11"/>
      <c r="B1018" s="5"/>
      <c r="C1018" s="6"/>
      <c r="D1018" s="27"/>
      <c r="E1018" s="11" t="b">
        <v>0</v>
      </c>
      <c r="F1018" s="11"/>
      <c r="G1018" s="11"/>
      <c r="H1018" s="11"/>
      <c r="I1018" s="30"/>
      <c r="J1018" s="31"/>
      <c r="K1018" s="11"/>
      <c r="L1018" s="32"/>
      <c r="M1018" s="32"/>
      <c r="N1018" s="32"/>
      <c r="O1018" s="32"/>
      <c r="P1018" s="33"/>
      <c r="Q1018" s="34"/>
      <c r="R1018" s="42"/>
      <c r="S1018" s="36"/>
      <c r="T1018" s="36"/>
      <c r="U1018" s="36"/>
      <c r="V1018" s="36"/>
      <c r="W1018" s="37"/>
      <c r="X1018" s="42"/>
      <c r="Y1018" s="36"/>
      <c r="Z1018" s="36"/>
      <c r="AA1018" s="36"/>
      <c r="AB1018" s="36"/>
      <c r="AC1018" s="37"/>
      <c r="AD1018" s="31"/>
      <c r="AE1018" s="11"/>
      <c r="AF1018" s="11"/>
    </row>
    <row r="1019">
      <c r="A1019" s="11"/>
      <c r="B1019" s="5"/>
      <c r="C1019" s="6"/>
      <c r="D1019" s="27"/>
      <c r="E1019" s="11" t="b">
        <v>0</v>
      </c>
      <c r="F1019" s="11"/>
      <c r="G1019" s="11"/>
      <c r="H1019" s="11"/>
      <c r="I1019" s="30"/>
      <c r="J1019" s="31"/>
      <c r="K1019" s="11"/>
      <c r="L1019" s="32"/>
      <c r="M1019" s="32"/>
      <c r="N1019" s="32"/>
      <c r="O1019" s="32"/>
      <c r="P1019" s="33"/>
      <c r="Q1019" s="34"/>
      <c r="R1019" s="42"/>
      <c r="S1019" s="36"/>
      <c r="T1019" s="36"/>
      <c r="U1019" s="36"/>
      <c r="V1019" s="36"/>
      <c r="W1019" s="37"/>
      <c r="X1019" s="42"/>
      <c r="Y1019" s="36"/>
      <c r="Z1019" s="36"/>
      <c r="AA1019" s="36"/>
      <c r="AB1019" s="36"/>
      <c r="AC1019" s="37"/>
      <c r="AD1019" s="31"/>
      <c r="AE1019" s="11"/>
      <c r="AF1019" s="11"/>
    </row>
    <row r="1020">
      <c r="A1020" s="11"/>
      <c r="B1020" s="5"/>
      <c r="C1020" s="6"/>
      <c r="D1020" s="27"/>
      <c r="E1020" s="11" t="b">
        <v>0</v>
      </c>
      <c r="F1020" s="11"/>
      <c r="G1020" s="11"/>
      <c r="H1020" s="11"/>
      <c r="I1020" s="30"/>
      <c r="J1020" s="31"/>
      <c r="K1020" s="11"/>
      <c r="L1020" s="32"/>
      <c r="M1020" s="32"/>
      <c r="N1020" s="32"/>
      <c r="O1020" s="32"/>
      <c r="P1020" s="33"/>
      <c r="Q1020" s="34"/>
      <c r="R1020" s="42"/>
      <c r="S1020" s="36"/>
      <c r="T1020" s="36"/>
      <c r="U1020" s="36"/>
      <c r="V1020" s="36"/>
      <c r="W1020" s="37"/>
      <c r="X1020" s="42"/>
      <c r="Y1020" s="36"/>
      <c r="Z1020" s="36"/>
      <c r="AA1020" s="36"/>
      <c r="AB1020" s="36"/>
      <c r="AC1020" s="37"/>
      <c r="AD1020" s="31"/>
      <c r="AE1020" s="11"/>
      <c r="AF1020" s="11"/>
    </row>
    <row r="1021">
      <c r="A1021" s="11"/>
      <c r="B1021" s="5"/>
      <c r="C1021" s="6"/>
      <c r="D1021" s="27"/>
      <c r="E1021" s="11" t="b">
        <v>0</v>
      </c>
      <c r="F1021" s="11"/>
      <c r="G1021" s="11"/>
      <c r="H1021" s="11"/>
      <c r="I1021" s="30"/>
      <c r="J1021" s="31"/>
      <c r="K1021" s="11"/>
      <c r="L1021" s="32"/>
      <c r="M1021" s="32"/>
      <c r="N1021" s="32"/>
      <c r="O1021" s="32"/>
      <c r="P1021" s="33"/>
      <c r="Q1021" s="34"/>
      <c r="R1021" s="42"/>
      <c r="S1021" s="36"/>
      <c r="T1021" s="36"/>
      <c r="U1021" s="36"/>
      <c r="V1021" s="36"/>
      <c r="W1021" s="37"/>
      <c r="X1021" s="42"/>
      <c r="Y1021" s="36"/>
      <c r="Z1021" s="36"/>
      <c r="AA1021" s="36"/>
      <c r="AB1021" s="36"/>
      <c r="AC1021" s="37"/>
      <c r="AD1021" s="31"/>
      <c r="AE1021" s="11"/>
      <c r="AF1021" s="11"/>
    </row>
    <row r="1022">
      <c r="A1022" s="11"/>
      <c r="B1022" s="5"/>
      <c r="C1022" s="6"/>
      <c r="D1022" s="27"/>
      <c r="E1022" s="11" t="b">
        <v>0</v>
      </c>
      <c r="F1022" s="11"/>
      <c r="G1022" s="11"/>
      <c r="H1022" s="11"/>
      <c r="I1022" s="30"/>
      <c r="J1022" s="31"/>
      <c r="K1022" s="11"/>
      <c r="L1022" s="32"/>
      <c r="M1022" s="32"/>
      <c r="N1022" s="32"/>
      <c r="O1022" s="32"/>
      <c r="P1022" s="33"/>
      <c r="Q1022" s="34"/>
      <c r="R1022" s="42"/>
      <c r="S1022" s="36"/>
      <c r="T1022" s="36"/>
      <c r="U1022" s="36"/>
      <c r="V1022" s="36"/>
      <c r="W1022" s="37"/>
      <c r="X1022" s="42"/>
      <c r="Y1022" s="36"/>
      <c r="Z1022" s="36"/>
      <c r="AA1022" s="36"/>
      <c r="AB1022" s="36"/>
      <c r="AC1022" s="37"/>
      <c r="AD1022" s="31"/>
      <c r="AE1022" s="11"/>
      <c r="AF1022" s="11"/>
    </row>
    <row r="1023">
      <c r="A1023" s="11"/>
      <c r="B1023" s="5"/>
      <c r="C1023" s="6"/>
      <c r="D1023" s="27"/>
      <c r="E1023" s="11" t="b">
        <v>0</v>
      </c>
      <c r="F1023" s="11"/>
      <c r="G1023" s="11"/>
      <c r="H1023" s="11"/>
      <c r="I1023" s="30"/>
      <c r="J1023" s="31"/>
      <c r="K1023" s="11"/>
      <c r="L1023" s="32"/>
      <c r="M1023" s="32"/>
      <c r="N1023" s="32"/>
      <c r="O1023" s="32"/>
      <c r="P1023" s="33"/>
      <c r="Q1023" s="34"/>
      <c r="R1023" s="42"/>
      <c r="S1023" s="36"/>
      <c r="T1023" s="36"/>
      <c r="U1023" s="36"/>
      <c r="V1023" s="36"/>
      <c r="W1023" s="37"/>
      <c r="X1023" s="42"/>
      <c r="Y1023" s="36"/>
      <c r="Z1023" s="36"/>
      <c r="AA1023" s="36"/>
      <c r="AB1023" s="36"/>
      <c r="AC1023" s="37"/>
      <c r="AD1023" s="31"/>
      <c r="AE1023" s="11"/>
      <c r="AF1023" s="11"/>
    </row>
    <row r="1024">
      <c r="A1024" s="11"/>
      <c r="B1024" s="5"/>
      <c r="C1024" s="6"/>
      <c r="D1024" s="27"/>
      <c r="E1024" s="11" t="b">
        <v>0</v>
      </c>
      <c r="F1024" s="11"/>
      <c r="G1024" s="11"/>
      <c r="H1024" s="11"/>
      <c r="I1024" s="30"/>
      <c r="J1024" s="31"/>
      <c r="K1024" s="11"/>
      <c r="L1024" s="32"/>
      <c r="M1024" s="32"/>
      <c r="N1024" s="32"/>
      <c r="O1024" s="32"/>
      <c r="P1024" s="33"/>
      <c r="Q1024" s="34"/>
      <c r="R1024" s="42"/>
      <c r="S1024" s="36"/>
      <c r="T1024" s="36"/>
      <c r="U1024" s="36"/>
      <c r="V1024" s="36"/>
      <c r="W1024" s="37"/>
      <c r="X1024" s="42"/>
      <c r="Y1024" s="36"/>
      <c r="Z1024" s="36"/>
      <c r="AA1024" s="36"/>
      <c r="AB1024" s="36"/>
      <c r="AC1024" s="37"/>
      <c r="AD1024" s="31"/>
      <c r="AE1024" s="11"/>
      <c r="AF1024" s="11"/>
    </row>
    <row r="1025">
      <c r="A1025" s="11"/>
      <c r="B1025" s="5"/>
      <c r="C1025" s="6"/>
      <c r="D1025" s="27"/>
      <c r="E1025" s="11" t="b">
        <v>0</v>
      </c>
      <c r="F1025" s="11"/>
      <c r="G1025" s="11"/>
      <c r="H1025" s="11"/>
      <c r="I1025" s="30"/>
      <c r="J1025" s="31"/>
      <c r="K1025" s="11"/>
      <c r="L1025" s="32"/>
      <c r="M1025" s="32"/>
      <c r="N1025" s="32"/>
      <c r="O1025" s="32"/>
      <c r="P1025" s="33"/>
      <c r="Q1025" s="34"/>
      <c r="R1025" s="42"/>
      <c r="S1025" s="36"/>
      <c r="T1025" s="36"/>
      <c r="U1025" s="36"/>
      <c r="V1025" s="36"/>
      <c r="W1025" s="37"/>
      <c r="X1025" s="42"/>
      <c r="Y1025" s="36"/>
      <c r="Z1025" s="36"/>
      <c r="AA1025" s="36"/>
      <c r="AB1025" s="36"/>
      <c r="AC1025" s="37"/>
      <c r="AD1025" s="31"/>
      <c r="AE1025" s="11"/>
      <c r="AF1025" s="11"/>
    </row>
    <row r="1026">
      <c r="A1026" s="11"/>
      <c r="B1026" s="5"/>
      <c r="C1026" s="6"/>
      <c r="D1026" s="27"/>
      <c r="E1026" s="11" t="b">
        <v>0</v>
      </c>
      <c r="F1026" s="11"/>
      <c r="G1026" s="11"/>
      <c r="H1026" s="11"/>
      <c r="I1026" s="30"/>
      <c r="J1026" s="31"/>
      <c r="K1026" s="11"/>
      <c r="L1026" s="32"/>
      <c r="M1026" s="32"/>
      <c r="N1026" s="32"/>
      <c r="O1026" s="32"/>
      <c r="P1026" s="33"/>
      <c r="Q1026" s="34"/>
      <c r="R1026" s="42"/>
      <c r="S1026" s="36"/>
      <c r="T1026" s="36"/>
      <c r="U1026" s="36"/>
      <c r="V1026" s="36"/>
      <c r="W1026" s="37"/>
      <c r="X1026" s="42"/>
      <c r="Y1026" s="36"/>
      <c r="Z1026" s="36"/>
      <c r="AA1026" s="36"/>
      <c r="AB1026" s="36"/>
      <c r="AC1026" s="37"/>
      <c r="AD1026" s="31"/>
      <c r="AE1026" s="11"/>
      <c r="AF1026" s="11"/>
    </row>
  </sheetData>
  <autoFilter ref="$A$2:$AF$1020">
    <sortState ref="A2:AF1020">
      <sortCondition ref="A2:A1020"/>
      <sortCondition descending="1" ref="B2:B1020"/>
      <sortCondition ref="H2:H1020"/>
      <sortCondition ref="C2:C1020"/>
      <sortCondition ref="F2:F1020"/>
      <sortCondition ref="AC2:AC1020"/>
    </sortState>
  </autoFilter>
  <mergeCells count="5">
    <mergeCell ref="F1:I1"/>
    <mergeCell ref="J1:P1"/>
    <mergeCell ref="R1:W1"/>
    <mergeCell ref="X1:AC1"/>
    <mergeCell ref="AD1:AF1"/>
  </mergeCells>
  <conditionalFormatting sqref="I1:I1026">
    <cfRule type="expression" dxfId="0" priority="1">
      <formula>(C:C&lt;&gt;"")*(I:I="")</formula>
    </cfRule>
  </conditionalFormatting>
  <dataValidations>
    <dataValidation type="list" allowBlank="1" showInputMessage="1" showErrorMessage="1" prompt="SKU harus sesuai dengan daftar di BisaSEO, jika belum ada silakan tambahkan terlebih dahulu" sqref="A3:A261 A263:A1026">
      <formula1>BisaRekapBarangBackend!$D$2:$D1026</formula1>
    </dataValidation>
    <dataValidation type="list" allowBlank="1" sqref="D3:D1026">
      <formula1>BisaRekapBarangBackend!$A$2:$A1026</formula1>
    </dataValidation>
    <dataValidation type="custom" allowBlank="1" showDropDown="1" showInputMessage="1" showErrorMessage="1" prompt="Format Tanggal : dd-MMM-yyyy dalam Bahasa Inggris, misal 01-May-2019" sqref="B1 B3:C1026">
      <formula1>OR(NOT(ISERROR(DATEVALUE(B1))), AND(ISNUMBER(B1), LEFT(CELL("format", B1))="D"))</formula1>
    </dataValidation>
  </dataValidations>
  <hyperlinks>
    <hyperlink r:id="rId2" ref="G4"/>
    <hyperlink r:id="rId3" ref="G7"/>
    <hyperlink r:id="rId4" ref="G19"/>
    <hyperlink r:id="rId5" ref="G20"/>
    <hyperlink r:id="rId6" ref="G21"/>
    <hyperlink r:id="rId7" ref="G22"/>
    <hyperlink r:id="rId8" ref="G23"/>
    <hyperlink r:id="rId9" ref="G24"/>
    <hyperlink r:id="rId10" ref="G26"/>
    <hyperlink r:id="rId11" ref="G35"/>
    <hyperlink r:id="rId12" ref="G56"/>
    <hyperlink r:id="rId13" ref="G57"/>
    <hyperlink r:id="rId14" ref="G153"/>
    <hyperlink r:id="rId15" ref="G155"/>
    <hyperlink r:id="rId16" ref="G159"/>
    <hyperlink r:id="rId17" ref="G186"/>
    <hyperlink r:id="rId18" ref="G198"/>
    <hyperlink r:id="rId19" ref="G306"/>
    <hyperlink r:id="rId20" ref="G309"/>
    <hyperlink r:id="rId21" ref="G311"/>
    <hyperlink r:id="rId22" ref="G318"/>
    <hyperlink r:id="rId23" ref="G319"/>
    <hyperlink r:id="rId24" ref="G320"/>
    <hyperlink r:id="rId25" ref="G334"/>
    <hyperlink r:id="rId26" ref="G343"/>
    <hyperlink r:id="rId27" ref="G344"/>
    <hyperlink r:id="rId28" ref="G351"/>
    <hyperlink r:id="rId29" ref="G365"/>
    <hyperlink r:id="rId30" ref="G375"/>
    <hyperlink r:id="rId31" ref="G394"/>
    <hyperlink r:id="rId32" ref="G396"/>
    <hyperlink r:id="rId33" ref="G397"/>
    <hyperlink r:id="rId34" ref="G398"/>
    <hyperlink r:id="rId35" ref="G399"/>
    <hyperlink r:id="rId36" ref="G400"/>
    <hyperlink r:id="rId37" ref="G401"/>
    <hyperlink r:id="rId38" ref="G429"/>
    <hyperlink r:id="rId39" ref="G481"/>
    <hyperlink r:id="rId40" ref="G482"/>
    <hyperlink r:id="rId41" ref="G483"/>
    <hyperlink r:id="rId42" ref="G496"/>
    <hyperlink r:id="rId43" ref="G497"/>
    <hyperlink r:id="rId44" ref="G498"/>
    <hyperlink r:id="rId45" ref="G511"/>
    <hyperlink r:id="rId46" ref="G512"/>
    <hyperlink r:id="rId47" ref="G513"/>
    <hyperlink r:id="rId48" ref="G514"/>
    <hyperlink r:id="rId49" ref="G516"/>
    <hyperlink r:id="rId50" ref="G530"/>
    <hyperlink r:id="rId51" ref="G531"/>
    <hyperlink r:id="rId52" ref="G532"/>
    <hyperlink r:id="rId53" ref="G533"/>
    <hyperlink r:id="rId54" ref="G534"/>
    <hyperlink r:id="rId55" ref="G535"/>
    <hyperlink r:id="rId56" ref="G543"/>
    <hyperlink r:id="rId57" ref="G544"/>
    <hyperlink r:id="rId58" ref="G546"/>
    <hyperlink r:id="rId59" ref="G547"/>
    <hyperlink r:id="rId60" ref="G548"/>
    <hyperlink r:id="rId61" ref="G560"/>
    <hyperlink r:id="rId62" ref="G561"/>
    <hyperlink r:id="rId63" ref="G615"/>
    <hyperlink r:id="rId64" ref="G624"/>
    <hyperlink r:id="rId65" ref="G631"/>
    <hyperlink r:id="rId66" ref="G632"/>
    <hyperlink r:id="rId67" ref="G652"/>
    <hyperlink r:id="rId68" ref="G653"/>
    <hyperlink r:id="rId69" ref="G665"/>
    <hyperlink r:id="rId70" ref="G666"/>
    <hyperlink r:id="rId71" ref="G667"/>
    <hyperlink r:id="rId72" ref="G668"/>
    <hyperlink r:id="rId73" ref="G693"/>
    <hyperlink r:id="rId74" ref="G694"/>
    <hyperlink r:id="rId75" ref="G697"/>
    <hyperlink r:id="rId76" ref="G698"/>
    <hyperlink r:id="rId77" ref="G731"/>
    <hyperlink r:id="rId78" ref="G757"/>
    <hyperlink r:id="rId79" ref="G763"/>
    <hyperlink r:id="rId80" ref="G769"/>
    <hyperlink r:id="rId81" ref="G776"/>
    <hyperlink r:id="rId82" ref="G790"/>
    <hyperlink r:id="rId83" ref="G796"/>
    <hyperlink r:id="rId84" ref="G805"/>
    <hyperlink r:id="rId85" ref="G806"/>
    <hyperlink r:id="rId86" ref="G812"/>
    <hyperlink r:id="rId87" ref="G892"/>
    <hyperlink r:id="rId88" ref="G898"/>
    <hyperlink r:id="rId89" ref="G921"/>
    <hyperlink r:id="rId90" ref="G922"/>
    <hyperlink r:id="rId91" ref="G923"/>
    <hyperlink r:id="rId92" ref="G924"/>
    <hyperlink r:id="rId93" ref="G925"/>
    <hyperlink r:id="rId94" ref="G940"/>
    <hyperlink r:id="rId95" ref="G942"/>
    <hyperlink r:id="rId96" ref="G943"/>
    <hyperlink r:id="rId97" ref="G958"/>
    <hyperlink r:id="rId98" ref="G983"/>
    <hyperlink r:id="rId99" ref="G984"/>
    <hyperlink r:id="rId100" ref="G985"/>
    <hyperlink r:id="rId101" ref="G986"/>
    <hyperlink r:id="rId102" ref="G987"/>
    <hyperlink r:id="rId103" ref="G988"/>
    <hyperlink r:id="rId104" ref="G989"/>
    <hyperlink r:id="rId105" ref="G990"/>
    <hyperlink r:id="rId106" ref="G991"/>
  </hyperlinks>
  <drawing r:id="rId107"/>
  <legacyDrawing r:id="rId10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41.0"/>
    <col customWidth="1" min="3" max="3" width="6.75"/>
    <col customWidth="1" min="4" max="4" width="8.5"/>
    <col customWidth="1" min="5" max="5" width="6.63"/>
    <col customWidth="1" min="6" max="6" width="7.13"/>
    <col customWidth="1" min="7" max="7" width="21.75"/>
    <col customWidth="1" min="8" max="8" width="71.75"/>
  </cols>
  <sheetData>
    <row r="1">
      <c r="A1" s="138" t="s">
        <v>1001</v>
      </c>
      <c r="B1" s="139" t="s">
        <v>13</v>
      </c>
      <c r="C1" s="140" t="s">
        <v>1002</v>
      </c>
      <c r="D1" s="139" t="s">
        <v>1003</v>
      </c>
      <c r="E1" s="140" t="s">
        <v>1004</v>
      </c>
      <c r="F1" s="139" t="s">
        <v>1005</v>
      </c>
      <c r="G1" s="141" t="s">
        <v>1006</v>
      </c>
      <c r="H1" s="142" t="s">
        <v>1007</v>
      </c>
    </row>
    <row r="2" hidden="1">
      <c r="A2" s="143"/>
      <c r="B2" s="144"/>
      <c r="C2" s="145"/>
      <c r="D2" s="146"/>
      <c r="E2" s="140"/>
      <c r="F2" s="146"/>
      <c r="G2" s="147"/>
      <c r="H2" s="148"/>
    </row>
    <row r="3">
      <c r="A3" s="143">
        <v>43515.589545173614</v>
      </c>
      <c r="B3" s="149" t="s">
        <v>408</v>
      </c>
      <c r="C3" s="150"/>
      <c r="D3" s="151"/>
      <c r="E3" s="140">
        <v>130.0</v>
      </c>
      <c r="F3" s="151">
        <f>E3*385.058418171057</f>
        <v>50057.59436</v>
      </c>
      <c r="G3" s="152" t="s">
        <v>66</v>
      </c>
      <c r="H3" s="153"/>
    </row>
    <row r="4">
      <c r="A4" s="143"/>
      <c r="B4" s="154"/>
      <c r="C4" s="145"/>
      <c r="D4" s="146"/>
      <c r="E4" s="140"/>
      <c r="F4" s="146"/>
      <c r="G4" s="152"/>
      <c r="H4" s="153"/>
    </row>
    <row r="5">
      <c r="A5" s="143">
        <v>43550.0</v>
      </c>
      <c r="B5" s="154" t="s">
        <v>516</v>
      </c>
      <c r="C5" s="145"/>
      <c r="D5" s="146"/>
      <c r="E5" s="140">
        <v>220.0</v>
      </c>
      <c r="F5" s="146">
        <f>E5*263.610082277654</f>
        <v>57994.2181</v>
      </c>
      <c r="G5" s="152" t="s">
        <v>66</v>
      </c>
      <c r="H5" s="153"/>
    </row>
    <row r="6">
      <c r="A6" s="143">
        <v>43550.7997416088</v>
      </c>
      <c r="B6" s="154" t="s">
        <v>408</v>
      </c>
      <c r="C6" s="150">
        <v>76.0</v>
      </c>
      <c r="D6" s="146">
        <f>C6*386.176666666667</f>
        <v>29349.42667</v>
      </c>
      <c r="E6" s="140"/>
      <c r="F6" s="146"/>
      <c r="G6" s="152" t="s">
        <v>66</v>
      </c>
      <c r="H6" s="153"/>
    </row>
    <row r="7">
      <c r="A7" s="143">
        <v>43550.81315266204</v>
      </c>
      <c r="B7" s="33" t="s">
        <v>944</v>
      </c>
      <c r="C7" s="150">
        <v>15.0</v>
      </c>
      <c r="D7" s="146">
        <f>C7*279.488315084029</f>
        <v>4192.324726</v>
      </c>
      <c r="E7" s="140"/>
      <c r="F7" s="146"/>
      <c r="G7" s="152" t="s">
        <v>66</v>
      </c>
      <c r="H7" s="153"/>
    </row>
    <row r="8">
      <c r="A8" s="143">
        <v>43550.81439244213</v>
      </c>
      <c r="B8" s="139" t="s">
        <v>650</v>
      </c>
      <c r="C8" s="145"/>
      <c r="D8" s="146"/>
      <c r="E8" s="140">
        <v>12.0</v>
      </c>
      <c r="F8" s="146">
        <f>E8*106.611587323364</f>
        <v>1279.339048</v>
      </c>
      <c r="G8" s="152" t="s">
        <v>66</v>
      </c>
      <c r="H8" s="153"/>
    </row>
    <row r="9">
      <c r="A9" s="155">
        <v>43550.814964895835</v>
      </c>
      <c r="B9" s="33" t="s">
        <v>544</v>
      </c>
      <c r="C9" s="145"/>
      <c r="D9" s="146"/>
      <c r="E9" s="140">
        <v>20.0</v>
      </c>
      <c r="F9" s="146">
        <f>E9*263.610082277654</f>
        <v>5272.201646</v>
      </c>
      <c r="G9" s="152" t="s">
        <v>66</v>
      </c>
      <c r="H9" s="153"/>
    </row>
    <row r="10">
      <c r="A10" s="155">
        <v>43552.0</v>
      </c>
      <c r="B10" s="156" t="s">
        <v>190</v>
      </c>
      <c r="C10" s="145"/>
      <c r="D10" s="146"/>
      <c r="E10" s="140">
        <v>1.0</v>
      </c>
      <c r="F10" s="151">
        <f>E10*42471.2827548361</f>
        <v>42471.28275</v>
      </c>
      <c r="G10" s="152" t="s">
        <v>56</v>
      </c>
      <c r="H10" s="153"/>
    </row>
    <row r="11">
      <c r="A11" s="155">
        <v>43552.0</v>
      </c>
      <c r="B11" s="156" t="s">
        <v>175</v>
      </c>
      <c r="C11" s="150">
        <v>1.0</v>
      </c>
      <c r="D11" s="146">
        <f>C11*(42471.2827548361-5000)</f>
        <v>37471.28275</v>
      </c>
      <c r="E11" s="140"/>
      <c r="F11" s="151"/>
      <c r="G11" s="152" t="s">
        <v>56</v>
      </c>
      <c r="H11" s="153"/>
    </row>
    <row r="12">
      <c r="A12" s="155">
        <v>43552.0</v>
      </c>
      <c r="B12" s="156" t="s">
        <v>967</v>
      </c>
      <c r="C12" s="150">
        <v>1.0</v>
      </c>
      <c r="D12" s="151">
        <f>C12*5000</f>
        <v>5000</v>
      </c>
      <c r="E12" s="140"/>
      <c r="F12" s="151"/>
      <c r="G12" s="152" t="s">
        <v>56</v>
      </c>
      <c r="H12" s="153"/>
    </row>
    <row r="13">
      <c r="A13" s="155">
        <v>43552.0</v>
      </c>
      <c r="B13" s="156" t="s">
        <v>190</v>
      </c>
      <c r="C13" s="145"/>
      <c r="D13" s="146"/>
      <c r="E13" s="140">
        <v>1.0</v>
      </c>
      <c r="F13" s="151">
        <f>E13*44927.11</f>
        <v>44927.11</v>
      </c>
      <c r="G13" s="152" t="s">
        <v>56</v>
      </c>
      <c r="H13" s="153"/>
    </row>
    <row r="14">
      <c r="A14" s="155">
        <v>43552.0</v>
      </c>
      <c r="B14" s="156" t="s">
        <v>175</v>
      </c>
      <c r="C14" s="150">
        <v>1.0</v>
      </c>
      <c r="D14" s="146">
        <f>C14*(44927.11-5000)</f>
        <v>39927.11</v>
      </c>
      <c r="E14" s="140"/>
      <c r="F14" s="146"/>
      <c r="G14" s="152" t="s">
        <v>56</v>
      </c>
      <c r="H14" s="153"/>
    </row>
    <row r="15">
      <c r="A15" s="155">
        <v>43552.0</v>
      </c>
      <c r="B15" s="156" t="s">
        <v>967</v>
      </c>
      <c r="C15" s="150">
        <v>1.0</v>
      </c>
      <c r="D15" s="151">
        <f>C15*5000</f>
        <v>5000</v>
      </c>
      <c r="E15" s="140"/>
      <c r="F15" s="146"/>
      <c r="G15" s="152" t="s">
        <v>56</v>
      </c>
      <c r="H15" s="153"/>
    </row>
    <row r="16">
      <c r="A16" s="143"/>
      <c r="B16" s="156"/>
      <c r="C16" s="145"/>
      <c r="D16" s="146"/>
      <c r="E16" s="140"/>
      <c r="F16" s="146"/>
      <c r="G16" s="152"/>
      <c r="H16" s="153"/>
    </row>
    <row r="17">
      <c r="A17" s="143">
        <v>43559.0</v>
      </c>
      <c r="B17" s="156" t="s">
        <v>190</v>
      </c>
      <c r="C17" s="145"/>
      <c r="D17" s="146"/>
      <c r="E17" s="140">
        <v>1.0</v>
      </c>
      <c r="F17" s="151">
        <f>E17*46371.7066813006</f>
        <v>46371.70668</v>
      </c>
      <c r="G17" s="152" t="s">
        <v>56</v>
      </c>
      <c r="H17" s="153"/>
    </row>
    <row r="18">
      <c r="A18" s="143">
        <v>43559.0</v>
      </c>
      <c r="B18" s="156" t="s">
        <v>175</v>
      </c>
      <c r="C18" s="150">
        <v>1.0</v>
      </c>
      <c r="D18" s="146">
        <f>C18*(46371.7066813006-5000)</f>
        <v>41371.70668</v>
      </c>
      <c r="E18" s="140"/>
      <c r="F18" s="146"/>
      <c r="G18" s="152" t="s">
        <v>56</v>
      </c>
      <c r="H18" s="153"/>
    </row>
    <row r="19">
      <c r="A19" s="143">
        <v>43559.0</v>
      </c>
      <c r="B19" s="154" t="s">
        <v>967</v>
      </c>
      <c r="C19" s="150">
        <v>1.0</v>
      </c>
      <c r="D19" s="151">
        <f>C19*5000</f>
        <v>5000</v>
      </c>
      <c r="E19" s="140"/>
      <c r="F19" s="146"/>
      <c r="G19" s="152" t="s">
        <v>56</v>
      </c>
      <c r="H19" s="153"/>
    </row>
    <row r="20">
      <c r="A20" s="143">
        <v>43563.0</v>
      </c>
      <c r="B20" s="154" t="s">
        <v>195</v>
      </c>
      <c r="C20" s="145"/>
      <c r="D20" s="146"/>
      <c r="E20" s="140">
        <v>13.0</v>
      </c>
      <c r="F20" s="146">
        <f>E20*39217.1538461538</f>
        <v>509823</v>
      </c>
      <c r="G20" s="152" t="s">
        <v>56</v>
      </c>
      <c r="H20" s="153"/>
    </row>
    <row r="21">
      <c r="A21" s="143">
        <v>43563.0</v>
      </c>
      <c r="B21" s="156" t="s">
        <v>175</v>
      </c>
      <c r="C21" s="150">
        <v>13.0</v>
      </c>
      <c r="D21" s="146">
        <f>C21*(39217.1538461538-5000)</f>
        <v>444823</v>
      </c>
      <c r="E21" s="140"/>
      <c r="F21" s="146"/>
      <c r="G21" s="152" t="s">
        <v>56</v>
      </c>
      <c r="H21" s="153"/>
    </row>
    <row r="22">
      <c r="A22" s="143">
        <v>43563.0</v>
      </c>
      <c r="B22" s="154" t="s">
        <v>969</v>
      </c>
      <c r="C22" s="150">
        <v>13.0</v>
      </c>
      <c r="D22" s="146">
        <f>C22*5000</f>
        <v>65000</v>
      </c>
      <c r="E22" s="140"/>
      <c r="F22" s="146"/>
      <c r="G22" s="152" t="s">
        <v>56</v>
      </c>
      <c r="H22" s="153"/>
    </row>
    <row r="23">
      <c r="A23" s="143">
        <v>43571.0</v>
      </c>
      <c r="B23" s="154" t="s">
        <v>190</v>
      </c>
      <c r="C23" s="145"/>
      <c r="D23" s="146"/>
      <c r="E23" s="140">
        <v>7.0</v>
      </c>
      <c r="F23" s="146">
        <f>E23*38232.1428571429</f>
        <v>267625</v>
      </c>
      <c r="G23" s="152" t="s">
        <v>68</v>
      </c>
      <c r="H23" s="153"/>
    </row>
    <row r="24">
      <c r="A24" s="143">
        <v>43571.0</v>
      </c>
      <c r="B24" s="156" t="s">
        <v>175</v>
      </c>
      <c r="C24" s="150">
        <v>7.0</v>
      </c>
      <c r="D24" s="146">
        <f>C24*(38232.1428571429-5000)</f>
        <v>232625</v>
      </c>
      <c r="E24" s="140"/>
      <c r="F24" s="146"/>
      <c r="G24" s="152" t="s">
        <v>56</v>
      </c>
      <c r="H24" s="153"/>
    </row>
    <row r="25">
      <c r="A25" s="143">
        <v>43571.0</v>
      </c>
      <c r="B25" s="154" t="s">
        <v>967</v>
      </c>
      <c r="C25" s="150">
        <v>7.0</v>
      </c>
      <c r="D25" s="146">
        <f>C25*5000</f>
        <v>35000</v>
      </c>
      <c r="E25" s="140"/>
      <c r="F25" s="146"/>
      <c r="G25" s="152" t="s">
        <v>56</v>
      </c>
      <c r="H25" s="153"/>
    </row>
    <row r="26">
      <c r="A26" s="143">
        <v>43573.953676307865</v>
      </c>
      <c r="B26" s="154" t="s">
        <v>544</v>
      </c>
      <c r="C26" s="145"/>
      <c r="D26" s="146"/>
      <c r="E26" s="140">
        <v>31.0</v>
      </c>
      <c r="F26" s="146">
        <f t="shared" ref="F26:F27" si="1">E26*263.610082277654</f>
        <v>8171.912551</v>
      </c>
      <c r="G26" s="152" t="s">
        <v>66</v>
      </c>
      <c r="H26" s="153"/>
    </row>
    <row r="27">
      <c r="A27" s="143">
        <v>43573.95448207176</v>
      </c>
      <c r="B27" s="154" t="s">
        <v>516</v>
      </c>
      <c r="C27" s="145"/>
      <c r="D27" s="146"/>
      <c r="E27" s="140">
        <v>26.0</v>
      </c>
      <c r="F27" s="146">
        <f t="shared" si="1"/>
        <v>6853.862139</v>
      </c>
      <c r="G27" s="152" t="s">
        <v>66</v>
      </c>
      <c r="H27" s="153"/>
    </row>
    <row r="28">
      <c r="A28" s="143">
        <v>43573.95477710648</v>
      </c>
      <c r="B28" s="154" t="s">
        <v>408</v>
      </c>
      <c r="C28" s="150">
        <v>201.0</v>
      </c>
      <c r="D28" s="146">
        <f>C28*376.321111111111</f>
        <v>75640.54333</v>
      </c>
      <c r="E28" s="140"/>
      <c r="F28" s="146"/>
      <c r="G28" s="152" t="s">
        <v>66</v>
      </c>
      <c r="H28" s="153"/>
    </row>
    <row r="29">
      <c r="A29" s="143"/>
      <c r="B29" s="154"/>
      <c r="C29" s="145"/>
      <c r="D29" s="157"/>
      <c r="E29" s="140"/>
      <c r="F29" s="146"/>
      <c r="G29" s="152"/>
      <c r="H29" s="153"/>
    </row>
    <row r="30">
      <c r="A30" s="143">
        <v>43617.525559965274</v>
      </c>
      <c r="B30" s="154" t="s">
        <v>32</v>
      </c>
      <c r="C30" s="145"/>
      <c r="D30" s="157"/>
      <c r="E30" s="140">
        <v>10.0</v>
      </c>
      <c r="F30" s="146">
        <f t="shared" ref="F30:F32" si="2">E30*1233.842</f>
        <v>12338.42</v>
      </c>
      <c r="G30" s="152" t="s">
        <v>66</v>
      </c>
      <c r="H30" s="153"/>
    </row>
    <row r="31">
      <c r="A31" s="143">
        <v>43617.526856701385</v>
      </c>
      <c r="B31" s="154" t="s">
        <v>93</v>
      </c>
      <c r="C31" s="150"/>
      <c r="D31" s="157"/>
      <c r="E31" s="140">
        <v>90.0</v>
      </c>
      <c r="F31" s="146">
        <f t="shared" si="2"/>
        <v>111045.78</v>
      </c>
      <c r="G31" s="152" t="s">
        <v>66</v>
      </c>
      <c r="H31" s="153"/>
    </row>
    <row r="32">
      <c r="A32" s="143">
        <v>43617.52696366898</v>
      </c>
      <c r="B32" s="154" t="s">
        <v>93</v>
      </c>
      <c r="C32" s="145"/>
      <c r="D32" s="157"/>
      <c r="E32" s="140">
        <v>10.0</v>
      </c>
      <c r="F32" s="146">
        <f t="shared" si="2"/>
        <v>12338.42</v>
      </c>
      <c r="G32" s="152" t="s">
        <v>56</v>
      </c>
      <c r="H32" s="153"/>
    </row>
    <row r="33">
      <c r="A33" s="143">
        <v>43617.5278008912</v>
      </c>
      <c r="B33" s="154" t="s">
        <v>152</v>
      </c>
      <c r="C33" s="150">
        <v>8.0</v>
      </c>
      <c r="D33" s="146">
        <f>C33*3650</f>
        <v>29200</v>
      </c>
      <c r="E33" s="140"/>
      <c r="F33" s="146"/>
      <c r="G33" s="152" t="s">
        <v>66</v>
      </c>
      <c r="H33" s="153"/>
    </row>
    <row r="34">
      <c r="A34" s="143">
        <v>43617.528764814815</v>
      </c>
      <c r="B34" s="154" t="s">
        <v>967</v>
      </c>
      <c r="C34" s="150">
        <v>3.0</v>
      </c>
      <c r="D34" s="151">
        <f>C34*5000</f>
        <v>15000</v>
      </c>
      <c r="E34" s="140"/>
      <c r="F34" s="146"/>
      <c r="G34" s="152" t="s">
        <v>56</v>
      </c>
      <c r="H34" s="153"/>
    </row>
    <row r="35">
      <c r="A35" s="143">
        <v>43617.5292743287</v>
      </c>
      <c r="B35" s="154" t="s">
        <v>408</v>
      </c>
      <c r="C35" s="145"/>
      <c r="D35" s="157"/>
      <c r="E35" s="140">
        <v>134.0</v>
      </c>
      <c r="F35" s="146">
        <f>E35*376.321111111111</f>
        <v>50427.02889</v>
      </c>
      <c r="G35" s="152" t="s">
        <v>66</v>
      </c>
      <c r="H35" s="153"/>
    </row>
    <row r="36">
      <c r="A36" s="143">
        <v>43617.529827743056</v>
      </c>
      <c r="B36" s="154" t="s">
        <v>472</v>
      </c>
      <c r="C36" s="145"/>
      <c r="D36" s="157"/>
      <c r="E36" s="140">
        <v>19.0</v>
      </c>
      <c r="F36" s="146">
        <f>E36*688</f>
        <v>13072</v>
      </c>
      <c r="G36" s="152" t="s">
        <v>66</v>
      </c>
      <c r="H36" s="153"/>
    </row>
    <row r="37">
      <c r="A37" s="143">
        <v>43617.53055393518</v>
      </c>
      <c r="B37" s="154" t="s">
        <v>516</v>
      </c>
      <c r="C37" s="150">
        <v>80.0</v>
      </c>
      <c r="D37" s="146">
        <f>C37*152.785222260732</f>
        <v>12222.81778</v>
      </c>
      <c r="E37" s="140"/>
      <c r="F37" s="146"/>
      <c r="G37" s="152" t="s">
        <v>66</v>
      </c>
      <c r="H37" s="153"/>
    </row>
    <row r="38">
      <c r="A38" s="143">
        <v>43617.53080262731</v>
      </c>
      <c r="B38" s="154" t="s">
        <v>544</v>
      </c>
      <c r="C38" s="145"/>
      <c r="D38" s="157"/>
      <c r="E38" s="140">
        <v>47.0</v>
      </c>
      <c r="F38" s="146">
        <f>E38*160.403626904782</f>
        <v>7538.970465</v>
      </c>
      <c r="G38" s="152" t="s">
        <v>66</v>
      </c>
      <c r="H38" s="153"/>
    </row>
    <row r="39">
      <c r="A39" s="143">
        <v>43617.53235729167</v>
      </c>
      <c r="B39" s="154" t="s">
        <v>516</v>
      </c>
      <c r="C39" s="150">
        <v>160.0</v>
      </c>
      <c r="D39" s="146">
        <f>C39*152.785222260732</f>
        <v>24445.63556</v>
      </c>
      <c r="E39" s="140"/>
      <c r="F39" s="146"/>
      <c r="G39" s="152" t="s">
        <v>56</v>
      </c>
      <c r="H39" s="153"/>
    </row>
    <row r="40">
      <c r="A40" s="143">
        <v>43617.533293368055</v>
      </c>
      <c r="B40" s="154" t="s">
        <v>544</v>
      </c>
      <c r="C40" s="140">
        <v>41.0</v>
      </c>
      <c r="D40" s="146">
        <f>C40*160.403626904782</f>
        <v>6576.548703</v>
      </c>
      <c r="E40" s="140"/>
      <c r="F40" s="146"/>
      <c r="G40" s="152" t="s">
        <v>56</v>
      </c>
      <c r="H40" s="153"/>
    </row>
    <row r="41">
      <c r="A41" s="143">
        <v>43617.53444038195</v>
      </c>
      <c r="B41" s="154" t="s">
        <v>650</v>
      </c>
      <c r="C41" s="145"/>
      <c r="D41" s="146"/>
      <c r="E41" s="140">
        <v>699.0</v>
      </c>
      <c r="F41" s="146">
        <f>E41*104.929</f>
        <v>73345.371</v>
      </c>
      <c r="G41" s="152" t="s">
        <v>66</v>
      </c>
      <c r="H41" s="153"/>
    </row>
    <row r="42">
      <c r="A42" s="143">
        <v>43617.53497096065</v>
      </c>
      <c r="B42" s="154" t="s">
        <v>944</v>
      </c>
      <c r="C42" s="145"/>
      <c r="D42" s="146"/>
      <c r="E42" s="140">
        <v>1.0</v>
      </c>
      <c r="F42" s="151">
        <f>E42*300</f>
        <v>300</v>
      </c>
      <c r="G42" s="152" t="s">
        <v>56</v>
      </c>
      <c r="H42" s="153"/>
    </row>
    <row r="43">
      <c r="A43" s="143"/>
      <c r="B43" s="154"/>
      <c r="C43" s="140"/>
      <c r="D43" s="146"/>
      <c r="E43" s="140"/>
      <c r="F43" s="146"/>
      <c r="G43" s="152"/>
      <c r="H43" s="153"/>
    </row>
    <row r="44">
      <c r="A44" s="143">
        <v>43678.0</v>
      </c>
      <c r="B44" s="154" t="s">
        <v>960</v>
      </c>
      <c r="C44" s="140">
        <v>2.0</v>
      </c>
      <c r="D44" s="146">
        <f>C44*13100</f>
        <v>26200</v>
      </c>
      <c r="E44" s="140"/>
      <c r="F44" s="146"/>
      <c r="G44" s="152" t="s">
        <v>56</v>
      </c>
      <c r="H44" s="153"/>
    </row>
    <row r="45">
      <c r="A45" s="143"/>
      <c r="B45" s="154"/>
      <c r="C45" s="145"/>
      <c r="D45" s="146"/>
      <c r="E45" s="140"/>
      <c r="F45" s="146"/>
      <c r="G45" s="152"/>
      <c r="H45" s="153"/>
    </row>
    <row r="46">
      <c r="A46" s="143">
        <v>43834.0</v>
      </c>
      <c r="B46" s="154" t="s">
        <v>408</v>
      </c>
      <c r="C46" s="145"/>
      <c r="D46" s="146"/>
      <c r="E46" s="140">
        <v>19.0</v>
      </c>
      <c r="F46" s="146">
        <f>E46*343.532091698318</f>
        <v>6527.109742</v>
      </c>
      <c r="G46" s="152" t="s">
        <v>66</v>
      </c>
      <c r="H46" s="153"/>
    </row>
    <row r="47">
      <c r="A47" s="143">
        <v>43834.0</v>
      </c>
      <c r="B47" s="154" t="s">
        <v>944</v>
      </c>
      <c r="C47" s="150">
        <v>70.0</v>
      </c>
      <c r="D47" s="146">
        <f>C47*188.062908301682</f>
        <v>13164.40358</v>
      </c>
      <c r="E47" s="140"/>
      <c r="F47" s="146"/>
      <c r="G47" s="152" t="s">
        <v>66</v>
      </c>
      <c r="H47" s="153"/>
    </row>
    <row r="48">
      <c r="A48" s="143"/>
      <c r="B48" s="154"/>
      <c r="C48" s="150"/>
      <c r="D48" s="151"/>
      <c r="E48" s="140"/>
      <c r="F48" s="146"/>
      <c r="G48" s="152"/>
      <c r="H48" s="153"/>
    </row>
    <row r="49">
      <c r="A49" s="143">
        <v>43872.0</v>
      </c>
      <c r="B49" s="154" t="s">
        <v>969</v>
      </c>
      <c r="C49" s="150">
        <v>1.0</v>
      </c>
      <c r="D49" s="151">
        <f>C49*5000</f>
        <v>5000</v>
      </c>
      <c r="E49" s="140"/>
      <c r="F49" s="146"/>
      <c r="G49" s="152" t="s">
        <v>56</v>
      </c>
      <c r="H49" s="153"/>
    </row>
    <row r="50">
      <c r="A50" s="143"/>
      <c r="B50" s="154"/>
      <c r="C50" s="150"/>
      <c r="D50" s="146"/>
      <c r="E50" s="140"/>
      <c r="F50" s="146"/>
      <c r="G50" s="152"/>
      <c r="H50" s="153"/>
    </row>
    <row r="51">
      <c r="A51" s="143">
        <v>43877.0</v>
      </c>
      <c r="B51" s="154" t="s">
        <v>32</v>
      </c>
      <c r="C51" s="150">
        <v>1.0</v>
      </c>
      <c r="D51" s="146">
        <f>C51*1091.03916666667</f>
        <v>1091.039167</v>
      </c>
      <c r="E51" s="140"/>
      <c r="F51" s="146"/>
      <c r="G51" s="152" t="s">
        <v>66</v>
      </c>
      <c r="H51" s="153"/>
    </row>
    <row r="52">
      <c r="A52" s="143">
        <v>43877.0</v>
      </c>
      <c r="B52" s="154" t="s">
        <v>175</v>
      </c>
      <c r="C52" s="150">
        <v>3.0</v>
      </c>
      <c r="D52" s="146">
        <f>C52*(39217.1538461538-5000)</f>
        <v>102651.4615</v>
      </c>
      <c r="E52" s="140"/>
      <c r="F52" s="146"/>
      <c r="G52" s="152" t="s">
        <v>56</v>
      </c>
      <c r="H52" s="153"/>
    </row>
    <row r="53">
      <c r="A53" s="143">
        <v>43877.0</v>
      </c>
      <c r="B53" s="154" t="s">
        <v>631</v>
      </c>
      <c r="C53" s="150">
        <v>2.0</v>
      </c>
      <c r="D53" s="151">
        <f>C53*16320</f>
        <v>32640</v>
      </c>
      <c r="E53" s="140"/>
      <c r="F53" s="146"/>
      <c r="G53" s="152" t="s">
        <v>56</v>
      </c>
      <c r="H53" s="153"/>
    </row>
    <row r="54">
      <c r="A54" s="143">
        <v>43877.85137991898</v>
      </c>
      <c r="B54" s="154" t="s">
        <v>90</v>
      </c>
      <c r="C54" s="150">
        <v>2.0</v>
      </c>
      <c r="D54" s="151">
        <f>C54*14700</f>
        <v>29400</v>
      </c>
      <c r="E54" s="140"/>
      <c r="F54" s="146"/>
      <c r="G54" s="152" t="s">
        <v>56</v>
      </c>
      <c r="H54" s="153"/>
    </row>
    <row r="55">
      <c r="A55" s="143"/>
      <c r="B55" s="154"/>
      <c r="C55" s="150"/>
      <c r="D55" s="146"/>
      <c r="E55" s="140"/>
      <c r="F55" s="146"/>
      <c r="G55" s="152"/>
      <c r="H55" s="153"/>
    </row>
    <row r="56">
      <c r="A56" s="143">
        <v>43878.0</v>
      </c>
      <c r="B56" s="154" t="s">
        <v>32</v>
      </c>
      <c r="C56" s="150">
        <v>2.0</v>
      </c>
      <c r="D56" s="146">
        <f t="shared" ref="D56:D57" si="3">C56*1091.03916666667</f>
        <v>2182.078333</v>
      </c>
      <c r="E56" s="140"/>
      <c r="F56" s="146"/>
      <c r="G56" s="152" t="s">
        <v>56</v>
      </c>
      <c r="H56" s="153"/>
    </row>
    <row r="57">
      <c r="A57" s="143">
        <v>43878.0</v>
      </c>
      <c r="B57" s="154" t="s">
        <v>93</v>
      </c>
      <c r="C57" s="150">
        <v>11.0</v>
      </c>
      <c r="D57" s="146">
        <f t="shared" si="3"/>
        <v>12001.43083</v>
      </c>
      <c r="E57" s="140"/>
      <c r="F57" s="146"/>
      <c r="G57" s="152" t="s">
        <v>56</v>
      </c>
      <c r="H57" s="153"/>
    </row>
    <row r="58">
      <c r="A58" s="143">
        <v>43878.0</v>
      </c>
      <c r="B58" s="154" t="s">
        <v>516</v>
      </c>
      <c r="C58" s="145"/>
      <c r="D58" s="146"/>
      <c r="E58" s="140">
        <v>350.0</v>
      </c>
      <c r="F58" s="146">
        <f t="shared" ref="F58:F59" si="4">E58*179.012653374233</f>
        <v>62654.42868</v>
      </c>
      <c r="G58" s="152" t="s">
        <v>56</v>
      </c>
      <c r="H58" s="153"/>
    </row>
    <row r="59">
      <c r="A59" s="143">
        <v>43878.0</v>
      </c>
      <c r="B59" s="154" t="s">
        <v>544</v>
      </c>
      <c r="C59" s="150"/>
      <c r="D59" s="146"/>
      <c r="E59" s="140">
        <v>342.0</v>
      </c>
      <c r="F59" s="146">
        <f t="shared" si="4"/>
        <v>61222.32745</v>
      </c>
      <c r="G59" s="152" t="s">
        <v>56</v>
      </c>
      <c r="H59" s="153"/>
    </row>
    <row r="60">
      <c r="A60" s="143">
        <v>43878.0</v>
      </c>
      <c r="B60" s="154" t="s">
        <v>566</v>
      </c>
      <c r="C60" s="150">
        <v>40.0</v>
      </c>
      <c r="D60" s="146">
        <f>C60*196.941666666667</f>
        <v>7877.666667</v>
      </c>
      <c r="E60" s="140"/>
      <c r="F60" s="146"/>
      <c r="G60" s="152" t="s">
        <v>56</v>
      </c>
      <c r="H60" s="153"/>
    </row>
    <row r="61">
      <c r="A61" s="143"/>
      <c r="B61" s="154"/>
      <c r="C61" s="150"/>
      <c r="D61" s="146"/>
      <c r="E61" s="140"/>
      <c r="F61" s="146"/>
      <c r="G61" s="152"/>
      <c r="H61" s="153"/>
    </row>
    <row r="62">
      <c r="A62" s="143">
        <v>43923.839628738424</v>
      </c>
      <c r="B62" s="154" t="s">
        <v>682</v>
      </c>
      <c r="C62" s="150">
        <v>2.0</v>
      </c>
      <c r="D62" s="146">
        <f>C62*1272.24242424242</f>
        <v>2544.484848</v>
      </c>
      <c r="E62" s="140"/>
      <c r="F62" s="146"/>
      <c r="G62" s="152" t="s">
        <v>66</v>
      </c>
      <c r="H62" s="153"/>
    </row>
    <row r="63">
      <c r="A63" s="143">
        <v>43923.86223018519</v>
      </c>
      <c r="B63" s="154" t="s">
        <v>408</v>
      </c>
      <c r="C63" s="145"/>
      <c r="D63" s="146"/>
      <c r="E63" s="140">
        <v>18.0</v>
      </c>
      <c r="F63" s="146">
        <f>E63*338.937857142857</f>
        <v>6100.881429</v>
      </c>
      <c r="G63" s="152" t="s">
        <v>66</v>
      </c>
      <c r="H63" s="153"/>
    </row>
    <row r="64">
      <c r="A64" s="143">
        <v>43923.87194523148</v>
      </c>
      <c r="B64" s="154" t="s">
        <v>472</v>
      </c>
      <c r="C64" s="150">
        <v>21.0</v>
      </c>
      <c r="D64" s="151">
        <f>C64*817.850183957219</f>
        <v>17174.85386</v>
      </c>
      <c r="E64" s="140"/>
      <c r="F64" s="146"/>
      <c r="G64" s="152" t="s">
        <v>48</v>
      </c>
      <c r="H64" s="153"/>
    </row>
    <row r="65">
      <c r="A65" s="143"/>
      <c r="B65" s="154"/>
      <c r="C65" s="150"/>
      <c r="D65" s="146"/>
      <c r="E65" s="140"/>
      <c r="F65" s="146"/>
      <c r="G65" s="152"/>
      <c r="H65" s="153"/>
    </row>
    <row r="66">
      <c r="A66" s="143">
        <v>43927.0</v>
      </c>
      <c r="B66" s="154" t="s">
        <v>707</v>
      </c>
      <c r="C66" s="150">
        <v>1.0</v>
      </c>
      <c r="D66" s="146">
        <f>C66*700</f>
        <v>700</v>
      </c>
      <c r="E66" s="140"/>
      <c r="F66" s="146"/>
      <c r="G66" s="152" t="s">
        <v>48</v>
      </c>
      <c r="H66" s="153"/>
    </row>
    <row r="67">
      <c r="A67" s="143"/>
      <c r="B67" s="154"/>
      <c r="C67" s="150"/>
      <c r="D67" s="146"/>
      <c r="E67" s="140"/>
      <c r="F67" s="146"/>
      <c r="G67" s="152"/>
      <c r="H67" s="153"/>
    </row>
    <row r="68">
      <c r="A68" s="143">
        <v>43940.0</v>
      </c>
      <c r="B68" s="154" t="s">
        <v>970</v>
      </c>
      <c r="C68" s="150">
        <v>3.0</v>
      </c>
      <c r="D68" s="146">
        <f>C68*12500</f>
        <v>37500</v>
      </c>
      <c r="E68" s="140"/>
      <c r="F68" s="146"/>
      <c r="G68" s="152" t="s">
        <v>48</v>
      </c>
      <c r="H68" s="153"/>
    </row>
    <row r="69">
      <c r="A69" s="143"/>
      <c r="B69" s="154"/>
      <c r="C69" s="150"/>
      <c r="D69" s="146"/>
      <c r="E69" s="140"/>
      <c r="F69" s="146"/>
      <c r="G69" s="152"/>
      <c r="H69" s="153"/>
    </row>
    <row r="70">
      <c r="A70" s="143">
        <v>43949.0</v>
      </c>
      <c r="B70" s="154" t="s">
        <v>970</v>
      </c>
      <c r="C70" s="150">
        <v>3.0</v>
      </c>
      <c r="D70" s="146">
        <f>C70*12500</f>
        <v>37500</v>
      </c>
      <c r="E70" s="140"/>
      <c r="F70" s="146"/>
      <c r="G70" s="152" t="s">
        <v>48</v>
      </c>
      <c r="H70" s="153"/>
    </row>
    <row r="71">
      <c r="A71" s="143"/>
      <c r="B71" s="154"/>
      <c r="C71" s="150"/>
      <c r="D71" s="146"/>
      <c r="E71" s="140"/>
      <c r="F71" s="146"/>
      <c r="G71" s="152"/>
      <c r="H71" s="153"/>
    </row>
    <row r="72">
      <c r="A72" s="143">
        <v>43955.0</v>
      </c>
      <c r="B72" s="154" t="s">
        <v>970</v>
      </c>
      <c r="C72" s="150">
        <v>3.0</v>
      </c>
      <c r="D72" s="146">
        <f>C72*12500</f>
        <v>37500</v>
      </c>
      <c r="E72" s="140"/>
      <c r="F72" s="146"/>
      <c r="G72" s="152" t="s">
        <v>48</v>
      </c>
      <c r="H72" s="153"/>
    </row>
    <row r="73">
      <c r="A73" s="143"/>
      <c r="B73" s="154"/>
      <c r="C73" s="145"/>
      <c r="D73" s="146"/>
      <c r="E73" s="140"/>
      <c r="F73" s="146"/>
      <c r="G73" s="152"/>
      <c r="H73" s="153"/>
    </row>
    <row r="74">
      <c r="A74" s="143">
        <v>43973.91829829861</v>
      </c>
      <c r="B74" s="154" t="s">
        <v>93</v>
      </c>
      <c r="C74" s="145"/>
      <c r="D74" s="146"/>
      <c r="E74" s="140">
        <v>100.0</v>
      </c>
      <c r="F74" s="146">
        <f>E74*1091.03916666667</f>
        <v>109103.9167</v>
      </c>
      <c r="G74" s="152" t="s">
        <v>48</v>
      </c>
      <c r="H74" s="153"/>
    </row>
    <row r="75">
      <c r="A75" s="143">
        <v>43973.931732233796</v>
      </c>
      <c r="B75" s="154" t="s">
        <v>544</v>
      </c>
      <c r="C75" s="150">
        <v>24.0</v>
      </c>
      <c r="D75" s="146">
        <f>C75*179.012653374233</f>
        <v>4296.303681</v>
      </c>
      <c r="E75" s="140"/>
      <c r="F75" s="146"/>
      <c r="G75" s="152" t="s">
        <v>48</v>
      </c>
      <c r="H75" s="153"/>
    </row>
    <row r="76">
      <c r="A76" s="143"/>
      <c r="B76" s="154"/>
      <c r="C76" s="150"/>
      <c r="D76" s="146"/>
      <c r="E76" s="140"/>
      <c r="F76" s="146"/>
      <c r="G76" s="152"/>
      <c r="H76" s="153"/>
    </row>
    <row r="77">
      <c r="A77" s="143">
        <v>43986.0</v>
      </c>
      <c r="B77" s="154" t="s">
        <v>650</v>
      </c>
      <c r="C77" s="150">
        <v>665.0</v>
      </c>
      <c r="D77" s="146">
        <f>C77*104.929</f>
        <v>69777.785</v>
      </c>
      <c r="E77" s="140"/>
      <c r="F77" s="146"/>
      <c r="G77" s="152" t="s">
        <v>48</v>
      </c>
      <c r="H77" s="153"/>
    </row>
    <row r="78">
      <c r="A78" s="143"/>
      <c r="B78" s="154"/>
      <c r="C78" s="150"/>
      <c r="D78" s="146"/>
      <c r="E78" s="140"/>
      <c r="F78" s="146"/>
      <c r="G78" s="152"/>
      <c r="H78" s="153"/>
    </row>
    <row r="79">
      <c r="A79" s="143">
        <v>43988.0</v>
      </c>
      <c r="B79" s="154" t="s">
        <v>535</v>
      </c>
      <c r="C79" s="150">
        <v>40.0</v>
      </c>
      <c r="D79" s="146">
        <f t="shared" ref="D79:D81" si="5">C79*210.041513292434</f>
        <v>8401.660532</v>
      </c>
      <c r="E79" s="140"/>
      <c r="F79" s="146"/>
      <c r="G79" s="152" t="s">
        <v>48</v>
      </c>
      <c r="H79" s="153"/>
    </row>
    <row r="80">
      <c r="A80" s="143">
        <v>43988.0</v>
      </c>
      <c r="B80" s="154" t="s">
        <v>555</v>
      </c>
      <c r="C80" s="150">
        <v>80.0</v>
      </c>
      <c r="D80" s="146">
        <f t="shared" si="5"/>
        <v>16803.32106</v>
      </c>
      <c r="E80" s="140"/>
      <c r="F80" s="146"/>
      <c r="G80" s="152" t="s">
        <v>48</v>
      </c>
      <c r="H80" s="153"/>
    </row>
    <row r="81">
      <c r="A81" s="143">
        <v>43988.0</v>
      </c>
      <c r="B81" s="154" t="s">
        <v>576</v>
      </c>
      <c r="C81" s="150">
        <v>40.0</v>
      </c>
      <c r="D81" s="146">
        <f t="shared" si="5"/>
        <v>8401.660532</v>
      </c>
      <c r="E81" s="140"/>
      <c r="F81" s="146"/>
      <c r="G81" s="152" t="s">
        <v>48</v>
      </c>
      <c r="H81" s="153"/>
    </row>
    <row r="82">
      <c r="A82" s="143">
        <v>43988.0</v>
      </c>
      <c r="B82" s="154" t="s">
        <v>32</v>
      </c>
      <c r="C82" s="150"/>
      <c r="D82" s="151"/>
      <c r="E82" s="140">
        <v>750.0</v>
      </c>
      <c r="F82" s="151">
        <v>899752.0</v>
      </c>
      <c r="G82" s="152" t="s">
        <v>56</v>
      </c>
      <c r="H82" s="153"/>
    </row>
    <row r="83">
      <c r="A83" s="143"/>
      <c r="B83" s="154"/>
      <c r="C83" s="150"/>
      <c r="D83" s="146"/>
      <c r="E83" s="140"/>
      <c r="F83" s="146"/>
      <c r="G83" s="152"/>
      <c r="H83" s="153"/>
    </row>
    <row r="84">
      <c r="A84" s="143">
        <v>43994.0</v>
      </c>
      <c r="B84" s="154" t="s">
        <v>344</v>
      </c>
      <c r="C84" s="150"/>
      <c r="D84" s="146"/>
      <c r="E84" s="140">
        <v>150.0</v>
      </c>
      <c r="F84" s="146">
        <f>E84*211.4625</f>
        <v>31719.375</v>
      </c>
      <c r="G84" s="152" t="s">
        <v>48</v>
      </c>
      <c r="H84" s="153"/>
    </row>
    <row r="85">
      <c r="A85" s="143">
        <v>43994.88382503472</v>
      </c>
      <c r="B85" s="154" t="s">
        <v>650</v>
      </c>
      <c r="C85" s="150">
        <v>295.0</v>
      </c>
      <c r="D85" s="146">
        <f>C85*132.946</f>
        <v>39219.07</v>
      </c>
      <c r="E85" s="140"/>
      <c r="F85" s="146"/>
      <c r="G85" s="152" t="s">
        <v>48</v>
      </c>
      <c r="H85" s="153"/>
    </row>
    <row r="86">
      <c r="A86" s="143"/>
      <c r="B86" s="154"/>
      <c r="C86" s="145"/>
      <c r="D86" s="146"/>
      <c r="E86" s="140"/>
      <c r="F86" s="146"/>
      <c r="G86" s="152"/>
      <c r="H86" s="153"/>
    </row>
    <row r="87">
      <c r="A87" s="143">
        <v>44003.0</v>
      </c>
      <c r="B87" s="154" t="s">
        <v>516</v>
      </c>
      <c r="C87" s="145"/>
      <c r="D87" s="146"/>
      <c r="E87" s="140">
        <v>20.0</v>
      </c>
      <c r="F87" s="146">
        <f>E87*198.35</f>
        <v>3967</v>
      </c>
      <c r="G87" s="152" t="s">
        <v>48</v>
      </c>
      <c r="H87" s="153"/>
    </row>
    <row r="88">
      <c r="A88" s="143"/>
      <c r="B88" s="154"/>
      <c r="C88" s="145"/>
      <c r="D88" s="146"/>
      <c r="E88" s="140"/>
      <c r="F88" s="146"/>
      <c r="G88" s="152"/>
      <c r="H88" s="153"/>
    </row>
    <row r="89">
      <c r="A89" s="143">
        <v>44008.0</v>
      </c>
      <c r="B89" s="154" t="s">
        <v>944</v>
      </c>
      <c r="C89" s="140">
        <v>50.0</v>
      </c>
      <c r="D89" s="146">
        <v>14220.20619320094</v>
      </c>
      <c r="E89" s="140"/>
      <c r="F89" s="146"/>
      <c r="G89" s="152" t="s">
        <v>48</v>
      </c>
      <c r="H89" s="153"/>
    </row>
    <row r="90">
      <c r="A90" s="143">
        <v>44008.0</v>
      </c>
      <c r="B90" s="154" t="s">
        <v>650</v>
      </c>
      <c r="C90" s="140">
        <v>50.0</v>
      </c>
      <c r="D90" s="146">
        <v>6647.3</v>
      </c>
      <c r="E90" s="140"/>
      <c r="F90" s="146"/>
      <c r="G90" s="152" t="s">
        <v>48</v>
      </c>
      <c r="H90" s="153"/>
    </row>
    <row r="91">
      <c r="A91" s="143">
        <v>44008.0</v>
      </c>
      <c r="B91" s="154" t="s">
        <v>472</v>
      </c>
      <c r="C91" s="140">
        <v>50.0</v>
      </c>
      <c r="D91" s="146">
        <v>34399.99999999999</v>
      </c>
      <c r="E91" s="140"/>
      <c r="F91" s="146"/>
      <c r="G91" s="152" t="s">
        <v>48</v>
      </c>
      <c r="H91" s="153"/>
    </row>
    <row r="92">
      <c r="A92" s="143">
        <v>44008.0</v>
      </c>
      <c r="B92" s="154" t="s">
        <v>152</v>
      </c>
      <c r="C92" s="140">
        <v>5.0</v>
      </c>
      <c r="D92" s="146">
        <v>17500.0</v>
      </c>
      <c r="E92" s="140"/>
      <c r="F92" s="146"/>
      <c r="G92" s="152" t="s">
        <v>48</v>
      </c>
      <c r="H92" s="153"/>
    </row>
    <row r="93">
      <c r="A93" s="143">
        <v>44008.0</v>
      </c>
      <c r="B93" s="154" t="s">
        <v>782</v>
      </c>
      <c r="C93" s="140">
        <v>50.0</v>
      </c>
      <c r="D93" s="146">
        <v>1050.0</v>
      </c>
      <c r="E93" s="140"/>
      <c r="F93" s="146"/>
      <c r="G93" s="152" t="s">
        <v>48</v>
      </c>
      <c r="H93" s="153"/>
    </row>
    <row r="94">
      <c r="A94" s="143">
        <v>44008.0</v>
      </c>
      <c r="B94" s="154" t="s">
        <v>803</v>
      </c>
      <c r="C94" s="140">
        <v>50.0</v>
      </c>
      <c r="D94" s="146">
        <v>1050.0</v>
      </c>
      <c r="E94" s="140"/>
      <c r="F94" s="146"/>
      <c r="G94" s="152" t="s">
        <v>48</v>
      </c>
      <c r="H94" s="153"/>
    </row>
    <row r="95">
      <c r="A95" s="143">
        <v>44008.0</v>
      </c>
      <c r="B95" s="154" t="s">
        <v>799</v>
      </c>
      <c r="C95" s="140">
        <v>50.0</v>
      </c>
      <c r="D95" s="146">
        <v>1050.0</v>
      </c>
      <c r="E95" s="140"/>
      <c r="F95" s="146"/>
      <c r="G95" s="152" t="s">
        <v>48</v>
      </c>
      <c r="H95" s="153"/>
    </row>
    <row r="96">
      <c r="A96" s="143">
        <v>44008.0</v>
      </c>
      <c r="B96" s="154" t="s">
        <v>756</v>
      </c>
      <c r="C96" s="140">
        <v>50.0</v>
      </c>
      <c r="D96" s="146">
        <v>1050.0</v>
      </c>
      <c r="E96" s="140"/>
      <c r="F96" s="146"/>
      <c r="G96" s="152" t="s">
        <v>48</v>
      </c>
      <c r="H96" s="153"/>
    </row>
    <row r="97">
      <c r="A97" s="143">
        <v>44008.0</v>
      </c>
      <c r="B97" s="154" t="s">
        <v>788</v>
      </c>
      <c r="C97" s="140">
        <v>50.0</v>
      </c>
      <c r="D97" s="146">
        <v>1050.0</v>
      </c>
      <c r="E97" s="140"/>
      <c r="F97" s="146"/>
      <c r="G97" s="152" t="s">
        <v>48</v>
      </c>
      <c r="H97" s="153"/>
    </row>
    <row r="98">
      <c r="A98" s="143">
        <v>44008.0</v>
      </c>
      <c r="B98" s="154" t="s">
        <v>760</v>
      </c>
      <c r="C98" s="140">
        <v>50.0</v>
      </c>
      <c r="D98" s="146">
        <v>1050.0</v>
      </c>
      <c r="E98" s="140"/>
      <c r="F98" s="146"/>
      <c r="G98" s="152" t="s">
        <v>48</v>
      </c>
      <c r="H98" s="153"/>
    </row>
    <row r="99">
      <c r="A99" s="143">
        <v>44008.0</v>
      </c>
      <c r="B99" s="154" t="s">
        <v>555</v>
      </c>
      <c r="C99" s="140">
        <v>400.0</v>
      </c>
      <c r="D99" s="146">
        <v>106020.0</v>
      </c>
      <c r="E99" s="140"/>
      <c r="F99" s="146"/>
      <c r="G99" s="152" t="s">
        <v>48</v>
      </c>
      <c r="H99" s="153"/>
    </row>
    <row r="100">
      <c r="A100" s="143">
        <v>44008.0</v>
      </c>
      <c r="B100" s="154" t="s">
        <v>516</v>
      </c>
      <c r="C100" s="140">
        <v>400.0</v>
      </c>
      <c r="D100" s="146">
        <v>79340.0</v>
      </c>
      <c r="E100" s="140"/>
      <c r="F100" s="146"/>
      <c r="G100" s="152" t="s">
        <v>48</v>
      </c>
      <c r="H100" s="153"/>
    </row>
    <row r="101">
      <c r="A101" s="143">
        <v>44008.0</v>
      </c>
      <c r="B101" s="154" t="s">
        <v>707</v>
      </c>
      <c r="C101" s="140">
        <v>50.0</v>
      </c>
      <c r="D101" s="146">
        <v>35000.00000000001</v>
      </c>
      <c r="E101" s="140"/>
      <c r="F101" s="146"/>
      <c r="G101" s="152" t="s">
        <v>48</v>
      </c>
      <c r="H101" s="153"/>
    </row>
    <row r="102">
      <c r="A102" s="143">
        <v>44008.0</v>
      </c>
      <c r="B102" s="154" t="s">
        <v>93</v>
      </c>
      <c r="C102" s="140">
        <v>50.0</v>
      </c>
      <c r="D102" s="146">
        <v>54551.95833333332</v>
      </c>
      <c r="E102" s="140"/>
      <c r="F102" s="146"/>
      <c r="G102" s="152" t="s">
        <v>48</v>
      </c>
      <c r="H102" s="153"/>
    </row>
    <row r="103">
      <c r="A103" s="143"/>
      <c r="B103" s="154"/>
      <c r="C103" s="145"/>
      <c r="D103" s="146"/>
      <c r="E103" s="140"/>
      <c r="F103" s="146"/>
      <c r="G103" s="152"/>
      <c r="H103" s="153"/>
    </row>
    <row r="104">
      <c r="A104" s="143">
        <v>44009.0</v>
      </c>
      <c r="B104" s="154" t="s">
        <v>944</v>
      </c>
      <c r="C104" s="150">
        <v>50.0</v>
      </c>
      <c r="D104" s="146">
        <v>14220.20619320094</v>
      </c>
      <c r="E104" s="140"/>
      <c r="F104" s="146"/>
      <c r="G104" s="152" t="s">
        <v>48</v>
      </c>
      <c r="H104" s="153"/>
    </row>
    <row r="105">
      <c r="A105" s="143">
        <v>44009.0</v>
      </c>
      <c r="B105" s="154" t="s">
        <v>650</v>
      </c>
      <c r="C105" s="150">
        <v>50.0</v>
      </c>
      <c r="D105" s="146">
        <v>6647.3</v>
      </c>
      <c r="E105" s="140"/>
      <c r="F105" s="146"/>
      <c r="G105" s="152" t="s">
        <v>48</v>
      </c>
      <c r="H105" s="153"/>
    </row>
    <row r="106">
      <c r="A106" s="143">
        <v>44009.0</v>
      </c>
      <c r="B106" s="154" t="s">
        <v>803</v>
      </c>
      <c r="C106" s="150">
        <v>50.0</v>
      </c>
      <c r="D106" s="146">
        <v>1050.0</v>
      </c>
      <c r="E106" s="140"/>
      <c r="F106" s="146"/>
      <c r="G106" s="152" t="s">
        <v>48</v>
      </c>
      <c r="H106" s="153"/>
    </row>
    <row r="107">
      <c r="A107" s="143">
        <v>44009.0</v>
      </c>
      <c r="B107" s="154" t="s">
        <v>782</v>
      </c>
      <c r="C107" s="150">
        <v>50.0</v>
      </c>
      <c r="D107" s="146">
        <v>1050.0</v>
      </c>
      <c r="E107" s="140"/>
      <c r="F107" s="146"/>
      <c r="G107" s="152" t="s">
        <v>48</v>
      </c>
      <c r="H107" s="153"/>
    </row>
    <row r="108">
      <c r="A108" s="143">
        <v>44009.0</v>
      </c>
      <c r="B108" s="154" t="s">
        <v>756</v>
      </c>
      <c r="C108" s="150">
        <v>50.0</v>
      </c>
      <c r="D108" s="146">
        <v>1050.0</v>
      </c>
      <c r="E108" s="140"/>
      <c r="F108" s="146"/>
      <c r="G108" s="152" t="s">
        <v>48</v>
      </c>
      <c r="H108" s="153"/>
    </row>
    <row r="109">
      <c r="A109" s="143">
        <v>44009.0</v>
      </c>
      <c r="B109" s="154" t="s">
        <v>799</v>
      </c>
      <c r="C109" s="150">
        <v>50.0</v>
      </c>
      <c r="D109" s="146">
        <v>1050.0</v>
      </c>
      <c r="E109" s="140"/>
      <c r="F109" s="146"/>
      <c r="G109" s="152" t="s">
        <v>48</v>
      </c>
      <c r="H109" s="153"/>
    </row>
    <row r="110">
      <c r="A110" s="143">
        <v>44009.0</v>
      </c>
      <c r="B110" s="154" t="s">
        <v>760</v>
      </c>
      <c r="C110" s="150">
        <v>50.0</v>
      </c>
      <c r="D110" s="146">
        <v>1050.0</v>
      </c>
      <c r="E110" s="140"/>
      <c r="F110" s="146"/>
      <c r="G110" s="152" t="s">
        <v>48</v>
      </c>
      <c r="H110" s="153"/>
    </row>
    <row r="111">
      <c r="A111" s="143">
        <v>44009.0</v>
      </c>
      <c r="B111" s="154" t="s">
        <v>788</v>
      </c>
      <c r="C111" s="150">
        <v>50.0</v>
      </c>
      <c r="D111" s="146">
        <v>1050.0</v>
      </c>
      <c r="E111" s="140"/>
      <c r="F111" s="146"/>
      <c r="G111" s="152" t="s">
        <v>48</v>
      </c>
      <c r="H111" s="153"/>
    </row>
    <row r="112">
      <c r="A112" s="143"/>
      <c r="B112" s="154"/>
      <c r="C112" s="145"/>
      <c r="D112" s="146"/>
      <c r="E112" s="140"/>
      <c r="F112" s="146"/>
      <c r="G112" s="152"/>
      <c r="H112" s="153"/>
    </row>
    <row r="113">
      <c r="A113" s="143">
        <v>44008.0</v>
      </c>
      <c r="B113" s="154" t="s">
        <v>944</v>
      </c>
      <c r="C113" s="150">
        <v>50.0</v>
      </c>
      <c r="D113" s="146">
        <v>11833.458633456748</v>
      </c>
      <c r="E113" s="140"/>
      <c r="F113" s="146"/>
      <c r="G113" s="152" t="s">
        <v>48</v>
      </c>
      <c r="H113" s="153"/>
    </row>
    <row r="114">
      <c r="A114" s="143">
        <v>44008.0</v>
      </c>
      <c r="B114" s="154" t="s">
        <v>516</v>
      </c>
      <c r="C114" s="150">
        <v>10.0</v>
      </c>
      <c r="D114" s="146">
        <v>1983.5</v>
      </c>
      <c r="E114" s="140"/>
      <c r="F114" s="146"/>
      <c r="G114" s="152" t="s">
        <v>48</v>
      </c>
      <c r="H114" s="153"/>
    </row>
    <row r="115">
      <c r="A115" s="143">
        <v>44008.0</v>
      </c>
      <c r="B115" s="154" t="s">
        <v>93</v>
      </c>
      <c r="C115" s="150">
        <v>50.0</v>
      </c>
      <c r="D115" s="146">
        <v>54551.95833333332</v>
      </c>
      <c r="E115" s="140"/>
      <c r="F115" s="146"/>
      <c r="G115" s="152" t="s">
        <v>48</v>
      </c>
      <c r="H115" s="153"/>
    </row>
    <row r="116">
      <c r="A116" s="143">
        <v>44008.0</v>
      </c>
      <c r="B116" s="154" t="s">
        <v>650</v>
      </c>
      <c r="C116" s="150">
        <v>50.0</v>
      </c>
      <c r="D116" s="146">
        <v>6647.3</v>
      </c>
      <c r="E116" s="140"/>
      <c r="F116" s="146"/>
      <c r="G116" s="152" t="s">
        <v>48</v>
      </c>
      <c r="H116" s="153"/>
    </row>
    <row r="117">
      <c r="A117" s="143">
        <v>44008.0</v>
      </c>
      <c r="B117" s="154" t="s">
        <v>555</v>
      </c>
      <c r="C117" s="150">
        <v>10.0</v>
      </c>
      <c r="D117" s="146">
        <v>2650.5</v>
      </c>
      <c r="E117" s="140"/>
      <c r="F117" s="146"/>
      <c r="G117" s="152" t="s">
        <v>48</v>
      </c>
      <c r="H117" s="153"/>
    </row>
    <row r="118">
      <c r="A118" s="143">
        <v>44008.0</v>
      </c>
      <c r="B118" s="154" t="s">
        <v>803</v>
      </c>
      <c r="C118" s="150">
        <v>50.0</v>
      </c>
      <c r="D118" s="146">
        <v>1050.0</v>
      </c>
      <c r="E118" s="140"/>
      <c r="F118" s="146"/>
      <c r="G118" s="152" t="s">
        <v>48</v>
      </c>
      <c r="H118" s="153"/>
    </row>
    <row r="119">
      <c r="A119" s="143">
        <v>44008.0</v>
      </c>
      <c r="B119" s="154" t="s">
        <v>782</v>
      </c>
      <c r="C119" s="150">
        <v>50.0</v>
      </c>
      <c r="D119" s="146">
        <v>1050.0</v>
      </c>
      <c r="E119" s="140"/>
      <c r="F119" s="146"/>
      <c r="G119" s="152" t="s">
        <v>48</v>
      </c>
      <c r="H119" s="153"/>
    </row>
    <row r="120">
      <c r="A120" s="143">
        <v>44008.0</v>
      </c>
      <c r="B120" s="154" t="s">
        <v>756</v>
      </c>
      <c r="C120" s="150">
        <v>50.0</v>
      </c>
      <c r="D120" s="146">
        <v>1050.0</v>
      </c>
      <c r="E120" s="140"/>
      <c r="F120" s="146"/>
      <c r="G120" s="152" t="s">
        <v>48</v>
      </c>
      <c r="H120" s="153"/>
    </row>
    <row r="121">
      <c r="A121" s="143">
        <v>44008.0</v>
      </c>
      <c r="B121" s="154" t="s">
        <v>799</v>
      </c>
      <c r="C121" s="150">
        <v>50.0</v>
      </c>
      <c r="D121" s="146">
        <v>1050.0</v>
      </c>
      <c r="E121" s="140"/>
      <c r="F121" s="146"/>
      <c r="G121" s="152" t="s">
        <v>48</v>
      </c>
      <c r="H121" s="153"/>
    </row>
    <row r="122">
      <c r="A122" s="143">
        <v>44008.0</v>
      </c>
      <c r="B122" s="154" t="s">
        <v>760</v>
      </c>
      <c r="C122" s="150">
        <v>50.0</v>
      </c>
      <c r="D122" s="146">
        <v>1050.0</v>
      </c>
      <c r="E122" s="140"/>
      <c r="F122" s="146"/>
      <c r="G122" s="152" t="s">
        <v>48</v>
      </c>
      <c r="H122" s="153"/>
    </row>
    <row r="123">
      <c r="A123" s="143">
        <v>44008.0</v>
      </c>
      <c r="B123" s="154" t="s">
        <v>788</v>
      </c>
      <c r="C123" s="150">
        <v>50.0</v>
      </c>
      <c r="D123" s="146">
        <v>1050.0</v>
      </c>
      <c r="E123" s="140"/>
      <c r="F123" s="146"/>
      <c r="G123" s="152" t="s">
        <v>48</v>
      </c>
      <c r="H123" s="153"/>
    </row>
    <row r="124">
      <c r="A124" s="143"/>
      <c r="B124" s="154"/>
      <c r="C124" s="145"/>
      <c r="D124" s="146"/>
      <c r="E124" s="140"/>
      <c r="F124" s="146"/>
      <c r="G124" s="152"/>
      <c r="H124" s="153"/>
    </row>
    <row r="125">
      <c r="A125" s="143">
        <v>44038.0</v>
      </c>
      <c r="B125" s="154" t="s">
        <v>344</v>
      </c>
      <c r="C125" s="150">
        <v>6.0</v>
      </c>
      <c r="D125" s="146">
        <f>C125*141.94</f>
        <v>851.64</v>
      </c>
      <c r="E125" s="140"/>
      <c r="F125" s="146"/>
      <c r="G125" s="152" t="s">
        <v>1008</v>
      </c>
      <c r="H125" s="153"/>
    </row>
    <row r="126">
      <c r="A126" s="143"/>
      <c r="B126" s="154"/>
      <c r="C126" s="145"/>
      <c r="D126" s="146"/>
      <c r="E126" s="140"/>
      <c r="F126" s="146"/>
      <c r="G126" s="152"/>
      <c r="H126" s="153"/>
    </row>
    <row r="127">
      <c r="A127" s="143">
        <v>44050.0</v>
      </c>
      <c r="B127" s="154" t="s">
        <v>650</v>
      </c>
      <c r="C127" s="150"/>
      <c r="D127" s="146"/>
      <c r="E127" s="140">
        <v>1.0</v>
      </c>
      <c r="F127" s="146">
        <v>132.946</v>
      </c>
      <c r="G127" s="152" t="s">
        <v>48</v>
      </c>
      <c r="H127" s="153"/>
    </row>
    <row r="128">
      <c r="A128" s="143">
        <v>44050.0</v>
      </c>
      <c r="B128" s="154" t="s">
        <v>707</v>
      </c>
      <c r="C128" s="145"/>
      <c r="D128" s="146"/>
      <c r="E128" s="140">
        <v>4.0</v>
      </c>
      <c r="F128" s="151">
        <v>700.0</v>
      </c>
      <c r="G128" s="152" t="s">
        <v>48</v>
      </c>
      <c r="H128" s="153"/>
    </row>
    <row r="129">
      <c r="A129" s="143"/>
      <c r="B129" s="154"/>
      <c r="C129" s="145"/>
      <c r="D129" s="146"/>
      <c r="E129" s="140"/>
      <c r="F129" s="146"/>
      <c r="G129" s="152"/>
      <c r="H129" s="153"/>
    </row>
    <row r="130">
      <c r="A130" s="143">
        <v>44104.0</v>
      </c>
      <c r="B130" s="154" t="s">
        <v>516</v>
      </c>
      <c r="C130" s="150">
        <v>546.0</v>
      </c>
      <c r="D130" s="146">
        <f t="shared" ref="D130:D132" si="6">C130*198.35</f>
        <v>108299.1</v>
      </c>
      <c r="E130" s="140"/>
      <c r="F130" s="146"/>
      <c r="G130" s="152" t="s">
        <v>66</v>
      </c>
      <c r="H130" s="153"/>
    </row>
    <row r="131">
      <c r="A131" s="143">
        <v>44104.0</v>
      </c>
      <c r="B131" s="154" t="s">
        <v>516</v>
      </c>
      <c r="C131" s="150">
        <v>390.0</v>
      </c>
      <c r="D131" s="146">
        <f t="shared" si="6"/>
        <v>77356.5</v>
      </c>
      <c r="E131" s="140"/>
      <c r="F131" s="146"/>
      <c r="G131" s="152" t="s">
        <v>48</v>
      </c>
      <c r="H131" s="153"/>
    </row>
    <row r="132">
      <c r="A132" s="143">
        <v>44104.0</v>
      </c>
      <c r="B132" s="154" t="s">
        <v>544</v>
      </c>
      <c r="C132" s="150">
        <v>702.0</v>
      </c>
      <c r="D132" s="146">
        <f t="shared" si="6"/>
        <v>139241.7</v>
      </c>
      <c r="E132" s="140"/>
      <c r="F132" s="146"/>
      <c r="G132" s="152" t="s">
        <v>66</v>
      </c>
      <c r="H132" s="153"/>
    </row>
    <row r="133">
      <c r="A133" s="143"/>
      <c r="B133" s="154"/>
      <c r="C133" s="145"/>
      <c r="D133" s="146"/>
      <c r="E133" s="140"/>
      <c r="F133" s="146"/>
      <c r="G133" s="152"/>
      <c r="H133" s="153"/>
    </row>
    <row r="134">
      <c r="A134" s="143">
        <v>44105.0</v>
      </c>
      <c r="B134" s="154" t="s">
        <v>1009</v>
      </c>
      <c r="C134" s="150">
        <v>12.0</v>
      </c>
      <c r="D134" s="151">
        <v>0.0</v>
      </c>
      <c r="E134" s="140"/>
      <c r="F134" s="146"/>
      <c r="G134" s="152" t="s">
        <v>56</v>
      </c>
      <c r="H134" s="153"/>
    </row>
    <row r="135">
      <c r="A135" s="143">
        <v>44105.0</v>
      </c>
      <c r="B135" s="144" t="s">
        <v>1010</v>
      </c>
      <c r="C135" s="150">
        <v>2.0</v>
      </c>
      <c r="D135" s="151">
        <v>0.0</v>
      </c>
      <c r="E135" s="140"/>
      <c r="F135" s="146"/>
      <c r="G135" s="152" t="s">
        <v>56</v>
      </c>
      <c r="H135" s="153"/>
    </row>
    <row r="136">
      <c r="A136" s="143">
        <v>44105.0</v>
      </c>
      <c r="B136" s="144" t="s">
        <v>555</v>
      </c>
      <c r="C136" s="150">
        <v>390.0</v>
      </c>
      <c r="D136" s="146">
        <v>103369.5</v>
      </c>
      <c r="E136" s="140"/>
      <c r="F136" s="146"/>
      <c r="G136" s="152" t="s">
        <v>48</v>
      </c>
      <c r="H136" s="153"/>
    </row>
    <row r="137">
      <c r="A137" s="143"/>
      <c r="B137" s="154"/>
      <c r="C137" s="145"/>
      <c r="D137" s="146"/>
      <c r="E137" s="140"/>
      <c r="F137" s="146"/>
      <c r="G137" s="152"/>
      <c r="H137" s="153"/>
    </row>
    <row r="138">
      <c r="A138" s="143">
        <v>44158.91785828704</v>
      </c>
      <c r="B138" s="154" t="s">
        <v>956</v>
      </c>
      <c r="C138" s="145"/>
      <c r="D138" s="151"/>
      <c r="E138" s="140">
        <v>29.0</v>
      </c>
      <c r="F138" s="151">
        <v>298700.0</v>
      </c>
      <c r="G138" s="152" t="s">
        <v>163</v>
      </c>
      <c r="H138" s="153"/>
    </row>
    <row r="139">
      <c r="A139" s="143">
        <v>44158.91835071759</v>
      </c>
      <c r="B139" s="154" t="s">
        <v>587</v>
      </c>
      <c r="C139" s="145"/>
      <c r="D139" s="151"/>
      <c r="E139" s="140">
        <v>26.0</v>
      </c>
      <c r="F139" s="151">
        <v>226600.0</v>
      </c>
      <c r="G139" s="152" t="s">
        <v>163</v>
      </c>
      <c r="H139" s="153"/>
    </row>
    <row r="140">
      <c r="A140" s="143">
        <v>44158.918361018514</v>
      </c>
      <c r="B140" s="154" t="s">
        <v>705</v>
      </c>
      <c r="C140" s="145"/>
      <c r="D140" s="151"/>
      <c r="E140" s="140">
        <v>13.0</v>
      </c>
      <c r="F140" s="151">
        <v>234000.0</v>
      </c>
      <c r="G140" s="152" t="s">
        <v>163</v>
      </c>
      <c r="H140" s="153"/>
    </row>
    <row r="141">
      <c r="A141" s="143">
        <v>44158.92000020834</v>
      </c>
      <c r="B141" s="154" t="s">
        <v>845</v>
      </c>
      <c r="C141" s="145"/>
      <c r="D141" s="151"/>
      <c r="E141" s="140">
        <v>44.0</v>
      </c>
      <c r="F141" s="151">
        <v>281300.0</v>
      </c>
      <c r="G141" s="152" t="s">
        <v>163</v>
      </c>
      <c r="H141" s="153"/>
    </row>
    <row r="142">
      <c r="A142" s="143">
        <v>44158.92045766204</v>
      </c>
      <c r="B142" s="154" t="s">
        <v>843</v>
      </c>
      <c r="C142" s="145"/>
      <c r="D142" s="151"/>
      <c r="E142" s="140">
        <v>70.0</v>
      </c>
      <c r="F142" s="151">
        <v>206000.0</v>
      </c>
      <c r="G142" s="152" t="s">
        <v>163</v>
      </c>
      <c r="H142" s="153"/>
    </row>
    <row r="143">
      <c r="A143" s="143"/>
      <c r="B143" s="154"/>
      <c r="C143" s="145"/>
      <c r="D143" s="151"/>
      <c r="E143" s="140"/>
      <c r="F143" s="151"/>
      <c r="G143" s="152"/>
      <c r="H143" s="153"/>
    </row>
    <row r="144">
      <c r="A144" s="143">
        <v>44174.758543738426</v>
      </c>
      <c r="B144" s="154" t="s">
        <v>152</v>
      </c>
      <c r="C144" s="145"/>
      <c r="D144" s="151"/>
      <c r="E144" s="140">
        <v>4.0</v>
      </c>
      <c r="F144" s="151">
        <f> E144*3500</f>
        <v>14000</v>
      </c>
      <c r="G144" s="152" t="s">
        <v>163</v>
      </c>
      <c r="H144" s="153"/>
    </row>
    <row r="145">
      <c r="A145" s="143"/>
      <c r="B145" s="154"/>
      <c r="C145" s="145"/>
      <c r="D145" s="151"/>
      <c r="E145" s="140"/>
      <c r="F145" s="151"/>
      <c r="G145" s="152"/>
      <c r="H145" s="153"/>
    </row>
    <row r="146">
      <c r="A146" s="143">
        <v>44793.0</v>
      </c>
      <c r="B146" s="154" t="s">
        <v>960</v>
      </c>
      <c r="C146" s="145">
        <v>1.0</v>
      </c>
      <c r="D146" s="151">
        <f>C146*13100</f>
        <v>13100</v>
      </c>
      <c r="E146" s="140"/>
      <c r="F146" s="151"/>
      <c r="G146" s="152" t="s">
        <v>56</v>
      </c>
      <c r="H146" s="153"/>
    </row>
    <row r="147">
      <c r="A147" s="143"/>
      <c r="B147" s="154"/>
      <c r="C147" s="145"/>
      <c r="D147" s="151"/>
      <c r="E147" s="140"/>
      <c r="F147" s="151"/>
      <c r="G147" s="152"/>
      <c r="H147" s="153"/>
    </row>
    <row r="148">
      <c r="A148" s="143">
        <v>44810.0</v>
      </c>
      <c r="B148" s="154" t="s">
        <v>408</v>
      </c>
      <c r="C148" s="145"/>
      <c r="D148" s="151"/>
      <c r="E148" s="140">
        <f>262-113-110</f>
        <v>39</v>
      </c>
      <c r="F148" s="151">
        <f>E148*550</f>
        <v>21450</v>
      </c>
      <c r="G148" s="152" t="s">
        <v>33</v>
      </c>
      <c r="H148" s="153"/>
    </row>
    <row r="149">
      <c r="A149" s="143"/>
      <c r="B149" s="154"/>
      <c r="C149" s="145"/>
      <c r="D149" s="151"/>
      <c r="E149" s="140"/>
      <c r="F149" s="151"/>
      <c r="G149" s="152"/>
      <c r="H149" s="153"/>
    </row>
    <row r="150">
      <c r="A150" s="143">
        <v>44826.0</v>
      </c>
      <c r="B150" s="144" t="s">
        <v>944</v>
      </c>
      <c r="C150" s="145"/>
      <c r="D150" s="151"/>
      <c r="E150" s="140">
        <v>48.0</v>
      </c>
      <c r="F150" s="151">
        <f>E150*236.67</f>
        <v>11360.16</v>
      </c>
      <c r="G150" s="152" t="s">
        <v>33</v>
      </c>
      <c r="H150" s="153"/>
    </row>
    <row r="151">
      <c r="A151" s="143"/>
      <c r="B151" s="144"/>
      <c r="C151" s="145"/>
      <c r="D151" s="151"/>
      <c r="E151" s="140"/>
      <c r="F151" s="151"/>
      <c r="G151" s="152"/>
      <c r="H151" s="153"/>
    </row>
    <row r="152">
      <c r="A152" s="143">
        <v>44835.0</v>
      </c>
      <c r="B152" s="154" t="s">
        <v>650</v>
      </c>
      <c r="C152" s="150">
        <v>7.0</v>
      </c>
      <c r="D152" s="151">
        <f>C152*132.946</f>
        <v>930.622</v>
      </c>
      <c r="E152" s="140"/>
      <c r="F152" s="151"/>
      <c r="G152" s="152" t="s">
        <v>33</v>
      </c>
      <c r="H152" s="153"/>
    </row>
    <row r="153">
      <c r="A153" s="143"/>
      <c r="B153" s="144"/>
      <c r="C153" s="145"/>
      <c r="D153" s="151"/>
      <c r="E153" s="140"/>
      <c r="F153" s="151"/>
      <c r="G153" s="152"/>
      <c r="H153" s="153"/>
    </row>
    <row r="154">
      <c r="A154" s="143">
        <v>44841.0</v>
      </c>
      <c r="B154" s="154" t="s">
        <v>152</v>
      </c>
      <c r="C154" s="150">
        <v>8.0</v>
      </c>
      <c r="D154" s="151">
        <f>C154*3500</f>
        <v>28000</v>
      </c>
      <c r="E154" s="140"/>
      <c r="F154" s="151"/>
      <c r="G154" s="152" t="s">
        <v>33</v>
      </c>
      <c r="H154" s="153"/>
    </row>
    <row r="155">
      <c r="A155" s="143"/>
      <c r="B155" s="144"/>
      <c r="C155" s="145"/>
      <c r="D155" s="151"/>
      <c r="E155" s="140"/>
      <c r="F155" s="151"/>
      <c r="G155" s="152"/>
      <c r="H155" s="153"/>
    </row>
    <row r="156">
      <c r="A156" s="143">
        <v>44864.0</v>
      </c>
      <c r="B156" s="154" t="s">
        <v>408</v>
      </c>
      <c r="C156" s="140">
        <v>50.0</v>
      </c>
      <c r="D156" s="151">
        <f>C156*236.67</f>
        <v>11833.5</v>
      </c>
      <c r="E156" s="140"/>
      <c r="F156" s="151"/>
      <c r="G156" s="152" t="s">
        <v>33</v>
      </c>
      <c r="H156" s="153"/>
    </row>
    <row r="157">
      <c r="A157" s="143">
        <v>44864.0</v>
      </c>
      <c r="B157" s="154" t="s">
        <v>970</v>
      </c>
      <c r="C157" s="150">
        <v>2.0</v>
      </c>
      <c r="D157" s="146">
        <f>C157*12500</f>
        <v>25000</v>
      </c>
      <c r="E157" s="140"/>
      <c r="F157" s="151"/>
      <c r="G157" s="152" t="s">
        <v>33</v>
      </c>
      <c r="H157" s="153"/>
    </row>
    <row r="158">
      <c r="A158" s="143"/>
      <c r="B158" s="144"/>
      <c r="C158" s="145"/>
      <c r="D158" s="151"/>
      <c r="E158" s="140"/>
      <c r="F158" s="151"/>
      <c r="G158" s="152"/>
      <c r="H158" s="153"/>
    </row>
    <row r="159">
      <c r="A159" s="143">
        <v>44866.0</v>
      </c>
      <c r="B159" s="154" t="s">
        <v>707</v>
      </c>
      <c r="C159" s="145"/>
      <c r="D159" s="151"/>
      <c r="E159" s="140">
        <v>41.0</v>
      </c>
      <c r="F159" s="151">
        <f>E159*700</f>
        <v>28700</v>
      </c>
      <c r="G159" s="152" t="s">
        <v>33</v>
      </c>
      <c r="H159" s="153"/>
    </row>
    <row r="160">
      <c r="A160" s="143"/>
      <c r="B160" s="144"/>
      <c r="C160" s="145"/>
      <c r="D160" s="151"/>
      <c r="E160" s="140"/>
      <c r="F160" s="151"/>
      <c r="G160" s="152"/>
      <c r="H160" s="153"/>
    </row>
    <row r="161">
      <c r="A161" s="143">
        <v>44868.0</v>
      </c>
      <c r="B161" s="154" t="s">
        <v>32</v>
      </c>
      <c r="C161" s="140">
        <v>15.0</v>
      </c>
      <c r="D161" s="151">
        <f>C161*740.502432432432</f>
        <v>11107.53649</v>
      </c>
      <c r="E161" s="140"/>
      <c r="F161" s="151"/>
      <c r="G161" s="152" t="s">
        <v>33</v>
      </c>
      <c r="H161" s="153"/>
    </row>
    <row r="162">
      <c r="A162" s="143">
        <v>44868.0</v>
      </c>
      <c r="B162" s="154" t="s">
        <v>93</v>
      </c>
      <c r="C162" s="145"/>
      <c r="D162" s="151"/>
      <c r="E162" s="140">
        <v>5.0</v>
      </c>
      <c r="F162" s="151">
        <f>E162*740.502432432432</f>
        <v>3702.512162</v>
      </c>
      <c r="G162" s="152" t="s">
        <v>33</v>
      </c>
      <c r="H162" s="153"/>
    </row>
    <row r="163">
      <c r="A163" s="143"/>
      <c r="B163" s="144"/>
      <c r="C163" s="145"/>
      <c r="D163" s="151"/>
      <c r="E163" s="140"/>
      <c r="F163" s="151"/>
      <c r="G163" s="152"/>
      <c r="H163" s="153"/>
    </row>
    <row r="164">
      <c r="A164" s="143">
        <v>44924.0</v>
      </c>
      <c r="B164" s="154" t="s">
        <v>397</v>
      </c>
      <c r="C164" s="145"/>
      <c r="D164" s="151"/>
      <c r="E164" s="140">
        <v>2.0</v>
      </c>
      <c r="F164" s="151">
        <f>E164*960.392857142857</f>
        <v>1920.785714</v>
      </c>
      <c r="G164" s="152" t="s">
        <v>33</v>
      </c>
      <c r="H164" s="153"/>
    </row>
    <row r="165">
      <c r="A165" s="143"/>
      <c r="B165" s="144"/>
      <c r="C165" s="145"/>
      <c r="D165" s="151"/>
      <c r="E165" s="140"/>
      <c r="F165" s="151"/>
      <c r="G165" s="152"/>
      <c r="H165" s="153"/>
    </row>
    <row r="166">
      <c r="A166" s="143">
        <v>44984.92916666667</v>
      </c>
      <c r="B166" s="154" t="s">
        <v>152</v>
      </c>
      <c r="C166" s="145"/>
      <c r="D166" s="151"/>
      <c r="E166" s="140">
        <v>8.0</v>
      </c>
      <c r="F166" s="151">
        <f>E166*5458</f>
        <v>43664</v>
      </c>
      <c r="G166" s="152" t="s">
        <v>33</v>
      </c>
      <c r="H166" s="153" t="s">
        <v>1011</v>
      </c>
    </row>
    <row r="167">
      <c r="A167" s="143"/>
      <c r="B167" s="154"/>
      <c r="C167" s="145"/>
      <c r="D167" s="151"/>
      <c r="E167" s="140"/>
      <c r="F167" s="151"/>
      <c r="G167" s="152"/>
      <c r="H167" s="153"/>
    </row>
    <row r="168">
      <c r="A168" s="143">
        <v>45004.0</v>
      </c>
      <c r="B168" s="154" t="s">
        <v>707</v>
      </c>
      <c r="C168" s="145"/>
      <c r="D168" s="151"/>
      <c r="E168" s="140">
        <v>3.0</v>
      </c>
      <c r="F168" s="151">
        <f>E168*588.5</f>
        <v>1765.5</v>
      </c>
      <c r="G168" s="152" t="s">
        <v>33</v>
      </c>
      <c r="H168" s="153" t="s">
        <v>1012</v>
      </c>
    </row>
    <row r="169">
      <c r="A169" s="143">
        <v>45005.740277777775</v>
      </c>
      <c r="B169" s="154" t="s">
        <v>364</v>
      </c>
      <c r="C169" s="145"/>
      <c r="D169" s="151"/>
      <c r="E169" s="140">
        <v>11.0</v>
      </c>
      <c r="F169" s="151">
        <f>E169*686.785714285714</f>
        <v>7554.642857</v>
      </c>
      <c r="G169" s="152" t="s">
        <v>33</v>
      </c>
      <c r="H169" s="153" t="s">
        <v>1013</v>
      </c>
    </row>
    <row r="170">
      <c r="A170" s="143"/>
      <c r="B170" s="154"/>
      <c r="C170" s="145"/>
      <c r="D170" s="151"/>
      <c r="E170" s="140"/>
      <c r="F170" s="151"/>
      <c r="G170" s="152"/>
      <c r="H170" s="153"/>
    </row>
    <row r="171">
      <c r="A171" s="143">
        <v>45022.0</v>
      </c>
      <c r="B171" s="154" t="s">
        <v>326</v>
      </c>
      <c r="C171" s="150">
        <v>2.0</v>
      </c>
      <c r="D171" s="151">
        <f>C171*9.78</f>
        <v>19.56</v>
      </c>
      <c r="E171" s="140"/>
      <c r="F171" s="151"/>
      <c r="G171" s="152" t="s">
        <v>33</v>
      </c>
      <c r="H171" s="153"/>
    </row>
    <row r="172">
      <c r="A172" s="143"/>
      <c r="B172" s="154"/>
      <c r="C172" s="150"/>
      <c r="D172" s="151"/>
      <c r="E172" s="140"/>
      <c r="F172" s="151"/>
      <c r="G172" s="152"/>
      <c r="H172" s="153"/>
    </row>
    <row r="173">
      <c r="A173" s="143">
        <v>45047.0</v>
      </c>
      <c r="B173" s="154" t="s">
        <v>472</v>
      </c>
      <c r="C173" s="150">
        <v>2.0</v>
      </c>
      <c r="D173" s="151">
        <f>C173*1108.88</f>
        <v>2217.76</v>
      </c>
      <c r="E173" s="140"/>
      <c r="F173" s="151"/>
      <c r="G173" s="152" t="s">
        <v>33</v>
      </c>
      <c r="H173" s="153"/>
    </row>
    <row r="174">
      <c r="A174" s="143"/>
      <c r="B174" s="154"/>
      <c r="C174" s="150"/>
      <c r="D174" s="151"/>
      <c r="E174" s="140"/>
      <c r="F174" s="151"/>
      <c r="G174" s="152"/>
      <c r="H174" s="153"/>
    </row>
    <row r="175">
      <c r="A175" s="143">
        <v>45079.0</v>
      </c>
      <c r="B175" s="154" t="s">
        <v>152</v>
      </c>
      <c r="C175" s="150">
        <v>3.0</v>
      </c>
      <c r="D175" s="151">
        <v>5458.0</v>
      </c>
      <c r="E175" s="140"/>
      <c r="F175" s="151"/>
      <c r="G175" s="152" t="s">
        <v>33</v>
      </c>
      <c r="H175" s="153"/>
    </row>
    <row r="176">
      <c r="A176" s="143">
        <v>45080.0</v>
      </c>
      <c r="B176" s="154" t="s">
        <v>707</v>
      </c>
      <c r="C176" s="150">
        <v>14.0</v>
      </c>
      <c r="D176" s="151">
        <f>C176*588.5</f>
        <v>8239</v>
      </c>
      <c r="E176" s="140"/>
      <c r="F176" s="151"/>
      <c r="G176" s="152" t="s">
        <v>33</v>
      </c>
      <c r="H176" s="153"/>
    </row>
    <row r="177">
      <c r="A177" s="143">
        <v>45089.0</v>
      </c>
      <c r="B177" s="154" t="s">
        <v>944</v>
      </c>
      <c r="C177" s="145"/>
      <c r="D177" s="151"/>
      <c r="E177" s="140">
        <v>100.0</v>
      </c>
      <c r="F177" s="151">
        <f>E177*218</f>
        <v>21800</v>
      </c>
      <c r="G177" s="152" t="s">
        <v>33</v>
      </c>
      <c r="H177" s="153" t="s">
        <v>1014</v>
      </c>
    </row>
    <row r="178">
      <c r="A178" s="143">
        <v>45091.0</v>
      </c>
      <c r="B178" s="154" t="s">
        <v>910</v>
      </c>
      <c r="C178" s="145"/>
      <c r="D178" s="151"/>
      <c r="E178" s="140">
        <v>2.0</v>
      </c>
      <c r="F178" s="151">
        <v>100.0</v>
      </c>
      <c r="G178" s="152" t="s">
        <v>33</v>
      </c>
      <c r="H178" s="153" t="s">
        <v>1015</v>
      </c>
    </row>
    <row r="179">
      <c r="A179" s="143">
        <v>45099.59375</v>
      </c>
      <c r="B179" s="154" t="s">
        <v>650</v>
      </c>
      <c r="C179" s="150">
        <v>20.0</v>
      </c>
      <c r="D179" s="151">
        <f>C179*90</f>
        <v>1800</v>
      </c>
      <c r="E179" s="140"/>
      <c r="F179" s="151"/>
      <c r="G179" s="152" t="s">
        <v>33</v>
      </c>
      <c r="H179" s="153"/>
    </row>
    <row r="180">
      <c r="A180" s="143"/>
      <c r="B180" s="144"/>
      <c r="C180" s="145"/>
      <c r="D180" s="151"/>
      <c r="E180" s="140"/>
      <c r="F180" s="151"/>
      <c r="G180" s="152"/>
      <c r="H180" s="153"/>
    </row>
    <row r="181">
      <c r="A181" s="143">
        <v>45117.0</v>
      </c>
      <c r="B181" s="154" t="s">
        <v>933</v>
      </c>
      <c r="C181" s="145"/>
      <c r="D181" s="151"/>
      <c r="E181" s="140">
        <v>1.0</v>
      </c>
      <c r="F181" s="151">
        <f>E181*347.5</f>
        <v>347.5</v>
      </c>
      <c r="G181" s="152" t="s">
        <v>33</v>
      </c>
      <c r="H181" s="153"/>
    </row>
    <row r="182">
      <c r="A182" s="143">
        <v>45122.0</v>
      </c>
      <c r="B182" s="154" t="s">
        <v>93</v>
      </c>
      <c r="C182" s="150">
        <v>60.0</v>
      </c>
      <c r="D182" s="151">
        <f>C182*731</f>
        <v>43860</v>
      </c>
      <c r="E182" s="140"/>
      <c r="F182" s="151"/>
      <c r="G182" s="152" t="s">
        <v>37</v>
      </c>
      <c r="H182" s="153" t="s">
        <v>1016</v>
      </c>
    </row>
    <row r="183">
      <c r="A183" s="143">
        <v>45122.0</v>
      </c>
      <c r="B183" s="154" t="s">
        <v>32</v>
      </c>
      <c r="C183" s="145"/>
      <c r="D183" s="151"/>
      <c r="E183" s="140">
        <v>60.0</v>
      </c>
      <c r="F183" s="151">
        <f>E183*731</f>
        <v>43860</v>
      </c>
      <c r="G183" s="152" t="s">
        <v>37</v>
      </c>
      <c r="H183" s="153" t="s">
        <v>1016</v>
      </c>
    </row>
    <row r="184">
      <c r="A184" s="158"/>
      <c r="B184" s="154"/>
      <c r="C184" s="150"/>
      <c r="D184" s="151"/>
      <c r="E184" s="140"/>
      <c r="F184" s="151"/>
      <c r="G184" s="152"/>
      <c r="H184" s="153"/>
    </row>
    <row r="185">
      <c r="A185" s="143">
        <v>45167.37141907407</v>
      </c>
      <c r="B185" s="159" t="s">
        <v>175</v>
      </c>
      <c r="C185" s="160"/>
      <c r="D185" s="161"/>
      <c r="E185" s="140">
        <v>3.0</v>
      </c>
      <c r="F185" s="161">
        <f>E185*(39217.1538461538-5000)</f>
        <v>102651.4615</v>
      </c>
      <c r="G185" s="162" t="s">
        <v>66</v>
      </c>
      <c r="H185" s="163"/>
    </row>
    <row r="186">
      <c r="A186" s="143"/>
      <c r="B186" s="154"/>
      <c r="C186" s="150"/>
      <c r="D186" s="151"/>
      <c r="E186" s="140"/>
      <c r="F186" s="146"/>
      <c r="G186" s="152"/>
      <c r="H186" s="153"/>
    </row>
    <row r="187">
      <c r="A187" s="143">
        <v>45177.68263888889</v>
      </c>
      <c r="B187" s="154" t="s">
        <v>408</v>
      </c>
      <c r="C187" s="150">
        <v>4.0</v>
      </c>
      <c r="D187" s="151">
        <v>2700.0</v>
      </c>
      <c r="E187" s="140"/>
      <c r="F187" s="146"/>
      <c r="G187" s="152" t="s">
        <v>33</v>
      </c>
      <c r="H187" s="153" t="s">
        <v>1017</v>
      </c>
    </row>
    <row r="188">
      <c r="A188" s="143">
        <v>45177.682650462964</v>
      </c>
      <c r="B188" s="154" t="s">
        <v>472</v>
      </c>
      <c r="C188" s="150"/>
      <c r="D188" s="151"/>
      <c r="E188" s="140">
        <v>4.0</v>
      </c>
      <c r="F188" s="151">
        <f>E188*572</f>
        <v>2288</v>
      </c>
      <c r="G188" s="152" t="s">
        <v>33</v>
      </c>
      <c r="H188" s="153" t="s">
        <v>1017</v>
      </c>
    </row>
    <row r="189">
      <c r="A189" s="143"/>
      <c r="B189" s="154"/>
      <c r="C189" s="150"/>
      <c r="D189" s="151"/>
      <c r="E189" s="140"/>
      <c r="F189" s="151"/>
      <c r="G189" s="152"/>
      <c r="H189" s="153"/>
    </row>
    <row r="190">
      <c r="A190" s="143">
        <v>45194.0</v>
      </c>
      <c r="B190" s="154" t="s">
        <v>408</v>
      </c>
      <c r="C190" s="145"/>
      <c r="D190" s="151"/>
      <c r="E190" s="140">
        <v>5.0</v>
      </c>
      <c r="F190" s="151">
        <f>E190*550</f>
        <v>2750</v>
      </c>
      <c r="G190" s="152" t="s">
        <v>33</v>
      </c>
      <c r="H190" s="153" t="s">
        <v>1018</v>
      </c>
    </row>
    <row r="191">
      <c r="A191" s="143"/>
      <c r="B191" s="144"/>
      <c r="C191" s="145"/>
      <c r="D191" s="151"/>
      <c r="E191" s="140"/>
      <c r="F191" s="151"/>
      <c r="G191" s="152"/>
      <c r="H191" s="153"/>
    </row>
    <row r="192">
      <c r="A192" s="143">
        <v>45202.45622685185</v>
      </c>
      <c r="B192" s="154" t="s">
        <v>682</v>
      </c>
      <c r="C192" s="150">
        <v>3.0</v>
      </c>
      <c r="D192" s="151">
        <f>C192*2733</f>
        <v>8199</v>
      </c>
      <c r="E192" s="140"/>
      <c r="F192" s="151"/>
      <c r="G192" s="152" t="s">
        <v>33</v>
      </c>
      <c r="H192" s="153" t="s">
        <v>1019</v>
      </c>
    </row>
    <row r="193">
      <c r="A193" s="143">
        <v>45203.72152777778</v>
      </c>
      <c r="B193" s="154" t="s">
        <v>408</v>
      </c>
      <c r="C193" s="164">
        <v>10.0</v>
      </c>
      <c r="D193" s="151">
        <v>6750.0</v>
      </c>
      <c r="E193" s="140"/>
      <c r="F193" s="151"/>
      <c r="G193" s="152" t="s">
        <v>33</v>
      </c>
      <c r="H193" s="153" t="s">
        <v>1020</v>
      </c>
    </row>
    <row r="194">
      <c r="A194" s="143">
        <v>45203.72152777778</v>
      </c>
      <c r="B194" s="154" t="s">
        <v>472</v>
      </c>
      <c r="C194" s="145"/>
      <c r="D194" s="151"/>
      <c r="E194" s="140">
        <v>10.0</v>
      </c>
      <c r="F194" s="151">
        <f>E194*572</f>
        <v>5720</v>
      </c>
      <c r="G194" s="152" t="s">
        <v>33</v>
      </c>
      <c r="H194" s="153" t="s">
        <v>1020</v>
      </c>
    </row>
    <row r="195">
      <c r="A195" s="143">
        <v>45204.55097135417</v>
      </c>
      <c r="B195" s="154" t="s">
        <v>650</v>
      </c>
      <c r="C195" s="150">
        <v>283.0</v>
      </c>
      <c r="D195" s="151">
        <f>C195*104.929</f>
        <v>29694.907</v>
      </c>
      <c r="E195" s="140"/>
      <c r="F195" s="151"/>
      <c r="G195" s="152" t="s">
        <v>33</v>
      </c>
      <c r="H195" s="153" t="s">
        <v>1021</v>
      </c>
    </row>
    <row r="196">
      <c r="A196" s="143">
        <v>45207.80554398148</v>
      </c>
      <c r="B196" s="154" t="s">
        <v>408</v>
      </c>
      <c r="C196" s="150"/>
      <c r="D196" s="151"/>
      <c r="E196" s="140">
        <v>10.0</v>
      </c>
      <c r="F196" s="151">
        <f>E196*550</f>
        <v>5500</v>
      </c>
      <c r="G196" s="152" t="s">
        <v>33</v>
      </c>
      <c r="H196" s="153" t="s">
        <v>1022</v>
      </c>
    </row>
    <row r="197">
      <c r="A197" s="143"/>
      <c r="B197" s="154"/>
      <c r="C197" s="150"/>
      <c r="D197" s="151"/>
      <c r="E197" s="140"/>
      <c r="F197" s="151"/>
      <c r="G197" s="152"/>
      <c r="H197" s="153"/>
    </row>
    <row r="198">
      <c r="A198" s="143">
        <v>45213.55926896991</v>
      </c>
      <c r="B198" s="154" t="s">
        <v>910</v>
      </c>
      <c r="C198" s="150">
        <v>17.0</v>
      </c>
      <c r="D198" s="151">
        <f>C198*391.25</f>
        <v>6651.25</v>
      </c>
      <c r="E198" s="140"/>
      <c r="F198" s="151"/>
      <c r="G198" s="152" t="s">
        <v>33</v>
      </c>
      <c r="H198" s="153" t="s">
        <v>1023</v>
      </c>
    </row>
    <row r="199">
      <c r="A199" s="143"/>
      <c r="B199" s="154"/>
      <c r="C199" s="150"/>
      <c r="D199" s="151"/>
      <c r="E199" s="140"/>
      <c r="F199" s="151"/>
      <c r="G199" s="152"/>
      <c r="H199" s="153"/>
    </row>
    <row r="200">
      <c r="A200" s="143">
        <v>45215.53472222222</v>
      </c>
      <c r="B200" s="154" t="s">
        <v>331</v>
      </c>
      <c r="C200" s="150">
        <v>79.0</v>
      </c>
      <c r="D200" s="151">
        <f>C200*826</f>
        <v>65254</v>
      </c>
      <c r="E200" s="140"/>
      <c r="F200" s="151"/>
      <c r="G200" s="152" t="s">
        <v>33</v>
      </c>
      <c r="H200" s="153" t="s">
        <v>1024</v>
      </c>
    </row>
    <row r="201">
      <c r="A201" s="143">
        <v>45220.0</v>
      </c>
      <c r="B201" s="154" t="s">
        <v>385</v>
      </c>
      <c r="C201" s="145"/>
      <c r="D201" s="151"/>
      <c r="E201" s="140">
        <v>3.0</v>
      </c>
      <c r="F201" s="151">
        <f>E201*580</f>
        <v>1740</v>
      </c>
      <c r="G201" s="152" t="s">
        <v>33</v>
      </c>
      <c r="H201" s="153" t="s">
        <v>1025</v>
      </c>
    </row>
    <row r="202">
      <c r="A202" s="143"/>
      <c r="B202" s="154"/>
      <c r="C202" s="150"/>
      <c r="D202" s="151"/>
      <c r="E202" s="140"/>
      <c r="F202" s="151"/>
      <c r="G202" s="152"/>
      <c r="H202" s="153"/>
    </row>
    <row r="203">
      <c r="A203" s="143">
        <v>45242.84026222222</v>
      </c>
      <c r="B203" s="154" t="s">
        <v>108</v>
      </c>
      <c r="C203" s="150"/>
      <c r="D203" s="151"/>
      <c r="E203" s="140">
        <v>9.0</v>
      </c>
      <c r="F203" s="151">
        <f>E203*3557.25</f>
        <v>32015.25</v>
      </c>
      <c r="G203" s="152" t="s">
        <v>33</v>
      </c>
      <c r="H203" s="153"/>
    </row>
    <row r="204">
      <c r="A204" s="143">
        <v>45242.84287694444</v>
      </c>
      <c r="B204" s="154" t="s">
        <v>141</v>
      </c>
      <c r="C204" s="145"/>
      <c r="D204" s="151"/>
      <c r="E204" s="140">
        <v>8.0</v>
      </c>
      <c r="F204" s="151">
        <f>E204*3359.63</f>
        <v>26877.04</v>
      </c>
      <c r="G204" s="152" t="s">
        <v>33</v>
      </c>
      <c r="H204" s="153"/>
    </row>
    <row r="205">
      <c r="A205" s="143">
        <v>45242.87329059027</v>
      </c>
      <c r="B205" s="154" t="s">
        <v>970</v>
      </c>
      <c r="C205" s="150"/>
      <c r="D205" s="151"/>
      <c r="E205" s="140">
        <v>3.0</v>
      </c>
      <c r="F205" s="151">
        <f>E205*12350</f>
        <v>37050</v>
      </c>
      <c r="G205" s="152" t="s">
        <v>33</v>
      </c>
      <c r="H205" s="153"/>
    </row>
    <row r="206">
      <c r="A206" s="143">
        <v>45242.87329059027</v>
      </c>
      <c r="B206" s="154" t="s">
        <v>965</v>
      </c>
      <c r="C206" s="150"/>
      <c r="D206" s="151"/>
      <c r="E206" s="140">
        <v>1.0</v>
      </c>
      <c r="F206" s="151">
        <f>E206*5000</f>
        <v>5000</v>
      </c>
      <c r="G206" s="152" t="s">
        <v>33</v>
      </c>
      <c r="H206" s="153"/>
    </row>
    <row r="207">
      <c r="A207" s="165"/>
      <c r="B207" s="154"/>
      <c r="C207" s="150"/>
      <c r="D207" s="151"/>
      <c r="E207" s="140"/>
      <c r="F207" s="151"/>
      <c r="G207" s="152"/>
      <c r="H207" s="153"/>
    </row>
    <row r="208">
      <c r="A208" s="143">
        <v>45269.472717094905</v>
      </c>
      <c r="B208" s="154" t="s">
        <v>32</v>
      </c>
      <c r="C208" s="150">
        <v>2.0</v>
      </c>
      <c r="D208" s="151">
        <f t="shared" ref="D208:D209" si="7">C208*731</f>
        <v>1462</v>
      </c>
      <c r="E208" s="140"/>
      <c r="F208" s="151"/>
      <c r="G208" s="152" t="s">
        <v>37</v>
      </c>
      <c r="H208" s="153" t="s">
        <v>1024</v>
      </c>
    </row>
    <row r="209">
      <c r="A209" s="143">
        <v>45270.586981863424</v>
      </c>
      <c r="B209" s="154" t="s">
        <v>32</v>
      </c>
      <c r="C209" s="150">
        <v>56.0</v>
      </c>
      <c r="D209" s="151">
        <f t="shared" si="7"/>
        <v>40936</v>
      </c>
      <c r="E209" s="140"/>
      <c r="F209" s="151"/>
      <c r="G209" s="152" t="s">
        <v>33</v>
      </c>
      <c r="H209" s="153" t="s">
        <v>1024</v>
      </c>
    </row>
    <row r="210">
      <c r="A210" s="143">
        <v>45270.594347175924</v>
      </c>
      <c r="B210" s="154" t="s">
        <v>713</v>
      </c>
      <c r="C210" s="150"/>
      <c r="D210" s="151"/>
      <c r="E210" s="140">
        <v>36.0</v>
      </c>
      <c r="F210" s="151">
        <f>E210*560</f>
        <v>20160</v>
      </c>
      <c r="G210" s="152" t="s">
        <v>33</v>
      </c>
      <c r="H210" s="153" t="s">
        <v>1026</v>
      </c>
    </row>
    <row r="211">
      <c r="A211" s="143">
        <v>45270.59444199074</v>
      </c>
      <c r="B211" s="154" t="s">
        <v>707</v>
      </c>
      <c r="C211" s="150">
        <v>36.0</v>
      </c>
      <c r="D211" s="151">
        <f t="shared" ref="D211:D212" si="8">C211*560</f>
        <v>20160</v>
      </c>
      <c r="E211" s="140"/>
      <c r="F211" s="151"/>
      <c r="G211" s="152" t="s">
        <v>33</v>
      </c>
      <c r="H211" s="153" t="s">
        <v>1026</v>
      </c>
    </row>
    <row r="212">
      <c r="A212" s="143">
        <v>45270.59623355324</v>
      </c>
      <c r="B212" s="154" t="s">
        <v>707</v>
      </c>
      <c r="C212" s="150">
        <v>24.0</v>
      </c>
      <c r="D212" s="151">
        <f t="shared" si="8"/>
        <v>13440</v>
      </c>
      <c r="E212" s="140"/>
      <c r="F212" s="151"/>
      <c r="G212" s="152" t="s">
        <v>33</v>
      </c>
      <c r="H212" s="153" t="s">
        <v>1024</v>
      </c>
    </row>
    <row r="213">
      <c r="A213" s="143">
        <v>45270.603346620366</v>
      </c>
      <c r="B213" s="154" t="s">
        <v>152</v>
      </c>
      <c r="C213" s="150"/>
      <c r="D213" s="151"/>
      <c r="E213" s="140">
        <v>1.0</v>
      </c>
      <c r="F213" s="151">
        <f>E213*5967.86</f>
        <v>5967.86</v>
      </c>
      <c r="G213" s="152" t="s">
        <v>33</v>
      </c>
      <c r="H213" s="153" t="s">
        <v>1027</v>
      </c>
    </row>
    <row r="214">
      <c r="A214" s="143">
        <v>45270.605007164355</v>
      </c>
      <c r="B214" s="154" t="s">
        <v>108</v>
      </c>
      <c r="C214" s="150"/>
      <c r="D214" s="151"/>
      <c r="E214" s="140">
        <v>1.0</v>
      </c>
      <c r="F214" s="151">
        <f>E214*3952.5</f>
        <v>3952.5</v>
      </c>
      <c r="G214" s="152" t="s">
        <v>33</v>
      </c>
      <c r="H214" s="153" t="s">
        <v>1028</v>
      </c>
    </row>
    <row r="215">
      <c r="A215" s="143"/>
      <c r="B215" s="154"/>
      <c r="C215" s="150"/>
      <c r="D215" s="151"/>
      <c r="E215" s="140"/>
      <c r="F215" s="151"/>
      <c r="G215" s="152"/>
      <c r="H215" s="153"/>
    </row>
    <row r="216">
      <c r="A216" s="143">
        <v>45294.90555555555</v>
      </c>
      <c r="B216" s="154" t="s">
        <v>101</v>
      </c>
      <c r="C216" s="150">
        <v>75.0</v>
      </c>
      <c r="D216" s="151">
        <v>0.0</v>
      </c>
      <c r="E216" s="140"/>
      <c r="F216" s="151"/>
      <c r="G216" s="152" t="s">
        <v>33</v>
      </c>
      <c r="H216" s="153" t="s">
        <v>1029</v>
      </c>
    </row>
    <row r="217">
      <c r="A217" s="143">
        <v>45294.90555555555</v>
      </c>
      <c r="B217" s="154" t="s">
        <v>101</v>
      </c>
      <c r="C217" s="150"/>
      <c r="D217" s="151"/>
      <c r="E217" s="140">
        <v>28.0</v>
      </c>
      <c r="F217" s="151">
        <f>E217*2756</f>
        <v>77168</v>
      </c>
      <c r="G217" s="152" t="s">
        <v>33</v>
      </c>
      <c r="H217" s="153" t="s">
        <v>1030</v>
      </c>
    </row>
    <row r="218">
      <c r="A218" s="143"/>
      <c r="B218" s="154"/>
      <c r="C218" s="150"/>
      <c r="D218" s="151"/>
      <c r="E218" s="140"/>
      <c r="F218" s="151"/>
      <c r="G218" s="152"/>
      <c r="H218" s="153"/>
    </row>
    <row r="219">
      <c r="A219" s="143">
        <v>45318.74035928241</v>
      </c>
      <c r="B219" s="154" t="s">
        <v>397</v>
      </c>
      <c r="C219" s="150">
        <v>70.0</v>
      </c>
      <c r="D219" s="151">
        <f>C219*871</f>
        <v>60970</v>
      </c>
      <c r="E219" s="140"/>
      <c r="F219" s="151"/>
      <c r="G219" s="152" t="s">
        <v>33</v>
      </c>
      <c r="H219" s="153" t="s">
        <v>1024</v>
      </c>
    </row>
    <row r="220">
      <c r="A220" s="143">
        <v>45318.74035928241</v>
      </c>
      <c r="B220" s="154" t="s">
        <v>910</v>
      </c>
      <c r="C220" s="150">
        <v>3.0</v>
      </c>
      <c r="D220" s="151">
        <v>0.0</v>
      </c>
      <c r="E220" s="140"/>
      <c r="F220" s="151"/>
      <c r="G220" s="152" t="s">
        <v>33</v>
      </c>
      <c r="H220" s="153" t="s">
        <v>1031</v>
      </c>
    </row>
    <row r="221">
      <c r="A221" s="143"/>
      <c r="B221" s="154"/>
      <c r="C221" s="150"/>
      <c r="D221" s="151"/>
      <c r="E221" s="140"/>
      <c r="F221" s="151"/>
      <c r="G221" s="152"/>
      <c r="H221" s="153"/>
    </row>
    <row r="222">
      <c r="A222" s="143">
        <v>45341.50444109953</v>
      </c>
      <c r="B222" s="154" t="s">
        <v>944</v>
      </c>
      <c r="C222" s="150"/>
      <c r="D222" s="151"/>
      <c r="E222" s="140">
        <v>1.0</v>
      </c>
      <c r="F222" s="151">
        <f>E222*311.67</f>
        <v>311.67</v>
      </c>
      <c r="G222" s="152" t="s">
        <v>37</v>
      </c>
      <c r="H222" s="153" t="s">
        <v>1032</v>
      </c>
    </row>
    <row r="223">
      <c r="A223" s="143">
        <v>45348.57322189814</v>
      </c>
      <c r="B223" s="154" t="s">
        <v>190</v>
      </c>
      <c r="C223" s="150">
        <v>1.0</v>
      </c>
      <c r="D223" s="151">
        <v>0.0</v>
      </c>
      <c r="E223" s="140"/>
      <c r="F223" s="151"/>
      <c r="G223" s="152" t="s">
        <v>33</v>
      </c>
      <c r="H223" s="153" t="s">
        <v>1033</v>
      </c>
    </row>
    <row r="224">
      <c r="A224" s="143">
        <v>45352.93424497685</v>
      </c>
      <c r="B224" s="154" t="s">
        <v>791</v>
      </c>
      <c r="C224" s="150">
        <v>10.0</v>
      </c>
      <c r="D224" s="151">
        <f>C224*21.75</f>
        <v>217.5</v>
      </c>
      <c r="E224" s="140"/>
      <c r="F224" s="151"/>
      <c r="G224" s="152" t="s">
        <v>33</v>
      </c>
      <c r="H224" s="153" t="s">
        <v>1024</v>
      </c>
    </row>
    <row r="225">
      <c r="A225" s="143">
        <v>45352.937749282406</v>
      </c>
      <c r="B225" s="154" t="s">
        <v>544</v>
      </c>
      <c r="C225" s="150"/>
      <c r="D225" s="151"/>
      <c r="E225" s="140">
        <v>1.0</v>
      </c>
      <c r="F225" s="151">
        <f>E225*170.975</f>
        <v>170.975</v>
      </c>
      <c r="G225" s="152" t="s">
        <v>33</v>
      </c>
      <c r="H225" s="153"/>
    </row>
    <row r="226">
      <c r="A226" s="143">
        <v>45360.86900939815</v>
      </c>
      <c r="B226" s="154" t="s">
        <v>385</v>
      </c>
      <c r="C226" s="150">
        <v>6.0</v>
      </c>
      <c r="D226" s="151">
        <f>C226*580</f>
        <v>3480</v>
      </c>
      <c r="E226" s="140"/>
      <c r="F226" s="151"/>
      <c r="G226" s="152" t="s">
        <v>37</v>
      </c>
      <c r="H226" s="153"/>
    </row>
    <row r="227">
      <c r="A227" s="143">
        <v>45373.416666666664</v>
      </c>
      <c r="B227" s="154" t="s">
        <v>331</v>
      </c>
      <c r="C227" s="150">
        <v>3.0</v>
      </c>
      <c r="D227" s="151">
        <f>C227*850</f>
        <v>2550</v>
      </c>
      <c r="E227" s="140"/>
      <c r="F227" s="151"/>
      <c r="G227" s="152" t="s">
        <v>37</v>
      </c>
      <c r="H227" s="153"/>
    </row>
    <row r="228">
      <c r="A228" s="143">
        <v>45374.464435671296</v>
      </c>
      <c r="B228" s="154" t="s">
        <v>73</v>
      </c>
      <c r="C228" s="150">
        <v>5.0</v>
      </c>
      <c r="D228" s="151">
        <f>C228*2049</f>
        <v>10245</v>
      </c>
      <c r="E228" s="140"/>
      <c r="F228" s="151"/>
      <c r="G228" s="152" t="s">
        <v>33</v>
      </c>
      <c r="H228" s="153"/>
    </row>
    <row r="229">
      <c r="A229" s="143"/>
      <c r="B229" s="154"/>
      <c r="C229" s="150"/>
      <c r="D229" s="151"/>
      <c r="E229" s="140"/>
      <c r="F229" s="151"/>
      <c r="G229" s="152"/>
      <c r="H229" s="153"/>
    </row>
    <row r="230">
      <c r="A230" s="143">
        <v>45384.774305555555</v>
      </c>
      <c r="B230" s="154" t="s">
        <v>869</v>
      </c>
      <c r="C230" s="150"/>
      <c r="D230" s="151"/>
      <c r="E230" s="140">
        <v>4.0</v>
      </c>
      <c r="F230" s="151"/>
      <c r="G230" s="152" t="s">
        <v>37</v>
      </c>
      <c r="H230" s="153" t="s">
        <v>1034</v>
      </c>
    </row>
    <row r="231">
      <c r="A231" s="143">
        <v>45384.774305555555</v>
      </c>
      <c r="B231" s="154" t="s">
        <v>895</v>
      </c>
      <c r="C231" s="150">
        <v>4.0</v>
      </c>
      <c r="D231" s="151"/>
      <c r="E231" s="140"/>
      <c r="F231" s="151"/>
      <c r="G231" s="152" t="s">
        <v>37</v>
      </c>
      <c r="H231" s="153" t="s">
        <v>1034</v>
      </c>
    </row>
    <row r="232">
      <c r="A232" s="143">
        <v>45384.774305555555</v>
      </c>
      <c r="B232" s="154" t="s">
        <v>944</v>
      </c>
      <c r="C232" s="150">
        <v>7.0</v>
      </c>
      <c r="D232" s="151">
        <f>C232*311.666666666667</f>
        <v>2181.666667</v>
      </c>
      <c r="E232" s="140"/>
      <c r="F232" s="151"/>
      <c r="G232" s="152" t="s">
        <v>37</v>
      </c>
      <c r="H232" s="153" t="s">
        <v>1035</v>
      </c>
    </row>
    <row r="233">
      <c r="A233" s="143">
        <v>45391.2</v>
      </c>
      <c r="B233" s="154" t="s">
        <v>175</v>
      </c>
      <c r="C233" s="150"/>
      <c r="D233" s="151"/>
      <c r="E233" s="140">
        <v>1.0</v>
      </c>
      <c r="F233" s="151">
        <f>E233*34000</f>
        <v>34000</v>
      </c>
      <c r="G233" s="152" t="s">
        <v>37</v>
      </c>
      <c r="H233" s="153" t="s">
        <v>1036</v>
      </c>
    </row>
    <row r="234">
      <c r="A234" s="143">
        <v>45403.76910822917</v>
      </c>
      <c r="B234" s="154" t="s">
        <v>108</v>
      </c>
      <c r="C234" s="150"/>
      <c r="D234" s="151"/>
      <c r="E234" s="140">
        <v>2.0</v>
      </c>
      <c r="F234" s="151">
        <f>E234*3647.41379310345</f>
        <v>7294.827586</v>
      </c>
      <c r="G234" s="152" t="s">
        <v>37</v>
      </c>
      <c r="H234" s="153" t="s">
        <v>1037</v>
      </c>
    </row>
    <row r="235">
      <c r="A235" s="143">
        <v>45403.76910822917</v>
      </c>
      <c r="B235" s="154" t="s">
        <v>152</v>
      </c>
      <c r="C235" s="150"/>
      <c r="D235" s="151"/>
      <c r="E235" s="140">
        <v>5.0</v>
      </c>
      <c r="F235" s="151">
        <f>E235*5547.61904761905</f>
        <v>27738.09524</v>
      </c>
      <c r="G235" s="152" t="s">
        <v>33</v>
      </c>
      <c r="H235" s="153" t="s">
        <v>1015</v>
      </c>
    </row>
    <row r="236">
      <c r="A236" s="143">
        <v>45403.76910822917</v>
      </c>
      <c r="B236" s="154" t="s">
        <v>152</v>
      </c>
      <c r="C236" s="150">
        <v>1.0</v>
      </c>
      <c r="D236" s="151">
        <f>C236*5547.61904761905</f>
        <v>5547.619048</v>
      </c>
      <c r="E236" s="140"/>
      <c r="F236" s="151"/>
      <c r="G236" s="152" t="s">
        <v>1038</v>
      </c>
      <c r="H236" s="153" t="s">
        <v>1024</v>
      </c>
    </row>
    <row r="237">
      <c r="A237" s="143">
        <v>45407.55404795139</v>
      </c>
      <c r="B237" s="154" t="s">
        <v>535</v>
      </c>
      <c r="C237" s="150"/>
      <c r="D237" s="151"/>
      <c r="E237" s="140">
        <v>40.0</v>
      </c>
      <c r="F237" s="151">
        <v>8401.66053169736</v>
      </c>
      <c r="G237" s="152" t="s">
        <v>33</v>
      </c>
      <c r="H237" s="153" t="s">
        <v>1039</v>
      </c>
    </row>
    <row r="238">
      <c r="A238" s="143">
        <v>45408.941735636574</v>
      </c>
      <c r="B238" s="154" t="s">
        <v>791</v>
      </c>
      <c r="C238" s="150">
        <v>40.0</v>
      </c>
      <c r="D238" s="151">
        <f>C238*25.6666666666667</f>
        <v>1026.666667</v>
      </c>
      <c r="E238" s="140"/>
      <c r="F238" s="151"/>
      <c r="G238" s="152" t="s">
        <v>33</v>
      </c>
      <c r="H238" s="153" t="s">
        <v>1024</v>
      </c>
    </row>
    <row r="239">
      <c r="A239" s="143">
        <v>45408.98861222222</v>
      </c>
      <c r="B239" s="154" t="s">
        <v>516</v>
      </c>
      <c r="C239" s="150">
        <v>360.0</v>
      </c>
      <c r="D239" s="151">
        <f>C239*198.35</f>
        <v>71406</v>
      </c>
      <c r="E239" s="140"/>
      <c r="F239" s="151"/>
      <c r="G239" s="152" t="s">
        <v>33</v>
      </c>
      <c r="H239" s="153" t="s">
        <v>1024</v>
      </c>
    </row>
    <row r="240">
      <c r="A240" s="143">
        <v>45410.906204513885</v>
      </c>
      <c r="B240" s="154" t="s">
        <v>555</v>
      </c>
      <c r="C240" s="150">
        <v>80.0</v>
      </c>
      <c r="D240" s="151">
        <f>C240*203</f>
        <v>16240</v>
      </c>
      <c r="E240" s="140"/>
      <c r="F240" s="151"/>
      <c r="G240" s="152" t="s">
        <v>33</v>
      </c>
      <c r="H240" s="153" t="s">
        <v>1024</v>
      </c>
    </row>
    <row r="241">
      <c r="A241" s="143">
        <v>45410.90835615741</v>
      </c>
      <c r="B241" s="154" t="s">
        <v>576</v>
      </c>
      <c r="C241" s="150"/>
      <c r="D241" s="151"/>
      <c r="E241" s="140">
        <v>80.0</v>
      </c>
      <c r="F241" s="151">
        <f>E241*207.275</f>
        <v>16582</v>
      </c>
      <c r="G241" s="152" t="s">
        <v>33</v>
      </c>
      <c r="H241" s="153" t="s">
        <v>1039</v>
      </c>
    </row>
    <row r="242">
      <c r="A242" s="143">
        <v>45411.951990636575</v>
      </c>
      <c r="B242" s="154" t="s">
        <v>408</v>
      </c>
      <c r="C242" s="150"/>
      <c r="D242" s="151"/>
      <c r="E242" s="140">
        <v>455.0</v>
      </c>
      <c r="F242" s="151">
        <f>E242*532.668329177057</f>
        <v>242364.0898</v>
      </c>
      <c r="G242" s="152" t="s">
        <v>33</v>
      </c>
      <c r="H242" s="153" t="s">
        <v>1039</v>
      </c>
    </row>
    <row r="243">
      <c r="A243" s="143">
        <v>45411.953373854165</v>
      </c>
      <c r="B243" s="154" t="s">
        <v>397</v>
      </c>
      <c r="C243" s="150">
        <v>14.0</v>
      </c>
      <c r="D243" s="151">
        <f>C243*1154.06666666667</f>
        <v>16156.93333</v>
      </c>
      <c r="E243" s="140"/>
      <c r="F243" s="151"/>
      <c r="G243" s="152" t="s">
        <v>33</v>
      </c>
      <c r="H243" s="153" t="s">
        <v>1024</v>
      </c>
    </row>
    <row r="244">
      <c r="A244" s="143">
        <v>45411.95898466435</v>
      </c>
      <c r="B244" s="154" t="s">
        <v>331</v>
      </c>
      <c r="C244" s="150">
        <v>11.0</v>
      </c>
      <c r="D244" s="151">
        <f>C244*651.2812</f>
        <v>7164.0932</v>
      </c>
      <c r="E244" s="140"/>
      <c r="F244" s="151"/>
      <c r="G244" s="152" t="s">
        <v>33</v>
      </c>
      <c r="H244" s="153" t="s">
        <v>1024</v>
      </c>
    </row>
    <row r="245">
      <c r="A245" s="143">
        <v>45411.970282696755</v>
      </c>
      <c r="B245" s="154" t="s">
        <v>141</v>
      </c>
      <c r="C245" s="150"/>
      <c r="D245" s="151"/>
      <c r="E245" s="140">
        <v>7.0</v>
      </c>
      <c r="F245" s="151">
        <f>E245*3841.66666666667</f>
        <v>26891.66667</v>
      </c>
      <c r="G245" s="152" t="s">
        <v>33</v>
      </c>
      <c r="H245" s="153" t="s">
        <v>1039</v>
      </c>
    </row>
    <row r="246">
      <c r="A246" s="143">
        <v>45411.97301740741</v>
      </c>
      <c r="B246" s="154" t="s">
        <v>364</v>
      </c>
      <c r="C246" s="150">
        <v>85.0</v>
      </c>
      <c r="D246" s="151">
        <f>C246*654</f>
        <v>55590</v>
      </c>
      <c r="E246" s="140"/>
      <c r="F246" s="151"/>
      <c r="G246" s="152" t="s">
        <v>33</v>
      </c>
      <c r="H246" s="153" t="s">
        <v>1024</v>
      </c>
    </row>
    <row r="247">
      <c r="A247" s="143">
        <v>45411.979207094904</v>
      </c>
      <c r="B247" s="154" t="s">
        <v>329</v>
      </c>
      <c r="C247" s="150"/>
      <c r="D247" s="151"/>
      <c r="E247" s="140">
        <v>20.0</v>
      </c>
      <c r="F247" s="151">
        <f>E247*1522</f>
        <v>30440</v>
      </c>
      <c r="G247" s="152" t="s">
        <v>33</v>
      </c>
      <c r="H247" s="153" t="s">
        <v>1039</v>
      </c>
    </row>
    <row r="248">
      <c r="A248" s="143">
        <v>45411.98215287037</v>
      </c>
      <c r="B248" s="154" t="s">
        <v>377</v>
      </c>
      <c r="C248" s="150">
        <v>2.0</v>
      </c>
      <c r="D248" s="151">
        <f>C248*940</f>
        <v>1880</v>
      </c>
      <c r="E248" s="140"/>
      <c r="F248" s="151"/>
      <c r="G248" s="152" t="s">
        <v>33</v>
      </c>
      <c r="H248" s="153" t="s">
        <v>1024</v>
      </c>
    </row>
    <row r="249">
      <c r="A249" s="143">
        <v>45412.67692680555</v>
      </c>
      <c r="B249" s="154" t="s">
        <v>944</v>
      </c>
      <c r="C249" s="150"/>
      <c r="D249" s="151"/>
      <c r="E249" s="140">
        <v>207.0</v>
      </c>
      <c r="F249" s="151">
        <f>E249*163.28</f>
        <v>33798.96</v>
      </c>
      <c r="G249" s="152" t="s">
        <v>33</v>
      </c>
      <c r="H249" s="153" t="s">
        <v>1039</v>
      </c>
    </row>
    <row r="250">
      <c r="A250" s="143"/>
      <c r="B250" s="154"/>
      <c r="C250" s="150"/>
      <c r="D250" s="151"/>
      <c r="E250" s="140"/>
      <c r="F250" s="151"/>
      <c r="G250" s="152"/>
      <c r="H250" s="153"/>
    </row>
    <row r="251">
      <c r="A251" s="143">
        <v>45414.51241285879</v>
      </c>
      <c r="B251" s="154" t="s">
        <v>76</v>
      </c>
      <c r="C251" s="150">
        <v>5.0</v>
      </c>
      <c r="D251" s="151">
        <f>C251*3420.90909090909</f>
        <v>17104.54545</v>
      </c>
      <c r="E251" s="140"/>
      <c r="F251" s="151"/>
      <c r="G251" s="152" t="s">
        <v>37</v>
      </c>
      <c r="H251" s="153" t="s">
        <v>1024</v>
      </c>
    </row>
    <row r="252">
      <c r="A252" s="143">
        <v>45429.55701388889</v>
      </c>
      <c r="B252" s="154" t="s">
        <v>713</v>
      </c>
      <c r="C252" s="150">
        <v>10.0</v>
      </c>
      <c r="D252" s="151">
        <v>8990.0</v>
      </c>
      <c r="E252" s="140"/>
      <c r="F252" s="151"/>
      <c r="G252" s="152" t="s">
        <v>33</v>
      </c>
      <c r="H252" s="153" t="s">
        <v>1040</v>
      </c>
    </row>
    <row r="253">
      <c r="A253" s="143">
        <v>45429.557708333334</v>
      </c>
      <c r="B253" s="154" t="s">
        <v>707</v>
      </c>
      <c r="C253" s="150"/>
      <c r="D253" s="151"/>
      <c r="E253" s="140">
        <v>10.0</v>
      </c>
      <c r="F253" s="151">
        <v>8990.0</v>
      </c>
      <c r="G253" s="152" t="s">
        <v>33</v>
      </c>
      <c r="H253" s="153" t="s">
        <v>1040</v>
      </c>
    </row>
    <row r="254">
      <c r="A254" s="143">
        <v>45430.33960065972</v>
      </c>
      <c r="B254" s="154" t="s">
        <v>329</v>
      </c>
      <c r="C254" s="150"/>
      <c r="D254" s="151"/>
      <c r="E254" s="140">
        <f>24</f>
        <v>24</v>
      </c>
      <c r="F254" s="151">
        <f>E254*1339</f>
        <v>32136</v>
      </c>
      <c r="G254" s="152" t="s">
        <v>33</v>
      </c>
      <c r="H254" s="153" t="s">
        <v>1039</v>
      </c>
    </row>
    <row r="255">
      <c r="A255" s="143">
        <v>45430.791666666664</v>
      </c>
      <c r="B255" s="154" t="s">
        <v>637</v>
      </c>
      <c r="C255" s="150">
        <v>1.0</v>
      </c>
      <c r="D255" s="151">
        <v>28743.0</v>
      </c>
      <c r="E255" s="140"/>
      <c r="F255" s="151"/>
      <c r="G255" s="152" t="s">
        <v>33</v>
      </c>
      <c r="H255" s="153"/>
    </row>
    <row r="256">
      <c r="A256" s="143"/>
      <c r="B256" s="154"/>
      <c r="C256" s="150"/>
      <c r="D256" s="151"/>
      <c r="E256" s="140"/>
      <c r="F256" s="151"/>
      <c r="G256" s="152"/>
      <c r="H256" s="153"/>
    </row>
    <row r="257">
      <c r="A257" s="143">
        <v>45435.81998435185</v>
      </c>
      <c r="B257" s="154" t="s">
        <v>636</v>
      </c>
      <c r="C257" s="150">
        <v>13.0</v>
      </c>
      <c r="D257" s="151">
        <f>C257*45000</f>
        <v>585000</v>
      </c>
      <c r="E257" s="140"/>
      <c r="F257" s="151"/>
      <c r="G257" s="152" t="s">
        <v>33</v>
      </c>
      <c r="H257" s="153" t="s">
        <v>1041</v>
      </c>
    </row>
    <row r="258">
      <c r="A258" s="143">
        <v>45435.8205047338</v>
      </c>
      <c r="B258" s="154" t="s">
        <v>637</v>
      </c>
      <c r="C258" s="150"/>
      <c r="D258" s="151"/>
      <c r="E258" s="140">
        <v>13.0</v>
      </c>
      <c r="F258" s="151">
        <f>E258*45000</f>
        <v>585000</v>
      </c>
      <c r="G258" s="152" t="s">
        <v>33</v>
      </c>
      <c r="H258" s="153" t="s">
        <v>1041</v>
      </c>
    </row>
    <row r="259">
      <c r="A259" s="143">
        <v>45435.81998435185</v>
      </c>
      <c r="B259" s="154" t="s">
        <v>637</v>
      </c>
      <c r="C259" s="150">
        <v>20.0</v>
      </c>
      <c r="D259" s="151">
        <f>C259*45000</f>
        <v>900000</v>
      </c>
      <c r="E259" s="140"/>
      <c r="F259" s="151"/>
      <c r="G259" s="152" t="s">
        <v>37</v>
      </c>
      <c r="H259" s="153" t="s">
        <v>1041</v>
      </c>
    </row>
    <row r="260">
      <c r="A260" s="143">
        <v>45435.8205047338</v>
      </c>
      <c r="B260" s="154" t="s">
        <v>636</v>
      </c>
      <c r="C260" s="150"/>
      <c r="D260" s="151"/>
      <c r="E260" s="140">
        <v>20.0</v>
      </c>
      <c r="F260" s="151">
        <f>E260*45000</f>
        <v>900000</v>
      </c>
      <c r="G260" s="152" t="s">
        <v>37</v>
      </c>
      <c r="H260" s="153" t="s">
        <v>1041</v>
      </c>
    </row>
    <row r="261">
      <c r="A261" s="143"/>
      <c r="B261" s="154"/>
      <c r="C261" s="150"/>
      <c r="D261" s="151"/>
      <c r="E261" s="140"/>
      <c r="F261" s="151"/>
      <c r="G261" s="152"/>
      <c r="H261" s="153"/>
    </row>
    <row r="262">
      <c r="A262" s="143">
        <v>45444.416666666664</v>
      </c>
      <c r="B262" s="154" t="s">
        <v>275</v>
      </c>
      <c r="C262" s="150">
        <v>2.0</v>
      </c>
      <c r="D262" s="151">
        <f>C262*15140.1</f>
        <v>30280.2</v>
      </c>
      <c r="E262" s="140"/>
      <c r="F262" s="151"/>
      <c r="G262" s="152" t="s">
        <v>37</v>
      </c>
      <c r="H262" s="153" t="s">
        <v>1042</v>
      </c>
    </row>
    <row r="263">
      <c r="A263" s="143"/>
      <c r="B263" s="154"/>
      <c r="C263" s="150"/>
      <c r="D263" s="151"/>
      <c r="E263" s="140"/>
      <c r="F263" s="151"/>
      <c r="G263" s="152"/>
      <c r="H263" s="153"/>
    </row>
    <row r="264">
      <c r="A264" s="143">
        <v>45451.62112928241</v>
      </c>
      <c r="B264" s="154" t="s">
        <v>408</v>
      </c>
      <c r="C264" s="150"/>
      <c r="D264" s="151"/>
      <c r="E264" s="140">
        <v>1.0</v>
      </c>
      <c r="F264" s="151">
        <f t="shared" ref="F264:F265" si="9">E264*427.934782608696</f>
        <v>427.9347826</v>
      </c>
      <c r="G264" s="152" t="s">
        <v>37</v>
      </c>
      <c r="H264" s="153" t="s">
        <v>1039</v>
      </c>
    </row>
    <row r="265">
      <c r="A265" s="143">
        <v>45451.62168491898</v>
      </c>
      <c r="B265" s="154" t="s">
        <v>408</v>
      </c>
      <c r="C265" s="150"/>
      <c r="D265" s="151"/>
      <c r="E265" s="140">
        <v>35.0</v>
      </c>
      <c r="F265" s="151">
        <f t="shared" si="9"/>
        <v>14977.71739</v>
      </c>
      <c r="G265" s="152" t="s">
        <v>33</v>
      </c>
      <c r="H265" s="153" t="s">
        <v>1039</v>
      </c>
    </row>
    <row r="266">
      <c r="A266" s="143">
        <v>45451.62247456019</v>
      </c>
      <c r="B266" s="154" t="s">
        <v>141</v>
      </c>
      <c r="C266" s="150">
        <v>64.0</v>
      </c>
      <c r="D266" s="151">
        <f>C266*3761.75555555556</f>
        <v>240752.3556</v>
      </c>
      <c r="E266" s="140"/>
      <c r="F266" s="151"/>
      <c r="G266" s="152" t="s">
        <v>37</v>
      </c>
      <c r="H266" s="153" t="s">
        <v>1043</v>
      </c>
    </row>
    <row r="267">
      <c r="A267" s="143">
        <v>45451.62898275463</v>
      </c>
      <c r="B267" s="154" t="s">
        <v>108</v>
      </c>
      <c r="C267" s="150">
        <v>5.0</v>
      </c>
      <c r="D267" s="151">
        <f>C267*3761.75238095238</f>
        <v>18808.7619</v>
      </c>
      <c r="E267" s="140"/>
      <c r="F267" s="151"/>
      <c r="G267" s="152" t="s">
        <v>33</v>
      </c>
      <c r="H267" s="153" t="s">
        <v>1043</v>
      </c>
    </row>
    <row r="268">
      <c r="A268" s="143">
        <v>45451.64369077546</v>
      </c>
      <c r="B268" s="154" t="s">
        <v>108</v>
      </c>
      <c r="C268" s="150"/>
      <c r="D268" s="151"/>
      <c r="E268" s="140">
        <v>11.0</v>
      </c>
      <c r="F268" s="151">
        <f>E268*3761.75238095238</f>
        <v>41379.27619</v>
      </c>
      <c r="G268" s="152" t="s">
        <v>37</v>
      </c>
      <c r="H268" s="153" t="s">
        <v>1039</v>
      </c>
    </row>
    <row r="269">
      <c r="A269" s="143"/>
      <c r="B269" s="154"/>
      <c r="C269" s="150"/>
      <c r="D269" s="151"/>
      <c r="E269" s="140"/>
      <c r="F269" s="151"/>
      <c r="G269" s="152"/>
      <c r="H269" s="153"/>
    </row>
    <row r="270">
      <c r="A270" s="143">
        <v>45457.84158564815</v>
      </c>
      <c r="B270" s="154" t="s">
        <v>397</v>
      </c>
      <c r="C270" s="150">
        <v>5000.0</v>
      </c>
      <c r="D270" s="151">
        <f>C270*861.093</f>
        <v>4305465</v>
      </c>
      <c r="E270" s="140"/>
      <c r="F270" s="151"/>
      <c r="G270" s="152" t="s">
        <v>33</v>
      </c>
      <c r="H270" s="153" t="s">
        <v>1044</v>
      </c>
    </row>
    <row r="271">
      <c r="A271" s="143"/>
      <c r="B271" s="154"/>
      <c r="C271" s="150"/>
      <c r="D271" s="151"/>
      <c r="E271" s="140"/>
      <c r="F271" s="151"/>
      <c r="G271" s="152"/>
      <c r="H271" s="153"/>
    </row>
    <row r="272">
      <c r="A272" s="143">
        <v>45473.634722222225</v>
      </c>
      <c r="B272" s="154" t="s">
        <v>544</v>
      </c>
      <c r="C272" s="150"/>
      <c r="D272" s="151"/>
      <c r="E272" s="140">
        <f>40*40</f>
        <v>1600</v>
      </c>
      <c r="F272" s="151">
        <f>E272*181.04375</f>
        <v>289670</v>
      </c>
      <c r="G272" s="152" t="s">
        <v>37</v>
      </c>
      <c r="H272" s="153" t="s">
        <v>1045</v>
      </c>
    </row>
    <row r="273">
      <c r="A273" s="143">
        <v>45473.634722222225</v>
      </c>
      <c r="B273" s="154" t="s">
        <v>566</v>
      </c>
      <c r="C273" s="150">
        <f>40*40</f>
        <v>1600</v>
      </c>
      <c r="D273" s="151">
        <f>C273*181.04375</f>
        <v>289670</v>
      </c>
      <c r="E273" s="140"/>
      <c r="F273" s="151"/>
      <c r="G273" s="152" t="s">
        <v>37</v>
      </c>
      <c r="H273" s="153" t="s">
        <v>1045</v>
      </c>
    </row>
    <row r="274">
      <c r="A274" s="143"/>
      <c r="B274" s="154"/>
      <c r="C274" s="150"/>
      <c r="D274" s="151"/>
      <c r="E274" s="140"/>
      <c r="F274" s="151"/>
      <c r="G274" s="152"/>
      <c r="H274" s="153"/>
    </row>
    <row r="275">
      <c r="A275" s="143">
        <v>45487.72866663194</v>
      </c>
      <c r="B275" s="154" t="s">
        <v>329</v>
      </c>
      <c r="C275" s="150">
        <v>32.0</v>
      </c>
      <c r="D275" s="151">
        <f>C275*1339</f>
        <v>42848</v>
      </c>
      <c r="E275" s="140"/>
      <c r="F275" s="151"/>
      <c r="G275" s="152" t="s">
        <v>33</v>
      </c>
      <c r="H275" s="153" t="s">
        <v>1043</v>
      </c>
    </row>
    <row r="276">
      <c r="A276" s="143">
        <v>45487.76218520833</v>
      </c>
      <c r="B276" s="154" t="s">
        <v>331</v>
      </c>
      <c r="C276" s="150">
        <v>175.0</v>
      </c>
      <c r="D276" s="151">
        <f>C276*623</f>
        <v>109025</v>
      </c>
      <c r="E276" s="140"/>
      <c r="F276" s="151"/>
      <c r="G276" s="152" t="s">
        <v>33</v>
      </c>
      <c r="H276" s="153" t="s">
        <v>1043</v>
      </c>
    </row>
    <row r="277">
      <c r="A277" s="143">
        <v>45487.76550311343</v>
      </c>
      <c r="B277" s="154" t="s">
        <v>364</v>
      </c>
      <c r="C277" s="150"/>
      <c r="D277" s="151"/>
      <c r="E277" s="140">
        <v>9.0</v>
      </c>
      <c r="F277" s="151">
        <f>E277*654</f>
        <v>5886</v>
      </c>
      <c r="G277" s="152" t="s">
        <v>33</v>
      </c>
      <c r="H277" s="153" t="s">
        <v>1039</v>
      </c>
    </row>
    <row r="278">
      <c r="A278" s="143"/>
      <c r="B278" s="154"/>
      <c r="C278" s="150"/>
      <c r="D278" s="151"/>
      <c r="E278" s="140"/>
      <c r="F278" s="151"/>
      <c r="G278" s="152"/>
      <c r="H278" s="153"/>
    </row>
    <row r="279">
      <c r="A279" s="143">
        <v>45516.62090008102</v>
      </c>
      <c r="B279" s="154" t="s">
        <v>750</v>
      </c>
      <c r="C279" s="150"/>
      <c r="D279" s="151"/>
      <c r="E279" s="140">
        <v>21.0</v>
      </c>
      <c r="F279" s="151">
        <f>E279*1882.68</f>
        <v>39536.28</v>
      </c>
      <c r="G279" s="152" t="s">
        <v>33</v>
      </c>
      <c r="H279" s="153" t="s">
        <v>1039</v>
      </c>
    </row>
    <row r="280">
      <c r="A280" s="143">
        <v>45516.71859770833</v>
      </c>
      <c r="B280" s="154" t="s">
        <v>717</v>
      </c>
      <c r="C280" s="150">
        <v>29.0</v>
      </c>
      <c r="D280" s="151">
        <f>C280*1938.18</f>
        <v>56207.22</v>
      </c>
      <c r="E280" s="140"/>
      <c r="F280" s="151"/>
      <c r="G280" s="152" t="s">
        <v>33</v>
      </c>
      <c r="H280" s="153" t="s">
        <v>1046</v>
      </c>
    </row>
    <row r="281">
      <c r="A281" s="143">
        <v>45517.49202106481</v>
      </c>
      <c r="B281" s="154" t="s">
        <v>32</v>
      </c>
      <c r="C281" s="150"/>
      <c r="D281" s="151"/>
      <c r="E281" s="140">
        <v>355.0</v>
      </c>
      <c r="F281" s="151">
        <f>E281*684</f>
        <v>242820</v>
      </c>
      <c r="G281" s="152" t="s">
        <v>33</v>
      </c>
      <c r="H281" s="153" t="s">
        <v>1039</v>
      </c>
    </row>
    <row r="282">
      <c r="A282" s="143"/>
      <c r="B282" s="154"/>
      <c r="C282" s="150"/>
      <c r="D282" s="151"/>
      <c r="E282" s="140"/>
      <c r="F282" s="151"/>
      <c r="G282" s="152"/>
      <c r="H282" s="153"/>
    </row>
    <row r="283">
      <c r="A283" s="143">
        <v>45603.583333333336</v>
      </c>
      <c r="B283" s="154" t="s">
        <v>90</v>
      </c>
      <c r="C283" s="150">
        <v>35.0</v>
      </c>
      <c r="D283" s="151">
        <f>C283*6028</f>
        <v>210980</v>
      </c>
      <c r="E283" s="140"/>
      <c r="F283" s="151"/>
      <c r="G283" s="152" t="s">
        <v>33</v>
      </c>
      <c r="H283" s="153" t="s">
        <v>1033</v>
      </c>
    </row>
    <row r="284">
      <c r="A284" s="143">
        <v>45603.583333333336</v>
      </c>
      <c r="B284" s="154" t="s">
        <v>197</v>
      </c>
      <c r="C284" s="150">
        <v>4.0</v>
      </c>
      <c r="D284" s="151">
        <f>C284*31055</f>
        <v>124220</v>
      </c>
      <c r="E284" s="140"/>
      <c r="F284" s="151"/>
      <c r="G284" s="152" t="s">
        <v>37</v>
      </c>
      <c r="H284" s="153" t="s">
        <v>1033</v>
      </c>
    </row>
    <row r="285">
      <c r="A285" s="143">
        <v>45603.583333333336</v>
      </c>
      <c r="B285" s="154" t="s">
        <v>985</v>
      </c>
      <c r="C285" s="150"/>
      <c r="D285" s="151"/>
      <c r="E285" s="140">
        <v>4.0</v>
      </c>
      <c r="F285" s="151">
        <f>E285*22301.04</f>
        <v>89204.16</v>
      </c>
      <c r="G285" s="152" t="s">
        <v>33</v>
      </c>
      <c r="H285" s="153" t="s">
        <v>1033</v>
      </c>
    </row>
    <row r="286">
      <c r="A286" s="143">
        <v>45603.583333333336</v>
      </c>
      <c r="B286" s="154" t="s">
        <v>606</v>
      </c>
      <c r="C286" s="150">
        <v>1.0</v>
      </c>
      <c r="D286" s="151">
        <f>C286*36500</f>
        <v>36500</v>
      </c>
      <c r="E286" s="140"/>
      <c r="F286" s="151"/>
      <c r="G286" s="152" t="s">
        <v>33</v>
      </c>
      <c r="H286" s="153" t="s">
        <v>1033</v>
      </c>
    </row>
    <row r="287">
      <c r="A287" s="143">
        <v>45603.583333333336</v>
      </c>
      <c r="B287" s="154" t="s">
        <v>791</v>
      </c>
      <c r="C287" s="150"/>
      <c r="D287" s="151"/>
      <c r="E287" s="140">
        <v>408.0</v>
      </c>
      <c r="F287" s="151">
        <f>E287*21.75</f>
        <v>8874</v>
      </c>
      <c r="G287" s="152" t="s">
        <v>37</v>
      </c>
      <c r="H287" s="153" t="s">
        <v>1033</v>
      </c>
    </row>
    <row r="288">
      <c r="A288" s="143"/>
      <c r="B288" s="154"/>
      <c r="C288" s="150"/>
      <c r="D288" s="151"/>
      <c r="E288" s="140"/>
      <c r="F288" s="151"/>
      <c r="G288" s="152"/>
      <c r="H288" s="153"/>
    </row>
    <row r="289">
      <c r="A289" s="143">
        <v>45638.81319444445</v>
      </c>
      <c r="B289" s="154" t="s">
        <v>669</v>
      </c>
      <c r="C289" s="150">
        <v>14.0</v>
      </c>
      <c r="D289" s="151"/>
      <c r="E289" s="140"/>
      <c r="F289" s="151"/>
      <c r="G289" s="152" t="s">
        <v>33</v>
      </c>
      <c r="H289" s="153"/>
    </row>
    <row r="290">
      <c r="A290" s="143">
        <v>45638.81319444445</v>
      </c>
      <c r="B290" s="154" t="s">
        <v>535</v>
      </c>
      <c r="C290" s="150"/>
      <c r="D290" s="151"/>
      <c r="E290" s="140">
        <v>80.0</v>
      </c>
      <c r="F290" s="151">
        <f>E290*178.25</f>
        <v>14260</v>
      </c>
      <c r="G290" s="152" t="s">
        <v>33</v>
      </c>
      <c r="H290" s="153"/>
    </row>
    <row r="291">
      <c r="A291" s="143">
        <v>45638.81319444445</v>
      </c>
      <c r="B291" s="154" t="s">
        <v>637</v>
      </c>
      <c r="C291" s="150"/>
      <c r="D291" s="151"/>
      <c r="E291" s="140">
        <v>2.0</v>
      </c>
      <c r="F291" s="151">
        <f>E291*43320</f>
        <v>86640</v>
      </c>
      <c r="G291" s="152" t="s">
        <v>33</v>
      </c>
      <c r="H291" s="153"/>
    </row>
    <row r="292">
      <c r="A292" s="143">
        <v>45638.81319444445</v>
      </c>
      <c r="B292" s="154" t="s">
        <v>643</v>
      </c>
      <c r="C292" s="150"/>
      <c r="D292" s="151"/>
      <c r="E292" s="140">
        <v>1.0</v>
      </c>
      <c r="F292" s="151">
        <f>E292*35872.6315789474</f>
        <v>35872.63158</v>
      </c>
      <c r="G292" s="152" t="s">
        <v>33</v>
      </c>
      <c r="H292" s="153"/>
    </row>
    <row r="293">
      <c r="A293" s="143">
        <v>45638.81319444445</v>
      </c>
      <c r="B293" s="154" t="s">
        <v>607</v>
      </c>
      <c r="C293" s="150"/>
      <c r="D293" s="151"/>
      <c r="E293" s="140">
        <v>1.0</v>
      </c>
      <c r="F293" s="151">
        <f>E293*39280.39</f>
        <v>39280.39</v>
      </c>
      <c r="G293" s="152" t="s">
        <v>33</v>
      </c>
      <c r="H293" s="153"/>
    </row>
    <row r="294">
      <c r="A294" s="143">
        <v>45638.81319444445</v>
      </c>
      <c r="B294" s="154" t="s">
        <v>351</v>
      </c>
      <c r="C294" s="150"/>
      <c r="D294" s="151"/>
      <c r="E294" s="140">
        <v>1.0</v>
      </c>
      <c r="F294" s="151">
        <f t="shared" ref="F294:F295" si="10">E294*30370</f>
        <v>30370</v>
      </c>
      <c r="G294" s="152" t="s">
        <v>33</v>
      </c>
      <c r="H294" s="153"/>
    </row>
    <row r="295">
      <c r="A295" s="143">
        <v>45638.81319444445</v>
      </c>
      <c r="B295" s="154" t="s">
        <v>351</v>
      </c>
      <c r="C295" s="150"/>
      <c r="D295" s="151"/>
      <c r="E295" s="140">
        <v>2.0</v>
      </c>
      <c r="F295" s="151">
        <f t="shared" si="10"/>
        <v>60740</v>
      </c>
      <c r="G295" s="152" t="s">
        <v>37</v>
      </c>
      <c r="H295" s="153"/>
    </row>
    <row r="296">
      <c r="A296" s="143"/>
      <c r="B296" s="154"/>
      <c r="C296" s="150"/>
      <c r="D296" s="151"/>
      <c r="E296" s="140"/>
      <c r="F296" s="151"/>
      <c r="G296" s="152"/>
      <c r="H296" s="153"/>
    </row>
    <row r="297">
      <c r="A297" s="143">
        <v>45677.708333333336</v>
      </c>
      <c r="B297" s="154" t="s">
        <v>791</v>
      </c>
      <c r="C297" s="150">
        <v>19.0</v>
      </c>
      <c r="D297" s="151">
        <f>C297*21.75</f>
        <v>413.25</v>
      </c>
      <c r="E297" s="140"/>
      <c r="F297" s="151"/>
      <c r="G297" s="152" t="s">
        <v>33</v>
      </c>
      <c r="H297" s="153"/>
    </row>
    <row r="298">
      <c r="A298" s="143"/>
      <c r="B298" s="154"/>
      <c r="C298" s="150"/>
      <c r="D298" s="151"/>
      <c r="E298" s="140"/>
      <c r="F298" s="151"/>
      <c r="G298" s="152"/>
      <c r="H298" s="153"/>
    </row>
    <row r="299">
      <c r="A299" s="143">
        <v>45692.61388888889</v>
      </c>
      <c r="B299" s="154" t="s">
        <v>589</v>
      </c>
      <c r="C299" s="150"/>
      <c r="D299" s="151"/>
      <c r="E299" s="140">
        <v>9.0</v>
      </c>
      <c r="F299" s="151">
        <f>E299*11702.4942528736</f>
        <v>105322.4483</v>
      </c>
      <c r="G299" s="152" t="s">
        <v>33</v>
      </c>
      <c r="H299" s="153"/>
    </row>
    <row r="300">
      <c r="A300" s="143">
        <v>45692.61388888889</v>
      </c>
      <c r="B300" s="154" t="s">
        <v>596</v>
      </c>
      <c r="C300" s="150">
        <v>9.0</v>
      </c>
      <c r="D300" s="151">
        <f>C300*11171.8461538462</f>
        <v>100546.6154</v>
      </c>
      <c r="E300" s="140"/>
      <c r="F300" s="151"/>
      <c r="G300" s="152" t="s">
        <v>33</v>
      </c>
      <c r="H300" s="153"/>
    </row>
    <row r="301">
      <c r="A301" s="143">
        <v>45710.913611979166</v>
      </c>
      <c r="B301" s="154" t="s">
        <v>377</v>
      </c>
      <c r="C301" s="150">
        <v>9.0</v>
      </c>
      <c r="D301" s="151">
        <f>C301*940</f>
        <v>8460</v>
      </c>
      <c r="E301" s="140"/>
      <c r="F301" s="151"/>
      <c r="G301" s="152" t="s">
        <v>37</v>
      </c>
      <c r="H301" s="153"/>
    </row>
    <row r="302">
      <c r="A302" s="143">
        <v>45710.913611979166</v>
      </c>
      <c r="B302" s="154" t="s">
        <v>364</v>
      </c>
      <c r="C302" s="150">
        <v>31.0</v>
      </c>
      <c r="D302" s="151">
        <f>C302*686.785714285714</f>
        <v>21290.35714</v>
      </c>
      <c r="E302" s="140"/>
      <c r="F302" s="151"/>
      <c r="G302" s="152" t="s">
        <v>33</v>
      </c>
      <c r="H302" s="153"/>
    </row>
    <row r="303">
      <c r="A303" s="143"/>
      <c r="B303" s="154"/>
      <c r="C303" s="150"/>
      <c r="D303" s="151"/>
      <c r="E303" s="140"/>
      <c r="F303" s="151"/>
      <c r="G303" s="152"/>
      <c r="H303" s="153"/>
    </row>
    <row r="304">
      <c r="A304" s="143">
        <v>45720.73108442129</v>
      </c>
      <c r="B304" s="154" t="s">
        <v>32</v>
      </c>
      <c r="C304" s="150"/>
      <c r="D304" s="151"/>
      <c r="E304" s="140">
        <v>96.0</v>
      </c>
      <c r="F304" s="151">
        <f>E304*684</f>
        <v>65664</v>
      </c>
      <c r="G304" s="152" t="s">
        <v>33</v>
      </c>
      <c r="H304" s="153" t="s">
        <v>1039</v>
      </c>
    </row>
    <row r="305">
      <c r="A305" s="143">
        <v>45720.73108442129</v>
      </c>
      <c r="B305" s="154" t="s">
        <v>93</v>
      </c>
      <c r="C305" s="150"/>
      <c r="D305" s="151"/>
      <c r="E305" s="140">
        <v>75.0</v>
      </c>
      <c r="F305" s="151">
        <f>E305*731</f>
        <v>54825</v>
      </c>
      <c r="G305" s="152" t="s">
        <v>33</v>
      </c>
      <c r="H305" s="153"/>
    </row>
    <row r="306">
      <c r="A306" s="143">
        <v>45720.416666666664</v>
      </c>
      <c r="B306" s="154" t="s">
        <v>344</v>
      </c>
      <c r="C306" s="150"/>
      <c r="D306" s="151"/>
      <c r="E306" s="140">
        <v>6.0</v>
      </c>
      <c r="F306" s="151">
        <f>E306*161.42</f>
        <v>968.52</v>
      </c>
      <c r="G306" s="152" t="s">
        <v>33</v>
      </c>
      <c r="H306" s="153"/>
    </row>
    <row r="307">
      <c r="A307" s="143"/>
      <c r="B307" s="154"/>
      <c r="C307" s="150"/>
      <c r="D307" s="151"/>
      <c r="E307" s="140"/>
      <c r="F307" s="151"/>
      <c r="G307" s="152"/>
      <c r="H307" s="153"/>
    </row>
    <row r="308">
      <c r="A308" s="143">
        <v>45771.65705231481</v>
      </c>
      <c r="B308" s="154" t="s">
        <v>102</v>
      </c>
      <c r="C308" s="150"/>
      <c r="D308" s="151"/>
      <c r="E308" s="140">
        <v>42.0</v>
      </c>
      <c r="F308" s="151">
        <f t="shared" ref="F308:F309" si="11">E308*6028</f>
        <v>253176</v>
      </c>
      <c r="G308" s="152" t="s">
        <v>37</v>
      </c>
      <c r="H308" s="153"/>
    </row>
    <row r="309">
      <c r="A309" s="143">
        <v>45771.65705231481</v>
      </c>
      <c r="B309" s="154" t="s">
        <v>102</v>
      </c>
      <c r="C309" s="150"/>
      <c r="D309" s="151"/>
      <c r="E309" s="140">
        <v>17.0</v>
      </c>
      <c r="F309" s="151">
        <f t="shared" si="11"/>
        <v>102476</v>
      </c>
      <c r="G309" s="152" t="s">
        <v>33</v>
      </c>
      <c r="H309" s="153"/>
    </row>
    <row r="310">
      <c r="A310" s="143">
        <v>45771.65705231481</v>
      </c>
      <c r="B310" s="154" t="s">
        <v>555</v>
      </c>
      <c r="C310" s="150"/>
      <c r="D310" s="151"/>
      <c r="E310" s="140">
        <f>4*40</f>
        <v>160</v>
      </c>
      <c r="F310" s="151">
        <f>E310*165.1</f>
        <v>26416</v>
      </c>
      <c r="G310" s="152" t="s">
        <v>37</v>
      </c>
      <c r="H310" s="153"/>
    </row>
    <row r="311">
      <c r="A311" s="143">
        <v>45771.65705231481</v>
      </c>
      <c r="B311" s="154" t="s">
        <v>905</v>
      </c>
      <c r="C311" s="140">
        <v>85.0</v>
      </c>
      <c r="D311" s="151">
        <f>C311*264.13</f>
        <v>22451.05</v>
      </c>
      <c r="E311" s="140"/>
      <c r="F311" s="151"/>
      <c r="G311" s="152" t="s">
        <v>33</v>
      </c>
      <c r="H311" s="153"/>
    </row>
    <row r="312">
      <c r="A312" s="143">
        <v>45771.65705231481</v>
      </c>
      <c r="B312" s="154" t="s">
        <v>682</v>
      </c>
      <c r="C312" s="150">
        <v>2.0</v>
      </c>
      <c r="D312" s="151">
        <f>C312*757.58</f>
        <v>1515.16</v>
      </c>
      <c r="E312" s="140"/>
      <c r="F312" s="151"/>
      <c r="G312" s="152" t="s">
        <v>37</v>
      </c>
      <c r="H312" s="153"/>
    </row>
    <row r="313">
      <c r="A313" s="143"/>
      <c r="B313" s="154"/>
      <c r="C313" s="150"/>
      <c r="D313" s="151"/>
      <c r="E313" s="140"/>
      <c r="F313" s="151"/>
      <c r="G313" s="152"/>
      <c r="H313" s="153"/>
    </row>
    <row r="314">
      <c r="A314" s="143">
        <v>45909.58659614583</v>
      </c>
      <c r="B314" s="154" t="s">
        <v>329</v>
      </c>
      <c r="C314" s="150">
        <v>7.0</v>
      </c>
      <c r="D314" s="151">
        <f>C314*1339</f>
        <v>9373</v>
      </c>
      <c r="E314" s="140"/>
      <c r="F314" s="151"/>
      <c r="G314" s="152" t="s">
        <v>33</v>
      </c>
      <c r="H314" s="153"/>
    </row>
    <row r="315">
      <c r="A315" s="143">
        <v>45909.58659614583</v>
      </c>
      <c r="B315" s="154" t="s">
        <v>344</v>
      </c>
      <c r="C315" s="150">
        <v>15.0</v>
      </c>
      <c r="D315" s="151">
        <f>C315*161.42</f>
        <v>2421.3</v>
      </c>
      <c r="E315" s="140"/>
      <c r="F315" s="151"/>
      <c r="G315" s="152" t="s">
        <v>33</v>
      </c>
      <c r="H315" s="153"/>
    </row>
    <row r="316">
      <c r="A316" s="143">
        <v>45909.58659614583</v>
      </c>
      <c r="B316" s="154" t="s">
        <v>331</v>
      </c>
      <c r="C316" s="150">
        <v>49.0</v>
      </c>
      <c r="D316" s="151">
        <f>C316*880.24</f>
        <v>43131.76</v>
      </c>
      <c r="E316" s="140"/>
      <c r="F316" s="151"/>
      <c r="G316" s="152" t="s">
        <v>37</v>
      </c>
      <c r="H316" s="153"/>
    </row>
    <row r="317">
      <c r="A317" s="143">
        <v>45909.58659614583</v>
      </c>
      <c r="B317" s="154" t="s">
        <v>682</v>
      </c>
      <c r="C317" s="150">
        <v>2.0</v>
      </c>
      <c r="D317" s="151">
        <f>C317*757.58</f>
        <v>1515.16</v>
      </c>
      <c r="E317" s="140"/>
      <c r="F317" s="151"/>
      <c r="G317" s="152" t="s">
        <v>33</v>
      </c>
      <c r="H317" s="153"/>
    </row>
    <row r="318">
      <c r="A318" s="143"/>
      <c r="B318" s="154"/>
      <c r="C318" s="150"/>
      <c r="D318" s="151"/>
      <c r="E318" s="140"/>
      <c r="F318" s="151"/>
      <c r="G318" s="152"/>
      <c r="H318" s="153"/>
    </row>
    <row r="319">
      <c r="A319" s="143">
        <v>45952.704743993054</v>
      </c>
      <c r="B319" s="154" t="s">
        <v>108</v>
      </c>
      <c r="C319" s="150"/>
      <c r="D319" s="151"/>
      <c r="E319" s="140">
        <v>1.0</v>
      </c>
      <c r="F319" s="151">
        <f>E319*3845.45659722222</f>
        <v>3845.456597</v>
      </c>
      <c r="G319" s="152" t="s">
        <v>33</v>
      </c>
      <c r="H319" s="153" t="s">
        <v>1047</v>
      </c>
    </row>
    <row r="320">
      <c r="A320" s="143"/>
      <c r="B320" s="154"/>
      <c r="C320" s="150"/>
      <c r="D320" s="151"/>
      <c r="E320" s="140"/>
      <c r="F320" s="151"/>
      <c r="G320" s="152"/>
      <c r="H320" s="153"/>
    </row>
    <row r="321">
      <c r="A321" s="143">
        <v>45969.697916666664</v>
      </c>
      <c r="B321" s="154" t="s">
        <v>589</v>
      </c>
      <c r="C321" s="150"/>
      <c r="D321" s="151"/>
      <c r="E321" s="140">
        <v>5.0</v>
      </c>
      <c r="F321" s="151">
        <f>E321*11702.4942528736</f>
        <v>58512.47126</v>
      </c>
      <c r="G321" s="152" t="s">
        <v>33</v>
      </c>
      <c r="H321" s="153"/>
    </row>
    <row r="322">
      <c r="A322" s="143">
        <v>45969.697916666664</v>
      </c>
      <c r="B322" s="154" t="s">
        <v>596</v>
      </c>
      <c r="C322" s="150">
        <v>5.0</v>
      </c>
      <c r="D322" s="151">
        <f>C322*11443.12</f>
        <v>57215.6</v>
      </c>
      <c r="E322" s="140"/>
      <c r="F322" s="151"/>
      <c r="G322" s="152" t="s">
        <v>33</v>
      </c>
      <c r="H322" s="153"/>
    </row>
    <row r="323">
      <c r="A323" s="143"/>
      <c r="B323" s="154"/>
      <c r="C323" s="150"/>
      <c r="D323" s="151"/>
      <c r="E323" s="140"/>
      <c r="F323" s="151"/>
      <c r="G323" s="152"/>
      <c r="H323" s="153"/>
    </row>
    <row r="324">
      <c r="A324" s="143"/>
      <c r="B324" s="154"/>
      <c r="C324" s="150"/>
      <c r="D324" s="151"/>
      <c r="E324" s="140"/>
      <c r="F324" s="151"/>
      <c r="G324" s="152"/>
      <c r="H324" s="153"/>
    </row>
    <row r="325">
      <c r="A325" s="143"/>
      <c r="B325" s="154"/>
      <c r="C325" s="150"/>
      <c r="D325" s="151"/>
      <c r="E325" s="140"/>
      <c r="F325" s="151"/>
      <c r="G325" s="152"/>
      <c r="H325" s="153"/>
    </row>
    <row r="326">
      <c r="A326" s="143"/>
      <c r="B326" s="154"/>
      <c r="C326" s="150"/>
      <c r="D326" s="151"/>
      <c r="E326" s="140"/>
      <c r="F326" s="151"/>
      <c r="G326" s="152"/>
      <c r="H326" s="153"/>
    </row>
    <row r="327">
      <c r="A327" s="143"/>
      <c r="B327" s="154"/>
      <c r="C327" s="150"/>
      <c r="D327" s="151"/>
      <c r="E327" s="140"/>
      <c r="F327" s="151"/>
      <c r="G327" s="152"/>
      <c r="H327" s="153"/>
    </row>
  </sheetData>
  <dataValidations>
    <dataValidation type="list" allowBlank="1" showInputMessage="1" showErrorMessage="1" prompt="SKU harus sesuai dengan daftar di BisaSEO, jika belum ada silakan tambahkan terlebih dahulu" sqref="B3:B327">
      <formula1>BisaRekapBarangBackend!$D$2:$D327</formula1>
    </dataValidation>
    <dataValidation type="list" allowBlank="1" sqref="G3:G327">
      <formula1>BisaRekapBarangBackend!$A$2:$A327</formula1>
    </dataValidation>
    <dataValidation type="custom" allowBlank="1" showDropDown="1" showInputMessage="1" showErrorMessage="1" prompt="Format Tanggal : dd-MMM-yyyy dalam Bahasa Inggris, misal 01-May-2019" sqref="A2:A170 A172:A327">
      <formula1>OR(NOT(ISERROR(DATEVALUE(A2))), AND(ISNUMBER(A2), LEFT(CELL("format", A2))="D"))</formula1>
    </dataValidation>
    <dataValidation type="list" allowBlank="1" sqref="B2">
      <formula1>BisaSEO!$A$2:$A$183</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5"/>
    <col customWidth="1" min="2" max="2" width="11.5"/>
    <col customWidth="1" min="3" max="3" width="7.63"/>
    <col customWidth="1" min="4" max="4" width="41.5"/>
    <col customWidth="1" min="5" max="5" width="10.63"/>
    <col customWidth="1" min="6" max="6" width="8.38"/>
    <col customWidth="1" min="7" max="7" width="9.5"/>
    <col customWidth="1" min="8" max="8" width="6.25"/>
    <col customWidth="1" min="9" max="9" width="5.13"/>
    <col customWidth="1" hidden="1" min="10" max="11" width="5.13"/>
    <col customWidth="1" hidden="1" min="12" max="12" width="5.25"/>
    <col customWidth="1" min="13" max="13" width="10.63"/>
    <col customWidth="1" min="14" max="25" width="9.5"/>
  </cols>
  <sheetData>
    <row r="1">
      <c r="A1" s="166"/>
      <c r="B1" s="166"/>
      <c r="C1" s="167"/>
      <c r="D1" s="168" t="b">
        <v>1</v>
      </c>
      <c r="E1" s="169" t="b">
        <v>0</v>
      </c>
      <c r="F1" s="170" t="b">
        <v>0</v>
      </c>
      <c r="G1" s="171" t="b">
        <v>0</v>
      </c>
      <c r="H1" s="172" t="b">
        <v>0</v>
      </c>
      <c r="I1" s="170" t="b">
        <v>0</v>
      </c>
      <c r="J1" s="170" t="b">
        <v>0</v>
      </c>
      <c r="K1" s="170" t="b">
        <v>0</v>
      </c>
      <c r="L1" s="173" t="b">
        <v>0</v>
      </c>
      <c r="M1" s="172" t="b">
        <v>0</v>
      </c>
      <c r="N1" s="170" t="b">
        <v>0</v>
      </c>
      <c r="O1" s="170" t="b">
        <v>0</v>
      </c>
      <c r="P1" s="170" t="b">
        <v>0</v>
      </c>
      <c r="Q1" s="170" t="b">
        <v>0</v>
      </c>
      <c r="R1" s="170" t="b">
        <v>0</v>
      </c>
      <c r="S1" s="170" t="b">
        <v>0</v>
      </c>
      <c r="T1" s="170" t="b">
        <v>0</v>
      </c>
      <c r="U1" s="170" t="b">
        <v>0</v>
      </c>
      <c r="V1" s="170" t="b">
        <v>0</v>
      </c>
      <c r="W1" s="170" t="b">
        <v>0</v>
      </c>
      <c r="X1" s="170" t="b">
        <v>0</v>
      </c>
      <c r="Y1" s="170" t="b">
        <v>0</v>
      </c>
    </row>
    <row r="2">
      <c r="A2" s="166" t="str">
        <f t="array" ref="A2">{BisaRekapBarangBackend!A1:C1;SORT(IF(BisaRekapBarangBackend!B2:B145&lt;1,,BisaRekapBarangBackend!A2:C145),1,TRUE)}</f>
        <v>#VALUE!</v>
      </c>
      <c r="B2" s="166"/>
      <c r="C2" s="167"/>
      <c r="D2" s="174" t="str">
        <f t="array" ref="D2:O1124">{BisaRekapBarangBackend!D1:O1;
SORT(IF(
(BisaRekapBarangBackend!D2:D145="ITBISA-KODE-UNIK")+(BisaRekapBarangBackend!H2:H145=0),,BisaRekapBarangBackend!D2:O145),
IF(D1=TRUE,1,
IF(E1=TRUE,2,
IF(F1=TRUE,3,
IF(G1=TRUE,4,
IF(H1=TRUE,5,
IF(I1=TRUE,6,
IF(J1=TRUE,7,
IF(K1=TRUE,8,
IF(L1=TRUE,9,
IF(M1=TRUE,10,
IF(N1=TRUE,11,
IF(#REF!=TRUE,12,1)))))))))))),
IF(D1=TRUE,TRUE,
IF(E1=TRUE,TRUE,
IF(F1=TRUE,TRUE,
IF(G1=TRUE,FALSE,
IF(H1=TRUE,FALSE,
IF(I1=TRUE,FALSE,
IF(J1=TRUE,FALSE,
IF(K1=TRUE,FALSE,
IF(L1=TRUE,FALSE,
IF(M1=TRUE,FALSE,
IF(N1=TRUE,FALSE,
IF(#REF!=TRUE,FALSE)))))))))))),
1,TRUE)}</f>
        <v>SKU</v>
      </c>
      <c r="E2" s="175" t="s">
        <v>1048</v>
      </c>
      <c r="F2" s="170" t="s">
        <v>1049</v>
      </c>
      <c r="G2" s="171" t="s">
        <v>1050</v>
      </c>
      <c r="H2" s="172" t="s">
        <v>1051</v>
      </c>
      <c r="I2" s="170" t="s">
        <v>1052</v>
      </c>
      <c r="J2" s="170" t="s">
        <v>1053</v>
      </c>
      <c r="K2" s="170" t="s">
        <v>1054</v>
      </c>
      <c r="L2" s="173" t="s">
        <v>1055</v>
      </c>
      <c r="M2" s="176" t="s">
        <v>37</v>
      </c>
      <c r="N2" s="177" t="s">
        <v>33</v>
      </c>
      <c r="O2" s="177"/>
      <c r="P2" s="177"/>
      <c r="Q2" s="177"/>
      <c r="R2" s="177"/>
      <c r="S2" s="177"/>
      <c r="T2" s="177"/>
      <c r="U2" s="177"/>
      <c r="V2" s="177"/>
      <c r="W2" s="177"/>
      <c r="X2" s="177"/>
      <c r="Y2" s="177"/>
    </row>
    <row r="3">
      <c r="A3" s="178"/>
      <c r="B3" s="36"/>
      <c r="C3" s="37"/>
      <c r="D3" s="179" t="s">
        <v>32</v>
      </c>
      <c r="E3" s="180">
        <v>46014.0</v>
      </c>
      <c r="F3" s="181">
        <v>675.9248</v>
      </c>
      <c r="G3" s="182">
        <v>4937630.664</v>
      </c>
      <c r="H3" s="183">
        <v>7305.0</v>
      </c>
      <c r="I3" s="184">
        <v>3652.0</v>
      </c>
      <c r="J3" s="184">
        <v>2435.0</v>
      </c>
      <c r="K3" s="184">
        <v>2922.0</v>
      </c>
      <c r="L3" s="182">
        <v>1461.0</v>
      </c>
      <c r="M3" s="185">
        <v>255.0</v>
      </c>
      <c r="N3" s="186">
        <v>7050.0</v>
      </c>
      <c r="O3" s="186"/>
      <c r="P3" s="186"/>
      <c r="Q3" s="186"/>
      <c r="R3" s="186"/>
      <c r="S3" s="186"/>
      <c r="T3" s="186"/>
      <c r="U3" s="186"/>
      <c r="V3" s="186"/>
      <c r="W3" s="186"/>
      <c r="X3" s="186"/>
      <c r="Y3" s="186"/>
    </row>
    <row r="4">
      <c r="A4" s="178"/>
      <c r="B4" s="36"/>
      <c r="C4" s="37"/>
      <c r="D4" s="179" t="s">
        <v>73</v>
      </c>
      <c r="E4" s="180">
        <v>46003.0</v>
      </c>
      <c r="F4" s="181">
        <v>2000.0</v>
      </c>
      <c r="G4" s="182">
        <v>4318000.0</v>
      </c>
      <c r="H4" s="183">
        <v>2159.0</v>
      </c>
      <c r="I4" s="184">
        <v>1079.0</v>
      </c>
      <c r="J4" s="184">
        <v>719.0</v>
      </c>
      <c r="K4" s="184">
        <v>863.0</v>
      </c>
      <c r="L4" s="182">
        <v>431.0</v>
      </c>
      <c r="M4" s="185">
        <v>519.0</v>
      </c>
      <c r="N4" s="186">
        <v>1640.0</v>
      </c>
      <c r="O4" s="186"/>
      <c r="P4" s="186"/>
      <c r="Q4" s="186"/>
      <c r="R4" s="186"/>
      <c r="S4" s="186"/>
      <c r="T4" s="186"/>
      <c r="U4" s="186"/>
      <c r="V4" s="186"/>
      <c r="W4" s="186"/>
      <c r="X4" s="186"/>
      <c r="Y4" s="186"/>
    </row>
    <row r="5">
      <c r="A5" s="178"/>
      <c r="B5" s="36"/>
      <c r="C5" s="37"/>
      <c r="D5" s="179" t="s">
        <v>76</v>
      </c>
      <c r="E5" s="180">
        <v>46006.0</v>
      </c>
      <c r="F5" s="181">
        <v>3611.7333333333327</v>
      </c>
      <c r="G5" s="182">
        <v>7646039.466666665</v>
      </c>
      <c r="H5" s="183">
        <v>2117.0</v>
      </c>
      <c r="I5" s="184">
        <v>1058.0</v>
      </c>
      <c r="J5" s="184">
        <v>705.0</v>
      </c>
      <c r="K5" s="184">
        <v>846.0</v>
      </c>
      <c r="L5" s="182">
        <v>423.0</v>
      </c>
      <c r="M5" s="185">
        <v>782.0</v>
      </c>
      <c r="N5" s="186">
        <v>1335.0</v>
      </c>
      <c r="O5" s="186"/>
      <c r="P5" s="186"/>
      <c r="Q5" s="186"/>
      <c r="R5" s="186"/>
      <c r="S5" s="186"/>
      <c r="T5" s="186"/>
      <c r="U5" s="186"/>
      <c r="V5" s="186"/>
      <c r="W5" s="186"/>
      <c r="X5" s="186"/>
      <c r="Y5" s="186"/>
    </row>
    <row r="6">
      <c r="A6" s="178"/>
      <c r="B6" s="36"/>
      <c r="C6" s="37"/>
      <c r="D6" s="179" t="s">
        <v>93</v>
      </c>
      <c r="E6" s="180">
        <v>46020.0</v>
      </c>
      <c r="F6" s="181">
        <v>731.0</v>
      </c>
      <c r="G6" s="182">
        <v>2095046.0</v>
      </c>
      <c r="H6" s="183">
        <v>2866.0</v>
      </c>
      <c r="I6" s="184">
        <v>1433.0</v>
      </c>
      <c r="J6" s="184">
        <v>955.0</v>
      </c>
      <c r="K6" s="184">
        <v>1146.0</v>
      </c>
      <c r="L6" s="182">
        <v>573.0</v>
      </c>
      <c r="M6" s="185">
        <v>1752.0</v>
      </c>
      <c r="N6" s="186">
        <v>1114.0</v>
      </c>
      <c r="O6" s="186"/>
      <c r="P6" s="186"/>
      <c r="Q6" s="186"/>
      <c r="R6" s="186"/>
      <c r="S6" s="186"/>
      <c r="T6" s="186"/>
      <c r="U6" s="186"/>
      <c r="V6" s="186"/>
      <c r="W6" s="186"/>
      <c r="X6" s="186"/>
      <c r="Y6" s="186"/>
    </row>
    <row r="7">
      <c r="A7" s="178"/>
      <c r="B7" s="36"/>
      <c r="C7" s="37"/>
      <c r="D7" s="179" t="s">
        <v>101</v>
      </c>
      <c r="E7" s="180">
        <v>46000.0</v>
      </c>
      <c r="F7" s="181">
        <v>2756.0</v>
      </c>
      <c r="G7" s="182">
        <v>1113424.0</v>
      </c>
      <c r="H7" s="183">
        <v>404.0</v>
      </c>
      <c r="I7" s="184">
        <v>202.0</v>
      </c>
      <c r="J7" s="184">
        <v>134.0</v>
      </c>
      <c r="K7" s="184">
        <v>161.0</v>
      </c>
      <c r="L7" s="182">
        <v>80.0</v>
      </c>
      <c r="M7" s="185">
        <v>87.0</v>
      </c>
      <c r="N7" s="186">
        <v>317.0</v>
      </c>
      <c r="O7" s="186"/>
      <c r="P7" s="186"/>
      <c r="Q7" s="186"/>
      <c r="R7" s="186"/>
      <c r="S7" s="186"/>
      <c r="T7" s="186"/>
      <c r="U7" s="186"/>
      <c r="V7" s="186"/>
      <c r="W7" s="186"/>
      <c r="X7" s="186"/>
      <c r="Y7" s="186"/>
    </row>
    <row r="8">
      <c r="A8" s="178"/>
      <c r="B8" s="36"/>
      <c r="C8" s="37"/>
      <c r="D8" s="179" t="s">
        <v>102</v>
      </c>
      <c r="E8" s="180">
        <v>46022.0</v>
      </c>
      <c r="F8" s="181">
        <v>6028.0</v>
      </c>
      <c r="G8" s="182">
        <v>361680.0</v>
      </c>
      <c r="H8" s="183">
        <v>60.0</v>
      </c>
      <c r="I8" s="184">
        <v>30.0</v>
      </c>
      <c r="J8" s="184">
        <v>20.0</v>
      </c>
      <c r="K8" s="184">
        <v>24.0</v>
      </c>
      <c r="L8" s="182">
        <v>12.0</v>
      </c>
      <c r="M8" s="185">
        <v>8.0</v>
      </c>
      <c r="N8" s="186">
        <v>52.0</v>
      </c>
      <c r="O8" s="186"/>
      <c r="P8" s="186"/>
      <c r="Q8" s="186"/>
      <c r="R8" s="186"/>
      <c r="S8" s="186"/>
      <c r="T8" s="186"/>
      <c r="U8" s="186"/>
      <c r="V8" s="186"/>
      <c r="W8" s="186"/>
      <c r="X8" s="186"/>
      <c r="Y8" s="186"/>
    </row>
    <row r="9">
      <c r="A9" s="178"/>
      <c r="B9" s="36"/>
      <c r="C9" s="37"/>
      <c r="D9" s="179" t="s">
        <v>103</v>
      </c>
      <c r="E9" s="180">
        <v>46019.0</v>
      </c>
      <c r="F9" s="181">
        <v>11211.0</v>
      </c>
      <c r="G9" s="182">
        <v>100899.0</v>
      </c>
      <c r="H9" s="183">
        <v>9.0</v>
      </c>
      <c r="I9" s="184">
        <v>4.0</v>
      </c>
      <c r="J9" s="184">
        <v>3.0</v>
      </c>
      <c r="K9" s="184">
        <v>3.0</v>
      </c>
      <c r="L9" s="182">
        <v>1.0</v>
      </c>
      <c r="M9" s="185">
        <v>8.0</v>
      </c>
      <c r="N9" s="186">
        <v>1.0</v>
      </c>
      <c r="O9" s="186"/>
      <c r="P9" s="186"/>
      <c r="Q9" s="186"/>
      <c r="R9" s="186"/>
      <c r="S9" s="186"/>
      <c r="T9" s="186"/>
      <c r="U9" s="186"/>
      <c r="V9" s="186"/>
      <c r="W9" s="186"/>
      <c r="X9" s="186"/>
      <c r="Y9" s="186"/>
    </row>
    <row r="10">
      <c r="A10" s="178"/>
      <c r="B10" s="36"/>
      <c r="C10" s="37"/>
      <c r="D10" s="179" t="s">
        <v>108</v>
      </c>
      <c r="E10" s="180">
        <v>46022.0</v>
      </c>
      <c r="F10" s="181">
        <v>3845.456597222222</v>
      </c>
      <c r="G10" s="182">
        <v>4014656.6875</v>
      </c>
      <c r="H10" s="183">
        <v>1044.0</v>
      </c>
      <c r="I10" s="184">
        <v>522.0</v>
      </c>
      <c r="J10" s="184">
        <v>348.0</v>
      </c>
      <c r="K10" s="184">
        <v>417.0</v>
      </c>
      <c r="L10" s="182">
        <v>208.0</v>
      </c>
      <c r="M10" s="185">
        <v>250.0</v>
      </c>
      <c r="N10" s="186">
        <v>794.0</v>
      </c>
      <c r="O10" s="186"/>
      <c r="P10" s="186"/>
      <c r="Q10" s="186"/>
      <c r="R10" s="186"/>
      <c r="S10" s="186"/>
      <c r="T10" s="186"/>
      <c r="U10" s="186"/>
      <c r="V10" s="186"/>
      <c r="W10" s="186"/>
      <c r="X10" s="186"/>
      <c r="Y10" s="186"/>
    </row>
    <row r="11">
      <c r="A11" s="178"/>
      <c r="B11" s="36"/>
      <c r="C11" s="37"/>
      <c r="D11" s="179" t="s">
        <v>141</v>
      </c>
      <c r="E11" s="180">
        <v>46020.0</v>
      </c>
      <c r="F11" s="181">
        <v>3612.53125</v>
      </c>
      <c r="G11" s="182">
        <v>5086444.0</v>
      </c>
      <c r="H11" s="183">
        <v>1408.0</v>
      </c>
      <c r="I11" s="184">
        <v>704.0</v>
      </c>
      <c r="J11" s="184">
        <v>469.0</v>
      </c>
      <c r="K11" s="184">
        <v>563.0</v>
      </c>
      <c r="L11" s="182">
        <v>281.0</v>
      </c>
      <c r="M11" s="185">
        <v>35.0</v>
      </c>
      <c r="N11" s="186">
        <v>1373.0</v>
      </c>
      <c r="O11" s="186"/>
      <c r="P11" s="186"/>
      <c r="Q11" s="186"/>
      <c r="R11" s="186"/>
      <c r="S11" s="186"/>
      <c r="T11" s="186"/>
      <c r="U11" s="186"/>
      <c r="V11" s="186"/>
      <c r="W11" s="186"/>
      <c r="X11" s="186"/>
      <c r="Y11" s="186"/>
    </row>
    <row r="12">
      <c r="A12" s="178"/>
      <c r="B12" s="36"/>
      <c r="C12" s="37"/>
      <c r="D12" s="179" t="s">
        <v>152</v>
      </c>
      <c r="E12" s="180">
        <v>45841.0</v>
      </c>
      <c r="F12" s="181">
        <v>5166.666666666667</v>
      </c>
      <c r="G12" s="182">
        <v>5166.666666666667</v>
      </c>
      <c r="H12" s="183">
        <v>1.0</v>
      </c>
      <c r="I12" s="184">
        <v>0.0</v>
      </c>
      <c r="J12" s="184">
        <v>0.0</v>
      </c>
      <c r="K12" s="184">
        <v>0.0</v>
      </c>
      <c r="L12" s="182">
        <v>0.0</v>
      </c>
      <c r="M12" s="185"/>
      <c r="N12" s="186">
        <v>1.0</v>
      </c>
      <c r="O12" s="186"/>
      <c r="P12" s="186"/>
      <c r="Q12" s="186"/>
      <c r="R12" s="186"/>
      <c r="S12" s="186"/>
      <c r="T12" s="186"/>
      <c r="U12" s="186"/>
      <c r="V12" s="186"/>
      <c r="W12" s="186"/>
      <c r="X12" s="186"/>
      <c r="Y12" s="186"/>
    </row>
    <row r="13">
      <c r="A13" s="178"/>
      <c r="B13" s="36"/>
      <c r="C13" s="37"/>
      <c r="D13" s="179" t="s">
        <v>175</v>
      </c>
      <c r="E13" s="180">
        <v>45997.0</v>
      </c>
      <c r="F13" s="181">
        <v>37978.25925925926</v>
      </c>
      <c r="G13" s="182">
        <v>9912325.666666668</v>
      </c>
      <c r="H13" s="183">
        <v>261.0</v>
      </c>
      <c r="I13" s="184">
        <v>130.0</v>
      </c>
      <c r="J13" s="184">
        <v>87.0</v>
      </c>
      <c r="K13" s="184">
        <v>104.0</v>
      </c>
      <c r="L13" s="182">
        <v>52.0</v>
      </c>
      <c r="M13" s="185">
        <v>221.0</v>
      </c>
      <c r="N13" s="186">
        <v>40.0</v>
      </c>
      <c r="O13" s="186"/>
      <c r="P13" s="186"/>
      <c r="Q13" s="186"/>
      <c r="R13" s="186"/>
      <c r="S13" s="186"/>
      <c r="T13" s="186"/>
      <c r="U13" s="186"/>
      <c r="V13" s="186"/>
      <c r="W13" s="186"/>
      <c r="X13" s="186"/>
      <c r="Y13" s="186"/>
    </row>
    <row r="14">
      <c r="A14" s="178"/>
      <c r="B14" s="36"/>
      <c r="C14" s="37"/>
      <c r="D14" s="179" t="s">
        <v>197</v>
      </c>
      <c r="E14" s="180">
        <v>46011.0</v>
      </c>
      <c r="F14" s="181">
        <v>29027.079999999994</v>
      </c>
      <c r="G14" s="182">
        <v>1277191.5199999998</v>
      </c>
      <c r="H14" s="183">
        <v>44.0</v>
      </c>
      <c r="I14" s="184">
        <v>22.0</v>
      </c>
      <c r="J14" s="184">
        <v>14.0</v>
      </c>
      <c r="K14" s="184">
        <v>17.0</v>
      </c>
      <c r="L14" s="182">
        <v>8.0</v>
      </c>
      <c r="M14" s="185">
        <v>6.0</v>
      </c>
      <c r="N14" s="186">
        <v>38.0</v>
      </c>
      <c r="O14" s="186"/>
      <c r="P14" s="186"/>
      <c r="Q14" s="186"/>
      <c r="R14" s="186"/>
      <c r="S14" s="186"/>
      <c r="T14" s="186"/>
      <c r="U14" s="186"/>
      <c r="V14" s="186"/>
      <c r="W14" s="186"/>
      <c r="X14" s="186"/>
      <c r="Y14" s="186"/>
    </row>
    <row r="15">
      <c r="A15" s="178"/>
      <c r="B15" s="36"/>
      <c r="C15" s="37"/>
      <c r="D15" s="179" t="s">
        <v>209</v>
      </c>
      <c r="E15" s="180">
        <v>46015.0</v>
      </c>
      <c r="F15" s="181">
        <v>6999.999999999999</v>
      </c>
      <c r="G15" s="182">
        <v>202999.99999999997</v>
      </c>
      <c r="H15" s="183">
        <v>29.0</v>
      </c>
      <c r="I15" s="184">
        <v>14.0</v>
      </c>
      <c r="J15" s="184">
        <v>9.0</v>
      </c>
      <c r="K15" s="184">
        <v>11.0</v>
      </c>
      <c r="L15" s="182">
        <v>5.0</v>
      </c>
      <c r="M15" s="185">
        <v>24.0</v>
      </c>
      <c r="N15" s="186">
        <v>5.0</v>
      </c>
      <c r="O15" s="186"/>
      <c r="P15" s="186"/>
      <c r="Q15" s="186"/>
      <c r="R15" s="186"/>
      <c r="S15" s="186"/>
      <c r="T15" s="186"/>
      <c r="U15" s="186"/>
      <c r="V15" s="186"/>
      <c r="W15" s="186"/>
      <c r="X15" s="186"/>
      <c r="Y15" s="186"/>
    </row>
    <row r="16">
      <c r="A16" s="178"/>
      <c r="B16" s="36"/>
      <c r="C16" s="37"/>
      <c r="D16" s="179" t="s">
        <v>1056</v>
      </c>
      <c r="E16" s="180">
        <v>46000.0</v>
      </c>
      <c r="F16" s="181"/>
      <c r="G16" s="182">
        <v>0.0</v>
      </c>
      <c r="H16" s="183">
        <v>-13.0</v>
      </c>
      <c r="I16" s="184">
        <v>-6.0</v>
      </c>
      <c r="J16" s="184">
        <v>-4.0</v>
      </c>
      <c r="K16" s="184">
        <v>-5.0</v>
      </c>
      <c r="L16" s="182">
        <v>-2.0</v>
      </c>
      <c r="M16" s="185">
        <v>-11.0</v>
      </c>
      <c r="N16" s="186">
        <v>-2.0</v>
      </c>
      <c r="O16" s="186"/>
      <c r="P16" s="186"/>
      <c r="Q16" s="186"/>
      <c r="R16" s="186"/>
      <c r="S16" s="186"/>
      <c r="T16" s="186"/>
      <c r="U16" s="186"/>
      <c r="V16" s="186"/>
      <c r="W16" s="186"/>
      <c r="X16" s="186"/>
      <c r="Y16" s="186"/>
    </row>
    <row r="17">
      <c r="A17" s="178"/>
      <c r="B17" s="36"/>
      <c r="C17" s="37"/>
      <c r="D17" s="179" t="s">
        <v>241</v>
      </c>
      <c r="E17" s="180">
        <v>46019.0</v>
      </c>
      <c r="F17" s="181">
        <v>1170.311</v>
      </c>
      <c r="G17" s="182">
        <v>3715737.425</v>
      </c>
      <c r="H17" s="183">
        <v>3175.0</v>
      </c>
      <c r="I17" s="184">
        <v>1587.0</v>
      </c>
      <c r="J17" s="184">
        <v>1058.0</v>
      </c>
      <c r="K17" s="184">
        <v>1270.0</v>
      </c>
      <c r="L17" s="182">
        <v>635.0</v>
      </c>
      <c r="M17" s="185">
        <v>1037.0</v>
      </c>
      <c r="N17" s="186">
        <v>2138.0</v>
      </c>
      <c r="O17" s="186"/>
      <c r="P17" s="186"/>
      <c r="Q17" s="186"/>
      <c r="R17" s="186"/>
      <c r="S17" s="186"/>
      <c r="T17" s="186"/>
      <c r="U17" s="186"/>
      <c r="V17" s="186"/>
      <c r="W17" s="186"/>
      <c r="X17" s="186"/>
      <c r="Y17" s="186"/>
    </row>
    <row r="18">
      <c r="A18" s="178"/>
      <c r="B18" s="36"/>
      <c r="C18" s="37"/>
      <c r="D18" s="179" t="s">
        <v>250</v>
      </c>
      <c r="E18" s="180">
        <v>46016.0</v>
      </c>
      <c r="F18" s="181">
        <v>23076.0</v>
      </c>
      <c r="G18" s="182">
        <v>392292.0</v>
      </c>
      <c r="H18" s="183">
        <v>17.0</v>
      </c>
      <c r="I18" s="184">
        <v>8.0</v>
      </c>
      <c r="J18" s="184">
        <v>5.0</v>
      </c>
      <c r="K18" s="184">
        <v>6.0</v>
      </c>
      <c r="L18" s="182">
        <v>3.0</v>
      </c>
      <c r="M18" s="185">
        <v>22.0</v>
      </c>
      <c r="N18" s="186">
        <v>-5.0</v>
      </c>
      <c r="O18" s="186"/>
      <c r="P18" s="186"/>
      <c r="Q18" s="186"/>
      <c r="R18" s="186"/>
      <c r="S18" s="186"/>
      <c r="T18" s="186"/>
      <c r="U18" s="186"/>
      <c r="V18" s="186"/>
      <c r="W18" s="186"/>
      <c r="X18" s="186"/>
      <c r="Y18" s="186"/>
    </row>
    <row r="19">
      <c r="A19" s="178"/>
      <c r="B19" s="36"/>
      <c r="C19" s="37"/>
      <c r="D19" s="179" t="s">
        <v>270</v>
      </c>
      <c r="E19" s="180"/>
      <c r="F19" s="181">
        <v>24820.0</v>
      </c>
      <c r="G19" s="182">
        <v>198560.0</v>
      </c>
      <c r="H19" s="183">
        <v>8.0</v>
      </c>
      <c r="I19" s="184">
        <v>4.0</v>
      </c>
      <c r="J19" s="184">
        <v>2.0</v>
      </c>
      <c r="K19" s="184">
        <v>3.0</v>
      </c>
      <c r="L19" s="182">
        <v>1.0</v>
      </c>
      <c r="M19" s="185"/>
      <c r="N19" s="186">
        <v>8.0</v>
      </c>
      <c r="O19" s="186"/>
      <c r="P19" s="186"/>
      <c r="Q19" s="186"/>
      <c r="R19" s="186"/>
      <c r="S19" s="186"/>
      <c r="T19" s="186"/>
      <c r="U19" s="186"/>
      <c r="V19" s="186"/>
      <c r="W19" s="186"/>
      <c r="X19" s="186"/>
      <c r="Y19" s="186"/>
    </row>
    <row r="20">
      <c r="A20" s="178"/>
      <c r="B20" s="36"/>
      <c r="C20" s="37"/>
      <c r="D20" s="179" t="s">
        <v>275</v>
      </c>
      <c r="E20" s="180">
        <v>45981.0</v>
      </c>
      <c r="F20" s="181">
        <v>13937.05</v>
      </c>
      <c r="G20" s="182">
        <v>1951187.0</v>
      </c>
      <c r="H20" s="183">
        <v>140.0</v>
      </c>
      <c r="I20" s="184">
        <v>70.0</v>
      </c>
      <c r="J20" s="184">
        <v>46.0</v>
      </c>
      <c r="K20" s="184">
        <v>56.0</v>
      </c>
      <c r="L20" s="182">
        <v>28.0</v>
      </c>
      <c r="M20" s="185">
        <v>138.0</v>
      </c>
      <c r="N20" s="186">
        <v>2.0</v>
      </c>
      <c r="O20" s="186"/>
      <c r="P20" s="186"/>
      <c r="Q20" s="186"/>
      <c r="R20" s="186"/>
      <c r="S20" s="186"/>
      <c r="T20" s="186"/>
      <c r="U20" s="186"/>
      <c r="V20" s="186"/>
      <c r="W20" s="186"/>
      <c r="X20" s="186"/>
      <c r="Y20" s="186"/>
    </row>
    <row r="21">
      <c r="A21" s="178"/>
      <c r="B21" s="36"/>
      <c r="C21" s="37"/>
      <c r="D21" s="179" t="s">
        <v>284</v>
      </c>
      <c r="E21" s="180">
        <v>46015.0</v>
      </c>
      <c r="F21" s="181">
        <v>4973.93</v>
      </c>
      <c r="G21" s="182">
        <v>1124108.1800000002</v>
      </c>
      <c r="H21" s="183">
        <v>226.0</v>
      </c>
      <c r="I21" s="184">
        <v>113.0</v>
      </c>
      <c r="J21" s="184">
        <v>75.0</v>
      </c>
      <c r="K21" s="184">
        <v>90.0</v>
      </c>
      <c r="L21" s="182">
        <v>45.0</v>
      </c>
      <c r="M21" s="185">
        <v>101.0</v>
      </c>
      <c r="N21" s="186">
        <v>125.0</v>
      </c>
      <c r="O21" s="186"/>
      <c r="P21" s="186"/>
      <c r="Q21" s="186"/>
      <c r="R21" s="186"/>
      <c r="S21" s="186"/>
      <c r="T21" s="186"/>
      <c r="U21" s="186"/>
      <c r="V21" s="186"/>
      <c r="W21" s="186"/>
      <c r="X21" s="186"/>
      <c r="Y21" s="186"/>
    </row>
    <row r="22">
      <c r="A22" s="178"/>
      <c r="B22" s="36"/>
      <c r="C22" s="37"/>
      <c r="D22" s="179" t="s">
        <v>298</v>
      </c>
      <c r="E22" s="180">
        <v>46000.0</v>
      </c>
      <c r="F22" s="181">
        <v>8461.025</v>
      </c>
      <c r="G22" s="182">
        <v>1167621.45</v>
      </c>
      <c r="H22" s="183">
        <v>138.0</v>
      </c>
      <c r="I22" s="184">
        <v>69.0</v>
      </c>
      <c r="J22" s="184">
        <v>46.0</v>
      </c>
      <c r="K22" s="184">
        <v>55.0</v>
      </c>
      <c r="L22" s="182">
        <v>27.0</v>
      </c>
      <c r="M22" s="185">
        <v>67.0</v>
      </c>
      <c r="N22" s="186">
        <v>71.0</v>
      </c>
      <c r="O22" s="186"/>
      <c r="P22" s="186"/>
      <c r="Q22" s="186"/>
      <c r="R22" s="186"/>
      <c r="S22" s="186"/>
      <c r="T22" s="186"/>
      <c r="U22" s="186"/>
      <c r="V22" s="186"/>
      <c r="W22" s="186"/>
      <c r="X22" s="186"/>
      <c r="Y22" s="186"/>
    </row>
    <row r="23">
      <c r="A23" s="178"/>
      <c r="B23" s="36"/>
      <c r="C23" s="37"/>
      <c r="D23" s="179" t="s">
        <v>303</v>
      </c>
      <c r="E23" s="180">
        <v>46015.0</v>
      </c>
      <c r="F23" s="181">
        <v>8384.983333333334</v>
      </c>
      <c r="G23" s="182">
        <v>1442217.1333333333</v>
      </c>
      <c r="H23" s="183">
        <v>172.0</v>
      </c>
      <c r="I23" s="184">
        <v>86.0</v>
      </c>
      <c r="J23" s="184">
        <v>57.0</v>
      </c>
      <c r="K23" s="184">
        <v>68.0</v>
      </c>
      <c r="L23" s="182">
        <v>34.0</v>
      </c>
      <c r="M23" s="185">
        <v>119.0</v>
      </c>
      <c r="N23" s="186">
        <v>53.0</v>
      </c>
      <c r="O23" s="186"/>
      <c r="P23" s="186"/>
      <c r="Q23" s="186"/>
      <c r="R23" s="186"/>
      <c r="S23" s="186"/>
      <c r="T23" s="186"/>
      <c r="U23" s="186"/>
      <c r="V23" s="186"/>
      <c r="W23" s="186"/>
      <c r="X23" s="186"/>
      <c r="Y23" s="186"/>
    </row>
    <row r="24">
      <c r="A24" s="178"/>
      <c r="B24" s="36"/>
      <c r="C24" s="37"/>
      <c r="D24" s="179" t="s">
        <v>310</v>
      </c>
      <c r="E24" s="180">
        <v>46022.0</v>
      </c>
      <c r="F24" s="181">
        <v>6910.9</v>
      </c>
      <c r="G24" s="182">
        <v>1921230.2</v>
      </c>
      <c r="H24" s="183">
        <v>278.0</v>
      </c>
      <c r="I24" s="184">
        <v>139.0</v>
      </c>
      <c r="J24" s="184">
        <v>92.0</v>
      </c>
      <c r="K24" s="184">
        <v>111.0</v>
      </c>
      <c r="L24" s="182">
        <v>55.0</v>
      </c>
      <c r="M24" s="185">
        <v>186.0</v>
      </c>
      <c r="N24" s="186">
        <v>92.0</v>
      </c>
      <c r="O24" s="186"/>
      <c r="P24" s="186"/>
      <c r="Q24" s="186"/>
      <c r="R24" s="186"/>
      <c r="S24" s="186"/>
      <c r="T24" s="186"/>
      <c r="U24" s="186"/>
      <c r="V24" s="186"/>
      <c r="W24" s="186"/>
      <c r="X24" s="186"/>
      <c r="Y24" s="186"/>
    </row>
    <row r="25">
      <c r="A25" s="178"/>
      <c r="B25" s="36"/>
      <c r="C25" s="37"/>
      <c r="D25" s="179" t="s">
        <v>318</v>
      </c>
      <c r="E25" s="180">
        <v>46022.0</v>
      </c>
      <c r="F25" s="181">
        <v>5617.6</v>
      </c>
      <c r="G25" s="182">
        <v>381996.80000000005</v>
      </c>
      <c r="H25" s="183">
        <v>68.0</v>
      </c>
      <c r="I25" s="184">
        <v>34.0</v>
      </c>
      <c r="J25" s="184">
        <v>22.0</v>
      </c>
      <c r="K25" s="184">
        <v>27.0</v>
      </c>
      <c r="L25" s="182">
        <v>13.0</v>
      </c>
      <c r="M25" s="185">
        <v>31.0</v>
      </c>
      <c r="N25" s="186">
        <v>37.0</v>
      </c>
      <c r="O25" s="186"/>
      <c r="P25" s="186"/>
      <c r="Q25" s="186"/>
      <c r="R25" s="186"/>
      <c r="S25" s="186"/>
      <c r="T25" s="186"/>
      <c r="U25" s="186"/>
      <c r="V25" s="186"/>
      <c r="W25" s="186"/>
      <c r="X25" s="186"/>
      <c r="Y25" s="186"/>
    </row>
    <row r="26">
      <c r="A26" s="178"/>
      <c r="B26" s="36"/>
      <c r="C26" s="37"/>
      <c r="D26" s="179" t="s">
        <v>331</v>
      </c>
      <c r="E26" s="180">
        <v>46022.0</v>
      </c>
      <c r="F26" s="181">
        <v>639.424</v>
      </c>
      <c r="G26" s="182">
        <v>2611407.616</v>
      </c>
      <c r="H26" s="183">
        <v>4084.0</v>
      </c>
      <c r="I26" s="184">
        <v>2042.0</v>
      </c>
      <c r="J26" s="184">
        <v>1361.0</v>
      </c>
      <c r="K26" s="184">
        <v>1633.0</v>
      </c>
      <c r="L26" s="182">
        <v>816.0</v>
      </c>
      <c r="M26" s="185">
        <v>14.0</v>
      </c>
      <c r="N26" s="186">
        <v>4070.0</v>
      </c>
      <c r="O26" s="186"/>
      <c r="P26" s="186"/>
      <c r="Q26" s="186"/>
      <c r="R26" s="186"/>
      <c r="S26" s="186"/>
      <c r="T26" s="186"/>
      <c r="U26" s="186"/>
      <c r="V26" s="186"/>
      <c r="W26" s="186"/>
      <c r="X26" s="186"/>
      <c r="Y26" s="186"/>
    </row>
    <row r="27">
      <c r="A27" s="178"/>
      <c r="B27" s="36"/>
      <c r="C27" s="37"/>
      <c r="D27" s="179" t="s">
        <v>351</v>
      </c>
      <c r="E27" s="180">
        <v>46015.0</v>
      </c>
      <c r="F27" s="181">
        <v>27318.46153846154</v>
      </c>
      <c r="G27" s="182">
        <v>5190507.692307692</v>
      </c>
      <c r="H27" s="183">
        <v>190.0</v>
      </c>
      <c r="I27" s="184">
        <v>95.0</v>
      </c>
      <c r="J27" s="184">
        <v>63.0</v>
      </c>
      <c r="K27" s="184">
        <v>76.0</v>
      </c>
      <c r="L27" s="182">
        <v>38.0</v>
      </c>
      <c r="M27" s="185">
        <v>159.0</v>
      </c>
      <c r="N27" s="186">
        <v>31.0</v>
      </c>
      <c r="O27" s="186"/>
      <c r="P27" s="186"/>
      <c r="Q27" s="186"/>
      <c r="R27" s="186"/>
      <c r="S27" s="186"/>
      <c r="T27" s="186"/>
      <c r="U27" s="186"/>
      <c r="V27" s="186"/>
      <c r="W27" s="186"/>
      <c r="X27" s="186"/>
      <c r="Y27" s="186"/>
    </row>
    <row r="28">
      <c r="A28" s="178"/>
      <c r="B28" s="36"/>
      <c r="C28" s="37"/>
      <c r="D28" s="179" t="s">
        <v>364</v>
      </c>
      <c r="E28" s="180">
        <v>46016.0</v>
      </c>
      <c r="F28" s="181">
        <v>727.964</v>
      </c>
      <c r="G28" s="182">
        <v>3760662.024</v>
      </c>
      <c r="H28" s="183">
        <v>5166.0</v>
      </c>
      <c r="I28" s="184">
        <v>2583.0</v>
      </c>
      <c r="J28" s="184">
        <v>1722.0</v>
      </c>
      <c r="K28" s="184">
        <v>2066.0</v>
      </c>
      <c r="L28" s="182">
        <v>1033.0</v>
      </c>
      <c r="M28" s="185"/>
      <c r="N28" s="186">
        <v>5166.0</v>
      </c>
      <c r="O28" s="186"/>
      <c r="P28" s="186"/>
      <c r="Q28" s="186"/>
      <c r="R28" s="186"/>
      <c r="S28" s="186"/>
      <c r="T28" s="186"/>
      <c r="U28" s="186"/>
      <c r="V28" s="186"/>
      <c r="W28" s="186"/>
      <c r="X28" s="186"/>
      <c r="Y28" s="186"/>
    </row>
    <row r="29">
      <c r="A29" s="178"/>
      <c r="B29" s="36"/>
      <c r="C29" s="37"/>
      <c r="D29" s="179" t="s">
        <v>377</v>
      </c>
      <c r="E29" s="180">
        <v>45709.0</v>
      </c>
      <c r="F29" s="181">
        <v>779.544</v>
      </c>
      <c r="G29" s="182">
        <v>7795440.0</v>
      </c>
      <c r="H29" s="183">
        <v>10000.0</v>
      </c>
      <c r="I29" s="184">
        <v>5000.0</v>
      </c>
      <c r="J29" s="184">
        <v>3333.0</v>
      </c>
      <c r="K29" s="184">
        <v>4000.0</v>
      </c>
      <c r="L29" s="182">
        <v>2000.0</v>
      </c>
      <c r="M29" s="185"/>
      <c r="N29" s="186">
        <v>10000.0</v>
      </c>
      <c r="O29" s="186"/>
      <c r="P29" s="186"/>
      <c r="Q29" s="186"/>
      <c r="R29" s="186"/>
      <c r="S29" s="186"/>
      <c r="T29" s="186"/>
      <c r="U29" s="186"/>
      <c r="V29" s="186"/>
      <c r="W29" s="186"/>
      <c r="X29" s="186"/>
      <c r="Y29" s="186"/>
    </row>
    <row r="30">
      <c r="A30" s="178"/>
      <c r="B30" s="36"/>
      <c r="C30" s="37"/>
      <c r="D30" s="179" t="s">
        <v>385</v>
      </c>
      <c r="E30" s="180">
        <v>46020.0</v>
      </c>
      <c r="F30" s="181">
        <v>874.8348348348349</v>
      </c>
      <c r="G30" s="182">
        <v>762855.975975976</v>
      </c>
      <c r="H30" s="183">
        <v>872.0</v>
      </c>
      <c r="I30" s="184">
        <v>436.0</v>
      </c>
      <c r="J30" s="184">
        <v>290.0</v>
      </c>
      <c r="K30" s="184">
        <v>348.0</v>
      </c>
      <c r="L30" s="182">
        <v>174.0</v>
      </c>
      <c r="M30" s="185">
        <v>494.0</v>
      </c>
      <c r="N30" s="186">
        <v>378.0</v>
      </c>
      <c r="O30" s="186"/>
      <c r="P30" s="186"/>
      <c r="Q30" s="186"/>
      <c r="R30" s="186"/>
      <c r="S30" s="186"/>
      <c r="T30" s="186"/>
      <c r="U30" s="186"/>
      <c r="V30" s="186"/>
      <c r="W30" s="186"/>
      <c r="X30" s="186"/>
      <c r="Y30" s="186"/>
    </row>
    <row r="31">
      <c r="A31" s="178"/>
      <c r="B31" s="36"/>
      <c r="C31" s="37"/>
      <c r="D31" s="179" t="s">
        <v>395</v>
      </c>
      <c r="E31" s="180">
        <v>46017.0</v>
      </c>
      <c r="F31" s="181">
        <v>552.9895238095239</v>
      </c>
      <c r="G31" s="182">
        <v>1498048.6200000003</v>
      </c>
      <c r="H31" s="183">
        <v>2709.0</v>
      </c>
      <c r="I31" s="184">
        <v>1354.0</v>
      </c>
      <c r="J31" s="184">
        <v>903.0</v>
      </c>
      <c r="K31" s="184">
        <v>1083.0</v>
      </c>
      <c r="L31" s="182">
        <v>541.0</v>
      </c>
      <c r="M31" s="185">
        <v>1000.0</v>
      </c>
      <c r="N31" s="186">
        <v>1709.0</v>
      </c>
      <c r="O31" s="186"/>
      <c r="P31" s="186"/>
      <c r="Q31" s="186"/>
      <c r="R31" s="186"/>
      <c r="S31" s="186"/>
      <c r="T31" s="186"/>
      <c r="U31" s="186"/>
      <c r="V31" s="186"/>
      <c r="W31" s="186"/>
      <c r="X31" s="186"/>
      <c r="Y31" s="186"/>
    </row>
    <row r="32">
      <c r="A32" s="178"/>
      <c r="B32" s="36"/>
      <c r="C32" s="37"/>
      <c r="D32" s="179" t="s">
        <v>397</v>
      </c>
      <c r="E32" s="180">
        <v>46013.0</v>
      </c>
      <c r="F32" s="181">
        <v>1140.7243478260868</v>
      </c>
      <c r="G32" s="182">
        <v>5168622.02</v>
      </c>
      <c r="H32" s="183">
        <v>4531.0</v>
      </c>
      <c r="I32" s="184">
        <v>2265.0</v>
      </c>
      <c r="J32" s="184">
        <v>1510.0</v>
      </c>
      <c r="K32" s="184">
        <v>1812.0</v>
      </c>
      <c r="L32" s="182">
        <v>906.0</v>
      </c>
      <c r="M32" s="185">
        <v>932.0</v>
      </c>
      <c r="N32" s="186">
        <v>3599.0</v>
      </c>
      <c r="O32" s="186"/>
      <c r="P32" s="186"/>
      <c r="Q32" s="186"/>
      <c r="R32" s="186"/>
      <c r="S32" s="186"/>
      <c r="T32" s="186"/>
      <c r="U32" s="186"/>
      <c r="V32" s="186"/>
      <c r="W32" s="186"/>
      <c r="X32" s="186"/>
      <c r="Y32" s="186"/>
    </row>
    <row r="33">
      <c r="A33" s="178"/>
      <c r="B33" s="36"/>
      <c r="C33" s="37"/>
      <c r="D33" s="179" t="s">
        <v>403</v>
      </c>
      <c r="E33" s="180">
        <v>46019.0</v>
      </c>
      <c r="F33" s="181">
        <v>1056.9999999999998</v>
      </c>
      <c r="G33" s="182">
        <v>1144730.9999999998</v>
      </c>
      <c r="H33" s="183">
        <v>1083.0</v>
      </c>
      <c r="I33" s="184">
        <v>541.0</v>
      </c>
      <c r="J33" s="184">
        <v>361.0</v>
      </c>
      <c r="K33" s="184">
        <v>433.0</v>
      </c>
      <c r="L33" s="182">
        <v>216.0</v>
      </c>
      <c r="M33" s="185">
        <v>802.0</v>
      </c>
      <c r="N33" s="186">
        <v>281.0</v>
      </c>
      <c r="O33" s="186"/>
      <c r="P33" s="186"/>
      <c r="Q33" s="186"/>
      <c r="R33" s="186"/>
      <c r="S33" s="186"/>
      <c r="T33" s="186"/>
      <c r="U33" s="186"/>
      <c r="V33" s="186"/>
      <c r="W33" s="186"/>
      <c r="X33" s="186"/>
      <c r="Y33" s="186"/>
    </row>
    <row r="34">
      <c r="A34" s="178"/>
      <c r="B34" s="36"/>
      <c r="C34" s="37"/>
      <c r="D34" s="179" t="s">
        <v>406</v>
      </c>
      <c r="E34" s="180">
        <v>45965.0</v>
      </c>
      <c r="F34" s="181">
        <v>1291.1</v>
      </c>
      <c r="G34" s="182">
        <v>27113.1</v>
      </c>
      <c r="H34" s="183">
        <v>21.0</v>
      </c>
      <c r="I34" s="184">
        <v>10.0</v>
      </c>
      <c r="J34" s="184">
        <v>7.0</v>
      </c>
      <c r="K34" s="184">
        <v>8.0</v>
      </c>
      <c r="L34" s="182">
        <v>4.0</v>
      </c>
      <c r="M34" s="185"/>
      <c r="N34" s="186">
        <v>21.0</v>
      </c>
      <c r="O34" s="186"/>
      <c r="P34" s="186"/>
      <c r="Q34" s="186"/>
      <c r="R34" s="186"/>
      <c r="S34" s="186"/>
      <c r="T34" s="186"/>
      <c r="U34" s="186"/>
      <c r="V34" s="186"/>
      <c r="W34" s="186"/>
      <c r="X34" s="186"/>
      <c r="Y34" s="186"/>
    </row>
    <row r="35">
      <c r="A35" s="178"/>
      <c r="B35" s="36"/>
      <c r="C35" s="37"/>
      <c r="D35" s="179" t="s">
        <v>408</v>
      </c>
      <c r="E35" s="180">
        <v>46022.0</v>
      </c>
      <c r="F35" s="181">
        <v>288.88700000000006</v>
      </c>
      <c r="G35" s="182">
        <v>1521567.8290000004</v>
      </c>
      <c r="H35" s="183">
        <v>5267.0</v>
      </c>
      <c r="I35" s="184">
        <v>2633.0</v>
      </c>
      <c r="J35" s="184">
        <v>1755.0</v>
      </c>
      <c r="K35" s="184">
        <v>2106.0</v>
      </c>
      <c r="L35" s="182">
        <v>1053.0</v>
      </c>
      <c r="M35" s="185">
        <v>2992.0</v>
      </c>
      <c r="N35" s="186">
        <v>2275.0</v>
      </c>
      <c r="O35" s="186"/>
      <c r="P35" s="186"/>
      <c r="Q35" s="186"/>
      <c r="R35" s="186"/>
      <c r="S35" s="186"/>
      <c r="T35" s="186"/>
      <c r="U35" s="186"/>
      <c r="V35" s="186"/>
      <c r="W35" s="186"/>
      <c r="X35" s="186"/>
      <c r="Y35" s="186"/>
    </row>
    <row r="36">
      <c r="A36" s="178"/>
      <c r="B36" s="36"/>
      <c r="C36" s="37"/>
      <c r="D36" s="179" t="s">
        <v>450</v>
      </c>
      <c r="E36" s="180">
        <v>46022.0</v>
      </c>
      <c r="F36" s="181">
        <v>340.3485</v>
      </c>
      <c r="G36" s="182">
        <v>1347099.363</v>
      </c>
      <c r="H36" s="183">
        <v>3958.0</v>
      </c>
      <c r="I36" s="184">
        <v>1979.0</v>
      </c>
      <c r="J36" s="184">
        <v>1319.0</v>
      </c>
      <c r="K36" s="184">
        <v>1583.0</v>
      </c>
      <c r="L36" s="182">
        <v>791.0</v>
      </c>
      <c r="M36" s="185">
        <v>1748.0</v>
      </c>
      <c r="N36" s="186">
        <v>2210.0</v>
      </c>
      <c r="O36" s="186"/>
      <c r="P36" s="186"/>
      <c r="Q36" s="186"/>
      <c r="R36" s="186"/>
      <c r="S36" s="186"/>
      <c r="T36" s="186"/>
      <c r="U36" s="186"/>
      <c r="V36" s="186"/>
      <c r="W36" s="186"/>
      <c r="X36" s="186"/>
      <c r="Y36" s="186"/>
    </row>
    <row r="37">
      <c r="A37" s="178"/>
      <c r="B37" s="36"/>
      <c r="C37" s="37"/>
      <c r="D37" s="179" t="s">
        <v>472</v>
      </c>
      <c r="E37" s="180">
        <v>46022.0</v>
      </c>
      <c r="F37" s="181">
        <v>572.0</v>
      </c>
      <c r="G37" s="182">
        <v>2864004.0</v>
      </c>
      <c r="H37" s="183">
        <v>5007.0</v>
      </c>
      <c r="I37" s="184">
        <v>2503.0</v>
      </c>
      <c r="J37" s="184">
        <v>1669.0</v>
      </c>
      <c r="K37" s="184">
        <v>2002.0</v>
      </c>
      <c r="L37" s="182">
        <v>1001.0</v>
      </c>
      <c r="M37" s="185">
        <v>4619.0</v>
      </c>
      <c r="N37" s="186">
        <v>388.0</v>
      </c>
      <c r="O37" s="186"/>
      <c r="P37" s="186"/>
      <c r="Q37" s="186"/>
      <c r="R37" s="186"/>
      <c r="S37" s="186"/>
      <c r="T37" s="186"/>
      <c r="U37" s="186"/>
      <c r="V37" s="186"/>
      <c r="W37" s="186"/>
      <c r="X37" s="186"/>
      <c r="Y37" s="186"/>
    </row>
    <row r="38">
      <c r="A38" s="178"/>
      <c r="B38" s="36"/>
      <c r="C38" s="37"/>
      <c r="D38" s="179" t="s">
        <v>478</v>
      </c>
      <c r="E38" s="180">
        <v>46021.0</v>
      </c>
      <c r="F38" s="181">
        <v>855.4999999999999</v>
      </c>
      <c r="G38" s="182">
        <v>2073731.9999999998</v>
      </c>
      <c r="H38" s="183">
        <v>2424.0</v>
      </c>
      <c r="I38" s="184">
        <v>1212.0</v>
      </c>
      <c r="J38" s="184">
        <v>808.0</v>
      </c>
      <c r="K38" s="184">
        <v>969.0</v>
      </c>
      <c r="L38" s="182">
        <v>484.0</v>
      </c>
      <c r="M38" s="185">
        <v>1214.0</v>
      </c>
      <c r="N38" s="186">
        <v>1210.0</v>
      </c>
      <c r="O38" s="186"/>
      <c r="P38" s="186"/>
      <c r="Q38" s="186"/>
      <c r="R38" s="186"/>
      <c r="S38" s="186"/>
      <c r="T38" s="186"/>
      <c r="U38" s="186"/>
      <c r="V38" s="186"/>
      <c r="W38" s="186"/>
      <c r="X38" s="186"/>
      <c r="Y38" s="186"/>
    </row>
    <row r="39">
      <c r="A39" s="178"/>
      <c r="B39" s="36"/>
      <c r="C39" s="37"/>
      <c r="D39" s="179" t="s">
        <v>481</v>
      </c>
      <c r="E39" s="180">
        <v>46021.0</v>
      </c>
      <c r="F39" s="181">
        <v>1018.0</v>
      </c>
      <c r="G39" s="182">
        <v>1344778.0</v>
      </c>
      <c r="H39" s="183">
        <v>1321.0</v>
      </c>
      <c r="I39" s="184">
        <v>660.0</v>
      </c>
      <c r="J39" s="184">
        <v>440.0</v>
      </c>
      <c r="K39" s="184">
        <v>528.0</v>
      </c>
      <c r="L39" s="182">
        <v>264.0</v>
      </c>
      <c r="M39" s="185">
        <v>423.0</v>
      </c>
      <c r="N39" s="186">
        <v>898.0</v>
      </c>
      <c r="O39" s="186"/>
      <c r="P39" s="186"/>
      <c r="Q39" s="186"/>
      <c r="R39" s="186"/>
      <c r="S39" s="186"/>
      <c r="T39" s="186"/>
      <c r="U39" s="186"/>
      <c r="V39" s="186"/>
      <c r="W39" s="186"/>
      <c r="X39" s="186"/>
      <c r="Y39" s="186"/>
    </row>
    <row r="40">
      <c r="A40" s="178"/>
      <c r="B40" s="36"/>
      <c r="C40" s="37"/>
      <c r="D40" s="179" t="s">
        <v>483</v>
      </c>
      <c r="E40" s="180">
        <v>46016.0</v>
      </c>
      <c r="F40" s="181">
        <v>729.9999999999999</v>
      </c>
      <c r="G40" s="182">
        <v>886949.9999999999</v>
      </c>
      <c r="H40" s="183">
        <v>1215.0</v>
      </c>
      <c r="I40" s="184">
        <v>607.0</v>
      </c>
      <c r="J40" s="184">
        <v>405.0</v>
      </c>
      <c r="K40" s="184">
        <v>486.0</v>
      </c>
      <c r="L40" s="182">
        <v>243.0</v>
      </c>
      <c r="M40" s="185">
        <v>1021.0</v>
      </c>
      <c r="N40" s="186">
        <v>194.0</v>
      </c>
      <c r="O40" s="186"/>
      <c r="P40" s="186"/>
      <c r="Q40" s="186"/>
      <c r="R40" s="186"/>
      <c r="S40" s="186"/>
      <c r="T40" s="186"/>
      <c r="U40" s="186"/>
      <c r="V40" s="186"/>
      <c r="W40" s="186"/>
      <c r="X40" s="186"/>
      <c r="Y40" s="186"/>
    </row>
    <row r="41">
      <c r="A41" s="178"/>
      <c r="B41" s="36"/>
      <c r="C41" s="37"/>
      <c r="D41" s="179" t="s">
        <v>502</v>
      </c>
      <c r="E41" s="180">
        <v>46019.0</v>
      </c>
      <c r="F41" s="181">
        <v>585.4019999999999</v>
      </c>
      <c r="G41" s="182">
        <v>525105.5939999999</v>
      </c>
      <c r="H41" s="183">
        <v>897.0</v>
      </c>
      <c r="I41" s="184">
        <v>448.0</v>
      </c>
      <c r="J41" s="184">
        <v>299.0</v>
      </c>
      <c r="K41" s="184">
        <v>358.0</v>
      </c>
      <c r="L41" s="182">
        <v>179.0</v>
      </c>
      <c r="M41" s="185">
        <v>412.0</v>
      </c>
      <c r="N41" s="186">
        <v>485.0</v>
      </c>
      <c r="O41" s="186"/>
      <c r="P41" s="186"/>
      <c r="Q41" s="186"/>
      <c r="R41" s="186"/>
      <c r="S41" s="186"/>
      <c r="T41" s="186"/>
      <c r="U41" s="186"/>
      <c r="V41" s="186"/>
      <c r="W41" s="186"/>
      <c r="X41" s="186"/>
      <c r="Y41" s="186"/>
    </row>
    <row r="42">
      <c r="A42" s="178"/>
      <c r="B42" s="36"/>
      <c r="C42" s="37"/>
      <c r="D42" s="179" t="s">
        <v>507</v>
      </c>
      <c r="E42" s="180">
        <v>46022.0</v>
      </c>
      <c r="F42" s="181">
        <v>607.75</v>
      </c>
      <c r="G42" s="182">
        <v>677641.25</v>
      </c>
      <c r="H42" s="183">
        <v>1115.0</v>
      </c>
      <c r="I42" s="184">
        <v>557.0</v>
      </c>
      <c r="J42" s="184">
        <v>371.0</v>
      </c>
      <c r="K42" s="184">
        <v>446.0</v>
      </c>
      <c r="L42" s="182">
        <v>223.0</v>
      </c>
      <c r="M42" s="185">
        <v>552.0</v>
      </c>
      <c r="N42" s="186">
        <v>563.0</v>
      </c>
      <c r="O42" s="186"/>
      <c r="P42" s="186"/>
      <c r="Q42" s="186"/>
      <c r="R42" s="186"/>
      <c r="S42" s="186"/>
      <c r="T42" s="186"/>
      <c r="U42" s="186"/>
      <c r="V42" s="186"/>
      <c r="W42" s="186"/>
      <c r="X42" s="186"/>
      <c r="Y42" s="186"/>
    </row>
    <row r="43">
      <c r="A43" s="178"/>
      <c r="B43" s="36"/>
      <c r="C43" s="37"/>
      <c r="D43" s="179" t="s">
        <v>509</v>
      </c>
      <c r="E43" s="180">
        <v>46021.0</v>
      </c>
      <c r="F43" s="181">
        <v>325.974635979333</v>
      </c>
      <c r="G43" s="182">
        <v>828627.5246594645</v>
      </c>
      <c r="H43" s="183">
        <v>2542.0</v>
      </c>
      <c r="I43" s="184">
        <v>1271.0</v>
      </c>
      <c r="J43" s="184">
        <v>847.0</v>
      </c>
      <c r="K43" s="184">
        <v>1016.0</v>
      </c>
      <c r="L43" s="182">
        <v>508.0</v>
      </c>
      <c r="M43" s="185">
        <v>344.0</v>
      </c>
      <c r="N43" s="186">
        <v>2198.0</v>
      </c>
      <c r="O43" s="186"/>
      <c r="P43" s="186"/>
      <c r="Q43" s="186"/>
      <c r="R43" s="186"/>
      <c r="S43" s="186"/>
      <c r="T43" s="186"/>
      <c r="U43" s="186"/>
      <c r="V43" s="186"/>
      <c r="W43" s="186"/>
      <c r="X43" s="186"/>
      <c r="Y43" s="186"/>
    </row>
    <row r="44">
      <c r="A44" s="178"/>
      <c r="B44" s="36"/>
      <c r="C44" s="37"/>
      <c r="D44" s="179" t="s">
        <v>516</v>
      </c>
      <c r="E44" s="180">
        <v>46001.0</v>
      </c>
      <c r="F44" s="181">
        <v>165.045</v>
      </c>
      <c r="G44" s="182">
        <v>1201527.5999999999</v>
      </c>
      <c r="H44" s="183">
        <v>7280.0</v>
      </c>
      <c r="I44" s="184">
        <v>3640.0</v>
      </c>
      <c r="J44" s="184">
        <v>2426.0</v>
      </c>
      <c r="K44" s="184">
        <v>2912.0</v>
      </c>
      <c r="L44" s="182">
        <v>1456.0</v>
      </c>
      <c r="M44" s="185">
        <v>5600.0</v>
      </c>
      <c r="N44" s="186">
        <v>1680.0</v>
      </c>
      <c r="O44" s="186"/>
      <c r="P44" s="186"/>
      <c r="Q44" s="186"/>
      <c r="R44" s="186"/>
      <c r="S44" s="186"/>
      <c r="T44" s="186"/>
      <c r="U44" s="186"/>
      <c r="V44" s="186"/>
      <c r="W44" s="186"/>
      <c r="X44" s="186"/>
      <c r="Y44" s="186"/>
    </row>
    <row r="45">
      <c r="A45" s="178"/>
      <c r="B45" s="36"/>
      <c r="C45" s="37"/>
      <c r="D45" s="179" t="s">
        <v>535</v>
      </c>
      <c r="E45" s="180">
        <v>46002.0</v>
      </c>
      <c r="F45" s="181">
        <v>165.05558035714284</v>
      </c>
      <c r="G45" s="182">
        <v>1188400.1785714284</v>
      </c>
      <c r="H45" s="183">
        <v>7200.0</v>
      </c>
      <c r="I45" s="184">
        <v>3600.0</v>
      </c>
      <c r="J45" s="184">
        <v>2400.0</v>
      </c>
      <c r="K45" s="184">
        <v>2880.0</v>
      </c>
      <c r="L45" s="182">
        <v>1440.0</v>
      </c>
      <c r="M45" s="185">
        <v>3120.0</v>
      </c>
      <c r="N45" s="186">
        <v>4080.0</v>
      </c>
      <c r="O45" s="186"/>
      <c r="P45" s="186"/>
      <c r="Q45" s="186"/>
      <c r="R45" s="186"/>
      <c r="S45" s="186"/>
      <c r="T45" s="186"/>
      <c r="U45" s="186"/>
      <c r="V45" s="186"/>
      <c r="W45" s="186"/>
      <c r="X45" s="186"/>
      <c r="Y45" s="186"/>
    </row>
    <row r="46">
      <c r="A46" s="178"/>
      <c r="B46" s="36"/>
      <c r="C46" s="37"/>
      <c r="D46" s="179" t="s">
        <v>544</v>
      </c>
      <c r="E46" s="180">
        <v>46017.0</v>
      </c>
      <c r="F46" s="181">
        <v>165.0465</v>
      </c>
      <c r="G46" s="182">
        <v>1366585.02</v>
      </c>
      <c r="H46" s="183">
        <v>8280.0</v>
      </c>
      <c r="I46" s="184">
        <v>4140.0</v>
      </c>
      <c r="J46" s="184">
        <v>2760.0</v>
      </c>
      <c r="K46" s="184">
        <v>3312.0</v>
      </c>
      <c r="L46" s="182">
        <v>1656.0</v>
      </c>
      <c r="M46" s="185">
        <v>5240.0</v>
      </c>
      <c r="N46" s="186">
        <v>3040.0</v>
      </c>
      <c r="O46" s="186"/>
      <c r="P46" s="186"/>
      <c r="Q46" s="186"/>
      <c r="R46" s="186"/>
      <c r="S46" s="186"/>
      <c r="T46" s="186"/>
      <c r="U46" s="186"/>
      <c r="V46" s="186"/>
      <c r="W46" s="186"/>
      <c r="X46" s="186"/>
      <c r="Y46" s="186"/>
    </row>
    <row r="47">
      <c r="A47" s="178"/>
      <c r="B47" s="36"/>
      <c r="C47" s="37"/>
      <c r="D47" s="179" t="s">
        <v>555</v>
      </c>
      <c r="E47" s="180">
        <v>46010.0</v>
      </c>
      <c r="F47" s="181">
        <v>179.24125000000004</v>
      </c>
      <c r="G47" s="182">
        <v>996581.3500000002</v>
      </c>
      <c r="H47" s="183">
        <v>5560.0</v>
      </c>
      <c r="I47" s="184">
        <v>2780.0</v>
      </c>
      <c r="J47" s="184">
        <v>1853.0</v>
      </c>
      <c r="K47" s="184">
        <v>2224.0</v>
      </c>
      <c r="L47" s="182">
        <v>1112.0</v>
      </c>
      <c r="M47" s="185">
        <v>2440.0</v>
      </c>
      <c r="N47" s="186">
        <v>3120.0</v>
      </c>
      <c r="O47" s="186"/>
      <c r="P47" s="186"/>
      <c r="Q47" s="186"/>
      <c r="R47" s="186"/>
      <c r="S47" s="186"/>
      <c r="T47" s="186"/>
      <c r="U47" s="186"/>
      <c r="V47" s="186"/>
      <c r="W47" s="186"/>
      <c r="X47" s="186"/>
      <c r="Y47" s="186"/>
    </row>
    <row r="48">
      <c r="A48" s="178"/>
      <c r="B48" s="36"/>
      <c r="C48" s="37"/>
      <c r="D48" s="179" t="s">
        <v>566</v>
      </c>
      <c r="E48" s="180">
        <v>46017.0</v>
      </c>
      <c r="F48" s="181">
        <v>165.0465</v>
      </c>
      <c r="G48" s="182">
        <v>845038.0800000001</v>
      </c>
      <c r="H48" s="183">
        <v>5120.0</v>
      </c>
      <c r="I48" s="184">
        <v>2560.0</v>
      </c>
      <c r="J48" s="184">
        <v>1706.0</v>
      </c>
      <c r="K48" s="184">
        <v>2048.0</v>
      </c>
      <c r="L48" s="182">
        <v>1024.0</v>
      </c>
      <c r="M48" s="185">
        <v>1560.0</v>
      </c>
      <c r="N48" s="186">
        <v>3560.0</v>
      </c>
      <c r="O48" s="186"/>
      <c r="P48" s="186"/>
      <c r="Q48" s="186"/>
      <c r="R48" s="186"/>
      <c r="S48" s="186"/>
      <c r="T48" s="186"/>
      <c r="U48" s="186"/>
      <c r="V48" s="186"/>
      <c r="W48" s="186"/>
      <c r="X48" s="186"/>
      <c r="Y48" s="186"/>
    </row>
    <row r="49">
      <c r="A49" s="178"/>
      <c r="B49" s="36"/>
      <c r="C49" s="37"/>
      <c r="D49" s="179" t="s">
        <v>576</v>
      </c>
      <c r="E49" s="180">
        <v>46010.0</v>
      </c>
      <c r="F49" s="181">
        <v>187.38486842105263</v>
      </c>
      <c r="G49" s="182">
        <v>989392.1052631579</v>
      </c>
      <c r="H49" s="183">
        <v>5280.0</v>
      </c>
      <c r="I49" s="184">
        <v>2640.0</v>
      </c>
      <c r="J49" s="184">
        <v>1760.0</v>
      </c>
      <c r="K49" s="184">
        <v>2112.0</v>
      </c>
      <c r="L49" s="182">
        <v>1056.0</v>
      </c>
      <c r="M49" s="185">
        <v>2600.0</v>
      </c>
      <c r="N49" s="186">
        <v>2680.0</v>
      </c>
      <c r="O49" s="186"/>
      <c r="P49" s="186"/>
      <c r="Q49" s="186"/>
      <c r="R49" s="186"/>
      <c r="S49" s="186"/>
      <c r="T49" s="186"/>
      <c r="U49" s="186"/>
      <c r="V49" s="186"/>
      <c r="W49" s="186"/>
      <c r="X49" s="186"/>
      <c r="Y49" s="186"/>
    </row>
    <row r="50">
      <c r="A50" s="178"/>
      <c r="B50" s="36"/>
      <c r="C50" s="37"/>
      <c r="D50" s="179" t="s">
        <v>582</v>
      </c>
      <c r="E50" s="180">
        <v>46011.0</v>
      </c>
      <c r="F50" s="181">
        <v>829.248</v>
      </c>
      <c r="G50" s="182">
        <v>386429.568</v>
      </c>
      <c r="H50" s="183">
        <v>466.0</v>
      </c>
      <c r="I50" s="184">
        <v>233.0</v>
      </c>
      <c r="J50" s="184">
        <v>155.0</v>
      </c>
      <c r="K50" s="184">
        <v>186.0</v>
      </c>
      <c r="L50" s="182">
        <v>93.0</v>
      </c>
      <c r="M50" s="185"/>
      <c r="N50" s="186">
        <v>466.0</v>
      </c>
      <c r="O50" s="186"/>
      <c r="P50" s="186"/>
      <c r="Q50" s="186"/>
      <c r="R50" s="186"/>
      <c r="S50" s="186"/>
      <c r="T50" s="186"/>
      <c r="U50" s="186"/>
      <c r="V50" s="186"/>
      <c r="W50" s="186"/>
      <c r="X50" s="186"/>
      <c r="Y50" s="186"/>
    </row>
    <row r="51">
      <c r="A51" s="178"/>
      <c r="B51" s="36"/>
      <c r="C51" s="37"/>
      <c r="D51" s="179" t="s">
        <v>589</v>
      </c>
      <c r="E51" s="180">
        <v>45994.0</v>
      </c>
      <c r="F51" s="181">
        <v>9482.477777777778</v>
      </c>
      <c r="G51" s="182">
        <v>1081002.4666666668</v>
      </c>
      <c r="H51" s="183">
        <v>114.0</v>
      </c>
      <c r="I51" s="184">
        <v>57.0</v>
      </c>
      <c r="J51" s="184">
        <v>38.0</v>
      </c>
      <c r="K51" s="184">
        <v>45.0</v>
      </c>
      <c r="L51" s="182">
        <v>22.0</v>
      </c>
      <c r="M51" s="185">
        <v>23.0</v>
      </c>
      <c r="N51" s="186">
        <v>91.0</v>
      </c>
      <c r="O51" s="186"/>
      <c r="P51" s="186"/>
      <c r="Q51" s="186"/>
      <c r="R51" s="186"/>
      <c r="S51" s="186"/>
      <c r="T51" s="186"/>
      <c r="U51" s="186"/>
      <c r="V51" s="186"/>
      <c r="W51" s="186"/>
      <c r="X51" s="186"/>
      <c r="Y51" s="186"/>
    </row>
    <row r="52">
      <c r="A52" s="178"/>
      <c r="B52" s="36"/>
      <c r="C52" s="37"/>
      <c r="D52" s="179" t="s">
        <v>596</v>
      </c>
      <c r="E52" s="180">
        <v>46019.0</v>
      </c>
      <c r="F52" s="181">
        <v>11443.12</v>
      </c>
      <c r="G52" s="182">
        <v>961222.0800000001</v>
      </c>
      <c r="H52" s="183">
        <v>84.0</v>
      </c>
      <c r="I52" s="184">
        <v>42.0</v>
      </c>
      <c r="J52" s="184">
        <v>28.0</v>
      </c>
      <c r="K52" s="184">
        <v>33.0</v>
      </c>
      <c r="L52" s="182">
        <v>16.0</v>
      </c>
      <c r="M52" s="185">
        <v>24.0</v>
      </c>
      <c r="N52" s="186">
        <v>60.0</v>
      </c>
      <c r="O52" s="186"/>
      <c r="P52" s="186"/>
      <c r="Q52" s="186"/>
      <c r="R52" s="186"/>
      <c r="S52" s="186"/>
      <c r="T52" s="186"/>
      <c r="U52" s="186"/>
      <c r="V52" s="186"/>
      <c r="W52" s="186"/>
      <c r="X52" s="186"/>
      <c r="Y52" s="186"/>
    </row>
    <row r="53">
      <c r="A53" s="178"/>
      <c r="B53" s="36"/>
      <c r="C53" s="37"/>
      <c r="D53" s="179" t="s">
        <v>599</v>
      </c>
      <c r="E53" s="180">
        <v>45995.0</v>
      </c>
      <c r="F53" s="181">
        <v>285.14018691588785</v>
      </c>
      <c r="G53" s="182">
        <v>145136.3551401869</v>
      </c>
      <c r="H53" s="183">
        <v>509.0</v>
      </c>
      <c r="I53" s="184">
        <v>254.0</v>
      </c>
      <c r="J53" s="184">
        <v>169.0</v>
      </c>
      <c r="K53" s="184">
        <v>203.0</v>
      </c>
      <c r="L53" s="182">
        <v>101.0</v>
      </c>
      <c r="M53" s="185">
        <v>109.0</v>
      </c>
      <c r="N53" s="186">
        <v>400.0</v>
      </c>
      <c r="O53" s="186"/>
      <c r="P53" s="186"/>
      <c r="Q53" s="186"/>
      <c r="R53" s="186"/>
      <c r="S53" s="186"/>
      <c r="T53" s="186"/>
      <c r="U53" s="186"/>
      <c r="V53" s="186"/>
      <c r="W53" s="186"/>
      <c r="X53" s="186"/>
      <c r="Y53" s="186"/>
    </row>
    <row r="54">
      <c r="A54" s="178"/>
      <c r="B54" s="36"/>
      <c r="C54" s="37"/>
      <c r="D54" s="179" t="s">
        <v>606</v>
      </c>
      <c r="E54" s="180">
        <v>45505.0</v>
      </c>
      <c r="F54" s="181">
        <v>36500.0</v>
      </c>
      <c r="G54" s="182">
        <v>182500.0</v>
      </c>
      <c r="H54" s="183">
        <v>5.0</v>
      </c>
      <c r="I54" s="184">
        <v>2.0</v>
      </c>
      <c r="J54" s="184">
        <v>1.0</v>
      </c>
      <c r="K54" s="184">
        <v>2.0</v>
      </c>
      <c r="L54" s="182">
        <v>1.0</v>
      </c>
      <c r="M54" s="185">
        <v>5.0</v>
      </c>
      <c r="N54" s="186"/>
      <c r="O54" s="186"/>
      <c r="P54" s="186"/>
      <c r="Q54" s="186"/>
      <c r="R54" s="186"/>
      <c r="S54" s="186"/>
      <c r="T54" s="186"/>
      <c r="U54" s="186"/>
      <c r="V54" s="186"/>
      <c r="W54" s="186"/>
      <c r="X54" s="186"/>
      <c r="Y54" s="186"/>
    </row>
    <row r="55">
      <c r="A55" s="178"/>
      <c r="B55" s="36"/>
      <c r="C55" s="37"/>
      <c r="D55" s="179" t="s">
        <v>607</v>
      </c>
      <c r="E55" s="180">
        <v>45970.0</v>
      </c>
      <c r="F55" s="181">
        <v>35799.380000000005</v>
      </c>
      <c r="G55" s="182">
        <v>3257743.5800000005</v>
      </c>
      <c r="H55" s="183">
        <v>91.0</v>
      </c>
      <c r="I55" s="184">
        <v>45.0</v>
      </c>
      <c r="J55" s="184">
        <v>30.0</v>
      </c>
      <c r="K55" s="184">
        <v>36.0</v>
      </c>
      <c r="L55" s="182">
        <v>18.0</v>
      </c>
      <c r="M55" s="185">
        <v>62.0</v>
      </c>
      <c r="N55" s="186">
        <v>29.0</v>
      </c>
      <c r="O55" s="186"/>
      <c r="P55" s="186"/>
      <c r="Q55" s="186"/>
      <c r="R55" s="186"/>
      <c r="S55" s="186"/>
      <c r="T55" s="186"/>
      <c r="U55" s="186"/>
      <c r="V55" s="186"/>
      <c r="W55" s="186"/>
      <c r="X55" s="186"/>
      <c r="Y55" s="186"/>
    </row>
    <row r="56">
      <c r="A56" s="178"/>
      <c r="B56" s="36"/>
      <c r="C56" s="37"/>
      <c r="D56" s="179" t="s">
        <v>614</v>
      </c>
      <c r="E56" s="180">
        <v>46022.0</v>
      </c>
      <c r="F56" s="181">
        <v>58.82</v>
      </c>
      <c r="G56" s="182">
        <v>314510.54</v>
      </c>
      <c r="H56" s="183">
        <v>5347.0</v>
      </c>
      <c r="I56" s="184">
        <v>2673.0</v>
      </c>
      <c r="J56" s="184">
        <v>1782.0</v>
      </c>
      <c r="K56" s="184">
        <v>2138.0</v>
      </c>
      <c r="L56" s="182">
        <v>1069.0</v>
      </c>
      <c r="M56" s="185">
        <v>2690.0</v>
      </c>
      <c r="N56" s="186">
        <v>2657.0</v>
      </c>
      <c r="O56" s="186"/>
      <c r="P56" s="186"/>
      <c r="Q56" s="186"/>
      <c r="R56" s="186"/>
      <c r="S56" s="186"/>
      <c r="T56" s="186"/>
      <c r="U56" s="186"/>
      <c r="V56" s="186"/>
      <c r="W56" s="186"/>
      <c r="X56" s="186"/>
      <c r="Y56" s="186"/>
    </row>
    <row r="57">
      <c r="A57" s="178"/>
      <c r="B57" s="36"/>
      <c r="C57" s="37"/>
      <c r="D57" s="179" t="s">
        <v>618</v>
      </c>
      <c r="E57" s="180">
        <v>46020.0</v>
      </c>
      <c r="F57" s="181">
        <v>64.35</v>
      </c>
      <c r="G57" s="182">
        <v>65379.59999999999</v>
      </c>
      <c r="H57" s="183">
        <v>1016.0</v>
      </c>
      <c r="I57" s="184">
        <v>508.0</v>
      </c>
      <c r="J57" s="184">
        <v>338.0</v>
      </c>
      <c r="K57" s="184">
        <v>406.0</v>
      </c>
      <c r="L57" s="182">
        <v>203.0</v>
      </c>
      <c r="M57" s="185">
        <v>964.0</v>
      </c>
      <c r="N57" s="186">
        <v>52.0</v>
      </c>
      <c r="O57" s="186"/>
      <c r="P57" s="186"/>
      <c r="Q57" s="186"/>
      <c r="R57" s="186"/>
      <c r="S57" s="186"/>
      <c r="T57" s="186"/>
      <c r="U57" s="186"/>
      <c r="V57" s="186"/>
      <c r="W57" s="186"/>
      <c r="X57" s="186"/>
      <c r="Y57" s="186"/>
    </row>
    <row r="58">
      <c r="A58" s="178"/>
      <c r="B58" s="36"/>
      <c r="C58" s="37"/>
      <c r="D58" s="179" t="s">
        <v>622</v>
      </c>
      <c r="E58" s="180">
        <v>46021.0</v>
      </c>
      <c r="F58" s="181">
        <v>52.64</v>
      </c>
      <c r="G58" s="182">
        <v>298942.56</v>
      </c>
      <c r="H58" s="183">
        <v>5679.0</v>
      </c>
      <c r="I58" s="184">
        <v>2839.0</v>
      </c>
      <c r="J58" s="184">
        <v>1893.0</v>
      </c>
      <c r="K58" s="184">
        <v>2271.0</v>
      </c>
      <c r="L58" s="182">
        <v>1135.0</v>
      </c>
      <c r="M58" s="185">
        <v>983.0</v>
      </c>
      <c r="N58" s="186">
        <v>4696.0</v>
      </c>
      <c r="O58" s="186"/>
      <c r="P58" s="186"/>
      <c r="Q58" s="186"/>
      <c r="R58" s="186"/>
      <c r="S58" s="186"/>
      <c r="T58" s="186"/>
      <c r="U58" s="186"/>
      <c r="V58" s="186"/>
      <c r="W58" s="186"/>
      <c r="X58" s="186"/>
      <c r="Y58" s="186"/>
    </row>
    <row r="59">
      <c r="A59" s="178"/>
      <c r="B59" s="36"/>
      <c r="C59" s="37"/>
      <c r="D59" s="179" t="s">
        <v>624</v>
      </c>
      <c r="E59" s="180">
        <v>46022.0</v>
      </c>
      <c r="F59" s="181">
        <v>76.62500000000001</v>
      </c>
      <c r="G59" s="182">
        <v>221293.00000000003</v>
      </c>
      <c r="H59" s="183">
        <v>2888.0</v>
      </c>
      <c r="I59" s="184">
        <v>1444.0</v>
      </c>
      <c r="J59" s="184">
        <v>962.0</v>
      </c>
      <c r="K59" s="184">
        <v>1155.0</v>
      </c>
      <c r="L59" s="182">
        <v>577.0</v>
      </c>
      <c r="M59" s="185">
        <v>2525.0</v>
      </c>
      <c r="N59" s="186">
        <v>363.0</v>
      </c>
      <c r="O59" s="186"/>
      <c r="P59" s="186"/>
      <c r="Q59" s="186"/>
      <c r="R59" s="186"/>
      <c r="S59" s="186"/>
      <c r="T59" s="186"/>
      <c r="U59" s="186"/>
      <c r="V59" s="186"/>
      <c r="W59" s="186"/>
      <c r="X59" s="186"/>
      <c r="Y59" s="186"/>
    </row>
    <row r="60">
      <c r="A60" s="178"/>
      <c r="B60" s="36"/>
      <c r="C60" s="37"/>
      <c r="D60" s="179" t="s">
        <v>626</v>
      </c>
      <c r="E60" s="180">
        <v>46021.0</v>
      </c>
      <c r="F60" s="181">
        <v>66.66666666666667</v>
      </c>
      <c r="G60" s="182">
        <v>53733.333333333336</v>
      </c>
      <c r="H60" s="183">
        <v>806.0</v>
      </c>
      <c r="I60" s="184">
        <v>403.0</v>
      </c>
      <c r="J60" s="184">
        <v>268.0</v>
      </c>
      <c r="K60" s="184">
        <v>322.0</v>
      </c>
      <c r="L60" s="182">
        <v>161.0</v>
      </c>
      <c r="M60" s="185">
        <v>490.0</v>
      </c>
      <c r="N60" s="186">
        <v>316.0</v>
      </c>
      <c r="O60" s="186"/>
      <c r="P60" s="186"/>
      <c r="Q60" s="186"/>
      <c r="R60" s="186"/>
      <c r="S60" s="186"/>
      <c r="T60" s="186"/>
      <c r="U60" s="186"/>
      <c r="V60" s="186"/>
      <c r="W60" s="186"/>
      <c r="X60" s="186"/>
      <c r="Y60" s="186"/>
    </row>
    <row r="61">
      <c r="A61" s="178"/>
      <c r="B61" s="36"/>
      <c r="C61" s="37"/>
      <c r="D61" s="179" t="s">
        <v>646</v>
      </c>
      <c r="E61" s="180">
        <v>46000.0</v>
      </c>
      <c r="F61" s="181">
        <v>23261.028571428567</v>
      </c>
      <c r="G61" s="182">
        <v>7210918.857142856</v>
      </c>
      <c r="H61" s="183">
        <v>310.0</v>
      </c>
      <c r="I61" s="184">
        <v>155.0</v>
      </c>
      <c r="J61" s="184">
        <v>103.0</v>
      </c>
      <c r="K61" s="184">
        <v>124.0</v>
      </c>
      <c r="L61" s="182">
        <v>62.0</v>
      </c>
      <c r="M61" s="185">
        <v>119.0</v>
      </c>
      <c r="N61" s="186">
        <v>191.0</v>
      </c>
      <c r="O61" s="186"/>
      <c r="P61" s="186"/>
      <c r="Q61" s="186"/>
      <c r="R61" s="186"/>
      <c r="S61" s="186"/>
      <c r="T61" s="186"/>
      <c r="U61" s="186"/>
      <c r="V61" s="186"/>
      <c r="W61" s="186"/>
      <c r="X61" s="186"/>
      <c r="Y61" s="186"/>
    </row>
    <row r="62">
      <c r="A62" s="178"/>
      <c r="B62" s="36"/>
      <c r="C62" s="37"/>
      <c r="D62" s="179" t="s">
        <v>650</v>
      </c>
      <c r="E62" s="180">
        <v>46008.0</v>
      </c>
      <c r="F62" s="181">
        <v>106.37111111111112</v>
      </c>
      <c r="G62" s="182">
        <v>1076369.2733333334</v>
      </c>
      <c r="H62" s="183">
        <v>10119.0</v>
      </c>
      <c r="I62" s="184">
        <v>5059.0</v>
      </c>
      <c r="J62" s="184">
        <v>3373.0</v>
      </c>
      <c r="K62" s="184">
        <v>4047.0</v>
      </c>
      <c r="L62" s="182">
        <v>2023.0</v>
      </c>
      <c r="M62" s="185">
        <v>1825.0</v>
      </c>
      <c r="N62" s="186">
        <v>8294.0</v>
      </c>
      <c r="O62" s="186"/>
      <c r="P62" s="186"/>
      <c r="Q62" s="186"/>
      <c r="R62" s="186"/>
      <c r="S62" s="186"/>
      <c r="T62" s="186"/>
      <c r="U62" s="186"/>
      <c r="V62" s="186"/>
      <c r="W62" s="186"/>
      <c r="X62" s="186"/>
      <c r="Y62" s="186"/>
    </row>
    <row r="63">
      <c r="A63" s="178"/>
      <c r="B63" s="36"/>
      <c r="C63" s="37"/>
      <c r="D63" s="179" t="s">
        <v>660</v>
      </c>
      <c r="E63" s="180">
        <v>45858.0</v>
      </c>
      <c r="F63" s="181">
        <v>106.3409090909091</v>
      </c>
      <c r="G63" s="182">
        <v>240330.45454545456</v>
      </c>
      <c r="H63" s="183">
        <v>2260.0</v>
      </c>
      <c r="I63" s="184">
        <v>1130.0</v>
      </c>
      <c r="J63" s="184">
        <v>753.0</v>
      </c>
      <c r="K63" s="184">
        <v>904.0</v>
      </c>
      <c r="L63" s="182">
        <v>452.0</v>
      </c>
      <c r="M63" s="185">
        <v>1070.0</v>
      </c>
      <c r="N63" s="186">
        <v>1190.0</v>
      </c>
      <c r="O63" s="186"/>
      <c r="P63" s="186"/>
      <c r="Q63" s="186"/>
      <c r="R63" s="186"/>
      <c r="S63" s="186"/>
      <c r="T63" s="186"/>
      <c r="U63" s="186"/>
      <c r="V63" s="186"/>
      <c r="W63" s="186"/>
      <c r="X63" s="186"/>
      <c r="Y63" s="186"/>
    </row>
    <row r="64">
      <c r="A64" s="178"/>
      <c r="B64" s="36"/>
      <c r="C64" s="37"/>
      <c r="D64" s="179" t="s">
        <v>665</v>
      </c>
      <c r="E64" s="180"/>
      <c r="F64" s="181">
        <v>106.43166666666666</v>
      </c>
      <c r="G64" s="182">
        <v>127717.99999999999</v>
      </c>
      <c r="H64" s="183">
        <v>1200.0</v>
      </c>
      <c r="I64" s="184">
        <v>600.0</v>
      </c>
      <c r="J64" s="184">
        <v>400.0</v>
      </c>
      <c r="K64" s="184">
        <v>480.0</v>
      </c>
      <c r="L64" s="182">
        <v>240.0</v>
      </c>
      <c r="M64" s="185">
        <v>200.0</v>
      </c>
      <c r="N64" s="186">
        <v>1000.0</v>
      </c>
      <c r="O64" s="186"/>
      <c r="P64" s="186"/>
      <c r="Q64" s="186"/>
      <c r="R64" s="186"/>
      <c r="S64" s="186"/>
      <c r="T64" s="186"/>
      <c r="U64" s="186"/>
      <c r="V64" s="186"/>
      <c r="W64" s="186"/>
      <c r="X64" s="186"/>
      <c r="Y64" s="186"/>
    </row>
    <row r="65">
      <c r="A65" s="178"/>
      <c r="B65" s="36"/>
      <c r="C65" s="37"/>
      <c r="D65" s="179" t="s">
        <v>666</v>
      </c>
      <c r="E65" s="180">
        <v>45846.0</v>
      </c>
      <c r="F65" s="181">
        <v>106.44013490725126</v>
      </c>
      <c r="G65" s="182">
        <v>236616.41989881956</v>
      </c>
      <c r="H65" s="183">
        <v>2223.0</v>
      </c>
      <c r="I65" s="184">
        <v>1111.0</v>
      </c>
      <c r="J65" s="184">
        <v>741.0</v>
      </c>
      <c r="K65" s="184">
        <v>889.0</v>
      </c>
      <c r="L65" s="182">
        <v>444.0</v>
      </c>
      <c r="M65" s="185">
        <v>1490.0</v>
      </c>
      <c r="N65" s="186">
        <v>733.0</v>
      </c>
      <c r="O65" s="186"/>
      <c r="P65" s="186"/>
      <c r="Q65" s="186"/>
      <c r="R65" s="186"/>
      <c r="S65" s="186"/>
      <c r="T65" s="186"/>
      <c r="U65" s="186"/>
      <c r="V65" s="186"/>
      <c r="W65" s="186"/>
      <c r="X65" s="186"/>
      <c r="Y65" s="186"/>
    </row>
    <row r="66">
      <c r="A66" s="178"/>
      <c r="B66" s="36"/>
      <c r="C66" s="37"/>
      <c r="D66" s="179" t="s">
        <v>669</v>
      </c>
      <c r="E66" s="180">
        <v>46013.0</v>
      </c>
      <c r="F66" s="181">
        <v>106.3409090909091</v>
      </c>
      <c r="G66" s="182">
        <v>387612.61363636365</v>
      </c>
      <c r="H66" s="183">
        <v>3645.0</v>
      </c>
      <c r="I66" s="184">
        <v>1822.0</v>
      </c>
      <c r="J66" s="184">
        <v>1215.0</v>
      </c>
      <c r="K66" s="184">
        <v>1458.0</v>
      </c>
      <c r="L66" s="182">
        <v>729.0</v>
      </c>
      <c r="M66" s="185">
        <v>1804.0</v>
      </c>
      <c r="N66" s="186">
        <v>1841.0</v>
      </c>
      <c r="O66" s="186"/>
      <c r="P66" s="186"/>
      <c r="Q66" s="186"/>
      <c r="R66" s="186"/>
      <c r="S66" s="186"/>
      <c r="T66" s="186"/>
      <c r="U66" s="186"/>
      <c r="V66" s="186"/>
      <c r="W66" s="186"/>
      <c r="X66" s="186"/>
      <c r="Y66" s="186"/>
    </row>
    <row r="67">
      <c r="A67" s="178"/>
      <c r="B67" s="36"/>
      <c r="C67" s="37"/>
      <c r="D67" s="179" t="s">
        <v>679</v>
      </c>
      <c r="E67" s="180">
        <v>45735.0</v>
      </c>
      <c r="F67" s="181">
        <v>110.3035</v>
      </c>
      <c r="G67" s="182">
        <v>135673.305</v>
      </c>
      <c r="H67" s="183">
        <v>1230.0</v>
      </c>
      <c r="I67" s="184">
        <v>615.0</v>
      </c>
      <c r="J67" s="184">
        <v>410.0</v>
      </c>
      <c r="K67" s="184">
        <v>492.0</v>
      </c>
      <c r="L67" s="182">
        <v>246.0</v>
      </c>
      <c r="M67" s="185">
        <v>1080.0</v>
      </c>
      <c r="N67" s="186">
        <v>150.0</v>
      </c>
      <c r="O67" s="186"/>
      <c r="P67" s="186"/>
      <c r="Q67" s="186"/>
      <c r="R67" s="186"/>
      <c r="S67" s="186"/>
      <c r="T67" s="186"/>
      <c r="U67" s="186"/>
      <c r="V67" s="186"/>
      <c r="W67" s="186"/>
      <c r="X67" s="186"/>
      <c r="Y67" s="186"/>
    </row>
    <row r="68">
      <c r="A68" s="178"/>
      <c r="B68" s="36"/>
      <c r="C68" s="37"/>
      <c r="D68" s="179" t="s">
        <v>680</v>
      </c>
      <c r="E68" s="180"/>
      <c r="F68" s="181">
        <v>106.3409090909091</v>
      </c>
      <c r="G68" s="182">
        <v>106340.90909090909</v>
      </c>
      <c r="H68" s="183">
        <v>1000.0</v>
      </c>
      <c r="I68" s="184">
        <v>500.0</v>
      </c>
      <c r="J68" s="184">
        <v>333.0</v>
      </c>
      <c r="K68" s="184">
        <v>400.0</v>
      </c>
      <c r="L68" s="182">
        <v>200.0</v>
      </c>
      <c r="M68" s="185"/>
      <c r="N68" s="186">
        <v>1000.0</v>
      </c>
      <c r="O68" s="186"/>
      <c r="P68" s="186"/>
      <c r="Q68" s="186"/>
      <c r="R68" s="186"/>
      <c r="S68" s="186"/>
      <c r="T68" s="186"/>
      <c r="U68" s="186"/>
      <c r="V68" s="186"/>
      <c r="W68" s="186"/>
      <c r="X68" s="186"/>
      <c r="Y68" s="186"/>
    </row>
    <row r="69">
      <c r="A69" s="178"/>
      <c r="B69" s="36"/>
      <c r="C69" s="37"/>
      <c r="D69" s="179" t="s">
        <v>682</v>
      </c>
      <c r="E69" s="180">
        <v>46020.0</v>
      </c>
      <c r="F69" s="181">
        <v>969.334</v>
      </c>
      <c r="G69" s="182">
        <v>451709.644</v>
      </c>
      <c r="H69" s="183">
        <v>466.0</v>
      </c>
      <c r="I69" s="184">
        <v>233.0</v>
      </c>
      <c r="J69" s="184">
        <v>155.0</v>
      </c>
      <c r="K69" s="184">
        <v>186.0</v>
      </c>
      <c r="L69" s="182">
        <v>93.0</v>
      </c>
      <c r="M69" s="185">
        <v>75.0</v>
      </c>
      <c r="N69" s="186">
        <v>391.0</v>
      </c>
      <c r="O69" s="186"/>
      <c r="P69" s="186"/>
      <c r="Q69" s="186"/>
      <c r="R69" s="186"/>
      <c r="S69" s="186"/>
      <c r="T69" s="186"/>
      <c r="U69" s="186"/>
      <c r="V69" s="186"/>
      <c r="W69" s="186"/>
      <c r="X69" s="186"/>
      <c r="Y69" s="186"/>
    </row>
    <row r="70">
      <c r="A70" s="178"/>
      <c r="B70" s="36"/>
      <c r="C70" s="37"/>
      <c r="D70" s="179" t="s">
        <v>693</v>
      </c>
      <c r="E70" s="180">
        <v>45953.0</v>
      </c>
      <c r="F70" s="181">
        <v>726.0933333333334</v>
      </c>
      <c r="G70" s="182">
        <v>12343.586666666668</v>
      </c>
      <c r="H70" s="183">
        <v>17.0</v>
      </c>
      <c r="I70" s="184">
        <v>8.0</v>
      </c>
      <c r="J70" s="184">
        <v>5.0</v>
      </c>
      <c r="K70" s="184">
        <v>6.0</v>
      </c>
      <c r="L70" s="182">
        <v>3.0</v>
      </c>
      <c r="M70" s="185">
        <v>17.0</v>
      </c>
      <c r="N70" s="186"/>
      <c r="O70" s="186"/>
      <c r="P70" s="186"/>
      <c r="Q70" s="186"/>
      <c r="R70" s="186"/>
      <c r="S70" s="186"/>
      <c r="T70" s="186"/>
      <c r="U70" s="186"/>
      <c r="V70" s="186"/>
      <c r="W70" s="186"/>
      <c r="X70" s="186"/>
      <c r="Y70" s="186"/>
    </row>
    <row r="71">
      <c r="A71" s="178"/>
      <c r="B71" s="36"/>
      <c r="C71" s="37"/>
      <c r="D71" s="179" t="s">
        <v>695</v>
      </c>
      <c r="E71" s="180">
        <v>46010.0</v>
      </c>
      <c r="F71" s="181">
        <v>315.0</v>
      </c>
      <c r="G71" s="182">
        <v>460845.0</v>
      </c>
      <c r="H71" s="183">
        <v>1463.0</v>
      </c>
      <c r="I71" s="184">
        <v>731.0</v>
      </c>
      <c r="J71" s="184">
        <v>487.0</v>
      </c>
      <c r="K71" s="184">
        <v>585.0</v>
      </c>
      <c r="L71" s="182">
        <v>292.0</v>
      </c>
      <c r="M71" s="185">
        <v>794.0</v>
      </c>
      <c r="N71" s="186">
        <v>669.0</v>
      </c>
      <c r="O71" s="186"/>
      <c r="P71" s="186"/>
      <c r="Q71" s="186"/>
      <c r="R71" s="186"/>
      <c r="S71" s="186"/>
      <c r="T71" s="186"/>
      <c r="U71" s="186"/>
      <c r="V71" s="186"/>
      <c r="W71" s="186"/>
      <c r="X71" s="186"/>
      <c r="Y71" s="186"/>
    </row>
    <row r="72">
      <c r="A72" s="178"/>
      <c r="B72" s="36"/>
      <c r="C72" s="37"/>
      <c r="D72" s="179" t="s">
        <v>698</v>
      </c>
      <c r="E72" s="180">
        <v>45947.0</v>
      </c>
      <c r="F72" s="181">
        <v>106.3409090909091</v>
      </c>
      <c r="G72" s="182">
        <v>126013.97727272728</v>
      </c>
      <c r="H72" s="183">
        <v>1185.0</v>
      </c>
      <c r="I72" s="184">
        <v>592.0</v>
      </c>
      <c r="J72" s="184">
        <v>395.0</v>
      </c>
      <c r="K72" s="184">
        <v>474.0</v>
      </c>
      <c r="L72" s="182">
        <v>237.0</v>
      </c>
      <c r="M72" s="185">
        <v>90.0</v>
      </c>
      <c r="N72" s="186">
        <v>1095.0</v>
      </c>
      <c r="O72" s="186"/>
      <c r="P72" s="186"/>
      <c r="Q72" s="186"/>
      <c r="R72" s="186"/>
      <c r="S72" s="186"/>
      <c r="T72" s="186"/>
      <c r="U72" s="186"/>
      <c r="V72" s="186"/>
      <c r="W72" s="186"/>
      <c r="X72" s="186"/>
      <c r="Y72" s="186"/>
    </row>
    <row r="73">
      <c r="A73" s="178"/>
      <c r="B73" s="36"/>
      <c r="C73" s="37"/>
      <c r="D73" s="179" t="s">
        <v>699</v>
      </c>
      <c r="E73" s="180"/>
      <c r="F73" s="181">
        <v>106.28633333333333</v>
      </c>
      <c r="G73" s="182">
        <v>175372.44999999998</v>
      </c>
      <c r="H73" s="183">
        <v>1650.0</v>
      </c>
      <c r="I73" s="184">
        <v>825.0</v>
      </c>
      <c r="J73" s="184">
        <v>550.0</v>
      </c>
      <c r="K73" s="184">
        <v>660.0</v>
      </c>
      <c r="L73" s="182">
        <v>330.0</v>
      </c>
      <c r="M73" s="185">
        <v>1000.0</v>
      </c>
      <c r="N73" s="186">
        <v>650.0</v>
      </c>
      <c r="O73" s="186"/>
      <c r="P73" s="186"/>
      <c r="Q73" s="186"/>
      <c r="R73" s="186"/>
      <c r="S73" s="186"/>
      <c r="T73" s="186"/>
      <c r="U73" s="186"/>
      <c r="V73" s="186"/>
      <c r="W73" s="186"/>
      <c r="X73" s="186"/>
      <c r="Y73" s="186"/>
    </row>
    <row r="74">
      <c r="A74" s="178"/>
      <c r="B74" s="36"/>
      <c r="C74" s="37"/>
      <c r="D74" s="179" t="s">
        <v>700</v>
      </c>
      <c r="E74" s="180"/>
      <c r="F74" s="181">
        <v>106.28633333333333</v>
      </c>
      <c r="G74" s="182">
        <v>212572.66666666666</v>
      </c>
      <c r="H74" s="183">
        <v>2000.0</v>
      </c>
      <c r="I74" s="184">
        <v>1000.0</v>
      </c>
      <c r="J74" s="184">
        <v>666.0</v>
      </c>
      <c r="K74" s="184">
        <v>800.0</v>
      </c>
      <c r="L74" s="182">
        <v>400.0</v>
      </c>
      <c r="M74" s="185">
        <v>1000.0</v>
      </c>
      <c r="N74" s="186">
        <v>1000.0</v>
      </c>
      <c r="O74" s="186"/>
      <c r="P74" s="186"/>
      <c r="Q74" s="186"/>
      <c r="R74" s="186"/>
      <c r="S74" s="186"/>
      <c r="T74" s="186"/>
      <c r="U74" s="186"/>
      <c r="V74" s="186"/>
      <c r="W74" s="186"/>
      <c r="X74" s="186"/>
      <c r="Y74" s="186"/>
    </row>
    <row r="75">
      <c r="A75" s="178"/>
      <c r="B75" s="36"/>
      <c r="C75" s="37"/>
      <c r="D75" s="179" t="s">
        <v>701</v>
      </c>
      <c r="E75" s="180">
        <v>45830.0</v>
      </c>
      <c r="F75" s="181">
        <v>106.3409090909091</v>
      </c>
      <c r="G75" s="182">
        <v>219913.0</v>
      </c>
      <c r="H75" s="183">
        <v>2068.0</v>
      </c>
      <c r="I75" s="184">
        <v>1034.0</v>
      </c>
      <c r="J75" s="184">
        <v>689.0</v>
      </c>
      <c r="K75" s="184">
        <v>827.0</v>
      </c>
      <c r="L75" s="182">
        <v>413.0</v>
      </c>
      <c r="M75" s="185">
        <v>1000.0</v>
      </c>
      <c r="N75" s="186">
        <v>1068.0</v>
      </c>
      <c r="O75" s="186"/>
      <c r="P75" s="186"/>
      <c r="Q75" s="186"/>
      <c r="R75" s="186"/>
      <c r="S75" s="186"/>
      <c r="T75" s="186"/>
      <c r="U75" s="186"/>
      <c r="V75" s="186"/>
      <c r="W75" s="186"/>
      <c r="X75" s="186"/>
      <c r="Y75" s="186"/>
    </row>
    <row r="76">
      <c r="A76" s="178"/>
      <c r="B76" s="36"/>
      <c r="C76" s="37"/>
      <c r="D76" s="179" t="s">
        <v>702</v>
      </c>
      <c r="E76" s="180">
        <v>46013.0</v>
      </c>
      <c r="F76" s="181">
        <v>106.32266666666668</v>
      </c>
      <c r="G76" s="182">
        <v>157357.5466666667</v>
      </c>
      <c r="H76" s="183">
        <v>1480.0</v>
      </c>
      <c r="I76" s="184">
        <v>740.0</v>
      </c>
      <c r="J76" s="184">
        <v>493.0</v>
      </c>
      <c r="K76" s="184">
        <v>592.0</v>
      </c>
      <c r="L76" s="182">
        <v>296.0</v>
      </c>
      <c r="M76" s="185">
        <v>480.0</v>
      </c>
      <c r="N76" s="186">
        <v>1000.0</v>
      </c>
      <c r="O76" s="186"/>
      <c r="P76" s="186"/>
      <c r="Q76" s="186"/>
      <c r="R76" s="186"/>
      <c r="S76" s="186"/>
      <c r="T76" s="186"/>
      <c r="U76" s="186"/>
      <c r="V76" s="186"/>
      <c r="W76" s="186"/>
      <c r="X76" s="186"/>
      <c r="Y76" s="186"/>
    </row>
    <row r="77">
      <c r="A77" s="178"/>
      <c r="B77" s="36"/>
      <c r="C77" s="37"/>
      <c r="D77" s="179" t="s">
        <v>703</v>
      </c>
      <c r="E77" s="180">
        <v>45981.0</v>
      </c>
      <c r="F77" s="181">
        <v>106.34083333333334</v>
      </c>
      <c r="G77" s="182">
        <v>145686.94166666668</v>
      </c>
      <c r="H77" s="183">
        <v>1370.0</v>
      </c>
      <c r="I77" s="184">
        <v>685.0</v>
      </c>
      <c r="J77" s="184">
        <v>456.0</v>
      </c>
      <c r="K77" s="184">
        <v>548.0</v>
      </c>
      <c r="L77" s="182">
        <v>274.0</v>
      </c>
      <c r="M77" s="185">
        <v>400.0</v>
      </c>
      <c r="N77" s="186">
        <v>970.0</v>
      </c>
      <c r="O77" s="186"/>
      <c r="P77" s="186"/>
      <c r="Q77" s="186"/>
      <c r="R77" s="186"/>
      <c r="S77" s="186"/>
      <c r="T77" s="186"/>
      <c r="U77" s="186"/>
      <c r="V77" s="186"/>
      <c r="W77" s="186"/>
      <c r="X77" s="186"/>
      <c r="Y77" s="186"/>
    </row>
    <row r="78">
      <c r="A78" s="178"/>
      <c r="B78" s="36"/>
      <c r="C78" s="37"/>
      <c r="D78" s="179" t="s">
        <v>704</v>
      </c>
      <c r="E78" s="180">
        <v>45958.0</v>
      </c>
      <c r="F78" s="181">
        <v>106.3409090909091</v>
      </c>
      <c r="G78" s="182">
        <v>85072.72727272728</v>
      </c>
      <c r="H78" s="183">
        <v>800.0</v>
      </c>
      <c r="I78" s="184">
        <v>400.0</v>
      </c>
      <c r="J78" s="184">
        <v>266.0</v>
      </c>
      <c r="K78" s="184">
        <v>320.0</v>
      </c>
      <c r="L78" s="182">
        <v>160.0</v>
      </c>
      <c r="M78" s="185"/>
      <c r="N78" s="186">
        <v>800.0</v>
      </c>
      <c r="O78" s="186"/>
      <c r="P78" s="186"/>
      <c r="Q78" s="186"/>
      <c r="R78" s="186"/>
      <c r="S78" s="186"/>
      <c r="T78" s="186"/>
      <c r="U78" s="186"/>
      <c r="V78" s="186"/>
      <c r="W78" s="186"/>
      <c r="X78" s="186"/>
      <c r="Y78" s="186"/>
    </row>
    <row r="79">
      <c r="A79" s="178"/>
      <c r="B79" s="36"/>
      <c r="C79" s="37"/>
      <c r="D79" s="179" t="s">
        <v>707</v>
      </c>
      <c r="E79" s="180">
        <v>46021.0</v>
      </c>
      <c r="F79" s="181">
        <v>640.6666666666666</v>
      </c>
      <c r="G79" s="182">
        <v>784176.0</v>
      </c>
      <c r="H79" s="183">
        <v>1224.0</v>
      </c>
      <c r="I79" s="184">
        <v>612.0</v>
      </c>
      <c r="J79" s="184">
        <v>408.0</v>
      </c>
      <c r="K79" s="184">
        <v>489.0</v>
      </c>
      <c r="L79" s="182">
        <v>244.0</v>
      </c>
      <c r="M79" s="185">
        <v>103.0</v>
      </c>
      <c r="N79" s="186">
        <v>1121.0</v>
      </c>
      <c r="O79" s="186"/>
      <c r="P79" s="186"/>
      <c r="Q79" s="186"/>
      <c r="R79" s="186"/>
      <c r="S79" s="186"/>
      <c r="T79" s="186"/>
      <c r="U79" s="186"/>
      <c r="V79" s="186"/>
      <c r="W79" s="186"/>
      <c r="X79" s="186"/>
      <c r="Y79" s="186"/>
    </row>
    <row r="80">
      <c r="A80" s="178"/>
      <c r="B80" s="36"/>
      <c r="C80" s="37"/>
      <c r="D80" s="179" t="s">
        <v>713</v>
      </c>
      <c r="E80" s="180">
        <v>46022.0</v>
      </c>
      <c r="F80" s="181">
        <v>559.962</v>
      </c>
      <c r="G80" s="182">
        <v>461408.68799999997</v>
      </c>
      <c r="H80" s="183">
        <v>824.0</v>
      </c>
      <c r="I80" s="184">
        <v>412.0</v>
      </c>
      <c r="J80" s="184">
        <v>274.0</v>
      </c>
      <c r="K80" s="184">
        <v>329.0</v>
      </c>
      <c r="L80" s="182">
        <v>164.0</v>
      </c>
      <c r="M80" s="185"/>
      <c r="N80" s="186">
        <v>824.0</v>
      </c>
      <c r="O80" s="186"/>
      <c r="P80" s="186"/>
      <c r="Q80" s="186"/>
      <c r="R80" s="186"/>
      <c r="S80" s="186"/>
      <c r="T80" s="186"/>
      <c r="U80" s="186"/>
      <c r="V80" s="186"/>
      <c r="W80" s="186"/>
      <c r="X80" s="186"/>
      <c r="Y80" s="186"/>
    </row>
    <row r="81">
      <c r="A81" s="178"/>
      <c r="B81" s="36"/>
      <c r="C81" s="37"/>
      <c r="D81" s="179" t="s">
        <v>714</v>
      </c>
      <c r="E81" s="180">
        <v>46019.0</v>
      </c>
      <c r="F81" s="181">
        <v>1637.0000000000002</v>
      </c>
      <c r="G81" s="182">
        <v>482915.00000000006</v>
      </c>
      <c r="H81" s="183">
        <v>295.0</v>
      </c>
      <c r="I81" s="184">
        <v>147.0</v>
      </c>
      <c r="J81" s="184">
        <v>98.0</v>
      </c>
      <c r="K81" s="184">
        <v>118.0</v>
      </c>
      <c r="L81" s="182">
        <v>59.0</v>
      </c>
      <c r="M81" s="185">
        <v>295.0</v>
      </c>
      <c r="N81" s="186"/>
      <c r="O81" s="186"/>
      <c r="P81" s="186"/>
      <c r="Q81" s="186"/>
      <c r="R81" s="186"/>
      <c r="S81" s="186"/>
      <c r="T81" s="186"/>
      <c r="U81" s="186"/>
      <c r="V81" s="186"/>
      <c r="W81" s="186"/>
      <c r="X81" s="186"/>
      <c r="Y81" s="186"/>
    </row>
    <row r="82">
      <c r="A82" s="178"/>
      <c r="B82" s="36"/>
      <c r="C82" s="37"/>
      <c r="D82" s="179" t="s">
        <v>717</v>
      </c>
      <c r="E82" s="180">
        <v>46016.0</v>
      </c>
      <c r="F82" s="181">
        <v>1980.4999999999998</v>
      </c>
      <c r="G82" s="182">
        <v>340645.99999999994</v>
      </c>
      <c r="H82" s="183">
        <v>172.0</v>
      </c>
      <c r="I82" s="184">
        <v>86.0</v>
      </c>
      <c r="J82" s="184">
        <v>57.0</v>
      </c>
      <c r="K82" s="184">
        <v>68.0</v>
      </c>
      <c r="L82" s="182">
        <v>34.0</v>
      </c>
      <c r="M82" s="185">
        <v>171.0</v>
      </c>
      <c r="N82" s="186">
        <v>1.0</v>
      </c>
      <c r="O82" s="186"/>
      <c r="P82" s="186"/>
      <c r="Q82" s="186"/>
      <c r="R82" s="186"/>
      <c r="S82" s="186"/>
      <c r="T82" s="186"/>
      <c r="U82" s="186"/>
      <c r="V82" s="186"/>
      <c r="W82" s="186"/>
      <c r="X82" s="186"/>
      <c r="Y82" s="186"/>
    </row>
    <row r="83">
      <c r="A83" s="178"/>
      <c r="B83" s="36"/>
      <c r="C83" s="37"/>
      <c r="D83" s="179" t="s">
        <v>746</v>
      </c>
      <c r="E83" s="180">
        <v>46017.0</v>
      </c>
      <c r="F83" s="181">
        <v>4252.52</v>
      </c>
      <c r="G83" s="182">
        <v>229636.08000000002</v>
      </c>
      <c r="H83" s="183">
        <v>54.0</v>
      </c>
      <c r="I83" s="184">
        <v>27.0</v>
      </c>
      <c r="J83" s="184">
        <v>18.0</v>
      </c>
      <c r="K83" s="184">
        <v>21.0</v>
      </c>
      <c r="L83" s="182">
        <v>10.0</v>
      </c>
      <c r="M83" s="185">
        <v>47.0</v>
      </c>
      <c r="N83" s="186">
        <v>7.0</v>
      </c>
      <c r="O83" s="186"/>
      <c r="P83" s="186"/>
      <c r="Q83" s="186"/>
      <c r="R83" s="186"/>
      <c r="S83" s="186"/>
      <c r="T83" s="186"/>
      <c r="U83" s="186"/>
      <c r="V83" s="186"/>
      <c r="W83" s="186"/>
      <c r="X83" s="186"/>
      <c r="Y83" s="186"/>
    </row>
    <row r="84">
      <c r="A84" s="178"/>
      <c r="B84" s="36"/>
      <c r="C84" s="37"/>
      <c r="D84" s="179" t="s">
        <v>749</v>
      </c>
      <c r="E84" s="180">
        <v>46022.0</v>
      </c>
      <c r="F84" s="181">
        <v>1637.0</v>
      </c>
      <c r="G84" s="182">
        <v>2617563.0</v>
      </c>
      <c r="H84" s="183">
        <v>1599.0</v>
      </c>
      <c r="I84" s="184">
        <v>799.0</v>
      </c>
      <c r="J84" s="184">
        <v>533.0</v>
      </c>
      <c r="K84" s="184">
        <v>639.0</v>
      </c>
      <c r="L84" s="182">
        <v>319.0</v>
      </c>
      <c r="M84" s="185">
        <v>1254.0</v>
      </c>
      <c r="N84" s="186">
        <v>345.0</v>
      </c>
      <c r="O84" s="186"/>
      <c r="P84" s="186"/>
      <c r="Q84" s="186"/>
      <c r="R84" s="186"/>
      <c r="S84" s="186"/>
      <c r="T84" s="186"/>
      <c r="U84" s="186"/>
      <c r="V84" s="186"/>
      <c r="W84" s="186"/>
      <c r="X84" s="186"/>
      <c r="Y84" s="186"/>
    </row>
    <row r="85">
      <c r="A85" s="178"/>
      <c r="B85" s="36"/>
      <c r="C85" s="37"/>
      <c r="D85" s="179" t="s">
        <v>750</v>
      </c>
      <c r="E85" s="180">
        <v>46021.0</v>
      </c>
      <c r="F85" s="181">
        <v>1980.3072727272722</v>
      </c>
      <c r="G85" s="182">
        <v>3756642.8963636355</v>
      </c>
      <c r="H85" s="183">
        <v>1897.0</v>
      </c>
      <c r="I85" s="184">
        <v>948.0</v>
      </c>
      <c r="J85" s="184">
        <v>632.0</v>
      </c>
      <c r="K85" s="184">
        <v>758.0</v>
      </c>
      <c r="L85" s="182">
        <v>379.0</v>
      </c>
      <c r="M85" s="185">
        <v>930.0</v>
      </c>
      <c r="N85" s="186">
        <v>967.0</v>
      </c>
      <c r="O85" s="186"/>
      <c r="P85" s="186"/>
      <c r="Q85" s="186"/>
      <c r="R85" s="186"/>
      <c r="S85" s="186"/>
      <c r="T85" s="186"/>
      <c r="U85" s="186"/>
      <c r="V85" s="186"/>
      <c r="W85" s="186"/>
      <c r="X85" s="186"/>
      <c r="Y85" s="186"/>
    </row>
    <row r="86">
      <c r="A86" s="178"/>
      <c r="B86" s="36"/>
      <c r="C86" s="37"/>
      <c r="D86" s="179" t="s">
        <v>756</v>
      </c>
      <c r="E86" s="180">
        <v>46002.0</v>
      </c>
      <c r="F86" s="181">
        <v>19.957222222222217</v>
      </c>
      <c r="G86" s="182">
        <v>142973.53999999998</v>
      </c>
      <c r="H86" s="183">
        <v>7164.0</v>
      </c>
      <c r="I86" s="184">
        <v>3582.0</v>
      </c>
      <c r="J86" s="184">
        <v>2388.0</v>
      </c>
      <c r="K86" s="184">
        <v>2865.0</v>
      </c>
      <c r="L86" s="182">
        <v>1432.0</v>
      </c>
      <c r="M86" s="185">
        <v>900.0</v>
      </c>
      <c r="N86" s="186">
        <v>6264.0</v>
      </c>
      <c r="O86" s="186"/>
      <c r="P86" s="186"/>
      <c r="Q86" s="186"/>
      <c r="R86" s="186"/>
      <c r="S86" s="186"/>
      <c r="T86" s="186"/>
      <c r="U86" s="186"/>
      <c r="V86" s="186"/>
      <c r="W86" s="186"/>
      <c r="X86" s="186"/>
      <c r="Y86" s="186"/>
    </row>
    <row r="87">
      <c r="A87" s="178"/>
      <c r="B87" s="36"/>
      <c r="C87" s="37"/>
      <c r="D87" s="179" t="s">
        <v>760</v>
      </c>
      <c r="E87" s="180">
        <v>46018.0</v>
      </c>
      <c r="F87" s="181">
        <v>19.957222222222217</v>
      </c>
      <c r="G87" s="182">
        <v>87272.93277777775</v>
      </c>
      <c r="H87" s="183">
        <v>4373.0</v>
      </c>
      <c r="I87" s="184">
        <v>2186.0</v>
      </c>
      <c r="J87" s="184">
        <v>1457.0</v>
      </c>
      <c r="K87" s="184">
        <v>1749.0</v>
      </c>
      <c r="L87" s="182">
        <v>874.0</v>
      </c>
      <c r="M87" s="185">
        <v>1585.0</v>
      </c>
      <c r="N87" s="186">
        <v>2788.0</v>
      </c>
      <c r="O87" s="186"/>
      <c r="P87" s="186"/>
      <c r="Q87" s="186"/>
      <c r="R87" s="186"/>
      <c r="S87" s="186"/>
      <c r="T87" s="186"/>
      <c r="U87" s="186"/>
      <c r="V87" s="186"/>
      <c r="W87" s="186"/>
      <c r="X87" s="186"/>
      <c r="Y87" s="186"/>
    </row>
    <row r="88">
      <c r="A88" s="178"/>
      <c r="B88" s="36"/>
      <c r="C88" s="37"/>
      <c r="D88" s="179" t="s">
        <v>762</v>
      </c>
      <c r="E88" s="180"/>
      <c r="F88" s="181">
        <v>17.44</v>
      </c>
      <c r="G88" s="182">
        <v>17440.0</v>
      </c>
      <c r="H88" s="183">
        <v>1000.0</v>
      </c>
      <c r="I88" s="184">
        <v>500.0</v>
      </c>
      <c r="J88" s="184">
        <v>333.0</v>
      </c>
      <c r="K88" s="184">
        <v>400.0</v>
      </c>
      <c r="L88" s="182">
        <v>200.0</v>
      </c>
      <c r="M88" s="185">
        <v>1000.0</v>
      </c>
      <c r="N88" s="186"/>
      <c r="O88" s="186"/>
      <c r="P88" s="186"/>
      <c r="Q88" s="186"/>
      <c r="R88" s="186"/>
      <c r="S88" s="186"/>
      <c r="T88" s="186"/>
      <c r="U88" s="186"/>
      <c r="V88" s="186"/>
      <c r="W88" s="186"/>
      <c r="X88" s="186"/>
      <c r="Y88" s="186"/>
    </row>
    <row r="89">
      <c r="A89" s="178"/>
      <c r="B89" s="36"/>
      <c r="C89" s="37"/>
      <c r="D89" s="179" t="s">
        <v>765</v>
      </c>
      <c r="E89" s="180"/>
      <c r="F89" s="181">
        <v>17.44</v>
      </c>
      <c r="G89" s="182">
        <v>17440.0</v>
      </c>
      <c r="H89" s="183">
        <v>1000.0</v>
      </c>
      <c r="I89" s="184">
        <v>500.0</v>
      </c>
      <c r="J89" s="184">
        <v>333.0</v>
      </c>
      <c r="K89" s="184">
        <v>400.0</v>
      </c>
      <c r="L89" s="182">
        <v>200.0</v>
      </c>
      <c r="M89" s="185">
        <v>1000.0</v>
      </c>
      <c r="N89" s="186"/>
      <c r="O89" s="186"/>
      <c r="P89" s="186"/>
      <c r="Q89" s="186"/>
      <c r="R89" s="186"/>
      <c r="S89" s="186"/>
      <c r="T89" s="186"/>
      <c r="U89" s="186"/>
      <c r="V89" s="186"/>
      <c r="W89" s="186"/>
      <c r="X89" s="186"/>
      <c r="Y89" s="186"/>
    </row>
    <row r="90">
      <c r="A90" s="178"/>
      <c r="B90" s="36"/>
      <c r="C90" s="37"/>
      <c r="D90" s="179" t="s">
        <v>766</v>
      </c>
      <c r="E90" s="180"/>
      <c r="F90" s="181">
        <v>15.589874999999997</v>
      </c>
      <c r="G90" s="182">
        <v>15589.874999999998</v>
      </c>
      <c r="H90" s="183">
        <v>1000.0</v>
      </c>
      <c r="I90" s="184">
        <v>500.0</v>
      </c>
      <c r="J90" s="184">
        <v>333.0</v>
      </c>
      <c r="K90" s="184">
        <v>400.0</v>
      </c>
      <c r="L90" s="182">
        <v>200.0</v>
      </c>
      <c r="M90" s="185">
        <v>1000.0</v>
      </c>
      <c r="N90" s="186"/>
      <c r="O90" s="186"/>
      <c r="P90" s="186"/>
      <c r="Q90" s="186"/>
      <c r="R90" s="186"/>
      <c r="S90" s="186"/>
      <c r="T90" s="186"/>
      <c r="U90" s="186"/>
      <c r="V90" s="186"/>
      <c r="W90" s="186"/>
      <c r="X90" s="186"/>
      <c r="Y90" s="186"/>
    </row>
    <row r="91">
      <c r="A91" s="178"/>
      <c r="B91" s="36"/>
      <c r="C91" s="37"/>
      <c r="D91" s="179" t="s">
        <v>769</v>
      </c>
      <c r="E91" s="180">
        <v>45997.0</v>
      </c>
      <c r="F91" s="181">
        <v>15.589874999999997</v>
      </c>
      <c r="G91" s="182">
        <v>87428.01899999999</v>
      </c>
      <c r="H91" s="183">
        <v>5608.0</v>
      </c>
      <c r="I91" s="184">
        <v>2804.0</v>
      </c>
      <c r="J91" s="184">
        <v>1869.0</v>
      </c>
      <c r="K91" s="184">
        <v>2243.0</v>
      </c>
      <c r="L91" s="182">
        <v>1121.0</v>
      </c>
      <c r="M91" s="185">
        <v>1890.0</v>
      </c>
      <c r="N91" s="186">
        <v>3718.0</v>
      </c>
      <c r="O91" s="186"/>
      <c r="P91" s="186"/>
      <c r="Q91" s="186"/>
      <c r="R91" s="186"/>
      <c r="S91" s="186"/>
      <c r="T91" s="186"/>
      <c r="U91" s="186"/>
      <c r="V91" s="186"/>
      <c r="W91" s="186"/>
      <c r="X91" s="186"/>
      <c r="Y91" s="186"/>
    </row>
    <row r="92">
      <c r="A92" s="178"/>
      <c r="B92" s="36"/>
      <c r="C92" s="37"/>
      <c r="D92" s="179" t="s">
        <v>771</v>
      </c>
      <c r="E92" s="180">
        <v>45965.0</v>
      </c>
      <c r="F92" s="181">
        <v>19.957222222222217</v>
      </c>
      <c r="G92" s="182">
        <v>79629.31666666665</v>
      </c>
      <c r="H92" s="183">
        <v>3990.0</v>
      </c>
      <c r="I92" s="184">
        <v>1995.0</v>
      </c>
      <c r="J92" s="184">
        <v>1330.0</v>
      </c>
      <c r="K92" s="184">
        <v>1596.0</v>
      </c>
      <c r="L92" s="182">
        <v>798.0</v>
      </c>
      <c r="M92" s="185">
        <v>1000.0</v>
      </c>
      <c r="N92" s="186">
        <v>2990.0</v>
      </c>
      <c r="O92" s="186"/>
      <c r="P92" s="186"/>
      <c r="Q92" s="186"/>
      <c r="R92" s="186"/>
      <c r="S92" s="186"/>
      <c r="T92" s="186"/>
      <c r="U92" s="186"/>
      <c r="V92" s="186"/>
      <c r="W92" s="186"/>
      <c r="X92" s="186"/>
      <c r="Y92" s="186"/>
    </row>
    <row r="93">
      <c r="A93" s="178"/>
      <c r="B93" s="36"/>
      <c r="C93" s="37"/>
      <c r="D93" t="s">
        <v>772</v>
      </c>
      <c r="E93" s="180">
        <v>46006.0</v>
      </c>
      <c r="F93" s="181">
        <v>17.44</v>
      </c>
      <c r="G93" s="182">
        <v>40984.0</v>
      </c>
      <c r="H93" s="183">
        <v>2350.0</v>
      </c>
      <c r="I93" s="184">
        <v>1175.0</v>
      </c>
      <c r="J93" s="184">
        <v>783.0</v>
      </c>
      <c r="K93" s="184">
        <v>940.0</v>
      </c>
      <c r="L93" s="182">
        <v>470.0</v>
      </c>
      <c r="M93" s="185">
        <v>1270.0</v>
      </c>
      <c r="N93" s="186">
        <v>1080.0</v>
      </c>
      <c r="O93" s="186"/>
      <c r="P93" s="186"/>
      <c r="Q93" s="186"/>
      <c r="R93" s="186"/>
      <c r="S93" s="186"/>
      <c r="T93" s="186"/>
      <c r="U93" s="186"/>
      <c r="V93" s="186"/>
      <c r="W93" s="186"/>
      <c r="X93" s="186"/>
      <c r="Y93" s="186"/>
    </row>
    <row r="94">
      <c r="A94" s="178"/>
      <c r="B94" s="36"/>
      <c r="C94" s="37"/>
      <c r="D94" s="179" t="s">
        <v>778</v>
      </c>
      <c r="E94" s="180"/>
      <c r="F94" s="181">
        <v>17.44</v>
      </c>
      <c r="G94" s="182">
        <v>17440.0</v>
      </c>
      <c r="H94" s="183">
        <v>1000.0</v>
      </c>
      <c r="I94" s="184">
        <v>500.0</v>
      </c>
      <c r="J94" s="184">
        <v>333.0</v>
      </c>
      <c r="K94" s="184">
        <v>400.0</v>
      </c>
      <c r="L94" s="182">
        <v>200.0</v>
      </c>
      <c r="M94" s="185">
        <v>1000.0</v>
      </c>
      <c r="N94" s="186"/>
      <c r="O94" s="186"/>
      <c r="P94" s="186"/>
      <c r="Q94" s="186"/>
      <c r="R94" s="186"/>
      <c r="S94" s="186"/>
      <c r="T94" s="186"/>
      <c r="U94" s="186"/>
      <c r="V94" s="186"/>
      <c r="W94" s="186"/>
      <c r="X94" s="186"/>
      <c r="Y94" s="186"/>
    </row>
    <row r="95">
      <c r="A95" s="178"/>
      <c r="B95" s="36"/>
      <c r="C95" s="37"/>
      <c r="D95" s="179" t="s">
        <v>779</v>
      </c>
      <c r="E95" s="180">
        <v>46015.0</v>
      </c>
      <c r="F95" s="181">
        <v>21.1651</v>
      </c>
      <c r="G95" s="182">
        <v>96047.22379999999</v>
      </c>
      <c r="H95" s="183">
        <v>4538.0</v>
      </c>
      <c r="I95" s="184">
        <v>2269.0</v>
      </c>
      <c r="J95" s="184">
        <v>1512.0</v>
      </c>
      <c r="K95" s="184">
        <v>1815.0</v>
      </c>
      <c r="L95" s="182">
        <v>907.0</v>
      </c>
      <c r="M95" s="185">
        <v>4562.0</v>
      </c>
      <c r="N95" s="186">
        <v>-24.0</v>
      </c>
      <c r="O95" s="186"/>
      <c r="P95" s="186"/>
      <c r="Q95" s="186"/>
      <c r="R95" s="186"/>
      <c r="S95" s="186"/>
      <c r="T95" s="186"/>
      <c r="U95" s="186"/>
      <c r="V95" s="186"/>
      <c r="W95" s="186"/>
      <c r="X95" s="186"/>
      <c r="Y95" s="186"/>
    </row>
    <row r="96">
      <c r="A96" s="178"/>
      <c r="B96" s="36"/>
      <c r="C96" s="37"/>
      <c r="D96" s="179" t="s">
        <v>782</v>
      </c>
      <c r="E96" s="180">
        <v>46017.0</v>
      </c>
      <c r="F96" s="181">
        <v>15.589874999999997</v>
      </c>
      <c r="G96" s="182">
        <v>123440.63024999997</v>
      </c>
      <c r="H96" s="183">
        <v>7918.0</v>
      </c>
      <c r="I96" s="184">
        <v>3959.0</v>
      </c>
      <c r="J96" s="184">
        <v>2639.0</v>
      </c>
      <c r="K96" s="184">
        <v>3167.0</v>
      </c>
      <c r="L96" s="182">
        <v>1583.0</v>
      </c>
      <c r="M96" s="185">
        <v>1960.0</v>
      </c>
      <c r="N96" s="186">
        <v>5958.0</v>
      </c>
      <c r="O96" s="186"/>
      <c r="P96" s="186"/>
      <c r="Q96" s="186"/>
      <c r="R96" s="186"/>
      <c r="S96" s="186"/>
      <c r="T96" s="186"/>
      <c r="U96" s="186"/>
      <c r="V96" s="186"/>
      <c r="W96" s="186"/>
      <c r="X96" s="186"/>
      <c r="Y96" s="186"/>
    </row>
    <row r="97">
      <c r="A97" s="178"/>
      <c r="B97" s="36"/>
      <c r="C97" s="37"/>
      <c r="D97" s="179" t="s">
        <v>784</v>
      </c>
      <c r="E97" s="180">
        <v>45957.0</v>
      </c>
      <c r="F97" s="181">
        <v>21.1651</v>
      </c>
      <c r="G97" s="182">
        <v>105719.6745</v>
      </c>
      <c r="H97" s="183">
        <v>4995.0</v>
      </c>
      <c r="I97" s="184">
        <v>2497.0</v>
      </c>
      <c r="J97" s="184">
        <v>1665.0</v>
      </c>
      <c r="K97" s="184">
        <v>1998.0</v>
      </c>
      <c r="L97" s="182">
        <v>999.0</v>
      </c>
      <c r="M97" s="185">
        <v>4995.0</v>
      </c>
      <c r="N97" s="186"/>
      <c r="O97" s="186"/>
      <c r="P97" s="186"/>
      <c r="Q97" s="186"/>
      <c r="R97" s="186"/>
      <c r="S97" s="186"/>
      <c r="T97" s="186"/>
      <c r="U97" s="186"/>
      <c r="V97" s="186"/>
      <c r="W97" s="186"/>
      <c r="X97" s="186"/>
      <c r="Y97" s="186"/>
    </row>
    <row r="98">
      <c r="A98" s="178"/>
      <c r="B98" s="36"/>
      <c r="C98" s="37"/>
      <c r="D98" s="179" t="s">
        <v>785</v>
      </c>
      <c r="E98" s="180">
        <v>46002.0</v>
      </c>
      <c r="F98" s="181">
        <v>15.589874999999997</v>
      </c>
      <c r="G98" s="182">
        <v>61969.75312499999</v>
      </c>
      <c r="H98" s="183">
        <v>3975.0</v>
      </c>
      <c r="I98" s="184">
        <v>1987.0</v>
      </c>
      <c r="J98" s="184">
        <v>1325.0</v>
      </c>
      <c r="K98" s="184">
        <v>1590.0</v>
      </c>
      <c r="L98" s="182">
        <v>795.0</v>
      </c>
      <c r="M98" s="185">
        <v>1000.0</v>
      </c>
      <c r="N98" s="186">
        <v>2975.0</v>
      </c>
      <c r="O98" s="186"/>
      <c r="P98" s="186"/>
      <c r="Q98" s="186"/>
      <c r="R98" s="186"/>
      <c r="S98" s="186"/>
      <c r="T98" s="186"/>
      <c r="U98" s="186"/>
      <c r="V98" s="186"/>
      <c r="W98" s="186"/>
      <c r="X98" s="186"/>
      <c r="Y98" s="186"/>
    </row>
    <row r="99">
      <c r="A99" s="178"/>
      <c r="B99" s="36"/>
      <c r="C99" s="37"/>
      <c r="D99" s="179" t="s">
        <v>786</v>
      </c>
      <c r="E99" s="180">
        <v>45991.0</v>
      </c>
      <c r="F99" s="181">
        <v>19.957222222222217</v>
      </c>
      <c r="G99" s="182">
        <v>89687.75666666664</v>
      </c>
      <c r="H99" s="183">
        <v>4494.0</v>
      </c>
      <c r="I99" s="184">
        <v>2247.0</v>
      </c>
      <c r="J99" s="184">
        <v>1498.0</v>
      </c>
      <c r="K99" s="184">
        <v>1797.0</v>
      </c>
      <c r="L99" s="182">
        <v>898.0</v>
      </c>
      <c r="M99" s="185">
        <v>1000.0</v>
      </c>
      <c r="N99" s="186">
        <v>3494.0</v>
      </c>
      <c r="O99" s="186"/>
      <c r="P99" s="186"/>
      <c r="Q99" s="186"/>
      <c r="R99" s="186"/>
      <c r="S99" s="186"/>
      <c r="T99" s="186"/>
      <c r="U99" s="186"/>
      <c r="V99" s="186"/>
      <c r="W99" s="186"/>
      <c r="X99" s="186"/>
      <c r="Y99" s="186"/>
    </row>
    <row r="100">
      <c r="A100" s="178"/>
      <c r="B100" s="36"/>
      <c r="C100" s="37"/>
      <c r="D100" s="179" t="s">
        <v>788</v>
      </c>
      <c r="E100" s="180">
        <v>46017.0</v>
      </c>
      <c r="F100" s="181">
        <v>17.6305</v>
      </c>
      <c r="G100" s="182">
        <v>89016.39450000001</v>
      </c>
      <c r="H100" s="183">
        <v>5049.0</v>
      </c>
      <c r="I100" s="184">
        <v>2524.0</v>
      </c>
      <c r="J100" s="184">
        <v>1683.0</v>
      </c>
      <c r="K100" s="184">
        <v>2019.0</v>
      </c>
      <c r="L100" s="182">
        <v>1009.0</v>
      </c>
      <c r="M100" s="185">
        <v>870.0</v>
      </c>
      <c r="N100" s="186">
        <v>4179.0</v>
      </c>
      <c r="O100" s="186"/>
      <c r="P100" s="186"/>
      <c r="Q100" s="186"/>
      <c r="R100" s="186"/>
      <c r="S100" s="186"/>
      <c r="T100" s="186"/>
      <c r="U100" s="186"/>
      <c r="V100" s="186"/>
      <c r="W100" s="186"/>
      <c r="X100" s="186"/>
      <c r="Y100" s="186"/>
    </row>
    <row r="101">
      <c r="A101" s="178"/>
      <c r="B101" s="36"/>
      <c r="C101" s="37"/>
      <c r="D101" s="179" t="s">
        <v>790</v>
      </c>
      <c r="E101" s="180">
        <v>45987.0</v>
      </c>
      <c r="F101" s="181">
        <v>15.589874999999997</v>
      </c>
      <c r="G101" s="182">
        <v>77481.67874999999</v>
      </c>
      <c r="H101" s="183">
        <v>4970.0</v>
      </c>
      <c r="I101" s="184">
        <v>2485.0</v>
      </c>
      <c r="J101" s="184">
        <v>1656.0</v>
      </c>
      <c r="K101" s="184">
        <v>1988.0</v>
      </c>
      <c r="L101" s="182">
        <v>994.0</v>
      </c>
      <c r="M101" s="185">
        <v>1980.0</v>
      </c>
      <c r="N101" s="186">
        <v>2990.0</v>
      </c>
      <c r="O101" s="186"/>
      <c r="P101" s="186"/>
      <c r="Q101" s="186"/>
      <c r="R101" s="186"/>
      <c r="S101" s="186"/>
      <c r="T101" s="186"/>
      <c r="U101" s="186"/>
      <c r="V101" s="186"/>
      <c r="W101" s="186"/>
      <c r="X101" s="186"/>
      <c r="Y101" s="186"/>
    </row>
    <row r="102">
      <c r="A102" s="178"/>
      <c r="B102" s="36"/>
      <c r="C102" s="37"/>
      <c r="D102" s="179" t="s">
        <v>791</v>
      </c>
      <c r="E102" s="180">
        <v>45997.0</v>
      </c>
      <c r="F102" s="181">
        <v>21.726666666666663</v>
      </c>
      <c r="G102" s="182">
        <v>92533.87333333332</v>
      </c>
      <c r="H102" s="183">
        <v>4259.0</v>
      </c>
      <c r="I102" s="184">
        <v>2129.0</v>
      </c>
      <c r="J102" s="184">
        <v>1419.0</v>
      </c>
      <c r="K102" s="184">
        <v>1703.0</v>
      </c>
      <c r="L102" s="182">
        <v>851.0</v>
      </c>
      <c r="M102" s="185">
        <v>1289.0</v>
      </c>
      <c r="N102" s="186">
        <v>2970.0</v>
      </c>
      <c r="O102" s="186"/>
      <c r="P102" s="186"/>
      <c r="Q102" s="186"/>
      <c r="R102" s="186"/>
      <c r="S102" s="186"/>
      <c r="T102" s="186"/>
      <c r="U102" s="186"/>
      <c r="V102" s="186"/>
      <c r="W102" s="186"/>
      <c r="X102" s="186"/>
      <c r="Y102" s="186"/>
    </row>
    <row r="103">
      <c r="A103" s="178"/>
      <c r="B103" s="36"/>
      <c r="C103" s="37"/>
      <c r="D103" s="179" t="s">
        <v>795</v>
      </c>
      <c r="E103" s="180">
        <v>46012.0</v>
      </c>
      <c r="F103" s="181">
        <v>21.75</v>
      </c>
      <c r="G103" s="182">
        <v>38280.0</v>
      </c>
      <c r="H103" s="183">
        <v>1760.0</v>
      </c>
      <c r="I103" s="184">
        <v>880.0</v>
      </c>
      <c r="J103" s="184">
        <v>586.0</v>
      </c>
      <c r="K103" s="184">
        <v>704.0</v>
      </c>
      <c r="L103" s="182">
        <v>352.0</v>
      </c>
      <c r="M103" s="185">
        <v>1000.0</v>
      </c>
      <c r="N103" s="186">
        <v>760.0</v>
      </c>
      <c r="O103" s="186"/>
      <c r="P103" s="186"/>
      <c r="Q103" s="186"/>
      <c r="R103" s="186"/>
      <c r="S103" s="186"/>
      <c r="T103" s="186"/>
      <c r="U103" s="186"/>
      <c r="V103" s="186"/>
      <c r="W103" s="186"/>
      <c r="X103" s="186"/>
      <c r="Y103" s="186"/>
    </row>
    <row r="104">
      <c r="A104" s="178"/>
      <c r="B104" s="36"/>
      <c r="C104" s="37"/>
      <c r="D104" s="179" t="s">
        <v>797</v>
      </c>
      <c r="E104" s="180">
        <v>46010.0</v>
      </c>
      <c r="F104" s="181">
        <v>15.589874999999997</v>
      </c>
      <c r="G104" s="182">
        <v>29464.863749999997</v>
      </c>
      <c r="H104" s="183">
        <v>1890.0</v>
      </c>
      <c r="I104" s="184">
        <v>945.0</v>
      </c>
      <c r="J104" s="184">
        <v>630.0</v>
      </c>
      <c r="K104" s="184">
        <v>756.0</v>
      </c>
      <c r="L104" s="182">
        <v>378.0</v>
      </c>
      <c r="M104" s="185">
        <v>1890.0</v>
      </c>
      <c r="N104" s="186"/>
      <c r="O104" s="186"/>
      <c r="P104" s="186"/>
      <c r="Q104" s="186"/>
      <c r="R104" s="186"/>
      <c r="S104" s="186"/>
      <c r="T104" s="186"/>
      <c r="U104" s="186"/>
      <c r="V104" s="186"/>
      <c r="W104" s="186"/>
      <c r="X104" s="186"/>
      <c r="Y104" s="186"/>
    </row>
    <row r="105">
      <c r="A105" s="178"/>
      <c r="B105" s="36"/>
      <c r="C105" s="37"/>
      <c r="D105" s="179" t="s">
        <v>798</v>
      </c>
      <c r="E105" s="180">
        <v>45935.0</v>
      </c>
      <c r="F105" s="181">
        <v>19.957222222222217</v>
      </c>
      <c r="G105" s="182">
        <v>59672.09444444443</v>
      </c>
      <c r="H105" s="183">
        <v>2990.0</v>
      </c>
      <c r="I105" s="184">
        <v>1495.0</v>
      </c>
      <c r="J105" s="184">
        <v>996.0</v>
      </c>
      <c r="K105" s="184">
        <v>1196.0</v>
      </c>
      <c r="L105" s="182">
        <v>598.0</v>
      </c>
      <c r="M105" s="185"/>
      <c r="N105" s="186">
        <v>2990.0</v>
      </c>
      <c r="O105" s="186"/>
      <c r="P105" s="186"/>
      <c r="Q105" s="186"/>
      <c r="R105" s="186"/>
      <c r="S105" s="186"/>
      <c r="T105" s="186"/>
      <c r="U105" s="186"/>
      <c r="V105" s="186"/>
      <c r="W105" s="186"/>
      <c r="X105" s="186"/>
      <c r="Y105" s="186"/>
    </row>
    <row r="106">
      <c r="A106" s="178"/>
      <c r="B106" s="36"/>
      <c r="C106" s="37"/>
      <c r="D106" s="179" t="s">
        <v>799</v>
      </c>
      <c r="E106" s="180">
        <v>46011.0</v>
      </c>
      <c r="F106" s="181">
        <v>17.7305</v>
      </c>
      <c r="G106" s="182">
        <v>42446.816999999995</v>
      </c>
      <c r="H106" s="183">
        <v>2394.0</v>
      </c>
      <c r="I106" s="184">
        <v>1197.0</v>
      </c>
      <c r="J106" s="184">
        <v>798.0</v>
      </c>
      <c r="K106" s="184">
        <v>957.0</v>
      </c>
      <c r="L106" s="182">
        <v>478.0</v>
      </c>
      <c r="M106" s="185">
        <v>900.0</v>
      </c>
      <c r="N106" s="186">
        <v>1494.0</v>
      </c>
      <c r="O106" s="186"/>
      <c r="P106" s="186"/>
      <c r="Q106" s="186"/>
      <c r="R106" s="186"/>
      <c r="S106" s="186"/>
      <c r="T106" s="186"/>
      <c r="U106" s="186"/>
      <c r="V106" s="186"/>
      <c r="W106" s="186"/>
      <c r="X106" s="186"/>
      <c r="Y106" s="186"/>
    </row>
    <row r="107">
      <c r="A107" s="178"/>
      <c r="B107" s="36"/>
      <c r="C107" s="37"/>
      <c r="D107" s="179" t="s">
        <v>800</v>
      </c>
      <c r="E107" s="180">
        <v>45980.0</v>
      </c>
      <c r="F107" s="181">
        <v>22.433333333333334</v>
      </c>
      <c r="G107" s="182">
        <v>21984.666666666668</v>
      </c>
      <c r="H107" s="183">
        <v>980.0</v>
      </c>
      <c r="I107" s="184">
        <v>490.0</v>
      </c>
      <c r="J107" s="184">
        <v>326.0</v>
      </c>
      <c r="K107" s="184">
        <v>392.0</v>
      </c>
      <c r="L107" s="182">
        <v>196.0</v>
      </c>
      <c r="M107" s="185"/>
      <c r="N107" s="186">
        <v>980.0</v>
      </c>
      <c r="O107" s="186"/>
      <c r="P107" s="186"/>
      <c r="Q107" s="186"/>
      <c r="R107" s="186"/>
      <c r="S107" s="186"/>
      <c r="T107" s="186"/>
      <c r="U107" s="186"/>
      <c r="V107" s="186"/>
      <c r="W107" s="186"/>
      <c r="X107" s="186"/>
      <c r="Y107" s="186"/>
    </row>
    <row r="108">
      <c r="A108" s="178"/>
      <c r="B108" s="36"/>
      <c r="C108" s="37"/>
      <c r="D108" s="179" t="s">
        <v>802</v>
      </c>
      <c r="E108" s="180">
        <v>46011.0</v>
      </c>
      <c r="F108" s="181">
        <v>17.6305</v>
      </c>
      <c r="G108" s="182">
        <v>66643.29000000001</v>
      </c>
      <c r="H108" s="183">
        <v>3780.0</v>
      </c>
      <c r="I108" s="184">
        <v>1890.0</v>
      </c>
      <c r="J108" s="184">
        <v>1260.0</v>
      </c>
      <c r="K108" s="184">
        <v>1512.0</v>
      </c>
      <c r="L108" s="182">
        <v>756.0</v>
      </c>
      <c r="M108" s="185"/>
      <c r="N108" s="186">
        <v>3780.0</v>
      </c>
      <c r="O108" s="186"/>
      <c r="P108" s="186"/>
      <c r="Q108" s="186"/>
      <c r="R108" s="186"/>
      <c r="S108" s="186"/>
      <c r="T108" s="186"/>
      <c r="U108" s="186"/>
      <c r="V108" s="186"/>
      <c r="W108" s="186"/>
      <c r="X108" s="186"/>
      <c r="Y108" s="186"/>
    </row>
    <row r="109">
      <c r="A109" s="178"/>
      <c r="B109" s="36"/>
      <c r="C109" s="37"/>
      <c r="D109" s="179" t="s">
        <v>803</v>
      </c>
      <c r="E109" s="180">
        <v>46011.0</v>
      </c>
      <c r="F109" s="181">
        <v>21.7</v>
      </c>
      <c r="G109" s="182">
        <v>62344.1</v>
      </c>
      <c r="H109" s="183">
        <v>2873.0</v>
      </c>
      <c r="I109" s="184">
        <v>1436.0</v>
      </c>
      <c r="J109" s="184">
        <v>957.0</v>
      </c>
      <c r="K109" s="184">
        <v>1149.0</v>
      </c>
      <c r="L109" s="182">
        <v>574.0</v>
      </c>
      <c r="M109" s="185">
        <v>1960.0</v>
      </c>
      <c r="N109" s="186">
        <v>913.0</v>
      </c>
      <c r="O109" s="186"/>
      <c r="P109" s="186"/>
      <c r="Q109" s="186"/>
      <c r="R109" s="186"/>
      <c r="S109" s="186"/>
      <c r="T109" s="186"/>
      <c r="U109" s="186"/>
      <c r="V109" s="186"/>
      <c r="W109" s="186"/>
      <c r="X109" s="186"/>
      <c r="Y109" s="186"/>
    </row>
    <row r="110">
      <c r="A110" s="178"/>
      <c r="B110" s="36"/>
      <c r="C110" s="37"/>
      <c r="D110" s="179" t="s">
        <v>804</v>
      </c>
      <c r="E110" s="180">
        <v>46010.0</v>
      </c>
      <c r="F110" s="181">
        <v>19.957222222222217</v>
      </c>
      <c r="G110" s="182">
        <v>88949.33944444443</v>
      </c>
      <c r="H110" s="183">
        <v>4457.0</v>
      </c>
      <c r="I110" s="184">
        <v>2228.0</v>
      </c>
      <c r="J110" s="184">
        <v>1485.0</v>
      </c>
      <c r="K110" s="184">
        <v>1782.0</v>
      </c>
      <c r="L110" s="182">
        <v>891.0</v>
      </c>
      <c r="M110" s="185">
        <v>990.0</v>
      </c>
      <c r="N110" s="186">
        <v>3467.0</v>
      </c>
      <c r="O110" s="186"/>
      <c r="P110" s="186"/>
      <c r="Q110" s="186"/>
      <c r="R110" s="186"/>
      <c r="S110" s="186"/>
      <c r="T110" s="186"/>
      <c r="U110" s="186"/>
      <c r="V110" s="186"/>
      <c r="W110" s="186"/>
      <c r="X110" s="186"/>
      <c r="Y110" s="186"/>
    </row>
    <row r="111">
      <c r="A111" s="178"/>
      <c r="B111" s="36"/>
      <c r="C111" s="37"/>
      <c r="D111" s="179" t="s">
        <v>806</v>
      </c>
      <c r="E111" s="180">
        <v>45997.0</v>
      </c>
      <c r="F111" s="181">
        <v>20.0</v>
      </c>
      <c r="G111" s="182">
        <v>13000.0</v>
      </c>
      <c r="H111" s="183">
        <v>650.0</v>
      </c>
      <c r="I111" s="184">
        <v>325.0</v>
      </c>
      <c r="J111" s="184">
        <v>216.0</v>
      </c>
      <c r="K111" s="184">
        <v>260.0</v>
      </c>
      <c r="L111" s="182">
        <v>130.0</v>
      </c>
      <c r="M111" s="185"/>
      <c r="N111" s="186">
        <v>650.0</v>
      </c>
      <c r="O111" s="186"/>
      <c r="P111" s="186"/>
      <c r="Q111" s="186"/>
      <c r="R111" s="186"/>
      <c r="S111" s="186"/>
      <c r="T111" s="186"/>
      <c r="U111" s="186"/>
      <c r="V111" s="186"/>
      <c r="W111" s="186"/>
      <c r="X111" s="186"/>
      <c r="Y111" s="186"/>
    </row>
    <row r="112">
      <c r="A112" s="178"/>
      <c r="B112" s="36"/>
      <c r="C112" s="37"/>
      <c r="D112" s="179" t="s">
        <v>808</v>
      </c>
      <c r="E112" s="180">
        <v>45997.0</v>
      </c>
      <c r="F112" s="181">
        <v>19.957222222222217</v>
      </c>
      <c r="G112" s="182">
        <v>137305.68888888886</v>
      </c>
      <c r="H112" s="183">
        <v>6880.0</v>
      </c>
      <c r="I112" s="184">
        <v>3440.0</v>
      </c>
      <c r="J112" s="184">
        <v>2293.0</v>
      </c>
      <c r="K112" s="184">
        <v>2752.0</v>
      </c>
      <c r="L112" s="182">
        <v>1376.0</v>
      </c>
      <c r="M112" s="185">
        <v>4000.0</v>
      </c>
      <c r="N112" s="186">
        <v>2880.0</v>
      </c>
      <c r="O112" s="186"/>
      <c r="P112" s="186"/>
      <c r="Q112" s="186"/>
      <c r="R112" s="186"/>
      <c r="S112" s="186"/>
      <c r="T112" s="186"/>
      <c r="U112" s="186"/>
      <c r="V112" s="186"/>
      <c r="W112" s="186"/>
      <c r="X112" s="186"/>
      <c r="Y112" s="186"/>
    </row>
    <row r="113">
      <c r="A113" s="178"/>
      <c r="B113" s="36"/>
      <c r="C113" s="37"/>
      <c r="D113" s="179" t="s">
        <v>809</v>
      </c>
      <c r="E113" s="180">
        <v>45994.0</v>
      </c>
      <c r="F113" s="181">
        <v>17.44</v>
      </c>
      <c r="G113" s="182">
        <v>32961.600000000006</v>
      </c>
      <c r="H113" s="183">
        <v>1890.0</v>
      </c>
      <c r="I113" s="184">
        <v>945.0</v>
      </c>
      <c r="J113" s="184">
        <v>630.0</v>
      </c>
      <c r="K113" s="184">
        <v>756.0</v>
      </c>
      <c r="L113" s="182">
        <v>378.0</v>
      </c>
      <c r="M113" s="185">
        <v>1000.0</v>
      </c>
      <c r="N113" s="186">
        <v>890.0</v>
      </c>
      <c r="O113" s="186"/>
      <c r="P113" s="186"/>
      <c r="Q113" s="186"/>
      <c r="R113" s="186"/>
      <c r="S113" s="186"/>
      <c r="T113" s="186"/>
      <c r="U113" s="186"/>
      <c r="V113" s="186"/>
      <c r="W113" s="186"/>
      <c r="X113" s="186"/>
      <c r="Y113" s="186"/>
    </row>
    <row r="114">
      <c r="A114" s="178"/>
      <c r="B114" s="36"/>
      <c r="C114" s="37"/>
      <c r="D114" s="179" t="s">
        <v>811</v>
      </c>
      <c r="E114" s="180">
        <v>45997.0</v>
      </c>
      <c r="F114" s="181">
        <v>17.6305</v>
      </c>
      <c r="G114" s="182">
        <v>68406.34000000001</v>
      </c>
      <c r="H114" s="183">
        <v>3880.0</v>
      </c>
      <c r="I114" s="184">
        <v>1940.0</v>
      </c>
      <c r="J114" s="184">
        <v>1293.0</v>
      </c>
      <c r="K114" s="184">
        <v>1552.0</v>
      </c>
      <c r="L114" s="182">
        <v>776.0</v>
      </c>
      <c r="M114" s="185"/>
      <c r="N114" s="186">
        <v>3880.0</v>
      </c>
      <c r="O114" s="186"/>
      <c r="P114" s="186"/>
      <c r="Q114" s="186"/>
      <c r="R114" s="186"/>
      <c r="S114" s="186"/>
      <c r="T114" s="186"/>
      <c r="U114" s="186"/>
      <c r="V114" s="186"/>
      <c r="W114" s="186"/>
      <c r="X114" s="186"/>
      <c r="Y114" s="186"/>
    </row>
    <row r="115">
      <c r="A115" s="178"/>
      <c r="B115" s="36"/>
      <c r="C115" s="37"/>
      <c r="D115" s="179" t="s">
        <v>812</v>
      </c>
      <c r="E115" s="180">
        <v>45775.0</v>
      </c>
      <c r="F115" s="181">
        <v>13200.0</v>
      </c>
      <c r="G115" s="182">
        <v>1953600.0</v>
      </c>
      <c r="H115" s="183">
        <v>148.0</v>
      </c>
      <c r="I115" s="184">
        <v>74.0</v>
      </c>
      <c r="J115" s="184">
        <v>49.0</v>
      </c>
      <c r="K115" s="184">
        <v>59.0</v>
      </c>
      <c r="L115" s="182">
        <v>29.0</v>
      </c>
      <c r="M115" s="185">
        <v>66.0</v>
      </c>
      <c r="N115" s="186">
        <v>82.0</v>
      </c>
      <c r="O115" s="186"/>
      <c r="P115" s="186"/>
      <c r="Q115" s="186"/>
      <c r="R115" s="186"/>
      <c r="S115" s="186"/>
      <c r="T115" s="186"/>
      <c r="U115" s="186"/>
      <c r="V115" s="186"/>
      <c r="W115" s="186"/>
      <c r="X115" s="186"/>
      <c r="Y115" s="186"/>
    </row>
    <row r="116">
      <c r="A116" s="178"/>
      <c r="B116" s="36"/>
      <c r="C116" s="37"/>
      <c r="D116" s="179" t="s">
        <v>817</v>
      </c>
      <c r="E116" s="180">
        <v>45895.0</v>
      </c>
      <c r="F116" s="181">
        <v>18007.860869565222</v>
      </c>
      <c r="G116" s="182">
        <v>4501965.217391306</v>
      </c>
      <c r="H116" s="183">
        <v>250.0</v>
      </c>
      <c r="I116" s="184">
        <v>125.0</v>
      </c>
      <c r="J116" s="184">
        <v>83.0</v>
      </c>
      <c r="K116" s="184">
        <v>100.0</v>
      </c>
      <c r="L116" s="182">
        <v>50.0</v>
      </c>
      <c r="M116" s="185">
        <v>174.0</v>
      </c>
      <c r="N116" s="186">
        <v>76.0</v>
      </c>
      <c r="O116" s="186"/>
      <c r="P116" s="186"/>
      <c r="Q116" s="186"/>
      <c r="R116" s="186"/>
      <c r="S116" s="186"/>
      <c r="T116" s="186"/>
      <c r="U116" s="186"/>
      <c r="V116" s="186"/>
      <c r="W116" s="186"/>
      <c r="X116" s="186"/>
      <c r="Y116" s="186"/>
    </row>
    <row r="117">
      <c r="A117" s="178"/>
      <c r="B117" s="36"/>
      <c r="C117" s="37"/>
      <c r="D117" s="179" t="s">
        <v>821</v>
      </c>
      <c r="E117" s="180">
        <v>46015.0</v>
      </c>
      <c r="F117" s="181">
        <v>17514.10714285714</v>
      </c>
      <c r="G117" s="182">
        <v>2522031.428571428</v>
      </c>
      <c r="H117" s="183">
        <v>144.0</v>
      </c>
      <c r="I117" s="184">
        <v>72.0</v>
      </c>
      <c r="J117" s="184">
        <v>48.0</v>
      </c>
      <c r="K117" s="184">
        <v>57.0</v>
      </c>
      <c r="L117" s="182">
        <v>28.0</v>
      </c>
      <c r="M117" s="185">
        <v>96.0</v>
      </c>
      <c r="N117" s="186">
        <v>48.0</v>
      </c>
      <c r="O117" s="186"/>
      <c r="P117" s="186"/>
      <c r="Q117" s="186"/>
      <c r="R117" s="186"/>
      <c r="S117" s="186"/>
      <c r="T117" s="186"/>
      <c r="U117" s="186"/>
      <c r="V117" s="186"/>
      <c r="W117" s="186"/>
      <c r="X117" s="186"/>
      <c r="Y117" s="186"/>
    </row>
    <row r="118">
      <c r="A118" s="178"/>
      <c r="B118" s="36"/>
      <c r="C118" s="37"/>
      <c r="D118" s="179" t="s">
        <v>847</v>
      </c>
      <c r="E118" s="180">
        <v>45955.0</v>
      </c>
      <c r="F118" s="181">
        <v>8283.86</v>
      </c>
      <c r="G118" s="182">
        <v>298218.96</v>
      </c>
      <c r="H118" s="183">
        <v>36.0</v>
      </c>
      <c r="I118" s="184">
        <v>18.0</v>
      </c>
      <c r="J118" s="184">
        <v>12.0</v>
      </c>
      <c r="K118" s="184">
        <v>14.0</v>
      </c>
      <c r="L118" s="182">
        <v>7.0</v>
      </c>
      <c r="M118" s="185"/>
      <c r="N118" s="186">
        <v>36.0</v>
      </c>
      <c r="O118" s="186"/>
      <c r="P118" s="186"/>
      <c r="Q118" s="186"/>
      <c r="R118" s="186"/>
      <c r="S118" s="186"/>
      <c r="T118" s="186"/>
      <c r="U118" s="186"/>
      <c r="V118" s="186"/>
      <c r="W118" s="186"/>
      <c r="X118" s="186"/>
      <c r="Y118" s="186"/>
    </row>
    <row r="119">
      <c r="A119" s="178"/>
      <c r="B119" s="36"/>
      <c r="C119" s="37"/>
      <c r="D119" s="179" t="s">
        <v>849</v>
      </c>
      <c r="E119" s="180">
        <v>46014.0</v>
      </c>
      <c r="F119" s="181">
        <v>6801.5325</v>
      </c>
      <c r="G119" s="182">
        <v>734565.51</v>
      </c>
      <c r="H119" s="183">
        <v>108.0</v>
      </c>
      <c r="I119" s="184">
        <v>54.0</v>
      </c>
      <c r="J119" s="184">
        <v>36.0</v>
      </c>
      <c r="K119" s="184">
        <v>43.0</v>
      </c>
      <c r="L119" s="182">
        <v>21.0</v>
      </c>
      <c r="M119" s="185">
        <v>65.0</v>
      </c>
      <c r="N119" s="186">
        <v>43.0</v>
      </c>
      <c r="O119" s="186"/>
      <c r="P119" s="186"/>
      <c r="Q119" s="186"/>
      <c r="R119" s="186"/>
      <c r="S119" s="186"/>
      <c r="T119" s="186"/>
      <c r="U119" s="186"/>
      <c r="V119" s="186"/>
      <c r="W119" s="186"/>
      <c r="X119" s="186"/>
      <c r="Y119" s="186"/>
    </row>
    <row r="120">
      <c r="A120" s="178"/>
      <c r="B120" s="36"/>
      <c r="C120" s="37"/>
      <c r="D120" s="179" t="s">
        <v>856</v>
      </c>
      <c r="E120" s="180">
        <v>46022.0</v>
      </c>
      <c r="F120" s="181">
        <v>11443.306122448981</v>
      </c>
      <c r="G120" s="182">
        <v>343299.1836734694</v>
      </c>
      <c r="H120" s="183">
        <v>30.0</v>
      </c>
      <c r="I120" s="184">
        <v>15.0</v>
      </c>
      <c r="J120" s="184">
        <v>10.0</v>
      </c>
      <c r="K120" s="184">
        <v>12.0</v>
      </c>
      <c r="L120" s="182">
        <v>6.0</v>
      </c>
      <c r="M120" s="185"/>
      <c r="N120" s="186">
        <v>30.0</v>
      </c>
      <c r="O120" s="186"/>
      <c r="P120" s="186"/>
      <c r="Q120" s="186"/>
      <c r="R120" s="186"/>
      <c r="S120" s="186"/>
      <c r="T120" s="186"/>
      <c r="U120" s="186"/>
      <c r="V120" s="186"/>
      <c r="W120" s="186"/>
      <c r="X120" s="186"/>
      <c r="Y120" s="186"/>
    </row>
    <row r="121">
      <c r="A121" s="178"/>
      <c r="B121" s="36"/>
      <c r="C121" s="37"/>
      <c r="D121" s="179" t="s">
        <v>869</v>
      </c>
      <c r="E121" s="180">
        <v>46022.0</v>
      </c>
      <c r="F121" s="181">
        <v>10459.315068493152</v>
      </c>
      <c r="G121" s="182">
        <v>732152.0547945206</v>
      </c>
      <c r="H121" s="183">
        <v>70.0</v>
      </c>
      <c r="I121" s="184">
        <v>35.0</v>
      </c>
      <c r="J121" s="184">
        <v>23.0</v>
      </c>
      <c r="K121" s="184">
        <v>28.0</v>
      </c>
      <c r="L121" s="182">
        <v>14.0</v>
      </c>
      <c r="M121" s="185">
        <v>56.0</v>
      </c>
      <c r="N121" s="186">
        <v>14.0</v>
      </c>
      <c r="O121" s="186"/>
      <c r="P121" s="186"/>
      <c r="Q121" s="186"/>
      <c r="R121" s="186"/>
      <c r="S121" s="186"/>
      <c r="T121" s="186"/>
      <c r="U121" s="186"/>
      <c r="V121" s="186"/>
      <c r="W121" s="186"/>
      <c r="X121" s="186"/>
      <c r="Y121" s="186"/>
    </row>
    <row r="122">
      <c r="A122" s="178"/>
      <c r="B122" s="36"/>
      <c r="C122" s="37"/>
      <c r="D122" s="179" t="s">
        <v>895</v>
      </c>
      <c r="E122" s="180">
        <v>46022.0</v>
      </c>
      <c r="F122" s="181">
        <v>11352.666666666666</v>
      </c>
      <c r="G122" s="182">
        <v>578986.0</v>
      </c>
      <c r="H122" s="183">
        <v>51.0</v>
      </c>
      <c r="I122" s="184">
        <v>25.0</v>
      </c>
      <c r="J122" s="184">
        <v>17.0</v>
      </c>
      <c r="K122" s="184">
        <v>20.0</v>
      </c>
      <c r="L122" s="182">
        <v>10.0</v>
      </c>
      <c r="M122" s="185">
        <v>51.0</v>
      </c>
      <c r="N122" s="186"/>
      <c r="O122" s="186"/>
      <c r="P122" s="186"/>
      <c r="Q122" s="186"/>
      <c r="R122" s="186"/>
      <c r="S122" s="186"/>
      <c r="T122" s="186"/>
      <c r="U122" s="186"/>
      <c r="V122" s="186"/>
      <c r="W122" s="186"/>
      <c r="X122" s="186"/>
      <c r="Y122" s="186"/>
    </row>
    <row r="123">
      <c r="A123" s="178"/>
      <c r="B123" s="36"/>
      <c r="C123" s="37"/>
      <c r="D123" s="179" t="s">
        <v>904</v>
      </c>
      <c r="E123" s="180">
        <v>46014.0</v>
      </c>
      <c r="F123" s="181">
        <v>2904.0666666666666</v>
      </c>
      <c r="G123" s="182">
        <v>5808.133333333333</v>
      </c>
      <c r="H123" s="183">
        <v>2.0</v>
      </c>
      <c r="I123" s="184">
        <v>1.0</v>
      </c>
      <c r="J123" s="184">
        <v>0.0</v>
      </c>
      <c r="K123" s="184">
        <v>0.0</v>
      </c>
      <c r="L123" s="182">
        <v>0.0</v>
      </c>
      <c r="M123" s="185"/>
      <c r="N123" s="186">
        <v>2.0</v>
      </c>
      <c r="O123" s="186"/>
      <c r="P123" s="186"/>
      <c r="Q123" s="186"/>
      <c r="R123" s="186"/>
      <c r="S123" s="186"/>
      <c r="T123" s="186"/>
      <c r="U123" s="186"/>
      <c r="V123" s="186"/>
      <c r="W123" s="186"/>
      <c r="X123" s="186"/>
      <c r="Y123" s="186"/>
    </row>
    <row r="124">
      <c r="A124" s="178"/>
      <c r="B124" s="36"/>
      <c r="C124" s="37"/>
      <c r="D124" s="179" t="s">
        <v>905</v>
      </c>
      <c r="E124" s="180">
        <v>46008.0</v>
      </c>
      <c r="F124" s="181">
        <v>222.0535</v>
      </c>
      <c r="G124" s="182">
        <v>286004.908</v>
      </c>
      <c r="H124" s="183">
        <v>1288.0</v>
      </c>
      <c r="I124" s="184">
        <v>644.0</v>
      </c>
      <c r="J124" s="184">
        <v>429.0</v>
      </c>
      <c r="K124" s="184">
        <v>515.0</v>
      </c>
      <c r="L124" s="182">
        <v>257.0</v>
      </c>
      <c r="M124" s="185">
        <v>1261.0</v>
      </c>
      <c r="N124" s="186">
        <v>27.0</v>
      </c>
      <c r="O124" s="186"/>
      <c r="P124" s="186"/>
      <c r="Q124" s="186"/>
      <c r="R124" s="186"/>
      <c r="S124" s="186"/>
      <c r="T124" s="186"/>
      <c r="U124" s="186"/>
      <c r="V124" s="186"/>
      <c r="W124" s="186"/>
      <c r="X124" s="186"/>
      <c r="Y124" s="186"/>
    </row>
    <row r="125">
      <c r="A125" s="178"/>
      <c r="B125" s="36"/>
      <c r="C125" s="37"/>
      <c r="D125" s="179" t="s">
        <v>910</v>
      </c>
      <c r="E125" s="180">
        <v>46021.0</v>
      </c>
      <c r="F125" s="181">
        <v>157.49999999999997</v>
      </c>
      <c r="G125" s="182">
        <v>525892.4999999999</v>
      </c>
      <c r="H125" s="183">
        <v>3339.0</v>
      </c>
      <c r="I125" s="184">
        <v>1669.0</v>
      </c>
      <c r="J125" s="184">
        <v>1113.0</v>
      </c>
      <c r="K125" s="184">
        <v>1335.0</v>
      </c>
      <c r="L125" s="182">
        <v>667.0</v>
      </c>
      <c r="M125" s="185">
        <v>1760.0</v>
      </c>
      <c r="N125" s="186">
        <v>1579.0</v>
      </c>
      <c r="O125" s="186"/>
      <c r="P125" s="186"/>
      <c r="Q125" s="186"/>
      <c r="R125" s="186"/>
      <c r="S125" s="186"/>
      <c r="T125" s="186"/>
      <c r="U125" s="186"/>
      <c r="V125" s="186"/>
      <c r="W125" s="186"/>
      <c r="X125" s="186"/>
      <c r="Y125" s="186"/>
    </row>
    <row r="126">
      <c r="A126" s="178"/>
      <c r="B126" s="36"/>
      <c r="C126" s="37"/>
      <c r="D126" s="179" t="s">
        <v>933</v>
      </c>
      <c r="E126" s="180">
        <v>46000.0</v>
      </c>
      <c r="F126" s="181">
        <v>535.0</v>
      </c>
      <c r="G126" s="182">
        <v>348820.0</v>
      </c>
      <c r="H126" s="183">
        <v>652.0</v>
      </c>
      <c r="I126" s="184">
        <v>326.0</v>
      </c>
      <c r="J126" s="184">
        <v>217.0</v>
      </c>
      <c r="K126" s="184">
        <v>260.0</v>
      </c>
      <c r="L126" s="182">
        <v>130.0</v>
      </c>
      <c r="M126" s="185">
        <v>33.0</v>
      </c>
      <c r="N126" s="186">
        <v>619.0</v>
      </c>
      <c r="O126" s="186"/>
      <c r="P126" s="186"/>
      <c r="Q126" s="186"/>
      <c r="R126" s="186"/>
      <c r="S126" s="186"/>
      <c r="T126" s="186"/>
      <c r="U126" s="186"/>
      <c r="V126" s="186"/>
      <c r="W126" s="186"/>
      <c r="X126" s="186"/>
      <c r="Y126" s="186"/>
    </row>
    <row r="127">
      <c r="A127" s="178"/>
      <c r="B127" s="36"/>
      <c r="C127" s="37"/>
      <c r="D127" s="179" t="s">
        <v>940</v>
      </c>
      <c r="E127" s="180">
        <v>46006.0</v>
      </c>
      <c r="F127" s="181">
        <v>455.8035</v>
      </c>
      <c r="G127" s="182">
        <v>580237.8555</v>
      </c>
      <c r="H127" s="183">
        <v>1273.0</v>
      </c>
      <c r="I127" s="184">
        <v>636.0</v>
      </c>
      <c r="J127" s="184">
        <v>424.0</v>
      </c>
      <c r="K127" s="184">
        <v>509.0</v>
      </c>
      <c r="L127" s="182">
        <v>254.0</v>
      </c>
      <c r="M127" s="185">
        <v>998.0</v>
      </c>
      <c r="N127" s="186">
        <v>275.0</v>
      </c>
      <c r="O127" s="186"/>
      <c r="P127" s="186"/>
      <c r="Q127" s="186"/>
      <c r="R127" s="186"/>
      <c r="S127" s="186"/>
      <c r="T127" s="186"/>
      <c r="U127" s="186"/>
      <c r="V127" s="186"/>
      <c r="W127" s="186"/>
      <c r="X127" s="186"/>
      <c r="Y127" s="186"/>
    </row>
    <row r="128">
      <c r="A128" s="178"/>
      <c r="B128" s="36"/>
      <c r="C128" s="37"/>
      <c r="D128" s="179" t="s">
        <v>944</v>
      </c>
      <c r="E128" s="180">
        <v>46020.0</v>
      </c>
      <c r="F128" s="181">
        <v>126.08333333333333</v>
      </c>
      <c r="G128" s="182">
        <v>176768.8333333333</v>
      </c>
      <c r="H128" s="183">
        <v>1402.0</v>
      </c>
      <c r="I128" s="184">
        <v>701.0</v>
      </c>
      <c r="J128" s="184">
        <v>467.0</v>
      </c>
      <c r="K128" s="184">
        <v>560.0</v>
      </c>
      <c r="L128" s="182">
        <v>280.0</v>
      </c>
      <c r="M128" s="185">
        <v>1102.0</v>
      </c>
      <c r="N128" s="186">
        <v>300.0</v>
      </c>
      <c r="O128" s="186"/>
      <c r="P128" s="186"/>
      <c r="Q128" s="186"/>
      <c r="R128" s="186"/>
      <c r="S128" s="186"/>
      <c r="T128" s="186"/>
      <c r="U128" s="186"/>
      <c r="V128" s="186"/>
      <c r="W128" s="186"/>
      <c r="X128" s="186"/>
      <c r="Y128" s="186"/>
    </row>
    <row r="129">
      <c r="A129" s="178"/>
      <c r="B129" s="36"/>
      <c r="C129" s="37"/>
      <c r="D129" s="179" t="s">
        <v>958</v>
      </c>
      <c r="E129" s="180">
        <v>46021.0</v>
      </c>
      <c r="F129" s="181">
        <v>359.56692913385825</v>
      </c>
      <c r="G129" s="182">
        <v>81621.69291338582</v>
      </c>
      <c r="H129" s="183">
        <v>227.0</v>
      </c>
      <c r="I129" s="184">
        <v>113.0</v>
      </c>
      <c r="J129" s="184">
        <v>75.0</v>
      </c>
      <c r="K129" s="184">
        <v>90.0</v>
      </c>
      <c r="L129" s="182">
        <v>45.0</v>
      </c>
      <c r="M129" s="185">
        <v>55.0</v>
      </c>
      <c r="N129" s="186">
        <v>172.0</v>
      </c>
      <c r="O129" s="186"/>
      <c r="P129" s="186"/>
      <c r="Q129" s="186"/>
      <c r="R129" s="186"/>
      <c r="S129" s="186"/>
      <c r="T129" s="186"/>
      <c r="U129" s="186"/>
      <c r="V129" s="186"/>
      <c r="W129" s="186"/>
      <c r="X129" s="186"/>
      <c r="Y129" s="186"/>
    </row>
    <row r="130">
      <c r="A130" s="178"/>
      <c r="B130" s="36"/>
      <c r="C130" s="37"/>
      <c r="D130" s="179" t="s">
        <v>960</v>
      </c>
      <c r="E130" s="180">
        <v>45512.0</v>
      </c>
      <c r="F130" s="181">
        <v>10607.575757575756</v>
      </c>
      <c r="G130" s="182">
        <v>10607.575757575756</v>
      </c>
      <c r="H130" s="183">
        <v>1.0</v>
      </c>
      <c r="I130" s="184">
        <v>0.0</v>
      </c>
      <c r="J130" s="184">
        <v>0.0</v>
      </c>
      <c r="K130" s="184">
        <v>0.0</v>
      </c>
      <c r="L130" s="182">
        <v>0.0</v>
      </c>
      <c r="M130" s="185"/>
      <c r="N130" s="186">
        <v>1.0</v>
      </c>
      <c r="O130" s="186"/>
      <c r="P130" s="186"/>
      <c r="Q130" s="186"/>
      <c r="R130" s="186"/>
      <c r="S130" s="186"/>
      <c r="T130" s="186"/>
      <c r="U130" s="186"/>
      <c r="V130" s="186"/>
      <c r="W130" s="186"/>
      <c r="X130" s="186"/>
      <c r="Y130" s="186"/>
    </row>
    <row r="131">
      <c r="A131" s="178"/>
      <c r="B131" s="36"/>
      <c r="C131" s="37"/>
      <c r="D131" s="179" t="s">
        <v>967</v>
      </c>
      <c r="E131" s="180">
        <v>46020.0</v>
      </c>
      <c r="F131" s="181">
        <v>1714.3703703703704</v>
      </c>
      <c r="G131" s="182">
        <v>797182.2222222222</v>
      </c>
      <c r="H131" s="183">
        <v>465.0</v>
      </c>
      <c r="I131" s="184">
        <v>232.0</v>
      </c>
      <c r="J131" s="184">
        <v>155.0</v>
      </c>
      <c r="K131" s="184">
        <v>186.0</v>
      </c>
      <c r="L131" s="182">
        <v>93.0</v>
      </c>
      <c r="M131" s="185">
        <v>161.0</v>
      </c>
      <c r="N131" s="186">
        <v>304.0</v>
      </c>
      <c r="O131" s="186"/>
      <c r="P131" s="186"/>
      <c r="Q131" s="186"/>
      <c r="R131" s="186"/>
      <c r="S131" s="186"/>
      <c r="T131" s="186"/>
      <c r="U131" s="186"/>
      <c r="V131" s="186"/>
      <c r="W131" s="186"/>
      <c r="X131" s="186"/>
      <c r="Y131" s="186"/>
    </row>
    <row r="132">
      <c r="A132" s="178"/>
      <c r="B132" s="36"/>
      <c r="C132" s="37"/>
      <c r="D132" s="179" t="s">
        <v>985</v>
      </c>
      <c r="E132" s="180">
        <v>46000.0</v>
      </c>
      <c r="F132" s="181">
        <v>20791.2</v>
      </c>
      <c r="G132" s="182">
        <v>2494944.0</v>
      </c>
      <c r="H132" s="183">
        <v>120.0</v>
      </c>
      <c r="I132" s="184">
        <v>60.0</v>
      </c>
      <c r="J132" s="184">
        <v>40.0</v>
      </c>
      <c r="K132" s="184">
        <v>48.0</v>
      </c>
      <c r="L132" s="182">
        <v>24.0</v>
      </c>
      <c r="M132" s="185">
        <v>20.0</v>
      </c>
      <c r="N132" s="186">
        <v>100.0</v>
      </c>
      <c r="O132" s="186"/>
      <c r="P132" s="186"/>
      <c r="Q132" s="186"/>
      <c r="R132" s="186"/>
      <c r="S132" s="186"/>
      <c r="T132" s="186"/>
      <c r="U132" s="186"/>
      <c r="V132" s="186"/>
      <c r="W132" s="186"/>
      <c r="X132" s="186"/>
      <c r="Y132" s="186"/>
    </row>
    <row r="133">
      <c r="A133" s="178"/>
      <c r="B133" s="36"/>
      <c r="C133" s="37"/>
      <c r="D133" s="179"/>
      <c r="E133" s="180"/>
      <c r="F133" s="181"/>
      <c r="G133" s="182"/>
      <c r="H133" s="183"/>
      <c r="I133" s="184"/>
      <c r="J133" s="184"/>
      <c r="K133" s="184"/>
      <c r="L133" s="182"/>
      <c r="M133" s="185"/>
      <c r="N133" s="186"/>
      <c r="O133" s="186"/>
      <c r="P133" s="186"/>
      <c r="Q133" s="186"/>
      <c r="R133" s="186"/>
      <c r="S133" s="186"/>
      <c r="T133" s="186"/>
      <c r="U133" s="186"/>
      <c r="V133" s="186"/>
      <c r="W133" s="186"/>
      <c r="X133" s="186"/>
      <c r="Y133" s="186"/>
    </row>
    <row r="134">
      <c r="A134" s="178"/>
      <c r="B134" s="36"/>
      <c r="C134" s="37"/>
      <c r="D134" s="179"/>
      <c r="E134" s="180"/>
      <c r="F134" s="181"/>
      <c r="G134" s="182"/>
      <c r="H134" s="183"/>
      <c r="I134" s="184"/>
      <c r="J134" s="184"/>
      <c r="K134" s="184"/>
      <c r="L134" s="182"/>
      <c r="M134" s="185"/>
      <c r="N134" s="186"/>
      <c r="O134" s="186"/>
      <c r="P134" s="186"/>
      <c r="Q134" s="186"/>
      <c r="R134" s="186"/>
      <c r="S134" s="186"/>
      <c r="T134" s="186"/>
      <c r="U134" s="186"/>
      <c r="V134" s="186"/>
      <c r="W134" s="186"/>
      <c r="X134" s="186"/>
      <c r="Y134" s="186"/>
    </row>
    <row r="135">
      <c r="A135" s="178"/>
      <c r="B135" s="36"/>
      <c r="C135" s="37"/>
      <c r="D135" s="179"/>
      <c r="E135" s="180"/>
      <c r="F135" s="181"/>
      <c r="G135" s="182"/>
      <c r="H135" s="183"/>
      <c r="I135" s="184"/>
      <c r="J135" s="184"/>
      <c r="K135" s="184"/>
      <c r="L135" s="182"/>
      <c r="M135" s="185"/>
      <c r="N135" s="186"/>
      <c r="O135" s="186"/>
      <c r="P135" s="186"/>
      <c r="Q135" s="186"/>
      <c r="R135" s="186"/>
      <c r="S135" s="186"/>
      <c r="T135" s="186"/>
      <c r="U135" s="186"/>
      <c r="V135" s="186"/>
      <c r="W135" s="186"/>
      <c r="X135" s="186"/>
      <c r="Y135" s="186"/>
    </row>
    <row r="136">
      <c r="A136" s="178"/>
      <c r="B136" s="36"/>
      <c r="C136" s="37"/>
      <c r="D136" s="179"/>
      <c r="E136" s="180"/>
      <c r="F136" s="181"/>
      <c r="G136" s="182"/>
      <c r="H136" s="183"/>
      <c r="I136" s="184"/>
      <c r="J136" s="184"/>
      <c r="K136" s="184"/>
      <c r="L136" s="182"/>
      <c r="M136" s="185"/>
      <c r="N136" s="186"/>
      <c r="O136" s="186"/>
      <c r="P136" s="186"/>
      <c r="Q136" s="186"/>
      <c r="R136" s="186"/>
      <c r="S136" s="186"/>
      <c r="T136" s="186"/>
      <c r="U136" s="186"/>
      <c r="V136" s="186"/>
      <c r="W136" s="186"/>
      <c r="X136" s="186"/>
      <c r="Y136" s="186"/>
    </row>
    <row r="137">
      <c r="A137" s="178"/>
      <c r="B137" s="36"/>
      <c r="C137" s="37"/>
      <c r="D137" s="179"/>
      <c r="E137" s="180"/>
      <c r="F137" s="181"/>
      <c r="G137" s="182"/>
      <c r="H137" s="183"/>
      <c r="I137" s="184"/>
      <c r="J137" s="184"/>
      <c r="K137" s="184"/>
      <c r="L137" s="182"/>
      <c r="M137" s="185"/>
      <c r="N137" s="186"/>
      <c r="O137" s="186"/>
      <c r="P137" s="186"/>
      <c r="Q137" s="186"/>
      <c r="R137" s="186"/>
      <c r="S137" s="186"/>
      <c r="T137" s="186"/>
      <c r="U137" s="186"/>
      <c r="V137" s="186"/>
      <c r="W137" s="186"/>
      <c r="X137" s="186"/>
      <c r="Y137" s="186"/>
    </row>
    <row r="138">
      <c r="A138" s="178"/>
      <c r="B138" s="36"/>
      <c r="C138" s="37"/>
      <c r="D138" s="179"/>
      <c r="E138" s="180"/>
      <c r="F138" s="181"/>
      <c r="G138" s="182"/>
      <c r="H138" s="183"/>
      <c r="I138" s="184"/>
      <c r="J138" s="184"/>
      <c r="K138" s="184"/>
      <c r="L138" s="182"/>
      <c r="M138" s="185"/>
      <c r="N138" s="186"/>
      <c r="O138" s="186"/>
      <c r="P138" s="186"/>
      <c r="Q138" s="186"/>
      <c r="R138" s="186"/>
      <c r="S138" s="186"/>
      <c r="T138" s="186"/>
      <c r="U138" s="186"/>
      <c r="V138" s="186"/>
      <c r="W138" s="186"/>
      <c r="X138" s="186"/>
      <c r="Y138" s="186"/>
    </row>
    <row r="139">
      <c r="A139" s="178"/>
      <c r="B139" s="36"/>
      <c r="C139" s="37"/>
      <c r="D139" s="179"/>
      <c r="E139" s="180"/>
      <c r="F139" s="181"/>
      <c r="G139" s="182"/>
      <c r="H139" s="183"/>
      <c r="I139" s="184"/>
      <c r="J139" s="184"/>
      <c r="K139" s="184"/>
      <c r="L139" s="182"/>
      <c r="M139" s="185"/>
      <c r="N139" s="186"/>
      <c r="O139" s="186"/>
      <c r="P139" s="186"/>
      <c r="Q139" s="186"/>
      <c r="R139" s="186"/>
      <c r="S139" s="186"/>
      <c r="T139" s="186"/>
      <c r="U139" s="186"/>
      <c r="V139" s="186"/>
      <c r="W139" s="186"/>
      <c r="X139" s="186"/>
      <c r="Y139" s="186"/>
    </row>
    <row r="140">
      <c r="A140" s="178"/>
      <c r="B140" s="36"/>
      <c r="C140" s="37"/>
      <c r="D140" s="179"/>
      <c r="E140" s="180"/>
      <c r="F140" s="181"/>
      <c r="G140" s="182"/>
      <c r="H140" s="183"/>
      <c r="I140" s="184"/>
      <c r="J140" s="184"/>
      <c r="K140" s="184"/>
      <c r="L140" s="182"/>
      <c r="M140" s="185"/>
      <c r="N140" s="186"/>
      <c r="O140" s="186"/>
      <c r="P140" s="186"/>
      <c r="Q140" s="186"/>
      <c r="R140" s="186"/>
      <c r="S140" s="186"/>
      <c r="T140" s="186"/>
      <c r="U140" s="186"/>
      <c r="V140" s="186"/>
      <c r="W140" s="186"/>
      <c r="X140" s="186"/>
      <c r="Y140" s="186"/>
    </row>
    <row r="141">
      <c r="A141" s="178"/>
      <c r="B141" s="36"/>
      <c r="C141" s="37"/>
      <c r="D141" s="179"/>
      <c r="E141" s="180"/>
      <c r="F141" s="181"/>
      <c r="G141" s="182"/>
      <c r="H141" s="183"/>
      <c r="I141" s="184"/>
      <c r="J141" s="184"/>
      <c r="K141" s="184"/>
      <c r="L141" s="182"/>
      <c r="M141" s="185"/>
      <c r="N141" s="186"/>
      <c r="O141" s="186"/>
      <c r="P141" s="186"/>
      <c r="Q141" s="186"/>
      <c r="R141" s="186"/>
      <c r="S141" s="186"/>
      <c r="T141" s="186"/>
      <c r="U141" s="186"/>
      <c r="V141" s="186"/>
      <c r="W141" s="186"/>
      <c r="X141" s="186"/>
      <c r="Y141" s="186"/>
    </row>
    <row r="142">
      <c r="A142" s="178"/>
      <c r="B142" s="36"/>
      <c r="C142" s="37"/>
      <c r="D142" s="179"/>
      <c r="E142" s="180"/>
      <c r="F142" s="181"/>
      <c r="G142" s="182"/>
      <c r="H142" s="183"/>
      <c r="I142" s="184"/>
      <c r="J142" s="184"/>
      <c r="K142" s="184"/>
      <c r="L142" s="182"/>
      <c r="M142" s="185"/>
      <c r="N142" s="186"/>
      <c r="O142" s="186"/>
      <c r="P142" s="186"/>
      <c r="Q142" s="186"/>
      <c r="R142" s="186"/>
      <c r="S142" s="186"/>
      <c r="T142" s="186"/>
      <c r="U142" s="186"/>
      <c r="V142" s="186"/>
      <c r="W142" s="186"/>
      <c r="X142" s="186"/>
      <c r="Y142" s="186"/>
    </row>
    <row r="143">
      <c r="A143" s="178"/>
      <c r="B143" s="36"/>
      <c r="C143" s="37"/>
      <c r="D143" s="179"/>
      <c r="E143" s="180"/>
      <c r="F143" s="181"/>
      <c r="G143" s="182"/>
      <c r="H143" s="183"/>
      <c r="I143" s="184"/>
      <c r="J143" s="184"/>
      <c r="K143" s="184"/>
      <c r="L143" s="182"/>
      <c r="M143" s="185"/>
      <c r="N143" s="186"/>
      <c r="O143" s="186"/>
      <c r="P143" s="186"/>
      <c r="Q143" s="186"/>
      <c r="R143" s="186"/>
      <c r="S143" s="186"/>
      <c r="T143" s="186"/>
      <c r="U143" s="186"/>
      <c r="V143" s="186"/>
      <c r="W143" s="186"/>
      <c r="X143" s="186"/>
      <c r="Y143" s="186"/>
    </row>
    <row r="144">
      <c r="A144" s="178"/>
      <c r="B144" s="36"/>
      <c r="C144" s="37"/>
      <c r="D144" s="179"/>
      <c r="E144" s="180"/>
      <c r="F144" s="181"/>
      <c r="G144" s="182"/>
      <c r="H144" s="183"/>
      <c r="I144" s="184"/>
      <c r="J144" s="184"/>
      <c r="K144" s="184"/>
      <c r="L144" s="182"/>
      <c r="M144" s="185"/>
      <c r="N144" s="186"/>
      <c r="O144" s="186"/>
      <c r="P144" s="186"/>
      <c r="Q144" s="186"/>
      <c r="R144" s="186"/>
      <c r="S144" s="186"/>
      <c r="T144" s="186"/>
      <c r="U144" s="186"/>
      <c r="V144" s="186"/>
      <c r="W144" s="186"/>
      <c r="X144" s="186"/>
      <c r="Y144" s="186"/>
    </row>
    <row r="145">
      <c r="A145" s="178"/>
      <c r="B145" s="36"/>
      <c r="C145" s="37"/>
      <c r="D145" s="179"/>
      <c r="E145" s="180"/>
      <c r="F145" s="181"/>
      <c r="G145" s="182"/>
      <c r="H145" s="183"/>
      <c r="I145" s="184"/>
      <c r="J145" s="184"/>
      <c r="K145" s="184"/>
      <c r="L145" s="182"/>
      <c r="M145" s="185"/>
      <c r="N145" s="186"/>
      <c r="O145" s="186"/>
      <c r="P145" s="186"/>
      <c r="Q145" s="186"/>
      <c r="R145" s="186"/>
      <c r="S145" s="186"/>
      <c r="T145" s="186"/>
      <c r="U145" s="186"/>
      <c r="V145" s="186"/>
      <c r="W145" s="186"/>
      <c r="X145" s="186"/>
      <c r="Y145" s="186"/>
    </row>
  </sheetData>
  <conditionalFormatting sqref="D1 E1:G145 H1:J2 K1:Y145 D12">
    <cfRule type="cellIs" dxfId="1" priority="1" operator="between">
      <formula>0.001</formula>
      <formula>-0.001</formula>
    </cfRule>
  </conditionalFormatting>
  <conditionalFormatting sqref="D1 E1:G145 H1:J2 K1:Y145 D12">
    <cfRule type="cellIs" dxfId="0" priority="2" operator="lessThan">
      <formula>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0.88"/>
    <col customWidth="1" min="3" max="4" width="21.25"/>
    <col customWidth="1" min="5" max="5" width="12.38"/>
    <col customWidth="1" min="6" max="6" width="90.0"/>
  </cols>
  <sheetData>
    <row r="1">
      <c r="A1" s="187" t="s">
        <v>1057</v>
      </c>
      <c r="B1" s="86" t="s">
        <v>13</v>
      </c>
      <c r="C1" s="86" t="s">
        <v>1058</v>
      </c>
      <c r="D1" s="86" t="s">
        <v>1059</v>
      </c>
      <c r="E1" s="188" t="s">
        <v>1060</v>
      </c>
      <c r="F1" s="188" t="s">
        <v>1007</v>
      </c>
    </row>
    <row r="2" hidden="1">
      <c r="E2" s="186"/>
      <c r="F2" s="189"/>
    </row>
    <row r="3">
      <c r="A3" s="39">
        <v>43595.0</v>
      </c>
      <c r="B3" s="11" t="s">
        <v>32</v>
      </c>
      <c r="C3" s="14" t="s">
        <v>66</v>
      </c>
      <c r="D3" s="14" t="s">
        <v>68</v>
      </c>
      <c r="E3" s="127">
        <v>1100.0</v>
      </c>
      <c r="F3" s="190"/>
    </row>
    <row r="4">
      <c r="A4" s="39">
        <v>43595.0</v>
      </c>
      <c r="B4" s="11" t="s">
        <v>90</v>
      </c>
      <c r="C4" s="14" t="s">
        <v>66</v>
      </c>
      <c r="D4" s="14" t="s">
        <v>56</v>
      </c>
      <c r="E4" s="127">
        <v>10.0</v>
      </c>
      <c r="F4" s="190"/>
    </row>
    <row r="5">
      <c r="A5" s="39">
        <v>43595.0</v>
      </c>
      <c r="B5" s="11" t="s">
        <v>93</v>
      </c>
      <c r="C5" s="14" t="s">
        <v>66</v>
      </c>
      <c r="D5" s="14" t="s">
        <v>68</v>
      </c>
      <c r="E5" s="127">
        <v>750.0</v>
      </c>
      <c r="F5" s="190"/>
    </row>
    <row r="6">
      <c r="A6" s="39">
        <v>43595.0</v>
      </c>
      <c r="B6" s="11" t="s">
        <v>93</v>
      </c>
      <c r="C6" s="14" t="s">
        <v>66</v>
      </c>
      <c r="D6" s="14" t="s">
        <v>98</v>
      </c>
      <c r="E6" s="127">
        <v>150.0</v>
      </c>
      <c r="F6" s="190"/>
    </row>
    <row r="7">
      <c r="A7" s="39">
        <v>43595.0</v>
      </c>
      <c r="B7" s="11" t="s">
        <v>150</v>
      </c>
      <c r="C7" s="14" t="s">
        <v>66</v>
      </c>
      <c r="D7" s="14"/>
      <c r="E7" s="127">
        <v>60.0</v>
      </c>
      <c r="F7" s="190"/>
    </row>
    <row r="8">
      <c r="A8" s="39">
        <v>43595.0</v>
      </c>
      <c r="B8" s="11" t="s">
        <v>152</v>
      </c>
      <c r="C8" s="14" t="s">
        <v>66</v>
      </c>
      <c r="D8" s="14" t="s">
        <v>56</v>
      </c>
      <c r="E8" s="127">
        <v>40.0</v>
      </c>
      <c r="F8" s="190"/>
    </row>
    <row r="9">
      <c r="A9" s="39">
        <v>43595.0</v>
      </c>
      <c r="B9" s="11" t="s">
        <v>152</v>
      </c>
      <c r="C9" s="14" t="s">
        <v>66</v>
      </c>
      <c r="D9" s="14" t="s">
        <v>98</v>
      </c>
      <c r="E9" s="127">
        <v>60.0</v>
      </c>
      <c r="F9" s="190"/>
    </row>
    <row r="10">
      <c r="A10" s="39">
        <v>43595.0</v>
      </c>
      <c r="B10" s="11" t="s">
        <v>175</v>
      </c>
      <c r="C10" s="14" t="s">
        <v>66</v>
      </c>
      <c r="D10" s="14" t="s">
        <v>56</v>
      </c>
      <c r="E10" s="127">
        <v>7.0</v>
      </c>
      <c r="F10" s="190"/>
    </row>
    <row r="11">
      <c r="A11" s="39">
        <v>43595.0</v>
      </c>
      <c r="B11" s="11" t="s">
        <v>967</v>
      </c>
      <c r="C11" s="14" t="s">
        <v>66</v>
      </c>
      <c r="D11" s="14" t="s">
        <v>56</v>
      </c>
      <c r="E11" s="127">
        <v>7.0</v>
      </c>
      <c r="F11" s="190"/>
    </row>
    <row r="12">
      <c r="A12" s="39">
        <v>43595.0</v>
      </c>
      <c r="B12" s="11" t="s">
        <v>175</v>
      </c>
      <c r="C12" s="14" t="s">
        <v>66</v>
      </c>
      <c r="D12" s="14" t="s">
        <v>56</v>
      </c>
      <c r="E12" s="127">
        <v>3.0</v>
      </c>
      <c r="F12" s="190"/>
    </row>
    <row r="13">
      <c r="A13" s="39">
        <v>43595.0</v>
      </c>
      <c r="B13" s="11" t="s">
        <v>967</v>
      </c>
      <c r="C13" s="14" t="s">
        <v>66</v>
      </c>
      <c r="D13" s="14" t="s">
        <v>56</v>
      </c>
      <c r="E13" s="127">
        <v>3.0</v>
      </c>
      <c r="F13" s="190"/>
    </row>
    <row r="14">
      <c r="A14" s="39">
        <v>43595.0</v>
      </c>
      <c r="B14" s="11" t="s">
        <v>175</v>
      </c>
      <c r="C14" s="14" t="s">
        <v>66</v>
      </c>
      <c r="D14" s="14" t="s">
        <v>56</v>
      </c>
      <c r="E14" s="127">
        <v>13.0</v>
      </c>
      <c r="F14" s="190"/>
    </row>
    <row r="15">
      <c r="A15" s="39">
        <v>43595.0</v>
      </c>
      <c r="B15" s="11" t="s">
        <v>969</v>
      </c>
      <c r="C15" s="14" t="s">
        <v>66</v>
      </c>
      <c r="D15" s="14" t="s">
        <v>56</v>
      </c>
      <c r="E15" s="127">
        <v>13.0</v>
      </c>
      <c r="F15" s="190"/>
    </row>
    <row r="16">
      <c r="A16" s="39">
        <v>43595.0</v>
      </c>
      <c r="B16" s="11" t="s">
        <v>315</v>
      </c>
      <c r="C16" s="14" t="s">
        <v>66</v>
      </c>
      <c r="D16" s="14" t="s">
        <v>56</v>
      </c>
      <c r="E16" s="127">
        <v>1.0</v>
      </c>
      <c r="F16" s="190"/>
    </row>
    <row r="17">
      <c r="A17" s="39">
        <v>43595.0</v>
      </c>
      <c r="B17" s="11" t="s">
        <v>408</v>
      </c>
      <c r="C17" s="14" t="s">
        <v>66</v>
      </c>
      <c r="D17" s="14" t="s">
        <v>98</v>
      </c>
      <c r="E17" s="186">
        <v>4900.0</v>
      </c>
      <c r="F17" s="189"/>
    </row>
    <row r="18">
      <c r="A18" s="39">
        <v>43595.0</v>
      </c>
      <c r="B18" s="11" t="s">
        <v>408</v>
      </c>
      <c r="C18" s="14" t="s">
        <v>66</v>
      </c>
      <c r="D18" s="14" t="s">
        <v>56</v>
      </c>
      <c r="E18" s="127">
        <v>1500.0</v>
      </c>
      <c r="F18" s="190"/>
    </row>
    <row r="19">
      <c r="A19" s="39">
        <v>43595.0</v>
      </c>
      <c r="B19" s="11" t="s">
        <v>472</v>
      </c>
      <c r="C19" s="14" t="s">
        <v>66</v>
      </c>
      <c r="D19" s="14" t="s">
        <v>68</v>
      </c>
      <c r="E19" s="186">
        <v>1500.0</v>
      </c>
      <c r="F19" s="189"/>
    </row>
    <row r="20">
      <c r="A20" s="39">
        <v>43595.0</v>
      </c>
      <c r="B20" s="11" t="s">
        <v>587</v>
      </c>
      <c r="C20" s="14" t="s">
        <v>66</v>
      </c>
      <c r="D20" s="14" t="s">
        <v>98</v>
      </c>
      <c r="E20" s="127">
        <v>26.0</v>
      </c>
      <c r="F20" s="190"/>
    </row>
    <row r="21">
      <c r="A21" s="39">
        <v>43595.0</v>
      </c>
      <c r="B21" s="11" t="s">
        <v>650</v>
      </c>
      <c r="C21" s="14" t="s">
        <v>66</v>
      </c>
      <c r="D21" s="14" t="s">
        <v>56</v>
      </c>
      <c r="E21" s="127">
        <v>4000.0</v>
      </c>
      <c r="F21" s="190"/>
    </row>
    <row r="22">
      <c r="A22" s="39">
        <v>43595.0</v>
      </c>
      <c r="B22" s="11" t="s">
        <v>650</v>
      </c>
      <c r="C22" s="14" t="s">
        <v>66</v>
      </c>
      <c r="D22" s="14" t="s">
        <v>98</v>
      </c>
      <c r="E22" s="186">
        <v>2000.0</v>
      </c>
      <c r="F22" s="189"/>
    </row>
    <row r="23">
      <c r="A23" s="39">
        <v>43595.0</v>
      </c>
      <c r="B23" s="11" t="s">
        <v>707</v>
      </c>
      <c r="C23" s="14" t="s">
        <v>66</v>
      </c>
      <c r="D23" s="14" t="s">
        <v>56</v>
      </c>
      <c r="E23" s="127">
        <v>100.0</v>
      </c>
      <c r="F23" s="190"/>
    </row>
    <row r="24">
      <c r="A24" s="39">
        <v>43595.0</v>
      </c>
      <c r="B24" s="11" t="s">
        <v>843</v>
      </c>
      <c r="C24" s="14" t="s">
        <v>66</v>
      </c>
      <c r="D24" s="14" t="s">
        <v>98</v>
      </c>
      <c r="E24" s="186">
        <v>70.0</v>
      </c>
      <c r="F24" s="189"/>
    </row>
    <row r="25">
      <c r="A25" s="39">
        <v>43595.0</v>
      </c>
      <c r="B25" s="11" t="s">
        <v>845</v>
      </c>
      <c r="C25" s="14" t="s">
        <v>66</v>
      </c>
      <c r="D25" s="14" t="s">
        <v>98</v>
      </c>
      <c r="E25" s="186">
        <v>44.0</v>
      </c>
      <c r="F25" s="189"/>
    </row>
    <row r="26">
      <c r="A26" s="39">
        <v>43595.0</v>
      </c>
      <c r="B26" s="11" t="s">
        <v>956</v>
      </c>
      <c r="C26" s="14" t="s">
        <v>66</v>
      </c>
      <c r="D26" s="14" t="s">
        <v>98</v>
      </c>
      <c r="E26" s="186">
        <v>30.0</v>
      </c>
      <c r="F26" s="189"/>
    </row>
    <row r="27">
      <c r="A27" s="39">
        <v>43595.0</v>
      </c>
      <c r="B27" s="11" t="s">
        <v>960</v>
      </c>
      <c r="C27" s="14" t="s">
        <v>66</v>
      </c>
      <c r="D27" s="14" t="s">
        <v>98</v>
      </c>
      <c r="E27" s="127">
        <v>87.0</v>
      </c>
      <c r="F27" s="190"/>
    </row>
    <row r="28">
      <c r="A28" s="39">
        <v>43595.0</v>
      </c>
      <c r="B28" s="11" t="s">
        <v>995</v>
      </c>
      <c r="C28" s="14" t="s">
        <v>66</v>
      </c>
      <c r="D28" s="14" t="s">
        <v>98</v>
      </c>
      <c r="E28" s="127">
        <v>1.0</v>
      </c>
      <c r="F28" s="190"/>
    </row>
    <row r="29">
      <c r="A29" s="39">
        <v>43595.0</v>
      </c>
      <c r="B29" s="11" t="s">
        <v>998</v>
      </c>
      <c r="C29" s="14" t="s">
        <v>66</v>
      </c>
      <c r="D29" s="14" t="s">
        <v>98</v>
      </c>
      <c r="E29" s="127">
        <v>1.0</v>
      </c>
      <c r="F29" s="190"/>
    </row>
    <row r="30">
      <c r="A30" s="39">
        <v>43602.0</v>
      </c>
      <c r="B30" s="11" t="s">
        <v>152</v>
      </c>
      <c r="C30" s="14" t="s">
        <v>56</v>
      </c>
      <c r="D30" s="14" t="s">
        <v>66</v>
      </c>
      <c r="E30" s="127">
        <v>24.0</v>
      </c>
      <c r="F30" s="190"/>
    </row>
    <row r="31">
      <c r="A31" s="39"/>
      <c r="B31" s="11"/>
      <c r="C31" s="14"/>
      <c r="D31" s="14"/>
      <c r="E31" s="127"/>
      <c r="F31" s="190"/>
    </row>
    <row r="32">
      <c r="A32" s="39">
        <v>43602.0</v>
      </c>
      <c r="B32" s="11" t="s">
        <v>967</v>
      </c>
      <c r="C32" s="14" t="s">
        <v>56</v>
      </c>
      <c r="D32" s="14" t="s">
        <v>66</v>
      </c>
      <c r="E32" s="127">
        <v>3.0</v>
      </c>
      <c r="F32" s="190"/>
    </row>
    <row r="33">
      <c r="A33" s="39">
        <v>43602.0</v>
      </c>
      <c r="B33" s="11" t="s">
        <v>967</v>
      </c>
      <c r="C33" s="14" t="s">
        <v>66</v>
      </c>
      <c r="D33" s="14" t="s">
        <v>56</v>
      </c>
      <c r="E33" s="127">
        <v>15.0</v>
      </c>
      <c r="F33" s="190"/>
    </row>
    <row r="34">
      <c r="A34" s="39">
        <v>43602.0</v>
      </c>
      <c r="B34" s="11" t="s">
        <v>969</v>
      </c>
      <c r="C34" s="14" t="s">
        <v>56</v>
      </c>
      <c r="D34" s="14" t="s">
        <v>66</v>
      </c>
      <c r="E34" s="127">
        <v>3.0</v>
      </c>
      <c r="F34" s="190"/>
    </row>
    <row r="35">
      <c r="A35" s="39">
        <v>43602.0</v>
      </c>
      <c r="B35" s="11" t="s">
        <v>408</v>
      </c>
      <c r="C35" s="14" t="s">
        <v>56</v>
      </c>
      <c r="D35" s="14" t="s">
        <v>66</v>
      </c>
      <c r="E35" s="127">
        <v>40.0</v>
      </c>
      <c r="F35" s="190"/>
    </row>
    <row r="36">
      <c r="A36" s="39">
        <v>43602.0</v>
      </c>
      <c r="B36" s="11" t="s">
        <v>408</v>
      </c>
      <c r="C36" s="14" t="s">
        <v>66</v>
      </c>
      <c r="D36" s="14" t="s">
        <v>56</v>
      </c>
      <c r="E36" s="127">
        <v>16.0</v>
      </c>
      <c r="F36" s="190"/>
    </row>
    <row r="37">
      <c r="A37" s="39">
        <v>43602.0</v>
      </c>
      <c r="B37" s="11" t="s">
        <v>516</v>
      </c>
      <c r="C37" s="14" t="s">
        <v>56</v>
      </c>
      <c r="D37" s="14" t="s">
        <v>66</v>
      </c>
      <c r="E37" s="127">
        <v>160.0</v>
      </c>
      <c r="F37" s="190"/>
    </row>
    <row r="38">
      <c r="A38" s="39">
        <v>43602.0</v>
      </c>
      <c r="B38" s="11" t="s">
        <v>631</v>
      </c>
      <c r="C38" s="14" t="s">
        <v>56</v>
      </c>
      <c r="D38" s="14" t="s">
        <v>66</v>
      </c>
      <c r="E38" s="127">
        <v>5.0</v>
      </c>
      <c r="F38" s="190"/>
    </row>
    <row r="39">
      <c r="A39" s="39">
        <v>43602.0</v>
      </c>
      <c r="B39" s="11" t="s">
        <v>650</v>
      </c>
      <c r="C39" s="14" t="s">
        <v>56</v>
      </c>
      <c r="D39" s="14" t="s">
        <v>66</v>
      </c>
      <c r="E39" s="127">
        <v>2125.0</v>
      </c>
      <c r="F39" s="190"/>
    </row>
    <row r="40">
      <c r="A40" s="39">
        <v>43602.0</v>
      </c>
      <c r="B40" s="11" t="s">
        <v>944</v>
      </c>
      <c r="C40" s="14" t="s">
        <v>56</v>
      </c>
      <c r="D40" s="14" t="s">
        <v>66</v>
      </c>
      <c r="E40" s="127">
        <v>150.0</v>
      </c>
      <c r="F40" s="190"/>
    </row>
    <row r="41">
      <c r="A41" s="39">
        <v>43602.0</v>
      </c>
      <c r="B41" s="11" t="s">
        <v>960</v>
      </c>
      <c r="C41" s="14" t="s">
        <v>56</v>
      </c>
      <c r="D41" s="14" t="s">
        <v>66</v>
      </c>
      <c r="E41" s="127">
        <v>6.0</v>
      </c>
      <c r="F41" s="190"/>
    </row>
    <row r="42">
      <c r="A42" s="39">
        <v>43602.03717648148</v>
      </c>
      <c r="B42" s="11" t="s">
        <v>544</v>
      </c>
      <c r="C42" s="14" t="s">
        <v>56</v>
      </c>
      <c r="D42" s="14" t="s">
        <v>66</v>
      </c>
      <c r="E42" s="127">
        <v>40.0</v>
      </c>
      <c r="F42" s="190"/>
    </row>
    <row r="43">
      <c r="A43" s="39">
        <v>43602.03717648148</v>
      </c>
      <c r="B43" s="11" t="s">
        <v>566</v>
      </c>
      <c r="C43" s="14" t="s">
        <v>56</v>
      </c>
      <c r="D43" s="14" t="s">
        <v>66</v>
      </c>
      <c r="E43" s="127">
        <v>160.0</v>
      </c>
      <c r="F43" s="190"/>
    </row>
    <row r="44">
      <c r="A44" s="39">
        <v>43602.778471840276</v>
      </c>
      <c r="B44" s="11" t="s">
        <v>408</v>
      </c>
      <c r="C44" s="14" t="s">
        <v>56</v>
      </c>
      <c r="D44" s="14" t="s">
        <v>66</v>
      </c>
      <c r="E44" s="127">
        <v>350.0</v>
      </c>
      <c r="F44" s="190"/>
    </row>
    <row r="45">
      <c r="A45" s="39">
        <v>43612.0</v>
      </c>
      <c r="B45" s="11" t="s">
        <v>960</v>
      </c>
      <c r="C45" s="14" t="s">
        <v>66</v>
      </c>
      <c r="D45" s="14" t="s">
        <v>56</v>
      </c>
      <c r="E45" s="127">
        <v>5.0</v>
      </c>
      <c r="F45" s="190"/>
    </row>
    <row r="46">
      <c r="A46" s="39">
        <v>43616.0</v>
      </c>
      <c r="B46" s="11" t="s">
        <v>944</v>
      </c>
      <c r="C46" s="14" t="s">
        <v>56</v>
      </c>
      <c r="D46" s="191" t="s">
        <v>66</v>
      </c>
      <c r="E46" s="127">
        <v>41.0</v>
      </c>
      <c r="F46" s="190"/>
    </row>
    <row r="47">
      <c r="A47" s="39">
        <v>43616.39078320602</v>
      </c>
      <c r="B47" s="11" t="s">
        <v>32</v>
      </c>
      <c r="C47" s="14" t="s">
        <v>56</v>
      </c>
      <c r="D47" s="14" t="s">
        <v>66</v>
      </c>
      <c r="E47" s="127">
        <v>174.0</v>
      </c>
      <c r="F47" s="190"/>
    </row>
    <row r="48">
      <c r="A48" s="39">
        <v>43616.39096870371</v>
      </c>
      <c r="B48" s="11" t="s">
        <v>93</v>
      </c>
      <c r="C48" s="14" t="s">
        <v>56</v>
      </c>
      <c r="D48" s="14" t="s">
        <v>66</v>
      </c>
      <c r="E48" s="127">
        <v>10.0</v>
      </c>
      <c r="F48" s="190"/>
    </row>
    <row r="49">
      <c r="A49" s="39">
        <v>43616.391162291664</v>
      </c>
      <c r="B49" s="11" t="s">
        <v>631</v>
      </c>
      <c r="C49" s="14" t="s">
        <v>56</v>
      </c>
      <c r="D49" s="14" t="s">
        <v>66</v>
      </c>
      <c r="E49" s="127">
        <v>3.0</v>
      </c>
      <c r="F49" s="190"/>
    </row>
    <row r="50">
      <c r="A50" s="39">
        <v>43616.391239756944</v>
      </c>
      <c r="B50" s="11" t="s">
        <v>967</v>
      </c>
      <c r="C50" s="14" t="s">
        <v>56</v>
      </c>
      <c r="D50" s="14" t="s">
        <v>66</v>
      </c>
      <c r="E50" s="127">
        <v>2.0</v>
      </c>
      <c r="F50" s="190"/>
    </row>
    <row r="51">
      <c r="A51" s="39">
        <v>43616.39134268519</v>
      </c>
      <c r="B51" s="11" t="s">
        <v>175</v>
      </c>
      <c r="C51" s="191" t="s">
        <v>56</v>
      </c>
      <c r="D51" s="191" t="s">
        <v>66</v>
      </c>
      <c r="E51" s="127">
        <v>12.0</v>
      </c>
      <c r="F51" s="190"/>
    </row>
    <row r="52">
      <c r="A52" s="39">
        <v>43616.39134268519</v>
      </c>
      <c r="B52" s="11" t="s">
        <v>967</v>
      </c>
      <c r="C52" s="191" t="s">
        <v>56</v>
      </c>
      <c r="D52" s="191" t="s">
        <v>66</v>
      </c>
      <c r="E52" s="127">
        <v>12.0</v>
      </c>
      <c r="F52" s="190"/>
    </row>
    <row r="53">
      <c r="A53" s="39">
        <v>43616.39154539352</v>
      </c>
      <c r="B53" s="11" t="s">
        <v>408</v>
      </c>
      <c r="C53" s="191" t="s">
        <v>56</v>
      </c>
      <c r="D53" s="191" t="s">
        <v>66</v>
      </c>
      <c r="E53" s="127">
        <v>240.0</v>
      </c>
      <c r="F53" s="190"/>
    </row>
    <row r="54">
      <c r="A54" s="39">
        <v>43616.391795601856</v>
      </c>
      <c r="B54" s="11" t="s">
        <v>472</v>
      </c>
      <c r="C54" s="191" t="s">
        <v>56</v>
      </c>
      <c r="D54" s="191" t="s">
        <v>66</v>
      </c>
      <c r="E54" s="127">
        <v>999.0</v>
      </c>
      <c r="F54" s="190"/>
    </row>
    <row r="55">
      <c r="A55" s="39">
        <v>43770.0</v>
      </c>
      <c r="B55" s="11" t="s">
        <v>152</v>
      </c>
      <c r="C55" s="14" t="s">
        <v>56</v>
      </c>
      <c r="D55" s="14" t="s">
        <v>66</v>
      </c>
      <c r="E55" s="127">
        <v>40.0</v>
      </c>
      <c r="F55" s="190"/>
    </row>
    <row r="56">
      <c r="A56" s="39">
        <v>43770.0</v>
      </c>
      <c r="B56" s="11" t="s">
        <v>544</v>
      </c>
      <c r="C56" s="14" t="s">
        <v>66</v>
      </c>
      <c r="D56" s="14" t="s">
        <v>56</v>
      </c>
      <c r="E56" s="127">
        <v>750.0</v>
      </c>
      <c r="F56" s="190"/>
    </row>
    <row r="57">
      <c r="A57" s="39">
        <v>43770.0</v>
      </c>
      <c r="B57" s="11" t="s">
        <v>682</v>
      </c>
      <c r="C57" s="14" t="s">
        <v>66</v>
      </c>
      <c r="D57" s="14" t="s">
        <v>68</v>
      </c>
      <c r="E57" s="127">
        <v>330.0</v>
      </c>
      <c r="F57" s="190"/>
    </row>
    <row r="58">
      <c r="A58" s="39">
        <v>43770.0</v>
      </c>
      <c r="B58" s="11" t="s">
        <v>707</v>
      </c>
      <c r="C58" s="14" t="s">
        <v>56</v>
      </c>
      <c r="D58" s="14" t="s">
        <v>66</v>
      </c>
      <c r="E58" s="127">
        <v>20.0</v>
      </c>
      <c r="F58" s="190"/>
    </row>
    <row r="59">
      <c r="A59" s="39">
        <v>43770.0</v>
      </c>
      <c r="B59" s="11" t="s">
        <v>944</v>
      </c>
      <c r="C59" s="14" t="s">
        <v>66</v>
      </c>
      <c r="D59" s="14" t="s">
        <v>56</v>
      </c>
      <c r="E59" s="127">
        <v>450.0</v>
      </c>
      <c r="F59" s="190"/>
    </row>
    <row r="60">
      <c r="A60" s="39">
        <v>43834.0</v>
      </c>
      <c r="B60" s="11" t="s">
        <v>32</v>
      </c>
      <c r="C60" s="14" t="s">
        <v>66</v>
      </c>
      <c r="D60" s="14" t="s">
        <v>56</v>
      </c>
      <c r="E60" s="127">
        <v>1082.0</v>
      </c>
      <c r="F60" s="190"/>
    </row>
    <row r="61">
      <c r="A61" s="39">
        <v>43834.0</v>
      </c>
      <c r="B61" s="11" t="s">
        <v>93</v>
      </c>
      <c r="C61" s="14" t="s">
        <v>66</v>
      </c>
      <c r="D61" s="14" t="s">
        <v>56</v>
      </c>
      <c r="E61" s="127">
        <v>652.0</v>
      </c>
      <c r="F61" s="190"/>
    </row>
    <row r="62">
      <c r="A62" s="39">
        <v>43834.0</v>
      </c>
      <c r="B62" s="11" t="s">
        <v>408</v>
      </c>
      <c r="C62" s="14" t="s">
        <v>66</v>
      </c>
      <c r="D62" s="14" t="s">
        <v>56</v>
      </c>
      <c r="E62" s="127">
        <v>1105.0</v>
      </c>
      <c r="F62" s="190"/>
    </row>
    <row r="63">
      <c r="A63" s="39">
        <v>43834.0</v>
      </c>
      <c r="B63" s="11" t="s">
        <v>682</v>
      </c>
      <c r="C63" s="14" t="s">
        <v>56</v>
      </c>
      <c r="D63" s="14" t="s">
        <v>66</v>
      </c>
      <c r="E63" s="127">
        <v>161.0</v>
      </c>
      <c r="F63" s="190"/>
    </row>
    <row r="64">
      <c r="A64" s="39">
        <v>43834.0</v>
      </c>
      <c r="B64" s="11" t="s">
        <v>707</v>
      </c>
      <c r="C64" s="14" t="s">
        <v>56</v>
      </c>
      <c r="D64" s="14" t="s">
        <v>66</v>
      </c>
      <c r="E64" s="127">
        <v>55.0</v>
      </c>
      <c r="F64" s="190"/>
    </row>
    <row r="65">
      <c r="A65" s="39">
        <v>43834.0</v>
      </c>
      <c r="B65" s="11" t="s">
        <v>944</v>
      </c>
      <c r="C65" s="14" t="s">
        <v>66</v>
      </c>
      <c r="D65" s="14" t="s">
        <v>56</v>
      </c>
      <c r="E65" s="127">
        <v>284.0</v>
      </c>
      <c r="F65" s="190"/>
    </row>
    <row r="66">
      <c r="A66" s="39">
        <v>43877.0</v>
      </c>
      <c r="B66" s="11" t="s">
        <v>152</v>
      </c>
      <c r="C66" s="14" t="s">
        <v>56</v>
      </c>
      <c r="D66" s="14" t="s">
        <v>66</v>
      </c>
      <c r="E66" s="127">
        <v>8.0</v>
      </c>
      <c r="F66" s="190"/>
    </row>
    <row r="67">
      <c r="A67" s="39">
        <v>43877.0</v>
      </c>
      <c r="B67" s="11" t="s">
        <v>175</v>
      </c>
      <c r="C67" s="14" t="s">
        <v>66</v>
      </c>
      <c r="D67" s="14" t="s">
        <v>56</v>
      </c>
      <c r="E67" s="127">
        <v>5.0</v>
      </c>
      <c r="F67" s="190"/>
    </row>
    <row r="68">
      <c r="A68" s="39">
        <v>43877.0</v>
      </c>
      <c r="B68" s="11" t="s">
        <v>408</v>
      </c>
      <c r="C68" s="14" t="s">
        <v>66</v>
      </c>
      <c r="D68" s="14" t="s">
        <v>56</v>
      </c>
      <c r="E68" s="127">
        <v>1400.0</v>
      </c>
      <c r="F68" s="190"/>
    </row>
    <row r="69">
      <c r="A69" s="39">
        <v>43877.0</v>
      </c>
      <c r="B69" s="11" t="s">
        <v>472</v>
      </c>
      <c r="C69" s="14" t="s">
        <v>66</v>
      </c>
      <c r="D69" s="14" t="s">
        <v>56</v>
      </c>
      <c r="E69" s="127">
        <v>696.0</v>
      </c>
      <c r="F69" s="190"/>
    </row>
    <row r="70">
      <c r="A70" s="39">
        <v>43877.0</v>
      </c>
      <c r="B70" s="11" t="s">
        <v>544</v>
      </c>
      <c r="C70" s="14" t="s">
        <v>56</v>
      </c>
      <c r="D70" s="14" t="s">
        <v>66</v>
      </c>
      <c r="E70" s="127">
        <v>253.0</v>
      </c>
      <c r="F70" s="190"/>
    </row>
    <row r="71">
      <c r="A71" s="39">
        <v>43877.734131875</v>
      </c>
      <c r="B71" s="11" t="s">
        <v>516</v>
      </c>
      <c r="C71" s="14" t="s">
        <v>66</v>
      </c>
      <c r="D71" s="14" t="s">
        <v>56</v>
      </c>
      <c r="E71" s="127">
        <v>730.0</v>
      </c>
      <c r="F71" s="190"/>
    </row>
    <row r="72">
      <c r="A72" s="39">
        <v>43877.734131875</v>
      </c>
      <c r="B72" s="11" t="s">
        <v>535</v>
      </c>
      <c r="C72" s="14" t="s">
        <v>66</v>
      </c>
      <c r="D72" s="14" t="s">
        <v>56</v>
      </c>
      <c r="E72" s="127">
        <v>240.0</v>
      </c>
      <c r="F72" s="190"/>
    </row>
    <row r="73">
      <c r="A73" s="39">
        <v>43877.734131875</v>
      </c>
      <c r="B73" s="11" t="s">
        <v>555</v>
      </c>
      <c r="C73" s="14" t="s">
        <v>66</v>
      </c>
      <c r="D73" s="14" t="s">
        <v>56</v>
      </c>
      <c r="E73" s="127">
        <v>680.0</v>
      </c>
      <c r="F73" s="190"/>
    </row>
    <row r="74">
      <c r="A74" s="39">
        <v>43877.734131875</v>
      </c>
      <c r="B74" s="11" t="s">
        <v>566</v>
      </c>
      <c r="C74" s="14" t="s">
        <v>66</v>
      </c>
      <c r="D74" s="14" t="s">
        <v>56</v>
      </c>
      <c r="E74" s="127">
        <v>2080.0</v>
      </c>
      <c r="F74" s="190"/>
    </row>
    <row r="75">
      <c r="A75" s="39">
        <v>43877.734131875</v>
      </c>
      <c r="B75" s="11" t="s">
        <v>576</v>
      </c>
      <c r="C75" s="14" t="s">
        <v>66</v>
      </c>
      <c r="D75" s="14" t="s">
        <v>56</v>
      </c>
      <c r="E75" s="127">
        <v>240.0</v>
      </c>
      <c r="F75" s="190"/>
    </row>
    <row r="76">
      <c r="A76" s="39">
        <v>43878.0</v>
      </c>
      <c r="B76" s="11" t="s">
        <v>631</v>
      </c>
      <c r="C76" s="14" t="s">
        <v>56</v>
      </c>
      <c r="D76" s="14" t="s">
        <v>66</v>
      </c>
      <c r="E76" s="127">
        <v>3.0</v>
      </c>
      <c r="F76" s="190"/>
    </row>
    <row r="77">
      <c r="A77" s="39">
        <v>43882.0</v>
      </c>
      <c r="B77" s="11" t="s">
        <v>175</v>
      </c>
      <c r="C77" s="14" t="s">
        <v>66</v>
      </c>
      <c r="D77" s="14" t="s">
        <v>56</v>
      </c>
      <c r="E77" s="127">
        <v>3.0</v>
      </c>
      <c r="F77" s="190"/>
    </row>
    <row r="78">
      <c r="A78" s="39">
        <v>43882.0</v>
      </c>
      <c r="B78" s="11" t="s">
        <v>631</v>
      </c>
      <c r="C78" s="14" t="s">
        <v>66</v>
      </c>
      <c r="D78" s="14" t="s">
        <v>56</v>
      </c>
      <c r="E78" s="127">
        <v>9.0</v>
      </c>
      <c r="F78" s="190"/>
    </row>
    <row r="79">
      <c r="A79" s="39">
        <v>43882.0</v>
      </c>
      <c r="B79" s="11" t="s">
        <v>650</v>
      </c>
      <c r="C79" s="14" t="s">
        <v>66</v>
      </c>
      <c r="D79" s="14" t="s">
        <v>56</v>
      </c>
      <c r="E79" s="127">
        <v>1000.0</v>
      </c>
      <c r="F79" s="190"/>
    </row>
    <row r="80">
      <c r="A80" s="39">
        <v>43898.0</v>
      </c>
      <c r="B80" s="64" t="s">
        <v>326</v>
      </c>
      <c r="C80" s="14" t="s">
        <v>48</v>
      </c>
      <c r="D80" s="14" t="s">
        <v>56</v>
      </c>
      <c r="E80" s="127">
        <v>50.0</v>
      </c>
      <c r="F80" s="190"/>
    </row>
    <row r="81">
      <c r="A81" s="39">
        <v>43898.0</v>
      </c>
      <c r="B81" s="64" t="s">
        <v>406</v>
      </c>
      <c r="C81" s="14" t="s">
        <v>48</v>
      </c>
      <c r="D81" s="14" t="s">
        <v>56</v>
      </c>
      <c r="E81" s="127">
        <v>80.0</v>
      </c>
      <c r="F81" s="190"/>
    </row>
    <row r="82">
      <c r="A82" s="39">
        <v>43923.82063137731</v>
      </c>
      <c r="B82" s="11" t="s">
        <v>566</v>
      </c>
      <c r="C82" s="14" t="s">
        <v>48</v>
      </c>
      <c r="D82" s="14" t="s">
        <v>66</v>
      </c>
      <c r="E82" s="127">
        <v>1000.0</v>
      </c>
      <c r="F82" s="190"/>
    </row>
    <row r="83">
      <c r="A83" s="39">
        <v>43923.84354908565</v>
      </c>
      <c r="B83" s="11" t="s">
        <v>682</v>
      </c>
      <c r="C83" s="14" t="s">
        <v>48</v>
      </c>
      <c r="D83" s="14" t="s">
        <v>66</v>
      </c>
      <c r="E83" s="127">
        <v>52.0</v>
      </c>
      <c r="F83" s="190"/>
    </row>
    <row r="84">
      <c r="A84" s="39">
        <v>43923.862667118054</v>
      </c>
      <c r="B84" s="11" t="s">
        <v>93</v>
      </c>
      <c r="C84" s="14" t="s">
        <v>48</v>
      </c>
      <c r="D84" s="14" t="s">
        <v>66</v>
      </c>
      <c r="E84" s="127">
        <v>400.0</v>
      </c>
      <c r="F84" s="190"/>
    </row>
    <row r="85">
      <c r="A85" s="39">
        <v>43923.862667118054</v>
      </c>
      <c r="B85" s="11" t="s">
        <v>408</v>
      </c>
      <c r="C85" s="14" t="s">
        <v>48</v>
      </c>
      <c r="D85" s="14" t="s">
        <v>66</v>
      </c>
      <c r="E85" s="127">
        <v>935.0</v>
      </c>
      <c r="F85" s="190"/>
    </row>
    <row r="86">
      <c r="A86" s="39">
        <v>43923.862667118054</v>
      </c>
      <c r="B86" s="11" t="s">
        <v>472</v>
      </c>
      <c r="C86" s="14" t="s">
        <v>48</v>
      </c>
      <c r="D86" s="14" t="s">
        <v>56</v>
      </c>
      <c r="E86" s="127">
        <v>335.0</v>
      </c>
      <c r="F86" s="190"/>
    </row>
    <row r="87">
      <c r="A87" s="39">
        <v>43923.862667118054</v>
      </c>
      <c r="B87" s="11" t="s">
        <v>472</v>
      </c>
      <c r="C87" s="14" t="s">
        <v>48</v>
      </c>
      <c r="D87" s="14" t="s">
        <v>66</v>
      </c>
      <c r="E87" s="127">
        <v>593.0</v>
      </c>
      <c r="F87" s="190"/>
    </row>
    <row r="88">
      <c r="A88" s="39">
        <v>43923.862667118054</v>
      </c>
      <c r="B88" s="11" t="s">
        <v>944</v>
      </c>
      <c r="C88" s="14" t="s">
        <v>48</v>
      </c>
      <c r="D88" s="14" t="s">
        <v>66</v>
      </c>
      <c r="E88" s="127">
        <v>39.0</v>
      </c>
      <c r="F88" s="190"/>
    </row>
    <row r="89">
      <c r="A89" s="39">
        <v>43923.87915208333</v>
      </c>
      <c r="B89" s="11" t="s">
        <v>175</v>
      </c>
      <c r="C89" s="14" t="s">
        <v>48</v>
      </c>
      <c r="D89" s="14" t="s">
        <v>66</v>
      </c>
      <c r="E89" s="127">
        <v>8.0</v>
      </c>
      <c r="F89" s="190"/>
    </row>
    <row r="90">
      <c r="A90" s="39">
        <v>43923.87932478009</v>
      </c>
      <c r="B90" s="11" t="s">
        <v>631</v>
      </c>
      <c r="C90" s="14" t="s">
        <v>48</v>
      </c>
      <c r="D90" s="14" t="s">
        <v>66</v>
      </c>
      <c r="E90" s="127">
        <v>7.0</v>
      </c>
      <c r="F90" s="190"/>
    </row>
    <row r="91">
      <c r="A91" s="192">
        <v>43923.881038113424</v>
      </c>
      <c r="B91" s="66" t="s">
        <v>516</v>
      </c>
      <c r="C91" s="191" t="s">
        <v>48</v>
      </c>
      <c r="D91" s="193" t="s">
        <v>56</v>
      </c>
      <c r="E91" s="127">
        <v>320.0</v>
      </c>
      <c r="F91" s="190"/>
    </row>
    <row r="92">
      <c r="A92" s="192">
        <v>43923.881038113424</v>
      </c>
      <c r="B92" s="66" t="s">
        <v>516</v>
      </c>
      <c r="C92" s="191" t="s">
        <v>48</v>
      </c>
      <c r="D92" s="193" t="s">
        <v>66</v>
      </c>
      <c r="E92" s="127">
        <v>620.0</v>
      </c>
      <c r="F92" s="190"/>
    </row>
    <row r="93">
      <c r="A93" s="39">
        <v>43923.881038113424</v>
      </c>
      <c r="B93" s="11" t="s">
        <v>650</v>
      </c>
      <c r="C93" s="14" t="s">
        <v>48</v>
      </c>
      <c r="D93" s="14" t="s">
        <v>56</v>
      </c>
      <c r="E93" s="127">
        <v>939.0</v>
      </c>
      <c r="F93" s="190"/>
    </row>
    <row r="94">
      <c r="A94" s="39">
        <v>43923.881038113424</v>
      </c>
      <c r="B94" s="11" t="s">
        <v>650</v>
      </c>
      <c r="C94" s="14" t="s">
        <v>48</v>
      </c>
      <c r="D94" s="14" t="s">
        <v>66</v>
      </c>
      <c r="E94" s="127">
        <v>1870.0</v>
      </c>
      <c r="F94" s="190"/>
    </row>
    <row r="95">
      <c r="A95" s="39">
        <v>43923.88869162037</v>
      </c>
      <c r="B95" s="11" t="s">
        <v>970</v>
      </c>
      <c r="C95" s="191" t="s">
        <v>48</v>
      </c>
      <c r="D95" s="14" t="s">
        <v>56</v>
      </c>
      <c r="E95" s="127">
        <v>36.0</v>
      </c>
      <c r="F95" s="190"/>
    </row>
    <row r="96">
      <c r="A96" s="39">
        <v>43927.849183715276</v>
      </c>
      <c r="B96" s="11" t="s">
        <v>707</v>
      </c>
      <c r="C96" s="14" t="s">
        <v>48</v>
      </c>
      <c r="D96" s="14" t="s">
        <v>66</v>
      </c>
      <c r="E96" s="127">
        <v>265.0</v>
      </c>
      <c r="F96" s="190"/>
    </row>
    <row r="97">
      <c r="A97" s="39">
        <v>43940.0</v>
      </c>
      <c r="B97" s="11" t="s">
        <v>93</v>
      </c>
      <c r="C97" s="14" t="s">
        <v>48</v>
      </c>
      <c r="D97" s="14" t="s">
        <v>56</v>
      </c>
      <c r="E97" s="127">
        <v>900.0</v>
      </c>
      <c r="F97" s="190"/>
    </row>
    <row r="98">
      <c r="A98" s="39">
        <v>43973.931192476855</v>
      </c>
      <c r="B98" s="11" t="s">
        <v>544</v>
      </c>
      <c r="C98" s="14" t="s">
        <v>48</v>
      </c>
      <c r="D98" s="14" t="s">
        <v>66</v>
      </c>
      <c r="E98" s="127">
        <v>16.0</v>
      </c>
      <c r="F98" s="190"/>
    </row>
    <row r="99">
      <c r="A99" s="192">
        <v>43973.931192476855</v>
      </c>
      <c r="B99" s="69" t="s">
        <v>544</v>
      </c>
      <c r="C99" s="191" t="s">
        <v>48</v>
      </c>
      <c r="D99" s="193" t="s">
        <v>56</v>
      </c>
      <c r="E99" s="194">
        <v>200.0</v>
      </c>
      <c r="F99" s="195"/>
    </row>
    <row r="100">
      <c r="A100" s="39">
        <v>43980.0</v>
      </c>
      <c r="B100" s="11" t="s">
        <v>32</v>
      </c>
      <c r="C100" s="14" t="s">
        <v>48</v>
      </c>
      <c r="D100" s="193" t="s">
        <v>56</v>
      </c>
      <c r="E100" s="127">
        <v>50.0</v>
      </c>
      <c r="F100" s="190"/>
    </row>
    <row r="101">
      <c r="A101" s="39">
        <v>43980.0</v>
      </c>
      <c r="B101" s="11" t="s">
        <v>344</v>
      </c>
      <c r="C101" s="14" t="s">
        <v>48</v>
      </c>
      <c r="D101" s="14" t="s">
        <v>56</v>
      </c>
      <c r="E101" s="127">
        <v>500.0</v>
      </c>
      <c r="F101" s="190"/>
    </row>
    <row r="102">
      <c r="A102" s="39">
        <v>43980.0</v>
      </c>
      <c r="B102" s="11" t="s">
        <v>535</v>
      </c>
      <c r="C102" s="14" t="s">
        <v>48</v>
      </c>
      <c r="D102" s="14" t="s">
        <v>66</v>
      </c>
      <c r="E102" s="127">
        <v>200.0</v>
      </c>
      <c r="F102" s="190"/>
    </row>
    <row r="103">
      <c r="A103" s="39">
        <v>43980.0</v>
      </c>
      <c r="B103" s="11" t="s">
        <v>555</v>
      </c>
      <c r="C103" s="14" t="s">
        <v>48</v>
      </c>
      <c r="D103" s="14" t="s">
        <v>66</v>
      </c>
      <c r="E103" s="127">
        <v>640.0</v>
      </c>
      <c r="F103" s="190"/>
    </row>
    <row r="104">
      <c r="A104" s="39">
        <v>43980.0</v>
      </c>
      <c r="B104" s="11" t="s">
        <v>576</v>
      </c>
      <c r="C104" s="14" t="s">
        <v>48</v>
      </c>
      <c r="D104" s="14" t="s">
        <v>66</v>
      </c>
      <c r="E104" s="127">
        <v>240.0</v>
      </c>
      <c r="F104" s="190"/>
    </row>
    <row r="105">
      <c r="A105" s="39">
        <v>43980.0</v>
      </c>
      <c r="B105" s="11" t="s">
        <v>944</v>
      </c>
      <c r="C105" s="14" t="s">
        <v>48</v>
      </c>
      <c r="D105" s="193" t="s">
        <v>56</v>
      </c>
      <c r="E105" s="127">
        <v>2000.0</v>
      </c>
      <c r="F105" s="190"/>
    </row>
    <row r="106">
      <c r="A106" s="39">
        <v>44003.0</v>
      </c>
      <c r="B106" s="196" t="s">
        <v>788</v>
      </c>
      <c r="C106" s="14" t="s">
        <v>48</v>
      </c>
      <c r="D106" s="14" t="s">
        <v>66</v>
      </c>
      <c r="E106" s="127">
        <v>1000.0</v>
      </c>
      <c r="F106" s="190"/>
    </row>
    <row r="107">
      <c r="A107" s="39">
        <v>44003.0</v>
      </c>
      <c r="B107" s="11" t="s">
        <v>803</v>
      </c>
      <c r="C107" s="14" t="s">
        <v>48</v>
      </c>
      <c r="D107" s="14" t="s">
        <v>66</v>
      </c>
      <c r="E107" s="127">
        <v>1000.0</v>
      </c>
      <c r="F107" s="190"/>
    </row>
    <row r="108">
      <c r="A108" s="39">
        <v>44003.0</v>
      </c>
      <c r="B108" s="11" t="s">
        <v>756</v>
      </c>
      <c r="C108" s="14" t="s">
        <v>48</v>
      </c>
      <c r="D108" s="14" t="s">
        <v>66</v>
      </c>
      <c r="E108" s="127">
        <v>1000.0</v>
      </c>
      <c r="F108" s="190"/>
    </row>
    <row r="109">
      <c r="A109" s="39">
        <v>44003.0</v>
      </c>
      <c r="B109" s="11" t="s">
        <v>760</v>
      </c>
      <c r="C109" s="14" t="s">
        <v>48</v>
      </c>
      <c r="D109" s="14" t="s">
        <v>66</v>
      </c>
      <c r="E109" s="127">
        <v>1000.0</v>
      </c>
      <c r="F109" s="190"/>
    </row>
    <row r="110">
      <c r="A110" s="39">
        <v>44003.0</v>
      </c>
      <c r="B110" s="11" t="s">
        <v>782</v>
      </c>
      <c r="C110" s="14" t="s">
        <v>48</v>
      </c>
      <c r="D110" s="14" t="s">
        <v>66</v>
      </c>
      <c r="E110" s="127">
        <v>1000.0</v>
      </c>
      <c r="F110" s="190"/>
    </row>
    <row r="111">
      <c r="A111" s="39">
        <v>44003.0</v>
      </c>
      <c r="B111" s="11" t="s">
        <v>799</v>
      </c>
      <c r="C111" s="14" t="s">
        <v>48</v>
      </c>
      <c r="D111" s="14" t="s">
        <v>66</v>
      </c>
      <c r="E111" s="127">
        <v>1000.0</v>
      </c>
      <c r="F111" s="190"/>
    </row>
    <row r="112">
      <c r="A112" s="39">
        <v>44036.0</v>
      </c>
      <c r="B112" s="64" t="s">
        <v>377</v>
      </c>
      <c r="C112" s="14" t="s">
        <v>48</v>
      </c>
      <c r="D112" s="14" t="s">
        <v>56</v>
      </c>
      <c r="E112" s="127">
        <v>75.0</v>
      </c>
      <c r="F112" s="190"/>
    </row>
    <row r="113">
      <c r="A113" s="39">
        <v>44036.0</v>
      </c>
      <c r="B113" s="11" t="s">
        <v>682</v>
      </c>
      <c r="C113" s="14" t="s">
        <v>48</v>
      </c>
      <c r="D113" s="14" t="s">
        <v>56</v>
      </c>
      <c r="E113" s="127">
        <v>70.0</v>
      </c>
      <c r="F113" s="190"/>
    </row>
    <row r="114">
      <c r="A114" s="39">
        <v>44038.0</v>
      </c>
      <c r="B114" s="11" t="s">
        <v>408</v>
      </c>
      <c r="C114" s="14" t="s">
        <v>48</v>
      </c>
      <c r="D114" s="14" t="s">
        <v>56</v>
      </c>
      <c r="E114" s="127">
        <v>1500.0</v>
      </c>
      <c r="F114" s="190"/>
    </row>
    <row r="115">
      <c r="A115" s="39">
        <v>44050.0</v>
      </c>
      <c r="B115" s="11" t="s">
        <v>970</v>
      </c>
      <c r="C115" s="14" t="s">
        <v>48</v>
      </c>
      <c r="D115" s="14" t="s">
        <v>56</v>
      </c>
      <c r="E115" s="127">
        <v>10.0</v>
      </c>
      <c r="F115" s="190"/>
    </row>
    <row r="116">
      <c r="A116" s="39">
        <v>44053.0</v>
      </c>
      <c r="B116" s="11" t="s">
        <v>782</v>
      </c>
      <c r="C116" s="14" t="s">
        <v>1008</v>
      </c>
      <c r="D116" s="14" t="s">
        <v>48</v>
      </c>
      <c r="E116" s="186">
        <v>3655.0</v>
      </c>
      <c r="F116" s="189"/>
    </row>
    <row r="117">
      <c r="A117" s="39">
        <v>44053.0</v>
      </c>
      <c r="B117" s="64" t="s">
        <v>516</v>
      </c>
      <c r="C117" s="14" t="s">
        <v>1008</v>
      </c>
      <c r="D117" s="14" t="s">
        <v>48</v>
      </c>
      <c r="E117" s="186">
        <v>1840.0</v>
      </c>
      <c r="F117" s="189"/>
    </row>
    <row r="118">
      <c r="A118" s="39">
        <v>44053.0</v>
      </c>
      <c r="B118" s="64" t="s">
        <v>944</v>
      </c>
      <c r="C118" s="14" t="s">
        <v>1008</v>
      </c>
      <c r="D118" s="14" t="s">
        <v>48</v>
      </c>
      <c r="E118" s="186">
        <v>1468.0</v>
      </c>
      <c r="F118" s="189"/>
    </row>
    <row r="119">
      <c r="A119" s="39">
        <v>44053.0</v>
      </c>
      <c r="B119" s="64" t="s">
        <v>408</v>
      </c>
      <c r="C119" s="14" t="s">
        <v>1008</v>
      </c>
      <c r="D119" s="14" t="s">
        <v>48</v>
      </c>
      <c r="E119" s="186">
        <v>1145.0</v>
      </c>
      <c r="F119" s="189"/>
    </row>
    <row r="120">
      <c r="A120" s="39">
        <v>44053.0</v>
      </c>
      <c r="B120" s="64" t="s">
        <v>910</v>
      </c>
      <c r="C120" s="14" t="s">
        <v>1008</v>
      </c>
      <c r="D120" s="14" t="s">
        <v>48</v>
      </c>
      <c r="E120" s="186">
        <v>1060.0</v>
      </c>
      <c r="F120" s="189"/>
    </row>
    <row r="121">
      <c r="A121" s="39">
        <v>44053.0</v>
      </c>
      <c r="B121" s="11" t="s">
        <v>769</v>
      </c>
      <c r="C121" s="14" t="s">
        <v>1008</v>
      </c>
      <c r="D121" s="14" t="s">
        <v>48</v>
      </c>
      <c r="E121" s="186">
        <v>1000.0</v>
      </c>
      <c r="F121" s="189"/>
    </row>
    <row r="122">
      <c r="A122" s="39">
        <v>44053.0</v>
      </c>
      <c r="B122" s="11" t="s">
        <v>772</v>
      </c>
      <c r="C122" s="14" t="s">
        <v>1008</v>
      </c>
      <c r="D122" s="14" t="s">
        <v>48</v>
      </c>
      <c r="E122" s="186">
        <v>1000.0</v>
      </c>
      <c r="F122" s="189"/>
    </row>
    <row r="123">
      <c r="A123" s="39">
        <v>44053.0</v>
      </c>
      <c r="B123" s="11" t="s">
        <v>786</v>
      </c>
      <c r="C123" s="14" t="s">
        <v>1008</v>
      </c>
      <c r="D123" s="14" t="s">
        <v>48</v>
      </c>
      <c r="E123" s="186">
        <v>1000.0</v>
      </c>
      <c r="F123" s="189"/>
    </row>
    <row r="124">
      <c r="A124" s="39">
        <v>44053.0</v>
      </c>
      <c r="B124" s="11" t="s">
        <v>795</v>
      </c>
      <c r="C124" s="14" t="s">
        <v>1008</v>
      </c>
      <c r="D124" s="14" t="s">
        <v>48</v>
      </c>
      <c r="E124" s="186">
        <v>1000.0</v>
      </c>
      <c r="F124" s="189"/>
    </row>
    <row r="125">
      <c r="A125" s="39">
        <v>44053.0</v>
      </c>
      <c r="B125" s="11" t="s">
        <v>800</v>
      </c>
      <c r="C125" s="14" t="s">
        <v>1008</v>
      </c>
      <c r="D125" s="14" t="s">
        <v>48</v>
      </c>
      <c r="E125" s="186">
        <v>1000.0</v>
      </c>
      <c r="F125" s="189"/>
    </row>
    <row r="126">
      <c r="A126" s="39">
        <v>44053.0</v>
      </c>
      <c r="B126" s="11" t="s">
        <v>806</v>
      </c>
      <c r="C126" s="14" t="s">
        <v>1008</v>
      </c>
      <c r="D126" s="14" t="s">
        <v>48</v>
      </c>
      <c r="E126" s="186">
        <v>1000.0</v>
      </c>
      <c r="F126" s="189"/>
    </row>
    <row r="127">
      <c r="A127" s="39">
        <v>44053.0</v>
      </c>
      <c r="B127" s="11" t="s">
        <v>809</v>
      </c>
      <c r="C127" s="14" t="s">
        <v>1008</v>
      </c>
      <c r="D127" s="14" t="s">
        <v>48</v>
      </c>
      <c r="E127" s="186">
        <v>1000.0</v>
      </c>
      <c r="F127" s="189"/>
    </row>
    <row r="128">
      <c r="A128" s="39">
        <v>44053.0</v>
      </c>
      <c r="B128" s="11" t="s">
        <v>669</v>
      </c>
      <c r="C128" s="14" t="s">
        <v>1008</v>
      </c>
      <c r="D128" s="14" t="s">
        <v>48</v>
      </c>
      <c r="E128" s="186">
        <v>990.0</v>
      </c>
      <c r="F128" s="189"/>
    </row>
    <row r="129">
      <c r="A129" s="39">
        <v>44053.0</v>
      </c>
      <c r="B129" s="11" t="s">
        <v>804</v>
      </c>
      <c r="C129" s="14" t="s">
        <v>1008</v>
      </c>
      <c r="D129" s="14" t="s">
        <v>48</v>
      </c>
      <c r="E129" s="186">
        <v>990.0</v>
      </c>
      <c r="F129" s="189"/>
    </row>
    <row r="130">
      <c r="A130" s="39">
        <v>44053.0</v>
      </c>
      <c r="B130" s="11" t="s">
        <v>803</v>
      </c>
      <c r="C130" s="14" t="s">
        <v>1008</v>
      </c>
      <c r="D130" s="14" t="s">
        <v>48</v>
      </c>
      <c r="E130" s="186">
        <v>989.0</v>
      </c>
      <c r="F130" s="189"/>
    </row>
    <row r="131">
      <c r="A131" s="39">
        <v>44053.0</v>
      </c>
      <c r="B131" s="11" t="s">
        <v>788</v>
      </c>
      <c r="C131" s="14" t="s">
        <v>1008</v>
      </c>
      <c r="D131" s="14" t="s">
        <v>48</v>
      </c>
      <c r="E131" s="186">
        <v>956.0</v>
      </c>
      <c r="F131" s="189"/>
    </row>
    <row r="132">
      <c r="A132" s="39">
        <v>44053.0</v>
      </c>
      <c r="B132" s="11" t="s">
        <v>756</v>
      </c>
      <c r="C132" s="14" t="s">
        <v>1008</v>
      </c>
      <c r="D132" s="14" t="s">
        <v>48</v>
      </c>
      <c r="E132" s="186">
        <v>877.0</v>
      </c>
      <c r="F132" s="189"/>
    </row>
    <row r="133">
      <c r="A133" s="39">
        <v>44053.0</v>
      </c>
      <c r="B133" s="64" t="s">
        <v>566</v>
      </c>
      <c r="C133" s="14" t="s">
        <v>1008</v>
      </c>
      <c r="D133" s="14" t="s">
        <v>48</v>
      </c>
      <c r="E133" s="186">
        <v>800.0</v>
      </c>
      <c r="F133" s="189"/>
    </row>
    <row r="134">
      <c r="A134" s="39">
        <v>44053.0</v>
      </c>
      <c r="B134" s="11" t="s">
        <v>799</v>
      </c>
      <c r="C134" s="14" t="s">
        <v>1008</v>
      </c>
      <c r="D134" s="14" t="s">
        <v>48</v>
      </c>
      <c r="E134" s="186">
        <v>691.0</v>
      </c>
      <c r="F134" s="189"/>
    </row>
    <row r="135">
      <c r="A135" s="39">
        <v>44053.0</v>
      </c>
      <c r="B135" s="64" t="s">
        <v>472</v>
      </c>
      <c r="C135" s="14" t="s">
        <v>1008</v>
      </c>
      <c r="D135" s="14" t="s">
        <v>48</v>
      </c>
      <c r="E135" s="186">
        <v>629.0</v>
      </c>
      <c r="F135" s="189"/>
    </row>
    <row r="136">
      <c r="A136" s="39">
        <v>44053.0</v>
      </c>
      <c r="B136" s="64" t="s">
        <v>93</v>
      </c>
      <c r="C136" s="14" t="s">
        <v>1008</v>
      </c>
      <c r="D136" s="14" t="s">
        <v>48</v>
      </c>
      <c r="E136" s="186">
        <v>583.0</v>
      </c>
      <c r="F136" s="189"/>
    </row>
    <row r="137">
      <c r="A137" s="39">
        <v>44053.0</v>
      </c>
      <c r="B137" s="11" t="s">
        <v>760</v>
      </c>
      <c r="C137" s="14" t="s">
        <v>1008</v>
      </c>
      <c r="D137" s="14" t="s">
        <v>48</v>
      </c>
      <c r="E137" s="186">
        <v>548.0</v>
      </c>
      <c r="F137" s="189"/>
    </row>
    <row r="138">
      <c r="A138" s="39">
        <v>44053.0</v>
      </c>
      <c r="B138" s="64" t="s">
        <v>32</v>
      </c>
      <c r="C138" s="14" t="s">
        <v>1008</v>
      </c>
      <c r="D138" s="14" t="s">
        <v>48</v>
      </c>
      <c r="E138" s="186">
        <v>440.0</v>
      </c>
      <c r="F138" s="189"/>
    </row>
    <row r="139">
      <c r="A139" s="39">
        <v>44053.0</v>
      </c>
      <c r="B139" s="64" t="s">
        <v>555</v>
      </c>
      <c r="C139" s="14" t="s">
        <v>1008</v>
      </c>
      <c r="D139" s="14" t="s">
        <v>48</v>
      </c>
      <c r="E139" s="186">
        <v>360.0</v>
      </c>
      <c r="F139" s="189"/>
    </row>
    <row r="140">
      <c r="A140" s="39">
        <v>44053.0</v>
      </c>
      <c r="B140" s="64" t="s">
        <v>707</v>
      </c>
      <c r="C140" s="14" t="s">
        <v>1008</v>
      </c>
      <c r="D140" s="14" t="s">
        <v>48</v>
      </c>
      <c r="E140" s="186">
        <v>197.0</v>
      </c>
      <c r="F140" s="189"/>
    </row>
    <row r="141">
      <c r="A141" s="39">
        <v>44053.0</v>
      </c>
      <c r="B141" s="64" t="s">
        <v>406</v>
      </c>
      <c r="C141" s="14" t="s">
        <v>1008</v>
      </c>
      <c r="D141" s="14" t="s">
        <v>48</v>
      </c>
      <c r="E141" s="186">
        <v>80.0</v>
      </c>
      <c r="F141" s="189"/>
    </row>
    <row r="142">
      <c r="A142" s="39">
        <v>44053.0</v>
      </c>
      <c r="B142" s="64" t="s">
        <v>535</v>
      </c>
      <c r="C142" s="14" t="s">
        <v>1008</v>
      </c>
      <c r="D142" s="14" t="s">
        <v>48</v>
      </c>
      <c r="E142" s="186">
        <v>80.0</v>
      </c>
      <c r="F142" s="189"/>
    </row>
    <row r="143">
      <c r="A143" s="39">
        <v>44053.0</v>
      </c>
      <c r="B143" s="64" t="s">
        <v>377</v>
      </c>
      <c r="C143" s="14" t="s">
        <v>1008</v>
      </c>
      <c r="D143" s="14" t="s">
        <v>48</v>
      </c>
      <c r="E143" s="186">
        <v>75.0</v>
      </c>
      <c r="F143" s="189"/>
    </row>
    <row r="144">
      <c r="A144" s="39">
        <v>44053.0</v>
      </c>
      <c r="B144" s="11" t="s">
        <v>682</v>
      </c>
      <c r="C144" s="14" t="s">
        <v>1008</v>
      </c>
      <c r="D144" s="14" t="s">
        <v>48</v>
      </c>
      <c r="E144" s="186">
        <v>70.0</v>
      </c>
      <c r="F144" s="189"/>
    </row>
    <row r="145">
      <c r="A145" s="39">
        <v>44053.0</v>
      </c>
      <c r="B145" s="64" t="s">
        <v>326</v>
      </c>
      <c r="C145" s="14" t="s">
        <v>1008</v>
      </c>
      <c r="D145" s="14" t="s">
        <v>48</v>
      </c>
      <c r="E145" s="186">
        <v>44.0</v>
      </c>
      <c r="F145" s="189"/>
    </row>
    <row r="146">
      <c r="A146" s="39">
        <v>44053.0</v>
      </c>
      <c r="B146" s="64" t="s">
        <v>544</v>
      </c>
      <c r="C146" s="14" t="s">
        <v>1008</v>
      </c>
      <c r="D146" s="14" t="s">
        <v>48</v>
      </c>
      <c r="E146" s="186">
        <v>40.0</v>
      </c>
      <c r="F146" s="189"/>
    </row>
    <row r="147">
      <c r="A147" s="39">
        <v>44053.0</v>
      </c>
      <c r="B147" s="64" t="s">
        <v>576</v>
      </c>
      <c r="C147" s="14" t="s">
        <v>1008</v>
      </c>
      <c r="D147" s="14" t="s">
        <v>48</v>
      </c>
      <c r="E147" s="186">
        <v>40.0</v>
      </c>
      <c r="F147" s="189"/>
    </row>
    <row r="148">
      <c r="A148" s="39">
        <v>44053.0</v>
      </c>
      <c r="B148" s="64" t="s">
        <v>970</v>
      </c>
      <c r="C148" s="14" t="s">
        <v>1008</v>
      </c>
      <c r="D148" s="14" t="s">
        <v>48</v>
      </c>
      <c r="E148" s="186">
        <v>34.0</v>
      </c>
      <c r="F148" s="189"/>
    </row>
    <row r="149">
      <c r="A149" s="39">
        <v>44053.0</v>
      </c>
      <c r="B149" s="11" t="s">
        <v>650</v>
      </c>
      <c r="C149" s="14" t="s">
        <v>1008</v>
      </c>
      <c r="D149" s="14" t="s">
        <v>48</v>
      </c>
      <c r="E149" s="186">
        <v>31.0</v>
      </c>
      <c r="F149" s="189"/>
    </row>
    <row r="150">
      <c r="A150" s="39">
        <v>44053.0</v>
      </c>
      <c r="B150" s="64" t="s">
        <v>152</v>
      </c>
      <c r="C150" s="14" t="s">
        <v>1008</v>
      </c>
      <c r="D150" s="14" t="s">
        <v>48</v>
      </c>
      <c r="E150" s="186">
        <v>23.0</v>
      </c>
      <c r="F150" s="189"/>
    </row>
    <row r="151">
      <c r="A151" s="39">
        <v>44053.0</v>
      </c>
      <c r="B151" s="64" t="s">
        <v>544</v>
      </c>
      <c r="C151" s="14" t="s">
        <v>1008</v>
      </c>
      <c r="D151" s="14" t="s">
        <v>37</v>
      </c>
      <c r="E151" s="186">
        <v>2000.0</v>
      </c>
      <c r="F151" s="189"/>
    </row>
    <row r="152">
      <c r="A152" s="39">
        <v>44053.0</v>
      </c>
      <c r="B152" s="64" t="s">
        <v>576</v>
      </c>
      <c r="C152" s="14" t="s">
        <v>1008</v>
      </c>
      <c r="D152" s="14" t="s">
        <v>37</v>
      </c>
      <c r="E152" s="186">
        <v>1840.0</v>
      </c>
      <c r="F152" s="189"/>
    </row>
    <row r="153">
      <c r="A153" s="39">
        <v>44053.0</v>
      </c>
      <c r="B153" s="64" t="s">
        <v>535</v>
      </c>
      <c r="C153" s="14" t="s">
        <v>1008</v>
      </c>
      <c r="D153" s="14" t="s">
        <v>37</v>
      </c>
      <c r="E153" s="186">
        <v>1520.0</v>
      </c>
      <c r="F153" s="189"/>
    </row>
    <row r="154">
      <c r="A154" s="39">
        <v>44082.0</v>
      </c>
      <c r="B154" s="64" t="s">
        <v>32</v>
      </c>
      <c r="C154" s="14" t="s">
        <v>163</v>
      </c>
      <c r="D154" s="14" t="s">
        <v>1008</v>
      </c>
      <c r="E154" s="127">
        <v>320.0</v>
      </c>
      <c r="F154" s="190"/>
    </row>
    <row r="155">
      <c r="A155" s="39">
        <v>44082.0</v>
      </c>
      <c r="B155" s="64" t="s">
        <v>93</v>
      </c>
      <c r="C155" s="14" t="s">
        <v>163</v>
      </c>
      <c r="D155" s="14" t="s">
        <v>1008</v>
      </c>
      <c r="E155" s="127">
        <v>583.0</v>
      </c>
      <c r="F155" s="190"/>
    </row>
    <row r="156">
      <c r="A156" s="39">
        <v>44082.0</v>
      </c>
      <c r="B156" s="64" t="s">
        <v>152</v>
      </c>
      <c r="C156" s="14" t="s">
        <v>163</v>
      </c>
      <c r="D156" s="14" t="s">
        <v>1008</v>
      </c>
      <c r="E156" s="127">
        <v>1.0</v>
      </c>
      <c r="F156" s="190"/>
    </row>
    <row r="157">
      <c r="A157" s="39">
        <v>44082.0</v>
      </c>
      <c r="B157" s="64" t="s">
        <v>326</v>
      </c>
      <c r="C157" s="14" t="s">
        <v>163</v>
      </c>
      <c r="D157" s="14" t="s">
        <v>1008</v>
      </c>
      <c r="E157" s="186">
        <v>44.0</v>
      </c>
      <c r="F157" s="189"/>
    </row>
    <row r="158">
      <c r="A158" s="39">
        <v>44082.0</v>
      </c>
      <c r="B158" s="64" t="s">
        <v>377</v>
      </c>
      <c r="C158" s="14" t="s">
        <v>163</v>
      </c>
      <c r="D158" s="14" t="s">
        <v>1008</v>
      </c>
      <c r="E158" s="186">
        <v>35.0</v>
      </c>
      <c r="F158" s="189"/>
    </row>
    <row r="159">
      <c r="A159" s="39">
        <v>44082.0</v>
      </c>
      <c r="B159" s="64" t="s">
        <v>406</v>
      </c>
      <c r="C159" s="14" t="s">
        <v>163</v>
      </c>
      <c r="D159" s="14" t="s">
        <v>1008</v>
      </c>
      <c r="E159" s="186">
        <v>80.0</v>
      </c>
      <c r="F159" s="189"/>
    </row>
    <row r="160">
      <c r="A160" s="39">
        <v>44082.0</v>
      </c>
      <c r="B160" s="64" t="s">
        <v>408</v>
      </c>
      <c r="C160" s="14" t="s">
        <v>163</v>
      </c>
      <c r="D160" s="14" t="s">
        <v>1008</v>
      </c>
      <c r="E160" s="186">
        <v>811.0</v>
      </c>
      <c r="F160" s="189"/>
    </row>
    <row r="161">
      <c r="A161" s="39">
        <v>44082.0</v>
      </c>
      <c r="B161" s="64" t="s">
        <v>472</v>
      </c>
      <c r="C161" s="14" t="s">
        <v>163</v>
      </c>
      <c r="D161" s="14" t="s">
        <v>1008</v>
      </c>
      <c r="E161" s="186">
        <v>594.0</v>
      </c>
      <c r="F161" s="189"/>
    </row>
    <row r="162">
      <c r="A162" s="39">
        <v>44082.0</v>
      </c>
      <c r="B162" s="64" t="s">
        <v>516</v>
      </c>
      <c r="C162" s="14" t="s">
        <v>163</v>
      </c>
      <c r="D162" s="14" t="s">
        <v>1008</v>
      </c>
      <c r="E162" s="186">
        <v>1840.0</v>
      </c>
      <c r="F162" s="189"/>
    </row>
    <row r="163">
      <c r="A163" s="39">
        <v>44082.0</v>
      </c>
      <c r="B163" s="64" t="s">
        <v>535</v>
      </c>
      <c r="C163" s="14" t="s">
        <v>163</v>
      </c>
      <c r="D163" s="14" t="s">
        <v>1008</v>
      </c>
      <c r="E163" s="186">
        <v>1600.0</v>
      </c>
      <c r="F163" s="189"/>
    </row>
    <row r="164">
      <c r="A164" s="39">
        <v>44082.0</v>
      </c>
      <c r="B164" s="64" t="s">
        <v>544</v>
      </c>
      <c r="C164" s="14" t="s">
        <v>163</v>
      </c>
      <c r="D164" s="14" t="s">
        <v>1008</v>
      </c>
      <c r="E164" s="186">
        <v>2000.0</v>
      </c>
      <c r="F164" s="189"/>
    </row>
    <row r="165">
      <c r="A165" s="39">
        <v>44082.0</v>
      </c>
      <c r="B165" s="64" t="s">
        <v>555</v>
      </c>
      <c r="C165" s="14" t="s">
        <v>163</v>
      </c>
      <c r="D165" s="14" t="s">
        <v>1008</v>
      </c>
      <c r="E165" s="186">
        <v>280.0</v>
      </c>
      <c r="F165" s="189"/>
    </row>
    <row r="166">
      <c r="A166" s="39">
        <v>44082.0</v>
      </c>
      <c r="B166" s="64" t="s">
        <v>566</v>
      </c>
      <c r="C166" s="14" t="s">
        <v>163</v>
      </c>
      <c r="D166" s="14" t="s">
        <v>1008</v>
      </c>
      <c r="E166" s="186">
        <v>800.0</v>
      </c>
      <c r="F166" s="189"/>
    </row>
    <row r="167">
      <c r="A167" s="39">
        <v>44082.0</v>
      </c>
      <c r="B167" s="64" t="s">
        <v>576</v>
      </c>
      <c r="C167" s="14" t="s">
        <v>163</v>
      </c>
      <c r="D167" s="14" t="s">
        <v>1008</v>
      </c>
      <c r="E167" s="186">
        <v>1840.0</v>
      </c>
      <c r="F167" s="189"/>
    </row>
    <row r="168">
      <c r="A168" s="39">
        <v>44082.0</v>
      </c>
      <c r="B168" s="11" t="s">
        <v>650</v>
      </c>
      <c r="C168" s="14" t="s">
        <v>163</v>
      </c>
      <c r="D168" s="14" t="s">
        <v>1008</v>
      </c>
      <c r="E168" s="186">
        <v>7.0</v>
      </c>
      <c r="F168" s="189"/>
    </row>
    <row r="169">
      <c r="A169" s="39">
        <v>44082.0</v>
      </c>
      <c r="B169" s="11" t="s">
        <v>669</v>
      </c>
      <c r="C169" s="14" t="s">
        <v>163</v>
      </c>
      <c r="D169" s="14" t="s">
        <v>1008</v>
      </c>
      <c r="E169" s="186">
        <v>490.0</v>
      </c>
      <c r="F169" s="189"/>
    </row>
    <row r="170">
      <c r="A170" s="39">
        <v>44082.0</v>
      </c>
      <c r="B170" s="11" t="s">
        <v>682</v>
      </c>
      <c r="C170" s="14" t="s">
        <v>163</v>
      </c>
      <c r="D170" s="14" t="s">
        <v>1008</v>
      </c>
      <c r="E170" s="186">
        <v>30.0</v>
      </c>
      <c r="F170" s="189"/>
    </row>
    <row r="171">
      <c r="A171" s="39">
        <v>44082.0</v>
      </c>
      <c r="B171" s="64" t="s">
        <v>707</v>
      </c>
      <c r="C171" s="14" t="s">
        <v>163</v>
      </c>
      <c r="D171" s="14" t="s">
        <v>1008</v>
      </c>
      <c r="E171" s="186">
        <v>197.0</v>
      </c>
      <c r="F171" s="189"/>
    </row>
    <row r="172">
      <c r="A172" s="39">
        <v>44082.0</v>
      </c>
      <c r="B172" s="11" t="s">
        <v>756</v>
      </c>
      <c r="C172" s="14" t="s">
        <v>163</v>
      </c>
      <c r="D172" s="14" t="s">
        <v>1008</v>
      </c>
      <c r="E172" s="186">
        <v>869.0</v>
      </c>
      <c r="F172" s="189"/>
    </row>
    <row r="173">
      <c r="A173" s="39">
        <v>44082.0</v>
      </c>
      <c r="B173" s="11" t="s">
        <v>760</v>
      </c>
      <c r="C173" s="14" t="s">
        <v>163</v>
      </c>
      <c r="D173" s="14" t="s">
        <v>1008</v>
      </c>
      <c r="E173" s="186">
        <v>540.0</v>
      </c>
      <c r="F173" s="189"/>
    </row>
    <row r="174">
      <c r="A174" s="39">
        <v>44082.0</v>
      </c>
      <c r="B174" s="11" t="s">
        <v>769</v>
      </c>
      <c r="C174" s="14" t="s">
        <v>163</v>
      </c>
      <c r="D174" s="14" t="s">
        <v>1008</v>
      </c>
      <c r="E174" s="186">
        <v>1000.0</v>
      </c>
      <c r="F174" s="189"/>
    </row>
    <row r="175">
      <c r="A175" s="39">
        <v>44082.0</v>
      </c>
      <c r="B175" s="11" t="s">
        <v>772</v>
      </c>
      <c r="C175" s="14" t="s">
        <v>163</v>
      </c>
      <c r="D175" s="14" t="s">
        <v>1008</v>
      </c>
      <c r="E175" s="186">
        <v>1000.0</v>
      </c>
      <c r="F175" s="189"/>
    </row>
    <row r="176">
      <c r="A176" s="39">
        <v>44082.0</v>
      </c>
      <c r="B176" s="11" t="s">
        <v>782</v>
      </c>
      <c r="C176" s="14" t="s">
        <v>163</v>
      </c>
      <c r="D176" s="14" t="s">
        <v>1008</v>
      </c>
      <c r="E176" s="186">
        <v>3653.0</v>
      </c>
      <c r="F176" s="189"/>
    </row>
    <row r="177">
      <c r="A177" s="39">
        <v>44082.0</v>
      </c>
      <c r="B177" s="11" t="s">
        <v>786</v>
      </c>
      <c r="C177" s="14" t="s">
        <v>163</v>
      </c>
      <c r="D177" s="14" t="s">
        <v>1008</v>
      </c>
      <c r="E177" s="186">
        <v>1000.0</v>
      </c>
      <c r="F177" s="189"/>
    </row>
    <row r="178">
      <c r="A178" s="39">
        <v>44082.0</v>
      </c>
      <c r="B178" s="11" t="s">
        <v>788</v>
      </c>
      <c r="C178" s="14" t="s">
        <v>163</v>
      </c>
      <c r="D178" s="14" t="s">
        <v>1008</v>
      </c>
      <c r="E178" s="186">
        <v>830.0</v>
      </c>
      <c r="F178" s="189"/>
    </row>
    <row r="179">
      <c r="A179" s="39">
        <v>44082.0</v>
      </c>
      <c r="B179" s="11" t="s">
        <v>795</v>
      </c>
      <c r="C179" s="14" t="s">
        <v>163</v>
      </c>
      <c r="D179" s="14" t="s">
        <v>1008</v>
      </c>
      <c r="E179" s="186">
        <v>1000.0</v>
      </c>
      <c r="F179" s="189"/>
    </row>
    <row r="180">
      <c r="A180" s="39">
        <v>44082.0</v>
      </c>
      <c r="B180" s="11" t="s">
        <v>799</v>
      </c>
      <c r="C180" s="14" t="s">
        <v>163</v>
      </c>
      <c r="D180" s="14" t="s">
        <v>1008</v>
      </c>
      <c r="E180" s="186">
        <v>684.0</v>
      </c>
      <c r="F180" s="189"/>
    </row>
    <row r="181">
      <c r="A181" s="39">
        <v>44082.0</v>
      </c>
      <c r="B181" s="11" t="s">
        <v>800</v>
      </c>
      <c r="C181" s="14" t="s">
        <v>163</v>
      </c>
      <c r="D181" s="14" t="s">
        <v>1008</v>
      </c>
      <c r="E181" s="186">
        <v>1000.0</v>
      </c>
      <c r="F181" s="189"/>
    </row>
    <row r="182">
      <c r="A182" s="39">
        <v>44082.0</v>
      </c>
      <c r="B182" s="11" t="s">
        <v>803</v>
      </c>
      <c r="C182" s="14" t="s">
        <v>163</v>
      </c>
      <c r="D182" s="14" t="s">
        <v>1008</v>
      </c>
      <c r="E182" s="186">
        <v>883.0</v>
      </c>
      <c r="F182" s="189"/>
    </row>
    <row r="183">
      <c r="A183" s="39">
        <v>44082.0</v>
      </c>
      <c r="B183" s="11" t="s">
        <v>804</v>
      </c>
      <c r="C183" s="14" t="s">
        <v>163</v>
      </c>
      <c r="D183" s="14" t="s">
        <v>1008</v>
      </c>
      <c r="E183" s="186">
        <v>990.0</v>
      </c>
      <c r="F183" s="189"/>
    </row>
    <row r="184">
      <c r="A184" s="39">
        <v>44082.0</v>
      </c>
      <c r="B184" s="11" t="s">
        <v>806</v>
      </c>
      <c r="C184" s="14" t="s">
        <v>163</v>
      </c>
      <c r="D184" s="14" t="s">
        <v>1008</v>
      </c>
      <c r="E184" s="186">
        <v>1000.0</v>
      </c>
      <c r="F184" s="189"/>
    </row>
    <row r="185">
      <c r="A185" s="39">
        <v>44082.0</v>
      </c>
      <c r="B185" s="11" t="s">
        <v>809</v>
      </c>
      <c r="C185" s="14" t="s">
        <v>163</v>
      </c>
      <c r="D185" s="14" t="s">
        <v>1008</v>
      </c>
      <c r="E185" s="186">
        <v>1000.0</v>
      </c>
      <c r="F185" s="189"/>
    </row>
    <row r="186">
      <c r="A186" s="39">
        <v>44082.0</v>
      </c>
      <c r="B186" s="64" t="s">
        <v>910</v>
      </c>
      <c r="C186" s="14" t="s">
        <v>163</v>
      </c>
      <c r="D186" s="14" t="s">
        <v>1008</v>
      </c>
      <c r="E186" s="186">
        <v>920.0</v>
      </c>
      <c r="F186" s="189"/>
    </row>
    <row r="187">
      <c r="A187" s="39">
        <v>44082.0</v>
      </c>
      <c r="B187" s="64" t="s">
        <v>944</v>
      </c>
      <c r="C187" s="14" t="s">
        <v>163</v>
      </c>
      <c r="D187" s="14" t="s">
        <v>1008</v>
      </c>
      <c r="E187" s="186">
        <v>1214.0</v>
      </c>
      <c r="F187" s="189"/>
    </row>
    <row r="188">
      <c r="A188" s="39">
        <v>44082.0</v>
      </c>
      <c r="B188" s="64" t="s">
        <v>970</v>
      </c>
      <c r="C188" s="14" t="s">
        <v>163</v>
      </c>
      <c r="D188" s="14" t="s">
        <v>1008</v>
      </c>
      <c r="E188" s="127">
        <v>33.0</v>
      </c>
      <c r="F188" s="190"/>
    </row>
    <row r="189">
      <c r="A189" s="39">
        <v>44082.0</v>
      </c>
      <c r="B189" s="64" t="s">
        <v>32</v>
      </c>
      <c r="C189" s="14" t="s">
        <v>56</v>
      </c>
      <c r="D189" s="14" t="s">
        <v>66</v>
      </c>
      <c r="E189" s="127">
        <v>50.0</v>
      </c>
      <c r="F189" s="190"/>
    </row>
    <row r="190">
      <c r="A190" s="39">
        <v>44082.0</v>
      </c>
      <c r="B190" s="11" t="s">
        <v>650</v>
      </c>
      <c r="C190" s="14" t="s">
        <v>56</v>
      </c>
      <c r="D190" s="14" t="s">
        <v>66</v>
      </c>
      <c r="E190" s="127">
        <v>100.0</v>
      </c>
      <c r="F190" s="190"/>
    </row>
    <row r="191">
      <c r="A191" s="39">
        <v>44082.0</v>
      </c>
      <c r="B191" s="64" t="s">
        <v>970</v>
      </c>
      <c r="C191" s="14" t="s">
        <v>66</v>
      </c>
      <c r="D191" s="14" t="s">
        <v>163</v>
      </c>
      <c r="E191" s="127">
        <v>4.0</v>
      </c>
      <c r="F191" s="190"/>
    </row>
    <row r="192">
      <c r="A192" s="39">
        <v>44082.0</v>
      </c>
      <c r="B192" s="64" t="s">
        <v>152</v>
      </c>
      <c r="C192" s="14" t="s">
        <v>163</v>
      </c>
      <c r="D192" s="14" t="s">
        <v>66</v>
      </c>
      <c r="E192" s="186">
        <v>7.0</v>
      </c>
      <c r="F192" s="189"/>
    </row>
    <row r="193">
      <c r="A193" s="39">
        <v>44082.0</v>
      </c>
      <c r="B193" s="64" t="s">
        <v>587</v>
      </c>
      <c r="C193" s="14" t="s">
        <v>163</v>
      </c>
      <c r="D193" s="14" t="s">
        <v>66</v>
      </c>
      <c r="E193" s="186">
        <v>26.0</v>
      </c>
      <c r="F193" s="189"/>
    </row>
    <row r="194">
      <c r="A194" s="39">
        <v>44082.0</v>
      </c>
      <c r="B194" s="64" t="s">
        <v>705</v>
      </c>
      <c r="C194" s="14" t="s">
        <v>163</v>
      </c>
      <c r="D194" s="14" t="s">
        <v>66</v>
      </c>
      <c r="E194" s="186">
        <v>13.0</v>
      </c>
      <c r="F194" s="189"/>
    </row>
    <row r="195">
      <c r="A195" s="39">
        <v>44082.0</v>
      </c>
      <c r="B195" s="64" t="s">
        <v>843</v>
      </c>
      <c r="C195" s="14" t="s">
        <v>163</v>
      </c>
      <c r="D195" s="14" t="s">
        <v>66</v>
      </c>
      <c r="E195" s="186">
        <v>70.0</v>
      </c>
      <c r="F195" s="189"/>
    </row>
    <row r="196">
      <c r="A196" s="39">
        <v>44082.0</v>
      </c>
      <c r="B196" s="64" t="s">
        <v>845</v>
      </c>
      <c r="C196" s="14" t="s">
        <v>163</v>
      </c>
      <c r="D196" s="14" t="s">
        <v>66</v>
      </c>
      <c r="E196" s="186">
        <v>44.0</v>
      </c>
      <c r="F196" s="189"/>
    </row>
    <row r="197">
      <c r="A197" s="39">
        <v>44082.0</v>
      </c>
      <c r="B197" s="64" t="s">
        <v>956</v>
      </c>
      <c r="C197" s="14" t="s">
        <v>163</v>
      </c>
      <c r="D197" s="14" t="s">
        <v>66</v>
      </c>
      <c r="E197" s="186">
        <v>29.0</v>
      </c>
      <c r="F197" s="189"/>
    </row>
    <row r="198">
      <c r="A198" s="39">
        <v>44082.0</v>
      </c>
      <c r="B198" s="64" t="s">
        <v>967</v>
      </c>
      <c r="C198" s="14" t="s">
        <v>56</v>
      </c>
      <c r="D198" s="14" t="s">
        <v>66</v>
      </c>
      <c r="E198" s="127">
        <v>1.0</v>
      </c>
      <c r="F198" s="190"/>
    </row>
    <row r="199">
      <c r="A199" s="39">
        <v>44082.0</v>
      </c>
      <c r="B199" s="64" t="s">
        <v>960</v>
      </c>
      <c r="C199" s="14" t="s">
        <v>56</v>
      </c>
      <c r="D199" s="14" t="s">
        <v>66</v>
      </c>
      <c r="E199" s="186">
        <v>1.0</v>
      </c>
      <c r="F199" s="189"/>
    </row>
    <row r="200">
      <c r="A200" s="39">
        <v>44082.0</v>
      </c>
      <c r="B200" s="11" t="s">
        <v>344</v>
      </c>
      <c r="C200" s="14" t="s">
        <v>163</v>
      </c>
      <c r="D200" s="14" t="s">
        <v>1008</v>
      </c>
      <c r="E200" s="127">
        <v>2.0</v>
      </c>
      <c r="F200" s="190"/>
    </row>
    <row r="201">
      <c r="A201" s="39">
        <v>44166.0</v>
      </c>
      <c r="B201" s="11" t="s">
        <v>669</v>
      </c>
      <c r="C201" s="14" t="s">
        <v>163</v>
      </c>
      <c r="D201" s="14" t="s">
        <v>37</v>
      </c>
      <c r="E201" s="127">
        <v>2000.0</v>
      </c>
      <c r="F201" s="190"/>
    </row>
    <row r="202">
      <c r="A202" s="39">
        <v>44174.74491447917</v>
      </c>
      <c r="B202" s="11" t="s">
        <v>408</v>
      </c>
      <c r="C202" s="14" t="s">
        <v>163</v>
      </c>
      <c r="D202" s="14" t="s">
        <v>56</v>
      </c>
      <c r="E202" s="127">
        <v>1500.0</v>
      </c>
      <c r="F202" s="190"/>
    </row>
    <row r="203">
      <c r="A203" s="39">
        <v>44793.0</v>
      </c>
      <c r="B203" s="64" t="s">
        <v>32</v>
      </c>
      <c r="C203" s="14" t="s">
        <v>33</v>
      </c>
      <c r="D203" s="14" t="s">
        <v>163</v>
      </c>
      <c r="E203" s="186">
        <v>123.0</v>
      </c>
      <c r="F203" s="189"/>
    </row>
    <row r="204">
      <c r="A204" s="39">
        <v>44793.0</v>
      </c>
      <c r="B204" s="64" t="s">
        <v>93</v>
      </c>
      <c r="C204" s="14" t="s">
        <v>33</v>
      </c>
      <c r="D204" s="14" t="s">
        <v>163</v>
      </c>
      <c r="E204" s="186">
        <v>312.0</v>
      </c>
      <c r="F204" s="189"/>
    </row>
    <row r="205">
      <c r="A205" s="39">
        <v>44793.0</v>
      </c>
      <c r="B205" s="64" t="s">
        <v>152</v>
      </c>
      <c r="C205" s="14" t="s">
        <v>33</v>
      </c>
      <c r="D205" s="14" t="s">
        <v>163</v>
      </c>
      <c r="E205" s="186">
        <v>2.0</v>
      </c>
      <c r="F205" s="189"/>
    </row>
    <row r="206">
      <c r="A206" s="39">
        <v>44793.0</v>
      </c>
      <c r="B206" s="11" t="s">
        <v>175</v>
      </c>
      <c r="C206" s="14" t="s">
        <v>33</v>
      </c>
      <c r="D206" s="14" t="s">
        <v>56</v>
      </c>
      <c r="E206" s="127">
        <v>1.0</v>
      </c>
      <c r="F206" s="190"/>
    </row>
    <row r="207">
      <c r="A207" s="39">
        <v>44793.0</v>
      </c>
      <c r="B207" s="64" t="s">
        <v>326</v>
      </c>
      <c r="C207" s="14" t="s">
        <v>33</v>
      </c>
      <c r="D207" s="14" t="s">
        <v>163</v>
      </c>
      <c r="E207" s="186">
        <v>44.0</v>
      </c>
      <c r="F207" s="189"/>
    </row>
    <row r="208">
      <c r="A208" s="39">
        <v>44793.0</v>
      </c>
      <c r="B208" s="64" t="s">
        <v>344</v>
      </c>
      <c r="C208" s="14" t="s">
        <v>33</v>
      </c>
      <c r="D208" s="14" t="s">
        <v>163</v>
      </c>
      <c r="E208" s="186">
        <v>668.0</v>
      </c>
      <c r="F208" s="189"/>
    </row>
    <row r="209">
      <c r="A209" s="39">
        <v>44793.0</v>
      </c>
      <c r="B209" s="64" t="s">
        <v>364</v>
      </c>
      <c r="C209" s="14" t="s">
        <v>33</v>
      </c>
      <c r="D209" s="14" t="s">
        <v>163</v>
      </c>
      <c r="E209" s="186">
        <v>350.0</v>
      </c>
      <c r="F209" s="189"/>
    </row>
    <row r="210">
      <c r="A210" s="39">
        <v>44793.0</v>
      </c>
      <c r="B210" s="64" t="s">
        <v>377</v>
      </c>
      <c r="C210" s="14" t="s">
        <v>33</v>
      </c>
      <c r="D210" s="14" t="s">
        <v>163</v>
      </c>
      <c r="E210" s="186">
        <v>23.0</v>
      </c>
      <c r="F210" s="189"/>
    </row>
    <row r="211">
      <c r="A211" s="39">
        <v>44793.0</v>
      </c>
      <c r="B211" s="64" t="s">
        <v>377</v>
      </c>
      <c r="C211" s="14" t="s">
        <v>33</v>
      </c>
      <c r="D211" s="14" t="s">
        <v>56</v>
      </c>
      <c r="E211" s="127">
        <v>25.0</v>
      </c>
      <c r="F211" s="190"/>
    </row>
    <row r="212">
      <c r="A212" s="39">
        <v>44793.0</v>
      </c>
      <c r="B212" s="64" t="s">
        <v>406</v>
      </c>
      <c r="C212" s="14" t="s">
        <v>33</v>
      </c>
      <c r="D212" s="14" t="s">
        <v>163</v>
      </c>
      <c r="E212" s="186">
        <v>80.0</v>
      </c>
      <c r="F212" s="189"/>
    </row>
    <row r="213">
      <c r="A213" s="39">
        <v>44793.0</v>
      </c>
      <c r="B213" s="64" t="s">
        <v>408</v>
      </c>
      <c r="C213" s="14" t="s">
        <v>33</v>
      </c>
      <c r="D213" s="14" t="s">
        <v>163</v>
      </c>
      <c r="E213" s="186">
        <v>274.0</v>
      </c>
      <c r="F213" s="189"/>
    </row>
    <row r="214">
      <c r="A214" s="39">
        <v>44793.0</v>
      </c>
      <c r="B214" s="64" t="s">
        <v>472</v>
      </c>
      <c r="C214" s="14" t="s">
        <v>33</v>
      </c>
      <c r="D214" s="14" t="s">
        <v>163</v>
      </c>
      <c r="E214" s="186">
        <v>451.0</v>
      </c>
      <c r="F214" s="189"/>
    </row>
    <row r="215">
      <c r="A215" s="39">
        <v>44793.0</v>
      </c>
      <c r="B215" s="64" t="s">
        <v>516</v>
      </c>
      <c r="C215" s="14" t="s">
        <v>33</v>
      </c>
      <c r="D215" s="14" t="s">
        <v>163</v>
      </c>
      <c r="E215" s="186">
        <v>1160.0</v>
      </c>
      <c r="F215" s="189"/>
    </row>
    <row r="216">
      <c r="A216" s="39">
        <v>44793.0</v>
      </c>
      <c r="B216" s="11" t="s">
        <v>516</v>
      </c>
      <c r="C216" s="14" t="s">
        <v>33</v>
      </c>
      <c r="D216" s="14" t="s">
        <v>56</v>
      </c>
      <c r="E216" s="127">
        <v>40.0</v>
      </c>
      <c r="F216" s="190"/>
    </row>
    <row r="217">
      <c r="A217" s="39">
        <v>44793.0</v>
      </c>
      <c r="B217" s="64" t="s">
        <v>535</v>
      </c>
      <c r="C217" s="14" t="s">
        <v>33</v>
      </c>
      <c r="D217" s="14" t="s">
        <v>163</v>
      </c>
      <c r="E217" s="186">
        <v>960.0</v>
      </c>
      <c r="F217" s="189"/>
    </row>
    <row r="218">
      <c r="A218" s="39">
        <v>44793.0</v>
      </c>
      <c r="B218" s="64" t="s">
        <v>544</v>
      </c>
      <c r="C218" s="14" t="s">
        <v>33</v>
      </c>
      <c r="D218" s="14" t="s">
        <v>163</v>
      </c>
      <c r="E218" s="186">
        <v>1200.0</v>
      </c>
      <c r="F218" s="189"/>
    </row>
    <row r="219">
      <c r="A219" s="39">
        <v>44793.0</v>
      </c>
      <c r="B219" s="11" t="s">
        <v>544</v>
      </c>
      <c r="C219" s="14" t="s">
        <v>33</v>
      </c>
      <c r="D219" s="14" t="s">
        <v>56</v>
      </c>
      <c r="E219" s="127">
        <v>121.0</v>
      </c>
      <c r="F219" s="190"/>
    </row>
    <row r="220">
      <c r="A220" s="39">
        <v>44793.0</v>
      </c>
      <c r="B220" s="64" t="s">
        <v>555</v>
      </c>
      <c r="C220" s="14" t="s">
        <v>33</v>
      </c>
      <c r="D220" s="14" t="s">
        <v>163</v>
      </c>
      <c r="E220" s="186">
        <v>5960.0</v>
      </c>
      <c r="F220" s="189"/>
    </row>
    <row r="221">
      <c r="A221" s="39">
        <v>44793.0</v>
      </c>
      <c r="B221" s="64" t="s">
        <v>566</v>
      </c>
      <c r="C221" s="14" t="s">
        <v>33</v>
      </c>
      <c r="D221" s="14" t="s">
        <v>163</v>
      </c>
      <c r="E221" s="186">
        <v>760.0</v>
      </c>
      <c r="F221" s="189"/>
    </row>
    <row r="222">
      <c r="A222" s="39">
        <v>44793.0</v>
      </c>
      <c r="B222" s="197" t="s">
        <v>566</v>
      </c>
      <c r="C222" s="14" t="s">
        <v>33</v>
      </c>
      <c r="D222" s="14" t="s">
        <v>56</v>
      </c>
      <c r="E222" s="186">
        <v>440.0</v>
      </c>
      <c r="F222" s="189"/>
    </row>
    <row r="223">
      <c r="A223" s="39">
        <v>44793.0</v>
      </c>
      <c r="B223" s="64" t="s">
        <v>576</v>
      </c>
      <c r="C223" s="14" t="s">
        <v>33</v>
      </c>
      <c r="D223" s="14" t="s">
        <v>163</v>
      </c>
      <c r="E223" s="186">
        <v>600.0</v>
      </c>
      <c r="F223" s="189"/>
    </row>
    <row r="224">
      <c r="A224" s="39">
        <v>44793.0</v>
      </c>
      <c r="B224" s="11" t="s">
        <v>650</v>
      </c>
      <c r="C224" s="14" t="s">
        <v>33</v>
      </c>
      <c r="D224" s="14" t="s">
        <v>163</v>
      </c>
      <c r="E224" s="186">
        <v>533.0</v>
      </c>
      <c r="F224" s="189"/>
    </row>
    <row r="225">
      <c r="A225" s="39">
        <v>44793.0</v>
      </c>
      <c r="B225" s="11" t="s">
        <v>669</v>
      </c>
      <c r="C225" s="14" t="s">
        <v>33</v>
      </c>
      <c r="D225" s="14" t="s">
        <v>163</v>
      </c>
      <c r="E225" s="186">
        <v>1990.0</v>
      </c>
      <c r="F225" s="189"/>
    </row>
    <row r="226">
      <c r="A226" s="39">
        <v>44793.0</v>
      </c>
      <c r="B226" s="11" t="s">
        <v>682</v>
      </c>
      <c r="C226" s="14" t="s">
        <v>33</v>
      </c>
      <c r="D226" s="14" t="s">
        <v>163</v>
      </c>
      <c r="E226" s="186">
        <v>105.0</v>
      </c>
      <c r="F226" s="189"/>
    </row>
    <row r="227">
      <c r="A227" s="39">
        <v>44793.0</v>
      </c>
      <c r="B227" s="64" t="s">
        <v>707</v>
      </c>
      <c r="C227" s="14" t="s">
        <v>33</v>
      </c>
      <c r="D227" s="14" t="s">
        <v>163</v>
      </c>
      <c r="E227" s="186">
        <v>186.0</v>
      </c>
      <c r="F227" s="189"/>
    </row>
    <row r="228">
      <c r="A228" s="39">
        <v>44793.0</v>
      </c>
      <c r="B228" s="11" t="s">
        <v>756</v>
      </c>
      <c r="C228" s="14" t="s">
        <v>33</v>
      </c>
      <c r="D228" s="14" t="s">
        <v>163</v>
      </c>
      <c r="E228" s="186">
        <v>619.0</v>
      </c>
      <c r="F228" s="189"/>
    </row>
    <row r="229">
      <c r="A229" s="39">
        <v>44793.0</v>
      </c>
      <c r="B229" s="11" t="s">
        <v>760</v>
      </c>
      <c r="C229" s="14" t="s">
        <v>33</v>
      </c>
      <c r="D229" s="14" t="s">
        <v>163</v>
      </c>
      <c r="E229" s="186">
        <v>520.0</v>
      </c>
      <c r="F229" s="189"/>
    </row>
    <row r="230">
      <c r="A230" s="39">
        <v>44793.0</v>
      </c>
      <c r="B230" s="11" t="s">
        <v>769</v>
      </c>
      <c r="C230" s="14" t="s">
        <v>33</v>
      </c>
      <c r="D230" s="14" t="s">
        <v>163</v>
      </c>
      <c r="E230" s="186">
        <v>1000.0</v>
      </c>
      <c r="F230" s="189"/>
    </row>
    <row r="231">
      <c r="A231" s="39">
        <v>44793.0</v>
      </c>
      <c r="B231" s="11" t="s">
        <v>772</v>
      </c>
      <c r="C231" s="14" t="s">
        <v>33</v>
      </c>
      <c r="D231" s="14" t="s">
        <v>163</v>
      </c>
      <c r="E231" s="186">
        <v>1000.0</v>
      </c>
      <c r="F231" s="189"/>
    </row>
    <row r="232">
      <c r="A232" s="39">
        <v>44793.0</v>
      </c>
      <c r="B232" s="11" t="s">
        <v>782</v>
      </c>
      <c r="C232" s="14" t="s">
        <v>33</v>
      </c>
      <c r="D232" s="14" t="s">
        <v>163</v>
      </c>
      <c r="E232" s="186">
        <v>3653.0</v>
      </c>
      <c r="F232" s="189"/>
    </row>
    <row r="233">
      <c r="A233" s="39">
        <v>44793.0</v>
      </c>
      <c r="B233" s="11" t="s">
        <v>786</v>
      </c>
      <c r="C233" s="14" t="s">
        <v>33</v>
      </c>
      <c r="D233" s="14" t="s">
        <v>163</v>
      </c>
      <c r="E233" s="186">
        <v>1000.0</v>
      </c>
      <c r="F233" s="189"/>
    </row>
    <row r="234">
      <c r="A234" s="39">
        <v>44793.0</v>
      </c>
      <c r="B234" s="11" t="s">
        <v>788</v>
      </c>
      <c r="C234" s="14" t="s">
        <v>33</v>
      </c>
      <c r="D234" s="14" t="s">
        <v>163</v>
      </c>
      <c r="E234" s="186">
        <v>474.0</v>
      </c>
      <c r="F234" s="189"/>
    </row>
    <row r="235">
      <c r="A235" s="39">
        <v>44793.0</v>
      </c>
      <c r="B235" s="11" t="s">
        <v>795</v>
      </c>
      <c r="C235" s="14" t="s">
        <v>33</v>
      </c>
      <c r="D235" s="14" t="s">
        <v>163</v>
      </c>
      <c r="E235" s="186">
        <v>1000.0</v>
      </c>
      <c r="F235" s="189"/>
    </row>
    <row r="236">
      <c r="A236" s="39">
        <v>44793.0</v>
      </c>
      <c r="B236" s="11" t="s">
        <v>799</v>
      </c>
      <c r="C236" s="14" t="s">
        <v>33</v>
      </c>
      <c r="D236" s="14" t="s">
        <v>163</v>
      </c>
      <c r="E236" s="186">
        <v>684.0</v>
      </c>
      <c r="F236" s="189"/>
    </row>
    <row r="237">
      <c r="A237" s="39">
        <v>44793.0</v>
      </c>
      <c r="B237" s="11" t="s">
        <v>800</v>
      </c>
      <c r="C237" s="14" t="s">
        <v>33</v>
      </c>
      <c r="D237" s="14" t="s">
        <v>163</v>
      </c>
      <c r="E237" s="186">
        <v>1000.0</v>
      </c>
      <c r="F237" s="189"/>
    </row>
    <row r="238">
      <c r="A238" s="39">
        <v>44793.0</v>
      </c>
      <c r="B238" s="11" t="s">
        <v>803</v>
      </c>
      <c r="C238" s="14" t="s">
        <v>33</v>
      </c>
      <c r="D238" s="14" t="s">
        <v>163</v>
      </c>
      <c r="E238" s="186">
        <v>633.0</v>
      </c>
      <c r="F238" s="189"/>
    </row>
    <row r="239">
      <c r="A239" s="39">
        <v>44793.0</v>
      </c>
      <c r="B239" s="11" t="s">
        <v>804</v>
      </c>
      <c r="C239" s="14" t="s">
        <v>33</v>
      </c>
      <c r="D239" s="14" t="s">
        <v>163</v>
      </c>
      <c r="E239" s="186">
        <v>990.0</v>
      </c>
      <c r="F239" s="189"/>
    </row>
    <row r="240">
      <c r="A240" s="39">
        <v>44793.0</v>
      </c>
      <c r="B240" s="11" t="s">
        <v>806</v>
      </c>
      <c r="C240" s="14" t="s">
        <v>33</v>
      </c>
      <c r="D240" s="14" t="s">
        <v>163</v>
      </c>
      <c r="E240" s="186">
        <v>1000.0</v>
      </c>
      <c r="F240" s="189"/>
    </row>
    <row r="241">
      <c r="A241" s="39">
        <v>44793.0</v>
      </c>
      <c r="B241" s="11" t="s">
        <v>809</v>
      </c>
      <c r="C241" s="14" t="s">
        <v>33</v>
      </c>
      <c r="D241" s="14" t="s">
        <v>163</v>
      </c>
      <c r="E241" s="186">
        <v>1000.0</v>
      </c>
      <c r="F241" s="189"/>
    </row>
    <row r="242">
      <c r="A242" s="39">
        <v>44793.0</v>
      </c>
      <c r="B242" s="64" t="s">
        <v>910</v>
      </c>
      <c r="C242" s="14" t="s">
        <v>33</v>
      </c>
      <c r="D242" s="14" t="s">
        <v>163</v>
      </c>
      <c r="E242" s="186">
        <v>201.0</v>
      </c>
      <c r="F242" s="189"/>
    </row>
    <row r="243">
      <c r="A243" s="39">
        <v>44793.0</v>
      </c>
      <c r="B243" s="64" t="s">
        <v>944</v>
      </c>
      <c r="C243" s="14" t="s">
        <v>33</v>
      </c>
      <c r="D243" s="14" t="s">
        <v>163</v>
      </c>
      <c r="E243" s="186">
        <v>196.0</v>
      </c>
      <c r="F243" s="189"/>
    </row>
    <row r="244">
      <c r="A244" s="39">
        <v>44793.0</v>
      </c>
      <c r="B244" s="64" t="s">
        <v>944</v>
      </c>
      <c r="C244" s="14" t="s">
        <v>33</v>
      </c>
      <c r="D244" s="14" t="s">
        <v>56</v>
      </c>
      <c r="E244" s="186">
        <v>50.0</v>
      </c>
      <c r="F244" s="189"/>
    </row>
    <row r="245">
      <c r="A245" s="39">
        <v>44793.0</v>
      </c>
      <c r="B245" s="64" t="s">
        <v>970</v>
      </c>
      <c r="C245" s="14" t="s">
        <v>33</v>
      </c>
      <c r="D245" s="14" t="s">
        <v>163</v>
      </c>
      <c r="E245" s="186">
        <v>16.0</v>
      </c>
      <c r="F245" s="189"/>
    </row>
    <row r="246">
      <c r="A246" s="39">
        <v>44862.0</v>
      </c>
      <c r="B246" s="64" t="s">
        <v>970</v>
      </c>
      <c r="C246" s="14" t="s">
        <v>37</v>
      </c>
      <c r="D246" s="14" t="s">
        <v>33</v>
      </c>
      <c r="E246" s="127">
        <v>10.0</v>
      </c>
      <c r="F246" s="190"/>
    </row>
    <row r="247">
      <c r="A247" s="39">
        <v>44883.0</v>
      </c>
      <c r="B247" s="64" t="s">
        <v>970</v>
      </c>
      <c r="C247" s="14" t="s">
        <v>33</v>
      </c>
      <c r="D247" s="14" t="s">
        <v>37</v>
      </c>
      <c r="E247" s="127">
        <v>10.0</v>
      </c>
      <c r="F247" s="190"/>
    </row>
    <row r="248">
      <c r="A248" s="39">
        <v>44922.0</v>
      </c>
      <c r="B248" s="11" t="s">
        <v>152</v>
      </c>
      <c r="C248" s="14" t="s">
        <v>56</v>
      </c>
      <c r="D248" s="14" t="s">
        <v>33</v>
      </c>
      <c r="E248" s="127">
        <v>10.0</v>
      </c>
      <c r="F248" s="190"/>
    </row>
    <row r="249">
      <c r="A249" s="39">
        <v>44996.0</v>
      </c>
      <c r="B249" s="11" t="s">
        <v>152</v>
      </c>
      <c r="C249" s="14" t="s">
        <v>33</v>
      </c>
      <c r="D249" s="14" t="s">
        <v>56</v>
      </c>
      <c r="E249" s="127">
        <v>8.0</v>
      </c>
      <c r="F249" s="190"/>
    </row>
    <row r="250">
      <c r="A250" s="39">
        <v>45004.0</v>
      </c>
      <c r="B250" s="11" t="s">
        <v>408</v>
      </c>
      <c r="C250" s="14" t="s">
        <v>37</v>
      </c>
      <c r="D250" s="14" t="s">
        <v>33</v>
      </c>
      <c r="E250" s="127">
        <v>2000.0</v>
      </c>
      <c r="F250" s="190"/>
    </row>
    <row r="251">
      <c r="A251" s="39">
        <v>45004.0</v>
      </c>
      <c r="B251" s="11" t="s">
        <v>944</v>
      </c>
      <c r="C251" s="14" t="s">
        <v>37</v>
      </c>
      <c r="D251" s="14" t="s">
        <v>33</v>
      </c>
      <c r="E251" s="127">
        <v>600.0</v>
      </c>
      <c r="F251" s="190"/>
    </row>
    <row r="252">
      <c r="A252" s="39">
        <v>45004.0</v>
      </c>
      <c r="B252" s="11" t="s">
        <v>331</v>
      </c>
      <c r="C252" s="14" t="s">
        <v>37</v>
      </c>
      <c r="D252" s="14" t="s">
        <v>33</v>
      </c>
      <c r="E252" s="127">
        <v>1000.0</v>
      </c>
      <c r="F252" s="190"/>
    </row>
    <row r="253">
      <c r="A253" s="39">
        <v>45004.0</v>
      </c>
      <c r="B253" s="11" t="s">
        <v>478</v>
      </c>
      <c r="C253" s="14" t="s">
        <v>37</v>
      </c>
      <c r="D253" s="14" t="s">
        <v>33</v>
      </c>
      <c r="E253" s="127">
        <v>1000.0</v>
      </c>
      <c r="F253" s="190"/>
    </row>
    <row r="254">
      <c r="A254" s="39">
        <v>45004.0</v>
      </c>
      <c r="B254" s="11" t="s">
        <v>364</v>
      </c>
      <c r="C254" s="14" t="s">
        <v>37</v>
      </c>
      <c r="D254" s="14" t="s">
        <v>33</v>
      </c>
      <c r="E254" s="127">
        <v>1000.0</v>
      </c>
      <c r="F254" s="190"/>
    </row>
    <row r="255">
      <c r="A255" s="39">
        <v>45004.0</v>
      </c>
      <c r="B255" s="11" t="s">
        <v>32</v>
      </c>
      <c r="C255" s="14" t="s">
        <v>37</v>
      </c>
      <c r="D255" s="14" t="s">
        <v>33</v>
      </c>
      <c r="E255" s="186">
        <f>5*150</f>
        <v>750</v>
      </c>
      <c r="F255" s="189"/>
    </row>
    <row r="256">
      <c r="A256" s="39">
        <v>45004.0</v>
      </c>
      <c r="B256" s="11" t="s">
        <v>93</v>
      </c>
      <c r="C256" s="14" t="s">
        <v>37</v>
      </c>
      <c r="D256" s="14" t="s">
        <v>33</v>
      </c>
      <c r="E256" s="186">
        <f>7*150</f>
        <v>1050</v>
      </c>
      <c r="F256" s="189"/>
    </row>
    <row r="257">
      <c r="A257" s="39">
        <v>45004.0</v>
      </c>
      <c r="B257" s="11" t="s">
        <v>397</v>
      </c>
      <c r="C257" s="14" t="s">
        <v>37</v>
      </c>
      <c r="D257" s="14" t="s">
        <v>33</v>
      </c>
      <c r="E257" s="127">
        <v>1000.0</v>
      </c>
      <c r="F257" s="190"/>
    </row>
    <row r="258">
      <c r="A258" s="39">
        <v>45050.0</v>
      </c>
      <c r="B258" s="11" t="s">
        <v>93</v>
      </c>
      <c r="C258" s="14" t="s">
        <v>33</v>
      </c>
      <c r="D258" s="14" t="s">
        <v>37</v>
      </c>
      <c r="E258" s="127">
        <v>4.0</v>
      </c>
      <c r="F258" s="190"/>
    </row>
    <row r="259">
      <c r="A259" s="39">
        <v>45056.0</v>
      </c>
      <c r="B259" s="11" t="s">
        <v>364</v>
      </c>
      <c r="C259" s="14" t="s">
        <v>33</v>
      </c>
      <c r="D259" s="14" t="s">
        <v>37</v>
      </c>
      <c r="E259" s="127">
        <v>100.0</v>
      </c>
      <c r="F259" s="190"/>
    </row>
    <row r="260">
      <c r="A260" s="39">
        <v>45058.0</v>
      </c>
      <c r="B260" s="11" t="s">
        <v>408</v>
      </c>
      <c r="C260" s="14" t="s">
        <v>33</v>
      </c>
      <c r="D260" s="14" t="s">
        <v>37</v>
      </c>
      <c r="E260" s="127">
        <v>100.0</v>
      </c>
      <c r="F260" s="190"/>
    </row>
    <row r="261">
      <c r="A261" s="39">
        <v>45058.0</v>
      </c>
      <c r="B261" s="11" t="s">
        <v>364</v>
      </c>
      <c r="C261" s="14" t="s">
        <v>33</v>
      </c>
      <c r="D261" s="14" t="s">
        <v>37</v>
      </c>
      <c r="E261" s="127">
        <v>100.0</v>
      </c>
      <c r="F261" s="190"/>
    </row>
    <row r="262">
      <c r="A262" s="39">
        <v>45081.0</v>
      </c>
      <c r="B262" s="11" t="s">
        <v>364</v>
      </c>
      <c r="C262" s="14" t="s">
        <v>33</v>
      </c>
      <c r="D262" s="14" t="s">
        <v>37</v>
      </c>
      <c r="E262" s="127">
        <v>23.0</v>
      </c>
      <c r="F262" s="190"/>
    </row>
    <row r="263">
      <c r="A263" s="39">
        <v>45081.0</v>
      </c>
      <c r="B263" s="11" t="s">
        <v>408</v>
      </c>
      <c r="C263" s="14" t="s">
        <v>33</v>
      </c>
      <c r="D263" s="14" t="s">
        <v>37</v>
      </c>
      <c r="E263" s="127">
        <v>100.0</v>
      </c>
      <c r="F263" s="190"/>
    </row>
    <row r="264">
      <c r="A264" s="39">
        <v>45122.0</v>
      </c>
      <c r="B264" s="11" t="s">
        <v>93</v>
      </c>
      <c r="C264" s="14" t="s">
        <v>33</v>
      </c>
      <c r="D264" s="14" t="s">
        <v>37</v>
      </c>
      <c r="E264" s="127">
        <v>60.0</v>
      </c>
      <c r="F264" s="190"/>
    </row>
    <row r="265">
      <c r="A265" s="39">
        <v>45146.0</v>
      </c>
      <c r="B265" s="11" t="s">
        <v>944</v>
      </c>
      <c r="C265" s="14" t="s">
        <v>33</v>
      </c>
      <c r="D265" s="14" t="s">
        <v>37</v>
      </c>
      <c r="E265" s="127">
        <v>17.0</v>
      </c>
      <c r="F265" s="190"/>
    </row>
    <row r="266">
      <c r="A266" s="39">
        <v>45192.0</v>
      </c>
      <c r="B266" s="11" t="s">
        <v>377</v>
      </c>
      <c r="C266" s="14" t="s">
        <v>37</v>
      </c>
      <c r="D266" s="14" t="s">
        <v>33</v>
      </c>
      <c r="E266" s="127">
        <v>1000.0</v>
      </c>
      <c r="F266" s="190"/>
    </row>
    <row r="267">
      <c r="A267" s="39"/>
      <c r="B267" s="11"/>
      <c r="C267" s="14"/>
      <c r="D267" s="14"/>
      <c r="E267" s="186"/>
      <c r="F267" s="189"/>
    </row>
    <row r="268">
      <c r="A268" s="39">
        <v>45201.62523978009</v>
      </c>
      <c r="B268" s="36" t="s">
        <v>408</v>
      </c>
      <c r="C268" s="14" t="s">
        <v>33</v>
      </c>
      <c r="D268" s="14" t="s">
        <v>37</v>
      </c>
      <c r="E268" s="127">
        <v>50.0</v>
      </c>
      <c r="F268" s="190"/>
    </row>
    <row r="269">
      <c r="A269" s="39">
        <v>45201.62523978009</v>
      </c>
      <c r="B269" s="36" t="s">
        <v>331</v>
      </c>
      <c r="C269" s="14" t="s">
        <v>33</v>
      </c>
      <c r="D269" s="14" t="s">
        <v>37</v>
      </c>
      <c r="E269" s="127">
        <v>75.0</v>
      </c>
      <c r="F269" s="190"/>
    </row>
    <row r="270">
      <c r="A270" s="39">
        <v>45201.62523978009</v>
      </c>
      <c r="B270" s="36" t="s">
        <v>93</v>
      </c>
      <c r="C270" s="14" t="s">
        <v>37</v>
      </c>
      <c r="D270" s="14" t="s">
        <v>33</v>
      </c>
      <c r="E270" s="127">
        <v>8.0</v>
      </c>
      <c r="F270" s="190"/>
    </row>
    <row r="271">
      <c r="A271" s="39">
        <v>45201.62523978009</v>
      </c>
      <c r="B271" s="36" t="s">
        <v>397</v>
      </c>
      <c r="C271" s="14" t="s">
        <v>37</v>
      </c>
      <c r="D271" s="14" t="s">
        <v>33</v>
      </c>
      <c r="E271" s="127">
        <v>1.0</v>
      </c>
      <c r="F271" s="190"/>
    </row>
    <row r="272">
      <c r="A272" s="39">
        <v>45201.62523978009</v>
      </c>
      <c r="B272" s="36" t="s">
        <v>32</v>
      </c>
      <c r="C272" s="14" t="s">
        <v>37</v>
      </c>
      <c r="D272" s="14" t="s">
        <v>33</v>
      </c>
      <c r="E272" s="127">
        <v>118.0</v>
      </c>
      <c r="F272" s="190"/>
    </row>
    <row r="273">
      <c r="A273" s="143">
        <v>45203.75099537037</v>
      </c>
      <c r="B273" s="11" t="s">
        <v>329</v>
      </c>
      <c r="C273" s="14" t="s">
        <v>37</v>
      </c>
      <c r="D273" s="14" t="s">
        <v>33</v>
      </c>
      <c r="E273" s="127">
        <v>720.0</v>
      </c>
      <c r="F273" s="190" t="s">
        <v>1061</v>
      </c>
    </row>
    <row r="274">
      <c r="A274" s="143">
        <v>45203.754328703704</v>
      </c>
      <c r="B274" s="11" t="s">
        <v>472</v>
      </c>
      <c r="C274" s="14" t="s">
        <v>37</v>
      </c>
      <c r="D274" s="14" t="s">
        <v>33</v>
      </c>
      <c r="E274" s="127">
        <v>2000.0</v>
      </c>
      <c r="F274" s="190" t="s">
        <v>1062</v>
      </c>
    </row>
    <row r="275">
      <c r="A275" s="143">
        <v>45215.53194444445</v>
      </c>
      <c r="B275" s="11" t="s">
        <v>331</v>
      </c>
      <c r="C275" s="14" t="s">
        <v>33</v>
      </c>
      <c r="D275" s="14" t="s">
        <v>37</v>
      </c>
      <c r="E275" s="127">
        <v>670.0</v>
      </c>
      <c r="F275" s="190" t="s">
        <v>1063</v>
      </c>
    </row>
    <row r="276">
      <c r="A276" s="143">
        <v>45227.588856284725</v>
      </c>
      <c r="B276" s="11" t="s">
        <v>385</v>
      </c>
      <c r="C276" s="14" t="s">
        <v>37</v>
      </c>
      <c r="D276" s="14" t="s">
        <v>33</v>
      </c>
      <c r="E276" s="127">
        <v>2500.0</v>
      </c>
      <c r="F276" s="190"/>
    </row>
    <row r="277">
      <c r="A277" s="39">
        <v>45227.589039224535</v>
      </c>
      <c r="B277" s="11" t="s">
        <v>32</v>
      </c>
      <c r="C277" s="14" t="s">
        <v>37</v>
      </c>
      <c r="D277" s="14" t="s">
        <v>33</v>
      </c>
      <c r="E277" s="127">
        <v>300.0</v>
      </c>
      <c r="F277" s="189"/>
    </row>
    <row r="278">
      <c r="A278" s="39">
        <v>45228.8502534838</v>
      </c>
      <c r="B278" s="11" t="s">
        <v>32</v>
      </c>
      <c r="C278" s="14" t="s">
        <v>37</v>
      </c>
      <c r="D278" s="14" t="s">
        <v>33</v>
      </c>
      <c r="E278" s="127">
        <v>450.0</v>
      </c>
      <c r="F278" s="189"/>
    </row>
    <row r="279">
      <c r="A279" s="39"/>
      <c r="B279" s="11"/>
      <c r="C279" s="14"/>
      <c r="D279" s="14"/>
      <c r="E279" s="186"/>
      <c r="F279" s="189"/>
    </row>
    <row r="280">
      <c r="A280" s="39">
        <v>45241.738657407404</v>
      </c>
      <c r="B280" s="11" t="s">
        <v>650</v>
      </c>
      <c r="C280" s="14" t="s">
        <v>37</v>
      </c>
      <c r="D280" s="14" t="s">
        <v>33</v>
      </c>
      <c r="E280" s="127">
        <v>10000.0</v>
      </c>
      <c r="F280" s="190" t="s">
        <v>1064</v>
      </c>
    </row>
    <row r="281">
      <c r="A281" s="39">
        <v>45241.738657407404</v>
      </c>
      <c r="B281" s="11" t="s">
        <v>331</v>
      </c>
      <c r="C281" s="14" t="s">
        <v>37</v>
      </c>
      <c r="D281" s="14" t="s">
        <v>33</v>
      </c>
      <c r="E281" s="127">
        <v>1000.0</v>
      </c>
      <c r="F281" s="190" t="s">
        <v>1065</v>
      </c>
    </row>
    <row r="282">
      <c r="A282" s="39">
        <v>45241.738657407404</v>
      </c>
      <c r="B282" s="11" t="s">
        <v>331</v>
      </c>
      <c r="C282" s="14" t="s">
        <v>37</v>
      </c>
      <c r="D282" s="14" t="s">
        <v>33</v>
      </c>
      <c r="E282" s="127">
        <v>57.0</v>
      </c>
      <c r="F282" s="190" t="s">
        <v>1066</v>
      </c>
    </row>
    <row r="283">
      <c r="A283" s="39">
        <v>45241.738657407404</v>
      </c>
      <c r="B283" s="11" t="s">
        <v>141</v>
      </c>
      <c r="C283" s="14" t="s">
        <v>37</v>
      </c>
      <c r="D283" s="14" t="s">
        <v>33</v>
      </c>
      <c r="E283" s="186">
        <f>1*6*12</f>
        <v>72</v>
      </c>
      <c r="F283" s="190" t="s">
        <v>1067</v>
      </c>
    </row>
    <row r="284">
      <c r="A284" s="39">
        <v>45241.738657407404</v>
      </c>
      <c r="B284" s="11" t="s">
        <v>108</v>
      </c>
      <c r="C284" s="14" t="s">
        <v>37</v>
      </c>
      <c r="D284" s="14" t="s">
        <v>33</v>
      </c>
      <c r="E284" s="127">
        <v>144.0</v>
      </c>
      <c r="F284" s="190" t="s">
        <v>1068</v>
      </c>
    </row>
    <row r="285">
      <c r="A285" s="39">
        <v>45241.738657407404</v>
      </c>
      <c r="B285" s="11" t="s">
        <v>103</v>
      </c>
      <c r="C285" s="14" t="s">
        <v>37</v>
      </c>
      <c r="D285" s="14" t="s">
        <v>33</v>
      </c>
      <c r="E285" s="127">
        <f>1*12</f>
        <v>12</v>
      </c>
      <c r="F285" s="190" t="s">
        <v>1068</v>
      </c>
    </row>
    <row r="286">
      <c r="A286" s="39"/>
      <c r="B286" s="11"/>
      <c r="C286" s="14"/>
      <c r="D286" s="14"/>
      <c r="E286" s="186"/>
      <c r="F286" s="189"/>
    </row>
    <row r="287">
      <c r="A287" s="39">
        <v>45252.44667824074</v>
      </c>
      <c r="B287" s="11" t="s">
        <v>76</v>
      </c>
      <c r="C287" s="14" t="s">
        <v>37</v>
      </c>
      <c r="D287" s="14" t="s">
        <v>33</v>
      </c>
      <c r="E287" s="186">
        <f>3*100*3</f>
        <v>900</v>
      </c>
      <c r="F287" s="190" t="s">
        <v>1069</v>
      </c>
    </row>
    <row r="288">
      <c r="A288" s="39">
        <v>45252.44667824074</v>
      </c>
      <c r="B288" s="11" t="s">
        <v>101</v>
      </c>
      <c r="C288" s="14" t="s">
        <v>37</v>
      </c>
      <c r="D288" s="14" t="s">
        <v>33</v>
      </c>
      <c r="E288" s="186">
        <f>3*99*2</f>
        <v>594</v>
      </c>
      <c r="F288" s="190" t="s">
        <v>1069</v>
      </c>
    </row>
    <row r="289">
      <c r="A289" s="39"/>
      <c r="B289" s="11"/>
      <c r="C289" s="14"/>
      <c r="D289" s="14"/>
      <c r="E289" s="186"/>
      <c r="F289" s="189"/>
    </row>
    <row r="290">
      <c r="A290" s="39">
        <v>45266.4513928125</v>
      </c>
      <c r="B290" s="11" t="s">
        <v>32</v>
      </c>
      <c r="C290" s="14" t="s">
        <v>37</v>
      </c>
      <c r="D290" s="14" t="s">
        <v>33</v>
      </c>
      <c r="E290" s="127">
        <v>1350.0</v>
      </c>
      <c r="F290" s="189"/>
    </row>
    <row r="291">
      <c r="A291" s="39">
        <v>45266.45156103009</v>
      </c>
      <c r="B291" s="11" t="s">
        <v>93</v>
      </c>
      <c r="C291" s="14" t="s">
        <v>37</v>
      </c>
      <c r="D291" s="14" t="s">
        <v>33</v>
      </c>
      <c r="E291" s="127">
        <v>1350.0</v>
      </c>
      <c r="F291" s="189"/>
    </row>
    <row r="292">
      <c r="A292" s="39">
        <v>45266.45166931713</v>
      </c>
      <c r="B292" s="11" t="s">
        <v>103</v>
      </c>
      <c r="C292" s="14" t="s">
        <v>37</v>
      </c>
      <c r="D292" s="14" t="s">
        <v>33</v>
      </c>
      <c r="E292" s="127">
        <v>24.0</v>
      </c>
      <c r="F292" s="189"/>
    </row>
    <row r="293">
      <c r="A293" s="39">
        <v>45266.45177530093</v>
      </c>
      <c r="B293" s="11" t="s">
        <v>175</v>
      </c>
      <c r="C293" s="14" t="s">
        <v>37</v>
      </c>
      <c r="D293" s="14" t="s">
        <v>33</v>
      </c>
      <c r="E293" s="127">
        <v>21.0</v>
      </c>
      <c r="F293" s="189"/>
    </row>
    <row r="294">
      <c r="A294" s="39">
        <v>45271.73122980324</v>
      </c>
      <c r="B294" s="11" t="s">
        <v>397</v>
      </c>
      <c r="C294" s="14" t="s">
        <v>37</v>
      </c>
      <c r="D294" s="14" t="s">
        <v>33</v>
      </c>
      <c r="E294" s="127">
        <v>2000.0</v>
      </c>
      <c r="F294" s="189"/>
    </row>
    <row r="295">
      <c r="A295" s="39">
        <v>45271.73146756944</v>
      </c>
      <c r="B295" s="11" t="s">
        <v>364</v>
      </c>
      <c r="C295" s="14" t="s">
        <v>37</v>
      </c>
      <c r="D295" s="14" t="s">
        <v>33</v>
      </c>
      <c r="E295" s="127">
        <v>3000.0</v>
      </c>
      <c r="F295" s="189"/>
    </row>
    <row r="296">
      <c r="A296" s="39">
        <v>45290.4375</v>
      </c>
      <c r="B296" s="11" t="s">
        <v>175</v>
      </c>
      <c r="C296" s="14" t="s">
        <v>37</v>
      </c>
      <c r="D296" s="14" t="s">
        <v>33</v>
      </c>
      <c r="E296" s="127">
        <v>49.0</v>
      </c>
      <c r="F296" s="189"/>
    </row>
    <row r="297">
      <c r="A297" s="39">
        <v>45290.43751157408</v>
      </c>
      <c r="B297" s="11" t="s">
        <v>967</v>
      </c>
      <c r="C297" s="14" t="s">
        <v>37</v>
      </c>
      <c r="D297" s="14" t="s">
        <v>33</v>
      </c>
      <c r="E297" s="127">
        <v>100.0</v>
      </c>
      <c r="F297" s="189"/>
    </row>
    <row r="298">
      <c r="A298" s="39">
        <v>45290.437523148146</v>
      </c>
      <c r="B298" s="11" t="s">
        <v>403</v>
      </c>
      <c r="C298" s="14" t="s">
        <v>37</v>
      </c>
      <c r="D298" s="14" t="s">
        <v>33</v>
      </c>
      <c r="E298" s="127">
        <v>1000.0</v>
      </c>
      <c r="F298" s="189"/>
    </row>
    <row r="299">
      <c r="A299" s="39">
        <v>45290.43753472222</v>
      </c>
      <c r="B299" s="11" t="s">
        <v>397</v>
      </c>
      <c r="C299" s="14" t="s">
        <v>37</v>
      </c>
      <c r="D299" s="14" t="s">
        <v>33</v>
      </c>
      <c r="E299" s="127">
        <v>2000.0</v>
      </c>
      <c r="F299" s="189"/>
    </row>
    <row r="300">
      <c r="A300" s="39">
        <v>45290.4375462963</v>
      </c>
      <c r="B300" s="11" t="s">
        <v>377</v>
      </c>
      <c r="C300" s="14" t="s">
        <v>37</v>
      </c>
      <c r="D300" s="14" t="s">
        <v>33</v>
      </c>
      <c r="E300" s="127">
        <v>1000.0</v>
      </c>
      <c r="F300" s="189"/>
    </row>
    <row r="301">
      <c r="A301" s="39"/>
      <c r="B301" s="11"/>
      <c r="C301" s="14"/>
      <c r="D301" s="14"/>
      <c r="E301" s="186"/>
      <c r="F301" s="189"/>
    </row>
    <row r="302">
      <c r="A302" s="39">
        <v>45308.708333333336</v>
      </c>
      <c r="B302" s="11" t="s">
        <v>329</v>
      </c>
      <c r="C302" s="14" t="s">
        <v>1038</v>
      </c>
      <c r="D302" s="14" t="s">
        <v>33</v>
      </c>
      <c r="E302" s="127">
        <f>4*720</f>
        <v>2880</v>
      </c>
      <c r="F302" s="189"/>
    </row>
    <row r="303">
      <c r="A303" s="39">
        <v>45308.708333333336</v>
      </c>
      <c r="B303" s="11" t="s">
        <v>472</v>
      </c>
      <c r="C303" s="14" t="s">
        <v>1038</v>
      </c>
      <c r="D303" s="14" t="s">
        <v>33</v>
      </c>
      <c r="E303" s="127">
        <v>4000.0</v>
      </c>
      <c r="F303" s="189"/>
    </row>
    <row r="304">
      <c r="A304" s="39">
        <v>45308.708333333336</v>
      </c>
      <c r="B304" s="11" t="s">
        <v>364</v>
      </c>
      <c r="C304" s="14" t="s">
        <v>1038</v>
      </c>
      <c r="D304" s="14" t="s">
        <v>33</v>
      </c>
      <c r="E304" s="127">
        <v>4000.0</v>
      </c>
      <c r="F304" s="189"/>
    </row>
    <row r="305">
      <c r="A305" s="39">
        <v>45308.708333333336</v>
      </c>
      <c r="B305" s="11" t="s">
        <v>93</v>
      </c>
      <c r="C305" s="14" t="s">
        <v>1038</v>
      </c>
      <c r="D305" s="14" t="s">
        <v>33</v>
      </c>
      <c r="E305" s="127">
        <f>42*150</f>
        <v>6300</v>
      </c>
      <c r="F305" s="189"/>
    </row>
    <row r="306">
      <c r="A306" s="39">
        <v>45311.416666666664</v>
      </c>
      <c r="B306" s="11" t="s">
        <v>869</v>
      </c>
      <c r="C306" s="14" t="s">
        <v>37</v>
      </c>
      <c r="D306" s="14" t="s">
        <v>33</v>
      </c>
      <c r="E306" s="127">
        <v>75.0</v>
      </c>
      <c r="F306" s="189"/>
    </row>
    <row r="307">
      <c r="A307" s="39">
        <v>45311.416666666664</v>
      </c>
      <c r="B307" s="11" t="s">
        <v>895</v>
      </c>
      <c r="C307" s="14" t="s">
        <v>37</v>
      </c>
      <c r="D307" s="14" t="s">
        <v>33</v>
      </c>
      <c r="E307" s="127">
        <v>75.0</v>
      </c>
      <c r="F307" s="189"/>
    </row>
    <row r="308">
      <c r="A308" s="39">
        <v>45311.416666666664</v>
      </c>
      <c r="B308" s="11" t="s">
        <v>209</v>
      </c>
      <c r="C308" s="14" t="s">
        <v>37</v>
      </c>
      <c r="D308" s="14" t="s">
        <v>33</v>
      </c>
      <c r="E308" s="127">
        <v>83.0</v>
      </c>
      <c r="F308" s="189"/>
    </row>
    <row r="309">
      <c r="A309" s="39">
        <v>45311.416666666664</v>
      </c>
      <c r="B309" s="11" t="s">
        <v>821</v>
      </c>
      <c r="C309" s="14" t="s">
        <v>37</v>
      </c>
      <c r="D309" s="14" t="s">
        <v>33</v>
      </c>
      <c r="E309" s="127">
        <v>100.0</v>
      </c>
      <c r="F309" s="189"/>
    </row>
    <row r="310">
      <c r="A310" s="39">
        <v>45311.416666666664</v>
      </c>
      <c r="B310" s="11" t="s">
        <v>76</v>
      </c>
      <c r="C310" s="14" t="s">
        <v>37</v>
      </c>
      <c r="D310" s="14" t="s">
        <v>33</v>
      </c>
      <c r="E310" s="127">
        <v>256.0</v>
      </c>
      <c r="F310" s="189"/>
    </row>
    <row r="311">
      <c r="A311" s="39">
        <v>45311.416666666664</v>
      </c>
      <c r="B311" s="11" t="s">
        <v>108</v>
      </c>
      <c r="C311" s="14" t="s">
        <v>37</v>
      </c>
      <c r="D311" s="14" t="s">
        <v>33</v>
      </c>
      <c r="E311" s="127">
        <v>192.0</v>
      </c>
      <c r="F311" s="189"/>
    </row>
    <row r="312">
      <c r="A312" s="39"/>
      <c r="B312" s="11"/>
      <c r="C312" s="14"/>
      <c r="D312" s="14"/>
      <c r="E312" s="186"/>
      <c r="F312" s="189"/>
    </row>
    <row r="313">
      <c r="A313" s="39">
        <v>45318.675086076386</v>
      </c>
      <c r="B313" s="11" t="s">
        <v>32</v>
      </c>
      <c r="C313" s="14" t="s">
        <v>37</v>
      </c>
      <c r="D313" s="14" t="s">
        <v>33</v>
      </c>
      <c r="E313" s="127">
        <v>3.0</v>
      </c>
      <c r="F313" s="190" t="s">
        <v>1033</v>
      </c>
    </row>
    <row r="314">
      <c r="A314" s="39">
        <v>45318.675086076386</v>
      </c>
      <c r="B314" s="11" t="s">
        <v>331</v>
      </c>
      <c r="C314" s="14" t="s">
        <v>37</v>
      </c>
      <c r="D314" s="14" t="s">
        <v>33</v>
      </c>
      <c r="E314" s="127">
        <v>700.0</v>
      </c>
      <c r="F314" s="190" t="s">
        <v>1033</v>
      </c>
    </row>
    <row r="315">
      <c r="A315" s="39">
        <v>45318.675086076386</v>
      </c>
      <c r="B315" s="11" t="s">
        <v>397</v>
      </c>
      <c r="C315" s="14" t="s">
        <v>33</v>
      </c>
      <c r="D315" s="14" t="s">
        <v>37</v>
      </c>
      <c r="E315" s="127">
        <v>100.0</v>
      </c>
      <c r="F315" s="190" t="s">
        <v>1033</v>
      </c>
    </row>
    <row r="316">
      <c r="A316" s="39">
        <v>45319.68655092592</v>
      </c>
      <c r="B316" s="11" t="s">
        <v>331</v>
      </c>
      <c r="C316" s="14" t="s">
        <v>37</v>
      </c>
      <c r="D316" s="14" t="s">
        <v>33</v>
      </c>
      <c r="E316" s="127">
        <v>50.0</v>
      </c>
      <c r="F316" s="190" t="s">
        <v>1070</v>
      </c>
    </row>
    <row r="317">
      <c r="A317" s="39"/>
      <c r="B317" s="11"/>
      <c r="C317" s="14"/>
      <c r="D317" s="14"/>
      <c r="E317" s="186"/>
      <c r="F317" s="189"/>
    </row>
    <row r="318">
      <c r="A318" s="39">
        <v>45329.59649913195</v>
      </c>
      <c r="B318" s="11" t="s">
        <v>944</v>
      </c>
      <c r="C318" s="14" t="s">
        <v>1038</v>
      </c>
      <c r="D318" s="14" t="s">
        <v>33</v>
      </c>
      <c r="E318" s="127">
        <f>5*6*60</f>
        <v>1800</v>
      </c>
      <c r="F318" s="189"/>
    </row>
    <row r="319">
      <c r="A319" s="39">
        <v>45329.84498708333</v>
      </c>
      <c r="B319" s="11" t="s">
        <v>650</v>
      </c>
      <c r="C319" s="14" t="s">
        <v>1038</v>
      </c>
      <c r="D319" s="14" t="s">
        <v>33</v>
      </c>
      <c r="E319" s="127">
        <v>8000.0</v>
      </c>
      <c r="F319" s="189"/>
    </row>
    <row r="320">
      <c r="A320" s="39">
        <v>45329.64372685185</v>
      </c>
      <c r="B320" s="11" t="s">
        <v>944</v>
      </c>
      <c r="C320" s="14" t="s">
        <v>37</v>
      </c>
      <c r="D320" s="14" t="s">
        <v>33</v>
      </c>
      <c r="E320" s="186">
        <f>43*60</f>
        <v>2580</v>
      </c>
      <c r="F320" s="189"/>
    </row>
    <row r="321">
      <c r="A321" s="39">
        <v>45329.64372685185</v>
      </c>
      <c r="B321" s="11" t="s">
        <v>73</v>
      </c>
      <c r="C321" s="14" t="s">
        <v>37</v>
      </c>
      <c r="D321" s="14" t="s">
        <v>33</v>
      </c>
      <c r="E321" s="127">
        <v>450.0</v>
      </c>
      <c r="F321" s="189"/>
    </row>
    <row r="322">
      <c r="A322" s="39"/>
      <c r="B322" s="11"/>
      <c r="C322" s="14"/>
      <c r="D322" s="14"/>
      <c r="E322" s="127"/>
      <c r="F322" s="189"/>
    </row>
    <row r="323">
      <c r="A323" s="39">
        <v>45334.4518947801</v>
      </c>
      <c r="B323" s="11" t="s">
        <v>472</v>
      </c>
      <c r="C323" s="14" t="s">
        <v>37</v>
      </c>
      <c r="D323" s="14" t="s">
        <v>33</v>
      </c>
      <c r="E323" s="127">
        <v>2000.0</v>
      </c>
      <c r="F323" s="189"/>
    </row>
    <row r="324">
      <c r="A324" s="39">
        <v>45334.4518947801</v>
      </c>
      <c r="B324" s="11" t="s">
        <v>408</v>
      </c>
      <c r="C324" s="14" t="s">
        <v>37</v>
      </c>
      <c r="D324" s="14" t="s">
        <v>33</v>
      </c>
      <c r="E324" s="127">
        <v>5000.0</v>
      </c>
      <c r="F324" s="189"/>
    </row>
    <row r="325">
      <c r="A325" s="39">
        <v>45334.4518947801</v>
      </c>
      <c r="B325" s="11" t="s">
        <v>478</v>
      </c>
      <c r="C325" s="14" t="s">
        <v>37</v>
      </c>
      <c r="D325" s="14" t="s">
        <v>33</v>
      </c>
      <c r="E325" s="127">
        <v>1000.0</v>
      </c>
      <c r="F325" s="189"/>
    </row>
    <row r="326">
      <c r="A326" s="39">
        <v>45334.4518947801</v>
      </c>
      <c r="B326" s="11" t="s">
        <v>403</v>
      </c>
      <c r="C326" s="14" t="s">
        <v>37</v>
      </c>
      <c r="D326" s="14" t="s">
        <v>33</v>
      </c>
      <c r="E326" s="127">
        <v>1000.0</v>
      </c>
      <c r="F326" s="189"/>
    </row>
    <row r="327">
      <c r="A327" s="39">
        <v>45334.4518947801</v>
      </c>
      <c r="B327" s="11" t="s">
        <v>377</v>
      </c>
      <c r="C327" s="14" t="s">
        <v>37</v>
      </c>
      <c r="D327" s="14" t="s">
        <v>33</v>
      </c>
      <c r="E327" s="127">
        <v>1000.0</v>
      </c>
      <c r="F327" s="189"/>
    </row>
    <row r="328">
      <c r="A328" s="39">
        <v>45334.4518947801</v>
      </c>
      <c r="B328" s="11" t="s">
        <v>32</v>
      </c>
      <c r="C328" s="14" t="s">
        <v>37</v>
      </c>
      <c r="D328" s="14" t="s">
        <v>33</v>
      </c>
      <c r="E328" s="127">
        <v>150.0</v>
      </c>
      <c r="F328" s="189"/>
    </row>
    <row r="329">
      <c r="A329" s="39">
        <v>45334.4518947801</v>
      </c>
      <c r="B329" s="11" t="s">
        <v>209</v>
      </c>
      <c r="C329" s="14" t="s">
        <v>37</v>
      </c>
      <c r="D329" s="14" t="s">
        <v>33</v>
      </c>
      <c r="E329" s="127">
        <v>47.0</v>
      </c>
      <c r="F329" s="189"/>
    </row>
    <row r="330">
      <c r="A330" s="39">
        <v>45338.625</v>
      </c>
      <c r="B330" s="11" t="s">
        <v>152</v>
      </c>
      <c r="C330" s="14" t="s">
        <v>1038</v>
      </c>
      <c r="D330" s="14" t="s">
        <v>33</v>
      </c>
      <c r="E330" s="127">
        <v>52.0</v>
      </c>
      <c r="F330" s="189"/>
    </row>
    <row r="331">
      <c r="A331" s="39">
        <v>45338.625</v>
      </c>
      <c r="B331" s="11" t="s">
        <v>364</v>
      </c>
      <c r="C331" s="14" t="s">
        <v>1038</v>
      </c>
      <c r="D331" s="14" t="s">
        <v>33</v>
      </c>
      <c r="E331" s="127">
        <v>6000.0</v>
      </c>
      <c r="F331" s="189"/>
    </row>
    <row r="332">
      <c r="A332" s="39">
        <v>45338.625</v>
      </c>
      <c r="B332" s="11" t="s">
        <v>32</v>
      </c>
      <c r="C332" s="14" t="s">
        <v>1038</v>
      </c>
      <c r="D332" s="14" t="s">
        <v>33</v>
      </c>
      <c r="E332" s="127">
        <v>300.0</v>
      </c>
      <c r="F332" s="189"/>
    </row>
    <row r="333">
      <c r="A333" s="39">
        <v>45338.625</v>
      </c>
      <c r="B333" s="11" t="s">
        <v>209</v>
      </c>
      <c r="C333" s="14" t="s">
        <v>1038</v>
      </c>
      <c r="D333" s="14" t="s">
        <v>33</v>
      </c>
      <c r="E333" s="127">
        <v>30.0</v>
      </c>
      <c r="F333" s="189"/>
    </row>
    <row r="334">
      <c r="A334" s="39">
        <v>45338.625</v>
      </c>
      <c r="B334" s="11" t="s">
        <v>967</v>
      </c>
      <c r="C334" s="14" t="s">
        <v>1038</v>
      </c>
      <c r="D334" s="14" t="s">
        <v>33</v>
      </c>
      <c r="E334" s="127">
        <v>21.0</v>
      </c>
      <c r="F334" s="189"/>
    </row>
    <row r="335">
      <c r="A335" s="39">
        <v>45338.625</v>
      </c>
      <c r="B335" s="11" t="s">
        <v>175</v>
      </c>
      <c r="C335" s="14" t="s">
        <v>1038</v>
      </c>
      <c r="D335" s="14" t="s">
        <v>33</v>
      </c>
      <c r="E335" s="127">
        <v>10.0</v>
      </c>
      <c r="F335" s="189"/>
    </row>
    <row r="336">
      <c r="A336" s="39"/>
      <c r="B336" s="11"/>
      <c r="C336" s="14"/>
      <c r="D336" s="14"/>
      <c r="E336" s="186"/>
      <c r="F336" s="189"/>
    </row>
    <row r="337">
      <c r="A337" s="39">
        <v>45350.48179398148</v>
      </c>
      <c r="B337" s="11" t="s">
        <v>32</v>
      </c>
      <c r="C337" s="14" t="s">
        <v>1038</v>
      </c>
      <c r="D337" s="14" t="s">
        <v>37</v>
      </c>
      <c r="E337" s="127">
        <v>300.0</v>
      </c>
      <c r="F337" s="190" t="s">
        <v>1071</v>
      </c>
    </row>
    <row r="338">
      <c r="A338" s="39"/>
      <c r="B338" s="11"/>
      <c r="C338" s="14"/>
      <c r="D338" s="14"/>
      <c r="E338" s="186"/>
      <c r="F338" s="189"/>
    </row>
    <row r="339">
      <c r="A339" s="39">
        <v>45357.59583333333</v>
      </c>
      <c r="B339" s="11" t="s">
        <v>90</v>
      </c>
      <c r="C339" s="14" t="s">
        <v>37</v>
      </c>
      <c r="D339" s="14" t="s">
        <v>33</v>
      </c>
      <c r="E339" s="127">
        <v>45.0</v>
      </c>
      <c r="F339" s="189"/>
    </row>
    <row r="340">
      <c r="A340" s="39">
        <v>45357.59583333333</v>
      </c>
      <c r="B340" s="11" t="s">
        <v>102</v>
      </c>
      <c r="C340" s="14" t="s">
        <v>37</v>
      </c>
      <c r="D340" s="14" t="s">
        <v>33</v>
      </c>
      <c r="E340" s="127">
        <v>45.0</v>
      </c>
      <c r="F340" s="189"/>
    </row>
    <row r="341">
      <c r="A341" s="39">
        <v>45357.59583333333</v>
      </c>
      <c r="B341" s="11" t="s">
        <v>175</v>
      </c>
      <c r="C341" s="14" t="s">
        <v>37</v>
      </c>
      <c r="D341" s="14" t="s">
        <v>33</v>
      </c>
      <c r="E341" s="127">
        <v>97.0</v>
      </c>
      <c r="F341" s="189"/>
    </row>
    <row r="342">
      <c r="A342" s="39">
        <v>45357.59583333333</v>
      </c>
      <c r="B342" s="11" t="s">
        <v>869</v>
      </c>
      <c r="C342" s="14" t="s">
        <v>37</v>
      </c>
      <c r="D342" s="14" t="s">
        <v>33</v>
      </c>
      <c r="E342" s="127">
        <v>75.0</v>
      </c>
      <c r="F342" s="189"/>
    </row>
    <row r="343">
      <c r="A343" s="39">
        <v>45357.59583333333</v>
      </c>
      <c r="B343" s="11" t="s">
        <v>646</v>
      </c>
      <c r="C343" s="14" t="s">
        <v>37</v>
      </c>
      <c r="D343" s="14" t="s">
        <v>33</v>
      </c>
      <c r="E343" s="127">
        <v>80.0</v>
      </c>
      <c r="F343" s="189"/>
    </row>
    <row r="344">
      <c r="A344" s="39">
        <v>45357.59583333333</v>
      </c>
      <c r="B344" s="11" t="s">
        <v>397</v>
      </c>
      <c r="C344" s="14" t="s">
        <v>37</v>
      </c>
      <c r="D344" s="14" t="s">
        <v>33</v>
      </c>
      <c r="E344" s="127">
        <v>1300.0</v>
      </c>
      <c r="F344" s="189"/>
    </row>
    <row r="345">
      <c r="A345" s="39">
        <v>45369.696984317125</v>
      </c>
      <c r="B345" s="11" t="s">
        <v>175</v>
      </c>
      <c r="C345" s="14" t="s">
        <v>1038</v>
      </c>
      <c r="D345" s="14" t="s">
        <v>33</v>
      </c>
      <c r="E345" s="127">
        <v>50.0</v>
      </c>
      <c r="F345" s="189"/>
    </row>
    <row r="346">
      <c r="A346" s="39">
        <v>45370.697222222225</v>
      </c>
      <c r="B346" s="11" t="s">
        <v>209</v>
      </c>
      <c r="C346" s="14" t="s">
        <v>1038</v>
      </c>
      <c r="D346" s="14" t="s">
        <v>37</v>
      </c>
      <c r="E346" s="127">
        <v>8.0</v>
      </c>
      <c r="F346" s="190" t="s">
        <v>1072</v>
      </c>
    </row>
    <row r="347">
      <c r="A347" s="39"/>
      <c r="B347" s="11"/>
      <c r="C347" s="14"/>
      <c r="D347" s="14"/>
      <c r="E347" s="127"/>
      <c r="F347" s="190"/>
    </row>
    <row r="348">
      <c r="A348" s="39">
        <v>45389.50021990741</v>
      </c>
      <c r="B348" s="11" t="s">
        <v>967</v>
      </c>
      <c r="C348" s="14" t="s">
        <v>37</v>
      </c>
      <c r="D348" s="14" t="s">
        <v>33</v>
      </c>
      <c r="E348" s="127">
        <v>150.0</v>
      </c>
      <c r="F348" s="190" t="s">
        <v>1073</v>
      </c>
    </row>
    <row r="349">
      <c r="A349" s="39">
        <v>45389.501747685186</v>
      </c>
      <c r="B349" s="11" t="s">
        <v>960</v>
      </c>
      <c r="C349" s="14" t="s">
        <v>37</v>
      </c>
      <c r="D349" s="14" t="s">
        <v>33</v>
      </c>
      <c r="E349" s="127">
        <v>24.0</v>
      </c>
      <c r="F349" s="190" t="s">
        <v>1074</v>
      </c>
    </row>
    <row r="350">
      <c r="A350" s="39"/>
      <c r="B350" s="11"/>
      <c r="C350" s="14"/>
      <c r="D350" s="14"/>
      <c r="E350" s="127"/>
      <c r="F350" s="190"/>
    </row>
    <row r="351">
      <c r="A351" s="39">
        <v>45420.43680555555</v>
      </c>
      <c r="B351" s="11" t="s">
        <v>76</v>
      </c>
      <c r="C351" s="14" t="s">
        <v>37</v>
      </c>
      <c r="D351" s="14" t="s">
        <v>33</v>
      </c>
      <c r="E351" s="127">
        <v>1.0</v>
      </c>
      <c r="F351" s="190" t="s">
        <v>1075</v>
      </c>
    </row>
    <row r="352">
      <c r="A352" s="39">
        <v>45418.56579861111</v>
      </c>
      <c r="B352" s="11" t="s">
        <v>960</v>
      </c>
      <c r="C352" s="14" t="s">
        <v>33</v>
      </c>
      <c r="D352" s="14" t="s">
        <v>37</v>
      </c>
      <c r="E352" s="127">
        <v>4.0</v>
      </c>
      <c r="F352" s="190" t="s">
        <v>1076</v>
      </c>
    </row>
    <row r="353">
      <c r="A353" s="39">
        <v>45425.59722222222</v>
      </c>
      <c r="B353" s="11" t="s">
        <v>364</v>
      </c>
      <c r="C353" s="14" t="s">
        <v>33</v>
      </c>
      <c r="D353" s="14" t="s">
        <v>1038</v>
      </c>
      <c r="E353" s="127">
        <v>2000.0</v>
      </c>
      <c r="F353" s="190" t="s">
        <v>1077</v>
      </c>
    </row>
    <row r="354">
      <c r="A354" s="39">
        <v>45427.55138888889</v>
      </c>
      <c r="B354" s="11" t="s">
        <v>329</v>
      </c>
      <c r="C354" s="14" t="s">
        <v>37</v>
      </c>
      <c r="D354" s="14" t="s">
        <v>1038</v>
      </c>
      <c r="E354" s="127">
        <v>720.0</v>
      </c>
      <c r="F354" s="190" t="s">
        <v>1078</v>
      </c>
    </row>
    <row r="355">
      <c r="A355" s="39">
        <v>45432.69375</v>
      </c>
      <c r="B355" s="11" t="s">
        <v>329</v>
      </c>
      <c r="C355" s="14" t="s">
        <v>33</v>
      </c>
      <c r="D355" s="14" t="s">
        <v>1038</v>
      </c>
      <c r="E355" s="127">
        <v>1015.0</v>
      </c>
      <c r="F355" s="190"/>
    </row>
    <row r="356">
      <c r="A356" s="39"/>
      <c r="B356" s="11"/>
      <c r="C356" s="14"/>
      <c r="D356" s="14"/>
      <c r="E356" s="127"/>
      <c r="F356" s="190"/>
    </row>
    <row r="357">
      <c r="A357" s="39">
        <v>45433.541666666664</v>
      </c>
      <c r="B357" s="36" t="s">
        <v>698</v>
      </c>
      <c r="C357" s="14" t="s">
        <v>33</v>
      </c>
      <c r="D357" s="14" t="s">
        <v>37</v>
      </c>
      <c r="E357" s="186">
        <v>200.0</v>
      </c>
      <c r="F357" s="189"/>
    </row>
    <row r="358">
      <c r="A358" s="39">
        <v>45433.541666666664</v>
      </c>
      <c r="B358" s="36" t="s">
        <v>701</v>
      </c>
      <c r="C358" s="14" t="s">
        <v>33</v>
      </c>
      <c r="D358" s="14" t="s">
        <v>37</v>
      </c>
      <c r="E358" s="186">
        <v>200.0</v>
      </c>
      <c r="F358" s="189"/>
    </row>
    <row r="359">
      <c r="A359" s="39">
        <v>45433.541666666664</v>
      </c>
      <c r="B359" s="36" t="s">
        <v>660</v>
      </c>
      <c r="C359" s="14" t="s">
        <v>33</v>
      </c>
      <c r="D359" s="14" t="s">
        <v>37</v>
      </c>
      <c r="E359" s="186">
        <v>200.0</v>
      </c>
      <c r="F359" s="189"/>
    </row>
    <row r="360">
      <c r="A360" s="39">
        <v>45433.541666666664</v>
      </c>
      <c r="B360" s="36" t="s">
        <v>666</v>
      </c>
      <c r="C360" s="14" t="s">
        <v>33</v>
      </c>
      <c r="D360" s="14" t="s">
        <v>37</v>
      </c>
      <c r="E360" s="186">
        <v>200.0</v>
      </c>
      <c r="F360" s="189"/>
    </row>
    <row r="361">
      <c r="A361" s="39">
        <v>45433.541666666664</v>
      </c>
      <c r="B361" s="32" t="s">
        <v>669</v>
      </c>
      <c r="C361" s="14" t="s">
        <v>33</v>
      </c>
      <c r="D361" s="14" t="s">
        <v>37</v>
      </c>
      <c r="E361" s="186">
        <v>300.0</v>
      </c>
      <c r="F361" s="189"/>
    </row>
    <row r="362">
      <c r="A362" s="39">
        <v>45433.541666666664</v>
      </c>
      <c r="B362" s="36" t="s">
        <v>679</v>
      </c>
      <c r="C362" s="14" t="s">
        <v>33</v>
      </c>
      <c r="D362" s="14" t="s">
        <v>37</v>
      </c>
      <c r="E362" s="186">
        <v>200.0</v>
      </c>
      <c r="F362" s="189"/>
    </row>
    <row r="363">
      <c r="A363" s="39"/>
      <c r="B363" s="11"/>
      <c r="C363" s="14"/>
      <c r="D363" s="14"/>
      <c r="E363" s="186"/>
      <c r="F363" s="189"/>
    </row>
    <row r="364">
      <c r="A364" s="39">
        <v>45434.375</v>
      </c>
      <c r="B364" s="11" t="s">
        <v>910</v>
      </c>
      <c r="C364" s="14" t="s">
        <v>37</v>
      </c>
      <c r="D364" s="14" t="s">
        <v>33</v>
      </c>
      <c r="E364" s="127">
        <f>30*16</f>
        <v>480</v>
      </c>
      <c r="F364" s="190" t="s">
        <v>1079</v>
      </c>
    </row>
    <row r="365">
      <c r="A365" s="39">
        <v>45434.375</v>
      </c>
      <c r="B365" s="11" t="s">
        <v>481</v>
      </c>
      <c r="C365" s="14" t="s">
        <v>37</v>
      </c>
      <c r="D365" s="14" t="s">
        <v>33</v>
      </c>
      <c r="E365" s="127">
        <f>20*15</f>
        <v>300</v>
      </c>
      <c r="F365" s="190" t="s">
        <v>1079</v>
      </c>
    </row>
    <row r="366">
      <c r="A366" s="39">
        <v>45434.375</v>
      </c>
      <c r="B366" s="11" t="s">
        <v>821</v>
      </c>
      <c r="C366" s="14" t="s">
        <v>37</v>
      </c>
      <c r="D366" s="14" t="s">
        <v>33</v>
      </c>
      <c r="E366" s="127">
        <v>200.0</v>
      </c>
      <c r="F366" s="190" t="s">
        <v>1079</v>
      </c>
    </row>
    <row r="367">
      <c r="A367" s="39">
        <v>45434.375</v>
      </c>
      <c r="B367" s="11" t="s">
        <v>895</v>
      </c>
      <c r="C367" s="14" t="s">
        <v>37</v>
      </c>
      <c r="D367" s="14" t="s">
        <v>33</v>
      </c>
      <c r="E367" s="127">
        <v>100.0</v>
      </c>
      <c r="F367" s="190" t="s">
        <v>1079</v>
      </c>
    </row>
    <row r="368">
      <c r="A368" s="39">
        <v>45434.375</v>
      </c>
      <c r="B368" s="11" t="s">
        <v>607</v>
      </c>
      <c r="C368" s="14" t="s">
        <v>37</v>
      </c>
      <c r="D368" s="14" t="s">
        <v>33</v>
      </c>
      <c r="E368" s="127">
        <v>40.0</v>
      </c>
      <c r="F368" s="190" t="s">
        <v>1079</v>
      </c>
    </row>
    <row r="369">
      <c r="A369" s="39"/>
      <c r="B369" s="36"/>
      <c r="C369" s="14"/>
      <c r="D369" s="14"/>
      <c r="E369" s="186"/>
      <c r="F369" s="189"/>
    </row>
    <row r="370">
      <c r="A370" s="39">
        <v>45456.666666666664</v>
      </c>
      <c r="B370" s="11" t="s">
        <v>175</v>
      </c>
      <c r="C370" s="14" t="s">
        <v>37</v>
      </c>
      <c r="D370" s="14" t="s">
        <v>1038</v>
      </c>
      <c r="E370" s="127">
        <v>49.0</v>
      </c>
      <c r="F370" s="189"/>
    </row>
    <row r="371">
      <c r="A371" s="39">
        <v>45456.666666666664</v>
      </c>
      <c r="B371" s="11" t="s">
        <v>152</v>
      </c>
      <c r="C371" s="14" t="s">
        <v>37</v>
      </c>
      <c r="D371" s="14" t="s">
        <v>1038</v>
      </c>
      <c r="E371" s="127">
        <v>5.0</v>
      </c>
      <c r="F371" s="189"/>
    </row>
    <row r="372">
      <c r="A372" s="39">
        <v>45456.666666666664</v>
      </c>
      <c r="B372" s="11" t="s">
        <v>967</v>
      </c>
      <c r="C372" s="14" t="s">
        <v>37</v>
      </c>
      <c r="D372" s="14" t="s">
        <v>1038</v>
      </c>
      <c r="E372" s="127">
        <v>14.0</v>
      </c>
      <c r="F372" s="189"/>
    </row>
    <row r="373">
      <c r="A373" s="39">
        <v>45456.666666666664</v>
      </c>
      <c r="B373" s="11" t="s">
        <v>650</v>
      </c>
      <c r="C373" s="14" t="s">
        <v>37</v>
      </c>
      <c r="D373" s="14" t="s">
        <v>1038</v>
      </c>
      <c r="E373" s="127">
        <v>6000.0</v>
      </c>
      <c r="F373" s="189"/>
    </row>
    <row r="374">
      <c r="A374" s="39">
        <v>45456.666666666664</v>
      </c>
      <c r="B374" s="11" t="s">
        <v>944</v>
      </c>
      <c r="C374" s="14" t="s">
        <v>37</v>
      </c>
      <c r="D374" s="14" t="s">
        <v>1038</v>
      </c>
      <c r="E374" s="127">
        <v>1800.0</v>
      </c>
      <c r="F374" s="189"/>
    </row>
    <row r="375">
      <c r="A375" s="39">
        <v>45456.666666666664</v>
      </c>
      <c r="B375" s="11" t="s">
        <v>93</v>
      </c>
      <c r="C375" s="14" t="s">
        <v>37</v>
      </c>
      <c r="D375" s="14" t="s">
        <v>1038</v>
      </c>
      <c r="E375" s="127">
        <v>6050.0</v>
      </c>
      <c r="F375" s="189"/>
    </row>
    <row r="376">
      <c r="A376" s="39">
        <v>45456.666666666664</v>
      </c>
      <c r="B376" s="11" t="s">
        <v>364</v>
      </c>
      <c r="C376" s="14" t="s">
        <v>37</v>
      </c>
      <c r="D376" s="14" t="s">
        <v>1038</v>
      </c>
      <c r="E376" s="127">
        <v>7978.0</v>
      </c>
      <c r="F376" s="189"/>
    </row>
    <row r="377">
      <c r="A377" s="39">
        <v>45456.666666666664</v>
      </c>
      <c r="B377" s="11" t="s">
        <v>472</v>
      </c>
      <c r="C377" s="14" t="s">
        <v>37</v>
      </c>
      <c r="D377" s="14" t="s">
        <v>1038</v>
      </c>
      <c r="E377" s="127">
        <v>3990.0</v>
      </c>
      <c r="F377" s="189"/>
    </row>
    <row r="378">
      <c r="A378" s="39">
        <v>45456.666666666664</v>
      </c>
      <c r="B378" s="11" t="s">
        <v>329</v>
      </c>
      <c r="C378" s="14" t="s">
        <v>37</v>
      </c>
      <c r="D378" s="14" t="s">
        <v>1038</v>
      </c>
      <c r="E378" s="127">
        <v>720.0</v>
      </c>
      <c r="F378" s="189"/>
    </row>
    <row r="379">
      <c r="A379" s="198"/>
      <c r="B379" s="11"/>
      <c r="C379" s="14"/>
      <c r="D379" s="14"/>
      <c r="E379" s="127"/>
      <c r="F379" s="189"/>
    </row>
    <row r="380">
      <c r="A380" s="198">
        <v>45458.552777777775</v>
      </c>
      <c r="B380" s="11" t="s">
        <v>209</v>
      </c>
      <c r="C380" s="14" t="s">
        <v>37</v>
      </c>
      <c r="D380" s="14" t="s">
        <v>33</v>
      </c>
      <c r="E380" s="127">
        <v>100.0</v>
      </c>
      <c r="F380" s="189"/>
    </row>
    <row r="381">
      <c r="A381" s="198">
        <v>45458.552777777775</v>
      </c>
      <c r="B381" s="11" t="s">
        <v>32</v>
      </c>
      <c r="C381" s="14" t="s">
        <v>37</v>
      </c>
      <c r="D381" s="14" t="s">
        <v>33</v>
      </c>
      <c r="E381" s="127">
        <v>600.0</v>
      </c>
      <c r="F381" s="189"/>
    </row>
    <row r="382">
      <c r="A382" s="198">
        <v>45458.552777777775</v>
      </c>
      <c r="B382" s="11" t="s">
        <v>90</v>
      </c>
      <c r="C382" s="14" t="s">
        <v>37</v>
      </c>
      <c r="D382" s="14" t="s">
        <v>33</v>
      </c>
      <c r="E382" s="127">
        <v>74.0</v>
      </c>
      <c r="F382" s="189"/>
    </row>
    <row r="383">
      <c r="A383" s="198">
        <v>45458.552777777775</v>
      </c>
      <c r="B383" s="11" t="s">
        <v>241</v>
      </c>
      <c r="C383" s="14" t="s">
        <v>37</v>
      </c>
      <c r="D383" s="14" t="s">
        <v>33</v>
      </c>
      <c r="E383" s="127">
        <v>200.0</v>
      </c>
      <c r="F383" s="189"/>
    </row>
    <row r="384">
      <c r="A384" s="198">
        <v>45458.552777777775</v>
      </c>
      <c r="B384" s="11" t="s">
        <v>669</v>
      </c>
      <c r="C384" s="14" t="s">
        <v>37</v>
      </c>
      <c r="D384" s="14" t="s">
        <v>33</v>
      </c>
      <c r="E384" s="127">
        <v>50.0</v>
      </c>
      <c r="F384" s="189"/>
    </row>
    <row r="385">
      <c r="A385" s="198"/>
      <c r="B385" s="11"/>
      <c r="C385" s="14"/>
      <c r="D385" s="14"/>
      <c r="E385" s="127"/>
      <c r="F385" s="189"/>
    </row>
    <row r="386">
      <c r="A386" s="198">
        <v>45832.625</v>
      </c>
      <c r="B386" s="11" t="s">
        <v>650</v>
      </c>
      <c r="C386" s="14" t="s">
        <v>33</v>
      </c>
      <c r="D386" s="14" t="s">
        <v>37</v>
      </c>
      <c r="E386" s="127">
        <v>8000.0</v>
      </c>
      <c r="F386" s="189"/>
    </row>
    <row r="387">
      <c r="A387" s="198"/>
      <c r="B387" s="11"/>
      <c r="C387" s="14"/>
      <c r="D387" s="14"/>
      <c r="E387" s="127"/>
      <c r="F387" s="189"/>
    </row>
    <row r="388">
      <c r="A388" s="198">
        <v>45480.416666666664</v>
      </c>
      <c r="B388" s="11" t="s">
        <v>73</v>
      </c>
      <c r="C388" s="14" t="s">
        <v>37</v>
      </c>
      <c r="D388" s="14" t="s">
        <v>33</v>
      </c>
      <c r="E388" s="127">
        <v>270.0</v>
      </c>
      <c r="F388" s="189"/>
    </row>
    <row r="389">
      <c r="A389" s="198">
        <v>45480.416666666664</v>
      </c>
      <c r="B389" s="11" t="s">
        <v>397</v>
      </c>
      <c r="C389" s="14" t="s">
        <v>37</v>
      </c>
      <c r="D389" s="14" t="s">
        <v>33</v>
      </c>
      <c r="E389" s="127">
        <v>4000.0</v>
      </c>
      <c r="F389" s="189"/>
    </row>
    <row r="390">
      <c r="A390" s="198"/>
      <c r="B390" s="11"/>
      <c r="C390" s="14"/>
      <c r="D390" s="14"/>
      <c r="E390" s="127"/>
      <c r="F390" s="189"/>
    </row>
    <row r="391">
      <c r="A391" s="198">
        <v>45515.833333333336</v>
      </c>
      <c r="B391" s="11" t="s">
        <v>76</v>
      </c>
      <c r="C391" s="14" t="s">
        <v>33</v>
      </c>
      <c r="D391" s="14" t="s">
        <v>37</v>
      </c>
      <c r="E391" s="127">
        <v>45.0</v>
      </c>
      <c r="F391" s="189"/>
    </row>
    <row r="392">
      <c r="A392" s="198">
        <v>45516.58409365741</v>
      </c>
      <c r="B392" s="11" t="s">
        <v>910</v>
      </c>
      <c r="C392" s="14" t="s">
        <v>37</v>
      </c>
      <c r="D392" s="14" t="s">
        <v>33</v>
      </c>
      <c r="E392" s="127">
        <v>19.0</v>
      </c>
      <c r="F392" s="189"/>
    </row>
    <row r="393">
      <c r="A393" s="198">
        <v>45516.61296706018</v>
      </c>
      <c r="B393" s="11" t="s">
        <v>717</v>
      </c>
      <c r="C393" s="14" t="s">
        <v>33</v>
      </c>
      <c r="D393" s="14" t="s">
        <v>37</v>
      </c>
      <c r="E393" s="127">
        <v>10.0</v>
      </c>
      <c r="F393" s="189"/>
    </row>
    <row r="394">
      <c r="A394" s="198">
        <v>45516.63818512732</v>
      </c>
      <c r="B394" s="11" t="s">
        <v>108</v>
      </c>
      <c r="C394" s="14" t="s">
        <v>37</v>
      </c>
      <c r="D394" s="14" t="s">
        <v>33</v>
      </c>
      <c r="E394" s="127">
        <v>26.0</v>
      </c>
      <c r="F394" s="189"/>
    </row>
    <row r="395">
      <c r="A395" s="198">
        <v>45516.63820054398</v>
      </c>
      <c r="B395" s="11" t="s">
        <v>141</v>
      </c>
      <c r="C395" s="14" t="s">
        <v>37</v>
      </c>
      <c r="D395" s="14" t="s">
        <v>33</v>
      </c>
      <c r="E395" s="127">
        <v>19.0</v>
      </c>
      <c r="F395" s="189"/>
    </row>
    <row r="396">
      <c r="A396" s="198">
        <v>45517.36482358797</v>
      </c>
      <c r="B396" s="11" t="s">
        <v>32</v>
      </c>
      <c r="C396" s="14" t="s">
        <v>37</v>
      </c>
      <c r="D396" s="14" t="s">
        <v>33</v>
      </c>
      <c r="E396" s="127">
        <v>750.0</v>
      </c>
      <c r="F396" s="189"/>
    </row>
    <row r="397">
      <c r="A397" s="198">
        <v>45517.364900138884</v>
      </c>
      <c r="B397" s="11" t="s">
        <v>32</v>
      </c>
      <c r="C397" s="14" t="s">
        <v>33</v>
      </c>
      <c r="D397" s="14" t="s">
        <v>37</v>
      </c>
      <c r="E397" s="127">
        <v>54.0</v>
      </c>
      <c r="F397" s="189"/>
    </row>
    <row r="398">
      <c r="A398" s="198">
        <v>45518.52496195602</v>
      </c>
      <c r="B398" s="11" t="s">
        <v>483</v>
      </c>
      <c r="C398" s="14" t="s">
        <v>33</v>
      </c>
      <c r="D398" s="14" t="s">
        <v>37</v>
      </c>
      <c r="E398" s="127">
        <v>9.0</v>
      </c>
      <c r="F398" s="189"/>
    </row>
    <row r="399">
      <c r="A399" s="198"/>
      <c r="B399" s="11"/>
      <c r="C399" s="14"/>
      <c r="D399" s="14"/>
      <c r="E399" s="127"/>
      <c r="F399" s="189"/>
    </row>
    <row r="400">
      <c r="A400" s="198">
        <v>45520.45648655093</v>
      </c>
      <c r="B400" s="11" t="s">
        <v>32</v>
      </c>
      <c r="C400" s="14" t="s">
        <v>37</v>
      </c>
      <c r="D400" s="14" t="s">
        <v>33</v>
      </c>
      <c r="E400" s="127">
        <v>2250.0</v>
      </c>
      <c r="F400" s="189"/>
    </row>
    <row r="401">
      <c r="A401" s="198">
        <v>45520.45648655093</v>
      </c>
      <c r="B401" s="11" t="s">
        <v>90</v>
      </c>
      <c r="C401" s="14" t="s">
        <v>37</v>
      </c>
      <c r="D401" s="14" t="s">
        <v>33</v>
      </c>
      <c r="E401" s="127">
        <v>111.0</v>
      </c>
      <c r="F401" s="189"/>
    </row>
    <row r="402">
      <c r="A402" s="198">
        <v>45520.45648655093</v>
      </c>
      <c r="B402" s="11" t="s">
        <v>102</v>
      </c>
      <c r="C402" s="14" t="s">
        <v>37</v>
      </c>
      <c r="D402" s="14" t="s">
        <v>33</v>
      </c>
      <c r="E402" s="127">
        <v>111.0</v>
      </c>
      <c r="F402" s="189"/>
    </row>
    <row r="403">
      <c r="A403" s="198">
        <v>45520.45648655093</v>
      </c>
      <c r="B403" s="11" t="s">
        <v>331</v>
      </c>
      <c r="C403" s="14" t="s">
        <v>37</v>
      </c>
      <c r="D403" s="14" t="s">
        <v>33</v>
      </c>
      <c r="E403" s="127">
        <v>2000.0</v>
      </c>
      <c r="F403" s="189"/>
    </row>
    <row r="404">
      <c r="A404" s="198">
        <v>45520.45648655093</v>
      </c>
      <c r="B404" s="11" t="s">
        <v>377</v>
      </c>
      <c r="C404" s="14" t="s">
        <v>37</v>
      </c>
      <c r="D404" s="14" t="s">
        <v>33</v>
      </c>
      <c r="E404" s="127">
        <v>1000.0</v>
      </c>
      <c r="F404" s="189"/>
    </row>
    <row r="405">
      <c r="A405" s="198"/>
      <c r="B405" s="11"/>
      <c r="C405" s="14"/>
      <c r="D405" s="14"/>
      <c r="E405" s="127"/>
      <c r="F405" s="189"/>
    </row>
    <row r="406">
      <c r="A406" s="198">
        <v>45601.625</v>
      </c>
      <c r="B406" s="11" t="s">
        <v>73</v>
      </c>
      <c r="C406" s="14" t="s">
        <v>33</v>
      </c>
      <c r="D406" s="14" t="s">
        <v>37</v>
      </c>
      <c r="E406" s="127">
        <v>20.0</v>
      </c>
      <c r="F406" s="189"/>
    </row>
    <row r="407">
      <c r="A407" s="198">
        <v>45601.625</v>
      </c>
      <c r="B407" s="11" t="s">
        <v>175</v>
      </c>
      <c r="C407" s="14" t="s">
        <v>37</v>
      </c>
      <c r="D407" s="14" t="s">
        <v>33</v>
      </c>
      <c r="E407" s="127">
        <v>50.0</v>
      </c>
      <c r="F407" s="189"/>
    </row>
    <row r="408">
      <c r="A408" s="198">
        <v>45601.625</v>
      </c>
      <c r="B408" s="11" t="s">
        <v>197</v>
      </c>
      <c r="C408" s="14" t="s">
        <v>33</v>
      </c>
      <c r="D408" s="14" t="s">
        <v>37</v>
      </c>
      <c r="E408" s="127">
        <v>26.0</v>
      </c>
      <c r="F408" s="189"/>
    </row>
    <row r="409">
      <c r="A409" s="198">
        <v>45601.625</v>
      </c>
      <c r="B409" s="11" t="s">
        <v>209</v>
      </c>
      <c r="C409" s="14" t="s">
        <v>33</v>
      </c>
      <c r="D409" s="14" t="s">
        <v>37</v>
      </c>
      <c r="E409" s="127">
        <v>9.0</v>
      </c>
      <c r="F409" s="189"/>
    </row>
    <row r="410">
      <c r="A410" s="198">
        <v>45601.625</v>
      </c>
      <c r="B410" s="11" t="s">
        <v>331</v>
      </c>
      <c r="C410" s="14" t="s">
        <v>33</v>
      </c>
      <c r="D410" s="14" t="s">
        <v>37</v>
      </c>
      <c r="E410" s="127">
        <v>500.0</v>
      </c>
      <c r="F410" s="189"/>
    </row>
    <row r="411">
      <c r="A411" s="198">
        <v>45601.625</v>
      </c>
      <c r="B411" s="11" t="s">
        <v>351</v>
      </c>
      <c r="C411" s="14" t="s">
        <v>33</v>
      </c>
      <c r="D411" s="14" t="s">
        <v>37</v>
      </c>
      <c r="E411" s="127">
        <v>4.0</v>
      </c>
      <c r="F411" s="189"/>
    </row>
    <row r="412">
      <c r="A412" s="198">
        <v>45601.625</v>
      </c>
      <c r="B412" s="11" t="s">
        <v>408</v>
      </c>
      <c r="C412" s="14" t="s">
        <v>37</v>
      </c>
      <c r="D412" s="14" t="s">
        <v>33</v>
      </c>
      <c r="E412" s="127">
        <v>25.0</v>
      </c>
      <c r="F412" s="189"/>
    </row>
    <row r="413">
      <c r="A413" s="198">
        <v>45601.625</v>
      </c>
      <c r="B413" s="11" t="s">
        <v>450</v>
      </c>
      <c r="C413" s="14" t="s">
        <v>37</v>
      </c>
      <c r="D413" s="14" t="s">
        <v>33</v>
      </c>
      <c r="E413" s="127">
        <v>600.0</v>
      </c>
      <c r="F413" s="189"/>
    </row>
    <row r="414">
      <c r="A414" s="198">
        <v>45601.625</v>
      </c>
      <c r="B414" s="11" t="s">
        <v>478</v>
      </c>
      <c r="C414" s="14" t="s">
        <v>33</v>
      </c>
      <c r="D414" s="14" t="s">
        <v>37</v>
      </c>
      <c r="E414" s="127">
        <v>5.0</v>
      </c>
      <c r="F414" s="189"/>
    </row>
    <row r="415">
      <c r="A415" s="198">
        <v>45601.625</v>
      </c>
      <c r="B415" s="11" t="s">
        <v>481</v>
      </c>
      <c r="C415" s="14" t="s">
        <v>33</v>
      </c>
      <c r="D415" s="14" t="s">
        <v>37</v>
      </c>
      <c r="E415" s="127">
        <v>91.0</v>
      </c>
      <c r="F415" s="189"/>
    </row>
    <row r="416">
      <c r="A416" s="198">
        <v>45601.625</v>
      </c>
      <c r="B416" s="36" t="s">
        <v>377</v>
      </c>
      <c r="C416" s="14" t="s">
        <v>37</v>
      </c>
      <c r="D416" s="14" t="s">
        <v>33</v>
      </c>
      <c r="E416" s="127">
        <v>10.0</v>
      </c>
      <c r="F416" s="189"/>
    </row>
    <row r="417">
      <c r="A417" s="198">
        <v>45601.625</v>
      </c>
      <c r="B417" s="11" t="s">
        <v>669</v>
      </c>
      <c r="C417" s="14" t="s">
        <v>37</v>
      </c>
      <c r="D417" s="14" t="s">
        <v>33</v>
      </c>
      <c r="E417" s="127">
        <v>204.0</v>
      </c>
      <c r="F417" s="189"/>
    </row>
    <row r="418">
      <c r="A418" s="198">
        <v>45601.625</v>
      </c>
      <c r="B418" s="11" t="s">
        <v>967</v>
      </c>
      <c r="C418" s="14" t="s">
        <v>37</v>
      </c>
      <c r="D418" s="14" t="s">
        <v>33</v>
      </c>
      <c r="E418" s="127">
        <v>51.0</v>
      </c>
      <c r="F418" s="189"/>
    </row>
    <row r="419">
      <c r="A419" s="198">
        <v>45601.625</v>
      </c>
      <c r="B419" s="11" t="s">
        <v>985</v>
      </c>
      <c r="C419" s="14" t="s">
        <v>33</v>
      </c>
      <c r="D419" s="14" t="s">
        <v>37</v>
      </c>
      <c r="E419" s="127">
        <v>4.0</v>
      </c>
      <c r="F419" s="189"/>
    </row>
    <row r="420">
      <c r="A420" s="198">
        <v>45601.625</v>
      </c>
      <c r="B420" s="11" t="s">
        <v>791</v>
      </c>
      <c r="C420" s="14" t="s">
        <v>33</v>
      </c>
      <c r="D420" s="14" t="s">
        <v>37</v>
      </c>
      <c r="E420" s="127">
        <v>80.0</v>
      </c>
      <c r="F420" s="189"/>
    </row>
    <row r="421">
      <c r="A421" s="198"/>
      <c r="B421" s="11"/>
      <c r="C421" s="14"/>
      <c r="D421" s="14"/>
      <c r="E421" s="127"/>
      <c r="F421" s="189"/>
    </row>
    <row r="422">
      <c r="A422" s="198">
        <v>45603.583333333336</v>
      </c>
      <c r="B422" s="11" t="s">
        <v>76</v>
      </c>
      <c r="C422" s="14" t="s">
        <v>33</v>
      </c>
      <c r="D422" s="14" t="s">
        <v>37</v>
      </c>
      <c r="E422" s="127">
        <v>10.0</v>
      </c>
      <c r="F422" s="189"/>
    </row>
    <row r="423">
      <c r="A423" s="198">
        <v>45603.583333333336</v>
      </c>
      <c r="B423" s="11" t="s">
        <v>102</v>
      </c>
      <c r="C423" s="14" t="s">
        <v>37</v>
      </c>
      <c r="D423" s="14" t="s">
        <v>33</v>
      </c>
      <c r="E423" s="127">
        <v>14.0</v>
      </c>
      <c r="F423" s="189"/>
    </row>
    <row r="424">
      <c r="A424" s="198">
        <v>45603.583333333336</v>
      </c>
      <c r="B424" s="11" t="s">
        <v>175</v>
      </c>
      <c r="C424" s="14" t="s">
        <v>37</v>
      </c>
      <c r="D424" s="14" t="s">
        <v>33</v>
      </c>
      <c r="E424" s="127">
        <v>7.0</v>
      </c>
      <c r="F424" s="189"/>
    </row>
    <row r="425">
      <c r="A425" s="198">
        <v>45603.583333333336</v>
      </c>
      <c r="B425" s="11" t="s">
        <v>197</v>
      </c>
      <c r="C425" s="14" t="s">
        <v>33</v>
      </c>
      <c r="D425" s="14" t="s">
        <v>37</v>
      </c>
      <c r="E425" s="127">
        <v>6.0</v>
      </c>
      <c r="F425" s="189"/>
    </row>
    <row r="426">
      <c r="A426" s="198">
        <v>45603.583333333336</v>
      </c>
      <c r="B426" s="11" t="s">
        <v>869</v>
      </c>
      <c r="C426" s="14" t="s">
        <v>37</v>
      </c>
      <c r="D426" s="14" t="s">
        <v>33</v>
      </c>
      <c r="E426" s="127">
        <v>7.0</v>
      </c>
      <c r="F426" s="189"/>
    </row>
    <row r="427">
      <c r="A427" s="198">
        <v>45603.583333333336</v>
      </c>
      <c r="B427" s="11" t="s">
        <v>944</v>
      </c>
      <c r="C427" s="14" t="s">
        <v>37</v>
      </c>
      <c r="D427" s="14" t="s">
        <v>33</v>
      </c>
      <c r="E427" s="127">
        <v>52.0</v>
      </c>
      <c r="F427" s="189"/>
    </row>
    <row r="428">
      <c r="A428" s="198">
        <v>45603.583333333336</v>
      </c>
      <c r="B428" s="11" t="s">
        <v>985</v>
      </c>
      <c r="C428" s="14" t="s">
        <v>37</v>
      </c>
      <c r="D428" s="14" t="s">
        <v>33</v>
      </c>
      <c r="E428" s="127">
        <v>5.0</v>
      </c>
      <c r="F428" s="189"/>
    </row>
    <row r="429">
      <c r="A429" s="198"/>
      <c r="B429" s="11"/>
      <c r="C429" s="14"/>
      <c r="D429" s="14"/>
      <c r="E429" s="127"/>
      <c r="F429" s="189"/>
    </row>
    <row r="430">
      <c r="A430" s="198">
        <v>45619.041666666664</v>
      </c>
      <c r="B430" s="11" t="s">
        <v>209</v>
      </c>
      <c r="C430" s="14" t="s">
        <v>33</v>
      </c>
      <c r="D430" s="14" t="s">
        <v>37</v>
      </c>
      <c r="E430" s="127">
        <v>1.0</v>
      </c>
      <c r="F430" s="189"/>
    </row>
    <row r="431">
      <c r="A431" s="198">
        <v>45619.041666666664</v>
      </c>
      <c r="B431" s="11" t="s">
        <v>351</v>
      </c>
      <c r="C431" s="14" t="s">
        <v>37</v>
      </c>
      <c r="D431" s="14" t="s">
        <v>33</v>
      </c>
      <c r="E431" s="127">
        <v>2.0</v>
      </c>
      <c r="F431" s="189"/>
    </row>
    <row r="432">
      <c r="A432" s="198">
        <v>45619.041666666664</v>
      </c>
      <c r="B432" s="11" t="s">
        <v>478</v>
      </c>
      <c r="C432" s="14" t="s">
        <v>33</v>
      </c>
      <c r="D432" s="14" t="s">
        <v>37</v>
      </c>
      <c r="E432" s="127">
        <v>20.0</v>
      </c>
      <c r="F432" s="189"/>
    </row>
    <row r="433">
      <c r="A433" s="198">
        <v>45619.041666666664</v>
      </c>
      <c r="B433" s="11" t="s">
        <v>408</v>
      </c>
      <c r="C433" s="14" t="s">
        <v>37</v>
      </c>
      <c r="D433" s="14" t="s">
        <v>33</v>
      </c>
      <c r="E433" s="127">
        <v>76.0</v>
      </c>
      <c r="F433" s="189"/>
    </row>
    <row r="434">
      <c r="A434" s="198">
        <v>45619.041666666664</v>
      </c>
      <c r="B434" s="11" t="s">
        <v>849</v>
      </c>
      <c r="C434" s="14" t="s">
        <v>37</v>
      </c>
      <c r="D434" s="14" t="s">
        <v>33</v>
      </c>
      <c r="E434" s="127">
        <v>1.0</v>
      </c>
      <c r="F434" s="189"/>
    </row>
    <row r="435">
      <c r="A435" s="198"/>
      <c r="B435" s="11"/>
      <c r="C435" s="14"/>
      <c r="D435" s="14"/>
      <c r="E435" s="127"/>
      <c r="F435" s="189"/>
    </row>
    <row r="436">
      <c r="A436" s="198">
        <v>45638.8125</v>
      </c>
      <c r="B436" s="11" t="s">
        <v>669</v>
      </c>
      <c r="C436" s="14" t="s">
        <v>33</v>
      </c>
      <c r="D436" s="14" t="s">
        <v>37</v>
      </c>
      <c r="E436" s="127">
        <v>26.0</v>
      </c>
      <c r="F436" s="189"/>
    </row>
    <row r="437">
      <c r="A437" s="198"/>
      <c r="B437" s="11"/>
      <c r="C437" s="14"/>
      <c r="D437" s="14"/>
      <c r="E437" s="127"/>
      <c r="F437" s="189"/>
    </row>
    <row r="438">
      <c r="A438" s="198">
        <v>45675.416666666664</v>
      </c>
      <c r="B438" s="11" t="s">
        <v>76</v>
      </c>
      <c r="C438" s="14" t="s">
        <v>37</v>
      </c>
      <c r="D438" s="14" t="s">
        <v>33</v>
      </c>
      <c r="E438" s="127">
        <v>600.0</v>
      </c>
      <c r="F438" s="189"/>
    </row>
    <row r="439">
      <c r="A439" s="198">
        <v>45675.416666666664</v>
      </c>
      <c r="B439" s="11" t="s">
        <v>73</v>
      </c>
      <c r="C439" s="14" t="s">
        <v>37</v>
      </c>
      <c r="D439" s="14" t="s">
        <v>33</v>
      </c>
      <c r="E439" s="127">
        <v>405.0</v>
      </c>
      <c r="F439" s="189"/>
    </row>
    <row r="440">
      <c r="A440" s="198">
        <v>45675.416666666664</v>
      </c>
      <c r="B440" s="11" t="s">
        <v>408</v>
      </c>
      <c r="C440" s="14" t="s">
        <v>37</v>
      </c>
      <c r="D440" s="14" t="s">
        <v>33</v>
      </c>
      <c r="E440" s="127">
        <v>2000.0</v>
      </c>
      <c r="F440" s="189"/>
    </row>
    <row r="441">
      <c r="A441" s="198">
        <v>45675.416666666664</v>
      </c>
      <c r="B441" s="11" t="s">
        <v>377</v>
      </c>
      <c r="C441" s="14" t="s">
        <v>37</v>
      </c>
      <c r="D441" s="14" t="s">
        <v>33</v>
      </c>
      <c r="E441" s="127">
        <v>1000.0</v>
      </c>
      <c r="F441" s="189"/>
    </row>
    <row r="442">
      <c r="A442" s="198">
        <v>45675.416666666664</v>
      </c>
      <c r="B442" s="11" t="s">
        <v>329</v>
      </c>
      <c r="C442" s="14" t="s">
        <v>37</v>
      </c>
      <c r="D442" s="14" t="s">
        <v>33</v>
      </c>
      <c r="E442" s="127">
        <f>1440+720</f>
        <v>2160</v>
      </c>
      <c r="F442" s="189"/>
    </row>
    <row r="443">
      <c r="A443" s="198">
        <v>45675.416666666664</v>
      </c>
      <c r="B443" s="11" t="s">
        <v>103</v>
      </c>
      <c r="C443" s="14" t="s">
        <v>37</v>
      </c>
      <c r="D443" s="14" t="s">
        <v>33</v>
      </c>
      <c r="E443" s="127">
        <v>12.0</v>
      </c>
      <c r="F443" s="189"/>
    </row>
    <row r="444">
      <c r="A444" s="198">
        <v>45675.416666666664</v>
      </c>
      <c r="B444" s="11" t="s">
        <v>385</v>
      </c>
      <c r="C444" s="14" t="s">
        <v>37</v>
      </c>
      <c r="D444" s="14" t="s">
        <v>33</v>
      </c>
      <c r="E444" s="127">
        <v>200.0</v>
      </c>
      <c r="F444" s="189"/>
    </row>
    <row r="445">
      <c r="A445" s="198">
        <v>45675.416666666664</v>
      </c>
      <c r="B445" s="11" t="s">
        <v>250</v>
      </c>
      <c r="C445" s="14" t="s">
        <v>37</v>
      </c>
      <c r="D445" s="14" t="s">
        <v>33</v>
      </c>
      <c r="E445" s="127">
        <v>14.0</v>
      </c>
      <c r="F445" s="189"/>
    </row>
    <row r="446">
      <c r="A446" s="198">
        <v>45675.416666666664</v>
      </c>
      <c r="B446" s="11" t="s">
        <v>303</v>
      </c>
      <c r="C446" s="14" t="s">
        <v>37</v>
      </c>
      <c r="D446" s="14" t="s">
        <v>33</v>
      </c>
      <c r="E446" s="127">
        <v>15.0</v>
      </c>
      <c r="F446" s="189"/>
    </row>
    <row r="447">
      <c r="A447" s="198">
        <v>45675.416666666664</v>
      </c>
      <c r="B447" s="11" t="s">
        <v>895</v>
      </c>
      <c r="C447" s="14" t="s">
        <v>37</v>
      </c>
      <c r="D447" s="14" t="s">
        <v>33</v>
      </c>
      <c r="E447" s="127">
        <v>100.0</v>
      </c>
      <c r="F447" s="189"/>
    </row>
    <row r="448">
      <c r="A448" s="198">
        <v>45675.416666666664</v>
      </c>
      <c r="B448" s="11" t="s">
        <v>108</v>
      </c>
      <c r="C448" s="14" t="s">
        <v>37</v>
      </c>
      <c r="D448" s="14" t="s">
        <v>33</v>
      </c>
      <c r="E448" s="127">
        <v>96.0</v>
      </c>
      <c r="F448" s="189"/>
    </row>
    <row r="449">
      <c r="A449" s="198">
        <v>45675.416666666664</v>
      </c>
      <c r="B449" s="11" t="s">
        <v>141</v>
      </c>
      <c r="C449" s="14" t="s">
        <v>37</v>
      </c>
      <c r="D449" s="14" t="s">
        <v>33</v>
      </c>
      <c r="E449" s="127">
        <v>72.0</v>
      </c>
      <c r="F449" s="189"/>
    </row>
    <row r="450">
      <c r="A450" s="198">
        <v>45675.416666666664</v>
      </c>
      <c r="B450" s="11" t="s">
        <v>481</v>
      </c>
      <c r="C450" s="14" t="s">
        <v>37</v>
      </c>
      <c r="D450" s="14" t="s">
        <v>33</v>
      </c>
      <c r="E450" s="127">
        <v>1000.0</v>
      </c>
      <c r="F450" s="189"/>
    </row>
    <row r="451">
      <c r="A451" s="198">
        <v>45675.416666666664</v>
      </c>
      <c r="B451" s="11" t="s">
        <v>933</v>
      </c>
      <c r="C451" s="14" t="s">
        <v>37</v>
      </c>
      <c r="D451" s="14" t="s">
        <v>33</v>
      </c>
      <c r="E451" s="127">
        <v>200.0</v>
      </c>
      <c r="F451" s="189"/>
    </row>
    <row r="452">
      <c r="A452" s="198">
        <v>45675.416666666664</v>
      </c>
      <c r="B452" s="11" t="s">
        <v>940</v>
      </c>
      <c r="C452" s="14" t="s">
        <v>37</v>
      </c>
      <c r="D452" s="14" t="s">
        <v>33</v>
      </c>
      <c r="E452" s="127">
        <v>250.0</v>
      </c>
      <c r="F452" s="189"/>
    </row>
    <row r="453">
      <c r="A453" s="198"/>
      <c r="B453" s="11"/>
      <c r="C453" s="14"/>
      <c r="D453" s="14"/>
      <c r="E453" s="127"/>
      <c r="F453" s="189"/>
    </row>
    <row r="454">
      <c r="A454" s="198">
        <v>45677.708333333336</v>
      </c>
      <c r="B454" s="11" t="s">
        <v>331</v>
      </c>
      <c r="C454" s="14" t="s">
        <v>37</v>
      </c>
      <c r="D454" s="14" t="s">
        <v>33</v>
      </c>
      <c r="E454" s="127">
        <v>400.0</v>
      </c>
      <c r="F454" s="189"/>
    </row>
    <row r="455">
      <c r="A455" s="198">
        <v>45677.708333333336</v>
      </c>
      <c r="B455" s="11" t="s">
        <v>364</v>
      </c>
      <c r="C455" s="14" t="s">
        <v>33</v>
      </c>
      <c r="D455" s="14" t="s">
        <v>37</v>
      </c>
      <c r="E455" s="127">
        <v>50.0</v>
      </c>
      <c r="F455" s="189"/>
    </row>
    <row r="456">
      <c r="A456" s="198">
        <v>45677.708333333336</v>
      </c>
      <c r="B456" s="11" t="s">
        <v>377</v>
      </c>
      <c r="C456" s="14" t="s">
        <v>33</v>
      </c>
      <c r="D456" s="14" t="s">
        <v>37</v>
      </c>
      <c r="E456" s="127">
        <v>99.0</v>
      </c>
      <c r="F456" s="189"/>
    </row>
    <row r="457">
      <c r="A457" s="198">
        <v>45677.708333333336</v>
      </c>
      <c r="B457" s="11" t="s">
        <v>32</v>
      </c>
      <c r="C457" s="14" t="s">
        <v>33</v>
      </c>
      <c r="D457" s="14" t="s">
        <v>37</v>
      </c>
      <c r="E457" s="127">
        <v>91.0</v>
      </c>
      <c r="F457" s="189"/>
    </row>
    <row r="458">
      <c r="A458" s="198">
        <v>45677.708333333336</v>
      </c>
      <c r="B458" s="11" t="s">
        <v>73</v>
      </c>
      <c r="C458" s="14" t="s">
        <v>33</v>
      </c>
      <c r="D458" s="14" t="s">
        <v>37</v>
      </c>
      <c r="E458" s="127">
        <v>25.0</v>
      </c>
      <c r="F458" s="189"/>
    </row>
    <row r="459">
      <c r="A459" s="198">
        <v>45677.708333333336</v>
      </c>
      <c r="B459" s="11" t="s">
        <v>101</v>
      </c>
      <c r="C459" s="14" t="s">
        <v>37</v>
      </c>
      <c r="D459" s="14" t="s">
        <v>33</v>
      </c>
      <c r="E459" s="127">
        <v>1.0</v>
      </c>
      <c r="F459" s="189"/>
    </row>
    <row r="460">
      <c r="A460" s="198">
        <v>45677.708333333336</v>
      </c>
      <c r="B460" s="11" t="s">
        <v>102</v>
      </c>
      <c r="C460" s="14" t="s">
        <v>33</v>
      </c>
      <c r="D460" s="14" t="s">
        <v>37</v>
      </c>
      <c r="E460" s="127">
        <v>18.0</v>
      </c>
      <c r="F460" s="189"/>
    </row>
    <row r="461">
      <c r="A461" s="198">
        <v>45677.708333333336</v>
      </c>
      <c r="B461" s="11" t="s">
        <v>714</v>
      </c>
      <c r="C461" s="14" t="s">
        <v>37</v>
      </c>
      <c r="D461" s="14" t="s">
        <v>33</v>
      </c>
      <c r="E461" s="127">
        <v>500.0</v>
      </c>
      <c r="F461" s="189"/>
    </row>
    <row r="462">
      <c r="A462" s="198">
        <v>45677.708333333336</v>
      </c>
      <c r="B462" s="11" t="s">
        <v>717</v>
      </c>
      <c r="C462" s="14" t="s">
        <v>33</v>
      </c>
      <c r="D462" s="14" t="s">
        <v>37</v>
      </c>
      <c r="E462" s="127">
        <v>600.0</v>
      </c>
      <c r="F462" s="189"/>
    </row>
    <row r="463">
      <c r="A463" s="198">
        <v>45677.708333333336</v>
      </c>
      <c r="B463" s="11" t="s">
        <v>749</v>
      </c>
      <c r="C463" s="14" t="s">
        <v>37</v>
      </c>
      <c r="D463" s="14" t="s">
        <v>33</v>
      </c>
      <c r="E463" s="127">
        <v>300.0</v>
      </c>
      <c r="F463" s="189"/>
    </row>
    <row r="464">
      <c r="A464" s="198">
        <v>45677.708333333336</v>
      </c>
      <c r="B464" s="11" t="s">
        <v>750</v>
      </c>
      <c r="C464" s="14" t="s">
        <v>33</v>
      </c>
      <c r="D464" s="14" t="s">
        <v>37</v>
      </c>
      <c r="E464" s="127">
        <v>300.0</v>
      </c>
      <c r="F464" s="189"/>
    </row>
    <row r="465">
      <c r="A465" s="198"/>
      <c r="B465" s="11"/>
      <c r="C465" s="14"/>
      <c r="D465" s="14"/>
      <c r="E465" s="127"/>
      <c r="F465" s="189"/>
    </row>
    <row r="466">
      <c r="A466" s="198">
        <v>45720.73351369213</v>
      </c>
      <c r="B466" s="11" t="s">
        <v>275</v>
      </c>
      <c r="C466" s="14" t="s">
        <v>37</v>
      </c>
      <c r="D466" s="14" t="s">
        <v>33</v>
      </c>
      <c r="E466" s="127">
        <v>11.0</v>
      </c>
      <c r="F466" s="189"/>
    </row>
    <row r="467">
      <c r="A467" s="198"/>
      <c r="B467" s="11"/>
      <c r="C467" s="14"/>
      <c r="D467" s="14"/>
      <c r="E467" s="127"/>
      <c r="F467" s="189"/>
    </row>
    <row r="468">
      <c r="A468" s="198">
        <v>45771.648054571764</v>
      </c>
      <c r="B468" s="11" t="s">
        <v>197</v>
      </c>
      <c r="C468" s="14" t="s">
        <v>37</v>
      </c>
      <c r="D468" s="14" t="s">
        <v>33</v>
      </c>
      <c r="E468" s="127">
        <v>1.0</v>
      </c>
      <c r="F468" s="189"/>
    </row>
    <row r="469">
      <c r="A469" s="198">
        <v>45771.648054571764</v>
      </c>
      <c r="B469" s="11" t="s">
        <v>209</v>
      </c>
      <c r="C469" s="14" t="s">
        <v>37</v>
      </c>
      <c r="D469" s="14" t="s">
        <v>33</v>
      </c>
      <c r="E469" s="127">
        <v>1.0</v>
      </c>
      <c r="F469" s="189"/>
    </row>
    <row r="470">
      <c r="A470" s="198">
        <v>45771.648054571764</v>
      </c>
      <c r="B470" s="11" t="s">
        <v>241</v>
      </c>
      <c r="C470" s="14" t="s">
        <v>33</v>
      </c>
      <c r="D470" s="14" t="s">
        <v>37</v>
      </c>
      <c r="E470" s="127">
        <v>33.0</v>
      </c>
      <c r="F470" s="189"/>
    </row>
    <row r="471">
      <c r="A471" s="198">
        <v>45771.648054571764</v>
      </c>
      <c r="B471" s="11" t="s">
        <v>714</v>
      </c>
      <c r="C471" s="14" t="s">
        <v>37</v>
      </c>
      <c r="D471" s="14" t="s">
        <v>33</v>
      </c>
      <c r="E471" s="127">
        <v>120.0</v>
      </c>
      <c r="F471" s="189"/>
    </row>
    <row r="472">
      <c r="A472" s="198">
        <v>45771.648054571764</v>
      </c>
      <c r="B472" s="11" t="s">
        <v>749</v>
      </c>
      <c r="C472" s="14" t="s">
        <v>37</v>
      </c>
      <c r="D472" s="14" t="s">
        <v>33</v>
      </c>
      <c r="E472" s="127">
        <v>100.0</v>
      </c>
      <c r="F472" s="189"/>
    </row>
    <row r="473">
      <c r="A473" s="198">
        <v>45771.648054571764</v>
      </c>
      <c r="B473" s="11" t="s">
        <v>717</v>
      </c>
      <c r="C473" s="14" t="s">
        <v>37</v>
      </c>
      <c r="D473" s="14" t="s">
        <v>33</v>
      </c>
      <c r="E473" s="127">
        <v>900.0</v>
      </c>
      <c r="F473" s="189"/>
    </row>
    <row r="474">
      <c r="A474" s="198">
        <v>45771.648054571764</v>
      </c>
      <c r="B474" s="11" t="s">
        <v>905</v>
      </c>
      <c r="C474" s="14" t="s">
        <v>37</v>
      </c>
      <c r="D474" s="14" t="s">
        <v>33</v>
      </c>
      <c r="E474" s="127">
        <v>332.0</v>
      </c>
      <c r="F474" s="189"/>
    </row>
    <row r="475">
      <c r="A475" s="198">
        <v>45771.648054571764</v>
      </c>
      <c r="B475" s="11" t="s">
        <v>682</v>
      </c>
      <c r="C475" s="14" t="s">
        <v>33</v>
      </c>
      <c r="D475" s="14" t="s">
        <v>37</v>
      </c>
      <c r="E475" s="127">
        <v>2.0</v>
      </c>
      <c r="F475" s="189"/>
    </row>
    <row r="476">
      <c r="A476" s="198"/>
      <c r="B476" s="11"/>
      <c r="C476" s="14"/>
      <c r="D476" s="14"/>
      <c r="E476" s="127"/>
      <c r="F476" s="189"/>
    </row>
    <row r="477">
      <c r="A477" s="198">
        <v>45777.81805555556</v>
      </c>
      <c r="B477" s="11" t="s">
        <v>905</v>
      </c>
      <c r="C477" s="14" t="s">
        <v>37</v>
      </c>
      <c r="D477" s="14" t="s">
        <v>33</v>
      </c>
      <c r="E477" s="127">
        <v>102.0</v>
      </c>
      <c r="F477" s="189"/>
    </row>
    <row r="478">
      <c r="A478" s="198">
        <v>45777.81805555556</v>
      </c>
      <c r="B478" s="11" t="s">
        <v>749</v>
      </c>
      <c r="C478" s="14" t="s">
        <v>37</v>
      </c>
      <c r="D478" s="14" t="s">
        <v>33</v>
      </c>
      <c r="E478" s="127">
        <v>1500.0</v>
      </c>
      <c r="F478" s="189"/>
    </row>
    <row r="479">
      <c r="A479" s="198">
        <v>45777.81805555556</v>
      </c>
      <c r="B479" s="11" t="s">
        <v>714</v>
      </c>
      <c r="C479" s="14" t="s">
        <v>37</v>
      </c>
      <c r="D479" s="14" t="s">
        <v>33</v>
      </c>
      <c r="E479" s="127">
        <v>1500.0</v>
      </c>
      <c r="F479" s="189"/>
    </row>
    <row r="480">
      <c r="A480" s="198">
        <v>45777.81805555556</v>
      </c>
      <c r="B480" s="11" t="s">
        <v>607</v>
      </c>
      <c r="C480" s="14" t="s">
        <v>37</v>
      </c>
      <c r="D480" s="14" t="s">
        <v>33</v>
      </c>
      <c r="E480" s="127">
        <v>15.0</v>
      </c>
      <c r="F480" s="189"/>
    </row>
    <row r="481">
      <c r="A481" s="198">
        <v>45777.81805555556</v>
      </c>
      <c r="B481" s="11" t="s">
        <v>599</v>
      </c>
      <c r="C481" s="14" t="s">
        <v>37</v>
      </c>
      <c r="D481" s="14" t="s">
        <v>33</v>
      </c>
      <c r="E481" s="127">
        <v>286.0</v>
      </c>
      <c r="F481" s="189"/>
    </row>
    <row r="482">
      <c r="A482" s="198">
        <v>45777.81805555556</v>
      </c>
      <c r="B482" s="11" t="s">
        <v>555</v>
      </c>
      <c r="C482" s="14" t="s">
        <v>37</v>
      </c>
      <c r="D482" s="14" t="s">
        <v>33</v>
      </c>
      <c r="E482" s="127">
        <f>25*40</f>
        <v>1000</v>
      </c>
      <c r="F482" s="189"/>
    </row>
    <row r="483">
      <c r="A483" s="198">
        <v>45777.81805555556</v>
      </c>
      <c r="B483" s="11" t="s">
        <v>516</v>
      </c>
      <c r="C483" s="14" t="s">
        <v>37</v>
      </c>
      <c r="D483" s="14" t="s">
        <v>33</v>
      </c>
      <c r="E483" s="127">
        <f>50*40</f>
        <v>2000</v>
      </c>
      <c r="F483" s="189"/>
    </row>
    <row r="484">
      <c r="A484" s="198">
        <v>45777.81805555556</v>
      </c>
      <c r="B484" s="11" t="s">
        <v>408</v>
      </c>
      <c r="C484" s="14" t="s">
        <v>37</v>
      </c>
      <c r="D484" s="14" t="s">
        <v>33</v>
      </c>
      <c r="E484" s="127">
        <v>100.0</v>
      </c>
      <c r="F484" s="189"/>
    </row>
    <row r="485">
      <c r="A485" s="198">
        <v>45777.81805555556</v>
      </c>
      <c r="B485" s="11" t="s">
        <v>298</v>
      </c>
      <c r="C485" s="14" t="s">
        <v>37</v>
      </c>
      <c r="D485" s="14" t="s">
        <v>33</v>
      </c>
      <c r="E485" s="127">
        <v>20.0</v>
      </c>
      <c r="F485" s="189"/>
    </row>
    <row r="486">
      <c r="A486" s="198">
        <v>45777.81805555556</v>
      </c>
      <c r="B486" s="11" t="s">
        <v>209</v>
      </c>
      <c r="C486" s="14" t="s">
        <v>37</v>
      </c>
      <c r="D486" s="14" t="s">
        <v>33</v>
      </c>
      <c r="E486" s="127">
        <v>50.0</v>
      </c>
      <c r="F486" s="189"/>
    </row>
    <row r="487">
      <c r="A487" s="198">
        <v>45777.81805555556</v>
      </c>
      <c r="B487" s="11" t="s">
        <v>849</v>
      </c>
      <c r="C487" s="14" t="s">
        <v>37</v>
      </c>
      <c r="D487" s="14" t="s">
        <v>33</v>
      </c>
      <c r="E487" s="127">
        <v>75.0</v>
      </c>
      <c r="F487" s="189"/>
    </row>
    <row r="488">
      <c r="A488" s="198">
        <v>45777.81805555556</v>
      </c>
      <c r="B488" s="11" t="s">
        <v>101</v>
      </c>
      <c r="C488" s="14" t="s">
        <v>37</v>
      </c>
      <c r="D488" s="14" t="s">
        <v>33</v>
      </c>
      <c r="E488" s="127">
        <v>295.0</v>
      </c>
      <c r="F488" s="189"/>
    </row>
    <row r="489">
      <c r="A489" s="198">
        <v>45777.81805555556</v>
      </c>
      <c r="B489" s="11" t="s">
        <v>73</v>
      </c>
      <c r="C489" s="14" t="s">
        <v>37</v>
      </c>
      <c r="D489" s="14" t="s">
        <v>33</v>
      </c>
      <c r="E489" s="127">
        <v>405.0</v>
      </c>
      <c r="F489" s="189"/>
    </row>
    <row r="490">
      <c r="A490" s="198"/>
      <c r="B490" s="11"/>
      <c r="C490" s="14"/>
      <c r="D490" s="14"/>
      <c r="E490" s="127"/>
      <c r="F490" s="189"/>
    </row>
    <row r="491">
      <c r="A491" s="198">
        <v>45909.58624875</v>
      </c>
      <c r="B491" s="11" t="s">
        <v>329</v>
      </c>
      <c r="C491" s="14" t="s">
        <v>37</v>
      </c>
      <c r="D491" s="14" t="s">
        <v>33</v>
      </c>
      <c r="E491" s="127">
        <v>35.0</v>
      </c>
      <c r="F491" s="189"/>
    </row>
    <row r="492">
      <c r="A492" s="198">
        <v>45909.58624875</v>
      </c>
      <c r="B492" s="11" t="s">
        <v>701</v>
      </c>
      <c r="C492" s="14" t="s">
        <v>37</v>
      </c>
      <c r="D492" s="14" t="s">
        <v>33</v>
      </c>
      <c r="E492" s="127">
        <v>70.0</v>
      </c>
      <c r="F492" s="189"/>
    </row>
    <row r="493">
      <c r="A493" s="198">
        <v>45909.58624875</v>
      </c>
      <c r="B493" s="11" t="s">
        <v>910</v>
      </c>
      <c r="C493" s="14" t="s">
        <v>33</v>
      </c>
      <c r="D493" s="14" t="s">
        <v>37</v>
      </c>
      <c r="E493" s="127">
        <v>59.0</v>
      </c>
      <c r="F493" s="189"/>
    </row>
    <row r="494">
      <c r="A494" s="198">
        <v>45909.58624875</v>
      </c>
      <c r="B494" s="11" t="s">
        <v>331</v>
      </c>
      <c r="C494" s="14" t="s">
        <v>37</v>
      </c>
      <c r="D494" s="14" t="s">
        <v>33</v>
      </c>
      <c r="E494" s="127">
        <v>50.0</v>
      </c>
      <c r="F494" s="189"/>
    </row>
    <row r="495">
      <c r="A495" s="198">
        <v>45909.58624875</v>
      </c>
      <c r="B495" s="11" t="s">
        <v>303</v>
      </c>
      <c r="C495" s="14" t="s">
        <v>37</v>
      </c>
      <c r="D495" s="14" t="s">
        <v>33</v>
      </c>
      <c r="E495" s="127">
        <v>2.0</v>
      </c>
      <c r="F495" s="189"/>
    </row>
    <row r="496">
      <c r="A496" s="198"/>
      <c r="B496" s="11"/>
      <c r="C496" s="14"/>
      <c r="D496" s="14"/>
      <c r="E496" s="127"/>
      <c r="F496" s="189"/>
    </row>
    <row r="497">
      <c r="A497" s="198">
        <v>45923.694444444445</v>
      </c>
      <c r="B497" s="11" t="s">
        <v>408</v>
      </c>
      <c r="C497" s="14" t="s">
        <v>37</v>
      </c>
      <c r="D497" s="14" t="s">
        <v>33</v>
      </c>
      <c r="E497" s="127">
        <v>4000.0</v>
      </c>
      <c r="F497" s="189"/>
    </row>
    <row r="498">
      <c r="A498" s="198">
        <v>45923.694444444445</v>
      </c>
      <c r="B498" s="11" t="s">
        <v>403</v>
      </c>
      <c r="C498" s="14" t="s">
        <v>33</v>
      </c>
      <c r="D498" s="14" t="s">
        <v>37</v>
      </c>
      <c r="E498" s="127">
        <v>500.0</v>
      </c>
      <c r="F498" s="189"/>
    </row>
    <row r="499">
      <c r="A499" s="198">
        <v>45923.694444444445</v>
      </c>
      <c r="B499" s="11" t="s">
        <v>93</v>
      </c>
      <c r="C499" s="14" t="s">
        <v>33</v>
      </c>
      <c r="D499" s="14" t="s">
        <v>37</v>
      </c>
      <c r="E499" s="127">
        <v>1500.0</v>
      </c>
      <c r="F499" s="189"/>
    </row>
    <row r="500">
      <c r="A500" s="198">
        <v>45923.694444444445</v>
      </c>
      <c r="B500" s="11" t="s">
        <v>614</v>
      </c>
      <c r="C500" s="14" t="s">
        <v>33</v>
      </c>
      <c r="D500" s="14" t="s">
        <v>37</v>
      </c>
      <c r="E500" s="127">
        <v>1000.0</v>
      </c>
      <c r="F500" s="189"/>
    </row>
    <row r="501">
      <c r="A501" s="198">
        <v>45923.694444444445</v>
      </c>
      <c r="B501" s="11" t="s">
        <v>331</v>
      </c>
      <c r="C501" s="14" t="s">
        <v>33</v>
      </c>
      <c r="D501" s="14" t="s">
        <v>37</v>
      </c>
      <c r="E501" s="127">
        <v>80.0</v>
      </c>
      <c r="F501" s="189"/>
    </row>
    <row r="502">
      <c r="A502" s="198">
        <v>45923.694444444445</v>
      </c>
      <c r="B502" s="11" t="s">
        <v>618</v>
      </c>
      <c r="C502" s="14" t="s">
        <v>33</v>
      </c>
      <c r="D502" s="14" t="s">
        <v>37</v>
      </c>
      <c r="E502" s="127">
        <v>3.0</v>
      </c>
      <c r="F502" s="189"/>
    </row>
    <row r="503">
      <c r="A503" s="198"/>
      <c r="B503" s="11"/>
      <c r="C503" s="14"/>
      <c r="D503" s="14"/>
      <c r="E503" s="127"/>
      <c r="F503" s="189"/>
    </row>
    <row r="504">
      <c r="A504" s="198">
        <v>45969.68424729166</v>
      </c>
      <c r="B504" s="11" t="s">
        <v>717</v>
      </c>
      <c r="C504" s="14" t="s">
        <v>37</v>
      </c>
      <c r="D504" s="14" t="s">
        <v>33</v>
      </c>
      <c r="E504" s="127">
        <v>11.0</v>
      </c>
      <c r="F504" s="189"/>
    </row>
    <row r="505">
      <c r="A505" s="198">
        <v>45969.68424729166</v>
      </c>
      <c r="B505" s="11" t="s">
        <v>175</v>
      </c>
      <c r="C505" s="14" t="s">
        <v>37</v>
      </c>
      <c r="D505" s="14" t="s">
        <v>33</v>
      </c>
      <c r="E505" s="127">
        <v>1.0</v>
      </c>
      <c r="F505" s="189"/>
    </row>
    <row r="506">
      <c r="A506" s="198">
        <v>45969.68424729166</v>
      </c>
      <c r="B506" s="11" t="s">
        <v>331</v>
      </c>
      <c r="C506" s="14" t="s">
        <v>37</v>
      </c>
      <c r="D506" s="14" t="s">
        <v>33</v>
      </c>
      <c r="E506" s="127">
        <v>20.0</v>
      </c>
      <c r="F506" s="189"/>
    </row>
    <row r="507">
      <c r="A507" s="198">
        <v>45969.68424729166</v>
      </c>
      <c r="B507" s="11" t="s">
        <v>351</v>
      </c>
      <c r="C507" s="14" t="s">
        <v>33</v>
      </c>
      <c r="D507" s="14" t="s">
        <v>37</v>
      </c>
      <c r="E507" s="127">
        <v>5.0</v>
      </c>
      <c r="F507" s="189"/>
    </row>
    <row r="508">
      <c r="A508" s="198">
        <v>45969.68424729166</v>
      </c>
      <c r="B508" s="11" t="s">
        <v>385</v>
      </c>
      <c r="C508" s="14" t="s">
        <v>33</v>
      </c>
      <c r="D508" s="14" t="s">
        <v>37</v>
      </c>
      <c r="E508" s="127">
        <v>24.0</v>
      </c>
      <c r="F508" s="189"/>
    </row>
    <row r="509">
      <c r="A509" s="198">
        <v>45969.68424729166</v>
      </c>
      <c r="B509" s="11" t="s">
        <v>599</v>
      </c>
      <c r="C509" s="14" t="s">
        <v>33</v>
      </c>
      <c r="D509" s="14" t="s">
        <v>37</v>
      </c>
      <c r="E509" s="127">
        <v>2.0</v>
      </c>
      <c r="F509" s="189"/>
    </row>
    <row r="510">
      <c r="A510" s="198">
        <v>45969.68424729166</v>
      </c>
      <c r="B510" s="11" t="s">
        <v>209</v>
      </c>
      <c r="C510" s="14" t="s">
        <v>33</v>
      </c>
      <c r="D510" s="14" t="s">
        <v>37</v>
      </c>
      <c r="E510" s="127">
        <v>29.0</v>
      </c>
      <c r="F510" s="189"/>
    </row>
    <row r="511">
      <c r="A511" s="198">
        <v>45969.68424729166</v>
      </c>
      <c r="B511" s="11" t="s">
        <v>275</v>
      </c>
      <c r="C511" s="14" t="s">
        <v>33</v>
      </c>
      <c r="D511" s="14" t="s">
        <v>37</v>
      </c>
      <c r="E511" s="127">
        <v>11.0</v>
      </c>
      <c r="F511" s="189"/>
    </row>
    <row r="512">
      <c r="A512" s="198">
        <v>45969.68424729166</v>
      </c>
      <c r="B512" s="11" t="s">
        <v>364</v>
      </c>
      <c r="C512" s="14" t="s">
        <v>37</v>
      </c>
      <c r="D512" s="14" t="s">
        <v>33</v>
      </c>
      <c r="E512" s="127">
        <v>2.0</v>
      </c>
      <c r="F512" s="189"/>
    </row>
    <row r="513">
      <c r="A513" s="198">
        <v>45969.68424729166</v>
      </c>
      <c r="B513" s="11" t="s">
        <v>940</v>
      </c>
      <c r="C513" s="14" t="s">
        <v>33</v>
      </c>
      <c r="D513" s="14" t="s">
        <v>37</v>
      </c>
      <c r="E513" s="127">
        <v>12.0</v>
      </c>
      <c r="F513" s="189"/>
    </row>
    <row r="514">
      <c r="A514" s="198"/>
      <c r="B514" s="11"/>
      <c r="C514" s="14"/>
      <c r="D514" s="14"/>
      <c r="E514" s="127"/>
      <c r="F514" s="189"/>
    </row>
    <row r="515">
      <c r="A515" s="198">
        <v>46004.005503356486</v>
      </c>
      <c r="B515" s="11" t="s">
        <v>714</v>
      </c>
      <c r="C515" s="14" t="s">
        <v>33</v>
      </c>
      <c r="D515" s="14" t="s">
        <v>37</v>
      </c>
      <c r="E515" s="127">
        <v>99.0</v>
      </c>
      <c r="F515" s="189"/>
    </row>
    <row r="516">
      <c r="A516" s="198"/>
      <c r="B516" s="11"/>
      <c r="C516" s="14"/>
      <c r="D516" s="14"/>
      <c r="E516" s="127"/>
      <c r="F516" s="189"/>
    </row>
  </sheetData>
  <conditionalFormatting sqref="E154:F156 E209:F251">
    <cfRule type="cellIs" dxfId="1" priority="1" operator="between">
      <formula>0.001</formula>
      <formula>-0.001</formula>
    </cfRule>
  </conditionalFormatting>
  <conditionalFormatting sqref="E154:F156 E209:F251">
    <cfRule type="cellIs" dxfId="0" priority="2" operator="lessThan">
      <formula>0</formula>
    </cfRule>
  </conditionalFormatting>
  <dataValidations>
    <dataValidation type="list" allowBlank="1" sqref="C3:D516">
      <formula1>BisaRekapBarangBackend!$A$2:$A516</formula1>
    </dataValidation>
    <dataValidation type="list" allowBlank="1" showInputMessage="1" showErrorMessage="1" prompt="SKU harus sesuai dengan daftar di BisaSEO, jika belum ada silakan tambahkan terlebih dahulu" sqref="B3:B221 B223:B516">
      <formula1>BisaSEO!$A$2:$A516</formula1>
    </dataValidation>
    <dataValidation type="custom" allowBlank="1" showDropDown="1" showInputMessage="1" showErrorMessage="1" prompt="Format Tanggal : dd-MMM-yyyy dalam Bahasa Inggris, misal 01-May-2019" sqref="A3:A516">
      <formula1>OR(NOT(ISERROR(DATEVALUE(A3))), AND(ISNUMBER(A3), LEFT(CELL("format", A3))="D"))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8.13"/>
    <col customWidth="1" min="2" max="3" width="22.63"/>
    <col customWidth="1" min="4" max="4" width="22.88"/>
    <col customWidth="1" min="5" max="5" width="26.88"/>
    <col customWidth="1" min="6" max="6" width="23.0"/>
    <col customWidth="1" min="7" max="7" width="22.25"/>
    <col customWidth="1" min="8" max="8" width="11.13"/>
    <col customWidth="1" min="9" max="9" width="28.38"/>
    <col customWidth="1" min="10" max="10" width="8.75"/>
    <col customWidth="1" min="11" max="14" width="26.25"/>
    <col customWidth="1" min="15" max="15" width="30.5"/>
    <col customWidth="1" min="16" max="17" width="28.25"/>
  </cols>
  <sheetData>
    <row r="1">
      <c r="A1" s="199" t="s">
        <v>13</v>
      </c>
      <c r="B1" s="200" t="s">
        <v>1080</v>
      </c>
      <c r="C1" s="199" t="s">
        <v>1081</v>
      </c>
      <c r="D1" s="199" t="s">
        <v>1082</v>
      </c>
      <c r="E1" s="199" t="s">
        <v>1083</v>
      </c>
      <c r="F1" s="199" t="s">
        <v>1084</v>
      </c>
      <c r="G1" s="199" t="s">
        <v>1085</v>
      </c>
      <c r="H1" s="200" t="s">
        <v>1086</v>
      </c>
      <c r="I1" s="200" t="s">
        <v>1087</v>
      </c>
      <c r="J1" s="201" t="str">
        <f t="array" ref="J1:J974">{"Hitung Tagar";IF(I2:I974="",,LEN(I2:I974)-LEN(SUBSTITUTE(I2:I974,"#","")))}</f>
        <v>Hitung Tagar</v>
      </c>
      <c r="K1" s="201" t="str">
        <f t="array" ref="K1:K974">{"Nama Lengkap";IF(G2:G974="",,
TRIM("ITBisa - "&amp;IF(B2:B974="",,B2:B974)&amp;" "&amp;IF(C2:C974="",,C2:C974
)&amp;" "&amp;IF(D2:D974="",,D2:D974)&amp;
" "&amp;IF(E2:E974="",,E2:E974)&amp;" "&amp;IF(F2:F974="",,F2:F974)))}</f>
        <v>Nama Lengkap</v>
      </c>
      <c r="L1" s="201" t="str">
        <f t="array" ref="L1:L974">{"Nama
Tokopedia (70 Karakter)";IF(K2:K974="",,LEFT(TRIM(K2:K974),70))}</f>
        <v>Nama
Tokopedia (70 Karakter)</v>
      </c>
      <c r="M1" s="201" t="str">
        <f t="array" ref="M1:M974">{"Nama
Bukalapak (150 Karakter)";IF(K2:K974="",,LEFT(TRIM(K2:K974),150))}</f>
        <v>Nama
Bukalapak (150 Karakter)</v>
      </c>
      <c r="N1" s="201" t="str">
        <f t="array" ref="N1:N974">{"Nama
Shopee (255 Karakter)";IF(K2:K974="",,LEFT(TRIM(K2:K974),255))}</f>
        <v>Nama
Shopee (255 Karakter)</v>
      </c>
      <c r="O1" s="200" t="s">
        <v>1088</v>
      </c>
      <c r="P1" s="200" t="s">
        <v>1089</v>
      </c>
      <c r="Q1" s="200" t="s">
        <v>1090</v>
      </c>
    </row>
    <row r="2">
      <c r="A2" s="178" t="s">
        <v>32</v>
      </c>
      <c r="B2" s="200" t="s">
        <v>1091</v>
      </c>
      <c r="C2" s="200" t="s">
        <v>1092</v>
      </c>
      <c r="D2" s="200" t="s">
        <v>1093</v>
      </c>
      <c r="E2" s="200" t="s">
        <v>1094</v>
      </c>
      <c r="F2" s="202" t="s">
        <v>1095</v>
      </c>
      <c r="G2" s="200" t="s">
        <v>1096</v>
      </c>
      <c r="H2" s="200">
        <v>3.0</v>
      </c>
      <c r="I2" s="200" t="s">
        <v>1097</v>
      </c>
      <c r="J2" s="199">
        <v>20.0</v>
      </c>
      <c r="K2" s="199" t="s">
        <v>1098</v>
      </c>
      <c r="L2" s="203" t="s">
        <v>1099</v>
      </c>
      <c r="M2" s="203" t="s">
        <v>1098</v>
      </c>
      <c r="N2" s="203" t="s">
        <v>1098</v>
      </c>
      <c r="O2" s="204" t="s">
        <v>1100</v>
      </c>
      <c r="P2" s="204" t="s">
        <v>1101</v>
      </c>
      <c r="Q2" s="199"/>
    </row>
    <row r="3">
      <c r="A3" s="28" t="s">
        <v>73</v>
      </c>
      <c r="B3" s="200" t="s">
        <v>1091</v>
      </c>
      <c r="C3" s="200" t="s">
        <v>1092</v>
      </c>
      <c r="D3" s="200" t="s">
        <v>1102</v>
      </c>
      <c r="E3" s="200" t="s">
        <v>1094</v>
      </c>
      <c r="F3" s="202" t="s">
        <v>1103</v>
      </c>
      <c r="G3" s="200" t="s">
        <v>1096</v>
      </c>
      <c r="H3" s="200">
        <v>3.0</v>
      </c>
      <c r="I3" s="200"/>
      <c r="J3" s="199"/>
      <c r="K3" s="199" t="s">
        <v>1104</v>
      </c>
      <c r="L3" s="203" t="s">
        <v>1105</v>
      </c>
      <c r="M3" s="203" t="s">
        <v>1104</v>
      </c>
      <c r="N3" s="205" t="s">
        <v>1104</v>
      </c>
      <c r="O3" s="206" t="s">
        <v>1106</v>
      </c>
      <c r="P3" s="207"/>
      <c r="Q3" s="207"/>
    </row>
    <row r="4">
      <c r="A4" s="28" t="s">
        <v>76</v>
      </c>
      <c r="B4" s="200" t="s">
        <v>1091</v>
      </c>
      <c r="C4" s="200" t="s">
        <v>1092</v>
      </c>
      <c r="D4" s="200" t="s">
        <v>1107</v>
      </c>
      <c r="E4" s="200" t="s">
        <v>1094</v>
      </c>
      <c r="F4" s="202" t="s">
        <v>1108</v>
      </c>
      <c r="G4" s="200" t="s">
        <v>1096</v>
      </c>
      <c r="H4" s="200">
        <v>3.0</v>
      </c>
      <c r="I4" s="200" t="s">
        <v>1097</v>
      </c>
      <c r="J4" s="199">
        <v>20.0</v>
      </c>
      <c r="K4" s="199" t="s">
        <v>1109</v>
      </c>
      <c r="L4" s="203" t="s">
        <v>1110</v>
      </c>
      <c r="M4" s="203" t="s">
        <v>1109</v>
      </c>
      <c r="N4" s="203" t="s">
        <v>1109</v>
      </c>
      <c r="O4" s="200"/>
      <c r="P4" s="200"/>
      <c r="Q4" s="200"/>
    </row>
    <row r="5">
      <c r="A5" s="28" t="s">
        <v>90</v>
      </c>
      <c r="B5" s="200" t="s">
        <v>1091</v>
      </c>
      <c r="C5" s="200" t="s">
        <v>1111</v>
      </c>
      <c r="D5" s="200" t="s">
        <v>1112</v>
      </c>
      <c r="E5" s="200" t="s">
        <v>1113</v>
      </c>
      <c r="F5" s="202" t="s">
        <v>1114</v>
      </c>
      <c r="G5" s="200" t="s">
        <v>1096</v>
      </c>
      <c r="H5" s="200"/>
      <c r="I5" s="200" t="s">
        <v>1097</v>
      </c>
      <c r="J5" s="208">
        <v>20.0</v>
      </c>
      <c r="K5" s="208" t="s">
        <v>1115</v>
      </c>
      <c r="L5" s="205" t="s">
        <v>1116</v>
      </c>
      <c r="M5" s="205" t="s">
        <v>1115</v>
      </c>
      <c r="N5" s="203" t="s">
        <v>1115</v>
      </c>
      <c r="O5" s="200"/>
      <c r="P5" s="200"/>
      <c r="Q5" s="200"/>
    </row>
    <row r="6">
      <c r="A6" s="178" t="s">
        <v>93</v>
      </c>
      <c r="B6" s="200" t="s">
        <v>1091</v>
      </c>
      <c r="C6" s="200" t="s">
        <v>1117</v>
      </c>
      <c r="D6" s="200" t="s">
        <v>1093</v>
      </c>
      <c r="E6" s="200" t="s">
        <v>1094</v>
      </c>
      <c r="F6" s="202" t="s">
        <v>1118</v>
      </c>
      <c r="G6" s="200" t="s">
        <v>1096</v>
      </c>
      <c r="H6" s="200">
        <v>3.0</v>
      </c>
      <c r="I6" s="200" t="s">
        <v>1097</v>
      </c>
      <c r="J6" s="199">
        <v>20.0</v>
      </c>
      <c r="K6" s="199" t="s">
        <v>1119</v>
      </c>
      <c r="L6" s="203" t="s">
        <v>1120</v>
      </c>
      <c r="M6" s="203" t="s">
        <v>1121</v>
      </c>
      <c r="N6" s="203" t="s">
        <v>1119</v>
      </c>
      <c r="O6" s="200"/>
      <c r="P6" s="200"/>
      <c r="Q6" s="200"/>
    </row>
    <row r="7">
      <c r="A7" s="28" t="s">
        <v>1122</v>
      </c>
      <c r="B7" s="200" t="s">
        <v>1091</v>
      </c>
      <c r="C7" s="200" t="s">
        <v>1117</v>
      </c>
      <c r="D7" s="200" t="s">
        <v>1102</v>
      </c>
      <c r="E7" s="200" t="s">
        <v>1094</v>
      </c>
      <c r="F7" s="202" t="s">
        <v>1123</v>
      </c>
      <c r="G7" s="200" t="s">
        <v>1096</v>
      </c>
      <c r="H7" s="200">
        <v>3.0</v>
      </c>
      <c r="I7" s="200"/>
      <c r="J7" s="199"/>
      <c r="K7" s="199" t="s">
        <v>1124</v>
      </c>
      <c r="L7" s="203" t="s">
        <v>1125</v>
      </c>
      <c r="M7" s="203" t="s">
        <v>1124</v>
      </c>
      <c r="N7" s="203" t="s">
        <v>1124</v>
      </c>
      <c r="O7" s="200"/>
      <c r="P7" s="200"/>
      <c r="Q7" s="200"/>
    </row>
    <row r="8">
      <c r="A8" s="28" t="s">
        <v>101</v>
      </c>
      <c r="B8" s="200" t="s">
        <v>1091</v>
      </c>
      <c r="C8" s="200" t="s">
        <v>1117</v>
      </c>
      <c r="D8" s="200" t="s">
        <v>1107</v>
      </c>
      <c r="E8" s="200" t="s">
        <v>1094</v>
      </c>
      <c r="F8" s="202" t="s">
        <v>1126</v>
      </c>
      <c r="G8" s="200" t="s">
        <v>1096</v>
      </c>
      <c r="H8" s="200">
        <v>3.0</v>
      </c>
      <c r="I8" s="200" t="s">
        <v>1097</v>
      </c>
      <c r="J8" s="199">
        <v>20.0</v>
      </c>
      <c r="K8" s="199" t="s">
        <v>1127</v>
      </c>
      <c r="L8" s="203" t="s">
        <v>1128</v>
      </c>
      <c r="M8" s="203" t="s">
        <v>1127</v>
      </c>
      <c r="N8" s="203" t="s">
        <v>1127</v>
      </c>
      <c r="O8" s="200"/>
      <c r="P8" s="200"/>
      <c r="Q8" s="200"/>
    </row>
    <row r="9">
      <c r="A9" s="28" t="s">
        <v>102</v>
      </c>
      <c r="B9" s="200"/>
      <c r="C9" s="200"/>
      <c r="D9" s="200"/>
      <c r="E9" s="200"/>
      <c r="F9" s="202"/>
      <c r="G9" s="200"/>
      <c r="H9" s="200"/>
      <c r="I9" s="200"/>
      <c r="J9" s="199"/>
      <c r="K9" s="199"/>
      <c r="L9" s="203"/>
      <c r="M9" s="203"/>
      <c r="N9" s="203"/>
      <c r="O9" s="200"/>
      <c r="P9" s="200"/>
      <c r="Q9" s="200"/>
    </row>
    <row r="10">
      <c r="A10" s="28" t="s">
        <v>1129</v>
      </c>
      <c r="B10" s="208"/>
      <c r="C10" s="208"/>
      <c r="D10" s="208"/>
      <c r="E10" s="208"/>
      <c r="F10" s="208"/>
      <c r="G10" s="208"/>
      <c r="H10" s="209"/>
      <c r="I10" s="209"/>
      <c r="J10" s="209"/>
      <c r="K10" s="209"/>
      <c r="L10" s="210"/>
      <c r="M10" s="210"/>
      <c r="N10" s="203"/>
      <c r="O10" s="200"/>
      <c r="P10" s="200"/>
      <c r="Q10" s="200"/>
    </row>
    <row r="11">
      <c r="A11" s="28" t="s">
        <v>103</v>
      </c>
      <c r="B11" s="208"/>
      <c r="C11" s="208"/>
      <c r="D11" s="208"/>
      <c r="E11" s="208"/>
      <c r="F11" s="208"/>
      <c r="G11" s="208"/>
      <c r="H11" s="209"/>
      <c r="I11" s="209"/>
      <c r="J11" s="209"/>
      <c r="K11" s="209"/>
      <c r="L11" s="210"/>
      <c r="M11" s="210"/>
      <c r="N11" s="203"/>
      <c r="O11" s="200"/>
      <c r="P11" s="200"/>
      <c r="Q11" s="200"/>
    </row>
    <row r="12">
      <c r="A12" s="28" t="s">
        <v>108</v>
      </c>
      <c r="B12" s="208"/>
      <c r="C12" s="208"/>
      <c r="D12" s="208"/>
      <c r="E12" s="208"/>
      <c r="F12" s="208"/>
      <c r="G12" s="208"/>
      <c r="H12" s="209"/>
      <c r="I12" s="209"/>
      <c r="J12" s="209"/>
      <c r="K12" s="209"/>
      <c r="L12" s="210"/>
      <c r="M12" s="210"/>
      <c r="N12" s="203"/>
      <c r="O12" s="208"/>
      <c r="P12" s="200"/>
      <c r="Q12" s="208"/>
    </row>
    <row r="13">
      <c r="A13" s="28" t="s">
        <v>141</v>
      </c>
      <c r="B13" s="208"/>
      <c r="C13" s="208"/>
      <c r="D13" s="208"/>
      <c r="E13" s="208"/>
      <c r="F13" s="208"/>
      <c r="G13" s="208"/>
      <c r="H13" s="209"/>
      <c r="I13" s="209"/>
      <c r="J13" s="209"/>
      <c r="K13" s="209"/>
      <c r="L13" s="210"/>
      <c r="M13" s="210"/>
      <c r="N13" s="203"/>
      <c r="O13" s="208"/>
      <c r="P13" s="200"/>
      <c r="Q13" s="208"/>
    </row>
    <row r="14">
      <c r="A14" s="28" t="s">
        <v>1130</v>
      </c>
      <c r="B14" s="208"/>
      <c r="C14" s="208"/>
      <c r="D14" s="208"/>
      <c r="E14" s="208"/>
      <c r="F14" s="208"/>
      <c r="G14" s="208"/>
      <c r="H14" s="209"/>
      <c r="I14" s="209"/>
      <c r="J14" s="209"/>
      <c r="K14" s="209"/>
      <c r="L14" s="210"/>
      <c r="M14" s="210"/>
      <c r="N14" s="203"/>
      <c r="O14" s="208"/>
      <c r="P14" s="200"/>
      <c r="Q14" s="208"/>
    </row>
    <row r="15">
      <c r="A15" s="178" t="s">
        <v>150</v>
      </c>
      <c r="B15" s="199" t="s">
        <v>1131</v>
      </c>
      <c r="C15" s="199" t="s">
        <v>1132</v>
      </c>
      <c r="D15" s="199" t="s">
        <v>1133</v>
      </c>
      <c r="E15" s="199"/>
      <c r="F15" s="211" t="s">
        <v>1134</v>
      </c>
      <c r="G15" s="200" t="s">
        <v>1135</v>
      </c>
      <c r="H15" s="200">
        <v>100.0</v>
      </c>
      <c r="I15" s="200" t="s">
        <v>1136</v>
      </c>
      <c r="J15" s="199">
        <v>20.0</v>
      </c>
      <c r="K15" s="199" t="s">
        <v>1137</v>
      </c>
      <c r="L15" s="203" t="s">
        <v>1138</v>
      </c>
      <c r="M15" s="203" t="s">
        <v>1137</v>
      </c>
      <c r="N15" s="203" t="s">
        <v>1137</v>
      </c>
      <c r="O15" s="212" t="s">
        <v>1139</v>
      </c>
      <c r="P15" s="204" t="s">
        <v>1140</v>
      </c>
      <c r="Q15" s="212" t="s">
        <v>1141</v>
      </c>
    </row>
    <row r="16">
      <c r="A16" s="178" t="s">
        <v>152</v>
      </c>
      <c r="B16" s="200" t="s">
        <v>1142</v>
      </c>
      <c r="C16" s="200" t="s">
        <v>1143</v>
      </c>
      <c r="D16" s="200" t="s">
        <v>1144</v>
      </c>
      <c r="E16" s="211" t="s">
        <v>1145</v>
      </c>
      <c r="F16" s="202" t="s">
        <v>1146</v>
      </c>
      <c r="G16" s="200" t="s">
        <v>1135</v>
      </c>
      <c r="H16" s="200">
        <v>100.0</v>
      </c>
      <c r="I16" s="200" t="s">
        <v>1136</v>
      </c>
      <c r="J16" s="199">
        <v>20.0</v>
      </c>
      <c r="K16" s="199" t="s">
        <v>1147</v>
      </c>
      <c r="L16" s="203" t="s">
        <v>1148</v>
      </c>
      <c r="M16" s="203" t="s">
        <v>1149</v>
      </c>
      <c r="N16" s="203" t="s">
        <v>1147</v>
      </c>
      <c r="O16" s="204" t="s">
        <v>1150</v>
      </c>
      <c r="P16" s="204" t="s">
        <v>1151</v>
      </c>
      <c r="Q16" s="204" t="s">
        <v>1152</v>
      </c>
    </row>
    <row r="17">
      <c r="A17" s="28" t="s">
        <v>174</v>
      </c>
      <c r="B17" s="208" t="s">
        <v>1153</v>
      </c>
      <c r="C17" s="208" t="s">
        <v>1154</v>
      </c>
      <c r="D17" s="208"/>
      <c r="E17" s="208" t="s">
        <v>1155</v>
      </c>
      <c r="F17" s="208" t="s">
        <v>1156</v>
      </c>
      <c r="G17" s="208" t="s">
        <v>1157</v>
      </c>
      <c r="H17" s="208">
        <v>300.0</v>
      </c>
      <c r="I17" s="208" t="s">
        <v>1158</v>
      </c>
      <c r="J17" s="209">
        <v>7.0</v>
      </c>
      <c r="K17" s="209" t="s">
        <v>1159</v>
      </c>
      <c r="L17" s="210" t="s">
        <v>1160</v>
      </c>
      <c r="M17" s="210" t="s">
        <v>1159</v>
      </c>
      <c r="N17" s="210" t="s">
        <v>1159</v>
      </c>
      <c r="O17" s="200"/>
      <c r="P17" s="200"/>
      <c r="Q17" s="200"/>
    </row>
    <row r="18">
      <c r="A18" s="28" t="s">
        <v>175</v>
      </c>
      <c r="B18" s="208" t="s">
        <v>1161</v>
      </c>
      <c r="C18" s="208" t="s">
        <v>1162</v>
      </c>
      <c r="D18" s="208" t="s">
        <v>1163</v>
      </c>
      <c r="E18" s="208" t="s">
        <v>1164</v>
      </c>
      <c r="F18" s="208" t="s">
        <v>1165</v>
      </c>
      <c r="G18" s="208" t="s">
        <v>1166</v>
      </c>
      <c r="H18" s="209"/>
      <c r="I18" s="209"/>
      <c r="J18" s="209"/>
      <c r="K18" s="209" t="s">
        <v>1167</v>
      </c>
      <c r="L18" s="210" t="s">
        <v>1168</v>
      </c>
      <c r="M18" s="210" t="s">
        <v>1167</v>
      </c>
      <c r="N18" s="210" t="s">
        <v>1167</v>
      </c>
      <c r="O18" s="200"/>
      <c r="P18" s="200"/>
      <c r="Q18" s="200"/>
    </row>
    <row r="19">
      <c r="A19" s="178" t="s">
        <v>190</v>
      </c>
      <c r="B19" s="208" t="s">
        <v>1161</v>
      </c>
      <c r="C19" s="208" t="s">
        <v>1169</v>
      </c>
      <c r="D19" s="208" t="s">
        <v>1170</v>
      </c>
      <c r="E19" s="208" t="s">
        <v>1164</v>
      </c>
      <c r="F19" s="208" t="s">
        <v>1171</v>
      </c>
      <c r="G19" s="208" t="s">
        <v>1166</v>
      </c>
      <c r="H19" s="209"/>
      <c r="I19" s="209"/>
      <c r="J19" s="209"/>
      <c r="K19" s="209" t="s">
        <v>1172</v>
      </c>
      <c r="L19" s="210" t="s">
        <v>1173</v>
      </c>
      <c r="M19" s="210" t="s">
        <v>1174</v>
      </c>
      <c r="N19" s="210" t="s">
        <v>1172</v>
      </c>
      <c r="O19" s="200"/>
      <c r="P19" s="200"/>
      <c r="Q19" s="200"/>
    </row>
    <row r="20">
      <c r="A20" s="178" t="s">
        <v>195</v>
      </c>
      <c r="B20" s="208" t="s">
        <v>1161</v>
      </c>
      <c r="C20" s="208" t="s">
        <v>1175</v>
      </c>
      <c r="D20" s="208" t="s">
        <v>1176</v>
      </c>
      <c r="E20" s="208" t="s">
        <v>1164</v>
      </c>
      <c r="F20" s="208" t="s">
        <v>1177</v>
      </c>
      <c r="G20" s="208" t="s">
        <v>1166</v>
      </c>
      <c r="H20" s="209"/>
      <c r="I20" s="209"/>
      <c r="J20" s="209"/>
      <c r="K20" s="209" t="s">
        <v>1178</v>
      </c>
      <c r="L20" s="210" t="s">
        <v>1179</v>
      </c>
      <c r="M20" s="210" t="s">
        <v>1180</v>
      </c>
      <c r="N20" s="210" t="s">
        <v>1178</v>
      </c>
      <c r="O20" s="200"/>
      <c r="P20" s="200"/>
      <c r="Q20" s="200"/>
    </row>
    <row r="21">
      <c r="A21" s="200" t="s">
        <v>197</v>
      </c>
      <c r="B21" s="199"/>
      <c r="C21" s="199"/>
      <c r="D21" s="199"/>
      <c r="E21" s="199"/>
      <c r="F21" s="199"/>
      <c r="G21" s="199"/>
      <c r="H21" s="199"/>
      <c r="I21" s="199"/>
      <c r="J21" s="199"/>
      <c r="K21" s="199"/>
      <c r="L21" s="203"/>
      <c r="M21" s="203"/>
      <c r="N21" s="210"/>
      <c r="O21" s="200"/>
      <c r="P21" s="200"/>
      <c r="Q21" s="200"/>
    </row>
    <row r="22">
      <c r="A22" s="28" t="s">
        <v>209</v>
      </c>
      <c r="B22" s="209"/>
      <c r="C22" s="209"/>
      <c r="D22" s="209"/>
      <c r="E22" s="209"/>
      <c r="F22" s="209"/>
      <c r="G22" s="209"/>
      <c r="H22" s="209"/>
      <c r="I22" s="209"/>
      <c r="J22" s="209"/>
      <c r="K22" s="209"/>
      <c r="L22" s="205"/>
      <c r="M22" s="205"/>
      <c r="N22" s="210"/>
      <c r="O22" s="200"/>
      <c r="P22" s="200"/>
      <c r="Q22" s="200"/>
    </row>
    <row r="23">
      <c r="A23" s="28" t="s">
        <v>1056</v>
      </c>
      <c r="B23" s="199"/>
      <c r="C23" s="213"/>
      <c r="D23" s="199"/>
      <c r="E23" s="199"/>
      <c r="F23" s="199"/>
      <c r="G23" s="199"/>
      <c r="H23" s="199"/>
      <c r="I23" s="199"/>
      <c r="J23" s="199"/>
      <c r="K23" s="199"/>
      <c r="L23" s="203"/>
      <c r="M23" s="203"/>
      <c r="N23" s="210"/>
      <c r="O23" s="204" t="s">
        <v>1181</v>
      </c>
      <c r="P23" s="204" t="s">
        <v>1182</v>
      </c>
      <c r="Q23" s="204" t="s">
        <v>1183</v>
      </c>
    </row>
    <row r="24">
      <c r="A24" s="178" t="s">
        <v>225</v>
      </c>
      <c r="B24" s="209"/>
      <c r="C24" s="209"/>
      <c r="D24" s="209"/>
      <c r="E24" s="209"/>
      <c r="F24" s="209"/>
      <c r="G24" s="209"/>
      <c r="H24" s="209"/>
      <c r="I24" s="209"/>
      <c r="J24" s="209"/>
      <c r="K24" s="209"/>
      <c r="L24" s="205"/>
      <c r="M24" s="205"/>
      <c r="N24" s="210"/>
      <c r="O24" s="212" t="s">
        <v>1184</v>
      </c>
      <c r="P24" s="212" t="s">
        <v>1185</v>
      </c>
      <c r="Q24" s="212" t="s">
        <v>1186</v>
      </c>
    </row>
    <row r="25">
      <c r="A25" s="178" t="s">
        <v>231</v>
      </c>
      <c r="B25" s="209"/>
      <c r="C25" s="209"/>
      <c r="D25" s="209"/>
      <c r="E25" s="209"/>
      <c r="F25" s="209"/>
      <c r="G25" s="209"/>
      <c r="H25" s="209"/>
      <c r="I25" s="209"/>
      <c r="J25" s="209"/>
      <c r="K25" s="209"/>
      <c r="L25" s="205"/>
      <c r="M25" s="205"/>
      <c r="N25" s="210"/>
      <c r="O25" s="200"/>
      <c r="P25" s="178"/>
      <c r="Q25" s="178"/>
    </row>
    <row r="26">
      <c r="A26" s="178" t="s">
        <v>233</v>
      </c>
      <c r="B26" s="209"/>
      <c r="C26" s="209"/>
      <c r="D26" s="209"/>
      <c r="E26" s="209"/>
      <c r="F26" s="209"/>
      <c r="G26" s="209"/>
      <c r="H26" s="209"/>
      <c r="I26" s="209"/>
      <c r="J26" s="209"/>
      <c r="K26" s="209"/>
      <c r="L26" s="205"/>
      <c r="M26" s="205"/>
      <c r="N26" s="210"/>
      <c r="O26" s="200"/>
      <c r="P26" s="178"/>
      <c r="Q26" s="178"/>
    </row>
    <row r="27">
      <c r="A27" s="200" t="s">
        <v>1187</v>
      </c>
      <c r="B27" s="199"/>
      <c r="C27" s="199"/>
      <c r="D27" s="199"/>
      <c r="E27" s="199"/>
      <c r="F27" s="199"/>
      <c r="G27" s="199"/>
      <c r="H27" s="199"/>
      <c r="I27" s="199"/>
      <c r="J27" s="199"/>
      <c r="K27" s="199"/>
      <c r="L27" s="203"/>
      <c r="M27" s="203"/>
      <c r="N27" s="205"/>
      <c r="O27" s="208"/>
      <c r="P27" s="208"/>
      <c r="Q27" s="208"/>
    </row>
    <row r="28">
      <c r="A28" s="39" t="s">
        <v>1188</v>
      </c>
      <c r="B28" s="209"/>
      <c r="C28" s="209"/>
      <c r="D28" s="209"/>
      <c r="E28" s="209"/>
      <c r="F28" s="209"/>
      <c r="G28" s="209"/>
      <c r="H28" s="209"/>
      <c r="I28" s="209"/>
      <c r="J28" s="209"/>
      <c r="K28" s="209"/>
      <c r="L28" s="205"/>
      <c r="M28" s="205"/>
      <c r="N28" s="205"/>
      <c r="O28" s="212" t="s">
        <v>1189</v>
      </c>
      <c r="P28" s="212" t="s">
        <v>1190</v>
      </c>
      <c r="Q28" s="208"/>
    </row>
    <row r="29">
      <c r="A29" s="178" t="s">
        <v>235</v>
      </c>
      <c r="B29" s="209"/>
      <c r="C29" s="209"/>
      <c r="D29" s="209"/>
      <c r="E29" s="209"/>
      <c r="F29" s="209"/>
      <c r="G29" s="209"/>
      <c r="H29" s="209"/>
      <c r="I29" s="209"/>
      <c r="J29" s="209"/>
      <c r="K29" s="209"/>
      <c r="L29" s="205"/>
      <c r="M29" s="205"/>
      <c r="N29" s="205"/>
      <c r="O29" s="204" t="s">
        <v>1191</v>
      </c>
      <c r="P29" s="204" t="s">
        <v>1192</v>
      </c>
      <c r="Q29" s="204" t="s">
        <v>1193</v>
      </c>
    </row>
    <row r="30">
      <c r="A30" s="178" t="s">
        <v>237</v>
      </c>
      <c r="B30" s="209"/>
      <c r="C30" s="209"/>
      <c r="D30" s="209"/>
      <c r="E30" s="209"/>
      <c r="F30" s="209"/>
      <c r="G30" s="209"/>
      <c r="H30" s="209"/>
      <c r="I30" s="209"/>
      <c r="J30" s="209"/>
      <c r="K30" s="209"/>
      <c r="L30" s="205"/>
      <c r="M30" s="205"/>
      <c r="N30" s="205"/>
      <c r="O30" s="204" t="s">
        <v>1194</v>
      </c>
      <c r="P30" s="204" t="s">
        <v>1195</v>
      </c>
      <c r="Q30" s="204" t="s">
        <v>1196</v>
      </c>
    </row>
    <row r="31">
      <c r="A31" s="178" t="s">
        <v>239</v>
      </c>
      <c r="B31" s="209"/>
      <c r="C31" s="209"/>
      <c r="D31" s="209"/>
      <c r="E31" s="209"/>
      <c r="F31" s="209"/>
      <c r="G31" s="209"/>
      <c r="H31" s="209"/>
      <c r="I31" s="209"/>
      <c r="J31" s="209"/>
      <c r="K31" s="209"/>
      <c r="L31" s="205"/>
      <c r="M31" s="205"/>
      <c r="N31" s="205"/>
      <c r="O31" s="204" t="s">
        <v>1197</v>
      </c>
      <c r="P31" s="204" t="s">
        <v>1198</v>
      </c>
      <c r="Q31" s="204" t="s">
        <v>1199</v>
      </c>
    </row>
    <row r="32">
      <c r="A32" s="200" t="s">
        <v>241</v>
      </c>
      <c r="B32" s="200"/>
      <c r="C32" s="200"/>
      <c r="D32" s="200"/>
      <c r="E32" s="200"/>
      <c r="F32" s="200"/>
      <c r="G32" s="200"/>
      <c r="H32" s="200"/>
      <c r="I32" s="199"/>
      <c r="J32" s="199"/>
      <c r="K32" s="199"/>
      <c r="L32" s="203"/>
      <c r="M32" s="203"/>
      <c r="N32" s="203"/>
      <c r="O32" s="200"/>
      <c r="P32" s="200"/>
      <c r="Q32" s="200"/>
    </row>
    <row r="33">
      <c r="A33" s="28" t="s">
        <v>250</v>
      </c>
      <c r="B33" s="208"/>
      <c r="C33" s="208"/>
      <c r="D33" s="208"/>
      <c r="E33" s="208"/>
      <c r="F33" s="208"/>
      <c r="G33" s="208"/>
      <c r="H33" s="200"/>
      <c r="I33" s="200"/>
      <c r="J33" s="209"/>
      <c r="K33" s="209"/>
      <c r="L33" s="210"/>
      <c r="M33" s="210"/>
      <c r="N33" s="203"/>
      <c r="O33" s="200"/>
      <c r="P33" s="200"/>
      <c r="Q33" s="200"/>
    </row>
    <row r="34">
      <c r="A34" s="28" t="s">
        <v>270</v>
      </c>
      <c r="B34" s="208"/>
      <c r="C34" s="208"/>
      <c r="D34" s="208"/>
      <c r="E34" s="208"/>
      <c r="F34" s="208"/>
      <c r="G34" s="208"/>
      <c r="H34" s="200"/>
      <c r="I34" s="200"/>
      <c r="J34" s="209"/>
      <c r="K34" s="209"/>
      <c r="L34" s="210"/>
      <c r="M34" s="210"/>
      <c r="N34" s="203"/>
      <c r="O34" s="200"/>
      <c r="P34" s="200"/>
      <c r="Q34" s="200"/>
    </row>
    <row r="35">
      <c r="A35" s="28" t="s">
        <v>275</v>
      </c>
      <c r="B35" s="208"/>
      <c r="C35" s="208"/>
      <c r="D35" s="208"/>
      <c r="E35" s="208"/>
      <c r="F35" s="208"/>
      <c r="G35" s="208"/>
      <c r="H35" s="200"/>
      <c r="I35" s="200"/>
      <c r="J35" s="209"/>
      <c r="K35" s="209"/>
      <c r="L35" s="210"/>
      <c r="M35" s="210"/>
      <c r="N35" s="203"/>
      <c r="O35" s="200"/>
      <c r="P35" s="200"/>
      <c r="Q35" s="200"/>
    </row>
    <row r="36">
      <c r="A36" s="28" t="s">
        <v>282</v>
      </c>
      <c r="B36" s="199"/>
      <c r="C36" s="199"/>
      <c r="D36" s="199"/>
      <c r="E36" s="199"/>
      <c r="F36" s="199"/>
      <c r="G36" s="199"/>
      <c r="H36" s="200"/>
      <c r="I36" s="199"/>
      <c r="J36" s="199"/>
      <c r="K36" s="199"/>
      <c r="L36" s="203"/>
      <c r="M36" s="203"/>
      <c r="N36" s="203"/>
      <c r="O36" s="200"/>
      <c r="P36" s="200"/>
      <c r="Q36" s="200"/>
    </row>
    <row r="37">
      <c r="A37" s="200" t="s">
        <v>284</v>
      </c>
      <c r="B37" s="200"/>
      <c r="C37" s="200"/>
      <c r="D37" s="200"/>
      <c r="E37" s="200"/>
      <c r="F37" s="200"/>
      <c r="G37" s="200"/>
      <c r="H37" s="200"/>
      <c r="I37" s="199"/>
      <c r="J37" s="199"/>
      <c r="K37" s="199"/>
      <c r="L37" s="203"/>
      <c r="M37" s="203"/>
      <c r="N37" s="205"/>
      <c r="O37" s="200"/>
      <c r="P37" s="214" t="s">
        <v>1200</v>
      </c>
      <c r="Q37" s="200"/>
    </row>
    <row r="38">
      <c r="A38" s="200" t="s">
        <v>298</v>
      </c>
      <c r="B38" s="200"/>
      <c r="C38" s="200"/>
      <c r="D38" s="200"/>
      <c r="E38" s="200"/>
      <c r="F38" s="202"/>
      <c r="G38" s="200"/>
      <c r="H38" s="200"/>
      <c r="I38" s="200"/>
      <c r="J38" s="199"/>
      <c r="K38" s="199"/>
      <c r="L38" s="203"/>
      <c r="M38" s="203"/>
      <c r="N38" s="205"/>
      <c r="O38" s="200"/>
      <c r="P38" s="200"/>
      <c r="Q38" s="200"/>
    </row>
    <row r="39">
      <c r="A39" s="200" t="s">
        <v>303</v>
      </c>
      <c r="B39" s="200"/>
      <c r="C39" s="200"/>
      <c r="D39" s="200"/>
      <c r="E39" s="200"/>
      <c r="F39" s="202"/>
      <c r="G39" s="200"/>
      <c r="H39" s="200"/>
      <c r="I39" s="200"/>
      <c r="J39" s="199"/>
      <c r="K39" s="199"/>
      <c r="L39" s="203"/>
      <c r="M39" s="203"/>
      <c r="N39" s="205"/>
      <c r="O39" s="200"/>
      <c r="P39" s="200"/>
      <c r="Q39" s="200"/>
    </row>
    <row r="40">
      <c r="A40" s="200" t="s">
        <v>310</v>
      </c>
      <c r="B40" s="200"/>
      <c r="C40" s="200"/>
      <c r="D40" s="200"/>
      <c r="E40" s="200"/>
      <c r="F40" s="200"/>
      <c r="G40" s="200"/>
      <c r="H40" s="200"/>
      <c r="I40" s="199"/>
      <c r="J40" s="199"/>
      <c r="K40" s="199"/>
      <c r="L40" s="203"/>
      <c r="M40" s="203"/>
      <c r="N40" s="205"/>
      <c r="O40" s="200"/>
      <c r="P40" s="204" t="s">
        <v>1201</v>
      </c>
      <c r="Q40" s="200"/>
    </row>
    <row r="41">
      <c r="A41" s="28" t="s">
        <v>1202</v>
      </c>
      <c r="B41" s="200"/>
      <c r="C41" s="200"/>
      <c r="D41" s="200"/>
      <c r="E41" s="200"/>
      <c r="F41" s="202"/>
      <c r="G41" s="200"/>
      <c r="H41" s="200"/>
      <c r="I41" s="200"/>
      <c r="J41" s="199"/>
      <c r="K41" s="199"/>
      <c r="L41" s="203"/>
      <c r="M41" s="203"/>
      <c r="N41" s="203"/>
      <c r="O41" s="209"/>
      <c r="P41" s="209"/>
      <c r="Q41" s="209"/>
    </row>
    <row r="42">
      <c r="A42" s="215" t="s">
        <v>1010</v>
      </c>
      <c r="B42" s="199"/>
      <c r="C42" s="199"/>
      <c r="D42" s="199"/>
      <c r="E42" s="199"/>
      <c r="F42" s="199"/>
      <c r="G42" s="199"/>
      <c r="H42" s="199"/>
      <c r="I42" s="199"/>
      <c r="J42" s="199"/>
      <c r="K42" s="199"/>
      <c r="L42" s="203"/>
      <c r="M42" s="203"/>
      <c r="N42" s="203"/>
      <c r="O42" s="209"/>
      <c r="P42" s="209"/>
      <c r="Q42" s="209"/>
    </row>
    <row r="43">
      <c r="A43" s="178" t="s">
        <v>315</v>
      </c>
      <c r="B43" s="209"/>
      <c r="C43" s="209"/>
      <c r="D43" s="209"/>
      <c r="E43" s="209"/>
      <c r="F43" s="209"/>
      <c r="G43" s="209"/>
      <c r="H43" s="209"/>
      <c r="I43" s="209"/>
      <c r="J43" s="209"/>
      <c r="K43" s="209"/>
      <c r="L43" s="205"/>
      <c r="M43" s="205"/>
      <c r="N43" s="205"/>
      <c r="O43" s="209"/>
      <c r="P43" s="209"/>
      <c r="Q43" s="209"/>
    </row>
    <row r="44">
      <c r="A44" s="28" t="s">
        <v>318</v>
      </c>
      <c r="B44" s="200"/>
      <c r="C44" s="200"/>
      <c r="D44" s="200"/>
      <c r="E44" s="200"/>
      <c r="F44" s="202"/>
      <c r="G44" s="200"/>
      <c r="H44" s="200"/>
      <c r="I44" s="200"/>
      <c r="J44" s="199"/>
      <c r="K44" s="199"/>
      <c r="L44" s="203"/>
      <c r="M44" s="203"/>
      <c r="N44" s="205"/>
      <c r="O44" s="209"/>
      <c r="P44" s="209"/>
      <c r="Q44" s="209"/>
    </row>
    <row r="45">
      <c r="A45" s="178" t="s">
        <v>1203</v>
      </c>
      <c r="B45" s="208" t="s">
        <v>1204</v>
      </c>
      <c r="C45" s="200" t="s">
        <v>1205</v>
      </c>
      <c r="D45" s="200" t="s">
        <v>1206</v>
      </c>
      <c r="E45" s="208" t="s">
        <v>1207</v>
      </c>
      <c r="F45" s="202" t="s">
        <v>1208</v>
      </c>
      <c r="G45" s="200" t="s">
        <v>1209</v>
      </c>
      <c r="H45" s="200">
        <v>1.0</v>
      </c>
      <c r="I45" s="200" t="s">
        <v>1210</v>
      </c>
      <c r="J45" s="209">
        <v>20.0</v>
      </c>
      <c r="K45" s="209" t="s">
        <v>1211</v>
      </c>
      <c r="L45" s="205" t="s">
        <v>1212</v>
      </c>
      <c r="M45" s="205" t="s">
        <v>1211</v>
      </c>
      <c r="N45" s="205" t="s">
        <v>1211</v>
      </c>
      <c r="O45" s="209"/>
      <c r="P45" s="209"/>
      <c r="Q45" s="209"/>
    </row>
    <row r="46">
      <c r="A46" s="28" t="s">
        <v>326</v>
      </c>
      <c r="B46" s="208" t="s">
        <v>1204</v>
      </c>
      <c r="C46" s="200" t="s">
        <v>1205</v>
      </c>
      <c r="D46" s="200" t="s">
        <v>1213</v>
      </c>
      <c r="E46" s="208" t="s">
        <v>1207</v>
      </c>
      <c r="F46" s="202" t="s">
        <v>1214</v>
      </c>
      <c r="G46" s="200" t="s">
        <v>1209</v>
      </c>
      <c r="H46" s="200">
        <v>1.0</v>
      </c>
      <c r="I46" s="200" t="s">
        <v>1210</v>
      </c>
      <c r="J46" s="209">
        <v>20.0</v>
      </c>
      <c r="K46" s="209" t="s">
        <v>1215</v>
      </c>
      <c r="L46" s="205" t="s">
        <v>1216</v>
      </c>
      <c r="M46" s="205" t="s">
        <v>1215</v>
      </c>
      <c r="N46" s="205" t="s">
        <v>1215</v>
      </c>
      <c r="O46" s="209"/>
      <c r="P46" s="209"/>
      <c r="Q46" s="209"/>
    </row>
    <row r="47">
      <c r="A47" s="200" t="s">
        <v>329</v>
      </c>
      <c r="B47" s="200" t="s">
        <v>1217</v>
      </c>
      <c r="C47" s="200" t="s">
        <v>1218</v>
      </c>
      <c r="D47" s="200" t="s">
        <v>1219</v>
      </c>
      <c r="E47" s="200" t="s">
        <v>1220</v>
      </c>
      <c r="F47" s="200" t="s">
        <v>1221</v>
      </c>
      <c r="G47" s="200" t="s">
        <v>1209</v>
      </c>
      <c r="H47" s="200">
        <v>2.0</v>
      </c>
      <c r="I47" s="200" t="s">
        <v>1222</v>
      </c>
      <c r="J47" s="200">
        <v>20.0</v>
      </c>
      <c r="K47" s="200" t="s">
        <v>1223</v>
      </c>
      <c r="L47" s="216" t="s">
        <v>1224</v>
      </c>
      <c r="M47" s="216" t="s">
        <v>1225</v>
      </c>
      <c r="N47" s="205" t="s">
        <v>1223</v>
      </c>
      <c r="O47" s="209"/>
      <c r="P47" s="209"/>
      <c r="Q47" s="209"/>
    </row>
    <row r="48">
      <c r="A48" s="200" t="s">
        <v>331</v>
      </c>
      <c r="B48" s="200" t="s">
        <v>1226</v>
      </c>
      <c r="C48" s="200" t="s">
        <v>1227</v>
      </c>
      <c r="D48" s="200" t="s">
        <v>1228</v>
      </c>
      <c r="E48" s="200" t="s">
        <v>1229</v>
      </c>
      <c r="F48" s="200" t="s">
        <v>1230</v>
      </c>
      <c r="G48" s="200" t="s">
        <v>1209</v>
      </c>
      <c r="H48" s="200">
        <v>2.0</v>
      </c>
      <c r="I48" s="199"/>
      <c r="J48" s="199"/>
      <c r="K48" s="199" t="s">
        <v>1231</v>
      </c>
      <c r="L48" s="203" t="s">
        <v>1232</v>
      </c>
      <c r="M48" s="203" t="s">
        <v>1233</v>
      </c>
      <c r="N48" s="205" t="s">
        <v>1231</v>
      </c>
      <c r="O48" s="209"/>
      <c r="P48" s="209"/>
      <c r="Q48" s="209"/>
    </row>
    <row r="49">
      <c r="A49" s="200" t="s">
        <v>344</v>
      </c>
      <c r="B49" s="200" t="s">
        <v>1234</v>
      </c>
      <c r="C49" s="217">
        <v>7805.0</v>
      </c>
      <c r="D49" s="217" t="s">
        <v>1235</v>
      </c>
      <c r="E49" s="217" t="s">
        <v>1236</v>
      </c>
      <c r="F49" s="200" t="s">
        <v>1237</v>
      </c>
      <c r="G49" s="200" t="s">
        <v>1209</v>
      </c>
      <c r="H49" s="200">
        <v>1.0</v>
      </c>
      <c r="I49" s="200" t="s">
        <v>1238</v>
      </c>
      <c r="J49" s="199">
        <v>5.0</v>
      </c>
      <c r="K49" s="199" t="s">
        <v>1239</v>
      </c>
      <c r="L49" s="203" t="s">
        <v>1240</v>
      </c>
      <c r="M49" s="203" t="s">
        <v>1239</v>
      </c>
      <c r="N49" s="205" t="s">
        <v>1239</v>
      </c>
      <c r="O49" s="209"/>
      <c r="P49" s="209"/>
      <c r="Q49" s="209"/>
    </row>
    <row r="50">
      <c r="A50" s="28" t="s">
        <v>351</v>
      </c>
      <c r="B50" s="199"/>
      <c r="C50" s="213"/>
      <c r="D50" s="199"/>
      <c r="E50" s="199"/>
      <c r="F50" s="199"/>
      <c r="G50" s="199"/>
      <c r="H50" s="199"/>
      <c r="I50" s="199"/>
      <c r="J50" s="199"/>
      <c r="K50" s="199"/>
      <c r="L50" s="203"/>
      <c r="M50" s="203"/>
      <c r="N50" s="205"/>
      <c r="O50" s="209"/>
      <c r="P50" s="209"/>
      <c r="Q50" s="209"/>
    </row>
    <row r="51">
      <c r="A51" s="28" t="s">
        <v>364</v>
      </c>
      <c r="B51" s="13" t="s">
        <v>1241</v>
      </c>
      <c r="C51" s="13" t="s">
        <v>1242</v>
      </c>
      <c r="D51" s="200" t="s">
        <v>1228</v>
      </c>
      <c r="E51" s="218" t="s">
        <v>1243</v>
      </c>
      <c r="F51" s="219" t="s">
        <v>1244</v>
      </c>
      <c r="G51" s="200" t="s">
        <v>1209</v>
      </c>
      <c r="H51" s="200">
        <v>2.0</v>
      </c>
      <c r="I51" s="200" t="s">
        <v>1245</v>
      </c>
      <c r="J51" s="207">
        <v>20.0</v>
      </c>
      <c r="K51" s="207" t="s">
        <v>1246</v>
      </c>
      <c r="L51" s="203" t="s">
        <v>1247</v>
      </c>
      <c r="M51" s="203" t="s">
        <v>1248</v>
      </c>
      <c r="N51" s="203" t="s">
        <v>1246</v>
      </c>
      <c r="O51" s="209"/>
      <c r="P51" s="209"/>
      <c r="Q51" s="209"/>
    </row>
    <row r="52">
      <c r="A52" s="28" t="s">
        <v>377</v>
      </c>
      <c r="B52" s="13" t="s">
        <v>1249</v>
      </c>
      <c r="C52" s="13" t="s">
        <v>1250</v>
      </c>
      <c r="D52" s="200" t="s">
        <v>1228</v>
      </c>
      <c r="E52" s="218" t="s">
        <v>1251</v>
      </c>
      <c r="F52" s="219" t="s">
        <v>1252</v>
      </c>
      <c r="G52" s="200" t="s">
        <v>1209</v>
      </c>
      <c r="H52" s="200">
        <v>2.0</v>
      </c>
      <c r="I52" s="200" t="s">
        <v>1222</v>
      </c>
      <c r="J52" s="207">
        <v>20.0</v>
      </c>
      <c r="K52" s="207" t="s">
        <v>1253</v>
      </c>
      <c r="L52" s="203" t="s">
        <v>1254</v>
      </c>
      <c r="M52" s="203" t="s">
        <v>1255</v>
      </c>
      <c r="N52" s="203" t="s">
        <v>1253</v>
      </c>
      <c r="O52" s="209"/>
      <c r="P52" s="209"/>
      <c r="Q52" s="209"/>
    </row>
    <row r="53">
      <c r="A53" s="28" t="s">
        <v>385</v>
      </c>
      <c r="B53" s="13" t="s">
        <v>1249</v>
      </c>
      <c r="C53" s="13" t="s">
        <v>1256</v>
      </c>
      <c r="D53" s="200" t="s">
        <v>1257</v>
      </c>
      <c r="E53" s="218" t="s">
        <v>1251</v>
      </c>
      <c r="F53" s="219" t="s">
        <v>1258</v>
      </c>
      <c r="G53" s="200" t="s">
        <v>1209</v>
      </c>
      <c r="H53" s="200">
        <v>2.0</v>
      </c>
      <c r="I53" s="200" t="s">
        <v>1259</v>
      </c>
      <c r="J53" s="207">
        <v>20.0</v>
      </c>
      <c r="K53" s="207" t="s">
        <v>1260</v>
      </c>
      <c r="L53" s="203" t="s">
        <v>1261</v>
      </c>
      <c r="M53" s="203" t="s">
        <v>1262</v>
      </c>
      <c r="N53" s="203" t="s">
        <v>1260</v>
      </c>
      <c r="O53" s="199"/>
      <c r="P53" s="199"/>
      <c r="Q53" s="199"/>
    </row>
    <row r="54">
      <c r="A54" s="28" t="s">
        <v>393</v>
      </c>
      <c r="B54" s="199"/>
      <c r="C54" s="213"/>
      <c r="D54" s="199"/>
      <c r="E54" s="199"/>
      <c r="F54" s="199"/>
      <c r="G54" s="199"/>
      <c r="H54" s="199"/>
      <c r="I54" s="199"/>
      <c r="J54" s="199"/>
      <c r="K54" s="199"/>
      <c r="L54" s="203"/>
      <c r="M54" s="203"/>
      <c r="N54" s="203"/>
      <c r="O54" s="199"/>
      <c r="P54" s="199"/>
      <c r="Q54" s="199"/>
    </row>
    <row r="55">
      <c r="A55" s="28" t="s">
        <v>395</v>
      </c>
      <c r="B55" s="208"/>
      <c r="C55" s="208"/>
      <c r="D55" s="209"/>
      <c r="E55" s="209"/>
      <c r="F55" s="209"/>
      <c r="G55" s="209"/>
      <c r="H55" s="209"/>
      <c r="I55" s="209"/>
      <c r="J55" s="209"/>
      <c r="K55" s="209"/>
      <c r="L55" s="205"/>
      <c r="M55" s="205"/>
      <c r="N55" s="203"/>
      <c r="O55" s="209"/>
      <c r="P55" s="209"/>
      <c r="Q55" s="209"/>
    </row>
    <row r="56">
      <c r="A56" s="200" t="s">
        <v>397</v>
      </c>
      <c r="B56" s="200" t="s">
        <v>1263</v>
      </c>
      <c r="C56" s="200" t="s">
        <v>1264</v>
      </c>
      <c r="D56" s="200" t="s">
        <v>1265</v>
      </c>
      <c r="E56" s="200" t="s">
        <v>1266</v>
      </c>
      <c r="F56" s="200" t="s">
        <v>1267</v>
      </c>
      <c r="G56" s="200" t="s">
        <v>1209</v>
      </c>
      <c r="H56" s="200">
        <v>2.0</v>
      </c>
      <c r="I56" s="200" t="s">
        <v>1222</v>
      </c>
      <c r="J56" s="199">
        <v>20.0</v>
      </c>
      <c r="K56" s="199" t="s">
        <v>1268</v>
      </c>
      <c r="L56" s="203" t="s">
        <v>1269</v>
      </c>
      <c r="M56" s="203" t="s">
        <v>1268</v>
      </c>
      <c r="N56" s="203" t="s">
        <v>1268</v>
      </c>
      <c r="O56" s="209"/>
      <c r="P56" s="209"/>
      <c r="Q56" s="209"/>
    </row>
    <row r="57">
      <c r="A57" s="200" t="s">
        <v>402</v>
      </c>
      <c r="B57" s="200" t="s">
        <v>1270</v>
      </c>
      <c r="C57" s="200" t="s">
        <v>1271</v>
      </c>
      <c r="D57" s="200" t="s">
        <v>1265</v>
      </c>
      <c r="E57" s="200" t="s">
        <v>1266</v>
      </c>
      <c r="F57" s="200" t="s">
        <v>1267</v>
      </c>
      <c r="G57" s="200" t="s">
        <v>1209</v>
      </c>
      <c r="H57" s="200">
        <v>2.0</v>
      </c>
      <c r="I57" s="200" t="s">
        <v>1222</v>
      </c>
      <c r="J57" s="199">
        <v>20.0</v>
      </c>
      <c r="K57" s="199" t="s">
        <v>1272</v>
      </c>
      <c r="L57" s="203" t="s">
        <v>1273</v>
      </c>
      <c r="M57" s="203" t="s">
        <v>1272</v>
      </c>
      <c r="N57" s="203" t="s">
        <v>1272</v>
      </c>
      <c r="O57" s="209"/>
      <c r="P57" s="209"/>
      <c r="Q57" s="209"/>
    </row>
    <row r="58">
      <c r="A58" s="200" t="s">
        <v>403</v>
      </c>
      <c r="B58" s="200" t="s">
        <v>1274</v>
      </c>
      <c r="C58" s="200" t="s">
        <v>1275</v>
      </c>
      <c r="D58" s="200" t="s">
        <v>1265</v>
      </c>
      <c r="E58" s="200" t="s">
        <v>1276</v>
      </c>
      <c r="F58" s="200" t="s">
        <v>1277</v>
      </c>
      <c r="G58" s="200" t="s">
        <v>1209</v>
      </c>
      <c r="H58" s="200">
        <v>2.0</v>
      </c>
      <c r="I58" s="200" t="s">
        <v>1222</v>
      </c>
      <c r="J58" s="207">
        <v>20.0</v>
      </c>
      <c r="K58" s="207" t="s">
        <v>1278</v>
      </c>
      <c r="L58" s="203" t="s">
        <v>1279</v>
      </c>
      <c r="M58" s="203" t="s">
        <v>1278</v>
      </c>
      <c r="N58" s="216" t="s">
        <v>1278</v>
      </c>
      <c r="O58" s="209"/>
      <c r="P58" s="209"/>
      <c r="Q58" s="209"/>
    </row>
    <row r="59">
      <c r="A59" s="200" t="s">
        <v>1280</v>
      </c>
      <c r="B59" s="200" t="s">
        <v>1281</v>
      </c>
      <c r="C59" s="200" t="s">
        <v>1282</v>
      </c>
      <c r="D59" s="200" t="s">
        <v>1265</v>
      </c>
      <c r="E59" s="200" t="s">
        <v>1283</v>
      </c>
      <c r="F59" s="200" t="s">
        <v>1284</v>
      </c>
      <c r="G59" s="200" t="s">
        <v>1209</v>
      </c>
      <c r="H59" s="200">
        <v>2.0</v>
      </c>
      <c r="I59" s="200" t="s">
        <v>1222</v>
      </c>
      <c r="J59" s="207">
        <v>20.0</v>
      </c>
      <c r="K59" s="207" t="s">
        <v>1285</v>
      </c>
      <c r="L59" s="203" t="s">
        <v>1286</v>
      </c>
      <c r="M59" s="203" t="s">
        <v>1285</v>
      </c>
      <c r="N59" s="203" t="s">
        <v>1285</v>
      </c>
      <c r="O59" s="209"/>
      <c r="P59" s="209"/>
      <c r="Q59" s="209"/>
    </row>
    <row r="60">
      <c r="A60" s="28" t="s">
        <v>406</v>
      </c>
      <c r="B60" s="13" t="s">
        <v>1287</v>
      </c>
      <c r="C60" s="13" t="s">
        <v>1288</v>
      </c>
      <c r="D60" s="199" t="s">
        <v>1289</v>
      </c>
      <c r="E60" s="13" t="s">
        <v>1290</v>
      </c>
      <c r="F60" s="219" t="s">
        <v>1291</v>
      </c>
      <c r="G60" s="200" t="s">
        <v>1209</v>
      </c>
      <c r="H60" s="200">
        <v>1.0</v>
      </c>
      <c r="I60" s="200" t="s">
        <v>1292</v>
      </c>
      <c r="J60" s="207">
        <v>20.0</v>
      </c>
      <c r="K60" s="207" t="s">
        <v>1293</v>
      </c>
      <c r="L60" s="203" t="s">
        <v>1294</v>
      </c>
      <c r="M60" s="203" t="s">
        <v>1293</v>
      </c>
      <c r="N60" s="203" t="s">
        <v>1293</v>
      </c>
      <c r="O60" s="209"/>
      <c r="P60" s="209"/>
      <c r="Q60" s="209"/>
    </row>
    <row r="61">
      <c r="A61" s="178" t="s">
        <v>408</v>
      </c>
      <c r="B61" s="200" t="s">
        <v>1295</v>
      </c>
      <c r="C61" s="200" t="s">
        <v>1296</v>
      </c>
      <c r="D61" s="200" t="s">
        <v>1297</v>
      </c>
      <c r="E61" s="200" t="s">
        <v>1298</v>
      </c>
      <c r="F61" s="202" t="s">
        <v>1299</v>
      </c>
      <c r="G61" s="200" t="s">
        <v>1209</v>
      </c>
      <c r="H61" s="200">
        <v>1.0</v>
      </c>
      <c r="I61" s="200" t="s">
        <v>1210</v>
      </c>
      <c r="J61" s="199">
        <v>20.0</v>
      </c>
      <c r="K61" s="199" t="s">
        <v>1300</v>
      </c>
      <c r="L61" s="203" t="s">
        <v>1301</v>
      </c>
      <c r="M61" s="203" t="s">
        <v>1300</v>
      </c>
      <c r="N61" s="203" t="s">
        <v>1300</v>
      </c>
      <c r="O61" s="209"/>
      <c r="P61" s="209"/>
      <c r="Q61" s="209"/>
    </row>
    <row r="62">
      <c r="A62" s="28" t="s">
        <v>450</v>
      </c>
      <c r="B62" s="208"/>
      <c r="C62" s="200"/>
      <c r="D62" s="200"/>
      <c r="E62" s="208"/>
      <c r="F62" s="202"/>
      <c r="G62" s="200"/>
      <c r="H62" s="200"/>
      <c r="I62" s="200"/>
      <c r="J62" s="209"/>
      <c r="K62" s="209"/>
      <c r="L62" s="205"/>
      <c r="M62" s="205"/>
      <c r="N62" s="205"/>
      <c r="O62" s="209"/>
      <c r="P62" s="209"/>
      <c r="Q62" s="209"/>
    </row>
    <row r="63">
      <c r="A63" s="178" t="s">
        <v>472</v>
      </c>
      <c r="B63" s="13" t="s">
        <v>1302</v>
      </c>
      <c r="C63" s="13" t="s">
        <v>1303</v>
      </c>
      <c r="D63" s="200" t="s">
        <v>1304</v>
      </c>
      <c r="E63" s="13" t="s">
        <v>1305</v>
      </c>
      <c r="F63" s="219" t="s">
        <v>1306</v>
      </c>
      <c r="G63" s="200" t="s">
        <v>1209</v>
      </c>
      <c r="H63" s="200">
        <v>1.0</v>
      </c>
      <c r="I63" s="200" t="s">
        <v>1292</v>
      </c>
      <c r="J63" s="207">
        <v>20.0</v>
      </c>
      <c r="K63" s="207" t="s">
        <v>1307</v>
      </c>
      <c r="L63" s="203" t="s">
        <v>1308</v>
      </c>
      <c r="M63" s="203" t="s">
        <v>1307</v>
      </c>
      <c r="N63" s="205" t="s">
        <v>1307</v>
      </c>
      <c r="O63" s="209"/>
      <c r="P63" s="209"/>
      <c r="Q63" s="209"/>
    </row>
    <row r="64">
      <c r="A64" s="200" t="s">
        <v>478</v>
      </c>
      <c r="B64" s="200" t="s">
        <v>1309</v>
      </c>
      <c r="C64" s="200" t="s">
        <v>1310</v>
      </c>
      <c r="D64" s="200" t="s">
        <v>1311</v>
      </c>
      <c r="E64" s="200" t="s">
        <v>1312</v>
      </c>
      <c r="F64" s="200" t="s">
        <v>1313</v>
      </c>
      <c r="G64" s="200" t="s">
        <v>1209</v>
      </c>
      <c r="H64" s="200"/>
      <c r="I64" s="200" t="s">
        <v>1292</v>
      </c>
      <c r="J64" s="199">
        <v>20.0</v>
      </c>
      <c r="K64" s="199" t="s">
        <v>1314</v>
      </c>
      <c r="L64" s="203" t="s">
        <v>1315</v>
      </c>
      <c r="M64" s="203" t="s">
        <v>1314</v>
      </c>
      <c r="N64" s="205" t="s">
        <v>1314</v>
      </c>
      <c r="O64" s="209"/>
      <c r="P64" s="209"/>
      <c r="Q64" s="209"/>
    </row>
    <row r="65">
      <c r="A65" s="200" t="s">
        <v>481</v>
      </c>
      <c r="B65" s="208" t="s">
        <v>1316</v>
      </c>
      <c r="C65" s="208" t="s">
        <v>1317</v>
      </c>
      <c r="D65" s="200" t="s">
        <v>1318</v>
      </c>
      <c r="E65" s="200" t="s">
        <v>1312</v>
      </c>
      <c r="F65" s="200" t="s">
        <v>1319</v>
      </c>
      <c r="G65" s="200" t="s">
        <v>1209</v>
      </c>
      <c r="H65" s="209"/>
      <c r="I65" s="200" t="s">
        <v>1320</v>
      </c>
      <c r="J65" s="209">
        <v>21.0</v>
      </c>
      <c r="K65" s="209" t="s">
        <v>1321</v>
      </c>
      <c r="L65" s="205" t="s">
        <v>1322</v>
      </c>
      <c r="M65" s="205" t="s">
        <v>1321</v>
      </c>
      <c r="N65" s="203" t="s">
        <v>1321</v>
      </c>
      <c r="O65" s="199"/>
      <c r="P65" s="199"/>
      <c r="Q65" s="199"/>
    </row>
    <row r="66">
      <c r="A66" s="28" t="s">
        <v>483</v>
      </c>
      <c r="B66" s="199"/>
      <c r="C66" s="199"/>
      <c r="D66" s="199"/>
      <c r="E66" s="199"/>
      <c r="F66" s="199"/>
      <c r="G66" s="200"/>
      <c r="H66" s="199"/>
      <c r="I66" s="199"/>
      <c r="J66" s="199"/>
      <c r="K66" s="199"/>
      <c r="L66" s="203"/>
      <c r="M66" s="203"/>
      <c r="N66" s="203"/>
      <c r="O66" s="199"/>
      <c r="P66" s="199"/>
      <c r="Q66" s="199"/>
    </row>
    <row r="67">
      <c r="A67" s="28" t="s">
        <v>502</v>
      </c>
      <c r="B67" s="199"/>
      <c r="C67" s="199"/>
      <c r="D67" s="199"/>
      <c r="E67" s="199"/>
      <c r="F67" s="199"/>
      <c r="G67" s="200"/>
      <c r="H67" s="199"/>
      <c r="I67" s="199"/>
      <c r="J67" s="199"/>
      <c r="K67" s="199"/>
      <c r="L67" s="203"/>
      <c r="M67" s="203"/>
      <c r="N67" s="203"/>
      <c r="O67" s="209"/>
      <c r="P67" s="209"/>
      <c r="Q67" s="209"/>
    </row>
    <row r="68">
      <c r="A68" s="178" t="s">
        <v>504</v>
      </c>
      <c r="B68" s="209"/>
      <c r="C68" s="209"/>
      <c r="D68" s="209"/>
      <c r="E68" s="209"/>
      <c r="F68" s="209"/>
      <c r="G68" s="209"/>
      <c r="H68" s="209"/>
      <c r="I68" s="209"/>
      <c r="J68" s="209"/>
      <c r="K68" s="209"/>
      <c r="L68" s="205"/>
      <c r="M68" s="205"/>
      <c r="N68" s="203"/>
      <c r="O68" s="209"/>
      <c r="P68" s="209"/>
      <c r="Q68" s="209"/>
    </row>
    <row r="69">
      <c r="A69" s="200" t="s">
        <v>507</v>
      </c>
      <c r="B69" s="199"/>
      <c r="C69" s="199"/>
      <c r="D69" s="199"/>
      <c r="E69" s="199"/>
      <c r="F69" s="199"/>
      <c r="G69" s="199"/>
      <c r="H69" s="199"/>
      <c r="I69" s="199"/>
      <c r="J69" s="199"/>
      <c r="K69" s="199"/>
      <c r="L69" s="203"/>
      <c r="M69" s="203"/>
      <c r="N69" s="203"/>
      <c r="O69" s="209"/>
      <c r="P69" s="209"/>
      <c r="Q69" s="209"/>
    </row>
    <row r="70">
      <c r="A70" s="28" t="s">
        <v>509</v>
      </c>
      <c r="B70" s="199"/>
      <c r="C70" s="200"/>
      <c r="D70" s="202"/>
      <c r="E70" s="200"/>
      <c r="F70" s="202"/>
      <c r="G70" s="202"/>
      <c r="H70" s="208"/>
      <c r="I70" s="208"/>
      <c r="J70" s="209"/>
      <c r="K70" s="209"/>
      <c r="L70" s="205"/>
      <c r="M70" s="205"/>
      <c r="N70" s="203"/>
      <c r="O70" s="200"/>
      <c r="P70" s="200"/>
      <c r="Q70" s="200"/>
    </row>
    <row r="71">
      <c r="A71" s="178" t="s">
        <v>516</v>
      </c>
      <c r="B71" s="200" t="s">
        <v>1323</v>
      </c>
      <c r="C71" s="200" t="s">
        <v>1324</v>
      </c>
      <c r="D71" s="199"/>
      <c r="E71" s="211" t="s">
        <v>1325</v>
      </c>
      <c r="F71" s="202" t="s">
        <v>1326</v>
      </c>
      <c r="G71" s="200" t="s">
        <v>1327</v>
      </c>
      <c r="H71" s="200">
        <v>25.0</v>
      </c>
      <c r="I71" s="200" t="s">
        <v>1328</v>
      </c>
      <c r="J71" s="199">
        <v>20.0</v>
      </c>
      <c r="K71" s="199" t="s">
        <v>1329</v>
      </c>
      <c r="L71" s="203" t="s">
        <v>1330</v>
      </c>
      <c r="M71" s="203" t="s">
        <v>1331</v>
      </c>
      <c r="N71" s="203" t="s">
        <v>1329</v>
      </c>
      <c r="O71" s="200"/>
      <c r="P71" s="200"/>
      <c r="Q71" s="200"/>
    </row>
    <row r="72">
      <c r="A72" s="28" t="s">
        <v>535</v>
      </c>
      <c r="B72" s="200" t="s">
        <v>1323</v>
      </c>
      <c r="C72" s="200" t="s">
        <v>1332</v>
      </c>
      <c r="D72" s="199"/>
      <c r="E72" s="211" t="s">
        <v>1325</v>
      </c>
      <c r="F72" s="202" t="s">
        <v>1333</v>
      </c>
      <c r="G72" s="200" t="s">
        <v>1327</v>
      </c>
      <c r="H72" s="200">
        <v>35.0</v>
      </c>
      <c r="I72" s="200" t="s">
        <v>1328</v>
      </c>
      <c r="J72" s="199">
        <v>20.0</v>
      </c>
      <c r="K72" s="199" t="s">
        <v>1334</v>
      </c>
      <c r="L72" s="203" t="s">
        <v>1335</v>
      </c>
      <c r="M72" s="203" t="s">
        <v>1336</v>
      </c>
      <c r="N72" s="203" t="s">
        <v>1334</v>
      </c>
      <c r="O72" s="200"/>
      <c r="P72" s="200"/>
      <c r="Q72" s="200"/>
    </row>
    <row r="73">
      <c r="A73" s="178" t="s">
        <v>544</v>
      </c>
      <c r="B73" s="200" t="s">
        <v>1323</v>
      </c>
      <c r="C73" s="200" t="s">
        <v>1337</v>
      </c>
      <c r="D73" s="199"/>
      <c r="E73" s="211" t="s">
        <v>1325</v>
      </c>
      <c r="F73" s="202" t="s">
        <v>1326</v>
      </c>
      <c r="G73" s="200" t="s">
        <v>1327</v>
      </c>
      <c r="H73" s="200">
        <v>25.0</v>
      </c>
      <c r="I73" s="200" t="s">
        <v>1338</v>
      </c>
      <c r="J73" s="199">
        <v>20.0</v>
      </c>
      <c r="K73" s="199" t="s">
        <v>1339</v>
      </c>
      <c r="L73" s="203" t="s">
        <v>1340</v>
      </c>
      <c r="M73" s="203" t="s">
        <v>1341</v>
      </c>
      <c r="N73" s="203" t="s">
        <v>1339</v>
      </c>
      <c r="O73" s="200"/>
      <c r="P73" s="204" t="s">
        <v>1342</v>
      </c>
      <c r="Q73" s="200"/>
    </row>
    <row r="74">
      <c r="A74" s="28" t="s">
        <v>555</v>
      </c>
      <c r="B74" s="200" t="s">
        <v>1323</v>
      </c>
      <c r="C74" s="200" t="s">
        <v>1343</v>
      </c>
      <c r="D74" s="199"/>
      <c r="E74" s="211" t="s">
        <v>1325</v>
      </c>
      <c r="F74" s="202" t="s">
        <v>1333</v>
      </c>
      <c r="G74" s="200" t="s">
        <v>1327</v>
      </c>
      <c r="H74" s="200">
        <v>35.0</v>
      </c>
      <c r="I74" s="200" t="s">
        <v>1338</v>
      </c>
      <c r="J74" s="199">
        <v>20.0</v>
      </c>
      <c r="K74" s="199" t="s">
        <v>1344</v>
      </c>
      <c r="L74" s="203" t="s">
        <v>1345</v>
      </c>
      <c r="M74" s="203" t="s">
        <v>1346</v>
      </c>
      <c r="N74" s="203" t="s">
        <v>1344</v>
      </c>
      <c r="O74" s="199"/>
      <c r="P74" s="199"/>
      <c r="Q74" s="199"/>
    </row>
    <row r="75">
      <c r="A75" s="178" t="s">
        <v>566</v>
      </c>
      <c r="B75" s="200" t="s">
        <v>1323</v>
      </c>
      <c r="C75" s="200" t="s">
        <v>1347</v>
      </c>
      <c r="D75" s="199"/>
      <c r="E75" s="211" t="s">
        <v>1325</v>
      </c>
      <c r="F75" s="202" t="s">
        <v>1326</v>
      </c>
      <c r="G75" s="200" t="s">
        <v>1327</v>
      </c>
      <c r="H75" s="200">
        <v>25.0</v>
      </c>
      <c r="I75" s="200" t="s">
        <v>1348</v>
      </c>
      <c r="J75" s="199">
        <v>20.0</v>
      </c>
      <c r="K75" s="199" t="s">
        <v>1349</v>
      </c>
      <c r="L75" s="203" t="s">
        <v>1350</v>
      </c>
      <c r="M75" s="203" t="s">
        <v>1351</v>
      </c>
      <c r="N75" s="205" t="s">
        <v>1349</v>
      </c>
      <c r="O75" s="200"/>
      <c r="P75" s="200"/>
      <c r="Q75" s="200"/>
    </row>
    <row r="76">
      <c r="A76" s="28" t="s">
        <v>576</v>
      </c>
      <c r="B76" s="200" t="s">
        <v>1323</v>
      </c>
      <c r="C76" s="200" t="s">
        <v>1352</v>
      </c>
      <c r="D76" s="199"/>
      <c r="E76" s="211" t="s">
        <v>1325</v>
      </c>
      <c r="F76" s="202" t="s">
        <v>1333</v>
      </c>
      <c r="G76" s="200" t="s">
        <v>1327</v>
      </c>
      <c r="H76" s="200">
        <v>35.0</v>
      </c>
      <c r="I76" s="200" t="s">
        <v>1348</v>
      </c>
      <c r="J76" s="199">
        <v>20.0</v>
      </c>
      <c r="K76" s="199" t="s">
        <v>1353</v>
      </c>
      <c r="L76" s="203" t="s">
        <v>1354</v>
      </c>
      <c r="M76" s="203" t="s">
        <v>1355</v>
      </c>
      <c r="N76" s="203" t="s">
        <v>1353</v>
      </c>
      <c r="O76" s="207"/>
      <c r="P76" s="207"/>
      <c r="Q76" s="207"/>
    </row>
    <row r="77">
      <c r="A77" s="200" t="s">
        <v>582</v>
      </c>
      <c r="B77" s="200"/>
      <c r="C77" s="200"/>
      <c r="D77" s="200"/>
      <c r="E77" s="199"/>
      <c r="F77" s="200"/>
      <c r="G77" s="200"/>
      <c r="H77" s="200"/>
      <c r="I77" s="200"/>
      <c r="J77" s="199"/>
      <c r="K77" s="199"/>
      <c r="L77" s="203"/>
      <c r="M77" s="203"/>
      <c r="N77" s="205"/>
      <c r="O77" s="209"/>
      <c r="P77" s="209"/>
      <c r="Q77" s="209"/>
    </row>
    <row r="78">
      <c r="A78" s="178" t="s">
        <v>585</v>
      </c>
      <c r="B78" s="209"/>
      <c r="C78" s="209"/>
      <c r="D78" s="209"/>
      <c r="E78" s="209"/>
      <c r="F78" s="209"/>
      <c r="G78" s="209"/>
      <c r="H78" s="209"/>
      <c r="I78" s="209"/>
      <c r="J78" s="209"/>
      <c r="K78" s="209"/>
      <c r="L78" s="205"/>
      <c r="M78" s="205"/>
      <c r="N78" s="205"/>
      <c r="O78" s="209"/>
      <c r="P78" s="209"/>
      <c r="Q78" s="209"/>
    </row>
    <row r="79">
      <c r="A79" s="28" t="s">
        <v>587</v>
      </c>
      <c r="B79" s="199"/>
      <c r="C79" s="199"/>
      <c r="D79" s="199"/>
      <c r="E79" s="199"/>
      <c r="F79" s="199"/>
      <c r="G79" s="199"/>
      <c r="H79" s="199"/>
      <c r="I79" s="199"/>
      <c r="J79" s="199"/>
      <c r="K79" s="199"/>
      <c r="L79" s="203"/>
      <c r="M79" s="203"/>
      <c r="N79" s="210"/>
      <c r="O79" s="199"/>
      <c r="P79" s="199"/>
      <c r="Q79" s="199"/>
    </row>
    <row r="80">
      <c r="A80" s="28" t="s">
        <v>589</v>
      </c>
      <c r="B80" s="200"/>
      <c r="C80" s="200"/>
      <c r="D80" s="200"/>
      <c r="E80" s="200"/>
      <c r="F80" s="202"/>
      <c r="G80" s="200"/>
      <c r="H80" s="200"/>
      <c r="I80" s="200"/>
      <c r="J80" s="199"/>
      <c r="K80" s="199"/>
      <c r="L80" s="203"/>
      <c r="M80" s="203"/>
      <c r="N80" s="203"/>
      <c r="O80" s="209"/>
      <c r="P80" s="209"/>
      <c r="Q80" s="209"/>
    </row>
    <row r="81">
      <c r="A81" s="28" t="s">
        <v>596</v>
      </c>
      <c r="B81" s="200"/>
      <c r="C81" s="200"/>
      <c r="D81" s="200"/>
      <c r="E81" s="200"/>
      <c r="F81" s="202"/>
      <c r="G81" s="200"/>
      <c r="H81" s="200"/>
      <c r="I81" s="200"/>
      <c r="J81" s="199"/>
      <c r="K81" s="199"/>
      <c r="L81" s="203"/>
      <c r="M81" s="203"/>
      <c r="N81" s="203"/>
      <c r="O81" s="209"/>
      <c r="P81" s="209"/>
      <c r="Q81" s="209"/>
    </row>
    <row r="82">
      <c r="A82" s="200" t="s">
        <v>599</v>
      </c>
      <c r="B82" s="200"/>
      <c r="C82" s="200"/>
      <c r="D82" s="200"/>
      <c r="E82" s="200"/>
      <c r="F82" s="200"/>
      <c r="G82" s="200"/>
      <c r="H82" s="200"/>
      <c r="I82" s="199"/>
      <c r="J82" s="199"/>
      <c r="K82" s="199"/>
      <c r="L82" s="203"/>
      <c r="M82" s="203"/>
      <c r="N82" s="203"/>
      <c r="O82" s="200"/>
      <c r="P82" s="200"/>
      <c r="Q82" s="200"/>
    </row>
    <row r="83">
      <c r="A83" s="28" t="s">
        <v>606</v>
      </c>
      <c r="B83" s="209"/>
      <c r="C83" s="209"/>
      <c r="D83" s="209"/>
      <c r="E83" s="209"/>
      <c r="F83" s="209"/>
      <c r="G83" s="209"/>
      <c r="H83" s="209"/>
      <c r="I83" s="209"/>
      <c r="J83" s="209"/>
      <c r="K83" s="209"/>
      <c r="L83" s="205"/>
      <c r="M83" s="205"/>
      <c r="N83" s="203"/>
      <c r="O83" s="200"/>
      <c r="P83" s="200"/>
      <c r="Q83" s="200"/>
    </row>
    <row r="84">
      <c r="A84" s="28" t="s">
        <v>607</v>
      </c>
      <c r="B84" s="208"/>
      <c r="C84" s="208"/>
      <c r="D84" s="208"/>
      <c r="E84" s="208"/>
      <c r="F84" s="208"/>
      <c r="G84" s="208"/>
      <c r="H84" s="200"/>
      <c r="I84" s="200"/>
      <c r="J84" s="209"/>
      <c r="K84" s="209"/>
      <c r="L84" s="210"/>
      <c r="M84" s="210"/>
      <c r="N84" s="203"/>
      <c r="O84" s="200"/>
      <c r="P84" s="200"/>
      <c r="Q84" s="200"/>
    </row>
    <row r="85">
      <c r="A85" s="28" t="s">
        <v>614</v>
      </c>
      <c r="B85" s="209"/>
      <c r="C85" s="209"/>
      <c r="D85" s="209"/>
      <c r="E85" s="209"/>
      <c r="F85" s="209"/>
      <c r="G85" s="209"/>
      <c r="H85" s="209"/>
      <c r="I85" s="209"/>
      <c r="J85" s="209"/>
      <c r="K85" s="209"/>
      <c r="L85" s="205"/>
      <c r="M85" s="205"/>
      <c r="N85" s="203"/>
      <c r="O85" s="199"/>
      <c r="P85" s="199"/>
      <c r="Q85" s="199"/>
    </row>
    <row r="86">
      <c r="A86" s="11" t="s">
        <v>618</v>
      </c>
      <c r="B86" s="209"/>
      <c r="C86" s="209"/>
      <c r="D86" s="209"/>
      <c r="E86" s="209"/>
      <c r="F86" s="209"/>
      <c r="G86" s="209"/>
      <c r="H86" s="209"/>
      <c r="I86" s="209"/>
      <c r="J86" s="209"/>
      <c r="K86" s="209"/>
      <c r="L86" s="205"/>
      <c r="M86" s="205"/>
      <c r="N86" s="203"/>
      <c r="O86" s="199"/>
      <c r="P86" s="199"/>
      <c r="Q86" s="199"/>
    </row>
    <row r="87">
      <c r="A87" s="11" t="s">
        <v>622</v>
      </c>
      <c r="B87" s="209"/>
      <c r="C87" s="209"/>
      <c r="D87" s="209"/>
      <c r="E87" s="209"/>
      <c r="F87" s="209"/>
      <c r="G87" s="209"/>
      <c r="H87" s="209"/>
      <c r="I87" s="209"/>
      <c r="J87" s="209"/>
      <c r="K87" s="209"/>
      <c r="L87" s="205"/>
      <c r="M87" s="205"/>
      <c r="N87" s="203"/>
      <c r="O87" s="199"/>
      <c r="P87" s="199"/>
      <c r="Q87" s="199"/>
    </row>
    <row r="88">
      <c r="A88" s="28" t="s">
        <v>624</v>
      </c>
      <c r="B88" s="208"/>
      <c r="C88" s="208"/>
      <c r="D88" s="208"/>
      <c r="E88" s="208"/>
      <c r="F88" s="208"/>
      <c r="G88" s="208"/>
      <c r="H88" s="209"/>
      <c r="I88" s="209"/>
      <c r="J88" s="209"/>
      <c r="K88" s="209"/>
      <c r="L88" s="210"/>
      <c r="M88" s="210"/>
      <c r="N88" s="203"/>
      <c r="O88" s="199"/>
      <c r="P88" s="199"/>
      <c r="Q88" s="199"/>
    </row>
    <row r="89">
      <c r="A89" s="11" t="s">
        <v>626</v>
      </c>
      <c r="B89" s="209"/>
      <c r="C89" s="209"/>
      <c r="D89" s="209"/>
      <c r="E89" s="209"/>
      <c r="F89" s="209"/>
      <c r="G89" s="209"/>
      <c r="H89" s="209"/>
      <c r="I89" s="209"/>
      <c r="J89" s="209"/>
      <c r="K89" s="209"/>
      <c r="L89" s="205"/>
      <c r="M89" s="205"/>
      <c r="N89" s="203"/>
      <c r="O89" s="199"/>
      <c r="P89" s="199"/>
      <c r="Q89" s="199"/>
    </row>
    <row r="90">
      <c r="A90" s="178" t="s">
        <v>628</v>
      </c>
      <c r="B90" s="209"/>
      <c r="C90" s="209"/>
      <c r="D90" s="209"/>
      <c r="E90" s="209"/>
      <c r="F90" s="209"/>
      <c r="G90" s="209"/>
      <c r="H90" s="209"/>
      <c r="I90" s="209"/>
      <c r="J90" s="209"/>
      <c r="K90" s="209"/>
      <c r="L90" s="205"/>
      <c r="M90" s="205"/>
      <c r="N90" s="203"/>
      <c r="O90" s="199"/>
      <c r="P90" s="199"/>
      <c r="Q90" s="199"/>
    </row>
    <row r="91">
      <c r="A91" s="200" t="s">
        <v>629</v>
      </c>
      <c r="B91" s="200"/>
      <c r="C91" s="200"/>
      <c r="D91" s="200"/>
      <c r="E91" s="200"/>
      <c r="F91" s="200"/>
      <c r="G91" s="200"/>
      <c r="H91" s="200"/>
      <c r="I91" s="199"/>
      <c r="J91" s="199"/>
      <c r="K91" s="199"/>
      <c r="L91" s="203"/>
      <c r="M91" s="203"/>
      <c r="N91" s="203"/>
      <c r="O91" s="199"/>
      <c r="P91" s="199"/>
      <c r="Q91" s="199"/>
    </row>
    <row r="92">
      <c r="A92" s="178" t="s">
        <v>631</v>
      </c>
      <c r="B92" s="208" t="s">
        <v>1356</v>
      </c>
      <c r="C92" s="208" t="s">
        <v>1357</v>
      </c>
      <c r="D92" s="208" t="s">
        <v>1358</v>
      </c>
      <c r="E92" s="208" t="s">
        <v>1359</v>
      </c>
      <c r="F92" s="208" t="s">
        <v>1360</v>
      </c>
      <c r="G92" s="200" t="s">
        <v>1166</v>
      </c>
      <c r="H92" s="209"/>
      <c r="I92" s="209"/>
      <c r="J92" s="209"/>
      <c r="K92" s="209" t="s">
        <v>1361</v>
      </c>
      <c r="L92" s="205" t="s">
        <v>1362</v>
      </c>
      <c r="M92" s="205" t="s">
        <v>1361</v>
      </c>
      <c r="N92" s="203" t="s">
        <v>1361</v>
      </c>
      <c r="O92" s="199"/>
      <c r="P92" s="199"/>
      <c r="Q92" s="199"/>
    </row>
    <row r="93">
      <c r="A93" s="28" t="s">
        <v>636</v>
      </c>
      <c r="B93" s="208"/>
      <c r="C93" s="208"/>
      <c r="D93" s="208"/>
      <c r="E93" s="208"/>
      <c r="F93" s="208"/>
      <c r="G93" s="208"/>
      <c r="H93" s="200"/>
      <c r="I93" s="200"/>
      <c r="J93" s="209"/>
      <c r="K93" s="209"/>
      <c r="L93" s="210"/>
      <c r="M93" s="210"/>
      <c r="N93" s="203"/>
      <c r="O93" s="199"/>
      <c r="P93" s="199"/>
      <c r="Q93" s="199"/>
    </row>
    <row r="94">
      <c r="A94" s="28" t="s">
        <v>637</v>
      </c>
      <c r="B94" s="208"/>
      <c r="C94" s="208"/>
      <c r="D94" s="209"/>
      <c r="E94" s="209"/>
      <c r="F94" s="209"/>
      <c r="G94" s="209"/>
      <c r="H94" s="209"/>
      <c r="I94" s="209"/>
      <c r="J94" s="209"/>
      <c r="K94" s="209"/>
      <c r="L94" s="205"/>
      <c r="M94" s="205"/>
      <c r="N94" s="203"/>
      <c r="O94" s="199"/>
      <c r="P94" s="199"/>
      <c r="Q94" s="199"/>
    </row>
    <row r="95">
      <c r="A95" s="28" t="s">
        <v>643</v>
      </c>
      <c r="B95" s="208"/>
      <c r="C95" s="208"/>
      <c r="D95" s="209"/>
      <c r="E95" s="209"/>
      <c r="F95" s="209"/>
      <c r="G95" s="209"/>
      <c r="H95" s="209"/>
      <c r="I95" s="209"/>
      <c r="J95" s="209"/>
      <c r="K95" s="209"/>
      <c r="L95" s="205"/>
      <c r="M95" s="205"/>
      <c r="N95" s="203"/>
      <c r="O95" s="199"/>
      <c r="P95" s="199"/>
      <c r="Q95" s="199"/>
    </row>
    <row r="96">
      <c r="A96" s="28" t="s">
        <v>646</v>
      </c>
      <c r="B96" s="208" t="s">
        <v>649</v>
      </c>
      <c r="C96" s="208" t="s">
        <v>1363</v>
      </c>
      <c r="D96" s="209"/>
      <c r="E96" s="209"/>
      <c r="F96" s="209"/>
      <c r="G96" s="209"/>
      <c r="H96" s="209"/>
      <c r="I96" s="209"/>
      <c r="J96" s="209"/>
      <c r="K96" s="209"/>
      <c r="L96" s="205"/>
      <c r="M96" s="205"/>
      <c r="N96" s="203"/>
      <c r="O96" s="199"/>
      <c r="P96" s="199"/>
      <c r="Q96" s="199"/>
    </row>
    <row r="97">
      <c r="A97" s="28" t="s">
        <v>650</v>
      </c>
      <c r="B97" s="208" t="s">
        <v>1364</v>
      </c>
      <c r="C97" s="208" t="s">
        <v>1365</v>
      </c>
      <c r="D97" s="208" t="s">
        <v>1366</v>
      </c>
      <c r="E97" s="208" t="s">
        <v>1367</v>
      </c>
      <c r="F97" s="208" t="s">
        <v>1368</v>
      </c>
      <c r="G97" s="208" t="s">
        <v>1369</v>
      </c>
      <c r="H97" s="200">
        <v>1.0</v>
      </c>
      <c r="I97" s="200" t="s">
        <v>1370</v>
      </c>
      <c r="J97" s="209">
        <v>20.0</v>
      </c>
      <c r="K97" s="209" t="s">
        <v>1371</v>
      </c>
      <c r="L97" s="210" t="s">
        <v>1372</v>
      </c>
      <c r="M97" s="210" t="s">
        <v>1373</v>
      </c>
      <c r="N97" s="203" t="s">
        <v>1371</v>
      </c>
      <c r="O97" s="199"/>
      <c r="P97" s="199"/>
      <c r="Q97" s="199"/>
    </row>
    <row r="98">
      <c r="A98" s="28" t="s">
        <v>660</v>
      </c>
      <c r="B98" s="208"/>
      <c r="C98" s="208"/>
      <c r="D98" s="200"/>
      <c r="E98" s="200"/>
      <c r="F98" s="199"/>
      <c r="G98" s="208"/>
      <c r="H98" s="200"/>
      <c r="I98" s="200"/>
      <c r="J98" s="199"/>
      <c r="K98" s="199"/>
      <c r="L98" s="203"/>
      <c r="M98" s="203"/>
      <c r="N98" s="203"/>
      <c r="O98" s="199"/>
      <c r="P98" s="199"/>
      <c r="Q98" s="199"/>
    </row>
    <row r="99">
      <c r="A99" s="200" t="s">
        <v>665</v>
      </c>
      <c r="B99" s="208"/>
      <c r="C99" s="208"/>
      <c r="D99" s="200"/>
      <c r="E99" s="200"/>
      <c r="F99" s="199"/>
      <c r="G99" s="208"/>
      <c r="H99" s="200"/>
      <c r="I99" s="200"/>
      <c r="J99" s="199"/>
      <c r="K99" s="199"/>
      <c r="L99" s="203"/>
      <c r="M99" s="203"/>
      <c r="N99" s="203"/>
      <c r="O99" s="199"/>
      <c r="P99" s="199"/>
      <c r="Q99" s="199"/>
    </row>
    <row r="100">
      <c r="A100" s="200" t="s">
        <v>666</v>
      </c>
      <c r="B100" s="208"/>
      <c r="C100" s="208"/>
      <c r="D100" s="200"/>
      <c r="E100" s="200"/>
      <c r="F100" s="199"/>
      <c r="G100" s="208"/>
      <c r="H100" s="200"/>
      <c r="I100" s="200"/>
      <c r="J100" s="199"/>
      <c r="K100" s="199"/>
      <c r="L100" s="203"/>
      <c r="M100" s="203"/>
      <c r="N100" s="203"/>
      <c r="O100" s="199"/>
      <c r="P100" s="199"/>
      <c r="Q100" s="199"/>
    </row>
    <row r="101">
      <c r="A101" s="200" t="s">
        <v>1374</v>
      </c>
      <c r="B101" s="208" t="s">
        <v>1364</v>
      </c>
      <c r="C101" s="208" t="s">
        <v>1375</v>
      </c>
      <c r="D101" s="200" t="s">
        <v>1376</v>
      </c>
      <c r="E101" s="200" t="s">
        <v>1377</v>
      </c>
      <c r="F101" s="199"/>
      <c r="G101" s="208" t="s">
        <v>1369</v>
      </c>
      <c r="H101" s="200">
        <v>1.0</v>
      </c>
      <c r="I101" s="200" t="s">
        <v>1370</v>
      </c>
      <c r="J101" s="199">
        <v>20.0</v>
      </c>
      <c r="K101" s="199" t="s">
        <v>1378</v>
      </c>
      <c r="L101" s="203" t="s">
        <v>1378</v>
      </c>
      <c r="M101" s="203" t="s">
        <v>1378</v>
      </c>
      <c r="N101" s="203" t="s">
        <v>1378</v>
      </c>
      <c r="O101" s="199"/>
      <c r="P101" s="199"/>
      <c r="Q101" s="199"/>
    </row>
    <row r="102">
      <c r="A102" s="200" t="s">
        <v>669</v>
      </c>
      <c r="B102" s="208" t="s">
        <v>1364</v>
      </c>
      <c r="C102" s="208" t="s">
        <v>1375</v>
      </c>
      <c r="D102" s="200" t="s">
        <v>1376</v>
      </c>
      <c r="E102" s="200" t="s">
        <v>1377</v>
      </c>
      <c r="F102" s="199"/>
      <c r="G102" s="208" t="s">
        <v>1369</v>
      </c>
      <c r="H102" s="200">
        <v>1.0</v>
      </c>
      <c r="I102" s="200" t="s">
        <v>1370</v>
      </c>
      <c r="J102" s="199">
        <v>20.0</v>
      </c>
      <c r="K102" s="199" t="s">
        <v>1378</v>
      </c>
      <c r="L102" s="203" t="s">
        <v>1378</v>
      </c>
      <c r="M102" s="203" t="s">
        <v>1378</v>
      </c>
      <c r="N102" s="203" t="s">
        <v>1378</v>
      </c>
      <c r="O102" s="199"/>
      <c r="P102" s="199"/>
      <c r="Q102" s="199"/>
    </row>
    <row r="103">
      <c r="A103" s="200" t="s">
        <v>1379</v>
      </c>
      <c r="B103" s="208" t="s">
        <v>1364</v>
      </c>
      <c r="C103" s="208" t="s">
        <v>1375</v>
      </c>
      <c r="D103" s="200" t="s">
        <v>1376</v>
      </c>
      <c r="E103" s="200" t="s">
        <v>1377</v>
      </c>
      <c r="F103" s="199"/>
      <c r="G103" s="208" t="s">
        <v>1369</v>
      </c>
      <c r="H103" s="200">
        <v>1.0</v>
      </c>
      <c r="I103" s="200" t="s">
        <v>1370</v>
      </c>
      <c r="J103" s="199">
        <v>20.0</v>
      </c>
      <c r="K103" s="199" t="s">
        <v>1378</v>
      </c>
      <c r="L103" s="203" t="s">
        <v>1378</v>
      </c>
      <c r="M103" s="203" t="s">
        <v>1378</v>
      </c>
      <c r="N103" s="203" t="s">
        <v>1378</v>
      </c>
      <c r="O103" s="199"/>
      <c r="P103" s="199"/>
      <c r="Q103" s="199"/>
    </row>
    <row r="104">
      <c r="A104" s="200" t="s">
        <v>679</v>
      </c>
      <c r="B104" s="208"/>
      <c r="C104" s="208"/>
      <c r="D104" s="200"/>
      <c r="E104" s="200"/>
      <c r="F104" s="199"/>
      <c r="G104" s="208"/>
      <c r="H104" s="200"/>
      <c r="I104" s="200"/>
      <c r="J104" s="199"/>
      <c r="K104" s="199"/>
      <c r="L104" s="203"/>
      <c r="M104" s="203"/>
      <c r="N104" s="203"/>
      <c r="O104" s="199"/>
      <c r="P104" s="199"/>
      <c r="Q104" s="199"/>
    </row>
    <row r="105">
      <c r="A105" s="200" t="s">
        <v>680</v>
      </c>
      <c r="B105" s="208"/>
      <c r="C105" s="208"/>
      <c r="D105" s="200"/>
      <c r="E105" s="200"/>
      <c r="F105" s="199"/>
      <c r="G105" s="208"/>
      <c r="H105" s="200"/>
      <c r="I105" s="200"/>
      <c r="J105" s="199"/>
      <c r="K105" s="199"/>
      <c r="L105" s="203"/>
      <c r="M105" s="203"/>
      <c r="N105" s="203"/>
      <c r="O105" s="199"/>
      <c r="P105" s="199"/>
      <c r="Q105" s="199"/>
    </row>
    <row r="106">
      <c r="A106" s="178" t="s">
        <v>681</v>
      </c>
      <c r="B106" s="199" t="s">
        <v>1380</v>
      </c>
      <c r="C106" s="199" t="s">
        <v>1381</v>
      </c>
      <c r="D106" s="199" t="s">
        <v>1382</v>
      </c>
      <c r="E106" s="199"/>
      <c r="F106" s="199" t="s">
        <v>1383</v>
      </c>
      <c r="G106" s="200" t="s">
        <v>1384</v>
      </c>
      <c r="H106" s="199"/>
      <c r="I106" s="199"/>
      <c r="J106" s="199"/>
      <c r="K106" s="199" t="s">
        <v>1385</v>
      </c>
      <c r="L106" s="203" t="s">
        <v>1385</v>
      </c>
      <c r="M106" s="203" t="s">
        <v>1385</v>
      </c>
      <c r="N106" s="203" t="s">
        <v>1385</v>
      </c>
      <c r="O106" s="199"/>
      <c r="P106" s="199"/>
      <c r="Q106" s="199"/>
    </row>
    <row r="107">
      <c r="A107" s="200" t="s">
        <v>682</v>
      </c>
      <c r="B107" s="200" t="s">
        <v>1386</v>
      </c>
      <c r="C107" s="200" t="s">
        <v>1387</v>
      </c>
      <c r="D107" s="200" t="s">
        <v>1388</v>
      </c>
      <c r="E107" s="200" t="s">
        <v>1389</v>
      </c>
      <c r="F107" s="200" t="s">
        <v>1390</v>
      </c>
      <c r="G107" s="200" t="s">
        <v>1166</v>
      </c>
      <c r="H107" s="200">
        <v>5.0</v>
      </c>
      <c r="I107" s="199"/>
      <c r="J107" s="199"/>
      <c r="K107" s="199" t="s">
        <v>1391</v>
      </c>
      <c r="L107" s="203" t="s">
        <v>1392</v>
      </c>
      <c r="M107" s="203" t="s">
        <v>1391</v>
      </c>
      <c r="N107" s="203" t="s">
        <v>1391</v>
      </c>
      <c r="O107" s="199"/>
      <c r="P107" s="199"/>
      <c r="Q107" s="199"/>
    </row>
    <row r="108">
      <c r="A108" s="200" t="s">
        <v>693</v>
      </c>
      <c r="B108" s="200"/>
      <c r="C108" s="200"/>
      <c r="D108" s="200"/>
      <c r="E108" s="200"/>
      <c r="F108" s="200"/>
      <c r="G108" s="200"/>
      <c r="H108" s="200"/>
      <c r="I108" s="199"/>
      <c r="J108" s="199"/>
      <c r="K108" s="199"/>
      <c r="L108" s="203"/>
      <c r="M108" s="203"/>
      <c r="N108" s="203"/>
      <c r="O108" s="199"/>
      <c r="P108" s="199"/>
      <c r="Q108" s="199"/>
    </row>
    <row r="109">
      <c r="A109" s="200" t="s">
        <v>695</v>
      </c>
      <c r="B109" s="200"/>
      <c r="C109" s="200"/>
      <c r="D109" s="200"/>
      <c r="E109" s="200"/>
      <c r="F109" s="200"/>
      <c r="G109" s="200"/>
      <c r="H109" s="200"/>
      <c r="I109" s="199"/>
      <c r="J109" s="199"/>
      <c r="K109" s="199"/>
      <c r="L109" s="203"/>
      <c r="M109" s="203"/>
      <c r="N109" s="203"/>
      <c r="O109" s="199"/>
      <c r="P109" s="199"/>
      <c r="Q109" s="199"/>
    </row>
    <row r="110">
      <c r="A110" s="28" t="s">
        <v>698</v>
      </c>
      <c r="B110" s="208"/>
      <c r="C110" s="208"/>
      <c r="D110" s="200"/>
      <c r="E110" s="200"/>
      <c r="F110" s="199"/>
      <c r="G110" s="208"/>
      <c r="H110" s="200"/>
      <c r="I110" s="200"/>
      <c r="J110" s="199"/>
      <c r="K110" s="199"/>
      <c r="L110" s="203"/>
      <c r="M110" s="203"/>
      <c r="N110" s="203"/>
      <c r="O110" s="199"/>
      <c r="P110" s="199"/>
      <c r="Q110" s="199"/>
    </row>
    <row r="111">
      <c r="A111" s="28" t="s">
        <v>699</v>
      </c>
      <c r="B111" s="208"/>
      <c r="C111" s="208"/>
      <c r="D111" s="200"/>
      <c r="E111" s="200"/>
      <c r="F111" s="199"/>
      <c r="G111" s="208"/>
      <c r="H111" s="200"/>
      <c r="I111" s="200"/>
      <c r="J111" s="199"/>
      <c r="K111" s="199"/>
      <c r="L111" s="203"/>
      <c r="M111" s="203"/>
      <c r="N111" s="203"/>
      <c r="O111" s="199"/>
      <c r="P111" s="199"/>
      <c r="Q111" s="199"/>
    </row>
    <row r="112">
      <c r="A112" s="200" t="s">
        <v>700</v>
      </c>
      <c r="B112" s="208"/>
      <c r="C112" s="208"/>
      <c r="D112" s="200"/>
      <c r="E112" s="200"/>
      <c r="F112" s="199"/>
      <c r="G112" s="208"/>
      <c r="H112" s="200"/>
      <c r="I112" s="200"/>
      <c r="J112" s="199"/>
      <c r="K112" s="199"/>
      <c r="L112" s="203"/>
      <c r="M112" s="203"/>
      <c r="N112" s="203"/>
      <c r="O112" s="199"/>
      <c r="P112" s="199"/>
      <c r="Q112" s="199"/>
    </row>
    <row r="113">
      <c r="A113" s="200" t="s">
        <v>701</v>
      </c>
      <c r="B113" s="208"/>
      <c r="C113" s="208"/>
      <c r="D113" s="200"/>
      <c r="E113" s="200"/>
      <c r="F113" s="199"/>
      <c r="G113" s="208"/>
      <c r="H113" s="200"/>
      <c r="I113" s="200"/>
      <c r="J113" s="199"/>
      <c r="K113" s="199"/>
      <c r="L113" s="203"/>
      <c r="M113" s="203"/>
      <c r="N113" s="203"/>
      <c r="O113" s="199"/>
      <c r="P113" s="199"/>
      <c r="Q113" s="199"/>
    </row>
    <row r="114">
      <c r="A114" s="200" t="s">
        <v>702</v>
      </c>
      <c r="B114" s="208"/>
      <c r="C114" s="208"/>
      <c r="D114" s="200"/>
      <c r="E114" s="200"/>
      <c r="F114" s="199"/>
      <c r="G114" s="208"/>
      <c r="H114" s="200"/>
      <c r="I114" s="200"/>
      <c r="J114" s="199"/>
      <c r="K114" s="199"/>
      <c r="L114" s="203"/>
      <c r="M114" s="203"/>
      <c r="N114" s="203"/>
      <c r="O114" s="199"/>
      <c r="P114" s="199"/>
      <c r="Q114" s="199"/>
    </row>
    <row r="115">
      <c r="A115" s="200" t="s">
        <v>703</v>
      </c>
      <c r="B115" s="208"/>
      <c r="C115" s="208"/>
      <c r="D115" s="200"/>
      <c r="E115" s="200"/>
      <c r="F115" s="199"/>
      <c r="G115" s="208"/>
      <c r="H115" s="200"/>
      <c r="I115" s="200"/>
      <c r="J115" s="199"/>
      <c r="K115" s="199"/>
      <c r="L115" s="203"/>
      <c r="M115" s="203"/>
      <c r="N115" s="203"/>
      <c r="O115" s="199"/>
      <c r="P115" s="199"/>
      <c r="Q115" s="199"/>
    </row>
    <row r="116">
      <c r="A116" s="200" t="s">
        <v>704</v>
      </c>
      <c r="B116" s="208"/>
      <c r="C116" s="208"/>
      <c r="D116" s="200"/>
      <c r="E116" s="200"/>
      <c r="F116" s="199"/>
      <c r="G116" s="208"/>
      <c r="H116" s="200"/>
      <c r="I116" s="200"/>
      <c r="J116" s="199"/>
      <c r="K116" s="199"/>
      <c r="L116" s="203"/>
      <c r="M116" s="203"/>
      <c r="N116" s="203"/>
      <c r="O116" s="199"/>
      <c r="P116" s="199"/>
      <c r="Q116" s="199"/>
    </row>
    <row r="117">
      <c r="A117" s="28" t="s">
        <v>705</v>
      </c>
      <c r="B117" s="199"/>
      <c r="C117" s="199"/>
      <c r="D117" s="199"/>
      <c r="E117" s="199"/>
      <c r="F117" s="199"/>
      <c r="G117" s="199"/>
      <c r="H117" s="199"/>
      <c r="I117" s="199"/>
      <c r="J117" s="199"/>
      <c r="K117" s="199"/>
      <c r="L117" s="203"/>
      <c r="M117" s="203"/>
      <c r="N117" s="203"/>
      <c r="O117" s="199"/>
      <c r="P117" s="199"/>
      <c r="Q117" s="199"/>
    </row>
    <row r="118">
      <c r="A118" s="36" t="s">
        <v>1009</v>
      </c>
      <c r="B118" s="199"/>
      <c r="C118" s="199"/>
      <c r="D118" s="199"/>
      <c r="E118" s="199"/>
      <c r="F118" s="199"/>
      <c r="G118" s="199"/>
      <c r="H118" s="199"/>
      <c r="I118" s="199"/>
      <c r="J118" s="199"/>
      <c r="K118" s="199"/>
      <c r="L118" s="203"/>
      <c r="M118" s="203"/>
      <c r="N118" s="203"/>
      <c r="O118" s="199"/>
      <c r="P118" s="199"/>
      <c r="Q118" s="199"/>
    </row>
    <row r="119">
      <c r="A119" s="28" t="s">
        <v>707</v>
      </c>
      <c r="B119" s="200" t="s">
        <v>1393</v>
      </c>
      <c r="C119" s="200" t="s">
        <v>1394</v>
      </c>
      <c r="D119" s="200" t="s">
        <v>1395</v>
      </c>
      <c r="E119" s="200" t="s">
        <v>1396</v>
      </c>
      <c r="F119" s="200" t="s">
        <v>1397</v>
      </c>
      <c r="G119" s="200" t="s">
        <v>1135</v>
      </c>
      <c r="H119" s="200">
        <v>2.0</v>
      </c>
      <c r="I119" s="199"/>
      <c r="J119" s="199"/>
      <c r="K119" s="199" t="s">
        <v>1398</v>
      </c>
      <c r="L119" s="203" t="s">
        <v>1399</v>
      </c>
      <c r="M119" s="203" t="s">
        <v>1398</v>
      </c>
      <c r="N119" s="203" t="s">
        <v>1398</v>
      </c>
      <c r="O119" s="199"/>
      <c r="P119" s="199"/>
      <c r="Q119" s="199"/>
    </row>
    <row r="120">
      <c r="A120" s="28" t="s">
        <v>713</v>
      </c>
      <c r="B120" s="200" t="s">
        <v>1393</v>
      </c>
      <c r="C120" s="200" t="s">
        <v>1400</v>
      </c>
      <c r="D120" s="200" t="s">
        <v>1395</v>
      </c>
      <c r="E120" s="200" t="s">
        <v>1396</v>
      </c>
      <c r="F120" s="200" t="s">
        <v>1401</v>
      </c>
      <c r="G120" s="200" t="s">
        <v>1135</v>
      </c>
      <c r="H120" s="200">
        <v>2.0</v>
      </c>
      <c r="I120" s="199"/>
      <c r="J120" s="199"/>
      <c r="K120" s="199" t="s">
        <v>1402</v>
      </c>
      <c r="L120" s="203" t="s">
        <v>1403</v>
      </c>
      <c r="M120" s="203" t="s">
        <v>1402</v>
      </c>
      <c r="N120" s="203" t="s">
        <v>1402</v>
      </c>
      <c r="O120" s="199"/>
      <c r="P120" s="199"/>
      <c r="Q120" s="199"/>
    </row>
    <row r="121">
      <c r="A121" s="200" t="s">
        <v>714</v>
      </c>
      <c r="B121" s="200"/>
      <c r="C121" s="200"/>
      <c r="D121" s="200"/>
      <c r="E121" s="199"/>
      <c r="F121" s="200"/>
      <c r="G121" s="200"/>
      <c r="H121" s="200"/>
      <c r="I121" s="200"/>
      <c r="J121" s="199"/>
      <c r="K121" s="199"/>
      <c r="L121" s="203"/>
      <c r="M121" s="203"/>
      <c r="N121" s="203"/>
      <c r="O121" s="199"/>
      <c r="P121" s="199"/>
      <c r="Q121" s="199"/>
    </row>
    <row r="122">
      <c r="A122" s="200" t="s">
        <v>717</v>
      </c>
      <c r="B122" s="200"/>
      <c r="C122" s="200"/>
      <c r="D122" s="200"/>
      <c r="E122" s="200"/>
      <c r="F122" s="200"/>
      <c r="G122" s="200"/>
      <c r="H122" s="200"/>
      <c r="I122" s="199"/>
      <c r="J122" s="199"/>
      <c r="K122" s="199"/>
      <c r="L122" s="203"/>
      <c r="M122" s="203"/>
      <c r="N122" s="203"/>
      <c r="O122" s="199"/>
      <c r="P122" s="199"/>
      <c r="Q122" s="199"/>
    </row>
    <row r="123">
      <c r="A123" s="200" t="s">
        <v>746</v>
      </c>
      <c r="B123" s="200"/>
      <c r="C123" s="200"/>
      <c r="D123" s="200"/>
      <c r="E123" s="199"/>
      <c r="F123" s="200"/>
      <c r="G123" s="200"/>
      <c r="H123" s="200"/>
      <c r="I123" s="200"/>
      <c r="J123" s="199"/>
      <c r="K123" s="199"/>
      <c r="L123" s="203"/>
      <c r="M123" s="203"/>
      <c r="N123" s="203"/>
      <c r="O123" s="199"/>
      <c r="P123" s="199"/>
      <c r="Q123" s="199"/>
    </row>
    <row r="124">
      <c r="A124" s="200" t="s">
        <v>749</v>
      </c>
      <c r="B124" s="200"/>
      <c r="C124" s="200"/>
      <c r="D124" s="200"/>
      <c r="E124" s="199"/>
      <c r="F124" s="200"/>
      <c r="G124" s="200"/>
      <c r="H124" s="200"/>
      <c r="I124" s="200"/>
      <c r="J124" s="199"/>
      <c r="K124" s="199"/>
      <c r="L124" s="203"/>
      <c r="M124" s="203"/>
      <c r="N124" s="203"/>
      <c r="O124" s="199"/>
      <c r="P124" s="199"/>
      <c r="Q124" s="199"/>
    </row>
    <row r="125">
      <c r="A125" s="200" t="s">
        <v>750</v>
      </c>
      <c r="B125" s="200"/>
      <c r="C125" s="200"/>
      <c r="D125" s="200"/>
      <c r="E125" s="200"/>
      <c r="F125" s="200"/>
      <c r="G125" s="200"/>
      <c r="H125" s="200"/>
      <c r="I125" s="199"/>
      <c r="J125" s="199"/>
      <c r="K125" s="199"/>
      <c r="L125" s="203"/>
      <c r="M125" s="203"/>
      <c r="N125" s="203"/>
      <c r="O125" s="200"/>
      <c r="P125" s="200"/>
      <c r="Q125" s="200"/>
    </row>
    <row r="126">
      <c r="A126" s="200"/>
      <c r="B126" s="200"/>
      <c r="C126" s="200"/>
      <c r="D126" s="200"/>
      <c r="E126" s="199"/>
      <c r="F126" s="200"/>
      <c r="G126" s="200"/>
      <c r="H126" s="200"/>
      <c r="I126" s="200"/>
      <c r="J126" s="199"/>
      <c r="K126" s="199"/>
      <c r="L126" s="203"/>
      <c r="M126" s="203"/>
      <c r="N126" s="203"/>
      <c r="O126" s="200"/>
      <c r="P126" s="200"/>
      <c r="Q126" s="200"/>
    </row>
    <row r="127">
      <c r="A127" s="200" t="s">
        <v>1404</v>
      </c>
      <c r="B127" s="200"/>
      <c r="C127" s="200"/>
      <c r="D127" s="200"/>
      <c r="E127" s="199"/>
      <c r="F127" s="200"/>
      <c r="G127" s="200"/>
      <c r="H127" s="200"/>
      <c r="I127" s="200"/>
      <c r="J127" s="199"/>
      <c r="K127" s="199"/>
      <c r="L127" s="203"/>
      <c r="M127" s="203"/>
      <c r="N127" s="203"/>
      <c r="O127" s="200"/>
      <c r="P127" s="200"/>
      <c r="Q127" s="200"/>
    </row>
    <row r="128">
      <c r="A128" s="200" t="s">
        <v>778</v>
      </c>
      <c r="B128" s="200"/>
      <c r="C128" s="200"/>
      <c r="D128" s="200"/>
      <c r="E128" s="199"/>
      <c r="F128" s="200"/>
      <c r="G128" s="200"/>
      <c r="H128" s="200"/>
      <c r="I128" s="200"/>
      <c r="J128" s="199"/>
      <c r="K128" s="199"/>
      <c r="L128" s="203"/>
      <c r="M128" s="203"/>
      <c r="N128" s="203"/>
      <c r="O128" s="200"/>
      <c r="P128" s="200"/>
      <c r="Q128" s="200"/>
    </row>
    <row r="129">
      <c r="A129" s="200" t="s">
        <v>762</v>
      </c>
      <c r="B129" s="200"/>
      <c r="C129" s="200"/>
      <c r="D129" s="200"/>
      <c r="E129" s="199"/>
      <c r="F129" s="200"/>
      <c r="G129" s="200"/>
      <c r="H129" s="200"/>
      <c r="I129" s="200"/>
      <c r="J129" s="199"/>
      <c r="K129" s="199"/>
      <c r="L129" s="203"/>
      <c r="M129" s="203"/>
      <c r="N129" s="203"/>
      <c r="O129" s="200"/>
      <c r="P129" s="200"/>
      <c r="Q129" s="200"/>
    </row>
    <row r="130">
      <c r="A130" s="200" t="s">
        <v>765</v>
      </c>
      <c r="B130" s="200"/>
      <c r="C130" s="200"/>
      <c r="D130" s="200"/>
      <c r="E130" s="199"/>
      <c r="F130" s="200"/>
      <c r="G130" s="200"/>
      <c r="H130" s="200"/>
      <c r="I130" s="200"/>
      <c r="J130" s="199"/>
      <c r="K130" s="199"/>
      <c r="L130" s="203"/>
      <c r="M130" s="203"/>
      <c r="N130" s="203"/>
      <c r="O130" s="200"/>
      <c r="P130" s="200"/>
      <c r="Q130" s="200"/>
    </row>
    <row r="131">
      <c r="A131" s="200" t="s">
        <v>756</v>
      </c>
      <c r="B131" s="200" t="s">
        <v>1405</v>
      </c>
      <c r="C131" s="200" t="s">
        <v>1406</v>
      </c>
      <c r="D131" s="200" t="s">
        <v>1407</v>
      </c>
      <c r="E131" s="199"/>
      <c r="F131" s="200" t="s">
        <v>1408</v>
      </c>
      <c r="G131" s="200" t="s">
        <v>1409</v>
      </c>
      <c r="H131" s="200">
        <v>1.0</v>
      </c>
      <c r="I131" s="200" t="s">
        <v>1410</v>
      </c>
      <c r="J131" s="199">
        <v>20.0</v>
      </c>
      <c r="K131" s="199" t="s">
        <v>1411</v>
      </c>
      <c r="L131" s="203" t="s">
        <v>1412</v>
      </c>
      <c r="M131" s="203" t="s">
        <v>1411</v>
      </c>
      <c r="N131" s="203" t="s">
        <v>1411</v>
      </c>
      <c r="O131" s="200"/>
      <c r="P131" s="200"/>
      <c r="Q131" s="200"/>
    </row>
    <row r="132">
      <c r="A132" s="200" t="s">
        <v>760</v>
      </c>
      <c r="B132" s="200" t="s">
        <v>1405</v>
      </c>
      <c r="C132" s="200" t="s">
        <v>1413</v>
      </c>
      <c r="D132" s="200" t="s">
        <v>1414</v>
      </c>
      <c r="E132" s="199"/>
      <c r="F132" s="200" t="s">
        <v>1415</v>
      </c>
      <c r="G132" s="200" t="s">
        <v>1409</v>
      </c>
      <c r="H132" s="200">
        <v>1.0</v>
      </c>
      <c r="I132" s="200" t="s">
        <v>1410</v>
      </c>
      <c r="J132" s="199">
        <v>20.0</v>
      </c>
      <c r="K132" s="199" t="s">
        <v>1416</v>
      </c>
      <c r="L132" s="203" t="s">
        <v>1417</v>
      </c>
      <c r="M132" s="203" t="s">
        <v>1416</v>
      </c>
      <c r="N132" s="203" t="s">
        <v>1416</v>
      </c>
      <c r="O132" s="200"/>
      <c r="P132" s="200"/>
      <c r="Q132" s="200"/>
    </row>
    <row r="133">
      <c r="A133" s="200" t="s">
        <v>766</v>
      </c>
      <c r="B133" s="200"/>
      <c r="C133" s="200"/>
      <c r="D133" s="200"/>
      <c r="E133" s="199"/>
      <c r="F133" s="200"/>
      <c r="G133" s="200"/>
      <c r="H133" s="200"/>
      <c r="I133" s="200"/>
      <c r="J133" s="199"/>
      <c r="K133" s="199"/>
      <c r="L133" s="203"/>
      <c r="M133" s="203"/>
      <c r="N133" s="203"/>
      <c r="O133" s="200"/>
      <c r="P133" s="200"/>
      <c r="Q133" s="200"/>
    </row>
    <row r="134">
      <c r="A134" s="200" t="s">
        <v>769</v>
      </c>
      <c r="B134" s="200" t="s">
        <v>1405</v>
      </c>
      <c r="C134" s="200" t="s">
        <v>1418</v>
      </c>
      <c r="D134" s="200" t="s">
        <v>1414</v>
      </c>
      <c r="E134" s="199"/>
      <c r="F134" s="200" t="s">
        <v>1419</v>
      </c>
      <c r="G134" s="200" t="s">
        <v>1409</v>
      </c>
      <c r="H134" s="200">
        <v>1.0</v>
      </c>
      <c r="I134" s="200" t="s">
        <v>1410</v>
      </c>
      <c r="J134" s="199">
        <v>20.0</v>
      </c>
      <c r="K134" s="199" t="s">
        <v>1420</v>
      </c>
      <c r="L134" s="203" t="s">
        <v>1421</v>
      </c>
      <c r="M134" s="203" t="s">
        <v>1420</v>
      </c>
      <c r="N134" s="203" t="s">
        <v>1420</v>
      </c>
      <c r="O134" s="200"/>
      <c r="P134" s="214"/>
      <c r="Q134" s="200"/>
    </row>
    <row r="135">
      <c r="A135" s="200" t="s">
        <v>771</v>
      </c>
      <c r="B135" s="200"/>
      <c r="C135" s="200"/>
      <c r="D135" s="200"/>
      <c r="E135" s="199"/>
      <c r="F135" s="200"/>
      <c r="G135" s="200"/>
      <c r="H135" s="200"/>
      <c r="I135" s="200"/>
      <c r="J135" s="199"/>
      <c r="K135" s="199"/>
      <c r="L135" s="203"/>
      <c r="M135" s="203"/>
      <c r="N135" s="203"/>
      <c r="O135" s="200"/>
      <c r="P135" s="214"/>
      <c r="Q135" s="200"/>
    </row>
    <row r="136">
      <c r="A136" s="200" t="s">
        <v>772</v>
      </c>
      <c r="B136" s="200" t="s">
        <v>1405</v>
      </c>
      <c r="C136" s="200" t="s">
        <v>1422</v>
      </c>
      <c r="D136" s="200" t="s">
        <v>1414</v>
      </c>
      <c r="E136" s="199"/>
      <c r="F136" s="200" t="s">
        <v>1423</v>
      </c>
      <c r="G136" s="200" t="s">
        <v>1409</v>
      </c>
      <c r="H136" s="200">
        <v>1.0</v>
      </c>
      <c r="I136" s="200" t="s">
        <v>1410</v>
      </c>
      <c r="J136" s="199">
        <v>20.0</v>
      </c>
      <c r="K136" s="199" t="s">
        <v>1424</v>
      </c>
      <c r="L136" s="203" t="s">
        <v>1425</v>
      </c>
      <c r="M136" s="203" t="s">
        <v>1424</v>
      </c>
      <c r="N136" s="203" t="s">
        <v>1424</v>
      </c>
      <c r="O136" s="200"/>
      <c r="P136" s="214"/>
      <c r="Q136" s="200"/>
    </row>
    <row r="137">
      <c r="A137" s="28" t="s">
        <v>779</v>
      </c>
      <c r="B137" s="208"/>
      <c r="C137" s="208"/>
      <c r="D137" s="209"/>
      <c r="E137" s="209"/>
      <c r="F137" s="209"/>
      <c r="G137" s="209"/>
      <c r="H137" s="209"/>
      <c r="I137" s="209"/>
      <c r="J137" s="209"/>
      <c r="K137" s="209"/>
      <c r="L137" s="205"/>
      <c r="M137" s="205"/>
      <c r="N137" s="203"/>
      <c r="O137" s="200"/>
      <c r="P137" s="214"/>
      <c r="Q137" s="200"/>
    </row>
    <row r="138">
      <c r="A138" s="28" t="s">
        <v>1426</v>
      </c>
      <c r="B138" s="208"/>
      <c r="C138" s="208"/>
      <c r="D138" s="209"/>
      <c r="E138" s="209"/>
      <c r="F138" s="209"/>
      <c r="G138" s="209"/>
      <c r="H138" s="209"/>
      <c r="I138" s="209"/>
      <c r="J138" s="209"/>
      <c r="K138" s="209"/>
      <c r="L138" s="205"/>
      <c r="M138" s="205"/>
      <c r="N138" s="203"/>
      <c r="O138" s="200"/>
      <c r="P138" s="214"/>
      <c r="Q138" s="200"/>
    </row>
    <row r="139">
      <c r="A139" s="200" t="s">
        <v>782</v>
      </c>
      <c r="B139" s="200" t="s">
        <v>1405</v>
      </c>
      <c r="C139" s="200" t="s">
        <v>1427</v>
      </c>
      <c r="D139" s="200" t="s">
        <v>1428</v>
      </c>
      <c r="E139" s="199"/>
      <c r="F139" s="200" t="s">
        <v>1429</v>
      </c>
      <c r="G139" s="200" t="s">
        <v>1409</v>
      </c>
      <c r="H139" s="200">
        <v>1.0</v>
      </c>
      <c r="I139" s="200" t="s">
        <v>1410</v>
      </c>
      <c r="J139" s="199">
        <v>20.0</v>
      </c>
      <c r="K139" s="199" t="s">
        <v>1430</v>
      </c>
      <c r="L139" s="203" t="s">
        <v>1431</v>
      </c>
      <c r="M139" s="203" t="s">
        <v>1430</v>
      </c>
      <c r="N139" s="203" t="s">
        <v>1430</v>
      </c>
      <c r="O139" s="200"/>
      <c r="P139" s="214"/>
      <c r="Q139" s="200"/>
    </row>
    <row r="140">
      <c r="A140" s="28" t="s">
        <v>784</v>
      </c>
      <c r="B140" s="208"/>
      <c r="C140" s="208"/>
      <c r="D140" s="209"/>
      <c r="E140" s="209"/>
      <c r="F140" s="209"/>
      <c r="G140" s="209"/>
      <c r="H140" s="209"/>
      <c r="I140" s="209"/>
      <c r="J140" s="209"/>
      <c r="K140" s="209"/>
      <c r="L140" s="205"/>
      <c r="M140" s="205"/>
      <c r="N140" s="203"/>
      <c r="O140" s="204" t="s">
        <v>1432</v>
      </c>
      <c r="P140" s="214" t="s">
        <v>1433</v>
      </c>
      <c r="Q140" s="204" t="s">
        <v>1434</v>
      </c>
    </row>
    <row r="141">
      <c r="A141" s="200" t="s">
        <v>785</v>
      </c>
      <c r="B141" s="200"/>
      <c r="C141" s="200"/>
      <c r="D141" s="200"/>
      <c r="E141" s="200"/>
      <c r="F141" s="200"/>
      <c r="G141" s="200"/>
      <c r="H141" s="200"/>
      <c r="I141" s="200"/>
      <c r="J141" s="199"/>
      <c r="K141" s="199"/>
      <c r="L141" s="203"/>
      <c r="M141" s="203"/>
      <c r="N141" s="203"/>
      <c r="O141" s="200"/>
      <c r="P141" s="200"/>
      <c r="Q141" s="200"/>
    </row>
    <row r="142">
      <c r="A142" s="200" t="s">
        <v>786</v>
      </c>
      <c r="B142" s="200" t="s">
        <v>1405</v>
      </c>
      <c r="C142" s="200" t="s">
        <v>1435</v>
      </c>
      <c r="D142" s="200" t="s">
        <v>1414</v>
      </c>
      <c r="E142" s="199"/>
      <c r="F142" s="200" t="s">
        <v>1436</v>
      </c>
      <c r="G142" s="200" t="s">
        <v>1409</v>
      </c>
      <c r="H142" s="200">
        <v>1.0</v>
      </c>
      <c r="I142" s="200" t="s">
        <v>1410</v>
      </c>
      <c r="J142" s="199">
        <v>20.0</v>
      </c>
      <c r="K142" s="199" t="s">
        <v>1437</v>
      </c>
      <c r="L142" s="203" t="s">
        <v>1438</v>
      </c>
      <c r="M142" s="203" t="s">
        <v>1437</v>
      </c>
      <c r="N142" s="203" t="s">
        <v>1437</v>
      </c>
      <c r="O142" s="200"/>
      <c r="P142" s="200"/>
      <c r="Q142" s="200"/>
    </row>
    <row r="143">
      <c r="A143" s="200" t="s">
        <v>788</v>
      </c>
      <c r="B143" s="200" t="s">
        <v>1405</v>
      </c>
      <c r="C143" s="200" t="s">
        <v>1439</v>
      </c>
      <c r="D143" s="200" t="s">
        <v>1428</v>
      </c>
      <c r="E143" s="200"/>
      <c r="F143" s="200" t="s">
        <v>1440</v>
      </c>
      <c r="G143" s="200" t="s">
        <v>1409</v>
      </c>
      <c r="H143" s="200">
        <v>1.0</v>
      </c>
      <c r="I143" s="200" t="s">
        <v>1410</v>
      </c>
      <c r="J143" s="199">
        <v>20.0</v>
      </c>
      <c r="K143" s="199" t="s">
        <v>1441</v>
      </c>
      <c r="L143" s="203" t="s">
        <v>1442</v>
      </c>
      <c r="M143" s="203" t="s">
        <v>1441</v>
      </c>
      <c r="N143" s="203" t="s">
        <v>1441</v>
      </c>
      <c r="O143" s="200"/>
      <c r="P143" s="200"/>
      <c r="Q143" s="200"/>
    </row>
    <row r="144">
      <c r="A144" s="200" t="s">
        <v>790</v>
      </c>
      <c r="B144" s="200"/>
      <c r="C144" s="200"/>
      <c r="D144" s="200"/>
      <c r="E144" s="199"/>
      <c r="F144" s="200"/>
      <c r="G144" s="200"/>
      <c r="H144" s="200"/>
      <c r="I144" s="200"/>
      <c r="J144" s="199"/>
      <c r="K144" s="199"/>
      <c r="L144" s="203"/>
      <c r="M144" s="203"/>
      <c r="N144" s="203"/>
      <c r="O144" s="200"/>
      <c r="P144" s="200"/>
      <c r="Q144" s="200"/>
    </row>
    <row r="145">
      <c r="A145" s="200" t="s">
        <v>791</v>
      </c>
      <c r="B145" s="200"/>
      <c r="C145" s="200"/>
      <c r="D145" s="200"/>
      <c r="E145" s="199"/>
      <c r="F145" s="200"/>
      <c r="G145" s="200"/>
      <c r="H145" s="200"/>
      <c r="I145" s="200"/>
      <c r="J145" s="199"/>
      <c r="K145" s="199"/>
      <c r="L145" s="203"/>
      <c r="M145" s="203"/>
      <c r="N145" s="203"/>
      <c r="O145" s="200"/>
      <c r="P145" s="200"/>
      <c r="Q145" s="200"/>
    </row>
    <row r="146">
      <c r="A146" s="200" t="s">
        <v>794</v>
      </c>
      <c r="B146" s="200"/>
      <c r="C146" s="200"/>
      <c r="D146" s="200"/>
      <c r="E146" s="199"/>
      <c r="F146" s="200"/>
      <c r="G146" s="200"/>
      <c r="H146" s="200"/>
      <c r="I146" s="200"/>
      <c r="J146" s="199"/>
      <c r="K146" s="199"/>
      <c r="L146" s="203"/>
      <c r="M146" s="203"/>
      <c r="N146" s="203"/>
      <c r="O146" s="200"/>
      <c r="P146" s="200"/>
      <c r="Q146" s="200"/>
    </row>
    <row r="147">
      <c r="A147" s="200" t="s">
        <v>795</v>
      </c>
      <c r="B147" s="200" t="s">
        <v>1405</v>
      </c>
      <c r="C147" s="200" t="s">
        <v>1443</v>
      </c>
      <c r="D147" s="200" t="s">
        <v>1428</v>
      </c>
      <c r="E147" s="199"/>
      <c r="F147" s="200" t="s">
        <v>1444</v>
      </c>
      <c r="G147" s="200" t="s">
        <v>1409</v>
      </c>
      <c r="H147" s="200">
        <v>1.0</v>
      </c>
      <c r="I147" s="200" t="s">
        <v>1410</v>
      </c>
      <c r="J147" s="199">
        <v>20.0</v>
      </c>
      <c r="K147" s="199" t="s">
        <v>1445</v>
      </c>
      <c r="L147" s="203" t="s">
        <v>1446</v>
      </c>
      <c r="M147" s="203" t="s">
        <v>1445</v>
      </c>
      <c r="N147" s="203" t="s">
        <v>1445</v>
      </c>
      <c r="O147" s="200"/>
      <c r="P147" s="200"/>
      <c r="Q147" s="200"/>
    </row>
    <row r="148">
      <c r="A148" s="200" t="s">
        <v>797</v>
      </c>
      <c r="B148" s="200"/>
      <c r="C148" s="200"/>
      <c r="D148" s="200"/>
      <c r="E148" s="199"/>
      <c r="F148" s="200"/>
      <c r="G148" s="200"/>
      <c r="H148" s="200"/>
      <c r="I148" s="200"/>
      <c r="J148" s="199"/>
      <c r="K148" s="199"/>
      <c r="L148" s="203"/>
      <c r="M148" s="203"/>
      <c r="N148" s="203"/>
      <c r="O148" s="200"/>
      <c r="P148" s="200"/>
      <c r="Q148" s="200"/>
    </row>
    <row r="149">
      <c r="A149" s="200" t="s">
        <v>798</v>
      </c>
      <c r="B149" s="200"/>
      <c r="C149" s="200"/>
      <c r="D149" s="200"/>
      <c r="E149" s="199"/>
      <c r="F149" s="200"/>
      <c r="G149" s="200"/>
      <c r="H149" s="200"/>
      <c r="I149" s="200"/>
      <c r="J149" s="199"/>
      <c r="K149" s="199"/>
      <c r="L149" s="203"/>
      <c r="M149" s="203"/>
      <c r="N149" s="203"/>
      <c r="O149" s="200"/>
      <c r="P149" s="200"/>
      <c r="Q149" s="200"/>
    </row>
    <row r="150">
      <c r="A150" s="200" t="s">
        <v>799</v>
      </c>
      <c r="B150" s="200" t="s">
        <v>1405</v>
      </c>
      <c r="C150" s="200" t="s">
        <v>1447</v>
      </c>
      <c r="D150" s="200" t="s">
        <v>1428</v>
      </c>
      <c r="E150" s="199"/>
      <c r="F150" s="200" t="s">
        <v>1448</v>
      </c>
      <c r="G150" s="200" t="s">
        <v>1409</v>
      </c>
      <c r="H150" s="200">
        <v>1.0</v>
      </c>
      <c r="I150" s="200" t="s">
        <v>1410</v>
      </c>
      <c r="J150" s="199">
        <v>20.0</v>
      </c>
      <c r="K150" s="199" t="s">
        <v>1449</v>
      </c>
      <c r="L150" s="203" t="s">
        <v>1450</v>
      </c>
      <c r="M150" s="203" t="s">
        <v>1449</v>
      </c>
      <c r="N150" s="203" t="s">
        <v>1449</v>
      </c>
      <c r="O150" s="200"/>
      <c r="P150" s="200"/>
      <c r="Q150" s="200"/>
    </row>
    <row r="151">
      <c r="A151" s="28" t="s">
        <v>1451</v>
      </c>
      <c r="B151" s="208"/>
      <c r="C151" s="208"/>
      <c r="D151" s="209"/>
      <c r="E151" s="209"/>
      <c r="F151" s="209"/>
      <c r="G151" s="209"/>
      <c r="H151" s="209"/>
      <c r="I151" s="209"/>
      <c r="J151" s="209"/>
      <c r="K151" s="209"/>
      <c r="L151" s="205"/>
      <c r="M151" s="205"/>
      <c r="N151" s="203"/>
      <c r="O151" s="200"/>
      <c r="P151" s="200"/>
      <c r="Q151" s="200"/>
    </row>
    <row r="152">
      <c r="A152" s="200" t="s">
        <v>800</v>
      </c>
      <c r="B152" s="200" t="s">
        <v>1405</v>
      </c>
      <c r="C152" s="200" t="s">
        <v>1452</v>
      </c>
      <c r="D152" s="200" t="s">
        <v>1428</v>
      </c>
      <c r="E152" s="199"/>
      <c r="F152" s="200" t="s">
        <v>1453</v>
      </c>
      <c r="G152" s="200" t="s">
        <v>1409</v>
      </c>
      <c r="H152" s="200">
        <v>1.0</v>
      </c>
      <c r="I152" s="200" t="s">
        <v>1410</v>
      </c>
      <c r="J152" s="199">
        <v>20.0</v>
      </c>
      <c r="K152" s="199" t="s">
        <v>1454</v>
      </c>
      <c r="L152" s="203" t="s">
        <v>1455</v>
      </c>
      <c r="M152" s="203" t="s">
        <v>1454</v>
      </c>
      <c r="N152" s="203" t="s">
        <v>1454</v>
      </c>
      <c r="O152" s="200"/>
      <c r="P152" s="200"/>
      <c r="Q152" s="200"/>
    </row>
    <row r="153">
      <c r="A153" s="200" t="s">
        <v>802</v>
      </c>
      <c r="B153" s="200"/>
      <c r="C153" s="200"/>
      <c r="D153" s="200"/>
      <c r="E153" s="199"/>
      <c r="F153" s="200"/>
      <c r="G153" s="200"/>
      <c r="H153" s="200"/>
      <c r="I153" s="200"/>
      <c r="J153" s="199"/>
      <c r="K153" s="199"/>
      <c r="L153" s="203"/>
      <c r="M153" s="203"/>
      <c r="N153" s="203"/>
      <c r="O153" s="200"/>
      <c r="P153" s="200"/>
      <c r="Q153" s="200"/>
    </row>
    <row r="154">
      <c r="A154" s="200" t="s">
        <v>803</v>
      </c>
      <c r="B154" s="200"/>
      <c r="C154" s="200"/>
      <c r="D154" s="200"/>
      <c r="E154" s="199"/>
      <c r="F154" s="200"/>
      <c r="G154" s="200"/>
      <c r="H154" s="200"/>
      <c r="I154" s="200"/>
      <c r="J154" s="199"/>
      <c r="K154" s="199"/>
      <c r="L154" s="203"/>
      <c r="M154" s="203"/>
      <c r="N154" s="203"/>
      <c r="O154" s="200"/>
      <c r="P154" s="200"/>
      <c r="Q154" s="200"/>
    </row>
    <row r="155">
      <c r="A155" s="200" t="s">
        <v>804</v>
      </c>
      <c r="B155" s="200" t="s">
        <v>1405</v>
      </c>
      <c r="C155" s="200" t="s">
        <v>1456</v>
      </c>
      <c r="D155" s="200" t="s">
        <v>1414</v>
      </c>
      <c r="E155" s="199"/>
      <c r="F155" s="200" t="s">
        <v>1457</v>
      </c>
      <c r="G155" s="200" t="s">
        <v>1409</v>
      </c>
      <c r="H155" s="200">
        <v>1.0</v>
      </c>
      <c r="I155" s="200" t="s">
        <v>1410</v>
      </c>
      <c r="J155" s="199">
        <v>20.0</v>
      </c>
      <c r="K155" s="199" t="s">
        <v>1458</v>
      </c>
      <c r="L155" s="203" t="s">
        <v>1459</v>
      </c>
      <c r="M155" s="203" t="s">
        <v>1458</v>
      </c>
      <c r="N155" s="203" t="s">
        <v>1458</v>
      </c>
      <c r="O155" s="200"/>
      <c r="P155" s="200"/>
      <c r="Q155" s="200"/>
    </row>
    <row r="156">
      <c r="A156" s="200" t="s">
        <v>806</v>
      </c>
      <c r="B156" s="200" t="s">
        <v>1405</v>
      </c>
      <c r="C156" s="200" t="s">
        <v>1460</v>
      </c>
      <c r="D156" s="200" t="s">
        <v>1414</v>
      </c>
      <c r="E156" s="199"/>
      <c r="F156" s="200" t="s">
        <v>1461</v>
      </c>
      <c r="G156" s="200" t="s">
        <v>1409</v>
      </c>
      <c r="H156" s="200">
        <v>1.0</v>
      </c>
      <c r="I156" s="200" t="s">
        <v>1410</v>
      </c>
      <c r="J156" s="199">
        <v>20.0</v>
      </c>
      <c r="K156" s="199" t="s">
        <v>1462</v>
      </c>
      <c r="L156" s="203" t="s">
        <v>1463</v>
      </c>
      <c r="M156" s="203" t="s">
        <v>1462</v>
      </c>
      <c r="N156" s="205" t="s">
        <v>1462</v>
      </c>
      <c r="O156" s="200"/>
      <c r="P156" s="200"/>
      <c r="Q156" s="200"/>
    </row>
    <row r="157">
      <c r="A157" s="200" t="s">
        <v>808</v>
      </c>
      <c r="B157" s="200" t="s">
        <v>1405</v>
      </c>
      <c r="C157" s="200" t="s">
        <v>1464</v>
      </c>
      <c r="D157" s="200" t="s">
        <v>1414</v>
      </c>
      <c r="E157" s="199"/>
      <c r="F157" s="200" t="s">
        <v>1465</v>
      </c>
      <c r="G157" s="200" t="s">
        <v>1409</v>
      </c>
      <c r="H157" s="200">
        <v>1.0</v>
      </c>
      <c r="I157" s="200" t="s">
        <v>1410</v>
      </c>
      <c r="J157" s="199">
        <v>20.0</v>
      </c>
      <c r="K157" s="199" t="s">
        <v>1466</v>
      </c>
      <c r="L157" s="203" t="s">
        <v>1467</v>
      </c>
      <c r="M157" s="203" t="s">
        <v>1466</v>
      </c>
      <c r="N157" s="205" t="s">
        <v>1466</v>
      </c>
      <c r="O157" s="200"/>
      <c r="P157" s="200"/>
      <c r="Q157" s="200"/>
    </row>
    <row r="158">
      <c r="A158" s="200" t="s">
        <v>809</v>
      </c>
      <c r="B158" s="200" t="s">
        <v>1405</v>
      </c>
      <c r="C158" s="200" t="s">
        <v>1468</v>
      </c>
      <c r="D158" s="200" t="s">
        <v>1428</v>
      </c>
      <c r="E158" s="199"/>
      <c r="F158" s="200" t="s">
        <v>1469</v>
      </c>
      <c r="G158" s="200" t="s">
        <v>1409</v>
      </c>
      <c r="H158" s="200">
        <v>1.0</v>
      </c>
      <c r="I158" s="200" t="s">
        <v>1410</v>
      </c>
      <c r="J158" s="199">
        <v>20.0</v>
      </c>
      <c r="K158" s="199" t="s">
        <v>1470</v>
      </c>
      <c r="L158" s="203" t="s">
        <v>1471</v>
      </c>
      <c r="M158" s="203" t="s">
        <v>1470</v>
      </c>
      <c r="N158" s="205" t="s">
        <v>1470</v>
      </c>
      <c r="O158" s="200"/>
      <c r="P158" s="200"/>
      <c r="Q158" s="200"/>
    </row>
    <row r="159">
      <c r="A159" s="200" t="s">
        <v>811</v>
      </c>
      <c r="B159" s="200"/>
      <c r="C159" s="200"/>
      <c r="D159" s="200"/>
      <c r="E159" s="199"/>
      <c r="F159" s="200"/>
      <c r="G159" s="200"/>
      <c r="H159" s="200"/>
      <c r="I159" s="200"/>
      <c r="J159" s="199"/>
      <c r="K159" s="199"/>
      <c r="L159" s="203"/>
      <c r="M159" s="203"/>
      <c r="N159" s="205"/>
      <c r="O159" s="200"/>
      <c r="P159" s="200"/>
      <c r="Q159" s="200"/>
    </row>
    <row r="160">
      <c r="A160" s="200" t="s">
        <v>812</v>
      </c>
      <c r="B160" s="200"/>
      <c r="C160" s="200"/>
      <c r="D160" s="200"/>
      <c r="E160" s="199"/>
      <c r="F160" s="200"/>
      <c r="G160" s="200"/>
      <c r="H160" s="200"/>
      <c r="I160" s="200"/>
      <c r="J160" s="199"/>
      <c r="K160" s="199"/>
      <c r="L160" s="203"/>
      <c r="M160" s="203"/>
      <c r="N160" s="205"/>
      <c r="O160" s="200"/>
      <c r="P160" s="200"/>
      <c r="Q160" s="200"/>
    </row>
    <row r="161">
      <c r="A161" s="28" t="s">
        <v>817</v>
      </c>
      <c r="B161" s="208" t="s">
        <v>1472</v>
      </c>
      <c r="C161" s="208" t="s">
        <v>1473</v>
      </c>
      <c r="D161" s="209"/>
      <c r="E161" s="209"/>
      <c r="F161" s="209"/>
      <c r="G161" s="209"/>
      <c r="H161" s="209"/>
      <c r="I161" s="209"/>
      <c r="J161" s="209"/>
      <c r="K161" s="209"/>
      <c r="L161" s="205"/>
      <c r="M161" s="205"/>
      <c r="N161" s="205"/>
      <c r="O161" s="209"/>
      <c r="P161" s="209"/>
      <c r="Q161" s="209"/>
    </row>
    <row r="162">
      <c r="A162" s="28" t="s">
        <v>821</v>
      </c>
      <c r="B162" s="208" t="s">
        <v>1472</v>
      </c>
      <c r="C162" s="208" t="s">
        <v>1474</v>
      </c>
      <c r="D162" s="209"/>
      <c r="E162" s="209"/>
      <c r="F162" s="209"/>
      <c r="G162" s="209"/>
      <c r="H162" s="209"/>
      <c r="I162" s="209"/>
      <c r="J162" s="209"/>
      <c r="K162" s="209"/>
      <c r="L162" s="205"/>
      <c r="M162" s="205"/>
      <c r="N162" s="205"/>
      <c r="O162" s="209"/>
      <c r="P162" s="209"/>
      <c r="Q162" s="209"/>
    </row>
    <row r="163">
      <c r="A163" s="178" t="s">
        <v>827</v>
      </c>
      <c r="B163" s="209"/>
      <c r="C163" s="209"/>
      <c r="D163" s="209"/>
      <c r="E163" s="209"/>
      <c r="F163" s="209"/>
      <c r="G163" s="209"/>
      <c r="H163" s="209"/>
      <c r="I163" s="209"/>
      <c r="J163" s="209"/>
      <c r="K163" s="209"/>
      <c r="L163" s="205"/>
      <c r="M163" s="205"/>
      <c r="N163" s="205"/>
      <c r="O163" s="209"/>
      <c r="P163" s="209"/>
      <c r="Q163" s="209"/>
    </row>
    <row r="164">
      <c r="A164" s="178" t="s">
        <v>830</v>
      </c>
      <c r="B164" s="209"/>
      <c r="C164" s="209"/>
      <c r="D164" s="209"/>
      <c r="E164" s="209"/>
      <c r="F164" s="209"/>
      <c r="G164" s="209"/>
      <c r="H164" s="209"/>
      <c r="I164" s="209"/>
      <c r="J164" s="209"/>
      <c r="K164" s="209"/>
      <c r="L164" s="205"/>
      <c r="M164" s="205"/>
      <c r="N164" s="205"/>
      <c r="O164" s="209"/>
      <c r="P164" s="209"/>
      <c r="Q164" s="209"/>
    </row>
    <row r="165">
      <c r="A165" s="178" t="s">
        <v>833</v>
      </c>
      <c r="B165" s="209"/>
      <c r="C165" s="209"/>
      <c r="D165" s="209"/>
      <c r="E165" s="209"/>
      <c r="F165" s="209"/>
      <c r="G165" s="209"/>
      <c r="H165" s="209"/>
      <c r="I165" s="209"/>
      <c r="J165" s="209"/>
      <c r="K165" s="209"/>
      <c r="L165" s="205"/>
      <c r="M165" s="205"/>
      <c r="N165" s="205"/>
      <c r="O165" s="209"/>
      <c r="P165" s="209"/>
      <c r="Q165" s="209"/>
    </row>
    <row r="166">
      <c r="A166" s="178" t="s">
        <v>836</v>
      </c>
      <c r="B166" s="209"/>
      <c r="C166" s="209"/>
      <c r="D166" s="209"/>
      <c r="E166" s="209"/>
      <c r="F166" s="209"/>
      <c r="G166" s="209"/>
      <c r="H166" s="209"/>
      <c r="I166" s="209"/>
      <c r="J166" s="209"/>
      <c r="K166" s="209"/>
      <c r="L166" s="205"/>
      <c r="M166" s="205"/>
      <c r="N166" s="205"/>
      <c r="O166" s="209"/>
      <c r="P166" s="209"/>
      <c r="Q166" s="209"/>
    </row>
    <row r="167">
      <c r="A167" s="178" t="s">
        <v>839</v>
      </c>
      <c r="B167" s="209"/>
      <c r="C167" s="209"/>
      <c r="D167" s="209"/>
      <c r="E167" s="209"/>
      <c r="F167" s="209"/>
      <c r="G167" s="209"/>
      <c r="H167" s="209"/>
      <c r="I167" s="209"/>
      <c r="J167" s="209"/>
      <c r="K167" s="209"/>
      <c r="L167" s="205"/>
      <c r="M167" s="205"/>
      <c r="N167" s="205"/>
      <c r="O167" s="209"/>
      <c r="P167" s="209"/>
      <c r="Q167" s="209"/>
    </row>
    <row r="168">
      <c r="A168" s="178" t="s">
        <v>842</v>
      </c>
      <c r="B168" s="209"/>
      <c r="C168" s="209"/>
      <c r="D168" s="209"/>
      <c r="E168" s="209"/>
      <c r="F168" s="209"/>
      <c r="G168" s="209"/>
      <c r="H168" s="209"/>
      <c r="I168" s="209"/>
      <c r="J168" s="209"/>
      <c r="K168" s="209"/>
      <c r="L168" s="205"/>
      <c r="M168" s="205"/>
      <c r="N168" s="205"/>
      <c r="O168" s="209"/>
      <c r="P168" s="209"/>
      <c r="Q168" s="209"/>
    </row>
    <row r="169">
      <c r="A169" s="178" t="s">
        <v>843</v>
      </c>
      <c r="B169" s="209"/>
      <c r="C169" s="209"/>
      <c r="D169" s="209"/>
      <c r="E169" s="209"/>
      <c r="F169" s="209"/>
      <c r="G169" s="209"/>
      <c r="H169" s="209"/>
      <c r="I169" s="209"/>
      <c r="J169" s="209"/>
      <c r="K169" s="209"/>
      <c r="L169" s="205"/>
      <c r="M169" s="205"/>
      <c r="N169" s="205"/>
      <c r="O169" s="209"/>
      <c r="P169" s="209"/>
      <c r="Q169" s="209"/>
    </row>
    <row r="170">
      <c r="A170" s="178" t="s">
        <v>845</v>
      </c>
      <c r="B170" s="209"/>
      <c r="C170" s="209"/>
      <c r="D170" s="209"/>
      <c r="E170" s="209"/>
      <c r="F170" s="209"/>
      <c r="G170" s="209"/>
      <c r="H170" s="209"/>
      <c r="I170" s="209"/>
      <c r="J170" s="209"/>
      <c r="K170" s="209"/>
      <c r="L170" s="205"/>
      <c r="M170" s="205"/>
      <c r="N170" s="205"/>
      <c r="O170" s="209"/>
      <c r="P170" s="209"/>
      <c r="Q170" s="209"/>
    </row>
    <row r="171">
      <c r="A171" s="200" t="s">
        <v>847</v>
      </c>
      <c r="B171" s="200"/>
      <c r="C171" s="200"/>
      <c r="D171" s="200"/>
      <c r="E171" s="200"/>
      <c r="F171" s="200"/>
      <c r="G171" s="200"/>
      <c r="H171" s="200"/>
      <c r="I171" s="199"/>
      <c r="J171" s="199"/>
      <c r="K171" s="199"/>
      <c r="L171" s="203"/>
      <c r="M171" s="203"/>
      <c r="N171" s="205"/>
      <c r="O171" s="209"/>
      <c r="P171" s="209"/>
      <c r="Q171" s="209"/>
    </row>
    <row r="172">
      <c r="A172" s="28" t="s">
        <v>849</v>
      </c>
      <c r="B172" s="199"/>
      <c r="C172" s="199"/>
      <c r="D172" s="199"/>
      <c r="E172" s="199"/>
      <c r="F172" s="199"/>
      <c r="G172" s="200"/>
      <c r="H172" s="199"/>
      <c r="I172" s="199"/>
      <c r="J172" s="199"/>
      <c r="K172" s="199"/>
      <c r="L172" s="203"/>
      <c r="M172" s="203"/>
      <c r="N172" s="205"/>
      <c r="O172" s="209"/>
      <c r="P172" s="209"/>
      <c r="Q172" s="209"/>
    </row>
    <row r="173">
      <c r="A173" s="200" t="s">
        <v>856</v>
      </c>
      <c r="B173" s="208"/>
      <c r="C173" s="208"/>
      <c r="D173" s="200"/>
      <c r="E173" s="200"/>
      <c r="F173" s="199"/>
      <c r="G173" s="208"/>
      <c r="H173" s="200"/>
      <c r="I173" s="200"/>
      <c r="J173" s="199"/>
      <c r="K173" s="199"/>
      <c r="L173" s="203"/>
      <c r="M173" s="203"/>
      <c r="N173" s="205"/>
      <c r="O173" s="209"/>
      <c r="P173" s="209"/>
      <c r="Q173" s="209"/>
    </row>
    <row r="174">
      <c r="A174" s="200" t="s">
        <v>869</v>
      </c>
      <c r="B174" s="199"/>
      <c r="C174" s="199"/>
      <c r="D174" s="199"/>
      <c r="E174" s="199"/>
      <c r="F174" s="199"/>
      <c r="G174" s="199"/>
      <c r="H174" s="199"/>
      <c r="I174" s="199"/>
      <c r="J174" s="199"/>
      <c r="K174" s="199"/>
      <c r="L174" s="203"/>
      <c r="M174" s="203"/>
      <c r="N174" s="205"/>
      <c r="O174" s="209"/>
      <c r="P174" s="209"/>
      <c r="Q174" s="209"/>
    </row>
    <row r="175">
      <c r="A175" s="200" t="s">
        <v>895</v>
      </c>
      <c r="B175" s="199"/>
      <c r="C175" s="199"/>
      <c r="D175" s="199"/>
      <c r="E175" s="199"/>
      <c r="F175" s="199"/>
      <c r="G175" s="199"/>
      <c r="H175" s="199"/>
      <c r="I175" s="199"/>
      <c r="J175" s="199"/>
      <c r="K175" s="199"/>
      <c r="L175" s="203"/>
      <c r="M175" s="203"/>
      <c r="N175" s="203"/>
      <c r="O175" s="199"/>
      <c r="P175" s="199"/>
      <c r="Q175" s="199"/>
    </row>
    <row r="176">
      <c r="A176" s="200" t="s">
        <v>1475</v>
      </c>
      <c r="B176" s="200"/>
      <c r="C176" s="200"/>
      <c r="D176" s="200"/>
      <c r="E176" s="199"/>
      <c r="F176" s="200"/>
      <c r="G176" s="200"/>
      <c r="H176" s="200"/>
      <c r="I176" s="200"/>
      <c r="J176" s="199"/>
      <c r="K176" s="199"/>
      <c r="L176" s="203"/>
      <c r="M176" s="203"/>
      <c r="N176" s="203"/>
      <c r="O176" s="199"/>
      <c r="P176" s="199"/>
      <c r="Q176" s="199"/>
    </row>
    <row r="177">
      <c r="A177" s="28" t="s">
        <v>901</v>
      </c>
      <c r="B177" s="199"/>
      <c r="C177" s="199"/>
      <c r="D177" s="199"/>
      <c r="E177" s="199"/>
      <c r="F177" s="199"/>
      <c r="G177" s="200"/>
      <c r="H177" s="199"/>
      <c r="I177" s="199"/>
      <c r="J177" s="199"/>
      <c r="K177" s="199"/>
      <c r="L177" s="203"/>
      <c r="M177" s="203"/>
      <c r="N177" s="205"/>
      <c r="O177" s="209"/>
      <c r="P177" s="209"/>
      <c r="Q177" s="209"/>
    </row>
    <row r="178">
      <c r="A178" s="28" t="s">
        <v>1476</v>
      </c>
      <c r="B178" s="199"/>
      <c r="C178" s="199"/>
      <c r="D178" s="199"/>
      <c r="E178" s="199"/>
      <c r="F178" s="199"/>
      <c r="G178" s="200"/>
      <c r="H178" s="199"/>
      <c r="I178" s="199"/>
      <c r="J178" s="199"/>
      <c r="K178" s="199"/>
      <c r="L178" s="203"/>
      <c r="M178" s="203"/>
      <c r="N178" s="216"/>
      <c r="O178" s="199"/>
      <c r="P178" s="199"/>
      <c r="Q178" s="199"/>
    </row>
    <row r="179">
      <c r="A179" s="28" t="s">
        <v>904</v>
      </c>
      <c r="B179" s="199"/>
      <c r="C179" s="199"/>
      <c r="D179" s="199"/>
      <c r="E179" s="199"/>
      <c r="F179" s="199"/>
      <c r="G179" s="200"/>
      <c r="H179" s="199"/>
      <c r="I179" s="199"/>
      <c r="J179" s="199"/>
      <c r="K179" s="199"/>
      <c r="L179" s="203"/>
      <c r="M179" s="203"/>
      <c r="N179" s="205"/>
      <c r="O179" s="209"/>
      <c r="P179" s="209"/>
      <c r="Q179" s="209"/>
    </row>
    <row r="180">
      <c r="A180" s="11" t="s">
        <v>905</v>
      </c>
      <c r="B180" s="200"/>
      <c r="C180" s="200"/>
      <c r="D180" s="202"/>
      <c r="E180" s="200"/>
      <c r="F180" s="202"/>
      <c r="G180" s="202"/>
      <c r="H180" s="208"/>
      <c r="I180" s="208"/>
      <c r="J180" s="209"/>
      <c r="K180" s="209"/>
      <c r="L180" s="205"/>
      <c r="M180" s="205"/>
      <c r="N180" s="205"/>
      <c r="O180" s="209"/>
      <c r="P180" s="209"/>
      <c r="Q180" s="209"/>
    </row>
    <row r="181">
      <c r="A181" s="11" t="s">
        <v>910</v>
      </c>
      <c r="B181" s="200" t="s">
        <v>1477</v>
      </c>
      <c r="C181" s="200" t="s">
        <v>1478</v>
      </c>
      <c r="D181" s="202" t="s">
        <v>1479</v>
      </c>
      <c r="E181" s="200" t="s">
        <v>1480</v>
      </c>
      <c r="F181" s="202" t="s">
        <v>1481</v>
      </c>
      <c r="G181" s="202" t="s">
        <v>1482</v>
      </c>
      <c r="H181" s="208">
        <v>2.0</v>
      </c>
      <c r="I181" s="208" t="s">
        <v>1483</v>
      </c>
      <c r="J181" s="209">
        <v>20.0</v>
      </c>
      <c r="K181" s="209" t="s">
        <v>1484</v>
      </c>
      <c r="L181" s="205" t="s">
        <v>1485</v>
      </c>
      <c r="M181" s="205" t="s">
        <v>1484</v>
      </c>
      <c r="N181" s="205" t="s">
        <v>1484</v>
      </c>
      <c r="O181" s="209"/>
      <c r="P181" s="209"/>
      <c r="Q181" s="209"/>
    </row>
    <row r="182">
      <c r="A182" s="28" t="s">
        <v>933</v>
      </c>
      <c r="B182" s="199"/>
      <c r="C182" s="200"/>
      <c r="D182" s="202"/>
      <c r="E182" s="200"/>
      <c r="F182" s="202"/>
      <c r="G182" s="202"/>
      <c r="H182" s="208"/>
      <c r="I182" s="208"/>
      <c r="J182" s="209"/>
      <c r="K182" s="209"/>
      <c r="L182" s="205"/>
      <c r="M182" s="205"/>
      <c r="N182" s="216"/>
      <c r="O182" s="199"/>
      <c r="P182" s="199"/>
      <c r="Q182" s="199"/>
    </row>
    <row r="183">
      <c r="A183" s="28" t="s">
        <v>940</v>
      </c>
      <c r="B183" s="199"/>
      <c r="C183" s="200"/>
      <c r="D183" s="202"/>
      <c r="E183" s="200"/>
      <c r="F183" s="202"/>
      <c r="G183" s="202"/>
      <c r="H183" s="200"/>
      <c r="I183" s="199"/>
      <c r="J183" s="199"/>
      <c r="K183" s="199"/>
      <c r="L183" s="203"/>
      <c r="M183" s="203"/>
      <c r="N183" s="205"/>
      <c r="O183" s="209"/>
      <c r="P183" s="209"/>
      <c r="Q183" s="209"/>
    </row>
    <row r="184">
      <c r="A184" s="178" t="s">
        <v>944</v>
      </c>
      <c r="B184" s="199" t="s">
        <v>1477</v>
      </c>
      <c r="C184" s="200" t="s">
        <v>1486</v>
      </c>
      <c r="D184" s="202" t="s">
        <v>1487</v>
      </c>
      <c r="E184" s="200" t="s">
        <v>1488</v>
      </c>
      <c r="F184" s="202" t="s">
        <v>1489</v>
      </c>
      <c r="G184" s="202" t="s">
        <v>1482</v>
      </c>
      <c r="H184" s="208">
        <v>1.0</v>
      </c>
      <c r="I184" s="208" t="s">
        <v>1490</v>
      </c>
      <c r="J184" s="209">
        <v>20.0</v>
      </c>
      <c r="K184" s="209" t="s">
        <v>1491</v>
      </c>
      <c r="L184" s="205" t="s">
        <v>1492</v>
      </c>
      <c r="M184" s="205" t="s">
        <v>1491</v>
      </c>
      <c r="N184" s="203" t="s">
        <v>1491</v>
      </c>
      <c r="O184" s="199"/>
      <c r="P184" s="199"/>
      <c r="Q184" s="199"/>
    </row>
    <row r="185">
      <c r="A185" s="178" t="s">
        <v>1493</v>
      </c>
      <c r="B185" s="199" t="s">
        <v>1477</v>
      </c>
      <c r="C185" s="200" t="s">
        <v>1494</v>
      </c>
      <c r="D185" s="202" t="s">
        <v>1495</v>
      </c>
      <c r="E185" s="200" t="s">
        <v>1496</v>
      </c>
      <c r="F185" s="202" t="s">
        <v>1497</v>
      </c>
      <c r="G185" s="202" t="s">
        <v>1482</v>
      </c>
      <c r="H185" s="200">
        <v>1.0</v>
      </c>
      <c r="I185" s="199"/>
      <c r="J185" s="199"/>
      <c r="K185" s="199" t="s">
        <v>1498</v>
      </c>
      <c r="L185" s="203" t="s">
        <v>1499</v>
      </c>
      <c r="M185" s="203" t="s">
        <v>1498</v>
      </c>
      <c r="N185" s="203" t="s">
        <v>1498</v>
      </c>
      <c r="O185" s="199"/>
      <c r="P185" s="199"/>
      <c r="Q185" s="199"/>
    </row>
    <row r="186">
      <c r="A186" s="178" t="s">
        <v>956</v>
      </c>
      <c r="B186" s="199"/>
      <c r="C186" s="199"/>
      <c r="D186" s="199"/>
      <c r="E186" s="199"/>
      <c r="F186" s="199"/>
      <c r="G186" s="200" t="s">
        <v>1135</v>
      </c>
      <c r="H186" s="199"/>
      <c r="I186" s="199"/>
      <c r="J186" s="199"/>
      <c r="K186" s="199" t="s">
        <v>1500</v>
      </c>
      <c r="L186" s="203" t="s">
        <v>1500</v>
      </c>
      <c r="M186" s="203" t="s">
        <v>1500</v>
      </c>
      <c r="N186" s="203" t="s">
        <v>1500</v>
      </c>
      <c r="O186" s="199"/>
      <c r="P186" s="199"/>
      <c r="Q186" s="199"/>
    </row>
    <row r="187">
      <c r="A187" s="200" t="s">
        <v>958</v>
      </c>
      <c r="B187" s="200"/>
      <c r="C187" s="200"/>
      <c r="D187" s="200"/>
      <c r="E187" s="200"/>
      <c r="F187" s="200"/>
      <c r="G187" s="200"/>
      <c r="H187" s="200"/>
      <c r="I187" s="199"/>
      <c r="J187" s="199"/>
      <c r="K187" s="199"/>
      <c r="L187" s="203"/>
      <c r="M187" s="203"/>
      <c r="N187" s="203"/>
      <c r="O187" s="199"/>
      <c r="P187" s="199"/>
      <c r="Q187" s="199"/>
    </row>
    <row r="188">
      <c r="A188" s="178" t="s">
        <v>960</v>
      </c>
      <c r="B188" s="199" t="s">
        <v>1501</v>
      </c>
      <c r="C188" s="200" t="s">
        <v>1502</v>
      </c>
      <c r="D188" s="199" t="s">
        <v>1503</v>
      </c>
      <c r="E188" s="199" t="s">
        <v>1504</v>
      </c>
      <c r="F188" s="202" t="s">
        <v>1505</v>
      </c>
      <c r="G188" s="200" t="s">
        <v>1135</v>
      </c>
      <c r="H188" s="200">
        <v>125.0</v>
      </c>
      <c r="I188" s="199"/>
      <c r="J188" s="199"/>
      <c r="K188" s="199" t="s">
        <v>1506</v>
      </c>
      <c r="L188" s="216" t="s">
        <v>1507</v>
      </c>
      <c r="M188" s="216" t="s">
        <v>1506</v>
      </c>
      <c r="N188" s="205" t="s">
        <v>1506</v>
      </c>
      <c r="O188" s="209"/>
      <c r="P188" s="209"/>
      <c r="Q188" s="209"/>
    </row>
    <row r="189">
      <c r="A189" s="200" t="s">
        <v>965</v>
      </c>
      <c r="B189" s="199"/>
      <c r="C189" s="199"/>
      <c r="D189" s="199"/>
      <c r="E189" s="199"/>
      <c r="F189" s="199"/>
      <c r="G189" s="199"/>
      <c r="H189" s="199"/>
      <c r="I189" s="199"/>
      <c r="J189" s="199"/>
      <c r="K189" s="199"/>
      <c r="L189" s="203"/>
      <c r="M189" s="203"/>
      <c r="N189" s="205"/>
      <c r="O189" s="209"/>
      <c r="P189" s="209"/>
      <c r="Q189" s="209"/>
    </row>
    <row r="190">
      <c r="A190" s="178" t="s">
        <v>1508</v>
      </c>
      <c r="B190" s="209"/>
      <c r="C190" s="209"/>
      <c r="D190" s="209"/>
      <c r="E190" s="209"/>
      <c r="F190" s="209"/>
      <c r="G190" s="209"/>
      <c r="H190" s="209"/>
      <c r="I190" s="209"/>
      <c r="J190" s="209"/>
      <c r="K190" s="209"/>
      <c r="L190" s="205"/>
      <c r="M190" s="205"/>
      <c r="N190" s="205"/>
      <c r="O190" s="209"/>
      <c r="P190" s="209"/>
      <c r="Q190" s="209"/>
    </row>
    <row r="191">
      <c r="A191" s="28" t="s">
        <v>967</v>
      </c>
      <c r="B191" s="208" t="s">
        <v>1509</v>
      </c>
      <c r="C191" s="208" t="s">
        <v>1510</v>
      </c>
      <c r="D191" s="208" t="s">
        <v>1511</v>
      </c>
      <c r="E191" s="208" t="s">
        <v>1512</v>
      </c>
      <c r="F191" s="208" t="s">
        <v>1513</v>
      </c>
      <c r="G191" s="208" t="s">
        <v>1166</v>
      </c>
      <c r="H191" s="209"/>
      <c r="I191" s="209"/>
      <c r="J191" s="209"/>
      <c r="K191" s="209" t="s">
        <v>1514</v>
      </c>
      <c r="L191" s="205" t="s">
        <v>1515</v>
      </c>
      <c r="M191" s="205" t="s">
        <v>1514</v>
      </c>
      <c r="N191" s="203" t="s">
        <v>1514</v>
      </c>
      <c r="O191" s="199"/>
      <c r="P191" s="199"/>
      <c r="Q191" s="199"/>
    </row>
    <row r="192">
      <c r="A192" s="28" t="s">
        <v>969</v>
      </c>
      <c r="B192" s="208" t="s">
        <v>1509</v>
      </c>
      <c r="C192" s="208" t="s">
        <v>1510</v>
      </c>
      <c r="D192" s="208" t="s">
        <v>1516</v>
      </c>
      <c r="E192" s="208" t="s">
        <v>1512</v>
      </c>
      <c r="F192" s="208" t="s">
        <v>1517</v>
      </c>
      <c r="G192" s="208" t="s">
        <v>1166</v>
      </c>
      <c r="H192" s="209"/>
      <c r="I192" s="209"/>
      <c r="J192" s="209"/>
      <c r="K192" s="209" t="s">
        <v>1518</v>
      </c>
      <c r="L192" s="205" t="s">
        <v>1519</v>
      </c>
      <c r="M192" s="205" t="s">
        <v>1518</v>
      </c>
      <c r="N192" s="203" t="s">
        <v>1518</v>
      </c>
      <c r="O192" s="199"/>
      <c r="P192" s="199"/>
      <c r="Q192" s="199"/>
    </row>
    <row r="193">
      <c r="A193" s="28" t="s">
        <v>970</v>
      </c>
      <c r="B193" s="200" t="s">
        <v>1520</v>
      </c>
      <c r="C193" s="200" t="s">
        <v>1521</v>
      </c>
      <c r="D193" s="199" t="s">
        <v>1503</v>
      </c>
      <c r="E193" s="199" t="s">
        <v>1504</v>
      </c>
      <c r="F193" s="202" t="s">
        <v>1522</v>
      </c>
      <c r="G193" s="200" t="s">
        <v>1135</v>
      </c>
      <c r="H193" s="200">
        <v>125.0</v>
      </c>
      <c r="I193" s="199"/>
      <c r="J193" s="199"/>
      <c r="K193" s="199" t="s">
        <v>1523</v>
      </c>
      <c r="L193" s="216" t="s">
        <v>1524</v>
      </c>
      <c r="M193" s="216" t="s">
        <v>1523</v>
      </c>
      <c r="N193" s="203" t="s">
        <v>1523</v>
      </c>
      <c r="O193" s="199"/>
      <c r="P193" s="199"/>
      <c r="Q193" s="199"/>
    </row>
    <row r="194">
      <c r="A194" s="28" t="s">
        <v>984</v>
      </c>
      <c r="B194" s="200" t="s">
        <v>1520</v>
      </c>
      <c r="C194" s="200" t="s">
        <v>1525</v>
      </c>
      <c r="D194" s="199" t="s">
        <v>1503</v>
      </c>
      <c r="E194" s="199" t="s">
        <v>1504</v>
      </c>
      <c r="F194" s="202" t="s">
        <v>1522</v>
      </c>
      <c r="G194" s="200" t="s">
        <v>1135</v>
      </c>
      <c r="H194" s="200">
        <v>125.0</v>
      </c>
      <c r="I194" s="199"/>
      <c r="J194" s="199"/>
      <c r="K194" s="199" t="s">
        <v>1526</v>
      </c>
      <c r="L194" s="203" t="s">
        <v>1527</v>
      </c>
      <c r="M194" s="203" t="s">
        <v>1526</v>
      </c>
      <c r="N194" s="203" t="s">
        <v>1526</v>
      </c>
      <c r="O194" s="199"/>
      <c r="P194" s="199"/>
      <c r="Q194" s="199"/>
    </row>
    <row r="195">
      <c r="A195" s="200" t="s">
        <v>1528</v>
      </c>
      <c r="B195" s="199"/>
      <c r="C195" s="199"/>
      <c r="D195" s="199"/>
      <c r="E195" s="199"/>
      <c r="F195" s="199"/>
      <c r="G195" s="199"/>
      <c r="H195" s="199"/>
      <c r="I195" s="199"/>
      <c r="J195" s="199"/>
      <c r="K195" s="199"/>
      <c r="L195" s="203"/>
      <c r="M195" s="203"/>
      <c r="N195" s="203"/>
      <c r="O195" s="199"/>
      <c r="P195" s="199"/>
      <c r="Q195" s="199"/>
    </row>
    <row r="196">
      <c r="A196" s="28" t="s">
        <v>985</v>
      </c>
      <c r="B196" s="208"/>
      <c r="C196" s="208"/>
      <c r="D196" s="208"/>
      <c r="E196" s="208"/>
      <c r="F196" s="208"/>
      <c r="G196" s="208"/>
      <c r="H196" s="200"/>
      <c r="I196" s="200"/>
      <c r="J196" s="209"/>
      <c r="K196" s="209"/>
      <c r="L196" s="210"/>
      <c r="M196" s="210"/>
      <c r="N196" s="203"/>
      <c r="O196" s="199"/>
      <c r="P196" s="199"/>
      <c r="Q196" s="199"/>
    </row>
    <row r="197">
      <c r="A197" s="178" t="s">
        <v>994</v>
      </c>
      <c r="B197" s="209"/>
      <c r="C197" s="209"/>
      <c r="D197" s="209"/>
      <c r="E197" s="209"/>
      <c r="F197" s="209"/>
      <c r="G197" s="209"/>
      <c r="H197" s="209"/>
      <c r="I197" s="209"/>
      <c r="J197" s="209"/>
      <c r="K197" s="209"/>
      <c r="L197" s="205"/>
      <c r="M197" s="205"/>
      <c r="N197" s="203"/>
      <c r="O197" s="199"/>
      <c r="P197" s="199"/>
      <c r="Q197" s="199"/>
    </row>
    <row r="198">
      <c r="A198" s="178" t="s">
        <v>995</v>
      </c>
      <c r="B198" s="199" t="s">
        <v>1529</v>
      </c>
      <c r="C198" s="199" t="s">
        <v>1530</v>
      </c>
      <c r="D198" s="199" t="s">
        <v>1531</v>
      </c>
      <c r="E198" s="199"/>
      <c r="F198" s="199"/>
      <c r="G198" s="199" t="s">
        <v>1384</v>
      </c>
      <c r="H198" s="199"/>
      <c r="I198" s="199"/>
      <c r="J198" s="199"/>
      <c r="K198" s="199" t="s">
        <v>1532</v>
      </c>
      <c r="L198" s="203" t="s">
        <v>1532</v>
      </c>
      <c r="M198" s="203" t="s">
        <v>1532</v>
      </c>
      <c r="N198" s="203" t="s">
        <v>1532</v>
      </c>
      <c r="O198" s="199"/>
      <c r="P198" s="199"/>
      <c r="Q198" s="199"/>
    </row>
    <row r="199">
      <c r="A199" s="178" t="s">
        <v>997</v>
      </c>
      <c r="B199" s="209"/>
      <c r="C199" s="209"/>
      <c r="D199" s="209"/>
      <c r="E199" s="209"/>
      <c r="F199" s="209"/>
      <c r="G199" s="209"/>
      <c r="H199" s="209"/>
      <c r="I199" s="209"/>
      <c r="J199" s="209"/>
      <c r="K199" s="209"/>
      <c r="L199" s="205"/>
      <c r="M199" s="205"/>
      <c r="N199" s="203"/>
      <c r="O199" s="199"/>
      <c r="P199" s="199"/>
      <c r="Q199" s="199"/>
    </row>
    <row r="200">
      <c r="A200" s="178" t="s">
        <v>998</v>
      </c>
      <c r="B200" s="199" t="s">
        <v>1529</v>
      </c>
      <c r="C200" s="199" t="s">
        <v>1533</v>
      </c>
      <c r="D200" s="199" t="s">
        <v>1531</v>
      </c>
      <c r="E200" s="199"/>
      <c r="F200" s="199"/>
      <c r="G200" s="199" t="s">
        <v>1384</v>
      </c>
      <c r="H200" s="199"/>
      <c r="I200" s="199"/>
      <c r="J200" s="199"/>
      <c r="K200" s="199" t="s">
        <v>1534</v>
      </c>
      <c r="L200" s="203" t="s">
        <v>1534</v>
      </c>
      <c r="M200" s="203" t="s">
        <v>1534</v>
      </c>
      <c r="N200" s="203" t="s">
        <v>1534</v>
      </c>
      <c r="O200" s="199"/>
      <c r="P200" s="199"/>
      <c r="Q200" s="199"/>
    </row>
    <row r="201">
      <c r="A201" s="178" t="s">
        <v>1000</v>
      </c>
      <c r="B201" s="199" t="s">
        <v>1529</v>
      </c>
      <c r="C201" s="199" t="s">
        <v>1535</v>
      </c>
      <c r="D201" s="199" t="s">
        <v>1206</v>
      </c>
      <c r="E201" s="199"/>
      <c r="F201" s="199"/>
      <c r="G201" s="199" t="s">
        <v>1384</v>
      </c>
      <c r="H201" s="199"/>
      <c r="I201" s="199"/>
      <c r="J201" s="199"/>
      <c r="K201" s="199" t="s">
        <v>1536</v>
      </c>
      <c r="L201" s="203" t="s">
        <v>1536</v>
      </c>
      <c r="M201" s="203" t="s">
        <v>1536</v>
      </c>
      <c r="N201" s="203" t="s">
        <v>1536</v>
      </c>
      <c r="O201" s="199"/>
      <c r="P201" s="199"/>
      <c r="Q201" s="199"/>
    </row>
    <row r="202">
      <c r="A202" s="178" t="s">
        <v>1537</v>
      </c>
      <c r="B202" s="211" t="s">
        <v>1538</v>
      </c>
      <c r="C202" s="220" t="s">
        <v>1539</v>
      </c>
      <c r="D202" s="199" t="s">
        <v>1540</v>
      </c>
      <c r="E202" s="199" t="s">
        <v>1541</v>
      </c>
      <c r="F202" s="211" t="s">
        <v>1542</v>
      </c>
      <c r="G202" s="199" t="s">
        <v>1543</v>
      </c>
      <c r="H202" s="199"/>
      <c r="I202" s="199"/>
      <c r="J202" s="199"/>
      <c r="K202" s="199" t="s">
        <v>1544</v>
      </c>
      <c r="L202" s="203" t="s">
        <v>1545</v>
      </c>
      <c r="M202" s="203" t="s">
        <v>1544</v>
      </c>
      <c r="N202" s="203" t="s">
        <v>1544</v>
      </c>
      <c r="O202" s="199"/>
      <c r="P202" s="199"/>
      <c r="Q202" s="199"/>
    </row>
    <row r="203">
      <c r="A203" s="178" t="s">
        <v>1546</v>
      </c>
      <c r="B203" s="211" t="s">
        <v>1538</v>
      </c>
      <c r="C203" s="220" t="s">
        <v>1539</v>
      </c>
      <c r="D203" s="199" t="s">
        <v>1547</v>
      </c>
      <c r="E203" s="199" t="s">
        <v>1541</v>
      </c>
      <c r="F203" s="211" t="s">
        <v>1542</v>
      </c>
      <c r="G203" s="199" t="s">
        <v>1543</v>
      </c>
      <c r="H203" s="199"/>
      <c r="I203" s="199"/>
      <c r="J203" s="199"/>
      <c r="K203" s="199" t="s">
        <v>1548</v>
      </c>
      <c r="L203" s="203" t="s">
        <v>1549</v>
      </c>
      <c r="M203" s="203" t="s">
        <v>1548</v>
      </c>
      <c r="N203" s="203" t="s">
        <v>1548</v>
      </c>
      <c r="O203" s="199"/>
      <c r="P203" s="199"/>
      <c r="Q203" s="199"/>
    </row>
    <row r="204">
      <c r="A204" s="178" t="s">
        <v>1550</v>
      </c>
      <c r="B204" s="211" t="s">
        <v>1538</v>
      </c>
      <c r="C204" s="220" t="s">
        <v>1539</v>
      </c>
      <c r="D204" s="199" t="s">
        <v>1551</v>
      </c>
      <c r="E204" s="199" t="s">
        <v>1541</v>
      </c>
      <c r="F204" s="211" t="s">
        <v>1542</v>
      </c>
      <c r="G204" s="199" t="s">
        <v>1543</v>
      </c>
      <c r="H204" s="199"/>
      <c r="I204" s="199"/>
      <c r="J204" s="199"/>
      <c r="K204" s="199" t="s">
        <v>1552</v>
      </c>
      <c r="L204" s="203" t="s">
        <v>1553</v>
      </c>
      <c r="M204" s="203" t="s">
        <v>1552</v>
      </c>
      <c r="N204" s="203" t="s">
        <v>1552</v>
      </c>
      <c r="O204" s="199"/>
      <c r="P204" s="199"/>
      <c r="Q204" s="199"/>
    </row>
    <row r="205">
      <c r="A205" s="178" t="s">
        <v>1554</v>
      </c>
      <c r="B205" s="211" t="s">
        <v>1538</v>
      </c>
      <c r="C205" s="220" t="s">
        <v>1539</v>
      </c>
      <c r="D205" s="199" t="s">
        <v>1555</v>
      </c>
      <c r="E205" s="199" t="s">
        <v>1541</v>
      </c>
      <c r="F205" s="211" t="s">
        <v>1542</v>
      </c>
      <c r="G205" s="199" t="s">
        <v>1543</v>
      </c>
      <c r="H205" s="199"/>
      <c r="I205" s="199"/>
      <c r="J205" s="199"/>
      <c r="K205" s="199" t="s">
        <v>1556</v>
      </c>
      <c r="L205" s="203" t="s">
        <v>1557</v>
      </c>
      <c r="M205" s="203" t="s">
        <v>1556</v>
      </c>
      <c r="N205" s="203" t="s">
        <v>1556</v>
      </c>
      <c r="O205" s="199"/>
      <c r="P205" s="199"/>
      <c r="Q205" s="199"/>
    </row>
    <row r="206">
      <c r="A206" s="178" t="s">
        <v>1558</v>
      </c>
      <c r="B206" s="211" t="s">
        <v>1538</v>
      </c>
      <c r="C206" s="220" t="s">
        <v>1539</v>
      </c>
      <c r="D206" s="199" t="s">
        <v>1559</v>
      </c>
      <c r="E206" s="199" t="s">
        <v>1541</v>
      </c>
      <c r="F206" s="211" t="s">
        <v>1542</v>
      </c>
      <c r="G206" s="199" t="s">
        <v>1543</v>
      </c>
      <c r="H206" s="199"/>
      <c r="I206" s="199"/>
      <c r="J206" s="199"/>
      <c r="K206" s="199" t="s">
        <v>1560</v>
      </c>
      <c r="L206" s="203" t="s">
        <v>1561</v>
      </c>
      <c r="M206" s="203" t="s">
        <v>1560</v>
      </c>
      <c r="N206" s="203" t="s">
        <v>1560</v>
      </c>
      <c r="O206" s="199"/>
      <c r="P206" s="199"/>
      <c r="Q206" s="199"/>
    </row>
    <row r="207">
      <c r="A207" s="178" t="s">
        <v>1562</v>
      </c>
      <c r="B207" s="199" t="s">
        <v>1563</v>
      </c>
      <c r="C207" s="213" t="s">
        <v>1539</v>
      </c>
      <c r="D207" s="199" t="s">
        <v>1564</v>
      </c>
      <c r="E207" s="199"/>
      <c r="F207" s="199" t="s">
        <v>1565</v>
      </c>
      <c r="G207" s="199" t="s">
        <v>1543</v>
      </c>
      <c r="H207" s="199"/>
      <c r="I207" s="199"/>
      <c r="J207" s="199"/>
      <c r="K207" s="199" t="s">
        <v>1566</v>
      </c>
      <c r="L207" s="203" t="s">
        <v>1566</v>
      </c>
      <c r="M207" s="203" t="s">
        <v>1566</v>
      </c>
      <c r="N207" s="203" t="s">
        <v>1566</v>
      </c>
      <c r="O207" s="199"/>
      <c r="P207" s="199"/>
      <c r="Q207" s="199"/>
    </row>
    <row r="208">
      <c r="A208" s="178" t="s">
        <v>1567</v>
      </c>
      <c r="B208" s="199" t="s">
        <v>1563</v>
      </c>
      <c r="C208" s="213" t="s">
        <v>1539</v>
      </c>
      <c r="D208" s="199" t="s">
        <v>1568</v>
      </c>
      <c r="E208" s="199"/>
      <c r="F208" s="199" t="s">
        <v>1565</v>
      </c>
      <c r="G208" s="199" t="s">
        <v>1543</v>
      </c>
      <c r="H208" s="199"/>
      <c r="I208" s="199"/>
      <c r="J208" s="199"/>
      <c r="K208" s="199" t="s">
        <v>1569</v>
      </c>
      <c r="L208" s="203" t="s">
        <v>1569</v>
      </c>
      <c r="M208" s="203" t="s">
        <v>1569</v>
      </c>
      <c r="N208" s="203" t="s">
        <v>1569</v>
      </c>
      <c r="O208" s="200"/>
      <c r="P208" s="200"/>
      <c r="Q208" s="200"/>
    </row>
    <row r="209">
      <c r="A209" s="178" t="s">
        <v>1570</v>
      </c>
      <c r="B209" s="199" t="s">
        <v>1563</v>
      </c>
      <c r="C209" s="213" t="s">
        <v>1539</v>
      </c>
      <c r="D209" s="199" t="s">
        <v>1571</v>
      </c>
      <c r="E209" s="199"/>
      <c r="F209" s="199" t="s">
        <v>1565</v>
      </c>
      <c r="G209" s="199" t="s">
        <v>1543</v>
      </c>
      <c r="H209" s="199"/>
      <c r="I209" s="199"/>
      <c r="J209" s="199"/>
      <c r="K209" s="199" t="s">
        <v>1572</v>
      </c>
      <c r="L209" s="203" t="s">
        <v>1572</v>
      </c>
      <c r="M209" s="203" t="s">
        <v>1572</v>
      </c>
      <c r="N209" s="203" t="s">
        <v>1572</v>
      </c>
      <c r="O209" s="199"/>
      <c r="P209" s="199"/>
      <c r="Q209" s="199"/>
    </row>
    <row r="210">
      <c r="A210" s="178" t="s">
        <v>1573</v>
      </c>
      <c r="B210" s="199" t="s">
        <v>1563</v>
      </c>
      <c r="C210" s="213" t="s">
        <v>1539</v>
      </c>
      <c r="D210" s="199" t="s">
        <v>1574</v>
      </c>
      <c r="E210" s="199"/>
      <c r="F210" s="199" t="s">
        <v>1565</v>
      </c>
      <c r="G210" s="199" t="s">
        <v>1543</v>
      </c>
      <c r="H210" s="199"/>
      <c r="I210" s="199"/>
      <c r="J210" s="199"/>
      <c r="K210" s="199" t="s">
        <v>1575</v>
      </c>
      <c r="L210" s="203" t="s">
        <v>1575</v>
      </c>
      <c r="M210" s="203" t="s">
        <v>1575</v>
      </c>
      <c r="N210" s="203" t="s">
        <v>1575</v>
      </c>
      <c r="O210" s="199"/>
      <c r="P210" s="199"/>
      <c r="Q210" s="199"/>
    </row>
    <row r="211">
      <c r="A211" s="178" t="s">
        <v>1576</v>
      </c>
      <c r="B211" s="199" t="s">
        <v>1563</v>
      </c>
      <c r="C211" s="213" t="s">
        <v>1539</v>
      </c>
      <c r="D211" s="199" t="s">
        <v>1577</v>
      </c>
      <c r="E211" s="199"/>
      <c r="F211" s="199" t="s">
        <v>1565</v>
      </c>
      <c r="G211" s="199" t="s">
        <v>1543</v>
      </c>
      <c r="H211" s="199"/>
      <c r="I211" s="199"/>
      <c r="J211" s="199"/>
      <c r="K211" s="199" t="s">
        <v>1578</v>
      </c>
      <c r="L211" s="203" t="s">
        <v>1578</v>
      </c>
      <c r="M211" s="203" t="s">
        <v>1578</v>
      </c>
      <c r="N211" s="203" t="s">
        <v>1578</v>
      </c>
      <c r="O211" s="199"/>
      <c r="P211" s="199"/>
      <c r="Q211" s="199"/>
    </row>
    <row r="212">
      <c r="A212" s="178" t="s">
        <v>1579</v>
      </c>
      <c r="B212" s="199" t="s">
        <v>1563</v>
      </c>
      <c r="C212" s="213" t="s">
        <v>1539</v>
      </c>
      <c r="D212" s="199" t="s">
        <v>1580</v>
      </c>
      <c r="E212" s="199"/>
      <c r="F212" s="199" t="s">
        <v>1565</v>
      </c>
      <c r="G212" s="199" t="s">
        <v>1543</v>
      </c>
      <c r="H212" s="199"/>
      <c r="I212" s="199"/>
      <c r="J212" s="199"/>
      <c r="K212" s="199" t="s">
        <v>1581</v>
      </c>
      <c r="L212" s="203" t="s">
        <v>1581</v>
      </c>
      <c r="M212" s="203" t="s">
        <v>1581</v>
      </c>
      <c r="N212" s="203" t="s">
        <v>1581</v>
      </c>
      <c r="O212" s="199"/>
      <c r="P212" s="199"/>
      <c r="Q212" s="199"/>
    </row>
    <row r="213">
      <c r="A213" s="178" t="s">
        <v>1582</v>
      </c>
      <c r="B213" s="199" t="s">
        <v>1563</v>
      </c>
      <c r="C213" s="213" t="s">
        <v>1539</v>
      </c>
      <c r="D213" s="199" t="s">
        <v>1583</v>
      </c>
      <c r="E213" s="199"/>
      <c r="F213" s="199" t="s">
        <v>1565</v>
      </c>
      <c r="G213" s="199" t="s">
        <v>1543</v>
      </c>
      <c r="H213" s="199"/>
      <c r="I213" s="199"/>
      <c r="J213" s="199"/>
      <c r="K213" s="199" t="s">
        <v>1584</v>
      </c>
      <c r="L213" s="203" t="s">
        <v>1584</v>
      </c>
      <c r="M213" s="203" t="s">
        <v>1584</v>
      </c>
      <c r="N213" s="203" t="s">
        <v>1584</v>
      </c>
      <c r="O213" s="199"/>
      <c r="P213" s="199"/>
      <c r="Q213" s="199"/>
    </row>
    <row r="214">
      <c r="A214" s="28"/>
      <c r="B214" s="208"/>
      <c r="C214" s="208"/>
      <c r="D214" s="200"/>
      <c r="E214" s="200"/>
      <c r="F214" s="199"/>
      <c r="G214" s="208"/>
      <c r="H214" s="200"/>
      <c r="I214" s="200"/>
      <c r="J214" s="199"/>
      <c r="K214" s="199"/>
      <c r="L214" s="203"/>
      <c r="M214" s="203"/>
      <c r="N214" s="203"/>
      <c r="O214" s="199"/>
      <c r="P214" s="199"/>
      <c r="Q214" s="199"/>
    </row>
    <row r="215">
      <c r="A215" s="200"/>
      <c r="B215" s="208"/>
      <c r="C215" s="208"/>
      <c r="D215" s="200"/>
      <c r="E215" s="200"/>
      <c r="F215" s="199"/>
      <c r="G215" s="208"/>
      <c r="H215" s="200"/>
      <c r="I215" s="200"/>
      <c r="J215" s="199"/>
      <c r="K215" s="199"/>
      <c r="L215" s="203"/>
      <c r="M215" s="203"/>
      <c r="N215" s="203"/>
      <c r="O215" s="199"/>
      <c r="P215" s="199"/>
      <c r="Q215" s="199"/>
    </row>
    <row r="216">
      <c r="A216" s="200"/>
      <c r="B216" s="208"/>
      <c r="C216" s="208"/>
      <c r="D216" s="200"/>
      <c r="E216" s="200"/>
      <c r="F216" s="199"/>
      <c r="G216" s="208"/>
      <c r="H216" s="200"/>
      <c r="I216" s="200"/>
      <c r="J216" s="199"/>
      <c r="K216" s="199"/>
      <c r="L216" s="203"/>
      <c r="M216" s="203"/>
      <c r="N216" s="203"/>
      <c r="O216" s="199"/>
      <c r="P216" s="199"/>
      <c r="Q216" s="199"/>
    </row>
    <row r="217">
      <c r="A217" s="200"/>
      <c r="B217" s="208"/>
      <c r="C217" s="208"/>
      <c r="D217" s="200"/>
      <c r="E217" s="200"/>
      <c r="F217" s="199"/>
      <c r="G217" s="208"/>
      <c r="H217" s="200"/>
      <c r="I217" s="200"/>
      <c r="J217" s="199"/>
      <c r="K217" s="199"/>
      <c r="L217" s="203"/>
      <c r="M217" s="203"/>
      <c r="N217" s="203"/>
      <c r="O217" s="199"/>
      <c r="P217" s="199"/>
      <c r="Q217" s="199"/>
    </row>
    <row r="218">
      <c r="A218" s="200"/>
      <c r="B218" s="208"/>
      <c r="C218" s="208"/>
      <c r="D218" s="200"/>
      <c r="E218" s="200"/>
      <c r="F218" s="199"/>
      <c r="G218" s="208"/>
      <c r="H218" s="200"/>
      <c r="I218" s="200"/>
      <c r="J218" s="199"/>
      <c r="K218" s="199"/>
      <c r="L218" s="203"/>
      <c r="M218" s="203"/>
      <c r="N218" s="203"/>
      <c r="O218" s="199"/>
      <c r="P218" s="199"/>
      <c r="Q218" s="199"/>
    </row>
    <row r="219">
      <c r="A219" s="200"/>
      <c r="B219" s="208"/>
      <c r="C219" s="208"/>
      <c r="D219" s="200"/>
      <c r="E219" s="200"/>
      <c r="F219" s="199"/>
      <c r="G219" s="208"/>
      <c r="H219" s="200"/>
      <c r="I219" s="200"/>
      <c r="J219" s="199"/>
      <c r="K219" s="199"/>
      <c r="L219" s="203"/>
      <c r="M219" s="203"/>
      <c r="N219" s="203"/>
      <c r="O219" s="199"/>
      <c r="P219" s="199"/>
      <c r="Q219" s="199"/>
    </row>
    <row r="220">
      <c r="A220" s="200"/>
      <c r="B220" s="208"/>
      <c r="C220" s="208"/>
      <c r="D220" s="200"/>
      <c r="E220" s="200"/>
      <c r="F220" s="199"/>
      <c r="G220" s="208"/>
      <c r="H220" s="200"/>
      <c r="I220" s="200"/>
      <c r="J220" s="199"/>
      <c r="K220" s="199"/>
      <c r="L220" s="203"/>
      <c r="M220" s="203"/>
      <c r="N220" s="203"/>
      <c r="O220" s="199"/>
      <c r="P220" s="199"/>
      <c r="Q220" s="199"/>
    </row>
    <row r="221">
      <c r="A221" s="28"/>
      <c r="B221" s="199"/>
      <c r="C221" s="199"/>
      <c r="D221" s="199"/>
      <c r="E221" s="199"/>
      <c r="F221" s="199"/>
      <c r="G221" s="200"/>
      <c r="H221" s="199"/>
      <c r="I221" s="199"/>
      <c r="J221" s="199"/>
      <c r="K221" s="199"/>
      <c r="L221" s="203"/>
      <c r="M221" s="203"/>
      <c r="N221" s="203"/>
      <c r="O221" s="199"/>
      <c r="P221" s="199"/>
      <c r="Q221" s="199"/>
    </row>
    <row r="222">
      <c r="A222" s="28"/>
      <c r="B222" s="199"/>
      <c r="C222" s="199"/>
      <c r="D222" s="199"/>
      <c r="E222" s="199"/>
      <c r="F222" s="199"/>
      <c r="G222" s="200"/>
      <c r="H222" s="199"/>
      <c r="I222" s="199"/>
      <c r="J222" s="199"/>
      <c r="K222" s="199"/>
      <c r="L222" s="203"/>
      <c r="M222" s="203"/>
      <c r="N222" s="203"/>
      <c r="O222" s="199"/>
      <c r="P222" s="199"/>
      <c r="Q222" s="199"/>
    </row>
    <row r="223">
      <c r="A223" s="28"/>
      <c r="B223" s="199"/>
      <c r="C223" s="199"/>
      <c r="D223" s="199"/>
      <c r="E223" s="199"/>
      <c r="F223" s="199"/>
      <c r="G223" s="200"/>
      <c r="H223" s="199"/>
      <c r="I223" s="199"/>
      <c r="J223" s="199"/>
      <c r="K223" s="199"/>
      <c r="L223" s="203"/>
      <c r="M223" s="203"/>
      <c r="N223" s="203"/>
      <c r="O223" s="199"/>
      <c r="P223" s="199"/>
      <c r="Q223" s="199"/>
    </row>
    <row r="224">
      <c r="A224" s="28"/>
      <c r="B224" s="199"/>
      <c r="C224" s="199"/>
      <c r="D224" s="199"/>
      <c r="E224" s="199"/>
      <c r="F224" s="199"/>
      <c r="G224" s="200"/>
      <c r="H224" s="199"/>
      <c r="I224" s="199"/>
      <c r="J224" s="199"/>
      <c r="K224" s="199"/>
      <c r="L224" s="203"/>
      <c r="M224" s="203"/>
      <c r="N224" s="203"/>
      <c r="O224" s="199"/>
      <c r="P224" s="199"/>
      <c r="Q224" s="199"/>
    </row>
    <row r="225">
      <c r="A225" s="28"/>
      <c r="B225" s="199"/>
      <c r="C225" s="199"/>
      <c r="D225" s="199"/>
      <c r="E225" s="199"/>
      <c r="F225" s="199"/>
      <c r="G225" s="200"/>
      <c r="H225" s="199"/>
      <c r="I225" s="199"/>
      <c r="J225" s="199"/>
      <c r="K225" s="199"/>
      <c r="L225" s="203"/>
      <c r="M225" s="203"/>
      <c r="N225" s="203"/>
      <c r="O225" s="199"/>
      <c r="P225" s="199"/>
      <c r="Q225" s="199"/>
    </row>
    <row r="226">
      <c r="A226" s="28"/>
      <c r="B226" s="199"/>
      <c r="C226" s="199"/>
      <c r="D226" s="199"/>
      <c r="E226" s="199"/>
      <c r="F226" s="199"/>
      <c r="G226" s="200"/>
      <c r="H226" s="199"/>
      <c r="I226" s="199"/>
      <c r="J226" s="199"/>
      <c r="K226" s="199"/>
      <c r="L226" s="203"/>
      <c r="M226" s="203"/>
      <c r="N226" s="203"/>
      <c r="O226" s="199"/>
      <c r="P226" s="199"/>
      <c r="Q226" s="199"/>
    </row>
    <row r="227">
      <c r="A227" s="28"/>
      <c r="B227" s="199"/>
      <c r="C227" s="199"/>
      <c r="D227" s="199"/>
      <c r="E227" s="199"/>
      <c r="F227" s="199"/>
      <c r="G227" s="200"/>
      <c r="H227" s="199"/>
      <c r="I227" s="199"/>
      <c r="J227" s="199"/>
      <c r="K227" s="199"/>
      <c r="L227" s="203"/>
      <c r="M227" s="203"/>
      <c r="N227" s="203"/>
      <c r="O227" s="199"/>
      <c r="P227" s="199"/>
      <c r="Q227" s="199"/>
    </row>
    <row r="228">
      <c r="A228" s="28"/>
      <c r="B228" s="199"/>
      <c r="C228" s="199"/>
      <c r="D228" s="199"/>
      <c r="E228" s="199"/>
      <c r="F228" s="199"/>
      <c r="G228" s="200"/>
      <c r="H228" s="199"/>
      <c r="I228" s="199"/>
      <c r="J228" s="199"/>
      <c r="K228" s="199"/>
      <c r="L228" s="203"/>
      <c r="M228" s="203"/>
      <c r="N228" s="203"/>
      <c r="O228" s="199"/>
      <c r="P228" s="199"/>
      <c r="Q228" s="199"/>
    </row>
    <row r="229">
      <c r="A229" s="28"/>
      <c r="B229" s="199"/>
      <c r="C229" s="199"/>
      <c r="D229" s="199"/>
      <c r="E229" s="199"/>
      <c r="F229" s="199"/>
      <c r="G229" s="200"/>
      <c r="H229" s="199"/>
      <c r="I229" s="199"/>
      <c r="J229" s="199"/>
      <c r="K229" s="199"/>
      <c r="L229" s="203"/>
      <c r="M229" s="203"/>
      <c r="N229" s="203"/>
      <c r="O229" s="199"/>
      <c r="P229" s="199"/>
      <c r="Q229" s="199"/>
    </row>
    <row r="230">
      <c r="A230" s="28"/>
      <c r="B230" s="199"/>
      <c r="C230" s="199"/>
      <c r="D230" s="199"/>
      <c r="E230" s="199"/>
      <c r="F230" s="199"/>
      <c r="G230" s="200"/>
      <c r="H230" s="199"/>
      <c r="I230" s="199"/>
      <c r="J230" s="199"/>
      <c r="K230" s="199"/>
      <c r="L230" s="203"/>
      <c r="M230" s="203"/>
      <c r="N230" s="203"/>
      <c r="O230" s="199"/>
      <c r="P230" s="199"/>
      <c r="Q230" s="199"/>
    </row>
    <row r="231">
      <c r="A231" s="28"/>
      <c r="B231" s="199"/>
      <c r="C231" s="199"/>
      <c r="D231" s="199"/>
      <c r="E231" s="199"/>
      <c r="F231" s="199"/>
      <c r="G231" s="200"/>
      <c r="H231" s="199"/>
      <c r="I231" s="199"/>
      <c r="J231" s="199"/>
      <c r="K231" s="199"/>
      <c r="L231" s="203"/>
      <c r="M231" s="203"/>
      <c r="N231" s="203"/>
      <c r="O231" s="199"/>
      <c r="P231" s="199"/>
      <c r="Q231" s="199"/>
    </row>
    <row r="232">
      <c r="A232" s="28"/>
      <c r="B232" s="199"/>
      <c r="C232" s="199"/>
      <c r="D232" s="199"/>
      <c r="E232" s="199"/>
      <c r="F232" s="199"/>
      <c r="G232" s="200"/>
      <c r="H232" s="199"/>
      <c r="I232" s="199"/>
      <c r="J232" s="199"/>
      <c r="K232" s="199"/>
      <c r="L232" s="203"/>
      <c r="M232" s="203"/>
      <c r="N232" s="203"/>
      <c r="O232" s="199"/>
      <c r="P232" s="199"/>
      <c r="Q232" s="199"/>
    </row>
    <row r="233">
      <c r="A233" s="28"/>
      <c r="B233" s="199"/>
      <c r="C233" s="199"/>
      <c r="D233" s="199"/>
      <c r="E233" s="199"/>
      <c r="F233" s="199"/>
      <c r="G233" s="200"/>
      <c r="H233" s="199"/>
      <c r="I233" s="199"/>
      <c r="J233" s="199"/>
      <c r="K233" s="199"/>
      <c r="L233" s="203"/>
      <c r="M233" s="203"/>
      <c r="N233" s="203"/>
      <c r="O233" s="199"/>
      <c r="P233" s="199"/>
      <c r="Q233" s="199"/>
    </row>
    <row r="234">
      <c r="A234" s="28"/>
      <c r="B234" s="199"/>
      <c r="C234" s="199"/>
      <c r="D234" s="199"/>
      <c r="E234" s="199"/>
      <c r="F234" s="199"/>
      <c r="G234" s="200"/>
      <c r="H234" s="199"/>
      <c r="I234" s="199"/>
      <c r="J234" s="199"/>
      <c r="K234" s="199"/>
      <c r="L234" s="203"/>
      <c r="M234" s="203"/>
      <c r="N234" s="203"/>
      <c r="O234" s="199"/>
      <c r="P234" s="199"/>
      <c r="Q234" s="199"/>
    </row>
    <row r="235">
      <c r="A235" s="28"/>
      <c r="B235" s="199"/>
      <c r="C235" s="199"/>
      <c r="D235" s="199"/>
      <c r="E235" s="199"/>
      <c r="F235" s="199"/>
      <c r="G235" s="200"/>
      <c r="H235" s="199"/>
      <c r="I235" s="199"/>
      <c r="J235" s="199"/>
      <c r="K235" s="199"/>
      <c r="L235" s="203"/>
      <c r="M235" s="203"/>
      <c r="N235" s="203"/>
      <c r="O235" s="199"/>
      <c r="P235" s="199"/>
      <c r="Q235" s="199"/>
    </row>
    <row r="236">
      <c r="A236" s="28"/>
      <c r="B236" s="199"/>
      <c r="C236" s="199"/>
      <c r="D236" s="199"/>
      <c r="E236" s="199"/>
      <c r="F236" s="199"/>
      <c r="G236" s="200"/>
      <c r="H236" s="199"/>
      <c r="I236" s="199"/>
      <c r="J236" s="199"/>
      <c r="K236" s="199"/>
      <c r="L236" s="203"/>
      <c r="M236" s="203"/>
      <c r="N236" s="203"/>
      <c r="O236" s="199"/>
      <c r="P236" s="199"/>
      <c r="Q236" s="199"/>
    </row>
    <row r="237">
      <c r="A237" s="28"/>
      <c r="B237" s="199"/>
      <c r="C237" s="199"/>
      <c r="D237" s="199"/>
      <c r="E237" s="199"/>
      <c r="F237" s="199"/>
      <c r="G237" s="200"/>
      <c r="H237" s="199"/>
      <c r="I237" s="199"/>
      <c r="J237" s="199"/>
      <c r="K237" s="199"/>
      <c r="L237" s="203"/>
      <c r="M237" s="203"/>
      <c r="N237" s="203"/>
      <c r="O237" s="199"/>
      <c r="P237" s="199"/>
      <c r="Q237" s="199"/>
    </row>
    <row r="238">
      <c r="A238" s="28"/>
      <c r="B238" s="199"/>
      <c r="C238" s="199"/>
      <c r="D238" s="199"/>
      <c r="E238" s="199"/>
      <c r="F238" s="199"/>
      <c r="G238" s="200"/>
      <c r="H238" s="199"/>
      <c r="I238" s="199"/>
      <c r="J238" s="199"/>
      <c r="K238" s="199"/>
      <c r="L238" s="203"/>
      <c r="M238" s="203"/>
      <c r="N238" s="203"/>
      <c r="O238" s="199"/>
      <c r="P238" s="199"/>
      <c r="Q238" s="199"/>
    </row>
    <row r="239">
      <c r="A239" s="28"/>
      <c r="B239" s="199"/>
      <c r="C239" s="199"/>
      <c r="D239" s="199"/>
      <c r="E239" s="199"/>
      <c r="F239" s="199"/>
      <c r="G239" s="200"/>
      <c r="H239" s="199"/>
      <c r="I239" s="199"/>
      <c r="J239" s="199"/>
      <c r="K239" s="199"/>
      <c r="L239" s="203"/>
      <c r="M239" s="203"/>
      <c r="N239" s="203"/>
      <c r="O239" s="199"/>
      <c r="P239" s="199"/>
      <c r="Q239" s="199"/>
    </row>
    <row r="240">
      <c r="A240" s="28"/>
      <c r="B240" s="199"/>
      <c r="C240" s="199"/>
      <c r="D240" s="199"/>
      <c r="E240" s="199"/>
      <c r="F240" s="199"/>
      <c r="G240" s="200"/>
      <c r="H240" s="199"/>
      <c r="I240" s="199"/>
      <c r="J240" s="199"/>
      <c r="K240" s="199"/>
      <c r="L240" s="203"/>
      <c r="M240" s="203"/>
      <c r="N240" s="203"/>
      <c r="O240" s="199"/>
      <c r="P240" s="199"/>
      <c r="Q240" s="199"/>
    </row>
    <row r="241">
      <c r="A241" s="28"/>
      <c r="B241" s="199"/>
      <c r="C241" s="199"/>
      <c r="D241" s="199"/>
      <c r="E241" s="199"/>
      <c r="F241" s="199"/>
      <c r="G241" s="200"/>
      <c r="H241" s="199"/>
      <c r="I241" s="199"/>
      <c r="J241" s="199"/>
      <c r="K241" s="199"/>
      <c r="L241" s="203"/>
      <c r="M241" s="203"/>
      <c r="N241" s="203"/>
      <c r="O241" s="199"/>
      <c r="P241" s="199"/>
      <c r="Q241" s="199"/>
    </row>
    <row r="242">
      <c r="A242" s="28"/>
      <c r="B242" s="199"/>
      <c r="C242" s="199"/>
      <c r="D242" s="199"/>
      <c r="E242" s="199"/>
      <c r="F242" s="199"/>
      <c r="G242" s="200"/>
      <c r="H242" s="199"/>
      <c r="I242" s="199"/>
      <c r="J242" s="199"/>
      <c r="K242" s="199"/>
      <c r="L242" s="203"/>
      <c r="M242" s="203"/>
      <c r="N242" s="203"/>
      <c r="O242" s="199"/>
      <c r="P242" s="199"/>
      <c r="Q242" s="199"/>
    </row>
    <row r="243">
      <c r="A243" s="28"/>
      <c r="B243" s="199"/>
      <c r="C243" s="199"/>
      <c r="D243" s="199"/>
      <c r="E243" s="199"/>
      <c r="F243" s="199"/>
      <c r="G243" s="200"/>
      <c r="H243" s="199"/>
      <c r="I243" s="199"/>
      <c r="J243" s="199"/>
      <c r="K243" s="199"/>
      <c r="L243" s="203"/>
      <c r="M243" s="203"/>
      <c r="N243" s="203"/>
      <c r="O243" s="199"/>
      <c r="P243" s="199"/>
      <c r="Q243" s="199"/>
    </row>
    <row r="244">
      <c r="A244" s="28"/>
      <c r="B244" s="199"/>
      <c r="C244" s="199"/>
      <c r="D244" s="199"/>
      <c r="E244" s="199"/>
      <c r="F244" s="199"/>
      <c r="G244" s="200"/>
      <c r="H244" s="199"/>
      <c r="I244" s="199"/>
      <c r="J244" s="199"/>
      <c r="K244" s="199"/>
      <c r="L244" s="203"/>
      <c r="M244" s="203"/>
      <c r="N244" s="203"/>
      <c r="O244" s="199"/>
      <c r="P244" s="199"/>
      <c r="Q244" s="199"/>
    </row>
    <row r="245">
      <c r="A245" s="28"/>
      <c r="B245" s="199"/>
      <c r="C245" s="199"/>
      <c r="D245" s="199"/>
      <c r="E245" s="199"/>
      <c r="F245" s="199"/>
      <c r="G245" s="200"/>
      <c r="H245" s="199"/>
      <c r="I245" s="199"/>
      <c r="J245" s="199"/>
      <c r="K245" s="199"/>
      <c r="L245" s="203"/>
      <c r="M245" s="203"/>
      <c r="N245" s="203"/>
      <c r="O245" s="199"/>
      <c r="P245" s="199"/>
      <c r="Q245" s="199"/>
    </row>
    <row r="246">
      <c r="A246" s="28"/>
      <c r="B246" s="199"/>
      <c r="C246" s="199"/>
      <c r="D246" s="199"/>
      <c r="E246" s="199"/>
      <c r="F246" s="199"/>
      <c r="G246" s="200"/>
      <c r="H246" s="199"/>
      <c r="I246" s="199"/>
      <c r="J246" s="199"/>
      <c r="K246" s="199"/>
      <c r="L246" s="203"/>
      <c r="M246" s="203"/>
      <c r="N246" s="203"/>
      <c r="O246" s="199"/>
      <c r="P246" s="199"/>
      <c r="Q246" s="199"/>
    </row>
    <row r="247">
      <c r="A247" s="28"/>
      <c r="B247" s="199"/>
      <c r="C247" s="199"/>
      <c r="D247" s="199"/>
      <c r="E247" s="199"/>
      <c r="F247" s="199"/>
      <c r="G247" s="200"/>
      <c r="H247" s="199"/>
      <c r="I247" s="199"/>
      <c r="J247" s="199"/>
      <c r="K247" s="199"/>
      <c r="L247" s="203"/>
      <c r="M247" s="203"/>
      <c r="N247" s="203"/>
      <c r="O247" s="199"/>
      <c r="P247" s="199"/>
      <c r="Q247" s="199"/>
    </row>
    <row r="248">
      <c r="A248" s="28"/>
      <c r="B248" s="199"/>
      <c r="C248" s="199"/>
      <c r="D248" s="199"/>
      <c r="E248" s="199"/>
      <c r="F248" s="199"/>
      <c r="G248" s="200"/>
      <c r="H248" s="199"/>
      <c r="I248" s="199"/>
      <c r="J248" s="199"/>
      <c r="K248" s="199"/>
      <c r="L248" s="203"/>
      <c r="M248" s="203"/>
      <c r="N248" s="203"/>
      <c r="O248" s="199"/>
      <c r="P248" s="199"/>
      <c r="Q248" s="199"/>
    </row>
    <row r="249">
      <c r="A249" s="28"/>
      <c r="B249" s="199"/>
      <c r="C249" s="199"/>
      <c r="D249" s="199"/>
      <c r="E249" s="199"/>
      <c r="F249" s="199"/>
      <c r="G249" s="200"/>
      <c r="H249" s="199"/>
      <c r="I249" s="199"/>
      <c r="J249" s="199"/>
      <c r="K249" s="199"/>
      <c r="L249" s="203"/>
      <c r="M249" s="203"/>
      <c r="N249" s="203"/>
      <c r="O249" s="199"/>
      <c r="P249" s="199"/>
      <c r="Q249" s="199"/>
    </row>
    <row r="250">
      <c r="A250" s="28"/>
      <c r="B250" s="199"/>
      <c r="C250" s="199"/>
      <c r="D250" s="199"/>
      <c r="E250" s="199"/>
      <c r="F250" s="199"/>
      <c r="G250" s="200"/>
      <c r="H250" s="199"/>
      <c r="I250" s="199"/>
      <c r="J250" s="199"/>
      <c r="K250" s="199"/>
      <c r="L250" s="203"/>
      <c r="M250" s="203"/>
      <c r="N250" s="203"/>
      <c r="O250" s="199"/>
      <c r="P250" s="199"/>
      <c r="Q250" s="199"/>
    </row>
    <row r="251">
      <c r="A251" s="28"/>
      <c r="B251" s="199"/>
      <c r="C251" s="199"/>
      <c r="D251" s="199"/>
      <c r="E251" s="199"/>
      <c r="F251" s="199"/>
      <c r="G251" s="200"/>
      <c r="H251" s="199"/>
      <c r="I251" s="199"/>
      <c r="J251" s="199"/>
      <c r="K251" s="199"/>
      <c r="L251" s="203"/>
      <c r="M251" s="203"/>
      <c r="N251" s="203"/>
      <c r="O251" s="199"/>
      <c r="P251" s="199"/>
      <c r="Q251" s="199"/>
    </row>
    <row r="252">
      <c r="A252" s="28"/>
      <c r="B252" s="199"/>
      <c r="C252" s="199"/>
      <c r="D252" s="199"/>
      <c r="E252" s="199"/>
      <c r="F252" s="199"/>
      <c r="G252" s="200"/>
      <c r="H252" s="199"/>
      <c r="I252" s="199"/>
      <c r="J252" s="199"/>
      <c r="K252" s="199"/>
      <c r="L252" s="203"/>
      <c r="M252" s="203"/>
      <c r="N252" s="203"/>
      <c r="O252" s="199"/>
      <c r="P252" s="199"/>
      <c r="Q252" s="199"/>
    </row>
    <row r="253">
      <c r="A253" s="28"/>
      <c r="B253" s="199"/>
      <c r="C253" s="199"/>
      <c r="D253" s="199"/>
      <c r="E253" s="199"/>
      <c r="F253" s="199"/>
      <c r="G253" s="200"/>
      <c r="H253" s="199"/>
      <c r="I253" s="199"/>
      <c r="J253" s="199"/>
      <c r="K253" s="199"/>
      <c r="L253" s="203"/>
      <c r="M253" s="203"/>
      <c r="N253" s="203"/>
      <c r="O253" s="199"/>
      <c r="P253" s="199"/>
      <c r="Q253" s="199"/>
    </row>
    <row r="254">
      <c r="A254" s="28"/>
      <c r="B254" s="199"/>
      <c r="C254" s="199"/>
      <c r="D254" s="199"/>
      <c r="E254" s="199"/>
      <c r="F254" s="199"/>
      <c r="G254" s="200"/>
      <c r="H254" s="199"/>
      <c r="I254" s="199"/>
      <c r="J254" s="199"/>
      <c r="K254" s="199"/>
      <c r="L254" s="203"/>
      <c r="M254" s="203"/>
      <c r="N254" s="203"/>
      <c r="O254" s="199"/>
      <c r="P254" s="199"/>
      <c r="Q254" s="199"/>
    </row>
    <row r="255">
      <c r="A255" s="28"/>
      <c r="B255" s="199"/>
      <c r="C255" s="199"/>
      <c r="D255" s="199"/>
      <c r="E255" s="199"/>
      <c r="F255" s="199"/>
      <c r="G255" s="200"/>
      <c r="H255" s="199"/>
      <c r="I255" s="199"/>
      <c r="J255" s="199"/>
      <c r="K255" s="199"/>
      <c r="L255" s="203"/>
      <c r="M255" s="203"/>
      <c r="N255" s="203"/>
      <c r="O255" s="199"/>
      <c r="P255" s="199"/>
      <c r="Q255" s="199"/>
    </row>
    <row r="256">
      <c r="A256" s="28"/>
      <c r="B256" s="199"/>
      <c r="C256" s="199"/>
      <c r="D256" s="199"/>
      <c r="E256" s="199"/>
      <c r="F256" s="199"/>
      <c r="G256" s="200"/>
      <c r="H256" s="199"/>
      <c r="I256" s="199"/>
      <c r="J256" s="199"/>
      <c r="K256" s="199"/>
      <c r="L256" s="203"/>
      <c r="M256" s="203"/>
      <c r="N256" s="203"/>
      <c r="O256" s="199"/>
      <c r="P256" s="199"/>
      <c r="Q256" s="199"/>
    </row>
    <row r="257">
      <c r="A257" s="28"/>
      <c r="B257" s="199"/>
      <c r="C257" s="199"/>
      <c r="D257" s="199"/>
      <c r="E257" s="199"/>
      <c r="F257" s="199"/>
      <c r="G257" s="200"/>
      <c r="H257" s="199"/>
      <c r="I257" s="199"/>
      <c r="J257" s="199"/>
      <c r="K257" s="199"/>
      <c r="L257" s="203"/>
      <c r="M257" s="203"/>
      <c r="N257" s="203"/>
      <c r="O257" s="199"/>
      <c r="P257" s="199"/>
      <c r="Q257" s="199"/>
    </row>
    <row r="258">
      <c r="A258" s="28"/>
      <c r="B258" s="199"/>
      <c r="C258" s="199"/>
      <c r="D258" s="199"/>
      <c r="E258" s="199"/>
      <c r="F258" s="199"/>
      <c r="G258" s="200"/>
      <c r="H258" s="199"/>
      <c r="I258" s="199"/>
      <c r="J258" s="199"/>
      <c r="K258" s="199"/>
      <c r="L258" s="203"/>
      <c r="M258" s="203"/>
      <c r="N258" s="203"/>
      <c r="O258" s="199"/>
      <c r="P258" s="199"/>
      <c r="Q258" s="199"/>
    </row>
    <row r="259">
      <c r="A259" s="28"/>
      <c r="B259" s="199"/>
      <c r="C259" s="199"/>
      <c r="D259" s="199"/>
      <c r="E259" s="199"/>
      <c r="F259" s="199"/>
      <c r="G259" s="200"/>
      <c r="H259" s="199"/>
      <c r="I259" s="199"/>
      <c r="J259" s="199"/>
      <c r="K259" s="199"/>
      <c r="L259" s="203"/>
      <c r="M259" s="203"/>
      <c r="N259" s="203"/>
      <c r="O259" s="199"/>
      <c r="P259" s="199"/>
      <c r="Q259" s="199"/>
    </row>
    <row r="260">
      <c r="A260" s="28"/>
      <c r="B260" s="199"/>
      <c r="C260" s="199"/>
      <c r="D260" s="199"/>
      <c r="E260" s="199"/>
      <c r="F260" s="199"/>
      <c r="G260" s="200"/>
      <c r="H260" s="199"/>
      <c r="I260" s="199"/>
      <c r="J260" s="199"/>
      <c r="K260" s="199"/>
      <c r="L260" s="203"/>
      <c r="M260" s="203"/>
      <c r="N260" s="203"/>
      <c r="O260" s="199"/>
      <c r="P260" s="199"/>
      <c r="Q260" s="199"/>
    </row>
    <row r="261">
      <c r="A261" s="28"/>
      <c r="B261" s="199"/>
      <c r="C261" s="199"/>
      <c r="D261" s="199"/>
      <c r="E261" s="199"/>
      <c r="F261" s="199"/>
      <c r="G261" s="200"/>
      <c r="H261" s="199"/>
      <c r="I261" s="199"/>
      <c r="J261" s="199"/>
      <c r="K261" s="199"/>
      <c r="L261" s="203"/>
      <c r="M261" s="203"/>
      <c r="N261" s="203"/>
      <c r="O261" s="199"/>
      <c r="P261" s="199"/>
      <c r="Q261" s="199"/>
    </row>
    <row r="262">
      <c r="A262" s="28"/>
      <c r="B262" s="199"/>
      <c r="C262" s="199"/>
      <c r="D262" s="199"/>
      <c r="E262" s="199"/>
      <c r="F262" s="199"/>
      <c r="G262" s="200"/>
      <c r="H262" s="199"/>
      <c r="I262" s="199"/>
      <c r="J262" s="199"/>
      <c r="K262" s="199"/>
      <c r="L262" s="203"/>
      <c r="M262" s="203"/>
      <c r="N262" s="203"/>
      <c r="O262" s="199"/>
      <c r="P262" s="199"/>
      <c r="Q262" s="199"/>
    </row>
    <row r="263">
      <c r="A263" s="28"/>
      <c r="B263" s="199"/>
      <c r="C263" s="199"/>
      <c r="D263" s="199"/>
      <c r="E263" s="199"/>
      <c r="F263" s="199"/>
      <c r="G263" s="200"/>
      <c r="H263" s="199"/>
      <c r="I263" s="199"/>
      <c r="J263" s="199"/>
      <c r="K263" s="199"/>
      <c r="L263" s="203"/>
      <c r="M263" s="203"/>
      <c r="N263" s="203"/>
      <c r="O263" s="199"/>
      <c r="P263" s="199"/>
      <c r="Q263" s="199"/>
    </row>
    <row r="264">
      <c r="A264" s="28"/>
      <c r="B264" s="199"/>
      <c r="C264" s="199"/>
      <c r="D264" s="199"/>
      <c r="E264" s="199"/>
      <c r="F264" s="199"/>
      <c r="G264" s="200"/>
      <c r="H264" s="199"/>
      <c r="I264" s="199"/>
      <c r="J264" s="199"/>
      <c r="K264" s="199"/>
      <c r="L264" s="203"/>
      <c r="M264" s="203"/>
      <c r="N264" s="203"/>
      <c r="O264" s="199"/>
      <c r="P264" s="199"/>
      <c r="Q264" s="199"/>
    </row>
    <row r="265">
      <c r="A265" s="28"/>
      <c r="B265" s="199"/>
      <c r="C265" s="199"/>
      <c r="D265" s="199"/>
      <c r="E265" s="199"/>
      <c r="F265" s="199"/>
      <c r="G265" s="200"/>
      <c r="H265" s="199"/>
      <c r="I265" s="199"/>
      <c r="J265" s="199"/>
      <c r="K265" s="199"/>
      <c r="L265" s="203"/>
      <c r="M265" s="203"/>
      <c r="N265" s="203"/>
      <c r="O265" s="199"/>
      <c r="P265" s="199"/>
      <c r="Q265" s="199"/>
    </row>
    <row r="266">
      <c r="A266" s="28"/>
      <c r="B266" s="199"/>
      <c r="C266" s="199"/>
      <c r="D266" s="199"/>
      <c r="E266" s="199"/>
      <c r="F266" s="199"/>
      <c r="G266" s="200"/>
      <c r="H266" s="199"/>
      <c r="I266" s="199"/>
      <c r="J266" s="199"/>
      <c r="K266" s="199"/>
      <c r="L266" s="203"/>
      <c r="M266" s="203"/>
      <c r="N266" s="203"/>
      <c r="O266" s="199"/>
      <c r="P266" s="199"/>
      <c r="Q266" s="199"/>
    </row>
    <row r="267">
      <c r="A267" s="28"/>
      <c r="B267" s="199"/>
      <c r="C267" s="199"/>
      <c r="D267" s="199"/>
      <c r="E267" s="199"/>
      <c r="F267" s="199"/>
      <c r="G267" s="200"/>
      <c r="H267" s="199"/>
      <c r="I267" s="199"/>
      <c r="J267" s="199"/>
      <c r="K267" s="199"/>
      <c r="L267" s="203"/>
      <c r="M267" s="203"/>
      <c r="N267" s="203"/>
      <c r="O267" s="199"/>
      <c r="P267" s="199"/>
      <c r="Q267" s="199"/>
    </row>
    <row r="268">
      <c r="A268" s="28"/>
      <c r="B268" s="199"/>
      <c r="C268" s="199"/>
      <c r="D268" s="199"/>
      <c r="E268" s="199"/>
      <c r="F268" s="199"/>
      <c r="G268" s="200"/>
      <c r="H268" s="199"/>
      <c r="I268" s="199"/>
      <c r="J268" s="199"/>
      <c r="K268" s="199"/>
      <c r="L268" s="203"/>
      <c r="M268" s="203"/>
      <c r="N268" s="203"/>
      <c r="O268" s="199"/>
      <c r="P268" s="199"/>
      <c r="Q268" s="199"/>
    </row>
    <row r="269">
      <c r="A269" s="28"/>
      <c r="B269" s="199"/>
      <c r="C269" s="199"/>
      <c r="D269" s="199"/>
      <c r="E269" s="199"/>
      <c r="F269" s="199"/>
      <c r="G269" s="200"/>
      <c r="H269" s="199"/>
      <c r="I269" s="199"/>
      <c r="J269" s="199"/>
      <c r="K269" s="199"/>
      <c r="L269" s="203"/>
      <c r="M269" s="203"/>
      <c r="N269" s="203"/>
      <c r="O269" s="199"/>
      <c r="P269" s="199"/>
      <c r="Q269" s="199"/>
    </row>
    <row r="270">
      <c r="A270" s="28"/>
      <c r="B270" s="199"/>
      <c r="C270" s="199"/>
      <c r="D270" s="199"/>
      <c r="E270" s="199"/>
      <c r="F270" s="199"/>
      <c r="G270" s="200"/>
      <c r="H270" s="199"/>
      <c r="I270" s="199"/>
      <c r="J270" s="199"/>
      <c r="K270" s="199"/>
      <c r="L270" s="203"/>
      <c r="M270" s="203"/>
      <c r="N270" s="203"/>
      <c r="O270" s="199"/>
      <c r="P270" s="199"/>
      <c r="Q270" s="199"/>
    </row>
    <row r="271">
      <c r="A271" s="28"/>
      <c r="B271" s="199"/>
      <c r="C271" s="199"/>
      <c r="D271" s="199"/>
      <c r="E271" s="199"/>
      <c r="F271" s="199"/>
      <c r="G271" s="200"/>
      <c r="H271" s="199"/>
      <c r="I271" s="199"/>
      <c r="J271" s="199"/>
      <c r="K271" s="199"/>
      <c r="L271" s="203"/>
      <c r="M271" s="203"/>
      <c r="N271" s="203"/>
      <c r="O271" s="199"/>
      <c r="P271" s="199"/>
      <c r="Q271" s="199"/>
    </row>
    <row r="272">
      <c r="A272" s="28"/>
      <c r="B272" s="199"/>
      <c r="C272" s="199"/>
      <c r="D272" s="199"/>
      <c r="E272" s="199"/>
      <c r="F272" s="199"/>
      <c r="G272" s="200"/>
      <c r="H272" s="199"/>
      <c r="I272" s="199"/>
      <c r="J272" s="199"/>
      <c r="K272" s="199"/>
      <c r="L272" s="203"/>
      <c r="M272" s="203"/>
      <c r="N272" s="203"/>
      <c r="O272" s="199"/>
      <c r="P272" s="199"/>
      <c r="Q272" s="199"/>
    </row>
    <row r="273">
      <c r="A273" s="28"/>
      <c r="B273" s="199"/>
      <c r="C273" s="199"/>
      <c r="D273" s="199"/>
      <c r="E273" s="199"/>
      <c r="F273" s="199"/>
      <c r="G273" s="200"/>
      <c r="H273" s="199"/>
      <c r="I273" s="199"/>
      <c r="J273" s="199"/>
      <c r="K273" s="199"/>
      <c r="L273" s="203"/>
      <c r="M273" s="203"/>
      <c r="N273" s="203"/>
      <c r="O273" s="199"/>
      <c r="P273" s="199"/>
      <c r="Q273" s="199"/>
    </row>
    <row r="274">
      <c r="A274" s="28"/>
      <c r="B274" s="199"/>
      <c r="C274" s="199"/>
      <c r="D274" s="199"/>
      <c r="E274" s="199"/>
      <c r="F274" s="199"/>
      <c r="G274" s="200"/>
      <c r="H274" s="199"/>
      <c r="I274" s="199"/>
      <c r="J274" s="199"/>
      <c r="K274" s="199"/>
      <c r="L274" s="203"/>
      <c r="M274" s="203"/>
      <c r="N274" s="203"/>
      <c r="O274" s="199"/>
      <c r="P274" s="199"/>
      <c r="Q274" s="199"/>
    </row>
    <row r="275">
      <c r="A275" s="28"/>
      <c r="B275" s="199"/>
      <c r="C275" s="199"/>
      <c r="D275" s="199"/>
      <c r="E275" s="199"/>
      <c r="F275" s="199"/>
      <c r="G275" s="200"/>
      <c r="H275" s="199"/>
      <c r="I275" s="199"/>
      <c r="J275" s="199"/>
      <c r="K275" s="199"/>
      <c r="L275" s="203"/>
      <c r="M275" s="203"/>
      <c r="N275" s="203"/>
      <c r="O275" s="199"/>
      <c r="P275" s="199"/>
      <c r="Q275" s="199"/>
    </row>
    <row r="276">
      <c r="A276" s="28"/>
      <c r="B276" s="199"/>
      <c r="C276" s="199"/>
      <c r="D276" s="199"/>
      <c r="E276" s="199"/>
      <c r="F276" s="199"/>
      <c r="G276" s="200"/>
      <c r="H276" s="199"/>
      <c r="I276" s="199"/>
      <c r="J276" s="199"/>
      <c r="K276" s="199"/>
      <c r="L276" s="203"/>
      <c r="M276" s="203"/>
      <c r="N276" s="203"/>
      <c r="O276" s="199"/>
      <c r="P276" s="199"/>
      <c r="Q276" s="199"/>
    </row>
    <row r="277">
      <c r="A277" s="28"/>
      <c r="B277" s="199"/>
      <c r="C277" s="199"/>
      <c r="D277" s="199"/>
      <c r="E277" s="199"/>
      <c r="F277" s="199"/>
      <c r="G277" s="200"/>
      <c r="H277" s="199"/>
      <c r="I277" s="199"/>
      <c r="J277" s="199"/>
      <c r="K277" s="199"/>
      <c r="L277" s="203"/>
      <c r="M277" s="203"/>
      <c r="N277" s="203"/>
      <c r="O277" s="199"/>
      <c r="P277" s="199"/>
      <c r="Q277" s="199"/>
    </row>
    <row r="278">
      <c r="A278" s="28"/>
      <c r="B278" s="199"/>
      <c r="C278" s="199"/>
      <c r="D278" s="199"/>
      <c r="E278" s="199"/>
      <c r="F278" s="199"/>
      <c r="G278" s="200"/>
      <c r="H278" s="199"/>
      <c r="I278" s="199"/>
      <c r="J278" s="199"/>
      <c r="K278" s="199"/>
      <c r="L278" s="203"/>
      <c r="M278" s="203"/>
      <c r="N278" s="203"/>
      <c r="O278" s="199"/>
      <c r="P278" s="199"/>
      <c r="Q278" s="199"/>
    </row>
    <row r="279">
      <c r="A279" s="28"/>
      <c r="B279" s="199"/>
      <c r="C279" s="199"/>
      <c r="D279" s="199"/>
      <c r="E279" s="199"/>
      <c r="F279" s="199"/>
      <c r="G279" s="200"/>
      <c r="H279" s="199"/>
      <c r="I279" s="199"/>
      <c r="J279" s="199"/>
      <c r="K279" s="199"/>
      <c r="L279" s="203"/>
      <c r="M279" s="203"/>
      <c r="N279" s="203"/>
      <c r="O279" s="199"/>
      <c r="P279" s="199"/>
      <c r="Q279" s="199"/>
    </row>
    <row r="280">
      <c r="A280" s="28"/>
      <c r="B280" s="199"/>
      <c r="C280" s="199"/>
      <c r="D280" s="199"/>
      <c r="E280" s="199"/>
      <c r="F280" s="199"/>
      <c r="G280" s="200"/>
      <c r="H280" s="199"/>
      <c r="I280" s="199"/>
      <c r="J280" s="199"/>
      <c r="K280" s="199"/>
      <c r="L280" s="203"/>
      <c r="M280" s="203"/>
      <c r="N280" s="203"/>
      <c r="O280" s="199"/>
      <c r="P280" s="199"/>
      <c r="Q280" s="199"/>
    </row>
    <row r="281">
      <c r="A281" s="28"/>
      <c r="B281" s="199"/>
      <c r="C281" s="199"/>
      <c r="D281" s="199"/>
      <c r="E281" s="199"/>
      <c r="F281" s="199"/>
      <c r="G281" s="200"/>
      <c r="H281" s="199"/>
      <c r="I281" s="199"/>
      <c r="J281" s="199"/>
      <c r="K281" s="199"/>
      <c r="L281" s="203"/>
      <c r="M281" s="203"/>
      <c r="N281" s="203"/>
      <c r="O281" s="199"/>
      <c r="P281" s="199"/>
      <c r="Q281" s="199"/>
    </row>
    <row r="282">
      <c r="A282" s="28"/>
      <c r="B282" s="199"/>
      <c r="C282" s="199"/>
      <c r="D282" s="199"/>
      <c r="E282" s="199"/>
      <c r="F282" s="199"/>
      <c r="G282" s="200"/>
      <c r="H282" s="199"/>
      <c r="I282" s="199"/>
      <c r="J282" s="199"/>
      <c r="K282" s="199"/>
      <c r="L282" s="203"/>
      <c r="M282" s="203"/>
      <c r="N282" s="203"/>
      <c r="O282" s="199"/>
      <c r="P282" s="199"/>
      <c r="Q282" s="199"/>
    </row>
    <row r="283">
      <c r="A283" s="28"/>
      <c r="B283" s="199"/>
      <c r="C283" s="199"/>
      <c r="D283" s="199"/>
      <c r="E283" s="199"/>
      <c r="F283" s="199"/>
      <c r="G283" s="200"/>
      <c r="H283" s="199"/>
      <c r="I283" s="199"/>
      <c r="J283" s="199"/>
      <c r="K283" s="199"/>
      <c r="L283" s="203"/>
      <c r="M283" s="203"/>
      <c r="N283" s="203"/>
      <c r="O283" s="199"/>
      <c r="P283" s="199"/>
      <c r="Q283" s="199"/>
    </row>
    <row r="284">
      <c r="A284" s="28"/>
      <c r="B284" s="199"/>
      <c r="C284" s="199"/>
      <c r="D284" s="199"/>
      <c r="E284" s="199"/>
      <c r="F284" s="199"/>
      <c r="G284" s="200"/>
      <c r="H284" s="199"/>
      <c r="I284" s="199"/>
      <c r="J284" s="199"/>
      <c r="K284" s="199"/>
      <c r="L284" s="203"/>
      <c r="M284" s="203"/>
      <c r="N284" s="203"/>
      <c r="O284" s="199"/>
      <c r="P284" s="199"/>
      <c r="Q284" s="199"/>
    </row>
    <row r="285">
      <c r="A285" s="28"/>
      <c r="B285" s="199"/>
      <c r="C285" s="199"/>
      <c r="D285" s="199"/>
      <c r="E285" s="199"/>
      <c r="F285" s="199"/>
      <c r="G285" s="200"/>
      <c r="H285" s="199"/>
      <c r="I285" s="199"/>
      <c r="J285" s="199"/>
      <c r="K285" s="199"/>
      <c r="L285" s="203"/>
      <c r="M285" s="203"/>
      <c r="N285" s="203"/>
      <c r="O285" s="199"/>
      <c r="P285" s="199"/>
      <c r="Q285" s="199"/>
    </row>
    <row r="286">
      <c r="A286" s="28"/>
      <c r="B286" s="199"/>
      <c r="C286" s="199"/>
      <c r="D286" s="199"/>
      <c r="E286" s="199"/>
      <c r="F286" s="199"/>
      <c r="G286" s="200"/>
      <c r="H286" s="199"/>
      <c r="I286" s="199"/>
      <c r="J286" s="199"/>
      <c r="K286" s="199"/>
      <c r="L286" s="203"/>
      <c r="M286" s="203"/>
      <c r="N286" s="203"/>
      <c r="O286" s="199"/>
      <c r="P286" s="199"/>
      <c r="Q286" s="199"/>
    </row>
    <row r="287">
      <c r="A287" s="28"/>
      <c r="B287" s="199"/>
      <c r="C287" s="199"/>
      <c r="D287" s="199"/>
      <c r="E287" s="199"/>
      <c r="F287" s="199"/>
      <c r="G287" s="200"/>
      <c r="H287" s="199"/>
      <c r="I287" s="199"/>
      <c r="J287" s="199"/>
      <c r="K287" s="199"/>
      <c r="L287" s="203"/>
      <c r="M287" s="203"/>
      <c r="N287" s="203"/>
      <c r="O287" s="199"/>
      <c r="P287" s="199"/>
      <c r="Q287" s="199"/>
    </row>
    <row r="288">
      <c r="A288" s="28"/>
      <c r="B288" s="199"/>
      <c r="C288" s="199"/>
      <c r="D288" s="199"/>
      <c r="E288" s="199"/>
      <c r="F288" s="199"/>
      <c r="G288" s="200"/>
      <c r="H288" s="199"/>
      <c r="I288" s="199"/>
      <c r="J288" s="199"/>
      <c r="K288" s="199"/>
      <c r="L288" s="203"/>
      <c r="M288" s="203"/>
      <c r="N288" s="203"/>
      <c r="O288" s="199"/>
      <c r="P288" s="199"/>
      <c r="Q288" s="199"/>
    </row>
    <row r="289">
      <c r="A289" s="28"/>
      <c r="B289" s="199"/>
      <c r="C289" s="199"/>
      <c r="D289" s="199"/>
      <c r="E289" s="199"/>
      <c r="F289" s="199"/>
      <c r="G289" s="200"/>
      <c r="H289" s="199"/>
      <c r="I289" s="199"/>
      <c r="J289" s="199"/>
      <c r="K289" s="199"/>
      <c r="L289" s="203"/>
      <c r="M289" s="203"/>
      <c r="N289" s="203"/>
      <c r="O289" s="199"/>
      <c r="P289" s="199"/>
      <c r="Q289" s="199"/>
    </row>
    <row r="290">
      <c r="A290" s="28"/>
      <c r="B290" s="199"/>
      <c r="C290" s="199"/>
      <c r="D290" s="199"/>
      <c r="E290" s="199"/>
      <c r="F290" s="199"/>
      <c r="G290" s="200"/>
      <c r="H290" s="199"/>
      <c r="I290" s="199"/>
      <c r="J290" s="199"/>
      <c r="K290" s="199"/>
      <c r="L290" s="203"/>
      <c r="M290" s="203"/>
      <c r="N290" s="203"/>
      <c r="O290" s="199"/>
      <c r="P290" s="199"/>
      <c r="Q290" s="199"/>
    </row>
    <row r="291">
      <c r="A291" s="28"/>
      <c r="B291" s="199"/>
      <c r="C291" s="199"/>
      <c r="D291" s="199"/>
      <c r="E291" s="199"/>
      <c r="F291" s="199"/>
      <c r="G291" s="200"/>
      <c r="H291" s="199"/>
      <c r="I291" s="199"/>
      <c r="J291" s="199"/>
      <c r="K291" s="199"/>
      <c r="L291" s="203"/>
      <c r="M291" s="203"/>
      <c r="N291" s="203"/>
      <c r="O291" s="199"/>
      <c r="P291" s="199"/>
      <c r="Q291" s="199"/>
    </row>
    <row r="292">
      <c r="A292" s="28"/>
      <c r="B292" s="199"/>
      <c r="C292" s="199"/>
      <c r="D292" s="199"/>
      <c r="E292" s="199"/>
      <c r="F292" s="199"/>
      <c r="G292" s="200"/>
      <c r="H292" s="199"/>
      <c r="I292" s="199"/>
      <c r="J292" s="199"/>
      <c r="K292" s="199"/>
      <c r="L292" s="203"/>
      <c r="M292" s="203"/>
      <c r="N292" s="203"/>
      <c r="O292" s="199"/>
      <c r="P292" s="199"/>
      <c r="Q292" s="199"/>
    </row>
    <row r="293">
      <c r="A293" s="28"/>
      <c r="B293" s="199"/>
      <c r="C293" s="199"/>
      <c r="D293" s="199"/>
      <c r="E293" s="199"/>
      <c r="F293" s="199"/>
      <c r="G293" s="200"/>
      <c r="H293" s="199"/>
      <c r="I293" s="199"/>
      <c r="J293" s="199"/>
      <c r="K293" s="199"/>
      <c r="L293" s="203"/>
      <c r="M293" s="203"/>
      <c r="N293" s="203"/>
      <c r="O293" s="199"/>
      <c r="P293" s="199"/>
      <c r="Q293" s="199"/>
    </row>
    <row r="294">
      <c r="A294" s="28"/>
      <c r="B294" s="199"/>
      <c r="C294" s="199"/>
      <c r="D294" s="199"/>
      <c r="E294" s="199"/>
      <c r="F294" s="199"/>
      <c r="G294" s="200"/>
      <c r="H294" s="199"/>
      <c r="I294" s="199"/>
      <c r="J294" s="199"/>
      <c r="K294" s="199"/>
      <c r="L294" s="203"/>
      <c r="M294" s="203"/>
      <c r="N294" s="203"/>
      <c r="O294" s="199"/>
      <c r="P294" s="199"/>
      <c r="Q294" s="199"/>
    </row>
    <row r="295">
      <c r="A295" s="28"/>
      <c r="B295" s="199"/>
      <c r="C295" s="199"/>
      <c r="D295" s="199"/>
      <c r="E295" s="199"/>
      <c r="F295" s="199"/>
      <c r="G295" s="200"/>
      <c r="H295" s="199"/>
      <c r="I295" s="199"/>
      <c r="J295" s="199"/>
      <c r="K295" s="199"/>
      <c r="L295" s="203"/>
      <c r="M295" s="203"/>
      <c r="N295" s="203"/>
      <c r="O295" s="199"/>
      <c r="P295" s="199"/>
      <c r="Q295" s="199"/>
    </row>
    <row r="296">
      <c r="A296" s="28"/>
      <c r="B296" s="199"/>
      <c r="C296" s="199"/>
      <c r="D296" s="199"/>
      <c r="E296" s="199"/>
      <c r="F296" s="199"/>
      <c r="G296" s="200"/>
      <c r="H296" s="199"/>
      <c r="I296" s="199"/>
      <c r="J296" s="199"/>
      <c r="K296" s="199"/>
      <c r="L296" s="203"/>
      <c r="M296" s="203"/>
      <c r="N296" s="203"/>
      <c r="O296" s="199"/>
      <c r="P296" s="199"/>
      <c r="Q296" s="199"/>
    </row>
    <row r="297">
      <c r="A297" s="28"/>
      <c r="B297" s="199"/>
      <c r="C297" s="199"/>
      <c r="D297" s="199"/>
      <c r="E297" s="199"/>
      <c r="F297" s="199"/>
      <c r="G297" s="200"/>
      <c r="H297" s="199"/>
      <c r="I297" s="199"/>
      <c r="J297" s="199"/>
      <c r="K297" s="199"/>
      <c r="L297" s="203"/>
      <c r="M297" s="203"/>
      <c r="N297" s="203"/>
      <c r="O297" s="199"/>
      <c r="P297" s="199"/>
      <c r="Q297" s="199"/>
    </row>
    <row r="298">
      <c r="A298" s="28"/>
      <c r="B298" s="199"/>
      <c r="C298" s="199"/>
      <c r="D298" s="199"/>
      <c r="E298" s="199"/>
      <c r="F298" s="199"/>
      <c r="G298" s="200"/>
      <c r="H298" s="199"/>
      <c r="I298" s="199"/>
      <c r="J298" s="199"/>
      <c r="K298" s="199"/>
      <c r="L298" s="203"/>
      <c r="M298" s="203"/>
      <c r="N298" s="203"/>
      <c r="O298" s="199"/>
      <c r="P298" s="199"/>
      <c r="Q298" s="199"/>
    </row>
    <row r="299">
      <c r="A299" s="28"/>
      <c r="B299" s="199"/>
      <c r="C299" s="199"/>
      <c r="D299" s="199"/>
      <c r="E299" s="199"/>
      <c r="F299" s="199"/>
      <c r="G299" s="200"/>
      <c r="H299" s="199"/>
      <c r="I299" s="199"/>
      <c r="J299" s="199"/>
      <c r="K299" s="199"/>
      <c r="L299" s="203"/>
      <c r="M299" s="203"/>
      <c r="N299" s="203"/>
      <c r="O299" s="199"/>
      <c r="P299" s="199"/>
      <c r="Q299" s="199"/>
    </row>
    <row r="300">
      <c r="A300" s="28"/>
      <c r="B300" s="199"/>
      <c r="C300" s="199"/>
      <c r="D300" s="199"/>
      <c r="E300" s="199"/>
      <c r="F300" s="199"/>
      <c r="G300" s="200"/>
      <c r="H300" s="199"/>
      <c r="I300" s="199"/>
      <c r="J300" s="199"/>
      <c r="K300" s="199"/>
      <c r="L300" s="203"/>
      <c r="M300" s="203"/>
      <c r="N300" s="203"/>
      <c r="O300" s="199"/>
      <c r="P300" s="199"/>
      <c r="Q300" s="199"/>
    </row>
    <row r="301">
      <c r="A301" s="28"/>
      <c r="B301" s="199"/>
      <c r="C301" s="199"/>
      <c r="D301" s="199"/>
      <c r="E301" s="199"/>
      <c r="F301" s="199"/>
      <c r="G301" s="200"/>
      <c r="H301" s="199"/>
      <c r="I301" s="199"/>
      <c r="J301" s="199"/>
      <c r="K301" s="199"/>
      <c r="L301" s="203"/>
      <c r="M301" s="203"/>
      <c r="N301" s="203"/>
      <c r="O301" s="199"/>
      <c r="P301" s="199"/>
      <c r="Q301" s="199"/>
    </row>
    <row r="302">
      <c r="A302" s="28"/>
      <c r="B302" s="199"/>
      <c r="C302" s="199"/>
      <c r="D302" s="199"/>
      <c r="E302" s="199"/>
      <c r="F302" s="199"/>
      <c r="G302" s="200"/>
      <c r="H302" s="199"/>
      <c r="I302" s="199"/>
      <c r="J302" s="199"/>
      <c r="K302" s="199"/>
      <c r="L302" s="203"/>
      <c r="M302" s="203"/>
      <c r="N302" s="203"/>
      <c r="O302" s="199"/>
      <c r="P302" s="199"/>
      <c r="Q302" s="199"/>
    </row>
    <row r="303">
      <c r="A303" s="28"/>
      <c r="B303" s="199"/>
      <c r="C303" s="199"/>
      <c r="D303" s="199"/>
      <c r="E303" s="199"/>
      <c r="F303" s="199"/>
      <c r="G303" s="200"/>
      <c r="H303" s="199"/>
      <c r="I303" s="199"/>
      <c r="J303" s="199"/>
      <c r="K303" s="199"/>
      <c r="L303" s="203"/>
      <c r="M303" s="203"/>
      <c r="N303" s="203"/>
      <c r="O303" s="199"/>
      <c r="P303" s="199"/>
      <c r="Q303" s="199"/>
    </row>
    <row r="304">
      <c r="A304" s="28"/>
      <c r="B304" s="199"/>
      <c r="C304" s="199"/>
      <c r="D304" s="199"/>
      <c r="E304" s="199"/>
      <c r="F304" s="199"/>
      <c r="G304" s="200"/>
      <c r="H304" s="199"/>
      <c r="I304" s="199"/>
      <c r="J304" s="199"/>
      <c r="K304" s="199"/>
      <c r="L304" s="203"/>
      <c r="M304" s="203"/>
      <c r="N304" s="203"/>
      <c r="O304" s="199"/>
      <c r="P304" s="199"/>
      <c r="Q304" s="199"/>
    </row>
    <row r="305">
      <c r="A305" s="28"/>
      <c r="B305" s="199"/>
      <c r="C305" s="199"/>
      <c r="D305" s="199"/>
      <c r="E305" s="199"/>
      <c r="F305" s="199"/>
      <c r="G305" s="200"/>
      <c r="H305" s="199"/>
      <c r="I305" s="199"/>
      <c r="J305" s="199"/>
      <c r="K305" s="199"/>
      <c r="L305" s="203"/>
      <c r="M305" s="203"/>
      <c r="N305" s="203"/>
      <c r="O305" s="199"/>
      <c r="P305" s="199"/>
      <c r="Q305" s="199"/>
    </row>
    <row r="306">
      <c r="A306" s="28"/>
      <c r="B306" s="199"/>
      <c r="C306" s="199"/>
      <c r="D306" s="199"/>
      <c r="E306" s="199"/>
      <c r="F306" s="199"/>
      <c r="G306" s="200"/>
      <c r="H306" s="199"/>
      <c r="I306" s="199"/>
      <c r="J306" s="199"/>
      <c r="K306" s="199"/>
      <c r="L306" s="203"/>
      <c r="M306" s="203"/>
      <c r="N306" s="203"/>
      <c r="O306" s="199"/>
      <c r="P306" s="199"/>
      <c r="Q306" s="199"/>
    </row>
    <row r="307">
      <c r="A307" s="28"/>
      <c r="B307" s="199"/>
      <c r="C307" s="199"/>
      <c r="D307" s="199"/>
      <c r="E307" s="199"/>
      <c r="F307" s="199"/>
      <c r="G307" s="200"/>
      <c r="H307" s="199"/>
      <c r="I307" s="199"/>
      <c r="J307" s="199"/>
      <c r="K307" s="199"/>
      <c r="L307" s="203"/>
      <c r="M307" s="203"/>
      <c r="N307" s="203"/>
      <c r="O307" s="199"/>
      <c r="P307" s="199"/>
      <c r="Q307" s="199"/>
    </row>
    <row r="308">
      <c r="A308" s="28"/>
      <c r="B308" s="199"/>
      <c r="C308" s="199"/>
      <c r="D308" s="199"/>
      <c r="E308" s="199"/>
      <c r="F308" s="199"/>
      <c r="G308" s="200"/>
      <c r="H308" s="199"/>
      <c r="I308" s="199"/>
      <c r="J308" s="199"/>
      <c r="K308" s="199"/>
      <c r="L308" s="203"/>
      <c r="M308" s="203"/>
      <c r="N308" s="203"/>
      <c r="O308" s="199"/>
      <c r="P308" s="199"/>
      <c r="Q308" s="199"/>
    </row>
    <row r="309">
      <c r="A309" s="28"/>
      <c r="B309" s="199"/>
      <c r="C309" s="199"/>
      <c r="D309" s="199"/>
      <c r="E309" s="199"/>
      <c r="F309" s="199"/>
      <c r="G309" s="200"/>
      <c r="H309" s="199"/>
      <c r="I309" s="199"/>
      <c r="J309" s="199"/>
      <c r="K309" s="199"/>
      <c r="L309" s="203"/>
      <c r="M309" s="203"/>
      <c r="N309" s="203"/>
      <c r="O309" s="199"/>
      <c r="P309" s="199"/>
      <c r="Q309" s="199"/>
    </row>
    <row r="310">
      <c r="A310" s="28"/>
      <c r="B310" s="199"/>
      <c r="C310" s="199"/>
      <c r="D310" s="199"/>
      <c r="E310" s="199"/>
      <c r="F310" s="199"/>
      <c r="G310" s="200"/>
      <c r="H310" s="199"/>
      <c r="I310" s="199"/>
      <c r="J310" s="199"/>
      <c r="K310" s="199"/>
      <c r="L310" s="203"/>
      <c r="M310" s="203"/>
      <c r="N310" s="203"/>
      <c r="O310" s="199"/>
      <c r="P310" s="199"/>
      <c r="Q310" s="199"/>
    </row>
    <row r="311">
      <c r="A311" s="28"/>
      <c r="B311" s="199"/>
      <c r="C311" s="199"/>
      <c r="D311" s="199"/>
      <c r="E311" s="199"/>
      <c r="F311" s="199"/>
      <c r="G311" s="200"/>
      <c r="H311" s="199"/>
      <c r="I311" s="199"/>
      <c r="J311" s="199"/>
      <c r="K311" s="199"/>
      <c r="L311" s="203"/>
      <c r="M311" s="203"/>
      <c r="N311" s="203"/>
      <c r="O311" s="199"/>
      <c r="P311" s="199"/>
      <c r="Q311" s="199"/>
    </row>
    <row r="312">
      <c r="A312" s="28"/>
      <c r="B312" s="199"/>
      <c r="C312" s="199"/>
      <c r="D312" s="199"/>
      <c r="E312" s="199"/>
      <c r="F312" s="199"/>
      <c r="G312" s="200"/>
      <c r="H312" s="199"/>
      <c r="I312" s="199"/>
      <c r="J312" s="199"/>
      <c r="K312" s="199"/>
      <c r="L312" s="203"/>
      <c r="M312" s="203"/>
      <c r="N312" s="203"/>
      <c r="O312" s="199"/>
      <c r="P312" s="199"/>
      <c r="Q312" s="199"/>
    </row>
    <row r="313">
      <c r="A313" s="28"/>
      <c r="B313" s="199"/>
      <c r="C313" s="199"/>
      <c r="D313" s="199"/>
      <c r="E313" s="199"/>
      <c r="F313" s="199"/>
      <c r="G313" s="200"/>
      <c r="H313" s="199"/>
      <c r="I313" s="199"/>
      <c r="J313" s="199"/>
      <c r="K313" s="199"/>
      <c r="L313" s="203"/>
      <c r="M313" s="203"/>
      <c r="N313" s="203"/>
      <c r="O313" s="199"/>
      <c r="P313" s="199"/>
      <c r="Q313" s="199"/>
    </row>
    <row r="314">
      <c r="A314" s="28"/>
      <c r="B314" s="199"/>
      <c r="C314" s="199"/>
      <c r="D314" s="199"/>
      <c r="E314" s="199"/>
      <c r="F314" s="199"/>
      <c r="G314" s="200"/>
      <c r="H314" s="199"/>
      <c r="I314" s="199"/>
      <c r="J314" s="199"/>
      <c r="K314" s="199"/>
      <c r="L314" s="203"/>
      <c r="M314" s="203"/>
      <c r="N314" s="203"/>
      <c r="O314" s="199"/>
      <c r="P314" s="199"/>
      <c r="Q314" s="199"/>
    </row>
    <row r="315">
      <c r="A315" s="28"/>
      <c r="B315" s="199"/>
      <c r="C315" s="199"/>
      <c r="D315" s="199"/>
      <c r="E315" s="199"/>
      <c r="F315" s="199"/>
      <c r="G315" s="200"/>
      <c r="H315" s="199"/>
      <c r="I315" s="199"/>
      <c r="J315" s="199"/>
      <c r="K315" s="199"/>
      <c r="L315" s="203"/>
      <c r="M315" s="203"/>
      <c r="N315" s="203"/>
      <c r="O315" s="199"/>
      <c r="P315" s="199"/>
      <c r="Q315" s="199"/>
    </row>
    <row r="316">
      <c r="A316" s="28"/>
      <c r="B316" s="199"/>
      <c r="C316" s="199"/>
      <c r="D316" s="199"/>
      <c r="E316" s="199"/>
      <c r="F316" s="199"/>
      <c r="G316" s="200"/>
      <c r="H316" s="199"/>
      <c r="I316" s="199"/>
      <c r="J316" s="199"/>
      <c r="K316" s="199"/>
      <c r="L316" s="203"/>
      <c r="M316" s="203"/>
      <c r="N316" s="203"/>
      <c r="O316" s="199"/>
      <c r="P316" s="199"/>
      <c r="Q316" s="199"/>
    </row>
    <row r="317">
      <c r="A317" s="28"/>
      <c r="B317" s="199"/>
      <c r="C317" s="199"/>
      <c r="D317" s="199"/>
      <c r="E317" s="199"/>
      <c r="F317" s="199"/>
      <c r="G317" s="200"/>
      <c r="H317" s="199"/>
      <c r="I317" s="199"/>
      <c r="J317" s="199"/>
      <c r="K317" s="199"/>
      <c r="L317" s="203"/>
      <c r="M317" s="203"/>
      <c r="N317" s="203"/>
      <c r="O317" s="199"/>
      <c r="P317" s="199"/>
      <c r="Q317" s="199"/>
    </row>
    <row r="318">
      <c r="A318" s="28"/>
      <c r="B318" s="199"/>
      <c r="C318" s="199"/>
      <c r="D318" s="199"/>
      <c r="E318" s="199"/>
      <c r="F318" s="199"/>
      <c r="G318" s="200"/>
      <c r="H318" s="199"/>
      <c r="I318" s="199"/>
      <c r="J318" s="199"/>
      <c r="K318" s="199"/>
      <c r="L318" s="203"/>
      <c r="M318" s="203"/>
      <c r="N318" s="203"/>
      <c r="O318" s="199"/>
      <c r="P318" s="199"/>
      <c r="Q318" s="199"/>
    </row>
    <row r="319">
      <c r="A319" s="28"/>
      <c r="B319" s="199"/>
      <c r="C319" s="199"/>
      <c r="D319" s="199"/>
      <c r="E319" s="199"/>
      <c r="F319" s="199"/>
      <c r="G319" s="200"/>
      <c r="H319" s="199"/>
      <c r="I319" s="199"/>
      <c r="J319" s="199"/>
      <c r="K319" s="199"/>
      <c r="L319" s="203"/>
      <c r="M319" s="203"/>
      <c r="N319" s="203"/>
      <c r="O319" s="199"/>
      <c r="P319" s="199"/>
      <c r="Q319" s="199"/>
    </row>
    <row r="320">
      <c r="A320" s="28"/>
      <c r="B320" s="199"/>
      <c r="C320" s="199"/>
      <c r="D320" s="199"/>
      <c r="E320" s="199"/>
      <c r="F320" s="199"/>
      <c r="G320" s="200"/>
      <c r="H320" s="199"/>
      <c r="I320" s="199"/>
      <c r="J320" s="199"/>
      <c r="K320" s="199"/>
      <c r="L320" s="203"/>
      <c r="M320" s="203"/>
      <c r="N320" s="203"/>
      <c r="O320" s="199"/>
      <c r="P320" s="199"/>
      <c r="Q320" s="199"/>
    </row>
    <row r="321">
      <c r="A321" s="28"/>
      <c r="B321" s="199"/>
      <c r="C321" s="199"/>
      <c r="D321" s="199"/>
      <c r="E321" s="199"/>
      <c r="F321" s="199"/>
      <c r="G321" s="200"/>
      <c r="H321" s="199"/>
      <c r="I321" s="199"/>
      <c r="J321" s="199"/>
      <c r="K321" s="199"/>
      <c r="L321" s="203"/>
      <c r="M321" s="203"/>
      <c r="N321" s="203"/>
      <c r="O321" s="199"/>
      <c r="P321" s="199"/>
      <c r="Q321" s="199"/>
    </row>
    <row r="322">
      <c r="A322" s="28"/>
      <c r="B322" s="199"/>
      <c r="C322" s="199"/>
      <c r="D322" s="199"/>
      <c r="E322" s="199"/>
      <c r="F322" s="199"/>
      <c r="G322" s="200"/>
      <c r="H322" s="199"/>
      <c r="I322" s="199"/>
      <c r="J322" s="199"/>
      <c r="K322" s="199"/>
      <c r="L322" s="203"/>
      <c r="M322" s="203"/>
      <c r="N322" s="203"/>
      <c r="O322" s="199"/>
      <c r="P322" s="199"/>
      <c r="Q322" s="199"/>
    </row>
    <row r="323">
      <c r="A323" s="28"/>
      <c r="B323" s="199"/>
      <c r="C323" s="199"/>
      <c r="D323" s="199"/>
      <c r="E323" s="199"/>
      <c r="F323" s="199"/>
      <c r="G323" s="200"/>
      <c r="H323" s="199"/>
      <c r="I323" s="199"/>
      <c r="J323" s="199"/>
      <c r="K323" s="199"/>
      <c r="L323" s="203"/>
      <c r="M323" s="203"/>
      <c r="N323" s="203"/>
      <c r="O323" s="199"/>
      <c r="P323" s="199"/>
      <c r="Q323" s="199"/>
    </row>
    <row r="324">
      <c r="A324" s="28"/>
      <c r="B324" s="199"/>
      <c r="C324" s="199"/>
      <c r="D324" s="199"/>
      <c r="E324" s="199"/>
      <c r="F324" s="199"/>
      <c r="G324" s="200"/>
      <c r="H324" s="199"/>
      <c r="I324" s="199"/>
      <c r="J324" s="199"/>
      <c r="K324" s="199"/>
      <c r="L324" s="203"/>
      <c r="M324" s="203"/>
      <c r="N324" s="203"/>
      <c r="O324" s="199"/>
      <c r="P324" s="199"/>
      <c r="Q324" s="199"/>
    </row>
    <row r="325">
      <c r="A325" s="28"/>
      <c r="B325" s="199"/>
      <c r="C325" s="199"/>
      <c r="D325" s="199"/>
      <c r="E325" s="199"/>
      <c r="F325" s="199"/>
      <c r="G325" s="200"/>
      <c r="H325" s="199"/>
      <c r="I325" s="199"/>
      <c r="J325" s="199"/>
      <c r="K325" s="199"/>
      <c r="L325" s="203"/>
      <c r="M325" s="203"/>
      <c r="N325" s="203"/>
      <c r="O325" s="199"/>
      <c r="P325" s="199"/>
      <c r="Q325" s="199"/>
    </row>
    <row r="326">
      <c r="A326" s="28"/>
      <c r="B326" s="199"/>
      <c r="C326" s="199"/>
      <c r="D326" s="199"/>
      <c r="E326" s="199"/>
      <c r="F326" s="199"/>
      <c r="G326" s="200"/>
      <c r="H326" s="199"/>
      <c r="I326" s="199"/>
      <c r="J326" s="199"/>
      <c r="K326" s="199"/>
      <c r="L326" s="203"/>
      <c r="M326" s="203"/>
      <c r="N326" s="203"/>
      <c r="O326" s="199"/>
      <c r="P326" s="199"/>
      <c r="Q326" s="199"/>
    </row>
    <row r="327">
      <c r="A327" s="28"/>
      <c r="B327" s="199"/>
      <c r="C327" s="199"/>
      <c r="D327" s="199"/>
      <c r="E327" s="199"/>
      <c r="F327" s="199"/>
      <c r="G327" s="200"/>
      <c r="H327" s="199"/>
      <c r="I327" s="199"/>
      <c r="J327" s="199"/>
      <c r="K327" s="199"/>
      <c r="L327" s="203"/>
      <c r="M327" s="203"/>
      <c r="N327" s="203"/>
      <c r="O327" s="199"/>
      <c r="P327" s="199"/>
      <c r="Q327" s="199"/>
    </row>
    <row r="328">
      <c r="A328" s="28"/>
      <c r="B328" s="199"/>
      <c r="C328" s="199"/>
      <c r="D328" s="199"/>
      <c r="E328" s="199"/>
      <c r="F328" s="199"/>
      <c r="G328" s="200"/>
      <c r="H328" s="199"/>
      <c r="I328" s="199"/>
      <c r="J328" s="199"/>
      <c r="K328" s="199"/>
      <c r="L328" s="203"/>
      <c r="M328" s="203"/>
      <c r="N328" s="203"/>
      <c r="O328" s="199"/>
      <c r="P328" s="199"/>
      <c r="Q328" s="199"/>
    </row>
    <row r="329">
      <c r="A329" s="28"/>
      <c r="B329" s="199"/>
      <c r="C329" s="199"/>
      <c r="D329" s="199"/>
      <c r="E329" s="199"/>
      <c r="F329" s="199"/>
      <c r="G329" s="200"/>
      <c r="H329" s="199"/>
      <c r="I329" s="199"/>
      <c r="J329" s="199"/>
      <c r="K329" s="199"/>
      <c r="L329" s="203"/>
      <c r="M329" s="203"/>
      <c r="N329" s="203"/>
      <c r="O329" s="199"/>
      <c r="P329" s="199"/>
      <c r="Q329" s="199"/>
    </row>
    <row r="330">
      <c r="A330" s="28"/>
      <c r="B330" s="199"/>
      <c r="C330" s="199"/>
      <c r="D330" s="199"/>
      <c r="E330" s="199"/>
      <c r="F330" s="199"/>
      <c r="G330" s="200"/>
      <c r="H330" s="199"/>
      <c r="I330" s="199"/>
      <c r="J330" s="199"/>
      <c r="K330" s="199"/>
      <c r="L330" s="203"/>
      <c r="M330" s="203"/>
      <c r="N330" s="203"/>
      <c r="O330" s="199"/>
      <c r="P330" s="199"/>
      <c r="Q330" s="199"/>
    </row>
    <row r="331">
      <c r="A331" s="28"/>
      <c r="B331" s="199"/>
      <c r="C331" s="199"/>
      <c r="D331" s="199"/>
      <c r="E331" s="199"/>
      <c r="F331" s="199"/>
      <c r="G331" s="200"/>
      <c r="H331" s="199"/>
      <c r="I331" s="199"/>
      <c r="J331" s="199"/>
      <c r="K331" s="199"/>
      <c r="L331" s="203"/>
      <c r="M331" s="203"/>
      <c r="N331" s="203"/>
      <c r="O331" s="199"/>
      <c r="P331" s="199"/>
      <c r="Q331" s="199"/>
    </row>
    <row r="332">
      <c r="A332" s="28"/>
      <c r="B332" s="199"/>
      <c r="C332" s="199"/>
      <c r="D332" s="199"/>
      <c r="E332" s="199"/>
      <c r="F332" s="199"/>
      <c r="G332" s="200"/>
      <c r="H332" s="199"/>
      <c r="I332" s="199"/>
      <c r="J332" s="199"/>
      <c r="K332" s="199"/>
      <c r="L332" s="203"/>
      <c r="M332" s="203"/>
      <c r="N332" s="203"/>
      <c r="O332" s="199"/>
      <c r="P332" s="199"/>
      <c r="Q332" s="199"/>
    </row>
    <row r="333">
      <c r="A333" s="28"/>
      <c r="B333" s="199"/>
      <c r="C333" s="199"/>
      <c r="D333" s="199"/>
      <c r="E333" s="199"/>
      <c r="F333" s="199"/>
      <c r="G333" s="200"/>
      <c r="H333" s="199"/>
      <c r="I333" s="199"/>
      <c r="J333" s="199"/>
      <c r="K333" s="199"/>
      <c r="L333" s="203"/>
      <c r="M333" s="203"/>
      <c r="N333" s="203"/>
      <c r="O333" s="199"/>
      <c r="P333" s="199"/>
      <c r="Q333" s="199"/>
    </row>
    <row r="334">
      <c r="A334" s="28"/>
      <c r="B334" s="199"/>
      <c r="C334" s="199"/>
      <c r="D334" s="199"/>
      <c r="E334" s="199"/>
      <c r="F334" s="199"/>
      <c r="G334" s="200"/>
      <c r="H334" s="199"/>
      <c r="I334" s="199"/>
      <c r="J334" s="199"/>
      <c r="K334" s="199"/>
      <c r="L334" s="203"/>
      <c r="M334" s="203"/>
      <c r="N334" s="203"/>
      <c r="O334" s="199"/>
      <c r="P334" s="199"/>
      <c r="Q334" s="199"/>
    </row>
    <row r="335">
      <c r="A335" s="28"/>
      <c r="B335" s="199"/>
      <c r="C335" s="199"/>
      <c r="D335" s="199"/>
      <c r="E335" s="199"/>
      <c r="F335" s="199"/>
      <c r="G335" s="200"/>
      <c r="H335" s="199"/>
      <c r="I335" s="199"/>
      <c r="J335" s="199"/>
      <c r="K335" s="199"/>
      <c r="L335" s="203"/>
      <c r="M335" s="203"/>
      <c r="N335" s="203"/>
      <c r="O335" s="199"/>
      <c r="P335" s="199"/>
      <c r="Q335" s="199"/>
    </row>
    <row r="336">
      <c r="A336" s="28"/>
      <c r="B336" s="199"/>
      <c r="C336" s="199"/>
      <c r="D336" s="199"/>
      <c r="E336" s="199"/>
      <c r="F336" s="199"/>
      <c r="G336" s="200"/>
      <c r="H336" s="199"/>
      <c r="I336" s="199"/>
      <c r="J336" s="199"/>
      <c r="K336" s="199"/>
      <c r="L336" s="203"/>
      <c r="M336" s="203"/>
      <c r="N336" s="203"/>
      <c r="O336" s="199"/>
      <c r="P336" s="199"/>
      <c r="Q336" s="199"/>
    </row>
    <row r="337">
      <c r="A337" s="28"/>
      <c r="B337" s="199"/>
      <c r="C337" s="199"/>
      <c r="D337" s="199"/>
      <c r="E337" s="199"/>
      <c r="F337" s="199"/>
      <c r="G337" s="200"/>
      <c r="H337" s="199"/>
      <c r="I337" s="199"/>
      <c r="J337" s="199"/>
      <c r="K337" s="199"/>
      <c r="L337" s="203"/>
      <c r="M337" s="203"/>
      <c r="N337" s="203"/>
      <c r="O337" s="199"/>
      <c r="P337" s="199"/>
      <c r="Q337" s="199"/>
    </row>
    <row r="338">
      <c r="A338" s="28"/>
      <c r="B338" s="199"/>
      <c r="C338" s="199"/>
      <c r="D338" s="199"/>
      <c r="E338" s="199"/>
      <c r="F338" s="199"/>
      <c r="G338" s="200"/>
      <c r="H338" s="199"/>
      <c r="I338" s="199"/>
      <c r="J338" s="199"/>
      <c r="K338" s="199"/>
      <c r="L338" s="203"/>
      <c r="M338" s="203"/>
      <c r="N338" s="203"/>
      <c r="O338" s="199"/>
      <c r="P338" s="199"/>
      <c r="Q338" s="199"/>
    </row>
    <row r="339">
      <c r="A339" s="28"/>
      <c r="B339" s="199"/>
      <c r="C339" s="199"/>
      <c r="D339" s="199"/>
      <c r="E339" s="199"/>
      <c r="F339" s="199"/>
      <c r="G339" s="200"/>
      <c r="H339" s="199"/>
      <c r="I339" s="199"/>
      <c r="J339" s="199"/>
      <c r="K339" s="199"/>
      <c r="L339" s="203"/>
      <c r="M339" s="203"/>
      <c r="N339" s="203"/>
      <c r="O339" s="199"/>
      <c r="P339" s="199"/>
      <c r="Q339" s="199"/>
    </row>
    <row r="340">
      <c r="A340" s="28"/>
      <c r="B340" s="199"/>
      <c r="C340" s="199"/>
      <c r="D340" s="199"/>
      <c r="E340" s="199"/>
      <c r="F340" s="199"/>
      <c r="G340" s="200"/>
      <c r="H340" s="199"/>
      <c r="I340" s="199"/>
      <c r="J340" s="199"/>
      <c r="K340" s="199"/>
      <c r="L340" s="203"/>
      <c r="M340" s="203"/>
      <c r="N340" s="203"/>
      <c r="O340" s="199"/>
      <c r="P340" s="199"/>
      <c r="Q340" s="199"/>
    </row>
    <row r="341">
      <c r="A341" s="28"/>
      <c r="B341" s="199"/>
      <c r="C341" s="199"/>
      <c r="D341" s="199"/>
      <c r="E341" s="199"/>
      <c r="F341" s="199"/>
      <c r="G341" s="200"/>
      <c r="H341" s="199"/>
      <c r="I341" s="199"/>
      <c r="J341" s="199"/>
      <c r="K341" s="199"/>
      <c r="L341" s="203"/>
      <c r="M341" s="203"/>
      <c r="N341" s="203"/>
      <c r="O341" s="199"/>
      <c r="P341" s="199"/>
      <c r="Q341" s="199"/>
    </row>
    <row r="342">
      <c r="A342" s="28"/>
      <c r="B342" s="199"/>
      <c r="C342" s="199"/>
      <c r="D342" s="199"/>
      <c r="E342" s="199"/>
      <c r="F342" s="199"/>
      <c r="G342" s="200"/>
      <c r="H342" s="199"/>
      <c r="I342" s="199"/>
      <c r="J342" s="199"/>
      <c r="K342" s="199"/>
      <c r="L342" s="203"/>
      <c r="M342" s="203"/>
      <c r="N342" s="203"/>
      <c r="O342" s="199"/>
      <c r="P342" s="199"/>
      <c r="Q342" s="199"/>
    </row>
    <row r="343">
      <c r="A343" s="28"/>
      <c r="B343" s="199"/>
      <c r="C343" s="199"/>
      <c r="D343" s="199"/>
      <c r="E343" s="199"/>
      <c r="F343" s="199"/>
      <c r="G343" s="200"/>
      <c r="H343" s="199"/>
      <c r="I343" s="199"/>
      <c r="J343" s="199"/>
      <c r="K343" s="199"/>
      <c r="L343" s="203"/>
      <c r="M343" s="203"/>
      <c r="N343" s="203"/>
      <c r="O343" s="199"/>
      <c r="P343" s="199"/>
      <c r="Q343" s="199"/>
    </row>
    <row r="344">
      <c r="A344" s="28"/>
      <c r="B344" s="199"/>
      <c r="C344" s="199"/>
      <c r="D344" s="199"/>
      <c r="E344" s="199"/>
      <c r="F344" s="199"/>
      <c r="G344" s="200"/>
      <c r="H344" s="199"/>
      <c r="I344" s="199"/>
      <c r="J344" s="199"/>
      <c r="K344" s="199"/>
      <c r="L344" s="203"/>
      <c r="M344" s="203"/>
      <c r="N344" s="203"/>
      <c r="O344" s="199"/>
      <c r="P344" s="199"/>
      <c r="Q344" s="199"/>
    </row>
    <row r="345">
      <c r="A345" s="28"/>
      <c r="B345" s="199"/>
      <c r="C345" s="199"/>
      <c r="D345" s="199"/>
      <c r="E345" s="199"/>
      <c r="F345" s="199"/>
      <c r="G345" s="200"/>
      <c r="H345" s="199"/>
      <c r="I345" s="199"/>
      <c r="J345" s="199"/>
      <c r="K345" s="199"/>
      <c r="L345" s="203"/>
      <c r="M345" s="203"/>
      <c r="N345" s="203"/>
      <c r="O345" s="199"/>
      <c r="P345" s="199"/>
      <c r="Q345" s="199"/>
    </row>
    <row r="346">
      <c r="A346" s="28"/>
      <c r="B346" s="199"/>
      <c r="C346" s="199"/>
      <c r="D346" s="199"/>
      <c r="E346" s="199"/>
      <c r="F346" s="199"/>
      <c r="G346" s="200"/>
      <c r="H346" s="199"/>
      <c r="I346" s="199"/>
      <c r="J346" s="199"/>
      <c r="K346" s="199"/>
      <c r="L346" s="203"/>
      <c r="M346" s="203"/>
      <c r="N346" s="203"/>
      <c r="O346" s="199"/>
      <c r="P346" s="199"/>
      <c r="Q346" s="199"/>
    </row>
    <row r="347">
      <c r="A347" s="28"/>
      <c r="B347" s="199"/>
      <c r="C347" s="199"/>
      <c r="D347" s="199"/>
      <c r="E347" s="199"/>
      <c r="F347" s="199"/>
      <c r="G347" s="200"/>
      <c r="H347" s="199"/>
      <c r="I347" s="199"/>
      <c r="J347" s="199"/>
      <c r="K347" s="199"/>
      <c r="L347" s="203"/>
      <c r="M347" s="203"/>
      <c r="N347" s="203"/>
      <c r="O347" s="199"/>
      <c r="P347" s="199"/>
      <c r="Q347" s="199"/>
    </row>
    <row r="348">
      <c r="A348" s="28"/>
      <c r="B348" s="199"/>
      <c r="C348" s="199"/>
      <c r="D348" s="199"/>
      <c r="E348" s="199"/>
      <c r="F348" s="199"/>
      <c r="G348" s="200"/>
      <c r="H348" s="199"/>
      <c r="I348" s="199"/>
      <c r="J348" s="199"/>
      <c r="K348" s="199"/>
      <c r="L348" s="203"/>
      <c r="M348" s="203"/>
      <c r="N348" s="203"/>
      <c r="O348" s="199"/>
      <c r="P348" s="199"/>
      <c r="Q348" s="199"/>
    </row>
    <row r="349">
      <c r="A349" s="28"/>
      <c r="B349" s="199"/>
      <c r="C349" s="199"/>
      <c r="D349" s="199"/>
      <c r="E349" s="199"/>
      <c r="F349" s="199"/>
      <c r="G349" s="200"/>
      <c r="H349" s="199"/>
      <c r="I349" s="199"/>
      <c r="J349" s="199"/>
      <c r="K349" s="199"/>
      <c r="L349" s="203"/>
      <c r="M349" s="203"/>
      <c r="N349" s="203"/>
      <c r="O349" s="199"/>
      <c r="P349" s="199"/>
      <c r="Q349" s="199"/>
    </row>
    <row r="350">
      <c r="A350" s="28"/>
      <c r="B350" s="199"/>
      <c r="C350" s="199"/>
      <c r="D350" s="199"/>
      <c r="E350" s="199"/>
      <c r="F350" s="199"/>
      <c r="G350" s="200"/>
      <c r="H350" s="199"/>
      <c r="I350" s="199"/>
      <c r="J350" s="199"/>
      <c r="K350" s="199"/>
      <c r="L350" s="203"/>
      <c r="M350" s="203"/>
      <c r="N350" s="203"/>
      <c r="O350" s="199"/>
      <c r="P350" s="199"/>
      <c r="Q350" s="199"/>
    </row>
    <row r="351">
      <c r="A351" s="28"/>
      <c r="B351" s="199"/>
      <c r="C351" s="199"/>
      <c r="D351" s="199"/>
      <c r="E351" s="199"/>
      <c r="F351" s="199"/>
      <c r="G351" s="200"/>
      <c r="H351" s="199"/>
      <c r="I351" s="199"/>
      <c r="J351" s="199"/>
      <c r="K351" s="199"/>
      <c r="L351" s="203"/>
      <c r="M351" s="203"/>
      <c r="N351" s="203"/>
      <c r="O351" s="199"/>
      <c r="P351" s="199"/>
      <c r="Q351" s="199"/>
    </row>
    <row r="352">
      <c r="A352" s="28"/>
      <c r="B352" s="199"/>
      <c r="C352" s="199"/>
      <c r="D352" s="199"/>
      <c r="E352" s="199"/>
      <c r="F352" s="199"/>
      <c r="G352" s="200"/>
      <c r="H352" s="199"/>
      <c r="I352" s="199"/>
      <c r="J352" s="199"/>
      <c r="K352" s="199"/>
      <c r="L352" s="203"/>
      <c r="M352" s="203"/>
      <c r="N352" s="203"/>
      <c r="O352" s="199"/>
      <c r="P352" s="199"/>
      <c r="Q352" s="199"/>
    </row>
    <row r="353">
      <c r="A353" s="28"/>
      <c r="B353" s="199"/>
      <c r="C353" s="199"/>
      <c r="D353" s="199"/>
      <c r="E353" s="199"/>
      <c r="F353" s="199"/>
      <c r="G353" s="200"/>
      <c r="H353" s="199"/>
      <c r="I353" s="199"/>
      <c r="J353" s="199"/>
      <c r="K353" s="199"/>
      <c r="L353" s="203"/>
      <c r="M353" s="203"/>
      <c r="N353" s="203"/>
      <c r="O353" s="199"/>
      <c r="P353" s="199"/>
      <c r="Q353" s="199"/>
    </row>
    <row r="354">
      <c r="A354" s="28"/>
      <c r="B354" s="199"/>
      <c r="C354" s="199"/>
      <c r="D354" s="199"/>
      <c r="E354" s="199"/>
      <c r="F354" s="199"/>
      <c r="G354" s="200"/>
      <c r="H354" s="199"/>
      <c r="I354" s="199"/>
      <c r="J354" s="199"/>
      <c r="K354" s="199"/>
      <c r="L354" s="203"/>
      <c r="M354" s="203"/>
      <c r="N354" s="203"/>
      <c r="O354" s="199"/>
      <c r="P354" s="199"/>
      <c r="Q354" s="199"/>
    </row>
    <row r="355">
      <c r="A355" s="28"/>
      <c r="B355" s="199"/>
      <c r="C355" s="199"/>
      <c r="D355" s="199"/>
      <c r="E355" s="199"/>
      <c r="F355" s="199"/>
      <c r="G355" s="200"/>
      <c r="H355" s="199"/>
      <c r="I355" s="199"/>
      <c r="J355" s="199"/>
      <c r="K355" s="199"/>
      <c r="L355" s="203"/>
      <c r="M355" s="203"/>
      <c r="N355" s="203"/>
      <c r="O355" s="199"/>
      <c r="P355" s="199"/>
      <c r="Q355" s="199"/>
    </row>
    <row r="356">
      <c r="A356" s="28"/>
      <c r="B356" s="199"/>
      <c r="C356" s="199"/>
      <c r="D356" s="199"/>
      <c r="E356" s="199"/>
      <c r="F356" s="199"/>
      <c r="G356" s="200"/>
      <c r="H356" s="199"/>
      <c r="I356" s="199"/>
      <c r="J356" s="199"/>
      <c r="K356" s="199"/>
      <c r="L356" s="203"/>
      <c r="M356" s="203"/>
      <c r="N356" s="203"/>
      <c r="O356" s="199"/>
      <c r="P356" s="199"/>
      <c r="Q356" s="199"/>
    </row>
    <row r="357">
      <c r="A357" s="28"/>
      <c r="B357" s="199"/>
      <c r="C357" s="199"/>
      <c r="D357" s="199"/>
      <c r="E357" s="199"/>
      <c r="F357" s="199"/>
      <c r="G357" s="200"/>
      <c r="H357" s="199"/>
      <c r="I357" s="199"/>
      <c r="J357" s="199"/>
      <c r="K357" s="199"/>
      <c r="L357" s="203"/>
      <c r="M357" s="203"/>
      <c r="N357" s="203"/>
      <c r="O357" s="199"/>
      <c r="P357" s="199"/>
      <c r="Q357" s="199"/>
    </row>
    <row r="358">
      <c r="A358" s="28"/>
      <c r="B358" s="199"/>
      <c r="C358" s="199"/>
      <c r="D358" s="199"/>
      <c r="E358" s="199"/>
      <c r="F358" s="199"/>
      <c r="G358" s="200"/>
      <c r="H358" s="199"/>
      <c r="I358" s="199"/>
      <c r="J358" s="199"/>
      <c r="K358" s="199"/>
      <c r="L358" s="203"/>
      <c r="M358" s="203"/>
      <c r="N358" s="203"/>
      <c r="O358" s="199"/>
      <c r="P358" s="199"/>
      <c r="Q358" s="199"/>
    </row>
    <row r="359">
      <c r="A359" s="28"/>
      <c r="B359" s="199"/>
      <c r="C359" s="199"/>
      <c r="D359" s="199"/>
      <c r="E359" s="199"/>
      <c r="F359" s="199"/>
      <c r="G359" s="200"/>
      <c r="H359" s="199"/>
      <c r="I359" s="199"/>
      <c r="J359" s="199"/>
      <c r="K359" s="199"/>
      <c r="L359" s="203"/>
      <c r="M359" s="203"/>
      <c r="N359" s="203"/>
      <c r="O359" s="199"/>
      <c r="P359" s="199"/>
      <c r="Q359" s="199"/>
    </row>
    <row r="360">
      <c r="A360" s="28"/>
      <c r="B360" s="199"/>
      <c r="C360" s="199"/>
      <c r="D360" s="199"/>
      <c r="E360" s="199"/>
      <c r="F360" s="199"/>
      <c r="G360" s="200"/>
      <c r="H360" s="199"/>
      <c r="I360" s="199"/>
      <c r="J360" s="199"/>
      <c r="K360" s="199"/>
      <c r="L360" s="203"/>
      <c r="M360" s="203"/>
      <c r="N360" s="203"/>
      <c r="O360" s="199"/>
      <c r="P360" s="199"/>
      <c r="Q360" s="199"/>
    </row>
    <row r="361">
      <c r="A361" s="28"/>
      <c r="B361" s="199"/>
      <c r="C361" s="199"/>
      <c r="D361" s="199"/>
      <c r="E361" s="199"/>
      <c r="F361" s="199"/>
      <c r="G361" s="200"/>
      <c r="H361" s="199"/>
      <c r="I361" s="199"/>
      <c r="J361" s="199"/>
      <c r="K361" s="199"/>
      <c r="L361" s="203"/>
      <c r="M361" s="203"/>
      <c r="N361" s="203"/>
      <c r="O361" s="199"/>
      <c r="P361" s="199"/>
      <c r="Q361" s="199"/>
    </row>
    <row r="362">
      <c r="A362" s="28"/>
      <c r="B362" s="199"/>
      <c r="C362" s="199"/>
      <c r="D362" s="199"/>
      <c r="E362" s="199"/>
      <c r="F362" s="199"/>
      <c r="G362" s="200"/>
      <c r="H362" s="199"/>
      <c r="I362" s="199"/>
      <c r="J362" s="199"/>
      <c r="K362" s="199"/>
      <c r="L362" s="203"/>
      <c r="M362" s="203"/>
      <c r="N362" s="203"/>
      <c r="O362" s="199"/>
      <c r="P362" s="199"/>
      <c r="Q362" s="199"/>
    </row>
    <row r="363">
      <c r="A363" s="28"/>
      <c r="B363" s="199"/>
      <c r="C363" s="199"/>
      <c r="D363" s="199"/>
      <c r="E363" s="199"/>
      <c r="F363" s="199"/>
      <c r="G363" s="200"/>
      <c r="H363" s="199"/>
      <c r="I363" s="199"/>
      <c r="J363" s="199"/>
      <c r="K363" s="199"/>
      <c r="L363" s="203"/>
      <c r="M363" s="203"/>
      <c r="N363" s="203"/>
      <c r="O363" s="199"/>
      <c r="P363" s="199"/>
      <c r="Q363" s="199"/>
    </row>
    <row r="364">
      <c r="A364" s="28"/>
      <c r="B364" s="199"/>
      <c r="C364" s="199"/>
      <c r="D364" s="199"/>
      <c r="E364" s="199"/>
      <c r="F364" s="199"/>
      <c r="G364" s="200"/>
      <c r="H364" s="199"/>
      <c r="I364" s="199"/>
      <c r="J364" s="199"/>
      <c r="K364" s="199"/>
      <c r="L364" s="203"/>
      <c r="M364" s="203"/>
      <c r="N364" s="203"/>
      <c r="O364" s="199"/>
      <c r="P364" s="199"/>
      <c r="Q364" s="199"/>
    </row>
    <row r="365">
      <c r="A365" s="28"/>
      <c r="B365" s="199"/>
      <c r="C365" s="199"/>
      <c r="D365" s="199"/>
      <c r="E365" s="199"/>
      <c r="F365" s="199"/>
      <c r="G365" s="200"/>
      <c r="H365" s="199"/>
      <c r="I365" s="199"/>
      <c r="J365" s="199"/>
      <c r="K365" s="199"/>
      <c r="L365" s="203"/>
      <c r="M365" s="203"/>
      <c r="N365" s="203"/>
      <c r="O365" s="199"/>
      <c r="P365" s="199"/>
      <c r="Q365" s="199"/>
    </row>
    <row r="366">
      <c r="A366" s="28"/>
      <c r="B366" s="199"/>
      <c r="C366" s="199"/>
      <c r="D366" s="199"/>
      <c r="E366" s="199"/>
      <c r="F366" s="199"/>
      <c r="G366" s="200"/>
      <c r="H366" s="199"/>
      <c r="I366" s="199"/>
      <c r="J366" s="199"/>
      <c r="K366" s="199"/>
      <c r="L366" s="203"/>
      <c r="M366" s="203"/>
      <c r="N366" s="203"/>
      <c r="O366" s="199"/>
      <c r="P366" s="199"/>
      <c r="Q366" s="199"/>
    </row>
    <row r="367">
      <c r="A367" s="28"/>
      <c r="B367" s="199"/>
      <c r="C367" s="199"/>
      <c r="D367" s="199"/>
      <c r="E367" s="199"/>
      <c r="F367" s="199"/>
      <c r="G367" s="200"/>
      <c r="H367" s="199"/>
      <c r="I367" s="199"/>
      <c r="J367" s="199"/>
      <c r="K367" s="199"/>
      <c r="L367" s="203"/>
      <c r="M367" s="203"/>
      <c r="N367" s="203"/>
      <c r="O367" s="199"/>
      <c r="P367" s="199"/>
      <c r="Q367" s="199"/>
    </row>
    <row r="368">
      <c r="A368" s="28"/>
      <c r="B368" s="199"/>
      <c r="C368" s="199"/>
      <c r="D368" s="199"/>
      <c r="E368" s="199"/>
      <c r="F368" s="199"/>
      <c r="G368" s="200"/>
      <c r="H368" s="199"/>
      <c r="I368" s="199"/>
      <c r="J368" s="199"/>
      <c r="K368" s="199"/>
      <c r="L368" s="203"/>
      <c r="M368" s="203"/>
      <c r="N368" s="203"/>
      <c r="O368" s="199"/>
      <c r="P368" s="199"/>
      <c r="Q368" s="199"/>
    </row>
    <row r="369">
      <c r="A369" s="28"/>
      <c r="B369" s="199"/>
      <c r="C369" s="199"/>
      <c r="D369" s="199"/>
      <c r="E369" s="199"/>
      <c r="F369" s="199"/>
      <c r="G369" s="200"/>
      <c r="H369" s="199"/>
      <c r="I369" s="199"/>
      <c r="J369" s="199"/>
      <c r="K369" s="199"/>
      <c r="L369" s="203"/>
      <c r="M369" s="203"/>
      <c r="N369" s="203"/>
      <c r="O369" s="199"/>
      <c r="P369" s="199"/>
      <c r="Q369" s="199"/>
    </row>
    <row r="370">
      <c r="A370" s="28"/>
      <c r="B370" s="199"/>
      <c r="C370" s="199"/>
      <c r="D370" s="199"/>
      <c r="E370" s="199"/>
      <c r="F370" s="199"/>
      <c r="G370" s="200"/>
      <c r="H370" s="199"/>
      <c r="I370" s="199"/>
      <c r="J370" s="199"/>
      <c r="K370" s="199"/>
      <c r="L370" s="203"/>
      <c r="M370" s="203"/>
      <c r="N370" s="203"/>
      <c r="O370" s="199"/>
      <c r="P370" s="199"/>
      <c r="Q370" s="199"/>
    </row>
    <row r="371">
      <c r="A371" s="28"/>
      <c r="B371" s="199"/>
      <c r="C371" s="199"/>
      <c r="D371" s="199"/>
      <c r="E371" s="199"/>
      <c r="F371" s="199"/>
      <c r="G371" s="200"/>
      <c r="H371" s="199"/>
      <c r="I371" s="199"/>
      <c r="J371" s="199"/>
      <c r="K371" s="199"/>
      <c r="L371" s="203"/>
      <c r="M371" s="203"/>
      <c r="N371" s="203"/>
      <c r="O371" s="199"/>
      <c r="P371" s="199"/>
      <c r="Q371" s="199"/>
    </row>
    <row r="372">
      <c r="A372" s="28"/>
      <c r="B372" s="199"/>
      <c r="C372" s="199"/>
      <c r="D372" s="199"/>
      <c r="E372" s="199"/>
      <c r="F372" s="199"/>
      <c r="G372" s="200"/>
      <c r="H372" s="199"/>
      <c r="I372" s="199"/>
      <c r="J372" s="199"/>
      <c r="K372" s="199"/>
      <c r="L372" s="203"/>
      <c r="M372" s="203"/>
      <c r="N372" s="203"/>
      <c r="O372" s="199"/>
      <c r="P372" s="199"/>
      <c r="Q372" s="199"/>
    </row>
    <row r="373">
      <c r="A373" s="28"/>
      <c r="B373" s="199"/>
      <c r="C373" s="199"/>
      <c r="D373" s="199"/>
      <c r="E373" s="199"/>
      <c r="F373" s="199"/>
      <c r="G373" s="200"/>
      <c r="H373" s="199"/>
      <c r="I373" s="199"/>
      <c r="J373" s="199"/>
      <c r="K373" s="199"/>
      <c r="L373" s="203"/>
      <c r="M373" s="203"/>
      <c r="N373" s="203"/>
      <c r="O373" s="199"/>
      <c r="P373" s="199"/>
      <c r="Q373" s="199"/>
    </row>
    <row r="374">
      <c r="A374" s="28"/>
      <c r="B374" s="199"/>
      <c r="C374" s="199"/>
      <c r="D374" s="199"/>
      <c r="E374" s="199"/>
      <c r="F374" s="199"/>
      <c r="G374" s="200"/>
      <c r="H374" s="199"/>
      <c r="I374" s="199"/>
      <c r="J374" s="199"/>
      <c r="K374" s="199"/>
      <c r="L374" s="203"/>
      <c r="M374" s="203"/>
      <c r="N374" s="203"/>
      <c r="O374" s="199"/>
      <c r="P374" s="199"/>
      <c r="Q374" s="199"/>
    </row>
    <row r="375">
      <c r="A375" s="28"/>
      <c r="B375" s="199"/>
      <c r="C375" s="199"/>
      <c r="D375" s="199"/>
      <c r="E375" s="199"/>
      <c r="F375" s="199"/>
      <c r="G375" s="200"/>
      <c r="H375" s="199"/>
      <c r="I375" s="199"/>
      <c r="J375" s="199"/>
      <c r="K375" s="199"/>
      <c r="L375" s="203"/>
      <c r="M375" s="203"/>
      <c r="N375" s="203"/>
      <c r="O375" s="199"/>
      <c r="P375" s="199"/>
      <c r="Q375" s="199"/>
    </row>
    <row r="376">
      <c r="A376" s="28"/>
      <c r="B376" s="199"/>
      <c r="C376" s="199"/>
      <c r="D376" s="199"/>
      <c r="E376" s="199"/>
      <c r="F376" s="199"/>
      <c r="G376" s="200"/>
      <c r="H376" s="199"/>
      <c r="I376" s="199"/>
      <c r="J376" s="199"/>
      <c r="K376" s="199"/>
      <c r="L376" s="203"/>
      <c r="M376" s="203"/>
      <c r="N376" s="203"/>
      <c r="O376" s="199"/>
      <c r="P376" s="199"/>
      <c r="Q376" s="199"/>
    </row>
    <row r="377">
      <c r="A377" s="28"/>
      <c r="B377" s="199"/>
      <c r="C377" s="199"/>
      <c r="D377" s="199"/>
      <c r="E377" s="199"/>
      <c r="F377" s="199"/>
      <c r="G377" s="200"/>
      <c r="H377" s="199"/>
      <c r="I377" s="199"/>
      <c r="J377" s="199"/>
      <c r="K377" s="199"/>
      <c r="L377" s="203"/>
      <c r="M377" s="203"/>
      <c r="N377" s="203"/>
      <c r="O377" s="199"/>
      <c r="P377" s="199"/>
      <c r="Q377" s="199"/>
    </row>
    <row r="378">
      <c r="A378" s="28"/>
      <c r="B378" s="199"/>
      <c r="C378" s="199"/>
      <c r="D378" s="199"/>
      <c r="E378" s="199"/>
      <c r="F378" s="199"/>
      <c r="G378" s="200"/>
      <c r="H378" s="199"/>
      <c r="I378" s="199"/>
      <c r="J378" s="199"/>
      <c r="K378" s="199"/>
      <c r="L378" s="203"/>
      <c r="M378" s="203"/>
      <c r="N378" s="203"/>
      <c r="O378" s="199"/>
      <c r="P378" s="199"/>
      <c r="Q378" s="199"/>
    </row>
    <row r="379">
      <c r="A379" s="28"/>
      <c r="B379" s="199"/>
      <c r="C379" s="199"/>
      <c r="D379" s="199"/>
      <c r="E379" s="199"/>
      <c r="F379" s="199"/>
      <c r="G379" s="200"/>
      <c r="H379" s="199"/>
      <c r="I379" s="199"/>
      <c r="J379" s="199"/>
      <c r="K379" s="199"/>
      <c r="L379" s="203"/>
      <c r="M379" s="203"/>
      <c r="N379" s="203"/>
      <c r="O379" s="199"/>
      <c r="P379" s="199"/>
      <c r="Q379" s="199"/>
    </row>
    <row r="380">
      <c r="A380" s="28"/>
      <c r="B380" s="199"/>
      <c r="C380" s="199"/>
      <c r="D380" s="199"/>
      <c r="E380" s="199"/>
      <c r="F380" s="199"/>
      <c r="G380" s="200"/>
      <c r="H380" s="199"/>
      <c r="I380" s="199"/>
      <c r="J380" s="199"/>
      <c r="K380" s="199"/>
      <c r="L380" s="203"/>
      <c r="M380" s="203"/>
      <c r="N380" s="203"/>
      <c r="O380" s="199"/>
      <c r="P380" s="199"/>
      <c r="Q380" s="199"/>
    </row>
    <row r="381">
      <c r="A381" s="28"/>
      <c r="B381" s="199"/>
      <c r="C381" s="199"/>
      <c r="D381" s="199"/>
      <c r="E381" s="199"/>
      <c r="F381" s="199"/>
      <c r="G381" s="200"/>
      <c r="H381" s="199"/>
      <c r="I381" s="199"/>
      <c r="J381" s="199"/>
      <c r="K381" s="199"/>
      <c r="L381" s="203"/>
      <c r="M381" s="203"/>
      <c r="N381" s="203"/>
      <c r="O381" s="199"/>
      <c r="P381" s="199"/>
      <c r="Q381" s="199"/>
    </row>
    <row r="382">
      <c r="A382" s="28"/>
      <c r="B382" s="199"/>
      <c r="C382" s="199"/>
      <c r="D382" s="199"/>
      <c r="E382" s="199"/>
      <c r="F382" s="199"/>
      <c r="G382" s="200"/>
      <c r="H382" s="199"/>
      <c r="I382" s="199"/>
      <c r="J382" s="199"/>
      <c r="K382" s="199"/>
      <c r="L382" s="203"/>
      <c r="M382" s="203"/>
      <c r="N382" s="203"/>
      <c r="O382" s="199"/>
      <c r="P382" s="199"/>
      <c r="Q382" s="199"/>
    </row>
    <row r="383">
      <c r="A383" s="28"/>
      <c r="B383" s="199"/>
      <c r="C383" s="199"/>
      <c r="D383" s="199"/>
      <c r="E383" s="199"/>
      <c r="F383" s="199"/>
      <c r="G383" s="200"/>
      <c r="H383" s="199"/>
      <c r="I383" s="199"/>
      <c r="J383" s="199"/>
      <c r="K383" s="199"/>
      <c r="L383" s="203"/>
      <c r="M383" s="203"/>
      <c r="N383" s="203"/>
      <c r="O383" s="199"/>
      <c r="P383" s="199"/>
      <c r="Q383" s="199"/>
    </row>
    <row r="384">
      <c r="A384" s="28"/>
      <c r="B384" s="199"/>
      <c r="C384" s="199"/>
      <c r="D384" s="199"/>
      <c r="E384" s="199"/>
      <c r="F384" s="199"/>
      <c r="G384" s="200"/>
      <c r="H384" s="199"/>
      <c r="I384" s="199"/>
      <c r="J384" s="199"/>
      <c r="K384" s="199"/>
      <c r="L384" s="203"/>
      <c r="M384" s="203"/>
      <c r="N384" s="203"/>
      <c r="O384" s="199"/>
      <c r="P384" s="199"/>
      <c r="Q384" s="199"/>
    </row>
    <row r="385">
      <c r="A385" s="28"/>
      <c r="B385" s="199"/>
      <c r="C385" s="199"/>
      <c r="D385" s="199"/>
      <c r="E385" s="199"/>
      <c r="F385" s="199"/>
      <c r="G385" s="200"/>
      <c r="H385" s="199"/>
      <c r="I385" s="199"/>
      <c r="J385" s="199"/>
      <c r="K385" s="199"/>
      <c r="L385" s="203"/>
      <c r="M385" s="203"/>
      <c r="N385" s="203"/>
      <c r="O385" s="199"/>
      <c r="P385" s="199"/>
      <c r="Q385" s="199"/>
    </row>
    <row r="386">
      <c r="A386" s="28"/>
      <c r="B386" s="199"/>
      <c r="C386" s="199"/>
      <c r="D386" s="199"/>
      <c r="E386" s="199"/>
      <c r="F386" s="199"/>
      <c r="G386" s="200"/>
      <c r="H386" s="199"/>
      <c r="I386" s="199"/>
      <c r="J386" s="199"/>
      <c r="K386" s="199"/>
      <c r="L386" s="203"/>
      <c r="M386" s="203"/>
      <c r="N386" s="203"/>
      <c r="O386" s="199"/>
      <c r="P386" s="199"/>
      <c r="Q386" s="199"/>
    </row>
    <row r="387">
      <c r="A387" s="28"/>
      <c r="B387" s="199"/>
      <c r="C387" s="199"/>
      <c r="D387" s="199"/>
      <c r="E387" s="199"/>
      <c r="F387" s="199"/>
      <c r="G387" s="200"/>
      <c r="H387" s="199"/>
      <c r="I387" s="199"/>
      <c r="J387" s="199"/>
      <c r="K387" s="199"/>
      <c r="L387" s="203"/>
      <c r="M387" s="203"/>
      <c r="N387" s="203"/>
      <c r="O387" s="199"/>
      <c r="P387" s="199"/>
      <c r="Q387" s="199"/>
    </row>
    <row r="388">
      <c r="A388" s="28"/>
      <c r="B388" s="199"/>
      <c r="C388" s="199"/>
      <c r="D388" s="199"/>
      <c r="E388" s="199"/>
      <c r="F388" s="199"/>
      <c r="G388" s="200"/>
      <c r="H388" s="199"/>
      <c r="I388" s="199"/>
      <c r="J388" s="199"/>
      <c r="K388" s="199"/>
      <c r="L388" s="203"/>
      <c r="M388" s="203"/>
      <c r="N388" s="203"/>
      <c r="O388" s="199"/>
      <c r="P388" s="199"/>
      <c r="Q388" s="199"/>
    </row>
    <row r="389">
      <c r="A389" s="28"/>
      <c r="B389" s="199"/>
      <c r="C389" s="199"/>
      <c r="D389" s="199"/>
      <c r="E389" s="199"/>
      <c r="F389" s="199"/>
      <c r="G389" s="200"/>
      <c r="H389" s="199"/>
      <c r="I389" s="199"/>
      <c r="J389" s="199"/>
      <c r="K389" s="199"/>
      <c r="L389" s="203"/>
      <c r="M389" s="203"/>
      <c r="N389" s="203"/>
      <c r="O389" s="199"/>
      <c r="P389" s="199"/>
      <c r="Q389" s="199"/>
    </row>
    <row r="390">
      <c r="A390" s="28"/>
      <c r="B390" s="199"/>
      <c r="C390" s="199"/>
      <c r="D390" s="199"/>
      <c r="E390" s="199"/>
      <c r="F390" s="199"/>
      <c r="G390" s="200"/>
      <c r="H390" s="199"/>
      <c r="I390" s="199"/>
      <c r="J390" s="199"/>
      <c r="K390" s="199"/>
      <c r="L390" s="203"/>
      <c r="M390" s="203"/>
      <c r="N390" s="203"/>
      <c r="O390" s="199"/>
      <c r="P390" s="199"/>
      <c r="Q390" s="199"/>
    </row>
    <row r="391">
      <c r="A391" s="28"/>
      <c r="B391" s="199"/>
      <c r="C391" s="199"/>
      <c r="D391" s="199"/>
      <c r="E391" s="199"/>
      <c r="F391" s="199"/>
      <c r="G391" s="200"/>
      <c r="H391" s="199"/>
      <c r="I391" s="199"/>
      <c r="J391" s="199"/>
      <c r="K391" s="199"/>
      <c r="L391" s="203"/>
      <c r="M391" s="203"/>
      <c r="N391" s="203"/>
      <c r="O391" s="199"/>
      <c r="P391" s="199"/>
      <c r="Q391" s="199"/>
    </row>
    <row r="392">
      <c r="A392" s="28"/>
      <c r="B392" s="199"/>
      <c r="C392" s="199"/>
      <c r="D392" s="199"/>
      <c r="E392" s="199"/>
      <c r="F392" s="199"/>
      <c r="G392" s="200"/>
      <c r="H392" s="199"/>
      <c r="I392" s="199"/>
      <c r="J392" s="199"/>
      <c r="K392" s="199"/>
      <c r="L392" s="203"/>
      <c r="M392" s="203"/>
      <c r="N392" s="203"/>
      <c r="O392" s="199"/>
      <c r="P392" s="199"/>
      <c r="Q392" s="199"/>
    </row>
    <row r="393">
      <c r="A393" s="28"/>
      <c r="B393" s="199"/>
      <c r="C393" s="199"/>
      <c r="D393" s="199"/>
      <c r="E393" s="199"/>
      <c r="F393" s="199"/>
      <c r="G393" s="200"/>
      <c r="H393" s="199"/>
      <c r="I393" s="199"/>
      <c r="J393" s="199"/>
      <c r="K393" s="199"/>
      <c r="L393" s="203"/>
      <c r="M393" s="203"/>
      <c r="N393" s="203"/>
      <c r="O393" s="199"/>
      <c r="P393" s="199"/>
      <c r="Q393" s="199"/>
    </row>
    <row r="394">
      <c r="A394" s="28"/>
      <c r="B394" s="199"/>
      <c r="C394" s="199"/>
      <c r="D394" s="199"/>
      <c r="E394" s="199"/>
      <c r="F394" s="199"/>
      <c r="G394" s="200"/>
      <c r="H394" s="199"/>
      <c r="I394" s="199"/>
      <c r="J394" s="199"/>
      <c r="K394" s="199"/>
      <c r="L394" s="203"/>
      <c r="M394" s="203"/>
      <c r="N394" s="203"/>
      <c r="O394" s="199"/>
      <c r="P394" s="199"/>
      <c r="Q394" s="199"/>
    </row>
    <row r="395">
      <c r="A395" s="28"/>
      <c r="B395" s="199"/>
      <c r="C395" s="199"/>
      <c r="D395" s="199"/>
      <c r="E395" s="199"/>
      <c r="F395" s="199"/>
      <c r="G395" s="200"/>
      <c r="H395" s="199"/>
      <c r="I395" s="199"/>
      <c r="J395" s="199"/>
      <c r="K395" s="199"/>
      <c r="L395" s="203"/>
      <c r="M395" s="203"/>
      <c r="N395" s="203"/>
      <c r="O395" s="199"/>
      <c r="P395" s="199"/>
      <c r="Q395" s="199"/>
    </row>
    <row r="396">
      <c r="A396" s="28"/>
      <c r="B396" s="199"/>
      <c r="C396" s="199"/>
      <c r="D396" s="199"/>
      <c r="E396" s="199"/>
      <c r="F396" s="199"/>
      <c r="G396" s="200"/>
      <c r="H396" s="199"/>
      <c r="I396" s="199"/>
      <c r="J396" s="199"/>
      <c r="K396" s="199"/>
      <c r="L396" s="203"/>
      <c r="M396" s="203"/>
      <c r="N396" s="203"/>
      <c r="O396" s="199"/>
      <c r="P396" s="199"/>
      <c r="Q396" s="199"/>
    </row>
    <row r="397">
      <c r="A397" s="28"/>
      <c r="B397" s="199"/>
      <c r="C397" s="199"/>
      <c r="D397" s="199"/>
      <c r="E397" s="199"/>
      <c r="F397" s="199"/>
      <c r="G397" s="200"/>
      <c r="H397" s="199"/>
      <c r="I397" s="199"/>
      <c r="J397" s="199"/>
      <c r="K397" s="199"/>
      <c r="L397" s="203"/>
      <c r="M397" s="203"/>
      <c r="N397" s="203"/>
      <c r="O397" s="199"/>
      <c r="P397" s="199"/>
      <c r="Q397" s="199"/>
    </row>
    <row r="398">
      <c r="A398" s="28"/>
      <c r="B398" s="199"/>
      <c r="C398" s="199"/>
      <c r="D398" s="199"/>
      <c r="E398" s="199"/>
      <c r="F398" s="199"/>
      <c r="G398" s="200"/>
      <c r="H398" s="199"/>
      <c r="I398" s="199"/>
      <c r="J398" s="199"/>
      <c r="K398" s="199"/>
      <c r="L398" s="203"/>
      <c r="M398" s="203"/>
      <c r="N398" s="203"/>
      <c r="O398" s="199"/>
      <c r="P398" s="199"/>
      <c r="Q398" s="199"/>
    </row>
    <row r="399">
      <c r="A399" s="28"/>
      <c r="B399" s="199"/>
      <c r="C399" s="199"/>
      <c r="D399" s="199"/>
      <c r="E399" s="199"/>
      <c r="F399" s="199"/>
      <c r="G399" s="200"/>
      <c r="H399" s="199"/>
      <c r="I399" s="199"/>
      <c r="J399" s="199"/>
      <c r="K399" s="199"/>
      <c r="L399" s="203"/>
      <c r="M399" s="203"/>
      <c r="N399" s="203"/>
      <c r="O399" s="199"/>
      <c r="P399" s="199"/>
      <c r="Q399" s="199"/>
    </row>
    <row r="400">
      <c r="A400" s="28"/>
      <c r="B400" s="199"/>
      <c r="C400" s="199"/>
      <c r="D400" s="199"/>
      <c r="E400" s="199"/>
      <c r="F400" s="199"/>
      <c r="G400" s="200"/>
      <c r="H400" s="199"/>
      <c r="I400" s="199"/>
      <c r="J400" s="199"/>
      <c r="K400" s="199"/>
      <c r="L400" s="203"/>
      <c r="M400" s="203"/>
      <c r="N400" s="203"/>
      <c r="O400" s="199"/>
      <c r="P400" s="199"/>
      <c r="Q400" s="199"/>
    </row>
    <row r="401">
      <c r="A401" s="28"/>
      <c r="B401" s="199"/>
      <c r="C401" s="199"/>
      <c r="D401" s="199"/>
      <c r="E401" s="199"/>
      <c r="F401" s="199"/>
      <c r="G401" s="200"/>
      <c r="H401" s="199"/>
      <c r="I401" s="199"/>
      <c r="J401" s="199"/>
      <c r="K401" s="199"/>
      <c r="L401" s="203"/>
      <c r="M401" s="203"/>
      <c r="N401" s="203"/>
      <c r="O401" s="199"/>
      <c r="P401" s="199"/>
      <c r="Q401" s="199"/>
    </row>
    <row r="402">
      <c r="A402" s="28"/>
      <c r="B402" s="199"/>
      <c r="C402" s="199"/>
      <c r="D402" s="199"/>
      <c r="E402" s="199"/>
      <c r="F402" s="199"/>
      <c r="G402" s="200"/>
      <c r="H402" s="199"/>
      <c r="I402" s="199"/>
      <c r="J402" s="199"/>
      <c r="K402" s="199"/>
      <c r="L402" s="203"/>
      <c r="M402" s="203"/>
      <c r="N402" s="203"/>
      <c r="O402" s="199"/>
      <c r="P402" s="199"/>
      <c r="Q402" s="199"/>
    </row>
    <row r="403">
      <c r="A403" s="28"/>
      <c r="B403" s="199"/>
      <c r="C403" s="199"/>
      <c r="D403" s="199"/>
      <c r="E403" s="199"/>
      <c r="F403" s="199"/>
      <c r="G403" s="200"/>
      <c r="H403" s="199"/>
      <c r="I403" s="199"/>
      <c r="J403" s="199"/>
      <c r="K403" s="199"/>
      <c r="L403" s="203"/>
      <c r="M403" s="203"/>
      <c r="N403" s="203"/>
      <c r="O403" s="199"/>
      <c r="P403" s="199"/>
      <c r="Q403" s="199"/>
    </row>
    <row r="404">
      <c r="A404" s="28"/>
      <c r="B404" s="199"/>
      <c r="C404" s="199"/>
      <c r="D404" s="199"/>
      <c r="E404" s="199"/>
      <c r="F404" s="199"/>
      <c r="G404" s="200"/>
      <c r="H404" s="199"/>
      <c r="I404" s="199"/>
      <c r="J404" s="199"/>
      <c r="K404" s="199"/>
      <c r="L404" s="203"/>
      <c r="M404" s="203"/>
      <c r="N404" s="203"/>
      <c r="O404" s="199"/>
      <c r="P404" s="199"/>
      <c r="Q404" s="199"/>
    </row>
    <row r="405">
      <c r="A405" s="28"/>
      <c r="B405" s="199"/>
      <c r="C405" s="199"/>
      <c r="D405" s="199"/>
      <c r="E405" s="199"/>
      <c r="F405" s="199"/>
      <c r="G405" s="200"/>
      <c r="H405" s="199"/>
      <c r="I405" s="199"/>
      <c r="J405" s="199"/>
      <c r="K405" s="199"/>
      <c r="L405" s="203"/>
      <c r="M405" s="203"/>
      <c r="N405" s="203"/>
      <c r="O405" s="199"/>
      <c r="P405" s="199"/>
      <c r="Q405" s="199"/>
    </row>
    <row r="406">
      <c r="A406" s="28"/>
      <c r="B406" s="199"/>
      <c r="C406" s="199"/>
      <c r="D406" s="199"/>
      <c r="E406" s="199"/>
      <c r="F406" s="199"/>
      <c r="G406" s="200"/>
      <c r="H406" s="199"/>
      <c r="I406" s="199"/>
      <c r="J406" s="199"/>
      <c r="K406" s="199"/>
      <c r="L406" s="203"/>
      <c r="M406" s="203"/>
      <c r="N406" s="203"/>
      <c r="O406" s="199"/>
      <c r="P406" s="199"/>
      <c r="Q406" s="199"/>
    </row>
    <row r="407">
      <c r="A407" s="28"/>
      <c r="B407" s="199"/>
      <c r="C407" s="199"/>
      <c r="D407" s="199"/>
      <c r="E407" s="199"/>
      <c r="F407" s="199"/>
      <c r="G407" s="200"/>
      <c r="H407" s="199"/>
      <c r="I407" s="199"/>
      <c r="J407" s="199"/>
      <c r="K407" s="199"/>
      <c r="L407" s="203"/>
      <c r="M407" s="203"/>
      <c r="N407" s="203"/>
      <c r="O407" s="199"/>
      <c r="P407" s="199"/>
      <c r="Q407" s="199"/>
    </row>
    <row r="408">
      <c r="A408" s="28"/>
      <c r="B408" s="199"/>
      <c r="C408" s="199"/>
      <c r="D408" s="199"/>
      <c r="E408" s="199"/>
      <c r="F408" s="199"/>
      <c r="G408" s="200"/>
      <c r="H408" s="199"/>
      <c r="I408" s="199"/>
      <c r="J408" s="199"/>
      <c r="K408" s="199"/>
      <c r="L408" s="203"/>
      <c r="M408" s="203"/>
      <c r="N408" s="203"/>
      <c r="O408" s="199"/>
      <c r="P408" s="199"/>
      <c r="Q408" s="199"/>
    </row>
    <row r="409">
      <c r="A409" s="28"/>
      <c r="B409" s="199"/>
      <c r="C409" s="199"/>
      <c r="D409" s="199"/>
      <c r="E409" s="199"/>
      <c r="F409" s="199"/>
      <c r="G409" s="200"/>
      <c r="H409" s="199"/>
      <c r="I409" s="199"/>
      <c r="J409" s="199"/>
      <c r="K409" s="199"/>
      <c r="L409" s="203"/>
      <c r="M409" s="203"/>
      <c r="N409" s="203"/>
      <c r="O409" s="199"/>
      <c r="P409" s="199"/>
      <c r="Q409" s="199"/>
    </row>
    <row r="410">
      <c r="A410" s="28"/>
      <c r="B410" s="199"/>
      <c r="C410" s="199"/>
      <c r="D410" s="199"/>
      <c r="E410" s="199"/>
      <c r="F410" s="199"/>
      <c r="G410" s="200"/>
      <c r="H410" s="199"/>
      <c r="I410" s="199"/>
      <c r="J410" s="199"/>
      <c r="K410" s="199"/>
      <c r="L410" s="203"/>
      <c r="M410" s="203"/>
      <c r="N410" s="203"/>
      <c r="O410" s="199"/>
      <c r="P410" s="199"/>
      <c r="Q410" s="199"/>
    </row>
    <row r="411">
      <c r="A411" s="28"/>
      <c r="B411" s="199"/>
      <c r="C411" s="199"/>
      <c r="D411" s="199"/>
      <c r="E411" s="199"/>
      <c r="F411" s="199"/>
      <c r="G411" s="200"/>
      <c r="H411" s="199"/>
      <c r="I411" s="199"/>
      <c r="J411" s="199"/>
      <c r="K411" s="199"/>
      <c r="L411" s="203"/>
      <c r="M411" s="203"/>
      <c r="N411" s="203"/>
      <c r="O411" s="199"/>
      <c r="P411" s="199"/>
      <c r="Q411" s="199"/>
    </row>
    <row r="412">
      <c r="A412" s="28"/>
      <c r="B412" s="199"/>
      <c r="C412" s="199"/>
      <c r="D412" s="199"/>
      <c r="E412" s="199"/>
      <c r="F412" s="199"/>
      <c r="G412" s="200"/>
      <c r="H412" s="199"/>
      <c r="I412" s="199"/>
      <c r="J412" s="199"/>
      <c r="K412" s="199"/>
      <c r="L412" s="203"/>
      <c r="M412" s="203"/>
      <c r="N412" s="203"/>
      <c r="O412" s="199"/>
      <c r="P412" s="199"/>
      <c r="Q412" s="199"/>
    </row>
    <row r="413">
      <c r="A413" s="28"/>
      <c r="B413" s="199"/>
      <c r="C413" s="199"/>
      <c r="D413" s="199"/>
      <c r="E413" s="199"/>
      <c r="F413" s="199"/>
      <c r="G413" s="200"/>
      <c r="H413" s="199"/>
      <c r="I413" s="199"/>
      <c r="J413" s="199"/>
      <c r="K413" s="199"/>
      <c r="L413" s="203"/>
      <c r="M413" s="203"/>
      <c r="N413" s="203"/>
      <c r="O413" s="199"/>
      <c r="P413" s="199"/>
      <c r="Q413" s="199"/>
    </row>
    <row r="414">
      <c r="A414" s="28"/>
      <c r="B414" s="199"/>
      <c r="C414" s="199"/>
      <c r="D414" s="199"/>
      <c r="E414" s="199"/>
      <c r="F414" s="199"/>
      <c r="G414" s="200"/>
      <c r="H414" s="199"/>
      <c r="I414" s="199"/>
      <c r="J414" s="199"/>
      <c r="K414" s="199"/>
      <c r="L414" s="203"/>
      <c r="M414" s="203"/>
      <c r="N414" s="203"/>
      <c r="O414" s="199"/>
      <c r="P414" s="199"/>
      <c r="Q414" s="199"/>
    </row>
    <row r="415">
      <c r="A415" s="28"/>
      <c r="B415" s="199"/>
      <c r="C415" s="199"/>
      <c r="D415" s="199"/>
      <c r="E415" s="199"/>
      <c r="F415" s="199"/>
      <c r="G415" s="200"/>
      <c r="H415" s="199"/>
      <c r="I415" s="199"/>
      <c r="J415" s="199"/>
      <c r="K415" s="199"/>
      <c r="L415" s="203"/>
      <c r="M415" s="203"/>
      <c r="N415" s="203"/>
      <c r="O415" s="199"/>
      <c r="P415" s="199"/>
      <c r="Q415" s="199"/>
    </row>
    <row r="416">
      <c r="A416" s="28"/>
      <c r="B416" s="199"/>
      <c r="C416" s="199"/>
      <c r="D416" s="199"/>
      <c r="E416" s="199"/>
      <c r="F416" s="199"/>
      <c r="G416" s="200"/>
      <c r="H416" s="199"/>
      <c r="I416" s="199"/>
      <c r="J416" s="199"/>
      <c r="K416" s="199"/>
      <c r="L416" s="203"/>
      <c r="M416" s="203"/>
      <c r="N416" s="203"/>
      <c r="O416" s="199"/>
      <c r="P416" s="199"/>
      <c r="Q416" s="199"/>
    </row>
    <row r="417">
      <c r="A417" s="28"/>
      <c r="B417" s="199"/>
      <c r="C417" s="199"/>
      <c r="D417" s="199"/>
      <c r="E417" s="199"/>
      <c r="F417" s="199"/>
      <c r="G417" s="200"/>
      <c r="H417" s="199"/>
      <c r="I417" s="199"/>
      <c r="J417" s="199"/>
      <c r="K417" s="199"/>
      <c r="L417" s="203"/>
      <c r="M417" s="203"/>
      <c r="N417" s="203"/>
      <c r="O417" s="199"/>
      <c r="P417" s="199"/>
      <c r="Q417" s="199"/>
    </row>
    <row r="418">
      <c r="A418" s="28"/>
      <c r="B418" s="199"/>
      <c r="C418" s="199"/>
      <c r="D418" s="199"/>
      <c r="E418" s="199"/>
      <c r="F418" s="199"/>
      <c r="G418" s="200"/>
      <c r="H418" s="199"/>
      <c r="I418" s="199"/>
      <c r="J418" s="199"/>
      <c r="K418" s="199"/>
      <c r="L418" s="203"/>
      <c r="M418" s="203"/>
      <c r="N418" s="203"/>
      <c r="O418" s="199"/>
      <c r="P418" s="199"/>
      <c r="Q418" s="199"/>
    </row>
    <row r="419">
      <c r="A419" s="28"/>
      <c r="B419" s="199"/>
      <c r="C419" s="199"/>
      <c r="D419" s="199"/>
      <c r="E419" s="199"/>
      <c r="F419" s="199"/>
      <c r="G419" s="200"/>
      <c r="H419" s="199"/>
      <c r="I419" s="199"/>
      <c r="J419" s="199"/>
      <c r="K419" s="199"/>
      <c r="L419" s="203"/>
      <c r="M419" s="203"/>
      <c r="N419" s="203"/>
      <c r="O419" s="199"/>
      <c r="P419" s="199"/>
      <c r="Q419" s="199"/>
    </row>
    <row r="420">
      <c r="A420" s="28"/>
      <c r="B420" s="199"/>
      <c r="C420" s="199"/>
      <c r="D420" s="199"/>
      <c r="E420" s="199"/>
      <c r="F420" s="199"/>
      <c r="G420" s="200"/>
      <c r="H420" s="199"/>
      <c r="I420" s="199"/>
      <c r="J420" s="199"/>
      <c r="K420" s="199"/>
      <c r="L420" s="203"/>
      <c r="M420" s="203"/>
      <c r="N420" s="203"/>
      <c r="O420" s="199"/>
      <c r="P420" s="199"/>
      <c r="Q420" s="199"/>
    </row>
    <row r="421">
      <c r="A421" s="28"/>
      <c r="B421" s="199"/>
      <c r="C421" s="199"/>
      <c r="D421" s="199"/>
      <c r="E421" s="199"/>
      <c r="F421" s="199"/>
      <c r="G421" s="200"/>
      <c r="H421" s="199"/>
      <c r="I421" s="199"/>
      <c r="J421" s="199"/>
      <c r="K421" s="199"/>
      <c r="L421" s="203"/>
      <c r="M421" s="203"/>
      <c r="N421" s="203"/>
      <c r="O421" s="199"/>
      <c r="P421" s="199"/>
      <c r="Q421" s="199"/>
    </row>
    <row r="422">
      <c r="A422" s="28"/>
      <c r="B422" s="199"/>
      <c r="C422" s="199"/>
      <c r="D422" s="199"/>
      <c r="E422" s="199"/>
      <c r="F422" s="199"/>
      <c r="G422" s="200"/>
      <c r="H422" s="199"/>
      <c r="I422" s="199"/>
      <c r="J422" s="199"/>
      <c r="K422" s="199"/>
      <c r="L422" s="203"/>
      <c r="M422" s="203"/>
      <c r="N422" s="203"/>
      <c r="O422" s="199"/>
      <c r="P422" s="199"/>
      <c r="Q422" s="199"/>
    </row>
    <row r="423">
      <c r="A423" s="28"/>
      <c r="B423" s="199"/>
      <c r="C423" s="199"/>
      <c r="D423" s="199"/>
      <c r="E423" s="199"/>
      <c r="F423" s="199"/>
      <c r="G423" s="200"/>
      <c r="H423" s="199"/>
      <c r="I423" s="199"/>
      <c r="J423" s="199"/>
      <c r="K423" s="199"/>
      <c r="L423" s="203"/>
      <c r="M423" s="203"/>
      <c r="N423" s="203"/>
      <c r="O423" s="199"/>
      <c r="P423" s="199"/>
      <c r="Q423" s="199"/>
    </row>
    <row r="424">
      <c r="A424" s="28"/>
      <c r="B424" s="199"/>
      <c r="C424" s="199"/>
      <c r="D424" s="199"/>
      <c r="E424" s="199"/>
      <c r="F424" s="199"/>
      <c r="G424" s="200"/>
      <c r="H424" s="199"/>
      <c r="I424" s="199"/>
      <c r="J424" s="199"/>
      <c r="K424" s="199"/>
      <c r="L424" s="203"/>
      <c r="M424" s="203"/>
      <c r="N424" s="203"/>
      <c r="O424" s="199"/>
      <c r="P424" s="199"/>
      <c r="Q424" s="199"/>
    </row>
    <row r="425">
      <c r="A425" s="28"/>
      <c r="B425" s="199"/>
      <c r="C425" s="199"/>
      <c r="D425" s="199"/>
      <c r="E425" s="199"/>
      <c r="F425" s="199"/>
      <c r="G425" s="200"/>
      <c r="H425" s="199"/>
      <c r="I425" s="199"/>
      <c r="J425" s="199"/>
      <c r="K425" s="199"/>
      <c r="L425" s="203"/>
      <c r="M425" s="203"/>
      <c r="N425" s="203"/>
      <c r="O425" s="199"/>
      <c r="P425" s="199"/>
      <c r="Q425" s="199"/>
    </row>
    <row r="426">
      <c r="A426" s="28"/>
      <c r="B426" s="199"/>
      <c r="C426" s="199"/>
      <c r="D426" s="199"/>
      <c r="E426" s="199"/>
      <c r="F426" s="199"/>
      <c r="G426" s="200"/>
      <c r="H426" s="199"/>
      <c r="I426" s="199"/>
      <c r="J426" s="199"/>
      <c r="K426" s="199"/>
      <c r="L426" s="203"/>
      <c r="M426" s="203"/>
      <c r="N426" s="203"/>
      <c r="O426" s="199"/>
      <c r="P426" s="199"/>
      <c r="Q426" s="199"/>
    </row>
    <row r="427">
      <c r="A427" s="28"/>
      <c r="B427" s="199"/>
      <c r="C427" s="199"/>
      <c r="D427" s="199"/>
      <c r="E427" s="199"/>
      <c r="F427" s="199"/>
      <c r="G427" s="200"/>
      <c r="H427" s="199"/>
      <c r="I427" s="199"/>
      <c r="J427" s="199"/>
      <c r="K427" s="199"/>
      <c r="L427" s="203"/>
      <c r="M427" s="203"/>
      <c r="N427" s="203"/>
      <c r="O427" s="199"/>
      <c r="P427" s="199"/>
      <c r="Q427" s="199"/>
    </row>
    <row r="428">
      <c r="A428" s="28"/>
      <c r="B428" s="199"/>
      <c r="C428" s="199"/>
      <c r="D428" s="199"/>
      <c r="E428" s="199"/>
      <c r="F428" s="199"/>
      <c r="G428" s="200"/>
      <c r="H428" s="199"/>
      <c r="I428" s="199"/>
      <c r="J428" s="199"/>
      <c r="K428" s="199"/>
      <c r="L428" s="203"/>
      <c r="M428" s="203"/>
      <c r="N428" s="203"/>
      <c r="O428" s="199"/>
      <c r="P428" s="199"/>
      <c r="Q428" s="199"/>
    </row>
    <row r="429">
      <c r="A429" s="28"/>
      <c r="B429" s="199"/>
      <c r="C429" s="199"/>
      <c r="D429" s="199"/>
      <c r="E429" s="199"/>
      <c r="F429" s="199"/>
      <c r="G429" s="200"/>
      <c r="H429" s="199"/>
      <c r="I429" s="199"/>
      <c r="J429" s="199"/>
      <c r="K429" s="199"/>
      <c r="L429" s="203"/>
      <c r="M429" s="203"/>
      <c r="N429" s="203"/>
      <c r="O429" s="199"/>
      <c r="P429" s="199"/>
      <c r="Q429" s="199"/>
    </row>
    <row r="430">
      <c r="A430" s="28"/>
      <c r="B430" s="199"/>
      <c r="C430" s="199"/>
      <c r="D430" s="199"/>
      <c r="E430" s="199"/>
      <c r="F430" s="199"/>
      <c r="G430" s="200"/>
      <c r="H430" s="199"/>
      <c r="I430" s="199"/>
      <c r="J430" s="199"/>
      <c r="K430" s="199"/>
      <c r="L430" s="203"/>
      <c r="M430" s="203"/>
      <c r="N430" s="203"/>
      <c r="O430" s="199"/>
      <c r="P430" s="199"/>
      <c r="Q430" s="199"/>
    </row>
    <row r="431">
      <c r="A431" s="28"/>
      <c r="B431" s="199"/>
      <c r="C431" s="199"/>
      <c r="D431" s="199"/>
      <c r="E431" s="199"/>
      <c r="F431" s="199"/>
      <c r="G431" s="200"/>
      <c r="H431" s="199"/>
      <c r="I431" s="199"/>
      <c r="J431" s="199"/>
      <c r="K431" s="199"/>
      <c r="L431" s="203"/>
      <c r="M431" s="203"/>
      <c r="N431" s="203"/>
      <c r="O431" s="199"/>
      <c r="P431" s="199"/>
      <c r="Q431" s="199"/>
    </row>
    <row r="432">
      <c r="A432" s="28"/>
      <c r="B432" s="199"/>
      <c r="C432" s="199"/>
      <c r="D432" s="199"/>
      <c r="E432" s="199"/>
      <c r="F432" s="199"/>
      <c r="G432" s="200"/>
      <c r="H432" s="199"/>
      <c r="I432" s="199"/>
      <c r="J432" s="199"/>
      <c r="K432" s="199"/>
      <c r="L432" s="203"/>
      <c r="M432" s="203"/>
      <c r="N432" s="203"/>
      <c r="O432" s="199"/>
      <c r="P432" s="199"/>
      <c r="Q432" s="199"/>
    </row>
    <row r="433">
      <c r="A433" s="28"/>
      <c r="B433" s="199"/>
      <c r="C433" s="199"/>
      <c r="D433" s="199"/>
      <c r="E433" s="199"/>
      <c r="F433" s="199"/>
      <c r="G433" s="200"/>
      <c r="H433" s="199"/>
      <c r="I433" s="199"/>
      <c r="J433" s="199"/>
      <c r="K433" s="199"/>
      <c r="L433" s="203"/>
      <c r="M433" s="203"/>
      <c r="N433" s="203"/>
      <c r="O433" s="199"/>
      <c r="P433" s="199"/>
      <c r="Q433" s="199"/>
    </row>
    <row r="434">
      <c r="A434" s="28"/>
      <c r="B434" s="199"/>
      <c r="C434" s="199"/>
      <c r="D434" s="199"/>
      <c r="E434" s="199"/>
      <c r="F434" s="199"/>
      <c r="G434" s="200"/>
      <c r="H434" s="199"/>
      <c r="I434" s="199"/>
      <c r="J434" s="199"/>
      <c r="K434" s="199"/>
      <c r="L434" s="203"/>
      <c r="M434" s="203"/>
      <c r="N434" s="203"/>
      <c r="O434" s="199"/>
      <c r="P434" s="199"/>
      <c r="Q434" s="199"/>
    </row>
    <row r="435">
      <c r="A435" s="28"/>
      <c r="B435" s="199"/>
      <c r="C435" s="199"/>
      <c r="D435" s="199"/>
      <c r="E435" s="199"/>
      <c r="F435" s="199"/>
      <c r="G435" s="200"/>
      <c r="H435" s="199"/>
      <c r="I435" s="199"/>
      <c r="J435" s="199"/>
      <c r="K435" s="199"/>
      <c r="L435" s="203"/>
      <c r="M435" s="203"/>
      <c r="N435" s="203"/>
      <c r="O435" s="199"/>
      <c r="P435" s="199"/>
      <c r="Q435" s="199"/>
    </row>
    <row r="436">
      <c r="A436" s="28"/>
      <c r="B436" s="199"/>
      <c r="C436" s="199"/>
      <c r="D436" s="199"/>
      <c r="E436" s="199"/>
      <c r="F436" s="199"/>
      <c r="G436" s="200"/>
      <c r="H436" s="199"/>
      <c r="I436" s="199"/>
      <c r="J436" s="199"/>
      <c r="K436" s="199"/>
      <c r="L436" s="203"/>
      <c r="M436" s="203"/>
      <c r="N436" s="203"/>
      <c r="O436" s="199"/>
      <c r="P436" s="199"/>
      <c r="Q436" s="199"/>
    </row>
    <row r="437">
      <c r="A437" s="28"/>
      <c r="B437" s="199"/>
      <c r="C437" s="199"/>
      <c r="D437" s="199"/>
      <c r="E437" s="199"/>
      <c r="F437" s="199"/>
      <c r="G437" s="200"/>
      <c r="H437" s="199"/>
      <c r="I437" s="199"/>
      <c r="J437" s="199"/>
      <c r="K437" s="199"/>
      <c r="L437" s="203"/>
      <c r="M437" s="203"/>
      <c r="N437" s="203"/>
      <c r="O437" s="199"/>
      <c r="P437" s="199"/>
      <c r="Q437" s="199"/>
    </row>
    <row r="438">
      <c r="A438" s="28"/>
      <c r="B438" s="199"/>
      <c r="C438" s="199"/>
      <c r="D438" s="199"/>
      <c r="E438" s="199"/>
      <c r="F438" s="199"/>
      <c r="G438" s="200"/>
      <c r="H438" s="199"/>
      <c r="I438" s="199"/>
      <c r="J438" s="199"/>
      <c r="K438" s="199"/>
      <c r="L438" s="203"/>
      <c r="M438" s="203"/>
      <c r="N438" s="203"/>
      <c r="O438" s="199"/>
      <c r="P438" s="199"/>
      <c r="Q438" s="199"/>
    </row>
    <row r="439">
      <c r="A439" s="28"/>
      <c r="B439" s="199"/>
      <c r="C439" s="199"/>
      <c r="D439" s="199"/>
      <c r="E439" s="199"/>
      <c r="F439" s="199"/>
      <c r="G439" s="200"/>
      <c r="H439" s="199"/>
      <c r="I439" s="199"/>
      <c r="J439" s="199"/>
      <c r="K439" s="199"/>
      <c r="L439" s="203"/>
      <c r="M439" s="203"/>
      <c r="N439" s="203"/>
      <c r="O439" s="199"/>
      <c r="P439" s="199"/>
      <c r="Q439" s="199"/>
    </row>
    <row r="440">
      <c r="A440" s="28"/>
      <c r="B440" s="199"/>
      <c r="C440" s="199"/>
      <c r="D440" s="199"/>
      <c r="E440" s="199"/>
      <c r="F440" s="199"/>
      <c r="G440" s="200"/>
      <c r="H440" s="199"/>
      <c r="I440" s="199"/>
      <c r="J440" s="199"/>
      <c r="K440" s="199"/>
      <c r="L440" s="203"/>
      <c r="M440" s="203"/>
      <c r="N440" s="203"/>
      <c r="O440" s="199"/>
      <c r="P440" s="199"/>
      <c r="Q440" s="199"/>
    </row>
    <row r="441">
      <c r="A441" s="28"/>
      <c r="B441" s="199"/>
      <c r="C441" s="199"/>
      <c r="D441" s="199"/>
      <c r="E441" s="199"/>
      <c r="F441" s="199"/>
      <c r="G441" s="200"/>
      <c r="H441" s="199"/>
      <c r="I441" s="199"/>
      <c r="J441" s="199"/>
      <c r="K441" s="199"/>
      <c r="L441" s="203"/>
      <c r="M441" s="203"/>
      <c r="N441" s="203"/>
      <c r="O441" s="199"/>
      <c r="P441" s="199"/>
      <c r="Q441" s="199"/>
    </row>
    <row r="442">
      <c r="A442" s="28"/>
      <c r="B442" s="199"/>
      <c r="C442" s="199"/>
      <c r="D442" s="199"/>
      <c r="E442" s="199"/>
      <c r="F442" s="199"/>
      <c r="G442" s="200"/>
      <c r="H442" s="199"/>
      <c r="I442" s="199"/>
      <c r="J442" s="199"/>
      <c r="K442" s="199"/>
      <c r="L442" s="203"/>
      <c r="M442" s="203"/>
      <c r="N442" s="203"/>
      <c r="O442" s="199"/>
      <c r="P442" s="199"/>
      <c r="Q442" s="199"/>
    </row>
    <row r="443">
      <c r="A443" s="28"/>
      <c r="B443" s="199"/>
      <c r="C443" s="199"/>
      <c r="D443" s="199"/>
      <c r="E443" s="199"/>
      <c r="F443" s="199"/>
      <c r="G443" s="200"/>
      <c r="H443" s="199"/>
      <c r="I443" s="199"/>
      <c r="J443" s="199"/>
      <c r="K443" s="199"/>
      <c r="L443" s="203"/>
      <c r="M443" s="203"/>
      <c r="N443" s="203"/>
      <c r="O443" s="199"/>
      <c r="P443" s="199"/>
      <c r="Q443" s="199"/>
    </row>
    <row r="444">
      <c r="A444" s="28"/>
      <c r="B444" s="199"/>
      <c r="C444" s="199"/>
      <c r="D444" s="199"/>
      <c r="E444" s="199"/>
      <c r="F444" s="199"/>
      <c r="G444" s="200"/>
      <c r="H444" s="199"/>
      <c r="I444" s="199"/>
      <c r="J444" s="199"/>
      <c r="K444" s="199"/>
      <c r="L444" s="203"/>
      <c r="M444" s="203"/>
      <c r="N444" s="203"/>
      <c r="O444" s="199"/>
      <c r="P444" s="199"/>
      <c r="Q444" s="199"/>
    </row>
    <row r="445">
      <c r="A445" s="28"/>
      <c r="B445" s="199"/>
      <c r="C445" s="199"/>
      <c r="D445" s="199"/>
      <c r="E445" s="199"/>
      <c r="F445" s="199"/>
      <c r="G445" s="200"/>
      <c r="H445" s="199"/>
      <c r="I445" s="199"/>
      <c r="J445" s="199"/>
      <c r="K445" s="199"/>
      <c r="L445" s="203"/>
      <c r="M445" s="203"/>
      <c r="N445" s="203"/>
      <c r="O445" s="199"/>
      <c r="P445" s="199"/>
      <c r="Q445" s="199"/>
    </row>
    <row r="446">
      <c r="A446" s="28"/>
      <c r="B446" s="199"/>
      <c r="C446" s="199"/>
      <c r="D446" s="199"/>
      <c r="E446" s="199"/>
      <c r="F446" s="199"/>
      <c r="G446" s="200"/>
      <c r="H446" s="199"/>
      <c r="I446" s="199"/>
      <c r="J446" s="199"/>
      <c r="K446" s="199"/>
      <c r="L446" s="203"/>
      <c r="M446" s="203"/>
      <c r="N446" s="203"/>
      <c r="O446" s="199"/>
      <c r="P446" s="199"/>
      <c r="Q446" s="199"/>
    </row>
    <row r="447">
      <c r="A447" s="28"/>
      <c r="B447" s="199"/>
      <c r="C447" s="199"/>
      <c r="D447" s="199"/>
      <c r="E447" s="199"/>
      <c r="F447" s="199"/>
      <c r="G447" s="200"/>
      <c r="H447" s="199"/>
      <c r="I447" s="199"/>
      <c r="J447" s="199"/>
      <c r="K447" s="199"/>
      <c r="L447" s="203"/>
      <c r="M447" s="203"/>
      <c r="N447" s="203"/>
      <c r="O447" s="199"/>
      <c r="P447" s="199"/>
      <c r="Q447" s="199"/>
    </row>
    <row r="448">
      <c r="A448" s="28"/>
      <c r="B448" s="199"/>
      <c r="C448" s="199"/>
      <c r="D448" s="199"/>
      <c r="E448" s="199"/>
      <c r="F448" s="199"/>
      <c r="G448" s="200"/>
      <c r="H448" s="199"/>
      <c r="I448" s="199"/>
      <c r="J448" s="199"/>
      <c r="K448" s="199"/>
      <c r="L448" s="203"/>
      <c r="M448" s="203"/>
      <c r="N448" s="203"/>
      <c r="O448" s="199"/>
      <c r="P448" s="199"/>
      <c r="Q448" s="199"/>
    </row>
    <row r="449">
      <c r="A449" s="28"/>
      <c r="B449" s="199"/>
      <c r="C449" s="199"/>
      <c r="D449" s="199"/>
      <c r="E449" s="199"/>
      <c r="F449" s="199"/>
      <c r="G449" s="200"/>
      <c r="H449" s="199"/>
      <c r="I449" s="199"/>
      <c r="J449" s="199"/>
      <c r="K449" s="199"/>
      <c r="L449" s="203"/>
      <c r="M449" s="203"/>
      <c r="N449" s="203"/>
      <c r="O449" s="199"/>
      <c r="P449" s="199"/>
      <c r="Q449" s="199"/>
    </row>
    <row r="450">
      <c r="A450" s="28"/>
      <c r="B450" s="199"/>
      <c r="C450" s="199"/>
      <c r="D450" s="199"/>
      <c r="E450" s="199"/>
      <c r="F450" s="199"/>
      <c r="G450" s="200"/>
      <c r="H450" s="199"/>
      <c r="I450" s="199"/>
      <c r="J450" s="199"/>
      <c r="K450" s="199"/>
      <c r="L450" s="203"/>
      <c r="M450" s="203"/>
      <c r="N450" s="203"/>
      <c r="O450" s="199"/>
      <c r="P450" s="199"/>
      <c r="Q450" s="199"/>
    </row>
    <row r="451">
      <c r="A451" s="28"/>
      <c r="B451" s="199"/>
      <c r="C451" s="199"/>
      <c r="D451" s="199"/>
      <c r="E451" s="199"/>
      <c r="F451" s="199"/>
      <c r="G451" s="200"/>
      <c r="H451" s="199"/>
      <c r="I451" s="199"/>
      <c r="J451" s="199"/>
      <c r="K451" s="199"/>
      <c r="L451" s="203"/>
      <c r="M451" s="203"/>
      <c r="N451" s="203"/>
      <c r="O451" s="199"/>
      <c r="P451" s="199"/>
      <c r="Q451" s="199"/>
    </row>
    <row r="452">
      <c r="A452" s="28"/>
      <c r="B452" s="199"/>
      <c r="C452" s="199"/>
      <c r="D452" s="199"/>
      <c r="E452" s="199"/>
      <c r="F452" s="199"/>
      <c r="G452" s="200"/>
      <c r="H452" s="199"/>
      <c r="I452" s="199"/>
      <c r="J452" s="199"/>
      <c r="K452" s="199"/>
      <c r="L452" s="203"/>
      <c r="M452" s="203"/>
      <c r="N452" s="203"/>
      <c r="O452" s="199"/>
      <c r="P452" s="199"/>
      <c r="Q452" s="199"/>
    </row>
    <row r="453">
      <c r="A453" s="28"/>
      <c r="B453" s="199"/>
      <c r="C453" s="199"/>
      <c r="D453" s="199"/>
      <c r="E453" s="199"/>
      <c r="F453" s="199"/>
      <c r="G453" s="200"/>
      <c r="H453" s="199"/>
      <c r="I453" s="199"/>
      <c r="J453" s="199"/>
      <c r="K453" s="199"/>
      <c r="L453" s="203"/>
      <c r="M453" s="203"/>
      <c r="N453" s="203"/>
      <c r="O453" s="199"/>
      <c r="P453" s="199"/>
      <c r="Q453" s="199"/>
    </row>
    <row r="454">
      <c r="A454" s="28"/>
      <c r="B454" s="199"/>
      <c r="C454" s="199"/>
      <c r="D454" s="199"/>
      <c r="E454" s="199"/>
      <c r="F454" s="199"/>
      <c r="G454" s="200"/>
      <c r="H454" s="199"/>
      <c r="I454" s="199"/>
      <c r="J454" s="199"/>
      <c r="K454" s="199"/>
      <c r="L454" s="203"/>
      <c r="M454" s="203"/>
      <c r="N454" s="203"/>
      <c r="O454" s="199"/>
      <c r="P454" s="199"/>
      <c r="Q454" s="199"/>
    </row>
    <row r="455">
      <c r="A455" s="28"/>
      <c r="B455" s="199"/>
      <c r="C455" s="199"/>
      <c r="D455" s="199"/>
      <c r="E455" s="199"/>
      <c r="F455" s="199"/>
      <c r="G455" s="200"/>
      <c r="H455" s="199"/>
      <c r="I455" s="199"/>
      <c r="J455" s="199"/>
      <c r="K455" s="199"/>
      <c r="L455" s="203"/>
      <c r="M455" s="203"/>
      <c r="N455" s="203"/>
      <c r="O455" s="199"/>
      <c r="P455" s="199"/>
      <c r="Q455" s="199"/>
    </row>
    <row r="456">
      <c r="A456" s="28"/>
      <c r="B456" s="199"/>
      <c r="C456" s="199"/>
      <c r="D456" s="199"/>
      <c r="E456" s="199"/>
      <c r="F456" s="199"/>
      <c r="G456" s="200"/>
      <c r="H456" s="199"/>
      <c r="I456" s="199"/>
      <c r="J456" s="199"/>
      <c r="K456" s="199"/>
      <c r="L456" s="203"/>
      <c r="M456" s="203"/>
      <c r="N456" s="203"/>
      <c r="O456" s="199"/>
      <c r="P456" s="199"/>
      <c r="Q456" s="199"/>
    </row>
    <row r="457">
      <c r="A457" s="28"/>
      <c r="B457" s="199"/>
      <c r="C457" s="199"/>
      <c r="D457" s="199"/>
      <c r="E457" s="199"/>
      <c r="F457" s="199"/>
      <c r="G457" s="200"/>
      <c r="H457" s="199"/>
      <c r="I457" s="199"/>
      <c r="J457" s="199"/>
      <c r="K457" s="199"/>
      <c r="L457" s="203"/>
      <c r="M457" s="203"/>
      <c r="N457" s="203"/>
      <c r="O457" s="199"/>
      <c r="P457" s="199"/>
      <c r="Q457" s="199"/>
    </row>
    <row r="458">
      <c r="A458" s="28"/>
      <c r="B458" s="199"/>
      <c r="C458" s="199"/>
      <c r="D458" s="199"/>
      <c r="E458" s="199"/>
      <c r="F458" s="199"/>
      <c r="G458" s="200"/>
      <c r="H458" s="199"/>
      <c r="I458" s="199"/>
      <c r="J458" s="199"/>
      <c r="K458" s="199"/>
      <c r="L458" s="203"/>
      <c r="M458" s="203"/>
      <c r="N458" s="203"/>
      <c r="O458" s="199"/>
      <c r="P458" s="199"/>
      <c r="Q458" s="199"/>
    </row>
    <row r="459">
      <c r="A459" s="28"/>
      <c r="B459" s="199"/>
      <c r="C459" s="199"/>
      <c r="D459" s="199"/>
      <c r="E459" s="199"/>
      <c r="F459" s="199"/>
      <c r="G459" s="200"/>
      <c r="H459" s="199"/>
      <c r="I459" s="199"/>
      <c r="J459" s="199"/>
      <c r="K459" s="199"/>
      <c r="L459" s="203"/>
      <c r="M459" s="203"/>
      <c r="N459" s="203"/>
      <c r="O459" s="199"/>
      <c r="P459" s="199"/>
      <c r="Q459" s="199"/>
    </row>
    <row r="460">
      <c r="A460" s="28"/>
      <c r="B460" s="199"/>
      <c r="C460" s="199"/>
      <c r="D460" s="199"/>
      <c r="E460" s="199"/>
      <c r="F460" s="199"/>
      <c r="G460" s="200"/>
      <c r="H460" s="199"/>
      <c r="I460" s="199"/>
      <c r="J460" s="199"/>
      <c r="K460" s="199"/>
      <c r="L460" s="203"/>
      <c r="M460" s="203"/>
      <c r="N460" s="203"/>
      <c r="O460" s="199"/>
      <c r="P460" s="199"/>
      <c r="Q460" s="199"/>
    </row>
    <row r="461">
      <c r="A461" s="28"/>
      <c r="B461" s="199"/>
      <c r="C461" s="199"/>
      <c r="D461" s="199"/>
      <c r="E461" s="199"/>
      <c r="F461" s="199"/>
      <c r="G461" s="200"/>
      <c r="H461" s="199"/>
      <c r="I461" s="199"/>
      <c r="J461" s="199"/>
      <c r="K461" s="199"/>
      <c r="L461" s="203"/>
      <c r="M461" s="203"/>
      <c r="N461" s="203"/>
      <c r="O461" s="199"/>
      <c r="P461" s="199"/>
      <c r="Q461" s="199"/>
    </row>
    <row r="462">
      <c r="A462" s="28"/>
      <c r="B462" s="199"/>
      <c r="C462" s="199"/>
      <c r="D462" s="199"/>
      <c r="E462" s="199"/>
      <c r="F462" s="199"/>
      <c r="G462" s="200"/>
      <c r="H462" s="199"/>
      <c r="I462" s="199"/>
      <c r="J462" s="199"/>
      <c r="K462" s="199"/>
      <c r="L462" s="203"/>
      <c r="M462" s="203"/>
      <c r="N462" s="203"/>
      <c r="O462" s="199"/>
      <c r="P462" s="199"/>
      <c r="Q462" s="199"/>
    </row>
    <row r="463">
      <c r="A463" s="28"/>
      <c r="B463" s="199"/>
      <c r="C463" s="199"/>
      <c r="D463" s="199"/>
      <c r="E463" s="199"/>
      <c r="F463" s="199"/>
      <c r="G463" s="200"/>
      <c r="H463" s="199"/>
      <c r="I463" s="199"/>
      <c r="J463" s="199"/>
      <c r="K463" s="199"/>
      <c r="L463" s="203"/>
      <c r="M463" s="203"/>
      <c r="N463" s="203"/>
      <c r="O463" s="199"/>
      <c r="P463" s="199"/>
      <c r="Q463" s="199"/>
    </row>
    <row r="464">
      <c r="A464" s="28"/>
      <c r="B464" s="199"/>
      <c r="C464" s="199"/>
      <c r="D464" s="199"/>
      <c r="E464" s="199"/>
      <c r="F464" s="199"/>
      <c r="G464" s="200"/>
      <c r="H464" s="199"/>
      <c r="I464" s="199"/>
      <c r="J464" s="199"/>
      <c r="K464" s="199"/>
      <c r="L464" s="203"/>
      <c r="M464" s="203"/>
      <c r="N464" s="203"/>
      <c r="O464" s="199"/>
      <c r="P464" s="199"/>
      <c r="Q464" s="199"/>
    </row>
    <row r="465">
      <c r="A465" s="28"/>
      <c r="B465" s="199"/>
      <c r="C465" s="199"/>
      <c r="D465" s="199"/>
      <c r="E465" s="199"/>
      <c r="F465" s="199"/>
      <c r="G465" s="200"/>
      <c r="H465" s="199"/>
      <c r="I465" s="199"/>
      <c r="J465" s="199"/>
      <c r="K465" s="199"/>
      <c r="L465" s="203"/>
      <c r="M465" s="203"/>
      <c r="N465" s="203"/>
      <c r="O465" s="199"/>
      <c r="P465" s="199"/>
      <c r="Q465" s="199"/>
    </row>
    <row r="466">
      <c r="A466" s="28"/>
      <c r="B466" s="199"/>
      <c r="C466" s="199"/>
      <c r="D466" s="199"/>
      <c r="E466" s="199"/>
      <c r="F466" s="199"/>
      <c r="G466" s="200"/>
      <c r="H466" s="199"/>
      <c r="I466" s="199"/>
      <c r="J466" s="199"/>
      <c r="K466" s="199"/>
      <c r="L466" s="203"/>
      <c r="M466" s="203"/>
      <c r="N466" s="203"/>
      <c r="O466" s="199"/>
      <c r="P466" s="199"/>
      <c r="Q466" s="199"/>
    </row>
    <row r="467">
      <c r="A467" s="28"/>
      <c r="B467" s="199"/>
      <c r="C467" s="199"/>
      <c r="D467" s="199"/>
      <c r="E467" s="199"/>
      <c r="F467" s="199"/>
      <c r="G467" s="200"/>
      <c r="H467" s="199"/>
      <c r="I467" s="199"/>
      <c r="J467" s="199"/>
      <c r="K467" s="199"/>
      <c r="L467" s="203"/>
      <c r="M467" s="203"/>
      <c r="N467" s="203"/>
      <c r="O467" s="199"/>
      <c r="P467" s="199"/>
      <c r="Q467" s="199"/>
    </row>
    <row r="468">
      <c r="A468" s="28"/>
      <c r="B468" s="199"/>
      <c r="C468" s="199"/>
      <c r="D468" s="199"/>
      <c r="E468" s="199"/>
      <c r="F468" s="199"/>
      <c r="G468" s="200"/>
      <c r="H468" s="199"/>
      <c r="I468" s="199"/>
      <c r="J468" s="199"/>
      <c r="K468" s="199"/>
      <c r="L468" s="203"/>
      <c r="M468" s="203"/>
      <c r="N468" s="203"/>
      <c r="O468" s="199"/>
      <c r="P468" s="199"/>
      <c r="Q468" s="199"/>
    </row>
    <row r="469">
      <c r="A469" s="28"/>
      <c r="B469" s="199"/>
      <c r="C469" s="199"/>
      <c r="D469" s="199"/>
      <c r="E469" s="199"/>
      <c r="F469" s="199"/>
      <c r="G469" s="200"/>
      <c r="H469" s="199"/>
      <c r="I469" s="199"/>
      <c r="J469" s="199"/>
      <c r="K469" s="199"/>
      <c r="L469" s="203"/>
      <c r="M469" s="203"/>
      <c r="N469" s="203"/>
      <c r="O469" s="199"/>
      <c r="P469" s="199"/>
      <c r="Q469" s="199"/>
    </row>
    <row r="470">
      <c r="A470" s="28"/>
      <c r="B470" s="199"/>
      <c r="C470" s="199"/>
      <c r="D470" s="199"/>
      <c r="E470" s="199"/>
      <c r="F470" s="199"/>
      <c r="G470" s="200"/>
      <c r="H470" s="199"/>
      <c r="I470" s="199"/>
      <c r="J470" s="199"/>
      <c r="K470" s="199"/>
      <c r="L470" s="203"/>
      <c r="M470" s="203"/>
      <c r="N470" s="203"/>
      <c r="O470" s="199"/>
      <c r="P470" s="199"/>
      <c r="Q470" s="199"/>
    </row>
    <row r="471">
      <c r="A471" s="28"/>
      <c r="B471" s="199"/>
      <c r="C471" s="199"/>
      <c r="D471" s="199"/>
      <c r="E471" s="199"/>
      <c r="F471" s="199"/>
      <c r="G471" s="200"/>
      <c r="H471" s="199"/>
      <c r="I471" s="199"/>
      <c r="J471" s="199"/>
      <c r="K471" s="199"/>
      <c r="L471" s="203"/>
      <c r="M471" s="203"/>
      <c r="N471" s="203"/>
      <c r="O471" s="199"/>
      <c r="P471" s="199"/>
      <c r="Q471" s="199"/>
    </row>
    <row r="472">
      <c r="A472" s="28"/>
      <c r="B472" s="199"/>
      <c r="C472" s="199"/>
      <c r="D472" s="199"/>
      <c r="E472" s="199"/>
      <c r="F472" s="199"/>
      <c r="G472" s="200"/>
      <c r="H472" s="199"/>
      <c r="I472" s="199"/>
      <c r="J472" s="199"/>
      <c r="K472" s="199"/>
      <c r="L472" s="203"/>
      <c r="M472" s="203"/>
      <c r="N472" s="203"/>
      <c r="O472" s="199"/>
      <c r="P472" s="199"/>
      <c r="Q472" s="199"/>
    </row>
    <row r="473">
      <c r="A473" s="28"/>
      <c r="B473" s="199"/>
      <c r="C473" s="199"/>
      <c r="D473" s="199"/>
      <c r="E473" s="199"/>
      <c r="F473" s="199"/>
      <c r="G473" s="200"/>
      <c r="H473" s="199"/>
      <c r="I473" s="199"/>
      <c r="J473" s="199"/>
      <c r="K473" s="199"/>
      <c r="L473" s="203"/>
      <c r="M473" s="203"/>
      <c r="N473" s="203"/>
      <c r="O473" s="199"/>
      <c r="P473" s="199"/>
      <c r="Q473" s="199"/>
    </row>
    <row r="474">
      <c r="A474" s="28"/>
      <c r="B474" s="199"/>
      <c r="C474" s="199"/>
      <c r="D474" s="199"/>
      <c r="E474" s="199"/>
      <c r="F474" s="199"/>
      <c r="G474" s="200"/>
      <c r="H474" s="199"/>
      <c r="I474" s="199"/>
      <c r="J474" s="199"/>
      <c r="K474" s="199"/>
      <c r="L474" s="203"/>
      <c r="M474" s="203"/>
      <c r="N474" s="203"/>
      <c r="O474" s="199"/>
      <c r="P474" s="199"/>
      <c r="Q474" s="199"/>
    </row>
    <row r="475">
      <c r="A475" s="28"/>
      <c r="B475" s="199"/>
      <c r="C475" s="199"/>
      <c r="D475" s="199"/>
      <c r="E475" s="199"/>
      <c r="F475" s="199"/>
      <c r="G475" s="200"/>
      <c r="H475" s="199"/>
      <c r="I475" s="199"/>
      <c r="J475" s="199"/>
      <c r="K475" s="199"/>
      <c r="L475" s="203"/>
      <c r="M475" s="203"/>
      <c r="N475" s="203"/>
      <c r="O475" s="199"/>
      <c r="P475" s="199"/>
      <c r="Q475" s="199"/>
    </row>
    <row r="476">
      <c r="A476" s="28"/>
      <c r="B476" s="199"/>
      <c r="C476" s="199"/>
      <c r="D476" s="199"/>
      <c r="E476" s="199"/>
      <c r="F476" s="199"/>
      <c r="G476" s="200"/>
      <c r="H476" s="199"/>
      <c r="I476" s="199"/>
      <c r="J476" s="199"/>
      <c r="K476" s="199"/>
      <c r="L476" s="203"/>
      <c r="M476" s="203"/>
      <c r="N476" s="203"/>
      <c r="O476" s="199"/>
      <c r="P476" s="199"/>
      <c r="Q476" s="199"/>
    </row>
    <row r="477">
      <c r="A477" s="28"/>
      <c r="B477" s="199"/>
      <c r="C477" s="199"/>
      <c r="D477" s="199"/>
      <c r="E477" s="199"/>
      <c r="F477" s="199"/>
      <c r="G477" s="200"/>
      <c r="H477" s="199"/>
      <c r="I477" s="199"/>
      <c r="J477" s="199"/>
      <c r="K477" s="199"/>
      <c r="L477" s="203"/>
      <c r="M477" s="203"/>
      <c r="N477" s="203"/>
      <c r="O477" s="199"/>
      <c r="P477" s="199"/>
      <c r="Q477" s="199"/>
    </row>
    <row r="478">
      <c r="A478" s="28"/>
      <c r="B478" s="199"/>
      <c r="C478" s="199"/>
      <c r="D478" s="199"/>
      <c r="E478" s="199"/>
      <c r="F478" s="199"/>
      <c r="G478" s="200"/>
      <c r="H478" s="199"/>
      <c r="I478" s="199"/>
      <c r="J478" s="199"/>
      <c r="K478" s="199"/>
      <c r="L478" s="203"/>
      <c r="M478" s="203"/>
      <c r="N478" s="203"/>
      <c r="O478" s="199"/>
      <c r="P478" s="199"/>
      <c r="Q478" s="199"/>
    </row>
    <row r="479">
      <c r="A479" s="28"/>
      <c r="B479" s="199"/>
      <c r="C479" s="199"/>
      <c r="D479" s="199"/>
      <c r="E479" s="199"/>
      <c r="F479" s="199"/>
      <c r="G479" s="200"/>
      <c r="H479" s="199"/>
      <c r="I479" s="199"/>
      <c r="J479" s="199"/>
      <c r="K479" s="199"/>
      <c r="L479" s="203"/>
      <c r="M479" s="203"/>
      <c r="N479" s="203"/>
      <c r="O479" s="199"/>
      <c r="P479" s="199"/>
      <c r="Q479" s="199"/>
    </row>
    <row r="480">
      <c r="A480" s="28"/>
      <c r="B480" s="199"/>
      <c r="C480" s="199"/>
      <c r="D480" s="199"/>
      <c r="E480" s="199"/>
      <c r="F480" s="199"/>
      <c r="G480" s="200"/>
      <c r="H480" s="199"/>
      <c r="I480" s="199"/>
      <c r="J480" s="199"/>
      <c r="K480" s="199"/>
      <c r="L480" s="203"/>
      <c r="M480" s="203"/>
      <c r="N480" s="203"/>
      <c r="O480" s="199"/>
      <c r="P480" s="199"/>
      <c r="Q480" s="199"/>
    </row>
    <row r="481">
      <c r="A481" s="28"/>
      <c r="B481" s="199"/>
      <c r="C481" s="199"/>
      <c r="D481" s="199"/>
      <c r="E481" s="199"/>
      <c r="F481" s="199"/>
      <c r="G481" s="200"/>
      <c r="H481" s="199"/>
      <c r="I481" s="199"/>
      <c r="J481" s="199"/>
      <c r="K481" s="199"/>
      <c r="L481" s="203"/>
      <c r="M481" s="203"/>
      <c r="N481" s="203"/>
      <c r="O481" s="199"/>
      <c r="P481" s="199"/>
      <c r="Q481" s="199"/>
    </row>
    <row r="482">
      <c r="A482" s="28"/>
      <c r="B482" s="199"/>
      <c r="C482" s="199"/>
      <c r="D482" s="199"/>
      <c r="E482" s="199"/>
      <c r="F482" s="199"/>
      <c r="G482" s="200"/>
      <c r="H482" s="199"/>
      <c r="I482" s="199"/>
      <c r="J482" s="199"/>
      <c r="K482" s="199"/>
      <c r="L482" s="203"/>
      <c r="M482" s="203"/>
      <c r="N482" s="203"/>
      <c r="O482" s="199"/>
      <c r="P482" s="199"/>
      <c r="Q482" s="199"/>
    </row>
    <row r="483">
      <c r="A483" s="28"/>
      <c r="B483" s="199"/>
      <c r="C483" s="199"/>
      <c r="D483" s="199"/>
      <c r="E483" s="199"/>
      <c r="F483" s="199"/>
      <c r="G483" s="200"/>
      <c r="H483" s="199"/>
      <c r="I483" s="199"/>
      <c r="J483" s="199"/>
      <c r="K483" s="199"/>
      <c r="L483" s="203"/>
      <c r="M483" s="203"/>
      <c r="N483" s="203"/>
      <c r="O483" s="199"/>
      <c r="P483" s="199"/>
      <c r="Q483" s="199"/>
    </row>
    <row r="484">
      <c r="A484" s="28"/>
      <c r="B484" s="199"/>
      <c r="C484" s="199"/>
      <c r="D484" s="199"/>
      <c r="E484" s="199"/>
      <c r="F484" s="199"/>
      <c r="G484" s="200"/>
      <c r="H484" s="199"/>
      <c r="I484" s="199"/>
      <c r="J484" s="199"/>
      <c r="K484" s="199"/>
      <c r="L484" s="203"/>
      <c r="M484" s="203"/>
      <c r="N484" s="203"/>
      <c r="O484" s="199"/>
      <c r="P484" s="199"/>
      <c r="Q484" s="199"/>
    </row>
    <row r="485">
      <c r="A485" s="28"/>
      <c r="B485" s="199"/>
      <c r="C485" s="199"/>
      <c r="D485" s="199"/>
      <c r="E485" s="199"/>
      <c r="F485" s="199"/>
      <c r="G485" s="200"/>
      <c r="H485" s="199"/>
      <c r="I485" s="199"/>
      <c r="J485" s="199"/>
      <c r="K485" s="199"/>
      <c r="L485" s="203"/>
      <c r="M485" s="203"/>
      <c r="N485" s="203"/>
      <c r="O485" s="199"/>
      <c r="P485" s="199"/>
      <c r="Q485" s="199"/>
    </row>
    <row r="486">
      <c r="A486" s="28"/>
      <c r="B486" s="199"/>
      <c r="C486" s="199"/>
      <c r="D486" s="199"/>
      <c r="E486" s="199"/>
      <c r="F486" s="199"/>
      <c r="G486" s="200"/>
      <c r="H486" s="199"/>
      <c r="I486" s="199"/>
      <c r="J486" s="199"/>
      <c r="K486" s="199"/>
      <c r="L486" s="203"/>
      <c r="M486" s="203"/>
      <c r="N486" s="203"/>
      <c r="O486" s="199"/>
      <c r="P486" s="199"/>
      <c r="Q486" s="199"/>
    </row>
    <row r="487">
      <c r="A487" s="28"/>
      <c r="B487" s="199"/>
      <c r="C487" s="199"/>
      <c r="D487" s="199"/>
      <c r="E487" s="199"/>
      <c r="F487" s="199"/>
      <c r="G487" s="200"/>
      <c r="H487" s="199"/>
      <c r="I487" s="199"/>
      <c r="J487" s="199"/>
      <c r="K487" s="199"/>
      <c r="L487" s="203"/>
      <c r="M487" s="203"/>
      <c r="N487" s="203"/>
      <c r="O487" s="199"/>
      <c r="P487" s="199"/>
      <c r="Q487" s="199"/>
    </row>
    <row r="488">
      <c r="A488" s="28"/>
      <c r="B488" s="199"/>
      <c r="C488" s="199"/>
      <c r="D488" s="199"/>
      <c r="E488" s="199"/>
      <c r="F488" s="199"/>
      <c r="G488" s="200"/>
      <c r="H488" s="199"/>
      <c r="I488" s="199"/>
      <c r="J488" s="199"/>
      <c r="K488" s="199"/>
      <c r="L488" s="203"/>
      <c r="M488" s="203"/>
      <c r="N488" s="203"/>
      <c r="O488" s="199"/>
      <c r="P488" s="199"/>
      <c r="Q488" s="199"/>
    </row>
    <row r="489">
      <c r="A489" s="28"/>
      <c r="B489" s="199"/>
      <c r="C489" s="199"/>
      <c r="D489" s="199"/>
      <c r="E489" s="199"/>
      <c r="F489" s="199"/>
      <c r="G489" s="200"/>
      <c r="H489" s="199"/>
      <c r="I489" s="199"/>
      <c r="J489" s="199"/>
      <c r="K489" s="199"/>
      <c r="L489" s="203"/>
      <c r="M489" s="203"/>
      <c r="N489" s="203"/>
      <c r="O489" s="199"/>
      <c r="P489" s="199"/>
      <c r="Q489" s="199"/>
    </row>
    <row r="490">
      <c r="A490" s="28"/>
      <c r="B490" s="199"/>
      <c r="C490" s="199"/>
      <c r="D490" s="199"/>
      <c r="E490" s="199"/>
      <c r="F490" s="199"/>
      <c r="G490" s="200"/>
      <c r="H490" s="199"/>
      <c r="I490" s="199"/>
      <c r="J490" s="199"/>
      <c r="K490" s="199"/>
      <c r="L490" s="203"/>
      <c r="M490" s="203"/>
      <c r="N490" s="203"/>
      <c r="O490" s="199"/>
      <c r="P490" s="199"/>
      <c r="Q490" s="199"/>
    </row>
    <row r="491">
      <c r="A491" s="28"/>
      <c r="B491" s="199"/>
      <c r="C491" s="199"/>
      <c r="D491" s="199"/>
      <c r="E491" s="199"/>
      <c r="F491" s="199"/>
      <c r="G491" s="200"/>
      <c r="H491" s="199"/>
      <c r="I491" s="199"/>
      <c r="J491" s="199"/>
      <c r="K491" s="199"/>
      <c r="L491" s="203"/>
      <c r="M491" s="203"/>
      <c r="N491" s="203"/>
      <c r="O491" s="199"/>
      <c r="P491" s="199"/>
      <c r="Q491" s="199"/>
    </row>
    <row r="492">
      <c r="A492" s="28"/>
      <c r="B492" s="199"/>
      <c r="C492" s="199"/>
      <c r="D492" s="199"/>
      <c r="E492" s="199"/>
      <c r="F492" s="199"/>
      <c r="G492" s="200"/>
      <c r="H492" s="199"/>
      <c r="I492" s="199"/>
      <c r="J492" s="199"/>
      <c r="K492" s="199"/>
      <c r="L492" s="203"/>
      <c r="M492" s="203"/>
      <c r="N492" s="203"/>
      <c r="O492" s="199"/>
      <c r="P492" s="199"/>
      <c r="Q492" s="199"/>
    </row>
    <row r="493">
      <c r="A493" s="28"/>
      <c r="B493" s="199"/>
      <c r="C493" s="199"/>
      <c r="D493" s="199"/>
      <c r="E493" s="199"/>
      <c r="F493" s="199"/>
      <c r="G493" s="200"/>
      <c r="H493" s="199"/>
      <c r="I493" s="199"/>
      <c r="J493" s="199"/>
      <c r="K493" s="199"/>
      <c r="L493" s="203"/>
      <c r="M493" s="203"/>
      <c r="N493" s="203"/>
      <c r="O493" s="199"/>
      <c r="P493" s="199"/>
      <c r="Q493" s="199"/>
    </row>
    <row r="494">
      <c r="A494" s="28"/>
      <c r="B494" s="199"/>
      <c r="C494" s="199"/>
      <c r="D494" s="199"/>
      <c r="E494" s="199"/>
      <c r="F494" s="199"/>
      <c r="G494" s="200"/>
      <c r="H494" s="199"/>
      <c r="I494" s="199"/>
      <c r="J494" s="199"/>
      <c r="K494" s="199"/>
      <c r="L494" s="203"/>
      <c r="M494" s="203"/>
      <c r="N494" s="203"/>
      <c r="O494" s="199"/>
      <c r="P494" s="199"/>
      <c r="Q494" s="199"/>
    </row>
    <row r="495">
      <c r="A495" s="28"/>
      <c r="B495" s="199"/>
      <c r="C495" s="199"/>
      <c r="D495" s="199"/>
      <c r="E495" s="199"/>
      <c r="F495" s="199"/>
      <c r="G495" s="200"/>
      <c r="H495" s="199"/>
      <c r="I495" s="199"/>
      <c r="J495" s="199"/>
      <c r="K495" s="199"/>
      <c r="L495" s="203"/>
      <c r="M495" s="203"/>
      <c r="N495" s="203"/>
      <c r="O495" s="199"/>
      <c r="P495" s="199"/>
      <c r="Q495" s="199"/>
    </row>
    <row r="496">
      <c r="A496" s="28"/>
      <c r="B496" s="199"/>
      <c r="C496" s="199"/>
      <c r="D496" s="199"/>
      <c r="E496" s="199"/>
      <c r="F496" s="199"/>
      <c r="G496" s="200"/>
      <c r="H496" s="199"/>
      <c r="I496" s="199"/>
      <c r="J496" s="199"/>
      <c r="K496" s="199"/>
      <c r="L496" s="203"/>
      <c r="M496" s="203"/>
      <c r="N496" s="203"/>
      <c r="O496" s="199"/>
      <c r="P496" s="199"/>
      <c r="Q496" s="199"/>
    </row>
    <row r="497">
      <c r="A497" s="28"/>
      <c r="B497" s="199"/>
      <c r="C497" s="199"/>
      <c r="D497" s="199"/>
      <c r="E497" s="199"/>
      <c r="F497" s="199"/>
      <c r="G497" s="200"/>
      <c r="H497" s="199"/>
      <c r="I497" s="199"/>
      <c r="J497" s="199"/>
      <c r="K497" s="199"/>
      <c r="L497" s="203"/>
      <c r="M497" s="203"/>
      <c r="N497" s="203"/>
      <c r="O497" s="199"/>
      <c r="P497" s="199"/>
      <c r="Q497" s="199"/>
    </row>
    <row r="498">
      <c r="A498" s="28"/>
      <c r="B498" s="199"/>
      <c r="C498" s="199"/>
      <c r="D498" s="199"/>
      <c r="E498" s="199"/>
      <c r="F498" s="199"/>
      <c r="G498" s="200"/>
      <c r="H498" s="199"/>
      <c r="I498" s="199"/>
      <c r="J498" s="199"/>
      <c r="K498" s="199"/>
      <c r="L498" s="203"/>
      <c r="M498" s="203"/>
      <c r="N498" s="203"/>
      <c r="O498" s="199"/>
      <c r="P498" s="199"/>
      <c r="Q498" s="199"/>
    </row>
    <row r="499">
      <c r="A499" s="28"/>
      <c r="B499" s="199"/>
      <c r="C499" s="199"/>
      <c r="D499" s="199"/>
      <c r="E499" s="199"/>
      <c r="F499" s="199"/>
      <c r="G499" s="200"/>
      <c r="H499" s="199"/>
      <c r="I499" s="199"/>
      <c r="J499" s="199"/>
      <c r="K499" s="199"/>
      <c r="L499" s="203"/>
      <c r="M499" s="203"/>
      <c r="N499" s="203"/>
      <c r="O499" s="199"/>
      <c r="P499" s="199"/>
      <c r="Q499" s="199"/>
    </row>
    <row r="500">
      <c r="A500" s="28"/>
      <c r="B500" s="199"/>
      <c r="C500" s="199"/>
      <c r="D500" s="199"/>
      <c r="E500" s="199"/>
      <c r="F500" s="199"/>
      <c r="G500" s="200"/>
      <c r="H500" s="199"/>
      <c r="I500" s="199"/>
      <c r="J500" s="199"/>
      <c r="K500" s="199"/>
      <c r="L500" s="203"/>
      <c r="M500" s="203"/>
      <c r="N500" s="203"/>
      <c r="O500" s="199"/>
      <c r="P500" s="199"/>
      <c r="Q500" s="199"/>
    </row>
    <row r="501">
      <c r="A501" s="28"/>
      <c r="B501" s="199"/>
      <c r="C501" s="199"/>
      <c r="D501" s="199"/>
      <c r="E501" s="199"/>
      <c r="F501" s="199"/>
      <c r="G501" s="200"/>
      <c r="H501" s="199"/>
      <c r="I501" s="199"/>
      <c r="J501" s="199"/>
      <c r="K501" s="199"/>
      <c r="L501" s="203"/>
      <c r="M501" s="203"/>
      <c r="N501" s="203"/>
      <c r="O501" s="199"/>
      <c r="P501" s="199"/>
      <c r="Q501" s="199"/>
    </row>
    <row r="502">
      <c r="A502" s="28"/>
      <c r="B502" s="199"/>
      <c r="C502" s="199"/>
      <c r="D502" s="199"/>
      <c r="E502" s="199"/>
      <c r="F502" s="199"/>
      <c r="G502" s="200"/>
      <c r="H502" s="199"/>
      <c r="I502" s="199"/>
      <c r="J502" s="199"/>
      <c r="K502" s="199"/>
      <c r="L502" s="203"/>
      <c r="M502" s="203"/>
      <c r="N502" s="203"/>
      <c r="O502" s="199"/>
      <c r="P502" s="199"/>
      <c r="Q502" s="199"/>
    </row>
    <row r="503">
      <c r="A503" s="28"/>
      <c r="B503" s="199"/>
      <c r="C503" s="199"/>
      <c r="D503" s="199"/>
      <c r="E503" s="199"/>
      <c r="F503" s="199"/>
      <c r="G503" s="200"/>
      <c r="H503" s="199"/>
      <c r="I503" s="199"/>
      <c r="J503" s="199"/>
      <c r="K503" s="199"/>
      <c r="L503" s="203"/>
      <c r="M503" s="203"/>
      <c r="N503" s="203"/>
      <c r="O503" s="199"/>
      <c r="P503" s="199"/>
      <c r="Q503" s="199"/>
    </row>
    <row r="504">
      <c r="A504" s="28"/>
      <c r="B504" s="199"/>
      <c r="C504" s="199"/>
      <c r="D504" s="199"/>
      <c r="E504" s="199"/>
      <c r="F504" s="199"/>
      <c r="G504" s="200"/>
      <c r="H504" s="199"/>
      <c r="I504" s="199"/>
      <c r="J504" s="199"/>
      <c r="K504" s="199"/>
      <c r="L504" s="203"/>
      <c r="M504" s="203"/>
      <c r="N504" s="203"/>
      <c r="O504" s="199"/>
      <c r="P504" s="199"/>
      <c r="Q504" s="199"/>
    </row>
    <row r="505">
      <c r="A505" s="28"/>
      <c r="B505" s="199"/>
      <c r="C505" s="199"/>
      <c r="D505" s="199"/>
      <c r="E505" s="199"/>
      <c r="F505" s="199"/>
      <c r="G505" s="200"/>
      <c r="H505" s="199"/>
      <c r="I505" s="199"/>
      <c r="J505" s="199"/>
      <c r="K505" s="199"/>
      <c r="L505" s="203"/>
      <c r="M505" s="203"/>
      <c r="N505" s="203"/>
      <c r="O505" s="199"/>
      <c r="P505" s="199"/>
      <c r="Q505" s="199"/>
    </row>
    <row r="506">
      <c r="A506" s="28"/>
      <c r="B506" s="199"/>
      <c r="C506" s="199"/>
      <c r="D506" s="199"/>
      <c r="E506" s="199"/>
      <c r="F506" s="199"/>
      <c r="G506" s="200"/>
      <c r="H506" s="199"/>
      <c r="I506" s="199"/>
      <c r="J506" s="199"/>
      <c r="K506" s="199"/>
      <c r="L506" s="203"/>
      <c r="M506" s="203"/>
      <c r="N506" s="203"/>
      <c r="O506" s="199"/>
      <c r="P506" s="199"/>
      <c r="Q506" s="199"/>
    </row>
    <row r="507">
      <c r="A507" s="28"/>
      <c r="B507" s="199"/>
      <c r="C507" s="199"/>
      <c r="D507" s="199"/>
      <c r="E507" s="199"/>
      <c r="F507" s="199"/>
      <c r="G507" s="200"/>
      <c r="H507" s="199"/>
      <c r="I507" s="199"/>
      <c r="J507" s="199"/>
      <c r="K507" s="199"/>
      <c r="L507" s="203"/>
      <c r="M507" s="203"/>
      <c r="N507" s="203"/>
      <c r="O507" s="199"/>
      <c r="P507" s="199"/>
      <c r="Q507" s="199"/>
    </row>
    <row r="508">
      <c r="A508" s="28"/>
      <c r="B508" s="199"/>
      <c r="C508" s="199"/>
      <c r="D508" s="199"/>
      <c r="E508" s="199"/>
      <c r="F508" s="199"/>
      <c r="G508" s="200"/>
      <c r="H508" s="199"/>
      <c r="I508" s="199"/>
      <c r="J508" s="199"/>
      <c r="K508" s="199"/>
      <c r="L508" s="203"/>
      <c r="M508" s="203"/>
      <c r="N508" s="203"/>
      <c r="O508" s="199"/>
      <c r="P508" s="199"/>
      <c r="Q508" s="199"/>
    </row>
    <row r="509">
      <c r="A509" s="28"/>
      <c r="B509" s="199"/>
      <c r="C509" s="199"/>
      <c r="D509" s="199"/>
      <c r="E509" s="199"/>
      <c r="F509" s="199"/>
      <c r="G509" s="200"/>
      <c r="H509" s="199"/>
      <c r="I509" s="199"/>
      <c r="J509" s="199"/>
      <c r="K509" s="199"/>
      <c r="L509" s="203"/>
      <c r="M509" s="203"/>
      <c r="N509" s="203"/>
      <c r="O509" s="199"/>
      <c r="P509" s="199"/>
      <c r="Q509" s="199"/>
    </row>
    <row r="510">
      <c r="A510" s="28"/>
      <c r="B510" s="199"/>
      <c r="C510" s="199"/>
      <c r="D510" s="199"/>
      <c r="E510" s="199"/>
      <c r="F510" s="199"/>
      <c r="G510" s="200"/>
      <c r="H510" s="199"/>
      <c r="I510" s="199"/>
      <c r="J510" s="199"/>
      <c r="K510" s="199"/>
      <c r="L510" s="203"/>
      <c r="M510" s="203"/>
      <c r="N510" s="203"/>
      <c r="O510" s="199"/>
      <c r="P510" s="199"/>
      <c r="Q510" s="199"/>
    </row>
    <row r="511">
      <c r="A511" s="28"/>
      <c r="B511" s="199"/>
      <c r="C511" s="199"/>
      <c r="D511" s="199"/>
      <c r="E511" s="199"/>
      <c r="F511" s="199"/>
      <c r="G511" s="200"/>
      <c r="H511" s="199"/>
      <c r="I511" s="199"/>
      <c r="J511" s="199"/>
      <c r="K511" s="199"/>
      <c r="L511" s="203"/>
      <c r="M511" s="203"/>
      <c r="N511" s="203"/>
      <c r="O511" s="199"/>
      <c r="P511" s="199"/>
      <c r="Q511" s="199"/>
    </row>
    <row r="512">
      <c r="A512" s="28"/>
      <c r="B512" s="199"/>
      <c r="C512" s="199"/>
      <c r="D512" s="199"/>
      <c r="E512" s="199"/>
      <c r="F512" s="199"/>
      <c r="G512" s="200"/>
      <c r="H512" s="199"/>
      <c r="I512" s="199"/>
      <c r="J512" s="199"/>
      <c r="K512" s="199"/>
      <c r="L512" s="203"/>
      <c r="M512" s="203"/>
      <c r="N512" s="203"/>
      <c r="O512" s="199"/>
      <c r="P512" s="199"/>
      <c r="Q512" s="199"/>
    </row>
    <row r="513">
      <c r="A513" s="28"/>
      <c r="B513" s="199"/>
      <c r="C513" s="199"/>
      <c r="D513" s="199"/>
      <c r="E513" s="199"/>
      <c r="F513" s="199"/>
      <c r="G513" s="200"/>
      <c r="H513" s="199"/>
      <c r="I513" s="199"/>
      <c r="J513" s="199"/>
      <c r="K513" s="199"/>
      <c r="L513" s="203"/>
      <c r="M513" s="203"/>
      <c r="N513" s="203"/>
      <c r="O513" s="199"/>
      <c r="P513" s="199"/>
      <c r="Q513" s="199"/>
    </row>
    <row r="514">
      <c r="A514" s="28"/>
      <c r="B514" s="199"/>
      <c r="C514" s="199"/>
      <c r="D514" s="199"/>
      <c r="E514" s="199"/>
      <c r="F514" s="199"/>
      <c r="G514" s="200"/>
      <c r="H514" s="199"/>
      <c r="I514" s="199"/>
      <c r="J514" s="199"/>
      <c r="K514" s="199"/>
      <c r="L514" s="203"/>
      <c r="M514" s="203"/>
      <c r="N514" s="203"/>
      <c r="O514" s="199"/>
      <c r="P514" s="199"/>
      <c r="Q514" s="199"/>
    </row>
    <row r="515">
      <c r="A515" s="28"/>
      <c r="B515" s="199"/>
      <c r="C515" s="199"/>
      <c r="D515" s="199"/>
      <c r="E515" s="199"/>
      <c r="F515" s="199"/>
      <c r="G515" s="200"/>
      <c r="H515" s="199"/>
      <c r="I515" s="199"/>
      <c r="J515" s="199"/>
      <c r="K515" s="199"/>
      <c r="L515" s="203"/>
      <c r="M515" s="203"/>
      <c r="N515" s="203"/>
      <c r="O515" s="199"/>
      <c r="P515" s="199"/>
      <c r="Q515" s="199"/>
    </row>
    <row r="516">
      <c r="A516" s="28"/>
      <c r="B516" s="199"/>
      <c r="C516" s="199"/>
      <c r="D516" s="199"/>
      <c r="E516" s="199"/>
      <c r="F516" s="199"/>
      <c r="G516" s="200"/>
      <c r="H516" s="199"/>
      <c r="I516" s="199"/>
      <c r="J516" s="199"/>
      <c r="K516" s="199"/>
      <c r="L516" s="203"/>
      <c r="M516" s="203"/>
      <c r="N516" s="203"/>
      <c r="O516" s="199"/>
      <c r="P516" s="199"/>
      <c r="Q516" s="199"/>
    </row>
    <row r="517">
      <c r="A517" s="28"/>
      <c r="B517" s="199"/>
      <c r="C517" s="199"/>
      <c r="D517" s="199"/>
      <c r="E517" s="199"/>
      <c r="F517" s="199"/>
      <c r="G517" s="200"/>
      <c r="H517" s="199"/>
      <c r="I517" s="199"/>
      <c r="J517" s="199"/>
      <c r="K517" s="199"/>
      <c r="L517" s="203"/>
      <c r="M517" s="203"/>
      <c r="N517" s="203"/>
      <c r="O517" s="199"/>
      <c r="P517" s="199"/>
      <c r="Q517" s="199"/>
    </row>
    <row r="518">
      <c r="A518" s="28"/>
      <c r="B518" s="199"/>
      <c r="C518" s="199"/>
      <c r="D518" s="199"/>
      <c r="E518" s="199"/>
      <c r="F518" s="199"/>
      <c r="G518" s="200"/>
      <c r="H518" s="199"/>
      <c r="I518" s="199"/>
      <c r="J518" s="199"/>
      <c r="K518" s="199"/>
      <c r="L518" s="203"/>
      <c r="M518" s="203"/>
      <c r="N518" s="203"/>
      <c r="O518" s="199"/>
      <c r="P518" s="199"/>
      <c r="Q518" s="199"/>
    </row>
    <row r="519">
      <c r="A519" s="28"/>
      <c r="B519" s="199"/>
      <c r="C519" s="199"/>
      <c r="D519" s="199"/>
      <c r="E519" s="199"/>
      <c r="F519" s="199"/>
      <c r="G519" s="200"/>
      <c r="H519" s="199"/>
      <c r="I519" s="199"/>
      <c r="J519" s="199"/>
      <c r="K519" s="199"/>
      <c r="L519" s="203"/>
      <c r="M519" s="203"/>
      <c r="N519" s="203"/>
      <c r="O519" s="199"/>
      <c r="P519" s="199"/>
      <c r="Q519" s="199"/>
    </row>
    <row r="520">
      <c r="A520" s="28"/>
      <c r="B520" s="199"/>
      <c r="C520" s="199"/>
      <c r="D520" s="199"/>
      <c r="E520" s="199"/>
      <c r="F520" s="199"/>
      <c r="G520" s="200"/>
      <c r="H520" s="199"/>
      <c r="I520" s="199"/>
      <c r="J520" s="199"/>
      <c r="K520" s="199"/>
      <c r="L520" s="203"/>
      <c r="M520" s="203"/>
      <c r="N520" s="203"/>
      <c r="O520" s="199"/>
      <c r="P520" s="199"/>
      <c r="Q520" s="199"/>
    </row>
    <row r="521">
      <c r="A521" s="28"/>
      <c r="B521" s="199"/>
      <c r="C521" s="199"/>
      <c r="D521" s="199"/>
      <c r="E521" s="199"/>
      <c r="F521" s="199"/>
      <c r="G521" s="200"/>
      <c r="H521" s="199"/>
      <c r="I521" s="199"/>
      <c r="J521" s="199"/>
      <c r="K521" s="199"/>
      <c r="L521" s="203"/>
      <c r="M521" s="203"/>
      <c r="N521" s="203"/>
      <c r="O521" s="199"/>
      <c r="P521" s="199"/>
      <c r="Q521" s="199"/>
    </row>
    <row r="522">
      <c r="A522" s="28"/>
      <c r="B522" s="199"/>
      <c r="C522" s="199"/>
      <c r="D522" s="199"/>
      <c r="E522" s="199"/>
      <c r="F522" s="199"/>
      <c r="G522" s="200"/>
      <c r="H522" s="199"/>
      <c r="I522" s="199"/>
      <c r="J522" s="199"/>
      <c r="K522" s="199"/>
      <c r="L522" s="203"/>
      <c r="M522" s="203"/>
      <c r="N522" s="203"/>
      <c r="O522" s="199"/>
      <c r="P522" s="199"/>
      <c r="Q522" s="199"/>
    </row>
    <row r="523">
      <c r="A523" s="28"/>
      <c r="B523" s="199"/>
      <c r="C523" s="199"/>
      <c r="D523" s="199"/>
      <c r="E523" s="199"/>
      <c r="F523" s="199"/>
      <c r="G523" s="200"/>
      <c r="H523" s="199"/>
      <c r="I523" s="199"/>
      <c r="J523" s="199"/>
      <c r="K523" s="199"/>
      <c r="L523" s="203"/>
      <c r="M523" s="203"/>
      <c r="N523" s="203"/>
      <c r="O523" s="199"/>
      <c r="P523" s="199"/>
      <c r="Q523" s="199"/>
    </row>
    <row r="524">
      <c r="A524" s="28"/>
      <c r="B524" s="199"/>
      <c r="C524" s="199"/>
      <c r="D524" s="199"/>
      <c r="E524" s="199"/>
      <c r="F524" s="199"/>
      <c r="G524" s="200"/>
      <c r="H524" s="199"/>
      <c r="I524" s="199"/>
      <c r="J524" s="199"/>
      <c r="K524" s="199"/>
      <c r="L524" s="203"/>
      <c r="M524" s="203"/>
      <c r="N524" s="203"/>
      <c r="O524" s="199"/>
      <c r="P524" s="199"/>
      <c r="Q524" s="199"/>
    </row>
    <row r="525">
      <c r="A525" s="28"/>
      <c r="B525" s="199"/>
      <c r="C525" s="199"/>
      <c r="D525" s="199"/>
      <c r="E525" s="199"/>
      <c r="F525" s="199"/>
      <c r="G525" s="200"/>
      <c r="H525" s="199"/>
      <c r="I525" s="199"/>
      <c r="J525" s="199"/>
      <c r="K525" s="199"/>
      <c r="L525" s="203"/>
      <c r="M525" s="203"/>
      <c r="N525" s="203"/>
      <c r="O525" s="199"/>
      <c r="P525" s="199"/>
      <c r="Q525" s="199"/>
    </row>
    <row r="526">
      <c r="A526" s="28"/>
      <c r="B526" s="199"/>
      <c r="C526" s="199"/>
      <c r="D526" s="199"/>
      <c r="E526" s="199"/>
      <c r="F526" s="199"/>
      <c r="G526" s="200"/>
      <c r="H526" s="199"/>
      <c r="I526" s="199"/>
      <c r="J526" s="199"/>
      <c r="K526" s="199"/>
      <c r="L526" s="203"/>
      <c r="M526" s="203"/>
      <c r="N526" s="203"/>
      <c r="O526" s="199"/>
      <c r="P526" s="199"/>
      <c r="Q526" s="199"/>
    </row>
    <row r="527">
      <c r="A527" s="28"/>
      <c r="B527" s="199"/>
      <c r="C527" s="199"/>
      <c r="D527" s="199"/>
      <c r="E527" s="199"/>
      <c r="F527" s="199"/>
      <c r="G527" s="200"/>
      <c r="H527" s="199"/>
      <c r="I527" s="199"/>
      <c r="J527" s="199"/>
      <c r="K527" s="199"/>
      <c r="L527" s="203"/>
      <c r="M527" s="203"/>
      <c r="N527" s="203"/>
      <c r="O527" s="199"/>
      <c r="P527" s="199"/>
      <c r="Q527" s="199"/>
    </row>
    <row r="528">
      <c r="A528" s="28"/>
      <c r="B528" s="199"/>
      <c r="C528" s="199"/>
      <c r="D528" s="199"/>
      <c r="E528" s="199"/>
      <c r="F528" s="199"/>
      <c r="G528" s="200"/>
      <c r="H528" s="199"/>
      <c r="I528" s="199"/>
      <c r="J528" s="199"/>
      <c r="K528" s="199"/>
      <c r="L528" s="203"/>
      <c r="M528" s="203"/>
      <c r="N528" s="203"/>
      <c r="O528" s="199"/>
      <c r="P528" s="199"/>
      <c r="Q528" s="199"/>
    </row>
    <row r="529">
      <c r="A529" s="28"/>
      <c r="B529" s="199"/>
      <c r="C529" s="199"/>
      <c r="D529" s="199"/>
      <c r="E529" s="199"/>
      <c r="F529" s="199"/>
      <c r="G529" s="200"/>
      <c r="H529" s="199"/>
      <c r="I529" s="199"/>
      <c r="J529" s="199"/>
      <c r="K529" s="199"/>
      <c r="L529" s="203"/>
      <c r="M529" s="203"/>
      <c r="N529" s="203"/>
      <c r="O529" s="199"/>
      <c r="P529" s="199"/>
      <c r="Q529" s="199"/>
    </row>
    <row r="530">
      <c r="A530" s="28"/>
      <c r="B530" s="199"/>
      <c r="C530" s="199"/>
      <c r="D530" s="199"/>
      <c r="E530" s="199"/>
      <c r="F530" s="199"/>
      <c r="G530" s="200"/>
      <c r="H530" s="199"/>
      <c r="I530" s="199"/>
      <c r="J530" s="199"/>
      <c r="K530" s="199"/>
      <c r="L530" s="203"/>
      <c r="M530" s="203"/>
      <c r="N530" s="203"/>
      <c r="O530" s="199"/>
      <c r="P530" s="199"/>
      <c r="Q530" s="199"/>
    </row>
    <row r="531">
      <c r="A531" s="28"/>
      <c r="B531" s="199"/>
      <c r="C531" s="199"/>
      <c r="D531" s="199"/>
      <c r="E531" s="199"/>
      <c r="F531" s="199"/>
      <c r="G531" s="200"/>
      <c r="H531" s="199"/>
      <c r="I531" s="199"/>
      <c r="J531" s="199"/>
      <c r="K531" s="199"/>
      <c r="L531" s="203"/>
      <c r="M531" s="203"/>
      <c r="N531" s="203"/>
      <c r="O531" s="199"/>
      <c r="P531" s="199"/>
      <c r="Q531" s="199"/>
    </row>
    <row r="532">
      <c r="A532" s="28"/>
      <c r="B532" s="199"/>
      <c r="C532" s="199"/>
      <c r="D532" s="199"/>
      <c r="E532" s="199"/>
      <c r="F532" s="199"/>
      <c r="G532" s="200"/>
      <c r="H532" s="199"/>
      <c r="I532" s="199"/>
      <c r="J532" s="199"/>
      <c r="K532" s="199"/>
      <c r="L532" s="203"/>
      <c r="M532" s="203"/>
      <c r="N532" s="203"/>
      <c r="O532" s="199"/>
      <c r="P532" s="199"/>
      <c r="Q532" s="199"/>
    </row>
    <row r="533">
      <c r="A533" s="28"/>
      <c r="B533" s="199"/>
      <c r="C533" s="199"/>
      <c r="D533" s="199"/>
      <c r="E533" s="199"/>
      <c r="F533" s="199"/>
      <c r="G533" s="200"/>
      <c r="H533" s="199"/>
      <c r="I533" s="199"/>
      <c r="J533" s="199"/>
      <c r="K533" s="199"/>
      <c r="L533" s="203"/>
      <c r="M533" s="203"/>
      <c r="N533" s="203"/>
      <c r="O533" s="199"/>
      <c r="P533" s="199"/>
      <c r="Q533" s="199"/>
    </row>
    <row r="534">
      <c r="A534" s="28"/>
      <c r="B534" s="199"/>
      <c r="C534" s="199"/>
      <c r="D534" s="199"/>
      <c r="E534" s="199"/>
      <c r="F534" s="199"/>
      <c r="G534" s="200"/>
      <c r="H534" s="199"/>
      <c r="I534" s="199"/>
      <c r="J534" s="199"/>
      <c r="K534" s="199"/>
      <c r="L534" s="203"/>
      <c r="M534" s="203"/>
      <c r="N534" s="203"/>
      <c r="O534" s="199"/>
      <c r="P534" s="199"/>
      <c r="Q534" s="199"/>
    </row>
    <row r="535">
      <c r="A535" s="28"/>
      <c r="B535" s="199"/>
      <c r="C535" s="199"/>
      <c r="D535" s="199"/>
      <c r="E535" s="199"/>
      <c r="F535" s="199"/>
      <c r="G535" s="200"/>
      <c r="H535" s="199"/>
      <c r="I535" s="199"/>
      <c r="J535" s="199"/>
      <c r="K535" s="199"/>
      <c r="L535" s="203"/>
      <c r="M535" s="203"/>
      <c r="N535" s="203"/>
      <c r="O535" s="199"/>
      <c r="P535" s="199"/>
      <c r="Q535" s="199"/>
    </row>
    <row r="536">
      <c r="A536" s="28"/>
      <c r="B536" s="199"/>
      <c r="C536" s="199"/>
      <c r="D536" s="199"/>
      <c r="E536" s="199"/>
      <c r="F536" s="199"/>
      <c r="G536" s="200"/>
      <c r="H536" s="199"/>
      <c r="I536" s="199"/>
      <c r="J536" s="199"/>
      <c r="K536" s="199"/>
      <c r="L536" s="203"/>
      <c r="M536" s="203"/>
      <c r="N536" s="203"/>
      <c r="O536" s="199"/>
      <c r="P536" s="199"/>
      <c r="Q536" s="199"/>
    </row>
    <row r="537">
      <c r="A537" s="28"/>
      <c r="B537" s="199"/>
      <c r="C537" s="199"/>
      <c r="D537" s="199"/>
      <c r="E537" s="199"/>
      <c r="F537" s="199"/>
      <c r="G537" s="200"/>
      <c r="H537" s="199"/>
      <c r="I537" s="199"/>
      <c r="J537" s="199"/>
      <c r="K537" s="199"/>
      <c r="L537" s="203"/>
      <c r="M537" s="203"/>
      <c r="N537" s="203"/>
      <c r="O537" s="199"/>
      <c r="P537" s="199"/>
      <c r="Q537" s="199"/>
    </row>
    <row r="538">
      <c r="A538" s="28"/>
      <c r="B538" s="199"/>
      <c r="C538" s="199"/>
      <c r="D538" s="199"/>
      <c r="E538" s="199"/>
      <c r="F538" s="199"/>
      <c r="G538" s="200"/>
      <c r="H538" s="199"/>
      <c r="I538" s="199"/>
      <c r="J538" s="199"/>
      <c r="K538" s="199"/>
      <c r="L538" s="203"/>
      <c r="M538" s="203"/>
      <c r="N538" s="203"/>
      <c r="O538" s="199"/>
      <c r="P538" s="199"/>
      <c r="Q538" s="199"/>
    </row>
    <row r="539">
      <c r="A539" s="28"/>
      <c r="B539" s="199"/>
      <c r="C539" s="199"/>
      <c r="D539" s="199"/>
      <c r="E539" s="199"/>
      <c r="F539" s="199"/>
      <c r="G539" s="200"/>
      <c r="H539" s="199"/>
      <c r="I539" s="199"/>
      <c r="J539" s="199"/>
      <c r="K539" s="199"/>
      <c r="L539" s="203"/>
      <c r="M539" s="203"/>
      <c r="N539" s="203"/>
      <c r="O539" s="199"/>
      <c r="P539" s="199"/>
      <c r="Q539" s="199"/>
    </row>
    <row r="540">
      <c r="A540" s="28"/>
      <c r="B540" s="199"/>
      <c r="C540" s="199"/>
      <c r="D540" s="199"/>
      <c r="E540" s="199"/>
      <c r="F540" s="199"/>
      <c r="G540" s="200"/>
      <c r="H540" s="199"/>
      <c r="I540" s="199"/>
      <c r="J540" s="199"/>
      <c r="K540" s="199"/>
      <c r="L540" s="203"/>
      <c r="M540" s="203"/>
      <c r="N540" s="203"/>
      <c r="O540" s="199"/>
      <c r="P540" s="199"/>
      <c r="Q540" s="199"/>
    </row>
    <row r="541">
      <c r="A541" s="28"/>
      <c r="B541" s="199"/>
      <c r="C541" s="199"/>
      <c r="D541" s="199"/>
      <c r="E541" s="199"/>
      <c r="F541" s="199"/>
      <c r="G541" s="200"/>
      <c r="H541" s="199"/>
      <c r="I541" s="199"/>
      <c r="J541" s="199"/>
      <c r="K541" s="199"/>
      <c r="L541" s="203"/>
      <c r="M541" s="203"/>
      <c r="N541" s="203"/>
      <c r="O541" s="199"/>
      <c r="P541" s="199"/>
      <c r="Q541" s="199"/>
    </row>
    <row r="542">
      <c r="A542" s="28"/>
      <c r="B542" s="199"/>
      <c r="C542" s="199"/>
      <c r="D542" s="199"/>
      <c r="E542" s="199"/>
      <c r="F542" s="199"/>
      <c r="G542" s="200"/>
      <c r="H542" s="199"/>
      <c r="I542" s="199"/>
      <c r="J542" s="199"/>
      <c r="K542" s="199"/>
      <c r="L542" s="203"/>
      <c r="M542" s="203"/>
      <c r="N542" s="203"/>
      <c r="O542" s="199"/>
      <c r="P542" s="199"/>
      <c r="Q542" s="199"/>
    </row>
    <row r="543">
      <c r="A543" s="28"/>
      <c r="B543" s="199"/>
      <c r="C543" s="199"/>
      <c r="D543" s="199"/>
      <c r="E543" s="199"/>
      <c r="F543" s="199"/>
      <c r="G543" s="200"/>
      <c r="H543" s="199"/>
      <c r="I543" s="199"/>
      <c r="J543" s="199"/>
      <c r="K543" s="199"/>
      <c r="L543" s="203"/>
      <c r="M543" s="203"/>
      <c r="N543" s="203"/>
      <c r="O543" s="199"/>
      <c r="P543" s="199"/>
      <c r="Q543" s="199"/>
    </row>
    <row r="544">
      <c r="A544" s="28"/>
      <c r="B544" s="199"/>
      <c r="C544" s="199"/>
      <c r="D544" s="199"/>
      <c r="E544" s="199"/>
      <c r="F544" s="199"/>
      <c r="G544" s="200"/>
      <c r="H544" s="199"/>
      <c r="I544" s="199"/>
      <c r="J544" s="199"/>
      <c r="K544" s="199"/>
      <c r="L544" s="203"/>
      <c r="M544" s="203"/>
      <c r="N544" s="203"/>
      <c r="O544" s="199"/>
      <c r="P544" s="199"/>
      <c r="Q544" s="199"/>
    </row>
    <row r="545">
      <c r="A545" s="28"/>
      <c r="B545" s="199"/>
      <c r="C545" s="199"/>
      <c r="D545" s="199"/>
      <c r="E545" s="199"/>
      <c r="F545" s="199"/>
      <c r="G545" s="200"/>
      <c r="H545" s="199"/>
      <c r="I545" s="199"/>
      <c r="J545" s="199"/>
      <c r="K545" s="199"/>
      <c r="L545" s="203"/>
      <c r="M545" s="203"/>
      <c r="N545" s="203"/>
      <c r="O545" s="199"/>
      <c r="P545" s="199"/>
      <c r="Q545" s="199"/>
    </row>
    <row r="546">
      <c r="A546" s="28"/>
      <c r="B546" s="199"/>
      <c r="C546" s="199"/>
      <c r="D546" s="199"/>
      <c r="E546" s="199"/>
      <c r="F546" s="199"/>
      <c r="G546" s="200"/>
      <c r="H546" s="199"/>
      <c r="I546" s="199"/>
      <c r="J546" s="199"/>
      <c r="K546" s="199"/>
      <c r="L546" s="203"/>
      <c r="M546" s="203"/>
      <c r="N546" s="203"/>
      <c r="O546" s="199"/>
      <c r="P546" s="199"/>
      <c r="Q546" s="199"/>
    </row>
    <row r="547">
      <c r="A547" s="28"/>
      <c r="B547" s="199"/>
      <c r="C547" s="199"/>
      <c r="D547" s="199"/>
      <c r="E547" s="199"/>
      <c r="F547" s="199"/>
      <c r="G547" s="200"/>
      <c r="H547" s="199"/>
      <c r="I547" s="199"/>
      <c r="J547" s="199"/>
      <c r="K547" s="199"/>
      <c r="L547" s="203"/>
      <c r="M547" s="203"/>
      <c r="N547" s="203"/>
      <c r="O547" s="199"/>
      <c r="P547" s="199"/>
      <c r="Q547" s="199"/>
    </row>
    <row r="548">
      <c r="A548" s="28"/>
      <c r="B548" s="199"/>
      <c r="C548" s="199"/>
      <c r="D548" s="199"/>
      <c r="E548" s="199"/>
      <c r="F548" s="199"/>
      <c r="G548" s="200"/>
      <c r="H548" s="199"/>
      <c r="I548" s="199"/>
      <c r="J548" s="199"/>
      <c r="K548" s="199"/>
      <c r="L548" s="203"/>
      <c r="M548" s="203"/>
      <c r="N548" s="203"/>
      <c r="O548" s="199"/>
      <c r="P548" s="199"/>
      <c r="Q548" s="199"/>
    </row>
    <row r="549">
      <c r="A549" s="28"/>
      <c r="B549" s="199"/>
      <c r="C549" s="199"/>
      <c r="D549" s="199"/>
      <c r="E549" s="199"/>
      <c r="F549" s="199"/>
      <c r="G549" s="200"/>
      <c r="H549" s="199"/>
      <c r="I549" s="199"/>
      <c r="J549" s="199"/>
      <c r="K549" s="199"/>
      <c r="L549" s="203"/>
      <c r="M549" s="203"/>
      <c r="N549" s="203"/>
      <c r="O549" s="199"/>
      <c r="P549" s="199"/>
      <c r="Q549" s="199"/>
    </row>
    <row r="550">
      <c r="A550" s="28"/>
      <c r="B550" s="199"/>
      <c r="C550" s="199"/>
      <c r="D550" s="199"/>
      <c r="E550" s="199"/>
      <c r="F550" s="199"/>
      <c r="G550" s="200"/>
      <c r="H550" s="199"/>
      <c r="I550" s="199"/>
      <c r="J550" s="199"/>
      <c r="K550" s="199"/>
      <c r="L550" s="203"/>
      <c r="M550" s="203"/>
      <c r="N550" s="203"/>
      <c r="O550" s="199"/>
      <c r="P550" s="199"/>
      <c r="Q550" s="199"/>
    </row>
    <row r="551">
      <c r="A551" s="28"/>
      <c r="B551" s="199"/>
      <c r="C551" s="199"/>
      <c r="D551" s="199"/>
      <c r="E551" s="199"/>
      <c r="F551" s="199"/>
      <c r="G551" s="200"/>
      <c r="H551" s="199"/>
      <c r="I551" s="199"/>
      <c r="J551" s="199"/>
      <c r="K551" s="199"/>
      <c r="L551" s="203"/>
      <c r="M551" s="203"/>
      <c r="N551" s="203"/>
      <c r="O551" s="199"/>
      <c r="P551" s="199"/>
      <c r="Q551" s="199"/>
    </row>
    <row r="552">
      <c r="A552" s="28"/>
      <c r="B552" s="199"/>
      <c r="C552" s="199"/>
      <c r="D552" s="199"/>
      <c r="E552" s="199"/>
      <c r="F552" s="199"/>
      <c r="G552" s="200"/>
      <c r="H552" s="199"/>
      <c r="I552" s="199"/>
      <c r="J552" s="199"/>
      <c r="K552" s="199"/>
      <c r="L552" s="203"/>
      <c r="M552" s="203"/>
      <c r="N552" s="203"/>
      <c r="O552" s="199"/>
      <c r="P552" s="199"/>
      <c r="Q552" s="199"/>
    </row>
    <row r="553">
      <c r="A553" s="28"/>
      <c r="B553" s="199"/>
      <c r="C553" s="199"/>
      <c r="D553" s="199"/>
      <c r="E553" s="199"/>
      <c r="F553" s="199"/>
      <c r="G553" s="200"/>
      <c r="H553" s="199"/>
      <c r="I553" s="199"/>
      <c r="J553" s="199"/>
      <c r="K553" s="199"/>
      <c r="L553" s="203"/>
      <c r="M553" s="203"/>
      <c r="N553" s="203"/>
      <c r="O553" s="199"/>
      <c r="P553" s="199"/>
      <c r="Q553" s="199"/>
    </row>
    <row r="554">
      <c r="A554" s="28"/>
      <c r="B554" s="199"/>
      <c r="C554" s="199"/>
      <c r="D554" s="199"/>
      <c r="E554" s="199"/>
      <c r="F554" s="199"/>
      <c r="G554" s="200"/>
      <c r="H554" s="199"/>
      <c r="I554" s="199"/>
      <c r="J554" s="199"/>
      <c r="K554" s="199"/>
      <c r="L554" s="203"/>
      <c r="M554" s="203"/>
      <c r="N554" s="203"/>
      <c r="O554" s="199"/>
      <c r="P554" s="199"/>
      <c r="Q554" s="199"/>
    </row>
    <row r="555">
      <c r="A555" s="28"/>
      <c r="B555" s="199"/>
      <c r="C555" s="199"/>
      <c r="D555" s="199"/>
      <c r="E555" s="199"/>
      <c r="F555" s="199"/>
      <c r="G555" s="200"/>
      <c r="H555" s="199"/>
      <c r="I555" s="199"/>
      <c r="J555" s="199"/>
      <c r="K555" s="199"/>
      <c r="L555" s="203"/>
      <c r="M555" s="203"/>
      <c r="N555" s="203"/>
      <c r="O555" s="199"/>
      <c r="P555" s="199"/>
      <c r="Q555" s="199"/>
    </row>
    <row r="556">
      <c r="A556" s="28"/>
      <c r="B556" s="199"/>
      <c r="C556" s="199"/>
      <c r="D556" s="199"/>
      <c r="E556" s="199"/>
      <c r="F556" s="199"/>
      <c r="G556" s="200"/>
      <c r="H556" s="199"/>
      <c r="I556" s="199"/>
      <c r="J556" s="199"/>
      <c r="K556" s="199"/>
      <c r="L556" s="203"/>
      <c r="M556" s="203"/>
      <c r="N556" s="203"/>
      <c r="O556" s="199"/>
      <c r="P556" s="199"/>
      <c r="Q556" s="199"/>
    </row>
    <row r="557">
      <c r="A557" s="28"/>
      <c r="B557" s="199"/>
      <c r="C557" s="199"/>
      <c r="D557" s="199"/>
      <c r="E557" s="199"/>
      <c r="F557" s="199"/>
      <c r="G557" s="200"/>
      <c r="H557" s="199"/>
      <c r="I557" s="199"/>
      <c r="J557" s="199"/>
      <c r="K557" s="199"/>
      <c r="L557" s="203"/>
      <c r="M557" s="203"/>
      <c r="N557" s="203"/>
      <c r="O557" s="199"/>
      <c r="P557" s="199"/>
      <c r="Q557" s="199"/>
    </row>
    <row r="558">
      <c r="A558" s="28"/>
      <c r="B558" s="199"/>
      <c r="C558" s="199"/>
      <c r="D558" s="199"/>
      <c r="E558" s="199"/>
      <c r="F558" s="199"/>
      <c r="G558" s="200"/>
      <c r="H558" s="199"/>
      <c r="I558" s="199"/>
      <c r="J558" s="199"/>
      <c r="K558" s="199"/>
      <c r="L558" s="203"/>
      <c r="M558" s="203"/>
      <c r="N558" s="203"/>
      <c r="O558" s="199"/>
      <c r="P558" s="199"/>
      <c r="Q558" s="199"/>
    </row>
    <row r="559">
      <c r="A559" s="28"/>
      <c r="B559" s="199"/>
      <c r="C559" s="199"/>
      <c r="D559" s="199"/>
      <c r="E559" s="199"/>
      <c r="F559" s="199"/>
      <c r="G559" s="200"/>
      <c r="H559" s="199"/>
      <c r="I559" s="199"/>
      <c r="J559" s="199"/>
      <c r="K559" s="199"/>
      <c r="L559" s="203"/>
      <c r="M559" s="203"/>
      <c r="N559" s="203"/>
      <c r="O559" s="199"/>
      <c r="P559" s="199"/>
      <c r="Q559" s="199"/>
    </row>
    <row r="560">
      <c r="A560" s="28"/>
      <c r="B560" s="199"/>
      <c r="C560" s="199"/>
      <c r="D560" s="199"/>
      <c r="E560" s="199"/>
      <c r="F560" s="199"/>
      <c r="G560" s="200"/>
      <c r="H560" s="199"/>
      <c r="I560" s="199"/>
      <c r="J560" s="199"/>
      <c r="K560" s="199"/>
      <c r="L560" s="203"/>
      <c r="M560" s="203"/>
      <c r="N560" s="203"/>
      <c r="O560" s="199"/>
      <c r="P560" s="199"/>
      <c r="Q560" s="199"/>
    </row>
    <row r="561">
      <c r="A561" s="28"/>
      <c r="B561" s="199"/>
      <c r="C561" s="199"/>
      <c r="D561" s="199"/>
      <c r="E561" s="199"/>
      <c r="F561" s="199"/>
      <c r="G561" s="200"/>
      <c r="H561" s="199"/>
      <c r="I561" s="199"/>
      <c r="J561" s="199"/>
      <c r="K561" s="199"/>
      <c r="L561" s="203"/>
      <c r="M561" s="203"/>
      <c r="N561" s="203"/>
      <c r="O561" s="199"/>
      <c r="P561" s="199"/>
      <c r="Q561" s="199"/>
    </row>
    <row r="562">
      <c r="A562" s="28"/>
      <c r="B562" s="199"/>
      <c r="C562" s="199"/>
      <c r="D562" s="199"/>
      <c r="E562" s="199"/>
      <c r="F562" s="199"/>
      <c r="G562" s="200"/>
      <c r="H562" s="199"/>
      <c r="I562" s="199"/>
      <c r="J562" s="199"/>
      <c r="K562" s="199"/>
      <c r="L562" s="203"/>
      <c r="M562" s="203"/>
      <c r="N562" s="203"/>
      <c r="O562" s="199"/>
      <c r="P562" s="199"/>
      <c r="Q562" s="199"/>
    </row>
    <row r="563">
      <c r="A563" s="28"/>
      <c r="B563" s="199"/>
      <c r="C563" s="199"/>
      <c r="D563" s="199"/>
      <c r="E563" s="199"/>
      <c r="F563" s="199"/>
      <c r="G563" s="200"/>
      <c r="H563" s="199"/>
      <c r="I563" s="199"/>
      <c r="J563" s="199"/>
      <c r="K563" s="199"/>
      <c r="L563" s="203"/>
      <c r="M563" s="203"/>
      <c r="N563" s="203"/>
      <c r="O563" s="199"/>
      <c r="P563" s="199"/>
      <c r="Q563" s="199"/>
    </row>
    <row r="564">
      <c r="A564" s="28"/>
      <c r="B564" s="199"/>
      <c r="C564" s="199"/>
      <c r="D564" s="199"/>
      <c r="E564" s="199"/>
      <c r="F564" s="199"/>
      <c r="G564" s="200"/>
      <c r="H564" s="199"/>
      <c r="I564" s="199"/>
      <c r="J564" s="199"/>
      <c r="K564" s="199"/>
      <c r="L564" s="203"/>
      <c r="M564" s="203"/>
      <c r="N564" s="203"/>
      <c r="O564" s="199"/>
      <c r="P564" s="199"/>
      <c r="Q564" s="199"/>
    </row>
    <row r="565">
      <c r="A565" s="28"/>
      <c r="B565" s="199"/>
      <c r="C565" s="199"/>
      <c r="D565" s="199"/>
      <c r="E565" s="199"/>
      <c r="F565" s="199"/>
      <c r="G565" s="200"/>
      <c r="H565" s="199"/>
      <c r="I565" s="199"/>
      <c r="J565" s="199"/>
      <c r="K565" s="199"/>
      <c r="L565" s="203"/>
      <c r="M565" s="203"/>
      <c r="N565" s="203"/>
      <c r="O565" s="199"/>
      <c r="P565" s="199"/>
      <c r="Q565" s="199"/>
    </row>
    <row r="566">
      <c r="A566" s="28"/>
      <c r="B566" s="199"/>
      <c r="C566" s="199"/>
      <c r="D566" s="199"/>
      <c r="E566" s="199"/>
      <c r="F566" s="199"/>
      <c r="G566" s="200"/>
      <c r="H566" s="199"/>
      <c r="I566" s="199"/>
      <c r="J566" s="199"/>
      <c r="K566" s="199"/>
      <c r="L566" s="203"/>
      <c r="M566" s="203"/>
      <c r="N566" s="203"/>
      <c r="O566" s="199"/>
      <c r="P566" s="199"/>
      <c r="Q566" s="199"/>
    </row>
    <row r="567">
      <c r="A567" s="28"/>
      <c r="B567" s="199"/>
      <c r="C567" s="199"/>
      <c r="D567" s="199"/>
      <c r="E567" s="199"/>
      <c r="F567" s="199"/>
      <c r="G567" s="200"/>
      <c r="H567" s="199"/>
      <c r="I567" s="199"/>
      <c r="J567" s="199"/>
      <c r="K567" s="199"/>
      <c r="L567" s="203"/>
      <c r="M567" s="203"/>
      <c r="N567" s="203"/>
      <c r="O567" s="199"/>
      <c r="P567" s="199"/>
      <c r="Q567" s="199"/>
    </row>
    <row r="568">
      <c r="A568" s="28"/>
      <c r="B568" s="199"/>
      <c r="C568" s="199"/>
      <c r="D568" s="199"/>
      <c r="E568" s="199"/>
      <c r="F568" s="199"/>
      <c r="G568" s="200"/>
      <c r="H568" s="199"/>
      <c r="I568" s="199"/>
      <c r="J568" s="199"/>
      <c r="K568" s="199"/>
      <c r="L568" s="203"/>
      <c r="M568" s="203"/>
      <c r="N568" s="203"/>
      <c r="O568" s="199"/>
      <c r="P568" s="199"/>
      <c r="Q568" s="199"/>
    </row>
    <row r="569">
      <c r="A569" s="28"/>
      <c r="B569" s="199"/>
      <c r="C569" s="199"/>
      <c r="D569" s="199"/>
      <c r="E569" s="199"/>
      <c r="F569" s="199"/>
      <c r="G569" s="200"/>
      <c r="H569" s="199"/>
      <c r="I569" s="199"/>
      <c r="J569" s="199"/>
      <c r="K569" s="199"/>
      <c r="L569" s="203"/>
      <c r="M569" s="203"/>
      <c r="N569" s="203"/>
      <c r="O569" s="199"/>
      <c r="P569" s="199"/>
      <c r="Q569" s="199"/>
    </row>
    <row r="570">
      <c r="A570" s="28"/>
      <c r="B570" s="199"/>
      <c r="C570" s="199"/>
      <c r="D570" s="199"/>
      <c r="E570" s="199"/>
      <c r="F570" s="199"/>
      <c r="G570" s="200"/>
      <c r="H570" s="199"/>
      <c r="I570" s="199"/>
      <c r="J570" s="199"/>
      <c r="K570" s="199"/>
      <c r="L570" s="203"/>
      <c r="M570" s="203"/>
      <c r="N570" s="203"/>
      <c r="O570" s="199"/>
      <c r="P570" s="199"/>
      <c r="Q570" s="199"/>
    </row>
    <row r="571">
      <c r="A571" s="28"/>
      <c r="B571" s="199"/>
      <c r="C571" s="199"/>
      <c r="D571" s="199"/>
      <c r="E571" s="199"/>
      <c r="F571" s="199"/>
      <c r="G571" s="200"/>
      <c r="H571" s="199"/>
      <c r="I571" s="199"/>
      <c r="J571" s="199"/>
      <c r="K571" s="199"/>
      <c r="L571" s="203"/>
      <c r="M571" s="203"/>
      <c r="N571" s="203"/>
      <c r="O571" s="199"/>
      <c r="P571" s="199"/>
      <c r="Q571" s="199"/>
    </row>
    <row r="572">
      <c r="A572" s="28"/>
      <c r="B572" s="199"/>
      <c r="C572" s="199"/>
      <c r="D572" s="199"/>
      <c r="E572" s="199"/>
      <c r="F572" s="199"/>
      <c r="G572" s="200"/>
      <c r="H572" s="199"/>
      <c r="I572" s="199"/>
      <c r="J572" s="199"/>
      <c r="K572" s="199"/>
      <c r="L572" s="203"/>
      <c r="M572" s="203"/>
      <c r="N572" s="203"/>
      <c r="O572" s="199"/>
      <c r="P572" s="199"/>
      <c r="Q572" s="199"/>
    </row>
    <row r="573">
      <c r="A573" s="28"/>
      <c r="B573" s="199"/>
      <c r="C573" s="199"/>
      <c r="D573" s="199"/>
      <c r="E573" s="199"/>
      <c r="F573" s="199"/>
      <c r="G573" s="200"/>
      <c r="H573" s="199"/>
      <c r="I573" s="199"/>
      <c r="J573" s="199"/>
      <c r="K573" s="199"/>
      <c r="L573" s="203"/>
      <c r="M573" s="203"/>
      <c r="N573" s="203"/>
      <c r="O573" s="199"/>
      <c r="P573" s="199"/>
      <c r="Q573" s="199"/>
    </row>
    <row r="574">
      <c r="A574" s="28"/>
      <c r="B574" s="199"/>
      <c r="C574" s="199"/>
      <c r="D574" s="199"/>
      <c r="E574" s="199"/>
      <c r="F574" s="199"/>
      <c r="G574" s="200"/>
      <c r="H574" s="199"/>
      <c r="I574" s="199"/>
      <c r="J574" s="199"/>
      <c r="K574" s="199"/>
      <c r="L574" s="203"/>
      <c r="M574" s="203"/>
      <c r="N574" s="203"/>
      <c r="O574" s="199"/>
      <c r="P574" s="199"/>
      <c r="Q574" s="199"/>
    </row>
    <row r="575">
      <c r="A575" s="28"/>
      <c r="B575" s="199"/>
      <c r="C575" s="199"/>
      <c r="D575" s="199"/>
      <c r="E575" s="199"/>
      <c r="F575" s="199"/>
      <c r="G575" s="200"/>
      <c r="H575" s="199"/>
      <c r="I575" s="199"/>
      <c r="J575" s="199"/>
      <c r="K575" s="199"/>
      <c r="L575" s="203"/>
      <c r="M575" s="203"/>
      <c r="N575" s="203"/>
      <c r="O575" s="199"/>
      <c r="P575" s="199"/>
      <c r="Q575" s="199"/>
    </row>
    <row r="576">
      <c r="A576" s="28"/>
      <c r="B576" s="199"/>
      <c r="C576" s="199"/>
      <c r="D576" s="199"/>
      <c r="E576" s="199"/>
      <c r="F576" s="199"/>
      <c r="G576" s="200"/>
      <c r="H576" s="199"/>
      <c r="I576" s="199"/>
      <c r="J576" s="199"/>
      <c r="K576" s="199"/>
      <c r="L576" s="203"/>
      <c r="M576" s="203"/>
      <c r="N576" s="203"/>
      <c r="O576" s="199"/>
      <c r="P576" s="199"/>
      <c r="Q576" s="199"/>
    </row>
    <row r="577">
      <c r="A577" s="28"/>
      <c r="B577" s="199"/>
      <c r="C577" s="199"/>
      <c r="D577" s="199"/>
      <c r="E577" s="199"/>
      <c r="F577" s="199"/>
      <c r="G577" s="200"/>
      <c r="H577" s="199"/>
      <c r="I577" s="199"/>
      <c r="J577" s="199"/>
      <c r="K577" s="199"/>
      <c r="L577" s="203"/>
      <c r="M577" s="203"/>
      <c r="N577" s="203"/>
      <c r="O577" s="199"/>
      <c r="P577" s="199"/>
      <c r="Q577" s="199"/>
    </row>
    <row r="578">
      <c r="A578" s="28"/>
      <c r="B578" s="199"/>
      <c r="C578" s="199"/>
      <c r="D578" s="199"/>
      <c r="E578" s="199"/>
      <c r="F578" s="199"/>
      <c r="G578" s="200"/>
      <c r="H578" s="199"/>
      <c r="I578" s="199"/>
      <c r="J578" s="199"/>
      <c r="K578" s="199"/>
      <c r="L578" s="203"/>
      <c r="M578" s="203"/>
      <c r="N578" s="203"/>
      <c r="O578" s="199"/>
      <c r="P578" s="199"/>
      <c r="Q578" s="199"/>
    </row>
    <row r="579">
      <c r="A579" s="28"/>
      <c r="B579" s="199"/>
      <c r="C579" s="199"/>
      <c r="D579" s="199"/>
      <c r="E579" s="199"/>
      <c r="F579" s="199"/>
      <c r="G579" s="200"/>
      <c r="H579" s="199"/>
      <c r="I579" s="199"/>
      <c r="J579" s="199"/>
      <c r="K579" s="199"/>
      <c r="L579" s="203"/>
      <c r="M579" s="203"/>
      <c r="N579" s="203"/>
      <c r="O579" s="199"/>
      <c r="P579" s="199"/>
      <c r="Q579" s="199"/>
    </row>
    <row r="580">
      <c r="A580" s="28"/>
      <c r="B580" s="199"/>
      <c r="C580" s="199"/>
      <c r="D580" s="199"/>
      <c r="E580" s="199"/>
      <c r="F580" s="199"/>
      <c r="G580" s="200"/>
      <c r="H580" s="199"/>
      <c r="I580" s="199"/>
      <c r="J580" s="199"/>
      <c r="K580" s="199"/>
      <c r="L580" s="203"/>
      <c r="M580" s="203"/>
      <c r="N580" s="203"/>
      <c r="O580" s="199"/>
      <c r="P580" s="199"/>
      <c r="Q580" s="199"/>
    </row>
    <row r="581">
      <c r="A581" s="28"/>
      <c r="B581" s="199"/>
      <c r="C581" s="199"/>
      <c r="D581" s="199"/>
      <c r="E581" s="199"/>
      <c r="F581" s="199"/>
      <c r="G581" s="200"/>
      <c r="H581" s="199"/>
      <c r="I581" s="199"/>
      <c r="J581" s="199"/>
      <c r="K581" s="199"/>
      <c r="L581" s="203"/>
      <c r="M581" s="203"/>
      <c r="N581" s="203"/>
      <c r="O581" s="199"/>
      <c r="P581" s="199"/>
      <c r="Q581" s="199"/>
    </row>
    <row r="582">
      <c r="A582" s="28"/>
      <c r="B582" s="199"/>
      <c r="C582" s="199"/>
      <c r="D582" s="199"/>
      <c r="E582" s="199"/>
      <c r="F582" s="199"/>
      <c r="G582" s="200"/>
      <c r="H582" s="199"/>
      <c r="I582" s="199"/>
      <c r="J582" s="199"/>
      <c r="K582" s="199"/>
      <c r="L582" s="203"/>
      <c r="M582" s="203"/>
      <c r="N582" s="203"/>
      <c r="O582" s="199"/>
      <c r="P582" s="199"/>
      <c r="Q582" s="199"/>
    </row>
    <row r="583">
      <c r="A583" s="28"/>
      <c r="B583" s="199"/>
      <c r="C583" s="199"/>
      <c r="D583" s="199"/>
      <c r="E583" s="199"/>
      <c r="F583" s="199"/>
      <c r="G583" s="200"/>
      <c r="H583" s="199"/>
      <c r="I583" s="199"/>
      <c r="J583" s="199"/>
      <c r="K583" s="199"/>
      <c r="L583" s="203"/>
      <c r="M583" s="203"/>
      <c r="N583" s="203"/>
      <c r="O583" s="199"/>
      <c r="P583" s="199"/>
      <c r="Q583" s="199"/>
    </row>
    <row r="584">
      <c r="A584" s="28"/>
      <c r="B584" s="199"/>
      <c r="C584" s="199"/>
      <c r="D584" s="199"/>
      <c r="E584" s="199"/>
      <c r="F584" s="199"/>
      <c r="G584" s="200"/>
      <c r="H584" s="199"/>
      <c r="I584" s="199"/>
      <c r="J584" s="199"/>
      <c r="K584" s="199"/>
      <c r="L584" s="203"/>
      <c r="M584" s="203"/>
      <c r="N584" s="203"/>
      <c r="O584" s="199"/>
      <c r="P584" s="199"/>
      <c r="Q584" s="199"/>
    </row>
    <row r="585">
      <c r="A585" s="28"/>
      <c r="B585" s="199"/>
      <c r="C585" s="199"/>
      <c r="D585" s="199"/>
      <c r="E585" s="199"/>
      <c r="F585" s="199"/>
      <c r="G585" s="200"/>
      <c r="H585" s="199"/>
      <c r="I585" s="199"/>
      <c r="J585" s="199"/>
      <c r="K585" s="199"/>
      <c r="L585" s="203"/>
      <c r="M585" s="203"/>
      <c r="N585" s="203"/>
      <c r="O585" s="199"/>
      <c r="P585" s="199"/>
      <c r="Q585" s="199"/>
    </row>
    <row r="586">
      <c r="A586" s="28"/>
      <c r="B586" s="199"/>
      <c r="C586" s="199"/>
      <c r="D586" s="199"/>
      <c r="E586" s="199"/>
      <c r="F586" s="199"/>
      <c r="G586" s="200"/>
      <c r="H586" s="199"/>
      <c r="I586" s="199"/>
      <c r="J586" s="199"/>
      <c r="K586" s="199"/>
      <c r="L586" s="203"/>
      <c r="M586" s="203"/>
      <c r="N586" s="203"/>
      <c r="O586" s="199"/>
      <c r="P586" s="199"/>
      <c r="Q586" s="199"/>
    </row>
    <row r="587">
      <c r="A587" s="28"/>
      <c r="B587" s="199"/>
      <c r="C587" s="199"/>
      <c r="D587" s="199"/>
      <c r="E587" s="199"/>
      <c r="F587" s="199"/>
      <c r="G587" s="200"/>
      <c r="H587" s="199"/>
      <c r="I587" s="199"/>
      <c r="J587" s="199"/>
      <c r="K587" s="199"/>
      <c r="L587" s="203"/>
      <c r="M587" s="203"/>
      <c r="N587" s="203"/>
      <c r="O587" s="199"/>
      <c r="P587" s="199"/>
      <c r="Q587" s="199"/>
    </row>
    <row r="588">
      <c r="A588" s="28"/>
      <c r="B588" s="199"/>
      <c r="C588" s="199"/>
      <c r="D588" s="199"/>
      <c r="E588" s="199"/>
      <c r="F588" s="199"/>
      <c r="G588" s="200"/>
      <c r="H588" s="199"/>
      <c r="I588" s="199"/>
      <c r="J588" s="199"/>
      <c r="K588" s="199"/>
      <c r="L588" s="203"/>
      <c r="M588" s="203"/>
      <c r="N588" s="203"/>
      <c r="O588" s="199"/>
      <c r="P588" s="199"/>
      <c r="Q588" s="199"/>
    </row>
    <row r="589">
      <c r="A589" s="28"/>
      <c r="B589" s="199"/>
      <c r="C589" s="199"/>
      <c r="D589" s="199"/>
      <c r="E589" s="199"/>
      <c r="F589" s="199"/>
      <c r="G589" s="200"/>
      <c r="H589" s="199"/>
      <c r="I589" s="199"/>
      <c r="J589" s="199"/>
      <c r="K589" s="199"/>
      <c r="L589" s="203"/>
      <c r="M589" s="203"/>
      <c r="N589" s="203"/>
      <c r="O589" s="199"/>
      <c r="P589" s="199"/>
      <c r="Q589" s="199"/>
    </row>
    <row r="590">
      <c r="A590" s="28"/>
      <c r="B590" s="199"/>
      <c r="C590" s="199"/>
      <c r="D590" s="199"/>
      <c r="E590" s="199"/>
      <c r="F590" s="199"/>
      <c r="G590" s="200"/>
      <c r="H590" s="199"/>
      <c r="I590" s="199"/>
      <c r="J590" s="199"/>
      <c r="K590" s="199"/>
      <c r="L590" s="203"/>
      <c r="M590" s="203"/>
      <c r="N590" s="203"/>
      <c r="O590" s="199"/>
      <c r="P590" s="199"/>
      <c r="Q590" s="199"/>
    </row>
    <row r="591">
      <c r="A591" s="28"/>
      <c r="B591" s="199"/>
      <c r="C591" s="199"/>
      <c r="D591" s="199"/>
      <c r="E591" s="199"/>
      <c r="F591" s="199"/>
      <c r="G591" s="200"/>
      <c r="H591" s="199"/>
      <c r="I591" s="199"/>
      <c r="J591" s="199"/>
      <c r="K591" s="199"/>
      <c r="L591" s="203"/>
      <c r="M591" s="203"/>
      <c r="N591" s="203"/>
      <c r="O591" s="199"/>
      <c r="P591" s="199"/>
      <c r="Q591" s="199"/>
    </row>
    <row r="592">
      <c r="A592" s="28"/>
      <c r="B592" s="199"/>
      <c r="C592" s="199"/>
      <c r="D592" s="199"/>
      <c r="E592" s="199"/>
      <c r="F592" s="199"/>
      <c r="G592" s="200"/>
      <c r="H592" s="199"/>
      <c r="I592" s="199"/>
      <c r="J592" s="199"/>
      <c r="K592" s="199"/>
      <c r="L592" s="203"/>
      <c r="M592" s="203"/>
      <c r="N592" s="203"/>
      <c r="O592" s="199"/>
      <c r="P592" s="199"/>
      <c r="Q592" s="199"/>
    </row>
    <row r="593">
      <c r="A593" s="28"/>
      <c r="B593" s="199"/>
      <c r="C593" s="199"/>
      <c r="D593" s="199"/>
      <c r="E593" s="199"/>
      <c r="F593" s="199"/>
      <c r="G593" s="200"/>
      <c r="H593" s="199"/>
      <c r="I593" s="199"/>
      <c r="J593" s="199"/>
      <c r="K593" s="199"/>
      <c r="L593" s="203"/>
      <c r="M593" s="203"/>
      <c r="N593" s="203"/>
      <c r="O593" s="199"/>
      <c r="P593" s="199"/>
      <c r="Q593" s="199"/>
    </row>
    <row r="594">
      <c r="A594" s="28"/>
      <c r="B594" s="199"/>
      <c r="C594" s="199"/>
      <c r="D594" s="199"/>
      <c r="E594" s="199"/>
      <c r="F594" s="199"/>
      <c r="G594" s="200"/>
      <c r="H594" s="199"/>
      <c r="I594" s="199"/>
      <c r="J594" s="199"/>
      <c r="K594" s="199"/>
      <c r="L594" s="203"/>
      <c r="M594" s="203"/>
      <c r="N594" s="203"/>
      <c r="O594" s="199"/>
      <c r="P594" s="199"/>
      <c r="Q594" s="199"/>
    </row>
    <row r="595">
      <c r="A595" s="28"/>
      <c r="B595" s="199"/>
      <c r="C595" s="199"/>
      <c r="D595" s="199"/>
      <c r="E595" s="199"/>
      <c r="F595" s="199"/>
      <c r="G595" s="200"/>
      <c r="H595" s="199"/>
      <c r="I595" s="199"/>
      <c r="J595" s="199"/>
      <c r="K595" s="199"/>
      <c r="L595" s="203"/>
      <c r="M595" s="203"/>
      <c r="N595" s="203"/>
      <c r="O595" s="199"/>
      <c r="P595" s="199"/>
      <c r="Q595" s="199"/>
    </row>
    <row r="596">
      <c r="A596" s="28"/>
      <c r="B596" s="199"/>
      <c r="C596" s="199"/>
      <c r="D596" s="199"/>
      <c r="E596" s="199"/>
      <c r="F596" s="199"/>
      <c r="G596" s="200"/>
      <c r="H596" s="199"/>
      <c r="I596" s="199"/>
      <c r="J596" s="199"/>
      <c r="K596" s="199"/>
      <c r="L596" s="203"/>
      <c r="M596" s="203"/>
      <c r="N596" s="203"/>
      <c r="O596" s="199"/>
      <c r="P596" s="199"/>
      <c r="Q596" s="199"/>
    </row>
    <row r="597">
      <c r="A597" s="28"/>
      <c r="B597" s="199"/>
      <c r="C597" s="199"/>
      <c r="D597" s="199"/>
      <c r="E597" s="199"/>
      <c r="F597" s="199"/>
      <c r="G597" s="200"/>
      <c r="H597" s="199"/>
      <c r="I597" s="199"/>
      <c r="J597" s="199"/>
      <c r="K597" s="199"/>
      <c r="L597" s="203"/>
      <c r="M597" s="203"/>
      <c r="N597" s="203"/>
      <c r="O597" s="199"/>
      <c r="P597" s="199"/>
      <c r="Q597" s="199"/>
    </row>
    <row r="598">
      <c r="A598" s="28"/>
      <c r="B598" s="199"/>
      <c r="C598" s="199"/>
      <c r="D598" s="199"/>
      <c r="E598" s="199"/>
      <c r="F598" s="199"/>
      <c r="G598" s="200"/>
      <c r="H598" s="199"/>
      <c r="I598" s="199"/>
      <c r="J598" s="199"/>
      <c r="K598" s="199"/>
      <c r="L598" s="203"/>
      <c r="M598" s="203"/>
      <c r="N598" s="203"/>
      <c r="O598" s="199"/>
      <c r="P598" s="199"/>
      <c r="Q598" s="199"/>
    </row>
    <row r="599">
      <c r="A599" s="28"/>
      <c r="B599" s="199"/>
      <c r="C599" s="199"/>
      <c r="D599" s="199"/>
      <c r="E599" s="199"/>
      <c r="F599" s="199"/>
      <c r="G599" s="200"/>
      <c r="H599" s="199"/>
      <c r="I599" s="199"/>
      <c r="J599" s="199"/>
      <c r="K599" s="199"/>
      <c r="L599" s="203"/>
      <c r="M599" s="203"/>
      <c r="N599" s="203"/>
      <c r="O599" s="199"/>
      <c r="P599" s="199"/>
      <c r="Q599" s="199"/>
    </row>
    <row r="600">
      <c r="A600" s="28"/>
      <c r="B600" s="199"/>
      <c r="C600" s="199"/>
      <c r="D600" s="199"/>
      <c r="E600" s="199"/>
      <c r="F600" s="199"/>
      <c r="G600" s="200"/>
      <c r="H600" s="199"/>
      <c r="I600" s="199"/>
      <c r="J600" s="199"/>
      <c r="K600" s="199"/>
      <c r="L600" s="203"/>
      <c r="M600" s="203"/>
      <c r="N600" s="203"/>
      <c r="O600" s="199"/>
      <c r="P600" s="199"/>
      <c r="Q600" s="199"/>
    </row>
    <row r="601">
      <c r="A601" s="28"/>
      <c r="B601" s="199"/>
      <c r="C601" s="199"/>
      <c r="D601" s="199"/>
      <c r="E601" s="199"/>
      <c r="F601" s="199"/>
      <c r="G601" s="200"/>
      <c r="H601" s="199"/>
      <c r="I601" s="199"/>
      <c r="J601" s="199"/>
      <c r="K601" s="199"/>
      <c r="L601" s="203"/>
      <c r="M601" s="203"/>
      <c r="N601" s="203"/>
      <c r="O601" s="199"/>
      <c r="P601" s="199"/>
      <c r="Q601" s="199"/>
    </row>
    <row r="602">
      <c r="A602" s="28"/>
      <c r="B602" s="199"/>
      <c r="C602" s="199"/>
      <c r="D602" s="199"/>
      <c r="E602" s="199"/>
      <c r="F602" s="199"/>
      <c r="G602" s="200"/>
      <c r="H602" s="199"/>
      <c r="I602" s="199"/>
      <c r="J602" s="199"/>
      <c r="K602" s="199"/>
      <c r="L602" s="203"/>
      <c r="M602" s="203"/>
      <c r="N602" s="203"/>
      <c r="O602" s="199"/>
      <c r="P602" s="199"/>
      <c r="Q602" s="199"/>
    </row>
    <row r="603">
      <c r="A603" s="28"/>
      <c r="B603" s="199"/>
      <c r="C603" s="199"/>
      <c r="D603" s="199"/>
      <c r="E603" s="199"/>
      <c r="F603" s="199"/>
      <c r="G603" s="200"/>
      <c r="H603" s="199"/>
      <c r="I603" s="199"/>
      <c r="J603" s="199"/>
      <c r="K603" s="199"/>
      <c r="L603" s="203"/>
      <c r="M603" s="203"/>
      <c r="N603" s="203"/>
      <c r="O603" s="199"/>
      <c r="P603" s="199"/>
      <c r="Q603" s="199"/>
    </row>
    <row r="604">
      <c r="A604" s="28"/>
      <c r="B604" s="199"/>
      <c r="C604" s="199"/>
      <c r="D604" s="199"/>
      <c r="E604" s="199"/>
      <c r="F604" s="199"/>
      <c r="G604" s="200"/>
      <c r="H604" s="199"/>
      <c r="I604" s="199"/>
      <c r="J604" s="199"/>
      <c r="K604" s="199"/>
      <c r="L604" s="203"/>
      <c r="M604" s="203"/>
      <c r="N604" s="203"/>
      <c r="O604" s="199"/>
      <c r="P604" s="199"/>
      <c r="Q604" s="199"/>
    </row>
    <row r="605">
      <c r="A605" s="28"/>
      <c r="B605" s="199"/>
      <c r="C605" s="199"/>
      <c r="D605" s="199"/>
      <c r="E605" s="199"/>
      <c r="F605" s="199"/>
      <c r="G605" s="200"/>
      <c r="H605" s="199"/>
      <c r="I605" s="199"/>
      <c r="J605" s="199"/>
      <c r="K605" s="199"/>
      <c r="L605" s="203"/>
      <c r="M605" s="203"/>
      <c r="N605" s="203"/>
      <c r="O605" s="199"/>
      <c r="P605" s="199"/>
      <c r="Q605" s="199"/>
    </row>
    <row r="606">
      <c r="A606" s="28"/>
      <c r="B606" s="199"/>
      <c r="C606" s="199"/>
      <c r="D606" s="199"/>
      <c r="E606" s="199"/>
      <c r="F606" s="199"/>
      <c r="G606" s="200"/>
      <c r="H606" s="199"/>
      <c r="I606" s="199"/>
      <c r="J606" s="199"/>
      <c r="K606" s="199"/>
      <c r="L606" s="203"/>
      <c r="M606" s="203"/>
      <c r="N606" s="203"/>
      <c r="O606" s="199"/>
      <c r="P606" s="199"/>
      <c r="Q606" s="199"/>
    </row>
    <row r="607">
      <c r="A607" s="28"/>
      <c r="B607" s="199"/>
      <c r="C607" s="199"/>
      <c r="D607" s="199"/>
      <c r="E607" s="199"/>
      <c r="F607" s="199"/>
      <c r="G607" s="200"/>
      <c r="H607" s="199"/>
      <c r="I607" s="199"/>
      <c r="J607" s="199"/>
      <c r="K607" s="199"/>
      <c r="L607" s="203"/>
      <c r="M607" s="203"/>
      <c r="N607" s="203"/>
      <c r="O607" s="199"/>
      <c r="P607" s="199"/>
      <c r="Q607" s="199"/>
    </row>
    <row r="608">
      <c r="A608" s="28"/>
      <c r="B608" s="199"/>
      <c r="C608" s="199"/>
      <c r="D608" s="199"/>
      <c r="E608" s="199"/>
      <c r="F608" s="199"/>
      <c r="G608" s="200"/>
      <c r="H608" s="199"/>
      <c r="I608" s="199"/>
      <c r="J608" s="199"/>
      <c r="K608" s="199"/>
      <c r="L608" s="203"/>
      <c r="M608" s="203"/>
      <c r="N608" s="203"/>
      <c r="O608" s="199"/>
      <c r="P608" s="199"/>
      <c r="Q608" s="199"/>
    </row>
    <row r="609">
      <c r="A609" s="28"/>
      <c r="B609" s="199"/>
      <c r="C609" s="199"/>
      <c r="D609" s="199"/>
      <c r="E609" s="199"/>
      <c r="F609" s="199"/>
      <c r="G609" s="200"/>
      <c r="H609" s="199"/>
      <c r="I609" s="199"/>
      <c r="J609" s="199"/>
      <c r="K609" s="199"/>
      <c r="L609" s="203"/>
      <c r="M609" s="203"/>
      <c r="N609" s="203"/>
      <c r="O609" s="199"/>
      <c r="P609" s="199"/>
      <c r="Q609" s="199"/>
    </row>
    <row r="610">
      <c r="A610" s="28"/>
      <c r="B610" s="199"/>
      <c r="C610" s="199"/>
      <c r="D610" s="199"/>
      <c r="E610" s="199"/>
      <c r="F610" s="199"/>
      <c r="G610" s="200"/>
      <c r="H610" s="199"/>
      <c r="I610" s="199"/>
      <c r="J610" s="199"/>
      <c r="K610" s="199"/>
      <c r="L610" s="203"/>
      <c r="M610" s="203"/>
      <c r="N610" s="203"/>
      <c r="O610" s="199"/>
      <c r="P610" s="199"/>
      <c r="Q610" s="199"/>
    </row>
    <row r="611">
      <c r="A611" s="28"/>
      <c r="B611" s="199"/>
      <c r="C611" s="199"/>
      <c r="D611" s="199"/>
      <c r="E611" s="199"/>
      <c r="F611" s="199"/>
      <c r="G611" s="200"/>
      <c r="H611" s="199"/>
      <c r="I611" s="199"/>
      <c r="J611" s="199"/>
      <c r="K611" s="199"/>
      <c r="L611" s="203"/>
      <c r="M611" s="203"/>
      <c r="N611" s="203"/>
      <c r="O611" s="199"/>
      <c r="P611" s="199"/>
      <c r="Q611" s="199"/>
    </row>
    <row r="612">
      <c r="A612" s="28"/>
      <c r="B612" s="199"/>
      <c r="C612" s="199"/>
      <c r="D612" s="199"/>
      <c r="E612" s="199"/>
      <c r="F612" s="199"/>
      <c r="G612" s="200"/>
      <c r="H612" s="199"/>
      <c r="I612" s="199"/>
      <c r="J612" s="199"/>
      <c r="K612" s="199"/>
      <c r="L612" s="203"/>
      <c r="M612" s="203"/>
      <c r="N612" s="203"/>
      <c r="O612" s="199"/>
      <c r="P612" s="199"/>
      <c r="Q612" s="199"/>
    </row>
    <row r="613">
      <c r="A613" s="28"/>
      <c r="B613" s="199"/>
      <c r="C613" s="199"/>
      <c r="D613" s="199"/>
      <c r="E613" s="199"/>
      <c r="F613" s="199"/>
      <c r="G613" s="200"/>
      <c r="H613" s="199"/>
      <c r="I613" s="199"/>
      <c r="J613" s="199"/>
      <c r="K613" s="199"/>
      <c r="L613" s="203"/>
      <c r="M613" s="203"/>
      <c r="N613" s="203"/>
      <c r="O613" s="199"/>
      <c r="P613" s="199"/>
      <c r="Q613" s="199"/>
    </row>
    <row r="614">
      <c r="A614" s="28"/>
      <c r="B614" s="199"/>
      <c r="C614" s="199"/>
      <c r="D614" s="199"/>
      <c r="E614" s="199"/>
      <c r="F614" s="199"/>
      <c r="G614" s="200"/>
      <c r="H614" s="199"/>
      <c r="I614" s="199"/>
      <c r="J614" s="199"/>
      <c r="K614" s="199"/>
      <c r="L614" s="203"/>
      <c r="M614" s="203"/>
      <c r="N614" s="203"/>
      <c r="O614" s="199"/>
      <c r="P614" s="199"/>
      <c r="Q614" s="199"/>
    </row>
    <row r="615">
      <c r="A615" s="28"/>
      <c r="B615" s="199"/>
      <c r="C615" s="199"/>
      <c r="D615" s="199"/>
      <c r="E615" s="199"/>
      <c r="F615" s="199"/>
      <c r="G615" s="200"/>
      <c r="H615" s="199"/>
      <c r="I615" s="199"/>
      <c r="J615" s="199"/>
      <c r="K615" s="199"/>
      <c r="L615" s="203"/>
      <c r="M615" s="203"/>
      <c r="N615" s="203"/>
      <c r="O615" s="199"/>
      <c r="P615" s="199"/>
      <c r="Q615" s="199"/>
    </row>
    <row r="616">
      <c r="A616" s="28"/>
      <c r="B616" s="199"/>
      <c r="C616" s="199"/>
      <c r="D616" s="199"/>
      <c r="E616" s="199"/>
      <c r="F616" s="199"/>
      <c r="G616" s="200"/>
      <c r="H616" s="199"/>
      <c r="I616" s="199"/>
      <c r="J616" s="199"/>
      <c r="K616" s="199"/>
      <c r="L616" s="203"/>
      <c r="M616" s="203"/>
      <c r="N616" s="203"/>
      <c r="O616" s="199"/>
      <c r="P616" s="199"/>
      <c r="Q616" s="199"/>
    </row>
    <row r="617">
      <c r="A617" s="28"/>
      <c r="B617" s="199"/>
      <c r="C617" s="199"/>
      <c r="D617" s="199"/>
      <c r="E617" s="199"/>
      <c r="F617" s="199"/>
      <c r="G617" s="200"/>
      <c r="H617" s="199"/>
      <c r="I617" s="199"/>
      <c r="J617" s="199"/>
      <c r="K617" s="199"/>
      <c r="L617" s="203"/>
      <c r="M617" s="203"/>
      <c r="N617" s="203"/>
      <c r="O617" s="199"/>
      <c r="P617" s="199"/>
      <c r="Q617" s="199"/>
    </row>
    <row r="618">
      <c r="A618" s="28"/>
      <c r="B618" s="199"/>
      <c r="C618" s="199"/>
      <c r="D618" s="199"/>
      <c r="E618" s="199"/>
      <c r="F618" s="199"/>
      <c r="G618" s="200"/>
      <c r="H618" s="199"/>
      <c r="I618" s="199"/>
      <c r="J618" s="199"/>
      <c r="K618" s="199"/>
      <c r="L618" s="203"/>
      <c r="M618" s="203"/>
      <c r="N618" s="203"/>
      <c r="O618" s="199"/>
      <c r="P618" s="199"/>
      <c r="Q618" s="199"/>
    </row>
    <row r="619">
      <c r="A619" s="28"/>
      <c r="B619" s="199"/>
      <c r="C619" s="199"/>
      <c r="D619" s="199"/>
      <c r="E619" s="199"/>
      <c r="F619" s="199"/>
      <c r="G619" s="200"/>
      <c r="H619" s="199"/>
      <c r="I619" s="199"/>
      <c r="J619" s="199"/>
      <c r="K619" s="199"/>
      <c r="L619" s="203"/>
      <c r="M619" s="203"/>
      <c r="N619" s="203"/>
      <c r="O619" s="199"/>
      <c r="P619" s="199"/>
      <c r="Q619" s="199"/>
    </row>
    <row r="620">
      <c r="A620" s="28"/>
      <c r="B620" s="199"/>
      <c r="C620" s="199"/>
      <c r="D620" s="199"/>
      <c r="E620" s="199"/>
      <c r="F620" s="199"/>
      <c r="G620" s="200"/>
      <c r="H620" s="199"/>
      <c r="I620" s="199"/>
      <c r="J620" s="199"/>
      <c r="K620" s="199"/>
      <c r="L620" s="203"/>
      <c r="M620" s="203"/>
      <c r="N620" s="203"/>
      <c r="O620" s="199"/>
      <c r="P620" s="199"/>
      <c r="Q620" s="199"/>
    </row>
    <row r="621">
      <c r="A621" s="28"/>
      <c r="B621" s="199"/>
      <c r="C621" s="199"/>
      <c r="D621" s="199"/>
      <c r="E621" s="199"/>
      <c r="F621" s="199"/>
      <c r="G621" s="200"/>
      <c r="H621" s="199"/>
      <c r="I621" s="199"/>
      <c r="J621" s="199"/>
      <c r="K621" s="199"/>
      <c r="L621" s="203"/>
      <c r="M621" s="203"/>
      <c r="N621" s="203"/>
      <c r="O621" s="199"/>
      <c r="P621" s="199"/>
      <c r="Q621" s="199"/>
    </row>
    <row r="622">
      <c r="A622" s="28"/>
      <c r="B622" s="199"/>
      <c r="C622" s="199"/>
      <c r="D622" s="199"/>
      <c r="E622" s="199"/>
      <c r="F622" s="199"/>
      <c r="G622" s="200"/>
      <c r="H622" s="199"/>
      <c r="I622" s="199"/>
      <c r="J622" s="199"/>
      <c r="K622" s="199"/>
      <c r="L622" s="203"/>
      <c r="M622" s="203"/>
      <c r="N622" s="203"/>
      <c r="O622" s="199"/>
      <c r="P622" s="199"/>
      <c r="Q622" s="199"/>
    </row>
    <row r="623">
      <c r="A623" s="28"/>
      <c r="B623" s="199"/>
      <c r="C623" s="199"/>
      <c r="D623" s="199"/>
      <c r="E623" s="199"/>
      <c r="F623" s="199"/>
      <c r="G623" s="200"/>
      <c r="H623" s="199"/>
      <c r="I623" s="199"/>
      <c r="J623" s="199"/>
      <c r="K623" s="199"/>
      <c r="L623" s="203"/>
      <c r="M623" s="203"/>
      <c r="N623" s="203"/>
      <c r="O623" s="199"/>
      <c r="P623" s="199"/>
      <c r="Q623" s="199"/>
    </row>
    <row r="624">
      <c r="A624" s="28"/>
      <c r="B624" s="199"/>
      <c r="C624" s="199"/>
      <c r="D624" s="199"/>
      <c r="E624" s="199"/>
      <c r="F624" s="199"/>
      <c r="G624" s="200"/>
      <c r="H624" s="199"/>
      <c r="I624" s="199"/>
      <c r="J624" s="199"/>
      <c r="K624" s="199"/>
      <c r="L624" s="203"/>
      <c r="M624" s="203"/>
      <c r="N624" s="203"/>
      <c r="O624" s="199"/>
      <c r="P624" s="199"/>
      <c r="Q624" s="199"/>
    </row>
    <row r="625">
      <c r="A625" s="28"/>
      <c r="B625" s="199"/>
      <c r="C625" s="199"/>
      <c r="D625" s="199"/>
      <c r="E625" s="199"/>
      <c r="F625" s="199"/>
      <c r="G625" s="200"/>
      <c r="H625" s="199"/>
      <c r="I625" s="199"/>
      <c r="J625" s="199"/>
      <c r="K625" s="199"/>
      <c r="L625" s="203"/>
      <c r="M625" s="203"/>
      <c r="N625" s="203"/>
      <c r="O625" s="199"/>
      <c r="P625" s="199"/>
      <c r="Q625" s="199"/>
    </row>
    <row r="626">
      <c r="A626" s="28"/>
      <c r="B626" s="199"/>
      <c r="C626" s="199"/>
      <c r="D626" s="199"/>
      <c r="E626" s="199"/>
      <c r="F626" s="199"/>
      <c r="G626" s="200"/>
      <c r="H626" s="199"/>
      <c r="I626" s="199"/>
      <c r="J626" s="199"/>
      <c r="K626" s="199"/>
      <c r="L626" s="203"/>
      <c r="M626" s="203"/>
      <c r="N626" s="203"/>
      <c r="O626" s="199"/>
      <c r="P626" s="199"/>
      <c r="Q626" s="199"/>
    </row>
    <row r="627">
      <c r="A627" s="28"/>
      <c r="B627" s="199"/>
      <c r="C627" s="199"/>
      <c r="D627" s="199"/>
      <c r="E627" s="199"/>
      <c r="F627" s="199"/>
      <c r="G627" s="200"/>
      <c r="H627" s="199"/>
      <c r="I627" s="199"/>
      <c r="J627" s="199"/>
      <c r="K627" s="199"/>
      <c r="L627" s="203"/>
      <c r="M627" s="203"/>
      <c r="N627" s="203"/>
      <c r="O627" s="199"/>
      <c r="P627" s="199"/>
      <c r="Q627" s="199"/>
    </row>
    <row r="628">
      <c r="A628" s="28"/>
      <c r="B628" s="199"/>
      <c r="C628" s="199"/>
      <c r="D628" s="199"/>
      <c r="E628" s="199"/>
      <c r="F628" s="199"/>
      <c r="G628" s="200"/>
      <c r="H628" s="199"/>
      <c r="I628" s="199"/>
      <c r="J628" s="199"/>
      <c r="K628" s="199"/>
      <c r="L628" s="203"/>
      <c r="M628" s="203"/>
      <c r="N628" s="203"/>
      <c r="O628" s="199"/>
      <c r="P628" s="199"/>
      <c r="Q628" s="199"/>
    </row>
    <row r="629">
      <c r="A629" s="28"/>
      <c r="B629" s="199"/>
      <c r="C629" s="199"/>
      <c r="D629" s="199"/>
      <c r="E629" s="199"/>
      <c r="F629" s="199"/>
      <c r="G629" s="200"/>
      <c r="H629" s="199"/>
      <c r="I629" s="199"/>
      <c r="J629" s="199"/>
      <c r="K629" s="199"/>
      <c r="L629" s="203"/>
      <c r="M629" s="203"/>
      <c r="N629" s="203"/>
      <c r="O629" s="199"/>
      <c r="P629" s="199"/>
      <c r="Q629" s="199"/>
    </row>
    <row r="630">
      <c r="A630" s="28"/>
      <c r="B630" s="199"/>
      <c r="C630" s="199"/>
      <c r="D630" s="199"/>
      <c r="E630" s="199"/>
      <c r="F630" s="199"/>
      <c r="G630" s="200"/>
      <c r="H630" s="199"/>
      <c r="I630" s="199"/>
      <c r="J630" s="199"/>
      <c r="K630" s="199"/>
      <c r="L630" s="203"/>
      <c r="M630" s="203"/>
      <c r="N630" s="203"/>
      <c r="O630" s="199"/>
      <c r="P630" s="199"/>
      <c r="Q630" s="199"/>
    </row>
    <row r="631">
      <c r="A631" s="28"/>
      <c r="B631" s="199"/>
      <c r="C631" s="199"/>
      <c r="D631" s="199"/>
      <c r="E631" s="199"/>
      <c r="F631" s="199"/>
      <c r="G631" s="200"/>
      <c r="H631" s="199"/>
      <c r="I631" s="199"/>
      <c r="J631" s="199"/>
      <c r="K631" s="199"/>
      <c r="L631" s="203"/>
      <c r="M631" s="203"/>
      <c r="N631" s="203"/>
      <c r="O631" s="199"/>
      <c r="P631" s="199"/>
      <c r="Q631" s="199"/>
    </row>
    <row r="632">
      <c r="A632" s="28"/>
      <c r="B632" s="199"/>
      <c r="C632" s="199"/>
      <c r="D632" s="199"/>
      <c r="E632" s="199"/>
      <c r="F632" s="199"/>
      <c r="G632" s="200"/>
      <c r="H632" s="199"/>
      <c r="I632" s="199"/>
      <c r="J632" s="199"/>
      <c r="K632" s="199"/>
      <c r="L632" s="203"/>
      <c r="M632" s="203"/>
      <c r="N632" s="203"/>
      <c r="O632" s="199"/>
      <c r="P632" s="199"/>
      <c r="Q632" s="199"/>
    </row>
    <row r="633">
      <c r="A633" s="28"/>
      <c r="B633" s="199"/>
      <c r="C633" s="199"/>
      <c r="D633" s="199"/>
      <c r="E633" s="199"/>
      <c r="F633" s="199"/>
      <c r="G633" s="200"/>
      <c r="H633" s="199"/>
      <c r="I633" s="199"/>
      <c r="J633" s="199"/>
      <c r="K633" s="199"/>
      <c r="L633" s="203"/>
      <c r="M633" s="203"/>
      <c r="N633" s="203"/>
      <c r="O633" s="199"/>
      <c r="P633" s="199"/>
      <c r="Q633" s="199"/>
    </row>
    <row r="634">
      <c r="A634" s="28"/>
      <c r="B634" s="199"/>
      <c r="C634" s="199"/>
      <c r="D634" s="199"/>
      <c r="E634" s="199"/>
      <c r="F634" s="199"/>
      <c r="G634" s="200"/>
      <c r="H634" s="199"/>
      <c r="I634" s="199"/>
      <c r="J634" s="199"/>
      <c r="K634" s="199"/>
      <c r="L634" s="203"/>
      <c r="M634" s="203"/>
      <c r="N634" s="203"/>
      <c r="O634" s="199"/>
      <c r="P634" s="199"/>
      <c r="Q634" s="199"/>
    </row>
    <row r="635">
      <c r="A635" s="28"/>
      <c r="B635" s="199"/>
      <c r="C635" s="199"/>
      <c r="D635" s="199"/>
      <c r="E635" s="199"/>
      <c r="F635" s="199"/>
      <c r="G635" s="200"/>
      <c r="H635" s="199"/>
      <c r="I635" s="199"/>
      <c r="J635" s="199"/>
      <c r="K635" s="199"/>
      <c r="L635" s="203"/>
      <c r="M635" s="203"/>
      <c r="N635" s="203"/>
      <c r="O635" s="199"/>
      <c r="P635" s="199"/>
      <c r="Q635" s="199"/>
    </row>
    <row r="636">
      <c r="A636" s="28"/>
      <c r="B636" s="199"/>
      <c r="C636" s="199"/>
      <c r="D636" s="199"/>
      <c r="E636" s="199"/>
      <c r="F636" s="199"/>
      <c r="G636" s="200"/>
      <c r="H636" s="199"/>
      <c r="I636" s="199"/>
      <c r="J636" s="199"/>
      <c r="K636" s="199"/>
      <c r="L636" s="203"/>
      <c r="M636" s="203"/>
      <c r="N636" s="203"/>
      <c r="O636" s="199"/>
      <c r="P636" s="199"/>
      <c r="Q636" s="199"/>
    </row>
    <row r="637">
      <c r="A637" s="28"/>
      <c r="B637" s="199"/>
      <c r="C637" s="199"/>
      <c r="D637" s="199"/>
      <c r="E637" s="199"/>
      <c r="F637" s="199"/>
      <c r="G637" s="200"/>
      <c r="H637" s="199"/>
      <c r="I637" s="199"/>
      <c r="J637" s="199"/>
      <c r="K637" s="199"/>
      <c r="L637" s="203"/>
      <c r="M637" s="203"/>
      <c r="N637" s="203"/>
      <c r="O637" s="199"/>
      <c r="P637" s="199"/>
      <c r="Q637" s="199"/>
    </row>
    <row r="638">
      <c r="A638" s="28"/>
      <c r="B638" s="199"/>
      <c r="C638" s="199"/>
      <c r="D638" s="199"/>
      <c r="E638" s="199"/>
      <c r="F638" s="199"/>
      <c r="G638" s="200"/>
      <c r="H638" s="199"/>
      <c r="I638" s="199"/>
      <c r="J638" s="199"/>
      <c r="K638" s="199"/>
      <c r="L638" s="203"/>
      <c r="M638" s="203"/>
      <c r="N638" s="203"/>
      <c r="O638" s="199"/>
      <c r="P638" s="199"/>
      <c r="Q638" s="199"/>
    </row>
    <row r="639">
      <c r="A639" s="28"/>
      <c r="B639" s="199"/>
      <c r="C639" s="199"/>
      <c r="D639" s="199"/>
      <c r="E639" s="199"/>
      <c r="F639" s="199"/>
      <c r="G639" s="200"/>
      <c r="H639" s="199"/>
      <c r="I639" s="199"/>
      <c r="J639" s="199"/>
      <c r="K639" s="199"/>
      <c r="L639" s="203"/>
      <c r="M639" s="203"/>
      <c r="N639" s="203"/>
      <c r="O639" s="199"/>
      <c r="P639" s="199"/>
      <c r="Q639" s="199"/>
    </row>
    <row r="640">
      <c r="A640" s="28"/>
      <c r="B640" s="199"/>
      <c r="C640" s="199"/>
      <c r="D640" s="199"/>
      <c r="E640" s="199"/>
      <c r="F640" s="199"/>
      <c r="G640" s="200"/>
      <c r="H640" s="199"/>
      <c r="I640" s="199"/>
      <c r="J640" s="199"/>
      <c r="K640" s="199"/>
      <c r="L640" s="203"/>
      <c r="M640" s="203"/>
      <c r="N640" s="203"/>
      <c r="O640" s="199"/>
      <c r="P640" s="199"/>
      <c r="Q640" s="199"/>
    </row>
    <row r="641">
      <c r="A641" s="28"/>
      <c r="B641" s="199"/>
      <c r="C641" s="199"/>
      <c r="D641" s="199"/>
      <c r="E641" s="199"/>
      <c r="F641" s="199"/>
      <c r="G641" s="200"/>
      <c r="H641" s="199"/>
      <c r="I641" s="199"/>
      <c r="J641" s="199"/>
      <c r="K641" s="199"/>
      <c r="L641" s="203"/>
      <c r="M641" s="203"/>
      <c r="N641" s="203"/>
      <c r="O641" s="199"/>
      <c r="P641" s="199"/>
      <c r="Q641" s="199"/>
    </row>
    <row r="642">
      <c r="A642" s="28"/>
      <c r="B642" s="199"/>
      <c r="C642" s="199"/>
      <c r="D642" s="199"/>
      <c r="E642" s="199"/>
      <c r="F642" s="199"/>
      <c r="G642" s="200"/>
      <c r="H642" s="199"/>
      <c r="I642" s="199"/>
      <c r="J642" s="199"/>
      <c r="K642" s="199"/>
      <c r="L642" s="203"/>
      <c r="M642" s="203"/>
      <c r="N642" s="203"/>
      <c r="O642" s="199"/>
      <c r="P642" s="199"/>
      <c r="Q642" s="199"/>
    </row>
    <row r="643">
      <c r="A643" s="28"/>
      <c r="B643" s="199"/>
      <c r="C643" s="199"/>
      <c r="D643" s="199"/>
      <c r="E643" s="199"/>
      <c r="F643" s="199"/>
      <c r="G643" s="200"/>
      <c r="H643" s="199"/>
      <c r="I643" s="199"/>
      <c r="J643" s="199"/>
      <c r="K643" s="199"/>
      <c r="L643" s="203"/>
      <c r="M643" s="203"/>
      <c r="N643" s="203"/>
      <c r="O643" s="199"/>
      <c r="P643" s="199"/>
      <c r="Q643" s="199"/>
    </row>
    <row r="644">
      <c r="A644" s="28"/>
      <c r="B644" s="199"/>
      <c r="C644" s="199"/>
      <c r="D644" s="199"/>
      <c r="E644" s="199"/>
      <c r="F644" s="199"/>
      <c r="G644" s="200"/>
      <c r="H644" s="199"/>
      <c r="I644" s="199"/>
      <c r="J644" s="199"/>
      <c r="K644" s="199"/>
      <c r="L644" s="203"/>
      <c r="M644" s="203"/>
      <c r="N644" s="203"/>
      <c r="O644" s="199"/>
      <c r="P644" s="199"/>
      <c r="Q644" s="199"/>
    </row>
    <row r="645">
      <c r="A645" s="28"/>
      <c r="B645" s="199"/>
      <c r="C645" s="199"/>
      <c r="D645" s="199"/>
      <c r="E645" s="199"/>
      <c r="F645" s="199"/>
      <c r="G645" s="200"/>
      <c r="H645" s="199"/>
      <c r="I645" s="199"/>
      <c r="J645" s="199"/>
      <c r="K645" s="199"/>
      <c r="L645" s="203"/>
      <c r="M645" s="203"/>
      <c r="N645" s="203"/>
      <c r="O645" s="199"/>
      <c r="P645" s="199"/>
      <c r="Q645" s="199"/>
    </row>
    <row r="646">
      <c r="A646" s="28"/>
      <c r="B646" s="199"/>
      <c r="C646" s="199"/>
      <c r="D646" s="199"/>
      <c r="E646" s="199"/>
      <c r="F646" s="199"/>
      <c r="G646" s="200"/>
      <c r="H646" s="199"/>
      <c r="I646" s="199"/>
      <c r="J646" s="199"/>
      <c r="K646" s="199"/>
      <c r="L646" s="203"/>
      <c r="M646" s="203"/>
      <c r="N646" s="203"/>
      <c r="O646" s="199"/>
      <c r="P646" s="199"/>
      <c r="Q646" s="199"/>
    </row>
    <row r="647">
      <c r="A647" s="28"/>
      <c r="B647" s="199"/>
      <c r="C647" s="199"/>
      <c r="D647" s="199"/>
      <c r="E647" s="199"/>
      <c r="F647" s="199"/>
      <c r="G647" s="200"/>
      <c r="H647" s="199"/>
      <c r="I647" s="199"/>
      <c r="J647" s="199"/>
      <c r="K647" s="199"/>
      <c r="L647" s="203"/>
      <c r="M647" s="203"/>
      <c r="N647" s="203"/>
      <c r="O647" s="199"/>
      <c r="P647" s="199"/>
      <c r="Q647" s="199"/>
    </row>
    <row r="648">
      <c r="A648" s="28"/>
      <c r="B648" s="199"/>
      <c r="C648" s="199"/>
      <c r="D648" s="199"/>
      <c r="E648" s="199"/>
      <c r="F648" s="199"/>
      <c r="G648" s="200"/>
      <c r="H648" s="199"/>
      <c r="I648" s="199"/>
      <c r="J648" s="199"/>
      <c r="K648" s="199"/>
      <c r="L648" s="203"/>
      <c r="M648" s="203"/>
      <c r="N648" s="203"/>
      <c r="O648" s="199"/>
      <c r="P648" s="199"/>
      <c r="Q648" s="199"/>
    </row>
    <row r="649">
      <c r="A649" s="28"/>
      <c r="B649" s="199"/>
      <c r="C649" s="199"/>
      <c r="D649" s="199"/>
      <c r="E649" s="199"/>
      <c r="F649" s="199"/>
      <c r="G649" s="200"/>
      <c r="H649" s="199"/>
      <c r="I649" s="199"/>
      <c r="J649" s="199"/>
      <c r="K649" s="199"/>
      <c r="L649" s="203"/>
      <c r="M649" s="203"/>
      <c r="N649" s="203"/>
      <c r="O649" s="199"/>
      <c r="P649" s="199"/>
      <c r="Q649" s="199"/>
    </row>
    <row r="650">
      <c r="A650" s="28"/>
      <c r="B650" s="199"/>
      <c r="C650" s="199"/>
      <c r="D650" s="199"/>
      <c r="E650" s="199"/>
      <c r="F650" s="199"/>
      <c r="G650" s="200"/>
      <c r="H650" s="199"/>
      <c r="I650" s="199"/>
      <c r="J650" s="199"/>
      <c r="K650" s="199"/>
      <c r="L650" s="203"/>
      <c r="M650" s="203"/>
      <c r="N650" s="203"/>
      <c r="O650" s="199"/>
      <c r="P650" s="199"/>
      <c r="Q650" s="199"/>
    </row>
    <row r="651">
      <c r="A651" s="28"/>
      <c r="B651" s="199"/>
      <c r="C651" s="199"/>
      <c r="D651" s="199"/>
      <c r="E651" s="199"/>
      <c r="F651" s="199"/>
      <c r="G651" s="200"/>
      <c r="H651" s="199"/>
      <c r="I651" s="199"/>
      <c r="J651" s="199"/>
      <c r="K651" s="199"/>
      <c r="L651" s="203"/>
      <c r="M651" s="203"/>
      <c r="N651" s="203"/>
      <c r="O651" s="199"/>
      <c r="P651" s="199"/>
      <c r="Q651" s="199"/>
    </row>
    <row r="652">
      <c r="A652" s="28"/>
      <c r="B652" s="199"/>
      <c r="C652" s="199"/>
      <c r="D652" s="199"/>
      <c r="E652" s="199"/>
      <c r="F652" s="199"/>
      <c r="G652" s="200"/>
      <c r="H652" s="199"/>
      <c r="I652" s="199"/>
      <c r="J652" s="199"/>
      <c r="K652" s="199"/>
      <c r="L652" s="203"/>
      <c r="M652" s="203"/>
      <c r="N652" s="203"/>
      <c r="O652" s="199"/>
      <c r="P652" s="199"/>
      <c r="Q652" s="199"/>
    </row>
    <row r="653">
      <c r="A653" s="28"/>
      <c r="B653" s="199"/>
      <c r="C653" s="199"/>
      <c r="D653" s="199"/>
      <c r="E653" s="199"/>
      <c r="F653" s="199"/>
      <c r="G653" s="200"/>
      <c r="H653" s="199"/>
      <c r="I653" s="199"/>
      <c r="J653" s="199"/>
      <c r="K653" s="199"/>
      <c r="L653" s="203"/>
      <c r="M653" s="203"/>
      <c r="N653" s="203"/>
      <c r="O653" s="199"/>
      <c r="P653" s="199"/>
      <c r="Q653" s="199"/>
    </row>
    <row r="654">
      <c r="A654" s="28"/>
      <c r="B654" s="199"/>
      <c r="C654" s="199"/>
      <c r="D654" s="199"/>
      <c r="E654" s="199"/>
      <c r="F654" s="199"/>
      <c r="G654" s="200"/>
      <c r="H654" s="199"/>
      <c r="I654" s="199"/>
      <c r="J654" s="199"/>
      <c r="K654" s="199"/>
      <c r="L654" s="203"/>
      <c r="M654" s="203"/>
      <c r="N654" s="203"/>
      <c r="O654" s="199"/>
      <c r="P654" s="199"/>
      <c r="Q654" s="199"/>
    </row>
    <row r="655">
      <c r="A655" s="28"/>
      <c r="B655" s="199"/>
      <c r="C655" s="199"/>
      <c r="D655" s="199"/>
      <c r="E655" s="199"/>
      <c r="F655" s="199"/>
      <c r="G655" s="200"/>
      <c r="H655" s="199"/>
      <c r="I655" s="199"/>
      <c r="J655" s="199"/>
      <c r="K655" s="199"/>
      <c r="L655" s="203"/>
      <c r="M655" s="203"/>
      <c r="N655" s="203"/>
      <c r="O655" s="199"/>
      <c r="P655" s="199"/>
      <c r="Q655" s="199"/>
    </row>
    <row r="656">
      <c r="A656" s="28"/>
      <c r="B656" s="199"/>
      <c r="C656" s="199"/>
      <c r="D656" s="199"/>
      <c r="E656" s="199"/>
      <c r="F656" s="199"/>
      <c r="G656" s="200"/>
      <c r="H656" s="199"/>
      <c r="I656" s="199"/>
      <c r="J656" s="199"/>
      <c r="K656" s="199"/>
      <c r="L656" s="203"/>
      <c r="M656" s="203"/>
      <c r="N656" s="203"/>
      <c r="O656" s="199"/>
      <c r="P656" s="199"/>
      <c r="Q656" s="199"/>
    </row>
    <row r="657">
      <c r="A657" s="28"/>
      <c r="B657" s="199"/>
      <c r="C657" s="199"/>
      <c r="D657" s="199"/>
      <c r="E657" s="199"/>
      <c r="F657" s="199"/>
      <c r="G657" s="200"/>
      <c r="H657" s="199"/>
      <c r="I657" s="199"/>
      <c r="J657" s="199"/>
      <c r="K657" s="199"/>
      <c r="L657" s="203"/>
      <c r="M657" s="203"/>
      <c r="N657" s="203"/>
      <c r="O657" s="199"/>
      <c r="P657" s="199"/>
      <c r="Q657" s="199"/>
    </row>
    <row r="658">
      <c r="A658" s="28"/>
      <c r="B658" s="199"/>
      <c r="C658" s="199"/>
      <c r="D658" s="199"/>
      <c r="E658" s="199"/>
      <c r="F658" s="199"/>
      <c r="G658" s="200"/>
      <c r="H658" s="199"/>
      <c r="I658" s="199"/>
      <c r="J658" s="199"/>
      <c r="K658" s="199"/>
      <c r="L658" s="203"/>
      <c r="M658" s="203"/>
      <c r="N658" s="203"/>
      <c r="O658" s="199"/>
      <c r="P658" s="199"/>
      <c r="Q658" s="199"/>
    </row>
    <row r="659">
      <c r="A659" s="28"/>
      <c r="B659" s="199"/>
      <c r="C659" s="199"/>
      <c r="D659" s="199"/>
      <c r="E659" s="199"/>
      <c r="F659" s="199"/>
      <c r="G659" s="200"/>
      <c r="H659" s="199"/>
      <c r="I659" s="199"/>
      <c r="J659" s="199"/>
      <c r="K659" s="199"/>
      <c r="L659" s="203"/>
      <c r="M659" s="203"/>
      <c r="N659" s="203"/>
      <c r="O659" s="199"/>
      <c r="P659" s="199"/>
      <c r="Q659" s="199"/>
    </row>
    <row r="660">
      <c r="A660" s="28"/>
      <c r="B660" s="199"/>
      <c r="C660" s="199"/>
      <c r="D660" s="199"/>
      <c r="E660" s="199"/>
      <c r="F660" s="199"/>
      <c r="G660" s="200"/>
      <c r="H660" s="199"/>
      <c r="I660" s="199"/>
      <c r="J660" s="199"/>
      <c r="K660" s="199"/>
      <c r="L660" s="203"/>
      <c r="M660" s="203"/>
      <c r="N660" s="203"/>
      <c r="O660" s="199"/>
      <c r="P660" s="199"/>
      <c r="Q660" s="199"/>
    </row>
    <row r="661">
      <c r="A661" s="28"/>
      <c r="B661" s="199"/>
      <c r="C661" s="199"/>
      <c r="D661" s="199"/>
      <c r="E661" s="199"/>
      <c r="F661" s="199"/>
      <c r="G661" s="200"/>
      <c r="H661" s="199"/>
      <c r="I661" s="199"/>
      <c r="J661" s="199"/>
      <c r="K661" s="199"/>
      <c r="L661" s="203"/>
      <c r="M661" s="203"/>
      <c r="N661" s="203"/>
      <c r="O661" s="199"/>
      <c r="P661" s="199"/>
      <c r="Q661" s="199"/>
    </row>
    <row r="662">
      <c r="A662" s="28"/>
      <c r="B662" s="199"/>
      <c r="C662" s="199"/>
      <c r="D662" s="199"/>
      <c r="E662" s="199"/>
      <c r="F662" s="199"/>
      <c r="G662" s="200"/>
      <c r="H662" s="199"/>
      <c r="I662" s="199"/>
      <c r="J662" s="199"/>
      <c r="K662" s="199"/>
      <c r="L662" s="203"/>
      <c r="M662" s="203"/>
      <c r="N662" s="203"/>
      <c r="O662" s="199"/>
      <c r="P662" s="199"/>
      <c r="Q662" s="199"/>
    </row>
    <row r="663">
      <c r="A663" s="28"/>
      <c r="B663" s="199"/>
      <c r="C663" s="199"/>
      <c r="D663" s="199"/>
      <c r="E663" s="199"/>
      <c r="F663" s="199"/>
      <c r="G663" s="200"/>
      <c r="H663" s="199"/>
      <c r="I663" s="199"/>
      <c r="J663" s="199"/>
      <c r="K663" s="199"/>
      <c r="L663" s="203"/>
      <c r="M663" s="203"/>
      <c r="N663" s="203"/>
      <c r="O663" s="199"/>
      <c r="P663" s="199"/>
      <c r="Q663" s="199"/>
    </row>
    <row r="664">
      <c r="A664" s="28"/>
      <c r="B664" s="199"/>
      <c r="C664" s="199"/>
      <c r="D664" s="199"/>
      <c r="E664" s="199"/>
      <c r="F664" s="199"/>
      <c r="G664" s="200"/>
      <c r="H664" s="199"/>
      <c r="I664" s="199"/>
      <c r="J664" s="199"/>
      <c r="K664" s="199"/>
      <c r="L664" s="203"/>
      <c r="M664" s="203"/>
      <c r="N664" s="203"/>
      <c r="O664" s="199"/>
      <c r="P664" s="199"/>
      <c r="Q664" s="199"/>
    </row>
    <row r="665">
      <c r="A665" s="28"/>
      <c r="B665" s="199"/>
      <c r="C665" s="199"/>
      <c r="D665" s="199"/>
      <c r="E665" s="199"/>
      <c r="F665" s="199"/>
      <c r="G665" s="200"/>
      <c r="H665" s="199"/>
      <c r="I665" s="199"/>
      <c r="J665" s="199"/>
      <c r="K665" s="199"/>
      <c r="L665" s="203"/>
      <c r="M665" s="203"/>
      <c r="N665" s="203"/>
      <c r="O665" s="199"/>
      <c r="P665" s="199"/>
      <c r="Q665" s="199"/>
    </row>
    <row r="666">
      <c r="A666" s="28"/>
      <c r="B666" s="199"/>
      <c r="C666" s="199"/>
      <c r="D666" s="199"/>
      <c r="E666" s="199"/>
      <c r="F666" s="199"/>
      <c r="G666" s="200"/>
      <c r="H666" s="199"/>
      <c r="I666" s="199"/>
      <c r="J666" s="199"/>
      <c r="K666" s="199"/>
      <c r="L666" s="203"/>
      <c r="M666" s="203"/>
      <c r="N666" s="203"/>
      <c r="O666" s="199"/>
      <c r="P666" s="199"/>
      <c r="Q666" s="199"/>
    </row>
    <row r="667">
      <c r="A667" s="28"/>
      <c r="B667" s="199"/>
      <c r="C667" s="199"/>
      <c r="D667" s="199"/>
      <c r="E667" s="199"/>
      <c r="F667" s="199"/>
      <c r="G667" s="200"/>
      <c r="H667" s="199"/>
      <c r="I667" s="199"/>
      <c r="J667" s="199"/>
      <c r="K667" s="199"/>
      <c r="L667" s="203"/>
      <c r="M667" s="203"/>
      <c r="N667" s="203"/>
      <c r="O667" s="199"/>
      <c r="P667" s="199"/>
      <c r="Q667" s="199"/>
    </row>
    <row r="668">
      <c r="A668" s="28"/>
      <c r="B668" s="199"/>
      <c r="C668" s="199"/>
      <c r="D668" s="199"/>
      <c r="E668" s="199"/>
      <c r="F668" s="199"/>
      <c r="G668" s="200"/>
      <c r="H668" s="199"/>
      <c r="I668" s="199"/>
      <c r="J668" s="199"/>
      <c r="K668" s="199"/>
      <c r="L668" s="203"/>
      <c r="M668" s="203"/>
      <c r="N668" s="203"/>
      <c r="O668" s="199"/>
      <c r="P668" s="199"/>
      <c r="Q668" s="199"/>
    </row>
    <row r="669">
      <c r="A669" s="28"/>
      <c r="B669" s="199"/>
      <c r="C669" s="199"/>
      <c r="D669" s="199"/>
      <c r="E669" s="199"/>
      <c r="F669" s="199"/>
      <c r="G669" s="200"/>
      <c r="H669" s="199"/>
      <c r="I669" s="199"/>
      <c r="J669" s="199"/>
      <c r="K669" s="199"/>
      <c r="L669" s="203"/>
      <c r="M669" s="203"/>
      <c r="N669" s="203"/>
      <c r="O669" s="199"/>
      <c r="P669" s="199"/>
      <c r="Q669" s="199"/>
    </row>
    <row r="670">
      <c r="A670" s="28"/>
      <c r="B670" s="199"/>
      <c r="C670" s="199"/>
      <c r="D670" s="199"/>
      <c r="E670" s="199"/>
      <c r="F670" s="199"/>
      <c r="G670" s="200"/>
      <c r="H670" s="199"/>
      <c r="I670" s="199"/>
      <c r="J670" s="199"/>
      <c r="K670" s="199"/>
      <c r="L670" s="203"/>
      <c r="M670" s="203"/>
      <c r="N670" s="203"/>
      <c r="O670" s="199"/>
      <c r="P670" s="199"/>
      <c r="Q670" s="199"/>
    </row>
    <row r="671">
      <c r="A671" s="28"/>
      <c r="B671" s="199"/>
      <c r="C671" s="199"/>
      <c r="D671" s="199"/>
      <c r="E671" s="199"/>
      <c r="F671" s="199"/>
      <c r="G671" s="200"/>
      <c r="H671" s="199"/>
      <c r="I671" s="199"/>
      <c r="J671" s="199"/>
      <c r="K671" s="199"/>
      <c r="L671" s="203"/>
      <c r="M671" s="203"/>
      <c r="N671" s="203"/>
      <c r="O671" s="199"/>
      <c r="P671" s="199"/>
      <c r="Q671" s="199"/>
    </row>
    <row r="672">
      <c r="A672" s="28"/>
      <c r="B672" s="199"/>
      <c r="C672" s="199"/>
      <c r="D672" s="199"/>
      <c r="E672" s="199"/>
      <c r="F672" s="199"/>
      <c r="G672" s="200"/>
      <c r="H672" s="199"/>
      <c r="I672" s="199"/>
      <c r="J672" s="199"/>
      <c r="K672" s="199"/>
      <c r="L672" s="203"/>
      <c r="M672" s="203"/>
      <c r="N672" s="203"/>
      <c r="O672" s="199"/>
      <c r="P672" s="199"/>
      <c r="Q672" s="199"/>
    </row>
    <row r="673">
      <c r="A673" s="28"/>
      <c r="B673" s="199"/>
      <c r="C673" s="199"/>
      <c r="D673" s="199"/>
      <c r="E673" s="199"/>
      <c r="F673" s="199"/>
      <c r="G673" s="200"/>
      <c r="H673" s="199"/>
      <c r="I673" s="199"/>
      <c r="J673" s="199"/>
      <c r="K673" s="199"/>
      <c r="L673" s="203"/>
      <c r="M673" s="203"/>
      <c r="N673" s="203"/>
      <c r="O673" s="199"/>
      <c r="P673" s="199"/>
      <c r="Q673" s="199"/>
    </row>
    <row r="674">
      <c r="A674" s="28"/>
      <c r="B674" s="199"/>
      <c r="C674" s="199"/>
      <c r="D674" s="199"/>
      <c r="E674" s="199"/>
      <c r="F674" s="199"/>
      <c r="G674" s="200"/>
      <c r="H674" s="199"/>
      <c r="I674" s="199"/>
      <c r="J674" s="199"/>
      <c r="K674" s="199"/>
      <c r="L674" s="203"/>
      <c r="M674" s="203"/>
      <c r="N674" s="203"/>
      <c r="O674" s="199"/>
      <c r="P674" s="199"/>
      <c r="Q674" s="199"/>
    </row>
    <row r="675">
      <c r="A675" s="28"/>
      <c r="B675" s="199"/>
      <c r="C675" s="199"/>
      <c r="D675" s="199"/>
      <c r="E675" s="199"/>
      <c r="F675" s="199"/>
      <c r="G675" s="200"/>
      <c r="H675" s="199"/>
      <c r="I675" s="199"/>
      <c r="J675" s="199"/>
      <c r="K675" s="199"/>
      <c r="L675" s="203"/>
      <c r="M675" s="203"/>
      <c r="N675" s="203"/>
      <c r="O675" s="199"/>
      <c r="P675" s="199"/>
      <c r="Q675" s="199"/>
    </row>
    <row r="676">
      <c r="A676" s="28"/>
      <c r="B676" s="199"/>
      <c r="C676" s="199"/>
      <c r="D676" s="199"/>
      <c r="E676" s="199"/>
      <c r="F676" s="199"/>
      <c r="G676" s="200"/>
      <c r="H676" s="199"/>
      <c r="I676" s="199"/>
      <c r="J676" s="199"/>
      <c r="K676" s="199"/>
      <c r="L676" s="203"/>
      <c r="M676" s="203"/>
      <c r="N676" s="203"/>
      <c r="O676" s="199"/>
      <c r="P676" s="199"/>
      <c r="Q676" s="199"/>
    </row>
    <row r="677">
      <c r="A677" s="28"/>
      <c r="B677" s="199"/>
      <c r="C677" s="199"/>
      <c r="D677" s="199"/>
      <c r="E677" s="199"/>
      <c r="F677" s="199"/>
      <c r="G677" s="200"/>
      <c r="H677" s="199"/>
      <c r="I677" s="199"/>
      <c r="J677" s="199"/>
      <c r="K677" s="199"/>
      <c r="L677" s="203"/>
      <c r="M677" s="203"/>
      <c r="N677" s="203"/>
      <c r="O677" s="199"/>
      <c r="P677" s="199"/>
      <c r="Q677" s="199"/>
    </row>
    <row r="678">
      <c r="A678" s="28"/>
      <c r="B678" s="199"/>
      <c r="C678" s="199"/>
      <c r="D678" s="199"/>
      <c r="E678" s="199"/>
      <c r="F678" s="199"/>
      <c r="G678" s="200"/>
      <c r="H678" s="199"/>
      <c r="I678" s="199"/>
      <c r="J678" s="199"/>
      <c r="K678" s="199"/>
      <c r="L678" s="203"/>
      <c r="M678" s="203"/>
      <c r="N678" s="203"/>
      <c r="O678" s="199"/>
      <c r="P678" s="199"/>
      <c r="Q678" s="199"/>
    </row>
    <row r="679">
      <c r="A679" s="28"/>
      <c r="B679" s="199"/>
      <c r="C679" s="199"/>
      <c r="D679" s="199"/>
      <c r="E679" s="199"/>
      <c r="F679" s="199"/>
      <c r="G679" s="200"/>
      <c r="H679" s="199"/>
      <c r="I679" s="199"/>
      <c r="J679" s="199"/>
      <c r="K679" s="199"/>
      <c r="L679" s="203"/>
      <c r="M679" s="203"/>
      <c r="N679" s="203"/>
      <c r="O679" s="199"/>
      <c r="P679" s="199"/>
      <c r="Q679" s="199"/>
    </row>
    <row r="680">
      <c r="A680" s="28"/>
      <c r="B680" s="199"/>
      <c r="C680" s="199"/>
      <c r="D680" s="199"/>
      <c r="E680" s="199"/>
      <c r="F680" s="199"/>
      <c r="G680" s="200"/>
      <c r="H680" s="199"/>
      <c r="I680" s="199"/>
      <c r="J680" s="199"/>
      <c r="K680" s="199"/>
      <c r="L680" s="203"/>
      <c r="M680" s="203"/>
      <c r="N680" s="203"/>
      <c r="O680" s="199"/>
      <c r="P680" s="199"/>
      <c r="Q680" s="199"/>
    </row>
    <row r="681">
      <c r="A681" s="28"/>
      <c r="B681" s="199"/>
      <c r="C681" s="199"/>
      <c r="D681" s="199"/>
      <c r="E681" s="199"/>
      <c r="F681" s="199"/>
      <c r="G681" s="200"/>
      <c r="H681" s="199"/>
      <c r="I681" s="199"/>
      <c r="J681" s="199"/>
      <c r="K681" s="199"/>
      <c r="L681" s="203"/>
      <c r="M681" s="203"/>
      <c r="N681" s="203"/>
      <c r="O681" s="199"/>
      <c r="P681" s="199"/>
      <c r="Q681" s="199"/>
    </row>
    <row r="682">
      <c r="A682" s="28"/>
      <c r="B682" s="199"/>
      <c r="C682" s="199"/>
      <c r="D682" s="199"/>
      <c r="E682" s="199"/>
      <c r="F682" s="199"/>
      <c r="G682" s="200"/>
      <c r="H682" s="199"/>
      <c r="I682" s="199"/>
      <c r="J682" s="199"/>
      <c r="K682" s="199"/>
      <c r="L682" s="203"/>
      <c r="M682" s="203"/>
      <c r="N682" s="203"/>
      <c r="O682" s="199"/>
      <c r="P682" s="199"/>
      <c r="Q682" s="199"/>
    </row>
    <row r="683">
      <c r="A683" s="28"/>
      <c r="B683" s="199"/>
      <c r="C683" s="199"/>
      <c r="D683" s="199"/>
      <c r="E683" s="199"/>
      <c r="F683" s="199"/>
      <c r="G683" s="200"/>
      <c r="H683" s="199"/>
      <c r="I683" s="199"/>
      <c r="J683" s="199"/>
      <c r="K683" s="199"/>
      <c r="L683" s="203"/>
      <c r="M683" s="203"/>
      <c r="N683" s="203"/>
      <c r="O683" s="199"/>
      <c r="P683" s="199"/>
      <c r="Q683" s="199"/>
    </row>
    <row r="684">
      <c r="A684" s="28"/>
      <c r="B684" s="199"/>
      <c r="C684" s="199"/>
      <c r="D684" s="199"/>
      <c r="E684" s="199"/>
      <c r="F684" s="199"/>
      <c r="G684" s="200"/>
      <c r="H684" s="199"/>
      <c r="I684" s="199"/>
      <c r="J684" s="199"/>
      <c r="K684" s="199"/>
      <c r="L684" s="203"/>
      <c r="M684" s="203"/>
      <c r="N684" s="203"/>
      <c r="O684" s="199"/>
      <c r="P684" s="199"/>
      <c r="Q684" s="199"/>
    </row>
    <row r="685">
      <c r="A685" s="28"/>
      <c r="B685" s="199"/>
      <c r="C685" s="199"/>
      <c r="D685" s="199"/>
      <c r="E685" s="199"/>
      <c r="F685" s="199"/>
      <c r="G685" s="200"/>
      <c r="H685" s="199"/>
      <c r="I685" s="199"/>
      <c r="J685" s="199"/>
      <c r="K685" s="199"/>
      <c r="L685" s="203"/>
      <c r="M685" s="203"/>
      <c r="N685" s="203"/>
      <c r="O685" s="199"/>
      <c r="P685" s="199"/>
      <c r="Q685" s="199"/>
    </row>
    <row r="686">
      <c r="A686" s="28"/>
      <c r="B686" s="199"/>
      <c r="C686" s="199"/>
      <c r="D686" s="199"/>
      <c r="E686" s="199"/>
      <c r="F686" s="199"/>
      <c r="G686" s="200"/>
      <c r="H686" s="199"/>
      <c r="I686" s="199"/>
      <c r="J686" s="199"/>
      <c r="K686" s="199"/>
      <c r="L686" s="203"/>
      <c r="M686" s="203"/>
      <c r="N686" s="203"/>
      <c r="O686" s="199"/>
      <c r="P686" s="199"/>
      <c r="Q686" s="199"/>
    </row>
    <row r="687">
      <c r="A687" s="28"/>
      <c r="B687" s="199"/>
      <c r="C687" s="199"/>
      <c r="D687" s="199"/>
      <c r="E687" s="199"/>
      <c r="F687" s="199"/>
      <c r="G687" s="200"/>
      <c r="H687" s="199"/>
      <c r="I687" s="199"/>
      <c r="J687" s="199"/>
      <c r="K687" s="199"/>
      <c r="L687" s="203"/>
      <c r="M687" s="203"/>
      <c r="N687" s="203"/>
      <c r="O687" s="199"/>
      <c r="P687" s="199"/>
      <c r="Q687" s="199"/>
    </row>
    <row r="688">
      <c r="A688" s="28"/>
      <c r="B688" s="199"/>
      <c r="C688" s="199"/>
      <c r="D688" s="199"/>
      <c r="E688" s="199"/>
      <c r="F688" s="199"/>
      <c r="G688" s="200"/>
      <c r="H688" s="199"/>
      <c r="I688" s="199"/>
      <c r="J688" s="199"/>
      <c r="K688" s="199"/>
      <c r="L688" s="203"/>
      <c r="M688" s="203"/>
      <c r="N688" s="203"/>
      <c r="O688" s="199"/>
      <c r="P688" s="199"/>
      <c r="Q688" s="199"/>
    </row>
    <row r="689">
      <c r="A689" s="28"/>
      <c r="B689" s="199"/>
      <c r="C689" s="199"/>
      <c r="D689" s="199"/>
      <c r="E689" s="199"/>
      <c r="F689" s="199"/>
      <c r="G689" s="200"/>
      <c r="H689" s="199"/>
      <c r="I689" s="199"/>
      <c r="J689" s="199"/>
      <c r="K689" s="199"/>
      <c r="L689" s="203"/>
      <c r="M689" s="203"/>
      <c r="N689" s="203"/>
      <c r="O689" s="199"/>
      <c r="P689" s="199"/>
      <c r="Q689" s="199"/>
    </row>
    <row r="690">
      <c r="A690" s="28"/>
      <c r="B690" s="199"/>
      <c r="C690" s="199"/>
      <c r="D690" s="199"/>
      <c r="E690" s="199"/>
      <c r="F690" s="199"/>
      <c r="G690" s="200"/>
      <c r="H690" s="199"/>
      <c r="I690" s="199"/>
      <c r="J690" s="199"/>
      <c r="K690" s="199"/>
      <c r="L690" s="203"/>
      <c r="M690" s="203"/>
      <c r="N690" s="203"/>
      <c r="O690" s="199"/>
      <c r="P690" s="199"/>
      <c r="Q690" s="199"/>
    </row>
    <row r="691">
      <c r="A691" s="28"/>
      <c r="B691" s="199"/>
      <c r="C691" s="199"/>
      <c r="D691" s="199"/>
      <c r="E691" s="199"/>
      <c r="F691" s="199"/>
      <c r="G691" s="200"/>
      <c r="H691" s="199"/>
      <c r="I691" s="199"/>
      <c r="J691" s="199"/>
      <c r="K691" s="199"/>
      <c r="L691" s="203"/>
      <c r="M691" s="203"/>
      <c r="N691" s="203"/>
      <c r="O691" s="199"/>
      <c r="P691" s="199"/>
      <c r="Q691" s="199"/>
    </row>
    <row r="692">
      <c r="A692" s="28"/>
      <c r="B692" s="199"/>
      <c r="C692" s="199"/>
      <c r="D692" s="199"/>
      <c r="E692" s="199"/>
      <c r="F692" s="199"/>
      <c r="G692" s="200"/>
      <c r="H692" s="199"/>
      <c r="I692" s="199"/>
      <c r="J692" s="199"/>
      <c r="K692" s="199"/>
      <c r="L692" s="203"/>
      <c r="M692" s="203"/>
      <c r="N692" s="203"/>
      <c r="O692" s="199"/>
      <c r="P692" s="199"/>
      <c r="Q692" s="199"/>
    </row>
    <row r="693">
      <c r="A693" s="28"/>
      <c r="B693" s="199"/>
      <c r="C693" s="199"/>
      <c r="D693" s="199"/>
      <c r="E693" s="199"/>
      <c r="F693" s="199"/>
      <c r="G693" s="200"/>
      <c r="H693" s="199"/>
      <c r="I693" s="199"/>
      <c r="J693" s="199"/>
      <c r="K693" s="199"/>
      <c r="L693" s="203"/>
      <c r="M693" s="203"/>
      <c r="N693" s="203"/>
      <c r="O693" s="199"/>
      <c r="P693" s="199"/>
      <c r="Q693" s="199"/>
    </row>
    <row r="694">
      <c r="A694" s="28"/>
      <c r="B694" s="199"/>
      <c r="C694" s="199"/>
      <c r="D694" s="199"/>
      <c r="E694" s="199"/>
      <c r="F694" s="199"/>
      <c r="G694" s="200"/>
      <c r="H694" s="199"/>
      <c r="I694" s="199"/>
      <c r="J694" s="199"/>
      <c r="K694" s="199"/>
      <c r="L694" s="203"/>
      <c r="M694" s="203"/>
      <c r="N694" s="203"/>
      <c r="O694" s="199"/>
      <c r="P694" s="199"/>
      <c r="Q694" s="199"/>
    </row>
    <row r="695">
      <c r="A695" s="28"/>
      <c r="B695" s="199"/>
      <c r="C695" s="199"/>
      <c r="D695" s="199"/>
      <c r="E695" s="199"/>
      <c r="F695" s="199"/>
      <c r="G695" s="200"/>
      <c r="H695" s="199"/>
      <c r="I695" s="199"/>
      <c r="J695" s="199"/>
      <c r="K695" s="199"/>
      <c r="L695" s="203"/>
      <c r="M695" s="203"/>
      <c r="N695" s="203"/>
      <c r="O695" s="199"/>
      <c r="P695" s="199"/>
      <c r="Q695" s="199"/>
    </row>
    <row r="696">
      <c r="A696" s="28"/>
      <c r="B696" s="199"/>
      <c r="C696" s="199"/>
      <c r="D696" s="199"/>
      <c r="E696" s="199"/>
      <c r="F696" s="199"/>
      <c r="G696" s="200"/>
      <c r="H696" s="199"/>
      <c r="I696" s="199"/>
      <c r="J696" s="199"/>
      <c r="K696" s="199"/>
      <c r="L696" s="203"/>
      <c r="M696" s="203"/>
      <c r="N696" s="203"/>
      <c r="O696" s="199"/>
      <c r="P696" s="199"/>
      <c r="Q696" s="199"/>
    </row>
    <row r="697">
      <c r="A697" s="28"/>
      <c r="B697" s="199"/>
      <c r="C697" s="199"/>
      <c r="D697" s="199"/>
      <c r="E697" s="199"/>
      <c r="F697" s="199"/>
      <c r="G697" s="200"/>
      <c r="H697" s="199"/>
      <c r="I697" s="199"/>
      <c r="J697" s="199"/>
      <c r="K697" s="199"/>
      <c r="L697" s="203"/>
      <c r="M697" s="203"/>
      <c r="N697" s="203"/>
      <c r="O697" s="199"/>
      <c r="P697" s="199"/>
      <c r="Q697" s="199"/>
    </row>
    <row r="698">
      <c r="A698" s="28"/>
      <c r="B698" s="199"/>
      <c r="C698" s="199"/>
      <c r="D698" s="199"/>
      <c r="E698" s="199"/>
      <c r="F698" s="199"/>
      <c r="G698" s="200"/>
      <c r="H698" s="199"/>
      <c r="I698" s="199"/>
      <c r="J698" s="199"/>
      <c r="K698" s="199"/>
      <c r="L698" s="203"/>
      <c r="M698" s="203"/>
      <c r="N698" s="203"/>
      <c r="O698" s="199"/>
      <c r="P698" s="199"/>
      <c r="Q698" s="199"/>
    </row>
    <row r="699">
      <c r="A699" s="28"/>
      <c r="B699" s="199"/>
      <c r="C699" s="199"/>
      <c r="D699" s="199"/>
      <c r="E699" s="199"/>
      <c r="F699" s="199"/>
      <c r="G699" s="200"/>
      <c r="H699" s="199"/>
      <c r="I699" s="199"/>
      <c r="J699" s="199"/>
      <c r="K699" s="199"/>
      <c r="L699" s="203"/>
      <c r="M699" s="203"/>
      <c r="N699" s="203"/>
      <c r="O699" s="199"/>
      <c r="P699" s="199"/>
      <c r="Q699" s="199"/>
    </row>
    <row r="700">
      <c r="A700" s="28"/>
      <c r="B700" s="199"/>
      <c r="C700" s="199"/>
      <c r="D700" s="199"/>
      <c r="E700" s="199"/>
      <c r="F700" s="199"/>
      <c r="G700" s="200"/>
      <c r="H700" s="199"/>
      <c r="I700" s="199"/>
      <c r="J700" s="199"/>
      <c r="K700" s="199"/>
      <c r="L700" s="203"/>
      <c r="M700" s="203"/>
      <c r="N700" s="203"/>
      <c r="O700" s="199"/>
      <c r="P700" s="199"/>
      <c r="Q700" s="199"/>
    </row>
    <row r="701">
      <c r="A701" s="28"/>
      <c r="B701" s="199"/>
      <c r="C701" s="199"/>
      <c r="D701" s="199"/>
      <c r="E701" s="199"/>
      <c r="F701" s="199"/>
      <c r="G701" s="200"/>
      <c r="H701" s="199"/>
      <c r="I701" s="199"/>
      <c r="J701" s="199"/>
      <c r="K701" s="199"/>
      <c r="L701" s="203"/>
      <c r="M701" s="203"/>
      <c r="N701" s="203"/>
      <c r="O701" s="199"/>
      <c r="P701" s="199"/>
      <c r="Q701" s="199"/>
    </row>
    <row r="702">
      <c r="A702" s="28"/>
      <c r="B702" s="199"/>
      <c r="C702" s="199"/>
      <c r="D702" s="199"/>
      <c r="E702" s="199"/>
      <c r="F702" s="199"/>
      <c r="G702" s="200"/>
      <c r="H702" s="199"/>
      <c r="I702" s="199"/>
      <c r="J702" s="199"/>
      <c r="K702" s="199"/>
      <c r="L702" s="203"/>
      <c r="M702" s="203"/>
      <c r="N702" s="203"/>
      <c r="O702" s="199"/>
      <c r="P702" s="199"/>
      <c r="Q702" s="199"/>
    </row>
    <row r="703">
      <c r="A703" s="28"/>
      <c r="B703" s="199"/>
      <c r="C703" s="199"/>
      <c r="D703" s="199"/>
      <c r="E703" s="199"/>
      <c r="F703" s="199"/>
      <c r="G703" s="200"/>
      <c r="H703" s="199"/>
      <c r="I703" s="199"/>
      <c r="J703" s="199"/>
      <c r="K703" s="199"/>
      <c r="L703" s="203"/>
      <c r="M703" s="203"/>
      <c r="N703" s="203"/>
      <c r="O703" s="199"/>
      <c r="P703" s="199"/>
      <c r="Q703" s="199"/>
    </row>
    <row r="704">
      <c r="A704" s="28"/>
      <c r="B704" s="199"/>
      <c r="C704" s="199"/>
      <c r="D704" s="199"/>
      <c r="E704" s="199"/>
      <c r="F704" s="199"/>
      <c r="G704" s="200"/>
      <c r="H704" s="199"/>
      <c r="I704" s="199"/>
      <c r="J704" s="199"/>
      <c r="K704" s="199"/>
      <c r="L704" s="203"/>
      <c r="M704" s="203"/>
      <c r="N704" s="203"/>
      <c r="O704" s="199"/>
      <c r="P704" s="199"/>
      <c r="Q704" s="199"/>
    </row>
    <row r="705">
      <c r="A705" s="28"/>
      <c r="B705" s="199"/>
      <c r="C705" s="199"/>
      <c r="D705" s="199"/>
      <c r="E705" s="199"/>
      <c r="F705" s="199"/>
      <c r="G705" s="200"/>
      <c r="H705" s="199"/>
      <c r="I705" s="199"/>
      <c r="J705" s="199"/>
      <c r="K705" s="199"/>
      <c r="L705" s="203"/>
      <c r="M705" s="203"/>
      <c r="N705" s="203"/>
      <c r="O705" s="199"/>
      <c r="P705" s="199"/>
      <c r="Q705" s="199"/>
    </row>
    <row r="706">
      <c r="A706" s="28"/>
      <c r="B706" s="199"/>
      <c r="C706" s="199"/>
      <c r="D706" s="199"/>
      <c r="E706" s="199"/>
      <c r="F706" s="199"/>
      <c r="G706" s="200"/>
      <c r="H706" s="199"/>
      <c r="I706" s="199"/>
      <c r="J706" s="199"/>
      <c r="K706" s="199"/>
      <c r="L706" s="203"/>
      <c r="M706" s="203"/>
      <c r="N706" s="203"/>
      <c r="O706" s="199"/>
      <c r="P706" s="199"/>
      <c r="Q706" s="199"/>
    </row>
    <row r="707">
      <c r="A707" s="28"/>
      <c r="B707" s="199"/>
      <c r="C707" s="199"/>
      <c r="D707" s="199"/>
      <c r="E707" s="199"/>
      <c r="F707" s="199"/>
      <c r="G707" s="200"/>
      <c r="H707" s="199"/>
      <c r="I707" s="199"/>
      <c r="J707" s="199"/>
      <c r="K707" s="199"/>
      <c r="L707" s="203"/>
      <c r="M707" s="203"/>
      <c r="N707" s="203"/>
      <c r="O707" s="199"/>
      <c r="P707" s="199"/>
      <c r="Q707" s="199"/>
    </row>
    <row r="708">
      <c r="A708" s="28"/>
      <c r="B708" s="199"/>
      <c r="C708" s="199"/>
      <c r="D708" s="199"/>
      <c r="E708" s="199"/>
      <c r="F708" s="199"/>
      <c r="G708" s="200"/>
      <c r="H708" s="199"/>
      <c r="I708" s="199"/>
      <c r="J708" s="199"/>
      <c r="K708" s="199"/>
      <c r="L708" s="203"/>
      <c r="M708" s="203"/>
      <c r="N708" s="203"/>
      <c r="O708" s="199"/>
      <c r="P708" s="199"/>
      <c r="Q708" s="199"/>
    </row>
    <row r="709">
      <c r="A709" s="28"/>
      <c r="B709" s="199"/>
      <c r="C709" s="199"/>
      <c r="D709" s="199"/>
      <c r="E709" s="199"/>
      <c r="F709" s="199"/>
      <c r="G709" s="200"/>
      <c r="H709" s="199"/>
      <c r="I709" s="199"/>
      <c r="J709" s="199"/>
      <c r="K709" s="199"/>
      <c r="L709" s="203"/>
      <c r="M709" s="203"/>
      <c r="N709" s="203"/>
      <c r="O709" s="199"/>
      <c r="P709" s="199"/>
      <c r="Q709" s="199"/>
    </row>
    <row r="710">
      <c r="A710" s="28"/>
      <c r="B710" s="199"/>
      <c r="C710" s="199"/>
      <c r="D710" s="199"/>
      <c r="E710" s="199"/>
      <c r="F710" s="199"/>
      <c r="G710" s="200"/>
      <c r="H710" s="199"/>
      <c r="I710" s="199"/>
      <c r="J710" s="199"/>
      <c r="K710" s="199"/>
      <c r="L710" s="203"/>
      <c r="M710" s="203"/>
      <c r="N710" s="203"/>
      <c r="O710" s="199"/>
      <c r="P710" s="199"/>
      <c r="Q710" s="199"/>
    </row>
    <row r="711">
      <c r="A711" s="28"/>
      <c r="B711" s="199"/>
      <c r="C711" s="199"/>
      <c r="D711" s="199"/>
      <c r="E711" s="199"/>
      <c r="F711" s="199"/>
      <c r="G711" s="200"/>
      <c r="H711" s="199"/>
      <c r="I711" s="199"/>
      <c r="J711" s="199"/>
      <c r="K711" s="199"/>
      <c r="L711" s="203"/>
      <c r="M711" s="203"/>
      <c r="N711" s="203"/>
      <c r="O711" s="199"/>
      <c r="P711" s="199"/>
      <c r="Q711" s="199"/>
    </row>
    <row r="712">
      <c r="A712" s="28"/>
      <c r="B712" s="199"/>
      <c r="C712" s="199"/>
      <c r="D712" s="199"/>
      <c r="E712" s="199"/>
      <c r="F712" s="199"/>
      <c r="G712" s="200"/>
      <c r="H712" s="199"/>
      <c r="I712" s="199"/>
      <c r="J712" s="199"/>
      <c r="K712" s="199"/>
      <c r="L712" s="203"/>
      <c r="M712" s="203"/>
      <c r="N712" s="203"/>
      <c r="O712" s="199"/>
      <c r="P712" s="199"/>
      <c r="Q712" s="199"/>
    </row>
    <row r="713">
      <c r="A713" s="28"/>
      <c r="B713" s="199"/>
      <c r="C713" s="199"/>
      <c r="D713" s="199"/>
      <c r="E713" s="199"/>
      <c r="F713" s="199"/>
      <c r="G713" s="200"/>
      <c r="H713" s="199"/>
      <c r="I713" s="199"/>
      <c r="J713" s="199"/>
      <c r="K713" s="199"/>
      <c r="L713" s="203"/>
      <c r="M713" s="203"/>
      <c r="N713" s="203"/>
      <c r="O713" s="199"/>
      <c r="P713" s="199"/>
      <c r="Q713" s="199"/>
    </row>
    <row r="714">
      <c r="A714" s="28"/>
      <c r="B714" s="199"/>
      <c r="C714" s="199"/>
      <c r="D714" s="199"/>
      <c r="E714" s="199"/>
      <c r="F714" s="199"/>
      <c r="G714" s="200"/>
      <c r="H714" s="199"/>
      <c r="I714" s="199"/>
      <c r="J714" s="199"/>
      <c r="K714" s="199"/>
      <c r="L714" s="203"/>
      <c r="M714" s="203"/>
      <c r="N714" s="203"/>
      <c r="O714" s="199"/>
      <c r="P714" s="199"/>
      <c r="Q714" s="199"/>
    </row>
    <row r="715">
      <c r="A715" s="28"/>
      <c r="B715" s="199"/>
      <c r="C715" s="199"/>
      <c r="D715" s="199"/>
      <c r="E715" s="199"/>
      <c r="F715" s="199"/>
      <c r="G715" s="200"/>
      <c r="H715" s="199"/>
      <c r="I715" s="199"/>
      <c r="J715" s="199"/>
      <c r="K715" s="199"/>
      <c r="L715" s="203"/>
      <c r="M715" s="203"/>
      <c r="N715" s="203"/>
      <c r="O715" s="199"/>
      <c r="P715" s="199"/>
      <c r="Q715" s="199"/>
    </row>
    <row r="716">
      <c r="A716" s="28"/>
      <c r="B716" s="199"/>
      <c r="C716" s="199"/>
      <c r="D716" s="199"/>
      <c r="E716" s="199"/>
      <c r="F716" s="199"/>
      <c r="G716" s="200"/>
      <c r="H716" s="199"/>
      <c r="I716" s="199"/>
      <c r="J716" s="199"/>
      <c r="K716" s="199"/>
      <c r="L716" s="203"/>
      <c r="M716" s="203"/>
      <c r="N716" s="203"/>
      <c r="O716" s="199"/>
      <c r="P716" s="199"/>
      <c r="Q716" s="199"/>
    </row>
    <row r="717">
      <c r="A717" s="28"/>
      <c r="B717" s="199"/>
      <c r="C717" s="199"/>
      <c r="D717" s="199"/>
      <c r="E717" s="199"/>
      <c r="F717" s="199"/>
      <c r="G717" s="200"/>
      <c r="H717" s="199"/>
      <c r="I717" s="199"/>
      <c r="J717" s="199"/>
      <c r="K717" s="199"/>
      <c r="L717" s="203"/>
      <c r="M717" s="203"/>
      <c r="N717" s="203"/>
      <c r="O717" s="199"/>
      <c r="P717" s="199"/>
      <c r="Q717" s="199"/>
    </row>
    <row r="718">
      <c r="A718" s="28"/>
      <c r="B718" s="199"/>
      <c r="C718" s="199"/>
      <c r="D718" s="199"/>
      <c r="E718" s="199"/>
      <c r="F718" s="199"/>
      <c r="G718" s="200"/>
      <c r="H718" s="199"/>
      <c r="I718" s="199"/>
      <c r="J718" s="199"/>
      <c r="K718" s="199"/>
      <c r="L718" s="203"/>
      <c r="M718" s="203"/>
      <c r="N718" s="203"/>
      <c r="O718" s="199"/>
      <c r="P718" s="199"/>
      <c r="Q718" s="199"/>
    </row>
    <row r="719">
      <c r="A719" s="28"/>
      <c r="B719" s="199"/>
      <c r="C719" s="199"/>
      <c r="D719" s="199"/>
      <c r="E719" s="199"/>
      <c r="F719" s="199"/>
      <c r="G719" s="200"/>
      <c r="H719" s="199"/>
      <c r="I719" s="199"/>
      <c r="J719" s="199"/>
      <c r="K719" s="199"/>
      <c r="L719" s="203"/>
      <c r="M719" s="203"/>
      <c r="N719" s="203"/>
      <c r="O719" s="199"/>
      <c r="P719" s="199"/>
      <c r="Q719" s="199"/>
    </row>
    <row r="720">
      <c r="A720" s="28"/>
      <c r="B720" s="199"/>
      <c r="C720" s="199"/>
      <c r="D720" s="199"/>
      <c r="E720" s="199"/>
      <c r="F720" s="199"/>
      <c r="G720" s="200"/>
      <c r="H720" s="199"/>
      <c r="I720" s="199"/>
      <c r="J720" s="199"/>
      <c r="K720" s="199"/>
      <c r="L720" s="203"/>
      <c r="M720" s="203"/>
      <c r="N720" s="203"/>
      <c r="O720" s="199"/>
      <c r="P720" s="199"/>
      <c r="Q720" s="199"/>
    </row>
    <row r="721">
      <c r="A721" s="28"/>
      <c r="B721" s="199"/>
      <c r="C721" s="199"/>
      <c r="D721" s="199"/>
      <c r="E721" s="199"/>
      <c r="F721" s="199"/>
      <c r="G721" s="200"/>
      <c r="H721" s="199"/>
      <c r="I721" s="199"/>
      <c r="J721" s="199"/>
      <c r="K721" s="199"/>
      <c r="L721" s="203"/>
      <c r="M721" s="203"/>
      <c r="N721" s="203"/>
      <c r="O721" s="199"/>
      <c r="P721" s="199"/>
      <c r="Q721" s="199"/>
    </row>
    <row r="722">
      <c r="A722" s="28"/>
      <c r="B722" s="199"/>
      <c r="C722" s="199"/>
      <c r="D722" s="199"/>
      <c r="E722" s="199"/>
      <c r="F722" s="199"/>
      <c r="G722" s="200"/>
      <c r="H722" s="199"/>
      <c r="I722" s="199"/>
      <c r="J722" s="199"/>
      <c r="K722" s="199"/>
      <c r="L722" s="203"/>
      <c r="M722" s="203"/>
      <c r="N722" s="203"/>
      <c r="O722" s="199"/>
      <c r="P722" s="199"/>
      <c r="Q722" s="199"/>
    </row>
    <row r="723">
      <c r="A723" s="28"/>
      <c r="B723" s="199"/>
      <c r="C723" s="199"/>
      <c r="D723" s="199"/>
      <c r="E723" s="199"/>
      <c r="F723" s="199"/>
      <c r="G723" s="200"/>
      <c r="H723" s="199"/>
      <c r="I723" s="199"/>
      <c r="J723" s="199"/>
      <c r="K723" s="199"/>
      <c r="L723" s="203"/>
      <c r="M723" s="203"/>
      <c r="N723" s="203"/>
      <c r="O723" s="199"/>
      <c r="P723" s="199"/>
      <c r="Q723" s="199"/>
    </row>
    <row r="724">
      <c r="A724" s="28"/>
      <c r="B724" s="199"/>
      <c r="C724" s="199"/>
      <c r="D724" s="199"/>
      <c r="E724" s="199"/>
      <c r="F724" s="199"/>
      <c r="G724" s="200"/>
      <c r="H724" s="199"/>
      <c r="I724" s="199"/>
      <c r="J724" s="199"/>
      <c r="K724" s="199"/>
      <c r="L724" s="203"/>
      <c r="M724" s="203"/>
      <c r="N724" s="203"/>
      <c r="O724" s="199"/>
      <c r="P724" s="199"/>
      <c r="Q724" s="199"/>
    </row>
    <row r="725">
      <c r="A725" s="28"/>
      <c r="B725" s="199"/>
      <c r="C725" s="199"/>
      <c r="D725" s="199"/>
      <c r="E725" s="199"/>
      <c r="F725" s="199"/>
      <c r="G725" s="200"/>
      <c r="H725" s="199"/>
      <c r="I725" s="199"/>
      <c r="J725" s="199"/>
      <c r="K725" s="199"/>
      <c r="L725" s="203"/>
      <c r="M725" s="203"/>
      <c r="N725" s="203"/>
      <c r="O725" s="199"/>
      <c r="P725" s="199"/>
      <c r="Q725" s="199"/>
    </row>
    <row r="726">
      <c r="A726" s="28"/>
      <c r="B726" s="199"/>
      <c r="C726" s="199"/>
      <c r="D726" s="199"/>
      <c r="E726" s="199"/>
      <c r="F726" s="199"/>
      <c r="G726" s="200"/>
      <c r="H726" s="199"/>
      <c r="I726" s="199"/>
      <c r="J726" s="199"/>
      <c r="K726" s="199"/>
      <c r="L726" s="203"/>
      <c r="M726" s="203"/>
      <c r="N726" s="203"/>
      <c r="O726" s="199"/>
      <c r="P726" s="199"/>
      <c r="Q726" s="199"/>
    </row>
    <row r="727">
      <c r="A727" s="28"/>
      <c r="B727" s="199"/>
      <c r="C727" s="199"/>
      <c r="D727" s="199"/>
      <c r="E727" s="199"/>
      <c r="F727" s="199"/>
      <c r="G727" s="200"/>
      <c r="H727" s="199"/>
      <c r="I727" s="199"/>
      <c r="J727" s="199"/>
      <c r="K727" s="199"/>
      <c r="L727" s="203"/>
      <c r="M727" s="203"/>
      <c r="N727" s="203"/>
      <c r="O727" s="199"/>
      <c r="P727" s="199"/>
      <c r="Q727" s="199"/>
    </row>
    <row r="728">
      <c r="A728" s="28"/>
      <c r="B728" s="199"/>
      <c r="C728" s="199"/>
      <c r="D728" s="199"/>
      <c r="E728" s="199"/>
      <c r="F728" s="199"/>
      <c r="G728" s="200"/>
      <c r="H728" s="199"/>
      <c r="I728" s="199"/>
      <c r="J728" s="199"/>
      <c r="K728" s="199"/>
      <c r="L728" s="203"/>
      <c r="M728" s="203"/>
      <c r="N728" s="203"/>
      <c r="O728" s="199"/>
      <c r="P728" s="199"/>
      <c r="Q728" s="199"/>
    </row>
    <row r="729">
      <c r="A729" s="28"/>
      <c r="B729" s="199"/>
      <c r="C729" s="199"/>
      <c r="D729" s="199"/>
      <c r="E729" s="199"/>
      <c r="F729" s="199"/>
      <c r="G729" s="200"/>
      <c r="H729" s="199"/>
      <c r="I729" s="199"/>
      <c r="J729" s="199"/>
      <c r="K729" s="199"/>
      <c r="L729" s="203"/>
      <c r="M729" s="203"/>
      <c r="N729" s="203"/>
      <c r="O729" s="199"/>
      <c r="P729" s="199"/>
      <c r="Q729" s="199"/>
    </row>
    <row r="730">
      <c r="A730" s="28"/>
      <c r="B730" s="199"/>
      <c r="C730" s="199"/>
      <c r="D730" s="199"/>
      <c r="E730" s="199"/>
      <c r="F730" s="199"/>
      <c r="G730" s="200"/>
      <c r="H730" s="199"/>
      <c r="I730" s="199"/>
      <c r="J730" s="199"/>
      <c r="K730" s="199"/>
      <c r="L730" s="203"/>
      <c r="M730" s="203"/>
      <c r="N730" s="203"/>
      <c r="O730" s="199"/>
      <c r="P730" s="199"/>
      <c r="Q730" s="199"/>
    </row>
    <row r="731">
      <c r="A731" s="28"/>
      <c r="B731" s="199"/>
      <c r="C731" s="199"/>
      <c r="D731" s="199"/>
      <c r="E731" s="199"/>
      <c r="F731" s="199"/>
      <c r="G731" s="200"/>
      <c r="H731" s="199"/>
      <c r="I731" s="199"/>
      <c r="J731" s="199"/>
      <c r="K731" s="199"/>
      <c r="L731" s="203"/>
      <c r="M731" s="203"/>
      <c r="N731" s="203"/>
      <c r="O731" s="199"/>
      <c r="P731" s="199"/>
      <c r="Q731" s="199"/>
    </row>
    <row r="732">
      <c r="A732" s="28"/>
      <c r="B732" s="199"/>
      <c r="C732" s="199"/>
      <c r="D732" s="199"/>
      <c r="E732" s="199"/>
      <c r="F732" s="199"/>
      <c r="G732" s="200"/>
      <c r="H732" s="199"/>
      <c r="I732" s="199"/>
      <c r="J732" s="199"/>
      <c r="K732" s="199"/>
      <c r="L732" s="203"/>
      <c r="M732" s="203"/>
      <c r="N732" s="203"/>
      <c r="O732" s="199"/>
      <c r="P732" s="199"/>
      <c r="Q732" s="199"/>
    </row>
    <row r="733">
      <c r="A733" s="28"/>
      <c r="B733" s="199"/>
      <c r="C733" s="199"/>
      <c r="D733" s="199"/>
      <c r="E733" s="199"/>
      <c r="F733" s="199"/>
      <c r="G733" s="200"/>
      <c r="H733" s="199"/>
      <c r="I733" s="199"/>
      <c r="J733" s="199"/>
      <c r="K733" s="199"/>
      <c r="L733" s="203"/>
      <c r="M733" s="203"/>
      <c r="N733" s="203"/>
      <c r="O733" s="199"/>
      <c r="P733" s="199"/>
      <c r="Q733" s="199"/>
    </row>
    <row r="734">
      <c r="A734" s="28"/>
      <c r="B734" s="199"/>
      <c r="C734" s="199"/>
      <c r="D734" s="199"/>
      <c r="E734" s="199"/>
      <c r="F734" s="199"/>
      <c r="G734" s="200"/>
      <c r="H734" s="199"/>
      <c r="I734" s="199"/>
      <c r="J734" s="199"/>
      <c r="K734" s="199"/>
      <c r="L734" s="203"/>
      <c r="M734" s="203"/>
      <c r="N734" s="203"/>
      <c r="O734" s="199"/>
      <c r="P734" s="199"/>
      <c r="Q734" s="199"/>
    </row>
    <row r="735">
      <c r="A735" s="28"/>
      <c r="B735" s="199"/>
      <c r="C735" s="199"/>
      <c r="D735" s="199"/>
      <c r="E735" s="199"/>
      <c r="F735" s="199"/>
      <c r="G735" s="200"/>
      <c r="H735" s="199"/>
      <c r="I735" s="199"/>
      <c r="J735" s="199"/>
      <c r="K735" s="199"/>
      <c r="L735" s="203"/>
      <c r="M735" s="203"/>
      <c r="N735" s="203"/>
      <c r="O735" s="199"/>
      <c r="P735" s="199"/>
      <c r="Q735" s="199"/>
    </row>
    <row r="736">
      <c r="A736" s="28"/>
      <c r="B736" s="199"/>
      <c r="C736" s="199"/>
      <c r="D736" s="199"/>
      <c r="E736" s="199"/>
      <c r="F736" s="199"/>
      <c r="G736" s="200"/>
      <c r="H736" s="199"/>
      <c r="I736" s="199"/>
      <c r="J736" s="199"/>
      <c r="K736" s="199"/>
      <c r="L736" s="203"/>
      <c r="M736" s="203"/>
      <c r="N736" s="203"/>
      <c r="O736" s="199"/>
      <c r="P736" s="199"/>
      <c r="Q736" s="199"/>
    </row>
    <row r="737">
      <c r="A737" s="28"/>
      <c r="B737" s="199"/>
      <c r="C737" s="199"/>
      <c r="D737" s="199"/>
      <c r="E737" s="199"/>
      <c r="F737" s="199"/>
      <c r="G737" s="200"/>
      <c r="H737" s="199"/>
      <c r="I737" s="199"/>
      <c r="J737" s="199"/>
      <c r="K737" s="199"/>
      <c r="L737" s="203"/>
      <c r="M737" s="203"/>
      <c r="N737" s="203"/>
      <c r="O737" s="199"/>
      <c r="P737" s="199"/>
      <c r="Q737" s="199"/>
    </row>
    <row r="738">
      <c r="A738" s="28"/>
      <c r="B738" s="199"/>
      <c r="C738" s="199"/>
      <c r="D738" s="199"/>
      <c r="E738" s="199"/>
      <c r="F738" s="199"/>
      <c r="G738" s="200"/>
      <c r="H738" s="199"/>
      <c r="I738" s="199"/>
      <c r="J738" s="199"/>
      <c r="K738" s="199"/>
      <c r="L738" s="203"/>
      <c r="M738" s="203"/>
      <c r="N738" s="203"/>
      <c r="O738" s="199"/>
      <c r="P738" s="199"/>
      <c r="Q738" s="199"/>
    </row>
    <row r="739">
      <c r="A739" s="28"/>
      <c r="B739" s="199"/>
      <c r="C739" s="199"/>
      <c r="D739" s="199"/>
      <c r="E739" s="199"/>
      <c r="F739" s="199"/>
      <c r="G739" s="200"/>
      <c r="H739" s="199"/>
      <c r="I739" s="199"/>
      <c r="J739" s="199"/>
      <c r="K739" s="199"/>
      <c r="L739" s="203"/>
      <c r="M739" s="203"/>
      <c r="N739" s="203"/>
      <c r="O739" s="199"/>
      <c r="P739" s="199"/>
      <c r="Q739" s="199"/>
    </row>
    <row r="740">
      <c r="A740" s="28"/>
      <c r="B740" s="199"/>
      <c r="C740" s="199"/>
      <c r="D740" s="199"/>
      <c r="E740" s="199"/>
      <c r="F740" s="199"/>
      <c r="G740" s="200"/>
      <c r="H740" s="199"/>
      <c r="I740" s="199"/>
      <c r="J740" s="199"/>
      <c r="K740" s="199"/>
      <c r="L740" s="203"/>
      <c r="M740" s="203"/>
      <c r="N740" s="203"/>
      <c r="O740" s="199"/>
      <c r="P740" s="199"/>
      <c r="Q740" s="199"/>
    </row>
    <row r="741">
      <c r="A741" s="28"/>
      <c r="B741" s="199"/>
      <c r="C741" s="199"/>
      <c r="D741" s="199"/>
      <c r="E741" s="199"/>
      <c r="F741" s="199"/>
      <c r="G741" s="200"/>
      <c r="H741" s="199"/>
      <c r="I741" s="199"/>
      <c r="J741" s="199"/>
      <c r="K741" s="199"/>
      <c r="L741" s="203"/>
      <c r="M741" s="203"/>
      <c r="N741" s="203"/>
      <c r="O741" s="199"/>
      <c r="P741" s="199"/>
      <c r="Q741" s="199"/>
    </row>
    <row r="742">
      <c r="A742" s="28"/>
      <c r="B742" s="199"/>
      <c r="C742" s="199"/>
      <c r="D742" s="199"/>
      <c r="E742" s="199"/>
      <c r="F742" s="199"/>
      <c r="G742" s="200"/>
      <c r="H742" s="199"/>
      <c r="I742" s="199"/>
      <c r="J742" s="199"/>
      <c r="K742" s="199"/>
      <c r="L742" s="203"/>
      <c r="M742" s="203"/>
      <c r="N742" s="203"/>
      <c r="O742" s="199"/>
      <c r="P742" s="199"/>
      <c r="Q742" s="199"/>
    </row>
    <row r="743">
      <c r="A743" s="28"/>
      <c r="B743" s="199"/>
      <c r="C743" s="199"/>
      <c r="D743" s="199"/>
      <c r="E743" s="199"/>
      <c r="F743" s="199"/>
      <c r="G743" s="200"/>
      <c r="H743" s="199"/>
      <c r="I743" s="199"/>
      <c r="J743" s="199"/>
      <c r="K743" s="199"/>
      <c r="L743" s="203"/>
      <c r="M743" s="203"/>
      <c r="N743" s="203"/>
      <c r="O743" s="199"/>
      <c r="P743" s="199"/>
      <c r="Q743" s="199"/>
    </row>
    <row r="744">
      <c r="A744" s="28"/>
      <c r="B744" s="199"/>
      <c r="C744" s="199"/>
      <c r="D744" s="199"/>
      <c r="E744" s="199"/>
      <c r="F744" s="199"/>
      <c r="G744" s="200"/>
      <c r="H744" s="199"/>
      <c r="I744" s="199"/>
      <c r="J744" s="199"/>
      <c r="K744" s="199"/>
      <c r="L744" s="203"/>
      <c r="M744" s="203"/>
      <c r="N744" s="203"/>
      <c r="O744" s="199"/>
      <c r="P744" s="199"/>
      <c r="Q744" s="199"/>
    </row>
    <row r="745">
      <c r="A745" s="28"/>
      <c r="B745" s="199"/>
      <c r="C745" s="199"/>
      <c r="D745" s="199"/>
      <c r="E745" s="199"/>
      <c r="F745" s="199"/>
      <c r="G745" s="200"/>
      <c r="H745" s="199"/>
      <c r="I745" s="199"/>
      <c r="J745" s="199"/>
      <c r="K745" s="199"/>
      <c r="L745" s="203"/>
      <c r="M745" s="203"/>
      <c r="N745" s="203"/>
      <c r="O745" s="199"/>
      <c r="P745" s="199"/>
      <c r="Q745" s="199"/>
    </row>
    <row r="746">
      <c r="A746" s="28"/>
      <c r="B746" s="199"/>
      <c r="C746" s="199"/>
      <c r="D746" s="199"/>
      <c r="E746" s="199"/>
      <c r="F746" s="199"/>
      <c r="G746" s="200"/>
      <c r="H746" s="199"/>
      <c r="I746" s="199"/>
      <c r="J746" s="199"/>
      <c r="K746" s="199"/>
      <c r="L746" s="203"/>
      <c r="M746" s="203"/>
      <c r="N746" s="203"/>
      <c r="O746" s="199"/>
      <c r="P746" s="199"/>
      <c r="Q746" s="199"/>
    </row>
    <row r="747">
      <c r="A747" s="28"/>
      <c r="B747" s="199"/>
      <c r="C747" s="199"/>
      <c r="D747" s="199"/>
      <c r="E747" s="199"/>
      <c r="F747" s="199"/>
      <c r="G747" s="200"/>
      <c r="H747" s="199"/>
      <c r="I747" s="199"/>
      <c r="J747" s="199"/>
      <c r="K747" s="199"/>
      <c r="L747" s="203"/>
      <c r="M747" s="203"/>
      <c r="N747" s="203"/>
      <c r="O747" s="199"/>
      <c r="P747" s="199"/>
      <c r="Q747" s="199"/>
    </row>
    <row r="748">
      <c r="A748" s="28"/>
      <c r="B748" s="199"/>
      <c r="C748" s="199"/>
      <c r="D748" s="199"/>
      <c r="E748" s="199"/>
      <c r="F748" s="199"/>
      <c r="G748" s="200"/>
      <c r="H748" s="199"/>
      <c r="I748" s="199"/>
      <c r="J748" s="199"/>
      <c r="K748" s="199"/>
      <c r="L748" s="203"/>
      <c r="M748" s="203"/>
      <c r="N748" s="203"/>
      <c r="O748" s="199"/>
      <c r="P748" s="199"/>
      <c r="Q748" s="199"/>
    </row>
    <row r="749">
      <c r="A749" s="28"/>
      <c r="B749" s="199"/>
      <c r="C749" s="199"/>
      <c r="D749" s="199"/>
      <c r="E749" s="199"/>
      <c r="F749" s="199"/>
      <c r="G749" s="200"/>
      <c r="H749" s="199"/>
      <c r="I749" s="199"/>
      <c r="J749" s="199"/>
      <c r="K749" s="199"/>
      <c r="L749" s="203"/>
      <c r="M749" s="203"/>
      <c r="N749" s="203"/>
      <c r="O749" s="199"/>
      <c r="P749" s="199"/>
      <c r="Q749" s="199"/>
    </row>
    <row r="750">
      <c r="A750" s="28"/>
      <c r="B750" s="199"/>
      <c r="C750" s="199"/>
      <c r="D750" s="199"/>
      <c r="E750" s="199"/>
      <c r="F750" s="199"/>
      <c r="G750" s="200"/>
      <c r="H750" s="199"/>
      <c r="I750" s="199"/>
      <c r="J750" s="199"/>
      <c r="K750" s="199"/>
      <c r="L750" s="203"/>
      <c r="M750" s="203"/>
      <c r="N750" s="203"/>
      <c r="O750" s="199"/>
      <c r="P750" s="199"/>
      <c r="Q750" s="199"/>
    </row>
    <row r="751">
      <c r="A751" s="28"/>
      <c r="B751" s="199"/>
      <c r="C751" s="199"/>
      <c r="D751" s="199"/>
      <c r="E751" s="199"/>
      <c r="F751" s="199"/>
      <c r="G751" s="200"/>
      <c r="H751" s="199"/>
      <c r="I751" s="199"/>
      <c r="J751" s="199"/>
      <c r="K751" s="199"/>
      <c r="L751" s="203"/>
      <c r="M751" s="203"/>
      <c r="N751" s="203"/>
      <c r="O751" s="199"/>
      <c r="P751" s="199"/>
      <c r="Q751" s="199"/>
    </row>
    <row r="752">
      <c r="A752" s="28"/>
      <c r="B752" s="199"/>
      <c r="C752" s="199"/>
      <c r="D752" s="199"/>
      <c r="E752" s="199"/>
      <c r="F752" s="199"/>
      <c r="G752" s="200"/>
      <c r="H752" s="199"/>
      <c r="I752" s="199"/>
      <c r="J752" s="199"/>
      <c r="K752" s="199"/>
      <c r="L752" s="203"/>
      <c r="M752" s="203"/>
      <c r="N752" s="203"/>
      <c r="O752" s="199"/>
      <c r="P752" s="199"/>
      <c r="Q752" s="199"/>
    </row>
    <row r="753">
      <c r="A753" s="28"/>
      <c r="B753" s="199"/>
      <c r="C753" s="199"/>
      <c r="D753" s="199"/>
      <c r="E753" s="199"/>
      <c r="F753" s="199"/>
      <c r="G753" s="200"/>
      <c r="H753" s="199"/>
      <c r="I753" s="199"/>
      <c r="J753" s="199"/>
      <c r="K753" s="199"/>
      <c r="L753" s="203"/>
      <c r="M753" s="203"/>
      <c r="N753" s="203"/>
      <c r="O753" s="199"/>
      <c r="P753" s="199"/>
      <c r="Q753" s="199"/>
    </row>
    <row r="754">
      <c r="A754" s="28"/>
      <c r="B754" s="199"/>
      <c r="C754" s="199"/>
      <c r="D754" s="199"/>
      <c r="E754" s="199"/>
      <c r="F754" s="199"/>
      <c r="G754" s="200"/>
      <c r="H754" s="199"/>
      <c r="I754" s="199"/>
      <c r="J754" s="199"/>
      <c r="K754" s="199"/>
      <c r="L754" s="203"/>
      <c r="M754" s="203"/>
      <c r="N754" s="203"/>
      <c r="O754" s="199"/>
      <c r="P754" s="199"/>
      <c r="Q754" s="199"/>
    </row>
    <row r="755">
      <c r="A755" s="28"/>
      <c r="B755" s="199"/>
      <c r="C755" s="199"/>
      <c r="D755" s="199"/>
      <c r="E755" s="199"/>
      <c r="F755" s="199"/>
      <c r="G755" s="200"/>
      <c r="H755" s="199"/>
      <c r="I755" s="199"/>
      <c r="J755" s="199"/>
      <c r="K755" s="199"/>
      <c r="L755" s="203"/>
      <c r="M755" s="203"/>
      <c r="N755" s="203"/>
      <c r="O755" s="199"/>
      <c r="P755" s="199"/>
      <c r="Q755" s="199"/>
    </row>
    <row r="756">
      <c r="A756" s="28"/>
      <c r="B756" s="199"/>
      <c r="C756" s="199"/>
      <c r="D756" s="199"/>
      <c r="E756" s="199"/>
      <c r="F756" s="199"/>
      <c r="G756" s="200"/>
      <c r="H756" s="199"/>
      <c r="I756" s="199"/>
      <c r="J756" s="199"/>
      <c r="K756" s="199"/>
      <c r="L756" s="203"/>
      <c r="M756" s="203"/>
      <c r="N756" s="203"/>
      <c r="O756" s="199"/>
      <c r="P756" s="199"/>
      <c r="Q756" s="199"/>
    </row>
    <row r="757">
      <c r="A757" s="28"/>
      <c r="B757" s="199"/>
      <c r="C757" s="199"/>
      <c r="D757" s="199"/>
      <c r="E757" s="199"/>
      <c r="F757" s="199"/>
      <c r="G757" s="200"/>
      <c r="H757" s="199"/>
      <c r="I757" s="199"/>
      <c r="J757" s="199"/>
      <c r="K757" s="199"/>
      <c r="L757" s="203"/>
      <c r="M757" s="203"/>
      <c r="N757" s="203"/>
      <c r="O757" s="199"/>
      <c r="P757" s="199"/>
      <c r="Q757" s="199"/>
    </row>
    <row r="758">
      <c r="A758" s="28"/>
      <c r="B758" s="199"/>
      <c r="C758" s="199"/>
      <c r="D758" s="199"/>
      <c r="E758" s="199"/>
      <c r="F758" s="199"/>
      <c r="G758" s="200"/>
      <c r="H758" s="199"/>
      <c r="I758" s="199"/>
      <c r="J758" s="199"/>
      <c r="K758" s="199"/>
      <c r="L758" s="203"/>
      <c r="M758" s="203"/>
      <c r="N758" s="203"/>
      <c r="O758" s="199"/>
      <c r="P758" s="199"/>
      <c r="Q758" s="199"/>
    </row>
    <row r="759">
      <c r="A759" s="28"/>
      <c r="B759" s="199"/>
      <c r="C759" s="199"/>
      <c r="D759" s="199"/>
      <c r="E759" s="199"/>
      <c r="F759" s="199"/>
      <c r="G759" s="200"/>
      <c r="H759" s="199"/>
      <c r="I759" s="199"/>
      <c r="J759" s="199"/>
      <c r="K759" s="199"/>
      <c r="L759" s="203"/>
      <c r="M759" s="203"/>
      <c r="N759" s="203"/>
      <c r="O759" s="199"/>
      <c r="P759" s="199"/>
      <c r="Q759" s="199"/>
    </row>
    <row r="760">
      <c r="A760" s="28"/>
      <c r="B760" s="199"/>
      <c r="C760" s="199"/>
      <c r="D760" s="199"/>
      <c r="E760" s="199"/>
      <c r="F760" s="199"/>
      <c r="G760" s="200"/>
      <c r="H760" s="199"/>
      <c r="I760" s="199"/>
      <c r="J760" s="199"/>
      <c r="K760" s="199"/>
      <c r="L760" s="203"/>
      <c r="M760" s="203"/>
      <c r="N760" s="203"/>
      <c r="O760" s="199"/>
      <c r="P760" s="199"/>
      <c r="Q760" s="199"/>
    </row>
    <row r="761">
      <c r="A761" s="28"/>
      <c r="B761" s="199"/>
      <c r="C761" s="199"/>
      <c r="D761" s="199"/>
      <c r="E761" s="199"/>
      <c r="F761" s="199"/>
      <c r="G761" s="200"/>
      <c r="H761" s="199"/>
      <c r="I761" s="199"/>
      <c r="J761" s="199"/>
      <c r="K761" s="199"/>
      <c r="L761" s="203"/>
      <c r="M761" s="203"/>
      <c r="N761" s="203"/>
      <c r="O761" s="199"/>
      <c r="P761" s="199"/>
      <c r="Q761" s="199"/>
    </row>
    <row r="762">
      <c r="A762" s="28"/>
      <c r="B762" s="199"/>
      <c r="C762" s="199"/>
      <c r="D762" s="199"/>
      <c r="E762" s="199"/>
      <c r="F762" s="199"/>
      <c r="G762" s="200"/>
      <c r="H762" s="199"/>
      <c r="I762" s="199"/>
      <c r="J762" s="199"/>
      <c r="K762" s="199"/>
      <c r="L762" s="203"/>
      <c r="M762" s="203"/>
      <c r="N762" s="203"/>
      <c r="O762" s="199"/>
      <c r="P762" s="199"/>
      <c r="Q762" s="199"/>
    </row>
    <row r="763">
      <c r="A763" s="28"/>
      <c r="B763" s="199"/>
      <c r="C763" s="199"/>
      <c r="D763" s="199"/>
      <c r="E763" s="199"/>
      <c r="F763" s="199"/>
      <c r="G763" s="200"/>
      <c r="H763" s="199"/>
      <c r="I763" s="199"/>
      <c r="J763" s="199"/>
      <c r="K763" s="199"/>
      <c r="L763" s="203"/>
      <c r="M763" s="203"/>
      <c r="N763" s="203"/>
      <c r="O763" s="199"/>
      <c r="P763" s="199"/>
      <c r="Q763" s="199"/>
    </row>
    <row r="764">
      <c r="A764" s="28"/>
      <c r="B764" s="199"/>
      <c r="C764" s="199"/>
      <c r="D764" s="199"/>
      <c r="E764" s="199"/>
      <c r="F764" s="199"/>
      <c r="G764" s="200"/>
      <c r="H764" s="199"/>
      <c r="I764" s="199"/>
      <c r="J764" s="199"/>
      <c r="K764" s="199"/>
      <c r="L764" s="203"/>
      <c r="M764" s="203"/>
      <c r="N764" s="203"/>
      <c r="O764" s="199"/>
      <c r="P764" s="199"/>
      <c r="Q764" s="199"/>
    </row>
    <row r="765">
      <c r="A765" s="28"/>
      <c r="B765" s="199"/>
      <c r="C765" s="199"/>
      <c r="D765" s="199"/>
      <c r="E765" s="199"/>
      <c r="F765" s="199"/>
      <c r="G765" s="200"/>
      <c r="H765" s="199"/>
      <c r="I765" s="199"/>
      <c r="J765" s="199"/>
      <c r="K765" s="199"/>
      <c r="L765" s="203"/>
      <c r="M765" s="203"/>
      <c r="N765" s="203"/>
      <c r="O765" s="199"/>
      <c r="P765" s="199"/>
      <c r="Q765" s="199"/>
    </row>
    <row r="766">
      <c r="A766" s="28"/>
      <c r="B766" s="199"/>
      <c r="C766" s="199"/>
      <c r="D766" s="199"/>
      <c r="E766" s="199"/>
      <c r="F766" s="199"/>
      <c r="G766" s="200"/>
      <c r="H766" s="199"/>
      <c r="I766" s="199"/>
      <c r="J766" s="199"/>
      <c r="K766" s="199"/>
      <c r="L766" s="203"/>
      <c r="M766" s="203"/>
      <c r="N766" s="203"/>
      <c r="O766" s="199"/>
      <c r="P766" s="199"/>
      <c r="Q766" s="199"/>
    </row>
    <row r="767">
      <c r="A767" s="28"/>
      <c r="B767" s="199"/>
      <c r="C767" s="199"/>
      <c r="D767" s="199"/>
      <c r="E767" s="199"/>
      <c r="F767" s="199"/>
      <c r="G767" s="200"/>
      <c r="H767" s="199"/>
      <c r="I767" s="199"/>
      <c r="J767" s="199"/>
      <c r="K767" s="199"/>
      <c r="L767" s="203"/>
      <c r="M767" s="203"/>
      <c r="N767" s="203"/>
      <c r="O767" s="199"/>
      <c r="P767" s="199"/>
      <c r="Q767" s="199"/>
    </row>
    <row r="768">
      <c r="A768" s="28"/>
      <c r="B768" s="199"/>
      <c r="C768" s="199"/>
      <c r="D768" s="199"/>
      <c r="E768" s="199"/>
      <c r="F768" s="199"/>
      <c r="G768" s="200"/>
      <c r="H768" s="199"/>
      <c r="I768" s="199"/>
      <c r="J768" s="199"/>
      <c r="K768" s="199"/>
      <c r="L768" s="203"/>
      <c r="M768" s="203"/>
      <c r="N768" s="203"/>
      <c r="O768" s="199"/>
      <c r="P768" s="199"/>
      <c r="Q768" s="199"/>
    </row>
    <row r="769">
      <c r="A769" s="28"/>
      <c r="B769" s="199"/>
      <c r="C769" s="199"/>
      <c r="D769" s="199"/>
      <c r="E769" s="199"/>
      <c r="F769" s="199"/>
      <c r="G769" s="200"/>
      <c r="H769" s="199"/>
      <c r="I769" s="199"/>
      <c r="J769" s="199"/>
      <c r="K769" s="199"/>
      <c r="L769" s="203"/>
      <c r="M769" s="203"/>
      <c r="N769" s="203"/>
      <c r="O769" s="199"/>
      <c r="P769" s="199"/>
      <c r="Q769" s="199"/>
    </row>
    <row r="770">
      <c r="A770" s="28"/>
      <c r="B770" s="199"/>
      <c r="C770" s="199"/>
      <c r="D770" s="199"/>
      <c r="E770" s="199"/>
      <c r="F770" s="199"/>
      <c r="G770" s="200"/>
      <c r="H770" s="199"/>
      <c r="I770" s="199"/>
      <c r="J770" s="199"/>
      <c r="K770" s="199"/>
      <c r="L770" s="203"/>
      <c r="M770" s="203"/>
      <c r="N770" s="203"/>
      <c r="O770" s="199"/>
      <c r="P770" s="199"/>
      <c r="Q770" s="199"/>
    </row>
    <row r="771">
      <c r="A771" s="28"/>
      <c r="B771" s="199"/>
      <c r="C771" s="199"/>
      <c r="D771" s="199"/>
      <c r="E771" s="199"/>
      <c r="F771" s="199"/>
      <c r="G771" s="200"/>
      <c r="H771" s="199"/>
      <c r="I771" s="199"/>
      <c r="J771" s="199"/>
      <c r="K771" s="199"/>
      <c r="L771" s="203"/>
      <c r="M771" s="203"/>
      <c r="N771" s="203"/>
      <c r="O771" s="199"/>
      <c r="P771" s="199"/>
      <c r="Q771" s="199"/>
    </row>
    <row r="772">
      <c r="A772" s="28"/>
      <c r="B772" s="199"/>
      <c r="C772" s="199"/>
      <c r="D772" s="199"/>
      <c r="E772" s="199"/>
      <c r="F772" s="199"/>
      <c r="G772" s="200"/>
      <c r="H772" s="199"/>
      <c r="I772" s="199"/>
      <c r="J772" s="199"/>
      <c r="K772" s="199"/>
      <c r="L772" s="203"/>
      <c r="M772" s="203"/>
      <c r="N772" s="203"/>
      <c r="O772" s="199"/>
      <c r="P772" s="199"/>
      <c r="Q772" s="199"/>
    </row>
    <row r="773">
      <c r="A773" s="28"/>
      <c r="B773" s="199"/>
      <c r="C773" s="199"/>
      <c r="D773" s="199"/>
      <c r="E773" s="199"/>
      <c r="F773" s="199"/>
      <c r="G773" s="200"/>
      <c r="H773" s="199"/>
      <c r="I773" s="199"/>
      <c r="J773" s="199"/>
      <c r="K773" s="199"/>
      <c r="L773" s="203"/>
      <c r="M773" s="203"/>
      <c r="N773" s="203"/>
      <c r="O773" s="199"/>
      <c r="P773" s="199"/>
      <c r="Q773" s="199"/>
    </row>
    <row r="774">
      <c r="A774" s="28"/>
      <c r="B774" s="199"/>
      <c r="C774" s="199"/>
      <c r="D774" s="199"/>
      <c r="E774" s="199"/>
      <c r="F774" s="199"/>
      <c r="G774" s="200"/>
      <c r="H774" s="199"/>
      <c r="I774" s="199"/>
      <c r="J774" s="199"/>
      <c r="K774" s="199"/>
      <c r="L774" s="203"/>
      <c r="M774" s="203"/>
      <c r="N774" s="203"/>
      <c r="O774" s="199"/>
      <c r="P774" s="199"/>
      <c r="Q774" s="199"/>
    </row>
    <row r="775">
      <c r="A775" s="28"/>
      <c r="B775" s="199"/>
      <c r="C775" s="199"/>
      <c r="D775" s="199"/>
      <c r="E775" s="199"/>
      <c r="F775" s="199"/>
      <c r="G775" s="200"/>
      <c r="H775" s="199"/>
      <c r="I775" s="199"/>
      <c r="J775" s="199"/>
      <c r="K775" s="199"/>
      <c r="L775" s="203"/>
      <c r="M775" s="203"/>
      <c r="N775" s="203"/>
      <c r="O775" s="199"/>
      <c r="P775" s="199"/>
      <c r="Q775" s="199"/>
    </row>
    <row r="776">
      <c r="A776" s="28"/>
      <c r="B776" s="199"/>
      <c r="C776" s="199"/>
      <c r="D776" s="199"/>
      <c r="E776" s="199"/>
      <c r="F776" s="199"/>
      <c r="G776" s="200"/>
      <c r="H776" s="199"/>
      <c r="I776" s="199"/>
      <c r="J776" s="199"/>
      <c r="K776" s="199"/>
      <c r="L776" s="203"/>
      <c r="M776" s="203"/>
      <c r="N776" s="203"/>
      <c r="O776" s="199"/>
      <c r="P776" s="199"/>
      <c r="Q776" s="199"/>
    </row>
    <row r="777">
      <c r="A777" s="28"/>
      <c r="B777" s="199"/>
      <c r="C777" s="199"/>
      <c r="D777" s="199"/>
      <c r="E777" s="199"/>
      <c r="F777" s="199"/>
      <c r="G777" s="200"/>
      <c r="H777" s="199"/>
      <c r="I777" s="199"/>
      <c r="J777" s="199"/>
      <c r="K777" s="199"/>
      <c r="L777" s="203"/>
      <c r="M777" s="203"/>
      <c r="N777" s="203"/>
      <c r="O777" s="199"/>
      <c r="P777" s="199"/>
      <c r="Q777" s="199"/>
    </row>
    <row r="778">
      <c r="A778" s="28"/>
      <c r="B778" s="199"/>
      <c r="C778" s="199"/>
      <c r="D778" s="199"/>
      <c r="E778" s="199"/>
      <c r="F778" s="199"/>
      <c r="G778" s="200"/>
      <c r="H778" s="199"/>
      <c r="I778" s="199"/>
      <c r="J778" s="199"/>
      <c r="K778" s="199"/>
      <c r="L778" s="203"/>
      <c r="M778" s="203"/>
      <c r="N778" s="203"/>
      <c r="O778" s="199"/>
      <c r="P778" s="199"/>
      <c r="Q778" s="199"/>
    </row>
    <row r="779">
      <c r="A779" s="28"/>
      <c r="B779" s="199"/>
      <c r="C779" s="199"/>
      <c r="D779" s="199"/>
      <c r="E779" s="199"/>
      <c r="F779" s="199"/>
      <c r="G779" s="200"/>
      <c r="H779" s="199"/>
      <c r="I779" s="199"/>
      <c r="J779" s="199"/>
      <c r="K779" s="199"/>
      <c r="L779" s="203"/>
      <c r="M779" s="203"/>
      <c r="N779" s="203"/>
      <c r="O779" s="199"/>
      <c r="P779" s="199"/>
      <c r="Q779" s="199"/>
    </row>
    <row r="780">
      <c r="A780" s="28"/>
      <c r="B780" s="199"/>
      <c r="C780" s="199"/>
      <c r="D780" s="199"/>
      <c r="E780" s="199"/>
      <c r="F780" s="199"/>
      <c r="G780" s="200"/>
      <c r="H780" s="199"/>
      <c r="I780" s="199"/>
      <c r="J780" s="199"/>
      <c r="K780" s="199"/>
      <c r="L780" s="203"/>
      <c r="M780" s="203"/>
      <c r="N780" s="203"/>
      <c r="O780" s="199"/>
      <c r="P780" s="199"/>
      <c r="Q780" s="199"/>
    </row>
    <row r="781">
      <c r="A781" s="28"/>
      <c r="B781" s="199"/>
      <c r="C781" s="199"/>
      <c r="D781" s="199"/>
      <c r="E781" s="199"/>
      <c r="F781" s="199"/>
      <c r="G781" s="200"/>
      <c r="H781" s="199"/>
      <c r="I781" s="199"/>
      <c r="J781" s="199"/>
      <c r="K781" s="199"/>
      <c r="L781" s="203"/>
      <c r="M781" s="203"/>
      <c r="N781" s="203"/>
      <c r="O781" s="199"/>
      <c r="P781" s="199"/>
      <c r="Q781" s="199"/>
    </row>
    <row r="782">
      <c r="A782" s="28"/>
      <c r="B782" s="199"/>
      <c r="C782" s="199"/>
      <c r="D782" s="199"/>
      <c r="E782" s="199"/>
      <c r="F782" s="199"/>
      <c r="G782" s="200"/>
      <c r="H782" s="199"/>
      <c r="I782" s="199"/>
      <c r="J782" s="199"/>
      <c r="K782" s="199"/>
      <c r="L782" s="203"/>
      <c r="M782" s="203"/>
      <c r="N782" s="203"/>
      <c r="O782" s="199"/>
      <c r="P782" s="199"/>
      <c r="Q782" s="199"/>
    </row>
    <row r="783">
      <c r="A783" s="28"/>
      <c r="B783" s="199"/>
      <c r="C783" s="199"/>
      <c r="D783" s="199"/>
      <c r="E783" s="199"/>
      <c r="F783" s="199"/>
      <c r="G783" s="200"/>
      <c r="H783" s="199"/>
      <c r="I783" s="199"/>
      <c r="J783" s="199"/>
      <c r="K783" s="199"/>
      <c r="L783" s="203"/>
      <c r="M783" s="203"/>
      <c r="N783" s="203"/>
      <c r="O783" s="199"/>
      <c r="P783" s="199"/>
      <c r="Q783" s="199"/>
    </row>
    <row r="784">
      <c r="A784" s="28"/>
      <c r="B784" s="199"/>
      <c r="C784" s="199"/>
      <c r="D784" s="199"/>
      <c r="E784" s="199"/>
      <c r="F784" s="199"/>
      <c r="G784" s="200"/>
      <c r="H784" s="199"/>
      <c r="I784" s="199"/>
      <c r="J784" s="199"/>
      <c r="K784" s="199"/>
      <c r="L784" s="203"/>
      <c r="M784" s="203"/>
      <c r="N784" s="203"/>
      <c r="O784" s="199"/>
      <c r="P784" s="199"/>
      <c r="Q784" s="199"/>
    </row>
    <row r="785">
      <c r="A785" s="28"/>
      <c r="B785" s="199"/>
      <c r="C785" s="199"/>
      <c r="D785" s="199"/>
      <c r="E785" s="199"/>
      <c r="F785" s="199"/>
      <c r="G785" s="200"/>
      <c r="H785" s="199"/>
      <c r="I785" s="199"/>
      <c r="J785" s="199"/>
      <c r="K785" s="199"/>
      <c r="L785" s="203"/>
      <c r="M785" s="203"/>
      <c r="N785" s="203"/>
      <c r="O785" s="199"/>
      <c r="P785" s="199"/>
      <c r="Q785" s="199"/>
    </row>
    <row r="786">
      <c r="A786" s="28"/>
      <c r="B786" s="199"/>
      <c r="C786" s="199"/>
      <c r="D786" s="199"/>
      <c r="E786" s="199"/>
      <c r="F786" s="199"/>
      <c r="G786" s="200"/>
      <c r="H786" s="199"/>
      <c r="I786" s="199"/>
      <c r="J786" s="199"/>
      <c r="K786" s="199"/>
      <c r="L786" s="203"/>
      <c r="M786" s="203"/>
      <c r="N786" s="203"/>
      <c r="O786" s="199"/>
      <c r="P786" s="199"/>
      <c r="Q786" s="199"/>
    </row>
    <row r="787">
      <c r="A787" s="28"/>
      <c r="B787" s="199"/>
      <c r="C787" s="199"/>
      <c r="D787" s="199"/>
      <c r="E787" s="199"/>
      <c r="F787" s="199"/>
      <c r="G787" s="200"/>
      <c r="H787" s="199"/>
      <c r="I787" s="199"/>
      <c r="J787" s="199"/>
      <c r="K787" s="199"/>
      <c r="L787" s="203"/>
      <c r="M787" s="203"/>
      <c r="N787" s="203"/>
      <c r="O787" s="199"/>
      <c r="P787" s="199"/>
      <c r="Q787" s="199"/>
    </row>
    <row r="788">
      <c r="A788" s="28"/>
      <c r="B788" s="199"/>
      <c r="C788" s="199"/>
      <c r="D788" s="199"/>
      <c r="E788" s="199"/>
      <c r="F788" s="199"/>
      <c r="G788" s="200"/>
      <c r="H788" s="199"/>
      <c r="I788" s="199"/>
      <c r="J788" s="199"/>
      <c r="K788" s="199"/>
      <c r="L788" s="203"/>
      <c r="M788" s="203"/>
      <c r="N788" s="203"/>
      <c r="O788" s="199"/>
      <c r="P788" s="199"/>
      <c r="Q788" s="199"/>
    </row>
    <row r="789">
      <c r="A789" s="28"/>
      <c r="B789" s="199"/>
      <c r="C789" s="199"/>
      <c r="D789" s="199"/>
      <c r="E789" s="199"/>
      <c r="F789" s="199"/>
      <c r="G789" s="200"/>
      <c r="H789" s="199"/>
      <c r="I789" s="199"/>
      <c r="J789" s="199"/>
      <c r="K789" s="199"/>
      <c r="L789" s="203"/>
      <c r="M789" s="203"/>
      <c r="N789" s="203"/>
      <c r="O789" s="199"/>
      <c r="P789" s="199"/>
      <c r="Q789" s="199"/>
    </row>
    <row r="790">
      <c r="A790" s="28"/>
      <c r="B790" s="199"/>
      <c r="C790" s="199"/>
      <c r="D790" s="199"/>
      <c r="E790" s="199"/>
      <c r="F790" s="199"/>
      <c r="G790" s="200"/>
      <c r="H790" s="199"/>
      <c r="I790" s="199"/>
      <c r="J790" s="199"/>
      <c r="K790" s="199"/>
      <c r="L790" s="203"/>
      <c r="M790" s="203"/>
      <c r="N790" s="203"/>
      <c r="O790" s="199"/>
      <c r="P790" s="199"/>
      <c r="Q790" s="199"/>
    </row>
    <row r="791">
      <c r="A791" s="28"/>
      <c r="B791" s="199"/>
      <c r="C791" s="199"/>
      <c r="D791" s="199"/>
      <c r="E791" s="199"/>
      <c r="F791" s="199"/>
      <c r="G791" s="200"/>
      <c r="H791" s="199"/>
      <c r="I791" s="199"/>
      <c r="J791" s="199"/>
      <c r="K791" s="199"/>
      <c r="L791" s="203"/>
      <c r="M791" s="203"/>
      <c r="N791" s="203"/>
      <c r="O791" s="199"/>
      <c r="P791" s="199"/>
      <c r="Q791" s="199"/>
    </row>
    <row r="792">
      <c r="A792" s="28"/>
      <c r="B792" s="199"/>
      <c r="C792" s="199"/>
      <c r="D792" s="199"/>
      <c r="E792" s="199"/>
      <c r="F792" s="199"/>
      <c r="G792" s="200"/>
      <c r="H792" s="199"/>
      <c r="I792" s="199"/>
      <c r="J792" s="199"/>
      <c r="K792" s="199"/>
      <c r="L792" s="203"/>
      <c r="M792" s="203"/>
      <c r="N792" s="203"/>
      <c r="O792" s="199"/>
      <c r="P792" s="199"/>
      <c r="Q792" s="199"/>
    </row>
    <row r="793">
      <c r="A793" s="28"/>
      <c r="B793" s="199"/>
      <c r="C793" s="199"/>
      <c r="D793" s="199"/>
      <c r="E793" s="199"/>
      <c r="F793" s="199"/>
      <c r="G793" s="200"/>
      <c r="H793" s="199"/>
      <c r="I793" s="199"/>
      <c r="J793" s="199"/>
      <c r="K793" s="199"/>
      <c r="L793" s="203"/>
      <c r="M793" s="203"/>
      <c r="N793" s="203"/>
      <c r="O793" s="199"/>
      <c r="P793" s="199"/>
      <c r="Q793" s="199"/>
    </row>
    <row r="794">
      <c r="A794" s="28"/>
      <c r="B794" s="199"/>
      <c r="C794" s="199"/>
      <c r="D794" s="199"/>
      <c r="E794" s="199"/>
      <c r="F794" s="199"/>
      <c r="G794" s="200"/>
      <c r="H794" s="199"/>
      <c r="I794" s="199"/>
      <c r="J794" s="199"/>
      <c r="K794" s="199"/>
      <c r="L794" s="203"/>
      <c r="M794" s="203"/>
      <c r="N794" s="203"/>
      <c r="O794" s="199"/>
      <c r="P794" s="199"/>
      <c r="Q794" s="199"/>
    </row>
    <row r="795">
      <c r="A795" s="28"/>
      <c r="B795" s="199"/>
      <c r="C795" s="199"/>
      <c r="D795" s="199"/>
      <c r="E795" s="199"/>
      <c r="F795" s="199"/>
      <c r="G795" s="200"/>
      <c r="H795" s="199"/>
      <c r="I795" s="199"/>
      <c r="J795" s="199"/>
      <c r="K795" s="199"/>
      <c r="L795" s="203"/>
      <c r="M795" s="203"/>
      <c r="N795" s="203"/>
      <c r="O795" s="199"/>
      <c r="P795" s="199"/>
      <c r="Q795" s="199"/>
    </row>
    <row r="796">
      <c r="A796" s="28"/>
      <c r="B796" s="199"/>
      <c r="C796" s="199"/>
      <c r="D796" s="199"/>
      <c r="E796" s="199"/>
      <c r="F796" s="199"/>
      <c r="G796" s="200"/>
      <c r="H796" s="199"/>
      <c r="I796" s="199"/>
      <c r="J796" s="199"/>
      <c r="K796" s="199"/>
      <c r="L796" s="203"/>
      <c r="M796" s="203"/>
      <c r="N796" s="203"/>
      <c r="O796" s="199"/>
      <c r="P796" s="199"/>
      <c r="Q796" s="199"/>
    </row>
    <row r="797">
      <c r="A797" s="28"/>
      <c r="B797" s="199"/>
      <c r="C797" s="199"/>
      <c r="D797" s="199"/>
      <c r="E797" s="199"/>
      <c r="F797" s="199"/>
      <c r="G797" s="200"/>
      <c r="H797" s="199"/>
      <c r="I797" s="199"/>
      <c r="J797" s="199"/>
      <c r="K797" s="199"/>
      <c r="L797" s="203"/>
      <c r="M797" s="203"/>
      <c r="N797" s="203"/>
      <c r="O797" s="199"/>
      <c r="P797" s="199"/>
      <c r="Q797" s="199"/>
    </row>
    <row r="798">
      <c r="A798" s="28"/>
      <c r="B798" s="199"/>
      <c r="C798" s="199"/>
      <c r="D798" s="199"/>
      <c r="E798" s="199"/>
      <c r="F798" s="199"/>
      <c r="G798" s="200"/>
      <c r="H798" s="199"/>
      <c r="I798" s="199"/>
      <c r="J798" s="199"/>
      <c r="K798" s="199"/>
      <c r="L798" s="203"/>
      <c r="M798" s="203"/>
      <c r="N798" s="203"/>
      <c r="O798" s="199"/>
      <c r="P798" s="199"/>
      <c r="Q798" s="199"/>
    </row>
    <row r="799">
      <c r="A799" s="28"/>
      <c r="B799" s="199"/>
      <c r="C799" s="199"/>
      <c r="D799" s="199"/>
      <c r="E799" s="199"/>
      <c r="F799" s="199"/>
      <c r="G799" s="200"/>
      <c r="H799" s="199"/>
      <c r="I799" s="199"/>
      <c r="J799" s="199"/>
      <c r="K799" s="199"/>
      <c r="L799" s="203"/>
      <c r="M799" s="203"/>
      <c r="N799" s="203"/>
      <c r="O799" s="199"/>
      <c r="P799" s="199"/>
      <c r="Q799" s="199"/>
    </row>
    <row r="800">
      <c r="A800" s="28"/>
      <c r="B800" s="199"/>
      <c r="C800" s="199"/>
      <c r="D800" s="199"/>
      <c r="E800" s="199"/>
      <c r="F800" s="199"/>
      <c r="G800" s="200"/>
      <c r="H800" s="199"/>
      <c r="I800" s="199"/>
      <c r="J800" s="199"/>
      <c r="K800" s="199"/>
      <c r="L800" s="203"/>
      <c r="M800" s="203"/>
      <c r="N800" s="203"/>
      <c r="O800" s="199"/>
      <c r="P800" s="199"/>
      <c r="Q800" s="199"/>
    </row>
    <row r="801">
      <c r="A801" s="28"/>
      <c r="B801" s="199"/>
      <c r="C801" s="199"/>
      <c r="D801" s="199"/>
      <c r="E801" s="199"/>
      <c r="F801" s="199"/>
      <c r="G801" s="200"/>
      <c r="H801" s="199"/>
      <c r="I801" s="199"/>
      <c r="J801" s="199"/>
      <c r="K801" s="199"/>
      <c r="L801" s="203"/>
      <c r="M801" s="203"/>
      <c r="N801" s="203"/>
      <c r="O801" s="199"/>
      <c r="P801" s="199"/>
      <c r="Q801" s="199"/>
    </row>
    <row r="802">
      <c r="A802" s="28"/>
      <c r="B802" s="199"/>
      <c r="C802" s="199"/>
      <c r="D802" s="199"/>
      <c r="E802" s="199"/>
      <c r="F802" s="199"/>
      <c r="G802" s="200"/>
      <c r="H802" s="199"/>
      <c r="I802" s="199"/>
      <c r="J802" s="199"/>
      <c r="K802" s="199"/>
      <c r="L802" s="203"/>
      <c r="M802" s="203"/>
      <c r="N802" s="203"/>
      <c r="O802" s="199"/>
      <c r="P802" s="199"/>
      <c r="Q802" s="199"/>
    </row>
    <row r="803">
      <c r="A803" s="28"/>
      <c r="B803" s="199"/>
      <c r="C803" s="199"/>
      <c r="D803" s="199"/>
      <c r="E803" s="199"/>
      <c r="F803" s="199"/>
      <c r="G803" s="200"/>
      <c r="H803" s="199"/>
      <c r="I803" s="199"/>
      <c r="J803" s="199"/>
      <c r="K803" s="199"/>
      <c r="L803" s="203"/>
      <c r="M803" s="203"/>
      <c r="N803" s="203"/>
      <c r="O803" s="199"/>
      <c r="P803" s="199"/>
      <c r="Q803" s="199"/>
    </row>
    <row r="804">
      <c r="A804" s="28"/>
      <c r="B804" s="199"/>
      <c r="C804" s="199"/>
      <c r="D804" s="199"/>
      <c r="E804" s="199"/>
      <c r="F804" s="199"/>
      <c r="G804" s="200"/>
      <c r="H804" s="199"/>
      <c r="I804" s="199"/>
      <c r="J804" s="199"/>
      <c r="K804" s="199"/>
      <c r="L804" s="203"/>
      <c r="M804" s="203"/>
      <c r="N804" s="203"/>
      <c r="O804" s="199"/>
      <c r="P804" s="199"/>
      <c r="Q804" s="199"/>
    </row>
    <row r="805">
      <c r="A805" s="28"/>
      <c r="B805" s="199"/>
      <c r="C805" s="199"/>
      <c r="D805" s="199"/>
      <c r="E805" s="199"/>
      <c r="F805" s="199"/>
      <c r="G805" s="200"/>
      <c r="H805" s="199"/>
      <c r="I805" s="199"/>
      <c r="J805" s="199"/>
      <c r="K805" s="199"/>
      <c r="L805" s="203"/>
      <c r="M805" s="203"/>
      <c r="N805" s="203"/>
      <c r="O805" s="199"/>
      <c r="P805" s="199"/>
      <c r="Q805" s="199"/>
    </row>
    <row r="806">
      <c r="A806" s="28"/>
      <c r="B806" s="199"/>
      <c r="C806" s="199"/>
      <c r="D806" s="199"/>
      <c r="E806" s="199"/>
      <c r="F806" s="199"/>
      <c r="G806" s="200"/>
      <c r="H806" s="199"/>
      <c r="I806" s="199"/>
      <c r="J806" s="199"/>
      <c r="K806" s="199"/>
      <c r="L806" s="203"/>
      <c r="M806" s="203"/>
      <c r="N806" s="203"/>
      <c r="O806" s="199"/>
      <c r="P806" s="199"/>
      <c r="Q806" s="199"/>
    </row>
    <row r="807">
      <c r="A807" s="28"/>
      <c r="B807" s="199"/>
      <c r="C807" s="199"/>
      <c r="D807" s="199"/>
      <c r="E807" s="199"/>
      <c r="F807" s="199"/>
      <c r="G807" s="200"/>
      <c r="H807" s="199"/>
      <c r="I807" s="199"/>
      <c r="J807" s="199"/>
      <c r="K807" s="199"/>
      <c r="L807" s="203"/>
      <c r="M807" s="203"/>
      <c r="N807" s="203"/>
      <c r="O807" s="199"/>
      <c r="P807" s="199"/>
      <c r="Q807" s="199"/>
    </row>
    <row r="808">
      <c r="A808" s="28"/>
      <c r="B808" s="199"/>
      <c r="C808" s="199"/>
      <c r="D808" s="199"/>
      <c r="E808" s="199"/>
      <c r="F808" s="199"/>
      <c r="G808" s="200"/>
      <c r="H808" s="199"/>
      <c r="I808" s="199"/>
      <c r="J808" s="199"/>
      <c r="K808" s="199"/>
      <c r="L808" s="203"/>
      <c r="M808" s="203"/>
      <c r="N808" s="203"/>
      <c r="O808" s="199"/>
      <c r="P808" s="199"/>
      <c r="Q808" s="199"/>
    </row>
    <row r="809">
      <c r="A809" s="28"/>
      <c r="B809" s="199"/>
      <c r="C809" s="199"/>
      <c r="D809" s="199"/>
      <c r="E809" s="199"/>
      <c r="F809" s="199"/>
      <c r="G809" s="200"/>
      <c r="H809" s="199"/>
      <c r="I809" s="199"/>
      <c r="J809" s="199"/>
      <c r="K809" s="199"/>
      <c r="L809" s="203"/>
      <c r="M809" s="203"/>
      <c r="N809" s="203"/>
      <c r="O809" s="199"/>
      <c r="P809" s="199"/>
      <c r="Q809" s="199"/>
    </row>
    <row r="810">
      <c r="A810" s="28"/>
      <c r="B810" s="199"/>
      <c r="C810" s="199"/>
      <c r="D810" s="199"/>
      <c r="E810" s="199"/>
      <c r="F810" s="199"/>
      <c r="G810" s="200"/>
      <c r="H810" s="199"/>
      <c r="I810" s="199"/>
      <c r="J810" s="199"/>
      <c r="K810" s="199"/>
      <c r="L810" s="203"/>
      <c r="M810" s="203"/>
      <c r="N810" s="203"/>
      <c r="O810" s="199"/>
      <c r="P810" s="199"/>
      <c r="Q810" s="199"/>
    </row>
    <row r="811">
      <c r="A811" s="28"/>
      <c r="B811" s="199"/>
      <c r="C811" s="199"/>
      <c r="D811" s="199"/>
      <c r="E811" s="199"/>
      <c r="F811" s="199"/>
      <c r="G811" s="200"/>
      <c r="H811" s="199"/>
      <c r="I811" s="199"/>
      <c r="J811" s="199"/>
      <c r="K811" s="199"/>
      <c r="L811" s="203"/>
      <c r="M811" s="203"/>
      <c r="N811" s="203"/>
      <c r="O811" s="199"/>
      <c r="P811" s="199"/>
      <c r="Q811" s="199"/>
    </row>
    <row r="812">
      <c r="A812" s="28"/>
      <c r="B812" s="199"/>
      <c r="C812" s="199"/>
      <c r="D812" s="199"/>
      <c r="E812" s="199"/>
      <c r="F812" s="199"/>
      <c r="G812" s="200"/>
      <c r="H812" s="199"/>
      <c r="I812" s="199"/>
      <c r="J812" s="199"/>
      <c r="K812" s="199"/>
      <c r="L812" s="203"/>
      <c r="M812" s="203"/>
      <c r="N812" s="203"/>
      <c r="O812" s="199"/>
      <c r="P812" s="199"/>
      <c r="Q812" s="199"/>
    </row>
    <row r="813">
      <c r="A813" s="28"/>
      <c r="B813" s="199"/>
      <c r="C813" s="199"/>
      <c r="D813" s="199"/>
      <c r="E813" s="199"/>
      <c r="F813" s="199"/>
      <c r="G813" s="200"/>
      <c r="H813" s="199"/>
      <c r="I813" s="199"/>
      <c r="J813" s="199"/>
      <c r="K813" s="199"/>
      <c r="L813" s="203"/>
      <c r="M813" s="203"/>
      <c r="N813" s="203"/>
      <c r="O813" s="199"/>
      <c r="P813" s="199"/>
      <c r="Q813" s="199"/>
    </row>
    <row r="814">
      <c r="A814" s="28"/>
      <c r="B814" s="199"/>
      <c r="C814" s="199"/>
      <c r="D814" s="199"/>
      <c r="E814" s="199"/>
      <c r="F814" s="199"/>
      <c r="G814" s="200"/>
      <c r="H814" s="199"/>
      <c r="I814" s="199"/>
      <c r="J814" s="199"/>
      <c r="K814" s="199"/>
      <c r="L814" s="203"/>
      <c r="M814" s="203"/>
      <c r="N814" s="203"/>
      <c r="O814" s="199"/>
      <c r="P814" s="199"/>
      <c r="Q814" s="199"/>
    </row>
    <row r="815">
      <c r="A815" s="28"/>
      <c r="B815" s="199"/>
      <c r="C815" s="199"/>
      <c r="D815" s="199"/>
      <c r="E815" s="199"/>
      <c r="F815" s="199"/>
      <c r="G815" s="200"/>
      <c r="H815" s="199"/>
      <c r="I815" s="199"/>
      <c r="J815" s="199"/>
      <c r="K815" s="199"/>
      <c r="L815" s="203"/>
      <c r="M815" s="203"/>
      <c r="N815" s="203"/>
      <c r="O815" s="199"/>
      <c r="P815" s="199"/>
      <c r="Q815" s="199"/>
    </row>
    <row r="816">
      <c r="A816" s="28"/>
      <c r="B816" s="199"/>
      <c r="C816" s="199"/>
      <c r="D816" s="199"/>
      <c r="E816" s="199"/>
      <c r="F816" s="199"/>
      <c r="G816" s="200"/>
      <c r="H816" s="199"/>
      <c r="I816" s="199"/>
      <c r="J816" s="199"/>
      <c r="K816" s="199"/>
      <c r="L816" s="203"/>
      <c r="M816" s="203"/>
      <c r="N816" s="203"/>
      <c r="O816" s="199"/>
      <c r="P816" s="199"/>
      <c r="Q816" s="199"/>
    </row>
    <row r="817">
      <c r="A817" s="28"/>
      <c r="B817" s="199"/>
      <c r="C817" s="199"/>
      <c r="D817" s="199"/>
      <c r="E817" s="199"/>
      <c r="F817" s="199"/>
      <c r="G817" s="200"/>
      <c r="H817" s="199"/>
      <c r="I817" s="199"/>
      <c r="J817" s="199"/>
      <c r="K817" s="199"/>
      <c r="L817" s="203"/>
      <c r="M817" s="203"/>
      <c r="N817" s="203"/>
      <c r="O817" s="199"/>
      <c r="P817" s="199"/>
      <c r="Q817" s="199"/>
    </row>
    <row r="818">
      <c r="A818" s="28"/>
      <c r="B818" s="199"/>
      <c r="C818" s="199"/>
      <c r="D818" s="199"/>
      <c r="E818" s="199"/>
      <c r="F818" s="199"/>
      <c r="G818" s="200"/>
      <c r="H818" s="199"/>
      <c r="I818" s="199"/>
      <c r="J818" s="199"/>
      <c r="K818" s="199"/>
      <c r="L818" s="203"/>
      <c r="M818" s="203"/>
      <c r="N818" s="203"/>
      <c r="O818" s="199"/>
      <c r="P818" s="199"/>
      <c r="Q818" s="199"/>
    </row>
    <row r="819">
      <c r="A819" s="28"/>
      <c r="B819" s="199"/>
      <c r="C819" s="199"/>
      <c r="D819" s="199"/>
      <c r="E819" s="199"/>
      <c r="F819" s="199"/>
      <c r="G819" s="200"/>
      <c r="H819" s="199"/>
      <c r="I819" s="199"/>
      <c r="J819" s="199"/>
      <c r="K819" s="199"/>
      <c r="L819" s="203"/>
      <c r="M819" s="203"/>
      <c r="N819" s="203"/>
      <c r="O819" s="199"/>
      <c r="P819" s="199"/>
      <c r="Q819" s="199"/>
    </row>
    <row r="820">
      <c r="A820" s="28"/>
      <c r="B820" s="199"/>
      <c r="C820" s="199"/>
      <c r="D820" s="199"/>
      <c r="E820" s="199"/>
      <c r="F820" s="199"/>
      <c r="G820" s="200"/>
      <c r="H820" s="199"/>
      <c r="I820" s="199"/>
      <c r="J820" s="199"/>
      <c r="K820" s="199"/>
      <c r="L820" s="203"/>
      <c r="M820" s="203"/>
      <c r="N820" s="203"/>
      <c r="O820" s="199"/>
      <c r="P820" s="199"/>
      <c r="Q820" s="199"/>
    </row>
    <row r="821">
      <c r="A821" s="28"/>
      <c r="B821" s="199"/>
      <c r="C821" s="199"/>
      <c r="D821" s="199"/>
      <c r="E821" s="199"/>
      <c r="F821" s="199"/>
      <c r="G821" s="200"/>
      <c r="H821" s="199"/>
      <c r="I821" s="199"/>
      <c r="J821" s="199"/>
      <c r="K821" s="199"/>
      <c r="L821" s="203"/>
      <c r="M821" s="203"/>
      <c r="N821" s="203"/>
      <c r="O821" s="199"/>
      <c r="P821" s="199"/>
      <c r="Q821" s="199"/>
    </row>
    <row r="822">
      <c r="A822" s="28"/>
      <c r="B822" s="199"/>
      <c r="C822" s="199"/>
      <c r="D822" s="199"/>
      <c r="E822" s="199"/>
      <c r="F822" s="199"/>
      <c r="G822" s="200"/>
      <c r="H822" s="199"/>
      <c r="I822" s="199"/>
      <c r="J822" s="199"/>
      <c r="K822" s="199"/>
      <c r="L822" s="203"/>
      <c r="M822" s="203"/>
      <c r="N822" s="203"/>
      <c r="O822" s="199"/>
      <c r="P822" s="199"/>
      <c r="Q822" s="199"/>
    </row>
    <row r="823">
      <c r="A823" s="28"/>
      <c r="B823" s="199"/>
      <c r="C823" s="199"/>
      <c r="D823" s="199"/>
      <c r="E823" s="199"/>
      <c r="F823" s="199"/>
      <c r="G823" s="200"/>
      <c r="H823" s="199"/>
      <c r="I823" s="199"/>
      <c r="J823" s="199"/>
      <c r="K823" s="199"/>
      <c r="L823" s="203"/>
      <c r="M823" s="203"/>
      <c r="N823" s="203"/>
      <c r="O823" s="199"/>
      <c r="P823" s="199"/>
      <c r="Q823" s="199"/>
    </row>
    <row r="824">
      <c r="A824" s="28"/>
      <c r="B824" s="199"/>
      <c r="C824" s="199"/>
      <c r="D824" s="199"/>
      <c r="E824" s="199"/>
      <c r="F824" s="199"/>
      <c r="G824" s="200"/>
      <c r="H824" s="199"/>
      <c r="I824" s="199"/>
      <c r="J824" s="199"/>
      <c r="K824" s="199"/>
      <c r="L824" s="203"/>
      <c r="M824" s="203"/>
      <c r="N824" s="203"/>
      <c r="O824" s="199"/>
      <c r="P824" s="199"/>
      <c r="Q824" s="199"/>
    </row>
    <row r="825">
      <c r="A825" s="28"/>
      <c r="B825" s="199"/>
      <c r="C825" s="199"/>
      <c r="D825" s="199"/>
      <c r="E825" s="199"/>
      <c r="F825" s="199"/>
      <c r="G825" s="200"/>
      <c r="H825" s="199"/>
      <c r="I825" s="199"/>
      <c r="J825" s="199"/>
      <c r="K825" s="199"/>
      <c r="L825" s="203"/>
      <c r="M825" s="203"/>
      <c r="N825" s="203"/>
      <c r="O825" s="199"/>
      <c r="P825" s="199"/>
      <c r="Q825" s="199"/>
    </row>
    <row r="826">
      <c r="A826" s="28"/>
      <c r="B826" s="199"/>
      <c r="C826" s="199"/>
      <c r="D826" s="199"/>
      <c r="E826" s="199"/>
      <c r="F826" s="199"/>
      <c r="G826" s="200"/>
      <c r="H826" s="199"/>
      <c r="I826" s="199"/>
      <c r="J826" s="199"/>
      <c r="K826" s="199"/>
      <c r="L826" s="203"/>
      <c r="M826" s="203"/>
      <c r="N826" s="203"/>
      <c r="O826" s="199"/>
      <c r="P826" s="199"/>
      <c r="Q826" s="199"/>
    </row>
    <row r="827">
      <c r="A827" s="28"/>
      <c r="B827" s="199"/>
      <c r="C827" s="199"/>
      <c r="D827" s="199"/>
      <c r="E827" s="199"/>
      <c r="F827" s="199"/>
      <c r="G827" s="200"/>
      <c r="H827" s="199"/>
      <c r="I827" s="199"/>
      <c r="J827" s="199"/>
      <c r="K827" s="199"/>
      <c r="L827" s="203"/>
      <c r="M827" s="203"/>
      <c r="N827" s="203"/>
      <c r="O827" s="199"/>
      <c r="P827" s="199"/>
      <c r="Q827" s="199"/>
    </row>
    <row r="828">
      <c r="A828" s="28"/>
      <c r="B828" s="199"/>
      <c r="C828" s="199"/>
      <c r="D828" s="199"/>
      <c r="E828" s="199"/>
      <c r="F828" s="199"/>
      <c r="G828" s="200"/>
      <c r="H828" s="199"/>
      <c r="I828" s="199"/>
      <c r="J828" s="199"/>
      <c r="K828" s="199"/>
      <c r="L828" s="203"/>
      <c r="M828" s="203"/>
      <c r="N828" s="203"/>
      <c r="O828" s="199"/>
      <c r="P828" s="199"/>
      <c r="Q828" s="199"/>
    </row>
    <row r="829">
      <c r="A829" s="28"/>
      <c r="B829" s="199"/>
      <c r="C829" s="199"/>
      <c r="D829" s="199"/>
      <c r="E829" s="199"/>
      <c r="F829" s="199"/>
      <c r="G829" s="200"/>
      <c r="H829" s="199"/>
      <c r="I829" s="199"/>
      <c r="J829" s="199"/>
      <c r="K829" s="199"/>
      <c r="L829" s="203"/>
      <c r="M829" s="203"/>
      <c r="N829" s="203"/>
      <c r="O829" s="199"/>
      <c r="P829" s="199"/>
      <c r="Q829" s="199"/>
    </row>
    <row r="830">
      <c r="A830" s="28"/>
      <c r="B830" s="199"/>
      <c r="C830" s="199"/>
      <c r="D830" s="199"/>
      <c r="E830" s="199"/>
      <c r="F830" s="199"/>
      <c r="G830" s="200"/>
      <c r="H830" s="199"/>
      <c r="I830" s="199"/>
      <c r="J830" s="199"/>
      <c r="K830" s="199"/>
      <c r="L830" s="203"/>
      <c r="M830" s="203"/>
      <c r="N830" s="203"/>
      <c r="O830" s="199"/>
      <c r="P830" s="199"/>
      <c r="Q830" s="199"/>
    </row>
    <row r="831">
      <c r="A831" s="28"/>
      <c r="B831" s="199"/>
      <c r="C831" s="199"/>
      <c r="D831" s="199"/>
      <c r="E831" s="199"/>
      <c r="F831" s="199"/>
      <c r="G831" s="200"/>
      <c r="H831" s="199"/>
      <c r="I831" s="199"/>
      <c r="J831" s="199"/>
      <c r="K831" s="199"/>
      <c r="L831" s="203"/>
      <c r="M831" s="203"/>
      <c r="N831" s="203"/>
      <c r="O831" s="199"/>
      <c r="P831" s="199"/>
      <c r="Q831" s="199"/>
    </row>
    <row r="832">
      <c r="A832" s="28"/>
      <c r="B832" s="199"/>
      <c r="C832" s="199"/>
      <c r="D832" s="199"/>
      <c r="E832" s="199"/>
      <c r="F832" s="199"/>
      <c r="G832" s="200"/>
      <c r="H832" s="199"/>
      <c r="I832" s="199"/>
      <c r="J832" s="199"/>
      <c r="K832" s="199"/>
      <c r="L832" s="203"/>
      <c r="M832" s="203"/>
      <c r="N832" s="203"/>
      <c r="O832" s="199"/>
      <c r="P832" s="199"/>
      <c r="Q832" s="199"/>
    </row>
    <row r="833">
      <c r="A833" s="28"/>
      <c r="B833" s="199"/>
      <c r="C833" s="199"/>
      <c r="D833" s="199"/>
      <c r="E833" s="199"/>
      <c r="F833" s="199"/>
      <c r="G833" s="200"/>
      <c r="H833" s="199"/>
      <c r="I833" s="199"/>
      <c r="J833" s="199"/>
      <c r="K833" s="199"/>
      <c r="L833" s="203"/>
      <c r="M833" s="203"/>
      <c r="N833" s="203"/>
      <c r="O833" s="199"/>
      <c r="P833" s="199"/>
      <c r="Q833" s="199"/>
    </row>
    <row r="834">
      <c r="A834" s="28"/>
      <c r="B834" s="199"/>
      <c r="C834" s="199"/>
      <c r="D834" s="199"/>
      <c r="E834" s="199"/>
      <c r="F834" s="199"/>
      <c r="G834" s="200"/>
      <c r="H834" s="199"/>
      <c r="I834" s="199"/>
      <c r="J834" s="199"/>
      <c r="K834" s="199"/>
      <c r="L834" s="203"/>
      <c r="M834" s="203"/>
      <c r="N834" s="203"/>
      <c r="O834" s="199"/>
      <c r="P834" s="199"/>
      <c r="Q834" s="199"/>
    </row>
    <row r="835">
      <c r="A835" s="28"/>
      <c r="B835" s="199"/>
      <c r="C835" s="199"/>
      <c r="D835" s="199"/>
      <c r="E835" s="199"/>
      <c r="F835" s="199"/>
      <c r="G835" s="200"/>
      <c r="H835" s="199"/>
      <c r="I835" s="199"/>
      <c r="J835" s="199"/>
      <c r="K835" s="199"/>
      <c r="L835" s="203"/>
      <c r="M835" s="203"/>
      <c r="N835" s="203"/>
      <c r="O835" s="199"/>
      <c r="P835" s="199"/>
      <c r="Q835" s="199"/>
    </row>
    <row r="836">
      <c r="A836" s="28"/>
      <c r="B836" s="199"/>
      <c r="C836" s="199"/>
      <c r="D836" s="199"/>
      <c r="E836" s="199"/>
      <c r="F836" s="199"/>
      <c r="G836" s="200"/>
      <c r="H836" s="199"/>
      <c r="I836" s="199"/>
      <c r="J836" s="199"/>
      <c r="K836" s="199"/>
      <c r="L836" s="203"/>
      <c r="M836" s="203"/>
      <c r="N836" s="203"/>
      <c r="O836" s="199"/>
      <c r="P836" s="199"/>
      <c r="Q836" s="199"/>
    </row>
    <row r="837">
      <c r="A837" s="28"/>
      <c r="B837" s="199"/>
      <c r="C837" s="199"/>
      <c r="D837" s="199"/>
      <c r="E837" s="199"/>
      <c r="F837" s="199"/>
      <c r="G837" s="200"/>
      <c r="H837" s="199"/>
      <c r="I837" s="199"/>
      <c r="J837" s="199"/>
      <c r="K837" s="199"/>
      <c r="L837" s="203"/>
      <c r="M837" s="203"/>
      <c r="N837" s="203"/>
      <c r="O837" s="199"/>
      <c r="P837" s="199"/>
      <c r="Q837" s="199"/>
    </row>
    <row r="838">
      <c r="A838" s="28"/>
      <c r="B838" s="199"/>
      <c r="C838" s="199"/>
      <c r="D838" s="199"/>
      <c r="E838" s="199"/>
      <c r="F838" s="199"/>
      <c r="G838" s="200"/>
      <c r="H838" s="199"/>
      <c r="I838" s="199"/>
      <c r="J838" s="199"/>
      <c r="K838" s="199"/>
      <c r="L838" s="203"/>
      <c r="M838" s="203"/>
      <c r="N838" s="203"/>
      <c r="O838" s="199"/>
      <c r="P838" s="199"/>
      <c r="Q838" s="199"/>
    </row>
    <row r="839">
      <c r="A839" s="28"/>
      <c r="B839" s="199"/>
      <c r="C839" s="199"/>
      <c r="D839" s="199"/>
      <c r="E839" s="199"/>
      <c r="F839" s="199"/>
      <c r="G839" s="200"/>
      <c r="H839" s="199"/>
      <c r="I839" s="199"/>
      <c r="J839" s="199"/>
      <c r="K839" s="199"/>
      <c r="L839" s="203"/>
      <c r="M839" s="203"/>
      <c r="N839" s="203"/>
      <c r="O839" s="199"/>
      <c r="P839" s="199"/>
      <c r="Q839" s="199"/>
    </row>
    <row r="840">
      <c r="A840" s="28"/>
      <c r="B840" s="199"/>
      <c r="C840" s="199"/>
      <c r="D840" s="199"/>
      <c r="E840" s="199"/>
      <c r="F840" s="199"/>
      <c r="G840" s="200"/>
      <c r="H840" s="199"/>
      <c r="I840" s="199"/>
      <c r="J840" s="199"/>
      <c r="K840" s="199"/>
      <c r="L840" s="203"/>
      <c r="M840" s="203"/>
      <c r="N840" s="203"/>
      <c r="O840" s="199"/>
      <c r="P840" s="199"/>
      <c r="Q840" s="199"/>
    </row>
    <row r="841">
      <c r="A841" s="28"/>
      <c r="B841" s="199"/>
      <c r="C841" s="199"/>
      <c r="D841" s="199"/>
      <c r="E841" s="199"/>
      <c r="F841" s="199"/>
      <c r="G841" s="200"/>
      <c r="H841" s="199"/>
      <c r="I841" s="199"/>
      <c r="J841" s="199"/>
      <c r="K841" s="199"/>
      <c r="L841" s="203"/>
      <c r="M841" s="203"/>
      <c r="N841" s="203"/>
      <c r="O841" s="199"/>
      <c r="P841" s="199"/>
      <c r="Q841" s="199"/>
    </row>
    <row r="842">
      <c r="A842" s="28"/>
      <c r="B842" s="199"/>
      <c r="C842" s="199"/>
      <c r="D842" s="199"/>
      <c r="E842" s="199"/>
      <c r="F842" s="199"/>
      <c r="G842" s="200"/>
      <c r="H842" s="199"/>
      <c r="I842" s="199"/>
      <c r="J842" s="199"/>
      <c r="K842" s="199"/>
      <c r="L842" s="203"/>
      <c r="M842" s="203"/>
      <c r="N842" s="203"/>
      <c r="O842" s="199"/>
      <c r="P842" s="199"/>
      <c r="Q842" s="199"/>
    </row>
    <row r="843">
      <c r="A843" s="28"/>
      <c r="B843" s="199"/>
      <c r="C843" s="199"/>
      <c r="D843" s="199"/>
      <c r="E843" s="199"/>
      <c r="F843" s="199"/>
      <c r="G843" s="200"/>
      <c r="H843" s="199"/>
      <c r="I843" s="199"/>
      <c r="J843" s="199"/>
      <c r="K843" s="199"/>
      <c r="L843" s="203"/>
      <c r="M843" s="203"/>
      <c r="N843" s="203"/>
      <c r="O843" s="199"/>
      <c r="P843" s="199"/>
      <c r="Q843" s="199"/>
    </row>
    <row r="844">
      <c r="A844" s="28"/>
      <c r="B844" s="199"/>
      <c r="C844" s="199"/>
      <c r="D844" s="199"/>
      <c r="E844" s="199"/>
      <c r="F844" s="199"/>
      <c r="G844" s="200"/>
      <c r="H844" s="199"/>
      <c r="I844" s="199"/>
      <c r="J844" s="199"/>
      <c r="K844" s="199"/>
      <c r="L844" s="203"/>
      <c r="M844" s="203"/>
      <c r="N844" s="203"/>
      <c r="O844" s="199"/>
      <c r="P844" s="199"/>
      <c r="Q844" s="199"/>
    </row>
    <row r="845">
      <c r="A845" s="28"/>
      <c r="B845" s="199"/>
      <c r="C845" s="199"/>
      <c r="D845" s="199"/>
      <c r="E845" s="199"/>
      <c r="F845" s="199"/>
      <c r="G845" s="200"/>
      <c r="H845" s="199"/>
      <c r="I845" s="199"/>
      <c r="J845" s="199"/>
      <c r="K845" s="199"/>
      <c r="L845" s="203"/>
      <c r="M845" s="203"/>
      <c r="N845" s="203"/>
      <c r="O845" s="199"/>
      <c r="P845" s="199"/>
      <c r="Q845" s="199"/>
    </row>
    <row r="846">
      <c r="A846" s="28"/>
      <c r="B846" s="199"/>
      <c r="C846" s="199"/>
      <c r="D846" s="199"/>
      <c r="E846" s="199"/>
      <c r="F846" s="199"/>
      <c r="G846" s="200"/>
      <c r="H846" s="199"/>
      <c r="I846" s="199"/>
      <c r="J846" s="199"/>
      <c r="K846" s="199"/>
      <c r="L846" s="203"/>
      <c r="M846" s="203"/>
      <c r="N846" s="203"/>
      <c r="O846" s="199"/>
      <c r="P846" s="199"/>
      <c r="Q846" s="199"/>
    </row>
    <row r="847">
      <c r="A847" s="28"/>
      <c r="B847" s="199"/>
      <c r="C847" s="199"/>
      <c r="D847" s="199"/>
      <c r="E847" s="199"/>
      <c r="F847" s="199"/>
      <c r="G847" s="200"/>
      <c r="H847" s="199"/>
      <c r="I847" s="199"/>
      <c r="J847" s="199"/>
      <c r="K847" s="199"/>
      <c r="L847" s="203"/>
      <c r="M847" s="203"/>
      <c r="N847" s="203"/>
      <c r="O847" s="199"/>
      <c r="P847" s="199"/>
      <c r="Q847" s="199"/>
    </row>
    <row r="848">
      <c r="A848" s="28"/>
      <c r="B848" s="199"/>
      <c r="C848" s="199"/>
      <c r="D848" s="199"/>
      <c r="E848" s="199"/>
      <c r="F848" s="199"/>
      <c r="G848" s="200"/>
      <c r="H848" s="199"/>
      <c r="I848" s="199"/>
      <c r="J848" s="199"/>
      <c r="K848" s="199"/>
      <c r="L848" s="203"/>
      <c r="M848" s="203"/>
      <c r="N848" s="203"/>
      <c r="O848" s="199"/>
      <c r="P848" s="199"/>
      <c r="Q848" s="199"/>
    </row>
    <row r="849">
      <c r="A849" s="28"/>
      <c r="B849" s="199"/>
      <c r="C849" s="199"/>
      <c r="D849" s="199"/>
      <c r="E849" s="199"/>
      <c r="F849" s="199"/>
      <c r="G849" s="200"/>
      <c r="H849" s="199"/>
      <c r="I849" s="199"/>
      <c r="J849" s="199"/>
      <c r="K849" s="199"/>
      <c r="L849" s="203"/>
      <c r="M849" s="203"/>
      <c r="N849" s="203"/>
      <c r="O849" s="199"/>
      <c r="P849" s="199"/>
      <c r="Q849" s="199"/>
    </row>
    <row r="850">
      <c r="A850" s="28"/>
      <c r="B850" s="199"/>
      <c r="C850" s="199"/>
      <c r="D850" s="199"/>
      <c r="E850" s="199"/>
      <c r="F850" s="199"/>
      <c r="G850" s="200"/>
      <c r="H850" s="199"/>
      <c r="I850" s="199"/>
      <c r="J850" s="199"/>
      <c r="K850" s="199"/>
      <c r="L850" s="203"/>
      <c r="M850" s="203"/>
      <c r="N850" s="203"/>
      <c r="O850" s="199"/>
      <c r="P850" s="199"/>
      <c r="Q850" s="199"/>
    </row>
    <row r="851">
      <c r="A851" s="28"/>
      <c r="B851" s="199"/>
      <c r="C851" s="199"/>
      <c r="D851" s="199"/>
      <c r="E851" s="199"/>
      <c r="F851" s="199"/>
      <c r="G851" s="200"/>
      <c r="H851" s="199"/>
      <c r="I851" s="199"/>
      <c r="J851" s="199"/>
      <c r="K851" s="199"/>
      <c r="L851" s="203"/>
      <c r="M851" s="203"/>
      <c r="N851" s="203"/>
      <c r="O851" s="199"/>
      <c r="P851" s="199"/>
      <c r="Q851" s="199"/>
    </row>
    <row r="852">
      <c r="A852" s="28"/>
      <c r="B852" s="199"/>
      <c r="C852" s="199"/>
      <c r="D852" s="199"/>
      <c r="E852" s="199"/>
      <c r="F852" s="199"/>
      <c r="G852" s="200"/>
      <c r="H852" s="199"/>
      <c r="I852" s="199"/>
      <c r="J852" s="199"/>
      <c r="K852" s="199"/>
      <c r="L852" s="203"/>
      <c r="M852" s="203"/>
      <c r="N852" s="203"/>
      <c r="O852" s="199"/>
      <c r="P852" s="199"/>
      <c r="Q852" s="199"/>
    </row>
    <row r="853">
      <c r="A853" s="28"/>
      <c r="B853" s="199"/>
      <c r="C853" s="199"/>
      <c r="D853" s="199"/>
      <c r="E853" s="199"/>
      <c r="F853" s="199"/>
      <c r="G853" s="200"/>
      <c r="H853" s="199"/>
      <c r="I853" s="199"/>
      <c r="J853" s="199"/>
      <c r="K853" s="199"/>
      <c r="L853" s="203"/>
      <c r="M853" s="203"/>
      <c r="N853" s="203"/>
      <c r="O853" s="199"/>
      <c r="P853" s="199"/>
      <c r="Q853" s="199"/>
    </row>
    <row r="854">
      <c r="A854" s="28"/>
      <c r="B854" s="199"/>
      <c r="C854" s="199"/>
      <c r="D854" s="199"/>
      <c r="E854" s="199"/>
      <c r="F854" s="199"/>
      <c r="G854" s="200"/>
      <c r="H854" s="199"/>
      <c r="I854" s="199"/>
      <c r="J854" s="199"/>
      <c r="K854" s="199"/>
      <c r="L854" s="203"/>
      <c r="M854" s="203"/>
      <c r="N854" s="203"/>
      <c r="O854" s="199"/>
      <c r="P854" s="199"/>
      <c r="Q854" s="199"/>
    </row>
    <row r="855">
      <c r="A855" s="28"/>
      <c r="B855" s="199"/>
      <c r="C855" s="199"/>
      <c r="D855" s="199"/>
      <c r="E855" s="199"/>
      <c r="F855" s="199"/>
      <c r="G855" s="200"/>
      <c r="H855" s="199"/>
      <c r="I855" s="199"/>
      <c r="J855" s="199"/>
      <c r="K855" s="199"/>
      <c r="L855" s="203"/>
      <c r="M855" s="203"/>
      <c r="N855" s="203"/>
      <c r="O855" s="199"/>
      <c r="P855" s="199"/>
      <c r="Q855" s="199"/>
    </row>
    <row r="856">
      <c r="A856" s="28"/>
      <c r="B856" s="199"/>
      <c r="C856" s="199"/>
      <c r="D856" s="199"/>
      <c r="E856" s="199"/>
      <c r="F856" s="199"/>
      <c r="G856" s="200"/>
      <c r="H856" s="199"/>
      <c r="I856" s="199"/>
      <c r="J856" s="199"/>
      <c r="K856" s="199"/>
      <c r="L856" s="203"/>
      <c r="M856" s="203"/>
      <c r="N856" s="203"/>
      <c r="O856" s="199"/>
      <c r="P856" s="199"/>
      <c r="Q856" s="199"/>
    </row>
    <row r="857">
      <c r="A857" s="28"/>
      <c r="B857" s="199"/>
      <c r="C857" s="199"/>
      <c r="D857" s="199"/>
      <c r="E857" s="199"/>
      <c r="F857" s="199"/>
      <c r="G857" s="200"/>
      <c r="H857" s="199"/>
      <c r="I857" s="199"/>
      <c r="J857" s="199"/>
      <c r="K857" s="199"/>
      <c r="L857" s="203"/>
      <c r="M857" s="203"/>
      <c r="N857" s="203"/>
      <c r="O857" s="199"/>
      <c r="P857" s="199"/>
      <c r="Q857" s="199"/>
    </row>
    <row r="858">
      <c r="A858" s="28"/>
      <c r="B858" s="199"/>
      <c r="C858" s="199"/>
      <c r="D858" s="199"/>
      <c r="E858" s="199"/>
      <c r="F858" s="199"/>
      <c r="G858" s="200"/>
      <c r="H858" s="199"/>
      <c r="I858" s="199"/>
      <c r="J858" s="199"/>
      <c r="K858" s="199"/>
      <c r="L858" s="203"/>
      <c r="M858" s="203"/>
      <c r="N858" s="203"/>
      <c r="O858" s="199"/>
      <c r="P858" s="199"/>
      <c r="Q858" s="199"/>
    </row>
    <row r="859">
      <c r="A859" s="28"/>
      <c r="B859" s="199"/>
      <c r="C859" s="199"/>
      <c r="D859" s="199"/>
      <c r="E859" s="199"/>
      <c r="F859" s="199"/>
      <c r="G859" s="200"/>
      <c r="H859" s="199"/>
      <c r="I859" s="199"/>
      <c r="J859" s="199"/>
      <c r="K859" s="199"/>
      <c r="L859" s="203"/>
      <c r="M859" s="203"/>
      <c r="N859" s="203"/>
      <c r="O859" s="199"/>
      <c r="P859" s="199"/>
      <c r="Q859" s="199"/>
    </row>
    <row r="860">
      <c r="A860" s="28"/>
      <c r="B860" s="199"/>
      <c r="C860" s="199"/>
      <c r="D860" s="199"/>
      <c r="E860" s="199"/>
      <c r="F860" s="199"/>
      <c r="G860" s="200"/>
      <c r="H860" s="199"/>
      <c r="I860" s="199"/>
      <c r="J860" s="199"/>
      <c r="K860" s="199"/>
      <c r="L860" s="203"/>
      <c r="M860" s="203"/>
      <c r="N860" s="203"/>
      <c r="O860" s="199"/>
      <c r="P860" s="199"/>
      <c r="Q860" s="199"/>
    </row>
    <row r="861">
      <c r="A861" s="28"/>
      <c r="B861" s="199"/>
      <c r="C861" s="199"/>
      <c r="D861" s="199"/>
      <c r="E861" s="199"/>
      <c r="F861" s="199"/>
      <c r="G861" s="200"/>
      <c r="H861" s="199"/>
      <c r="I861" s="199"/>
      <c r="J861" s="199"/>
      <c r="K861" s="199"/>
      <c r="L861" s="203"/>
      <c r="M861" s="203"/>
      <c r="N861" s="203"/>
      <c r="O861" s="199"/>
      <c r="P861" s="199"/>
      <c r="Q861" s="199"/>
    </row>
    <row r="862">
      <c r="A862" s="28"/>
      <c r="B862" s="199"/>
      <c r="C862" s="199"/>
      <c r="D862" s="199"/>
      <c r="E862" s="199"/>
      <c r="F862" s="199"/>
      <c r="G862" s="200"/>
      <c r="H862" s="199"/>
      <c r="I862" s="199"/>
      <c r="J862" s="199"/>
      <c r="K862" s="199"/>
      <c r="L862" s="203"/>
      <c r="M862" s="203"/>
      <c r="N862" s="203"/>
      <c r="O862" s="199"/>
      <c r="P862" s="199"/>
      <c r="Q862" s="199"/>
    </row>
    <row r="863">
      <c r="A863" s="28"/>
      <c r="B863" s="199"/>
      <c r="C863" s="199"/>
      <c r="D863" s="199"/>
      <c r="E863" s="199"/>
      <c r="F863" s="199"/>
      <c r="G863" s="200"/>
      <c r="H863" s="199"/>
      <c r="I863" s="199"/>
      <c r="J863" s="199"/>
      <c r="K863" s="199"/>
      <c r="L863" s="203"/>
      <c r="M863" s="203"/>
      <c r="N863" s="203"/>
      <c r="O863" s="199"/>
      <c r="P863" s="199"/>
      <c r="Q863" s="199"/>
    </row>
    <row r="864">
      <c r="A864" s="28"/>
      <c r="B864" s="199"/>
      <c r="C864" s="199"/>
      <c r="D864" s="199"/>
      <c r="E864" s="199"/>
      <c r="F864" s="199"/>
      <c r="G864" s="200"/>
      <c r="H864" s="199"/>
      <c r="I864" s="199"/>
      <c r="J864" s="199"/>
      <c r="K864" s="199"/>
      <c r="L864" s="203"/>
      <c r="M864" s="203"/>
      <c r="N864" s="203"/>
      <c r="O864" s="199"/>
      <c r="P864" s="199"/>
      <c r="Q864" s="199"/>
    </row>
    <row r="865">
      <c r="A865" s="28"/>
      <c r="B865" s="199"/>
      <c r="C865" s="199"/>
      <c r="D865" s="199"/>
      <c r="E865" s="199"/>
      <c r="F865" s="199"/>
      <c r="G865" s="200"/>
      <c r="H865" s="199"/>
      <c r="I865" s="199"/>
      <c r="J865" s="199"/>
      <c r="K865" s="199"/>
      <c r="L865" s="203"/>
      <c r="M865" s="203"/>
      <c r="N865" s="203"/>
      <c r="O865" s="199"/>
      <c r="P865" s="199"/>
      <c r="Q865" s="199"/>
    </row>
    <row r="866">
      <c r="A866" s="28"/>
      <c r="B866" s="199"/>
      <c r="C866" s="199"/>
      <c r="D866" s="199"/>
      <c r="E866" s="199"/>
      <c r="F866" s="199"/>
      <c r="G866" s="200"/>
      <c r="H866" s="199"/>
      <c r="I866" s="199"/>
      <c r="J866" s="199"/>
      <c r="K866" s="199"/>
      <c r="L866" s="203"/>
      <c r="M866" s="203"/>
      <c r="N866" s="203"/>
      <c r="O866" s="199"/>
      <c r="P866" s="199"/>
      <c r="Q866" s="199"/>
    </row>
    <row r="867">
      <c r="A867" s="28"/>
      <c r="B867" s="199"/>
      <c r="C867" s="199"/>
      <c r="D867" s="199"/>
      <c r="E867" s="199"/>
      <c r="F867" s="199"/>
      <c r="G867" s="200"/>
      <c r="H867" s="199"/>
      <c r="I867" s="199"/>
      <c r="J867" s="199"/>
      <c r="K867" s="199"/>
      <c r="L867" s="203"/>
      <c r="M867" s="203"/>
      <c r="N867" s="203"/>
      <c r="O867" s="199"/>
      <c r="P867" s="199"/>
      <c r="Q867" s="199"/>
    </row>
    <row r="868">
      <c r="A868" s="28"/>
      <c r="B868" s="199"/>
      <c r="C868" s="199"/>
      <c r="D868" s="199"/>
      <c r="E868" s="199"/>
      <c r="F868" s="199"/>
      <c r="G868" s="200"/>
      <c r="H868" s="199"/>
      <c r="I868" s="199"/>
      <c r="J868" s="199"/>
      <c r="K868" s="199"/>
      <c r="L868" s="203"/>
      <c r="M868" s="203"/>
      <c r="N868" s="203"/>
      <c r="O868" s="199"/>
      <c r="P868" s="199"/>
      <c r="Q868" s="199"/>
    </row>
    <row r="869">
      <c r="A869" s="28"/>
      <c r="B869" s="199"/>
      <c r="C869" s="199"/>
      <c r="D869" s="199"/>
      <c r="E869" s="199"/>
      <c r="F869" s="199"/>
      <c r="G869" s="200"/>
      <c r="H869" s="199"/>
      <c r="I869" s="199"/>
      <c r="J869" s="199"/>
      <c r="K869" s="199"/>
      <c r="L869" s="203"/>
      <c r="M869" s="203"/>
      <c r="N869" s="203"/>
      <c r="O869" s="199"/>
      <c r="P869" s="199"/>
      <c r="Q869" s="199"/>
    </row>
    <row r="870">
      <c r="A870" s="28"/>
      <c r="B870" s="199"/>
      <c r="C870" s="199"/>
      <c r="D870" s="199"/>
      <c r="E870" s="199"/>
      <c r="F870" s="199"/>
      <c r="G870" s="200"/>
      <c r="H870" s="199"/>
      <c r="I870" s="199"/>
      <c r="J870" s="199"/>
      <c r="K870" s="199"/>
      <c r="L870" s="203"/>
      <c r="M870" s="203"/>
      <c r="N870" s="203"/>
      <c r="O870" s="199"/>
      <c r="P870" s="199"/>
      <c r="Q870" s="199"/>
    </row>
    <row r="871">
      <c r="A871" s="28"/>
      <c r="B871" s="199"/>
      <c r="C871" s="199"/>
      <c r="D871" s="199"/>
      <c r="E871" s="199"/>
      <c r="F871" s="199"/>
      <c r="G871" s="200"/>
      <c r="H871" s="199"/>
      <c r="I871" s="199"/>
      <c r="J871" s="199"/>
      <c r="K871" s="199"/>
      <c r="L871" s="203"/>
      <c r="M871" s="203"/>
      <c r="N871" s="203"/>
      <c r="O871" s="199"/>
      <c r="P871" s="199"/>
      <c r="Q871" s="199"/>
    </row>
    <row r="872">
      <c r="A872" s="28"/>
      <c r="B872" s="199"/>
      <c r="C872" s="199"/>
      <c r="D872" s="199"/>
      <c r="E872" s="199"/>
      <c r="F872" s="199"/>
      <c r="G872" s="200"/>
      <c r="H872" s="199"/>
      <c r="I872" s="199"/>
      <c r="J872" s="199"/>
      <c r="K872" s="199"/>
      <c r="L872" s="203"/>
      <c r="M872" s="203"/>
      <c r="N872" s="203"/>
      <c r="O872" s="199"/>
      <c r="P872" s="199"/>
      <c r="Q872" s="199"/>
    </row>
    <row r="873">
      <c r="A873" s="28"/>
      <c r="B873" s="199"/>
      <c r="C873" s="199"/>
      <c r="D873" s="199"/>
      <c r="E873" s="199"/>
      <c r="F873" s="199"/>
      <c r="G873" s="200"/>
      <c r="H873" s="199"/>
      <c r="I873" s="199"/>
      <c r="J873" s="199"/>
      <c r="K873" s="199"/>
      <c r="L873" s="203"/>
      <c r="M873" s="203"/>
      <c r="N873" s="203"/>
      <c r="O873" s="199"/>
      <c r="P873" s="199"/>
      <c r="Q873" s="199"/>
    </row>
    <row r="874">
      <c r="A874" s="28"/>
      <c r="B874" s="199"/>
      <c r="C874" s="199"/>
      <c r="D874" s="199"/>
      <c r="E874" s="199"/>
      <c r="F874" s="199"/>
      <c r="G874" s="200"/>
      <c r="H874" s="199"/>
      <c r="I874" s="199"/>
      <c r="J874" s="199"/>
      <c r="K874" s="199"/>
      <c r="L874" s="203"/>
      <c r="M874" s="203"/>
      <c r="N874" s="203"/>
      <c r="O874" s="199"/>
      <c r="P874" s="199"/>
      <c r="Q874" s="199"/>
    </row>
    <row r="875">
      <c r="A875" s="28"/>
      <c r="B875" s="199"/>
      <c r="C875" s="199"/>
      <c r="D875" s="199"/>
      <c r="E875" s="199"/>
      <c r="F875" s="199"/>
      <c r="G875" s="200"/>
      <c r="H875" s="199"/>
      <c r="I875" s="199"/>
      <c r="J875" s="199"/>
      <c r="K875" s="199"/>
      <c r="L875" s="203"/>
      <c r="M875" s="203"/>
      <c r="N875" s="203"/>
      <c r="O875" s="199"/>
      <c r="P875" s="199"/>
      <c r="Q875" s="199"/>
    </row>
    <row r="876">
      <c r="A876" s="28"/>
      <c r="B876" s="199"/>
      <c r="C876" s="199"/>
      <c r="D876" s="199"/>
      <c r="E876" s="199"/>
      <c r="F876" s="199"/>
      <c r="G876" s="200"/>
      <c r="H876" s="199"/>
      <c r="I876" s="199"/>
      <c r="J876" s="199"/>
      <c r="K876" s="199"/>
      <c r="L876" s="203"/>
      <c r="M876" s="203"/>
      <c r="N876" s="203"/>
      <c r="O876" s="199"/>
      <c r="P876" s="199"/>
      <c r="Q876" s="199"/>
    </row>
    <row r="877">
      <c r="A877" s="28"/>
      <c r="B877" s="199"/>
      <c r="C877" s="199"/>
      <c r="D877" s="199"/>
      <c r="E877" s="199"/>
      <c r="F877" s="199"/>
      <c r="G877" s="200"/>
      <c r="H877" s="199"/>
      <c r="I877" s="199"/>
      <c r="J877" s="199"/>
      <c r="K877" s="199"/>
      <c r="L877" s="203"/>
      <c r="M877" s="203"/>
      <c r="N877" s="203"/>
      <c r="O877" s="199"/>
      <c r="P877" s="199"/>
      <c r="Q877" s="199"/>
    </row>
    <row r="878">
      <c r="A878" s="28"/>
      <c r="B878" s="199"/>
      <c r="C878" s="199"/>
      <c r="D878" s="199"/>
      <c r="E878" s="199"/>
      <c r="F878" s="199"/>
      <c r="G878" s="200"/>
      <c r="H878" s="199"/>
      <c r="I878" s="199"/>
      <c r="J878" s="199"/>
      <c r="K878" s="199"/>
      <c r="L878" s="203"/>
      <c r="M878" s="203"/>
      <c r="N878" s="203"/>
      <c r="O878" s="199"/>
      <c r="P878" s="199"/>
      <c r="Q878" s="199"/>
    </row>
    <row r="879">
      <c r="A879" s="28"/>
      <c r="B879" s="199"/>
      <c r="C879" s="199"/>
      <c r="D879" s="199"/>
      <c r="E879" s="199"/>
      <c r="F879" s="199"/>
      <c r="G879" s="200"/>
      <c r="H879" s="199"/>
      <c r="I879" s="199"/>
      <c r="J879" s="199"/>
      <c r="K879" s="199"/>
      <c r="L879" s="203"/>
      <c r="M879" s="203"/>
      <c r="N879" s="203"/>
      <c r="O879" s="199"/>
      <c r="P879" s="199"/>
      <c r="Q879" s="199"/>
    </row>
    <row r="880">
      <c r="A880" s="28"/>
      <c r="B880" s="199"/>
      <c r="C880" s="199"/>
      <c r="D880" s="199"/>
      <c r="E880" s="199"/>
      <c r="F880" s="199"/>
      <c r="G880" s="200"/>
      <c r="H880" s="199"/>
      <c r="I880" s="199"/>
      <c r="J880" s="199"/>
      <c r="K880" s="199"/>
      <c r="L880" s="203"/>
      <c r="M880" s="203"/>
      <c r="N880" s="203"/>
      <c r="O880" s="199"/>
      <c r="P880" s="199"/>
      <c r="Q880" s="199"/>
    </row>
    <row r="881">
      <c r="A881" s="28"/>
      <c r="B881" s="199"/>
      <c r="C881" s="199"/>
      <c r="D881" s="199"/>
      <c r="E881" s="199"/>
      <c r="F881" s="199"/>
      <c r="G881" s="200"/>
      <c r="H881" s="199"/>
      <c r="I881" s="199"/>
      <c r="J881" s="199"/>
      <c r="K881" s="199"/>
      <c r="L881" s="203"/>
      <c r="M881" s="203"/>
      <c r="N881" s="203"/>
      <c r="O881" s="199"/>
      <c r="P881" s="199"/>
      <c r="Q881" s="199"/>
    </row>
    <row r="882">
      <c r="A882" s="28"/>
      <c r="B882" s="199"/>
      <c r="C882" s="199"/>
      <c r="D882" s="199"/>
      <c r="E882" s="199"/>
      <c r="F882" s="199"/>
      <c r="G882" s="200"/>
      <c r="H882" s="199"/>
      <c r="I882" s="199"/>
      <c r="J882" s="199"/>
      <c r="K882" s="199"/>
      <c r="L882" s="203"/>
      <c r="M882" s="203"/>
      <c r="N882" s="203"/>
      <c r="O882" s="199"/>
      <c r="P882" s="199"/>
      <c r="Q882" s="199"/>
    </row>
    <row r="883">
      <c r="A883" s="28"/>
      <c r="B883" s="199"/>
      <c r="C883" s="199"/>
      <c r="D883" s="199"/>
      <c r="E883" s="199"/>
      <c r="F883" s="199"/>
      <c r="G883" s="200"/>
      <c r="H883" s="199"/>
      <c r="I883" s="199"/>
      <c r="J883" s="199"/>
      <c r="K883" s="199"/>
      <c r="L883" s="203"/>
      <c r="M883" s="203"/>
      <c r="N883" s="203"/>
      <c r="O883" s="199"/>
      <c r="P883" s="199"/>
      <c r="Q883" s="199"/>
    </row>
    <row r="884">
      <c r="A884" s="28"/>
      <c r="B884" s="199"/>
      <c r="C884" s="199"/>
      <c r="D884" s="199"/>
      <c r="E884" s="199"/>
      <c r="F884" s="199"/>
      <c r="G884" s="200"/>
      <c r="H884" s="199"/>
      <c r="I884" s="199"/>
      <c r="J884" s="199"/>
      <c r="K884" s="199"/>
      <c r="L884" s="203"/>
      <c r="M884" s="203"/>
      <c r="N884" s="203"/>
      <c r="O884" s="199"/>
      <c r="P884" s="199"/>
      <c r="Q884" s="199"/>
    </row>
    <row r="885">
      <c r="A885" s="28"/>
      <c r="B885" s="199"/>
      <c r="C885" s="199"/>
      <c r="D885" s="199"/>
      <c r="E885" s="199"/>
      <c r="F885" s="199"/>
      <c r="G885" s="200"/>
      <c r="H885" s="199"/>
      <c r="I885" s="199"/>
      <c r="J885" s="199"/>
      <c r="K885" s="199"/>
      <c r="L885" s="203"/>
      <c r="M885" s="203"/>
      <c r="N885" s="203"/>
      <c r="O885" s="199"/>
      <c r="P885" s="199"/>
      <c r="Q885" s="199"/>
    </row>
    <row r="886">
      <c r="A886" s="28"/>
      <c r="B886" s="199"/>
      <c r="C886" s="199"/>
      <c r="D886" s="199"/>
      <c r="E886" s="199"/>
      <c r="F886" s="199"/>
      <c r="G886" s="200"/>
      <c r="H886" s="199"/>
      <c r="I886" s="199"/>
      <c r="J886" s="199"/>
      <c r="K886" s="199"/>
      <c r="L886" s="203"/>
      <c r="M886" s="203"/>
      <c r="N886" s="203"/>
      <c r="O886" s="199"/>
      <c r="P886" s="199"/>
      <c r="Q886" s="199"/>
    </row>
    <row r="887">
      <c r="A887" s="28"/>
      <c r="B887" s="199"/>
      <c r="C887" s="199"/>
      <c r="D887" s="199"/>
      <c r="E887" s="199"/>
      <c r="F887" s="199"/>
      <c r="G887" s="200"/>
      <c r="H887" s="199"/>
      <c r="I887" s="199"/>
      <c r="J887" s="199"/>
      <c r="K887" s="199"/>
      <c r="L887" s="203"/>
      <c r="M887" s="203"/>
      <c r="N887" s="203"/>
      <c r="O887" s="199"/>
      <c r="P887" s="199"/>
      <c r="Q887" s="199"/>
    </row>
    <row r="888">
      <c r="A888" s="28"/>
      <c r="B888" s="199"/>
      <c r="C888" s="199"/>
      <c r="D888" s="199"/>
      <c r="E888" s="199"/>
      <c r="F888" s="199"/>
      <c r="G888" s="200"/>
      <c r="H888" s="199"/>
      <c r="I888" s="199"/>
      <c r="J888" s="199"/>
      <c r="K888" s="199"/>
      <c r="L888" s="203"/>
      <c r="M888" s="203"/>
      <c r="N888" s="203"/>
      <c r="O888" s="199"/>
      <c r="P888" s="199"/>
      <c r="Q888" s="199"/>
    </row>
    <row r="889">
      <c r="A889" s="28"/>
      <c r="B889" s="199"/>
      <c r="C889" s="199"/>
      <c r="D889" s="199"/>
      <c r="E889" s="199"/>
      <c r="F889" s="199"/>
      <c r="G889" s="200"/>
      <c r="H889" s="199"/>
      <c r="I889" s="199"/>
      <c r="J889" s="199"/>
      <c r="K889" s="199"/>
      <c r="L889" s="203"/>
      <c r="M889" s="203"/>
      <c r="N889" s="203"/>
      <c r="O889" s="199"/>
      <c r="P889" s="199"/>
      <c r="Q889" s="199"/>
    </row>
    <row r="890">
      <c r="A890" s="28"/>
      <c r="B890" s="199"/>
      <c r="C890" s="199"/>
      <c r="D890" s="199"/>
      <c r="E890" s="199"/>
      <c r="F890" s="199"/>
      <c r="G890" s="200"/>
      <c r="H890" s="199"/>
      <c r="I890" s="199"/>
      <c r="J890" s="199"/>
      <c r="K890" s="199"/>
      <c r="L890" s="203"/>
      <c r="M890" s="203"/>
      <c r="N890" s="203"/>
      <c r="O890" s="199"/>
      <c r="P890" s="199"/>
      <c r="Q890" s="199"/>
    </row>
    <row r="891">
      <c r="A891" s="28"/>
      <c r="B891" s="199"/>
      <c r="C891" s="199"/>
      <c r="D891" s="199"/>
      <c r="E891" s="199"/>
      <c r="F891" s="199"/>
      <c r="G891" s="200"/>
      <c r="H891" s="199"/>
      <c r="I891" s="199"/>
      <c r="J891" s="199"/>
      <c r="K891" s="199"/>
      <c r="L891" s="203"/>
      <c r="M891" s="203"/>
      <c r="N891" s="203"/>
      <c r="O891" s="199"/>
      <c r="P891" s="199"/>
      <c r="Q891" s="199"/>
    </row>
    <row r="892">
      <c r="A892" s="28"/>
      <c r="B892" s="199"/>
      <c r="C892" s="199"/>
      <c r="D892" s="199"/>
      <c r="E892" s="199"/>
      <c r="F892" s="199"/>
      <c r="G892" s="200"/>
      <c r="H892" s="199"/>
      <c r="I892" s="199"/>
      <c r="J892" s="199"/>
      <c r="K892" s="199"/>
      <c r="L892" s="203"/>
      <c r="M892" s="203"/>
      <c r="N892" s="203"/>
      <c r="O892" s="199"/>
      <c r="P892" s="199"/>
      <c r="Q892" s="199"/>
    </row>
    <row r="893">
      <c r="A893" s="28"/>
      <c r="B893" s="199"/>
      <c r="C893" s="199"/>
      <c r="D893" s="199"/>
      <c r="E893" s="199"/>
      <c r="F893" s="199"/>
      <c r="G893" s="200"/>
      <c r="H893" s="199"/>
      <c r="I893" s="199"/>
      <c r="J893" s="199"/>
      <c r="K893" s="199"/>
      <c r="L893" s="203"/>
      <c r="M893" s="203"/>
      <c r="N893" s="203"/>
      <c r="O893" s="199"/>
      <c r="P893" s="199"/>
      <c r="Q893" s="199"/>
    </row>
    <row r="894">
      <c r="A894" s="28"/>
      <c r="B894" s="199"/>
      <c r="C894" s="199"/>
      <c r="D894" s="199"/>
      <c r="E894" s="199"/>
      <c r="F894" s="199"/>
      <c r="G894" s="200"/>
      <c r="H894" s="199"/>
      <c r="I894" s="199"/>
      <c r="J894" s="199"/>
      <c r="K894" s="199"/>
      <c r="L894" s="203"/>
      <c r="M894" s="203"/>
      <c r="N894" s="203"/>
      <c r="O894" s="199"/>
      <c r="P894" s="199"/>
      <c r="Q894" s="199"/>
    </row>
    <row r="895">
      <c r="A895" s="28"/>
      <c r="B895" s="199"/>
      <c r="C895" s="199"/>
      <c r="D895" s="199"/>
      <c r="E895" s="199"/>
      <c r="F895" s="199"/>
      <c r="G895" s="200"/>
      <c r="H895" s="199"/>
      <c r="I895" s="199"/>
      <c r="J895" s="199"/>
      <c r="K895" s="199"/>
      <c r="L895" s="203"/>
      <c r="M895" s="203"/>
      <c r="N895" s="203"/>
      <c r="O895" s="199"/>
      <c r="P895" s="199"/>
      <c r="Q895" s="199"/>
    </row>
    <row r="896">
      <c r="A896" s="28"/>
      <c r="B896" s="199"/>
      <c r="C896" s="199"/>
      <c r="D896" s="199"/>
      <c r="E896" s="199"/>
      <c r="F896" s="199"/>
      <c r="G896" s="200"/>
      <c r="H896" s="199"/>
      <c r="I896" s="199"/>
      <c r="J896" s="199"/>
      <c r="K896" s="199"/>
      <c r="L896" s="203"/>
      <c r="M896" s="203"/>
      <c r="N896" s="203"/>
      <c r="O896" s="199"/>
      <c r="P896" s="199"/>
      <c r="Q896" s="199"/>
    </row>
    <row r="897">
      <c r="A897" s="28"/>
      <c r="B897" s="199"/>
      <c r="C897" s="199"/>
      <c r="D897" s="199"/>
      <c r="E897" s="199"/>
      <c r="F897" s="199"/>
      <c r="G897" s="200"/>
      <c r="H897" s="199"/>
      <c r="I897" s="199"/>
      <c r="J897" s="199"/>
      <c r="K897" s="199"/>
      <c r="L897" s="203"/>
      <c r="M897" s="203"/>
      <c r="N897" s="203"/>
      <c r="O897" s="199"/>
      <c r="P897" s="199"/>
      <c r="Q897" s="199"/>
    </row>
    <row r="898">
      <c r="A898" s="28"/>
      <c r="B898" s="199"/>
      <c r="C898" s="199"/>
      <c r="D898" s="199"/>
      <c r="E898" s="199"/>
      <c r="F898" s="199"/>
      <c r="G898" s="200"/>
      <c r="H898" s="199"/>
      <c r="I898" s="199"/>
      <c r="J898" s="199"/>
      <c r="K898" s="199"/>
      <c r="L898" s="203"/>
      <c r="M898" s="203"/>
      <c r="N898" s="203"/>
      <c r="O898" s="199"/>
      <c r="P898" s="199"/>
      <c r="Q898" s="199"/>
    </row>
    <row r="899">
      <c r="A899" s="28"/>
      <c r="B899" s="199"/>
      <c r="C899" s="199"/>
      <c r="D899" s="199"/>
      <c r="E899" s="199"/>
      <c r="F899" s="199"/>
      <c r="G899" s="200"/>
      <c r="H899" s="199"/>
      <c r="I899" s="199"/>
      <c r="J899" s="199"/>
      <c r="K899" s="199"/>
      <c r="L899" s="203"/>
      <c r="M899" s="203"/>
      <c r="N899" s="203"/>
      <c r="O899" s="199"/>
      <c r="P899" s="199"/>
      <c r="Q899" s="199"/>
    </row>
    <row r="900">
      <c r="A900" s="28"/>
      <c r="B900" s="199"/>
      <c r="C900" s="199"/>
      <c r="D900" s="199"/>
      <c r="E900" s="199"/>
      <c r="F900" s="199"/>
      <c r="G900" s="200"/>
      <c r="H900" s="199"/>
      <c r="I900" s="199"/>
      <c r="J900" s="199"/>
      <c r="K900" s="199"/>
      <c r="L900" s="203"/>
      <c r="M900" s="203"/>
      <c r="N900" s="203"/>
      <c r="O900" s="199"/>
      <c r="P900" s="199"/>
      <c r="Q900" s="199"/>
    </row>
    <row r="901">
      <c r="A901" s="28"/>
      <c r="B901" s="199"/>
      <c r="C901" s="199"/>
      <c r="D901" s="199"/>
      <c r="E901" s="199"/>
      <c r="F901" s="199"/>
      <c r="G901" s="200"/>
      <c r="H901" s="199"/>
      <c r="I901" s="199"/>
      <c r="J901" s="199"/>
      <c r="K901" s="199"/>
      <c r="L901" s="203"/>
      <c r="M901" s="203"/>
      <c r="N901" s="203"/>
      <c r="O901" s="199"/>
      <c r="P901" s="199"/>
      <c r="Q901" s="199"/>
    </row>
    <row r="902">
      <c r="A902" s="28"/>
      <c r="B902" s="199"/>
      <c r="C902" s="199"/>
      <c r="D902" s="199"/>
      <c r="E902" s="199"/>
      <c r="F902" s="199"/>
      <c r="G902" s="200"/>
      <c r="H902" s="199"/>
      <c r="I902" s="199"/>
      <c r="J902" s="199"/>
      <c r="K902" s="199"/>
      <c r="L902" s="203"/>
      <c r="M902" s="203"/>
      <c r="N902" s="203"/>
      <c r="O902" s="199"/>
      <c r="P902" s="199"/>
      <c r="Q902" s="199"/>
    </row>
    <row r="903">
      <c r="A903" s="28"/>
      <c r="B903" s="199"/>
      <c r="C903" s="199"/>
      <c r="D903" s="199"/>
      <c r="E903" s="199"/>
      <c r="F903" s="199"/>
      <c r="G903" s="200"/>
      <c r="H903" s="199"/>
      <c r="I903" s="199"/>
      <c r="J903" s="199"/>
      <c r="K903" s="199"/>
      <c r="L903" s="203"/>
      <c r="M903" s="203"/>
      <c r="N903" s="203"/>
      <c r="O903" s="199"/>
      <c r="P903" s="199"/>
      <c r="Q903" s="199"/>
    </row>
    <row r="904">
      <c r="A904" s="28"/>
      <c r="B904" s="199"/>
      <c r="C904" s="199"/>
      <c r="D904" s="199"/>
      <c r="E904" s="199"/>
      <c r="F904" s="199"/>
      <c r="G904" s="200"/>
      <c r="H904" s="199"/>
      <c r="I904" s="199"/>
      <c r="J904" s="199"/>
      <c r="K904" s="199"/>
      <c r="L904" s="203"/>
      <c r="M904" s="203"/>
      <c r="N904" s="203"/>
      <c r="O904" s="199"/>
      <c r="P904" s="199"/>
      <c r="Q904" s="199"/>
    </row>
    <row r="905">
      <c r="A905" s="28"/>
      <c r="B905" s="199"/>
      <c r="C905" s="199"/>
      <c r="D905" s="199"/>
      <c r="E905" s="199"/>
      <c r="F905" s="199"/>
      <c r="G905" s="200"/>
      <c r="H905" s="199"/>
      <c r="I905" s="199"/>
      <c r="J905" s="199"/>
      <c r="K905" s="199"/>
      <c r="L905" s="203"/>
      <c r="M905" s="203"/>
      <c r="N905" s="203"/>
      <c r="O905" s="199"/>
      <c r="P905" s="199"/>
      <c r="Q905" s="199"/>
    </row>
    <row r="906">
      <c r="A906" s="28"/>
      <c r="B906" s="199"/>
      <c r="C906" s="199"/>
      <c r="D906" s="199"/>
      <c r="E906" s="199"/>
      <c r="F906" s="199"/>
      <c r="G906" s="200"/>
      <c r="H906" s="199"/>
      <c r="I906" s="199"/>
      <c r="J906" s="199"/>
      <c r="K906" s="199"/>
      <c r="L906" s="203"/>
      <c r="M906" s="203"/>
      <c r="N906" s="203"/>
      <c r="O906" s="199"/>
      <c r="P906" s="199"/>
      <c r="Q906" s="199"/>
    </row>
    <row r="907">
      <c r="A907" s="28"/>
      <c r="B907" s="199"/>
      <c r="C907" s="199"/>
      <c r="D907" s="199"/>
      <c r="E907" s="199"/>
      <c r="F907" s="199"/>
      <c r="G907" s="200"/>
      <c r="H907" s="199"/>
      <c r="I907" s="199"/>
      <c r="J907" s="199"/>
      <c r="K907" s="199"/>
      <c r="L907" s="203"/>
      <c r="M907" s="203"/>
      <c r="N907" s="203"/>
      <c r="O907" s="199"/>
      <c r="P907" s="199"/>
      <c r="Q907" s="199"/>
    </row>
    <row r="908">
      <c r="A908" s="28"/>
      <c r="B908" s="199"/>
      <c r="C908" s="199"/>
      <c r="D908" s="199"/>
      <c r="E908" s="199"/>
      <c r="F908" s="199"/>
      <c r="G908" s="200"/>
      <c r="H908" s="199"/>
      <c r="I908" s="199"/>
      <c r="J908" s="199"/>
      <c r="K908" s="199"/>
      <c r="L908" s="203"/>
      <c r="M908" s="203"/>
      <c r="N908" s="203"/>
      <c r="O908" s="199"/>
      <c r="P908" s="199"/>
      <c r="Q908" s="199"/>
    </row>
    <row r="909">
      <c r="A909" s="28"/>
      <c r="B909" s="199"/>
      <c r="C909" s="199"/>
      <c r="D909" s="199"/>
      <c r="E909" s="199"/>
      <c r="F909" s="199"/>
      <c r="G909" s="200"/>
      <c r="H909" s="199"/>
      <c r="I909" s="199"/>
      <c r="J909" s="199"/>
      <c r="K909" s="199"/>
      <c r="L909" s="203"/>
      <c r="M909" s="203"/>
      <c r="N909" s="203"/>
      <c r="O909" s="199"/>
      <c r="P909" s="199"/>
      <c r="Q909" s="199"/>
    </row>
    <row r="910">
      <c r="A910" s="28"/>
      <c r="B910" s="199"/>
      <c r="C910" s="199"/>
      <c r="D910" s="199"/>
      <c r="E910" s="199"/>
      <c r="F910" s="199"/>
      <c r="G910" s="200"/>
      <c r="H910" s="199"/>
      <c r="I910" s="199"/>
      <c r="J910" s="199"/>
      <c r="K910" s="199"/>
      <c r="L910" s="203"/>
      <c r="M910" s="203"/>
      <c r="N910" s="203"/>
      <c r="O910" s="199"/>
      <c r="P910" s="199"/>
      <c r="Q910" s="199"/>
    </row>
    <row r="911">
      <c r="A911" s="28"/>
      <c r="B911" s="199"/>
      <c r="C911" s="199"/>
      <c r="D911" s="199"/>
      <c r="E911" s="199"/>
      <c r="F911" s="199"/>
      <c r="G911" s="200"/>
      <c r="H911" s="199"/>
      <c r="I911" s="199"/>
      <c r="J911" s="199"/>
      <c r="K911" s="199"/>
      <c r="L911" s="203"/>
      <c r="M911" s="203"/>
      <c r="N911" s="203"/>
      <c r="O911" s="199"/>
      <c r="P911" s="199"/>
      <c r="Q911" s="199"/>
    </row>
    <row r="912">
      <c r="A912" s="28"/>
      <c r="B912" s="199"/>
      <c r="C912" s="199"/>
      <c r="D912" s="199"/>
      <c r="E912" s="199"/>
      <c r="F912" s="199"/>
      <c r="G912" s="200"/>
      <c r="H912" s="199"/>
      <c r="I912" s="199"/>
      <c r="J912" s="199"/>
      <c r="K912" s="199"/>
      <c r="L912" s="203"/>
      <c r="M912" s="203"/>
      <c r="N912" s="203"/>
      <c r="O912" s="199"/>
      <c r="P912" s="199"/>
      <c r="Q912" s="199"/>
    </row>
    <row r="913">
      <c r="A913" s="28"/>
      <c r="B913" s="199"/>
      <c r="C913" s="199"/>
      <c r="D913" s="199"/>
      <c r="E913" s="199"/>
      <c r="F913" s="199"/>
      <c r="G913" s="200"/>
      <c r="H913" s="199"/>
      <c r="I913" s="199"/>
      <c r="J913" s="199"/>
      <c r="K913" s="199"/>
      <c r="L913" s="203"/>
      <c r="M913" s="203"/>
      <c r="N913" s="203"/>
      <c r="O913" s="199"/>
      <c r="P913" s="199"/>
      <c r="Q913" s="199"/>
    </row>
    <row r="914">
      <c r="A914" s="28"/>
      <c r="B914" s="199"/>
      <c r="C914" s="199"/>
      <c r="D914" s="199"/>
      <c r="E914" s="199"/>
      <c r="F914" s="199"/>
      <c r="G914" s="200"/>
      <c r="H914" s="199"/>
      <c r="I914" s="199"/>
      <c r="J914" s="199"/>
      <c r="K914" s="199"/>
      <c r="L914" s="203"/>
      <c r="M914" s="203"/>
      <c r="N914" s="203"/>
      <c r="O914" s="199"/>
      <c r="P914" s="199"/>
      <c r="Q914" s="199"/>
    </row>
    <row r="915">
      <c r="A915" s="28"/>
      <c r="B915" s="199"/>
      <c r="C915" s="199"/>
      <c r="D915" s="199"/>
      <c r="E915" s="199"/>
      <c r="F915" s="199"/>
      <c r="G915" s="200"/>
      <c r="H915" s="199"/>
      <c r="I915" s="199"/>
      <c r="J915" s="199"/>
      <c r="K915" s="199"/>
      <c r="L915" s="203"/>
      <c r="M915" s="203"/>
      <c r="N915" s="203"/>
      <c r="O915" s="199"/>
      <c r="P915" s="199"/>
      <c r="Q915" s="199"/>
    </row>
    <row r="916">
      <c r="A916" s="28"/>
      <c r="B916" s="199"/>
      <c r="C916" s="199"/>
      <c r="D916" s="199"/>
      <c r="E916" s="199"/>
      <c r="F916" s="199"/>
      <c r="G916" s="200"/>
      <c r="H916" s="199"/>
      <c r="I916" s="199"/>
      <c r="J916" s="199"/>
      <c r="K916" s="199"/>
      <c r="L916" s="203"/>
      <c r="M916" s="203"/>
      <c r="N916" s="203"/>
      <c r="O916" s="199"/>
      <c r="P916" s="199"/>
      <c r="Q916" s="199"/>
    </row>
    <row r="917">
      <c r="A917" s="28"/>
      <c r="B917" s="199"/>
      <c r="C917" s="199"/>
      <c r="D917" s="199"/>
      <c r="E917" s="199"/>
      <c r="F917" s="199"/>
      <c r="G917" s="200"/>
      <c r="H917" s="199"/>
      <c r="I917" s="199"/>
      <c r="J917" s="199"/>
      <c r="K917" s="199"/>
      <c r="L917" s="203"/>
      <c r="M917" s="203"/>
      <c r="N917" s="203"/>
      <c r="O917" s="199"/>
      <c r="P917" s="199"/>
      <c r="Q917" s="199"/>
    </row>
    <row r="918">
      <c r="A918" s="28"/>
      <c r="B918" s="199"/>
      <c r="C918" s="199"/>
      <c r="D918" s="199"/>
      <c r="E918" s="199"/>
      <c r="F918" s="199"/>
      <c r="G918" s="200"/>
      <c r="H918" s="199"/>
      <c r="I918" s="199"/>
      <c r="J918" s="199"/>
      <c r="K918" s="199"/>
      <c r="L918" s="203"/>
      <c r="M918" s="203"/>
      <c r="N918" s="203"/>
      <c r="O918" s="199"/>
      <c r="P918" s="199"/>
      <c r="Q918" s="199"/>
    </row>
    <row r="919">
      <c r="A919" s="28"/>
      <c r="B919" s="199"/>
      <c r="C919" s="199"/>
      <c r="D919" s="199"/>
      <c r="E919" s="199"/>
      <c r="F919" s="199"/>
      <c r="G919" s="200"/>
      <c r="H919" s="199"/>
      <c r="I919" s="199"/>
      <c r="J919" s="199"/>
      <c r="K919" s="199"/>
      <c r="L919" s="203"/>
      <c r="M919" s="203"/>
      <c r="N919" s="203"/>
      <c r="O919" s="199"/>
      <c r="P919" s="199"/>
      <c r="Q919" s="199"/>
    </row>
    <row r="920">
      <c r="A920" s="28"/>
      <c r="B920" s="199"/>
      <c r="C920" s="199"/>
      <c r="D920" s="199"/>
      <c r="E920" s="199"/>
      <c r="F920" s="199"/>
      <c r="G920" s="200"/>
      <c r="H920" s="199"/>
      <c r="I920" s="199"/>
      <c r="J920" s="199"/>
      <c r="K920" s="199"/>
      <c r="L920" s="203"/>
      <c r="M920" s="203"/>
      <c r="N920" s="203"/>
      <c r="O920" s="199"/>
      <c r="P920" s="199"/>
      <c r="Q920" s="199"/>
    </row>
    <row r="921">
      <c r="A921" s="28"/>
      <c r="B921" s="199"/>
      <c r="C921" s="199"/>
      <c r="D921" s="199"/>
      <c r="E921" s="199"/>
      <c r="F921" s="199"/>
      <c r="G921" s="200"/>
      <c r="H921" s="199"/>
      <c r="I921" s="199"/>
      <c r="J921" s="199"/>
      <c r="K921" s="199"/>
      <c r="L921" s="203"/>
      <c r="M921" s="203"/>
      <c r="N921" s="203"/>
      <c r="O921" s="199"/>
      <c r="P921" s="199"/>
      <c r="Q921" s="199"/>
    </row>
    <row r="922">
      <c r="A922" s="28"/>
      <c r="B922" s="199"/>
      <c r="C922" s="199"/>
      <c r="D922" s="199"/>
      <c r="E922" s="199"/>
      <c r="F922" s="199"/>
      <c r="G922" s="200"/>
      <c r="H922" s="199"/>
      <c r="I922" s="199"/>
      <c r="J922" s="199"/>
      <c r="K922" s="199"/>
      <c r="L922" s="203"/>
      <c r="M922" s="203"/>
      <c r="N922" s="203"/>
      <c r="O922" s="199"/>
      <c r="P922" s="199"/>
      <c r="Q922" s="199"/>
    </row>
    <row r="923">
      <c r="A923" s="28"/>
      <c r="B923" s="199"/>
      <c r="C923" s="199"/>
      <c r="D923" s="199"/>
      <c r="E923" s="199"/>
      <c r="F923" s="199"/>
      <c r="G923" s="200"/>
      <c r="H923" s="199"/>
      <c r="I923" s="199"/>
      <c r="J923" s="199"/>
      <c r="K923" s="199"/>
      <c r="L923" s="203"/>
      <c r="M923" s="203"/>
      <c r="N923" s="203"/>
      <c r="O923" s="199"/>
      <c r="P923" s="199"/>
      <c r="Q923" s="199"/>
    </row>
    <row r="924">
      <c r="A924" s="28"/>
      <c r="B924" s="199"/>
      <c r="C924" s="199"/>
      <c r="D924" s="199"/>
      <c r="E924" s="199"/>
      <c r="F924" s="199"/>
      <c r="G924" s="200"/>
      <c r="H924" s="199"/>
      <c r="I924" s="199"/>
      <c r="J924" s="199"/>
      <c r="K924" s="199"/>
      <c r="L924" s="203"/>
      <c r="M924" s="203"/>
      <c r="N924" s="203"/>
      <c r="O924" s="199"/>
      <c r="P924" s="199"/>
      <c r="Q924" s="199"/>
    </row>
    <row r="925">
      <c r="A925" s="28"/>
      <c r="B925" s="199"/>
      <c r="C925" s="199"/>
      <c r="D925" s="199"/>
      <c r="E925" s="199"/>
      <c r="F925" s="199"/>
      <c r="G925" s="200"/>
      <c r="H925" s="199"/>
      <c r="I925" s="199"/>
      <c r="J925" s="199"/>
      <c r="K925" s="199"/>
      <c r="L925" s="203"/>
      <c r="M925" s="203"/>
      <c r="N925" s="203"/>
      <c r="O925" s="199"/>
      <c r="P925" s="199"/>
      <c r="Q925" s="199"/>
    </row>
    <row r="926">
      <c r="A926" s="28"/>
      <c r="B926" s="199"/>
      <c r="C926" s="199"/>
      <c r="D926" s="199"/>
      <c r="E926" s="199"/>
      <c r="F926" s="199"/>
      <c r="G926" s="200"/>
      <c r="H926" s="199"/>
      <c r="I926" s="199"/>
      <c r="J926" s="199"/>
      <c r="K926" s="199"/>
      <c r="L926" s="203"/>
      <c r="M926" s="203"/>
      <c r="N926" s="203"/>
      <c r="O926" s="199"/>
      <c r="P926" s="199"/>
      <c r="Q926" s="199"/>
    </row>
    <row r="927">
      <c r="A927" s="28"/>
      <c r="B927" s="199"/>
      <c r="C927" s="199"/>
      <c r="D927" s="199"/>
      <c r="E927" s="199"/>
      <c r="F927" s="199"/>
      <c r="G927" s="200"/>
      <c r="H927" s="199"/>
      <c r="I927" s="199"/>
      <c r="J927" s="199"/>
      <c r="K927" s="199"/>
      <c r="L927" s="203"/>
      <c r="M927" s="203"/>
      <c r="N927" s="203"/>
      <c r="O927" s="199"/>
      <c r="P927" s="199"/>
      <c r="Q927" s="199"/>
    </row>
    <row r="928">
      <c r="A928" s="28"/>
      <c r="B928" s="199"/>
      <c r="C928" s="199"/>
      <c r="D928" s="199"/>
      <c r="E928" s="199"/>
      <c r="F928" s="199"/>
      <c r="G928" s="200"/>
      <c r="H928" s="199"/>
      <c r="I928" s="199"/>
      <c r="J928" s="199"/>
      <c r="K928" s="199"/>
      <c r="L928" s="203"/>
      <c r="M928" s="203"/>
      <c r="N928" s="203"/>
      <c r="O928" s="199"/>
      <c r="P928" s="199"/>
      <c r="Q928" s="199"/>
    </row>
    <row r="929">
      <c r="A929" s="28"/>
      <c r="B929" s="199"/>
      <c r="C929" s="199"/>
      <c r="D929" s="199"/>
      <c r="E929" s="199"/>
      <c r="F929" s="199"/>
      <c r="G929" s="200"/>
      <c r="H929" s="199"/>
      <c r="I929" s="199"/>
      <c r="J929" s="199"/>
      <c r="K929" s="199"/>
      <c r="L929" s="203"/>
      <c r="M929" s="203"/>
      <c r="N929" s="203"/>
      <c r="O929" s="199"/>
      <c r="P929" s="199"/>
      <c r="Q929" s="199"/>
    </row>
    <row r="930">
      <c r="A930" s="28"/>
      <c r="B930" s="199"/>
      <c r="C930" s="199"/>
      <c r="D930" s="199"/>
      <c r="E930" s="199"/>
      <c r="F930" s="199"/>
      <c r="G930" s="200"/>
      <c r="H930" s="199"/>
      <c r="I930" s="199"/>
      <c r="J930" s="199"/>
      <c r="K930" s="199"/>
      <c r="L930" s="203"/>
      <c r="M930" s="203"/>
      <c r="N930" s="203"/>
      <c r="O930" s="199"/>
      <c r="P930" s="199"/>
      <c r="Q930" s="199"/>
    </row>
    <row r="931">
      <c r="A931" s="28"/>
      <c r="B931" s="199"/>
      <c r="C931" s="199"/>
      <c r="D931" s="199"/>
      <c r="E931" s="199"/>
      <c r="F931" s="199"/>
      <c r="G931" s="200"/>
      <c r="H931" s="199"/>
      <c r="I931" s="199"/>
      <c r="J931" s="199"/>
      <c r="K931" s="199"/>
      <c r="L931" s="203"/>
      <c r="M931" s="203"/>
      <c r="N931" s="203"/>
      <c r="O931" s="199"/>
      <c r="P931" s="199"/>
      <c r="Q931" s="199"/>
    </row>
    <row r="932">
      <c r="A932" s="28"/>
      <c r="B932" s="199"/>
      <c r="C932" s="199"/>
      <c r="D932" s="199"/>
      <c r="E932" s="199"/>
      <c r="F932" s="199"/>
      <c r="G932" s="200"/>
      <c r="H932" s="199"/>
      <c r="I932" s="199"/>
      <c r="J932" s="199"/>
      <c r="K932" s="199"/>
      <c r="L932" s="203"/>
      <c r="M932" s="203"/>
      <c r="N932" s="203"/>
      <c r="O932" s="199"/>
      <c r="P932" s="199"/>
      <c r="Q932" s="199"/>
    </row>
    <row r="933">
      <c r="A933" s="28"/>
      <c r="B933" s="199"/>
      <c r="C933" s="199"/>
      <c r="D933" s="199"/>
      <c r="E933" s="199"/>
      <c r="F933" s="199"/>
      <c r="G933" s="200"/>
      <c r="H933" s="199"/>
      <c r="I933" s="199"/>
      <c r="J933" s="199"/>
      <c r="K933" s="199"/>
      <c r="L933" s="203"/>
      <c r="M933" s="203"/>
      <c r="N933" s="203"/>
      <c r="O933" s="199"/>
      <c r="P933" s="199"/>
      <c r="Q933" s="199"/>
    </row>
    <row r="934">
      <c r="A934" s="28"/>
      <c r="B934" s="199"/>
      <c r="C934" s="199"/>
      <c r="D934" s="199"/>
      <c r="E934" s="199"/>
      <c r="F934" s="199"/>
      <c r="G934" s="200"/>
      <c r="H934" s="199"/>
      <c r="I934" s="199"/>
      <c r="J934" s="199"/>
      <c r="K934" s="199"/>
      <c r="L934" s="203"/>
      <c r="M934" s="203"/>
      <c r="N934" s="203"/>
      <c r="O934" s="199"/>
      <c r="P934" s="199"/>
      <c r="Q934" s="199"/>
    </row>
    <row r="935">
      <c r="A935" s="28"/>
      <c r="B935" s="199"/>
      <c r="C935" s="199"/>
      <c r="D935" s="199"/>
      <c r="E935" s="199"/>
      <c r="F935" s="199"/>
      <c r="G935" s="200"/>
      <c r="H935" s="199"/>
      <c r="I935" s="199"/>
      <c r="J935" s="199"/>
      <c r="K935" s="199"/>
      <c r="L935" s="203"/>
      <c r="M935" s="203"/>
      <c r="N935" s="203"/>
      <c r="O935" s="199"/>
      <c r="P935" s="199"/>
      <c r="Q935" s="199"/>
    </row>
    <row r="936">
      <c r="A936" s="28"/>
      <c r="B936" s="199"/>
      <c r="C936" s="199"/>
      <c r="D936" s="199"/>
      <c r="E936" s="199"/>
      <c r="F936" s="199"/>
      <c r="G936" s="200"/>
      <c r="H936" s="199"/>
      <c r="I936" s="199"/>
      <c r="J936" s="199"/>
      <c r="K936" s="199"/>
      <c r="L936" s="203"/>
      <c r="M936" s="203"/>
      <c r="N936" s="203"/>
      <c r="O936" s="199"/>
      <c r="P936" s="199"/>
      <c r="Q936" s="199"/>
    </row>
    <row r="937">
      <c r="A937" s="28"/>
      <c r="B937" s="199"/>
      <c r="C937" s="199"/>
      <c r="D937" s="199"/>
      <c r="E937" s="199"/>
      <c r="F937" s="199"/>
      <c r="G937" s="200"/>
      <c r="H937" s="199"/>
      <c r="I937" s="199"/>
      <c r="J937" s="199"/>
      <c r="K937" s="199"/>
      <c r="L937" s="203"/>
      <c r="M937" s="203"/>
      <c r="N937" s="203"/>
      <c r="O937" s="199"/>
      <c r="P937" s="199"/>
      <c r="Q937" s="199"/>
    </row>
    <row r="938">
      <c r="A938" s="28"/>
      <c r="B938" s="199"/>
      <c r="C938" s="199"/>
      <c r="D938" s="199"/>
      <c r="E938" s="199"/>
      <c r="F938" s="199"/>
      <c r="G938" s="200"/>
      <c r="H938" s="199"/>
      <c r="I938" s="199"/>
      <c r="J938" s="199"/>
      <c r="K938" s="199"/>
      <c r="L938" s="203"/>
      <c r="M938" s="203"/>
      <c r="N938" s="203"/>
      <c r="O938" s="199"/>
      <c r="P938" s="199"/>
      <c r="Q938" s="199"/>
    </row>
    <row r="939">
      <c r="A939" s="28"/>
      <c r="B939" s="199"/>
      <c r="C939" s="199"/>
      <c r="D939" s="199"/>
      <c r="E939" s="199"/>
      <c r="F939" s="199"/>
      <c r="G939" s="200"/>
      <c r="H939" s="199"/>
      <c r="I939" s="199"/>
      <c r="J939" s="199"/>
      <c r="K939" s="199"/>
      <c r="L939" s="203"/>
      <c r="M939" s="203"/>
      <c r="N939" s="203"/>
      <c r="O939" s="199"/>
      <c r="P939" s="199"/>
      <c r="Q939" s="199"/>
    </row>
    <row r="940">
      <c r="A940" s="28"/>
      <c r="B940" s="199"/>
      <c r="C940" s="199"/>
      <c r="D940" s="199"/>
      <c r="E940" s="199"/>
      <c r="F940" s="199"/>
      <c r="G940" s="200"/>
      <c r="H940" s="199"/>
      <c r="I940" s="199"/>
      <c r="J940" s="199"/>
      <c r="K940" s="199"/>
      <c r="L940" s="203"/>
      <c r="M940" s="203"/>
      <c r="N940" s="203"/>
      <c r="O940" s="199"/>
      <c r="P940" s="199"/>
      <c r="Q940" s="199"/>
    </row>
    <row r="941">
      <c r="A941" s="28"/>
      <c r="B941" s="199"/>
      <c r="C941" s="199"/>
      <c r="D941" s="199"/>
      <c r="E941" s="199"/>
      <c r="F941" s="199"/>
      <c r="G941" s="200"/>
      <c r="H941" s="199"/>
      <c r="I941" s="199"/>
      <c r="J941" s="199"/>
      <c r="K941" s="199"/>
      <c r="L941" s="203"/>
      <c r="M941" s="203"/>
      <c r="N941" s="203"/>
      <c r="O941" s="199"/>
      <c r="P941" s="199"/>
      <c r="Q941" s="199"/>
    </row>
    <row r="942">
      <c r="A942" s="28"/>
      <c r="B942" s="199"/>
      <c r="C942" s="199"/>
      <c r="D942" s="199"/>
      <c r="E942" s="199"/>
      <c r="F942" s="199"/>
      <c r="G942" s="200"/>
      <c r="H942" s="199"/>
      <c r="I942" s="199"/>
      <c r="J942" s="199"/>
      <c r="K942" s="199"/>
      <c r="L942" s="203"/>
      <c r="M942" s="203"/>
      <c r="N942" s="203"/>
      <c r="O942" s="199"/>
      <c r="P942" s="199"/>
      <c r="Q942" s="199"/>
    </row>
    <row r="943">
      <c r="A943" s="28"/>
      <c r="B943" s="199"/>
      <c r="C943" s="199"/>
      <c r="D943" s="199"/>
      <c r="E943" s="199"/>
      <c r="F943" s="199"/>
      <c r="G943" s="200"/>
      <c r="H943" s="199"/>
      <c r="I943" s="199"/>
      <c r="J943" s="199"/>
      <c r="K943" s="199"/>
      <c r="L943" s="203"/>
      <c r="M943" s="203"/>
      <c r="N943" s="203"/>
      <c r="O943" s="199"/>
      <c r="P943" s="199"/>
      <c r="Q943" s="199"/>
    </row>
    <row r="944">
      <c r="A944" s="28"/>
      <c r="B944" s="199"/>
      <c r="C944" s="199"/>
      <c r="D944" s="199"/>
      <c r="E944" s="199"/>
      <c r="F944" s="199"/>
      <c r="G944" s="200"/>
      <c r="H944" s="199"/>
      <c r="I944" s="199"/>
      <c r="J944" s="199"/>
      <c r="K944" s="199"/>
      <c r="L944" s="203"/>
      <c r="M944" s="203"/>
      <c r="N944" s="203"/>
      <c r="O944" s="199"/>
      <c r="P944" s="199"/>
      <c r="Q944" s="199"/>
    </row>
    <row r="945">
      <c r="A945" s="28"/>
      <c r="B945" s="199"/>
      <c r="C945" s="199"/>
      <c r="D945" s="199"/>
      <c r="E945" s="199"/>
      <c r="F945" s="199"/>
      <c r="G945" s="200"/>
      <c r="H945" s="199"/>
      <c r="I945" s="199"/>
      <c r="J945" s="199"/>
      <c r="K945" s="199"/>
      <c r="L945" s="203"/>
      <c r="M945" s="203"/>
      <c r="N945" s="203"/>
      <c r="O945" s="199"/>
      <c r="P945" s="199"/>
      <c r="Q945" s="199"/>
    </row>
    <row r="946">
      <c r="A946" s="28"/>
      <c r="B946" s="199"/>
      <c r="C946" s="199"/>
      <c r="D946" s="199"/>
      <c r="E946" s="199"/>
      <c r="F946" s="199"/>
      <c r="G946" s="200"/>
      <c r="H946" s="199"/>
      <c r="I946" s="199"/>
      <c r="J946" s="199"/>
      <c r="K946" s="199"/>
      <c r="L946" s="203"/>
      <c r="M946" s="203"/>
      <c r="N946" s="203"/>
      <c r="O946" s="199"/>
      <c r="P946" s="199"/>
      <c r="Q946" s="199"/>
    </row>
    <row r="947">
      <c r="A947" s="28"/>
      <c r="B947" s="199"/>
      <c r="C947" s="199"/>
      <c r="D947" s="199"/>
      <c r="E947" s="199"/>
      <c r="F947" s="199"/>
      <c r="G947" s="200"/>
      <c r="H947" s="199"/>
      <c r="I947" s="199"/>
      <c r="J947" s="199"/>
      <c r="K947" s="199"/>
      <c r="L947" s="203"/>
      <c r="M947" s="203"/>
      <c r="N947" s="203"/>
      <c r="O947" s="199"/>
      <c r="P947" s="199"/>
      <c r="Q947" s="199"/>
    </row>
    <row r="948">
      <c r="A948" s="28"/>
      <c r="B948" s="199"/>
      <c r="C948" s="199"/>
      <c r="D948" s="199"/>
      <c r="E948" s="199"/>
      <c r="F948" s="199"/>
      <c r="G948" s="200"/>
      <c r="H948" s="199"/>
      <c r="I948" s="199"/>
      <c r="J948" s="199"/>
      <c r="K948" s="199"/>
      <c r="L948" s="203"/>
      <c r="M948" s="203"/>
      <c r="N948" s="203"/>
      <c r="O948" s="199"/>
      <c r="P948" s="199"/>
      <c r="Q948" s="199"/>
    </row>
    <row r="949">
      <c r="A949" s="28"/>
      <c r="B949" s="199"/>
      <c r="C949" s="199"/>
      <c r="D949" s="199"/>
      <c r="E949" s="199"/>
      <c r="F949" s="199"/>
      <c r="G949" s="200"/>
      <c r="H949" s="199"/>
      <c r="I949" s="199"/>
      <c r="J949" s="199"/>
      <c r="K949" s="199"/>
      <c r="L949" s="203"/>
      <c r="M949" s="203"/>
      <c r="N949" s="203"/>
      <c r="O949" s="199"/>
      <c r="P949" s="199"/>
      <c r="Q949" s="199"/>
    </row>
    <row r="950">
      <c r="A950" s="28"/>
      <c r="B950" s="199"/>
      <c r="C950" s="199"/>
      <c r="D950" s="199"/>
      <c r="E950" s="199"/>
      <c r="F950" s="199"/>
      <c r="G950" s="200"/>
      <c r="H950" s="199"/>
      <c r="I950" s="199"/>
      <c r="J950" s="199"/>
      <c r="K950" s="199"/>
      <c r="L950" s="203"/>
      <c r="M950" s="203"/>
      <c r="N950" s="203"/>
      <c r="O950" s="199"/>
      <c r="P950" s="199"/>
      <c r="Q950" s="199"/>
    </row>
    <row r="951">
      <c r="A951" s="28"/>
      <c r="B951" s="199"/>
      <c r="C951" s="199"/>
      <c r="D951" s="199"/>
      <c r="E951" s="199"/>
      <c r="F951" s="199"/>
      <c r="G951" s="200"/>
      <c r="H951" s="199"/>
      <c r="I951" s="199"/>
      <c r="J951" s="199"/>
      <c r="K951" s="199"/>
      <c r="L951" s="203"/>
      <c r="M951" s="203"/>
      <c r="N951" s="203"/>
      <c r="O951" s="199"/>
      <c r="P951" s="199"/>
      <c r="Q951" s="199"/>
    </row>
    <row r="952">
      <c r="A952" s="28"/>
      <c r="B952" s="199"/>
      <c r="C952" s="199"/>
      <c r="D952" s="199"/>
      <c r="E952" s="199"/>
      <c r="F952" s="199"/>
      <c r="G952" s="200"/>
      <c r="H952" s="199"/>
      <c r="I952" s="199"/>
      <c r="J952" s="199"/>
      <c r="K952" s="199"/>
      <c r="L952" s="203"/>
      <c r="M952" s="203"/>
      <c r="N952" s="203"/>
      <c r="O952" s="199"/>
      <c r="P952" s="199"/>
      <c r="Q952" s="199"/>
    </row>
    <row r="953">
      <c r="A953" s="28"/>
      <c r="B953" s="199"/>
      <c r="C953" s="199"/>
      <c r="D953" s="199"/>
      <c r="E953" s="199"/>
      <c r="F953" s="199"/>
      <c r="G953" s="200"/>
      <c r="H953" s="199"/>
      <c r="I953" s="199"/>
      <c r="J953" s="199"/>
      <c r="K953" s="199"/>
      <c r="L953" s="203"/>
      <c r="M953" s="203"/>
      <c r="N953" s="203"/>
      <c r="O953" s="199"/>
      <c r="P953" s="199"/>
      <c r="Q953" s="199"/>
    </row>
    <row r="954">
      <c r="A954" s="28"/>
      <c r="B954" s="199"/>
      <c r="C954" s="199"/>
      <c r="D954" s="199"/>
      <c r="E954" s="199"/>
      <c r="F954" s="199"/>
      <c r="G954" s="200"/>
      <c r="H954" s="199"/>
      <c r="I954" s="199"/>
      <c r="J954" s="199"/>
      <c r="K954" s="199"/>
      <c r="L954" s="203"/>
      <c r="M954" s="203"/>
      <c r="N954" s="203"/>
      <c r="O954" s="199"/>
      <c r="P954" s="199"/>
      <c r="Q954" s="199"/>
    </row>
    <row r="955">
      <c r="A955" s="28"/>
      <c r="B955" s="199"/>
      <c r="C955" s="199"/>
      <c r="D955" s="199"/>
      <c r="E955" s="199"/>
      <c r="F955" s="199"/>
      <c r="G955" s="200"/>
      <c r="H955" s="199"/>
      <c r="I955" s="199"/>
      <c r="J955" s="199"/>
      <c r="K955" s="199"/>
      <c r="L955" s="203"/>
      <c r="M955" s="203"/>
      <c r="N955" s="203"/>
      <c r="O955" s="199"/>
      <c r="P955" s="199"/>
      <c r="Q955" s="199"/>
    </row>
    <row r="956">
      <c r="A956" s="28"/>
      <c r="B956" s="199"/>
      <c r="C956" s="199"/>
      <c r="D956" s="199"/>
      <c r="E956" s="199"/>
      <c r="F956" s="199"/>
      <c r="G956" s="200"/>
      <c r="H956" s="199"/>
      <c r="I956" s="199"/>
      <c r="J956" s="199"/>
      <c r="K956" s="199"/>
      <c r="L956" s="203"/>
      <c r="M956" s="203"/>
      <c r="N956" s="203"/>
      <c r="O956" s="199"/>
      <c r="P956" s="199"/>
      <c r="Q956" s="199"/>
    </row>
    <row r="957">
      <c r="A957" s="28"/>
      <c r="B957" s="199"/>
      <c r="C957" s="199"/>
      <c r="D957" s="199"/>
      <c r="E957" s="199"/>
      <c r="F957" s="199"/>
      <c r="G957" s="200"/>
      <c r="H957" s="199"/>
      <c r="I957" s="199"/>
      <c r="J957" s="199"/>
      <c r="K957" s="199"/>
      <c r="L957" s="203"/>
      <c r="M957" s="203"/>
      <c r="N957" s="203"/>
      <c r="O957" s="199"/>
      <c r="P957" s="199"/>
      <c r="Q957" s="199"/>
    </row>
    <row r="958">
      <c r="A958" s="28"/>
      <c r="B958" s="199"/>
      <c r="C958" s="199"/>
      <c r="D958" s="199"/>
      <c r="E958" s="199"/>
      <c r="F958" s="199"/>
      <c r="G958" s="200"/>
      <c r="H958" s="199"/>
      <c r="I958" s="199"/>
      <c r="J958" s="199"/>
      <c r="K958" s="199"/>
      <c r="L958" s="203"/>
      <c r="M958" s="203"/>
      <c r="N958" s="203"/>
      <c r="O958" s="199"/>
      <c r="P958" s="199"/>
      <c r="Q958" s="199"/>
    </row>
    <row r="959">
      <c r="A959" s="28"/>
      <c r="B959" s="199"/>
      <c r="C959" s="199"/>
      <c r="D959" s="199"/>
      <c r="E959" s="199"/>
      <c r="F959" s="199"/>
      <c r="G959" s="200"/>
      <c r="H959" s="199"/>
      <c r="I959" s="199"/>
      <c r="J959" s="199"/>
      <c r="K959" s="199"/>
      <c r="L959" s="203"/>
      <c r="M959" s="203"/>
      <c r="N959" s="203"/>
      <c r="O959" s="199"/>
      <c r="P959" s="199"/>
      <c r="Q959" s="199"/>
    </row>
    <row r="960">
      <c r="A960" s="28"/>
      <c r="B960" s="199"/>
      <c r="C960" s="199"/>
      <c r="D960" s="199"/>
      <c r="E960" s="199"/>
      <c r="F960" s="199"/>
      <c r="G960" s="200"/>
      <c r="H960" s="199"/>
      <c r="I960" s="199"/>
      <c r="J960" s="199"/>
      <c r="K960" s="199"/>
      <c r="L960" s="203"/>
      <c r="M960" s="203"/>
      <c r="N960" s="203"/>
      <c r="O960" s="199"/>
      <c r="P960" s="199"/>
      <c r="Q960" s="199"/>
    </row>
    <row r="961">
      <c r="A961" s="28"/>
      <c r="B961" s="199"/>
      <c r="C961" s="199"/>
      <c r="D961" s="199"/>
      <c r="E961" s="199"/>
      <c r="F961" s="199"/>
      <c r="G961" s="200"/>
      <c r="H961" s="199"/>
      <c r="I961" s="199"/>
      <c r="J961" s="199"/>
      <c r="K961" s="199"/>
      <c r="L961" s="203"/>
      <c r="M961" s="203"/>
      <c r="N961" s="203"/>
      <c r="O961" s="199"/>
      <c r="P961" s="199"/>
      <c r="Q961" s="199"/>
    </row>
    <row r="962">
      <c r="A962" s="28"/>
      <c r="B962" s="199"/>
      <c r="C962" s="199"/>
      <c r="D962" s="199"/>
      <c r="E962" s="199"/>
      <c r="F962" s="199"/>
      <c r="G962" s="200"/>
      <c r="H962" s="199"/>
      <c r="I962" s="199"/>
      <c r="J962" s="199"/>
      <c r="K962" s="199"/>
      <c r="L962" s="203"/>
      <c r="M962" s="203"/>
      <c r="N962" s="203"/>
      <c r="O962" s="199"/>
      <c r="P962" s="199"/>
      <c r="Q962" s="199"/>
    </row>
    <row r="963">
      <c r="A963" s="28"/>
      <c r="B963" s="199"/>
      <c r="C963" s="199"/>
      <c r="D963" s="199"/>
      <c r="E963" s="199"/>
      <c r="F963" s="199"/>
      <c r="G963" s="200"/>
      <c r="H963" s="199"/>
      <c r="I963" s="199"/>
      <c r="J963" s="199"/>
      <c r="K963" s="199"/>
      <c r="L963" s="203"/>
      <c r="M963" s="203"/>
      <c r="N963" s="203"/>
      <c r="O963" s="199"/>
      <c r="P963" s="199"/>
      <c r="Q963" s="199"/>
    </row>
    <row r="964">
      <c r="A964" s="28"/>
      <c r="B964" s="199"/>
      <c r="C964" s="199"/>
      <c r="D964" s="199"/>
      <c r="E964" s="199"/>
      <c r="F964" s="199"/>
      <c r="G964" s="200"/>
      <c r="H964" s="199"/>
      <c r="I964" s="199"/>
      <c r="J964" s="199"/>
      <c r="K964" s="199"/>
      <c r="L964" s="203"/>
      <c r="M964" s="203"/>
      <c r="N964" s="203"/>
      <c r="O964" s="199"/>
      <c r="P964" s="199"/>
      <c r="Q964" s="199"/>
    </row>
    <row r="965">
      <c r="A965" s="28"/>
      <c r="B965" s="199"/>
      <c r="C965" s="199"/>
      <c r="D965" s="199"/>
      <c r="E965" s="199"/>
      <c r="F965" s="199"/>
      <c r="G965" s="200"/>
      <c r="H965" s="199"/>
      <c r="I965" s="199"/>
      <c r="J965" s="199"/>
      <c r="K965" s="199"/>
      <c r="L965" s="203"/>
      <c r="M965" s="203"/>
      <c r="N965" s="203"/>
      <c r="O965" s="199"/>
      <c r="P965" s="199"/>
      <c r="Q965" s="199"/>
    </row>
    <row r="966">
      <c r="A966" s="28"/>
      <c r="B966" s="199"/>
      <c r="C966" s="199"/>
      <c r="D966" s="199"/>
      <c r="E966" s="199"/>
      <c r="F966" s="199"/>
      <c r="G966" s="200"/>
      <c r="H966" s="199"/>
      <c r="I966" s="199"/>
      <c r="J966" s="199"/>
      <c r="K966" s="199"/>
      <c r="L966" s="203"/>
      <c r="M966" s="203"/>
      <c r="N966" s="203"/>
      <c r="O966" s="199"/>
      <c r="P966" s="199"/>
      <c r="Q966" s="199"/>
    </row>
    <row r="967">
      <c r="A967" s="28"/>
      <c r="B967" s="199"/>
      <c r="C967" s="199"/>
      <c r="D967" s="199"/>
      <c r="E967" s="199"/>
      <c r="F967" s="199"/>
      <c r="G967" s="200"/>
      <c r="H967" s="199"/>
      <c r="I967" s="199"/>
      <c r="J967" s="199"/>
      <c r="K967" s="199"/>
      <c r="L967" s="203"/>
      <c r="M967" s="203"/>
      <c r="N967" s="203"/>
      <c r="O967" s="199"/>
      <c r="P967" s="199"/>
      <c r="Q967" s="199"/>
    </row>
    <row r="968">
      <c r="A968" s="28"/>
      <c r="B968" s="199"/>
      <c r="C968" s="199"/>
      <c r="D968" s="199"/>
      <c r="E968" s="199"/>
      <c r="F968" s="199"/>
      <c r="G968" s="200"/>
      <c r="H968" s="199"/>
      <c r="I968" s="199"/>
      <c r="J968" s="199"/>
      <c r="K968" s="199"/>
      <c r="L968" s="203"/>
      <c r="M968" s="203"/>
      <c r="N968" s="203"/>
      <c r="O968" s="199"/>
      <c r="P968" s="199"/>
      <c r="Q968" s="199"/>
    </row>
    <row r="969">
      <c r="A969" s="28"/>
      <c r="B969" s="199"/>
      <c r="C969" s="199"/>
      <c r="D969" s="199"/>
      <c r="E969" s="199"/>
      <c r="F969" s="199"/>
      <c r="G969" s="200"/>
      <c r="H969" s="199"/>
      <c r="I969" s="199"/>
      <c r="J969" s="199"/>
      <c r="K969" s="199"/>
      <c r="L969" s="203"/>
      <c r="M969" s="203"/>
      <c r="N969" s="203"/>
      <c r="O969" s="199"/>
      <c r="P969" s="199"/>
      <c r="Q969" s="199"/>
    </row>
    <row r="970">
      <c r="A970" s="28"/>
      <c r="B970" s="199"/>
      <c r="C970" s="199"/>
      <c r="D970" s="199"/>
      <c r="E970" s="199"/>
      <c r="F970" s="199"/>
      <c r="G970" s="200"/>
      <c r="H970" s="199"/>
      <c r="I970" s="199"/>
      <c r="J970" s="199"/>
      <c r="K970" s="199"/>
      <c r="L970" s="203"/>
      <c r="M970" s="203"/>
      <c r="N970" s="203"/>
      <c r="O970" s="199"/>
      <c r="P970" s="199"/>
      <c r="Q970" s="199"/>
    </row>
    <row r="971">
      <c r="A971" s="28"/>
      <c r="B971" s="199"/>
      <c r="C971" s="199"/>
      <c r="D971" s="199"/>
      <c r="E971" s="199"/>
      <c r="F971" s="199"/>
      <c r="G971" s="200"/>
      <c r="H971" s="199"/>
      <c r="I971" s="199"/>
      <c r="J971" s="199"/>
      <c r="K971" s="199"/>
      <c r="L971" s="203"/>
      <c r="M971" s="203"/>
      <c r="N971" s="203"/>
      <c r="O971" s="199"/>
      <c r="P971" s="199"/>
      <c r="Q971" s="199"/>
    </row>
    <row r="972">
      <c r="A972" s="28"/>
      <c r="B972" s="199"/>
      <c r="C972" s="199"/>
      <c r="D972" s="199"/>
      <c r="E972" s="199"/>
      <c r="F972" s="199"/>
      <c r="G972" s="200"/>
      <c r="H972" s="199"/>
      <c r="I972" s="199"/>
      <c r="J972" s="199"/>
      <c r="K972" s="199"/>
      <c r="L972" s="203"/>
      <c r="M972" s="203"/>
      <c r="N972" s="203"/>
      <c r="O972" s="199"/>
      <c r="P972" s="199"/>
      <c r="Q972" s="199"/>
    </row>
    <row r="973">
      <c r="A973" s="28"/>
      <c r="B973" s="199"/>
      <c r="C973" s="199"/>
      <c r="D973" s="199"/>
      <c r="E973" s="199"/>
      <c r="F973" s="199"/>
      <c r="G973" s="200"/>
      <c r="H973" s="199"/>
      <c r="I973" s="199"/>
      <c r="J973" s="199"/>
      <c r="K973" s="199"/>
      <c r="L973" s="203"/>
      <c r="M973" s="203"/>
      <c r="N973" s="203"/>
      <c r="O973" s="199"/>
      <c r="P973" s="199"/>
      <c r="Q973" s="199"/>
    </row>
    <row r="974">
      <c r="A974" s="28"/>
      <c r="B974" s="199"/>
      <c r="C974" s="199"/>
      <c r="D974" s="199"/>
      <c r="E974" s="199"/>
      <c r="F974" s="199"/>
      <c r="G974" s="200"/>
      <c r="H974" s="199"/>
      <c r="I974" s="199"/>
      <c r="J974" s="199"/>
      <c r="K974" s="199"/>
      <c r="L974" s="203"/>
      <c r="M974" s="203"/>
      <c r="N974" s="203"/>
      <c r="O974" s="199"/>
      <c r="P974" s="199"/>
      <c r="Q974" s="199"/>
    </row>
  </sheetData>
  <autoFilter ref="$A$1:$M$220">
    <sortState ref="A1:M220">
      <sortCondition ref="A1:A220"/>
    </sortState>
  </autoFilter>
  <conditionalFormatting sqref="A1:A974">
    <cfRule type="expression" dxfId="0" priority="1">
      <formula>COUNTIF(A:A,A:A)&gt;1</formula>
    </cfRule>
  </conditionalFormatting>
  <hyperlinks>
    <hyperlink r:id="rId2" ref="O2"/>
    <hyperlink r:id="rId3" ref="P2"/>
    <hyperlink r:id="rId4" ref="O3"/>
    <hyperlink r:id="rId5" ref="O15"/>
    <hyperlink r:id="rId6" ref="P15"/>
    <hyperlink r:id="rId7" ref="Q15"/>
    <hyperlink r:id="rId8" ref="O16"/>
    <hyperlink r:id="rId9" ref="P16"/>
    <hyperlink r:id="rId10" ref="Q16"/>
    <hyperlink r:id="rId11" ref="O23"/>
    <hyperlink r:id="rId12" ref="P23"/>
    <hyperlink r:id="rId13" ref="Q23"/>
    <hyperlink r:id="rId14" ref="O24"/>
    <hyperlink r:id="rId15" ref="P24"/>
    <hyperlink r:id="rId16" ref="Q24"/>
    <hyperlink r:id="rId17" ref="O28"/>
    <hyperlink r:id="rId18" ref="P28"/>
    <hyperlink r:id="rId19" ref="O29"/>
    <hyperlink r:id="rId20" ref="P29"/>
    <hyperlink r:id="rId21" ref="Q29"/>
    <hyperlink r:id="rId22" ref="O30"/>
    <hyperlink r:id="rId23" ref="P30"/>
    <hyperlink r:id="rId24" ref="Q30"/>
    <hyperlink r:id="rId25" ref="O31"/>
    <hyperlink r:id="rId26" ref="P31"/>
    <hyperlink r:id="rId27" ref="Q31"/>
    <hyperlink r:id="rId28" ref="P37"/>
    <hyperlink r:id="rId29" ref="P40"/>
    <hyperlink r:id="rId30" ref="P73"/>
    <hyperlink r:id="rId31" ref="O140"/>
    <hyperlink r:id="rId32" ref="P140"/>
    <hyperlink r:id="rId33" ref="Q140"/>
    <hyperlink r:id="rId34" ref="C202"/>
    <hyperlink r:id="rId35" ref="C203"/>
    <hyperlink r:id="rId36" ref="C204"/>
    <hyperlink r:id="rId37" ref="C205"/>
    <hyperlink r:id="rId38" ref="C206"/>
    <hyperlink r:id="rId39" ref="C207"/>
    <hyperlink r:id="rId40" ref="C208"/>
    <hyperlink r:id="rId41" ref="C209"/>
    <hyperlink r:id="rId42" ref="C210"/>
    <hyperlink r:id="rId43" ref="C211"/>
    <hyperlink r:id="rId44" ref="C212"/>
    <hyperlink r:id="rId45" ref="C213"/>
  </hyperlinks>
  <drawing r:id="rId46"/>
  <legacyDrawing r:id="rId4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sheetData>
    <row r="1">
      <c r="A1" s="136" t="s">
        <v>1585</v>
      </c>
      <c r="B1" s="136" t="s">
        <v>1586</v>
      </c>
    </row>
    <row r="2">
      <c r="A2" s="136" t="s">
        <v>1587</v>
      </c>
      <c r="B2" s="136"/>
    </row>
    <row r="3" outlineLevel="1">
      <c r="B3" s="136" t="s">
        <v>1588</v>
      </c>
    </row>
    <row r="4" outlineLevel="1">
      <c r="B4" s="136" t="s">
        <v>1589</v>
      </c>
    </row>
    <row r="5" outlineLevel="1">
      <c r="B5" s="136" t="s">
        <v>1590</v>
      </c>
    </row>
    <row r="6" outlineLevel="1">
      <c r="B6" s="136" t="s">
        <v>1591</v>
      </c>
    </row>
    <row r="7" outlineLevel="1">
      <c r="B7" s="136" t="s">
        <v>1592</v>
      </c>
    </row>
    <row r="8" outlineLevel="1">
      <c r="B8" s="136" t="s">
        <v>1164</v>
      </c>
    </row>
    <row r="9" outlineLevel="1">
      <c r="A9" s="136"/>
      <c r="B9" s="136" t="s">
        <v>1386</v>
      </c>
    </row>
    <row r="10" outlineLevel="1">
      <c r="A10" s="136"/>
      <c r="B10" s="136" t="s">
        <v>1405</v>
      </c>
    </row>
    <row r="11" outlineLevel="1">
      <c r="A11" s="136"/>
      <c r="B11" s="136" t="s">
        <v>1593</v>
      </c>
    </row>
    <row r="12" outlineLevel="1">
      <c r="B12" s="136" t="s">
        <v>1594</v>
      </c>
    </row>
    <row r="13" outlineLevel="1">
      <c r="A13" s="136"/>
      <c r="B13" s="136" t="s">
        <v>1364</v>
      </c>
    </row>
    <row r="14">
      <c r="A14" s="136" t="s">
        <v>1595</v>
      </c>
      <c r="B14" s="136"/>
    </row>
    <row r="15" outlineLevel="1">
      <c r="B15" s="136" t="s">
        <v>1592</v>
      </c>
    </row>
    <row r="16" outlineLevel="1">
      <c r="B16" s="136" t="s">
        <v>1596</v>
      </c>
    </row>
    <row r="17" outlineLevel="1">
      <c r="B17" s="136" t="s">
        <v>1597</v>
      </c>
    </row>
    <row r="18">
      <c r="B18" s="136" t="s">
        <v>1598</v>
      </c>
    </row>
    <row r="19">
      <c r="B19" s="136" t="s">
        <v>1599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23.88"/>
    <col customWidth="1" min="3" max="3" width="11.5"/>
    <col customWidth="1" min="4" max="4" width="9.38"/>
    <col customWidth="1" min="5" max="5" width="101.13"/>
  </cols>
  <sheetData>
    <row r="1">
      <c r="A1" s="187" t="s">
        <v>1600</v>
      </c>
      <c r="B1" s="28" t="s">
        <v>1601</v>
      </c>
      <c r="C1" s="28" t="s">
        <v>1602</v>
      </c>
      <c r="D1" s="83" t="s">
        <v>1603</v>
      </c>
      <c r="E1" s="221" t="s">
        <v>1007</v>
      </c>
    </row>
    <row r="2" hidden="1">
      <c r="A2" s="187"/>
      <c r="B2" s="222"/>
      <c r="C2" s="222"/>
      <c r="D2" s="83"/>
      <c r="E2" s="223"/>
    </row>
    <row r="3">
      <c r="A3" s="187">
        <v>43314.786839953704</v>
      </c>
      <c r="B3" s="86" t="s">
        <v>1604</v>
      </c>
      <c r="C3" s="86" t="s">
        <v>1605</v>
      </c>
      <c r="D3" s="83">
        <v>38800.0</v>
      </c>
      <c r="E3" s="224" t="s">
        <v>1606</v>
      </c>
    </row>
    <row r="4">
      <c r="A4" s="187">
        <v>43316.0</v>
      </c>
      <c r="B4" s="86" t="s">
        <v>1607</v>
      </c>
      <c r="C4" s="86" t="s">
        <v>1605</v>
      </c>
      <c r="D4" s="83">
        <f>135000+19000</f>
        <v>154000</v>
      </c>
      <c r="E4" s="225" t="s">
        <v>1608</v>
      </c>
    </row>
    <row r="5">
      <c r="A5" s="226">
        <v>43316.631319444445</v>
      </c>
      <c r="B5" s="227" t="s">
        <v>1609</v>
      </c>
      <c r="C5" s="191" t="s">
        <v>1605</v>
      </c>
      <c r="D5" s="228">
        <v>17100.0</v>
      </c>
      <c r="E5" s="229" t="s">
        <v>1610</v>
      </c>
    </row>
    <row r="6">
      <c r="A6" s="187">
        <v>43422.0</v>
      </c>
      <c r="B6" s="86" t="s">
        <v>1611</v>
      </c>
      <c r="C6" s="86" t="s">
        <v>1605</v>
      </c>
      <c r="D6" s="83">
        <v>15000.0</v>
      </c>
      <c r="E6" s="223" t="s">
        <v>1612</v>
      </c>
    </row>
    <row r="7">
      <c r="A7" s="187">
        <v>43440.0</v>
      </c>
      <c r="B7" s="86" t="s">
        <v>1613</v>
      </c>
      <c r="C7" s="86" t="s">
        <v>1605</v>
      </c>
      <c r="D7" s="83">
        <f>1*12000 + 6000</f>
        <v>18000</v>
      </c>
      <c r="E7" s="230" t="s">
        <v>1614</v>
      </c>
    </row>
    <row r="8">
      <c r="A8" s="187">
        <v>43477.57976903935</v>
      </c>
      <c r="B8" s="86" t="s">
        <v>1613</v>
      </c>
      <c r="C8" s="86" t="s">
        <v>1605</v>
      </c>
      <c r="D8" s="83">
        <f>8*4300 + 10000</f>
        <v>44400</v>
      </c>
      <c r="E8" s="230" t="s">
        <v>1615</v>
      </c>
    </row>
    <row r="9">
      <c r="A9" s="187">
        <v>43516.0</v>
      </c>
      <c r="B9" s="86" t="s">
        <v>1616</v>
      </c>
      <c r="C9" s="86" t="s">
        <v>1605</v>
      </c>
      <c r="D9" s="83">
        <v>7500.0</v>
      </c>
      <c r="E9" s="223" t="s">
        <v>1617</v>
      </c>
    </row>
    <row r="10">
      <c r="A10" s="187">
        <v>43516.0</v>
      </c>
      <c r="B10" s="86" t="s">
        <v>1611</v>
      </c>
      <c r="C10" s="86" t="s">
        <v>1605</v>
      </c>
      <c r="D10" s="83">
        <v>7000.0</v>
      </c>
      <c r="E10" s="223" t="s">
        <v>1618</v>
      </c>
    </row>
    <row r="11">
      <c r="A11" s="187">
        <v>43522.943499409725</v>
      </c>
      <c r="B11" s="86" t="s">
        <v>1607</v>
      </c>
      <c r="C11" s="86" t="s">
        <v>1605</v>
      </c>
      <c r="D11" s="83">
        <f>129000+36000</f>
        <v>165000</v>
      </c>
      <c r="E11" s="225" t="s">
        <v>1608</v>
      </c>
    </row>
    <row r="12">
      <c r="A12" s="187">
        <v>43543.73730743055</v>
      </c>
      <c r="B12" s="86" t="s">
        <v>1619</v>
      </c>
      <c r="C12" s="86" t="s">
        <v>1605</v>
      </c>
      <c r="D12" s="83">
        <v>50000.0</v>
      </c>
      <c r="E12" s="223" t="s">
        <v>1620</v>
      </c>
    </row>
    <row r="13">
      <c r="A13" s="187">
        <v>43554.0</v>
      </c>
      <c r="B13" s="86" t="s">
        <v>1611</v>
      </c>
      <c r="C13" s="86" t="s">
        <v>1605</v>
      </c>
      <c r="D13" s="83">
        <f>4*6500 + 5*5000 + 8500 - 8500</f>
        <v>51000</v>
      </c>
      <c r="E13" s="223" t="s">
        <v>1621</v>
      </c>
    </row>
    <row r="14">
      <c r="A14" s="187">
        <v>43584.58681690972</v>
      </c>
      <c r="B14" s="28" t="s">
        <v>1622</v>
      </c>
      <c r="C14" s="86" t="s">
        <v>1605</v>
      </c>
      <c r="D14" s="83">
        <f>13000*2 + 7000</f>
        <v>33000</v>
      </c>
      <c r="E14" s="221" t="s">
        <v>1623</v>
      </c>
    </row>
    <row r="15">
      <c r="A15" s="231">
        <v>43584.58806888889</v>
      </c>
      <c r="B15" s="28" t="s">
        <v>1624</v>
      </c>
      <c r="C15" s="86" t="s">
        <v>1605</v>
      </c>
      <c r="D15" s="83">
        <f>3600*2 + 5000</f>
        <v>12200</v>
      </c>
      <c r="E15" s="221" t="s">
        <v>1625</v>
      </c>
    </row>
    <row r="16">
      <c r="A16" s="192">
        <v>43850.0</v>
      </c>
      <c r="B16" s="86" t="s">
        <v>1613</v>
      </c>
      <c r="C16" s="67" t="s">
        <v>1605</v>
      </c>
      <c r="D16" s="67">
        <v>20000.0</v>
      </c>
      <c r="E16" s="232" t="s">
        <v>1626</v>
      </c>
    </row>
    <row r="17">
      <c r="A17" s="192">
        <v>43881.0</v>
      </c>
      <c r="B17" s="233" t="s">
        <v>1627</v>
      </c>
      <c r="C17" s="234" t="s">
        <v>1605</v>
      </c>
      <c r="D17" s="67">
        <v>24500.0</v>
      </c>
      <c r="E17" s="232" t="s">
        <v>1628</v>
      </c>
    </row>
    <row r="18">
      <c r="A18" s="192">
        <v>43881.0</v>
      </c>
      <c r="B18" s="86" t="s">
        <v>1611</v>
      </c>
      <c r="C18" s="234" t="s">
        <v>1605</v>
      </c>
      <c r="D18" s="67">
        <v>50490.0</v>
      </c>
      <c r="E18" s="232" t="s">
        <v>1629</v>
      </c>
    </row>
    <row r="19">
      <c r="A19" s="231">
        <v>44043.0</v>
      </c>
      <c r="B19" s="28" t="s">
        <v>1613</v>
      </c>
      <c r="C19" s="86" t="s">
        <v>1605</v>
      </c>
      <c r="D19" s="91">
        <f>10*2600 + 5*1200 + 1800*10</f>
        <v>50000</v>
      </c>
      <c r="E19" s="235" t="s">
        <v>1630</v>
      </c>
    </row>
    <row r="20">
      <c r="A20" s="231">
        <v>44090.0</v>
      </c>
      <c r="B20" s="28" t="s">
        <v>1631</v>
      </c>
      <c r="C20" s="86" t="s">
        <v>1605</v>
      </c>
      <c r="D20" s="91">
        <f>2*33000 + 10000-5000</f>
        <v>71000</v>
      </c>
      <c r="E20" s="235" t="s">
        <v>1632</v>
      </c>
    </row>
    <row r="21">
      <c r="A21" s="236">
        <v>43927.792085312496</v>
      </c>
      <c r="B21" s="237" t="s">
        <v>1609</v>
      </c>
      <c r="C21" s="238" t="s">
        <v>1605</v>
      </c>
      <c r="D21" s="238">
        <v>15900.0</v>
      </c>
      <c r="E21" s="239" t="s">
        <v>1633</v>
      </c>
    </row>
    <row r="22">
      <c r="A22" s="77">
        <v>44083.0</v>
      </c>
      <c r="B22" s="237" t="s">
        <v>1613</v>
      </c>
      <c r="C22" s="238" t="s">
        <v>1605</v>
      </c>
      <c r="D22" s="238">
        <f>3*5000</f>
        <v>15000</v>
      </c>
      <c r="E22" s="240" t="s">
        <v>1634</v>
      </c>
    </row>
    <row r="23">
      <c r="A23" s="236"/>
      <c r="B23" s="237"/>
      <c r="C23" s="238"/>
      <c r="D23" s="238"/>
      <c r="E23" s="239"/>
    </row>
    <row r="24">
      <c r="A24" s="77">
        <v>44247.0</v>
      </c>
      <c r="B24" s="86" t="s">
        <v>1611</v>
      </c>
      <c r="C24" s="238" t="s">
        <v>1605</v>
      </c>
      <c r="D24" s="238">
        <f>15*8000</f>
        <v>120000</v>
      </c>
      <c r="E24" s="241" t="s">
        <v>1635</v>
      </c>
    </row>
    <row r="25">
      <c r="A25" s="236"/>
      <c r="B25" s="237"/>
      <c r="C25" s="238"/>
      <c r="D25" s="238"/>
      <c r="E25" s="239"/>
    </row>
    <row r="26">
      <c r="A26" s="77">
        <v>44834.0</v>
      </c>
      <c r="B26" s="237" t="s">
        <v>1627</v>
      </c>
      <c r="C26" s="237" t="s">
        <v>1605</v>
      </c>
      <c r="D26" s="238">
        <f>25*330</f>
        <v>8250</v>
      </c>
      <c r="E26" s="240" t="s">
        <v>1636</v>
      </c>
    </row>
    <row r="27">
      <c r="A27" s="77">
        <v>44834.0</v>
      </c>
      <c r="B27" s="237" t="s">
        <v>1627</v>
      </c>
      <c r="C27" s="237" t="s">
        <v>1605</v>
      </c>
      <c r="D27" s="238">
        <f>25*230</f>
        <v>5750</v>
      </c>
      <c r="E27" s="240" t="s">
        <v>1637</v>
      </c>
    </row>
    <row r="28">
      <c r="A28" s="77">
        <v>44834.0</v>
      </c>
      <c r="B28" s="237" t="s">
        <v>1627</v>
      </c>
      <c r="C28" s="237" t="s">
        <v>1605</v>
      </c>
      <c r="D28" s="238">
        <f>25*430</f>
        <v>10750</v>
      </c>
      <c r="E28" s="240" t="s">
        <v>1638</v>
      </c>
    </row>
    <row r="29">
      <c r="A29" s="77">
        <v>44834.0</v>
      </c>
      <c r="B29" s="237" t="s">
        <v>1627</v>
      </c>
      <c r="C29" s="237" t="s">
        <v>1605</v>
      </c>
      <c r="D29" s="238">
        <f>25*440</f>
        <v>11000</v>
      </c>
      <c r="E29" s="240" t="s">
        <v>1639</v>
      </c>
    </row>
    <row r="30">
      <c r="A30" s="236"/>
      <c r="B30" s="237"/>
      <c r="C30" s="238"/>
      <c r="D30" s="238"/>
      <c r="E30" s="239"/>
    </row>
    <row r="31">
      <c r="A31" s="77">
        <v>44954.0</v>
      </c>
      <c r="B31" s="237" t="s">
        <v>1640</v>
      </c>
      <c r="C31" s="237" t="s">
        <v>1605</v>
      </c>
      <c r="D31" s="237">
        <v>12500.0</v>
      </c>
      <c r="E31" s="240" t="s">
        <v>1641</v>
      </c>
    </row>
    <row r="32">
      <c r="A32" s="77">
        <v>44954.0</v>
      </c>
      <c r="B32" s="237" t="s">
        <v>1611</v>
      </c>
      <c r="C32" s="237" t="s">
        <v>1605</v>
      </c>
      <c r="D32" s="238">
        <f>5*8000</f>
        <v>40000</v>
      </c>
      <c r="E32" s="240" t="s">
        <v>1642</v>
      </c>
    </row>
    <row r="33">
      <c r="A33" s="236"/>
      <c r="B33" s="237"/>
      <c r="C33" s="238"/>
      <c r="D33" s="237"/>
      <c r="E33" s="239"/>
    </row>
    <row r="34">
      <c r="A34" s="77">
        <v>44965.0</v>
      </c>
      <c r="B34" s="86" t="s">
        <v>1607</v>
      </c>
      <c r="C34" s="237" t="s">
        <v>1605</v>
      </c>
      <c r="D34" s="237">
        <f>47000+6500</f>
        <v>53500</v>
      </c>
      <c r="E34" s="240" t="s">
        <v>1643</v>
      </c>
    </row>
    <row r="35">
      <c r="A35" s="77">
        <v>44979.0</v>
      </c>
      <c r="B35" s="237" t="s">
        <v>1609</v>
      </c>
      <c r="C35" s="237" t="s">
        <v>1605</v>
      </c>
      <c r="D35" s="237">
        <f>2*5458</f>
        <v>10916</v>
      </c>
      <c r="E35" s="241" t="s">
        <v>1644</v>
      </c>
    </row>
    <row r="36">
      <c r="A36" s="236"/>
      <c r="B36" s="237"/>
      <c r="C36" s="238"/>
      <c r="D36" s="237"/>
      <c r="E36" s="239"/>
    </row>
    <row r="37">
      <c r="A37" s="77">
        <v>44984.0</v>
      </c>
      <c r="B37" s="237" t="s">
        <v>1613</v>
      </c>
      <c r="C37" s="237" t="s">
        <v>1605</v>
      </c>
      <c r="D37" s="237">
        <f>17*1200 + 1000</f>
        <v>21400</v>
      </c>
      <c r="E37" s="240" t="s">
        <v>1645</v>
      </c>
    </row>
    <row r="38">
      <c r="A38" s="236"/>
      <c r="B38" s="237"/>
      <c r="C38" s="238"/>
      <c r="D38" s="237"/>
      <c r="E38" s="239"/>
    </row>
    <row r="39">
      <c r="A39" s="77">
        <v>45005.0</v>
      </c>
      <c r="B39" s="237" t="s">
        <v>1611</v>
      </c>
      <c r="C39" s="237" t="s">
        <v>1605</v>
      </c>
      <c r="D39" s="237">
        <f>7*7150 + 1000</f>
        <v>51050</v>
      </c>
      <c r="E39" s="241" t="s">
        <v>1646</v>
      </c>
    </row>
    <row r="40">
      <c r="A40" s="77">
        <v>45010.0</v>
      </c>
      <c r="B40" s="86" t="s">
        <v>1607</v>
      </c>
      <c r="C40" s="237" t="s">
        <v>1605</v>
      </c>
      <c r="D40" s="237">
        <f>47000+6500</f>
        <v>53500</v>
      </c>
      <c r="E40" s="240" t="s">
        <v>1647</v>
      </c>
    </row>
    <row r="41">
      <c r="A41" s="77"/>
      <c r="B41" s="237"/>
      <c r="C41" s="237"/>
      <c r="D41" s="237"/>
      <c r="E41" s="241"/>
    </row>
    <row r="42">
      <c r="A42" s="77">
        <v>45075.0</v>
      </c>
      <c r="B42" s="237" t="s">
        <v>1611</v>
      </c>
      <c r="C42" s="237" t="s">
        <v>1605</v>
      </c>
      <c r="D42" s="237">
        <f>5*7300 + 2000</f>
        <v>38500</v>
      </c>
      <c r="E42" s="241" t="s">
        <v>1648</v>
      </c>
    </row>
    <row r="43">
      <c r="A43" s="236"/>
      <c r="B43" s="237"/>
      <c r="C43" s="238"/>
      <c r="D43" s="237"/>
      <c r="E43" s="239"/>
    </row>
    <row r="44">
      <c r="A44" s="77">
        <v>45107.458333333336</v>
      </c>
      <c r="B44" s="237" t="s">
        <v>1627</v>
      </c>
      <c r="C44" s="237" t="s">
        <v>1605</v>
      </c>
      <c r="D44" s="237">
        <f>11500+2000</f>
        <v>13500</v>
      </c>
      <c r="E44" s="240" t="s">
        <v>1649</v>
      </c>
    </row>
    <row r="45">
      <c r="A45" s="236"/>
      <c r="B45" s="237"/>
      <c r="C45" s="238"/>
      <c r="D45" s="237"/>
      <c r="E45" s="239"/>
    </row>
    <row r="46">
      <c r="A46" s="77">
        <v>45151.47882945602</v>
      </c>
      <c r="B46" s="237" t="s">
        <v>1640</v>
      </c>
      <c r="C46" s="237" t="s">
        <v>1605</v>
      </c>
      <c r="D46" s="237">
        <f>2*11999+1000+1000</f>
        <v>25998</v>
      </c>
      <c r="E46" s="242" t="s">
        <v>1650</v>
      </c>
    </row>
    <row r="47">
      <c r="A47" s="243"/>
      <c r="B47" s="237"/>
      <c r="C47" s="238"/>
      <c r="D47" s="237"/>
      <c r="E47" s="239"/>
    </row>
    <row r="48">
      <c r="A48" s="77">
        <v>45178.441666666666</v>
      </c>
      <c r="B48" s="237" t="s">
        <v>1627</v>
      </c>
      <c r="C48" s="237" t="s">
        <v>1605</v>
      </c>
      <c r="D48" s="237">
        <v>21650.0</v>
      </c>
      <c r="E48" s="241" t="s">
        <v>1651</v>
      </c>
    </row>
    <row r="49">
      <c r="A49" s="77">
        <v>45186.520833333336</v>
      </c>
      <c r="B49" s="237" t="s">
        <v>1627</v>
      </c>
      <c r="C49" s="237" t="s">
        <v>1605</v>
      </c>
      <c r="D49" s="237">
        <v>21240.0</v>
      </c>
      <c r="E49" s="241" t="s">
        <v>1652</v>
      </c>
    </row>
    <row r="50">
      <c r="C50" s="238"/>
      <c r="D50" s="237"/>
      <c r="E50" s="239"/>
    </row>
    <row r="51">
      <c r="A51" s="77">
        <v>45209.625</v>
      </c>
      <c r="B51" s="86" t="s">
        <v>1607</v>
      </c>
      <c r="C51" s="237" t="s">
        <v>1605</v>
      </c>
      <c r="D51" s="237">
        <f>47000 + 6500 + 1000</f>
        <v>54500</v>
      </c>
      <c r="E51" s="240" t="s">
        <v>1653</v>
      </c>
    </row>
    <row r="52">
      <c r="A52" s="77">
        <v>45221.927777777775</v>
      </c>
      <c r="B52" s="237" t="s">
        <v>1627</v>
      </c>
      <c r="C52" s="237" t="s">
        <v>1605</v>
      </c>
      <c r="D52" s="237">
        <f>20*300 + 25*280 + 40*185 + 23000 - 20000 + 300 + 1000</f>
        <v>24700</v>
      </c>
      <c r="E52" s="241" t="s">
        <v>1654</v>
      </c>
    </row>
    <row r="53">
      <c r="A53" s="236"/>
      <c r="B53" s="237"/>
      <c r="C53" s="238"/>
      <c r="D53" s="237"/>
      <c r="E53" s="239"/>
    </row>
    <row r="54">
      <c r="A54" s="77">
        <v>45234.955789872685</v>
      </c>
      <c r="B54" s="237" t="s">
        <v>1611</v>
      </c>
      <c r="C54" s="237" t="s">
        <v>1605</v>
      </c>
      <c r="D54" s="237">
        <f>6 * 7300 + 11500 - 11500 + 1000</f>
        <v>44800</v>
      </c>
      <c r="E54" s="241" t="s">
        <v>1655</v>
      </c>
    </row>
    <row r="55">
      <c r="A55" s="236"/>
      <c r="B55" s="237"/>
      <c r="C55" s="238"/>
      <c r="D55" s="237"/>
      <c r="E55" s="239"/>
    </row>
    <row r="56">
      <c r="A56" s="77">
        <v>45305.50587407408</v>
      </c>
      <c r="B56" s="237" t="s">
        <v>1611</v>
      </c>
      <c r="C56" s="237" t="s">
        <v>1605</v>
      </c>
      <c r="D56" s="237">
        <f>(3*7300) + (3*7300) + 1000</f>
        <v>44800</v>
      </c>
      <c r="E56" s="241" t="s">
        <v>1656</v>
      </c>
    </row>
    <row r="57">
      <c r="A57" s="77">
        <v>45351.612843993054</v>
      </c>
      <c r="B57" s="237" t="s">
        <v>1611</v>
      </c>
      <c r="C57" s="237" t="s">
        <v>1605</v>
      </c>
      <c r="D57" s="237">
        <f>5*7250 + 5*7250 + 1000</f>
        <v>73500</v>
      </c>
      <c r="E57" s="241" t="s">
        <v>1657</v>
      </c>
    </row>
    <row r="58">
      <c r="A58" s="236"/>
      <c r="B58" s="237"/>
      <c r="C58" s="238"/>
      <c r="D58" s="237"/>
      <c r="E58" s="239"/>
    </row>
    <row r="59">
      <c r="A59" s="77">
        <v>45370.93194444444</v>
      </c>
      <c r="B59" s="237" t="s">
        <v>1607</v>
      </c>
      <c r="C59" s="237" t="s">
        <v>1605</v>
      </c>
      <c r="D59" s="237">
        <f>(42000 + 19000 - 15000 - 1 + 1000)</f>
        <v>46999</v>
      </c>
      <c r="E59" s="241" t="s">
        <v>1658</v>
      </c>
    </row>
    <row r="60">
      <c r="A60" s="77">
        <v>45370.94583333333</v>
      </c>
      <c r="B60" s="237" t="s">
        <v>1627</v>
      </c>
      <c r="C60" s="237" t="s">
        <v>1605</v>
      </c>
      <c r="D60" s="237">
        <f>(48*440 + 1000)</f>
        <v>22120</v>
      </c>
      <c r="E60" s="241" t="s">
        <v>1659</v>
      </c>
    </row>
    <row r="61">
      <c r="A61" s="236"/>
      <c r="B61" s="237"/>
      <c r="C61" s="238"/>
      <c r="D61" s="237"/>
      <c r="E61" s="239"/>
    </row>
    <row r="62">
      <c r="A62" s="77">
        <v>45409.75625</v>
      </c>
      <c r="B62" s="237" t="s">
        <v>1611</v>
      </c>
      <c r="C62" s="237" t="s">
        <v>1605</v>
      </c>
      <c r="D62" s="237">
        <f>(8*7100 + 7*7100) + (34500 - 30000) + (1000) - (6390)</f>
        <v>105610</v>
      </c>
      <c r="E62" s="241" t="s">
        <v>1660</v>
      </c>
    </row>
    <row r="63">
      <c r="A63" s="77">
        <v>45418.451360520834</v>
      </c>
      <c r="B63" s="237" t="s">
        <v>1611</v>
      </c>
      <c r="C63" s="237" t="s">
        <v>1605</v>
      </c>
      <c r="D63" s="237">
        <f>5*7800 + 1*7800 + 1*5000 + 1000 - 15000</f>
        <v>37800</v>
      </c>
      <c r="E63" s="241" t="s">
        <v>1661</v>
      </c>
    </row>
    <row r="64">
      <c r="A64" s="236"/>
      <c r="B64" s="237"/>
      <c r="C64" s="238"/>
      <c r="D64" s="237"/>
      <c r="E64" s="239"/>
    </row>
    <row r="65">
      <c r="A65" s="77">
        <v>45453.51111111111</v>
      </c>
      <c r="B65" s="237" t="s">
        <v>1607</v>
      </c>
      <c r="C65" s="237" t="s">
        <v>1605</v>
      </c>
      <c r="D65" s="237">
        <f>(44000 + 1000)</f>
        <v>45000</v>
      </c>
      <c r="E65" s="241" t="s">
        <v>1662</v>
      </c>
    </row>
    <row r="66">
      <c r="A66" s="244">
        <v>45478.677083333336</v>
      </c>
      <c r="B66" s="237" t="s">
        <v>1607</v>
      </c>
      <c r="C66" s="237" t="s">
        <v>1605</v>
      </c>
      <c r="D66" s="237">
        <v>47000.0</v>
      </c>
      <c r="E66" s="241" t="s">
        <v>1663</v>
      </c>
    </row>
    <row r="67">
      <c r="A67" s="236"/>
      <c r="B67" s="237"/>
      <c r="C67" s="238"/>
      <c r="D67" s="237"/>
      <c r="E67" s="239"/>
    </row>
    <row r="68">
      <c r="A68" s="77">
        <v>45505.0</v>
      </c>
      <c r="B68" s="237" t="s">
        <v>1611</v>
      </c>
      <c r="C68" s="237" t="s">
        <v>1605</v>
      </c>
      <c r="D68" s="237">
        <f>3*7500 + 1*7500 + 300 - 15000</f>
        <v>15300</v>
      </c>
      <c r="E68" s="241" t="s">
        <v>1664</v>
      </c>
    </row>
    <row r="69">
      <c r="A69" s="77">
        <v>45523.527083333334</v>
      </c>
      <c r="B69" s="237" t="s">
        <v>1607</v>
      </c>
      <c r="C69" s="237" t="s">
        <v>1605</v>
      </c>
      <c r="D69" s="237">
        <f>(79900 + 18000 - 15000 + 1000)</f>
        <v>83900</v>
      </c>
      <c r="E69" s="241" t="s">
        <v>1665</v>
      </c>
    </row>
    <row r="70">
      <c r="A70" s="77"/>
      <c r="B70" s="237"/>
      <c r="C70" s="238"/>
      <c r="D70" s="237"/>
      <c r="E70" s="239"/>
    </row>
    <row r="71">
      <c r="A71" s="77">
        <v>45563.55902777778</v>
      </c>
      <c r="B71" s="237" t="s">
        <v>1611</v>
      </c>
      <c r="C71" s="237" t="s">
        <v>1605</v>
      </c>
      <c r="D71" s="237">
        <f>(20*6900 + 10*6900) - 20700 + 81</f>
        <v>186381</v>
      </c>
      <c r="E71" s="241" t="s">
        <v>1666</v>
      </c>
    </row>
    <row r="72">
      <c r="A72" s="77"/>
      <c r="B72" s="237"/>
      <c r="C72" s="237"/>
      <c r="D72" s="237"/>
      <c r="E72" s="241"/>
    </row>
    <row r="73">
      <c r="A73" s="77">
        <v>45666.78402777778</v>
      </c>
      <c r="B73" s="237" t="s">
        <v>1607</v>
      </c>
      <c r="C73" s="237" t="s">
        <v>1605</v>
      </c>
      <c r="D73" s="237">
        <f>(1*82500 - 12375 + 25)</f>
        <v>70150</v>
      </c>
      <c r="E73" s="241" t="s">
        <v>1667</v>
      </c>
    </row>
    <row r="74">
      <c r="A74" s="77">
        <v>45773.73402777778</v>
      </c>
      <c r="B74" s="237" t="s">
        <v>1631</v>
      </c>
      <c r="C74" s="237" t="s">
        <v>1605</v>
      </c>
      <c r="D74" s="237">
        <f>(25000 - 2000 + 45)</f>
        <v>23045</v>
      </c>
      <c r="E74" s="241" t="s">
        <v>1668</v>
      </c>
    </row>
    <row r="75">
      <c r="A75" s="77"/>
      <c r="B75" s="237"/>
      <c r="C75" s="238"/>
      <c r="D75" s="237"/>
      <c r="E75" s="239"/>
    </row>
    <row r="76">
      <c r="A76" s="77">
        <v>45845.00208333333</v>
      </c>
      <c r="B76" s="237" t="s">
        <v>1611</v>
      </c>
      <c r="C76" s="237" t="s">
        <v>1605</v>
      </c>
      <c r="D76" s="237">
        <f>(15*6900 + 15*6900 - 24840 + 1016)</f>
        <v>183176</v>
      </c>
      <c r="E76" s="241" t="s">
        <v>1669</v>
      </c>
    </row>
    <row r="77">
      <c r="A77" s="77">
        <v>45845.02847222222</v>
      </c>
      <c r="B77" s="237" t="s">
        <v>1611</v>
      </c>
      <c r="C77" s="237" t="s">
        <v>1605</v>
      </c>
      <c r="D77" s="237">
        <f>10*8400 + 9*8400 - 23940 + 1900</f>
        <v>137560</v>
      </c>
      <c r="E77" s="241" t="s">
        <v>1670</v>
      </c>
    </row>
    <row r="78">
      <c r="A78" s="77"/>
      <c r="B78" s="237"/>
      <c r="C78" s="238"/>
      <c r="D78" s="237"/>
      <c r="E78" s="239"/>
    </row>
    <row r="79">
      <c r="A79" s="77">
        <v>45904.538194444445</v>
      </c>
      <c r="B79" s="237" t="s">
        <v>1631</v>
      </c>
      <c r="C79" s="237" t="s">
        <v>1605</v>
      </c>
      <c r="D79" s="237">
        <f>(204999 + 28500 - 20000 - 16400 + 1260)</f>
        <v>198359</v>
      </c>
      <c r="E79" s="241" t="s">
        <v>1671</v>
      </c>
    </row>
    <row r="80">
      <c r="A80" s="77">
        <v>45918.63125</v>
      </c>
      <c r="B80" s="237" t="s">
        <v>1631</v>
      </c>
      <c r="C80" s="237" t="s">
        <v>1605</v>
      </c>
      <c r="D80" s="60">
        <f>197500 + 23500 - 10000 - 19750 + 2000 + (198359)</f>
        <v>391609</v>
      </c>
      <c r="E80" s="241" t="s">
        <v>1672</v>
      </c>
    </row>
    <row r="81">
      <c r="A81" s="77"/>
      <c r="B81" s="237"/>
      <c r="C81" s="237"/>
      <c r="D81" s="237"/>
      <c r="E81" s="241"/>
    </row>
    <row r="82">
      <c r="A82" s="77">
        <v>45969.65069444444</v>
      </c>
      <c r="B82" s="237" t="s">
        <v>1607</v>
      </c>
      <c r="C82" s="237" t="s">
        <v>1605</v>
      </c>
      <c r="D82" s="237">
        <f>(113738 - 13647 + 139)</f>
        <v>100230</v>
      </c>
      <c r="E82" s="241" t="s">
        <v>1673</v>
      </c>
    </row>
    <row r="83">
      <c r="A83" s="77">
        <v>45969.65069444444</v>
      </c>
      <c r="B83" s="237" t="s">
        <v>1611</v>
      </c>
      <c r="C83" s="237" t="s">
        <v>1605</v>
      </c>
      <c r="D83" s="237">
        <f>(10*7950 + 10 *7950) - 19081 + 193</f>
        <v>140112</v>
      </c>
      <c r="E83" s="241" t="s">
        <v>1674</v>
      </c>
    </row>
    <row r="84">
      <c r="A84" s="236"/>
      <c r="B84" s="237"/>
      <c r="C84" s="238"/>
      <c r="D84" s="237"/>
      <c r="E84" s="239"/>
    </row>
    <row r="85">
      <c r="A85" s="243">
        <v>45976.71875</v>
      </c>
      <c r="B85" s="237" t="s">
        <v>1627</v>
      </c>
      <c r="C85" s="237" t="s">
        <v>1605</v>
      </c>
      <c r="D85" s="237">
        <f>(115*259 - 14983 + 1000)</f>
        <v>15802</v>
      </c>
      <c r="E85" s="241" t="s">
        <v>1675</v>
      </c>
    </row>
    <row r="86">
      <c r="A86" s="236"/>
      <c r="B86" s="237"/>
      <c r="C86" s="238"/>
      <c r="D86" s="237"/>
      <c r="E86" s="239"/>
    </row>
    <row r="87">
      <c r="A87" s="243">
        <v>46002.68194444444</v>
      </c>
      <c r="B87" s="237" t="s">
        <v>1613</v>
      </c>
      <c r="C87" s="237" t="s">
        <v>1605</v>
      </c>
      <c r="D87" s="237">
        <f>(2*14400 + 6500-6500 - 4000 + 1000)</f>
        <v>25800</v>
      </c>
      <c r="E87" s="241" t="s">
        <v>1676</v>
      </c>
    </row>
    <row r="88">
      <c r="A88" s="243"/>
      <c r="B88" s="237"/>
      <c r="C88" s="238"/>
      <c r="D88" s="237"/>
      <c r="E88" s="239"/>
    </row>
  </sheetData>
  <dataValidations>
    <dataValidation type="list" allowBlank="1" sqref="B3:C49 C50 B51:C88">
      <formula1>'Import-BisaJurnal'!$A:$A</formula1>
    </dataValidation>
    <dataValidation type="custom" allowBlank="1" showDropDown="1" showInputMessage="1" showErrorMessage="1" prompt="Format Tanggal : dd-MMM-yyyy dalam Bahasa Inggris, misal 01-May-2019" sqref="A2:A49 A51:A88">
      <formula1>OR(NOT(ISERROR(DATEVALUE(A2))), AND(ISNUMBER(A2), LEFT(CELL("format", A2))="D"))</formula1>
    </dataValidation>
  </dataValidations>
  <hyperlinks>
    <hyperlink r:id="rId1" ref="E7"/>
    <hyperlink r:id="rId2" ref="E8"/>
    <hyperlink r:id="rId3" ref="E16"/>
    <hyperlink r:id="rId4" ref="E17"/>
    <hyperlink r:id="rId5" ref="E18"/>
    <hyperlink r:id="rId6" ref="E19"/>
    <hyperlink r:id="rId7" ref="E20"/>
    <hyperlink r:id="rId8" ref="E22"/>
    <hyperlink r:id="rId9" ref="E26"/>
    <hyperlink r:id="rId10" ref="E27"/>
    <hyperlink r:id="rId11" ref="E28"/>
    <hyperlink r:id="rId12" ref="E29"/>
    <hyperlink r:id="rId13" ref="E31"/>
    <hyperlink r:id="rId14" ref="E32"/>
    <hyperlink r:id="rId15" ref="E34"/>
    <hyperlink r:id="rId16" ref="E37"/>
    <hyperlink r:id="rId17" ref="E40"/>
    <hyperlink r:id="rId18" ref="E44"/>
    <hyperlink r:id="rId19" ref="E51"/>
  </hyperlinks>
  <drawing r:id="rId2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63"/>
    <col customWidth="1" min="2" max="2" width="55.63"/>
    <col customWidth="1" min="3" max="3" width="23.75"/>
    <col customWidth="1" min="4" max="5" width="10.5"/>
    <col customWidth="1" min="6" max="6" width="101.13"/>
  </cols>
  <sheetData>
    <row r="1">
      <c r="A1" s="245" t="str">
        <f t="array" ref="A1:F5579">{"Tanggal
Akun","Akun","Referensi
(Kode Transaksi)","Debit","Kredit","Keterangan";
SORT({
IF((BisaStok!B3:B4643&lt;2),,{BisaStok!B3:B4643+0.00001*MOD(ROW(BisaStok!B3:B4643),100),
"Piutang "&amp;BisaStok!F3:F4643,IF(BisaStok!B3:B4643&lt;2,,"PIU-BisaStok-"&amp;TEXT(ROW(BisaStok!B3:B4643),"00000")),BisaStok!AB3:AB4643,SUBSTITUTE(BisaStok!B3:B4643,BisaStok!B3:B4643,),BisaStok!H3:H4643});
IF((BisaStok!B3:B4643&lt;2),,{BisaStok!B3:B4643+0.00001*MOD(ROW(BisaStok!B3:B4643),100),
"          Kas ITBisa"&amp;SUBSTITUTE(BisaStok!B3:B4643,BisaStok!B3:B4643,),IF(BisaStok!B3:B4643&lt;2,,"KAS-BisaStok-"&amp;TEXT(ROW(BisaStok!B3:B4643),"00000")),SUBSTITUTE(BisaStok!B3:B4643,BisaStok!B3:B4643,),BisaStok!AB3:AB4643,BisaStok!H3:H4643});
IF((BisaStok!C3:C4643&lt;2),,{BisaStok!C3:C4643+0.00001*MOD(ROW(BisaStok!C3:C4643),100),
"Persediaan "&amp;BisaStok!A3:A4643,IF(BisaStok!B3:B4643&lt;2,,"INV-BisaStok-"&amp;TEXT(ROW(BisaStok!B3:B4643),"00000")),BisaStok!AB3:AB4643,SUBSTITUTE(BisaStok!B3:B4643,BisaStok!B3:B4643,),BisaStok!H3:H4643});
IF((BisaStok!C3:C4643&lt;2),,{BisaStok!C3:C4643+0.00001*MOD(ROW(BisaStok!C3:C4643),100),
"          Piutang "&amp;BisaStok!F3:F4643,IF(BisaStok!B3:B4643&lt;2,,"PIU-BisaStok-"&amp;TEXT(ROW(BisaStok!B3:B4643),"00000")),SUBSTITUTE(BisaStok!B3:B4643,BisaStok!B3:B4643,),BisaStok!AB3:AB4643,BisaStok!H3:H4643});
"","","","","","";
IF((BisaPerlengkapan!A2:A4643&lt;2),,{BisaPerlengkapan!A2:A4643+0.00001*MOD(ROW(BisaPerlengkapan!A2:A4643),100),BisaPerlengkapan!B2:B4643,"DBT-BisaPerlengkapan-"&amp;TEXT(ROW(BisaPerlengkapan!A2:A4643),"00000"),BisaPerlengkapan!D2:D4643,SUBSTITUTE(BisaPerlengkapan!A2:A4643,BisaPerlengkapan!A2:A4643,),BisaPerlengkapan!E2:E4643});
IF((BisaPerlengkapan!A2:A4643&lt;2),,{BisaPerlengkapan!A2:A4643+0.00001*MOD(ROW(BisaPerlengkapan!A2:A4643),100),
"          "&amp;BisaPerlengkapan!C2:C4643,"CRT-BisaPerlengkapan-"&amp;TEXT(ROW(BisaPerlengkapan!A2:A4643),"00000"),SUBSTITUTE(BisaPerlengkapan!A2:A4643,BisaPerlengkapan!A2:A4643,),BisaPerlengkapan!D2:D4643,BisaPerlengkapan!E2:E4643});
"","","","","","";
IF((BisaHilang!A2:A4643&lt;2)+(BisaHilang!C2:C4643&lt;1)+(BisaHilang!D2:D4643&lt;1),,{BisaHilang!A2:A4643+0.00001*MOD(ROW(BisaHilang!A2:A4643),100),"Persediaan "&amp;BisaHilang!B2:B4643,"INV-BisaHilang-"&amp;TEXT(ROW(BisaHilang!A2:A4643),"00000"),BisaHilang!D2:D4643,SUBSTITUTE(BisaHilang!A2:A4643,BisaHilang!A2:A4643,),SUBSTITUTE(BisaHilang!A2:A4643,BisaHilang!A2:A4643,)});
IF((BisaHilang!A2:A4643&lt;2)+(BisaHilang!C2:C4643&lt;1)+(BisaHilang!D2:D4643&lt;1),,{BisaHilang!A2:A4643+0.00001*MOD(ROW(BisaHilang!A2:A4643),100),"          Bonus "&amp;BisaHilang!B2:B4643,"BNS-BisaHilang-"&amp;TEXT(ROW(BisaHilang!A2:A4643),"00000"),SUBSTITUTE(BisaHilang!A2:A4643,BisaHilang!A2:A4643,),BisaHilang!D2:D4643,SUBSTITUTE(BisaHilang!A2:A4643,BisaHilang!A2:A4643,)});
"","","","","","";
IF((BisaHilang!A2:A4643&lt;2)+(BisaHilang!E2:E4643&lt;1)+(BisaHilang!F2:F4643&lt;1),,{BisaHilang!A2:A4643+0.00001*MOD(ROW(BisaHilang!A2:A4643),100),"Beban Hilang "&amp;BisaHilang!B2:B4643,"BBN-BisaHilang-"&amp;TEXT(ROW(BisaHilang!A2:A4643),"00000"),BisaHilang!F2:F4643,SUBSTITUTE(BisaHilang!A2:A4643,BisaHilang!A2:A4643,),SUBSTITUTE(BisaHilang!A2:A4643,BisaHilang!A2:A4643,)});
IF((BisaHilang!A2:A4643&lt;2)+(BisaHilang!E2:E4643&lt;1)+(BisaHilang!F2:F4643&lt;1),,{BisaHilang!A2:A4643+0.00001*MOD(ROW(BisaHilang!A2:A4643),100),"          Persediaan "&amp;BisaHilang!B2:B4643,"INV-BisaHilang-"&amp;TEXT(ROW(BisaHilang!A2:A4643),"00000"),SUBSTITUTE(BisaHilang!A2:A4643,BisaHilang!A2:A4643,),BisaHilang!F2:F4643,SUBSTITUTE(BisaHilang!A2:A4643,BisaHilang!A2:A4643,)});
"","","","","",""},1,TRUE)}</f>
        <v>Tanggal
Akun</v>
      </c>
      <c r="B1" s="246" t="s">
        <v>1677</v>
      </c>
      <c r="C1" s="247" t="s">
        <v>1678</v>
      </c>
      <c r="D1" s="248" t="s">
        <v>1679</v>
      </c>
      <c r="E1" s="249" t="s">
        <v>1680</v>
      </c>
      <c r="F1" s="248" t="s">
        <v>1007</v>
      </c>
    </row>
    <row r="2">
      <c r="A2" s="250">
        <v>43271.00009</v>
      </c>
      <c r="B2" s="251" t="s">
        <v>1681</v>
      </c>
      <c r="C2" s="178" t="s">
        <v>1682</v>
      </c>
      <c r="D2" s="36">
        <v>607316.0</v>
      </c>
      <c r="E2" s="36" t="s">
        <v>1683</v>
      </c>
      <c r="F2" s="178" t="s">
        <v>228</v>
      </c>
    </row>
    <row r="3">
      <c r="A3" s="250">
        <v>43271.00009</v>
      </c>
      <c r="B3" s="251" t="s">
        <v>1684</v>
      </c>
      <c r="C3" s="178" t="s">
        <v>1685</v>
      </c>
      <c r="D3" s="36" t="s">
        <v>1683</v>
      </c>
      <c r="E3" s="36">
        <v>607316.0</v>
      </c>
      <c r="F3" s="178" t="s">
        <v>228</v>
      </c>
    </row>
    <row r="4">
      <c r="A4" s="250">
        <v>43271.00009</v>
      </c>
      <c r="B4" s="251" t="s">
        <v>1686</v>
      </c>
      <c r="C4" s="178" t="s">
        <v>1687</v>
      </c>
      <c r="D4" s="36">
        <v>607316.0</v>
      </c>
      <c r="E4" s="36" t="s">
        <v>1683</v>
      </c>
      <c r="F4" s="178" t="s">
        <v>228</v>
      </c>
    </row>
    <row r="5">
      <c r="A5" s="250">
        <v>43271.00009</v>
      </c>
      <c r="B5" s="251" t="s">
        <v>1688</v>
      </c>
      <c r="C5" s="178" t="s">
        <v>1682</v>
      </c>
      <c r="D5" s="36" t="s">
        <v>1683</v>
      </c>
      <c r="E5" s="36">
        <v>607316.0</v>
      </c>
      <c r="F5" s="178" t="s">
        <v>228</v>
      </c>
    </row>
    <row r="6">
      <c r="A6" s="250">
        <v>43281.00024</v>
      </c>
      <c r="B6" s="251" t="s">
        <v>1681</v>
      </c>
      <c r="C6" s="178" t="s">
        <v>1689</v>
      </c>
      <c r="D6" s="36">
        <v>150000.00000000023</v>
      </c>
      <c r="E6" s="36" t="s">
        <v>1683</v>
      </c>
      <c r="F6" s="178" t="s">
        <v>227</v>
      </c>
    </row>
    <row r="7">
      <c r="A7" s="250">
        <v>43281.00024</v>
      </c>
      <c r="B7" s="251" t="s">
        <v>1684</v>
      </c>
      <c r="C7" s="178" t="s">
        <v>1690</v>
      </c>
      <c r="D7" s="36" t="s">
        <v>1683</v>
      </c>
      <c r="E7" s="36">
        <v>150000.00000000023</v>
      </c>
      <c r="F7" s="178" t="s">
        <v>227</v>
      </c>
    </row>
    <row r="8">
      <c r="A8" s="250">
        <v>43283.00024</v>
      </c>
      <c r="B8" s="251" t="s">
        <v>1691</v>
      </c>
      <c r="C8" s="178" t="s">
        <v>1692</v>
      </c>
      <c r="D8" s="36">
        <v>150000.00000000023</v>
      </c>
      <c r="E8" s="36" t="s">
        <v>1683</v>
      </c>
      <c r="F8" s="178" t="s">
        <v>227</v>
      </c>
    </row>
    <row r="9">
      <c r="A9" s="250">
        <v>43283.00024</v>
      </c>
      <c r="B9" s="251" t="s">
        <v>1688</v>
      </c>
      <c r="C9" s="178" t="s">
        <v>1689</v>
      </c>
      <c r="D9" s="36" t="s">
        <v>1683</v>
      </c>
      <c r="E9" s="36">
        <v>150000.00000000023</v>
      </c>
      <c r="F9" s="178" t="s">
        <v>227</v>
      </c>
    </row>
    <row r="10">
      <c r="A10" s="250">
        <v>43284.00089</v>
      </c>
      <c r="B10" s="251" t="s">
        <v>1693</v>
      </c>
      <c r="C10" s="178" t="s">
        <v>1694</v>
      </c>
      <c r="D10" s="36">
        <v>234000.00000000003</v>
      </c>
      <c r="E10" s="36" t="s">
        <v>1683</v>
      </c>
      <c r="F10" s="178" t="s">
        <v>706</v>
      </c>
    </row>
    <row r="11">
      <c r="A11" s="250">
        <v>43284.00089</v>
      </c>
      <c r="B11" s="251" t="s">
        <v>1684</v>
      </c>
      <c r="C11" s="178" t="s">
        <v>1695</v>
      </c>
      <c r="D11" s="36" t="s">
        <v>1683</v>
      </c>
      <c r="E11" s="36">
        <v>234000.00000000003</v>
      </c>
      <c r="F11" s="178" t="s">
        <v>706</v>
      </c>
    </row>
    <row r="12">
      <c r="A12" s="250">
        <v>43286.00089</v>
      </c>
      <c r="B12" s="251" t="s">
        <v>1696</v>
      </c>
      <c r="C12" s="178" t="s">
        <v>1697</v>
      </c>
      <c r="D12" s="36">
        <v>234000.00000000003</v>
      </c>
      <c r="E12" s="36" t="s">
        <v>1683</v>
      </c>
      <c r="F12" s="178" t="s">
        <v>706</v>
      </c>
    </row>
    <row r="13">
      <c r="A13" s="250">
        <v>43286.00089</v>
      </c>
      <c r="B13" s="251" t="s">
        <v>1698</v>
      </c>
      <c r="C13" s="178" t="s">
        <v>1694</v>
      </c>
      <c r="D13" s="36" t="s">
        <v>1683</v>
      </c>
      <c r="E13" s="36">
        <v>234000.00000000003</v>
      </c>
      <c r="F13" s="178" t="s">
        <v>706</v>
      </c>
    </row>
    <row r="14">
      <c r="A14" s="250">
        <v>43295.00008</v>
      </c>
      <c r="B14" s="251" t="s">
        <v>1681</v>
      </c>
      <c r="C14" s="178" t="s">
        <v>1699</v>
      </c>
      <c r="D14" s="36">
        <v>607923.0</v>
      </c>
      <c r="E14" s="36" t="s">
        <v>1683</v>
      </c>
      <c r="F14" s="178" t="s">
        <v>228</v>
      </c>
    </row>
    <row r="15">
      <c r="A15" s="250">
        <v>43295.00008</v>
      </c>
      <c r="B15" s="251" t="s">
        <v>1684</v>
      </c>
      <c r="C15" s="178" t="s">
        <v>1700</v>
      </c>
      <c r="D15" s="36" t="s">
        <v>1683</v>
      </c>
      <c r="E15" s="36">
        <v>607923.0</v>
      </c>
      <c r="F15" s="178" t="s">
        <v>228</v>
      </c>
    </row>
    <row r="16">
      <c r="A16" s="250">
        <v>43295.00008</v>
      </c>
      <c r="B16" s="251" t="s">
        <v>1686</v>
      </c>
      <c r="C16" s="178" t="s">
        <v>1701</v>
      </c>
      <c r="D16" s="36">
        <v>607923.0</v>
      </c>
      <c r="E16" s="36" t="s">
        <v>1683</v>
      </c>
      <c r="F16" s="178" t="s">
        <v>228</v>
      </c>
    </row>
    <row r="17">
      <c r="A17" s="250">
        <v>43295.00008</v>
      </c>
      <c r="B17" s="251" t="s">
        <v>1688</v>
      </c>
      <c r="C17" s="178" t="s">
        <v>1699</v>
      </c>
      <c r="D17" s="36" t="s">
        <v>1683</v>
      </c>
      <c r="E17" s="36">
        <v>607923.0</v>
      </c>
      <c r="F17" s="178" t="s">
        <v>228</v>
      </c>
    </row>
    <row r="18">
      <c r="A18" s="250">
        <v>43295.00017</v>
      </c>
      <c r="B18" s="251" t="s">
        <v>1702</v>
      </c>
      <c r="C18" s="178" t="s">
        <v>1703</v>
      </c>
      <c r="D18" s="36">
        <v>63266.41974663706</v>
      </c>
      <c r="E18" s="36" t="s">
        <v>1683</v>
      </c>
      <c r="F18" s="178" t="s">
        <v>529</v>
      </c>
    </row>
    <row r="19">
      <c r="A19" s="250">
        <v>43295.00017</v>
      </c>
      <c r="B19" s="251" t="s">
        <v>1684</v>
      </c>
      <c r="C19" s="178" t="s">
        <v>1704</v>
      </c>
      <c r="D19" s="36" t="s">
        <v>1683</v>
      </c>
      <c r="E19" s="36">
        <v>63266.41974663706</v>
      </c>
      <c r="F19" s="178" t="s">
        <v>529</v>
      </c>
    </row>
    <row r="20">
      <c r="A20" s="250">
        <v>43295.00018</v>
      </c>
      <c r="B20" s="251" t="s">
        <v>1702</v>
      </c>
      <c r="C20" s="178" t="s">
        <v>1705</v>
      </c>
      <c r="D20" s="36">
        <v>63266.41974663706</v>
      </c>
      <c r="E20" s="36" t="s">
        <v>1683</v>
      </c>
      <c r="F20" s="178" t="s">
        <v>530</v>
      </c>
    </row>
    <row r="21">
      <c r="A21" s="250">
        <v>43295.00018</v>
      </c>
      <c r="B21" s="251" t="s">
        <v>1684</v>
      </c>
      <c r="C21" s="178" t="s">
        <v>1706</v>
      </c>
      <c r="D21" s="36" t="s">
        <v>1683</v>
      </c>
      <c r="E21" s="36">
        <v>63266.41974663706</v>
      </c>
      <c r="F21" s="178" t="s">
        <v>530</v>
      </c>
    </row>
    <row r="22">
      <c r="A22" s="250">
        <v>43295.00019</v>
      </c>
      <c r="B22" s="251" t="s">
        <v>1702</v>
      </c>
      <c r="C22" s="178" t="s">
        <v>1707</v>
      </c>
      <c r="D22" s="36">
        <v>66634.77079796264</v>
      </c>
      <c r="E22" s="36" t="s">
        <v>1683</v>
      </c>
      <c r="F22" s="178" t="s">
        <v>531</v>
      </c>
    </row>
    <row r="23">
      <c r="A23" s="250">
        <v>43295.00019</v>
      </c>
      <c r="B23" s="251" t="s">
        <v>1684</v>
      </c>
      <c r="C23" s="178" t="s">
        <v>1708</v>
      </c>
      <c r="D23" s="36" t="s">
        <v>1683</v>
      </c>
      <c r="E23" s="36">
        <v>66634.77079796264</v>
      </c>
      <c r="F23" s="178" t="s">
        <v>531</v>
      </c>
    </row>
    <row r="24">
      <c r="A24" s="250">
        <v>43295.0002</v>
      </c>
      <c r="B24" s="251" t="s">
        <v>1702</v>
      </c>
      <c r="C24" s="178" t="s">
        <v>1709</v>
      </c>
      <c r="D24" s="36">
        <v>66634.77079796264</v>
      </c>
      <c r="E24" s="36" t="s">
        <v>1683</v>
      </c>
      <c r="F24" s="178" t="s">
        <v>532</v>
      </c>
    </row>
    <row r="25">
      <c r="A25" s="250">
        <v>43295.0002</v>
      </c>
      <c r="B25" s="251" t="s">
        <v>1684</v>
      </c>
      <c r="C25" s="178" t="s">
        <v>1710</v>
      </c>
      <c r="D25" s="36" t="s">
        <v>1683</v>
      </c>
      <c r="E25" s="36">
        <v>66634.77079796264</v>
      </c>
      <c r="F25" s="178" t="s">
        <v>532</v>
      </c>
    </row>
    <row r="26">
      <c r="A26" s="250">
        <v>43295.00021</v>
      </c>
      <c r="B26" s="251" t="s">
        <v>1702</v>
      </c>
      <c r="C26" s="178" t="s">
        <v>1711</v>
      </c>
      <c r="D26" s="36">
        <v>66634.77079796264</v>
      </c>
      <c r="E26" s="36" t="s">
        <v>1683</v>
      </c>
      <c r="F26" s="178" t="s">
        <v>533</v>
      </c>
    </row>
    <row r="27">
      <c r="A27" s="250">
        <v>43295.00021</v>
      </c>
      <c r="B27" s="251" t="s">
        <v>1684</v>
      </c>
      <c r="C27" s="178" t="s">
        <v>1712</v>
      </c>
      <c r="D27" s="36" t="s">
        <v>1683</v>
      </c>
      <c r="E27" s="36">
        <v>66634.77079796264</v>
      </c>
      <c r="F27" s="178" t="s">
        <v>533</v>
      </c>
    </row>
    <row r="28">
      <c r="A28" s="250">
        <v>43295.00022</v>
      </c>
      <c r="B28" s="251" t="s">
        <v>1702</v>
      </c>
      <c r="C28" s="178" t="s">
        <v>1713</v>
      </c>
      <c r="D28" s="36">
        <v>69710.22175786862</v>
      </c>
      <c r="E28" s="36" t="s">
        <v>1683</v>
      </c>
      <c r="F28" s="178" t="s">
        <v>553</v>
      </c>
    </row>
    <row r="29">
      <c r="A29" s="250">
        <v>43295.00022</v>
      </c>
      <c r="B29" s="251" t="s">
        <v>1684</v>
      </c>
      <c r="C29" s="178" t="s">
        <v>1714</v>
      </c>
      <c r="D29" s="36" t="s">
        <v>1683</v>
      </c>
      <c r="E29" s="36">
        <v>69710.22175786862</v>
      </c>
      <c r="F29" s="178" t="s">
        <v>553</v>
      </c>
    </row>
    <row r="30">
      <c r="A30" s="250">
        <v>43295.00023</v>
      </c>
      <c r="B30" s="251" t="s">
        <v>1702</v>
      </c>
      <c r="C30" s="178" t="s">
        <v>1715</v>
      </c>
      <c r="D30" s="36">
        <v>68685.07143789995</v>
      </c>
      <c r="E30" s="36" t="s">
        <v>1683</v>
      </c>
      <c r="F30" s="178" t="s">
        <v>554</v>
      </c>
    </row>
    <row r="31">
      <c r="A31" s="250">
        <v>43295.00023</v>
      </c>
      <c r="B31" s="251" t="s">
        <v>1684</v>
      </c>
      <c r="C31" s="178" t="s">
        <v>1716</v>
      </c>
      <c r="D31" s="36" t="s">
        <v>1683</v>
      </c>
      <c r="E31" s="36">
        <v>68685.07143789995</v>
      </c>
      <c r="F31" s="178" t="s">
        <v>554</v>
      </c>
    </row>
    <row r="32">
      <c r="A32" s="250">
        <v>43295.00049</v>
      </c>
      <c r="B32" s="251" t="s">
        <v>1702</v>
      </c>
      <c r="C32" s="178" t="s">
        <v>1717</v>
      </c>
      <c r="D32" s="36">
        <v>63266.41974663706</v>
      </c>
      <c r="E32" s="36" t="s">
        <v>1683</v>
      </c>
      <c r="F32" s="178" t="s">
        <v>529</v>
      </c>
    </row>
    <row r="33">
      <c r="A33" s="250">
        <v>43295.00049</v>
      </c>
      <c r="B33" s="251" t="s">
        <v>1684</v>
      </c>
      <c r="C33" s="178" t="s">
        <v>1718</v>
      </c>
      <c r="D33" s="36" t="s">
        <v>1683</v>
      </c>
      <c r="E33" s="36">
        <v>63266.41974663706</v>
      </c>
      <c r="F33" s="178" t="s">
        <v>529</v>
      </c>
    </row>
    <row r="34">
      <c r="A34" s="250">
        <v>43295.0005</v>
      </c>
      <c r="B34" s="251" t="s">
        <v>1702</v>
      </c>
      <c r="C34" s="178" t="s">
        <v>1719</v>
      </c>
      <c r="D34" s="36">
        <v>66634.77079796264</v>
      </c>
      <c r="E34" s="36" t="s">
        <v>1683</v>
      </c>
      <c r="F34" s="178" t="s">
        <v>531</v>
      </c>
    </row>
    <row r="35">
      <c r="A35" s="250">
        <v>43295.0005</v>
      </c>
      <c r="B35" s="251" t="s">
        <v>1684</v>
      </c>
      <c r="C35" s="178" t="s">
        <v>1720</v>
      </c>
      <c r="D35" s="36" t="s">
        <v>1683</v>
      </c>
      <c r="E35" s="36">
        <v>66634.77079796264</v>
      </c>
      <c r="F35" s="178" t="s">
        <v>531</v>
      </c>
    </row>
    <row r="36">
      <c r="A36" s="250">
        <v>43295.00051</v>
      </c>
      <c r="B36" s="251" t="s">
        <v>1702</v>
      </c>
      <c r="C36" s="178" t="s">
        <v>1721</v>
      </c>
      <c r="D36" s="36">
        <v>67952.8212093509</v>
      </c>
      <c r="E36" s="36" t="s">
        <v>1683</v>
      </c>
      <c r="F36" s="178" t="s">
        <v>532</v>
      </c>
    </row>
    <row r="37">
      <c r="A37" s="250">
        <v>43295.00051</v>
      </c>
      <c r="B37" s="251" t="s">
        <v>1684</v>
      </c>
      <c r="C37" s="178" t="s">
        <v>1722</v>
      </c>
      <c r="D37" s="36" t="s">
        <v>1683</v>
      </c>
      <c r="E37" s="36">
        <v>67952.8212093509</v>
      </c>
      <c r="F37" s="178" t="s">
        <v>532</v>
      </c>
    </row>
    <row r="38">
      <c r="A38" s="250">
        <v>43295.00052</v>
      </c>
      <c r="B38" s="251" t="s">
        <v>1702</v>
      </c>
      <c r="C38" s="178" t="s">
        <v>1723</v>
      </c>
      <c r="D38" s="36">
        <v>68685.07143789995</v>
      </c>
      <c r="E38" s="36" t="s">
        <v>1683</v>
      </c>
      <c r="F38" s="178" t="s">
        <v>533</v>
      </c>
    </row>
    <row r="39">
      <c r="A39" s="250">
        <v>43295.00052</v>
      </c>
      <c r="B39" s="251" t="s">
        <v>1684</v>
      </c>
      <c r="C39" s="178" t="s">
        <v>1724</v>
      </c>
      <c r="D39" s="36" t="s">
        <v>1683</v>
      </c>
      <c r="E39" s="36">
        <v>68685.07143789995</v>
      </c>
      <c r="F39" s="178" t="s">
        <v>533</v>
      </c>
    </row>
    <row r="40">
      <c r="A40" s="250">
        <v>43295.00084</v>
      </c>
      <c r="B40" s="251" t="s">
        <v>1702</v>
      </c>
      <c r="C40" s="178" t="s">
        <v>1725</v>
      </c>
      <c r="D40" s="36">
        <v>63266.41974663706</v>
      </c>
      <c r="E40" s="36" t="s">
        <v>1683</v>
      </c>
      <c r="F40" s="178" t="s">
        <v>529</v>
      </c>
    </row>
    <row r="41">
      <c r="A41" s="250">
        <v>43295.00084</v>
      </c>
      <c r="B41" s="251" t="s">
        <v>1684</v>
      </c>
      <c r="C41" s="178" t="s">
        <v>1726</v>
      </c>
      <c r="D41" s="36" t="s">
        <v>1683</v>
      </c>
      <c r="E41" s="36">
        <v>63266.41974663706</v>
      </c>
      <c r="F41" s="178" t="s">
        <v>529</v>
      </c>
    </row>
    <row r="42">
      <c r="A42" s="250">
        <v>43295.00085</v>
      </c>
      <c r="B42" s="251" t="s">
        <v>1702</v>
      </c>
      <c r="C42" s="178" t="s">
        <v>1727</v>
      </c>
      <c r="D42" s="36">
        <v>63266.41974663706</v>
      </c>
      <c r="E42" s="36" t="s">
        <v>1683</v>
      </c>
      <c r="F42" s="178" t="s">
        <v>530</v>
      </c>
    </row>
    <row r="43">
      <c r="A43" s="250">
        <v>43295.00085</v>
      </c>
      <c r="B43" s="251" t="s">
        <v>1684</v>
      </c>
      <c r="C43" s="178" t="s">
        <v>1728</v>
      </c>
      <c r="D43" s="36" t="s">
        <v>1683</v>
      </c>
      <c r="E43" s="36">
        <v>63266.41974663706</v>
      </c>
      <c r="F43" s="178" t="s">
        <v>530</v>
      </c>
    </row>
    <row r="44">
      <c r="A44" s="250">
        <v>43295.00086</v>
      </c>
      <c r="B44" s="251" t="s">
        <v>1702</v>
      </c>
      <c r="C44" s="178" t="s">
        <v>1729</v>
      </c>
      <c r="D44" s="36">
        <v>66634.77079796264</v>
      </c>
      <c r="E44" s="36" t="s">
        <v>1683</v>
      </c>
      <c r="F44" s="178" t="s">
        <v>531</v>
      </c>
    </row>
    <row r="45">
      <c r="A45" s="250">
        <v>43295.00086</v>
      </c>
      <c r="B45" s="251" t="s">
        <v>1684</v>
      </c>
      <c r="C45" s="178" t="s">
        <v>1730</v>
      </c>
      <c r="D45" s="36" t="s">
        <v>1683</v>
      </c>
      <c r="E45" s="36">
        <v>66634.77079796264</v>
      </c>
      <c r="F45" s="178" t="s">
        <v>531</v>
      </c>
    </row>
    <row r="46">
      <c r="A46" s="250">
        <v>43295.00087</v>
      </c>
      <c r="B46" s="251" t="s">
        <v>1702</v>
      </c>
      <c r="C46" s="178" t="s">
        <v>1731</v>
      </c>
      <c r="D46" s="36">
        <v>66634.77079796264</v>
      </c>
      <c r="E46" s="36" t="s">
        <v>1683</v>
      </c>
      <c r="F46" s="178" t="s">
        <v>532</v>
      </c>
    </row>
    <row r="47">
      <c r="A47" s="250">
        <v>43295.00087</v>
      </c>
      <c r="B47" s="251" t="s">
        <v>1684</v>
      </c>
      <c r="C47" s="178" t="s">
        <v>1732</v>
      </c>
      <c r="D47" s="36" t="s">
        <v>1683</v>
      </c>
      <c r="E47" s="36">
        <v>66634.77079796264</v>
      </c>
      <c r="F47" s="178" t="s">
        <v>532</v>
      </c>
    </row>
    <row r="48">
      <c r="A48" s="250">
        <v>43295.00088</v>
      </c>
      <c r="B48" s="251" t="s">
        <v>1702</v>
      </c>
      <c r="C48" s="178" t="s">
        <v>1733</v>
      </c>
      <c r="D48" s="36">
        <v>64584.47015802533</v>
      </c>
      <c r="E48" s="36" t="s">
        <v>1683</v>
      </c>
      <c r="F48" s="178" t="s">
        <v>533</v>
      </c>
    </row>
    <row r="49">
      <c r="A49" s="250">
        <v>43295.00088</v>
      </c>
      <c r="B49" s="251" t="s">
        <v>1684</v>
      </c>
      <c r="C49" s="178" t="s">
        <v>1734</v>
      </c>
      <c r="D49" s="36" t="s">
        <v>1683</v>
      </c>
      <c r="E49" s="36">
        <v>64584.47015802533</v>
      </c>
      <c r="F49" s="178" t="s">
        <v>533</v>
      </c>
    </row>
    <row r="50">
      <c r="A50" s="250">
        <v>43295.00089</v>
      </c>
      <c r="B50" s="251" t="s">
        <v>1702</v>
      </c>
      <c r="C50" s="178" t="s">
        <v>1735</v>
      </c>
      <c r="D50" s="36">
        <v>65609.62047799399</v>
      </c>
      <c r="E50" s="36" t="s">
        <v>1683</v>
      </c>
      <c r="F50" s="178" t="s">
        <v>534</v>
      </c>
    </row>
    <row r="51">
      <c r="A51" s="250">
        <v>43295.00089</v>
      </c>
      <c r="B51" s="251" t="s">
        <v>1684</v>
      </c>
      <c r="C51" s="178" t="s">
        <v>1736</v>
      </c>
      <c r="D51" s="36" t="s">
        <v>1683</v>
      </c>
      <c r="E51" s="36">
        <v>65609.62047799399</v>
      </c>
      <c r="F51" s="178" t="s">
        <v>534</v>
      </c>
    </row>
    <row r="52">
      <c r="A52" s="250">
        <v>43296.00023</v>
      </c>
      <c r="B52" s="251" t="s">
        <v>1681</v>
      </c>
      <c r="C52" s="178" t="s">
        <v>1737</v>
      </c>
      <c r="D52" s="36">
        <v>349999.99999999994</v>
      </c>
      <c r="E52" s="36" t="s">
        <v>1683</v>
      </c>
      <c r="F52" s="178" t="s">
        <v>227</v>
      </c>
    </row>
    <row r="53">
      <c r="A53" s="250">
        <v>43296.00023</v>
      </c>
      <c r="B53" s="251" t="s">
        <v>1684</v>
      </c>
      <c r="C53" s="178" t="s">
        <v>1738</v>
      </c>
      <c r="D53" s="36" t="s">
        <v>1683</v>
      </c>
      <c r="E53" s="36">
        <v>349999.99999999994</v>
      </c>
      <c r="F53" s="178" t="s">
        <v>227</v>
      </c>
    </row>
    <row r="54">
      <c r="A54" s="250">
        <v>43297.00023</v>
      </c>
      <c r="B54" s="251" t="s">
        <v>1691</v>
      </c>
      <c r="C54" s="178" t="s">
        <v>1739</v>
      </c>
      <c r="D54" s="36">
        <v>349999.99999999994</v>
      </c>
      <c r="E54" s="36" t="s">
        <v>1683</v>
      </c>
      <c r="F54" s="178" t="s">
        <v>227</v>
      </c>
    </row>
    <row r="55">
      <c r="A55" s="250">
        <v>43297.00023</v>
      </c>
      <c r="B55" s="251" t="s">
        <v>1688</v>
      </c>
      <c r="C55" s="178" t="s">
        <v>1737</v>
      </c>
      <c r="D55" s="36" t="s">
        <v>1683</v>
      </c>
      <c r="E55" s="36">
        <v>349999.99999999994</v>
      </c>
      <c r="F55" s="178" t="s">
        <v>227</v>
      </c>
    </row>
    <row r="56">
      <c r="A56" s="250">
        <v>43298.00008</v>
      </c>
      <c r="B56" s="251" t="s">
        <v>1702</v>
      </c>
      <c r="C56" s="178" t="s">
        <v>1740</v>
      </c>
      <c r="D56" s="36">
        <v>864740.3698319413</v>
      </c>
      <c r="E56" s="36" t="s">
        <v>1683</v>
      </c>
      <c r="F56" s="178" t="s">
        <v>449</v>
      </c>
    </row>
    <row r="57">
      <c r="A57" s="250">
        <v>43298.00008</v>
      </c>
      <c r="B57" s="251" t="s">
        <v>1684</v>
      </c>
      <c r="C57" s="178" t="s">
        <v>1741</v>
      </c>
      <c r="D57" s="36" t="s">
        <v>1683</v>
      </c>
      <c r="E57" s="36">
        <v>864740.3698319413</v>
      </c>
      <c r="F57" s="178" t="s">
        <v>449</v>
      </c>
    </row>
    <row r="58">
      <c r="A58" s="250">
        <v>43298.00049</v>
      </c>
      <c r="B58" s="251" t="s">
        <v>1702</v>
      </c>
      <c r="C58" s="178" t="s">
        <v>1742</v>
      </c>
      <c r="D58" s="36">
        <v>558976.6301680586</v>
      </c>
      <c r="E58" s="36" t="s">
        <v>1683</v>
      </c>
      <c r="F58" s="178" t="s">
        <v>955</v>
      </c>
    </row>
    <row r="59">
      <c r="A59" s="250">
        <v>43298.00049</v>
      </c>
      <c r="B59" s="251" t="s">
        <v>1684</v>
      </c>
      <c r="C59" s="178" t="s">
        <v>1743</v>
      </c>
      <c r="D59" s="36" t="s">
        <v>1683</v>
      </c>
      <c r="E59" s="36">
        <v>558976.6301680586</v>
      </c>
      <c r="F59" s="178" t="s">
        <v>955</v>
      </c>
    </row>
    <row r="60">
      <c r="A60" s="250">
        <v>43299.00007</v>
      </c>
      <c r="B60" s="251" t="s">
        <v>1681</v>
      </c>
      <c r="C60" s="178" t="s">
        <v>1744</v>
      </c>
      <c r="D60" s="36">
        <v>199486.00000000003</v>
      </c>
      <c r="E60" s="36" t="s">
        <v>1683</v>
      </c>
      <c r="F60" s="178" t="s">
        <v>230</v>
      </c>
    </row>
    <row r="61">
      <c r="A61" s="250">
        <v>43299.00007</v>
      </c>
      <c r="B61" s="251" t="s">
        <v>1684</v>
      </c>
      <c r="C61" s="178" t="s">
        <v>1745</v>
      </c>
      <c r="D61" s="36" t="s">
        <v>1683</v>
      </c>
      <c r="E61" s="36">
        <v>199486.00000000003</v>
      </c>
      <c r="F61" s="178" t="s">
        <v>230</v>
      </c>
    </row>
    <row r="62">
      <c r="A62" s="250">
        <v>43299.00007</v>
      </c>
      <c r="B62" s="251" t="s">
        <v>1686</v>
      </c>
      <c r="C62" s="178" t="s">
        <v>1746</v>
      </c>
      <c r="D62" s="36">
        <v>199486.00000000003</v>
      </c>
      <c r="E62" s="36" t="s">
        <v>1683</v>
      </c>
      <c r="F62" s="178" t="s">
        <v>230</v>
      </c>
    </row>
    <row r="63">
      <c r="A63" s="250">
        <v>43299.00007</v>
      </c>
      <c r="B63" s="251" t="s">
        <v>1688</v>
      </c>
      <c r="C63" s="178" t="s">
        <v>1744</v>
      </c>
      <c r="D63" s="36" t="s">
        <v>1683</v>
      </c>
      <c r="E63" s="36">
        <v>199486.00000000003</v>
      </c>
      <c r="F63" s="178" t="s">
        <v>230</v>
      </c>
    </row>
    <row r="64">
      <c r="A64" s="250">
        <v>43299.00038</v>
      </c>
      <c r="B64" s="251" t="s">
        <v>1747</v>
      </c>
      <c r="C64" s="178" t="s">
        <v>1748</v>
      </c>
      <c r="D64" s="36">
        <v>100000.0</v>
      </c>
      <c r="E64" s="36" t="s">
        <v>1683</v>
      </c>
      <c r="F64" s="178" t="s">
        <v>835</v>
      </c>
    </row>
    <row r="65">
      <c r="A65" s="250">
        <v>43299.00038</v>
      </c>
      <c r="B65" s="251" t="s">
        <v>1684</v>
      </c>
      <c r="C65" s="178" t="s">
        <v>1749</v>
      </c>
      <c r="D65" s="36" t="s">
        <v>1683</v>
      </c>
      <c r="E65" s="36">
        <v>100000.0</v>
      </c>
      <c r="F65" s="178" t="s">
        <v>835</v>
      </c>
    </row>
    <row r="66">
      <c r="A66" s="250">
        <v>43299.00038</v>
      </c>
      <c r="B66" s="251" t="s">
        <v>1750</v>
      </c>
      <c r="C66" s="178" t="s">
        <v>1751</v>
      </c>
      <c r="D66" s="36">
        <v>100000.0</v>
      </c>
      <c r="E66" s="36" t="s">
        <v>1683</v>
      </c>
      <c r="F66" s="178" t="s">
        <v>835</v>
      </c>
    </row>
    <row r="67">
      <c r="A67" s="250">
        <v>43299.00038</v>
      </c>
      <c r="B67" s="251" t="s">
        <v>1752</v>
      </c>
      <c r="C67" s="178" t="s">
        <v>1748</v>
      </c>
      <c r="D67" s="36" t="s">
        <v>1683</v>
      </c>
      <c r="E67" s="36">
        <v>100000.0</v>
      </c>
      <c r="F67" s="178" t="s">
        <v>835</v>
      </c>
    </row>
    <row r="68">
      <c r="A68" s="250">
        <v>43299.0004</v>
      </c>
      <c r="B68" s="251" t="s">
        <v>1747</v>
      </c>
      <c r="C68" s="178" t="s">
        <v>1753</v>
      </c>
      <c r="D68" s="36">
        <v>100000.0</v>
      </c>
      <c r="E68" s="36" t="s">
        <v>1683</v>
      </c>
      <c r="F68" s="178" t="s">
        <v>841</v>
      </c>
    </row>
    <row r="69">
      <c r="A69" s="250">
        <v>43299.0004</v>
      </c>
      <c r="B69" s="251" t="s">
        <v>1684</v>
      </c>
      <c r="C69" s="178" t="s">
        <v>1754</v>
      </c>
      <c r="D69" s="36" t="s">
        <v>1683</v>
      </c>
      <c r="E69" s="36">
        <v>100000.0</v>
      </c>
      <c r="F69" s="178" t="s">
        <v>841</v>
      </c>
    </row>
    <row r="70">
      <c r="A70" s="250">
        <v>43299.0004</v>
      </c>
      <c r="B70" s="251" t="s">
        <v>1755</v>
      </c>
      <c r="C70" s="178" t="s">
        <v>1756</v>
      </c>
      <c r="D70" s="36">
        <v>100000.0</v>
      </c>
      <c r="E70" s="36" t="s">
        <v>1683</v>
      </c>
      <c r="F70" s="178" t="s">
        <v>841</v>
      </c>
    </row>
    <row r="71">
      <c r="A71" s="250">
        <v>43299.0004</v>
      </c>
      <c r="B71" s="251" t="s">
        <v>1752</v>
      </c>
      <c r="C71" s="178" t="s">
        <v>1753</v>
      </c>
      <c r="D71" s="36" t="s">
        <v>1683</v>
      </c>
      <c r="E71" s="36">
        <v>100000.0</v>
      </c>
      <c r="F71" s="178" t="s">
        <v>841</v>
      </c>
    </row>
    <row r="72">
      <c r="A72" s="250">
        <v>43300.00005</v>
      </c>
      <c r="B72" s="251" t="s">
        <v>1681</v>
      </c>
      <c r="C72" s="178" t="s">
        <v>1757</v>
      </c>
      <c r="D72" s="36">
        <v>199821.00000000003</v>
      </c>
      <c r="E72" s="36" t="s">
        <v>1683</v>
      </c>
      <c r="F72" s="178" t="s">
        <v>230</v>
      </c>
    </row>
    <row r="73">
      <c r="A73" s="250">
        <v>43300.00005</v>
      </c>
      <c r="B73" s="251" t="s">
        <v>1684</v>
      </c>
      <c r="C73" s="178" t="s">
        <v>1758</v>
      </c>
      <c r="D73" s="36" t="s">
        <v>1683</v>
      </c>
      <c r="E73" s="36">
        <v>199821.00000000003</v>
      </c>
      <c r="F73" s="178" t="s">
        <v>230</v>
      </c>
    </row>
    <row r="74">
      <c r="A74" s="250">
        <v>43300.00005</v>
      </c>
      <c r="B74" s="251" t="s">
        <v>1686</v>
      </c>
      <c r="C74" s="178" t="s">
        <v>1759</v>
      </c>
      <c r="D74" s="36">
        <v>199821.00000000003</v>
      </c>
      <c r="E74" s="36" t="s">
        <v>1683</v>
      </c>
      <c r="F74" s="178" t="s">
        <v>230</v>
      </c>
    </row>
    <row r="75">
      <c r="A75" s="250">
        <v>43300.00005</v>
      </c>
      <c r="B75" s="251" t="s">
        <v>1688</v>
      </c>
      <c r="C75" s="178" t="s">
        <v>1757</v>
      </c>
      <c r="D75" s="36" t="s">
        <v>1683</v>
      </c>
      <c r="E75" s="36">
        <v>199821.00000000003</v>
      </c>
      <c r="F75" s="178" t="s">
        <v>230</v>
      </c>
    </row>
    <row r="76">
      <c r="A76" s="250">
        <v>43300.00006</v>
      </c>
      <c r="B76" s="251" t="s">
        <v>1681</v>
      </c>
      <c r="C76" s="178" t="s">
        <v>1760</v>
      </c>
      <c r="D76" s="36">
        <v>199821.00000000003</v>
      </c>
      <c r="E76" s="36" t="s">
        <v>1683</v>
      </c>
      <c r="F76" s="178" t="s">
        <v>230</v>
      </c>
    </row>
    <row r="77">
      <c r="A77" s="250">
        <v>43300.00006</v>
      </c>
      <c r="B77" s="251" t="s">
        <v>1684</v>
      </c>
      <c r="C77" s="178" t="s">
        <v>1761</v>
      </c>
      <c r="D77" s="36" t="s">
        <v>1683</v>
      </c>
      <c r="E77" s="36">
        <v>199821.00000000003</v>
      </c>
      <c r="F77" s="178" t="s">
        <v>230</v>
      </c>
    </row>
    <row r="78">
      <c r="A78" s="250">
        <v>43300.00006</v>
      </c>
      <c r="B78" s="251" t="s">
        <v>1686</v>
      </c>
      <c r="C78" s="178" t="s">
        <v>1762</v>
      </c>
      <c r="D78" s="36">
        <v>199821.00000000003</v>
      </c>
      <c r="E78" s="36" t="s">
        <v>1683</v>
      </c>
      <c r="F78" s="178" t="s">
        <v>230</v>
      </c>
    </row>
    <row r="79">
      <c r="A79" s="250">
        <v>43300.00006</v>
      </c>
      <c r="B79" s="251" t="s">
        <v>1688</v>
      </c>
      <c r="C79" s="178" t="s">
        <v>1760</v>
      </c>
      <c r="D79" s="36" t="s">
        <v>1683</v>
      </c>
      <c r="E79" s="36">
        <v>199821.00000000003</v>
      </c>
      <c r="F79" s="178" t="s">
        <v>230</v>
      </c>
    </row>
    <row r="80">
      <c r="A80" s="250">
        <v>43300.00022</v>
      </c>
      <c r="B80" s="251" t="s">
        <v>1681</v>
      </c>
      <c r="C80" s="178" t="s">
        <v>1763</v>
      </c>
      <c r="D80" s="36">
        <v>750000.0</v>
      </c>
      <c r="E80" s="36" t="s">
        <v>1683</v>
      </c>
      <c r="F80" s="178" t="s">
        <v>227</v>
      </c>
    </row>
    <row r="81">
      <c r="A81" s="250">
        <v>43300.00022</v>
      </c>
      <c r="B81" s="251" t="s">
        <v>1684</v>
      </c>
      <c r="C81" s="178" t="s">
        <v>1764</v>
      </c>
      <c r="D81" s="36" t="s">
        <v>1683</v>
      </c>
      <c r="E81" s="36">
        <v>750000.0</v>
      </c>
      <c r="F81" s="178" t="s">
        <v>227</v>
      </c>
    </row>
    <row r="82">
      <c r="A82" s="250">
        <v>43301.00022</v>
      </c>
      <c r="B82" s="251" t="s">
        <v>1691</v>
      </c>
      <c r="C82" s="178" t="s">
        <v>1765</v>
      </c>
      <c r="D82" s="36">
        <v>750000.0</v>
      </c>
      <c r="E82" s="36" t="s">
        <v>1683</v>
      </c>
      <c r="F82" s="178" t="s">
        <v>227</v>
      </c>
    </row>
    <row r="83">
      <c r="A83" s="250">
        <v>43301.00022</v>
      </c>
      <c r="B83" s="251" t="s">
        <v>1688</v>
      </c>
      <c r="C83" s="178" t="s">
        <v>1763</v>
      </c>
      <c r="D83" s="36" t="s">
        <v>1683</v>
      </c>
      <c r="E83" s="36">
        <v>750000.0</v>
      </c>
      <c r="F83" s="178" t="s">
        <v>227</v>
      </c>
    </row>
    <row r="84">
      <c r="A84" s="250">
        <v>43306.00057</v>
      </c>
      <c r="B84" s="251" t="s">
        <v>1693</v>
      </c>
      <c r="C84" s="178" t="s">
        <v>1766</v>
      </c>
      <c r="D84" s="36">
        <v>393000.0</v>
      </c>
      <c r="E84" s="36" t="s">
        <v>1683</v>
      </c>
      <c r="F84" s="178" t="s">
        <v>964</v>
      </c>
    </row>
    <row r="85">
      <c r="A85" s="250">
        <v>43306.00057</v>
      </c>
      <c r="B85" s="251" t="s">
        <v>1684</v>
      </c>
      <c r="C85" s="178" t="s">
        <v>1767</v>
      </c>
      <c r="D85" s="36" t="s">
        <v>1683</v>
      </c>
      <c r="E85" s="36">
        <v>393000.0</v>
      </c>
      <c r="F85" s="178" t="s">
        <v>964</v>
      </c>
    </row>
    <row r="86">
      <c r="A86" s="250">
        <v>43309.00057</v>
      </c>
      <c r="B86" s="251" t="s">
        <v>1768</v>
      </c>
      <c r="C86" s="178" t="s">
        <v>1769</v>
      </c>
      <c r="D86" s="36">
        <v>393000.0</v>
      </c>
      <c r="E86" s="36" t="s">
        <v>1683</v>
      </c>
      <c r="F86" s="178" t="s">
        <v>964</v>
      </c>
    </row>
    <row r="87">
      <c r="A87" s="250">
        <v>43309.00057</v>
      </c>
      <c r="B87" s="251" t="s">
        <v>1698</v>
      </c>
      <c r="C87" s="178" t="s">
        <v>1766</v>
      </c>
      <c r="D87" s="36" t="s">
        <v>1683</v>
      </c>
      <c r="E87" s="36">
        <v>393000.0</v>
      </c>
      <c r="F87" s="178" t="s">
        <v>964</v>
      </c>
    </row>
    <row r="88">
      <c r="A88" s="250">
        <v>43309.00063</v>
      </c>
      <c r="B88" s="251" t="s">
        <v>1747</v>
      </c>
      <c r="C88" s="178" t="s">
        <v>1770</v>
      </c>
      <c r="D88" s="36"/>
      <c r="E88" s="36" t="s">
        <v>1683</v>
      </c>
      <c r="F88" s="178" t="s">
        <v>586</v>
      </c>
    </row>
    <row r="89">
      <c r="A89" s="250">
        <v>43309.00063</v>
      </c>
      <c r="B89" s="251" t="s">
        <v>1684</v>
      </c>
      <c r="C89" s="178" t="s">
        <v>1771</v>
      </c>
      <c r="D89" s="36" t="s">
        <v>1683</v>
      </c>
      <c r="E89" s="36"/>
      <c r="F89" s="178" t="s">
        <v>586</v>
      </c>
    </row>
    <row r="90">
      <c r="A90" s="250">
        <v>43309.00063</v>
      </c>
      <c r="B90" s="251" t="s">
        <v>1772</v>
      </c>
      <c r="C90" s="178" t="s">
        <v>1773</v>
      </c>
      <c r="D90" s="36"/>
      <c r="E90" s="36" t="s">
        <v>1683</v>
      </c>
      <c r="F90" s="178" t="s">
        <v>586</v>
      </c>
    </row>
    <row r="91">
      <c r="A91" s="250">
        <v>43309.00063</v>
      </c>
      <c r="B91" s="251" t="s">
        <v>1752</v>
      </c>
      <c r="C91" s="178" t="s">
        <v>1770</v>
      </c>
      <c r="D91" s="36" t="s">
        <v>1683</v>
      </c>
      <c r="E91" s="36"/>
      <c r="F91" s="178" t="s">
        <v>586</v>
      </c>
    </row>
    <row r="92">
      <c r="A92" s="250">
        <v>43313.00017</v>
      </c>
      <c r="B92" s="251" t="s">
        <v>1774</v>
      </c>
      <c r="C92" s="178" t="s">
        <v>1775</v>
      </c>
      <c r="D92" s="36">
        <v>63266.41974663706</v>
      </c>
      <c r="E92" s="36" t="s">
        <v>1683</v>
      </c>
      <c r="F92" s="178" t="s">
        <v>529</v>
      </c>
    </row>
    <row r="93">
      <c r="A93" s="250">
        <v>43313.00017</v>
      </c>
      <c r="B93" s="251" t="s">
        <v>1776</v>
      </c>
      <c r="C93" s="178" t="s">
        <v>1703</v>
      </c>
      <c r="D93" s="36" t="s">
        <v>1683</v>
      </c>
      <c r="E93" s="36">
        <v>63266.41974663706</v>
      </c>
      <c r="F93" s="178" t="s">
        <v>529</v>
      </c>
    </row>
    <row r="94">
      <c r="A94" s="250">
        <v>43313.00018</v>
      </c>
      <c r="B94" s="251" t="s">
        <v>1774</v>
      </c>
      <c r="C94" s="178" t="s">
        <v>1777</v>
      </c>
      <c r="D94" s="36">
        <v>63266.41974663706</v>
      </c>
      <c r="E94" s="36" t="s">
        <v>1683</v>
      </c>
      <c r="F94" s="178" t="s">
        <v>530</v>
      </c>
    </row>
    <row r="95">
      <c r="A95" s="250">
        <v>43313.00018</v>
      </c>
      <c r="B95" s="251" t="s">
        <v>1776</v>
      </c>
      <c r="C95" s="178" t="s">
        <v>1705</v>
      </c>
      <c r="D95" s="36" t="s">
        <v>1683</v>
      </c>
      <c r="E95" s="36">
        <v>63266.41974663706</v>
      </c>
      <c r="F95" s="178" t="s">
        <v>530</v>
      </c>
    </row>
    <row r="96">
      <c r="A96" s="250">
        <v>43313.00019</v>
      </c>
      <c r="B96" s="251" t="s">
        <v>1774</v>
      </c>
      <c r="C96" s="178" t="s">
        <v>1778</v>
      </c>
      <c r="D96" s="36">
        <v>66634.77079796264</v>
      </c>
      <c r="E96" s="36" t="s">
        <v>1683</v>
      </c>
      <c r="F96" s="178" t="s">
        <v>531</v>
      </c>
    </row>
    <row r="97">
      <c r="A97" s="250">
        <v>43313.00019</v>
      </c>
      <c r="B97" s="251" t="s">
        <v>1776</v>
      </c>
      <c r="C97" s="178" t="s">
        <v>1707</v>
      </c>
      <c r="D97" s="36" t="s">
        <v>1683</v>
      </c>
      <c r="E97" s="36">
        <v>66634.77079796264</v>
      </c>
      <c r="F97" s="178" t="s">
        <v>531</v>
      </c>
    </row>
    <row r="98">
      <c r="A98" s="250">
        <v>43313.0002</v>
      </c>
      <c r="B98" s="251" t="s">
        <v>1774</v>
      </c>
      <c r="C98" s="178" t="s">
        <v>1779</v>
      </c>
      <c r="D98" s="36">
        <v>66634.77079796264</v>
      </c>
      <c r="E98" s="36" t="s">
        <v>1683</v>
      </c>
      <c r="F98" s="178" t="s">
        <v>532</v>
      </c>
    </row>
    <row r="99">
      <c r="A99" s="250">
        <v>43313.0002</v>
      </c>
      <c r="B99" s="251" t="s">
        <v>1776</v>
      </c>
      <c r="C99" s="178" t="s">
        <v>1709</v>
      </c>
      <c r="D99" s="36" t="s">
        <v>1683</v>
      </c>
      <c r="E99" s="36">
        <v>66634.77079796264</v>
      </c>
      <c r="F99" s="178" t="s">
        <v>532</v>
      </c>
    </row>
    <row r="100">
      <c r="A100" s="250">
        <v>43313.00021</v>
      </c>
      <c r="B100" s="251" t="s">
        <v>1774</v>
      </c>
      <c r="C100" s="178" t="s">
        <v>1780</v>
      </c>
      <c r="D100" s="36">
        <v>66634.77079796264</v>
      </c>
      <c r="E100" s="36" t="s">
        <v>1683</v>
      </c>
      <c r="F100" s="178" t="s">
        <v>533</v>
      </c>
    </row>
    <row r="101">
      <c r="A101" s="250">
        <v>43313.00021</v>
      </c>
      <c r="B101" s="251" t="s">
        <v>1776</v>
      </c>
      <c r="C101" s="178" t="s">
        <v>1711</v>
      </c>
      <c r="D101" s="36" t="s">
        <v>1683</v>
      </c>
      <c r="E101" s="36">
        <v>66634.77079796264</v>
      </c>
      <c r="F101" s="178" t="s">
        <v>533</v>
      </c>
    </row>
    <row r="102">
      <c r="A102" s="250">
        <v>43313.00022</v>
      </c>
      <c r="B102" s="251" t="s">
        <v>1774</v>
      </c>
      <c r="C102" s="178" t="s">
        <v>1781</v>
      </c>
      <c r="D102" s="36">
        <v>69710.22175786862</v>
      </c>
      <c r="E102" s="36" t="s">
        <v>1683</v>
      </c>
      <c r="F102" s="178" t="s">
        <v>553</v>
      </c>
    </row>
    <row r="103">
      <c r="A103" s="250">
        <v>43313.00022</v>
      </c>
      <c r="B103" s="251" t="s">
        <v>1776</v>
      </c>
      <c r="C103" s="178" t="s">
        <v>1713</v>
      </c>
      <c r="D103" s="36" t="s">
        <v>1683</v>
      </c>
      <c r="E103" s="36">
        <v>69710.22175786862</v>
      </c>
      <c r="F103" s="178" t="s">
        <v>553</v>
      </c>
    </row>
    <row r="104">
      <c r="A104" s="250">
        <v>43313.00023</v>
      </c>
      <c r="B104" s="251" t="s">
        <v>1774</v>
      </c>
      <c r="C104" s="178" t="s">
        <v>1782</v>
      </c>
      <c r="D104" s="36">
        <v>68685.07143789995</v>
      </c>
      <c r="E104" s="36" t="s">
        <v>1683</v>
      </c>
      <c r="F104" s="178" t="s">
        <v>554</v>
      </c>
    </row>
    <row r="105">
      <c r="A105" s="250">
        <v>43313.00023</v>
      </c>
      <c r="B105" s="251" t="s">
        <v>1776</v>
      </c>
      <c r="C105" s="178" t="s">
        <v>1715</v>
      </c>
      <c r="D105" s="36" t="s">
        <v>1683</v>
      </c>
      <c r="E105" s="36">
        <v>68685.07143789995</v>
      </c>
      <c r="F105" s="178" t="s">
        <v>554</v>
      </c>
    </row>
    <row r="106">
      <c r="A106" s="250">
        <v>43313.00042</v>
      </c>
      <c r="B106" s="251" t="s">
        <v>1783</v>
      </c>
      <c r="C106" s="178" t="s">
        <v>1784</v>
      </c>
      <c r="D106" s="36">
        <v>206000.0</v>
      </c>
      <c r="E106" s="36" t="s">
        <v>1683</v>
      </c>
      <c r="F106" s="178" t="s">
        <v>844</v>
      </c>
    </row>
    <row r="107">
      <c r="A107" s="250">
        <v>43313.00042</v>
      </c>
      <c r="B107" s="251" t="s">
        <v>1684</v>
      </c>
      <c r="C107" s="178" t="s">
        <v>1785</v>
      </c>
      <c r="D107" s="36" t="s">
        <v>1683</v>
      </c>
      <c r="E107" s="36">
        <v>206000.0</v>
      </c>
      <c r="F107" s="178" t="s">
        <v>844</v>
      </c>
    </row>
    <row r="108">
      <c r="A108" s="250">
        <v>43313.00049</v>
      </c>
      <c r="B108" s="251" t="s">
        <v>1786</v>
      </c>
      <c r="C108" s="178" t="s">
        <v>1787</v>
      </c>
      <c r="D108" s="36">
        <v>63266.41974663706</v>
      </c>
      <c r="E108" s="36" t="s">
        <v>1683</v>
      </c>
      <c r="F108" s="178" t="s">
        <v>529</v>
      </c>
    </row>
    <row r="109">
      <c r="A109" s="250">
        <v>43313.00049</v>
      </c>
      <c r="B109" s="251" t="s">
        <v>1776</v>
      </c>
      <c r="C109" s="178" t="s">
        <v>1717</v>
      </c>
      <c r="D109" s="36" t="s">
        <v>1683</v>
      </c>
      <c r="E109" s="36">
        <v>63266.41974663706</v>
      </c>
      <c r="F109" s="178" t="s">
        <v>529</v>
      </c>
    </row>
    <row r="110">
      <c r="A110" s="250">
        <v>43313.0005</v>
      </c>
      <c r="B110" s="251" t="s">
        <v>1783</v>
      </c>
      <c r="C110" s="178" t="s">
        <v>1788</v>
      </c>
      <c r="D110" s="36">
        <v>309000.0</v>
      </c>
      <c r="E110" s="36" t="s">
        <v>1683</v>
      </c>
      <c r="F110" s="178" t="s">
        <v>957</v>
      </c>
    </row>
    <row r="111">
      <c r="A111" s="250">
        <v>43313.0005</v>
      </c>
      <c r="B111" s="251" t="s">
        <v>1684</v>
      </c>
      <c r="C111" s="178" t="s">
        <v>1789</v>
      </c>
      <c r="D111" s="36" t="s">
        <v>1683</v>
      </c>
      <c r="E111" s="36">
        <v>309000.0</v>
      </c>
      <c r="F111" s="178" t="s">
        <v>957</v>
      </c>
    </row>
    <row r="112">
      <c r="A112" s="250">
        <v>43313.0005</v>
      </c>
      <c r="B112" s="251" t="s">
        <v>1786</v>
      </c>
      <c r="C112" s="178" t="s">
        <v>1790</v>
      </c>
      <c r="D112" s="36">
        <v>66634.77079796264</v>
      </c>
      <c r="E112" s="36" t="s">
        <v>1683</v>
      </c>
      <c r="F112" s="178" t="s">
        <v>531</v>
      </c>
    </row>
    <row r="113">
      <c r="A113" s="250">
        <v>43313.0005</v>
      </c>
      <c r="B113" s="251" t="s">
        <v>1776</v>
      </c>
      <c r="C113" s="178" t="s">
        <v>1719</v>
      </c>
      <c r="D113" s="36" t="s">
        <v>1683</v>
      </c>
      <c r="E113" s="36">
        <v>66634.77079796264</v>
      </c>
      <c r="F113" s="178" t="s">
        <v>531</v>
      </c>
    </row>
    <row r="114">
      <c r="A114" s="250">
        <v>43313.00051</v>
      </c>
      <c r="B114" s="251" t="s">
        <v>1786</v>
      </c>
      <c r="C114" s="178" t="s">
        <v>1791</v>
      </c>
      <c r="D114" s="36">
        <v>67952.8212093509</v>
      </c>
      <c r="E114" s="36" t="s">
        <v>1683</v>
      </c>
      <c r="F114" s="178" t="s">
        <v>532</v>
      </c>
    </row>
    <row r="115">
      <c r="A115" s="250">
        <v>43313.00051</v>
      </c>
      <c r="B115" s="251" t="s">
        <v>1776</v>
      </c>
      <c r="C115" s="178" t="s">
        <v>1721</v>
      </c>
      <c r="D115" s="36" t="s">
        <v>1683</v>
      </c>
      <c r="E115" s="36">
        <v>67952.8212093509</v>
      </c>
      <c r="F115" s="178" t="s">
        <v>532</v>
      </c>
    </row>
    <row r="116">
      <c r="A116" s="250">
        <v>43313.00052</v>
      </c>
      <c r="B116" s="251" t="s">
        <v>1786</v>
      </c>
      <c r="C116" s="178" t="s">
        <v>1792</v>
      </c>
      <c r="D116" s="36">
        <v>68685.07143789995</v>
      </c>
      <c r="E116" s="36" t="s">
        <v>1683</v>
      </c>
      <c r="F116" s="178" t="s">
        <v>533</v>
      </c>
    </row>
    <row r="117">
      <c r="A117" s="250">
        <v>43313.00052</v>
      </c>
      <c r="B117" s="251" t="s">
        <v>1776</v>
      </c>
      <c r="C117" s="178" t="s">
        <v>1723</v>
      </c>
      <c r="D117" s="36" t="s">
        <v>1683</v>
      </c>
      <c r="E117" s="36">
        <v>68685.07143789995</v>
      </c>
      <c r="F117" s="178" t="s">
        <v>533</v>
      </c>
    </row>
    <row r="118">
      <c r="A118" s="250">
        <v>43313.00084</v>
      </c>
      <c r="B118" s="251" t="s">
        <v>1793</v>
      </c>
      <c r="C118" s="178" t="s">
        <v>1794</v>
      </c>
      <c r="D118" s="36">
        <v>63266.41974663706</v>
      </c>
      <c r="E118" s="36" t="s">
        <v>1683</v>
      </c>
      <c r="F118" s="178" t="s">
        <v>529</v>
      </c>
    </row>
    <row r="119">
      <c r="A119" s="250">
        <v>43313.00084</v>
      </c>
      <c r="B119" s="251" t="s">
        <v>1776</v>
      </c>
      <c r="C119" s="178" t="s">
        <v>1725</v>
      </c>
      <c r="D119" s="36" t="s">
        <v>1683</v>
      </c>
      <c r="E119" s="36">
        <v>63266.41974663706</v>
      </c>
      <c r="F119" s="178" t="s">
        <v>529</v>
      </c>
    </row>
    <row r="120">
      <c r="A120" s="250">
        <v>43313.00085</v>
      </c>
      <c r="B120" s="251" t="s">
        <v>1793</v>
      </c>
      <c r="C120" s="178" t="s">
        <v>1795</v>
      </c>
      <c r="D120" s="36">
        <v>63266.41974663706</v>
      </c>
      <c r="E120" s="36" t="s">
        <v>1683</v>
      </c>
      <c r="F120" s="178" t="s">
        <v>530</v>
      </c>
    </row>
    <row r="121">
      <c r="A121" s="250">
        <v>43313.00085</v>
      </c>
      <c r="B121" s="251" t="s">
        <v>1776</v>
      </c>
      <c r="C121" s="178" t="s">
        <v>1727</v>
      </c>
      <c r="D121" s="36" t="s">
        <v>1683</v>
      </c>
      <c r="E121" s="36">
        <v>63266.41974663706</v>
      </c>
      <c r="F121" s="178" t="s">
        <v>530</v>
      </c>
    </row>
    <row r="122">
      <c r="A122" s="250">
        <v>43313.00086</v>
      </c>
      <c r="B122" s="251" t="s">
        <v>1793</v>
      </c>
      <c r="C122" s="178" t="s">
        <v>1796</v>
      </c>
      <c r="D122" s="36">
        <v>66634.77079796264</v>
      </c>
      <c r="E122" s="36" t="s">
        <v>1683</v>
      </c>
      <c r="F122" s="178" t="s">
        <v>531</v>
      </c>
    </row>
    <row r="123">
      <c r="A123" s="250">
        <v>43313.00086</v>
      </c>
      <c r="B123" s="251" t="s">
        <v>1776</v>
      </c>
      <c r="C123" s="178" t="s">
        <v>1729</v>
      </c>
      <c r="D123" s="36" t="s">
        <v>1683</v>
      </c>
      <c r="E123" s="36">
        <v>66634.77079796264</v>
      </c>
      <c r="F123" s="178" t="s">
        <v>531</v>
      </c>
    </row>
    <row r="124">
      <c r="A124" s="250">
        <v>43313.00087</v>
      </c>
      <c r="B124" s="251" t="s">
        <v>1793</v>
      </c>
      <c r="C124" s="178" t="s">
        <v>1797</v>
      </c>
      <c r="D124" s="36">
        <v>66634.77079796264</v>
      </c>
      <c r="E124" s="36" t="s">
        <v>1683</v>
      </c>
      <c r="F124" s="178" t="s">
        <v>532</v>
      </c>
    </row>
    <row r="125">
      <c r="A125" s="250">
        <v>43313.00087</v>
      </c>
      <c r="B125" s="251" t="s">
        <v>1776</v>
      </c>
      <c r="C125" s="178" t="s">
        <v>1731</v>
      </c>
      <c r="D125" s="36" t="s">
        <v>1683</v>
      </c>
      <c r="E125" s="36">
        <v>66634.77079796264</v>
      </c>
      <c r="F125" s="178" t="s">
        <v>532</v>
      </c>
    </row>
    <row r="126">
      <c r="A126" s="250">
        <v>43313.00088</v>
      </c>
      <c r="B126" s="251" t="s">
        <v>1793</v>
      </c>
      <c r="C126" s="178" t="s">
        <v>1798</v>
      </c>
      <c r="D126" s="36">
        <v>64584.47015802533</v>
      </c>
      <c r="E126" s="36" t="s">
        <v>1683</v>
      </c>
      <c r="F126" s="178" t="s">
        <v>533</v>
      </c>
    </row>
    <row r="127">
      <c r="A127" s="250">
        <v>43313.00088</v>
      </c>
      <c r="B127" s="251" t="s">
        <v>1776</v>
      </c>
      <c r="C127" s="178" t="s">
        <v>1733</v>
      </c>
      <c r="D127" s="36" t="s">
        <v>1683</v>
      </c>
      <c r="E127" s="36">
        <v>64584.47015802533</v>
      </c>
      <c r="F127" s="178" t="s">
        <v>533</v>
      </c>
    </row>
    <row r="128">
      <c r="A128" s="250">
        <v>43313.00089</v>
      </c>
      <c r="B128" s="251" t="s">
        <v>1793</v>
      </c>
      <c r="C128" s="178" t="s">
        <v>1799</v>
      </c>
      <c r="D128" s="36">
        <v>65609.62047799399</v>
      </c>
      <c r="E128" s="36" t="s">
        <v>1683</v>
      </c>
      <c r="F128" s="178" t="s">
        <v>534</v>
      </c>
    </row>
    <row r="129">
      <c r="A129" s="250">
        <v>43313.00089</v>
      </c>
      <c r="B129" s="251" t="s">
        <v>1776</v>
      </c>
      <c r="C129" s="178" t="s">
        <v>1735</v>
      </c>
      <c r="D129" s="36" t="s">
        <v>1683</v>
      </c>
      <c r="E129" s="36">
        <v>65609.62047799399</v>
      </c>
      <c r="F129" s="178" t="s">
        <v>534</v>
      </c>
    </row>
    <row r="130">
      <c r="A130" s="250">
        <v>43314.00042</v>
      </c>
      <c r="B130" s="251" t="s">
        <v>1800</v>
      </c>
      <c r="C130" s="178" t="s">
        <v>1801</v>
      </c>
      <c r="D130" s="36">
        <v>206000.0</v>
      </c>
      <c r="E130" s="36" t="s">
        <v>1683</v>
      </c>
      <c r="F130" s="178" t="s">
        <v>844</v>
      </c>
    </row>
    <row r="131">
      <c r="A131" s="250">
        <v>43314.00042</v>
      </c>
      <c r="B131" s="251" t="s">
        <v>1802</v>
      </c>
      <c r="C131" s="178" t="s">
        <v>1784</v>
      </c>
      <c r="D131" s="36" t="s">
        <v>1683</v>
      </c>
      <c r="E131" s="36">
        <v>206000.0</v>
      </c>
      <c r="F131" s="178" t="s">
        <v>844</v>
      </c>
    </row>
    <row r="132">
      <c r="A132" s="250">
        <v>43314.0005</v>
      </c>
      <c r="B132" s="251" t="s">
        <v>1803</v>
      </c>
      <c r="C132" s="178" t="s">
        <v>1804</v>
      </c>
      <c r="D132" s="36">
        <v>309000.0</v>
      </c>
      <c r="E132" s="36" t="s">
        <v>1683</v>
      </c>
      <c r="F132" s="178" t="s">
        <v>957</v>
      </c>
    </row>
    <row r="133">
      <c r="A133" s="250">
        <v>43314.0005</v>
      </c>
      <c r="B133" s="251" t="s">
        <v>1802</v>
      </c>
      <c r="C133" s="178" t="s">
        <v>1788</v>
      </c>
      <c r="D133" s="36" t="s">
        <v>1683</v>
      </c>
      <c r="E133" s="36">
        <v>309000.0</v>
      </c>
      <c r="F133" s="178" t="s">
        <v>957</v>
      </c>
    </row>
    <row r="134">
      <c r="A134" s="250">
        <v>43314.78686995371</v>
      </c>
      <c r="B134" s="251" t="s">
        <v>1604</v>
      </c>
      <c r="C134" s="178" t="s">
        <v>1805</v>
      </c>
      <c r="D134" s="36">
        <v>38800.0</v>
      </c>
      <c r="E134" s="36" t="s">
        <v>1683</v>
      </c>
      <c r="F134" s="178" t="s">
        <v>1606</v>
      </c>
    </row>
    <row r="135">
      <c r="A135" s="250">
        <v>43314.78686995371</v>
      </c>
      <c r="B135" s="251" t="s">
        <v>1684</v>
      </c>
      <c r="C135" s="178" t="s">
        <v>1806</v>
      </c>
      <c r="D135" s="36" t="s">
        <v>1683</v>
      </c>
      <c r="E135" s="36">
        <v>38800.0</v>
      </c>
      <c r="F135" s="178" t="s">
        <v>1606</v>
      </c>
    </row>
    <row r="136">
      <c r="A136" s="250">
        <v>43315.0006</v>
      </c>
      <c r="B136" s="251" t="s">
        <v>1783</v>
      </c>
      <c r="C136" s="178" t="s">
        <v>1807</v>
      </c>
      <c r="D136" s="36">
        <v>51000.00000000001</v>
      </c>
      <c r="E136" s="36" t="s">
        <v>1683</v>
      </c>
      <c r="F136" s="178" t="s">
        <v>170</v>
      </c>
    </row>
    <row r="137">
      <c r="A137" s="250">
        <v>43315.0006</v>
      </c>
      <c r="B137" s="251" t="s">
        <v>1684</v>
      </c>
      <c r="C137" s="178" t="s">
        <v>1808</v>
      </c>
      <c r="D137" s="36" t="s">
        <v>1683</v>
      </c>
      <c r="E137" s="36">
        <v>51000.00000000001</v>
      </c>
      <c r="F137" s="178" t="s">
        <v>170</v>
      </c>
    </row>
    <row r="138">
      <c r="A138" s="250">
        <v>43315.00061</v>
      </c>
      <c r="B138" s="251" t="s">
        <v>1783</v>
      </c>
      <c r="C138" s="178" t="s">
        <v>1809</v>
      </c>
      <c r="D138" s="36">
        <v>51000.00000000001</v>
      </c>
      <c r="E138" s="36" t="s">
        <v>1683</v>
      </c>
      <c r="F138" s="178" t="s">
        <v>171</v>
      </c>
    </row>
    <row r="139">
      <c r="A139" s="250">
        <v>43315.00061</v>
      </c>
      <c r="B139" s="251" t="s">
        <v>1684</v>
      </c>
      <c r="C139" s="178" t="s">
        <v>1810</v>
      </c>
      <c r="D139" s="36" t="s">
        <v>1683</v>
      </c>
      <c r="E139" s="36">
        <v>51000.00000000001</v>
      </c>
      <c r="F139" s="178" t="s">
        <v>171</v>
      </c>
    </row>
    <row r="140">
      <c r="A140" s="250">
        <v>43315.00062</v>
      </c>
      <c r="B140" s="251" t="s">
        <v>1783</v>
      </c>
      <c r="C140" s="178" t="s">
        <v>1811</v>
      </c>
      <c r="D140" s="36">
        <v>51000.00000000001</v>
      </c>
      <c r="E140" s="36" t="s">
        <v>1683</v>
      </c>
      <c r="F140" s="178" t="s">
        <v>172</v>
      </c>
    </row>
    <row r="141">
      <c r="A141" s="250">
        <v>43315.00062</v>
      </c>
      <c r="B141" s="251" t="s">
        <v>1684</v>
      </c>
      <c r="C141" s="178" t="s">
        <v>1812</v>
      </c>
      <c r="D141" s="36" t="s">
        <v>1683</v>
      </c>
      <c r="E141" s="36">
        <v>51000.00000000001</v>
      </c>
      <c r="F141" s="178" t="s">
        <v>172</v>
      </c>
    </row>
    <row r="142">
      <c r="A142" s="250">
        <v>43315.00063</v>
      </c>
      <c r="B142" s="251" t="s">
        <v>1783</v>
      </c>
      <c r="C142" s="178" t="s">
        <v>1813</v>
      </c>
      <c r="D142" s="36">
        <v>51000.00000000001</v>
      </c>
      <c r="E142" s="36" t="s">
        <v>1683</v>
      </c>
      <c r="F142" s="178" t="s">
        <v>173</v>
      </c>
    </row>
    <row r="143">
      <c r="A143" s="250">
        <v>43315.00063</v>
      </c>
      <c r="B143" s="251" t="s">
        <v>1684</v>
      </c>
      <c r="C143" s="178" t="s">
        <v>1814</v>
      </c>
      <c r="D143" s="36" t="s">
        <v>1683</v>
      </c>
      <c r="E143" s="36">
        <v>51000.00000000001</v>
      </c>
      <c r="F143" s="178" t="s">
        <v>173</v>
      </c>
    </row>
    <row r="144">
      <c r="A144" s="250">
        <v>43316.00004</v>
      </c>
      <c r="B144" s="251" t="s">
        <v>1607</v>
      </c>
      <c r="C144" s="178" t="s">
        <v>1815</v>
      </c>
      <c r="D144" s="36">
        <v>154000.0</v>
      </c>
      <c r="E144" s="36" t="s">
        <v>1683</v>
      </c>
      <c r="F144" s="178" t="s">
        <v>1608</v>
      </c>
    </row>
    <row r="145">
      <c r="A145" s="250">
        <v>43316.00004</v>
      </c>
      <c r="B145" s="251" t="s">
        <v>1684</v>
      </c>
      <c r="C145" s="178" t="s">
        <v>1816</v>
      </c>
      <c r="D145" s="36" t="s">
        <v>1683</v>
      </c>
      <c r="E145" s="36">
        <v>154000.0</v>
      </c>
      <c r="F145" s="178" t="s">
        <v>1608</v>
      </c>
    </row>
    <row r="146">
      <c r="A146" s="250">
        <v>43316.00056</v>
      </c>
      <c r="B146" s="251" t="s">
        <v>1693</v>
      </c>
      <c r="C146" s="178" t="s">
        <v>1817</v>
      </c>
      <c r="D146" s="36">
        <v>232500.0</v>
      </c>
      <c r="E146" s="36" t="s">
        <v>1683</v>
      </c>
      <c r="F146" s="178" t="s">
        <v>963</v>
      </c>
    </row>
    <row r="147">
      <c r="A147" s="250">
        <v>43316.00056</v>
      </c>
      <c r="B147" s="251" t="s">
        <v>1684</v>
      </c>
      <c r="C147" s="178" t="s">
        <v>1818</v>
      </c>
      <c r="D147" s="36" t="s">
        <v>1683</v>
      </c>
      <c r="E147" s="36">
        <v>232500.0</v>
      </c>
      <c r="F147" s="178" t="s">
        <v>963</v>
      </c>
    </row>
    <row r="148">
      <c r="A148" s="250">
        <v>43316.63136944445</v>
      </c>
      <c r="B148" s="251" t="s">
        <v>1609</v>
      </c>
      <c r="C148" s="178" t="s">
        <v>1819</v>
      </c>
      <c r="D148" s="36">
        <v>17100.0</v>
      </c>
      <c r="E148" s="36" t="s">
        <v>1683</v>
      </c>
      <c r="F148" s="178" t="s">
        <v>1610</v>
      </c>
    </row>
    <row r="149">
      <c r="A149" s="250">
        <v>43316.63136944445</v>
      </c>
      <c r="B149" s="251" t="s">
        <v>1684</v>
      </c>
      <c r="C149" s="178" t="s">
        <v>1820</v>
      </c>
      <c r="D149" s="36" t="s">
        <v>1683</v>
      </c>
      <c r="E149" s="36">
        <v>17100.0</v>
      </c>
      <c r="F149" s="178" t="s">
        <v>1610</v>
      </c>
    </row>
    <row r="150">
      <c r="A150" s="250">
        <v>43316.76415851852</v>
      </c>
      <c r="B150" s="251" t="s">
        <v>1681</v>
      </c>
      <c r="C150" s="178" t="s">
        <v>1821</v>
      </c>
      <c r="D150" s="36">
        <v>226600.0</v>
      </c>
      <c r="E150" s="36" t="s">
        <v>1683</v>
      </c>
      <c r="F150" s="178" t="s">
        <v>588</v>
      </c>
    </row>
    <row r="151">
      <c r="A151" s="250">
        <v>43316.76415851852</v>
      </c>
      <c r="B151" s="251" t="s">
        <v>1684</v>
      </c>
      <c r="C151" s="178" t="s">
        <v>1822</v>
      </c>
      <c r="D151" s="36" t="s">
        <v>1683</v>
      </c>
      <c r="E151" s="36">
        <v>226600.0</v>
      </c>
      <c r="F151" s="178" t="s">
        <v>588</v>
      </c>
    </row>
    <row r="152">
      <c r="A152" s="250">
        <v>43316.76415851852</v>
      </c>
      <c r="B152" s="251" t="s">
        <v>1823</v>
      </c>
      <c r="C152" s="178" t="s">
        <v>1824</v>
      </c>
      <c r="D152" s="36">
        <v>226600.0</v>
      </c>
      <c r="E152" s="36" t="s">
        <v>1683</v>
      </c>
      <c r="F152" s="178" t="s">
        <v>588</v>
      </c>
    </row>
    <row r="153">
      <c r="A153" s="250">
        <v>43316.76415851852</v>
      </c>
      <c r="B153" s="251" t="s">
        <v>1688</v>
      </c>
      <c r="C153" s="178" t="s">
        <v>1821</v>
      </c>
      <c r="D153" s="36" t="s">
        <v>1683</v>
      </c>
      <c r="E153" s="36">
        <v>226600.0</v>
      </c>
      <c r="F153" s="178" t="s">
        <v>588</v>
      </c>
    </row>
    <row r="154">
      <c r="A154" s="250">
        <v>43317.00055</v>
      </c>
      <c r="B154" s="251" t="s">
        <v>1693</v>
      </c>
      <c r="C154" s="178" t="s">
        <v>1825</v>
      </c>
      <c r="D154" s="36">
        <v>232500.0</v>
      </c>
      <c r="E154" s="36" t="s">
        <v>1683</v>
      </c>
      <c r="F154" s="178" t="s">
        <v>962</v>
      </c>
    </row>
    <row r="155">
      <c r="A155" s="250">
        <v>43317.00055</v>
      </c>
      <c r="B155" s="251" t="s">
        <v>1684</v>
      </c>
      <c r="C155" s="178" t="s">
        <v>1826</v>
      </c>
      <c r="D155" s="36" t="s">
        <v>1683</v>
      </c>
      <c r="E155" s="36">
        <v>232500.0</v>
      </c>
      <c r="F155" s="178" t="s">
        <v>962</v>
      </c>
    </row>
    <row r="156">
      <c r="A156" s="250">
        <v>43318.00043</v>
      </c>
      <c r="B156" s="251" t="s">
        <v>1681</v>
      </c>
      <c r="C156" s="178" t="s">
        <v>1827</v>
      </c>
      <c r="D156" s="36">
        <v>281300.0</v>
      </c>
      <c r="E156" s="36" t="s">
        <v>1683</v>
      </c>
      <c r="F156" s="178" t="s">
        <v>846</v>
      </c>
    </row>
    <row r="157">
      <c r="A157" s="250">
        <v>43318.00043</v>
      </c>
      <c r="B157" s="251" t="s">
        <v>1684</v>
      </c>
      <c r="C157" s="178" t="s">
        <v>1828</v>
      </c>
      <c r="D157" s="36" t="s">
        <v>1683</v>
      </c>
      <c r="E157" s="36">
        <v>281300.0</v>
      </c>
      <c r="F157" s="178" t="s">
        <v>846</v>
      </c>
    </row>
    <row r="158">
      <c r="A158" s="250">
        <v>43318.00056</v>
      </c>
      <c r="B158" s="251" t="s">
        <v>1768</v>
      </c>
      <c r="C158" s="178" t="s">
        <v>1829</v>
      </c>
      <c r="D158" s="36">
        <v>232500.0</v>
      </c>
      <c r="E158" s="36" t="s">
        <v>1683</v>
      </c>
      <c r="F158" s="178" t="s">
        <v>963</v>
      </c>
    </row>
    <row r="159">
      <c r="A159" s="250">
        <v>43318.00056</v>
      </c>
      <c r="B159" s="251" t="s">
        <v>1698</v>
      </c>
      <c r="C159" s="178" t="s">
        <v>1817</v>
      </c>
      <c r="D159" s="36" t="s">
        <v>1683</v>
      </c>
      <c r="E159" s="36">
        <v>232500.0</v>
      </c>
      <c r="F159" s="178" t="s">
        <v>963</v>
      </c>
    </row>
    <row r="160">
      <c r="A160" s="250">
        <v>43320.00055</v>
      </c>
      <c r="B160" s="251" t="s">
        <v>1768</v>
      </c>
      <c r="C160" s="178" t="s">
        <v>1830</v>
      </c>
      <c r="D160" s="36">
        <v>232500.0</v>
      </c>
      <c r="E160" s="36" t="s">
        <v>1683</v>
      </c>
      <c r="F160" s="178" t="s">
        <v>962</v>
      </c>
    </row>
    <row r="161">
      <c r="A161" s="250">
        <v>43320.00055</v>
      </c>
      <c r="B161" s="251" t="s">
        <v>1698</v>
      </c>
      <c r="C161" s="178" t="s">
        <v>1825</v>
      </c>
      <c r="D161" s="36" t="s">
        <v>1683</v>
      </c>
      <c r="E161" s="36">
        <v>232500.0</v>
      </c>
      <c r="F161" s="178" t="s">
        <v>962</v>
      </c>
    </row>
    <row r="162">
      <c r="A162" s="250">
        <v>43320.65984916667</v>
      </c>
      <c r="B162" s="251" t="s">
        <v>1831</v>
      </c>
      <c r="C162" s="178" t="s">
        <v>1832</v>
      </c>
      <c r="D162" s="36">
        <v>300000.0</v>
      </c>
      <c r="E162" s="36" t="s">
        <v>1683</v>
      </c>
      <c r="F162" s="178" t="s">
        <v>151</v>
      </c>
    </row>
    <row r="163">
      <c r="A163" s="250">
        <v>43320.65984916667</v>
      </c>
      <c r="B163" s="251" t="s">
        <v>1684</v>
      </c>
      <c r="C163" s="178" t="s">
        <v>1833</v>
      </c>
      <c r="D163" s="36" t="s">
        <v>1683</v>
      </c>
      <c r="E163" s="36">
        <v>300000.0</v>
      </c>
      <c r="F163" s="178" t="s">
        <v>151</v>
      </c>
    </row>
    <row r="164">
      <c r="A164" s="250">
        <v>43320.65984916667</v>
      </c>
      <c r="B164" s="251" t="s">
        <v>1834</v>
      </c>
      <c r="C164" s="178" t="s">
        <v>1835</v>
      </c>
      <c r="D164" s="36">
        <v>300000.0</v>
      </c>
      <c r="E164" s="36" t="s">
        <v>1683</v>
      </c>
      <c r="F164" s="178" t="s">
        <v>151</v>
      </c>
    </row>
    <row r="165">
      <c r="A165" s="250">
        <v>43320.65984916667</v>
      </c>
      <c r="B165" s="251" t="s">
        <v>1836</v>
      </c>
      <c r="C165" s="178" t="s">
        <v>1832</v>
      </c>
      <c r="D165" s="36" t="s">
        <v>1683</v>
      </c>
      <c r="E165" s="36">
        <v>300000.0</v>
      </c>
      <c r="F165" s="178" t="s">
        <v>151</v>
      </c>
    </row>
    <row r="166">
      <c r="A166" s="250">
        <v>43322.00043</v>
      </c>
      <c r="B166" s="251" t="s">
        <v>1837</v>
      </c>
      <c r="C166" s="178" t="s">
        <v>1838</v>
      </c>
      <c r="D166" s="36">
        <v>281300.0</v>
      </c>
      <c r="E166" s="36" t="s">
        <v>1683</v>
      </c>
      <c r="F166" s="178" t="s">
        <v>846</v>
      </c>
    </row>
    <row r="167">
      <c r="A167" s="250">
        <v>43322.00043</v>
      </c>
      <c r="B167" s="251" t="s">
        <v>1688</v>
      </c>
      <c r="C167" s="178" t="s">
        <v>1827</v>
      </c>
      <c r="D167" s="36" t="s">
        <v>1683</v>
      </c>
      <c r="E167" s="36">
        <v>281300.0</v>
      </c>
      <c r="F167" s="178" t="s">
        <v>846</v>
      </c>
    </row>
    <row r="168">
      <c r="A168" s="250">
        <v>43323.0006</v>
      </c>
      <c r="B168" s="251" t="s">
        <v>1839</v>
      </c>
      <c r="C168" s="178" t="s">
        <v>1840</v>
      </c>
      <c r="D168" s="36">
        <v>51000.00000000001</v>
      </c>
      <c r="E168" s="36" t="s">
        <v>1683</v>
      </c>
      <c r="F168" s="178" t="s">
        <v>170</v>
      </c>
    </row>
    <row r="169">
      <c r="A169" s="250">
        <v>43323.0006</v>
      </c>
      <c r="B169" s="251" t="s">
        <v>1802</v>
      </c>
      <c r="C169" s="178" t="s">
        <v>1807</v>
      </c>
      <c r="D169" s="36" t="s">
        <v>1683</v>
      </c>
      <c r="E169" s="36">
        <v>51000.00000000001</v>
      </c>
      <c r="F169" s="178" t="s">
        <v>170</v>
      </c>
    </row>
    <row r="170">
      <c r="A170" s="250">
        <v>43323.00061</v>
      </c>
      <c r="B170" s="251" t="s">
        <v>1839</v>
      </c>
      <c r="C170" s="178" t="s">
        <v>1841</v>
      </c>
      <c r="D170" s="36">
        <v>51000.00000000001</v>
      </c>
      <c r="E170" s="36" t="s">
        <v>1683</v>
      </c>
      <c r="F170" s="178" t="s">
        <v>171</v>
      </c>
    </row>
    <row r="171">
      <c r="A171" s="250">
        <v>43323.00061</v>
      </c>
      <c r="B171" s="251" t="s">
        <v>1802</v>
      </c>
      <c r="C171" s="178" t="s">
        <v>1809</v>
      </c>
      <c r="D171" s="36" t="s">
        <v>1683</v>
      </c>
      <c r="E171" s="36">
        <v>51000.00000000001</v>
      </c>
      <c r="F171" s="178" t="s">
        <v>171</v>
      </c>
    </row>
    <row r="172">
      <c r="A172" s="250">
        <v>43323.00062</v>
      </c>
      <c r="B172" s="251" t="s">
        <v>1839</v>
      </c>
      <c r="C172" s="178" t="s">
        <v>1842</v>
      </c>
      <c r="D172" s="36">
        <v>51000.00000000001</v>
      </c>
      <c r="E172" s="36" t="s">
        <v>1683</v>
      </c>
      <c r="F172" s="178" t="s">
        <v>172</v>
      </c>
    </row>
    <row r="173">
      <c r="A173" s="250">
        <v>43323.00062</v>
      </c>
      <c r="B173" s="251" t="s">
        <v>1802</v>
      </c>
      <c r="C173" s="178" t="s">
        <v>1811</v>
      </c>
      <c r="D173" s="36" t="s">
        <v>1683</v>
      </c>
      <c r="E173" s="36">
        <v>51000.00000000001</v>
      </c>
      <c r="F173" s="178" t="s">
        <v>172</v>
      </c>
    </row>
    <row r="174">
      <c r="A174" s="250">
        <v>43323.00063</v>
      </c>
      <c r="B174" s="251" t="s">
        <v>1839</v>
      </c>
      <c r="C174" s="178" t="s">
        <v>1843</v>
      </c>
      <c r="D174" s="36">
        <v>51000.00000000001</v>
      </c>
      <c r="E174" s="36" t="s">
        <v>1683</v>
      </c>
      <c r="F174" s="178" t="s">
        <v>173</v>
      </c>
    </row>
    <row r="175">
      <c r="A175" s="250">
        <v>43323.00063</v>
      </c>
      <c r="B175" s="251" t="s">
        <v>1802</v>
      </c>
      <c r="C175" s="178" t="s">
        <v>1813</v>
      </c>
      <c r="D175" s="36" t="s">
        <v>1683</v>
      </c>
      <c r="E175" s="36">
        <v>51000.00000000001</v>
      </c>
      <c r="F175" s="178" t="s">
        <v>173</v>
      </c>
    </row>
    <row r="176">
      <c r="A176" s="250">
        <v>43332.00008</v>
      </c>
      <c r="B176" s="251" t="s">
        <v>1844</v>
      </c>
      <c r="C176" s="178" t="s">
        <v>1845</v>
      </c>
      <c r="D176" s="36">
        <v>864740.3698319413</v>
      </c>
      <c r="E176" s="36" t="s">
        <v>1683</v>
      </c>
      <c r="F176" s="178" t="s">
        <v>449</v>
      </c>
    </row>
    <row r="177">
      <c r="A177" s="250">
        <v>43332.00008</v>
      </c>
      <c r="B177" s="251" t="s">
        <v>1776</v>
      </c>
      <c r="C177" s="178" t="s">
        <v>1740</v>
      </c>
      <c r="D177" s="36" t="s">
        <v>1683</v>
      </c>
      <c r="E177" s="36">
        <v>864740.3698319413</v>
      </c>
      <c r="F177" s="178" t="s">
        <v>449</v>
      </c>
    </row>
    <row r="178">
      <c r="A178" s="250">
        <v>43341.00049</v>
      </c>
      <c r="B178" s="251" t="s">
        <v>1846</v>
      </c>
      <c r="C178" s="178" t="s">
        <v>1847</v>
      </c>
      <c r="D178" s="36">
        <v>558976.6301680586</v>
      </c>
      <c r="E178" s="36" t="s">
        <v>1683</v>
      </c>
      <c r="F178" s="178" t="s">
        <v>955</v>
      </c>
    </row>
    <row r="179">
      <c r="A179" s="250">
        <v>43341.00049</v>
      </c>
      <c r="B179" s="251" t="s">
        <v>1776</v>
      </c>
      <c r="C179" s="178" t="s">
        <v>1742</v>
      </c>
      <c r="D179" s="36" t="s">
        <v>1683</v>
      </c>
      <c r="E179" s="36">
        <v>558976.6301680586</v>
      </c>
      <c r="F179" s="178" t="s">
        <v>955</v>
      </c>
    </row>
    <row r="180">
      <c r="A180" s="250">
        <v>43344.00054</v>
      </c>
      <c r="B180" s="251" t="s">
        <v>1693</v>
      </c>
      <c r="C180" s="178" t="s">
        <v>1848</v>
      </c>
      <c r="D180" s="36">
        <v>232500.0</v>
      </c>
      <c r="E180" s="36" t="s">
        <v>1683</v>
      </c>
      <c r="F180" s="178" t="s">
        <v>961</v>
      </c>
    </row>
    <row r="181">
      <c r="A181" s="250">
        <v>43344.00054</v>
      </c>
      <c r="B181" s="251" t="s">
        <v>1684</v>
      </c>
      <c r="C181" s="178" t="s">
        <v>1849</v>
      </c>
      <c r="D181" s="36" t="s">
        <v>1683</v>
      </c>
      <c r="E181" s="36">
        <v>232500.0</v>
      </c>
      <c r="F181" s="178" t="s">
        <v>961</v>
      </c>
    </row>
    <row r="182">
      <c r="A182" s="250">
        <v>43348.00054</v>
      </c>
      <c r="B182" s="251" t="s">
        <v>1768</v>
      </c>
      <c r="C182" s="178" t="s">
        <v>1850</v>
      </c>
      <c r="D182" s="36">
        <v>232500.0</v>
      </c>
      <c r="E182" s="36" t="s">
        <v>1683</v>
      </c>
      <c r="F182" s="178" t="s">
        <v>961</v>
      </c>
    </row>
    <row r="183">
      <c r="A183" s="250">
        <v>43348.00054</v>
      </c>
      <c r="B183" s="251" t="s">
        <v>1698</v>
      </c>
      <c r="C183" s="178" t="s">
        <v>1848</v>
      </c>
      <c r="D183" s="36" t="s">
        <v>1683</v>
      </c>
      <c r="E183" s="36">
        <v>232500.0</v>
      </c>
      <c r="F183" s="178" t="s">
        <v>961</v>
      </c>
    </row>
    <row r="184">
      <c r="A184" s="250">
        <v>43387.00004</v>
      </c>
      <c r="B184" s="251" t="s">
        <v>1681</v>
      </c>
      <c r="C184" s="178" t="s">
        <v>1851</v>
      </c>
      <c r="D184" s="36">
        <v>187545.0</v>
      </c>
      <c r="E184" s="36" t="s">
        <v>1683</v>
      </c>
      <c r="F184" s="178" t="s">
        <v>228</v>
      </c>
    </row>
    <row r="185">
      <c r="A185" s="250">
        <v>43387.00004</v>
      </c>
      <c r="B185" s="251" t="s">
        <v>1684</v>
      </c>
      <c r="C185" s="178" t="s">
        <v>1852</v>
      </c>
      <c r="D185" s="36" t="s">
        <v>1683</v>
      </c>
      <c r="E185" s="36">
        <v>187545.0</v>
      </c>
      <c r="F185" s="178" t="s">
        <v>228</v>
      </c>
    </row>
    <row r="186">
      <c r="A186" s="250">
        <v>43387.00004</v>
      </c>
      <c r="B186" s="251" t="s">
        <v>1686</v>
      </c>
      <c r="C186" s="178" t="s">
        <v>1853</v>
      </c>
      <c r="D186" s="36">
        <v>187545.0</v>
      </c>
      <c r="E186" s="36" t="s">
        <v>1683</v>
      </c>
      <c r="F186" s="178" t="s">
        <v>228</v>
      </c>
    </row>
    <row r="187">
      <c r="A187" s="250">
        <v>43387.00004</v>
      </c>
      <c r="B187" s="251" t="s">
        <v>1688</v>
      </c>
      <c r="C187" s="178" t="s">
        <v>1851</v>
      </c>
      <c r="D187" s="36" t="s">
        <v>1683</v>
      </c>
      <c r="E187" s="36">
        <v>187545.0</v>
      </c>
      <c r="F187" s="178" t="s">
        <v>228</v>
      </c>
    </row>
    <row r="188">
      <c r="A188" s="250">
        <v>43388.00003</v>
      </c>
      <c r="B188" s="251" t="s">
        <v>1681</v>
      </c>
      <c r="C188" s="178" t="s">
        <v>1854</v>
      </c>
      <c r="D188" s="36">
        <v>187545.0</v>
      </c>
      <c r="E188" s="36" t="s">
        <v>1683</v>
      </c>
      <c r="F188" s="178" t="s">
        <v>228</v>
      </c>
    </row>
    <row r="189">
      <c r="A189" s="250">
        <v>43388.00003</v>
      </c>
      <c r="B189" s="251" t="s">
        <v>1684</v>
      </c>
      <c r="C189" s="178" t="s">
        <v>1855</v>
      </c>
      <c r="D189" s="36" t="s">
        <v>1683</v>
      </c>
      <c r="E189" s="36">
        <v>187545.0</v>
      </c>
      <c r="F189" s="178" t="s">
        <v>228</v>
      </c>
    </row>
    <row r="190">
      <c r="A190" s="250">
        <v>43388.00003</v>
      </c>
      <c r="B190" s="251" t="s">
        <v>1686</v>
      </c>
      <c r="C190" s="178" t="s">
        <v>1856</v>
      </c>
      <c r="D190" s="36">
        <v>187545.0</v>
      </c>
      <c r="E190" s="36" t="s">
        <v>1683</v>
      </c>
      <c r="F190" s="178" t="s">
        <v>228</v>
      </c>
    </row>
    <row r="191">
      <c r="A191" s="250">
        <v>43388.00003</v>
      </c>
      <c r="B191" s="251" t="s">
        <v>1688</v>
      </c>
      <c r="C191" s="178" t="s">
        <v>1854</v>
      </c>
      <c r="D191" s="36" t="s">
        <v>1683</v>
      </c>
      <c r="E191" s="36">
        <v>187545.0</v>
      </c>
      <c r="F191" s="178" t="s">
        <v>228</v>
      </c>
    </row>
    <row r="192">
      <c r="A192" s="250">
        <v>43391.00036</v>
      </c>
      <c r="B192" s="251" t="s">
        <v>1747</v>
      </c>
      <c r="C192" s="178" t="s">
        <v>1857</v>
      </c>
      <c r="D192" s="36">
        <v>10000.0</v>
      </c>
      <c r="E192" s="36" t="s">
        <v>1683</v>
      </c>
      <c r="F192" s="178" t="s">
        <v>829</v>
      </c>
    </row>
    <row r="193">
      <c r="A193" s="250">
        <v>43391.00036</v>
      </c>
      <c r="B193" s="251" t="s">
        <v>1684</v>
      </c>
      <c r="C193" s="178" t="s">
        <v>1858</v>
      </c>
      <c r="D193" s="36" t="s">
        <v>1683</v>
      </c>
      <c r="E193" s="36">
        <v>10000.0</v>
      </c>
      <c r="F193" s="178" t="s">
        <v>829</v>
      </c>
    </row>
    <row r="194">
      <c r="A194" s="250">
        <v>43391.00036</v>
      </c>
      <c r="B194" s="251" t="s">
        <v>1859</v>
      </c>
      <c r="C194" s="178" t="s">
        <v>1860</v>
      </c>
      <c r="D194" s="36">
        <v>10000.0</v>
      </c>
      <c r="E194" s="36" t="s">
        <v>1683</v>
      </c>
      <c r="F194" s="178" t="s">
        <v>829</v>
      </c>
    </row>
    <row r="195">
      <c r="A195" s="250">
        <v>43391.00036</v>
      </c>
      <c r="B195" s="251" t="s">
        <v>1752</v>
      </c>
      <c r="C195" s="178" t="s">
        <v>1857</v>
      </c>
      <c r="D195" s="36" t="s">
        <v>1683</v>
      </c>
      <c r="E195" s="36">
        <v>10000.0</v>
      </c>
      <c r="F195" s="178" t="s">
        <v>829</v>
      </c>
    </row>
    <row r="196">
      <c r="A196" s="250">
        <v>43391.00039</v>
      </c>
      <c r="B196" s="251" t="s">
        <v>1747</v>
      </c>
      <c r="C196" s="178" t="s">
        <v>1861</v>
      </c>
      <c r="D196" s="36">
        <v>50000.0</v>
      </c>
      <c r="E196" s="36" t="s">
        <v>1683</v>
      </c>
      <c r="F196" s="178" t="s">
        <v>838</v>
      </c>
    </row>
    <row r="197">
      <c r="A197" s="250">
        <v>43391.00039</v>
      </c>
      <c r="B197" s="251" t="s">
        <v>1684</v>
      </c>
      <c r="C197" s="178" t="s">
        <v>1862</v>
      </c>
      <c r="D197" s="36" t="s">
        <v>1683</v>
      </c>
      <c r="E197" s="36">
        <v>50000.0</v>
      </c>
      <c r="F197" s="178" t="s">
        <v>838</v>
      </c>
    </row>
    <row r="198">
      <c r="A198" s="250">
        <v>43391.00039</v>
      </c>
      <c r="B198" s="251" t="s">
        <v>1863</v>
      </c>
      <c r="C198" s="178" t="s">
        <v>1864</v>
      </c>
      <c r="D198" s="36">
        <v>50000.0</v>
      </c>
      <c r="E198" s="36" t="s">
        <v>1683</v>
      </c>
      <c r="F198" s="178" t="s">
        <v>838</v>
      </c>
    </row>
    <row r="199">
      <c r="A199" s="250">
        <v>43391.00039</v>
      </c>
      <c r="B199" s="251" t="s">
        <v>1752</v>
      </c>
      <c r="C199" s="178" t="s">
        <v>1861</v>
      </c>
      <c r="D199" s="36" t="s">
        <v>1683</v>
      </c>
      <c r="E199" s="36">
        <v>50000.0</v>
      </c>
      <c r="F199" s="178" t="s">
        <v>838</v>
      </c>
    </row>
    <row r="200">
      <c r="A200" s="250">
        <v>43395.00002</v>
      </c>
      <c r="B200" s="251" t="s">
        <v>1681</v>
      </c>
      <c r="C200" s="178" t="s">
        <v>1865</v>
      </c>
      <c r="D200" s="36">
        <v>714340.0000000001</v>
      </c>
      <c r="E200" s="36" t="s">
        <v>1683</v>
      </c>
      <c r="F200" s="178" t="s">
        <v>228</v>
      </c>
    </row>
    <row r="201">
      <c r="A201" s="250">
        <v>43395.00002</v>
      </c>
      <c r="B201" s="251" t="s">
        <v>1684</v>
      </c>
      <c r="C201" s="178" t="s">
        <v>1866</v>
      </c>
      <c r="D201" s="36" t="s">
        <v>1683</v>
      </c>
      <c r="E201" s="36">
        <v>714340.0000000001</v>
      </c>
      <c r="F201" s="178" t="s">
        <v>228</v>
      </c>
    </row>
    <row r="202">
      <c r="A202" s="250">
        <v>43395.00002</v>
      </c>
      <c r="B202" s="251" t="s">
        <v>1686</v>
      </c>
      <c r="C202" s="178" t="s">
        <v>1867</v>
      </c>
      <c r="D202" s="36">
        <v>714340.0000000001</v>
      </c>
      <c r="E202" s="36" t="s">
        <v>1683</v>
      </c>
      <c r="F202" s="178" t="s">
        <v>228</v>
      </c>
    </row>
    <row r="203">
      <c r="A203" s="250">
        <v>43395.00002</v>
      </c>
      <c r="B203" s="251" t="s">
        <v>1688</v>
      </c>
      <c r="C203" s="178" t="s">
        <v>1865</v>
      </c>
      <c r="D203" s="36" t="s">
        <v>1683</v>
      </c>
      <c r="E203" s="36">
        <v>714340.0000000001</v>
      </c>
      <c r="F203" s="178" t="s">
        <v>228</v>
      </c>
    </row>
    <row r="204">
      <c r="A204" s="250">
        <v>43398.00021</v>
      </c>
      <c r="B204" s="251" t="s">
        <v>1681</v>
      </c>
      <c r="C204" s="178" t="s">
        <v>1868</v>
      </c>
      <c r="D204" s="36">
        <v>2000000.0</v>
      </c>
      <c r="E204" s="36" t="s">
        <v>1683</v>
      </c>
      <c r="F204" s="178" t="s">
        <v>227</v>
      </c>
    </row>
    <row r="205">
      <c r="A205" s="250">
        <v>43398.00021</v>
      </c>
      <c r="B205" s="251" t="s">
        <v>1684</v>
      </c>
      <c r="C205" s="178" t="s">
        <v>1869</v>
      </c>
      <c r="D205" s="36" t="s">
        <v>1683</v>
      </c>
      <c r="E205" s="36">
        <v>2000000.0</v>
      </c>
      <c r="F205" s="178" t="s">
        <v>227</v>
      </c>
    </row>
    <row r="206">
      <c r="A206" s="250">
        <v>43403.00021</v>
      </c>
      <c r="B206" s="251" t="s">
        <v>1691</v>
      </c>
      <c r="C206" s="178" t="s">
        <v>1870</v>
      </c>
      <c r="D206" s="36">
        <v>2000000.0</v>
      </c>
      <c r="E206" s="36" t="s">
        <v>1683</v>
      </c>
      <c r="F206" s="178" t="s">
        <v>227</v>
      </c>
    </row>
    <row r="207">
      <c r="A207" s="250">
        <v>43403.00021</v>
      </c>
      <c r="B207" s="251" t="s">
        <v>1688</v>
      </c>
      <c r="C207" s="178" t="s">
        <v>1868</v>
      </c>
      <c r="D207" s="36" t="s">
        <v>1683</v>
      </c>
      <c r="E207" s="36">
        <v>2000000.0</v>
      </c>
      <c r="F207" s="178" t="s">
        <v>227</v>
      </c>
    </row>
    <row r="208">
      <c r="A208" s="250">
        <v>43415.50243300926</v>
      </c>
      <c r="B208" s="251" t="s">
        <v>1871</v>
      </c>
      <c r="C208" s="178" t="s">
        <v>1872</v>
      </c>
      <c r="D208" s="36">
        <v>1618899.0</v>
      </c>
      <c r="E208" s="36" t="s">
        <v>1683</v>
      </c>
      <c r="F208" s="178" t="s">
        <v>999</v>
      </c>
    </row>
    <row r="209">
      <c r="A209" s="250">
        <v>43415.50243300926</v>
      </c>
      <c r="B209" s="251" t="s">
        <v>1684</v>
      </c>
      <c r="C209" s="178" t="s">
        <v>1873</v>
      </c>
      <c r="D209" s="36" t="s">
        <v>1683</v>
      </c>
      <c r="E209" s="36">
        <v>1618899.0</v>
      </c>
      <c r="F209" s="178" t="s">
        <v>999</v>
      </c>
    </row>
    <row r="210">
      <c r="A210" s="250">
        <v>43415.50244703703</v>
      </c>
      <c r="B210" s="251" t="s">
        <v>1871</v>
      </c>
      <c r="C210" s="178" t="s">
        <v>1874</v>
      </c>
      <c r="D210" s="36">
        <v>1458899.9999999998</v>
      </c>
      <c r="E210" s="36" t="s">
        <v>1683</v>
      </c>
      <c r="F210" s="178" t="s">
        <v>996</v>
      </c>
    </row>
    <row r="211">
      <c r="A211" s="250">
        <v>43415.50244703703</v>
      </c>
      <c r="B211" s="251" t="s">
        <v>1684</v>
      </c>
      <c r="C211" s="178" t="s">
        <v>1875</v>
      </c>
      <c r="D211" s="36" t="s">
        <v>1683</v>
      </c>
      <c r="E211" s="36">
        <v>1458899.9999999998</v>
      </c>
      <c r="F211" s="178" t="s">
        <v>996</v>
      </c>
    </row>
    <row r="212">
      <c r="A212" s="250">
        <v>43419.00007</v>
      </c>
      <c r="B212" s="251" t="s">
        <v>1876</v>
      </c>
      <c r="C212" s="178" t="s">
        <v>1877</v>
      </c>
      <c r="D212" s="36">
        <v>1458899.9999999998</v>
      </c>
      <c r="E212" s="36" t="s">
        <v>1683</v>
      </c>
      <c r="F212" s="178" t="s">
        <v>996</v>
      </c>
    </row>
    <row r="213">
      <c r="A213" s="250">
        <v>43419.00007</v>
      </c>
      <c r="B213" s="251" t="s">
        <v>1878</v>
      </c>
      <c r="C213" s="178" t="s">
        <v>1874</v>
      </c>
      <c r="D213" s="36" t="s">
        <v>1683</v>
      </c>
      <c r="E213" s="36">
        <v>1458899.9999999998</v>
      </c>
      <c r="F213" s="178" t="s">
        <v>996</v>
      </c>
    </row>
    <row r="214">
      <c r="A214" s="250">
        <v>43421.00009</v>
      </c>
      <c r="B214" s="251" t="s">
        <v>1879</v>
      </c>
      <c r="C214" s="178" t="s">
        <v>1880</v>
      </c>
      <c r="D214" s="36">
        <v>1618899.0</v>
      </c>
      <c r="E214" s="36" t="s">
        <v>1683</v>
      </c>
      <c r="F214" s="178" t="s">
        <v>999</v>
      </c>
    </row>
    <row r="215">
      <c r="A215" s="250">
        <v>43421.00009</v>
      </c>
      <c r="B215" s="251" t="s">
        <v>1878</v>
      </c>
      <c r="C215" s="178" t="s">
        <v>1872</v>
      </c>
      <c r="D215" s="36" t="s">
        <v>1683</v>
      </c>
      <c r="E215" s="36">
        <v>1618899.0</v>
      </c>
      <c r="F215" s="178" t="s">
        <v>999</v>
      </c>
    </row>
    <row r="216">
      <c r="A216" s="250">
        <v>43422.00006</v>
      </c>
      <c r="B216" s="251" t="s">
        <v>1611</v>
      </c>
      <c r="C216" s="178" t="s">
        <v>1881</v>
      </c>
      <c r="D216" s="36">
        <v>15000.0</v>
      </c>
      <c r="E216" s="36" t="s">
        <v>1683</v>
      </c>
      <c r="F216" s="178" t="s">
        <v>1612</v>
      </c>
    </row>
    <row r="217">
      <c r="A217" s="250">
        <v>43422.00006</v>
      </c>
      <c r="B217" s="251" t="s">
        <v>1684</v>
      </c>
      <c r="C217" s="178" t="s">
        <v>1882</v>
      </c>
      <c r="D217" s="36" t="s">
        <v>1683</v>
      </c>
      <c r="E217" s="36">
        <v>15000.0</v>
      </c>
      <c r="F217" s="178" t="s">
        <v>1612</v>
      </c>
    </row>
    <row r="218">
      <c r="A218" s="250">
        <v>43423.00001</v>
      </c>
      <c r="B218" s="251" t="s">
        <v>1681</v>
      </c>
      <c r="C218" s="178" t="s">
        <v>1883</v>
      </c>
      <c r="D218" s="36">
        <v>500383.99999999994</v>
      </c>
      <c r="E218" s="36" t="s">
        <v>1683</v>
      </c>
      <c r="F218" s="178" t="s">
        <v>228</v>
      </c>
    </row>
    <row r="219">
      <c r="A219" s="250">
        <v>43423.00001</v>
      </c>
      <c r="B219" s="251" t="s">
        <v>1684</v>
      </c>
      <c r="C219" s="178" t="s">
        <v>1884</v>
      </c>
      <c r="D219" s="36" t="s">
        <v>1683</v>
      </c>
      <c r="E219" s="36">
        <v>500383.99999999994</v>
      </c>
      <c r="F219" s="178" t="s">
        <v>228</v>
      </c>
    </row>
    <row r="220">
      <c r="A220" s="250">
        <v>43423.00001</v>
      </c>
      <c r="B220" s="251" t="s">
        <v>1686</v>
      </c>
      <c r="C220" s="178" t="s">
        <v>1885</v>
      </c>
      <c r="D220" s="36">
        <v>500383.99999999994</v>
      </c>
      <c r="E220" s="36" t="s">
        <v>1683</v>
      </c>
      <c r="F220" s="178" t="s">
        <v>228</v>
      </c>
    </row>
    <row r="221">
      <c r="A221" s="250">
        <v>43423.00001</v>
      </c>
      <c r="B221" s="251" t="s">
        <v>1688</v>
      </c>
      <c r="C221" s="178" t="s">
        <v>1883</v>
      </c>
      <c r="D221" s="36" t="s">
        <v>1683</v>
      </c>
      <c r="E221" s="36">
        <v>500383.99999999994</v>
      </c>
      <c r="F221" s="178" t="s">
        <v>228</v>
      </c>
    </row>
    <row r="222">
      <c r="A222" s="250">
        <v>43427.00007</v>
      </c>
      <c r="B222" s="251" t="s">
        <v>1702</v>
      </c>
      <c r="C222" s="178" t="s">
        <v>1886</v>
      </c>
      <c r="D222" s="36">
        <v>757587.0</v>
      </c>
      <c r="E222" s="36" t="s">
        <v>1683</v>
      </c>
      <c r="F222" s="178" t="s">
        <v>448</v>
      </c>
    </row>
    <row r="223">
      <c r="A223" s="250">
        <v>43427.00007</v>
      </c>
      <c r="B223" s="251" t="s">
        <v>1684</v>
      </c>
      <c r="C223" s="178" t="s">
        <v>1887</v>
      </c>
      <c r="D223" s="36" t="s">
        <v>1683</v>
      </c>
      <c r="E223" s="36">
        <v>757587.0</v>
      </c>
      <c r="F223" s="178" t="s">
        <v>448</v>
      </c>
    </row>
    <row r="224">
      <c r="A224" s="250">
        <v>43428.00033</v>
      </c>
      <c r="B224" s="251" t="s">
        <v>1702</v>
      </c>
      <c r="C224" s="178" t="s">
        <v>1888</v>
      </c>
      <c r="D224" s="36">
        <v>66794.0</v>
      </c>
      <c r="E224" s="36" t="s">
        <v>1683</v>
      </c>
      <c r="F224" s="178" t="s">
        <v>71</v>
      </c>
    </row>
    <row r="225">
      <c r="A225" s="250">
        <v>43428.00033</v>
      </c>
      <c r="B225" s="251" t="s">
        <v>1702</v>
      </c>
      <c r="C225" s="178" t="s">
        <v>1889</v>
      </c>
      <c r="D225" s="36">
        <v>408925.0919786097</v>
      </c>
      <c r="E225" s="36" t="s">
        <v>1683</v>
      </c>
      <c r="F225" s="178" t="s">
        <v>477</v>
      </c>
    </row>
    <row r="226">
      <c r="A226" s="250">
        <v>43428.00033</v>
      </c>
      <c r="B226" s="251" t="s">
        <v>1684</v>
      </c>
      <c r="C226" s="178" t="s">
        <v>1890</v>
      </c>
      <c r="D226" s="36" t="s">
        <v>1683</v>
      </c>
      <c r="E226" s="36">
        <v>66794.0</v>
      </c>
      <c r="F226" s="178" t="s">
        <v>71</v>
      </c>
    </row>
    <row r="227">
      <c r="A227" s="250">
        <v>43428.00033</v>
      </c>
      <c r="B227" s="251" t="s">
        <v>1684</v>
      </c>
      <c r="C227" s="178" t="s">
        <v>1891</v>
      </c>
      <c r="D227" s="36" t="s">
        <v>1683</v>
      </c>
      <c r="E227" s="36">
        <v>408925.0919786097</v>
      </c>
      <c r="F227" s="178" t="s">
        <v>477</v>
      </c>
    </row>
    <row r="228">
      <c r="A228" s="250">
        <v>43428.00034</v>
      </c>
      <c r="B228" s="251" t="s">
        <v>1702</v>
      </c>
      <c r="C228" s="178" t="s">
        <v>1892</v>
      </c>
      <c r="D228" s="36">
        <v>110951.5449197861</v>
      </c>
      <c r="E228" s="36" t="s">
        <v>1683</v>
      </c>
      <c r="F228" s="178" t="s">
        <v>72</v>
      </c>
    </row>
    <row r="229">
      <c r="A229" s="250">
        <v>43428.00034</v>
      </c>
      <c r="B229" s="251" t="s">
        <v>1684</v>
      </c>
      <c r="C229" s="178" t="s">
        <v>1893</v>
      </c>
      <c r="D229" s="36" t="s">
        <v>1683</v>
      </c>
      <c r="E229" s="36">
        <v>110951.5449197861</v>
      </c>
      <c r="F229" s="178" t="s">
        <v>72</v>
      </c>
    </row>
    <row r="230">
      <c r="A230" s="250">
        <v>43428.00064</v>
      </c>
      <c r="B230" s="251" t="s">
        <v>1702</v>
      </c>
      <c r="C230" s="178" t="s">
        <v>1894</v>
      </c>
      <c r="D230" s="36">
        <v>174034.36310160428</v>
      </c>
      <c r="E230" s="36" t="s">
        <v>1683</v>
      </c>
      <c r="F230" s="178" t="s">
        <v>72</v>
      </c>
    </row>
    <row r="231">
      <c r="A231" s="250">
        <v>43428.00064</v>
      </c>
      <c r="B231" s="251" t="s">
        <v>1684</v>
      </c>
      <c r="C231" s="178" t="s">
        <v>1895</v>
      </c>
      <c r="D231" s="36" t="s">
        <v>1683</v>
      </c>
      <c r="E231" s="36">
        <v>174034.36310160428</v>
      </c>
      <c r="F231" s="178" t="s">
        <v>72</v>
      </c>
    </row>
    <row r="232">
      <c r="A232" s="250">
        <v>43432.00033</v>
      </c>
      <c r="B232" s="251" t="s">
        <v>1896</v>
      </c>
      <c r="C232" s="178" t="s">
        <v>1897</v>
      </c>
      <c r="D232" s="36">
        <v>66794.0</v>
      </c>
      <c r="E232" s="36" t="s">
        <v>1683</v>
      </c>
      <c r="F232" s="178" t="s">
        <v>71</v>
      </c>
    </row>
    <row r="233">
      <c r="A233" s="250">
        <v>43432.00033</v>
      </c>
      <c r="B233" s="251" t="s">
        <v>1776</v>
      </c>
      <c r="C233" s="178" t="s">
        <v>1888</v>
      </c>
      <c r="D233" s="36" t="s">
        <v>1683</v>
      </c>
      <c r="E233" s="36">
        <v>66794.0</v>
      </c>
      <c r="F233" s="178" t="s">
        <v>71</v>
      </c>
    </row>
    <row r="234">
      <c r="A234" s="250">
        <v>43433.60566555556</v>
      </c>
      <c r="B234" s="251" t="s">
        <v>1783</v>
      </c>
      <c r="C234" s="178" t="s">
        <v>1898</v>
      </c>
      <c r="D234" s="36">
        <v>448000.00000000006</v>
      </c>
      <c r="E234" s="36" t="s">
        <v>1683</v>
      </c>
      <c r="F234" s="178" t="s">
        <v>506</v>
      </c>
    </row>
    <row r="235">
      <c r="A235" s="250">
        <v>43433.60566555556</v>
      </c>
      <c r="B235" s="251" t="s">
        <v>1684</v>
      </c>
      <c r="C235" s="178" t="s">
        <v>1899</v>
      </c>
      <c r="D235" s="36" t="s">
        <v>1683</v>
      </c>
      <c r="E235" s="36">
        <v>448000.00000000006</v>
      </c>
      <c r="F235" s="178" t="s">
        <v>506</v>
      </c>
    </row>
    <row r="236">
      <c r="A236" s="250">
        <v>43435.00006</v>
      </c>
      <c r="B236" s="251" t="s">
        <v>1900</v>
      </c>
      <c r="C236" s="178" t="s">
        <v>1901</v>
      </c>
      <c r="D236" s="36">
        <v>292000.0</v>
      </c>
      <c r="E236" s="36" t="s">
        <v>1683</v>
      </c>
      <c r="F236" s="178" t="s">
        <v>506</v>
      </c>
    </row>
    <row r="237">
      <c r="A237" s="250">
        <v>43435.00006</v>
      </c>
      <c r="B237" s="251" t="s">
        <v>1802</v>
      </c>
      <c r="C237" s="178" t="s">
        <v>1902</v>
      </c>
      <c r="D237" s="36" t="s">
        <v>1683</v>
      </c>
      <c r="E237" s="36">
        <v>292000.0</v>
      </c>
      <c r="F237" s="178" t="s">
        <v>506</v>
      </c>
    </row>
    <row r="238">
      <c r="A238" s="250">
        <v>43435.00008</v>
      </c>
      <c r="B238" s="251" t="s">
        <v>1903</v>
      </c>
      <c r="C238" s="178" t="s">
        <v>1904</v>
      </c>
      <c r="D238" s="36">
        <v>2013250.0</v>
      </c>
      <c r="E238" s="36" t="s">
        <v>1683</v>
      </c>
      <c r="F238" s="178" t="s">
        <v>506</v>
      </c>
    </row>
    <row r="239">
      <c r="A239" s="250">
        <v>43435.00008</v>
      </c>
      <c r="B239" s="251" t="s">
        <v>1802</v>
      </c>
      <c r="C239" s="178" t="s">
        <v>1905</v>
      </c>
      <c r="D239" s="36" t="s">
        <v>1683</v>
      </c>
      <c r="E239" s="36">
        <v>2013250.0</v>
      </c>
      <c r="F239" s="178" t="s">
        <v>506</v>
      </c>
    </row>
    <row r="240">
      <c r="A240" s="250">
        <v>43435.0001</v>
      </c>
      <c r="B240" s="251" t="s">
        <v>1906</v>
      </c>
      <c r="C240" s="178" t="s">
        <v>1907</v>
      </c>
      <c r="D240" s="36">
        <v>307000.0</v>
      </c>
      <c r="E240" s="36" t="s">
        <v>1683</v>
      </c>
      <c r="F240" s="178" t="s">
        <v>506</v>
      </c>
    </row>
    <row r="241">
      <c r="A241" s="250">
        <v>43435.0001</v>
      </c>
      <c r="B241" s="251" t="s">
        <v>1802</v>
      </c>
      <c r="C241" s="178" t="s">
        <v>1908</v>
      </c>
      <c r="D241" s="36" t="s">
        <v>1683</v>
      </c>
      <c r="E241" s="36">
        <v>307000.0</v>
      </c>
      <c r="F241" s="178" t="s">
        <v>506</v>
      </c>
    </row>
    <row r="242">
      <c r="A242" s="250">
        <v>43435.00011</v>
      </c>
      <c r="B242" s="251" t="s">
        <v>1906</v>
      </c>
      <c r="C242" s="178" t="s">
        <v>1909</v>
      </c>
      <c r="D242" s="36">
        <v>448000.00000000006</v>
      </c>
      <c r="E242" s="36" t="s">
        <v>1683</v>
      </c>
      <c r="F242" s="178" t="s">
        <v>506</v>
      </c>
    </row>
    <row r="243">
      <c r="A243" s="250">
        <v>43435.00011</v>
      </c>
      <c r="B243" s="251" t="s">
        <v>1802</v>
      </c>
      <c r="C243" s="178" t="s">
        <v>1898</v>
      </c>
      <c r="D243" s="36" t="s">
        <v>1683</v>
      </c>
      <c r="E243" s="36">
        <v>448000.00000000006</v>
      </c>
      <c r="F243" s="178" t="s">
        <v>506</v>
      </c>
    </row>
    <row r="244">
      <c r="A244" s="250">
        <v>43435.00012</v>
      </c>
      <c r="B244" s="251" t="s">
        <v>1910</v>
      </c>
      <c r="C244" s="178" t="s">
        <v>1911</v>
      </c>
      <c r="D244" s="36">
        <v>382000.0</v>
      </c>
      <c r="E244" s="36" t="s">
        <v>1683</v>
      </c>
      <c r="F244" s="178" t="s">
        <v>506</v>
      </c>
    </row>
    <row r="245">
      <c r="A245" s="250">
        <v>43435.00012</v>
      </c>
      <c r="B245" s="251" t="s">
        <v>1802</v>
      </c>
      <c r="C245" s="178" t="s">
        <v>1912</v>
      </c>
      <c r="D245" s="36" t="s">
        <v>1683</v>
      </c>
      <c r="E245" s="36">
        <v>382000.0</v>
      </c>
      <c r="F245" s="178" t="s">
        <v>506</v>
      </c>
    </row>
    <row r="246">
      <c r="A246" s="250">
        <v>43435.00041</v>
      </c>
      <c r="B246" s="251" t="s">
        <v>1913</v>
      </c>
      <c r="C246" s="178" t="s">
        <v>1914</v>
      </c>
      <c r="D246" s="36">
        <v>1647000.0</v>
      </c>
      <c r="E246" s="36" t="s">
        <v>1683</v>
      </c>
      <c r="F246" s="178" t="s">
        <v>506</v>
      </c>
    </row>
    <row r="247">
      <c r="A247" s="250">
        <v>43435.00041</v>
      </c>
      <c r="B247" s="251" t="s">
        <v>1802</v>
      </c>
      <c r="C247" s="178" t="s">
        <v>1915</v>
      </c>
      <c r="D247" s="36" t="s">
        <v>1683</v>
      </c>
      <c r="E247" s="36">
        <v>1647000.0</v>
      </c>
      <c r="F247" s="178" t="s">
        <v>506</v>
      </c>
    </row>
    <row r="248">
      <c r="A248" s="250">
        <v>43435.00058</v>
      </c>
      <c r="B248" s="251" t="s">
        <v>1916</v>
      </c>
      <c r="C248" s="178" t="s">
        <v>1917</v>
      </c>
      <c r="D248" s="36">
        <v>3007000.0</v>
      </c>
      <c r="E248" s="36" t="s">
        <v>1683</v>
      </c>
      <c r="F248" s="178" t="s">
        <v>506</v>
      </c>
    </row>
    <row r="249">
      <c r="A249" s="250">
        <v>43435.00058</v>
      </c>
      <c r="B249" s="251" t="s">
        <v>1802</v>
      </c>
      <c r="C249" s="178" t="s">
        <v>1918</v>
      </c>
      <c r="D249" s="36" t="s">
        <v>1683</v>
      </c>
      <c r="E249" s="36">
        <v>3007000.0</v>
      </c>
      <c r="F249" s="178" t="s">
        <v>506</v>
      </c>
    </row>
    <row r="250">
      <c r="A250" s="250">
        <v>43435.0006</v>
      </c>
      <c r="B250" s="251" t="s">
        <v>1919</v>
      </c>
      <c r="C250" s="178" t="s">
        <v>1920</v>
      </c>
      <c r="D250" s="36">
        <v>7889000.0</v>
      </c>
      <c r="E250" s="36" t="s">
        <v>1683</v>
      </c>
      <c r="F250" s="178" t="s">
        <v>506</v>
      </c>
    </row>
    <row r="251">
      <c r="A251" s="250">
        <v>43435.0006</v>
      </c>
      <c r="B251" s="251" t="s">
        <v>1802</v>
      </c>
      <c r="C251" s="178" t="s">
        <v>1921</v>
      </c>
      <c r="D251" s="36" t="s">
        <v>1683</v>
      </c>
      <c r="E251" s="36">
        <v>7889000.0</v>
      </c>
      <c r="F251" s="178" t="s">
        <v>506</v>
      </c>
    </row>
    <row r="252">
      <c r="A252" s="250">
        <v>43440.00007</v>
      </c>
      <c r="B252" s="251" t="s">
        <v>1613</v>
      </c>
      <c r="C252" s="178" t="s">
        <v>1922</v>
      </c>
      <c r="D252" s="36">
        <v>18000.0</v>
      </c>
      <c r="E252" s="36" t="s">
        <v>1683</v>
      </c>
      <c r="F252" s="178" t="s">
        <v>1923</v>
      </c>
    </row>
    <row r="253">
      <c r="A253" s="250">
        <v>43440.00007</v>
      </c>
      <c r="B253" s="251" t="s">
        <v>1684</v>
      </c>
      <c r="C253" s="178" t="s">
        <v>1924</v>
      </c>
      <c r="D253" s="36" t="s">
        <v>1683</v>
      </c>
      <c r="E253" s="36">
        <v>18000.0</v>
      </c>
      <c r="F253" s="178" t="s">
        <v>1923</v>
      </c>
    </row>
    <row r="254">
      <c r="A254" s="250">
        <v>43444.85546111111</v>
      </c>
      <c r="B254" s="251" t="s">
        <v>1783</v>
      </c>
      <c r="C254" s="178" t="s">
        <v>1921</v>
      </c>
      <c r="D254" s="36">
        <v>7889000.0</v>
      </c>
      <c r="E254" s="36" t="s">
        <v>1683</v>
      </c>
      <c r="F254" s="178" t="s">
        <v>506</v>
      </c>
    </row>
    <row r="255">
      <c r="A255" s="250">
        <v>43444.85546111111</v>
      </c>
      <c r="B255" s="251" t="s">
        <v>1684</v>
      </c>
      <c r="C255" s="178" t="s">
        <v>1925</v>
      </c>
      <c r="D255" s="36" t="s">
        <v>1683</v>
      </c>
      <c r="E255" s="36">
        <v>7889000.0</v>
      </c>
      <c r="F255" s="178" t="s">
        <v>506</v>
      </c>
    </row>
    <row r="256">
      <c r="A256" s="250">
        <v>43446.00007</v>
      </c>
      <c r="B256" s="251" t="s">
        <v>1844</v>
      </c>
      <c r="C256" s="178" t="s">
        <v>1926</v>
      </c>
      <c r="D256" s="36">
        <v>757587.0</v>
      </c>
      <c r="E256" s="36" t="s">
        <v>1683</v>
      </c>
      <c r="F256" s="178" t="s">
        <v>448</v>
      </c>
    </row>
    <row r="257">
      <c r="A257" s="250">
        <v>43446.00007</v>
      </c>
      <c r="B257" s="251" t="s">
        <v>1776</v>
      </c>
      <c r="C257" s="178" t="s">
        <v>1886</v>
      </c>
      <c r="D257" s="36" t="s">
        <v>1683</v>
      </c>
      <c r="E257" s="36">
        <v>757587.0</v>
      </c>
      <c r="F257" s="178" t="s">
        <v>448</v>
      </c>
    </row>
    <row r="258">
      <c r="A258" s="250">
        <v>43446.00033</v>
      </c>
      <c r="B258" s="251" t="s">
        <v>1927</v>
      </c>
      <c r="C258" s="178" t="s">
        <v>1928</v>
      </c>
      <c r="D258" s="36">
        <v>408925.0919786097</v>
      </c>
      <c r="E258" s="36" t="s">
        <v>1683</v>
      </c>
      <c r="F258" s="178" t="s">
        <v>477</v>
      </c>
    </row>
    <row r="259">
      <c r="A259" s="250">
        <v>43446.00033</v>
      </c>
      <c r="B259" s="251" t="s">
        <v>1776</v>
      </c>
      <c r="C259" s="178" t="s">
        <v>1889</v>
      </c>
      <c r="D259" s="36" t="s">
        <v>1683</v>
      </c>
      <c r="E259" s="36">
        <v>408925.0919786097</v>
      </c>
      <c r="F259" s="178" t="s">
        <v>477</v>
      </c>
    </row>
    <row r="260">
      <c r="A260" s="250">
        <v>43446.00034</v>
      </c>
      <c r="B260" s="251" t="s">
        <v>1896</v>
      </c>
      <c r="C260" s="178" t="s">
        <v>1929</v>
      </c>
      <c r="D260" s="36">
        <v>110951.5449197861</v>
      </c>
      <c r="E260" s="36" t="s">
        <v>1683</v>
      </c>
      <c r="F260" s="178" t="s">
        <v>72</v>
      </c>
    </row>
    <row r="261">
      <c r="A261" s="250">
        <v>43446.00034</v>
      </c>
      <c r="B261" s="251" t="s">
        <v>1776</v>
      </c>
      <c r="C261" s="178" t="s">
        <v>1892</v>
      </c>
      <c r="D261" s="36" t="s">
        <v>1683</v>
      </c>
      <c r="E261" s="36">
        <v>110951.5449197861</v>
      </c>
      <c r="F261" s="178" t="s">
        <v>72</v>
      </c>
    </row>
    <row r="262">
      <c r="A262" s="250">
        <v>43446.00064</v>
      </c>
      <c r="B262" s="251" t="s">
        <v>1930</v>
      </c>
      <c r="C262" s="178" t="s">
        <v>1931</v>
      </c>
      <c r="D262" s="36">
        <v>174034.36310160428</v>
      </c>
      <c r="E262" s="36" t="s">
        <v>1683</v>
      </c>
      <c r="F262" s="178" t="s">
        <v>72</v>
      </c>
    </row>
    <row r="263">
      <c r="A263" s="250">
        <v>43446.00064</v>
      </c>
      <c r="B263" s="251" t="s">
        <v>1776</v>
      </c>
      <c r="C263" s="178" t="s">
        <v>1894</v>
      </c>
      <c r="D263" s="36" t="s">
        <v>1683</v>
      </c>
      <c r="E263" s="36">
        <v>174034.36310160428</v>
      </c>
      <c r="F263" s="178" t="s">
        <v>72</v>
      </c>
    </row>
    <row r="264">
      <c r="A264" s="250">
        <v>43454.00013</v>
      </c>
      <c r="B264" s="251" t="s">
        <v>1681</v>
      </c>
      <c r="C264" s="178" t="s">
        <v>1932</v>
      </c>
      <c r="D264" s="36">
        <v>125000.00000000019</v>
      </c>
      <c r="E264" s="36" t="s">
        <v>1683</v>
      </c>
      <c r="F264" s="178" t="s">
        <v>227</v>
      </c>
    </row>
    <row r="265">
      <c r="A265" s="250">
        <v>43454.00013</v>
      </c>
      <c r="B265" s="251" t="s">
        <v>1684</v>
      </c>
      <c r="C265" s="178" t="s">
        <v>1933</v>
      </c>
      <c r="D265" s="36" t="s">
        <v>1683</v>
      </c>
      <c r="E265" s="36">
        <v>125000.00000000019</v>
      </c>
      <c r="F265" s="178" t="s">
        <v>227</v>
      </c>
    </row>
    <row r="266">
      <c r="A266" s="250">
        <v>43454.00013</v>
      </c>
      <c r="B266" s="251" t="s">
        <v>1934</v>
      </c>
      <c r="C266" s="178" t="s">
        <v>1935</v>
      </c>
      <c r="D266" s="36">
        <v>125000.00000000019</v>
      </c>
      <c r="E266" s="36" t="s">
        <v>1683</v>
      </c>
      <c r="F266" s="178" t="s">
        <v>227</v>
      </c>
    </row>
    <row r="267">
      <c r="A267" s="250">
        <v>43454.00013</v>
      </c>
      <c r="B267" s="251" t="s">
        <v>1688</v>
      </c>
      <c r="C267" s="178" t="s">
        <v>1932</v>
      </c>
      <c r="D267" s="36" t="s">
        <v>1683</v>
      </c>
      <c r="E267" s="36">
        <v>125000.00000000019</v>
      </c>
      <c r="F267" s="178" t="s">
        <v>227</v>
      </c>
    </row>
    <row r="268">
      <c r="A268" s="250">
        <v>43454.00014</v>
      </c>
      <c r="B268" s="251" t="s">
        <v>1681</v>
      </c>
      <c r="C268" s="178" t="s">
        <v>1936</v>
      </c>
      <c r="D268" s="36">
        <v>125000.00000000001</v>
      </c>
      <c r="E268" s="36" t="s">
        <v>1683</v>
      </c>
      <c r="F268" s="178" t="s">
        <v>227</v>
      </c>
    </row>
    <row r="269">
      <c r="A269" s="250">
        <v>43454.00014</v>
      </c>
      <c r="B269" s="251" t="s">
        <v>1684</v>
      </c>
      <c r="C269" s="178" t="s">
        <v>1937</v>
      </c>
      <c r="D269" s="36" t="s">
        <v>1683</v>
      </c>
      <c r="E269" s="36">
        <v>125000.00000000001</v>
      </c>
      <c r="F269" s="178" t="s">
        <v>227</v>
      </c>
    </row>
    <row r="270">
      <c r="A270" s="250">
        <v>43454.00014</v>
      </c>
      <c r="B270" s="251" t="s">
        <v>1934</v>
      </c>
      <c r="C270" s="178" t="s">
        <v>1938</v>
      </c>
      <c r="D270" s="36">
        <v>125000.00000000001</v>
      </c>
      <c r="E270" s="36" t="s">
        <v>1683</v>
      </c>
      <c r="F270" s="178" t="s">
        <v>227</v>
      </c>
    </row>
    <row r="271">
      <c r="A271" s="250">
        <v>43454.00014</v>
      </c>
      <c r="B271" s="251" t="s">
        <v>1688</v>
      </c>
      <c r="C271" s="178" t="s">
        <v>1936</v>
      </c>
      <c r="D271" s="36" t="s">
        <v>1683</v>
      </c>
      <c r="E271" s="36">
        <v>125000.00000000001</v>
      </c>
      <c r="F271" s="178" t="s">
        <v>227</v>
      </c>
    </row>
    <row r="272">
      <c r="A272" s="250">
        <v>43454.00015</v>
      </c>
      <c r="B272" s="251" t="s">
        <v>1681</v>
      </c>
      <c r="C272" s="178" t="s">
        <v>1939</v>
      </c>
      <c r="D272" s="36">
        <v>125000.00000000001</v>
      </c>
      <c r="E272" s="36" t="s">
        <v>1683</v>
      </c>
      <c r="F272" s="178" t="s">
        <v>227</v>
      </c>
    </row>
    <row r="273">
      <c r="A273" s="250">
        <v>43454.00015</v>
      </c>
      <c r="B273" s="251" t="s">
        <v>1684</v>
      </c>
      <c r="C273" s="178" t="s">
        <v>1940</v>
      </c>
      <c r="D273" s="36" t="s">
        <v>1683</v>
      </c>
      <c r="E273" s="36">
        <v>125000.00000000001</v>
      </c>
      <c r="F273" s="178" t="s">
        <v>227</v>
      </c>
    </row>
    <row r="274">
      <c r="A274" s="250">
        <v>43454.00015</v>
      </c>
      <c r="B274" s="251" t="s">
        <v>1934</v>
      </c>
      <c r="C274" s="178" t="s">
        <v>1941</v>
      </c>
      <c r="D274" s="36">
        <v>125000.00000000001</v>
      </c>
      <c r="E274" s="36" t="s">
        <v>1683</v>
      </c>
      <c r="F274" s="178" t="s">
        <v>227</v>
      </c>
    </row>
    <row r="275">
      <c r="A275" s="250">
        <v>43454.00015</v>
      </c>
      <c r="B275" s="251" t="s">
        <v>1688</v>
      </c>
      <c r="C275" s="178" t="s">
        <v>1939</v>
      </c>
      <c r="D275" s="36" t="s">
        <v>1683</v>
      </c>
      <c r="E275" s="36">
        <v>125000.00000000001</v>
      </c>
      <c r="F275" s="178" t="s">
        <v>227</v>
      </c>
    </row>
    <row r="276">
      <c r="A276" s="250">
        <v>43455.00018</v>
      </c>
      <c r="B276" s="251" t="s">
        <v>1681</v>
      </c>
      <c r="C276" s="178" t="s">
        <v>1942</v>
      </c>
      <c r="D276" s="36">
        <v>1000000.0000000001</v>
      </c>
      <c r="E276" s="36" t="s">
        <v>1683</v>
      </c>
      <c r="F276" s="178" t="s">
        <v>227</v>
      </c>
    </row>
    <row r="277">
      <c r="A277" s="250">
        <v>43455.00018</v>
      </c>
      <c r="B277" s="251" t="s">
        <v>1684</v>
      </c>
      <c r="C277" s="178" t="s">
        <v>1943</v>
      </c>
      <c r="D277" s="36" t="s">
        <v>1683</v>
      </c>
      <c r="E277" s="36">
        <v>1000000.0000000001</v>
      </c>
      <c r="F277" s="178" t="s">
        <v>227</v>
      </c>
    </row>
    <row r="278">
      <c r="A278" s="250">
        <v>43458.8751</v>
      </c>
      <c r="B278" s="251" t="s">
        <v>1783</v>
      </c>
      <c r="C278" s="178" t="s">
        <v>1908</v>
      </c>
      <c r="D278" s="36">
        <v>307000.0</v>
      </c>
      <c r="E278" s="36" t="s">
        <v>1683</v>
      </c>
      <c r="F278" s="178" t="s">
        <v>506</v>
      </c>
    </row>
    <row r="279">
      <c r="A279" s="250">
        <v>43458.8751</v>
      </c>
      <c r="B279" s="251" t="s">
        <v>1684</v>
      </c>
      <c r="C279" s="178" t="s">
        <v>1944</v>
      </c>
      <c r="D279" s="36" t="s">
        <v>1683</v>
      </c>
      <c r="E279" s="36">
        <v>307000.0</v>
      </c>
      <c r="F279" s="178" t="s">
        <v>506</v>
      </c>
    </row>
    <row r="280">
      <c r="A280" s="250">
        <v>43458.87558</v>
      </c>
      <c r="B280" s="251" t="s">
        <v>1783</v>
      </c>
      <c r="C280" s="178" t="s">
        <v>1918</v>
      </c>
      <c r="D280" s="36">
        <v>3007000.0</v>
      </c>
      <c r="E280" s="36" t="s">
        <v>1683</v>
      </c>
      <c r="F280" s="178" t="s">
        <v>506</v>
      </c>
    </row>
    <row r="281">
      <c r="A281" s="250">
        <v>43458.87558</v>
      </c>
      <c r="B281" s="251" t="s">
        <v>1684</v>
      </c>
      <c r="C281" s="178" t="s">
        <v>1945</v>
      </c>
      <c r="D281" s="36" t="s">
        <v>1683</v>
      </c>
      <c r="E281" s="36">
        <v>3007000.0</v>
      </c>
      <c r="F281" s="178" t="s">
        <v>506</v>
      </c>
    </row>
    <row r="282">
      <c r="A282" s="250">
        <v>43458.938254444445</v>
      </c>
      <c r="B282" s="251" t="s">
        <v>1783</v>
      </c>
      <c r="C282" s="178" t="s">
        <v>1902</v>
      </c>
      <c r="D282" s="36">
        <v>292000.0</v>
      </c>
      <c r="E282" s="36" t="s">
        <v>1683</v>
      </c>
      <c r="F282" s="178" t="s">
        <v>506</v>
      </c>
    </row>
    <row r="283">
      <c r="A283" s="250">
        <v>43458.938254444445</v>
      </c>
      <c r="B283" s="251" t="s">
        <v>1684</v>
      </c>
      <c r="C283" s="178" t="s">
        <v>1946</v>
      </c>
      <c r="D283" s="36" t="s">
        <v>1683</v>
      </c>
      <c r="E283" s="36">
        <v>292000.0</v>
      </c>
      <c r="F283" s="178" t="s">
        <v>506</v>
      </c>
    </row>
    <row r="284">
      <c r="A284" s="250">
        <v>43458.938314444444</v>
      </c>
      <c r="B284" s="251" t="s">
        <v>1783</v>
      </c>
      <c r="C284" s="178" t="s">
        <v>1912</v>
      </c>
      <c r="D284" s="36">
        <v>382000.0</v>
      </c>
      <c r="E284" s="36" t="s">
        <v>1683</v>
      </c>
      <c r="F284" s="178" t="s">
        <v>506</v>
      </c>
    </row>
    <row r="285">
      <c r="A285" s="250">
        <v>43458.938314444444</v>
      </c>
      <c r="B285" s="251" t="s">
        <v>1684</v>
      </c>
      <c r="C285" s="178" t="s">
        <v>1947</v>
      </c>
      <c r="D285" s="36" t="s">
        <v>1683</v>
      </c>
      <c r="E285" s="36">
        <v>382000.0</v>
      </c>
      <c r="F285" s="178" t="s">
        <v>506</v>
      </c>
    </row>
    <row r="286">
      <c r="A286" s="250">
        <v>43459.00008</v>
      </c>
      <c r="B286" s="251" t="s">
        <v>1783</v>
      </c>
      <c r="C286" s="178" t="s">
        <v>1905</v>
      </c>
      <c r="D286" s="36">
        <v>2013250.0</v>
      </c>
      <c r="E286" s="36" t="s">
        <v>1683</v>
      </c>
      <c r="F286" s="178" t="s">
        <v>506</v>
      </c>
    </row>
    <row r="287">
      <c r="A287" s="250">
        <v>43459.00008</v>
      </c>
      <c r="B287" s="251" t="s">
        <v>1684</v>
      </c>
      <c r="C287" s="178" t="s">
        <v>1948</v>
      </c>
      <c r="D287" s="36" t="s">
        <v>1683</v>
      </c>
      <c r="E287" s="36">
        <v>2013250.0</v>
      </c>
      <c r="F287" s="178" t="s">
        <v>506</v>
      </c>
    </row>
    <row r="288">
      <c r="A288" s="250">
        <v>43459.00041</v>
      </c>
      <c r="B288" s="251" t="s">
        <v>1783</v>
      </c>
      <c r="C288" s="178" t="s">
        <v>1915</v>
      </c>
      <c r="D288" s="36">
        <v>1647000.0</v>
      </c>
      <c r="E288" s="36" t="s">
        <v>1683</v>
      </c>
      <c r="F288" s="178" t="s">
        <v>506</v>
      </c>
    </row>
    <row r="289">
      <c r="A289" s="250">
        <v>43459.00041</v>
      </c>
      <c r="B289" s="251" t="s">
        <v>1684</v>
      </c>
      <c r="C289" s="178" t="s">
        <v>1949</v>
      </c>
      <c r="D289" s="36" t="s">
        <v>1683</v>
      </c>
      <c r="E289" s="36">
        <v>1647000.0</v>
      </c>
      <c r="F289" s="178" t="s">
        <v>506</v>
      </c>
    </row>
    <row r="290">
      <c r="A290" s="250">
        <v>43459.00093</v>
      </c>
      <c r="B290" s="251" t="s">
        <v>1871</v>
      </c>
      <c r="C290" s="178" t="s">
        <v>1950</v>
      </c>
      <c r="D290" s="36">
        <v>1293750.0</v>
      </c>
      <c r="E290" s="36" t="s">
        <v>1683</v>
      </c>
      <c r="F290" s="178" t="s">
        <v>317</v>
      </c>
    </row>
    <row r="291">
      <c r="A291" s="250">
        <v>43459.00093</v>
      </c>
      <c r="B291" s="251" t="s">
        <v>1684</v>
      </c>
      <c r="C291" s="178" t="s">
        <v>1951</v>
      </c>
      <c r="D291" s="36" t="s">
        <v>1683</v>
      </c>
      <c r="E291" s="36">
        <v>1293750.0</v>
      </c>
      <c r="F291" s="178" t="s">
        <v>317</v>
      </c>
    </row>
    <row r="292">
      <c r="A292" s="250">
        <v>43460.00018</v>
      </c>
      <c r="B292" s="251" t="s">
        <v>1952</v>
      </c>
      <c r="C292" s="178" t="s">
        <v>1953</v>
      </c>
      <c r="D292" s="36">
        <v>1000000.0000000001</v>
      </c>
      <c r="E292" s="36" t="s">
        <v>1683</v>
      </c>
      <c r="F292" s="178" t="s">
        <v>227</v>
      </c>
    </row>
    <row r="293">
      <c r="A293" s="250">
        <v>43460.00018</v>
      </c>
      <c r="B293" s="251" t="s">
        <v>1688</v>
      </c>
      <c r="C293" s="178" t="s">
        <v>1942</v>
      </c>
      <c r="D293" s="36" t="s">
        <v>1683</v>
      </c>
      <c r="E293" s="36">
        <v>1000000.0000000001</v>
      </c>
      <c r="F293" s="178" t="s">
        <v>227</v>
      </c>
    </row>
    <row r="294">
      <c r="A294" s="250">
        <v>43460.00096</v>
      </c>
      <c r="B294" s="251" t="s">
        <v>1783</v>
      </c>
      <c r="C294" s="178" t="s">
        <v>1954</v>
      </c>
      <c r="D294" s="36">
        <v>66000.0</v>
      </c>
      <c r="E294" s="36" t="s">
        <v>1683</v>
      </c>
      <c r="F294" s="178" t="s">
        <v>712</v>
      </c>
    </row>
    <row r="295">
      <c r="A295" s="250">
        <v>43460.00096</v>
      </c>
      <c r="B295" s="251" t="s">
        <v>1684</v>
      </c>
      <c r="C295" s="178" t="s">
        <v>1955</v>
      </c>
      <c r="D295" s="36" t="s">
        <v>1683</v>
      </c>
      <c r="E295" s="36">
        <v>66000.0</v>
      </c>
      <c r="F295" s="178" t="s">
        <v>712</v>
      </c>
    </row>
    <row r="296">
      <c r="A296" s="250">
        <v>43461.00093</v>
      </c>
      <c r="B296" s="251" t="s">
        <v>1956</v>
      </c>
      <c r="C296" s="178" t="s">
        <v>1957</v>
      </c>
      <c r="D296" s="36">
        <v>1293750.0</v>
      </c>
      <c r="E296" s="36" t="s">
        <v>1683</v>
      </c>
      <c r="F296" s="178" t="s">
        <v>317</v>
      </c>
    </row>
    <row r="297">
      <c r="A297" s="250">
        <v>43461.00093</v>
      </c>
      <c r="B297" s="251" t="s">
        <v>1878</v>
      </c>
      <c r="C297" s="178" t="s">
        <v>1950</v>
      </c>
      <c r="D297" s="36" t="s">
        <v>1683</v>
      </c>
      <c r="E297" s="36">
        <v>1293750.0</v>
      </c>
      <c r="F297" s="178" t="s">
        <v>317</v>
      </c>
    </row>
    <row r="298">
      <c r="A298" s="250">
        <v>43463.00096</v>
      </c>
      <c r="B298" s="251" t="s">
        <v>1958</v>
      </c>
      <c r="C298" s="178" t="s">
        <v>1959</v>
      </c>
      <c r="D298" s="36">
        <v>66000.0</v>
      </c>
      <c r="E298" s="36" t="s">
        <v>1683</v>
      </c>
      <c r="F298" s="178" t="s">
        <v>712</v>
      </c>
    </row>
    <row r="299">
      <c r="A299" s="250">
        <v>43463.00096</v>
      </c>
      <c r="B299" s="251" t="s">
        <v>1802</v>
      </c>
      <c r="C299" s="178" t="s">
        <v>1954</v>
      </c>
      <c r="D299" s="36" t="s">
        <v>1683</v>
      </c>
      <c r="E299" s="36">
        <v>66000.0</v>
      </c>
      <c r="F299" s="178" t="s">
        <v>712</v>
      </c>
    </row>
    <row r="300">
      <c r="A300" s="250">
        <v>43477.00037</v>
      </c>
      <c r="B300" s="251" t="s">
        <v>1871</v>
      </c>
      <c r="C300" s="178" t="s">
        <v>1960</v>
      </c>
      <c r="D300" s="36">
        <v>500000.0</v>
      </c>
      <c r="E300" s="36" t="s">
        <v>1683</v>
      </c>
      <c r="F300" s="178" t="s">
        <v>832</v>
      </c>
    </row>
    <row r="301">
      <c r="A301" s="250">
        <v>43477.00037</v>
      </c>
      <c r="B301" s="251" t="s">
        <v>1684</v>
      </c>
      <c r="C301" s="178" t="s">
        <v>1961</v>
      </c>
      <c r="D301" s="36" t="s">
        <v>1683</v>
      </c>
      <c r="E301" s="36">
        <v>500000.0</v>
      </c>
      <c r="F301" s="178" t="s">
        <v>832</v>
      </c>
    </row>
    <row r="302">
      <c r="A302" s="250">
        <v>43477.00037</v>
      </c>
      <c r="B302" s="251" t="s">
        <v>1962</v>
      </c>
      <c r="C302" s="178" t="s">
        <v>1963</v>
      </c>
      <c r="D302" s="36">
        <v>500000.0</v>
      </c>
      <c r="E302" s="36" t="s">
        <v>1683</v>
      </c>
      <c r="F302" s="178" t="s">
        <v>832</v>
      </c>
    </row>
    <row r="303">
      <c r="A303" s="250">
        <v>43477.00037</v>
      </c>
      <c r="B303" s="251" t="s">
        <v>1878</v>
      </c>
      <c r="C303" s="178" t="s">
        <v>1960</v>
      </c>
      <c r="D303" s="36" t="s">
        <v>1683</v>
      </c>
      <c r="E303" s="36">
        <v>500000.0</v>
      </c>
      <c r="F303" s="178" t="s">
        <v>832</v>
      </c>
    </row>
    <row r="304">
      <c r="A304" s="250">
        <v>43477.57984903935</v>
      </c>
      <c r="B304" s="251" t="s">
        <v>1613</v>
      </c>
      <c r="C304" s="178" t="s">
        <v>1964</v>
      </c>
      <c r="D304" s="36">
        <v>44400.0</v>
      </c>
      <c r="E304" s="36" t="s">
        <v>1683</v>
      </c>
      <c r="F304" s="178" t="s">
        <v>1965</v>
      </c>
    </row>
    <row r="305">
      <c r="A305" s="250">
        <v>43477.57984903935</v>
      </c>
      <c r="B305" s="251" t="s">
        <v>1684</v>
      </c>
      <c r="C305" s="178" t="s">
        <v>1966</v>
      </c>
      <c r="D305" s="36" t="s">
        <v>1683</v>
      </c>
      <c r="E305" s="36">
        <v>44400.0</v>
      </c>
      <c r="F305" s="178" t="s">
        <v>1965</v>
      </c>
    </row>
    <row r="306">
      <c r="A306" s="250">
        <v>43483.67947592593</v>
      </c>
      <c r="B306" s="251" t="s">
        <v>1702</v>
      </c>
      <c r="C306" s="178" t="s">
        <v>1967</v>
      </c>
      <c r="D306" s="36">
        <v>770116.8363421131</v>
      </c>
      <c r="E306" s="36" t="s">
        <v>1683</v>
      </c>
      <c r="F306" s="178" t="s">
        <v>447</v>
      </c>
    </row>
    <row r="307">
      <c r="A307" s="250">
        <v>43483.67947592593</v>
      </c>
      <c r="B307" s="251" t="s">
        <v>1684</v>
      </c>
      <c r="C307" s="178" t="s">
        <v>1968</v>
      </c>
      <c r="D307" s="36" t="s">
        <v>1683</v>
      </c>
      <c r="E307" s="36">
        <v>770116.8363421131</v>
      </c>
      <c r="F307" s="178" t="s">
        <v>447</v>
      </c>
    </row>
    <row r="308">
      <c r="A308" s="250">
        <v>43483.679924386575</v>
      </c>
      <c r="B308" s="251" t="s">
        <v>1702</v>
      </c>
      <c r="C308" s="178" t="s">
        <v>1969</v>
      </c>
      <c r="D308" s="36">
        <v>207428.16365788697</v>
      </c>
      <c r="E308" s="36" t="s">
        <v>1683</v>
      </c>
      <c r="F308" s="178" t="s">
        <v>99</v>
      </c>
    </row>
    <row r="309">
      <c r="A309" s="250">
        <v>43483.679924386575</v>
      </c>
      <c r="B309" s="251" t="s">
        <v>1684</v>
      </c>
      <c r="C309" s="178" t="s">
        <v>1970</v>
      </c>
      <c r="D309" s="36" t="s">
        <v>1683</v>
      </c>
      <c r="E309" s="36">
        <v>207428.16365788697</v>
      </c>
      <c r="F309" s="178" t="s">
        <v>99</v>
      </c>
    </row>
    <row r="310">
      <c r="A310" s="250">
        <v>43485.0</v>
      </c>
      <c r="B310" s="251" t="s">
        <v>1681</v>
      </c>
      <c r="C310" s="178" t="s">
        <v>1971</v>
      </c>
      <c r="D310" s="36">
        <v>500032.0</v>
      </c>
      <c r="E310" s="36" t="s">
        <v>1683</v>
      </c>
      <c r="F310" s="178" t="s">
        <v>227</v>
      </c>
    </row>
    <row r="311">
      <c r="A311" s="250">
        <v>43485.0</v>
      </c>
      <c r="B311" s="251" t="s">
        <v>1684</v>
      </c>
      <c r="C311" s="178" t="s">
        <v>1972</v>
      </c>
      <c r="D311" s="36" t="s">
        <v>1683</v>
      </c>
      <c r="E311" s="36">
        <v>500032.0</v>
      </c>
      <c r="F311" s="178" t="s">
        <v>227</v>
      </c>
    </row>
    <row r="312">
      <c r="A312" s="250">
        <v>43485.0</v>
      </c>
      <c r="B312" s="251" t="s">
        <v>1686</v>
      </c>
      <c r="C312" s="178" t="s">
        <v>1973</v>
      </c>
      <c r="D312" s="36">
        <v>500032.0</v>
      </c>
      <c r="E312" s="36" t="s">
        <v>1683</v>
      </c>
      <c r="F312" s="178" t="s">
        <v>227</v>
      </c>
    </row>
    <row r="313">
      <c r="A313" s="250">
        <v>43485.0</v>
      </c>
      <c r="B313" s="251" t="s">
        <v>1688</v>
      </c>
      <c r="C313" s="178" t="s">
        <v>1971</v>
      </c>
      <c r="D313" s="36" t="s">
        <v>1683</v>
      </c>
      <c r="E313" s="36">
        <v>500032.0</v>
      </c>
      <c r="F313" s="178" t="s">
        <v>227</v>
      </c>
    </row>
    <row r="314">
      <c r="A314" s="250">
        <v>43485.00012</v>
      </c>
      <c r="B314" s="251" t="s">
        <v>1681</v>
      </c>
      <c r="C314" s="178" t="s">
        <v>1974</v>
      </c>
      <c r="D314" s="36">
        <v>312500.00000000006</v>
      </c>
      <c r="E314" s="36" t="s">
        <v>1683</v>
      </c>
      <c r="F314" s="178" t="s">
        <v>227</v>
      </c>
    </row>
    <row r="315">
      <c r="A315" s="250">
        <v>43485.00012</v>
      </c>
      <c r="B315" s="251" t="s">
        <v>1684</v>
      </c>
      <c r="C315" s="178" t="s">
        <v>1975</v>
      </c>
      <c r="D315" s="36" t="s">
        <v>1683</v>
      </c>
      <c r="E315" s="36">
        <v>312500.00000000006</v>
      </c>
      <c r="F315" s="178" t="s">
        <v>227</v>
      </c>
    </row>
    <row r="316">
      <c r="A316" s="250">
        <v>43485.0002</v>
      </c>
      <c r="B316" s="251" t="s">
        <v>1681</v>
      </c>
      <c r="C316" s="178" t="s">
        <v>1976</v>
      </c>
      <c r="D316" s="36">
        <v>312500.0</v>
      </c>
      <c r="E316" s="36" t="s">
        <v>1683</v>
      </c>
      <c r="F316" s="178" t="s">
        <v>227</v>
      </c>
    </row>
    <row r="317">
      <c r="A317" s="250">
        <v>43485.0002</v>
      </c>
      <c r="B317" s="251" t="s">
        <v>1684</v>
      </c>
      <c r="C317" s="178" t="s">
        <v>1977</v>
      </c>
      <c r="D317" s="36" t="s">
        <v>1683</v>
      </c>
      <c r="E317" s="36">
        <v>312500.0</v>
      </c>
      <c r="F317" s="178" t="s">
        <v>227</v>
      </c>
    </row>
    <row r="318">
      <c r="A318" s="250">
        <v>43486.00012</v>
      </c>
      <c r="B318" s="251" t="s">
        <v>1934</v>
      </c>
      <c r="C318" s="178" t="s">
        <v>1978</v>
      </c>
      <c r="D318" s="36">
        <v>312500.00000000006</v>
      </c>
      <c r="E318" s="36" t="s">
        <v>1683</v>
      </c>
      <c r="F318" s="178" t="s">
        <v>227</v>
      </c>
    </row>
    <row r="319">
      <c r="A319" s="250">
        <v>43486.00012</v>
      </c>
      <c r="B319" s="251" t="s">
        <v>1688</v>
      </c>
      <c r="C319" s="178" t="s">
        <v>1974</v>
      </c>
      <c r="D319" s="36" t="s">
        <v>1683</v>
      </c>
      <c r="E319" s="36">
        <v>312500.00000000006</v>
      </c>
      <c r="F319" s="178" t="s">
        <v>227</v>
      </c>
    </row>
    <row r="320">
      <c r="A320" s="250">
        <v>43486.0002</v>
      </c>
      <c r="B320" s="251" t="s">
        <v>1691</v>
      </c>
      <c r="C320" s="178" t="s">
        <v>1979</v>
      </c>
      <c r="D320" s="36">
        <v>312500.0</v>
      </c>
      <c r="E320" s="36" t="s">
        <v>1683</v>
      </c>
      <c r="F320" s="178" t="s">
        <v>227</v>
      </c>
    </row>
    <row r="321">
      <c r="A321" s="250">
        <v>43486.0002</v>
      </c>
      <c r="B321" s="251" t="s">
        <v>1688</v>
      </c>
      <c r="C321" s="178" t="s">
        <v>1976</v>
      </c>
      <c r="D321" s="36" t="s">
        <v>1683</v>
      </c>
      <c r="E321" s="36">
        <v>312500.0</v>
      </c>
      <c r="F321" s="178" t="s">
        <v>227</v>
      </c>
    </row>
    <row r="322">
      <c r="A322" s="250">
        <v>43491.00035</v>
      </c>
      <c r="B322" s="251" t="s">
        <v>1702</v>
      </c>
      <c r="C322" s="178" t="s">
        <v>1980</v>
      </c>
      <c r="D322" s="36">
        <v>106611.58732336397</v>
      </c>
      <c r="E322" s="36" t="s">
        <v>1683</v>
      </c>
      <c r="F322" s="178" t="s">
        <v>659</v>
      </c>
    </row>
    <row r="323">
      <c r="A323" s="250">
        <v>43491.00035</v>
      </c>
      <c r="B323" s="251" t="s">
        <v>1684</v>
      </c>
      <c r="C323" s="178" t="s">
        <v>1981</v>
      </c>
      <c r="D323" s="36" t="s">
        <v>1683</v>
      </c>
      <c r="E323" s="36">
        <v>106611.58732336397</v>
      </c>
      <c r="F323" s="178" t="s">
        <v>659</v>
      </c>
    </row>
    <row r="324">
      <c r="A324" s="250">
        <v>43492.50201537037</v>
      </c>
      <c r="B324" s="251" t="s">
        <v>1702</v>
      </c>
      <c r="C324" s="178" t="s">
        <v>1982</v>
      </c>
      <c r="D324" s="36">
        <v>42471.28275483606</v>
      </c>
      <c r="E324" s="36" t="s">
        <v>1683</v>
      </c>
      <c r="F324" s="178" t="s">
        <v>192</v>
      </c>
    </row>
    <row r="325">
      <c r="A325" s="250">
        <v>43492.50201537037</v>
      </c>
      <c r="B325" s="251" t="s">
        <v>1684</v>
      </c>
      <c r="C325" s="178" t="s">
        <v>1983</v>
      </c>
      <c r="D325" s="36" t="s">
        <v>1683</v>
      </c>
      <c r="E325" s="36">
        <v>42471.28275483606</v>
      </c>
      <c r="F325" s="178" t="s">
        <v>192</v>
      </c>
    </row>
    <row r="326">
      <c r="A326" s="250">
        <v>43492.50202537038</v>
      </c>
      <c r="B326" s="251" t="s">
        <v>1702</v>
      </c>
      <c r="C326" s="178" t="s">
        <v>1984</v>
      </c>
      <c r="D326" s="36">
        <v>46371.706681300595</v>
      </c>
      <c r="E326" s="36" t="s">
        <v>1683</v>
      </c>
      <c r="F326" s="178" t="s">
        <v>193</v>
      </c>
    </row>
    <row r="327">
      <c r="A327" s="250">
        <v>43492.50202537038</v>
      </c>
      <c r="B327" s="251" t="s">
        <v>1684</v>
      </c>
      <c r="C327" s="178" t="s">
        <v>1985</v>
      </c>
      <c r="D327" s="36" t="s">
        <v>1683</v>
      </c>
      <c r="E327" s="36">
        <v>46371.706681300595</v>
      </c>
      <c r="F327" s="178" t="s">
        <v>193</v>
      </c>
    </row>
    <row r="328">
      <c r="A328" s="250">
        <v>43492.50203537037</v>
      </c>
      <c r="B328" s="251" t="s">
        <v>1702</v>
      </c>
      <c r="C328" s="178" t="s">
        <v>1986</v>
      </c>
      <c r="D328" s="36">
        <v>44927.10522705447</v>
      </c>
      <c r="E328" s="36" t="s">
        <v>1683</v>
      </c>
      <c r="F328" s="178" t="s">
        <v>194</v>
      </c>
    </row>
    <row r="329">
      <c r="A329" s="250">
        <v>43492.50203537037</v>
      </c>
      <c r="B329" s="251" t="s">
        <v>1684</v>
      </c>
      <c r="C329" s="178" t="s">
        <v>1987</v>
      </c>
      <c r="D329" s="36" t="s">
        <v>1683</v>
      </c>
      <c r="E329" s="36">
        <v>44927.10522705447</v>
      </c>
      <c r="F329" s="178" t="s">
        <v>194</v>
      </c>
    </row>
    <row r="330">
      <c r="A330" s="250">
        <v>43495.00063</v>
      </c>
      <c r="B330" s="251" t="s">
        <v>1930</v>
      </c>
      <c r="C330" s="178" t="s">
        <v>1988</v>
      </c>
      <c r="D330" s="36">
        <v>207428.16365788697</v>
      </c>
      <c r="E330" s="36" t="s">
        <v>1683</v>
      </c>
      <c r="F330" s="178" t="s">
        <v>99</v>
      </c>
    </row>
    <row r="331">
      <c r="A331" s="250">
        <v>43495.00063</v>
      </c>
      <c r="B331" s="251" t="s">
        <v>1776</v>
      </c>
      <c r="C331" s="178" t="s">
        <v>1969</v>
      </c>
      <c r="D331" s="36" t="s">
        <v>1683</v>
      </c>
      <c r="E331" s="36">
        <v>207428.16365788697</v>
      </c>
      <c r="F331" s="178" t="s">
        <v>99</v>
      </c>
    </row>
    <row r="332">
      <c r="A332" s="250">
        <v>43502.00006</v>
      </c>
      <c r="B332" s="251" t="s">
        <v>1844</v>
      </c>
      <c r="C332" s="178" t="s">
        <v>1989</v>
      </c>
      <c r="D332" s="36">
        <v>770116.8363421131</v>
      </c>
      <c r="E332" s="36" t="s">
        <v>1683</v>
      </c>
      <c r="F332" s="178" t="s">
        <v>447</v>
      </c>
    </row>
    <row r="333">
      <c r="A333" s="250">
        <v>43502.00006</v>
      </c>
      <c r="B333" s="251" t="s">
        <v>1776</v>
      </c>
      <c r="C333" s="178" t="s">
        <v>1967</v>
      </c>
      <c r="D333" s="36" t="s">
        <v>1683</v>
      </c>
      <c r="E333" s="36">
        <v>770116.8363421131</v>
      </c>
      <c r="F333" s="178" t="s">
        <v>447</v>
      </c>
    </row>
    <row r="334">
      <c r="A334" s="250">
        <v>43515.58957517362</v>
      </c>
      <c r="B334" s="251" t="s">
        <v>1990</v>
      </c>
      <c r="C334" s="178" t="s">
        <v>1991</v>
      </c>
      <c r="D334" s="36">
        <v>50057.59436223741</v>
      </c>
      <c r="E334" s="36" t="s">
        <v>1683</v>
      </c>
      <c r="F334" s="178" t="s">
        <v>1683</v>
      </c>
    </row>
    <row r="335">
      <c r="A335" s="250">
        <v>43515.58957517362</v>
      </c>
      <c r="B335" s="251" t="s">
        <v>1992</v>
      </c>
      <c r="C335" s="178" t="s">
        <v>1993</v>
      </c>
      <c r="D335" s="36" t="s">
        <v>1683</v>
      </c>
      <c r="E335" s="36">
        <v>50057.59436223741</v>
      </c>
      <c r="F335" s="178" t="s">
        <v>1683</v>
      </c>
    </row>
    <row r="336">
      <c r="A336" s="250">
        <v>43516.00009</v>
      </c>
      <c r="B336" s="251" t="s">
        <v>1616</v>
      </c>
      <c r="C336" s="178" t="s">
        <v>1994</v>
      </c>
      <c r="D336" s="36">
        <v>7500.0</v>
      </c>
      <c r="E336" s="36" t="s">
        <v>1683</v>
      </c>
      <c r="F336" s="178" t="s">
        <v>1617</v>
      </c>
    </row>
    <row r="337">
      <c r="A337" s="250">
        <v>43516.00009</v>
      </c>
      <c r="B337" s="251" t="s">
        <v>1684</v>
      </c>
      <c r="C337" s="178" t="s">
        <v>1995</v>
      </c>
      <c r="D337" s="36" t="s">
        <v>1683</v>
      </c>
      <c r="E337" s="36">
        <v>7500.0</v>
      </c>
      <c r="F337" s="178" t="s">
        <v>1617</v>
      </c>
    </row>
    <row r="338">
      <c r="A338" s="250">
        <v>43516.0001</v>
      </c>
      <c r="B338" s="251" t="s">
        <v>1611</v>
      </c>
      <c r="C338" s="178" t="s">
        <v>1996</v>
      </c>
      <c r="D338" s="36">
        <v>7000.0</v>
      </c>
      <c r="E338" s="36" t="s">
        <v>1683</v>
      </c>
      <c r="F338" s="178" t="s">
        <v>1618</v>
      </c>
    </row>
    <row r="339">
      <c r="A339" s="250">
        <v>43516.0001</v>
      </c>
      <c r="B339" s="251" t="s">
        <v>1684</v>
      </c>
      <c r="C339" s="178" t="s">
        <v>1997</v>
      </c>
      <c r="D339" s="36" t="s">
        <v>1683</v>
      </c>
      <c r="E339" s="36">
        <v>7000.0</v>
      </c>
      <c r="F339" s="178" t="s">
        <v>1618</v>
      </c>
    </row>
    <row r="340">
      <c r="A340" s="250">
        <v>43522.943609409725</v>
      </c>
      <c r="B340" s="251" t="s">
        <v>1607</v>
      </c>
      <c r="C340" s="178" t="s">
        <v>1998</v>
      </c>
      <c r="D340" s="36">
        <v>165000.0</v>
      </c>
      <c r="E340" s="36" t="s">
        <v>1683</v>
      </c>
      <c r="F340" s="178" t="s">
        <v>1608</v>
      </c>
    </row>
    <row r="341">
      <c r="A341" s="250">
        <v>43522.943609409725</v>
      </c>
      <c r="B341" s="251" t="s">
        <v>1684</v>
      </c>
      <c r="C341" s="178" t="s">
        <v>1999</v>
      </c>
      <c r="D341" s="36" t="s">
        <v>1683</v>
      </c>
      <c r="E341" s="36">
        <v>165000.0</v>
      </c>
      <c r="F341" s="178" t="s">
        <v>1608</v>
      </c>
    </row>
    <row r="342">
      <c r="A342" s="250">
        <v>43523.00035</v>
      </c>
      <c r="B342" s="251" t="s">
        <v>2000</v>
      </c>
      <c r="C342" s="178" t="s">
        <v>2001</v>
      </c>
      <c r="D342" s="36">
        <v>106611.58732336397</v>
      </c>
      <c r="E342" s="36" t="s">
        <v>1683</v>
      </c>
      <c r="F342" s="178" t="s">
        <v>659</v>
      </c>
    </row>
    <row r="343">
      <c r="A343" s="250">
        <v>43523.00035</v>
      </c>
      <c r="B343" s="251" t="s">
        <v>1776</v>
      </c>
      <c r="C343" s="178" t="s">
        <v>1980</v>
      </c>
      <c r="D343" s="36" t="s">
        <v>1683</v>
      </c>
      <c r="E343" s="36">
        <v>106611.58732336397</v>
      </c>
      <c r="F343" s="178" t="s">
        <v>659</v>
      </c>
    </row>
    <row r="344">
      <c r="A344" s="250">
        <v>43524.0001</v>
      </c>
      <c r="B344" s="251" t="s">
        <v>1681</v>
      </c>
      <c r="C344" s="178" t="s">
        <v>2002</v>
      </c>
      <c r="D344" s="36">
        <v>900000.0</v>
      </c>
      <c r="E344" s="36" t="s">
        <v>1683</v>
      </c>
      <c r="F344" s="178" t="s">
        <v>227</v>
      </c>
    </row>
    <row r="345">
      <c r="A345" s="250">
        <v>43524.0001</v>
      </c>
      <c r="B345" s="251" t="s">
        <v>1684</v>
      </c>
      <c r="C345" s="178" t="s">
        <v>2003</v>
      </c>
      <c r="D345" s="36" t="s">
        <v>1683</v>
      </c>
      <c r="E345" s="36">
        <v>900000.0</v>
      </c>
      <c r="F345" s="178" t="s">
        <v>227</v>
      </c>
    </row>
    <row r="346">
      <c r="A346" s="250">
        <v>43524.0001</v>
      </c>
      <c r="B346" s="251" t="s">
        <v>2004</v>
      </c>
      <c r="C346" s="178" t="s">
        <v>2005</v>
      </c>
      <c r="D346" s="36">
        <v>900000.0</v>
      </c>
      <c r="E346" s="36" t="s">
        <v>1683</v>
      </c>
      <c r="F346" s="178" t="s">
        <v>227</v>
      </c>
    </row>
    <row r="347">
      <c r="A347" s="250">
        <v>43524.0001</v>
      </c>
      <c r="B347" s="251" t="s">
        <v>1688</v>
      </c>
      <c r="C347" s="178" t="s">
        <v>2002</v>
      </c>
      <c r="D347" s="36" t="s">
        <v>1683</v>
      </c>
      <c r="E347" s="36">
        <v>900000.0</v>
      </c>
      <c r="F347" s="178" t="s">
        <v>227</v>
      </c>
    </row>
    <row r="348">
      <c r="A348" s="250">
        <v>43527.00062</v>
      </c>
      <c r="B348" s="251" t="s">
        <v>1783</v>
      </c>
      <c r="C348" s="178" t="s">
        <v>2006</v>
      </c>
      <c r="D348" s="36">
        <v>670000.0</v>
      </c>
      <c r="E348" s="36" t="s">
        <v>1683</v>
      </c>
      <c r="F348" s="178" t="s">
        <v>283</v>
      </c>
    </row>
    <row r="349">
      <c r="A349" s="250">
        <v>43527.00062</v>
      </c>
      <c r="B349" s="251" t="s">
        <v>1684</v>
      </c>
      <c r="C349" s="178" t="s">
        <v>2007</v>
      </c>
      <c r="D349" s="36" t="s">
        <v>1683</v>
      </c>
      <c r="E349" s="36">
        <v>670000.0</v>
      </c>
      <c r="F349" s="178" t="s">
        <v>283</v>
      </c>
    </row>
    <row r="350">
      <c r="A350" s="250">
        <v>43527.00062</v>
      </c>
      <c r="B350" s="251" t="s">
        <v>2008</v>
      </c>
      <c r="C350" s="178" t="s">
        <v>2009</v>
      </c>
      <c r="D350" s="36">
        <v>670000.0</v>
      </c>
      <c r="E350" s="36" t="s">
        <v>1683</v>
      </c>
      <c r="F350" s="178" t="s">
        <v>283</v>
      </c>
    </row>
    <row r="351">
      <c r="A351" s="250">
        <v>43527.00062</v>
      </c>
      <c r="B351" s="251" t="s">
        <v>1802</v>
      </c>
      <c r="C351" s="178" t="s">
        <v>2006</v>
      </c>
      <c r="D351" s="36" t="s">
        <v>1683</v>
      </c>
      <c r="E351" s="36">
        <v>670000.0</v>
      </c>
      <c r="F351" s="178" t="s">
        <v>283</v>
      </c>
    </row>
    <row r="352">
      <c r="A352" s="250">
        <v>43530.663668263885</v>
      </c>
      <c r="B352" s="251" t="s">
        <v>1702</v>
      </c>
      <c r="C352" s="178" t="s">
        <v>2010</v>
      </c>
      <c r="D352" s="36">
        <v>495738.5</v>
      </c>
      <c r="E352" s="36" t="s">
        <v>1683</v>
      </c>
      <c r="F352" s="178" t="s">
        <v>70</v>
      </c>
    </row>
    <row r="353">
      <c r="A353" s="250">
        <v>43530.663668263885</v>
      </c>
      <c r="B353" s="251" t="s">
        <v>1684</v>
      </c>
      <c r="C353" s="178" t="s">
        <v>2011</v>
      </c>
      <c r="D353" s="36" t="s">
        <v>1683</v>
      </c>
      <c r="E353" s="36">
        <v>495738.5</v>
      </c>
      <c r="F353" s="178" t="s">
        <v>70</v>
      </c>
    </row>
    <row r="354">
      <c r="A354" s="250">
        <v>43530.66394465278</v>
      </c>
      <c r="B354" s="251" t="s">
        <v>1702</v>
      </c>
      <c r="C354" s="178" t="s">
        <v>2012</v>
      </c>
      <c r="D354" s="36">
        <v>495738.5</v>
      </c>
      <c r="E354" s="36" t="s">
        <v>1683</v>
      </c>
      <c r="F354" s="178" t="s">
        <v>70</v>
      </c>
    </row>
    <row r="355">
      <c r="A355" s="250">
        <v>43530.66394465278</v>
      </c>
      <c r="B355" s="251" t="s">
        <v>1684</v>
      </c>
      <c r="C355" s="178" t="s">
        <v>2013</v>
      </c>
      <c r="D355" s="36" t="s">
        <v>1683</v>
      </c>
      <c r="E355" s="36">
        <v>495738.5</v>
      </c>
      <c r="F355" s="178" t="s">
        <v>70</v>
      </c>
    </row>
    <row r="356">
      <c r="A356" s="250">
        <v>43533.69573206019</v>
      </c>
      <c r="B356" s="251" t="s">
        <v>1702</v>
      </c>
      <c r="C356" s="178" t="s">
        <v>2014</v>
      </c>
      <c r="D356" s="36">
        <v>579265.0</v>
      </c>
      <c r="E356" s="36" t="s">
        <v>1683</v>
      </c>
      <c r="F356" s="178" t="s">
        <v>446</v>
      </c>
    </row>
    <row r="357">
      <c r="A357" s="250">
        <v>43533.69573206019</v>
      </c>
      <c r="B357" s="251" t="s">
        <v>1684</v>
      </c>
      <c r="C357" s="178" t="s">
        <v>2015</v>
      </c>
      <c r="D357" s="36" t="s">
        <v>1683</v>
      </c>
      <c r="E357" s="36">
        <v>579265.0</v>
      </c>
      <c r="F357" s="178" t="s">
        <v>446</v>
      </c>
    </row>
    <row r="358">
      <c r="A358" s="250">
        <v>43535.64633960648</v>
      </c>
      <c r="B358" s="251" t="s">
        <v>2016</v>
      </c>
      <c r="C358" s="178" t="s">
        <v>2017</v>
      </c>
      <c r="D358" s="36">
        <v>32500.0</v>
      </c>
      <c r="E358" s="36" t="s">
        <v>1683</v>
      </c>
      <c r="F358" s="178" t="s">
        <v>67</v>
      </c>
    </row>
    <row r="359">
      <c r="A359" s="250">
        <v>43535.64633960648</v>
      </c>
      <c r="B359" s="251" t="s">
        <v>1684</v>
      </c>
      <c r="C359" s="178" t="s">
        <v>2018</v>
      </c>
      <c r="D359" s="36" t="s">
        <v>1683</v>
      </c>
      <c r="E359" s="36">
        <v>32500.0</v>
      </c>
      <c r="F359" s="178" t="s">
        <v>67</v>
      </c>
    </row>
    <row r="360">
      <c r="A360" s="250">
        <v>43535.64633960648</v>
      </c>
      <c r="B360" s="251" t="s">
        <v>1896</v>
      </c>
      <c r="C360" s="178" t="s">
        <v>2019</v>
      </c>
      <c r="D360" s="36">
        <v>32500.0</v>
      </c>
      <c r="E360" s="36" t="s">
        <v>1683</v>
      </c>
      <c r="F360" s="178" t="s">
        <v>67</v>
      </c>
    </row>
    <row r="361">
      <c r="A361" s="250">
        <v>43535.64633960648</v>
      </c>
      <c r="B361" s="251" t="s">
        <v>2020</v>
      </c>
      <c r="C361" s="178" t="s">
        <v>2017</v>
      </c>
      <c r="D361" s="36" t="s">
        <v>1683</v>
      </c>
      <c r="E361" s="36">
        <v>32500.0</v>
      </c>
      <c r="F361" s="178" t="s">
        <v>67</v>
      </c>
    </row>
    <row r="362">
      <c r="A362" s="250">
        <v>43536.47929773148</v>
      </c>
      <c r="B362" s="251" t="s">
        <v>1702</v>
      </c>
      <c r="C362" s="178" t="s">
        <v>2021</v>
      </c>
      <c r="D362" s="36">
        <v>338689.0</v>
      </c>
      <c r="E362" s="36" t="s">
        <v>1683</v>
      </c>
      <c r="F362" s="178" t="s">
        <v>445</v>
      </c>
    </row>
    <row r="363">
      <c r="A363" s="250">
        <v>43536.47929773148</v>
      </c>
      <c r="B363" s="251" t="s">
        <v>1684</v>
      </c>
      <c r="C363" s="178" t="s">
        <v>2022</v>
      </c>
      <c r="D363" s="36" t="s">
        <v>1683</v>
      </c>
      <c r="E363" s="36">
        <v>338689.0</v>
      </c>
      <c r="F363" s="178" t="s">
        <v>445</v>
      </c>
    </row>
    <row r="364">
      <c r="A364" s="250">
        <v>43536.48448277778</v>
      </c>
      <c r="B364" s="251" t="s">
        <v>2016</v>
      </c>
      <c r="C364" s="178" t="s">
        <v>2023</v>
      </c>
      <c r="D364" s="36">
        <v>117000.00000000001</v>
      </c>
      <c r="E364" s="36" t="s">
        <v>1683</v>
      </c>
      <c r="F364" s="178" t="s">
        <v>67</v>
      </c>
    </row>
    <row r="365">
      <c r="A365" s="250">
        <v>43536.48448277778</v>
      </c>
      <c r="B365" s="251" t="s">
        <v>1684</v>
      </c>
      <c r="C365" s="178" t="s">
        <v>2024</v>
      </c>
      <c r="D365" s="36" t="s">
        <v>1683</v>
      </c>
      <c r="E365" s="36">
        <v>117000.00000000001</v>
      </c>
      <c r="F365" s="178" t="s">
        <v>67</v>
      </c>
    </row>
    <row r="366">
      <c r="A366" s="250">
        <v>43536.48448277778</v>
      </c>
      <c r="B366" s="251" t="s">
        <v>1896</v>
      </c>
      <c r="C366" s="178" t="s">
        <v>2025</v>
      </c>
      <c r="D366" s="36">
        <v>117000.00000000001</v>
      </c>
      <c r="E366" s="36" t="s">
        <v>1683</v>
      </c>
      <c r="F366" s="178" t="s">
        <v>67</v>
      </c>
    </row>
    <row r="367">
      <c r="A367" s="250">
        <v>43536.48448277778</v>
      </c>
      <c r="B367" s="251" t="s">
        <v>2020</v>
      </c>
      <c r="C367" s="178" t="s">
        <v>2023</v>
      </c>
      <c r="D367" s="36" t="s">
        <v>1683</v>
      </c>
      <c r="E367" s="36">
        <v>117000.00000000001</v>
      </c>
      <c r="F367" s="178" t="s">
        <v>67</v>
      </c>
    </row>
    <row r="368">
      <c r="A368" s="250">
        <v>43543.73742743055</v>
      </c>
      <c r="B368" s="251" t="s">
        <v>1619</v>
      </c>
      <c r="C368" s="178" t="s">
        <v>2026</v>
      </c>
      <c r="D368" s="36">
        <v>50000.0</v>
      </c>
      <c r="E368" s="36" t="s">
        <v>1683</v>
      </c>
      <c r="F368" s="178" t="s">
        <v>1620</v>
      </c>
    </row>
    <row r="369">
      <c r="A369" s="250">
        <v>43543.73742743055</v>
      </c>
      <c r="B369" s="251" t="s">
        <v>1684</v>
      </c>
      <c r="C369" s="178" t="s">
        <v>2027</v>
      </c>
      <c r="D369" s="36" t="s">
        <v>1683</v>
      </c>
      <c r="E369" s="36">
        <v>50000.0</v>
      </c>
      <c r="F369" s="178" t="s">
        <v>1620</v>
      </c>
    </row>
    <row r="370">
      <c r="A370" s="250">
        <v>43543.8784434375</v>
      </c>
      <c r="B370" s="251" t="s">
        <v>1702</v>
      </c>
      <c r="C370" s="178" t="s">
        <v>2028</v>
      </c>
      <c r="D370" s="36">
        <v>209858.0</v>
      </c>
      <c r="E370" s="36" t="s">
        <v>1683</v>
      </c>
      <c r="F370" s="178" t="s">
        <v>658</v>
      </c>
    </row>
    <row r="371">
      <c r="A371" s="250">
        <v>43543.8784434375</v>
      </c>
      <c r="B371" s="251" t="s">
        <v>1684</v>
      </c>
      <c r="C371" s="178" t="s">
        <v>2029</v>
      </c>
      <c r="D371" s="36" t="s">
        <v>1683</v>
      </c>
      <c r="E371" s="36">
        <v>209858.0</v>
      </c>
      <c r="F371" s="178" t="s">
        <v>658</v>
      </c>
    </row>
    <row r="372">
      <c r="A372" s="250">
        <v>43544.6369133912</v>
      </c>
      <c r="B372" s="251" t="s">
        <v>1702</v>
      </c>
      <c r="C372" s="178" t="s">
        <v>2030</v>
      </c>
      <c r="D372" s="36">
        <v>314787.0</v>
      </c>
      <c r="E372" s="36" t="s">
        <v>1683</v>
      </c>
      <c r="F372" s="178" t="s">
        <v>657</v>
      </c>
    </row>
    <row r="373">
      <c r="A373" s="250">
        <v>43544.6369133912</v>
      </c>
      <c r="B373" s="251" t="s">
        <v>1684</v>
      </c>
      <c r="C373" s="178" t="s">
        <v>2031</v>
      </c>
      <c r="D373" s="36" t="s">
        <v>1683</v>
      </c>
      <c r="E373" s="36">
        <v>314787.0</v>
      </c>
      <c r="F373" s="178" t="s">
        <v>657</v>
      </c>
    </row>
    <row r="374">
      <c r="A374" s="250">
        <v>43548.362857858796</v>
      </c>
      <c r="B374" s="251" t="s">
        <v>1783</v>
      </c>
      <c r="C374" s="178" t="s">
        <v>2032</v>
      </c>
      <c r="D374" s="36">
        <v>32000.0</v>
      </c>
      <c r="E374" s="36" t="s">
        <v>1683</v>
      </c>
      <c r="F374" s="178" t="s">
        <v>954</v>
      </c>
    </row>
    <row r="375">
      <c r="A375" s="250">
        <v>43548.362857858796</v>
      </c>
      <c r="B375" s="251" t="s">
        <v>1684</v>
      </c>
      <c r="C375" s="178" t="s">
        <v>2033</v>
      </c>
      <c r="D375" s="36" t="s">
        <v>1683</v>
      </c>
      <c r="E375" s="36">
        <v>32000.0</v>
      </c>
      <c r="F375" s="178" t="s">
        <v>954</v>
      </c>
    </row>
    <row r="376">
      <c r="A376" s="250">
        <v>43548.36487806713</v>
      </c>
      <c r="B376" s="251" t="s">
        <v>1783</v>
      </c>
      <c r="C376" s="178" t="s">
        <v>2034</v>
      </c>
      <c r="D376" s="36">
        <v>33000.0</v>
      </c>
      <c r="E376" s="36" t="s">
        <v>1683</v>
      </c>
      <c r="F376" s="178" t="s">
        <v>953</v>
      </c>
    </row>
    <row r="377">
      <c r="A377" s="250">
        <v>43548.36487806713</v>
      </c>
      <c r="B377" s="251" t="s">
        <v>1684</v>
      </c>
      <c r="C377" s="178" t="s">
        <v>2035</v>
      </c>
      <c r="D377" s="36" t="s">
        <v>1683</v>
      </c>
      <c r="E377" s="36">
        <v>33000.0</v>
      </c>
      <c r="F377" s="178" t="s">
        <v>953</v>
      </c>
    </row>
    <row r="378">
      <c r="A378" s="250">
        <v>43550.00005</v>
      </c>
      <c r="B378" s="251" t="s">
        <v>2036</v>
      </c>
      <c r="C378" s="178" t="s">
        <v>2037</v>
      </c>
      <c r="D378" s="36">
        <v>57994.218101083876</v>
      </c>
      <c r="E378" s="36" t="s">
        <v>1683</v>
      </c>
      <c r="F378" s="178" t="s">
        <v>1683</v>
      </c>
    </row>
    <row r="379">
      <c r="A379" s="250">
        <v>43550.00005</v>
      </c>
      <c r="B379" s="251" t="s">
        <v>2038</v>
      </c>
      <c r="C379" s="178" t="s">
        <v>2039</v>
      </c>
      <c r="D379" s="36" t="s">
        <v>1683</v>
      </c>
      <c r="E379" s="36">
        <v>57994.218101083876</v>
      </c>
      <c r="F379" s="178" t="s">
        <v>1683</v>
      </c>
    </row>
    <row r="380">
      <c r="A380" s="250">
        <v>43550.00032</v>
      </c>
      <c r="B380" s="251" t="s">
        <v>1896</v>
      </c>
      <c r="C380" s="178" t="s">
        <v>2040</v>
      </c>
      <c r="D380" s="36">
        <v>495738.5</v>
      </c>
      <c r="E380" s="36" t="s">
        <v>1683</v>
      </c>
      <c r="F380" s="178" t="s">
        <v>70</v>
      </c>
    </row>
    <row r="381">
      <c r="A381" s="250">
        <v>43550.00032</v>
      </c>
      <c r="B381" s="251" t="s">
        <v>1776</v>
      </c>
      <c r="C381" s="178" t="s">
        <v>2010</v>
      </c>
      <c r="D381" s="36" t="s">
        <v>1683</v>
      </c>
      <c r="E381" s="36">
        <v>495738.5</v>
      </c>
      <c r="F381" s="178" t="s">
        <v>70</v>
      </c>
    </row>
    <row r="382">
      <c r="A382" s="250">
        <v>43550.00047</v>
      </c>
      <c r="B382" s="251" t="s">
        <v>1846</v>
      </c>
      <c r="C382" s="178" t="s">
        <v>2041</v>
      </c>
      <c r="D382" s="36">
        <v>33000.0</v>
      </c>
      <c r="E382" s="36" t="s">
        <v>1683</v>
      </c>
      <c r="F382" s="178" t="s">
        <v>953</v>
      </c>
    </row>
    <row r="383">
      <c r="A383" s="250">
        <v>43550.00047</v>
      </c>
      <c r="B383" s="251" t="s">
        <v>1802</v>
      </c>
      <c r="C383" s="178" t="s">
        <v>2034</v>
      </c>
      <c r="D383" s="36" t="s">
        <v>1683</v>
      </c>
      <c r="E383" s="36">
        <v>33000.0</v>
      </c>
      <c r="F383" s="178" t="s">
        <v>953</v>
      </c>
    </row>
    <row r="384">
      <c r="A384" s="250">
        <v>43550.00062</v>
      </c>
      <c r="B384" s="251" t="s">
        <v>1930</v>
      </c>
      <c r="C384" s="178" t="s">
        <v>2042</v>
      </c>
      <c r="D384" s="36">
        <v>495738.5</v>
      </c>
      <c r="E384" s="36" t="s">
        <v>1683</v>
      </c>
      <c r="F384" s="178" t="s">
        <v>70</v>
      </c>
    </row>
    <row r="385">
      <c r="A385" s="250">
        <v>43550.00062</v>
      </c>
      <c r="B385" s="251" t="s">
        <v>1776</v>
      </c>
      <c r="C385" s="178" t="s">
        <v>2012</v>
      </c>
      <c r="D385" s="36" t="s">
        <v>1683</v>
      </c>
      <c r="E385" s="36">
        <v>495738.5</v>
      </c>
      <c r="F385" s="178" t="s">
        <v>70</v>
      </c>
    </row>
    <row r="386">
      <c r="A386" s="250">
        <v>43550.799801608795</v>
      </c>
      <c r="B386" s="251" t="s">
        <v>1844</v>
      </c>
      <c r="C386" s="178" t="s">
        <v>2043</v>
      </c>
      <c r="D386" s="36">
        <v>29349.42666666669</v>
      </c>
      <c r="E386" s="36" t="s">
        <v>1683</v>
      </c>
      <c r="F386" s="178" t="s">
        <v>1683</v>
      </c>
    </row>
    <row r="387">
      <c r="A387" s="250">
        <v>43550.799801608795</v>
      </c>
      <c r="B387" s="251" t="s">
        <v>2044</v>
      </c>
      <c r="C387" s="178" t="s">
        <v>2045</v>
      </c>
      <c r="D387" s="36" t="s">
        <v>1683</v>
      </c>
      <c r="E387" s="36">
        <v>29349.42666666669</v>
      </c>
      <c r="F387" s="178" t="s">
        <v>1683</v>
      </c>
    </row>
    <row r="388">
      <c r="A388" s="250">
        <v>43550.813222662044</v>
      </c>
      <c r="B388" s="251" t="s">
        <v>1846</v>
      </c>
      <c r="C388" s="178" t="s">
        <v>2046</v>
      </c>
      <c r="D388" s="36">
        <v>4192.324726260435</v>
      </c>
      <c r="E388" s="36" t="s">
        <v>1683</v>
      </c>
      <c r="F388" s="178" t="s">
        <v>1683</v>
      </c>
    </row>
    <row r="389">
      <c r="A389" s="250">
        <v>43550.813222662044</v>
      </c>
      <c r="B389" s="251" t="s">
        <v>2047</v>
      </c>
      <c r="C389" s="178" t="s">
        <v>2048</v>
      </c>
      <c r="D389" s="36" t="s">
        <v>1683</v>
      </c>
      <c r="E389" s="36">
        <v>4192.324726260435</v>
      </c>
      <c r="F389" s="178" t="s">
        <v>1683</v>
      </c>
    </row>
    <row r="390">
      <c r="A390" s="250">
        <v>43550.81447244213</v>
      </c>
      <c r="B390" s="251" t="s">
        <v>2049</v>
      </c>
      <c r="C390" s="178" t="s">
        <v>2050</v>
      </c>
      <c r="D390" s="36">
        <v>1279.339047880368</v>
      </c>
      <c r="E390" s="36" t="s">
        <v>1683</v>
      </c>
      <c r="F390" s="178" t="s">
        <v>1683</v>
      </c>
    </row>
    <row r="391">
      <c r="A391" s="250">
        <v>43550.81447244213</v>
      </c>
      <c r="B391" s="251" t="s">
        <v>2051</v>
      </c>
      <c r="C391" s="178" t="s">
        <v>2052</v>
      </c>
      <c r="D391" s="36" t="s">
        <v>1683</v>
      </c>
      <c r="E391" s="36">
        <v>1279.339047880368</v>
      </c>
      <c r="F391" s="178" t="s">
        <v>1683</v>
      </c>
    </row>
    <row r="392">
      <c r="A392" s="250">
        <v>43550.81505489584</v>
      </c>
      <c r="B392" s="251" t="s">
        <v>2053</v>
      </c>
      <c r="C392" s="178" t="s">
        <v>2054</v>
      </c>
      <c r="D392" s="36">
        <v>5272.201645553079</v>
      </c>
      <c r="E392" s="36" t="s">
        <v>1683</v>
      </c>
      <c r="F392" s="178" t="s">
        <v>1683</v>
      </c>
    </row>
    <row r="393">
      <c r="A393" s="250">
        <v>43550.81505489584</v>
      </c>
      <c r="B393" s="251" t="s">
        <v>2055</v>
      </c>
      <c r="C393" s="178" t="s">
        <v>2056</v>
      </c>
      <c r="D393" s="36" t="s">
        <v>1683</v>
      </c>
      <c r="E393" s="36">
        <v>5272.201645553079</v>
      </c>
      <c r="F393" s="178" t="s">
        <v>1683</v>
      </c>
    </row>
    <row r="394">
      <c r="A394" s="250">
        <v>43551.00048</v>
      </c>
      <c r="B394" s="251" t="s">
        <v>1846</v>
      </c>
      <c r="C394" s="178" t="s">
        <v>2057</v>
      </c>
      <c r="D394" s="36">
        <v>32000.0</v>
      </c>
      <c r="E394" s="36" t="s">
        <v>1683</v>
      </c>
      <c r="F394" s="178" t="s">
        <v>954</v>
      </c>
    </row>
    <row r="395">
      <c r="A395" s="250">
        <v>43551.00048</v>
      </c>
      <c r="B395" s="251" t="s">
        <v>1802</v>
      </c>
      <c r="C395" s="178" t="s">
        <v>2032</v>
      </c>
      <c r="D395" s="36" t="s">
        <v>1683</v>
      </c>
      <c r="E395" s="36">
        <v>32000.0</v>
      </c>
      <c r="F395" s="178" t="s">
        <v>954</v>
      </c>
    </row>
    <row r="396">
      <c r="A396" s="250">
        <v>43551.91447857639</v>
      </c>
      <c r="B396" s="251" t="s">
        <v>1693</v>
      </c>
      <c r="C396" s="178" t="s">
        <v>2058</v>
      </c>
      <c r="D396" s="36">
        <v>103764.0</v>
      </c>
      <c r="E396" s="36" t="s">
        <v>1683</v>
      </c>
      <c r="F396" s="178" t="s">
        <v>575</v>
      </c>
    </row>
    <row r="397">
      <c r="A397" s="250">
        <v>43551.91447857639</v>
      </c>
      <c r="B397" s="251" t="s">
        <v>1684</v>
      </c>
      <c r="C397" s="178" t="s">
        <v>2059</v>
      </c>
      <c r="D397" s="36" t="s">
        <v>1683</v>
      </c>
      <c r="E397" s="36">
        <v>103764.0</v>
      </c>
      <c r="F397" s="178" t="s">
        <v>575</v>
      </c>
    </row>
    <row r="398">
      <c r="A398" s="250">
        <v>43552.0001</v>
      </c>
      <c r="B398" s="251" t="s">
        <v>2060</v>
      </c>
      <c r="C398" s="178" t="s">
        <v>2061</v>
      </c>
      <c r="D398" s="36">
        <v>42471.2827548361</v>
      </c>
      <c r="E398" s="36" t="s">
        <v>1683</v>
      </c>
      <c r="F398" s="178" t="s">
        <v>1683</v>
      </c>
    </row>
    <row r="399">
      <c r="A399" s="250">
        <v>43552.0001</v>
      </c>
      <c r="B399" s="251" t="s">
        <v>2062</v>
      </c>
      <c r="C399" s="178" t="s">
        <v>2063</v>
      </c>
      <c r="D399" s="36" t="s">
        <v>1683</v>
      </c>
      <c r="E399" s="36">
        <v>42471.2827548361</v>
      </c>
      <c r="F399" s="178" t="s">
        <v>1683</v>
      </c>
    </row>
    <row r="400">
      <c r="A400" s="250">
        <v>43552.00011</v>
      </c>
      <c r="B400" s="251" t="s">
        <v>2064</v>
      </c>
      <c r="C400" s="178" t="s">
        <v>2065</v>
      </c>
      <c r="D400" s="36">
        <v>37471.2827548361</v>
      </c>
      <c r="E400" s="36" t="s">
        <v>1683</v>
      </c>
      <c r="F400" s="178" t="s">
        <v>1683</v>
      </c>
    </row>
    <row r="401">
      <c r="A401" s="250">
        <v>43552.00011</v>
      </c>
      <c r="B401" s="251" t="s">
        <v>2066</v>
      </c>
      <c r="C401" s="178" t="s">
        <v>2067</v>
      </c>
      <c r="D401" s="36" t="s">
        <v>1683</v>
      </c>
      <c r="E401" s="36">
        <v>37471.2827548361</v>
      </c>
      <c r="F401" s="178" t="s">
        <v>1683</v>
      </c>
    </row>
    <row r="402">
      <c r="A402" s="250">
        <v>43552.00012</v>
      </c>
      <c r="B402" s="251" t="s">
        <v>2068</v>
      </c>
      <c r="C402" s="178" t="s">
        <v>2069</v>
      </c>
      <c r="D402" s="36">
        <v>5000.0</v>
      </c>
      <c r="E402" s="36" t="s">
        <v>1683</v>
      </c>
      <c r="F402" s="178" t="s">
        <v>1683</v>
      </c>
    </row>
    <row r="403">
      <c r="A403" s="250">
        <v>43552.00012</v>
      </c>
      <c r="B403" s="251" t="s">
        <v>2070</v>
      </c>
      <c r="C403" s="178" t="s">
        <v>2071</v>
      </c>
      <c r="D403" s="36" t="s">
        <v>1683</v>
      </c>
      <c r="E403" s="36">
        <v>5000.0</v>
      </c>
      <c r="F403" s="178" t="s">
        <v>1683</v>
      </c>
    </row>
    <row r="404">
      <c r="A404" s="250">
        <v>43552.00013</v>
      </c>
      <c r="B404" s="251" t="s">
        <v>2060</v>
      </c>
      <c r="C404" s="178" t="s">
        <v>2072</v>
      </c>
      <c r="D404" s="36">
        <v>44927.11</v>
      </c>
      <c r="E404" s="36" t="s">
        <v>1683</v>
      </c>
      <c r="F404" s="178" t="s">
        <v>1683</v>
      </c>
    </row>
    <row r="405">
      <c r="A405" s="250">
        <v>43552.00013</v>
      </c>
      <c r="B405" s="251" t="s">
        <v>2062</v>
      </c>
      <c r="C405" s="178" t="s">
        <v>2073</v>
      </c>
      <c r="D405" s="36" t="s">
        <v>1683</v>
      </c>
      <c r="E405" s="36">
        <v>44927.11</v>
      </c>
      <c r="F405" s="178" t="s">
        <v>1683</v>
      </c>
    </row>
    <row r="406">
      <c r="A406" s="250">
        <v>43552.00014</v>
      </c>
      <c r="B406" s="251" t="s">
        <v>2064</v>
      </c>
      <c r="C406" s="178" t="s">
        <v>2074</v>
      </c>
      <c r="D406" s="36">
        <v>39927.11</v>
      </c>
      <c r="E406" s="36" t="s">
        <v>1683</v>
      </c>
      <c r="F406" s="178" t="s">
        <v>1683</v>
      </c>
    </row>
    <row r="407">
      <c r="A407" s="250">
        <v>43552.00014</v>
      </c>
      <c r="B407" s="251" t="s">
        <v>2066</v>
      </c>
      <c r="C407" s="178" t="s">
        <v>2075</v>
      </c>
      <c r="D407" s="36" t="s">
        <v>1683</v>
      </c>
      <c r="E407" s="36">
        <v>39927.11</v>
      </c>
      <c r="F407" s="178" t="s">
        <v>1683</v>
      </c>
    </row>
    <row r="408">
      <c r="A408" s="250">
        <v>43552.00015</v>
      </c>
      <c r="B408" s="251" t="s">
        <v>2068</v>
      </c>
      <c r="C408" s="178" t="s">
        <v>2076</v>
      </c>
      <c r="D408" s="36">
        <v>5000.0</v>
      </c>
      <c r="E408" s="36" t="s">
        <v>1683</v>
      </c>
      <c r="F408" s="178" t="s">
        <v>1683</v>
      </c>
    </row>
    <row r="409">
      <c r="A409" s="250">
        <v>43552.00015</v>
      </c>
      <c r="B409" s="251" t="s">
        <v>2070</v>
      </c>
      <c r="C409" s="178" t="s">
        <v>2077</v>
      </c>
      <c r="D409" s="36" t="s">
        <v>1683</v>
      </c>
      <c r="E409" s="36">
        <v>5000.0</v>
      </c>
      <c r="F409" s="178" t="s">
        <v>1683</v>
      </c>
    </row>
    <row r="410">
      <c r="A410" s="250">
        <v>43552.00075</v>
      </c>
      <c r="B410" s="251" t="s">
        <v>2078</v>
      </c>
      <c r="C410" s="178" t="s">
        <v>2079</v>
      </c>
      <c r="D410" s="36">
        <v>42471.28275483606</v>
      </c>
      <c r="E410" s="36" t="s">
        <v>1683</v>
      </c>
      <c r="F410" s="178" t="s">
        <v>192</v>
      </c>
    </row>
    <row r="411">
      <c r="A411" s="250">
        <v>43552.00075</v>
      </c>
      <c r="B411" s="251" t="s">
        <v>1776</v>
      </c>
      <c r="C411" s="178" t="s">
        <v>1982</v>
      </c>
      <c r="D411" s="36" t="s">
        <v>1683</v>
      </c>
      <c r="E411" s="36">
        <v>42471.28275483606</v>
      </c>
      <c r="F411" s="178" t="s">
        <v>192</v>
      </c>
    </row>
    <row r="412">
      <c r="A412" s="250">
        <v>43552.00077</v>
      </c>
      <c r="B412" s="251" t="s">
        <v>2078</v>
      </c>
      <c r="C412" s="178" t="s">
        <v>2080</v>
      </c>
      <c r="D412" s="36">
        <v>44927.10522705447</v>
      </c>
      <c r="E412" s="36" t="s">
        <v>1683</v>
      </c>
      <c r="F412" s="178" t="s">
        <v>194</v>
      </c>
    </row>
    <row r="413">
      <c r="A413" s="250">
        <v>43552.00077</v>
      </c>
      <c r="B413" s="251" t="s">
        <v>1776</v>
      </c>
      <c r="C413" s="178" t="s">
        <v>1986</v>
      </c>
      <c r="D413" s="36" t="s">
        <v>1683</v>
      </c>
      <c r="E413" s="36">
        <v>44927.10522705447</v>
      </c>
      <c r="F413" s="178" t="s">
        <v>194</v>
      </c>
    </row>
    <row r="414">
      <c r="A414" s="250">
        <v>43553.00005</v>
      </c>
      <c r="B414" s="251" t="s">
        <v>1844</v>
      </c>
      <c r="C414" s="178" t="s">
        <v>2081</v>
      </c>
      <c r="D414" s="36">
        <v>579265.0</v>
      </c>
      <c r="E414" s="36" t="s">
        <v>1683</v>
      </c>
      <c r="F414" s="178" t="s">
        <v>446</v>
      </c>
    </row>
    <row r="415">
      <c r="A415" s="250">
        <v>43553.00005</v>
      </c>
      <c r="B415" s="251" t="s">
        <v>1776</v>
      </c>
      <c r="C415" s="178" t="s">
        <v>2014</v>
      </c>
      <c r="D415" s="36" t="s">
        <v>1683</v>
      </c>
      <c r="E415" s="36">
        <v>579265.0</v>
      </c>
      <c r="F415" s="178" t="s">
        <v>446</v>
      </c>
    </row>
    <row r="416">
      <c r="A416" s="250">
        <v>43553.84513274306</v>
      </c>
      <c r="B416" s="251" t="s">
        <v>1702</v>
      </c>
      <c r="C416" s="178" t="s">
        <v>2082</v>
      </c>
      <c r="D416" s="36">
        <v>267625.0</v>
      </c>
      <c r="E416" s="36" t="s">
        <v>1683</v>
      </c>
      <c r="F416" s="178" t="s">
        <v>191</v>
      </c>
    </row>
    <row r="417">
      <c r="A417" s="250">
        <v>43553.84513274306</v>
      </c>
      <c r="B417" s="251" t="s">
        <v>1684</v>
      </c>
      <c r="C417" s="178" t="s">
        <v>2083</v>
      </c>
      <c r="D417" s="36" t="s">
        <v>1683</v>
      </c>
      <c r="E417" s="36">
        <v>267625.0</v>
      </c>
      <c r="F417" s="178" t="s">
        <v>191</v>
      </c>
    </row>
    <row r="418">
      <c r="A418" s="250">
        <v>43553.87732480324</v>
      </c>
      <c r="B418" s="251" t="s">
        <v>1702</v>
      </c>
      <c r="C418" s="178" t="s">
        <v>2084</v>
      </c>
      <c r="D418" s="36">
        <v>509823.0</v>
      </c>
      <c r="E418" s="36" t="s">
        <v>1683</v>
      </c>
      <c r="F418" s="178" t="s">
        <v>196</v>
      </c>
    </row>
    <row r="419">
      <c r="A419" s="250">
        <v>43553.87732480324</v>
      </c>
      <c r="B419" s="251" t="s">
        <v>1684</v>
      </c>
      <c r="C419" s="178" t="s">
        <v>2085</v>
      </c>
      <c r="D419" s="36" t="s">
        <v>1683</v>
      </c>
      <c r="E419" s="36">
        <v>509823.0</v>
      </c>
      <c r="F419" s="178" t="s">
        <v>196</v>
      </c>
    </row>
    <row r="420">
      <c r="A420" s="250">
        <v>43554.00013</v>
      </c>
      <c r="B420" s="251" t="s">
        <v>1611</v>
      </c>
      <c r="C420" s="178" t="s">
        <v>2086</v>
      </c>
      <c r="D420" s="36">
        <v>51000.0</v>
      </c>
      <c r="E420" s="36" t="s">
        <v>1683</v>
      </c>
      <c r="F420" s="178" t="s">
        <v>1621</v>
      </c>
    </row>
    <row r="421">
      <c r="A421" s="250">
        <v>43554.00013</v>
      </c>
      <c r="B421" s="251" t="s">
        <v>1684</v>
      </c>
      <c r="C421" s="178" t="s">
        <v>2087</v>
      </c>
      <c r="D421" s="36" t="s">
        <v>1683</v>
      </c>
      <c r="E421" s="36">
        <v>51000.0</v>
      </c>
      <c r="F421" s="178" t="s">
        <v>1621</v>
      </c>
    </row>
    <row r="422">
      <c r="A422" s="250">
        <v>43554.00053</v>
      </c>
      <c r="B422" s="251" t="s">
        <v>1681</v>
      </c>
      <c r="C422" s="178" t="s">
        <v>2088</v>
      </c>
      <c r="D422" s="36">
        <v>147000.0</v>
      </c>
      <c r="E422" s="36" t="s">
        <v>1683</v>
      </c>
      <c r="F422" s="178" t="s">
        <v>92</v>
      </c>
    </row>
    <row r="423">
      <c r="A423" s="250">
        <v>43554.00053</v>
      </c>
      <c r="B423" s="251" t="s">
        <v>1684</v>
      </c>
      <c r="C423" s="178" t="s">
        <v>2089</v>
      </c>
      <c r="D423" s="36" t="s">
        <v>1683</v>
      </c>
      <c r="E423" s="36">
        <v>147000.0</v>
      </c>
      <c r="F423" s="178" t="s">
        <v>92</v>
      </c>
    </row>
    <row r="424">
      <c r="A424" s="250">
        <v>43559.00017</v>
      </c>
      <c r="B424" s="251" t="s">
        <v>2060</v>
      </c>
      <c r="C424" s="178" t="s">
        <v>2090</v>
      </c>
      <c r="D424" s="36">
        <v>46371.7066813006</v>
      </c>
      <c r="E424" s="36" t="s">
        <v>1683</v>
      </c>
      <c r="F424" s="178" t="s">
        <v>1683</v>
      </c>
    </row>
    <row r="425">
      <c r="A425" s="250">
        <v>43559.00017</v>
      </c>
      <c r="B425" s="251" t="s">
        <v>2062</v>
      </c>
      <c r="C425" s="178" t="s">
        <v>2091</v>
      </c>
      <c r="D425" s="36" t="s">
        <v>1683</v>
      </c>
      <c r="E425" s="36">
        <v>46371.7066813006</v>
      </c>
      <c r="F425" s="178" t="s">
        <v>1683</v>
      </c>
    </row>
    <row r="426">
      <c r="A426" s="250">
        <v>43559.00018</v>
      </c>
      <c r="B426" s="251" t="s">
        <v>2064</v>
      </c>
      <c r="C426" s="178" t="s">
        <v>2092</v>
      </c>
      <c r="D426" s="36">
        <v>41371.7066813006</v>
      </c>
      <c r="E426" s="36" t="s">
        <v>1683</v>
      </c>
      <c r="F426" s="178" t="s">
        <v>1683</v>
      </c>
    </row>
    <row r="427">
      <c r="A427" s="250">
        <v>43559.00018</v>
      </c>
      <c r="B427" s="251" t="s">
        <v>2066</v>
      </c>
      <c r="C427" s="178" t="s">
        <v>2093</v>
      </c>
      <c r="D427" s="36" t="s">
        <v>1683</v>
      </c>
      <c r="E427" s="36">
        <v>41371.7066813006</v>
      </c>
      <c r="F427" s="178" t="s">
        <v>1683</v>
      </c>
    </row>
    <row r="428">
      <c r="A428" s="250">
        <v>43559.00019</v>
      </c>
      <c r="B428" s="251" t="s">
        <v>2068</v>
      </c>
      <c r="C428" s="178" t="s">
        <v>2094</v>
      </c>
      <c r="D428" s="36">
        <v>5000.0</v>
      </c>
      <c r="E428" s="36" t="s">
        <v>1683</v>
      </c>
      <c r="F428" s="178" t="s">
        <v>1683</v>
      </c>
    </row>
    <row r="429">
      <c r="A429" s="250">
        <v>43559.00019</v>
      </c>
      <c r="B429" s="251" t="s">
        <v>2070</v>
      </c>
      <c r="C429" s="178" t="s">
        <v>2095</v>
      </c>
      <c r="D429" s="36" t="s">
        <v>1683</v>
      </c>
      <c r="E429" s="36">
        <v>5000.0</v>
      </c>
      <c r="F429" s="178" t="s">
        <v>1683</v>
      </c>
    </row>
    <row r="430">
      <c r="A430" s="250">
        <v>43559.00076</v>
      </c>
      <c r="B430" s="251" t="s">
        <v>2078</v>
      </c>
      <c r="C430" s="178" t="s">
        <v>2096</v>
      </c>
      <c r="D430" s="36">
        <v>46371.706681300595</v>
      </c>
      <c r="E430" s="36" t="s">
        <v>1683</v>
      </c>
      <c r="F430" s="178" t="s">
        <v>193</v>
      </c>
    </row>
    <row r="431">
      <c r="A431" s="250">
        <v>43559.00076</v>
      </c>
      <c r="B431" s="251" t="s">
        <v>1776</v>
      </c>
      <c r="C431" s="178" t="s">
        <v>1984</v>
      </c>
      <c r="D431" s="36" t="s">
        <v>1683</v>
      </c>
      <c r="E431" s="36">
        <v>46371.706681300595</v>
      </c>
      <c r="F431" s="178" t="s">
        <v>193</v>
      </c>
    </row>
    <row r="432">
      <c r="A432" s="250">
        <v>43560.85689372686</v>
      </c>
      <c r="B432" s="251" t="s">
        <v>1786</v>
      </c>
      <c r="C432" s="178" t="s">
        <v>2097</v>
      </c>
      <c r="D432" s="36">
        <v>103764.0</v>
      </c>
      <c r="E432" s="36" t="s">
        <v>1683</v>
      </c>
      <c r="F432" s="178" t="s">
        <v>575</v>
      </c>
    </row>
    <row r="433">
      <c r="A433" s="250">
        <v>43560.85689372686</v>
      </c>
      <c r="B433" s="251" t="s">
        <v>1698</v>
      </c>
      <c r="C433" s="178" t="s">
        <v>2058</v>
      </c>
      <c r="D433" s="36" t="s">
        <v>1683</v>
      </c>
      <c r="E433" s="36">
        <v>103764.0</v>
      </c>
      <c r="F433" s="178" t="s">
        <v>575</v>
      </c>
    </row>
    <row r="434">
      <c r="A434" s="250">
        <v>43561.470991539354</v>
      </c>
      <c r="B434" s="251" t="s">
        <v>2016</v>
      </c>
      <c r="C434" s="178" t="s">
        <v>2098</v>
      </c>
      <c r="D434" s="36">
        <v>200000.0</v>
      </c>
      <c r="E434" s="36" t="s">
        <v>1683</v>
      </c>
      <c r="F434" s="178" t="s">
        <v>67</v>
      </c>
    </row>
    <row r="435">
      <c r="A435" s="250">
        <v>43561.470991539354</v>
      </c>
      <c r="B435" s="251" t="s">
        <v>1684</v>
      </c>
      <c r="C435" s="178" t="s">
        <v>2099</v>
      </c>
      <c r="D435" s="36" t="s">
        <v>1683</v>
      </c>
      <c r="E435" s="36">
        <v>200000.0</v>
      </c>
      <c r="F435" s="178" t="s">
        <v>67</v>
      </c>
    </row>
    <row r="436">
      <c r="A436" s="250">
        <v>43561.470991539354</v>
      </c>
      <c r="B436" s="251" t="s">
        <v>1927</v>
      </c>
      <c r="C436" s="178" t="s">
        <v>2100</v>
      </c>
      <c r="D436" s="36">
        <v>200000.0</v>
      </c>
      <c r="E436" s="36" t="s">
        <v>1683</v>
      </c>
      <c r="F436" s="178" t="s">
        <v>67</v>
      </c>
    </row>
    <row r="437">
      <c r="A437" s="250">
        <v>43561.470991539354</v>
      </c>
      <c r="B437" s="251" t="s">
        <v>2020</v>
      </c>
      <c r="C437" s="178" t="s">
        <v>2098</v>
      </c>
      <c r="D437" s="36" t="s">
        <v>1683</v>
      </c>
      <c r="E437" s="36">
        <v>200000.0</v>
      </c>
      <c r="F437" s="178" t="s">
        <v>67</v>
      </c>
    </row>
    <row r="438">
      <c r="A438" s="250">
        <v>43563.0002</v>
      </c>
      <c r="B438" s="251" t="s">
        <v>2101</v>
      </c>
      <c r="C438" s="178" t="s">
        <v>2102</v>
      </c>
      <c r="D438" s="36">
        <v>509822.9999999994</v>
      </c>
      <c r="E438" s="36" t="s">
        <v>1683</v>
      </c>
      <c r="F438" s="178" t="s">
        <v>1683</v>
      </c>
    </row>
    <row r="439">
      <c r="A439" s="250">
        <v>43563.0002</v>
      </c>
      <c r="B439" s="251" t="s">
        <v>2103</v>
      </c>
      <c r="C439" s="178" t="s">
        <v>2104</v>
      </c>
      <c r="D439" s="36" t="s">
        <v>1683</v>
      </c>
      <c r="E439" s="36">
        <v>509822.9999999994</v>
      </c>
      <c r="F439" s="178" t="s">
        <v>1683</v>
      </c>
    </row>
    <row r="440">
      <c r="A440" s="250">
        <v>43563.00021</v>
      </c>
      <c r="B440" s="251" t="s">
        <v>2064</v>
      </c>
      <c r="C440" s="178" t="s">
        <v>2105</v>
      </c>
      <c r="D440" s="36">
        <v>444822.9999999994</v>
      </c>
      <c r="E440" s="36" t="s">
        <v>1683</v>
      </c>
      <c r="F440" s="178" t="s">
        <v>1683</v>
      </c>
    </row>
    <row r="441">
      <c r="A441" s="250">
        <v>43563.00021</v>
      </c>
      <c r="B441" s="251" t="s">
        <v>2066</v>
      </c>
      <c r="C441" s="178" t="s">
        <v>2106</v>
      </c>
      <c r="D441" s="36" t="s">
        <v>1683</v>
      </c>
      <c r="E441" s="36">
        <v>444822.9999999994</v>
      </c>
      <c r="F441" s="178" t="s">
        <v>1683</v>
      </c>
    </row>
    <row r="442">
      <c r="A442" s="250">
        <v>43563.00022</v>
      </c>
      <c r="B442" s="251" t="s">
        <v>2107</v>
      </c>
      <c r="C442" s="178" t="s">
        <v>2108</v>
      </c>
      <c r="D442" s="36">
        <v>65000.0</v>
      </c>
      <c r="E442" s="36" t="s">
        <v>1683</v>
      </c>
      <c r="F442" s="178" t="s">
        <v>1683</v>
      </c>
    </row>
    <row r="443">
      <c r="A443" s="250">
        <v>43563.00022</v>
      </c>
      <c r="B443" s="251" t="s">
        <v>2109</v>
      </c>
      <c r="C443" s="178" t="s">
        <v>2110</v>
      </c>
      <c r="D443" s="36" t="s">
        <v>1683</v>
      </c>
      <c r="E443" s="36">
        <v>65000.0</v>
      </c>
      <c r="F443" s="178" t="s">
        <v>1683</v>
      </c>
    </row>
    <row r="444">
      <c r="A444" s="250">
        <v>43563.00033</v>
      </c>
      <c r="B444" s="251" t="s">
        <v>2000</v>
      </c>
      <c r="C444" s="178" t="s">
        <v>2111</v>
      </c>
      <c r="D444" s="36">
        <v>314787.0</v>
      </c>
      <c r="E444" s="36" t="s">
        <v>1683</v>
      </c>
      <c r="F444" s="178" t="s">
        <v>657</v>
      </c>
    </row>
    <row r="445">
      <c r="A445" s="250">
        <v>43563.00033</v>
      </c>
      <c r="B445" s="251" t="s">
        <v>1776</v>
      </c>
      <c r="C445" s="178" t="s">
        <v>2030</v>
      </c>
      <c r="D445" s="36" t="s">
        <v>1683</v>
      </c>
      <c r="E445" s="36">
        <v>314787.0</v>
      </c>
      <c r="F445" s="178" t="s">
        <v>657</v>
      </c>
    </row>
    <row r="446">
      <c r="A446" s="250">
        <v>43563.00053</v>
      </c>
      <c r="B446" s="251" t="s">
        <v>2112</v>
      </c>
      <c r="C446" s="178" t="s">
        <v>2113</v>
      </c>
      <c r="D446" s="36">
        <v>147000.0</v>
      </c>
      <c r="E446" s="36" t="s">
        <v>1683</v>
      </c>
      <c r="F446" s="178" t="s">
        <v>92</v>
      </c>
    </row>
    <row r="447">
      <c r="A447" s="250">
        <v>43563.00053</v>
      </c>
      <c r="B447" s="251" t="s">
        <v>1688</v>
      </c>
      <c r="C447" s="178" t="s">
        <v>2088</v>
      </c>
      <c r="D447" s="36" t="s">
        <v>1683</v>
      </c>
      <c r="E447" s="36">
        <v>147000.0</v>
      </c>
      <c r="F447" s="178" t="s">
        <v>92</v>
      </c>
    </row>
    <row r="448">
      <c r="A448" s="250">
        <v>43563.00078</v>
      </c>
      <c r="B448" s="251" t="s">
        <v>2114</v>
      </c>
      <c r="C448" s="178" t="s">
        <v>2115</v>
      </c>
      <c r="D448" s="36">
        <v>509823.0</v>
      </c>
      <c r="E448" s="36" t="s">
        <v>1683</v>
      </c>
      <c r="F448" s="178" t="s">
        <v>196</v>
      </c>
    </row>
    <row r="449">
      <c r="A449" s="250">
        <v>43563.00078</v>
      </c>
      <c r="B449" s="251" t="s">
        <v>1776</v>
      </c>
      <c r="C449" s="178" t="s">
        <v>2084</v>
      </c>
      <c r="D449" s="36" t="s">
        <v>1683</v>
      </c>
      <c r="E449" s="36">
        <v>509823.0</v>
      </c>
      <c r="F449" s="178" t="s">
        <v>196</v>
      </c>
    </row>
    <row r="450">
      <c r="A450" s="250">
        <v>43569.00061</v>
      </c>
      <c r="B450" s="251" t="s">
        <v>2016</v>
      </c>
      <c r="C450" s="178" t="s">
        <v>2116</v>
      </c>
      <c r="D450" s="36">
        <v>130000.0</v>
      </c>
      <c r="E450" s="36" t="s">
        <v>1683</v>
      </c>
      <c r="F450" s="178" t="s">
        <v>67</v>
      </c>
    </row>
    <row r="451">
      <c r="A451" s="250">
        <v>43569.00061</v>
      </c>
      <c r="B451" s="251" t="s">
        <v>1684</v>
      </c>
      <c r="C451" s="178" t="s">
        <v>2117</v>
      </c>
      <c r="D451" s="36" t="s">
        <v>1683</v>
      </c>
      <c r="E451" s="36">
        <v>130000.0</v>
      </c>
      <c r="F451" s="178" t="s">
        <v>67</v>
      </c>
    </row>
    <row r="452">
      <c r="A452" s="250">
        <v>43569.00061</v>
      </c>
      <c r="B452" s="251" t="s">
        <v>1930</v>
      </c>
      <c r="C452" s="178" t="s">
        <v>2118</v>
      </c>
      <c r="D452" s="36">
        <v>130000.0</v>
      </c>
      <c r="E452" s="36" t="s">
        <v>1683</v>
      </c>
      <c r="F452" s="178" t="s">
        <v>67</v>
      </c>
    </row>
    <row r="453">
      <c r="A453" s="250">
        <v>43569.00061</v>
      </c>
      <c r="B453" s="251" t="s">
        <v>2020</v>
      </c>
      <c r="C453" s="178" t="s">
        <v>2116</v>
      </c>
      <c r="D453" s="36" t="s">
        <v>1683</v>
      </c>
      <c r="E453" s="36">
        <v>130000.0</v>
      </c>
      <c r="F453" s="178" t="s">
        <v>67</v>
      </c>
    </row>
    <row r="454">
      <c r="A454" s="250">
        <v>43570.43395878473</v>
      </c>
      <c r="B454" s="251" t="s">
        <v>2016</v>
      </c>
      <c r="C454" s="178" t="s">
        <v>2119</v>
      </c>
      <c r="D454" s="36">
        <v>208000.0</v>
      </c>
      <c r="E454" s="36" t="s">
        <v>1683</v>
      </c>
      <c r="F454" s="178" t="s">
        <v>67</v>
      </c>
    </row>
    <row r="455">
      <c r="A455" s="250">
        <v>43570.43395878473</v>
      </c>
      <c r="B455" s="251" t="s">
        <v>1684</v>
      </c>
      <c r="C455" s="178" t="s">
        <v>2120</v>
      </c>
      <c r="D455" s="36" t="s">
        <v>1683</v>
      </c>
      <c r="E455" s="36">
        <v>208000.0</v>
      </c>
      <c r="F455" s="178" t="s">
        <v>67</v>
      </c>
    </row>
    <row r="456">
      <c r="A456" s="250">
        <v>43570.43395878473</v>
      </c>
      <c r="B456" s="251" t="s">
        <v>1896</v>
      </c>
      <c r="C456" s="178" t="s">
        <v>2121</v>
      </c>
      <c r="D456" s="36">
        <v>208000.0</v>
      </c>
      <c r="E456" s="36" t="s">
        <v>1683</v>
      </c>
      <c r="F456" s="178" t="s">
        <v>67</v>
      </c>
    </row>
    <row r="457">
      <c r="A457" s="250">
        <v>43570.43395878473</v>
      </c>
      <c r="B457" s="251" t="s">
        <v>2020</v>
      </c>
      <c r="C457" s="178" t="s">
        <v>2119</v>
      </c>
      <c r="D457" s="36" t="s">
        <v>1683</v>
      </c>
      <c r="E457" s="36">
        <v>208000.0</v>
      </c>
      <c r="F457" s="178" t="s">
        <v>67</v>
      </c>
    </row>
    <row r="458">
      <c r="A458" s="250">
        <v>43571.00023</v>
      </c>
      <c r="B458" s="251" t="s">
        <v>2060</v>
      </c>
      <c r="C458" s="178" t="s">
        <v>2122</v>
      </c>
      <c r="D458" s="36">
        <v>267625.0000000003</v>
      </c>
      <c r="E458" s="36" t="s">
        <v>1683</v>
      </c>
      <c r="F458" s="178" t="s">
        <v>1683</v>
      </c>
    </row>
    <row r="459">
      <c r="A459" s="250">
        <v>43571.00023</v>
      </c>
      <c r="B459" s="251" t="s">
        <v>2062</v>
      </c>
      <c r="C459" s="178" t="s">
        <v>2123</v>
      </c>
      <c r="D459" s="36" t="s">
        <v>1683</v>
      </c>
      <c r="E459" s="36">
        <v>267625.0000000003</v>
      </c>
      <c r="F459" s="178" t="s">
        <v>1683</v>
      </c>
    </row>
    <row r="460">
      <c r="A460" s="250">
        <v>43571.00024</v>
      </c>
      <c r="B460" s="251" t="s">
        <v>2064</v>
      </c>
      <c r="C460" s="178" t="s">
        <v>2124</v>
      </c>
      <c r="D460" s="36">
        <v>232625.0000000003</v>
      </c>
      <c r="E460" s="36" t="s">
        <v>1683</v>
      </c>
      <c r="F460" s="178" t="s">
        <v>1683</v>
      </c>
    </row>
    <row r="461">
      <c r="A461" s="250">
        <v>43571.00024</v>
      </c>
      <c r="B461" s="251" t="s">
        <v>2066</v>
      </c>
      <c r="C461" s="178" t="s">
        <v>2125</v>
      </c>
      <c r="D461" s="36" t="s">
        <v>1683</v>
      </c>
      <c r="E461" s="36">
        <v>232625.0000000003</v>
      </c>
      <c r="F461" s="178" t="s">
        <v>1683</v>
      </c>
    </row>
    <row r="462">
      <c r="A462" s="250">
        <v>43571.00025</v>
      </c>
      <c r="B462" s="251" t="s">
        <v>2068</v>
      </c>
      <c r="C462" s="178" t="s">
        <v>2126</v>
      </c>
      <c r="D462" s="36">
        <v>35000.0</v>
      </c>
      <c r="E462" s="36" t="s">
        <v>1683</v>
      </c>
      <c r="F462" s="178" t="s">
        <v>1683</v>
      </c>
    </row>
    <row r="463">
      <c r="A463" s="250">
        <v>43571.00025</v>
      </c>
      <c r="B463" s="251" t="s">
        <v>2070</v>
      </c>
      <c r="C463" s="178" t="s">
        <v>2127</v>
      </c>
      <c r="D463" s="36" t="s">
        <v>1683</v>
      </c>
      <c r="E463" s="36">
        <v>35000.0</v>
      </c>
      <c r="F463" s="178" t="s">
        <v>1683</v>
      </c>
    </row>
    <row r="464">
      <c r="A464" s="250">
        <v>43571.00031</v>
      </c>
      <c r="B464" s="251" t="s">
        <v>1702</v>
      </c>
      <c r="C464" s="178" t="s">
        <v>2128</v>
      </c>
      <c r="D464" s="36">
        <v>846473.0</v>
      </c>
      <c r="E464" s="36" t="s">
        <v>1683</v>
      </c>
      <c r="F464" s="178" t="s">
        <v>476</v>
      </c>
    </row>
    <row r="465">
      <c r="A465" s="250">
        <v>43571.00031</v>
      </c>
      <c r="B465" s="251" t="s">
        <v>1684</v>
      </c>
      <c r="C465" s="178" t="s">
        <v>2129</v>
      </c>
      <c r="D465" s="36" t="s">
        <v>1683</v>
      </c>
      <c r="E465" s="36">
        <v>846473.0</v>
      </c>
      <c r="F465" s="178" t="s">
        <v>476</v>
      </c>
    </row>
    <row r="466">
      <c r="A466" s="250">
        <v>43571.00074</v>
      </c>
      <c r="B466" s="251" t="s">
        <v>2078</v>
      </c>
      <c r="C466" s="178" t="s">
        <v>2130</v>
      </c>
      <c r="D466" s="36">
        <v>267625.0</v>
      </c>
      <c r="E466" s="36" t="s">
        <v>1683</v>
      </c>
      <c r="F466" s="178" t="s">
        <v>191</v>
      </c>
    </row>
    <row r="467">
      <c r="A467" s="250">
        <v>43571.00074</v>
      </c>
      <c r="B467" s="251" t="s">
        <v>1776</v>
      </c>
      <c r="C467" s="178" t="s">
        <v>2082</v>
      </c>
      <c r="D467" s="36" t="s">
        <v>1683</v>
      </c>
      <c r="E467" s="36">
        <v>267625.0</v>
      </c>
      <c r="F467" s="178" t="s">
        <v>191</v>
      </c>
    </row>
    <row r="468">
      <c r="A468" s="250">
        <v>43572.00028</v>
      </c>
      <c r="B468" s="251" t="s">
        <v>1702</v>
      </c>
      <c r="C468" s="178" t="s">
        <v>2131</v>
      </c>
      <c r="D468" s="36">
        <v>616921.0</v>
      </c>
      <c r="E468" s="36" t="s">
        <v>1683</v>
      </c>
      <c r="F468" s="178" t="s">
        <v>69</v>
      </c>
    </row>
    <row r="469">
      <c r="A469" s="250">
        <v>43572.00028</v>
      </c>
      <c r="B469" s="251" t="s">
        <v>1684</v>
      </c>
      <c r="C469" s="178" t="s">
        <v>2132</v>
      </c>
      <c r="D469" s="36" t="s">
        <v>1683</v>
      </c>
      <c r="E469" s="36">
        <v>616921.0</v>
      </c>
      <c r="F469" s="178" t="s">
        <v>69</v>
      </c>
    </row>
    <row r="470">
      <c r="A470" s="250">
        <v>43572.0006</v>
      </c>
      <c r="B470" s="251" t="s">
        <v>1702</v>
      </c>
      <c r="C470" s="178" t="s">
        <v>2133</v>
      </c>
      <c r="D470" s="36">
        <v>616921.0</v>
      </c>
      <c r="E470" s="36" t="s">
        <v>1683</v>
      </c>
      <c r="F470" s="178" t="s">
        <v>97</v>
      </c>
    </row>
    <row r="471">
      <c r="A471" s="250">
        <v>43572.0006</v>
      </c>
      <c r="B471" s="251" t="s">
        <v>1684</v>
      </c>
      <c r="C471" s="178" t="s">
        <v>2134</v>
      </c>
      <c r="D471" s="36" t="s">
        <v>1683</v>
      </c>
      <c r="E471" s="36">
        <v>616921.0</v>
      </c>
      <c r="F471" s="178" t="s">
        <v>97</v>
      </c>
    </row>
    <row r="472">
      <c r="A472" s="250">
        <v>43572.75648162037</v>
      </c>
      <c r="B472" s="251" t="s">
        <v>1844</v>
      </c>
      <c r="C472" s="178" t="s">
        <v>2135</v>
      </c>
      <c r="D472" s="36">
        <v>338689.0</v>
      </c>
      <c r="E472" s="36" t="s">
        <v>1683</v>
      </c>
      <c r="F472" s="178" t="s">
        <v>445</v>
      </c>
    </row>
    <row r="473">
      <c r="A473" s="250">
        <v>43572.75648162037</v>
      </c>
      <c r="B473" s="251" t="s">
        <v>1776</v>
      </c>
      <c r="C473" s="178" t="s">
        <v>2021</v>
      </c>
      <c r="D473" s="36" t="s">
        <v>1683</v>
      </c>
      <c r="E473" s="36">
        <v>338689.0</v>
      </c>
      <c r="F473" s="178" t="s">
        <v>445</v>
      </c>
    </row>
    <row r="474">
      <c r="A474" s="250">
        <v>43573.953936307866</v>
      </c>
      <c r="B474" s="251" t="s">
        <v>2053</v>
      </c>
      <c r="C474" s="178" t="s">
        <v>2136</v>
      </c>
      <c r="D474" s="36">
        <v>8171.912550607273</v>
      </c>
      <c r="E474" s="36" t="s">
        <v>1683</v>
      </c>
      <c r="F474" s="178" t="s">
        <v>1683</v>
      </c>
    </row>
    <row r="475">
      <c r="A475" s="250">
        <v>43573.953936307866</v>
      </c>
      <c r="B475" s="251" t="s">
        <v>2055</v>
      </c>
      <c r="C475" s="178" t="s">
        <v>2137</v>
      </c>
      <c r="D475" s="36" t="s">
        <v>1683</v>
      </c>
      <c r="E475" s="36">
        <v>8171.912550607273</v>
      </c>
      <c r="F475" s="178" t="s">
        <v>1683</v>
      </c>
    </row>
    <row r="476">
      <c r="A476" s="250">
        <v>43573.95475207175</v>
      </c>
      <c r="B476" s="251" t="s">
        <v>2036</v>
      </c>
      <c r="C476" s="178" t="s">
        <v>2138</v>
      </c>
      <c r="D476" s="36">
        <v>6853.862139219003</v>
      </c>
      <c r="E476" s="36" t="s">
        <v>1683</v>
      </c>
      <c r="F476" s="178" t="s">
        <v>1683</v>
      </c>
    </row>
    <row r="477">
      <c r="A477" s="250">
        <v>43573.95475207175</v>
      </c>
      <c r="B477" s="251" t="s">
        <v>2038</v>
      </c>
      <c r="C477" s="178" t="s">
        <v>2139</v>
      </c>
      <c r="D477" s="36" t="s">
        <v>1683</v>
      </c>
      <c r="E477" s="36">
        <v>6853.862139219003</v>
      </c>
      <c r="F477" s="178" t="s">
        <v>1683</v>
      </c>
    </row>
    <row r="478">
      <c r="A478" s="250">
        <v>43573.95505710648</v>
      </c>
      <c r="B478" s="251" t="s">
        <v>1844</v>
      </c>
      <c r="C478" s="178" t="s">
        <v>2140</v>
      </c>
      <c r="D478" s="36">
        <v>75640.5433333333</v>
      </c>
      <c r="E478" s="36" t="s">
        <v>1683</v>
      </c>
      <c r="F478" s="178" t="s">
        <v>1683</v>
      </c>
    </row>
    <row r="479">
      <c r="A479" s="250">
        <v>43573.95505710648</v>
      </c>
      <c r="B479" s="251" t="s">
        <v>2044</v>
      </c>
      <c r="C479" s="178" t="s">
        <v>2141</v>
      </c>
      <c r="D479" s="36" t="s">
        <v>1683</v>
      </c>
      <c r="E479" s="36">
        <v>75640.5433333333</v>
      </c>
      <c r="F479" s="178" t="s">
        <v>1683</v>
      </c>
    </row>
    <row r="480">
      <c r="A480" s="250">
        <v>43573.975487731484</v>
      </c>
      <c r="B480" s="251" t="s">
        <v>2000</v>
      </c>
      <c r="C480" s="178" t="s">
        <v>2142</v>
      </c>
      <c r="D480" s="36">
        <v>209858.0</v>
      </c>
      <c r="E480" s="36" t="s">
        <v>1683</v>
      </c>
      <c r="F480" s="178" t="s">
        <v>658</v>
      </c>
    </row>
    <row r="481">
      <c r="A481" s="250">
        <v>43573.975487731484</v>
      </c>
      <c r="B481" s="251" t="s">
        <v>1776</v>
      </c>
      <c r="C481" s="178" t="s">
        <v>2028</v>
      </c>
      <c r="D481" s="36" t="s">
        <v>1683</v>
      </c>
      <c r="E481" s="36">
        <v>209858.0</v>
      </c>
      <c r="F481" s="178" t="s">
        <v>658</v>
      </c>
    </row>
    <row r="482">
      <c r="A482" s="250">
        <v>43575.60526439815</v>
      </c>
      <c r="B482" s="251" t="s">
        <v>1693</v>
      </c>
      <c r="C482" s="178" t="s">
        <v>2143</v>
      </c>
      <c r="D482" s="36">
        <v>326400.0</v>
      </c>
      <c r="E482" s="36" t="s">
        <v>1683</v>
      </c>
      <c r="F482" s="178" t="s">
        <v>635</v>
      </c>
    </row>
    <row r="483">
      <c r="A483" s="250">
        <v>43575.60526439815</v>
      </c>
      <c r="B483" s="251" t="s">
        <v>1684</v>
      </c>
      <c r="C483" s="178" t="s">
        <v>2144</v>
      </c>
      <c r="D483" s="36" t="s">
        <v>1683</v>
      </c>
      <c r="E483" s="36">
        <v>326400.0</v>
      </c>
      <c r="F483" s="178" t="s">
        <v>635</v>
      </c>
    </row>
    <row r="484">
      <c r="A484" s="250">
        <v>43576.05099488426</v>
      </c>
      <c r="B484" s="251" t="s">
        <v>1702</v>
      </c>
      <c r="C484" s="178" t="s">
        <v>2145</v>
      </c>
      <c r="D484" s="36">
        <v>489.00000000000273</v>
      </c>
      <c r="E484" s="36" t="s">
        <v>1683</v>
      </c>
      <c r="F484" s="178" t="s">
        <v>327</v>
      </c>
    </row>
    <row r="485">
      <c r="A485" s="250">
        <v>43576.05099488426</v>
      </c>
      <c r="B485" s="251" t="s">
        <v>1684</v>
      </c>
      <c r="C485" s="178" t="s">
        <v>2146</v>
      </c>
      <c r="D485" s="36" t="s">
        <v>1683</v>
      </c>
      <c r="E485" s="36">
        <v>489.00000000000273</v>
      </c>
      <c r="F485" s="178" t="s">
        <v>327</v>
      </c>
    </row>
    <row r="486">
      <c r="A486" s="250">
        <v>43581.00027</v>
      </c>
      <c r="B486" s="251" t="s">
        <v>2016</v>
      </c>
      <c r="C486" s="178" t="s">
        <v>2147</v>
      </c>
      <c r="D486" s="36">
        <v>130000.0</v>
      </c>
      <c r="E486" s="36" t="s">
        <v>1683</v>
      </c>
      <c r="F486" s="178" t="s">
        <v>67</v>
      </c>
    </row>
    <row r="487">
      <c r="A487" s="250">
        <v>43581.00027</v>
      </c>
      <c r="B487" s="251" t="s">
        <v>1684</v>
      </c>
      <c r="C487" s="178" t="s">
        <v>2148</v>
      </c>
      <c r="D487" s="36" t="s">
        <v>1683</v>
      </c>
      <c r="E487" s="36">
        <v>130000.0</v>
      </c>
      <c r="F487" s="178" t="s">
        <v>67</v>
      </c>
    </row>
    <row r="488">
      <c r="A488" s="250">
        <v>43581.00027</v>
      </c>
      <c r="B488" s="251" t="s">
        <v>1896</v>
      </c>
      <c r="C488" s="178" t="s">
        <v>2149</v>
      </c>
      <c r="D488" s="36">
        <v>130000.0</v>
      </c>
      <c r="E488" s="36" t="s">
        <v>1683</v>
      </c>
      <c r="F488" s="178" t="s">
        <v>67</v>
      </c>
    </row>
    <row r="489">
      <c r="A489" s="250">
        <v>43581.00027</v>
      </c>
      <c r="B489" s="251" t="s">
        <v>2020</v>
      </c>
      <c r="C489" s="178" t="s">
        <v>2147</v>
      </c>
      <c r="D489" s="36" t="s">
        <v>1683</v>
      </c>
      <c r="E489" s="36">
        <v>130000.0</v>
      </c>
      <c r="F489" s="178" t="s">
        <v>67</v>
      </c>
    </row>
    <row r="490">
      <c r="A490" s="250">
        <v>43581.00059</v>
      </c>
      <c r="B490" s="251" t="s">
        <v>1693</v>
      </c>
      <c r="C490" s="178" t="s">
        <v>2150</v>
      </c>
      <c r="D490" s="36">
        <v>277860.0</v>
      </c>
      <c r="E490" s="36" t="s">
        <v>1683</v>
      </c>
      <c r="F490" s="178" t="s">
        <v>96</v>
      </c>
    </row>
    <row r="491">
      <c r="A491" s="250">
        <v>43581.00059</v>
      </c>
      <c r="B491" s="251" t="s">
        <v>1684</v>
      </c>
      <c r="C491" s="178" t="s">
        <v>2151</v>
      </c>
      <c r="D491" s="36" t="s">
        <v>1683</v>
      </c>
      <c r="E491" s="36">
        <v>277860.0</v>
      </c>
      <c r="F491" s="178" t="s">
        <v>96</v>
      </c>
    </row>
    <row r="492">
      <c r="A492" s="250">
        <v>43584.00059</v>
      </c>
      <c r="B492" s="251" t="s">
        <v>1783</v>
      </c>
      <c r="C492" s="178" t="s">
        <v>2152</v>
      </c>
      <c r="D492" s="36">
        <v>146000.0</v>
      </c>
      <c r="E492" s="36" t="s">
        <v>1683</v>
      </c>
      <c r="F492" s="178" t="s">
        <v>169</v>
      </c>
    </row>
    <row r="493">
      <c r="A493" s="250">
        <v>43584.00059</v>
      </c>
      <c r="B493" s="251" t="s">
        <v>1684</v>
      </c>
      <c r="C493" s="178" t="s">
        <v>2153</v>
      </c>
      <c r="D493" s="36" t="s">
        <v>1683</v>
      </c>
      <c r="E493" s="36">
        <v>146000.0</v>
      </c>
      <c r="F493" s="178" t="s">
        <v>169</v>
      </c>
    </row>
    <row r="494">
      <c r="A494" s="250">
        <v>43584.58695690972</v>
      </c>
      <c r="B494" s="251" t="s">
        <v>1622</v>
      </c>
      <c r="C494" s="178" t="s">
        <v>2154</v>
      </c>
      <c r="D494" s="36">
        <v>33000.0</v>
      </c>
      <c r="E494" s="36" t="s">
        <v>1683</v>
      </c>
      <c r="F494" s="178" t="s">
        <v>1623</v>
      </c>
    </row>
    <row r="495">
      <c r="A495" s="250">
        <v>43584.58695690972</v>
      </c>
      <c r="B495" s="251" t="s">
        <v>1684</v>
      </c>
      <c r="C495" s="178" t="s">
        <v>2155</v>
      </c>
      <c r="D495" s="36" t="s">
        <v>1683</v>
      </c>
      <c r="E495" s="36">
        <v>33000.0</v>
      </c>
      <c r="F495" s="178" t="s">
        <v>1623</v>
      </c>
    </row>
    <row r="496">
      <c r="A496" s="250">
        <v>43584.588218888886</v>
      </c>
      <c r="B496" s="251" t="s">
        <v>1624</v>
      </c>
      <c r="C496" s="178" t="s">
        <v>2156</v>
      </c>
      <c r="D496" s="36">
        <v>12200.0</v>
      </c>
      <c r="E496" s="36" t="s">
        <v>1683</v>
      </c>
      <c r="F496" s="178" t="s">
        <v>1625</v>
      </c>
    </row>
    <row r="497">
      <c r="A497" s="250">
        <v>43584.588218888886</v>
      </c>
      <c r="B497" s="251" t="s">
        <v>1684</v>
      </c>
      <c r="C497" s="178" t="s">
        <v>2157</v>
      </c>
      <c r="D497" s="36" t="s">
        <v>1683</v>
      </c>
      <c r="E497" s="36">
        <v>12200.0</v>
      </c>
      <c r="F497" s="178" t="s">
        <v>1625</v>
      </c>
    </row>
    <row r="498">
      <c r="A498" s="250">
        <v>43586.00017</v>
      </c>
      <c r="B498" s="251" t="s">
        <v>2158</v>
      </c>
      <c r="C498" s="178" t="s">
        <v>2159</v>
      </c>
      <c r="D498" s="36">
        <v>326400.0</v>
      </c>
      <c r="E498" s="36" t="s">
        <v>1683</v>
      </c>
      <c r="F498" s="178" t="s">
        <v>635</v>
      </c>
    </row>
    <row r="499">
      <c r="A499" s="250">
        <v>43586.00017</v>
      </c>
      <c r="B499" s="251" t="s">
        <v>1698</v>
      </c>
      <c r="C499" s="178" t="s">
        <v>2143</v>
      </c>
      <c r="D499" s="36" t="s">
        <v>1683</v>
      </c>
      <c r="E499" s="36">
        <v>326400.0</v>
      </c>
      <c r="F499" s="178" t="s">
        <v>635</v>
      </c>
    </row>
    <row r="500">
      <c r="A500" s="250">
        <v>43586.00059</v>
      </c>
      <c r="B500" s="251" t="s">
        <v>1839</v>
      </c>
      <c r="C500" s="178" t="s">
        <v>2160</v>
      </c>
      <c r="D500" s="36">
        <v>146000.0</v>
      </c>
      <c r="E500" s="36" t="s">
        <v>1683</v>
      </c>
      <c r="F500" s="178" t="s">
        <v>169</v>
      </c>
    </row>
    <row r="501">
      <c r="A501" s="250">
        <v>43586.00059</v>
      </c>
      <c r="B501" s="251" t="s">
        <v>1802</v>
      </c>
      <c r="C501" s="178" t="s">
        <v>2152</v>
      </c>
      <c r="D501" s="36" t="s">
        <v>1683</v>
      </c>
      <c r="E501" s="36">
        <v>146000.0</v>
      </c>
      <c r="F501" s="178" t="s">
        <v>169</v>
      </c>
    </row>
    <row r="502">
      <c r="A502" s="250">
        <v>43587.96405340278</v>
      </c>
      <c r="B502" s="251" t="s">
        <v>1702</v>
      </c>
      <c r="C502" s="178" t="s">
        <v>2161</v>
      </c>
      <c r="D502" s="36">
        <v>243813.512895268</v>
      </c>
      <c r="E502" s="36" t="s">
        <v>1683</v>
      </c>
      <c r="F502" s="178" t="s">
        <v>528</v>
      </c>
    </row>
    <row r="503">
      <c r="A503" s="250">
        <v>43587.96405340278</v>
      </c>
      <c r="B503" s="251" t="s">
        <v>1684</v>
      </c>
      <c r="C503" s="178" t="s">
        <v>2162</v>
      </c>
      <c r="D503" s="36" t="s">
        <v>1683</v>
      </c>
      <c r="E503" s="36">
        <v>243813.512895268</v>
      </c>
      <c r="F503" s="178" t="s">
        <v>528</v>
      </c>
    </row>
    <row r="504">
      <c r="A504" s="250">
        <v>43587.96435096065</v>
      </c>
      <c r="B504" s="251" t="s">
        <v>1702</v>
      </c>
      <c r="C504" s="178" t="s">
        <v>2163</v>
      </c>
      <c r="D504" s="36">
        <v>202402.99372056517</v>
      </c>
      <c r="E504" s="36" t="s">
        <v>1683</v>
      </c>
      <c r="F504" s="178" t="s">
        <v>573</v>
      </c>
    </row>
    <row r="505">
      <c r="A505" s="250">
        <v>43587.96435096065</v>
      </c>
      <c r="B505" s="251" t="s">
        <v>1684</v>
      </c>
      <c r="C505" s="178" t="s">
        <v>2164</v>
      </c>
      <c r="D505" s="36" t="s">
        <v>1683</v>
      </c>
      <c r="E505" s="36">
        <v>202402.99372056517</v>
      </c>
      <c r="F505" s="178" t="s">
        <v>573</v>
      </c>
    </row>
    <row r="506">
      <c r="A506" s="250">
        <v>43587.96473417823</v>
      </c>
      <c r="B506" s="251" t="s">
        <v>1702</v>
      </c>
      <c r="C506" s="178" t="s">
        <v>2165</v>
      </c>
      <c r="D506" s="36">
        <v>201676.49338416685</v>
      </c>
      <c r="E506" s="36" t="s">
        <v>1683</v>
      </c>
      <c r="F506" s="178" t="s">
        <v>528</v>
      </c>
    </row>
    <row r="507">
      <c r="A507" s="250">
        <v>43587.96473417823</v>
      </c>
      <c r="B507" s="251" t="s">
        <v>1684</v>
      </c>
      <c r="C507" s="178" t="s">
        <v>2166</v>
      </c>
      <c r="D507" s="36" t="s">
        <v>1683</v>
      </c>
      <c r="E507" s="36">
        <v>201676.49338416685</v>
      </c>
      <c r="F507" s="178" t="s">
        <v>528</v>
      </c>
    </row>
    <row r="508">
      <c r="A508" s="250">
        <v>43589.00059</v>
      </c>
      <c r="B508" s="251" t="s">
        <v>1930</v>
      </c>
      <c r="C508" s="178" t="s">
        <v>2167</v>
      </c>
      <c r="D508" s="36">
        <v>277860.0</v>
      </c>
      <c r="E508" s="36" t="s">
        <v>1683</v>
      </c>
      <c r="F508" s="178" t="s">
        <v>96</v>
      </c>
    </row>
    <row r="509">
      <c r="A509" s="250">
        <v>43589.00059</v>
      </c>
      <c r="B509" s="251" t="s">
        <v>1698</v>
      </c>
      <c r="C509" s="178" t="s">
        <v>2150</v>
      </c>
      <c r="D509" s="36" t="s">
        <v>1683</v>
      </c>
      <c r="E509" s="36">
        <v>277860.0</v>
      </c>
      <c r="F509" s="178" t="s">
        <v>96</v>
      </c>
    </row>
    <row r="510">
      <c r="A510" s="250">
        <v>43590.344171296296</v>
      </c>
      <c r="B510" s="251" t="s">
        <v>1681</v>
      </c>
      <c r="C510" s="178" t="s">
        <v>2168</v>
      </c>
      <c r="D510" s="36">
        <v>250000.0</v>
      </c>
      <c r="E510" s="36" t="s">
        <v>1683</v>
      </c>
      <c r="F510" s="178" t="s">
        <v>234</v>
      </c>
    </row>
    <row r="511">
      <c r="A511" s="250">
        <v>43590.344171296296</v>
      </c>
      <c r="B511" s="251" t="s">
        <v>1684</v>
      </c>
      <c r="C511" s="178" t="s">
        <v>2169</v>
      </c>
      <c r="D511" s="36" t="s">
        <v>1683</v>
      </c>
      <c r="E511" s="36">
        <v>250000.0</v>
      </c>
      <c r="F511" s="178" t="s">
        <v>234</v>
      </c>
    </row>
    <row r="512">
      <c r="A512" s="250">
        <v>43590.344214675926</v>
      </c>
      <c r="B512" s="251" t="s">
        <v>1681</v>
      </c>
      <c r="C512" s="178" t="s">
        <v>2170</v>
      </c>
      <c r="D512" s="36">
        <v>250000.0</v>
      </c>
      <c r="E512" s="36" t="s">
        <v>1683</v>
      </c>
      <c r="F512" s="178" t="s">
        <v>240</v>
      </c>
    </row>
    <row r="513">
      <c r="A513" s="250">
        <v>43590.344214675926</v>
      </c>
      <c r="B513" s="251" t="s">
        <v>1684</v>
      </c>
      <c r="C513" s="178" t="s">
        <v>2171</v>
      </c>
      <c r="D513" s="36" t="s">
        <v>1683</v>
      </c>
      <c r="E513" s="36">
        <v>250000.0</v>
      </c>
      <c r="F513" s="178" t="s">
        <v>240</v>
      </c>
    </row>
    <row r="514">
      <c r="A514" s="250">
        <v>43590.34424351852</v>
      </c>
      <c r="B514" s="251" t="s">
        <v>1681</v>
      </c>
      <c r="C514" s="178" t="s">
        <v>2172</v>
      </c>
      <c r="D514" s="36">
        <v>200000.00000000003</v>
      </c>
      <c r="E514" s="36" t="s">
        <v>1683</v>
      </c>
      <c r="F514" s="178" t="s">
        <v>236</v>
      </c>
    </row>
    <row r="515">
      <c r="A515" s="250">
        <v>43590.34424351852</v>
      </c>
      <c r="B515" s="251" t="s">
        <v>1684</v>
      </c>
      <c r="C515" s="178" t="s">
        <v>2173</v>
      </c>
      <c r="D515" s="36" t="s">
        <v>1683</v>
      </c>
      <c r="E515" s="36">
        <v>200000.00000000003</v>
      </c>
      <c r="F515" s="178" t="s">
        <v>236</v>
      </c>
    </row>
    <row r="516">
      <c r="A516" s="250">
        <v>43590.40864466435</v>
      </c>
      <c r="B516" s="251" t="s">
        <v>1693</v>
      </c>
      <c r="C516" s="178" t="s">
        <v>2174</v>
      </c>
      <c r="D516" s="36">
        <v>103199.99999999999</v>
      </c>
      <c r="E516" s="36" t="s">
        <v>1683</v>
      </c>
      <c r="F516" s="178" t="s">
        <v>475</v>
      </c>
    </row>
    <row r="517">
      <c r="A517" s="250">
        <v>43590.40864466435</v>
      </c>
      <c r="B517" s="251" t="s">
        <v>1684</v>
      </c>
      <c r="C517" s="178" t="s">
        <v>2175</v>
      </c>
      <c r="D517" s="36" t="s">
        <v>1683</v>
      </c>
      <c r="E517" s="36">
        <v>103199.99999999999</v>
      </c>
      <c r="F517" s="178" t="s">
        <v>475</v>
      </c>
    </row>
    <row r="518">
      <c r="A518" s="250">
        <v>43590.409096539355</v>
      </c>
      <c r="B518" s="251" t="s">
        <v>1693</v>
      </c>
      <c r="C518" s="178" t="s">
        <v>2176</v>
      </c>
      <c r="D518" s="36">
        <v>103288.0</v>
      </c>
      <c r="E518" s="36" t="s">
        <v>1683</v>
      </c>
      <c r="F518" s="178" t="s">
        <v>407</v>
      </c>
    </row>
    <row r="519">
      <c r="A519" s="250">
        <v>43590.409096539355</v>
      </c>
      <c r="B519" s="251" t="s">
        <v>1684</v>
      </c>
      <c r="C519" s="178" t="s">
        <v>2177</v>
      </c>
      <c r="D519" s="36" t="s">
        <v>1683</v>
      </c>
      <c r="E519" s="36">
        <v>103288.0</v>
      </c>
      <c r="F519" s="178" t="s">
        <v>407</v>
      </c>
    </row>
    <row r="520">
      <c r="A520" s="250">
        <v>43592.00011</v>
      </c>
      <c r="B520" s="251" t="s">
        <v>1934</v>
      </c>
      <c r="C520" s="178" t="s">
        <v>2178</v>
      </c>
      <c r="D520" s="36">
        <v>250000.0</v>
      </c>
      <c r="E520" s="36" t="s">
        <v>1683</v>
      </c>
      <c r="F520" s="178" t="s">
        <v>234</v>
      </c>
    </row>
    <row r="521">
      <c r="A521" s="250">
        <v>43592.00011</v>
      </c>
      <c r="B521" s="251" t="s">
        <v>1688</v>
      </c>
      <c r="C521" s="178" t="s">
        <v>2168</v>
      </c>
      <c r="D521" s="36" t="s">
        <v>1683</v>
      </c>
      <c r="E521" s="36">
        <v>250000.0</v>
      </c>
      <c r="F521" s="178" t="s">
        <v>234</v>
      </c>
    </row>
    <row r="522">
      <c r="A522" s="250">
        <v>43592.00016</v>
      </c>
      <c r="B522" s="251" t="s">
        <v>2179</v>
      </c>
      <c r="C522" s="178" t="s">
        <v>2180</v>
      </c>
      <c r="D522" s="36">
        <v>200000.00000000003</v>
      </c>
      <c r="E522" s="36" t="s">
        <v>1683</v>
      </c>
      <c r="F522" s="178" t="s">
        <v>236</v>
      </c>
    </row>
    <row r="523">
      <c r="A523" s="250">
        <v>43592.00016</v>
      </c>
      <c r="B523" s="251" t="s">
        <v>1688</v>
      </c>
      <c r="C523" s="178" t="s">
        <v>2172</v>
      </c>
      <c r="D523" s="36" t="s">
        <v>1683</v>
      </c>
      <c r="E523" s="36">
        <v>200000.00000000003</v>
      </c>
      <c r="F523" s="178" t="s">
        <v>236</v>
      </c>
    </row>
    <row r="524">
      <c r="A524" s="250">
        <v>43592.00019</v>
      </c>
      <c r="B524" s="251" t="s">
        <v>1691</v>
      </c>
      <c r="C524" s="178" t="s">
        <v>2181</v>
      </c>
      <c r="D524" s="36">
        <v>250000.0</v>
      </c>
      <c r="E524" s="36" t="s">
        <v>1683</v>
      </c>
      <c r="F524" s="178" t="s">
        <v>240</v>
      </c>
    </row>
    <row r="525">
      <c r="A525" s="250">
        <v>43592.00019</v>
      </c>
      <c r="B525" s="251" t="s">
        <v>1688</v>
      </c>
      <c r="C525" s="178" t="s">
        <v>2170</v>
      </c>
      <c r="D525" s="36" t="s">
        <v>1683</v>
      </c>
      <c r="E525" s="36">
        <v>250000.0</v>
      </c>
      <c r="F525" s="178" t="s">
        <v>240</v>
      </c>
    </row>
    <row r="526">
      <c r="A526" s="250">
        <v>43596.00028</v>
      </c>
      <c r="B526" s="251" t="s">
        <v>1896</v>
      </c>
      <c r="C526" s="178" t="s">
        <v>2182</v>
      </c>
      <c r="D526" s="36">
        <v>616921.0</v>
      </c>
      <c r="E526" s="36" t="s">
        <v>1683</v>
      </c>
      <c r="F526" s="178" t="s">
        <v>69</v>
      </c>
    </row>
    <row r="527">
      <c r="A527" s="250">
        <v>43596.00028</v>
      </c>
      <c r="B527" s="251" t="s">
        <v>1776</v>
      </c>
      <c r="C527" s="178" t="s">
        <v>2131</v>
      </c>
      <c r="D527" s="36" t="s">
        <v>1683</v>
      </c>
      <c r="E527" s="36">
        <v>616921.0</v>
      </c>
      <c r="F527" s="178" t="s">
        <v>69</v>
      </c>
    </row>
    <row r="528">
      <c r="A528" s="250">
        <v>43596.00031</v>
      </c>
      <c r="B528" s="251" t="s">
        <v>1927</v>
      </c>
      <c r="C528" s="178" t="s">
        <v>2183</v>
      </c>
      <c r="D528" s="36">
        <v>846473.0</v>
      </c>
      <c r="E528" s="36" t="s">
        <v>1683</v>
      </c>
      <c r="F528" s="178" t="s">
        <v>476</v>
      </c>
    </row>
    <row r="529">
      <c r="A529" s="250">
        <v>43596.00031</v>
      </c>
      <c r="B529" s="251" t="s">
        <v>1776</v>
      </c>
      <c r="C529" s="178" t="s">
        <v>2128</v>
      </c>
      <c r="D529" s="36" t="s">
        <v>1683</v>
      </c>
      <c r="E529" s="36">
        <v>846473.0</v>
      </c>
      <c r="F529" s="178" t="s">
        <v>476</v>
      </c>
    </row>
    <row r="530">
      <c r="A530" s="250">
        <v>43596.00074</v>
      </c>
      <c r="B530" s="251" t="s">
        <v>2184</v>
      </c>
      <c r="C530" s="178" t="s">
        <v>2185</v>
      </c>
      <c r="D530" s="36">
        <v>103288.0</v>
      </c>
      <c r="E530" s="36" t="s">
        <v>1683</v>
      </c>
      <c r="F530" s="178" t="s">
        <v>407</v>
      </c>
    </row>
    <row r="531">
      <c r="A531" s="250">
        <v>43596.00074</v>
      </c>
      <c r="B531" s="251" t="s">
        <v>1698</v>
      </c>
      <c r="C531" s="178" t="s">
        <v>2176</v>
      </c>
      <c r="D531" s="36" t="s">
        <v>1683</v>
      </c>
      <c r="E531" s="36">
        <v>103288.0</v>
      </c>
      <c r="F531" s="178" t="s">
        <v>407</v>
      </c>
    </row>
    <row r="532">
      <c r="A532" s="250">
        <v>43601.00047</v>
      </c>
      <c r="B532" s="251" t="s">
        <v>1786</v>
      </c>
      <c r="C532" s="178" t="s">
        <v>2186</v>
      </c>
      <c r="D532" s="36">
        <v>202402.99372056517</v>
      </c>
      <c r="E532" s="36" t="s">
        <v>1683</v>
      </c>
      <c r="F532" s="178" t="s">
        <v>573</v>
      </c>
    </row>
    <row r="533">
      <c r="A533" s="250">
        <v>43601.00047</v>
      </c>
      <c r="B533" s="251" t="s">
        <v>1776</v>
      </c>
      <c r="C533" s="178" t="s">
        <v>2163</v>
      </c>
      <c r="D533" s="36" t="s">
        <v>1683</v>
      </c>
      <c r="E533" s="36">
        <v>202402.99372056517</v>
      </c>
      <c r="F533" s="178" t="s">
        <v>573</v>
      </c>
    </row>
    <row r="534">
      <c r="A534" s="250">
        <v>43602.03786473379</v>
      </c>
      <c r="B534" s="251" t="s">
        <v>1927</v>
      </c>
      <c r="C534" s="178" t="s">
        <v>2187</v>
      </c>
      <c r="D534" s="36">
        <v>103199.99999999999</v>
      </c>
      <c r="E534" s="36" t="s">
        <v>1683</v>
      </c>
      <c r="F534" s="178" t="s">
        <v>475</v>
      </c>
    </row>
    <row r="535">
      <c r="A535" s="250">
        <v>43602.03786473379</v>
      </c>
      <c r="B535" s="251" t="s">
        <v>1698</v>
      </c>
      <c r="C535" s="178" t="s">
        <v>2174</v>
      </c>
      <c r="D535" s="36" t="s">
        <v>1683</v>
      </c>
      <c r="E535" s="36">
        <v>103199.99999999999</v>
      </c>
      <c r="F535" s="178" t="s">
        <v>475</v>
      </c>
    </row>
    <row r="536">
      <c r="A536" s="250">
        <v>43602.038499699076</v>
      </c>
      <c r="B536" s="251" t="s">
        <v>1930</v>
      </c>
      <c r="C536" s="178" t="s">
        <v>2188</v>
      </c>
      <c r="D536" s="36">
        <v>616921.0</v>
      </c>
      <c r="E536" s="36" t="s">
        <v>1683</v>
      </c>
      <c r="F536" s="178" t="s">
        <v>97</v>
      </c>
    </row>
    <row r="537">
      <c r="A537" s="250">
        <v>43602.038499699076</v>
      </c>
      <c r="B537" s="251" t="s">
        <v>1776</v>
      </c>
      <c r="C537" s="178" t="s">
        <v>2133</v>
      </c>
      <c r="D537" s="36" t="s">
        <v>1683</v>
      </c>
      <c r="E537" s="36">
        <v>616921.0</v>
      </c>
      <c r="F537" s="178" t="s">
        <v>97</v>
      </c>
    </row>
    <row r="538">
      <c r="A538" s="250">
        <v>43602.778115879635</v>
      </c>
      <c r="B538" s="251" t="s">
        <v>1774</v>
      </c>
      <c r="C538" s="178" t="s">
        <v>2189</v>
      </c>
      <c r="D538" s="36">
        <v>243813.512895268</v>
      </c>
      <c r="E538" s="36" t="s">
        <v>1683</v>
      </c>
      <c r="F538" s="178" t="s">
        <v>528</v>
      </c>
    </row>
    <row r="539">
      <c r="A539" s="250">
        <v>43602.778115879635</v>
      </c>
      <c r="B539" s="251" t="s">
        <v>1776</v>
      </c>
      <c r="C539" s="178" t="s">
        <v>2161</v>
      </c>
      <c r="D539" s="36" t="s">
        <v>1683</v>
      </c>
      <c r="E539" s="36">
        <v>243813.512895268</v>
      </c>
      <c r="F539" s="178" t="s">
        <v>528</v>
      </c>
    </row>
    <row r="540">
      <c r="A540" s="250">
        <v>43602.778818043975</v>
      </c>
      <c r="B540" s="251" t="s">
        <v>1793</v>
      </c>
      <c r="C540" s="178" t="s">
        <v>2190</v>
      </c>
      <c r="D540" s="36">
        <v>201676.49338416685</v>
      </c>
      <c r="E540" s="36" t="s">
        <v>1683</v>
      </c>
      <c r="F540" s="178" t="s">
        <v>528</v>
      </c>
    </row>
    <row r="541">
      <c r="A541" s="250">
        <v>43602.778818043975</v>
      </c>
      <c r="B541" s="251" t="s">
        <v>1776</v>
      </c>
      <c r="C541" s="178" t="s">
        <v>2165</v>
      </c>
      <c r="D541" s="36" t="s">
        <v>1683</v>
      </c>
      <c r="E541" s="36">
        <v>201676.49338416685</v>
      </c>
      <c r="F541" s="178" t="s">
        <v>528</v>
      </c>
    </row>
    <row r="542">
      <c r="A542" s="250">
        <v>43606.71236959491</v>
      </c>
      <c r="B542" s="251" t="s">
        <v>1783</v>
      </c>
      <c r="C542" s="178" t="s">
        <v>2191</v>
      </c>
      <c r="D542" s="36">
        <v>270500.0</v>
      </c>
      <c r="E542" s="36" t="s">
        <v>1683</v>
      </c>
      <c r="F542" s="178" t="s">
        <v>634</v>
      </c>
    </row>
    <row r="543">
      <c r="A543" s="250">
        <v>43606.71236959491</v>
      </c>
      <c r="B543" s="251" t="s">
        <v>1684</v>
      </c>
      <c r="C543" s="178" t="s">
        <v>2192</v>
      </c>
      <c r="D543" s="36" t="s">
        <v>1683</v>
      </c>
      <c r="E543" s="36">
        <v>270500.0</v>
      </c>
      <c r="F543" s="178" t="s">
        <v>634</v>
      </c>
    </row>
    <row r="544">
      <c r="A544" s="250">
        <v>43607.00016</v>
      </c>
      <c r="B544" s="251" t="s">
        <v>2158</v>
      </c>
      <c r="C544" s="178" t="s">
        <v>2193</v>
      </c>
      <c r="D544" s="36">
        <v>270500.0</v>
      </c>
      <c r="E544" s="36" t="s">
        <v>1683</v>
      </c>
      <c r="F544" s="178" t="s">
        <v>634</v>
      </c>
    </row>
    <row r="545">
      <c r="A545" s="250">
        <v>43607.00016</v>
      </c>
      <c r="B545" s="251" t="s">
        <v>1802</v>
      </c>
      <c r="C545" s="178" t="s">
        <v>2191</v>
      </c>
      <c r="D545" s="36" t="s">
        <v>1683</v>
      </c>
      <c r="E545" s="36">
        <v>270500.0</v>
      </c>
      <c r="F545" s="178" t="s">
        <v>634</v>
      </c>
    </row>
    <row r="546">
      <c r="A546" s="250">
        <v>43607.637103402776</v>
      </c>
      <c r="B546" s="251" t="s">
        <v>2016</v>
      </c>
      <c r="C546" s="178" t="s">
        <v>2194</v>
      </c>
      <c r="D546" s="36">
        <v>3299.9999999999995</v>
      </c>
      <c r="E546" s="36" t="s">
        <v>1683</v>
      </c>
      <c r="F546" s="178" t="s">
        <v>67</v>
      </c>
    </row>
    <row r="547">
      <c r="A547" s="250">
        <v>43607.637103402776</v>
      </c>
      <c r="B547" s="251" t="s">
        <v>1684</v>
      </c>
      <c r="C547" s="178" t="s">
        <v>2195</v>
      </c>
      <c r="D547" s="36" t="s">
        <v>1683</v>
      </c>
      <c r="E547" s="36">
        <v>3299.9999999999995</v>
      </c>
      <c r="F547" s="178" t="s">
        <v>67</v>
      </c>
    </row>
    <row r="548">
      <c r="A548" s="250">
        <v>43607.63714311343</v>
      </c>
      <c r="B548" s="251" t="s">
        <v>2016</v>
      </c>
      <c r="C548" s="178" t="s">
        <v>2196</v>
      </c>
      <c r="D548" s="36">
        <v>150000.0</v>
      </c>
      <c r="E548" s="36" t="s">
        <v>1683</v>
      </c>
      <c r="F548" s="178" t="s">
        <v>67</v>
      </c>
    </row>
    <row r="549">
      <c r="A549" s="250">
        <v>43607.63714311343</v>
      </c>
      <c r="B549" s="251" t="s">
        <v>1684</v>
      </c>
      <c r="C549" s="178" t="s">
        <v>2197</v>
      </c>
      <c r="D549" s="36" t="s">
        <v>1683</v>
      </c>
      <c r="E549" s="36">
        <v>150000.0</v>
      </c>
      <c r="F549" s="178" t="s">
        <v>67</v>
      </c>
    </row>
    <row r="550">
      <c r="A550" s="250">
        <v>43607.63735895833</v>
      </c>
      <c r="B550" s="251" t="s">
        <v>2016</v>
      </c>
      <c r="C550" s="178" t="s">
        <v>2198</v>
      </c>
      <c r="D550" s="36">
        <v>13000.0</v>
      </c>
      <c r="E550" s="36" t="s">
        <v>1683</v>
      </c>
      <c r="F550" s="178" t="s">
        <v>67</v>
      </c>
    </row>
    <row r="551">
      <c r="A551" s="250">
        <v>43607.63735895833</v>
      </c>
      <c r="B551" s="251" t="s">
        <v>1684</v>
      </c>
      <c r="C551" s="178" t="s">
        <v>2199</v>
      </c>
      <c r="D551" s="36" t="s">
        <v>1683</v>
      </c>
      <c r="E551" s="36">
        <v>13000.0</v>
      </c>
      <c r="F551" s="178" t="s">
        <v>67</v>
      </c>
    </row>
    <row r="552">
      <c r="A552" s="250">
        <v>43607.638099780095</v>
      </c>
      <c r="B552" s="251" t="s">
        <v>1846</v>
      </c>
      <c r="C552" s="178" t="s">
        <v>2200</v>
      </c>
      <c r="D552" s="36">
        <v>3299.9999999999995</v>
      </c>
      <c r="E552" s="36" t="s">
        <v>1683</v>
      </c>
      <c r="F552" s="178" t="s">
        <v>67</v>
      </c>
    </row>
    <row r="553">
      <c r="A553" s="250">
        <v>43607.638099780095</v>
      </c>
      <c r="B553" s="251" t="s">
        <v>2020</v>
      </c>
      <c r="C553" s="178" t="s">
        <v>2194</v>
      </c>
      <c r="D553" s="36" t="s">
        <v>1683</v>
      </c>
      <c r="E553" s="36">
        <v>3299.9999999999995</v>
      </c>
      <c r="F553" s="178" t="s">
        <v>67</v>
      </c>
    </row>
    <row r="554">
      <c r="A554" s="250">
        <v>43607.638142372685</v>
      </c>
      <c r="B554" s="251" t="s">
        <v>2112</v>
      </c>
      <c r="C554" s="178" t="s">
        <v>2201</v>
      </c>
      <c r="D554" s="36">
        <v>150000.0</v>
      </c>
      <c r="E554" s="36" t="s">
        <v>1683</v>
      </c>
      <c r="F554" s="178" t="s">
        <v>67</v>
      </c>
    </row>
    <row r="555">
      <c r="A555" s="250">
        <v>43607.638142372685</v>
      </c>
      <c r="B555" s="251" t="s">
        <v>2020</v>
      </c>
      <c r="C555" s="178" t="s">
        <v>2196</v>
      </c>
      <c r="D555" s="36" t="s">
        <v>1683</v>
      </c>
      <c r="E555" s="36">
        <v>150000.0</v>
      </c>
      <c r="F555" s="178" t="s">
        <v>67</v>
      </c>
    </row>
    <row r="556">
      <c r="A556" s="250">
        <v>43607.63837199074</v>
      </c>
      <c r="B556" s="251" t="s">
        <v>2107</v>
      </c>
      <c r="C556" s="178" t="s">
        <v>2202</v>
      </c>
      <c r="D556" s="36">
        <v>13000.0</v>
      </c>
      <c r="E556" s="36" t="s">
        <v>1683</v>
      </c>
      <c r="F556" s="178" t="s">
        <v>67</v>
      </c>
    </row>
    <row r="557">
      <c r="A557" s="250">
        <v>43607.63837199074</v>
      </c>
      <c r="B557" s="251" t="s">
        <v>2020</v>
      </c>
      <c r="C557" s="178" t="s">
        <v>2198</v>
      </c>
      <c r="D557" s="36" t="s">
        <v>1683</v>
      </c>
      <c r="E557" s="36">
        <v>13000.0</v>
      </c>
      <c r="F557" s="178" t="s">
        <v>67</v>
      </c>
    </row>
    <row r="558">
      <c r="A558" s="250">
        <v>43614.00015</v>
      </c>
      <c r="B558" s="251" t="s">
        <v>2016</v>
      </c>
      <c r="C558" s="178" t="s">
        <v>2203</v>
      </c>
      <c r="D558" s="36">
        <v>12500.0</v>
      </c>
      <c r="E558" s="36" t="s">
        <v>1683</v>
      </c>
      <c r="F558" s="178" t="s">
        <v>67</v>
      </c>
    </row>
    <row r="559">
      <c r="A559" s="250">
        <v>43614.00015</v>
      </c>
      <c r="B559" s="251" t="s">
        <v>1684</v>
      </c>
      <c r="C559" s="178" t="s">
        <v>2204</v>
      </c>
      <c r="D559" s="36" t="s">
        <v>1683</v>
      </c>
      <c r="E559" s="36">
        <v>12500.0</v>
      </c>
      <c r="F559" s="178" t="s">
        <v>67</v>
      </c>
    </row>
    <row r="560">
      <c r="A560" s="250">
        <v>43614.00015</v>
      </c>
      <c r="B560" s="251" t="s">
        <v>1774</v>
      </c>
      <c r="C560" s="178" t="s">
        <v>2205</v>
      </c>
      <c r="D560" s="36">
        <v>12500.0</v>
      </c>
      <c r="E560" s="36" t="s">
        <v>1683</v>
      </c>
      <c r="F560" s="178" t="s">
        <v>67</v>
      </c>
    </row>
    <row r="561">
      <c r="A561" s="250">
        <v>43614.00015</v>
      </c>
      <c r="B561" s="251" t="s">
        <v>2020</v>
      </c>
      <c r="C561" s="178" t="s">
        <v>2203</v>
      </c>
      <c r="D561" s="36" t="s">
        <v>1683</v>
      </c>
      <c r="E561" s="36">
        <v>12500.0</v>
      </c>
      <c r="F561" s="178" t="s">
        <v>67</v>
      </c>
    </row>
    <row r="562">
      <c r="A562" s="250">
        <v>43616.377791226856</v>
      </c>
      <c r="B562" s="251" t="s">
        <v>1702</v>
      </c>
      <c r="C562" s="178" t="s">
        <v>2206</v>
      </c>
      <c r="D562" s="36">
        <v>1000850.0</v>
      </c>
      <c r="E562" s="36" t="s">
        <v>1683</v>
      </c>
      <c r="F562" s="178" t="s">
        <v>443</v>
      </c>
    </row>
    <row r="563">
      <c r="A563" s="250">
        <v>43616.377791226856</v>
      </c>
      <c r="B563" s="251" t="s">
        <v>1684</v>
      </c>
      <c r="C563" s="178" t="s">
        <v>2207</v>
      </c>
      <c r="D563" s="36" t="s">
        <v>1683</v>
      </c>
      <c r="E563" s="36">
        <v>1000850.0</v>
      </c>
      <c r="F563" s="178" t="s">
        <v>443</v>
      </c>
    </row>
    <row r="564">
      <c r="A564" s="250">
        <v>43616.37822157407</v>
      </c>
      <c r="B564" s="251" t="s">
        <v>1702</v>
      </c>
      <c r="C564" s="178" t="s">
        <v>2208</v>
      </c>
      <c r="D564" s="36">
        <v>261091.0</v>
      </c>
      <c r="E564" s="36" t="s">
        <v>1683</v>
      </c>
      <c r="F564" s="178" t="s">
        <v>952</v>
      </c>
    </row>
    <row r="565">
      <c r="A565" s="250">
        <v>43616.37822157407</v>
      </c>
      <c r="B565" s="251" t="s">
        <v>1684</v>
      </c>
      <c r="C565" s="178" t="s">
        <v>2209</v>
      </c>
      <c r="D565" s="36" t="s">
        <v>1683</v>
      </c>
      <c r="E565" s="36">
        <v>261091.0</v>
      </c>
      <c r="F565" s="178" t="s">
        <v>952</v>
      </c>
    </row>
    <row r="566">
      <c r="A566" s="250">
        <v>43617.52585996527</v>
      </c>
      <c r="B566" s="251" t="s">
        <v>2210</v>
      </c>
      <c r="C566" s="178" t="s">
        <v>2211</v>
      </c>
      <c r="D566" s="36">
        <v>12338.420000000002</v>
      </c>
      <c r="E566" s="36" t="s">
        <v>1683</v>
      </c>
      <c r="F566" s="178" t="s">
        <v>1683</v>
      </c>
    </row>
    <row r="567">
      <c r="A567" s="250">
        <v>43617.52585996527</v>
      </c>
      <c r="B567" s="251" t="s">
        <v>2212</v>
      </c>
      <c r="C567" s="178" t="s">
        <v>2213</v>
      </c>
      <c r="D567" s="36" t="s">
        <v>1683</v>
      </c>
      <c r="E567" s="36">
        <v>12338.420000000002</v>
      </c>
      <c r="F567" s="178" t="s">
        <v>1683</v>
      </c>
    </row>
    <row r="568">
      <c r="A568" s="250">
        <v>43617.52716670139</v>
      </c>
      <c r="B568" s="251" t="s">
        <v>2214</v>
      </c>
      <c r="C568" s="178" t="s">
        <v>2215</v>
      </c>
      <c r="D568" s="36">
        <v>111045.78000000001</v>
      </c>
      <c r="E568" s="36" t="s">
        <v>1683</v>
      </c>
      <c r="F568" s="178" t="s">
        <v>1683</v>
      </c>
    </row>
    <row r="569">
      <c r="A569" s="250">
        <v>43617.52716670139</v>
      </c>
      <c r="B569" s="251" t="s">
        <v>2216</v>
      </c>
      <c r="C569" s="178" t="s">
        <v>2217</v>
      </c>
      <c r="D569" s="36" t="s">
        <v>1683</v>
      </c>
      <c r="E569" s="36">
        <v>111045.78000000001</v>
      </c>
      <c r="F569" s="178" t="s">
        <v>1683</v>
      </c>
    </row>
    <row r="570">
      <c r="A570" s="250">
        <v>43617.52728366898</v>
      </c>
      <c r="B570" s="251" t="s">
        <v>2214</v>
      </c>
      <c r="C570" s="178" t="s">
        <v>2218</v>
      </c>
      <c r="D570" s="36">
        <v>12338.420000000002</v>
      </c>
      <c r="E570" s="36" t="s">
        <v>1683</v>
      </c>
      <c r="F570" s="178" t="s">
        <v>1683</v>
      </c>
    </row>
    <row r="571">
      <c r="A571" s="250">
        <v>43617.52728366898</v>
      </c>
      <c r="B571" s="251" t="s">
        <v>2216</v>
      </c>
      <c r="C571" s="178" t="s">
        <v>2219</v>
      </c>
      <c r="D571" s="36" t="s">
        <v>1683</v>
      </c>
      <c r="E571" s="36">
        <v>12338.420000000002</v>
      </c>
      <c r="F571" s="178" t="s">
        <v>1683</v>
      </c>
    </row>
    <row r="572">
      <c r="A572" s="250">
        <v>43617.5281308912</v>
      </c>
      <c r="B572" s="251" t="s">
        <v>1839</v>
      </c>
      <c r="C572" s="178" t="s">
        <v>2220</v>
      </c>
      <c r="D572" s="36">
        <v>29200.0</v>
      </c>
      <c r="E572" s="36" t="s">
        <v>1683</v>
      </c>
      <c r="F572" s="178" t="s">
        <v>1683</v>
      </c>
    </row>
    <row r="573">
      <c r="A573" s="250">
        <v>43617.5281308912</v>
      </c>
      <c r="B573" s="251" t="s">
        <v>2221</v>
      </c>
      <c r="C573" s="178" t="s">
        <v>2222</v>
      </c>
      <c r="D573" s="36" t="s">
        <v>1683</v>
      </c>
      <c r="E573" s="36">
        <v>29200.0</v>
      </c>
      <c r="F573" s="178" t="s">
        <v>1683</v>
      </c>
    </row>
    <row r="574">
      <c r="A574" s="250">
        <v>43617.529104814814</v>
      </c>
      <c r="B574" s="251" t="s">
        <v>2068</v>
      </c>
      <c r="C574" s="178" t="s">
        <v>2223</v>
      </c>
      <c r="D574" s="36">
        <v>15000.0</v>
      </c>
      <c r="E574" s="36" t="s">
        <v>1683</v>
      </c>
      <c r="F574" s="178" t="s">
        <v>1683</v>
      </c>
    </row>
    <row r="575">
      <c r="A575" s="250">
        <v>43617.529104814814</v>
      </c>
      <c r="B575" s="251" t="s">
        <v>2070</v>
      </c>
      <c r="C575" s="178" t="s">
        <v>2224</v>
      </c>
      <c r="D575" s="36" t="s">
        <v>1683</v>
      </c>
      <c r="E575" s="36">
        <v>15000.0</v>
      </c>
      <c r="F575" s="178" t="s">
        <v>1683</v>
      </c>
    </row>
    <row r="576">
      <c r="A576" s="250">
        <v>43617.5296243287</v>
      </c>
      <c r="B576" s="251" t="s">
        <v>1990</v>
      </c>
      <c r="C576" s="178" t="s">
        <v>2225</v>
      </c>
      <c r="D576" s="36">
        <v>50427.028888888875</v>
      </c>
      <c r="E576" s="36" t="s">
        <v>1683</v>
      </c>
      <c r="F576" s="178" t="s">
        <v>1683</v>
      </c>
    </row>
    <row r="577">
      <c r="A577" s="250">
        <v>43617.5296243287</v>
      </c>
      <c r="B577" s="251" t="s">
        <v>1992</v>
      </c>
      <c r="C577" s="178" t="s">
        <v>2226</v>
      </c>
      <c r="D577" s="36" t="s">
        <v>1683</v>
      </c>
      <c r="E577" s="36">
        <v>50427.028888888875</v>
      </c>
      <c r="F577" s="178" t="s">
        <v>1683</v>
      </c>
    </row>
    <row r="578">
      <c r="A578" s="250">
        <v>43617.530187743054</v>
      </c>
      <c r="B578" s="251" t="s">
        <v>2227</v>
      </c>
      <c r="C578" s="178" t="s">
        <v>2228</v>
      </c>
      <c r="D578" s="36">
        <v>13072.0</v>
      </c>
      <c r="E578" s="36" t="s">
        <v>1683</v>
      </c>
      <c r="F578" s="178" t="s">
        <v>1683</v>
      </c>
    </row>
    <row r="579">
      <c r="A579" s="250">
        <v>43617.530187743054</v>
      </c>
      <c r="B579" s="251" t="s">
        <v>2229</v>
      </c>
      <c r="C579" s="178" t="s">
        <v>2230</v>
      </c>
      <c r="D579" s="36" t="s">
        <v>1683</v>
      </c>
      <c r="E579" s="36">
        <v>13072.0</v>
      </c>
      <c r="F579" s="178" t="s">
        <v>1683</v>
      </c>
    </row>
    <row r="580">
      <c r="A580" s="250">
        <v>43617.530923935185</v>
      </c>
      <c r="B580" s="251" t="s">
        <v>1793</v>
      </c>
      <c r="C580" s="178" t="s">
        <v>2231</v>
      </c>
      <c r="D580" s="36">
        <v>12222.81778085856</v>
      </c>
      <c r="E580" s="36" t="s">
        <v>1683</v>
      </c>
      <c r="F580" s="178" t="s">
        <v>1683</v>
      </c>
    </row>
    <row r="581">
      <c r="A581" s="250">
        <v>43617.530923935185</v>
      </c>
      <c r="B581" s="251" t="s">
        <v>2232</v>
      </c>
      <c r="C581" s="178" t="s">
        <v>2233</v>
      </c>
      <c r="D581" s="36" t="s">
        <v>1683</v>
      </c>
      <c r="E581" s="36">
        <v>12222.81778085856</v>
      </c>
      <c r="F581" s="178" t="s">
        <v>1683</v>
      </c>
    </row>
    <row r="582">
      <c r="A582" s="250">
        <v>43617.53118262731</v>
      </c>
      <c r="B582" s="251" t="s">
        <v>2053</v>
      </c>
      <c r="C582" s="178" t="s">
        <v>2234</v>
      </c>
      <c r="D582" s="36">
        <v>7538.970464524753</v>
      </c>
      <c r="E582" s="36" t="s">
        <v>1683</v>
      </c>
      <c r="F582" s="178" t="s">
        <v>1683</v>
      </c>
    </row>
    <row r="583">
      <c r="A583" s="250">
        <v>43617.53118262731</v>
      </c>
      <c r="B583" s="251" t="s">
        <v>2055</v>
      </c>
      <c r="C583" s="178" t="s">
        <v>2235</v>
      </c>
      <c r="D583" s="36" t="s">
        <v>1683</v>
      </c>
      <c r="E583" s="36">
        <v>7538.970464524753</v>
      </c>
      <c r="F583" s="178" t="s">
        <v>1683</v>
      </c>
    </row>
    <row r="584">
      <c r="A584" s="250">
        <v>43617.53274729167</v>
      </c>
      <c r="B584" s="251" t="s">
        <v>1793</v>
      </c>
      <c r="C584" s="178" t="s">
        <v>2236</v>
      </c>
      <c r="D584" s="36">
        <v>24445.63556171712</v>
      </c>
      <c r="E584" s="36" t="s">
        <v>1683</v>
      </c>
      <c r="F584" s="178" t="s">
        <v>1683</v>
      </c>
    </row>
    <row r="585">
      <c r="A585" s="250">
        <v>43617.53274729167</v>
      </c>
      <c r="B585" s="251" t="s">
        <v>2232</v>
      </c>
      <c r="C585" s="178" t="s">
        <v>2237</v>
      </c>
      <c r="D585" s="36" t="s">
        <v>1683</v>
      </c>
      <c r="E585" s="36">
        <v>24445.63556171712</v>
      </c>
      <c r="F585" s="178" t="s">
        <v>1683</v>
      </c>
    </row>
    <row r="586">
      <c r="A586" s="250">
        <v>43617.53369336805</v>
      </c>
      <c r="B586" s="251" t="s">
        <v>1774</v>
      </c>
      <c r="C586" s="178" t="s">
        <v>2238</v>
      </c>
      <c r="D586" s="36">
        <v>6576.548703096061</v>
      </c>
      <c r="E586" s="36" t="s">
        <v>1683</v>
      </c>
      <c r="F586" s="178" t="s">
        <v>1683</v>
      </c>
    </row>
    <row r="587">
      <c r="A587" s="250">
        <v>43617.53369336805</v>
      </c>
      <c r="B587" s="251" t="s">
        <v>2239</v>
      </c>
      <c r="C587" s="178" t="s">
        <v>2240</v>
      </c>
      <c r="D587" s="36" t="s">
        <v>1683</v>
      </c>
      <c r="E587" s="36">
        <v>6576.548703096061</v>
      </c>
      <c r="F587" s="178" t="s">
        <v>1683</v>
      </c>
    </row>
    <row r="588">
      <c r="A588" s="250">
        <v>43617.53485038195</v>
      </c>
      <c r="B588" s="251" t="s">
        <v>2049</v>
      </c>
      <c r="C588" s="178" t="s">
        <v>2241</v>
      </c>
      <c r="D588" s="36">
        <v>73345.371</v>
      </c>
      <c r="E588" s="36" t="s">
        <v>1683</v>
      </c>
      <c r="F588" s="178" t="s">
        <v>1683</v>
      </c>
    </row>
    <row r="589">
      <c r="A589" s="250">
        <v>43617.53485038195</v>
      </c>
      <c r="B589" s="251" t="s">
        <v>2051</v>
      </c>
      <c r="C589" s="178" t="s">
        <v>2242</v>
      </c>
      <c r="D589" s="36" t="s">
        <v>1683</v>
      </c>
      <c r="E589" s="36">
        <v>73345.371</v>
      </c>
      <c r="F589" s="178" t="s">
        <v>1683</v>
      </c>
    </row>
    <row r="590">
      <c r="A590" s="250">
        <v>43617.53539096065</v>
      </c>
      <c r="B590" s="251" t="s">
        <v>2243</v>
      </c>
      <c r="C590" s="178" t="s">
        <v>2244</v>
      </c>
      <c r="D590" s="36">
        <v>300.0</v>
      </c>
      <c r="E590" s="36" t="s">
        <v>1683</v>
      </c>
      <c r="F590" s="178" t="s">
        <v>1683</v>
      </c>
    </row>
    <row r="591">
      <c r="A591" s="250">
        <v>43617.53539096065</v>
      </c>
      <c r="B591" s="251" t="s">
        <v>2245</v>
      </c>
      <c r="C591" s="178" t="s">
        <v>2246</v>
      </c>
      <c r="D591" s="36" t="s">
        <v>1683</v>
      </c>
      <c r="E591" s="36">
        <v>300.0</v>
      </c>
      <c r="F591" s="178" t="s">
        <v>1683</v>
      </c>
    </row>
    <row r="592">
      <c r="A592" s="250">
        <v>43617.96661548611</v>
      </c>
      <c r="B592" s="251" t="s">
        <v>1702</v>
      </c>
      <c r="C592" s="178" t="s">
        <v>2247</v>
      </c>
      <c r="D592" s="36">
        <v>725433.9519230769</v>
      </c>
      <c r="E592" s="36" t="s">
        <v>1683</v>
      </c>
      <c r="F592" s="178" t="s">
        <v>65</v>
      </c>
    </row>
    <row r="593">
      <c r="A593" s="250">
        <v>43617.96661548611</v>
      </c>
      <c r="B593" s="251" t="s">
        <v>1684</v>
      </c>
      <c r="C593" s="178" t="s">
        <v>2248</v>
      </c>
      <c r="D593" s="36" t="s">
        <v>1683</v>
      </c>
      <c r="E593" s="36">
        <v>725433.9519230769</v>
      </c>
      <c r="F593" s="178" t="s">
        <v>65</v>
      </c>
    </row>
    <row r="594">
      <c r="A594" s="250">
        <v>43617.971808124996</v>
      </c>
      <c r="B594" s="251" t="s">
        <v>1693</v>
      </c>
      <c r="C594" s="178" t="s">
        <v>2249</v>
      </c>
      <c r="D594" s="36">
        <v>489700.0</v>
      </c>
      <c r="E594" s="36" t="s">
        <v>1683</v>
      </c>
      <c r="F594" s="178" t="s">
        <v>633</v>
      </c>
    </row>
    <row r="595">
      <c r="A595" s="250">
        <v>43617.971808124996</v>
      </c>
      <c r="B595" s="251" t="s">
        <v>1684</v>
      </c>
      <c r="C595" s="178" t="s">
        <v>2250</v>
      </c>
      <c r="D595" s="36" t="s">
        <v>1683</v>
      </c>
      <c r="E595" s="36">
        <v>489700.0</v>
      </c>
      <c r="F595" s="178" t="s">
        <v>633</v>
      </c>
    </row>
    <row r="596">
      <c r="A596" s="250">
        <v>43620.63428061343</v>
      </c>
      <c r="B596" s="251" t="s">
        <v>1702</v>
      </c>
      <c r="C596" s="178" t="s">
        <v>2251</v>
      </c>
      <c r="D596" s="36">
        <v>419839.99999999994</v>
      </c>
      <c r="E596" s="36" t="s">
        <v>1683</v>
      </c>
      <c r="F596" s="178" t="s">
        <v>692</v>
      </c>
    </row>
    <row r="597">
      <c r="A597" s="250">
        <v>43620.63428061343</v>
      </c>
      <c r="B597" s="251" t="s">
        <v>1684</v>
      </c>
      <c r="C597" s="178" t="s">
        <v>2252</v>
      </c>
      <c r="D597" s="36" t="s">
        <v>1683</v>
      </c>
      <c r="E597" s="36">
        <v>419839.99999999994</v>
      </c>
      <c r="F597" s="178" t="s">
        <v>692</v>
      </c>
    </row>
    <row r="598">
      <c r="A598" s="250">
        <v>43634.00058</v>
      </c>
      <c r="B598" s="251" t="s">
        <v>1783</v>
      </c>
      <c r="C598" s="178" t="s">
        <v>2253</v>
      </c>
      <c r="D598" s="36">
        <v>146000.0</v>
      </c>
      <c r="E598" s="36" t="s">
        <v>1683</v>
      </c>
      <c r="F598" s="178" t="s">
        <v>47</v>
      </c>
    </row>
    <row r="599">
      <c r="A599" s="250">
        <v>43634.00058</v>
      </c>
      <c r="B599" s="251" t="s">
        <v>1684</v>
      </c>
      <c r="C599" s="178" t="s">
        <v>2254</v>
      </c>
      <c r="D599" s="36" t="s">
        <v>1683</v>
      </c>
      <c r="E599" s="36">
        <v>146000.0</v>
      </c>
      <c r="F599" s="178" t="s">
        <v>47</v>
      </c>
    </row>
    <row r="600">
      <c r="A600" s="250">
        <v>43639.94842092593</v>
      </c>
      <c r="B600" s="251" t="s">
        <v>1844</v>
      </c>
      <c r="C600" s="178" t="s">
        <v>2255</v>
      </c>
      <c r="D600" s="36">
        <v>1000850.0</v>
      </c>
      <c r="E600" s="36" t="s">
        <v>1683</v>
      </c>
      <c r="F600" s="178" t="s">
        <v>443</v>
      </c>
    </row>
    <row r="601">
      <c r="A601" s="250">
        <v>43639.94842092593</v>
      </c>
      <c r="B601" s="251" t="s">
        <v>1776</v>
      </c>
      <c r="C601" s="178" t="s">
        <v>2206</v>
      </c>
      <c r="D601" s="36" t="s">
        <v>1683</v>
      </c>
      <c r="E601" s="36">
        <v>1000850.0</v>
      </c>
      <c r="F601" s="178" t="s">
        <v>443</v>
      </c>
    </row>
    <row r="602">
      <c r="A602" s="250">
        <v>43639.94908201389</v>
      </c>
      <c r="B602" s="251" t="s">
        <v>2158</v>
      </c>
      <c r="C602" s="178" t="s">
        <v>2256</v>
      </c>
      <c r="D602" s="36">
        <v>489700.0</v>
      </c>
      <c r="E602" s="36" t="s">
        <v>1683</v>
      </c>
      <c r="F602" s="178" t="s">
        <v>633</v>
      </c>
    </row>
    <row r="603">
      <c r="A603" s="250">
        <v>43639.94908201389</v>
      </c>
      <c r="B603" s="251" t="s">
        <v>1698</v>
      </c>
      <c r="C603" s="178" t="s">
        <v>2249</v>
      </c>
      <c r="D603" s="36" t="s">
        <v>1683</v>
      </c>
      <c r="E603" s="36">
        <v>489700.0</v>
      </c>
      <c r="F603" s="178" t="s">
        <v>633</v>
      </c>
    </row>
    <row r="604">
      <c r="A604" s="250">
        <v>43639.94917</v>
      </c>
      <c r="B604" s="251" t="s">
        <v>1896</v>
      </c>
      <c r="C604" s="178" t="s">
        <v>2257</v>
      </c>
      <c r="D604" s="36">
        <v>725433.9519230769</v>
      </c>
      <c r="E604" s="36" t="s">
        <v>1683</v>
      </c>
      <c r="F604" s="178" t="s">
        <v>65</v>
      </c>
    </row>
    <row r="605">
      <c r="A605" s="250">
        <v>43639.94917</v>
      </c>
      <c r="B605" s="251" t="s">
        <v>1776</v>
      </c>
      <c r="C605" s="178" t="s">
        <v>2247</v>
      </c>
      <c r="D605" s="36" t="s">
        <v>1683</v>
      </c>
      <c r="E605" s="36">
        <v>725433.9519230769</v>
      </c>
      <c r="F605" s="178" t="s">
        <v>65</v>
      </c>
    </row>
    <row r="606">
      <c r="A606" s="250">
        <v>43640.00045</v>
      </c>
      <c r="B606" s="251" t="s">
        <v>1846</v>
      </c>
      <c r="C606" s="178" t="s">
        <v>2258</v>
      </c>
      <c r="D606" s="36">
        <v>261091.0</v>
      </c>
      <c r="E606" s="36" t="s">
        <v>1683</v>
      </c>
      <c r="F606" s="178" t="s">
        <v>952</v>
      </c>
    </row>
    <row r="607">
      <c r="A607" s="250">
        <v>43640.00045</v>
      </c>
      <c r="B607" s="251" t="s">
        <v>1776</v>
      </c>
      <c r="C607" s="178" t="s">
        <v>2208</v>
      </c>
      <c r="D607" s="36" t="s">
        <v>1683</v>
      </c>
      <c r="E607" s="36">
        <v>261091.0</v>
      </c>
      <c r="F607" s="178" t="s">
        <v>952</v>
      </c>
    </row>
    <row r="608">
      <c r="A608" s="250">
        <v>43640.58746769676</v>
      </c>
      <c r="B608" s="251" t="s">
        <v>1839</v>
      </c>
      <c r="C608" s="178" t="s">
        <v>2259</v>
      </c>
      <c r="D608" s="36">
        <v>146000.0</v>
      </c>
      <c r="E608" s="36" t="s">
        <v>1683</v>
      </c>
      <c r="F608" s="178" t="s">
        <v>47</v>
      </c>
    </row>
    <row r="609">
      <c r="A609" s="250">
        <v>43640.58746769676</v>
      </c>
      <c r="B609" s="251" t="s">
        <v>1802</v>
      </c>
      <c r="C609" s="178" t="s">
        <v>2253</v>
      </c>
      <c r="D609" s="36" t="s">
        <v>1683</v>
      </c>
      <c r="E609" s="36">
        <v>146000.0</v>
      </c>
      <c r="F609" s="178" t="s">
        <v>47</v>
      </c>
    </row>
    <row r="610">
      <c r="A610" s="250">
        <v>43644.0009</v>
      </c>
      <c r="B610" s="251" t="s">
        <v>1783</v>
      </c>
      <c r="C610" s="178" t="s">
        <v>2260</v>
      </c>
      <c r="D610" s="36">
        <v>149999.99999999997</v>
      </c>
      <c r="E610" s="36" t="s">
        <v>1683</v>
      </c>
      <c r="F610" s="178" t="s">
        <v>982</v>
      </c>
    </row>
    <row r="611">
      <c r="A611" s="250">
        <v>43644.0009</v>
      </c>
      <c r="B611" s="251" t="s">
        <v>1684</v>
      </c>
      <c r="C611" s="178" t="s">
        <v>2261</v>
      </c>
      <c r="D611" s="36" t="s">
        <v>1683</v>
      </c>
      <c r="E611" s="36">
        <v>149999.99999999997</v>
      </c>
      <c r="F611" s="178" t="s">
        <v>982</v>
      </c>
    </row>
    <row r="612">
      <c r="A612" s="250">
        <v>43644.00091</v>
      </c>
      <c r="B612" s="251" t="s">
        <v>1783</v>
      </c>
      <c r="C612" s="178" t="s">
        <v>2262</v>
      </c>
      <c r="D612" s="36">
        <v>149999.99999999997</v>
      </c>
      <c r="E612" s="36" t="s">
        <v>1683</v>
      </c>
      <c r="F612" s="178" t="s">
        <v>983</v>
      </c>
    </row>
    <row r="613">
      <c r="A613" s="250">
        <v>43644.00091</v>
      </c>
      <c r="B613" s="251" t="s">
        <v>1684</v>
      </c>
      <c r="C613" s="178" t="s">
        <v>2263</v>
      </c>
      <c r="D613" s="36" t="s">
        <v>1683</v>
      </c>
      <c r="E613" s="36">
        <v>149999.99999999997</v>
      </c>
      <c r="F613" s="178" t="s">
        <v>983</v>
      </c>
    </row>
    <row r="614">
      <c r="A614" s="250">
        <v>43645.97553516203</v>
      </c>
      <c r="B614" s="251" t="s">
        <v>2264</v>
      </c>
      <c r="C614" s="178" t="s">
        <v>2265</v>
      </c>
      <c r="D614" s="36">
        <v>489.00000000000273</v>
      </c>
      <c r="E614" s="36" t="s">
        <v>1683</v>
      </c>
      <c r="F614" s="178" t="s">
        <v>327</v>
      </c>
    </row>
    <row r="615">
      <c r="A615" s="250">
        <v>43645.97553516203</v>
      </c>
      <c r="B615" s="251" t="s">
        <v>1776</v>
      </c>
      <c r="C615" s="178" t="s">
        <v>2145</v>
      </c>
      <c r="D615" s="36" t="s">
        <v>1683</v>
      </c>
      <c r="E615" s="36">
        <v>489.00000000000273</v>
      </c>
      <c r="F615" s="178" t="s">
        <v>327</v>
      </c>
    </row>
    <row r="616">
      <c r="A616" s="250">
        <v>43647.00069</v>
      </c>
      <c r="B616" s="251" t="s">
        <v>2266</v>
      </c>
      <c r="C616" s="178" t="s">
        <v>2267</v>
      </c>
      <c r="D616" s="36">
        <v>419839.99999999994</v>
      </c>
      <c r="E616" s="36" t="s">
        <v>1683</v>
      </c>
      <c r="F616" s="178" t="s">
        <v>692</v>
      </c>
    </row>
    <row r="617">
      <c r="A617" s="250">
        <v>43647.00069</v>
      </c>
      <c r="B617" s="251" t="s">
        <v>1776</v>
      </c>
      <c r="C617" s="178" t="s">
        <v>2251</v>
      </c>
      <c r="D617" s="36" t="s">
        <v>1683</v>
      </c>
      <c r="E617" s="36">
        <v>419839.99999999994</v>
      </c>
      <c r="F617" s="178" t="s">
        <v>692</v>
      </c>
    </row>
    <row r="618">
      <c r="A618" s="250">
        <v>43647.00088</v>
      </c>
      <c r="B618" s="251" t="s">
        <v>1783</v>
      </c>
      <c r="C618" s="178" t="s">
        <v>2268</v>
      </c>
      <c r="D618" s="36">
        <v>149999.99999999997</v>
      </c>
      <c r="E618" s="36" t="s">
        <v>1683</v>
      </c>
      <c r="F618" s="178" t="s">
        <v>980</v>
      </c>
    </row>
    <row r="619">
      <c r="A619" s="250">
        <v>43647.00088</v>
      </c>
      <c r="B619" s="251" t="s">
        <v>1684</v>
      </c>
      <c r="C619" s="178" t="s">
        <v>2269</v>
      </c>
      <c r="D619" s="36" t="s">
        <v>1683</v>
      </c>
      <c r="E619" s="36">
        <v>149999.99999999997</v>
      </c>
      <c r="F619" s="178" t="s">
        <v>980</v>
      </c>
    </row>
    <row r="620">
      <c r="A620" s="250">
        <v>43647.00089</v>
      </c>
      <c r="B620" s="251" t="s">
        <v>1783</v>
      </c>
      <c r="C620" s="178" t="s">
        <v>2270</v>
      </c>
      <c r="D620" s="36">
        <v>149999.99999999997</v>
      </c>
      <c r="E620" s="36" t="s">
        <v>1683</v>
      </c>
      <c r="F620" s="178" t="s">
        <v>981</v>
      </c>
    </row>
    <row r="621">
      <c r="A621" s="250">
        <v>43647.00089</v>
      </c>
      <c r="B621" s="251" t="s">
        <v>1684</v>
      </c>
      <c r="C621" s="178" t="s">
        <v>2271</v>
      </c>
      <c r="D621" s="36" t="s">
        <v>1683</v>
      </c>
      <c r="E621" s="36">
        <v>149999.99999999997</v>
      </c>
      <c r="F621" s="178" t="s">
        <v>981</v>
      </c>
    </row>
    <row r="622">
      <c r="A622" s="250">
        <v>43647.0009</v>
      </c>
      <c r="B622" s="251" t="s">
        <v>2272</v>
      </c>
      <c r="C622" s="178" t="s">
        <v>2273</v>
      </c>
      <c r="D622" s="36">
        <v>149999.99999999997</v>
      </c>
      <c r="E622" s="36" t="s">
        <v>1683</v>
      </c>
      <c r="F622" s="178" t="s">
        <v>982</v>
      </c>
    </row>
    <row r="623">
      <c r="A623" s="250">
        <v>43647.0009</v>
      </c>
      <c r="B623" s="251" t="s">
        <v>1802</v>
      </c>
      <c r="C623" s="178" t="s">
        <v>2260</v>
      </c>
      <c r="D623" s="36" t="s">
        <v>1683</v>
      </c>
      <c r="E623" s="36">
        <v>149999.99999999997</v>
      </c>
      <c r="F623" s="178" t="s">
        <v>982</v>
      </c>
    </row>
    <row r="624">
      <c r="A624" s="250">
        <v>43647.00091</v>
      </c>
      <c r="B624" s="251" t="s">
        <v>2272</v>
      </c>
      <c r="C624" s="178" t="s">
        <v>2274</v>
      </c>
      <c r="D624" s="36">
        <v>149999.99999999997</v>
      </c>
      <c r="E624" s="36" t="s">
        <v>1683</v>
      </c>
      <c r="F624" s="178" t="s">
        <v>983</v>
      </c>
    </row>
    <row r="625">
      <c r="A625" s="250">
        <v>43647.00091</v>
      </c>
      <c r="B625" s="251" t="s">
        <v>1802</v>
      </c>
      <c r="C625" s="178" t="s">
        <v>2262</v>
      </c>
      <c r="D625" s="36" t="s">
        <v>1683</v>
      </c>
      <c r="E625" s="36">
        <v>149999.99999999997</v>
      </c>
      <c r="F625" s="178" t="s">
        <v>983</v>
      </c>
    </row>
    <row r="626">
      <c r="A626" s="250">
        <v>43652.00088</v>
      </c>
      <c r="B626" s="251" t="s">
        <v>2272</v>
      </c>
      <c r="C626" s="178" t="s">
        <v>2275</v>
      </c>
      <c r="D626" s="36">
        <v>149999.99999999997</v>
      </c>
      <c r="E626" s="36" t="s">
        <v>1683</v>
      </c>
      <c r="F626" s="178" t="s">
        <v>980</v>
      </c>
    </row>
    <row r="627">
      <c r="A627" s="250">
        <v>43652.00088</v>
      </c>
      <c r="B627" s="251" t="s">
        <v>1802</v>
      </c>
      <c r="C627" s="178" t="s">
        <v>2268</v>
      </c>
      <c r="D627" s="36" t="s">
        <v>1683</v>
      </c>
      <c r="E627" s="36">
        <v>149999.99999999997</v>
      </c>
      <c r="F627" s="178" t="s">
        <v>980</v>
      </c>
    </row>
    <row r="628">
      <c r="A628" s="250">
        <v>43652.00089</v>
      </c>
      <c r="B628" s="251" t="s">
        <v>2272</v>
      </c>
      <c r="C628" s="178" t="s">
        <v>2276</v>
      </c>
      <c r="D628" s="36">
        <v>149999.99999999997</v>
      </c>
      <c r="E628" s="36" t="s">
        <v>1683</v>
      </c>
      <c r="F628" s="178" t="s">
        <v>981</v>
      </c>
    </row>
    <row r="629">
      <c r="A629" s="250">
        <v>43652.00089</v>
      </c>
      <c r="B629" s="251" t="s">
        <v>1802</v>
      </c>
      <c r="C629" s="178" t="s">
        <v>2270</v>
      </c>
      <c r="D629" s="36" t="s">
        <v>1683</v>
      </c>
      <c r="E629" s="36">
        <v>149999.99999999997</v>
      </c>
      <c r="F629" s="178" t="s">
        <v>981</v>
      </c>
    </row>
    <row r="630">
      <c r="A630" s="250">
        <v>43678.00044</v>
      </c>
      <c r="B630" s="251" t="s">
        <v>1768</v>
      </c>
      <c r="C630" s="178" t="s">
        <v>2277</v>
      </c>
      <c r="D630" s="36">
        <v>26200.0</v>
      </c>
      <c r="E630" s="36" t="s">
        <v>1683</v>
      </c>
      <c r="F630" s="178" t="s">
        <v>1683</v>
      </c>
    </row>
    <row r="631">
      <c r="A631" s="250">
        <v>43678.00044</v>
      </c>
      <c r="B631" s="251" t="s">
        <v>2278</v>
      </c>
      <c r="C631" s="178" t="s">
        <v>2279</v>
      </c>
      <c r="D631" s="36" t="s">
        <v>1683</v>
      </c>
      <c r="E631" s="36">
        <v>26200.0</v>
      </c>
      <c r="F631" s="178" t="s">
        <v>1683</v>
      </c>
    </row>
    <row r="632">
      <c r="A632" s="250">
        <v>43719.00025</v>
      </c>
      <c r="B632" s="251" t="s">
        <v>1702</v>
      </c>
      <c r="C632" s="178" t="s">
        <v>2280</v>
      </c>
      <c r="D632" s="36">
        <v>768757.0</v>
      </c>
      <c r="E632" s="36" t="s">
        <v>1683</v>
      </c>
      <c r="F632" s="178" t="s">
        <v>63</v>
      </c>
    </row>
    <row r="633">
      <c r="A633" s="250">
        <v>43719.00025</v>
      </c>
      <c r="B633" s="251" t="s">
        <v>1684</v>
      </c>
      <c r="C633" s="178" t="s">
        <v>2281</v>
      </c>
      <c r="D633" s="36" t="s">
        <v>1683</v>
      </c>
      <c r="E633" s="36">
        <v>768757.0</v>
      </c>
      <c r="F633" s="178" t="s">
        <v>63</v>
      </c>
    </row>
    <row r="634">
      <c r="A634" s="250">
        <v>43719.00058</v>
      </c>
      <c r="B634" s="251" t="s">
        <v>1702</v>
      </c>
      <c r="C634" s="178" t="s">
        <v>2282</v>
      </c>
      <c r="D634" s="36">
        <v>754635.0</v>
      </c>
      <c r="E634" s="36" t="s">
        <v>1683</v>
      </c>
      <c r="F634" s="178" t="s">
        <v>95</v>
      </c>
    </row>
    <row r="635">
      <c r="A635" s="250">
        <v>43719.00058</v>
      </c>
      <c r="B635" s="251" t="s">
        <v>1684</v>
      </c>
      <c r="C635" s="178" t="s">
        <v>2283</v>
      </c>
      <c r="D635" s="36" t="s">
        <v>1683</v>
      </c>
      <c r="E635" s="36">
        <v>754635.0</v>
      </c>
      <c r="F635" s="178" t="s">
        <v>95</v>
      </c>
    </row>
    <row r="636">
      <c r="A636" s="250">
        <v>43724.00017</v>
      </c>
      <c r="B636" s="251" t="s">
        <v>1681</v>
      </c>
      <c r="C636" s="178" t="s">
        <v>2284</v>
      </c>
      <c r="D636" s="36"/>
      <c r="E636" s="36" t="s">
        <v>1683</v>
      </c>
      <c r="F636" s="178" t="s">
        <v>238</v>
      </c>
    </row>
    <row r="637">
      <c r="A637" s="250">
        <v>43724.00017</v>
      </c>
      <c r="B637" s="251" t="s">
        <v>1684</v>
      </c>
      <c r="C637" s="178" t="s">
        <v>2285</v>
      </c>
      <c r="D637" s="36" t="s">
        <v>1683</v>
      </c>
      <c r="E637" s="36"/>
      <c r="F637" s="178" t="s">
        <v>238</v>
      </c>
    </row>
    <row r="638">
      <c r="A638" s="250">
        <v>43724.00017</v>
      </c>
      <c r="B638" s="251" t="s">
        <v>1952</v>
      </c>
      <c r="C638" s="178" t="s">
        <v>2286</v>
      </c>
      <c r="D638" s="36"/>
      <c r="E638" s="36" t="s">
        <v>1683</v>
      </c>
      <c r="F638" s="178" t="s">
        <v>238</v>
      </c>
    </row>
    <row r="639">
      <c r="A639" s="250">
        <v>43724.00017</v>
      </c>
      <c r="B639" s="251" t="s">
        <v>1688</v>
      </c>
      <c r="C639" s="178" t="s">
        <v>2284</v>
      </c>
      <c r="D639" s="36" t="s">
        <v>1683</v>
      </c>
      <c r="E639" s="36"/>
      <c r="F639" s="178" t="s">
        <v>238</v>
      </c>
    </row>
    <row r="640">
      <c r="A640" s="250">
        <v>43749.797302719904</v>
      </c>
      <c r="B640" s="251" t="s">
        <v>1896</v>
      </c>
      <c r="C640" s="178" t="s">
        <v>2287</v>
      </c>
      <c r="D640" s="36">
        <v>768757.0</v>
      </c>
      <c r="E640" s="36" t="s">
        <v>1683</v>
      </c>
      <c r="F640" s="178" t="s">
        <v>63</v>
      </c>
    </row>
    <row r="641">
      <c r="A641" s="250">
        <v>43749.797302719904</v>
      </c>
      <c r="B641" s="251" t="s">
        <v>1776</v>
      </c>
      <c r="C641" s="178" t="s">
        <v>2280</v>
      </c>
      <c r="D641" s="36" t="s">
        <v>1683</v>
      </c>
      <c r="E641" s="36">
        <v>768757.0</v>
      </c>
      <c r="F641" s="178" t="s">
        <v>63</v>
      </c>
    </row>
    <row r="642">
      <c r="A642" s="250">
        <v>43749.7976490625</v>
      </c>
      <c r="B642" s="251" t="s">
        <v>1930</v>
      </c>
      <c r="C642" s="178" t="s">
        <v>2288</v>
      </c>
      <c r="D642" s="36">
        <v>754635.0</v>
      </c>
      <c r="E642" s="36" t="s">
        <v>1683</v>
      </c>
      <c r="F642" s="178" t="s">
        <v>95</v>
      </c>
    </row>
    <row r="643">
      <c r="A643" s="250">
        <v>43749.7976490625</v>
      </c>
      <c r="B643" s="251" t="s">
        <v>1776</v>
      </c>
      <c r="C643" s="178" t="s">
        <v>2282</v>
      </c>
      <c r="D643" s="36" t="s">
        <v>1683</v>
      </c>
      <c r="E643" s="36">
        <v>754635.0</v>
      </c>
      <c r="F643" s="178" t="s">
        <v>95</v>
      </c>
    </row>
    <row r="644">
      <c r="A644" s="250">
        <v>43751.376855497685</v>
      </c>
      <c r="B644" s="251" t="s">
        <v>1702</v>
      </c>
      <c r="C644" s="178" t="s">
        <v>2289</v>
      </c>
      <c r="D644" s="36">
        <v>343532.09169831796</v>
      </c>
      <c r="E644" s="36" t="s">
        <v>1683</v>
      </c>
      <c r="F644" s="178" t="s">
        <v>442</v>
      </c>
    </row>
    <row r="645">
      <c r="A645" s="250">
        <v>43751.376855497685</v>
      </c>
      <c r="B645" s="251" t="s">
        <v>1684</v>
      </c>
      <c r="C645" s="178" t="s">
        <v>2290</v>
      </c>
      <c r="D645" s="36" t="s">
        <v>1683</v>
      </c>
      <c r="E645" s="36">
        <v>343532.09169831796</v>
      </c>
      <c r="F645" s="178" t="s">
        <v>442</v>
      </c>
    </row>
    <row r="646">
      <c r="A646" s="250">
        <v>43751.37729497685</v>
      </c>
      <c r="B646" s="251" t="s">
        <v>1702</v>
      </c>
      <c r="C646" s="178" t="s">
        <v>2291</v>
      </c>
      <c r="D646" s="36">
        <v>188062.90830168204</v>
      </c>
      <c r="E646" s="36" t="s">
        <v>1683</v>
      </c>
      <c r="F646" s="178" t="s">
        <v>951</v>
      </c>
    </row>
    <row r="647">
      <c r="A647" s="250">
        <v>43751.37729497685</v>
      </c>
      <c r="B647" s="251" t="s">
        <v>1684</v>
      </c>
      <c r="C647" s="178" t="s">
        <v>2292</v>
      </c>
      <c r="D647" s="36" t="s">
        <v>1683</v>
      </c>
      <c r="E647" s="36">
        <v>188062.90830168204</v>
      </c>
      <c r="F647" s="178" t="s">
        <v>951</v>
      </c>
    </row>
    <row r="648">
      <c r="A648" s="250">
        <v>43767.00002</v>
      </c>
      <c r="B648" s="251" t="s">
        <v>1844</v>
      </c>
      <c r="C648" s="178" t="s">
        <v>2293</v>
      </c>
      <c r="D648" s="36">
        <v>343532.09169831796</v>
      </c>
      <c r="E648" s="36" t="s">
        <v>1683</v>
      </c>
      <c r="F648" s="178" t="s">
        <v>442</v>
      </c>
    </row>
    <row r="649">
      <c r="A649" s="250">
        <v>43767.00002</v>
      </c>
      <c r="B649" s="251" t="s">
        <v>1776</v>
      </c>
      <c r="C649" s="178" t="s">
        <v>2289</v>
      </c>
      <c r="D649" s="36" t="s">
        <v>1683</v>
      </c>
      <c r="E649" s="36">
        <v>343532.09169831796</v>
      </c>
      <c r="F649" s="178" t="s">
        <v>442</v>
      </c>
    </row>
    <row r="650">
      <c r="A650" s="250">
        <v>43767.00044</v>
      </c>
      <c r="B650" s="251" t="s">
        <v>1846</v>
      </c>
      <c r="C650" s="178" t="s">
        <v>2294</v>
      </c>
      <c r="D650" s="36">
        <v>188062.90830168204</v>
      </c>
      <c r="E650" s="36" t="s">
        <v>1683</v>
      </c>
      <c r="F650" s="178" t="s">
        <v>951</v>
      </c>
    </row>
    <row r="651">
      <c r="A651" s="250">
        <v>43767.00044</v>
      </c>
      <c r="B651" s="251" t="s">
        <v>1776</v>
      </c>
      <c r="C651" s="178" t="s">
        <v>2291</v>
      </c>
      <c r="D651" s="36" t="s">
        <v>1683</v>
      </c>
      <c r="E651" s="36">
        <v>188062.90830168204</v>
      </c>
      <c r="F651" s="178" t="s">
        <v>951</v>
      </c>
    </row>
    <row r="652">
      <c r="A652" s="250">
        <v>43771.00035</v>
      </c>
      <c r="B652" s="251" t="s">
        <v>1693</v>
      </c>
      <c r="C652" s="178" t="s">
        <v>2295</v>
      </c>
      <c r="D652" s="36">
        <v>91776.00000000001</v>
      </c>
      <c r="E652" s="36" t="s">
        <v>1683</v>
      </c>
      <c r="F652" s="178" t="s">
        <v>565</v>
      </c>
    </row>
    <row r="653">
      <c r="A653" s="250">
        <v>43771.00035</v>
      </c>
      <c r="B653" s="251" t="s">
        <v>1684</v>
      </c>
      <c r="C653" s="178" t="s">
        <v>2296</v>
      </c>
      <c r="D653" s="36" t="s">
        <v>1683</v>
      </c>
      <c r="E653" s="36">
        <v>91776.00000000001</v>
      </c>
      <c r="F653" s="178" t="s">
        <v>565</v>
      </c>
    </row>
    <row r="654">
      <c r="A654" s="250">
        <v>43773.00095</v>
      </c>
      <c r="B654" s="251" t="s">
        <v>1783</v>
      </c>
      <c r="C654" s="178" t="s">
        <v>2297</v>
      </c>
      <c r="D654" s="36">
        <v>210000.00000000003</v>
      </c>
      <c r="E654" s="36" t="s">
        <v>1683</v>
      </c>
      <c r="F654" s="178" t="s">
        <v>47</v>
      </c>
    </row>
    <row r="655">
      <c r="A655" s="250">
        <v>43773.00095</v>
      </c>
      <c r="B655" s="251" t="s">
        <v>1684</v>
      </c>
      <c r="C655" s="178" t="s">
        <v>2298</v>
      </c>
      <c r="D655" s="36" t="s">
        <v>1683</v>
      </c>
      <c r="E655" s="36">
        <v>210000.00000000003</v>
      </c>
      <c r="F655" s="178" t="s">
        <v>47</v>
      </c>
    </row>
    <row r="656">
      <c r="A656" s="250">
        <v>43774.00002</v>
      </c>
      <c r="B656" s="251" t="s">
        <v>1783</v>
      </c>
      <c r="C656" s="178" t="s">
        <v>2299</v>
      </c>
      <c r="D656" s="36">
        <v>21000.0</v>
      </c>
      <c r="E656" s="36" t="s">
        <v>1683</v>
      </c>
      <c r="F656" s="178" t="s">
        <v>47</v>
      </c>
    </row>
    <row r="657">
      <c r="A657" s="250">
        <v>43774.00002</v>
      </c>
      <c r="B657" s="251" t="s">
        <v>1684</v>
      </c>
      <c r="C657" s="178" t="s">
        <v>2300</v>
      </c>
      <c r="D657" s="36" t="s">
        <v>1683</v>
      </c>
      <c r="E657" s="36">
        <v>21000.0</v>
      </c>
      <c r="F657" s="178" t="s">
        <v>47</v>
      </c>
    </row>
    <row r="658">
      <c r="A658" s="250">
        <v>43774.00046</v>
      </c>
      <c r="B658" s="251" t="s">
        <v>1783</v>
      </c>
      <c r="C658" s="178" t="s">
        <v>2301</v>
      </c>
      <c r="D658" s="36">
        <v>21000.0</v>
      </c>
      <c r="E658" s="36" t="s">
        <v>1683</v>
      </c>
      <c r="F658" s="178" t="s">
        <v>47</v>
      </c>
    </row>
    <row r="659">
      <c r="A659" s="250">
        <v>43774.00046</v>
      </c>
      <c r="B659" s="251" t="s">
        <v>1684</v>
      </c>
      <c r="C659" s="178" t="s">
        <v>2302</v>
      </c>
      <c r="D659" s="36" t="s">
        <v>1683</v>
      </c>
      <c r="E659" s="36">
        <v>21000.0</v>
      </c>
      <c r="F659" s="178" t="s">
        <v>47</v>
      </c>
    </row>
    <row r="660">
      <c r="A660" s="250">
        <v>43774.0005</v>
      </c>
      <c r="B660" s="251" t="s">
        <v>1783</v>
      </c>
      <c r="C660" s="178" t="s">
        <v>2303</v>
      </c>
      <c r="D660" s="36">
        <v>21000.0</v>
      </c>
      <c r="E660" s="36" t="s">
        <v>1683</v>
      </c>
      <c r="F660" s="178" t="s">
        <v>47</v>
      </c>
    </row>
    <row r="661">
      <c r="A661" s="250">
        <v>43774.0005</v>
      </c>
      <c r="B661" s="251" t="s">
        <v>1684</v>
      </c>
      <c r="C661" s="178" t="s">
        <v>2304</v>
      </c>
      <c r="D661" s="36" t="s">
        <v>1683</v>
      </c>
      <c r="E661" s="36">
        <v>21000.0</v>
      </c>
      <c r="F661" s="178" t="s">
        <v>47</v>
      </c>
    </row>
    <row r="662">
      <c r="A662" s="250">
        <v>43774.0007</v>
      </c>
      <c r="B662" s="251" t="s">
        <v>1783</v>
      </c>
      <c r="C662" s="178" t="s">
        <v>2305</v>
      </c>
      <c r="D662" s="36">
        <v>21000.0</v>
      </c>
      <c r="E662" s="36" t="s">
        <v>1683</v>
      </c>
      <c r="F662" s="178" t="s">
        <v>47</v>
      </c>
    </row>
    <row r="663">
      <c r="A663" s="250">
        <v>43774.0007</v>
      </c>
      <c r="B663" s="251" t="s">
        <v>1684</v>
      </c>
      <c r="C663" s="178" t="s">
        <v>2306</v>
      </c>
      <c r="D663" s="36" t="s">
        <v>1683</v>
      </c>
      <c r="E663" s="36">
        <v>21000.0</v>
      </c>
      <c r="F663" s="178" t="s">
        <v>47</v>
      </c>
    </row>
    <row r="664">
      <c r="A664" s="250">
        <v>43774.0008</v>
      </c>
      <c r="B664" s="251" t="s">
        <v>1783</v>
      </c>
      <c r="C664" s="178" t="s">
        <v>2307</v>
      </c>
      <c r="D664" s="36">
        <v>21000.0</v>
      </c>
      <c r="E664" s="36" t="s">
        <v>1683</v>
      </c>
      <c r="F664" s="178" t="s">
        <v>47</v>
      </c>
    </row>
    <row r="665">
      <c r="A665" s="250">
        <v>43774.0008</v>
      </c>
      <c r="B665" s="251" t="s">
        <v>1684</v>
      </c>
      <c r="C665" s="178" t="s">
        <v>2308</v>
      </c>
      <c r="D665" s="36" t="s">
        <v>1683</v>
      </c>
      <c r="E665" s="36">
        <v>21000.0</v>
      </c>
      <c r="F665" s="178" t="s">
        <v>47</v>
      </c>
    </row>
    <row r="666">
      <c r="A666" s="250">
        <v>43774.00095</v>
      </c>
      <c r="B666" s="251" t="s">
        <v>1783</v>
      </c>
      <c r="C666" s="178" t="s">
        <v>2309</v>
      </c>
      <c r="D666" s="36">
        <v>21000.0</v>
      </c>
      <c r="E666" s="36" t="s">
        <v>1683</v>
      </c>
      <c r="F666" s="178" t="s">
        <v>47</v>
      </c>
    </row>
    <row r="667">
      <c r="A667" s="250">
        <v>43774.00095</v>
      </c>
      <c r="B667" s="251" t="s">
        <v>1684</v>
      </c>
      <c r="C667" s="178" t="s">
        <v>2310</v>
      </c>
      <c r="D667" s="36" t="s">
        <v>1683</v>
      </c>
      <c r="E667" s="36">
        <v>21000.0</v>
      </c>
      <c r="F667" s="178" t="s">
        <v>47</v>
      </c>
    </row>
    <row r="668">
      <c r="A668" s="250">
        <v>43775.00095</v>
      </c>
      <c r="B668" s="251" t="s">
        <v>1958</v>
      </c>
      <c r="C668" s="178" t="s">
        <v>2311</v>
      </c>
      <c r="D668" s="36">
        <v>210000.00000000003</v>
      </c>
      <c r="E668" s="36" t="s">
        <v>1683</v>
      </c>
      <c r="F668" s="178" t="s">
        <v>47</v>
      </c>
    </row>
    <row r="669">
      <c r="A669" s="250">
        <v>43775.00095</v>
      </c>
      <c r="B669" s="251" t="s">
        <v>1802</v>
      </c>
      <c r="C669" s="178" t="s">
        <v>2297</v>
      </c>
      <c r="D669" s="36" t="s">
        <v>1683</v>
      </c>
      <c r="E669" s="36">
        <v>210000.00000000003</v>
      </c>
      <c r="F669" s="178" t="s">
        <v>47</v>
      </c>
    </row>
    <row r="670">
      <c r="A670" s="250">
        <v>43777.00002</v>
      </c>
      <c r="B670" s="251" t="s">
        <v>2312</v>
      </c>
      <c r="C670" s="178" t="s">
        <v>2313</v>
      </c>
      <c r="D670" s="36">
        <v>21000.0</v>
      </c>
      <c r="E670" s="36" t="s">
        <v>1683</v>
      </c>
      <c r="F670" s="178" t="s">
        <v>47</v>
      </c>
    </row>
    <row r="671">
      <c r="A671" s="250">
        <v>43777.00002</v>
      </c>
      <c r="B671" s="251" t="s">
        <v>1802</v>
      </c>
      <c r="C671" s="178" t="s">
        <v>2299</v>
      </c>
      <c r="D671" s="36" t="s">
        <v>1683</v>
      </c>
      <c r="E671" s="36">
        <v>21000.0</v>
      </c>
      <c r="F671" s="178" t="s">
        <v>47</v>
      </c>
    </row>
    <row r="672">
      <c r="A672" s="250">
        <v>43777.00046</v>
      </c>
      <c r="B672" s="251" t="s">
        <v>2314</v>
      </c>
      <c r="C672" s="178" t="s">
        <v>2315</v>
      </c>
      <c r="D672" s="36">
        <v>21000.0</v>
      </c>
      <c r="E672" s="36" t="s">
        <v>1683</v>
      </c>
      <c r="F672" s="178" t="s">
        <v>47</v>
      </c>
    </row>
    <row r="673">
      <c r="A673" s="250">
        <v>43777.00046</v>
      </c>
      <c r="B673" s="251" t="s">
        <v>1802</v>
      </c>
      <c r="C673" s="178" t="s">
        <v>2301</v>
      </c>
      <c r="D673" s="36" t="s">
        <v>1683</v>
      </c>
      <c r="E673" s="36">
        <v>21000.0</v>
      </c>
      <c r="F673" s="178" t="s">
        <v>47</v>
      </c>
    </row>
    <row r="674">
      <c r="A674" s="250">
        <v>43777.0005</v>
      </c>
      <c r="B674" s="251" t="s">
        <v>2316</v>
      </c>
      <c r="C674" s="178" t="s">
        <v>2317</v>
      </c>
      <c r="D674" s="36">
        <v>21000.0</v>
      </c>
      <c r="E674" s="36" t="s">
        <v>1683</v>
      </c>
      <c r="F674" s="178" t="s">
        <v>47</v>
      </c>
    </row>
    <row r="675">
      <c r="A675" s="250">
        <v>43777.0005</v>
      </c>
      <c r="B675" s="251" t="s">
        <v>1802</v>
      </c>
      <c r="C675" s="178" t="s">
        <v>2303</v>
      </c>
      <c r="D675" s="36" t="s">
        <v>1683</v>
      </c>
      <c r="E675" s="36">
        <v>21000.0</v>
      </c>
      <c r="F675" s="178" t="s">
        <v>47</v>
      </c>
    </row>
    <row r="676">
      <c r="A676" s="250">
        <v>43777.0007</v>
      </c>
      <c r="B676" s="251" t="s">
        <v>2318</v>
      </c>
      <c r="C676" s="178" t="s">
        <v>2319</v>
      </c>
      <c r="D676" s="36">
        <v>21000.0</v>
      </c>
      <c r="E676" s="36" t="s">
        <v>1683</v>
      </c>
      <c r="F676" s="178" t="s">
        <v>47</v>
      </c>
    </row>
    <row r="677">
      <c r="A677" s="250">
        <v>43777.0007</v>
      </c>
      <c r="B677" s="251" t="s">
        <v>1802</v>
      </c>
      <c r="C677" s="178" t="s">
        <v>2305</v>
      </c>
      <c r="D677" s="36" t="s">
        <v>1683</v>
      </c>
      <c r="E677" s="36">
        <v>21000.0</v>
      </c>
      <c r="F677" s="178" t="s">
        <v>47</v>
      </c>
    </row>
    <row r="678">
      <c r="A678" s="250">
        <v>43777.0008</v>
      </c>
      <c r="B678" s="251" t="s">
        <v>2320</v>
      </c>
      <c r="C678" s="178" t="s">
        <v>2321</v>
      </c>
      <c r="D678" s="36">
        <v>21000.0</v>
      </c>
      <c r="E678" s="36" t="s">
        <v>1683</v>
      </c>
      <c r="F678" s="178" t="s">
        <v>47</v>
      </c>
    </row>
    <row r="679">
      <c r="A679" s="250">
        <v>43777.0008</v>
      </c>
      <c r="B679" s="251" t="s">
        <v>1802</v>
      </c>
      <c r="C679" s="178" t="s">
        <v>2307</v>
      </c>
      <c r="D679" s="36" t="s">
        <v>1683</v>
      </c>
      <c r="E679" s="36">
        <v>21000.0</v>
      </c>
      <c r="F679" s="178" t="s">
        <v>47</v>
      </c>
    </row>
    <row r="680">
      <c r="A680" s="250">
        <v>43777.00095</v>
      </c>
      <c r="B680" s="251" t="s">
        <v>2322</v>
      </c>
      <c r="C680" s="178" t="s">
        <v>2323</v>
      </c>
      <c r="D680" s="36">
        <v>21000.0</v>
      </c>
      <c r="E680" s="36" t="s">
        <v>1683</v>
      </c>
      <c r="F680" s="178" t="s">
        <v>47</v>
      </c>
    </row>
    <row r="681">
      <c r="A681" s="250">
        <v>43777.00095</v>
      </c>
      <c r="B681" s="251" t="s">
        <v>1802</v>
      </c>
      <c r="C681" s="178" t="s">
        <v>2309</v>
      </c>
      <c r="D681" s="36" t="s">
        <v>1683</v>
      </c>
      <c r="E681" s="36">
        <v>21000.0</v>
      </c>
      <c r="F681" s="178" t="s">
        <v>47</v>
      </c>
    </row>
    <row r="682">
      <c r="A682" s="250">
        <v>43780.00035</v>
      </c>
      <c r="B682" s="251" t="s">
        <v>2324</v>
      </c>
      <c r="C682" s="178" t="s">
        <v>2325</v>
      </c>
      <c r="D682" s="36">
        <v>91776.00000000001</v>
      </c>
      <c r="E682" s="36" t="s">
        <v>1683</v>
      </c>
      <c r="F682" s="178" t="s">
        <v>565</v>
      </c>
    </row>
    <row r="683">
      <c r="A683" s="250">
        <v>43780.00035</v>
      </c>
      <c r="B683" s="251" t="s">
        <v>1698</v>
      </c>
      <c r="C683" s="178" t="s">
        <v>2295</v>
      </c>
      <c r="D683" s="36" t="s">
        <v>1683</v>
      </c>
      <c r="E683" s="36">
        <v>91776.00000000001</v>
      </c>
      <c r="F683" s="178" t="s">
        <v>565</v>
      </c>
    </row>
    <row r="684">
      <c r="A684" s="250">
        <v>43780.80729717592</v>
      </c>
      <c r="B684" s="251" t="s">
        <v>1702</v>
      </c>
      <c r="C684" s="178" t="s">
        <v>2326</v>
      </c>
      <c r="D684" s="36">
        <v>42963.036809815945</v>
      </c>
      <c r="E684" s="36" t="s">
        <v>1683</v>
      </c>
      <c r="F684" s="178" t="s">
        <v>526</v>
      </c>
    </row>
    <row r="685">
      <c r="A685" s="250">
        <v>43780.80729717592</v>
      </c>
      <c r="B685" s="251" t="s">
        <v>1684</v>
      </c>
      <c r="C685" s="178" t="s">
        <v>2327</v>
      </c>
      <c r="D685" s="36" t="s">
        <v>1683</v>
      </c>
      <c r="E685" s="36">
        <v>42963.036809815945</v>
      </c>
      <c r="F685" s="178" t="s">
        <v>526</v>
      </c>
    </row>
    <row r="686">
      <c r="A686" s="250">
        <v>43780.80762809028</v>
      </c>
      <c r="B686" s="251" t="s">
        <v>1702</v>
      </c>
      <c r="C686" s="178" t="s">
        <v>2328</v>
      </c>
      <c r="D686" s="36">
        <v>42963.036809815945</v>
      </c>
      <c r="E686" s="36" t="s">
        <v>1683</v>
      </c>
      <c r="F686" s="178" t="s">
        <v>526</v>
      </c>
    </row>
    <row r="687">
      <c r="A687" s="250">
        <v>43780.80762809028</v>
      </c>
      <c r="B687" s="251" t="s">
        <v>1684</v>
      </c>
      <c r="C687" s="178" t="s">
        <v>2329</v>
      </c>
      <c r="D687" s="36" t="s">
        <v>1683</v>
      </c>
      <c r="E687" s="36">
        <v>42963.036809815945</v>
      </c>
      <c r="F687" s="178" t="s">
        <v>526</v>
      </c>
    </row>
    <row r="688">
      <c r="A688" s="250">
        <v>43780.807965300926</v>
      </c>
      <c r="B688" s="251" t="s">
        <v>1702</v>
      </c>
      <c r="C688" s="178" t="s">
        <v>2330</v>
      </c>
      <c r="D688" s="36">
        <v>42963.036809815945</v>
      </c>
      <c r="E688" s="36" t="s">
        <v>1683</v>
      </c>
      <c r="F688" s="178" t="s">
        <v>526</v>
      </c>
    </row>
    <row r="689">
      <c r="A689" s="250">
        <v>43780.807965300926</v>
      </c>
      <c r="B689" s="251" t="s">
        <v>1684</v>
      </c>
      <c r="C689" s="178" t="s">
        <v>2331</v>
      </c>
      <c r="D689" s="36" t="s">
        <v>1683</v>
      </c>
      <c r="E689" s="36">
        <v>42963.036809815945</v>
      </c>
      <c r="F689" s="178" t="s">
        <v>526</v>
      </c>
    </row>
    <row r="690">
      <c r="A690" s="250">
        <v>43780.80811427084</v>
      </c>
      <c r="B690" s="251" t="s">
        <v>1702</v>
      </c>
      <c r="C690" s="178" t="s">
        <v>2332</v>
      </c>
      <c r="D690" s="36">
        <v>50409.96319018404</v>
      </c>
      <c r="E690" s="36" t="s">
        <v>1683</v>
      </c>
      <c r="F690" s="178" t="s">
        <v>526</v>
      </c>
    </row>
    <row r="691">
      <c r="A691" s="250">
        <v>43780.80811427084</v>
      </c>
      <c r="B691" s="251" t="s">
        <v>1684</v>
      </c>
      <c r="C691" s="178" t="s">
        <v>2333</v>
      </c>
      <c r="D691" s="36" t="s">
        <v>1683</v>
      </c>
      <c r="E691" s="36">
        <v>50409.96319018404</v>
      </c>
      <c r="F691" s="178" t="s">
        <v>526</v>
      </c>
    </row>
    <row r="692">
      <c r="A692" s="250">
        <v>43780.80844471065</v>
      </c>
      <c r="B692" s="251" t="s">
        <v>1702</v>
      </c>
      <c r="C692" s="178" t="s">
        <v>2334</v>
      </c>
      <c r="D692" s="36">
        <v>50409.96319018404</v>
      </c>
      <c r="E692" s="36" t="s">
        <v>1683</v>
      </c>
      <c r="F692" s="178" t="s">
        <v>526</v>
      </c>
    </row>
    <row r="693">
      <c r="A693" s="250">
        <v>43780.80844471065</v>
      </c>
      <c r="B693" s="251" t="s">
        <v>1684</v>
      </c>
      <c r="C693" s="178" t="s">
        <v>2335</v>
      </c>
      <c r="D693" s="36" t="s">
        <v>1683</v>
      </c>
      <c r="E693" s="36">
        <v>50409.96319018404</v>
      </c>
      <c r="F693" s="178" t="s">
        <v>526</v>
      </c>
    </row>
    <row r="694">
      <c r="A694" s="250">
        <v>43780.808496157406</v>
      </c>
      <c r="B694" s="251" t="s">
        <v>1702</v>
      </c>
      <c r="C694" s="178" t="s">
        <v>2336</v>
      </c>
      <c r="D694" s="36">
        <v>50409.96319018404</v>
      </c>
      <c r="E694" s="36" t="s">
        <v>1683</v>
      </c>
      <c r="F694" s="178" t="s">
        <v>526</v>
      </c>
    </row>
    <row r="695">
      <c r="A695" s="250">
        <v>43780.808496157406</v>
      </c>
      <c r="B695" s="251" t="s">
        <v>1684</v>
      </c>
      <c r="C695" s="178" t="s">
        <v>2337</v>
      </c>
      <c r="D695" s="36" t="s">
        <v>1683</v>
      </c>
      <c r="E695" s="36">
        <v>50409.96319018404</v>
      </c>
      <c r="F695" s="178" t="s">
        <v>526</v>
      </c>
    </row>
    <row r="696">
      <c r="A696" s="250">
        <v>43782.00024</v>
      </c>
      <c r="B696" s="251" t="s">
        <v>1702</v>
      </c>
      <c r="C696" s="178" t="s">
        <v>2338</v>
      </c>
      <c r="D696" s="36">
        <v>592204.0907059874</v>
      </c>
      <c r="E696" s="36" t="s">
        <v>1683</v>
      </c>
      <c r="F696" s="178" t="s">
        <v>62</v>
      </c>
    </row>
    <row r="697">
      <c r="A697" s="250">
        <v>43782.00024</v>
      </c>
      <c r="B697" s="251" t="s">
        <v>1684</v>
      </c>
      <c r="C697" s="178" t="s">
        <v>2339</v>
      </c>
      <c r="D697" s="36" t="s">
        <v>1683</v>
      </c>
      <c r="E697" s="36">
        <v>592204.0907059874</v>
      </c>
      <c r="F697" s="178" t="s">
        <v>62</v>
      </c>
    </row>
    <row r="698">
      <c r="A698" s="250">
        <v>43782.00057</v>
      </c>
      <c r="B698" s="251" t="s">
        <v>1702</v>
      </c>
      <c r="C698" s="178" t="s">
        <v>2340</v>
      </c>
      <c r="D698" s="36">
        <v>711512.9092940125</v>
      </c>
      <c r="E698" s="36" t="s">
        <v>1683</v>
      </c>
      <c r="F698" s="178" t="s">
        <v>62</v>
      </c>
    </row>
    <row r="699">
      <c r="A699" s="250">
        <v>43782.00057</v>
      </c>
      <c r="B699" s="251" t="s">
        <v>1684</v>
      </c>
      <c r="C699" s="178" t="s">
        <v>2341</v>
      </c>
      <c r="D699" s="36" t="s">
        <v>1683</v>
      </c>
      <c r="E699" s="36">
        <v>711512.9092940125</v>
      </c>
      <c r="F699" s="178" t="s">
        <v>62</v>
      </c>
    </row>
    <row r="700">
      <c r="A700" s="250">
        <v>43797.00014</v>
      </c>
      <c r="B700" s="251" t="s">
        <v>1774</v>
      </c>
      <c r="C700" s="178" t="s">
        <v>2342</v>
      </c>
      <c r="D700" s="36">
        <v>42963.036809815945</v>
      </c>
      <c r="E700" s="36" t="s">
        <v>1683</v>
      </c>
      <c r="F700" s="178" t="s">
        <v>526</v>
      </c>
    </row>
    <row r="701">
      <c r="A701" s="250">
        <v>43797.00014</v>
      </c>
      <c r="B701" s="251" t="s">
        <v>1776</v>
      </c>
      <c r="C701" s="178" t="s">
        <v>2326</v>
      </c>
      <c r="D701" s="36" t="s">
        <v>1683</v>
      </c>
      <c r="E701" s="36">
        <v>42963.036809815945</v>
      </c>
      <c r="F701" s="178" t="s">
        <v>526</v>
      </c>
    </row>
    <row r="702">
      <c r="A702" s="250">
        <v>43797.00034</v>
      </c>
      <c r="B702" s="251" t="s">
        <v>2324</v>
      </c>
      <c r="C702" s="178" t="s">
        <v>2343</v>
      </c>
      <c r="D702" s="36">
        <v>50409.96319018404</v>
      </c>
      <c r="E702" s="36" t="s">
        <v>1683</v>
      </c>
      <c r="F702" s="178" t="s">
        <v>526</v>
      </c>
    </row>
    <row r="703">
      <c r="A703" s="250">
        <v>43797.00034</v>
      </c>
      <c r="B703" s="251" t="s">
        <v>1776</v>
      </c>
      <c r="C703" s="178" t="s">
        <v>2334</v>
      </c>
      <c r="D703" s="36" t="s">
        <v>1683</v>
      </c>
      <c r="E703" s="36">
        <v>50409.96319018404</v>
      </c>
      <c r="F703" s="178" t="s">
        <v>526</v>
      </c>
    </row>
    <row r="704">
      <c r="A704" s="250">
        <v>43797.00046</v>
      </c>
      <c r="B704" s="251" t="s">
        <v>1786</v>
      </c>
      <c r="C704" s="178" t="s">
        <v>2344</v>
      </c>
      <c r="D704" s="36">
        <v>42963.036809815945</v>
      </c>
      <c r="E704" s="36" t="s">
        <v>1683</v>
      </c>
      <c r="F704" s="178" t="s">
        <v>526</v>
      </c>
    </row>
    <row r="705">
      <c r="A705" s="250">
        <v>43797.00046</v>
      </c>
      <c r="B705" s="251" t="s">
        <v>1776</v>
      </c>
      <c r="C705" s="178" t="s">
        <v>2328</v>
      </c>
      <c r="D705" s="36" t="s">
        <v>1683</v>
      </c>
      <c r="E705" s="36">
        <v>42963.036809815945</v>
      </c>
      <c r="F705" s="178" t="s">
        <v>526</v>
      </c>
    </row>
    <row r="706">
      <c r="A706" s="250">
        <v>43797.00061</v>
      </c>
      <c r="B706" s="251" t="s">
        <v>2345</v>
      </c>
      <c r="C706" s="178" t="s">
        <v>2346</v>
      </c>
      <c r="D706" s="36">
        <v>50409.96319018404</v>
      </c>
      <c r="E706" s="36" t="s">
        <v>1683</v>
      </c>
      <c r="F706" s="178" t="s">
        <v>526</v>
      </c>
    </row>
    <row r="707">
      <c r="A707" s="250">
        <v>43797.00061</v>
      </c>
      <c r="B707" s="251" t="s">
        <v>1776</v>
      </c>
      <c r="C707" s="178" t="s">
        <v>2332</v>
      </c>
      <c r="D707" s="36" t="s">
        <v>1683</v>
      </c>
      <c r="E707" s="36">
        <v>50409.96319018404</v>
      </c>
      <c r="F707" s="178" t="s">
        <v>526</v>
      </c>
    </row>
    <row r="708">
      <c r="A708" s="250">
        <v>43797.00082</v>
      </c>
      <c r="B708" s="251" t="s">
        <v>1793</v>
      </c>
      <c r="C708" s="178" t="s">
        <v>2347</v>
      </c>
      <c r="D708" s="36">
        <v>42963.036809815945</v>
      </c>
      <c r="E708" s="36" t="s">
        <v>1683</v>
      </c>
      <c r="F708" s="178" t="s">
        <v>526</v>
      </c>
    </row>
    <row r="709">
      <c r="A709" s="250">
        <v>43797.00082</v>
      </c>
      <c r="B709" s="251" t="s">
        <v>1776</v>
      </c>
      <c r="C709" s="178" t="s">
        <v>2330</v>
      </c>
      <c r="D709" s="36" t="s">
        <v>1683</v>
      </c>
      <c r="E709" s="36">
        <v>42963.036809815945</v>
      </c>
      <c r="F709" s="178" t="s">
        <v>526</v>
      </c>
    </row>
    <row r="710">
      <c r="A710" s="250">
        <v>43797.00098</v>
      </c>
      <c r="B710" s="251" t="s">
        <v>2348</v>
      </c>
      <c r="C710" s="178" t="s">
        <v>2349</v>
      </c>
      <c r="D710" s="36">
        <v>50409.96319018404</v>
      </c>
      <c r="E710" s="36" t="s">
        <v>1683</v>
      </c>
      <c r="F710" s="178" t="s">
        <v>526</v>
      </c>
    </row>
    <row r="711">
      <c r="A711" s="250">
        <v>43797.00098</v>
      </c>
      <c r="B711" s="251" t="s">
        <v>1776</v>
      </c>
      <c r="C711" s="178" t="s">
        <v>2336</v>
      </c>
      <c r="D711" s="36" t="s">
        <v>1683</v>
      </c>
      <c r="E711" s="36">
        <v>50409.96319018404</v>
      </c>
      <c r="F711" s="178" t="s">
        <v>526</v>
      </c>
    </row>
    <row r="712">
      <c r="A712" s="250">
        <v>43798.00023</v>
      </c>
      <c r="B712" s="251" t="s">
        <v>1702</v>
      </c>
      <c r="C712" s="178" t="s">
        <v>2350</v>
      </c>
      <c r="D712" s="36">
        <v>654623.4999999999</v>
      </c>
      <c r="E712" s="36" t="s">
        <v>1683</v>
      </c>
      <c r="F712" s="178" t="s">
        <v>61</v>
      </c>
    </row>
    <row r="713">
      <c r="A713" s="250">
        <v>43798.00023</v>
      </c>
      <c r="B713" s="251" t="s">
        <v>1684</v>
      </c>
      <c r="C713" s="178" t="s">
        <v>2351</v>
      </c>
      <c r="D713" s="36" t="s">
        <v>1683</v>
      </c>
      <c r="E713" s="36">
        <v>654623.4999999999</v>
      </c>
      <c r="F713" s="178" t="s">
        <v>61</v>
      </c>
    </row>
    <row r="714">
      <c r="A714" s="250">
        <v>43798.00056</v>
      </c>
      <c r="B714" s="251" t="s">
        <v>1702</v>
      </c>
      <c r="C714" s="178" t="s">
        <v>2352</v>
      </c>
      <c r="D714" s="36">
        <v>654623.4999999999</v>
      </c>
      <c r="E714" s="36" t="s">
        <v>1683</v>
      </c>
      <c r="F714" s="178" t="s">
        <v>61</v>
      </c>
    </row>
    <row r="715">
      <c r="A715" s="250">
        <v>43798.00056</v>
      </c>
      <c r="B715" s="251" t="s">
        <v>1684</v>
      </c>
      <c r="C715" s="178" t="s">
        <v>2353</v>
      </c>
      <c r="D715" s="36" t="s">
        <v>1683</v>
      </c>
      <c r="E715" s="36">
        <v>654623.4999999999</v>
      </c>
      <c r="F715" s="178" t="s">
        <v>61</v>
      </c>
    </row>
    <row r="716">
      <c r="A716" s="250">
        <v>43804.00045</v>
      </c>
      <c r="B716" s="251" t="s">
        <v>2016</v>
      </c>
      <c r="C716" s="178" t="s">
        <v>2354</v>
      </c>
      <c r="D716" s="36">
        <v>110000.0</v>
      </c>
      <c r="E716" s="36" t="s">
        <v>1683</v>
      </c>
      <c r="F716" s="178" t="s">
        <v>67</v>
      </c>
    </row>
    <row r="717">
      <c r="A717" s="250">
        <v>43804.00045</v>
      </c>
      <c r="B717" s="251" t="s">
        <v>1684</v>
      </c>
      <c r="C717" s="178" t="s">
        <v>2355</v>
      </c>
      <c r="D717" s="36" t="s">
        <v>1683</v>
      </c>
      <c r="E717" s="36">
        <v>110000.0</v>
      </c>
      <c r="F717" s="178" t="s">
        <v>67</v>
      </c>
    </row>
    <row r="718">
      <c r="A718" s="250">
        <v>43804.00045</v>
      </c>
      <c r="B718" s="251" t="s">
        <v>1786</v>
      </c>
      <c r="C718" s="178" t="s">
        <v>2356</v>
      </c>
      <c r="D718" s="36">
        <v>110000.0</v>
      </c>
      <c r="E718" s="36" t="s">
        <v>1683</v>
      </c>
      <c r="F718" s="178" t="s">
        <v>67</v>
      </c>
    </row>
    <row r="719">
      <c r="A719" s="250">
        <v>43804.00045</v>
      </c>
      <c r="B719" s="251" t="s">
        <v>2020</v>
      </c>
      <c r="C719" s="178" t="s">
        <v>2354</v>
      </c>
      <c r="D719" s="36" t="s">
        <v>1683</v>
      </c>
      <c r="E719" s="36">
        <v>110000.0</v>
      </c>
      <c r="F719" s="178" t="s">
        <v>67</v>
      </c>
    </row>
    <row r="720">
      <c r="A720" s="250">
        <v>43810.00024</v>
      </c>
      <c r="B720" s="251" t="s">
        <v>1896</v>
      </c>
      <c r="C720" s="178" t="s">
        <v>2357</v>
      </c>
      <c r="D720" s="36">
        <v>592204.0907059874</v>
      </c>
      <c r="E720" s="36" t="s">
        <v>1683</v>
      </c>
      <c r="F720" s="178" t="s">
        <v>62</v>
      </c>
    </row>
    <row r="721">
      <c r="A721" s="250">
        <v>43810.00024</v>
      </c>
      <c r="B721" s="251" t="s">
        <v>1776</v>
      </c>
      <c r="C721" s="178" t="s">
        <v>2338</v>
      </c>
      <c r="D721" s="36" t="s">
        <v>1683</v>
      </c>
      <c r="E721" s="36">
        <v>592204.0907059874</v>
      </c>
      <c r="F721" s="178" t="s">
        <v>62</v>
      </c>
    </row>
    <row r="722">
      <c r="A722" s="250">
        <v>43810.00057</v>
      </c>
      <c r="B722" s="251" t="s">
        <v>1930</v>
      </c>
      <c r="C722" s="178" t="s">
        <v>2358</v>
      </c>
      <c r="D722" s="36">
        <v>711512.9092940125</v>
      </c>
      <c r="E722" s="36" t="s">
        <v>1683</v>
      </c>
      <c r="F722" s="178" t="s">
        <v>62</v>
      </c>
    </row>
    <row r="723">
      <c r="A723" s="250">
        <v>43810.00057</v>
      </c>
      <c r="B723" s="251" t="s">
        <v>1776</v>
      </c>
      <c r="C723" s="178" t="s">
        <v>2340</v>
      </c>
      <c r="D723" s="36" t="s">
        <v>1683</v>
      </c>
      <c r="E723" s="36">
        <v>711512.9092940125</v>
      </c>
      <c r="F723" s="178" t="s">
        <v>62</v>
      </c>
    </row>
    <row r="724">
      <c r="A724" s="250">
        <v>43811.00044</v>
      </c>
      <c r="B724" s="251" t="s">
        <v>1702</v>
      </c>
      <c r="C724" s="178" t="s">
        <v>2359</v>
      </c>
      <c r="D724" s="36">
        <v>236330.0</v>
      </c>
      <c r="E724" s="36" t="s">
        <v>1683</v>
      </c>
      <c r="F724" s="178" t="s">
        <v>572</v>
      </c>
    </row>
    <row r="725">
      <c r="A725" s="250">
        <v>43811.00044</v>
      </c>
      <c r="B725" s="251" t="s">
        <v>1684</v>
      </c>
      <c r="C725" s="178" t="s">
        <v>2360</v>
      </c>
      <c r="D725" s="36" t="s">
        <v>1683</v>
      </c>
      <c r="E725" s="36">
        <v>236330.0</v>
      </c>
      <c r="F725" s="178" t="s">
        <v>572</v>
      </c>
    </row>
    <row r="726">
      <c r="A726" s="250">
        <v>43829.00023</v>
      </c>
      <c r="B726" s="251" t="s">
        <v>1896</v>
      </c>
      <c r="C726" s="178" t="s">
        <v>2361</v>
      </c>
      <c r="D726" s="36">
        <v>654623.4999999999</v>
      </c>
      <c r="E726" s="36" t="s">
        <v>1683</v>
      </c>
      <c r="F726" s="178" t="s">
        <v>61</v>
      </c>
    </row>
    <row r="727">
      <c r="A727" s="250">
        <v>43829.00023</v>
      </c>
      <c r="B727" s="251" t="s">
        <v>1776</v>
      </c>
      <c r="C727" s="178" t="s">
        <v>2350</v>
      </c>
      <c r="D727" s="36" t="s">
        <v>1683</v>
      </c>
      <c r="E727" s="36">
        <v>654623.4999999999</v>
      </c>
      <c r="F727" s="178" t="s">
        <v>61</v>
      </c>
    </row>
    <row r="728">
      <c r="A728" s="250">
        <v>43829.00056</v>
      </c>
      <c r="B728" s="251" t="s">
        <v>1930</v>
      </c>
      <c r="C728" s="178" t="s">
        <v>2362</v>
      </c>
      <c r="D728" s="36">
        <v>654623.4999999999</v>
      </c>
      <c r="E728" s="36" t="s">
        <v>1683</v>
      </c>
      <c r="F728" s="178" t="s">
        <v>61</v>
      </c>
    </row>
    <row r="729">
      <c r="A729" s="250">
        <v>43829.00056</v>
      </c>
      <c r="B729" s="251" t="s">
        <v>1776</v>
      </c>
      <c r="C729" s="178" t="s">
        <v>2352</v>
      </c>
      <c r="D729" s="36" t="s">
        <v>1683</v>
      </c>
      <c r="E729" s="36">
        <v>654623.4999999999</v>
      </c>
      <c r="F729" s="178" t="s">
        <v>61</v>
      </c>
    </row>
    <row r="730">
      <c r="A730" s="250">
        <v>43831.00001</v>
      </c>
      <c r="B730" s="251" t="s">
        <v>1702</v>
      </c>
      <c r="C730" s="178" t="s">
        <v>2363</v>
      </c>
      <c r="D730" s="36">
        <v>474513.0</v>
      </c>
      <c r="E730" s="36" t="s">
        <v>1683</v>
      </c>
      <c r="F730" s="178" t="s">
        <v>441</v>
      </c>
    </row>
    <row r="731">
      <c r="A731" s="250">
        <v>43831.00001</v>
      </c>
      <c r="B731" s="251" t="s">
        <v>1684</v>
      </c>
      <c r="C731" s="178" t="s">
        <v>2364</v>
      </c>
      <c r="D731" s="36" t="s">
        <v>1683</v>
      </c>
      <c r="E731" s="36">
        <v>474513.0</v>
      </c>
      <c r="F731" s="178" t="s">
        <v>441</v>
      </c>
    </row>
    <row r="732">
      <c r="A732" s="250">
        <v>43834.00046</v>
      </c>
      <c r="B732" s="251" t="s">
        <v>1990</v>
      </c>
      <c r="C732" s="178" t="s">
        <v>2365</v>
      </c>
      <c r="D732" s="36">
        <v>6527.109742268042</v>
      </c>
      <c r="E732" s="36" t="s">
        <v>1683</v>
      </c>
      <c r="F732" s="178" t="s">
        <v>1683</v>
      </c>
    </row>
    <row r="733">
      <c r="A733" s="250">
        <v>43834.00046</v>
      </c>
      <c r="B733" s="251" t="s">
        <v>1992</v>
      </c>
      <c r="C733" s="178" t="s">
        <v>2366</v>
      </c>
      <c r="D733" s="36" t="s">
        <v>1683</v>
      </c>
      <c r="E733" s="36">
        <v>6527.109742268042</v>
      </c>
      <c r="F733" s="178" t="s">
        <v>1683</v>
      </c>
    </row>
    <row r="734">
      <c r="A734" s="250">
        <v>43834.00047</v>
      </c>
      <c r="B734" s="251" t="s">
        <v>1846</v>
      </c>
      <c r="C734" s="178" t="s">
        <v>2367</v>
      </c>
      <c r="D734" s="36">
        <v>13164.40358111774</v>
      </c>
      <c r="E734" s="36" t="s">
        <v>1683</v>
      </c>
      <c r="F734" s="178" t="s">
        <v>1683</v>
      </c>
    </row>
    <row r="735">
      <c r="A735" s="250">
        <v>43834.00047</v>
      </c>
      <c r="B735" s="251" t="s">
        <v>2047</v>
      </c>
      <c r="C735" s="178" t="s">
        <v>2368</v>
      </c>
      <c r="D735" s="36" t="s">
        <v>1683</v>
      </c>
      <c r="E735" s="36">
        <v>13164.40358111774</v>
      </c>
      <c r="F735" s="178" t="s">
        <v>1683</v>
      </c>
    </row>
    <row r="736">
      <c r="A736" s="250">
        <v>43844.00044</v>
      </c>
      <c r="B736" s="251" t="s">
        <v>1786</v>
      </c>
      <c r="C736" s="178" t="s">
        <v>2369</v>
      </c>
      <c r="D736" s="36">
        <v>236330.0</v>
      </c>
      <c r="E736" s="36" t="s">
        <v>1683</v>
      </c>
      <c r="F736" s="178" t="s">
        <v>572</v>
      </c>
    </row>
    <row r="737">
      <c r="A737" s="250">
        <v>43844.00044</v>
      </c>
      <c r="B737" s="251" t="s">
        <v>1776</v>
      </c>
      <c r="C737" s="178" t="s">
        <v>2359</v>
      </c>
      <c r="D737" s="36" t="s">
        <v>1683</v>
      </c>
      <c r="E737" s="36">
        <v>236330.0</v>
      </c>
      <c r="F737" s="178" t="s">
        <v>572</v>
      </c>
    </row>
    <row r="738">
      <c r="A738" s="250">
        <v>43850.00016</v>
      </c>
      <c r="B738" s="251" t="s">
        <v>1613</v>
      </c>
      <c r="C738" s="178" t="s">
        <v>2370</v>
      </c>
      <c r="D738" s="36">
        <v>20000.0</v>
      </c>
      <c r="E738" s="36" t="s">
        <v>1683</v>
      </c>
      <c r="F738" s="178" t="s">
        <v>2371</v>
      </c>
    </row>
    <row r="739">
      <c r="A739" s="250">
        <v>43850.00016</v>
      </c>
      <c r="B739" s="251" t="s">
        <v>1684</v>
      </c>
      <c r="C739" s="178" t="s">
        <v>2372</v>
      </c>
      <c r="D739" s="36" t="s">
        <v>1683</v>
      </c>
      <c r="E739" s="36">
        <v>20000.0</v>
      </c>
      <c r="F739" s="178" t="s">
        <v>2371</v>
      </c>
    </row>
    <row r="740">
      <c r="A740" s="250">
        <v>43867.00001</v>
      </c>
      <c r="B740" s="251" t="s">
        <v>1844</v>
      </c>
      <c r="C740" s="178" t="s">
        <v>2373</v>
      </c>
      <c r="D740" s="36">
        <v>474513.0</v>
      </c>
      <c r="E740" s="36" t="s">
        <v>1683</v>
      </c>
      <c r="F740" s="178" t="s">
        <v>441</v>
      </c>
    </row>
    <row r="741">
      <c r="A741" s="250">
        <v>43867.00001</v>
      </c>
      <c r="B741" s="251" t="s">
        <v>1776</v>
      </c>
      <c r="C741" s="178" t="s">
        <v>2363</v>
      </c>
      <c r="D741" s="36" t="s">
        <v>1683</v>
      </c>
      <c r="E741" s="36">
        <v>474513.0</v>
      </c>
      <c r="F741" s="178" t="s">
        <v>441</v>
      </c>
    </row>
    <row r="742">
      <c r="A742" s="250">
        <v>43872.00049</v>
      </c>
      <c r="B742" s="251" t="s">
        <v>2107</v>
      </c>
      <c r="C742" s="178" t="s">
        <v>2374</v>
      </c>
      <c r="D742" s="36">
        <v>5000.0</v>
      </c>
      <c r="E742" s="36" t="s">
        <v>1683</v>
      </c>
      <c r="F742" s="178" t="s">
        <v>1683</v>
      </c>
    </row>
    <row r="743">
      <c r="A743" s="250">
        <v>43872.00049</v>
      </c>
      <c r="B743" s="251" t="s">
        <v>2109</v>
      </c>
      <c r="C743" s="178" t="s">
        <v>2375</v>
      </c>
      <c r="D743" s="36" t="s">
        <v>1683</v>
      </c>
      <c r="E743" s="36">
        <v>5000.0</v>
      </c>
      <c r="F743" s="178" t="s">
        <v>1683</v>
      </c>
    </row>
    <row r="744">
      <c r="A744" s="250">
        <v>43877.00051</v>
      </c>
      <c r="B744" s="251" t="s">
        <v>1896</v>
      </c>
      <c r="C744" s="178" t="s">
        <v>2376</v>
      </c>
      <c r="D744" s="36">
        <v>1091.03916666667</v>
      </c>
      <c r="E744" s="36" t="s">
        <v>1683</v>
      </c>
      <c r="F744" s="178" t="s">
        <v>1683</v>
      </c>
    </row>
    <row r="745">
      <c r="A745" s="250">
        <v>43877.00051</v>
      </c>
      <c r="B745" s="251" t="s">
        <v>2377</v>
      </c>
      <c r="C745" s="178" t="s">
        <v>2378</v>
      </c>
      <c r="D745" s="36" t="s">
        <v>1683</v>
      </c>
      <c r="E745" s="36">
        <v>1091.03916666667</v>
      </c>
      <c r="F745" s="178" t="s">
        <v>1683</v>
      </c>
    </row>
    <row r="746">
      <c r="A746" s="250">
        <v>43877.00052</v>
      </c>
      <c r="B746" s="251" t="s">
        <v>2064</v>
      </c>
      <c r="C746" s="178" t="s">
        <v>2379</v>
      </c>
      <c r="D746" s="36">
        <v>102651.4615384614</v>
      </c>
      <c r="E746" s="36" t="s">
        <v>1683</v>
      </c>
      <c r="F746" s="178" t="s">
        <v>1683</v>
      </c>
    </row>
    <row r="747">
      <c r="A747" s="250">
        <v>43877.00052</v>
      </c>
      <c r="B747" s="251" t="s">
        <v>2066</v>
      </c>
      <c r="C747" s="178" t="s">
        <v>2380</v>
      </c>
      <c r="D747" s="36" t="s">
        <v>1683</v>
      </c>
      <c r="E747" s="36">
        <v>102651.4615384614</v>
      </c>
      <c r="F747" s="178" t="s">
        <v>1683</v>
      </c>
    </row>
    <row r="748">
      <c r="A748" s="250">
        <v>43877.00053</v>
      </c>
      <c r="B748" s="251" t="s">
        <v>2158</v>
      </c>
      <c r="C748" s="178" t="s">
        <v>2381</v>
      </c>
      <c r="D748" s="36">
        <v>32640.0</v>
      </c>
      <c r="E748" s="36" t="s">
        <v>1683</v>
      </c>
      <c r="F748" s="178" t="s">
        <v>1683</v>
      </c>
    </row>
    <row r="749">
      <c r="A749" s="250">
        <v>43877.00053</v>
      </c>
      <c r="B749" s="251" t="s">
        <v>2382</v>
      </c>
      <c r="C749" s="178" t="s">
        <v>2383</v>
      </c>
      <c r="D749" s="36" t="s">
        <v>1683</v>
      </c>
      <c r="E749" s="36">
        <v>32640.0</v>
      </c>
      <c r="F749" s="178" t="s">
        <v>1683</v>
      </c>
    </row>
    <row r="750">
      <c r="A750" s="250">
        <v>43877.85191991898</v>
      </c>
      <c r="B750" s="251" t="s">
        <v>2112</v>
      </c>
      <c r="C750" s="178" t="s">
        <v>2384</v>
      </c>
      <c r="D750" s="36">
        <v>29400.0</v>
      </c>
      <c r="E750" s="36" t="s">
        <v>1683</v>
      </c>
      <c r="F750" s="178" t="s">
        <v>1683</v>
      </c>
    </row>
    <row r="751">
      <c r="A751" s="250">
        <v>43877.85191991898</v>
      </c>
      <c r="B751" s="251" t="s">
        <v>2385</v>
      </c>
      <c r="C751" s="178" t="s">
        <v>2386</v>
      </c>
      <c r="D751" s="36" t="s">
        <v>1683</v>
      </c>
      <c r="E751" s="36">
        <v>29400.0</v>
      </c>
      <c r="F751" s="178" t="s">
        <v>1683</v>
      </c>
    </row>
    <row r="752">
      <c r="A752" s="250">
        <v>43878.00056</v>
      </c>
      <c r="B752" s="251" t="s">
        <v>1896</v>
      </c>
      <c r="C752" s="178" t="s">
        <v>2387</v>
      </c>
      <c r="D752" s="36">
        <v>2182.07833333334</v>
      </c>
      <c r="E752" s="36" t="s">
        <v>1683</v>
      </c>
      <c r="F752" s="178" t="s">
        <v>1683</v>
      </c>
    </row>
    <row r="753">
      <c r="A753" s="250">
        <v>43878.00056</v>
      </c>
      <c r="B753" s="251" t="s">
        <v>2377</v>
      </c>
      <c r="C753" s="178" t="s">
        <v>2388</v>
      </c>
      <c r="D753" s="36" t="s">
        <v>1683</v>
      </c>
      <c r="E753" s="36">
        <v>2182.07833333334</v>
      </c>
      <c r="F753" s="178" t="s">
        <v>1683</v>
      </c>
    </row>
    <row r="754">
      <c r="A754" s="250">
        <v>43878.00057</v>
      </c>
      <c r="B754" s="251" t="s">
        <v>1930</v>
      </c>
      <c r="C754" s="178" t="s">
        <v>2389</v>
      </c>
      <c r="D754" s="36">
        <v>12001.430833333372</v>
      </c>
      <c r="E754" s="36" t="s">
        <v>1683</v>
      </c>
      <c r="F754" s="178" t="s">
        <v>1683</v>
      </c>
    </row>
    <row r="755">
      <c r="A755" s="250">
        <v>43878.00057</v>
      </c>
      <c r="B755" s="251" t="s">
        <v>2390</v>
      </c>
      <c r="C755" s="178" t="s">
        <v>2391</v>
      </c>
      <c r="D755" s="36" t="s">
        <v>1683</v>
      </c>
      <c r="E755" s="36">
        <v>12001.430833333372</v>
      </c>
      <c r="F755" s="178" t="s">
        <v>1683</v>
      </c>
    </row>
    <row r="756">
      <c r="A756" s="250">
        <v>43878.00058</v>
      </c>
      <c r="B756" s="251" t="s">
        <v>2036</v>
      </c>
      <c r="C756" s="178" t="s">
        <v>2392</v>
      </c>
      <c r="D756" s="36">
        <v>62654.428680981546</v>
      </c>
      <c r="E756" s="36" t="s">
        <v>1683</v>
      </c>
      <c r="F756" s="178" t="s">
        <v>1683</v>
      </c>
    </row>
    <row r="757">
      <c r="A757" s="250">
        <v>43878.00058</v>
      </c>
      <c r="B757" s="251" t="s">
        <v>2038</v>
      </c>
      <c r="C757" s="178" t="s">
        <v>2393</v>
      </c>
      <c r="D757" s="36" t="s">
        <v>1683</v>
      </c>
      <c r="E757" s="36">
        <v>62654.428680981546</v>
      </c>
      <c r="F757" s="178" t="s">
        <v>1683</v>
      </c>
    </row>
    <row r="758">
      <c r="A758" s="250">
        <v>43878.00059</v>
      </c>
      <c r="B758" s="251" t="s">
        <v>2053</v>
      </c>
      <c r="C758" s="178" t="s">
        <v>2394</v>
      </c>
      <c r="D758" s="36">
        <v>61222.32745398769</v>
      </c>
      <c r="E758" s="36" t="s">
        <v>1683</v>
      </c>
      <c r="F758" s="178" t="s">
        <v>1683</v>
      </c>
    </row>
    <row r="759">
      <c r="A759" s="250">
        <v>43878.00059</v>
      </c>
      <c r="B759" s="251" t="s">
        <v>2055</v>
      </c>
      <c r="C759" s="178" t="s">
        <v>2395</v>
      </c>
      <c r="D759" s="36" t="s">
        <v>1683</v>
      </c>
      <c r="E759" s="36">
        <v>61222.32745398769</v>
      </c>
      <c r="F759" s="178" t="s">
        <v>1683</v>
      </c>
    </row>
    <row r="760">
      <c r="A760" s="250">
        <v>43878.0006</v>
      </c>
      <c r="B760" s="251" t="s">
        <v>1786</v>
      </c>
      <c r="C760" s="178" t="s">
        <v>2396</v>
      </c>
      <c r="D760" s="36">
        <v>7877.666666666681</v>
      </c>
      <c r="E760" s="36" t="s">
        <v>1683</v>
      </c>
      <c r="F760" s="178" t="s">
        <v>1683</v>
      </c>
    </row>
    <row r="761">
      <c r="A761" s="250">
        <v>43878.0006</v>
      </c>
      <c r="B761" s="251" t="s">
        <v>2397</v>
      </c>
      <c r="C761" s="178" t="s">
        <v>2398</v>
      </c>
      <c r="D761" s="36" t="s">
        <v>1683</v>
      </c>
      <c r="E761" s="36">
        <v>7877.666666666681</v>
      </c>
      <c r="F761" s="178" t="s">
        <v>1683</v>
      </c>
    </row>
    <row r="762">
      <c r="A762" s="250">
        <v>43881.00017</v>
      </c>
      <c r="B762" s="251" t="s">
        <v>1627</v>
      </c>
      <c r="C762" s="178" t="s">
        <v>2399</v>
      </c>
      <c r="D762" s="36">
        <v>24500.0</v>
      </c>
      <c r="E762" s="36" t="s">
        <v>1683</v>
      </c>
      <c r="F762" s="178" t="s">
        <v>2400</v>
      </c>
    </row>
    <row r="763">
      <c r="A763" s="250">
        <v>43881.00017</v>
      </c>
      <c r="B763" s="251" t="s">
        <v>1684</v>
      </c>
      <c r="C763" s="178" t="s">
        <v>2401</v>
      </c>
      <c r="D763" s="36" t="s">
        <v>1683</v>
      </c>
      <c r="E763" s="36">
        <v>24500.0</v>
      </c>
      <c r="F763" s="178" t="s">
        <v>2400</v>
      </c>
    </row>
    <row r="764">
      <c r="A764" s="250">
        <v>43881.00018</v>
      </c>
      <c r="B764" s="251" t="s">
        <v>1611</v>
      </c>
      <c r="C764" s="178" t="s">
        <v>2402</v>
      </c>
      <c r="D764" s="36">
        <v>50490.0</v>
      </c>
      <c r="E764" s="36" t="s">
        <v>1683</v>
      </c>
      <c r="F764" s="178" t="s">
        <v>2403</v>
      </c>
    </row>
    <row r="765">
      <c r="A765" s="250">
        <v>43881.00018</v>
      </c>
      <c r="B765" s="251" t="s">
        <v>1684</v>
      </c>
      <c r="C765" s="178" t="s">
        <v>2404</v>
      </c>
      <c r="D765" s="36" t="s">
        <v>1683</v>
      </c>
      <c r="E765" s="36">
        <v>50490.0</v>
      </c>
      <c r="F765" s="178" t="s">
        <v>2403</v>
      </c>
    </row>
    <row r="766">
      <c r="A766" s="250">
        <v>43883.00019</v>
      </c>
      <c r="B766" s="251" t="s">
        <v>1702</v>
      </c>
      <c r="C766" s="178" t="s">
        <v>2405</v>
      </c>
      <c r="D766" s="36">
        <v>14194.0</v>
      </c>
      <c r="E766" s="36" t="s">
        <v>1683</v>
      </c>
      <c r="F766" s="178" t="s">
        <v>348</v>
      </c>
    </row>
    <row r="767">
      <c r="A767" s="250">
        <v>43883.00019</v>
      </c>
      <c r="B767" s="251" t="s">
        <v>1684</v>
      </c>
      <c r="C767" s="178" t="s">
        <v>2406</v>
      </c>
      <c r="D767" s="36" t="s">
        <v>1683</v>
      </c>
      <c r="E767" s="36">
        <v>14194.0</v>
      </c>
      <c r="F767" s="178" t="s">
        <v>348</v>
      </c>
    </row>
    <row r="768">
      <c r="A768" s="250">
        <v>43883.0002</v>
      </c>
      <c r="B768" s="251" t="s">
        <v>1702</v>
      </c>
      <c r="C768" s="178" t="s">
        <v>2407</v>
      </c>
      <c r="D768" s="36">
        <v>84585.0</v>
      </c>
      <c r="E768" s="36" t="s">
        <v>1683</v>
      </c>
      <c r="F768" s="178" t="s">
        <v>350</v>
      </c>
    </row>
    <row r="769">
      <c r="A769" s="250">
        <v>43883.0002</v>
      </c>
      <c r="B769" s="251" t="s">
        <v>1684</v>
      </c>
      <c r="C769" s="178" t="s">
        <v>2408</v>
      </c>
      <c r="D769" s="36" t="s">
        <v>1683</v>
      </c>
      <c r="E769" s="36">
        <v>84585.0</v>
      </c>
      <c r="F769" s="178" t="s">
        <v>350</v>
      </c>
    </row>
    <row r="770">
      <c r="A770" s="250">
        <v>43887.00022</v>
      </c>
      <c r="B770" s="251" t="s">
        <v>1702</v>
      </c>
      <c r="C770" s="178" t="s">
        <v>2409</v>
      </c>
      <c r="D770" s="36">
        <v>899572.0</v>
      </c>
      <c r="E770" s="36" t="s">
        <v>1683</v>
      </c>
      <c r="F770" s="178" t="s">
        <v>59</v>
      </c>
    </row>
    <row r="771">
      <c r="A771" s="250">
        <v>43887.00022</v>
      </c>
      <c r="B771" s="251" t="s">
        <v>1684</v>
      </c>
      <c r="C771" s="178" t="s">
        <v>2410</v>
      </c>
      <c r="D771" s="36" t="s">
        <v>1683</v>
      </c>
      <c r="E771" s="36">
        <v>899572.0</v>
      </c>
      <c r="F771" s="178" t="s">
        <v>59</v>
      </c>
    </row>
    <row r="772">
      <c r="A772" s="250">
        <v>43888.00042</v>
      </c>
      <c r="B772" s="251" t="s">
        <v>1702</v>
      </c>
      <c r="C772" s="178" t="s">
        <v>2411</v>
      </c>
      <c r="D772" s="36">
        <v>236669.17266913495</v>
      </c>
      <c r="E772" s="36" t="s">
        <v>1683</v>
      </c>
      <c r="F772" s="178" t="s">
        <v>948</v>
      </c>
    </row>
    <row r="773">
      <c r="A773" s="250">
        <v>43888.00042</v>
      </c>
      <c r="B773" s="251" t="s">
        <v>1684</v>
      </c>
      <c r="C773" s="178" t="s">
        <v>2412</v>
      </c>
      <c r="D773" s="36" t="s">
        <v>1683</v>
      </c>
      <c r="E773" s="36">
        <v>236669.17266913495</v>
      </c>
      <c r="F773" s="178" t="s">
        <v>948</v>
      </c>
    </row>
    <row r="774">
      <c r="A774" s="250">
        <v>43888.00043</v>
      </c>
      <c r="B774" s="251" t="s">
        <v>1702</v>
      </c>
      <c r="C774" s="178" t="s">
        <v>2413</v>
      </c>
      <c r="D774" s="36">
        <v>284404.1238640188</v>
      </c>
      <c r="E774" s="36" t="s">
        <v>1683</v>
      </c>
      <c r="F774" s="178" t="s">
        <v>950</v>
      </c>
    </row>
    <row r="775">
      <c r="A775" s="250">
        <v>43888.00043</v>
      </c>
      <c r="B775" s="251" t="s">
        <v>1684</v>
      </c>
      <c r="C775" s="178" t="s">
        <v>2414</v>
      </c>
      <c r="D775" s="36" t="s">
        <v>1683</v>
      </c>
      <c r="E775" s="36">
        <v>284404.1238640188</v>
      </c>
      <c r="F775" s="178" t="s">
        <v>950</v>
      </c>
    </row>
    <row r="776">
      <c r="A776" s="250">
        <v>43888.00051</v>
      </c>
      <c r="B776" s="251" t="s">
        <v>1702</v>
      </c>
      <c r="C776" s="178" t="s">
        <v>2415</v>
      </c>
      <c r="D776" s="36">
        <v>165675.0</v>
      </c>
      <c r="E776" s="36" t="s">
        <v>1683</v>
      </c>
      <c r="F776" s="178" t="s">
        <v>384</v>
      </c>
    </row>
    <row r="777">
      <c r="A777" s="250">
        <v>43888.00051</v>
      </c>
      <c r="B777" s="251" t="s">
        <v>1684</v>
      </c>
      <c r="C777" s="178" t="s">
        <v>2416</v>
      </c>
      <c r="D777" s="36" t="s">
        <v>1683</v>
      </c>
      <c r="E777" s="36">
        <v>165675.0</v>
      </c>
      <c r="F777" s="178" t="s">
        <v>384</v>
      </c>
    </row>
    <row r="778">
      <c r="A778" s="250">
        <v>43911.00019</v>
      </c>
      <c r="B778" s="251" t="s">
        <v>2417</v>
      </c>
      <c r="C778" s="178" t="s">
        <v>2418</v>
      </c>
      <c r="D778" s="36">
        <v>14194.0</v>
      </c>
      <c r="E778" s="36" t="s">
        <v>1683</v>
      </c>
      <c r="F778" s="178" t="s">
        <v>348</v>
      </c>
    </row>
    <row r="779">
      <c r="A779" s="250">
        <v>43911.00019</v>
      </c>
      <c r="B779" s="251" t="s">
        <v>1776</v>
      </c>
      <c r="C779" s="178" t="s">
        <v>2405</v>
      </c>
      <c r="D779" s="36" t="s">
        <v>1683</v>
      </c>
      <c r="E779" s="36">
        <v>14194.0</v>
      </c>
      <c r="F779" s="178" t="s">
        <v>348</v>
      </c>
    </row>
    <row r="780">
      <c r="A780" s="250">
        <v>43923.84024873842</v>
      </c>
      <c r="B780" s="251" t="s">
        <v>2266</v>
      </c>
      <c r="C780" s="178" t="s">
        <v>2419</v>
      </c>
      <c r="D780" s="36">
        <v>2544.48484848484</v>
      </c>
      <c r="E780" s="36" t="s">
        <v>1683</v>
      </c>
      <c r="F780" s="178" t="s">
        <v>1683</v>
      </c>
    </row>
    <row r="781">
      <c r="A781" s="250">
        <v>43923.84024873842</v>
      </c>
      <c r="B781" s="251" t="s">
        <v>2420</v>
      </c>
      <c r="C781" s="178" t="s">
        <v>2421</v>
      </c>
      <c r="D781" s="36" t="s">
        <v>1683</v>
      </c>
      <c r="E781" s="36">
        <v>2544.48484848484</v>
      </c>
      <c r="F781" s="178" t="s">
        <v>1683</v>
      </c>
    </row>
    <row r="782">
      <c r="A782" s="250">
        <v>43923.86286018519</v>
      </c>
      <c r="B782" s="251" t="s">
        <v>1990</v>
      </c>
      <c r="C782" s="178" t="s">
        <v>2422</v>
      </c>
      <c r="D782" s="36">
        <v>6100.881428571426</v>
      </c>
      <c r="E782" s="36" t="s">
        <v>1683</v>
      </c>
      <c r="F782" s="178" t="s">
        <v>1683</v>
      </c>
    </row>
    <row r="783">
      <c r="A783" s="250">
        <v>43923.86286018519</v>
      </c>
      <c r="B783" s="251" t="s">
        <v>1992</v>
      </c>
      <c r="C783" s="178" t="s">
        <v>2423</v>
      </c>
      <c r="D783" s="36" t="s">
        <v>1683</v>
      </c>
      <c r="E783" s="36">
        <v>6100.881428571426</v>
      </c>
      <c r="F783" s="178" t="s">
        <v>1683</v>
      </c>
    </row>
    <row r="784">
      <c r="A784" s="250">
        <v>43923.87258523148</v>
      </c>
      <c r="B784" s="251" t="s">
        <v>1927</v>
      </c>
      <c r="C784" s="178" t="s">
        <v>2424</v>
      </c>
      <c r="D784" s="36">
        <v>17174.853863101598</v>
      </c>
      <c r="E784" s="36" t="s">
        <v>1683</v>
      </c>
      <c r="F784" s="178" t="s">
        <v>1683</v>
      </c>
    </row>
    <row r="785">
      <c r="A785" s="250">
        <v>43923.87258523148</v>
      </c>
      <c r="B785" s="251" t="s">
        <v>2425</v>
      </c>
      <c r="C785" s="178" t="s">
        <v>2426</v>
      </c>
      <c r="D785" s="36" t="s">
        <v>1683</v>
      </c>
      <c r="E785" s="36">
        <v>17174.853863101598</v>
      </c>
      <c r="F785" s="178" t="s">
        <v>1683</v>
      </c>
    </row>
    <row r="786">
      <c r="A786" s="250">
        <v>43927.00066</v>
      </c>
      <c r="B786" s="251" t="s">
        <v>1958</v>
      </c>
      <c r="C786" s="178" t="s">
        <v>2427</v>
      </c>
      <c r="D786" s="36">
        <v>700.0</v>
      </c>
      <c r="E786" s="36" t="s">
        <v>1683</v>
      </c>
      <c r="F786" s="178" t="s">
        <v>1683</v>
      </c>
    </row>
    <row r="787">
      <c r="A787" s="250">
        <v>43927.00066</v>
      </c>
      <c r="B787" s="251" t="s">
        <v>2428</v>
      </c>
      <c r="C787" s="178" t="s">
        <v>2429</v>
      </c>
      <c r="D787" s="36" t="s">
        <v>1683</v>
      </c>
      <c r="E787" s="36">
        <v>700.0</v>
      </c>
      <c r="F787" s="178" t="s">
        <v>1683</v>
      </c>
    </row>
    <row r="788">
      <c r="A788" s="250">
        <v>43927.792295312494</v>
      </c>
      <c r="B788" s="251" t="s">
        <v>1609</v>
      </c>
      <c r="C788" s="178" t="s">
        <v>2430</v>
      </c>
      <c r="D788" s="36">
        <v>15900.0</v>
      </c>
      <c r="E788" s="36" t="s">
        <v>1683</v>
      </c>
      <c r="F788" s="178" t="s">
        <v>1633</v>
      </c>
    </row>
    <row r="789">
      <c r="A789" s="250">
        <v>43927.792295312494</v>
      </c>
      <c r="B789" s="251" t="s">
        <v>1684</v>
      </c>
      <c r="C789" s="178" t="s">
        <v>2431</v>
      </c>
      <c r="D789" s="36" t="s">
        <v>1683</v>
      </c>
      <c r="E789" s="36">
        <v>15900.0</v>
      </c>
      <c r="F789" s="178" t="s">
        <v>1633</v>
      </c>
    </row>
    <row r="790">
      <c r="A790" s="250">
        <v>43940.00068</v>
      </c>
      <c r="B790" s="251" t="s">
        <v>2272</v>
      </c>
      <c r="C790" s="178" t="s">
        <v>2432</v>
      </c>
      <c r="D790" s="36">
        <v>37500.0</v>
      </c>
      <c r="E790" s="36" t="s">
        <v>1683</v>
      </c>
      <c r="F790" s="178" t="s">
        <v>1683</v>
      </c>
    </row>
    <row r="791">
      <c r="A791" s="250">
        <v>43940.00068</v>
      </c>
      <c r="B791" s="251" t="s">
        <v>2433</v>
      </c>
      <c r="C791" s="178" t="s">
        <v>2434</v>
      </c>
      <c r="D791" s="36" t="s">
        <v>1683</v>
      </c>
      <c r="E791" s="36">
        <v>37500.0</v>
      </c>
      <c r="F791" s="178" t="s">
        <v>1683</v>
      </c>
    </row>
    <row r="792">
      <c r="A792" s="250">
        <v>43948.0002</v>
      </c>
      <c r="B792" s="251" t="s">
        <v>2417</v>
      </c>
      <c r="C792" s="178" t="s">
        <v>2435</v>
      </c>
      <c r="D792" s="36">
        <v>84585.0</v>
      </c>
      <c r="E792" s="36" t="s">
        <v>1683</v>
      </c>
      <c r="F792" s="178" t="s">
        <v>350</v>
      </c>
    </row>
    <row r="793">
      <c r="A793" s="250">
        <v>43948.0002</v>
      </c>
      <c r="B793" s="251" t="s">
        <v>1776</v>
      </c>
      <c r="C793" s="178" t="s">
        <v>2407</v>
      </c>
      <c r="D793" s="36" t="s">
        <v>1683</v>
      </c>
      <c r="E793" s="36">
        <v>84585.0</v>
      </c>
      <c r="F793" s="178" t="s">
        <v>350</v>
      </c>
    </row>
    <row r="794">
      <c r="A794" s="250">
        <v>43949.0007</v>
      </c>
      <c r="B794" s="251" t="s">
        <v>2272</v>
      </c>
      <c r="C794" s="178" t="s">
        <v>2436</v>
      </c>
      <c r="D794" s="36">
        <v>37500.0</v>
      </c>
      <c r="E794" s="36" t="s">
        <v>1683</v>
      </c>
      <c r="F794" s="178" t="s">
        <v>1683</v>
      </c>
    </row>
    <row r="795">
      <c r="A795" s="250">
        <v>43949.0007</v>
      </c>
      <c r="B795" s="251" t="s">
        <v>2433</v>
      </c>
      <c r="C795" s="178" t="s">
        <v>2437</v>
      </c>
      <c r="D795" s="36" t="s">
        <v>1683</v>
      </c>
      <c r="E795" s="36">
        <v>37500.0</v>
      </c>
      <c r="F795" s="178" t="s">
        <v>1683</v>
      </c>
    </row>
    <row r="796">
      <c r="A796" s="250">
        <v>43951.87968402778</v>
      </c>
      <c r="B796" s="251" t="s">
        <v>1702</v>
      </c>
      <c r="C796" s="178" t="s">
        <v>2438</v>
      </c>
      <c r="D796" s="36">
        <v>1309076.0</v>
      </c>
      <c r="E796" s="36" t="s">
        <v>1683</v>
      </c>
      <c r="F796" s="178" t="s">
        <v>439</v>
      </c>
    </row>
    <row r="797">
      <c r="A797" s="250">
        <v>43951.87968402778</v>
      </c>
      <c r="B797" s="251" t="s">
        <v>1684</v>
      </c>
      <c r="C797" s="178" t="s">
        <v>2439</v>
      </c>
      <c r="D797" s="36" t="s">
        <v>1683</v>
      </c>
      <c r="E797" s="36">
        <v>1309076.0</v>
      </c>
      <c r="F797" s="178" t="s">
        <v>439</v>
      </c>
    </row>
    <row r="798">
      <c r="A798" s="250">
        <v>43955.00072</v>
      </c>
      <c r="B798" s="251" t="s">
        <v>2272</v>
      </c>
      <c r="C798" s="178" t="s">
        <v>2440</v>
      </c>
      <c r="D798" s="36">
        <v>37500.0</v>
      </c>
      <c r="E798" s="36" t="s">
        <v>1683</v>
      </c>
      <c r="F798" s="178" t="s">
        <v>1683</v>
      </c>
    </row>
    <row r="799">
      <c r="A799" s="250">
        <v>43955.00072</v>
      </c>
      <c r="B799" s="251" t="s">
        <v>2433</v>
      </c>
      <c r="C799" s="178" t="s">
        <v>2441</v>
      </c>
      <c r="D799" s="36" t="s">
        <v>1683</v>
      </c>
      <c r="E799" s="36">
        <v>37500.0</v>
      </c>
      <c r="F799" s="178" t="s">
        <v>1683</v>
      </c>
    </row>
    <row r="800">
      <c r="A800" s="250">
        <v>43958.00042</v>
      </c>
      <c r="B800" s="251" t="s">
        <v>1846</v>
      </c>
      <c r="C800" s="178" t="s">
        <v>2442</v>
      </c>
      <c r="D800" s="36">
        <v>236669.17266913495</v>
      </c>
      <c r="E800" s="36" t="s">
        <v>1683</v>
      </c>
      <c r="F800" s="178" t="s">
        <v>948</v>
      </c>
    </row>
    <row r="801">
      <c r="A801" s="250">
        <v>43958.00042</v>
      </c>
      <c r="B801" s="251" t="s">
        <v>1776</v>
      </c>
      <c r="C801" s="178" t="s">
        <v>2411</v>
      </c>
      <c r="D801" s="36" t="s">
        <v>1683</v>
      </c>
      <c r="E801" s="36">
        <v>236669.17266913495</v>
      </c>
      <c r="F801" s="178" t="s">
        <v>948</v>
      </c>
    </row>
    <row r="802">
      <c r="A802" s="250">
        <v>43971.00021</v>
      </c>
      <c r="B802" s="251" t="s">
        <v>1693</v>
      </c>
      <c r="C802" s="178" t="s">
        <v>2443</v>
      </c>
      <c r="D802" s="36">
        <v>711850.0</v>
      </c>
      <c r="E802" s="36" t="s">
        <v>1683</v>
      </c>
      <c r="F802" s="178" t="s">
        <v>55</v>
      </c>
    </row>
    <row r="803">
      <c r="A803" s="250">
        <v>43971.00021</v>
      </c>
      <c r="B803" s="251" t="s">
        <v>1684</v>
      </c>
      <c r="C803" s="178" t="s">
        <v>2444</v>
      </c>
      <c r="D803" s="36" t="s">
        <v>1683</v>
      </c>
      <c r="E803" s="36">
        <v>711850.0</v>
      </c>
      <c r="F803" s="178" t="s">
        <v>55</v>
      </c>
    </row>
    <row r="804">
      <c r="A804" s="250">
        <v>43971.81950957176</v>
      </c>
      <c r="B804" s="251" t="s">
        <v>1846</v>
      </c>
      <c r="C804" s="178" t="s">
        <v>2445</v>
      </c>
      <c r="D804" s="36">
        <v>284404.1238640188</v>
      </c>
      <c r="E804" s="36" t="s">
        <v>1683</v>
      </c>
      <c r="F804" s="178" t="s">
        <v>950</v>
      </c>
    </row>
    <row r="805">
      <c r="A805" s="250">
        <v>43971.81950957176</v>
      </c>
      <c r="B805" s="251" t="s">
        <v>1776</v>
      </c>
      <c r="C805" s="178" t="s">
        <v>2413</v>
      </c>
      <c r="D805" s="36" t="s">
        <v>1683</v>
      </c>
      <c r="E805" s="36">
        <v>284404.1238640188</v>
      </c>
      <c r="F805" s="178" t="s">
        <v>950</v>
      </c>
    </row>
    <row r="806">
      <c r="A806" s="250">
        <v>43972.00068</v>
      </c>
      <c r="B806" s="251" t="s">
        <v>1702</v>
      </c>
      <c r="C806" s="178" t="s">
        <v>2446</v>
      </c>
      <c r="D806" s="36">
        <v>82347.0</v>
      </c>
      <c r="E806" s="36" t="s">
        <v>1683</v>
      </c>
      <c r="F806" s="178" t="s">
        <v>691</v>
      </c>
    </row>
    <row r="807">
      <c r="A807" s="250">
        <v>43972.00068</v>
      </c>
      <c r="B807" s="251" t="s">
        <v>1684</v>
      </c>
      <c r="C807" s="178" t="s">
        <v>2447</v>
      </c>
      <c r="D807" s="36" t="s">
        <v>1683</v>
      </c>
      <c r="E807" s="36">
        <v>82347.0</v>
      </c>
      <c r="F807" s="178" t="s">
        <v>691</v>
      </c>
    </row>
    <row r="808">
      <c r="A808" s="250">
        <v>43973.91903829861</v>
      </c>
      <c r="B808" s="251" t="s">
        <v>2214</v>
      </c>
      <c r="C808" s="178" t="s">
        <v>2448</v>
      </c>
      <c r="D808" s="36">
        <v>109103.916666667</v>
      </c>
      <c r="E808" s="36" t="s">
        <v>1683</v>
      </c>
      <c r="F808" s="178" t="s">
        <v>1683</v>
      </c>
    </row>
    <row r="809">
      <c r="A809" s="250">
        <v>43973.91903829861</v>
      </c>
      <c r="B809" s="251" t="s">
        <v>2216</v>
      </c>
      <c r="C809" s="178" t="s">
        <v>2449</v>
      </c>
      <c r="D809" s="36" t="s">
        <v>1683</v>
      </c>
      <c r="E809" s="36">
        <v>109103.916666667</v>
      </c>
      <c r="F809" s="178" t="s">
        <v>1683</v>
      </c>
    </row>
    <row r="810">
      <c r="A810" s="250">
        <v>43973.932482233795</v>
      </c>
      <c r="B810" s="251" t="s">
        <v>1774</v>
      </c>
      <c r="C810" s="178" t="s">
        <v>2450</v>
      </c>
      <c r="D810" s="36">
        <v>4296.303680981592</v>
      </c>
      <c r="E810" s="36" t="s">
        <v>1683</v>
      </c>
      <c r="F810" s="178" t="s">
        <v>1683</v>
      </c>
    </row>
    <row r="811">
      <c r="A811" s="250">
        <v>43973.932482233795</v>
      </c>
      <c r="B811" s="251" t="s">
        <v>2239</v>
      </c>
      <c r="C811" s="178" t="s">
        <v>2451</v>
      </c>
      <c r="D811" s="36" t="s">
        <v>1683</v>
      </c>
      <c r="E811" s="36">
        <v>4296.303680981592</v>
      </c>
      <c r="F811" s="178" t="s">
        <v>1683</v>
      </c>
    </row>
    <row r="812">
      <c r="A812" s="250">
        <v>43980.00021</v>
      </c>
      <c r="B812" s="251" t="s">
        <v>1896</v>
      </c>
      <c r="C812" s="178" t="s">
        <v>2452</v>
      </c>
      <c r="D812" s="36">
        <v>711850.0</v>
      </c>
      <c r="E812" s="36" t="s">
        <v>1683</v>
      </c>
      <c r="F812" s="178" t="s">
        <v>55</v>
      </c>
    </row>
    <row r="813">
      <c r="A813" s="250">
        <v>43980.00021</v>
      </c>
      <c r="B813" s="251" t="s">
        <v>1698</v>
      </c>
      <c r="C813" s="178" t="s">
        <v>2443</v>
      </c>
      <c r="D813" s="36" t="s">
        <v>1683</v>
      </c>
      <c r="E813" s="36">
        <v>711850.0</v>
      </c>
      <c r="F813" s="178" t="s">
        <v>55</v>
      </c>
    </row>
    <row r="814">
      <c r="A814" s="250">
        <v>43984.00032</v>
      </c>
      <c r="B814" s="251" t="s">
        <v>1693</v>
      </c>
      <c r="C814" s="178" t="s">
        <v>2453</v>
      </c>
      <c r="D814" s="36">
        <v>265892.0</v>
      </c>
      <c r="E814" s="36" t="s">
        <v>1683</v>
      </c>
      <c r="F814" s="178" t="s">
        <v>656</v>
      </c>
    </row>
    <row r="815">
      <c r="A815" s="250">
        <v>43984.00032</v>
      </c>
      <c r="B815" s="251" t="s">
        <v>1684</v>
      </c>
      <c r="C815" s="178" t="s">
        <v>2454</v>
      </c>
      <c r="D815" s="36" t="s">
        <v>1683</v>
      </c>
      <c r="E815" s="36">
        <v>265892.0</v>
      </c>
      <c r="F815" s="178" t="s">
        <v>656</v>
      </c>
    </row>
    <row r="816">
      <c r="A816" s="250">
        <v>43984.00099</v>
      </c>
      <c r="B816" s="251" t="s">
        <v>1693</v>
      </c>
      <c r="C816" s="178" t="s">
        <v>2455</v>
      </c>
      <c r="D816" s="36">
        <v>245050.0</v>
      </c>
      <c r="E816" s="36" t="s">
        <v>1683</v>
      </c>
      <c r="F816" s="178" t="s">
        <v>437</v>
      </c>
    </row>
    <row r="817">
      <c r="A817" s="250">
        <v>43984.00099</v>
      </c>
      <c r="B817" s="251" t="s">
        <v>1684</v>
      </c>
      <c r="C817" s="178" t="s">
        <v>2456</v>
      </c>
      <c r="D817" s="36" t="s">
        <v>1683</v>
      </c>
      <c r="E817" s="36">
        <v>245050.0</v>
      </c>
      <c r="F817" s="178" t="s">
        <v>437</v>
      </c>
    </row>
    <row r="818">
      <c r="A818" s="250">
        <v>43986.00077</v>
      </c>
      <c r="B818" s="251" t="s">
        <v>2000</v>
      </c>
      <c r="C818" s="178" t="s">
        <v>2457</v>
      </c>
      <c r="D818" s="36">
        <v>69777.785</v>
      </c>
      <c r="E818" s="36" t="s">
        <v>1683</v>
      </c>
      <c r="F818" s="178" t="s">
        <v>1683</v>
      </c>
    </row>
    <row r="819">
      <c r="A819" s="250">
        <v>43986.00077</v>
      </c>
      <c r="B819" s="251" t="s">
        <v>2458</v>
      </c>
      <c r="C819" s="178" t="s">
        <v>2459</v>
      </c>
      <c r="D819" s="36" t="s">
        <v>1683</v>
      </c>
      <c r="E819" s="36">
        <v>69777.785</v>
      </c>
      <c r="F819" s="178" t="s">
        <v>1683</v>
      </c>
    </row>
    <row r="820">
      <c r="A820" s="250">
        <v>43987.00022</v>
      </c>
      <c r="B820" s="251" t="s">
        <v>1896</v>
      </c>
      <c r="C820" s="178" t="s">
        <v>2460</v>
      </c>
      <c r="D820" s="36">
        <v>899572.0</v>
      </c>
      <c r="E820" s="36" t="s">
        <v>1683</v>
      </c>
      <c r="F820" s="178" t="s">
        <v>59</v>
      </c>
    </row>
    <row r="821">
      <c r="A821" s="250">
        <v>43987.00022</v>
      </c>
      <c r="B821" s="251" t="s">
        <v>1776</v>
      </c>
      <c r="C821" s="178" t="s">
        <v>2409</v>
      </c>
      <c r="D821" s="36" t="s">
        <v>1683</v>
      </c>
      <c r="E821" s="36">
        <v>899572.0</v>
      </c>
      <c r="F821" s="178" t="s">
        <v>59</v>
      </c>
    </row>
    <row r="822">
      <c r="A822" s="250">
        <v>43988.00032</v>
      </c>
      <c r="B822" s="251" t="s">
        <v>2000</v>
      </c>
      <c r="C822" s="178" t="s">
        <v>2461</v>
      </c>
      <c r="D822" s="36">
        <v>265892.0</v>
      </c>
      <c r="E822" s="36" t="s">
        <v>1683</v>
      </c>
      <c r="F822" s="178" t="s">
        <v>656</v>
      </c>
    </row>
    <row r="823">
      <c r="A823" s="250">
        <v>43988.00032</v>
      </c>
      <c r="B823" s="251" t="s">
        <v>1698</v>
      </c>
      <c r="C823" s="178" t="s">
        <v>2453</v>
      </c>
      <c r="D823" s="36" t="s">
        <v>1683</v>
      </c>
      <c r="E823" s="36">
        <v>265892.0</v>
      </c>
      <c r="F823" s="178" t="s">
        <v>656</v>
      </c>
    </row>
    <row r="824">
      <c r="A824" s="250">
        <v>43988.00057</v>
      </c>
      <c r="B824" s="251" t="s">
        <v>2462</v>
      </c>
      <c r="C824" s="178" t="s">
        <v>2463</v>
      </c>
      <c r="D824" s="36">
        <v>105000.0</v>
      </c>
      <c r="E824" s="36" t="s">
        <v>1683</v>
      </c>
      <c r="F824" s="178" t="s">
        <v>167</v>
      </c>
    </row>
    <row r="825">
      <c r="A825" s="250">
        <v>43988.00057</v>
      </c>
      <c r="B825" s="251" t="s">
        <v>1684</v>
      </c>
      <c r="C825" s="178" t="s">
        <v>2464</v>
      </c>
      <c r="D825" s="36" t="s">
        <v>1683</v>
      </c>
      <c r="E825" s="36">
        <v>105000.0</v>
      </c>
      <c r="F825" s="178" t="s">
        <v>167</v>
      </c>
    </row>
    <row r="826">
      <c r="A826" s="250">
        <v>43988.00057</v>
      </c>
      <c r="B826" s="251" t="s">
        <v>1839</v>
      </c>
      <c r="C826" s="178" t="s">
        <v>2465</v>
      </c>
      <c r="D826" s="36">
        <v>105000.0</v>
      </c>
      <c r="E826" s="36" t="s">
        <v>1683</v>
      </c>
      <c r="F826" s="178" t="s">
        <v>167</v>
      </c>
    </row>
    <row r="827">
      <c r="A827" s="250">
        <v>43988.00057</v>
      </c>
      <c r="B827" s="251" t="s">
        <v>2466</v>
      </c>
      <c r="C827" s="178" t="s">
        <v>2463</v>
      </c>
      <c r="D827" s="36" t="s">
        <v>1683</v>
      </c>
      <c r="E827" s="36">
        <v>105000.0</v>
      </c>
      <c r="F827" s="178" t="s">
        <v>167</v>
      </c>
    </row>
    <row r="828">
      <c r="A828" s="250">
        <v>43988.00079</v>
      </c>
      <c r="B828" s="251" t="s">
        <v>2348</v>
      </c>
      <c r="C828" s="178" t="s">
        <v>2467</v>
      </c>
      <c r="D828" s="36">
        <v>8401.66053169736</v>
      </c>
      <c r="E828" s="36" t="s">
        <v>1683</v>
      </c>
      <c r="F828" s="178" t="s">
        <v>1683</v>
      </c>
    </row>
    <row r="829">
      <c r="A829" s="250">
        <v>43988.00079</v>
      </c>
      <c r="B829" s="251" t="s">
        <v>2468</v>
      </c>
      <c r="C829" s="178" t="s">
        <v>2469</v>
      </c>
      <c r="D829" s="36" t="s">
        <v>1683</v>
      </c>
      <c r="E829" s="36">
        <v>8401.66053169736</v>
      </c>
      <c r="F829" s="178" t="s">
        <v>1683</v>
      </c>
    </row>
    <row r="830">
      <c r="A830" s="250">
        <v>43988.0008</v>
      </c>
      <c r="B830" s="251" t="s">
        <v>2324</v>
      </c>
      <c r="C830" s="178" t="s">
        <v>2470</v>
      </c>
      <c r="D830" s="36">
        <v>16803.32106339472</v>
      </c>
      <c r="E830" s="36" t="s">
        <v>1683</v>
      </c>
      <c r="F830" s="178" t="s">
        <v>1683</v>
      </c>
    </row>
    <row r="831">
      <c r="A831" s="250">
        <v>43988.0008</v>
      </c>
      <c r="B831" s="251" t="s">
        <v>2471</v>
      </c>
      <c r="C831" s="178" t="s">
        <v>2472</v>
      </c>
      <c r="D831" s="36" t="s">
        <v>1683</v>
      </c>
      <c r="E831" s="36">
        <v>16803.32106339472</v>
      </c>
      <c r="F831" s="178" t="s">
        <v>1683</v>
      </c>
    </row>
    <row r="832">
      <c r="A832" s="250">
        <v>43988.00081</v>
      </c>
      <c r="B832" s="251" t="s">
        <v>2345</v>
      </c>
      <c r="C832" s="178" t="s">
        <v>2473</v>
      </c>
      <c r="D832" s="36">
        <v>8401.66053169736</v>
      </c>
      <c r="E832" s="36" t="s">
        <v>1683</v>
      </c>
      <c r="F832" s="178" t="s">
        <v>1683</v>
      </c>
    </row>
    <row r="833">
      <c r="A833" s="250">
        <v>43988.00081</v>
      </c>
      <c r="B833" s="251" t="s">
        <v>2474</v>
      </c>
      <c r="C833" s="178" t="s">
        <v>2475</v>
      </c>
      <c r="D833" s="36" t="s">
        <v>1683</v>
      </c>
      <c r="E833" s="36">
        <v>8401.66053169736</v>
      </c>
      <c r="F833" s="178" t="s">
        <v>1683</v>
      </c>
    </row>
    <row r="834">
      <c r="A834" s="250">
        <v>43988.00082</v>
      </c>
      <c r="B834" s="251" t="s">
        <v>2210</v>
      </c>
      <c r="C834" s="178" t="s">
        <v>2476</v>
      </c>
      <c r="D834" s="36">
        <v>899752.0</v>
      </c>
      <c r="E834" s="36" t="s">
        <v>1683</v>
      </c>
      <c r="F834" s="178" t="s">
        <v>1683</v>
      </c>
    </row>
    <row r="835">
      <c r="A835" s="250">
        <v>43988.00082</v>
      </c>
      <c r="B835" s="251" t="s">
        <v>2212</v>
      </c>
      <c r="C835" s="178" t="s">
        <v>2477</v>
      </c>
      <c r="D835" s="36" t="s">
        <v>1683</v>
      </c>
      <c r="E835" s="36">
        <v>899752.0</v>
      </c>
      <c r="F835" s="178" t="s">
        <v>1683</v>
      </c>
    </row>
    <row r="836">
      <c r="A836" s="250">
        <v>43989.00025</v>
      </c>
      <c r="B836" s="251" t="s">
        <v>1693</v>
      </c>
      <c r="C836" s="178" t="s">
        <v>2478</v>
      </c>
      <c r="D836" s="36">
        <v>90060.0</v>
      </c>
      <c r="E836" s="36" t="s">
        <v>1683</v>
      </c>
      <c r="F836" s="178" t="s">
        <v>932</v>
      </c>
    </row>
    <row r="837">
      <c r="A837" s="250">
        <v>43989.00025</v>
      </c>
      <c r="B837" s="251" t="s">
        <v>1684</v>
      </c>
      <c r="C837" s="178" t="s">
        <v>2479</v>
      </c>
      <c r="D837" s="36" t="s">
        <v>1683</v>
      </c>
      <c r="E837" s="36">
        <v>90060.0</v>
      </c>
      <c r="F837" s="178" t="s">
        <v>932</v>
      </c>
    </row>
    <row r="838">
      <c r="A838" s="250">
        <v>43990.991386643516</v>
      </c>
      <c r="B838" s="251" t="s">
        <v>1693</v>
      </c>
      <c r="C838" s="178" t="s">
        <v>2480</v>
      </c>
      <c r="D838" s="36">
        <v>530100.0</v>
      </c>
      <c r="E838" s="36" t="s">
        <v>1683</v>
      </c>
      <c r="F838" s="178" t="s">
        <v>564</v>
      </c>
    </row>
    <row r="839">
      <c r="A839" s="250">
        <v>43990.991386643516</v>
      </c>
      <c r="B839" s="251" t="s">
        <v>1684</v>
      </c>
      <c r="C839" s="178" t="s">
        <v>2481</v>
      </c>
      <c r="D839" s="36" t="s">
        <v>1683</v>
      </c>
      <c r="E839" s="36">
        <v>530100.0</v>
      </c>
      <c r="F839" s="178" t="s">
        <v>564</v>
      </c>
    </row>
    <row r="840">
      <c r="A840" s="250">
        <v>43991.00052</v>
      </c>
      <c r="B840" s="251" t="s">
        <v>1702</v>
      </c>
      <c r="C840" s="178" t="s">
        <v>2482</v>
      </c>
      <c r="D840" s="36">
        <v>19999.999999999985</v>
      </c>
      <c r="E840" s="36" t="s">
        <v>1683</v>
      </c>
      <c r="F840" s="178" t="s">
        <v>676</v>
      </c>
    </row>
    <row r="841">
      <c r="A841" s="250">
        <v>43991.00052</v>
      </c>
      <c r="B841" s="251" t="s">
        <v>1684</v>
      </c>
      <c r="C841" s="178" t="s">
        <v>2483</v>
      </c>
      <c r="D841" s="36" t="s">
        <v>1683</v>
      </c>
      <c r="E841" s="36">
        <v>19999.999999999985</v>
      </c>
      <c r="F841" s="178" t="s">
        <v>676</v>
      </c>
    </row>
    <row r="842">
      <c r="A842" s="250">
        <v>43991.00053</v>
      </c>
      <c r="B842" s="251" t="s">
        <v>1693</v>
      </c>
      <c r="C842" s="178" t="s">
        <v>2484</v>
      </c>
      <c r="D842" s="36">
        <v>171342.0</v>
      </c>
      <c r="E842" s="36" t="s">
        <v>1683</v>
      </c>
      <c r="F842" s="178" t="s">
        <v>678</v>
      </c>
    </row>
    <row r="843">
      <c r="A843" s="250">
        <v>43991.00053</v>
      </c>
      <c r="B843" s="251" t="s">
        <v>1684</v>
      </c>
      <c r="C843" s="178" t="s">
        <v>2485</v>
      </c>
      <c r="D843" s="36" t="s">
        <v>1683</v>
      </c>
      <c r="E843" s="36">
        <v>171342.0</v>
      </c>
      <c r="F843" s="178" t="s">
        <v>678</v>
      </c>
    </row>
    <row r="844">
      <c r="A844" s="250">
        <v>43992.88431820602</v>
      </c>
      <c r="B844" s="251" t="s">
        <v>1844</v>
      </c>
      <c r="C844" s="178" t="s">
        <v>2486</v>
      </c>
      <c r="D844" s="36">
        <v>245050.0</v>
      </c>
      <c r="E844" s="36" t="s">
        <v>1683</v>
      </c>
      <c r="F844" s="178" t="s">
        <v>437</v>
      </c>
    </row>
    <row r="845">
      <c r="A845" s="250">
        <v>43992.88431820602</v>
      </c>
      <c r="B845" s="251" t="s">
        <v>1698</v>
      </c>
      <c r="C845" s="178" t="s">
        <v>2455</v>
      </c>
      <c r="D845" s="36" t="s">
        <v>1683</v>
      </c>
      <c r="E845" s="36">
        <v>245050.0</v>
      </c>
      <c r="F845" s="178" t="s">
        <v>437</v>
      </c>
    </row>
    <row r="846">
      <c r="A846" s="250">
        <v>43993.00081</v>
      </c>
      <c r="B846" s="251" t="s">
        <v>1693</v>
      </c>
      <c r="C846" s="178" t="s">
        <v>2487</v>
      </c>
      <c r="D846" s="36">
        <v>396700.0</v>
      </c>
      <c r="E846" s="36" t="s">
        <v>1683</v>
      </c>
      <c r="F846" s="178" t="s">
        <v>524</v>
      </c>
    </row>
    <row r="847">
      <c r="A847" s="250">
        <v>43993.00081</v>
      </c>
      <c r="B847" s="251" t="s">
        <v>1684</v>
      </c>
      <c r="C847" s="178" t="s">
        <v>2488</v>
      </c>
      <c r="D847" s="36" t="s">
        <v>1683</v>
      </c>
      <c r="E847" s="36">
        <v>396700.0</v>
      </c>
      <c r="F847" s="178" t="s">
        <v>524</v>
      </c>
    </row>
    <row r="848">
      <c r="A848" s="250">
        <v>43994.00051</v>
      </c>
      <c r="B848" s="251" t="s">
        <v>2489</v>
      </c>
      <c r="C848" s="178" t="s">
        <v>2490</v>
      </c>
      <c r="D848" s="36">
        <v>165675.0</v>
      </c>
      <c r="E848" s="36" t="s">
        <v>1683</v>
      </c>
      <c r="F848" s="178" t="s">
        <v>384</v>
      </c>
    </row>
    <row r="849">
      <c r="A849" s="250">
        <v>43994.00051</v>
      </c>
      <c r="B849" s="251" t="s">
        <v>1776</v>
      </c>
      <c r="C849" s="178" t="s">
        <v>2415</v>
      </c>
      <c r="D849" s="36" t="s">
        <v>1683</v>
      </c>
      <c r="E849" s="36">
        <v>165675.0</v>
      </c>
      <c r="F849" s="178" t="s">
        <v>384</v>
      </c>
    </row>
    <row r="850">
      <c r="A850" s="250">
        <v>43994.00084</v>
      </c>
      <c r="B850" s="251" t="s">
        <v>2491</v>
      </c>
      <c r="C850" s="178" t="s">
        <v>2492</v>
      </c>
      <c r="D850" s="36">
        <v>31719.375</v>
      </c>
      <c r="E850" s="36" t="s">
        <v>1683</v>
      </c>
      <c r="F850" s="178" t="s">
        <v>1683</v>
      </c>
    </row>
    <row r="851">
      <c r="A851" s="250">
        <v>43994.00084</v>
      </c>
      <c r="B851" s="251" t="s">
        <v>2493</v>
      </c>
      <c r="C851" s="178" t="s">
        <v>2494</v>
      </c>
      <c r="D851" s="36" t="s">
        <v>1683</v>
      </c>
      <c r="E851" s="36">
        <v>31719.375</v>
      </c>
      <c r="F851" s="178" t="s">
        <v>1683</v>
      </c>
    </row>
    <row r="852">
      <c r="A852" s="250">
        <v>43994.884675034715</v>
      </c>
      <c r="B852" s="251" t="s">
        <v>2000</v>
      </c>
      <c r="C852" s="178" t="s">
        <v>2495</v>
      </c>
      <c r="D852" s="36">
        <v>39219.07</v>
      </c>
      <c r="E852" s="36" t="s">
        <v>1683</v>
      </c>
      <c r="F852" s="178" t="s">
        <v>1683</v>
      </c>
    </row>
    <row r="853">
      <c r="A853" s="250">
        <v>43994.884675034715</v>
      </c>
      <c r="B853" s="251" t="s">
        <v>2458</v>
      </c>
      <c r="C853" s="178" t="s">
        <v>2496</v>
      </c>
      <c r="D853" s="36" t="s">
        <v>1683</v>
      </c>
      <c r="E853" s="36">
        <v>39219.07</v>
      </c>
      <c r="F853" s="178" t="s">
        <v>1683</v>
      </c>
    </row>
    <row r="854">
      <c r="A854" s="250">
        <v>43997.00025</v>
      </c>
      <c r="B854" s="251" t="s">
        <v>2497</v>
      </c>
      <c r="C854" s="178" t="s">
        <v>2498</v>
      </c>
      <c r="D854" s="36">
        <v>90060.0</v>
      </c>
      <c r="E854" s="36" t="s">
        <v>1683</v>
      </c>
      <c r="F854" s="178" t="s">
        <v>932</v>
      </c>
    </row>
    <row r="855">
      <c r="A855" s="250">
        <v>43997.00025</v>
      </c>
      <c r="B855" s="251" t="s">
        <v>1698</v>
      </c>
      <c r="C855" s="178" t="s">
        <v>2478</v>
      </c>
      <c r="D855" s="36" t="s">
        <v>1683</v>
      </c>
      <c r="E855" s="36">
        <v>90060.0</v>
      </c>
      <c r="F855" s="178" t="s">
        <v>932</v>
      </c>
    </row>
    <row r="856">
      <c r="A856" s="250">
        <v>43999.00053</v>
      </c>
      <c r="B856" s="251" t="s">
        <v>2499</v>
      </c>
      <c r="C856" s="178" t="s">
        <v>2500</v>
      </c>
      <c r="D856" s="36">
        <v>171342.0</v>
      </c>
      <c r="E856" s="36" t="s">
        <v>1683</v>
      </c>
      <c r="F856" s="178" t="s">
        <v>678</v>
      </c>
    </row>
    <row r="857">
      <c r="A857" s="250">
        <v>43999.00053</v>
      </c>
      <c r="B857" s="251" t="s">
        <v>1698</v>
      </c>
      <c r="C857" s="178" t="s">
        <v>2484</v>
      </c>
      <c r="D857" s="36" t="s">
        <v>1683</v>
      </c>
      <c r="E857" s="36">
        <v>171342.0</v>
      </c>
      <c r="F857" s="178" t="s">
        <v>678</v>
      </c>
    </row>
    <row r="858">
      <c r="A858" s="250">
        <v>44001.00033</v>
      </c>
      <c r="B858" s="251" t="s">
        <v>2324</v>
      </c>
      <c r="C858" s="178" t="s">
        <v>2501</v>
      </c>
      <c r="D858" s="36">
        <v>530100.0</v>
      </c>
      <c r="E858" s="36" t="s">
        <v>1683</v>
      </c>
      <c r="F858" s="178" t="s">
        <v>564</v>
      </c>
    </row>
    <row r="859">
      <c r="A859" s="250">
        <v>44001.00033</v>
      </c>
      <c r="B859" s="251" t="s">
        <v>1698</v>
      </c>
      <c r="C859" s="178" t="s">
        <v>2480</v>
      </c>
      <c r="D859" s="36" t="s">
        <v>1683</v>
      </c>
      <c r="E859" s="36">
        <v>530100.0</v>
      </c>
      <c r="F859" s="178" t="s">
        <v>564</v>
      </c>
    </row>
    <row r="860">
      <c r="A860" s="250">
        <v>44003.00081</v>
      </c>
      <c r="B860" s="251" t="s">
        <v>1793</v>
      </c>
      <c r="C860" s="178" t="s">
        <v>2502</v>
      </c>
      <c r="D860" s="36">
        <v>396700.0</v>
      </c>
      <c r="E860" s="36" t="s">
        <v>1683</v>
      </c>
      <c r="F860" s="178" t="s">
        <v>524</v>
      </c>
    </row>
    <row r="861">
      <c r="A861" s="250">
        <v>44003.00081</v>
      </c>
      <c r="B861" s="251" t="s">
        <v>1698</v>
      </c>
      <c r="C861" s="178" t="s">
        <v>2487</v>
      </c>
      <c r="D861" s="36" t="s">
        <v>1683</v>
      </c>
      <c r="E861" s="36">
        <v>396700.0</v>
      </c>
      <c r="F861" s="178" t="s">
        <v>524</v>
      </c>
    </row>
    <row r="862">
      <c r="A862" s="250">
        <v>44003.00087</v>
      </c>
      <c r="B862" s="251" t="s">
        <v>2036</v>
      </c>
      <c r="C862" s="178" t="s">
        <v>2503</v>
      </c>
      <c r="D862" s="36">
        <v>3967.0</v>
      </c>
      <c r="E862" s="36" t="s">
        <v>1683</v>
      </c>
      <c r="F862" s="178" t="s">
        <v>1683</v>
      </c>
    </row>
    <row r="863">
      <c r="A863" s="250">
        <v>44003.00087</v>
      </c>
      <c r="B863" s="251" t="s">
        <v>2038</v>
      </c>
      <c r="C863" s="178" t="s">
        <v>2504</v>
      </c>
      <c r="D863" s="36" t="s">
        <v>1683</v>
      </c>
      <c r="E863" s="36">
        <v>3967.0</v>
      </c>
      <c r="F863" s="178" t="s">
        <v>1683</v>
      </c>
    </row>
    <row r="864">
      <c r="A864" s="250">
        <v>44006.00097</v>
      </c>
      <c r="B864" s="251" t="s">
        <v>1693</v>
      </c>
      <c r="C864" s="178" t="s">
        <v>2505</v>
      </c>
      <c r="D864" s="36">
        <v>105336.0</v>
      </c>
      <c r="E864" s="36" t="s">
        <v>1683</v>
      </c>
      <c r="F864" s="178" t="s">
        <v>543</v>
      </c>
    </row>
    <row r="865">
      <c r="A865" s="250">
        <v>44006.00097</v>
      </c>
      <c r="B865" s="251" t="s">
        <v>1684</v>
      </c>
      <c r="C865" s="178" t="s">
        <v>2506</v>
      </c>
      <c r="D865" s="36" t="s">
        <v>1683</v>
      </c>
      <c r="E865" s="36">
        <v>105336.0</v>
      </c>
      <c r="F865" s="178" t="s">
        <v>543</v>
      </c>
    </row>
    <row r="866">
      <c r="A866" s="250">
        <v>44008.0</v>
      </c>
      <c r="B866" s="251" t="s">
        <v>1793</v>
      </c>
      <c r="C866" s="178" t="s">
        <v>2507</v>
      </c>
      <c r="D866" s="36">
        <v>79340.0</v>
      </c>
      <c r="E866" s="36" t="s">
        <v>1683</v>
      </c>
      <c r="F866" s="178" t="s">
        <v>1683</v>
      </c>
    </row>
    <row r="867">
      <c r="A867" s="250">
        <v>44008.0</v>
      </c>
      <c r="B867" s="251" t="s">
        <v>2232</v>
      </c>
      <c r="C867" s="178" t="s">
        <v>2508</v>
      </c>
      <c r="D867" s="36" t="s">
        <v>1683</v>
      </c>
      <c r="E867" s="36">
        <v>79340.0</v>
      </c>
      <c r="F867" s="178" t="s">
        <v>1683</v>
      </c>
    </row>
    <row r="868">
      <c r="A868" s="250">
        <v>44008.00001</v>
      </c>
      <c r="B868" s="251" t="s">
        <v>1958</v>
      </c>
      <c r="C868" s="178" t="s">
        <v>2509</v>
      </c>
      <c r="D868" s="36">
        <v>35000.00000000001</v>
      </c>
      <c r="E868" s="36" t="s">
        <v>1683</v>
      </c>
      <c r="F868" s="178" t="s">
        <v>1683</v>
      </c>
    </row>
    <row r="869">
      <c r="A869" s="250">
        <v>44008.00001</v>
      </c>
      <c r="B869" s="251" t="s">
        <v>2428</v>
      </c>
      <c r="C869" s="178" t="s">
        <v>2510</v>
      </c>
      <c r="D869" s="36" t="s">
        <v>1683</v>
      </c>
      <c r="E869" s="36">
        <v>35000.00000000001</v>
      </c>
      <c r="F869" s="178" t="s">
        <v>1683</v>
      </c>
    </row>
    <row r="870">
      <c r="A870" s="250">
        <v>44008.00002</v>
      </c>
      <c r="B870" s="251" t="s">
        <v>1930</v>
      </c>
      <c r="C870" s="178" t="s">
        <v>2511</v>
      </c>
      <c r="D870" s="36">
        <v>54551.95833333332</v>
      </c>
      <c r="E870" s="36" t="s">
        <v>1683</v>
      </c>
      <c r="F870" s="178" t="s">
        <v>1683</v>
      </c>
    </row>
    <row r="871">
      <c r="A871" s="250">
        <v>44008.00002</v>
      </c>
      <c r="B871" s="251" t="s">
        <v>2390</v>
      </c>
      <c r="C871" s="178" t="s">
        <v>2512</v>
      </c>
      <c r="D871" s="36" t="s">
        <v>1683</v>
      </c>
      <c r="E871" s="36">
        <v>54551.95833333332</v>
      </c>
      <c r="F871" s="178" t="s">
        <v>1683</v>
      </c>
    </row>
    <row r="872">
      <c r="A872" s="250">
        <v>44008.00013</v>
      </c>
      <c r="B872" s="251" t="s">
        <v>1846</v>
      </c>
      <c r="C872" s="178" t="s">
        <v>2513</v>
      </c>
      <c r="D872" s="36">
        <v>11833.458633456748</v>
      </c>
      <c r="E872" s="36" t="s">
        <v>1683</v>
      </c>
      <c r="F872" s="178" t="s">
        <v>1683</v>
      </c>
    </row>
    <row r="873">
      <c r="A873" s="250">
        <v>44008.00013</v>
      </c>
      <c r="B873" s="251" t="s">
        <v>2047</v>
      </c>
      <c r="C873" s="178" t="s">
        <v>2514</v>
      </c>
      <c r="D873" s="36" t="s">
        <v>1683</v>
      </c>
      <c r="E873" s="36">
        <v>11833.458633456748</v>
      </c>
      <c r="F873" s="178" t="s">
        <v>1683</v>
      </c>
    </row>
    <row r="874">
      <c r="A874" s="250">
        <v>44008.00014</v>
      </c>
      <c r="B874" s="251" t="s">
        <v>1793</v>
      </c>
      <c r="C874" s="178" t="s">
        <v>2515</v>
      </c>
      <c r="D874" s="36">
        <v>1983.5</v>
      </c>
      <c r="E874" s="36" t="s">
        <v>1683</v>
      </c>
      <c r="F874" s="178" t="s">
        <v>1683</v>
      </c>
    </row>
    <row r="875">
      <c r="A875" s="250">
        <v>44008.00014</v>
      </c>
      <c r="B875" s="251" t="s">
        <v>2232</v>
      </c>
      <c r="C875" s="178" t="s">
        <v>2516</v>
      </c>
      <c r="D875" s="36" t="s">
        <v>1683</v>
      </c>
      <c r="E875" s="36">
        <v>1983.5</v>
      </c>
      <c r="F875" s="178" t="s">
        <v>1683</v>
      </c>
    </row>
    <row r="876">
      <c r="A876" s="250">
        <v>44008.00015</v>
      </c>
      <c r="B876" s="251" t="s">
        <v>1930</v>
      </c>
      <c r="C876" s="178" t="s">
        <v>2517</v>
      </c>
      <c r="D876" s="36">
        <v>54551.95833333332</v>
      </c>
      <c r="E876" s="36" t="s">
        <v>1683</v>
      </c>
      <c r="F876" s="178" t="s">
        <v>1683</v>
      </c>
    </row>
    <row r="877">
      <c r="A877" s="250">
        <v>44008.00015</v>
      </c>
      <c r="B877" s="251" t="s">
        <v>2390</v>
      </c>
      <c r="C877" s="178" t="s">
        <v>2518</v>
      </c>
      <c r="D877" s="36" t="s">
        <v>1683</v>
      </c>
      <c r="E877" s="36">
        <v>54551.95833333332</v>
      </c>
      <c r="F877" s="178" t="s">
        <v>1683</v>
      </c>
    </row>
    <row r="878">
      <c r="A878" s="250">
        <v>44008.00016</v>
      </c>
      <c r="B878" s="251" t="s">
        <v>2000</v>
      </c>
      <c r="C878" s="178" t="s">
        <v>2519</v>
      </c>
      <c r="D878" s="36">
        <v>6647.3</v>
      </c>
      <c r="E878" s="36" t="s">
        <v>1683</v>
      </c>
      <c r="F878" s="178" t="s">
        <v>1683</v>
      </c>
    </row>
    <row r="879">
      <c r="A879" s="250">
        <v>44008.00016</v>
      </c>
      <c r="B879" s="251" t="s">
        <v>2458</v>
      </c>
      <c r="C879" s="178" t="s">
        <v>2520</v>
      </c>
      <c r="D879" s="36" t="s">
        <v>1683</v>
      </c>
      <c r="E879" s="36">
        <v>6647.3</v>
      </c>
      <c r="F879" s="178" t="s">
        <v>1683</v>
      </c>
    </row>
    <row r="880">
      <c r="A880" s="250">
        <v>44008.00017</v>
      </c>
      <c r="B880" s="251" t="s">
        <v>2324</v>
      </c>
      <c r="C880" s="178" t="s">
        <v>2521</v>
      </c>
      <c r="D880" s="36">
        <v>2650.5</v>
      </c>
      <c r="E880" s="36" t="s">
        <v>1683</v>
      </c>
      <c r="F880" s="178" t="s">
        <v>1683</v>
      </c>
    </row>
    <row r="881">
      <c r="A881" s="250">
        <v>44008.00017</v>
      </c>
      <c r="B881" s="251" t="s">
        <v>2471</v>
      </c>
      <c r="C881" s="178" t="s">
        <v>2522</v>
      </c>
      <c r="D881" s="36" t="s">
        <v>1683</v>
      </c>
      <c r="E881" s="36">
        <v>2650.5</v>
      </c>
      <c r="F881" s="178" t="s">
        <v>1683</v>
      </c>
    </row>
    <row r="882">
      <c r="A882" s="250">
        <v>44008.00018</v>
      </c>
      <c r="B882" s="251" t="s">
        <v>2312</v>
      </c>
      <c r="C882" s="178" t="s">
        <v>2523</v>
      </c>
      <c r="D882" s="36">
        <v>1050.0</v>
      </c>
      <c r="E882" s="36" t="s">
        <v>1683</v>
      </c>
      <c r="F882" s="178" t="s">
        <v>1683</v>
      </c>
    </row>
    <row r="883">
      <c r="A883" s="250">
        <v>44008.00018</v>
      </c>
      <c r="B883" s="251" t="s">
        <v>2524</v>
      </c>
      <c r="C883" s="178" t="s">
        <v>2525</v>
      </c>
      <c r="D883" s="36" t="s">
        <v>1683</v>
      </c>
      <c r="E883" s="36">
        <v>1050.0</v>
      </c>
      <c r="F883" s="178" t="s">
        <v>1683</v>
      </c>
    </row>
    <row r="884">
      <c r="A884" s="250">
        <v>44008.00019</v>
      </c>
      <c r="B884" s="251" t="s">
        <v>1693</v>
      </c>
      <c r="C884" s="178" t="s">
        <v>2526</v>
      </c>
      <c r="D884" s="36">
        <v>278160.0</v>
      </c>
      <c r="E884" s="36" t="s">
        <v>1683</v>
      </c>
      <c r="F884" s="178" t="s">
        <v>51</v>
      </c>
    </row>
    <row r="885">
      <c r="A885" s="250">
        <v>44008.00019</v>
      </c>
      <c r="B885" s="251" t="s">
        <v>1684</v>
      </c>
      <c r="C885" s="178" t="s">
        <v>2527</v>
      </c>
      <c r="D885" s="36" t="s">
        <v>1683</v>
      </c>
      <c r="E885" s="36">
        <v>278160.0</v>
      </c>
      <c r="F885" s="178" t="s">
        <v>51</v>
      </c>
    </row>
    <row r="886">
      <c r="A886" s="250">
        <v>44008.00019</v>
      </c>
      <c r="B886" s="251" t="s">
        <v>2318</v>
      </c>
      <c r="C886" s="178" t="s">
        <v>2528</v>
      </c>
      <c r="D886" s="36">
        <v>1050.0</v>
      </c>
      <c r="E886" s="36" t="s">
        <v>1683</v>
      </c>
      <c r="F886" s="178" t="s">
        <v>1683</v>
      </c>
    </row>
    <row r="887">
      <c r="A887" s="250">
        <v>44008.00019</v>
      </c>
      <c r="B887" s="251" t="s">
        <v>2529</v>
      </c>
      <c r="C887" s="178" t="s">
        <v>2530</v>
      </c>
      <c r="D887" s="36" t="s">
        <v>1683</v>
      </c>
      <c r="E887" s="36">
        <v>1050.0</v>
      </c>
      <c r="F887" s="178" t="s">
        <v>1683</v>
      </c>
    </row>
    <row r="888">
      <c r="A888" s="250">
        <v>44008.0002</v>
      </c>
      <c r="B888" s="251" t="s">
        <v>1693</v>
      </c>
      <c r="C888" s="178" t="s">
        <v>2531</v>
      </c>
      <c r="D888" s="36">
        <v>711850.0</v>
      </c>
      <c r="E888" s="36" t="s">
        <v>1683</v>
      </c>
      <c r="F888" s="178" t="s">
        <v>53</v>
      </c>
    </row>
    <row r="889">
      <c r="A889" s="250">
        <v>44008.0002</v>
      </c>
      <c r="B889" s="251" t="s">
        <v>1684</v>
      </c>
      <c r="C889" s="178" t="s">
        <v>2532</v>
      </c>
      <c r="D889" s="36" t="s">
        <v>1683</v>
      </c>
      <c r="E889" s="36">
        <v>711850.0</v>
      </c>
      <c r="F889" s="178" t="s">
        <v>53</v>
      </c>
    </row>
    <row r="890">
      <c r="A890" s="250">
        <v>44008.0002</v>
      </c>
      <c r="B890" s="251" t="s">
        <v>2314</v>
      </c>
      <c r="C890" s="178" t="s">
        <v>2533</v>
      </c>
      <c r="D890" s="36">
        <v>1050.0</v>
      </c>
      <c r="E890" s="36" t="s">
        <v>1683</v>
      </c>
      <c r="F890" s="178" t="s">
        <v>1683</v>
      </c>
    </row>
    <row r="891">
      <c r="A891" s="250">
        <v>44008.0002</v>
      </c>
      <c r="B891" s="251" t="s">
        <v>2534</v>
      </c>
      <c r="C891" s="178" t="s">
        <v>2535</v>
      </c>
      <c r="D891" s="36" t="s">
        <v>1683</v>
      </c>
      <c r="E891" s="36">
        <v>1050.0</v>
      </c>
      <c r="F891" s="178" t="s">
        <v>1683</v>
      </c>
    </row>
    <row r="892">
      <c r="A892" s="250">
        <v>44008.00021</v>
      </c>
      <c r="B892" s="251" t="s">
        <v>2322</v>
      </c>
      <c r="C892" s="178" t="s">
        <v>2536</v>
      </c>
      <c r="D892" s="36">
        <v>1050.0</v>
      </c>
      <c r="E892" s="36" t="s">
        <v>1683</v>
      </c>
      <c r="F892" s="178" t="s">
        <v>1683</v>
      </c>
    </row>
    <row r="893">
      <c r="A893" s="250">
        <v>44008.00021</v>
      </c>
      <c r="B893" s="251" t="s">
        <v>2537</v>
      </c>
      <c r="C893" s="178" t="s">
        <v>2538</v>
      </c>
      <c r="D893" s="36" t="s">
        <v>1683</v>
      </c>
      <c r="E893" s="36">
        <v>1050.0</v>
      </c>
      <c r="F893" s="178" t="s">
        <v>1683</v>
      </c>
    </row>
    <row r="894">
      <c r="A894" s="250">
        <v>44008.00022</v>
      </c>
      <c r="B894" s="251" t="s">
        <v>2316</v>
      </c>
      <c r="C894" s="178" t="s">
        <v>2539</v>
      </c>
      <c r="D894" s="36">
        <v>1050.0</v>
      </c>
      <c r="E894" s="36" t="s">
        <v>1683</v>
      </c>
      <c r="F894" s="178" t="s">
        <v>1683</v>
      </c>
    </row>
    <row r="895">
      <c r="A895" s="250">
        <v>44008.00022</v>
      </c>
      <c r="B895" s="251" t="s">
        <v>2540</v>
      </c>
      <c r="C895" s="178" t="s">
        <v>2541</v>
      </c>
      <c r="D895" s="36" t="s">
        <v>1683</v>
      </c>
      <c r="E895" s="36">
        <v>1050.0</v>
      </c>
      <c r="F895" s="178" t="s">
        <v>1683</v>
      </c>
    </row>
    <row r="896">
      <c r="A896" s="250">
        <v>44008.00023</v>
      </c>
      <c r="B896" s="251" t="s">
        <v>2320</v>
      </c>
      <c r="C896" s="178" t="s">
        <v>2542</v>
      </c>
      <c r="D896" s="36">
        <v>1050.0</v>
      </c>
      <c r="E896" s="36" t="s">
        <v>1683</v>
      </c>
      <c r="F896" s="178" t="s">
        <v>1683</v>
      </c>
    </row>
    <row r="897">
      <c r="A897" s="250">
        <v>44008.00023</v>
      </c>
      <c r="B897" s="251" t="s">
        <v>2543</v>
      </c>
      <c r="C897" s="178" t="s">
        <v>2544</v>
      </c>
      <c r="D897" s="36" t="s">
        <v>1683</v>
      </c>
      <c r="E897" s="36">
        <v>1050.0</v>
      </c>
      <c r="F897" s="178" t="s">
        <v>1683</v>
      </c>
    </row>
    <row r="898">
      <c r="A898" s="250">
        <v>44008.00024</v>
      </c>
      <c r="B898" s="251" t="s">
        <v>1783</v>
      </c>
      <c r="C898" s="178" t="s">
        <v>2545</v>
      </c>
      <c r="D898" s="36">
        <v>80399.99999999999</v>
      </c>
      <c r="E898" s="36" t="s">
        <v>1683</v>
      </c>
      <c r="F898" s="178" t="s">
        <v>930</v>
      </c>
    </row>
    <row r="899">
      <c r="A899" s="250">
        <v>44008.00024</v>
      </c>
      <c r="B899" s="251" t="s">
        <v>1684</v>
      </c>
      <c r="C899" s="178" t="s">
        <v>2546</v>
      </c>
      <c r="D899" s="36" t="s">
        <v>1683</v>
      </c>
      <c r="E899" s="36">
        <v>80399.99999999999</v>
      </c>
      <c r="F899" s="178" t="s">
        <v>930</v>
      </c>
    </row>
    <row r="900">
      <c r="A900" s="250">
        <v>44008.00089</v>
      </c>
      <c r="B900" s="251" t="s">
        <v>1846</v>
      </c>
      <c r="C900" s="178" t="s">
        <v>2547</v>
      </c>
      <c r="D900" s="36">
        <v>14220.20619320094</v>
      </c>
      <c r="E900" s="36" t="s">
        <v>1683</v>
      </c>
      <c r="F900" s="178" t="s">
        <v>1683</v>
      </c>
    </row>
    <row r="901">
      <c r="A901" s="250">
        <v>44008.00089</v>
      </c>
      <c r="B901" s="251" t="s">
        <v>2047</v>
      </c>
      <c r="C901" s="178" t="s">
        <v>2548</v>
      </c>
      <c r="D901" s="36" t="s">
        <v>1683</v>
      </c>
      <c r="E901" s="36">
        <v>14220.20619320094</v>
      </c>
      <c r="F901" s="178" t="s">
        <v>1683</v>
      </c>
    </row>
    <row r="902">
      <c r="A902" s="250">
        <v>44008.0009</v>
      </c>
      <c r="B902" s="251" t="s">
        <v>2000</v>
      </c>
      <c r="C902" s="178" t="s">
        <v>2549</v>
      </c>
      <c r="D902" s="36">
        <v>6647.3</v>
      </c>
      <c r="E902" s="36" t="s">
        <v>1683</v>
      </c>
      <c r="F902" s="178" t="s">
        <v>1683</v>
      </c>
    </row>
    <row r="903">
      <c r="A903" s="250">
        <v>44008.0009</v>
      </c>
      <c r="B903" s="251" t="s">
        <v>2458</v>
      </c>
      <c r="C903" s="178" t="s">
        <v>2550</v>
      </c>
      <c r="D903" s="36" t="s">
        <v>1683</v>
      </c>
      <c r="E903" s="36">
        <v>6647.3</v>
      </c>
      <c r="F903" s="178" t="s">
        <v>1683</v>
      </c>
    </row>
    <row r="904">
      <c r="A904" s="250">
        <v>44008.00091</v>
      </c>
      <c r="B904" s="251" t="s">
        <v>1927</v>
      </c>
      <c r="C904" s="178" t="s">
        <v>2551</v>
      </c>
      <c r="D904" s="36">
        <v>34399.99999999999</v>
      </c>
      <c r="E904" s="36" t="s">
        <v>1683</v>
      </c>
      <c r="F904" s="178" t="s">
        <v>1683</v>
      </c>
    </row>
    <row r="905">
      <c r="A905" s="250">
        <v>44008.00091</v>
      </c>
      <c r="B905" s="251" t="s">
        <v>2425</v>
      </c>
      <c r="C905" s="178" t="s">
        <v>2552</v>
      </c>
      <c r="D905" s="36" t="s">
        <v>1683</v>
      </c>
      <c r="E905" s="36">
        <v>34399.99999999999</v>
      </c>
      <c r="F905" s="178" t="s">
        <v>1683</v>
      </c>
    </row>
    <row r="906">
      <c r="A906" s="250">
        <v>44008.00092</v>
      </c>
      <c r="B906" s="251" t="s">
        <v>1839</v>
      </c>
      <c r="C906" s="178" t="s">
        <v>2553</v>
      </c>
      <c r="D906" s="36">
        <v>17500.0</v>
      </c>
      <c r="E906" s="36" t="s">
        <v>1683</v>
      </c>
      <c r="F906" s="178" t="s">
        <v>1683</v>
      </c>
    </row>
    <row r="907">
      <c r="A907" s="250">
        <v>44008.00092</v>
      </c>
      <c r="B907" s="251" t="s">
        <v>2221</v>
      </c>
      <c r="C907" s="178" t="s">
        <v>2554</v>
      </c>
      <c r="D907" s="36" t="s">
        <v>1683</v>
      </c>
      <c r="E907" s="36">
        <v>17500.0</v>
      </c>
      <c r="F907" s="178" t="s">
        <v>1683</v>
      </c>
    </row>
    <row r="908">
      <c r="A908" s="250">
        <v>44008.00093</v>
      </c>
      <c r="B908" s="251" t="s">
        <v>2318</v>
      </c>
      <c r="C908" s="178" t="s">
        <v>2555</v>
      </c>
      <c r="D908" s="36">
        <v>1050.0</v>
      </c>
      <c r="E908" s="36" t="s">
        <v>1683</v>
      </c>
      <c r="F908" s="178" t="s">
        <v>1683</v>
      </c>
    </row>
    <row r="909">
      <c r="A909" s="250">
        <v>44008.00093</v>
      </c>
      <c r="B909" s="251" t="s">
        <v>2529</v>
      </c>
      <c r="C909" s="178" t="s">
        <v>2556</v>
      </c>
      <c r="D909" s="36" t="s">
        <v>1683</v>
      </c>
      <c r="E909" s="36">
        <v>1050.0</v>
      </c>
      <c r="F909" s="178" t="s">
        <v>1683</v>
      </c>
    </row>
    <row r="910">
      <c r="A910" s="250">
        <v>44008.00094</v>
      </c>
      <c r="B910" s="251" t="s">
        <v>2312</v>
      </c>
      <c r="C910" s="178" t="s">
        <v>2557</v>
      </c>
      <c r="D910" s="36">
        <v>1050.0</v>
      </c>
      <c r="E910" s="36" t="s">
        <v>1683</v>
      </c>
      <c r="F910" s="178" t="s">
        <v>1683</v>
      </c>
    </row>
    <row r="911">
      <c r="A911" s="250">
        <v>44008.00094</v>
      </c>
      <c r="B911" s="251" t="s">
        <v>2524</v>
      </c>
      <c r="C911" s="178" t="s">
        <v>2558</v>
      </c>
      <c r="D911" s="36" t="s">
        <v>1683</v>
      </c>
      <c r="E911" s="36">
        <v>1050.0</v>
      </c>
      <c r="F911" s="178" t="s">
        <v>1683</v>
      </c>
    </row>
    <row r="912">
      <c r="A912" s="250">
        <v>44008.00095</v>
      </c>
      <c r="B912" s="251" t="s">
        <v>2322</v>
      </c>
      <c r="C912" s="178" t="s">
        <v>2559</v>
      </c>
      <c r="D912" s="36">
        <v>1050.0</v>
      </c>
      <c r="E912" s="36" t="s">
        <v>1683</v>
      </c>
      <c r="F912" s="178" t="s">
        <v>1683</v>
      </c>
    </row>
    <row r="913">
      <c r="A913" s="250">
        <v>44008.00095</v>
      </c>
      <c r="B913" s="251" t="s">
        <v>2537</v>
      </c>
      <c r="C913" s="178" t="s">
        <v>2560</v>
      </c>
      <c r="D913" s="36" t="s">
        <v>1683</v>
      </c>
      <c r="E913" s="36">
        <v>1050.0</v>
      </c>
      <c r="F913" s="178" t="s">
        <v>1683</v>
      </c>
    </row>
    <row r="914">
      <c r="A914" s="250">
        <v>44008.00096</v>
      </c>
      <c r="B914" s="251" t="s">
        <v>2314</v>
      </c>
      <c r="C914" s="178" t="s">
        <v>2561</v>
      </c>
      <c r="D914" s="36">
        <v>1050.0</v>
      </c>
      <c r="E914" s="36" t="s">
        <v>1683</v>
      </c>
      <c r="F914" s="178" t="s">
        <v>1683</v>
      </c>
    </row>
    <row r="915">
      <c r="A915" s="250">
        <v>44008.00096</v>
      </c>
      <c r="B915" s="251" t="s">
        <v>2534</v>
      </c>
      <c r="C915" s="178" t="s">
        <v>2562</v>
      </c>
      <c r="D915" s="36" t="s">
        <v>1683</v>
      </c>
      <c r="E915" s="36">
        <v>1050.0</v>
      </c>
      <c r="F915" s="178" t="s">
        <v>1683</v>
      </c>
    </row>
    <row r="916">
      <c r="A916" s="250">
        <v>44008.00097</v>
      </c>
      <c r="B916" s="251" t="s">
        <v>2320</v>
      </c>
      <c r="C916" s="178" t="s">
        <v>2563</v>
      </c>
      <c r="D916" s="36">
        <v>1050.0</v>
      </c>
      <c r="E916" s="36" t="s">
        <v>1683</v>
      </c>
      <c r="F916" s="178" t="s">
        <v>1683</v>
      </c>
    </row>
    <row r="917">
      <c r="A917" s="250">
        <v>44008.00097</v>
      </c>
      <c r="B917" s="251" t="s">
        <v>2543</v>
      </c>
      <c r="C917" s="178" t="s">
        <v>2564</v>
      </c>
      <c r="D917" s="36" t="s">
        <v>1683</v>
      </c>
      <c r="E917" s="36">
        <v>1050.0</v>
      </c>
      <c r="F917" s="178" t="s">
        <v>1683</v>
      </c>
    </row>
    <row r="918">
      <c r="A918" s="250">
        <v>44008.00098</v>
      </c>
      <c r="B918" s="251" t="s">
        <v>2316</v>
      </c>
      <c r="C918" s="178" t="s">
        <v>2565</v>
      </c>
      <c r="D918" s="36">
        <v>1050.0</v>
      </c>
      <c r="E918" s="36" t="s">
        <v>1683</v>
      </c>
      <c r="F918" s="178" t="s">
        <v>1683</v>
      </c>
    </row>
    <row r="919">
      <c r="A919" s="250">
        <v>44008.00098</v>
      </c>
      <c r="B919" s="251" t="s">
        <v>2540</v>
      </c>
      <c r="C919" s="178" t="s">
        <v>2566</v>
      </c>
      <c r="D919" s="36" t="s">
        <v>1683</v>
      </c>
      <c r="E919" s="36">
        <v>1050.0</v>
      </c>
      <c r="F919" s="178" t="s">
        <v>1683</v>
      </c>
    </row>
    <row r="920">
      <c r="A920" s="250">
        <v>44008.00099</v>
      </c>
      <c r="B920" s="251" t="s">
        <v>2324</v>
      </c>
      <c r="C920" s="178" t="s">
        <v>2567</v>
      </c>
      <c r="D920" s="36">
        <v>106020.0</v>
      </c>
      <c r="E920" s="36" t="s">
        <v>1683</v>
      </c>
      <c r="F920" s="178" t="s">
        <v>1683</v>
      </c>
    </row>
    <row r="921">
      <c r="A921" s="250">
        <v>44008.00099</v>
      </c>
      <c r="B921" s="251" t="s">
        <v>2471</v>
      </c>
      <c r="C921" s="178" t="s">
        <v>2568</v>
      </c>
      <c r="D921" s="36" t="s">
        <v>1683</v>
      </c>
      <c r="E921" s="36">
        <v>106020.0</v>
      </c>
      <c r="F921" s="178" t="s">
        <v>1683</v>
      </c>
    </row>
    <row r="922">
      <c r="A922" s="250">
        <v>44009.00004</v>
      </c>
      <c r="B922" s="251" t="s">
        <v>1846</v>
      </c>
      <c r="C922" s="178" t="s">
        <v>2569</v>
      </c>
      <c r="D922" s="36">
        <v>14220.20619320094</v>
      </c>
      <c r="E922" s="36" t="s">
        <v>1683</v>
      </c>
      <c r="F922" s="178" t="s">
        <v>1683</v>
      </c>
    </row>
    <row r="923">
      <c r="A923" s="250">
        <v>44009.00004</v>
      </c>
      <c r="B923" s="251" t="s">
        <v>2047</v>
      </c>
      <c r="C923" s="178" t="s">
        <v>2570</v>
      </c>
      <c r="D923" s="36" t="s">
        <v>1683</v>
      </c>
      <c r="E923" s="36">
        <v>14220.20619320094</v>
      </c>
      <c r="F923" s="178" t="s">
        <v>1683</v>
      </c>
    </row>
    <row r="924">
      <c r="A924" s="250">
        <v>44009.00005</v>
      </c>
      <c r="B924" s="251" t="s">
        <v>2000</v>
      </c>
      <c r="C924" s="178" t="s">
        <v>2571</v>
      </c>
      <c r="D924" s="36">
        <v>6647.3</v>
      </c>
      <c r="E924" s="36" t="s">
        <v>1683</v>
      </c>
      <c r="F924" s="178" t="s">
        <v>1683</v>
      </c>
    </row>
    <row r="925">
      <c r="A925" s="250">
        <v>44009.00005</v>
      </c>
      <c r="B925" s="251" t="s">
        <v>2458</v>
      </c>
      <c r="C925" s="178" t="s">
        <v>2572</v>
      </c>
      <c r="D925" s="36" t="s">
        <v>1683</v>
      </c>
      <c r="E925" s="36">
        <v>6647.3</v>
      </c>
      <c r="F925" s="178" t="s">
        <v>1683</v>
      </c>
    </row>
    <row r="926">
      <c r="A926" s="250">
        <v>44009.00006</v>
      </c>
      <c r="B926" s="251" t="s">
        <v>2312</v>
      </c>
      <c r="C926" s="178" t="s">
        <v>2573</v>
      </c>
      <c r="D926" s="36">
        <v>1050.0</v>
      </c>
      <c r="E926" s="36" t="s">
        <v>1683</v>
      </c>
      <c r="F926" s="178" t="s">
        <v>1683</v>
      </c>
    </row>
    <row r="927">
      <c r="A927" s="250">
        <v>44009.00006</v>
      </c>
      <c r="B927" s="251" t="s">
        <v>2524</v>
      </c>
      <c r="C927" s="178" t="s">
        <v>2574</v>
      </c>
      <c r="D927" s="36" t="s">
        <v>1683</v>
      </c>
      <c r="E927" s="36">
        <v>1050.0</v>
      </c>
      <c r="F927" s="178" t="s">
        <v>1683</v>
      </c>
    </row>
    <row r="928">
      <c r="A928" s="250">
        <v>44009.00007</v>
      </c>
      <c r="B928" s="251" t="s">
        <v>2318</v>
      </c>
      <c r="C928" s="178" t="s">
        <v>2575</v>
      </c>
      <c r="D928" s="36">
        <v>1050.0</v>
      </c>
      <c r="E928" s="36" t="s">
        <v>1683</v>
      </c>
      <c r="F928" s="178" t="s">
        <v>1683</v>
      </c>
    </row>
    <row r="929">
      <c r="A929" s="250">
        <v>44009.00007</v>
      </c>
      <c r="B929" s="251" t="s">
        <v>2529</v>
      </c>
      <c r="C929" s="178" t="s">
        <v>2576</v>
      </c>
      <c r="D929" s="36" t="s">
        <v>1683</v>
      </c>
      <c r="E929" s="36">
        <v>1050.0</v>
      </c>
      <c r="F929" s="178" t="s">
        <v>1683</v>
      </c>
    </row>
    <row r="930">
      <c r="A930" s="250">
        <v>44009.00008</v>
      </c>
      <c r="B930" s="251" t="s">
        <v>2314</v>
      </c>
      <c r="C930" s="178" t="s">
        <v>2577</v>
      </c>
      <c r="D930" s="36">
        <v>1050.0</v>
      </c>
      <c r="E930" s="36" t="s">
        <v>1683</v>
      </c>
      <c r="F930" s="178" t="s">
        <v>1683</v>
      </c>
    </row>
    <row r="931">
      <c r="A931" s="250">
        <v>44009.00008</v>
      </c>
      <c r="B931" s="251" t="s">
        <v>2534</v>
      </c>
      <c r="C931" s="178" t="s">
        <v>2578</v>
      </c>
      <c r="D931" s="36" t="s">
        <v>1683</v>
      </c>
      <c r="E931" s="36">
        <v>1050.0</v>
      </c>
      <c r="F931" s="178" t="s">
        <v>1683</v>
      </c>
    </row>
    <row r="932">
      <c r="A932" s="250">
        <v>44009.00009</v>
      </c>
      <c r="B932" s="251" t="s">
        <v>2322</v>
      </c>
      <c r="C932" s="178" t="s">
        <v>2579</v>
      </c>
      <c r="D932" s="36">
        <v>1050.0</v>
      </c>
      <c r="E932" s="36" t="s">
        <v>1683</v>
      </c>
      <c r="F932" s="178" t="s">
        <v>1683</v>
      </c>
    </row>
    <row r="933">
      <c r="A933" s="250">
        <v>44009.00009</v>
      </c>
      <c r="B933" s="251" t="s">
        <v>2537</v>
      </c>
      <c r="C933" s="178" t="s">
        <v>2580</v>
      </c>
      <c r="D933" s="36" t="s">
        <v>1683</v>
      </c>
      <c r="E933" s="36">
        <v>1050.0</v>
      </c>
      <c r="F933" s="178" t="s">
        <v>1683</v>
      </c>
    </row>
    <row r="934">
      <c r="A934" s="250">
        <v>44009.0001</v>
      </c>
      <c r="B934" s="251" t="s">
        <v>2316</v>
      </c>
      <c r="C934" s="178" t="s">
        <v>2581</v>
      </c>
      <c r="D934" s="36">
        <v>1050.0</v>
      </c>
      <c r="E934" s="36" t="s">
        <v>1683</v>
      </c>
      <c r="F934" s="178" t="s">
        <v>1683</v>
      </c>
    </row>
    <row r="935">
      <c r="A935" s="250">
        <v>44009.0001</v>
      </c>
      <c r="B935" s="251" t="s">
        <v>2540</v>
      </c>
      <c r="C935" s="178" t="s">
        <v>2582</v>
      </c>
      <c r="D935" s="36" t="s">
        <v>1683</v>
      </c>
      <c r="E935" s="36">
        <v>1050.0</v>
      </c>
      <c r="F935" s="178" t="s">
        <v>1683</v>
      </c>
    </row>
    <row r="936">
      <c r="A936" s="250">
        <v>44009.00011</v>
      </c>
      <c r="B936" s="251" t="s">
        <v>2320</v>
      </c>
      <c r="C936" s="178" t="s">
        <v>2583</v>
      </c>
      <c r="D936" s="36">
        <v>1050.0</v>
      </c>
      <c r="E936" s="36" t="s">
        <v>1683</v>
      </c>
      <c r="F936" s="178" t="s">
        <v>1683</v>
      </c>
    </row>
    <row r="937">
      <c r="A937" s="250">
        <v>44009.00011</v>
      </c>
      <c r="B937" s="251" t="s">
        <v>2543</v>
      </c>
      <c r="C937" s="178" t="s">
        <v>2584</v>
      </c>
      <c r="D937" s="36" t="s">
        <v>1683</v>
      </c>
      <c r="E937" s="36">
        <v>1050.0</v>
      </c>
      <c r="F937" s="178" t="s">
        <v>1683</v>
      </c>
    </row>
    <row r="938">
      <c r="A938" s="250">
        <v>44009.00023</v>
      </c>
      <c r="B938" s="251" t="s">
        <v>1783</v>
      </c>
      <c r="C938" s="178" t="s">
        <v>2585</v>
      </c>
      <c r="D938" s="36">
        <v>301300.0</v>
      </c>
      <c r="E938" s="36" t="s">
        <v>1683</v>
      </c>
      <c r="F938" s="178" t="s">
        <v>929</v>
      </c>
    </row>
    <row r="939">
      <c r="A939" s="250">
        <v>44009.00023</v>
      </c>
      <c r="B939" s="251" t="s">
        <v>1684</v>
      </c>
      <c r="C939" s="178" t="s">
        <v>2586</v>
      </c>
      <c r="D939" s="36" t="s">
        <v>1683</v>
      </c>
      <c r="E939" s="36">
        <v>301300.0</v>
      </c>
      <c r="F939" s="178" t="s">
        <v>929</v>
      </c>
    </row>
    <row r="940">
      <c r="A940" s="250">
        <v>44009.00024</v>
      </c>
      <c r="B940" s="251" t="s">
        <v>2497</v>
      </c>
      <c r="C940" s="178" t="s">
        <v>2587</v>
      </c>
      <c r="D940" s="36">
        <v>80399.99999999999</v>
      </c>
      <c r="E940" s="36" t="s">
        <v>1683</v>
      </c>
      <c r="F940" s="178" t="s">
        <v>930</v>
      </c>
    </row>
    <row r="941">
      <c r="A941" s="250">
        <v>44009.00024</v>
      </c>
      <c r="B941" s="251" t="s">
        <v>1802</v>
      </c>
      <c r="C941" s="178" t="s">
        <v>2545</v>
      </c>
      <c r="D941" s="36" t="s">
        <v>1683</v>
      </c>
      <c r="E941" s="36">
        <v>80399.99999999999</v>
      </c>
      <c r="F941" s="178" t="s">
        <v>930</v>
      </c>
    </row>
    <row r="942">
      <c r="A942" s="250">
        <v>44010.00098</v>
      </c>
      <c r="B942" s="251" t="s">
        <v>1693</v>
      </c>
      <c r="C942" s="178" t="s">
        <v>2588</v>
      </c>
      <c r="D942" s="36">
        <v>127776.0</v>
      </c>
      <c r="E942" s="36" t="s">
        <v>1683</v>
      </c>
      <c r="F942" s="178" t="s">
        <v>435</v>
      </c>
    </row>
    <row r="943">
      <c r="A943" s="250">
        <v>44010.00098</v>
      </c>
      <c r="B943" s="251" t="s">
        <v>1684</v>
      </c>
      <c r="C943" s="178" t="s">
        <v>2589</v>
      </c>
      <c r="D943" s="36" t="s">
        <v>1683</v>
      </c>
      <c r="E943" s="36">
        <v>127776.0</v>
      </c>
      <c r="F943" s="178" t="s">
        <v>435</v>
      </c>
    </row>
    <row r="944">
      <c r="A944" s="250">
        <v>44012.00023</v>
      </c>
      <c r="B944" s="251" t="s">
        <v>2497</v>
      </c>
      <c r="C944" s="178" t="s">
        <v>2590</v>
      </c>
      <c r="D944" s="36">
        <v>301300.0</v>
      </c>
      <c r="E944" s="36" t="s">
        <v>1683</v>
      </c>
      <c r="F944" s="178" t="s">
        <v>929</v>
      </c>
    </row>
    <row r="945">
      <c r="A945" s="250">
        <v>44012.00023</v>
      </c>
      <c r="B945" s="251" t="s">
        <v>1802</v>
      </c>
      <c r="C945" s="178" t="s">
        <v>2585</v>
      </c>
      <c r="D945" s="36" t="s">
        <v>1683</v>
      </c>
      <c r="E945" s="36">
        <v>301300.0</v>
      </c>
      <c r="F945" s="178" t="s">
        <v>929</v>
      </c>
    </row>
    <row r="946">
      <c r="A946" s="250">
        <v>44017.00097</v>
      </c>
      <c r="B946" s="251" t="s">
        <v>2348</v>
      </c>
      <c r="C946" s="178" t="s">
        <v>2591</v>
      </c>
      <c r="D946" s="36">
        <v>105336.0</v>
      </c>
      <c r="E946" s="36" t="s">
        <v>1683</v>
      </c>
      <c r="F946" s="178" t="s">
        <v>543</v>
      </c>
    </row>
    <row r="947">
      <c r="A947" s="250">
        <v>44017.00097</v>
      </c>
      <c r="B947" s="251" t="s">
        <v>1698</v>
      </c>
      <c r="C947" s="178" t="s">
        <v>2505</v>
      </c>
      <c r="D947" s="36" t="s">
        <v>1683</v>
      </c>
      <c r="E947" s="36">
        <v>105336.0</v>
      </c>
      <c r="F947" s="178" t="s">
        <v>543</v>
      </c>
    </row>
    <row r="948">
      <c r="A948" s="250">
        <v>44019.00056</v>
      </c>
      <c r="B948" s="251" t="s">
        <v>2462</v>
      </c>
      <c r="C948" s="178" t="s">
        <v>2592</v>
      </c>
      <c r="D948" s="36">
        <v>105000.0</v>
      </c>
      <c r="E948" s="36" t="s">
        <v>1683</v>
      </c>
      <c r="F948" s="178" t="s">
        <v>167</v>
      </c>
    </row>
    <row r="949">
      <c r="A949" s="250">
        <v>44019.00056</v>
      </c>
      <c r="B949" s="251" t="s">
        <v>1684</v>
      </c>
      <c r="C949" s="178" t="s">
        <v>2593</v>
      </c>
      <c r="D949" s="36" t="s">
        <v>1683</v>
      </c>
      <c r="E949" s="36">
        <v>105000.0</v>
      </c>
      <c r="F949" s="178" t="s">
        <v>167</v>
      </c>
    </row>
    <row r="950">
      <c r="A950" s="250">
        <v>44019.00056</v>
      </c>
      <c r="B950" s="251" t="s">
        <v>1839</v>
      </c>
      <c r="C950" s="178" t="s">
        <v>2594</v>
      </c>
      <c r="D950" s="36">
        <v>105000.0</v>
      </c>
      <c r="E950" s="36" t="s">
        <v>1683</v>
      </c>
      <c r="F950" s="178" t="s">
        <v>167</v>
      </c>
    </row>
    <row r="951">
      <c r="A951" s="250">
        <v>44019.00056</v>
      </c>
      <c r="B951" s="251" t="s">
        <v>2466</v>
      </c>
      <c r="C951" s="178" t="s">
        <v>2592</v>
      </c>
      <c r="D951" s="36" t="s">
        <v>1683</v>
      </c>
      <c r="E951" s="36">
        <v>105000.0</v>
      </c>
      <c r="F951" s="178" t="s">
        <v>167</v>
      </c>
    </row>
    <row r="952">
      <c r="A952" s="250">
        <v>44020.0002</v>
      </c>
      <c r="B952" s="251" t="s">
        <v>1896</v>
      </c>
      <c r="C952" s="178" t="s">
        <v>2595</v>
      </c>
      <c r="D952" s="36">
        <v>711850.0</v>
      </c>
      <c r="E952" s="36" t="s">
        <v>1683</v>
      </c>
      <c r="F952" s="178" t="s">
        <v>53</v>
      </c>
    </row>
    <row r="953">
      <c r="A953" s="250">
        <v>44020.0002</v>
      </c>
      <c r="B953" s="251" t="s">
        <v>1698</v>
      </c>
      <c r="C953" s="178" t="s">
        <v>2531</v>
      </c>
      <c r="D953" s="36" t="s">
        <v>1683</v>
      </c>
      <c r="E953" s="36">
        <v>711850.0</v>
      </c>
      <c r="F953" s="178" t="s">
        <v>53</v>
      </c>
    </row>
    <row r="954">
      <c r="A954" s="250">
        <v>44020.00098</v>
      </c>
      <c r="B954" s="251" t="s">
        <v>1844</v>
      </c>
      <c r="C954" s="178" t="s">
        <v>2596</v>
      </c>
      <c r="D954" s="36">
        <v>127776.0</v>
      </c>
      <c r="E954" s="36" t="s">
        <v>1683</v>
      </c>
      <c r="F954" s="178" t="s">
        <v>435</v>
      </c>
    </row>
    <row r="955">
      <c r="A955" s="250">
        <v>44020.00098</v>
      </c>
      <c r="B955" s="251" t="s">
        <v>1698</v>
      </c>
      <c r="C955" s="178" t="s">
        <v>2588</v>
      </c>
      <c r="D955" s="36" t="s">
        <v>1683</v>
      </c>
      <c r="E955" s="36">
        <v>127776.0</v>
      </c>
      <c r="F955" s="178" t="s">
        <v>435</v>
      </c>
    </row>
    <row r="956">
      <c r="A956" s="250">
        <v>44022.00019</v>
      </c>
      <c r="B956" s="251" t="s">
        <v>1896</v>
      </c>
      <c r="C956" s="178" t="s">
        <v>2597</v>
      </c>
      <c r="D956" s="36">
        <v>278160.0</v>
      </c>
      <c r="E956" s="36" t="s">
        <v>1683</v>
      </c>
      <c r="F956" s="178" t="s">
        <v>51</v>
      </c>
    </row>
    <row r="957">
      <c r="A957" s="250">
        <v>44022.00019</v>
      </c>
      <c r="B957" s="251" t="s">
        <v>1698</v>
      </c>
      <c r="C957" s="178" t="s">
        <v>2526</v>
      </c>
      <c r="D957" s="36" t="s">
        <v>1683</v>
      </c>
      <c r="E957" s="36">
        <v>278160.0</v>
      </c>
      <c r="F957" s="178" t="s">
        <v>51</v>
      </c>
    </row>
    <row r="958">
      <c r="A958" s="250">
        <v>44022.00068</v>
      </c>
      <c r="B958" s="251" t="s">
        <v>2266</v>
      </c>
      <c r="C958" s="178" t="s">
        <v>2598</v>
      </c>
      <c r="D958" s="36">
        <v>82347.0</v>
      </c>
      <c r="E958" s="36" t="s">
        <v>1683</v>
      </c>
      <c r="F958" s="178" t="s">
        <v>691</v>
      </c>
    </row>
    <row r="959">
      <c r="A959" s="250">
        <v>44022.00068</v>
      </c>
      <c r="B959" s="251" t="s">
        <v>1776</v>
      </c>
      <c r="C959" s="178" t="s">
        <v>2446</v>
      </c>
      <c r="D959" s="36" t="s">
        <v>1683</v>
      </c>
      <c r="E959" s="36">
        <v>82347.0</v>
      </c>
      <c r="F959" s="178" t="s">
        <v>691</v>
      </c>
    </row>
    <row r="960">
      <c r="A960" s="250">
        <v>44032.00012</v>
      </c>
      <c r="B960" s="251" t="s">
        <v>1783</v>
      </c>
      <c r="C960" s="178" t="s">
        <v>2599</v>
      </c>
      <c r="D960" s="36">
        <v>22433.333333333332</v>
      </c>
      <c r="E960" s="36" t="s">
        <v>1683</v>
      </c>
      <c r="F960" s="178" t="s">
        <v>47</v>
      </c>
    </row>
    <row r="961">
      <c r="A961" s="250">
        <v>44032.00012</v>
      </c>
      <c r="B961" s="251" t="s">
        <v>1684</v>
      </c>
      <c r="C961" s="178" t="s">
        <v>2600</v>
      </c>
      <c r="D961" s="36" t="s">
        <v>1683</v>
      </c>
      <c r="E961" s="36">
        <v>22433.333333333332</v>
      </c>
      <c r="F961" s="178" t="s">
        <v>47</v>
      </c>
    </row>
    <row r="962">
      <c r="A962" s="250">
        <v>44032.00069</v>
      </c>
      <c r="B962" s="251" t="s">
        <v>1783</v>
      </c>
      <c r="C962" s="178" t="s">
        <v>2601</v>
      </c>
      <c r="D962" s="36">
        <v>67300.0</v>
      </c>
      <c r="E962" s="36" t="s">
        <v>1683</v>
      </c>
      <c r="F962" s="178" t="s">
        <v>47</v>
      </c>
    </row>
    <row r="963">
      <c r="A963" s="250">
        <v>44032.00069</v>
      </c>
      <c r="B963" s="251" t="s">
        <v>1684</v>
      </c>
      <c r="C963" s="178" t="s">
        <v>2602</v>
      </c>
      <c r="D963" s="36" t="s">
        <v>1683</v>
      </c>
      <c r="E963" s="36">
        <v>67300.0</v>
      </c>
      <c r="F963" s="178" t="s">
        <v>47</v>
      </c>
    </row>
    <row r="964">
      <c r="A964" s="250">
        <v>44032.00096</v>
      </c>
      <c r="B964" s="251" t="s">
        <v>1783</v>
      </c>
      <c r="C964" s="178" t="s">
        <v>2603</v>
      </c>
      <c r="D964" s="36">
        <v>22433.333333333332</v>
      </c>
      <c r="E964" s="36" t="s">
        <v>1683</v>
      </c>
      <c r="F964" s="178" t="s">
        <v>47</v>
      </c>
    </row>
    <row r="965">
      <c r="A965" s="250">
        <v>44032.00096</v>
      </c>
      <c r="B965" s="251" t="s">
        <v>1684</v>
      </c>
      <c r="C965" s="178" t="s">
        <v>2604</v>
      </c>
      <c r="D965" s="36" t="s">
        <v>1683</v>
      </c>
      <c r="E965" s="36">
        <v>22433.333333333332</v>
      </c>
      <c r="F965" s="178" t="s">
        <v>47</v>
      </c>
    </row>
    <row r="966">
      <c r="A966" s="250">
        <v>44036.0</v>
      </c>
      <c r="B966" s="251" t="s">
        <v>1844</v>
      </c>
      <c r="C966" s="178" t="s">
        <v>2605</v>
      </c>
      <c r="D966" s="36">
        <v>1309076.0</v>
      </c>
      <c r="E966" s="36" t="s">
        <v>1683</v>
      </c>
      <c r="F966" s="178" t="s">
        <v>439</v>
      </c>
    </row>
    <row r="967">
      <c r="A967" s="250">
        <v>44036.0</v>
      </c>
      <c r="B967" s="251" t="s">
        <v>1776</v>
      </c>
      <c r="C967" s="178" t="s">
        <v>2438</v>
      </c>
      <c r="D967" s="36" t="s">
        <v>1683</v>
      </c>
      <c r="E967" s="36">
        <v>1309076.0</v>
      </c>
      <c r="F967" s="178" t="s">
        <v>439</v>
      </c>
    </row>
    <row r="968">
      <c r="A968" s="250">
        <v>44038.00025</v>
      </c>
      <c r="B968" s="251" t="s">
        <v>2417</v>
      </c>
      <c r="C968" s="178" t="s">
        <v>2606</v>
      </c>
      <c r="D968" s="36">
        <v>851.64</v>
      </c>
      <c r="E968" s="36" t="s">
        <v>1683</v>
      </c>
      <c r="F968" s="178" t="s">
        <v>1683</v>
      </c>
    </row>
    <row r="969">
      <c r="A969" s="250">
        <v>44038.00025</v>
      </c>
      <c r="B969" s="251" t="s">
        <v>2607</v>
      </c>
      <c r="C969" s="178" t="s">
        <v>2608</v>
      </c>
      <c r="D969" s="36" t="s">
        <v>1683</v>
      </c>
      <c r="E969" s="36">
        <v>851.64</v>
      </c>
      <c r="F969" s="178" t="s">
        <v>1683</v>
      </c>
    </row>
    <row r="970">
      <c r="A970" s="250">
        <v>44039.00005</v>
      </c>
      <c r="B970" s="251" t="s">
        <v>1783</v>
      </c>
      <c r="C970" s="178" t="s">
        <v>2609</v>
      </c>
      <c r="D970" s="36">
        <v>20000.0</v>
      </c>
      <c r="E970" s="36" t="s">
        <v>1683</v>
      </c>
      <c r="F970" s="178" t="s">
        <v>47</v>
      </c>
    </row>
    <row r="971">
      <c r="A971" s="250">
        <v>44039.00005</v>
      </c>
      <c r="B971" s="251" t="s">
        <v>1684</v>
      </c>
      <c r="C971" s="178" t="s">
        <v>2610</v>
      </c>
      <c r="D971" s="36" t="s">
        <v>1683</v>
      </c>
      <c r="E971" s="36">
        <v>20000.0</v>
      </c>
      <c r="F971" s="178" t="s">
        <v>47</v>
      </c>
    </row>
    <row r="972">
      <c r="A972" s="250">
        <v>44039.00006</v>
      </c>
      <c r="B972" s="251" t="s">
        <v>1783</v>
      </c>
      <c r="C972" s="178" t="s">
        <v>2611</v>
      </c>
      <c r="D972" s="36">
        <v>20000.0</v>
      </c>
      <c r="E972" s="36" t="s">
        <v>1683</v>
      </c>
      <c r="F972" s="178" t="s">
        <v>47</v>
      </c>
    </row>
    <row r="973">
      <c r="A973" s="250">
        <v>44039.00006</v>
      </c>
      <c r="B973" s="251" t="s">
        <v>1684</v>
      </c>
      <c r="C973" s="178" t="s">
        <v>2612</v>
      </c>
      <c r="D973" s="36" t="s">
        <v>1683</v>
      </c>
      <c r="E973" s="36">
        <v>20000.0</v>
      </c>
      <c r="F973" s="178" t="s">
        <v>47</v>
      </c>
    </row>
    <row r="974">
      <c r="A974" s="250">
        <v>44039.00012</v>
      </c>
      <c r="B974" s="251" t="s">
        <v>2613</v>
      </c>
      <c r="C974" s="178" t="s">
        <v>2614</v>
      </c>
      <c r="D974" s="36">
        <v>22433.333333333332</v>
      </c>
      <c r="E974" s="36" t="s">
        <v>1683</v>
      </c>
      <c r="F974" s="178" t="s">
        <v>47</v>
      </c>
    </row>
    <row r="975">
      <c r="A975" s="250">
        <v>44039.00012</v>
      </c>
      <c r="B975" s="251" t="s">
        <v>1802</v>
      </c>
      <c r="C975" s="178" t="s">
        <v>2599</v>
      </c>
      <c r="D975" s="36" t="s">
        <v>1683</v>
      </c>
      <c r="E975" s="36">
        <v>22433.333333333332</v>
      </c>
      <c r="F975" s="178" t="s">
        <v>47</v>
      </c>
    </row>
    <row r="976">
      <c r="A976" s="250">
        <v>44039.00013</v>
      </c>
      <c r="B976" s="251" t="s">
        <v>1693</v>
      </c>
      <c r="C976" s="178" t="s">
        <v>2615</v>
      </c>
      <c r="D976" s="36">
        <v>324900.0</v>
      </c>
      <c r="E976" s="36" t="s">
        <v>1683</v>
      </c>
      <c r="F976" s="178" t="s">
        <v>552</v>
      </c>
    </row>
    <row r="977">
      <c r="A977" s="250">
        <v>44039.00013</v>
      </c>
      <c r="B977" s="251" t="s">
        <v>1684</v>
      </c>
      <c r="C977" s="178" t="s">
        <v>2616</v>
      </c>
      <c r="D977" s="36" t="s">
        <v>1683</v>
      </c>
      <c r="E977" s="36">
        <v>324900.0</v>
      </c>
      <c r="F977" s="178" t="s">
        <v>552</v>
      </c>
    </row>
    <row r="978">
      <c r="A978" s="250">
        <v>44039.00057</v>
      </c>
      <c r="B978" s="251" t="s">
        <v>1783</v>
      </c>
      <c r="C978" s="178" t="s">
        <v>2617</v>
      </c>
      <c r="D978" s="36">
        <v>20000.0</v>
      </c>
      <c r="E978" s="36" t="s">
        <v>1683</v>
      </c>
      <c r="F978" s="178" t="s">
        <v>47</v>
      </c>
    </row>
    <row r="979">
      <c r="A979" s="250">
        <v>44039.00057</v>
      </c>
      <c r="B979" s="251" t="s">
        <v>1684</v>
      </c>
      <c r="C979" s="178" t="s">
        <v>2618</v>
      </c>
      <c r="D979" s="36" t="s">
        <v>1683</v>
      </c>
      <c r="E979" s="36">
        <v>20000.0</v>
      </c>
      <c r="F979" s="178" t="s">
        <v>47</v>
      </c>
    </row>
    <row r="980">
      <c r="A980" s="250">
        <v>44039.00069</v>
      </c>
      <c r="B980" s="251" t="s">
        <v>2318</v>
      </c>
      <c r="C980" s="178" t="s">
        <v>2619</v>
      </c>
      <c r="D980" s="36">
        <v>67300.0</v>
      </c>
      <c r="E980" s="36" t="s">
        <v>1683</v>
      </c>
      <c r="F980" s="178" t="s">
        <v>47</v>
      </c>
    </row>
    <row r="981">
      <c r="A981" s="250">
        <v>44039.00069</v>
      </c>
      <c r="B981" s="251" t="s">
        <v>1802</v>
      </c>
      <c r="C981" s="178" t="s">
        <v>2601</v>
      </c>
      <c r="D981" s="36" t="s">
        <v>1683</v>
      </c>
      <c r="E981" s="36">
        <v>67300.0</v>
      </c>
      <c r="F981" s="178" t="s">
        <v>47</v>
      </c>
    </row>
    <row r="982">
      <c r="A982" s="250">
        <v>44039.00096</v>
      </c>
      <c r="B982" s="251" t="s">
        <v>2620</v>
      </c>
      <c r="C982" s="178" t="s">
        <v>2621</v>
      </c>
      <c r="D982" s="36">
        <v>22433.333333333332</v>
      </c>
      <c r="E982" s="36" t="s">
        <v>1683</v>
      </c>
      <c r="F982" s="178" t="s">
        <v>47</v>
      </c>
    </row>
    <row r="983">
      <c r="A983" s="250">
        <v>44039.00096</v>
      </c>
      <c r="B983" s="251" t="s">
        <v>1802</v>
      </c>
      <c r="C983" s="178" t="s">
        <v>2603</v>
      </c>
      <c r="D983" s="36" t="s">
        <v>1683</v>
      </c>
      <c r="E983" s="36">
        <v>22433.333333333332</v>
      </c>
      <c r="F983" s="178" t="s">
        <v>47</v>
      </c>
    </row>
    <row r="984">
      <c r="A984" s="250">
        <v>44041.00005</v>
      </c>
      <c r="B984" s="251" t="s">
        <v>2622</v>
      </c>
      <c r="C984" s="178" t="s">
        <v>2623</v>
      </c>
      <c r="D984" s="36">
        <v>20000.0</v>
      </c>
      <c r="E984" s="36" t="s">
        <v>1683</v>
      </c>
      <c r="F984" s="178" t="s">
        <v>47</v>
      </c>
    </row>
    <row r="985">
      <c r="A985" s="250">
        <v>44041.00005</v>
      </c>
      <c r="B985" s="251" t="s">
        <v>1802</v>
      </c>
      <c r="C985" s="178" t="s">
        <v>2609</v>
      </c>
      <c r="D985" s="36" t="s">
        <v>1683</v>
      </c>
      <c r="E985" s="36">
        <v>20000.0</v>
      </c>
      <c r="F985" s="178" t="s">
        <v>47</v>
      </c>
    </row>
    <row r="986">
      <c r="A986" s="250">
        <v>44041.00006</v>
      </c>
      <c r="B986" s="251" t="s">
        <v>2624</v>
      </c>
      <c r="C986" s="178" t="s">
        <v>2625</v>
      </c>
      <c r="D986" s="36">
        <v>20000.0</v>
      </c>
      <c r="E986" s="36" t="s">
        <v>1683</v>
      </c>
      <c r="F986" s="178" t="s">
        <v>47</v>
      </c>
    </row>
    <row r="987">
      <c r="A987" s="250">
        <v>44041.00006</v>
      </c>
      <c r="B987" s="251" t="s">
        <v>1802</v>
      </c>
      <c r="C987" s="178" t="s">
        <v>2611</v>
      </c>
      <c r="D987" s="36" t="s">
        <v>1683</v>
      </c>
      <c r="E987" s="36">
        <v>20000.0</v>
      </c>
      <c r="F987" s="178" t="s">
        <v>47</v>
      </c>
    </row>
    <row r="988">
      <c r="A988" s="250">
        <v>44041.00057</v>
      </c>
      <c r="B988" s="251" t="s">
        <v>2626</v>
      </c>
      <c r="C988" s="178" t="s">
        <v>2627</v>
      </c>
      <c r="D988" s="36">
        <v>20000.0</v>
      </c>
      <c r="E988" s="36" t="s">
        <v>1683</v>
      </c>
      <c r="F988" s="178" t="s">
        <v>47</v>
      </c>
    </row>
    <row r="989">
      <c r="A989" s="250">
        <v>44041.00057</v>
      </c>
      <c r="B989" s="251" t="s">
        <v>1802</v>
      </c>
      <c r="C989" s="178" t="s">
        <v>2617</v>
      </c>
      <c r="D989" s="36" t="s">
        <v>1683</v>
      </c>
      <c r="E989" s="36">
        <v>20000.0</v>
      </c>
      <c r="F989" s="178" t="s">
        <v>47</v>
      </c>
    </row>
    <row r="990">
      <c r="A990" s="250">
        <v>44042.0006</v>
      </c>
      <c r="B990" s="251" t="s">
        <v>1693</v>
      </c>
      <c r="C990" s="178" t="s">
        <v>2628</v>
      </c>
      <c r="D990" s="36">
        <v>435252.00000000006</v>
      </c>
      <c r="E990" s="36" t="s">
        <v>1683</v>
      </c>
      <c r="F990" s="178" t="s">
        <v>541</v>
      </c>
    </row>
    <row r="991">
      <c r="A991" s="250">
        <v>44042.0006</v>
      </c>
      <c r="B991" s="251" t="s">
        <v>1684</v>
      </c>
      <c r="C991" s="178" t="s">
        <v>2629</v>
      </c>
      <c r="D991" s="36" t="s">
        <v>1683</v>
      </c>
      <c r="E991" s="36">
        <v>435252.00000000006</v>
      </c>
      <c r="F991" s="178" t="s">
        <v>541</v>
      </c>
    </row>
    <row r="992">
      <c r="A992" s="250">
        <v>44042.00063</v>
      </c>
      <c r="B992" s="251" t="s">
        <v>1783</v>
      </c>
      <c r="C992" s="178" t="s">
        <v>2630</v>
      </c>
      <c r="D992" s="36">
        <v>20000.0</v>
      </c>
      <c r="E992" s="36" t="s">
        <v>1683</v>
      </c>
      <c r="F992" s="178" t="s">
        <v>47</v>
      </c>
    </row>
    <row r="993">
      <c r="A993" s="250">
        <v>44042.00063</v>
      </c>
      <c r="B993" s="251" t="s">
        <v>1684</v>
      </c>
      <c r="C993" s="178" t="s">
        <v>2631</v>
      </c>
      <c r="D993" s="36" t="s">
        <v>1683</v>
      </c>
      <c r="E993" s="36">
        <v>20000.0</v>
      </c>
      <c r="F993" s="178" t="s">
        <v>47</v>
      </c>
    </row>
    <row r="994">
      <c r="A994" s="250">
        <v>44042.00076</v>
      </c>
      <c r="B994" s="251" t="s">
        <v>1783</v>
      </c>
      <c r="C994" s="178" t="s">
        <v>2632</v>
      </c>
      <c r="D994" s="36">
        <v>20000.0</v>
      </c>
      <c r="E994" s="36" t="s">
        <v>1683</v>
      </c>
      <c r="F994" s="178" t="s">
        <v>47</v>
      </c>
    </row>
    <row r="995">
      <c r="A995" s="250">
        <v>44042.00076</v>
      </c>
      <c r="B995" s="251" t="s">
        <v>1684</v>
      </c>
      <c r="C995" s="178" t="s">
        <v>2633</v>
      </c>
      <c r="D995" s="36" t="s">
        <v>1683</v>
      </c>
      <c r="E995" s="36">
        <v>20000.0</v>
      </c>
      <c r="F995" s="178" t="s">
        <v>47</v>
      </c>
    </row>
    <row r="996">
      <c r="A996" s="250">
        <v>44042.0009</v>
      </c>
      <c r="B996" s="251" t="s">
        <v>1783</v>
      </c>
      <c r="C996" s="178" t="s">
        <v>2634</v>
      </c>
      <c r="D996" s="36">
        <v>20000.0</v>
      </c>
      <c r="E996" s="36" t="s">
        <v>1683</v>
      </c>
      <c r="F996" s="178" t="s">
        <v>47</v>
      </c>
    </row>
    <row r="997">
      <c r="A997" s="250">
        <v>44042.0009</v>
      </c>
      <c r="B997" s="251" t="s">
        <v>1684</v>
      </c>
      <c r="C997" s="178" t="s">
        <v>2635</v>
      </c>
      <c r="D997" s="36" t="s">
        <v>1683</v>
      </c>
      <c r="E997" s="36">
        <v>20000.0</v>
      </c>
      <c r="F997" s="178" t="s">
        <v>47</v>
      </c>
    </row>
    <row r="998">
      <c r="A998" s="250">
        <v>44042.00096</v>
      </c>
      <c r="B998" s="251" t="s">
        <v>1693</v>
      </c>
      <c r="C998" s="178" t="s">
        <v>2636</v>
      </c>
      <c r="D998" s="36">
        <v>307572.0</v>
      </c>
      <c r="E998" s="36" t="s">
        <v>1683</v>
      </c>
      <c r="F998" s="178" t="s">
        <v>541</v>
      </c>
    </row>
    <row r="999">
      <c r="A999" s="250">
        <v>44042.00096</v>
      </c>
      <c r="B999" s="251" t="s">
        <v>1684</v>
      </c>
      <c r="C999" s="178" t="s">
        <v>2637</v>
      </c>
      <c r="D999" s="36" t="s">
        <v>1683</v>
      </c>
      <c r="E999" s="36">
        <v>307572.0</v>
      </c>
      <c r="F999" s="178" t="s">
        <v>541</v>
      </c>
    </row>
    <row r="1000">
      <c r="A1000" s="250">
        <v>44043.00019</v>
      </c>
      <c r="B1000" s="251" t="s">
        <v>1613</v>
      </c>
      <c r="C1000" s="178" t="s">
        <v>2638</v>
      </c>
      <c r="D1000" s="36">
        <v>50000.0</v>
      </c>
      <c r="E1000" s="36" t="s">
        <v>1683</v>
      </c>
      <c r="F1000" s="178" t="s">
        <v>2639</v>
      </c>
    </row>
    <row r="1001">
      <c r="A1001" s="250">
        <v>44043.00019</v>
      </c>
      <c r="B1001" s="251" t="s">
        <v>1684</v>
      </c>
      <c r="C1001" s="178" t="s">
        <v>2640</v>
      </c>
      <c r="D1001" s="36" t="s">
        <v>1683</v>
      </c>
      <c r="E1001" s="36">
        <v>50000.0</v>
      </c>
      <c r="F1001" s="178" t="s">
        <v>2639</v>
      </c>
    </row>
    <row r="1002">
      <c r="A1002" s="250">
        <v>44045.00063</v>
      </c>
      <c r="B1002" s="251" t="s">
        <v>2641</v>
      </c>
      <c r="C1002" s="178" t="s">
        <v>2642</v>
      </c>
      <c r="D1002" s="36">
        <v>20000.0</v>
      </c>
      <c r="E1002" s="36" t="s">
        <v>1683</v>
      </c>
      <c r="F1002" s="178" t="s">
        <v>47</v>
      </c>
    </row>
    <row r="1003">
      <c r="A1003" s="250">
        <v>44045.00063</v>
      </c>
      <c r="B1003" s="251" t="s">
        <v>1802</v>
      </c>
      <c r="C1003" s="178" t="s">
        <v>2630</v>
      </c>
      <c r="D1003" s="36" t="s">
        <v>1683</v>
      </c>
      <c r="E1003" s="36">
        <v>20000.0</v>
      </c>
      <c r="F1003" s="178" t="s">
        <v>47</v>
      </c>
    </row>
    <row r="1004">
      <c r="A1004" s="250">
        <v>44045.00076</v>
      </c>
      <c r="B1004" s="251" t="s">
        <v>2643</v>
      </c>
      <c r="C1004" s="178" t="s">
        <v>2644</v>
      </c>
      <c r="D1004" s="36">
        <v>20000.0</v>
      </c>
      <c r="E1004" s="36" t="s">
        <v>1683</v>
      </c>
      <c r="F1004" s="178" t="s">
        <v>47</v>
      </c>
    </row>
    <row r="1005">
      <c r="A1005" s="250">
        <v>44045.00076</v>
      </c>
      <c r="B1005" s="251" t="s">
        <v>1802</v>
      </c>
      <c r="C1005" s="178" t="s">
        <v>2632</v>
      </c>
      <c r="D1005" s="36" t="s">
        <v>1683</v>
      </c>
      <c r="E1005" s="36">
        <v>20000.0</v>
      </c>
      <c r="F1005" s="178" t="s">
        <v>47</v>
      </c>
    </row>
    <row r="1006">
      <c r="A1006" s="250">
        <v>44045.0009</v>
      </c>
      <c r="B1006" s="251" t="s">
        <v>2645</v>
      </c>
      <c r="C1006" s="178" t="s">
        <v>2646</v>
      </c>
      <c r="D1006" s="36">
        <v>20000.0</v>
      </c>
      <c r="E1006" s="36" t="s">
        <v>1683</v>
      </c>
      <c r="F1006" s="178" t="s">
        <v>47</v>
      </c>
    </row>
    <row r="1007">
      <c r="A1007" s="250">
        <v>44045.0009</v>
      </c>
      <c r="B1007" s="251" t="s">
        <v>1802</v>
      </c>
      <c r="C1007" s="178" t="s">
        <v>2634</v>
      </c>
      <c r="D1007" s="36" t="s">
        <v>1683</v>
      </c>
      <c r="E1007" s="36">
        <v>20000.0</v>
      </c>
      <c r="F1007" s="178" t="s">
        <v>47</v>
      </c>
    </row>
    <row r="1008">
      <c r="A1008" s="250">
        <v>44048.00013</v>
      </c>
      <c r="B1008" s="251" t="s">
        <v>1774</v>
      </c>
      <c r="C1008" s="178" t="s">
        <v>2647</v>
      </c>
      <c r="D1008" s="36">
        <v>324900.0</v>
      </c>
      <c r="E1008" s="36" t="s">
        <v>1683</v>
      </c>
      <c r="F1008" s="178" t="s">
        <v>552</v>
      </c>
    </row>
    <row r="1009">
      <c r="A1009" s="250">
        <v>44048.00013</v>
      </c>
      <c r="B1009" s="251" t="s">
        <v>1698</v>
      </c>
      <c r="C1009" s="178" t="s">
        <v>2615</v>
      </c>
      <c r="D1009" s="36" t="s">
        <v>1683</v>
      </c>
      <c r="E1009" s="36">
        <v>324900.0</v>
      </c>
      <c r="F1009" s="178" t="s">
        <v>552</v>
      </c>
    </row>
    <row r="1010">
      <c r="A1010" s="250">
        <v>44050.00027</v>
      </c>
      <c r="B1010" s="251" t="s">
        <v>2049</v>
      </c>
      <c r="C1010" s="178" t="s">
        <v>2648</v>
      </c>
      <c r="D1010" s="36">
        <v>132.946</v>
      </c>
      <c r="E1010" s="36" t="s">
        <v>1683</v>
      </c>
      <c r="F1010" s="178" t="s">
        <v>1683</v>
      </c>
    </row>
    <row r="1011">
      <c r="A1011" s="250">
        <v>44050.00027</v>
      </c>
      <c r="B1011" s="251" t="s">
        <v>2051</v>
      </c>
      <c r="C1011" s="178" t="s">
        <v>2649</v>
      </c>
      <c r="D1011" s="36" t="s">
        <v>1683</v>
      </c>
      <c r="E1011" s="36">
        <v>132.946</v>
      </c>
      <c r="F1011" s="178" t="s">
        <v>1683</v>
      </c>
    </row>
    <row r="1012">
      <c r="A1012" s="250">
        <v>44050.00028</v>
      </c>
      <c r="B1012" s="251" t="s">
        <v>2650</v>
      </c>
      <c r="C1012" s="178" t="s">
        <v>2651</v>
      </c>
      <c r="D1012" s="36">
        <v>700.0</v>
      </c>
      <c r="E1012" s="36" t="s">
        <v>1683</v>
      </c>
      <c r="F1012" s="178" t="s">
        <v>1683</v>
      </c>
    </row>
    <row r="1013">
      <c r="A1013" s="250">
        <v>44050.00028</v>
      </c>
      <c r="B1013" s="251" t="s">
        <v>2652</v>
      </c>
      <c r="C1013" s="178" t="s">
        <v>2653</v>
      </c>
      <c r="D1013" s="36" t="s">
        <v>1683</v>
      </c>
      <c r="E1013" s="36">
        <v>700.0</v>
      </c>
      <c r="F1013" s="178" t="s">
        <v>1683</v>
      </c>
    </row>
    <row r="1014">
      <c r="A1014" s="250">
        <v>44052.0006</v>
      </c>
      <c r="B1014" s="251" t="s">
        <v>2345</v>
      </c>
      <c r="C1014" s="178" t="s">
        <v>2654</v>
      </c>
      <c r="D1014" s="36">
        <v>435252.00000000006</v>
      </c>
      <c r="E1014" s="36" t="s">
        <v>1683</v>
      </c>
      <c r="F1014" s="178" t="s">
        <v>541</v>
      </c>
    </row>
    <row r="1015">
      <c r="A1015" s="250">
        <v>44052.0006</v>
      </c>
      <c r="B1015" s="251" t="s">
        <v>1698</v>
      </c>
      <c r="C1015" s="178" t="s">
        <v>2628</v>
      </c>
      <c r="D1015" s="36" t="s">
        <v>1683</v>
      </c>
      <c r="E1015" s="36">
        <v>435252.00000000006</v>
      </c>
      <c r="F1015" s="178" t="s">
        <v>541</v>
      </c>
    </row>
    <row r="1016">
      <c r="A1016" s="250">
        <v>44052.00096</v>
      </c>
      <c r="B1016" s="251" t="s">
        <v>2348</v>
      </c>
      <c r="C1016" s="178" t="s">
        <v>2655</v>
      </c>
      <c r="D1016" s="36">
        <v>307572.0</v>
      </c>
      <c r="E1016" s="36" t="s">
        <v>1683</v>
      </c>
      <c r="F1016" s="178" t="s">
        <v>541</v>
      </c>
    </row>
    <row r="1017">
      <c r="A1017" s="250">
        <v>44052.00096</v>
      </c>
      <c r="B1017" s="251" t="s">
        <v>1698</v>
      </c>
      <c r="C1017" s="178" t="s">
        <v>2636</v>
      </c>
      <c r="D1017" s="36" t="s">
        <v>1683</v>
      </c>
      <c r="E1017" s="36">
        <v>307572.0</v>
      </c>
      <c r="F1017" s="178" t="s">
        <v>541</v>
      </c>
    </row>
    <row r="1018">
      <c r="A1018" s="250">
        <v>44083.00022</v>
      </c>
      <c r="B1018" s="251" t="s">
        <v>1613</v>
      </c>
      <c r="C1018" s="178" t="s">
        <v>2656</v>
      </c>
      <c r="D1018" s="36">
        <v>15000.0</v>
      </c>
      <c r="E1018" s="36" t="s">
        <v>1683</v>
      </c>
      <c r="F1018" s="178" t="s">
        <v>2657</v>
      </c>
    </row>
    <row r="1019">
      <c r="A1019" s="250">
        <v>44083.00022</v>
      </c>
      <c r="B1019" s="251" t="s">
        <v>1684</v>
      </c>
      <c r="C1019" s="178" t="s">
        <v>2658</v>
      </c>
      <c r="D1019" s="36" t="s">
        <v>1683</v>
      </c>
      <c r="E1019" s="36">
        <v>15000.0</v>
      </c>
      <c r="F1019" s="178" t="s">
        <v>2657</v>
      </c>
    </row>
    <row r="1020">
      <c r="A1020" s="250">
        <v>44085.00052</v>
      </c>
      <c r="B1020" s="251" t="s">
        <v>2499</v>
      </c>
      <c r="C1020" s="178" t="s">
        <v>2659</v>
      </c>
      <c r="D1020" s="36">
        <v>19999.999999999985</v>
      </c>
      <c r="E1020" s="36" t="s">
        <v>1683</v>
      </c>
      <c r="F1020" s="178" t="s">
        <v>676</v>
      </c>
    </row>
    <row r="1021">
      <c r="A1021" s="250">
        <v>44085.00052</v>
      </c>
      <c r="B1021" s="251" t="s">
        <v>1776</v>
      </c>
      <c r="C1021" s="178" t="s">
        <v>2482</v>
      </c>
      <c r="D1021" s="36" t="s">
        <v>1683</v>
      </c>
      <c r="E1021" s="36">
        <v>19999.999999999985</v>
      </c>
      <c r="F1021" s="178" t="s">
        <v>676</v>
      </c>
    </row>
    <row r="1022">
      <c r="A1022" s="250">
        <v>44090.0002</v>
      </c>
      <c r="B1022" s="251" t="s">
        <v>1631</v>
      </c>
      <c r="C1022" s="178" t="s">
        <v>2660</v>
      </c>
      <c r="D1022" s="36">
        <v>71000.0</v>
      </c>
      <c r="E1022" s="36" t="s">
        <v>1683</v>
      </c>
      <c r="F1022" s="178" t="s">
        <v>2661</v>
      </c>
    </row>
    <row r="1023">
      <c r="A1023" s="250">
        <v>44090.0002</v>
      </c>
      <c r="B1023" s="251" t="s">
        <v>1684</v>
      </c>
      <c r="C1023" s="178" t="s">
        <v>2662</v>
      </c>
      <c r="D1023" s="36" t="s">
        <v>1683</v>
      </c>
      <c r="E1023" s="36">
        <v>71000.0</v>
      </c>
      <c r="F1023" s="178" t="s">
        <v>2661</v>
      </c>
    </row>
    <row r="1024">
      <c r="A1024" s="250">
        <v>44104.0003</v>
      </c>
      <c r="B1024" s="251" t="s">
        <v>1793</v>
      </c>
      <c r="C1024" s="178" t="s">
        <v>2663</v>
      </c>
      <c r="D1024" s="36">
        <v>108299.09999999999</v>
      </c>
      <c r="E1024" s="36" t="s">
        <v>1683</v>
      </c>
      <c r="F1024" s="178" t="s">
        <v>1683</v>
      </c>
    </row>
    <row r="1025">
      <c r="A1025" s="250">
        <v>44104.0003</v>
      </c>
      <c r="B1025" s="251" t="s">
        <v>2232</v>
      </c>
      <c r="C1025" s="178" t="s">
        <v>2664</v>
      </c>
      <c r="D1025" s="36" t="s">
        <v>1683</v>
      </c>
      <c r="E1025" s="36">
        <v>108299.09999999999</v>
      </c>
      <c r="F1025" s="178" t="s">
        <v>1683</v>
      </c>
    </row>
    <row r="1026">
      <c r="A1026" s="250">
        <v>44104.00031</v>
      </c>
      <c r="B1026" s="251" t="s">
        <v>1793</v>
      </c>
      <c r="C1026" s="178" t="s">
        <v>2665</v>
      </c>
      <c r="D1026" s="36">
        <v>77356.5</v>
      </c>
      <c r="E1026" s="36" t="s">
        <v>1683</v>
      </c>
      <c r="F1026" s="178" t="s">
        <v>1683</v>
      </c>
    </row>
    <row r="1027">
      <c r="A1027" s="250">
        <v>44104.00031</v>
      </c>
      <c r="B1027" s="251" t="s">
        <v>2232</v>
      </c>
      <c r="C1027" s="178" t="s">
        <v>2666</v>
      </c>
      <c r="D1027" s="36" t="s">
        <v>1683</v>
      </c>
      <c r="E1027" s="36">
        <v>77356.5</v>
      </c>
      <c r="F1027" s="178" t="s">
        <v>1683</v>
      </c>
    </row>
    <row r="1028">
      <c r="A1028" s="250">
        <v>44104.00032</v>
      </c>
      <c r="B1028" s="251" t="s">
        <v>1774</v>
      </c>
      <c r="C1028" s="178" t="s">
        <v>2667</v>
      </c>
      <c r="D1028" s="36">
        <v>139241.69999999998</v>
      </c>
      <c r="E1028" s="36" t="s">
        <v>1683</v>
      </c>
      <c r="F1028" s="178" t="s">
        <v>1683</v>
      </c>
    </row>
    <row r="1029">
      <c r="A1029" s="250">
        <v>44104.00032</v>
      </c>
      <c r="B1029" s="251" t="s">
        <v>2239</v>
      </c>
      <c r="C1029" s="178" t="s">
        <v>2668</v>
      </c>
      <c r="D1029" s="36" t="s">
        <v>1683</v>
      </c>
      <c r="E1029" s="36">
        <v>139241.69999999998</v>
      </c>
      <c r="F1029" s="178" t="s">
        <v>1683</v>
      </c>
    </row>
    <row r="1030">
      <c r="A1030" s="250">
        <v>44105.00036</v>
      </c>
      <c r="B1030" s="251" t="s">
        <v>2324</v>
      </c>
      <c r="C1030" s="178" t="s">
        <v>2669</v>
      </c>
      <c r="D1030" s="36">
        <v>103369.5</v>
      </c>
      <c r="E1030" s="36" t="s">
        <v>1683</v>
      </c>
      <c r="F1030" s="178" t="s">
        <v>1683</v>
      </c>
    </row>
    <row r="1031">
      <c r="A1031" s="250">
        <v>44105.00036</v>
      </c>
      <c r="B1031" s="251" t="s">
        <v>2471</v>
      </c>
      <c r="C1031" s="178" t="s">
        <v>2670</v>
      </c>
      <c r="D1031" s="36" t="s">
        <v>1683</v>
      </c>
      <c r="E1031" s="36">
        <v>103369.5</v>
      </c>
      <c r="F1031" s="178" t="s">
        <v>1683</v>
      </c>
    </row>
    <row r="1032">
      <c r="A1032" s="250">
        <v>44105.00043</v>
      </c>
      <c r="B1032" s="251" t="s">
        <v>1693</v>
      </c>
      <c r="C1032" s="178" t="s">
        <v>2671</v>
      </c>
      <c r="D1032" s="36">
        <v>317832.00000000006</v>
      </c>
      <c r="E1032" s="36" t="s">
        <v>1683</v>
      </c>
      <c r="F1032" s="178" t="s">
        <v>570</v>
      </c>
    </row>
    <row r="1033">
      <c r="A1033" s="250">
        <v>44105.00043</v>
      </c>
      <c r="B1033" s="251" t="s">
        <v>1684</v>
      </c>
      <c r="C1033" s="178" t="s">
        <v>2672</v>
      </c>
      <c r="D1033" s="36" t="s">
        <v>1683</v>
      </c>
      <c r="E1033" s="36">
        <v>317832.00000000006</v>
      </c>
      <c r="F1033" s="178" t="s">
        <v>570</v>
      </c>
    </row>
    <row r="1034">
      <c r="A1034" s="250">
        <v>44115.9857796412</v>
      </c>
      <c r="B1034" s="251" t="s">
        <v>1786</v>
      </c>
      <c r="C1034" s="178" t="s">
        <v>2673</v>
      </c>
      <c r="D1034" s="36">
        <v>317832.00000000006</v>
      </c>
      <c r="E1034" s="36" t="s">
        <v>1683</v>
      </c>
      <c r="F1034" s="178" t="s">
        <v>570</v>
      </c>
    </row>
    <row r="1035">
      <c r="A1035" s="250">
        <v>44115.9857796412</v>
      </c>
      <c r="B1035" s="251" t="s">
        <v>1698</v>
      </c>
      <c r="C1035" s="178" t="s">
        <v>2671</v>
      </c>
      <c r="D1035" s="36" t="s">
        <v>1683</v>
      </c>
      <c r="E1035" s="36">
        <v>317832.00000000006</v>
      </c>
      <c r="F1035" s="178" t="s">
        <v>570</v>
      </c>
    </row>
    <row r="1036">
      <c r="A1036" s="250">
        <v>44119.466541249996</v>
      </c>
      <c r="B1036" s="251" t="s">
        <v>1693</v>
      </c>
      <c r="C1036" s="178" t="s">
        <v>2674</v>
      </c>
      <c r="D1036" s="36">
        <v>208620.00000000003</v>
      </c>
      <c r="E1036" s="36" t="s">
        <v>1683</v>
      </c>
      <c r="F1036" s="178" t="s">
        <v>551</v>
      </c>
    </row>
    <row r="1037">
      <c r="A1037" s="250">
        <v>44119.466541249996</v>
      </c>
      <c r="B1037" s="251" t="s">
        <v>1684</v>
      </c>
      <c r="C1037" s="178" t="s">
        <v>2675</v>
      </c>
      <c r="D1037" s="36" t="s">
        <v>1683</v>
      </c>
      <c r="E1037" s="36">
        <v>208620.00000000003</v>
      </c>
      <c r="F1037" s="178" t="s">
        <v>551</v>
      </c>
    </row>
    <row r="1038">
      <c r="A1038" s="250">
        <v>44119.46764443287</v>
      </c>
      <c r="B1038" s="251" t="s">
        <v>1693</v>
      </c>
      <c r="C1038" s="178" t="s">
        <v>2676</v>
      </c>
      <c r="D1038" s="36">
        <v>68390.0</v>
      </c>
      <c r="E1038" s="36" t="s">
        <v>1683</v>
      </c>
      <c r="F1038" s="178" t="s">
        <v>549</v>
      </c>
    </row>
    <row r="1039">
      <c r="A1039" s="250">
        <v>44119.46764443287</v>
      </c>
      <c r="B1039" s="251" t="s">
        <v>1684</v>
      </c>
      <c r="C1039" s="178" t="s">
        <v>2677</v>
      </c>
      <c r="D1039" s="36" t="s">
        <v>1683</v>
      </c>
      <c r="E1039" s="36">
        <v>68390.0</v>
      </c>
      <c r="F1039" s="178" t="s">
        <v>549</v>
      </c>
    </row>
    <row r="1040">
      <c r="A1040" s="250">
        <v>44119.4687291088</v>
      </c>
      <c r="B1040" s="251" t="s">
        <v>1693</v>
      </c>
      <c r="C1040" s="178" t="s">
        <v>2678</v>
      </c>
      <c r="D1040" s="36">
        <v>398838.0</v>
      </c>
      <c r="E1040" s="36" t="s">
        <v>1683</v>
      </c>
      <c r="F1040" s="178" t="s">
        <v>654</v>
      </c>
    </row>
    <row r="1041">
      <c r="A1041" s="250">
        <v>44119.4687291088</v>
      </c>
      <c r="B1041" s="251" t="s">
        <v>1684</v>
      </c>
      <c r="C1041" s="178" t="s">
        <v>2679</v>
      </c>
      <c r="D1041" s="36" t="s">
        <v>1683</v>
      </c>
      <c r="E1041" s="36">
        <v>398838.0</v>
      </c>
      <c r="F1041" s="178" t="s">
        <v>654</v>
      </c>
    </row>
    <row r="1042">
      <c r="A1042" s="250">
        <v>44125.00043</v>
      </c>
      <c r="B1042" s="251" t="s">
        <v>1693</v>
      </c>
      <c r="C1042" s="178" t="s">
        <v>2680</v>
      </c>
      <c r="D1042" s="36">
        <v>327179.99999999994</v>
      </c>
      <c r="E1042" s="36" t="s">
        <v>1683</v>
      </c>
      <c r="F1042" s="178" t="s">
        <v>376</v>
      </c>
    </row>
    <row r="1043">
      <c r="A1043" s="250">
        <v>44125.00043</v>
      </c>
      <c r="B1043" s="251" t="s">
        <v>1684</v>
      </c>
      <c r="C1043" s="178" t="s">
        <v>2681</v>
      </c>
      <c r="D1043" s="36" t="s">
        <v>1683</v>
      </c>
      <c r="E1043" s="36">
        <v>327179.99999999994</v>
      </c>
      <c r="F1043" s="178" t="s">
        <v>376</v>
      </c>
    </row>
    <row r="1044">
      <c r="A1044" s="250">
        <v>44126.56846729167</v>
      </c>
      <c r="B1044" s="251" t="s">
        <v>1774</v>
      </c>
      <c r="C1044" s="178" t="s">
        <v>2682</v>
      </c>
      <c r="D1044" s="36">
        <v>68390.0</v>
      </c>
      <c r="E1044" s="36" t="s">
        <v>1683</v>
      </c>
      <c r="F1044" s="178" t="s">
        <v>549</v>
      </c>
    </row>
    <row r="1045">
      <c r="A1045" s="250">
        <v>44126.56846729167</v>
      </c>
      <c r="B1045" s="251" t="s">
        <v>1698</v>
      </c>
      <c r="C1045" s="178" t="s">
        <v>2676</v>
      </c>
      <c r="D1045" s="36" t="s">
        <v>1683</v>
      </c>
      <c r="E1045" s="36">
        <v>68390.0</v>
      </c>
      <c r="F1045" s="178" t="s">
        <v>549</v>
      </c>
    </row>
    <row r="1046">
      <c r="A1046" s="250">
        <v>44126.568608148154</v>
      </c>
      <c r="B1046" s="251" t="s">
        <v>2000</v>
      </c>
      <c r="C1046" s="178" t="s">
        <v>2683</v>
      </c>
      <c r="D1046" s="36">
        <v>398838.0</v>
      </c>
      <c r="E1046" s="36" t="s">
        <v>1683</v>
      </c>
      <c r="F1046" s="178" t="s">
        <v>654</v>
      </c>
    </row>
    <row r="1047">
      <c r="A1047" s="250">
        <v>44126.568608148154</v>
      </c>
      <c r="B1047" s="251" t="s">
        <v>1698</v>
      </c>
      <c r="C1047" s="178" t="s">
        <v>2678</v>
      </c>
      <c r="D1047" s="36" t="s">
        <v>1683</v>
      </c>
      <c r="E1047" s="36">
        <v>398838.0</v>
      </c>
      <c r="F1047" s="178" t="s">
        <v>654</v>
      </c>
    </row>
    <row r="1048">
      <c r="A1048" s="250">
        <v>44127.60831494213</v>
      </c>
      <c r="B1048" s="251" t="s">
        <v>1774</v>
      </c>
      <c r="C1048" s="178" t="s">
        <v>2684</v>
      </c>
      <c r="D1048" s="36">
        <v>208620.00000000003</v>
      </c>
      <c r="E1048" s="36" t="s">
        <v>1683</v>
      </c>
      <c r="F1048" s="178" t="s">
        <v>551</v>
      </c>
    </row>
    <row r="1049">
      <c r="A1049" s="250">
        <v>44127.60831494213</v>
      </c>
      <c r="B1049" s="251" t="s">
        <v>1698</v>
      </c>
      <c r="C1049" s="178" t="s">
        <v>2674</v>
      </c>
      <c r="D1049" s="36" t="s">
        <v>1683</v>
      </c>
      <c r="E1049" s="36">
        <v>208620.00000000003</v>
      </c>
      <c r="F1049" s="178" t="s">
        <v>551</v>
      </c>
    </row>
    <row r="1050">
      <c r="A1050" s="250">
        <v>44129.00043</v>
      </c>
      <c r="B1050" s="251" t="s">
        <v>2685</v>
      </c>
      <c r="C1050" s="178" t="s">
        <v>2686</v>
      </c>
      <c r="D1050" s="36">
        <v>327179.99999999994</v>
      </c>
      <c r="E1050" s="36" t="s">
        <v>1683</v>
      </c>
      <c r="F1050" s="178" t="s">
        <v>376</v>
      </c>
    </row>
    <row r="1051">
      <c r="A1051" s="250">
        <v>44129.00043</v>
      </c>
      <c r="B1051" s="251" t="s">
        <v>1698</v>
      </c>
      <c r="C1051" s="178" t="s">
        <v>2680</v>
      </c>
      <c r="D1051" s="36" t="s">
        <v>1683</v>
      </c>
      <c r="E1051" s="36">
        <v>327179.99999999994</v>
      </c>
      <c r="F1051" s="178" t="s">
        <v>376</v>
      </c>
    </row>
    <row r="1052">
      <c r="A1052" s="250">
        <v>44158.48718802084</v>
      </c>
      <c r="B1052" s="251" t="s">
        <v>1693</v>
      </c>
      <c r="C1052" s="178" t="s">
        <v>2687</v>
      </c>
      <c r="D1052" s="36">
        <v>161420.0</v>
      </c>
      <c r="E1052" s="36" t="s">
        <v>1683</v>
      </c>
      <c r="F1052" s="178" t="s">
        <v>346</v>
      </c>
    </row>
    <row r="1053">
      <c r="A1053" s="250">
        <v>44158.48718802084</v>
      </c>
      <c r="B1053" s="251" t="s">
        <v>1684</v>
      </c>
      <c r="C1053" s="178" t="s">
        <v>2688</v>
      </c>
      <c r="D1053" s="36" t="s">
        <v>1683</v>
      </c>
      <c r="E1053" s="36">
        <v>161420.0</v>
      </c>
      <c r="F1053" s="178" t="s">
        <v>346</v>
      </c>
    </row>
    <row r="1054">
      <c r="A1054" s="250">
        <v>44158.49616172454</v>
      </c>
      <c r="B1054" s="251" t="s">
        <v>1693</v>
      </c>
      <c r="C1054" s="178" t="s">
        <v>2689</v>
      </c>
      <c r="D1054" s="36">
        <v>45550.0</v>
      </c>
      <c r="E1054" s="36" t="s">
        <v>1683</v>
      </c>
      <c r="F1054" s="178" t="s">
        <v>687</v>
      </c>
    </row>
    <row r="1055">
      <c r="A1055" s="250">
        <v>44158.49616172454</v>
      </c>
      <c r="B1055" s="251" t="s">
        <v>1684</v>
      </c>
      <c r="C1055" s="178" t="s">
        <v>2690</v>
      </c>
      <c r="D1055" s="36" t="s">
        <v>1683</v>
      </c>
      <c r="E1055" s="36">
        <v>45550.0</v>
      </c>
      <c r="F1055" s="178" t="s">
        <v>687</v>
      </c>
    </row>
    <row r="1056">
      <c r="A1056" s="250">
        <v>44158.49617172454</v>
      </c>
      <c r="B1056" s="251" t="s">
        <v>1693</v>
      </c>
      <c r="C1056" s="178" t="s">
        <v>2691</v>
      </c>
      <c r="D1056" s="36">
        <v>45550.0</v>
      </c>
      <c r="E1056" s="36" t="s">
        <v>1683</v>
      </c>
      <c r="F1056" s="178" t="s">
        <v>688</v>
      </c>
    </row>
    <row r="1057">
      <c r="A1057" s="250">
        <v>44158.49617172454</v>
      </c>
      <c r="B1057" s="251" t="s">
        <v>1684</v>
      </c>
      <c r="C1057" s="178" t="s">
        <v>2692</v>
      </c>
      <c r="D1057" s="36" t="s">
        <v>1683</v>
      </c>
      <c r="E1057" s="36">
        <v>45550.0</v>
      </c>
      <c r="F1057" s="178" t="s">
        <v>688</v>
      </c>
    </row>
    <row r="1058">
      <c r="A1058" s="250">
        <v>44158.49618172454</v>
      </c>
      <c r="B1058" s="251" t="s">
        <v>1693</v>
      </c>
      <c r="C1058" s="178" t="s">
        <v>2693</v>
      </c>
      <c r="D1058" s="36">
        <v>45550.0</v>
      </c>
      <c r="E1058" s="36" t="s">
        <v>1683</v>
      </c>
      <c r="F1058" s="178" t="s">
        <v>689</v>
      </c>
    </row>
    <row r="1059">
      <c r="A1059" s="250">
        <v>44158.49618172454</v>
      </c>
      <c r="B1059" s="251" t="s">
        <v>1684</v>
      </c>
      <c r="C1059" s="178" t="s">
        <v>2694</v>
      </c>
      <c r="D1059" s="36" t="s">
        <v>1683</v>
      </c>
      <c r="E1059" s="36">
        <v>45550.0</v>
      </c>
      <c r="F1059" s="178" t="s">
        <v>689</v>
      </c>
    </row>
    <row r="1060">
      <c r="A1060" s="250">
        <v>44158.918238287035</v>
      </c>
      <c r="B1060" s="251" t="s">
        <v>2695</v>
      </c>
      <c r="C1060" s="178" t="s">
        <v>2696</v>
      </c>
      <c r="D1060" s="36">
        <v>298700.0</v>
      </c>
      <c r="E1060" s="36" t="s">
        <v>1683</v>
      </c>
      <c r="F1060" s="178" t="s">
        <v>1683</v>
      </c>
    </row>
    <row r="1061">
      <c r="A1061" s="250">
        <v>44158.918238287035</v>
      </c>
      <c r="B1061" s="251" t="s">
        <v>2697</v>
      </c>
      <c r="C1061" s="178" t="s">
        <v>2698</v>
      </c>
      <c r="D1061" s="36" t="s">
        <v>1683</v>
      </c>
      <c r="E1061" s="36">
        <v>298700.0</v>
      </c>
      <c r="F1061" s="178" t="s">
        <v>1683</v>
      </c>
    </row>
    <row r="1062">
      <c r="A1062" s="250">
        <v>44158.91874071759</v>
      </c>
      <c r="B1062" s="251" t="s">
        <v>2699</v>
      </c>
      <c r="C1062" s="178" t="s">
        <v>2700</v>
      </c>
      <c r="D1062" s="36">
        <v>226600.0</v>
      </c>
      <c r="E1062" s="36" t="s">
        <v>1683</v>
      </c>
      <c r="F1062" s="178" t="s">
        <v>1683</v>
      </c>
    </row>
    <row r="1063">
      <c r="A1063" s="250">
        <v>44158.91874071759</v>
      </c>
      <c r="B1063" s="251" t="s">
        <v>2701</v>
      </c>
      <c r="C1063" s="178" t="s">
        <v>2702</v>
      </c>
      <c r="D1063" s="36" t="s">
        <v>1683</v>
      </c>
      <c r="E1063" s="36">
        <v>226600.0</v>
      </c>
      <c r="F1063" s="178" t="s">
        <v>1683</v>
      </c>
    </row>
    <row r="1064">
      <c r="A1064" s="250">
        <v>44158.91876101851</v>
      </c>
      <c r="B1064" s="251" t="s">
        <v>2703</v>
      </c>
      <c r="C1064" s="178" t="s">
        <v>2704</v>
      </c>
      <c r="D1064" s="36">
        <v>234000.0</v>
      </c>
      <c r="E1064" s="36" t="s">
        <v>1683</v>
      </c>
      <c r="F1064" s="178" t="s">
        <v>1683</v>
      </c>
    </row>
    <row r="1065">
      <c r="A1065" s="250">
        <v>44158.91876101851</v>
      </c>
      <c r="B1065" s="251" t="s">
        <v>2705</v>
      </c>
      <c r="C1065" s="178" t="s">
        <v>2706</v>
      </c>
      <c r="D1065" s="36" t="s">
        <v>1683</v>
      </c>
      <c r="E1065" s="36">
        <v>234000.0</v>
      </c>
      <c r="F1065" s="178" t="s">
        <v>1683</v>
      </c>
    </row>
    <row r="1066">
      <c r="A1066" s="250">
        <v>44158.92041020834</v>
      </c>
      <c r="B1066" s="251" t="s">
        <v>2707</v>
      </c>
      <c r="C1066" s="178" t="s">
        <v>2708</v>
      </c>
      <c r="D1066" s="36">
        <v>281300.0</v>
      </c>
      <c r="E1066" s="36" t="s">
        <v>1683</v>
      </c>
      <c r="F1066" s="178" t="s">
        <v>1683</v>
      </c>
    </row>
    <row r="1067">
      <c r="A1067" s="250">
        <v>44158.92041020834</v>
      </c>
      <c r="B1067" s="251" t="s">
        <v>2709</v>
      </c>
      <c r="C1067" s="178" t="s">
        <v>2710</v>
      </c>
      <c r="D1067" s="36" t="s">
        <v>1683</v>
      </c>
      <c r="E1067" s="36">
        <v>281300.0</v>
      </c>
      <c r="F1067" s="178" t="s">
        <v>1683</v>
      </c>
    </row>
    <row r="1068">
      <c r="A1068" s="250">
        <v>44158.920877662036</v>
      </c>
      <c r="B1068" s="251" t="s">
        <v>2711</v>
      </c>
      <c r="C1068" s="178" t="s">
        <v>2712</v>
      </c>
      <c r="D1068" s="36">
        <v>206000.0</v>
      </c>
      <c r="E1068" s="36" t="s">
        <v>1683</v>
      </c>
      <c r="F1068" s="178" t="s">
        <v>1683</v>
      </c>
    </row>
    <row r="1069">
      <c r="A1069" s="250">
        <v>44158.920877662036</v>
      </c>
      <c r="B1069" s="251" t="s">
        <v>2713</v>
      </c>
      <c r="C1069" s="178" t="s">
        <v>2714</v>
      </c>
      <c r="D1069" s="36" t="s">
        <v>1683</v>
      </c>
      <c r="E1069" s="36">
        <v>206000.0</v>
      </c>
      <c r="F1069" s="178" t="s">
        <v>1683</v>
      </c>
    </row>
    <row r="1070">
      <c r="A1070" s="250">
        <v>44164.00065</v>
      </c>
      <c r="B1070" s="251" t="s">
        <v>2266</v>
      </c>
      <c r="C1070" s="178" t="s">
        <v>2715</v>
      </c>
      <c r="D1070" s="36">
        <v>45550.0</v>
      </c>
      <c r="E1070" s="36" t="s">
        <v>1683</v>
      </c>
      <c r="F1070" s="178" t="s">
        <v>687</v>
      </c>
    </row>
    <row r="1071">
      <c r="A1071" s="250">
        <v>44164.00065</v>
      </c>
      <c r="B1071" s="251" t="s">
        <v>1698</v>
      </c>
      <c r="C1071" s="178" t="s">
        <v>2689</v>
      </c>
      <c r="D1071" s="36" t="s">
        <v>1683</v>
      </c>
      <c r="E1071" s="36">
        <v>45550.0</v>
      </c>
      <c r="F1071" s="178" t="s">
        <v>687</v>
      </c>
    </row>
    <row r="1072">
      <c r="A1072" s="250">
        <v>44164.00066</v>
      </c>
      <c r="B1072" s="251" t="s">
        <v>2266</v>
      </c>
      <c r="C1072" s="178" t="s">
        <v>2716</v>
      </c>
      <c r="D1072" s="36">
        <v>45550.0</v>
      </c>
      <c r="E1072" s="36" t="s">
        <v>1683</v>
      </c>
      <c r="F1072" s="178" t="s">
        <v>688</v>
      </c>
    </row>
    <row r="1073">
      <c r="A1073" s="250">
        <v>44164.00066</v>
      </c>
      <c r="B1073" s="251" t="s">
        <v>1698</v>
      </c>
      <c r="C1073" s="178" t="s">
        <v>2691</v>
      </c>
      <c r="D1073" s="36" t="s">
        <v>1683</v>
      </c>
      <c r="E1073" s="36">
        <v>45550.0</v>
      </c>
      <c r="F1073" s="178" t="s">
        <v>688</v>
      </c>
    </row>
    <row r="1074">
      <c r="A1074" s="250">
        <v>44164.00067</v>
      </c>
      <c r="B1074" s="251" t="s">
        <v>2266</v>
      </c>
      <c r="C1074" s="178" t="s">
        <v>2717</v>
      </c>
      <c r="D1074" s="36">
        <v>45550.0</v>
      </c>
      <c r="E1074" s="36" t="s">
        <v>1683</v>
      </c>
      <c r="F1074" s="178" t="s">
        <v>689</v>
      </c>
    </row>
    <row r="1075">
      <c r="A1075" s="250">
        <v>44164.00067</v>
      </c>
      <c r="B1075" s="251" t="s">
        <v>1698</v>
      </c>
      <c r="C1075" s="178" t="s">
        <v>2693</v>
      </c>
      <c r="D1075" s="36" t="s">
        <v>1683</v>
      </c>
      <c r="E1075" s="36">
        <v>45550.0</v>
      </c>
      <c r="F1075" s="178" t="s">
        <v>689</v>
      </c>
    </row>
    <row r="1076">
      <c r="A1076" s="250">
        <v>44166.33378773148</v>
      </c>
      <c r="B1076" s="251" t="s">
        <v>1693</v>
      </c>
      <c r="C1076" s="178" t="s">
        <v>2718</v>
      </c>
      <c r="D1076" s="36">
        <v>293450.0</v>
      </c>
      <c r="E1076" s="36" t="s">
        <v>1683</v>
      </c>
      <c r="F1076" s="178" t="s">
        <v>560</v>
      </c>
    </row>
    <row r="1077">
      <c r="A1077" s="250">
        <v>44166.33378773148</v>
      </c>
      <c r="B1077" s="251" t="s">
        <v>1684</v>
      </c>
      <c r="C1077" s="178" t="s">
        <v>2719</v>
      </c>
      <c r="D1077" s="36" t="s">
        <v>1683</v>
      </c>
      <c r="E1077" s="36">
        <v>293450.0</v>
      </c>
      <c r="F1077" s="178" t="s">
        <v>560</v>
      </c>
    </row>
    <row r="1078">
      <c r="A1078" s="250">
        <v>44166.33379773148</v>
      </c>
      <c r="B1078" s="251" t="s">
        <v>1693</v>
      </c>
      <c r="C1078" s="178" t="s">
        <v>2720</v>
      </c>
      <c r="D1078" s="36">
        <v>293450.0</v>
      </c>
      <c r="E1078" s="36" t="s">
        <v>1683</v>
      </c>
      <c r="F1078" s="178" t="s">
        <v>561</v>
      </c>
    </row>
    <row r="1079">
      <c r="A1079" s="250">
        <v>44166.33379773148</v>
      </c>
      <c r="B1079" s="251" t="s">
        <v>1684</v>
      </c>
      <c r="C1079" s="178" t="s">
        <v>2721</v>
      </c>
      <c r="D1079" s="36" t="s">
        <v>1683</v>
      </c>
      <c r="E1079" s="36">
        <v>293450.0</v>
      </c>
      <c r="F1079" s="178" t="s">
        <v>561</v>
      </c>
    </row>
    <row r="1080">
      <c r="A1080" s="250">
        <v>44166.33380773148</v>
      </c>
      <c r="B1080" s="251" t="s">
        <v>1693</v>
      </c>
      <c r="C1080" s="178" t="s">
        <v>2722</v>
      </c>
      <c r="D1080" s="36">
        <v>293450.0</v>
      </c>
      <c r="E1080" s="36" t="s">
        <v>1683</v>
      </c>
      <c r="F1080" s="178" t="s">
        <v>562</v>
      </c>
    </row>
    <row r="1081">
      <c r="A1081" s="250">
        <v>44166.33380773148</v>
      </c>
      <c r="B1081" s="251" t="s">
        <v>1684</v>
      </c>
      <c r="C1081" s="178" t="s">
        <v>2723</v>
      </c>
      <c r="D1081" s="36" t="s">
        <v>1683</v>
      </c>
      <c r="E1081" s="36">
        <v>293450.0</v>
      </c>
      <c r="F1081" s="178" t="s">
        <v>562</v>
      </c>
    </row>
    <row r="1082">
      <c r="A1082" s="250">
        <v>44170.725841192136</v>
      </c>
      <c r="B1082" s="251" t="s">
        <v>2417</v>
      </c>
      <c r="C1082" s="178" t="s">
        <v>2724</v>
      </c>
      <c r="D1082" s="36">
        <v>161420.0</v>
      </c>
      <c r="E1082" s="36" t="s">
        <v>1683</v>
      </c>
      <c r="F1082" s="178" t="s">
        <v>346</v>
      </c>
    </row>
    <row r="1083">
      <c r="A1083" s="250">
        <v>44170.725841192136</v>
      </c>
      <c r="B1083" s="251" t="s">
        <v>1698</v>
      </c>
      <c r="C1083" s="178" t="s">
        <v>2687</v>
      </c>
      <c r="D1083" s="36" t="s">
        <v>1683</v>
      </c>
      <c r="E1083" s="36">
        <v>161420.0</v>
      </c>
      <c r="F1083" s="178" t="s">
        <v>346</v>
      </c>
    </row>
    <row r="1084">
      <c r="A1084" s="250">
        <v>44174.7432768287</v>
      </c>
      <c r="B1084" s="251" t="s">
        <v>2324</v>
      </c>
      <c r="C1084" s="178" t="s">
        <v>2725</v>
      </c>
      <c r="D1084" s="36">
        <v>293450.0</v>
      </c>
      <c r="E1084" s="36" t="s">
        <v>1683</v>
      </c>
      <c r="F1084" s="178" t="s">
        <v>562</v>
      </c>
    </row>
    <row r="1085">
      <c r="A1085" s="250">
        <v>44174.7432768287</v>
      </c>
      <c r="B1085" s="251" t="s">
        <v>1698</v>
      </c>
      <c r="C1085" s="178" t="s">
        <v>2722</v>
      </c>
      <c r="D1085" s="36" t="s">
        <v>1683</v>
      </c>
      <c r="E1085" s="36">
        <v>293450.0</v>
      </c>
      <c r="F1085" s="178" t="s">
        <v>562</v>
      </c>
    </row>
    <row r="1086">
      <c r="A1086" s="250">
        <v>44174.74329251157</v>
      </c>
      <c r="B1086" s="251" t="s">
        <v>2324</v>
      </c>
      <c r="C1086" s="178" t="s">
        <v>2726</v>
      </c>
      <c r="D1086" s="36">
        <v>293450.0</v>
      </c>
      <c r="E1086" s="36" t="s">
        <v>1683</v>
      </c>
      <c r="F1086" s="178" t="s">
        <v>561</v>
      </c>
    </row>
    <row r="1087">
      <c r="A1087" s="250">
        <v>44174.74329251157</v>
      </c>
      <c r="B1087" s="251" t="s">
        <v>1698</v>
      </c>
      <c r="C1087" s="178" t="s">
        <v>2720</v>
      </c>
      <c r="D1087" s="36" t="s">
        <v>1683</v>
      </c>
      <c r="E1087" s="36">
        <v>293450.0</v>
      </c>
      <c r="F1087" s="178" t="s">
        <v>561</v>
      </c>
    </row>
    <row r="1088">
      <c r="A1088" s="250">
        <v>44174.74330336806</v>
      </c>
      <c r="B1088" s="251" t="s">
        <v>2324</v>
      </c>
      <c r="C1088" s="178" t="s">
        <v>2727</v>
      </c>
      <c r="D1088" s="36">
        <v>293450.0</v>
      </c>
      <c r="E1088" s="36" t="s">
        <v>1683</v>
      </c>
      <c r="F1088" s="178" t="s">
        <v>560</v>
      </c>
    </row>
    <row r="1089">
      <c r="A1089" s="250">
        <v>44174.74330336806</v>
      </c>
      <c r="B1089" s="251" t="s">
        <v>1698</v>
      </c>
      <c r="C1089" s="178" t="s">
        <v>2718</v>
      </c>
      <c r="D1089" s="36" t="s">
        <v>1683</v>
      </c>
      <c r="E1089" s="36">
        <v>293450.0</v>
      </c>
      <c r="F1089" s="178" t="s">
        <v>560</v>
      </c>
    </row>
    <row r="1090">
      <c r="A1090" s="250">
        <v>44174.75898373843</v>
      </c>
      <c r="B1090" s="251" t="s">
        <v>2728</v>
      </c>
      <c r="C1090" s="178" t="s">
        <v>2729</v>
      </c>
      <c r="D1090" s="36">
        <v>14000.0</v>
      </c>
      <c r="E1090" s="36" t="s">
        <v>1683</v>
      </c>
      <c r="F1090" s="178" t="s">
        <v>1683</v>
      </c>
    </row>
    <row r="1091">
      <c r="A1091" s="250">
        <v>44174.75898373843</v>
      </c>
      <c r="B1091" s="251" t="s">
        <v>2730</v>
      </c>
      <c r="C1091" s="178" t="s">
        <v>2731</v>
      </c>
      <c r="D1091" s="36" t="s">
        <v>1683</v>
      </c>
      <c r="E1091" s="36">
        <v>14000.0</v>
      </c>
      <c r="F1091" s="178" t="s">
        <v>1683</v>
      </c>
    </row>
    <row r="1092">
      <c r="A1092" s="250">
        <v>44181.62644143519</v>
      </c>
      <c r="B1092" s="251" t="s">
        <v>1693</v>
      </c>
      <c r="C1092" s="178" t="s">
        <v>2732</v>
      </c>
      <c r="D1092" s="36">
        <v>554441.0</v>
      </c>
      <c r="E1092" s="36" t="s">
        <v>1683</v>
      </c>
      <c r="F1092" s="178" t="s">
        <v>474</v>
      </c>
    </row>
    <row r="1093">
      <c r="A1093" s="250">
        <v>44181.62644143519</v>
      </c>
      <c r="B1093" s="251" t="s">
        <v>1684</v>
      </c>
      <c r="C1093" s="178" t="s">
        <v>2733</v>
      </c>
      <c r="D1093" s="36" t="s">
        <v>1683</v>
      </c>
      <c r="E1093" s="36">
        <v>554441.0</v>
      </c>
      <c r="F1093" s="178" t="s">
        <v>474</v>
      </c>
    </row>
    <row r="1094">
      <c r="A1094" s="250">
        <v>44181.62701398147</v>
      </c>
      <c r="B1094" s="251" t="s">
        <v>1783</v>
      </c>
      <c r="C1094" s="178" t="s">
        <v>2734</v>
      </c>
      <c r="D1094" s="36">
        <v>379200.0</v>
      </c>
      <c r="E1094" s="36" t="s">
        <v>1683</v>
      </c>
      <c r="F1094" s="178" t="s">
        <v>165</v>
      </c>
    </row>
    <row r="1095">
      <c r="A1095" s="250">
        <v>44181.62701398147</v>
      </c>
      <c r="B1095" s="251" t="s">
        <v>1684</v>
      </c>
      <c r="C1095" s="178" t="s">
        <v>2735</v>
      </c>
      <c r="D1095" s="36" t="s">
        <v>1683</v>
      </c>
      <c r="E1095" s="36">
        <v>379200.0</v>
      </c>
      <c r="F1095" s="178" t="s">
        <v>165</v>
      </c>
    </row>
    <row r="1096">
      <c r="A1096" s="250">
        <v>44185.00055</v>
      </c>
      <c r="B1096" s="251" t="s">
        <v>1839</v>
      </c>
      <c r="C1096" s="178" t="s">
        <v>2736</v>
      </c>
      <c r="D1096" s="36">
        <v>379200.0</v>
      </c>
      <c r="E1096" s="36" t="s">
        <v>1683</v>
      </c>
      <c r="F1096" s="178" t="s">
        <v>165</v>
      </c>
    </row>
    <row r="1097">
      <c r="A1097" s="250">
        <v>44185.00055</v>
      </c>
      <c r="B1097" s="251" t="s">
        <v>1802</v>
      </c>
      <c r="C1097" s="178" t="s">
        <v>2734</v>
      </c>
      <c r="D1097" s="36" t="s">
        <v>1683</v>
      </c>
      <c r="E1097" s="36">
        <v>379200.0</v>
      </c>
      <c r="F1097" s="178" t="s">
        <v>165</v>
      </c>
    </row>
    <row r="1098">
      <c r="A1098" s="250">
        <v>44191.00029</v>
      </c>
      <c r="B1098" s="251" t="s">
        <v>1927</v>
      </c>
      <c r="C1098" s="178" t="s">
        <v>2737</v>
      </c>
      <c r="D1098" s="36">
        <v>554441.0</v>
      </c>
      <c r="E1098" s="36" t="s">
        <v>1683</v>
      </c>
      <c r="F1098" s="178" t="s">
        <v>474</v>
      </c>
    </row>
    <row r="1099">
      <c r="A1099" s="250">
        <v>44191.00029</v>
      </c>
      <c r="B1099" s="251" t="s">
        <v>1698</v>
      </c>
      <c r="C1099" s="178" t="s">
        <v>2732</v>
      </c>
      <c r="D1099" s="36" t="s">
        <v>1683</v>
      </c>
      <c r="E1099" s="36">
        <v>554441.0</v>
      </c>
      <c r="F1099" s="178" t="s">
        <v>474</v>
      </c>
    </row>
    <row r="1100">
      <c r="A1100" s="250">
        <v>44247.00024</v>
      </c>
      <c r="B1100" s="251" t="s">
        <v>1611</v>
      </c>
      <c r="C1100" s="178" t="s">
        <v>2738</v>
      </c>
      <c r="D1100" s="36">
        <v>120000.0</v>
      </c>
      <c r="E1100" s="36" t="s">
        <v>1683</v>
      </c>
      <c r="F1100" s="178" t="s">
        <v>1635</v>
      </c>
    </row>
    <row r="1101">
      <c r="A1101" s="250">
        <v>44247.00024</v>
      </c>
      <c r="B1101" s="251" t="s">
        <v>1684</v>
      </c>
      <c r="C1101" s="178" t="s">
        <v>2739</v>
      </c>
      <c r="D1101" s="36" t="s">
        <v>1683</v>
      </c>
      <c r="E1101" s="36">
        <v>120000.0</v>
      </c>
      <c r="F1101" s="178" t="s">
        <v>1635</v>
      </c>
    </row>
    <row r="1102">
      <c r="A1102" s="250">
        <v>44793.00046</v>
      </c>
      <c r="B1102" s="251" t="s">
        <v>1768</v>
      </c>
      <c r="C1102" s="178" t="s">
        <v>2740</v>
      </c>
      <c r="D1102" s="36">
        <v>13100.0</v>
      </c>
      <c r="E1102" s="36" t="s">
        <v>1683</v>
      </c>
      <c r="F1102" s="178" t="s">
        <v>1683</v>
      </c>
    </row>
    <row r="1103">
      <c r="A1103" s="250">
        <v>44793.00046</v>
      </c>
      <c r="B1103" s="251" t="s">
        <v>2278</v>
      </c>
      <c r="C1103" s="178" t="s">
        <v>2741</v>
      </c>
      <c r="D1103" s="36" t="s">
        <v>1683</v>
      </c>
      <c r="E1103" s="36">
        <v>13100.0</v>
      </c>
      <c r="F1103" s="178" t="s">
        <v>1683</v>
      </c>
    </row>
    <row r="1104">
      <c r="A1104" s="250">
        <v>44795.00097</v>
      </c>
      <c r="B1104" s="251" t="s">
        <v>1702</v>
      </c>
      <c r="C1104" s="178" t="s">
        <v>2742</v>
      </c>
      <c r="D1104" s="36">
        <v>3544475.0</v>
      </c>
      <c r="E1104" s="36" t="s">
        <v>1683</v>
      </c>
      <c r="F1104" s="178" t="s">
        <v>433</v>
      </c>
    </row>
    <row r="1105">
      <c r="A1105" s="250">
        <v>44795.00097</v>
      </c>
      <c r="B1105" s="251" t="s">
        <v>1684</v>
      </c>
      <c r="C1105" s="178" t="s">
        <v>2743</v>
      </c>
      <c r="D1105" s="36" t="s">
        <v>1683</v>
      </c>
      <c r="E1105" s="36">
        <v>3544475.0</v>
      </c>
      <c r="F1105" s="178" t="s">
        <v>433</v>
      </c>
    </row>
    <row r="1106">
      <c r="A1106" s="250">
        <v>44806.00096</v>
      </c>
      <c r="B1106" s="251" t="s">
        <v>1783</v>
      </c>
      <c r="C1106" s="178" t="s">
        <v>2744</v>
      </c>
      <c r="D1106" s="36">
        <v>587000.0</v>
      </c>
      <c r="E1106" s="36" t="s">
        <v>1683</v>
      </c>
      <c r="F1106" s="178" t="s">
        <v>431</v>
      </c>
    </row>
    <row r="1107">
      <c r="A1107" s="250">
        <v>44806.00096</v>
      </c>
      <c r="B1107" s="251" t="s">
        <v>1684</v>
      </c>
      <c r="C1107" s="178" t="s">
        <v>2745</v>
      </c>
      <c r="D1107" s="36" t="s">
        <v>1683</v>
      </c>
      <c r="E1107" s="36">
        <v>587000.0</v>
      </c>
      <c r="F1107" s="178" t="s">
        <v>431</v>
      </c>
    </row>
    <row r="1108">
      <c r="A1108" s="250">
        <v>44808.00096</v>
      </c>
      <c r="B1108" s="251" t="s">
        <v>1844</v>
      </c>
      <c r="C1108" s="178" t="s">
        <v>2746</v>
      </c>
      <c r="D1108" s="36">
        <v>587000.0</v>
      </c>
      <c r="E1108" s="36" t="s">
        <v>1683</v>
      </c>
      <c r="F1108" s="178" t="s">
        <v>431</v>
      </c>
    </row>
    <row r="1109">
      <c r="A1109" s="250">
        <v>44808.00096</v>
      </c>
      <c r="B1109" s="251" t="s">
        <v>1802</v>
      </c>
      <c r="C1109" s="178" t="s">
        <v>2744</v>
      </c>
      <c r="D1109" s="36" t="s">
        <v>1683</v>
      </c>
      <c r="E1109" s="36">
        <v>587000.0</v>
      </c>
      <c r="F1109" s="178" t="s">
        <v>431</v>
      </c>
    </row>
    <row r="1110">
      <c r="A1110" s="250">
        <v>44810.00048</v>
      </c>
      <c r="B1110" s="251" t="s">
        <v>1990</v>
      </c>
      <c r="C1110" s="178" t="s">
        <v>2747</v>
      </c>
      <c r="D1110" s="36">
        <v>21450.0</v>
      </c>
      <c r="E1110" s="36" t="s">
        <v>1683</v>
      </c>
      <c r="F1110" s="178" t="s">
        <v>1683</v>
      </c>
    </row>
    <row r="1111">
      <c r="A1111" s="250">
        <v>44810.00048</v>
      </c>
      <c r="B1111" s="251" t="s">
        <v>1992</v>
      </c>
      <c r="C1111" s="178" t="s">
        <v>2748</v>
      </c>
      <c r="D1111" s="36" t="s">
        <v>1683</v>
      </c>
      <c r="E1111" s="36">
        <v>21450.0</v>
      </c>
      <c r="F1111" s="178" t="s">
        <v>1683</v>
      </c>
    </row>
    <row r="1112">
      <c r="A1112" s="250">
        <v>44826.0005</v>
      </c>
      <c r="B1112" s="251" t="s">
        <v>2243</v>
      </c>
      <c r="C1112" s="178" t="s">
        <v>2749</v>
      </c>
      <c r="D1112" s="36">
        <v>11360.16</v>
      </c>
      <c r="E1112" s="36" t="s">
        <v>1683</v>
      </c>
      <c r="F1112" s="178" t="s">
        <v>1683</v>
      </c>
    </row>
    <row r="1113">
      <c r="A1113" s="250">
        <v>44826.0005</v>
      </c>
      <c r="B1113" s="251" t="s">
        <v>2245</v>
      </c>
      <c r="C1113" s="178" t="s">
        <v>2750</v>
      </c>
      <c r="D1113" s="36" t="s">
        <v>1683</v>
      </c>
      <c r="E1113" s="36">
        <v>11360.16</v>
      </c>
      <c r="F1113" s="178" t="s">
        <v>1683</v>
      </c>
    </row>
    <row r="1114">
      <c r="A1114" s="250">
        <v>44827.00097</v>
      </c>
      <c r="B1114" s="251" t="s">
        <v>1844</v>
      </c>
      <c r="C1114" s="178" t="s">
        <v>2751</v>
      </c>
      <c r="D1114" s="36">
        <v>3544475.0</v>
      </c>
      <c r="E1114" s="36" t="s">
        <v>1683</v>
      </c>
      <c r="F1114" s="178" t="s">
        <v>433</v>
      </c>
    </row>
    <row r="1115">
      <c r="A1115" s="250">
        <v>44827.00097</v>
      </c>
      <c r="B1115" s="251" t="s">
        <v>1776</v>
      </c>
      <c r="C1115" s="178" t="s">
        <v>2742</v>
      </c>
      <c r="D1115" s="36" t="s">
        <v>1683</v>
      </c>
      <c r="E1115" s="36">
        <v>3544475.0</v>
      </c>
      <c r="F1115" s="178" t="s">
        <v>433</v>
      </c>
    </row>
    <row r="1116">
      <c r="A1116" s="250">
        <v>44834.00026</v>
      </c>
      <c r="B1116" s="251" t="s">
        <v>1627</v>
      </c>
      <c r="C1116" s="178" t="s">
        <v>2752</v>
      </c>
      <c r="D1116" s="36">
        <v>8250.0</v>
      </c>
      <c r="E1116" s="36" t="s">
        <v>1683</v>
      </c>
      <c r="F1116" s="178" t="s">
        <v>2753</v>
      </c>
    </row>
    <row r="1117">
      <c r="A1117" s="250">
        <v>44834.00026</v>
      </c>
      <c r="B1117" s="251" t="s">
        <v>1684</v>
      </c>
      <c r="C1117" s="178" t="s">
        <v>2754</v>
      </c>
      <c r="D1117" s="36" t="s">
        <v>1683</v>
      </c>
      <c r="E1117" s="36">
        <v>8250.0</v>
      </c>
      <c r="F1117" s="178" t="s">
        <v>2753</v>
      </c>
    </row>
    <row r="1118">
      <c r="A1118" s="250">
        <v>44834.00027</v>
      </c>
      <c r="B1118" s="251" t="s">
        <v>1627</v>
      </c>
      <c r="C1118" s="178" t="s">
        <v>2755</v>
      </c>
      <c r="D1118" s="36">
        <v>5750.0</v>
      </c>
      <c r="E1118" s="36" t="s">
        <v>1683</v>
      </c>
      <c r="F1118" s="178" t="s">
        <v>2756</v>
      </c>
    </row>
    <row r="1119">
      <c r="A1119" s="250">
        <v>44834.00027</v>
      </c>
      <c r="B1119" s="251" t="s">
        <v>1684</v>
      </c>
      <c r="C1119" s="178" t="s">
        <v>2757</v>
      </c>
      <c r="D1119" s="36" t="s">
        <v>1683</v>
      </c>
      <c r="E1119" s="36">
        <v>5750.0</v>
      </c>
      <c r="F1119" s="178" t="s">
        <v>2756</v>
      </c>
    </row>
    <row r="1120">
      <c r="A1120" s="250">
        <v>44834.00028</v>
      </c>
      <c r="B1120" s="251" t="s">
        <v>1627</v>
      </c>
      <c r="C1120" s="178" t="s">
        <v>2758</v>
      </c>
      <c r="D1120" s="36">
        <v>10750.0</v>
      </c>
      <c r="E1120" s="36" t="s">
        <v>1683</v>
      </c>
      <c r="F1120" s="178" t="s">
        <v>2759</v>
      </c>
    </row>
    <row r="1121">
      <c r="A1121" s="250">
        <v>44834.00028</v>
      </c>
      <c r="B1121" s="251" t="s">
        <v>1684</v>
      </c>
      <c r="C1121" s="178" t="s">
        <v>2760</v>
      </c>
      <c r="D1121" s="36" t="s">
        <v>1683</v>
      </c>
      <c r="E1121" s="36">
        <v>10750.0</v>
      </c>
      <c r="F1121" s="178" t="s">
        <v>2759</v>
      </c>
    </row>
    <row r="1122">
      <c r="A1122" s="250">
        <v>44834.00029</v>
      </c>
      <c r="B1122" s="251" t="s">
        <v>1627</v>
      </c>
      <c r="C1122" s="178" t="s">
        <v>2761</v>
      </c>
      <c r="D1122" s="36">
        <v>11000.0</v>
      </c>
      <c r="E1122" s="36" t="s">
        <v>1683</v>
      </c>
      <c r="F1122" s="178" t="s">
        <v>2762</v>
      </c>
    </row>
    <row r="1123">
      <c r="A1123" s="250">
        <v>44834.00029</v>
      </c>
      <c r="B1123" s="251" t="s">
        <v>1684</v>
      </c>
      <c r="C1123" s="178" t="s">
        <v>2763</v>
      </c>
      <c r="D1123" s="36" t="s">
        <v>1683</v>
      </c>
      <c r="E1123" s="36">
        <v>11000.0</v>
      </c>
      <c r="F1123" s="178" t="s">
        <v>2762</v>
      </c>
    </row>
    <row r="1124">
      <c r="A1124" s="250">
        <v>44835.00052</v>
      </c>
      <c r="B1124" s="251" t="s">
        <v>2000</v>
      </c>
      <c r="C1124" s="178" t="s">
        <v>2764</v>
      </c>
      <c r="D1124" s="36">
        <v>930.622</v>
      </c>
      <c r="E1124" s="36" t="s">
        <v>1683</v>
      </c>
      <c r="F1124" s="178" t="s">
        <v>1683</v>
      </c>
    </row>
    <row r="1125">
      <c r="A1125" s="250">
        <v>44835.00052</v>
      </c>
      <c r="B1125" s="251" t="s">
        <v>2458</v>
      </c>
      <c r="C1125" s="178" t="s">
        <v>2765</v>
      </c>
      <c r="D1125" s="36" t="s">
        <v>1683</v>
      </c>
      <c r="E1125" s="36">
        <v>930.622</v>
      </c>
      <c r="F1125" s="178" t="s">
        <v>1683</v>
      </c>
    </row>
    <row r="1126">
      <c r="A1126" s="250">
        <v>44839.00018</v>
      </c>
      <c r="B1126" s="251" t="s">
        <v>2766</v>
      </c>
      <c r="C1126" s="178" t="s">
        <v>2767</v>
      </c>
      <c r="D1126" s="36">
        <v>4110788.4999999995</v>
      </c>
      <c r="E1126" s="36" t="s">
        <v>1683</v>
      </c>
      <c r="F1126" s="178" t="s">
        <v>47</v>
      </c>
    </row>
    <row r="1127">
      <c r="A1127" s="250">
        <v>44839.00018</v>
      </c>
      <c r="B1127" s="251" t="s">
        <v>1684</v>
      </c>
      <c r="C1127" s="178" t="s">
        <v>2768</v>
      </c>
      <c r="D1127" s="36" t="s">
        <v>1683</v>
      </c>
      <c r="E1127" s="36">
        <v>4110788.4999999995</v>
      </c>
      <c r="F1127" s="178" t="s">
        <v>47</v>
      </c>
    </row>
    <row r="1128">
      <c r="A1128" s="250">
        <v>44839.00055</v>
      </c>
      <c r="B1128" s="251" t="s">
        <v>2766</v>
      </c>
      <c r="C1128" s="178" t="s">
        <v>2769</v>
      </c>
      <c r="D1128" s="36">
        <v>4110788.4999999995</v>
      </c>
      <c r="E1128" s="36" t="s">
        <v>1683</v>
      </c>
      <c r="F1128" s="178" t="s">
        <v>47</v>
      </c>
    </row>
    <row r="1129">
      <c r="A1129" s="250">
        <v>44839.00055</v>
      </c>
      <c r="B1129" s="251" t="s">
        <v>1684</v>
      </c>
      <c r="C1129" s="178" t="s">
        <v>2770</v>
      </c>
      <c r="D1129" s="36" t="s">
        <v>1683</v>
      </c>
      <c r="E1129" s="36">
        <v>4110788.4999999995</v>
      </c>
      <c r="F1129" s="178" t="s">
        <v>47</v>
      </c>
    </row>
    <row r="1130">
      <c r="A1130" s="250">
        <v>44841.00054</v>
      </c>
      <c r="B1130" s="251" t="s">
        <v>1839</v>
      </c>
      <c r="C1130" s="178" t="s">
        <v>2771</v>
      </c>
      <c r="D1130" s="36">
        <v>28000.0</v>
      </c>
      <c r="E1130" s="36" t="s">
        <v>1683</v>
      </c>
      <c r="F1130" s="178" t="s">
        <v>1683</v>
      </c>
    </row>
    <row r="1131">
      <c r="A1131" s="250">
        <v>44841.00054</v>
      </c>
      <c r="B1131" s="251" t="s">
        <v>2221</v>
      </c>
      <c r="C1131" s="178" t="s">
        <v>2772</v>
      </c>
      <c r="D1131" s="36" t="s">
        <v>1683</v>
      </c>
      <c r="E1131" s="36">
        <v>28000.0</v>
      </c>
      <c r="F1131" s="178" t="s">
        <v>1683</v>
      </c>
    </row>
    <row r="1132">
      <c r="A1132" s="250">
        <v>44846.00041</v>
      </c>
      <c r="B1132" s="251" t="s">
        <v>2766</v>
      </c>
      <c r="C1132" s="178" t="s">
        <v>2773</v>
      </c>
      <c r="D1132" s="36">
        <v>1959400.0</v>
      </c>
      <c r="E1132" s="36" t="s">
        <v>1683</v>
      </c>
      <c r="F1132" s="178" t="s">
        <v>47</v>
      </c>
    </row>
    <row r="1133">
      <c r="A1133" s="250">
        <v>44846.00041</v>
      </c>
      <c r="B1133" s="251" t="s">
        <v>1684</v>
      </c>
      <c r="C1133" s="178" t="s">
        <v>2774</v>
      </c>
      <c r="D1133" s="36" t="s">
        <v>1683</v>
      </c>
      <c r="E1133" s="36">
        <v>1959400.0</v>
      </c>
      <c r="F1133" s="178" t="s">
        <v>47</v>
      </c>
    </row>
    <row r="1134">
      <c r="A1134" s="250">
        <v>44846.00095</v>
      </c>
      <c r="B1134" s="251" t="s">
        <v>2766</v>
      </c>
      <c r="C1134" s="178" t="s">
        <v>2775</v>
      </c>
      <c r="D1134" s="36">
        <v>7297000.0</v>
      </c>
      <c r="E1134" s="36" t="s">
        <v>1683</v>
      </c>
      <c r="F1134" s="178" t="s">
        <v>47</v>
      </c>
    </row>
    <row r="1135">
      <c r="A1135" s="250">
        <v>44846.00095</v>
      </c>
      <c r="B1135" s="251" t="s">
        <v>1684</v>
      </c>
      <c r="C1135" s="178" t="s">
        <v>2776</v>
      </c>
      <c r="D1135" s="36" t="s">
        <v>1683</v>
      </c>
      <c r="E1135" s="36">
        <v>7297000.0</v>
      </c>
      <c r="F1135" s="178" t="s">
        <v>47</v>
      </c>
    </row>
    <row r="1136">
      <c r="A1136" s="250">
        <v>44860.00087</v>
      </c>
      <c r="B1136" s="251" t="s">
        <v>1783</v>
      </c>
      <c r="C1136" s="178" t="s">
        <v>2777</v>
      </c>
      <c r="D1136" s="36">
        <v>614000.0000000001</v>
      </c>
      <c r="E1136" s="36" t="s">
        <v>1683</v>
      </c>
      <c r="F1136" s="178" t="s">
        <v>946</v>
      </c>
    </row>
    <row r="1137">
      <c r="A1137" s="250">
        <v>44860.00087</v>
      </c>
      <c r="B1137" s="251" t="s">
        <v>1684</v>
      </c>
      <c r="C1137" s="178" t="s">
        <v>2778</v>
      </c>
      <c r="D1137" s="36" t="s">
        <v>1683</v>
      </c>
      <c r="E1137" s="36">
        <v>614000.0000000001</v>
      </c>
      <c r="F1137" s="178" t="s">
        <v>946</v>
      </c>
    </row>
    <row r="1138">
      <c r="A1138" s="250">
        <v>44862.00087</v>
      </c>
      <c r="B1138" s="251" t="s">
        <v>2272</v>
      </c>
      <c r="C1138" s="178" t="s">
        <v>2779</v>
      </c>
      <c r="D1138" s="36">
        <v>614000.0000000001</v>
      </c>
      <c r="E1138" s="36" t="s">
        <v>1683</v>
      </c>
      <c r="F1138" s="178" t="s">
        <v>946</v>
      </c>
    </row>
    <row r="1139">
      <c r="A1139" s="250">
        <v>44862.00087</v>
      </c>
      <c r="B1139" s="251" t="s">
        <v>1802</v>
      </c>
      <c r="C1139" s="178" t="s">
        <v>2777</v>
      </c>
      <c r="D1139" s="36" t="s">
        <v>1683</v>
      </c>
      <c r="E1139" s="36">
        <v>614000.0000000001</v>
      </c>
      <c r="F1139" s="178" t="s">
        <v>946</v>
      </c>
    </row>
    <row r="1140">
      <c r="A1140" s="250">
        <v>44863.00085</v>
      </c>
      <c r="B1140" s="251" t="s">
        <v>1783</v>
      </c>
      <c r="C1140" s="178" t="s">
        <v>2780</v>
      </c>
      <c r="D1140" s="36">
        <v>122800.0</v>
      </c>
      <c r="E1140" s="36" t="s">
        <v>1683</v>
      </c>
      <c r="F1140" s="178" t="s">
        <v>977</v>
      </c>
    </row>
    <row r="1141">
      <c r="A1141" s="250">
        <v>44863.00085</v>
      </c>
      <c r="B1141" s="251" t="s">
        <v>1684</v>
      </c>
      <c r="C1141" s="178" t="s">
        <v>2781</v>
      </c>
      <c r="D1141" s="36" t="s">
        <v>1683</v>
      </c>
      <c r="E1141" s="36">
        <v>122800.0</v>
      </c>
      <c r="F1141" s="178" t="s">
        <v>977</v>
      </c>
    </row>
    <row r="1142">
      <c r="A1142" s="250">
        <v>44863.00086</v>
      </c>
      <c r="B1142" s="251" t="s">
        <v>1783</v>
      </c>
      <c r="C1142" s="178" t="s">
        <v>2782</v>
      </c>
      <c r="D1142" s="36">
        <v>491200.0</v>
      </c>
      <c r="E1142" s="36" t="s">
        <v>1683</v>
      </c>
      <c r="F1142" s="178" t="s">
        <v>978</v>
      </c>
    </row>
    <row r="1143">
      <c r="A1143" s="250">
        <v>44863.00086</v>
      </c>
      <c r="B1143" s="251" t="s">
        <v>1684</v>
      </c>
      <c r="C1143" s="178" t="s">
        <v>2783</v>
      </c>
      <c r="D1143" s="36" t="s">
        <v>1683</v>
      </c>
      <c r="E1143" s="36">
        <v>491200.0</v>
      </c>
      <c r="F1143" s="178" t="s">
        <v>978</v>
      </c>
    </row>
    <row r="1144">
      <c r="A1144" s="250">
        <v>44863.00094</v>
      </c>
      <c r="B1144" s="251" t="s">
        <v>1783</v>
      </c>
      <c r="C1144" s="178" t="s">
        <v>2784</v>
      </c>
      <c r="D1144" s="36">
        <v>116700.00000000001</v>
      </c>
      <c r="E1144" s="36" t="s">
        <v>1683</v>
      </c>
      <c r="F1144" s="178" t="s">
        <v>711</v>
      </c>
    </row>
    <row r="1145">
      <c r="A1145" s="250">
        <v>44863.00094</v>
      </c>
      <c r="B1145" s="251" t="s">
        <v>1684</v>
      </c>
      <c r="C1145" s="178" t="s">
        <v>2785</v>
      </c>
      <c r="D1145" s="36" t="s">
        <v>1683</v>
      </c>
      <c r="E1145" s="36">
        <v>116700.00000000001</v>
      </c>
      <c r="F1145" s="178" t="s">
        <v>711</v>
      </c>
    </row>
    <row r="1146">
      <c r="A1146" s="250">
        <v>44864.00056</v>
      </c>
      <c r="B1146" s="251" t="s">
        <v>1844</v>
      </c>
      <c r="C1146" s="178" t="s">
        <v>2786</v>
      </c>
      <c r="D1146" s="36">
        <v>11833.5</v>
      </c>
      <c r="E1146" s="36" t="s">
        <v>1683</v>
      </c>
      <c r="F1146" s="178" t="s">
        <v>1683</v>
      </c>
    </row>
    <row r="1147">
      <c r="A1147" s="250">
        <v>44864.00056</v>
      </c>
      <c r="B1147" s="251" t="s">
        <v>2044</v>
      </c>
      <c r="C1147" s="178" t="s">
        <v>2787</v>
      </c>
      <c r="D1147" s="36" t="s">
        <v>1683</v>
      </c>
      <c r="E1147" s="36">
        <v>11833.5</v>
      </c>
      <c r="F1147" s="178" t="s">
        <v>1683</v>
      </c>
    </row>
    <row r="1148">
      <c r="A1148" s="250">
        <v>44864.00057</v>
      </c>
      <c r="B1148" s="251" t="s">
        <v>2272</v>
      </c>
      <c r="C1148" s="178" t="s">
        <v>2788</v>
      </c>
      <c r="D1148" s="36">
        <v>25000.0</v>
      </c>
      <c r="E1148" s="36" t="s">
        <v>1683</v>
      </c>
      <c r="F1148" s="178" t="s">
        <v>1683</v>
      </c>
    </row>
    <row r="1149">
      <c r="A1149" s="250">
        <v>44864.00057</v>
      </c>
      <c r="B1149" s="251" t="s">
        <v>2433</v>
      </c>
      <c r="C1149" s="178" t="s">
        <v>2789</v>
      </c>
      <c r="D1149" s="36" t="s">
        <v>1683</v>
      </c>
      <c r="E1149" s="36">
        <v>25000.0</v>
      </c>
      <c r="F1149" s="178" t="s">
        <v>1683</v>
      </c>
    </row>
    <row r="1150">
      <c r="A1150" s="250">
        <v>44866.00059</v>
      </c>
      <c r="B1150" s="251" t="s">
        <v>2650</v>
      </c>
      <c r="C1150" s="178" t="s">
        <v>2790</v>
      </c>
      <c r="D1150" s="36">
        <v>28700.0</v>
      </c>
      <c r="E1150" s="36" t="s">
        <v>1683</v>
      </c>
      <c r="F1150" s="178" t="s">
        <v>1683</v>
      </c>
    </row>
    <row r="1151">
      <c r="A1151" s="250">
        <v>44866.00059</v>
      </c>
      <c r="B1151" s="251" t="s">
        <v>2652</v>
      </c>
      <c r="C1151" s="178" t="s">
        <v>2791</v>
      </c>
      <c r="D1151" s="36" t="s">
        <v>1683</v>
      </c>
      <c r="E1151" s="36">
        <v>28700.0</v>
      </c>
      <c r="F1151" s="178" t="s">
        <v>1683</v>
      </c>
    </row>
    <row r="1152">
      <c r="A1152" s="250">
        <v>44866.00085</v>
      </c>
      <c r="B1152" s="251" t="s">
        <v>2272</v>
      </c>
      <c r="C1152" s="178" t="s">
        <v>2792</v>
      </c>
      <c r="D1152" s="36">
        <v>122800.0</v>
      </c>
      <c r="E1152" s="36" t="s">
        <v>1683</v>
      </c>
      <c r="F1152" s="178" t="s">
        <v>977</v>
      </c>
    </row>
    <row r="1153">
      <c r="A1153" s="250">
        <v>44866.00085</v>
      </c>
      <c r="B1153" s="251" t="s">
        <v>1802</v>
      </c>
      <c r="C1153" s="178" t="s">
        <v>2780</v>
      </c>
      <c r="D1153" s="36" t="s">
        <v>1683</v>
      </c>
      <c r="E1153" s="36">
        <v>122800.0</v>
      </c>
      <c r="F1153" s="178" t="s">
        <v>977</v>
      </c>
    </row>
    <row r="1154">
      <c r="A1154" s="250">
        <v>44866.00086</v>
      </c>
      <c r="B1154" s="251" t="s">
        <v>2272</v>
      </c>
      <c r="C1154" s="178" t="s">
        <v>2793</v>
      </c>
      <c r="D1154" s="36">
        <v>491200.0</v>
      </c>
      <c r="E1154" s="36" t="s">
        <v>1683</v>
      </c>
      <c r="F1154" s="178" t="s">
        <v>978</v>
      </c>
    </row>
    <row r="1155">
      <c r="A1155" s="250">
        <v>44866.00086</v>
      </c>
      <c r="B1155" s="251" t="s">
        <v>1802</v>
      </c>
      <c r="C1155" s="178" t="s">
        <v>2782</v>
      </c>
      <c r="D1155" s="36" t="s">
        <v>1683</v>
      </c>
      <c r="E1155" s="36">
        <v>491200.0</v>
      </c>
      <c r="F1155" s="178" t="s">
        <v>978</v>
      </c>
    </row>
    <row r="1156">
      <c r="A1156" s="250">
        <v>44866.00094</v>
      </c>
      <c r="B1156" s="251" t="s">
        <v>1958</v>
      </c>
      <c r="C1156" s="178" t="s">
        <v>2794</v>
      </c>
      <c r="D1156" s="36">
        <v>116700.00000000001</v>
      </c>
      <c r="E1156" s="36" t="s">
        <v>1683</v>
      </c>
      <c r="F1156" s="178" t="s">
        <v>711</v>
      </c>
    </row>
    <row r="1157">
      <c r="A1157" s="250">
        <v>44866.00094</v>
      </c>
      <c r="B1157" s="251" t="s">
        <v>1802</v>
      </c>
      <c r="C1157" s="178" t="s">
        <v>2784</v>
      </c>
      <c r="D1157" s="36" t="s">
        <v>1683</v>
      </c>
      <c r="E1157" s="36">
        <v>116700.00000000001</v>
      </c>
      <c r="F1157" s="178" t="s">
        <v>711</v>
      </c>
    </row>
    <row r="1158">
      <c r="A1158" s="250">
        <v>44868.00061</v>
      </c>
      <c r="B1158" s="251" t="s">
        <v>1896</v>
      </c>
      <c r="C1158" s="178" t="s">
        <v>2795</v>
      </c>
      <c r="D1158" s="36">
        <v>11107.53648648648</v>
      </c>
      <c r="E1158" s="36" t="s">
        <v>1683</v>
      </c>
      <c r="F1158" s="178" t="s">
        <v>1683</v>
      </c>
    </row>
    <row r="1159">
      <c r="A1159" s="250">
        <v>44868.00061</v>
      </c>
      <c r="B1159" s="251" t="s">
        <v>2377</v>
      </c>
      <c r="C1159" s="178" t="s">
        <v>2796</v>
      </c>
      <c r="D1159" s="36" t="s">
        <v>1683</v>
      </c>
      <c r="E1159" s="36">
        <v>11107.53648648648</v>
      </c>
      <c r="F1159" s="178" t="s">
        <v>1683</v>
      </c>
    </row>
    <row r="1160">
      <c r="A1160" s="250">
        <v>44868.00062</v>
      </c>
      <c r="B1160" s="251" t="s">
        <v>2214</v>
      </c>
      <c r="C1160" s="178" t="s">
        <v>2797</v>
      </c>
      <c r="D1160" s="36">
        <v>3702.51216216216</v>
      </c>
      <c r="E1160" s="36" t="s">
        <v>1683</v>
      </c>
      <c r="F1160" s="178" t="s">
        <v>1683</v>
      </c>
    </row>
    <row r="1161">
      <c r="A1161" s="250">
        <v>44868.00062</v>
      </c>
      <c r="B1161" s="251" t="s">
        <v>2216</v>
      </c>
      <c r="C1161" s="178" t="s">
        <v>2798</v>
      </c>
      <c r="D1161" s="36" t="s">
        <v>1683</v>
      </c>
      <c r="E1161" s="36">
        <v>3702.51216216216</v>
      </c>
      <c r="F1161" s="178" t="s">
        <v>1683</v>
      </c>
    </row>
    <row r="1162">
      <c r="A1162" s="250">
        <v>44868.00084</v>
      </c>
      <c r="B1162" s="251" t="s">
        <v>1783</v>
      </c>
      <c r="C1162" s="178" t="s">
        <v>2799</v>
      </c>
      <c r="D1162" s="36">
        <v>368400.0</v>
      </c>
      <c r="E1162" s="36" t="s">
        <v>1683</v>
      </c>
      <c r="F1162" s="178" t="s">
        <v>976</v>
      </c>
    </row>
    <row r="1163">
      <c r="A1163" s="250">
        <v>44868.00084</v>
      </c>
      <c r="B1163" s="251" t="s">
        <v>1684</v>
      </c>
      <c r="C1163" s="178" t="s">
        <v>2800</v>
      </c>
      <c r="D1163" s="36" t="s">
        <v>1683</v>
      </c>
      <c r="E1163" s="36">
        <v>368400.0</v>
      </c>
      <c r="F1163" s="178" t="s">
        <v>976</v>
      </c>
    </row>
    <row r="1164">
      <c r="A1164" s="250">
        <v>44869.00054</v>
      </c>
      <c r="B1164" s="251" t="s">
        <v>1783</v>
      </c>
      <c r="C1164" s="178" t="s">
        <v>2801</v>
      </c>
      <c r="D1164" s="36">
        <v>735000.0</v>
      </c>
      <c r="E1164" s="36" t="s">
        <v>1683</v>
      </c>
      <c r="F1164" s="178" t="s">
        <v>162</v>
      </c>
    </row>
    <row r="1165">
      <c r="A1165" s="250">
        <v>44869.00054</v>
      </c>
      <c r="B1165" s="251" t="s">
        <v>1684</v>
      </c>
      <c r="C1165" s="178" t="s">
        <v>2802</v>
      </c>
      <c r="D1165" s="36" t="s">
        <v>1683</v>
      </c>
      <c r="E1165" s="36">
        <v>735000.0</v>
      </c>
      <c r="F1165" s="178" t="s">
        <v>162</v>
      </c>
    </row>
    <row r="1166">
      <c r="A1166" s="250">
        <v>44869.00054</v>
      </c>
      <c r="B1166" s="251" t="s">
        <v>1839</v>
      </c>
      <c r="C1166" s="178" t="s">
        <v>2803</v>
      </c>
      <c r="D1166" s="36">
        <v>735000.0</v>
      </c>
      <c r="E1166" s="36" t="s">
        <v>1683</v>
      </c>
      <c r="F1166" s="178" t="s">
        <v>162</v>
      </c>
    </row>
    <row r="1167">
      <c r="A1167" s="250">
        <v>44869.00054</v>
      </c>
      <c r="B1167" s="251" t="s">
        <v>1802</v>
      </c>
      <c r="C1167" s="178" t="s">
        <v>2801</v>
      </c>
      <c r="D1167" s="36" t="s">
        <v>1683</v>
      </c>
      <c r="E1167" s="36">
        <v>735000.0</v>
      </c>
      <c r="F1167" s="178" t="s">
        <v>162</v>
      </c>
    </row>
    <row r="1168">
      <c r="A1168" s="250">
        <v>44870.00084</v>
      </c>
      <c r="B1168" s="251" t="s">
        <v>2272</v>
      </c>
      <c r="C1168" s="178" t="s">
        <v>2804</v>
      </c>
      <c r="D1168" s="36">
        <v>368400.0</v>
      </c>
      <c r="E1168" s="36" t="s">
        <v>1683</v>
      </c>
      <c r="F1168" s="178" t="s">
        <v>976</v>
      </c>
    </row>
    <row r="1169">
      <c r="A1169" s="250">
        <v>44870.00084</v>
      </c>
      <c r="B1169" s="251" t="s">
        <v>1802</v>
      </c>
      <c r="C1169" s="178" t="s">
        <v>2799</v>
      </c>
      <c r="D1169" s="36" t="s">
        <v>1683</v>
      </c>
      <c r="E1169" s="36">
        <v>368400.0</v>
      </c>
      <c r="F1169" s="178" t="s">
        <v>976</v>
      </c>
    </row>
    <row r="1170">
      <c r="A1170" s="250">
        <v>44871.00097</v>
      </c>
      <c r="B1170" s="251" t="s">
        <v>1783</v>
      </c>
      <c r="C1170" s="178" t="s">
        <v>2805</v>
      </c>
      <c r="D1170" s="36">
        <v>559962.0</v>
      </c>
      <c r="E1170" s="36" t="s">
        <v>1683</v>
      </c>
      <c r="F1170" s="178" t="s">
        <v>47</v>
      </c>
    </row>
    <row r="1171">
      <c r="A1171" s="250">
        <v>44871.00097</v>
      </c>
      <c r="B1171" s="251" t="s">
        <v>1684</v>
      </c>
      <c r="C1171" s="178" t="s">
        <v>2806</v>
      </c>
      <c r="D1171" s="36" t="s">
        <v>1683</v>
      </c>
      <c r="E1171" s="36">
        <v>559962.0</v>
      </c>
      <c r="F1171" s="178" t="s">
        <v>47</v>
      </c>
    </row>
    <row r="1172">
      <c r="A1172" s="250">
        <v>44873.00097</v>
      </c>
      <c r="B1172" s="251" t="s">
        <v>2807</v>
      </c>
      <c r="C1172" s="178" t="s">
        <v>2808</v>
      </c>
      <c r="D1172" s="36">
        <v>559962.0</v>
      </c>
      <c r="E1172" s="36" t="s">
        <v>1683</v>
      </c>
      <c r="F1172" s="178" t="s">
        <v>47</v>
      </c>
    </row>
    <row r="1173">
      <c r="A1173" s="250">
        <v>44873.00097</v>
      </c>
      <c r="B1173" s="251" t="s">
        <v>1802</v>
      </c>
      <c r="C1173" s="178" t="s">
        <v>2805</v>
      </c>
      <c r="D1173" s="36" t="s">
        <v>1683</v>
      </c>
      <c r="E1173" s="36">
        <v>559962.0</v>
      </c>
      <c r="F1173" s="178" t="s">
        <v>47</v>
      </c>
    </row>
    <row r="1174">
      <c r="A1174" s="250">
        <v>44874.00005</v>
      </c>
      <c r="B1174" s="251" t="s">
        <v>2766</v>
      </c>
      <c r="C1174" s="178" t="s">
        <v>2809</v>
      </c>
      <c r="D1174" s="36">
        <v>4820357.142857143</v>
      </c>
      <c r="E1174" s="36" t="s">
        <v>1683</v>
      </c>
      <c r="F1174" s="178" t="s">
        <v>47</v>
      </c>
    </row>
    <row r="1175">
      <c r="A1175" s="250">
        <v>44874.00005</v>
      </c>
      <c r="B1175" s="251" t="s">
        <v>1684</v>
      </c>
      <c r="C1175" s="178" t="s">
        <v>2810</v>
      </c>
      <c r="D1175" s="36" t="s">
        <v>1683</v>
      </c>
      <c r="E1175" s="36">
        <v>4820357.142857143</v>
      </c>
      <c r="F1175" s="178" t="s">
        <v>47</v>
      </c>
    </row>
    <row r="1176">
      <c r="A1176" s="250">
        <v>44874.00017</v>
      </c>
      <c r="B1176" s="251" t="s">
        <v>2766</v>
      </c>
      <c r="C1176" s="178" t="s">
        <v>2811</v>
      </c>
      <c r="D1176" s="36">
        <v>2600357.142857143</v>
      </c>
      <c r="E1176" s="36" t="s">
        <v>1683</v>
      </c>
      <c r="F1176" s="178" t="s">
        <v>47</v>
      </c>
    </row>
    <row r="1177">
      <c r="A1177" s="250">
        <v>44874.00017</v>
      </c>
      <c r="B1177" s="251" t="s">
        <v>1684</v>
      </c>
      <c r="C1177" s="178" t="s">
        <v>2812</v>
      </c>
      <c r="D1177" s="36" t="s">
        <v>1683</v>
      </c>
      <c r="E1177" s="36">
        <v>2600357.142857143</v>
      </c>
      <c r="F1177" s="178" t="s">
        <v>47</v>
      </c>
    </row>
    <row r="1178">
      <c r="A1178" s="250">
        <v>44874.0003</v>
      </c>
      <c r="B1178" s="251" t="s">
        <v>2766</v>
      </c>
      <c r="C1178" s="178" t="s">
        <v>2813</v>
      </c>
      <c r="D1178" s="36">
        <v>910357.1428571428</v>
      </c>
      <c r="E1178" s="36" t="s">
        <v>1683</v>
      </c>
      <c r="F1178" s="178" t="s">
        <v>47</v>
      </c>
    </row>
    <row r="1179">
      <c r="A1179" s="250">
        <v>44874.0003</v>
      </c>
      <c r="B1179" s="251" t="s">
        <v>1684</v>
      </c>
      <c r="C1179" s="178" t="s">
        <v>2814</v>
      </c>
      <c r="D1179" s="36" t="s">
        <v>1683</v>
      </c>
      <c r="E1179" s="36">
        <v>910357.1428571428</v>
      </c>
      <c r="F1179" s="178" t="s">
        <v>47</v>
      </c>
    </row>
    <row r="1180">
      <c r="A1180" s="250">
        <v>44874.00036</v>
      </c>
      <c r="B1180" s="251" t="s">
        <v>2766</v>
      </c>
      <c r="C1180" s="178" t="s">
        <v>2815</v>
      </c>
      <c r="D1180" s="36">
        <v>2480357.142857143</v>
      </c>
      <c r="E1180" s="36" t="s">
        <v>1683</v>
      </c>
      <c r="F1180" s="178" t="s">
        <v>47</v>
      </c>
    </row>
    <row r="1181">
      <c r="A1181" s="250">
        <v>44874.00036</v>
      </c>
      <c r="B1181" s="251" t="s">
        <v>1684</v>
      </c>
      <c r="C1181" s="178" t="s">
        <v>2816</v>
      </c>
      <c r="D1181" s="36" t="s">
        <v>1683</v>
      </c>
      <c r="E1181" s="36">
        <v>2480357.142857143</v>
      </c>
      <c r="F1181" s="178" t="s">
        <v>47</v>
      </c>
    </row>
    <row r="1182">
      <c r="A1182" s="250">
        <v>44874.00042</v>
      </c>
      <c r="B1182" s="251" t="s">
        <v>2766</v>
      </c>
      <c r="C1182" s="178" t="s">
        <v>2817</v>
      </c>
      <c r="D1182" s="36">
        <v>2060357.142857143</v>
      </c>
      <c r="E1182" s="36" t="s">
        <v>1683</v>
      </c>
      <c r="F1182" s="178" t="s">
        <v>47</v>
      </c>
    </row>
    <row r="1183">
      <c r="A1183" s="250">
        <v>44874.00042</v>
      </c>
      <c r="B1183" s="251" t="s">
        <v>1684</v>
      </c>
      <c r="C1183" s="178" t="s">
        <v>2818</v>
      </c>
      <c r="D1183" s="36" t="s">
        <v>1683</v>
      </c>
      <c r="E1183" s="36">
        <v>2060357.142857143</v>
      </c>
      <c r="F1183" s="178" t="s">
        <v>47</v>
      </c>
    </row>
    <row r="1184">
      <c r="A1184" s="250">
        <v>44874.0005</v>
      </c>
      <c r="B1184" s="251" t="s">
        <v>2766</v>
      </c>
      <c r="C1184" s="178" t="s">
        <v>2819</v>
      </c>
      <c r="D1184" s="36">
        <v>2750357.142857143</v>
      </c>
      <c r="E1184" s="36" t="s">
        <v>1683</v>
      </c>
      <c r="F1184" s="178" t="s">
        <v>47</v>
      </c>
    </row>
    <row r="1185">
      <c r="A1185" s="250">
        <v>44874.0005</v>
      </c>
      <c r="B1185" s="251" t="s">
        <v>1684</v>
      </c>
      <c r="C1185" s="178" t="s">
        <v>2820</v>
      </c>
      <c r="D1185" s="36" t="s">
        <v>1683</v>
      </c>
      <c r="E1185" s="36">
        <v>2750357.142857143</v>
      </c>
      <c r="F1185" s="178" t="s">
        <v>47</v>
      </c>
    </row>
    <row r="1186">
      <c r="A1186" s="250">
        <v>44874.00069</v>
      </c>
      <c r="B1186" s="251" t="s">
        <v>2766</v>
      </c>
      <c r="C1186" s="178" t="s">
        <v>2821</v>
      </c>
      <c r="D1186" s="36">
        <v>5762357.142857143</v>
      </c>
      <c r="E1186" s="36" t="s">
        <v>1683</v>
      </c>
      <c r="F1186" s="178" t="s">
        <v>47</v>
      </c>
    </row>
    <row r="1187">
      <c r="A1187" s="250">
        <v>44874.00069</v>
      </c>
      <c r="B1187" s="251" t="s">
        <v>1684</v>
      </c>
      <c r="C1187" s="178" t="s">
        <v>2822</v>
      </c>
      <c r="D1187" s="36" t="s">
        <v>1683</v>
      </c>
      <c r="E1187" s="36">
        <v>5762357.142857143</v>
      </c>
      <c r="F1187" s="178" t="s">
        <v>47</v>
      </c>
    </row>
    <row r="1188">
      <c r="A1188" s="250">
        <v>44889.00018</v>
      </c>
      <c r="B1188" s="251" t="s">
        <v>1896</v>
      </c>
      <c r="C1188" s="178" t="s">
        <v>2823</v>
      </c>
      <c r="D1188" s="36">
        <v>4110788.4999999995</v>
      </c>
      <c r="E1188" s="36" t="s">
        <v>1683</v>
      </c>
      <c r="F1188" s="178" t="s">
        <v>47</v>
      </c>
    </row>
    <row r="1189">
      <c r="A1189" s="250">
        <v>44889.00018</v>
      </c>
      <c r="B1189" s="251" t="s">
        <v>2824</v>
      </c>
      <c r="C1189" s="178" t="s">
        <v>2767</v>
      </c>
      <c r="D1189" s="36" t="s">
        <v>1683</v>
      </c>
      <c r="E1189" s="36">
        <v>4110788.4999999995</v>
      </c>
      <c r="F1189" s="178" t="s">
        <v>47</v>
      </c>
    </row>
    <row r="1190">
      <c r="A1190" s="250">
        <v>44889.00041</v>
      </c>
      <c r="B1190" s="251" t="s">
        <v>1846</v>
      </c>
      <c r="C1190" s="178" t="s">
        <v>2825</v>
      </c>
      <c r="D1190" s="36">
        <v>1959400.0</v>
      </c>
      <c r="E1190" s="36" t="s">
        <v>1683</v>
      </c>
      <c r="F1190" s="178" t="s">
        <v>47</v>
      </c>
    </row>
    <row r="1191">
      <c r="A1191" s="250">
        <v>44889.00041</v>
      </c>
      <c r="B1191" s="251" t="s">
        <v>2824</v>
      </c>
      <c r="C1191" s="178" t="s">
        <v>2773</v>
      </c>
      <c r="D1191" s="36" t="s">
        <v>1683</v>
      </c>
      <c r="E1191" s="36">
        <v>1959400.0</v>
      </c>
      <c r="F1191" s="178" t="s">
        <v>47</v>
      </c>
    </row>
    <row r="1192">
      <c r="A1192" s="250">
        <v>44889.00055</v>
      </c>
      <c r="B1192" s="251" t="s">
        <v>1930</v>
      </c>
      <c r="C1192" s="178" t="s">
        <v>2826</v>
      </c>
      <c r="D1192" s="36">
        <v>4110788.4999999995</v>
      </c>
      <c r="E1192" s="36" t="s">
        <v>1683</v>
      </c>
      <c r="F1192" s="178" t="s">
        <v>47</v>
      </c>
    </row>
    <row r="1193">
      <c r="A1193" s="250">
        <v>44889.00055</v>
      </c>
      <c r="B1193" s="251" t="s">
        <v>2824</v>
      </c>
      <c r="C1193" s="178" t="s">
        <v>2769</v>
      </c>
      <c r="D1193" s="36" t="s">
        <v>1683</v>
      </c>
      <c r="E1193" s="36">
        <v>4110788.4999999995</v>
      </c>
      <c r="F1193" s="178" t="s">
        <v>47</v>
      </c>
    </row>
    <row r="1194">
      <c r="A1194" s="250">
        <v>44889.00095</v>
      </c>
      <c r="B1194" s="251" t="s">
        <v>1844</v>
      </c>
      <c r="C1194" s="178" t="s">
        <v>2827</v>
      </c>
      <c r="D1194" s="36">
        <v>7297000.0</v>
      </c>
      <c r="E1194" s="36" t="s">
        <v>1683</v>
      </c>
      <c r="F1194" s="178" t="s">
        <v>47</v>
      </c>
    </row>
    <row r="1195">
      <c r="A1195" s="250">
        <v>44889.00095</v>
      </c>
      <c r="B1195" s="251" t="s">
        <v>2824</v>
      </c>
      <c r="C1195" s="178" t="s">
        <v>2775</v>
      </c>
      <c r="D1195" s="36" t="s">
        <v>1683</v>
      </c>
      <c r="E1195" s="36">
        <v>7297000.0</v>
      </c>
      <c r="F1195" s="178" t="s">
        <v>47</v>
      </c>
    </row>
    <row r="1196">
      <c r="A1196" s="250">
        <v>44894.00083</v>
      </c>
      <c r="B1196" s="251" t="s">
        <v>1783</v>
      </c>
      <c r="C1196" s="178" t="s">
        <v>2828</v>
      </c>
      <c r="D1196" s="36">
        <v>217500.0</v>
      </c>
      <c r="E1196" s="36" t="s">
        <v>1683</v>
      </c>
      <c r="F1196" s="178" t="s">
        <v>975</v>
      </c>
    </row>
    <row r="1197">
      <c r="A1197" s="250">
        <v>44894.00083</v>
      </c>
      <c r="B1197" s="251" t="s">
        <v>1684</v>
      </c>
      <c r="C1197" s="178" t="s">
        <v>2829</v>
      </c>
      <c r="D1197" s="36" t="s">
        <v>1683</v>
      </c>
      <c r="E1197" s="36">
        <v>217500.0</v>
      </c>
      <c r="F1197" s="178" t="s">
        <v>975</v>
      </c>
    </row>
    <row r="1198">
      <c r="A1198" s="250">
        <v>44895.00083</v>
      </c>
      <c r="B1198" s="251" t="s">
        <v>2272</v>
      </c>
      <c r="C1198" s="178" t="s">
        <v>2830</v>
      </c>
      <c r="D1198" s="36">
        <v>217500.0</v>
      </c>
      <c r="E1198" s="36" t="s">
        <v>1683</v>
      </c>
      <c r="F1198" s="178" t="s">
        <v>975</v>
      </c>
    </row>
    <row r="1199">
      <c r="A1199" s="250">
        <v>44895.00083</v>
      </c>
      <c r="B1199" s="251" t="s">
        <v>1802</v>
      </c>
      <c r="C1199" s="178" t="s">
        <v>2828</v>
      </c>
      <c r="D1199" s="36" t="s">
        <v>1683</v>
      </c>
      <c r="E1199" s="36">
        <v>217500.0</v>
      </c>
      <c r="F1199" s="178" t="s">
        <v>975</v>
      </c>
    </row>
    <row r="1200">
      <c r="A1200" s="250">
        <v>44920.0004</v>
      </c>
      <c r="B1200" s="251" t="s">
        <v>1783</v>
      </c>
      <c r="C1200" s="178" t="s">
        <v>2831</v>
      </c>
      <c r="D1200" s="36">
        <v>196200.00000000003</v>
      </c>
      <c r="E1200" s="36" t="s">
        <v>1683</v>
      </c>
      <c r="F1200" s="178" t="s">
        <v>946</v>
      </c>
    </row>
    <row r="1201">
      <c r="A1201" s="250">
        <v>44920.0004</v>
      </c>
      <c r="B1201" s="251" t="s">
        <v>1684</v>
      </c>
      <c r="C1201" s="178" t="s">
        <v>2832</v>
      </c>
      <c r="D1201" s="36" t="s">
        <v>1683</v>
      </c>
      <c r="E1201" s="36">
        <v>196200.00000000003</v>
      </c>
      <c r="F1201" s="178" t="s">
        <v>946</v>
      </c>
    </row>
    <row r="1202">
      <c r="A1202" s="250">
        <v>44920.00053</v>
      </c>
      <c r="B1202" s="251" t="s">
        <v>1783</v>
      </c>
      <c r="C1202" s="178" t="s">
        <v>2833</v>
      </c>
      <c r="D1202" s="36">
        <v>272900.0</v>
      </c>
      <c r="E1202" s="36" t="s">
        <v>1683</v>
      </c>
      <c r="F1202" s="178" t="s">
        <v>161</v>
      </c>
    </row>
    <row r="1203">
      <c r="A1203" s="250">
        <v>44920.00053</v>
      </c>
      <c r="B1203" s="251" t="s">
        <v>1684</v>
      </c>
      <c r="C1203" s="178" t="s">
        <v>2834</v>
      </c>
      <c r="D1203" s="36" t="s">
        <v>1683</v>
      </c>
      <c r="E1203" s="36">
        <v>272900.0</v>
      </c>
      <c r="F1203" s="178" t="s">
        <v>161</v>
      </c>
    </row>
    <row r="1204">
      <c r="A1204" s="250">
        <v>44920.00058</v>
      </c>
      <c r="B1204" s="251" t="s">
        <v>1783</v>
      </c>
      <c r="C1204" s="178" t="s">
        <v>2835</v>
      </c>
      <c r="D1204" s="36">
        <v>50000.0</v>
      </c>
      <c r="E1204" s="36" t="s">
        <v>1683</v>
      </c>
      <c r="F1204" s="178" t="s">
        <v>159</v>
      </c>
    </row>
    <row r="1205">
      <c r="A1205" s="250">
        <v>44920.00058</v>
      </c>
      <c r="B1205" s="251" t="s">
        <v>1684</v>
      </c>
      <c r="C1205" s="178" t="s">
        <v>2836</v>
      </c>
      <c r="D1205" s="36" t="s">
        <v>1683</v>
      </c>
      <c r="E1205" s="36">
        <v>50000.0</v>
      </c>
      <c r="F1205" s="178" t="s">
        <v>159</v>
      </c>
    </row>
    <row r="1206">
      <c r="A1206" s="250">
        <v>44920.00094</v>
      </c>
      <c r="B1206" s="251" t="s">
        <v>1783</v>
      </c>
      <c r="C1206" s="178" t="s">
        <v>2837</v>
      </c>
      <c r="D1206" s="36">
        <v>55000.0</v>
      </c>
      <c r="E1206" s="36" t="s">
        <v>1683</v>
      </c>
      <c r="F1206" s="178" t="s">
        <v>159</v>
      </c>
    </row>
    <row r="1207">
      <c r="A1207" s="250">
        <v>44920.00094</v>
      </c>
      <c r="B1207" s="251" t="s">
        <v>1684</v>
      </c>
      <c r="C1207" s="178" t="s">
        <v>2838</v>
      </c>
      <c r="D1207" s="36" t="s">
        <v>1683</v>
      </c>
      <c r="E1207" s="36">
        <v>55000.0</v>
      </c>
      <c r="F1207" s="178" t="s">
        <v>159</v>
      </c>
    </row>
    <row r="1208">
      <c r="A1208" s="250">
        <v>44921.00005</v>
      </c>
      <c r="B1208" s="251" t="s">
        <v>2839</v>
      </c>
      <c r="C1208" s="178" t="s">
        <v>2840</v>
      </c>
      <c r="D1208" s="36">
        <v>4820357.142857143</v>
      </c>
      <c r="E1208" s="36" t="s">
        <v>1683</v>
      </c>
      <c r="F1208" s="178" t="s">
        <v>47</v>
      </c>
    </row>
    <row r="1209">
      <c r="A1209" s="250">
        <v>44921.00005</v>
      </c>
      <c r="B1209" s="251" t="s">
        <v>2824</v>
      </c>
      <c r="C1209" s="178" t="s">
        <v>2809</v>
      </c>
      <c r="D1209" s="36" t="s">
        <v>1683</v>
      </c>
      <c r="E1209" s="36">
        <v>4820357.142857143</v>
      </c>
      <c r="F1209" s="178" t="s">
        <v>47</v>
      </c>
    </row>
    <row r="1210">
      <c r="A1210" s="250">
        <v>44921.00017</v>
      </c>
      <c r="B1210" s="251" t="s">
        <v>2841</v>
      </c>
      <c r="C1210" s="178" t="s">
        <v>2842</v>
      </c>
      <c r="D1210" s="36">
        <v>2600357.142857143</v>
      </c>
      <c r="E1210" s="36" t="s">
        <v>1683</v>
      </c>
      <c r="F1210" s="178" t="s">
        <v>47</v>
      </c>
    </row>
    <row r="1211">
      <c r="A1211" s="250">
        <v>44921.00017</v>
      </c>
      <c r="B1211" s="251" t="s">
        <v>2824</v>
      </c>
      <c r="C1211" s="178" t="s">
        <v>2811</v>
      </c>
      <c r="D1211" s="36" t="s">
        <v>1683</v>
      </c>
      <c r="E1211" s="36">
        <v>2600357.142857143</v>
      </c>
      <c r="F1211" s="178" t="s">
        <v>47</v>
      </c>
    </row>
    <row r="1212">
      <c r="A1212" s="250">
        <v>44921.0003</v>
      </c>
      <c r="B1212" s="251" t="s">
        <v>2000</v>
      </c>
      <c r="C1212" s="178" t="s">
        <v>2843</v>
      </c>
      <c r="D1212" s="36">
        <v>910357.1428571428</v>
      </c>
      <c r="E1212" s="36" t="s">
        <v>1683</v>
      </c>
      <c r="F1212" s="178" t="s">
        <v>47</v>
      </c>
    </row>
    <row r="1213">
      <c r="A1213" s="250">
        <v>44921.0003</v>
      </c>
      <c r="B1213" s="251" t="s">
        <v>2824</v>
      </c>
      <c r="C1213" s="178" t="s">
        <v>2813</v>
      </c>
      <c r="D1213" s="36" t="s">
        <v>1683</v>
      </c>
      <c r="E1213" s="36">
        <v>910357.1428571428</v>
      </c>
      <c r="F1213" s="178" t="s">
        <v>47</v>
      </c>
    </row>
    <row r="1214">
      <c r="A1214" s="250">
        <v>44921.00036</v>
      </c>
      <c r="B1214" s="251" t="s">
        <v>2844</v>
      </c>
      <c r="C1214" s="178" t="s">
        <v>2845</v>
      </c>
      <c r="D1214" s="36">
        <v>2480357.142857143</v>
      </c>
      <c r="E1214" s="36" t="s">
        <v>1683</v>
      </c>
      <c r="F1214" s="178" t="s">
        <v>47</v>
      </c>
    </row>
    <row r="1215">
      <c r="A1215" s="250">
        <v>44921.00036</v>
      </c>
      <c r="B1215" s="251" t="s">
        <v>2824</v>
      </c>
      <c r="C1215" s="178" t="s">
        <v>2815</v>
      </c>
      <c r="D1215" s="36" t="s">
        <v>1683</v>
      </c>
      <c r="E1215" s="36">
        <v>2480357.142857143</v>
      </c>
      <c r="F1215" s="178" t="s">
        <v>47</v>
      </c>
    </row>
    <row r="1216">
      <c r="A1216" s="250">
        <v>44921.00042</v>
      </c>
      <c r="B1216" s="251" t="s">
        <v>2685</v>
      </c>
      <c r="C1216" s="178" t="s">
        <v>2846</v>
      </c>
      <c r="D1216" s="36">
        <v>2060357.142857143</v>
      </c>
      <c r="E1216" s="36" t="s">
        <v>1683</v>
      </c>
      <c r="F1216" s="178" t="s">
        <v>47</v>
      </c>
    </row>
    <row r="1217">
      <c r="A1217" s="250">
        <v>44921.00042</v>
      </c>
      <c r="B1217" s="251" t="s">
        <v>2824</v>
      </c>
      <c r="C1217" s="178" t="s">
        <v>2817</v>
      </c>
      <c r="D1217" s="36" t="s">
        <v>1683</v>
      </c>
      <c r="E1217" s="36">
        <v>2060357.142857143</v>
      </c>
      <c r="F1217" s="178" t="s">
        <v>47</v>
      </c>
    </row>
    <row r="1218">
      <c r="A1218" s="250">
        <v>44921.0005</v>
      </c>
      <c r="B1218" s="251" t="s">
        <v>2489</v>
      </c>
      <c r="C1218" s="178" t="s">
        <v>2847</v>
      </c>
      <c r="D1218" s="36">
        <v>2750357.142857143</v>
      </c>
      <c r="E1218" s="36" t="s">
        <v>1683</v>
      </c>
      <c r="F1218" s="178" t="s">
        <v>47</v>
      </c>
    </row>
    <row r="1219">
      <c r="A1219" s="250">
        <v>44921.0005</v>
      </c>
      <c r="B1219" s="251" t="s">
        <v>2824</v>
      </c>
      <c r="C1219" s="178" t="s">
        <v>2819</v>
      </c>
      <c r="D1219" s="36" t="s">
        <v>1683</v>
      </c>
      <c r="E1219" s="36">
        <v>2750357.142857143</v>
      </c>
      <c r="F1219" s="178" t="s">
        <v>47</v>
      </c>
    </row>
    <row r="1220">
      <c r="A1220" s="250">
        <v>44921.00069</v>
      </c>
      <c r="B1220" s="251" t="s">
        <v>2848</v>
      </c>
      <c r="C1220" s="178" t="s">
        <v>2849</v>
      </c>
      <c r="D1220" s="36">
        <v>5762357.142857143</v>
      </c>
      <c r="E1220" s="36" t="s">
        <v>1683</v>
      </c>
      <c r="F1220" s="178" t="s">
        <v>47</v>
      </c>
    </row>
    <row r="1221">
      <c r="A1221" s="250">
        <v>44921.00069</v>
      </c>
      <c r="B1221" s="251" t="s">
        <v>2824</v>
      </c>
      <c r="C1221" s="178" t="s">
        <v>2821</v>
      </c>
      <c r="D1221" s="36" t="s">
        <v>1683</v>
      </c>
      <c r="E1221" s="36">
        <v>5762357.142857143</v>
      </c>
      <c r="F1221" s="178" t="s">
        <v>47</v>
      </c>
    </row>
    <row r="1222">
      <c r="A1222" s="250">
        <v>44922.0004</v>
      </c>
      <c r="B1222" s="251" t="s">
        <v>1846</v>
      </c>
      <c r="C1222" s="178" t="s">
        <v>2850</v>
      </c>
      <c r="D1222" s="36">
        <v>196200.00000000003</v>
      </c>
      <c r="E1222" s="36" t="s">
        <v>1683</v>
      </c>
      <c r="F1222" s="178" t="s">
        <v>946</v>
      </c>
    </row>
    <row r="1223">
      <c r="A1223" s="250">
        <v>44922.0004</v>
      </c>
      <c r="B1223" s="251" t="s">
        <v>1802</v>
      </c>
      <c r="C1223" s="178" t="s">
        <v>2831</v>
      </c>
      <c r="D1223" s="36" t="s">
        <v>1683</v>
      </c>
      <c r="E1223" s="36">
        <v>196200.00000000003</v>
      </c>
      <c r="F1223" s="178" t="s">
        <v>946</v>
      </c>
    </row>
    <row r="1224">
      <c r="A1224" s="250">
        <v>44922.00053</v>
      </c>
      <c r="B1224" s="251" t="s">
        <v>1839</v>
      </c>
      <c r="C1224" s="178" t="s">
        <v>2851</v>
      </c>
      <c r="D1224" s="36">
        <v>272900.0</v>
      </c>
      <c r="E1224" s="36" t="s">
        <v>1683</v>
      </c>
      <c r="F1224" s="178" t="s">
        <v>161</v>
      </c>
    </row>
    <row r="1225">
      <c r="A1225" s="250">
        <v>44922.00053</v>
      </c>
      <c r="B1225" s="251" t="s">
        <v>1802</v>
      </c>
      <c r="C1225" s="178" t="s">
        <v>2833</v>
      </c>
      <c r="D1225" s="36" t="s">
        <v>1683</v>
      </c>
      <c r="E1225" s="36">
        <v>272900.0</v>
      </c>
      <c r="F1225" s="178" t="s">
        <v>161</v>
      </c>
    </row>
    <row r="1226">
      <c r="A1226" s="250">
        <v>44922.00094</v>
      </c>
      <c r="B1226" s="251" t="s">
        <v>1844</v>
      </c>
      <c r="C1226" s="178" t="s">
        <v>2852</v>
      </c>
      <c r="D1226" s="36">
        <v>55000.0</v>
      </c>
      <c r="E1226" s="36" t="s">
        <v>1683</v>
      </c>
      <c r="F1226" s="178" t="s">
        <v>159</v>
      </c>
    </row>
    <row r="1227">
      <c r="A1227" s="250">
        <v>44922.00094</v>
      </c>
      <c r="B1227" s="251" t="s">
        <v>1802</v>
      </c>
      <c r="C1227" s="178" t="s">
        <v>2837</v>
      </c>
      <c r="D1227" s="36" t="s">
        <v>1683</v>
      </c>
      <c r="E1227" s="36">
        <v>55000.0</v>
      </c>
      <c r="F1227" s="178" t="s">
        <v>159</v>
      </c>
    </row>
    <row r="1228">
      <c r="A1228" s="250">
        <v>44924.00064</v>
      </c>
      <c r="B1228" s="251" t="s">
        <v>2853</v>
      </c>
      <c r="C1228" s="178" t="s">
        <v>2854</v>
      </c>
      <c r="D1228" s="36">
        <v>1920.785714285714</v>
      </c>
      <c r="E1228" s="36" t="s">
        <v>1683</v>
      </c>
      <c r="F1228" s="178" t="s">
        <v>1683</v>
      </c>
    </row>
    <row r="1229">
      <c r="A1229" s="250">
        <v>44924.00064</v>
      </c>
      <c r="B1229" s="251" t="s">
        <v>2855</v>
      </c>
      <c r="C1229" s="178" t="s">
        <v>2856</v>
      </c>
      <c r="D1229" s="36" t="s">
        <v>1683</v>
      </c>
      <c r="E1229" s="36">
        <v>1920.785714285714</v>
      </c>
      <c r="F1229" s="178" t="s">
        <v>1683</v>
      </c>
    </row>
    <row r="1230">
      <c r="A1230" s="250">
        <v>44926.00058</v>
      </c>
      <c r="B1230" s="251" t="s">
        <v>2857</v>
      </c>
      <c r="C1230" s="178" t="s">
        <v>2858</v>
      </c>
      <c r="D1230" s="36">
        <v>50000.0</v>
      </c>
      <c r="E1230" s="36" t="s">
        <v>1683</v>
      </c>
      <c r="F1230" s="178" t="s">
        <v>159</v>
      </c>
    </row>
    <row r="1231">
      <c r="A1231" s="250">
        <v>44926.00058</v>
      </c>
      <c r="B1231" s="251" t="s">
        <v>1802</v>
      </c>
      <c r="C1231" s="178" t="s">
        <v>2835</v>
      </c>
      <c r="D1231" s="36" t="s">
        <v>1683</v>
      </c>
      <c r="E1231" s="36">
        <v>50000.0</v>
      </c>
      <c r="F1231" s="178" t="s">
        <v>159</v>
      </c>
    </row>
    <row r="1232">
      <c r="A1232" s="250">
        <v>44944.00022</v>
      </c>
      <c r="B1232" s="251" t="s">
        <v>1783</v>
      </c>
      <c r="C1232" s="178" t="s">
        <v>2859</v>
      </c>
      <c r="D1232" s="36">
        <v>62600.0</v>
      </c>
      <c r="E1232" s="36" t="s">
        <v>1683</v>
      </c>
      <c r="F1232" s="178" t="s">
        <v>159</v>
      </c>
    </row>
    <row r="1233">
      <c r="A1233" s="250">
        <v>44944.00022</v>
      </c>
      <c r="B1233" s="251" t="s">
        <v>1684</v>
      </c>
      <c r="C1233" s="178" t="s">
        <v>2860</v>
      </c>
      <c r="D1233" s="36" t="s">
        <v>1683</v>
      </c>
      <c r="E1233" s="36">
        <v>62600.0</v>
      </c>
      <c r="F1233" s="178" t="s">
        <v>159</v>
      </c>
    </row>
    <row r="1234">
      <c r="A1234" s="250">
        <v>44947.00022</v>
      </c>
      <c r="B1234" s="251" t="s">
        <v>2497</v>
      </c>
      <c r="C1234" s="178" t="s">
        <v>2861</v>
      </c>
      <c r="D1234" s="36">
        <v>62600.0</v>
      </c>
      <c r="E1234" s="36" t="s">
        <v>1683</v>
      </c>
      <c r="F1234" s="178" t="s">
        <v>159</v>
      </c>
    </row>
    <row r="1235">
      <c r="A1235" s="250">
        <v>44947.00022</v>
      </c>
      <c r="B1235" s="251" t="s">
        <v>1802</v>
      </c>
      <c r="C1235" s="178" t="s">
        <v>2859</v>
      </c>
      <c r="D1235" s="36" t="s">
        <v>1683</v>
      </c>
      <c r="E1235" s="36">
        <v>62600.0</v>
      </c>
      <c r="F1235" s="178" t="s">
        <v>159</v>
      </c>
    </row>
    <row r="1236">
      <c r="A1236" s="250">
        <v>44952.00093</v>
      </c>
      <c r="B1236" s="251" t="s">
        <v>1783</v>
      </c>
      <c r="C1236" s="178" t="s">
        <v>2862</v>
      </c>
      <c r="D1236" s="36">
        <v>117700.0</v>
      </c>
      <c r="E1236" s="36" t="s">
        <v>1683</v>
      </c>
      <c r="F1236" s="178" t="s">
        <v>159</v>
      </c>
    </row>
    <row r="1237">
      <c r="A1237" s="250">
        <v>44952.00093</v>
      </c>
      <c r="B1237" s="251" t="s">
        <v>1684</v>
      </c>
      <c r="C1237" s="178" t="s">
        <v>2863</v>
      </c>
      <c r="D1237" s="36" t="s">
        <v>1683</v>
      </c>
      <c r="E1237" s="36">
        <v>117700.0</v>
      </c>
      <c r="F1237" s="178" t="s">
        <v>159</v>
      </c>
    </row>
    <row r="1238">
      <c r="A1238" s="250">
        <v>44954.00031</v>
      </c>
      <c r="B1238" s="251" t="s">
        <v>1640</v>
      </c>
      <c r="C1238" s="178" t="s">
        <v>2864</v>
      </c>
      <c r="D1238" s="36">
        <v>12500.0</v>
      </c>
      <c r="E1238" s="36" t="s">
        <v>1683</v>
      </c>
      <c r="F1238" s="178" t="s">
        <v>2865</v>
      </c>
    </row>
    <row r="1239">
      <c r="A1239" s="250">
        <v>44954.00031</v>
      </c>
      <c r="B1239" s="251" t="s">
        <v>1684</v>
      </c>
      <c r="C1239" s="178" t="s">
        <v>2866</v>
      </c>
      <c r="D1239" s="36" t="s">
        <v>1683</v>
      </c>
      <c r="E1239" s="36">
        <v>12500.0</v>
      </c>
      <c r="F1239" s="178" t="s">
        <v>2865</v>
      </c>
    </row>
    <row r="1240">
      <c r="A1240" s="250">
        <v>44954.00032</v>
      </c>
      <c r="B1240" s="251" t="s">
        <v>1611</v>
      </c>
      <c r="C1240" s="178" t="s">
        <v>2867</v>
      </c>
      <c r="D1240" s="36">
        <v>40000.0</v>
      </c>
      <c r="E1240" s="36" t="s">
        <v>1683</v>
      </c>
      <c r="F1240" s="178" t="s">
        <v>2868</v>
      </c>
    </row>
    <row r="1241">
      <c r="A1241" s="250">
        <v>44954.00032</v>
      </c>
      <c r="B1241" s="251" t="s">
        <v>1684</v>
      </c>
      <c r="C1241" s="178" t="s">
        <v>2869</v>
      </c>
      <c r="D1241" s="36" t="s">
        <v>1683</v>
      </c>
      <c r="E1241" s="36">
        <v>40000.0</v>
      </c>
      <c r="F1241" s="178" t="s">
        <v>2868</v>
      </c>
    </row>
    <row r="1242">
      <c r="A1242" s="250">
        <v>44961.00093</v>
      </c>
      <c r="B1242" s="251" t="s">
        <v>1958</v>
      </c>
      <c r="C1242" s="178" t="s">
        <v>2870</v>
      </c>
      <c r="D1242" s="36">
        <v>117700.0</v>
      </c>
      <c r="E1242" s="36" t="s">
        <v>1683</v>
      </c>
      <c r="F1242" s="178" t="s">
        <v>159</v>
      </c>
    </row>
    <row r="1243">
      <c r="A1243" s="250">
        <v>44961.00093</v>
      </c>
      <c r="B1243" s="251" t="s">
        <v>1802</v>
      </c>
      <c r="C1243" s="178" t="s">
        <v>2862</v>
      </c>
      <c r="D1243" s="36" t="s">
        <v>1683</v>
      </c>
      <c r="E1243" s="36">
        <v>117700.0</v>
      </c>
      <c r="F1243" s="178" t="s">
        <v>159</v>
      </c>
    </row>
    <row r="1244">
      <c r="A1244" s="250">
        <v>44965.00021</v>
      </c>
      <c r="B1244" s="251" t="s">
        <v>1783</v>
      </c>
      <c r="C1244" s="178" t="s">
        <v>2871</v>
      </c>
      <c r="D1244" s="36">
        <v>62600.0</v>
      </c>
      <c r="E1244" s="36" t="s">
        <v>1683</v>
      </c>
      <c r="F1244" s="178" t="s">
        <v>159</v>
      </c>
    </row>
    <row r="1245">
      <c r="A1245" s="250">
        <v>44965.00021</v>
      </c>
      <c r="B1245" s="251" t="s">
        <v>1684</v>
      </c>
      <c r="C1245" s="178" t="s">
        <v>2872</v>
      </c>
      <c r="D1245" s="36" t="s">
        <v>1683</v>
      </c>
      <c r="E1245" s="36">
        <v>62600.0</v>
      </c>
      <c r="F1245" s="178" t="s">
        <v>159</v>
      </c>
    </row>
    <row r="1246">
      <c r="A1246" s="250">
        <v>44965.00034</v>
      </c>
      <c r="B1246" s="251" t="s">
        <v>1607</v>
      </c>
      <c r="C1246" s="178" t="s">
        <v>2873</v>
      </c>
      <c r="D1246" s="36">
        <v>53500.0</v>
      </c>
      <c r="E1246" s="36" t="s">
        <v>1683</v>
      </c>
      <c r="F1246" s="178" t="s">
        <v>2874</v>
      </c>
    </row>
    <row r="1247">
      <c r="A1247" s="250">
        <v>44965.00034</v>
      </c>
      <c r="B1247" s="251" t="s">
        <v>1684</v>
      </c>
      <c r="C1247" s="178" t="s">
        <v>2875</v>
      </c>
      <c r="D1247" s="36" t="s">
        <v>1683</v>
      </c>
      <c r="E1247" s="36">
        <v>53500.0</v>
      </c>
      <c r="F1247" s="178" t="s">
        <v>2874</v>
      </c>
    </row>
    <row r="1248">
      <c r="A1248" s="250">
        <v>44970.00021</v>
      </c>
      <c r="B1248" s="251" t="s">
        <v>2497</v>
      </c>
      <c r="C1248" s="178" t="s">
        <v>2876</v>
      </c>
      <c r="D1248" s="36">
        <v>62600.0</v>
      </c>
      <c r="E1248" s="36" t="s">
        <v>1683</v>
      </c>
      <c r="F1248" s="178" t="s">
        <v>159</v>
      </c>
    </row>
    <row r="1249">
      <c r="A1249" s="250">
        <v>44970.00021</v>
      </c>
      <c r="B1249" s="251" t="s">
        <v>1802</v>
      </c>
      <c r="C1249" s="178" t="s">
        <v>2871</v>
      </c>
      <c r="D1249" s="36" t="s">
        <v>1683</v>
      </c>
      <c r="E1249" s="36">
        <v>62600.0</v>
      </c>
      <c r="F1249" s="178" t="s">
        <v>159</v>
      </c>
    </row>
    <row r="1250">
      <c r="A1250" s="250">
        <v>44979.00035</v>
      </c>
      <c r="B1250" s="251" t="s">
        <v>1609</v>
      </c>
      <c r="C1250" s="178" t="s">
        <v>2877</v>
      </c>
      <c r="D1250" s="36">
        <v>10916.0</v>
      </c>
      <c r="E1250" s="36" t="s">
        <v>1683</v>
      </c>
      <c r="F1250" s="178" t="s">
        <v>1644</v>
      </c>
    </row>
    <row r="1251">
      <c r="A1251" s="250">
        <v>44979.00035</v>
      </c>
      <c r="B1251" s="251" t="s">
        <v>1684</v>
      </c>
      <c r="C1251" s="178" t="s">
        <v>2878</v>
      </c>
      <c r="D1251" s="36" t="s">
        <v>1683</v>
      </c>
      <c r="E1251" s="36">
        <v>10916.0</v>
      </c>
      <c r="F1251" s="178" t="s">
        <v>1644</v>
      </c>
    </row>
    <row r="1252">
      <c r="A1252" s="250">
        <v>44984.00037</v>
      </c>
      <c r="B1252" s="251" t="s">
        <v>1613</v>
      </c>
      <c r="C1252" s="178" t="s">
        <v>2879</v>
      </c>
      <c r="D1252" s="36">
        <v>21400.0</v>
      </c>
      <c r="E1252" s="36" t="s">
        <v>1683</v>
      </c>
      <c r="F1252" s="178" t="s">
        <v>2880</v>
      </c>
    </row>
    <row r="1253">
      <c r="A1253" s="250">
        <v>44984.00037</v>
      </c>
      <c r="B1253" s="251" t="s">
        <v>1684</v>
      </c>
      <c r="C1253" s="178" t="s">
        <v>2881</v>
      </c>
      <c r="D1253" s="36" t="s">
        <v>1683</v>
      </c>
      <c r="E1253" s="36">
        <v>21400.0</v>
      </c>
      <c r="F1253" s="178" t="s">
        <v>2880</v>
      </c>
    </row>
    <row r="1254">
      <c r="A1254" s="250">
        <v>44984.92982666667</v>
      </c>
      <c r="B1254" s="251" t="s">
        <v>2728</v>
      </c>
      <c r="C1254" s="178" t="s">
        <v>2882</v>
      </c>
      <c r="D1254" s="36">
        <v>43664.0</v>
      </c>
      <c r="E1254" s="36" t="s">
        <v>1683</v>
      </c>
      <c r="F1254" s="178" t="s">
        <v>1683</v>
      </c>
    </row>
    <row r="1255">
      <c r="A1255" s="250">
        <v>44984.92982666667</v>
      </c>
      <c r="B1255" s="251" t="s">
        <v>2730</v>
      </c>
      <c r="C1255" s="178" t="s">
        <v>2883</v>
      </c>
      <c r="D1255" s="36" t="s">
        <v>1683</v>
      </c>
      <c r="E1255" s="36">
        <v>43664.0</v>
      </c>
      <c r="F1255" s="178" t="s">
        <v>1683</v>
      </c>
    </row>
    <row r="1256">
      <c r="A1256" s="250">
        <v>44988.477799722226</v>
      </c>
      <c r="B1256" s="251" t="s">
        <v>1783</v>
      </c>
      <c r="C1256" s="178" t="s">
        <v>2884</v>
      </c>
      <c r="D1256" s="36">
        <v>49400.00000000001</v>
      </c>
      <c r="E1256" s="36" t="s">
        <v>1683</v>
      </c>
      <c r="F1256" s="178" t="s">
        <v>159</v>
      </c>
    </row>
    <row r="1257">
      <c r="A1257" s="250">
        <v>44988.477799722226</v>
      </c>
      <c r="B1257" s="251" t="s">
        <v>1684</v>
      </c>
      <c r="C1257" s="178" t="s">
        <v>2885</v>
      </c>
      <c r="D1257" s="36" t="s">
        <v>1683</v>
      </c>
      <c r="E1257" s="36">
        <v>49400.00000000001</v>
      </c>
      <c r="F1257" s="178" t="s">
        <v>159</v>
      </c>
    </row>
    <row r="1258">
      <c r="A1258" s="250">
        <v>44988.477813425925</v>
      </c>
      <c r="B1258" s="251" t="s">
        <v>1783</v>
      </c>
      <c r="C1258" s="178" t="s">
        <v>2886</v>
      </c>
      <c r="D1258" s="36">
        <v>41000.0</v>
      </c>
      <c r="E1258" s="36" t="s">
        <v>1683</v>
      </c>
      <c r="F1258" s="178" t="s">
        <v>159</v>
      </c>
    </row>
    <row r="1259">
      <c r="A1259" s="250">
        <v>44988.477813425925</v>
      </c>
      <c r="B1259" s="251" t="s">
        <v>1684</v>
      </c>
      <c r="C1259" s="178" t="s">
        <v>2887</v>
      </c>
      <c r="D1259" s="36" t="s">
        <v>1683</v>
      </c>
      <c r="E1259" s="36">
        <v>41000.0</v>
      </c>
      <c r="F1259" s="178" t="s">
        <v>159</v>
      </c>
    </row>
    <row r="1260">
      <c r="A1260" s="250">
        <v>44990.802253333335</v>
      </c>
      <c r="B1260" s="251" t="s">
        <v>1783</v>
      </c>
      <c r="C1260" s="178" t="s">
        <v>2888</v>
      </c>
      <c r="D1260" s="36">
        <v>313581.0</v>
      </c>
      <c r="E1260" s="36" t="s">
        <v>1683</v>
      </c>
      <c r="F1260" s="178" t="s">
        <v>44</v>
      </c>
    </row>
    <row r="1261">
      <c r="A1261" s="250">
        <v>44990.802253333335</v>
      </c>
      <c r="B1261" s="251" t="s">
        <v>1684</v>
      </c>
      <c r="C1261" s="178" t="s">
        <v>2889</v>
      </c>
      <c r="D1261" s="36" t="s">
        <v>1683</v>
      </c>
      <c r="E1261" s="36">
        <v>313581.0</v>
      </c>
      <c r="F1261" s="178" t="s">
        <v>44</v>
      </c>
    </row>
    <row r="1262">
      <c r="A1262" s="250">
        <v>44990.80502111111</v>
      </c>
      <c r="B1262" s="251" t="s">
        <v>1783</v>
      </c>
      <c r="C1262" s="178" t="s">
        <v>2890</v>
      </c>
      <c r="D1262" s="36">
        <v>318564.0</v>
      </c>
      <c r="E1262" s="36" t="s">
        <v>1683</v>
      </c>
      <c r="F1262" s="178" t="s">
        <v>44</v>
      </c>
    </row>
    <row r="1263">
      <c r="A1263" s="250">
        <v>44990.80502111111</v>
      </c>
      <c r="B1263" s="251" t="s">
        <v>1684</v>
      </c>
      <c r="C1263" s="178" t="s">
        <v>2891</v>
      </c>
      <c r="D1263" s="36" t="s">
        <v>1683</v>
      </c>
      <c r="E1263" s="36">
        <v>318564.0</v>
      </c>
      <c r="F1263" s="178" t="s">
        <v>44</v>
      </c>
    </row>
    <row r="1264">
      <c r="A1264" s="250">
        <v>44991.00082</v>
      </c>
      <c r="B1264" s="251" t="s">
        <v>2272</v>
      </c>
      <c r="C1264" s="178" t="s">
        <v>2892</v>
      </c>
      <c r="D1264" s="36">
        <v>49400.00000000001</v>
      </c>
      <c r="E1264" s="36" t="s">
        <v>1683</v>
      </c>
      <c r="F1264" s="178" t="s">
        <v>159</v>
      </c>
    </row>
    <row r="1265">
      <c r="A1265" s="250">
        <v>44991.00082</v>
      </c>
      <c r="B1265" s="251" t="s">
        <v>1802</v>
      </c>
      <c r="C1265" s="178" t="s">
        <v>2884</v>
      </c>
      <c r="D1265" s="36" t="s">
        <v>1683</v>
      </c>
      <c r="E1265" s="36">
        <v>49400.00000000001</v>
      </c>
      <c r="F1265" s="178" t="s">
        <v>159</v>
      </c>
    </row>
    <row r="1266">
      <c r="A1266" s="250">
        <v>44992.00081</v>
      </c>
      <c r="B1266" s="251" t="s">
        <v>2272</v>
      </c>
      <c r="C1266" s="178" t="s">
        <v>2893</v>
      </c>
      <c r="D1266" s="36">
        <v>41000.0</v>
      </c>
      <c r="E1266" s="36" t="s">
        <v>1683</v>
      </c>
      <c r="F1266" s="178" t="s">
        <v>159</v>
      </c>
    </row>
    <row r="1267">
      <c r="A1267" s="250">
        <v>44992.00081</v>
      </c>
      <c r="B1267" s="251" t="s">
        <v>1802</v>
      </c>
      <c r="C1267" s="178" t="s">
        <v>2886</v>
      </c>
      <c r="D1267" s="36" t="s">
        <v>1683</v>
      </c>
      <c r="E1267" s="36">
        <v>41000.0</v>
      </c>
      <c r="F1267" s="178" t="s">
        <v>159</v>
      </c>
    </row>
    <row r="1268">
      <c r="A1268" s="250">
        <v>45002.00049</v>
      </c>
      <c r="B1268" s="251" t="s">
        <v>2766</v>
      </c>
      <c r="C1268" s="178" t="s">
        <v>2894</v>
      </c>
      <c r="D1268" s="36">
        <v>4700000.0</v>
      </c>
      <c r="E1268" s="36" t="s">
        <v>1683</v>
      </c>
      <c r="F1268" s="178"/>
    </row>
    <row r="1269">
      <c r="A1269" s="250">
        <v>45002.00049</v>
      </c>
      <c r="B1269" s="251" t="s">
        <v>1684</v>
      </c>
      <c r="C1269" s="178" t="s">
        <v>2895</v>
      </c>
      <c r="D1269" s="36" t="s">
        <v>1683</v>
      </c>
      <c r="E1269" s="36">
        <v>4700000.0</v>
      </c>
      <c r="F1269" s="178"/>
    </row>
    <row r="1270">
      <c r="A1270" s="250">
        <v>45002.0005</v>
      </c>
      <c r="B1270" s="251" t="s">
        <v>2766</v>
      </c>
      <c r="C1270" s="178" t="s">
        <v>2896</v>
      </c>
      <c r="D1270" s="36">
        <v>2893000.0</v>
      </c>
      <c r="E1270" s="36" t="s">
        <v>1683</v>
      </c>
      <c r="F1270" s="178"/>
    </row>
    <row r="1271">
      <c r="A1271" s="250">
        <v>45002.0005</v>
      </c>
      <c r="B1271" s="251" t="s">
        <v>1684</v>
      </c>
      <c r="C1271" s="178" t="s">
        <v>2897</v>
      </c>
      <c r="D1271" s="36" t="s">
        <v>1683</v>
      </c>
      <c r="E1271" s="36">
        <v>2893000.0</v>
      </c>
      <c r="F1271" s="178"/>
    </row>
    <row r="1272">
      <c r="A1272" s="250">
        <v>45002.00066</v>
      </c>
      <c r="B1272" s="251" t="s">
        <v>2766</v>
      </c>
      <c r="C1272" s="178" t="s">
        <v>2898</v>
      </c>
      <c r="D1272" s="36">
        <v>2893000.0</v>
      </c>
      <c r="E1272" s="36" t="s">
        <v>1683</v>
      </c>
      <c r="F1272" s="178"/>
    </row>
    <row r="1273">
      <c r="A1273" s="250">
        <v>45002.00066</v>
      </c>
      <c r="B1273" s="251" t="s">
        <v>1684</v>
      </c>
      <c r="C1273" s="178" t="s">
        <v>2899</v>
      </c>
      <c r="D1273" s="36" t="s">
        <v>1683</v>
      </c>
      <c r="E1273" s="36">
        <v>2893000.0</v>
      </c>
      <c r="F1273" s="178"/>
    </row>
    <row r="1274">
      <c r="A1274" s="250">
        <v>45002.00073</v>
      </c>
      <c r="B1274" s="251" t="s">
        <v>2766</v>
      </c>
      <c r="C1274" s="178" t="s">
        <v>2900</v>
      </c>
      <c r="D1274" s="36">
        <v>2970000.0000000005</v>
      </c>
      <c r="E1274" s="36" t="s">
        <v>1683</v>
      </c>
      <c r="F1274" s="178"/>
    </row>
    <row r="1275">
      <c r="A1275" s="250">
        <v>45002.00073</v>
      </c>
      <c r="B1275" s="251" t="s">
        <v>1684</v>
      </c>
      <c r="C1275" s="178" t="s">
        <v>2901</v>
      </c>
      <c r="D1275" s="36" t="s">
        <v>1683</v>
      </c>
      <c r="E1275" s="36">
        <v>2970000.0000000005</v>
      </c>
      <c r="F1275" s="178"/>
    </row>
    <row r="1276">
      <c r="A1276" s="250">
        <v>45004.00068</v>
      </c>
      <c r="B1276" s="251" t="s">
        <v>2650</v>
      </c>
      <c r="C1276" s="178" t="s">
        <v>2902</v>
      </c>
      <c r="D1276" s="36">
        <v>1765.5</v>
      </c>
      <c r="E1276" s="36" t="s">
        <v>1683</v>
      </c>
      <c r="F1276" s="178" t="s">
        <v>1683</v>
      </c>
    </row>
    <row r="1277">
      <c r="A1277" s="250">
        <v>45004.00068</v>
      </c>
      <c r="B1277" s="251" t="s">
        <v>2652</v>
      </c>
      <c r="C1277" s="178" t="s">
        <v>2903</v>
      </c>
      <c r="D1277" s="36" t="s">
        <v>1683</v>
      </c>
      <c r="E1277" s="36">
        <v>1765.5</v>
      </c>
      <c r="F1277" s="178" t="s">
        <v>1683</v>
      </c>
    </row>
    <row r="1278">
      <c r="A1278" s="250">
        <v>45005.00039</v>
      </c>
      <c r="B1278" s="251" t="s">
        <v>1611</v>
      </c>
      <c r="C1278" s="178" t="s">
        <v>2904</v>
      </c>
      <c r="D1278" s="36">
        <v>51050.0</v>
      </c>
      <c r="E1278" s="36" t="s">
        <v>1683</v>
      </c>
      <c r="F1278" s="178" t="s">
        <v>1646</v>
      </c>
    </row>
    <row r="1279">
      <c r="A1279" s="250">
        <v>45005.00039</v>
      </c>
      <c r="B1279" s="251" t="s">
        <v>1684</v>
      </c>
      <c r="C1279" s="178" t="s">
        <v>2905</v>
      </c>
      <c r="D1279" s="36" t="s">
        <v>1683</v>
      </c>
      <c r="E1279" s="36">
        <v>51050.0</v>
      </c>
      <c r="F1279" s="178" t="s">
        <v>1646</v>
      </c>
    </row>
    <row r="1280">
      <c r="A1280" s="250">
        <v>45005.740967777776</v>
      </c>
      <c r="B1280" s="251" t="s">
        <v>2906</v>
      </c>
      <c r="C1280" s="178" t="s">
        <v>2907</v>
      </c>
      <c r="D1280" s="36">
        <v>7554.642857142854</v>
      </c>
      <c r="E1280" s="36" t="s">
        <v>1683</v>
      </c>
      <c r="F1280" s="178" t="s">
        <v>1683</v>
      </c>
    </row>
    <row r="1281">
      <c r="A1281" s="250">
        <v>45005.740967777776</v>
      </c>
      <c r="B1281" s="251" t="s">
        <v>2908</v>
      </c>
      <c r="C1281" s="178" t="s">
        <v>2909</v>
      </c>
      <c r="D1281" s="36" t="s">
        <v>1683</v>
      </c>
      <c r="E1281" s="36">
        <v>7554.642857142854</v>
      </c>
      <c r="F1281" s="178" t="s">
        <v>1683</v>
      </c>
    </row>
    <row r="1282">
      <c r="A1282" s="250">
        <v>45010.0004</v>
      </c>
      <c r="B1282" s="251" t="s">
        <v>1607</v>
      </c>
      <c r="C1282" s="178" t="s">
        <v>2910</v>
      </c>
      <c r="D1282" s="36">
        <v>53500.0</v>
      </c>
      <c r="E1282" s="36" t="s">
        <v>1683</v>
      </c>
      <c r="F1282" s="178" t="s">
        <v>2874</v>
      </c>
    </row>
    <row r="1283">
      <c r="A1283" s="250">
        <v>45010.0004</v>
      </c>
      <c r="B1283" s="251" t="s">
        <v>1684</v>
      </c>
      <c r="C1283" s="178" t="s">
        <v>2911</v>
      </c>
      <c r="D1283" s="36" t="s">
        <v>1683</v>
      </c>
      <c r="E1283" s="36">
        <v>53500.0</v>
      </c>
      <c r="F1283" s="178" t="s">
        <v>2874</v>
      </c>
    </row>
    <row r="1284">
      <c r="A1284" s="250">
        <v>45013.00004</v>
      </c>
      <c r="B1284" s="251" t="s">
        <v>2766</v>
      </c>
      <c r="C1284" s="178" t="s">
        <v>2912</v>
      </c>
      <c r="D1284" s="36">
        <v>7670879.999999999</v>
      </c>
      <c r="E1284" s="36" t="s">
        <v>1683</v>
      </c>
      <c r="F1284" s="178"/>
    </row>
    <row r="1285">
      <c r="A1285" s="250">
        <v>45013.00004</v>
      </c>
      <c r="B1285" s="251" t="s">
        <v>1684</v>
      </c>
      <c r="C1285" s="178" t="s">
        <v>2913</v>
      </c>
      <c r="D1285" s="36" t="s">
        <v>1683</v>
      </c>
      <c r="E1285" s="36">
        <v>7670879.999999999</v>
      </c>
      <c r="F1285" s="178"/>
    </row>
    <row r="1286">
      <c r="A1286" s="250">
        <v>45013.00015</v>
      </c>
      <c r="B1286" s="251" t="s">
        <v>2766</v>
      </c>
      <c r="C1286" s="178" t="s">
        <v>2914</v>
      </c>
      <c r="D1286" s="36">
        <v>7346550.0</v>
      </c>
      <c r="E1286" s="36" t="s">
        <v>1683</v>
      </c>
      <c r="F1286" s="178"/>
    </row>
    <row r="1287">
      <c r="A1287" s="250">
        <v>45013.00015</v>
      </c>
      <c r="B1287" s="251" t="s">
        <v>1684</v>
      </c>
      <c r="C1287" s="178" t="s">
        <v>2915</v>
      </c>
      <c r="D1287" s="36" t="s">
        <v>1683</v>
      </c>
      <c r="E1287" s="36">
        <v>7346550.0</v>
      </c>
      <c r="F1287" s="178"/>
    </row>
    <row r="1288">
      <c r="A1288" s="250">
        <v>45013.00016</v>
      </c>
      <c r="B1288" s="251" t="s">
        <v>2766</v>
      </c>
      <c r="C1288" s="178" t="s">
        <v>2916</v>
      </c>
      <c r="D1288" s="36">
        <v>4130000.0</v>
      </c>
      <c r="E1288" s="36" t="s">
        <v>1683</v>
      </c>
      <c r="F1288" s="178"/>
    </row>
    <row r="1289">
      <c r="A1289" s="250">
        <v>45013.00016</v>
      </c>
      <c r="B1289" s="251" t="s">
        <v>1684</v>
      </c>
      <c r="C1289" s="178" t="s">
        <v>2917</v>
      </c>
      <c r="D1289" s="36" t="s">
        <v>1683</v>
      </c>
      <c r="E1289" s="36">
        <v>4130000.0</v>
      </c>
      <c r="F1289" s="178"/>
    </row>
    <row r="1290">
      <c r="A1290" s="250">
        <v>45013.00054</v>
      </c>
      <c r="B1290" s="251" t="s">
        <v>2766</v>
      </c>
      <c r="C1290" s="178" t="s">
        <v>2918</v>
      </c>
      <c r="D1290" s="36">
        <v>7346550.0</v>
      </c>
      <c r="E1290" s="36" t="s">
        <v>1683</v>
      </c>
      <c r="F1290" s="178"/>
    </row>
    <row r="1291">
      <c r="A1291" s="250">
        <v>45013.00054</v>
      </c>
      <c r="B1291" s="251" t="s">
        <v>1684</v>
      </c>
      <c r="C1291" s="178" t="s">
        <v>2919</v>
      </c>
      <c r="D1291" s="36" t="s">
        <v>1683</v>
      </c>
      <c r="E1291" s="36">
        <v>7346550.0</v>
      </c>
      <c r="F1291" s="178"/>
    </row>
    <row r="1292">
      <c r="A1292" s="250">
        <v>45017.00052</v>
      </c>
      <c r="B1292" s="251" t="s">
        <v>1783</v>
      </c>
      <c r="C1292" s="178" t="s">
        <v>2920</v>
      </c>
      <c r="D1292" s="36">
        <v>341999.99999999994</v>
      </c>
      <c r="E1292" s="36" t="s">
        <v>1683</v>
      </c>
      <c r="F1292" s="178" t="s">
        <v>159</v>
      </c>
    </row>
    <row r="1293">
      <c r="A1293" s="250">
        <v>45017.00052</v>
      </c>
      <c r="B1293" s="251" t="s">
        <v>1684</v>
      </c>
      <c r="C1293" s="178" t="s">
        <v>2921</v>
      </c>
      <c r="D1293" s="36" t="s">
        <v>1683</v>
      </c>
      <c r="E1293" s="36">
        <v>341999.99999999994</v>
      </c>
      <c r="F1293" s="178" t="s">
        <v>159</v>
      </c>
    </row>
    <row r="1294">
      <c r="A1294" s="250">
        <v>45020.00052</v>
      </c>
      <c r="B1294" s="251" t="s">
        <v>1839</v>
      </c>
      <c r="C1294" s="178" t="s">
        <v>2922</v>
      </c>
      <c r="D1294" s="36">
        <v>341999.99999999994</v>
      </c>
      <c r="E1294" s="36" t="s">
        <v>1683</v>
      </c>
      <c r="F1294" s="178" t="s">
        <v>159</v>
      </c>
    </row>
    <row r="1295">
      <c r="A1295" s="250">
        <v>45020.00052</v>
      </c>
      <c r="B1295" s="251" t="s">
        <v>1802</v>
      </c>
      <c r="C1295" s="178" t="s">
        <v>2920</v>
      </c>
      <c r="D1295" s="36" t="s">
        <v>1683</v>
      </c>
      <c r="E1295" s="36">
        <v>341999.99999999994</v>
      </c>
      <c r="F1295" s="178" t="s">
        <v>159</v>
      </c>
    </row>
    <row r="1296">
      <c r="A1296" s="250">
        <v>45021.0008</v>
      </c>
      <c r="B1296" s="251" t="s">
        <v>1783</v>
      </c>
      <c r="C1296" s="178" t="s">
        <v>2923</v>
      </c>
      <c r="D1296" s="36">
        <v>18150.000000000004</v>
      </c>
      <c r="E1296" s="36" t="s">
        <v>1683</v>
      </c>
      <c r="F1296" s="178" t="s">
        <v>159</v>
      </c>
    </row>
    <row r="1297">
      <c r="A1297" s="250">
        <v>45021.0008</v>
      </c>
      <c r="B1297" s="251" t="s">
        <v>1684</v>
      </c>
      <c r="C1297" s="178" t="s">
        <v>2924</v>
      </c>
      <c r="D1297" s="36" t="s">
        <v>1683</v>
      </c>
      <c r="E1297" s="36">
        <v>18150.000000000004</v>
      </c>
      <c r="F1297" s="178" t="s">
        <v>159</v>
      </c>
    </row>
    <row r="1298">
      <c r="A1298" s="250">
        <v>45022.00071</v>
      </c>
      <c r="B1298" s="251" t="s">
        <v>2264</v>
      </c>
      <c r="C1298" s="178" t="s">
        <v>2925</v>
      </c>
      <c r="D1298" s="36">
        <v>19.56</v>
      </c>
      <c r="E1298" s="36" t="s">
        <v>1683</v>
      </c>
      <c r="F1298" s="178" t="s">
        <v>1683</v>
      </c>
    </row>
    <row r="1299">
      <c r="A1299" s="250">
        <v>45022.00071</v>
      </c>
      <c r="B1299" s="251" t="s">
        <v>2926</v>
      </c>
      <c r="C1299" s="178" t="s">
        <v>2927</v>
      </c>
      <c r="D1299" s="36" t="s">
        <v>1683</v>
      </c>
      <c r="E1299" s="36">
        <v>19.56</v>
      </c>
      <c r="F1299" s="178" t="s">
        <v>1683</v>
      </c>
    </row>
    <row r="1300">
      <c r="A1300" s="250">
        <v>45023.0008</v>
      </c>
      <c r="B1300" s="251" t="s">
        <v>2272</v>
      </c>
      <c r="C1300" s="178" t="s">
        <v>2928</v>
      </c>
      <c r="D1300" s="36">
        <v>18150.000000000004</v>
      </c>
      <c r="E1300" s="36" t="s">
        <v>1683</v>
      </c>
      <c r="F1300" s="178" t="s">
        <v>159</v>
      </c>
    </row>
    <row r="1301">
      <c r="A1301" s="250">
        <v>45023.0008</v>
      </c>
      <c r="B1301" s="251" t="s">
        <v>1802</v>
      </c>
      <c r="C1301" s="178" t="s">
        <v>2923</v>
      </c>
      <c r="D1301" s="36" t="s">
        <v>1683</v>
      </c>
      <c r="E1301" s="36">
        <v>18150.000000000004</v>
      </c>
      <c r="F1301" s="178" t="s">
        <v>159</v>
      </c>
    </row>
    <row r="1302">
      <c r="A1302" s="250">
        <v>45047.00073</v>
      </c>
      <c r="B1302" s="251" t="s">
        <v>1927</v>
      </c>
      <c r="C1302" s="178" t="s">
        <v>2929</v>
      </c>
      <c r="D1302" s="36">
        <v>2217.76</v>
      </c>
      <c r="E1302" s="36" t="s">
        <v>1683</v>
      </c>
      <c r="F1302" s="178" t="s">
        <v>1683</v>
      </c>
    </row>
    <row r="1303">
      <c r="A1303" s="250">
        <v>45047.00073</v>
      </c>
      <c r="B1303" s="251" t="s">
        <v>2425</v>
      </c>
      <c r="C1303" s="178" t="s">
        <v>2930</v>
      </c>
      <c r="D1303" s="36" t="s">
        <v>1683</v>
      </c>
      <c r="E1303" s="36">
        <v>2217.76</v>
      </c>
      <c r="F1303" s="178" t="s">
        <v>1683</v>
      </c>
    </row>
    <row r="1304">
      <c r="A1304" s="250">
        <v>45061.00015</v>
      </c>
      <c r="B1304" s="251" t="s">
        <v>1896</v>
      </c>
      <c r="C1304" s="178" t="s">
        <v>2931</v>
      </c>
      <c r="D1304" s="36">
        <v>7346550.0</v>
      </c>
      <c r="E1304" s="36" t="s">
        <v>1683</v>
      </c>
      <c r="F1304" s="178"/>
    </row>
    <row r="1305">
      <c r="A1305" s="250">
        <v>45061.00015</v>
      </c>
      <c r="B1305" s="251" t="s">
        <v>2824</v>
      </c>
      <c r="C1305" s="178" t="s">
        <v>2914</v>
      </c>
      <c r="D1305" s="36" t="s">
        <v>1683</v>
      </c>
      <c r="E1305" s="36">
        <v>7346550.0</v>
      </c>
      <c r="F1305" s="178"/>
    </row>
    <row r="1306">
      <c r="A1306" s="250">
        <v>45061.00054</v>
      </c>
      <c r="B1306" s="251" t="s">
        <v>1930</v>
      </c>
      <c r="C1306" s="178" t="s">
        <v>2932</v>
      </c>
      <c r="D1306" s="36">
        <v>7346550.0</v>
      </c>
      <c r="E1306" s="36" t="s">
        <v>1683</v>
      </c>
      <c r="F1306" s="178"/>
    </row>
    <row r="1307">
      <c r="A1307" s="250">
        <v>45061.00054</v>
      </c>
      <c r="B1307" s="251" t="s">
        <v>2824</v>
      </c>
      <c r="C1307" s="178" t="s">
        <v>2918</v>
      </c>
      <c r="D1307" s="36" t="s">
        <v>1683</v>
      </c>
      <c r="E1307" s="36">
        <v>7346550.0</v>
      </c>
      <c r="F1307" s="178"/>
    </row>
    <row r="1308">
      <c r="A1308" s="250">
        <v>45062.00079</v>
      </c>
      <c r="B1308" s="251" t="s">
        <v>1693</v>
      </c>
      <c r="C1308" s="178" t="s">
        <v>2933</v>
      </c>
      <c r="D1308" s="36">
        <v>5498.999999999999</v>
      </c>
      <c r="E1308" s="36" t="s">
        <v>1683</v>
      </c>
      <c r="F1308" s="178" t="s">
        <v>973</v>
      </c>
    </row>
    <row r="1309">
      <c r="A1309" s="250">
        <v>45062.00079</v>
      </c>
      <c r="B1309" s="251" t="s">
        <v>1684</v>
      </c>
      <c r="C1309" s="178" t="s">
        <v>2934</v>
      </c>
      <c r="D1309" s="36" t="s">
        <v>1683</v>
      </c>
      <c r="E1309" s="36">
        <v>5498.999999999999</v>
      </c>
      <c r="F1309" s="178" t="s">
        <v>973</v>
      </c>
    </row>
    <row r="1310">
      <c r="A1310" s="250">
        <v>45062.001634444445</v>
      </c>
      <c r="B1310" s="251" t="s">
        <v>1693</v>
      </c>
      <c r="C1310" s="178" t="s">
        <v>2935</v>
      </c>
      <c r="D1310" s="36">
        <v>27497.0</v>
      </c>
      <c r="E1310" s="36" t="s">
        <v>1683</v>
      </c>
      <c r="F1310" s="178" t="s">
        <v>973</v>
      </c>
    </row>
    <row r="1311">
      <c r="A1311" s="250">
        <v>45062.001634444445</v>
      </c>
      <c r="B1311" s="251" t="s">
        <v>1684</v>
      </c>
      <c r="C1311" s="178" t="s">
        <v>2936</v>
      </c>
      <c r="D1311" s="36" t="s">
        <v>1683</v>
      </c>
      <c r="E1311" s="36">
        <v>27497.0</v>
      </c>
      <c r="F1311" s="178" t="s">
        <v>973</v>
      </c>
    </row>
    <row r="1312">
      <c r="A1312" s="250">
        <v>45062.00216888889</v>
      </c>
      <c r="B1312" s="251" t="s">
        <v>1693</v>
      </c>
      <c r="C1312" s="178" t="s">
        <v>2937</v>
      </c>
      <c r="D1312" s="36">
        <v>10498.0</v>
      </c>
      <c r="E1312" s="36" t="s">
        <v>1683</v>
      </c>
      <c r="F1312" s="178" t="s">
        <v>972</v>
      </c>
    </row>
    <row r="1313">
      <c r="A1313" s="250">
        <v>45062.00216888889</v>
      </c>
      <c r="B1313" s="251" t="s">
        <v>1684</v>
      </c>
      <c r="C1313" s="178" t="s">
        <v>2938</v>
      </c>
      <c r="D1313" s="36" t="s">
        <v>1683</v>
      </c>
      <c r="E1313" s="36">
        <v>10498.0</v>
      </c>
      <c r="F1313" s="178" t="s">
        <v>972</v>
      </c>
    </row>
    <row r="1314">
      <c r="A1314" s="250">
        <v>45062.003013333335</v>
      </c>
      <c r="B1314" s="251" t="s">
        <v>1693</v>
      </c>
      <c r="C1314" s="178" t="s">
        <v>2939</v>
      </c>
      <c r="D1314" s="36">
        <v>18498.0</v>
      </c>
      <c r="E1314" s="36" t="s">
        <v>1683</v>
      </c>
      <c r="F1314" s="178" t="s">
        <v>972</v>
      </c>
    </row>
    <row r="1315">
      <c r="A1315" s="250">
        <v>45062.003013333335</v>
      </c>
      <c r="B1315" s="251" t="s">
        <v>1684</v>
      </c>
      <c r="C1315" s="178" t="s">
        <v>2940</v>
      </c>
      <c r="D1315" s="36" t="s">
        <v>1683</v>
      </c>
      <c r="E1315" s="36">
        <v>18498.0</v>
      </c>
      <c r="F1315" s="178" t="s">
        <v>972</v>
      </c>
    </row>
    <row r="1316">
      <c r="A1316" s="250">
        <v>45062.00354777778</v>
      </c>
      <c r="B1316" s="251" t="s">
        <v>1693</v>
      </c>
      <c r="C1316" s="178" t="s">
        <v>2941</v>
      </c>
      <c r="D1316" s="36">
        <v>5498.999999999999</v>
      </c>
      <c r="E1316" s="36" t="s">
        <v>1683</v>
      </c>
      <c r="F1316" s="178" t="s">
        <v>971</v>
      </c>
    </row>
    <row r="1317">
      <c r="A1317" s="250">
        <v>45062.00354777778</v>
      </c>
      <c r="B1317" s="251" t="s">
        <v>1684</v>
      </c>
      <c r="C1317" s="178" t="s">
        <v>2942</v>
      </c>
      <c r="D1317" s="36" t="s">
        <v>1683</v>
      </c>
      <c r="E1317" s="36">
        <v>5498.999999999999</v>
      </c>
      <c r="F1317" s="178" t="s">
        <v>971</v>
      </c>
    </row>
    <row r="1318">
      <c r="A1318" s="250">
        <v>45062.00439222222</v>
      </c>
      <c r="B1318" s="251" t="s">
        <v>1693</v>
      </c>
      <c r="C1318" s="178" t="s">
        <v>2943</v>
      </c>
      <c r="D1318" s="36">
        <v>27497.0</v>
      </c>
      <c r="E1318" s="36" t="s">
        <v>1683</v>
      </c>
      <c r="F1318" s="178" t="s">
        <v>971</v>
      </c>
    </row>
    <row r="1319">
      <c r="A1319" s="250">
        <v>45062.00439222222</v>
      </c>
      <c r="B1319" s="251" t="s">
        <v>1684</v>
      </c>
      <c r="C1319" s="178" t="s">
        <v>2944</v>
      </c>
      <c r="D1319" s="36" t="s">
        <v>1683</v>
      </c>
      <c r="E1319" s="36">
        <v>27497.0</v>
      </c>
      <c r="F1319" s="178" t="s">
        <v>971</v>
      </c>
    </row>
    <row r="1320">
      <c r="A1320" s="250">
        <v>45064.00077</v>
      </c>
      <c r="B1320" s="251" t="s">
        <v>2272</v>
      </c>
      <c r="C1320" s="178" t="s">
        <v>2945</v>
      </c>
      <c r="D1320" s="36">
        <v>5498.999999999999</v>
      </c>
      <c r="E1320" s="36" t="s">
        <v>1683</v>
      </c>
      <c r="F1320" s="178" t="s">
        <v>971</v>
      </c>
    </row>
    <row r="1321">
      <c r="A1321" s="250">
        <v>45064.00077</v>
      </c>
      <c r="B1321" s="251" t="s">
        <v>1698</v>
      </c>
      <c r="C1321" s="178" t="s">
        <v>2941</v>
      </c>
      <c r="D1321" s="36" t="s">
        <v>1683</v>
      </c>
      <c r="E1321" s="36">
        <v>5498.999999999999</v>
      </c>
      <c r="F1321" s="178" t="s">
        <v>971</v>
      </c>
    </row>
    <row r="1322">
      <c r="A1322" s="250">
        <v>45064.00078</v>
      </c>
      <c r="B1322" s="251" t="s">
        <v>2272</v>
      </c>
      <c r="C1322" s="178" t="s">
        <v>2946</v>
      </c>
      <c r="D1322" s="36">
        <v>10498.0</v>
      </c>
      <c r="E1322" s="36" t="s">
        <v>1683</v>
      </c>
      <c r="F1322" s="178" t="s">
        <v>972</v>
      </c>
    </row>
    <row r="1323">
      <c r="A1323" s="250">
        <v>45064.00078</v>
      </c>
      <c r="B1323" s="251" t="s">
        <v>1698</v>
      </c>
      <c r="C1323" s="178" t="s">
        <v>2937</v>
      </c>
      <c r="D1323" s="36" t="s">
        <v>1683</v>
      </c>
      <c r="E1323" s="36">
        <v>10498.0</v>
      </c>
      <c r="F1323" s="178" t="s">
        <v>972</v>
      </c>
    </row>
    <row r="1324">
      <c r="A1324" s="250">
        <v>45064.00079</v>
      </c>
      <c r="B1324" s="251" t="s">
        <v>2272</v>
      </c>
      <c r="C1324" s="178" t="s">
        <v>2947</v>
      </c>
      <c r="D1324" s="36">
        <v>5498.999999999999</v>
      </c>
      <c r="E1324" s="36" t="s">
        <v>1683</v>
      </c>
      <c r="F1324" s="178" t="s">
        <v>973</v>
      </c>
    </row>
    <row r="1325">
      <c r="A1325" s="250">
        <v>45064.00079</v>
      </c>
      <c r="B1325" s="251" t="s">
        <v>1698</v>
      </c>
      <c r="C1325" s="178" t="s">
        <v>2933</v>
      </c>
      <c r="D1325" s="36" t="s">
        <v>1683</v>
      </c>
      <c r="E1325" s="36">
        <v>5498.999999999999</v>
      </c>
      <c r="F1325" s="178" t="s">
        <v>973</v>
      </c>
    </row>
    <row r="1326">
      <c r="A1326" s="250">
        <v>45064.00092</v>
      </c>
      <c r="B1326" s="251" t="s">
        <v>2948</v>
      </c>
      <c r="C1326" s="178" t="s">
        <v>2949</v>
      </c>
      <c r="D1326" s="36">
        <v>27497.0</v>
      </c>
      <c r="E1326" s="36" t="s">
        <v>1683</v>
      </c>
      <c r="F1326" s="178" t="s">
        <v>971</v>
      </c>
    </row>
    <row r="1327">
      <c r="A1327" s="250">
        <v>45064.00092</v>
      </c>
      <c r="B1327" s="251" t="s">
        <v>1698</v>
      </c>
      <c r="C1327" s="178" t="s">
        <v>2943</v>
      </c>
      <c r="D1327" s="36" t="s">
        <v>1683</v>
      </c>
      <c r="E1327" s="36">
        <v>27497.0</v>
      </c>
      <c r="F1327" s="178" t="s">
        <v>971</v>
      </c>
    </row>
    <row r="1328">
      <c r="A1328" s="250">
        <v>45064.00093</v>
      </c>
      <c r="B1328" s="251" t="s">
        <v>2948</v>
      </c>
      <c r="C1328" s="178" t="s">
        <v>2950</v>
      </c>
      <c r="D1328" s="36">
        <v>18498.0</v>
      </c>
      <c r="E1328" s="36" t="s">
        <v>1683</v>
      </c>
      <c r="F1328" s="178" t="s">
        <v>972</v>
      </c>
    </row>
    <row r="1329">
      <c r="A1329" s="250">
        <v>45064.00093</v>
      </c>
      <c r="B1329" s="251" t="s">
        <v>1698</v>
      </c>
      <c r="C1329" s="178" t="s">
        <v>2939</v>
      </c>
      <c r="D1329" s="36" t="s">
        <v>1683</v>
      </c>
      <c r="E1329" s="36">
        <v>18498.0</v>
      </c>
      <c r="F1329" s="178" t="s">
        <v>972</v>
      </c>
    </row>
    <row r="1330">
      <c r="A1330" s="250">
        <v>45064.00094</v>
      </c>
      <c r="B1330" s="251" t="s">
        <v>2948</v>
      </c>
      <c r="C1330" s="178" t="s">
        <v>2951</v>
      </c>
      <c r="D1330" s="36">
        <v>27497.0</v>
      </c>
      <c r="E1330" s="36" t="s">
        <v>1683</v>
      </c>
      <c r="F1330" s="178" t="s">
        <v>973</v>
      </c>
    </row>
    <row r="1331">
      <c r="A1331" s="250">
        <v>45064.00094</v>
      </c>
      <c r="B1331" s="251" t="s">
        <v>1698</v>
      </c>
      <c r="C1331" s="178" t="s">
        <v>2935</v>
      </c>
      <c r="D1331" s="36" t="s">
        <v>1683</v>
      </c>
      <c r="E1331" s="36">
        <v>27497.0</v>
      </c>
      <c r="F1331" s="178" t="s">
        <v>973</v>
      </c>
    </row>
    <row r="1332">
      <c r="A1332" s="250">
        <v>45075.00042</v>
      </c>
      <c r="B1332" s="251" t="s">
        <v>1611</v>
      </c>
      <c r="C1332" s="178" t="s">
        <v>2952</v>
      </c>
      <c r="D1332" s="36">
        <v>38500.0</v>
      </c>
      <c r="E1332" s="36" t="s">
        <v>1683</v>
      </c>
      <c r="F1332" s="178" t="s">
        <v>1648</v>
      </c>
    </row>
    <row r="1333">
      <c r="A1333" s="250">
        <v>45075.00042</v>
      </c>
      <c r="B1333" s="251" t="s">
        <v>1684</v>
      </c>
      <c r="C1333" s="178" t="s">
        <v>2953</v>
      </c>
      <c r="D1333" s="36" t="s">
        <v>1683</v>
      </c>
      <c r="E1333" s="36">
        <v>38500.0</v>
      </c>
      <c r="F1333" s="178" t="s">
        <v>1648</v>
      </c>
    </row>
    <row r="1334">
      <c r="A1334" s="250">
        <v>45077.00004</v>
      </c>
      <c r="B1334" s="251" t="s">
        <v>2839</v>
      </c>
      <c r="C1334" s="178" t="s">
        <v>2954</v>
      </c>
      <c r="D1334" s="36">
        <v>7670879.999999999</v>
      </c>
      <c r="E1334" s="36" t="s">
        <v>1683</v>
      </c>
      <c r="F1334" s="178"/>
    </row>
    <row r="1335">
      <c r="A1335" s="250">
        <v>45077.00004</v>
      </c>
      <c r="B1335" s="251" t="s">
        <v>2824</v>
      </c>
      <c r="C1335" s="178" t="s">
        <v>2912</v>
      </c>
      <c r="D1335" s="36" t="s">
        <v>1683</v>
      </c>
      <c r="E1335" s="36">
        <v>7670879.999999999</v>
      </c>
      <c r="F1335" s="178"/>
    </row>
    <row r="1336">
      <c r="A1336" s="250">
        <v>45077.00016</v>
      </c>
      <c r="B1336" s="251" t="s">
        <v>2841</v>
      </c>
      <c r="C1336" s="178" t="s">
        <v>2955</v>
      </c>
      <c r="D1336" s="36">
        <v>4130000.0</v>
      </c>
      <c r="E1336" s="36" t="s">
        <v>1683</v>
      </c>
      <c r="F1336" s="178"/>
    </row>
    <row r="1337">
      <c r="A1337" s="250">
        <v>45077.00016</v>
      </c>
      <c r="B1337" s="251" t="s">
        <v>2824</v>
      </c>
      <c r="C1337" s="178" t="s">
        <v>2916</v>
      </c>
      <c r="D1337" s="36" t="s">
        <v>1683</v>
      </c>
      <c r="E1337" s="36">
        <v>4130000.0</v>
      </c>
      <c r="F1337" s="178"/>
    </row>
    <row r="1338">
      <c r="A1338" s="250">
        <v>45079.00041</v>
      </c>
      <c r="B1338" s="251" t="s">
        <v>1783</v>
      </c>
      <c r="C1338" s="178" t="s">
        <v>2956</v>
      </c>
      <c r="D1338" s="36">
        <v>242000.0</v>
      </c>
      <c r="E1338" s="36" t="s">
        <v>1683</v>
      </c>
      <c r="F1338" s="178" t="s">
        <v>159</v>
      </c>
    </row>
    <row r="1339">
      <c r="A1339" s="250">
        <v>45079.00041</v>
      </c>
      <c r="B1339" s="251" t="s">
        <v>1684</v>
      </c>
      <c r="C1339" s="178" t="s">
        <v>2957</v>
      </c>
      <c r="D1339" s="36" t="s">
        <v>1683</v>
      </c>
      <c r="E1339" s="36">
        <v>242000.0</v>
      </c>
      <c r="F1339" s="178" t="s">
        <v>159</v>
      </c>
    </row>
    <row r="1340">
      <c r="A1340" s="250">
        <v>45079.00075</v>
      </c>
      <c r="B1340" s="251" t="s">
        <v>1839</v>
      </c>
      <c r="C1340" s="178" t="s">
        <v>2958</v>
      </c>
      <c r="D1340" s="36">
        <v>5458.0</v>
      </c>
      <c r="E1340" s="36" t="s">
        <v>1683</v>
      </c>
      <c r="F1340" s="178" t="s">
        <v>1683</v>
      </c>
    </row>
    <row r="1341">
      <c r="A1341" s="250">
        <v>45079.00075</v>
      </c>
      <c r="B1341" s="251" t="s">
        <v>2221</v>
      </c>
      <c r="C1341" s="178" t="s">
        <v>2959</v>
      </c>
      <c r="D1341" s="36" t="s">
        <v>1683</v>
      </c>
      <c r="E1341" s="36">
        <v>5458.0</v>
      </c>
      <c r="F1341" s="178" t="s">
        <v>1683</v>
      </c>
    </row>
    <row r="1342">
      <c r="A1342" s="250">
        <v>45080.00076</v>
      </c>
      <c r="B1342" s="251" t="s">
        <v>1958</v>
      </c>
      <c r="C1342" s="178" t="s">
        <v>2960</v>
      </c>
      <c r="D1342" s="36">
        <v>8239.0</v>
      </c>
      <c r="E1342" s="36" t="s">
        <v>1683</v>
      </c>
      <c r="F1342" s="178" t="s">
        <v>1683</v>
      </c>
    </row>
    <row r="1343">
      <c r="A1343" s="250">
        <v>45080.00076</v>
      </c>
      <c r="B1343" s="251" t="s">
        <v>2428</v>
      </c>
      <c r="C1343" s="178" t="s">
        <v>2961</v>
      </c>
      <c r="D1343" s="36" t="s">
        <v>1683</v>
      </c>
      <c r="E1343" s="36">
        <v>8239.0</v>
      </c>
      <c r="F1343" s="178" t="s">
        <v>1683</v>
      </c>
    </row>
    <row r="1344">
      <c r="A1344" s="250">
        <v>45081.00041</v>
      </c>
      <c r="B1344" s="251" t="s">
        <v>2685</v>
      </c>
      <c r="C1344" s="178" t="s">
        <v>2962</v>
      </c>
      <c r="D1344" s="36">
        <v>242000.0</v>
      </c>
      <c r="E1344" s="36" t="s">
        <v>1683</v>
      </c>
      <c r="F1344" s="178" t="s">
        <v>159</v>
      </c>
    </row>
    <row r="1345">
      <c r="A1345" s="250">
        <v>45081.00041</v>
      </c>
      <c r="B1345" s="251" t="s">
        <v>1802</v>
      </c>
      <c r="C1345" s="178" t="s">
        <v>2956</v>
      </c>
      <c r="D1345" s="36" t="s">
        <v>1683</v>
      </c>
      <c r="E1345" s="36">
        <v>242000.0</v>
      </c>
      <c r="F1345" s="178" t="s">
        <v>159</v>
      </c>
    </row>
    <row r="1346">
      <c r="A1346" s="250">
        <v>45081.00059</v>
      </c>
      <c r="B1346" s="251" t="s">
        <v>2963</v>
      </c>
      <c r="C1346" s="178" t="s">
        <v>2964</v>
      </c>
      <c r="D1346" s="36">
        <v>2900018.6666666665</v>
      </c>
      <c r="E1346" s="36" t="s">
        <v>1683</v>
      </c>
      <c r="F1346" s="178" t="s">
        <v>188</v>
      </c>
    </row>
    <row r="1347">
      <c r="A1347" s="250">
        <v>45081.00059</v>
      </c>
      <c r="B1347" s="251" t="s">
        <v>1684</v>
      </c>
      <c r="C1347" s="178" t="s">
        <v>2965</v>
      </c>
      <c r="D1347" s="36" t="s">
        <v>1683</v>
      </c>
      <c r="E1347" s="36">
        <v>2900018.6666666665</v>
      </c>
      <c r="F1347" s="178" t="s">
        <v>188</v>
      </c>
    </row>
    <row r="1348">
      <c r="A1348" s="250">
        <v>45081.00067</v>
      </c>
      <c r="B1348" s="251" t="s">
        <v>2963</v>
      </c>
      <c r="C1348" s="178" t="s">
        <v>2966</v>
      </c>
      <c r="D1348" s="36">
        <v>4000018.6666666665</v>
      </c>
      <c r="E1348" s="36" t="s">
        <v>1683</v>
      </c>
      <c r="F1348" s="178" t="s">
        <v>188</v>
      </c>
    </row>
    <row r="1349">
      <c r="A1349" s="250">
        <v>45081.00067</v>
      </c>
      <c r="B1349" s="251" t="s">
        <v>1684</v>
      </c>
      <c r="C1349" s="178" t="s">
        <v>2967</v>
      </c>
      <c r="D1349" s="36" t="s">
        <v>1683</v>
      </c>
      <c r="E1349" s="36">
        <v>4000018.6666666665</v>
      </c>
      <c r="F1349" s="178" t="s">
        <v>188</v>
      </c>
    </row>
    <row r="1350">
      <c r="A1350" s="250">
        <v>45081.00073</v>
      </c>
      <c r="B1350" s="251" t="s">
        <v>2963</v>
      </c>
      <c r="C1350" s="178" t="s">
        <v>2968</v>
      </c>
      <c r="D1350" s="36">
        <v>3.600001866666667E7</v>
      </c>
      <c r="E1350" s="36" t="s">
        <v>1683</v>
      </c>
      <c r="F1350" s="178" t="s">
        <v>188</v>
      </c>
    </row>
    <row r="1351">
      <c r="A1351" s="250">
        <v>45081.00073</v>
      </c>
      <c r="B1351" s="251" t="s">
        <v>1684</v>
      </c>
      <c r="C1351" s="178" t="s">
        <v>2969</v>
      </c>
      <c r="D1351" s="36" t="s">
        <v>1683</v>
      </c>
      <c r="E1351" s="36">
        <v>3.600001866666667E7</v>
      </c>
      <c r="F1351" s="178" t="s">
        <v>188</v>
      </c>
    </row>
    <row r="1352">
      <c r="A1352" s="250">
        <v>45082.0005</v>
      </c>
      <c r="B1352" s="251" t="s">
        <v>1783</v>
      </c>
      <c r="C1352" s="178" t="s">
        <v>2970</v>
      </c>
      <c r="D1352" s="36">
        <v>999549.9999999998</v>
      </c>
      <c r="E1352" s="36" t="s">
        <v>1683</v>
      </c>
      <c r="F1352" s="178" t="s">
        <v>158</v>
      </c>
    </row>
    <row r="1353">
      <c r="A1353" s="250">
        <v>45082.0005</v>
      </c>
      <c r="B1353" s="251" t="s">
        <v>1684</v>
      </c>
      <c r="C1353" s="178" t="s">
        <v>2971</v>
      </c>
      <c r="D1353" s="36" t="s">
        <v>1683</v>
      </c>
      <c r="E1353" s="36">
        <v>999549.9999999998</v>
      </c>
      <c r="F1353" s="178" t="s">
        <v>158</v>
      </c>
    </row>
    <row r="1354">
      <c r="A1354" s="250">
        <v>45082.00051</v>
      </c>
      <c r="B1354" s="251" t="s">
        <v>1783</v>
      </c>
      <c r="C1354" s="178" t="s">
        <v>2972</v>
      </c>
      <c r="D1354" s="36">
        <v>513800.0</v>
      </c>
      <c r="E1354" s="36" t="s">
        <v>1683</v>
      </c>
      <c r="F1354" s="178" t="s">
        <v>158</v>
      </c>
    </row>
    <row r="1355">
      <c r="A1355" s="250">
        <v>45082.00051</v>
      </c>
      <c r="B1355" s="251" t="s">
        <v>1684</v>
      </c>
      <c r="C1355" s="178" t="s">
        <v>2973</v>
      </c>
      <c r="D1355" s="36" t="s">
        <v>1683</v>
      </c>
      <c r="E1355" s="36">
        <v>513800.0</v>
      </c>
      <c r="F1355" s="178" t="s">
        <v>158</v>
      </c>
    </row>
    <row r="1356">
      <c r="A1356" s="250">
        <v>45082.69428349537</v>
      </c>
      <c r="B1356" s="251" t="s">
        <v>1839</v>
      </c>
      <c r="C1356" s="178" t="s">
        <v>2974</v>
      </c>
      <c r="D1356" s="36">
        <v>999549.9999999998</v>
      </c>
      <c r="E1356" s="36" t="s">
        <v>1683</v>
      </c>
      <c r="F1356" s="178" t="s">
        <v>158</v>
      </c>
    </row>
    <row r="1357">
      <c r="A1357" s="250">
        <v>45082.69428349537</v>
      </c>
      <c r="B1357" s="251" t="s">
        <v>1802</v>
      </c>
      <c r="C1357" s="178" t="s">
        <v>2970</v>
      </c>
      <c r="D1357" s="36" t="s">
        <v>1683</v>
      </c>
      <c r="E1357" s="36">
        <v>999549.9999999998</v>
      </c>
      <c r="F1357" s="178" t="s">
        <v>158</v>
      </c>
    </row>
    <row r="1358">
      <c r="A1358" s="250">
        <v>45083.00001</v>
      </c>
      <c r="B1358" s="251" t="s">
        <v>1783</v>
      </c>
      <c r="C1358" s="178" t="s">
        <v>2975</v>
      </c>
      <c r="D1358" s="36">
        <v>25666.666666666664</v>
      </c>
      <c r="E1358" s="36" t="s">
        <v>1683</v>
      </c>
      <c r="F1358" s="178" t="s">
        <v>159</v>
      </c>
    </row>
    <row r="1359">
      <c r="A1359" s="250">
        <v>45083.00001</v>
      </c>
      <c r="B1359" s="251" t="s">
        <v>1684</v>
      </c>
      <c r="C1359" s="178" t="s">
        <v>2976</v>
      </c>
      <c r="D1359" s="36" t="s">
        <v>1683</v>
      </c>
      <c r="E1359" s="36">
        <v>25666.666666666664</v>
      </c>
      <c r="F1359" s="178" t="s">
        <v>159</v>
      </c>
    </row>
    <row r="1360">
      <c r="A1360" s="250">
        <v>45083.00087</v>
      </c>
      <c r="B1360" s="251" t="s">
        <v>1783</v>
      </c>
      <c r="C1360" s="178" t="s">
        <v>2977</v>
      </c>
      <c r="D1360" s="36">
        <v>25666.666666666664</v>
      </c>
      <c r="E1360" s="36" t="s">
        <v>1683</v>
      </c>
      <c r="F1360" s="178" t="s">
        <v>159</v>
      </c>
    </row>
    <row r="1361">
      <c r="A1361" s="250">
        <v>45083.00087</v>
      </c>
      <c r="B1361" s="251" t="s">
        <v>1684</v>
      </c>
      <c r="C1361" s="178" t="s">
        <v>2978</v>
      </c>
      <c r="D1361" s="36" t="s">
        <v>1683</v>
      </c>
      <c r="E1361" s="36">
        <v>25666.666666666664</v>
      </c>
      <c r="F1361" s="178" t="s">
        <v>159</v>
      </c>
    </row>
    <row r="1362">
      <c r="A1362" s="250">
        <v>45083.00088</v>
      </c>
      <c r="B1362" s="251" t="s">
        <v>1783</v>
      </c>
      <c r="C1362" s="178" t="s">
        <v>2979</v>
      </c>
      <c r="D1362" s="36">
        <v>25666.666666666664</v>
      </c>
      <c r="E1362" s="36" t="s">
        <v>1683</v>
      </c>
      <c r="F1362" s="178" t="s">
        <v>159</v>
      </c>
    </row>
    <row r="1363">
      <c r="A1363" s="250">
        <v>45083.00088</v>
      </c>
      <c r="B1363" s="251" t="s">
        <v>1684</v>
      </c>
      <c r="C1363" s="178" t="s">
        <v>2980</v>
      </c>
      <c r="D1363" s="36" t="s">
        <v>1683</v>
      </c>
      <c r="E1363" s="36">
        <v>25666.666666666664</v>
      </c>
      <c r="F1363" s="178" t="s">
        <v>159</v>
      </c>
    </row>
    <row r="1364">
      <c r="A1364" s="250">
        <v>45084.00051</v>
      </c>
      <c r="B1364" s="251" t="s">
        <v>1839</v>
      </c>
      <c r="C1364" s="178" t="s">
        <v>2981</v>
      </c>
      <c r="D1364" s="36">
        <v>513800.0</v>
      </c>
      <c r="E1364" s="36" t="s">
        <v>1683</v>
      </c>
      <c r="F1364" s="178" t="s">
        <v>158</v>
      </c>
    </row>
    <row r="1365">
      <c r="A1365" s="250">
        <v>45084.00051</v>
      </c>
      <c r="B1365" s="251" t="s">
        <v>1802</v>
      </c>
      <c r="C1365" s="178" t="s">
        <v>2972</v>
      </c>
      <c r="D1365" s="36" t="s">
        <v>1683</v>
      </c>
      <c r="E1365" s="36">
        <v>513800.0</v>
      </c>
      <c r="F1365" s="178" t="s">
        <v>158</v>
      </c>
    </row>
    <row r="1366">
      <c r="A1366" s="250">
        <v>45085.00028</v>
      </c>
      <c r="B1366" s="251" t="s">
        <v>2766</v>
      </c>
      <c r="C1366" s="178" t="s">
        <v>2982</v>
      </c>
      <c r="D1366" s="36">
        <v>5720000.0</v>
      </c>
      <c r="E1366" s="36" t="s">
        <v>1683</v>
      </c>
      <c r="F1366" s="178" t="s">
        <v>159</v>
      </c>
    </row>
    <row r="1367">
      <c r="A1367" s="250">
        <v>45085.00028</v>
      </c>
      <c r="B1367" s="251" t="s">
        <v>1684</v>
      </c>
      <c r="C1367" s="178" t="s">
        <v>2983</v>
      </c>
      <c r="D1367" s="36" t="s">
        <v>1683</v>
      </c>
      <c r="E1367" s="36">
        <v>5720000.0</v>
      </c>
      <c r="F1367" s="178" t="s">
        <v>159</v>
      </c>
    </row>
    <row r="1368">
      <c r="A1368" s="250">
        <v>45085.0004</v>
      </c>
      <c r="B1368" s="251" t="s">
        <v>2766</v>
      </c>
      <c r="C1368" s="178" t="s">
        <v>2984</v>
      </c>
      <c r="D1368" s="36">
        <v>9810000.0</v>
      </c>
      <c r="E1368" s="36" t="s">
        <v>1683</v>
      </c>
      <c r="F1368" s="178" t="s">
        <v>159</v>
      </c>
    </row>
    <row r="1369">
      <c r="A1369" s="250">
        <v>45085.0004</v>
      </c>
      <c r="B1369" s="251" t="s">
        <v>1684</v>
      </c>
      <c r="C1369" s="178" t="s">
        <v>2985</v>
      </c>
      <c r="D1369" s="36" t="s">
        <v>1683</v>
      </c>
      <c r="E1369" s="36">
        <v>9810000.0</v>
      </c>
      <c r="F1369" s="178" t="s">
        <v>159</v>
      </c>
    </row>
    <row r="1370">
      <c r="A1370" s="250">
        <v>45085.00049</v>
      </c>
      <c r="B1370" s="251" t="s">
        <v>2489</v>
      </c>
      <c r="C1370" s="178" t="s">
        <v>2986</v>
      </c>
      <c r="D1370" s="36">
        <v>4700000.0</v>
      </c>
      <c r="E1370" s="36" t="s">
        <v>1683</v>
      </c>
      <c r="F1370" s="178"/>
    </row>
    <row r="1371">
      <c r="A1371" s="250">
        <v>45085.00049</v>
      </c>
      <c r="B1371" s="251" t="s">
        <v>2824</v>
      </c>
      <c r="C1371" s="178" t="s">
        <v>2894</v>
      </c>
      <c r="D1371" s="36" t="s">
        <v>1683</v>
      </c>
      <c r="E1371" s="36">
        <v>4700000.0</v>
      </c>
      <c r="F1371" s="178"/>
    </row>
    <row r="1372">
      <c r="A1372" s="250">
        <v>45085.0005</v>
      </c>
      <c r="B1372" s="251" t="s">
        <v>2987</v>
      </c>
      <c r="C1372" s="178" t="s">
        <v>2988</v>
      </c>
      <c r="D1372" s="36">
        <v>2893000.0</v>
      </c>
      <c r="E1372" s="36" t="s">
        <v>1683</v>
      </c>
      <c r="F1372" s="178"/>
    </row>
    <row r="1373">
      <c r="A1373" s="250">
        <v>45085.0005</v>
      </c>
      <c r="B1373" s="251" t="s">
        <v>2824</v>
      </c>
      <c r="C1373" s="178" t="s">
        <v>2896</v>
      </c>
      <c r="D1373" s="36" t="s">
        <v>1683</v>
      </c>
      <c r="E1373" s="36">
        <v>2893000.0</v>
      </c>
      <c r="F1373" s="178"/>
    </row>
    <row r="1374">
      <c r="A1374" s="250">
        <v>45085.00066</v>
      </c>
      <c r="B1374" s="251" t="s">
        <v>2989</v>
      </c>
      <c r="C1374" s="178" t="s">
        <v>2990</v>
      </c>
      <c r="D1374" s="36">
        <v>2893000.0</v>
      </c>
      <c r="E1374" s="36" t="s">
        <v>1683</v>
      </c>
      <c r="F1374" s="178"/>
    </row>
    <row r="1375">
      <c r="A1375" s="250">
        <v>45085.00066</v>
      </c>
      <c r="B1375" s="251" t="s">
        <v>2824</v>
      </c>
      <c r="C1375" s="178" t="s">
        <v>2898</v>
      </c>
      <c r="D1375" s="36" t="s">
        <v>1683</v>
      </c>
      <c r="E1375" s="36">
        <v>2893000.0</v>
      </c>
      <c r="F1375" s="178"/>
    </row>
    <row r="1376">
      <c r="A1376" s="250">
        <v>45085.00068</v>
      </c>
      <c r="B1376" s="251" t="s">
        <v>2766</v>
      </c>
      <c r="C1376" s="178" t="s">
        <v>2991</v>
      </c>
      <c r="D1376" s="36">
        <v>9581000.0</v>
      </c>
      <c r="E1376" s="36" t="s">
        <v>1683</v>
      </c>
      <c r="F1376" s="178" t="s">
        <v>159</v>
      </c>
    </row>
    <row r="1377">
      <c r="A1377" s="250">
        <v>45085.00068</v>
      </c>
      <c r="B1377" s="251" t="s">
        <v>1684</v>
      </c>
      <c r="C1377" s="178" t="s">
        <v>2992</v>
      </c>
      <c r="D1377" s="36" t="s">
        <v>1683</v>
      </c>
      <c r="E1377" s="36">
        <v>9581000.0</v>
      </c>
      <c r="F1377" s="178" t="s">
        <v>159</v>
      </c>
    </row>
    <row r="1378">
      <c r="A1378" s="250">
        <v>45085.00073</v>
      </c>
      <c r="B1378" s="251" t="s">
        <v>2993</v>
      </c>
      <c r="C1378" s="178" t="s">
        <v>2994</v>
      </c>
      <c r="D1378" s="36">
        <v>2970000.0000000005</v>
      </c>
      <c r="E1378" s="36" t="s">
        <v>1683</v>
      </c>
      <c r="F1378" s="178"/>
    </row>
    <row r="1379">
      <c r="A1379" s="250">
        <v>45085.00073</v>
      </c>
      <c r="B1379" s="251" t="s">
        <v>2824</v>
      </c>
      <c r="C1379" s="178" t="s">
        <v>2900</v>
      </c>
      <c r="D1379" s="36" t="s">
        <v>1683</v>
      </c>
      <c r="E1379" s="36">
        <v>2970000.0000000005</v>
      </c>
      <c r="F1379" s="178"/>
    </row>
    <row r="1380">
      <c r="A1380" s="250">
        <v>45087.00001</v>
      </c>
      <c r="B1380" s="251" t="s">
        <v>2312</v>
      </c>
      <c r="C1380" s="178" t="s">
        <v>2995</v>
      </c>
      <c r="D1380" s="36">
        <v>25666.666666666664</v>
      </c>
      <c r="E1380" s="36" t="s">
        <v>1683</v>
      </c>
      <c r="F1380" s="178" t="s">
        <v>159</v>
      </c>
    </row>
    <row r="1381">
      <c r="A1381" s="250">
        <v>45087.00001</v>
      </c>
      <c r="B1381" s="251" t="s">
        <v>1802</v>
      </c>
      <c r="C1381" s="178" t="s">
        <v>2975</v>
      </c>
      <c r="D1381" s="36" t="s">
        <v>1683</v>
      </c>
      <c r="E1381" s="36">
        <v>25666.666666666664</v>
      </c>
      <c r="F1381" s="178" t="s">
        <v>159</v>
      </c>
    </row>
    <row r="1382">
      <c r="A1382" s="250">
        <v>45087.00087</v>
      </c>
      <c r="B1382" s="251" t="s">
        <v>2996</v>
      </c>
      <c r="C1382" s="178" t="s">
        <v>2997</v>
      </c>
      <c r="D1382" s="36">
        <v>25666.666666666664</v>
      </c>
      <c r="E1382" s="36" t="s">
        <v>1683</v>
      </c>
      <c r="F1382" s="178" t="s">
        <v>159</v>
      </c>
    </row>
    <row r="1383">
      <c r="A1383" s="250">
        <v>45087.00087</v>
      </c>
      <c r="B1383" s="251" t="s">
        <v>1802</v>
      </c>
      <c r="C1383" s="178" t="s">
        <v>2977</v>
      </c>
      <c r="D1383" s="36" t="s">
        <v>1683</v>
      </c>
      <c r="E1383" s="36">
        <v>25666.666666666664</v>
      </c>
      <c r="F1383" s="178" t="s">
        <v>159</v>
      </c>
    </row>
    <row r="1384">
      <c r="A1384" s="250">
        <v>45087.00088</v>
      </c>
      <c r="B1384" s="251" t="s">
        <v>2998</v>
      </c>
      <c r="C1384" s="178" t="s">
        <v>2999</v>
      </c>
      <c r="D1384" s="36">
        <v>25666.666666666664</v>
      </c>
      <c r="E1384" s="36" t="s">
        <v>1683</v>
      </c>
      <c r="F1384" s="178" t="s">
        <v>159</v>
      </c>
    </row>
    <row r="1385">
      <c r="A1385" s="250">
        <v>45087.00088</v>
      </c>
      <c r="B1385" s="251" t="s">
        <v>1802</v>
      </c>
      <c r="C1385" s="178" t="s">
        <v>2979</v>
      </c>
      <c r="D1385" s="36" t="s">
        <v>1683</v>
      </c>
      <c r="E1385" s="36">
        <v>25666.666666666664</v>
      </c>
      <c r="F1385" s="178" t="s">
        <v>159</v>
      </c>
    </row>
    <row r="1386">
      <c r="A1386" s="250">
        <v>45089.0003</v>
      </c>
      <c r="B1386" s="251" t="s">
        <v>1747</v>
      </c>
      <c r="C1386" s="178" t="s">
        <v>3000</v>
      </c>
      <c r="D1386" s="36">
        <v>69500.0</v>
      </c>
      <c r="E1386" s="36" t="s">
        <v>1683</v>
      </c>
      <c r="F1386" s="178"/>
    </row>
    <row r="1387">
      <c r="A1387" s="250">
        <v>45089.0003</v>
      </c>
      <c r="B1387" s="251" t="s">
        <v>1684</v>
      </c>
      <c r="C1387" s="178" t="s">
        <v>3001</v>
      </c>
      <c r="D1387" s="36" t="s">
        <v>1683</v>
      </c>
      <c r="E1387" s="36">
        <v>69500.0</v>
      </c>
      <c r="F1387" s="178"/>
    </row>
    <row r="1388">
      <c r="A1388" s="250">
        <v>45089.00077</v>
      </c>
      <c r="B1388" s="251" t="s">
        <v>2243</v>
      </c>
      <c r="C1388" s="178" t="s">
        <v>3002</v>
      </c>
      <c r="D1388" s="36">
        <v>21800.0</v>
      </c>
      <c r="E1388" s="36" t="s">
        <v>1683</v>
      </c>
      <c r="F1388" s="178" t="s">
        <v>1683</v>
      </c>
    </row>
    <row r="1389">
      <c r="A1389" s="250">
        <v>45089.00077</v>
      </c>
      <c r="B1389" s="251" t="s">
        <v>2245</v>
      </c>
      <c r="C1389" s="178" t="s">
        <v>3003</v>
      </c>
      <c r="D1389" s="36" t="s">
        <v>1683</v>
      </c>
      <c r="E1389" s="36">
        <v>21800.0</v>
      </c>
      <c r="F1389" s="178" t="s">
        <v>1683</v>
      </c>
    </row>
    <row r="1390">
      <c r="A1390" s="250">
        <v>45090.0003</v>
      </c>
      <c r="B1390" s="251" t="s">
        <v>3004</v>
      </c>
      <c r="C1390" s="178" t="s">
        <v>3005</v>
      </c>
      <c r="D1390" s="36">
        <v>69500.0</v>
      </c>
      <c r="E1390" s="36" t="s">
        <v>1683</v>
      </c>
      <c r="F1390" s="178"/>
    </row>
    <row r="1391">
      <c r="A1391" s="250">
        <v>45090.0003</v>
      </c>
      <c r="B1391" s="251" t="s">
        <v>1752</v>
      </c>
      <c r="C1391" s="178" t="s">
        <v>3000</v>
      </c>
      <c r="D1391" s="36" t="s">
        <v>1683</v>
      </c>
      <c r="E1391" s="36">
        <v>69500.0</v>
      </c>
      <c r="F1391" s="178"/>
    </row>
    <row r="1392">
      <c r="A1392" s="250">
        <v>45091.00012</v>
      </c>
      <c r="B1392" s="251" t="s">
        <v>3006</v>
      </c>
      <c r="C1392" s="178" t="s">
        <v>3007</v>
      </c>
      <c r="D1392" s="36">
        <v>512244.0000000001</v>
      </c>
      <c r="E1392" s="36" t="s">
        <v>1683</v>
      </c>
      <c r="F1392" s="178" t="s">
        <v>104</v>
      </c>
    </row>
    <row r="1393">
      <c r="A1393" s="250">
        <v>45091.00012</v>
      </c>
      <c r="B1393" s="251" t="s">
        <v>1684</v>
      </c>
      <c r="C1393" s="178" t="s">
        <v>3008</v>
      </c>
      <c r="D1393" s="36" t="s">
        <v>1683</v>
      </c>
      <c r="E1393" s="36">
        <v>512244.0000000001</v>
      </c>
      <c r="F1393" s="178" t="s">
        <v>104</v>
      </c>
    </row>
    <row r="1394">
      <c r="A1394" s="250">
        <v>45091.00036</v>
      </c>
      <c r="B1394" s="251" t="s">
        <v>3006</v>
      </c>
      <c r="C1394" s="178" t="s">
        <v>3009</v>
      </c>
      <c r="D1394" s="36">
        <v>483786.00000000006</v>
      </c>
      <c r="E1394" s="36" t="s">
        <v>1683</v>
      </c>
      <c r="F1394" s="178" t="s">
        <v>104</v>
      </c>
    </row>
    <row r="1395">
      <c r="A1395" s="250">
        <v>45091.00036</v>
      </c>
      <c r="B1395" s="251" t="s">
        <v>1684</v>
      </c>
      <c r="C1395" s="178" t="s">
        <v>3010</v>
      </c>
      <c r="D1395" s="36" t="s">
        <v>1683</v>
      </c>
      <c r="E1395" s="36">
        <v>483786.00000000006</v>
      </c>
      <c r="F1395" s="178" t="s">
        <v>104</v>
      </c>
    </row>
    <row r="1396">
      <c r="A1396" s="250">
        <v>45091.00074</v>
      </c>
      <c r="B1396" s="251" t="s">
        <v>3006</v>
      </c>
      <c r="C1396" s="178" t="s">
        <v>3011</v>
      </c>
      <c r="D1396" s="36">
        <v>248999.99999999997</v>
      </c>
      <c r="E1396" s="36" t="s">
        <v>1683</v>
      </c>
      <c r="F1396" s="178" t="s">
        <v>104</v>
      </c>
    </row>
    <row r="1397">
      <c r="A1397" s="250">
        <v>45091.00074</v>
      </c>
      <c r="B1397" s="251" t="s">
        <v>1684</v>
      </c>
      <c r="C1397" s="178" t="s">
        <v>3012</v>
      </c>
      <c r="D1397" s="36" t="s">
        <v>1683</v>
      </c>
      <c r="E1397" s="36">
        <v>248999.99999999997</v>
      </c>
      <c r="F1397" s="178" t="s">
        <v>104</v>
      </c>
    </row>
    <row r="1398">
      <c r="A1398" s="250">
        <v>45091.00078</v>
      </c>
      <c r="B1398" s="251" t="s">
        <v>3013</v>
      </c>
      <c r="C1398" s="178" t="s">
        <v>3014</v>
      </c>
      <c r="D1398" s="36">
        <v>100.0</v>
      </c>
      <c r="E1398" s="36" t="s">
        <v>1683</v>
      </c>
      <c r="F1398" s="178" t="s">
        <v>1683</v>
      </c>
    </row>
    <row r="1399">
      <c r="A1399" s="250">
        <v>45091.00078</v>
      </c>
      <c r="B1399" s="251" t="s">
        <v>3015</v>
      </c>
      <c r="C1399" s="178" t="s">
        <v>3016</v>
      </c>
      <c r="D1399" s="36" t="s">
        <v>1683</v>
      </c>
      <c r="E1399" s="36">
        <v>100.0</v>
      </c>
      <c r="F1399" s="178" t="s">
        <v>1683</v>
      </c>
    </row>
    <row r="1400">
      <c r="A1400" s="250">
        <v>45092.00012</v>
      </c>
      <c r="B1400" s="251" t="s">
        <v>3017</v>
      </c>
      <c r="C1400" s="178" t="s">
        <v>3018</v>
      </c>
      <c r="D1400" s="36">
        <v>512244.0000000001</v>
      </c>
      <c r="E1400" s="36" t="s">
        <v>1683</v>
      </c>
      <c r="F1400" s="178" t="s">
        <v>104</v>
      </c>
    </row>
    <row r="1401">
      <c r="A1401" s="250">
        <v>45092.00012</v>
      </c>
      <c r="B1401" s="251" t="s">
        <v>3019</v>
      </c>
      <c r="C1401" s="178" t="s">
        <v>3007</v>
      </c>
      <c r="D1401" s="36" t="s">
        <v>1683</v>
      </c>
      <c r="E1401" s="36">
        <v>512244.0000000001</v>
      </c>
      <c r="F1401" s="178" t="s">
        <v>104</v>
      </c>
    </row>
    <row r="1402">
      <c r="A1402" s="250">
        <v>45092.00036</v>
      </c>
      <c r="B1402" s="251" t="s">
        <v>3020</v>
      </c>
      <c r="C1402" s="178" t="s">
        <v>3021</v>
      </c>
      <c r="D1402" s="36">
        <v>483786.00000000006</v>
      </c>
      <c r="E1402" s="36" t="s">
        <v>1683</v>
      </c>
      <c r="F1402" s="178" t="s">
        <v>104</v>
      </c>
    </row>
    <row r="1403">
      <c r="A1403" s="250">
        <v>45092.00036</v>
      </c>
      <c r="B1403" s="251" t="s">
        <v>3019</v>
      </c>
      <c r="C1403" s="178" t="s">
        <v>3009</v>
      </c>
      <c r="D1403" s="36" t="s">
        <v>1683</v>
      </c>
      <c r="E1403" s="36">
        <v>483786.00000000006</v>
      </c>
      <c r="F1403" s="178" t="s">
        <v>104</v>
      </c>
    </row>
    <row r="1404">
      <c r="A1404" s="250">
        <v>45092.00074</v>
      </c>
      <c r="B1404" s="251" t="s">
        <v>3022</v>
      </c>
      <c r="C1404" s="178" t="s">
        <v>3023</v>
      </c>
      <c r="D1404" s="36">
        <v>248999.99999999997</v>
      </c>
      <c r="E1404" s="36" t="s">
        <v>1683</v>
      </c>
      <c r="F1404" s="178" t="s">
        <v>104</v>
      </c>
    </row>
    <row r="1405">
      <c r="A1405" s="250">
        <v>45092.00074</v>
      </c>
      <c r="B1405" s="251" t="s">
        <v>3019</v>
      </c>
      <c r="C1405" s="178" t="s">
        <v>3011</v>
      </c>
      <c r="D1405" s="36" t="s">
        <v>1683</v>
      </c>
      <c r="E1405" s="36">
        <v>248999.99999999997</v>
      </c>
      <c r="F1405" s="178" t="s">
        <v>104</v>
      </c>
    </row>
    <row r="1406">
      <c r="A1406" s="250">
        <v>45095.00076</v>
      </c>
      <c r="B1406" s="251" t="s">
        <v>1783</v>
      </c>
      <c r="C1406" s="178" t="s">
        <v>3024</v>
      </c>
      <c r="D1406" s="36">
        <v>151200.0</v>
      </c>
      <c r="E1406" s="36" t="s">
        <v>1683</v>
      </c>
      <c r="F1406" s="178" t="s">
        <v>47</v>
      </c>
    </row>
    <row r="1407">
      <c r="A1407" s="250">
        <v>45095.00076</v>
      </c>
      <c r="B1407" s="251" t="s">
        <v>1684</v>
      </c>
      <c r="C1407" s="178" t="s">
        <v>3025</v>
      </c>
      <c r="D1407" s="36" t="s">
        <v>1683</v>
      </c>
      <c r="E1407" s="36">
        <v>151200.0</v>
      </c>
      <c r="F1407" s="178" t="s">
        <v>47</v>
      </c>
    </row>
    <row r="1408">
      <c r="A1408" s="250">
        <v>45099.00076</v>
      </c>
      <c r="B1408" s="251" t="s">
        <v>2272</v>
      </c>
      <c r="C1408" s="178" t="s">
        <v>3026</v>
      </c>
      <c r="D1408" s="36">
        <v>151200.0</v>
      </c>
      <c r="E1408" s="36" t="s">
        <v>1683</v>
      </c>
      <c r="F1408" s="178" t="s">
        <v>47</v>
      </c>
    </row>
    <row r="1409">
      <c r="A1409" s="250">
        <v>45099.00076</v>
      </c>
      <c r="B1409" s="251" t="s">
        <v>1802</v>
      </c>
      <c r="C1409" s="178" t="s">
        <v>3024</v>
      </c>
      <c r="D1409" s="36" t="s">
        <v>1683</v>
      </c>
      <c r="E1409" s="36">
        <v>151200.0</v>
      </c>
      <c r="F1409" s="178" t="s">
        <v>47</v>
      </c>
    </row>
    <row r="1410">
      <c r="A1410" s="250">
        <v>45099.59454</v>
      </c>
      <c r="B1410" s="251" t="s">
        <v>2000</v>
      </c>
      <c r="C1410" s="178" t="s">
        <v>3027</v>
      </c>
      <c r="D1410" s="36">
        <v>1800.0</v>
      </c>
      <c r="E1410" s="36" t="s">
        <v>1683</v>
      </c>
      <c r="F1410" s="178" t="s">
        <v>1683</v>
      </c>
    </row>
    <row r="1411">
      <c r="A1411" s="250">
        <v>45099.59454</v>
      </c>
      <c r="B1411" s="251" t="s">
        <v>2458</v>
      </c>
      <c r="C1411" s="178" t="s">
        <v>3028</v>
      </c>
      <c r="D1411" s="36" t="s">
        <v>1683</v>
      </c>
      <c r="E1411" s="36">
        <v>1800.0</v>
      </c>
      <c r="F1411" s="178" t="s">
        <v>1683</v>
      </c>
    </row>
    <row r="1412">
      <c r="A1412" s="250">
        <v>45107.45877333334</v>
      </c>
      <c r="B1412" s="251" t="s">
        <v>1627</v>
      </c>
      <c r="C1412" s="178" t="s">
        <v>3029</v>
      </c>
      <c r="D1412" s="36">
        <v>13500.0</v>
      </c>
      <c r="E1412" s="36" t="s">
        <v>1683</v>
      </c>
      <c r="F1412" s="178" t="s">
        <v>2756</v>
      </c>
    </row>
    <row r="1413">
      <c r="A1413" s="250">
        <v>45107.45877333334</v>
      </c>
      <c r="B1413" s="251" t="s">
        <v>1684</v>
      </c>
      <c r="C1413" s="178" t="s">
        <v>3030</v>
      </c>
      <c r="D1413" s="36" t="s">
        <v>1683</v>
      </c>
      <c r="E1413" s="36">
        <v>13500.0</v>
      </c>
      <c r="F1413" s="178" t="s">
        <v>2756</v>
      </c>
    </row>
    <row r="1414">
      <c r="A1414" s="250">
        <v>45117.00081</v>
      </c>
      <c r="B1414" s="251" t="s">
        <v>3031</v>
      </c>
      <c r="C1414" s="178" t="s">
        <v>3032</v>
      </c>
      <c r="D1414" s="36">
        <v>347.5</v>
      </c>
      <c r="E1414" s="36" t="s">
        <v>1683</v>
      </c>
      <c r="F1414" s="178" t="s">
        <v>1683</v>
      </c>
    </row>
    <row r="1415">
      <c r="A1415" s="250">
        <v>45117.00081</v>
      </c>
      <c r="B1415" s="251" t="s">
        <v>3033</v>
      </c>
      <c r="C1415" s="178" t="s">
        <v>3034</v>
      </c>
      <c r="D1415" s="36" t="s">
        <v>1683</v>
      </c>
      <c r="E1415" s="36">
        <v>347.5</v>
      </c>
      <c r="F1415" s="178" t="s">
        <v>1683</v>
      </c>
    </row>
    <row r="1416">
      <c r="A1416" s="250">
        <v>45122.00082</v>
      </c>
      <c r="B1416" s="251" t="s">
        <v>1930</v>
      </c>
      <c r="C1416" s="178" t="s">
        <v>3035</v>
      </c>
      <c r="D1416" s="36">
        <v>43860.0</v>
      </c>
      <c r="E1416" s="36" t="s">
        <v>1683</v>
      </c>
      <c r="F1416" s="178" t="s">
        <v>1683</v>
      </c>
    </row>
    <row r="1417">
      <c r="A1417" s="250">
        <v>45122.00082</v>
      </c>
      <c r="B1417" s="251" t="s">
        <v>2390</v>
      </c>
      <c r="C1417" s="178" t="s">
        <v>3036</v>
      </c>
      <c r="D1417" s="36" t="s">
        <v>1683</v>
      </c>
      <c r="E1417" s="36">
        <v>43860.0</v>
      </c>
      <c r="F1417" s="178" t="s">
        <v>1683</v>
      </c>
    </row>
    <row r="1418">
      <c r="A1418" s="250">
        <v>45122.00083</v>
      </c>
      <c r="B1418" s="251" t="s">
        <v>2210</v>
      </c>
      <c r="C1418" s="178" t="s">
        <v>3037</v>
      </c>
      <c r="D1418" s="36">
        <v>43860.0</v>
      </c>
      <c r="E1418" s="36" t="s">
        <v>1683</v>
      </c>
      <c r="F1418" s="178" t="s">
        <v>1683</v>
      </c>
    </row>
    <row r="1419">
      <c r="A1419" s="250">
        <v>45122.00083</v>
      </c>
      <c r="B1419" s="251" t="s">
        <v>2212</v>
      </c>
      <c r="C1419" s="178" t="s">
        <v>3038</v>
      </c>
      <c r="D1419" s="36" t="s">
        <v>1683</v>
      </c>
      <c r="E1419" s="36">
        <v>43860.0</v>
      </c>
      <c r="F1419" s="178" t="s">
        <v>1683</v>
      </c>
    </row>
    <row r="1420">
      <c r="A1420" s="250">
        <v>45128.04395605324</v>
      </c>
      <c r="B1420" s="251" t="s">
        <v>1783</v>
      </c>
      <c r="C1420" s="178" t="s">
        <v>3039</v>
      </c>
      <c r="D1420" s="36">
        <v>251999.99999999997</v>
      </c>
      <c r="E1420" s="36" t="s">
        <v>1683</v>
      </c>
      <c r="F1420" s="178" t="s">
        <v>47</v>
      </c>
    </row>
    <row r="1421">
      <c r="A1421" s="250">
        <v>45128.04395605324</v>
      </c>
      <c r="B1421" s="251" t="s">
        <v>1684</v>
      </c>
      <c r="C1421" s="178" t="s">
        <v>3040</v>
      </c>
      <c r="D1421" s="36" t="s">
        <v>1683</v>
      </c>
      <c r="E1421" s="36">
        <v>251999.99999999997</v>
      </c>
      <c r="F1421" s="178" t="s">
        <v>47</v>
      </c>
    </row>
    <row r="1422">
      <c r="A1422" s="250">
        <v>45128.04508452547</v>
      </c>
      <c r="B1422" s="251" t="s">
        <v>1783</v>
      </c>
      <c r="C1422" s="178" t="s">
        <v>3041</v>
      </c>
      <c r="D1422" s="36">
        <v>353100.0</v>
      </c>
      <c r="E1422" s="36" t="s">
        <v>1683</v>
      </c>
      <c r="F1422" s="178" t="s">
        <v>47</v>
      </c>
    </row>
    <row r="1423">
      <c r="A1423" s="250">
        <v>45128.04508452547</v>
      </c>
      <c r="B1423" s="251" t="s">
        <v>1684</v>
      </c>
      <c r="C1423" s="178" t="s">
        <v>3042</v>
      </c>
      <c r="D1423" s="36" t="s">
        <v>1683</v>
      </c>
      <c r="E1423" s="36">
        <v>353100.0</v>
      </c>
      <c r="F1423" s="178" t="s">
        <v>47</v>
      </c>
    </row>
    <row r="1424">
      <c r="A1424" s="250">
        <v>45129.00028</v>
      </c>
      <c r="B1424" s="251" t="s">
        <v>1927</v>
      </c>
      <c r="C1424" s="178" t="s">
        <v>3043</v>
      </c>
      <c r="D1424" s="36">
        <v>5720000.0</v>
      </c>
      <c r="E1424" s="36" t="s">
        <v>1683</v>
      </c>
      <c r="F1424" s="178" t="s">
        <v>159</v>
      </c>
    </row>
    <row r="1425">
      <c r="A1425" s="250">
        <v>45129.00028</v>
      </c>
      <c r="B1425" s="251" t="s">
        <v>2824</v>
      </c>
      <c r="C1425" s="178" t="s">
        <v>2982</v>
      </c>
      <c r="D1425" s="36" t="s">
        <v>1683</v>
      </c>
      <c r="E1425" s="36">
        <v>5720000.0</v>
      </c>
      <c r="F1425" s="178" t="s">
        <v>159</v>
      </c>
    </row>
    <row r="1426">
      <c r="A1426" s="250">
        <v>45129.0004</v>
      </c>
      <c r="B1426" s="251" t="s">
        <v>2685</v>
      </c>
      <c r="C1426" s="178" t="s">
        <v>3044</v>
      </c>
      <c r="D1426" s="36">
        <v>9810000.0</v>
      </c>
      <c r="E1426" s="36" t="s">
        <v>1683</v>
      </c>
      <c r="F1426" s="178" t="s">
        <v>159</v>
      </c>
    </row>
    <row r="1427">
      <c r="A1427" s="250">
        <v>45129.0004</v>
      </c>
      <c r="B1427" s="251" t="s">
        <v>2824</v>
      </c>
      <c r="C1427" s="178" t="s">
        <v>2984</v>
      </c>
      <c r="D1427" s="36" t="s">
        <v>1683</v>
      </c>
      <c r="E1427" s="36">
        <v>9810000.0</v>
      </c>
      <c r="F1427" s="178" t="s">
        <v>159</v>
      </c>
    </row>
    <row r="1428">
      <c r="A1428" s="250">
        <v>45129.00068</v>
      </c>
      <c r="B1428" s="251" t="s">
        <v>2848</v>
      </c>
      <c r="C1428" s="178" t="s">
        <v>3045</v>
      </c>
      <c r="D1428" s="36">
        <v>9581000.0</v>
      </c>
      <c r="E1428" s="36" t="s">
        <v>1683</v>
      </c>
      <c r="F1428" s="178" t="s">
        <v>159</v>
      </c>
    </row>
    <row r="1429">
      <c r="A1429" s="250">
        <v>45129.00068</v>
      </c>
      <c r="B1429" s="251" t="s">
        <v>2824</v>
      </c>
      <c r="C1429" s="178" t="s">
        <v>2991</v>
      </c>
      <c r="D1429" s="36" t="s">
        <v>1683</v>
      </c>
      <c r="E1429" s="36">
        <v>9581000.0</v>
      </c>
      <c r="F1429" s="178" t="s">
        <v>159</v>
      </c>
    </row>
    <row r="1430">
      <c r="A1430" s="250">
        <v>45132.00059</v>
      </c>
      <c r="B1430" s="251" t="s">
        <v>3046</v>
      </c>
      <c r="C1430" s="178" t="s">
        <v>3047</v>
      </c>
      <c r="D1430" s="36">
        <v>2900018.6666666665</v>
      </c>
      <c r="E1430" s="36" t="s">
        <v>1683</v>
      </c>
      <c r="F1430" s="178" t="s">
        <v>188</v>
      </c>
    </row>
    <row r="1431">
      <c r="A1431" s="250">
        <v>45132.00059</v>
      </c>
      <c r="B1431" s="251" t="s">
        <v>3048</v>
      </c>
      <c r="C1431" s="178" t="s">
        <v>2964</v>
      </c>
      <c r="D1431" s="36" t="s">
        <v>1683</v>
      </c>
      <c r="E1431" s="36">
        <v>2900018.6666666665</v>
      </c>
      <c r="F1431" s="178" t="s">
        <v>188</v>
      </c>
    </row>
    <row r="1432">
      <c r="A1432" s="250">
        <v>45132.00067</v>
      </c>
      <c r="B1432" s="251" t="s">
        <v>2068</v>
      </c>
      <c r="C1432" s="178" t="s">
        <v>3049</v>
      </c>
      <c r="D1432" s="36">
        <v>4000018.6666666665</v>
      </c>
      <c r="E1432" s="36" t="s">
        <v>1683</v>
      </c>
      <c r="F1432" s="178" t="s">
        <v>188</v>
      </c>
    </row>
    <row r="1433">
      <c r="A1433" s="250">
        <v>45132.00067</v>
      </c>
      <c r="B1433" s="251" t="s">
        <v>3048</v>
      </c>
      <c r="C1433" s="178" t="s">
        <v>2966</v>
      </c>
      <c r="D1433" s="36" t="s">
        <v>1683</v>
      </c>
      <c r="E1433" s="36">
        <v>4000018.6666666665</v>
      </c>
      <c r="F1433" s="178" t="s">
        <v>188</v>
      </c>
    </row>
    <row r="1434">
      <c r="A1434" s="250">
        <v>45132.00073</v>
      </c>
      <c r="B1434" s="251" t="s">
        <v>2064</v>
      </c>
      <c r="C1434" s="178" t="s">
        <v>3050</v>
      </c>
      <c r="D1434" s="36">
        <v>3.600001866666667E7</v>
      </c>
      <c r="E1434" s="36" t="s">
        <v>1683</v>
      </c>
      <c r="F1434" s="178" t="s">
        <v>188</v>
      </c>
    </row>
    <row r="1435">
      <c r="A1435" s="250">
        <v>45132.00073</v>
      </c>
      <c r="B1435" s="251" t="s">
        <v>3048</v>
      </c>
      <c r="C1435" s="178" t="s">
        <v>2968</v>
      </c>
      <c r="D1435" s="36" t="s">
        <v>1683</v>
      </c>
      <c r="E1435" s="36">
        <v>3.600001866666667E7</v>
      </c>
      <c r="F1435" s="178" t="s">
        <v>188</v>
      </c>
    </row>
    <row r="1436">
      <c r="A1436" s="250">
        <v>45132.00074</v>
      </c>
      <c r="B1436" s="251" t="s">
        <v>2272</v>
      </c>
      <c r="C1436" s="178" t="s">
        <v>3051</v>
      </c>
      <c r="D1436" s="36">
        <v>353100.0</v>
      </c>
      <c r="E1436" s="36" t="s">
        <v>1683</v>
      </c>
      <c r="F1436" s="178" t="s">
        <v>47</v>
      </c>
    </row>
    <row r="1437">
      <c r="A1437" s="250">
        <v>45132.00074</v>
      </c>
      <c r="B1437" s="251" t="s">
        <v>1802</v>
      </c>
      <c r="C1437" s="178" t="s">
        <v>3041</v>
      </c>
      <c r="D1437" s="36" t="s">
        <v>1683</v>
      </c>
      <c r="E1437" s="36">
        <v>353100.0</v>
      </c>
      <c r="F1437" s="178" t="s">
        <v>47</v>
      </c>
    </row>
    <row r="1438">
      <c r="A1438" s="250">
        <v>45132.00075</v>
      </c>
      <c r="B1438" s="251" t="s">
        <v>2272</v>
      </c>
      <c r="C1438" s="178" t="s">
        <v>3052</v>
      </c>
      <c r="D1438" s="36">
        <v>251999.99999999997</v>
      </c>
      <c r="E1438" s="36" t="s">
        <v>1683</v>
      </c>
      <c r="F1438" s="178" t="s">
        <v>47</v>
      </c>
    </row>
    <row r="1439">
      <c r="A1439" s="250">
        <v>45132.00075</v>
      </c>
      <c r="B1439" s="251" t="s">
        <v>1802</v>
      </c>
      <c r="C1439" s="178" t="s">
        <v>3039</v>
      </c>
      <c r="D1439" s="36" t="s">
        <v>1683</v>
      </c>
      <c r="E1439" s="36">
        <v>251999.99999999997</v>
      </c>
      <c r="F1439" s="178" t="s">
        <v>47</v>
      </c>
    </row>
    <row r="1440">
      <c r="A1440" s="250">
        <v>45133.00049</v>
      </c>
      <c r="B1440" s="251" t="s">
        <v>1747</v>
      </c>
      <c r="C1440" s="178" t="s">
        <v>3053</v>
      </c>
      <c r="D1440" s="36">
        <v>501300.0</v>
      </c>
      <c r="E1440" s="36" t="s">
        <v>1683</v>
      </c>
      <c r="F1440" s="178"/>
    </row>
    <row r="1441">
      <c r="A1441" s="250">
        <v>45133.00049</v>
      </c>
      <c r="B1441" s="251" t="s">
        <v>1684</v>
      </c>
      <c r="C1441" s="178" t="s">
        <v>3054</v>
      </c>
      <c r="D1441" s="36" t="s">
        <v>1683</v>
      </c>
      <c r="E1441" s="36">
        <v>501300.0</v>
      </c>
      <c r="F1441" s="178"/>
    </row>
    <row r="1442">
      <c r="A1442" s="250">
        <v>45151.47928945602</v>
      </c>
      <c r="B1442" s="251" t="s">
        <v>1640</v>
      </c>
      <c r="C1442" s="178" t="s">
        <v>3055</v>
      </c>
      <c r="D1442" s="36">
        <v>25998.0</v>
      </c>
      <c r="E1442" s="36" t="s">
        <v>1683</v>
      </c>
      <c r="F1442" s="178" t="s">
        <v>1650</v>
      </c>
    </row>
    <row r="1443">
      <c r="A1443" s="250">
        <v>45151.47928945602</v>
      </c>
      <c r="B1443" s="251" t="s">
        <v>1684</v>
      </c>
      <c r="C1443" s="178" t="s">
        <v>3056</v>
      </c>
      <c r="D1443" s="36" t="s">
        <v>1683</v>
      </c>
      <c r="E1443" s="36">
        <v>25998.0</v>
      </c>
      <c r="F1443" s="178" t="s">
        <v>1650</v>
      </c>
    </row>
    <row r="1444">
      <c r="A1444" s="250">
        <v>45154.56939046296</v>
      </c>
      <c r="B1444" s="251" t="s">
        <v>1839</v>
      </c>
      <c r="C1444" s="178" t="s">
        <v>3057</v>
      </c>
      <c r="D1444" s="36">
        <v>501300.0</v>
      </c>
      <c r="E1444" s="36" t="s">
        <v>1683</v>
      </c>
      <c r="F1444" s="178"/>
    </row>
    <row r="1445">
      <c r="A1445" s="250">
        <v>45154.56939046296</v>
      </c>
      <c r="B1445" s="251" t="s">
        <v>1752</v>
      </c>
      <c r="C1445" s="178" t="s">
        <v>3053</v>
      </c>
      <c r="D1445" s="36" t="s">
        <v>1683</v>
      </c>
      <c r="E1445" s="36">
        <v>501300.0</v>
      </c>
      <c r="F1445" s="178"/>
    </row>
    <row r="1446">
      <c r="A1446" s="250">
        <v>45167.37226907407</v>
      </c>
      <c r="B1446" s="251" t="s">
        <v>3058</v>
      </c>
      <c r="C1446" s="178" t="s">
        <v>3059</v>
      </c>
      <c r="D1446" s="36">
        <v>102651.4615384614</v>
      </c>
      <c r="E1446" s="36" t="s">
        <v>1683</v>
      </c>
      <c r="F1446" s="178" t="s">
        <v>1683</v>
      </c>
    </row>
    <row r="1447">
      <c r="A1447" s="250">
        <v>45167.37226907407</v>
      </c>
      <c r="B1447" s="251" t="s">
        <v>3060</v>
      </c>
      <c r="C1447" s="178" t="s">
        <v>3061</v>
      </c>
      <c r="D1447" s="36" t="s">
        <v>1683</v>
      </c>
      <c r="E1447" s="36">
        <v>102651.4615384614</v>
      </c>
      <c r="F1447" s="178" t="s">
        <v>1683</v>
      </c>
    </row>
    <row r="1448">
      <c r="A1448" s="250">
        <v>45177.68350888889</v>
      </c>
      <c r="B1448" s="251" t="s">
        <v>1844</v>
      </c>
      <c r="C1448" s="178" t="s">
        <v>3062</v>
      </c>
      <c r="D1448" s="36">
        <v>2700.0</v>
      </c>
      <c r="E1448" s="36" t="s">
        <v>1683</v>
      </c>
      <c r="F1448" s="178" t="s">
        <v>1683</v>
      </c>
    </row>
    <row r="1449">
      <c r="A1449" s="250">
        <v>45177.68350888889</v>
      </c>
      <c r="B1449" s="251" t="s">
        <v>2044</v>
      </c>
      <c r="C1449" s="178" t="s">
        <v>3063</v>
      </c>
      <c r="D1449" s="36" t="s">
        <v>1683</v>
      </c>
      <c r="E1449" s="36">
        <v>2700.0</v>
      </c>
      <c r="F1449" s="178" t="s">
        <v>1683</v>
      </c>
    </row>
    <row r="1450">
      <c r="A1450" s="250">
        <v>45177.683530462964</v>
      </c>
      <c r="B1450" s="251" t="s">
        <v>2227</v>
      </c>
      <c r="C1450" s="178" t="s">
        <v>3064</v>
      </c>
      <c r="D1450" s="36">
        <v>2288.0</v>
      </c>
      <c r="E1450" s="36" t="s">
        <v>1683</v>
      </c>
      <c r="F1450" s="178" t="s">
        <v>1683</v>
      </c>
    </row>
    <row r="1451">
      <c r="A1451" s="250">
        <v>45177.683530462964</v>
      </c>
      <c r="B1451" s="251" t="s">
        <v>2229</v>
      </c>
      <c r="C1451" s="178" t="s">
        <v>3065</v>
      </c>
      <c r="D1451" s="36" t="s">
        <v>1683</v>
      </c>
      <c r="E1451" s="36">
        <v>2288.0</v>
      </c>
      <c r="F1451" s="178" t="s">
        <v>1683</v>
      </c>
    </row>
    <row r="1452">
      <c r="A1452" s="250">
        <v>45178.44214666667</v>
      </c>
      <c r="B1452" s="251" t="s">
        <v>1627</v>
      </c>
      <c r="C1452" s="178" t="s">
        <v>3066</v>
      </c>
      <c r="D1452" s="36">
        <v>21650.0</v>
      </c>
      <c r="E1452" s="36" t="s">
        <v>1683</v>
      </c>
      <c r="F1452" s="178" t="s">
        <v>1651</v>
      </c>
    </row>
    <row r="1453">
      <c r="A1453" s="250">
        <v>45178.44214666667</v>
      </c>
      <c r="B1453" s="251" t="s">
        <v>1684</v>
      </c>
      <c r="C1453" s="178" t="s">
        <v>3067</v>
      </c>
      <c r="D1453" s="36" t="s">
        <v>1683</v>
      </c>
      <c r="E1453" s="36">
        <v>21650.0</v>
      </c>
      <c r="F1453" s="178" t="s">
        <v>1651</v>
      </c>
    </row>
    <row r="1454">
      <c r="A1454" s="250">
        <v>45186.521323333334</v>
      </c>
      <c r="B1454" s="251" t="s">
        <v>1627</v>
      </c>
      <c r="C1454" s="178" t="s">
        <v>3068</v>
      </c>
      <c r="D1454" s="36">
        <v>21240.0</v>
      </c>
      <c r="E1454" s="36" t="s">
        <v>1683</v>
      </c>
      <c r="F1454" s="178" t="s">
        <v>1652</v>
      </c>
    </row>
    <row r="1455">
      <c r="A1455" s="250">
        <v>45186.521323333334</v>
      </c>
      <c r="B1455" s="251" t="s">
        <v>1684</v>
      </c>
      <c r="C1455" s="178" t="s">
        <v>3069</v>
      </c>
      <c r="D1455" s="36" t="s">
        <v>1683</v>
      </c>
      <c r="E1455" s="36">
        <v>21240.0</v>
      </c>
      <c r="F1455" s="178" t="s">
        <v>1652</v>
      </c>
    </row>
    <row r="1456">
      <c r="A1456" s="250">
        <v>45194.0009</v>
      </c>
      <c r="B1456" s="251" t="s">
        <v>1990</v>
      </c>
      <c r="C1456" s="178" t="s">
        <v>3070</v>
      </c>
      <c r="D1456" s="36">
        <v>2750.0</v>
      </c>
      <c r="E1456" s="36" t="s">
        <v>1683</v>
      </c>
      <c r="F1456" s="178" t="s">
        <v>1683</v>
      </c>
    </row>
    <row r="1457">
      <c r="A1457" s="250">
        <v>45194.0009</v>
      </c>
      <c r="B1457" s="251" t="s">
        <v>1992</v>
      </c>
      <c r="C1457" s="178" t="s">
        <v>3071</v>
      </c>
      <c r="D1457" s="36" t="s">
        <v>1683</v>
      </c>
      <c r="E1457" s="36">
        <v>2750.0</v>
      </c>
      <c r="F1457" s="178" t="s">
        <v>1683</v>
      </c>
    </row>
    <row r="1458">
      <c r="A1458" s="250">
        <v>45202.3542125</v>
      </c>
      <c r="B1458" s="251" t="s">
        <v>2766</v>
      </c>
      <c r="C1458" s="178" t="s">
        <v>3072</v>
      </c>
      <c r="D1458" s="36">
        <v>1652000.0</v>
      </c>
      <c r="E1458" s="36" t="s">
        <v>1683</v>
      </c>
      <c r="F1458" s="178" t="s">
        <v>46</v>
      </c>
    </row>
    <row r="1459">
      <c r="A1459" s="250">
        <v>45202.3542125</v>
      </c>
      <c r="B1459" s="251" t="s">
        <v>1684</v>
      </c>
      <c r="C1459" s="178" t="s">
        <v>3073</v>
      </c>
      <c r="D1459" s="36" t="s">
        <v>1683</v>
      </c>
      <c r="E1459" s="36">
        <v>1652000.0</v>
      </c>
      <c r="F1459" s="178" t="s">
        <v>46</v>
      </c>
    </row>
    <row r="1460">
      <c r="A1460" s="250">
        <v>45202.354352500006</v>
      </c>
      <c r="B1460" s="251" t="s">
        <v>2766</v>
      </c>
      <c r="C1460" s="178" t="s">
        <v>3074</v>
      </c>
      <c r="D1460" s="36">
        <v>1800000.0</v>
      </c>
      <c r="E1460" s="36" t="s">
        <v>1683</v>
      </c>
      <c r="F1460" s="178" t="s">
        <v>46</v>
      </c>
    </row>
    <row r="1461">
      <c r="A1461" s="250">
        <v>45202.354352500006</v>
      </c>
      <c r="B1461" s="251" t="s">
        <v>1684</v>
      </c>
      <c r="C1461" s="178" t="s">
        <v>3075</v>
      </c>
      <c r="D1461" s="36" t="s">
        <v>1683</v>
      </c>
      <c r="E1461" s="36">
        <v>1800000.0</v>
      </c>
      <c r="F1461" s="178" t="s">
        <v>46</v>
      </c>
    </row>
    <row r="1462">
      <c r="A1462" s="250">
        <v>45202.3544225</v>
      </c>
      <c r="B1462" s="251" t="s">
        <v>2766</v>
      </c>
      <c r="C1462" s="178" t="s">
        <v>3076</v>
      </c>
      <c r="D1462" s="36">
        <v>2049000.0000000002</v>
      </c>
      <c r="E1462" s="36" t="s">
        <v>1683</v>
      </c>
      <c r="F1462" s="178" t="s">
        <v>46</v>
      </c>
    </row>
    <row r="1463">
      <c r="A1463" s="250">
        <v>45202.3544225</v>
      </c>
      <c r="B1463" s="251" t="s">
        <v>1684</v>
      </c>
      <c r="C1463" s="178" t="s">
        <v>3077</v>
      </c>
      <c r="D1463" s="36" t="s">
        <v>1683</v>
      </c>
      <c r="E1463" s="36">
        <v>2049000.0000000002</v>
      </c>
      <c r="F1463" s="178" t="s">
        <v>46</v>
      </c>
    </row>
    <row r="1464">
      <c r="A1464" s="250">
        <v>45202.3544425</v>
      </c>
      <c r="B1464" s="251" t="s">
        <v>2766</v>
      </c>
      <c r="C1464" s="178" t="s">
        <v>3078</v>
      </c>
      <c r="D1464" s="36">
        <v>1265000.0000000002</v>
      </c>
      <c r="E1464" s="36" t="s">
        <v>1683</v>
      </c>
      <c r="F1464" s="178" t="s">
        <v>46</v>
      </c>
    </row>
    <row r="1465">
      <c r="A1465" s="250">
        <v>45202.3544425</v>
      </c>
      <c r="B1465" s="251" t="s">
        <v>1684</v>
      </c>
      <c r="C1465" s="178" t="s">
        <v>3079</v>
      </c>
      <c r="D1465" s="36" t="s">
        <v>1683</v>
      </c>
      <c r="E1465" s="36">
        <v>1265000.0000000002</v>
      </c>
      <c r="F1465" s="178" t="s">
        <v>46</v>
      </c>
    </row>
    <row r="1466">
      <c r="A1466" s="250">
        <v>45202.3545525</v>
      </c>
      <c r="B1466" s="251" t="s">
        <v>2766</v>
      </c>
      <c r="C1466" s="178" t="s">
        <v>3080</v>
      </c>
      <c r="D1466" s="36">
        <v>8267999.999999999</v>
      </c>
      <c r="E1466" s="36" t="s">
        <v>1683</v>
      </c>
      <c r="F1466" s="178" t="s">
        <v>46</v>
      </c>
    </row>
    <row r="1467">
      <c r="A1467" s="250">
        <v>45202.3545525</v>
      </c>
      <c r="B1467" s="251" t="s">
        <v>1684</v>
      </c>
      <c r="C1467" s="178" t="s">
        <v>3081</v>
      </c>
      <c r="D1467" s="36" t="s">
        <v>1683</v>
      </c>
      <c r="E1467" s="36">
        <v>8267999.999999999</v>
      </c>
      <c r="F1467" s="178" t="s">
        <v>46</v>
      </c>
    </row>
    <row r="1468">
      <c r="A1468" s="250">
        <v>45202.354712500004</v>
      </c>
      <c r="B1468" s="251" t="s">
        <v>2766</v>
      </c>
      <c r="C1468" s="178" t="s">
        <v>3082</v>
      </c>
      <c r="D1468" s="36">
        <v>5512000.0</v>
      </c>
      <c r="E1468" s="36" t="s">
        <v>1683</v>
      </c>
      <c r="F1468" s="178" t="s">
        <v>46</v>
      </c>
    </row>
    <row r="1469">
      <c r="A1469" s="250">
        <v>45202.354712500004</v>
      </c>
      <c r="B1469" s="251" t="s">
        <v>1684</v>
      </c>
      <c r="C1469" s="178" t="s">
        <v>3083</v>
      </c>
      <c r="D1469" s="36" t="s">
        <v>1683</v>
      </c>
      <c r="E1469" s="36">
        <v>5512000.0</v>
      </c>
      <c r="F1469" s="178" t="s">
        <v>46</v>
      </c>
    </row>
    <row r="1470">
      <c r="A1470" s="250">
        <v>45202.45714685185</v>
      </c>
      <c r="B1470" s="251" t="s">
        <v>2266</v>
      </c>
      <c r="C1470" s="178" t="s">
        <v>3084</v>
      </c>
      <c r="D1470" s="36">
        <v>8199.0</v>
      </c>
      <c r="E1470" s="36" t="s">
        <v>1683</v>
      </c>
      <c r="F1470" s="178" t="s">
        <v>1683</v>
      </c>
    </row>
    <row r="1471">
      <c r="A1471" s="250">
        <v>45202.45714685185</v>
      </c>
      <c r="B1471" s="251" t="s">
        <v>2420</v>
      </c>
      <c r="C1471" s="178" t="s">
        <v>3085</v>
      </c>
      <c r="D1471" s="36" t="s">
        <v>1683</v>
      </c>
      <c r="E1471" s="36">
        <v>8199.0</v>
      </c>
      <c r="F1471" s="178" t="s">
        <v>1683</v>
      </c>
    </row>
    <row r="1472">
      <c r="A1472" s="250">
        <v>45203.72245777778</v>
      </c>
      <c r="B1472" s="251" t="s">
        <v>1844</v>
      </c>
      <c r="C1472" s="178" t="s">
        <v>3086</v>
      </c>
      <c r="D1472" s="36">
        <v>6750.0</v>
      </c>
      <c r="E1472" s="36" t="s">
        <v>1683</v>
      </c>
      <c r="F1472" s="178" t="s">
        <v>1683</v>
      </c>
    </row>
    <row r="1473">
      <c r="A1473" s="250">
        <v>45203.72245777778</v>
      </c>
      <c r="B1473" s="251" t="s">
        <v>2044</v>
      </c>
      <c r="C1473" s="178" t="s">
        <v>3087</v>
      </c>
      <c r="D1473" s="36" t="s">
        <v>1683</v>
      </c>
      <c r="E1473" s="36">
        <v>6750.0</v>
      </c>
      <c r="F1473" s="178" t="s">
        <v>1683</v>
      </c>
    </row>
    <row r="1474">
      <c r="A1474" s="250">
        <v>45203.72246777778</v>
      </c>
      <c r="B1474" s="251" t="s">
        <v>2227</v>
      </c>
      <c r="C1474" s="178" t="s">
        <v>3088</v>
      </c>
      <c r="D1474" s="36">
        <v>5720.0</v>
      </c>
      <c r="E1474" s="36" t="s">
        <v>1683</v>
      </c>
      <c r="F1474" s="178" t="s">
        <v>1683</v>
      </c>
    </row>
    <row r="1475">
      <c r="A1475" s="250">
        <v>45203.72246777778</v>
      </c>
      <c r="B1475" s="251" t="s">
        <v>2229</v>
      </c>
      <c r="C1475" s="178" t="s">
        <v>3089</v>
      </c>
      <c r="D1475" s="36" t="s">
        <v>1683</v>
      </c>
      <c r="E1475" s="36">
        <v>5720.0</v>
      </c>
      <c r="F1475" s="178" t="s">
        <v>1683</v>
      </c>
    </row>
    <row r="1476">
      <c r="A1476" s="250">
        <v>45204.55192135417</v>
      </c>
      <c r="B1476" s="251" t="s">
        <v>2000</v>
      </c>
      <c r="C1476" s="178" t="s">
        <v>3090</v>
      </c>
      <c r="D1476" s="36">
        <v>29694.907</v>
      </c>
      <c r="E1476" s="36" t="s">
        <v>1683</v>
      </c>
      <c r="F1476" s="178" t="s">
        <v>1683</v>
      </c>
    </row>
    <row r="1477">
      <c r="A1477" s="250">
        <v>45204.55192135417</v>
      </c>
      <c r="B1477" s="251" t="s">
        <v>2458</v>
      </c>
      <c r="C1477" s="178" t="s">
        <v>3091</v>
      </c>
      <c r="D1477" s="36" t="s">
        <v>1683</v>
      </c>
      <c r="E1477" s="36">
        <v>29694.907</v>
      </c>
      <c r="F1477" s="178" t="s">
        <v>1683</v>
      </c>
    </row>
    <row r="1478">
      <c r="A1478" s="250">
        <v>45207.806503981476</v>
      </c>
      <c r="B1478" s="251" t="s">
        <v>1990</v>
      </c>
      <c r="C1478" s="178" t="s">
        <v>3092</v>
      </c>
      <c r="D1478" s="36">
        <v>5500.0</v>
      </c>
      <c r="E1478" s="36" t="s">
        <v>1683</v>
      </c>
      <c r="F1478" s="178" t="s">
        <v>1683</v>
      </c>
    </row>
    <row r="1479">
      <c r="A1479" s="250">
        <v>45207.806503981476</v>
      </c>
      <c r="B1479" s="251" t="s">
        <v>1992</v>
      </c>
      <c r="C1479" s="178" t="s">
        <v>3093</v>
      </c>
      <c r="D1479" s="36" t="s">
        <v>1683</v>
      </c>
      <c r="E1479" s="36">
        <v>5500.0</v>
      </c>
      <c r="F1479" s="178" t="s">
        <v>1683</v>
      </c>
    </row>
    <row r="1480">
      <c r="A1480" s="250">
        <v>45209.62551</v>
      </c>
      <c r="B1480" s="251" t="s">
        <v>1607</v>
      </c>
      <c r="C1480" s="178" t="s">
        <v>3094</v>
      </c>
      <c r="D1480" s="36">
        <v>54500.0</v>
      </c>
      <c r="E1480" s="36" t="s">
        <v>1683</v>
      </c>
      <c r="F1480" s="178" t="s">
        <v>2874</v>
      </c>
    </row>
    <row r="1481">
      <c r="A1481" s="250">
        <v>45209.62551</v>
      </c>
      <c r="B1481" s="251" t="s">
        <v>1684</v>
      </c>
      <c r="C1481" s="178" t="s">
        <v>3095</v>
      </c>
      <c r="D1481" s="36" t="s">
        <v>1683</v>
      </c>
      <c r="E1481" s="36">
        <v>54500.0</v>
      </c>
      <c r="F1481" s="178" t="s">
        <v>2874</v>
      </c>
    </row>
    <row r="1482">
      <c r="A1482" s="250">
        <v>45211.98777</v>
      </c>
      <c r="B1482" s="251" t="s">
        <v>1702</v>
      </c>
      <c r="C1482" s="178" t="s">
        <v>3096</v>
      </c>
      <c r="D1482" s="36">
        <v>20524.0</v>
      </c>
      <c r="E1482" s="36" t="s">
        <v>1683</v>
      </c>
      <c r="F1482" s="178" t="s">
        <v>649</v>
      </c>
    </row>
    <row r="1483">
      <c r="A1483" s="250">
        <v>45211.98777</v>
      </c>
      <c r="B1483" s="251" t="s">
        <v>1684</v>
      </c>
      <c r="C1483" s="178" t="s">
        <v>3097</v>
      </c>
      <c r="D1483" s="36" t="s">
        <v>1683</v>
      </c>
      <c r="E1483" s="36">
        <v>20524.0</v>
      </c>
      <c r="F1483" s="178" t="s">
        <v>649</v>
      </c>
    </row>
    <row r="1484">
      <c r="A1484" s="250">
        <v>45213.56024896991</v>
      </c>
      <c r="B1484" s="251" t="s">
        <v>2497</v>
      </c>
      <c r="C1484" s="178" t="s">
        <v>3098</v>
      </c>
      <c r="D1484" s="36">
        <v>6651.25</v>
      </c>
      <c r="E1484" s="36" t="s">
        <v>1683</v>
      </c>
      <c r="F1484" s="178" t="s">
        <v>1683</v>
      </c>
    </row>
    <row r="1485">
      <c r="A1485" s="250">
        <v>45213.56024896991</v>
      </c>
      <c r="B1485" s="251" t="s">
        <v>3099</v>
      </c>
      <c r="C1485" s="178" t="s">
        <v>3100</v>
      </c>
      <c r="D1485" s="36" t="s">
        <v>1683</v>
      </c>
      <c r="E1485" s="36">
        <v>6651.25</v>
      </c>
      <c r="F1485" s="178" t="s">
        <v>1683</v>
      </c>
    </row>
    <row r="1486">
      <c r="A1486" s="250">
        <v>45215.53472222222</v>
      </c>
      <c r="B1486" s="251" t="s">
        <v>2841</v>
      </c>
      <c r="C1486" s="178" t="s">
        <v>3101</v>
      </c>
      <c r="D1486" s="36">
        <v>65254.0</v>
      </c>
      <c r="E1486" s="36" t="s">
        <v>1683</v>
      </c>
      <c r="F1486" s="178" t="s">
        <v>1683</v>
      </c>
    </row>
    <row r="1487">
      <c r="A1487" s="250">
        <v>45215.53472222222</v>
      </c>
      <c r="B1487" s="251" t="s">
        <v>3102</v>
      </c>
      <c r="C1487" s="178" t="s">
        <v>3103</v>
      </c>
      <c r="D1487" s="36" t="s">
        <v>1683</v>
      </c>
      <c r="E1487" s="36">
        <v>65254.0</v>
      </c>
      <c r="F1487" s="178" t="s">
        <v>1683</v>
      </c>
    </row>
    <row r="1488">
      <c r="A1488" s="250">
        <v>45216.00011</v>
      </c>
      <c r="B1488" s="251" t="s">
        <v>3006</v>
      </c>
      <c r="C1488" s="178" t="s">
        <v>3104</v>
      </c>
      <c r="D1488" s="36">
        <v>256122.0</v>
      </c>
      <c r="E1488" s="36" t="s">
        <v>1683</v>
      </c>
      <c r="F1488" s="178" t="s">
        <v>104</v>
      </c>
    </row>
    <row r="1489">
      <c r="A1489" s="250">
        <v>45216.00011</v>
      </c>
      <c r="B1489" s="251" t="s">
        <v>1684</v>
      </c>
      <c r="C1489" s="178" t="s">
        <v>3105</v>
      </c>
      <c r="D1489" s="36" t="s">
        <v>1683</v>
      </c>
      <c r="E1489" s="36">
        <v>256122.0</v>
      </c>
      <c r="F1489" s="178" t="s">
        <v>104</v>
      </c>
    </row>
    <row r="1490">
      <c r="A1490" s="250">
        <v>45216.00035</v>
      </c>
      <c r="B1490" s="251" t="s">
        <v>3006</v>
      </c>
      <c r="C1490" s="178" t="s">
        <v>3106</v>
      </c>
      <c r="D1490" s="36">
        <v>241893.00000000003</v>
      </c>
      <c r="E1490" s="36" t="s">
        <v>1683</v>
      </c>
      <c r="F1490" s="178" t="s">
        <v>104</v>
      </c>
    </row>
    <row r="1491">
      <c r="A1491" s="250">
        <v>45216.00035</v>
      </c>
      <c r="B1491" s="251" t="s">
        <v>1684</v>
      </c>
      <c r="C1491" s="178" t="s">
        <v>3107</v>
      </c>
      <c r="D1491" s="36" t="s">
        <v>1683</v>
      </c>
      <c r="E1491" s="36">
        <v>241893.00000000003</v>
      </c>
      <c r="F1491" s="178" t="s">
        <v>104</v>
      </c>
    </row>
    <row r="1492">
      <c r="A1492" s="250">
        <v>45216.00073</v>
      </c>
      <c r="B1492" s="251" t="s">
        <v>3006</v>
      </c>
      <c r="C1492" s="178" t="s">
        <v>3108</v>
      </c>
      <c r="D1492" s="36">
        <v>249000.0</v>
      </c>
      <c r="E1492" s="36" t="s">
        <v>1683</v>
      </c>
      <c r="F1492" s="178" t="s">
        <v>104</v>
      </c>
    </row>
    <row r="1493">
      <c r="A1493" s="250">
        <v>45216.00073</v>
      </c>
      <c r="B1493" s="251" t="s">
        <v>1684</v>
      </c>
      <c r="C1493" s="178" t="s">
        <v>3109</v>
      </c>
      <c r="D1493" s="36" t="s">
        <v>1683</v>
      </c>
      <c r="E1493" s="36">
        <v>249000.0</v>
      </c>
      <c r="F1493" s="178" t="s">
        <v>104</v>
      </c>
    </row>
    <row r="1494">
      <c r="A1494" s="250">
        <v>45218.87252950231</v>
      </c>
      <c r="B1494" s="251" t="s">
        <v>3017</v>
      </c>
      <c r="C1494" s="178" t="s">
        <v>3110</v>
      </c>
      <c r="D1494" s="36">
        <v>256122.0</v>
      </c>
      <c r="E1494" s="36" t="s">
        <v>1683</v>
      </c>
      <c r="F1494" s="178" t="s">
        <v>104</v>
      </c>
    </row>
    <row r="1495">
      <c r="A1495" s="250">
        <v>45218.87252950231</v>
      </c>
      <c r="B1495" s="251" t="s">
        <v>3019</v>
      </c>
      <c r="C1495" s="178" t="s">
        <v>3104</v>
      </c>
      <c r="D1495" s="36" t="s">
        <v>1683</v>
      </c>
      <c r="E1495" s="36">
        <v>256122.0</v>
      </c>
      <c r="F1495" s="178" t="s">
        <v>104</v>
      </c>
    </row>
    <row r="1496">
      <c r="A1496" s="250">
        <v>45218.87276950231</v>
      </c>
      <c r="B1496" s="251" t="s">
        <v>3020</v>
      </c>
      <c r="C1496" s="178" t="s">
        <v>3111</v>
      </c>
      <c r="D1496" s="36">
        <v>241893.00000000003</v>
      </c>
      <c r="E1496" s="36" t="s">
        <v>1683</v>
      </c>
      <c r="F1496" s="178" t="s">
        <v>104</v>
      </c>
    </row>
    <row r="1497">
      <c r="A1497" s="250">
        <v>45218.87276950231</v>
      </c>
      <c r="B1497" s="251" t="s">
        <v>3019</v>
      </c>
      <c r="C1497" s="178" t="s">
        <v>3106</v>
      </c>
      <c r="D1497" s="36" t="s">
        <v>1683</v>
      </c>
      <c r="E1497" s="36">
        <v>241893.00000000003</v>
      </c>
      <c r="F1497" s="178" t="s">
        <v>104</v>
      </c>
    </row>
    <row r="1498">
      <c r="A1498" s="250">
        <v>45218.87305950231</v>
      </c>
      <c r="B1498" s="251" t="s">
        <v>3112</v>
      </c>
      <c r="C1498" s="178" t="s">
        <v>3113</v>
      </c>
      <c r="D1498" s="36"/>
      <c r="E1498" s="36" t="s">
        <v>1683</v>
      </c>
      <c r="F1498" s="178" t="s">
        <v>104</v>
      </c>
    </row>
    <row r="1499">
      <c r="A1499" s="250">
        <v>45218.87305950231</v>
      </c>
      <c r="B1499" s="251" t="s">
        <v>3019</v>
      </c>
      <c r="C1499" s="178" t="s">
        <v>3114</v>
      </c>
      <c r="D1499" s="36" t="s">
        <v>1683</v>
      </c>
      <c r="E1499" s="36"/>
      <c r="F1499" s="178" t="s">
        <v>104</v>
      </c>
    </row>
    <row r="1500">
      <c r="A1500" s="250">
        <v>45218.87314950231</v>
      </c>
      <c r="B1500" s="251" t="s">
        <v>3022</v>
      </c>
      <c r="C1500" s="178" t="s">
        <v>3115</v>
      </c>
      <c r="D1500" s="36">
        <v>249000.0</v>
      </c>
      <c r="E1500" s="36" t="s">
        <v>1683</v>
      </c>
      <c r="F1500" s="178" t="s">
        <v>104</v>
      </c>
    </row>
    <row r="1501">
      <c r="A1501" s="250">
        <v>45218.87314950231</v>
      </c>
      <c r="B1501" s="251" t="s">
        <v>3019</v>
      </c>
      <c r="C1501" s="178" t="s">
        <v>3108</v>
      </c>
      <c r="D1501" s="36" t="s">
        <v>1683</v>
      </c>
      <c r="E1501" s="36">
        <v>249000.0</v>
      </c>
      <c r="F1501" s="178" t="s">
        <v>104</v>
      </c>
    </row>
    <row r="1502">
      <c r="A1502" s="250">
        <v>45218.87327347222</v>
      </c>
      <c r="B1502" s="251" t="s">
        <v>3006</v>
      </c>
      <c r="C1502" s="178" t="s">
        <v>3114</v>
      </c>
      <c r="D1502" s="36"/>
      <c r="E1502" s="36" t="s">
        <v>1683</v>
      </c>
      <c r="F1502" s="178" t="s">
        <v>104</v>
      </c>
    </row>
    <row r="1503">
      <c r="A1503" s="250">
        <v>45218.87327347222</v>
      </c>
      <c r="B1503" s="251" t="s">
        <v>1684</v>
      </c>
      <c r="C1503" s="178" t="s">
        <v>3116</v>
      </c>
      <c r="D1503" s="36" t="s">
        <v>1683</v>
      </c>
      <c r="E1503" s="36"/>
      <c r="F1503" s="178" t="s">
        <v>104</v>
      </c>
    </row>
    <row r="1504">
      <c r="A1504" s="250">
        <v>45220.00001</v>
      </c>
      <c r="B1504" s="251" t="s">
        <v>3117</v>
      </c>
      <c r="C1504" s="178" t="s">
        <v>3118</v>
      </c>
      <c r="D1504" s="36">
        <v>1740.0</v>
      </c>
      <c r="E1504" s="36" t="s">
        <v>1683</v>
      </c>
      <c r="F1504" s="178" t="s">
        <v>1683</v>
      </c>
    </row>
    <row r="1505">
      <c r="A1505" s="250">
        <v>45220.00001</v>
      </c>
      <c r="B1505" s="251" t="s">
        <v>3119</v>
      </c>
      <c r="C1505" s="178" t="s">
        <v>3120</v>
      </c>
      <c r="D1505" s="36" t="s">
        <v>1683</v>
      </c>
      <c r="E1505" s="36">
        <v>1740.0</v>
      </c>
      <c r="F1505" s="178" t="s">
        <v>1683</v>
      </c>
    </row>
    <row r="1506">
      <c r="A1506" s="250">
        <v>45221.92829777778</v>
      </c>
      <c r="B1506" s="251" t="s">
        <v>1627</v>
      </c>
      <c r="C1506" s="178" t="s">
        <v>3121</v>
      </c>
      <c r="D1506" s="36">
        <v>24700.0</v>
      </c>
      <c r="E1506" s="36" t="s">
        <v>1683</v>
      </c>
      <c r="F1506" s="178" t="s">
        <v>1654</v>
      </c>
    </row>
    <row r="1507">
      <c r="A1507" s="250">
        <v>45221.92829777778</v>
      </c>
      <c r="B1507" s="251" t="s">
        <v>1684</v>
      </c>
      <c r="C1507" s="178" t="s">
        <v>3122</v>
      </c>
      <c r="D1507" s="36" t="s">
        <v>1683</v>
      </c>
      <c r="E1507" s="36">
        <v>24700.0</v>
      </c>
      <c r="F1507" s="178" t="s">
        <v>1654</v>
      </c>
    </row>
    <row r="1508">
      <c r="A1508" s="250">
        <v>45232.639432407406</v>
      </c>
      <c r="B1508" s="251" t="s">
        <v>2841</v>
      </c>
      <c r="C1508" s="178" t="s">
        <v>3123</v>
      </c>
      <c r="D1508" s="36">
        <v>1652000.0</v>
      </c>
      <c r="E1508" s="36" t="s">
        <v>1683</v>
      </c>
      <c r="F1508" s="178" t="s">
        <v>46</v>
      </c>
    </row>
    <row r="1509">
      <c r="A1509" s="250">
        <v>45232.639432407406</v>
      </c>
      <c r="B1509" s="251" t="s">
        <v>2824</v>
      </c>
      <c r="C1509" s="178" t="s">
        <v>3072</v>
      </c>
      <c r="D1509" s="36" t="s">
        <v>1683</v>
      </c>
      <c r="E1509" s="36">
        <v>1652000.0</v>
      </c>
      <c r="F1509" s="178" t="s">
        <v>46</v>
      </c>
    </row>
    <row r="1510">
      <c r="A1510" s="250">
        <v>45232.63957240741</v>
      </c>
      <c r="B1510" s="251" t="s">
        <v>2000</v>
      </c>
      <c r="C1510" s="178" t="s">
        <v>3124</v>
      </c>
      <c r="D1510" s="36">
        <v>1800000.0</v>
      </c>
      <c r="E1510" s="36" t="s">
        <v>1683</v>
      </c>
      <c r="F1510" s="178" t="s">
        <v>46</v>
      </c>
    </row>
    <row r="1511">
      <c r="A1511" s="250">
        <v>45232.63957240741</v>
      </c>
      <c r="B1511" s="251" t="s">
        <v>2824</v>
      </c>
      <c r="C1511" s="178" t="s">
        <v>3074</v>
      </c>
      <c r="D1511" s="36" t="s">
        <v>1683</v>
      </c>
      <c r="E1511" s="36">
        <v>1800000.0</v>
      </c>
      <c r="F1511" s="178" t="s">
        <v>46</v>
      </c>
    </row>
    <row r="1512">
      <c r="A1512" s="250">
        <v>45232.639642407405</v>
      </c>
      <c r="B1512" s="251" t="s">
        <v>3125</v>
      </c>
      <c r="C1512" s="178" t="s">
        <v>3126</v>
      </c>
      <c r="D1512" s="36">
        <v>2049000.0000000002</v>
      </c>
      <c r="E1512" s="36" t="s">
        <v>1683</v>
      </c>
      <c r="F1512" s="178" t="s">
        <v>46</v>
      </c>
    </row>
    <row r="1513">
      <c r="A1513" s="250">
        <v>45232.639642407405</v>
      </c>
      <c r="B1513" s="251" t="s">
        <v>2824</v>
      </c>
      <c r="C1513" s="178" t="s">
        <v>3076</v>
      </c>
      <c r="D1513" s="36" t="s">
        <v>1683</v>
      </c>
      <c r="E1513" s="36">
        <v>2049000.0000000002</v>
      </c>
      <c r="F1513" s="178" t="s">
        <v>46</v>
      </c>
    </row>
    <row r="1514">
      <c r="A1514" s="250">
        <v>45232.639662407404</v>
      </c>
      <c r="B1514" s="251" t="s">
        <v>3127</v>
      </c>
      <c r="C1514" s="178" t="s">
        <v>3128</v>
      </c>
      <c r="D1514" s="36">
        <v>1265000.0000000002</v>
      </c>
      <c r="E1514" s="36" t="s">
        <v>1683</v>
      </c>
      <c r="F1514" s="178" t="s">
        <v>46</v>
      </c>
    </row>
    <row r="1515">
      <c r="A1515" s="250">
        <v>45232.639662407404</v>
      </c>
      <c r="B1515" s="251" t="s">
        <v>2824</v>
      </c>
      <c r="C1515" s="178" t="s">
        <v>3078</v>
      </c>
      <c r="D1515" s="36" t="s">
        <v>1683</v>
      </c>
      <c r="E1515" s="36">
        <v>1265000.0000000002</v>
      </c>
      <c r="F1515" s="178" t="s">
        <v>46</v>
      </c>
    </row>
    <row r="1516">
      <c r="A1516" s="250">
        <v>45232.639772407405</v>
      </c>
      <c r="B1516" s="251" t="s">
        <v>2987</v>
      </c>
      <c r="C1516" s="178" t="s">
        <v>3129</v>
      </c>
      <c r="D1516" s="36">
        <v>8267999.999999999</v>
      </c>
      <c r="E1516" s="36" t="s">
        <v>1683</v>
      </c>
      <c r="F1516" s="178" t="s">
        <v>46</v>
      </c>
    </row>
    <row r="1517">
      <c r="A1517" s="250">
        <v>45232.639772407405</v>
      </c>
      <c r="B1517" s="251" t="s">
        <v>2824</v>
      </c>
      <c r="C1517" s="178" t="s">
        <v>3080</v>
      </c>
      <c r="D1517" s="36" t="s">
        <v>1683</v>
      </c>
      <c r="E1517" s="36">
        <v>8267999.999999999</v>
      </c>
      <c r="F1517" s="178" t="s">
        <v>46</v>
      </c>
    </row>
    <row r="1518">
      <c r="A1518" s="250">
        <v>45232.63993240741</v>
      </c>
      <c r="B1518" s="251" t="s">
        <v>2989</v>
      </c>
      <c r="C1518" s="178" t="s">
        <v>3130</v>
      </c>
      <c r="D1518" s="36">
        <v>5512000.0</v>
      </c>
      <c r="E1518" s="36" t="s">
        <v>1683</v>
      </c>
      <c r="F1518" s="178" t="s">
        <v>46</v>
      </c>
    </row>
    <row r="1519">
      <c r="A1519" s="250">
        <v>45232.63993240741</v>
      </c>
      <c r="B1519" s="251" t="s">
        <v>2824</v>
      </c>
      <c r="C1519" s="178" t="s">
        <v>3082</v>
      </c>
      <c r="D1519" s="36" t="s">
        <v>1683</v>
      </c>
      <c r="E1519" s="36">
        <v>5512000.0</v>
      </c>
      <c r="F1519" s="178" t="s">
        <v>46</v>
      </c>
    </row>
    <row r="1520">
      <c r="A1520" s="250">
        <v>45234.956329872686</v>
      </c>
      <c r="B1520" s="251" t="s">
        <v>1611</v>
      </c>
      <c r="C1520" s="178" t="s">
        <v>3131</v>
      </c>
      <c r="D1520" s="36">
        <v>44800.0</v>
      </c>
      <c r="E1520" s="36" t="s">
        <v>1683</v>
      </c>
      <c r="F1520" s="178" t="s">
        <v>1655</v>
      </c>
    </row>
    <row r="1521">
      <c r="A1521" s="250">
        <v>45234.956329872686</v>
      </c>
      <c r="B1521" s="251" t="s">
        <v>1684</v>
      </c>
      <c r="C1521" s="178" t="s">
        <v>3132</v>
      </c>
      <c r="D1521" s="36" t="s">
        <v>1683</v>
      </c>
      <c r="E1521" s="36">
        <v>44800.0</v>
      </c>
      <c r="F1521" s="178" t="s">
        <v>1655</v>
      </c>
    </row>
    <row r="1522">
      <c r="A1522" s="250">
        <v>45234.95692376157</v>
      </c>
      <c r="B1522" s="251" t="s">
        <v>1747</v>
      </c>
      <c r="C1522" s="178" t="s">
        <v>3133</v>
      </c>
      <c r="D1522" s="36">
        <v>49400.0</v>
      </c>
      <c r="E1522" s="36" t="s">
        <v>1683</v>
      </c>
      <c r="F1522" s="178"/>
    </row>
    <row r="1523">
      <c r="A1523" s="250">
        <v>45234.95692376157</v>
      </c>
      <c r="B1523" s="251" t="s">
        <v>1684</v>
      </c>
      <c r="C1523" s="178" t="s">
        <v>3134</v>
      </c>
      <c r="D1523" s="36" t="s">
        <v>1683</v>
      </c>
      <c r="E1523" s="36">
        <v>49400.0</v>
      </c>
      <c r="F1523" s="178"/>
    </row>
    <row r="1524">
      <c r="A1524" s="250">
        <v>45234.956928321764</v>
      </c>
      <c r="B1524" s="251" t="s">
        <v>1747</v>
      </c>
      <c r="C1524" s="178" t="s">
        <v>3135</v>
      </c>
      <c r="D1524" s="36">
        <v>49400.0</v>
      </c>
      <c r="E1524" s="36" t="s">
        <v>1683</v>
      </c>
      <c r="F1524" s="178"/>
    </row>
    <row r="1525">
      <c r="A1525" s="250">
        <v>45234.956928321764</v>
      </c>
      <c r="B1525" s="251" t="s">
        <v>1684</v>
      </c>
      <c r="C1525" s="178" t="s">
        <v>3136</v>
      </c>
      <c r="D1525" s="36" t="s">
        <v>1683</v>
      </c>
      <c r="E1525" s="36">
        <v>49400.0</v>
      </c>
      <c r="F1525" s="178"/>
    </row>
    <row r="1526">
      <c r="A1526" s="250">
        <v>45234.95693129629</v>
      </c>
      <c r="B1526" s="251" t="s">
        <v>1747</v>
      </c>
      <c r="C1526" s="178" t="s">
        <v>3137</v>
      </c>
      <c r="D1526" s="36">
        <v>95699.99999999999</v>
      </c>
      <c r="E1526" s="36" t="s">
        <v>1683</v>
      </c>
      <c r="F1526" s="178"/>
    </row>
    <row r="1527">
      <c r="A1527" s="250">
        <v>45234.95693129629</v>
      </c>
      <c r="B1527" s="251" t="s">
        <v>1684</v>
      </c>
      <c r="C1527" s="178" t="s">
        <v>3138</v>
      </c>
      <c r="D1527" s="36" t="s">
        <v>1683</v>
      </c>
      <c r="E1527" s="36">
        <v>95699.99999999999</v>
      </c>
      <c r="F1527" s="178"/>
    </row>
    <row r="1528">
      <c r="A1528" s="250">
        <v>45235.0001</v>
      </c>
      <c r="B1528" s="251" t="s">
        <v>3006</v>
      </c>
      <c r="C1528" s="178" t="s">
        <v>3139</v>
      </c>
      <c r="D1528" s="36">
        <v>1422900.0</v>
      </c>
      <c r="E1528" s="36" t="s">
        <v>1683</v>
      </c>
      <c r="F1528" s="178" t="s">
        <v>104</v>
      </c>
    </row>
    <row r="1529">
      <c r="A1529" s="250">
        <v>45235.0001</v>
      </c>
      <c r="B1529" s="251" t="s">
        <v>1684</v>
      </c>
      <c r="C1529" s="178" t="s">
        <v>3140</v>
      </c>
      <c r="D1529" s="36" t="s">
        <v>1683</v>
      </c>
      <c r="E1529" s="36">
        <v>1422900.0</v>
      </c>
      <c r="F1529" s="178" t="s">
        <v>104</v>
      </c>
    </row>
    <row r="1530">
      <c r="A1530" s="250">
        <v>45235.00034</v>
      </c>
      <c r="B1530" s="251" t="s">
        <v>3006</v>
      </c>
      <c r="C1530" s="178" t="s">
        <v>3141</v>
      </c>
      <c r="D1530" s="36">
        <v>806310.0</v>
      </c>
      <c r="E1530" s="36" t="s">
        <v>1683</v>
      </c>
      <c r="F1530" s="178" t="s">
        <v>104</v>
      </c>
    </row>
    <row r="1531">
      <c r="A1531" s="250">
        <v>45235.00034</v>
      </c>
      <c r="B1531" s="251" t="s">
        <v>1684</v>
      </c>
      <c r="C1531" s="178" t="s">
        <v>3142</v>
      </c>
      <c r="D1531" s="36" t="s">
        <v>1683</v>
      </c>
      <c r="E1531" s="36">
        <v>806310.0</v>
      </c>
      <c r="F1531" s="178" t="s">
        <v>104</v>
      </c>
    </row>
    <row r="1532">
      <c r="A1532" s="250">
        <v>45235.00072</v>
      </c>
      <c r="B1532" s="251" t="s">
        <v>3006</v>
      </c>
      <c r="C1532" s="178" t="s">
        <v>3143</v>
      </c>
      <c r="D1532" s="36">
        <v>373500.0</v>
      </c>
      <c r="E1532" s="36" t="s">
        <v>1683</v>
      </c>
      <c r="F1532" s="178" t="s">
        <v>104</v>
      </c>
    </row>
    <row r="1533">
      <c r="A1533" s="250">
        <v>45235.00072</v>
      </c>
      <c r="B1533" s="251" t="s">
        <v>1684</v>
      </c>
      <c r="C1533" s="178" t="s">
        <v>3144</v>
      </c>
      <c r="D1533" s="36" t="s">
        <v>1683</v>
      </c>
      <c r="E1533" s="36">
        <v>373500.0</v>
      </c>
      <c r="F1533" s="178" t="s">
        <v>104</v>
      </c>
    </row>
    <row r="1534">
      <c r="A1534" s="250">
        <v>45236.484253101844</v>
      </c>
      <c r="B1534" s="251" t="s">
        <v>3017</v>
      </c>
      <c r="C1534" s="178" t="s">
        <v>3145</v>
      </c>
      <c r="D1534" s="36">
        <v>1422900.0</v>
      </c>
      <c r="E1534" s="36" t="s">
        <v>1683</v>
      </c>
      <c r="F1534" s="178" t="s">
        <v>104</v>
      </c>
    </row>
    <row r="1535">
      <c r="A1535" s="250">
        <v>45236.484253101844</v>
      </c>
      <c r="B1535" s="251" t="s">
        <v>3019</v>
      </c>
      <c r="C1535" s="178" t="s">
        <v>3139</v>
      </c>
      <c r="D1535" s="36" t="s">
        <v>1683</v>
      </c>
      <c r="E1535" s="36">
        <v>1422900.0</v>
      </c>
      <c r="F1535" s="178" t="s">
        <v>104</v>
      </c>
    </row>
    <row r="1536">
      <c r="A1536" s="250">
        <v>45236.484493101845</v>
      </c>
      <c r="B1536" s="251" t="s">
        <v>3020</v>
      </c>
      <c r="C1536" s="178" t="s">
        <v>3146</v>
      </c>
      <c r="D1536" s="36">
        <v>806310.0</v>
      </c>
      <c r="E1536" s="36" t="s">
        <v>1683</v>
      </c>
      <c r="F1536" s="178" t="s">
        <v>104</v>
      </c>
    </row>
    <row r="1537">
      <c r="A1537" s="250">
        <v>45236.484493101845</v>
      </c>
      <c r="B1537" s="251" t="s">
        <v>3019</v>
      </c>
      <c r="C1537" s="178" t="s">
        <v>3141</v>
      </c>
      <c r="D1537" s="36" t="s">
        <v>1683</v>
      </c>
      <c r="E1537" s="36">
        <v>806310.0</v>
      </c>
      <c r="F1537" s="178" t="s">
        <v>104</v>
      </c>
    </row>
    <row r="1538">
      <c r="A1538" s="250">
        <v>45236.48487310184</v>
      </c>
      <c r="B1538" s="251" t="s">
        <v>3022</v>
      </c>
      <c r="C1538" s="178" t="s">
        <v>3147</v>
      </c>
      <c r="D1538" s="36">
        <v>373500.0</v>
      </c>
      <c r="E1538" s="36" t="s">
        <v>1683</v>
      </c>
      <c r="F1538" s="178" t="s">
        <v>104</v>
      </c>
    </row>
    <row r="1539">
      <c r="A1539" s="250">
        <v>45236.48487310184</v>
      </c>
      <c r="B1539" s="251" t="s">
        <v>3019</v>
      </c>
      <c r="C1539" s="178" t="s">
        <v>3143</v>
      </c>
      <c r="D1539" s="36" t="s">
        <v>1683</v>
      </c>
      <c r="E1539" s="36">
        <v>373500.0</v>
      </c>
      <c r="F1539" s="178" t="s">
        <v>104</v>
      </c>
    </row>
    <row r="1540">
      <c r="A1540" s="250">
        <v>45240.87186898148</v>
      </c>
      <c r="B1540" s="251" t="s">
        <v>2272</v>
      </c>
      <c r="C1540" s="178" t="s">
        <v>3148</v>
      </c>
      <c r="D1540" s="36">
        <v>49400.0</v>
      </c>
      <c r="E1540" s="36" t="s">
        <v>1683</v>
      </c>
      <c r="F1540" s="178" t="s">
        <v>154</v>
      </c>
    </row>
    <row r="1541">
      <c r="A1541" s="250">
        <v>45240.87186898148</v>
      </c>
      <c r="B1541" s="251" t="s">
        <v>1802</v>
      </c>
      <c r="C1541" s="178" t="s">
        <v>3149</v>
      </c>
      <c r="D1541" s="36" t="s">
        <v>1683</v>
      </c>
      <c r="E1541" s="36">
        <v>49400.0</v>
      </c>
      <c r="F1541" s="178" t="s">
        <v>154</v>
      </c>
    </row>
    <row r="1542">
      <c r="A1542" s="250">
        <v>45240.87187898148</v>
      </c>
      <c r="B1542" s="251" t="s">
        <v>2272</v>
      </c>
      <c r="C1542" s="178" t="s">
        <v>3150</v>
      </c>
      <c r="D1542" s="36">
        <v>49400.0</v>
      </c>
      <c r="E1542" s="36" t="s">
        <v>1683</v>
      </c>
      <c r="F1542" s="178"/>
    </row>
    <row r="1543">
      <c r="A1543" s="250">
        <v>45240.87187898148</v>
      </c>
      <c r="B1543" s="251" t="s">
        <v>1752</v>
      </c>
      <c r="C1543" s="178" t="s">
        <v>3135</v>
      </c>
      <c r="D1543" s="36" t="s">
        <v>1683</v>
      </c>
      <c r="E1543" s="36">
        <v>49400.0</v>
      </c>
      <c r="F1543" s="178"/>
    </row>
    <row r="1544">
      <c r="A1544" s="250">
        <v>45240.87188898148</v>
      </c>
      <c r="B1544" s="251" t="s">
        <v>2272</v>
      </c>
      <c r="C1544" s="178" t="s">
        <v>3151</v>
      </c>
      <c r="D1544" s="36">
        <v>95699.99999999999</v>
      </c>
      <c r="E1544" s="36" t="s">
        <v>1683</v>
      </c>
      <c r="F1544" s="178"/>
    </row>
    <row r="1545">
      <c r="A1545" s="250">
        <v>45240.87188898148</v>
      </c>
      <c r="B1545" s="251" t="s">
        <v>1752</v>
      </c>
      <c r="C1545" s="178" t="s">
        <v>3137</v>
      </c>
      <c r="D1545" s="36" t="s">
        <v>1683</v>
      </c>
      <c r="E1545" s="36">
        <v>95699.99999999999</v>
      </c>
      <c r="F1545" s="178"/>
    </row>
    <row r="1546">
      <c r="A1546" s="250">
        <v>45240.87189898148</v>
      </c>
      <c r="B1546" s="251" t="s">
        <v>2272</v>
      </c>
      <c r="C1546" s="178" t="s">
        <v>3152</v>
      </c>
      <c r="D1546" s="36">
        <v>49400.0</v>
      </c>
      <c r="E1546" s="36" t="s">
        <v>1683</v>
      </c>
      <c r="F1546" s="178"/>
    </row>
    <row r="1547">
      <c r="A1547" s="250">
        <v>45240.87189898148</v>
      </c>
      <c r="B1547" s="251" t="s">
        <v>1752</v>
      </c>
      <c r="C1547" s="178" t="s">
        <v>3133</v>
      </c>
      <c r="D1547" s="36" t="s">
        <v>1683</v>
      </c>
      <c r="E1547" s="36">
        <v>49400.0</v>
      </c>
      <c r="F1547" s="178"/>
    </row>
    <row r="1548">
      <c r="A1548" s="250">
        <v>45242.00009</v>
      </c>
      <c r="B1548" s="251" t="s">
        <v>3006</v>
      </c>
      <c r="C1548" s="178" t="s">
        <v>3153</v>
      </c>
      <c r="D1548" s="36">
        <v>153319.99999999997</v>
      </c>
      <c r="E1548" s="36" t="s">
        <v>1683</v>
      </c>
      <c r="F1548" s="178" t="s">
        <v>104</v>
      </c>
    </row>
    <row r="1549">
      <c r="A1549" s="250">
        <v>45242.00009</v>
      </c>
      <c r="B1549" s="251" t="s">
        <v>1684</v>
      </c>
      <c r="C1549" s="178" t="s">
        <v>3154</v>
      </c>
      <c r="D1549" s="36" t="s">
        <v>1683</v>
      </c>
      <c r="E1549" s="36">
        <v>153319.99999999997</v>
      </c>
      <c r="F1549" s="178" t="s">
        <v>104</v>
      </c>
    </row>
    <row r="1550">
      <c r="A1550" s="250">
        <v>45242.00009</v>
      </c>
      <c r="B1550" s="251" t="s">
        <v>3017</v>
      </c>
      <c r="C1550" s="178" t="s">
        <v>3155</v>
      </c>
      <c r="D1550" s="36">
        <v>153319.99999999997</v>
      </c>
      <c r="E1550" s="36" t="s">
        <v>1683</v>
      </c>
      <c r="F1550" s="178" t="s">
        <v>104</v>
      </c>
    </row>
    <row r="1551">
      <c r="A1551" s="250">
        <v>45242.00009</v>
      </c>
      <c r="B1551" s="251" t="s">
        <v>3019</v>
      </c>
      <c r="C1551" s="178" t="s">
        <v>3153</v>
      </c>
      <c r="D1551" s="36" t="s">
        <v>1683</v>
      </c>
      <c r="E1551" s="36">
        <v>153319.99999999997</v>
      </c>
      <c r="F1551" s="178" t="s">
        <v>104</v>
      </c>
    </row>
    <row r="1552">
      <c r="A1552" s="250">
        <v>45242.84029222222</v>
      </c>
      <c r="B1552" s="251" t="s">
        <v>3156</v>
      </c>
      <c r="C1552" s="178" t="s">
        <v>3157</v>
      </c>
      <c r="D1552" s="36">
        <v>32015.25</v>
      </c>
      <c r="E1552" s="36" t="s">
        <v>1683</v>
      </c>
      <c r="F1552" s="178" t="s">
        <v>1683</v>
      </c>
    </row>
    <row r="1553">
      <c r="A1553" s="250">
        <v>45242.84029222222</v>
      </c>
      <c r="B1553" s="251" t="s">
        <v>3158</v>
      </c>
      <c r="C1553" s="178" t="s">
        <v>3159</v>
      </c>
      <c r="D1553" s="36" t="s">
        <v>1683</v>
      </c>
      <c r="E1553" s="36">
        <v>32015.25</v>
      </c>
      <c r="F1553" s="178" t="s">
        <v>1683</v>
      </c>
    </row>
    <row r="1554">
      <c r="A1554" s="250">
        <v>45242.84291694444</v>
      </c>
      <c r="B1554" s="251" t="s">
        <v>3160</v>
      </c>
      <c r="C1554" s="178" t="s">
        <v>3161</v>
      </c>
      <c r="D1554" s="36">
        <v>26877.04</v>
      </c>
      <c r="E1554" s="36" t="s">
        <v>1683</v>
      </c>
      <c r="F1554" s="178" t="s">
        <v>1683</v>
      </c>
    </row>
    <row r="1555">
      <c r="A1555" s="250">
        <v>45242.84291694444</v>
      </c>
      <c r="B1555" s="251" t="s">
        <v>3162</v>
      </c>
      <c r="C1555" s="178" t="s">
        <v>3163</v>
      </c>
      <c r="D1555" s="36" t="s">
        <v>1683</v>
      </c>
      <c r="E1555" s="36">
        <v>26877.04</v>
      </c>
      <c r="F1555" s="178" t="s">
        <v>1683</v>
      </c>
    </row>
    <row r="1556">
      <c r="A1556" s="250">
        <v>45242.873340590275</v>
      </c>
      <c r="B1556" s="251" t="s">
        <v>3164</v>
      </c>
      <c r="C1556" s="178" t="s">
        <v>3165</v>
      </c>
      <c r="D1556" s="36">
        <v>37050.0</v>
      </c>
      <c r="E1556" s="36" t="s">
        <v>1683</v>
      </c>
      <c r="F1556" s="178" t="s">
        <v>1683</v>
      </c>
    </row>
    <row r="1557">
      <c r="A1557" s="250">
        <v>45242.873340590275</v>
      </c>
      <c r="B1557" s="251" t="s">
        <v>3166</v>
      </c>
      <c r="C1557" s="178" t="s">
        <v>3167</v>
      </c>
      <c r="D1557" s="36" t="s">
        <v>1683</v>
      </c>
      <c r="E1557" s="36">
        <v>37050.0</v>
      </c>
      <c r="F1557" s="178" t="s">
        <v>1683</v>
      </c>
    </row>
    <row r="1558">
      <c r="A1558" s="250">
        <v>45242.87335059027</v>
      </c>
      <c r="B1558" s="251" t="s">
        <v>3168</v>
      </c>
      <c r="C1558" s="178" t="s">
        <v>3169</v>
      </c>
      <c r="D1558" s="36">
        <v>5000.0</v>
      </c>
      <c r="E1558" s="36" t="s">
        <v>1683</v>
      </c>
      <c r="F1558" s="178" t="s">
        <v>1683</v>
      </c>
    </row>
    <row r="1559">
      <c r="A1559" s="250">
        <v>45242.87335059027</v>
      </c>
      <c r="B1559" s="251" t="s">
        <v>3170</v>
      </c>
      <c r="C1559" s="178" t="s">
        <v>3171</v>
      </c>
      <c r="D1559" s="36" t="s">
        <v>1683</v>
      </c>
      <c r="E1559" s="36">
        <v>5000.0</v>
      </c>
      <c r="F1559" s="178" t="s">
        <v>1683</v>
      </c>
    </row>
    <row r="1560">
      <c r="A1560" s="250">
        <v>45244.748556666666</v>
      </c>
      <c r="B1560" s="251" t="s">
        <v>1693</v>
      </c>
      <c r="C1560" s="178" t="s">
        <v>3172</v>
      </c>
      <c r="D1560" s="36">
        <v>51960.00000000001</v>
      </c>
      <c r="E1560" s="36" t="s">
        <v>1683</v>
      </c>
      <c r="F1560" s="178"/>
    </row>
    <row r="1561">
      <c r="A1561" s="250">
        <v>45244.748556666666</v>
      </c>
      <c r="B1561" s="251" t="s">
        <v>1684</v>
      </c>
      <c r="C1561" s="178" t="s">
        <v>3173</v>
      </c>
      <c r="D1561" s="36" t="s">
        <v>1683</v>
      </c>
      <c r="E1561" s="36">
        <v>51960.00000000001</v>
      </c>
      <c r="F1561" s="178"/>
    </row>
    <row r="1562">
      <c r="A1562" s="250">
        <v>45247.58360333333</v>
      </c>
      <c r="B1562" s="251" t="s">
        <v>3174</v>
      </c>
      <c r="C1562" s="178" t="s">
        <v>3175</v>
      </c>
      <c r="D1562" s="36">
        <v>20524.0</v>
      </c>
      <c r="E1562" s="36" t="s">
        <v>1683</v>
      </c>
      <c r="F1562" s="178" t="s">
        <v>649</v>
      </c>
    </row>
    <row r="1563">
      <c r="A1563" s="250">
        <v>45247.58360333333</v>
      </c>
      <c r="B1563" s="251" t="s">
        <v>1776</v>
      </c>
      <c r="C1563" s="178" t="s">
        <v>3096</v>
      </c>
      <c r="D1563" s="36" t="s">
        <v>1683</v>
      </c>
      <c r="E1563" s="36">
        <v>20524.0</v>
      </c>
      <c r="F1563" s="178" t="s">
        <v>649</v>
      </c>
    </row>
    <row r="1564">
      <c r="A1564" s="250">
        <v>45249.26036222222</v>
      </c>
      <c r="B1564" s="251" t="s">
        <v>2266</v>
      </c>
      <c r="C1564" s="178" t="s">
        <v>3176</v>
      </c>
      <c r="D1564" s="36">
        <v>51960.00000000001</v>
      </c>
      <c r="E1564" s="36" t="s">
        <v>1683</v>
      </c>
      <c r="F1564" s="178"/>
    </row>
    <row r="1565">
      <c r="A1565" s="250">
        <v>45249.26036222222</v>
      </c>
      <c r="B1565" s="251" t="s">
        <v>1698</v>
      </c>
      <c r="C1565" s="178" t="s">
        <v>3172</v>
      </c>
      <c r="D1565" s="36" t="s">
        <v>1683</v>
      </c>
      <c r="E1565" s="36">
        <v>51960.00000000001</v>
      </c>
      <c r="F1565" s="178"/>
    </row>
    <row r="1566">
      <c r="A1566" s="250">
        <v>45250.74093570602</v>
      </c>
      <c r="B1566" s="251" t="s">
        <v>3177</v>
      </c>
      <c r="C1566" s="178" t="s">
        <v>3178</v>
      </c>
      <c r="D1566" s="36">
        <v>3256406.0</v>
      </c>
      <c r="E1566" s="36" t="s">
        <v>1683</v>
      </c>
      <c r="F1566" s="178"/>
    </row>
    <row r="1567">
      <c r="A1567" s="250">
        <v>45250.74093570602</v>
      </c>
      <c r="B1567" s="251" t="s">
        <v>1684</v>
      </c>
      <c r="C1567" s="178" t="s">
        <v>3179</v>
      </c>
      <c r="D1567" s="36" t="s">
        <v>1683</v>
      </c>
      <c r="E1567" s="36">
        <v>3256406.0</v>
      </c>
      <c r="F1567" s="178"/>
    </row>
    <row r="1568">
      <c r="A1568" s="250">
        <v>45250.74105570602</v>
      </c>
      <c r="B1568" s="251" t="s">
        <v>3177</v>
      </c>
      <c r="C1568" s="178" t="s">
        <v>3180</v>
      </c>
      <c r="D1568" s="36">
        <v>2337100.0</v>
      </c>
      <c r="E1568" s="36" t="s">
        <v>1683</v>
      </c>
      <c r="F1568" s="178"/>
    </row>
    <row r="1569">
      <c r="A1569" s="250">
        <v>45250.74105570602</v>
      </c>
      <c r="B1569" s="251" t="s">
        <v>1684</v>
      </c>
      <c r="C1569" s="178" t="s">
        <v>3181</v>
      </c>
      <c r="D1569" s="36" t="s">
        <v>1683</v>
      </c>
      <c r="E1569" s="36">
        <v>2337100.0</v>
      </c>
      <c r="F1569" s="178"/>
    </row>
    <row r="1570">
      <c r="A1570" s="250">
        <v>45250.74114570602</v>
      </c>
      <c r="B1570" s="251" t="s">
        <v>3177</v>
      </c>
      <c r="C1570" s="178" t="s">
        <v>3182</v>
      </c>
      <c r="D1570" s="36">
        <v>1409000.0</v>
      </c>
      <c r="E1570" s="36" t="s">
        <v>1683</v>
      </c>
      <c r="F1570" s="178"/>
    </row>
    <row r="1571">
      <c r="A1571" s="250">
        <v>45250.74114570602</v>
      </c>
      <c r="B1571" s="251" t="s">
        <v>1684</v>
      </c>
      <c r="C1571" s="178" t="s">
        <v>3183</v>
      </c>
      <c r="D1571" s="36" t="s">
        <v>1683</v>
      </c>
      <c r="E1571" s="36">
        <v>1409000.0</v>
      </c>
      <c r="F1571" s="178"/>
    </row>
    <row r="1572">
      <c r="A1572" s="250">
        <v>45250.74167570602</v>
      </c>
      <c r="B1572" s="251" t="s">
        <v>3177</v>
      </c>
      <c r="C1572" s="178" t="s">
        <v>3184</v>
      </c>
      <c r="D1572" s="36">
        <v>1397649.9999999998</v>
      </c>
      <c r="E1572" s="36" t="s">
        <v>1683</v>
      </c>
      <c r="F1572" s="178"/>
    </row>
    <row r="1573">
      <c r="A1573" s="250">
        <v>45250.74167570602</v>
      </c>
      <c r="B1573" s="251" t="s">
        <v>1684</v>
      </c>
      <c r="C1573" s="178" t="s">
        <v>3185</v>
      </c>
      <c r="D1573" s="36" t="s">
        <v>1683</v>
      </c>
      <c r="E1573" s="36">
        <v>1397649.9999999998</v>
      </c>
      <c r="F1573" s="178"/>
    </row>
    <row r="1574">
      <c r="A1574" s="250">
        <v>45250.74171570602</v>
      </c>
      <c r="B1574" s="251" t="s">
        <v>3177</v>
      </c>
      <c r="C1574" s="178" t="s">
        <v>3186</v>
      </c>
      <c r="D1574" s="36">
        <v>741449.9999999999</v>
      </c>
      <c r="E1574" s="36" t="s">
        <v>1683</v>
      </c>
      <c r="F1574" s="178" t="s">
        <v>894</v>
      </c>
    </row>
    <row r="1575">
      <c r="A1575" s="250">
        <v>45250.74171570602</v>
      </c>
      <c r="B1575" s="251" t="s">
        <v>1684</v>
      </c>
      <c r="C1575" s="178" t="s">
        <v>3187</v>
      </c>
      <c r="D1575" s="36" t="s">
        <v>1683</v>
      </c>
      <c r="E1575" s="36">
        <v>741449.9999999999</v>
      </c>
      <c r="F1575" s="178" t="s">
        <v>894</v>
      </c>
    </row>
    <row r="1576">
      <c r="A1576" s="250">
        <v>45250.74177570602</v>
      </c>
      <c r="B1576" s="251" t="s">
        <v>3177</v>
      </c>
      <c r="C1576" s="178" t="s">
        <v>3188</v>
      </c>
      <c r="D1576" s="36">
        <v>741449.9999999999</v>
      </c>
      <c r="E1576" s="36" t="s">
        <v>1683</v>
      </c>
      <c r="F1576" s="178" t="s">
        <v>900</v>
      </c>
    </row>
    <row r="1577">
      <c r="A1577" s="250">
        <v>45250.74177570602</v>
      </c>
      <c r="B1577" s="251" t="s">
        <v>1684</v>
      </c>
      <c r="C1577" s="178" t="s">
        <v>3189</v>
      </c>
      <c r="D1577" s="36" t="s">
        <v>1683</v>
      </c>
      <c r="E1577" s="36">
        <v>741449.9999999999</v>
      </c>
      <c r="F1577" s="178" t="s">
        <v>900</v>
      </c>
    </row>
    <row r="1578">
      <c r="A1578" s="250">
        <v>45250.74178570602</v>
      </c>
      <c r="B1578" s="251" t="s">
        <v>3177</v>
      </c>
      <c r="C1578" s="178" t="s">
        <v>3190</v>
      </c>
      <c r="D1578" s="36">
        <v>1009920.0</v>
      </c>
      <c r="E1578" s="36" t="s">
        <v>1683</v>
      </c>
      <c r="F1578" s="178"/>
    </row>
    <row r="1579">
      <c r="A1579" s="250">
        <v>45250.74178570602</v>
      </c>
      <c r="B1579" s="251" t="s">
        <v>1684</v>
      </c>
      <c r="C1579" s="178" t="s">
        <v>3191</v>
      </c>
      <c r="D1579" s="36" t="s">
        <v>1683</v>
      </c>
      <c r="E1579" s="36">
        <v>1009920.0</v>
      </c>
      <c r="F1579" s="178"/>
    </row>
    <row r="1580">
      <c r="A1580" s="250">
        <v>45265.690135983794</v>
      </c>
      <c r="B1580" s="251" t="s">
        <v>3177</v>
      </c>
      <c r="C1580" s="178" t="s">
        <v>3192</v>
      </c>
      <c r="D1580" s="36">
        <v>3014000.0</v>
      </c>
      <c r="E1580" s="36" t="s">
        <v>1683</v>
      </c>
      <c r="F1580" s="178"/>
    </row>
    <row r="1581">
      <c r="A1581" s="250">
        <v>45265.690135983794</v>
      </c>
      <c r="B1581" s="251" t="s">
        <v>1684</v>
      </c>
      <c r="C1581" s="178" t="s">
        <v>3193</v>
      </c>
      <c r="D1581" s="36" t="s">
        <v>1683</v>
      </c>
      <c r="E1581" s="36">
        <v>3014000.0</v>
      </c>
      <c r="F1581" s="178"/>
    </row>
    <row r="1582">
      <c r="A1582" s="250">
        <v>45265.690305578704</v>
      </c>
      <c r="B1582" s="251" t="s">
        <v>3177</v>
      </c>
      <c r="C1582" s="178" t="s">
        <v>3194</v>
      </c>
      <c r="D1582" s="36">
        <v>3014000.0</v>
      </c>
      <c r="E1582" s="36" t="s">
        <v>1683</v>
      </c>
      <c r="F1582" s="178"/>
    </row>
    <row r="1583">
      <c r="A1583" s="250">
        <v>45265.690305578704</v>
      </c>
      <c r="B1583" s="251" t="s">
        <v>1684</v>
      </c>
      <c r="C1583" s="178" t="s">
        <v>3195</v>
      </c>
      <c r="D1583" s="36" t="s">
        <v>1683</v>
      </c>
      <c r="E1583" s="36">
        <v>3014000.0</v>
      </c>
      <c r="F1583" s="178"/>
    </row>
    <row r="1584">
      <c r="A1584" s="250">
        <v>45269.4727970949</v>
      </c>
      <c r="B1584" s="251" t="s">
        <v>1896</v>
      </c>
      <c r="C1584" s="178" t="s">
        <v>3196</v>
      </c>
      <c r="D1584" s="36">
        <v>1462.0</v>
      </c>
      <c r="E1584" s="36" t="s">
        <v>1683</v>
      </c>
      <c r="F1584" s="178" t="s">
        <v>1683</v>
      </c>
    </row>
    <row r="1585">
      <c r="A1585" s="250">
        <v>45269.4727970949</v>
      </c>
      <c r="B1585" s="251" t="s">
        <v>2377</v>
      </c>
      <c r="C1585" s="178" t="s">
        <v>3197</v>
      </c>
      <c r="D1585" s="36" t="s">
        <v>1683</v>
      </c>
      <c r="E1585" s="36">
        <v>1462.0</v>
      </c>
      <c r="F1585" s="178" t="s">
        <v>1683</v>
      </c>
    </row>
    <row r="1586">
      <c r="A1586" s="250">
        <v>45270.587071863425</v>
      </c>
      <c r="B1586" s="251" t="s">
        <v>1896</v>
      </c>
      <c r="C1586" s="178" t="s">
        <v>3198</v>
      </c>
      <c r="D1586" s="36">
        <v>40936.0</v>
      </c>
      <c r="E1586" s="36" t="s">
        <v>1683</v>
      </c>
      <c r="F1586" s="178" t="s">
        <v>1683</v>
      </c>
    </row>
    <row r="1587">
      <c r="A1587" s="250">
        <v>45270.587071863425</v>
      </c>
      <c r="B1587" s="251" t="s">
        <v>2377</v>
      </c>
      <c r="C1587" s="178" t="s">
        <v>3199</v>
      </c>
      <c r="D1587" s="36" t="s">
        <v>1683</v>
      </c>
      <c r="E1587" s="36">
        <v>40936.0</v>
      </c>
      <c r="F1587" s="178" t="s">
        <v>1683</v>
      </c>
    </row>
    <row r="1588">
      <c r="A1588" s="250">
        <v>45270.59444717592</v>
      </c>
      <c r="B1588" s="251" t="s">
        <v>3200</v>
      </c>
      <c r="C1588" s="178" t="s">
        <v>3201</v>
      </c>
      <c r="D1588" s="36">
        <v>20160.0</v>
      </c>
      <c r="E1588" s="36" t="s">
        <v>1683</v>
      </c>
      <c r="F1588" s="178" t="s">
        <v>1683</v>
      </c>
    </row>
    <row r="1589">
      <c r="A1589" s="250">
        <v>45270.59444717592</v>
      </c>
      <c r="B1589" s="251" t="s">
        <v>3202</v>
      </c>
      <c r="C1589" s="178" t="s">
        <v>3203</v>
      </c>
      <c r="D1589" s="36" t="s">
        <v>1683</v>
      </c>
      <c r="E1589" s="36">
        <v>20160.0</v>
      </c>
      <c r="F1589" s="178" t="s">
        <v>1683</v>
      </c>
    </row>
    <row r="1590">
      <c r="A1590" s="250">
        <v>45270.59455199074</v>
      </c>
      <c r="B1590" s="251" t="s">
        <v>1958</v>
      </c>
      <c r="C1590" s="178" t="s">
        <v>3204</v>
      </c>
      <c r="D1590" s="36">
        <v>20160.0</v>
      </c>
      <c r="E1590" s="36" t="s">
        <v>1683</v>
      </c>
      <c r="F1590" s="178" t="s">
        <v>1683</v>
      </c>
    </row>
    <row r="1591">
      <c r="A1591" s="250">
        <v>45270.59455199074</v>
      </c>
      <c r="B1591" s="251" t="s">
        <v>2428</v>
      </c>
      <c r="C1591" s="178" t="s">
        <v>3205</v>
      </c>
      <c r="D1591" s="36" t="s">
        <v>1683</v>
      </c>
      <c r="E1591" s="36">
        <v>20160.0</v>
      </c>
      <c r="F1591" s="178" t="s">
        <v>1683</v>
      </c>
    </row>
    <row r="1592">
      <c r="A1592" s="250">
        <v>45270.596353553236</v>
      </c>
      <c r="B1592" s="251" t="s">
        <v>1958</v>
      </c>
      <c r="C1592" s="178" t="s">
        <v>3206</v>
      </c>
      <c r="D1592" s="36">
        <v>13440.0</v>
      </c>
      <c r="E1592" s="36" t="s">
        <v>1683</v>
      </c>
      <c r="F1592" s="178" t="s">
        <v>1683</v>
      </c>
    </row>
    <row r="1593">
      <c r="A1593" s="250">
        <v>45270.596353553236</v>
      </c>
      <c r="B1593" s="251" t="s">
        <v>2428</v>
      </c>
      <c r="C1593" s="178" t="s">
        <v>3207</v>
      </c>
      <c r="D1593" s="36" t="s">
        <v>1683</v>
      </c>
      <c r="E1593" s="36">
        <v>13440.0</v>
      </c>
      <c r="F1593" s="178" t="s">
        <v>1683</v>
      </c>
    </row>
    <row r="1594">
      <c r="A1594" s="250">
        <v>45270.60347662037</v>
      </c>
      <c r="B1594" s="251" t="s">
        <v>2728</v>
      </c>
      <c r="C1594" s="178" t="s">
        <v>3208</v>
      </c>
      <c r="D1594" s="36">
        <v>5967.86</v>
      </c>
      <c r="E1594" s="36" t="s">
        <v>1683</v>
      </c>
      <c r="F1594" s="178" t="s">
        <v>1683</v>
      </c>
    </row>
    <row r="1595">
      <c r="A1595" s="250">
        <v>45270.60347662037</v>
      </c>
      <c r="B1595" s="251" t="s">
        <v>2730</v>
      </c>
      <c r="C1595" s="178" t="s">
        <v>3209</v>
      </c>
      <c r="D1595" s="36" t="s">
        <v>1683</v>
      </c>
      <c r="E1595" s="36">
        <v>5967.86</v>
      </c>
      <c r="F1595" s="178" t="s">
        <v>1683</v>
      </c>
    </row>
    <row r="1596">
      <c r="A1596" s="250">
        <v>45270.60514716435</v>
      </c>
      <c r="B1596" s="251" t="s">
        <v>3156</v>
      </c>
      <c r="C1596" s="178" t="s">
        <v>3210</v>
      </c>
      <c r="D1596" s="36">
        <v>3952.5</v>
      </c>
      <c r="E1596" s="36" t="s">
        <v>1683</v>
      </c>
      <c r="F1596" s="178" t="s">
        <v>1683</v>
      </c>
    </row>
    <row r="1597">
      <c r="A1597" s="250">
        <v>45270.60514716435</v>
      </c>
      <c r="B1597" s="251" t="s">
        <v>3158</v>
      </c>
      <c r="C1597" s="178" t="s">
        <v>3211</v>
      </c>
      <c r="D1597" s="36" t="s">
        <v>1683</v>
      </c>
      <c r="E1597" s="36">
        <v>3952.5</v>
      </c>
      <c r="F1597" s="178" t="s">
        <v>1683</v>
      </c>
    </row>
    <row r="1598">
      <c r="A1598" s="250">
        <v>45270.72865447917</v>
      </c>
      <c r="B1598" s="251" t="s">
        <v>1783</v>
      </c>
      <c r="C1598" s="178" t="s">
        <v>3212</v>
      </c>
      <c r="D1598" s="36">
        <v>333339.9999999999</v>
      </c>
      <c r="E1598" s="36" t="s">
        <v>1683</v>
      </c>
      <c r="F1598" s="178" t="s">
        <v>156</v>
      </c>
    </row>
    <row r="1599">
      <c r="A1599" s="250">
        <v>45270.72865447917</v>
      </c>
      <c r="B1599" s="251" t="s">
        <v>1684</v>
      </c>
      <c r="C1599" s="178" t="s">
        <v>3213</v>
      </c>
      <c r="D1599" s="36" t="s">
        <v>1683</v>
      </c>
      <c r="E1599" s="36">
        <v>333339.9999999999</v>
      </c>
      <c r="F1599" s="178" t="s">
        <v>156</v>
      </c>
    </row>
    <row r="1600">
      <c r="A1600" s="250">
        <v>45270.750631134266</v>
      </c>
      <c r="B1600" s="251" t="s">
        <v>1693</v>
      </c>
      <c r="C1600" s="178" t="s">
        <v>3214</v>
      </c>
      <c r="D1600" s="36">
        <v>1659880.0</v>
      </c>
      <c r="E1600" s="36" t="s">
        <v>1683</v>
      </c>
      <c r="F1600" s="178" t="s">
        <v>89</v>
      </c>
    </row>
    <row r="1601">
      <c r="A1601" s="250">
        <v>45270.750631134266</v>
      </c>
      <c r="B1601" s="251" t="s">
        <v>1684</v>
      </c>
      <c r="C1601" s="178" t="s">
        <v>3215</v>
      </c>
      <c r="D1601" s="36" t="s">
        <v>1683</v>
      </c>
      <c r="E1601" s="36">
        <v>1659880.0</v>
      </c>
      <c r="F1601" s="178" t="s">
        <v>89</v>
      </c>
    </row>
    <row r="1602">
      <c r="A1602" s="250">
        <v>45270.78663645833</v>
      </c>
      <c r="B1602" s="251" t="s">
        <v>1783</v>
      </c>
      <c r="C1602" s="178" t="s">
        <v>3149</v>
      </c>
      <c r="D1602" s="36">
        <v>49400.0</v>
      </c>
      <c r="E1602" s="36" t="s">
        <v>1683</v>
      </c>
      <c r="F1602" s="178" t="s">
        <v>154</v>
      </c>
    </row>
    <row r="1603">
      <c r="A1603" s="250">
        <v>45270.78663645833</v>
      </c>
      <c r="B1603" s="251" t="s">
        <v>1684</v>
      </c>
      <c r="C1603" s="178" t="s">
        <v>3216</v>
      </c>
      <c r="D1603" s="36" t="s">
        <v>1683</v>
      </c>
      <c r="E1603" s="36">
        <v>49400.0</v>
      </c>
      <c r="F1603" s="178" t="s">
        <v>154</v>
      </c>
    </row>
    <row r="1604">
      <c r="A1604" s="250">
        <v>45271.51882568288</v>
      </c>
      <c r="B1604" s="251" t="s">
        <v>3177</v>
      </c>
      <c r="C1604" s="178" t="s">
        <v>3217</v>
      </c>
      <c r="D1604" s="36">
        <v>4020000.0</v>
      </c>
      <c r="E1604" s="36" t="s">
        <v>1683</v>
      </c>
      <c r="F1604" s="178"/>
    </row>
    <row r="1605">
      <c r="A1605" s="250">
        <v>45271.51882568288</v>
      </c>
      <c r="B1605" s="251" t="s">
        <v>1684</v>
      </c>
      <c r="C1605" s="178" t="s">
        <v>3218</v>
      </c>
      <c r="D1605" s="36" t="s">
        <v>1683</v>
      </c>
      <c r="E1605" s="36">
        <v>4020000.0</v>
      </c>
      <c r="F1605" s="178"/>
    </row>
    <row r="1606">
      <c r="A1606" s="250">
        <v>45272.86079342593</v>
      </c>
      <c r="B1606" s="251" t="s">
        <v>1839</v>
      </c>
      <c r="C1606" s="178" t="s">
        <v>3219</v>
      </c>
      <c r="D1606" s="36">
        <v>333339.9999999999</v>
      </c>
      <c r="E1606" s="36" t="s">
        <v>1683</v>
      </c>
      <c r="F1606" s="178" t="s">
        <v>156</v>
      </c>
    </row>
    <row r="1607">
      <c r="A1607" s="250">
        <v>45272.86079342593</v>
      </c>
      <c r="B1607" s="251" t="s">
        <v>1802</v>
      </c>
      <c r="C1607" s="178" t="s">
        <v>3212</v>
      </c>
      <c r="D1607" s="36" t="s">
        <v>1683</v>
      </c>
      <c r="E1607" s="36">
        <v>333339.9999999999</v>
      </c>
      <c r="F1607" s="178" t="s">
        <v>156</v>
      </c>
    </row>
    <row r="1608">
      <c r="A1608" s="250">
        <v>45272.86114626157</v>
      </c>
      <c r="B1608" s="251" t="s">
        <v>1783</v>
      </c>
      <c r="C1608" s="178" t="s">
        <v>3220</v>
      </c>
      <c r="D1608" s="36">
        <v>73600.0</v>
      </c>
      <c r="E1608" s="36" t="s">
        <v>1683</v>
      </c>
      <c r="F1608" s="178" t="s">
        <v>154</v>
      </c>
    </row>
    <row r="1609">
      <c r="A1609" s="250">
        <v>45272.86114626157</v>
      </c>
      <c r="B1609" s="251" t="s">
        <v>1684</v>
      </c>
      <c r="C1609" s="178" t="s">
        <v>3221</v>
      </c>
      <c r="D1609" s="36" t="s">
        <v>1683</v>
      </c>
      <c r="E1609" s="36">
        <v>73600.0</v>
      </c>
      <c r="F1609" s="178" t="s">
        <v>154</v>
      </c>
    </row>
    <row r="1610">
      <c r="A1610" s="250">
        <v>45272.861984456016</v>
      </c>
      <c r="B1610" s="251" t="s">
        <v>2272</v>
      </c>
      <c r="C1610" s="178" t="s">
        <v>3222</v>
      </c>
      <c r="D1610" s="36">
        <v>73600.0</v>
      </c>
      <c r="E1610" s="36" t="s">
        <v>1683</v>
      </c>
      <c r="F1610" s="178" t="s">
        <v>154</v>
      </c>
    </row>
    <row r="1611">
      <c r="A1611" s="250">
        <v>45272.861984456016</v>
      </c>
      <c r="B1611" s="251" t="s">
        <v>1802</v>
      </c>
      <c r="C1611" s="178" t="s">
        <v>3220</v>
      </c>
      <c r="D1611" s="36" t="s">
        <v>1683</v>
      </c>
      <c r="E1611" s="36">
        <v>73600.0</v>
      </c>
      <c r="F1611" s="178" t="s">
        <v>154</v>
      </c>
    </row>
    <row r="1612">
      <c r="A1612" s="250">
        <v>45272.865199907406</v>
      </c>
      <c r="B1612" s="251" t="s">
        <v>1783</v>
      </c>
      <c r="C1612" s="178" t="s">
        <v>3223</v>
      </c>
      <c r="D1612" s="36">
        <v>116500.0</v>
      </c>
      <c r="E1612" s="36" t="s">
        <v>1683</v>
      </c>
      <c r="F1612" s="178" t="s">
        <v>154</v>
      </c>
    </row>
    <row r="1613">
      <c r="A1613" s="250">
        <v>45272.865199907406</v>
      </c>
      <c r="B1613" s="251" t="s">
        <v>1684</v>
      </c>
      <c r="C1613" s="178" t="s">
        <v>3224</v>
      </c>
      <c r="D1613" s="36" t="s">
        <v>1683</v>
      </c>
      <c r="E1613" s="36">
        <v>116500.0</v>
      </c>
      <c r="F1613" s="178" t="s">
        <v>154</v>
      </c>
    </row>
    <row r="1614">
      <c r="A1614" s="250">
        <v>45272.866333969905</v>
      </c>
      <c r="B1614" s="251" t="s">
        <v>1783</v>
      </c>
      <c r="C1614" s="178" t="s">
        <v>3225</v>
      </c>
      <c r="D1614" s="36">
        <v>115345.00000000001</v>
      </c>
      <c r="E1614" s="36" t="s">
        <v>1683</v>
      </c>
      <c r="F1614" s="178" t="s">
        <v>154</v>
      </c>
    </row>
    <row r="1615">
      <c r="A1615" s="250">
        <v>45272.866333969905</v>
      </c>
      <c r="B1615" s="251" t="s">
        <v>1684</v>
      </c>
      <c r="C1615" s="178" t="s">
        <v>3226</v>
      </c>
      <c r="D1615" s="36" t="s">
        <v>1683</v>
      </c>
      <c r="E1615" s="36">
        <v>115345.00000000001</v>
      </c>
      <c r="F1615" s="178" t="s">
        <v>154</v>
      </c>
    </row>
    <row r="1616">
      <c r="A1616" s="250">
        <v>45272.86886420139</v>
      </c>
      <c r="B1616" s="251" t="s">
        <v>1783</v>
      </c>
      <c r="C1616" s="178" t="s">
        <v>3227</v>
      </c>
      <c r="D1616" s="36">
        <v>116500.0</v>
      </c>
      <c r="E1616" s="36" t="s">
        <v>1683</v>
      </c>
      <c r="F1616" s="178" t="s">
        <v>154</v>
      </c>
    </row>
    <row r="1617">
      <c r="A1617" s="250">
        <v>45272.86886420139</v>
      </c>
      <c r="B1617" s="251" t="s">
        <v>1684</v>
      </c>
      <c r="C1617" s="178" t="s">
        <v>3228</v>
      </c>
      <c r="D1617" s="36" t="s">
        <v>1683</v>
      </c>
      <c r="E1617" s="36">
        <v>116500.0</v>
      </c>
      <c r="F1617" s="178" t="s">
        <v>154</v>
      </c>
    </row>
    <row r="1618">
      <c r="A1618" s="250">
        <v>45273.454783472225</v>
      </c>
      <c r="B1618" s="251" t="s">
        <v>3020</v>
      </c>
      <c r="C1618" s="178" t="s">
        <v>3229</v>
      </c>
      <c r="D1618" s="36">
        <v>1659880.0</v>
      </c>
      <c r="E1618" s="36" t="s">
        <v>1683</v>
      </c>
      <c r="F1618" s="178" t="s">
        <v>89</v>
      </c>
    </row>
    <row r="1619">
      <c r="A1619" s="250">
        <v>45273.454783472225</v>
      </c>
      <c r="B1619" s="251" t="s">
        <v>1698</v>
      </c>
      <c r="C1619" s="178" t="s">
        <v>3214</v>
      </c>
      <c r="D1619" s="36" t="s">
        <v>1683</v>
      </c>
      <c r="E1619" s="36">
        <v>1659880.0</v>
      </c>
      <c r="F1619" s="178" t="s">
        <v>89</v>
      </c>
    </row>
    <row r="1620">
      <c r="A1620" s="250">
        <v>45276.70183888889</v>
      </c>
      <c r="B1620" s="251" t="s">
        <v>1839</v>
      </c>
      <c r="C1620" s="178" t="s">
        <v>3230</v>
      </c>
      <c r="D1620" s="36">
        <v>116500.0</v>
      </c>
      <c r="E1620" s="36" t="s">
        <v>1683</v>
      </c>
      <c r="F1620" s="178" t="s">
        <v>154</v>
      </c>
    </row>
    <row r="1621">
      <c r="A1621" s="250">
        <v>45276.70183888889</v>
      </c>
      <c r="B1621" s="251" t="s">
        <v>1802</v>
      </c>
      <c r="C1621" s="178" t="s">
        <v>3227</v>
      </c>
      <c r="D1621" s="36" t="s">
        <v>1683</v>
      </c>
      <c r="E1621" s="36">
        <v>116500.0</v>
      </c>
      <c r="F1621" s="178" t="s">
        <v>154</v>
      </c>
    </row>
    <row r="1622">
      <c r="A1622" s="250">
        <v>45276.70184888889</v>
      </c>
      <c r="B1622" s="251" t="s">
        <v>1839</v>
      </c>
      <c r="C1622" s="178" t="s">
        <v>3231</v>
      </c>
      <c r="D1622" s="36">
        <v>115345.00000000001</v>
      </c>
      <c r="E1622" s="36" t="s">
        <v>1683</v>
      </c>
      <c r="F1622" s="178" t="s">
        <v>154</v>
      </c>
    </row>
    <row r="1623">
      <c r="A1623" s="250">
        <v>45276.70184888889</v>
      </c>
      <c r="B1623" s="251" t="s">
        <v>1802</v>
      </c>
      <c r="C1623" s="178" t="s">
        <v>3225</v>
      </c>
      <c r="D1623" s="36" t="s">
        <v>1683</v>
      </c>
      <c r="E1623" s="36">
        <v>115345.00000000001</v>
      </c>
      <c r="F1623" s="178" t="s">
        <v>154</v>
      </c>
    </row>
    <row r="1624">
      <c r="A1624" s="250">
        <v>45276.70185888889</v>
      </c>
      <c r="B1624" s="251" t="s">
        <v>1839</v>
      </c>
      <c r="C1624" s="178" t="s">
        <v>3232</v>
      </c>
      <c r="D1624" s="36">
        <v>116500.0</v>
      </c>
      <c r="E1624" s="36" t="s">
        <v>1683</v>
      </c>
      <c r="F1624" s="178" t="s">
        <v>154</v>
      </c>
    </row>
    <row r="1625">
      <c r="A1625" s="250">
        <v>45276.70185888889</v>
      </c>
      <c r="B1625" s="251" t="s">
        <v>1802</v>
      </c>
      <c r="C1625" s="178" t="s">
        <v>3223</v>
      </c>
      <c r="D1625" s="36" t="s">
        <v>1683</v>
      </c>
      <c r="E1625" s="36">
        <v>116500.0</v>
      </c>
      <c r="F1625" s="178" t="s">
        <v>154</v>
      </c>
    </row>
    <row r="1626">
      <c r="A1626" s="250">
        <v>45294.90572555555</v>
      </c>
      <c r="B1626" s="251" t="s">
        <v>3233</v>
      </c>
      <c r="C1626" s="178" t="s">
        <v>3234</v>
      </c>
      <c r="D1626" s="36">
        <v>77168.0</v>
      </c>
      <c r="E1626" s="36" t="s">
        <v>1683</v>
      </c>
      <c r="F1626" s="178" t="s">
        <v>1683</v>
      </c>
    </row>
    <row r="1627">
      <c r="A1627" s="250">
        <v>45294.90572555555</v>
      </c>
      <c r="B1627" s="251" t="s">
        <v>3235</v>
      </c>
      <c r="C1627" s="178" t="s">
        <v>3236</v>
      </c>
      <c r="D1627" s="36" t="s">
        <v>1683</v>
      </c>
      <c r="E1627" s="36">
        <v>77168.0</v>
      </c>
      <c r="F1627" s="178" t="s">
        <v>1683</v>
      </c>
    </row>
    <row r="1628">
      <c r="A1628" s="250">
        <v>45297.49748163194</v>
      </c>
      <c r="B1628" s="251" t="s">
        <v>1693</v>
      </c>
      <c r="C1628" s="178" t="s">
        <v>3237</v>
      </c>
      <c r="D1628" s="36">
        <v>80031.99999999999</v>
      </c>
      <c r="E1628" s="36" t="s">
        <v>1683</v>
      </c>
      <c r="F1628" s="178" t="s">
        <v>89</v>
      </c>
    </row>
    <row r="1629">
      <c r="A1629" s="250">
        <v>45297.49748163194</v>
      </c>
      <c r="B1629" s="251" t="s">
        <v>1684</v>
      </c>
      <c r="C1629" s="178" t="s">
        <v>3238</v>
      </c>
      <c r="D1629" s="36" t="s">
        <v>1683</v>
      </c>
      <c r="E1629" s="36">
        <v>80031.99999999999</v>
      </c>
      <c r="F1629" s="178" t="s">
        <v>89</v>
      </c>
    </row>
    <row r="1630">
      <c r="A1630" s="250">
        <v>45302.69510444444</v>
      </c>
      <c r="B1630" s="251" t="s">
        <v>2848</v>
      </c>
      <c r="C1630" s="178" t="s">
        <v>3239</v>
      </c>
      <c r="D1630" s="36">
        <v>80031.99999999999</v>
      </c>
      <c r="E1630" s="36" t="s">
        <v>1683</v>
      </c>
      <c r="F1630" s="178" t="s">
        <v>89</v>
      </c>
    </row>
    <row r="1631">
      <c r="A1631" s="250">
        <v>45302.69510444444</v>
      </c>
      <c r="B1631" s="251" t="s">
        <v>1698</v>
      </c>
      <c r="C1631" s="178" t="s">
        <v>3237</v>
      </c>
      <c r="D1631" s="36" t="s">
        <v>1683</v>
      </c>
      <c r="E1631" s="36">
        <v>80031.99999999999</v>
      </c>
      <c r="F1631" s="178" t="s">
        <v>89</v>
      </c>
    </row>
    <row r="1632">
      <c r="A1632" s="250">
        <v>45304.584253333334</v>
      </c>
      <c r="B1632" s="251" t="s">
        <v>3240</v>
      </c>
      <c r="C1632" s="178" t="s">
        <v>3241</v>
      </c>
      <c r="D1632" s="36">
        <v>741449.9999999999</v>
      </c>
      <c r="E1632" s="36" t="s">
        <v>1683</v>
      </c>
      <c r="F1632" s="178" t="s">
        <v>894</v>
      </c>
    </row>
    <row r="1633">
      <c r="A1633" s="250">
        <v>45304.584253333334</v>
      </c>
      <c r="B1633" s="251" t="s">
        <v>3242</v>
      </c>
      <c r="C1633" s="178" t="s">
        <v>3186</v>
      </c>
      <c r="D1633" s="36" t="s">
        <v>1683</v>
      </c>
      <c r="E1633" s="36">
        <v>741449.9999999999</v>
      </c>
      <c r="F1633" s="178" t="s">
        <v>894</v>
      </c>
    </row>
    <row r="1634">
      <c r="A1634" s="250">
        <v>45304.58431333333</v>
      </c>
      <c r="B1634" s="251" t="s">
        <v>3243</v>
      </c>
      <c r="C1634" s="178" t="s">
        <v>3244</v>
      </c>
      <c r="D1634" s="36">
        <v>741449.9999999999</v>
      </c>
      <c r="E1634" s="36" t="s">
        <v>1683</v>
      </c>
      <c r="F1634" s="178" t="s">
        <v>900</v>
      </c>
    </row>
    <row r="1635">
      <c r="A1635" s="250">
        <v>45304.58431333333</v>
      </c>
      <c r="B1635" s="251" t="s">
        <v>3242</v>
      </c>
      <c r="C1635" s="178" t="s">
        <v>3188</v>
      </c>
      <c r="D1635" s="36" t="s">
        <v>1683</v>
      </c>
      <c r="E1635" s="36">
        <v>741449.9999999999</v>
      </c>
      <c r="F1635" s="178" t="s">
        <v>900</v>
      </c>
    </row>
    <row r="1636">
      <c r="A1636" s="250">
        <v>45305.50643407408</v>
      </c>
      <c r="B1636" s="251" t="s">
        <v>1611</v>
      </c>
      <c r="C1636" s="178" t="s">
        <v>3245</v>
      </c>
      <c r="D1636" s="36">
        <v>44800.0</v>
      </c>
      <c r="E1636" s="36" t="s">
        <v>1683</v>
      </c>
      <c r="F1636" s="178" t="s">
        <v>1656</v>
      </c>
    </row>
    <row r="1637">
      <c r="A1637" s="250">
        <v>45305.50643407408</v>
      </c>
      <c r="B1637" s="251" t="s">
        <v>1684</v>
      </c>
      <c r="C1637" s="178" t="s">
        <v>3246</v>
      </c>
      <c r="D1637" s="36" t="s">
        <v>1683</v>
      </c>
      <c r="E1637" s="36">
        <v>44800.0</v>
      </c>
      <c r="F1637" s="178" t="s">
        <v>1656</v>
      </c>
    </row>
    <row r="1638">
      <c r="A1638" s="250">
        <v>45305.58236335649</v>
      </c>
      <c r="B1638" s="251" t="s">
        <v>3247</v>
      </c>
      <c r="C1638" s="178" t="s">
        <v>3248</v>
      </c>
      <c r="D1638" s="36">
        <v>1009920.0</v>
      </c>
      <c r="E1638" s="36" t="s">
        <v>1683</v>
      </c>
      <c r="F1638" s="178"/>
    </row>
    <row r="1639">
      <c r="A1639" s="250">
        <v>45305.58236335649</v>
      </c>
      <c r="B1639" s="251" t="s">
        <v>3242</v>
      </c>
      <c r="C1639" s="178" t="s">
        <v>3190</v>
      </c>
      <c r="D1639" s="36" t="s">
        <v>1683</v>
      </c>
      <c r="E1639" s="36">
        <v>1009920.0</v>
      </c>
      <c r="F1639" s="178"/>
    </row>
    <row r="1640">
      <c r="A1640" s="250">
        <v>45307.542016666666</v>
      </c>
      <c r="B1640" s="251" t="s">
        <v>3249</v>
      </c>
      <c r="C1640" s="178" t="s">
        <v>3250</v>
      </c>
      <c r="D1640" s="36">
        <v>1409000.0</v>
      </c>
      <c r="E1640" s="36" t="s">
        <v>1683</v>
      </c>
      <c r="F1640" s="178"/>
    </row>
    <row r="1641">
      <c r="A1641" s="250">
        <v>45307.542016666666</v>
      </c>
      <c r="B1641" s="251" t="s">
        <v>3242</v>
      </c>
      <c r="C1641" s="178" t="s">
        <v>3182</v>
      </c>
      <c r="D1641" s="36" t="s">
        <v>1683</v>
      </c>
      <c r="E1641" s="36">
        <v>1409000.0</v>
      </c>
      <c r="F1641" s="178"/>
    </row>
    <row r="1642">
      <c r="A1642" s="250">
        <v>45312.73158</v>
      </c>
      <c r="B1642" s="251" t="s">
        <v>1783</v>
      </c>
      <c r="C1642" s="178" t="s">
        <v>3251</v>
      </c>
      <c r="D1642" s="36">
        <v>684650.0</v>
      </c>
      <c r="E1642" s="36" t="s">
        <v>1683</v>
      </c>
      <c r="F1642" s="178" t="s">
        <v>154</v>
      </c>
    </row>
    <row r="1643">
      <c r="A1643" s="250">
        <v>45312.73158</v>
      </c>
      <c r="B1643" s="251" t="s">
        <v>1684</v>
      </c>
      <c r="C1643" s="178" t="s">
        <v>3252</v>
      </c>
      <c r="D1643" s="36" t="s">
        <v>1683</v>
      </c>
      <c r="E1643" s="36">
        <v>684650.0</v>
      </c>
      <c r="F1643" s="178" t="s">
        <v>154</v>
      </c>
    </row>
    <row r="1644">
      <c r="A1644" s="250">
        <v>45313.25053</v>
      </c>
      <c r="B1644" s="251" t="s">
        <v>1768</v>
      </c>
      <c r="C1644" s="178" t="s">
        <v>3253</v>
      </c>
      <c r="D1644" s="36">
        <v>1400199.9999999998</v>
      </c>
      <c r="E1644" s="36" t="s">
        <v>1683</v>
      </c>
      <c r="F1644" s="178" t="s">
        <v>89</v>
      </c>
    </row>
    <row r="1645">
      <c r="A1645" s="250">
        <v>45313.25053</v>
      </c>
      <c r="B1645" s="251" t="s">
        <v>1698</v>
      </c>
      <c r="C1645" s="178" t="s">
        <v>3254</v>
      </c>
      <c r="D1645" s="36" t="s">
        <v>1683</v>
      </c>
      <c r="E1645" s="36">
        <v>1400199.9999999998</v>
      </c>
      <c r="F1645" s="178" t="s">
        <v>89</v>
      </c>
    </row>
    <row r="1646">
      <c r="A1646" s="250">
        <v>45316.180671111106</v>
      </c>
      <c r="B1646" s="251" t="s">
        <v>1693</v>
      </c>
      <c r="C1646" s="178" t="s">
        <v>3255</v>
      </c>
      <c r="D1646" s="36">
        <v>91100.00000000001</v>
      </c>
      <c r="E1646" s="36" t="s">
        <v>1683</v>
      </c>
      <c r="F1646" s="178" t="s">
        <v>605</v>
      </c>
    </row>
    <row r="1647">
      <c r="A1647" s="250">
        <v>45316.180671111106</v>
      </c>
      <c r="B1647" s="251" t="s">
        <v>1684</v>
      </c>
      <c r="C1647" s="178" t="s">
        <v>3256</v>
      </c>
      <c r="D1647" s="36" t="s">
        <v>1683</v>
      </c>
      <c r="E1647" s="36">
        <v>91100.00000000001</v>
      </c>
      <c r="F1647" s="178" t="s">
        <v>605</v>
      </c>
    </row>
    <row r="1648">
      <c r="A1648" s="250">
        <v>45316.60449666667</v>
      </c>
      <c r="B1648" s="251" t="s">
        <v>3257</v>
      </c>
      <c r="C1648" s="178" t="s">
        <v>3258</v>
      </c>
      <c r="D1648" s="36">
        <v>684650.0</v>
      </c>
      <c r="E1648" s="36" t="s">
        <v>1683</v>
      </c>
      <c r="F1648" s="178" t="s">
        <v>154</v>
      </c>
    </row>
    <row r="1649">
      <c r="A1649" s="250">
        <v>45316.60449666667</v>
      </c>
      <c r="B1649" s="251" t="s">
        <v>1802</v>
      </c>
      <c r="C1649" s="178" t="s">
        <v>3251</v>
      </c>
      <c r="D1649" s="36" t="s">
        <v>1683</v>
      </c>
      <c r="E1649" s="36">
        <v>684650.0</v>
      </c>
      <c r="F1649" s="178" t="s">
        <v>154</v>
      </c>
    </row>
    <row r="1650">
      <c r="A1650" s="250">
        <v>45318.74054928241</v>
      </c>
      <c r="B1650" s="251" t="s">
        <v>2848</v>
      </c>
      <c r="C1650" s="178" t="s">
        <v>3259</v>
      </c>
      <c r="D1650" s="36">
        <v>60970.0</v>
      </c>
      <c r="E1650" s="36" t="s">
        <v>1683</v>
      </c>
      <c r="F1650" s="178" t="s">
        <v>1683</v>
      </c>
    </row>
    <row r="1651">
      <c r="A1651" s="250">
        <v>45318.74054928241</v>
      </c>
      <c r="B1651" s="251" t="s">
        <v>3260</v>
      </c>
      <c r="C1651" s="178" t="s">
        <v>3261</v>
      </c>
      <c r="D1651" s="36" t="s">
        <v>1683</v>
      </c>
      <c r="E1651" s="36">
        <v>60970.0</v>
      </c>
      <c r="F1651" s="178" t="s">
        <v>1683</v>
      </c>
    </row>
    <row r="1652">
      <c r="A1652" s="250">
        <v>45319.67852819445</v>
      </c>
      <c r="B1652" s="251" t="s">
        <v>2848</v>
      </c>
      <c r="C1652" s="178" t="s">
        <v>3262</v>
      </c>
      <c r="D1652" s="36">
        <v>4020000.0</v>
      </c>
      <c r="E1652" s="36" t="s">
        <v>1683</v>
      </c>
      <c r="F1652" s="178"/>
    </row>
    <row r="1653">
      <c r="A1653" s="250">
        <v>45319.67852819445</v>
      </c>
      <c r="B1653" s="251" t="s">
        <v>3242</v>
      </c>
      <c r="C1653" s="178" t="s">
        <v>3217</v>
      </c>
      <c r="D1653" s="36" t="s">
        <v>1683</v>
      </c>
      <c r="E1653" s="36">
        <v>4020000.0</v>
      </c>
      <c r="F1653" s="178"/>
    </row>
    <row r="1654">
      <c r="A1654" s="250">
        <v>45320.62047990741</v>
      </c>
      <c r="B1654" s="251" t="s">
        <v>3174</v>
      </c>
      <c r="C1654" s="178" t="s">
        <v>3263</v>
      </c>
      <c r="D1654" s="36">
        <v>2337100.0</v>
      </c>
      <c r="E1654" s="36" t="s">
        <v>1683</v>
      </c>
      <c r="F1654" s="178"/>
    </row>
    <row r="1655">
      <c r="A1655" s="250">
        <v>45320.62047990741</v>
      </c>
      <c r="B1655" s="251" t="s">
        <v>3242</v>
      </c>
      <c r="C1655" s="178" t="s">
        <v>3180</v>
      </c>
      <c r="D1655" s="36" t="s">
        <v>1683</v>
      </c>
      <c r="E1655" s="36">
        <v>2337100.0</v>
      </c>
      <c r="F1655" s="178"/>
    </row>
    <row r="1656">
      <c r="A1656" s="250">
        <v>45320.62109990741</v>
      </c>
      <c r="B1656" s="251" t="s">
        <v>3264</v>
      </c>
      <c r="C1656" s="178" t="s">
        <v>3265</v>
      </c>
      <c r="D1656" s="36">
        <v>1397649.9999999998</v>
      </c>
      <c r="E1656" s="36" t="s">
        <v>1683</v>
      </c>
      <c r="F1656" s="178"/>
    </row>
    <row r="1657">
      <c r="A1657" s="250">
        <v>45320.62109990741</v>
      </c>
      <c r="B1657" s="251" t="s">
        <v>3242</v>
      </c>
      <c r="C1657" s="178" t="s">
        <v>3184</v>
      </c>
      <c r="D1657" s="36" t="s">
        <v>1683</v>
      </c>
      <c r="E1657" s="36">
        <v>1397649.9999999998</v>
      </c>
      <c r="F1657" s="178"/>
    </row>
    <row r="1658">
      <c r="A1658" s="250">
        <v>45323.49274712963</v>
      </c>
      <c r="B1658" s="251" t="s">
        <v>3177</v>
      </c>
      <c r="C1658" s="178" t="s">
        <v>3266</v>
      </c>
      <c r="D1658" s="36">
        <v>1276730.0</v>
      </c>
      <c r="E1658" s="36" t="s">
        <v>1683</v>
      </c>
      <c r="F1658" s="178"/>
    </row>
    <row r="1659">
      <c r="A1659" s="250">
        <v>45323.49274712963</v>
      </c>
      <c r="B1659" s="251" t="s">
        <v>1684</v>
      </c>
      <c r="C1659" s="178" t="s">
        <v>3267</v>
      </c>
      <c r="D1659" s="36" t="s">
        <v>1683</v>
      </c>
      <c r="E1659" s="36">
        <v>1276730.0</v>
      </c>
      <c r="F1659" s="178"/>
    </row>
    <row r="1660">
      <c r="A1660" s="250">
        <v>45323.49281871528</v>
      </c>
      <c r="B1660" s="251" t="s">
        <v>3177</v>
      </c>
      <c r="C1660" s="178" t="s">
        <v>3268</v>
      </c>
      <c r="D1660" s="36">
        <v>1964200.0</v>
      </c>
      <c r="E1660" s="36" t="s">
        <v>1683</v>
      </c>
      <c r="F1660" s="178"/>
    </row>
    <row r="1661">
      <c r="A1661" s="250">
        <v>45323.49281871528</v>
      </c>
      <c r="B1661" s="251" t="s">
        <v>1684</v>
      </c>
      <c r="C1661" s="178" t="s">
        <v>3269</v>
      </c>
      <c r="D1661" s="36" t="s">
        <v>1683</v>
      </c>
      <c r="E1661" s="36">
        <v>1964200.0</v>
      </c>
      <c r="F1661" s="178"/>
    </row>
    <row r="1662">
      <c r="A1662" s="250">
        <v>45329.63095018518</v>
      </c>
      <c r="B1662" s="251" t="s">
        <v>2841</v>
      </c>
      <c r="C1662" s="178" t="s">
        <v>3270</v>
      </c>
      <c r="D1662" s="36">
        <v>3256406.0</v>
      </c>
      <c r="E1662" s="36" t="s">
        <v>1683</v>
      </c>
      <c r="F1662" s="178"/>
    </row>
    <row r="1663">
      <c r="A1663" s="250">
        <v>45329.63095018518</v>
      </c>
      <c r="B1663" s="251" t="s">
        <v>3242</v>
      </c>
      <c r="C1663" s="178" t="s">
        <v>3178</v>
      </c>
      <c r="D1663" s="36" t="s">
        <v>1683</v>
      </c>
      <c r="E1663" s="36">
        <v>3256406.0</v>
      </c>
      <c r="F1663" s="178"/>
    </row>
    <row r="1664">
      <c r="A1664" s="250">
        <v>45330.558544907406</v>
      </c>
      <c r="B1664" s="251" t="s">
        <v>1693</v>
      </c>
      <c r="C1664" s="178" t="s">
        <v>3271</v>
      </c>
      <c r="D1664" s="36">
        <v>37250.00000000001</v>
      </c>
      <c r="E1664" s="36" t="s">
        <v>1683</v>
      </c>
      <c r="F1664" s="178" t="s">
        <v>89</v>
      </c>
    </row>
    <row r="1665">
      <c r="A1665" s="250">
        <v>45330.558544907406</v>
      </c>
      <c r="B1665" s="251" t="s">
        <v>1684</v>
      </c>
      <c r="C1665" s="178" t="s">
        <v>3272</v>
      </c>
      <c r="D1665" s="36" t="s">
        <v>1683</v>
      </c>
      <c r="E1665" s="36">
        <v>37250.00000000001</v>
      </c>
      <c r="F1665" s="178" t="s">
        <v>89</v>
      </c>
    </row>
    <row r="1666">
      <c r="A1666" s="250">
        <v>45330.558723333335</v>
      </c>
      <c r="B1666" s="251" t="s">
        <v>1693</v>
      </c>
      <c r="C1666" s="178" t="s">
        <v>3273</v>
      </c>
      <c r="D1666" s="36">
        <v>23375.000000000004</v>
      </c>
      <c r="E1666" s="36" t="s">
        <v>1683</v>
      </c>
      <c r="F1666" s="178" t="s">
        <v>89</v>
      </c>
    </row>
    <row r="1667">
      <c r="A1667" s="250">
        <v>45330.558723333335</v>
      </c>
      <c r="B1667" s="251" t="s">
        <v>1684</v>
      </c>
      <c r="C1667" s="178" t="s">
        <v>3274</v>
      </c>
      <c r="D1667" s="36" t="s">
        <v>1683</v>
      </c>
      <c r="E1667" s="36">
        <v>23375.000000000004</v>
      </c>
      <c r="F1667" s="178" t="s">
        <v>89</v>
      </c>
    </row>
    <row r="1668">
      <c r="A1668" s="250">
        <v>45334.409481574075</v>
      </c>
      <c r="B1668" s="251" t="s">
        <v>2497</v>
      </c>
      <c r="C1668" s="178" t="s">
        <v>3275</v>
      </c>
      <c r="D1668" s="36">
        <v>37250.00000000001</v>
      </c>
      <c r="E1668" s="36" t="s">
        <v>1683</v>
      </c>
      <c r="F1668" s="178" t="s">
        <v>89</v>
      </c>
    </row>
    <row r="1669">
      <c r="A1669" s="250">
        <v>45334.409481574075</v>
      </c>
      <c r="B1669" s="251" t="s">
        <v>1698</v>
      </c>
      <c r="C1669" s="178" t="s">
        <v>3271</v>
      </c>
      <c r="D1669" s="36" t="s">
        <v>1683</v>
      </c>
      <c r="E1669" s="36">
        <v>37250.00000000001</v>
      </c>
      <c r="F1669" s="178" t="s">
        <v>89</v>
      </c>
    </row>
    <row r="1670">
      <c r="A1670" s="250">
        <v>45334.40965967593</v>
      </c>
      <c r="B1670" s="251" t="s">
        <v>1846</v>
      </c>
      <c r="C1670" s="178" t="s">
        <v>3276</v>
      </c>
      <c r="D1670" s="36">
        <v>23375.000000000004</v>
      </c>
      <c r="E1670" s="36" t="s">
        <v>1683</v>
      </c>
      <c r="F1670" s="178" t="s">
        <v>89</v>
      </c>
    </row>
    <row r="1671">
      <c r="A1671" s="250">
        <v>45334.40965967593</v>
      </c>
      <c r="B1671" s="251" t="s">
        <v>1698</v>
      </c>
      <c r="C1671" s="178" t="s">
        <v>3273</v>
      </c>
      <c r="D1671" s="36" t="s">
        <v>1683</v>
      </c>
      <c r="E1671" s="36">
        <v>23375.000000000004</v>
      </c>
      <c r="F1671" s="178" t="s">
        <v>89</v>
      </c>
    </row>
    <row r="1672">
      <c r="A1672" s="250">
        <v>45334.47708317129</v>
      </c>
      <c r="B1672" s="251" t="s">
        <v>3177</v>
      </c>
      <c r="C1672" s="178" t="s">
        <v>3277</v>
      </c>
      <c r="D1672" s="36">
        <v>1971000.0</v>
      </c>
      <c r="E1672" s="36" t="s">
        <v>1683</v>
      </c>
      <c r="F1672" s="178"/>
    </row>
    <row r="1673">
      <c r="A1673" s="250">
        <v>45334.47708317129</v>
      </c>
      <c r="B1673" s="251" t="s">
        <v>1684</v>
      </c>
      <c r="C1673" s="178" t="s">
        <v>3278</v>
      </c>
      <c r="D1673" s="36" t="s">
        <v>1683</v>
      </c>
      <c r="E1673" s="36">
        <v>1971000.0</v>
      </c>
      <c r="F1673" s="178"/>
    </row>
    <row r="1674">
      <c r="A1674" s="250">
        <v>45336.460946666666</v>
      </c>
      <c r="B1674" s="251" t="s">
        <v>1693</v>
      </c>
      <c r="C1674" s="178" t="s">
        <v>3254</v>
      </c>
      <c r="D1674" s="36">
        <v>1400199.9999999998</v>
      </c>
      <c r="E1674" s="36" t="s">
        <v>1683</v>
      </c>
      <c r="F1674" s="178" t="s">
        <v>89</v>
      </c>
    </row>
    <row r="1675">
      <c r="A1675" s="250">
        <v>45336.460946666666</v>
      </c>
      <c r="B1675" s="251" t="s">
        <v>1684</v>
      </c>
      <c r="C1675" s="178" t="s">
        <v>3279</v>
      </c>
      <c r="D1675" s="36" t="s">
        <v>1683</v>
      </c>
      <c r="E1675" s="36">
        <v>1400199.9999999998</v>
      </c>
      <c r="F1675" s="178" t="s">
        <v>89</v>
      </c>
    </row>
    <row r="1676">
      <c r="A1676" s="250">
        <v>45337.48202444444</v>
      </c>
      <c r="B1676" s="251" t="s">
        <v>1693</v>
      </c>
      <c r="C1676" s="178" t="s">
        <v>3280</v>
      </c>
      <c r="D1676" s="36">
        <v>251000.00000000003</v>
      </c>
      <c r="E1676" s="36" t="s">
        <v>1683</v>
      </c>
      <c r="F1676" s="178" t="s">
        <v>89</v>
      </c>
    </row>
    <row r="1677">
      <c r="A1677" s="250">
        <v>45337.48202444444</v>
      </c>
      <c r="B1677" s="251" t="s">
        <v>1684</v>
      </c>
      <c r="C1677" s="178" t="s">
        <v>3281</v>
      </c>
      <c r="D1677" s="36" t="s">
        <v>1683</v>
      </c>
      <c r="E1677" s="36">
        <v>251000.00000000003</v>
      </c>
      <c r="F1677" s="178" t="s">
        <v>89</v>
      </c>
    </row>
    <row r="1678">
      <c r="A1678" s="250">
        <v>45337.53782</v>
      </c>
      <c r="B1678" s="251" t="s">
        <v>1783</v>
      </c>
      <c r="C1678" s="178" t="s">
        <v>3282</v>
      </c>
      <c r="D1678" s="36">
        <v>171775.0</v>
      </c>
      <c r="E1678" s="36" t="s">
        <v>1683</v>
      </c>
      <c r="F1678" s="178" t="s">
        <v>44</v>
      </c>
    </row>
    <row r="1679">
      <c r="A1679" s="250">
        <v>45337.53782</v>
      </c>
      <c r="B1679" s="251" t="s">
        <v>1684</v>
      </c>
      <c r="C1679" s="178" t="s">
        <v>3283</v>
      </c>
      <c r="D1679" s="36" t="s">
        <v>1683</v>
      </c>
      <c r="E1679" s="36">
        <v>171775.0</v>
      </c>
      <c r="F1679" s="178" t="s">
        <v>44</v>
      </c>
    </row>
    <row r="1680">
      <c r="A1680" s="250">
        <v>45337.64913431713</v>
      </c>
      <c r="B1680" s="251" t="s">
        <v>3017</v>
      </c>
      <c r="C1680" s="178" t="s">
        <v>3284</v>
      </c>
      <c r="D1680" s="36">
        <v>251000.00000000003</v>
      </c>
      <c r="E1680" s="36" t="s">
        <v>1683</v>
      </c>
      <c r="F1680" s="178" t="s">
        <v>89</v>
      </c>
    </row>
    <row r="1681">
      <c r="A1681" s="250">
        <v>45337.64913431713</v>
      </c>
      <c r="B1681" s="251" t="s">
        <v>1698</v>
      </c>
      <c r="C1681" s="178" t="s">
        <v>3280</v>
      </c>
      <c r="D1681" s="36" t="s">
        <v>1683</v>
      </c>
      <c r="E1681" s="36">
        <v>251000.00000000003</v>
      </c>
      <c r="F1681" s="178" t="s">
        <v>89</v>
      </c>
    </row>
    <row r="1682">
      <c r="A1682" s="250">
        <v>45337.832140000006</v>
      </c>
      <c r="B1682" s="251" t="s">
        <v>1693</v>
      </c>
      <c r="C1682" s="178" t="s">
        <v>3285</v>
      </c>
      <c r="D1682" s="36">
        <v>863730.9999999999</v>
      </c>
      <c r="E1682" s="36" t="s">
        <v>1683</v>
      </c>
      <c r="F1682" s="178" t="s">
        <v>89</v>
      </c>
    </row>
    <row r="1683">
      <c r="A1683" s="250">
        <v>45337.832140000006</v>
      </c>
      <c r="B1683" s="251" t="s">
        <v>1684</v>
      </c>
      <c r="C1683" s="178" t="s">
        <v>3286</v>
      </c>
      <c r="D1683" s="36" t="s">
        <v>1683</v>
      </c>
      <c r="E1683" s="36">
        <v>863730.9999999999</v>
      </c>
      <c r="F1683" s="178" t="s">
        <v>89</v>
      </c>
    </row>
    <row r="1684">
      <c r="A1684" s="250">
        <v>45337.83215</v>
      </c>
      <c r="B1684" s="251" t="s">
        <v>1693</v>
      </c>
      <c r="C1684" s="178" t="s">
        <v>3287</v>
      </c>
      <c r="D1684" s="36">
        <v>1050165.0</v>
      </c>
      <c r="E1684" s="36" t="s">
        <v>1683</v>
      </c>
      <c r="F1684" s="178" t="s">
        <v>89</v>
      </c>
    </row>
    <row r="1685">
      <c r="A1685" s="250">
        <v>45337.83215</v>
      </c>
      <c r="B1685" s="251" t="s">
        <v>1684</v>
      </c>
      <c r="C1685" s="178" t="s">
        <v>3288</v>
      </c>
      <c r="D1685" s="36" t="s">
        <v>1683</v>
      </c>
      <c r="E1685" s="36">
        <v>1050165.0</v>
      </c>
      <c r="F1685" s="178" t="s">
        <v>89</v>
      </c>
    </row>
    <row r="1686">
      <c r="A1686" s="250">
        <v>45340.45448666667</v>
      </c>
      <c r="B1686" s="251" t="s">
        <v>3257</v>
      </c>
      <c r="C1686" s="178" t="s">
        <v>3289</v>
      </c>
      <c r="D1686" s="36">
        <v>171775.0</v>
      </c>
      <c r="E1686" s="36" t="s">
        <v>1683</v>
      </c>
      <c r="F1686" s="178" t="s">
        <v>44</v>
      </c>
    </row>
    <row r="1687">
      <c r="A1687" s="250">
        <v>45340.45448666667</v>
      </c>
      <c r="B1687" s="251" t="s">
        <v>1802</v>
      </c>
      <c r="C1687" s="178" t="s">
        <v>3282</v>
      </c>
      <c r="D1687" s="36" t="s">
        <v>1683</v>
      </c>
      <c r="E1687" s="36">
        <v>171775.0</v>
      </c>
      <c r="F1687" s="178" t="s">
        <v>44</v>
      </c>
    </row>
    <row r="1688">
      <c r="A1688" s="250">
        <v>45340.77519555556</v>
      </c>
      <c r="B1688" s="251" t="s">
        <v>3240</v>
      </c>
      <c r="C1688" s="178" t="s">
        <v>3290</v>
      </c>
      <c r="D1688" s="36">
        <v>863730.9999999999</v>
      </c>
      <c r="E1688" s="36" t="s">
        <v>1683</v>
      </c>
      <c r="F1688" s="178" t="s">
        <v>89</v>
      </c>
    </row>
    <row r="1689">
      <c r="A1689" s="250">
        <v>45340.77519555556</v>
      </c>
      <c r="B1689" s="251" t="s">
        <v>1698</v>
      </c>
      <c r="C1689" s="178" t="s">
        <v>3285</v>
      </c>
      <c r="D1689" s="36" t="s">
        <v>1683</v>
      </c>
      <c r="E1689" s="36">
        <v>863730.9999999999</v>
      </c>
      <c r="F1689" s="178" t="s">
        <v>89</v>
      </c>
    </row>
    <row r="1690">
      <c r="A1690" s="250">
        <v>45340.775205555554</v>
      </c>
      <c r="B1690" s="251" t="s">
        <v>3240</v>
      </c>
      <c r="C1690" s="178" t="s">
        <v>3291</v>
      </c>
      <c r="D1690" s="36">
        <v>1050165.0</v>
      </c>
      <c r="E1690" s="36" t="s">
        <v>1683</v>
      </c>
      <c r="F1690" s="178" t="s">
        <v>89</v>
      </c>
    </row>
    <row r="1691">
      <c r="A1691" s="250">
        <v>45340.775205555554</v>
      </c>
      <c r="B1691" s="251" t="s">
        <v>1698</v>
      </c>
      <c r="C1691" s="178" t="s">
        <v>3287</v>
      </c>
      <c r="D1691" s="36" t="s">
        <v>1683</v>
      </c>
      <c r="E1691" s="36">
        <v>1050165.0</v>
      </c>
      <c r="F1691" s="178" t="s">
        <v>89</v>
      </c>
    </row>
    <row r="1692">
      <c r="A1692" s="250">
        <v>45341.504661099534</v>
      </c>
      <c r="B1692" s="251" t="s">
        <v>2243</v>
      </c>
      <c r="C1692" s="178" t="s">
        <v>3292</v>
      </c>
      <c r="D1692" s="36">
        <v>311.67</v>
      </c>
      <c r="E1692" s="36" t="s">
        <v>1683</v>
      </c>
      <c r="F1692" s="178" t="s">
        <v>1683</v>
      </c>
    </row>
    <row r="1693">
      <c r="A1693" s="250">
        <v>45341.504661099534</v>
      </c>
      <c r="B1693" s="251" t="s">
        <v>2245</v>
      </c>
      <c r="C1693" s="178" t="s">
        <v>3293</v>
      </c>
      <c r="D1693" s="36" t="s">
        <v>1683</v>
      </c>
      <c r="E1693" s="36">
        <v>311.67</v>
      </c>
      <c r="F1693" s="178" t="s">
        <v>1683</v>
      </c>
    </row>
    <row r="1694">
      <c r="A1694" s="250">
        <v>45341.64009333333</v>
      </c>
      <c r="B1694" s="251" t="s">
        <v>2112</v>
      </c>
      <c r="C1694" s="178" t="s">
        <v>3294</v>
      </c>
      <c r="D1694" s="36">
        <v>3014000.0</v>
      </c>
      <c r="E1694" s="36" t="s">
        <v>1683</v>
      </c>
      <c r="F1694" s="178"/>
    </row>
    <row r="1695">
      <c r="A1695" s="250">
        <v>45341.64009333333</v>
      </c>
      <c r="B1695" s="251" t="s">
        <v>3242</v>
      </c>
      <c r="C1695" s="178" t="s">
        <v>3192</v>
      </c>
      <c r="D1695" s="36" t="s">
        <v>1683</v>
      </c>
      <c r="E1695" s="36">
        <v>3014000.0</v>
      </c>
      <c r="F1695" s="178"/>
    </row>
    <row r="1696">
      <c r="A1696" s="250">
        <v>45341.64025333333</v>
      </c>
      <c r="B1696" s="251" t="s">
        <v>3295</v>
      </c>
      <c r="C1696" s="178" t="s">
        <v>3296</v>
      </c>
      <c r="D1696" s="36">
        <v>3014000.0</v>
      </c>
      <c r="E1696" s="36" t="s">
        <v>1683</v>
      </c>
      <c r="F1696" s="178"/>
    </row>
    <row r="1697">
      <c r="A1697" s="250">
        <v>45341.64025333333</v>
      </c>
      <c r="B1697" s="251" t="s">
        <v>3242</v>
      </c>
      <c r="C1697" s="178" t="s">
        <v>3194</v>
      </c>
      <c r="D1697" s="36" t="s">
        <v>1683</v>
      </c>
      <c r="E1697" s="36">
        <v>3014000.0</v>
      </c>
      <c r="F1697" s="178"/>
    </row>
    <row r="1698">
      <c r="A1698" s="250">
        <v>45347.91542297454</v>
      </c>
      <c r="B1698" s="251" t="s">
        <v>1693</v>
      </c>
      <c r="C1698" s="178" t="s">
        <v>3297</v>
      </c>
      <c r="D1698" s="36">
        <v>3421000.0000000005</v>
      </c>
      <c r="E1698" s="36" t="s">
        <v>1683</v>
      </c>
      <c r="F1698" s="178" t="s">
        <v>89</v>
      </c>
    </row>
    <row r="1699">
      <c r="A1699" s="250">
        <v>45347.91542297454</v>
      </c>
      <c r="B1699" s="251" t="s">
        <v>1684</v>
      </c>
      <c r="C1699" s="178" t="s">
        <v>3298</v>
      </c>
      <c r="D1699" s="36" t="s">
        <v>1683</v>
      </c>
      <c r="E1699" s="36">
        <v>3421000.0000000005</v>
      </c>
      <c r="F1699" s="178" t="s">
        <v>89</v>
      </c>
    </row>
    <row r="1700">
      <c r="A1700" s="250">
        <v>45348.45070354167</v>
      </c>
      <c r="B1700" s="251" t="s">
        <v>1693</v>
      </c>
      <c r="C1700" s="178" t="s">
        <v>3299</v>
      </c>
      <c r="D1700" s="36">
        <v>43500.0</v>
      </c>
      <c r="E1700" s="36" t="s">
        <v>1683</v>
      </c>
      <c r="F1700" s="178" t="s">
        <v>89</v>
      </c>
    </row>
    <row r="1701">
      <c r="A1701" s="250">
        <v>45348.45070354167</v>
      </c>
      <c r="B1701" s="251" t="s">
        <v>1684</v>
      </c>
      <c r="C1701" s="178" t="s">
        <v>3300</v>
      </c>
      <c r="D1701" s="36" t="s">
        <v>1683</v>
      </c>
      <c r="E1701" s="36">
        <v>43500.0</v>
      </c>
      <c r="F1701" s="178" t="s">
        <v>89</v>
      </c>
    </row>
    <row r="1702">
      <c r="A1702" s="250">
        <v>45348.45144377315</v>
      </c>
      <c r="B1702" s="251" t="s">
        <v>1693</v>
      </c>
      <c r="C1702" s="178" t="s">
        <v>3301</v>
      </c>
      <c r="D1702" s="36">
        <v>43500.0</v>
      </c>
      <c r="E1702" s="36" t="s">
        <v>1683</v>
      </c>
      <c r="F1702" s="178" t="s">
        <v>89</v>
      </c>
    </row>
    <row r="1703">
      <c r="A1703" s="250">
        <v>45348.45144377315</v>
      </c>
      <c r="B1703" s="251" t="s">
        <v>1684</v>
      </c>
      <c r="C1703" s="178" t="s">
        <v>3302</v>
      </c>
      <c r="D1703" s="36" t="s">
        <v>1683</v>
      </c>
      <c r="E1703" s="36">
        <v>43500.0</v>
      </c>
      <c r="F1703" s="178" t="s">
        <v>89</v>
      </c>
    </row>
    <row r="1704">
      <c r="A1704" s="250">
        <v>45348.495357395834</v>
      </c>
      <c r="B1704" s="251" t="s">
        <v>1693</v>
      </c>
      <c r="C1704" s="178" t="s">
        <v>3303</v>
      </c>
      <c r="D1704" s="36">
        <v>3331200.0</v>
      </c>
      <c r="E1704" s="36" t="s">
        <v>1683</v>
      </c>
      <c r="F1704" s="178" t="s">
        <v>89</v>
      </c>
    </row>
    <row r="1705">
      <c r="A1705" s="250">
        <v>45348.495357395834</v>
      </c>
      <c r="B1705" s="251" t="s">
        <v>1684</v>
      </c>
      <c r="C1705" s="178" t="s">
        <v>3304</v>
      </c>
      <c r="D1705" s="36" t="s">
        <v>1683</v>
      </c>
      <c r="E1705" s="36">
        <v>3331200.0</v>
      </c>
      <c r="F1705" s="178" t="s">
        <v>89</v>
      </c>
    </row>
    <row r="1706">
      <c r="A1706" s="250">
        <v>45348.6918344213</v>
      </c>
      <c r="B1706" s="251" t="s">
        <v>1783</v>
      </c>
      <c r="C1706" s="178" t="s">
        <v>3305</v>
      </c>
      <c r="D1706" s="36">
        <v>553420.0000000001</v>
      </c>
      <c r="E1706" s="36" t="s">
        <v>1683</v>
      </c>
      <c r="F1706" s="178" t="s">
        <v>44</v>
      </c>
    </row>
    <row r="1707">
      <c r="A1707" s="250">
        <v>45348.6918344213</v>
      </c>
      <c r="B1707" s="251" t="s">
        <v>1684</v>
      </c>
      <c r="C1707" s="178" t="s">
        <v>3306</v>
      </c>
      <c r="D1707" s="36" t="s">
        <v>1683</v>
      </c>
      <c r="E1707" s="36">
        <v>553420.0000000001</v>
      </c>
      <c r="F1707" s="178" t="s">
        <v>44</v>
      </c>
    </row>
    <row r="1708">
      <c r="A1708" s="250">
        <v>45348.81737234954</v>
      </c>
      <c r="B1708" s="251" t="s">
        <v>1693</v>
      </c>
      <c r="C1708" s="178" t="s">
        <v>3307</v>
      </c>
      <c r="D1708" s="36">
        <v>2305000.0000000005</v>
      </c>
      <c r="E1708" s="36" t="s">
        <v>1683</v>
      </c>
      <c r="F1708" s="178" t="s">
        <v>89</v>
      </c>
    </row>
    <row r="1709">
      <c r="A1709" s="250">
        <v>45348.81737234954</v>
      </c>
      <c r="B1709" s="251" t="s">
        <v>1684</v>
      </c>
      <c r="C1709" s="178" t="s">
        <v>3308</v>
      </c>
      <c r="D1709" s="36" t="s">
        <v>1683</v>
      </c>
      <c r="E1709" s="36">
        <v>2305000.0000000005</v>
      </c>
      <c r="F1709" s="178" t="s">
        <v>89</v>
      </c>
    </row>
    <row r="1710">
      <c r="A1710" s="250">
        <v>45349.54197666667</v>
      </c>
      <c r="B1710" s="251" t="s">
        <v>3020</v>
      </c>
      <c r="C1710" s="178" t="s">
        <v>3309</v>
      </c>
      <c r="D1710" s="36">
        <v>2305000.0000000005</v>
      </c>
      <c r="E1710" s="36" t="s">
        <v>1683</v>
      </c>
      <c r="F1710" s="178" t="s">
        <v>89</v>
      </c>
    </row>
    <row r="1711">
      <c r="A1711" s="250">
        <v>45349.54197666667</v>
      </c>
      <c r="B1711" s="251" t="s">
        <v>1698</v>
      </c>
      <c r="C1711" s="178" t="s">
        <v>3307</v>
      </c>
      <c r="D1711" s="36" t="s">
        <v>1683</v>
      </c>
      <c r="E1711" s="36">
        <v>2305000.0000000005</v>
      </c>
      <c r="F1711" s="178" t="s">
        <v>89</v>
      </c>
    </row>
    <row r="1712">
      <c r="A1712" s="250">
        <v>45350.481918958336</v>
      </c>
      <c r="B1712" s="251" t="s">
        <v>1896</v>
      </c>
      <c r="C1712" s="178" t="s">
        <v>3310</v>
      </c>
      <c r="D1712" s="36">
        <v>553420.0000000001</v>
      </c>
      <c r="E1712" s="36" t="s">
        <v>1683</v>
      </c>
      <c r="F1712" s="178" t="s">
        <v>44</v>
      </c>
    </row>
    <row r="1713">
      <c r="A1713" s="250">
        <v>45350.481918958336</v>
      </c>
      <c r="B1713" s="251" t="s">
        <v>1802</v>
      </c>
      <c r="C1713" s="178" t="s">
        <v>3305</v>
      </c>
      <c r="D1713" s="36" t="s">
        <v>1683</v>
      </c>
      <c r="E1713" s="36">
        <v>553420.0000000001</v>
      </c>
      <c r="F1713" s="178" t="s">
        <v>44</v>
      </c>
    </row>
    <row r="1714">
      <c r="A1714" s="250">
        <v>45350.51787275463</v>
      </c>
      <c r="B1714" s="251" t="s">
        <v>1783</v>
      </c>
      <c r="C1714" s="178" t="s">
        <v>3311</v>
      </c>
      <c r="D1714" s="36">
        <v>1010800.0</v>
      </c>
      <c r="E1714" s="36" t="s">
        <v>1683</v>
      </c>
      <c r="F1714" s="178" t="s">
        <v>154</v>
      </c>
    </row>
    <row r="1715">
      <c r="A1715" s="250">
        <v>45350.51787275463</v>
      </c>
      <c r="B1715" s="251" t="s">
        <v>1684</v>
      </c>
      <c r="C1715" s="178" t="s">
        <v>3312</v>
      </c>
      <c r="D1715" s="36" t="s">
        <v>1683</v>
      </c>
      <c r="E1715" s="36">
        <v>1010800.0</v>
      </c>
      <c r="F1715" s="178" t="s">
        <v>154</v>
      </c>
    </row>
    <row r="1716">
      <c r="A1716" s="250">
        <v>45350.52276615741</v>
      </c>
      <c r="B1716" s="251" t="s">
        <v>3313</v>
      </c>
      <c r="C1716" s="178" t="s">
        <v>3314</v>
      </c>
      <c r="D1716" s="36">
        <v>43500.0</v>
      </c>
      <c r="E1716" s="36" t="s">
        <v>1683</v>
      </c>
      <c r="F1716" s="178" t="s">
        <v>89</v>
      </c>
    </row>
    <row r="1717">
      <c r="A1717" s="250">
        <v>45350.52276615741</v>
      </c>
      <c r="B1717" s="251" t="s">
        <v>1698</v>
      </c>
      <c r="C1717" s="178" t="s">
        <v>3299</v>
      </c>
      <c r="D1717" s="36" t="s">
        <v>1683</v>
      </c>
      <c r="E1717" s="36">
        <v>43500.0</v>
      </c>
      <c r="F1717" s="178" t="s">
        <v>89</v>
      </c>
    </row>
    <row r="1718">
      <c r="A1718" s="250">
        <v>45350.52351856482</v>
      </c>
      <c r="B1718" s="251" t="s">
        <v>2996</v>
      </c>
      <c r="C1718" s="178" t="s">
        <v>3315</v>
      </c>
      <c r="D1718" s="36">
        <v>43500.0</v>
      </c>
      <c r="E1718" s="36" t="s">
        <v>1683</v>
      </c>
      <c r="F1718" s="178" t="s">
        <v>89</v>
      </c>
    </row>
    <row r="1719">
      <c r="A1719" s="250">
        <v>45350.52351856482</v>
      </c>
      <c r="B1719" s="251" t="s">
        <v>1698</v>
      </c>
      <c r="C1719" s="178" t="s">
        <v>3301</v>
      </c>
      <c r="D1719" s="36" t="s">
        <v>1683</v>
      </c>
      <c r="E1719" s="36">
        <v>43500.0</v>
      </c>
      <c r="F1719" s="178" t="s">
        <v>89</v>
      </c>
    </row>
    <row r="1720">
      <c r="A1720" s="250">
        <v>45350.89146010417</v>
      </c>
      <c r="B1720" s="251" t="s">
        <v>1693</v>
      </c>
      <c r="C1720" s="178" t="s">
        <v>3316</v>
      </c>
      <c r="D1720" s="36">
        <v>96100.0</v>
      </c>
      <c r="E1720" s="36" t="s">
        <v>1683</v>
      </c>
      <c r="F1720" s="178" t="s">
        <v>89</v>
      </c>
    </row>
    <row r="1721">
      <c r="A1721" s="250">
        <v>45350.89146010417</v>
      </c>
      <c r="B1721" s="251" t="s">
        <v>1684</v>
      </c>
      <c r="C1721" s="178" t="s">
        <v>3317</v>
      </c>
      <c r="D1721" s="36" t="s">
        <v>1683</v>
      </c>
      <c r="E1721" s="36">
        <v>96100.0</v>
      </c>
      <c r="F1721" s="178" t="s">
        <v>89</v>
      </c>
    </row>
    <row r="1722">
      <c r="A1722" s="250">
        <v>45351.61341399305</v>
      </c>
      <c r="B1722" s="251" t="s">
        <v>1611</v>
      </c>
      <c r="C1722" s="178" t="s">
        <v>3318</v>
      </c>
      <c r="D1722" s="36">
        <v>73500.0</v>
      </c>
      <c r="E1722" s="36" t="s">
        <v>1683</v>
      </c>
      <c r="F1722" s="178" t="s">
        <v>1657</v>
      </c>
    </row>
    <row r="1723">
      <c r="A1723" s="250">
        <v>45351.61341399305</v>
      </c>
      <c r="B1723" s="251" t="s">
        <v>1684</v>
      </c>
      <c r="C1723" s="178" t="s">
        <v>3319</v>
      </c>
      <c r="D1723" s="36" t="s">
        <v>1683</v>
      </c>
      <c r="E1723" s="36">
        <v>73500.0</v>
      </c>
      <c r="F1723" s="178" t="s">
        <v>1657</v>
      </c>
    </row>
    <row r="1724">
      <c r="A1724" s="250">
        <v>45352.42384824074</v>
      </c>
      <c r="B1724" s="251" t="s">
        <v>1958</v>
      </c>
      <c r="C1724" s="178" t="s">
        <v>3320</v>
      </c>
      <c r="D1724" s="36">
        <v>96100.0</v>
      </c>
      <c r="E1724" s="36" t="s">
        <v>1683</v>
      </c>
      <c r="F1724" s="178" t="s">
        <v>89</v>
      </c>
    </row>
    <row r="1725">
      <c r="A1725" s="250">
        <v>45352.42384824074</v>
      </c>
      <c r="B1725" s="251" t="s">
        <v>1698</v>
      </c>
      <c r="C1725" s="178" t="s">
        <v>3316</v>
      </c>
      <c r="D1725" s="36" t="s">
        <v>1683</v>
      </c>
      <c r="E1725" s="36">
        <v>96100.0</v>
      </c>
      <c r="F1725" s="178" t="s">
        <v>89</v>
      </c>
    </row>
    <row r="1726">
      <c r="A1726" s="250">
        <v>45352.48568333333</v>
      </c>
      <c r="B1726" s="251" t="s">
        <v>3020</v>
      </c>
      <c r="C1726" s="178" t="s">
        <v>3321</v>
      </c>
      <c r="D1726" s="36">
        <v>3331200.0</v>
      </c>
      <c r="E1726" s="36" t="s">
        <v>1683</v>
      </c>
      <c r="F1726" s="178" t="s">
        <v>89</v>
      </c>
    </row>
    <row r="1727">
      <c r="A1727" s="250">
        <v>45352.48568333333</v>
      </c>
      <c r="B1727" s="251" t="s">
        <v>1698</v>
      </c>
      <c r="C1727" s="178" t="s">
        <v>3303</v>
      </c>
      <c r="D1727" s="36" t="s">
        <v>1683</v>
      </c>
      <c r="E1727" s="36">
        <v>3331200.0</v>
      </c>
      <c r="F1727" s="178" t="s">
        <v>89</v>
      </c>
    </row>
    <row r="1728">
      <c r="A1728" s="250">
        <v>45352.485816168984</v>
      </c>
      <c r="B1728" s="251" t="s">
        <v>3257</v>
      </c>
      <c r="C1728" s="178" t="s">
        <v>3322</v>
      </c>
      <c r="D1728" s="36">
        <v>1010800.0</v>
      </c>
      <c r="E1728" s="36" t="s">
        <v>1683</v>
      </c>
      <c r="F1728" s="178" t="s">
        <v>154</v>
      </c>
    </row>
    <row r="1729">
      <c r="A1729" s="250">
        <v>45352.485816168984</v>
      </c>
      <c r="B1729" s="251" t="s">
        <v>1802</v>
      </c>
      <c r="C1729" s="178" t="s">
        <v>3311</v>
      </c>
      <c r="D1729" s="36" t="s">
        <v>1683</v>
      </c>
      <c r="E1729" s="36">
        <v>1010800.0</v>
      </c>
      <c r="F1729" s="178" t="s">
        <v>154</v>
      </c>
    </row>
    <row r="1730">
      <c r="A1730" s="250">
        <v>45352.783403333335</v>
      </c>
      <c r="B1730" s="251" t="s">
        <v>1693</v>
      </c>
      <c r="C1730" s="178" t="s">
        <v>3323</v>
      </c>
      <c r="D1730" s="36">
        <v>2343572.0000000005</v>
      </c>
      <c r="E1730" s="36" t="s">
        <v>1683</v>
      </c>
      <c r="F1730" s="178" t="s">
        <v>89</v>
      </c>
    </row>
    <row r="1731">
      <c r="A1731" s="250">
        <v>45352.783403333335</v>
      </c>
      <c r="B1731" s="251" t="s">
        <v>1684</v>
      </c>
      <c r="C1731" s="178" t="s">
        <v>3324</v>
      </c>
      <c r="D1731" s="36" t="s">
        <v>1683</v>
      </c>
      <c r="E1731" s="36">
        <v>2343572.0000000005</v>
      </c>
      <c r="F1731" s="178" t="s">
        <v>89</v>
      </c>
    </row>
    <row r="1732">
      <c r="A1732" s="250">
        <v>45352.93448497685</v>
      </c>
      <c r="B1732" s="251" t="s">
        <v>2996</v>
      </c>
      <c r="C1732" s="178" t="s">
        <v>3325</v>
      </c>
      <c r="D1732" s="36">
        <v>217.5</v>
      </c>
      <c r="E1732" s="36" t="s">
        <v>1683</v>
      </c>
      <c r="F1732" s="178" t="s">
        <v>1683</v>
      </c>
    </row>
    <row r="1733">
      <c r="A1733" s="250">
        <v>45352.93448497685</v>
      </c>
      <c r="B1733" s="251" t="s">
        <v>3326</v>
      </c>
      <c r="C1733" s="178" t="s">
        <v>3327</v>
      </c>
      <c r="D1733" s="36" t="s">
        <v>1683</v>
      </c>
      <c r="E1733" s="36">
        <v>217.5</v>
      </c>
      <c r="F1733" s="178" t="s">
        <v>1683</v>
      </c>
    </row>
    <row r="1734">
      <c r="A1734" s="250">
        <v>45352.9379992824</v>
      </c>
      <c r="B1734" s="251" t="s">
        <v>2053</v>
      </c>
      <c r="C1734" s="178" t="s">
        <v>3328</v>
      </c>
      <c r="D1734" s="36">
        <v>170.975</v>
      </c>
      <c r="E1734" s="36" t="s">
        <v>1683</v>
      </c>
      <c r="F1734" s="178" t="s">
        <v>1683</v>
      </c>
    </row>
    <row r="1735">
      <c r="A1735" s="250">
        <v>45352.9379992824</v>
      </c>
      <c r="B1735" s="251" t="s">
        <v>2055</v>
      </c>
      <c r="C1735" s="178" t="s">
        <v>3329</v>
      </c>
      <c r="D1735" s="36" t="s">
        <v>1683</v>
      </c>
      <c r="E1735" s="36">
        <v>170.975</v>
      </c>
      <c r="F1735" s="178" t="s">
        <v>1683</v>
      </c>
    </row>
    <row r="1736">
      <c r="A1736" s="250">
        <v>45353.71081564815</v>
      </c>
      <c r="B1736" s="251" t="s">
        <v>2987</v>
      </c>
      <c r="C1736" s="178" t="s">
        <v>3330</v>
      </c>
      <c r="D1736" s="36">
        <v>3421000.0000000005</v>
      </c>
      <c r="E1736" s="36" t="s">
        <v>1683</v>
      </c>
      <c r="F1736" s="178" t="s">
        <v>89</v>
      </c>
    </row>
    <row r="1737">
      <c r="A1737" s="250">
        <v>45353.71081564815</v>
      </c>
      <c r="B1737" s="251" t="s">
        <v>1698</v>
      </c>
      <c r="C1737" s="178" t="s">
        <v>3297</v>
      </c>
      <c r="D1737" s="36" t="s">
        <v>1683</v>
      </c>
      <c r="E1737" s="36">
        <v>3421000.0000000005</v>
      </c>
      <c r="F1737" s="178" t="s">
        <v>89</v>
      </c>
    </row>
    <row r="1738">
      <c r="A1738" s="250">
        <v>45353.973406666664</v>
      </c>
      <c r="B1738" s="251" t="s">
        <v>1693</v>
      </c>
      <c r="C1738" s="178" t="s">
        <v>3331</v>
      </c>
      <c r="D1738" s="36">
        <v>41000.0</v>
      </c>
      <c r="E1738" s="36" t="s">
        <v>1683</v>
      </c>
      <c r="F1738" s="178" t="s">
        <v>761</v>
      </c>
    </row>
    <row r="1739">
      <c r="A1739" s="250">
        <v>45353.973406666664</v>
      </c>
      <c r="B1739" s="251" t="s">
        <v>1684</v>
      </c>
      <c r="C1739" s="178" t="s">
        <v>3332</v>
      </c>
      <c r="D1739" s="36" t="s">
        <v>1683</v>
      </c>
      <c r="E1739" s="36">
        <v>41000.0</v>
      </c>
      <c r="F1739" s="178" t="s">
        <v>761</v>
      </c>
    </row>
    <row r="1740">
      <c r="A1740" s="250">
        <v>45354.03449777778</v>
      </c>
      <c r="B1740" s="251" t="s">
        <v>1693</v>
      </c>
      <c r="C1740" s="178" t="s">
        <v>3333</v>
      </c>
      <c r="D1740" s="36">
        <v>3763000.0000000005</v>
      </c>
      <c r="E1740" s="36" t="s">
        <v>1683</v>
      </c>
      <c r="F1740" s="178" t="s">
        <v>89</v>
      </c>
    </row>
    <row r="1741">
      <c r="A1741" s="250">
        <v>45354.03449777778</v>
      </c>
      <c r="B1741" s="251" t="s">
        <v>1684</v>
      </c>
      <c r="C1741" s="178" t="s">
        <v>3334</v>
      </c>
      <c r="D1741" s="36" t="s">
        <v>1683</v>
      </c>
      <c r="E1741" s="36">
        <v>3763000.0000000005</v>
      </c>
      <c r="F1741" s="178" t="s">
        <v>89</v>
      </c>
    </row>
    <row r="1742">
      <c r="A1742" s="250">
        <v>45354.04536888889</v>
      </c>
      <c r="B1742" s="251" t="s">
        <v>1693</v>
      </c>
      <c r="C1742" s="178" t="s">
        <v>3335</v>
      </c>
      <c r="D1742" s="36">
        <v>179199.99999999997</v>
      </c>
      <c r="E1742" s="36" t="s">
        <v>1683</v>
      </c>
      <c r="F1742" s="178" t="s">
        <v>89</v>
      </c>
    </row>
    <row r="1743">
      <c r="A1743" s="250">
        <v>45354.04536888889</v>
      </c>
      <c r="B1743" s="251" t="s">
        <v>1684</v>
      </c>
      <c r="C1743" s="178" t="s">
        <v>3336</v>
      </c>
      <c r="D1743" s="36" t="s">
        <v>1683</v>
      </c>
      <c r="E1743" s="36">
        <v>179199.99999999997</v>
      </c>
      <c r="F1743" s="178" t="s">
        <v>89</v>
      </c>
    </row>
    <row r="1744">
      <c r="A1744" s="250">
        <v>45354.04537888889</v>
      </c>
      <c r="B1744" s="251" t="s">
        <v>1693</v>
      </c>
      <c r="C1744" s="178" t="s">
        <v>3337</v>
      </c>
      <c r="D1744" s="36">
        <v>101000.0</v>
      </c>
      <c r="E1744" s="36" t="s">
        <v>1683</v>
      </c>
      <c r="F1744" s="178" t="s">
        <v>89</v>
      </c>
    </row>
    <row r="1745">
      <c r="A1745" s="250">
        <v>45354.04537888889</v>
      </c>
      <c r="B1745" s="251" t="s">
        <v>1684</v>
      </c>
      <c r="C1745" s="178" t="s">
        <v>3338</v>
      </c>
      <c r="D1745" s="36" t="s">
        <v>1683</v>
      </c>
      <c r="E1745" s="36">
        <v>101000.0</v>
      </c>
      <c r="F1745" s="178" t="s">
        <v>89</v>
      </c>
    </row>
    <row r="1746">
      <c r="A1746" s="250">
        <v>45354.049365555555</v>
      </c>
      <c r="B1746" s="251" t="s">
        <v>1693</v>
      </c>
      <c r="C1746" s="178" t="s">
        <v>3339</v>
      </c>
      <c r="D1746" s="36">
        <v>41095.0</v>
      </c>
      <c r="E1746" s="36" t="s">
        <v>1683</v>
      </c>
      <c r="F1746" s="178" t="s">
        <v>89</v>
      </c>
    </row>
    <row r="1747">
      <c r="A1747" s="250">
        <v>45354.049365555555</v>
      </c>
      <c r="B1747" s="251" t="s">
        <v>1684</v>
      </c>
      <c r="C1747" s="178" t="s">
        <v>3340</v>
      </c>
      <c r="D1747" s="36" t="s">
        <v>1683</v>
      </c>
      <c r="E1747" s="36">
        <v>41095.0</v>
      </c>
      <c r="F1747" s="178" t="s">
        <v>89</v>
      </c>
    </row>
    <row r="1748">
      <c r="A1748" s="250">
        <v>45354.425480000005</v>
      </c>
      <c r="B1748" s="251" t="s">
        <v>1693</v>
      </c>
      <c r="C1748" s="178" t="s">
        <v>3341</v>
      </c>
      <c r="D1748" s="36">
        <v>898750.0</v>
      </c>
      <c r="E1748" s="36" t="s">
        <v>1683</v>
      </c>
      <c r="F1748" s="178" t="s">
        <v>89</v>
      </c>
    </row>
    <row r="1749">
      <c r="A1749" s="250">
        <v>45354.425480000005</v>
      </c>
      <c r="B1749" s="251" t="s">
        <v>1684</v>
      </c>
      <c r="C1749" s="178" t="s">
        <v>3342</v>
      </c>
      <c r="D1749" s="36" t="s">
        <v>1683</v>
      </c>
      <c r="E1749" s="36">
        <v>898750.0</v>
      </c>
      <c r="F1749" s="178" t="s">
        <v>89</v>
      </c>
    </row>
    <row r="1750">
      <c r="A1750" s="250">
        <v>45355.03460777778</v>
      </c>
      <c r="B1750" s="251" t="s">
        <v>1693</v>
      </c>
      <c r="C1750" s="178" t="s">
        <v>3343</v>
      </c>
      <c r="D1750" s="36">
        <v>1895299.9999999998</v>
      </c>
      <c r="E1750" s="36" t="s">
        <v>1683</v>
      </c>
      <c r="F1750" s="178" t="s">
        <v>89</v>
      </c>
    </row>
    <row r="1751">
      <c r="A1751" s="250">
        <v>45355.03460777778</v>
      </c>
      <c r="B1751" s="251" t="s">
        <v>1684</v>
      </c>
      <c r="C1751" s="178" t="s">
        <v>3344</v>
      </c>
      <c r="D1751" s="36" t="s">
        <v>1683</v>
      </c>
      <c r="E1751" s="36">
        <v>1895299.9999999998</v>
      </c>
      <c r="F1751" s="178" t="s">
        <v>89</v>
      </c>
    </row>
    <row r="1752">
      <c r="A1752" s="250">
        <v>45355.72304638889</v>
      </c>
      <c r="B1752" s="251" t="s">
        <v>1693</v>
      </c>
      <c r="C1752" s="178" t="s">
        <v>3345</v>
      </c>
      <c r="D1752" s="36">
        <v>16000.0</v>
      </c>
      <c r="E1752" s="36" t="s">
        <v>1683</v>
      </c>
      <c r="F1752" s="178" t="s">
        <v>89</v>
      </c>
    </row>
    <row r="1753">
      <c r="A1753" s="250">
        <v>45355.72304638889</v>
      </c>
      <c r="B1753" s="251" t="s">
        <v>1684</v>
      </c>
      <c r="C1753" s="178" t="s">
        <v>3346</v>
      </c>
      <c r="D1753" s="36" t="s">
        <v>1683</v>
      </c>
      <c r="E1753" s="36">
        <v>16000.0</v>
      </c>
      <c r="F1753" s="178" t="s">
        <v>89</v>
      </c>
    </row>
    <row r="1754">
      <c r="A1754" s="250">
        <v>45356.35281777778</v>
      </c>
      <c r="B1754" s="251" t="s">
        <v>1693</v>
      </c>
      <c r="C1754" s="178" t="s">
        <v>3347</v>
      </c>
      <c r="D1754" s="36">
        <v>125499.99999999999</v>
      </c>
      <c r="E1754" s="36" t="s">
        <v>1683</v>
      </c>
      <c r="F1754" s="178" t="s">
        <v>89</v>
      </c>
    </row>
    <row r="1755">
      <c r="A1755" s="250">
        <v>45356.35281777778</v>
      </c>
      <c r="B1755" s="251" t="s">
        <v>1684</v>
      </c>
      <c r="C1755" s="178" t="s">
        <v>3348</v>
      </c>
      <c r="D1755" s="36" t="s">
        <v>1683</v>
      </c>
      <c r="E1755" s="36">
        <v>125499.99999999999</v>
      </c>
      <c r="F1755" s="178" t="s">
        <v>89</v>
      </c>
    </row>
    <row r="1756">
      <c r="A1756" s="250">
        <v>45356.65142888889</v>
      </c>
      <c r="B1756" s="251" t="s">
        <v>3017</v>
      </c>
      <c r="C1756" s="178" t="s">
        <v>3349</v>
      </c>
      <c r="D1756" s="36">
        <v>125499.99999999999</v>
      </c>
      <c r="E1756" s="36" t="s">
        <v>1683</v>
      </c>
      <c r="F1756" s="178" t="s">
        <v>89</v>
      </c>
    </row>
    <row r="1757">
      <c r="A1757" s="250">
        <v>45356.65142888889</v>
      </c>
      <c r="B1757" s="251" t="s">
        <v>1698</v>
      </c>
      <c r="C1757" s="178" t="s">
        <v>3347</v>
      </c>
      <c r="D1757" s="36" t="s">
        <v>1683</v>
      </c>
      <c r="E1757" s="36">
        <v>125499.99999999999</v>
      </c>
      <c r="F1757" s="178" t="s">
        <v>89</v>
      </c>
    </row>
    <row r="1758">
      <c r="A1758" s="250">
        <v>45356.67358027778</v>
      </c>
      <c r="B1758" s="251" t="s">
        <v>2316</v>
      </c>
      <c r="C1758" s="178" t="s">
        <v>3350</v>
      </c>
      <c r="D1758" s="36">
        <v>41000.0</v>
      </c>
      <c r="E1758" s="36" t="s">
        <v>1683</v>
      </c>
      <c r="F1758" s="178" t="s">
        <v>761</v>
      </c>
    </row>
    <row r="1759">
      <c r="A1759" s="250">
        <v>45356.67358027778</v>
      </c>
      <c r="B1759" s="251" t="s">
        <v>1698</v>
      </c>
      <c r="C1759" s="178" t="s">
        <v>3331</v>
      </c>
      <c r="D1759" s="36" t="s">
        <v>1683</v>
      </c>
      <c r="E1759" s="36">
        <v>41000.0</v>
      </c>
      <c r="F1759" s="178" t="s">
        <v>761</v>
      </c>
    </row>
    <row r="1760">
      <c r="A1760" s="250">
        <v>45357.37446763889</v>
      </c>
      <c r="B1760" s="251" t="s">
        <v>1693</v>
      </c>
      <c r="C1760" s="178" t="s">
        <v>3351</v>
      </c>
      <c r="D1760" s="36">
        <v>995560.0000000001</v>
      </c>
      <c r="E1760" s="36" t="s">
        <v>1683</v>
      </c>
      <c r="F1760" s="178" t="s">
        <v>89</v>
      </c>
    </row>
    <row r="1761">
      <c r="A1761" s="250">
        <v>45357.37446763889</v>
      </c>
      <c r="B1761" s="251" t="s">
        <v>1684</v>
      </c>
      <c r="C1761" s="178" t="s">
        <v>3352</v>
      </c>
      <c r="D1761" s="36" t="s">
        <v>1683</v>
      </c>
      <c r="E1761" s="36">
        <v>995560.0000000001</v>
      </c>
      <c r="F1761" s="178" t="s">
        <v>89</v>
      </c>
    </row>
    <row r="1762">
      <c r="A1762" s="250">
        <v>45357.59589143519</v>
      </c>
      <c r="B1762" s="251" t="s">
        <v>1958</v>
      </c>
      <c r="C1762" s="178" t="s">
        <v>3353</v>
      </c>
      <c r="D1762" s="36">
        <v>995560.0000000001</v>
      </c>
      <c r="E1762" s="36" t="s">
        <v>1683</v>
      </c>
      <c r="F1762" s="178" t="s">
        <v>89</v>
      </c>
    </row>
    <row r="1763">
      <c r="A1763" s="250">
        <v>45357.59589143519</v>
      </c>
      <c r="B1763" s="251" t="s">
        <v>1698</v>
      </c>
      <c r="C1763" s="178" t="s">
        <v>3351</v>
      </c>
      <c r="D1763" s="36" t="s">
        <v>1683</v>
      </c>
      <c r="E1763" s="36">
        <v>995560.0000000001</v>
      </c>
      <c r="F1763" s="178" t="s">
        <v>89</v>
      </c>
    </row>
    <row r="1764">
      <c r="A1764" s="250">
        <v>45357.74561888889</v>
      </c>
      <c r="B1764" s="251" t="s">
        <v>2489</v>
      </c>
      <c r="C1764" s="178" t="s">
        <v>3354</v>
      </c>
      <c r="D1764" s="36">
        <v>898750.0</v>
      </c>
      <c r="E1764" s="36" t="s">
        <v>1683</v>
      </c>
      <c r="F1764" s="178" t="s">
        <v>89</v>
      </c>
    </row>
    <row r="1765">
      <c r="A1765" s="250">
        <v>45357.74561888889</v>
      </c>
      <c r="B1765" s="251" t="s">
        <v>1698</v>
      </c>
      <c r="C1765" s="178" t="s">
        <v>3341</v>
      </c>
      <c r="D1765" s="36" t="s">
        <v>1683</v>
      </c>
      <c r="E1765" s="36">
        <v>898750.0</v>
      </c>
      <c r="F1765" s="178" t="s">
        <v>89</v>
      </c>
    </row>
    <row r="1766">
      <c r="A1766" s="250">
        <v>45357.79171666667</v>
      </c>
      <c r="B1766" s="251" t="s">
        <v>3017</v>
      </c>
      <c r="C1766" s="178" t="s">
        <v>3355</v>
      </c>
      <c r="D1766" s="36">
        <v>16000.0</v>
      </c>
      <c r="E1766" s="36" t="s">
        <v>1683</v>
      </c>
      <c r="F1766" s="178" t="s">
        <v>89</v>
      </c>
    </row>
    <row r="1767">
      <c r="A1767" s="250">
        <v>45357.79171666667</v>
      </c>
      <c r="B1767" s="251" t="s">
        <v>1698</v>
      </c>
      <c r="C1767" s="178" t="s">
        <v>3345</v>
      </c>
      <c r="D1767" s="36" t="s">
        <v>1683</v>
      </c>
      <c r="E1767" s="36">
        <v>16000.0</v>
      </c>
      <c r="F1767" s="178" t="s">
        <v>89</v>
      </c>
    </row>
    <row r="1768">
      <c r="A1768" s="250">
        <v>45358.67148</v>
      </c>
      <c r="B1768" s="251" t="s">
        <v>3356</v>
      </c>
      <c r="C1768" s="178" t="s">
        <v>3357</v>
      </c>
      <c r="D1768" s="36">
        <v>179199.99999999997</v>
      </c>
      <c r="E1768" s="36" t="s">
        <v>1683</v>
      </c>
      <c r="F1768" s="178" t="s">
        <v>89</v>
      </c>
    </row>
    <row r="1769">
      <c r="A1769" s="250">
        <v>45358.67148</v>
      </c>
      <c r="B1769" s="251" t="s">
        <v>1698</v>
      </c>
      <c r="C1769" s="178" t="s">
        <v>3335</v>
      </c>
      <c r="D1769" s="36" t="s">
        <v>1683</v>
      </c>
      <c r="E1769" s="36">
        <v>179199.99999999997</v>
      </c>
      <c r="F1769" s="178" t="s">
        <v>89</v>
      </c>
    </row>
    <row r="1770">
      <c r="A1770" s="250">
        <v>45358.67149</v>
      </c>
      <c r="B1770" s="251" t="s">
        <v>3356</v>
      </c>
      <c r="C1770" s="178" t="s">
        <v>3358</v>
      </c>
      <c r="D1770" s="36">
        <v>101000.0</v>
      </c>
      <c r="E1770" s="36" t="s">
        <v>1683</v>
      </c>
      <c r="F1770" s="178" t="s">
        <v>89</v>
      </c>
    </row>
    <row r="1771">
      <c r="A1771" s="250">
        <v>45358.67149</v>
      </c>
      <c r="B1771" s="251" t="s">
        <v>1698</v>
      </c>
      <c r="C1771" s="178" t="s">
        <v>3337</v>
      </c>
      <c r="D1771" s="36" t="s">
        <v>1683</v>
      </c>
      <c r="E1771" s="36">
        <v>101000.0</v>
      </c>
      <c r="F1771" s="178" t="s">
        <v>89</v>
      </c>
    </row>
    <row r="1772">
      <c r="A1772" s="250">
        <v>45359.66117111111</v>
      </c>
      <c r="B1772" s="251" t="s">
        <v>3017</v>
      </c>
      <c r="C1772" s="178" t="s">
        <v>3359</v>
      </c>
      <c r="D1772" s="36">
        <v>41095.0</v>
      </c>
      <c r="E1772" s="36" t="s">
        <v>1683</v>
      </c>
      <c r="F1772" s="178" t="s">
        <v>89</v>
      </c>
    </row>
    <row r="1773">
      <c r="A1773" s="250">
        <v>45359.66117111111</v>
      </c>
      <c r="B1773" s="251" t="s">
        <v>1698</v>
      </c>
      <c r="C1773" s="178" t="s">
        <v>3339</v>
      </c>
      <c r="D1773" s="36" t="s">
        <v>1683</v>
      </c>
      <c r="E1773" s="36">
        <v>41095.0</v>
      </c>
      <c r="F1773" s="178" t="s">
        <v>89</v>
      </c>
    </row>
    <row r="1774">
      <c r="A1774" s="250">
        <v>45360.73394805555</v>
      </c>
      <c r="B1774" s="251" t="s">
        <v>3046</v>
      </c>
      <c r="C1774" s="178" t="s">
        <v>3360</v>
      </c>
      <c r="D1774" s="36">
        <v>1895299.9999999998</v>
      </c>
      <c r="E1774" s="36" t="s">
        <v>1683</v>
      </c>
      <c r="F1774" s="178" t="s">
        <v>89</v>
      </c>
    </row>
    <row r="1775">
      <c r="A1775" s="250">
        <v>45360.73394805555</v>
      </c>
      <c r="B1775" s="251" t="s">
        <v>1698</v>
      </c>
      <c r="C1775" s="178" t="s">
        <v>3343</v>
      </c>
      <c r="D1775" s="36" t="s">
        <v>1683</v>
      </c>
      <c r="E1775" s="36">
        <v>1895299.9999999998</v>
      </c>
      <c r="F1775" s="178" t="s">
        <v>89</v>
      </c>
    </row>
    <row r="1776">
      <c r="A1776" s="250">
        <v>45360.86926939815</v>
      </c>
      <c r="B1776" s="251" t="s">
        <v>3046</v>
      </c>
      <c r="C1776" s="178" t="s">
        <v>3361</v>
      </c>
      <c r="D1776" s="36">
        <v>3480.0</v>
      </c>
      <c r="E1776" s="36" t="s">
        <v>1683</v>
      </c>
      <c r="F1776" s="178" t="s">
        <v>1683</v>
      </c>
    </row>
    <row r="1777">
      <c r="A1777" s="250">
        <v>45360.86926939815</v>
      </c>
      <c r="B1777" s="251" t="s">
        <v>3362</v>
      </c>
      <c r="C1777" s="178" t="s">
        <v>3363</v>
      </c>
      <c r="D1777" s="36" t="s">
        <v>1683</v>
      </c>
      <c r="E1777" s="36">
        <v>3480.0</v>
      </c>
      <c r="F1777" s="178" t="s">
        <v>1683</v>
      </c>
    </row>
    <row r="1778">
      <c r="A1778" s="250">
        <v>45361.510978252314</v>
      </c>
      <c r="B1778" s="251" t="s">
        <v>1896</v>
      </c>
      <c r="C1778" s="178" t="s">
        <v>3364</v>
      </c>
      <c r="D1778" s="36">
        <v>318564.0</v>
      </c>
      <c r="E1778" s="36" t="s">
        <v>1683</v>
      </c>
      <c r="F1778" s="178" t="s">
        <v>44</v>
      </c>
    </row>
    <row r="1779">
      <c r="A1779" s="250">
        <v>45361.510978252314</v>
      </c>
      <c r="B1779" s="251" t="s">
        <v>1802</v>
      </c>
      <c r="C1779" s="178" t="s">
        <v>2890</v>
      </c>
      <c r="D1779" s="36" t="s">
        <v>1683</v>
      </c>
      <c r="E1779" s="36">
        <v>318564.0</v>
      </c>
      <c r="F1779" s="178" t="s">
        <v>44</v>
      </c>
    </row>
    <row r="1780">
      <c r="A1780" s="250">
        <v>45361.51101177083</v>
      </c>
      <c r="B1780" s="251" t="s">
        <v>1896</v>
      </c>
      <c r="C1780" s="178" t="s">
        <v>3365</v>
      </c>
      <c r="D1780" s="36">
        <v>313581.0</v>
      </c>
      <c r="E1780" s="36" t="s">
        <v>1683</v>
      </c>
      <c r="F1780" s="178" t="s">
        <v>44</v>
      </c>
    </row>
    <row r="1781">
      <c r="A1781" s="250">
        <v>45361.51101177083</v>
      </c>
      <c r="B1781" s="251" t="s">
        <v>1802</v>
      </c>
      <c r="C1781" s="178" t="s">
        <v>2888</v>
      </c>
      <c r="D1781" s="36" t="s">
        <v>1683</v>
      </c>
      <c r="E1781" s="36">
        <v>313581.0</v>
      </c>
      <c r="F1781" s="178" t="s">
        <v>44</v>
      </c>
    </row>
    <row r="1782">
      <c r="A1782" s="250">
        <v>45361.60348336806</v>
      </c>
      <c r="B1782" s="251" t="s">
        <v>3366</v>
      </c>
      <c r="C1782" s="178" t="s">
        <v>3367</v>
      </c>
      <c r="D1782" s="36">
        <v>562500.0</v>
      </c>
      <c r="E1782" s="36" t="s">
        <v>1683</v>
      </c>
      <c r="F1782" s="178" t="s">
        <v>200</v>
      </c>
    </row>
    <row r="1783">
      <c r="A1783" s="250">
        <v>45361.60348336806</v>
      </c>
      <c r="B1783" s="251" t="s">
        <v>1684</v>
      </c>
      <c r="C1783" s="178" t="s">
        <v>3368</v>
      </c>
      <c r="D1783" s="36" t="s">
        <v>1683</v>
      </c>
      <c r="E1783" s="36">
        <v>562500.0</v>
      </c>
      <c r="F1783" s="178" t="s">
        <v>200</v>
      </c>
    </row>
    <row r="1784">
      <c r="A1784" s="250">
        <v>45361.60361336806</v>
      </c>
      <c r="B1784" s="251" t="s">
        <v>3366</v>
      </c>
      <c r="C1784" s="178" t="s">
        <v>3369</v>
      </c>
      <c r="D1784" s="36">
        <v>1125000.0</v>
      </c>
      <c r="E1784" s="36" t="s">
        <v>1683</v>
      </c>
      <c r="F1784" s="178" t="s">
        <v>200</v>
      </c>
    </row>
    <row r="1785">
      <c r="A1785" s="250">
        <v>45361.60361336806</v>
      </c>
      <c r="B1785" s="251" t="s">
        <v>1684</v>
      </c>
      <c r="C1785" s="178" t="s">
        <v>3370</v>
      </c>
      <c r="D1785" s="36" t="s">
        <v>1683</v>
      </c>
      <c r="E1785" s="36">
        <v>1125000.0</v>
      </c>
      <c r="F1785" s="178" t="s">
        <v>200</v>
      </c>
    </row>
    <row r="1786">
      <c r="A1786" s="250">
        <v>45361.60377336806</v>
      </c>
      <c r="B1786" s="251" t="s">
        <v>3366</v>
      </c>
      <c r="C1786" s="178" t="s">
        <v>3371</v>
      </c>
      <c r="D1786" s="36">
        <v>2050000.0</v>
      </c>
      <c r="E1786" s="36" t="s">
        <v>1683</v>
      </c>
      <c r="F1786" s="178" t="s">
        <v>200</v>
      </c>
    </row>
    <row r="1787">
      <c r="A1787" s="250">
        <v>45361.60377336806</v>
      </c>
      <c r="B1787" s="251" t="s">
        <v>1684</v>
      </c>
      <c r="C1787" s="178" t="s">
        <v>3372</v>
      </c>
      <c r="D1787" s="36" t="s">
        <v>1683</v>
      </c>
      <c r="E1787" s="36">
        <v>2050000.0</v>
      </c>
      <c r="F1787" s="178" t="s">
        <v>200</v>
      </c>
    </row>
    <row r="1788">
      <c r="A1788" s="250">
        <v>45361.60393336806</v>
      </c>
      <c r="B1788" s="251" t="s">
        <v>3366</v>
      </c>
      <c r="C1788" s="178" t="s">
        <v>3373</v>
      </c>
      <c r="D1788" s="36">
        <v>750000.0</v>
      </c>
      <c r="E1788" s="36" t="s">
        <v>1683</v>
      </c>
      <c r="F1788" s="178" t="s">
        <v>200</v>
      </c>
    </row>
    <row r="1789">
      <c r="A1789" s="250">
        <v>45361.60393336806</v>
      </c>
      <c r="B1789" s="251" t="s">
        <v>1684</v>
      </c>
      <c r="C1789" s="178" t="s">
        <v>3374</v>
      </c>
      <c r="D1789" s="36" t="s">
        <v>1683</v>
      </c>
      <c r="E1789" s="36">
        <v>750000.0</v>
      </c>
      <c r="F1789" s="178" t="s">
        <v>200</v>
      </c>
    </row>
    <row r="1790">
      <c r="A1790" s="250">
        <v>45361.60404336806</v>
      </c>
      <c r="B1790" s="251" t="s">
        <v>3366</v>
      </c>
      <c r="C1790" s="178" t="s">
        <v>3375</v>
      </c>
      <c r="D1790" s="36">
        <v>375000.0</v>
      </c>
      <c r="E1790" s="36" t="s">
        <v>1683</v>
      </c>
      <c r="F1790" s="178" t="s">
        <v>200</v>
      </c>
    </row>
    <row r="1791">
      <c r="A1791" s="250">
        <v>45361.60404336806</v>
      </c>
      <c r="B1791" s="251" t="s">
        <v>1684</v>
      </c>
      <c r="C1791" s="178" t="s">
        <v>3376</v>
      </c>
      <c r="D1791" s="36" t="s">
        <v>1683</v>
      </c>
      <c r="E1791" s="36">
        <v>375000.0</v>
      </c>
      <c r="F1791" s="178" t="s">
        <v>200</v>
      </c>
    </row>
    <row r="1792">
      <c r="A1792" s="250">
        <v>45361.60425336806</v>
      </c>
      <c r="B1792" s="251" t="s">
        <v>3366</v>
      </c>
      <c r="C1792" s="178" t="s">
        <v>3377</v>
      </c>
      <c r="D1792" s="36">
        <v>365000.0</v>
      </c>
      <c r="E1792" s="36" t="s">
        <v>1683</v>
      </c>
      <c r="F1792" s="178" t="s">
        <v>200</v>
      </c>
    </row>
    <row r="1793">
      <c r="A1793" s="250">
        <v>45361.60425336806</v>
      </c>
      <c r="B1793" s="251" t="s">
        <v>1684</v>
      </c>
      <c r="C1793" s="178" t="s">
        <v>3378</v>
      </c>
      <c r="D1793" s="36" t="s">
        <v>1683</v>
      </c>
      <c r="E1793" s="36">
        <v>365000.0</v>
      </c>
      <c r="F1793" s="178" t="s">
        <v>200</v>
      </c>
    </row>
    <row r="1794">
      <c r="A1794" s="250">
        <v>45362.48146555556</v>
      </c>
      <c r="B1794" s="251" t="s">
        <v>1693</v>
      </c>
      <c r="C1794" s="178" t="s">
        <v>3379</v>
      </c>
      <c r="D1794" s="36">
        <v>70134.66334164588</v>
      </c>
      <c r="E1794" s="36" t="s">
        <v>1683</v>
      </c>
      <c r="F1794" s="178" t="s">
        <v>89</v>
      </c>
    </row>
    <row r="1795">
      <c r="A1795" s="250">
        <v>45362.48146555556</v>
      </c>
      <c r="B1795" s="251" t="s">
        <v>1684</v>
      </c>
      <c r="C1795" s="178" t="s">
        <v>3380</v>
      </c>
      <c r="D1795" s="36" t="s">
        <v>1683</v>
      </c>
      <c r="E1795" s="36">
        <v>70134.66334164588</v>
      </c>
      <c r="F1795" s="178" t="s">
        <v>89</v>
      </c>
    </row>
    <row r="1796">
      <c r="A1796" s="250">
        <v>45362.48148555556</v>
      </c>
      <c r="B1796" s="251" t="s">
        <v>1693</v>
      </c>
      <c r="C1796" s="178" t="s">
        <v>3381</v>
      </c>
      <c r="D1796" s="36">
        <v>1065.3366583541147</v>
      </c>
      <c r="E1796" s="36" t="s">
        <v>1683</v>
      </c>
      <c r="F1796" s="178" t="s">
        <v>89</v>
      </c>
    </row>
    <row r="1797">
      <c r="A1797" s="250">
        <v>45362.48148555556</v>
      </c>
      <c r="B1797" s="251" t="s">
        <v>1684</v>
      </c>
      <c r="C1797" s="178" t="s">
        <v>3382</v>
      </c>
      <c r="D1797" s="36" t="s">
        <v>1683</v>
      </c>
      <c r="E1797" s="36">
        <v>1065.3366583541147</v>
      </c>
      <c r="F1797" s="178" t="s">
        <v>89</v>
      </c>
    </row>
    <row r="1798">
      <c r="A1798" s="250">
        <v>45363.61144111111</v>
      </c>
      <c r="B1798" s="251" t="s">
        <v>3177</v>
      </c>
      <c r="C1798" s="178" t="s">
        <v>3383</v>
      </c>
      <c r="D1798" s="36">
        <v>6765500.0</v>
      </c>
      <c r="E1798" s="36" t="s">
        <v>1683</v>
      </c>
      <c r="F1798" s="178"/>
    </row>
    <row r="1799">
      <c r="A1799" s="250">
        <v>45363.61144111111</v>
      </c>
      <c r="B1799" s="251" t="s">
        <v>1684</v>
      </c>
      <c r="C1799" s="178" t="s">
        <v>3384</v>
      </c>
      <c r="D1799" s="36" t="s">
        <v>1683</v>
      </c>
      <c r="E1799" s="36">
        <v>6765500.0</v>
      </c>
      <c r="F1799" s="178"/>
    </row>
    <row r="1800">
      <c r="A1800" s="250">
        <v>45363.741551481486</v>
      </c>
      <c r="B1800" s="251" t="s">
        <v>3017</v>
      </c>
      <c r="C1800" s="178" t="s">
        <v>3385</v>
      </c>
      <c r="D1800" s="36">
        <v>2343572.0000000005</v>
      </c>
      <c r="E1800" s="36" t="s">
        <v>1683</v>
      </c>
      <c r="F1800" s="178" t="s">
        <v>89</v>
      </c>
    </row>
    <row r="1801">
      <c r="A1801" s="250">
        <v>45363.741551481486</v>
      </c>
      <c r="B1801" s="251" t="s">
        <v>1698</v>
      </c>
      <c r="C1801" s="178" t="s">
        <v>3323</v>
      </c>
      <c r="D1801" s="36" t="s">
        <v>1683</v>
      </c>
      <c r="E1801" s="36">
        <v>2343572.0000000005</v>
      </c>
      <c r="F1801" s="178" t="s">
        <v>89</v>
      </c>
    </row>
    <row r="1802">
      <c r="A1802" s="250">
        <v>45363.74195148148</v>
      </c>
      <c r="B1802" s="251" t="s">
        <v>2987</v>
      </c>
      <c r="C1802" s="178" t="s">
        <v>3386</v>
      </c>
      <c r="D1802" s="36">
        <v>3763000.0000000005</v>
      </c>
      <c r="E1802" s="36" t="s">
        <v>1683</v>
      </c>
      <c r="F1802" s="178" t="s">
        <v>89</v>
      </c>
    </row>
    <row r="1803">
      <c r="A1803" s="250">
        <v>45363.74195148148</v>
      </c>
      <c r="B1803" s="251" t="s">
        <v>1698</v>
      </c>
      <c r="C1803" s="178" t="s">
        <v>3333</v>
      </c>
      <c r="D1803" s="36" t="s">
        <v>1683</v>
      </c>
      <c r="E1803" s="36">
        <v>3763000.0000000005</v>
      </c>
      <c r="F1803" s="178" t="s">
        <v>89</v>
      </c>
    </row>
    <row r="1804">
      <c r="A1804" s="250">
        <v>45365.423132222226</v>
      </c>
      <c r="B1804" s="251" t="s">
        <v>3387</v>
      </c>
      <c r="C1804" s="178" t="s">
        <v>3388</v>
      </c>
      <c r="D1804" s="36">
        <v>70134.66334164588</v>
      </c>
      <c r="E1804" s="36" t="s">
        <v>1683</v>
      </c>
      <c r="F1804" s="178" t="s">
        <v>89</v>
      </c>
    </row>
    <row r="1805">
      <c r="A1805" s="250">
        <v>45365.423132222226</v>
      </c>
      <c r="B1805" s="251" t="s">
        <v>1698</v>
      </c>
      <c r="C1805" s="178" t="s">
        <v>3379</v>
      </c>
      <c r="D1805" s="36" t="s">
        <v>1683</v>
      </c>
      <c r="E1805" s="36">
        <v>70134.66334164588</v>
      </c>
      <c r="F1805" s="178" t="s">
        <v>89</v>
      </c>
    </row>
    <row r="1806">
      <c r="A1806" s="250">
        <v>45365.423152222225</v>
      </c>
      <c r="B1806" s="251" t="s">
        <v>1844</v>
      </c>
      <c r="C1806" s="178" t="s">
        <v>3389</v>
      </c>
      <c r="D1806" s="36">
        <v>1065.3366583541147</v>
      </c>
      <c r="E1806" s="36" t="s">
        <v>1683</v>
      </c>
      <c r="F1806" s="178" t="s">
        <v>89</v>
      </c>
    </row>
    <row r="1807">
      <c r="A1807" s="250">
        <v>45365.423152222225</v>
      </c>
      <c r="B1807" s="251" t="s">
        <v>1698</v>
      </c>
      <c r="C1807" s="178" t="s">
        <v>3381</v>
      </c>
      <c r="D1807" s="36" t="s">
        <v>1683</v>
      </c>
      <c r="E1807" s="36">
        <v>1065.3366583541147</v>
      </c>
      <c r="F1807" s="178" t="s">
        <v>89</v>
      </c>
    </row>
    <row r="1808">
      <c r="A1808" s="250">
        <v>45365.48311936342</v>
      </c>
      <c r="B1808" s="251" t="s">
        <v>3249</v>
      </c>
      <c r="C1808" s="178" t="s">
        <v>3390</v>
      </c>
      <c r="D1808" s="36">
        <v>2050000.0</v>
      </c>
      <c r="E1808" s="36" t="s">
        <v>1683</v>
      </c>
      <c r="F1808" s="178" t="s">
        <v>200</v>
      </c>
    </row>
    <row r="1809">
      <c r="A1809" s="250">
        <v>45365.48311936342</v>
      </c>
      <c r="B1809" s="251" t="s">
        <v>3391</v>
      </c>
      <c r="C1809" s="178" t="s">
        <v>3371</v>
      </c>
      <c r="D1809" s="36" t="s">
        <v>1683</v>
      </c>
      <c r="E1809" s="36">
        <v>2050000.0</v>
      </c>
      <c r="F1809" s="178" t="s">
        <v>200</v>
      </c>
    </row>
    <row r="1810">
      <c r="A1810" s="250">
        <v>45365.48389736112</v>
      </c>
      <c r="B1810" s="251" t="s">
        <v>3392</v>
      </c>
      <c r="C1810" s="178" t="s">
        <v>3393</v>
      </c>
      <c r="D1810" s="36">
        <v>562500.0</v>
      </c>
      <c r="E1810" s="36" t="s">
        <v>1683</v>
      </c>
      <c r="F1810" s="178" t="s">
        <v>200</v>
      </c>
    </row>
    <row r="1811">
      <c r="A1811" s="250">
        <v>45365.48389736112</v>
      </c>
      <c r="B1811" s="251" t="s">
        <v>3391</v>
      </c>
      <c r="C1811" s="178" t="s">
        <v>3367</v>
      </c>
      <c r="D1811" s="36" t="s">
        <v>1683</v>
      </c>
      <c r="E1811" s="36">
        <v>562500.0</v>
      </c>
      <c r="F1811" s="178" t="s">
        <v>200</v>
      </c>
    </row>
    <row r="1812">
      <c r="A1812" s="250">
        <v>45365.48401856482</v>
      </c>
      <c r="B1812" s="251" t="s">
        <v>3394</v>
      </c>
      <c r="C1812" s="178" t="s">
        <v>3395</v>
      </c>
      <c r="D1812" s="36">
        <v>1125000.0</v>
      </c>
      <c r="E1812" s="36" t="s">
        <v>1683</v>
      </c>
      <c r="F1812" s="178" t="s">
        <v>200</v>
      </c>
    </row>
    <row r="1813">
      <c r="A1813" s="250">
        <v>45365.48401856482</v>
      </c>
      <c r="B1813" s="251" t="s">
        <v>3391</v>
      </c>
      <c r="C1813" s="178" t="s">
        <v>3369</v>
      </c>
      <c r="D1813" s="36" t="s">
        <v>1683</v>
      </c>
      <c r="E1813" s="36">
        <v>1125000.0</v>
      </c>
      <c r="F1813" s="178" t="s">
        <v>200</v>
      </c>
    </row>
    <row r="1814">
      <c r="A1814" s="250">
        <v>45365.48432252315</v>
      </c>
      <c r="B1814" s="251" t="s">
        <v>3396</v>
      </c>
      <c r="C1814" s="178" t="s">
        <v>3397</v>
      </c>
      <c r="D1814" s="36">
        <v>750000.0</v>
      </c>
      <c r="E1814" s="36" t="s">
        <v>1683</v>
      </c>
      <c r="F1814" s="178" t="s">
        <v>200</v>
      </c>
    </row>
    <row r="1815">
      <c r="A1815" s="250">
        <v>45365.48432252315</v>
      </c>
      <c r="B1815" s="251" t="s">
        <v>3391</v>
      </c>
      <c r="C1815" s="178" t="s">
        <v>3373</v>
      </c>
      <c r="D1815" s="36" t="s">
        <v>1683</v>
      </c>
      <c r="E1815" s="36">
        <v>750000.0</v>
      </c>
      <c r="F1815" s="178" t="s">
        <v>200</v>
      </c>
    </row>
    <row r="1816">
      <c r="A1816" s="250">
        <v>45365.48442252315</v>
      </c>
      <c r="B1816" s="251" t="s">
        <v>3398</v>
      </c>
      <c r="C1816" s="178" t="s">
        <v>3399</v>
      </c>
      <c r="D1816" s="36">
        <v>375000.0</v>
      </c>
      <c r="E1816" s="36" t="s">
        <v>1683</v>
      </c>
      <c r="F1816" s="178" t="s">
        <v>200</v>
      </c>
    </row>
    <row r="1817">
      <c r="A1817" s="250">
        <v>45365.48442252315</v>
      </c>
      <c r="B1817" s="251" t="s">
        <v>3391</v>
      </c>
      <c r="C1817" s="178" t="s">
        <v>3375</v>
      </c>
      <c r="D1817" s="36" t="s">
        <v>1683</v>
      </c>
      <c r="E1817" s="36">
        <v>375000.0</v>
      </c>
      <c r="F1817" s="178" t="s">
        <v>200</v>
      </c>
    </row>
    <row r="1818">
      <c r="A1818" s="250">
        <v>45365.484673506944</v>
      </c>
      <c r="B1818" s="251" t="s">
        <v>3400</v>
      </c>
      <c r="C1818" s="178" t="s">
        <v>3401</v>
      </c>
      <c r="D1818" s="36">
        <v>365000.0</v>
      </c>
      <c r="E1818" s="36" t="s">
        <v>1683</v>
      </c>
      <c r="F1818" s="178" t="s">
        <v>200</v>
      </c>
    </row>
    <row r="1819">
      <c r="A1819" s="250">
        <v>45365.484673506944</v>
      </c>
      <c r="B1819" s="251" t="s">
        <v>3391</v>
      </c>
      <c r="C1819" s="178" t="s">
        <v>3377</v>
      </c>
      <c r="D1819" s="36" t="s">
        <v>1683</v>
      </c>
      <c r="E1819" s="36">
        <v>365000.0</v>
      </c>
      <c r="F1819" s="178" t="s">
        <v>200</v>
      </c>
    </row>
    <row r="1820">
      <c r="A1820" s="250">
        <v>45366.64338555556</v>
      </c>
      <c r="B1820" s="251" t="s">
        <v>3366</v>
      </c>
      <c r="C1820" s="178" t="s">
        <v>3402</v>
      </c>
      <c r="D1820" s="36">
        <v>135000.0</v>
      </c>
      <c r="E1820" s="36" t="s">
        <v>1683</v>
      </c>
      <c r="F1820" s="178" t="s">
        <v>200</v>
      </c>
    </row>
    <row r="1821">
      <c r="A1821" s="250">
        <v>45366.64338555556</v>
      </c>
      <c r="B1821" s="251" t="s">
        <v>1684</v>
      </c>
      <c r="C1821" s="178" t="s">
        <v>3403</v>
      </c>
      <c r="D1821" s="36" t="s">
        <v>1683</v>
      </c>
      <c r="E1821" s="36">
        <v>135000.0</v>
      </c>
      <c r="F1821" s="178" t="s">
        <v>200</v>
      </c>
    </row>
    <row r="1822">
      <c r="A1822" s="250">
        <v>45366.64379555556</v>
      </c>
      <c r="B1822" s="251" t="s">
        <v>3366</v>
      </c>
      <c r="C1822" s="178" t="s">
        <v>3404</v>
      </c>
      <c r="D1822" s="36">
        <v>310000.0</v>
      </c>
      <c r="E1822" s="36" t="s">
        <v>1683</v>
      </c>
      <c r="F1822" s="178" t="s">
        <v>200</v>
      </c>
    </row>
    <row r="1823">
      <c r="A1823" s="250">
        <v>45366.64379555556</v>
      </c>
      <c r="B1823" s="251" t="s">
        <v>1684</v>
      </c>
      <c r="C1823" s="178" t="s">
        <v>3405</v>
      </c>
      <c r="D1823" s="36" t="s">
        <v>1683</v>
      </c>
      <c r="E1823" s="36">
        <v>310000.0</v>
      </c>
      <c r="F1823" s="178" t="s">
        <v>200</v>
      </c>
    </row>
    <row r="1824">
      <c r="A1824" s="250">
        <v>45366.64392555556</v>
      </c>
      <c r="B1824" s="251" t="s">
        <v>3366</v>
      </c>
      <c r="C1824" s="178" t="s">
        <v>3406</v>
      </c>
      <c r="D1824" s="36">
        <v>1574999.9999999998</v>
      </c>
      <c r="E1824" s="36" t="s">
        <v>1683</v>
      </c>
      <c r="F1824" s="178" t="s">
        <v>200</v>
      </c>
    </row>
    <row r="1825">
      <c r="A1825" s="250">
        <v>45366.64392555556</v>
      </c>
      <c r="B1825" s="251" t="s">
        <v>1684</v>
      </c>
      <c r="C1825" s="178" t="s">
        <v>3407</v>
      </c>
      <c r="D1825" s="36" t="s">
        <v>1683</v>
      </c>
      <c r="E1825" s="36">
        <v>1574999.9999999998</v>
      </c>
      <c r="F1825" s="178" t="s">
        <v>200</v>
      </c>
    </row>
    <row r="1826">
      <c r="A1826" s="250">
        <v>45367.59101222222</v>
      </c>
      <c r="B1826" s="251" t="s">
        <v>3366</v>
      </c>
      <c r="C1826" s="178" t="s">
        <v>3408</v>
      </c>
      <c r="D1826" s="36">
        <v>550000.0</v>
      </c>
      <c r="E1826" s="36" t="s">
        <v>1683</v>
      </c>
      <c r="F1826" s="178" t="s">
        <v>200</v>
      </c>
    </row>
    <row r="1827">
      <c r="A1827" s="250">
        <v>45367.59101222222</v>
      </c>
      <c r="B1827" s="251" t="s">
        <v>1684</v>
      </c>
      <c r="C1827" s="178" t="s">
        <v>3409</v>
      </c>
      <c r="D1827" s="36" t="s">
        <v>1683</v>
      </c>
      <c r="E1827" s="36">
        <v>550000.0</v>
      </c>
      <c r="F1827" s="178" t="s">
        <v>200</v>
      </c>
    </row>
    <row r="1828">
      <c r="A1828" s="250">
        <v>45367.59129222222</v>
      </c>
      <c r="B1828" s="251" t="s">
        <v>3366</v>
      </c>
      <c r="C1828" s="178" t="s">
        <v>3410</v>
      </c>
      <c r="D1828" s="36">
        <v>135000.0</v>
      </c>
      <c r="E1828" s="36" t="s">
        <v>1683</v>
      </c>
      <c r="F1828" s="178" t="s">
        <v>200</v>
      </c>
    </row>
    <row r="1829">
      <c r="A1829" s="250">
        <v>45367.59129222222</v>
      </c>
      <c r="B1829" s="251" t="s">
        <v>1684</v>
      </c>
      <c r="C1829" s="178" t="s">
        <v>3411</v>
      </c>
      <c r="D1829" s="36" t="s">
        <v>1683</v>
      </c>
      <c r="E1829" s="36">
        <v>135000.0</v>
      </c>
      <c r="F1829" s="178" t="s">
        <v>200</v>
      </c>
    </row>
    <row r="1830">
      <c r="A1830" s="250">
        <v>45367.59157222222</v>
      </c>
      <c r="B1830" s="251" t="s">
        <v>3366</v>
      </c>
      <c r="C1830" s="178" t="s">
        <v>3412</v>
      </c>
      <c r="D1830" s="36">
        <v>375000.0</v>
      </c>
      <c r="E1830" s="36" t="s">
        <v>1683</v>
      </c>
      <c r="F1830" s="178" t="s">
        <v>200</v>
      </c>
    </row>
    <row r="1831">
      <c r="A1831" s="250">
        <v>45367.59157222222</v>
      </c>
      <c r="B1831" s="251" t="s">
        <v>1684</v>
      </c>
      <c r="C1831" s="178" t="s">
        <v>3413</v>
      </c>
      <c r="D1831" s="36" t="s">
        <v>1683</v>
      </c>
      <c r="E1831" s="36">
        <v>375000.0</v>
      </c>
      <c r="F1831" s="178" t="s">
        <v>200</v>
      </c>
    </row>
    <row r="1832">
      <c r="A1832" s="250">
        <v>45367.61192555555</v>
      </c>
      <c r="B1832" s="251" t="s">
        <v>1783</v>
      </c>
      <c r="C1832" s="178" t="s">
        <v>3414</v>
      </c>
      <c r="D1832" s="36">
        <v>308892.00000000006</v>
      </c>
      <c r="E1832" s="36" t="s">
        <v>1683</v>
      </c>
      <c r="F1832" s="178" t="s">
        <v>44</v>
      </c>
    </row>
    <row r="1833">
      <c r="A1833" s="250">
        <v>45367.61192555555</v>
      </c>
      <c r="B1833" s="251" t="s">
        <v>1684</v>
      </c>
      <c r="C1833" s="178" t="s">
        <v>3415</v>
      </c>
      <c r="D1833" s="36" t="s">
        <v>1683</v>
      </c>
      <c r="E1833" s="36">
        <v>308892.00000000006</v>
      </c>
      <c r="F1833" s="178" t="s">
        <v>44</v>
      </c>
    </row>
    <row r="1834">
      <c r="A1834" s="250">
        <v>45368.47225962963</v>
      </c>
      <c r="B1834" s="251" t="s">
        <v>3416</v>
      </c>
      <c r="C1834" s="178" t="s">
        <v>3417</v>
      </c>
      <c r="D1834" s="36">
        <v>135000.0</v>
      </c>
      <c r="E1834" s="36" t="s">
        <v>1683</v>
      </c>
      <c r="F1834" s="178" t="s">
        <v>200</v>
      </c>
    </row>
    <row r="1835">
      <c r="A1835" s="250">
        <v>45368.47225962963</v>
      </c>
      <c r="B1835" s="251" t="s">
        <v>3391</v>
      </c>
      <c r="C1835" s="178" t="s">
        <v>3402</v>
      </c>
      <c r="D1835" s="36" t="s">
        <v>1683</v>
      </c>
      <c r="E1835" s="36">
        <v>135000.0</v>
      </c>
      <c r="F1835" s="178" t="s">
        <v>200</v>
      </c>
    </row>
    <row r="1836">
      <c r="A1836" s="250">
        <v>45368.47269146991</v>
      </c>
      <c r="B1836" s="251" t="s">
        <v>3418</v>
      </c>
      <c r="C1836" s="178" t="s">
        <v>3419</v>
      </c>
      <c r="D1836" s="36">
        <v>310000.0</v>
      </c>
      <c r="E1836" s="36" t="s">
        <v>1683</v>
      </c>
      <c r="F1836" s="178" t="s">
        <v>200</v>
      </c>
    </row>
    <row r="1837">
      <c r="A1837" s="250">
        <v>45368.47269146991</v>
      </c>
      <c r="B1837" s="251" t="s">
        <v>3391</v>
      </c>
      <c r="C1837" s="178" t="s">
        <v>3404</v>
      </c>
      <c r="D1837" s="36" t="s">
        <v>1683</v>
      </c>
      <c r="E1837" s="36">
        <v>310000.0</v>
      </c>
      <c r="F1837" s="178" t="s">
        <v>200</v>
      </c>
    </row>
    <row r="1838">
      <c r="A1838" s="250">
        <v>45368.47280826389</v>
      </c>
      <c r="B1838" s="251" t="s">
        <v>3264</v>
      </c>
      <c r="C1838" s="178" t="s">
        <v>3420</v>
      </c>
      <c r="D1838" s="36">
        <v>1574999.9999999998</v>
      </c>
      <c r="E1838" s="36" t="s">
        <v>1683</v>
      </c>
      <c r="F1838" s="178" t="s">
        <v>200</v>
      </c>
    </row>
    <row r="1839">
      <c r="A1839" s="250">
        <v>45368.47280826389</v>
      </c>
      <c r="B1839" s="251" t="s">
        <v>3391</v>
      </c>
      <c r="C1839" s="178" t="s">
        <v>3406</v>
      </c>
      <c r="D1839" s="36" t="s">
        <v>1683</v>
      </c>
      <c r="E1839" s="36">
        <v>1574999.9999999998</v>
      </c>
      <c r="F1839" s="178" t="s">
        <v>200</v>
      </c>
    </row>
    <row r="1840">
      <c r="A1840" s="250">
        <v>45368.671668090275</v>
      </c>
      <c r="B1840" s="251" t="s">
        <v>3392</v>
      </c>
      <c r="C1840" s="178" t="s">
        <v>3421</v>
      </c>
      <c r="D1840" s="36">
        <v>550000.0</v>
      </c>
      <c r="E1840" s="36" t="s">
        <v>1683</v>
      </c>
      <c r="F1840" s="178" t="s">
        <v>200</v>
      </c>
    </row>
    <row r="1841">
      <c r="A1841" s="250">
        <v>45368.671668090275</v>
      </c>
      <c r="B1841" s="251" t="s">
        <v>3391</v>
      </c>
      <c r="C1841" s="178" t="s">
        <v>3408</v>
      </c>
      <c r="D1841" s="36" t="s">
        <v>1683</v>
      </c>
      <c r="E1841" s="36">
        <v>550000.0</v>
      </c>
      <c r="F1841" s="178" t="s">
        <v>200</v>
      </c>
    </row>
    <row r="1842">
      <c r="A1842" s="250">
        <v>45368.671948090276</v>
      </c>
      <c r="B1842" s="251" t="s">
        <v>3416</v>
      </c>
      <c r="C1842" s="178" t="s">
        <v>3422</v>
      </c>
      <c r="D1842" s="36">
        <v>135000.0</v>
      </c>
      <c r="E1842" s="36" t="s">
        <v>1683</v>
      </c>
      <c r="F1842" s="178" t="s">
        <v>200</v>
      </c>
    </row>
    <row r="1843">
      <c r="A1843" s="250">
        <v>45368.671948090276</v>
      </c>
      <c r="B1843" s="251" t="s">
        <v>3391</v>
      </c>
      <c r="C1843" s="178" t="s">
        <v>3410</v>
      </c>
      <c r="D1843" s="36" t="s">
        <v>1683</v>
      </c>
      <c r="E1843" s="36">
        <v>135000.0</v>
      </c>
      <c r="F1843" s="178" t="s">
        <v>200</v>
      </c>
    </row>
    <row r="1844">
      <c r="A1844" s="250">
        <v>45368.672228090276</v>
      </c>
      <c r="B1844" s="251" t="s">
        <v>3398</v>
      </c>
      <c r="C1844" s="178" t="s">
        <v>3423</v>
      </c>
      <c r="D1844" s="36">
        <v>375000.0</v>
      </c>
      <c r="E1844" s="36" t="s">
        <v>1683</v>
      </c>
      <c r="F1844" s="178" t="s">
        <v>200</v>
      </c>
    </row>
    <row r="1845">
      <c r="A1845" s="250">
        <v>45368.672228090276</v>
      </c>
      <c r="B1845" s="251" t="s">
        <v>3391</v>
      </c>
      <c r="C1845" s="178" t="s">
        <v>3412</v>
      </c>
      <c r="D1845" s="36" t="s">
        <v>1683</v>
      </c>
      <c r="E1845" s="36">
        <v>375000.0</v>
      </c>
      <c r="F1845" s="178" t="s">
        <v>200</v>
      </c>
    </row>
    <row r="1846">
      <c r="A1846" s="250">
        <v>45369.70499111111</v>
      </c>
      <c r="B1846" s="251" t="s">
        <v>3366</v>
      </c>
      <c r="C1846" s="178" t="s">
        <v>3424</v>
      </c>
      <c r="D1846" s="36">
        <v>850000.0</v>
      </c>
      <c r="E1846" s="36" t="s">
        <v>1683</v>
      </c>
      <c r="F1846" s="178" t="s">
        <v>200</v>
      </c>
    </row>
    <row r="1847">
      <c r="A1847" s="250">
        <v>45369.70499111111</v>
      </c>
      <c r="B1847" s="251" t="s">
        <v>1684</v>
      </c>
      <c r="C1847" s="178" t="s">
        <v>3425</v>
      </c>
      <c r="D1847" s="36" t="s">
        <v>1683</v>
      </c>
      <c r="E1847" s="36">
        <v>850000.0</v>
      </c>
      <c r="F1847" s="178" t="s">
        <v>200</v>
      </c>
    </row>
    <row r="1848">
      <c r="A1848" s="250">
        <v>45369.70518111111</v>
      </c>
      <c r="B1848" s="251" t="s">
        <v>3366</v>
      </c>
      <c r="C1848" s="178" t="s">
        <v>3426</v>
      </c>
      <c r="D1848" s="36">
        <v>1025000.0</v>
      </c>
      <c r="E1848" s="36" t="s">
        <v>1683</v>
      </c>
      <c r="F1848" s="178" t="s">
        <v>200</v>
      </c>
    </row>
    <row r="1849">
      <c r="A1849" s="250">
        <v>45369.70518111111</v>
      </c>
      <c r="B1849" s="251" t="s">
        <v>1684</v>
      </c>
      <c r="C1849" s="178" t="s">
        <v>3427</v>
      </c>
      <c r="D1849" s="36" t="s">
        <v>1683</v>
      </c>
      <c r="E1849" s="36">
        <v>1025000.0</v>
      </c>
      <c r="F1849" s="178" t="s">
        <v>200</v>
      </c>
    </row>
    <row r="1850">
      <c r="A1850" s="250">
        <v>45370.932534444444</v>
      </c>
      <c r="B1850" s="251" t="s">
        <v>1607</v>
      </c>
      <c r="C1850" s="178" t="s">
        <v>3428</v>
      </c>
      <c r="D1850" s="36">
        <v>46999.0</v>
      </c>
      <c r="E1850" s="36" t="s">
        <v>1683</v>
      </c>
      <c r="F1850" s="178" t="s">
        <v>1658</v>
      </c>
    </row>
    <row r="1851">
      <c r="A1851" s="250">
        <v>45370.932534444444</v>
      </c>
      <c r="B1851" s="251" t="s">
        <v>1684</v>
      </c>
      <c r="C1851" s="178" t="s">
        <v>3429</v>
      </c>
      <c r="D1851" s="36" t="s">
        <v>1683</v>
      </c>
      <c r="E1851" s="36">
        <v>46999.0</v>
      </c>
      <c r="F1851" s="178" t="s">
        <v>1658</v>
      </c>
    </row>
    <row r="1852">
      <c r="A1852" s="250">
        <v>45370.94643333333</v>
      </c>
      <c r="B1852" s="251" t="s">
        <v>1627</v>
      </c>
      <c r="C1852" s="178" t="s">
        <v>3430</v>
      </c>
      <c r="D1852" s="36">
        <v>22120.0</v>
      </c>
      <c r="E1852" s="36" t="s">
        <v>1683</v>
      </c>
      <c r="F1852" s="178" t="s">
        <v>1659</v>
      </c>
    </row>
    <row r="1853">
      <c r="A1853" s="250">
        <v>45370.94643333333</v>
      </c>
      <c r="B1853" s="251" t="s">
        <v>1684</v>
      </c>
      <c r="C1853" s="178" t="s">
        <v>3431</v>
      </c>
      <c r="D1853" s="36" t="s">
        <v>1683</v>
      </c>
      <c r="E1853" s="36">
        <v>22120.0</v>
      </c>
      <c r="F1853" s="178" t="s">
        <v>1659</v>
      </c>
    </row>
    <row r="1854">
      <c r="A1854" s="250">
        <v>45371.36513157407</v>
      </c>
      <c r="B1854" s="251" t="s">
        <v>1896</v>
      </c>
      <c r="C1854" s="178" t="s">
        <v>3432</v>
      </c>
      <c r="D1854" s="36">
        <v>308892.00000000006</v>
      </c>
      <c r="E1854" s="36" t="s">
        <v>1683</v>
      </c>
      <c r="F1854" s="178" t="s">
        <v>44</v>
      </c>
    </row>
    <row r="1855">
      <c r="A1855" s="250">
        <v>45371.36513157407</v>
      </c>
      <c r="B1855" s="251" t="s">
        <v>1802</v>
      </c>
      <c r="C1855" s="178" t="s">
        <v>3414</v>
      </c>
      <c r="D1855" s="36" t="s">
        <v>1683</v>
      </c>
      <c r="E1855" s="36">
        <v>308892.00000000006</v>
      </c>
      <c r="F1855" s="178" t="s">
        <v>44</v>
      </c>
    </row>
    <row r="1856">
      <c r="A1856" s="250">
        <v>45371.365141574075</v>
      </c>
      <c r="B1856" s="251" t="s">
        <v>2841</v>
      </c>
      <c r="C1856" s="178" t="s">
        <v>3433</v>
      </c>
      <c r="D1856" s="36">
        <v>850000.0</v>
      </c>
      <c r="E1856" s="36" t="s">
        <v>1683</v>
      </c>
      <c r="F1856" s="178" t="s">
        <v>200</v>
      </c>
    </row>
    <row r="1857">
      <c r="A1857" s="250">
        <v>45371.365141574075</v>
      </c>
      <c r="B1857" s="251" t="s">
        <v>3391</v>
      </c>
      <c r="C1857" s="178" t="s">
        <v>3424</v>
      </c>
      <c r="D1857" s="36" t="s">
        <v>1683</v>
      </c>
      <c r="E1857" s="36">
        <v>850000.0</v>
      </c>
      <c r="F1857" s="178" t="s">
        <v>200</v>
      </c>
    </row>
    <row r="1858">
      <c r="A1858" s="250">
        <v>45371.365331574074</v>
      </c>
      <c r="B1858" s="251" t="s">
        <v>3249</v>
      </c>
      <c r="C1858" s="178" t="s">
        <v>3434</v>
      </c>
      <c r="D1858" s="36">
        <v>1025000.0</v>
      </c>
      <c r="E1858" s="36" t="s">
        <v>1683</v>
      </c>
      <c r="F1858" s="178" t="s">
        <v>200</v>
      </c>
    </row>
    <row r="1859">
      <c r="A1859" s="250">
        <v>45371.365331574074</v>
      </c>
      <c r="B1859" s="251" t="s">
        <v>3391</v>
      </c>
      <c r="C1859" s="178" t="s">
        <v>3426</v>
      </c>
      <c r="D1859" s="36" t="s">
        <v>1683</v>
      </c>
      <c r="E1859" s="36">
        <v>1025000.0</v>
      </c>
      <c r="F1859" s="178" t="s">
        <v>200</v>
      </c>
    </row>
    <row r="1860">
      <c r="A1860" s="250">
        <v>45371.59197666667</v>
      </c>
      <c r="B1860" s="251" t="s">
        <v>3366</v>
      </c>
      <c r="C1860" s="178" t="s">
        <v>3435</v>
      </c>
      <c r="D1860" s="36">
        <v>1127500.0</v>
      </c>
      <c r="E1860" s="36" t="s">
        <v>1683</v>
      </c>
      <c r="F1860" s="178" t="s">
        <v>200</v>
      </c>
    </row>
    <row r="1861">
      <c r="A1861" s="250">
        <v>45371.59197666667</v>
      </c>
      <c r="B1861" s="251" t="s">
        <v>1684</v>
      </c>
      <c r="C1861" s="178" t="s">
        <v>3436</v>
      </c>
      <c r="D1861" s="36" t="s">
        <v>1683</v>
      </c>
      <c r="E1861" s="36">
        <v>1127500.0</v>
      </c>
      <c r="F1861" s="178" t="s">
        <v>200</v>
      </c>
    </row>
    <row r="1862">
      <c r="A1862" s="250">
        <v>45371.74386</v>
      </c>
      <c r="B1862" s="251" t="s">
        <v>1783</v>
      </c>
      <c r="C1862" s="178" t="s">
        <v>3437</v>
      </c>
      <c r="D1862" s="36">
        <v>308367.0</v>
      </c>
      <c r="E1862" s="36" t="s">
        <v>1683</v>
      </c>
      <c r="F1862" s="178" t="s">
        <v>44</v>
      </c>
    </row>
    <row r="1863">
      <c r="A1863" s="250">
        <v>45371.74386</v>
      </c>
      <c r="B1863" s="251" t="s">
        <v>1684</v>
      </c>
      <c r="C1863" s="178" t="s">
        <v>3438</v>
      </c>
      <c r="D1863" s="36" t="s">
        <v>1683</v>
      </c>
      <c r="E1863" s="36">
        <v>308367.0</v>
      </c>
      <c r="F1863" s="178" t="s">
        <v>44</v>
      </c>
    </row>
    <row r="1864">
      <c r="A1864" s="250">
        <v>45371.745238888885</v>
      </c>
      <c r="B1864" s="251" t="s">
        <v>1783</v>
      </c>
      <c r="C1864" s="178" t="s">
        <v>3439</v>
      </c>
      <c r="D1864" s="36">
        <v>317750.0</v>
      </c>
      <c r="E1864" s="36" t="s">
        <v>1683</v>
      </c>
      <c r="F1864" s="178" t="s">
        <v>44</v>
      </c>
    </row>
    <row r="1865">
      <c r="A1865" s="250">
        <v>45371.745238888885</v>
      </c>
      <c r="B1865" s="251" t="s">
        <v>1684</v>
      </c>
      <c r="C1865" s="178" t="s">
        <v>3440</v>
      </c>
      <c r="D1865" s="36" t="s">
        <v>1683</v>
      </c>
      <c r="E1865" s="36">
        <v>317750.0</v>
      </c>
      <c r="F1865" s="178" t="s">
        <v>44</v>
      </c>
    </row>
    <row r="1866">
      <c r="A1866" s="250">
        <v>45371.74731222222</v>
      </c>
      <c r="B1866" s="251" t="s">
        <v>1783</v>
      </c>
      <c r="C1866" s="178" t="s">
        <v>3441</v>
      </c>
      <c r="D1866" s="36">
        <v>321000.0</v>
      </c>
      <c r="E1866" s="36" t="s">
        <v>1683</v>
      </c>
      <c r="F1866" s="178" t="s">
        <v>44</v>
      </c>
    </row>
    <row r="1867">
      <c r="A1867" s="250">
        <v>45371.74731222222</v>
      </c>
      <c r="B1867" s="251" t="s">
        <v>1684</v>
      </c>
      <c r="C1867" s="178" t="s">
        <v>3442</v>
      </c>
      <c r="D1867" s="36" t="s">
        <v>1683</v>
      </c>
      <c r="E1867" s="36">
        <v>321000.0</v>
      </c>
      <c r="F1867" s="178" t="s">
        <v>44</v>
      </c>
    </row>
    <row r="1868">
      <c r="A1868" s="250">
        <v>45371.74869111111</v>
      </c>
      <c r="B1868" s="251" t="s">
        <v>1783</v>
      </c>
      <c r="C1868" s="178" t="s">
        <v>3443</v>
      </c>
      <c r="D1868" s="36">
        <v>322750.0</v>
      </c>
      <c r="E1868" s="36" t="s">
        <v>1683</v>
      </c>
      <c r="F1868" s="178" t="s">
        <v>44</v>
      </c>
    </row>
    <row r="1869">
      <c r="A1869" s="250">
        <v>45371.74869111111</v>
      </c>
      <c r="B1869" s="251" t="s">
        <v>1684</v>
      </c>
      <c r="C1869" s="178" t="s">
        <v>3444</v>
      </c>
      <c r="D1869" s="36" t="s">
        <v>1683</v>
      </c>
      <c r="E1869" s="36">
        <v>322750.0</v>
      </c>
      <c r="F1869" s="178" t="s">
        <v>44</v>
      </c>
    </row>
    <row r="1870">
      <c r="A1870" s="250">
        <v>45372.63900888889</v>
      </c>
      <c r="B1870" s="251" t="s">
        <v>3445</v>
      </c>
      <c r="C1870" s="178" t="s">
        <v>3446</v>
      </c>
      <c r="D1870" s="36">
        <v>1000000.0000000001</v>
      </c>
      <c r="E1870" s="36" t="s">
        <v>1683</v>
      </c>
      <c r="F1870" s="178" t="s">
        <v>249</v>
      </c>
    </row>
    <row r="1871">
      <c r="A1871" s="250">
        <v>45372.63900888889</v>
      </c>
      <c r="B1871" s="251" t="s">
        <v>1684</v>
      </c>
      <c r="C1871" s="178" t="s">
        <v>3447</v>
      </c>
      <c r="D1871" s="36" t="s">
        <v>1683</v>
      </c>
      <c r="E1871" s="36">
        <v>1000000.0000000001</v>
      </c>
      <c r="F1871" s="178" t="s">
        <v>249</v>
      </c>
    </row>
    <row r="1872">
      <c r="A1872" s="250">
        <v>45372.63913888889</v>
      </c>
      <c r="B1872" s="251" t="s">
        <v>3445</v>
      </c>
      <c r="C1872" s="178" t="s">
        <v>3448</v>
      </c>
      <c r="D1872" s="36">
        <v>1306250.0</v>
      </c>
      <c r="E1872" s="36" t="s">
        <v>1683</v>
      </c>
      <c r="F1872" s="178" t="s">
        <v>249</v>
      </c>
    </row>
    <row r="1873">
      <c r="A1873" s="250">
        <v>45372.63913888889</v>
      </c>
      <c r="B1873" s="251" t="s">
        <v>1684</v>
      </c>
      <c r="C1873" s="178" t="s">
        <v>3449</v>
      </c>
      <c r="D1873" s="36" t="s">
        <v>1683</v>
      </c>
      <c r="E1873" s="36">
        <v>1306250.0</v>
      </c>
      <c r="F1873" s="178" t="s">
        <v>249</v>
      </c>
    </row>
    <row r="1874">
      <c r="A1874" s="250">
        <v>45372.63919888889</v>
      </c>
      <c r="B1874" s="251" t="s">
        <v>3445</v>
      </c>
      <c r="C1874" s="178" t="s">
        <v>3450</v>
      </c>
      <c r="D1874" s="36">
        <v>123500.0</v>
      </c>
      <c r="E1874" s="36" t="s">
        <v>1683</v>
      </c>
      <c r="F1874" s="178" t="s">
        <v>249</v>
      </c>
    </row>
    <row r="1875">
      <c r="A1875" s="250">
        <v>45372.63919888889</v>
      </c>
      <c r="B1875" s="251" t="s">
        <v>1684</v>
      </c>
      <c r="C1875" s="178" t="s">
        <v>3451</v>
      </c>
      <c r="D1875" s="36" t="s">
        <v>1683</v>
      </c>
      <c r="E1875" s="36">
        <v>123500.0</v>
      </c>
      <c r="F1875" s="178" t="s">
        <v>249</v>
      </c>
    </row>
    <row r="1876">
      <c r="A1876" s="250">
        <v>45372.63924888889</v>
      </c>
      <c r="B1876" s="251" t="s">
        <v>3445</v>
      </c>
      <c r="C1876" s="178" t="s">
        <v>3452</v>
      </c>
      <c r="D1876" s="36">
        <v>76000.0</v>
      </c>
      <c r="E1876" s="36" t="s">
        <v>1683</v>
      </c>
      <c r="F1876" s="178" t="s">
        <v>249</v>
      </c>
    </row>
    <row r="1877">
      <c r="A1877" s="250">
        <v>45372.63924888889</v>
      </c>
      <c r="B1877" s="251" t="s">
        <v>1684</v>
      </c>
      <c r="C1877" s="178" t="s">
        <v>3453</v>
      </c>
      <c r="D1877" s="36" t="s">
        <v>1683</v>
      </c>
      <c r="E1877" s="36">
        <v>76000.0</v>
      </c>
      <c r="F1877" s="178" t="s">
        <v>249</v>
      </c>
    </row>
    <row r="1878">
      <c r="A1878" s="250">
        <v>45372.63935888889</v>
      </c>
      <c r="B1878" s="251" t="s">
        <v>3445</v>
      </c>
      <c r="C1878" s="178" t="s">
        <v>3454</v>
      </c>
      <c r="D1878" s="36">
        <v>1700000.0000000002</v>
      </c>
      <c r="E1878" s="36" t="s">
        <v>1683</v>
      </c>
      <c r="F1878" s="178" t="s">
        <v>249</v>
      </c>
    </row>
    <row r="1879">
      <c r="A1879" s="250">
        <v>45372.63935888889</v>
      </c>
      <c r="B1879" s="251" t="s">
        <v>1684</v>
      </c>
      <c r="C1879" s="178" t="s">
        <v>3455</v>
      </c>
      <c r="D1879" s="36" t="s">
        <v>1683</v>
      </c>
      <c r="E1879" s="36">
        <v>1700000.0000000002</v>
      </c>
      <c r="F1879" s="178" t="s">
        <v>249</v>
      </c>
    </row>
    <row r="1880">
      <c r="A1880" s="250">
        <v>45372.63945888889</v>
      </c>
      <c r="B1880" s="251" t="s">
        <v>3445</v>
      </c>
      <c r="C1880" s="178" t="s">
        <v>3456</v>
      </c>
      <c r="D1880" s="36">
        <v>570000.0</v>
      </c>
      <c r="E1880" s="36" t="s">
        <v>1683</v>
      </c>
      <c r="F1880" s="178" t="s">
        <v>249</v>
      </c>
    </row>
    <row r="1881">
      <c r="A1881" s="250">
        <v>45372.63945888889</v>
      </c>
      <c r="B1881" s="251" t="s">
        <v>1684</v>
      </c>
      <c r="C1881" s="178" t="s">
        <v>3457</v>
      </c>
      <c r="D1881" s="36" t="s">
        <v>1683</v>
      </c>
      <c r="E1881" s="36">
        <v>570000.0</v>
      </c>
      <c r="F1881" s="178" t="s">
        <v>249</v>
      </c>
    </row>
    <row r="1882">
      <c r="A1882" s="250">
        <v>45372.63961888889</v>
      </c>
      <c r="B1882" s="251" t="s">
        <v>3445</v>
      </c>
      <c r="C1882" s="178" t="s">
        <v>3458</v>
      </c>
      <c r="D1882" s="36">
        <v>285000.0</v>
      </c>
      <c r="E1882" s="36" t="s">
        <v>1683</v>
      </c>
      <c r="F1882" s="178" t="s">
        <v>249</v>
      </c>
    </row>
    <row r="1883">
      <c r="A1883" s="250">
        <v>45372.63961888889</v>
      </c>
      <c r="B1883" s="251" t="s">
        <v>1684</v>
      </c>
      <c r="C1883" s="178" t="s">
        <v>3459</v>
      </c>
      <c r="D1883" s="36" t="s">
        <v>1683</v>
      </c>
      <c r="E1883" s="36">
        <v>285000.0</v>
      </c>
      <c r="F1883" s="178" t="s">
        <v>249</v>
      </c>
    </row>
    <row r="1884">
      <c r="A1884" s="250">
        <v>45372.88189</v>
      </c>
      <c r="B1884" s="251" t="s">
        <v>1783</v>
      </c>
      <c r="C1884" s="178" t="s">
        <v>3460</v>
      </c>
      <c r="D1884" s="36">
        <v>288800.0</v>
      </c>
      <c r="E1884" s="36" t="s">
        <v>1683</v>
      </c>
      <c r="F1884" s="178" t="s">
        <v>154</v>
      </c>
    </row>
    <row r="1885">
      <c r="A1885" s="250">
        <v>45372.88189</v>
      </c>
      <c r="B1885" s="251" t="s">
        <v>1684</v>
      </c>
      <c r="C1885" s="178" t="s">
        <v>3461</v>
      </c>
      <c r="D1885" s="36" t="s">
        <v>1683</v>
      </c>
      <c r="E1885" s="36">
        <v>288800.0</v>
      </c>
      <c r="F1885" s="178" t="s">
        <v>154</v>
      </c>
    </row>
    <row r="1886">
      <c r="A1886" s="250">
        <v>45372.8951682176</v>
      </c>
      <c r="B1886" s="251" t="s">
        <v>1783</v>
      </c>
      <c r="C1886" s="178" t="s">
        <v>3462</v>
      </c>
      <c r="D1886" s="36">
        <v>3101000.0000000005</v>
      </c>
      <c r="E1886" s="36" t="s">
        <v>1683</v>
      </c>
      <c r="F1886" s="178" t="s">
        <v>154</v>
      </c>
    </row>
    <row r="1887">
      <c r="A1887" s="250">
        <v>45372.8951682176</v>
      </c>
      <c r="B1887" s="251" t="s">
        <v>1684</v>
      </c>
      <c r="C1887" s="178" t="s">
        <v>3463</v>
      </c>
      <c r="D1887" s="36" t="s">
        <v>1683</v>
      </c>
      <c r="E1887" s="36">
        <v>3101000.0000000005</v>
      </c>
      <c r="F1887" s="178" t="s">
        <v>154</v>
      </c>
    </row>
    <row r="1888">
      <c r="A1888" s="250">
        <v>45373.41693666666</v>
      </c>
      <c r="B1888" s="251" t="s">
        <v>2841</v>
      </c>
      <c r="C1888" s="178" t="s">
        <v>3464</v>
      </c>
      <c r="D1888" s="36">
        <v>2550.0</v>
      </c>
      <c r="E1888" s="36" t="s">
        <v>1683</v>
      </c>
      <c r="F1888" s="178" t="s">
        <v>1683</v>
      </c>
    </row>
    <row r="1889">
      <c r="A1889" s="250">
        <v>45373.41693666666</v>
      </c>
      <c r="B1889" s="251" t="s">
        <v>3102</v>
      </c>
      <c r="C1889" s="178" t="s">
        <v>3465</v>
      </c>
      <c r="D1889" s="36" t="s">
        <v>1683</v>
      </c>
      <c r="E1889" s="36">
        <v>2550.0</v>
      </c>
      <c r="F1889" s="178" t="s">
        <v>1683</v>
      </c>
    </row>
    <row r="1890">
      <c r="A1890" s="250">
        <v>45373.41697666667</v>
      </c>
      <c r="B1890" s="251" t="s">
        <v>3249</v>
      </c>
      <c r="C1890" s="178" t="s">
        <v>3466</v>
      </c>
      <c r="D1890" s="36">
        <v>1127500.0</v>
      </c>
      <c r="E1890" s="36" t="s">
        <v>1683</v>
      </c>
      <c r="F1890" s="178" t="s">
        <v>200</v>
      </c>
    </row>
    <row r="1891">
      <c r="A1891" s="250">
        <v>45373.41697666667</v>
      </c>
      <c r="B1891" s="251" t="s">
        <v>3391</v>
      </c>
      <c r="C1891" s="178" t="s">
        <v>3435</v>
      </c>
      <c r="D1891" s="36" t="s">
        <v>1683</v>
      </c>
      <c r="E1891" s="36">
        <v>1127500.0</v>
      </c>
      <c r="F1891" s="178" t="s">
        <v>200</v>
      </c>
    </row>
    <row r="1892">
      <c r="A1892" s="250">
        <v>45374.464715671296</v>
      </c>
      <c r="B1892" s="251" t="s">
        <v>3125</v>
      </c>
      <c r="C1892" s="178" t="s">
        <v>3467</v>
      </c>
      <c r="D1892" s="36">
        <v>10245.0</v>
      </c>
      <c r="E1892" s="36" t="s">
        <v>1683</v>
      </c>
      <c r="F1892" s="178" t="s">
        <v>1683</v>
      </c>
    </row>
    <row r="1893">
      <c r="A1893" s="250">
        <v>45374.464715671296</v>
      </c>
      <c r="B1893" s="251" t="s">
        <v>3468</v>
      </c>
      <c r="C1893" s="178" t="s">
        <v>3469</v>
      </c>
      <c r="D1893" s="36" t="s">
        <v>1683</v>
      </c>
      <c r="E1893" s="36">
        <v>10245.0</v>
      </c>
      <c r="F1893" s="178" t="s">
        <v>1683</v>
      </c>
    </row>
    <row r="1894">
      <c r="A1894" s="250">
        <v>45374.67901112269</v>
      </c>
      <c r="B1894" s="251" t="s">
        <v>3177</v>
      </c>
      <c r="C1894" s="178" t="s">
        <v>3470</v>
      </c>
      <c r="D1894" s="36">
        <v>3420000.0000000005</v>
      </c>
      <c r="E1894" s="36" t="s">
        <v>1683</v>
      </c>
      <c r="F1894" s="178" t="s">
        <v>43</v>
      </c>
    </row>
    <row r="1895">
      <c r="A1895" s="250">
        <v>45374.67901112269</v>
      </c>
      <c r="B1895" s="251" t="s">
        <v>1684</v>
      </c>
      <c r="C1895" s="178" t="s">
        <v>3471</v>
      </c>
      <c r="D1895" s="36" t="s">
        <v>1683</v>
      </c>
      <c r="E1895" s="36">
        <v>3420000.0000000005</v>
      </c>
      <c r="F1895" s="178" t="s">
        <v>43</v>
      </c>
    </row>
    <row r="1896">
      <c r="A1896" s="250">
        <v>45374.679051122686</v>
      </c>
      <c r="B1896" s="251" t="s">
        <v>3177</v>
      </c>
      <c r="C1896" s="178" t="s">
        <v>3472</v>
      </c>
      <c r="D1896" s="36">
        <v>3305000.0</v>
      </c>
      <c r="E1896" s="36" t="s">
        <v>1683</v>
      </c>
      <c r="F1896" s="178" t="s">
        <v>343</v>
      </c>
    </row>
    <row r="1897">
      <c r="A1897" s="250">
        <v>45374.679051122686</v>
      </c>
      <c r="B1897" s="251" t="s">
        <v>1684</v>
      </c>
      <c r="C1897" s="178" t="s">
        <v>3473</v>
      </c>
      <c r="D1897" s="36" t="s">
        <v>1683</v>
      </c>
      <c r="E1897" s="36">
        <v>3305000.0</v>
      </c>
      <c r="F1897" s="178" t="s">
        <v>343</v>
      </c>
    </row>
    <row r="1898">
      <c r="A1898" s="250">
        <v>45374.67918112269</v>
      </c>
      <c r="B1898" s="251" t="s">
        <v>3177</v>
      </c>
      <c r="C1898" s="178" t="s">
        <v>3474</v>
      </c>
      <c r="D1898" s="36">
        <v>4802000.0</v>
      </c>
      <c r="E1898" s="36" t="s">
        <v>1683</v>
      </c>
      <c r="F1898" s="178" t="s">
        <v>648</v>
      </c>
    </row>
    <row r="1899">
      <c r="A1899" s="250">
        <v>45374.67918112269</v>
      </c>
      <c r="B1899" s="251" t="s">
        <v>1684</v>
      </c>
      <c r="C1899" s="178" t="s">
        <v>3475</v>
      </c>
      <c r="D1899" s="36" t="s">
        <v>1683</v>
      </c>
      <c r="E1899" s="36">
        <v>4802000.0</v>
      </c>
      <c r="F1899" s="178" t="s">
        <v>648</v>
      </c>
    </row>
    <row r="1900">
      <c r="A1900" s="250">
        <v>45374.67929112269</v>
      </c>
      <c r="B1900" s="251" t="s">
        <v>3177</v>
      </c>
      <c r="C1900" s="178" t="s">
        <v>3476</v>
      </c>
      <c r="D1900" s="36">
        <v>6000000.0</v>
      </c>
      <c r="E1900" s="36" t="s">
        <v>1683</v>
      </c>
      <c r="F1900" s="178" t="s">
        <v>75</v>
      </c>
    </row>
    <row r="1901">
      <c r="A1901" s="250">
        <v>45374.67929112269</v>
      </c>
      <c r="B1901" s="251" t="s">
        <v>1684</v>
      </c>
      <c r="C1901" s="178" t="s">
        <v>3477</v>
      </c>
      <c r="D1901" s="36" t="s">
        <v>1683</v>
      </c>
      <c r="E1901" s="36">
        <v>6000000.0</v>
      </c>
      <c r="F1901" s="178" t="s">
        <v>75</v>
      </c>
    </row>
    <row r="1902">
      <c r="A1902" s="250">
        <v>45374.67959112269</v>
      </c>
      <c r="B1902" s="251" t="s">
        <v>3177</v>
      </c>
      <c r="C1902" s="178" t="s">
        <v>3478</v>
      </c>
      <c r="D1902" s="36">
        <v>4301291.153072134</v>
      </c>
      <c r="E1902" s="36" t="s">
        <v>1683</v>
      </c>
      <c r="F1902" s="178" t="s">
        <v>401</v>
      </c>
    </row>
    <row r="1903">
      <c r="A1903" s="250">
        <v>45374.67959112269</v>
      </c>
      <c r="B1903" s="251" t="s">
        <v>1684</v>
      </c>
      <c r="C1903" s="178" t="s">
        <v>3479</v>
      </c>
      <c r="D1903" s="36" t="s">
        <v>1683</v>
      </c>
      <c r="E1903" s="36">
        <v>4301291.153072134</v>
      </c>
      <c r="F1903" s="178" t="s">
        <v>401</v>
      </c>
    </row>
    <row r="1904">
      <c r="A1904" s="250">
        <v>45374.67973625</v>
      </c>
      <c r="B1904" s="251" t="s">
        <v>3257</v>
      </c>
      <c r="C1904" s="178" t="s">
        <v>3480</v>
      </c>
      <c r="D1904" s="36">
        <v>3101000.0000000005</v>
      </c>
      <c r="E1904" s="36" t="s">
        <v>1683</v>
      </c>
      <c r="F1904" s="178" t="s">
        <v>154</v>
      </c>
    </row>
    <row r="1905">
      <c r="A1905" s="250">
        <v>45374.67973625</v>
      </c>
      <c r="B1905" s="251" t="s">
        <v>1802</v>
      </c>
      <c r="C1905" s="178" t="s">
        <v>3462</v>
      </c>
      <c r="D1905" s="36" t="s">
        <v>1683</v>
      </c>
      <c r="E1905" s="36">
        <v>3101000.0000000005</v>
      </c>
      <c r="F1905" s="178" t="s">
        <v>154</v>
      </c>
    </row>
    <row r="1906">
      <c r="A1906" s="250">
        <v>45374.679801122686</v>
      </c>
      <c r="B1906" s="251" t="s">
        <v>3177</v>
      </c>
      <c r="C1906" s="178" t="s">
        <v>3481</v>
      </c>
      <c r="D1906" s="36">
        <v>7178500.0</v>
      </c>
      <c r="E1906" s="36" t="s">
        <v>1683</v>
      </c>
      <c r="F1906" s="178" t="s">
        <v>208</v>
      </c>
    </row>
    <row r="1907">
      <c r="A1907" s="250">
        <v>45374.679801122686</v>
      </c>
      <c r="B1907" s="251" t="s">
        <v>1684</v>
      </c>
      <c r="C1907" s="178" t="s">
        <v>3482</v>
      </c>
      <c r="D1907" s="36" t="s">
        <v>1683</v>
      </c>
      <c r="E1907" s="36">
        <v>7178500.0</v>
      </c>
      <c r="F1907" s="178" t="s">
        <v>208</v>
      </c>
    </row>
    <row r="1908">
      <c r="A1908" s="250">
        <v>45374.67992112268</v>
      </c>
      <c r="B1908" s="251" t="s">
        <v>3177</v>
      </c>
      <c r="C1908" s="178" t="s">
        <v>3483</v>
      </c>
      <c r="D1908" s="36">
        <v>1322800.0</v>
      </c>
      <c r="E1908" s="36" t="s">
        <v>1683</v>
      </c>
      <c r="F1908" s="178" t="s">
        <v>224</v>
      </c>
    </row>
    <row r="1909">
      <c r="A1909" s="250">
        <v>45374.67992112268</v>
      </c>
      <c r="B1909" s="251" t="s">
        <v>1684</v>
      </c>
      <c r="C1909" s="178" t="s">
        <v>3484</v>
      </c>
      <c r="D1909" s="36" t="s">
        <v>1683</v>
      </c>
      <c r="E1909" s="36">
        <v>1322800.0</v>
      </c>
      <c r="F1909" s="178" t="s">
        <v>224</v>
      </c>
    </row>
    <row r="1910">
      <c r="A1910" s="250">
        <v>45374.68007625</v>
      </c>
      <c r="B1910" s="251" t="s">
        <v>3485</v>
      </c>
      <c r="C1910" s="178" t="s">
        <v>3486</v>
      </c>
      <c r="D1910" s="36">
        <v>288800.0</v>
      </c>
      <c r="E1910" s="36" t="s">
        <v>1683</v>
      </c>
      <c r="F1910" s="178" t="s">
        <v>154</v>
      </c>
    </row>
    <row r="1911">
      <c r="A1911" s="250">
        <v>45374.68007625</v>
      </c>
      <c r="B1911" s="251" t="s">
        <v>1802</v>
      </c>
      <c r="C1911" s="178" t="s">
        <v>3460</v>
      </c>
      <c r="D1911" s="36" t="s">
        <v>1683</v>
      </c>
      <c r="E1911" s="36">
        <v>288800.0</v>
      </c>
      <c r="F1911" s="178" t="s">
        <v>154</v>
      </c>
    </row>
    <row r="1912">
      <c r="A1912" s="250">
        <v>45375.57356907407</v>
      </c>
      <c r="B1912" s="251" t="s">
        <v>2841</v>
      </c>
      <c r="C1912" s="178" t="s">
        <v>3487</v>
      </c>
      <c r="D1912" s="36">
        <v>1000000.0000000001</v>
      </c>
      <c r="E1912" s="36" t="s">
        <v>1683</v>
      </c>
      <c r="F1912" s="178" t="s">
        <v>249</v>
      </c>
    </row>
    <row r="1913">
      <c r="A1913" s="250">
        <v>45375.57356907407</v>
      </c>
      <c r="B1913" s="251" t="s">
        <v>3488</v>
      </c>
      <c r="C1913" s="178" t="s">
        <v>3446</v>
      </c>
      <c r="D1913" s="36" t="s">
        <v>1683</v>
      </c>
      <c r="E1913" s="36">
        <v>1000000.0000000001</v>
      </c>
      <c r="F1913" s="178" t="s">
        <v>249</v>
      </c>
    </row>
    <row r="1914">
      <c r="A1914" s="250">
        <v>45375.57369907407</v>
      </c>
      <c r="B1914" s="251" t="s">
        <v>3174</v>
      </c>
      <c r="C1914" s="178" t="s">
        <v>3489</v>
      </c>
      <c r="D1914" s="36">
        <v>1306250.0</v>
      </c>
      <c r="E1914" s="36" t="s">
        <v>1683</v>
      </c>
      <c r="F1914" s="178" t="s">
        <v>249</v>
      </c>
    </row>
    <row r="1915">
      <c r="A1915" s="250">
        <v>45375.57369907407</v>
      </c>
      <c r="B1915" s="251" t="s">
        <v>3488</v>
      </c>
      <c r="C1915" s="178" t="s">
        <v>3448</v>
      </c>
      <c r="D1915" s="36" t="s">
        <v>1683</v>
      </c>
      <c r="E1915" s="36">
        <v>1306250.0</v>
      </c>
      <c r="F1915" s="178" t="s">
        <v>249</v>
      </c>
    </row>
    <row r="1916">
      <c r="A1916" s="250">
        <v>45375.573759074075</v>
      </c>
      <c r="B1916" s="251" t="s">
        <v>3416</v>
      </c>
      <c r="C1916" s="178" t="s">
        <v>3490</v>
      </c>
      <c r="D1916" s="36">
        <v>123500.0</v>
      </c>
      <c r="E1916" s="36" t="s">
        <v>1683</v>
      </c>
      <c r="F1916" s="178" t="s">
        <v>249</v>
      </c>
    </row>
    <row r="1917">
      <c r="A1917" s="250">
        <v>45375.573759074075</v>
      </c>
      <c r="B1917" s="251" t="s">
        <v>3488</v>
      </c>
      <c r="C1917" s="178" t="s">
        <v>3450</v>
      </c>
      <c r="D1917" s="36" t="s">
        <v>1683</v>
      </c>
      <c r="E1917" s="36">
        <v>123500.0</v>
      </c>
      <c r="F1917" s="178" t="s">
        <v>249</v>
      </c>
    </row>
    <row r="1918">
      <c r="A1918" s="250">
        <v>45375.57380907407</v>
      </c>
      <c r="B1918" s="251" t="s">
        <v>3491</v>
      </c>
      <c r="C1918" s="178" t="s">
        <v>3492</v>
      </c>
      <c r="D1918" s="36">
        <v>76000.0</v>
      </c>
      <c r="E1918" s="36" t="s">
        <v>1683</v>
      </c>
      <c r="F1918" s="178" t="s">
        <v>249</v>
      </c>
    </row>
    <row r="1919">
      <c r="A1919" s="250">
        <v>45375.57380907407</v>
      </c>
      <c r="B1919" s="251" t="s">
        <v>3488</v>
      </c>
      <c r="C1919" s="178" t="s">
        <v>3452</v>
      </c>
      <c r="D1919" s="36" t="s">
        <v>1683</v>
      </c>
      <c r="E1919" s="36">
        <v>76000.0</v>
      </c>
      <c r="F1919" s="178" t="s">
        <v>249</v>
      </c>
    </row>
    <row r="1920">
      <c r="A1920" s="250">
        <v>45375.57391907407</v>
      </c>
      <c r="B1920" s="251" t="s">
        <v>2489</v>
      </c>
      <c r="C1920" s="178" t="s">
        <v>3493</v>
      </c>
      <c r="D1920" s="36">
        <v>1700000.0000000002</v>
      </c>
      <c r="E1920" s="36" t="s">
        <v>1683</v>
      </c>
      <c r="F1920" s="178" t="s">
        <v>249</v>
      </c>
    </row>
    <row r="1921">
      <c r="A1921" s="250">
        <v>45375.57391907407</v>
      </c>
      <c r="B1921" s="251" t="s">
        <v>3488</v>
      </c>
      <c r="C1921" s="178" t="s">
        <v>3454</v>
      </c>
      <c r="D1921" s="36" t="s">
        <v>1683</v>
      </c>
      <c r="E1921" s="36">
        <v>1700000.0000000002</v>
      </c>
      <c r="F1921" s="178" t="s">
        <v>249</v>
      </c>
    </row>
    <row r="1922">
      <c r="A1922" s="250">
        <v>45375.57401907407</v>
      </c>
      <c r="B1922" s="251" t="s">
        <v>3494</v>
      </c>
      <c r="C1922" s="178" t="s">
        <v>3495</v>
      </c>
      <c r="D1922" s="36">
        <v>570000.0</v>
      </c>
      <c r="E1922" s="36" t="s">
        <v>1683</v>
      </c>
      <c r="F1922" s="178" t="s">
        <v>249</v>
      </c>
    </row>
    <row r="1923">
      <c r="A1923" s="250">
        <v>45375.57401907407</v>
      </c>
      <c r="B1923" s="251" t="s">
        <v>3488</v>
      </c>
      <c r="C1923" s="178" t="s">
        <v>3456</v>
      </c>
      <c r="D1923" s="36" t="s">
        <v>1683</v>
      </c>
      <c r="E1923" s="36">
        <v>570000.0</v>
      </c>
      <c r="F1923" s="178" t="s">
        <v>249</v>
      </c>
    </row>
    <row r="1924">
      <c r="A1924" s="250">
        <v>45375.57417907407</v>
      </c>
      <c r="B1924" s="251" t="s">
        <v>3418</v>
      </c>
      <c r="C1924" s="178" t="s">
        <v>3496</v>
      </c>
      <c r="D1924" s="36">
        <v>285000.0</v>
      </c>
      <c r="E1924" s="36" t="s">
        <v>1683</v>
      </c>
      <c r="F1924" s="178" t="s">
        <v>249</v>
      </c>
    </row>
    <row r="1925">
      <c r="A1925" s="250">
        <v>45375.57417907407</v>
      </c>
      <c r="B1925" s="251" t="s">
        <v>3488</v>
      </c>
      <c r="C1925" s="178" t="s">
        <v>3458</v>
      </c>
      <c r="D1925" s="36" t="s">
        <v>1683</v>
      </c>
      <c r="E1925" s="36">
        <v>285000.0</v>
      </c>
      <c r="F1925" s="178" t="s">
        <v>249</v>
      </c>
    </row>
    <row r="1926">
      <c r="A1926" s="250">
        <v>45376.65340752315</v>
      </c>
      <c r="B1926" s="251" t="s">
        <v>1896</v>
      </c>
      <c r="C1926" s="178" t="s">
        <v>3497</v>
      </c>
      <c r="D1926" s="36">
        <v>322750.0</v>
      </c>
      <c r="E1926" s="36" t="s">
        <v>1683</v>
      </c>
      <c r="F1926" s="178" t="s">
        <v>44</v>
      </c>
    </row>
    <row r="1927">
      <c r="A1927" s="250">
        <v>45376.65340752315</v>
      </c>
      <c r="B1927" s="251" t="s">
        <v>1802</v>
      </c>
      <c r="C1927" s="178" t="s">
        <v>3443</v>
      </c>
      <c r="D1927" s="36" t="s">
        <v>1683</v>
      </c>
      <c r="E1927" s="36">
        <v>322750.0</v>
      </c>
      <c r="F1927" s="178" t="s">
        <v>44</v>
      </c>
    </row>
    <row r="1928">
      <c r="A1928" s="250">
        <v>45376.65341752315</v>
      </c>
      <c r="B1928" s="251" t="s">
        <v>1896</v>
      </c>
      <c r="C1928" s="178" t="s">
        <v>3498</v>
      </c>
      <c r="D1928" s="36">
        <v>321000.0</v>
      </c>
      <c r="E1928" s="36" t="s">
        <v>1683</v>
      </c>
      <c r="F1928" s="178" t="s">
        <v>44</v>
      </c>
    </row>
    <row r="1929">
      <c r="A1929" s="250">
        <v>45376.65341752315</v>
      </c>
      <c r="B1929" s="251" t="s">
        <v>1802</v>
      </c>
      <c r="C1929" s="178" t="s">
        <v>3441</v>
      </c>
      <c r="D1929" s="36" t="s">
        <v>1683</v>
      </c>
      <c r="E1929" s="36">
        <v>321000.0</v>
      </c>
      <c r="F1929" s="178" t="s">
        <v>44</v>
      </c>
    </row>
    <row r="1930">
      <c r="A1930" s="250">
        <v>45376.653427523146</v>
      </c>
      <c r="B1930" s="251" t="s">
        <v>1896</v>
      </c>
      <c r="C1930" s="178" t="s">
        <v>3499</v>
      </c>
      <c r="D1930" s="36">
        <v>317750.0</v>
      </c>
      <c r="E1930" s="36" t="s">
        <v>1683</v>
      </c>
      <c r="F1930" s="178" t="s">
        <v>44</v>
      </c>
    </row>
    <row r="1931">
      <c r="A1931" s="250">
        <v>45376.653427523146</v>
      </c>
      <c r="B1931" s="251" t="s">
        <v>1802</v>
      </c>
      <c r="C1931" s="178" t="s">
        <v>3439</v>
      </c>
      <c r="D1931" s="36" t="s">
        <v>1683</v>
      </c>
      <c r="E1931" s="36">
        <v>317750.0</v>
      </c>
      <c r="F1931" s="178" t="s">
        <v>44</v>
      </c>
    </row>
    <row r="1932">
      <c r="A1932" s="250">
        <v>45376.65343752315</v>
      </c>
      <c r="B1932" s="251" t="s">
        <v>1896</v>
      </c>
      <c r="C1932" s="178" t="s">
        <v>3500</v>
      </c>
      <c r="D1932" s="36">
        <v>308367.0</v>
      </c>
      <c r="E1932" s="36" t="s">
        <v>1683</v>
      </c>
      <c r="F1932" s="178" t="s">
        <v>44</v>
      </c>
    </row>
    <row r="1933">
      <c r="A1933" s="250">
        <v>45376.65343752315</v>
      </c>
      <c r="B1933" s="251" t="s">
        <v>1802</v>
      </c>
      <c r="C1933" s="178" t="s">
        <v>3437</v>
      </c>
      <c r="D1933" s="36" t="s">
        <v>1683</v>
      </c>
      <c r="E1933" s="36">
        <v>308367.0</v>
      </c>
      <c r="F1933" s="178" t="s">
        <v>44</v>
      </c>
    </row>
    <row r="1934">
      <c r="A1934" s="250">
        <v>45377.725831284726</v>
      </c>
      <c r="B1934" s="251" t="s">
        <v>1783</v>
      </c>
      <c r="C1934" s="178" t="s">
        <v>3501</v>
      </c>
      <c r="D1934" s="36">
        <v>2848499.9999999995</v>
      </c>
      <c r="E1934" s="36" t="s">
        <v>1683</v>
      </c>
      <c r="F1934" s="178" t="s">
        <v>44</v>
      </c>
    </row>
    <row r="1935">
      <c r="A1935" s="250">
        <v>45377.725831284726</v>
      </c>
      <c r="B1935" s="251" t="s">
        <v>1684</v>
      </c>
      <c r="C1935" s="178" t="s">
        <v>3502</v>
      </c>
      <c r="D1935" s="36" t="s">
        <v>1683</v>
      </c>
      <c r="E1935" s="36">
        <v>2848499.9999999995</v>
      </c>
      <c r="F1935" s="178" t="s">
        <v>44</v>
      </c>
    </row>
    <row r="1936">
      <c r="A1936" s="250">
        <v>45377.7438441551</v>
      </c>
      <c r="B1936" s="251" t="s">
        <v>1783</v>
      </c>
      <c r="C1936" s="178" t="s">
        <v>3503</v>
      </c>
      <c r="D1936" s="36">
        <v>1697005.0</v>
      </c>
      <c r="E1936" s="36" t="s">
        <v>1683</v>
      </c>
      <c r="F1936" s="178" t="s">
        <v>44</v>
      </c>
    </row>
    <row r="1937">
      <c r="A1937" s="250">
        <v>45377.7438441551</v>
      </c>
      <c r="B1937" s="251" t="s">
        <v>1684</v>
      </c>
      <c r="C1937" s="178" t="s">
        <v>3504</v>
      </c>
      <c r="D1937" s="36" t="s">
        <v>1683</v>
      </c>
      <c r="E1937" s="36">
        <v>1697005.0</v>
      </c>
      <c r="F1937" s="178" t="s">
        <v>44</v>
      </c>
    </row>
    <row r="1938">
      <c r="A1938" s="250">
        <v>45378.69577888889</v>
      </c>
      <c r="B1938" s="251" t="s">
        <v>1783</v>
      </c>
      <c r="C1938" s="178" t="s">
        <v>3505</v>
      </c>
      <c r="D1938" s="36">
        <v>11540.666666666668</v>
      </c>
      <c r="E1938" s="36" t="s">
        <v>1683</v>
      </c>
      <c r="F1938" s="178" t="s">
        <v>44</v>
      </c>
    </row>
    <row r="1939">
      <c r="A1939" s="250">
        <v>45378.69577888889</v>
      </c>
      <c r="B1939" s="251" t="s">
        <v>1684</v>
      </c>
      <c r="C1939" s="178" t="s">
        <v>3506</v>
      </c>
      <c r="D1939" s="36" t="s">
        <v>1683</v>
      </c>
      <c r="E1939" s="36">
        <v>11540.666666666668</v>
      </c>
      <c r="F1939" s="178" t="s">
        <v>44</v>
      </c>
    </row>
    <row r="1940">
      <c r="A1940" s="250">
        <v>45378.69583888889</v>
      </c>
      <c r="B1940" s="251" t="s">
        <v>1783</v>
      </c>
      <c r="C1940" s="178" t="s">
        <v>3507</v>
      </c>
      <c r="D1940" s="36">
        <v>14480.666666666666</v>
      </c>
      <c r="E1940" s="36" t="s">
        <v>1683</v>
      </c>
      <c r="F1940" s="178" t="s">
        <v>44</v>
      </c>
    </row>
    <row r="1941">
      <c r="A1941" s="250">
        <v>45378.69583888889</v>
      </c>
      <c r="B1941" s="251" t="s">
        <v>1684</v>
      </c>
      <c r="C1941" s="178" t="s">
        <v>3508</v>
      </c>
      <c r="D1941" s="36" t="s">
        <v>1683</v>
      </c>
      <c r="E1941" s="36">
        <v>14480.666666666666</v>
      </c>
      <c r="F1941" s="178" t="s">
        <v>44</v>
      </c>
    </row>
    <row r="1942">
      <c r="A1942" s="250">
        <v>45378.69585888889</v>
      </c>
      <c r="B1942" s="251" t="s">
        <v>1783</v>
      </c>
      <c r="C1942" s="178" t="s">
        <v>3509</v>
      </c>
      <c r="D1942" s="36">
        <v>14480.666666666666</v>
      </c>
      <c r="E1942" s="36" t="s">
        <v>1683</v>
      </c>
      <c r="F1942" s="178" t="s">
        <v>44</v>
      </c>
    </row>
    <row r="1943">
      <c r="A1943" s="250">
        <v>45378.69585888889</v>
      </c>
      <c r="B1943" s="251" t="s">
        <v>1684</v>
      </c>
      <c r="C1943" s="178" t="s">
        <v>3510</v>
      </c>
      <c r="D1943" s="36" t="s">
        <v>1683</v>
      </c>
      <c r="E1943" s="36">
        <v>14480.666666666666</v>
      </c>
      <c r="F1943" s="178" t="s">
        <v>44</v>
      </c>
    </row>
    <row r="1944">
      <c r="A1944" s="250">
        <v>45379.218085555556</v>
      </c>
      <c r="B1944" s="251" t="s">
        <v>1693</v>
      </c>
      <c r="C1944" s="178" t="s">
        <v>3511</v>
      </c>
      <c r="D1944" s="36">
        <v>159925.00000000003</v>
      </c>
      <c r="E1944" s="36" t="s">
        <v>1683</v>
      </c>
      <c r="F1944" s="178" t="s">
        <v>140</v>
      </c>
    </row>
    <row r="1945">
      <c r="A1945" s="250">
        <v>45379.218085555556</v>
      </c>
      <c r="B1945" s="251" t="s">
        <v>1684</v>
      </c>
      <c r="C1945" s="178" t="s">
        <v>3512</v>
      </c>
      <c r="D1945" s="36" t="s">
        <v>1683</v>
      </c>
      <c r="E1945" s="36">
        <v>159925.00000000003</v>
      </c>
      <c r="F1945" s="178" t="s">
        <v>140</v>
      </c>
    </row>
    <row r="1946">
      <c r="A1946" s="250">
        <v>45379.39940879629</v>
      </c>
      <c r="B1946" s="251" t="s">
        <v>3249</v>
      </c>
      <c r="C1946" s="178" t="s">
        <v>3513</v>
      </c>
      <c r="D1946" s="36">
        <v>2848499.9999999995</v>
      </c>
      <c r="E1946" s="36" t="s">
        <v>1683</v>
      </c>
      <c r="F1946" s="178" t="s">
        <v>44</v>
      </c>
    </row>
    <row r="1947">
      <c r="A1947" s="250">
        <v>45379.39940879629</v>
      </c>
      <c r="B1947" s="251" t="s">
        <v>1802</v>
      </c>
      <c r="C1947" s="178" t="s">
        <v>3501</v>
      </c>
      <c r="D1947" s="36" t="s">
        <v>1683</v>
      </c>
      <c r="E1947" s="36">
        <v>2848499.9999999995</v>
      </c>
      <c r="F1947" s="178" t="s">
        <v>44</v>
      </c>
    </row>
    <row r="1948">
      <c r="A1948" s="250">
        <v>45380.46765111112</v>
      </c>
      <c r="B1948" s="251" t="s">
        <v>1693</v>
      </c>
      <c r="C1948" s="178" t="s">
        <v>3514</v>
      </c>
      <c r="D1948" s="36">
        <v>8120.0</v>
      </c>
      <c r="E1948" s="36" t="s">
        <v>1683</v>
      </c>
      <c r="F1948" s="178" t="s">
        <v>222</v>
      </c>
    </row>
    <row r="1949">
      <c r="A1949" s="250">
        <v>45380.46765111112</v>
      </c>
      <c r="B1949" s="251" t="s">
        <v>1684</v>
      </c>
      <c r="C1949" s="178" t="s">
        <v>3515</v>
      </c>
      <c r="D1949" s="36" t="s">
        <v>1683</v>
      </c>
      <c r="E1949" s="36">
        <v>8120.0</v>
      </c>
      <c r="F1949" s="178" t="s">
        <v>222</v>
      </c>
    </row>
    <row r="1950">
      <c r="A1950" s="250">
        <v>45380.46778111111</v>
      </c>
      <c r="B1950" s="251" t="s">
        <v>1693</v>
      </c>
      <c r="C1950" s="178" t="s">
        <v>3516</v>
      </c>
      <c r="D1950" s="36">
        <v>8120.0</v>
      </c>
      <c r="E1950" s="36" t="s">
        <v>1683</v>
      </c>
      <c r="F1950" s="178" t="s">
        <v>222</v>
      </c>
    </row>
    <row r="1951">
      <c r="A1951" s="250">
        <v>45380.46778111111</v>
      </c>
      <c r="B1951" s="251" t="s">
        <v>1684</v>
      </c>
      <c r="C1951" s="178" t="s">
        <v>3517</v>
      </c>
      <c r="D1951" s="36" t="s">
        <v>1683</v>
      </c>
      <c r="E1951" s="36">
        <v>8120.0</v>
      </c>
      <c r="F1951" s="178" t="s">
        <v>222</v>
      </c>
    </row>
    <row r="1952">
      <c r="A1952" s="250">
        <v>45380.46795111112</v>
      </c>
      <c r="B1952" s="251" t="s">
        <v>1693</v>
      </c>
      <c r="C1952" s="178" t="s">
        <v>3518</v>
      </c>
      <c r="D1952" s="36">
        <v>8291.0</v>
      </c>
      <c r="E1952" s="36" t="s">
        <v>1683</v>
      </c>
      <c r="F1952" s="178" t="s">
        <v>222</v>
      </c>
    </row>
    <row r="1953">
      <c r="A1953" s="250">
        <v>45380.46795111112</v>
      </c>
      <c r="B1953" s="251" t="s">
        <v>1684</v>
      </c>
      <c r="C1953" s="178" t="s">
        <v>3519</v>
      </c>
      <c r="D1953" s="36" t="s">
        <v>1683</v>
      </c>
      <c r="E1953" s="36">
        <v>8291.0</v>
      </c>
      <c r="F1953" s="178" t="s">
        <v>222</v>
      </c>
    </row>
    <row r="1954">
      <c r="A1954" s="250">
        <v>45380.468311111115</v>
      </c>
      <c r="B1954" s="251" t="s">
        <v>1693</v>
      </c>
      <c r="C1954" s="178" t="s">
        <v>3520</v>
      </c>
      <c r="D1954" s="36">
        <v>7919.000000000001</v>
      </c>
      <c r="E1954" s="36" t="s">
        <v>1683</v>
      </c>
      <c r="F1954" s="178" t="s">
        <v>222</v>
      </c>
    </row>
    <row r="1955">
      <c r="A1955" s="250">
        <v>45380.468311111115</v>
      </c>
      <c r="B1955" s="251" t="s">
        <v>1684</v>
      </c>
      <c r="C1955" s="178" t="s">
        <v>3521</v>
      </c>
      <c r="D1955" s="36" t="s">
        <v>1683</v>
      </c>
      <c r="E1955" s="36">
        <v>7919.000000000001</v>
      </c>
      <c r="F1955" s="178" t="s">
        <v>222</v>
      </c>
    </row>
    <row r="1956">
      <c r="A1956" s="250">
        <v>45380.468331111115</v>
      </c>
      <c r="B1956" s="251" t="s">
        <v>1693</v>
      </c>
      <c r="C1956" s="178" t="s">
        <v>3522</v>
      </c>
      <c r="D1956" s="36">
        <v>8099.999999999999</v>
      </c>
      <c r="E1956" s="36" t="s">
        <v>1683</v>
      </c>
      <c r="F1956" s="178" t="s">
        <v>222</v>
      </c>
    </row>
    <row r="1957">
      <c r="A1957" s="250">
        <v>45380.468331111115</v>
      </c>
      <c r="B1957" s="251" t="s">
        <v>1684</v>
      </c>
      <c r="C1957" s="178" t="s">
        <v>3523</v>
      </c>
      <c r="D1957" s="36" t="s">
        <v>1683</v>
      </c>
      <c r="E1957" s="36">
        <v>8099.999999999999</v>
      </c>
      <c r="F1957" s="178" t="s">
        <v>222</v>
      </c>
    </row>
    <row r="1958">
      <c r="A1958" s="250">
        <v>45380.588484444444</v>
      </c>
      <c r="B1958" s="251" t="s">
        <v>3249</v>
      </c>
      <c r="C1958" s="178" t="s">
        <v>3524</v>
      </c>
      <c r="D1958" s="36">
        <v>1697005.0</v>
      </c>
      <c r="E1958" s="36" t="s">
        <v>1683</v>
      </c>
      <c r="F1958" s="178" t="s">
        <v>44</v>
      </c>
    </row>
    <row r="1959">
      <c r="A1959" s="250">
        <v>45380.588484444444</v>
      </c>
      <c r="B1959" s="251" t="s">
        <v>1802</v>
      </c>
      <c r="C1959" s="178" t="s">
        <v>3503</v>
      </c>
      <c r="D1959" s="36" t="s">
        <v>1683</v>
      </c>
      <c r="E1959" s="36">
        <v>1697005.0</v>
      </c>
      <c r="F1959" s="178" t="s">
        <v>44</v>
      </c>
    </row>
    <row r="1960">
      <c r="A1960" s="250">
        <v>45381.200784444445</v>
      </c>
      <c r="B1960" s="251" t="s">
        <v>1693</v>
      </c>
      <c r="C1960" s="178" t="s">
        <v>3525</v>
      </c>
      <c r="D1960" s="36">
        <v>21750.0</v>
      </c>
      <c r="E1960" s="36" t="s">
        <v>1683</v>
      </c>
      <c r="F1960" s="178" t="s">
        <v>793</v>
      </c>
    </row>
    <row r="1961">
      <c r="A1961" s="250">
        <v>45381.200784444445</v>
      </c>
      <c r="B1961" s="251" t="s">
        <v>1684</v>
      </c>
      <c r="C1961" s="178" t="s">
        <v>3526</v>
      </c>
      <c r="D1961" s="36" t="s">
        <v>1683</v>
      </c>
      <c r="E1961" s="36">
        <v>21750.0</v>
      </c>
      <c r="F1961" s="178" t="s">
        <v>793</v>
      </c>
    </row>
    <row r="1962">
      <c r="A1962" s="250">
        <v>45381.20154444444</v>
      </c>
      <c r="B1962" s="251" t="s">
        <v>1693</v>
      </c>
      <c r="C1962" s="178" t="s">
        <v>3527</v>
      </c>
      <c r="D1962" s="36">
        <v>21750.0</v>
      </c>
      <c r="E1962" s="36" t="s">
        <v>1683</v>
      </c>
      <c r="F1962" s="178" t="s">
        <v>793</v>
      </c>
    </row>
    <row r="1963">
      <c r="A1963" s="250">
        <v>45381.20154444444</v>
      </c>
      <c r="B1963" s="251" t="s">
        <v>1684</v>
      </c>
      <c r="C1963" s="178" t="s">
        <v>3528</v>
      </c>
      <c r="D1963" s="36" t="s">
        <v>1683</v>
      </c>
      <c r="E1963" s="36">
        <v>21750.0</v>
      </c>
      <c r="F1963" s="178" t="s">
        <v>793</v>
      </c>
    </row>
    <row r="1964">
      <c r="A1964" s="250">
        <v>45381.20158444445</v>
      </c>
      <c r="B1964" s="251" t="s">
        <v>1693</v>
      </c>
      <c r="C1964" s="178" t="s">
        <v>3529</v>
      </c>
      <c r="D1964" s="36">
        <v>21750.0</v>
      </c>
      <c r="E1964" s="36" t="s">
        <v>1683</v>
      </c>
      <c r="F1964" s="178" t="s">
        <v>793</v>
      </c>
    </row>
    <row r="1965">
      <c r="A1965" s="250">
        <v>45381.20158444445</v>
      </c>
      <c r="B1965" s="251" t="s">
        <v>1684</v>
      </c>
      <c r="C1965" s="178" t="s">
        <v>3530</v>
      </c>
      <c r="D1965" s="36" t="s">
        <v>1683</v>
      </c>
      <c r="E1965" s="36">
        <v>21750.0</v>
      </c>
      <c r="F1965" s="178" t="s">
        <v>793</v>
      </c>
    </row>
    <row r="1966">
      <c r="A1966" s="250">
        <v>45381.20163444444</v>
      </c>
      <c r="B1966" s="251" t="s">
        <v>1693</v>
      </c>
      <c r="C1966" s="178" t="s">
        <v>3531</v>
      </c>
      <c r="D1966" s="36">
        <v>21750.0</v>
      </c>
      <c r="E1966" s="36" t="s">
        <v>1683</v>
      </c>
      <c r="F1966" s="178" t="s">
        <v>793</v>
      </c>
    </row>
    <row r="1967">
      <c r="A1967" s="250">
        <v>45381.20163444444</v>
      </c>
      <c r="B1967" s="251" t="s">
        <v>1684</v>
      </c>
      <c r="C1967" s="178" t="s">
        <v>3532</v>
      </c>
      <c r="D1967" s="36" t="s">
        <v>1683</v>
      </c>
      <c r="E1967" s="36">
        <v>21750.0</v>
      </c>
      <c r="F1967" s="178" t="s">
        <v>793</v>
      </c>
    </row>
    <row r="1968">
      <c r="A1968" s="250">
        <v>45381.708973333334</v>
      </c>
      <c r="B1968" s="251" t="s">
        <v>2848</v>
      </c>
      <c r="C1968" s="178" t="s">
        <v>3533</v>
      </c>
      <c r="D1968" s="36">
        <v>11540.666666666668</v>
      </c>
      <c r="E1968" s="36" t="s">
        <v>1683</v>
      </c>
      <c r="F1968" s="178" t="s">
        <v>44</v>
      </c>
    </row>
    <row r="1969">
      <c r="A1969" s="250">
        <v>45381.708973333334</v>
      </c>
      <c r="B1969" s="251" t="s">
        <v>1802</v>
      </c>
      <c r="C1969" s="178" t="s">
        <v>3505</v>
      </c>
      <c r="D1969" s="36" t="s">
        <v>1683</v>
      </c>
      <c r="E1969" s="36">
        <v>11540.666666666668</v>
      </c>
      <c r="F1969" s="178" t="s">
        <v>44</v>
      </c>
    </row>
    <row r="1970">
      <c r="A1970" s="250">
        <v>45381.70903333333</v>
      </c>
      <c r="B1970" s="251" t="s">
        <v>3534</v>
      </c>
      <c r="C1970" s="178" t="s">
        <v>3535</v>
      </c>
      <c r="D1970" s="36">
        <v>14480.666666666666</v>
      </c>
      <c r="E1970" s="36" t="s">
        <v>1683</v>
      </c>
      <c r="F1970" s="178" t="s">
        <v>44</v>
      </c>
    </row>
    <row r="1971">
      <c r="A1971" s="250">
        <v>45381.70903333333</v>
      </c>
      <c r="B1971" s="251" t="s">
        <v>1802</v>
      </c>
      <c r="C1971" s="178" t="s">
        <v>3507</v>
      </c>
      <c r="D1971" s="36" t="s">
        <v>1683</v>
      </c>
      <c r="E1971" s="36">
        <v>14480.666666666666</v>
      </c>
      <c r="F1971" s="178" t="s">
        <v>44</v>
      </c>
    </row>
    <row r="1972">
      <c r="A1972" s="250">
        <v>45381.70905333333</v>
      </c>
      <c r="B1972" s="251" t="s">
        <v>2993</v>
      </c>
      <c r="C1972" s="178" t="s">
        <v>3536</v>
      </c>
      <c r="D1972" s="36">
        <v>14480.666666666666</v>
      </c>
      <c r="E1972" s="36" t="s">
        <v>1683</v>
      </c>
      <c r="F1972" s="178" t="s">
        <v>44</v>
      </c>
    </row>
    <row r="1973">
      <c r="A1973" s="250">
        <v>45381.70905333333</v>
      </c>
      <c r="B1973" s="251" t="s">
        <v>1802</v>
      </c>
      <c r="C1973" s="178" t="s">
        <v>3509</v>
      </c>
      <c r="D1973" s="36" t="s">
        <v>1683</v>
      </c>
      <c r="E1973" s="36">
        <v>14480.666666666666</v>
      </c>
      <c r="F1973" s="178" t="s">
        <v>44</v>
      </c>
    </row>
    <row r="1974">
      <c r="A1974" s="250">
        <v>45381.72283222222</v>
      </c>
      <c r="B1974" s="251" t="s">
        <v>1693</v>
      </c>
      <c r="C1974" s="178" t="s">
        <v>3537</v>
      </c>
      <c r="D1974" s="36">
        <v>88587.0</v>
      </c>
      <c r="E1974" s="36" t="s">
        <v>1683</v>
      </c>
      <c r="F1974" s="178" t="s">
        <v>868</v>
      </c>
    </row>
    <row r="1975">
      <c r="A1975" s="250">
        <v>45381.72283222222</v>
      </c>
      <c r="B1975" s="251" t="s">
        <v>1684</v>
      </c>
      <c r="C1975" s="178" t="s">
        <v>3538</v>
      </c>
      <c r="D1975" s="36" t="s">
        <v>1683</v>
      </c>
      <c r="E1975" s="36">
        <v>88587.0</v>
      </c>
      <c r="F1975" s="178" t="s">
        <v>868</v>
      </c>
    </row>
    <row r="1976">
      <c r="A1976" s="250">
        <v>45381.72421111111</v>
      </c>
      <c r="B1976" s="251" t="s">
        <v>1693</v>
      </c>
      <c r="C1976" s="178" t="s">
        <v>3539</v>
      </c>
      <c r="D1976" s="36">
        <v>92000.0</v>
      </c>
      <c r="E1976" s="36" t="s">
        <v>1683</v>
      </c>
      <c r="F1976" s="178" t="s">
        <v>867</v>
      </c>
    </row>
    <row r="1977">
      <c r="A1977" s="250">
        <v>45381.72421111111</v>
      </c>
      <c r="B1977" s="251" t="s">
        <v>1684</v>
      </c>
      <c r="C1977" s="178" t="s">
        <v>3540</v>
      </c>
      <c r="D1977" s="36" t="s">
        <v>1683</v>
      </c>
      <c r="E1977" s="36">
        <v>92000.0</v>
      </c>
      <c r="F1977" s="178" t="s">
        <v>867</v>
      </c>
    </row>
    <row r="1978">
      <c r="A1978" s="250">
        <v>45381.971423333336</v>
      </c>
      <c r="B1978" s="251" t="s">
        <v>1693</v>
      </c>
      <c r="C1978" s="178" t="s">
        <v>3541</v>
      </c>
      <c r="D1978" s="36">
        <v>26333.333333333332</v>
      </c>
      <c r="E1978" s="36" t="s">
        <v>1683</v>
      </c>
      <c r="F1978" s="178" t="s">
        <v>866</v>
      </c>
    </row>
    <row r="1979">
      <c r="A1979" s="250">
        <v>45381.971423333336</v>
      </c>
      <c r="B1979" s="251" t="s">
        <v>1684</v>
      </c>
      <c r="C1979" s="178" t="s">
        <v>3542</v>
      </c>
      <c r="D1979" s="36" t="s">
        <v>1683</v>
      </c>
      <c r="E1979" s="36">
        <v>26333.333333333332</v>
      </c>
      <c r="F1979" s="178" t="s">
        <v>866</v>
      </c>
    </row>
    <row r="1980">
      <c r="A1980" s="250">
        <v>45381.971423333336</v>
      </c>
      <c r="B1980" s="251" t="s">
        <v>3543</v>
      </c>
      <c r="C1980" s="178" t="s">
        <v>3544</v>
      </c>
      <c r="D1980" s="36">
        <v>26333.333333333332</v>
      </c>
      <c r="E1980" s="36" t="s">
        <v>1683</v>
      </c>
      <c r="F1980" s="178" t="s">
        <v>866</v>
      </c>
    </row>
    <row r="1981">
      <c r="A1981" s="250">
        <v>45381.971423333336</v>
      </c>
      <c r="B1981" s="251" t="s">
        <v>1698</v>
      </c>
      <c r="C1981" s="178" t="s">
        <v>3541</v>
      </c>
      <c r="D1981" s="36" t="s">
        <v>1683</v>
      </c>
      <c r="E1981" s="36">
        <v>26333.333333333332</v>
      </c>
      <c r="F1981" s="178" t="s">
        <v>866</v>
      </c>
    </row>
    <row r="1982">
      <c r="A1982" s="250">
        <v>45381.97171333333</v>
      </c>
      <c r="B1982" s="251" t="s">
        <v>1693</v>
      </c>
      <c r="C1982" s="178" t="s">
        <v>3545</v>
      </c>
      <c r="D1982" s="36">
        <v>24333.333333333332</v>
      </c>
      <c r="E1982" s="36" t="s">
        <v>1683</v>
      </c>
      <c r="F1982" s="178" t="s">
        <v>866</v>
      </c>
    </row>
    <row r="1983">
      <c r="A1983" s="250">
        <v>45381.97171333333</v>
      </c>
      <c r="B1983" s="251" t="s">
        <v>1684</v>
      </c>
      <c r="C1983" s="178" t="s">
        <v>3546</v>
      </c>
      <c r="D1983" s="36" t="s">
        <v>1683</v>
      </c>
      <c r="E1983" s="36">
        <v>24333.333333333332</v>
      </c>
      <c r="F1983" s="178" t="s">
        <v>866</v>
      </c>
    </row>
    <row r="1984">
      <c r="A1984" s="250">
        <v>45381.97171333333</v>
      </c>
      <c r="B1984" s="251" t="s">
        <v>3240</v>
      </c>
      <c r="C1984" s="178" t="s">
        <v>3547</v>
      </c>
      <c r="D1984" s="36">
        <v>24333.333333333332</v>
      </c>
      <c r="E1984" s="36" t="s">
        <v>1683</v>
      </c>
      <c r="F1984" s="178" t="s">
        <v>866</v>
      </c>
    </row>
    <row r="1985">
      <c r="A1985" s="250">
        <v>45381.97171333333</v>
      </c>
      <c r="B1985" s="251" t="s">
        <v>1698</v>
      </c>
      <c r="C1985" s="178" t="s">
        <v>3545</v>
      </c>
      <c r="D1985" s="36" t="s">
        <v>1683</v>
      </c>
      <c r="E1985" s="36">
        <v>24333.333333333332</v>
      </c>
      <c r="F1985" s="178" t="s">
        <v>866</v>
      </c>
    </row>
    <row r="1986">
      <c r="A1986" s="250">
        <v>45381.97179333333</v>
      </c>
      <c r="B1986" s="251" t="s">
        <v>1693</v>
      </c>
      <c r="C1986" s="178" t="s">
        <v>3548</v>
      </c>
      <c r="D1986" s="36">
        <v>60333.333333333336</v>
      </c>
      <c r="E1986" s="36" t="s">
        <v>1683</v>
      </c>
      <c r="F1986" s="178" t="s">
        <v>866</v>
      </c>
    </row>
    <row r="1987">
      <c r="A1987" s="250">
        <v>45381.97179333333</v>
      </c>
      <c r="B1987" s="251" t="s">
        <v>1684</v>
      </c>
      <c r="C1987" s="178" t="s">
        <v>3549</v>
      </c>
      <c r="D1987" s="36" t="s">
        <v>1683</v>
      </c>
      <c r="E1987" s="36">
        <v>60333.333333333336</v>
      </c>
      <c r="F1987" s="178" t="s">
        <v>866</v>
      </c>
    </row>
    <row r="1988">
      <c r="A1988" s="250">
        <v>45381.97179333333</v>
      </c>
      <c r="B1988" s="251" t="s">
        <v>3243</v>
      </c>
      <c r="C1988" s="178" t="s">
        <v>3550</v>
      </c>
      <c r="D1988" s="36">
        <v>60333.333333333336</v>
      </c>
      <c r="E1988" s="36" t="s">
        <v>1683</v>
      </c>
      <c r="F1988" s="178" t="s">
        <v>866</v>
      </c>
    </row>
    <row r="1989">
      <c r="A1989" s="250">
        <v>45381.97179333333</v>
      </c>
      <c r="B1989" s="251" t="s">
        <v>1698</v>
      </c>
      <c r="C1989" s="178" t="s">
        <v>3548</v>
      </c>
      <c r="D1989" s="36" t="s">
        <v>1683</v>
      </c>
      <c r="E1989" s="36">
        <v>60333.333333333336</v>
      </c>
      <c r="F1989" s="178" t="s">
        <v>866</v>
      </c>
    </row>
    <row r="1990">
      <c r="A1990" s="250">
        <v>45382.39540037038</v>
      </c>
      <c r="B1990" s="251" t="s">
        <v>3017</v>
      </c>
      <c r="C1990" s="178" t="s">
        <v>3551</v>
      </c>
      <c r="D1990" s="36">
        <v>159925.00000000003</v>
      </c>
      <c r="E1990" s="36" t="s">
        <v>1683</v>
      </c>
      <c r="F1990" s="178" t="s">
        <v>140</v>
      </c>
    </row>
    <row r="1991">
      <c r="A1991" s="250">
        <v>45382.39540037038</v>
      </c>
      <c r="B1991" s="251" t="s">
        <v>1698</v>
      </c>
      <c r="C1991" s="178" t="s">
        <v>3511</v>
      </c>
      <c r="D1991" s="36" t="s">
        <v>1683</v>
      </c>
      <c r="E1991" s="36">
        <v>159925.00000000003</v>
      </c>
      <c r="F1991" s="178" t="s">
        <v>140</v>
      </c>
    </row>
    <row r="1992">
      <c r="A1992" s="250">
        <v>45382.6456003125</v>
      </c>
      <c r="B1992" s="251" t="s">
        <v>2324</v>
      </c>
      <c r="C1992" s="178" t="s">
        <v>3552</v>
      </c>
      <c r="D1992" s="36">
        <v>8120.0</v>
      </c>
      <c r="E1992" s="36" t="s">
        <v>1683</v>
      </c>
      <c r="F1992" s="178" t="s">
        <v>222</v>
      </c>
    </row>
    <row r="1993">
      <c r="A1993" s="250">
        <v>45382.6456003125</v>
      </c>
      <c r="B1993" s="251" t="s">
        <v>1698</v>
      </c>
      <c r="C1993" s="178" t="s">
        <v>3514</v>
      </c>
      <c r="D1993" s="36" t="s">
        <v>1683</v>
      </c>
      <c r="E1993" s="36">
        <v>8120.0</v>
      </c>
      <c r="F1993" s="178" t="s">
        <v>222</v>
      </c>
    </row>
    <row r="1994">
      <c r="A1994" s="250">
        <v>45382.64573031249</v>
      </c>
      <c r="B1994" s="251" t="s">
        <v>1786</v>
      </c>
      <c r="C1994" s="178" t="s">
        <v>3553</v>
      </c>
      <c r="D1994" s="36">
        <v>8120.0</v>
      </c>
      <c r="E1994" s="36" t="s">
        <v>1683</v>
      </c>
      <c r="F1994" s="178" t="s">
        <v>222</v>
      </c>
    </row>
    <row r="1995">
      <c r="A1995" s="250">
        <v>45382.64573031249</v>
      </c>
      <c r="B1995" s="251" t="s">
        <v>1698</v>
      </c>
      <c r="C1995" s="178" t="s">
        <v>3516</v>
      </c>
      <c r="D1995" s="36" t="s">
        <v>1683</v>
      </c>
      <c r="E1995" s="36">
        <v>8120.0</v>
      </c>
      <c r="F1995" s="178" t="s">
        <v>222</v>
      </c>
    </row>
    <row r="1996">
      <c r="A1996" s="250">
        <v>45382.6459003125</v>
      </c>
      <c r="B1996" s="251" t="s">
        <v>2345</v>
      </c>
      <c r="C1996" s="178" t="s">
        <v>3554</v>
      </c>
      <c r="D1996" s="36">
        <v>8291.0</v>
      </c>
      <c r="E1996" s="36" t="s">
        <v>1683</v>
      </c>
      <c r="F1996" s="178" t="s">
        <v>222</v>
      </c>
    </row>
    <row r="1997">
      <c r="A1997" s="250">
        <v>45382.6459003125</v>
      </c>
      <c r="B1997" s="251" t="s">
        <v>1698</v>
      </c>
      <c r="C1997" s="178" t="s">
        <v>3518</v>
      </c>
      <c r="D1997" s="36" t="s">
        <v>1683</v>
      </c>
      <c r="E1997" s="36">
        <v>8291.0</v>
      </c>
      <c r="F1997" s="178" t="s">
        <v>222</v>
      </c>
    </row>
    <row r="1998">
      <c r="A1998" s="250">
        <v>45382.6462603125</v>
      </c>
      <c r="B1998" s="251" t="s">
        <v>2348</v>
      </c>
      <c r="C1998" s="178" t="s">
        <v>3555</v>
      </c>
      <c r="D1998" s="36">
        <v>7919.000000000001</v>
      </c>
      <c r="E1998" s="36" t="s">
        <v>1683</v>
      </c>
      <c r="F1998" s="178" t="s">
        <v>222</v>
      </c>
    </row>
    <row r="1999">
      <c r="A1999" s="250">
        <v>45382.6462603125</v>
      </c>
      <c r="B1999" s="251" t="s">
        <v>1698</v>
      </c>
      <c r="C1999" s="178" t="s">
        <v>3520</v>
      </c>
      <c r="D1999" s="36" t="s">
        <v>1683</v>
      </c>
      <c r="E1999" s="36">
        <v>7919.000000000001</v>
      </c>
      <c r="F1999" s="178" t="s">
        <v>222</v>
      </c>
    </row>
    <row r="2000">
      <c r="A2000" s="250">
        <v>45382.646280312496</v>
      </c>
      <c r="B2000" s="251" t="s">
        <v>3247</v>
      </c>
      <c r="C2000" s="178" t="s">
        <v>3556</v>
      </c>
      <c r="D2000" s="36">
        <v>8099.999999999999</v>
      </c>
      <c r="E2000" s="36" t="s">
        <v>1683</v>
      </c>
      <c r="F2000" s="178" t="s">
        <v>222</v>
      </c>
    </row>
    <row r="2001">
      <c r="A2001" s="250">
        <v>45382.646280312496</v>
      </c>
      <c r="B2001" s="251" t="s">
        <v>1698</v>
      </c>
      <c r="C2001" s="178" t="s">
        <v>3522</v>
      </c>
      <c r="D2001" s="36" t="s">
        <v>1683</v>
      </c>
      <c r="E2001" s="36">
        <v>8099.999999999999</v>
      </c>
      <c r="F2001" s="178" t="s">
        <v>222</v>
      </c>
    </row>
    <row r="2002">
      <c r="A2002" s="250">
        <v>45384.22710333333</v>
      </c>
      <c r="B2002" s="251" t="s">
        <v>1693</v>
      </c>
      <c r="C2002" s="178" t="s">
        <v>3557</v>
      </c>
      <c r="D2002" s="36">
        <v>634649.9999999999</v>
      </c>
      <c r="E2002" s="36" t="s">
        <v>1683</v>
      </c>
      <c r="F2002" s="178" t="s">
        <v>139</v>
      </c>
    </row>
    <row r="2003">
      <c r="A2003" s="250">
        <v>45384.22710333333</v>
      </c>
      <c r="B2003" s="251" t="s">
        <v>1684</v>
      </c>
      <c r="C2003" s="178" t="s">
        <v>3558</v>
      </c>
      <c r="D2003" s="36" t="s">
        <v>1683</v>
      </c>
      <c r="E2003" s="36">
        <v>634649.9999999999</v>
      </c>
      <c r="F2003" s="178" t="s">
        <v>139</v>
      </c>
    </row>
    <row r="2004">
      <c r="A2004" s="250">
        <v>45384.49793666667</v>
      </c>
      <c r="B2004" s="251" t="s">
        <v>3017</v>
      </c>
      <c r="C2004" s="178" t="s">
        <v>3559</v>
      </c>
      <c r="D2004" s="36">
        <v>634649.9999999999</v>
      </c>
      <c r="E2004" s="36" t="s">
        <v>1683</v>
      </c>
      <c r="F2004" s="178" t="s">
        <v>139</v>
      </c>
    </row>
    <row r="2005">
      <c r="A2005" s="250">
        <v>45384.49793666667</v>
      </c>
      <c r="B2005" s="251" t="s">
        <v>1698</v>
      </c>
      <c r="C2005" s="178" t="s">
        <v>3557</v>
      </c>
      <c r="D2005" s="36" t="s">
        <v>1683</v>
      </c>
      <c r="E2005" s="36">
        <v>634649.9999999999</v>
      </c>
      <c r="F2005" s="178" t="s">
        <v>139</v>
      </c>
    </row>
    <row r="2006">
      <c r="A2006" s="250">
        <v>45384.567782048616</v>
      </c>
      <c r="B2006" s="251" t="s">
        <v>3313</v>
      </c>
      <c r="C2006" s="178" t="s">
        <v>3560</v>
      </c>
      <c r="D2006" s="36">
        <v>21750.0</v>
      </c>
      <c r="E2006" s="36" t="s">
        <v>1683</v>
      </c>
      <c r="F2006" s="178" t="s">
        <v>793</v>
      </c>
    </row>
    <row r="2007">
      <c r="A2007" s="250">
        <v>45384.567782048616</v>
      </c>
      <c r="B2007" s="251" t="s">
        <v>1698</v>
      </c>
      <c r="C2007" s="178" t="s">
        <v>3525</v>
      </c>
      <c r="D2007" s="36" t="s">
        <v>1683</v>
      </c>
      <c r="E2007" s="36">
        <v>21750.0</v>
      </c>
      <c r="F2007" s="178" t="s">
        <v>793</v>
      </c>
    </row>
    <row r="2008">
      <c r="A2008" s="250">
        <v>45384.56854976852</v>
      </c>
      <c r="B2008" s="251" t="s">
        <v>2996</v>
      </c>
      <c r="C2008" s="178" t="s">
        <v>3561</v>
      </c>
      <c r="D2008" s="36">
        <v>21750.0</v>
      </c>
      <c r="E2008" s="36" t="s">
        <v>1683</v>
      </c>
      <c r="F2008" s="178" t="s">
        <v>793</v>
      </c>
    </row>
    <row r="2009">
      <c r="A2009" s="250">
        <v>45384.56854976852</v>
      </c>
      <c r="B2009" s="251" t="s">
        <v>1698</v>
      </c>
      <c r="C2009" s="178" t="s">
        <v>3527</v>
      </c>
      <c r="D2009" s="36" t="s">
        <v>1683</v>
      </c>
      <c r="E2009" s="36">
        <v>21750.0</v>
      </c>
      <c r="F2009" s="178" t="s">
        <v>793</v>
      </c>
    </row>
    <row r="2010">
      <c r="A2010" s="250">
        <v>45384.56857203704</v>
      </c>
      <c r="B2010" s="251" t="s">
        <v>2645</v>
      </c>
      <c r="C2010" s="178" t="s">
        <v>3562</v>
      </c>
      <c r="D2010" s="36">
        <v>21750.0</v>
      </c>
      <c r="E2010" s="36" t="s">
        <v>1683</v>
      </c>
      <c r="F2010" s="178" t="s">
        <v>793</v>
      </c>
    </row>
    <row r="2011">
      <c r="A2011" s="250">
        <v>45384.56857203704</v>
      </c>
      <c r="B2011" s="251" t="s">
        <v>1698</v>
      </c>
      <c r="C2011" s="178" t="s">
        <v>3529</v>
      </c>
      <c r="D2011" s="36" t="s">
        <v>1683</v>
      </c>
      <c r="E2011" s="36">
        <v>21750.0</v>
      </c>
      <c r="F2011" s="178" t="s">
        <v>793</v>
      </c>
    </row>
    <row r="2012">
      <c r="A2012" s="250">
        <v>45384.56861136574</v>
      </c>
      <c r="B2012" s="251" t="s">
        <v>2322</v>
      </c>
      <c r="C2012" s="178" t="s">
        <v>3563</v>
      </c>
      <c r="D2012" s="36">
        <v>21750.0</v>
      </c>
      <c r="E2012" s="36" t="s">
        <v>1683</v>
      </c>
      <c r="F2012" s="178" t="s">
        <v>793</v>
      </c>
    </row>
    <row r="2013">
      <c r="A2013" s="250">
        <v>45384.56861136574</v>
      </c>
      <c r="B2013" s="251" t="s">
        <v>1698</v>
      </c>
      <c r="C2013" s="178" t="s">
        <v>3531</v>
      </c>
      <c r="D2013" s="36" t="s">
        <v>1683</v>
      </c>
      <c r="E2013" s="36">
        <v>21750.0</v>
      </c>
      <c r="F2013" s="178" t="s">
        <v>793</v>
      </c>
    </row>
    <row r="2014">
      <c r="A2014" s="250">
        <v>45384.774625555554</v>
      </c>
      <c r="B2014" s="251" t="s">
        <v>1846</v>
      </c>
      <c r="C2014" s="178" t="s">
        <v>3564</v>
      </c>
      <c r="D2014" s="36">
        <v>2181.6666666666692</v>
      </c>
      <c r="E2014" s="36" t="s">
        <v>1683</v>
      </c>
      <c r="F2014" s="178" t="s">
        <v>1683</v>
      </c>
    </row>
    <row r="2015">
      <c r="A2015" s="250">
        <v>45384.774625555554</v>
      </c>
      <c r="B2015" s="251" t="s">
        <v>2047</v>
      </c>
      <c r="C2015" s="178" t="s">
        <v>3565</v>
      </c>
      <c r="D2015" s="36" t="s">
        <v>1683</v>
      </c>
      <c r="E2015" s="36">
        <v>2181.6666666666692</v>
      </c>
      <c r="F2015" s="178" t="s">
        <v>1683</v>
      </c>
    </row>
    <row r="2016">
      <c r="A2016" s="250">
        <v>45385.74851666667</v>
      </c>
      <c r="B2016" s="251" t="s">
        <v>3543</v>
      </c>
      <c r="C2016" s="178" t="s">
        <v>3566</v>
      </c>
      <c r="D2016" s="36">
        <v>92000.0</v>
      </c>
      <c r="E2016" s="36" t="s">
        <v>1683</v>
      </c>
      <c r="F2016" s="178" t="s">
        <v>867</v>
      </c>
    </row>
    <row r="2017">
      <c r="A2017" s="250">
        <v>45385.74851666667</v>
      </c>
      <c r="B2017" s="251" t="s">
        <v>1698</v>
      </c>
      <c r="C2017" s="178" t="s">
        <v>3539</v>
      </c>
      <c r="D2017" s="36" t="s">
        <v>1683</v>
      </c>
      <c r="E2017" s="36">
        <v>92000.0</v>
      </c>
      <c r="F2017" s="178" t="s">
        <v>867</v>
      </c>
    </row>
    <row r="2018">
      <c r="A2018" s="250">
        <v>45387.57977666667</v>
      </c>
      <c r="B2018" s="251" t="s">
        <v>3543</v>
      </c>
      <c r="C2018" s="178" t="s">
        <v>3567</v>
      </c>
      <c r="D2018" s="36">
        <v>88587.0</v>
      </c>
      <c r="E2018" s="36" t="s">
        <v>1683</v>
      </c>
      <c r="F2018" s="178" t="s">
        <v>868</v>
      </c>
    </row>
    <row r="2019">
      <c r="A2019" s="250">
        <v>45387.57977666667</v>
      </c>
      <c r="B2019" s="251" t="s">
        <v>1698</v>
      </c>
      <c r="C2019" s="178" t="s">
        <v>3537</v>
      </c>
      <c r="D2019" s="36" t="s">
        <v>1683</v>
      </c>
      <c r="E2019" s="36">
        <v>88587.0</v>
      </c>
      <c r="F2019" s="178" t="s">
        <v>868</v>
      </c>
    </row>
    <row r="2020">
      <c r="A2020" s="250">
        <v>45389.212705555554</v>
      </c>
      <c r="B2020" s="251" t="s">
        <v>1693</v>
      </c>
      <c r="C2020" s="178" t="s">
        <v>3568</v>
      </c>
      <c r="D2020" s="36">
        <v>500200.0</v>
      </c>
      <c r="E2020" s="36" t="s">
        <v>1683</v>
      </c>
      <c r="F2020" s="178" t="s">
        <v>613</v>
      </c>
    </row>
    <row r="2021">
      <c r="A2021" s="250">
        <v>45389.212705555554</v>
      </c>
      <c r="B2021" s="251" t="s">
        <v>1684</v>
      </c>
      <c r="C2021" s="178" t="s">
        <v>3569</v>
      </c>
      <c r="D2021" s="36" t="s">
        <v>1683</v>
      </c>
      <c r="E2021" s="36">
        <v>500200.0</v>
      </c>
      <c r="F2021" s="178" t="s">
        <v>613</v>
      </c>
    </row>
    <row r="2022">
      <c r="A2022" s="250">
        <v>45389.22589</v>
      </c>
      <c r="B2022" s="251" t="s">
        <v>1693</v>
      </c>
      <c r="C2022" s="178" t="s">
        <v>3570</v>
      </c>
      <c r="D2022" s="36">
        <v>71000.0</v>
      </c>
      <c r="E2022" s="36" t="s">
        <v>1683</v>
      </c>
      <c r="F2022" s="178" t="s">
        <v>612</v>
      </c>
    </row>
    <row r="2023">
      <c r="A2023" s="250">
        <v>45389.22589</v>
      </c>
      <c r="B2023" s="251" t="s">
        <v>1684</v>
      </c>
      <c r="C2023" s="178" t="s">
        <v>3571</v>
      </c>
      <c r="D2023" s="36" t="s">
        <v>1683</v>
      </c>
      <c r="E2023" s="36">
        <v>71000.0</v>
      </c>
      <c r="F2023" s="178" t="s">
        <v>612</v>
      </c>
    </row>
    <row r="2024">
      <c r="A2024" s="250">
        <v>45390.48670111111</v>
      </c>
      <c r="B2024" s="251" t="s">
        <v>3366</v>
      </c>
      <c r="C2024" s="178" t="s">
        <v>3572</v>
      </c>
      <c r="D2024" s="36">
        <v>375000.0</v>
      </c>
      <c r="E2024" s="36" t="s">
        <v>1683</v>
      </c>
      <c r="F2024" s="178" t="s">
        <v>200</v>
      </c>
    </row>
    <row r="2025">
      <c r="A2025" s="250">
        <v>45390.48670111111</v>
      </c>
      <c r="B2025" s="251" t="s">
        <v>1684</v>
      </c>
      <c r="C2025" s="178" t="s">
        <v>3573</v>
      </c>
      <c r="D2025" s="36" t="s">
        <v>1683</v>
      </c>
      <c r="E2025" s="36">
        <v>375000.0</v>
      </c>
      <c r="F2025" s="178" t="s">
        <v>200</v>
      </c>
    </row>
    <row r="2026">
      <c r="A2026" s="250">
        <v>45390.486961111106</v>
      </c>
      <c r="B2026" s="251" t="s">
        <v>3366</v>
      </c>
      <c r="C2026" s="178" t="s">
        <v>3574</v>
      </c>
      <c r="D2026" s="36">
        <v>3150000.0000000005</v>
      </c>
      <c r="E2026" s="36" t="s">
        <v>1683</v>
      </c>
      <c r="F2026" s="178" t="s">
        <v>200</v>
      </c>
    </row>
    <row r="2027">
      <c r="A2027" s="250">
        <v>45390.486961111106</v>
      </c>
      <c r="B2027" s="251" t="s">
        <v>1684</v>
      </c>
      <c r="C2027" s="178" t="s">
        <v>3575</v>
      </c>
      <c r="D2027" s="36" t="s">
        <v>1683</v>
      </c>
      <c r="E2027" s="36">
        <v>3150000.0000000005</v>
      </c>
      <c r="F2027" s="178" t="s">
        <v>200</v>
      </c>
    </row>
    <row r="2028">
      <c r="A2028" s="250">
        <v>45390.56199111111</v>
      </c>
      <c r="B2028" s="251" t="s">
        <v>1693</v>
      </c>
      <c r="C2028" s="178" t="s">
        <v>3576</v>
      </c>
      <c r="D2028" s="36">
        <v>31000.0</v>
      </c>
      <c r="E2028" s="36" t="s">
        <v>1683</v>
      </c>
      <c r="F2028" s="178" t="s">
        <v>611</v>
      </c>
    </row>
    <row r="2029">
      <c r="A2029" s="250">
        <v>45390.56199111111</v>
      </c>
      <c r="B2029" s="251" t="s">
        <v>1684</v>
      </c>
      <c r="C2029" s="178" t="s">
        <v>3577</v>
      </c>
      <c r="D2029" s="36" t="s">
        <v>1683</v>
      </c>
      <c r="E2029" s="36">
        <v>31000.0</v>
      </c>
      <c r="F2029" s="178" t="s">
        <v>611</v>
      </c>
    </row>
    <row r="2030">
      <c r="A2030" s="250">
        <v>45391.20033</v>
      </c>
      <c r="B2030" s="251" t="s">
        <v>3058</v>
      </c>
      <c r="C2030" s="178" t="s">
        <v>3578</v>
      </c>
      <c r="D2030" s="36">
        <v>34000.0</v>
      </c>
      <c r="E2030" s="36" t="s">
        <v>1683</v>
      </c>
      <c r="F2030" s="178" t="s">
        <v>1683</v>
      </c>
    </row>
    <row r="2031">
      <c r="A2031" s="250">
        <v>45391.20033</v>
      </c>
      <c r="B2031" s="251" t="s">
        <v>3060</v>
      </c>
      <c r="C2031" s="178" t="s">
        <v>3579</v>
      </c>
      <c r="D2031" s="36" t="s">
        <v>1683</v>
      </c>
      <c r="E2031" s="36">
        <v>34000.0</v>
      </c>
      <c r="F2031" s="178" t="s">
        <v>1683</v>
      </c>
    </row>
    <row r="2032">
      <c r="A2032" s="250">
        <v>45392.68589092593</v>
      </c>
      <c r="B2032" s="251" t="s">
        <v>3398</v>
      </c>
      <c r="C2032" s="178" t="s">
        <v>3580</v>
      </c>
      <c r="D2032" s="36">
        <v>375000.0</v>
      </c>
      <c r="E2032" s="36" t="s">
        <v>1683</v>
      </c>
      <c r="F2032" s="178" t="s">
        <v>200</v>
      </c>
    </row>
    <row r="2033">
      <c r="A2033" s="250">
        <v>45392.68589092593</v>
      </c>
      <c r="B2033" s="251" t="s">
        <v>3391</v>
      </c>
      <c r="C2033" s="178" t="s">
        <v>3572</v>
      </c>
      <c r="D2033" s="36" t="s">
        <v>1683</v>
      </c>
      <c r="E2033" s="36">
        <v>375000.0</v>
      </c>
      <c r="F2033" s="178" t="s">
        <v>200</v>
      </c>
    </row>
    <row r="2034">
      <c r="A2034" s="250">
        <v>45392.686150925925</v>
      </c>
      <c r="B2034" s="251" t="s">
        <v>3264</v>
      </c>
      <c r="C2034" s="178" t="s">
        <v>3581</v>
      </c>
      <c r="D2034" s="36">
        <v>3150000.0000000005</v>
      </c>
      <c r="E2034" s="36" t="s">
        <v>1683</v>
      </c>
      <c r="F2034" s="178" t="s">
        <v>200</v>
      </c>
    </row>
    <row r="2035">
      <c r="A2035" s="250">
        <v>45392.686150925925</v>
      </c>
      <c r="B2035" s="251" t="s">
        <v>3391</v>
      </c>
      <c r="C2035" s="178" t="s">
        <v>3574</v>
      </c>
      <c r="D2035" s="36" t="s">
        <v>1683</v>
      </c>
      <c r="E2035" s="36">
        <v>3150000.0000000005</v>
      </c>
      <c r="F2035" s="178" t="s">
        <v>200</v>
      </c>
    </row>
    <row r="2036">
      <c r="A2036" s="250">
        <v>45393.510602222224</v>
      </c>
      <c r="B2036" s="251" t="s">
        <v>3387</v>
      </c>
      <c r="C2036" s="178" t="s">
        <v>3582</v>
      </c>
      <c r="D2036" s="36">
        <v>31000.0</v>
      </c>
      <c r="E2036" s="36" t="s">
        <v>1683</v>
      </c>
      <c r="F2036" s="178" t="s">
        <v>611</v>
      </c>
    </row>
    <row r="2037">
      <c r="A2037" s="250">
        <v>45393.510602222224</v>
      </c>
      <c r="B2037" s="251" t="s">
        <v>1698</v>
      </c>
      <c r="C2037" s="178" t="s">
        <v>3576</v>
      </c>
      <c r="D2037" s="36" t="s">
        <v>1683</v>
      </c>
      <c r="E2037" s="36">
        <v>31000.0</v>
      </c>
      <c r="F2037" s="178" t="s">
        <v>611</v>
      </c>
    </row>
    <row r="2038">
      <c r="A2038" s="250">
        <v>45393.510622222224</v>
      </c>
      <c r="B2038" s="251" t="s">
        <v>3387</v>
      </c>
      <c r="C2038" s="178" t="s">
        <v>3583</v>
      </c>
      <c r="D2038" s="36">
        <v>500200.0</v>
      </c>
      <c r="E2038" s="36" t="s">
        <v>1683</v>
      </c>
      <c r="F2038" s="178" t="s">
        <v>613</v>
      </c>
    </row>
    <row r="2039">
      <c r="A2039" s="250">
        <v>45393.510622222224</v>
      </c>
      <c r="B2039" s="251" t="s">
        <v>1698</v>
      </c>
      <c r="C2039" s="178" t="s">
        <v>3568</v>
      </c>
      <c r="D2039" s="36" t="s">
        <v>1683</v>
      </c>
      <c r="E2039" s="36">
        <v>500200.0</v>
      </c>
      <c r="F2039" s="178" t="s">
        <v>613</v>
      </c>
    </row>
    <row r="2040">
      <c r="A2040" s="250">
        <v>45397.98837000001</v>
      </c>
      <c r="B2040" s="251" t="s">
        <v>1693</v>
      </c>
      <c r="C2040" s="178" t="s">
        <v>3584</v>
      </c>
      <c r="D2040" s="36">
        <v>741999.9999999999</v>
      </c>
      <c r="E2040" s="36" t="s">
        <v>1683</v>
      </c>
      <c r="F2040" s="178" t="s">
        <v>892</v>
      </c>
    </row>
    <row r="2041">
      <c r="A2041" s="250">
        <v>45397.98837000001</v>
      </c>
      <c r="B2041" s="251" t="s">
        <v>1684</v>
      </c>
      <c r="C2041" s="178" t="s">
        <v>3585</v>
      </c>
      <c r="D2041" s="36" t="s">
        <v>1683</v>
      </c>
      <c r="E2041" s="36">
        <v>741999.9999999999</v>
      </c>
      <c r="F2041" s="178" t="s">
        <v>892</v>
      </c>
    </row>
    <row r="2042">
      <c r="A2042" s="250">
        <v>45399.582814444446</v>
      </c>
      <c r="B2042" s="251" t="s">
        <v>1693</v>
      </c>
      <c r="C2042" s="178" t="s">
        <v>3586</v>
      </c>
      <c r="D2042" s="36">
        <v>31000.0</v>
      </c>
      <c r="E2042" s="36" t="s">
        <v>1683</v>
      </c>
      <c r="F2042" s="178" t="s">
        <v>610</v>
      </c>
    </row>
    <row r="2043">
      <c r="A2043" s="250">
        <v>45399.582814444446</v>
      </c>
      <c r="B2043" s="251" t="s">
        <v>1684</v>
      </c>
      <c r="C2043" s="178" t="s">
        <v>3587</v>
      </c>
      <c r="D2043" s="36" t="s">
        <v>1683</v>
      </c>
      <c r="E2043" s="36">
        <v>31000.0</v>
      </c>
      <c r="F2043" s="178" t="s">
        <v>610</v>
      </c>
    </row>
    <row r="2044">
      <c r="A2044" s="250">
        <v>45399.714583333334</v>
      </c>
      <c r="B2044" s="251" t="s">
        <v>1693</v>
      </c>
      <c r="C2044" s="178" t="s">
        <v>3588</v>
      </c>
      <c r="D2044" s="36">
        <v>19720.000000000004</v>
      </c>
      <c r="E2044" s="36" t="s">
        <v>1683</v>
      </c>
      <c r="F2044" s="178" t="s">
        <v>759</v>
      </c>
    </row>
    <row r="2045">
      <c r="A2045" s="250">
        <v>45399.714583333334</v>
      </c>
      <c r="B2045" s="251" t="s">
        <v>1684</v>
      </c>
      <c r="C2045" s="178" t="s">
        <v>3589</v>
      </c>
      <c r="D2045" s="36" t="s">
        <v>1683</v>
      </c>
      <c r="E2045" s="36">
        <v>19720.000000000004</v>
      </c>
      <c r="F2045" s="178" t="s">
        <v>759</v>
      </c>
    </row>
    <row r="2046">
      <c r="A2046" s="250">
        <v>45399.71462333333</v>
      </c>
      <c r="B2046" s="251" t="s">
        <v>1693</v>
      </c>
      <c r="C2046" s="178" t="s">
        <v>3590</v>
      </c>
      <c r="D2046" s="36">
        <v>19720.000000000004</v>
      </c>
      <c r="E2046" s="36" t="s">
        <v>1683</v>
      </c>
      <c r="F2046" s="178" t="s">
        <v>759</v>
      </c>
    </row>
    <row r="2047">
      <c r="A2047" s="250">
        <v>45399.71462333333</v>
      </c>
      <c r="B2047" s="251" t="s">
        <v>1684</v>
      </c>
      <c r="C2047" s="178" t="s">
        <v>3591</v>
      </c>
      <c r="D2047" s="36" t="s">
        <v>1683</v>
      </c>
      <c r="E2047" s="36">
        <v>19720.000000000004</v>
      </c>
      <c r="F2047" s="178" t="s">
        <v>759</v>
      </c>
    </row>
    <row r="2048">
      <c r="A2048" s="250">
        <v>45399.715033333334</v>
      </c>
      <c r="B2048" s="251" t="s">
        <v>1693</v>
      </c>
      <c r="C2048" s="178" t="s">
        <v>3592</v>
      </c>
      <c r="D2048" s="36">
        <v>19720.000000000004</v>
      </c>
      <c r="E2048" s="36" t="s">
        <v>1683</v>
      </c>
      <c r="F2048" s="178" t="s">
        <v>759</v>
      </c>
    </row>
    <row r="2049">
      <c r="A2049" s="250">
        <v>45399.715033333334</v>
      </c>
      <c r="B2049" s="251" t="s">
        <v>1684</v>
      </c>
      <c r="C2049" s="178" t="s">
        <v>3593</v>
      </c>
      <c r="D2049" s="36" t="s">
        <v>1683</v>
      </c>
      <c r="E2049" s="36">
        <v>19720.000000000004</v>
      </c>
      <c r="F2049" s="178" t="s">
        <v>759</v>
      </c>
    </row>
    <row r="2050">
      <c r="A2050" s="250">
        <v>45399.715143333335</v>
      </c>
      <c r="B2050" s="251" t="s">
        <v>1693</v>
      </c>
      <c r="C2050" s="178" t="s">
        <v>3594</v>
      </c>
      <c r="D2050" s="36">
        <v>19720.000000000004</v>
      </c>
      <c r="E2050" s="36" t="s">
        <v>1683</v>
      </c>
      <c r="F2050" s="178" t="s">
        <v>759</v>
      </c>
    </row>
    <row r="2051">
      <c r="A2051" s="250">
        <v>45399.715143333335</v>
      </c>
      <c r="B2051" s="251" t="s">
        <v>1684</v>
      </c>
      <c r="C2051" s="178" t="s">
        <v>3595</v>
      </c>
      <c r="D2051" s="36" t="s">
        <v>1683</v>
      </c>
      <c r="E2051" s="36">
        <v>19720.000000000004</v>
      </c>
      <c r="F2051" s="178" t="s">
        <v>759</v>
      </c>
    </row>
    <row r="2052">
      <c r="A2052" s="250">
        <v>45399.71517333334</v>
      </c>
      <c r="B2052" s="251" t="s">
        <v>1693</v>
      </c>
      <c r="C2052" s="178" t="s">
        <v>3596</v>
      </c>
      <c r="D2052" s="36">
        <v>19720.000000000004</v>
      </c>
      <c r="E2052" s="36" t="s">
        <v>1683</v>
      </c>
      <c r="F2052" s="178" t="s">
        <v>759</v>
      </c>
    </row>
    <row r="2053">
      <c r="A2053" s="250">
        <v>45399.71517333334</v>
      </c>
      <c r="B2053" s="251" t="s">
        <v>1684</v>
      </c>
      <c r="C2053" s="178" t="s">
        <v>3597</v>
      </c>
      <c r="D2053" s="36" t="s">
        <v>1683</v>
      </c>
      <c r="E2053" s="36">
        <v>19720.000000000004</v>
      </c>
      <c r="F2053" s="178" t="s">
        <v>759</v>
      </c>
    </row>
    <row r="2054">
      <c r="A2054" s="250">
        <v>45399.71526333333</v>
      </c>
      <c r="B2054" s="251" t="s">
        <v>1693</v>
      </c>
      <c r="C2054" s="178" t="s">
        <v>3598</v>
      </c>
      <c r="D2054" s="36">
        <v>19720.000000000004</v>
      </c>
      <c r="E2054" s="36" t="s">
        <v>1683</v>
      </c>
      <c r="F2054" s="178" t="s">
        <v>759</v>
      </c>
    </row>
    <row r="2055">
      <c r="A2055" s="250">
        <v>45399.71526333333</v>
      </c>
      <c r="B2055" s="251" t="s">
        <v>1684</v>
      </c>
      <c r="C2055" s="178" t="s">
        <v>3599</v>
      </c>
      <c r="D2055" s="36" t="s">
        <v>1683</v>
      </c>
      <c r="E2055" s="36">
        <v>19720.000000000004</v>
      </c>
      <c r="F2055" s="178" t="s">
        <v>759</v>
      </c>
    </row>
    <row r="2056">
      <c r="A2056" s="250">
        <v>45401.625327789356</v>
      </c>
      <c r="B2056" s="251" t="s">
        <v>3240</v>
      </c>
      <c r="C2056" s="178" t="s">
        <v>3600</v>
      </c>
      <c r="D2056" s="36">
        <v>741999.9999999999</v>
      </c>
      <c r="E2056" s="36" t="s">
        <v>1683</v>
      </c>
      <c r="F2056" s="178" t="s">
        <v>892</v>
      </c>
    </row>
    <row r="2057">
      <c r="A2057" s="250">
        <v>45401.625327789356</v>
      </c>
      <c r="B2057" s="251" t="s">
        <v>1698</v>
      </c>
      <c r="C2057" s="178" t="s">
        <v>3584</v>
      </c>
      <c r="D2057" s="36" t="s">
        <v>1683</v>
      </c>
      <c r="E2057" s="36">
        <v>741999.9999999999</v>
      </c>
      <c r="F2057" s="178" t="s">
        <v>892</v>
      </c>
    </row>
    <row r="2058">
      <c r="A2058" s="250">
        <v>45401.62538043982</v>
      </c>
      <c r="B2058" s="251" t="s">
        <v>3387</v>
      </c>
      <c r="C2058" s="178" t="s">
        <v>3601</v>
      </c>
      <c r="D2058" s="36">
        <v>71000.0</v>
      </c>
      <c r="E2058" s="36" t="s">
        <v>1683</v>
      </c>
      <c r="F2058" s="178" t="s">
        <v>612</v>
      </c>
    </row>
    <row r="2059">
      <c r="A2059" s="250">
        <v>45401.62538043982</v>
      </c>
      <c r="B2059" s="251" t="s">
        <v>1698</v>
      </c>
      <c r="C2059" s="178" t="s">
        <v>3570</v>
      </c>
      <c r="D2059" s="36" t="s">
        <v>1683</v>
      </c>
      <c r="E2059" s="36">
        <v>71000.0</v>
      </c>
      <c r="F2059" s="178" t="s">
        <v>612</v>
      </c>
    </row>
    <row r="2060">
      <c r="A2060" s="250">
        <v>45401.66753666667</v>
      </c>
      <c r="B2060" s="251" t="s">
        <v>3387</v>
      </c>
      <c r="C2060" s="178" t="s">
        <v>3602</v>
      </c>
      <c r="D2060" s="36">
        <v>31000.0</v>
      </c>
      <c r="E2060" s="36" t="s">
        <v>1683</v>
      </c>
      <c r="F2060" s="178" t="s">
        <v>610</v>
      </c>
    </row>
    <row r="2061">
      <c r="A2061" s="250">
        <v>45401.66753666667</v>
      </c>
      <c r="B2061" s="251" t="s">
        <v>1698</v>
      </c>
      <c r="C2061" s="178" t="s">
        <v>3586</v>
      </c>
      <c r="D2061" s="36" t="s">
        <v>1683</v>
      </c>
      <c r="E2061" s="36">
        <v>31000.0</v>
      </c>
      <c r="F2061" s="178" t="s">
        <v>610</v>
      </c>
    </row>
    <row r="2062">
      <c r="A2062" s="250">
        <v>45402.53333333333</v>
      </c>
      <c r="B2062" s="251" t="s">
        <v>2312</v>
      </c>
      <c r="C2062" s="178" t="s">
        <v>3603</v>
      </c>
      <c r="D2062" s="36">
        <v>19720.000000000004</v>
      </c>
      <c r="E2062" s="36" t="s">
        <v>1683</v>
      </c>
      <c r="F2062" s="178" t="s">
        <v>759</v>
      </c>
    </row>
    <row r="2063">
      <c r="A2063" s="250">
        <v>45402.53333333333</v>
      </c>
      <c r="B2063" s="251" t="s">
        <v>1698</v>
      </c>
      <c r="C2063" s="178" t="s">
        <v>3588</v>
      </c>
      <c r="D2063" s="36" t="s">
        <v>1683</v>
      </c>
      <c r="E2063" s="36">
        <v>19720.000000000004</v>
      </c>
      <c r="F2063" s="178" t="s">
        <v>759</v>
      </c>
    </row>
    <row r="2064">
      <c r="A2064" s="250">
        <v>45402.53337333333</v>
      </c>
      <c r="B2064" s="251" t="s">
        <v>2622</v>
      </c>
      <c r="C2064" s="178" t="s">
        <v>3604</v>
      </c>
      <c r="D2064" s="36">
        <v>19720.000000000004</v>
      </c>
      <c r="E2064" s="36" t="s">
        <v>1683</v>
      </c>
      <c r="F2064" s="178" t="s">
        <v>759</v>
      </c>
    </row>
    <row r="2065">
      <c r="A2065" s="250">
        <v>45402.53337333333</v>
      </c>
      <c r="B2065" s="251" t="s">
        <v>1698</v>
      </c>
      <c r="C2065" s="178" t="s">
        <v>3590</v>
      </c>
      <c r="D2065" s="36" t="s">
        <v>1683</v>
      </c>
      <c r="E2065" s="36">
        <v>19720.000000000004</v>
      </c>
      <c r="F2065" s="178" t="s">
        <v>759</v>
      </c>
    </row>
    <row r="2066">
      <c r="A2066" s="250">
        <v>45402.53378333333</v>
      </c>
      <c r="B2066" s="251" t="s">
        <v>2314</v>
      </c>
      <c r="C2066" s="178" t="s">
        <v>3605</v>
      </c>
      <c r="D2066" s="36">
        <v>19720.000000000004</v>
      </c>
      <c r="E2066" s="36" t="s">
        <v>1683</v>
      </c>
      <c r="F2066" s="178" t="s">
        <v>759</v>
      </c>
    </row>
    <row r="2067">
      <c r="A2067" s="250">
        <v>45402.53378333333</v>
      </c>
      <c r="B2067" s="251" t="s">
        <v>1698</v>
      </c>
      <c r="C2067" s="178" t="s">
        <v>3592</v>
      </c>
      <c r="D2067" s="36" t="s">
        <v>1683</v>
      </c>
      <c r="E2067" s="36">
        <v>19720.000000000004</v>
      </c>
      <c r="F2067" s="178" t="s">
        <v>759</v>
      </c>
    </row>
    <row r="2068">
      <c r="A2068" s="250">
        <v>45402.53389333333</v>
      </c>
      <c r="B2068" s="251" t="s">
        <v>2626</v>
      </c>
      <c r="C2068" s="178" t="s">
        <v>3606</v>
      </c>
      <c r="D2068" s="36">
        <v>19720.000000000004</v>
      </c>
      <c r="E2068" s="36" t="s">
        <v>1683</v>
      </c>
      <c r="F2068" s="178" t="s">
        <v>759</v>
      </c>
    </row>
    <row r="2069">
      <c r="A2069" s="250">
        <v>45402.53389333333</v>
      </c>
      <c r="B2069" s="251" t="s">
        <v>1698</v>
      </c>
      <c r="C2069" s="178" t="s">
        <v>3594</v>
      </c>
      <c r="D2069" s="36" t="s">
        <v>1683</v>
      </c>
      <c r="E2069" s="36">
        <v>19720.000000000004</v>
      </c>
      <c r="F2069" s="178" t="s">
        <v>759</v>
      </c>
    </row>
    <row r="2070">
      <c r="A2070" s="250">
        <v>45402.533923333336</v>
      </c>
      <c r="B2070" s="251" t="s">
        <v>3607</v>
      </c>
      <c r="C2070" s="178" t="s">
        <v>3608</v>
      </c>
      <c r="D2070" s="36">
        <v>19720.000000000004</v>
      </c>
      <c r="E2070" s="36" t="s">
        <v>1683</v>
      </c>
      <c r="F2070" s="178" t="s">
        <v>759</v>
      </c>
    </row>
    <row r="2071">
      <c r="A2071" s="250">
        <v>45402.533923333336</v>
      </c>
      <c r="B2071" s="251" t="s">
        <v>1698</v>
      </c>
      <c r="C2071" s="178" t="s">
        <v>3596</v>
      </c>
      <c r="D2071" s="36" t="s">
        <v>1683</v>
      </c>
      <c r="E2071" s="36">
        <v>19720.000000000004</v>
      </c>
      <c r="F2071" s="178" t="s">
        <v>759</v>
      </c>
    </row>
    <row r="2072">
      <c r="A2072" s="250">
        <v>45402.53401333333</v>
      </c>
      <c r="B2072" s="251" t="s">
        <v>2318</v>
      </c>
      <c r="C2072" s="178" t="s">
        <v>3609</v>
      </c>
      <c r="D2072" s="36">
        <v>19720.000000000004</v>
      </c>
      <c r="E2072" s="36" t="s">
        <v>1683</v>
      </c>
      <c r="F2072" s="178" t="s">
        <v>759</v>
      </c>
    </row>
    <row r="2073">
      <c r="A2073" s="250">
        <v>45402.53401333333</v>
      </c>
      <c r="B2073" s="251" t="s">
        <v>1698</v>
      </c>
      <c r="C2073" s="178" t="s">
        <v>3598</v>
      </c>
      <c r="D2073" s="36" t="s">
        <v>1683</v>
      </c>
      <c r="E2073" s="36">
        <v>19720.000000000004</v>
      </c>
      <c r="F2073" s="178" t="s">
        <v>759</v>
      </c>
    </row>
    <row r="2074">
      <c r="A2074" s="250">
        <v>45402.67041888889</v>
      </c>
      <c r="B2074" s="251" t="s">
        <v>1693</v>
      </c>
      <c r="C2074" s="178" t="s">
        <v>3610</v>
      </c>
      <c r="D2074" s="36">
        <v>292200.0</v>
      </c>
      <c r="E2074" s="36" t="s">
        <v>1683</v>
      </c>
      <c r="F2074" s="178" t="s">
        <v>539</v>
      </c>
    </row>
    <row r="2075">
      <c r="A2075" s="250">
        <v>45402.67041888889</v>
      </c>
      <c r="B2075" s="251" t="s">
        <v>1684</v>
      </c>
      <c r="C2075" s="178" t="s">
        <v>3611</v>
      </c>
      <c r="D2075" s="36" t="s">
        <v>1683</v>
      </c>
      <c r="E2075" s="36">
        <v>292200.0</v>
      </c>
      <c r="F2075" s="178" t="s">
        <v>539</v>
      </c>
    </row>
    <row r="2076">
      <c r="A2076" s="250">
        <v>45402.67054888889</v>
      </c>
      <c r="B2076" s="251" t="s">
        <v>1693</v>
      </c>
      <c r="C2076" s="178" t="s">
        <v>3612</v>
      </c>
      <c r="D2076" s="36">
        <v>296200.0</v>
      </c>
      <c r="E2076" s="36" t="s">
        <v>1683</v>
      </c>
      <c r="F2076" s="178" t="s">
        <v>539</v>
      </c>
    </row>
    <row r="2077">
      <c r="A2077" s="250">
        <v>45402.67054888889</v>
      </c>
      <c r="B2077" s="251" t="s">
        <v>1684</v>
      </c>
      <c r="C2077" s="178" t="s">
        <v>3613</v>
      </c>
      <c r="D2077" s="36" t="s">
        <v>1683</v>
      </c>
      <c r="E2077" s="36">
        <v>296200.0</v>
      </c>
      <c r="F2077" s="178" t="s">
        <v>539</v>
      </c>
    </row>
    <row r="2078">
      <c r="A2078" s="250">
        <v>45402.67071888889</v>
      </c>
      <c r="B2078" s="251" t="s">
        <v>1693</v>
      </c>
      <c r="C2078" s="178" t="s">
        <v>3614</v>
      </c>
      <c r="D2078" s="36">
        <v>296200.0</v>
      </c>
      <c r="E2078" s="36" t="s">
        <v>1683</v>
      </c>
      <c r="F2078" s="178" t="s">
        <v>539</v>
      </c>
    </row>
    <row r="2079">
      <c r="A2079" s="250">
        <v>45402.67071888889</v>
      </c>
      <c r="B2079" s="251" t="s">
        <v>1684</v>
      </c>
      <c r="C2079" s="178" t="s">
        <v>3615</v>
      </c>
      <c r="D2079" s="36" t="s">
        <v>1683</v>
      </c>
      <c r="E2079" s="36">
        <v>296200.0</v>
      </c>
      <c r="F2079" s="178" t="s">
        <v>539</v>
      </c>
    </row>
    <row r="2080">
      <c r="A2080" s="250">
        <v>45402.67099888889</v>
      </c>
      <c r="B2080" s="251" t="s">
        <v>1693</v>
      </c>
      <c r="C2080" s="178" t="s">
        <v>3616</v>
      </c>
      <c r="D2080" s="36">
        <v>1245200.0</v>
      </c>
      <c r="E2080" s="36" t="s">
        <v>1683</v>
      </c>
      <c r="F2080" s="178" t="s">
        <v>539</v>
      </c>
    </row>
    <row r="2081">
      <c r="A2081" s="250">
        <v>45402.67099888889</v>
      </c>
      <c r="B2081" s="251" t="s">
        <v>1684</v>
      </c>
      <c r="C2081" s="178" t="s">
        <v>3617</v>
      </c>
      <c r="D2081" s="36" t="s">
        <v>1683</v>
      </c>
      <c r="E2081" s="36">
        <v>1245200.0</v>
      </c>
      <c r="F2081" s="178" t="s">
        <v>539</v>
      </c>
    </row>
    <row r="2082">
      <c r="A2082" s="250">
        <v>45402.67107888889</v>
      </c>
      <c r="B2082" s="251" t="s">
        <v>1693</v>
      </c>
      <c r="C2082" s="178" t="s">
        <v>3618</v>
      </c>
      <c r="D2082" s="36">
        <v>276199.99999999994</v>
      </c>
      <c r="E2082" s="36" t="s">
        <v>1683</v>
      </c>
      <c r="F2082" s="178" t="s">
        <v>539</v>
      </c>
    </row>
    <row r="2083">
      <c r="A2083" s="250">
        <v>45402.67107888889</v>
      </c>
      <c r="B2083" s="251" t="s">
        <v>1684</v>
      </c>
      <c r="C2083" s="178" t="s">
        <v>3619</v>
      </c>
      <c r="D2083" s="36" t="s">
        <v>1683</v>
      </c>
      <c r="E2083" s="36">
        <v>276199.99999999994</v>
      </c>
      <c r="F2083" s="178" t="s">
        <v>539</v>
      </c>
    </row>
    <row r="2084">
      <c r="A2084" s="250">
        <v>45403.76944822917</v>
      </c>
      <c r="B2084" s="251" t="s">
        <v>3156</v>
      </c>
      <c r="C2084" s="178" t="s">
        <v>3620</v>
      </c>
      <c r="D2084" s="36">
        <v>7294.8275862069</v>
      </c>
      <c r="E2084" s="36" t="s">
        <v>1683</v>
      </c>
      <c r="F2084" s="178" t="s">
        <v>1683</v>
      </c>
    </row>
    <row r="2085">
      <c r="A2085" s="250">
        <v>45403.76944822917</v>
      </c>
      <c r="B2085" s="251" t="s">
        <v>3158</v>
      </c>
      <c r="C2085" s="178" t="s">
        <v>3621</v>
      </c>
      <c r="D2085" s="36" t="s">
        <v>1683</v>
      </c>
      <c r="E2085" s="36">
        <v>7294.8275862069</v>
      </c>
      <c r="F2085" s="178" t="s">
        <v>1683</v>
      </c>
    </row>
    <row r="2086">
      <c r="A2086" s="250">
        <v>45403.76945822917</v>
      </c>
      <c r="B2086" s="251" t="s">
        <v>2728</v>
      </c>
      <c r="C2086" s="178" t="s">
        <v>3622</v>
      </c>
      <c r="D2086" s="36">
        <v>27738.09523809525</v>
      </c>
      <c r="E2086" s="36" t="s">
        <v>1683</v>
      </c>
      <c r="F2086" s="178" t="s">
        <v>1683</v>
      </c>
    </row>
    <row r="2087">
      <c r="A2087" s="250">
        <v>45403.76945822917</v>
      </c>
      <c r="B2087" s="251" t="s">
        <v>2730</v>
      </c>
      <c r="C2087" s="178" t="s">
        <v>3623</v>
      </c>
      <c r="D2087" s="36" t="s">
        <v>1683</v>
      </c>
      <c r="E2087" s="36">
        <v>27738.09523809525</v>
      </c>
      <c r="F2087" s="178" t="s">
        <v>1683</v>
      </c>
    </row>
    <row r="2088">
      <c r="A2088" s="250">
        <v>45403.76946822917</v>
      </c>
      <c r="B2088" s="251" t="s">
        <v>1839</v>
      </c>
      <c r="C2088" s="178" t="s">
        <v>3624</v>
      </c>
      <c r="D2088" s="36">
        <v>5547.61904761905</v>
      </c>
      <c r="E2088" s="36" t="s">
        <v>1683</v>
      </c>
      <c r="F2088" s="178" t="s">
        <v>1683</v>
      </c>
    </row>
    <row r="2089">
      <c r="A2089" s="250">
        <v>45403.76946822917</v>
      </c>
      <c r="B2089" s="251" t="s">
        <v>2221</v>
      </c>
      <c r="C2089" s="178" t="s">
        <v>3625</v>
      </c>
      <c r="D2089" s="36" t="s">
        <v>1683</v>
      </c>
      <c r="E2089" s="36">
        <v>5547.61904761905</v>
      </c>
      <c r="F2089" s="178" t="s">
        <v>1683</v>
      </c>
    </row>
    <row r="2090">
      <c r="A2090" s="250">
        <v>45404.856125555554</v>
      </c>
      <c r="B2090" s="251" t="s">
        <v>1693</v>
      </c>
      <c r="C2090" s="178" t="s">
        <v>3626</v>
      </c>
      <c r="D2090" s="36">
        <v>81000.0</v>
      </c>
      <c r="E2090" s="36" t="s">
        <v>1683</v>
      </c>
      <c r="F2090" s="178" t="s">
        <v>580</v>
      </c>
    </row>
    <row r="2091">
      <c r="A2091" s="250">
        <v>45404.856125555554</v>
      </c>
      <c r="B2091" s="251" t="s">
        <v>1684</v>
      </c>
      <c r="C2091" s="178" t="s">
        <v>3627</v>
      </c>
      <c r="D2091" s="36" t="s">
        <v>1683</v>
      </c>
      <c r="E2091" s="36">
        <v>81000.0</v>
      </c>
      <c r="F2091" s="178" t="s">
        <v>580</v>
      </c>
    </row>
    <row r="2092">
      <c r="A2092" s="250">
        <v>45405.68070111111</v>
      </c>
      <c r="B2092" s="251" t="s">
        <v>1693</v>
      </c>
      <c r="C2092" s="178" t="s">
        <v>3628</v>
      </c>
      <c r="D2092" s="36">
        <v>942125.0000000001</v>
      </c>
      <c r="E2092" s="36" t="s">
        <v>1683</v>
      </c>
      <c r="F2092" s="178" t="s">
        <v>206</v>
      </c>
    </row>
    <row r="2093">
      <c r="A2093" s="250">
        <v>45405.68070111111</v>
      </c>
      <c r="B2093" s="251" t="s">
        <v>1684</v>
      </c>
      <c r="C2093" s="178" t="s">
        <v>3629</v>
      </c>
      <c r="D2093" s="36" t="s">
        <v>1683</v>
      </c>
      <c r="E2093" s="36">
        <v>942125.0000000001</v>
      </c>
      <c r="F2093" s="178" t="s">
        <v>206</v>
      </c>
    </row>
    <row r="2094">
      <c r="A2094" s="250">
        <v>45405.680821111106</v>
      </c>
      <c r="B2094" s="251" t="s">
        <v>1693</v>
      </c>
      <c r="C2094" s="178" t="s">
        <v>3630</v>
      </c>
      <c r="D2094" s="36">
        <v>327125.0</v>
      </c>
      <c r="E2094" s="36" t="s">
        <v>1683</v>
      </c>
      <c r="F2094" s="178" t="s">
        <v>206</v>
      </c>
    </row>
    <row r="2095">
      <c r="A2095" s="250">
        <v>45405.680821111106</v>
      </c>
      <c r="B2095" s="251" t="s">
        <v>1684</v>
      </c>
      <c r="C2095" s="178" t="s">
        <v>3631</v>
      </c>
      <c r="D2095" s="36" t="s">
        <v>1683</v>
      </c>
      <c r="E2095" s="36">
        <v>327125.0</v>
      </c>
      <c r="F2095" s="178" t="s">
        <v>206</v>
      </c>
    </row>
    <row r="2096">
      <c r="A2096" s="250">
        <v>45406.02421111111</v>
      </c>
      <c r="B2096" s="251" t="s">
        <v>1693</v>
      </c>
      <c r="C2096" s="178" t="s">
        <v>3632</v>
      </c>
      <c r="D2096" s="36">
        <v>9700.0</v>
      </c>
      <c r="E2096" s="36" t="s">
        <v>1683</v>
      </c>
      <c r="F2096" s="178" t="s">
        <v>394</v>
      </c>
    </row>
    <row r="2097">
      <c r="A2097" s="250">
        <v>45406.02421111111</v>
      </c>
      <c r="B2097" s="251" t="s">
        <v>1684</v>
      </c>
      <c r="C2097" s="178" t="s">
        <v>3633</v>
      </c>
      <c r="D2097" s="36" t="s">
        <v>1683</v>
      </c>
      <c r="E2097" s="36">
        <v>9700.0</v>
      </c>
      <c r="F2097" s="178" t="s">
        <v>394</v>
      </c>
    </row>
    <row r="2098">
      <c r="A2098" s="250">
        <v>45406.02424111111</v>
      </c>
      <c r="B2098" s="251" t="s">
        <v>1693</v>
      </c>
      <c r="C2098" s="178" t="s">
        <v>3634</v>
      </c>
      <c r="D2098" s="36">
        <v>22600.000000000004</v>
      </c>
      <c r="E2098" s="36" t="s">
        <v>1683</v>
      </c>
      <c r="F2098" s="178" t="s">
        <v>394</v>
      </c>
    </row>
    <row r="2099">
      <c r="A2099" s="250">
        <v>45406.02424111111</v>
      </c>
      <c r="B2099" s="251" t="s">
        <v>1684</v>
      </c>
      <c r="C2099" s="178" t="s">
        <v>3635</v>
      </c>
      <c r="D2099" s="36" t="s">
        <v>1683</v>
      </c>
      <c r="E2099" s="36">
        <v>22600.000000000004</v>
      </c>
      <c r="F2099" s="178" t="s">
        <v>394</v>
      </c>
    </row>
    <row r="2100">
      <c r="A2100" s="250">
        <v>45407.39947111111</v>
      </c>
      <c r="B2100" s="251" t="s">
        <v>1783</v>
      </c>
      <c r="C2100" s="178" t="s">
        <v>3636</v>
      </c>
      <c r="D2100" s="36">
        <v>38963.0</v>
      </c>
      <c r="E2100" s="36" t="s">
        <v>1683</v>
      </c>
      <c r="F2100" s="178" t="s">
        <v>221</v>
      </c>
    </row>
    <row r="2101">
      <c r="A2101" s="250">
        <v>45407.39947111111</v>
      </c>
      <c r="B2101" s="251" t="s">
        <v>1684</v>
      </c>
      <c r="C2101" s="178" t="s">
        <v>3637</v>
      </c>
      <c r="D2101" s="36" t="s">
        <v>1683</v>
      </c>
      <c r="E2101" s="36">
        <v>38963.0</v>
      </c>
      <c r="F2101" s="178" t="s">
        <v>221</v>
      </c>
    </row>
    <row r="2102">
      <c r="A2102" s="250">
        <v>45407.39956111111</v>
      </c>
      <c r="B2102" s="251" t="s">
        <v>1783</v>
      </c>
      <c r="C2102" s="178" t="s">
        <v>3638</v>
      </c>
      <c r="D2102" s="36">
        <v>7058.0</v>
      </c>
      <c r="E2102" s="36" t="s">
        <v>1683</v>
      </c>
      <c r="F2102" s="178" t="s">
        <v>221</v>
      </c>
    </row>
    <row r="2103">
      <c r="A2103" s="250">
        <v>45407.39956111111</v>
      </c>
      <c r="B2103" s="251" t="s">
        <v>1684</v>
      </c>
      <c r="C2103" s="178" t="s">
        <v>3639</v>
      </c>
      <c r="D2103" s="36" t="s">
        <v>1683</v>
      </c>
      <c r="E2103" s="36">
        <v>7058.0</v>
      </c>
      <c r="F2103" s="178" t="s">
        <v>221</v>
      </c>
    </row>
    <row r="2104">
      <c r="A2104" s="250">
        <v>45407.42041888889</v>
      </c>
      <c r="B2104" s="251" t="s">
        <v>2324</v>
      </c>
      <c r="C2104" s="178" t="s">
        <v>3640</v>
      </c>
      <c r="D2104" s="36">
        <v>292200.0</v>
      </c>
      <c r="E2104" s="36" t="s">
        <v>1683</v>
      </c>
      <c r="F2104" s="178" t="s">
        <v>539</v>
      </c>
    </row>
    <row r="2105">
      <c r="A2105" s="250">
        <v>45407.42041888889</v>
      </c>
      <c r="B2105" s="251" t="s">
        <v>1698</v>
      </c>
      <c r="C2105" s="178" t="s">
        <v>3610</v>
      </c>
      <c r="D2105" s="36" t="s">
        <v>1683</v>
      </c>
      <c r="E2105" s="36">
        <v>292200.0</v>
      </c>
      <c r="F2105" s="178" t="s">
        <v>539</v>
      </c>
    </row>
    <row r="2106">
      <c r="A2106" s="250">
        <v>45407.42054888889</v>
      </c>
      <c r="B2106" s="251" t="s">
        <v>1786</v>
      </c>
      <c r="C2106" s="178" t="s">
        <v>3641</v>
      </c>
      <c r="D2106" s="36">
        <v>296200.0</v>
      </c>
      <c r="E2106" s="36" t="s">
        <v>1683</v>
      </c>
      <c r="F2106" s="178" t="s">
        <v>539</v>
      </c>
    </row>
    <row r="2107">
      <c r="A2107" s="250">
        <v>45407.42054888889</v>
      </c>
      <c r="B2107" s="251" t="s">
        <v>1698</v>
      </c>
      <c r="C2107" s="178" t="s">
        <v>3612</v>
      </c>
      <c r="D2107" s="36" t="s">
        <v>1683</v>
      </c>
      <c r="E2107" s="36">
        <v>296200.0</v>
      </c>
      <c r="F2107" s="178" t="s">
        <v>539</v>
      </c>
    </row>
    <row r="2108">
      <c r="A2108" s="250">
        <v>45407.42071888889</v>
      </c>
      <c r="B2108" s="251" t="s">
        <v>2345</v>
      </c>
      <c r="C2108" s="178" t="s">
        <v>3642</v>
      </c>
      <c r="D2108" s="36">
        <v>296200.0</v>
      </c>
      <c r="E2108" s="36" t="s">
        <v>1683</v>
      </c>
      <c r="F2108" s="178" t="s">
        <v>539</v>
      </c>
    </row>
    <row r="2109">
      <c r="A2109" s="250">
        <v>45407.42071888889</v>
      </c>
      <c r="B2109" s="251" t="s">
        <v>1698</v>
      </c>
      <c r="C2109" s="178" t="s">
        <v>3614</v>
      </c>
      <c r="D2109" s="36" t="s">
        <v>1683</v>
      </c>
      <c r="E2109" s="36">
        <v>296200.0</v>
      </c>
      <c r="F2109" s="178" t="s">
        <v>539</v>
      </c>
    </row>
    <row r="2110">
      <c r="A2110" s="250">
        <v>45407.42099888889</v>
      </c>
      <c r="B2110" s="251" t="s">
        <v>3240</v>
      </c>
      <c r="C2110" s="178" t="s">
        <v>3643</v>
      </c>
      <c r="D2110" s="36">
        <v>1245200.0</v>
      </c>
      <c r="E2110" s="36" t="s">
        <v>1683</v>
      </c>
      <c r="F2110" s="178" t="s">
        <v>539</v>
      </c>
    </row>
    <row r="2111">
      <c r="A2111" s="250">
        <v>45407.42099888889</v>
      </c>
      <c r="B2111" s="251" t="s">
        <v>1698</v>
      </c>
      <c r="C2111" s="178" t="s">
        <v>3616</v>
      </c>
      <c r="D2111" s="36" t="s">
        <v>1683</v>
      </c>
      <c r="E2111" s="36">
        <v>1245200.0</v>
      </c>
      <c r="F2111" s="178" t="s">
        <v>539</v>
      </c>
    </row>
    <row r="2112">
      <c r="A2112" s="250">
        <v>45407.42107888889</v>
      </c>
      <c r="B2112" s="251" t="s">
        <v>2348</v>
      </c>
      <c r="C2112" s="178" t="s">
        <v>3644</v>
      </c>
      <c r="D2112" s="36">
        <v>276199.99999999994</v>
      </c>
      <c r="E2112" s="36" t="s">
        <v>1683</v>
      </c>
      <c r="F2112" s="178" t="s">
        <v>539</v>
      </c>
    </row>
    <row r="2113">
      <c r="A2113" s="250">
        <v>45407.42107888889</v>
      </c>
      <c r="B2113" s="251" t="s">
        <v>1698</v>
      </c>
      <c r="C2113" s="178" t="s">
        <v>3618</v>
      </c>
      <c r="D2113" s="36" t="s">
        <v>1683</v>
      </c>
      <c r="E2113" s="36">
        <v>276199.99999999994</v>
      </c>
      <c r="F2113" s="178" t="s">
        <v>539</v>
      </c>
    </row>
    <row r="2114">
      <c r="A2114" s="250">
        <v>45407.540847777775</v>
      </c>
      <c r="B2114" s="251" t="s">
        <v>2345</v>
      </c>
      <c r="C2114" s="178" t="s">
        <v>3645</v>
      </c>
      <c r="D2114" s="36">
        <v>81000.0</v>
      </c>
      <c r="E2114" s="36" t="s">
        <v>1683</v>
      </c>
      <c r="F2114" s="178" t="s">
        <v>580</v>
      </c>
    </row>
    <row r="2115">
      <c r="A2115" s="250">
        <v>45407.540847777775</v>
      </c>
      <c r="B2115" s="251" t="s">
        <v>1698</v>
      </c>
      <c r="C2115" s="178" t="s">
        <v>3626</v>
      </c>
      <c r="D2115" s="36" t="s">
        <v>1683</v>
      </c>
      <c r="E2115" s="36">
        <v>81000.0</v>
      </c>
      <c r="F2115" s="178" t="s">
        <v>580</v>
      </c>
    </row>
    <row r="2116">
      <c r="A2116" s="250">
        <v>45407.55441795139</v>
      </c>
      <c r="B2116" s="251" t="s">
        <v>3646</v>
      </c>
      <c r="C2116" s="178" t="s">
        <v>3647</v>
      </c>
      <c r="D2116" s="36">
        <v>8401.66053169736</v>
      </c>
      <c r="E2116" s="36" t="s">
        <v>1683</v>
      </c>
      <c r="F2116" s="178" t="s">
        <v>1683</v>
      </c>
    </row>
    <row r="2117">
      <c r="A2117" s="250">
        <v>45407.55441795139</v>
      </c>
      <c r="B2117" s="251" t="s">
        <v>3648</v>
      </c>
      <c r="C2117" s="178" t="s">
        <v>3649</v>
      </c>
      <c r="D2117" s="36" t="s">
        <v>1683</v>
      </c>
      <c r="E2117" s="36">
        <v>8401.66053169736</v>
      </c>
      <c r="F2117" s="178" t="s">
        <v>1683</v>
      </c>
    </row>
    <row r="2118">
      <c r="A2118" s="250">
        <v>45407.68532222222</v>
      </c>
      <c r="B2118" s="251" t="s">
        <v>3650</v>
      </c>
      <c r="C2118" s="178" t="s">
        <v>3651</v>
      </c>
      <c r="D2118" s="36">
        <v>9700.0</v>
      </c>
      <c r="E2118" s="36" t="s">
        <v>1683</v>
      </c>
      <c r="F2118" s="178" t="s">
        <v>394</v>
      </c>
    </row>
    <row r="2119">
      <c r="A2119" s="250">
        <v>45407.68532222222</v>
      </c>
      <c r="B2119" s="251" t="s">
        <v>1698</v>
      </c>
      <c r="C2119" s="178" t="s">
        <v>3632</v>
      </c>
      <c r="D2119" s="36" t="s">
        <v>1683</v>
      </c>
      <c r="E2119" s="36">
        <v>9700.0</v>
      </c>
      <c r="F2119" s="178" t="s">
        <v>394</v>
      </c>
    </row>
    <row r="2120">
      <c r="A2120" s="250">
        <v>45407.68535222222</v>
      </c>
      <c r="B2120" s="251" t="s">
        <v>2266</v>
      </c>
      <c r="C2120" s="178" t="s">
        <v>3652</v>
      </c>
      <c r="D2120" s="36">
        <v>22600.000000000004</v>
      </c>
      <c r="E2120" s="36" t="s">
        <v>1683</v>
      </c>
      <c r="F2120" s="178" t="s">
        <v>394</v>
      </c>
    </row>
    <row r="2121">
      <c r="A2121" s="250">
        <v>45407.68535222222</v>
      </c>
      <c r="B2121" s="251" t="s">
        <v>1698</v>
      </c>
      <c r="C2121" s="178" t="s">
        <v>3634</v>
      </c>
      <c r="D2121" s="36" t="s">
        <v>1683</v>
      </c>
      <c r="E2121" s="36">
        <v>22600.000000000004</v>
      </c>
      <c r="F2121" s="178" t="s">
        <v>394</v>
      </c>
    </row>
    <row r="2122">
      <c r="A2122" s="250">
        <v>45408.639054444444</v>
      </c>
      <c r="B2122" s="251" t="s">
        <v>3387</v>
      </c>
      <c r="C2122" s="178" t="s">
        <v>3653</v>
      </c>
      <c r="D2122" s="36">
        <v>38963.0</v>
      </c>
      <c r="E2122" s="36" t="s">
        <v>1683</v>
      </c>
      <c r="F2122" s="178" t="s">
        <v>221</v>
      </c>
    </row>
    <row r="2123">
      <c r="A2123" s="250">
        <v>45408.639054444444</v>
      </c>
      <c r="B2123" s="251" t="s">
        <v>1802</v>
      </c>
      <c r="C2123" s="178" t="s">
        <v>3636</v>
      </c>
      <c r="D2123" s="36" t="s">
        <v>1683</v>
      </c>
      <c r="E2123" s="36">
        <v>38963.0</v>
      </c>
      <c r="F2123" s="178" t="s">
        <v>221</v>
      </c>
    </row>
    <row r="2124">
      <c r="A2124" s="250">
        <v>45408.639144444445</v>
      </c>
      <c r="B2124" s="251" t="s">
        <v>3247</v>
      </c>
      <c r="C2124" s="178" t="s">
        <v>3654</v>
      </c>
      <c r="D2124" s="36">
        <v>7058.0</v>
      </c>
      <c r="E2124" s="36" t="s">
        <v>1683</v>
      </c>
      <c r="F2124" s="178" t="s">
        <v>221</v>
      </c>
    </row>
    <row r="2125">
      <c r="A2125" s="250">
        <v>45408.639144444445</v>
      </c>
      <c r="B2125" s="251" t="s">
        <v>1802</v>
      </c>
      <c r="C2125" s="178" t="s">
        <v>3638</v>
      </c>
      <c r="D2125" s="36" t="s">
        <v>1683</v>
      </c>
      <c r="E2125" s="36">
        <v>7058.0</v>
      </c>
      <c r="F2125" s="178" t="s">
        <v>221</v>
      </c>
    </row>
    <row r="2126">
      <c r="A2126" s="250">
        <v>45408.70917333334</v>
      </c>
      <c r="B2126" s="251" t="s">
        <v>3264</v>
      </c>
      <c r="C2126" s="178" t="s">
        <v>3655</v>
      </c>
      <c r="D2126" s="36">
        <v>942125.0000000001</v>
      </c>
      <c r="E2126" s="36" t="s">
        <v>1683</v>
      </c>
      <c r="F2126" s="178" t="s">
        <v>206</v>
      </c>
    </row>
    <row r="2127">
      <c r="A2127" s="250">
        <v>45408.70917333334</v>
      </c>
      <c r="B2127" s="251" t="s">
        <v>1698</v>
      </c>
      <c r="C2127" s="178" t="s">
        <v>3628</v>
      </c>
      <c r="D2127" s="36" t="s">
        <v>1683</v>
      </c>
      <c r="E2127" s="36">
        <v>942125.0000000001</v>
      </c>
      <c r="F2127" s="178" t="s">
        <v>206</v>
      </c>
    </row>
    <row r="2128">
      <c r="A2128" s="250">
        <v>45408.70929333333</v>
      </c>
      <c r="B2128" s="251" t="s">
        <v>3247</v>
      </c>
      <c r="C2128" s="178" t="s">
        <v>3656</v>
      </c>
      <c r="D2128" s="36">
        <v>327125.0</v>
      </c>
      <c r="E2128" s="36" t="s">
        <v>1683</v>
      </c>
      <c r="F2128" s="178" t="s">
        <v>206</v>
      </c>
    </row>
    <row r="2129">
      <c r="A2129" s="250">
        <v>45408.70929333333</v>
      </c>
      <c r="B2129" s="251" t="s">
        <v>1698</v>
      </c>
      <c r="C2129" s="178" t="s">
        <v>3630</v>
      </c>
      <c r="D2129" s="36" t="s">
        <v>1683</v>
      </c>
      <c r="E2129" s="36">
        <v>327125.0</v>
      </c>
      <c r="F2129" s="178" t="s">
        <v>206</v>
      </c>
    </row>
    <row r="2130">
      <c r="A2130" s="250">
        <v>45408.748016666665</v>
      </c>
      <c r="B2130" s="251" t="s">
        <v>1783</v>
      </c>
      <c r="C2130" s="178" t="s">
        <v>3657</v>
      </c>
      <c r="D2130" s="36">
        <v>76697.00000000001</v>
      </c>
      <c r="E2130" s="36" t="s">
        <v>1683</v>
      </c>
      <c r="F2130" s="178" t="s">
        <v>154</v>
      </c>
    </row>
    <row r="2131">
      <c r="A2131" s="250">
        <v>45408.748016666665</v>
      </c>
      <c r="B2131" s="251" t="s">
        <v>1684</v>
      </c>
      <c r="C2131" s="178" t="s">
        <v>3658</v>
      </c>
      <c r="D2131" s="36" t="s">
        <v>1683</v>
      </c>
      <c r="E2131" s="36">
        <v>76697.00000000001</v>
      </c>
      <c r="F2131" s="178" t="s">
        <v>154</v>
      </c>
    </row>
    <row r="2132">
      <c r="A2132" s="250">
        <v>45408.74871666667</v>
      </c>
      <c r="B2132" s="251" t="s">
        <v>1783</v>
      </c>
      <c r="C2132" s="178" t="s">
        <v>3659</v>
      </c>
      <c r="D2132" s="36">
        <v>4097.0</v>
      </c>
      <c r="E2132" s="36" t="s">
        <v>1683</v>
      </c>
      <c r="F2132" s="178" t="s">
        <v>154</v>
      </c>
    </row>
    <row r="2133">
      <c r="A2133" s="250">
        <v>45408.74871666667</v>
      </c>
      <c r="B2133" s="251" t="s">
        <v>1684</v>
      </c>
      <c r="C2133" s="178" t="s">
        <v>3660</v>
      </c>
      <c r="D2133" s="36" t="s">
        <v>1683</v>
      </c>
      <c r="E2133" s="36">
        <v>4097.0</v>
      </c>
      <c r="F2133" s="178" t="s">
        <v>154</v>
      </c>
    </row>
    <row r="2134">
      <c r="A2134" s="250">
        <v>45408.749395555555</v>
      </c>
      <c r="B2134" s="251" t="s">
        <v>1783</v>
      </c>
      <c r="C2134" s="178" t="s">
        <v>3661</v>
      </c>
      <c r="D2134" s="36">
        <v>76240.00000000001</v>
      </c>
      <c r="E2134" s="36" t="s">
        <v>1683</v>
      </c>
      <c r="F2134" s="178" t="s">
        <v>154</v>
      </c>
    </row>
    <row r="2135">
      <c r="A2135" s="250">
        <v>45408.749395555555</v>
      </c>
      <c r="B2135" s="251" t="s">
        <v>1684</v>
      </c>
      <c r="C2135" s="178" t="s">
        <v>3662</v>
      </c>
      <c r="D2135" s="36" t="s">
        <v>1683</v>
      </c>
      <c r="E2135" s="36">
        <v>76240.00000000001</v>
      </c>
      <c r="F2135" s="178" t="s">
        <v>154</v>
      </c>
    </row>
    <row r="2136">
      <c r="A2136" s="250">
        <v>45408.751468888884</v>
      </c>
      <c r="B2136" s="251" t="s">
        <v>1783</v>
      </c>
      <c r="C2136" s="178" t="s">
        <v>3663</v>
      </c>
      <c r="D2136" s="36">
        <v>76240.00000000001</v>
      </c>
      <c r="E2136" s="36" t="s">
        <v>1683</v>
      </c>
      <c r="F2136" s="178" t="s">
        <v>154</v>
      </c>
    </row>
    <row r="2137">
      <c r="A2137" s="250">
        <v>45408.751468888884</v>
      </c>
      <c r="B2137" s="251" t="s">
        <v>1684</v>
      </c>
      <c r="C2137" s="178" t="s">
        <v>3664</v>
      </c>
      <c r="D2137" s="36" t="s">
        <v>1683</v>
      </c>
      <c r="E2137" s="36">
        <v>76240.00000000001</v>
      </c>
      <c r="F2137" s="178" t="s">
        <v>154</v>
      </c>
    </row>
    <row r="2138">
      <c r="A2138" s="250">
        <v>45408.75354222222</v>
      </c>
      <c r="B2138" s="251" t="s">
        <v>1783</v>
      </c>
      <c r="C2138" s="178" t="s">
        <v>3665</v>
      </c>
      <c r="D2138" s="36">
        <v>77032.00000000001</v>
      </c>
      <c r="E2138" s="36" t="s">
        <v>1683</v>
      </c>
      <c r="F2138" s="178" t="s">
        <v>154</v>
      </c>
    </row>
    <row r="2139">
      <c r="A2139" s="250">
        <v>45408.75354222222</v>
      </c>
      <c r="B2139" s="251" t="s">
        <v>1684</v>
      </c>
      <c r="C2139" s="178" t="s">
        <v>3666</v>
      </c>
      <c r="D2139" s="36" t="s">
        <v>1683</v>
      </c>
      <c r="E2139" s="36">
        <v>77032.00000000001</v>
      </c>
      <c r="F2139" s="178" t="s">
        <v>154</v>
      </c>
    </row>
    <row r="2140">
      <c r="A2140" s="250">
        <v>45408.754226666664</v>
      </c>
      <c r="B2140" s="251" t="s">
        <v>1783</v>
      </c>
      <c r="C2140" s="178" t="s">
        <v>3667</v>
      </c>
      <c r="D2140" s="36">
        <v>77032.00000000001</v>
      </c>
      <c r="E2140" s="36" t="s">
        <v>1683</v>
      </c>
      <c r="F2140" s="178" t="s">
        <v>154</v>
      </c>
    </row>
    <row r="2141">
      <c r="A2141" s="250">
        <v>45408.754226666664</v>
      </c>
      <c r="B2141" s="251" t="s">
        <v>1684</v>
      </c>
      <c r="C2141" s="178" t="s">
        <v>3668</v>
      </c>
      <c r="D2141" s="36" t="s">
        <v>1683</v>
      </c>
      <c r="E2141" s="36">
        <v>77032.00000000001</v>
      </c>
      <c r="F2141" s="178" t="s">
        <v>154</v>
      </c>
    </row>
    <row r="2142">
      <c r="A2142" s="250">
        <v>45408.75560555556</v>
      </c>
      <c r="B2142" s="251" t="s">
        <v>1783</v>
      </c>
      <c r="C2142" s="178" t="s">
        <v>3669</v>
      </c>
      <c r="D2142" s="36">
        <v>79012.00000000001</v>
      </c>
      <c r="E2142" s="36" t="s">
        <v>1683</v>
      </c>
      <c r="F2142" s="178" t="s">
        <v>154</v>
      </c>
    </row>
    <row r="2143">
      <c r="A2143" s="250">
        <v>45408.75560555556</v>
      </c>
      <c r="B2143" s="251" t="s">
        <v>1684</v>
      </c>
      <c r="C2143" s="178" t="s">
        <v>3670</v>
      </c>
      <c r="D2143" s="36" t="s">
        <v>1683</v>
      </c>
      <c r="E2143" s="36">
        <v>79012.00000000001</v>
      </c>
      <c r="F2143" s="178" t="s">
        <v>154</v>
      </c>
    </row>
    <row r="2144">
      <c r="A2144" s="250">
        <v>45408.75906777778</v>
      </c>
      <c r="B2144" s="251" t="s">
        <v>1783</v>
      </c>
      <c r="C2144" s="178" t="s">
        <v>3671</v>
      </c>
      <c r="D2144" s="36">
        <v>72600.0</v>
      </c>
      <c r="E2144" s="36" t="s">
        <v>1683</v>
      </c>
      <c r="F2144" s="178" t="s">
        <v>154</v>
      </c>
    </row>
    <row r="2145">
      <c r="A2145" s="250">
        <v>45408.75906777778</v>
      </c>
      <c r="B2145" s="251" t="s">
        <v>1684</v>
      </c>
      <c r="C2145" s="178" t="s">
        <v>3672</v>
      </c>
      <c r="D2145" s="36" t="s">
        <v>1683</v>
      </c>
      <c r="E2145" s="36">
        <v>72600.0</v>
      </c>
      <c r="F2145" s="178" t="s">
        <v>154</v>
      </c>
    </row>
    <row r="2146">
      <c r="A2146" s="250">
        <v>45408.94211563657</v>
      </c>
      <c r="B2146" s="251" t="s">
        <v>2996</v>
      </c>
      <c r="C2146" s="178" t="s">
        <v>3673</v>
      </c>
      <c r="D2146" s="36">
        <v>1026.6666666666679</v>
      </c>
      <c r="E2146" s="36" t="s">
        <v>1683</v>
      </c>
      <c r="F2146" s="178" t="s">
        <v>1683</v>
      </c>
    </row>
    <row r="2147">
      <c r="A2147" s="250">
        <v>45408.94211563657</v>
      </c>
      <c r="B2147" s="251" t="s">
        <v>3326</v>
      </c>
      <c r="C2147" s="178" t="s">
        <v>3674</v>
      </c>
      <c r="D2147" s="36" t="s">
        <v>1683</v>
      </c>
      <c r="E2147" s="36">
        <v>1026.6666666666679</v>
      </c>
      <c r="F2147" s="178" t="s">
        <v>1683</v>
      </c>
    </row>
    <row r="2148">
      <c r="A2148" s="250">
        <v>45408.989002222224</v>
      </c>
      <c r="B2148" s="251" t="s">
        <v>1793</v>
      </c>
      <c r="C2148" s="178" t="s">
        <v>3675</v>
      </c>
      <c r="D2148" s="36">
        <v>71406.0</v>
      </c>
      <c r="E2148" s="36" t="s">
        <v>1683</v>
      </c>
      <c r="F2148" s="178" t="s">
        <v>1683</v>
      </c>
    </row>
    <row r="2149">
      <c r="A2149" s="250">
        <v>45408.989002222224</v>
      </c>
      <c r="B2149" s="251" t="s">
        <v>2232</v>
      </c>
      <c r="C2149" s="178" t="s">
        <v>3676</v>
      </c>
      <c r="D2149" s="36" t="s">
        <v>1683</v>
      </c>
      <c r="E2149" s="36">
        <v>71406.0</v>
      </c>
      <c r="F2149" s="178" t="s">
        <v>1683</v>
      </c>
    </row>
    <row r="2150">
      <c r="A2150" s="250">
        <v>45409.013898888894</v>
      </c>
      <c r="B2150" s="251" t="s">
        <v>1693</v>
      </c>
      <c r="C2150" s="178" t="s">
        <v>3677</v>
      </c>
      <c r="D2150" s="36">
        <v>94996.00000000001</v>
      </c>
      <c r="E2150" s="36" t="s">
        <v>1683</v>
      </c>
      <c r="F2150" s="178" t="s">
        <v>138</v>
      </c>
    </row>
    <row r="2151">
      <c r="A2151" s="250">
        <v>45409.013898888894</v>
      </c>
      <c r="B2151" s="251" t="s">
        <v>1684</v>
      </c>
      <c r="C2151" s="178" t="s">
        <v>3678</v>
      </c>
      <c r="D2151" s="36" t="s">
        <v>1683</v>
      </c>
      <c r="E2151" s="36">
        <v>94996.00000000001</v>
      </c>
      <c r="F2151" s="178" t="s">
        <v>138</v>
      </c>
    </row>
    <row r="2152">
      <c r="A2152" s="250">
        <v>45409.04583333333</v>
      </c>
      <c r="B2152" s="251" t="s">
        <v>1693</v>
      </c>
      <c r="C2152" s="178" t="s">
        <v>3679</v>
      </c>
      <c r="D2152" s="36">
        <v>231000.0</v>
      </c>
      <c r="E2152" s="36" t="s">
        <v>1683</v>
      </c>
      <c r="F2152" s="178" t="s">
        <v>137</v>
      </c>
    </row>
    <row r="2153">
      <c r="A2153" s="250">
        <v>45409.04583333333</v>
      </c>
      <c r="B2153" s="251" t="s">
        <v>1684</v>
      </c>
      <c r="C2153" s="178" t="s">
        <v>3680</v>
      </c>
      <c r="D2153" s="36" t="s">
        <v>1683</v>
      </c>
      <c r="E2153" s="36">
        <v>231000.0</v>
      </c>
      <c r="F2153" s="178" t="s">
        <v>137</v>
      </c>
    </row>
    <row r="2154">
      <c r="A2154" s="250">
        <v>45409.328692222225</v>
      </c>
      <c r="B2154" s="251" t="s">
        <v>1783</v>
      </c>
      <c r="C2154" s="178" t="s">
        <v>3681</v>
      </c>
      <c r="D2154" s="36">
        <v>1235500.0</v>
      </c>
      <c r="E2154" s="36" t="s">
        <v>1683</v>
      </c>
      <c r="F2154" s="178" t="s">
        <v>820</v>
      </c>
    </row>
    <row r="2155">
      <c r="A2155" s="250">
        <v>45409.328692222225</v>
      </c>
      <c r="B2155" s="251" t="s">
        <v>1684</v>
      </c>
      <c r="C2155" s="178" t="s">
        <v>3682</v>
      </c>
      <c r="D2155" s="36" t="s">
        <v>1683</v>
      </c>
      <c r="E2155" s="36">
        <v>1235500.0</v>
      </c>
      <c r="F2155" s="178" t="s">
        <v>820</v>
      </c>
    </row>
    <row r="2156">
      <c r="A2156" s="250">
        <v>45409.329462222224</v>
      </c>
      <c r="B2156" s="251" t="s">
        <v>1783</v>
      </c>
      <c r="C2156" s="178" t="s">
        <v>3683</v>
      </c>
      <c r="D2156" s="36">
        <v>275989.0</v>
      </c>
      <c r="E2156" s="36" t="s">
        <v>1683</v>
      </c>
      <c r="F2156" s="178" t="s">
        <v>136</v>
      </c>
    </row>
    <row r="2157">
      <c r="A2157" s="250">
        <v>45409.329462222224</v>
      </c>
      <c r="B2157" s="251" t="s">
        <v>1684</v>
      </c>
      <c r="C2157" s="178" t="s">
        <v>3684</v>
      </c>
      <c r="D2157" s="36" t="s">
        <v>1683</v>
      </c>
      <c r="E2157" s="36">
        <v>275989.0</v>
      </c>
      <c r="F2157" s="178" t="s">
        <v>136</v>
      </c>
    </row>
    <row r="2158">
      <c r="A2158" s="250">
        <v>45409.65854333333</v>
      </c>
      <c r="B2158" s="251" t="s">
        <v>1783</v>
      </c>
      <c r="C2158" s="178" t="s">
        <v>3685</v>
      </c>
      <c r="D2158" s="36">
        <v>2174575.0</v>
      </c>
      <c r="E2158" s="36" t="s">
        <v>1683</v>
      </c>
      <c r="F2158" s="178" t="s">
        <v>428</v>
      </c>
    </row>
    <row r="2159">
      <c r="A2159" s="250">
        <v>45409.65854333333</v>
      </c>
      <c r="B2159" s="251" t="s">
        <v>1684</v>
      </c>
      <c r="C2159" s="178" t="s">
        <v>3686</v>
      </c>
      <c r="D2159" s="36" t="s">
        <v>1683</v>
      </c>
      <c r="E2159" s="36">
        <v>2174575.0</v>
      </c>
      <c r="F2159" s="178" t="s">
        <v>428</v>
      </c>
    </row>
    <row r="2160">
      <c r="A2160" s="250">
        <v>45409.65856333333</v>
      </c>
      <c r="B2160" s="251" t="s">
        <v>1783</v>
      </c>
      <c r="C2160" s="178" t="s">
        <v>3687</v>
      </c>
      <c r="D2160" s="36">
        <v>814135.9999999999</v>
      </c>
      <c r="E2160" s="36" t="s">
        <v>1683</v>
      </c>
      <c r="F2160" s="178" t="s">
        <v>428</v>
      </c>
    </row>
    <row r="2161">
      <c r="A2161" s="250">
        <v>45409.65856333333</v>
      </c>
      <c r="B2161" s="251" t="s">
        <v>1684</v>
      </c>
      <c r="C2161" s="178" t="s">
        <v>3688</v>
      </c>
      <c r="D2161" s="36" t="s">
        <v>1683</v>
      </c>
      <c r="E2161" s="36">
        <v>814135.9999999999</v>
      </c>
      <c r="F2161" s="178" t="s">
        <v>428</v>
      </c>
    </row>
    <row r="2162">
      <c r="A2162" s="250">
        <v>45409.75687</v>
      </c>
      <c r="B2162" s="251" t="s">
        <v>1611</v>
      </c>
      <c r="C2162" s="178" t="s">
        <v>3689</v>
      </c>
      <c r="D2162" s="36">
        <v>105610.0</v>
      </c>
      <c r="E2162" s="36" t="s">
        <v>1683</v>
      </c>
      <c r="F2162" s="178" t="s">
        <v>1660</v>
      </c>
    </row>
    <row r="2163">
      <c r="A2163" s="250">
        <v>45409.75687</v>
      </c>
      <c r="B2163" s="251" t="s">
        <v>1684</v>
      </c>
      <c r="C2163" s="178" t="s">
        <v>3690</v>
      </c>
      <c r="D2163" s="36" t="s">
        <v>1683</v>
      </c>
      <c r="E2163" s="36">
        <v>105610.0</v>
      </c>
      <c r="F2163" s="178" t="s">
        <v>1660</v>
      </c>
    </row>
    <row r="2164">
      <c r="A2164" s="250">
        <v>45410.55916333333</v>
      </c>
      <c r="B2164" s="251" t="s">
        <v>3387</v>
      </c>
      <c r="C2164" s="178" t="s">
        <v>3691</v>
      </c>
      <c r="D2164" s="36">
        <v>1789969.0000000002</v>
      </c>
      <c r="E2164" s="36" t="s">
        <v>1683</v>
      </c>
      <c r="F2164" s="178" t="s">
        <v>608</v>
      </c>
    </row>
    <row r="2165">
      <c r="A2165" s="250">
        <v>45410.55916333333</v>
      </c>
      <c r="B2165" s="251" t="s">
        <v>1698</v>
      </c>
      <c r="C2165" s="178" t="s">
        <v>3692</v>
      </c>
      <c r="D2165" s="36" t="s">
        <v>1683</v>
      </c>
      <c r="E2165" s="36">
        <v>1789969.0000000002</v>
      </c>
      <c r="F2165" s="178" t="s">
        <v>608</v>
      </c>
    </row>
    <row r="2166">
      <c r="A2166" s="250">
        <v>45410.707728229165</v>
      </c>
      <c r="B2166" s="251" t="s">
        <v>1774</v>
      </c>
      <c r="C2166" s="178" t="s">
        <v>3693</v>
      </c>
      <c r="D2166" s="36">
        <v>72600.0</v>
      </c>
      <c r="E2166" s="36" t="s">
        <v>1683</v>
      </c>
      <c r="F2166" s="178" t="s">
        <v>154</v>
      </c>
    </row>
    <row r="2167">
      <c r="A2167" s="250">
        <v>45410.707728229165</v>
      </c>
      <c r="B2167" s="251" t="s">
        <v>1802</v>
      </c>
      <c r="C2167" s="178" t="s">
        <v>3671</v>
      </c>
      <c r="D2167" s="36" t="s">
        <v>1683</v>
      </c>
      <c r="E2167" s="36">
        <v>72600.0</v>
      </c>
      <c r="F2167" s="178" t="s">
        <v>154</v>
      </c>
    </row>
    <row r="2168">
      <c r="A2168" s="250">
        <v>45410.70804268518</v>
      </c>
      <c r="B2168" s="251" t="s">
        <v>1774</v>
      </c>
      <c r="C2168" s="178" t="s">
        <v>3694</v>
      </c>
      <c r="D2168" s="36">
        <v>77032.00000000001</v>
      </c>
      <c r="E2168" s="36" t="s">
        <v>1683</v>
      </c>
      <c r="F2168" s="178" t="s">
        <v>154</v>
      </c>
    </row>
    <row r="2169">
      <c r="A2169" s="250">
        <v>45410.70804268518</v>
      </c>
      <c r="B2169" s="251" t="s">
        <v>1802</v>
      </c>
      <c r="C2169" s="178" t="s">
        <v>3667</v>
      </c>
      <c r="D2169" s="36" t="s">
        <v>1683</v>
      </c>
      <c r="E2169" s="36">
        <v>77032.00000000001</v>
      </c>
      <c r="F2169" s="178" t="s">
        <v>154</v>
      </c>
    </row>
    <row r="2170">
      <c r="A2170" s="250">
        <v>45410.70932596064</v>
      </c>
      <c r="B2170" s="251" t="s">
        <v>1774</v>
      </c>
      <c r="C2170" s="178" t="s">
        <v>3695</v>
      </c>
      <c r="D2170" s="36">
        <v>76697.00000000001</v>
      </c>
      <c r="E2170" s="36" t="s">
        <v>1683</v>
      </c>
      <c r="F2170" s="178" t="s">
        <v>154</v>
      </c>
    </row>
    <row r="2171">
      <c r="A2171" s="250">
        <v>45410.70932596064</v>
      </c>
      <c r="B2171" s="251" t="s">
        <v>1802</v>
      </c>
      <c r="C2171" s="178" t="s">
        <v>3657</v>
      </c>
      <c r="D2171" s="36" t="s">
        <v>1683</v>
      </c>
      <c r="E2171" s="36">
        <v>76697.00000000001</v>
      </c>
      <c r="F2171" s="178" t="s">
        <v>154</v>
      </c>
    </row>
    <row r="2172">
      <c r="A2172" s="250">
        <v>45410.71001342593</v>
      </c>
      <c r="B2172" s="251" t="s">
        <v>1793</v>
      </c>
      <c r="C2172" s="178" t="s">
        <v>3696</v>
      </c>
      <c r="D2172" s="36">
        <v>4097.0</v>
      </c>
      <c r="E2172" s="36" t="s">
        <v>1683</v>
      </c>
      <c r="F2172" s="178" t="s">
        <v>154</v>
      </c>
    </row>
    <row r="2173">
      <c r="A2173" s="250">
        <v>45410.71001342593</v>
      </c>
      <c r="B2173" s="251" t="s">
        <v>1802</v>
      </c>
      <c r="C2173" s="178" t="s">
        <v>3659</v>
      </c>
      <c r="D2173" s="36" t="s">
        <v>1683</v>
      </c>
      <c r="E2173" s="36">
        <v>4097.0</v>
      </c>
      <c r="F2173" s="178" t="s">
        <v>154</v>
      </c>
    </row>
    <row r="2174">
      <c r="A2174" s="250">
        <v>45410.71050640046</v>
      </c>
      <c r="B2174" s="251" t="s">
        <v>1774</v>
      </c>
      <c r="C2174" s="178" t="s">
        <v>3697</v>
      </c>
      <c r="D2174" s="36">
        <v>76240.00000000001</v>
      </c>
      <c r="E2174" s="36" t="s">
        <v>1683</v>
      </c>
      <c r="F2174" s="178" t="s">
        <v>154</v>
      </c>
    </row>
    <row r="2175">
      <c r="A2175" s="250">
        <v>45410.71050640046</v>
      </c>
      <c r="B2175" s="251" t="s">
        <v>1802</v>
      </c>
      <c r="C2175" s="178" t="s">
        <v>3663</v>
      </c>
      <c r="D2175" s="36" t="s">
        <v>1683</v>
      </c>
      <c r="E2175" s="36">
        <v>76240.00000000001</v>
      </c>
      <c r="F2175" s="178" t="s">
        <v>154</v>
      </c>
    </row>
    <row r="2176">
      <c r="A2176" s="250">
        <v>45410.90660451388</v>
      </c>
      <c r="B2176" s="251" t="s">
        <v>2324</v>
      </c>
      <c r="C2176" s="178" t="s">
        <v>3698</v>
      </c>
      <c r="D2176" s="36">
        <v>16240.0</v>
      </c>
      <c r="E2176" s="36" t="s">
        <v>1683</v>
      </c>
      <c r="F2176" s="178" t="s">
        <v>1683</v>
      </c>
    </row>
    <row r="2177">
      <c r="A2177" s="250">
        <v>45410.90660451388</v>
      </c>
      <c r="B2177" s="251" t="s">
        <v>2471</v>
      </c>
      <c r="C2177" s="178" t="s">
        <v>3699</v>
      </c>
      <c r="D2177" s="36" t="s">
        <v>1683</v>
      </c>
      <c r="E2177" s="36">
        <v>16240.0</v>
      </c>
      <c r="F2177" s="178" t="s">
        <v>1683</v>
      </c>
    </row>
    <row r="2178">
      <c r="A2178" s="250">
        <v>45410.90876615741</v>
      </c>
      <c r="B2178" s="251" t="s">
        <v>3700</v>
      </c>
      <c r="C2178" s="178" t="s">
        <v>3701</v>
      </c>
      <c r="D2178" s="36">
        <v>16582.0</v>
      </c>
      <c r="E2178" s="36" t="s">
        <v>1683</v>
      </c>
      <c r="F2178" s="178" t="s">
        <v>1683</v>
      </c>
    </row>
    <row r="2179">
      <c r="A2179" s="250">
        <v>45410.90876615741</v>
      </c>
      <c r="B2179" s="251" t="s">
        <v>3702</v>
      </c>
      <c r="C2179" s="178" t="s">
        <v>3703</v>
      </c>
      <c r="D2179" s="36" t="s">
        <v>1683</v>
      </c>
      <c r="E2179" s="36">
        <v>16582.0</v>
      </c>
      <c r="F2179" s="178" t="s">
        <v>1683</v>
      </c>
    </row>
    <row r="2180">
      <c r="A2180" s="250">
        <v>45410.96824555555</v>
      </c>
      <c r="B2180" s="251" t="s">
        <v>1693</v>
      </c>
      <c r="C2180" s="178" t="s">
        <v>3704</v>
      </c>
      <c r="D2180" s="36">
        <v>234368.00000000003</v>
      </c>
      <c r="E2180" s="36" t="s">
        <v>1683</v>
      </c>
      <c r="F2180" s="178" t="s">
        <v>926</v>
      </c>
    </row>
    <row r="2181">
      <c r="A2181" s="250">
        <v>45410.96824555555</v>
      </c>
      <c r="B2181" s="251" t="s">
        <v>1684</v>
      </c>
      <c r="C2181" s="178" t="s">
        <v>3705</v>
      </c>
      <c r="D2181" s="36" t="s">
        <v>1683</v>
      </c>
      <c r="E2181" s="36">
        <v>234368.00000000003</v>
      </c>
      <c r="F2181" s="178" t="s">
        <v>926</v>
      </c>
    </row>
    <row r="2182">
      <c r="A2182" s="250">
        <v>45410.96843555555</v>
      </c>
      <c r="B2182" s="251" t="s">
        <v>1693</v>
      </c>
      <c r="C2182" s="178" t="s">
        <v>3706</v>
      </c>
      <c r="D2182" s="36">
        <v>60967.99999999999</v>
      </c>
      <c r="E2182" s="36" t="s">
        <v>1683</v>
      </c>
      <c r="F2182" s="178" t="s">
        <v>926</v>
      </c>
    </row>
    <row r="2183">
      <c r="A2183" s="250">
        <v>45410.96843555555</v>
      </c>
      <c r="B2183" s="251" t="s">
        <v>1684</v>
      </c>
      <c r="C2183" s="178" t="s">
        <v>3707</v>
      </c>
      <c r="D2183" s="36" t="s">
        <v>1683</v>
      </c>
      <c r="E2183" s="36">
        <v>60967.99999999999</v>
      </c>
      <c r="F2183" s="178" t="s">
        <v>926</v>
      </c>
    </row>
    <row r="2184">
      <c r="A2184" s="250">
        <v>45411.42431555556</v>
      </c>
      <c r="B2184" s="251" t="s">
        <v>3017</v>
      </c>
      <c r="C2184" s="178" t="s">
        <v>3708</v>
      </c>
      <c r="D2184" s="36">
        <v>94996.00000000001</v>
      </c>
      <c r="E2184" s="36" t="s">
        <v>1683</v>
      </c>
      <c r="F2184" s="178" t="s">
        <v>138</v>
      </c>
    </row>
    <row r="2185">
      <c r="A2185" s="250">
        <v>45411.42431555556</v>
      </c>
      <c r="B2185" s="251" t="s">
        <v>1698</v>
      </c>
      <c r="C2185" s="178" t="s">
        <v>3677</v>
      </c>
      <c r="D2185" s="36" t="s">
        <v>1683</v>
      </c>
      <c r="E2185" s="36">
        <v>94996.00000000001</v>
      </c>
      <c r="F2185" s="178" t="s">
        <v>138</v>
      </c>
    </row>
    <row r="2186">
      <c r="A2186" s="250">
        <v>45411.42585</v>
      </c>
      <c r="B2186" s="251" t="s">
        <v>1693</v>
      </c>
      <c r="C2186" s="178" t="s">
        <v>3709</v>
      </c>
      <c r="D2186" s="36">
        <v>2396104.0000000005</v>
      </c>
      <c r="E2186" s="36" t="s">
        <v>1683</v>
      </c>
      <c r="F2186" s="178" t="s">
        <v>609</v>
      </c>
    </row>
    <row r="2187">
      <c r="A2187" s="250">
        <v>45411.42585</v>
      </c>
      <c r="B2187" s="251" t="s">
        <v>1684</v>
      </c>
      <c r="C2187" s="178" t="s">
        <v>3710</v>
      </c>
      <c r="D2187" s="36" t="s">
        <v>1683</v>
      </c>
      <c r="E2187" s="36">
        <v>2396104.0000000005</v>
      </c>
      <c r="F2187" s="178" t="s">
        <v>609</v>
      </c>
    </row>
    <row r="2188">
      <c r="A2188" s="250">
        <v>45411.47689888889</v>
      </c>
      <c r="B2188" s="251" t="s">
        <v>1693</v>
      </c>
      <c r="C2188" s="178" t="s">
        <v>3711</v>
      </c>
      <c r="D2188" s="36">
        <v>842.0</v>
      </c>
      <c r="E2188" s="36" t="s">
        <v>1683</v>
      </c>
      <c r="F2188" s="178" t="s">
        <v>674</v>
      </c>
    </row>
    <row r="2189">
      <c r="A2189" s="250">
        <v>45411.47689888889</v>
      </c>
      <c r="B2189" s="251" t="s">
        <v>1684</v>
      </c>
      <c r="C2189" s="178" t="s">
        <v>3712</v>
      </c>
      <c r="D2189" s="36" t="s">
        <v>1683</v>
      </c>
      <c r="E2189" s="36">
        <v>842.0</v>
      </c>
      <c r="F2189" s="178" t="s">
        <v>674</v>
      </c>
    </row>
    <row r="2190">
      <c r="A2190" s="250">
        <v>45411.47723888889</v>
      </c>
      <c r="B2190" s="251" t="s">
        <v>1693</v>
      </c>
      <c r="C2190" s="178" t="s">
        <v>3713</v>
      </c>
      <c r="D2190" s="36">
        <v>77939.0</v>
      </c>
      <c r="E2190" s="36" t="s">
        <v>1683</v>
      </c>
      <c r="F2190" s="178" t="s">
        <v>674</v>
      </c>
    </row>
    <row r="2191">
      <c r="A2191" s="250">
        <v>45411.47723888889</v>
      </c>
      <c r="B2191" s="251" t="s">
        <v>1684</v>
      </c>
      <c r="C2191" s="178" t="s">
        <v>3714</v>
      </c>
      <c r="D2191" s="36" t="s">
        <v>1683</v>
      </c>
      <c r="E2191" s="36">
        <v>77939.0</v>
      </c>
      <c r="F2191" s="178" t="s">
        <v>674</v>
      </c>
    </row>
    <row r="2192">
      <c r="A2192" s="250">
        <v>45411.51201111111</v>
      </c>
      <c r="B2192" s="251" t="s">
        <v>1693</v>
      </c>
      <c r="C2192" s="178" t="s">
        <v>3715</v>
      </c>
      <c r="D2192" s="36">
        <v>96100.0</v>
      </c>
      <c r="E2192" s="36" t="s">
        <v>1683</v>
      </c>
      <c r="F2192" s="178" t="s">
        <v>708</v>
      </c>
    </row>
    <row r="2193">
      <c r="A2193" s="250">
        <v>45411.51201111111</v>
      </c>
      <c r="B2193" s="251" t="s">
        <v>1684</v>
      </c>
      <c r="C2193" s="178" t="s">
        <v>3716</v>
      </c>
      <c r="D2193" s="36" t="s">
        <v>1683</v>
      </c>
      <c r="E2193" s="36">
        <v>96100.0</v>
      </c>
      <c r="F2193" s="178" t="s">
        <v>708</v>
      </c>
    </row>
    <row r="2194">
      <c r="A2194" s="250">
        <v>45411.56155111112</v>
      </c>
      <c r="B2194" s="251" t="s">
        <v>1783</v>
      </c>
      <c r="C2194" s="178" t="s">
        <v>3717</v>
      </c>
      <c r="D2194" s="36">
        <v>111879.99999999999</v>
      </c>
      <c r="E2194" s="36" t="s">
        <v>1683</v>
      </c>
      <c r="F2194" s="178" t="s">
        <v>154</v>
      </c>
    </row>
    <row r="2195">
      <c r="A2195" s="250">
        <v>45411.56155111112</v>
      </c>
      <c r="B2195" s="251" t="s">
        <v>1684</v>
      </c>
      <c r="C2195" s="178" t="s">
        <v>3718</v>
      </c>
      <c r="D2195" s="36" t="s">
        <v>1683</v>
      </c>
      <c r="E2195" s="36">
        <v>111879.99999999999</v>
      </c>
      <c r="F2195" s="178" t="s">
        <v>154</v>
      </c>
    </row>
    <row r="2196">
      <c r="A2196" s="250">
        <v>45411.56293</v>
      </c>
      <c r="B2196" s="251" t="s">
        <v>1783</v>
      </c>
      <c r="C2196" s="178" t="s">
        <v>3719</v>
      </c>
      <c r="D2196" s="36">
        <v>113050.0</v>
      </c>
      <c r="E2196" s="36" t="s">
        <v>1683</v>
      </c>
      <c r="F2196" s="178" t="s">
        <v>154</v>
      </c>
    </row>
    <row r="2197">
      <c r="A2197" s="250">
        <v>45411.56293</v>
      </c>
      <c r="B2197" s="251" t="s">
        <v>1684</v>
      </c>
      <c r="C2197" s="178" t="s">
        <v>3720</v>
      </c>
      <c r="D2197" s="36" t="s">
        <v>1683</v>
      </c>
      <c r="E2197" s="36">
        <v>113050.0</v>
      </c>
      <c r="F2197" s="178" t="s">
        <v>154</v>
      </c>
    </row>
    <row r="2198">
      <c r="A2198" s="250">
        <v>45411.56430888888</v>
      </c>
      <c r="B2198" s="251" t="s">
        <v>1783</v>
      </c>
      <c r="C2198" s="178" t="s">
        <v>3721</v>
      </c>
      <c r="D2198" s="36">
        <v>62631.99999999999</v>
      </c>
      <c r="E2198" s="36" t="s">
        <v>1683</v>
      </c>
      <c r="F2198" s="178" t="s">
        <v>154</v>
      </c>
    </row>
    <row r="2199">
      <c r="A2199" s="250">
        <v>45411.56430888888</v>
      </c>
      <c r="B2199" s="251" t="s">
        <v>1684</v>
      </c>
      <c r="C2199" s="178" t="s">
        <v>3722</v>
      </c>
      <c r="D2199" s="36" t="s">
        <v>1683</v>
      </c>
      <c r="E2199" s="36">
        <v>62631.99999999999</v>
      </c>
      <c r="F2199" s="178" t="s">
        <v>154</v>
      </c>
    </row>
    <row r="2200">
      <c r="A2200" s="250">
        <v>45411.56499333333</v>
      </c>
      <c r="B2200" s="251" t="s">
        <v>1783</v>
      </c>
      <c r="C2200" s="178" t="s">
        <v>3723</v>
      </c>
      <c r="D2200" s="36">
        <v>63275.99999999999</v>
      </c>
      <c r="E2200" s="36" t="s">
        <v>1683</v>
      </c>
      <c r="F2200" s="178" t="s">
        <v>154</v>
      </c>
    </row>
    <row r="2201">
      <c r="A2201" s="250">
        <v>45411.56499333333</v>
      </c>
      <c r="B2201" s="251" t="s">
        <v>1684</v>
      </c>
      <c r="C2201" s="178" t="s">
        <v>3724</v>
      </c>
      <c r="D2201" s="36" t="s">
        <v>1683</v>
      </c>
      <c r="E2201" s="36">
        <v>63275.99999999999</v>
      </c>
      <c r="F2201" s="178" t="s">
        <v>154</v>
      </c>
    </row>
    <row r="2202">
      <c r="A2202" s="250">
        <v>45411.65906989583</v>
      </c>
      <c r="B2202" s="251" t="s">
        <v>3174</v>
      </c>
      <c r="C2202" s="178" t="s">
        <v>3725</v>
      </c>
      <c r="D2202" s="36">
        <v>814135.9999999999</v>
      </c>
      <c r="E2202" s="36" t="s">
        <v>1683</v>
      </c>
      <c r="F2202" s="178" t="s">
        <v>428</v>
      </c>
    </row>
    <row r="2203">
      <c r="A2203" s="250">
        <v>45411.65906989583</v>
      </c>
      <c r="B2203" s="251" t="s">
        <v>1802</v>
      </c>
      <c r="C2203" s="178" t="s">
        <v>3687</v>
      </c>
      <c r="D2203" s="36" t="s">
        <v>1683</v>
      </c>
      <c r="E2203" s="36">
        <v>814135.9999999999</v>
      </c>
      <c r="F2203" s="178" t="s">
        <v>428</v>
      </c>
    </row>
    <row r="2204">
      <c r="A2204" s="250">
        <v>45411.6754106713</v>
      </c>
      <c r="B2204" s="251" t="s">
        <v>3017</v>
      </c>
      <c r="C2204" s="178" t="s">
        <v>3726</v>
      </c>
      <c r="D2204" s="36">
        <v>231000.0</v>
      </c>
      <c r="E2204" s="36" t="s">
        <v>1683</v>
      </c>
      <c r="F2204" s="178" t="s">
        <v>137</v>
      </c>
    </row>
    <row r="2205">
      <c r="A2205" s="250">
        <v>45411.6754106713</v>
      </c>
      <c r="B2205" s="251" t="s">
        <v>1698</v>
      </c>
      <c r="C2205" s="178" t="s">
        <v>3679</v>
      </c>
      <c r="D2205" s="36" t="s">
        <v>1683</v>
      </c>
      <c r="E2205" s="36">
        <v>231000.0</v>
      </c>
      <c r="F2205" s="178" t="s">
        <v>137</v>
      </c>
    </row>
    <row r="2206">
      <c r="A2206" s="250">
        <v>45411.69744777778</v>
      </c>
      <c r="B2206" s="251" t="s">
        <v>1783</v>
      </c>
      <c r="C2206" s="178" t="s">
        <v>3727</v>
      </c>
      <c r="D2206" s="36">
        <v>984250.0</v>
      </c>
      <c r="E2206" s="36" t="s">
        <v>1683</v>
      </c>
      <c r="F2206" s="178" t="s">
        <v>154</v>
      </c>
    </row>
    <row r="2207">
      <c r="A2207" s="250">
        <v>45411.69744777778</v>
      </c>
      <c r="B2207" s="251" t="s">
        <v>1684</v>
      </c>
      <c r="C2207" s="178" t="s">
        <v>3728</v>
      </c>
      <c r="D2207" s="36" t="s">
        <v>1683</v>
      </c>
      <c r="E2207" s="36">
        <v>984250.0</v>
      </c>
      <c r="F2207" s="178" t="s">
        <v>154</v>
      </c>
    </row>
    <row r="2208">
      <c r="A2208" s="250">
        <v>45411.723816666665</v>
      </c>
      <c r="B2208" s="251" t="s">
        <v>1783</v>
      </c>
      <c r="C2208" s="178" t="s">
        <v>3729</v>
      </c>
      <c r="D2208" s="36">
        <v>984250.0</v>
      </c>
      <c r="E2208" s="36" t="s">
        <v>1683</v>
      </c>
      <c r="F2208" s="178" t="s">
        <v>427</v>
      </c>
    </row>
    <row r="2209">
      <c r="A2209" s="250">
        <v>45411.723816666665</v>
      </c>
      <c r="B2209" s="251" t="s">
        <v>1684</v>
      </c>
      <c r="C2209" s="178" t="s">
        <v>3730</v>
      </c>
      <c r="D2209" s="36" t="s">
        <v>1683</v>
      </c>
      <c r="E2209" s="36">
        <v>984250.0</v>
      </c>
      <c r="F2209" s="178" t="s">
        <v>427</v>
      </c>
    </row>
    <row r="2210">
      <c r="A2210" s="250">
        <v>45411.72382666667</v>
      </c>
      <c r="B2210" s="251" t="s">
        <v>1783</v>
      </c>
      <c r="C2210" s="178" t="s">
        <v>3731</v>
      </c>
      <c r="D2210" s="36">
        <v>984250.0</v>
      </c>
      <c r="E2210" s="36" t="s">
        <v>1683</v>
      </c>
      <c r="F2210" s="178" t="s">
        <v>428</v>
      </c>
    </row>
    <row r="2211">
      <c r="A2211" s="250">
        <v>45411.72382666667</v>
      </c>
      <c r="B2211" s="251" t="s">
        <v>1684</v>
      </c>
      <c r="C2211" s="178" t="s">
        <v>3732</v>
      </c>
      <c r="D2211" s="36" t="s">
        <v>1683</v>
      </c>
      <c r="E2211" s="36">
        <v>984250.0</v>
      </c>
      <c r="F2211" s="178" t="s">
        <v>428</v>
      </c>
    </row>
    <row r="2212">
      <c r="A2212" s="250">
        <v>45411.75688016204</v>
      </c>
      <c r="B2212" s="251" t="s">
        <v>1774</v>
      </c>
      <c r="C2212" s="178" t="s">
        <v>3733</v>
      </c>
      <c r="D2212" s="36">
        <v>79012.00000000001</v>
      </c>
      <c r="E2212" s="36" t="s">
        <v>1683</v>
      </c>
      <c r="F2212" s="178" t="s">
        <v>154</v>
      </c>
    </row>
    <row r="2213">
      <c r="A2213" s="250">
        <v>45411.75688016204</v>
      </c>
      <c r="B2213" s="251" t="s">
        <v>1802</v>
      </c>
      <c r="C2213" s="178" t="s">
        <v>3669</v>
      </c>
      <c r="D2213" s="36" t="s">
        <v>1683</v>
      </c>
      <c r="E2213" s="36">
        <v>79012.00000000001</v>
      </c>
      <c r="F2213" s="178" t="s">
        <v>154</v>
      </c>
    </row>
    <row r="2214">
      <c r="A2214" s="250">
        <v>45411.756880277775</v>
      </c>
      <c r="B2214" s="251" t="s">
        <v>1774</v>
      </c>
      <c r="C2214" s="178" t="s">
        <v>3734</v>
      </c>
      <c r="D2214" s="36">
        <v>77032.00000000001</v>
      </c>
      <c r="E2214" s="36" t="s">
        <v>1683</v>
      </c>
      <c r="F2214" s="178" t="s">
        <v>154</v>
      </c>
    </row>
    <row r="2215">
      <c r="A2215" s="250">
        <v>45411.756880277775</v>
      </c>
      <c r="B2215" s="251" t="s">
        <v>1802</v>
      </c>
      <c r="C2215" s="178" t="s">
        <v>3665</v>
      </c>
      <c r="D2215" s="36" t="s">
        <v>1683</v>
      </c>
      <c r="E2215" s="36">
        <v>77032.00000000001</v>
      </c>
      <c r="F2215" s="178" t="s">
        <v>154</v>
      </c>
    </row>
    <row r="2216">
      <c r="A2216" s="250">
        <v>45411.75688694445</v>
      </c>
      <c r="B2216" s="251" t="s">
        <v>1774</v>
      </c>
      <c r="C2216" s="178" t="s">
        <v>3735</v>
      </c>
      <c r="D2216" s="36">
        <v>76240.00000000001</v>
      </c>
      <c r="E2216" s="36" t="s">
        <v>1683</v>
      </c>
      <c r="F2216" s="178" t="s">
        <v>154</v>
      </c>
    </row>
    <row r="2217">
      <c r="A2217" s="250">
        <v>45411.75688694445</v>
      </c>
      <c r="B2217" s="251" t="s">
        <v>1802</v>
      </c>
      <c r="C2217" s="178" t="s">
        <v>3661</v>
      </c>
      <c r="D2217" s="36" t="s">
        <v>1683</v>
      </c>
      <c r="E2217" s="36">
        <v>76240.00000000001</v>
      </c>
      <c r="F2217" s="178" t="s">
        <v>154</v>
      </c>
    </row>
    <row r="2218">
      <c r="A2218" s="250">
        <v>45411.95241063657</v>
      </c>
      <c r="B2218" s="251" t="s">
        <v>1990</v>
      </c>
      <c r="C2218" s="178" t="s">
        <v>3736</v>
      </c>
      <c r="D2218" s="36">
        <v>242364.08977556092</v>
      </c>
      <c r="E2218" s="36" t="s">
        <v>1683</v>
      </c>
      <c r="F2218" s="178" t="s">
        <v>1683</v>
      </c>
    </row>
    <row r="2219">
      <c r="A2219" s="250">
        <v>45411.95241063657</v>
      </c>
      <c r="B2219" s="251" t="s">
        <v>1992</v>
      </c>
      <c r="C2219" s="178" t="s">
        <v>3737</v>
      </c>
      <c r="D2219" s="36" t="s">
        <v>1683</v>
      </c>
      <c r="E2219" s="36">
        <v>242364.08977556092</v>
      </c>
      <c r="F2219" s="178" t="s">
        <v>1683</v>
      </c>
    </row>
    <row r="2220">
      <c r="A2220" s="250">
        <v>45411.953803854165</v>
      </c>
      <c r="B2220" s="251" t="s">
        <v>2848</v>
      </c>
      <c r="C2220" s="178" t="s">
        <v>3738</v>
      </c>
      <c r="D2220" s="36">
        <v>16156.93333333338</v>
      </c>
      <c r="E2220" s="36" t="s">
        <v>1683</v>
      </c>
      <c r="F2220" s="178" t="s">
        <v>1683</v>
      </c>
    </row>
    <row r="2221">
      <c r="A2221" s="250">
        <v>45411.953803854165</v>
      </c>
      <c r="B2221" s="251" t="s">
        <v>3260</v>
      </c>
      <c r="C2221" s="178" t="s">
        <v>3739</v>
      </c>
      <c r="D2221" s="36" t="s">
        <v>1683</v>
      </c>
      <c r="E2221" s="36">
        <v>16156.93333333338</v>
      </c>
      <c r="F2221" s="178" t="s">
        <v>1683</v>
      </c>
    </row>
    <row r="2222">
      <c r="A2222" s="250">
        <v>45411.959424664354</v>
      </c>
      <c r="B2222" s="251" t="s">
        <v>2841</v>
      </c>
      <c r="C2222" s="178" t="s">
        <v>3740</v>
      </c>
      <c r="D2222" s="36">
        <v>7164.0932</v>
      </c>
      <c r="E2222" s="36" t="s">
        <v>1683</v>
      </c>
      <c r="F2222" s="178" t="s">
        <v>1683</v>
      </c>
    </row>
    <row r="2223">
      <c r="A2223" s="250">
        <v>45411.959424664354</v>
      </c>
      <c r="B2223" s="251" t="s">
        <v>3102</v>
      </c>
      <c r="C2223" s="178" t="s">
        <v>3741</v>
      </c>
      <c r="D2223" s="36" t="s">
        <v>1683</v>
      </c>
      <c r="E2223" s="36">
        <v>7164.0932</v>
      </c>
      <c r="F2223" s="178" t="s">
        <v>1683</v>
      </c>
    </row>
    <row r="2224">
      <c r="A2224" s="250">
        <v>45411.970732696755</v>
      </c>
      <c r="B2224" s="251" t="s">
        <v>3160</v>
      </c>
      <c r="C2224" s="178" t="s">
        <v>3742</v>
      </c>
      <c r="D2224" s="36">
        <v>26891.66666666669</v>
      </c>
      <c r="E2224" s="36" t="s">
        <v>1683</v>
      </c>
      <c r="F2224" s="178" t="s">
        <v>1683</v>
      </c>
    </row>
    <row r="2225">
      <c r="A2225" s="250">
        <v>45411.970732696755</v>
      </c>
      <c r="B2225" s="251" t="s">
        <v>3162</v>
      </c>
      <c r="C2225" s="178" t="s">
        <v>3743</v>
      </c>
      <c r="D2225" s="36" t="s">
        <v>1683</v>
      </c>
      <c r="E2225" s="36">
        <v>26891.66666666669</v>
      </c>
      <c r="F2225" s="178" t="s">
        <v>1683</v>
      </c>
    </row>
    <row r="2226">
      <c r="A2226" s="250">
        <v>45411.97347740741</v>
      </c>
      <c r="B2226" s="251" t="s">
        <v>2685</v>
      </c>
      <c r="C2226" s="178" t="s">
        <v>3744</v>
      </c>
      <c r="D2226" s="36">
        <v>55590.0</v>
      </c>
      <c r="E2226" s="36" t="s">
        <v>1683</v>
      </c>
      <c r="F2226" s="178" t="s">
        <v>1683</v>
      </c>
    </row>
    <row r="2227">
      <c r="A2227" s="250">
        <v>45411.97347740741</v>
      </c>
      <c r="B2227" s="251" t="s">
        <v>3745</v>
      </c>
      <c r="C2227" s="178" t="s">
        <v>3746</v>
      </c>
      <c r="D2227" s="36" t="s">
        <v>1683</v>
      </c>
      <c r="E2227" s="36">
        <v>55590.0</v>
      </c>
      <c r="F2227" s="178" t="s">
        <v>1683</v>
      </c>
    </row>
    <row r="2228">
      <c r="A2228" s="250">
        <v>45411.9796770949</v>
      </c>
      <c r="B2228" s="251" t="s">
        <v>3747</v>
      </c>
      <c r="C2228" s="178" t="s">
        <v>3748</v>
      </c>
      <c r="D2228" s="36">
        <v>30440.0</v>
      </c>
      <c r="E2228" s="36" t="s">
        <v>1683</v>
      </c>
      <c r="F2228" s="178" t="s">
        <v>1683</v>
      </c>
    </row>
    <row r="2229">
      <c r="A2229" s="250">
        <v>45411.9796770949</v>
      </c>
      <c r="B2229" s="251" t="s">
        <v>3749</v>
      </c>
      <c r="C2229" s="178" t="s">
        <v>3750</v>
      </c>
      <c r="D2229" s="36" t="s">
        <v>1683</v>
      </c>
      <c r="E2229" s="36">
        <v>30440.0</v>
      </c>
      <c r="F2229" s="178" t="s">
        <v>1683</v>
      </c>
    </row>
    <row r="2230">
      <c r="A2230" s="250">
        <v>45411.98263287037</v>
      </c>
      <c r="B2230" s="251" t="s">
        <v>2489</v>
      </c>
      <c r="C2230" s="178" t="s">
        <v>3751</v>
      </c>
      <c r="D2230" s="36">
        <v>1880.0</v>
      </c>
      <c r="E2230" s="36" t="s">
        <v>1683</v>
      </c>
      <c r="F2230" s="178" t="s">
        <v>1683</v>
      </c>
    </row>
    <row r="2231">
      <c r="A2231" s="250">
        <v>45411.98263287037</v>
      </c>
      <c r="B2231" s="251" t="s">
        <v>3752</v>
      </c>
      <c r="C2231" s="178" t="s">
        <v>3753</v>
      </c>
      <c r="D2231" s="36" t="s">
        <v>1683</v>
      </c>
      <c r="E2231" s="36">
        <v>1880.0</v>
      </c>
      <c r="F2231" s="178" t="s">
        <v>1683</v>
      </c>
    </row>
    <row r="2232">
      <c r="A2232" s="250">
        <v>45412.402501689816</v>
      </c>
      <c r="B2232" s="251" t="s">
        <v>3356</v>
      </c>
      <c r="C2232" s="178" t="s">
        <v>3754</v>
      </c>
      <c r="D2232" s="36">
        <v>1235500.0</v>
      </c>
      <c r="E2232" s="36" t="s">
        <v>1683</v>
      </c>
      <c r="F2232" s="178" t="s">
        <v>820</v>
      </c>
    </row>
    <row r="2233">
      <c r="A2233" s="250">
        <v>45412.402501689816</v>
      </c>
      <c r="B2233" s="251" t="s">
        <v>1802</v>
      </c>
      <c r="C2233" s="178" t="s">
        <v>3681</v>
      </c>
      <c r="D2233" s="36" t="s">
        <v>1683</v>
      </c>
      <c r="E2233" s="36">
        <v>1235500.0</v>
      </c>
      <c r="F2233" s="178" t="s">
        <v>820</v>
      </c>
    </row>
    <row r="2234">
      <c r="A2234" s="250">
        <v>45412.515454583336</v>
      </c>
      <c r="B2234" s="251" t="s">
        <v>1839</v>
      </c>
      <c r="C2234" s="178" t="s">
        <v>3755</v>
      </c>
      <c r="D2234" s="36">
        <v>111879.99999999999</v>
      </c>
      <c r="E2234" s="36" t="s">
        <v>1683</v>
      </c>
      <c r="F2234" s="178" t="s">
        <v>154</v>
      </c>
    </row>
    <row r="2235">
      <c r="A2235" s="250">
        <v>45412.515454583336</v>
      </c>
      <c r="B2235" s="251" t="s">
        <v>1802</v>
      </c>
      <c r="C2235" s="178" t="s">
        <v>3717</v>
      </c>
      <c r="D2235" s="36" t="s">
        <v>1683</v>
      </c>
      <c r="E2235" s="36">
        <v>111879.99999999999</v>
      </c>
      <c r="F2235" s="178" t="s">
        <v>154</v>
      </c>
    </row>
    <row r="2236">
      <c r="A2236" s="250">
        <v>45412.51545474537</v>
      </c>
      <c r="B2236" s="251" t="s">
        <v>1839</v>
      </c>
      <c r="C2236" s="178" t="s">
        <v>3756</v>
      </c>
      <c r="D2236" s="36">
        <v>113050.0</v>
      </c>
      <c r="E2236" s="36" t="s">
        <v>1683</v>
      </c>
      <c r="F2236" s="178" t="s">
        <v>154</v>
      </c>
    </row>
    <row r="2237">
      <c r="A2237" s="250">
        <v>45412.51545474537</v>
      </c>
      <c r="B2237" s="251" t="s">
        <v>1802</v>
      </c>
      <c r="C2237" s="178" t="s">
        <v>3719</v>
      </c>
      <c r="D2237" s="36" t="s">
        <v>1683</v>
      </c>
      <c r="E2237" s="36">
        <v>113050.0</v>
      </c>
      <c r="F2237" s="178" t="s">
        <v>154</v>
      </c>
    </row>
    <row r="2238">
      <c r="A2238" s="250">
        <v>45412.67071435185</v>
      </c>
      <c r="B2238" s="251" t="s">
        <v>2497</v>
      </c>
      <c r="C2238" s="178" t="s">
        <v>3757</v>
      </c>
      <c r="D2238" s="36">
        <v>234368.00000000003</v>
      </c>
      <c r="E2238" s="36" t="s">
        <v>1683</v>
      </c>
      <c r="F2238" s="178" t="s">
        <v>926</v>
      </c>
    </row>
    <row r="2239">
      <c r="A2239" s="250">
        <v>45412.67071435185</v>
      </c>
      <c r="B2239" s="251" t="s">
        <v>1698</v>
      </c>
      <c r="C2239" s="178" t="s">
        <v>3704</v>
      </c>
      <c r="D2239" s="36" t="s">
        <v>1683</v>
      </c>
      <c r="E2239" s="36">
        <v>234368.00000000003</v>
      </c>
      <c r="F2239" s="178" t="s">
        <v>926</v>
      </c>
    </row>
    <row r="2240">
      <c r="A2240" s="250">
        <v>45412.67741680555</v>
      </c>
      <c r="B2240" s="251" t="s">
        <v>2243</v>
      </c>
      <c r="C2240" s="178" t="s">
        <v>3758</v>
      </c>
      <c r="D2240" s="36">
        <v>33798.96</v>
      </c>
      <c r="E2240" s="36" t="s">
        <v>1683</v>
      </c>
      <c r="F2240" s="178" t="s">
        <v>1683</v>
      </c>
    </row>
    <row r="2241">
      <c r="A2241" s="250">
        <v>45412.67741680555</v>
      </c>
      <c r="B2241" s="251" t="s">
        <v>2245</v>
      </c>
      <c r="C2241" s="178" t="s">
        <v>3759</v>
      </c>
      <c r="D2241" s="36" t="s">
        <v>1683</v>
      </c>
      <c r="E2241" s="36">
        <v>33798.96</v>
      </c>
      <c r="F2241" s="178" t="s">
        <v>1683</v>
      </c>
    </row>
    <row r="2242">
      <c r="A2242" s="250">
        <v>45412.678280856475</v>
      </c>
      <c r="B2242" s="251" t="s">
        <v>1846</v>
      </c>
      <c r="C2242" s="178" t="s">
        <v>3760</v>
      </c>
      <c r="D2242" s="36">
        <v>60967.99999999999</v>
      </c>
      <c r="E2242" s="36" t="s">
        <v>1683</v>
      </c>
      <c r="F2242" s="178" t="s">
        <v>926</v>
      </c>
    </row>
    <row r="2243">
      <c r="A2243" s="250">
        <v>45412.678280856475</v>
      </c>
      <c r="B2243" s="251" t="s">
        <v>1698</v>
      </c>
      <c r="C2243" s="178" t="s">
        <v>3706</v>
      </c>
      <c r="D2243" s="36" t="s">
        <v>1683</v>
      </c>
      <c r="E2243" s="36">
        <v>60967.99999999999</v>
      </c>
      <c r="F2243" s="178" t="s">
        <v>926</v>
      </c>
    </row>
    <row r="2244">
      <c r="A2244" s="250">
        <v>45412.67895663194</v>
      </c>
      <c r="B2244" s="251" t="s">
        <v>3387</v>
      </c>
      <c r="C2244" s="178" t="s">
        <v>3761</v>
      </c>
      <c r="D2244" s="36">
        <v>2396104.0000000005</v>
      </c>
      <c r="E2244" s="36" t="s">
        <v>1683</v>
      </c>
      <c r="F2244" s="178" t="s">
        <v>609</v>
      </c>
    </row>
    <row r="2245">
      <c r="A2245" s="250">
        <v>45412.67895663194</v>
      </c>
      <c r="B2245" s="251" t="s">
        <v>1698</v>
      </c>
      <c r="C2245" s="178" t="s">
        <v>3709</v>
      </c>
      <c r="D2245" s="36" t="s">
        <v>1683</v>
      </c>
      <c r="E2245" s="36">
        <v>2396104.0000000005</v>
      </c>
      <c r="F2245" s="178" t="s">
        <v>609</v>
      </c>
    </row>
    <row r="2246">
      <c r="A2246" s="250">
        <v>45412.83579993056</v>
      </c>
      <c r="B2246" s="251" t="s">
        <v>2499</v>
      </c>
      <c r="C2246" s="178" t="s">
        <v>3762</v>
      </c>
      <c r="D2246" s="36">
        <v>842.0</v>
      </c>
      <c r="E2246" s="36" t="s">
        <v>1683</v>
      </c>
      <c r="F2246" s="178" t="s">
        <v>674</v>
      </c>
    </row>
    <row r="2247">
      <c r="A2247" s="250">
        <v>45412.83579993056</v>
      </c>
      <c r="B2247" s="251" t="s">
        <v>1698</v>
      </c>
      <c r="C2247" s="178" t="s">
        <v>3711</v>
      </c>
      <c r="D2247" s="36" t="s">
        <v>1683</v>
      </c>
      <c r="E2247" s="36">
        <v>842.0</v>
      </c>
      <c r="F2247" s="178" t="s">
        <v>674</v>
      </c>
    </row>
    <row r="2248">
      <c r="A2248" s="250">
        <v>45412.836131516204</v>
      </c>
      <c r="B2248" s="251" t="s">
        <v>3240</v>
      </c>
      <c r="C2248" s="178" t="s">
        <v>3763</v>
      </c>
      <c r="D2248" s="36">
        <v>77939.0</v>
      </c>
      <c r="E2248" s="36" t="s">
        <v>1683</v>
      </c>
      <c r="F2248" s="178" t="s">
        <v>674</v>
      </c>
    </row>
    <row r="2249">
      <c r="A2249" s="250">
        <v>45412.836131516204</v>
      </c>
      <c r="B2249" s="251" t="s">
        <v>1698</v>
      </c>
      <c r="C2249" s="178" t="s">
        <v>3713</v>
      </c>
      <c r="D2249" s="36" t="s">
        <v>1683</v>
      </c>
      <c r="E2249" s="36">
        <v>77939.0</v>
      </c>
      <c r="F2249" s="178" t="s">
        <v>674</v>
      </c>
    </row>
    <row r="2250">
      <c r="A2250" s="250">
        <v>45412.91984444444</v>
      </c>
      <c r="B2250" s="251" t="s">
        <v>1783</v>
      </c>
      <c r="C2250" s="178" t="s">
        <v>3764</v>
      </c>
      <c r="D2250" s="36">
        <v>111879.99999999999</v>
      </c>
      <c r="E2250" s="36" t="s">
        <v>1683</v>
      </c>
      <c r="F2250" s="178" t="s">
        <v>154</v>
      </c>
    </row>
    <row r="2251">
      <c r="A2251" s="250">
        <v>45412.91984444444</v>
      </c>
      <c r="B2251" s="251" t="s">
        <v>1684</v>
      </c>
      <c r="C2251" s="178" t="s">
        <v>3765</v>
      </c>
      <c r="D2251" s="36" t="s">
        <v>1683</v>
      </c>
      <c r="E2251" s="36">
        <v>111879.99999999999</v>
      </c>
      <c r="F2251" s="178" t="s">
        <v>154</v>
      </c>
    </row>
    <row r="2252">
      <c r="A2252" s="250">
        <v>45412.92052888889</v>
      </c>
      <c r="B2252" s="251" t="s">
        <v>1783</v>
      </c>
      <c r="C2252" s="178" t="s">
        <v>3766</v>
      </c>
      <c r="D2252" s="36">
        <v>113050.0</v>
      </c>
      <c r="E2252" s="36" t="s">
        <v>1683</v>
      </c>
      <c r="F2252" s="178" t="s">
        <v>154</v>
      </c>
    </row>
    <row r="2253">
      <c r="A2253" s="250">
        <v>45412.92052888889</v>
      </c>
      <c r="B2253" s="251" t="s">
        <v>1684</v>
      </c>
      <c r="C2253" s="178" t="s">
        <v>3767</v>
      </c>
      <c r="D2253" s="36" t="s">
        <v>1683</v>
      </c>
      <c r="E2253" s="36">
        <v>113050.0</v>
      </c>
      <c r="F2253" s="178" t="s">
        <v>154</v>
      </c>
    </row>
    <row r="2254">
      <c r="A2254" s="250">
        <v>45413.348326666666</v>
      </c>
      <c r="B2254" s="251" t="s">
        <v>1839</v>
      </c>
      <c r="C2254" s="178" t="s">
        <v>3768</v>
      </c>
      <c r="D2254" s="36">
        <v>63275.99999999999</v>
      </c>
      <c r="E2254" s="36" t="s">
        <v>1683</v>
      </c>
      <c r="F2254" s="178" t="s">
        <v>154</v>
      </c>
    </row>
    <row r="2255">
      <c r="A2255" s="250">
        <v>45413.348326666666</v>
      </c>
      <c r="B2255" s="251" t="s">
        <v>1802</v>
      </c>
      <c r="C2255" s="178" t="s">
        <v>3723</v>
      </c>
      <c r="D2255" s="36" t="s">
        <v>1683</v>
      </c>
      <c r="E2255" s="36">
        <v>63275.99999999999</v>
      </c>
      <c r="F2255" s="178" t="s">
        <v>154</v>
      </c>
    </row>
    <row r="2256">
      <c r="A2256" s="250">
        <v>45413.417656666665</v>
      </c>
      <c r="B2256" s="251" t="s">
        <v>3017</v>
      </c>
      <c r="C2256" s="178" t="s">
        <v>3769</v>
      </c>
      <c r="D2256" s="36">
        <v>275989.0</v>
      </c>
      <c r="E2256" s="36" t="s">
        <v>1683</v>
      </c>
      <c r="F2256" s="178" t="s">
        <v>136</v>
      </c>
    </row>
    <row r="2257">
      <c r="A2257" s="250">
        <v>45413.417656666665</v>
      </c>
      <c r="B2257" s="251" t="s">
        <v>1802</v>
      </c>
      <c r="C2257" s="178" t="s">
        <v>3683</v>
      </c>
      <c r="D2257" s="36" t="s">
        <v>1683</v>
      </c>
      <c r="E2257" s="36">
        <v>275989.0</v>
      </c>
      <c r="F2257" s="178" t="s">
        <v>136</v>
      </c>
    </row>
    <row r="2258">
      <c r="A2258" s="250">
        <v>45413.61014222222</v>
      </c>
      <c r="B2258" s="251" t="s">
        <v>1839</v>
      </c>
      <c r="C2258" s="178" t="s">
        <v>3770</v>
      </c>
      <c r="D2258" s="36">
        <v>62631.99999999999</v>
      </c>
      <c r="E2258" s="36" t="s">
        <v>1683</v>
      </c>
      <c r="F2258" s="178" t="s">
        <v>154</v>
      </c>
    </row>
    <row r="2259">
      <c r="A2259" s="250">
        <v>45413.61014222222</v>
      </c>
      <c r="B2259" s="251" t="s">
        <v>1802</v>
      </c>
      <c r="C2259" s="178" t="s">
        <v>3721</v>
      </c>
      <c r="D2259" s="36" t="s">
        <v>1683</v>
      </c>
      <c r="E2259" s="36">
        <v>62631.99999999999</v>
      </c>
      <c r="F2259" s="178" t="s">
        <v>154</v>
      </c>
    </row>
    <row r="2260">
      <c r="A2260" s="250">
        <v>45413.611251111106</v>
      </c>
      <c r="B2260" s="251" t="s">
        <v>1896</v>
      </c>
      <c r="C2260" s="178" t="s">
        <v>3771</v>
      </c>
      <c r="D2260" s="36">
        <v>1971000.0</v>
      </c>
      <c r="E2260" s="36" t="s">
        <v>1683</v>
      </c>
      <c r="F2260" s="178"/>
    </row>
    <row r="2261">
      <c r="A2261" s="250">
        <v>45413.611251111106</v>
      </c>
      <c r="B2261" s="251" t="s">
        <v>3242</v>
      </c>
      <c r="C2261" s="178" t="s">
        <v>3277</v>
      </c>
      <c r="D2261" s="36" t="s">
        <v>1683</v>
      </c>
      <c r="E2261" s="36">
        <v>1971000.0</v>
      </c>
      <c r="F2261" s="178"/>
    </row>
    <row r="2262">
      <c r="A2262" s="250">
        <v>45413.66687666666</v>
      </c>
      <c r="B2262" s="251" t="s">
        <v>3356</v>
      </c>
      <c r="C2262" s="178" t="s">
        <v>3772</v>
      </c>
      <c r="D2262" s="36">
        <v>2174575.0</v>
      </c>
      <c r="E2262" s="36" t="s">
        <v>1683</v>
      </c>
      <c r="F2262" s="178" t="s">
        <v>428</v>
      </c>
    </row>
    <row r="2263">
      <c r="A2263" s="250">
        <v>45413.66687666666</v>
      </c>
      <c r="B2263" s="251" t="s">
        <v>1802</v>
      </c>
      <c r="C2263" s="178" t="s">
        <v>3685</v>
      </c>
      <c r="D2263" s="36" t="s">
        <v>1683</v>
      </c>
      <c r="E2263" s="36">
        <v>2174575.0</v>
      </c>
      <c r="F2263" s="178" t="s">
        <v>428</v>
      </c>
    </row>
    <row r="2264">
      <c r="A2264" s="250">
        <v>45413.8075040625</v>
      </c>
      <c r="B2264" s="251" t="s">
        <v>1844</v>
      </c>
      <c r="C2264" s="178" t="s">
        <v>3773</v>
      </c>
      <c r="D2264" s="36">
        <v>984250.0</v>
      </c>
      <c r="E2264" s="36" t="s">
        <v>1683</v>
      </c>
      <c r="F2264" s="178" t="s">
        <v>427</v>
      </c>
    </row>
    <row r="2265">
      <c r="A2265" s="250">
        <v>45413.8075040625</v>
      </c>
      <c r="B2265" s="251" t="s">
        <v>1802</v>
      </c>
      <c r="C2265" s="178" t="s">
        <v>3729</v>
      </c>
      <c r="D2265" s="36" t="s">
        <v>1683</v>
      </c>
      <c r="E2265" s="36">
        <v>984250.0</v>
      </c>
      <c r="F2265" s="178" t="s">
        <v>427</v>
      </c>
    </row>
    <row r="2266">
      <c r="A2266" s="250">
        <v>45414.41756666666</v>
      </c>
      <c r="B2266" s="251" t="s">
        <v>1958</v>
      </c>
      <c r="C2266" s="178" t="s">
        <v>3774</v>
      </c>
      <c r="D2266" s="36">
        <v>96100.0</v>
      </c>
      <c r="E2266" s="36" t="s">
        <v>1683</v>
      </c>
      <c r="F2266" s="178" t="s">
        <v>708</v>
      </c>
    </row>
    <row r="2267">
      <c r="A2267" s="250">
        <v>45414.41756666666</v>
      </c>
      <c r="B2267" s="251" t="s">
        <v>1698</v>
      </c>
      <c r="C2267" s="178" t="s">
        <v>3715</v>
      </c>
      <c r="D2267" s="36" t="s">
        <v>1683</v>
      </c>
      <c r="E2267" s="36">
        <v>96100.0</v>
      </c>
      <c r="F2267" s="178" t="s">
        <v>708</v>
      </c>
    </row>
    <row r="2268">
      <c r="A2268" s="250">
        <v>45414.41757666667</v>
      </c>
      <c r="B2268" s="251" t="s">
        <v>1844</v>
      </c>
      <c r="C2268" s="178" t="s">
        <v>3775</v>
      </c>
      <c r="D2268" s="36">
        <v>984250.0</v>
      </c>
      <c r="E2268" s="36" t="s">
        <v>1683</v>
      </c>
      <c r="F2268" s="178" t="s">
        <v>428</v>
      </c>
    </row>
    <row r="2269">
      <c r="A2269" s="250">
        <v>45414.41757666667</v>
      </c>
      <c r="B2269" s="251" t="s">
        <v>1802</v>
      </c>
      <c r="C2269" s="178" t="s">
        <v>3731</v>
      </c>
      <c r="D2269" s="36" t="s">
        <v>1683</v>
      </c>
      <c r="E2269" s="36">
        <v>984250.0</v>
      </c>
      <c r="F2269" s="178" t="s">
        <v>428</v>
      </c>
    </row>
    <row r="2270">
      <c r="A2270" s="250">
        <v>45414.41758666666</v>
      </c>
      <c r="B2270" s="251" t="s">
        <v>1844</v>
      </c>
      <c r="C2270" s="178" t="s">
        <v>3776</v>
      </c>
      <c r="D2270" s="36">
        <v>984250.0</v>
      </c>
      <c r="E2270" s="36" t="s">
        <v>1683</v>
      </c>
      <c r="F2270" s="178" t="s">
        <v>154</v>
      </c>
    </row>
    <row r="2271">
      <c r="A2271" s="250">
        <v>45414.41758666666</v>
      </c>
      <c r="B2271" s="251" t="s">
        <v>1802</v>
      </c>
      <c r="C2271" s="178" t="s">
        <v>3727</v>
      </c>
      <c r="D2271" s="36" t="s">
        <v>1683</v>
      </c>
      <c r="E2271" s="36">
        <v>984250.0</v>
      </c>
      <c r="F2271" s="178" t="s">
        <v>154</v>
      </c>
    </row>
    <row r="2272">
      <c r="A2272" s="250">
        <v>45414.51292285879</v>
      </c>
      <c r="B2272" s="251" t="s">
        <v>2987</v>
      </c>
      <c r="C2272" s="178" t="s">
        <v>3777</v>
      </c>
      <c r="D2272" s="36">
        <v>17104.54545454545</v>
      </c>
      <c r="E2272" s="36" t="s">
        <v>1683</v>
      </c>
      <c r="F2272" s="178" t="s">
        <v>1683</v>
      </c>
    </row>
    <row r="2273">
      <c r="A2273" s="250">
        <v>45414.51292285879</v>
      </c>
      <c r="B2273" s="251" t="s">
        <v>3778</v>
      </c>
      <c r="C2273" s="178" t="s">
        <v>3779</v>
      </c>
      <c r="D2273" s="36" t="s">
        <v>1683</v>
      </c>
      <c r="E2273" s="36">
        <v>17104.54545454545</v>
      </c>
      <c r="F2273" s="178" t="s">
        <v>1683</v>
      </c>
    </row>
    <row r="2274">
      <c r="A2274" s="250">
        <v>45414.601084444446</v>
      </c>
      <c r="B2274" s="251" t="s">
        <v>1693</v>
      </c>
      <c r="C2274" s="178" t="s">
        <v>3780</v>
      </c>
      <c r="D2274" s="36">
        <v>24624.999999999996</v>
      </c>
      <c r="E2274" s="36" t="s">
        <v>1683</v>
      </c>
      <c r="F2274" s="178" t="s">
        <v>664</v>
      </c>
    </row>
    <row r="2275">
      <c r="A2275" s="250">
        <v>45414.601084444446</v>
      </c>
      <c r="B2275" s="251" t="s">
        <v>1684</v>
      </c>
      <c r="C2275" s="178" t="s">
        <v>3781</v>
      </c>
      <c r="D2275" s="36" t="s">
        <v>1683</v>
      </c>
      <c r="E2275" s="36">
        <v>24624.999999999996</v>
      </c>
      <c r="F2275" s="178" t="s">
        <v>664</v>
      </c>
    </row>
    <row r="2276">
      <c r="A2276" s="250">
        <v>45414.601144444445</v>
      </c>
      <c r="B2276" s="251" t="s">
        <v>1693</v>
      </c>
      <c r="C2276" s="178" t="s">
        <v>3782</v>
      </c>
      <c r="D2276" s="36">
        <v>24624.999999999996</v>
      </c>
      <c r="E2276" s="36" t="s">
        <v>1683</v>
      </c>
      <c r="F2276" s="178" t="s">
        <v>664</v>
      </c>
    </row>
    <row r="2277">
      <c r="A2277" s="250">
        <v>45414.601144444445</v>
      </c>
      <c r="B2277" s="251" t="s">
        <v>1684</v>
      </c>
      <c r="C2277" s="178" t="s">
        <v>3783</v>
      </c>
      <c r="D2277" s="36" t="s">
        <v>1683</v>
      </c>
      <c r="E2277" s="36">
        <v>24624.999999999996</v>
      </c>
      <c r="F2277" s="178" t="s">
        <v>664</v>
      </c>
    </row>
    <row r="2278">
      <c r="A2278" s="250">
        <v>45414.60119444445</v>
      </c>
      <c r="B2278" s="251" t="s">
        <v>1693</v>
      </c>
      <c r="C2278" s="178" t="s">
        <v>3784</v>
      </c>
      <c r="D2278" s="36">
        <v>37125.0</v>
      </c>
      <c r="E2278" s="36" t="s">
        <v>1683</v>
      </c>
      <c r="F2278" s="178" t="s">
        <v>664</v>
      </c>
    </row>
    <row r="2279">
      <c r="A2279" s="250">
        <v>45414.60119444445</v>
      </c>
      <c r="B2279" s="251" t="s">
        <v>1684</v>
      </c>
      <c r="C2279" s="178" t="s">
        <v>3785</v>
      </c>
      <c r="D2279" s="36" t="s">
        <v>1683</v>
      </c>
      <c r="E2279" s="36">
        <v>37125.0</v>
      </c>
      <c r="F2279" s="178" t="s">
        <v>664</v>
      </c>
    </row>
    <row r="2280">
      <c r="A2280" s="250">
        <v>45414.601254444446</v>
      </c>
      <c r="B2280" s="251" t="s">
        <v>1693</v>
      </c>
      <c r="C2280" s="178" t="s">
        <v>3786</v>
      </c>
      <c r="D2280" s="36">
        <v>24624.999999999996</v>
      </c>
      <c r="E2280" s="36" t="s">
        <v>1683</v>
      </c>
      <c r="F2280" s="178" t="s">
        <v>664</v>
      </c>
    </row>
    <row r="2281">
      <c r="A2281" s="250">
        <v>45414.601254444446</v>
      </c>
      <c r="B2281" s="251" t="s">
        <v>1684</v>
      </c>
      <c r="C2281" s="178" t="s">
        <v>3787</v>
      </c>
      <c r="D2281" s="36" t="s">
        <v>1683</v>
      </c>
      <c r="E2281" s="36">
        <v>24624.999999999996</v>
      </c>
      <c r="F2281" s="178" t="s">
        <v>664</v>
      </c>
    </row>
    <row r="2282">
      <c r="A2282" s="250">
        <v>45414.601444444444</v>
      </c>
      <c r="B2282" s="251" t="s">
        <v>1693</v>
      </c>
      <c r="C2282" s="178" t="s">
        <v>3788</v>
      </c>
      <c r="D2282" s="36">
        <v>24624.999999999996</v>
      </c>
      <c r="E2282" s="36" t="s">
        <v>1683</v>
      </c>
      <c r="F2282" s="178" t="s">
        <v>664</v>
      </c>
    </row>
    <row r="2283">
      <c r="A2283" s="250">
        <v>45414.601444444444</v>
      </c>
      <c r="B2283" s="251" t="s">
        <v>1684</v>
      </c>
      <c r="C2283" s="178" t="s">
        <v>3789</v>
      </c>
      <c r="D2283" s="36" t="s">
        <v>1683</v>
      </c>
      <c r="E2283" s="36">
        <v>24624.999999999996</v>
      </c>
      <c r="F2283" s="178" t="s">
        <v>664</v>
      </c>
    </row>
    <row r="2284">
      <c r="A2284" s="250">
        <v>45414.60152444444</v>
      </c>
      <c r="B2284" s="251" t="s">
        <v>1693</v>
      </c>
      <c r="C2284" s="178" t="s">
        <v>3790</v>
      </c>
      <c r="D2284" s="36">
        <v>24624.999999999996</v>
      </c>
      <c r="E2284" s="36" t="s">
        <v>1683</v>
      </c>
      <c r="F2284" s="178" t="s">
        <v>664</v>
      </c>
    </row>
    <row r="2285">
      <c r="A2285" s="250">
        <v>45414.60152444444</v>
      </c>
      <c r="B2285" s="251" t="s">
        <v>1684</v>
      </c>
      <c r="C2285" s="178" t="s">
        <v>3791</v>
      </c>
      <c r="D2285" s="36" t="s">
        <v>1683</v>
      </c>
      <c r="E2285" s="36">
        <v>24624.999999999996</v>
      </c>
      <c r="F2285" s="178" t="s">
        <v>664</v>
      </c>
    </row>
    <row r="2286">
      <c r="A2286" s="250">
        <v>45414.90718555555</v>
      </c>
      <c r="B2286" s="251" t="s">
        <v>1783</v>
      </c>
      <c r="C2286" s="178" t="s">
        <v>3792</v>
      </c>
      <c r="D2286" s="36">
        <v>620000.0</v>
      </c>
      <c r="E2286" s="36" t="s">
        <v>1683</v>
      </c>
      <c r="F2286" s="178" t="s">
        <v>153</v>
      </c>
    </row>
    <row r="2287">
      <c r="A2287" s="250">
        <v>45414.90718555555</v>
      </c>
      <c r="B2287" s="251" t="s">
        <v>1684</v>
      </c>
      <c r="C2287" s="178" t="s">
        <v>3793</v>
      </c>
      <c r="D2287" s="36" t="s">
        <v>1683</v>
      </c>
      <c r="E2287" s="36">
        <v>620000.0</v>
      </c>
      <c r="F2287" s="178" t="s">
        <v>153</v>
      </c>
    </row>
    <row r="2288">
      <c r="A2288" s="250">
        <v>45415.35035</v>
      </c>
      <c r="B2288" s="251" t="s">
        <v>1783</v>
      </c>
      <c r="C2288" s="178" t="s">
        <v>3794</v>
      </c>
      <c r="D2288" s="36">
        <v>36189.99999999999</v>
      </c>
      <c r="E2288" s="36" t="s">
        <v>1683</v>
      </c>
      <c r="F2288" s="178" t="s">
        <v>267</v>
      </c>
    </row>
    <row r="2289">
      <c r="A2289" s="250">
        <v>45415.35035</v>
      </c>
      <c r="B2289" s="251" t="s">
        <v>1684</v>
      </c>
      <c r="C2289" s="178" t="s">
        <v>3795</v>
      </c>
      <c r="D2289" s="36" t="s">
        <v>1683</v>
      </c>
      <c r="E2289" s="36">
        <v>36189.99999999999</v>
      </c>
      <c r="F2289" s="178" t="s">
        <v>267</v>
      </c>
    </row>
    <row r="2290">
      <c r="A2290" s="250">
        <v>45415.655199479166</v>
      </c>
      <c r="B2290" s="251" t="s">
        <v>1839</v>
      </c>
      <c r="C2290" s="178" t="s">
        <v>3796</v>
      </c>
      <c r="D2290" s="36">
        <v>620000.0</v>
      </c>
      <c r="E2290" s="36" t="s">
        <v>1683</v>
      </c>
      <c r="F2290" s="178" t="s">
        <v>153</v>
      </c>
    </row>
    <row r="2291">
      <c r="A2291" s="250">
        <v>45415.655199479166</v>
      </c>
      <c r="B2291" s="251" t="s">
        <v>1802</v>
      </c>
      <c r="C2291" s="178" t="s">
        <v>3792</v>
      </c>
      <c r="D2291" s="36" t="s">
        <v>1683</v>
      </c>
      <c r="E2291" s="36">
        <v>620000.0</v>
      </c>
      <c r="F2291" s="178" t="s">
        <v>153</v>
      </c>
    </row>
    <row r="2292">
      <c r="A2292" s="250">
        <v>45416.417056666665</v>
      </c>
      <c r="B2292" s="251" t="s">
        <v>1839</v>
      </c>
      <c r="C2292" s="178" t="s">
        <v>3797</v>
      </c>
      <c r="D2292" s="36">
        <v>113050.0</v>
      </c>
      <c r="E2292" s="36" t="s">
        <v>1683</v>
      </c>
      <c r="F2292" s="178" t="s">
        <v>154</v>
      </c>
    </row>
    <row r="2293">
      <c r="A2293" s="250">
        <v>45416.417056666665</v>
      </c>
      <c r="B2293" s="251" t="s">
        <v>1802</v>
      </c>
      <c r="C2293" s="178" t="s">
        <v>3766</v>
      </c>
      <c r="D2293" s="36" t="s">
        <v>1683</v>
      </c>
      <c r="E2293" s="36">
        <v>113050.0</v>
      </c>
      <c r="F2293" s="178" t="s">
        <v>154</v>
      </c>
    </row>
    <row r="2294">
      <c r="A2294" s="250">
        <v>45416.41706666666</v>
      </c>
      <c r="B2294" s="251" t="s">
        <v>1839</v>
      </c>
      <c r="C2294" s="178" t="s">
        <v>3798</v>
      </c>
      <c r="D2294" s="36">
        <v>111879.99999999999</v>
      </c>
      <c r="E2294" s="36" t="s">
        <v>1683</v>
      </c>
      <c r="F2294" s="178" t="s">
        <v>154</v>
      </c>
    </row>
    <row r="2295">
      <c r="A2295" s="250">
        <v>45416.41706666666</v>
      </c>
      <c r="B2295" s="251" t="s">
        <v>1802</v>
      </c>
      <c r="C2295" s="178" t="s">
        <v>3764</v>
      </c>
      <c r="D2295" s="36" t="s">
        <v>1683</v>
      </c>
      <c r="E2295" s="36">
        <v>111879.99999999999</v>
      </c>
      <c r="F2295" s="178" t="s">
        <v>154</v>
      </c>
    </row>
    <row r="2296">
      <c r="A2296" s="250">
        <v>45417.69745777778</v>
      </c>
      <c r="B2296" s="251" t="s">
        <v>1693</v>
      </c>
      <c r="C2296" s="178" t="s">
        <v>3799</v>
      </c>
      <c r="D2296" s="36">
        <v>180955.0</v>
      </c>
      <c r="E2296" s="36" t="s">
        <v>1683</v>
      </c>
      <c r="F2296" s="178" t="s">
        <v>538</v>
      </c>
    </row>
    <row r="2297">
      <c r="A2297" s="250">
        <v>45417.69745777778</v>
      </c>
      <c r="B2297" s="251" t="s">
        <v>1684</v>
      </c>
      <c r="C2297" s="178" t="s">
        <v>3800</v>
      </c>
      <c r="D2297" s="36" t="s">
        <v>1683</v>
      </c>
      <c r="E2297" s="36">
        <v>180955.0</v>
      </c>
      <c r="F2297" s="178" t="s">
        <v>538</v>
      </c>
    </row>
    <row r="2298">
      <c r="A2298" s="250">
        <v>45417.75671</v>
      </c>
      <c r="B2298" s="251" t="s">
        <v>1693</v>
      </c>
      <c r="C2298" s="178" t="s">
        <v>3801</v>
      </c>
      <c r="D2298" s="36">
        <v>3312960.0</v>
      </c>
      <c r="E2298" s="36" t="s">
        <v>1683</v>
      </c>
      <c r="F2298" s="178" t="s">
        <v>88</v>
      </c>
    </row>
    <row r="2299">
      <c r="A2299" s="250">
        <v>45417.75671</v>
      </c>
      <c r="B2299" s="251" t="s">
        <v>1684</v>
      </c>
      <c r="C2299" s="178" t="s">
        <v>3802</v>
      </c>
      <c r="D2299" s="36" t="s">
        <v>1683</v>
      </c>
      <c r="E2299" s="36">
        <v>3312960.0</v>
      </c>
      <c r="F2299" s="178" t="s">
        <v>88</v>
      </c>
    </row>
    <row r="2300">
      <c r="A2300" s="250">
        <v>45417.75671</v>
      </c>
      <c r="B2300" s="251" t="s">
        <v>2987</v>
      </c>
      <c r="C2300" s="178" t="s">
        <v>3803</v>
      </c>
      <c r="D2300" s="36">
        <v>3312960.0</v>
      </c>
      <c r="E2300" s="36" t="s">
        <v>1683</v>
      </c>
      <c r="F2300" s="178" t="s">
        <v>88</v>
      </c>
    </row>
    <row r="2301">
      <c r="A2301" s="250">
        <v>45417.75671</v>
      </c>
      <c r="B2301" s="251" t="s">
        <v>1698</v>
      </c>
      <c r="C2301" s="178" t="s">
        <v>3801</v>
      </c>
      <c r="D2301" s="36" t="s">
        <v>1683</v>
      </c>
      <c r="E2301" s="36">
        <v>3312960.0</v>
      </c>
      <c r="F2301" s="178" t="s">
        <v>88</v>
      </c>
    </row>
    <row r="2302">
      <c r="A2302" s="250">
        <v>45417.75704</v>
      </c>
      <c r="B2302" s="251" t="s">
        <v>1693</v>
      </c>
      <c r="C2302" s="178" t="s">
        <v>3804</v>
      </c>
      <c r="D2302" s="36">
        <v>137476.00000000003</v>
      </c>
      <c r="E2302" s="36" t="s">
        <v>1683</v>
      </c>
      <c r="F2302" s="178" t="s">
        <v>522</v>
      </c>
    </row>
    <row r="2303">
      <c r="A2303" s="250">
        <v>45417.75704</v>
      </c>
      <c r="B2303" s="251" t="s">
        <v>1684</v>
      </c>
      <c r="C2303" s="178" t="s">
        <v>3805</v>
      </c>
      <c r="D2303" s="36" t="s">
        <v>1683</v>
      </c>
      <c r="E2303" s="36">
        <v>137476.00000000003</v>
      </c>
      <c r="F2303" s="178" t="s">
        <v>522</v>
      </c>
    </row>
    <row r="2304">
      <c r="A2304" s="250">
        <v>45417.817391111115</v>
      </c>
      <c r="B2304" s="251" t="s">
        <v>1693</v>
      </c>
      <c r="C2304" s="178" t="s">
        <v>3806</v>
      </c>
      <c r="D2304" s="36">
        <v>448796.99999999994</v>
      </c>
      <c r="E2304" s="36" t="s">
        <v>1683</v>
      </c>
      <c r="F2304" s="178" t="s">
        <v>993</v>
      </c>
    </row>
    <row r="2305">
      <c r="A2305" s="250">
        <v>45417.817391111115</v>
      </c>
      <c r="B2305" s="251" t="s">
        <v>1684</v>
      </c>
      <c r="C2305" s="178" t="s">
        <v>3807</v>
      </c>
      <c r="D2305" s="36" t="s">
        <v>1683</v>
      </c>
      <c r="E2305" s="36">
        <v>448796.99999999994</v>
      </c>
      <c r="F2305" s="178" t="s">
        <v>993</v>
      </c>
    </row>
    <row r="2306">
      <c r="A2306" s="250">
        <v>45417.81794111111</v>
      </c>
      <c r="B2306" s="251" t="s">
        <v>1693</v>
      </c>
      <c r="C2306" s="178" t="s">
        <v>3808</v>
      </c>
      <c r="D2306" s="36">
        <v>454203.0</v>
      </c>
      <c r="E2306" s="36" t="s">
        <v>1683</v>
      </c>
      <c r="F2306" s="178" t="s">
        <v>281</v>
      </c>
    </row>
    <row r="2307">
      <c r="A2307" s="250">
        <v>45417.81794111111</v>
      </c>
      <c r="B2307" s="251" t="s">
        <v>1684</v>
      </c>
      <c r="C2307" s="178" t="s">
        <v>3809</v>
      </c>
      <c r="D2307" s="36" t="s">
        <v>1683</v>
      </c>
      <c r="E2307" s="36">
        <v>454203.0</v>
      </c>
      <c r="F2307" s="178" t="s">
        <v>281</v>
      </c>
    </row>
    <row r="2308">
      <c r="A2308" s="250">
        <v>45417.85861333333</v>
      </c>
      <c r="B2308" s="251" t="s">
        <v>1783</v>
      </c>
      <c r="C2308" s="178" t="s">
        <v>3810</v>
      </c>
      <c r="D2308" s="36">
        <v>1800359.0</v>
      </c>
      <c r="E2308" s="36" t="s">
        <v>1683</v>
      </c>
      <c r="F2308" s="178" t="s">
        <v>826</v>
      </c>
    </row>
    <row r="2309">
      <c r="A2309" s="250">
        <v>45417.85861333333</v>
      </c>
      <c r="B2309" s="251" t="s">
        <v>1684</v>
      </c>
      <c r="C2309" s="178" t="s">
        <v>3811</v>
      </c>
      <c r="D2309" s="36" t="s">
        <v>1683</v>
      </c>
      <c r="E2309" s="36">
        <v>1800359.0</v>
      </c>
      <c r="F2309" s="178" t="s">
        <v>826</v>
      </c>
    </row>
    <row r="2310">
      <c r="A2310" s="250">
        <v>45417.927643333336</v>
      </c>
      <c r="B2310" s="251" t="s">
        <v>1693</v>
      </c>
      <c r="C2310" s="178" t="s">
        <v>3812</v>
      </c>
      <c r="D2310" s="36">
        <v>176500.0</v>
      </c>
      <c r="E2310" s="36" t="s">
        <v>1683</v>
      </c>
      <c r="F2310" s="178" t="s">
        <v>579</v>
      </c>
    </row>
    <row r="2311">
      <c r="A2311" s="250">
        <v>45417.927643333336</v>
      </c>
      <c r="B2311" s="251" t="s">
        <v>1684</v>
      </c>
      <c r="C2311" s="178" t="s">
        <v>3813</v>
      </c>
      <c r="D2311" s="36" t="s">
        <v>1683</v>
      </c>
      <c r="E2311" s="36">
        <v>176500.0</v>
      </c>
      <c r="F2311" s="178" t="s">
        <v>579</v>
      </c>
    </row>
    <row r="2312">
      <c r="A2312" s="250">
        <v>45417.98057555556</v>
      </c>
      <c r="B2312" s="251" t="s">
        <v>1693</v>
      </c>
      <c r="C2312" s="178" t="s">
        <v>3814</v>
      </c>
      <c r="D2312" s="36">
        <v>1145933.9999999998</v>
      </c>
      <c r="E2312" s="36" t="s">
        <v>1683</v>
      </c>
      <c r="F2312" s="178" t="s">
        <v>521</v>
      </c>
    </row>
    <row r="2313">
      <c r="A2313" s="250">
        <v>45417.98057555556</v>
      </c>
      <c r="B2313" s="251" t="s">
        <v>1684</v>
      </c>
      <c r="C2313" s="178" t="s">
        <v>3815</v>
      </c>
      <c r="D2313" s="36" t="s">
        <v>1683</v>
      </c>
      <c r="E2313" s="36">
        <v>1145933.9999999998</v>
      </c>
      <c r="F2313" s="178" t="s">
        <v>521</v>
      </c>
    </row>
    <row r="2314">
      <c r="A2314" s="250">
        <v>45417.98099555556</v>
      </c>
      <c r="B2314" s="251" t="s">
        <v>1693</v>
      </c>
      <c r="C2314" s="178" t="s">
        <v>3816</v>
      </c>
      <c r="D2314" s="36">
        <v>414193.0</v>
      </c>
      <c r="E2314" s="36" t="s">
        <v>1683</v>
      </c>
      <c r="F2314" s="178" t="s">
        <v>848</v>
      </c>
    </row>
    <row r="2315">
      <c r="A2315" s="250">
        <v>45417.98099555556</v>
      </c>
      <c r="B2315" s="251" t="s">
        <v>1684</v>
      </c>
      <c r="C2315" s="178" t="s">
        <v>3817</v>
      </c>
      <c r="D2315" s="36" t="s">
        <v>1683</v>
      </c>
      <c r="E2315" s="36">
        <v>414193.0</v>
      </c>
      <c r="F2315" s="178" t="s">
        <v>848</v>
      </c>
    </row>
    <row r="2316">
      <c r="A2316" s="250">
        <v>45417.98107555556</v>
      </c>
      <c r="B2316" s="251" t="s">
        <v>1693</v>
      </c>
      <c r="C2316" s="178" t="s">
        <v>3818</v>
      </c>
      <c r="D2316" s="36">
        <v>198191.99999999997</v>
      </c>
      <c r="E2316" s="36" t="s">
        <v>1683</v>
      </c>
      <c r="F2316" s="178" t="s">
        <v>521</v>
      </c>
    </row>
    <row r="2317">
      <c r="A2317" s="250">
        <v>45417.98107555556</v>
      </c>
      <c r="B2317" s="251" t="s">
        <v>1684</v>
      </c>
      <c r="C2317" s="178" t="s">
        <v>3819</v>
      </c>
      <c r="D2317" s="36" t="s">
        <v>1683</v>
      </c>
      <c r="E2317" s="36">
        <v>198191.99999999997</v>
      </c>
      <c r="F2317" s="178" t="s">
        <v>521</v>
      </c>
    </row>
    <row r="2318">
      <c r="A2318" s="250">
        <v>45417.981275555554</v>
      </c>
      <c r="B2318" s="251" t="s">
        <v>1693</v>
      </c>
      <c r="C2318" s="178" t="s">
        <v>3820</v>
      </c>
      <c r="D2318" s="36">
        <v>143818.0</v>
      </c>
      <c r="E2318" s="36" t="s">
        <v>1683</v>
      </c>
      <c r="F2318" s="178" t="s">
        <v>297</v>
      </c>
    </row>
    <row r="2319">
      <c r="A2319" s="250">
        <v>45417.981275555554</v>
      </c>
      <c r="B2319" s="251" t="s">
        <v>1684</v>
      </c>
      <c r="C2319" s="178" t="s">
        <v>3821</v>
      </c>
      <c r="D2319" s="36" t="s">
        <v>1683</v>
      </c>
      <c r="E2319" s="36">
        <v>143818.0</v>
      </c>
      <c r="F2319" s="178" t="s">
        <v>297</v>
      </c>
    </row>
    <row r="2320">
      <c r="A2320" s="250">
        <v>45417.98133555556</v>
      </c>
      <c r="B2320" s="251" t="s">
        <v>1693</v>
      </c>
      <c r="C2320" s="178" t="s">
        <v>3822</v>
      </c>
      <c r="D2320" s="36">
        <v>238874.99999999997</v>
      </c>
      <c r="E2320" s="36" t="s">
        <v>1683</v>
      </c>
      <c r="F2320" s="178" t="s">
        <v>521</v>
      </c>
    </row>
    <row r="2321">
      <c r="A2321" s="250">
        <v>45417.98133555556</v>
      </c>
      <c r="B2321" s="251" t="s">
        <v>1684</v>
      </c>
      <c r="C2321" s="178" t="s">
        <v>3823</v>
      </c>
      <c r="D2321" s="36" t="s">
        <v>1683</v>
      </c>
      <c r="E2321" s="36">
        <v>238874.99999999997</v>
      </c>
      <c r="F2321" s="178" t="s">
        <v>521</v>
      </c>
    </row>
    <row r="2322">
      <c r="A2322" s="250">
        <v>45418.26876555556</v>
      </c>
      <c r="B2322" s="251" t="s">
        <v>1693</v>
      </c>
      <c r="C2322" s="178" t="s">
        <v>3824</v>
      </c>
      <c r="D2322" s="36">
        <v>10000.0</v>
      </c>
      <c r="E2322" s="36" t="s">
        <v>1683</v>
      </c>
      <c r="F2322" s="178" t="s">
        <v>107</v>
      </c>
    </row>
    <row r="2323">
      <c r="A2323" s="250">
        <v>45418.26876555556</v>
      </c>
      <c r="B2323" s="251" t="s">
        <v>1684</v>
      </c>
      <c r="C2323" s="178" t="s">
        <v>3825</v>
      </c>
      <c r="D2323" s="36" t="s">
        <v>1683</v>
      </c>
      <c r="E2323" s="36">
        <v>10000.0</v>
      </c>
      <c r="F2323" s="178" t="s">
        <v>107</v>
      </c>
    </row>
    <row r="2324">
      <c r="A2324" s="250">
        <v>45418.275010000005</v>
      </c>
      <c r="B2324" s="251" t="s">
        <v>1693</v>
      </c>
      <c r="C2324" s="178" t="s">
        <v>3826</v>
      </c>
      <c r="D2324" s="36">
        <v>90694.0</v>
      </c>
      <c r="E2324" s="36" t="s">
        <v>1683</v>
      </c>
      <c r="F2324" s="178" t="s">
        <v>107</v>
      </c>
    </row>
    <row r="2325">
      <c r="A2325" s="250">
        <v>45418.275010000005</v>
      </c>
      <c r="B2325" s="251" t="s">
        <v>1684</v>
      </c>
      <c r="C2325" s="178" t="s">
        <v>3827</v>
      </c>
      <c r="D2325" s="36" t="s">
        <v>1683</v>
      </c>
      <c r="E2325" s="36">
        <v>90694.0</v>
      </c>
      <c r="F2325" s="178" t="s">
        <v>107</v>
      </c>
    </row>
    <row r="2326">
      <c r="A2326" s="250">
        <v>45418.27573</v>
      </c>
      <c r="B2326" s="251" t="s">
        <v>1693</v>
      </c>
      <c r="C2326" s="178" t="s">
        <v>3828</v>
      </c>
      <c r="D2326" s="36">
        <v>479.99999999999994</v>
      </c>
      <c r="E2326" s="36" t="s">
        <v>1683</v>
      </c>
      <c r="F2326" s="178" t="s">
        <v>107</v>
      </c>
    </row>
    <row r="2327">
      <c r="A2327" s="250">
        <v>45418.27573</v>
      </c>
      <c r="B2327" s="251" t="s">
        <v>1684</v>
      </c>
      <c r="C2327" s="178" t="s">
        <v>3829</v>
      </c>
      <c r="D2327" s="36" t="s">
        <v>1683</v>
      </c>
      <c r="E2327" s="36">
        <v>479.99999999999994</v>
      </c>
      <c r="F2327" s="178" t="s">
        <v>107</v>
      </c>
    </row>
    <row r="2328">
      <c r="A2328" s="250">
        <v>45418.451990520836</v>
      </c>
      <c r="B2328" s="251" t="s">
        <v>1611</v>
      </c>
      <c r="C2328" s="178" t="s">
        <v>3830</v>
      </c>
      <c r="D2328" s="36">
        <v>37800.0</v>
      </c>
      <c r="E2328" s="36" t="s">
        <v>1683</v>
      </c>
      <c r="F2328" s="178" t="s">
        <v>1661</v>
      </c>
    </row>
    <row r="2329">
      <c r="A2329" s="250">
        <v>45418.451990520836</v>
      </c>
      <c r="B2329" s="251" t="s">
        <v>1684</v>
      </c>
      <c r="C2329" s="178" t="s">
        <v>3831</v>
      </c>
      <c r="D2329" s="36" t="s">
        <v>1683</v>
      </c>
      <c r="E2329" s="36">
        <v>37800.0</v>
      </c>
      <c r="F2329" s="178" t="s">
        <v>1661</v>
      </c>
    </row>
    <row r="2330">
      <c r="A2330" s="250">
        <v>45419.499335555556</v>
      </c>
      <c r="B2330" s="251" t="s">
        <v>3177</v>
      </c>
      <c r="C2330" s="178" t="s">
        <v>3832</v>
      </c>
      <c r="D2330" s="36">
        <v>6694999.999999999</v>
      </c>
      <c r="E2330" s="36" t="s">
        <v>1683</v>
      </c>
      <c r="F2330" s="178" t="s">
        <v>330</v>
      </c>
    </row>
    <row r="2331">
      <c r="A2331" s="250">
        <v>45419.499335555556</v>
      </c>
      <c r="B2331" s="251" t="s">
        <v>1684</v>
      </c>
      <c r="C2331" s="178" t="s">
        <v>3833</v>
      </c>
      <c r="D2331" s="36" t="s">
        <v>1683</v>
      </c>
      <c r="E2331" s="36">
        <v>6694999.999999999</v>
      </c>
      <c r="F2331" s="178" t="s">
        <v>330</v>
      </c>
    </row>
    <row r="2332">
      <c r="A2332" s="250">
        <v>45419.51696666667</v>
      </c>
      <c r="B2332" s="251" t="s">
        <v>1693</v>
      </c>
      <c r="C2332" s="178" t="s">
        <v>3834</v>
      </c>
      <c r="D2332" s="36">
        <v>978000.0</v>
      </c>
      <c r="E2332" s="36" t="s">
        <v>1683</v>
      </c>
      <c r="F2332" s="178" t="s">
        <v>248</v>
      </c>
    </row>
    <row r="2333">
      <c r="A2333" s="250">
        <v>45419.51696666667</v>
      </c>
      <c r="B2333" s="251" t="s">
        <v>1684</v>
      </c>
      <c r="C2333" s="178" t="s">
        <v>3835</v>
      </c>
      <c r="D2333" s="36" t="s">
        <v>1683</v>
      </c>
      <c r="E2333" s="36">
        <v>978000.0</v>
      </c>
      <c r="F2333" s="178" t="s">
        <v>248</v>
      </c>
    </row>
    <row r="2334">
      <c r="A2334" s="250">
        <v>45419.59900111111</v>
      </c>
      <c r="B2334" s="251" t="s">
        <v>3836</v>
      </c>
      <c r="C2334" s="178" t="s">
        <v>3837</v>
      </c>
      <c r="D2334" s="36">
        <v>24624.999999999996</v>
      </c>
      <c r="E2334" s="36" t="s">
        <v>1683</v>
      </c>
      <c r="F2334" s="178" t="s">
        <v>664</v>
      </c>
    </row>
    <row r="2335">
      <c r="A2335" s="250">
        <v>45419.59900111111</v>
      </c>
      <c r="B2335" s="251" t="s">
        <v>1698</v>
      </c>
      <c r="C2335" s="178" t="s">
        <v>3780</v>
      </c>
      <c r="D2335" s="36" t="s">
        <v>1683</v>
      </c>
      <c r="E2335" s="36">
        <v>24624.999999999996</v>
      </c>
      <c r="F2335" s="178" t="s">
        <v>664</v>
      </c>
    </row>
    <row r="2336">
      <c r="A2336" s="250">
        <v>45419.59906111111</v>
      </c>
      <c r="B2336" s="251" t="s">
        <v>3838</v>
      </c>
      <c r="C2336" s="178" t="s">
        <v>3839</v>
      </c>
      <c r="D2336" s="36">
        <v>24624.999999999996</v>
      </c>
      <c r="E2336" s="36" t="s">
        <v>1683</v>
      </c>
      <c r="F2336" s="178" t="s">
        <v>664</v>
      </c>
    </row>
    <row r="2337">
      <c r="A2337" s="250">
        <v>45419.59906111111</v>
      </c>
      <c r="B2337" s="251" t="s">
        <v>1698</v>
      </c>
      <c r="C2337" s="178" t="s">
        <v>3782</v>
      </c>
      <c r="D2337" s="36" t="s">
        <v>1683</v>
      </c>
      <c r="E2337" s="36">
        <v>24624.999999999996</v>
      </c>
      <c r="F2337" s="178" t="s">
        <v>664</v>
      </c>
    </row>
    <row r="2338">
      <c r="A2338" s="250">
        <v>45419.599111111114</v>
      </c>
      <c r="B2338" s="251" t="s">
        <v>2499</v>
      </c>
      <c r="C2338" s="178" t="s">
        <v>3840</v>
      </c>
      <c r="D2338" s="36">
        <v>37125.0</v>
      </c>
      <c r="E2338" s="36" t="s">
        <v>1683</v>
      </c>
      <c r="F2338" s="178" t="s">
        <v>664</v>
      </c>
    </row>
    <row r="2339">
      <c r="A2339" s="250">
        <v>45419.599111111114</v>
      </c>
      <c r="B2339" s="251" t="s">
        <v>1698</v>
      </c>
      <c r="C2339" s="178" t="s">
        <v>3784</v>
      </c>
      <c r="D2339" s="36" t="s">
        <v>1683</v>
      </c>
      <c r="E2339" s="36">
        <v>37125.0</v>
      </c>
      <c r="F2339" s="178" t="s">
        <v>664</v>
      </c>
    </row>
    <row r="2340">
      <c r="A2340" s="250">
        <v>45419.59917111111</v>
      </c>
      <c r="B2340" s="251" t="s">
        <v>3841</v>
      </c>
      <c r="C2340" s="178" t="s">
        <v>3842</v>
      </c>
      <c r="D2340" s="36">
        <v>24624.999999999996</v>
      </c>
      <c r="E2340" s="36" t="s">
        <v>1683</v>
      </c>
      <c r="F2340" s="178" t="s">
        <v>664</v>
      </c>
    </row>
    <row r="2341">
      <c r="A2341" s="250">
        <v>45419.59917111111</v>
      </c>
      <c r="B2341" s="251" t="s">
        <v>1698</v>
      </c>
      <c r="C2341" s="178" t="s">
        <v>3786</v>
      </c>
      <c r="D2341" s="36" t="s">
        <v>1683</v>
      </c>
      <c r="E2341" s="36">
        <v>24624.999999999996</v>
      </c>
      <c r="F2341" s="178" t="s">
        <v>664</v>
      </c>
    </row>
    <row r="2342">
      <c r="A2342" s="250">
        <v>45419.59936111111</v>
      </c>
      <c r="B2342" s="251" t="s">
        <v>3843</v>
      </c>
      <c r="C2342" s="178" t="s">
        <v>3844</v>
      </c>
      <c r="D2342" s="36">
        <v>24624.999999999996</v>
      </c>
      <c r="E2342" s="36" t="s">
        <v>1683</v>
      </c>
      <c r="F2342" s="178" t="s">
        <v>664</v>
      </c>
    </row>
    <row r="2343">
      <c r="A2343" s="250">
        <v>45419.59936111111</v>
      </c>
      <c r="B2343" s="251" t="s">
        <v>1698</v>
      </c>
      <c r="C2343" s="178" t="s">
        <v>3788</v>
      </c>
      <c r="D2343" s="36" t="s">
        <v>1683</v>
      </c>
      <c r="E2343" s="36">
        <v>24624.999999999996</v>
      </c>
      <c r="F2343" s="178" t="s">
        <v>664</v>
      </c>
    </row>
    <row r="2344">
      <c r="A2344" s="250">
        <v>45419.59944111111</v>
      </c>
      <c r="B2344" s="251" t="s">
        <v>3845</v>
      </c>
      <c r="C2344" s="178" t="s">
        <v>3846</v>
      </c>
      <c r="D2344" s="36">
        <v>24624.999999999996</v>
      </c>
      <c r="E2344" s="36" t="s">
        <v>1683</v>
      </c>
      <c r="F2344" s="178" t="s">
        <v>664</v>
      </c>
    </row>
    <row r="2345">
      <c r="A2345" s="250">
        <v>45419.59944111111</v>
      </c>
      <c r="B2345" s="251" t="s">
        <v>1698</v>
      </c>
      <c r="C2345" s="178" t="s">
        <v>3790</v>
      </c>
      <c r="D2345" s="36" t="s">
        <v>1683</v>
      </c>
      <c r="E2345" s="36">
        <v>24624.999999999996</v>
      </c>
      <c r="F2345" s="178" t="s">
        <v>664</v>
      </c>
    </row>
    <row r="2346">
      <c r="A2346" s="250">
        <v>45419.691427881946</v>
      </c>
      <c r="B2346" s="251" t="s">
        <v>3416</v>
      </c>
      <c r="C2346" s="178" t="s">
        <v>3847</v>
      </c>
      <c r="D2346" s="36">
        <v>978000.0</v>
      </c>
      <c r="E2346" s="36" t="s">
        <v>1683</v>
      </c>
      <c r="F2346" s="178" t="s">
        <v>248</v>
      </c>
    </row>
    <row r="2347">
      <c r="A2347" s="250">
        <v>45419.691427881946</v>
      </c>
      <c r="B2347" s="251" t="s">
        <v>1698</v>
      </c>
      <c r="C2347" s="178" t="s">
        <v>3834</v>
      </c>
      <c r="D2347" s="36" t="s">
        <v>1683</v>
      </c>
      <c r="E2347" s="36">
        <v>978000.0</v>
      </c>
      <c r="F2347" s="178" t="s">
        <v>248</v>
      </c>
    </row>
    <row r="2348">
      <c r="A2348" s="250">
        <v>45419.75712444445</v>
      </c>
      <c r="B2348" s="251" t="s">
        <v>1693</v>
      </c>
      <c r="C2348" s="178" t="s">
        <v>3848</v>
      </c>
      <c r="D2348" s="36">
        <v>39749.99999999999</v>
      </c>
      <c r="E2348" s="36" t="s">
        <v>1683</v>
      </c>
      <c r="F2348" s="178" t="s">
        <v>925</v>
      </c>
    </row>
    <row r="2349">
      <c r="A2349" s="250">
        <v>45419.75712444445</v>
      </c>
      <c r="B2349" s="251" t="s">
        <v>1684</v>
      </c>
      <c r="C2349" s="178" t="s">
        <v>3849</v>
      </c>
      <c r="D2349" s="36" t="s">
        <v>1683</v>
      </c>
      <c r="E2349" s="36">
        <v>39749.99999999999</v>
      </c>
      <c r="F2349" s="178" t="s">
        <v>925</v>
      </c>
    </row>
    <row r="2350">
      <c r="A2350" s="250">
        <v>45420.60162444445</v>
      </c>
      <c r="B2350" s="251" t="s">
        <v>2348</v>
      </c>
      <c r="C2350" s="178" t="s">
        <v>3850</v>
      </c>
      <c r="D2350" s="36">
        <v>180955.0</v>
      </c>
      <c r="E2350" s="36" t="s">
        <v>1683</v>
      </c>
      <c r="F2350" s="178" t="s">
        <v>538</v>
      </c>
    </row>
    <row r="2351">
      <c r="A2351" s="250">
        <v>45420.60162444445</v>
      </c>
      <c r="B2351" s="251" t="s">
        <v>1698</v>
      </c>
      <c r="C2351" s="178" t="s">
        <v>3799</v>
      </c>
      <c r="D2351" s="36" t="s">
        <v>1683</v>
      </c>
      <c r="E2351" s="36">
        <v>180955.0</v>
      </c>
      <c r="F2351" s="178" t="s">
        <v>538</v>
      </c>
    </row>
    <row r="2352">
      <c r="A2352" s="250">
        <v>45420.70003</v>
      </c>
      <c r="B2352" s="251" t="s">
        <v>3392</v>
      </c>
      <c r="C2352" s="178" t="s">
        <v>3851</v>
      </c>
      <c r="D2352" s="36">
        <v>448796.99999999994</v>
      </c>
      <c r="E2352" s="36" t="s">
        <v>1683</v>
      </c>
      <c r="F2352" s="178" t="s">
        <v>993</v>
      </c>
    </row>
    <row r="2353">
      <c r="A2353" s="250">
        <v>45420.70003</v>
      </c>
      <c r="B2353" s="251" t="s">
        <v>1698</v>
      </c>
      <c r="C2353" s="178" t="s">
        <v>3806</v>
      </c>
      <c r="D2353" s="36" t="s">
        <v>1683</v>
      </c>
      <c r="E2353" s="36">
        <v>448796.99999999994</v>
      </c>
      <c r="F2353" s="178" t="s">
        <v>993</v>
      </c>
    </row>
    <row r="2354">
      <c r="A2354" s="250">
        <v>45420.77015444444</v>
      </c>
      <c r="B2354" s="251" t="s">
        <v>3022</v>
      </c>
      <c r="C2354" s="178" t="s">
        <v>3852</v>
      </c>
      <c r="D2354" s="36">
        <v>10000.0</v>
      </c>
      <c r="E2354" s="36" t="s">
        <v>1683</v>
      </c>
      <c r="F2354" s="178" t="s">
        <v>107</v>
      </c>
    </row>
    <row r="2355">
      <c r="A2355" s="250">
        <v>45420.77015444444</v>
      </c>
      <c r="B2355" s="251" t="s">
        <v>1698</v>
      </c>
      <c r="C2355" s="178" t="s">
        <v>3824</v>
      </c>
      <c r="D2355" s="36" t="s">
        <v>1683</v>
      </c>
      <c r="E2355" s="36">
        <v>10000.0</v>
      </c>
      <c r="F2355" s="178" t="s">
        <v>107</v>
      </c>
    </row>
    <row r="2356">
      <c r="A2356" s="250">
        <v>45420.84228803241</v>
      </c>
      <c r="B2356" s="251" t="s">
        <v>3249</v>
      </c>
      <c r="C2356" s="178" t="s">
        <v>3853</v>
      </c>
      <c r="D2356" s="36">
        <v>1800359.0</v>
      </c>
      <c r="E2356" s="36" t="s">
        <v>1683</v>
      </c>
      <c r="F2356" s="178" t="s">
        <v>826</v>
      </c>
    </row>
    <row r="2357">
      <c r="A2357" s="250">
        <v>45420.84228803241</v>
      </c>
      <c r="B2357" s="251" t="s">
        <v>1802</v>
      </c>
      <c r="C2357" s="178" t="s">
        <v>3810</v>
      </c>
      <c r="D2357" s="36" t="s">
        <v>1683</v>
      </c>
      <c r="E2357" s="36">
        <v>1800359.0</v>
      </c>
      <c r="F2357" s="178" t="s">
        <v>826</v>
      </c>
    </row>
    <row r="2358">
      <c r="A2358" s="250">
        <v>45420.90750444445</v>
      </c>
      <c r="B2358" s="251" t="s">
        <v>2345</v>
      </c>
      <c r="C2358" s="178" t="s">
        <v>3854</v>
      </c>
      <c r="D2358" s="36">
        <v>176500.0</v>
      </c>
      <c r="E2358" s="36" t="s">
        <v>1683</v>
      </c>
      <c r="F2358" s="178" t="s">
        <v>579</v>
      </c>
    </row>
    <row r="2359">
      <c r="A2359" s="250">
        <v>45420.90750444445</v>
      </c>
      <c r="B2359" s="251" t="s">
        <v>1698</v>
      </c>
      <c r="C2359" s="178" t="s">
        <v>3812</v>
      </c>
      <c r="D2359" s="36" t="s">
        <v>1683</v>
      </c>
      <c r="E2359" s="36">
        <v>176500.0</v>
      </c>
      <c r="F2359" s="178" t="s">
        <v>579</v>
      </c>
    </row>
    <row r="2360">
      <c r="A2360" s="250">
        <v>45421.20494111111</v>
      </c>
      <c r="B2360" s="251" t="s">
        <v>1693</v>
      </c>
      <c r="C2360" s="178" t="s">
        <v>3855</v>
      </c>
      <c r="D2360" s="36">
        <v>21700.0</v>
      </c>
      <c r="E2360" s="36" t="s">
        <v>1683</v>
      </c>
      <c r="F2360" s="178" t="s">
        <v>776</v>
      </c>
    </row>
    <row r="2361">
      <c r="A2361" s="250">
        <v>45421.20494111111</v>
      </c>
      <c r="B2361" s="251" t="s">
        <v>1684</v>
      </c>
      <c r="C2361" s="178" t="s">
        <v>3856</v>
      </c>
      <c r="D2361" s="36" t="s">
        <v>1683</v>
      </c>
      <c r="E2361" s="36">
        <v>21700.0</v>
      </c>
      <c r="F2361" s="178" t="s">
        <v>776</v>
      </c>
    </row>
    <row r="2362">
      <c r="A2362" s="250">
        <v>45421.20548111111</v>
      </c>
      <c r="B2362" s="251" t="s">
        <v>1693</v>
      </c>
      <c r="C2362" s="178" t="s">
        <v>3857</v>
      </c>
      <c r="D2362" s="36">
        <v>21700.0</v>
      </c>
      <c r="E2362" s="36" t="s">
        <v>1683</v>
      </c>
      <c r="F2362" s="178" t="s">
        <v>776</v>
      </c>
    </row>
    <row r="2363">
      <c r="A2363" s="250">
        <v>45421.20548111111</v>
      </c>
      <c r="B2363" s="251" t="s">
        <v>1684</v>
      </c>
      <c r="C2363" s="178" t="s">
        <v>3858</v>
      </c>
      <c r="D2363" s="36" t="s">
        <v>1683</v>
      </c>
      <c r="E2363" s="36">
        <v>21700.0</v>
      </c>
      <c r="F2363" s="178" t="s">
        <v>776</v>
      </c>
    </row>
    <row r="2364">
      <c r="A2364" s="250">
        <v>45421.20561111111</v>
      </c>
      <c r="B2364" s="251" t="s">
        <v>1693</v>
      </c>
      <c r="C2364" s="178" t="s">
        <v>3859</v>
      </c>
      <c r="D2364" s="36">
        <v>21700.0</v>
      </c>
      <c r="E2364" s="36" t="s">
        <v>1683</v>
      </c>
      <c r="F2364" s="178" t="s">
        <v>776</v>
      </c>
    </row>
    <row r="2365">
      <c r="A2365" s="250">
        <v>45421.20561111111</v>
      </c>
      <c r="B2365" s="251" t="s">
        <v>1684</v>
      </c>
      <c r="C2365" s="178" t="s">
        <v>3860</v>
      </c>
      <c r="D2365" s="36" t="s">
        <v>1683</v>
      </c>
      <c r="E2365" s="36">
        <v>21700.0</v>
      </c>
      <c r="F2365" s="178" t="s">
        <v>776</v>
      </c>
    </row>
    <row r="2366">
      <c r="A2366" s="250">
        <v>45421.20565111111</v>
      </c>
      <c r="B2366" s="251" t="s">
        <v>1693</v>
      </c>
      <c r="C2366" s="178" t="s">
        <v>3861</v>
      </c>
      <c r="D2366" s="36">
        <v>21700.0</v>
      </c>
      <c r="E2366" s="36" t="s">
        <v>1683</v>
      </c>
      <c r="F2366" s="178" t="s">
        <v>776</v>
      </c>
    </row>
    <row r="2367">
      <c r="A2367" s="250">
        <v>45421.20565111111</v>
      </c>
      <c r="B2367" s="251" t="s">
        <v>1684</v>
      </c>
      <c r="C2367" s="178" t="s">
        <v>3862</v>
      </c>
      <c r="D2367" s="36" t="s">
        <v>1683</v>
      </c>
      <c r="E2367" s="36">
        <v>21700.0</v>
      </c>
      <c r="F2367" s="178" t="s">
        <v>776</v>
      </c>
    </row>
    <row r="2368">
      <c r="A2368" s="250">
        <v>45421.20585111111</v>
      </c>
      <c r="B2368" s="251" t="s">
        <v>1693</v>
      </c>
      <c r="C2368" s="178" t="s">
        <v>3863</v>
      </c>
      <c r="D2368" s="36">
        <v>21700.0</v>
      </c>
      <c r="E2368" s="36" t="s">
        <v>1683</v>
      </c>
      <c r="F2368" s="178" t="s">
        <v>776</v>
      </c>
    </row>
    <row r="2369">
      <c r="A2369" s="250">
        <v>45421.20585111111</v>
      </c>
      <c r="B2369" s="251" t="s">
        <v>1684</v>
      </c>
      <c r="C2369" s="178" t="s">
        <v>3864</v>
      </c>
      <c r="D2369" s="36" t="s">
        <v>1683</v>
      </c>
      <c r="E2369" s="36">
        <v>21700.0</v>
      </c>
      <c r="F2369" s="178" t="s">
        <v>776</v>
      </c>
    </row>
    <row r="2370">
      <c r="A2370" s="250">
        <v>45421.39826666667</v>
      </c>
      <c r="B2370" s="251" t="s">
        <v>3491</v>
      </c>
      <c r="C2370" s="178" t="s">
        <v>3865</v>
      </c>
      <c r="D2370" s="36">
        <v>36189.99999999999</v>
      </c>
      <c r="E2370" s="36" t="s">
        <v>1683</v>
      </c>
      <c r="F2370" s="178" t="s">
        <v>267</v>
      </c>
    </row>
    <row r="2371">
      <c r="A2371" s="250">
        <v>45421.39826666667</v>
      </c>
      <c r="B2371" s="251" t="s">
        <v>1802</v>
      </c>
      <c r="C2371" s="178" t="s">
        <v>3794</v>
      </c>
      <c r="D2371" s="36" t="s">
        <v>1683</v>
      </c>
      <c r="E2371" s="36">
        <v>36189.99999999999</v>
      </c>
      <c r="F2371" s="178" t="s">
        <v>267</v>
      </c>
    </row>
    <row r="2372">
      <c r="A2372" s="250">
        <v>45421.59653777778</v>
      </c>
      <c r="B2372" s="251" t="s">
        <v>3392</v>
      </c>
      <c r="C2372" s="178" t="s">
        <v>3866</v>
      </c>
      <c r="D2372" s="36">
        <v>90694.0</v>
      </c>
      <c r="E2372" s="36" t="s">
        <v>1683</v>
      </c>
      <c r="F2372" s="178" t="s">
        <v>107</v>
      </c>
    </row>
    <row r="2373">
      <c r="A2373" s="250">
        <v>45421.59653777778</v>
      </c>
      <c r="B2373" s="251" t="s">
        <v>1698</v>
      </c>
      <c r="C2373" s="178" t="s">
        <v>3826</v>
      </c>
      <c r="D2373" s="36" t="s">
        <v>1683</v>
      </c>
      <c r="E2373" s="36">
        <v>90694.0</v>
      </c>
      <c r="F2373" s="178" t="s">
        <v>107</v>
      </c>
    </row>
    <row r="2374">
      <c r="A2374" s="250">
        <v>45421.59725777778</v>
      </c>
      <c r="B2374" s="251" t="s">
        <v>3867</v>
      </c>
      <c r="C2374" s="178" t="s">
        <v>3868</v>
      </c>
      <c r="D2374" s="36">
        <v>479.99999999999994</v>
      </c>
      <c r="E2374" s="36" t="s">
        <v>1683</v>
      </c>
      <c r="F2374" s="178" t="s">
        <v>107</v>
      </c>
    </row>
    <row r="2375">
      <c r="A2375" s="250">
        <v>45421.59725777778</v>
      </c>
      <c r="B2375" s="251" t="s">
        <v>1698</v>
      </c>
      <c r="C2375" s="178" t="s">
        <v>3828</v>
      </c>
      <c r="D2375" s="36" t="s">
        <v>1683</v>
      </c>
      <c r="E2375" s="36">
        <v>479.99999999999994</v>
      </c>
      <c r="F2375" s="178" t="s">
        <v>107</v>
      </c>
    </row>
    <row r="2376">
      <c r="A2376" s="250">
        <v>45421.60476241898</v>
      </c>
      <c r="B2376" s="251" t="s">
        <v>3869</v>
      </c>
      <c r="C2376" s="178" t="s">
        <v>3870</v>
      </c>
      <c r="D2376" s="36">
        <v>414193.0</v>
      </c>
      <c r="E2376" s="36" t="s">
        <v>1683</v>
      </c>
      <c r="F2376" s="178" t="s">
        <v>848</v>
      </c>
    </row>
    <row r="2377">
      <c r="A2377" s="250">
        <v>45421.60476241898</v>
      </c>
      <c r="B2377" s="251" t="s">
        <v>1698</v>
      </c>
      <c r="C2377" s="178" t="s">
        <v>3816</v>
      </c>
      <c r="D2377" s="36" t="s">
        <v>1683</v>
      </c>
      <c r="E2377" s="36">
        <v>414193.0</v>
      </c>
      <c r="F2377" s="178" t="s">
        <v>848</v>
      </c>
    </row>
    <row r="2378">
      <c r="A2378" s="250">
        <v>45421.607223680556</v>
      </c>
      <c r="B2378" s="251" t="s">
        <v>3392</v>
      </c>
      <c r="C2378" s="178" t="s">
        <v>3871</v>
      </c>
      <c r="D2378" s="36">
        <v>1145933.9999999998</v>
      </c>
      <c r="E2378" s="36" t="s">
        <v>1683</v>
      </c>
      <c r="F2378" s="178" t="s">
        <v>521</v>
      </c>
    </row>
    <row r="2379">
      <c r="A2379" s="250">
        <v>45421.607223680556</v>
      </c>
      <c r="B2379" s="251" t="s">
        <v>1698</v>
      </c>
      <c r="C2379" s="178" t="s">
        <v>3814</v>
      </c>
      <c r="D2379" s="36" t="s">
        <v>1683</v>
      </c>
      <c r="E2379" s="36">
        <v>1145933.9999999998</v>
      </c>
      <c r="F2379" s="178" t="s">
        <v>521</v>
      </c>
    </row>
    <row r="2380">
      <c r="A2380" s="250">
        <v>45421.62487960648</v>
      </c>
      <c r="B2380" s="251" t="s">
        <v>3872</v>
      </c>
      <c r="C2380" s="178" t="s">
        <v>3873</v>
      </c>
      <c r="D2380" s="36">
        <v>198191.99999999997</v>
      </c>
      <c r="E2380" s="36" t="s">
        <v>1683</v>
      </c>
      <c r="F2380" s="178" t="s">
        <v>521</v>
      </c>
    </row>
    <row r="2381">
      <c r="A2381" s="250">
        <v>45421.62487960648</v>
      </c>
      <c r="B2381" s="251" t="s">
        <v>1698</v>
      </c>
      <c r="C2381" s="178" t="s">
        <v>3818</v>
      </c>
      <c r="D2381" s="36" t="s">
        <v>1683</v>
      </c>
      <c r="E2381" s="36">
        <v>198191.99999999997</v>
      </c>
      <c r="F2381" s="178" t="s">
        <v>521</v>
      </c>
    </row>
    <row r="2382">
      <c r="A2382" s="250">
        <v>45421.62511767361</v>
      </c>
      <c r="B2382" s="251" t="s">
        <v>1793</v>
      </c>
      <c r="C2382" s="178" t="s">
        <v>3874</v>
      </c>
      <c r="D2382" s="36">
        <v>238874.99999999997</v>
      </c>
      <c r="E2382" s="36" t="s">
        <v>1683</v>
      </c>
      <c r="F2382" s="178" t="s">
        <v>521</v>
      </c>
    </row>
    <row r="2383">
      <c r="A2383" s="250">
        <v>45421.62511767361</v>
      </c>
      <c r="B2383" s="251" t="s">
        <v>1698</v>
      </c>
      <c r="C2383" s="178" t="s">
        <v>3822</v>
      </c>
      <c r="D2383" s="36" t="s">
        <v>1683</v>
      </c>
      <c r="E2383" s="36">
        <v>238874.99999999997</v>
      </c>
      <c r="F2383" s="178" t="s">
        <v>521</v>
      </c>
    </row>
    <row r="2384">
      <c r="A2384" s="250">
        <v>45421.77110333333</v>
      </c>
      <c r="B2384" s="251" t="s">
        <v>1783</v>
      </c>
      <c r="C2384" s="178" t="s">
        <v>3875</v>
      </c>
      <c r="D2384" s="36">
        <v>324363.00000000006</v>
      </c>
      <c r="E2384" s="36" t="s">
        <v>1683</v>
      </c>
      <c r="F2384" s="178" t="s">
        <v>471</v>
      </c>
    </row>
    <row r="2385">
      <c r="A2385" s="250">
        <v>45421.77110333333</v>
      </c>
      <c r="B2385" s="251" t="s">
        <v>1684</v>
      </c>
      <c r="C2385" s="178" t="s">
        <v>3876</v>
      </c>
      <c r="D2385" s="36" t="s">
        <v>1683</v>
      </c>
      <c r="E2385" s="36">
        <v>324363.00000000006</v>
      </c>
      <c r="F2385" s="178" t="s">
        <v>471</v>
      </c>
    </row>
    <row r="2386">
      <c r="A2386" s="250">
        <v>45421.771113333336</v>
      </c>
      <c r="B2386" s="251" t="s">
        <v>1783</v>
      </c>
      <c r="C2386" s="178" t="s">
        <v>3877</v>
      </c>
      <c r="D2386" s="36">
        <v>236515.0</v>
      </c>
      <c r="E2386" s="36" t="s">
        <v>1683</v>
      </c>
      <c r="F2386" s="178" t="s">
        <v>745</v>
      </c>
    </row>
    <row r="2387">
      <c r="A2387" s="250">
        <v>45421.771113333336</v>
      </c>
      <c r="B2387" s="251" t="s">
        <v>1684</v>
      </c>
      <c r="C2387" s="178" t="s">
        <v>3878</v>
      </c>
      <c r="D2387" s="36" t="s">
        <v>1683</v>
      </c>
      <c r="E2387" s="36">
        <v>236515.0</v>
      </c>
      <c r="F2387" s="178" t="s">
        <v>745</v>
      </c>
    </row>
    <row r="2388">
      <c r="A2388" s="250">
        <v>45421.77125333333</v>
      </c>
      <c r="B2388" s="251" t="s">
        <v>1783</v>
      </c>
      <c r="C2388" s="178" t="s">
        <v>3879</v>
      </c>
      <c r="D2388" s="36">
        <v>283818.0</v>
      </c>
      <c r="E2388" s="36" t="s">
        <v>1683</v>
      </c>
      <c r="F2388" s="178" t="s">
        <v>745</v>
      </c>
    </row>
    <row r="2389">
      <c r="A2389" s="250">
        <v>45421.77125333333</v>
      </c>
      <c r="B2389" s="251" t="s">
        <v>1684</v>
      </c>
      <c r="C2389" s="178" t="s">
        <v>3880</v>
      </c>
      <c r="D2389" s="36" t="s">
        <v>1683</v>
      </c>
      <c r="E2389" s="36">
        <v>283818.0</v>
      </c>
      <c r="F2389" s="178" t="s">
        <v>745</v>
      </c>
    </row>
    <row r="2390">
      <c r="A2390" s="250">
        <v>45421.77163333334</v>
      </c>
      <c r="B2390" s="251" t="s">
        <v>1783</v>
      </c>
      <c r="C2390" s="178" t="s">
        <v>3881</v>
      </c>
      <c r="D2390" s="36">
        <v>49019.0</v>
      </c>
      <c r="E2390" s="36" t="s">
        <v>1683</v>
      </c>
      <c r="F2390" s="178" t="s">
        <v>604</v>
      </c>
    </row>
    <row r="2391">
      <c r="A2391" s="250">
        <v>45421.77163333334</v>
      </c>
      <c r="B2391" s="251" t="s">
        <v>1684</v>
      </c>
      <c r="C2391" s="178" t="s">
        <v>3882</v>
      </c>
      <c r="D2391" s="36" t="s">
        <v>1683</v>
      </c>
      <c r="E2391" s="36">
        <v>49019.0</v>
      </c>
      <c r="F2391" s="178" t="s">
        <v>604</v>
      </c>
    </row>
    <row r="2392">
      <c r="A2392" s="250">
        <v>45421.80387222222</v>
      </c>
      <c r="B2392" s="251" t="s">
        <v>1783</v>
      </c>
      <c r="C2392" s="178" t="s">
        <v>3883</v>
      </c>
      <c r="D2392" s="36">
        <v>576319.9999999999</v>
      </c>
      <c r="E2392" s="36" t="s">
        <v>1683</v>
      </c>
      <c r="F2392" s="178" t="s">
        <v>568</v>
      </c>
    </row>
    <row r="2393">
      <c r="A2393" s="250">
        <v>45421.80387222222</v>
      </c>
      <c r="B2393" s="251" t="s">
        <v>1684</v>
      </c>
      <c r="C2393" s="178" t="s">
        <v>3884</v>
      </c>
      <c r="D2393" s="36" t="s">
        <v>1683</v>
      </c>
      <c r="E2393" s="36">
        <v>576319.9999999999</v>
      </c>
      <c r="F2393" s="178" t="s">
        <v>568</v>
      </c>
    </row>
    <row r="2394">
      <c r="A2394" s="250">
        <v>45422.157284444445</v>
      </c>
      <c r="B2394" s="251" t="s">
        <v>1693</v>
      </c>
      <c r="C2394" s="178" t="s">
        <v>3885</v>
      </c>
      <c r="D2394" s="36">
        <v>21100.0</v>
      </c>
      <c r="E2394" s="36" t="s">
        <v>1683</v>
      </c>
      <c r="F2394" s="178" t="s">
        <v>943</v>
      </c>
    </row>
    <row r="2395">
      <c r="A2395" s="250">
        <v>45422.157284444445</v>
      </c>
      <c r="B2395" s="251" t="s">
        <v>1684</v>
      </c>
      <c r="C2395" s="178" t="s">
        <v>3886</v>
      </c>
      <c r="D2395" s="36" t="s">
        <v>1683</v>
      </c>
      <c r="E2395" s="36">
        <v>21100.0</v>
      </c>
      <c r="F2395" s="178" t="s">
        <v>943</v>
      </c>
    </row>
    <row r="2396">
      <c r="A2396" s="250">
        <v>45422.42934666667</v>
      </c>
      <c r="B2396" s="251" t="s">
        <v>2497</v>
      </c>
      <c r="C2396" s="178" t="s">
        <v>3887</v>
      </c>
      <c r="D2396" s="36">
        <v>39749.99999999999</v>
      </c>
      <c r="E2396" s="36" t="s">
        <v>1683</v>
      </c>
      <c r="F2396" s="178" t="s">
        <v>925</v>
      </c>
    </row>
    <row r="2397">
      <c r="A2397" s="250">
        <v>45422.42934666667</v>
      </c>
      <c r="B2397" s="251" t="s">
        <v>1698</v>
      </c>
      <c r="C2397" s="178" t="s">
        <v>3848</v>
      </c>
      <c r="D2397" s="36" t="s">
        <v>1683</v>
      </c>
      <c r="E2397" s="36">
        <v>39749.99999999999</v>
      </c>
      <c r="F2397" s="178" t="s">
        <v>925</v>
      </c>
    </row>
    <row r="2398">
      <c r="A2398" s="250">
        <v>45422.52905222222</v>
      </c>
      <c r="B2398" s="251" t="s">
        <v>3398</v>
      </c>
      <c r="C2398" s="178" t="s">
        <v>3888</v>
      </c>
      <c r="D2398" s="36">
        <v>454203.0</v>
      </c>
      <c r="E2398" s="36" t="s">
        <v>1683</v>
      </c>
      <c r="F2398" s="178" t="s">
        <v>281</v>
      </c>
    </row>
    <row r="2399">
      <c r="A2399" s="250">
        <v>45422.52905222222</v>
      </c>
      <c r="B2399" s="251" t="s">
        <v>1698</v>
      </c>
      <c r="C2399" s="178" t="s">
        <v>3808</v>
      </c>
      <c r="D2399" s="36" t="s">
        <v>1683</v>
      </c>
      <c r="E2399" s="36">
        <v>454203.0</v>
      </c>
      <c r="F2399" s="178" t="s">
        <v>281</v>
      </c>
    </row>
    <row r="2400">
      <c r="A2400" s="250">
        <v>45422.65558111111</v>
      </c>
      <c r="B2400" s="251" t="s">
        <v>3418</v>
      </c>
      <c r="C2400" s="178" t="s">
        <v>3889</v>
      </c>
      <c r="D2400" s="36">
        <v>143818.0</v>
      </c>
      <c r="E2400" s="36" t="s">
        <v>1683</v>
      </c>
      <c r="F2400" s="178" t="s">
        <v>297</v>
      </c>
    </row>
    <row r="2401">
      <c r="A2401" s="250">
        <v>45422.65558111111</v>
      </c>
      <c r="B2401" s="251" t="s">
        <v>1698</v>
      </c>
      <c r="C2401" s="178" t="s">
        <v>3820</v>
      </c>
      <c r="D2401" s="36" t="s">
        <v>1683</v>
      </c>
      <c r="E2401" s="36">
        <v>143818.0</v>
      </c>
      <c r="F2401" s="178" t="s">
        <v>297</v>
      </c>
    </row>
    <row r="2402">
      <c r="A2402" s="250">
        <v>45423.53799</v>
      </c>
      <c r="B2402" s="251" t="s">
        <v>1783</v>
      </c>
      <c r="C2402" s="178" t="s">
        <v>3890</v>
      </c>
      <c r="D2402" s="36">
        <v>23330.0</v>
      </c>
      <c r="E2402" s="36" t="s">
        <v>1683</v>
      </c>
      <c r="F2402" s="178" t="s">
        <v>269</v>
      </c>
    </row>
    <row r="2403">
      <c r="A2403" s="250">
        <v>45423.53799</v>
      </c>
      <c r="B2403" s="251" t="s">
        <v>1684</v>
      </c>
      <c r="C2403" s="178" t="s">
        <v>3891</v>
      </c>
      <c r="D2403" s="36" t="s">
        <v>1683</v>
      </c>
      <c r="E2403" s="36">
        <v>23330.0</v>
      </c>
      <c r="F2403" s="178" t="s">
        <v>269</v>
      </c>
    </row>
    <row r="2404">
      <c r="A2404" s="250">
        <v>45423.56190111111</v>
      </c>
      <c r="B2404" s="251" t="s">
        <v>1793</v>
      </c>
      <c r="C2404" s="178" t="s">
        <v>3892</v>
      </c>
      <c r="D2404" s="36">
        <v>137476.00000000003</v>
      </c>
      <c r="E2404" s="36" t="s">
        <v>1683</v>
      </c>
      <c r="F2404" s="178" t="s">
        <v>522</v>
      </c>
    </row>
    <row r="2405">
      <c r="A2405" s="250">
        <v>45423.56190111111</v>
      </c>
      <c r="B2405" s="251" t="s">
        <v>1698</v>
      </c>
      <c r="C2405" s="178" t="s">
        <v>3804</v>
      </c>
      <c r="D2405" s="36" t="s">
        <v>1683</v>
      </c>
      <c r="E2405" s="36">
        <v>137476.00000000003</v>
      </c>
      <c r="F2405" s="178" t="s">
        <v>522</v>
      </c>
    </row>
    <row r="2406">
      <c r="A2406" s="250">
        <v>45423.572916666664</v>
      </c>
      <c r="B2406" s="251" t="s">
        <v>1693</v>
      </c>
      <c r="C2406" s="178" t="s">
        <v>3893</v>
      </c>
      <c r="D2406" s="36">
        <v>359560.0</v>
      </c>
      <c r="E2406" s="36" t="s">
        <v>1683</v>
      </c>
      <c r="F2406" s="178" t="s">
        <v>992</v>
      </c>
    </row>
    <row r="2407">
      <c r="A2407" s="250">
        <v>45423.572916666664</v>
      </c>
      <c r="B2407" s="251" t="s">
        <v>1684</v>
      </c>
      <c r="C2407" s="178" t="s">
        <v>3894</v>
      </c>
      <c r="D2407" s="36" t="s">
        <v>1683</v>
      </c>
      <c r="E2407" s="36">
        <v>359560.0</v>
      </c>
      <c r="F2407" s="178" t="s">
        <v>992</v>
      </c>
    </row>
    <row r="2408">
      <c r="A2408" s="250">
        <v>45423.625774444445</v>
      </c>
      <c r="B2408" s="251" t="s">
        <v>3313</v>
      </c>
      <c r="C2408" s="178" t="s">
        <v>3895</v>
      </c>
      <c r="D2408" s="36">
        <v>21700.0</v>
      </c>
      <c r="E2408" s="36" t="s">
        <v>1683</v>
      </c>
      <c r="F2408" s="178" t="s">
        <v>776</v>
      </c>
    </row>
    <row r="2409">
      <c r="A2409" s="250">
        <v>45423.625774444445</v>
      </c>
      <c r="B2409" s="251" t="s">
        <v>1698</v>
      </c>
      <c r="C2409" s="178" t="s">
        <v>3855</v>
      </c>
      <c r="D2409" s="36" t="s">
        <v>1683</v>
      </c>
      <c r="E2409" s="36">
        <v>21700.0</v>
      </c>
      <c r="F2409" s="178" t="s">
        <v>776</v>
      </c>
    </row>
    <row r="2410">
      <c r="A2410" s="250">
        <v>45423.626314444446</v>
      </c>
      <c r="B2410" s="251" t="s">
        <v>2641</v>
      </c>
      <c r="C2410" s="178" t="s">
        <v>3896</v>
      </c>
      <c r="D2410" s="36">
        <v>21700.0</v>
      </c>
      <c r="E2410" s="36" t="s">
        <v>1683</v>
      </c>
      <c r="F2410" s="178" t="s">
        <v>776</v>
      </c>
    </row>
    <row r="2411">
      <c r="A2411" s="250">
        <v>45423.626314444446</v>
      </c>
      <c r="B2411" s="251" t="s">
        <v>1698</v>
      </c>
      <c r="C2411" s="178" t="s">
        <v>3857</v>
      </c>
      <c r="D2411" s="36" t="s">
        <v>1683</v>
      </c>
      <c r="E2411" s="36">
        <v>21700.0</v>
      </c>
      <c r="F2411" s="178" t="s">
        <v>776</v>
      </c>
    </row>
    <row r="2412">
      <c r="A2412" s="250">
        <v>45423.626444444446</v>
      </c>
      <c r="B2412" s="251" t="s">
        <v>2643</v>
      </c>
      <c r="C2412" s="178" t="s">
        <v>3897</v>
      </c>
      <c r="D2412" s="36">
        <v>21700.0</v>
      </c>
      <c r="E2412" s="36" t="s">
        <v>1683</v>
      </c>
      <c r="F2412" s="178" t="s">
        <v>776</v>
      </c>
    </row>
    <row r="2413">
      <c r="A2413" s="250">
        <v>45423.626444444446</v>
      </c>
      <c r="B2413" s="251" t="s">
        <v>1698</v>
      </c>
      <c r="C2413" s="178" t="s">
        <v>3859</v>
      </c>
      <c r="D2413" s="36" t="s">
        <v>1683</v>
      </c>
      <c r="E2413" s="36">
        <v>21700.0</v>
      </c>
      <c r="F2413" s="178" t="s">
        <v>776</v>
      </c>
    </row>
    <row r="2414">
      <c r="A2414" s="250">
        <v>45423.626484444445</v>
      </c>
      <c r="B2414" s="251" t="s">
        <v>2320</v>
      </c>
      <c r="C2414" s="178" t="s">
        <v>3898</v>
      </c>
      <c r="D2414" s="36">
        <v>21700.0</v>
      </c>
      <c r="E2414" s="36" t="s">
        <v>1683</v>
      </c>
      <c r="F2414" s="178" t="s">
        <v>776</v>
      </c>
    </row>
    <row r="2415">
      <c r="A2415" s="250">
        <v>45423.626484444445</v>
      </c>
      <c r="B2415" s="251" t="s">
        <v>1698</v>
      </c>
      <c r="C2415" s="178" t="s">
        <v>3861</v>
      </c>
      <c r="D2415" s="36" t="s">
        <v>1683</v>
      </c>
      <c r="E2415" s="36">
        <v>21700.0</v>
      </c>
      <c r="F2415" s="178" t="s">
        <v>776</v>
      </c>
    </row>
    <row r="2416">
      <c r="A2416" s="250">
        <v>45423.62668444445</v>
      </c>
      <c r="B2416" s="251" t="s">
        <v>2312</v>
      </c>
      <c r="C2416" s="178" t="s">
        <v>3899</v>
      </c>
      <c r="D2416" s="36">
        <v>21700.0</v>
      </c>
      <c r="E2416" s="36" t="s">
        <v>1683</v>
      </c>
      <c r="F2416" s="178" t="s">
        <v>776</v>
      </c>
    </row>
    <row r="2417">
      <c r="A2417" s="250">
        <v>45423.62668444445</v>
      </c>
      <c r="B2417" s="251" t="s">
        <v>1698</v>
      </c>
      <c r="C2417" s="178" t="s">
        <v>3863</v>
      </c>
      <c r="D2417" s="36" t="s">
        <v>1683</v>
      </c>
      <c r="E2417" s="36">
        <v>21700.0</v>
      </c>
      <c r="F2417" s="178" t="s">
        <v>776</v>
      </c>
    </row>
    <row r="2418">
      <c r="A2418" s="250">
        <v>45423.62881222222</v>
      </c>
      <c r="B2418" s="251" t="s">
        <v>3491</v>
      </c>
      <c r="C2418" s="178" t="s">
        <v>3900</v>
      </c>
      <c r="D2418" s="36">
        <v>21100.0</v>
      </c>
      <c r="E2418" s="36" t="s">
        <v>1683</v>
      </c>
      <c r="F2418" s="178" t="s">
        <v>943</v>
      </c>
    </row>
    <row r="2419">
      <c r="A2419" s="250">
        <v>45423.62881222222</v>
      </c>
      <c r="B2419" s="251" t="s">
        <v>1698</v>
      </c>
      <c r="C2419" s="178" t="s">
        <v>3885</v>
      </c>
      <c r="D2419" s="36" t="s">
        <v>1683</v>
      </c>
      <c r="E2419" s="36">
        <v>21100.0</v>
      </c>
      <c r="F2419" s="178" t="s">
        <v>943</v>
      </c>
    </row>
    <row r="2420">
      <c r="A2420" s="250">
        <v>45423.66706666666</v>
      </c>
      <c r="B2420" s="251" t="s">
        <v>1786</v>
      </c>
      <c r="C2420" s="178" t="s">
        <v>3901</v>
      </c>
      <c r="D2420" s="36">
        <v>576319.9999999999</v>
      </c>
      <c r="E2420" s="36" t="s">
        <v>1683</v>
      </c>
      <c r="F2420" s="178" t="s">
        <v>568</v>
      </c>
    </row>
    <row r="2421">
      <c r="A2421" s="250">
        <v>45423.66706666666</v>
      </c>
      <c r="B2421" s="251" t="s">
        <v>1802</v>
      </c>
      <c r="C2421" s="178" t="s">
        <v>3883</v>
      </c>
      <c r="D2421" s="36" t="s">
        <v>1683</v>
      </c>
      <c r="E2421" s="36">
        <v>576319.9999999999</v>
      </c>
      <c r="F2421" s="178" t="s">
        <v>568</v>
      </c>
    </row>
    <row r="2422">
      <c r="A2422" s="250">
        <v>45423.814188888886</v>
      </c>
      <c r="B2422" s="251" t="s">
        <v>1693</v>
      </c>
      <c r="C2422" s="178" t="s">
        <v>3902</v>
      </c>
      <c r="D2422" s="36">
        <v>524950.0</v>
      </c>
      <c r="E2422" s="36" t="s">
        <v>1683</v>
      </c>
      <c r="F2422" s="178" t="s">
        <v>149</v>
      </c>
    </row>
    <row r="2423">
      <c r="A2423" s="250">
        <v>45423.814188888886</v>
      </c>
      <c r="B2423" s="251" t="s">
        <v>1684</v>
      </c>
      <c r="C2423" s="178" t="s">
        <v>3903</v>
      </c>
      <c r="D2423" s="36" t="s">
        <v>1683</v>
      </c>
      <c r="E2423" s="36">
        <v>524950.0</v>
      </c>
      <c r="F2423" s="178" t="s">
        <v>149</v>
      </c>
    </row>
    <row r="2424">
      <c r="A2424" s="250">
        <v>45424.41715666666</v>
      </c>
      <c r="B2424" s="251" t="s">
        <v>3396</v>
      </c>
      <c r="C2424" s="178" t="s">
        <v>3904</v>
      </c>
      <c r="D2424" s="36">
        <v>23330.0</v>
      </c>
      <c r="E2424" s="36" t="s">
        <v>1683</v>
      </c>
      <c r="F2424" s="178" t="s">
        <v>269</v>
      </c>
    </row>
    <row r="2425">
      <c r="A2425" s="250">
        <v>45424.41715666666</v>
      </c>
      <c r="B2425" s="251" t="s">
        <v>1802</v>
      </c>
      <c r="C2425" s="178" t="s">
        <v>3890</v>
      </c>
      <c r="D2425" s="36" t="s">
        <v>1683</v>
      </c>
      <c r="E2425" s="36">
        <v>23330.0</v>
      </c>
      <c r="F2425" s="178" t="s">
        <v>269</v>
      </c>
    </row>
    <row r="2426">
      <c r="A2426" s="250">
        <v>45424.97895222223</v>
      </c>
      <c r="B2426" s="251" t="s">
        <v>1783</v>
      </c>
      <c r="C2426" s="178" t="s">
        <v>3905</v>
      </c>
      <c r="D2426" s="36">
        <v>23329.999999999996</v>
      </c>
      <c r="E2426" s="36" t="s">
        <v>1683</v>
      </c>
      <c r="F2426" s="178" t="s">
        <v>268</v>
      </c>
    </row>
    <row r="2427">
      <c r="A2427" s="250">
        <v>45424.97895222223</v>
      </c>
      <c r="B2427" s="251" t="s">
        <v>1684</v>
      </c>
      <c r="C2427" s="178" t="s">
        <v>3906</v>
      </c>
      <c r="D2427" s="36" t="s">
        <v>1683</v>
      </c>
      <c r="E2427" s="36">
        <v>23329.999999999996</v>
      </c>
      <c r="F2427" s="178" t="s">
        <v>268</v>
      </c>
    </row>
    <row r="2428">
      <c r="A2428" s="250">
        <v>45425.00153444445</v>
      </c>
      <c r="B2428" s="251" t="s">
        <v>1693</v>
      </c>
      <c r="C2428" s="178" t="s">
        <v>3907</v>
      </c>
      <c r="D2428" s="36">
        <v>50950.0</v>
      </c>
      <c r="E2428" s="36" t="s">
        <v>1683</v>
      </c>
      <c r="F2428" s="178" t="s">
        <v>891</v>
      </c>
    </row>
    <row r="2429">
      <c r="A2429" s="250">
        <v>45425.00153444445</v>
      </c>
      <c r="B2429" s="251" t="s">
        <v>1684</v>
      </c>
      <c r="C2429" s="178" t="s">
        <v>3908</v>
      </c>
      <c r="D2429" s="36" t="s">
        <v>1683</v>
      </c>
      <c r="E2429" s="36">
        <v>50950.0</v>
      </c>
      <c r="F2429" s="178" t="s">
        <v>891</v>
      </c>
    </row>
    <row r="2430">
      <c r="A2430" s="250">
        <v>45425.00221888888</v>
      </c>
      <c r="B2430" s="251" t="s">
        <v>1693</v>
      </c>
      <c r="C2430" s="178" t="s">
        <v>3909</v>
      </c>
      <c r="D2430" s="36">
        <v>31969.999999999996</v>
      </c>
      <c r="E2430" s="36" t="s">
        <v>1683</v>
      </c>
      <c r="F2430" s="178" t="s">
        <v>890</v>
      </c>
    </row>
    <row r="2431">
      <c r="A2431" s="250">
        <v>45425.00221888888</v>
      </c>
      <c r="B2431" s="251" t="s">
        <v>1684</v>
      </c>
      <c r="C2431" s="178" t="s">
        <v>3910</v>
      </c>
      <c r="D2431" s="36" t="s">
        <v>1683</v>
      </c>
      <c r="E2431" s="36">
        <v>31969.999999999996</v>
      </c>
      <c r="F2431" s="178" t="s">
        <v>890</v>
      </c>
    </row>
    <row r="2432">
      <c r="A2432" s="250">
        <v>45425.00498666667</v>
      </c>
      <c r="B2432" s="251" t="s">
        <v>1693</v>
      </c>
      <c r="C2432" s="178" t="s">
        <v>3911</v>
      </c>
      <c r="D2432" s="36">
        <v>50950.0</v>
      </c>
      <c r="E2432" s="36" t="s">
        <v>1683</v>
      </c>
      <c r="F2432" s="178" t="s">
        <v>889</v>
      </c>
    </row>
    <row r="2433">
      <c r="A2433" s="250">
        <v>45425.00498666667</v>
      </c>
      <c r="B2433" s="251" t="s">
        <v>1684</v>
      </c>
      <c r="C2433" s="178" t="s">
        <v>3912</v>
      </c>
      <c r="D2433" s="36" t="s">
        <v>1683</v>
      </c>
      <c r="E2433" s="36">
        <v>50950.0</v>
      </c>
      <c r="F2433" s="178" t="s">
        <v>889</v>
      </c>
    </row>
    <row r="2434">
      <c r="A2434" s="250">
        <v>45425.48160503472</v>
      </c>
      <c r="B2434" s="251" t="s">
        <v>3913</v>
      </c>
      <c r="C2434" s="178" t="s">
        <v>3914</v>
      </c>
      <c r="D2434" s="36">
        <v>49019.0</v>
      </c>
      <c r="E2434" s="36" t="s">
        <v>1683</v>
      </c>
      <c r="F2434" s="178" t="s">
        <v>604</v>
      </c>
    </row>
    <row r="2435">
      <c r="A2435" s="250">
        <v>45425.48160503472</v>
      </c>
      <c r="B2435" s="251" t="s">
        <v>1802</v>
      </c>
      <c r="C2435" s="178" t="s">
        <v>3881</v>
      </c>
      <c r="D2435" s="36" t="s">
        <v>1683</v>
      </c>
      <c r="E2435" s="36">
        <v>49019.0</v>
      </c>
      <c r="F2435" s="178" t="s">
        <v>604</v>
      </c>
    </row>
    <row r="2436">
      <c r="A2436" s="250">
        <v>45425.56180555555</v>
      </c>
      <c r="B2436" s="251" t="s">
        <v>3392</v>
      </c>
      <c r="C2436" s="178" t="s">
        <v>3915</v>
      </c>
      <c r="D2436" s="36">
        <v>359560.0</v>
      </c>
      <c r="E2436" s="36" t="s">
        <v>1683</v>
      </c>
      <c r="F2436" s="178" t="s">
        <v>992</v>
      </c>
    </row>
    <row r="2437">
      <c r="A2437" s="250">
        <v>45425.56180555555</v>
      </c>
      <c r="B2437" s="251" t="s">
        <v>1698</v>
      </c>
      <c r="C2437" s="178" t="s">
        <v>3893</v>
      </c>
      <c r="D2437" s="36" t="s">
        <v>1683</v>
      </c>
      <c r="E2437" s="36">
        <v>359560.0</v>
      </c>
      <c r="F2437" s="178" t="s">
        <v>992</v>
      </c>
    </row>
    <row r="2438">
      <c r="A2438" s="250">
        <v>45425.56734704861</v>
      </c>
      <c r="B2438" s="251" t="s">
        <v>3916</v>
      </c>
      <c r="C2438" s="178" t="s">
        <v>3917</v>
      </c>
      <c r="D2438" s="36">
        <v>324363.00000000006</v>
      </c>
      <c r="E2438" s="36" t="s">
        <v>1683</v>
      </c>
      <c r="F2438" s="178" t="s">
        <v>471</v>
      </c>
    </row>
    <row r="2439">
      <c r="A2439" s="250">
        <v>45425.56734704861</v>
      </c>
      <c r="B2439" s="251" t="s">
        <v>1802</v>
      </c>
      <c r="C2439" s="178" t="s">
        <v>3875</v>
      </c>
      <c r="D2439" s="36" t="s">
        <v>1683</v>
      </c>
      <c r="E2439" s="36">
        <v>324363.00000000006</v>
      </c>
      <c r="F2439" s="178" t="s">
        <v>471</v>
      </c>
    </row>
    <row r="2440">
      <c r="A2440" s="250">
        <v>45425.89661777778</v>
      </c>
      <c r="B2440" s="251" t="s">
        <v>1783</v>
      </c>
      <c r="C2440" s="178" t="s">
        <v>3918</v>
      </c>
      <c r="D2440" s="36">
        <v>81249.99999999999</v>
      </c>
      <c r="E2440" s="36" t="s">
        <v>1683</v>
      </c>
      <c r="F2440" s="178" t="s">
        <v>625</v>
      </c>
    </row>
    <row r="2441">
      <c r="A2441" s="250">
        <v>45425.89661777778</v>
      </c>
      <c r="B2441" s="251" t="s">
        <v>1684</v>
      </c>
      <c r="C2441" s="178" t="s">
        <v>3919</v>
      </c>
      <c r="D2441" s="36" t="s">
        <v>1683</v>
      </c>
      <c r="E2441" s="36">
        <v>81249.99999999999</v>
      </c>
      <c r="F2441" s="178" t="s">
        <v>625</v>
      </c>
    </row>
    <row r="2442">
      <c r="A2442" s="250">
        <v>45425.897147777774</v>
      </c>
      <c r="B2442" s="251" t="s">
        <v>1783</v>
      </c>
      <c r="C2442" s="178" t="s">
        <v>3920</v>
      </c>
      <c r="D2442" s="36">
        <v>452700.00000000006</v>
      </c>
      <c r="E2442" s="36" t="s">
        <v>1683</v>
      </c>
      <c r="F2442" s="178" t="s">
        <v>625</v>
      </c>
    </row>
    <row r="2443">
      <c r="A2443" s="250">
        <v>45425.897147777774</v>
      </c>
      <c r="B2443" s="251" t="s">
        <v>1684</v>
      </c>
      <c r="C2443" s="178" t="s">
        <v>3921</v>
      </c>
      <c r="D2443" s="36" t="s">
        <v>1683</v>
      </c>
      <c r="E2443" s="36">
        <v>452700.00000000006</v>
      </c>
      <c r="F2443" s="178" t="s">
        <v>625</v>
      </c>
    </row>
    <row r="2444">
      <c r="A2444" s="250">
        <v>45425.89908111111</v>
      </c>
      <c r="B2444" s="251" t="s">
        <v>1783</v>
      </c>
      <c r="C2444" s="178" t="s">
        <v>3922</v>
      </c>
      <c r="D2444" s="36">
        <v>23330.000000000004</v>
      </c>
      <c r="E2444" s="36" t="s">
        <v>1683</v>
      </c>
      <c r="F2444" s="178" t="s">
        <v>267</v>
      </c>
    </row>
    <row r="2445">
      <c r="A2445" s="250">
        <v>45425.89908111111</v>
      </c>
      <c r="B2445" s="251" t="s">
        <v>1684</v>
      </c>
      <c r="C2445" s="178" t="s">
        <v>3923</v>
      </c>
      <c r="D2445" s="36" t="s">
        <v>1683</v>
      </c>
      <c r="E2445" s="36">
        <v>23330.000000000004</v>
      </c>
      <c r="F2445" s="178" t="s">
        <v>267</v>
      </c>
    </row>
    <row r="2446">
      <c r="A2446" s="250">
        <v>45425.94212666667</v>
      </c>
      <c r="B2446" s="251" t="s">
        <v>1783</v>
      </c>
      <c r="C2446" s="178" t="s">
        <v>3924</v>
      </c>
      <c r="D2446" s="36">
        <v>235887.99999999997</v>
      </c>
      <c r="E2446" s="36" t="s">
        <v>1683</v>
      </c>
      <c r="F2446" s="178" t="s">
        <v>266</v>
      </c>
    </row>
    <row r="2447">
      <c r="A2447" s="250">
        <v>45425.94212666667</v>
      </c>
      <c r="B2447" s="251" t="s">
        <v>1684</v>
      </c>
      <c r="C2447" s="178" t="s">
        <v>3925</v>
      </c>
      <c r="D2447" s="36" t="s">
        <v>1683</v>
      </c>
      <c r="E2447" s="36">
        <v>235887.99999999997</v>
      </c>
      <c r="F2447" s="178" t="s">
        <v>266</v>
      </c>
    </row>
    <row r="2448">
      <c r="A2448" s="250">
        <v>45426.01122666666</v>
      </c>
      <c r="B2448" s="251" t="s">
        <v>1693</v>
      </c>
      <c r="C2448" s="178" t="s">
        <v>3926</v>
      </c>
      <c r="D2448" s="36">
        <v>50950.00000000001</v>
      </c>
      <c r="E2448" s="36" t="s">
        <v>1683</v>
      </c>
      <c r="F2448" s="178" t="s">
        <v>888</v>
      </c>
    </row>
    <row r="2449">
      <c r="A2449" s="250">
        <v>45426.01122666666</v>
      </c>
      <c r="B2449" s="251" t="s">
        <v>1684</v>
      </c>
      <c r="C2449" s="178" t="s">
        <v>3927</v>
      </c>
      <c r="D2449" s="36" t="s">
        <v>1683</v>
      </c>
      <c r="E2449" s="36">
        <v>50950.00000000001</v>
      </c>
      <c r="F2449" s="178" t="s">
        <v>888</v>
      </c>
    </row>
    <row r="2450">
      <c r="A2450" s="250">
        <v>45426.0133</v>
      </c>
      <c r="B2450" s="251" t="s">
        <v>1693</v>
      </c>
      <c r="C2450" s="178" t="s">
        <v>3928</v>
      </c>
      <c r="D2450" s="36">
        <v>50949.99999999999</v>
      </c>
      <c r="E2450" s="36" t="s">
        <v>1683</v>
      </c>
      <c r="F2450" s="178" t="s">
        <v>887</v>
      </c>
    </row>
    <row r="2451">
      <c r="A2451" s="250">
        <v>45426.0133</v>
      </c>
      <c r="B2451" s="251" t="s">
        <v>1684</v>
      </c>
      <c r="C2451" s="178" t="s">
        <v>3929</v>
      </c>
      <c r="D2451" s="36" t="s">
        <v>1683</v>
      </c>
      <c r="E2451" s="36">
        <v>50949.99999999999</v>
      </c>
      <c r="F2451" s="178" t="s">
        <v>887</v>
      </c>
    </row>
    <row r="2452">
      <c r="A2452" s="250">
        <v>45426.44187096065</v>
      </c>
      <c r="B2452" s="251" t="s">
        <v>3930</v>
      </c>
      <c r="C2452" s="178" t="s">
        <v>3931</v>
      </c>
      <c r="D2452" s="36">
        <v>236515.0</v>
      </c>
      <c r="E2452" s="36" t="s">
        <v>1683</v>
      </c>
      <c r="F2452" s="178" t="s">
        <v>745</v>
      </c>
    </row>
    <row r="2453">
      <c r="A2453" s="250">
        <v>45426.44187096065</v>
      </c>
      <c r="B2453" s="251" t="s">
        <v>1802</v>
      </c>
      <c r="C2453" s="178" t="s">
        <v>3877</v>
      </c>
      <c r="D2453" s="36" t="s">
        <v>1683</v>
      </c>
      <c r="E2453" s="36">
        <v>236515.0</v>
      </c>
      <c r="F2453" s="178" t="s">
        <v>745</v>
      </c>
    </row>
    <row r="2454">
      <c r="A2454" s="250">
        <v>45426.44200261574</v>
      </c>
      <c r="B2454" s="251" t="s">
        <v>3932</v>
      </c>
      <c r="C2454" s="178" t="s">
        <v>3933</v>
      </c>
      <c r="D2454" s="36">
        <v>283818.0</v>
      </c>
      <c r="E2454" s="36" t="s">
        <v>1683</v>
      </c>
      <c r="F2454" s="178" t="s">
        <v>745</v>
      </c>
    </row>
    <row r="2455">
      <c r="A2455" s="250">
        <v>45426.44200261574</v>
      </c>
      <c r="B2455" s="251" t="s">
        <v>1802</v>
      </c>
      <c r="C2455" s="178" t="s">
        <v>3879</v>
      </c>
      <c r="D2455" s="36" t="s">
        <v>1683</v>
      </c>
      <c r="E2455" s="36">
        <v>283818.0</v>
      </c>
      <c r="F2455" s="178" t="s">
        <v>745</v>
      </c>
    </row>
    <row r="2456">
      <c r="A2456" s="250">
        <v>45426.522702222224</v>
      </c>
      <c r="B2456" s="251" t="s">
        <v>3396</v>
      </c>
      <c r="C2456" s="178" t="s">
        <v>3934</v>
      </c>
      <c r="D2456" s="36">
        <v>23329.999999999996</v>
      </c>
      <c r="E2456" s="36" t="s">
        <v>1683</v>
      </c>
      <c r="F2456" s="178" t="s">
        <v>268</v>
      </c>
    </row>
    <row r="2457">
      <c r="A2457" s="250">
        <v>45426.522702222224</v>
      </c>
      <c r="B2457" s="251" t="s">
        <v>1802</v>
      </c>
      <c r="C2457" s="178" t="s">
        <v>3905</v>
      </c>
      <c r="D2457" s="36" t="s">
        <v>1683</v>
      </c>
      <c r="E2457" s="36">
        <v>23329.999999999996</v>
      </c>
      <c r="F2457" s="178" t="s">
        <v>268</v>
      </c>
    </row>
    <row r="2458">
      <c r="A2458" s="250">
        <v>45426.593425555555</v>
      </c>
      <c r="B2458" s="251" t="s">
        <v>3177</v>
      </c>
      <c r="C2458" s="178" t="s">
        <v>3935</v>
      </c>
      <c r="D2458" s="36">
        <v>3052982.0</v>
      </c>
      <c r="E2458" s="36" t="s">
        <v>1683</v>
      </c>
      <c r="F2458" s="178" t="s">
        <v>482</v>
      </c>
    </row>
    <row r="2459">
      <c r="A2459" s="250">
        <v>45426.593425555555</v>
      </c>
      <c r="B2459" s="251" t="s">
        <v>1684</v>
      </c>
      <c r="C2459" s="178" t="s">
        <v>3936</v>
      </c>
      <c r="D2459" s="36" t="s">
        <v>1683</v>
      </c>
      <c r="E2459" s="36">
        <v>3052982.0</v>
      </c>
      <c r="F2459" s="178" t="s">
        <v>482</v>
      </c>
    </row>
    <row r="2460">
      <c r="A2460" s="250">
        <v>45426.593515555556</v>
      </c>
      <c r="B2460" s="251" t="s">
        <v>3177</v>
      </c>
      <c r="C2460" s="178" t="s">
        <v>3937</v>
      </c>
      <c r="D2460" s="36">
        <v>4540000.0</v>
      </c>
      <c r="E2460" s="36" t="s">
        <v>1683</v>
      </c>
      <c r="F2460" s="178" t="s">
        <v>382</v>
      </c>
    </row>
    <row r="2461">
      <c r="A2461" s="250">
        <v>45426.593515555556</v>
      </c>
      <c r="B2461" s="251" t="s">
        <v>1684</v>
      </c>
      <c r="C2461" s="178" t="s">
        <v>3938</v>
      </c>
      <c r="D2461" s="36" t="s">
        <v>1683</v>
      </c>
      <c r="E2461" s="36">
        <v>4540000.0</v>
      </c>
      <c r="F2461" s="178" t="s">
        <v>382</v>
      </c>
    </row>
    <row r="2462">
      <c r="A2462" s="250">
        <v>45426.593945555556</v>
      </c>
      <c r="B2462" s="251" t="s">
        <v>3177</v>
      </c>
      <c r="C2462" s="178" t="s">
        <v>3939</v>
      </c>
      <c r="D2462" s="36">
        <v>2556000.0</v>
      </c>
      <c r="E2462" s="36" t="s">
        <v>1683</v>
      </c>
      <c r="F2462" s="178" t="s">
        <v>426</v>
      </c>
    </row>
    <row r="2463">
      <c r="A2463" s="250">
        <v>45426.593945555556</v>
      </c>
      <c r="B2463" s="251" t="s">
        <v>1684</v>
      </c>
      <c r="C2463" s="178" t="s">
        <v>3940</v>
      </c>
      <c r="D2463" s="36" t="s">
        <v>1683</v>
      </c>
      <c r="E2463" s="36">
        <v>2556000.0</v>
      </c>
      <c r="F2463" s="178" t="s">
        <v>426</v>
      </c>
    </row>
    <row r="2464">
      <c r="A2464" s="250">
        <v>45426.913644444445</v>
      </c>
      <c r="B2464" s="251" t="s">
        <v>1783</v>
      </c>
      <c r="C2464" s="178" t="s">
        <v>3941</v>
      </c>
      <c r="D2464" s="36">
        <v>23330.000000000004</v>
      </c>
      <c r="E2464" s="36" t="s">
        <v>1683</v>
      </c>
      <c r="F2464" s="178" t="s">
        <v>265</v>
      </c>
    </row>
    <row r="2465">
      <c r="A2465" s="250">
        <v>45426.913644444445</v>
      </c>
      <c r="B2465" s="251" t="s">
        <v>1684</v>
      </c>
      <c r="C2465" s="178" t="s">
        <v>3942</v>
      </c>
      <c r="D2465" s="36" t="s">
        <v>1683</v>
      </c>
      <c r="E2465" s="36">
        <v>23330.000000000004</v>
      </c>
      <c r="F2465" s="178" t="s">
        <v>265</v>
      </c>
    </row>
    <row r="2466">
      <c r="A2466" s="250">
        <v>45426.93307888889</v>
      </c>
      <c r="B2466" s="251" t="s">
        <v>1783</v>
      </c>
      <c r="C2466" s="178" t="s">
        <v>3943</v>
      </c>
      <c r="D2466" s="36">
        <v>881560.0000000001</v>
      </c>
      <c r="E2466" s="36" t="s">
        <v>1683</v>
      </c>
      <c r="F2466" s="178" t="s">
        <v>264</v>
      </c>
    </row>
    <row r="2467">
      <c r="A2467" s="250">
        <v>45426.93307888889</v>
      </c>
      <c r="B2467" s="251" t="s">
        <v>1684</v>
      </c>
      <c r="C2467" s="178" t="s">
        <v>3944</v>
      </c>
      <c r="D2467" s="36" t="s">
        <v>1683</v>
      </c>
      <c r="E2467" s="36">
        <v>881560.0000000001</v>
      </c>
      <c r="F2467" s="178" t="s">
        <v>264</v>
      </c>
    </row>
    <row r="2468">
      <c r="A2468" s="250">
        <v>45426.99890111112</v>
      </c>
      <c r="B2468" s="251" t="s">
        <v>1693</v>
      </c>
      <c r="C2468" s="178" t="s">
        <v>3945</v>
      </c>
      <c r="D2468" s="36">
        <v>21864.0</v>
      </c>
      <c r="E2468" s="36" t="s">
        <v>1683</v>
      </c>
      <c r="F2468" s="178" t="s">
        <v>135</v>
      </c>
    </row>
    <row r="2469">
      <c r="A2469" s="250">
        <v>45426.99890111112</v>
      </c>
      <c r="B2469" s="251" t="s">
        <v>1684</v>
      </c>
      <c r="C2469" s="178" t="s">
        <v>3946</v>
      </c>
      <c r="D2469" s="36" t="s">
        <v>1683</v>
      </c>
      <c r="E2469" s="36">
        <v>21864.0</v>
      </c>
      <c r="F2469" s="178" t="s">
        <v>135</v>
      </c>
    </row>
    <row r="2470">
      <c r="A2470" s="250">
        <v>45426.999241111116</v>
      </c>
      <c r="B2470" s="251" t="s">
        <v>1693</v>
      </c>
      <c r="C2470" s="178" t="s">
        <v>3947</v>
      </c>
      <c r="D2470" s="36">
        <v>1311832.9999999998</v>
      </c>
      <c r="E2470" s="36" t="s">
        <v>1683</v>
      </c>
      <c r="F2470" s="178" t="s">
        <v>399</v>
      </c>
    </row>
    <row r="2471">
      <c r="A2471" s="250">
        <v>45426.999241111116</v>
      </c>
      <c r="B2471" s="251" t="s">
        <v>1684</v>
      </c>
      <c r="C2471" s="178" t="s">
        <v>3948</v>
      </c>
      <c r="D2471" s="36" t="s">
        <v>1683</v>
      </c>
      <c r="E2471" s="36">
        <v>1311832.9999999998</v>
      </c>
      <c r="F2471" s="178" t="s">
        <v>399</v>
      </c>
    </row>
    <row r="2472">
      <c r="A2472" s="250">
        <v>45426.99959111111</v>
      </c>
      <c r="B2472" s="251" t="s">
        <v>1693</v>
      </c>
      <c r="C2472" s="178" t="s">
        <v>3949</v>
      </c>
      <c r="D2472" s="36">
        <v>240503.00000000003</v>
      </c>
      <c r="E2472" s="36" t="s">
        <v>1683</v>
      </c>
      <c r="F2472" s="178" t="s">
        <v>135</v>
      </c>
    </row>
    <row r="2473">
      <c r="A2473" s="250">
        <v>45426.99959111111</v>
      </c>
      <c r="B2473" s="251" t="s">
        <v>1684</v>
      </c>
      <c r="C2473" s="178" t="s">
        <v>3950</v>
      </c>
      <c r="D2473" s="36" t="s">
        <v>1683</v>
      </c>
      <c r="E2473" s="36">
        <v>240503.00000000003</v>
      </c>
      <c r="F2473" s="178" t="s">
        <v>135</v>
      </c>
    </row>
    <row r="2474">
      <c r="A2474" s="250">
        <v>45427.00426222222</v>
      </c>
      <c r="B2474" s="251" t="s">
        <v>1693</v>
      </c>
      <c r="C2474" s="178" t="s">
        <v>3951</v>
      </c>
      <c r="D2474" s="36">
        <v>50949.99999999999</v>
      </c>
      <c r="E2474" s="36" t="s">
        <v>1683</v>
      </c>
      <c r="F2474" s="178" t="s">
        <v>886</v>
      </c>
    </row>
    <row r="2475">
      <c r="A2475" s="250">
        <v>45427.00426222222</v>
      </c>
      <c r="B2475" s="251" t="s">
        <v>1684</v>
      </c>
      <c r="C2475" s="178" t="s">
        <v>3952</v>
      </c>
      <c r="D2475" s="36" t="s">
        <v>1683</v>
      </c>
      <c r="E2475" s="36">
        <v>50949.99999999999</v>
      </c>
      <c r="F2475" s="178" t="s">
        <v>886</v>
      </c>
    </row>
    <row r="2476">
      <c r="A2476" s="250">
        <v>45427.00703</v>
      </c>
      <c r="B2476" s="251" t="s">
        <v>1693</v>
      </c>
      <c r="C2476" s="178" t="s">
        <v>3953</v>
      </c>
      <c r="D2476" s="36">
        <v>50950.0</v>
      </c>
      <c r="E2476" s="36" t="s">
        <v>1683</v>
      </c>
      <c r="F2476" s="178" t="s">
        <v>885</v>
      </c>
    </row>
    <row r="2477">
      <c r="A2477" s="250">
        <v>45427.00703</v>
      </c>
      <c r="B2477" s="251" t="s">
        <v>1684</v>
      </c>
      <c r="C2477" s="178" t="s">
        <v>3954</v>
      </c>
      <c r="D2477" s="36" t="s">
        <v>1683</v>
      </c>
      <c r="E2477" s="36">
        <v>50950.0</v>
      </c>
      <c r="F2477" s="178" t="s">
        <v>885</v>
      </c>
    </row>
    <row r="2478">
      <c r="A2478" s="250">
        <v>45427.422682222226</v>
      </c>
      <c r="B2478" s="251" t="s">
        <v>3396</v>
      </c>
      <c r="C2478" s="178" t="s">
        <v>3955</v>
      </c>
      <c r="D2478" s="36">
        <v>235887.99999999997</v>
      </c>
      <c r="E2478" s="36" t="s">
        <v>1683</v>
      </c>
      <c r="F2478" s="178" t="s">
        <v>266</v>
      </c>
    </row>
    <row r="2479">
      <c r="A2479" s="250">
        <v>45427.422682222226</v>
      </c>
      <c r="B2479" s="251" t="s">
        <v>1802</v>
      </c>
      <c r="C2479" s="178" t="s">
        <v>3924</v>
      </c>
      <c r="D2479" s="36" t="s">
        <v>1683</v>
      </c>
      <c r="E2479" s="36">
        <v>235887.99999999997</v>
      </c>
      <c r="F2479" s="178" t="s">
        <v>266</v>
      </c>
    </row>
    <row r="2480">
      <c r="A2480" s="250">
        <v>45427.42338666667</v>
      </c>
      <c r="B2480" s="251" t="s">
        <v>3396</v>
      </c>
      <c r="C2480" s="178" t="s">
        <v>3956</v>
      </c>
      <c r="D2480" s="36">
        <v>23330.000000000004</v>
      </c>
      <c r="E2480" s="36" t="s">
        <v>1683</v>
      </c>
      <c r="F2480" s="178" t="s">
        <v>267</v>
      </c>
    </row>
    <row r="2481">
      <c r="A2481" s="250">
        <v>45427.42338666667</v>
      </c>
      <c r="B2481" s="251" t="s">
        <v>1802</v>
      </c>
      <c r="C2481" s="178" t="s">
        <v>3922</v>
      </c>
      <c r="D2481" s="36" t="s">
        <v>1683</v>
      </c>
      <c r="E2481" s="36">
        <v>23330.000000000004</v>
      </c>
      <c r="F2481" s="178" t="s">
        <v>267</v>
      </c>
    </row>
    <row r="2482">
      <c r="A2482" s="250">
        <v>45427.49248666667</v>
      </c>
      <c r="B2482" s="251" t="s">
        <v>3240</v>
      </c>
      <c r="C2482" s="178" t="s">
        <v>3957</v>
      </c>
      <c r="D2482" s="36">
        <v>50950.0</v>
      </c>
      <c r="E2482" s="36" t="s">
        <v>1683</v>
      </c>
      <c r="F2482" s="178" t="s">
        <v>889</v>
      </c>
    </row>
    <row r="2483">
      <c r="A2483" s="250">
        <v>45427.49248666667</v>
      </c>
      <c r="B2483" s="251" t="s">
        <v>1698</v>
      </c>
      <c r="C2483" s="178" t="s">
        <v>3911</v>
      </c>
      <c r="D2483" s="36" t="s">
        <v>1683</v>
      </c>
      <c r="E2483" s="36">
        <v>50950.0</v>
      </c>
      <c r="F2483" s="178" t="s">
        <v>889</v>
      </c>
    </row>
    <row r="2484">
      <c r="A2484" s="250">
        <v>45427.492496666666</v>
      </c>
      <c r="B2484" s="251" t="s">
        <v>3240</v>
      </c>
      <c r="C2484" s="178" t="s">
        <v>3958</v>
      </c>
      <c r="D2484" s="36">
        <v>31969.999999999996</v>
      </c>
      <c r="E2484" s="36" t="s">
        <v>1683</v>
      </c>
      <c r="F2484" s="178" t="s">
        <v>890</v>
      </c>
    </row>
    <row r="2485">
      <c r="A2485" s="250">
        <v>45427.492496666666</v>
      </c>
      <c r="B2485" s="251" t="s">
        <v>1698</v>
      </c>
      <c r="C2485" s="178" t="s">
        <v>3909</v>
      </c>
      <c r="D2485" s="36" t="s">
        <v>1683</v>
      </c>
      <c r="E2485" s="36">
        <v>31969.999999999996</v>
      </c>
      <c r="F2485" s="178" t="s">
        <v>890</v>
      </c>
    </row>
    <row r="2486">
      <c r="A2486" s="250">
        <v>45427.49250666667</v>
      </c>
      <c r="B2486" s="251" t="s">
        <v>3240</v>
      </c>
      <c r="C2486" s="178" t="s">
        <v>3959</v>
      </c>
      <c r="D2486" s="36">
        <v>50950.0</v>
      </c>
      <c r="E2486" s="36" t="s">
        <v>1683</v>
      </c>
      <c r="F2486" s="178" t="s">
        <v>891</v>
      </c>
    </row>
    <row r="2487">
      <c r="A2487" s="250">
        <v>45427.49250666667</v>
      </c>
      <c r="B2487" s="251" t="s">
        <v>1698</v>
      </c>
      <c r="C2487" s="178" t="s">
        <v>3907</v>
      </c>
      <c r="D2487" s="36" t="s">
        <v>1683</v>
      </c>
      <c r="E2487" s="36">
        <v>50950.0</v>
      </c>
      <c r="F2487" s="178" t="s">
        <v>891</v>
      </c>
    </row>
    <row r="2488">
      <c r="A2488" s="250">
        <v>45427.73362333333</v>
      </c>
      <c r="B2488" s="251" t="s">
        <v>3020</v>
      </c>
      <c r="C2488" s="178" t="s">
        <v>3960</v>
      </c>
      <c r="D2488" s="36">
        <v>21864.0</v>
      </c>
      <c r="E2488" s="36" t="s">
        <v>1683</v>
      </c>
      <c r="F2488" s="178" t="s">
        <v>135</v>
      </c>
    </row>
    <row r="2489">
      <c r="A2489" s="250">
        <v>45427.73362333333</v>
      </c>
      <c r="B2489" s="251" t="s">
        <v>1698</v>
      </c>
      <c r="C2489" s="178" t="s">
        <v>3945</v>
      </c>
      <c r="D2489" s="36" t="s">
        <v>1683</v>
      </c>
      <c r="E2489" s="36">
        <v>21864.0</v>
      </c>
      <c r="F2489" s="178" t="s">
        <v>135</v>
      </c>
    </row>
    <row r="2490">
      <c r="A2490" s="250">
        <v>45427.73431333333</v>
      </c>
      <c r="B2490" s="251" t="s">
        <v>3017</v>
      </c>
      <c r="C2490" s="178" t="s">
        <v>3961</v>
      </c>
      <c r="D2490" s="36">
        <v>240503.00000000003</v>
      </c>
      <c r="E2490" s="36" t="s">
        <v>1683</v>
      </c>
      <c r="F2490" s="178" t="s">
        <v>135</v>
      </c>
    </row>
    <row r="2491">
      <c r="A2491" s="250">
        <v>45427.73431333333</v>
      </c>
      <c r="B2491" s="251" t="s">
        <v>1698</v>
      </c>
      <c r="C2491" s="178" t="s">
        <v>3949</v>
      </c>
      <c r="D2491" s="36" t="s">
        <v>1683</v>
      </c>
      <c r="E2491" s="36">
        <v>240503.00000000003</v>
      </c>
      <c r="F2491" s="178" t="s">
        <v>135</v>
      </c>
    </row>
    <row r="2492">
      <c r="A2492" s="250">
        <v>45427.88098555556</v>
      </c>
      <c r="B2492" s="251" t="s">
        <v>1783</v>
      </c>
      <c r="C2492" s="178" t="s">
        <v>3962</v>
      </c>
      <c r="D2492" s="36">
        <v>23330.000000000004</v>
      </c>
      <c r="E2492" s="36" t="s">
        <v>1683</v>
      </c>
      <c r="F2492" s="178" t="s">
        <v>263</v>
      </c>
    </row>
    <row r="2493">
      <c r="A2493" s="250">
        <v>45427.88098555556</v>
      </c>
      <c r="B2493" s="251" t="s">
        <v>1684</v>
      </c>
      <c r="C2493" s="178" t="s">
        <v>3963</v>
      </c>
      <c r="D2493" s="36" t="s">
        <v>1683</v>
      </c>
      <c r="E2493" s="36">
        <v>23330.000000000004</v>
      </c>
      <c r="F2493" s="178" t="s">
        <v>263</v>
      </c>
    </row>
    <row r="2494">
      <c r="A2494" s="250">
        <v>45427.88583666666</v>
      </c>
      <c r="B2494" s="251" t="s">
        <v>1783</v>
      </c>
      <c r="C2494" s="178" t="s">
        <v>3964</v>
      </c>
      <c r="D2494" s="36">
        <v>59461.0</v>
      </c>
      <c r="E2494" s="36" t="s">
        <v>1683</v>
      </c>
      <c r="F2494" s="178" t="s">
        <v>262</v>
      </c>
    </row>
    <row r="2495">
      <c r="A2495" s="250">
        <v>45427.88583666666</v>
      </c>
      <c r="B2495" s="251" t="s">
        <v>1684</v>
      </c>
      <c r="C2495" s="178" t="s">
        <v>3965</v>
      </c>
      <c r="D2495" s="36" t="s">
        <v>1683</v>
      </c>
      <c r="E2495" s="36">
        <v>59461.0</v>
      </c>
      <c r="F2495" s="178" t="s">
        <v>262</v>
      </c>
    </row>
    <row r="2496">
      <c r="A2496" s="250">
        <v>45427.88618666666</v>
      </c>
      <c r="B2496" s="251" t="s">
        <v>1783</v>
      </c>
      <c r="C2496" s="178" t="s">
        <v>3966</v>
      </c>
      <c r="D2496" s="36">
        <v>221816.0</v>
      </c>
      <c r="E2496" s="36" t="s">
        <v>1683</v>
      </c>
      <c r="F2496" s="178" t="s">
        <v>262</v>
      </c>
    </row>
    <row r="2497">
      <c r="A2497" s="250">
        <v>45427.88618666666</v>
      </c>
      <c r="B2497" s="251" t="s">
        <v>1684</v>
      </c>
      <c r="C2497" s="178" t="s">
        <v>3967</v>
      </c>
      <c r="D2497" s="36" t="s">
        <v>1683</v>
      </c>
      <c r="E2497" s="36">
        <v>221816.0</v>
      </c>
      <c r="F2497" s="178" t="s">
        <v>262</v>
      </c>
    </row>
    <row r="2498">
      <c r="A2498" s="250">
        <v>45428.002843333335</v>
      </c>
      <c r="B2498" s="251" t="s">
        <v>1693</v>
      </c>
      <c r="C2498" s="178" t="s">
        <v>3968</v>
      </c>
      <c r="D2498" s="36">
        <v>50950.0</v>
      </c>
      <c r="E2498" s="36" t="s">
        <v>1683</v>
      </c>
      <c r="F2498" s="178" t="s">
        <v>884</v>
      </c>
    </row>
    <row r="2499">
      <c r="A2499" s="250">
        <v>45428.002843333335</v>
      </c>
      <c r="B2499" s="251" t="s">
        <v>1684</v>
      </c>
      <c r="C2499" s="178" t="s">
        <v>3969</v>
      </c>
      <c r="D2499" s="36" t="s">
        <v>1683</v>
      </c>
      <c r="E2499" s="36">
        <v>50950.0</v>
      </c>
      <c r="F2499" s="178" t="s">
        <v>884</v>
      </c>
    </row>
    <row r="2500">
      <c r="A2500" s="250">
        <v>45428.007</v>
      </c>
      <c r="B2500" s="251" t="s">
        <v>1693</v>
      </c>
      <c r="C2500" s="178" t="s">
        <v>3970</v>
      </c>
      <c r="D2500" s="36">
        <v>50950.0</v>
      </c>
      <c r="E2500" s="36" t="s">
        <v>1683</v>
      </c>
      <c r="F2500" s="178" t="s">
        <v>883</v>
      </c>
    </row>
    <row r="2501">
      <c r="A2501" s="250">
        <v>45428.007</v>
      </c>
      <c r="B2501" s="251" t="s">
        <v>1684</v>
      </c>
      <c r="C2501" s="178" t="s">
        <v>3971</v>
      </c>
      <c r="D2501" s="36" t="s">
        <v>1683</v>
      </c>
      <c r="E2501" s="36">
        <v>50950.0</v>
      </c>
      <c r="F2501" s="178" t="s">
        <v>883</v>
      </c>
    </row>
    <row r="2502">
      <c r="A2502" s="250">
        <v>45428.45392222222</v>
      </c>
      <c r="B2502" s="251" t="s">
        <v>3396</v>
      </c>
      <c r="C2502" s="178" t="s">
        <v>3972</v>
      </c>
      <c r="D2502" s="36">
        <v>23330.000000000004</v>
      </c>
      <c r="E2502" s="36" t="s">
        <v>1683</v>
      </c>
      <c r="F2502" s="178" t="s">
        <v>265</v>
      </c>
    </row>
    <row r="2503">
      <c r="A2503" s="250">
        <v>45428.45392222222</v>
      </c>
      <c r="B2503" s="251" t="s">
        <v>1802</v>
      </c>
      <c r="C2503" s="178" t="s">
        <v>3941</v>
      </c>
      <c r="D2503" s="36" t="s">
        <v>1683</v>
      </c>
      <c r="E2503" s="36">
        <v>23330.000000000004</v>
      </c>
      <c r="F2503" s="178" t="s">
        <v>265</v>
      </c>
    </row>
    <row r="2504">
      <c r="A2504" s="250">
        <v>45428.46678222222</v>
      </c>
      <c r="B2504" s="251" t="s">
        <v>3240</v>
      </c>
      <c r="C2504" s="178" t="s">
        <v>3973</v>
      </c>
      <c r="D2504" s="36">
        <v>50950.00000000001</v>
      </c>
      <c r="E2504" s="36" t="s">
        <v>1683</v>
      </c>
      <c r="F2504" s="178" t="s">
        <v>888</v>
      </c>
    </row>
    <row r="2505">
      <c r="A2505" s="250">
        <v>45428.46678222222</v>
      </c>
      <c r="B2505" s="251" t="s">
        <v>1698</v>
      </c>
      <c r="C2505" s="178" t="s">
        <v>3926</v>
      </c>
      <c r="D2505" s="36" t="s">
        <v>1683</v>
      </c>
      <c r="E2505" s="36">
        <v>50950.00000000001</v>
      </c>
      <c r="F2505" s="178" t="s">
        <v>888</v>
      </c>
    </row>
    <row r="2506">
      <c r="A2506" s="250">
        <v>45428.46746666667</v>
      </c>
      <c r="B2506" s="251" t="s">
        <v>3240</v>
      </c>
      <c r="C2506" s="178" t="s">
        <v>3974</v>
      </c>
      <c r="D2506" s="36">
        <v>50949.99999999999</v>
      </c>
      <c r="E2506" s="36" t="s">
        <v>1683</v>
      </c>
      <c r="F2506" s="178" t="s">
        <v>887</v>
      </c>
    </row>
    <row r="2507">
      <c r="A2507" s="250">
        <v>45428.46746666667</v>
      </c>
      <c r="B2507" s="251" t="s">
        <v>1698</v>
      </c>
      <c r="C2507" s="178" t="s">
        <v>3928</v>
      </c>
      <c r="D2507" s="36" t="s">
        <v>1683</v>
      </c>
      <c r="E2507" s="36">
        <v>50949.99999999999</v>
      </c>
      <c r="F2507" s="178" t="s">
        <v>887</v>
      </c>
    </row>
    <row r="2508">
      <c r="A2508" s="250">
        <v>45428.771827777775</v>
      </c>
      <c r="B2508" s="251" t="s">
        <v>3020</v>
      </c>
      <c r="C2508" s="178" t="s">
        <v>3975</v>
      </c>
      <c r="D2508" s="36">
        <v>524950.0</v>
      </c>
      <c r="E2508" s="36" t="s">
        <v>1683</v>
      </c>
      <c r="F2508" s="178" t="s">
        <v>149</v>
      </c>
    </row>
    <row r="2509">
      <c r="A2509" s="250">
        <v>45428.771827777775</v>
      </c>
      <c r="B2509" s="251" t="s">
        <v>1698</v>
      </c>
      <c r="C2509" s="178" t="s">
        <v>3902</v>
      </c>
      <c r="D2509" s="36" t="s">
        <v>1683</v>
      </c>
      <c r="E2509" s="36">
        <v>524950.0</v>
      </c>
      <c r="F2509" s="178" t="s">
        <v>149</v>
      </c>
    </row>
    <row r="2510">
      <c r="A2510" s="250">
        <v>45428.96097666667</v>
      </c>
      <c r="B2510" s="251" t="s">
        <v>1783</v>
      </c>
      <c r="C2510" s="178" t="s">
        <v>3976</v>
      </c>
      <c r="D2510" s="36">
        <v>20949.999999999996</v>
      </c>
      <c r="E2510" s="36" t="s">
        <v>1683</v>
      </c>
      <c r="F2510" s="178" t="s">
        <v>413</v>
      </c>
    </row>
    <row r="2511">
      <c r="A2511" s="250">
        <v>45428.96097666667</v>
      </c>
      <c r="B2511" s="251" t="s">
        <v>1684</v>
      </c>
      <c r="C2511" s="178" t="s">
        <v>3977</v>
      </c>
      <c r="D2511" s="36" t="s">
        <v>1683</v>
      </c>
      <c r="E2511" s="36">
        <v>20949.999999999996</v>
      </c>
      <c r="F2511" s="178" t="s">
        <v>413</v>
      </c>
    </row>
    <row r="2512">
      <c r="A2512" s="250">
        <v>45428.96879555556</v>
      </c>
      <c r="B2512" s="251" t="s">
        <v>1783</v>
      </c>
      <c r="C2512" s="178" t="s">
        <v>3978</v>
      </c>
      <c r="D2512" s="36">
        <v>2464299.9999999995</v>
      </c>
      <c r="E2512" s="36" t="s">
        <v>1683</v>
      </c>
      <c r="F2512" s="178" t="s">
        <v>882</v>
      </c>
    </row>
    <row r="2513">
      <c r="A2513" s="250">
        <v>45428.96879555556</v>
      </c>
      <c r="B2513" s="251" t="s">
        <v>1684</v>
      </c>
      <c r="C2513" s="178" t="s">
        <v>3979</v>
      </c>
      <c r="D2513" s="36" t="s">
        <v>1683</v>
      </c>
      <c r="E2513" s="36">
        <v>2464299.9999999995</v>
      </c>
      <c r="F2513" s="178" t="s">
        <v>882</v>
      </c>
    </row>
    <row r="2514">
      <c r="A2514" s="250">
        <v>45428.99416</v>
      </c>
      <c r="B2514" s="251" t="s">
        <v>1783</v>
      </c>
      <c r="C2514" s="178" t="s">
        <v>3980</v>
      </c>
      <c r="D2514" s="36">
        <v>804799.9999999999</v>
      </c>
      <c r="E2514" s="36" t="s">
        <v>1683</v>
      </c>
      <c r="F2514" s="178" t="s">
        <v>261</v>
      </c>
    </row>
    <row r="2515">
      <c r="A2515" s="250">
        <v>45428.99416</v>
      </c>
      <c r="B2515" s="251" t="s">
        <v>1684</v>
      </c>
      <c r="C2515" s="178" t="s">
        <v>3981</v>
      </c>
      <c r="D2515" s="36" t="s">
        <v>1683</v>
      </c>
      <c r="E2515" s="36">
        <v>804799.9999999999</v>
      </c>
      <c r="F2515" s="178" t="s">
        <v>261</v>
      </c>
    </row>
    <row r="2516">
      <c r="A2516" s="250">
        <v>45428.99448</v>
      </c>
      <c r="B2516" s="251" t="s">
        <v>1783</v>
      </c>
      <c r="C2516" s="178" t="s">
        <v>3982</v>
      </c>
      <c r="D2516" s="36">
        <v>96500.0</v>
      </c>
      <c r="E2516" s="36" t="s">
        <v>1683</v>
      </c>
      <c r="F2516" s="178" t="s">
        <v>261</v>
      </c>
    </row>
    <row r="2517">
      <c r="A2517" s="250">
        <v>45428.99448</v>
      </c>
      <c r="B2517" s="251" t="s">
        <v>1684</v>
      </c>
      <c r="C2517" s="178" t="s">
        <v>3983</v>
      </c>
      <c r="D2517" s="36" t="s">
        <v>1683</v>
      </c>
      <c r="E2517" s="36">
        <v>96500.0</v>
      </c>
      <c r="F2517" s="178" t="s">
        <v>261</v>
      </c>
    </row>
    <row r="2518">
      <c r="A2518" s="250">
        <v>45428.996817777785</v>
      </c>
      <c r="B2518" s="251" t="s">
        <v>1783</v>
      </c>
      <c r="C2518" s="178" t="s">
        <v>3984</v>
      </c>
      <c r="D2518" s="36">
        <v>3037000.0</v>
      </c>
      <c r="E2518" s="36" t="s">
        <v>1683</v>
      </c>
      <c r="F2518" s="178" t="s">
        <v>363</v>
      </c>
    </row>
    <row r="2519">
      <c r="A2519" s="250">
        <v>45428.996817777785</v>
      </c>
      <c r="B2519" s="251" t="s">
        <v>1684</v>
      </c>
      <c r="C2519" s="178" t="s">
        <v>3985</v>
      </c>
      <c r="D2519" s="36" t="s">
        <v>1683</v>
      </c>
      <c r="E2519" s="36">
        <v>3037000.0</v>
      </c>
      <c r="F2519" s="178" t="s">
        <v>363</v>
      </c>
    </row>
    <row r="2520">
      <c r="A2520" s="250">
        <v>45429.00210888888</v>
      </c>
      <c r="B2520" s="251" t="s">
        <v>1693</v>
      </c>
      <c r="C2520" s="178" t="s">
        <v>3986</v>
      </c>
      <c r="D2520" s="36">
        <v>50949.99999999999</v>
      </c>
      <c r="E2520" s="36" t="s">
        <v>1683</v>
      </c>
      <c r="F2520" s="178" t="s">
        <v>881</v>
      </c>
    </row>
    <row r="2521">
      <c r="A2521" s="250">
        <v>45429.00210888888</v>
      </c>
      <c r="B2521" s="251" t="s">
        <v>1684</v>
      </c>
      <c r="C2521" s="178" t="s">
        <v>3987</v>
      </c>
      <c r="D2521" s="36" t="s">
        <v>1683</v>
      </c>
      <c r="E2521" s="36">
        <v>50949.99999999999</v>
      </c>
      <c r="F2521" s="178" t="s">
        <v>881</v>
      </c>
    </row>
    <row r="2522">
      <c r="A2522" s="250">
        <v>45429.00279333333</v>
      </c>
      <c r="B2522" s="251" t="s">
        <v>1693</v>
      </c>
      <c r="C2522" s="178" t="s">
        <v>3988</v>
      </c>
      <c r="D2522" s="36">
        <v>50949.99999999999</v>
      </c>
      <c r="E2522" s="36" t="s">
        <v>1683</v>
      </c>
      <c r="F2522" s="178" t="s">
        <v>880</v>
      </c>
    </row>
    <row r="2523">
      <c r="A2523" s="250">
        <v>45429.00279333333</v>
      </c>
      <c r="B2523" s="251" t="s">
        <v>1684</v>
      </c>
      <c r="C2523" s="178" t="s">
        <v>3989</v>
      </c>
      <c r="D2523" s="36" t="s">
        <v>1683</v>
      </c>
      <c r="E2523" s="36">
        <v>50949.99999999999</v>
      </c>
      <c r="F2523" s="178" t="s">
        <v>880</v>
      </c>
    </row>
    <row r="2524">
      <c r="A2524" s="250">
        <v>45429.30766888889</v>
      </c>
      <c r="B2524" s="251" t="s">
        <v>1783</v>
      </c>
      <c r="C2524" s="178" t="s">
        <v>3990</v>
      </c>
      <c r="D2524" s="36">
        <v>20014.999999999996</v>
      </c>
      <c r="E2524" s="36" t="s">
        <v>1683</v>
      </c>
      <c r="F2524" s="178" t="s">
        <v>547</v>
      </c>
    </row>
    <row r="2525">
      <c r="A2525" s="250">
        <v>45429.30766888889</v>
      </c>
      <c r="B2525" s="251" t="s">
        <v>1684</v>
      </c>
      <c r="C2525" s="178" t="s">
        <v>3991</v>
      </c>
      <c r="D2525" s="36" t="s">
        <v>1683</v>
      </c>
      <c r="E2525" s="36">
        <v>20014.999999999996</v>
      </c>
      <c r="F2525" s="178" t="s">
        <v>547</v>
      </c>
    </row>
    <row r="2526">
      <c r="A2526" s="250">
        <v>45429.307778888884</v>
      </c>
      <c r="B2526" s="251" t="s">
        <v>1783</v>
      </c>
      <c r="C2526" s="178" t="s">
        <v>3992</v>
      </c>
      <c r="D2526" s="36">
        <v>1905.0000000000005</v>
      </c>
      <c r="E2526" s="36" t="s">
        <v>1683</v>
      </c>
      <c r="F2526" s="178" t="s">
        <v>547</v>
      </c>
    </row>
    <row r="2527">
      <c r="A2527" s="250">
        <v>45429.307778888884</v>
      </c>
      <c r="B2527" s="251" t="s">
        <v>1684</v>
      </c>
      <c r="C2527" s="178" t="s">
        <v>3993</v>
      </c>
      <c r="D2527" s="36" t="s">
        <v>1683</v>
      </c>
      <c r="E2527" s="36">
        <v>1905.0000000000005</v>
      </c>
      <c r="F2527" s="178" t="s">
        <v>547</v>
      </c>
    </row>
    <row r="2528">
      <c r="A2528" s="250">
        <v>45429.345234444445</v>
      </c>
      <c r="B2528" s="251" t="s">
        <v>1783</v>
      </c>
      <c r="C2528" s="178" t="s">
        <v>3994</v>
      </c>
      <c r="D2528" s="36">
        <v>330847.0</v>
      </c>
      <c r="E2528" s="36" t="s">
        <v>1683</v>
      </c>
      <c r="F2528" s="178" t="s">
        <v>302</v>
      </c>
    </row>
    <row r="2529">
      <c r="A2529" s="250">
        <v>45429.345234444445</v>
      </c>
      <c r="B2529" s="251" t="s">
        <v>1684</v>
      </c>
      <c r="C2529" s="178" t="s">
        <v>3995</v>
      </c>
      <c r="D2529" s="36" t="s">
        <v>1683</v>
      </c>
      <c r="E2529" s="36">
        <v>330847.0</v>
      </c>
      <c r="F2529" s="178" t="s">
        <v>302</v>
      </c>
    </row>
    <row r="2530">
      <c r="A2530" s="250">
        <v>45429.34531444445</v>
      </c>
      <c r="B2530" s="251" t="s">
        <v>1783</v>
      </c>
      <c r="C2530" s="178" t="s">
        <v>3996</v>
      </c>
      <c r="D2530" s="36">
        <v>311386.0</v>
      </c>
      <c r="E2530" s="36" t="s">
        <v>1683</v>
      </c>
      <c r="F2530" s="178" t="s">
        <v>302</v>
      </c>
    </row>
    <row r="2531">
      <c r="A2531" s="250">
        <v>45429.34531444445</v>
      </c>
      <c r="B2531" s="251" t="s">
        <v>1684</v>
      </c>
      <c r="C2531" s="178" t="s">
        <v>3997</v>
      </c>
      <c r="D2531" s="36" t="s">
        <v>1683</v>
      </c>
      <c r="E2531" s="36">
        <v>311386.0</v>
      </c>
      <c r="F2531" s="178" t="s">
        <v>302</v>
      </c>
    </row>
    <row r="2532">
      <c r="A2532" s="250">
        <v>45429.345364444445</v>
      </c>
      <c r="B2532" s="251" t="s">
        <v>1783</v>
      </c>
      <c r="C2532" s="178" t="s">
        <v>3998</v>
      </c>
      <c r="D2532" s="36">
        <v>258587.0</v>
      </c>
      <c r="E2532" s="36" t="s">
        <v>1683</v>
      </c>
      <c r="F2532" s="178" t="s">
        <v>302</v>
      </c>
    </row>
    <row r="2533">
      <c r="A2533" s="250">
        <v>45429.345364444445</v>
      </c>
      <c r="B2533" s="251" t="s">
        <v>1684</v>
      </c>
      <c r="C2533" s="178" t="s">
        <v>3999</v>
      </c>
      <c r="D2533" s="36" t="s">
        <v>1683</v>
      </c>
      <c r="E2533" s="36">
        <v>258587.0</v>
      </c>
      <c r="F2533" s="178" t="s">
        <v>302</v>
      </c>
    </row>
    <row r="2534">
      <c r="A2534" s="250">
        <v>45429.457323159724</v>
      </c>
      <c r="B2534" s="251" t="s">
        <v>3396</v>
      </c>
      <c r="C2534" s="178" t="s">
        <v>4000</v>
      </c>
      <c r="D2534" s="36">
        <v>881560.0000000001</v>
      </c>
      <c r="E2534" s="36" t="s">
        <v>1683</v>
      </c>
      <c r="F2534" s="178" t="s">
        <v>264</v>
      </c>
    </row>
    <row r="2535">
      <c r="A2535" s="250">
        <v>45429.457323159724</v>
      </c>
      <c r="B2535" s="251" t="s">
        <v>1802</v>
      </c>
      <c r="C2535" s="178" t="s">
        <v>3943</v>
      </c>
      <c r="D2535" s="36" t="s">
        <v>1683</v>
      </c>
      <c r="E2535" s="36">
        <v>881560.0000000001</v>
      </c>
      <c r="F2535" s="178" t="s">
        <v>264</v>
      </c>
    </row>
    <row r="2536">
      <c r="A2536" s="250">
        <v>45429.45751315972</v>
      </c>
      <c r="B2536" s="251" t="s">
        <v>2848</v>
      </c>
      <c r="C2536" s="178" t="s">
        <v>4001</v>
      </c>
      <c r="D2536" s="36">
        <v>1311832.9999999998</v>
      </c>
      <c r="E2536" s="36" t="s">
        <v>1683</v>
      </c>
      <c r="F2536" s="178" t="s">
        <v>399</v>
      </c>
    </row>
    <row r="2537">
      <c r="A2537" s="250">
        <v>45429.45751315972</v>
      </c>
      <c r="B2537" s="251" t="s">
        <v>1698</v>
      </c>
      <c r="C2537" s="178" t="s">
        <v>3947</v>
      </c>
      <c r="D2537" s="36" t="s">
        <v>1683</v>
      </c>
      <c r="E2537" s="36">
        <v>1311832.9999999998</v>
      </c>
      <c r="F2537" s="178" t="s">
        <v>399</v>
      </c>
    </row>
    <row r="2538">
      <c r="A2538" s="250">
        <v>45429.46862093751</v>
      </c>
      <c r="B2538" s="251" t="s">
        <v>4002</v>
      </c>
      <c r="C2538" s="178" t="s">
        <v>4003</v>
      </c>
      <c r="D2538" s="36">
        <v>81249.99999999999</v>
      </c>
      <c r="E2538" s="36" t="s">
        <v>1683</v>
      </c>
      <c r="F2538" s="178" t="s">
        <v>625</v>
      </c>
    </row>
    <row r="2539">
      <c r="A2539" s="250">
        <v>45429.46862093751</v>
      </c>
      <c r="B2539" s="251" t="s">
        <v>1802</v>
      </c>
      <c r="C2539" s="178" t="s">
        <v>3918</v>
      </c>
      <c r="D2539" s="36" t="s">
        <v>1683</v>
      </c>
      <c r="E2539" s="36">
        <v>81249.99999999999</v>
      </c>
      <c r="F2539" s="178" t="s">
        <v>625</v>
      </c>
    </row>
    <row r="2540">
      <c r="A2540" s="250">
        <v>45429.46915993056</v>
      </c>
      <c r="B2540" s="251" t="s">
        <v>2266</v>
      </c>
      <c r="C2540" s="178" t="s">
        <v>4004</v>
      </c>
      <c r="D2540" s="36">
        <v>452700.00000000006</v>
      </c>
      <c r="E2540" s="36" t="s">
        <v>1683</v>
      </c>
      <c r="F2540" s="178" t="s">
        <v>625</v>
      </c>
    </row>
    <row r="2541">
      <c r="A2541" s="250">
        <v>45429.46915993056</v>
      </c>
      <c r="B2541" s="251" t="s">
        <v>1802</v>
      </c>
      <c r="C2541" s="178" t="s">
        <v>3920</v>
      </c>
      <c r="D2541" s="36" t="s">
        <v>1683</v>
      </c>
      <c r="E2541" s="36">
        <v>452700.00000000006</v>
      </c>
      <c r="F2541" s="178" t="s">
        <v>625</v>
      </c>
    </row>
    <row r="2542">
      <c r="A2542" s="250">
        <v>45429.48201605324</v>
      </c>
      <c r="B2542" s="251" t="s">
        <v>3396</v>
      </c>
      <c r="C2542" s="178" t="s">
        <v>4005</v>
      </c>
      <c r="D2542" s="36">
        <v>59461.0</v>
      </c>
      <c r="E2542" s="36" t="s">
        <v>1683</v>
      </c>
      <c r="F2542" s="178" t="s">
        <v>262</v>
      </c>
    </row>
    <row r="2543">
      <c r="A2543" s="250">
        <v>45429.48201605324</v>
      </c>
      <c r="B2543" s="251" t="s">
        <v>1802</v>
      </c>
      <c r="C2543" s="178" t="s">
        <v>3964</v>
      </c>
      <c r="D2543" s="36" t="s">
        <v>1683</v>
      </c>
      <c r="E2543" s="36">
        <v>59461.0</v>
      </c>
      <c r="F2543" s="178" t="s">
        <v>262</v>
      </c>
    </row>
    <row r="2544">
      <c r="A2544" s="250">
        <v>45429.48226619213</v>
      </c>
      <c r="B2544" s="251" t="s">
        <v>3396</v>
      </c>
      <c r="C2544" s="178" t="s">
        <v>4006</v>
      </c>
      <c r="D2544" s="36">
        <v>23330.000000000004</v>
      </c>
      <c r="E2544" s="36" t="s">
        <v>1683</v>
      </c>
      <c r="F2544" s="178" t="s">
        <v>263</v>
      </c>
    </row>
    <row r="2545">
      <c r="A2545" s="250">
        <v>45429.48226619213</v>
      </c>
      <c r="B2545" s="251" t="s">
        <v>1802</v>
      </c>
      <c r="C2545" s="178" t="s">
        <v>3962</v>
      </c>
      <c r="D2545" s="36" t="s">
        <v>1683</v>
      </c>
      <c r="E2545" s="36">
        <v>23330.000000000004</v>
      </c>
      <c r="F2545" s="178" t="s">
        <v>263</v>
      </c>
    </row>
    <row r="2546">
      <c r="A2546" s="250">
        <v>45429.48235680556</v>
      </c>
      <c r="B2546" s="251" t="s">
        <v>3240</v>
      </c>
      <c r="C2546" s="178" t="s">
        <v>4007</v>
      </c>
      <c r="D2546" s="36">
        <v>221816.0</v>
      </c>
      <c r="E2546" s="36" t="s">
        <v>1683</v>
      </c>
      <c r="F2546" s="178" t="s">
        <v>262</v>
      </c>
    </row>
    <row r="2547">
      <c r="A2547" s="250">
        <v>45429.48235680556</v>
      </c>
      <c r="B2547" s="251" t="s">
        <v>1802</v>
      </c>
      <c r="C2547" s="178" t="s">
        <v>3966</v>
      </c>
      <c r="D2547" s="36" t="s">
        <v>1683</v>
      </c>
      <c r="E2547" s="36">
        <v>221816.0</v>
      </c>
      <c r="F2547" s="178" t="s">
        <v>262</v>
      </c>
    </row>
    <row r="2548">
      <c r="A2548" s="250">
        <v>45429.55753388889</v>
      </c>
      <c r="B2548" s="251" t="s">
        <v>2807</v>
      </c>
      <c r="C2548" s="178" t="s">
        <v>4008</v>
      </c>
      <c r="D2548" s="36">
        <v>8990.0</v>
      </c>
      <c r="E2548" s="36" t="s">
        <v>1683</v>
      </c>
      <c r="F2548" s="178" t="s">
        <v>1683</v>
      </c>
    </row>
    <row r="2549">
      <c r="A2549" s="250">
        <v>45429.55753388889</v>
      </c>
      <c r="B2549" s="251" t="s">
        <v>4009</v>
      </c>
      <c r="C2549" s="178" t="s">
        <v>4010</v>
      </c>
      <c r="D2549" s="36" t="s">
        <v>1683</v>
      </c>
      <c r="E2549" s="36">
        <v>8990.0</v>
      </c>
      <c r="F2549" s="178" t="s">
        <v>1683</v>
      </c>
    </row>
    <row r="2550">
      <c r="A2550" s="250">
        <v>45429.55823833333</v>
      </c>
      <c r="B2550" s="251" t="s">
        <v>2650</v>
      </c>
      <c r="C2550" s="178" t="s">
        <v>4011</v>
      </c>
      <c r="D2550" s="36">
        <v>8990.0</v>
      </c>
      <c r="E2550" s="36" t="s">
        <v>1683</v>
      </c>
      <c r="F2550" s="178" t="s">
        <v>1683</v>
      </c>
    </row>
    <row r="2551">
      <c r="A2551" s="250">
        <v>45429.55823833333</v>
      </c>
      <c r="B2551" s="251" t="s">
        <v>2652</v>
      </c>
      <c r="C2551" s="178" t="s">
        <v>4012</v>
      </c>
      <c r="D2551" s="36" t="s">
        <v>1683</v>
      </c>
      <c r="E2551" s="36">
        <v>8990.0</v>
      </c>
      <c r="F2551" s="178" t="s">
        <v>1683</v>
      </c>
    </row>
    <row r="2552">
      <c r="A2552" s="250">
        <v>45429.57729333333</v>
      </c>
      <c r="B2552" s="251" t="s">
        <v>1693</v>
      </c>
      <c r="C2552" s="178" t="s">
        <v>4013</v>
      </c>
      <c r="D2552" s="36">
        <v>432199.99999999994</v>
      </c>
      <c r="E2552" s="36" t="s">
        <v>1683</v>
      </c>
      <c r="F2552" s="178" t="s">
        <v>642</v>
      </c>
    </row>
    <row r="2553">
      <c r="A2553" s="250">
        <v>45429.57729333333</v>
      </c>
      <c r="B2553" s="251" t="s">
        <v>1684</v>
      </c>
      <c r="C2553" s="178" t="s">
        <v>4014</v>
      </c>
      <c r="D2553" s="36" t="s">
        <v>1683</v>
      </c>
      <c r="E2553" s="36">
        <v>432199.99999999994</v>
      </c>
      <c r="F2553" s="178" t="s">
        <v>642</v>
      </c>
    </row>
    <row r="2554">
      <c r="A2554" s="250">
        <v>45429.61547777778</v>
      </c>
      <c r="B2554" s="251" t="s">
        <v>1693</v>
      </c>
      <c r="C2554" s="178" t="s">
        <v>4015</v>
      </c>
      <c r="D2554" s="36">
        <v>960040.0</v>
      </c>
      <c r="E2554" s="36" t="s">
        <v>1683</v>
      </c>
      <c r="F2554" s="178" t="s">
        <v>641</v>
      </c>
    </row>
    <row r="2555">
      <c r="A2555" s="250">
        <v>45429.61547777778</v>
      </c>
      <c r="B2555" s="251" t="s">
        <v>1684</v>
      </c>
      <c r="C2555" s="178" t="s">
        <v>4016</v>
      </c>
      <c r="D2555" s="36" t="s">
        <v>1683</v>
      </c>
      <c r="E2555" s="36">
        <v>960040.0</v>
      </c>
      <c r="F2555" s="178" t="s">
        <v>641</v>
      </c>
    </row>
    <row r="2556">
      <c r="A2556" s="250">
        <v>45429.62032888889</v>
      </c>
      <c r="B2556" s="251" t="s">
        <v>1693</v>
      </c>
      <c r="C2556" s="178" t="s">
        <v>4017</v>
      </c>
      <c r="D2556" s="36">
        <v>216599.99999999997</v>
      </c>
      <c r="E2556" s="36" t="s">
        <v>1683</v>
      </c>
      <c r="F2556" s="178" t="s">
        <v>639</v>
      </c>
    </row>
    <row r="2557">
      <c r="A2557" s="250">
        <v>45429.62032888889</v>
      </c>
      <c r="B2557" s="251" t="s">
        <v>1684</v>
      </c>
      <c r="C2557" s="178" t="s">
        <v>4018</v>
      </c>
      <c r="D2557" s="36" t="s">
        <v>1683</v>
      </c>
      <c r="E2557" s="36">
        <v>216599.99999999997</v>
      </c>
      <c r="F2557" s="178" t="s">
        <v>639</v>
      </c>
    </row>
    <row r="2558">
      <c r="A2558" s="250">
        <v>45429.70866333334</v>
      </c>
      <c r="B2558" s="251" t="s">
        <v>3249</v>
      </c>
      <c r="C2558" s="178" t="s">
        <v>4019</v>
      </c>
      <c r="D2558" s="36">
        <v>6765500.0</v>
      </c>
      <c r="E2558" s="36" t="s">
        <v>1683</v>
      </c>
      <c r="F2558" s="178"/>
    </row>
    <row r="2559">
      <c r="A2559" s="250">
        <v>45429.70866333334</v>
      </c>
      <c r="B2559" s="251" t="s">
        <v>3242</v>
      </c>
      <c r="C2559" s="178" t="s">
        <v>3383</v>
      </c>
      <c r="D2559" s="36" t="s">
        <v>1683</v>
      </c>
      <c r="E2559" s="36">
        <v>6765500.0</v>
      </c>
      <c r="F2559" s="178"/>
    </row>
    <row r="2560">
      <c r="A2560" s="250">
        <v>45429.70924333334</v>
      </c>
      <c r="B2560" s="251" t="s">
        <v>3240</v>
      </c>
      <c r="C2560" s="178" t="s">
        <v>4020</v>
      </c>
      <c r="D2560" s="36">
        <v>1276730.0</v>
      </c>
      <c r="E2560" s="36" t="s">
        <v>1683</v>
      </c>
      <c r="F2560" s="178"/>
    </row>
    <row r="2561">
      <c r="A2561" s="250">
        <v>45429.70924333334</v>
      </c>
      <c r="B2561" s="251" t="s">
        <v>3242</v>
      </c>
      <c r="C2561" s="178" t="s">
        <v>3266</v>
      </c>
      <c r="D2561" s="36" t="s">
        <v>1683</v>
      </c>
      <c r="E2561" s="36">
        <v>1276730.0</v>
      </c>
      <c r="F2561" s="178"/>
    </row>
    <row r="2562">
      <c r="A2562" s="250">
        <v>45429.70930333334</v>
      </c>
      <c r="B2562" s="251" t="s">
        <v>3243</v>
      </c>
      <c r="C2562" s="178" t="s">
        <v>4021</v>
      </c>
      <c r="D2562" s="36">
        <v>1964200.0</v>
      </c>
      <c r="E2562" s="36" t="s">
        <v>1683</v>
      </c>
      <c r="F2562" s="178"/>
    </row>
    <row r="2563">
      <c r="A2563" s="250">
        <v>45429.70930333334</v>
      </c>
      <c r="B2563" s="251" t="s">
        <v>3242</v>
      </c>
      <c r="C2563" s="178" t="s">
        <v>3268</v>
      </c>
      <c r="D2563" s="36" t="s">
        <v>1683</v>
      </c>
      <c r="E2563" s="36">
        <v>1964200.0</v>
      </c>
      <c r="F2563" s="178"/>
    </row>
    <row r="2564">
      <c r="A2564" s="250">
        <v>45429.72936666667</v>
      </c>
      <c r="B2564" s="251" t="s">
        <v>4022</v>
      </c>
      <c r="C2564" s="178" t="s">
        <v>4023</v>
      </c>
      <c r="D2564" s="36">
        <v>960040.0</v>
      </c>
      <c r="E2564" s="36" t="s">
        <v>1683</v>
      </c>
      <c r="F2564" s="178" t="s">
        <v>641</v>
      </c>
    </row>
    <row r="2565">
      <c r="A2565" s="250">
        <v>45429.72936666667</v>
      </c>
      <c r="B2565" s="251" t="s">
        <v>1698</v>
      </c>
      <c r="C2565" s="178" t="s">
        <v>4015</v>
      </c>
      <c r="D2565" s="36" t="s">
        <v>1683</v>
      </c>
      <c r="E2565" s="36">
        <v>960040.0</v>
      </c>
      <c r="F2565" s="178" t="s">
        <v>641</v>
      </c>
    </row>
    <row r="2566">
      <c r="A2566" s="250">
        <v>45429.732724444446</v>
      </c>
      <c r="B2566" s="251" t="s">
        <v>3240</v>
      </c>
      <c r="C2566" s="178" t="s">
        <v>4024</v>
      </c>
      <c r="D2566" s="36">
        <v>50950.0</v>
      </c>
      <c r="E2566" s="36" t="s">
        <v>1683</v>
      </c>
      <c r="F2566" s="178" t="s">
        <v>885</v>
      </c>
    </row>
    <row r="2567">
      <c r="A2567" s="250">
        <v>45429.732724444446</v>
      </c>
      <c r="B2567" s="251" t="s">
        <v>1698</v>
      </c>
      <c r="C2567" s="178" t="s">
        <v>3953</v>
      </c>
      <c r="D2567" s="36" t="s">
        <v>1683</v>
      </c>
      <c r="E2567" s="36">
        <v>50950.0</v>
      </c>
      <c r="F2567" s="178" t="s">
        <v>885</v>
      </c>
    </row>
    <row r="2568">
      <c r="A2568" s="250">
        <v>45429.73273444444</v>
      </c>
      <c r="B2568" s="251" t="s">
        <v>3240</v>
      </c>
      <c r="C2568" s="178" t="s">
        <v>4025</v>
      </c>
      <c r="D2568" s="36">
        <v>50949.99999999999</v>
      </c>
      <c r="E2568" s="36" t="s">
        <v>1683</v>
      </c>
      <c r="F2568" s="178" t="s">
        <v>886</v>
      </c>
    </row>
    <row r="2569">
      <c r="A2569" s="250">
        <v>45429.73273444444</v>
      </c>
      <c r="B2569" s="251" t="s">
        <v>1698</v>
      </c>
      <c r="C2569" s="178" t="s">
        <v>3951</v>
      </c>
      <c r="D2569" s="36" t="s">
        <v>1683</v>
      </c>
      <c r="E2569" s="36">
        <v>50949.99999999999</v>
      </c>
      <c r="F2569" s="178" t="s">
        <v>886</v>
      </c>
    </row>
    <row r="2570">
      <c r="A2570" s="250">
        <v>45429.831260000006</v>
      </c>
      <c r="B2570" s="251" t="s">
        <v>1783</v>
      </c>
      <c r="C2570" s="178" t="s">
        <v>4026</v>
      </c>
      <c r="D2570" s="36">
        <v>396086.0</v>
      </c>
      <c r="E2570" s="36" t="s">
        <v>1683</v>
      </c>
      <c r="F2570" s="178" t="s">
        <v>325</v>
      </c>
    </row>
    <row r="2571">
      <c r="A2571" s="250">
        <v>45429.831260000006</v>
      </c>
      <c r="B2571" s="251" t="s">
        <v>1684</v>
      </c>
      <c r="C2571" s="178" t="s">
        <v>4027</v>
      </c>
      <c r="D2571" s="36" t="s">
        <v>1683</v>
      </c>
      <c r="E2571" s="36">
        <v>396086.0</v>
      </c>
      <c r="F2571" s="178" t="s">
        <v>325</v>
      </c>
    </row>
    <row r="2572">
      <c r="A2572" s="250">
        <v>45429.831860000006</v>
      </c>
      <c r="B2572" s="251" t="s">
        <v>1783</v>
      </c>
      <c r="C2572" s="178" t="s">
        <v>4028</v>
      </c>
      <c r="D2572" s="36">
        <v>102275.99999999997</v>
      </c>
      <c r="E2572" s="36" t="s">
        <v>1683</v>
      </c>
      <c r="F2572" s="178" t="s">
        <v>325</v>
      </c>
    </row>
    <row r="2573">
      <c r="A2573" s="250">
        <v>45429.831860000006</v>
      </c>
      <c r="B2573" s="251" t="s">
        <v>1684</v>
      </c>
      <c r="C2573" s="178" t="s">
        <v>4029</v>
      </c>
      <c r="D2573" s="36" t="s">
        <v>1683</v>
      </c>
      <c r="E2573" s="36">
        <v>102275.99999999997</v>
      </c>
      <c r="F2573" s="178" t="s">
        <v>325</v>
      </c>
    </row>
    <row r="2574">
      <c r="A2574" s="250">
        <v>45429.83195</v>
      </c>
      <c r="B2574" s="251" t="s">
        <v>1783</v>
      </c>
      <c r="C2574" s="178" t="s">
        <v>4030</v>
      </c>
      <c r="D2574" s="36">
        <v>755446.0</v>
      </c>
      <c r="E2574" s="36" t="s">
        <v>1683</v>
      </c>
      <c r="F2574" s="178" t="s">
        <v>325</v>
      </c>
    </row>
    <row r="2575">
      <c r="A2575" s="250">
        <v>45429.83195</v>
      </c>
      <c r="B2575" s="251" t="s">
        <v>1684</v>
      </c>
      <c r="C2575" s="178" t="s">
        <v>4031</v>
      </c>
      <c r="D2575" s="36" t="s">
        <v>1683</v>
      </c>
      <c r="E2575" s="36">
        <v>755446.0</v>
      </c>
      <c r="F2575" s="178" t="s">
        <v>325</v>
      </c>
    </row>
    <row r="2576">
      <c r="A2576" s="250">
        <v>45429.832010000006</v>
      </c>
      <c r="B2576" s="251" t="s">
        <v>1783</v>
      </c>
      <c r="C2576" s="178" t="s">
        <v>4032</v>
      </c>
      <c r="D2576" s="36">
        <v>162711.99999999997</v>
      </c>
      <c r="E2576" s="36" t="s">
        <v>1683</v>
      </c>
      <c r="F2576" s="178" t="s">
        <v>325</v>
      </c>
    </row>
    <row r="2577">
      <c r="A2577" s="250">
        <v>45429.832010000006</v>
      </c>
      <c r="B2577" s="251" t="s">
        <v>1684</v>
      </c>
      <c r="C2577" s="178" t="s">
        <v>4033</v>
      </c>
      <c r="D2577" s="36" t="s">
        <v>1683</v>
      </c>
      <c r="E2577" s="36">
        <v>162711.99999999997</v>
      </c>
      <c r="F2577" s="178" t="s">
        <v>325</v>
      </c>
    </row>
    <row r="2578">
      <c r="A2578" s="250">
        <v>45429.85918310186</v>
      </c>
      <c r="B2578" s="251" t="s">
        <v>1783</v>
      </c>
      <c r="C2578" s="178" t="s">
        <v>4034</v>
      </c>
      <c r="D2578" s="36">
        <v>896500.0</v>
      </c>
      <c r="E2578" s="36" t="s">
        <v>1683</v>
      </c>
      <c r="F2578" s="178" t="s">
        <v>470</v>
      </c>
    </row>
    <row r="2579">
      <c r="A2579" s="250">
        <v>45429.85918310186</v>
      </c>
      <c r="B2579" s="251" t="s">
        <v>1684</v>
      </c>
      <c r="C2579" s="178" t="s">
        <v>4035</v>
      </c>
      <c r="D2579" s="36" t="s">
        <v>1683</v>
      </c>
      <c r="E2579" s="36">
        <v>896500.0</v>
      </c>
      <c r="F2579" s="178" t="s">
        <v>470</v>
      </c>
    </row>
    <row r="2580">
      <c r="A2580" s="250">
        <v>45429.95496111111</v>
      </c>
      <c r="B2580" s="251" t="s">
        <v>1783</v>
      </c>
      <c r="C2580" s="178" t="s">
        <v>4036</v>
      </c>
      <c r="D2580" s="36">
        <v>3302620.0000000005</v>
      </c>
      <c r="E2580" s="36" t="s">
        <v>1683</v>
      </c>
      <c r="F2580" s="178" t="s">
        <v>341</v>
      </c>
    </row>
    <row r="2581">
      <c r="A2581" s="250">
        <v>45429.95496111111</v>
      </c>
      <c r="B2581" s="251" t="s">
        <v>1684</v>
      </c>
      <c r="C2581" s="178" t="s">
        <v>4037</v>
      </c>
      <c r="D2581" s="36" t="s">
        <v>1683</v>
      </c>
      <c r="E2581" s="36">
        <v>3302620.0000000005</v>
      </c>
      <c r="F2581" s="178" t="s">
        <v>341</v>
      </c>
    </row>
    <row r="2582">
      <c r="A2582" s="250">
        <v>45429.955131111106</v>
      </c>
      <c r="B2582" s="251" t="s">
        <v>1783</v>
      </c>
      <c r="C2582" s="178" t="s">
        <v>4038</v>
      </c>
      <c r="D2582" s="36">
        <v>1268879.9999999998</v>
      </c>
      <c r="E2582" s="36" t="s">
        <v>1683</v>
      </c>
      <c r="F2582" s="178" t="s">
        <v>825</v>
      </c>
    </row>
    <row r="2583">
      <c r="A2583" s="250">
        <v>45429.955131111106</v>
      </c>
      <c r="B2583" s="251" t="s">
        <v>1684</v>
      </c>
      <c r="C2583" s="178" t="s">
        <v>4039</v>
      </c>
      <c r="D2583" s="36" t="s">
        <v>1683</v>
      </c>
      <c r="E2583" s="36">
        <v>1268879.9999999998</v>
      </c>
      <c r="F2583" s="178" t="s">
        <v>825</v>
      </c>
    </row>
    <row r="2584">
      <c r="A2584" s="250">
        <v>45430.34014065972</v>
      </c>
      <c r="B2584" s="251" t="s">
        <v>3747</v>
      </c>
      <c r="C2584" s="178" t="s">
        <v>4040</v>
      </c>
      <c r="D2584" s="36">
        <v>32136.0</v>
      </c>
      <c r="E2584" s="36" t="s">
        <v>1683</v>
      </c>
      <c r="F2584" s="178" t="s">
        <v>1683</v>
      </c>
    </row>
    <row r="2585">
      <c r="A2585" s="250">
        <v>45430.34014065972</v>
      </c>
      <c r="B2585" s="251" t="s">
        <v>3749</v>
      </c>
      <c r="C2585" s="178" t="s">
        <v>4041</v>
      </c>
      <c r="D2585" s="36" t="s">
        <v>1683</v>
      </c>
      <c r="E2585" s="36">
        <v>32136.0</v>
      </c>
      <c r="F2585" s="178" t="s">
        <v>1683</v>
      </c>
    </row>
    <row r="2586">
      <c r="A2586" s="250">
        <v>45430.44971555556</v>
      </c>
      <c r="B2586" s="251" t="s">
        <v>3396</v>
      </c>
      <c r="C2586" s="178" t="s">
        <v>4042</v>
      </c>
      <c r="D2586" s="36">
        <v>804799.9999999999</v>
      </c>
      <c r="E2586" s="36" t="s">
        <v>1683</v>
      </c>
      <c r="F2586" s="178" t="s">
        <v>261</v>
      </c>
    </row>
    <row r="2587">
      <c r="A2587" s="250">
        <v>45430.44971555556</v>
      </c>
      <c r="B2587" s="251" t="s">
        <v>1802</v>
      </c>
      <c r="C2587" s="178" t="s">
        <v>3980</v>
      </c>
      <c r="D2587" s="36" t="s">
        <v>1683</v>
      </c>
      <c r="E2587" s="36">
        <v>804799.9999999999</v>
      </c>
      <c r="F2587" s="178" t="s">
        <v>261</v>
      </c>
    </row>
    <row r="2588">
      <c r="A2588" s="250">
        <v>45430.45003555556</v>
      </c>
      <c r="B2588" s="251" t="s">
        <v>3240</v>
      </c>
      <c r="C2588" s="178" t="s">
        <v>4043</v>
      </c>
      <c r="D2588" s="36">
        <v>96500.0</v>
      </c>
      <c r="E2588" s="36" t="s">
        <v>1683</v>
      </c>
      <c r="F2588" s="178" t="s">
        <v>261</v>
      </c>
    </row>
    <row r="2589">
      <c r="A2589" s="250">
        <v>45430.45003555556</v>
      </c>
      <c r="B2589" s="251" t="s">
        <v>1802</v>
      </c>
      <c r="C2589" s="178" t="s">
        <v>3982</v>
      </c>
      <c r="D2589" s="36" t="s">
        <v>1683</v>
      </c>
      <c r="E2589" s="36">
        <v>96500.0</v>
      </c>
      <c r="F2589" s="178" t="s">
        <v>261</v>
      </c>
    </row>
    <row r="2590">
      <c r="A2590" s="250">
        <v>45430.45004555556</v>
      </c>
      <c r="B2590" s="251" t="s">
        <v>3240</v>
      </c>
      <c r="C2590" s="178" t="s">
        <v>4044</v>
      </c>
      <c r="D2590" s="36">
        <v>2464299.9999999995</v>
      </c>
      <c r="E2590" s="36" t="s">
        <v>1683</v>
      </c>
      <c r="F2590" s="178" t="s">
        <v>882</v>
      </c>
    </row>
    <row r="2591">
      <c r="A2591" s="250">
        <v>45430.45004555556</v>
      </c>
      <c r="B2591" s="251" t="s">
        <v>1802</v>
      </c>
      <c r="C2591" s="178" t="s">
        <v>3978</v>
      </c>
      <c r="D2591" s="36" t="s">
        <v>1683</v>
      </c>
      <c r="E2591" s="36">
        <v>2464299.9999999995</v>
      </c>
      <c r="F2591" s="178" t="s">
        <v>882</v>
      </c>
    </row>
    <row r="2592">
      <c r="A2592" s="250">
        <v>45430.45005555556</v>
      </c>
      <c r="B2592" s="251" t="s">
        <v>3240</v>
      </c>
      <c r="C2592" s="178" t="s">
        <v>4045</v>
      </c>
      <c r="D2592" s="36">
        <v>50950.0</v>
      </c>
      <c r="E2592" s="36" t="s">
        <v>1683</v>
      </c>
      <c r="F2592" s="178" t="s">
        <v>883</v>
      </c>
    </row>
    <row r="2593">
      <c r="A2593" s="250">
        <v>45430.45005555556</v>
      </c>
      <c r="B2593" s="251" t="s">
        <v>1698</v>
      </c>
      <c r="C2593" s="178" t="s">
        <v>3970</v>
      </c>
      <c r="D2593" s="36" t="s">
        <v>1683</v>
      </c>
      <c r="E2593" s="36">
        <v>50950.0</v>
      </c>
      <c r="F2593" s="178" t="s">
        <v>883</v>
      </c>
    </row>
    <row r="2594">
      <c r="A2594" s="250">
        <v>45430.45006555556</v>
      </c>
      <c r="B2594" s="251" t="s">
        <v>3240</v>
      </c>
      <c r="C2594" s="178" t="s">
        <v>4046</v>
      </c>
      <c r="D2594" s="36">
        <v>50950.0</v>
      </c>
      <c r="E2594" s="36" t="s">
        <v>1683</v>
      </c>
      <c r="F2594" s="178" t="s">
        <v>884</v>
      </c>
    </row>
    <row r="2595">
      <c r="A2595" s="250">
        <v>45430.45006555556</v>
      </c>
      <c r="B2595" s="251" t="s">
        <v>1698</v>
      </c>
      <c r="C2595" s="178" t="s">
        <v>3968</v>
      </c>
      <c r="D2595" s="36" t="s">
        <v>1683</v>
      </c>
      <c r="E2595" s="36">
        <v>50950.0</v>
      </c>
      <c r="F2595" s="178" t="s">
        <v>884</v>
      </c>
    </row>
    <row r="2596">
      <c r="A2596" s="250">
        <v>45430.450095555556</v>
      </c>
      <c r="B2596" s="251" t="s">
        <v>4047</v>
      </c>
      <c r="C2596" s="178" t="s">
        <v>4048</v>
      </c>
      <c r="D2596" s="36">
        <v>330847.0</v>
      </c>
      <c r="E2596" s="36" t="s">
        <v>1683</v>
      </c>
      <c r="F2596" s="178" t="s">
        <v>302</v>
      </c>
    </row>
    <row r="2597">
      <c r="A2597" s="250">
        <v>45430.450095555556</v>
      </c>
      <c r="B2597" s="251" t="s">
        <v>1802</v>
      </c>
      <c r="C2597" s="178" t="s">
        <v>3994</v>
      </c>
      <c r="D2597" s="36" t="s">
        <v>1683</v>
      </c>
      <c r="E2597" s="36">
        <v>330847.0</v>
      </c>
      <c r="F2597" s="178" t="s">
        <v>302</v>
      </c>
    </row>
    <row r="2598">
      <c r="A2598" s="250">
        <v>45430.45017555556</v>
      </c>
      <c r="B2598" s="251" t="s">
        <v>4049</v>
      </c>
      <c r="C2598" s="178" t="s">
        <v>4050</v>
      </c>
      <c r="D2598" s="36">
        <v>311386.0</v>
      </c>
      <c r="E2598" s="36" t="s">
        <v>1683</v>
      </c>
      <c r="F2598" s="178" t="s">
        <v>302</v>
      </c>
    </row>
    <row r="2599">
      <c r="A2599" s="250">
        <v>45430.45017555556</v>
      </c>
      <c r="B2599" s="251" t="s">
        <v>1802</v>
      </c>
      <c r="C2599" s="178" t="s">
        <v>3996</v>
      </c>
      <c r="D2599" s="36" t="s">
        <v>1683</v>
      </c>
      <c r="E2599" s="36">
        <v>311386.0</v>
      </c>
      <c r="F2599" s="178" t="s">
        <v>302</v>
      </c>
    </row>
    <row r="2600">
      <c r="A2600" s="250">
        <v>45430.450225555556</v>
      </c>
      <c r="B2600" s="251" t="s">
        <v>4051</v>
      </c>
      <c r="C2600" s="178" t="s">
        <v>4052</v>
      </c>
      <c r="D2600" s="36">
        <v>258587.0</v>
      </c>
      <c r="E2600" s="36" t="s">
        <v>1683</v>
      </c>
      <c r="F2600" s="178" t="s">
        <v>302</v>
      </c>
    </row>
    <row r="2601">
      <c r="A2601" s="250">
        <v>45430.450225555556</v>
      </c>
      <c r="B2601" s="251" t="s">
        <v>1802</v>
      </c>
      <c r="C2601" s="178" t="s">
        <v>3998</v>
      </c>
      <c r="D2601" s="36" t="s">
        <v>1683</v>
      </c>
      <c r="E2601" s="36">
        <v>258587.0</v>
      </c>
      <c r="F2601" s="178" t="s">
        <v>302</v>
      </c>
    </row>
    <row r="2602">
      <c r="A2602" s="250">
        <v>45430.71947444445</v>
      </c>
      <c r="B2602" s="251" t="s">
        <v>1774</v>
      </c>
      <c r="C2602" s="178" t="s">
        <v>4053</v>
      </c>
      <c r="D2602" s="36">
        <v>20014.999999999996</v>
      </c>
      <c r="E2602" s="36" t="s">
        <v>1683</v>
      </c>
      <c r="F2602" s="178" t="s">
        <v>547</v>
      </c>
    </row>
    <row r="2603">
      <c r="A2603" s="250">
        <v>45430.71947444445</v>
      </c>
      <c r="B2603" s="251" t="s">
        <v>1802</v>
      </c>
      <c r="C2603" s="178" t="s">
        <v>3990</v>
      </c>
      <c r="D2603" s="36" t="s">
        <v>1683</v>
      </c>
      <c r="E2603" s="36">
        <v>20014.999999999996</v>
      </c>
      <c r="F2603" s="178" t="s">
        <v>547</v>
      </c>
    </row>
    <row r="2604">
      <c r="A2604" s="250">
        <v>45430.71958444444</v>
      </c>
      <c r="B2604" s="251" t="s">
        <v>4054</v>
      </c>
      <c r="C2604" s="178" t="s">
        <v>4055</v>
      </c>
      <c r="D2604" s="36">
        <v>1905.0000000000005</v>
      </c>
      <c r="E2604" s="36" t="s">
        <v>1683</v>
      </c>
      <c r="F2604" s="178" t="s">
        <v>547</v>
      </c>
    </row>
    <row r="2605">
      <c r="A2605" s="250">
        <v>45430.71958444444</v>
      </c>
      <c r="B2605" s="251" t="s">
        <v>1802</v>
      </c>
      <c r="C2605" s="178" t="s">
        <v>3992</v>
      </c>
      <c r="D2605" s="36" t="s">
        <v>1683</v>
      </c>
      <c r="E2605" s="36">
        <v>1905.0000000000005</v>
      </c>
      <c r="F2605" s="178" t="s">
        <v>547</v>
      </c>
    </row>
    <row r="2606">
      <c r="A2606" s="250">
        <v>45430.77313666667</v>
      </c>
      <c r="B2606" s="251" t="s">
        <v>1783</v>
      </c>
      <c r="C2606" s="178" t="s">
        <v>4056</v>
      </c>
      <c r="D2606" s="36">
        <v>681580.0</v>
      </c>
      <c r="E2606" s="36" t="s">
        <v>1683</v>
      </c>
      <c r="F2606" s="178" t="s">
        <v>645</v>
      </c>
    </row>
    <row r="2607">
      <c r="A2607" s="250">
        <v>45430.77313666667</v>
      </c>
      <c r="B2607" s="251" t="s">
        <v>1684</v>
      </c>
      <c r="C2607" s="178" t="s">
        <v>4057</v>
      </c>
      <c r="D2607" s="36" t="s">
        <v>1683</v>
      </c>
      <c r="E2607" s="36">
        <v>681580.0</v>
      </c>
      <c r="F2607" s="178" t="s">
        <v>645</v>
      </c>
    </row>
    <row r="2608">
      <c r="A2608" s="250">
        <v>45430.79221666666</v>
      </c>
      <c r="B2608" s="251" t="s">
        <v>4022</v>
      </c>
      <c r="C2608" s="178" t="s">
        <v>4058</v>
      </c>
      <c r="D2608" s="36">
        <v>28743.0</v>
      </c>
      <c r="E2608" s="36" t="s">
        <v>1683</v>
      </c>
      <c r="F2608" s="178" t="s">
        <v>1683</v>
      </c>
    </row>
    <row r="2609">
      <c r="A2609" s="250">
        <v>45430.79221666666</v>
      </c>
      <c r="B2609" s="251" t="s">
        <v>4059</v>
      </c>
      <c r="C2609" s="178" t="s">
        <v>4060</v>
      </c>
      <c r="D2609" s="36" t="s">
        <v>1683</v>
      </c>
      <c r="E2609" s="36">
        <v>28743.0</v>
      </c>
      <c r="F2609" s="178" t="s">
        <v>1683</v>
      </c>
    </row>
    <row r="2610">
      <c r="A2610" s="250">
        <v>45431.442376666666</v>
      </c>
      <c r="B2610" s="251" t="s">
        <v>3240</v>
      </c>
      <c r="C2610" s="178" t="s">
        <v>4061</v>
      </c>
      <c r="D2610" s="36">
        <v>50949.99999999999</v>
      </c>
      <c r="E2610" s="36" t="s">
        <v>1683</v>
      </c>
      <c r="F2610" s="178" t="s">
        <v>880</v>
      </c>
    </row>
    <row r="2611">
      <c r="A2611" s="250">
        <v>45431.442376666666</v>
      </c>
      <c r="B2611" s="251" t="s">
        <v>1698</v>
      </c>
      <c r="C2611" s="178" t="s">
        <v>3988</v>
      </c>
      <c r="D2611" s="36" t="s">
        <v>1683</v>
      </c>
      <c r="E2611" s="36">
        <v>50949.99999999999</v>
      </c>
      <c r="F2611" s="178" t="s">
        <v>880</v>
      </c>
    </row>
    <row r="2612">
      <c r="A2612" s="250">
        <v>45431.44238666666</v>
      </c>
      <c r="B2612" s="251" t="s">
        <v>3240</v>
      </c>
      <c r="C2612" s="178" t="s">
        <v>4062</v>
      </c>
      <c r="D2612" s="36">
        <v>50949.99999999999</v>
      </c>
      <c r="E2612" s="36" t="s">
        <v>1683</v>
      </c>
      <c r="F2612" s="178" t="s">
        <v>881</v>
      </c>
    </row>
    <row r="2613">
      <c r="A2613" s="250">
        <v>45431.44238666666</v>
      </c>
      <c r="B2613" s="251" t="s">
        <v>1698</v>
      </c>
      <c r="C2613" s="178" t="s">
        <v>3986</v>
      </c>
      <c r="D2613" s="36" t="s">
        <v>1683</v>
      </c>
      <c r="E2613" s="36">
        <v>50949.99999999999</v>
      </c>
      <c r="F2613" s="178" t="s">
        <v>881</v>
      </c>
    </row>
    <row r="2614">
      <c r="A2614" s="250">
        <v>45431.729426666665</v>
      </c>
      <c r="B2614" s="251" t="s">
        <v>3916</v>
      </c>
      <c r="C2614" s="178" t="s">
        <v>4063</v>
      </c>
      <c r="D2614" s="36">
        <v>896500.0</v>
      </c>
      <c r="E2614" s="36" t="s">
        <v>1683</v>
      </c>
      <c r="F2614" s="178" t="s">
        <v>470</v>
      </c>
    </row>
    <row r="2615">
      <c r="A2615" s="250">
        <v>45431.729426666665</v>
      </c>
      <c r="B2615" s="251" t="s">
        <v>1802</v>
      </c>
      <c r="C2615" s="178" t="s">
        <v>4034</v>
      </c>
      <c r="D2615" s="36" t="s">
        <v>1683</v>
      </c>
      <c r="E2615" s="36">
        <v>896500.0</v>
      </c>
      <c r="F2615" s="178" t="s">
        <v>470</v>
      </c>
    </row>
    <row r="2616">
      <c r="A2616" s="250">
        <v>45432.040977777775</v>
      </c>
      <c r="B2616" s="251" t="s">
        <v>1693</v>
      </c>
      <c r="C2616" s="178" t="s">
        <v>4064</v>
      </c>
      <c r="D2616" s="36">
        <v>50949.99999999999</v>
      </c>
      <c r="E2616" s="36" t="s">
        <v>1683</v>
      </c>
      <c r="F2616" s="178" t="s">
        <v>879</v>
      </c>
    </row>
    <row r="2617">
      <c r="A2617" s="250">
        <v>45432.040977777775</v>
      </c>
      <c r="B2617" s="251" t="s">
        <v>1684</v>
      </c>
      <c r="C2617" s="178" t="s">
        <v>4065</v>
      </c>
      <c r="D2617" s="36" t="s">
        <v>1683</v>
      </c>
      <c r="E2617" s="36">
        <v>50949.99999999999</v>
      </c>
      <c r="F2617" s="178" t="s">
        <v>879</v>
      </c>
    </row>
    <row r="2618">
      <c r="A2618" s="250">
        <v>45432.049325555556</v>
      </c>
      <c r="B2618" s="251" t="s">
        <v>1693</v>
      </c>
      <c r="C2618" s="178" t="s">
        <v>4066</v>
      </c>
      <c r="D2618" s="36">
        <v>132064.0</v>
      </c>
      <c r="E2618" s="36" t="s">
        <v>1683</v>
      </c>
      <c r="F2618" s="178" t="s">
        <v>909</v>
      </c>
    </row>
    <row r="2619">
      <c r="A2619" s="250">
        <v>45432.049325555556</v>
      </c>
      <c r="B2619" s="251" t="s">
        <v>1684</v>
      </c>
      <c r="C2619" s="178" t="s">
        <v>4067</v>
      </c>
      <c r="D2619" s="36" t="s">
        <v>1683</v>
      </c>
      <c r="E2619" s="36">
        <v>132064.0</v>
      </c>
      <c r="F2619" s="178" t="s">
        <v>909</v>
      </c>
    </row>
    <row r="2620">
      <c r="A2620" s="250">
        <v>45432.049475555556</v>
      </c>
      <c r="B2620" s="251" t="s">
        <v>1693</v>
      </c>
      <c r="C2620" s="178" t="s">
        <v>4068</v>
      </c>
      <c r="D2620" s="36">
        <v>144069.0</v>
      </c>
      <c r="E2620" s="36" t="s">
        <v>1683</v>
      </c>
      <c r="F2620" s="178" t="s">
        <v>909</v>
      </c>
    </row>
    <row r="2621">
      <c r="A2621" s="250">
        <v>45432.049475555556</v>
      </c>
      <c r="B2621" s="251" t="s">
        <v>1684</v>
      </c>
      <c r="C2621" s="178" t="s">
        <v>4069</v>
      </c>
      <c r="D2621" s="36" t="s">
        <v>1683</v>
      </c>
      <c r="E2621" s="36">
        <v>144069.0</v>
      </c>
      <c r="F2621" s="178" t="s">
        <v>909</v>
      </c>
    </row>
    <row r="2622">
      <c r="A2622" s="250">
        <v>45432.45030686342</v>
      </c>
      <c r="B2622" s="251" t="s">
        <v>2841</v>
      </c>
      <c r="C2622" s="178" t="s">
        <v>4070</v>
      </c>
      <c r="D2622" s="36">
        <v>3302620.0000000005</v>
      </c>
      <c r="E2622" s="36" t="s">
        <v>1683</v>
      </c>
      <c r="F2622" s="178" t="s">
        <v>341</v>
      </c>
    </row>
    <row r="2623">
      <c r="A2623" s="250">
        <v>45432.45030686342</v>
      </c>
      <c r="B2623" s="251" t="s">
        <v>1802</v>
      </c>
      <c r="C2623" s="178" t="s">
        <v>4036</v>
      </c>
      <c r="D2623" s="36" t="s">
        <v>1683</v>
      </c>
      <c r="E2623" s="36">
        <v>3302620.0000000005</v>
      </c>
      <c r="F2623" s="178" t="s">
        <v>341</v>
      </c>
    </row>
    <row r="2624">
      <c r="A2624" s="250">
        <v>45432.45036934027</v>
      </c>
      <c r="B2624" s="251" t="s">
        <v>4022</v>
      </c>
      <c r="C2624" s="178" t="s">
        <v>4071</v>
      </c>
      <c r="D2624" s="36">
        <v>216599.99999999997</v>
      </c>
      <c r="E2624" s="36" t="s">
        <v>1683</v>
      </c>
      <c r="F2624" s="178" t="s">
        <v>639</v>
      </c>
    </row>
    <row r="2625">
      <c r="A2625" s="250">
        <v>45432.45036934027</v>
      </c>
      <c r="B2625" s="251" t="s">
        <v>1698</v>
      </c>
      <c r="C2625" s="178" t="s">
        <v>4017</v>
      </c>
      <c r="D2625" s="36" t="s">
        <v>1683</v>
      </c>
      <c r="E2625" s="36">
        <v>216599.99999999997</v>
      </c>
      <c r="F2625" s="178" t="s">
        <v>639</v>
      </c>
    </row>
    <row r="2626">
      <c r="A2626" s="250">
        <v>45432.450375277775</v>
      </c>
      <c r="B2626" s="251" t="s">
        <v>4022</v>
      </c>
      <c r="C2626" s="178" t="s">
        <v>4072</v>
      </c>
      <c r="D2626" s="36">
        <v>432199.99999999994</v>
      </c>
      <c r="E2626" s="36" t="s">
        <v>1683</v>
      </c>
      <c r="F2626" s="178" t="s">
        <v>642</v>
      </c>
    </row>
    <row r="2627">
      <c r="A2627" s="250">
        <v>45432.450375277775</v>
      </c>
      <c r="B2627" s="251" t="s">
        <v>1698</v>
      </c>
      <c r="C2627" s="178" t="s">
        <v>4013</v>
      </c>
      <c r="D2627" s="36" t="s">
        <v>1683</v>
      </c>
      <c r="E2627" s="36">
        <v>432199.99999999994</v>
      </c>
      <c r="F2627" s="178" t="s">
        <v>642</v>
      </c>
    </row>
    <row r="2628">
      <c r="A2628" s="250">
        <v>45432.75001</v>
      </c>
      <c r="B2628" s="251" t="s">
        <v>4073</v>
      </c>
      <c r="C2628" s="178" t="s">
        <v>4074</v>
      </c>
      <c r="D2628" s="36">
        <v>396086.0</v>
      </c>
      <c r="E2628" s="36" t="s">
        <v>1683</v>
      </c>
      <c r="F2628" s="178" t="s">
        <v>325</v>
      </c>
    </row>
    <row r="2629">
      <c r="A2629" s="250">
        <v>45432.75001</v>
      </c>
      <c r="B2629" s="251" t="s">
        <v>1802</v>
      </c>
      <c r="C2629" s="178" t="s">
        <v>4026</v>
      </c>
      <c r="D2629" s="36" t="s">
        <v>1683</v>
      </c>
      <c r="E2629" s="36">
        <v>396086.0</v>
      </c>
      <c r="F2629" s="178" t="s">
        <v>325</v>
      </c>
    </row>
    <row r="2630">
      <c r="A2630" s="250">
        <v>45432.75061</v>
      </c>
      <c r="B2630" s="251" t="s">
        <v>2266</v>
      </c>
      <c r="C2630" s="178" t="s">
        <v>4075</v>
      </c>
      <c r="D2630" s="36">
        <v>102275.99999999997</v>
      </c>
      <c r="E2630" s="36" t="s">
        <v>1683</v>
      </c>
      <c r="F2630" s="178" t="s">
        <v>325</v>
      </c>
    </row>
    <row r="2631">
      <c r="A2631" s="250">
        <v>45432.75061</v>
      </c>
      <c r="B2631" s="251" t="s">
        <v>1802</v>
      </c>
      <c r="C2631" s="178" t="s">
        <v>4028</v>
      </c>
      <c r="D2631" s="36" t="s">
        <v>1683</v>
      </c>
      <c r="E2631" s="36">
        <v>102275.99999999997</v>
      </c>
      <c r="F2631" s="178" t="s">
        <v>325</v>
      </c>
    </row>
    <row r="2632">
      <c r="A2632" s="250">
        <v>45432.7507</v>
      </c>
      <c r="B2632" s="251" t="s">
        <v>4076</v>
      </c>
      <c r="C2632" s="178" t="s">
        <v>4077</v>
      </c>
      <c r="D2632" s="36">
        <v>755446.0</v>
      </c>
      <c r="E2632" s="36" t="s">
        <v>1683</v>
      </c>
      <c r="F2632" s="178" t="s">
        <v>325</v>
      </c>
    </row>
    <row r="2633">
      <c r="A2633" s="250">
        <v>45432.7507</v>
      </c>
      <c r="B2633" s="251" t="s">
        <v>1802</v>
      </c>
      <c r="C2633" s="178" t="s">
        <v>4030</v>
      </c>
      <c r="D2633" s="36" t="s">
        <v>1683</v>
      </c>
      <c r="E2633" s="36">
        <v>755446.0</v>
      </c>
      <c r="F2633" s="178" t="s">
        <v>325</v>
      </c>
    </row>
    <row r="2634">
      <c r="A2634" s="250">
        <v>45432.75076</v>
      </c>
      <c r="B2634" s="251" t="s">
        <v>4078</v>
      </c>
      <c r="C2634" s="178" t="s">
        <v>4079</v>
      </c>
      <c r="D2634" s="36">
        <v>162711.99999999997</v>
      </c>
      <c r="E2634" s="36" t="s">
        <v>1683</v>
      </c>
      <c r="F2634" s="178" t="s">
        <v>325</v>
      </c>
    </row>
    <row r="2635">
      <c r="A2635" s="250">
        <v>45432.75076</v>
      </c>
      <c r="B2635" s="251" t="s">
        <v>1802</v>
      </c>
      <c r="C2635" s="178" t="s">
        <v>4032</v>
      </c>
      <c r="D2635" s="36" t="s">
        <v>1683</v>
      </c>
      <c r="E2635" s="36">
        <v>162711.99999999997</v>
      </c>
      <c r="F2635" s="178" t="s">
        <v>325</v>
      </c>
    </row>
    <row r="2636">
      <c r="A2636" s="250">
        <v>45432.96000222222</v>
      </c>
      <c r="B2636" s="251" t="s">
        <v>1693</v>
      </c>
      <c r="C2636" s="178" t="s">
        <v>4080</v>
      </c>
      <c r="D2636" s="36">
        <v>1354232.0000000002</v>
      </c>
      <c r="E2636" s="36" t="s">
        <v>1683</v>
      </c>
      <c r="F2636" s="178" t="s">
        <v>133</v>
      </c>
    </row>
    <row r="2637">
      <c r="A2637" s="250">
        <v>45432.96000222222</v>
      </c>
      <c r="B2637" s="251" t="s">
        <v>1684</v>
      </c>
      <c r="C2637" s="178" t="s">
        <v>4081</v>
      </c>
      <c r="D2637" s="36" t="s">
        <v>1683</v>
      </c>
      <c r="E2637" s="36">
        <v>1354232.0000000002</v>
      </c>
      <c r="F2637" s="178" t="s">
        <v>133</v>
      </c>
    </row>
    <row r="2638">
      <c r="A2638" s="250">
        <v>45432.96069222222</v>
      </c>
      <c r="B2638" s="251" t="s">
        <v>1693</v>
      </c>
      <c r="C2638" s="178" t="s">
        <v>4082</v>
      </c>
      <c r="D2638" s="36">
        <v>789968.0</v>
      </c>
      <c r="E2638" s="36" t="s">
        <v>1683</v>
      </c>
      <c r="F2638" s="178" t="s">
        <v>133</v>
      </c>
    </row>
    <row r="2639">
      <c r="A2639" s="250">
        <v>45432.96069222222</v>
      </c>
      <c r="B2639" s="251" t="s">
        <v>1684</v>
      </c>
      <c r="C2639" s="178" t="s">
        <v>4083</v>
      </c>
      <c r="D2639" s="36" t="s">
        <v>1683</v>
      </c>
      <c r="E2639" s="36">
        <v>789968.0</v>
      </c>
      <c r="F2639" s="178" t="s">
        <v>133</v>
      </c>
    </row>
    <row r="2640">
      <c r="A2640" s="250">
        <v>45433.004876666666</v>
      </c>
      <c r="B2640" s="251" t="s">
        <v>1693</v>
      </c>
      <c r="C2640" s="178" t="s">
        <v>4084</v>
      </c>
      <c r="D2640" s="36">
        <v>9375.0</v>
      </c>
      <c r="E2640" s="36" t="s">
        <v>1683</v>
      </c>
      <c r="F2640" s="178" t="s">
        <v>296</v>
      </c>
    </row>
    <row r="2641">
      <c r="A2641" s="250">
        <v>45433.004876666666</v>
      </c>
      <c r="B2641" s="251" t="s">
        <v>1684</v>
      </c>
      <c r="C2641" s="178" t="s">
        <v>4085</v>
      </c>
      <c r="D2641" s="36" t="s">
        <v>1683</v>
      </c>
      <c r="E2641" s="36">
        <v>9375.0</v>
      </c>
      <c r="F2641" s="178" t="s">
        <v>296</v>
      </c>
    </row>
    <row r="2642">
      <c r="A2642" s="250">
        <v>45433.005156666666</v>
      </c>
      <c r="B2642" s="251" t="s">
        <v>1693</v>
      </c>
      <c r="C2642" s="178" t="s">
        <v>4086</v>
      </c>
      <c r="D2642" s="36">
        <v>65625.0</v>
      </c>
      <c r="E2642" s="36" t="s">
        <v>1683</v>
      </c>
      <c r="F2642" s="178" t="s">
        <v>296</v>
      </c>
    </row>
    <row r="2643">
      <c r="A2643" s="250">
        <v>45433.005156666666</v>
      </c>
      <c r="B2643" s="251" t="s">
        <v>1684</v>
      </c>
      <c r="C2643" s="178" t="s">
        <v>4087</v>
      </c>
      <c r="D2643" s="36" t="s">
        <v>1683</v>
      </c>
      <c r="E2643" s="36">
        <v>65625.0</v>
      </c>
      <c r="F2643" s="178" t="s">
        <v>296</v>
      </c>
    </row>
    <row r="2644">
      <c r="A2644" s="250">
        <v>45433.690843425924</v>
      </c>
      <c r="B2644" s="251" t="s">
        <v>4088</v>
      </c>
      <c r="C2644" s="178" t="s">
        <v>4089</v>
      </c>
      <c r="D2644" s="36">
        <v>132064.0</v>
      </c>
      <c r="E2644" s="36" t="s">
        <v>1683</v>
      </c>
      <c r="F2644" s="178" t="s">
        <v>909</v>
      </c>
    </row>
    <row r="2645">
      <c r="A2645" s="250">
        <v>45433.690843425924</v>
      </c>
      <c r="B2645" s="251" t="s">
        <v>1698</v>
      </c>
      <c r="C2645" s="178" t="s">
        <v>4066</v>
      </c>
      <c r="D2645" s="36" t="s">
        <v>1683</v>
      </c>
      <c r="E2645" s="36">
        <v>132064.0</v>
      </c>
      <c r="F2645" s="178" t="s">
        <v>909</v>
      </c>
    </row>
    <row r="2646">
      <c r="A2646" s="250">
        <v>45433.690993425924</v>
      </c>
      <c r="B2646" s="251" t="s">
        <v>2497</v>
      </c>
      <c r="C2646" s="178" t="s">
        <v>4090</v>
      </c>
      <c r="D2646" s="36">
        <v>144069.0</v>
      </c>
      <c r="E2646" s="36" t="s">
        <v>1683</v>
      </c>
      <c r="F2646" s="178" t="s">
        <v>909</v>
      </c>
    </row>
    <row r="2647">
      <c r="A2647" s="250">
        <v>45433.690993425924</v>
      </c>
      <c r="B2647" s="251" t="s">
        <v>1698</v>
      </c>
      <c r="C2647" s="178" t="s">
        <v>4068</v>
      </c>
      <c r="D2647" s="36" t="s">
        <v>1683</v>
      </c>
      <c r="E2647" s="36">
        <v>144069.0</v>
      </c>
      <c r="F2647" s="178" t="s">
        <v>909</v>
      </c>
    </row>
    <row r="2648">
      <c r="A2648" s="250">
        <v>45433.727620011574</v>
      </c>
      <c r="B2648" s="251" t="s">
        <v>4091</v>
      </c>
      <c r="C2648" s="178" t="s">
        <v>4092</v>
      </c>
      <c r="D2648" s="36">
        <v>681580.0</v>
      </c>
      <c r="E2648" s="36" t="s">
        <v>1683</v>
      </c>
      <c r="F2648" s="178" t="s">
        <v>645</v>
      </c>
    </row>
    <row r="2649">
      <c r="A2649" s="250">
        <v>45433.727620011574</v>
      </c>
      <c r="B2649" s="251" t="s">
        <v>1802</v>
      </c>
      <c r="C2649" s="178" t="s">
        <v>4056</v>
      </c>
      <c r="D2649" s="36" t="s">
        <v>1683</v>
      </c>
      <c r="E2649" s="36">
        <v>681580.0</v>
      </c>
      <c r="F2649" s="178" t="s">
        <v>645</v>
      </c>
    </row>
    <row r="2650">
      <c r="A2650" s="250">
        <v>45433.72770847222</v>
      </c>
      <c r="B2650" s="251" t="s">
        <v>3494</v>
      </c>
      <c r="C2650" s="178" t="s">
        <v>4093</v>
      </c>
      <c r="D2650" s="36">
        <v>20949.999999999996</v>
      </c>
      <c r="E2650" s="36" t="s">
        <v>1683</v>
      </c>
      <c r="F2650" s="178" t="s">
        <v>413</v>
      </c>
    </row>
    <row r="2651">
      <c r="A2651" s="250">
        <v>45433.72770847222</v>
      </c>
      <c r="B2651" s="251" t="s">
        <v>1802</v>
      </c>
      <c r="C2651" s="178" t="s">
        <v>3976</v>
      </c>
      <c r="D2651" s="36" t="s">
        <v>1683</v>
      </c>
      <c r="E2651" s="36">
        <v>20949.999999999996</v>
      </c>
      <c r="F2651" s="178" t="s">
        <v>413</v>
      </c>
    </row>
    <row r="2652">
      <c r="A2652" s="250">
        <v>45433.73025107639</v>
      </c>
      <c r="B2652" s="251" t="s">
        <v>3257</v>
      </c>
      <c r="C2652" s="178" t="s">
        <v>4094</v>
      </c>
      <c r="D2652" s="36">
        <v>3037000.0</v>
      </c>
      <c r="E2652" s="36" t="s">
        <v>1683</v>
      </c>
      <c r="F2652" s="178" t="s">
        <v>363</v>
      </c>
    </row>
    <row r="2653">
      <c r="A2653" s="250">
        <v>45433.73025107639</v>
      </c>
      <c r="B2653" s="251" t="s">
        <v>1802</v>
      </c>
      <c r="C2653" s="178" t="s">
        <v>3984</v>
      </c>
      <c r="D2653" s="36" t="s">
        <v>1683</v>
      </c>
      <c r="E2653" s="36">
        <v>3037000.0</v>
      </c>
      <c r="F2653" s="178" t="s">
        <v>363</v>
      </c>
    </row>
    <row r="2654">
      <c r="A2654" s="250">
        <v>45434.63248929398</v>
      </c>
      <c r="B2654" s="251" t="s">
        <v>3249</v>
      </c>
      <c r="C2654" s="178" t="s">
        <v>4095</v>
      </c>
      <c r="D2654" s="36">
        <v>1268879.9999999998</v>
      </c>
      <c r="E2654" s="36" t="s">
        <v>1683</v>
      </c>
      <c r="F2654" s="178" t="s">
        <v>825</v>
      </c>
    </row>
    <row r="2655">
      <c r="A2655" s="250">
        <v>45434.63248929398</v>
      </c>
      <c r="B2655" s="251" t="s">
        <v>1802</v>
      </c>
      <c r="C2655" s="178" t="s">
        <v>4038</v>
      </c>
      <c r="D2655" s="36" t="s">
        <v>1683</v>
      </c>
      <c r="E2655" s="36">
        <v>1268879.9999999998</v>
      </c>
      <c r="F2655" s="178" t="s">
        <v>825</v>
      </c>
    </row>
    <row r="2656">
      <c r="A2656" s="250">
        <v>45434.68958888888</v>
      </c>
      <c r="B2656" s="251" t="s">
        <v>3240</v>
      </c>
      <c r="C2656" s="178" t="s">
        <v>4096</v>
      </c>
      <c r="D2656" s="36">
        <v>50949.99999999999</v>
      </c>
      <c r="E2656" s="36" t="s">
        <v>1683</v>
      </c>
      <c r="F2656" s="178" t="s">
        <v>879</v>
      </c>
    </row>
    <row r="2657">
      <c r="A2657" s="250">
        <v>45434.68958888888</v>
      </c>
      <c r="B2657" s="251" t="s">
        <v>1698</v>
      </c>
      <c r="C2657" s="178" t="s">
        <v>4064</v>
      </c>
      <c r="D2657" s="36" t="s">
        <v>1683</v>
      </c>
      <c r="E2657" s="36">
        <v>50949.99999999999</v>
      </c>
      <c r="F2657" s="178" t="s">
        <v>879</v>
      </c>
    </row>
    <row r="2658">
      <c r="A2658" s="250">
        <v>45434.84168222222</v>
      </c>
      <c r="B2658" s="251" t="s">
        <v>3418</v>
      </c>
      <c r="C2658" s="178" t="s">
        <v>4097</v>
      </c>
      <c r="D2658" s="36">
        <v>9375.0</v>
      </c>
      <c r="E2658" s="36" t="s">
        <v>1683</v>
      </c>
      <c r="F2658" s="178" t="s">
        <v>296</v>
      </c>
    </row>
    <row r="2659">
      <c r="A2659" s="250">
        <v>45434.84168222222</v>
      </c>
      <c r="B2659" s="251" t="s">
        <v>1698</v>
      </c>
      <c r="C2659" s="178" t="s">
        <v>4084</v>
      </c>
      <c r="D2659" s="36" t="s">
        <v>1683</v>
      </c>
      <c r="E2659" s="36">
        <v>9375.0</v>
      </c>
      <c r="F2659" s="178" t="s">
        <v>296</v>
      </c>
    </row>
    <row r="2660">
      <c r="A2660" s="250">
        <v>45434.84196222222</v>
      </c>
      <c r="B2660" s="251" t="s">
        <v>3392</v>
      </c>
      <c r="C2660" s="178" t="s">
        <v>4098</v>
      </c>
      <c r="D2660" s="36">
        <v>65625.0</v>
      </c>
      <c r="E2660" s="36" t="s">
        <v>1683</v>
      </c>
      <c r="F2660" s="178" t="s">
        <v>296</v>
      </c>
    </row>
    <row r="2661">
      <c r="A2661" s="250">
        <v>45434.84196222222</v>
      </c>
      <c r="B2661" s="251" t="s">
        <v>1698</v>
      </c>
      <c r="C2661" s="178" t="s">
        <v>4086</v>
      </c>
      <c r="D2661" s="36" t="s">
        <v>1683</v>
      </c>
      <c r="E2661" s="36">
        <v>65625.0</v>
      </c>
      <c r="F2661" s="178" t="s">
        <v>296</v>
      </c>
    </row>
    <row r="2662">
      <c r="A2662" s="250">
        <v>45434.99957555555</v>
      </c>
      <c r="B2662" s="251" t="s">
        <v>1783</v>
      </c>
      <c r="C2662" s="178" t="s">
        <v>4099</v>
      </c>
      <c r="D2662" s="36">
        <v>300844.0</v>
      </c>
      <c r="E2662" s="36" t="s">
        <v>1683</v>
      </c>
      <c r="F2662" s="178" t="s">
        <v>744</v>
      </c>
    </row>
    <row r="2663">
      <c r="A2663" s="250">
        <v>45434.99957555555</v>
      </c>
      <c r="B2663" s="251" t="s">
        <v>1684</v>
      </c>
      <c r="C2663" s="178" t="s">
        <v>4100</v>
      </c>
      <c r="D2663" s="36" t="s">
        <v>1683</v>
      </c>
      <c r="E2663" s="36">
        <v>300844.0</v>
      </c>
      <c r="F2663" s="178" t="s">
        <v>744</v>
      </c>
    </row>
    <row r="2664">
      <c r="A2664" s="250">
        <v>45434.999715555554</v>
      </c>
      <c r="B2664" s="251" t="s">
        <v>1783</v>
      </c>
      <c r="C2664" s="178" t="s">
        <v>4101</v>
      </c>
      <c r="D2664" s="36">
        <v>189210.0</v>
      </c>
      <c r="E2664" s="36" t="s">
        <v>1683</v>
      </c>
      <c r="F2664" s="178" t="s">
        <v>744</v>
      </c>
    </row>
    <row r="2665">
      <c r="A2665" s="250">
        <v>45434.999715555554</v>
      </c>
      <c r="B2665" s="251" t="s">
        <v>1684</v>
      </c>
      <c r="C2665" s="178" t="s">
        <v>4102</v>
      </c>
      <c r="D2665" s="36" t="s">
        <v>1683</v>
      </c>
      <c r="E2665" s="36">
        <v>189210.0</v>
      </c>
      <c r="F2665" s="178" t="s">
        <v>744</v>
      </c>
    </row>
    <row r="2666">
      <c r="A2666" s="250">
        <v>45435.00028555555</v>
      </c>
      <c r="B2666" s="251" t="s">
        <v>1783</v>
      </c>
      <c r="C2666" s="178" t="s">
        <v>4103</v>
      </c>
      <c r="D2666" s="36">
        <v>413756.0</v>
      </c>
      <c r="E2666" s="36" t="s">
        <v>1683</v>
      </c>
      <c r="F2666" s="178" t="s">
        <v>991</v>
      </c>
    </row>
    <row r="2667">
      <c r="A2667" s="250">
        <v>45435.00028555555</v>
      </c>
      <c r="B2667" s="251" t="s">
        <v>1684</v>
      </c>
      <c r="C2667" s="178" t="s">
        <v>4104</v>
      </c>
      <c r="D2667" s="36" t="s">
        <v>1683</v>
      </c>
      <c r="E2667" s="36">
        <v>413756.0</v>
      </c>
      <c r="F2667" s="178" t="s">
        <v>991</v>
      </c>
    </row>
    <row r="2668">
      <c r="A2668" s="250">
        <v>45435.49686005787</v>
      </c>
      <c r="B2668" s="251" t="s">
        <v>3020</v>
      </c>
      <c r="C2668" s="178" t="s">
        <v>4105</v>
      </c>
      <c r="D2668" s="36">
        <v>1354232.0000000002</v>
      </c>
      <c r="E2668" s="36" t="s">
        <v>1683</v>
      </c>
      <c r="F2668" s="178" t="s">
        <v>133</v>
      </c>
    </row>
    <row r="2669">
      <c r="A2669" s="250">
        <v>45435.49686005787</v>
      </c>
      <c r="B2669" s="251" t="s">
        <v>1698</v>
      </c>
      <c r="C2669" s="178" t="s">
        <v>4080</v>
      </c>
      <c r="D2669" s="36" t="s">
        <v>1683</v>
      </c>
      <c r="E2669" s="36">
        <v>1354232.0000000002</v>
      </c>
      <c r="F2669" s="178" t="s">
        <v>133</v>
      </c>
    </row>
    <row r="2670">
      <c r="A2670" s="250">
        <v>45435.49755005787</v>
      </c>
      <c r="B2670" s="251" t="s">
        <v>3017</v>
      </c>
      <c r="C2670" s="178" t="s">
        <v>4106</v>
      </c>
      <c r="D2670" s="36">
        <v>789968.0</v>
      </c>
      <c r="E2670" s="36" t="s">
        <v>1683</v>
      </c>
      <c r="F2670" s="178" t="s">
        <v>133</v>
      </c>
    </row>
    <row r="2671">
      <c r="A2671" s="250">
        <v>45435.49755005787</v>
      </c>
      <c r="B2671" s="251" t="s">
        <v>1698</v>
      </c>
      <c r="C2671" s="178" t="s">
        <v>4082</v>
      </c>
      <c r="D2671" s="36" t="s">
        <v>1683</v>
      </c>
      <c r="E2671" s="36">
        <v>789968.0</v>
      </c>
      <c r="F2671" s="178" t="s">
        <v>133</v>
      </c>
    </row>
    <row r="2672">
      <c r="A2672" s="250">
        <v>45435.82055435185</v>
      </c>
      <c r="B2672" s="251" t="s">
        <v>3394</v>
      </c>
      <c r="C2672" s="178" t="s">
        <v>4107</v>
      </c>
      <c r="D2672" s="36">
        <v>585000.0</v>
      </c>
      <c r="E2672" s="36" t="s">
        <v>1683</v>
      </c>
      <c r="F2672" s="178" t="s">
        <v>1683</v>
      </c>
    </row>
    <row r="2673">
      <c r="A2673" s="250">
        <v>45435.82055435185</v>
      </c>
      <c r="B2673" s="251" t="s">
        <v>4108</v>
      </c>
      <c r="C2673" s="178" t="s">
        <v>4109</v>
      </c>
      <c r="D2673" s="36" t="s">
        <v>1683</v>
      </c>
      <c r="E2673" s="36">
        <v>585000.0</v>
      </c>
      <c r="F2673" s="178" t="s">
        <v>1683</v>
      </c>
    </row>
    <row r="2674">
      <c r="A2674" s="250">
        <v>45435.820574351856</v>
      </c>
      <c r="B2674" s="251" t="s">
        <v>4022</v>
      </c>
      <c r="C2674" s="178" t="s">
        <v>4110</v>
      </c>
      <c r="D2674" s="36">
        <v>900000.0</v>
      </c>
      <c r="E2674" s="36" t="s">
        <v>1683</v>
      </c>
      <c r="F2674" s="178" t="s">
        <v>1683</v>
      </c>
    </row>
    <row r="2675">
      <c r="A2675" s="250">
        <v>45435.820574351856</v>
      </c>
      <c r="B2675" s="251" t="s">
        <v>4059</v>
      </c>
      <c r="C2675" s="178" t="s">
        <v>4111</v>
      </c>
      <c r="D2675" s="36" t="s">
        <v>1683</v>
      </c>
      <c r="E2675" s="36">
        <v>900000.0</v>
      </c>
      <c r="F2675" s="178" t="s">
        <v>1683</v>
      </c>
    </row>
    <row r="2676">
      <c r="A2676" s="250">
        <v>45435.8210847338</v>
      </c>
      <c r="B2676" s="251" t="s">
        <v>4112</v>
      </c>
      <c r="C2676" s="178" t="s">
        <v>4113</v>
      </c>
      <c r="D2676" s="36">
        <v>585000.0</v>
      </c>
      <c r="E2676" s="36" t="s">
        <v>1683</v>
      </c>
      <c r="F2676" s="178" t="s">
        <v>1683</v>
      </c>
    </row>
    <row r="2677">
      <c r="A2677" s="250">
        <v>45435.8210847338</v>
      </c>
      <c r="B2677" s="251" t="s">
        <v>4114</v>
      </c>
      <c r="C2677" s="178" t="s">
        <v>4115</v>
      </c>
      <c r="D2677" s="36" t="s">
        <v>1683</v>
      </c>
      <c r="E2677" s="36">
        <v>585000.0</v>
      </c>
      <c r="F2677" s="178" t="s">
        <v>1683</v>
      </c>
    </row>
    <row r="2678">
      <c r="A2678" s="250">
        <v>45435.8211047338</v>
      </c>
      <c r="B2678" s="251" t="s">
        <v>4116</v>
      </c>
      <c r="C2678" s="178" t="s">
        <v>4117</v>
      </c>
      <c r="D2678" s="36">
        <v>900000.0</v>
      </c>
      <c r="E2678" s="36" t="s">
        <v>1683</v>
      </c>
      <c r="F2678" s="178" t="s">
        <v>1683</v>
      </c>
    </row>
    <row r="2679">
      <c r="A2679" s="250">
        <v>45435.8211047338</v>
      </c>
      <c r="B2679" s="251" t="s">
        <v>4118</v>
      </c>
      <c r="C2679" s="178" t="s">
        <v>4119</v>
      </c>
      <c r="D2679" s="36" t="s">
        <v>1683</v>
      </c>
      <c r="E2679" s="36">
        <v>900000.0</v>
      </c>
      <c r="F2679" s="178" t="s">
        <v>1683</v>
      </c>
    </row>
    <row r="2680">
      <c r="A2680" s="250">
        <v>45436.01249555556</v>
      </c>
      <c r="B2680" s="251" t="s">
        <v>1693</v>
      </c>
      <c r="C2680" s="178" t="s">
        <v>4120</v>
      </c>
      <c r="D2680" s="36">
        <v>50950.00000000001</v>
      </c>
      <c r="E2680" s="36" t="s">
        <v>1683</v>
      </c>
      <c r="F2680" s="178" t="s">
        <v>878</v>
      </c>
    </row>
    <row r="2681">
      <c r="A2681" s="250">
        <v>45436.01249555556</v>
      </c>
      <c r="B2681" s="251" t="s">
        <v>1684</v>
      </c>
      <c r="C2681" s="178" t="s">
        <v>4121</v>
      </c>
      <c r="D2681" s="36" t="s">
        <v>1683</v>
      </c>
      <c r="E2681" s="36">
        <v>50950.00000000001</v>
      </c>
      <c r="F2681" s="178" t="s">
        <v>878</v>
      </c>
    </row>
    <row r="2682">
      <c r="A2682" s="250">
        <v>45436.84678777778</v>
      </c>
      <c r="B2682" s="251" t="s">
        <v>1783</v>
      </c>
      <c r="C2682" s="178" t="s">
        <v>4122</v>
      </c>
      <c r="D2682" s="36">
        <v>640538.0</v>
      </c>
      <c r="E2682" s="36" t="s">
        <v>1683</v>
      </c>
      <c r="F2682" s="178" t="s">
        <v>743</v>
      </c>
    </row>
    <row r="2683">
      <c r="A2683" s="250">
        <v>45436.84678777778</v>
      </c>
      <c r="B2683" s="251" t="s">
        <v>1684</v>
      </c>
      <c r="C2683" s="178" t="s">
        <v>4123</v>
      </c>
      <c r="D2683" s="36" t="s">
        <v>1683</v>
      </c>
      <c r="E2683" s="36">
        <v>640538.0</v>
      </c>
      <c r="F2683" s="178" t="s">
        <v>743</v>
      </c>
    </row>
    <row r="2684">
      <c r="A2684" s="250">
        <v>45436.84692777778</v>
      </c>
      <c r="B2684" s="251" t="s">
        <v>1783</v>
      </c>
      <c r="C2684" s="178" t="s">
        <v>4124</v>
      </c>
      <c r="D2684" s="36">
        <v>224036.0</v>
      </c>
      <c r="E2684" s="36" t="s">
        <v>1683</v>
      </c>
      <c r="F2684" s="178" t="s">
        <v>755</v>
      </c>
    </row>
    <row r="2685">
      <c r="A2685" s="250">
        <v>45436.84692777778</v>
      </c>
      <c r="B2685" s="251" t="s">
        <v>1684</v>
      </c>
      <c r="C2685" s="178" t="s">
        <v>4125</v>
      </c>
      <c r="D2685" s="36" t="s">
        <v>1683</v>
      </c>
      <c r="E2685" s="36">
        <v>224036.0</v>
      </c>
      <c r="F2685" s="178" t="s">
        <v>755</v>
      </c>
    </row>
    <row r="2686">
      <c r="A2686" s="250">
        <v>45437.65697</v>
      </c>
      <c r="B2686" s="251" t="s">
        <v>1783</v>
      </c>
      <c r="C2686" s="178" t="s">
        <v>4126</v>
      </c>
      <c r="D2686" s="36">
        <v>24100.000000000004</v>
      </c>
      <c r="E2686" s="36" t="s">
        <v>1683</v>
      </c>
      <c r="F2686" s="178" t="s">
        <v>515</v>
      </c>
    </row>
    <row r="2687">
      <c r="A2687" s="250">
        <v>45437.65697</v>
      </c>
      <c r="B2687" s="251" t="s">
        <v>1684</v>
      </c>
      <c r="C2687" s="178" t="s">
        <v>4127</v>
      </c>
      <c r="D2687" s="36" t="s">
        <v>1683</v>
      </c>
      <c r="E2687" s="36">
        <v>24100.000000000004</v>
      </c>
      <c r="F2687" s="178" t="s">
        <v>515</v>
      </c>
    </row>
    <row r="2688">
      <c r="A2688" s="250">
        <v>45437.87135653935</v>
      </c>
      <c r="B2688" s="251" t="s">
        <v>3392</v>
      </c>
      <c r="C2688" s="178" t="s">
        <v>4128</v>
      </c>
      <c r="D2688" s="36">
        <v>413756.0</v>
      </c>
      <c r="E2688" s="36" t="s">
        <v>1683</v>
      </c>
      <c r="F2688" s="178" t="s">
        <v>991</v>
      </c>
    </row>
    <row r="2689">
      <c r="A2689" s="250">
        <v>45437.87135653935</v>
      </c>
      <c r="B2689" s="251" t="s">
        <v>1802</v>
      </c>
      <c r="C2689" s="178" t="s">
        <v>4103</v>
      </c>
      <c r="D2689" s="36" t="s">
        <v>1683</v>
      </c>
      <c r="E2689" s="36">
        <v>413756.0</v>
      </c>
      <c r="F2689" s="178" t="s">
        <v>991</v>
      </c>
    </row>
    <row r="2690">
      <c r="A2690" s="250">
        <v>45437.99608333333</v>
      </c>
      <c r="B2690" s="251" t="s">
        <v>1783</v>
      </c>
      <c r="C2690" s="178" t="s">
        <v>4129</v>
      </c>
      <c r="D2690" s="36">
        <v>240297.0</v>
      </c>
      <c r="E2690" s="36" t="s">
        <v>1683</v>
      </c>
      <c r="F2690" s="178" t="s">
        <v>741</v>
      </c>
    </row>
    <row r="2691">
      <c r="A2691" s="250">
        <v>45437.99608333333</v>
      </c>
      <c r="B2691" s="251" t="s">
        <v>1684</v>
      </c>
      <c r="C2691" s="178" t="s">
        <v>4130</v>
      </c>
      <c r="D2691" s="36" t="s">
        <v>1683</v>
      </c>
      <c r="E2691" s="36">
        <v>240297.0</v>
      </c>
      <c r="F2691" s="178" t="s">
        <v>741</v>
      </c>
    </row>
    <row r="2692">
      <c r="A2692" s="250">
        <v>45437.996223333335</v>
      </c>
      <c r="B2692" s="251" t="s">
        <v>1783</v>
      </c>
      <c r="C2692" s="178" t="s">
        <v>4131</v>
      </c>
      <c r="D2692" s="36">
        <v>283816.0</v>
      </c>
      <c r="E2692" s="36" t="s">
        <v>1683</v>
      </c>
      <c r="F2692" s="178" t="s">
        <v>741</v>
      </c>
    </row>
    <row r="2693">
      <c r="A2693" s="250">
        <v>45437.996223333335</v>
      </c>
      <c r="B2693" s="251" t="s">
        <v>1684</v>
      </c>
      <c r="C2693" s="178" t="s">
        <v>4132</v>
      </c>
      <c r="D2693" s="36" t="s">
        <v>1683</v>
      </c>
      <c r="E2693" s="36">
        <v>283816.0</v>
      </c>
      <c r="F2693" s="178" t="s">
        <v>741</v>
      </c>
    </row>
    <row r="2694">
      <c r="A2694" s="250">
        <v>45437.99634333333</v>
      </c>
      <c r="B2694" s="251" t="s">
        <v>1783</v>
      </c>
      <c r="C2694" s="178" t="s">
        <v>4133</v>
      </c>
      <c r="D2694" s="36">
        <v>375267.00000000006</v>
      </c>
      <c r="E2694" s="36" t="s">
        <v>1683</v>
      </c>
      <c r="F2694" s="178" t="s">
        <v>855</v>
      </c>
    </row>
    <row r="2695">
      <c r="A2695" s="250">
        <v>45437.99634333333</v>
      </c>
      <c r="B2695" s="251" t="s">
        <v>1684</v>
      </c>
      <c r="C2695" s="178" t="s">
        <v>4134</v>
      </c>
      <c r="D2695" s="36" t="s">
        <v>1683</v>
      </c>
      <c r="E2695" s="36">
        <v>375267.00000000006</v>
      </c>
      <c r="F2695" s="178" t="s">
        <v>855</v>
      </c>
    </row>
    <row r="2696">
      <c r="A2696" s="250">
        <v>45438.55742444444</v>
      </c>
      <c r="B2696" s="251" t="s">
        <v>1693</v>
      </c>
      <c r="C2696" s="178" t="s">
        <v>4135</v>
      </c>
      <c r="D2696" s="36">
        <v>20614.999999999996</v>
      </c>
      <c r="E2696" s="36" t="s">
        <v>1683</v>
      </c>
      <c r="F2696" s="178" t="s">
        <v>673</v>
      </c>
    </row>
    <row r="2697">
      <c r="A2697" s="250">
        <v>45438.55742444444</v>
      </c>
      <c r="B2697" s="251" t="s">
        <v>1684</v>
      </c>
      <c r="C2697" s="178" t="s">
        <v>4136</v>
      </c>
      <c r="D2697" s="36" t="s">
        <v>1683</v>
      </c>
      <c r="E2697" s="36">
        <v>20614.999999999996</v>
      </c>
      <c r="F2697" s="178" t="s">
        <v>673</v>
      </c>
    </row>
    <row r="2698">
      <c r="A2698" s="250">
        <v>45438.55743444444</v>
      </c>
      <c r="B2698" s="251" t="s">
        <v>1693</v>
      </c>
      <c r="C2698" s="178" t="s">
        <v>4137</v>
      </c>
      <c r="D2698" s="36">
        <v>12885.0</v>
      </c>
      <c r="E2698" s="36" t="s">
        <v>1683</v>
      </c>
      <c r="F2698" s="178" t="s">
        <v>673</v>
      </c>
    </row>
    <row r="2699">
      <c r="A2699" s="250">
        <v>45438.55743444444</v>
      </c>
      <c r="B2699" s="251" t="s">
        <v>1684</v>
      </c>
      <c r="C2699" s="178" t="s">
        <v>4138</v>
      </c>
      <c r="D2699" s="36" t="s">
        <v>1683</v>
      </c>
      <c r="E2699" s="36">
        <v>12885.0</v>
      </c>
      <c r="F2699" s="178" t="s">
        <v>673</v>
      </c>
    </row>
    <row r="2700">
      <c r="A2700" s="250">
        <v>45438.61182111111</v>
      </c>
      <c r="B2700" s="251" t="s">
        <v>1783</v>
      </c>
      <c r="C2700" s="178" t="s">
        <v>4139</v>
      </c>
      <c r="D2700" s="36">
        <v>24100.000000000004</v>
      </c>
      <c r="E2700" s="36" t="s">
        <v>1683</v>
      </c>
      <c r="F2700" s="178" t="s">
        <v>514</v>
      </c>
    </row>
    <row r="2701">
      <c r="A2701" s="250">
        <v>45438.61182111111</v>
      </c>
      <c r="B2701" s="251" t="s">
        <v>1684</v>
      </c>
      <c r="C2701" s="178" t="s">
        <v>4140</v>
      </c>
      <c r="D2701" s="36" t="s">
        <v>1683</v>
      </c>
      <c r="E2701" s="36">
        <v>24100.000000000004</v>
      </c>
      <c r="F2701" s="178" t="s">
        <v>514</v>
      </c>
    </row>
    <row r="2702">
      <c r="A2702" s="250">
        <v>45438.61527333334</v>
      </c>
      <c r="B2702" s="251" t="s">
        <v>3240</v>
      </c>
      <c r="C2702" s="178" t="s">
        <v>4141</v>
      </c>
      <c r="D2702" s="36">
        <v>50950.00000000001</v>
      </c>
      <c r="E2702" s="36" t="s">
        <v>1683</v>
      </c>
      <c r="F2702" s="178" t="s">
        <v>878</v>
      </c>
    </row>
    <row r="2703">
      <c r="A2703" s="250">
        <v>45438.61527333334</v>
      </c>
      <c r="B2703" s="251" t="s">
        <v>1698</v>
      </c>
      <c r="C2703" s="178" t="s">
        <v>4120</v>
      </c>
      <c r="D2703" s="36" t="s">
        <v>1683</v>
      </c>
      <c r="E2703" s="36">
        <v>50950.00000000001</v>
      </c>
      <c r="F2703" s="178" t="s">
        <v>878</v>
      </c>
    </row>
    <row r="2704">
      <c r="A2704" s="250">
        <v>45438.65072</v>
      </c>
      <c r="B2704" s="251" t="s">
        <v>3867</v>
      </c>
      <c r="C2704" s="178" t="s">
        <v>4142</v>
      </c>
      <c r="D2704" s="36">
        <v>24100.000000000004</v>
      </c>
      <c r="E2704" s="36" t="s">
        <v>1683</v>
      </c>
      <c r="F2704" s="178" t="s">
        <v>515</v>
      </c>
    </row>
    <row r="2705">
      <c r="A2705" s="250">
        <v>45438.65072</v>
      </c>
      <c r="B2705" s="251" t="s">
        <v>1802</v>
      </c>
      <c r="C2705" s="178" t="s">
        <v>4126</v>
      </c>
      <c r="D2705" s="36" t="s">
        <v>1683</v>
      </c>
      <c r="E2705" s="36">
        <v>24100.000000000004</v>
      </c>
      <c r="F2705" s="178" t="s">
        <v>515</v>
      </c>
    </row>
    <row r="2706">
      <c r="A2706" s="250">
        <v>45438.80651</v>
      </c>
      <c r="B2706" s="251" t="s">
        <v>3930</v>
      </c>
      <c r="C2706" s="178" t="s">
        <v>4143</v>
      </c>
      <c r="D2706" s="36">
        <v>640538.0</v>
      </c>
      <c r="E2706" s="36" t="s">
        <v>1683</v>
      </c>
      <c r="F2706" s="178" t="s">
        <v>743</v>
      </c>
    </row>
    <row r="2707">
      <c r="A2707" s="250">
        <v>45438.80651</v>
      </c>
      <c r="B2707" s="251" t="s">
        <v>1802</v>
      </c>
      <c r="C2707" s="178" t="s">
        <v>4122</v>
      </c>
      <c r="D2707" s="36" t="s">
        <v>1683</v>
      </c>
      <c r="E2707" s="36">
        <v>640538.0</v>
      </c>
      <c r="F2707" s="178" t="s">
        <v>743</v>
      </c>
    </row>
    <row r="2708">
      <c r="A2708" s="250">
        <v>45439.63360333333</v>
      </c>
      <c r="B2708" s="251" t="s">
        <v>3930</v>
      </c>
      <c r="C2708" s="178" t="s">
        <v>4144</v>
      </c>
      <c r="D2708" s="36">
        <v>300844.0</v>
      </c>
      <c r="E2708" s="36" t="s">
        <v>1683</v>
      </c>
      <c r="F2708" s="178" t="s">
        <v>744</v>
      </c>
    </row>
    <row r="2709">
      <c r="A2709" s="250">
        <v>45439.63360333333</v>
      </c>
      <c r="B2709" s="251" t="s">
        <v>1802</v>
      </c>
      <c r="C2709" s="178" t="s">
        <v>4099</v>
      </c>
      <c r="D2709" s="36" t="s">
        <v>1683</v>
      </c>
      <c r="E2709" s="36">
        <v>300844.0</v>
      </c>
      <c r="F2709" s="178" t="s">
        <v>744</v>
      </c>
    </row>
    <row r="2710">
      <c r="A2710" s="250">
        <v>45439.63374333333</v>
      </c>
      <c r="B2710" s="251" t="s">
        <v>3932</v>
      </c>
      <c r="C2710" s="178" t="s">
        <v>4145</v>
      </c>
      <c r="D2710" s="36">
        <v>189210.0</v>
      </c>
      <c r="E2710" s="36" t="s">
        <v>1683</v>
      </c>
      <c r="F2710" s="178" t="s">
        <v>744</v>
      </c>
    </row>
    <row r="2711">
      <c r="A2711" s="250">
        <v>45439.63374333333</v>
      </c>
      <c r="B2711" s="251" t="s">
        <v>1802</v>
      </c>
      <c r="C2711" s="178" t="s">
        <v>4101</v>
      </c>
      <c r="D2711" s="36" t="s">
        <v>1683</v>
      </c>
      <c r="E2711" s="36">
        <v>189210.0</v>
      </c>
      <c r="F2711" s="178" t="s">
        <v>744</v>
      </c>
    </row>
    <row r="2712">
      <c r="A2712" s="250">
        <v>45439.731949999994</v>
      </c>
      <c r="B2712" s="251" t="s">
        <v>1783</v>
      </c>
      <c r="C2712" s="178" t="s">
        <v>4146</v>
      </c>
      <c r="D2712" s="36">
        <v>24099.999999999996</v>
      </c>
      <c r="E2712" s="36" t="s">
        <v>1683</v>
      </c>
      <c r="F2712" s="178" t="s">
        <v>201</v>
      </c>
    </row>
    <row r="2713">
      <c r="A2713" s="250">
        <v>45439.731949999994</v>
      </c>
      <c r="B2713" s="251" t="s">
        <v>1684</v>
      </c>
      <c r="C2713" s="178" t="s">
        <v>4147</v>
      </c>
      <c r="D2713" s="36" t="s">
        <v>1683</v>
      </c>
      <c r="E2713" s="36">
        <v>24099.999999999996</v>
      </c>
      <c r="F2713" s="178" t="s">
        <v>201</v>
      </c>
    </row>
    <row r="2714">
      <c r="A2714" s="250">
        <v>45439.88124555556</v>
      </c>
      <c r="B2714" s="251" t="s">
        <v>1783</v>
      </c>
      <c r="C2714" s="178" t="s">
        <v>4148</v>
      </c>
      <c r="D2714" s="36">
        <v>24099.999999999996</v>
      </c>
      <c r="E2714" s="36" t="s">
        <v>1683</v>
      </c>
      <c r="F2714" s="178" t="s">
        <v>513</v>
      </c>
    </row>
    <row r="2715">
      <c r="A2715" s="250">
        <v>45439.88124555556</v>
      </c>
      <c r="B2715" s="251" t="s">
        <v>1684</v>
      </c>
      <c r="C2715" s="178" t="s">
        <v>4149</v>
      </c>
      <c r="D2715" s="36" t="s">
        <v>1683</v>
      </c>
      <c r="E2715" s="36">
        <v>24099.999999999996</v>
      </c>
      <c r="F2715" s="178" t="s">
        <v>513</v>
      </c>
    </row>
    <row r="2716">
      <c r="A2716" s="250">
        <v>45440.915847557866</v>
      </c>
      <c r="B2716" s="251" t="s">
        <v>3932</v>
      </c>
      <c r="C2716" s="178" t="s">
        <v>4150</v>
      </c>
      <c r="D2716" s="36">
        <v>224036.0</v>
      </c>
      <c r="E2716" s="36" t="s">
        <v>1683</v>
      </c>
      <c r="F2716" s="178" t="s">
        <v>755</v>
      </c>
    </row>
    <row r="2717">
      <c r="A2717" s="250">
        <v>45440.915847557866</v>
      </c>
      <c r="B2717" s="251" t="s">
        <v>1802</v>
      </c>
      <c r="C2717" s="178" t="s">
        <v>4124</v>
      </c>
      <c r="D2717" s="36" t="s">
        <v>1683</v>
      </c>
      <c r="E2717" s="36">
        <v>224036.0</v>
      </c>
      <c r="F2717" s="178" t="s">
        <v>755</v>
      </c>
    </row>
    <row r="2718">
      <c r="A2718" s="250">
        <v>45441.49058021991</v>
      </c>
      <c r="B2718" s="251" t="s">
        <v>1693</v>
      </c>
      <c r="C2718" s="178" t="s">
        <v>4151</v>
      </c>
      <c r="D2718" s="36">
        <v>2447999.9999999995</v>
      </c>
      <c r="E2718" s="36" t="s">
        <v>1683</v>
      </c>
      <c r="F2718" s="178" t="s">
        <v>130</v>
      </c>
    </row>
    <row r="2719">
      <c r="A2719" s="250">
        <v>45441.49058021991</v>
      </c>
      <c r="B2719" s="251" t="s">
        <v>1684</v>
      </c>
      <c r="C2719" s="178" t="s">
        <v>4152</v>
      </c>
      <c r="D2719" s="36" t="s">
        <v>1683</v>
      </c>
      <c r="E2719" s="36">
        <v>2447999.9999999995</v>
      </c>
      <c r="F2719" s="178" t="s">
        <v>130</v>
      </c>
    </row>
    <row r="2720">
      <c r="A2720" s="250">
        <v>45441.4905902199</v>
      </c>
      <c r="B2720" s="251" t="s">
        <v>1693</v>
      </c>
      <c r="C2720" s="178" t="s">
        <v>4153</v>
      </c>
      <c r="D2720" s="36">
        <v>1997800.0</v>
      </c>
      <c r="E2720" s="36" t="s">
        <v>1683</v>
      </c>
      <c r="F2720" s="178" t="s">
        <v>131</v>
      </c>
    </row>
    <row r="2721">
      <c r="A2721" s="250">
        <v>45441.4905902199</v>
      </c>
      <c r="B2721" s="251" t="s">
        <v>1684</v>
      </c>
      <c r="C2721" s="178" t="s">
        <v>4154</v>
      </c>
      <c r="D2721" s="36" t="s">
        <v>1683</v>
      </c>
      <c r="E2721" s="36">
        <v>1997800.0</v>
      </c>
      <c r="F2721" s="178" t="s">
        <v>131</v>
      </c>
    </row>
    <row r="2722">
      <c r="A2722" s="250">
        <v>45441.58315708333</v>
      </c>
      <c r="B2722" s="251" t="s">
        <v>3017</v>
      </c>
      <c r="C2722" s="178" t="s">
        <v>4155</v>
      </c>
      <c r="D2722" s="36">
        <v>1997800.0</v>
      </c>
      <c r="E2722" s="36" t="s">
        <v>1683</v>
      </c>
      <c r="F2722" s="178" t="s">
        <v>131</v>
      </c>
    </row>
    <row r="2723">
      <c r="A2723" s="250">
        <v>45441.58315708333</v>
      </c>
      <c r="B2723" s="251" t="s">
        <v>1698</v>
      </c>
      <c r="C2723" s="178" t="s">
        <v>4153</v>
      </c>
      <c r="D2723" s="36" t="s">
        <v>1683</v>
      </c>
      <c r="E2723" s="36">
        <v>1997800.0</v>
      </c>
      <c r="F2723" s="178" t="s">
        <v>131</v>
      </c>
    </row>
    <row r="2724">
      <c r="A2724" s="250">
        <v>45441.64312899306</v>
      </c>
      <c r="B2724" s="251" t="s">
        <v>3017</v>
      </c>
      <c r="C2724" s="178" t="s">
        <v>4156</v>
      </c>
      <c r="D2724" s="36">
        <v>2447999.9999999995</v>
      </c>
      <c r="E2724" s="36" t="s">
        <v>1683</v>
      </c>
      <c r="F2724" s="178" t="s">
        <v>130</v>
      </c>
    </row>
    <row r="2725">
      <c r="A2725" s="250">
        <v>45441.64312899306</v>
      </c>
      <c r="B2725" s="251" t="s">
        <v>1698</v>
      </c>
      <c r="C2725" s="178" t="s">
        <v>4151</v>
      </c>
      <c r="D2725" s="36" t="s">
        <v>1683</v>
      </c>
      <c r="E2725" s="36">
        <v>2447999.9999999995</v>
      </c>
      <c r="F2725" s="178" t="s">
        <v>130</v>
      </c>
    </row>
    <row r="2726">
      <c r="A2726" s="250">
        <v>45441.647566747684</v>
      </c>
      <c r="B2726" s="251" t="s">
        <v>1693</v>
      </c>
      <c r="C2726" s="178" t="s">
        <v>4157</v>
      </c>
      <c r="D2726" s="36">
        <v>1816840.0000000002</v>
      </c>
      <c r="E2726" s="36" t="s">
        <v>1683</v>
      </c>
      <c r="F2726" s="178" t="s">
        <v>128</v>
      </c>
    </row>
    <row r="2727">
      <c r="A2727" s="250">
        <v>45441.647566747684</v>
      </c>
      <c r="B2727" s="251" t="s">
        <v>1684</v>
      </c>
      <c r="C2727" s="178" t="s">
        <v>4158</v>
      </c>
      <c r="D2727" s="36" t="s">
        <v>1683</v>
      </c>
      <c r="E2727" s="36">
        <v>1816840.0000000002</v>
      </c>
      <c r="F2727" s="178" t="s">
        <v>128</v>
      </c>
    </row>
    <row r="2728">
      <c r="A2728" s="250">
        <v>45441.64771185185</v>
      </c>
      <c r="B2728" s="251" t="s">
        <v>3017</v>
      </c>
      <c r="C2728" s="178" t="s">
        <v>4159</v>
      </c>
      <c r="D2728" s="36">
        <v>1816840.0000000002</v>
      </c>
      <c r="E2728" s="36" t="s">
        <v>1683</v>
      </c>
      <c r="F2728" s="178" t="s">
        <v>128</v>
      </c>
    </row>
    <row r="2729">
      <c r="A2729" s="250">
        <v>45441.64771185185</v>
      </c>
      <c r="B2729" s="251" t="s">
        <v>1698</v>
      </c>
      <c r="C2729" s="178" t="s">
        <v>4157</v>
      </c>
      <c r="D2729" s="36" t="s">
        <v>1683</v>
      </c>
      <c r="E2729" s="36">
        <v>1816840.0000000002</v>
      </c>
      <c r="F2729" s="178" t="s">
        <v>128</v>
      </c>
    </row>
    <row r="2730">
      <c r="A2730" s="250">
        <v>45441.82367564815</v>
      </c>
      <c r="B2730" s="251" t="s">
        <v>3867</v>
      </c>
      <c r="C2730" s="178" t="s">
        <v>4160</v>
      </c>
      <c r="D2730" s="36">
        <v>24100.000000000004</v>
      </c>
      <c r="E2730" s="36" t="s">
        <v>1683</v>
      </c>
      <c r="F2730" s="178" t="s">
        <v>514</v>
      </c>
    </row>
    <row r="2731">
      <c r="A2731" s="250">
        <v>45441.82367564815</v>
      </c>
      <c r="B2731" s="251" t="s">
        <v>1802</v>
      </c>
      <c r="C2731" s="178" t="s">
        <v>4139</v>
      </c>
      <c r="D2731" s="36" t="s">
        <v>1683</v>
      </c>
      <c r="E2731" s="36">
        <v>24100.000000000004</v>
      </c>
      <c r="F2731" s="178" t="s">
        <v>514</v>
      </c>
    </row>
    <row r="2732">
      <c r="A2732" s="250">
        <v>45442.45385982639</v>
      </c>
      <c r="B2732" s="251" t="s">
        <v>3930</v>
      </c>
      <c r="C2732" s="178" t="s">
        <v>4161</v>
      </c>
      <c r="D2732" s="36">
        <v>240297.0</v>
      </c>
      <c r="E2732" s="36" t="s">
        <v>1683</v>
      </c>
      <c r="F2732" s="178" t="s">
        <v>741</v>
      </c>
    </row>
    <row r="2733">
      <c r="A2733" s="250">
        <v>45442.45385982639</v>
      </c>
      <c r="B2733" s="251" t="s">
        <v>1802</v>
      </c>
      <c r="C2733" s="178" t="s">
        <v>4129</v>
      </c>
      <c r="D2733" s="36" t="s">
        <v>1683</v>
      </c>
      <c r="E2733" s="36">
        <v>240297.0</v>
      </c>
      <c r="F2733" s="178" t="s">
        <v>741</v>
      </c>
    </row>
    <row r="2734">
      <c r="A2734" s="250">
        <v>45442.45401700232</v>
      </c>
      <c r="B2734" s="251" t="s">
        <v>3932</v>
      </c>
      <c r="C2734" s="178" t="s">
        <v>4162</v>
      </c>
      <c r="D2734" s="36">
        <v>283816.0</v>
      </c>
      <c r="E2734" s="36" t="s">
        <v>1683</v>
      </c>
      <c r="F2734" s="178" t="s">
        <v>741</v>
      </c>
    </row>
    <row r="2735">
      <c r="A2735" s="250">
        <v>45442.45401700232</v>
      </c>
      <c r="B2735" s="251" t="s">
        <v>1802</v>
      </c>
      <c r="C2735" s="178" t="s">
        <v>4131</v>
      </c>
      <c r="D2735" s="36" t="s">
        <v>1683</v>
      </c>
      <c r="E2735" s="36">
        <v>283816.0</v>
      </c>
      <c r="F2735" s="178" t="s">
        <v>741</v>
      </c>
    </row>
    <row r="2736">
      <c r="A2736" s="250">
        <v>45442.52664398148</v>
      </c>
      <c r="B2736" s="251" t="s">
        <v>3872</v>
      </c>
      <c r="C2736" s="178" t="s">
        <v>4163</v>
      </c>
      <c r="D2736" s="36">
        <v>375267.00000000006</v>
      </c>
      <c r="E2736" s="36" t="s">
        <v>1683</v>
      </c>
      <c r="F2736" s="178" t="s">
        <v>855</v>
      </c>
    </row>
    <row r="2737">
      <c r="A2737" s="250">
        <v>45442.52664398148</v>
      </c>
      <c r="B2737" s="251" t="s">
        <v>1802</v>
      </c>
      <c r="C2737" s="178" t="s">
        <v>4133</v>
      </c>
      <c r="D2737" s="36" t="s">
        <v>1683</v>
      </c>
      <c r="E2737" s="36">
        <v>375267.00000000006</v>
      </c>
      <c r="F2737" s="178" t="s">
        <v>855</v>
      </c>
    </row>
    <row r="2738">
      <c r="A2738" s="250">
        <v>45442.7992022338</v>
      </c>
      <c r="B2738" s="251" t="s">
        <v>3867</v>
      </c>
      <c r="C2738" s="178" t="s">
        <v>4164</v>
      </c>
      <c r="D2738" s="36">
        <v>24099.999999999996</v>
      </c>
      <c r="E2738" s="36" t="s">
        <v>1683</v>
      </c>
      <c r="F2738" s="178" t="s">
        <v>513</v>
      </c>
    </row>
    <row r="2739">
      <c r="A2739" s="250">
        <v>45442.7992022338</v>
      </c>
      <c r="B2739" s="251" t="s">
        <v>1802</v>
      </c>
      <c r="C2739" s="178" t="s">
        <v>4148</v>
      </c>
      <c r="D2739" s="36" t="s">
        <v>1683</v>
      </c>
      <c r="E2739" s="36">
        <v>24099.999999999996</v>
      </c>
      <c r="F2739" s="178" t="s">
        <v>513</v>
      </c>
    </row>
    <row r="2740">
      <c r="A2740" s="250">
        <v>45442.7992122338</v>
      </c>
      <c r="B2740" s="251" t="s">
        <v>3867</v>
      </c>
      <c r="C2740" s="178" t="s">
        <v>4165</v>
      </c>
      <c r="D2740" s="36">
        <v>24099.999999999996</v>
      </c>
      <c r="E2740" s="36" t="s">
        <v>1683</v>
      </c>
      <c r="F2740" s="178" t="s">
        <v>201</v>
      </c>
    </row>
    <row r="2741">
      <c r="A2741" s="250">
        <v>45442.7992122338</v>
      </c>
      <c r="B2741" s="251" t="s">
        <v>1802</v>
      </c>
      <c r="C2741" s="178" t="s">
        <v>4146</v>
      </c>
      <c r="D2741" s="36" t="s">
        <v>1683</v>
      </c>
      <c r="E2741" s="36">
        <v>24099.999999999996</v>
      </c>
      <c r="F2741" s="178" t="s">
        <v>201</v>
      </c>
    </row>
    <row r="2742">
      <c r="A2742" s="250">
        <v>45442.8058753588</v>
      </c>
      <c r="B2742" s="251" t="s">
        <v>3247</v>
      </c>
      <c r="C2742" s="178" t="s">
        <v>4166</v>
      </c>
      <c r="D2742" s="36">
        <v>1322800.0</v>
      </c>
      <c r="E2742" s="36" t="s">
        <v>1683</v>
      </c>
      <c r="F2742" s="178" t="s">
        <v>224</v>
      </c>
    </row>
    <row r="2743">
      <c r="A2743" s="250">
        <v>45442.8058753588</v>
      </c>
      <c r="B2743" s="251" t="s">
        <v>3242</v>
      </c>
      <c r="C2743" s="178" t="s">
        <v>3483</v>
      </c>
      <c r="D2743" s="36" t="s">
        <v>1683</v>
      </c>
      <c r="E2743" s="36">
        <v>1322800.0</v>
      </c>
      <c r="F2743" s="178" t="s">
        <v>224</v>
      </c>
    </row>
    <row r="2744">
      <c r="A2744" s="250">
        <v>45443.80603555556</v>
      </c>
      <c r="B2744" s="251" t="s">
        <v>2316</v>
      </c>
      <c r="C2744" s="178" t="s">
        <v>4167</v>
      </c>
      <c r="D2744" s="36">
        <v>20614.999999999996</v>
      </c>
      <c r="E2744" s="36" t="s">
        <v>1683</v>
      </c>
      <c r="F2744" s="178" t="s">
        <v>673</v>
      </c>
    </row>
    <row r="2745">
      <c r="A2745" s="250">
        <v>45443.80603555556</v>
      </c>
      <c r="B2745" s="251" t="s">
        <v>1698</v>
      </c>
      <c r="C2745" s="178" t="s">
        <v>4135</v>
      </c>
      <c r="D2745" s="36" t="s">
        <v>1683</v>
      </c>
      <c r="E2745" s="36">
        <v>20614.999999999996</v>
      </c>
      <c r="F2745" s="178" t="s">
        <v>673</v>
      </c>
    </row>
    <row r="2746">
      <c r="A2746" s="250">
        <v>45443.80604555555</v>
      </c>
      <c r="B2746" s="251" t="s">
        <v>2499</v>
      </c>
      <c r="C2746" s="178" t="s">
        <v>4168</v>
      </c>
      <c r="D2746" s="36">
        <v>12885.0</v>
      </c>
      <c r="E2746" s="36" t="s">
        <v>1683</v>
      </c>
      <c r="F2746" s="178" t="s">
        <v>673</v>
      </c>
    </row>
    <row r="2747">
      <c r="A2747" s="250">
        <v>45443.80604555555</v>
      </c>
      <c r="B2747" s="251" t="s">
        <v>1698</v>
      </c>
      <c r="C2747" s="178" t="s">
        <v>4137</v>
      </c>
      <c r="D2747" s="36" t="s">
        <v>1683</v>
      </c>
      <c r="E2747" s="36">
        <v>12885.0</v>
      </c>
      <c r="F2747" s="178" t="s">
        <v>673</v>
      </c>
    </row>
    <row r="2748">
      <c r="A2748" s="250">
        <v>45444.01551333333</v>
      </c>
      <c r="B2748" s="251" t="s">
        <v>1693</v>
      </c>
      <c r="C2748" s="178" t="s">
        <v>4169</v>
      </c>
      <c r="D2748" s="36">
        <v>1701000.0</v>
      </c>
      <c r="E2748" s="36" t="s">
        <v>1683</v>
      </c>
      <c r="F2748" s="178" t="s">
        <v>126</v>
      </c>
    </row>
    <row r="2749">
      <c r="A2749" s="250">
        <v>45444.01551333333</v>
      </c>
      <c r="B2749" s="251" t="s">
        <v>1684</v>
      </c>
      <c r="C2749" s="178" t="s">
        <v>4170</v>
      </c>
      <c r="D2749" s="36" t="s">
        <v>1683</v>
      </c>
      <c r="E2749" s="36">
        <v>1701000.0</v>
      </c>
      <c r="F2749" s="178" t="s">
        <v>126</v>
      </c>
    </row>
    <row r="2750">
      <c r="A2750" s="250">
        <v>45444.348496666666</v>
      </c>
      <c r="B2750" s="251" t="s">
        <v>1783</v>
      </c>
      <c r="C2750" s="178" t="s">
        <v>4171</v>
      </c>
      <c r="D2750" s="36">
        <v>141500.0</v>
      </c>
      <c r="E2750" s="36" t="s">
        <v>1683</v>
      </c>
      <c r="F2750" s="178" t="s">
        <v>865</v>
      </c>
    </row>
    <row r="2751">
      <c r="A2751" s="250">
        <v>45444.348496666666</v>
      </c>
      <c r="B2751" s="251" t="s">
        <v>1684</v>
      </c>
      <c r="C2751" s="178" t="s">
        <v>4172</v>
      </c>
      <c r="D2751" s="36" t="s">
        <v>1683</v>
      </c>
      <c r="E2751" s="36">
        <v>141500.0</v>
      </c>
      <c r="F2751" s="178" t="s">
        <v>865</v>
      </c>
    </row>
    <row r="2752">
      <c r="A2752" s="250">
        <v>45444.38912888889</v>
      </c>
      <c r="B2752" s="251" t="s">
        <v>1783</v>
      </c>
      <c r="C2752" s="178" t="s">
        <v>4173</v>
      </c>
      <c r="D2752" s="36">
        <v>567538.0</v>
      </c>
      <c r="E2752" s="36" t="s">
        <v>1683</v>
      </c>
      <c r="F2752" s="178" t="s">
        <v>740</v>
      </c>
    </row>
    <row r="2753">
      <c r="A2753" s="250">
        <v>45444.38912888889</v>
      </c>
      <c r="B2753" s="251" t="s">
        <v>1684</v>
      </c>
      <c r="C2753" s="178" t="s">
        <v>4174</v>
      </c>
      <c r="D2753" s="36" t="s">
        <v>1683</v>
      </c>
      <c r="E2753" s="36">
        <v>567538.0</v>
      </c>
      <c r="F2753" s="178" t="s">
        <v>740</v>
      </c>
    </row>
    <row r="2754">
      <c r="A2754" s="250">
        <v>45444.41728666666</v>
      </c>
      <c r="B2754" s="251" t="s">
        <v>3398</v>
      </c>
      <c r="C2754" s="178" t="s">
        <v>4175</v>
      </c>
      <c r="D2754" s="36">
        <v>30280.2</v>
      </c>
      <c r="E2754" s="36" t="s">
        <v>1683</v>
      </c>
      <c r="F2754" s="178" t="s">
        <v>1683</v>
      </c>
    </row>
    <row r="2755">
      <c r="A2755" s="250">
        <v>45444.41728666666</v>
      </c>
      <c r="B2755" s="251" t="s">
        <v>4176</v>
      </c>
      <c r="C2755" s="178" t="s">
        <v>4177</v>
      </c>
      <c r="D2755" s="36" t="s">
        <v>1683</v>
      </c>
      <c r="E2755" s="36">
        <v>30280.2</v>
      </c>
      <c r="F2755" s="178" t="s">
        <v>1683</v>
      </c>
    </row>
    <row r="2756">
      <c r="A2756" s="250">
        <v>45444.41759111111</v>
      </c>
      <c r="B2756" s="251" t="s">
        <v>1783</v>
      </c>
      <c r="C2756" s="178" t="s">
        <v>4178</v>
      </c>
      <c r="D2756" s="36">
        <v>175125.0</v>
      </c>
      <c r="E2756" s="36" t="s">
        <v>1683</v>
      </c>
      <c r="F2756" s="178" t="s">
        <v>739</v>
      </c>
    </row>
    <row r="2757">
      <c r="A2757" s="250">
        <v>45444.41759111111</v>
      </c>
      <c r="B2757" s="251" t="s">
        <v>1684</v>
      </c>
      <c r="C2757" s="178" t="s">
        <v>4179</v>
      </c>
      <c r="D2757" s="36" t="s">
        <v>1683</v>
      </c>
      <c r="E2757" s="36">
        <v>175125.0</v>
      </c>
      <c r="F2757" s="178" t="s">
        <v>739</v>
      </c>
    </row>
    <row r="2758">
      <c r="A2758" s="250">
        <v>45444.42174777778</v>
      </c>
      <c r="B2758" s="251" t="s">
        <v>1783</v>
      </c>
      <c r="C2758" s="178" t="s">
        <v>4180</v>
      </c>
      <c r="D2758" s="36">
        <v>175125.0</v>
      </c>
      <c r="E2758" s="36" t="s">
        <v>1683</v>
      </c>
      <c r="F2758" s="178" t="s">
        <v>738</v>
      </c>
    </row>
    <row r="2759">
      <c r="A2759" s="250">
        <v>45444.42174777778</v>
      </c>
      <c r="B2759" s="251" t="s">
        <v>1684</v>
      </c>
      <c r="C2759" s="178" t="s">
        <v>4181</v>
      </c>
      <c r="D2759" s="36" t="s">
        <v>1683</v>
      </c>
      <c r="E2759" s="36">
        <v>175125.0</v>
      </c>
      <c r="F2759" s="178" t="s">
        <v>738</v>
      </c>
    </row>
    <row r="2760">
      <c r="A2760" s="250">
        <v>45445.843295555555</v>
      </c>
      <c r="B2760" s="251" t="s">
        <v>3930</v>
      </c>
      <c r="C2760" s="178" t="s">
        <v>4182</v>
      </c>
      <c r="D2760" s="36">
        <v>567538.0</v>
      </c>
      <c r="E2760" s="36" t="s">
        <v>1683</v>
      </c>
      <c r="F2760" s="178" t="s">
        <v>740</v>
      </c>
    </row>
    <row r="2761">
      <c r="A2761" s="250">
        <v>45445.843295555555</v>
      </c>
      <c r="B2761" s="251" t="s">
        <v>1802</v>
      </c>
      <c r="C2761" s="178" t="s">
        <v>4173</v>
      </c>
      <c r="D2761" s="36" t="s">
        <v>1683</v>
      </c>
      <c r="E2761" s="36">
        <v>567538.0</v>
      </c>
      <c r="F2761" s="178" t="s">
        <v>740</v>
      </c>
    </row>
    <row r="2762">
      <c r="A2762" s="250">
        <v>45445.84363555555</v>
      </c>
      <c r="B2762" s="251" t="s">
        <v>3543</v>
      </c>
      <c r="C2762" s="178" t="s">
        <v>4183</v>
      </c>
      <c r="D2762" s="36">
        <v>141500.0</v>
      </c>
      <c r="E2762" s="36" t="s">
        <v>1683</v>
      </c>
      <c r="F2762" s="178" t="s">
        <v>865</v>
      </c>
    </row>
    <row r="2763">
      <c r="A2763" s="250">
        <v>45445.84363555555</v>
      </c>
      <c r="B2763" s="251" t="s">
        <v>1802</v>
      </c>
      <c r="C2763" s="178" t="s">
        <v>4171</v>
      </c>
      <c r="D2763" s="36" t="s">
        <v>1683</v>
      </c>
      <c r="E2763" s="36">
        <v>141500.0</v>
      </c>
      <c r="F2763" s="178" t="s">
        <v>865</v>
      </c>
    </row>
    <row r="2764">
      <c r="A2764" s="250">
        <v>45445.86133666667</v>
      </c>
      <c r="B2764" s="251" t="s">
        <v>1693</v>
      </c>
      <c r="C2764" s="178" t="s">
        <v>4184</v>
      </c>
      <c r="D2764" s="36">
        <v>43000.0</v>
      </c>
      <c r="E2764" s="36" t="s">
        <v>1683</v>
      </c>
      <c r="F2764" s="178" t="s">
        <v>125</v>
      </c>
    </row>
    <row r="2765">
      <c r="A2765" s="250">
        <v>45445.86133666667</v>
      </c>
      <c r="B2765" s="251" t="s">
        <v>1684</v>
      </c>
      <c r="C2765" s="178" t="s">
        <v>4185</v>
      </c>
      <c r="D2765" s="36" t="s">
        <v>1683</v>
      </c>
      <c r="E2765" s="36">
        <v>43000.0</v>
      </c>
      <c r="F2765" s="178" t="s">
        <v>125</v>
      </c>
    </row>
    <row r="2766">
      <c r="A2766" s="250">
        <v>45446.416886666666</v>
      </c>
      <c r="B2766" s="251" t="s">
        <v>3930</v>
      </c>
      <c r="C2766" s="178" t="s">
        <v>4186</v>
      </c>
      <c r="D2766" s="36">
        <v>175125.0</v>
      </c>
      <c r="E2766" s="36" t="s">
        <v>1683</v>
      </c>
      <c r="F2766" s="178" t="s">
        <v>738</v>
      </c>
    </row>
    <row r="2767">
      <c r="A2767" s="250">
        <v>45446.416886666666</v>
      </c>
      <c r="B2767" s="251" t="s">
        <v>1802</v>
      </c>
      <c r="C2767" s="178" t="s">
        <v>4180</v>
      </c>
      <c r="D2767" s="36" t="s">
        <v>1683</v>
      </c>
      <c r="E2767" s="36">
        <v>175125.0</v>
      </c>
      <c r="F2767" s="178" t="s">
        <v>738</v>
      </c>
    </row>
    <row r="2768">
      <c r="A2768" s="250">
        <v>45446.41689666666</v>
      </c>
      <c r="B2768" s="251" t="s">
        <v>3930</v>
      </c>
      <c r="C2768" s="178" t="s">
        <v>4187</v>
      </c>
      <c r="D2768" s="36">
        <v>175125.0</v>
      </c>
      <c r="E2768" s="36" t="s">
        <v>1683</v>
      </c>
      <c r="F2768" s="178" t="s">
        <v>739</v>
      </c>
    </row>
    <row r="2769">
      <c r="A2769" s="250">
        <v>45446.41689666666</v>
      </c>
      <c r="B2769" s="251" t="s">
        <v>1802</v>
      </c>
      <c r="C2769" s="178" t="s">
        <v>4178</v>
      </c>
      <c r="D2769" s="36" t="s">
        <v>1683</v>
      </c>
      <c r="E2769" s="36">
        <v>175125.0</v>
      </c>
      <c r="F2769" s="178" t="s">
        <v>739</v>
      </c>
    </row>
    <row r="2770">
      <c r="A2770" s="250">
        <v>45446.99813222222</v>
      </c>
      <c r="B2770" s="251" t="s">
        <v>1693</v>
      </c>
      <c r="C2770" s="178" t="s">
        <v>4188</v>
      </c>
      <c r="D2770" s="36">
        <v>1657000.0</v>
      </c>
      <c r="E2770" s="36" t="s">
        <v>1683</v>
      </c>
      <c r="F2770" s="178" t="s">
        <v>123</v>
      </c>
    </row>
    <row r="2771">
      <c r="A2771" s="250">
        <v>45446.99813222222</v>
      </c>
      <c r="B2771" s="251" t="s">
        <v>1684</v>
      </c>
      <c r="C2771" s="178" t="s">
        <v>4189</v>
      </c>
      <c r="D2771" s="36" t="s">
        <v>1683</v>
      </c>
      <c r="E2771" s="36">
        <v>1657000.0</v>
      </c>
      <c r="F2771" s="178" t="s">
        <v>123</v>
      </c>
    </row>
    <row r="2772">
      <c r="A2772" s="250">
        <v>45447.834253333334</v>
      </c>
      <c r="B2772" s="251" t="s">
        <v>3017</v>
      </c>
      <c r="C2772" s="178" t="s">
        <v>4190</v>
      </c>
      <c r="D2772" s="36">
        <v>43000.0</v>
      </c>
      <c r="E2772" s="36" t="s">
        <v>1683</v>
      </c>
      <c r="F2772" s="178" t="s">
        <v>125</v>
      </c>
    </row>
    <row r="2773">
      <c r="A2773" s="250">
        <v>45447.834253333334</v>
      </c>
      <c r="B2773" s="251" t="s">
        <v>1698</v>
      </c>
      <c r="C2773" s="178" t="s">
        <v>4184</v>
      </c>
      <c r="D2773" s="36" t="s">
        <v>1683</v>
      </c>
      <c r="E2773" s="36">
        <v>43000.0</v>
      </c>
      <c r="F2773" s="178" t="s">
        <v>125</v>
      </c>
    </row>
    <row r="2774">
      <c r="A2774" s="250">
        <v>45448.58951417824</v>
      </c>
      <c r="B2774" s="251" t="s">
        <v>3017</v>
      </c>
      <c r="C2774" s="178" t="s">
        <v>4191</v>
      </c>
      <c r="D2774" s="36">
        <v>1657000.0</v>
      </c>
      <c r="E2774" s="36" t="s">
        <v>1683</v>
      </c>
      <c r="F2774" s="178" t="s">
        <v>123</v>
      </c>
    </row>
    <row r="2775">
      <c r="A2775" s="250">
        <v>45448.58951417824</v>
      </c>
      <c r="B2775" s="251" t="s">
        <v>1698</v>
      </c>
      <c r="C2775" s="178" t="s">
        <v>4188</v>
      </c>
      <c r="D2775" s="36" t="s">
        <v>1683</v>
      </c>
      <c r="E2775" s="36">
        <v>1657000.0</v>
      </c>
      <c r="F2775" s="178" t="s">
        <v>123</v>
      </c>
    </row>
    <row r="2776">
      <c r="A2776" s="250">
        <v>45449.334882222225</v>
      </c>
      <c r="B2776" s="251" t="s">
        <v>1783</v>
      </c>
      <c r="C2776" s="178" t="s">
        <v>4192</v>
      </c>
      <c r="D2776" s="36">
        <v>51000.0</v>
      </c>
      <c r="E2776" s="36" t="s">
        <v>1683</v>
      </c>
      <c r="F2776" s="178" t="s">
        <v>924</v>
      </c>
    </row>
    <row r="2777">
      <c r="A2777" s="250">
        <v>45449.334882222225</v>
      </c>
      <c r="B2777" s="251" t="s">
        <v>1684</v>
      </c>
      <c r="C2777" s="178" t="s">
        <v>4193</v>
      </c>
      <c r="D2777" s="36" t="s">
        <v>1683</v>
      </c>
      <c r="E2777" s="36">
        <v>51000.0</v>
      </c>
      <c r="F2777" s="178" t="s">
        <v>924</v>
      </c>
    </row>
    <row r="2778">
      <c r="A2778" s="250">
        <v>45449.33807</v>
      </c>
      <c r="B2778" s="251" t="s">
        <v>1783</v>
      </c>
      <c r="C2778" s="178" t="s">
        <v>4194</v>
      </c>
      <c r="D2778" s="36">
        <v>40000.0</v>
      </c>
      <c r="E2778" s="36" t="s">
        <v>1683</v>
      </c>
      <c r="F2778" s="178" t="s">
        <v>864</v>
      </c>
    </row>
    <row r="2779">
      <c r="A2779" s="250">
        <v>45449.33807</v>
      </c>
      <c r="B2779" s="251" t="s">
        <v>1684</v>
      </c>
      <c r="C2779" s="178" t="s">
        <v>4195</v>
      </c>
      <c r="D2779" s="36" t="s">
        <v>1683</v>
      </c>
      <c r="E2779" s="36">
        <v>40000.0</v>
      </c>
      <c r="F2779" s="178" t="s">
        <v>864</v>
      </c>
    </row>
    <row r="2780">
      <c r="A2780" s="250">
        <v>45449.35008</v>
      </c>
      <c r="B2780" s="251" t="s">
        <v>1783</v>
      </c>
      <c r="C2780" s="178" t="s">
        <v>4196</v>
      </c>
      <c r="D2780" s="36">
        <v>76585.0</v>
      </c>
      <c r="E2780" s="36" t="s">
        <v>1683</v>
      </c>
      <c r="F2780" s="178" t="s">
        <v>617</v>
      </c>
    </row>
    <row r="2781">
      <c r="A2781" s="250">
        <v>45449.35008</v>
      </c>
      <c r="B2781" s="251" t="s">
        <v>1684</v>
      </c>
      <c r="C2781" s="178" t="s">
        <v>4197</v>
      </c>
      <c r="D2781" s="36" t="s">
        <v>1683</v>
      </c>
      <c r="E2781" s="36">
        <v>76585.0</v>
      </c>
      <c r="F2781" s="178" t="s">
        <v>617</v>
      </c>
    </row>
    <row r="2782">
      <c r="A2782" s="250">
        <v>45449.35021</v>
      </c>
      <c r="B2782" s="251" t="s">
        <v>1783</v>
      </c>
      <c r="C2782" s="178" t="s">
        <v>4198</v>
      </c>
      <c r="D2782" s="36">
        <v>543035.0000000001</v>
      </c>
      <c r="E2782" s="36" t="s">
        <v>1683</v>
      </c>
      <c r="F2782" s="178" t="s">
        <v>737</v>
      </c>
    </row>
    <row r="2783">
      <c r="A2783" s="250">
        <v>45449.35021</v>
      </c>
      <c r="B2783" s="251" t="s">
        <v>1684</v>
      </c>
      <c r="C2783" s="178" t="s">
        <v>4199</v>
      </c>
      <c r="D2783" s="36" t="s">
        <v>1683</v>
      </c>
      <c r="E2783" s="36">
        <v>543035.0000000001</v>
      </c>
      <c r="F2783" s="178" t="s">
        <v>737</v>
      </c>
    </row>
    <row r="2784">
      <c r="A2784" s="250">
        <v>45449.35079</v>
      </c>
      <c r="B2784" s="251" t="s">
        <v>1783</v>
      </c>
      <c r="C2784" s="178" t="s">
        <v>4200</v>
      </c>
      <c r="D2784" s="36">
        <v>214438.99999999997</v>
      </c>
      <c r="E2784" s="36" t="s">
        <v>1683</v>
      </c>
      <c r="F2784" s="178" t="s">
        <v>603</v>
      </c>
    </row>
    <row r="2785">
      <c r="A2785" s="250">
        <v>45449.35079</v>
      </c>
      <c r="B2785" s="251" t="s">
        <v>1684</v>
      </c>
      <c r="C2785" s="178" t="s">
        <v>4201</v>
      </c>
      <c r="D2785" s="36" t="s">
        <v>1683</v>
      </c>
      <c r="E2785" s="36">
        <v>214438.99999999997</v>
      </c>
      <c r="F2785" s="178" t="s">
        <v>603</v>
      </c>
    </row>
    <row r="2786">
      <c r="A2786" s="250">
        <v>45449.350959999996</v>
      </c>
      <c r="B2786" s="251" t="s">
        <v>1783</v>
      </c>
      <c r="C2786" s="178" t="s">
        <v>4202</v>
      </c>
      <c r="D2786" s="36">
        <v>63070.00000000001</v>
      </c>
      <c r="E2786" s="36" t="s">
        <v>1683</v>
      </c>
      <c r="F2786" s="178" t="s">
        <v>617</v>
      </c>
    </row>
    <row r="2787">
      <c r="A2787" s="250">
        <v>45449.350959999996</v>
      </c>
      <c r="B2787" s="251" t="s">
        <v>1684</v>
      </c>
      <c r="C2787" s="178" t="s">
        <v>4203</v>
      </c>
      <c r="D2787" s="36" t="s">
        <v>1683</v>
      </c>
      <c r="E2787" s="36">
        <v>63070.00000000001</v>
      </c>
      <c r="F2787" s="178" t="s">
        <v>617</v>
      </c>
    </row>
    <row r="2788">
      <c r="A2788" s="250">
        <v>45449.82518555556</v>
      </c>
      <c r="B2788" s="251" t="s">
        <v>1783</v>
      </c>
      <c r="C2788" s="178" t="s">
        <v>4204</v>
      </c>
      <c r="D2788" s="36">
        <v>807837.0</v>
      </c>
      <c r="E2788" s="36" t="s">
        <v>1683</v>
      </c>
      <c r="F2788" s="178" t="s">
        <v>425</v>
      </c>
    </row>
    <row r="2789">
      <c r="A2789" s="250">
        <v>45449.82518555556</v>
      </c>
      <c r="B2789" s="251" t="s">
        <v>1684</v>
      </c>
      <c r="C2789" s="178" t="s">
        <v>4205</v>
      </c>
      <c r="D2789" s="36" t="s">
        <v>1683</v>
      </c>
      <c r="E2789" s="36">
        <v>807837.0</v>
      </c>
      <c r="F2789" s="178" t="s">
        <v>425</v>
      </c>
    </row>
    <row r="2790">
      <c r="A2790" s="250">
        <v>45449.91861555556</v>
      </c>
      <c r="B2790" s="251" t="s">
        <v>1693</v>
      </c>
      <c r="C2790" s="178" t="s">
        <v>4206</v>
      </c>
      <c r="D2790" s="36">
        <v>183500.0</v>
      </c>
      <c r="E2790" s="36" t="s">
        <v>1683</v>
      </c>
      <c r="F2790" s="178" t="s">
        <v>862</v>
      </c>
    </row>
    <row r="2791">
      <c r="A2791" s="250">
        <v>45449.91861555556</v>
      </c>
      <c r="B2791" s="251" t="s">
        <v>1684</v>
      </c>
      <c r="C2791" s="178" t="s">
        <v>4207</v>
      </c>
      <c r="D2791" s="36" t="s">
        <v>1683</v>
      </c>
      <c r="E2791" s="36">
        <v>183500.0</v>
      </c>
      <c r="F2791" s="178" t="s">
        <v>862</v>
      </c>
    </row>
    <row r="2792">
      <c r="A2792" s="250">
        <v>45450.29193666666</v>
      </c>
      <c r="B2792" s="251" t="s">
        <v>3006</v>
      </c>
      <c r="C2792" s="178" t="s">
        <v>4208</v>
      </c>
      <c r="D2792" s="36">
        <v>1036637.0000000001</v>
      </c>
      <c r="E2792" s="36" t="s">
        <v>1683</v>
      </c>
      <c r="F2792" s="178" t="s">
        <v>104</v>
      </c>
    </row>
    <row r="2793">
      <c r="A2793" s="250">
        <v>45450.29193666666</v>
      </c>
      <c r="B2793" s="251" t="s">
        <v>1684</v>
      </c>
      <c r="C2793" s="178" t="s">
        <v>4209</v>
      </c>
      <c r="D2793" s="36" t="s">
        <v>1683</v>
      </c>
      <c r="E2793" s="36">
        <v>1036637.0000000001</v>
      </c>
      <c r="F2793" s="178" t="s">
        <v>104</v>
      </c>
    </row>
    <row r="2794">
      <c r="A2794" s="250">
        <v>45450.29256666666</v>
      </c>
      <c r="B2794" s="251" t="s">
        <v>3006</v>
      </c>
      <c r="C2794" s="178" t="s">
        <v>4210</v>
      </c>
      <c r="D2794" s="36">
        <v>1104875.0</v>
      </c>
      <c r="E2794" s="36" t="s">
        <v>1683</v>
      </c>
      <c r="F2794" s="178" t="s">
        <v>104</v>
      </c>
    </row>
    <row r="2795">
      <c r="A2795" s="250">
        <v>45450.29256666666</v>
      </c>
      <c r="B2795" s="251" t="s">
        <v>1684</v>
      </c>
      <c r="C2795" s="178" t="s">
        <v>4211</v>
      </c>
      <c r="D2795" s="36" t="s">
        <v>1683</v>
      </c>
      <c r="E2795" s="36">
        <v>1104875.0</v>
      </c>
      <c r="F2795" s="178" t="s">
        <v>104</v>
      </c>
    </row>
    <row r="2796">
      <c r="A2796" s="250">
        <v>45450.450080138886</v>
      </c>
      <c r="B2796" s="251" t="s">
        <v>3020</v>
      </c>
      <c r="C2796" s="178" t="s">
        <v>4212</v>
      </c>
      <c r="D2796" s="36">
        <v>1036637.0000000001</v>
      </c>
      <c r="E2796" s="36" t="s">
        <v>1683</v>
      </c>
      <c r="F2796" s="178" t="s">
        <v>104</v>
      </c>
    </row>
    <row r="2797">
      <c r="A2797" s="250">
        <v>45450.450080138886</v>
      </c>
      <c r="B2797" s="251" t="s">
        <v>3019</v>
      </c>
      <c r="C2797" s="178" t="s">
        <v>4208</v>
      </c>
      <c r="D2797" s="36" t="s">
        <v>1683</v>
      </c>
      <c r="E2797" s="36">
        <v>1036637.0000000001</v>
      </c>
      <c r="F2797" s="178" t="s">
        <v>104</v>
      </c>
    </row>
    <row r="2798">
      <c r="A2798" s="250">
        <v>45450.45071013889</v>
      </c>
      <c r="B2798" s="251" t="s">
        <v>3017</v>
      </c>
      <c r="C2798" s="178" t="s">
        <v>4213</v>
      </c>
      <c r="D2798" s="36">
        <v>1104875.0</v>
      </c>
      <c r="E2798" s="36" t="s">
        <v>1683</v>
      </c>
      <c r="F2798" s="178" t="s">
        <v>104</v>
      </c>
    </row>
    <row r="2799">
      <c r="A2799" s="250">
        <v>45450.45071013889</v>
      </c>
      <c r="B2799" s="251" t="s">
        <v>3019</v>
      </c>
      <c r="C2799" s="178" t="s">
        <v>4210</v>
      </c>
      <c r="D2799" s="36" t="s">
        <v>1683</v>
      </c>
      <c r="E2799" s="36">
        <v>1104875.0</v>
      </c>
      <c r="F2799" s="178" t="s">
        <v>104</v>
      </c>
    </row>
    <row r="2800">
      <c r="A2800" s="250">
        <v>45450.519680000005</v>
      </c>
      <c r="B2800" s="251" t="s">
        <v>3017</v>
      </c>
      <c r="C2800" s="178" t="s">
        <v>4214</v>
      </c>
      <c r="D2800" s="36">
        <v>1701000.0</v>
      </c>
      <c r="E2800" s="36" t="s">
        <v>1683</v>
      </c>
      <c r="F2800" s="178" t="s">
        <v>126</v>
      </c>
    </row>
    <row r="2801">
      <c r="A2801" s="250">
        <v>45450.519680000005</v>
      </c>
      <c r="B2801" s="251" t="s">
        <v>1698</v>
      </c>
      <c r="C2801" s="178" t="s">
        <v>4169</v>
      </c>
      <c r="D2801" s="36" t="s">
        <v>1683</v>
      </c>
      <c r="E2801" s="36">
        <v>1701000.0</v>
      </c>
      <c r="F2801" s="178" t="s">
        <v>126</v>
      </c>
    </row>
    <row r="2802">
      <c r="A2802" s="250">
        <v>45450.54174666666</v>
      </c>
      <c r="B2802" s="251" t="s">
        <v>4002</v>
      </c>
      <c r="C2802" s="178" t="s">
        <v>4215</v>
      </c>
      <c r="D2802" s="36">
        <v>76585.0</v>
      </c>
      <c r="E2802" s="36" t="s">
        <v>1683</v>
      </c>
      <c r="F2802" s="178" t="s">
        <v>617</v>
      </c>
    </row>
    <row r="2803">
      <c r="A2803" s="250">
        <v>45450.54174666666</v>
      </c>
      <c r="B2803" s="251" t="s">
        <v>1802</v>
      </c>
      <c r="C2803" s="178" t="s">
        <v>4196</v>
      </c>
      <c r="D2803" s="36" t="s">
        <v>1683</v>
      </c>
      <c r="E2803" s="36">
        <v>76585.0</v>
      </c>
      <c r="F2803" s="178" t="s">
        <v>617</v>
      </c>
    </row>
    <row r="2804">
      <c r="A2804" s="250">
        <v>45450.54262666666</v>
      </c>
      <c r="B2804" s="251" t="s">
        <v>4216</v>
      </c>
      <c r="C2804" s="178" t="s">
        <v>4217</v>
      </c>
      <c r="D2804" s="36">
        <v>63070.00000000001</v>
      </c>
      <c r="E2804" s="36" t="s">
        <v>1683</v>
      </c>
      <c r="F2804" s="178" t="s">
        <v>617</v>
      </c>
    </row>
    <row r="2805">
      <c r="A2805" s="250">
        <v>45450.54262666666</v>
      </c>
      <c r="B2805" s="251" t="s">
        <v>1802</v>
      </c>
      <c r="C2805" s="178" t="s">
        <v>4202</v>
      </c>
      <c r="D2805" s="36" t="s">
        <v>1683</v>
      </c>
      <c r="E2805" s="36">
        <v>63070.00000000001</v>
      </c>
      <c r="F2805" s="178" t="s">
        <v>617</v>
      </c>
    </row>
    <row r="2806">
      <c r="A2806" s="250">
        <v>45451.41723666666</v>
      </c>
      <c r="B2806" s="251" t="s">
        <v>3543</v>
      </c>
      <c r="C2806" s="178" t="s">
        <v>4218</v>
      </c>
      <c r="D2806" s="36">
        <v>40000.0</v>
      </c>
      <c r="E2806" s="36" t="s">
        <v>1683</v>
      </c>
      <c r="F2806" s="178" t="s">
        <v>864</v>
      </c>
    </row>
    <row r="2807">
      <c r="A2807" s="250">
        <v>45451.41723666666</v>
      </c>
      <c r="B2807" s="251" t="s">
        <v>1802</v>
      </c>
      <c r="C2807" s="178" t="s">
        <v>4194</v>
      </c>
      <c r="D2807" s="36" t="s">
        <v>1683</v>
      </c>
      <c r="E2807" s="36">
        <v>40000.0</v>
      </c>
      <c r="F2807" s="178" t="s">
        <v>864</v>
      </c>
    </row>
    <row r="2808">
      <c r="A2808" s="250">
        <v>45451.54182666667</v>
      </c>
      <c r="B2808" s="251" t="s">
        <v>2497</v>
      </c>
      <c r="C2808" s="178" t="s">
        <v>4219</v>
      </c>
      <c r="D2808" s="36">
        <v>51000.0</v>
      </c>
      <c r="E2808" s="36" t="s">
        <v>1683</v>
      </c>
      <c r="F2808" s="178" t="s">
        <v>924</v>
      </c>
    </row>
    <row r="2809">
      <c r="A2809" s="250">
        <v>45451.54182666667</v>
      </c>
      <c r="B2809" s="251" t="s">
        <v>1802</v>
      </c>
      <c r="C2809" s="178" t="s">
        <v>4192</v>
      </c>
      <c r="D2809" s="36" t="s">
        <v>1683</v>
      </c>
      <c r="E2809" s="36">
        <v>51000.0</v>
      </c>
      <c r="F2809" s="178" t="s">
        <v>924</v>
      </c>
    </row>
    <row r="2810">
      <c r="A2810" s="250">
        <v>45451.62176928241</v>
      </c>
      <c r="B2810" s="251" t="s">
        <v>1990</v>
      </c>
      <c r="C2810" s="178" t="s">
        <v>4220</v>
      </c>
      <c r="D2810" s="36">
        <v>427.934782608696</v>
      </c>
      <c r="E2810" s="36" t="s">
        <v>1683</v>
      </c>
      <c r="F2810" s="178" t="s">
        <v>1683</v>
      </c>
    </row>
    <row r="2811">
      <c r="A2811" s="250">
        <v>45451.62176928241</v>
      </c>
      <c r="B2811" s="251" t="s">
        <v>1992</v>
      </c>
      <c r="C2811" s="178" t="s">
        <v>4221</v>
      </c>
      <c r="D2811" s="36" t="s">
        <v>1683</v>
      </c>
      <c r="E2811" s="36">
        <v>427.934782608696</v>
      </c>
      <c r="F2811" s="178" t="s">
        <v>1683</v>
      </c>
    </row>
    <row r="2812">
      <c r="A2812" s="250">
        <v>45451.62233491898</v>
      </c>
      <c r="B2812" s="251" t="s">
        <v>1990</v>
      </c>
      <c r="C2812" s="178" t="s">
        <v>4222</v>
      </c>
      <c r="D2812" s="36">
        <v>14977.71739130436</v>
      </c>
      <c r="E2812" s="36" t="s">
        <v>1683</v>
      </c>
      <c r="F2812" s="178" t="s">
        <v>1683</v>
      </c>
    </row>
    <row r="2813">
      <c r="A2813" s="250">
        <v>45451.62233491898</v>
      </c>
      <c r="B2813" s="251" t="s">
        <v>1992</v>
      </c>
      <c r="C2813" s="178" t="s">
        <v>4223</v>
      </c>
      <c r="D2813" s="36" t="s">
        <v>1683</v>
      </c>
      <c r="E2813" s="36">
        <v>14977.71739130436</v>
      </c>
      <c r="F2813" s="178" t="s">
        <v>1683</v>
      </c>
    </row>
    <row r="2814">
      <c r="A2814" s="250">
        <v>45451.623134560185</v>
      </c>
      <c r="B2814" s="251" t="s">
        <v>3020</v>
      </c>
      <c r="C2814" s="178" t="s">
        <v>4224</v>
      </c>
      <c r="D2814" s="36">
        <v>240752.35555555584</v>
      </c>
      <c r="E2814" s="36" t="s">
        <v>1683</v>
      </c>
      <c r="F2814" s="178" t="s">
        <v>1683</v>
      </c>
    </row>
    <row r="2815">
      <c r="A2815" s="250">
        <v>45451.623134560185</v>
      </c>
      <c r="B2815" s="251" t="s">
        <v>4225</v>
      </c>
      <c r="C2815" s="178" t="s">
        <v>4226</v>
      </c>
      <c r="D2815" s="36" t="s">
        <v>1683</v>
      </c>
      <c r="E2815" s="36">
        <v>240752.35555555584</v>
      </c>
      <c r="F2815" s="178" t="s">
        <v>1683</v>
      </c>
    </row>
    <row r="2816">
      <c r="A2816" s="250">
        <v>45451.62965275463</v>
      </c>
      <c r="B2816" s="251" t="s">
        <v>3017</v>
      </c>
      <c r="C2816" s="178" t="s">
        <v>4227</v>
      </c>
      <c r="D2816" s="36">
        <v>18808.7619047619</v>
      </c>
      <c r="E2816" s="36" t="s">
        <v>1683</v>
      </c>
      <c r="F2816" s="178" t="s">
        <v>1683</v>
      </c>
    </row>
    <row r="2817">
      <c r="A2817" s="250">
        <v>45451.62965275463</v>
      </c>
      <c r="B2817" s="251" t="s">
        <v>4228</v>
      </c>
      <c r="C2817" s="178" t="s">
        <v>4229</v>
      </c>
      <c r="D2817" s="36" t="s">
        <v>1683</v>
      </c>
      <c r="E2817" s="36">
        <v>18808.7619047619</v>
      </c>
      <c r="F2817" s="178" t="s">
        <v>1683</v>
      </c>
    </row>
    <row r="2818">
      <c r="A2818" s="250">
        <v>45451.64437077546</v>
      </c>
      <c r="B2818" s="251" t="s">
        <v>3156</v>
      </c>
      <c r="C2818" s="178" t="s">
        <v>4230</v>
      </c>
      <c r="D2818" s="36">
        <v>41379.27619047618</v>
      </c>
      <c r="E2818" s="36" t="s">
        <v>1683</v>
      </c>
      <c r="F2818" s="178" t="s">
        <v>1683</v>
      </c>
    </row>
    <row r="2819">
      <c r="A2819" s="250">
        <v>45451.64437077546</v>
      </c>
      <c r="B2819" s="251" t="s">
        <v>3158</v>
      </c>
      <c r="C2819" s="178" t="s">
        <v>4231</v>
      </c>
      <c r="D2819" s="36" t="s">
        <v>1683</v>
      </c>
      <c r="E2819" s="36">
        <v>41379.27619047618</v>
      </c>
      <c r="F2819" s="178" t="s">
        <v>1683</v>
      </c>
    </row>
    <row r="2820">
      <c r="A2820" s="250">
        <v>45451.85788888889</v>
      </c>
      <c r="B2820" s="251" t="s">
        <v>1783</v>
      </c>
      <c r="C2820" s="178" t="s">
        <v>4232</v>
      </c>
      <c r="D2820" s="36">
        <v>148000.0</v>
      </c>
      <c r="E2820" s="36" t="s">
        <v>1683</v>
      </c>
      <c r="F2820" s="178" t="s">
        <v>469</v>
      </c>
    </row>
    <row r="2821">
      <c r="A2821" s="250">
        <v>45451.85788888889</v>
      </c>
      <c r="B2821" s="251" t="s">
        <v>1684</v>
      </c>
      <c r="C2821" s="178" t="s">
        <v>4233</v>
      </c>
      <c r="D2821" s="36" t="s">
        <v>1683</v>
      </c>
      <c r="E2821" s="36">
        <v>148000.0</v>
      </c>
      <c r="F2821" s="178" t="s">
        <v>469</v>
      </c>
    </row>
    <row r="2822">
      <c r="A2822" s="250">
        <v>45452.416532222225</v>
      </c>
      <c r="B2822" s="251" t="s">
        <v>3543</v>
      </c>
      <c r="C2822" s="178" t="s">
        <v>4234</v>
      </c>
      <c r="D2822" s="36">
        <v>183500.0</v>
      </c>
      <c r="E2822" s="36" t="s">
        <v>1683</v>
      </c>
      <c r="F2822" s="178" t="s">
        <v>862</v>
      </c>
    </row>
    <row r="2823">
      <c r="A2823" s="250">
        <v>45452.416532222225</v>
      </c>
      <c r="B2823" s="251" t="s">
        <v>1698</v>
      </c>
      <c r="C2823" s="178" t="s">
        <v>4206</v>
      </c>
      <c r="D2823" s="36" t="s">
        <v>1683</v>
      </c>
      <c r="E2823" s="36">
        <v>183500.0</v>
      </c>
      <c r="F2823" s="178" t="s">
        <v>862</v>
      </c>
    </row>
    <row r="2824">
      <c r="A2824" s="250">
        <v>45452.43282444444</v>
      </c>
      <c r="B2824" s="251" t="s">
        <v>1844</v>
      </c>
      <c r="C2824" s="178" t="s">
        <v>4235</v>
      </c>
      <c r="D2824" s="36">
        <v>807837.0</v>
      </c>
      <c r="E2824" s="36" t="s">
        <v>1683</v>
      </c>
      <c r="F2824" s="178" t="s">
        <v>425</v>
      </c>
    </row>
    <row r="2825">
      <c r="A2825" s="250">
        <v>45452.43282444444</v>
      </c>
      <c r="B2825" s="251" t="s">
        <v>1802</v>
      </c>
      <c r="C2825" s="178" t="s">
        <v>4204</v>
      </c>
      <c r="D2825" s="36" t="s">
        <v>1683</v>
      </c>
      <c r="E2825" s="36">
        <v>807837.0</v>
      </c>
      <c r="F2825" s="178" t="s">
        <v>425</v>
      </c>
    </row>
    <row r="2826">
      <c r="A2826" s="250">
        <v>45452.71598777778</v>
      </c>
      <c r="B2826" s="251" t="s">
        <v>1693</v>
      </c>
      <c r="C2826" s="178" t="s">
        <v>4236</v>
      </c>
      <c r="D2826" s="36">
        <v>1056999.9999999998</v>
      </c>
      <c r="E2826" s="36" t="s">
        <v>1683</v>
      </c>
      <c r="F2826" s="178" t="s">
        <v>405</v>
      </c>
    </row>
    <row r="2827">
      <c r="A2827" s="250">
        <v>45452.71598777778</v>
      </c>
      <c r="B2827" s="251" t="s">
        <v>1684</v>
      </c>
      <c r="C2827" s="178" t="s">
        <v>4237</v>
      </c>
      <c r="D2827" s="36" t="s">
        <v>1683</v>
      </c>
      <c r="E2827" s="36">
        <v>1056999.9999999998</v>
      </c>
      <c r="F2827" s="178" t="s">
        <v>405</v>
      </c>
    </row>
    <row r="2828">
      <c r="A2828" s="250">
        <v>45452.813404444445</v>
      </c>
      <c r="B2828" s="251" t="s">
        <v>3930</v>
      </c>
      <c r="C2828" s="178" t="s">
        <v>4238</v>
      </c>
      <c r="D2828" s="36">
        <v>543035.0000000001</v>
      </c>
      <c r="E2828" s="36" t="s">
        <v>1683</v>
      </c>
      <c r="F2828" s="178" t="s">
        <v>737</v>
      </c>
    </row>
    <row r="2829">
      <c r="A2829" s="250">
        <v>45452.813404444445</v>
      </c>
      <c r="B2829" s="251" t="s">
        <v>1802</v>
      </c>
      <c r="C2829" s="178" t="s">
        <v>4198</v>
      </c>
      <c r="D2829" s="36" t="s">
        <v>1683</v>
      </c>
      <c r="E2829" s="36">
        <v>543035.0000000001</v>
      </c>
      <c r="F2829" s="178" t="s">
        <v>737</v>
      </c>
    </row>
    <row r="2830">
      <c r="A2830" s="250">
        <v>45452.822332222226</v>
      </c>
      <c r="B2830" s="251" t="s">
        <v>2841</v>
      </c>
      <c r="C2830" s="178" t="s">
        <v>4239</v>
      </c>
      <c r="D2830" s="36">
        <v>3305000.0</v>
      </c>
      <c r="E2830" s="36" t="s">
        <v>1683</v>
      </c>
      <c r="F2830" s="178" t="s">
        <v>343</v>
      </c>
    </row>
    <row r="2831">
      <c r="A2831" s="250">
        <v>45452.822332222226</v>
      </c>
      <c r="B2831" s="251" t="s">
        <v>3242</v>
      </c>
      <c r="C2831" s="178" t="s">
        <v>3472</v>
      </c>
      <c r="D2831" s="36" t="s">
        <v>1683</v>
      </c>
      <c r="E2831" s="36">
        <v>3305000.0</v>
      </c>
      <c r="F2831" s="178" t="s">
        <v>343</v>
      </c>
    </row>
    <row r="2832">
      <c r="A2832" s="250">
        <v>45453.34676777778</v>
      </c>
      <c r="B2832" s="251" t="s">
        <v>1783</v>
      </c>
      <c r="C2832" s="178" t="s">
        <v>4240</v>
      </c>
      <c r="D2832" s="36">
        <v>510395.0</v>
      </c>
      <c r="E2832" s="36" t="s">
        <v>1683</v>
      </c>
      <c r="F2832" s="178" t="s">
        <v>468</v>
      </c>
    </row>
    <row r="2833">
      <c r="A2833" s="250">
        <v>45453.34676777778</v>
      </c>
      <c r="B2833" s="251" t="s">
        <v>1684</v>
      </c>
      <c r="C2833" s="178" t="s">
        <v>4241</v>
      </c>
      <c r="D2833" s="36" t="s">
        <v>1683</v>
      </c>
      <c r="E2833" s="36">
        <v>510395.0</v>
      </c>
      <c r="F2833" s="178" t="s">
        <v>468</v>
      </c>
    </row>
    <row r="2834">
      <c r="A2834" s="250">
        <v>45453.34715777778</v>
      </c>
      <c r="B2834" s="251" t="s">
        <v>1783</v>
      </c>
      <c r="C2834" s="178" t="s">
        <v>4242</v>
      </c>
      <c r="D2834" s="36">
        <v>133485.0</v>
      </c>
      <c r="E2834" s="36" t="s">
        <v>1683</v>
      </c>
      <c r="F2834" s="178" t="s">
        <v>468</v>
      </c>
    </row>
    <row r="2835">
      <c r="A2835" s="250">
        <v>45453.34715777778</v>
      </c>
      <c r="B2835" s="251" t="s">
        <v>1684</v>
      </c>
      <c r="C2835" s="178" t="s">
        <v>4243</v>
      </c>
      <c r="D2835" s="36" t="s">
        <v>1683</v>
      </c>
      <c r="E2835" s="36">
        <v>133485.0</v>
      </c>
      <c r="F2835" s="178" t="s">
        <v>468</v>
      </c>
    </row>
    <row r="2836">
      <c r="A2836" s="250">
        <v>45453.51176111111</v>
      </c>
      <c r="B2836" s="251" t="s">
        <v>1607</v>
      </c>
      <c r="C2836" s="178" t="s">
        <v>4244</v>
      </c>
      <c r="D2836" s="36">
        <v>45000.0</v>
      </c>
      <c r="E2836" s="36" t="s">
        <v>1683</v>
      </c>
      <c r="F2836" s="178" t="s">
        <v>1662</v>
      </c>
    </row>
    <row r="2837">
      <c r="A2837" s="250">
        <v>45453.51176111111</v>
      </c>
      <c r="B2837" s="251" t="s">
        <v>1684</v>
      </c>
      <c r="C2837" s="178" t="s">
        <v>4245</v>
      </c>
      <c r="D2837" s="36" t="s">
        <v>1683</v>
      </c>
      <c r="E2837" s="36">
        <v>45000.0</v>
      </c>
      <c r="F2837" s="178" t="s">
        <v>1662</v>
      </c>
    </row>
    <row r="2838">
      <c r="A2838" s="250">
        <v>45453.54027777778</v>
      </c>
      <c r="B2838" s="251" t="s">
        <v>1783</v>
      </c>
      <c r="C2838" s="178" t="s">
        <v>4246</v>
      </c>
      <c r="D2838" s="36">
        <v>43561.0</v>
      </c>
      <c r="E2838" s="36" t="s">
        <v>1683</v>
      </c>
      <c r="F2838" s="178" t="s">
        <v>903</v>
      </c>
    </row>
    <row r="2839">
      <c r="A2839" s="250">
        <v>45453.54027777778</v>
      </c>
      <c r="B2839" s="251" t="s">
        <v>1684</v>
      </c>
      <c r="C2839" s="178" t="s">
        <v>4247</v>
      </c>
      <c r="D2839" s="36" t="s">
        <v>1683</v>
      </c>
      <c r="E2839" s="36">
        <v>43561.0</v>
      </c>
      <c r="F2839" s="178" t="s">
        <v>903</v>
      </c>
    </row>
    <row r="2840">
      <c r="A2840" s="250">
        <v>45453.54126777778</v>
      </c>
      <c r="B2840" s="251" t="s">
        <v>1783</v>
      </c>
      <c r="C2840" s="178" t="s">
        <v>4248</v>
      </c>
      <c r="D2840" s="36">
        <v>9513.0</v>
      </c>
      <c r="E2840" s="36" t="s">
        <v>1683</v>
      </c>
      <c r="F2840" s="178" t="s">
        <v>903</v>
      </c>
    </row>
    <row r="2841">
      <c r="A2841" s="250">
        <v>45453.54126777778</v>
      </c>
      <c r="B2841" s="251" t="s">
        <v>1684</v>
      </c>
      <c r="C2841" s="178" t="s">
        <v>4249</v>
      </c>
      <c r="D2841" s="36" t="s">
        <v>1683</v>
      </c>
      <c r="E2841" s="36">
        <v>9513.0</v>
      </c>
      <c r="F2841" s="178" t="s">
        <v>903</v>
      </c>
    </row>
    <row r="2842">
      <c r="A2842" s="250">
        <v>45455.010676666665</v>
      </c>
      <c r="B2842" s="251" t="s">
        <v>1693</v>
      </c>
      <c r="C2842" s="178" t="s">
        <v>4250</v>
      </c>
      <c r="D2842" s="36">
        <v>728048.0</v>
      </c>
      <c r="E2842" s="36" t="s">
        <v>1683</v>
      </c>
      <c r="F2842" s="178" t="s">
        <v>147</v>
      </c>
    </row>
    <row r="2843">
      <c r="A2843" s="250">
        <v>45455.010676666665</v>
      </c>
      <c r="B2843" s="251" t="s">
        <v>1684</v>
      </c>
      <c r="C2843" s="178" t="s">
        <v>4251</v>
      </c>
      <c r="D2843" s="36" t="s">
        <v>1683</v>
      </c>
      <c r="E2843" s="36">
        <v>728048.0</v>
      </c>
      <c r="F2843" s="178" t="s">
        <v>147</v>
      </c>
    </row>
    <row r="2844">
      <c r="A2844" s="250">
        <v>45455.609812222225</v>
      </c>
      <c r="B2844" s="251" t="s">
        <v>3177</v>
      </c>
      <c r="C2844" s="178" t="s">
        <v>4252</v>
      </c>
      <c r="D2844" s="36">
        <v>3115000.0</v>
      </c>
      <c r="E2844" s="36" t="s">
        <v>1683</v>
      </c>
      <c r="F2844" s="178" t="s">
        <v>339</v>
      </c>
    </row>
    <row r="2845">
      <c r="A2845" s="250">
        <v>45455.609812222225</v>
      </c>
      <c r="B2845" s="251" t="s">
        <v>1684</v>
      </c>
      <c r="C2845" s="178" t="s">
        <v>4253</v>
      </c>
      <c r="D2845" s="36" t="s">
        <v>1683</v>
      </c>
      <c r="E2845" s="36">
        <v>3115000.0</v>
      </c>
      <c r="F2845" s="178" t="s">
        <v>339</v>
      </c>
    </row>
    <row r="2846">
      <c r="A2846" s="250">
        <v>45455.61003222223</v>
      </c>
      <c r="B2846" s="251" t="s">
        <v>3177</v>
      </c>
      <c r="C2846" s="178" t="s">
        <v>4254</v>
      </c>
      <c r="D2846" s="36">
        <v>4911000.0</v>
      </c>
      <c r="E2846" s="36" t="s">
        <v>1683</v>
      </c>
      <c r="F2846" s="178" t="s">
        <v>716</v>
      </c>
    </row>
    <row r="2847">
      <c r="A2847" s="250">
        <v>45455.61003222223</v>
      </c>
      <c r="B2847" s="251" t="s">
        <v>1684</v>
      </c>
      <c r="C2847" s="178" t="s">
        <v>4255</v>
      </c>
      <c r="D2847" s="36" t="s">
        <v>1683</v>
      </c>
      <c r="E2847" s="36">
        <v>4911000.0</v>
      </c>
      <c r="F2847" s="178" t="s">
        <v>716</v>
      </c>
    </row>
    <row r="2848">
      <c r="A2848" s="250">
        <v>45455.61070222222</v>
      </c>
      <c r="B2848" s="251" t="s">
        <v>3177</v>
      </c>
      <c r="C2848" s="178" t="s">
        <v>4256</v>
      </c>
      <c r="D2848" s="36">
        <v>1.3096000000000002E7</v>
      </c>
      <c r="E2848" s="36" t="s">
        <v>1683</v>
      </c>
      <c r="F2848" s="178" t="s">
        <v>716</v>
      </c>
    </row>
    <row r="2849">
      <c r="A2849" s="250">
        <v>45455.61070222222</v>
      </c>
      <c r="B2849" s="251" t="s">
        <v>1684</v>
      </c>
      <c r="C2849" s="178" t="s">
        <v>4257</v>
      </c>
      <c r="D2849" s="36" t="s">
        <v>1683</v>
      </c>
      <c r="E2849" s="36">
        <v>1.3096000000000002E7</v>
      </c>
      <c r="F2849" s="178" t="s">
        <v>716</v>
      </c>
    </row>
    <row r="2850">
      <c r="A2850" s="250">
        <v>45455.717456666665</v>
      </c>
      <c r="B2850" s="251" t="s">
        <v>3913</v>
      </c>
      <c r="C2850" s="178" t="s">
        <v>4258</v>
      </c>
      <c r="D2850" s="36">
        <v>214438.99999999997</v>
      </c>
      <c r="E2850" s="36" t="s">
        <v>1683</v>
      </c>
      <c r="F2850" s="178" t="s">
        <v>603</v>
      </c>
    </row>
    <row r="2851">
      <c r="A2851" s="250">
        <v>45455.717456666665</v>
      </c>
      <c r="B2851" s="251" t="s">
        <v>1802</v>
      </c>
      <c r="C2851" s="178" t="s">
        <v>4200</v>
      </c>
      <c r="D2851" s="36" t="s">
        <v>1683</v>
      </c>
      <c r="E2851" s="36">
        <v>214438.99999999997</v>
      </c>
      <c r="F2851" s="178" t="s">
        <v>603</v>
      </c>
    </row>
    <row r="2852">
      <c r="A2852" s="250">
        <v>45455.957144444445</v>
      </c>
      <c r="B2852" s="251" t="s">
        <v>1783</v>
      </c>
      <c r="C2852" s="178" t="s">
        <v>4259</v>
      </c>
      <c r="D2852" s="36">
        <v>672580.0000000001</v>
      </c>
      <c r="E2852" s="36" t="s">
        <v>1683</v>
      </c>
      <c r="F2852" s="178" t="s">
        <v>736</v>
      </c>
    </row>
    <row r="2853">
      <c r="A2853" s="250">
        <v>45455.957144444445</v>
      </c>
      <c r="B2853" s="251" t="s">
        <v>1684</v>
      </c>
      <c r="C2853" s="178" t="s">
        <v>4260</v>
      </c>
      <c r="D2853" s="36" t="s">
        <v>1683</v>
      </c>
      <c r="E2853" s="36">
        <v>672580.0000000001</v>
      </c>
      <c r="F2853" s="178" t="s">
        <v>736</v>
      </c>
    </row>
    <row r="2854">
      <c r="A2854" s="250">
        <v>45456.38144</v>
      </c>
      <c r="B2854" s="251" t="s">
        <v>1783</v>
      </c>
      <c r="C2854" s="178" t="s">
        <v>4261</v>
      </c>
      <c r="D2854" s="36">
        <v>588632.0</v>
      </c>
      <c r="E2854" s="36" t="s">
        <v>1683</v>
      </c>
      <c r="F2854" s="178" t="s">
        <v>735</v>
      </c>
    </row>
    <row r="2855">
      <c r="A2855" s="250">
        <v>45456.38144</v>
      </c>
      <c r="B2855" s="251" t="s">
        <v>1684</v>
      </c>
      <c r="C2855" s="178" t="s">
        <v>4262</v>
      </c>
      <c r="D2855" s="36" t="s">
        <v>1683</v>
      </c>
      <c r="E2855" s="36">
        <v>588632.0</v>
      </c>
      <c r="F2855" s="178" t="s">
        <v>735</v>
      </c>
    </row>
    <row r="2856">
      <c r="A2856" s="250">
        <v>45456.51413888889</v>
      </c>
      <c r="B2856" s="251" t="s">
        <v>3916</v>
      </c>
      <c r="C2856" s="178" t="s">
        <v>4263</v>
      </c>
      <c r="D2856" s="36">
        <v>148000.0</v>
      </c>
      <c r="E2856" s="36" t="s">
        <v>1683</v>
      </c>
      <c r="F2856" s="178" t="s">
        <v>469</v>
      </c>
    </row>
    <row r="2857">
      <c r="A2857" s="250">
        <v>45456.51413888889</v>
      </c>
      <c r="B2857" s="251" t="s">
        <v>1802</v>
      </c>
      <c r="C2857" s="178" t="s">
        <v>4232</v>
      </c>
      <c r="D2857" s="36" t="s">
        <v>1683</v>
      </c>
      <c r="E2857" s="36">
        <v>148000.0</v>
      </c>
      <c r="F2857" s="178" t="s">
        <v>469</v>
      </c>
    </row>
    <row r="2858">
      <c r="A2858" s="250">
        <v>45456.541666666664</v>
      </c>
      <c r="B2858" s="251" t="s">
        <v>4264</v>
      </c>
      <c r="C2858" s="178" t="s">
        <v>4265</v>
      </c>
      <c r="D2858" s="36">
        <v>43561.0</v>
      </c>
      <c r="E2858" s="36" t="s">
        <v>1683</v>
      </c>
      <c r="F2858" s="178" t="s">
        <v>903</v>
      </c>
    </row>
    <row r="2859">
      <c r="A2859" s="250">
        <v>45456.541666666664</v>
      </c>
      <c r="B2859" s="251" t="s">
        <v>1802</v>
      </c>
      <c r="C2859" s="178" t="s">
        <v>4246</v>
      </c>
      <c r="D2859" s="36" t="s">
        <v>1683</v>
      </c>
      <c r="E2859" s="36">
        <v>43561.0</v>
      </c>
      <c r="F2859" s="178" t="s">
        <v>903</v>
      </c>
    </row>
    <row r="2860">
      <c r="A2860" s="250">
        <v>45456.542656666665</v>
      </c>
      <c r="B2860" s="251" t="s">
        <v>4266</v>
      </c>
      <c r="C2860" s="178" t="s">
        <v>4267</v>
      </c>
      <c r="D2860" s="36">
        <v>9513.0</v>
      </c>
      <c r="E2860" s="36" t="s">
        <v>1683</v>
      </c>
      <c r="F2860" s="178" t="s">
        <v>903</v>
      </c>
    </row>
    <row r="2861">
      <c r="A2861" s="250">
        <v>45456.542656666665</v>
      </c>
      <c r="B2861" s="251" t="s">
        <v>1802</v>
      </c>
      <c r="C2861" s="178" t="s">
        <v>4248</v>
      </c>
      <c r="D2861" s="36" t="s">
        <v>1683</v>
      </c>
      <c r="E2861" s="36">
        <v>9513.0</v>
      </c>
      <c r="F2861" s="178" t="s">
        <v>903</v>
      </c>
    </row>
    <row r="2862">
      <c r="A2862" s="250">
        <v>45456.59468444445</v>
      </c>
      <c r="B2862" s="251" t="s">
        <v>3916</v>
      </c>
      <c r="C2862" s="178" t="s">
        <v>4268</v>
      </c>
      <c r="D2862" s="36">
        <v>510395.0</v>
      </c>
      <c r="E2862" s="36" t="s">
        <v>1683</v>
      </c>
      <c r="F2862" s="178" t="s">
        <v>468</v>
      </c>
    </row>
    <row r="2863">
      <c r="A2863" s="250">
        <v>45456.59468444445</v>
      </c>
      <c r="B2863" s="251" t="s">
        <v>1802</v>
      </c>
      <c r="C2863" s="178" t="s">
        <v>4240</v>
      </c>
      <c r="D2863" s="36" t="s">
        <v>1683</v>
      </c>
      <c r="E2863" s="36">
        <v>510395.0</v>
      </c>
      <c r="F2863" s="178" t="s">
        <v>468</v>
      </c>
    </row>
    <row r="2864">
      <c r="A2864" s="250">
        <v>45456.59507444445</v>
      </c>
      <c r="B2864" s="251" t="s">
        <v>3485</v>
      </c>
      <c r="C2864" s="178" t="s">
        <v>4269</v>
      </c>
      <c r="D2864" s="36">
        <v>133485.0</v>
      </c>
      <c r="E2864" s="36" t="s">
        <v>1683</v>
      </c>
      <c r="F2864" s="178" t="s">
        <v>468</v>
      </c>
    </row>
    <row r="2865">
      <c r="A2865" s="250">
        <v>45456.59507444445</v>
      </c>
      <c r="B2865" s="251" t="s">
        <v>1802</v>
      </c>
      <c r="C2865" s="178" t="s">
        <v>4242</v>
      </c>
      <c r="D2865" s="36" t="s">
        <v>1683</v>
      </c>
      <c r="E2865" s="36">
        <v>133485.0</v>
      </c>
      <c r="F2865" s="178" t="s">
        <v>468</v>
      </c>
    </row>
    <row r="2866">
      <c r="A2866" s="250">
        <v>45456.59515444445</v>
      </c>
      <c r="B2866" s="251" t="s">
        <v>2993</v>
      </c>
      <c r="C2866" s="178" t="s">
        <v>4270</v>
      </c>
      <c r="D2866" s="36">
        <v>1056999.9999999998</v>
      </c>
      <c r="E2866" s="36" t="s">
        <v>1683</v>
      </c>
      <c r="F2866" s="178" t="s">
        <v>405</v>
      </c>
    </row>
    <row r="2867">
      <c r="A2867" s="250">
        <v>45456.59515444445</v>
      </c>
      <c r="B2867" s="251" t="s">
        <v>1698</v>
      </c>
      <c r="C2867" s="178" t="s">
        <v>4236</v>
      </c>
      <c r="D2867" s="36" t="s">
        <v>1683</v>
      </c>
      <c r="E2867" s="36">
        <v>1056999.9999999998</v>
      </c>
      <c r="F2867" s="178" t="s">
        <v>405</v>
      </c>
    </row>
    <row r="2868">
      <c r="A2868" s="250">
        <v>45457.00511111111</v>
      </c>
      <c r="B2868" s="251" t="s">
        <v>1693</v>
      </c>
      <c r="C2868" s="178" t="s">
        <v>4271</v>
      </c>
      <c r="D2868" s="36">
        <v>728047.9999999999</v>
      </c>
      <c r="E2868" s="36" t="s">
        <v>1683</v>
      </c>
      <c r="F2868" s="178" t="s">
        <v>146</v>
      </c>
    </row>
    <row r="2869">
      <c r="A2869" s="250">
        <v>45457.00511111111</v>
      </c>
      <c r="B2869" s="251" t="s">
        <v>1684</v>
      </c>
      <c r="C2869" s="178" t="s">
        <v>4272</v>
      </c>
      <c r="D2869" s="36" t="s">
        <v>1683</v>
      </c>
      <c r="E2869" s="36">
        <v>728047.9999999999</v>
      </c>
      <c r="F2869" s="178" t="s">
        <v>146</v>
      </c>
    </row>
    <row r="2870">
      <c r="A2870" s="250">
        <v>45457.386401111115</v>
      </c>
      <c r="B2870" s="251" t="s">
        <v>1693</v>
      </c>
      <c r="C2870" s="178" t="s">
        <v>4273</v>
      </c>
      <c r="D2870" s="36">
        <v>31000.0</v>
      </c>
      <c r="E2870" s="36" t="s">
        <v>1683</v>
      </c>
      <c r="F2870" s="178" t="s">
        <v>939</v>
      </c>
    </row>
    <row r="2871">
      <c r="A2871" s="250">
        <v>45457.386401111115</v>
      </c>
      <c r="B2871" s="251" t="s">
        <v>1684</v>
      </c>
      <c r="C2871" s="178" t="s">
        <v>4274</v>
      </c>
      <c r="D2871" s="36" t="s">
        <v>1683</v>
      </c>
      <c r="E2871" s="36">
        <v>31000.0</v>
      </c>
      <c r="F2871" s="178" t="s">
        <v>939</v>
      </c>
    </row>
    <row r="2872">
      <c r="A2872" s="250">
        <v>45457.55749796297</v>
      </c>
      <c r="B2872" s="251" t="s">
        <v>3930</v>
      </c>
      <c r="C2872" s="178" t="s">
        <v>4275</v>
      </c>
      <c r="D2872" s="36">
        <v>672580.0000000001</v>
      </c>
      <c r="E2872" s="36" t="s">
        <v>1683</v>
      </c>
      <c r="F2872" s="178" t="s">
        <v>736</v>
      </c>
    </row>
    <row r="2873">
      <c r="A2873" s="250">
        <v>45457.55749796297</v>
      </c>
      <c r="B2873" s="251" t="s">
        <v>1802</v>
      </c>
      <c r="C2873" s="178" t="s">
        <v>4259</v>
      </c>
      <c r="D2873" s="36" t="s">
        <v>1683</v>
      </c>
      <c r="E2873" s="36">
        <v>672580.0000000001</v>
      </c>
      <c r="F2873" s="178" t="s">
        <v>736</v>
      </c>
    </row>
    <row r="2874">
      <c r="A2874" s="250">
        <v>45457.84223178241</v>
      </c>
      <c r="B2874" s="251" t="s">
        <v>2848</v>
      </c>
      <c r="C2874" s="178" t="s">
        <v>4276</v>
      </c>
      <c r="D2874" s="36">
        <v>4301291.153072134</v>
      </c>
      <c r="E2874" s="36" t="s">
        <v>1683</v>
      </c>
      <c r="F2874" s="178" t="s">
        <v>401</v>
      </c>
    </row>
    <row r="2875">
      <c r="A2875" s="250">
        <v>45457.84223178241</v>
      </c>
      <c r="B2875" s="251" t="s">
        <v>3242</v>
      </c>
      <c r="C2875" s="178" t="s">
        <v>3478</v>
      </c>
      <c r="D2875" s="36" t="s">
        <v>1683</v>
      </c>
      <c r="E2875" s="36">
        <v>4301291.153072134</v>
      </c>
      <c r="F2875" s="178" t="s">
        <v>401</v>
      </c>
    </row>
    <row r="2876">
      <c r="A2876" s="250">
        <v>45457.84228564815</v>
      </c>
      <c r="B2876" s="251" t="s">
        <v>2848</v>
      </c>
      <c r="C2876" s="178" t="s">
        <v>4277</v>
      </c>
      <c r="D2876" s="36">
        <v>4305465.0</v>
      </c>
      <c r="E2876" s="36" t="s">
        <v>1683</v>
      </c>
      <c r="F2876" s="178" t="s">
        <v>1683</v>
      </c>
    </row>
    <row r="2877">
      <c r="A2877" s="250">
        <v>45457.84228564815</v>
      </c>
      <c r="B2877" s="251" t="s">
        <v>3260</v>
      </c>
      <c r="C2877" s="178" t="s">
        <v>4278</v>
      </c>
      <c r="D2877" s="36" t="s">
        <v>1683</v>
      </c>
      <c r="E2877" s="36">
        <v>4305465.0</v>
      </c>
      <c r="F2877" s="178" t="s">
        <v>1683</v>
      </c>
    </row>
    <row r="2878">
      <c r="A2878" s="250">
        <v>45458.00162888889</v>
      </c>
      <c r="B2878" s="251" t="s">
        <v>1693</v>
      </c>
      <c r="C2878" s="178" t="s">
        <v>4279</v>
      </c>
      <c r="D2878" s="36">
        <v>728047.9999999999</v>
      </c>
      <c r="E2878" s="36" t="s">
        <v>1683</v>
      </c>
      <c r="F2878" s="178" t="s">
        <v>145</v>
      </c>
    </row>
    <row r="2879">
      <c r="A2879" s="250">
        <v>45458.00162888889</v>
      </c>
      <c r="B2879" s="251" t="s">
        <v>1684</v>
      </c>
      <c r="C2879" s="178" t="s">
        <v>4280</v>
      </c>
      <c r="D2879" s="36" t="s">
        <v>1683</v>
      </c>
      <c r="E2879" s="36">
        <v>728047.9999999999</v>
      </c>
      <c r="F2879" s="178" t="s">
        <v>145</v>
      </c>
    </row>
    <row r="2880">
      <c r="A2880" s="250">
        <v>45458.02041888889</v>
      </c>
      <c r="B2880" s="251" t="s">
        <v>1783</v>
      </c>
      <c r="C2880" s="178" t="s">
        <v>4281</v>
      </c>
      <c r="D2880" s="36">
        <v>296515.00000000006</v>
      </c>
      <c r="E2880" s="36" t="s">
        <v>1683</v>
      </c>
      <c r="F2880" s="178" t="s">
        <v>938</v>
      </c>
    </row>
    <row r="2881">
      <c r="A2881" s="250">
        <v>45458.02041888889</v>
      </c>
      <c r="B2881" s="251" t="s">
        <v>1684</v>
      </c>
      <c r="C2881" s="178" t="s">
        <v>4282</v>
      </c>
      <c r="D2881" s="36" t="s">
        <v>1683</v>
      </c>
      <c r="E2881" s="36">
        <v>296515.00000000006</v>
      </c>
      <c r="F2881" s="178" t="s">
        <v>938</v>
      </c>
    </row>
    <row r="2882">
      <c r="A2882" s="250">
        <v>45458.423206666674</v>
      </c>
      <c r="B2882" s="251" t="s">
        <v>3004</v>
      </c>
      <c r="C2882" s="178" t="s">
        <v>4283</v>
      </c>
      <c r="D2882" s="36">
        <v>31000.0</v>
      </c>
      <c r="E2882" s="36" t="s">
        <v>1683</v>
      </c>
      <c r="F2882" s="178" t="s">
        <v>939</v>
      </c>
    </row>
    <row r="2883">
      <c r="A2883" s="250">
        <v>45458.423206666674</v>
      </c>
      <c r="B2883" s="251" t="s">
        <v>1698</v>
      </c>
      <c r="C2883" s="178" t="s">
        <v>4273</v>
      </c>
      <c r="D2883" s="36" t="s">
        <v>1683</v>
      </c>
      <c r="E2883" s="36">
        <v>31000.0</v>
      </c>
      <c r="F2883" s="178" t="s">
        <v>939</v>
      </c>
    </row>
    <row r="2884">
      <c r="A2884" s="250">
        <v>45458.42607949074</v>
      </c>
      <c r="B2884" s="251" t="s">
        <v>3930</v>
      </c>
      <c r="C2884" s="178" t="s">
        <v>4284</v>
      </c>
      <c r="D2884" s="36">
        <v>588632.0</v>
      </c>
      <c r="E2884" s="36" t="s">
        <v>1683</v>
      </c>
      <c r="F2884" s="178" t="s">
        <v>735</v>
      </c>
    </row>
    <row r="2885">
      <c r="A2885" s="250">
        <v>45458.42607949074</v>
      </c>
      <c r="B2885" s="251" t="s">
        <v>1802</v>
      </c>
      <c r="C2885" s="178" t="s">
        <v>4261</v>
      </c>
      <c r="D2885" s="36" t="s">
        <v>1683</v>
      </c>
      <c r="E2885" s="36">
        <v>588632.0</v>
      </c>
      <c r="F2885" s="178" t="s">
        <v>735</v>
      </c>
    </row>
    <row r="2886">
      <c r="A2886" s="250">
        <v>45458.46357444444</v>
      </c>
      <c r="B2886" s="251" t="s">
        <v>1783</v>
      </c>
      <c r="C2886" s="178" t="s">
        <v>4285</v>
      </c>
      <c r="D2886" s="36">
        <v>672580.0</v>
      </c>
      <c r="E2886" s="36" t="s">
        <v>1683</v>
      </c>
      <c r="F2886" s="178" t="s">
        <v>754</v>
      </c>
    </row>
    <row r="2887">
      <c r="A2887" s="250">
        <v>45458.46357444444</v>
      </c>
      <c r="B2887" s="251" t="s">
        <v>1684</v>
      </c>
      <c r="C2887" s="178" t="s">
        <v>4286</v>
      </c>
      <c r="D2887" s="36" t="s">
        <v>1683</v>
      </c>
      <c r="E2887" s="36">
        <v>672580.0</v>
      </c>
      <c r="F2887" s="178" t="s">
        <v>754</v>
      </c>
    </row>
    <row r="2888">
      <c r="A2888" s="250">
        <v>45458.47734333333</v>
      </c>
      <c r="B2888" s="251" t="s">
        <v>3020</v>
      </c>
      <c r="C2888" s="178" t="s">
        <v>4287</v>
      </c>
      <c r="D2888" s="36">
        <v>728048.0</v>
      </c>
      <c r="E2888" s="36" t="s">
        <v>1683</v>
      </c>
      <c r="F2888" s="178" t="s">
        <v>147</v>
      </c>
    </row>
    <row r="2889">
      <c r="A2889" s="250">
        <v>45458.47734333333</v>
      </c>
      <c r="B2889" s="251" t="s">
        <v>1698</v>
      </c>
      <c r="C2889" s="178" t="s">
        <v>4250</v>
      </c>
      <c r="D2889" s="36" t="s">
        <v>1683</v>
      </c>
      <c r="E2889" s="36">
        <v>728048.0</v>
      </c>
      <c r="F2889" s="178" t="s">
        <v>147</v>
      </c>
    </row>
    <row r="2890">
      <c r="A2890" s="250">
        <v>45459.47676888889</v>
      </c>
      <c r="B2890" s="251" t="s">
        <v>3932</v>
      </c>
      <c r="C2890" s="178" t="s">
        <v>4288</v>
      </c>
      <c r="D2890" s="36">
        <v>672580.0</v>
      </c>
      <c r="E2890" s="36" t="s">
        <v>1683</v>
      </c>
      <c r="F2890" s="178" t="s">
        <v>754</v>
      </c>
    </row>
    <row r="2891">
      <c r="A2891" s="250">
        <v>45459.47676888889</v>
      </c>
      <c r="B2891" s="251" t="s">
        <v>1802</v>
      </c>
      <c r="C2891" s="178" t="s">
        <v>4285</v>
      </c>
      <c r="D2891" s="36" t="s">
        <v>1683</v>
      </c>
      <c r="E2891" s="36">
        <v>672580.0</v>
      </c>
      <c r="F2891" s="178" t="s">
        <v>754</v>
      </c>
    </row>
    <row r="2892">
      <c r="A2892" s="250">
        <v>45459.64607333334</v>
      </c>
      <c r="B2892" s="251" t="s">
        <v>3174</v>
      </c>
      <c r="C2892" s="178" t="s">
        <v>4289</v>
      </c>
      <c r="D2892" s="36">
        <v>4802000.0</v>
      </c>
      <c r="E2892" s="36" t="s">
        <v>1683</v>
      </c>
      <c r="F2892" s="178" t="s">
        <v>648</v>
      </c>
    </row>
    <row r="2893">
      <c r="A2893" s="250">
        <v>45459.64607333334</v>
      </c>
      <c r="B2893" s="251" t="s">
        <v>3242</v>
      </c>
      <c r="C2893" s="178" t="s">
        <v>3474</v>
      </c>
      <c r="D2893" s="36" t="s">
        <v>1683</v>
      </c>
      <c r="E2893" s="36">
        <v>4802000.0</v>
      </c>
      <c r="F2893" s="178" t="s">
        <v>648</v>
      </c>
    </row>
    <row r="2894">
      <c r="A2894" s="250">
        <v>45459.698196666664</v>
      </c>
      <c r="B2894" s="251" t="s">
        <v>3004</v>
      </c>
      <c r="C2894" s="178" t="s">
        <v>4290</v>
      </c>
      <c r="D2894" s="36">
        <v>296515.00000000006</v>
      </c>
      <c r="E2894" s="36" t="s">
        <v>1683</v>
      </c>
      <c r="F2894" s="178" t="s">
        <v>938</v>
      </c>
    </row>
    <row r="2895">
      <c r="A2895" s="250">
        <v>45459.698196666664</v>
      </c>
      <c r="B2895" s="251" t="s">
        <v>1802</v>
      </c>
      <c r="C2895" s="178" t="s">
        <v>4281</v>
      </c>
      <c r="D2895" s="36" t="s">
        <v>1683</v>
      </c>
      <c r="E2895" s="36">
        <v>296515.00000000006</v>
      </c>
      <c r="F2895" s="178" t="s">
        <v>938</v>
      </c>
    </row>
    <row r="2896">
      <c r="A2896" s="250">
        <v>45460.60454577546</v>
      </c>
      <c r="B2896" s="251" t="s">
        <v>3020</v>
      </c>
      <c r="C2896" s="178" t="s">
        <v>4291</v>
      </c>
      <c r="D2896" s="36">
        <v>728047.9999999999</v>
      </c>
      <c r="E2896" s="36" t="s">
        <v>1683</v>
      </c>
      <c r="F2896" s="178" t="s">
        <v>146</v>
      </c>
    </row>
    <row r="2897">
      <c r="A2897" s="250">
        <v>45460.60454577546</v>
      </c>
      <c r="B2897" s="251" t="s">
        <v>1698</v>
      </c>
      <c r="C2897" s="178" t="s">
        <v>4271</v>
      </c>
      <c r="D2897" s="36" t="s">
        <v>1683</v>
      </c>
      <c r="E2897" s="36">
        <v>728047.9999999999</v>
      </c>
      <c r="F2897" s="178" t="s">
        <v>146</v>
      </c>
    </row>
    <row r="2898">
      <c r="A2898" s="250">
        <v>45461.88564666666</v>
      </c>
      <c r="B2898" s="251" t="s">
        <v>1783</v>
      </c>
      <c r="C2898" s="178" t="s">
        <v>4292</v>
      </c>
      <c r="D2898" s="36">
        <v>221500.00000000003</v>
      </c>
      <c r="E2898" s="36" t="s">
        <v>1683</v>
      </c>
      <c r="F2898" s="178" t="s">
        <v>467</v>
      </c>
    </row>
    <row r="2899">
      <c r="A2899" s="250">
        <v>45461.88564666666</v>
      </c>
      <c r="B2899" s="251" t="s">
        <v>1684</v>
      </c>
      <c r="C2899" s="178" t="s">
        <v>4293</v>
      </c>
      <c r="D2899" s="36" t="s">
        <v>1683</v>
      </c>
      <c r="E2899" s="36">
        <v>221500.00000000003</v>
      </c>
      <c r="F2899" s="178" t="s">
        <v>467</v>
      </c>
    </row>
    <row r="2900">
      <c r="A2900" s="250">
        <v>45462.53982333333</v>
      </c>
      <c r="B2900" s="251" t="s">
        <v>3020</v>
      </c>
      <c r="C2900" s="178" t="s">
        <v>4294</v>
      </c>
      <c r="D2900" s="36">
        <v>728047.9999999999</v>
      </c>
      <c r="E2900" s="36" t="s">
        <v>1683</v>
      </c>
      <c r="F2900" s="178" t="s">
        <v>145</v>
      </c>
    </row>
    <row r="2901">
      <c r="A2901" s="250">
        <v>45462.53982333333</v>
      </c>
      <c r="B2901" s="251" t="s">
        <v>1698</v>
      </c>
      <c r="C2901" s="178" t="s">
        <v>4279</v>
      </c>
      <c r="D2901" s="36" t="s">
        <v>1683</v>
      </c>
      <c r="E2901" s="36">
        <v>728047.9999999999</v>
      </c>
      <c r="F2901" s="178" t="s">
        <v>145</v>
      </c>
    </row>
    <row r="2902">
      <c r="A2902" s="250">
        <v>45463.38073555556</v>
      </c>
      <c r="B2902" s="251" t="s">
        <v>1783</v>
      </c>
      <c r="C2902" s="178" t="s">
        <v>4295</v>
      </c>
      <c r="D2902" s="36">
        <v>588631.9999999999</v>
      </c>
      <c r="E2902" s="36" t="s">
        <v>1683</v>
      </c>
      <c r="F2902" s="178" t="s">
        <v>734</v>
      </c>
    </row>
    <row r="2903">
      <c r="A2903" s="250">
        <v>45463.38073555556</v>
      </c>
      <c r="B2903" s="251" t="s">
        <v>1684</v>
      </c>
      <c r="C2903" s="178" t="s">
        <v>4296</v>
      </c>
      <c r="D2903" s="36" t="s">
        <v>1683</v>
      </c>
      <c r="E2903" s="36">
        <v>588631.9999999999</v>
      </c>
      <c r="F2903" s="178" t="s">
        <v>734</v>
      </c>
    </row>
    <row r="2904">
      <c r="A2904" s="250">
        <v>45464.407788888886</v>
      </c>
      <c r="B2904" s="251" t="s">
        <v>1783</v>
      </c>
      <c r="C2904" s="178" t="s">
        <v>4297</v>
      </c>
      <c r="D2904" s="36">
        <v>53500.00000000001</v>
      </c>
      <c r="E2904" s="36" t="s">
        <v>1683</v>
      </c>
      <c r="F2904" s="178" t="s">
        <v>923</v>
      </c>
    </row>
    <row r="2905">
      <c r="A2905" s="250">
        <v>45464.407788888886</v>
      </c>
      <c r="B2905" s="251" t="s">
        <v>1684</v>
      </c>
      <c r="C2905" s="178" t="s">
        <v>4298</v>
      </c>
      <c r="D2905" s="36" t="s">
        <v>1683</v>
      </c>
      <c r="E2905" s="36">
        <v>53500.00000000001</v>
      </c>
      <c r="F2905" s="178" t="s">
        <v>923</v>
      </c>
    </row>
    <row r="2906">
      <c r="A2906" s="250">
        <v>45464.41055666666</v>
      </c>
      <c r="B2906" s="251" t="s">
        <v>1783</v>
      </c>
      <c r="C2906" s="178" t="s">
        <v>4299</v>
      </c>
      <c r="D2906" s="36">
        <v>244775.0</v>
      </c>
      <c r="E2906" s="36" t="s">
        <v>1683</v>
      </c>
      <c r="F2906" s="178" t="s">
        <v>922</v>
      </c>
    </row>
    <row r="2907">
      <c r="A2907" s="250">
        <v>45464.41055666666</v>
      </c>
      <c r="B2907" s="251" t="s">
        <v>1684</v>
      </c>
      <c r="C2907" s="178" t="s">
        <v>4300</v>
      </c>
      <c r="D2907" s="36" t="s">
        <v>1683</v>
      </c>
      <c r="E2907" s="36">
        <v>244775.0</v>
      </c>
      <c r="F2907" s="178" t="s">
        <v>922</v>
      </c>
    </row>
    <row r="2908">
      <c r="A2908" s="250">
        <v>45464.45856333333</v>
      </c>
      <c r="B2908" s="251" t="s">
        <v>3916</v>
      </c>
      <c r="C2908" s="178" t="s">
        <v>4301</v>
      </c>
      <c r="D2908" s="36">
        <v>221500.00000000003</v>
      </c>
      <c r="E2908" s="36" t="s">
        <v>1683</v>
      </c>
      <c r="F2908" s="178" t="s">
        <v>467</v>
      </c>
    </row>
    <row r="2909">
      <c r="A2909" s="250">
        <v>45464.45856333333</v>
      </c>
      <c r="B2909" s="251" t="s">
        <v>1802</v>
      </c>
      <c r="C2909" s="178" t="s">
        <v>4292</v>
      </c>
      <c r="D2909" s="36" t="s">
        <v>1683</v>
      </c>
      <c r="E2909" s="36">
        <v>221500.00000000003</v>
      </c>
      <c r="F2909" s="178" t="s">
        <v>467</v>
      </c>
    </row>
    <row r="2910">
      <c r="A2910" s="250">
        <v>45464.66684666667</v>
      </c>
      <c r="B2910" s="251" t="s">
        <v>3930</v>
      </c>
      <c r="C2910" s="178" t="s">
        <v>4302</v>
      </c>
      <c r="D2910" s="36">
        <v>588631.9999999999</v>
      </c>
      <c r="E2910" s="36" t="s">
        <v>1683</v>
      </c>
      <c r="F2910" s="178" t="s">
        <v>734</v>
      </c>
    </row>
    <row r="2911">
      <c r="A2911" s="250">
        <v>45464.66684666667</v>
      </c>
      <c r="B2911" s="251" t="s">
        <v>1802</v>
      </c>
      <c r="C2911" s="178" t="s">
        <v>4295</v>
      </c>
      <c r="D2911" s="36" t="s">
        <v>1683</v>
      </c>
      <c r="E2911" s="36">
        <v>588631.9999999999</v>
      </c>
      <c r="F2911" s="178" t="s">
        <v>734</v>
      </c>
    </row>
    <row r="2912">
      <c r="A2912" s="250">
        <v>45465.71090866898</v>
      </c>
      <c r="B2912" s="251" t="s">
        <v>2497</v>
      </c>
      <c r="C2912" s="178" t="s">
        <v>4303</v>
      </c>
      <c r="D2912" s="36">
        <v>53500.00000000001</v>
      </c>
      <c r="E2912" s="36" t="s">
        <v>1683</v>
      </c>
      <c r="F2912" s="178" t="s">
        <v>923</v>
      </c>
    </row>
    <row r="2913">
      <c r="A2913" s="250">
        <v>45465.71090866898</v>
      </c>
      <c r="B2913" s="251" t="s">
        <v>1802</v>
      </c>
      <c r="C2913" s="178" t="s">
        <v>4297</v>
      </c>
      <c r="D2913" s="36" t="s">
        <v>1683</v>
      </c>
      <c r="E2913" s="36">
        <v>53500.00000000001</v>
      </c>
      <c r="F2913" s="178" t="s">
        <v>923</v>
      </c>
    </row>
    <row r="2914">
      <c r="A2914" s="250">
        <v>45466.53833444444</v>
      </c>
      <c r="B2914" s="251" t="s">
        <v>2497</v>
      </c>
      <c r="C2914" s="178" t="s">
        <v>4304</v>
      </c>
      <c r="D2914" s="36">
        <v>244775.0</v>
      </c>
      <c r="E2914" s="36" t="s">
        <v>1683</v>
      </c>
      <c r="F2914" s="178" t="s">
        <v>922</v>
      </c>
    </row>
    <row r="2915">
      <c r="A2915" s="250">
        <v>45466.53833444444</v>
      </c>
      <c r="B2915" s="251" t="s">
        <v>1802</v>
      </c>
      <c r="C2915" s="178" t="s">
        <v>4299</v>
      </c>
      <c r="D2915" s="36" t="s">
        <v>1683</v>
      </c>
      <c r="E2915" s="36">
        <v>244775.0</v>
      </c>
      <c r="F2915" s="178" t="s">
        <v>922</v>
      </c>
    </row>
    <row r="2916">
      <c r="A2916" s="250">
        <v>45468.32378111111</v>
      </c>
      <c r="B2916" s="251" t="s">
        <v>1783</v>
      </c>
      <c r="C2916" s="178" t="s">
        <v>4305</v>
      </c>
      <c r="D2916" s="36">
        <v>543430.0000000001</v>
      </c>
      <c r="E2916" s="36" t="s">
        <v>1683</v>
      </c>
      <c r="F2916" s="178" t="s">
        <v>733</v>
      </c>
    </row>
    <row r="2917">
      <c r="A2917" s="250">
        <v>45468.32378111111</v>
      </c>
      <c r="B2917" s="251" t="s">
        <v>1684</v>
      </c>
      <c r="C2917" s="178" t="s">
        <v>4306</v>
      </c>
      <c r="D2917" s="36" t="s">
        <v>1683</v>
      </c>
      <c r="E2917" s="36">
        <v>543430.0000000001</v>
      </c>
      <c r="F2917" s="178" t="s">
        <v>733</v>
      </c>
    </row>
    <row r="2918">
      <c r="A2918" s="250">
        <v>45468.652473333335</v>
      </c>
      <c r="B2918" s="251" t="s">
        <v>1693</v>
      </c>
      <c r="C2918" s="178" t="s">
        <v>4307</v>
      </c>
      <c r="D2918" s="36">
        <v>144832.99999999997</v>
      </c>
      <c r="E2918" s="36" t="s">
        <v>1683</v>
      </c>
      <c r="F2918" s="178" t="s">
        <v>520</v>
      </c>
    </row>
    <row r="2919">
      <c r="A2919" s="250">
        <v>45468.652473333335</v>
      </c>
      <c r="B2919" s="251" t="s">
        <v>1684</v>
      </c>
      <c r="C2919" s="178" t="s">
        <v>4308</v>
      </c>
      <c r="D2919" s="36" t="s">
        <v>1683</v>
      </c>
      <c r="E2919" s="36">
        <v>144832.99999999997</v>
      </c>
      <c r="F2919" s="178" t="s">
        <v>520</v>
      </c>
    </row>
    <row r="2920">
      <c r="A2920" s="250">
        <v>45468.65285333333</v>
      </c>
      <c r="B2920" s="251" t="s">
        <v>1693</v>
      </c>
      <c r="C2920" s="178" t="s">
        <v>4309</v>
      </c>
      <c r="D2920" s="36">
        <v>28967.000000000004</v>
      </c>
      <c r="E2920" s="36" t="s">
        <v>1683</v>
      </c>
      <c r="F2920" s="178" t="s">
        <v>520</v>
      </c>
    </row>
    <row r="2921">
      <c r="A2921" s="250">
        <v>45468.65285333333</v>
      </c>
      <c r="B2921" s="251" t="s">
        <v>1684</v>
      </c>
      <c r="C2921" s="178" t="s">
        <v>4310</v>
      </c>
      <c r="D2921" s="36" t="s">
        <v>1683</v>
      </c>
      <c r="E2921" s="36">
        <v>28967.000000000004</v>
      </c>
      <c r="F2921" s="178" t="s">
        <v>520</v>
      </c>
    </row>
    <row r="2922">
      <c r="A2922" s="250">
        <v>45468.99863111111</v>
      </c>
      <c r="B2922" s="251" t="s">
        <v>1693</v>
      </c>
      <c r="C2922" s="178" t="s">
        <v>4311</v>
      </c>
      <c r="D2922" s="36">
        <v>1008859.0000000001</v>
      </c>
      <c r="E2922" s="36" t="s">
        <v>1683</v>
      </c>
      <c r="F2922" s="178" t="s">
        <v>519</v>
      </c>
    </row>
    <row r="2923">
      <c r="A2923" s="250">
        <v>45468.99863111111</v>
      </c>
      <c r="B2923" s="251" t="s">
        <v>1684</v>
      </c>
      <c r="C2923" s="178" t="s">
        <v>4312</v>
      </c>
      <c r="D2923" s="36" t="s">
        <v>1683</v>
      </c>
      <c r="E2923" s="36">
        <v>1008859.0000000001</v>
      </c>
      <c r="F2923" s="178" t="s">
        <v>519</v>
      </c>
    </row>
    <row r="2924">
      <c r="A2924" s="250">
        <v>45468.99899111111</v>
      </c>
      <c r="B2924" s="251" t="s">
        <v>1693</v>
      </c>
      <c r="C2924" s="178" t="s">
        <v>4313</v>
      </c>
      <c r="D2924" s="36">
        <v>79267.00000000001</v>
      </c>
      <c r="E2924" s="36" t="s">
        <v>1683</v>
      </c>
      <c r="F2924" s="178" t="s">
        <v>519</v>
      </c>
    </row>
    <row r="2925">
      <c r="A2925" s="250">
        <v>45468.99899111111</v>
      </c>
      <c r="B2925" s="251" t="s">
        <v>1684</v>
      </c>
      <c r="C2925" s="178" t="s">
        <v>4314</v>
      </c>
      <c r="D2925" s="36" t="s">
        <v>1683</v>
      </c>
      <c r="E2925" s="36">
        <v>79267.00000000001</v>
      </c>
      <c r="F2925" s="178" t="s">
        <v>519</v>
      </c>
    </row>
    <row r="2926">
      <c r="A2926" s="250">
        <v>45468.99937111112</v>
      </c>
      <c r="B2926" s="251" t="s">
        <v>1693</v>
      </c>
      <c r="C2926" s="178" t="s">
        <v>4315</v>
      </c>
      <c r="D2926" s="36">
        <v>86473.99999999999</v>
      </c>
      <c r="E2926" s="36" t="s">
        <v>1683</v>
      </c>
      <c r="F2926" s="178" t="s">
        <v>519</v>
      </c>
    </row>
    <row r="2927">
      <c r="A2927" s="250">
        <v>45468.99937111112</v>
      </c>
      <c r="B2927" s="251" t="s">
        <v>1684</v>
      </c>
      <c r="C2927" s="178" t="s">
        <v>4316</v>
      </c>
      <c r="D2927" s="36" t="s">
        <v>1683</v>
      </c>
      <c r="E2927" s="36">
        <v>86473.99999999999</v>
      </c>
      <c r="F2927" s="178" t="s">
        <v>519</v>
      </c>
    </row>
    <row r="2928">
      <c r="A2928" s="250">
        <v>45469.29599333333</v>
      </c>
      <c r="B2928" s="251" t="s">
        <v>1783</v>
      </c>
      <c r="C2928" s="178" t="s">
        <v>4317</v>
      </c>
      <c r="D2928" s="36">
        <v>570436.0</v>
      </c>
      <c r="E2928" s="36" t="s">
        <v>1683</v>
      </c>
      <c r="F2928" s="178" t="s">
        <v>732</v>
      </c>
    </row>
    <row r="2929">
      <c r="A2929" s="250">
        <v>45469.29599333333</v>
      </c>
      <c r="B2929" s="251" t="s">
        <v>1684</v>
      </c>
      <c r="C2929" s="178" t="s">
        <v>4318</v>
      </c>
      <c r="D2929" s="36" t="s">
        <v>1683</v>
      </c>
      <c r="E2929" s="36">
        <v>570436.0</v>
      </c>
      <c r="F2929" s="178" t="s">
        <v>732</v>
      </c>
    </row>
    <row r="2930">
      <c r="A2930" s="250">
        <v>45469.29620333333</v>
      </c>
      <c r="B2930" s="251" t="s">
        <v>1783</v>
      </c>
      <c r="C2930" s="178" t="s">
        <v>4319</v>
      </c>
      <c r="D2930" s="36">
        <v>580104.0</v>
      </c>
      <c r="E2930" s="36" t="s">
        <v>1683</v>
      </c>
      <c r="F2930" s="178" t="s">
        <v>753</v>
      </c>
    </row>
    <row r="2931">
      <c r="A2931" s="250">
        <v>45469.29620333333</v>
      </c>
      <c r="B2931" s="251" t="s">
        <v>1684</v>
      </c>
      <c r="C2931" s="178" t="s">
        <v>4320</v>
      </c>
      <c r="D2931" s="36" t="s">
        <v>1683</v>
      </c>
      <c r="E2931" s="36">
        <v>580104.0</v>
      </c>
      <c r="F2931" s="178" t="s">
        <v>753</v>
      </c>
    </row>
    <row r="2932">
      <c r="A2932" s="250">
        <v>45470.62539</v>
      </c>
      <c r="B2932" s="251" t="s">
        <v>1786</v>
      </c>
      <c r="C2932" s="178" t="s">
        <v>4321</v>
      </c>
      <c r="D2932" s="36">
        <v>144832.99999999997</v>
      </c>
      <c r="E2932" s="36" t="s">
        <v>1683</v>
      </c>
      <c r="F2932" s="178" t="s">
        <v>520</v>
      </c>
    </row>
    <row r="2933">
      <c r="A2933" s="250">
        <v>45470.62539</v>
      </c>
      <c r="B2933" s="251" t="s">
        <v>1698</v>
      </c>
      <c r="C2933" s="178" t="s">
        <v>4307</v>
      </c>
      <c r="D2933" s="36" t="s">
        <v>1683</v>
      </c>
      <c r="E2933" s="36">
        <v>144832.99999999997</v>
      </c>
      <c r="F2933" s="178" t="s">
        <v>520</v>
      </c>
    </row>
    <row r="2934">
      <c r="A2934" s="250">
        <v>45470.62577</v>
      </c>
      <c r="B2934" s="251" t="s">
        <v>1793</v>
      </c>
      <c r="C2934" s="178" t="s">
        <v>4322</v>
      </c>
      <c r="D2934" s="36">
        <v>28967.000000000004</v>
      </c>
      <c r="E2934" s="36" t="s">
        <v>1683</v>
      </c>
      <c r="F2934" s="178" t="s">
        <v>520</v>
      </c>
    </row>
    <row r="2935">
      <c r="A2935" s="250">
        <v>45470.62577</v>
      </c>
      <c r="B2935" s="251" t="s">
        <v>1698</v>
      </c>
      <c r="C2935" s="178" t="s">
        <v>4309</v>
      </c>
      <c r="D2935" s="36" t="s">
        <v>1683</v>
      </c>
      <c r="E2935" s="36">
        <v>28967.000000000004</v>
      </c>
      <c r="F2935" s="178" t="s">
        <v>520</v>
      </c>
    </row>
    <row r="2936">
      <c r="A2936" s="250">
        <v>45470.93684555555</v>
      </c>
      <c r="B2936" s="251" t="s">
        <v>1783</v>
      </c>
      <c r="C2936" s="178" t="s">
        <v>4323</v>
      </c>
      <c r="D2936" s="36">
        <v>119705.0</v>
      </c>
      <c r="E2936" s="36" t="s">
        <v>1683</v>
      </c>
      <c r="F2936" s="178" t="s">
        <v>621</v>
      </c>
    </row>
    <row r="2937">
      <c r="A2937" s="250">
        <v>45470.93684555555</v>
      </c>
      <c r="B2937" s="251" t="s">
        <v>1684</v>
      </c>
      <c r="C2937" s="178" t="s">
        <v>4324</v>
      </c>
      <c r="D2937" s="36" t="s">
        <v>1683</v>
      </c>
      <c r="E2937" s="36">
        <v>119705.0</v>
      </c>
      <c r="F2937" s="178" t="s">
        <v>621</v>
      </c>
    </row>
    <row r="2938">
      <c r="A2938" s="250">
        <v>45470.93767555556</v>
      </c>
      <c r="B2938" s="251" t="s">
        <v>1783</v>
      </c>
      <c r="C2938" s="178" t="s">
        <v>4325</v>
      </c>
      <c r="D2938" s="36">
        <v>948277.0</v>
      </c>
      <c r="E2938" s="36" t="s">
        <v>1683</v>
      </c>
      <c r="F2938" s="178" t="s">
        <v>424</v>
      </c>
    </row>
    <row r="2939">
      <c r="A2939" s="250">
        <v>45470.93767555556</v>
      </c>
      <c r="B2939" s="251" t="s">
        <v>1684</v>
      </c>
      <c r="C2939" s="178" t="s">
        <v>4326</v>
      </c>
      <c r="D2939" s="36" t="s">
        <v>1683</v>
      </c>
      <c r="E2939" s="36">
        <v>948277.0</v>
      </c>
      <c r="F2939" s="178" t="s">
        <v>424</v>
      </c>
    </row>
    <row r="2940">
      <c r="A2940" s="250">
        <v>45470.937795555554</v>
      </c>
      <c r="B2940" s="251" t="s">
        <v>1783</v>
      </c>
      <c r="C2940" s="178" t="s">
        <v>4327</v>
      </c>
      <c r="D2940" s="36">
        <v>63537.0</v>
      </c>
      <c r="E2940" s="36" t="s">
        <v>1683</v>
      </c>
      <c r="F2940" s="178" t="s">
        <v>621</v>
      </c>
    </row>
    <row r="2941">
      <c r="A2941" s="250">
        <v>45470.937795555554</v>
      </c>
      <c r="B2941" s="251" t="s">
        <v>1684</v>
      </c>
      <c r="C2941" s="178" t="s">
        <v>4328</v>
      </c>
      <c r="D2941" s="36" t="s">
        <v>1683</v>
      </c>
      <c r="E2941" s="36">
        <v>63537.0</v>
      </c>
      <c r="F2941" s="178" t="s">
        <v>621</v>
      </c>
    </row>
    <row r="2942">
      <c r="A2942" s="250">
        <v>45471.464753333334</v>
      </c>
      <c r="B2942" s="251" t="s">
        <v>3930</v>
      </c>
      <c r="C2942" s="178" t="s">
        <v>4329</v>
      </c>
      <c r="D2942" s="36">
        <v>543430.0000000001</v>
      </c>
      <c r="E2942" s="36" t="s">
        <v>1683</v>
      </c>
      <c r="F2942" s="178" t="s">
        <v>733</v>
      </c>
    </row>
    <row r="2943">
      <c r="A2943" s="250">
        <v>45471.464753333334</v>
      </c>
      <c r="B2943" s="251" t="s">
        <v>1802</v>
      </c>
      <c r="C2943" s="178" t="s">
        <v>4305</v>
      </c>
      <c r="D2943" s="36" t="s">
        <v>1683</v>
      </c>
      <c r="E2943" s="36">
        <v>543430.0000000001</v>
      </c>
      <c r="F2943" s="178" t="s">
        <v>733</v>
      </c>
    </row>
    <row r="2944">
      <c r="A2944" s="250">
        <v>45471.47168777778</v>
      </c>
      <c r="B2944" s="251" t="s">
        <v>3930</v>
      </c>
      <c r="C2944" s="178" t="s">
        <v>4330</v>
      </c>
      <c r="D2944" s="36">
        <v>570436.0</v>
      </c>
      <c r="E2944" s="36" t="s">
        <v>1683</v>
      </c>
      <c r="F2944" s="178" t="s">
        <v>732</v>
      </c>
    </row>
    <row r="2945">
      <c r="A2945" s="250">
        <v>45471.47168777778</v>
      </c>
      <c r="B2945" s="251" t="s">
        <v>1802</v>
      </c>
      <c r="C2945" s="178" t="s">
        <v>4317</v>
      </c>
      <c r="D2945" s="36" t="s">
        <v>1683</v>
      </c>
      <c r="E2945" s="36">
        <v>570436.0</v>
      </c>
      <c r="F2945" s="178" t="s">
        <v>732</v>
      </c>
    </row>
    <row r="2946">
      <c r="A2946" s="250">
        <v>45471.644814444444</v>
      </c>
      <c r="B2946" s="251" t="s">
        <v>3932</v>
      </c>
      <c r="C2946" s="178" t="s">
        <v>4331</v>
      </c>
      <c r="D2946" s="36">
        <v>580104.0</v>
      </c>
      <c r="E2946" s="36" t="s">
        <v>1683</v>
      </c>
      <c r="F2946" s="178" t="s">
        <v>753</v>
      </c>
    </row>
    <row r="2947">
      <c r="A2947" s="250">
        <v>45471.644814444444</v>
      </c>
      <c r="B2947" s="251" t="s">
        <v>1802</v>
      </c>
      <c r="C2947" s="178" t="s">
        <v>4319</v>
      </c>
      <c r="D2947" s="36" t="s">
        <v>1683</v>
      </c>
      <c r="E2947" s="36">
        <v>580104.0</v>
      </c>
      <c r="F2947" s="178" t="s">
        <v>753</v>
      </c>
    </row>
    <row r="2948">
      <c r="A2948" s="250">
        <v>45472.489623333335</v>
      </c>
      <c r="B2948" s="251" t="s">
        <v>4332</v>
      </c>
      <c r="C2948" s="178" t="s">
        <v>4333</v>
      </c>
      <c r="D2948" s="36">
        <v>119705.0</v>
      </c>
      <c r="E2948" s="36" t="s">
        <v>1683</v>
      </c>
      <c r="F2948" s="178" t="s">
        <v>621</v>
      </c>
    </row>
    <row r="2949">
      <c r="A2949" s="250">
        <v>45472.489623333335</v>
      </c>
      <c r="B2949" s="251" t="s">
        <v>1802</v>
      </c>
      <c r="C2949" s="178" t="s">
        <v>4323</v>
      </c>
      <c r="D2949" s="36" t="s">
        <v>1683</v>
      </c>
      <c r="E2949" s="36">
        <v>119705.0</v>
      </c>
      <c r="F2949" s="178" t="s">
        <v>621</v>
      </c>
    </row>
    <row r="2950">
      <c r="A2950" s="250">
        <v>45472.490573333336</v>
      </c>
      <c r="B2950" s="251" t="s">
        <v>4334</v>
      </c>
      <c r="C2950" s="178" t="s">
        <v>4335</v>
      </c>
      <c r="D2950" s="36">
        <v>63537.0</v>
      </c>
      <c r="E2950" s="36" t="s">
        <v>1683</v>
      </c>
      <c r="F2950" s="178" t="s">
        <v>621</v>
      </c>
    </row>
    <row r="2951">
      <c r="A2951" s="250">
        <v>45472.490573333336</v>
      </c>
      <c r="B2951" s="251" t="s">
        <v>1802</v>
      </c>
      <c r="C2951" s="178" t="s">
        <v>4327</v>
      </c>
      <c r="D2951" s="36" t="s">
        <v>1683</v>
      </c>
      <c r="E2951" s="36">
        <v>63537.0</v>
      </c>
      <c r="F2951" s="178" t="s">
        <v>621</v>
      </c>
    </row>
    <row r="2952">
      <c r="A2952" s="250">
        <v>45472.71390888889</v>
      </c>
      <c r="B2952" s="251" t="s">
        <v>1774</v>
      </c>
      <c r="C2952" s="178" t="s">
        <v>4336</v>
      </c>
      <c r="D2952" s="36">
        <v>1008859.0000000001</v>
      </c>
      <c r="E2952" s="36" t="s">
        <v>1683</v>
      </c>
      <c r="F2952" s="178" t="s">
        <v>519</v>
      </c>
    </row>
    <row r="2953">
      <c r="A2953" s="250">
        <v>45472.71390888889</v>
      </c>
      <c r="B2953" s="251" t="s">
        <v>1698</v>
      </c>
      <c r="C2953" s="178" t="s">
        <v>4311</v>
      </c>
      <c r="D2953" s="36" t="s">
        <v>1683</v>
      </c>
      <c r="E2953" s="36">
        <v>1008859.0000000001</v>
      </c>
      <c r="F2953" s="178" t="s">
        <v>519</v>
      </c>
    </row>
    <row r="2954">
      <c r="A2954" s="250">
        <v>45472.714268888885</v>
      </c>
      <c r="B2954" s="251" t="s">
        <v>1786</v>
      </c>
      <c r="C2954" s="178" t="s">
        <v>4337</v>
      </c>
      <c r="D2954" s="36">
        <v>79267.00000000001</v>
      </c>
      <c r="E2954" s="36" t="s">
        <v>1683</v>
      </c>
      <c r="F2954" s="178" t="s">
        <v>519</v>
      </c>
    </row>
    <row r="2955">
      <c r="A2955" s="250">
        <v>45472.714268888885</v>
      </c>
      <c r="B2955" s="251" t="s">
        <v>1698</v>
      </c>
      <c r="C2955" s="178" t="s">
        <v>4313</v>
      </c>
      <c r="D2955" s="36" t="s">
        <v>1683</v>
      </c>
      <c r="E2955" s="36">
        <v>79267.00000000001</v>
      </c>
      <c r="F2955" s="178" t="s">
        <v>519</v>
      </c>
    </row>
    <row r="2956">
      <c r="A2956" s="250">
        <v>45472.71464888889</v>
      </c>
      <c r="B2956" s="251" t="s">
        <v>1793</v>
      </c>
      <c r="C2956" s="178" t="s">
        <v>4338</v>
      </c>
      <c r="D2956" s="36">
        <v>86473.99999999999</v>
      </c>
      <c r="E2956" s="36" t="s">
        <v>1683</v>
      </c>
      <c r="F2956" s="178" t="s">
        <v>519</v>
      </c>
    </row>
    <row r="2957">
      <c r="A2957" s="250">
        <v>45472.71464888889</v>
      </c>
      <c r="B2957" s="251" t="s">
        <v>1698</v>
      </c>
      <c r="C2957" s="178" t="s">
        <v>4315</v>
      </c>
      <c r="D2957" s="36" t="s">
        <v>1683</v>
      </c>
      <c r="E2957" s="36">
        <v>86473.99999999999</v>
      </c>
      <c r="F2957" s="178" t="s">
        <v>519</v>
      </c>
    </row>
    <row r="2958">
      <c r="A2958" s="250">
        <v>45472.77090333334</v>
      </c>
      <c r="B2958" s="251" t="s">
        <v>1896</v>
      </c>
      <c r="C2958" s="178" t="s">
        <v>4339</v>
      </c>
      <c r="D2958" s="36">
        <v>3420000.0000000005</v>
      </c>
      <c r="E2958" s="36" t="s">
        <v>1683</v>
      </c>
      <c r="F2958" s="178" t="s">
        <v>43</v>
      </c>
    </row>
    <row r="2959">
      <c r="A2959" s="250">
        <v>45472.77090333334</v>
      </c>
      <c r="B2959" s="251" t="s">
        <v>3242</v>
      </c>
      <c r="C2959" s="178" t="s">
        <v>3470</v>
      </c>
      <c r="D2959" s="36" t="s">
        <v>1683</v>
      </c>
      <c r="E2959" s="36">
        <v>3420000.0000000005</v>
      </c>
      <c r="F2959" s="178" t="s">
        <v>43</v>
      </c>
    </row>
    <row r="2960">
      <c r="A2960" s="250">
        <v>45473.41820555556</v>
      </c>
      <c r="B2960" s="251" t="s">
        <v>1783</v>
      </c>
      <c r="C2960" s="178" t="s">
        <v>4340</v>
      </c>
      <c r="D2960" s="36">
        <v>554969.0</v>
      </c>
      <c r="E2960" s="36" t="s">
        <v>1683</v>
      </c>
      <c r="F2960" s="178" t="s">
        <v>731</v>
      </c>
    </row>
    <row r="2961">
      <c r="A2961" s="250">
        <v>45473.41820555556</v>
      </c>
      <c r="B2961" s="251" t="s">
        <v>1684</v>
      </c>
      <c r="C2961" s="178" t="s">
        <v>4341</v>
      </c>
      <c r="D2961" s="36" t="s">
        <v>1683</v>
      </c>
      <c r="E2961" s="36">
        <v>554969.0</v>
      </c>
      <c r="F2961" s="178" t="s">
        <v>731</v>
      </c>
    </row>
    <row r="2962">
      <c r="A2962" s="250">
        <v>45473.41827555556</v>
      </c>
      <c r="B2962" s="251" t="s">
        <v>1783</v>
      </c>
      <c r="C2962" s="178" t="s">
        <v>4342</v>
      </c>
      <c r="D2962" s="36">
        <v>589315.0</v>
      </c>
      <c r="E2962" s="36" t="s">
        <v>1683</v>
      </c>
      <c r="F2962" s="178" t="s">
        <v>466</v>
      </c>
    </row>
    <row r="2963">
      <c r="A2963" s="250">
        <v>45473.41827555556</v>
      </c>
      <c r="B2963" s="251" t="s">
        <v>1684</v>
      </c>
      <c r="C2963" s="178" t="s">
        <v>4343</v>
      </c>
      <c r="D2963" s="36" t="s">
        <v>1683</v>
      </c>
      <c r="E2963" s="36">
        <v>589315.0</v>
      </c>
      <c r="F2963" s="178" t="s">
        <v>466</v>
      </c>
    </row>
    <row r="2964">
      <c r="A2964" s="250">
        <v>45473.464064444444</v>
      </c>
      <c r="B2964" s="251" t="s">
        <v>1844</v>
      </c>
      <c r="C2964" s="178" t="s">
        <v>4344</v>
      </c>
      <c r="D2964" s="36">
        <v>948277.0</v>
      </c>
      <c r="E2964" s="36" t="s">
        <v>1683</v>
      </c>
      <c r="F2964" s="178" t="s">
        <v>424</v>
      </c>
    </row>
    <row r="2965">
      <c r="A2965" s="250">
        <v>45473.464064444444</v>
      </c>
      <c r="B2965" s="251" t="s">
        <v>1802</v>
      </c>
      <c r="C2965" s="178" t="s">
        <v>4325</v>
      </c>
      <c r="D2965" s="36" t="s">
        <v>1683</v>
      </c>
      <c r="E2965" s="36">
        <v>948277.0</v>
      </c>
      <c r="F2965" s="178" t="s">
        <v>424</v>
      </c>
    </row>
    <row r="2966">
      <c r="A2966" s="250">
        <v>45473.63544222222</v>
      </c>
      <c r="B2966" s="251" t="s">
        <v>2053</v>
      </c>
      <c r="C2966" s="178" t="s">
        <v>4345</v>
      </c>
      <c r="D2966" s="36">
        <v>289670.0</v>
      </c>
      <c r="E2966" s="36" t="s">
        <v>1683</v>
      </c>
      <c r="F2966" s="178" t="s">
        <v>1683</v>
      </c>
    </row>
    <row r="2967">
      <c r="A2967" s="250">
        <v>45473.63544222222</v>
      </c>
      <c r="B2967" s="251" t="s">
        <v>2055</v>
      </c>
      <c r="C2967" s="178" t="s">
        <v>4346</v>
      </c>
      <c r="D2967" s="36" t="s">
        <v>1683</v>
      </c>
      <c r="E2967" s="36">
        <v>289670.0</v>
      </c>
      <c r="F2967" s="178" t="s">
        <v>1683</v>
      </c>
    </row>
    <row r="2968">
      <c r="A2968" s="250">
        <v>45473.635452222225</v>
      </c>
      <c r="B2968" s="251" t="s">
        <v>1786</v>
      </c>
      <c r="C2968" s="178" t="s">
        <v>4347</v>
      </c>
      <c r="D2968" s="36">
        <v>289670.0</v>
      </c>
      <c r="E2968" s="36" t="s">
        <v>1683</v>
      </c>
      <c r="F2968" s="178" t="s">
        <v>1683</v>
      </c>
    </row>
    <row r="2969">
      <c r="A2969" s="250">
        <v>45473.635452222225</v>
      </c>
      <c r="B2969" s="251" t="s">
        <v>2397</v>
      </c>
      <c r="C2969" s="178" t="s">
        <v>4348</v>
      </c>
      <c r="D2969" s="36" t="s">
        <v>1683</v>
      </c>
      <c r="E2969" s="36">
        <v>289670.0</v>
      </c>
      <c r="F2969" s="178" t="s">
        <v>1683</v>
      </c>
    </row>
    <row r="2970">
      <c r="A2970" s="250">
        <v>45473.84124222222</v>
      </c>
      <c r="B2970" s="251" t="s">
        <v>1693</v>
      </c>
      <c r="C2970" s="178" t="s">
        <v>4349</v>
      </c>
      <c r="D2970" s="36">
        <v>26728.000000000004</v>
      </c>
      <c r="E2970" s="36" t="s">
        <v>1683</v>
      </c>
      <c r="F2970" s="178" t="s">
        <v>936</v>
      </c>
    </row>
    <row r="2971">
      <c r="A2971" s="250">
        <v>45473.84124222222</v>
      </c>
      <c r="B2971" s="251" t="s">
        <v>1684</v>
      </c>
      <c r="C2971" s="178" t="s">
        <v>4350</v>
      </c>
      <c r="D2971" s="36" t="s">
        <v>1683</v>
      </c>
      <c r="E2971" s="36">
        <v>26728.000000000004</v>
      </c>
      <c r="F2971" s="178" t="s">
        <v>936</v>
      </c>
    </row>
    <row r="2972">
      <c r="A2972" s="250">
        <v>45473.84130222222</v>
      </c>
      <c r="B2972" s="251" t="s">
        <v>1693</v>
      </c>
      <c r="C2972" s="178" t="s">
        <v>4351</v>
      </c>
      <c r="D2972" s="36">
        <v>29222.0</v>
      </c>
      <c r="E2972" s="36" t="s">
        <v>1683</v>
      </c>
      <c r="F2972" s="178" t="s">
        <v>936</v>
      </c>
    </row>
    <row r="2973">
      <c r="A2973" s="250">
        <v>45473.84130222222</v>
      </c>
      <c r="B2973" s="251" t="s">
        <v>1684</v>
      </c>
      <c r="C2973" s="178" t="s">
        <v>4352</v>
      </c>
      <c r="D2973" s="36" t="s">
        <v>1683</v>
      </c>
      <c r="E2973" s="36">
        <v>29222.0</v>
      </c>
      <c r="F2973" s="178" t="s">
        <v>936</v>
      </c>
    </row>
    <row r="2974">
      <c r="A2974" s="250">
        <v>45474.95766888889</v>
      </c>
      <c r="B2974" s="251" t="s">
        <v>1783</v>
      </c>
      <c r="C2974" s="178" t="s">
        <v>4353</v>
      </c>
      <c r="D2974" s="36">
        <v>62756.0</v>
      </c>
      <c r="E2974" s="36" t="s">
        <v>1683</v>
      </c>
      <c r="F2974" s="178" t="s">
        <v>620</v>
      </c>
    </row>
    <row r="2975">
      <c r="A2975" s="250">
        <v>45474.95766888889</v>
      </c>
      <c r="B2975" s="251" t="s">
        <v>1684</v>
      </c>
      <c r="C2975" s="178" t="s">
        <v>4354</v>
      </c>
      <c r="D2975" s="36" t="s">
        <v>1683</v>
      </c>
      <c r="E2975" s="36">
        <v>62756.0</v>
      </c>
      <c r="F2975" s="178" t="s">
        <v>620</v>
      </c>
    </row>
    <row r="2976">
      <c r="A2976" s="250">
        <v>45474.95798888889</v>
      </c>
      <c r="B2976" s="251" t="s">
        <v>1783</v>
      </c>
      <c r="C2976" s="178" t="s">
        <v>4355</v>
      </c>
      <c r="D2976" s="36">
        <v>225921.0</v>
      </c>
      <c r="E2976" s="36" t="s">
        <v>1683</v>
      </c>
      <c r="F2976" s="178" t="s">
        <v>751</v>
      </c>
    </row>
    <row r="2977">
      <c r="A2977" s="250">
        <v>45474.95798888889</v>
      </c>
      <c r="B2977" s="251" t="s">
        <v>1684</v>
      </c>
      <c r="C2977" s="178" t="s">
        <v>4356</v>
      </c>
      <c r="D2977" s="36" t="s">
        <v>1683</v>
      </c>
      <c r="E2977" s="36">
        <v>225921.0</v>
      </c>
      <c r="F2977" s="178" t="s">
        <v>751</v>
      </c>
    </row>
    <row r="2978">
      <c r="A2978" s="250">
        <v>45474.95799888889</v>
      </c>
      <c r="B2978" s="251" t="s">
        <v>1783</v>
      </c>
      <c r="C2978" s="178" t="s">
        <v>4357</v>
      </c>
      <c r="D2978" s="36">
        <v>540326.9999999999</v>
      </c>
      <c r="E2978" s="36" t="s">
        <v>1683</v>
      </c>
      <c r="F2978" s="178" t="s">
        <v>752</v>
      </c>
    </row>
    <row r="2979">
      <c r="A2979" s="250">
        <v>45474.95799888889</v>
      </c>
      <c r="B2979" s="251" t="s">
        <v>1684</v>
      </c>
      <c r="C2979" s="178" t="s">
        <v>4358</v>
      </c>
      <c r="D2979" s="36" t="s">
        <v>1683</v>
      </c>
      <c r="E2979" s="36">
        <v>540326.9999999999</v>
      </c>
      <c r="F2979" s="178" t="s">
        <v>752</v>
      </c>
    </row>
    <row r="2980">
      <c r="A2980" s="250">
        <v>45474.958618888886</v>
      </c>
      <c r="B2980" s="251" t="s">
        <v>1783</v>
      </c>
      <c r="C2980" s="178" t="s">
        <v>4359</v>
      </c>
      <c r="D2980" s="36">
        <v>58273.0</v>
      </c>
      <c r="E2980" s="36" t="s">
        <v>1683</v>
      </c>
      <c r="F2980" s="178" t="s">
        <v>620</v>
      </c>
    </row>
    <row r="2981">
      <c r="A2981" s="250">
        <v>45474.958618888886</v>
      </c>
      <c r="B2981" s="251" t="s">
        <v>1684</v>
      </c>
      <c r="C2981" s="178" t="s">
        <v>4360</v>
      </c>
      <c r="D2981" s="36" t="s">
        <v>1683</v>
      </c>
      <c r="E2981" s="36">
        <v>58273.0</v>
      </c>
      <c r="F2981" s="178" t="s">
        <v>620</v>
      </c>
    </row>
    <row r="2982">
      <c r="A2982" s="250">
        <v>45475.59181666667</v>
      </c>
      <c r="B2982" s="251" t="s">
        <v>3930</v>
      </c>
      <c r="C2982" s="178" t="s">
        <v>4361</v>
      </c>
      <c r="D2982" s="36">
        <v>554969.0</v>
      </c>
      <c r="E2982" s="36" t="s">
        <v>1683</v>
      </c>
      <c r="F2982" s="178" t="s">
        <v>731</v>
      </c>
    </row>
    <row r="2983">
      <c r="A2983" s="250">
        <v>45475.59181666667</v>
      </c>
      <c r="B2983" s="251" t="s">
        <v>1802</v>
      </c>
      <c r="C2983" s="178" t="s">
        <v>4340</v>
      </c>
      <c r="D2983" s="36" t="s">
        <v>1683</v>
      </c>
      <c r="E2983" s="36">
        <v>554969.0</v>
      </c>
      <c r="F2983" s="178" t="s">
        <v>731</v>
      </c>
    </row>
    <row r="2984">
      <c r="A2984" s="250">
        <v>45477.511276666664</v>
      </c>
      <c r="B2984" s="251" t="s">
        <v>3264</v>
      </c>
      <c r="C2984" s="178" t="s">
        <v>4362</v>
      </c>
      <c r="D2984" s="36">
        <v>7178500.0</v>
      </c>
      <c r="E2984" s="36" t="s">
        <v>1683</v>
      </c>
      <c r="F2984" s="178" t="s">
        <v>208</v>
      </c>
    </row>
    <row r="2985">
      <c r="A2985" s="250">
        <v>45477.511276666664</v>
      </c>
      <c r="B2985" s="251" t="s">
        <v>3242</v>
      </c>
      <c r="C2985" s="178" t="s">
        <v>3481</v>
      </c>
      <c r="D2985" s="36" t="s">
        <v>1683</v>
      </c>
      <c r="E2985" s="36">
        <v>7178500.0</v>
      </c>
      <c r="F2985" s="178" t="s">
        <v>208</v>
      </c>
    </row>
    <row r="2986">
      <c r="A2986" s="250">
        <v>45477.72040888888</v>
      </c>
      <c r="B2986" s="251" t="s">
        <v>3004</v>
      </c>
      <c r="C2986" s="178" t="s">
        <v>4363</v>
      </c>
      <c r="D2986" s="36">
        <v>26728.000000000004</v>
      </c>
      <c r="E2986" s="36" t="s">
        <v>1683</v>
      </c>
      <c r="F2986" s="178" t="s">
        <v>936</v>
      </c>
    </row>
    <row r="2987">
      <c r="A2987" s="250">
        <v>45477.72040888888</v>
      </c>
      <c r="B2987" s="251" t="s">
        <v>1698</v>
      </c>
      <c r="C2987" s="178" t="s">
        <v>4349</v>
      </c>
      <c r="D2987" s="36" t="s">
        <v>1683</v>
      </c>
      <c r="E2987" s="36">
        <v>26728.000000000004</v>
      </c>
      <c r="F2987" s="178" t="s">
        <v>936</v>
      </c>
    </row>
    <row r="2988">
      <c r="A2988" s="250">
        <v>45477.72046888889</v>
      </c>
      <c r="B2988" s="251" t="s">
        <v>3491</v>
      </c>
      <c r="C2988" s="178" t="s">
        <v>4364</v>
      </c>
      <c r="D2988" s="36">
        <v>29222.0</v>
      </c>
      <c r="E2988" s="36" t="s">
        <v>1683</v>
      </c>
      <c r="F2988" s="178" t="s">
        <v>936</v>
      </c>
    </row>
    <row r="2989">
      <c r="A2989" s="250">
        <v>45477.72046888889</v>
      </c>
      <c r="B2989" s="251" t="s">
        <v>1698</v>
      </c>
      <c r="C2989" s="178" t="s">
        <v>4351</v>
      </c>
      <c r="D2989" s="36" t="s">
        <v>1683</v>
      </c>
      <c r="E2989" s="36">
        <v>29222.0</v>
      </c>
      <c r="F2989" s="178" t="s">
        <v>936</v>
      </c>
    </row>
    <row r="2990">
      <c r="A2990" s="250">
        <v>45477.917016666666</v>
      </c>
      <c r="B2990" s="251" t="s">
        <v>3125</v>
      </c>
      <c r="C2990" s="178" t="s">
        <v>4365</v>
      </c>
      <c r="D2990" s="36">
        <v>6000000.0</v>
      </c>
      <c r="E2990" s="36" t="s">
        <v>1683</v>
      </c>
      <c r="F2990" s="178" t="s">
        <v>75</v>
      </c>
    </row>
    <row r="2991">
      <c r="A2991" s="250">
        <v>45477.917016666666</v>
      </c>
      <c r="B2991" s="251" t="s">
        <v>3242</v>
      </c>
      <c r="C2991" s="178" t="s">
        <v>3476</v>
      </c>
      <c r="D2991" s="36" t="s">
        <v>1683</v>
      </c>
      <c r="E2991" s="36">
        <v>6000000.0</v>
      </c>
      <c r="F2991" s="178" t="s">
        <v>75</v>
      </c>
    </row>
    <row r="2992">
      <c r="A2992" s="250">
        <v>45478.67774333333</v>
      </c>
      <c r="B2992" s="251" t="s">
        <v>1607</v>
      </c>
      <c r="C2992" s="178" t="s">
        <v>4366</v>
      </c>
      <c r="D2992" s="36">
        <v>47000.0</v>
      </c>
      <c r="E2992" s="36" t="s">
        <v>1683</v>
      </c>
      <c r="F2992" s="178" t="s">
        <v>1663</v>
      </c>
    </row>
    <row r="2993">
      <c r="A2993" s="250">
        <v>45478.67774333333</v>
      </c>
      <c r="B2993" s="251" t="s">
        <v>1684</v>
      </c>
      <c r="C2993" s="178" t="s">
        <v>4367</v>
      </c>
      <c r="D2993" s="36" t="s">
        <v>1683</v>
      </c>
      <c r="E2993" s="36">
        <v>47000.0</v>
      </c>
      <c r="F2993" s="178" t="s">
        <v>1663</v>
      </c>
    </row>
    <row r="2994">
      <c r="A2994" s="250">
        <v>45479.47780777778</v>
      </c>
      <c r="B2994" s="251" t="s">
        <v>4332</v>
      </c>
      <c r="C2994" s="178" t="s">
        <v>4368</v>
      </c>
      <c r="D2994" s="36">
        <v>62756.0</v>
      </c>
      <c r="E2994" s="36" t="s">
        <v>1683</v>
      </c>
      <c r="F2994" s="178" t="s">
        <v>620</v>
      </c>
    </row>
    <row r="2995">
      <c r="A2995" s="250">
        <v>45479.47780777778</v>
      </c>
      <c r="B2995" s="251" t="s">
        <v>1802</v>
      </c>
      <c r="C2995" s="178" t="s">
        <v>4353</v>
      </c>
      <c r="D2995" s="36" t="s">
        <v>1683</v>
      </c>
      <c r="E2995" s="36">
        <v>62756.0</v>
      </c>
      <c r="F2995" s="178" t="s">
        <v>620</v>
      </c>
    </row>
    <row r="2996">
      <c r="A2996" s="250">
        <v>45479.47812777778</v>
      </c>
      <c r="B2996" s="251" t="s">
        <v>3932</v>
      </c>
      <c r="C2996" s="178" t="s">
        <v>4369</v>
      </c>
      <c r="D2996" s="36">
        <v>225921.0</v>
      </c>
      <c r="E2996" s="36" t="s">
        <v>1683</v>
      </c>
      <c r="F2996" s="178" t="s">
        <v>751</v>
      </c>
    </row>
    <row r="2997">
      <c r="A2997" s="250">
        <v>45479.47812777778</v>
      </c>
      <c r="B2997" s="251" t="s">
        <v>1802</v>
      </c>
      <c r="C2997" s="178" t="s">
        <v>4355</v>
      </c>
      <c r="D2997" s="36" t="s">
        <v>1683</v>
      </c>
      <c r="E2997" s="36">
        <v>225921.0</v>
      </c>
      <c r="F2997" s="178" t="s">
        <v>751</v>
      </c>
    </row>
    <row r="2998">
      <c r="A2998" s="250">
        <v>45479.478757777775</v>
      </c>
      <c r="B2998" s="251" t="s">
        <v>4334</v>
      </c>
      <c r="C2998" s="178" t="s">
        <v>4370</v>
      </c>
      <c r="D2998" s="36">
        <v>58273.0</v>
      </c>
      <c r="E2998" s="36" t="s">
        <v>1683</v>
      </c>
      <c r="F2998" s="178" t="s">
        <v>620</v>
      </c>
    </row>
    <row r="2999">
      <c r="A2999" s="250">
        <v>45479.478757777775</v>
      </c>
      <c r="B2999" s="251" t="s">
        <v>1802</v>
      </c>
      <c r="C2999" s="178" t="s">
        <v>4359</v>
      </c>
      <c r="D2999" s="36" t="s">
        <v>1683</v>
      </c>
      <c r="E2999" s="36">
        <v>58273.0</v>
      </c>
      <c r="F2999" s="178" t="s">
        <v>620</v>
      </c>
    </row>
    <row r="3000">
      <c r="A3000" s="250">
        <v>45479.53772</v>
      </c>
      <c r="B3000" s="251" t="s">
        <v>3916</v>
      </c>
      <c r="C3000" s="178" t="s">
        <v>4371</v>
      </c>
      <c r="D3000" s="36">
        <v>589315.0</v>
      </c>
      <c r="E3000" s="36" t="s">
        <v>1683</v>
      </c>
      <c r="F3000" s="178" t="s">
        <v>466</v>
      </c>
    </row>
    <row r="3001">
      <c r="A3001" s="250">
        <v>45479.53772</v>
      </c>
      <c r="B3001" s="251" t="s">
        <v>1802</v>
      </c>
      <c r="C3001" s="178" t="s">
        <v>4342</v>
      </c>
      <c r="D3001" s="36" t="s">
        <v>1683</v>
      </c>
      <c r="E3001" s="36">
        <v>589315.0</v>
      </c>
      <c r="F3001" s="178" t="s">
        <v>466</v>
      </c>
    </row>
    <row r="3002">
      <c r="A3002" s="250">
        <v>45480.01364444444</v>
      </c>
      <c r="B3002" s="251" t="s">
        <v>1693</v>
      </c>
      <c r="C3002" s="178" t="s">
        <v>4372</v>
      </c>
      <c r="D3002" s="36">
        <v>180199.99999999997</v>
      </c>
      <c r="E3002" s="36" t="s">
        <v>1683</v>
      </c>
      <c r="F3002" s="178" t="s">
        <v>381</v>
      </c>
    </row>
    <row r="3003">
      <c r="A3003" s="250">
        <v>45480.01364444444</v>
      </c>
      <c r="B3003" s="251" t="s">
        <v>1684</v>
      </c>
      <c r="C3003" s="178" t="s">
        <v>4373</v>
      </c>
      <c r="D3003" s="36" t="s">
        <v>1683</v>
      </c>
      <c r="E3003" s="36">
        <v>180199.99999999997</v>
      </c>
      <c r="F3003" s="178" t="s">
        <v>381</v>
      </c>
    </row>
    <row r="3004">
      <c r="A3004" s="250">
        <v>45480.409167777776</v>
      </c>
      <c r="B3004" s="251" t="s">
        <v>1783</v>
      </c>
      <c r="C3004" s="178" t="s">
        <v>4374</v>
      </c>
      <c r="D3004" s="36">
        <v>539650.0</v>
      </c>
      <c r="E3004" s="36" t="s">
        <v>1683</v>
      </c>
      <c r="F3004" s="178" t="s">
        <v>730</v>
      </c>
    </row>
    <row r="3005">
      <c r="A3005" s="250">
        <v>45480.409167777776</v>
      </c>
      <c r="B3005" s="251" t="s">
        <v>1684</v>
      </c>
      <c r="C3005" s="178" t="s">
        <v>4375</v>
      </c>
      <c r="D3005" s="36" t="s">
        <v>1683</v>
      </c>
      <c r="E3005" s="36">
        <v>539650.0</v>
      </c>
      <c r="F3005" s="178" t="s">
        <v>730</v>
      </c>
    </row>
    <row r="3006">
      <c r="A3006" s="250">
        <v>45480.40980777778</v>
      </c>
      <c r="B3006" s="251" t="s">
        <v>1783</v>
      </c>
      <c r="C3006" s="178" t="s">
        <v>4376</v>
      </c>
      <c r="D3006" s="36">
        <v>360000.0</v>
      </c>
      <c r="E3006" s="36" t="s">
        <v>1683</v>
      </c>
      <c r="F3006" s="178" t="s">
        <v>301</v>
      </c>
    </row>
    <row r="3007">
      <c r="A3007" s="250">
        <v>45480.40980777778</v>
      </c>
      <c r="B3007" s="251" t="s">
        <v>1684</v>
      </c>
      <c r="C3007" s="178" t="s">
        <v>4377</v>
      </c>
      <c r="D3007" s="36" t="s">
        <v>1683</v>
      </c>
      <c r="E3007" s="36">
        <v>360000.0</v>
      </c>
      <c r="F3007" s="178" t="s">
        <v>301</v>
      </c>
    </row>
    <row r="3008">
      <c r="A3008" s="250">
        <v>45480.57119333333</v>
      </c>
      <c r="B3008" s="251" t="s">
        <v>3932</v>
      </c>
      <c r="C3008" s="178" t="s">
        <v>4378</v>
      </c>
      <c r="D3008" s="36">
        <v>540326.9999999999</v>
      </c>
      <c r="E3008" s="36" t="s">
        <v>1683</v>
      </c>
      <c r="F3008" s="178" t="s">
        <v>752</v>
      </c>
    </row>
    <row r="3009">
      <c r="A3009" s="250">
        <v>45480.57119333333</v>
      </c>
      <c r="B3009" s="251" t="s">
        <v>1802</v>
      </c>
      <c r="C3009" s="178" t="s">
        <v>4357</v>
      </c>
      <c r="D3009" s="36" t="s">
        <v>1683</v>
      </c>
      <c r="E3009" s="36">
        <v>540326.9999999999</v>
      </c>
      <c r="F3009" s="178" t="s">
        <v>752</v>
      </c>
    </row>
    <row r="3010">
      <c r="A3010" s="250">
        <v>45481.554362222225</v>
      </c>
      <c r="B3010" s="251" t="s">
        <v>1693</v>
      </c>
      <c r="C3010" s="178" t="s">
        <v>4379</v>
      </c>
      <c r="D3010" s="36">
        <v>711169.0</v>
      </c>
      <c r="E3010" s="36" t="s">
        <v>1683</v>
      </c>
      <c r="F3010" s="178" t="s">
        <v>121</v>
      </c>
    </row>
    <row r="3011">
      <c r="A3011" s="250">
        <v>45481.554362222225</v>
      </c>
      <c r="B3011" s="251" t="s">
        <v>1684</v>
      </c>
      <c r="C3011" s="178" t="s">
        <v>4380</v>
      </c>
      <c r="D3011" s="36" t="s">
        <v>1683</v>
      </c>
      <c r="E3011" s="36">
        <v>711169.0</v>
      </c>
      <c r="F3011" s="178" t="s">
        <v>121</v>
      </c>
    </row>
    <row r="3012">
      <c r="A3012" s="250">
        <v>45481.58422333334</v>
      </c>
      <c r="B3012" s="251" t="s">
        <v>3017</v>
      </c>
      <c r="C3012" s="178" t="s">
        <v>4381</v>
      </c>
      <c r="D3012" s="36">
        <v>711169.0</v>
      </c>
      <c r="E3012" s="36" t="s">
        <v>1683</v>
      </c>
      <c r="F3012" s="178" t="s">
        <v>121</v>
      </c>
    </row>
    <row r="3013">
      <c r="A3013" s="250">
        <v>45481.58422333334</v>
      </c>
      <c r="B3013" s="251" t="s">
        <v>1698</v>
      </c>
      <c r="C3013" s="178" t="s">
        <v>4379</v>
      </c>
      <c r="D3013" s="36" t="s">
        <v>1683</v>
      </c>
      <c r="E3013" s="36">
        <v>711169.0</v>
      </c>
      <c r="F3013" s="178" t="s">
        <v>121</v>
      </c>
    </row>
    <row r="3014">
      <c r="A3014" s="250">
        <v>45484.339588888884</v>
      </c>
      <c r="B3014" s="251" t="s">
        <v>1693</v>
      </c>
      <c r="C3014" s="178" t="s">
        <v>4382</v>
      </c>
      <c r="D3014" s="36">
        <v>325623.99999999994</v>
      </c>
      <c r="E3014" s="36" t="s">
        <v>1683</v>
      </c>
      <c r="F3014" s="178" t="s">
        <v>106</v>
      </c>
    </row>
    <row r="3015">
      <c r="A3015" s="250">
        <v>45484.339588888884</v>
      </c>
      <c r="B3015" s="251" t="s">
        <v>1684</v>
      </c>
      <c r="C3015" s="178" t="s">
        <v>4383</v>
      </c>
      <c r="D3015" s="36" t="s">
        <v>1683</v>
      </c>
      <c r="E3015" s="36">
        <v>325623.99999999994</v>
      </c>
      <c r="F3015" s="178" t="s">
        <v>106</v>
      </c>
    </row>
    <row r="3016">
      <c r="A3016" s="250">
        <v>45484.50486666666</v>
      </c>
      <c r="B3016" s="251" t="s">
        <v>3022</v>
      </c>
      <c r="C3016" s="178" t="s">
        <v>4384</v>
      </c>
      <c r="D3016" s="36">
        <v>325623.99999999994</v>
      </c>
      <c r="E3016" s="36" t="s">
        <v>1683</v>
      </c>
      <c r="F3016" s="178" t="s">
        <v>106</v>
      </c>
    </row>
    <row r="3017">
      <c r="A3017" s="250">
        <v>45484.50486666666</v>
      </c>
      <c r="B3017" s="251" t="s">
        <v>1698</v>
      </c>
      <c r="C3017" s="178" t="s">
        <v>4382</v>
      </c>
      <c r="D3017" s="36" t="s">
        <v>1683</v>
      </c>
      <c r="E3017" s="36">
        <v>325623.99999999994</v>
      </c>
      <c r="F3017" s="178" t="s">
        <v>106</v>
      </c>
    </row>
    <row r="3018">
      <c r="A3018" s="250">
        <v>45484.66712666667</v>
      </c>
      <c r="B3018" s="251" t="s">
        <v>2489</v>
      </c>
      <c r="C3018" s="178" t="s">
        <v>4385</v>
      </c>
      <c r="D3018" s="36">
        <v>4540000.0</v>
      </c>
      <c r="E3018" s="36" t="s">
        <v>1683</v>
      </c>
      <c r="F3018" s="178" t="s">
        <v>382</v>
      </c>
    </row>
    <row r="3019">
      <c r="A3019" s="250">
        <v>45484.66712666667</v>
      </c>
      <c r="B3019" s="251" t="s">
        <v>3242</v>
      </c>
      <c r="C3019" s="178" t="s">
        <v>3937</v>
      </c>
      <c r="D3019" s="36" t="s">
        <v>1683</v>
      </c>
      <c r="E3019" s="36">
        <v>4540000.0</v>
      </c>
      <c r="F3019" s="178" t="s">
        <v>382</v>
      </c>
    </row>
    <row r="3020">
      <c r="A3020" s="250">
        <v>45484.66755666667</v>
      </c>
      <c r="B3020" s="251" t="s">
        <v>1844</v>
      </c>
      <c r="C3020" s="178" t="s">
        <v>4386</v>
      </c>
      <c r="D3020" s="36">
        <v>2556000.0</v>
      </c>
      <c r="E3020" s="36" t="s">
        <v>1683</v>
      </c>
      <c r="F3020" s="178" t="s">
        <v>426</v>
      </c>
    </row>
    <row r="3021">
      <c r="A3021" s="250">
        <v>45484.66755666667</v>
      </c>
      <c r="B3021" s="251" t="s">
        <v>3242</v>
      </c>
      <c r="C3021" s="178" t="s">
        <v>3939</v>
      </c>
      <c r="D3021" s="36" t="s">
        <v>1683</v>
      </c>
      <c r="E3021" s="36">
        <v>2556000.0</v>
      </c>
      <c r="F3021" s="178" t="s">
        <v>426</v>
      </c>
    </row>
    <row r="3022">
      <c r="A3022" s="250">
        <v>45484.785866666665</v>
      </c>
      <c r="B3022" s="251" t="s">
        <v>2489</v>
      </c>
      <c r="C3022" s="178" t="s">
        <v>4387</v>
      </c>
      <c r="D3022" s="36">
        <v>180199.99999999997</v>
      </c>
      <c r="E3022" s="36" t="s">
        <v>1683</v>
      </c>
      <c r="F3022" s="178" t="s">
        <v>381</v>
      </c>
    </row>
    <row r="3023">
      <c r="A3023" s="250">
        <v>45484.785866666665</v>
      </c>
      <c r="B3023" s="251" t="s">
        <v>1698</v>
      </c>
      <c r="C3023" s="178" t="s">
        <v>4372</v>
      </c>
      <c r="D3023" s="36" t="s">
        <v>1683</v>
      </c>
      <c r="E3023" s="36">
        <v>180199.99999999997</v>
      </c>
      <c r="F3023" s="178" t="s">
        <v>381</v>
      </c>
    </row>
    <row r="3024">
      <c r="A3024" s="250">
        <v>45485.45430666667</v>
      </c>
      <c r="B3024" s="251" t="s">
        <v>3930</v>
      </c>
      <c r="C3024" s="178" t="s">
        <v>4388</v>
      </c>
      <c r="D3024" s="36">
        <v>539650.0</v>
      </c>
      <c r="E3024" s="36" t="s">
        <v>1683</v>
      </c>
      <c r="F3024" s="178" t="s">
        <v>730</v>
      </c>
    </row>
    <row r="3025">
      <c r="A3025" s="250">
        <v>45485.45430666667</v>
      </c>
      <c r="B3025" s="251" t="s">
        <v>1802</v>
      </c>
      <c r="C3025" s="178" t="s">
        <v>4374</v>
      </c>
      <c r="D3025" s="36" t="s">
        <v>1683</v>
      </c>
      <c r="E3025" s="36">
        <v>539650.0</v>
      </c>
      <c r="F3025" s="178" t="s">
        <v>730</v>
      </c>
    </row>
    <row r="3026">
      <c r="A3026" s="250">
        <v>45485.614583333336</v>
      </c>
      <c r="B3026" s="251" t="s">
        <v>1783</v>
      </c>
      <c r="C3026" s="178" t="s">
        <v>4389</v>
      </c>
      <c r="D3026" s="36">
        <v>271899.0</v>
      </c>
      <c r="E3026" s="36" t="s">
        <v>1683</v>
      </c>
      <c r="F3026" s="178" t="s">
        <v>324</v>
      </c>
    </row>
    <row r="3027">
      <c r="A3027" s="250">
        <v>45485.614583333336</v>
      </c>
      <c r="B3027" s="251" t="s">
        <v>1684</v>
      </c>
      <c r="C3027" s="178" t="s">
        <v>4390</v>
      </c>
      <c r="D3027" s="36" t="s">
        <v>1683</v>
      </c>
      <c r="E3027" s="36">
        <v>271899.0</v>
      </c>
      <c r="F3027" s="178" t="s">
        <v>324</v>
      </c>
    </row>
    <row r="3028">
      <c r="A3028" s="250">
        <v>45485.614713333336</v>
      </c>
      <c r="B3028" s="251" t="s">
        <v>1783</v>
      </c>
      <c r="C3028" s="178" t="s">
        <v>4391</v>
      </c>
      <c r="D3028" s="36">
        <v>539650.0</v>
      </c>
      <c r="E3028" s="36" t="s">
        <v>1683</v>
      </c>
      <c r="F3028" s="178" t="s">
        <v>729</v>
      </c>
    </row>
    <row r="3029">
      <c r="A3029" s="250">
        <v>45485.614713333336</v>
      </c>
      <c r="B3029" s="251" t="s">
        <v>1684</v>
      </c>
      <c r="C3029" s="178" t="s">
        <v>4392</v>
      </c>
      <c r="D3029" s="36" t="s">
        <v>1683</v>
      </c>
      <c r="E3029" s="36">
        <v>539650.0</v>
      </c>
      <c r="F3029" s="178" t="s">
        <v>729</v>
      </c>
    </row>
    <row r="3030">
      <c r="A3030" s="250">
        <v>45485.61527333334</v>
      </c>
      <c r="B3030" s="251" t="s">
        <v>1783</v>
      </c>
      <c r="C3030" s="178" t="s">
        <v>4393</v>
      </c>
      <c r="D3030" s="36">
        <v>287978.0</v>
      </c>
      <c r="E3030" s="36" t="s">
        <v>1683</v>
      </c>
      <c r="F3030" s="178" t="s">
        <v>595</v>
      </c>
    </row>
    <row r="3031">
      <c r="A3031" s="250">
        <v>45485.61527333334</v>
      </c>
      <c r="B3031" s="251" t="s">
        <v>1684</v>
      </c>
      <c r="C3031" s="178" t="s">
        <v>4394</v>
      </c>
      <c r="D3031" s="36" t="s">
        <v>1683</v>
      </c>
      <c r="E3031" s="36">
        <v>287978.0</v>
      </c>
      <c r="F3031" s="178" t="s">
        <v>595</v>
      </c>
    </row>
    <row r="3032">
      <c r="A3032" s="250">
        <v>45485.615333333335</v>
      </c>
      <c r="B3032" s="251" t="s">
        <v>1783</v>
      </c>
      <c r="C3032" s="178" t="s">
        <v>4395</v>
      </c>
      <c r="D3032" s="36">
        <v>287977.0</v>
      </c>
      <c r="E3032" s="36" t="s">
        <v>1683</v>
      </c>
      <c r="F3032" s="178" t="s">
        <v>595</v>
      </c>
    </row>
    <row r="3033">
      <c r="A3033" s="250">
        <v>45485.615333333335</v>
      </c>
      <c r="B3033" s="251" t="s">
        <v>1684</v>
      </c>
      <c r="C3033" s="178" t="s">
        <v>4396</v>
      </c>
      <c r="D3033" s="36" t="s">
        <v>1683</v>
      </c>
      <c r="E3033" s="36">
        <v>287977.0</v>
      </c>
      <c r="F3033" s="178" t="s">
        <v>595</v>
      </c>
    </row>
    <row r="3034">
      <c r="A3034" s="250">
        <v>45485.615353333334</v>
      </c>
      <c r="B3034" s="251" t="s">
        <v>1783</v>
      </c>
      <c r="C3034" s="178" t="s">
        <v>4397</v>
      </c>
      <c r="D3034" s="36">
        <v>418125.0</v>
      </c>
      <c r="E3034" s="36" t="s">
        <v>1683</v>
      </c>
      <c r="F3034" s="178" t="s">
        <v>300</v>
      </c>
    </row>
    <row r="3035">
      <c r="A3035" s="250">
        <v>45485.615353333334</v>
      </c>
      <c r="B3035" s="251" t="s">
        <v>1684</v>
      </c>
      <c r="C3035" s="178" t="s">
        <v>4398</v>
      </c>
      <c r="D3035" s="36" t="s">
        <v>1683</v>
      </c>
      <c r="E3035" s="36">
        <v>418125.0</v>
      </c>
      <c r="F3035" s="178" t="s">
        <v>300</v>
      </c>
    </row>
    <row r="3036">
      <c r="A3036" s="250">
        <v>45486.45633555556</v>
      </c>
      <c r="B3036" s="251" t="s">
        <v>4047</v>
      </c>
      <c r="C3036" s="178" t="s">
        <v>4399</v>
      </c>
      <c r="D3036" s="36">
        <v>360000.0</v>
      </c>
      <c r="E3036" s="36" t="s">
        <v>1683</v>
      </c>
      <c r="F3036" s="178" t="s">
        <v>301</v>
      </c>
    </row>
    <row r="3037">
      <c r="A3037" s="250">
        <v>45486.45633555556</v>
      </c>
      <c r="B3037" s="251" t="s">
        <v>1802</v>
      </c>
      <c r="C3037" s="178" t="s">
        <v>4376</v>
      </c>
      <c r="D3037" s="36" t="s">
        <v>1683</v>
      </c>
      <c r="E3037" s="36">
        <v>360000.0</v>
      </c>
      <c r="F3037" s="178" t="s">
        <v>301</v>
      </c>
    </row>
    <row r="3038">
      <c r="A3038" s="250">
        <v>45486.573176666665</v>
      </c>
      <c r="B3038" s="251" t="s">
        <v>1693</v>
      </c>
      <c r="C3038" s="178" t="s">
        <v>4400</v>
      </c>
      <c r="D3038" s="36">
        <v>53500.0</v>
      </c>
      <c r="E3038" s="36" t="s">
        <v>1683</v>
      </c>
      <c r="F3038" s="178" t="s">
        <v>935</v>
      </c>
    </row>
    <row r="3039">
      <c r="A3039" s="250">
        <v>45486.573176666665</v>
      </c>
      <c r="B3039" s="251" t="s">
        <v>1684</v>
      </c>
      <c r="C3039" s="178" t="s">
        <v>4401</v>
      </c>
      <c r="D3039" s="36" t="s">
        <v>1683</v>
      </c>
      <c r="E3039" s="36">
        <v>53500.0</v>
      </c>
      <c r="F3039" s="178" t="s">
        <v>935</v>
      </c>
    </row>
    <row r="3040">
      <c r="A3040" s="250">
        <v>45486.722916666666</v>
      </c>
      <c r="B3040" s="251" t="s">
        <v>4073</v>
      </c>
      <c r="C3040" s="178" t="s">
        <v>4402</v>
      </c>
      <c r="D3040" s="36">
        <v>271899.0</v>
      </c>
      <c r="E3040" s="36" t="s">
        <v>1683</v>
      </c>
      <c r="F3040" s="178" t="s">
        <v>324</v>
      </c>
    </row>
    <row r="3041">
      <c r="A3041" s="250">
        <v>45486.722916666666</v>
      </c>
      <c r="B3041" s="251" t="s">
        <v>1802</v>
      </c>
      <c r="C3041" s="178" t="s">
        <v>4389</v>
      </c>
      <c r="D3041" s="36" t="s">
        <v>1683</v>
      </c>
      <c r="E3041" s="36">
        <v>271899.0</v>
      </c>
      <c r="F3041" s="178" t="s">
        <v>324</v>
      </c>
    </row>
    <row r="3042">
      <c r="A3042" s="250">
        <v>45486.83336333334</v>
      </c>
      <c r="B3042" s="251" t="s">
        <v>2839</v>
      </c>
      <c r="C3042" s="178" t="s">
        <v>4403</v>
      </c>
      <c r="D3042" s="36">
        <v>6694999.999999999</v>
      </c>
      <c r="E3042" s="36" t="s">
        <v>1683</v>
      </c>
      <c r="F3042" s="178" t="s">
        <v>330</v>
      </c>
    </row>
    <row r="3043">
      <c r="A3043" s="250">
        <v>45486.83336333334</v>
      </c>
      <c r="B3043" s="251" t="s">
        <v>3242</v>
      </c>
      <c r="C3043" s="178" t="s">
        <v>3832</v>
      </c>
      <c r="D3043" s="36" t="s">
        <v>1683</v>
      </c>
      <c r="E3043" s="36">
        <v>6694999.999999999</v>
      </c>
      <c r="F3043" s="178" t="s">
        <v>330</v>
      </c>
    </row>
    <row r="3044">
      <c r="A3044" s="250">
        <v>45487.47444111111</v>
      </c>
      <c r="B3044" s="251" t="s">
        <v>1783</v>
      </c>
      <c r="C3044" s="178" t="s">
        <v>4404</v>
      </c>
      <c r="D3044" s="36">
        <v>156999.99999999997</v>
      </c>
      <c r="E3044" s="36" t="s">
        <v>1683</v>
      </c>
      <c r="F3044" s="178" t="s">
        <v>205</v>
      </c>
    </row>
    <row r="3045">
      <c r="A3045" s="250">
        <v>45487.47444111111</v>
      </c>
      <c r="B3045" s="251" t="s">
        <v>1684</v>
      </c>
      <c r="C3045" s="178" t="s">
        <v>4405</v>
      </c>
      <c r="D3045" s="36" t="s">
        <v>1683</v>
      </c>
      <c r="E3045" s="36">
        <v>156999.99999999997</v>
      </c>
      <c r="F3045" s="178" t="s">
        <v>205</v>
      </c>
    </row>
    <row r="3046">
      <c r="A3046" s="250">
        <v>45487.72941663194</v>
      </c>
      <c r="B3046" s="251" t="s">
        <v>2839</v>
      </c>
      <c r="C3046" s="178" t="s">
        <v>4406</v>
      </c>
      <c r="D3046" s="36">
        <v>42848.0</v>
      </c>
      <c r="E3046" s="36" t="s">
        <v>1683</v>
      </c>
      <c r="F3046" s="178" t="s">
        <v>1683</v>
      </c>
    </row>
    <row r="3047">
      <c r="A3047" s="250">
        <v>45487.72941663194</v>
      </c>
      <c r="B3047" s="251" t="s">
        <v>4407</v>
      </c>
      <c r="C3047" s="178" t="s">
        <v>4408</v>
      </c>
      <c r="D3047" s="36" t="s">
        <v>1683</v>
      </c>
      <c r="E3047" s="36">
        <v>42848.0</v>
      </c>
      <c r="F3047" s="178" t="s">
        <v>1683</v>
      </c>
    </row>
    <row r="3048">
      <c r="A3048" s="250">
        <v>45487.762945208335</v>
      </c>
      <c r="B3048" s="251" t="s">
        <v>2841</v>
      </c>
      <c r="C3048" s="178" t="s">
        <v>4409</v>
      </c>
      <c r="D3048" s="36">
        <v>109025.0</v>
      </c>
      <c r="E3048" s="36" t="s">
        <v>1683</v>
      </c>
      <c r="F3048" s="178" t="s">
        <v>1683</v>
      </c>
    </row>
    <row r="3049">
      <c r="A3049" s="250">
        <v>45487.762945208335</v>
      </c>
      <c r="B3049" s="251" t="s">
        <v>3102</v>
      </c>
      <c r="C3049" s="178" t="s">
        <v>4410</v>
      </c>
      <c r="D3049" s="36" t="s">
        <v>1683</v>
      </c>
      <c r="E3049" s="36">
        <v>109025.0</v>
      </c>
      <c r="F3049" s="178" t="s">
        <v>1683</v>
      </c>
    </row>
    <row r="3050">
      <c r="A3050" s="250">
        <v>45487.766273113426</v>
      </c>
      <c r="B3050" s="251" t="s">
        <v>2906</v>
      </c>
      <c r="C3050" s="178" t="s">
        <v>4411</v>
      </c>
      <c r="D3050" s="36">
        <v>5886.0</v>
      </c>
      <c r="E3050" s="36" t="s">
        <v>1683</v>
      </c>
      <c r="F3050" s="178" t="s">
        <v>1683</v>
      </c>
    </row>
    <row r="3051">
      <c r="A3051" s="250">
        <v>45487.766273113426</v>
      </c>
      <c r="B3051" s="251" t="s">
        <v>2908</v>
      </c>
      <c r="C3051" s="178" t="s">
        <v>4412</v>
      </c>
      <c r="D3051" s="36" t="s">
        <v>1683</v>
      </c>
      <c r="E3051" s="36">
        <v>5886.0</v>
      </c>
      <c r="F3051" s="178" t="s">
        <v>1683</v>
      </c>
    </row>
    <row r="3052">
      <c r="A3052" s="250">
        <v>45488.833463333336</v>
      </c>
      <c r="B3052" s="251" t="s">
        <v>3930</v>
      </c>
      <c r="C3052" s="178" t="s">
        <v>4413</v>
      </c>
      <c r="D3052" s="36">
        <v>539650.0</v>
      </c>
      <c r="E3052" s="36" t="s">
        <v>1683</v>
      </c>
      <c r="F3052" s="178" t="s">
        <v>729</v>
      </c>
    </row>
    <row r="3053">
      <c r="A3053" s="250">
        <v>45488.833463333336</v>
      </c>
      <c r="B3053" s="251" t="s">
        <v>1802</v>
      </c>
      <c r="C3053" s="178" t="s">
        <v>4391</v>
      </c>
      <c r="D3053" s="36" t="s">
        <v>1683</v>
      </c>
      <c r="E3053" s="36">
        <v>539650.0</v>
      </c>
      <c r="F3053" s="178" t="s">
        <v>729</v>
      </c>
    </row>
    <row r="3054">
      <c r="A3054" s="250">
        <v>45488.83359333334</v>
      </c>
      <c r="B3054" s="251" t="s">
        <v>3004</v>
      </c>
      <c r="C3054" s="178" t="s">
        <v>4414</v>
      </c>
      <c r="D3054" s="36">
        <v>53500.0</v>
      </c>
      <c r="E3054" s="36" t="s">
        <v>1683</v>
      </c>
      <c r="F3054" s="178" t="s">
        <v>935</v>
      </c>
    </row>
    <row r="3055">
      <c r="A3055" s="250">
        <v>45488.83359333334</v>
      </c>
      <c r="B3055" s="251" t="s">
        <v>1698</v>
      </c>
      <c r="C3055" s="178" t="s">
        <v>4400</v>
      </c>
      <c r="D3055" s="36" t="s">
        <v>1683</v>
      </c>
      <c r="E3055" s="36">
        <v>53500.0</v>
      </c>
      <c r="F3055" s="178" t="s">
        <v>935</v>
      </c>
    </row>
    <row r="3056">
      <c r="A3056" s="250">
        <v>45488.83402333334</v>
      </c>
      <c r="B3056" s="251" t="s">
        <v>4076</v>
      </c>
      <c r="C3056" s="178" t="s">
        <v>4415</v>
      </c>
      <c r="D3056" s="36">
        <v>287978.0</v>
      </c>
      <c r="E3056" s="36" t="s">
        <v>1683</v>
      </c>
      <c r="F3056" s="178" t="s">
        <v>595</v>
      </c>
    </row>
    <row r="3057">
      <c r="A3057" s="250">
        <v>45488.83402333334</v>
      </c>
      <c r="B3057" s="251" t="s">
        <v>1802</v>
      </c>
      <c r="C3057" s="178" t="s">
        <v>4393</v>
      </c>
      <c r="D3057" s="36" t="s">
        <v>1683</v>
      </c>
      <c r="E3057" s="36">
        <v>287978.0</v>
      </c>
      <c r="F3057" s="178" t="s">
        <v>595</v>
      </c>
    </row>
    <row r="3058">
      <c r="A3058" s="250">
        <v>45488.834083333335</v>
      </c>
      <c r="B3058" s="251" t="s">
        <v>4078</v>
      </c>
      <c r="C3058" s="178" t="s">
        <v>4416</v>
      </c>
      <c r="D3058" s="36">
        <v>287977.0</v>
      </c>
      <c r="E3058" s="36" t="s">
        <v>1683</v>
      </c>
      <c r="F3058" s="178" t="s">
        <v>595</v>
      </c>
    </row>
    <row r="3059">
      <c r="A3059" s="250">
        <v>45488.834083333335</v>
      </c>
      <c r="B3059" s="251" t="s">
        <v>1802</v>
      </c>
      <c r="C3059" s="178" t="s">
        <v>4395</v>
      </c>
      <c r="D3059" s="36" t="s">
        <v>1683</v>
      </c>
      <c r="E3059" s="36">
        <v>287977.0</v>
      </c>
      <c r="F3059" s="178" t="s">
        <v>595</v>
      </c>
    </row>
    <row r="3060">
      <c r="A3060" s="250">
        <v>45489.41689666666</v>
      </c>
      <c r="B3060" s="251" t="s">
        <v>3006</v>
      </c>
      <c r="C3060" s="178" t="s">
        <v>4417</v>
      </c>
      <c r="D3060" s="36">
        <v>1036636.9999999998</v>
      </c>
      <c r="E3060" s="36" t="s">
        <v>1683</v>
      </c>
      <c r="F3060" s="178" t="s">
        <v>104</v>
      </c>
    </row>
    <row r="3061">
      <c r="A3061" s="250">
        <v>45489.41689666666</v>
      </c>
      <c r="B3061" s="251" t="s">
        <v>1684</v>
      </c>
      <c r="C3061" s="178" t="s">
        <v>4418</v>
      </c>
      <c r="D3061" s="36" t="s">
        <v>1683</v>
      </c>
      <c r="E3061" s="36">
        <v>1036636.9999999998</v>
      </c>
      <c r="F3061" s="178" t="s">
        <v>104</v>
      </c>
    </row>
    <row r="3062">
      <c r="A3062" s="250">
        <v>45489.417546666664</v>
      </c>
      <c r="B3062" s="251" t="s">
        <v>3006</v>
      </c>
      <c r="C3062" s="178" t="s">
        <v>4419</v>
      </c>
      <c r="D3062" s="36">
        <v>1104875.0000000002</v>
      </c>
      <c r="E3062" s="36" t="s">
        <v>1683</v>
      </c>
      <c r="F3062" s="178" t="s">
        <v>104</v>
      </c>
    </row>
    <row r="3063">
      <c r="A3063" s="250">
        <v>45489.417546666664</v>
      </c>
      <c r="B3063" s="251" t="s">
        <v>1684</v>
      </c>
      <c r="C3063" s="178" t="s">
        <v>4420</v>
      </c>
      <c r="D3063" s="36" t="s">
        <v>1683</v>
      </c>
      <c r="E3063" s="36">
        <v>1104875.0000000002</v>
      </c>
      <c r="F3063" s="178" t="s">
        <v>104</v>
      </c>
    </row>
    <row r="3064">
      <c r="A3064" s="250">
        <v>45489.48264444444</v>
      </c>
      <c r="B3064" s="251" t="s">
        <v>1783</v>
      </c>
      <c r="C3064" s="178" t="s">
        <v>4421</v>
      </c>
      <c r="D3064" s="36">
        <v>74100.0</v>
      </c>
      <c r="E3064" s="36" t="s">
        <v>1683</v>
      </c>
      <c r="F3064" s="178" t="s">
        <v>295</v>
      </c>
    </row>
    <row r="3065">
      <c r="A3065" s="250">
        <v>45489.48264444444</v>
      </c>
      <c r="B3065" s="251" t="s">
        <v>1684</v>
      </c>
      <c r="C3065" s="178" t="s">
        <v>4422</v>
      </c>
      <c r="D3065" s="36" t="s">
        <v>1683</v>
      </c>
      <c r="E3065" s="36">
        <v>74100.0</v>
      </c>
      <c r="F3065" s="178" t="s">
        <v>295</v>
      </c>
    </row>
    <row r="3066">
      <c r="A3066" s="250">
        <v>45489.68827</v>
      </c>
      <c r="B3066" s="251" t="s">
        <v>4047</v>
      </c>
      <c r="C3066" s="178" t="s">
        <v>4423</v>
      </c>
      <c r="D3066" s="36">
        <v>418125.0</v>
      </c>
      <c r="E3066" s="36" t="s">
        <v>1683</v>
      </c>
      <c r="F3066" s="178" t="s">
        <v>300</v>
      </c>
    </row>
    <row r="3067">
      <c r="A3067" s="250">
        <v>45489.68827</v>
      </c>
      <c r="B3067" s="251" t="s">
        <v>1802</v>
      </c>
      <c r="C3067" s="178" t="s">
        <v>4397</v>
      </c>
      <c r="D3067" s="36" t="s">
        <v>1683</v>
      </c>
      <c r="E3067" s="36">
        <v>418125.0</v>
      </c>
      <c r="F3067" s="178" t="s">
        <v>300</v>
      </c>
    </row>
    <row r="3068">
      <c r="A3068" s="250">
        <v>45490.700829999994</v>
      </c>
      <c r="B3068" s="251" t="s">
        <v>3264</v>
      </c>
      <c r="C3068" s="178" t="s">
        <v>4424</v>
      </c>
      <c r="D3068" s="36">
        <v>156999.99999999997</v>
      </c>
      <c r="E3068" s="36" t="s">
        <v>1683</v>
      </c>
      <c r="F3068" s="178" t="s">
        <v>205</v>
      </c>
    </row>
    <row r="3069">
      <c r="A3069" s="250">
        <v>45490.700829999994</v>
      </c>
      <c r="B3069" s="251" t="s">
        <v>1802</v>
      </c>
      <c r="C3069" s="178" t="s">
        <v>4404</v>
      </c>
      <c r="D3069" s="36" t="s">
        <v>1683</v>
      </c>
      <c r="E3069" s="36">
        <v>156999.99999999997</v>
      </c>
      <c r="F3069" s="178" t="s">
        <v>205</v>
      </c>
    </row>
    <row r="3070">
      <c r="A3070" s="250">
        <v>45490.74027333334</v>
      </c>
      <c r="B3070" s="251" t="s">
        <v>1693</v>
      </c>
      <c r="C3070" s="178" t="s">
        <v>4425</v>
      </c>
      <c r="D3070" s="36">
        <v>153880.0</v>
      </c>
      <c r="E3070" s="36" t="s">
        <v>1683</v>
      </c>
      <c r="F3070" s="178" t="s">
        <v>294</v>
      </c>
    </row>
    <row r="3071">
      <c r="A3071" s="250">
        <v>45490.74027333334</v>
      </c>
      <c r="B3071" s="251" t="s">
        <v>1684</v>
      </c>
      <c r="C3071" s="178" t="s">
        <v>4426</v>
      </c>
      <c r="D3071" s="36" t="s">
        <v>1683</v>
      </c>
      <c r="E3071" s="36">
        <v>153880.0</v>
      </c>
      <c r="F3071" s="178" t="s">
        <v>294</v>
      </c>
    </row>
    <row r="3072">
      <c r="A3072" s="250">
        <v>45491.68995114583</v>
      </c>
      <c r="B3072" s="251" t="s">
        <v>3020</v>
      </c>
      <c r="C3072" s="178" t="s">
        <v>4427</v>
      </c>
      <c r="D3072" s="36">
        <v>1036636.9999999998</v>
      </c>
      <c r="E3072" s="36" t="s">
        <v>1683</v>
      </c>
      <c r="F3072" s="178" t="s">
        <v>104</v>
      </c>
    </row>
    <row r="3073">
      <c r="A3073" s="250">
        <v>45491.68995114583</v>
      </c>
      <c r="B3073" s="251" t="s">
        <v>3019</v>
      </c>
      <c r="C3073" s="178" t="s">
        <v>4417</v>
      </c>
      <c r="D3073" s="36" t="s">
        <v>1683</v>
      </c>
      <c r="E3073" s="36">
        <v>1036636.9999999998</v>
      </c>
      <c r="F3073" s="178" t="s">
        <v>104</v>
      </c>
    </row>
    <row r="3074">
      <c r="A3074" s="250">
        <v>45491.69025253472</v>
      </c>
      <c r="B3074" s="251" t="s">
        <v>3418</v>
      </c>
      <c r="C3074" s="178" t="s">
        <v>4428</v>
      </c>
      <c r="D3074" s="36">
        <v>74100.0</v>
      </c>
      <c r="E3074" s="36" t="s">
        <v>1683</v>
      </c>
      <c r="F3074" s="178" t="s">
        <v>295</v>
      </c>
    </row>
    <row r="3075">
      <c r="A3075" s="250">
        <v>45491.69025253472</v>
      </c>
      <c r="B3075" s="251" t="s">
        <v>1802</v>
      </c>
      <c r="C3075" s="178" t="s">
        <v>4421</v>
      </c>
      <c r="D3075" s="36" t="s">
        <v>1683</v>
      </c>
      <c r="E3075" s="36">
        <v>74100.0</v>
      </c>
      <c r="F3075" s="178" t="s">
        <v>295</v>
      </c>
    </row>
    <row r="3076">
      <c r="A3076" s="250">
        <v>45491.690587453704</v>
      </c>
      <c r="B3076" s="251" t="s">
        <v>3017</v>
      </c>
      <c r="C3076" s="178" t="s">
        <v>4429</v>
      </c>
      <c r="D3076" s="36">
        <v>1104875.0000000002</v>
      </c>
      <c r="E3076" s="36" t="s">
        <v>1683</v>
      </c>
      <c r="F3076" s="178" t="s">
        <v>104</v>
      </c>
    </row>
    <row r="3077">
      <c r="A3077" s="250">
        <v>45491.690587453704</v>
      </c>
      <c r="B3077" s="251" t="s">
        <v>3019</v>
      </c>
      <c r="C3077" s="178" t="s">
        <v>4419</v>
      </c>
      <c r="D3077" s="36" t="s">
        <v>1683</v>
      </c>
      <c r="E3077" s="36">
        <v>1104875.0000000002</v>
      </c>
      <c r="F3077" s="178" t="s">
        <v>104</v>
      </c>
    </row>
    <row r="3078">
      <c r="A3078" s="250">
        <v>45492.96515333333</v>
      </c>
      <c r="B3078" s="251" t="s">
        <v>1783</v>
      </c>
      <c r="C3078" s="178" t="s">
        <v>4430</v>
      </c>
      <c r="D3078" s="36">
        <v>1336500.0</v>
      </c>
      <c r="E3078" s="36" t="s">
        <v>1683</v>
      </c>
      <c r="F3078" s="178" t="s">
        <v>392</v>
      </c>
    </row>
    <row r="3079">
      <c r="A3079" s="250">
        <v>45492.96515333333</v>
      </c>
      <c r="B3079" s="251" t="s">
        <v>1684</v>
      </c>
      <c r="C3079" s="178" t="s">
        <v>4431</v>
      </c>
      <c r="D3079" s="36" t="s">
        <v>1683</v>
      </c>
      <c r="E3079" s="36">
        <v>1336500.0</v>
      </c>
      <c r="F3079" s="178" t="s">
        <v>392</v>
      </c>
    </row>
    <row r="3080">
      <c r="A3080" s="250">
        <v>45492.96526333333</v>
      </c>
      <c r="B3080" s="251" t="s">
        <v>1783</v>
      </c>
      <c r="C3080" s="178" t="s">
        <v>4432</v>
      </c>
      <c r="D3080" s="36">
        <v>465360.0</v>
      </c>
      <c r="E3080" s="36" t="s">
        <v>1683</v>
      </c>
      <c r="F3080" s="178" t="s">
        <v>292</v>
      </c>
    </row>
    <row r="3081">
      <c r="A3081" s="250">
        <v>45492.96526333333</v>
      </c>
      <c r="B3081" s="251" t="s">
        <v>1684</v>
      </c>
      <c r="C3081" s="178" t="s">
        <v>4433</v>
      </c>
      <c r="D3081" s="36" t="s">
        <v>1683</v>
      </c>
      <c r="E3081" s="36">
        <v>465360.0</v>
      </c>
      <c r="F3081" s="178" t="s">
        <v>292</v>
      </c>
    </row>
    <row r="3082">
      <c r="A3082" s="250">
        <v>45492.96817555555</v>
      </c>
      <c r="B3082" s="251" t="s">
        <v>1783</v>
      </c>
      <c r="C3082" s="178" t="s">
        <v>4434</v>
      </c>
      <c r="D3082" s="36">
        <v>321287.0</v>
      </c>
      <c r="E3082" s="36" t="s">
        <v>1683</v>
      </c>
      <c r="F3082" s="178" t="s">
        <v>728</v>
      </c>
    </row>
    <row r="3083">
      <c r="A3083" s="250">
        <v>45492.96817555555</v>
      </c>
      <c r="B3083" s="251" t="s">
        <v>1684</v>
      </c>
      <c r="C3083" s="178" t="s">
        <v>4435</v>
      </c>
      <c r="D3083" s="36" t="s">
        <v>1683</v>
      </c>
      <c r="E3083" s="36">
        <v>321287.0</v>
      </c>
      <c r="F3083" s="178" t="s">
        <v>728</v>
      </c>
    </row>
    <row r="3084">
      <c r="A3084" s="250">
        <v>45492.97024888889</v>
      </c>
      <c r="B3084" s="251" t="s">
        <v>1783</v>
      </c>
      <c r="C3084" s="178" t="s">
        <v>4436</v>
      </c>
      <c r="D3084" s="36">
        <v>281860.00000000006</v>
      </c>
      <c r="E3084" s="36" t="s">
        <v>1683</v>
      </c>
      <c r="F3084" s="178" t="s">
        <v>727</v>
      </c>
    </row>
    <row r="3085">
      <c r="A3085" s="250">
        <v>45492.97024888889</v>
      </c>
      <c r="B3085" s="251" t="s">
        <v>1684</v>
      </c>
      <c r="C3085" s="178" t="s">
        <v>4437</v>
      </c>
      <c r="D3085" s="36" t="s">
        <v>1683</v>
      </c>
      <c r="E3085" s="36">
        <v>281860.00000000006</v>
      </c>
      <c r="F3085" s="178" t="s">
        <v>727</v>
      </c>
    </row>
    <row r="3086">
      <c r="A3086" s="250">
        <v>45492.97162777778</v>
      </c>
      <c r="B3086" s="251" t="s">
        <v>1783</v>
      </c>
      <c r="C3086" s="178" t="s">
        <v>4438</v>
      </c>
      <c r="D3086" s="36">
        <v>141430.00000000003</v>
      </c>
      <c r="E3086" s="36" t="s">
        <v>1683</v>
      </c>
      <c r="F3086" s="178" t="s">
        <v>726</v>
      </c>
    </row>
    <row r="3087">
      <c r="A3087" s="250">
        <v>45492.97162777778</v>
      </c>
      <c r="B3087" s="251" t="s">
        <v>1684</v>
      </c>
      <c r="C3087" s="178" t="s">
        <v>4439</v>
      </c>
      <c r="D3087" s="36" t="s">
        <v>1683</v>
      </c>
      <c r="E3087" s="36">
        <v>141430.00000000003</v>
      </c>
      <c r="F3087" s="178" t="s">
        <v>726</v>
      </c>
    </row>
    <row r="3088">
      <c r="A3088" s="250">
        <v>45493.660546666666</v>
      </c>
      <c r="B3088" s="251" t="s">
        <v>1783</v>
      </c>
      <c r="C3088" s="178" t="s">
        <v>4440</v>
      </c>
      <c r="D3088" s="36">
        <v>72500.0</v>
      </c>
      <c r="E3088" s="36" t="s">
        <v>1683</v>
      </c>
      <c r="F3088" s="178" t="s">
        <v>921</v>
      </c>
    </row>
    <row r="3089">
      <c r="A3089" s="250">
        <v>45493.660546666666</v>
      </c>
      <c r="B3089" s="251" t="s">
        <v>1684</v>
      </c>
      <c r="C3089" s="178" t="s">
        <v>4441</v>
      </c>
      <c r="D3089" s="36" t="s">
        <v>1683</v>
      </c>
      <c r="E3089" s="36">
        <v>72500.0</v>
      </c>
      <c r="F3089" s="178" t="s">
        <v>921</v>
      </c>
    </row>
    <row r="3090">
      <c r="A3090" s="250">
        <v>45493.661925555556</v>
      </c>
      <c r="B3090" s="251" t="s">
        <v>1783</v>
      </c>
      <c r="C3090" s="178" t="s">
        <v>4442</v>
      </c>
      <c r="D3090" s="36">
        <v>293500.0</v>
      </c>
      <c r="E3090" s="36" t="s">
        <v>1683</v>
      </c>
      <c r="F3090" s="178" t="s">
        <v>920</v>
      </c>
    </row>
    <row r="3091">
      <c r="A3091" s="250">
        <v>45493.661925555556</v>
      </c>
      <c r="B3091" s="251" t="s">
        <v>1684</v>
      </c>
      <c r="C3091" s="178" t="s">
        <v>4443</v>
      </c>
      <c r="D3091" s="36" t="s">
        <v>1683</v>
      </c>
      <c r="E3091" s="36">
        <v>293500.0</v>
      </c>
      <c r="F3091" s="178" t="s">
        <v>920</v>
      </c>
    </row>
    <row r="3092">
      <c r="A3092" s="250">
        <v>45493.667036666666</v>
      </c>
      <c r="B3092" s="251" t="s">
        <v>3127</v>
      </c>
      <c r="C3092" s="178" t="s">
        <v>4444</v>
      </c>
      <c r="D3092" s="36">
        <v>3052982.0</v>
      </c>
      <c r="E3092" s="36" t="s">
        <v>1683</v>
      </c>
      <c r="F3092" s="178" t="s">
        <v>482</v>
      </c>
    </row>
    <row r="3093">
      <c r="A3093" s="250">
        <v>45493.667036666666</v>
      </c>
      <c r="B3093" s="251" t="s">
        <v>3242</v>
      </c>
      <c r="C3093" s="178" t="s">
        <v>3935</v>
      </c>
      <c r="D3093" s="36" t="s">
        <v>1683</v>
      </c>
      <c r="E3093" s="36">
        <v>3052982.0</v>
      </c>
      <c r="F3093" s="178" t="s">
        <v>482</v>
      </c>
    </row>
    <row r="3094">
      <c r="A3094" s="250">
        <v>45494.456940000004</v>
      </c>
      <c r="B3094" s="251" t="s">
        <v>3418</v>
      </c>
      <c r="C3094" s="178" t="s">
        <v>4445</v>
      </c>
      <c r="D3094" s="36">
        <v>153880.0</v>
      </c>
      <c r="E3094" s="36" t="s">
        <v>1683</v>
      </c>
      <c r="F3094" s="178" t="s">
        <v>294</v>
      </c>
    </row>
    <row r="3095">
      <c r="A3095" s="250">
        <v>45494.456940000004</v>
      </c>
      <c r="B3095" s="251" t="s">
        <v>1698</v>
      </c>
      <c r="C3095" s="178" t="s">
        <v>4425</v>
      </c>
      <c r="D3095" s="36" t="s">
        <v>1683</v>
      </c>
      <c r="E3095" s="36">
        <v>153880.0</v>
      </c>
      <c r="F3095" s="178" t="s">
        <v>294</v>
      </c>
    </row>
    <row r="3096">
      <c r="A3096" s="250">
        <v>45494.83692555555</v>
      </c>
      <c r="B3096" s="251" t="s">
        <v>2497</v>
      </c>
      <c r="C3096" s="178" t="s">
        <v>4446</v>
      </c>
      <c r="D3096" s="36">
        <v>293500.0</v>
      </c>
      <c r="E3096" s="36" t="s">
        <v>1683</v>
      </c>
      <c r="F3096" s="178" t="s">
        <v>920</v>
      </c>
    </row>
    <row r="3097">
      <c r="A3097" s="250">
        <v>45494.83692555555</v>
      </c>
      <c r="B3097" s="251" t="s">
        <v>1802</v>
      </c>
      <c r="C3097" s="178" t="s">
        <v>4442</v>
      </c>
      <c r="D3097" s="36" t="s">
        <v>1683</v>
      </c>
      <c r="E3097" s="36">
        <v>293500.0</v>
      </c>
      <c r="F3097" s="178" t="s">
        <v>920</v>
      </c>
    </row>
    <row r="3098">
      <c r="A3098" s="250">
        <v>45495.42648888889</v>
      </c>
      <c r="B3098" s="251" t="s">
        <v>3930</v>
      </c>
      <c r="C3098" s="178" t="s">
        <v>4447</v>
      </c>
      <c r="D3098" s="36">
        <v>141430.00000000003</v>
      </c>
      <c r="E3098" s="36" t="s">
        <v>1683</v>
      </c>
      <c r="F3098" s="178" t="s">
        <v>726</v>
      </c>
    </row>
    <row r="3099">
      <c r="A3099" s="250">
        <v>45495.42648888889</v>
      </c>
      <c r="B3099" s="251" t="s">
        <v>1802</v>
      </c>
      <c r="C3099" s="178" t="s">
        <v>4438</v>
      </c>
      <c r="D3099" s="36" t="s">
        <v>1683</v>
      </c>
      <c r="E3099" s="36">
        <v>141430.00000000003</v>
      </c>
      <c r="F3099" s="178" t="s">
        <v>726</v>
      </c>
    </row>
    <row r="3100">
      <c r="A3100" s="250">
        <v>45495.42649888889</v>
      </c>
      <c r="B3100" s="251" t="s">
        <v>3930</v>
      </c>
      <c r="C3100" s="178" t="s">
        <v>4448</v>
      </c>
      <c r="D3100" s="36">
        <v>281860.00000000006</v>
      </c>
      <c r="E3100" s="36" t="s">
        <v>1683</v>
      </c>
      <c r="F3100" s="178" t="s">
        <v>727</v>
      </c>
    </row>
    <row r="3101">
      <c r="A3101" s="250">
        <v>45495.42649888889</v>
      </c>
      <c r="B3101" s="251" t="s">
        <v>1802</v>
      </c>
      <c r="C3101" s="178" t="s">
        <v>4436</v>
      </c>
      <c r="D3101" s="36" t="s">
        <v>1683</v>
      </c>
      <c r="E3101" s="36">
        <v>281860.00000000006</v>
      </c>
      <c r="F3101" s="178" t="s">
        <v>727</v>
      </c>
    </row>
    <row r="3102">
      <c r="A3102" s="250">
        <v>45495.426508888886</v>
      </c>
      <c r="B3102" s="251" t="s">
        <v>3930</v>
      </c>
      <c r="C3102" s="178" t="s">
        <v>4449</v>
      </c>
      <c r="D3102" s="36">
        <v>321287.0</v>
      </c>
      <c r="E3102" s="36" t="s">
        <v>1683</v>
      </c>
      <c r="F3102" s="178" t="s">
        <v>728</v>
      </c>
    </row>
    <row r="3103">
      <c r="A3103" s="250">
        <v>45495.426508888886</v>
      </c>
      <c r="B3103" s="251" t="s">
        <v>1802</v>
      </c>
      <c r="C3103" s="178" t="s">
        <v>4434</v>
      </c>
      <c r="D3103" s="36" t="s">
        <v>1683</v>
      </c>
      <c r="E3103" s="36">
        <v>321287.0</v>
      </c>
      <c r="F3103" s="178" t="s">
        <v>728</v>
      </c>
    </row>
    <row r="3104">
      <c r="A3104" s="250">
        <v>45495.426958888886</v>
      </c>
      <c r="B3104" s="251" t="s">
        <v>3046</v>
      </c>
      <c r="C3104" s="178" t="s">
        <v>4450</v>
      </c>
      <c r="D3104" s="36">
        <v>1336500.0</v>
      </c>
      <c r="E3104" s="36" t="s">
        <v>1683</v>
      </c>
      <c r="F3104" s="178" t="s">
        <v>392</v>
      </c>
    </row>
    <row r="3105">
      <c r="A3105" s="250">
        <v>45495.426958888886</v>
      </c>
      <c r="B3105" s="251" t="s">
        <v>1802</v>
      </c>
      <c r="C3105" s="178" t="s">
        <v>4430</v>
      </c>
      <c r="D3105" s="36" t="s">
        <v>1683</v>
      </c>
      <c r="E3105" s="36">
        <v>1336500.0</v>
      </c>
      <c r="F3105" s="178" t="s">
        <v>392</v>
      </c>
    </row>
    <row r="3106">
      <c r="A3106" s="250">
        <v>45495.42706888889</v>
      </c>
      <c r="B3106" s="251" t="s">
        <v>3418</v>
      </c>
      <c r="C3106" s="178" t="s">
        <v>4451</v>
      </c>
      <c r="D3106" s="36">
        <v>465360.0</v>
      </c>
      <c r="E3106" s="36" t="s">
        <v>1683</v>
      </c>
      <c r="F3106" s="178" t="s">
        <v>292</v>
      </c>
    </row>
    <row r="3107">
      <c r="A3107" s="250">
        <v>45495.42706888889</v>
      </c>
      <c r="B3107" s="251" t="s">
        <v>1802</v>
      </c>
      <c r="C3107" s="178" t="s">
        <v>4432</v>
      </c>
      <c r="D3107" s="36" t="s">
        <v>1683</v>
      </c>
      <c r="E3107" s="36">
        <v>465360.0</v>
      </c>
      <c r="F3107" s="178" t="s">
        <v>292</v>
      </c>
    </row>
    <row r="3108">
      <c r="A3108" s="250">
        <v>45495.59735222222</v>
      </c>
      <c r="B3108" s="251" t="s">
        <v>2497</v>
      </c>
      <c r="C3108" s="178" t="s">
        <v>4452</v>
      </c>
      <c r="D3108" s="36">
        <v>72500.0</v>
      </c>
      <c r="E3108" s="36" t="s">
        <v>1683</v>
      </c>
      <c r="F3108" s="178" t="s">
        <v>921</v>
      </c>
    </row>
    <row r="3109">
      <c r="A3109" s="250">
        <v>45495.59735222222</v>
      </c>
      <c r="B3109" s="251" t="s">
        <v>1802</v>
      </c>
      <c r="C3109" s="178" t="s">
        <v>4440</v>
      </c>
      <c r="D3109" s="36" t="s">
        <v>1683</v>
      </c>
      <c r="E3109" s="36">
        <v>72500.0</v>
      </c>
      <c r="F3109" s="178" t="s">
        <v>921</v>
      </c>
    </row>
    <row r="3110">
      <c r="A3110" s="250">
        <v>45495.666756666666</v>
      </c>
      <c r="B3110" s="251" t="s">
        <v>2841</v>
      </c>
      <c r="C3110" s="178" t="s">
        <v>4453</v>
      </c>
      <c r="D3110" s="36">
        <v>3115000.0</v>
      </c>
      <c r="E3110" s="36" t="s">
        <v>1683</v>
      </c>
      <c r="F3110" s="178" t="s">
        <v>339</v>
      </c>
    </row>
    <row r="3111">
      <c r="A3111" s="250">
        <v>45495.666756666666</v>
      </c>
      <c r="B3111" s="251" t="s">
        <v>3242</v>
      </c>
      <c r="C3111" s="178" t="s">
        <v>4252</v>
      </c>
      <c r="D3111" s="36" t="s">
        <v>1683</v>
      </c>
      <c r="E3111" s="36">
        <v>3115000.0</v>
      </c>
      <c r="F3111" s="178" t="s">
        <v>339</v>
      </c>
    </row>
    <row r="3112">
      <c r="A3112" s="250">
        <v>45498.317451111114</v>
      </c>
      <c r="B3112" s="251" t="s">
        <v>1783</v>
      </c>
      <c r="C3112" s="178" t="s">
        <v>4454</v>
      </c>
      <c r="D3112" s="36">
        <v>556109.0000000001</v>
      </c>
      <c r="E3112" s="36" t="s">
        <v>1683</v>
      </c>
      <c r="F3112" s="178" t="s">
        <v>725</v>
      </c>
    </row>
    <row r="3113">
      <c r="A3113" s="250">
        <v>45498.317451111114</v>
      </c>
      <c r="B3113" s="251" t="s">
        <v>1684</v>
      </c>
      <c r="C3113" s="178" t="s">
        <v>4455</v>
      </c>
      <c r="D3113" s="36" t="s">
        <v>1683</v>
      </c>
      <c r="E3113" s="36">
        <v>556109.0000000001</v>
      </c>
      <c r="F3113" s="178" t="s">
        <v>725</v>
      </c>
    </row>
    <row r="3114">
      <c r="A3114" s="250">
        <v>45498.31791111111</v>
      </c>
      <c r="B3114" s="251" t="s">
        <v>1783</v>
      </c>
      <c r="C3114" s="178" t="s">
        <v>4456</v>
      </c>
      <c r="D3114" s="36">
        <v>347654.0</v>
      </c>
      <c r="E3114" s="36" t="s">
        <v>1683</v>
      </c>
      <c r="F3114" s="178" t="s">
        <v>860</v>
      </c>
    </row>
    <row r="3115">
      <c r="A3115" s="250">
        <v>45498.31791111111</v>
      </c>
      <c r="B3115" s="251" t="s">
        <v>1684</v>
      </c>
      <c r="C3115" s="178" t="s">
        <v>4457</v>
      </c>
      <c r="D3115" s="36" t="s">
        <v>1683</v>
      </c>
      <c r="E3115" s="36">
        <v>347654.0</v>
      </c>
      <c r="F3115" s="178" t="s">
        <v>860</v>
      </c>
    </row>
    <row r="3116">
      <c r="A3116" s="250">
        <v>45498.52859777778</v>
      </c>
      <c r="B3116" s="251" t="s">
        <v>1693</v>
      </c>
      <c r="C3116" s="178" t="s">
        <v>4458</v>
      </c>
      <c r="D3116" s="36">
        <v>126964.00000000001</v>
      </c>
      <c r="E3116" s="36" t="s">
        <v>1683</v>
      </c>
      <c r="F3116" s="178" t="s">
        <v>204</v>
      </c>
    </row>
    <row r="3117">
      <c r="A3117" s="250">
        <v>45498.52859777778</v>
      </c>
      <c r="B3117" s="251" t="s">
        <v>1684</v>
      </c>
      <c r="C3117" s="178" t="s">
        <v>4459</v>
      </c>
      <c r="D3117" s="36" t="s">
        <v>1683</v>
      </c>
      <c r="E3117" s="36">
        <v>126964.00000000001</v>
      </c>
      <c r="F3117" s="178" t="s">
        <v>204</v>
      </c>
    </row>
    <row r="3118">
      <c r="A3118" s="250">
        <v>45499.36883</v>
      </c>
      <c r="B3118" s="251" t="s">
        <v>1783</v>
      </c>
      <c r="C3118" s="178" t="s">
        <v>4460</v>
      </c>
      <c r="D3118" s="36">
        <v>556259.0</v>
      </c>
      <c r="E3118" s="36" t="s">
        <v>1683</v>
      </c>
      <c r="F3118" s="178" t="s">
        <v>724</v>
      </c>
    </row>
    <row r="3119">
      <c r="A3119" s="250">
        <v>45499.36883</v>
      </c>
      <c r="B3119" s="251" t="s">
        <v>1684</v>
      </c>
      <c r="C3119" s="178" t="s">
        <v>4461</v>
      </c>
      <c r="D3119" s="36" t="s">
        <v>1683</v>
      </c>
      <c r="E3119" s="36">
        <v>556259.0</v>
      </c>
      <c r="F3119" s="178" t="s">
        <v>724</v>
      </c>
    </row>
    <row r="3120">
      <c r="A3120" s="250">
        <v>45499.36961</v>
      </c>
      <c r="B3120" s="251" t="s">
        <v>1783</v>
      </c>
      <c r="C3120" s="178" t="s">
        <v>4462</v>
      </c>
      <c r="D3120" s="36">
        <v>188114.0</v>
      </c>
      <c r="E3120" s="36" t="s">
        <v>1683</v>
      </c>
      <c r="F3120" s="178" t="s">
        <v>309</v>
      </c>
    </row>
    <row r="3121">
      <c r="A3121" s="250">
        <v>45499.36961</v>
      </c>
      <c r="B3121" s="251" t="s">
        <v>1684</v>
      </c>
      <c r="C3121" s="178" t="s">
        <v>4463</v>
      </c>
      <c r="D3121" s="36" t="s">
        <v>1683</v>
      </c>
      <c r="E3121" s="36">
        <v>188114.0</v>
      </c>
      <c r="F3121" s="178" t="s">
        <v>309</v>
      </c>
    </row>
    <row r="3122">
      <c r="A3122" s="250">
        <v>45499.369660000004</v>
      </c>
      <c r="B3122" s="251" t="s">
        <v>1783</v>
      </c>
      <c r="C3122" s="178" t="s">
        <v>4464</v>
      </c>
      <c r="D3122" s="36">
        <v>160640.00000000003</v>
      </c>
      <c r="E3122" s="36" t="s">
        <v>1683</v>
      </c>
      <c r="F3122" s="178" t="s">
        <v>314</v>
      </c>
    </row>
    <row r="3123">
      <c r="A3123" s="250">
        <v>45499.369660000004</v>
      </c>
      <c r="B3123" s="251" t="s">
        <v>1684</v>
      </c>
      <c r="C3123" s="178" t="s">
        <v>4465</v>
      </c>
      <c r="D3123" s="36" t="s">
        <v>1683</v>
      </c>
      <c r="E3123" s="36">
        <v>160640.00000000003</v>
      </c>
      <c r="F3123" s="178" t="s">
        <v>314</v>
      </c>
    </row>
    <row r="3124">
      <c r="A3124" s="250">
        <v>45500.389014444445</v>
      </c>
      <c r="B3124" s="251" t="s">
        <v>3264</v>
      </c>
      <c r="C3124" s="178" t="s">
        <v>4466</v>
      </c>
      <c r="D3124" s="36">
        <v>126964.00000000001</v>
      </c>
      <c r="E3124" s="36" t="s">
        <v>1683</v>
      </c>
      <c r="F3124" s="178" t="s">
        <v>204</v>
      </c>
    </row>
    <row r="3125">
      <c r="A3125" s="250">
        <v>45500.389014444445</v>
      </c>
      <c r="B3125" s="251" t="s">
        <v>1698</v>
      </c>
      <c r="C3125" s="178" t="s">
        <v>4458</v>
      </c>
      <c r="D3125" s="36" t="s">
        <v>1683</v>
      </c>
      <c r="E3125" s="36">
        <v>126964.00000000001</v>
      </c>
      <c r="F3125" s="178" t="s">
        <v>204</v>
      </c>
    </row>
    <row r="3126">
      <c r="A3126" s="250">
        <v>45500.88620111111</v>
      </c>
      <c r="B3126" s="251" t="s">
        <v>3930</v>
      </c>
      <c r="C3126" s="178" t="s">
        <v>4467</v>
      </c>
      <c r="D3126" s="36">
        <v>556109.0000000001</v>
      </c>
      <c r="E3126" s="36" t="s">
        <v>1683</v>
      </c>
      <c r="F3126" s="178" t="s">
        <v>725</v>
      </c>
    </row>
    <row r="3127">
      <c r="A3127" s="250">
        <v>45500.88620111111</v>
      </c>
      <c r="B3127" s="251" t="s">
        <v>1802</v>
      </c>
      <c r="C3127" s="178" t="s">
        <v>4454</v>
      </c>
      <c r="D3127" s="36" t="s">
        <v>1683</v>
      </c>
      <c r="E3127" s="36">
        <v>556109.0000000001</v>
      </c>
      <c r="F3127" s="178" t="s">
        <v>725</v>
      </c>
    </row>
    <row r="3128">
      <c r="A3128" s="250">
        <v>45500.88666111111</v>
      </c>
      <c r="B3128" s="251" t="s">
        <v>3543</v>
      </c>
      <c r="C3128" s="178" t="s">
        <v>4468</v>
      </c>
      <c r="D3128" s="36">
        <v>347654.0</v>
      </c>
      <c r="E3128" s="36" t="s">
        <v>1683</v>
      </c>
      <c r="F3128" s="178" t="s">
        <v>860</v>
      </c>
    </row>
    <row r="3129">
      <c r="A3129" s="250">
        <v>45500.88666111111</v>
      </c>
      <c r="B3129" s="251" t="s">
        <v>1802</v>
      </c>
      <c r="C3129" s="178" t="s">
        <v>4456</v>
      </c>
      <c r="D3129" s="36" t="s">
        <v>1683</v>
      </c>
      <c r="E3129" s="36">
        <v>347654.0</v>
      </c>
      <c r="F3129" s="178" t="s">
        <v>860</v>
      </c>
    </row>
    <row r="3130">
      <c r="A3130" s="250">
        <v>45500.93553831019</v>
      </c>
      <c r="B3130" s="251" t="s">
        <v>1783</v>
      </c>
      <c r="C3130" s="178" t="s">
        <v>4469</v>
      </c>
      <c r="D3130" s="36">
        <v>902600.0</v>
      </c>
      <c r="E3130" s="36" t="s">
        <v>1683</v>
      </c>
      <c r="F3130" s="178" t="s">
        <v>291</v>
      </c>
    </row>
    <row r="3131">
      <c r="A3131" s="250">
        <v>45500.93553831019</v>
      </c>
      <c r="B3131" s="251" t="s">
        <v>1684</v>
      </c>
      <c r="C3131" s="178" t="s">
        <v>4470</v>
      </c>
      <c r="D3131" s="36" t="s">
        <v>1683</v>
      </c>
      <c r="E3131" s="36">
        <v>902600.0</v>
      </c>
      <c r="F3131" s="178" t="s">
        <v>291</v>
      </c>
    </row>
    <row r="3132">
      <c r="A3132" s="250">
        <v>45500.94585333333</v>
      </c>
      <c r="B3132" s="251" t="s">
        <v>1783</v>
      </c>
      <c r="C3132" s="178" t="s">
        <v>4471</v>
      </c>
      <c r="D3132" s="36">
        <v>181325.99999999997</v>
      </c>
      <c r="E3132" s="36" t="s">
        <v>1683</v>
      </c>
      <c r="F3132" s="178" t="s">
        <v>616</v>
      </c>
    </row>
    <row r="3133">
      <c r="A3133" s="250">
        <v>45500.94585333333</v>
      </c>
      <c r="B3133" s="251" t="s">
        <v>1684</v>
      </c>
      <c r="C3133" s="178" t="s">
        <v>4472</v>
      </c>
      <c r="D3133" s="36" t="s">
        <v>1683</v>
      </c>
      <c r="E3133" s="36">
        <v>181325.99999999997</v>
      </c>
      <c r="F3133" s="178" t="s">
        <v>616</v>
      </c>
    </row>
    <row r="3134">
      <c r="A3134" s="250">
        <v>45500.94590333333</v>
      </c>
      <c r="B3134" s="251" t="s">
        <v>1783</v>
      </c>
      <c r="C3134" s="178" t="s">
        <v>4473</v>
      </c>
      <c r="D3134" s="36">
        <v>148519.99999999997</v>
      </c>
      <c r="E3134" s="36" t="s">
        <v>1683</v>
      </c>
      <c r="F3134" s="178" t="s">
        <v>616</v>
      </c>
    </row>
    <row r="3135">
      <c r="A3135" s="250">
        <v>45500.94590333333</v>
      </c>
      <c r="B3135" s="251" t="s">
        <v>1684</v>
      </c>
      <c r="C3135" s="178" t="s">
        <v>4474</v>
      </c>
      <c r="D3135" s="36" t="s">
        <v>1683</v>
      </c>
      <c r="E3135" s="36">
        <v>148519.99999999997</v>
      </c>
      <c r="F3135" s="178" t="s">
        <v>616</v>
      </c>
    </row>
    <row r="3136">
      <c r="A3136" s="250">
        <v>45500.94603333333</v>
      </c>
      <c r="B3136" s="251" t="s">
        <v>1783</v>
      </c>
      <c r="C3136" s="178" t="s">
        <v>4475</v>
      </c>
      <c r="D3136" s="36">
        <v>947200.0000000001</v>
      </c>
      <c r="E3136" s="36" t="s">
        <v>1683</v>
      </c>
      <c r="F3136" s="178" t="s">
        <v>819</v>
      </c>
    </row>
    <row r="3137">
      <c r="A3137" s="250">
        <v>45500.94603333333</v>
      </c>
      <c r="B3137" s="251" t="s">
        <v>1684</v>
      </c>
      <c r="C3137" s="178" t="s">
        <v>4476</v>
      </c>
      <c r="D3137" s="36" t="s">
        <v>1683</v>
      </c>
      <c r="E3137" s="36">
        <v>947200.0000000001</v>
      </c>
      <c r="F3137" s="178" t="s">
        <v>819</v>
      </c>
    </row>
    <row r="3138">
      <c r="A3138" s="250">
        <v>45500.94678333333</v>
      </c>
      <c r="B3138" s="251" t="s">
        <v>1783</v>
      </c>
      <c r="C3138" s="178" t="s">
        <v>4477</v>
      </c>
      <c r="D3138" s="36">
        <v>64860.00000000001</v>
      </c>
      <c r="E3138" s="36" t="s">
        <v>1683</v>
      </c>
      <c r="F3138" s="178" t="s">
        <v>616</v>
      </c>
    </row>
    <row r="3139">
      <c r="A3139" s="250">
        <v>45500.94678333333</v>
      </c>
      <c r="B3139" s="251" t="s">
        <v>1684</v>
      </c>
      <c r="C3139" s="178" t="s">
        <v>4478</v>
      </c>
      <c r="D3139" s="36" t="s">
        <v>1683</v>
      </c>
      <c r="E3139" s="36">
        <v>64860.00000000001</v>
      </c>
      <c r="F3139" s="178" t="s">
        <v>616</v>
      </c>
    </row>
    <row r="3140">
      <c r="A3140" s="250">
        <v>45501.46535777778</v>
      </c>
      <c r="B3140" s="251" t="s">
        <v>3930</v>
      </c>
      <c r="C3140" s="178" t="s">
        <v>4479</v>
      </c>
      <c r="D3140" s="36">
        <v>556259.0</v>
      </c>
      <c r="E3140" s="36" t="s">
        <v>1683</v>
      </c>
      <c r="F3140" s="178" t="s">
        <v>724</v>
      </c>
    </row>
    <row r="3141">
      <c r="A3141" s="250">
        <v>45501.46535777778</v>
      </c>
      <c r="B3141" s="251" t="s">
        <v>1802</v>
      </c>
      <c r="C3141" s="178" t="s">
        <v>4460</v>
      </c>
      <c r="D3141" s="36" t="s">
        <v>1683</v>
      </c>
      <c r="E3141" s="36">
        <v>556259.0</v>
      </c>
      <c r="F3141" s="178" t="s">
        <v>724</v>
      </c>
    </row>
    <row r="3142">
      <c r="A3142" s="250">
        <v>45501.46613777778</v>
      </c>
      <c r="B3142" s="251" t="s">
        <v>4049</v>
      </c>
      <c r="C3142" s="178" t="s">
        <v>4480</v>
      </c>
      <c r="D3142" s="36">
        <v>188114.0</v>
      </c>
      <c r="E3142" s="36" t="s">
        <v>1683</v>
      </c>
      <c r="F3142" s="178" t="s">
        <v>309</v>
      </c>
    </row>
    <row r="3143">
      <c r="A3143" s="250">
        <v>45501.46613777778</v>
      </c>
      <c r="B3143" s="251" t="s">
        <v>1802</v>
      </c>
      <c r="C3143" s="178" t="s">
        <v>4462</v>
      </c>
      <c r="D3143" s="36" t="s">
        <v>1683</v>
      </c>
      <c r="E3143" s="36">
        <v>188114.0</v>
      </c>
      <c r="F3143" s="178" t="s">
        <v>309</v>
      </c>
    </row>
    <row r="3144">
      <c r="A3144" s="250">
        <v>45501.47938222223</v>
      </c>
      <c r="B3144" s="251" t="s">
        <v>4051</v>
      </c>
      <c r="C3144" s="178" t="s">
        <v>4481</v>
      </c>
      <c r="D3144" s="36">
        <v>160640.00000000003</v>
      </c>
      <c r="E3144" s="36" t="s">
        <v>1683</v>
      </c>
      <c r="F3144" s="178" t="s">
        <v>314</v>
      </c>
    </row>
    <row r="3145">
      <c r="A3145" s="250">
        <v>45501.47938222223</v>
      </c>
      <c r="B3145" s="251" t="s">
        <v>1802</v>
      </c>
      <c r="C3145" s="178" t="s">
        <v>4464</v>
      </c>
      <c r="D3145" s="36" t="s">
        <v>1683</v>
      </c>
      <c r="E3145" s="36">
        <v>160640.00000000003</v>
      </c>
      <c r="F3145" s="178" t="s">
        <v>314</v>
      </c>
    </row>
    <row r="3146">
      <c r="A3146" s="250">
        <v>45502.56272</v>
      </c>
      <c r="B3146" s="251" t="s">
        <v>3006</v>
      </c>
      <c r="C3146" s="178" t="s">
        <v>4482</v>
      </c>
      <c r="D3146" s="36">
        <v>1036636.9999999998</v>
      </c>
      <c r="E3146" s="36" t="s">
        <v>1683</v>
      </c>
      <c r="F3146" s="178" t="s">
        <v>104</v>
      </c>
    </row>
    <row r="3147">
      <c r="A3147" s="250">
        <v>45502.56272</v>
      </c>
      <c r="B3147" s="251" t="s">
        <v>1684</v>
      </c>
      <c r="C3147" s="178" t="s">
        <v>4483</v>
      </c>
      <c r="D3147" s="36" t="s">
        <v>1683</v>
      </c>
      <c r="E3147" s="36">
        <v>1036636.9999999998</v>
      </c>
      <c r="F3147" s="178" t="s">
        <v>104</v>
      </c>
    </row>
    <row r="3148">
      <c r="A3148" s="250">
        <v>45502.56337</v>
      </c>
      <c r="B3148" s="251" t="s">
        <v>3006</v>
      </c>
      <c r="C3148" s="178" t="s">
        <v>4484</v>
      </c>
      <c r="D3148" s="36">
        <v>1104875.0000000002</v>
      </c>
      <c r="E3148" s="36" t="s">
        <v>1683</v>
      </c>
      <c r="F3148" s="178" t="s">
        <v>104</v>
      </c>
    </row>
    <row r="3149">
      <c r="A3149" s="250">
        <v>45502.56337</v>
      </c>
      <c r="B3149" s="251" t="s">
        <v>1684</v>
      </c>
      <c r="C3149" s="178" t="s">
        <v>4485</v>
      </c>
      <c r="D3149" s="36" t="s">
        <v>1683</v>
      </c>
      <c r="E3149" s="36">
        <v>1104875.0000000002</v>
      </c>
      <c r="F3149" s="178" t="s">
        <v>104</v>
      </c>
    </row>
    <row r="3150">
      <c r="A3150" s="250">
        <v>45503.74858666667</v>
      </c>
      <c r="B3150" s="251" t="s">
        <v>3418</v>
      </c>
      <c r="C3150" s="178" t="s">
        <v>4486</v>
      </c>
      <c r="D3150" s="36">
        <v>902600.0</v>
      </c>
      <c r="E3150" s="36" t="s">
        <v>1683</v>
      </c>
      <c r="F3150" s="178" t="s">
        <v>291</v>
      </c>
    </row>
    <row r="3151">
      <c r="A3151" s="250">
        <v>45503.74858666667</v>
      </c>
      <c r="B3151" s="251" t="s">
        <v>1802</v>
      </c>
      <c r="C3151" s="178" t="s">
        <v>4469</v>
      </c>
      <c r="D3151" s="36" t="s">
        <v>1683</v>
      </c>
      <c r="E3151" s="36">
        <v>902600.0</v>
      </c>
      <c r="F3151" s="178" t="s">
        <v>291</v>
      </c>
    </row>
    <row r="3152">
      <c r="A3152" s="250">
        <v>45504.50158888889</v>
      </c>
      <c r="B3152" s="251" t="s">
        <v>3356</v>
      </c>
      <c r="C3152" s="178" t="s">
        <v>4487</v>
      </c>
      <c r="D3152" s="36">
        <v>947200.0000000001</v>
      </c>
      <c r="E3152" s="36" t="s">
        <v>1683</v>
      </c>
      <c r="F3152" s="178" t="s">
        <v>819</v>
      </c>
    </row>
    <row r="3153">
      <c r="A3153" s="250">
        <v>45504.50158888889</v>
      </c>
      <c r="B3153" s="251" t="s">
        <v>1802</v>
      </c>
      <c r="C3153" s="178" t="s">
        <v>4475</v>
      </c>
      <c r="D3153" s="36" t="s">
        <v>1683</v>
      </c>
      <c r="E3153" s="36">
        <v>947200.0000000001</v>
      </c>
      <c r="F3153" s="178" t="s">
        <v>819</v>
      </c>
    </row>
    <row r="3154">
      <c r="A3154" s="250">
        <v>45504.86683222222</v>
      </c>
      <c r="B3154" s="251" t="s">
        <v>1783</v>
      </c>
      <c r="C3154" s="178" t="s">
        <v>4488</v>
      </c>
      <c r="D3154" s="36">
        <v>901000.0</v>
      </c>
      <c r="E3154" s="36" t="s">
        <v>1683</v>
      </c>
      <c r="F3154" s="178" t="s">
        <v>423</v>
      </c>
    </row>
    <row r="3155">
      <c r="A3155" s="250">
        <v>45504.86683222222</v>
      </c>
      <c r="B3155" s="251" t="s">
        <v>1684</v>
      </c>
      <c r="C3155" s="178" t="s">
        <v>4489</v>
      </c>
      <c r="D3155" s="36" t="s">
        <v>1683</v>
      </c>
      <c r="E3155" s="36">
        <v>901000.0</v>
      </c>
      <c r="F3155" s="178" t="s">
        <v>423</v>
      </c>
    </row>
    <row r="3156">
      <c r="A3156" s="250">
        <v>45505.00068</v>
      </c>
      <c r="B3156" s="251" t="s">
        <v>1611</v>
      </c>
      <c r="C3156" s="178" t="s">
        <v>4490</v>
      </c>
      <c r="D3156" s="36">
        <v>15300.0</v>
      </c>
      <c r="E3156" s="36" t="s">
        <v>1683</v>
      </c>
      <c r="F3156" s="178" t="s">
        <v>1664</v>
      </c>
    </row>
    <row r="3157">
      <c r="A3157" s="250">
        <v>45505.00068</v>
      </c>
      <c r="B3157" s="251" t="s">
        <v>1684</v>
      </c>
      <c r="C3157" s="178" t="s">
        <v>4491</v>
      </c>
      <c r="D3157" s="36" t="s">
        <v>1683</v>
      </c>
      <c r="E3157" s="36">
        <v>15300.0</v>
      </c>
      <c r="F3157" s="178" t="s">
        <v>1664</v>
      </c>
    </row>
    <row r="3158">
      <c r="A3158" s="250">
        <v>45505.48335333333</v>
      </c>
      <c r="B3158" s="251" t="s">
        <v>4332</v>
      </c>
      <c r="C3158" s="178" t="s">
        <v>4492</v>
      </c>
      <c r="D3158" s="36">
        <v>181325.99999999997</v>
      </c>
      <c r="E3158" s="36" t="s">
        <v>1683</v>
      </c>
      <c r="F3158" s="178" t="s">
        <v>616</v>
      </c>
    </row>
    <row r="3159">
      <c r="A3159" s="250">
        <v>45505.48335333333</v>
      </c>
      <c r="B3159" s="251" t="s">
        <v>1802</v>
      </c>
      <c r="C3159" s="178" t="s">
        <v>4471</v>
      </c>
      <c r="D3159" s="36" t="s">
        <v>1683</v>
      </c>
      <c r="E3159" s="36">
        <v>181325.99999999997</v>
      </c>
      <c r="F3159" s="178" t="s">
        <v>616</v>
      </c>
    </row>
    <row r="3160">
      <c r="A3160" s="250">
        <v>45505.48340333333</v>
      </c>
      <c r="B3160" s="251" t="s">
        <v>4002</v>
      </c>
      <c r="C3160" s="178" t="s">
        <v>4493</v>
      </c>
      <c r="D3160" s="36">
        <v>148519.99999999997</v>
      </c>
      <c r="E3160" s="36" t="s">
        <v>1683</v>
      </c>
      <c r="F3160" s="178" t="s">
        <v>616</v>
      </c>
    </row>
    <row r="3161">
      <c r="A3161" s="250">
        <v>45505.48340333333</v>
      </c>
      <c r="B3161" s="251" t="s">
        <v>1802</v>
      </c>
      <c r="C3161" s="178" t="s">
        <v>4473</v>
      </c>
      <c r="D3161" s="36" t="s">
        <v>1683</v>
      </c>
      <c r="E3161" s="36">
        <v>148519.99999999997</v>
      </c>
      <c r="F3161" s="178" t="s">
        <v>616</v>
      </c>
    </row>
    <row r="3162">
      <c r="A3162" s="250">
        <v>45505.48428333333</v>
      </c>
      <c r="B3162" s="251" t="s">
        <v>4216</v>
      </c>
      <c r="C3162" s="178" t="s">
        <v>4494</v>
      </c>
      <c r="D3162" s="36">
        <v>64860.00000000001</v>
      </c>
      <c r="E3162" s="36" t="s">
        <v>1683</v>
      </c>
      <c r="F3162" s="178" t="s">
        <v>616</v>
      </c>
    </row>
    <row r="3163">
      <c r="A3163" s="250">
        <v>45505.48428333333</v>
      </c>
      <c r="B3163" s="251" t="s">
        <v>1802</v>
      </c>
      <c r="C3163" s="178" t="s">
        <v>4477</v>
      </c>
      <c r="D3163" s="36" t="s">
        <v>1683</v>
      </c>
      <c r="E3163" s="36">
        <v>64860.00000000001</v>
      </c>
      <c r="F3163" s="178" t="s">
        <v>616</v>
      </c>
    </row>
    <row r="3164">
      <c r="A3164" s="250">
        <v>45507.442526666666</v>
      </c>
      <c r="B3164" s="251" t="s">
        <v>1844</v>
      </c>
      <c r="C3164" s="178" t="s">
        <v>4495</v>
      </c>
      <c r="D3164" s="36">
        <v>901000.0</v>
      </c>
      <c r="E3164" s="36" t="s">
        <v>1683</v>
      </c>
      <c r="F3164" s="178" t="s">
        <v>423</v>
      </c>
    </row>
    <row r="3165">
      <c r="A3165" s="250">
        <v>45507.442526666666</v>
      </c>
      <c r="B3165" s="251" t="s">
        <v>1802</v>
      </c>
      <c r="C3165" s="178" t="s">
        <v>4488</v>
      </c>
      <c r="D3165" s="36" t="s">
        <v>1683</v>
      </c>
      <c r="E3165" s="36">
        <v>901000.0</v>
      </c>
      <c r="F3165" s="178" t="s">
        <v>423</v>
      </c>
    </row>
    <row r="3166">
      <c r="A3166" s="250">
        <v>45509.55369222222</v>
      </c>
      <c r="B3166" s="251" t="s">
        <v>3020</v>
      </c>
      <c r="C3166" s="178" t="s">
        <v>4496</v>
      </c>
      <c r="D3166" s="36">
        <v>1036636.9999999998</v>
      </c>
      <c r="E3166" s="36" t="s">
        <v>1683</v>
      </c>
      <c r="F3166" s="178" t="s">
        <v>104</v>
      </c>
    </row>
    <row r="3167">
      <c r="A3167" s="250">
        <v>45509.55369222222</v>
      </c>
      <c r="B3167" s="251" t="s">
        <v>3019</v>
      </c>
      <c r="C3167" s="178" t="s">
        <v>4482</v>
      </c>
      <c r="D3167" s="36" t="s">
        <v>1683</v>
      </c>
      <c r="E3167" s="36">
        <v>1036636.9999999998</v>
      </c>
      <c r="F3167" s="178" t="s">
        <v>104</v>
      </c>
    </row>
    <row r="3168">
      <c r="A3168" s="250">
        <v>45509.554342222225</v>
      </c>
      <c r="B3168" s="251" t="s">
        <v>3017</v>
      </c>
      <c r="C3168" s="178" t="s">
        <v>4497</v>
      </c>
      <c r="D3168" s="36">
        <v>1104875.0000000002</v>
      </c>
      <c r="E3168" s="36" t="s">
        <v>1683</v>
      </c>
      <c r="F3168" s="178" t="s">
        <v>104</v>
      </c>
    </row>
    <row r="3169">
      <c r="A3169" s="250">
        <v>45509.554342222225</v>
      </c>
      <c r="B3169" s="251" t="s">
        <v>3019</v>
      </c>
      <c r="C3169" s="178" t="s">
        <v>4484</v>
      </c>
      <c r="D3169" s="36" t="s">
        <v>1683</v>
      </c>
      <c r="E3169" s="36">
        <v>1104875.0000000002</v>
      </c>
      <c r="F3169" s="178" t="s">
        <v>104</v>
      </c>
    </row>
    <row r="3170">
      <c r="A3170" s="250">
        <v>45512.03491222222</v>
      </c>
      <c r="B3170" s="251" t="s">
        <v>1693</v>
      </c>
      <c r="C3170" s="178" t="s">
        <v>4498</v>
      </c>
      <c r="D3170" s="36">
        <v>1041943.9999999998</v>
      </c>
      <c r="E3170" s="36" t="s">
        <v>1683</v>
      </c>
      <c r="F3170" s="178" t="s">
        <v>697</v>
      </c>
    </row>
    <row r="3171">
      <c r="A3171" s="250">
        <v>45512.03491222222</v>
      </c>
      <c r="B3171" s="251" t="s">
        <v>1684</v>
      </c>
      <c r="C3171" s="178" t="s">
        <v>4499</v>
      </c>
      <c r="D3171" s="36" t="s">
        <v>1683</v>
      </c>
      <c r="E3171" s="36">
        <v>1041943.9999999998</v>
      </c>
      <c r="F3171" s="178" t="s">
        <v>697</v>
      </c>
    </row>
    <row r="3172">
      <c r="A3172" s="250">
        <v>45512.03540222222</v>
      </c>
      <c r="B3172" s="251" t="s">
        <v>1693</v>
      </c>
      <c r="C3172" s="178" t="s">
        <v>4500</v>
      </c>
      <c r="D3172" s="36">
        <v>1139403.0</v>
      </c>
      <c r="E3172" s="36" t="s">
        <v>1683</v>
      </c>
      <c r="F3172" s="178" t="s">
        <v>594</v>
      </c>
    </row>
    <row r="3173">
      <c r="A3173" s="250">
        <v>45512.03540222222</v>
      </c>
      <c r="B3173" s="251" t="s">
        <v>1684</v>
      </c>
      <c r="C3173" s="178" t="s">
        <v>4501</v>
      </c>
      <c r="D3173" s="36" t="s">
        <v>1683</v>
      </c>
      <c r="E3173" s="36">
        <v>1139403.0</v>
      </c>
      <c r="F3173" s="178" t="s">
        <v>594</v>
      </c>
    </row>
    <row r="3174">
      <c r="A3174" s="250">
        <v>45512.035422222216</v>
      </c>
      <c r="B3174" s="251" t="s">
        <v>1693</v>
      </c>
      <c r="C3174" s="178" t="s">
        <v>4502</v>
      </c>
      <c r="D3174" s="36">
        <v>217828.0</v>
      </c>
      <c r="E3174" s="36" t="s">
        <v>1683</v>
      </c>
      <c r="F3174" s="178" t="s">
        <v>694</v>
      </c>
    </row>
    <row r="3175">
      <c r="A3175" s="250">
        <v>45512.035422222216</v>
      </c>
      <c r="B3175" s="251" t="s">
        <v>1684</v>
      </c>
      <c r="C3175" s="178" t="s">
        <v>4503</v>
      </c>
      <c r="D3175" s="36" t="s">
        <v>1683</v>
      </c>
      <c r="E3175" s="36">
        <v>217828.0</v>
      </c>
      <c r="F3175" s="178" t="s">
        <v>694</v>
      </c>
    </row>
    <row r="3176">
      <c r="A3176" s="250">
        <v>45512.035442222215</v>
      </c>
      <c r="B3176" s="251" t="s">
        <v>1693</v>
      </c>
      <c r="C3176" s="178" t="s">
        <v>4504</v>
      </c>
      <c r="D3176" s="36">
        <v>425250.00000000006</v>
      </c>
      <c r="E3176" s="36" t="s">
        <v>1683</v>
      </c>
      <c r="F3176" s="178" t="s">
        <v>697</v>
      </c>
    </row>
    <row r="3177">
      <c r="A3177" s="250">
        <v>45512.035442222215</v>
      </c>
      <c r="B3177" s="251" t="s">
        <v>1684</v>
      </c>
      <c r="C3177" s="178" t="s">
        <v>4505</v>
      </c>
      <c r="D3177" s="36" t="s">
        <v>1683</v>
      </c>
      <c r="E3177" s="36">
        <v>425250.00000000006</v>
      </c>
      <c r="F3177" s="178" t="s">
        <v>697</v>
      </c>
    </row>
    <row r="3178">
      <c r="A3178" s="250">
        <v>45512.03754555556</v>
      </c>
      <c r="B3178" s="251" t="s">
        <v>1693</v>
      </c>
      <c r="C3178" s="178" t="s">
        <v>4506</v>
      </c>
      <c r="D3178" s="36">
        <v>114400.0</v>
      </c>
      <c r="E3178" s="36" t="s">
        <v>1683</v>
      </c>
      <c r="F3178" s="178" t="s">
        <v>322</v>
      </c>
    </row>
    <row r="3179">
      <c r="A3179" s="250">
        <v>45512.03754555556</v>
      </c>
      <c r="B3179" s="251" t="s">
        <v>1684</v>
      </c>
      <c r="C3179" s="178" t="s">
        <v>4507</v>
      </c>
      <c r="D3179" s="36" t="s">
        <v>1683</v>
      </c>
      <c r="E3179" s="36">
        <v>114400.0</v>
      </c>
      <c r="F3179" s="178" t="s">
        <v>322</v>
      </c>
    </row>
    <row r="3180">
      <c r="A3180" s="250">
        <v>45512.03779555556</v>
      </c>
      <c r="B3180" s="251" t="s">
        <v>1693</v>
      </c>
      <c r="C3180" s="178" t="s">
        <v>4508</v>
      </c>
      <c r="D3180" s="36">
        <v>56599.99999999999</v>
      </c>
      <c r="E3180" s="36" t="s">
        <v>1683</v>
      </c>
      <c r="F3180" s="178" t="s">
        <v>322</v>
      </c>
    </row>
    <row r="3181">
      <c r="A3181" s="250">
        <v>45512.03779555556</v>
      </c>
      <c r="B3181" s="251" t="s">
        <v>1684</v>
      </c>
      <c r="C3181" s="178" t="s">
        <v>4509</v>
      </c>
      <c r="D3181" s="36" t="s">
        <v>1683</v>
      </c>
      <c r="E3181" s="36">
        <v>56599.99999999999</v>
      </c>
      <c r="F3181" s="178" t="s">
        <v>322</v>
      </c>
    </row>
    <row r="3182">
      <c r="A3182" s="250">
        <v>45512.04167666667</v>
      </c>
      <c r="B3182" s="251" t="s">
        <v>1693</v>
      </c>
      <c r="C3182" s="178" t="s">
        <v>4510</v>
      </c>
      <c r="D3182" s="36">
        <v>299070.0</v>
      </c>
      <c r="E3182" s="36" t="s">
        <v>1683</v>
      </c>
      <c r="F3182" s="178" t="s">
        <v>321</v>
      </c>
    </row>
    <row r="3183">
      <c r="A3183" s="250">
        <v>45512.04167666667</v>
      </c>
      <c r="B3183" s="251" t="s">
        <v>1684</v>
      </c>
      <c r="C3183" s="178" t="s">
        <v>4511</v>
      </c>
      <c r="D3183" s="36" t="s">
        <v>1683</v>
      </c>
      <c r="E3183" s="36">
        <v>299070.0</v>
      </c>
      <c r="F3183" s="178" t="s">
        <v>321</v>
      </c>
    </row>
    <row r="3184">
      <c r="A3184" s="250">
        <v>45512.042036666666</v>
      </c>
      <c r="B3184" s="251" t="s">
        <v>1693</v>
      </c>
      <c r="C3184" s="178" t="s">
        <v>4512</v>
      </c>
      <c r="D3184" s="36">
        <v>249299.99999999997</v>
      </c>
      <c r="E3184" s="36" t="s">
        <v>1683</v>
      </c>
      <c r="F3184" s="178" t="s">
        <v>321</v>
      </c>
    </row>
    <row r="3185">
      <c r="A3185" s="250">
        <v>45512.042036666666</v>
      </c>
      <c r="B3185" s="251" t="s">
        <v>1684</v>
      </c>
      <c r="C3185" s="178" t="s">
        <v>4513</v>
      </c>
      <c r="D3185" s="36" t="s">
        <v>1683</v>
      </c>
      <c r="E3185" s="36">
        <v>249299.99999999997</v>
      </c>
      <c r="F3185" s="178" t="s">
        <v>321</v>
      </c>
    </row>
    <row r="3186">
      <c r="A3186" s="250">
        <v>45512.04210666667</v>
      </c>
      <c r="B3186" s="251" t="s">
        <v>1693</v>
      </c>
      <c r="C3186" s="178" t="s">
        <v>4514</v>
      </c>
      <c r="D3186" s="36">
        <v>56312.5</v>
      </c>
      <c r="E3186" s="36" t="s">
        <v>1683</v>
      </c>
      <c r="F3186" s="178" t="s">
        <v>668</v>
      </c>
    </row>
    <row r="3187">
      <c r="A3187" s="250">
        <v>45512.04210666667</v>
      </c>
      <c r="B3187" s="251" t="s">
        <v>1684</v>
      </c>
      <c r="C3187" s="178" t="s">
        <v>4515</v>
      </c>
      <c r="D3187" s="36" t="s">
        <v>1683</v>
      </c>
      <c r="E3187" s="36">
        <v>56312.5</v>
      </c>
      <c r="F3187" s="178" t="s">
        <v>668</v>
      </c>
    </row>
    <row r="3188">
      <c r="A3188" s="250">
        <v>45512.042186666666</v>
      </c>
      <c r="B3188" s="251" t="s">
        <v>1693</v>
      </c>
      <c r="C3188" s="178" t="s">
        <v>4516</v>
      </c>
      <c r="D3188" s="36">
        <v>63524.99999999999</v>
      </c>
      <c r="E3188" s="36" t="s">
        <v>1683</v>
      </c>
      <c r="F3188" s="178" t="s">
        <v>321</v>
      </c>
    </row>
    <row r="3189">
      <c r="A3189" s="250">
        <v>45512.042186666666</v>
      </c>
      <c r="B3189" s="251" t="s">
        <v>1684</v>
      </c>
      <c r="C3189" s="178" t="s">
        <v>4517</v>
      </c>
      <c r="D3189" s="36" t="s">
        <v>1683</v>
      </c>
      <c r="E3189" s="36">
        <v>63524.99999999999</v>
      </c>
      <c r="F3189" s="178" t="s">
        <v>321</v>
      </c>
    </row>
    <row r="3190">
      <c r="A3190" s="250">
        <v>45512.042486666665</v>
      </c>
      <c r="B3190" s="251" t="s">
        <v>1693</v>
      </c>
      <c r="C3190" s="178" t="s">
        <v>4518</v>
      </c>
      <c r="D3190" s="36">
        <v>56312.5</v>
      </c>
      <c r="E3190" s="36" t="s">
        <v>1683</v>
      </c>
      <c r="F3190" s="178" t="s">
        <v>668</v>
      </c>
    </row>
    <row r="3191">
      <c r="A3191" s="250">
        <v>45512.042486666665</v>
      </c>
      <c r="B3191" s="251" t="s">
        <v>1684</v>
      </c>
      <c r="C3191" s="178" t="s">
        <v>4519</v>
      </c>
      <c r="D3191" s="36" t="s">
        <v>1683</v>
      </c>
      <c r="E3191" s="36">
        <v>56312.5</v>
      </c>
      <c r="F3191" s="178" t="s">
        <v>668</v>
      </c>
    </row>
    <row r="3192">
      <c r="A3192" s="250">
        <v>45512.04264666666</v>
      </c>
      <c r="B3192" s="251" t="s">
        <v>1693</v>
      </c>
      <c r="C3192" s="178" t="s">
        <v>4520</v>
      </c>
      <c r="D3192" s="36">
        <v>173700.0</v>
      </c>
      <c r="E3192" s="36" t="s">
        <v>1683</v>
      </c>
      <c r="F3192" s="178" t="s">
        <v>321</v>
      </c>
    </row>
    <row r="3193">
      <c r="A3193" s="250">
        <v>45512.04264666666</v>
      </c>
      <c r="B3193" s="251" t="s">
        <v>1684</v>
      </c>
      <c r="C3193" s="178" t="s">
        <v>4521</v>
      </c>
      <c r="D3193" s="36" t="s">
        <v>1683</v>
      </c>
      <c r="E3193" s="36">
        <v>173700.0</v>
      </c>
      <c r="F3193" s="178" t="s">
        <v>321</v>
      </c>
    </row>
    <row r="3194">
      <c r="A3194" s="250">
        <v>45513.00071</v>
      </c>
      <c r="B3194" s="251" t="s">
        <v>1783</v>
      </c>
      <c r="C3194" s="178" t="s">
        <v>4522</v>
      </c>
      <c r="D3194" s="36">
        <v>315000.0</v>
      </c>
      <c r="E3194" s="36" t="s">
        <v>1683</v>
      </c>
      <c r="F3194" s="178" t="s">
        <v>696</v>
      </c>
    </row>
    <row r="3195">
      <c r="A3195" s="250">
        <v>45513.00071</v>
      </c>
      <c r="B3195" s="251" t="s">
        <v>1684</v>
      </c>
      <c r="C3195" s="178" t="s">
        <v>4523</v>
      </c>
      <c r="D3195" s="36" t="s">
        <v>1683</v>
      </c>
      <c r="E3195" s="36">
        <v>315000.0</v>
      </c>
      <c r="F3195" s="178" t="s">
        <v>696</v>
      </c>
    </row>
    <row r="3196">
      <c r="A3196" s="250">
        <v>45514.408343333336</v>
      </c>
      <c r="B3196" s="251" t="s">
        <v>1774</v>
      </c>
      <c r="C3196" s="178" t="s">
        <v>4524</v>
      </c>
      <c r="D3196" s="36">
        <v>299070.0</v>
      </c>
      <c r="E3196" s="36" t="s">
        <v>1683</v>
      </c>
      <c r="F3196" s="178" t="s">
        <v>321</v>
      </c>
    </row>
    <row r="3197">
      <c r="A3197" s="250">
        <v>45514.408343333336</v>
      </c>
      <c r="B3197" s="251" t="s">
        <v>1698</v>
      </c>
      <c r="C3197" s="178" t="s">
        <v>4510</v>
      </c>
      <c r="D3197" s="36" t="s">
        <v>1683</v>
      </c>
      <c r="E3197" s="36">
        <v>299070.0</v>
      </c>
      <c r="F3197" s="178" t="s">
        <v>321</v>
      </c>
    </row>
    <row r="3198">
      <c r="A3198" s="250">
        <v>45514.408703333334</v>
      </c>
      <c r="B3198" s="251" t="s">
        <v>1786</v>
      </c>
      <c r="C3198" s="178" t="s">
        <v>4525</v>
      </c>
      <c r="D3198" s="36">
        <v>249299.99999999997</v>
      </c>
      <c r="E3198" s="36" t="s">
        <v>1683</v>
      </c>
      <c r="F3198" s="178" t="s">
        <v>321</v>
      </c>
    </row>
    <row r="3199">
      <c r="A3199" s="250">
        <v>45514.408703333334</v>
      </c>
      <c r="B3199" s="251" t="s">
        <v>1698</v>
      </c>
      <c r="C3199" s="178" t="s">
        <v>4512</v>
      </c>
      <c r="D3199" s="36" t="s">
        <v>1683</v>
      </c>
      <c r="E3199" s="36">
        <v>249299.99999999997</v>
      </c>
      <c r="F3199" s="178" t="s">
        <v>321</v>
      </c>
    </row>
    <row r="3200">
      <c r="A3200" s="250">
        <v>45514.408853333334</v>
      </c>
      <c r="B3200" s="251" t="s">
        <v>4526</v>
      </c>
      <c r="C3200" s="178" t="s">
        <v>4527</v>
      </c>
      <c r="D3200" s="36">
        <v>63524.99999999999</v>
      </c>
      <c r="E3200" s="36" t="s">
        <v>1683</v>
      </c>
      <c r="F3200" s="178" t="s">
        <v>321</v>
      </c>
    </row>
    <row r="3201">
      <c r="A3201" s="250">
        <v>45514.408853333334</v>
      </c>
      <c r="B3201" s="251" t="s">
        <v>1698</v>
      </c>
      <c r="C3201" s="178" t="s">
        <v>4516</v>
      </c>
      <c r="D3201" s="36" t="s">
        <v>1683</v>
      </c>
      <c r="E3201" s="36">
        <v>63524.99999999999</v>
      </c>
      <c r="F3201" s="178" t="s">
        <v>321</v>
      </c>
    </row>
    <row r="3202">
      <c r="A3202" s="250">
        <v>45514.40931333333</v>
      </c>
      <c r="B3202" s="251" t="s">
        <v>4073</v>
      </c>
      <c r="C3202" s="178" t="s">
        <v>4528</v>
      </c>
      <c r="D3202" s="36">
        <v>173700.0</v>
      </c>
      <c r="E3202" s="36" t="s">
        <v>1683</v>
      </c>
      <c r="F3202" s="178" t="s">
        <v>321</v>
      </c>
    </row>
    <row r="3203">
      <c r="A3203" s="250">
        <v>45514.40931333333</v>
      </c>
      <c r="B3203" s="251" t="s">
        <v>1698</v>
      </c>
      <c r="C3203" s="178" t="s">
        <v>4520</v>
      </c>
      <c r="D3203" s="36" t="s">
        <v>1683</v>
      </c>
      <c r="E3203" s="36">
        <v>173700.0</v>
      </c>
      <c r="F3203" s="178" t="s">
        <v>321</v>
      </c>
    </row>
    <row r="3204">
      <c r="A3204" s="250">
        <v>45514.47151333333</v>
      </c>
      <c r="B3204" s="251" t="s">
        <v>4076</v>
      </c>
      <c r="C3204" s="178" t="s">
        <v>4529</v>
      </c>
      <c r="D3204" s="36">
        <v>1139403.0</v>
      </c>
      <c r="E3204" s="36" t="s">
        <v>1683</v>
      </c>
      <c r="F3204" s="178" t="s">
        <v>594</v>
      </c>
    </row>
    <row r="3205">
      <c r="A3205" s="250">
        <v>45514.47151333333</v>
      </c>
      <c r="B3205" s="251" t="s">
        <v>1698</v>
      </c>
      <c r="C3205" s="178" t="s">
        <v>4500</v>
      </c>
      <c r="D3205" s="36" t="s">
        <v>1683</v>
      </c>
      <c r="E3205" s="36">
        <v>1139403.0</v>
      </c>
      <c r="F3205" s="178" t="s">
        <v>594</v>
      </c>
    </row>
    <row r="3206">
      <c r="A3206" s="250">
        <v>45514.60878333333</v>
      </c>
      <c r="B3206" s="251" t="s">
        <v>1693</v>
      </c>
      <c r="C3206" s="178" t="s">
        <v>4530</v>
      </c>
      <c r="D3206" s="36">
        <v>3880999.9999999995</v>
      </c>
      <c r="E3206" s="36" t="s">
        <v>1683</v>
      </c>
      <c r="F3206" s="178" t="s">
        <v>87</v>
      </c>
    </row>
    <row r="3207">
      <c r="A3207" s="250">
        <v>45514.60878333333</v>
      </c>
      <c r="B3207" s="251" t="s">
        <v>1684</v>
      </c>
      <c r="C3207" s="178" t="s">
        <v>4531</v>
      </c>
      <c r="D3207" s="36" t="s">
        <v>1683</v>
      </c>
      <c r="E3207" s="36">
        <v>3880999.9999999995</v>
      </c>
      <c r="F3207" s="178" t="s">
        <v>87</v>
      </c>
    </row>
    <row r="3208">
      <c r="A3208" s="250">
        <v>45514.61085666667</v>
      </c>
      <c r="B3208" s="251" t="s">
        <v>1693</v>
      </c>
      <c r="C3208" s="178" t="s">
        <v>4532</v>
      </c>
      <c r="D3208" s="36">
        <v>2348200.0000000005</v>
      </c>
      <c r="E3208" s="36" t="s">
        <v>1683</v>
      </c>
      <c r="F3208" s="178" t="s">
        <v>86</v>
      </c>
    </row>
    <row r="3209">
      <c r="A3209" s="250">
        <v>45514.61085666667</v>
      </c>
      <c r="B3209" s="251" t="s">
        <v>1684</v>
      </c>
      <c r="C3209" s="178" t="s">
        <v>4533</v>
      </c>
      <c r="D3209" s="36" t="s">
        <v>1683</v>
      </c>
      <c r="E3209" s="36">
        <v>2348200.0000000005</v>
      </c>
      <c r="F3209" s="178" t="s">
        <v>86</v>
      </c>
    </row>
    <row r="3210">
      <c r="A3210" s="250">
        <v>45514.621263333334</v>
      </c>
      <c r="B3210" s="251" t="s">
        <v>1693</v>
      </c>
      <c r="C3210" s="178" t="s">
        <v>4534</v>
      </c>
      <c r="D3210" s="36">
        <v>369235.0</v>
      </c>
      <c r="E3210" s="36" t="s">
        <v>1683</v>
      </c>
      <c r="F3210" s="178" t="s">
        <v>85</v>
      </c>
    </row>
    <row r="3211">
      <c r="A3211" s="250">
        <v>45514.621263333334</v>
      </c>
      <c r="B3211" s="251" t="s">
        <v>1684</v>
      </c>
      <c r="C3211" s="178" t="s">
        <v>4535</v>
      </c>
      <c r="D3211" s="36" t="s">
        <v>1683</v>
      </c>
      <c r="E3211" s="36">
        <v>369235.0</v>
      </c>
      <c r="F3211" s="178" t="s">
        <v>85</v>
      </c>
    </row>
    <row r="3212">
      <c r="A3212" s="250">
        <v>45514.667376666664</v>
      </c>
      <c r="B3212" s="251" t="s">
        <v>4536</v>
      </c>
      <c r="C3212" s="178" t="s">
        <v>4537</v>
      </c>
      <c r="D3212" s="36">
        <v>315000.0</v>
      </c>
      <c r="E3212" s="36" t="s">
        <v>1683</v>
      </c>
      <c r="F3212" s="178" t="s">
        <v>696</v>
      </c>
    </row>
    <row r="3213">
      <c r="A3213" s="250">
        <v>45514.667376666664</v>
      </c>
      <c r="B3213" s="251" t="s">
        <v>1802</v>
      </c>
      <c r="C3213" s="178" t="s">
        <v>4522</v>
      </c>
      <c r="D3213" s="36" t="s">
        <v>1683</v>
      </c>
      <c r="E3213" s="36">
        <v>315000.0</v>
      </c>
      <c r="F3213" s="178" t="s">
        <v>696</v>
      </c>
    </row>
    <row r="3214">
      <c r="A3214" s="250">
        <v>45514.67435111111</v>
      </c>
      <c r="B3214" s="251" t="s">
        <v>4078</v>
      </c>
      <c r="C3214" s="178" t="s">
        <v>4538</v>
      </c>
      <c r="D3214" s="36">
        <v>114400.0</v>
      </c>
      <c r="E3214" s="36" t="s">
        <v>1683</v>
      </c>
      <c r="F3214" s="178" t="s">
        <v>322</v>
      </c>
    </row>
    <row r="3215">
      <c r="A3215" s="250">
        <v>45514.67435111111</v>
      </c>
      <c r="B3215" s="251" t="s">
        <v>1698</v>
      </c>
      <c r="C3215" s="178" t="s">
        <v>4506</v>
      </c>
      <c r="D3215" s="36" t="s">
        <v>1683</v>
      </c>
      <c r="E3215" s="36">
        <v>114400.0</v>
      </c>
      <c r="F3215" s="178" t="s">
        <v>322</v>
      </c>
    </row>
    <row r="3216">
      <c r="A3216" s="250">
        <v>45514.67460111111</v>
      </c>
      <c r="B3216" s="251" t="s">
        <v>4073</v>
      </c>
      <c r="C3216" s="178" t="s">
        <v>4539</v>
      </c>
      <c r="D3216" s="36">
        <v>56599.99999999999</v>
      </c>
      <c r="E3216" s="36" t="s">
        <v>1683</v>
      </c>
      <c r="F3216" s="178" t="s">
        <v>322</v>
      </c>
    </row>
    <row r="3217">
      <c r="A3217" s="250">
        <v>45514.67460111111</v>
      </c>
      <c r="B3217" s="251" t="s">
        <v>1698</v>
      </c>
      <c r="C3217" s="178" t="s">
        <v>4508</v>
      </c>
      <c r="D3217" s="36" t="s">
        <v>1683</v>
      </c>
      <c r="E3217" s="36">
        <v>56599.99999999999</v>
      </c>
      <c r="F3217" s="178" t="s">
        <v>322</v>
      </c>
    </row>
    <row r="3218">
      <c r="A3218" s="250">
        <v>45515.42555</v>
      </c>
      <c r="B3218" s="251" t="s">
        <v>1693</v>
      </c>
      <c r="C3218" s="178" t="s">
        <v>4540</v>
      </c>
      <c r="D3218" s="36">
        <v>1574200.0</v>
      </c>
      <c r="E3218" s="36" t="s">
        <v>1683</v>
      </c>
      <c r="F3218" s="178" t="s">
        <v>501</v>
      </c>
    </row>
    <row r="3219">
      <c r="A3219" s="250">
        <v>45515.42555</v>
      </c>
      <c r="B3219" s="251" t="s">
        <v>1684</v>
      </c>
      <c r="C3219" s="178" t="s">
        <v>4541</v>
      </c>
      <c r="D3219" s="36" t="s">
        <v>1683</v>
      </c>
      <c r="E3219" s="36">
        <v>1574200.0</v>
      </c>
      <c r="F3219" s="178" t="s">
        <v>501</v>
      </c>
    </row>
    <row r="3220">
      <c r="A3220" s="250">
        <v>45515.51085666667</v>
      </c>
      <c r="B3220" s="251" t="s">
        <v>3838</v>
      </c>
      <c r="C3220" s="178" t="s">
        <v>4542</v>
      </c>
      <c r="D3220" s="36">
        <v>56312.5</v>
      </c>
      <c r="E3220" s="36" t="s">
        <v>1683</v>
      </c>
      <c r="F3220" s="178" t="s">
        <v>668</v>
      </c>
    </row>
    <row r="3221">
      <c r="A3221" s="250">
        <v>45515.51085666667</v>
      </c>
      <c r="B3221" s="251" t="s">
        <v>1698</v>
      </c>
      <c r="C3221" s="178" t="s">
        <v>4514</v>
      </c>
      <c r="D3221" s="36" t="s">
        <v>1683</v>
      </c>
      <c r="E3221" s="36">
        <v>56312.5</v>
      </c>
      <c r="F3221" s="178" t="s">
        <v>668</v>
      </c>
    </row>
    <row r="3222">
      <c r="A3222" s="250">
        <v>45515.511236666665</v>
      </c>
      <c r="B3222" s="251" t="s">
        <v>3845</v>
      </c>
      <c r="C3222" s="178" t="s">
        <v>4543</v>
      </c>
      <c r="D3222" s="36">
        <v>56312.5</v>
      </c>
      <c r="E3222" s="36" t="s">
        <v>1683</v>
      </c>
      <c r="F3222" s="178" t="s">
        <v>668</v>
      </c>
    </row>
    <row r="3223">
      <c r="A3223" s="250">
        <v>45515.511236666665</v>
      </c>
      <c r="B3223" s="251" t="s">
        <v>1698</v>
      </c>
      <c r="C3223" s="178" t="s">
        <v>4518</v>
      </c>
      <c r="D3223" s="36" t="s">
        <v>1683</v>
      </c>
      <c r="E3223" s="36">
        <v>56312.5</v>
      </c>
      <c r="F3223" s="178" t="s">
        <v>668</v>
      </c>
    </row>
    <row r="3224">
      <c r="A3224" s="250">
        <v>45515.53179</v>
      </c>
      <c r="B3224" s="251" t="s">
        <v>1693</v>
      </c>
      <c r="C3224" s="178" t="s">
        <v>4544</v>
      </c>
      <c r="D3224" s="36">
        <v>226000.0</v>
      </c>
      <c r="E3224" s="36" t="s">
        <v>1683</v>
      </c>
      <c r="F3224" s="178" t="s">
        <v>499</v>
      </c>
    </row>
    <row r="3225">
      <c r="A3225" s="250">
        <v>45515.53179</v>
      </c>
      <c r="B3225" s="251" t="s">
        <v>1684</v>
      </c>
      <c r="C3225" s="178" t="s">
        <v>4545</v>
      </c>
      <c r="D3225" s="36" t="s">
        <v>1683</v>
      </c>
      <c r="E3225" s="36">
        <v>226000.0</v>
      </c>
      <c r="F3225" s="178" t="s">
        <v>499</v>
      </c>
    </row>
    <row r="3226">
      <c r="A3226" s="250">
        <v>45515.56477333333</v>
      </c>
      <c r="B3226" s="251" t="s">
        <v>3356</v>
      </c>
      <c r="C3226" s="178" t="s">
        <v>4546</v>
      </c>
      <c r="D3226" s="36">
        <v>1041943.9999999998</v>
      </c>
      <c r="E3226" s="36" t="s">
        <v>1683</v>
      </c>
      <c r="F3226" s="178" t="s">
        <v>697</v>
      </c>
    </row>
    <row r="3227">
      <c r="A3227" s="250">
        <v>45515.56477333333</v>
      </c>
      <c r="B3227" s="251" t="s">
        <v>1698</v>
      </c>
      <c r="C3227" s="178" t="s">
        <v>4498</v>
      </c>
      <c r="D3227" s="36" t="s">
        <v>1683</v>
      </c>
      <c r="E3227" s="36">
        <v>1041943.9999999998</v>
      </c>
      <c r="F3227" s="178" t="s">
        <v>697</v>
      </c>
    </row>
    <row r="3228">
      <c r="A3228" s="250">
        <v>45515.56530333333</v>
      </c>
      <c r="B3228" s="251" t="s">
        <v>4536</v>
      </c>
      <c r="C3228" s="178" t="s">
        <v>4547</v>
      </c>
      <c r="D3228" s="36">
        <v>425250.00000000006</v>
      </c>
      <c r="E3228" s="36" t="s">
        <v>1683</v>
      </c>
      <c r="F3228" s="178" t="s">
        <v>697</v>
      </c>
    </row>
    <row r="3229">
      <c r="A3229" s="250">
        <v>45515.56530333333</v>
      </c>
      <c r="B3229" s="251" t="s">
        <v>1698</v>
      </c>
      <c r="C3229" s="178" t="s">
        <v>4504</v>
      </c>
      <c r="D3229" s="36" t="s">
        <v>1683</v>
      </c>
      <c r="E3229" s="36">
        <v>425250.00000000006</v>
      </c>
      <c r="F3229" s="178" t="s">
        <v>697</v>
      </c>
    </row>
    <row r="3230">
      <c r="A3230" s="250">
        <v>45515.58542222222</v>
      </c>
      <c r="B3230" s="251" t="s">
        <v>4548</v>
      </c>
      <c r="C3230" s="178" t="s">
        <v>4549</v>
      </c>
      <c r="D3230" s="36">
        <v>217828.0</v>
      </c>
      <c r="E3230" s="36" t="s">
        <v>1683</v>
      </c>
      <c r="F3230" s="178" t="s">
        <v>694</v>
      </c>
    </row>
    <row r="3231">
      <c r="A3231" s="250">
        <v>45515.58542222222</v>
      </c>
      <c r="B3231" s="251" t="s">
        <v>1698</v>
      </c>
      <c r="C3231" s="178" t="s">
        <v>4502</v>
      </c>
      <c r="D3231" s="36" t="s">
        <v>1683</v>
      </c>
      <c r="E3231" s="36">
        <v>217828.0</v>
      </c>
      <c r="F3231" s="178" t="s">
        <v>694</v>
      </c>
    </row>
    <row r="3232">
      <c r="A3232" s="250">
        <v>45515.705985555556</v>
      </c>
      <c r="B3232" s="251" t="s">
        <v>2987</v>
      </c>
      <c r="C3232" s="178" t="s">
        <v>4550</v>
      </c>
      <c r="D3232" s="36">
        <v>369235.0</v>
      </c>
      <c r="E3232" s="36" t="s">
        <v>1683</v>
      </c>
      <c r="F3232" s="178" t="s">
        <v>85</v>
      </c>
    </row>
    <row r="3233">
      <c r="A3233" s="250">
        <v>45515.705985555556</v>
      </c>
      <c r="B3233" s="251" t="s">
        <v>1698</v>
      </c>
      <c r="C3233" s="178" t="s">
        <v>4534</v>
      </c>
      <c r="D3233" s="36" t="s">
        <v>1683</v>
      </c>
      <c r="E3233" s="36">
        <v>369235.0</v>
      </c>
      <c r="F3233" s="178" t="s">
        <v>85</v>
      </c>
    </row>
    <row r="3234">
      <c r="A3234" s="250">
        <v>45516.52960666667</v>
      </c>
      <c r="B3234" s="251" t="s">
        <v>2987</v>
      </c>
      <c r="C3234" s="178" t="s">
        <v>4551</v>
      </c>
      <c r="D3234" s="36">
        <v>2348200.0000000005</v>
      </c>
      <c r="E3234" s="36" t="s">
        <v>1683</v>
      </c>
      <c r="F3234" s="178" t="s">
        <v>86</v>
      </c>
    </row>
    <row r="3235">
      <c r="A3235" s="250">
        <v>45516.52960666667</v>
      </c>
      <c r="B3235" s="251" t="s">
        <v>1698</v>
      </c>
      <c r="C3235" s="178" t="s">
        <v>4532</v>
      </c>
      <c r="D3235" s="36" t="s">
        <v>1683</v>
      </c>
      <c r="E3235" s="36">
        <v>2348200.0000000005</v>
      </c>
      <c r="F3235" s="178" t="s">
        <v>86</v>
      </c>
    </row>
    <row r="3236">
      <c r="A3236" s="250">
        <v>45516.62169008102</v>
      </c>
      <c r="B3236" s="251" t="s">
        <v>4552</v>
      </c>
      <c r="C3236" s="178" t="s">
        <v>4553</v>
      </c>
      <c r="D3236" s="36">
        <v>39536.28</v>
      </c>
      <c r="E3236" s="36" t="s">
        <v>1683</v>
      </c>
      <c r="F3236" s="178" t="s">
        <v>1683</v>
      </c>
    </row>
    <row r="3237">
      <c r="A3237" s="250">
        <v>45516.62169008102</v>
      </c>
      <c r="B3237" s="251" t="s">
        <v>4554</v>
      </c>
      <c r="C3237" s="178" t="s">
        <v>4555</v>
      </c>
      <c r="D3237" s="36" t="s">
        <v>1683</v>
      </c>
      <c r="E3237" s="36">
        <v>39536.28</v>
      </c>
      <c r="F3237" s="178" t="s">
        <v>1683</v>
      </c>
    </row>
    <row r="3238">
      <c r="A3238" s="250">
        <v>45516.71939770833</v>
      </c>
      <c r="B3238" s="251" t="s">
        <v>3930</v>
      </c>
      <c r="C3238" s="178" t="s">
        <v>4556</v>
      </c>
      <c r="D3238" s="36">
        <v>56207.22</v>
      </c>
      <c r="E3238" s="36" t="s">
        <v>1683</v>
      </c>
      <c r="F3238" s="178" t="s">
        <v>1683</v>
      </c>
    </row>
    <row r="3239">
      <c r="A3239" s="250">
        <v>45516.71939770833</v>
      </c>
      <c r="B3239" s="251" t="s">
        <v>4557</v>
      </c>
      <c r="C3239" s="178" t="s">
        <v>4558</v>
      </c>
      <c r="D3239" s="36" t="s">
        <v>1683</v>
      </c>
      <c r="E3239" s="36">
        <v>56207.22</v>
      </c>
      <c r="F3239" s="178" t="s">
        <v>1683</v>
      </c>
    </row>
    <row r="3240">
      <c r="A3240" s="250">
        <v>45516.769514444444</v>
      </c>
      <c r="B3240" s="251" t="s">
        <v>1693</v>
      </c>
      <c r="C3240" s="178" t="s">
        <v>4559</v>
      </c>
      <c r="D3240" s="36">
        <v>2400039.9999999995</v>
      </c>
      <c r="E3240" s="36" t="s">
        <v>1683</v>
      </c>
      <c r="F3240" s="178" t="s">
        <v>723</v>
      </c>
    </row>
    <row r="3241">
      <c r="A3241" s="250">
        <v>45516.769514444444</v>
      </c>
      <c r="B3241" s="251" t="s">
        <v>1684</v>
      </c>
      <c r="C3241" s="178" t="s">
        <v>4560</v>
      </c>
      <c r="D3241" s="36" t="s">
        <v>1683</v>
      </c>
      <c r="E3241" s="36">
        <v>2400039.9999999995</v>
      </c>
      <c r="F3241" s="178" t="s">
        <v>723</v>
      </c>
    </row>
    <row r="3242">
      <c r="A3242" s="250">
        <v>45517.49283106481</v>
      </c>
      <c r="B3242" s="251" t="s">
        <v>2210</v>
      </c>
      <c r="C3242" s="178" t="s">
        <v>4561</v>
      </c>
      <c r="D3242" s="36">
        <v>242820.0</v>
      </c>
      <c r="E3242" s="36" t="s">
        <v>1683</v>
      </c>
      <c r="F3242" s="178" t="s">
        <v>1683</v>
      </c>
    </row>
    <row r="3243">
      <c r="A3243" s="250">
        <v>45517.49283106481</v>
      </c>
      <c r="B3243" s="251" t="s">
        <v>2212</v>
      </c>
      <c r="C3243" s="178" t="s">
        <v>4562</v>
      </c>
      <c r="D3243" s="36" t="s">
        <v>1683</v>
      </c>
      <c r="E3243" s="36">
        <v>242820.0</v>
      </c>
      <c r="F3243" s="178" t="s">
        <v>1683</v>
      </c>
    </row>
    <row r="3244">
      <c r="A3244" s="250">
        <v>45517.50937125</v>
      </c>
      <c r="B3244" s="251" t="s">
        <v>2987</v>
      </c>
      <c r="C3244" s="178" t="s">
        <v>4563</v>
      </c>
      <c r="D3244" s="36">
        <v>3880999.9999999995</v>
      </c>
      <c r="E3244" s="36" t="s">
        <v>1683</v>
      </c>
      <c r="F3244" s="178" t="s">
        <v>87</v>
      </c>
    </row>
    <row r="3245">
      <c r="A3245" s="250">
        <v>45517.50937125</v>
      </c>
      <c r="B3245" s="251" t="s">
        <v>1698</v>
      </c>
      <c r="C3245" s="178" t="s">
        <v>4530</v>
      </c>
      <c r="D3245" s="36" t="s">
        <v>1683</v>
      </c>
      <c r="E3245" s="36">
        <v>3880999.9999999995</v>
      </c>
      <c r="F3245" s="178" t="s">
        <v>87</v>
      </c>
    </row>
    <row r="3246">
      <c r="A3246" s="250">
        <v>45517.961641111106</v>
      </c>
      <c r="B3246" s="251" t="s">
        <v>1783</v>
      </c>
      <c r="C3246" s="178" t="s">
        <v>4564</v>
      </c>
      <c r="D3246" s="36">
        <v>618647.0</v>
      </c>
      <c r="E3246" s="36" t="s">
        <v>1683</v>
      </c>
      <c r="F3246" s="178" t="s">
        <v>497</v>
      </c>
    </row>
    <row r="3247">
      <c r="A3247" s="250">
        <v>45517.961641111106</v>
      </c>
      <c r="B3247" s="251" t="s">
        <v>1684</v>
      </c>
      <c r="C3247" s="178" t="s">
        <v>4565</v>
      </c>
      <c r="D3247" s="36" t="s">
        <v>1683</v>
      </c>
      <c r="E3247" s="36">
        <v>618647.0</v>
      </c>
      <c r="F3247" s="178" t="s">
        <v>497</v>
      </c>
    </row>
    <row r="3248">
      <c r="A3248" s="250">
        <v>45518.52492802083</v>
      </c>
      <c r="B3248" s="251" t="s">
        <v>3494</v>
      </c>
      <c r="C3248" s="178" t="s">
        <v>4566</v>
      </c>
      <c r="D3248" s="36">
        <v>1574200.0</v>
      </c>
      <c r="E3248" s="36" t="s">
        <v>1683</v>
      </c>
      <c r="F3248" s="178" t="s">
        <v>501</v>
      </c>
    </row>
    <row r="3249">
      <c r="A3249" s="250">
        <v>45518.52492802083</v>
      </c>
      <c r="B3249" s="251" t="s">
        <v>1698</v>
      </c>
      <c r="C3249" s="178" t="s">
        <v>4540</v>
      </c>
      <c r="D3249" s="36" t="s">
        <v>1683</v>
      </c>
      <c r="E3249" s="36">
        <v>1574200.0</v>
      </c>
      <c r="F3249" s="178" t="s">
        <v>501</v>
      </c>
    </row>
    <row r="3250">
      <c r="A3250" s="250">
        <v>45519.44915111111</v>
      </c>
      <c r="B3250" s="251" t="s">
        <v>3494</v>
      </c>
      <c r="C3250" s="178" t="s">
        <v>4567</v>
      </c>
      <c r="D3250" s="36">
        <v>226000.0</v>
      </c>
      <c r="E3250" s="36" t="s">
        <v>1683</v>
      </c>
      <c r="F3250" s="178" t="s">
        <v>499</v>
      </c>
    </row>
    <row r="3251">
      <c r="A3251" s="250">
        <v>45519.44915111111</v>
      </c>
      <c r="B3251" s="251" t="s">
        <v>1698</v>
      </c>
      <c r="C3251" s="178" t="s">
        <v>4544</v>
      </c>
      <c r="D3251" s="36" t="s">
        <v>1683</v>
      </c>
      <c r="E3251" s="36">
        <v>226000.0</v>
      </c>
      <c r="F3251" s="178" t="s">
        <v>499</v>
      </c>
    </row>
    <row r="3252">
      <c r="A3252" s="250">
        <v>45520.25423666667</v>
      </c>
      <c r="B3252" s="251" t="s">
        <v>3930</v>
      </c>
      <c r="C3252" s="178" t="s">
        <v>4568</v>
      </c>
      <c r="D3252" s="36">
        <v>2400039.9999999995</v>
      </c>
      <c r="E3252" s="36" t="s">
        <v>1683</v>
      </c>
      <c r="F3252" s="178" t="s">
        <v>723</v>
      </c>
    </row>
    <row r="3253">
      <c r="A3253" s="250">
        <v>45520.25423666667</v>
      </c>
      <c r="B3253" s="251" t="s">
        <v>1698</v>
      </c>
      <c r="C3253" s="178" t="s">
        <v>4559</v>
      </c>
      <c r="D3253" s="36" t="s">
        <v>1683</v>
      </c>
      <c r="E3253" s="36">
        <v>2400039.9999999995</v>
      </c>
      <c r="F3253" s="178" t="s">
        <v>723</v>
      </c>
    </row>
    <row r="3254">
      <c r="A3254" s="250">
        <v>45520.74080777777</v>
      </c>
      <c r="B3254" s="251" t="s">
        <v>3494</v>
      </c>
      <c r="C3254" s="178" t="s">
        <v>4569</v>
      </c>
      <c r="D3254" s="36">
        <v>618647.0</v>
      </c>
      <c r="E3254" s="36" t="s">
        <v>1683</v>
      </c>
      <c r="F3254" s="178" t="s">
        <v>497</v>
      </c>
    </row>
    <row r="3255">
      <c r="A3255" s="250">
        <v>45520.74080777777</v>
      </c>
      <c r="B3255" s="251" t="s">
        <v>1802</v>
      </c>
      <c r="C3255" s="178" t="s">
        <v>4564</v>
      </c>
      <c r="D3255" s="36" t="s">
        <v>1683</v>
      </c>
      <c r="E3255" s="36">
        <v>618647.0</v>
      </c>
      <c r="F3255" s="178" t="s">
        <v>497</v>
      </c>
    </row>
    <row r="3256">
      <c r="A3256" s="250">
        <v>45521.47458111111</v>
      </c>
      <c r="B3256" s="251" t="s">
        <v>1783</v>
      </c>
      <c r="C3256" s="178" t="s">
        <v>4570</v>
      </c>
      <c r="D3256" s="36">
        <v>113935.99999999999</v>
      </c>
      <c r="E3256" s="36" t="s">
        <v>1683</v>
      </c>
      <c r="F3256" s="178" t="s">
        <v>320</v>
      </c>
    </row>
    <row r="3257">
      <c r="A3257" s="250">
        <v>45521.47458111111</v>
      </c>
      <c r="B3257" s="251" t="s">
        <v>1684</v>
      </c>
      <c r="C3257" s="178" t="s">
        <v>4571</v>
      </c>
      <c r="D3257" s="36" t="s">
        <v>1683</v>
      </c>
      <c r="E3257" s="36">
        <v>113935.99999999999</v>
      </c>
      <c r="F3257" s="178" t="s">
        <v>320</v>
      </c>
    </row>
    <row r="3258">
      <c r="A3258" s="250">
        <v>45523.527773333335</v>
      </c>
      <c r="B3258" s="251" t="s">
        <v>1607</v>
      </c>
      <c r="C3258" s="178" t="s">
        <v>4572</v>
      </c>
      <c r="D3258" s="36">
        <v>83900.0</v>
      </c>
      <c r="E3258" s="36" t="s">
        <v>1683</v>
      </c>
      <c r="F3258" s="178" t="s">
        <v>1665</v>
      </c>
    </row>
    <row r="3259">
      <c r="A3259" s="250">
        <v>45523.527773333335</v>
      </c>
      <c r="B3259" s="251" t="s">
        <v>1684</v>
      </c>
      <c r="C3259" s="178" t="s">
        <v>4573</v>
      </c>
      <c r="D3259" s="36" t="s">
        <v>1683</v>
      </c>
      <c r="E3259" s="36">
        <v>83900.0</v>
      </c>
      <c r="F3259" s="178" t="s">
        <v>1665</v>
      </c>
    </row>
    <row r="3260">
      <c r="A3260" s="250">
        <v>45523.639164444445</v>
      </c>
      <c r="B3260" s="251" t="s">
        <v>4073</v>
      </c>
      <c r="C3260" s="178" t="s">
        <v>4574</v>
      </c>
      <c r="D3260" s="36">
        <v>113935.99999999999</v>
      </c>
      <c r="E3260" s="36" t="s">
        <v>1683</v>
      </c>
      <c r="F3260" s="178" t="s">
        <v>320</v>
      </c>
    </row>
    <row r="3261">
      <c r="A3261" s="250">
        <v>45523.639164444445</v>
      </c>
      <c r="B3261" s="251" t="s">
        <v>1802</v>
      </c>
      <c r="C3261" s="178" t="s">
        <v>4570</v>
      </c>
      <c r="D3261" s="36" t="s">
        <v>1683</v>
      </c>
      <c r="E3261" s="36">
        <v>113935.99999999999</v>
      </c>
      <c r="F3261" s="178" t="s">
        <v>320</v>
      </c>
    </row>
    <row r="3262">
      <c r="A3262" s="250">
        <v>45527.43353333334</v>
      </c>
      <c r="B3262" s="251" t="s">
        <v>3006</v>
      </c>
      <c r="C3262" s="178" t="s">
        <v>4575</v>
      </c>
      <c r="D3262" s="36">
        <v>1036636.9999999999</v>
      </c>
      <c r="E3262" s="36" t="s">
        <v>1683</v>
      </c>
      <c r="F3262" s="178" t="s">
        <v>104</v>
      </c>
    </row>
    <row r="3263">
      <c r="A3263" s="250">
        <v>45527.43353333334</v>
      </c>
      <c r="B3263" s="251" t="s">
        <v>1684</v>
      </c>
      <c r="C3263" s="178" t="s">
        <v>4576</v>
      </c>
      <c r="D3263" s="36" t="s">
        <v>1683</v>
      </c>
      <c r="E3263" s="36">
        <v>1036636.9999999999</v>
      </c>
      <c r="F3263" s="178" t="s">
        <v>104</v>
      </c>
    </row>
    <row r="3264">
      <c r="A3264" s="250">
        <v>45527.43354333333</v>
      </c>
      <c r="B3264" s="251" t="s">
        <v>3006</v>
      </c>
      <c r="C3264" s="178" t="s">
        <v>4577</v>
      </c>
      <c r="D3264" s="36">
        <v>1036636.9999999999</v>
      </c>
      <c r="E3264" s="36" t="s">
        <v>1683</v>
      </c>
      <c r="F3264" s="178" t="s">
        <v>104</v>
      </c>
    </row>
    <row r="3265">
      <c r="A3265" s="250">
        <v>45527.43354333333</v>
      </c>
      <c r="B3265" s="251" t="s">
        <v>1684</v>
      </c>
      <c r="C3265" s="178" t="s">
        <v>4578</v>
      </c>
      <c r="D3265" s="36" t="s">
        <v>1683</v>
      </c>
      <c r="E3265" s="36">
        <v>1036636.9999999999</v>
      </c>
      <c r="F3265" s="178" t="s">
        <v>104</v>
      </c>
    </row>
    <row r="3266">
      <c r="A3266" s="250">
        <v>45527.434193333334</v>
      </c>
      <c r="B3266" s="251" t="s">
        <v>3006</v>
      </c>
      <c r="C3266" s="178" t="s">
        <v>4579</v>
      </c>
      <c r="D3266" s="36">
        <v>1104875.0</v>
      </c>
      <c r="E3266" s="36" t="s">
        <v>1683</v>
      </c>
      <c r="F3266" s="178" t="s">
        <v>104</v>
      </c>
    </row>
    <row r="3267">
      <c r="A3267" s="250">
        <v>45527.434193333334</v>
      </c>
      <c r="B3267" s="251" t="s">
        <v>1684</v>
      </c>
      <c r="C3267" s="178" t="s">
        <v>4580</v>
      </c>
      <c r="D3267" s="36" t="s">
        <v>1683</v>
      </c>
      <c r="E3267" s="36">
        <v>1104875.0</v>
      </c>
      <c r="F3267" s="178" t="s">
        <v>104</v>
      </c>
    </row>
    <row r="3268">
      <c r="A3268" s="250">
        <v>45527.62598</v>
      </c>
      <c r="B3268" s="251" t="s">
        <v>4581</v>
      </c>
      <c r="C3268" s="178" t="s">
        <v>4582</v>
      </c>
      <c r="D3268" s="36">
        <v>1.3096000000000002E7</v>
      </c>
      <c r="E3268" s="36" t="s">
        <v>1683</v>
      </c>
      <c r="F3268" s="178" t="s">
        <v>716</v>
      </c>
    </row>
    <row r="3269">
      <c r="A3269" s="250">
        <v>45527.62598</v>
      </c>
      <c r="B3269" s="251" t="s">
        <v>3242</v>
      </c>
      <c r="C3269" s="178" t="s">
        <v>4256</v>
      </c>
      <c r="D3269" s="36" t="s">
        <v>1683</v>
      </c>
      <c r="E3269" s="36">
        <v>1.3096000000000002E7</v>
      </c>
      <c r="F3269" s="178" t="s">
        <v>716</v>
      </c>
    </row>
    <row r="3270">
      <c r="A3270" s="250">
        <v>45527.95864333334</v>
      </c>
      <c r="B3270" s="251" t="s">
        <v>4583</v>
      </c>
      <c r="C3270" s="178" t="s">
        <v>4584</v>
      </c>
      <c r="D3270" s="36">
        <v>4911000.0</v>
      </c>
      <c r="E3270" s="36" t="s">
        <v>1683</v>
      </c>
      <c r="F3270" s="178" t="s">
        <v>716</v>
      </c>
    </row>
    <row r="3271">
      <c r="A3271" s="250">
        <v>45527.95864333334</v>
      </c>
      <c r="B3271" s="251" t="s">
        <v>3242</v>
      </c>
      <c r="C3271" s="178" t="s">
        <v>4254</v>
      </c>
      <c r="D3271" s="36" t="s">
        <v>1683</v>
      </c>
      <c r="E3271" s="36">
        <v>4911000.0</v>
      </c>
      <c r="F3271" s="178" t="s">
        <v>716</v>
      </c>
    </row>
    <row r="3272">
      <c r="A3272" s="250">
        <v>45531.564828888884</v>
      </c>
      <c r="B3272" s="251" t="s">
        <v>1693</v>
      </c>
      <c r="C3272" s="178" t="s">
        <v>4585</v>
      </c>
      <c r="D3272" s="36">
        <v>35000.0</v>
      </c>
      <c r="E3272" s="36" t="s">
        <v>1683</v>
      </c>
      <c r="F3272" s="178" t="s">
        <v>220</v>
      </c>
    </row>
    <row r="3273">
      <c r="A3273" s="250">
        <v>45531.564828888884</v>
      </c>
      <c r="B3273" s="251" t="s">
        <v>1684</v>
      </c>
      <c r="C3273" s="178" t="s">
        <v>4586</v>
      </c>
      <c r="D3273" s="36" t="s">
        <v>1683</v>
      </c>
      <c r="E3273" s="36">
        <v>35000.0</v>
      </c>
      <c r="F3273" s="178" t="s">
        <v>220</v>
      </c>
    </row>
    <row r="3274">
      <c r="A3274" s="250">
        <v>45531.74247111111</v>
      </c>
      <c r="B3274" s="251" t="s">
        <v>1783</v>
      </c>
      <c r="C3274" s="178" t="s">
        <v>4587</v>
      </c>
      <c r="D3274" s="36">
        <v>680150.0</v>
      </c>
      <c r="E3274" s="36" t="s">
        <v>1683</v>
      </c>
      <c r="F3274" s="178" t="s">
        <v>919</v>
      </c>
    </row>
    <row r="3275">
      <c r="A3275" s="250">
        <v>45531.74247111111</v>
      </c>
      <c r="B3275" s="251" t="s">
        <v>1684</v>
      </c>
      <c r="C3275" s="178" t="s">
        <v>4588</v>
      </c>
      <c r="D3275" s="36" t="s">
        <v>1683</v>
      </c>
      <c r="E3275" s="36">
        <v>680150.0</v>
      </c>
      <c r="F3275" s="178" t="s">
        <v>919</v>
      </c>
    </row>
    <row r="3276">
      <c r="A3276" s="250">
        <v>45531.743321111106</v>
      </c>
      <c r="B3276" s="251" t="s">
        <v>1783</v>
      </c>
      <c r="C3276" s="178" t="s">
        <v>4589</v>
      </c>
      <c r="D3276" s="36">
        <v>37399.99999999999</v>
      </c>
      <c r="E3276" s="36" t="s">
        <v>1683</v>
      </c>
      <c r="F3276" s="178" t="s">
        <v>319</v>
      </c>
    </row>
    <row r="3277">
      <c r="A3277" s="250">
        <v>45531.743321111106</v>
      </c>
      <c r="B3277" s="251" t="s">
        <v>1684</v>
      </c>
      <c r="C3277" s="178" t="s">
        <v>4590</v>
      </c>
      <c r="D3277" s="36" t="s">
        <v>1683</v>
      </c>
      <c r="E3277" s="36">
        <v>37399.99999999999</v>
      </c>
      <c r="F3277" s="178" t="s">
        <v>319</v>
      </c>
    </row>
    <row r="3278">
      <c r="A3278" s="250">
        <v>45531.745238888885</v>
      </c>
      <c r="B3278" s="251" t="s">
        <v>1783</v>
      </c>
      <c r="C3278" s="178" t="s">
        <v>4591</v>
      </c>
      <c r="D3278" s="36">
        <v>691000.0000000001</v>
      </c>
      <c r="E3278" s="36" t="s">
        <v>1683</v>
      </c>
      <c r="F3278" s="178" t="s">
        <v>918</v>
      </c>
    </row>
    <row r="3279">
      <c r="A3279" s="250">
        <v>45531.745238888885</v>
      </c>
      <c r="B3279" s="251" t="s">
        <v>1684</v>
      </c>
      <c r="C3279" s="178" t="s">
        <v>4592</v>
      </c>
      <c r="D3279" s="36" t="s">
        <v>1683</v>
      </c>
      <c r="E3279" s="36">
        <v>691000.0000000001</v>
      </c>
      <c r="F3279" s="178" t="s">
        <v>918</v>
      </c>
    </row>
    <row r="3280">
      <c r="A3280" s="250">
        <v>45532.436161111116</v>
      </c>
      <c r="B3280" s="251" t="s">
        <v>1783</v>
      </c>
      <c r="C3280" s="178" t="s">
        <v>4593</v>
      </c>
      <c r="D3280" s="36">
        <v>810333.3333333334</v>
      </c>
      <c r="E3280" s="36" t="s">
        <v>1683</v>
      </c>
      <c r="F3280" s="178" t="s">
        <v>721</v>
      </c>
    </row>
    <row r="3281">
      <c r="A3281" s="250">
        <v>45532.436161111116</v>
      </c>
      <c r="B3281" s="251" t="s">
        <v>1684</v>
      </c>
      <c r="C3281" s="178" t="s">
        <v>4594</v>
      </c>
      <c r="D3281" s="36" t="s">
        <v>1683</v>
      </c>
      <c r="E3281" s="36">
        <v>810333.3333333334</v>
      </c>
      <c r="F3281" s="178" t="s">
        <v>721</v>
      </c>
    </row>
    <row r="3282">
      <c r="A3282" s="250">
        <v>45532.43617111111</v>
      </c>
      <c r="B3282" s="251" t="s">
        <v>1783</v>
      </c>
      <c r="C3282" s="178" t="s">
        <v>4595</v>
      </c>
      <c r="D3282" s="36">
        <v>648333.3333333334</v>
      </c>
      <c r="E3282" s="36" t="s">
        <v>1683</v>
      </c>
      <c r="F3282" s="178" t="s">
        <v>722</v>
      </c>
    </row>
    <row r="3283">
      <c r="A3283" s="250">
        <v>45532.43617111111</v>
      </c>
      <c r="B3283" s="251" t="s">
        <v>1684</v>
      </c>
      <c r="C3283" s="178" t="s">
        <v>4596</v>
      </c>
      <c r="D3283" s="36" t="s">
        <v>1683</v>
      </c>
      <c r="E3283" s="36">
        <v>648333.3333333334</v>
      </c>
      <c r="F3283" s="178" t="s">
        <v>722</v>
      </c>
    </row>
    <row r="3284">
      <c r="A3284" s="250">
        <v>45532.436781111115</v>
      </c>
      <c r="B3284" s="251" t="s">
        <v>1783</v>
      </c>
      <c r="C3284" s="178" t="s">
        <v>4597</v>
      </c>
      <c r="D3284" s="36">
        <v>339372.3333333334</v>
      </c>
      <c r="E3284" s="36" t="s">
        <v>1683</v>
      </c>
      <c r="F3284" s="178" t="s">
        <v>592</v>
      </c>
    </row>
    <row r="3285">
      <c r="A3285" s="250">
        <v>45532.436781111115</v>
      </c>
      <c r="B3285" s="251" t="s">
        <v>1684</v>
      </c>
      <c r="C3285" s="178" t="s">
        <v>4598</v>
      </c>
      <c r="D3285" s="36" t="s">
        <v>1683</v>
      </c>
      <c r="E3285" s="36">
        <v>339372.3333333334</v>
      </c>
      <c r="F3285" s="178" t="s">
        <v>592</v>
      </c>
    </row>
    <row r="3286">
      <c r="A3286" s="250">
        <v>45532.63344333333</v>
      </c>
      <c r="B3286" s="251" t="s">
        <v>1783</v>
      </c>
      <c r="C3286" s="178" t="s">
        <v>4599</v>
      </c>
      <c r="D3286" s="36">
        <v>60999.99999999999</v>
      </c>
      <c r="E3286" s="36" t="s">
        <v>1683</v>
      </c>
      <c r="F3286" s="178" t="s">
        <v>627</v>
      </c>
    </row>
    <row r="3287">
      <c r="A3287" s="250">
        <v>45532.63344333333</v>
      </c>
      <c r="B3287" s="251" t="s">
        <v>1684</v>
      </c>
      <c r="C3287" s="178" t="s">
        <v>4600</v>
      </c>
      <c r="D3287" s="36" t="s">
        <v>1683</v>
      </c>
      <c r="E3287" s="36">
        <v>60999.99999999999</v>
      </c>
      <c r="F3287" s="178" t="s">
        <v>627</v>
      </c>
    </row>
    <row r="3288">
      <c r="A3288" s="250">
        <v>45533.499975555555</v>
      </c>
      <c r="B3288" s="251" t="s">
        <v>4076</v>
      </c>
      <c r="C3288" s="178" t="s">
        <v>4601</v>
      </c>
      <c r="D3288" s="36">
        <v>339372.3333333334</v>
      </c>
      <c r="E3288" s="36" t="s">
        <v>1683</v>
      </c>
      <c r="F3288" s="178" t="s">
        <v>592</v>
      </c>
    </row>
    <row r="3289">
      <c r="A3289" s="250">
        <v>45533.499975555555</v>
      </c>
      <c r="B3289" s="251" t="s">
        <v>1802</v>
      </c>
      <c r="C3289" s="178" t="s">
        <v>4597</v>
      </c>
      <c r="D3289" s="36" t="s">
        <v>1683</v>
      </c>
      <c r="E3289" s="36">
        <v>339372.3333333334</v>
      </c>
      <c r="F3289" s="178" t="s">
        <v>592</v>
      </c>
    </row>
    <row r="3290">
      <c r="A3290" s="250">
        <v>45533.685476666666</v>
      </c>
      <c r="B3290" s="251" t="s">
        <v>3930</v>
      </c>
      <c r="C3290" s="178" t="s">
        <v>4602</v>
      </c>
      <c r="D3290" s="36">
        <v>648333.3333333334</v>
      </c>
      <c r="E3290" s="36" t="s">
        <v>1683</v>
      </c>
      <c r="F3290" s="178" t="s">
        <v>722</v>
      </c>
    </row>
    <row r="3291">
      <c r="A3291" s="250">
        <v>45533.685476666666</v>
      </c>
      <c r="B3291" s="251" t="s">
        <v>1802</v>
      </c>
      <c r="C3291" s="178" t="s">
        <v>4595</v>
      </c>
      <c r="D3291" s="36" t="s">
        <v>1683</v>
      </c>
      <c r="E3291" s="36">
        <v>648333.3333333334</v>
      </c>
      <c r="F3291" s="178" t="s">
        <v>722</v>
      </c>
    </row>
    <row r="3292">
      <c r="A3292" s="250">
        <v>45533.68621111111</v>
      </c>
      <c r="B3292" s="251" t="s">
        <v>2497</v>
      </c>
      <c r="C3292" s="178" t="s">
        <v>4603</v>
      </c>
      <c r="D3292" s="36">
        <v>691000.0000000001</v>
      </c>
      <c r="E3292" s="36" t="s">
        <v>1683</v>
      </c>
      <c r="F3292" s="178" t="s">
        <v>918</v>
      </c>
    </row>
    <row r="3293">
      <c r="A3293" s="250">
        <v>45533.68621111111</v>
      </c>
      <c r="B3293" s="251" t="s">
        <v>1802</v>
      </c>
      <c r="C3293" s="178" t="s">
        <v>4591</v>
      </c>
      <c r="D3293" s="36" t="s">
        <v>1683</v>
      </c>
      <c r="E3293" s="36">
        <v>691000.0000000001</v>
      </c>
      <c r="F3293" s="178" t="s">
        <v>918</v>
      </c>
    </row>
    <row r="3294">
      <c r="A3294" s="250">
        <v>45534.42734888889</v>
      </c>
      <c r="B3294" s="251" t="s">
        <v>4073</v>
      </c>
      <c r="C3294" s="178" t="s">
        <v>4604</v>
      </c>
      <c r="D3294" s="36">
        <v>37399.99999999999</v>
      </c>
      <c r="E3294" s="36" t="s">
        <v>1683</v>
      </c>
      <c r="F3294" s="178" t="s">
        <v>319</v>
      </c>
    </row>
    <row r="3295">
      <c r="A3295" s="250">
        <v>45534.42734888889</v>
      </c>
      <c r="B3295" s="251" t="s">
        <v>1802</v>
      </c>
      <c r="C3295" s="178" t="s">
        <v>4589</v>
      </c>
      <c r="D3295" s="36" t="s">
        <v>1683</v>
      </c>
      <c r="E3295" s="36">
        <v>37399.99999999999</v>
      </c>
      <c r="F3295" s="178" t="s">
        <v>319</v>
      </c>
    </row>
    <row r="3296">
      <c r="A3296" s="250">
        <v>45534.47788777778</v>
      </c>
      <c r="B3296" s="251" t="s">
        <v>2497</v>
      </c>
      <c r="C3296" s="178" t="s">
        <v>4605</v>
      </c>
      <c r="D3296" s="36">
        <v>680150.0</v>
      </c>
      <c r="E3296" s="36" t="s">
        <v>1683</v>
      </c>
      <c r="F3296" s="178" t="s">
        <v>919</v>
      </c>
    </row>
    <row r="3297">
      <c r="A3297" s="250">
        <v>45534.47788777778</v>
      </c>
      <c r="B3297" s="251" t="s">
        <v>1802</v>
      </c>
      <c r="C3297" s="178" t="s">
        <v>4587</v>
      </c>
      <c r="D3297" s="36" t="s">
        <v>1683</v>
      </c>
      <c r="E3297" s="36">
        <v>680150.0</v>
      </c>
      <c r="F3297" s="178" t="s">
        <v>919</v>
      </c>
    </row>
    <row r="3298">
      <c r="A3298" s="250">
        <v>45534.525050000004</v>
      </c>
      <c r="B3298" s="251" t="s">
        <v>3930</v>
      </c>
      <c r="C3298" s="178" t="s">
        <v>4606</v>
      </c>
      <c r="D3298" s="36">
        <v>810333.3333333334</v>
      </c>
      <c r="E3298" s="36" t="s">
        <v>1683</v>
      </c>
      <c r="F3298" s="178" t="s">
        <v>721</v>
      </c>
    </row>
    <row r="3299">
      <c r="A3299" s="250">
        <v>45534.525050000004</v>
      </c>
      <c r="B3299" s="251" t="s">
        <v>1802</v>
      </c>
      <c r="C3299" s="178" t="s">
        <v>4593</v>
      </c>
      <c r="D3299" s="36" t="s">
        <v>1683</v>
      </c>
      <c r="E3299" s="36">
        <v>810333.3333333334</v>
      </c>
      <c r="F3299" s="178" t="s">
        <v>721</v>
      </c>
    </row>
    <row r="3300">
      <c r="A3300" s="250">
        <v>45534.58080111111</v>
      </c>
      <c r="B3300" s="251" t="s">
        <v>3247</v>
      </c>
      <c r="C3300" s="178" t="s">
        <v>4607</v>
      </c>
      <c r="D3300" s="36">
        <v>35000.0</v>
      </c>
      <c r="E3300" s="36" t="s">
        <v>1683</v>
      </c>
      <c r="F3300" s="178" t="s">
        <v>220</v>
      </c>
    </row>
    <row r="3301">
      <c r="A3301" s="250">
        <v>45534.58080111111</v>
      </c>
      <c r="B3301" s="251" t="s">
        <v>1698</v>
      </c>
      <c r="C3301" s="178" t="s">
        <v>4585</v>
      </c>
      <c r="D3301" s="36" t="s">
        <v>1683</v>
      </c>
      <c r="E3301" s="36">
        <v>35000.0</v>
      </c>
      <c r="F3301" s="178" t="s">
        <v>220</v>
      </c>
    </row>
    <row r="3302">
      <c r="A3302" s="250">
        <v>45534.76122111111</v>
      </c>
      <c r="B3302" s="251" t="s">
        <v>4608</v>
      </c>
      <c r="C3302" s="178" t="s">
        <v>4609</v>
      </c>
      <c r="D3302" s="36">
        <v>60999.99999999999</v>
      </c>
      <c r="E3302" s="36" t="s">
        <v>1683</v>
      </c>
      <c r="F3302" s="178" t="s">
        <v>627</v>
      </c>
    </row>
    <row r="3303">
      <c r="A3303" s="250">
        <v>45534.76122111111</v>
      </c>
      <c r="B3303" s="251" t="s">
        <v>1802</v>
      </c>
      <c r="C3303" s="178" t="s">
        <v>4599</v>
      </c>
      <c r="D3303" s="36" t="s">
        <v>1683</v>
      </c>
      <c r="E3303" s="36">
        <v>60999.99999999999</v>
      </c>
      <c r="F3303" s="178" t="s">
        <v>627</v>
      </c>
    </row>
    <row r="3304">
      <c r="A3304" s="250">
        <v>45535.805595555554</v>
      </c>
      <c r="B3304" s="251" t="s">
        <v>1693</v>
      </c>
      <c r="C3304" s="178" t="s">
        <v>4610</v>
      </c>
      <c r="D3304" s="36">
        <v>899899.9999999999</v>
      </c>
      <c r="E3304" s="36" t="s">
        <v>1683</v>
      </c>
      <c r="F3304" s="178" t="s">
        <v>720</v>
      </c>
    </row>
    <row r="3305">
      <c r="A3305" s="250">
        <v>45535.805595555554</v>
      </c>
      <c r="B3305" s="251" t="s">
        <v>1684</v>
      </c>
      <c r="C3305" s="178" t="s">
        <v>4611</v>
      </c>
      <c r="D3305" s="36" t="s">
        <v>1683</v>
      </c>
      <c r="E3305" s="36">
        <v>899899.9999999999</v>
      </c>
      <c r="F3305" s="178" t="s">
        <v>720</v>
      </c>
    </row>
    <row r="3306">
      <c r="A3306" s="250">
        <v>45540.32434555556</v>
      </c>
      <c r="B3306" s="251" t="s">
        <v>3930</v>
      </c>
      <c r="C3306" s="178" t="s">
        <v>4612</v>
      </c>
      <c r="D3306" s="36">
        <v>899899.9999999999</v>
      </c>
      <c r="E3306" s="36" t="s">
        <v>1683</v>
      </c>
      <c r="F3306" s="178" t="s">
        <v>720</v>
      </c>
    </row>
    <row r="3307">
      <c r="A3307" s="250">
        <v>45540.32434555556</v>
      </c>
      <c r="B3307" s="251" t="s">
        <v>1698</v>
      </c>
      <c r="C3307" s="178" t="s">
        <v>4610</v>
      </c>
      <c r="D3307" s="36" t="s">
        <v>1683</v>
      </c>
      <c r="E3307" s="36">
        <v>899899.9999999999</v>
      </c>
      <c r="F3307" s="178" t="s">
        <v>720</v>
      </c>
    </row>
    <row r="3308">
      <c r="A3308" s="250">
        <v>45544.637615555555</v>
      </c>
      <c r="B3308" s="251" t="s">
        <v>1783</v>
      </c>
      <c r="C3308" s="178" t="s">
        <v>4613</v>
      </c>
      <c r="D3308" s="36">
        <v>3105499.9999999995</v>
      </c>
      <c r="E3308" s="36" t="s">
        <v>1683</v>
      </c>
      <c r="F3308" s="178" t="s">
        <v>202</v>
      </c>
    </row>
    <row r="3309">
      <c r="A3309" s="250">
        <v>45544.637615555555</v>
      </c>
      <c r="B3309" s="251" t="s">
        <v>1684</v>
      </c>
      <c r="C3309" s="178" t="s">
        <v>4614</v>
      </c>
      <c r="D3309" s="36" t="s">
        <v>1683</v>
      </c>
      <c r="E3309" s="36">
        <v>3105499.9999999995</v>
      </c>
      <c r="F3309" s="178" t="s">
        <v>202</v>
      </c>
    </row>
    <row r="3310">
      <c r="A3310" s="250">
        <v>45544.637655555554</v>
      </c>
      <c r="B3310" s="251" t="s">
        <v>1783</v>
      </c>
      <c r="C3310" s="178" t="s">
        <v>4615</v>
      </c>
      <c r="D3310" s="36">
        <v>1035499.9999999999</v>
      </c>
      <c r="E3310" s="36" t="s">
        <v>1683</v>
      </c>
      <c r="F3310" s="178" t="s">
        <v>422</v>
      </c>
    </row>
    <row r="3311">
      <c r="A3311" s="250">
        <v>45544.637655555554</v>
      </c>
      <c r="B3311" s="251" t="s">
        <v>1684</v>
      </c>
      <c r="C3311" s="178" t="s">
        <v>4616</v>
      </c>
      <c r="D3311" s="36" t="s">
        <v>1683</v>
      </c>
      <c r="E3311" s="36">
        <v>1035499.9999999999</v>
      </c>
      <c r="F3311" s="178" t="s">
        <v>422</v>
      </c>
    </row>
    <row r="3312">
      <c r="A3312" s="250">
        <v>45547.4696</v>
      </c>
      <c r="B3312" s="251" t="s">
        <v>1844</v>
      </c>
      <c r="C3312" s="178" t="s">
        <v>4617</v>
      </c>
      <c r="D3312" s="36">
        <v>1035499.9999999999</v>
      </c>
      <c r="E3312" s="36" t="s">
        <v>1683</v>
      </c>
      <c r="F3312" s="178" t="s">
        <v>422</v>
      </c>
    </row>
    <row r="3313">
      <c r="A3313" s="250">
        <v>45547.4696</v>
      </c>
      <c r="B3313" s="251" t="s">
        <v>1802</v>
      </c>
      <c r="C3313" s="178" t="s">
        <v>4615</v>
      </c>
      <c r="D3313" s="36" t="s">
        <v>1683</v>
      </c>
      <c r="E3313" s="36">
        <v>1035499.9999999999</v>
      </c>
      <c r="F3313" s="178" t="s">
        <v>422</v>
      </c>
    </row>
    <row r="3314">
      <c r="A3314" s="250">
        <v>45547.59178222222</v>
      </c>
      <c r="B3314" s="251" t="s">
        <v>3264</v>
      </c>
      <c r="C3314" s="178" t="s">
        <v>4618</v>
      </c>
      <c r="D3314" s="36">
        <v>3105499.9999999995</v>
      </c>
      <c r="E3314" s="36" t="s">
        <v>1683</v>
      </c>
      <c r="F3314" s="178" t="s">
        <v>202</v>
      </c>
    </row>
    <row r="3315">
      <c r="A3315" s="250">
        <v>45547.59178222222</v>
      </c>
      <c r="B3315" s="251" t="s">
        <v>1802</v>
      </c>
      <c r="C3315" s="178" t="s">
        <v>4613</v>
      </c>
      <c r="D3315" s="36" t="s">
        <v>1683</v>
      </c>
      <c r="E3315" s="36">
        <v>3105499.9999999995</v>
      </c>
      <c r="F3315" s="178" t="s">
        <v>202</v>
      </c>
    </row>
    <row r="3316">
      <c r="A3316" s="250">
        <v>45560.68279444444</v>
      </c>
      <c r="B3316" s="251" t="s">
        <v>1693</v>
      </c>
      <c r="C3316" s="178" t="s">
        <v>4619</v>
      </c>
      <c r="D3316" s="36">
        <v>1712001.0</v>
      </c>
      <c r="E3316" s="36" t="s">
        <v>1683</v>
      </c>
      <c r="F3316" s="178" t="s">
        <v>119</v>
      </c>
    </row>
    <row r="3317">
      <c r="A3317" s="250">
        <v>45560.68279444444</v>
      </c>
      <c r="B3317" s="251" t="s">
        <v>1684</v>
      </c>
      <c r="C3317" s="178" t="s">
        <v>4620</v>
      </c>
      <c r="D3317" s="36" t="s">
        <v>1683</v>
      </c>
      <c r="E3317" s="36">
        <v>1712001.0</v>
      </c>
      <c r="F3317" s="178" t="s">
        <v>119</v>
      </c>
    </row>
    <row r="3318">
      <c r="A3318" s="250">
        <v>45563.559207777784</v>
      </c>
      <c r="B3318" s="251" t="s">
        <v>1693</v>
      </c>
      <c r="C3318" s="178" t="s">
        <v>4621</v>
      </c>
      <c r="D3318" s="36">
        <v>2070904.0000000005</v>
      </c>
      <c r="E3318" s="36" t="s">
        <v>1683</v>
      </c>
      <c r="F3318" s="178" t="s">
        <v>818</v>
      </c>
    </row>
    <row r="3319">
      <c r="A3319" s="250">
        <v>45563.559207777784</v>
      </c>
      <c r="B3319" s="251" t="s">
        <v>1684</v>
      </c>
      <c r="C3319" s="178" t="s">
        <v>4622</v>
      </c>
      <c r="D3319" s="36" t="s">
        <v>1683</v>
      </c>
      <c r="E3319" s="36">
        <v>2070904.0000000005</v>
      </c>
      <c r="F3319" s="178" t="s">
        <v>818</v>
      </c>
    </row>
    <row r="3320">
      <c r="A3320" s="250">
        <v>45563.55940777778</v>
      </c>
      <c r="B3320" s="251" t="s">
        <v>1693</v>
      </c>
      <c r="C3320" s="178" t="s">
        <v>4623</v>
      </c>
      <c r="D3320" s="36">
        <v>11254.999999999998</v>
      </c>
      <c r="E3320" s="36" t="s">
        <v>1683</v>
      </c>
      <c r="F3320" s="178" t="s">
        <v>663</v>
      </c>
    </row>
    <row r="3321">
      <c r="A3321" s="250">
        <v>45563.55940777778</v>
      </c>
      <c r="B3321" s="251" t="s">
        <v>1684</v>
      </c>
      <c r="C3321" s="178" t="s">
        <v>4624</v>
      </c>
      <c r="D3321" s="36" t="s">
        <v>1683</v>
      </c>
      <c r="E3321" s="36">
        <v>11254.999999999998</v>
      </c>
      <c r="F3321" s="178" t="s">
        <v>663</v>
      </c>
    </row>
    <row r="3322">
      <c r="A3322" s="250">
        <v>45563.55957777778</v>
      </c>
      <c r="B3322" s="251" t="s">
        <v>1693</v>
      </c>
      <c r="C3322" s="178" t="s">
        <v>4625</v>
      </c>
      <c r="D3322" s="36">
        <v>11254.999999999998</v>
      </c>
      <c r="E3322" s="36" t="s">
        <v>1683</v>
      </c>
      <c r="F3322" s="178" t="s">
        <v>663</v>
      </c>
    </row>
    <row r="3323">
      <c r="A3323" s="250">
        <v>45563.55957777778</v>
      </c>
      <c r="B3323" s="251" t="s">
        <v>1684</v>
      </c>
      <c r="C3323" s="178" t="s">
        <v>4626</v>
      </c>
      <c r="D3323" s="36" t="s">
        <v>1683</v>
      </c>
      <c r="E3323" s="36">
        <v>11254.999999999998</v>
      </c>
      <c r="F3323" s="178" t="s">
        <v>663</v>
      </c>
    </row>
    <row r="3324">
      <c r="A3324" s="250">
        <v>45563.55973777778</v>
      </c>
      <c r="B3324" s="251" t="s">
        <v>1611</v>
      </c>
      <c r="C3324" s="178" t="s">
        <v>4627</v>
      </c>
      <c r="D3324" s="36">
        <v>186381.0</v>
      </c>
      <c r="E3324" s="36" t="s">
        <v>1683</v>
      </c>
      <c r="F3324" s="178" t="s">
        <v>1666</v>
      </c>
    </row>
    <row r="3325">
      <c r="A3325" s="250">
        <v>45563.55973777778</v>
      </c>
      <c r="B3325" s="251" t="s">
        <v>1684</v>
      </c>
      <c r="C3325" s="178" t="s">
        <v>4628</v>
      </c>
      <c r="D3325" s="36" t="s">
        <v>1683</v>
      </c>
      <c r="E3325" s="36">
        <v>186381.0</v>
      </c>
      <c r="F3325" s="178" t="s">
        <v>1666</v>
      </c>
    </row>
    <row r="3326">
      <c r="A3326" s="250">
        <v>45563.559767777784</v>
      </c>
      <c r="B3326" s="251" t="s">
        <v>1693</v>
      </c>
      <c r="C3326" s="178" t="s">
        <v>4629</v>
      </c>
      <c r="D3326" s="36">
        <v>11254.999999999998</v>
      </c>
      <c r="E3326" s="36" t="s">
        <v>1683</v>
      </c>
      <c r="F3326" s="178" t="s">
        <v>663</v>
      </c>
    </row>
    <row r="3327">
      <c r="A3327" s="250">
        <v>45563.559767777784</v>
      </c>
      <c r="B3327" s="251" t="s">
        <v>1684</v>
      </c>
      <c r="C3327" s="178" t="s">
        <v>4630</v>
      </c>
      <c r="D3327" s="36" t="s">
        <v>1683</v>
      </c>
      <c r="E3327" s="36">
        <v>11254.999999999998</v>
      </c>
      <c r="F3327" s="178" t="s">
        <v>663</v>
      </c>
    </row>
    <row r="3328">
      <c r="A3328" s="250">
        <v>45565.459902222225</v>
      </c>
      <c r="B3328" s="251" t="s">
        <v>3356</v>
      </c>
      <c r="C3328" s="178" t="s">
        <v>4631</v>
      </c>
      <c r="D3328" s="36">
        <v>2070904.0000000005</v>
      </c>
      <c r="E3328" s="36" t="s">
        <v>1683</v>
      </c>
      <c r="F3328" s="178" t="s">
        <v>818</v>
      </c>
    </row>
    <row r="3329">
      <c r="A3329" s="250">
        <v>45565.459902222225</v>
      </c>
      <c r="B3329" s="251" t="s">
        <v>1698</v>
      </c>
      <c r="C3329" s="178" t="s">
        <v>4621</v>
      </c>
      <c r="D3329" s="36" t="s">
        <v>1683</v>
      </c>
      <c r="E3329" s="36">
        <v>2070904.0000000005</v>
      </c>
      <c r="F3329" s="178" t="s">
        <v>818</v>
      </c>
    </row>
    <row r="3330">
      <c r="A3330" s="250">
        <v>45565.70779444444</v>
      </c>
      <c r="B3330" s="251" t="s">
        <v>3017</v>
      </c>
      <c r="C3330" s="178" t="s">
        <v>4632</v>
      </c>
      <c r="D3330" s="36">
        <v>1712001.0</v>
      </c>
      <c r="E3330" s="36" t="s">
        <v>1683</v>
      </c>
      <c r="F3330" s="178" t="s">
        <v>119</v>
      </c>
    </row>
    <row r="3331">
      <c r="A3331" s="250">
        <v>45565.70779444444</v>
      </c>
      <c r="B3331" s="251" t="s">
        <v>1698</v>
      </c>
      <c r="C3331" s="178" t="s">
        <v>4619</v>
      </c>
      <c r="D3331" s="36" t="s">
        <v>1683</v>
      </c>
      <c r="E3331" s="36">
        <v>1712001.0</v>
      </c>
      <c r="F3331" s="178" t="s">
        <v>119</v>
      </c>
    </row>
    <row r="3332">
      <c r="A3332" s="250">
        <v>45566.706750000005</v>
      </c>
      <c r="B3332" s="251" t="s">
        <v>1783</v>
      </c>
      <c r="C3332" s="178" t="s">
        <v>4633</v>
      </c>
      <c r="D3332" s="36">
        <v>14999.999999999998</v>
      </c>
      <c r="E3332" s="36" t="s">
        <v>1683</v>
      </c>
      <c r="F3332" s="178" t="s">
        <v>854</v>
      </c>
    </row>
    <row r="3333">
      <c r="A3333" s="250">
        <v>45566.706750000005</v>
      </c>
      <c r="B3333" s="251" t="s">
        <v>1684</v>
      </c>
      <c r="C3333" s="178" t="s">
        <v>4634</v>
      </c>
      <c r="D3333" s="36" t="s">
        <v>1683</v>
      </c>
      <c r="E3333" s="36">
        <v>14999.999999999998</v>
      </c>
      <c r="F3333" s="178" t="s">
        <v>854</v>
      </c>
    </row>
    <row r="3334">
      <c r="A3334" s="250">
        <v>45566.708823333334</v>
      </c>
      <c r="B3334" s="251" t="s">
        <v>1783</v>
      </c>
      <c r="C3334" s="178" t="s">
        <v>4635</v>
      </c>
      <c r="D3334" s="36">
        <v>25000.0</v>
      </c>
      <c r="E3334" s="36" t="s">
        <v>1683</v>
      </c>
      <c r="F3334" s="178" t="s">
        <v>853</v>
      </c>
    </row>
    <row r="3335">
      <c r="A3335" s="250">
        <v>45566.708823333334</v>
      </c>
      <c r="B3335" s="251" t="s">
        <v>1684</v>
      </c>
      <c r="C3335" s="178" t="s">
        <v>4636</v>
      </c>
      <c r="D3335" s="36" t="s">
        <v>1683</v>
      </c>
      <c r="E3335" s="36">
        <v>25000.0</v>
      </c>
      <c r="F3335" s="178" t="s">
        <v>853</v>
      </c>
    </row>
    <row r="3336">
      <c r="A3336" s="250">
        <v>45566.7376</v>
      </c>
      <c r="B3336" s="251" t="s">
        <v>1783</v>
      </c>
      <c r="C3336" s="178" t="s">
        <v>4637</v>
      </c>
      <c r="D3336" s="36">
        <v>133333.33333333334</v>
      </c>
      <c r="E3336" s="36" t="s">
        <v>1683</v>
      </c>
      <c r="F3336" s="178" t="s">
        <v>503</v>
      </c>
    </row>
    <row r="3337">
      <c r="A3337" s="250">
        <v>45566.7376</v>
      </c>
      <c r="B3337" s="251" t="s">
        <v>1684</v>
      </c>
      <c r="C3337" s="178" t="s">
        <v>4638</v>
      </c>
      <c r="D3337" s="36" t="s">
        <v>1683</v>
      </c>
      <c r="E3337" s="36">
        <v>133333.33333333334</v>
      </c>
      <c r="F3337" s="178" t="s">
        <v>503</v>
      </c>
    </row>
    <row r="3338">
      <c r="A3338" s="250">
        <v>45566.738090000006</v>
      </c>
      <c r="B3338" s="251" t="s">
        <v>1783</v>
      </c>
      <c r="C3338" s="178" t="s">
        <v>4639</v>
      </c>
      <c r="D3338" s="36">
        <v>339958.3333333333</v>
      </c>
      <c r="E3338" s="36" t="s">
        <v>1683</v>
      </c>
      <c r="F3338" s="178" t="s">
        <v>503</v>
      </c>
    </row>
    <row r="3339">
      <c r="A3339" s="250">
        <v>45566.738090000006</v>
      </c>
      <c r="B3339" s="251" t="s">
        <v>1684</v>
      </c>
      <c r="C3339" s="178" t="s">
        <v>4640</v>
      </c>
      <c r="D3339" s="36" t="s">
        <v>1683</v>
      </c>
      <c r="E3339" s="36">
        <v>339958.3333333333</v>
      </c>
      <c r="F3339" s="178" t="s">
        <v>503</v>
      </c>
    </row>
    <row r="3340">
      <c r="A3340" s="250">
        <v>45566.73844</v>
      </c>
      <c r="B3340" s="251" t="s">
        <v>1783</v>
      </c>
      <c r="C3340" s="178" t="s">
        <v>4641</v>
      </c>
      <c r="D3340" s="36">
        <v>133333.33333333334</v>
      </c>
      <c r="E3340" s="36" t="s">
        <v>1683</v>
      </c>
      <c r="F3340" s="178" t="s">
        <v>503</v>
      </c>
    </row>
    <row r="3341">
      <c r="A3341" s="250">
        <v>45566.73844</v>
      </c>
      <c r="B3341" s="251" t="s">
        <v>1684</v>
      </c>
      <c r="C3341" s="178" t="s">
        <v>4642</v>
      </c>
      <c r="D3341" s="36" t="s">
        <v>1683</v>
      </c>
      <c r="E3341" s="36">
        <v>133333.33333333334</v>
      </c>
      <c r="F3341" s="178" t="s">
        <v>503</v>
      </c>
    </row>
    <row r="3342">
      <c r="A3342" s="250">
        <v>45566.74056777778</v>
      </c>
      <c r="B3342" s="251" t="s">
        <v>1693</v>
      </c>
      <c r="C3342" s="178" t="s">
        <v>4643</v>
      </c>
      <c r="D3342" s="36">
        <v>1823316.9999999998</v>
      </c>
      <c r="E3342" s="36" t="s">
        <v>1683</v>
      </c>
      <c r="F3342" s="178" t="s">
        <v>247</v>
      </c>
    </row>
    <row r="3343">
      <c r="A3343" s="250">
        <v>45566.74056777778</v>
      </c>
      <c r="B3343" s="251" t="s">
        <v>1684</v>
      </c>
      <c r="C3343" s="178" t="s">
        <v>4644</v>
      </c>
      <c r="D3343" s="36" t="s">
        <v>1683</v>
      </c>
      <c r="E3343" s="36">
        <v>1823316.9999999998</v>
      </c>
      <c r="F3343" s="178" t="s">
        <v>247</v>
      </c>
    </row>
    <row r="3344">
      <c r="A3344" s="250">
        <v>45566.740597777774</v>
      </c>
      <c r="B3344" s="251" t="s">
        <v>1693</v>
      </c>
      <c r="C3344" s="178" t="s">
        <v>4645</v>
      </c>
      <c r="D3344" s="36">
        <v>409683.0</v>
      </c>
      <c r="E3344" s="36" t="s">
        <v>1683</v>
      </c>
      <c r="F3344" s="178" t="s">
        <v>941</v>
      </c>
    </row>
    <row r="3345">
      <c r="A3345" s="250">
        <v>45566.740597777774</v>
      </c>
      <c r="B3345" s="251" t="s">
        <v>1684</v>
      </c>
      <c r="C3345" s="178" t="s">
        <v>4646</v>
      </c>
      <c r="D3345" s="36" t="s">
        <v>1683</v>
      </c>
      <c r="E3345" s="36">
        <v>409683.0</v>
      </c>
      <c r="F3345" s="178" t="s">
        <v>941</v>
      </c>
    </row>
    <row r="3346">
      <c r="A3346" s="250">
        <v>45567.539873333335</v>
      </c>
      <c r="B3346" s="251" t="s">
        <v>3416</v>
      </c>
      <c r="C3346" s="178" t="s">
        <v>4647</v>
      </c>
      <c r="D3346" s="36">
        <v>1823316.9999999998</v>
      </c>
      <c r="E3346" s="36" t="s">
        <v>1683</v>
      </c>
      <c r="F3346" s="178" t="s">
        <v>247</v>
      </c>
    </row>
    <row r="3347">
      <c r="A3347" s="250">
        <v>45567.539873333335</v>
      </c>
      <c r="B3347" s="251" t="s">
        <v>1698</v>
      </c>
      <c r="C3347" s="178" t="s">
        <v>4643</v>
      </c>
      <c r="D3347" s="36" t="s">
        <v>1683</v>
      </c>
      <c r="E3347" s="36">
        <v>1823316.9999999998</v>
      </c>
      <c r="F3347" s="178" t="s">
        <v>247</v>
      </c>
    </row>
    <row r="3348">
      <c r="A3348" s="250">
        <v>45568.66079666666</v>
      </c>
      <c r="B3348" s="251" t="s">
        <v>3836</v>
      </c>
      <c r="C3348" s="178" t="s">
        <v>4648</v>
      </c>
      <c r="D3348" s="36">
        <v>11254.999999999998</v>
      </c>
      <c r="E3348" s="36" t="s">
        <v>1683</v>
      </c>
      <c r="F3348" s="178" t="s">
        <v>663</v>
      </c>
    </row>
    <row r="3349">
      <c r="A3349" s="250">
        <v>45568.66079666666</v>
      </c>
      <c r="B3349" s="251" t="s">
        <v>1698</v>
      </c>
      <c r="C3349" s="178" t="s">
        <v>4623</v>
      </c>
      <c r="D3349" s="36" t="s">
        <v>1683</v>
      </c>
      <c r="E3349" s="36">
        <v>11254.999999999998</v>
      </c>
      <c r="F3349" s="178" t="s">
        <v>663</v>
      </c>
    </row>
    <row r="3350">
      <c r="A3350" s="250">
        <v>45568.66096666666</v>
      </c>
      <c r="B3350" s="251" t="s">
        <v>3841</v>
      </c>
      <c r="C3350" s="178" t="s">
        <v>4649</v>
      </c>
      <c r="D3350" s="36">
        <v>11254.999999999998</v>
      </c>
      <c r="E3350" s="36" t="s">
        <v>1683</v>
      </c>
      <c r="F3350" s="178" t="s">
        <v>663</v>
      </c>
    </row>
    <row r="3351">
      <c r="A3351" s="250">
        <v>45568.66096666666</v>
      </c>
      <c r="B3351" s="251" t="s">
        <v>1698</v>
      </c>
      <c r="C3351" s="178" t="s">
        <v>4625</v>
      </c>
      <c r="D3351" s="36" t="s">
        <v>1683</v>
      </c>
      <c r="E3351" s="36">
        <v>11254.999999999998</v>
      </c>
      <c r="F3351" s="178" t="s">
        <v>663</v>
      </c>
    </row>
    <row r="3352">
      <c r="A3352" s="250">
        <v>45568.66115666667</v>
      </c>
      <c r="B3352" s="251" t="s">
        <v>3843</v>
      </c>
      <c r="C3352" s="178" t="s">
        <v>4650</v>
      </c>
      <c r="D3352" s="36">
        <v>11254.999999999998</v>
      </c>
      <c r="E3352" s="36" t="s">
        <v>1683</v>
      </c>
      <c r="F3352" s="178" t="s">
        <v>663</v>
      </c>
    </row>
    <row r="3353">
      <c r="A3353" s="250">
        <v>45568.66115666667</v>
      </c>
      <c r="B3353" s="251" t="s">
        <v>1698</v>
      </c>
      <c r="C3353" s="178" t="s">
        <v>4629</v>
      </c>
      <c r="D3353" s="36" t="s">
        <v>1683</v>
      </c>
      <c r="E3353" s="36">
        <v>11254.999999999998</v>
      </c>
      <c r="F3353" s="178" t="s">
        <v>663</v>
      </c>
    </row>
    <row r="3354">
      <c r="A3354" s="250">
        <v>45569.848406666664</v>
      </c>
      <c r="B3354" s="251" t="s">
        <v>3872</v>
      </c>
      <c r="C3354" s="178" t="s">
        <v>4651</v>
      </c>
      <c r="D3354" s="36">
        <v>25000.0</v>
      </c>
      <c r="E3354" s="36" t="s">
        <v>1683</v>
      </c>
      <c r="F3354" s="178" t="s">
        <v>853</v>
      </c>
    </row>
    <row r="3355">
      <c r="A3355" s="250">
        <v>45569.848406666664</v>
      </c>
      <c r="B3355" s="251" t="s">
        <v>1802</v>
      </c>
      <c r="C3355" s="178" t="s">
        <v>4635</v>
      </c>
      <c r="D3355" s="36" t="s">
        <v>1683</v>
      </c>
      <c r="E3355" s="36">
        <v>25000.0</v>
      </c>
      <c r="F3355" s="178" t="s">
        <v>853</v>
      </c>
    </row>
    <row r="3356">
      <c r="A3356" s="250">
        <v>45569.84841666667</v>
      </c>
      <c r="B3356" s="251" t="s">
        <v>3872</v>
      </c>
      <c r="C3356" s="178" t="s">
        <v>4652</v>
      </c>
      <c r="D3356" s="36">
        <v>14999.999999999998</v>
      </c>
      <c r="E3356" s="36" t="s">
        <v>1683</v>
      </c>
      <c r="F3356" s="178" t="s">
        <v>854</v>
      </c>
    </row>
    <row r="3357">
      <c r="A3357" s="250">
        <v>45569.84841666667</v>
      </c>
      <c r="B3357" s="251" t="s">
        <v>1802</v>
      </c>
      <c r="C3357" s="178" t="s">
        <v>4633</v>
      </c>
      <c r="D3357" s="36" t="s">
        <v>1683</v>
      </c>
      <c r="E3357" s="36">
        <v>14999.999999999998</v>
      </c>
      <c r="F3357" s="178" t="s">
        <v>854</v>
      </c>
    </row>
    <row r="3358">
      <c r="A3358" s="250">
        <v>45570.41976444444</v>
      </c>
      <c r="B3358" s="251" t="s">
        <v>3491</v>
      </c>
      <c r="C3358" s="178" t="s">
        <v>4653</v>
      </c>
      <c r="D3358" s="36">
        <v>409683.0</v>
      </c>
      <c r="E3358" s="36" t="s">
        <v>1683</v>
      </c>
      <c r="F3358" s="178" t="s">
        <v>941</v>
      </c>
    </row>
    <row r="3359">
      <c r="A3359" s="250">
        <v>45570.41976444444</v>
      </c>
      <c r="B3359" s="251" t="s">
        <v>1698</v>
      </c>
      <c r="C3359" s="178" t="s">
        <v>4645</v>
      </c>
      <c r="D3359" s="36" t="s">
        <v>1683</v>
      </c>
      <c r="E3359" s="36">
        <v>409683.0</v>
      </c>
      <c r="F3359" s="178" t="s">
        <v>941</v>
      </c>
    </row>
    <row r="3360">
      <c r="A3360" s="250">
        <v>45570.591766666665</v>
      </c>
      <c r="B3360" s="251" t="s">
        <v>4608</v>
      </c>
      <c r="C3360" s="178" t="s">
        <v>4654</v>
      </c>
      <c r="D3360" s="36">
        <v>133333.33333333334</v>
      </c>
      <c r="E3360" s="36" t="s">
        <v>1683</v>
      </c>
      <c r="F3360" s="178" t="s">
        <v>503</v>
      </c>
    </row>
    <row r="3361">
      <c r="A3361" s="250">
        <v>45570.591766666665</v>
      </c>
      <c r="B3361" s="251" t="s">
        <v>1802</v>
      </c>
      <c r="C3361" s="178" t="s">
        <v>4637</v>
      </c>
      <c r="D3361" s="36" t="s">
        <v>1683</v>
      </c>
      <c r="E3361" s="36">
        <v>133333.33333333334</v>
      </c>
      <c r="F3361" s="178" t="s">
        <v>503</v>
      </c>
    </row>
    <row r="3362">
      <c r="A3362" s="250">
        <v>45570.59225666667</v>
      </c>
      <c r="B3362" s="251" t="s">
        <v>4655</v>
      </c>
      <c r="C3362" s="178" t="s">
        <v>4656</v>
      </c>
      <c r="D3362" s="36">
        <v>339958.3333333333</v>
      </c>
      <c r="E3362" s="36" t="s">
        <v>1683</v>
      </c>
      <c r="F3362" s="178" t="s">
        <v>503</v>
      </c>
    </row>
    <row r="3363">
      <c r="A3363" s="250">
        <v>45570.59225666667</v>
      </c>
      <c r="B3363" s="251" t="s">
        <v>1802</v>
      </c>
      <c r="C3363" s="178" t="s">
        <v>4639</v>
      </c>
      <c r="D3363" s="36" t="s">
        <v>1683</v>
      </c>
      <c r="E3363" s="36">
        <v>339958.3333333333</v>
      </c>
      <c r="F3363" s="178" t="s">
        <v>503</v>
      </c>
    </row>
    <row r="3364">
      <c r="A3364" s="250">
        <v>45570.592606666665</v>
      </c>
      <c r="B3364" s="251" t="s">
        <v>4216</v>
      </c>
      <c r="C3364" s="178" t="s">
        <v>4657</v>
      </c>
      <c r="D3364" s="36">
        <v>133333.33333333334</v>
      </c>
      <c r="E3364" s="36" t="s">
        <v>1683</v>
      </c>
      <c r="F3364" s="178" t="s">
        <v>503</v>
      </c>
    </row>
    <row r="3365">
      <c r="A3365" s="250">
        <v>45570.592606666665</v>
      </c>
      <c r="B3365" s="251" t="s">
        <v>1802</v>
      </c>
      <c r="C3365" s="178" t="s">
        <v>4641</v>
      </c>
      <c r="D3365" s="36" t="s">
        <v>1683</v>
      </c>
      <c r="E3365" s="36">
        <v>133333.33333333334</v>
      </c>
      <c r="F3365" s="178" t="s">
        <v>503</v>
      </c>
    </row>
    <row r="3366">
      <c r="A3366" s="250">
        <v>45575.575894444446</v>
      </c>
      <c r="B3366" s="251" t="s">
        <v>3020</v>
      </c>
      <c r="C3366" s="178" t="s">
        <v>4658</v>
      </c>
      <c r="D3366" s="36">
        <v>1036636.9999999999</v>
      </c>
      <c r="E3366" s="36" t="s">
        <v>1683</v>
      </c>
      <c r="F3366" s="178" t="s">
        <v>104</v>
      </c>
    </row>
    <row r="3367">
      <c r="A3367" s="250">
        <v>45575.575894444446</v>
      </c>
      <c r="B3367" s="251" t="s">
        <v>3019</v>
      </c>
      <c r="C3367" s="178" t="s">
        <v>4575</v>
      </c>
      <c r="D3367" s="36" t="s">
        <v>1683</v>
      </c>
      <c r="E3367" s="36">
        <v>1036636.9999999999</v>
      </c>
      <c r="F3367" s="178" t="s">
        <v>104</v>
      </c>
    </row>
    <row r="3368">
      <c r="A3368" s="250">
        <v>45575.576554444444</v>
      </c>
      <c r="B3368" s="251" t="s">
        <v>3017</v>
      </c>
      <c r="C3368" s="178" t="s">
        <v>4659</v>
      </c>
      <c r="D3368" s="36">
        <v>1104875.0</v>
      </c>
      <c r="E3368" s="36" t="s">
        <v>1683</v>
      </c>
      <c r="F3368" s="178" t="s">
        <v>104</v>
      </c>
    </row>
    <row r="3369">
      <c r="A3369" s="250">
        <v>45575.576554444444</v>
      </c>
      <c r="B3369" s="251" t="s">
        <v>3019</v>
      </c>
      <c r="C3369" s="178" t="s">
        <v>4579</v>
      </c>
      <c r="D3369" s="36" t="s">
        <v>1683</v>
      </c>
      <c r="E3369" s="36">
        <v>1104875.0</v>
      </c>
      <c r="F3369" s="178" t="s">
        <v>104</v>
      </c>
    </row>
    <row r="3370">
      <c r="A3370" s="250">
        <v>45575.57659888889</v>
      </c>
      <c r="B3370" s="251" t="s">
        <v>3020</v>
      </c>
      <c r="C3370" s="178" t="s">
        <v>4660</v>
      </c>
      <c r="D3370" s="36">
        <v>1036636.9999999999</v>
      </c>
      <c r="E3370" s="36" t="s">
        <v>1683</v>
      </c>
      <c r="F3370" s="178" t="s">
        <v>104</v>
      </c>
    </row>
    <row r="3371">
      <c r="A3371" s="250">
        <v>45575.57659888889</v>
      </c>
      <c r="B3371" s="251" t="s">
        <v>3019</v>
      </c>
      <c r="C3371" s="178" t="s">
        <v>4577</v>
      </c>
      <c r="D3371" s="36" t="s">
        <v>1683</v>
      </c>
      <c r="E3371" s="36">
        <v>1036636.9999999999</v>
      </c>
      <c r="F3371" s="178" t="s">
        <v>104</v>
      </c>
    </row>
    <row r="3372">
      <c r="A3372" s="250">
        <v>45580.566856666665</v>
      </c>
      <c r="B3372" s="251" t="s">
        <v>3006</v>
      </c>
      <c r="C3372" s="178" t="s">
        <v>4661</v>
      </c>
      <c r="D3372" s="36">
        <v>1036637.0000000002</v>
      </c>
      <c r="E3372" s="36" t="s">
        <v>1683</v>
      </c>
      <c r="F3372" s="178" t="s">
        <v>104</v>
      </c>
    </row>
    <row r="3373">
      <c r="A3373" s="250">
        <v>45580.566856666665</v>
      </c>
      <c r="B3373" s="251" t="s">
        <v>1684</v>
      </c>
      <c r="C3373" s="178" t="s">
        <v>4662</v>
      </c>
      <c r="D3373" s="36" t="s">
        <v>1683</v>
      </c>
      <c r="E3373" s="36">
        <v>1036637.0000000002</v>
      </c>
      <c r="F3373" s="178" t="s">
        <v>104</v>
      </c>
    </row>
    <row r="3374">
      <c r="A3374" s="250">
        <v>45580.567506666666</v>
      </c>
      <c r="B3374" s="251" t="s">
        <v>3006</v>
      </c>
      <c r="C3374" s="178" t="s">
        <v>4663</v>
      </c>
      <c r="D3374" s="36">
        <v>1104875.0</v>
      </c>
      <c r="E3374" s="36" t="s">
        <v>1683</v>
      </c>
      <c r="F3374" s="178" t="s">
        <v>104</v>
      </c>
    </row>
    <row r="3375">
      <c r="A3375" s="250">
        <v>45580.567506666666</v>
      </c>
      <c r="B3375" s="251" t="s">
        <v>1684</v>
      </c>
      <c r="C3375" s="178" t="s">
        <v>4664</v>
      </c>
      <c r="D3375" s="36" t="s">
        <v>1683</v>
      </c>
      <c r="E3375" s="36">
        <v>1104875.0</v>
      </c>
      <c r="F3375" s="178" t="s">
        <v>104</v>
      </c>
    </row>
    <row r="3376">
      <c r="A3376" s="250">
        <v>45580.603472222225</v>
      </c>
      <c r="B3376" s="251" t="s">
        <v>1693</v>
      </c>
      <c r="C3376" s="178" t="s">
        <v>4665</v>
      </c>
      <c r="D3376" s="36">
        <v>86000.0</v>
      </c>
      <c r="E3376" s="36" t="s">
        <v>1683</v>
      </c>
      <c r="F3376" s="178" t="s">
        <v>545</v>
      </c>
    </row>
    <row r="3377">
      <c r="A3377" s="250">
        <v>45580.603472222225</v>
      </c>
      <c r="B3377" s="251" t="s">
        <v>1684</v>
      </c>
      <c r="C3377" s="178" t="s">
        <v>4666</v>
      </c>
      <c r="D3377" s="36" t="s">
        <v>1683</v>
      </c>
      <c r="E3377" s="36">
        <v>86000.0</v>
      </c>
      <c r="F3377" s="178" t="s">
        <v>545</v>
      </c>
    </row>
    <row r="3378">
      <c r="A3378" s="250">
        <v>45580.638674444446</v>
      </c>
      <c r="B3378" s="251" t="s">
        <v>1693</v>
      </c>
      <c r="C3378" s="178" t="s">
        <v>4667</v>
      </c>
      <c r="D3378" s="36">
        <v>22990.000000000004</v>
      </c>
      <c r="E3378" s="36" t="s">
        <v>1683</v>
      </c>
      <c r="F3378" s="178" t="s">
        <v>852</v>
      </c>
    </row>
    <row r="3379">
      <c r="A3379" s="250">
        <v>45580.638674444446</v>
      </c>
      <c r="B3379" s="251" t="s">
        <v>1684</v>
      </c>
      <c r="C3379" s="178" t="s">
        <v>4668</v>
      </c>
      <c r="D3379" s="36" t="s">
        <v>1683</v>
      </c>
      <c r="E3379" s="36">
        <v>22990.000000000004</v>
      </c>
      <c r="F3379" s="178" t="s">
        <v>852</v>
      </c>
    </row>
    <row r="3380">
      <c r="A3380" s="250">
        <v>45580.65296777778</v>
      </c>
      <c r="B3380" s="251" t="s">
        <v>3020</v>
      </c>
      <c r="C3380" s="178" t="s">
        <v>4669</v>
      </c>
      <c r="D3380" s="36">
        <v>1036637.0000000002</v>
      </c>
      <c r="E3380" s="36" t="s">
        <v>1683</v>
      </c>
      <c r="F3380" s="178" t="s">
        <v>104</v>
      </c>
    </row>
    <row r="3381">
      <c r="A3381" s="250">
        <v>45580.65296777778</v>
      </c>
      <c r="B3381" s="251" t="s">
        <v>3019</v>
      </c>
      <c r="C3381" s="178" t="s">
        <v>4661</v>
      </c>
      <c r="D3381" s="36" t="s">
        <v>1683</v>
      </c>
      <c r="E3381" s="36">
        <v>1036637.0000000002</v>
      </c>
      <c r="F3381" s="178" t="s">
        <v>104</v>
      </c>
    </row>
    <row r="3382">
      <c r="A3382" s="250">
        <v>45580.65361777778</v>
      </c>
      <c r="B3382" s="251" t="s">
        <v>3017</v>
      </c>
      <c r="C3382" s="178" t="s">
        <v>4670</v>
      </c>
      <c r="D3382" s="36">
        <v>1104875.0</v>
      </c>
      <c r="E3382" s="36" t="s">
        <v>1683</v>
      </c>
      <c r="F3382" s="178" t="s">
        <v>104</v>
      </c>
    </row>
    <row r="3383">
      <c r="A3383" s="250">
        <v>45580.65361777778</v>
      </c>
      <c r="B3383" s="251" t="s">
        <v>3019</v>
      </c>
      <c r="C3383" s="178" t="s">
        <v>4663</v>
      </c>
      <c r="D3383" s="36" t="s">
        <v>1683</v>
      </c>
      <c r="E3383" s="36">
        <v>1104875.0</v>
      </c>
      <c r="F3383" s="178" t="s">
        <v>104</v>
      </c>
    </row>
    <row r="3384">
      <c r="A3384" s="250">
        <v>45581.584497777774</v>
      </c>
      <c r="B3384" s="251" t="s">
        <v>1693</v>
      </c>
      <c r="C3384" s="178" t="s">
        <v>4671</v>
      </c>
      <c r="D3384" s="36">
        <v>139278.0</v>
      </c>
      <c r="E3384" s="36" t="s">
        <v>1683</v>
      </c>
      <c r="F3384" s="178" t="s">
        <v>851</v>
      </c>
    </row>
    <row r="3385">
      <c r="A3385" s="250">
        <v>45581.584497777774</v>
      </c>
      <c r="B3385" s="251" t="s">
        <v>1684</v>
      </c>
      <c r="C3385" s="178" t="s">
        <v>4672</v>
      </c>
      <c r="D3385" s="36" t="s">
        <v>1683</v>
      </c>
      <c r="E3385" s="36">
        <v>139278.0</v>
      </c>
      <c r="F3385" s="178" t="s">
        <v>851</v>
      </c>
    </row>
    <row r="3386">
      <c r="A3386" s="250">
        <v>45582.678952222224</v>
      </c>
      <c r="B3386" s="251" t="s">
        <v>3872</v>
      </c>
      <c r="C3386" s="178" t="s">
        <v>4673</v>
      </c>
      <c r="D3386" s="36">
        <v>22990.000000000004</v>
      </c>
      <c r="E3386" s="36" t="s">
        <v>1683</v>
      </c>
      <c r="F3386" s="178" t="s">
        <v>852</v>
      </c>
    </row>
    <row r="3387">
      <c r="A3387" s="250">
        <v>45582.678952222224</v>
      </c>
      <c r="B3387" s="251" t="s">
        <v>1698</v>
      </c>
      <c r="C3387" s="178" t="s">
        <v>4667</v>
      </c>
      <c r="D3387" s="36" t="s">
        <v>1683</v>
      </c>
      <c r="E3387" s="36">
        <v>22990.000000000004</v>
      </c>
      <c r="F3387" s="178" t="s">
        <v>852</v>
      </c>
    </row>
    <row r="3388">
      <c r="A3388" s="250">
        <v>45583.35902777778</v>
      </c>
      <c r="B3388" s="251" t="s">
        <v>1774</v>
      </c>
      <c r="C3388" s="178" t="s">
        <v>4674</v>
      </c>
      <c r="D3388" s="36">
        <v>86000.0</v>
      </c>
      <c r="E3388" s="36" t="s">
        <v>1683</v>
      </c>
      <c r="F3388" s="178" t="s">
        <v>545</v>
      </c>
    </row>
    <row r="3389">
      <c r="A3389" s="250">
        <v>45583.35902777778</v>
      </c>
      <c r="B3389" s="251" t="s">
        <v>1698</v>
      </c>
      <c r="C3389" s="178" t="s">
        <v>4665</v>
      </c>
      <c r="D3389" s="36" t="s">
        <v>1683</v>
      </c>
      <c r="E3389" s="36">
        <v>86000.0</v>
      </c>
      <c r="F3389" s="178" t="s">
        <v>545</v>
      </c>
    </row>
    <row r="3390">
      <c r="A3390" s="250">
        <v>45583.53727555556</v>
      </c>
      <c r="B3390" s="251" t="s">
        <v>3872</v>
      </c>
      <c r="C3390" s="178" t="s">
        <v>4675</v>
      </c>
      <c r="D3390" s="36">
        <v>139278.0</v>
      </c>
      <c r="E3390" s="36" t="s">
        <v>1683</v>
      </c>
      <c r="F3390" s="178" t="s">
        <v>851</v>
      </c>
    </row>
    <row r="3391">
      <c r="A3391" s="250">
        <v>45583.53727555556</v>
      </c>
      <c r="B3391" s="251" t="s">
        <v>1698</v>
      </c>
      <c r="C3391" s="178" t="s">
        <v>4671</v>
      </c>
      <c r="D3391" s="36" t="s">
        <v>1683</v>
      </c>
      <c r="E3391" s="36">
        <v>139278.0</v>
      </c>
      <c r="F3391" s="178" t="s">
        <v>851</v>
      </c>
    </row>
    <row r="3392">
      <c r="A3392" s="250">
        <v>45584.03266888889</v>
      </c>
      <c r="B3392" s="251" t="s">
        <v>1693</v>
      </c>
      <c r="C3392" s="178" t="s">
        <v>4676</v>
      </c>
      <c r="D3392" s="36">
        <v>675242.9999999999</v>
      </c>
      <c r="E3392" s="36" t="s">
        <v>1683</v>
      </c>
      <c r="F3392" s="178" t="s">
        <v>719</v>
      </c>
    </row>
    <row r="3393">
      <c r="A3393" s="250">
        <v>45584.03266888889</v>
      </c>
      <c r="B3393" s="251" t="s">
        <v>1684</v>
      </c>
      <c r="C3393" s="178" t="s">
        <v>4677</v>
      </c>
      <c r="D3393" s="36" t="s">
        <v>1683</v>
      </c>
      <c r="E3393" s="36">
        <v>675242.9999999999</v>
      </c>
      <c r="F3393" s="178" t="s">
        <v>719</v>
      </c>
    </row>
    <row r="3394">
      <c r="A3394" s="250">
        <v>45584.03302888889</v>
      </c>
      <c r="B3394" s="251" t="s">
        <v>1693</v>
      </c>
      <c r="C3394" s="178" t="s">
        <v>4678</v>
      </c>
      <c r="D3394" s="36">
        <v>342124.0</v>
      </c>
      <c r="E3394" s="36" t="s">
        <v>1683</v>
      </c>
      <c r="F3394" s="178" t="s">
        <v>373</v>
      </c>
    </row>
    <row r="3395">
      <c r="A3395" s="250">
        <v>45584.03302888889</v>
      </c>
      <c r="B3395" s="251" t="s">
        <v>1684</v>
      </c>
      <c r="C3395" s="178" t="s">
        <v>4679</v>
      </c>
      <c r="D3395" s="36" t="s">
        <v>1683</v>
      </c>
      <c r="E3395" s="36">
        <v>342124.0</v>
      </c>
      <c r="F3395" s="178" t="s">
        <v>373</v>
      </c>
    </row>
    <row r="3396">
      <c r="A3396" s="250">
        <v>45584.03346888888</v>
      </c>
      <c r="B3396" s="251" t="s">
        <v>1693</v>
      </c>
      <c r="C3396" s="178" t="s">
        <v>4680</v>
      </c>
      <c r="D3396" s="36">
        <v>1756634.0</v>
      </c>
      <c r="E3396" s="36" t="s">
        <v>1683</v>
      </c>
      <c r="F3396" s="178" t="s">
        <v>118</v>
      </c>
    </row>
    <row r="3397">
      <c r="A3397" s="250">
        <v>45584.03346888888</v>
      </c>
      <c r="B3397" s="251" t="s">
        <v>1684</v>
      </c>
      <c r="C3397" s="178" t="s">
        <v>4681</v>
      </c>
      <c r="D3397" s="36" t="s">
        <v>1683</v>
      </c>
      <c r="E3397" s="36">
        <v>1756634.0</v>
      </c>
      <c r="F3397" s="178" t="s">
        <v>118</v>
      </c>
    </row>
    <row r="3398">
      <c r="A3398" s="250">
        <v>45586.394140000004</v>
      </c>
      <c r="B3398" s="251" t="s">
        <v>2685</v>
      </c>
      <c r="C3398" s="178" t="s">
        <v>4682</v>
      </c>
      <c r="D3398" s="36">
        <v>342124.0</v>
      </c>
      <c r="E3398" s="36" t="s">
        <v>1683</v>
      </c>
      <c r="F3398" s="178" t="s">
        <v>373</v>
      </c>
    </row>
    <row r="3399">
      <c r="A3399" s="250">
        <v>45586.394140000004</v>
      </c>
      <c r="B3399" s="251" t="s">
        <v>1698</v>
      </c>
      <c r="C3399" s="178" t="s">
        <v>4678</v>
      </c>
      <c r="D3399" s="36" t="s">
        <v>1683</v>
      </c>
      <c r="E3399" s="36">
        <v>342124.0</v>
      </c>
      <c r="F3399" s="178" t="s">
        <v>373</v>
      </c>
    </row>
    <row r="3400">
      <c r="A3400" s="250">
        <v>45586.51669666667</v>
      </c>
      <c r="B3400" s="251" t="s">
        <v>3930</v>
      </c>
      <c r="C3400" s="178" t="s">
        <v>4683</v>
      </c>
      <c r="D3400" s="36">
        <v>675242.9999999999</v>
      </c>
      <c r="E3400" s="36" t="s">
        <v>1683</v>
      </c>
      <c r="F3400" s="178" t="s">
        <v>719</v>
      </c>
    </row>
    <row r="3401">
      <c r="A3401" s="250">
        <v>45586.51669666667</v>
      </c>
      <c r="B3401" s="251" t="s">
        <v>1698</v>
      </c>
      <c r="C3401" s="178" t="s">
        <v>4676</v>
      </c>
      <c r="D3401" s="36" t="s">
        <v>1683</v>
      </c>
      <c r="E3401" s="36">
        <v>675242.9999999999</v>
      </c>
      <c r="F3401" s="178" t="s">
        <v>719</v>
      </c>
    </row>
    <row r="3402">
      <c r="A3402" s="250">
        <v>45587.53402333333</v>
      </c>
      <c r="B3402" s="251" t="s">
        <v>3006</v>
      </c>
      <c r="C3402" s="178" t="s">
        <v>4684</v>
      </c>
      <c r="D3402" s="36">
        <v>269000.0</v>
      </c>
      <c r="E3402" s="36" t="s">
        <v>1683</v>
      </c>
      <c r="F3402" s="178" t="s">
        <v>104</v>
      </c>
    </row>
    <row r="3403">
      <c r="A3403" s="250">
        <v>45587.53402333333</v>
      </c>
      <c r="B3403" s="251" t="s">
        <v>1684</v>
      </c>
      <c r="C3403" s="178" t="s">
        <v>4685</v>
      </c>
      <c r="D3403" s="36" t="s">
        <v>1683</v>
      </c>
      <c r="E3403" s="36">
        <v>269000.0</v>
      </c>
      <c r="F3403" s="178" t="s">
        <v>104</v>
      </c>
    </row>
    <row r="3404">
      <c r="A3404" s="250">
        <v>45589.61124666667</v>
      </c>
      <c r="B3404" s="251" t="s">
        <v>3017</v>
      </c>
      <c r="C3404" s="178" t="s">
        <v>4686</v>
      </c>
      <c r="D3404" s="36">
        <v>1756634.0</v>
      </c>
      <c r="E3404" s="36" t="s">
        <v>1683</v>
      </c>
      <c r="F3404" s="178" t="s">
        <v>118</v>
      </c>
    </row>
    <row r="3405">
      <c r="A3405" s="250">
        <v>45589.61124666667</v>
      </c>
      <c r="B3405" s="251" t="s">
        <v>1698</v>
      </c>
      <c r="C3405" s="178" t="s">
        <v>4680</v>
      </c>
      <c r="D3405" s="36" t="s">
        <v>1683</v>
      </c>
      <c r="E3405" s="36">
        <v>1756634.0</v>
      </c>
      <c r="F3405" s="178" t="s">
        <v>118</v>
      </c>
    </row>
    <row r="3406">
      <c r="A3406" s="250">
        <v>45589.916662222226</v>
      </c>
      <c r="B3406" s="251" t="s">
        <v>3022</v>
      </c>
      <c r="C3406" s="178" t="s">
        <v>4687</v>
      </c>
      <c r="D3406" s="36">
        <v>269000.0</v>
      </c>
      <c r="E3406" s="36" t="s">
        <v>1683</v>
      </c>
      <c r="F3406" s="178" t="s">
        <v>104</v>
      </c>
    </row>
    <row r="3407">
      <c r="A3407" s="250">
        <v>45589.916662222226</v>
      </c>
      <c r="B3407" s="251" t="s">
        <v>3019</v>
      </c>
      <c r="C3407" s="178" t="s">
        <v>4684</v>
      </c>
      <c r="D3407" s="36" t="s">
        <v>1683</v>
      </c>
      <c r="E3407" s="36">
        <v>269000.0</v>
      </c>
      <c r="F3407" s="178" t="s">
        <v>104</v>
      </c>
    </row>
    <row r="3408">
      <c r="A3408" s="250">
        <v>45590.00721444444</v>
      </c>
      <c r="B3408" s="251" t="s">
        <v>1693</v>
      </c>
      <c r="C3408" s="178" t="s">
        <v>4688</v>
      </c>
      <c r="D3408" s="36">
        <v>198059.0</v>
      </c>
      <c r="E3408" s="36" t="s">
        <v>1683</v>
      </c>
      <c r="F3408" s="178" t="s">
        <v>558</v>
      </c>
    </row>
    <row r="3409">
      <c r="A3409" s="250">
        <v>45590.00721444444</v>
      </c>
      <c r="B3409" s="251" t="s">
        <v>1684</v>
      </c>
      <c r="C3409" s="178" t="s">
        <v>4689</v>
      </c>
      <c r="D3409" s="36" t="s">
        <v>1683</v>
      </c>
      <c r="E3409" s="36">
        <v>198059.0</v>
      </c>
      <c r="F3409" s="178" t="s">
        <v>558</v>
      </c>
    </row>
    <row r="3410">
      <c r="A3410" s="250">
        <v>45590.00736444444</v>
      </c>
      <c r="B3410" s="251" t="s">
        <v>1693</v>
      </c>
      <c r="C3410" s="178" t="s">
        <v>4690</v>
      </c>
      <c r="D3410" s="36">
        <v>2873112.0</v>
      </c>
      <c r="E3410" s="36" t="s">
        <v>1683</v>
      </c>
      <c r="F3410" s="178" t="s">
        <v>83</v>
      </c>
    </row>
    <row r="3411">
      <c r="A3411" s="250">
        <v>45590.00736444444</v>
      </c>
      <c r="B3411" s="251" t="s">
        <v>1684</v>
      </c>
      <c r="C3411" s="178" t="s">
        <v>4691</v>
      </c>
      <c r="D3411" s="36" t="s">
        <v>1683</v>
      </c>
      <c r="E3411" s="36">
        <v>2873112.0</v>
      </c>
      <c r="F3411" s="178" t="s">
        <v>83</v>
      </c>
    </row>
    <row r="3412">
      <c r="A3412" s="250">
        <v>45590.00749444444</v>
      </c>
      <c r="B3412" s="251" t="s">
        <v>1693</v>
      </c>
      <c r="C3412" s="178" t="s">
        <v>4692</v>
      </c>
      <c r="D3412" s="36">
        <v>198050.0</v>
      </c>
      <c r="E3412" s="36" t="s">
        <v>1683</v>
      </c>
      <c r="F3412" s="178" t="s">
        <v>558</v>
      </c>
    </row>
    <row r="3413">
      <c r="A3413" s="250">
        <v>45590.00749444444</v>
      </c>
      <c r="B3413" s="251" t="s">
        <v>1684</v>
      </c>
      <c r="C3413" s="178" t="s">
        <v>4693</v>
      </c>
      <c r="D3413" s="36" t="s">
        <v>1683</v>
      </c>
      <c r="E3413" s="36">
        <v>198050.0</v>
      </c>
      <c r="F3413" s="178" t="s">
        <v>558</v>
      </c>
    </row>
    <row r="3414">
      <c r="A3414" s="250">
        <v>45590.007564444444</v>
      </c>
      <c r="B3414" s="251" t="s">
        <v>1693</v>
      </c>
      <c r="C3414" s="178" t="s">
        <v>4694</v>
      </c>
      <c r="D3414" s="36">
        <v>359139.0</v>
      </c>
      <c r="E3414" s="36" t="s">
        <v>1683</v>
      </c>
      <c r="F3414" s="178" t="s">
        <v>508</v>
      </c>
    </row>
    <row r="3415">
      <c r="A3415" s="250">
        <v>45590.007564444444</v>
      </c>
      <c r="B3415" s="251" t="s">
        <v>1684</v>
      </c>
      <c r="C3415" s="178" t="s">
        <v>4695</v>
      </c>
      <c r="D3415" s="36" t="s">
        <v>1683</v>
      </c>
      <c r="E3415" s="36">
        <v>359139.0</v>
      </c>
      <c r="F3415" s="178" t="s">
        <v>508</v>
      </c>
    </row>
    <row r="3416">
      <c r="A3416" s="250">
        <v>45590.53983888889</v>
      </c>
      <c r="B3416" s="251" t="s">
        <v>1783</v>
      </c>
      <c r="C3416" s="178" t="s">
        <v>4696</v>
      </c>
      <c r="D3416" s="36">
        <v>807344.0</v>
      </c>
      <c r="E3416" s="36" t="s">
        <v>1683</v>
      </c>
      <c r="F3416" s="178" t="s">
        <v>899</v>
      </c>
    </row>
    <row r="3417">
      <c r="A3417" s="250">
        <v>45590.53983888889</v>
      </c>
      <c r="B3417" s="251" t="s">
        <v>1684</v>
      </c>
      <c r="C3417" s="178" t="s">
        <v>4697</v>
      </c>
      <c r="D3417" s="36" t="s">
        <v>1683</v>
      </c>
      <c r="E3417" s="36">
        <v>807344.0</v>
      </c>
      <c r="F3417" s="178" t="s">
        <v>899</v>
      </c>
    </row>
    <row r="3418">
      <c r="A3418" s="250">
        <v>45590.544704444445</v>
      </c>
      <c r="B3418" s="251" t="s">
        <v>1783</v>
      </c>
      <c r="C3418" s="178" t="s">
        <v>4698</v>
      </c>
      <c r="D3418" s="36">
        <v>1813300.0000000002</v>
      </c>
      <c r="E3418" s="36" t="s">
        <v>1683</v>
      </c>
      <c r="F3418" s="178" t="s">
        <v>824</v>
      </c>
    </row>
    <row r="3419">
      <c r="A3419" s="250">
        <v>45590.544704444445</v>
      </c>
      <c r="B3419" s="251" t="s">
        <v>1684</v>
      </c>
      <c r="C3419" s="178" t="s">
        <v>4699</v>
      </c>
      <c r="D3419" s="36" t="s">
        <v>1683</v>
      </c>
      <c r="E3419" s="36">
        <v>1813300.0000000002</v>
      </c>
      <c r="F3419" s="178" t="s">
        <v>824</v>
      </c>
    </row>
    <row r="3420">
      <c r="A3420" s="250">
        <v>45590.56635222222</v>
      </c>
      <c r="B3420" s="251" t="s">
        <v>1693</v>
      </c>
      <c r="C3420" s="178" t="s">
        <v>4700</v>
      </c>
      <c r="D3420" s="36">
        <v>334858.00000000006</v>
      </c>
      <c r="E3420" s="36" t="s">
        <v>1683</v>
      </c>
      <c r="F3420" s="178" t="s">
        <v>372</v>
      </c>
    </row>
    <row r="3421">
      <c r="A3421" s="250">
        <v>45590.56635222222</v>
      </c>
      <c r="B3421" s="251" t="s">
        <v>1684</v>
      </c>
      <c r="C3421" s="178" t="s">
        <v>4701</v>
      </c>
      <c r="D3421" s="36" t="s">
        <v>1683</v>
      </c>
      <c r="E3421" s="36">
        <v>334858.00000000006</v>
      </c>
      <c r="F3421" s="178" t="s">
        <v>372</v>
      </c>
    </row>
    <row r="3422">
      <c r="A3422" s="250">
        <v>45590.56690222222</v>
      </c>
      <c r="B3422" s="251" t="s">
        <v>1693</v>
      </c>
      <c r="C3422" s="178" t="s">
        <v>4702</v>
      </c>
      <c r="D3422" s="36">
        <v>396982.0</v>
      </c>
      <c r="E3422" s="36" t="s">
        <v>1683</v>
      </c>
      <c r="F3422" s="178" t="s">
        <v>218</v>
      </c>
    </row>
    <row r="3423">
      <c r="A3423" s="250">
        <v>45590.56690222222</v>
      </c>
      <c r="B3423" s="251" t="s">
        <v>1684</v>
      </c>
      <c r="C3423" s="178" t="s">
        <v>4703</v>
      </c>
      <c r="D3423" s="36" t="s">
        <v>1683</v>
      </c>
      <c r="E3423" s="36">
        <v>396982.0</v>
      </c>
      <c r="F3423" s="178" t="s">
        <v>218</v>
      </c>
    </row>
    <row r="3424">
      <c r="A3424" s="250">
        <v>45591.397347777776</v>
      </c>
      <c r="B3424" s="251" t="s">
        <v>1693</v>
      </c>
      <c r="C3424" s="178" t="s">
        <v>4704</v>
      </c>
      <c r="D3424" s="36">
        <v>1679750.0</v>
      </c>
      <c r="E3424" s="36" t="s">
        <v>1683</v>
      </c>
      <c r="F3424" s="178" t="s">
        <v>116</v>
      </c>
    </row>
    <row r="3425">
      <c r="A3425" s="250">
        <v>45591.397347777776</v>
      </c>
      <c r="B3425" s="251" t="s">
        <v>1684</v>
      </c>
      <c r="C3425" s="178" t="s">
        <v>4705</v>
      </c>
      <c r="D3425" s="36" t="s">
        <v>1683</v>
      </c>
      <c r="E3425" s="36">
        <v>1679750.0</v>
      </c>
      <c r="F3425" s="178" t="s">
        <v>116</v>
      </c>
    </row>
    <row r="3426">
      <c r="A3426" s="250">
        <v>45592.41275555556</v>
      </c>
      <c r="B3426" s="251" t="s">
        <v>3243</v>
      </c>
      <c r="C3426" s="178" t="s">
        <v>4706</v>
      </c>
      <c r="D3426" s="36">
        <v>807344.0</v>
      </c>
      <c r="E3426" s="36" t="s">
        <v>1683</v>
      </c>
      <c r="F3426" s="178" t="s">
        <v>899</v>
      </c>
    </row>
    <row r="3427">
      <c r="A3427" s="250">
        <v>45592.41275555556</v>
      </c>
      <c r="B3427" s="251" t="s">
        <v>1802</v>
      </c>
      <c r="C3427" s="178" t="s">
        <v>4696</v>
      </c>
      <c r="D3427" s="36" t="s">
        <v>1683</v>
      </c>
      <c r="E3427" s="36">
        <v>807344.0</v>
      </c>
      <c r="F3427" s="178" t="s">
        <v>899</v>
      </c>
    </row>
    <row r="3428">
      <c r="A3428" s="250">
        <v>45592.979186666664</v>
      </c>
      <c r="B3428" s="251" t="s">
        <v>1693</v>
      </c>
      <c r="C3428" s="178" t="s">
        <v>4707</v>
      </c>
      <c r="D3428" s="36">
        <v>1134250.0000000002</v>
      </c>
      <c r="E3428" s="36" t="s">
        <v>1683</v>
      </c>
      <c r="F3428" s="178" t="s">
        <v>216</v>
      </c>
    </row>
    <row r="3429">
      <c r="A3429" s="250">
        <v>45592.979186666664</v>
      </c>
      <c r="B3429" s="251" t="s">
        <v>1684</v>
      </c>
      <c r="C3429" s="178" t="s">
        <v>4708</v>
      </c>
      <c r="D3429" s="36" t="s">
        <v>1683</v>
      </c>
      <c r="E3429" s="36">
        <v>1134250.0000000002</v>
      </c>
      <c r="F3429" s="178" t="s">
        <v>216</v>
      </c>
    </row>
    <row r="3430">
      <c r="A3430" s="250">
        <v>45592.97977666667</v>
      </c>
      <c r="B3430" s="251" t="s">
        <v>1693</v>
      </c>
      <c r="C3430" s="178" t="s">
        <v>4709</v>
      </c>
      <c r="D3430" s="36">
        <v>607750.0</v>
      </c>
      <c r="E3430" s="36" t="s">
        <v>1683</v>
      </c>
      <c r="F3430" s="178" t="s">
        <v>216</v>
      </c>
    </row>
    <row r="3431">
      <c r="A3431" s="250">
        <v>45592.97977666667</v>
      </c>
      <c r="B3431" s="251" t="s">
        <v>1684</v>
      </c>
      <c r="C3431" s="178" t="s">
        <v>4710</v>
      </c>
      <c r="D3431" s="36" t="s">
        <v>1683</v>
      </c>
      <c r="E3431" s="36">
        <v>607750.0</v>
      </c>
      <c r="F3431" s="178" t="s">
        <v>216</v>
      </c>
    </row>
    <row r="3432">
      <c r="A3432" s="250">
        <v>45592.98008666666</v>
      </c>
      <c r="B3432" s="251" t="s">
        <v>1693</v>
      </c>
      <c r="C3432" s="178" t="s">
        <v>4711</v>
      </c>
      <c r="D3432" s="36">
        <v>371500.00000000006</v>
      </c>
      <c r="E3432" s="36" t="s">
        <v>1683</v>
      </c>
      <c r="F3432" s="178" t="s">
        <v>216</v>
      </c>
    </row>
    <row r="3433">
      <c r="A3433" s="250">
        <v>45592.98008666666</v>
      </c>
      <c r="B3433" s="251" t="s">
        <v>1684</v>
      </c>
      <c r="C3433" s="178" t="s">
        <v>4712</v>
      </c>
      <c r="D3433" s="36" t="s">
        <v>1683</v>
      </c>
      <c r="E3433" s="36">
        <v>371500.00000000006</v>
      </c>
      <c r="F3433" s="178" t="s">
        <v>216</v>
      </c>
    </row>
    <row r="3434">
      <c r="A3434" s="250">
        <v>45592.980116666666</v>
      </c>
      <c r="B3434" s="251" t="s">
        <v>1693</v>
      </c>
      <c r="C3434" s="178" t="s">
        <v>4713</v>
      </c>
      <c r="D3434" s="36">
        <v>549249.9999999999</v>
      </c>
      <c r="E3434" s="36" t="s">
        <v>1683</v>
      </c>
      <c r="F3434" s="178" t="s">
        <v>216</v>
      </c>
    </row>
    <row r="3435">
      <c r="A3435" s="250">
        <v>45592.980116666666</v>
      </c>
      <c r="B3435" s="251" t="s">
        <v>1684</v>
      </c>
      <c r="C3435" s="178" t="s">
        <v>4714</v>
      </c>
      <c r="D3435" s="36" t="s">
        <v>1683</v>
      </c>
      <c r="E3435" s="36">
        <v>549249.9999999999</v>
      </c>
      <c r="F3435" s="178" t="s">
        <v>216</v>
      </c>
    </row>
    <row r="3436">
      <c r="A3436" s="250">
        <v>45593.306375555556</v>
      </c>
      <c r="B3436" s="251" t="s">
        <v>3017</v>
      </c>
      <c r="C3436" s="178" t="s">
        <v>4715</v>
      </c>
      <c r="D3436" s="36">
        <v>1679750.0</v>
      </c>
      <c r="E3436" s="36" t="s">
        <v>1683</v>
      </c>
      <c r="F3436" s="178" t="s">
        <v>116</v>
      </c>
    </row>
    <row r="3437">
      <c r="A3437" s="250">
        <v>45593.306375555556</v>
      </c>
      <c r="B3437" s="251" t="s">
        <v>1698</v>
      </c>
      <c r="C3437" s="178" t="s">
        <v>4704</v>
      </c>
      <c r="D3437" s="36" t="s">
        <v>1683</v>
      </c>
      <c r="E3437" s="36">
        <v>1679750.0</v>
      </c>
      <c r="F3437" s="178" t="s">
        <v>116</v>
      </c>
    </row>
    <row r="3438">
      <c r="A3438" s="250">
        <v>45593.46917</v>
      </c>
      <c r="B3438" s="251" t="s">
        <v>2987</v>
      </c>
      <c r="C3438" s="178" t="s">
        <v>4716</v>
      </c>
      <c r="D3438" s="36">
        <v>2873112.0</v>
      </c>
      <c r="E3438" s="36" t="s">
        <v>1683</v>
      </c>
      <c r="F3438" s="178" t="s">
        <v>83</v>
      </c>
    </row>
    <row r="3439">
      <c r="A3439" s="250">
        <v>45593.46917</v>
      </c>
      <c r="B3439" s="251" t="s">
        <v>1698</v>
      </c>
      <c r="C3439" s="178" t="s">
        <v>4690</v>
      </c>
      <c r="D3439" s="36" t="s">
        <v>1683</v>
      </c>
      <c r="E3439" s="36">
        <v>2873112.0</v>
      </c>
      <c r="F3439" s="178" t="s">
        <v>83</v>
      </c>
    </row>
    <row r="3440">
      <c r="A3440" s="250">
        <v>45593.48290888889</v>
      </c>
      <c r="B3440" s="251" t="s">
        <v>2324</v>
      </c>
      <c r="C3440" s="178" t="s">
        <v>4717</v>
      </c>
      <c r="D3440" s="36">
        <v>198059.0</v>
      </c>
      <c r="E3440" s="36" t="s">
        <v>1683</v>
      </c>
      <c r="F3440" s="178" t="s">
        <v>558</v>
      </c>
    </row>
    <row r="3441">
      <c r="A3441" s="250">
        <v>45593.48290888889</v>
      </c>
      <c r="B3441" s="251" t="s">
        <v>1698</v>
      </c>
      <c r="C3441" s="178" t="s">
        <v>4688</v>
      </c>
      <c r="D3441" s="36" t="s">
        <v>1683</v>
      </c>
      <c r="E3441" s="36">
        <v>198059.0</v>
      </c>
      <c r="F3441" s="178" t="s">
        <v>558</v>
      </c>
    </row>
    <row r="3442">
      <c r="A3442" s="250">
        <v>45593.48318888889</v>
      </c>
      <c r="B3442" s="251" t="s">
        <v>2345</v>
      </c>
      <c r="C3442" s="178" t="s">
        <v>4718</v>
      </c>
      <c r="D3442" s="36">
        <v>198050.0</v>
      </c>
      <c r="E3442" s="36" t="s">
        <v>1683</v>
      </c>
      <c r="F3442" s="178" t="s">
        <v>558</v>
      </c>
    </row>
    <row r="3443">
      <c r="A3443" s="250">
        <v>45593.48318888889</v>
      </c>
      <c r="B3443" s="251" t="s">
        <v>1698</v>
      </c>
      <c r="C3443" s="178" t="s">
        <v>4692</v>
      </c>
      <c r="D3443" s="36" t="s">
        <v>1683</v>
      </c>
      <c r="E3443" s="36">
        <v>198050.0</v>
      </c>
      <c r="F3443" s="178" t="s">
        <v>558</v>
      </c>
    </row>
    <row r="3444">
      <c r="A3444" s="250">
        <v>45593.67245777778</v>
      </c>
      <c r="B3444" s="251" t="s">
        <v>3247</v>
      </c>
      <c r="C3444" s="178" t="s">
        <v>4719</v>
      </c>
      <c r="D3444" s="36">
        <v>396982.0</v>
      </c>
      <c r="E3444" s="36" t="s">
        <v>1683</v>
      </c>
      <c r="F3444" s="178" t="s">
        <v>218</v>
      </c>
    </row>
    <row r="3445">
      <c r="A3445" s="250">
        <v>45593.67245777778</v>
      </c>
      <c r="B3445" s="251" t="s">
        <v>1698</v>
      </c>
      <c r="C3445" s="178" t="s">
        <v>4702</v>
      </c>
      <c r="D3445" s="36" t="s">
        <v>1683</v>
      </c>
      <c r="E3445" s="36">
        <v>396982.0</v>
      </c>
      <c r="F3445" s="178" t="s">
        <v>218</v>
      </c>
    </row>
    <row r="3446">
      <c r="A3446" s="250">
        <v>45593.88649111111</v>
      </c>
      <c r="B3446" s="251" t="s">
        <v>2685</v>
      </c>
      <c r="C3446" s="178" t="s">
        <v>4720</v>
      </c>
      <c r="D3446" s="36">
        <v>334858.00000000006</v>
      </c>
      <c r="E3446" s="36" t="s">
        <v>1683</v>
      </c>
      <c r="F3446" s="178" t="s">
        <v>372</v>
      </c>
    </row>
    <row r="3447">
      <c r="A3447" s="250">
        <v>45593.88649111111</v>
      </c>
      <c r="B3447" s="251" t="s">
        <v>1698</v>
      </c>
      <c r="C3447" s="178" t="s">
        <v>4700</v>
      </c>
      <c r="D3447" s="36" t="s">
        <v>1683</v>
      </c>
      <c r="E3447" s="36">
        <v>334858.00000000006</v>
      </c>
      <c r="F3447" s="178" t="s">
        <v>372</v>
      </c>
    </row>
    <row r="3448">
      <c r="A3448" s="250">
        <v>45597.615897777774</v>
      </c>
      <c r="B3448" s="251" t="s">
        <v>3485</v>
      </c>
      <c r="C3448" s="178" t="s">
        <v>4721</v>
      </c>
      <c r="D3448" s="36">
        <v>359139.0</v>
      </c>
      <c r="E3448" s="36" t="s">
        <v>1683</v>
      </c>
      <c r="F3448" s="178" t="s">
        <v>508</v>
      </c>
    </row>
    <row r="3449">
      <c r="A3449" s="250">
        <v>45597.615897777774</v>
      </c>
      <c r="B3449" s="251" t="s">
        <v>1698</v>
      </c>
      <c r="C3449" s="178" t="s">
        <v>4694</v>
      </c>
      <c r="D3449" s="36" t="s">
        <v>1683</v>
      </c>
      <c r="E3449" s="36">
        <v>359139.0</v>
      </c>
      <c r="F3449" s="178" t="s">
        <v>508</v>
      </c>
    </row>
    <row r="3450">
      <c r="A3450" s="250">
        <v>45598.45415222222</v>
      </c>
      <c r="B3450" s="251" t="s">
        <v>1693</v>
      </c>
      <c r="C3450" s="178" t="s">
        <v>4722</v>
      </c>
      <c r="D3450" s="36">
        <v>2227066.0000000005</v>
      </c>
      <c r="E3450" s="36" t="s">
        <v>1683</v>
      </c>
      <c r="F3450" s="178" t="s">
        <v>876</v>
      </c>
    </row>
    <row r="3451">
      <c r="A3451" s="250">
        <v>45598.45415222222</v>
      </c>
      <c r="B3451" s="251" t="s">
        <v>1684</v>
      </c>
      <c r="C3451" s="178" t="s">
        <v>4723</v>
      </c>
      <c r="D3451" s="36" t="s">
        <v>1683</v>
      </c>
      <c r="E3451" s="36">
        <v>2227066.0000000005</v>
      </c>
      <c r="F3451" s="178" t="s">
        <v>876</v>
      </c>
    </row>
    <row r="3452">
      <c r="A3452" s="250">
        <v>45598.454442222224</v>
      </c>
      <c r="B3452" s="251" t="s">
        <v>1693</v>
      </c>
      <c r="C3452" s="178" t="s">
        <v>4724</v>
      </c>
      <c r="D3452" s="36">
        <v>1115052.0</v>
      </c>
      <c r="E3452" s="36" t="s">
        <v>1683</v>
      </c>
      <c r="F3452" s="178" t="s">
        <v>989</v>
      </c>
    </row>
    <row r="3453">
      <c r="A3453" s="250">
        <v>45598.454442222224</v>
      </c>
      <c r="B3453" s="251" t="s">
        <v>1684</v>
      </c>
      <c r="C3453" s="178" t="s">
        <v>4725</v>
      </c>
      <c r="D3453" s="36" t="s">
        <v>1683</v>
      </c>
      <c r="E3453" s="36">
        <v>1115052.0</v>
      </c>
      <c r="F3453" s="178" t="s">
        <v>989</v>
      </c>
    </row>
    <row r="3454">
      <c r="A3454" s="250">
        <v>45598.59931555556</v>
      </c>
      <c r="B3454" s="251" t="s">
        <v>1693</v>
      </c>
      <c r="C3454" s="178" t="s">
        <v>4726</v>
      </c>
      <c r="D3454" s="36">
        <v>966560.0000000001</v>
      </c>
      <c r="E3454" s="36" t="s">
        <v>1683</v>
      </c>
      <c r="F3454" s="178" t="s">
        <v>245</v>
      </c>
    </row>
    <row r="3455">
      <c r="A3455" s="250">
        <v>45598.59931555556</v>
      </c>
      <c r="B3455" s="251" t="s">
        <v>1684</v>
      </c>
      <c r="C3455" s="178" t="s">
        <v>4727</v>
      </c>
      <c r="D3455" s="36" t="s">
        <v>1683</v>
      </c>
      <c r="E3455" s="36">
        <v>966560.0000000001</v>
      </c>
      <c r="F3455" s="178" t="s">
        <v>245</v>
      </c>
    </row>
    <row r="3456">
      <c r="A3456" s="250">
        <v>45598.59958555556</v>
      </c>
      <c r="B3456" s="251" t="s">
        <v>1693</v>
      </c>
      <c r="C3456" s="178" t="s">
        <v>4728</v>
      </c>
      <c r="D3456" s="36">
        <v>1173560.0</v>
      </c>
      <c r="E3456" s="36" t="s">
        <v>1683</v>
      </c>
      <c r="F3456" s="178" t="s">
        <v>245</v>
      </c>
    </row>
    <row r="3457">
      <c r="A3457" s="250">
        <v>45598.59958555556</v>
      </c>
      <c r="B3457" s="251" t="s">
        <v>1684</v>
      </c>
      <c r="C3457" s="178" t="s">
        <v>4729</v>
      </c>
      <c r="D3457" s="36" t="s">
        <v>1683</v>
      </c>
      <c r="E3457" s="36">
        <v>1173560.0</v>
      </c>
      <c r="F3457" s="178" t="s">
        <v>245</v>
      </c>
    </row>
    <row r="3458">
      <c r="A3458" s="250">
        <v>45598.59964555556</v>
      </c>
      <c r="B3458" s="251" t="s">
        <v>1693</v>
      </c>
      <c r="C3458" s="178" t="s">
        <v>4730</v>
      </c>
      <c r="D3458" s="36">
        <v>966560.0000000001</v>
      </c>
      <c r="E3458" s="36" t="s">
        <v>1683</v>
      </c>
      <c r="F3458" s="178" t="s">
        <v>245</v>
      </c>
    </row>
    <row r="3459">
      <c r="A3459" s="250">
        <v>45598.59964555556</v>
      </c>
      <c r="B3459" s="251" t="s">
        <v>1684</v>
      </c>
      <c r="C3459" s="178" t="s">
        <v>4731</v>
      </c>
      <c r="D3459" s="36" t="s">
        <v>1683</v>
      </c>
      <c r="E3459" s="36">
        <v>966560.0000000001</v>
      </c>
      <c r="F3459" s="178" t="s">
        <v>245</v>
      </c>
    </row>
    <row r="3460">
      <c r="A3460" s="250">
        <v>45598.59998555556</v>
      </c>
      <c r="B3460" s="251" t="s">
        <v>1693</v>
      </c>
      <c r="C3460" s="178" t="s">
        <v>4732</v>
      </c>
      <c r="D3460" s="36">
        <v>166160.0</v>
      </c>
      <c r="E3460" s="36" t="s">
        <v>1683</v>
      </c>
      <c r="F3460" s="178" t="s">
        <v>245</v>
      </c>
    </row>
    <row r="3461">
      <c r="A3461" s="250">
        <v>45598.59998555556</v>
      </c>
      <c r="B3461" s="251" t="s">
        <v>1684</v>
      </c>
      <c r="C3461" s="178" t="s">
        <v>4733</v>
      </c>
      <c r="D3461" s="36" t="s">
        <v>1683</v>
      </c>
      <c r="E3461" s="36">
        <v>166160.0</v>
      </c>
      <c r="F3461" s="178" t="s">
        <v>245</v>
      </c>
    </row>
    <row r="3462">
      <c r="A3462" s="250">
        <v>45598.60024555556</v>
      </c>
      <c r="B3462" s="251" t="s">
        <v>1693</v>
      </c>
      <c r="C3462" s="178" t="s">
        <v>4734</v>
      </c>
      <c r="D3462" s="36">
        <v>561760.0</v>
      </c>
      <c r="E3462" s="36" t="s">
        <v>1683</v>
      </c>
      <c r="F3462" s="178" t="s">
        <v>245</v>
      </c>
    </row>
    <row r="3463">
      <c r="A3463" s="250">
        <v>45598.60024555556</v>
      </c>
      <c r="B3463" s="251" t="s">
        <v>1684</v>
      </c>
      <c r="C3463" s="178" t="s">
        <v>4735</v>
      </c>
      <c r="D3463" s="36" t="s">
        <v>1683</v>
      </c>
      <c r="E3463" s="36">
        <v>561760.0</v>
      </c>
      <c r="F3463" s="178" t="s">
        <v>245</v>
      </c>
    </row>
    <row r="3464">
      <c r="A3464" s="250">
        <v>45598.603732222226</v>
      </c>
      <c r="B3464" s="251" t="s">
        <v>3249</v>
      </c>
      <c r="C3464" s="178" t="s">
        <v>4736</v>
      </c>
      <c r="D3464" s="36">
        <v>1813300.0000000002</v>
      </c>
      <c r="E3464" s="36" t="s">
        <v>1683</v>
      </c>
      <c r="F3464" s="178" t="s">
        <v>824</v>
      </c>
    </row>
    <row r="3465">
      <c r="A3465" s="250">
        <v>45598.603732222226</v>
      </c>
      <c r="B3465" s="251" t="s">
        <v>1802</v>
      </c>
      <c r="C3465" s="178" t="s">
        <v>4698</v>
      </c>
      <c r="D3465" s="36" t="s">
        <v>1683</v>
      </c>
      <c r="E3465" s="36">
        <v>1813300.0000000002</v>
      </c>
      <c r="F3465" s="178" t="s">
        <v>824</v>
      </c>
    </row>
    <row r="3466">
      <c r="A3466" s="250">
        <v>45598.70974222222</v>
      </c>
      <c r="B3466" s="251" t="s">
        <v>3930</v>
      </c>
      <c r="C3466" s="178" t="s">
        <v>4737</v>
      </c>
      <c r="D3466" s="36">
        <v>1134250.0000000002</v>
      </c>
      <c r="E3466" s="36" t="s">
        <v>1683</v>
      </c>
      <c r="F3466" s="178" t="s">
        <v>216</v>
      </c>
    </row>
    <row r="3467">
      <c r="A3467" s="250">
        <v>45598.70974222222</v>
      </c>
      <c r="B3467" s="251" t="s">
        <v>1698</v>
      </c>
      <c r="C3467" s="178" t="s">
        <v>4707</v>
      </c>
      <c r="D3467" s="36" t="s">
        <v>1683</v>
      </c>
      <c r="E3467" s="36">
        <v>1134250.0000000002</v>
      </c>
      <c r="F3467" s="178" t="s">
        <v>216</v>
      </c>
    </row>
    <row r="3468">
      <c r="A3468" s="250">
        <v>45598.710332222225</v>
      </c>
      <c r="B3468" s="251" t="s">
        <v>3485</v>
      </c>
      <c r="C3468" s="178" t="s">
        <v>4738</v>
      </c>
      <c r="D3468" s="36">
        <v>607750.0</v>
      </c>
      <c r="E3468" s="36" t="s">
        <v>1683</v>
      </c>
      <c r="F3468" s="178" t="s">
        <v>216</v>
      </c>
    </row>
    <row r="3469">
      <c r="A3469" s="250">
        <v>45598.710332222225</v>
      </c>
      <c r="B3469" s="251" t="s">
        <v>1698</v>
      </c>
      <c r="C3469" s="178" t="s">
        <v>4709</v>
      </c>
      <c r="D3469" s="36" t="s">
        <v>1683</v>
      </c>
      <c r="E3469" s="36">
        <v>607750.0</v>
      </c>
      <c r="F3469" s="178" t="s">
        <v>216</v>
      </c>
    </row>
    <row r="3470">
      <c r="A3470" s="250">
        <v>45598.71064222222</v>
      </c>
      <c r="B3470" s="251" t="s">
        <v>3247</v>
      </c>
      <c r="C3470" s="178" t="s">
        <v>4739</v>
      </c>
      <c r="D3470" s="36">
        <v>371500.00000000006</v>
      </c>
      <c r="E3470" s="36" t="s">
        <v>1683</v>
      </c>
      <c r="F3470" s="178" t="s">
        <v>216</v>
      </c>
    </row>
    <row r="3471">
      <c r="A3471" s="250">
        <v>45598.71064222222</v>
      </c>
      <c r="B3471" s="251" t="s">
        <v>1698</v>
      </c>
      <c r="C3471" s="178" t="s">
        <v>4711</v>
      </c>
      <c r="D3471" s="36" t="s">
        <v>1683</v>
      </c>
      <c r="E3471" s="36">
        <v>371500.00000000006</v>
      </c>
      <c r="F3471" s="178" t="s">
        <v>216</v>
      </c>
    </row>
    <row r="3472">
      <c r="A3472" s="250">
        <v>45598.71067222222</v>
      </c>
      <c r="B3472" s="251" t="s">
        <v>4073</v>
      </c>
      <c r="C3472" s="178" t="s">
        <v>4740</v>
      </c>
      <c r="D3472" s="36">
        <v>549249.9999999999</v>
      </c>
      <c r="E3472" s="36" t="s">
        <v>1683</v>
      </c>
      <c r="F3472" s="178" t="s">
        <v>216</v>
      </c>
    </row>
    <row r="3473">
      <c r="A3473" s="250">
        <v>45598.71067222222</v>
      </c>
      <c r="B3473" s="251" t="s">
        <v>1698</v>
      </c>
      <c r="C3473" s="178" t="s">
        <v>4713</v>
      </c>
      <c r="D3473" s="36" t="s">
        <v>1683</v>
      </c>
      <c r="E3473" s="36">
        <v>549249.9999999999</v>
      </c>
      <c r="F3473" s="178" t="s">
        <v>216</v>
      </c>
    </row>
    <row r="3474">
      <c r="A3474" s="250">
        <v>45599.584867777776</v>
      </c>
      <c r="B3474" s="251" t="s">
        <v>1783</v>
      </c>
      <c r="C3474" s="178" t="s">
        <v>4741</v>
      </c>
      <c r="D3474" s="36">
        <v>6000.000000000003</v>
      </c>
      <c r="E3474" s="36" t="s">
        <v>1683</v>
      </c>
      <c r="F3474" s="178" t="s">
        <v>421</v>
      </c>
    </row>
    <row r="3475">
      <c r="A3475" s="250">
        <v>45599.584867777776</v>
      </c>
      <c r="B3475" s="251" t="s">
        <v>1684</v>
      </c>
      <c r="C3475" s="178" t="s">
        <v>4742</v>
      </c>
      <c r="D3475" s="36" t="s">
        <v>1683</v>
      </c>
      <c r="E3475" s="36">
        <v>6000.000000000003</v>
      </c>
      <c r="F3475" s="178" t="s">
        <v>421</v>
      </c>
    </row>
    <row r="3476">
      <c r="A3476" s="250">
        <v>45599.691802222216</v>
      </c>
      <c r="B3476" s="251" t="s">
        <v>1693</v>
      </c>
      <c r="C3476" s="178" t="s">
        <v>4743</v>
      </c>
      <c r="D3476" s="36">
        <v>50800.0</v>
      </c>
      <c r="E3476" s="36" t="s">
        <v>1683</v>
      </c>
      <c r="F3476" s="178" t="s">
        <v>420</v>
      </c>
    </row>
    <row r="3477">
      <c r="A3477" s="250">
        <v>45599.691802222216</v>
      </c>
      <c r="B3477" s="251" t="s">
        <v>1684</v>
      </c>
      <c r="C3477" s="178" t="s">
        <v>4744</v>
      </c>
      <c r="D3477" s="36" t="s">
        <v>1683</v>
      </c>
      <c r="E3477" s="36">
        <v>50800.0</v>
      </c>
      <c r="F3477" s="178" t="s">
        <v>420</v>
      </c>
    </row>
    <row r="3478">
      <c r="A3478" s="250">
        <v>45600.56057222222</v>
      </c>
      <c r="B3478" s="251" t="s">
        <v>1693</v>
      </c>
      <c r="C3478" s="178" t="s">
        <v>4745</v>
      </c>
      <c r="D3478" s="36">
        <v>8200.000000000002</v>
      </c>
      <c r="E3478" s="36" t="s">
        <v>1683</v>
      </c>
      <c r="F3478" s="178" t="s">
        <v>308</v>
      </c>
    </row>
    <row r="3479">
      <c r="A3479" s="250">
        <v>45600.56057222222</v>
      </c>
      <c r="B3479" s="251" t="s">
        <v>1684</v>
      </c>
      <c r="C3479" s="178" t="s">
        <v>4746</v>
      </c>
      <c r="D3479" s="36" t="s">
        <v>1683</v>
      </c>
      <c r="E3479" s="36">
        <v>8200.000000000002</v>
      </c>
      <c r="F3479" s="178" t="s">
        <v>308</v>
      </c>
    </row>
    <row r="3480">
      <c r="A3480" s="250">
        <v>45600.56125666667</v>
      </c>
      <c r="B3480" s="251" t="s">
        <v>1693</v>
      </c>
      <c r="C3480" s="178" t="s">
        <v>4747</v>
      </c>
      <c r="D3480" s="36">
        <v>8200.000000000002</v>
      </c>
      <c r="E3480" s="36" t="s">
        <v>1683</v>
      </c>
      <c r="F3480" s="178" t="s">
        <v>307</v>
      </c>
    </row>
    <row r="3481">
      <c r="A3481" s="250">
        <v>45600.56125666667</v>
      </c>
      <c r="B3481" s="251" t="s">
        <v>1684</v>
      </c>
      <c r="C3481" s="178" t="s">
        <v>4748</v>
      </c>
      <c r="D3481" s="36" t="s">
        <v>1683</v>
      </c>
      <c r="E3481" s="36">
        <v>8200.000000000002</v>
      </c>
      <c r="F3481" s="178" t="s">
        <v>307</v>
      </c>
    </row>
    <row r="3482">
      <c r="A3482" s="250">
        <v>45602.49373555555</v>
      </c>
      <c r="B3482" s="251" t="s">
        <v>3240</v>
      </c>
      <c r="C3482" s="178" t="s">
        <v>4749</v>
      </c>
      <c r="D3482" s="36">
        <v>2227066.0000000005</v>
      </c>
      <c r="E3482" s="36" t="s">
        <v>1683</v>
      </c>
      <c r="F3482" s="178" t="s">
        <v>876</v>
      </c>
    </row>
    <row r="3483">
      <c r="A3483" s="250">
        <v>45602.49373555555</v>
      </c>
      <c r="B3483" s="251" t="s">
        <v>1698</v>
      </c>
      <c r="C3483" s="178" t="s">
        <v>4722</v>
      </c>
      <c r="D3483" s="36" t="s">
        <v>1683</v>
      </c>
      <c r="E3483" s="36">
        <v>2227066.0000000005</v>
      </c>
      <c r="F3483" s="178" t="s">
        <v>876</v>
      </c>
    </row>
    <row r="3484">
      <c r="A3484" s="250">
        <v>45602.494025555556</v>
      </c>
      <c r="B3484" s="251" t="s">
        <v>3392</v>
      </c>
      <c r="C3484" s="178" t="s">
        <v>4750</v>
      </c>
      <c r="D3484" s="36">
        <v>1115052.0</v>
      </c>
      <c r="E3484" s="36" t="s">
        <v>1683</v>
      </c>
      <c r="F3484" s="178" t="s">
        <v>989</v>
      </c>
    </row>
    <row r="3485">
      <c r="A3485" s="250">
        <v>45602.494025555556</v>
      </c>
      <c r="B3485" s="251" t="s">
        <v>1698</v>
      </c>
      <c r="C3485" s="178" t="s">
        <v>4724</v>
      </c>
      <c r="D3485" s="36" t="s">
        <v>1683</v>
      </c>
      <c r="E3485" s="36">
        <v>1115052.0</v>
      </c>
      <c r="F3485" s="178" t="s">
        <v>989</v>
      </c>
    </row>
    <row r="3486">
      <c r="A3486" s="250">
        <v>45602.58417333334</v>
      </c>
      <c r="B3486" s="251" t="s">
        <v>1844</v>
      </c>
      <c r="C3486" s="178" t="s">
        <v>4751</v>
      </c>
      <c r="D3486" s="36">
        <v>6000.000000000003</v>
      </c>
      <c r="E3486" s="36" t="s">
        <v>1683</v>
      </c>
      <c r="F3486" s="178" t="s">
        <v>421</v>
      </c>
    </row>
    <row r="3487">
      <c r="A3487" s="250">
        <v>45602.58417333334</v>
      </c>
      <c r="B3487" s="251" t="s">
        <v>1802</v>
      </c>
      <c r="C3487" s="178" t="s">
        <v>4741</v>
      </c>
      <c r="D3487" s="36" t="s">
        <v>1683</v>
      </c>
      <c r="E3487" s="36">
        <v>6000.000000000003</v>
      </c>
      <c r="F3487" s="178" t="s">
        <v>421</v>
      </c>
    </row>
    <row r="3488">
      <c r="A3488" s="250">
        <v>45602.62626824074</v>
      </c>
      <c r="B3488" s="251" t="s">
        <v>4049</v>
      </c>
      <c r="C3488" s="178" t="s">
        <v>4752</v>
      </c>
      <c r="D3488" s="36">
        <v>8200.000000000002</v>
      </c>
      <c r="E3488" s="36" t="s">
        <v>1683</v>
      </c>
      <c r="F3488" s="178" t="s">
        <v>307</v>
      </c>
    </row>
    <row r="3489">
      <c r="A3489" s="250">
        <v>45602.62626824074</v>
      </c>
      <c r="B3489" s="251" t="s">
        <v>1698</v>
      </c>
      <c r="C3489" s="178" t="s">
        <v>4747</v>
      </c>
      <c r="D3489" s="36" t="s">
        <v>1683</v>
      </c>
      <c r="E3489" s="36">
        <v>8200.000000000002</v>
      </c>
      <c r="F3489" s="178" t="s">
        <v>307</v>
      </c>
    </row>
    <row r="3490">
      <c r="A3490" s="250">
        <v>45602.626278240736</v>
      </c>
      <c r="B3490" s="251" t="s">
        <v>4049</v>
      </c>
      <c r="C3490" s="178" t="s">
        <v>4753</v>
      </c>
      <c r="D3490" s="36">
        <v>8200.000000000002</v>
      </c>
      <c r="E3490" s="36" t="s">
        <v>1683</v>
      </c>
      <c r="F3490" s="178" t="s">
        <v>308</v>
      </c>
    </row>
    <row r="3491">
      <c r="A3491" s="250">
        <v>45602.626278240736</v>
      </c>
      <c r="B3491" s="251" t="s">
        <v>1698</v>
      </c>
      <c r="C3491" s="178" t="s">
        <v>4745</v>
      </c>
      <c r="D3491" s="36" t="s">
        <v>1683</v>
      </c>
      <c r="E3491" s="36">
        <v>8200.000000000002</v>
      </c>
      <c r="F3491" s="178" t="s">
        <v>308</v>
      </c>
    </row>
    <row r="3492">
      <c r="A3492" s="250">
        <v>45603.58416333333</v>
      </c>
      <c r="B3492" s="251" t="s">
        <v>2112</v>
      </c>
      <c r="C3492" s="178" t="s">
        <v>4754</v>
      </c>
      <c r="D3492" s="36">
        <v>210980.0</v>
      </c>
      <c r="E3492" s="36" t="s">
        <v>1683</v>
      </c>
      <c r="F3492" s="178" t="s">
        <v>1683</v>
      </c>
    </row>
    <row r="3493">
      <c r="A3493" s="250">
        <v>45603.58416333333</v>
      </c>
      <c r="B3493" s="251" t="s">
        <v>2385</v>
      </c>
      <c r="C3493" s="178" t="s">
        <v>4755</v>
      </c>
      <c r="D3493" s="36" t="s">
        <v>1683</v>
      </c>
      <c r="E3493" s="36">
        <v>210980.0</v>
      </c>
      <c r="F3493" s="178" t="s">
        <v>1683</v>
      </c>
    </row>
    <row r="3494">
      <c r="A3494" s="250">
        <v>45603.58417333334</v>
      </c>
      <c r="B3494" s="251" t="s">
        <v>3264</v>
      </c>
      <c r="C3494" s="178" t="s">
        <v>4756</v>
      </c>
      <c r="D3494" s="36">
        <v>124220.0</v>
      </c>
      <c r="E3494" s="36" t="s">
        <v>1683</v>
      </c>
      <c r="F3494" s="178" t="s">
        <v>1683</v>
      </c>
    </row>
    <row r="3495">
      <c r="A3495" s="250">
        <v>45603.58417333334</v>
      </c>
      <c r="B3495" s="251" t="s">
        <v>4757</v>
      </c>
      <c r="C3495" s="178" t="s">
        <v>4758</v>
      </c>
      <c r="D3495" s="36" t="s">
        <v>1683</v>
      </c>
      <c r="E3495" s="36">
        <v>124220.0</v>
      </c>
      <c r="F3495" s="178" t="s">
        <v>1683</v>
      </c>
    </row>
    <row r="3496">
      <c r="A3496" s="250">
        <v>45603.58418333333</v>
      </c>
      <c r="B3496" s="251" t="s">
        <v>4759</v>
      </c>
      <c r="C3496" s="178" t="s">
        <v>4760</v>
      </c>
      <c r="D3496" s="36">
        <v>89204.16</v>
      </c>
      <c r="E3496" s="36" t="s">
        <v>1683</v>
      </c>
      <c r="F3496" s="178" t="s">
        <v>1683</v>
      </c>
    </row>
    <row r="3497">
      <c r="A3497" s="250">
        <v>45603.58418333333</v>
      </c>
      <c r="B3497" s="251" t="s">
        <v>4761</v>
      </c>
      <c r="C3497" s="178" t="s">
        <v>4762</v>
      </c>
      <c r="D3497" s="36" t="s">
        <v>1683</v>
      </c>
      <c r="E3497" s="36">
        <v>89204.16</v>
      </c>
      <c r="F3497" s="178" t="s">
        <v>1683</v>
      </c>
    </row>
    <row r="3498">
      <c r="A3498" s="250">
        <v>45603.584193333336</v>
      </c>
      <c r="B3498" s="251" t="s">
        <v>3400</v>
      </c>
      <c r="C3498" s="178" t="s">
        <v>4763</v>
      </c>
      <c r="D3498" s="36">
        <v>36500.0</v>
      </c>
      <c r="E3498" s="36" t="s">
        <v>1683</v>
      </c>
      <c r="F3498" s="178" t="s">
        <v>1683</v>
      </c>
    </row>
    <row r="3499">
      <c r="A3499" s="250">
        <v>45603.584193333336</v>
      </c>
      <c r="B3499" s="251" t="s">
        <v>4764</v>
      </c>
      <c r="C3499" s="178" t="s">
        <v>4765</v>
      </c>
      <c r="D3499" s="36" t="s">
        <v>1683</v>
      </c>
      <c r="E3499" s="36">
        <v>36500.0</v>
      </c>
      <c r="F3499" s="178" t="s">
        <v>1683</v>
      </c>
    </row>
    <row r="3500">
      <c r="A3500" s="250">
        <v>45603.58420333334</v>
      </c>
      <c r="B3500" s="251" t="s">
        <v>4766</v>
      </c>
      <c r="C3500" s="178" t="s">
        <v>4767</v>
      </c>
      <c r="D3500" s="36">
        <v>8874.0</v>
      </c>
      <c r="E3500" s="36" t="s">
        <v>1683</v>
      </c>
      <c r="F3500" s="178" t="s">
        <v>1683</v>
      </c>
    </row>
    <row r="3501">
      <c r="A3501" s="250">
        <v>45603.58420333334</v>
      </c>
      <c r="B3501" s="251" t="s">
        <v>4768</v>
      </c>
      <c r="C3501" s="178" t="s">
        <v>4769</v>
      </c>
      <c r="D3501" s="36" t="s">
        <v>1683</v>
      </c>
      <c r="E3501" s="36">
        <v>8874.0</v>
      </c>
      <c r="F3501" s="178" t="s">
        <v>1683</v>
      </c>
    </row>
    <row r="3502">
      <c r="A3502" s="250">
        <v>45604.41749666666</v>
      </c>
      <c r="B3502" s="251" t="s">
        <v>1844</v>
      </c>
      <c r="C3502" s="178" t="s">
        <v>4770</v>
      </c>
      <c r="D3502" s="36">
        <v>50800.0</v>
      </c>
      <c r="E3502" s="36" t="s">
        <v>1683</v>
      </c>
      <c r="F3502" s="178" t="s">
        <v>420</v>
      </c>
    </row>
    <row r="3503">
      <c r="A3503" s="250">
        <v>45604.41749666666</v>
      </c>
      <c r="B3503" s="251" t="s">
        <v>1698</v>
      </c>
      <c r="C3503" s="178" t="s">
        <v>4743</v>
      </c>
      <c r="D3503" s="36" t="s">
        <v>1683</v>
      </c>
      <c r="E3503" s="36">
        <v>50800.0</v>
      </c>
      <c r="F3503" s="178" t="s">
        <v>420</v>
      </c>
    </row>
    <row r="3504">
      <c r="A3504" s="250">
        <v>45604.980765555556</v>
      </c>
      <c r="B3504" s="251" t="s">
        <v>1783</v>
      </c>
      <c r="C3504" s="178" t="s">
        <v>4771</v>
      </c>
      <c r="D3504" s="36">
        <v>110733.33333333333</v>
      </c>
      <c r="E3504" s="36" t="s">
        <v>1683</v>
      </c>
      <c r="F3504" s="178" t="s">
        <v>418</v>
      </c>
    </row>
    <row r="3505">
      <c r="A3505" s="250">
        <v>45604.980765555556</v>
      </c>
      <c r="B3505" s="251" t="s">
        <v>1684</v>
      </c>
      <c r="C3505" s="178" t="s">
        <v>4772</v>
      </c>
      <c r="D3505" s="36" t="s">
        <v>1683</v>
      </c>
      <c r="E3505" s="36">
        <v>110733.33333333333</v>
      </c>
      <c r="F3505" s="178" t="s">
        <v>418</v>
      </c>
    </row>
    <row r="3506">
      <c r="A3506" s="250">
        <v>45604.98107555556</v>
      </c>
      <c r="B3506" s="251" t="s">
        <v>1783</v>
      </c>
      <c r="C3506" s="178" t="s">
        <v>4773</v>
      </c>
      <c r="D3506" s="36">
        <v>1118133.3333333333</v>
      </c>
      <c r="E3506" s="36" t="s">
        <v>1683</v>
      </c>
      <c r="F3506" s="178" t="s">
        <v>495</v>
      </c>
    </row>
    <row r="3507">
      <c r="A3507" s="250">
        <v>45604.98107555556</v>
      </c>
      <c r="B3507" s="251" t="s">
        <v>1684</v>
      </c>
      <c r="C3507" s="178" t="s">
        <v>4774</v>
      </c>
      <c r="D3507" s="36" t="s">
        <v>1683</v>
      </c>
      <c r="E3507" s="36">
        <v>1118133.3333333333</v>
      </c>
      <c r="F3507" s="178" t="s">
        <v>495</v>
      </c>
    </row>
    <row r="3508">
      <c r="A3508" s="250">
        <v>45604.98137555556</v>
      </c>
      <c r="B3508" s="251" t="s">
        <v>1783</v>
      </c>
      <c r="C3508" s="178" t="s">
        <v>4775</v>
      </c>
      <c r="D3508" s="36">
        <v>920333.3333333333</v>
      </c>
      <c r="E3508" s="36" t="s">
        <v>1683</v>
      </c>
      <c r="F3508" s="178" t="s">
        <v>418</v>
      </c>
    </row>
    <row r="3509">
      <c r="A3509" s="250">
        <v>45604.98137555556</v>
      </c>
      <c r="B3509" s="251" t="s">
        <v>1684</v>
      </c>
      <c r="C3509" s="178" t="s">
        <v>4776</v>
      </c>
      <c r="D3509" s="36" t="s">
        <v>1683</v>
      </c>
      <c r="E3509" s="36">
        <v>920333.3333333333</v>
      </c>
      <c r="F3509" s="178" t="s">
        <v>418</v>
      </c>
    </row>
    <row r="3510">
      <c r="A3510" s="250">
        <v>45605.17664888889</v>
      </c>
      <c r="B3510" s="251" t="s">
        <v>1693</v>
      </c>
      <c r="C3510" s="178" t="s">
        <v>4777</v>
      </c>
      <c r="D3510" s="36">
        <v>586653.0</v>
      </c>
      <c r="E3510" s="36" t="s">
        <v>1683</v>
      </c>
      <c r="F3510" s="178" t="s">
        <v>557</v>
      </c>
    </row>
    <row r="3511">
      <c r="A3511" s="250">
        <v>45605.17664888889</v>
      </c>
      <c r="B3511" s="251" t="s">
        <v>1684</v>
      </c>
      <c r="C3511" s="178" t="s">
        <v>4778</v>
      </c>
      <c r="D3511" s="36" t="s">
        <v>1683</v>
      </c>
      <c r="E3511" s="36">
        <v>586653.0</v>
      </c>
      <c r="F3511" s="178" t="s">
        <v>557</v>
      </c>
    </row>
    <row r="3512">
      <c r="A3512" s="250">
        <v>45605.17679888889</v>
      </c>
      <c r="B3512" s="251" t="s">
        <v>1693</v>
      </c>
      <c r="C3512" s="178" t="s">
        <v>4779</v>
      </c>
      <c r="D3512" s="36">
        <v>2815894.0</v>
      </c>
      <c r="E3512" s="36" t="s">
        <v>1683</v>
      </c>
      <c r="F3512" s="178" t="s">
        <v>82</v>
      </c>
    </row>
    <row r="3513">
      <c r="A3513" s="250">
        <v>45605.17679888889</v>
      </c>
      <c r="B3513" s="251" t="s">
        <v>1684</v>
      </c>
      <c r="C3513" s="178" t="s">
        <v>4780</v>
      </c>
      <c r="D3513" s="36" t="s">
        <v>1683</v>
      </c>
      <c r="E3513" s="36">
        <v>2815894.0</v>
      </c>
      <c r="F3513" s="178" t="s">
        <v>82</v>
      </c>
    </row>
    <row r="3514">
      <c r="A3514" s="250">
        <v>45605.17692888889</v>
      </c>
      <c r="B3514" s="251" t="s">
        <v>1693</v>
      </c>
      <c r="C3514" s="178" t="s">
        <v>4781</v>
      </c>
      <c r="D3514" s="36">
        <v>655653.0</v>
      </c>
      <c r="E3514" s="36" t="s">
        <v>1683</v>
      </c>
      <c r="F3514" s="178" t="s">
        <v>557</v>
      </c>
    </row>
    <row r="3515">
      <c r="A3515" s="250">
        <v>45605.17692888889</v>
      </c>
      <c r="B3515" s="251" t="s">
        <v>1684</v>
      </c>
      <c r="C3515" s="178" t="s">
        <v>4782</v>
      </c>
      <c r="D3515" s="36" t="s">
        <v>1683</v>
      </c>
      <c r="E3515" s="36">
        <v>655653.0</v>
      </c>
      <c r="F3515" s="178" t="s">
        <v>557</v>
      </c>
    </row>
    <row r="3516">
      <c r="A3516" s="250">
        <v>45605.54167666667</v>
      </c>
      <c r="B3516" s="251" t="s">
        <v>3930</v>
      </c>
      <c r="C3516" s="178" t="s">
        <v>4783</v>
      </c>
      <c r="D3516" s="36">
        <v>966560.0000000001</v>
      </c>
      <c r="E3516" s="36" t="s">
        <v>1683</v>
      </c>
      <c r="F3516" s="178" t="s">
        <v>245</v>
      </c>
    </row>
    <row r="3517">
      <c r="A3517" s="250">
        <v>45605.54167666667</v>
      </c>
      <c r="B3517" s="251" t="s">
        <v>1698</v>
      </c>
      <c r="C3517" s="178" t="s">
        <v>4726</v>
      </c>
      <c r="D3517" s="36" t="s">
        <v>1683</v>
      </c>
      <c r="E3517" s="36">
        <v>966560.0000000001</v>
      </c>
      <c r="F3517" s="178" t="s">
        <v>245</v>
      </c>
    </row>
    <row r="3518">
      <c r="A3518" s="250">
        <v>45605.541946666664</v>
      </c>
      <c r="B3518" s="251" t="s">
        <v>3416</v>
      </c>
      <c r="C3518" s="178" t="s">
        <v>4784</v>
      </c>
      <c r="D3518" s="36">
        <v>1173560.0</v>
      </c>
      <c r="E3518" s="36" t="s">
        <v>1683</v>
      </c>
      <c r="F3518" s="178" t="s">
        <v>245</v>
      </c>
    </row>
    <row r="3519">
      <c r="A3519" s="250">
        <v>45605.541946666664</v>
      </c>
      <c r="B3519" s="251" t="s">
        <v>1698</v>
      </c>
      <c r="C3519" s="178" t="s">
        <v>4728</v>
      </c>
      <c r="D3519" s="36" t="s">
        <v>1683</v>
      </c>
      <c r="E3519" s="36">
        <v>1173560.0</v>
      </c>
      <c r="F3519" s="178" t="s">
        <v>245</v>
      </c>
    </row>
    <row r="3520">
      <c r="A3520" s="250">
        <v>45605.54200666666</v>
      </c>
      <c r="B3520" s="251" t="s">
        <v>3932</v>
      </c>
      <c r="C3520" s="178" t="s">
        <v>4785</v>
      </c>
      <c r="D3520" s="36">
        <v>966560.0000000001</v>
      </c>
      <c r="E3520" s="36" t="s">
        <v>1683</v>
      </c>
      <c r="F3520" s="178" t="s">
        <v>245</v>
      </c>
    </row>
    <row r="3521">
      <c r="A3521" s="250">
        <v>45605.54200666666</v>
      </c>
      <c r="B3521" s="251" t="s">
        <v>1698</v>
      </c>
      <c r="C3521" s="178" t="s">
        <v>4730</v>
      </c>
      <c r="D3521" s="36" t="s">
        <v>1683</v>
      </c>
      <c r="E3521" s="36">
        <v>966560.0000000001</v>
      </c>
      <c r="F3521" s="178" t="s">
        <v>245</v>
      </c>
    </row>
    <row r="3522">
      <c r="A3522" s="250">
        <v>45605.54234666666</v>
      </c>
      <c r="B3522" s="251" t="s">
        <v>3867</v>
      </c>
      <c r="C3522" s="178" t="s">
        <v>4786</v>
      </c>
      <c r="D3522" s="36">
        <v>166160.0</v>
      </c>
      <c r="E3522" s="36" t="s">
        <v>1683</v>
      </c>
      <c r="F3522" s="178" t="s">
        <v>245</v>
      </c>
    </row>
    <row r="3523">
      <c r="A3523" s="250">
        <v>45605.54234666666</v>
      </c>
      <c r="B3523" s="251" t="s">
        <v>1698</v>
      </c>
      <c r="C3523" s="178" t="s">
        <v>4732</v>
      </c>
      <c r="D3523" s="36" t="s">
        <v>1683</v>
      </c>
      <c r="E3523" s="36">
        <v>166160.0</v>
      </c>
      <c r="F3523" s="178" t="s">
        <v>245</v>
      </c>
    </row>
    <row r="3524">
      <c r="A3524" s="250">
        <v>45605.54260666666</v>
      </c>
      <c r="B3524" s="251" t="s">
        <v>4073</v>
      </c>
      <c r="C3524" s="178" t="s">
        <v>4787</v>
      </c>
      <c r="D3524" s="36">
        <v>561760.0</v>
      </c>
      <c r="E3524" s="36" t="s">
        <v>1683</v>
      </c>
      <c r="F3524" s="178" t="s">
        <v>245</v>
      </c>
    </row>
    <row r="3525">
      <c r="A3525" s="250">
        <v>45605.54260666666</v>
      </c>
      <c r="B3525" s="251" t="s">
        <v>1698</v>
      </c>
      <c r="C3525" s="178" t="s">
        <v>4734</v>
      </c>
      <c r="D3525" s="36" t="s">
        <v>1683</v>
      </c>
      <c r="E3525" s="36">
        <v>561760.0</v>
      </c>
      <c r="F3525" s="178" t="s">
        <v>245</v>
      </c>
    </row>
    <row r="3526">
      <c r="A3526" s="250">
        <v>45607.00291333333</v>
      </c>
      <c r="B3526" s="251" t="s">
        <v>1693</v>
      </c>
      <c r="C3526" s="178" t="s">
        <v>4788</v>
      </c>
      <c r="D3526" s="36">
        <v>6200.0</v>
      </c>
      <c r="E3526" s="36" t="s">
        <v>1683</v>
      </c>
      <c r="F3526" s="178" t="s">
        <v>306</v>
      </c>
    </row>
    <row r="3527">
      <c r="A3527" s="250">
        <v>45607.00291333333</v>
      </c>
      <c r="B3527" s="251" t="s">
        <v>1684</v>
      </c>
      <c r="C3527" s="178" t="s">
        <v>4789</v>
      </c>
      <c r="D3527" s="36" t="s">
        <v>1683</v>
      </c>
      <c r="E3527" s="36">
        <v>6200.0</v>
      </c>
      <c r="F3527" s="178" t="s">
        <v>306</v>
      </c>
    </row>
    <row r="3528">
      <c r="A3528" s="250">
        <v>45607.41201555556</v>
      </c>
      <c r="B3528" s="251" t="s">
        <v>3916</v>
      </c>
      <c r="C3528" s="178" t="s">
        <v>4790</v>
      </c>
      <c r="D3528" s="36">
        <v>110733.33333333333</v>
      </c>
      <c r="E3528" s="36" t="s">
        <v>1683</v>
      </c>
      <c r="F3528" s="178" t="s">
        <v>418</v>
      </c>
    </row>
    <row r="3529">
      <c r="A3529" s="250">
        <v>45607.41201555556</v>
      </c>
      <c r="B3529" s="251" t="s">
        <v>1802</v>
      </c>
      <c r="C3529" s="178" t="s">
        <v>4771</v>
      </c>
      <c r="D3529" s="36" t="s">
        <v>1683</v>
      </c>
      <c r="E3529" s="36">
        <v>110733.33333333333</v>
      </c>
      <c r="F3529" s="178" t="s">
        <v>418</v>
      </c>
    </row>
    <row r="3530">
      <c r="A3530" s="250">
        <v>45607.41232555556</v>
      </c>
      <c r="B3530" s="251" t="s">
        <v>3494</v>
      </c>
      <c r="C3530" s="178" t="s">
        <v>4791</v>
      </c>
      <c r="D3530" s="36">
        <v>1118133.3333333333</v>
      </c>
      <c r="E3530" s="36" t="s">
        <v>1683</v>
      </c>
      <c r="F3530" s="178" t="s">
        <v>495</v>
      </c>
    </row>
    <row r="3531">
      <c r="A3531" s="250">
        <v>45607.41232555556</v>
      </c>
      <c r="B3531" s="251" t="s">
        <v>1802</v>
      </c>
      <c r="C3531" s="178" t="s">
        <v>4773</v>
      </c>
      <c r="D3531" s="36" t="s">
        <v>1683</v>
      </c>
      <c r="E3531" s="36">
        <v>1118133.3333333333</v>
      </c>
      <c r="F3531" s="178" t="s">
        <v>495</v>
      </c>
    </row>
    <row r="3532">
      <c r="A3532" s="250">
        <v>45607.41262555556</v>
      </c>
      <c r="B3532" s="251" t="s">
        <v>1844</v>
      </c>
      <c r="C3532" s="178" t="s">
        <v>4792</v>
      </c>
      <c r="D3532" s="36">
        <v>920333.3333333333</v>
      </c>
      <c r="E3532" s="36" t="s">
        <v>1683</v>
      </c>
      <c r="F3532" s="178" t="s">
        <v>418</v>
      </c>
    </row>
    <row r="3533">
      <c r="A3533" s="250">
        <v>45607.41262555556</v>
      </c>
      <c r="B3533" s="251" t="s">
        <v>1802</v>
      </c>
      <c r="C3533" s="178" t="s">
        <v>4775</v>
      </c>
      <c r="D3533" s="36" t="s">
        <v>1683</v>
      </c>
      <c r="E3533" s="36">
        <v>920333.3333333333</v>
      </c>
      <c r="F3533" s="178" t="s">
        <v>418</v>
      </c>
    </row>
    <row r="3534">
      <c r="A3534" s="250">
        <v>45607.572482222226</v>
      </c>
      <c r="B3534" s="251" t="s">
        <v>2324</v>
      </c>
      <c r="C3534" s="178" t="s">
        <v>4793</v>
      </c>
      <c r="D3534" s="36">
        <v>586653.0</v>
      </c>
      <c r="E3534" s="36" t="s">
        <v>1683</v>
      </c>
      <c r="F3534" s="178" t="s">
        <v>557</v>
      </c>
    </row>
    <row r="3535">
      <c r="A3535" s="250">
        <v>45607.572482222226</v>
      </c>
      <c r="B3535" s="251" t="s">
        <v>1698</v>
      </c>
      <c r="C3535" s="178" t="s">
        <v>4777</v>
      </c>
      <c r="D3535" s="36" t="s">
        <v>1683</v>
      </c>
      <c r="E3535" s="36">
        <v>586653.0</v>
      </c>
      <c r="F3535" s="178" t="s">
        <v>557</v>
      </c>
    </row>
    <row r="3536">
      <c r="A3536" s="250">
        <v>45607.572632222225</v>
      </c>
      <c r="B3536" s="251" t="s">
        <v>2987</v>
      </c>
      <c r="C3536" s="178" t="s">
        <v>4794</v>
      </c>
      <c r="D3536" s="36">
        <v>2815894.0</v>
      </c>
      <c r="E3536" s="36" t="s">
        <v>1683</v>
      </c>
      <c r="F3536" s="178" t="s">
        <v>82</v>
      </c>
    </row>
    <row r="3537">
      <c r="A3537" s="250">
        <v>45607.572632222225</v>
      </c>
      <c r="B3537" s="251" t="s">
        <v>1698</v>
      </c>
      <c r="C3537" s="178" t="s">
        <v>4779</v>
      </c>
      <c r="D3537" s="36" t="s">
        <v>1683</v>
      </c>
      <c r="E3537" s="36">
        <v>2815894.0</v>
      </c>
      <c r="F3537" s="178" t="s">
        <v>82</v>
      </c>
    </row>
    <row r="3538">
      <c r="A3538" s="250">
        <v>45607.572762222226</v>
      </c>
      <c r="B3538" s="251" t="s">
        <v>2345</v>
      </c>
      <c r="C3538" s="178" t="s">
        <v>4795</v>
      </c>
      <c r="D3538" s="36">
        <v>655653.0</v>
      </c>
      <c r="E3538" s="36" t="s">
        <v>1683</v>
      </c>
      <c r="F3538" s="178" t="s">
        <v>557</v>
      </c>
    </row>
    <row r="3539">
      <c r="A3539" s="250">
        <v>45607.572762222226</v>
      </c>
      <c r="B3539" s="251" t="s">
        <v>1698</v>
      </c>
      <c r="C3539" s="178" t="s">
        <v>4781</v>
      </c>
      <c r="D3539" s="36" t="s">
        <v>1683</v>
      </c>
      <c r="E3539" s="36">
        <v>655653.0</v>
      </c>
      <c r="F3539" s="178" t="s">
        <v>557</v>
      </c>
    </row>
    <row r="3540">
      <c r="A3540" s="250">
        <v>45607.757114444445</v>
      </c>
      <c r="B3540" s="251" t="s">
        <v>1693</v>
      </c>
      <c r="C3540" s="178" t="s">
        <v>4796</v>
      </c>
      <c r="D3540" s="36">
        <v>905913.9999999999</v>
      </c>
      <c r="E3540" s="36" t="s">
        <v>1683</v>
      </c>
      <c r="F3540" s="178" t="s">
        <v>816</v>
      </c>
    </row>
    <row r="3541">
      <c r="A3541" s="250">
        <v>45607.757114444445</v>
      </c>
      <c r="B3541" s="251" t="s">
        <v>1684</v>
      </c>
      <c r="C3541" s="178" t="s">
        <v>4797</v>
      </c>
      <c r="D3541" s="36" t="s">
        <v>1683</v>
      </c>
      <c r="E3541" s="36">
        <v>905913.9999999999</v>
      </c>
      <c r="F3541" s="178" t="s">
        <v>816</v>
      </c>
    </row>
    <row r="3542">
      <c r="A3542" s="250">
        <v>45607.757244444445</v>
      </c>
      <c r="B3542" s="251" t="s">
        <v>1693</v>
      </c>
      <c r="C3542" s="178" t="s">
        <v>4798</v>
      </c>
      <c r="D3542" s="36">
        <v>308350.0</v>
      </c>
      <c r="E3542" s="36" t="s">
        <v>1683</v>
      </c>
      <c r="F3542" s="178" t="s">
        <v>748</v>
      </c>
    </row>
    <row r="3543">
      <c r="A3543" s="250">
        <v>45607.757244444445</v>
      </c>
      <c r="B3543" s="251" t="s">
        <v>1684</v>
      </c>
      <c r="C3543" s="178" t="s">
        <v>4799</v>
      </c>
      <c r="D3543" s="36" t="s">
        <v>1683</v>
      </c>
      <c r="E3543" s="36">
        <v>308350.0</v>
      </c>
      <c r="F3543" s="178" t="s">
        <v>748</v>
      </c>
    </row>
    <row r="3544">
      <c r="A3544" s="250">
        <v>45607.75734444444</v>
      </c>
      <c r="B3544" s="251" t="s">
        <v>1693</v>
      </c>
      <c r="C3544" s="178" t="s">
        <v>4800</v>
      </c>
      <c r="D3544" s="36">
        <v>6104514.0</v>
      </c>
      <c r="E3544" s="36" t="s">
        <v>1683</v>
      </c>
      <c r="F3544" s="178" t="s">
        <v>81</v>
      </c>
    </row>
    <row r="3545">
      <c r="A3545" s="250">
        <v>45607.75734444444</v>
      </c>
      <c r="B3545" s="251" t="s">
        <v>1684</v>
      </c>
      <c r="C3545" s="178" t="s">
        <v>4801</v>
      </c>
      <c r="D3545" s="36" t="s">
        <v>1683</v>
      </c>
      <c r="E3545" s="36">
        <v>6104514.0</v>
      </c>
      <c r="F3545" s="178" t="s">
        <v>81</v>
      </c>
    </row>
    <row r="3546">
      <c r="A3546" s="250">
        <v>45607.77441111111</v>
      </c>
      <c r="B3546" s="251" t="s">
        <v>1783</v>
      </c>
      <c r="C3546" s="178" t="s">
        <v>4802</v>
      </c>
      <c r="D3546" s="36">
        <v>25500.0</v>
      </c>
      <c r="E3546" s="36" t="s">
        <v>1683</v>
      </c>
      <c r="F3546" s="178" t="s">
        <v>201</v>
      </c>
    </row>
    <row r="3547">
      <c r="A3547" s="250">
        <v>45607.77441111111</v>
      </c>
      <c r="B3547" s="251" t="s">
        <v>1684</v>
      </c>
      <c r="C3547" s="178" t="s">
        <v>4803</v>
      </c>
      <c r="D3547" s="36" t="s">
        <v>1683</v>
      </c>
      <c r="E3547" s="36">
        <v>25500.0</v>
      </c>
      <c r="F3547" s="178" t="s">
        <v>201</v>
      </c>
    </row>
    <row r="3548">
      <c r="A3548" s="250">
        <v>45608.52652444444</v>
      </c>
      <c r="B3548" s="251" t="s">
        <v>4049</v>
      </c>
      <c r="C3548" s="178" t="s">
        <v>4804</v>
      </c>
      <c r="D3548" s="36">
        <v>6200.0</v>
      </c>
      <c r="E3548" s="36" t="s">
        <v>1683</v>
      </c>
      <c r="F3548" s="178" t="s">
        <v>306</v>
      </c>
    </row>
    <row r="3549">
      <c r="A3549" s="250">
        <v>45608.52652444444</v>
      </c>
      <c r="B3549" s="251" t="s">
        <v>1698</v>
      </c>
      <c r="C3549" s="178" t="s">
        <v>4788</v>
      </c>
      <c r="D3549" s="36" t="s">
        <v>1683</v>
      </c>
      <c r="E3549" s="36">
        <v>6200.0</v>
      </c>
      <c r="F3549" s="178" t="s">
        <v>306</v>
      </c>
    </row>
    <row r="3550">
      <c r="A3550" s="250">
        <v>45610.37378111111</v>
      </c>
      <c r="B3550" s="251" t="s">
        <v>4805</v>
      </c>
      <c r="C3550" s="178" t="s">
        <v>4806</v>
      </c>
      <c r="D3550" s="36">
        <v>905913.9999999999</v>
      </c>
      <c r="E3550" s="36" t="s">
        <v>1683</v>
      </c>
      <c r="F3550" s="178" t="s">
        <v>816</v>
      </c>
    </row>
    <row r="3551">
      <c r="A3551" s="250">
        <v>45610.37378111111</v>
      </c>
      <c r="B3551" s="251" t="s">
        <v>1698</v>
      </c>
      <c r="C3551" s="178" t="s">
        <v>4796</v>
      </c>
      <c r="D3551" s="36" t="s">
        <v>1683</v>
      </c>
      <c r="E3551" s="36">
        <v>905913.9999999999</v>
      </c>
      <c r="F3551" s="178" t="s">
        <v>816</v>
      </c>
    </row>
    <row r="3552">
      <c r="A3552" s="250">
        <v>45610.51488333333</v>
      </c>
      <c r="B3552" s="251" t="s">
        <v>4807</v>
      </c>
      <c r="C3552" s="178" t="s">
        <v>4808</v>
      </c>
      <c r="D3552" s="36">
        <v>308350.0</v>
      </c>
      <c r="E3552" s="36" t="s">
        <v>1683</v>
      </c>
      <c r="F3552" s="178" t="s">
        <v>748</v>
      </c>
    </row>
    <row r="3553">
      <c r="A3553" s="250">
        <v>45610.51488333333</v>
      </c>
      <c r="B3553" s="251" t="s">
        <v>1698</v>
      </c>
      <c r="C3553" s="178" t="s">
        <v>4798</v>
      </c>
      <c r="D3553" s="36" t="s">
        <v>1683</v>
      </c>
      <c r="E3553" s="36">
        <v>308350.0</v>
      </c>
      <c r="F3553" s="178" t="s">
        <v>748</v>
      </c>
    </row>
    <row r="3554">
      <c r="A3554" s="250">
        <v>45610.51538333333</v>
      </c>
      <c r="B3554" s="251" t="s">
        <v>3264</v>
      </c>
      <c r="C3554" s="178" t="s">
        <v>4809</v>
      </c>
      <c r="D3554" s="36">
        <v>25500.0</v>
      </c>
      <c r="E3554" s="36" t="s">
        <v>1683</v>
      </c>
      <c r="F3554" s="178" t="s">
        <v>201</v>
      </c>
    </row>
    <row r="3555">
      <c r="A3555" s="250">
        <v>45610.51538333333</v>
      </c>
      <c r="B3555" s="251" t="s">
        <v>1802</v>
      </c>
      <c r="C3555" s="178" t="s">
        <v>4802</v>
      </c>
      <c r="D3555" s="36" t="s">
        <v>1683</v>
      </c>
      <c r="E3555" s="36">
        <v>25500.0</v>
      </c>
      <c r="F3555" s="178" t="s">
        <v>201</v>
      </c>
    </row>
    <row r="3556">
      <c r="A3556" s="250">
        <v>45611.458038888886</v>
      </c>
      <c r="B3556" s="251" t="s">
        <v>2987</v>
      </c>
      <c r="C3556" s="178" t="s">
        <v>4810</v>
      </c>
      <c r="D3556" s="36">
        <v>6104514.0</v>
      </c>
      <c r="E3556" s="36" t="s">
        <v>1683</v>
      </c>
      <c r="F3556" s="178" t="s">
        <v>81</v>
      </c>
    </row>
    <row r="3557">
      <c r="A3557" s="250">
        <v>45611.458038888886</v>
      </c>
      <c r="B3557" s="251" t="s">
        <v>1698</v>
      </c>
      <c r="C3557" s="178" t="s">
        <v>4800</v>
      </c>
      <c r="D3557" s="36" t="s">
        <v>1683</v>
      </c>
      <c r="E3557" s="36">
        <v>6104514.0</v>
      </c>
      <c r="F3557" s="178" t="s">
        <v>81</v>
      </c>
    </row>
    <row r="3558">
      <c r="A3558" s="250">
        <v>45619.614713333336</v>
      </c>
      <c r="B3558" s="251" t="s">
        <v>1693</v>
      </c>
      <c r="C3558" s="178" t="s">
        <v>4811</v>
      </c>
      <c r="D3558" s="36">
        <v>5500.0</v>
      </c>
      <c r="E3558" s="36" t="s">
        <v>1683</v>
      </c>
      <c r="F3558" s="178" t="s">
        <v>630</v>
      </c>
    </row>
    <row r="3559">
      <c r="A3559" s="250">
        <v>45619.614713333336</v>
      </c>
      <c r="B3559" s="251" t="s">
        <v>1684</v>
      </c>
      <c r="C3559" s="178" t="s">
        <v>4812</v>
      </c>
      <c r="D3559" s="36" t="s">
        <v>1683</v>
      </c>
      <c r="E3559" s="36">
        <v>5500.0</v>
      </c>
      <c r="F3559" s="178" t="s">
        <v>630</v>
      </c>
    </row>
    <row r="3560">
      <c r="A3560" s="250">
        <v>45619.62149333333</v>
      </c>
      <c r="B3560" s="251" t="s">
        <v>1693</v>
      </c>
      <c r="C3560" s="178" t="s">
        <v>4813</v>
      </c>
      <c r="D3560" s="36">
        <v>5500.0</v>
      </c>
      <c r="E3560" s="36" t="s">
        <v>1683</v>
      </c>
      <c r="F3560" s="178" t="s">
        <v>968</v>
      </c>
    </row>
    <row r="3561">
      <c r="A3561" s="250">
        <v>45619.62149333333</v>
      </c>
      <c r="B3561" s="251" t="s">
        <v>1684</v>
      </c>
      <c r="C3561" s="178" t="s">
        <v>4814</v>
      </c>
      <c r="D3561" s="36" t="s">
        <v>1683</v>
      </c>
      <c r="E3561" s="36">
        <v>5500.0</v>
      </c>
      <c r="F3561" s="178" t="s">
        <v>968</v>
      </c>
    </row>
    <row r="3562">
      <c r="A3562" s="250">
        <v>45621.01613222223</v>
      </c>
      <c r="B3562" s="251" t="s">
        <v>1693</v>
      </c>
      <c r="C3562" s="178" t="s">
        <v>4815</v>
      </c>
      <c r="D3562" s="36">
        <v>705768.0</v>
      </c>
      <c r="E3562" s="36" t="s">
        <v>1683</v>
      </c>
      <c r="F3562" s="178" t="s">
        <v>815</v>
      </c>
    </row>
    <row r="3563">
      <c r="A3563" s="250">
        <v>45621.01613222223</v>
      </c>
      <c r="B3563" s="251" t="s">
        <v>1684</v>
      </c>
      <c r="C3563" s="178" t="s">
        <v>4816</v>
      </c>
      <c r="D3563" s="36" t="s">
        <v>1683</v>
      </c>
      <c r="E3563" s="36">
        <v>705768.0</v>
      </c>
      <c r="F3563" s="178" t="s">
        <v>815</v>
      </c>
    </row>
    <row r="3564">
      <c r="A3564" s="250">
        <v>45621.01622222222</v>
      </c>
      <c r="B3564" s="251" t="s">
        <v>1693</v>
      </c>
      <c r="C3564" s="178" t="s">
        <v>4817</v>
      </c>
      <c r="D3564" s="36">
        <v>66038.49999999999</v>
      </c>
      <c r="E3564" s="36" t="s">
        <v>1683</v>
      </c>
      <c r="F3564" s="178" t="s">
        <v>537</v>
      </c>
    </row>
    <row r="3565">
      <c r="A3565" s="250">
        <v>45621.01622222222</v>
      </c>
      <c r="B3565" s="251" t="s">
        <v>1684</v>
      </c>
      <c r="C3565" s="178" t="s">
        <v>4818</v>
      </c>
      <c r="D3565" s="36" t="s">
        <v>1683</v>
      </c>
      <c r="E3565" s="36">
        <v>66038.49999999999</v>
      </c>
      <c r="F3565" s="178" t="s">
        <v>537</v>
      </c>
    </row>
    <row r="3566">
      <c r="A3566" s="250">
        <v>45621.016622222225</v>
      </c>
      <c r="B3566" s="251" t="s">
        <v>1693</v>
      </c>
      <c r="C3566" s="178" t="s">
        <v>4819</v>
      </c>
      <c r="D3566" s="36">
        <v>396413.50000000006</v>
      </c>
      <c r="E3566" s="36" t="s">
        <v>1683</v>
      </c>
      <c r="F3566" s="178" t="s">
        <v>185</v>
      </c>
    </row>
    <row r="3567">
      <c r="A3567" s="250">
        <v>45621.016622222225</v>
      </c>
      <c r="B3567" s="251" t="s">
        <v>1684</v>
      </c>
      <c r="C3567" s="178" t="s">
        <v>4820</v>
      </c>
      <c r="D3567" s="36" t="s">
        <v>1683</v>
      </c>
      <c r="E3567" s="36">
        <v>396413.50000000006</v>
      </c>
      <c r="F3567" s="178" t="s">
        <v>185</v>
      </c>
    </row>
    <row r="3568">
      <c r="A3568" s="250">
        <v>45621.01669222222</v>
      </c>
      <c r="B3568" s="251" t="s">
        <v>1693</v>
      </c>
      <c r="C3568" s="178" t="s">
        <v>4821</v>
      </c>
      <c r="D3568" s="36">
        <v>5669813.5</v>
      </c>
      <c r="E3568" s="36" t="s">
        <v>1683</v>
      </c>
      <c r="F3568" s="178" t="s">
        <v>185</v>
      </c>
    </row>
    <row r="3569">
      <c r="A3569" s="250">
        <v>45621.01669222222</v>
      </c>
      <c r="B3569" s="251" t="s">
        <v>1684</v>
      </c>
      <c r="C3569" s="178" t="s">
        <v>4822</v>
      </c>
      <c r="D3569" s="36" t="s">
        <v>1683</v>
      </c>
      <c r="E3569" s="36">
        <v>5669813.5</v>
      </c>
      <c r="F3569" s="178" t="s">
        <v>185</v>
      </c>
    </row>
    <row r="3570">
      <c r="A3570" s="250">
        <v>45621.01689222222</v>
      </c>
      <c r="B3570" s="251" t="s">
        <v>1693</v>
      </c>
      <c r="C3570" s="178" t="s">
        <v>4823</v>
      </c>
      <c r="D3570" s="36">
        <v>495038.49999999994</v>
      </c>
      <c r="E3570" s="36" t="s">
        <v>1683</v>
      </c>
      <c r="F3570" s="178" t="s">
        <v>537</v>
      </c>
    </row>
    <row r="3571">
      <c r="A3571" s="250">
        <v>45621.01689222222</v>
      </c>
      <c r="B3571" s="251" t="s">
        <v>1684</v>
      </c>
      <c r="C3571" s="178" t="s">
        <v>4824</v>
      </c>
      <c r="D3571" s="36" t="s">
        <v>1683</v>
      </c>
      <c r="E3571" s="36">
        <v>495038.49999999994</v>
      </c>
      <c r="F3571" s="178" t="s">
        <v>537</v>
      </c>
    </row>
    <row r="3572">
      <c r="A3572" s="250">
        <v>45621.336376666666</v>
      </c>
      <c r="B3572" s="251" t="s">
        <v>1693</v>
      </c>
      <c r="C3572" s="178" t="s">
        <v>4825</v>
      </c>
      <c r="D3572" s="36">
        <v>727247.9999999999</v>
      </c>
      <c r="E3572" s="36" t="s">
        <v>1683</v>
      </c>
      <c r="F3572" s="178" t="s">
        <v>988</v>
      </c>
    </row>
    <row r="3573">
      <c r="A3573" s="250">
        <v>45621.336376666666</v>
      </c>
      <c r="B3573" s="251" t="s">
        <v>1684</v>
      </c>
      <c r="C3573" s="178" t="s">
        <v>4826</v>
      </c>
      <c r="D3573" s="36" t="s">
        <v>1683</v>
      </c>
      <c r="E3573" s="36">
        <v>727247.9999999999</v>
      </c>
      <c r="F3573" s="178" t="s">
        <v>988</v>
      </c>
    </row>
    <row r="3574">
      <c r="A3574" s="250">
        <v>45621.493785555554</v>
      </c>
      <c r="B3574" s="251" t="s">
        <v>1783</v>
      </c>
      <c r="C3574" s="178" t="s">
        <v>4827</v>
      </c>
      <c r="D3574" s="36">
        <v>263720.0</v>
      </c>
      <c r="E3574" s="36" t="s">
        <v>1683</v>
      </c>
      <c r="F3574" s="178" t="s">
        <v>598</v>
      </c>
    </row>
    <row r="3575">
      <c r="A3575" s="250">
        <v>45621.493785555554</v>
      </c>
      <c r="B3575" s="251" t="s">
        <v>1684</v>
      </c>
      <c r="C3575" s="178" t="s">
        <v>4828</v>
      </c>
      <c r="D3575" s="36" t="s">
        <v>1683</v>
      </c>
      <c r="E3575" s="36">
        <v>263720.0</v>
      </c>
      <c r="F3575" s="178" t="s">
        <v>598</v>
      </c>
    </row>
    <row r="3576">
      <c r="A3576" s="250">
        <v>45621.541756666666</v>
      </c>
      <c r="B3576" s="251" t="s">
        <v>1783</v>
      </c>
      <c r="C3576" s="178" t="s">
        <v>4829</v>
      </c>
      <c r="D3576" s="36">
        <v>475450.00000000006</v>
      </c>
      <c r="E3576" s="36" t="s">
        <v>1683</v>
      </c>
      <c r="F3576" s="178" t="s">
        <v>917</v>
      </c>
    </row>
    <row r="3577">
      <c r="A3577" s="250">
        <v>45621.541756666666</v>
      </c>
      <c r="B3577" s="251" t="s">
        <v>1684</v>
      </c>
      <c r="C3577" s="178" t="s">
        <v>4830</v>
      </c>
      <c r="D3577" s="36" t="s">
        <v>1683</v>
      </c>
      <c r="E3577" s="36">
        <v>475450.00000000006</v>
      </c>
      <c r="F3577" s="178" t="s">
        <v>917</v>
      </c>
    </row>
    <row r="3578">
      <c r="A3578" s="250">
        <v>45621.54186666667</v>
      </c>
      <c r="B3578" s="251" t="s">
        <v>1783</v>
      </c>
      <c r="C3578" s="178" t="s">
        <v>4831</v>
      </c>
      <c r="D3578" s="36">
        <v>704250.0</v>
      </c>
      <c r="E3578" s="36" t="s">
        <v>1683</v>
      </c>
      <c r="F3578" s="178" t="s">
        <v>464</v>
      </c>
    </row>
    <row r="3579">
      <c r="A3579" s="250">
        <v>45621.54186666667</v>
      </c>
      <c r="B3579" s="251" t="s">
        <v>1684</v>
      </c>
      <c r="C3579" s="178" t="s">
        <v>4832</v>
      </c>
      <c r="D3579" s="36" t="s">
        <v>1683</v>
      </c>
      <c r="E3579" s="36">
        <v>704250.0</v>
      </c>
      <c r="F3579" s="178" t="s">
        <v>464</v>
      </c>
    </row>
    <row r="3580">
      <c r="A3580" s="250">
        <v>45621.54212666667</v>
      </c>
      <c r="B3580" s="251" t="s">
        <v>1783</v>
      </c>
      <c r="C3580" s="178" t="s">
        <v>4833</v>
      </c>
      <c r="D3580" s="36">
        <v>299450.00000000006</v>
      </c>
      <c r="E3580" s="36" t="s">
        <v>1683</v>
      </c>
      <c r="F3580" s="178" t="s">
        <v>850</v>
      </c>
    </row>
    <row r="3581">
      <c r="A3581" s="250">
        <v>45621.54212666667</v>
      </c>
      <c r="B3581" s="251" t="s">
        <v>1684</v>
      </c>
      <c r="C3581" s="178" t="s">
        <v>4834</v>
      </c>
      <c r="D3581" s="36" t="s">
        <v>1683</v>
      </c>
      <c r="E3581" s="36">
        <v>299450.00000000006</v>
      </c>
      <c r="F3581" s="178" t="s">
        <v>850</v>
      </c>
    </row>
    <row r="3582">
      <c r="A3582" s="250">
        <v>45621.54238666666</v>
      </c>
      <c r="B3582" s="251" t="s">
        <v>1783</v>
      </c>
      <c r="C3582" s="178" t="s">
        <v>4835</v>
      </c>
      <c r="D3582" s="36">
        <v>726170.0</v>
      </c>
      <c r="E3582" s="36" t="s">
        <v>1683</v>
      </c>
      <c r="F3582" s="178" t="s">
        <v>597</v>
      </c>
    </row>
    <row r="3583">
      <c r="A3583" s="250">
        <v>45621.54238666666</v>
      </c>
      <c r="B3583" s="251" t="s">
        <v>1684</v>
      </c>
      <c r="C3583" s="178" t="s">
        <v>4836</v>
      </c>
      <c r="D3583" s="36" t="s">
        <v>1683</v>
      </c>
      <c r="E3583" s="36">
        <v>726170.0</v>
      </c>
      <c r="F3583" s="178" t="s">
        <v>597</v>
      </c>
    </row>
    <row r="3584">
      <c r="A3584" s="250">
        <v>45621.57442111111</v>
      </c>
      <c r="B3584" s="251" t="s">
        <v>1693</v>
      </c>
      <c r="C3584" s="178" t="s">
        <v>4837</v>
      </c>
      <c r="D3584" s="36">
        <v>732500.0</v>
      </c>
      <c r="E3584" s="36" t="s">
        <v>1683</v>
      </c>
      <c r="F3584" s="178" t="s">
        <v>417</v>
      </c>
    </row>
    <row r="3585">
      <c r="A3585" s="250">
        <v>45621.57442111111</v>
      </c>
      <c r="B3585" s="251" t="s">
        <v>1684</v>
      </c>
      <c r="C3585" s="178" t="s">
        <v>4838</v>
      </c>
      <c r="D3585" s="36" t="s">
        <v>1683</v>
      </c>
      <c r="E3585" s="36">
        <v>732500.0</v>
      </c>
      <c r="F3585" s="178" t="s">
        <v>417</v>
      </c>
    </row>
    <row r="3586">
      <c r="A3586" s="250">
        <v>45621.60146888889</v>
      </c>
      <c r="B3586" s="251" t="s">
        <v>1783</v>
      </c>
      <c r="C3586" s="178" t="s">
        <v>4839</v>
      </c>
      <c r="D3586" s="36">
        <v>621500.0</v>
      </c>
      <c r="E3586" s="36" t="s">
        <v>1683</v>
      </c>
      <c r="F3586" s="178" t="s">
        <v>916</v>
      </c>
    </row>
    <row r="3587">
      <c r="A3587" s="250">
        <v>45621.60146888889</v>
      </c>
      <c r="B3587" s="251" t="s">
        <v>1684</v>
      </c>
      <c r="C3587" s="178" t="s">
        <v>4840</v>
      </c>
      <c r="D3587" s="36" t="s">
        <v>1683</v>
      </c>
      <c r="E3587" s="36">
        <v>621500.0</v>
      </c>
      <c r="F3587" s="178" t="s">
        <v>916</v>
      </c>
    </row>
    <row r="3588">
      <c r="A3588" s="250">
        <v>45621.60218888889</v>
      </c>
      <c r="B3588" s="251" t="s">
        <v>1783</v>
      </c>
      <c r="C3588" s="178" t="s">
        <v>4841</v>
      </c>
      <c r="D3588" s="36">
        <v>801500.0000000001</v>
      </c>
      <c r="E3588" s="36" t="s">
        <v>1683</v>
      </c>
      <c r="F3588" s="178" t="s">
        <v>416</v>
      </c>
    </row>
    <row r="3589">
      <c r="A3589" s="250">
        <v>45621.60218888889</v>
      </c>
      <c r="B3589" s="251" t="s">
        <v>1684</v>
      </c>
      <c r="C3589" s="178" t="s">
        <v>4842</v>
      </c>
      <c r="D3589" s="36" t="s">
        <v>1683</v>
      </c>
      <c r="E3589" s="36">
        <v>801500.0000000001</v>
      </c>
      <c r="F3589" s="178" t="s">
        <v>416</v>
      </c>
    </row>
    <row r="3590">
      <c r="A3590" s="250">
        <v>45621.62790777778</v>
      </c>
      <c r="B3590" s="251" t="s">
        <v>4054</v>
      </c>
      <c r="C3590" s="178" t="s">
        <v>4843</v>
      </c>
      <c r="D3590" s="36">
        <v>5500.0</v>
      </c>
      <c r="E3590" s="36" t="s">
        <v>1683</v>
      </c>
      <c r="F3590" s="178" t="s">
        <v>630</v>
      </c>
    </row>
    <row r="3591">
      <c r="A3591" s="250">
        <v>45621.62790777778</v>
      </c>
      <c r="B3591" s="251" t="s">
        <v>1698</v>
      </c>
      <c r="C3591" s="178" t="s">
        <v>4811</v>
      </c>
      <c r="D3591" s="36" t="s">
        <v>1683</v>
      </c>
      <c r="E3591" s="36">
        <v>5500.0</v>
      </c>
      <c r="F3591" s="178" t="s">
        <v>630</v>
      </c>
    </row>
    <row r="3592">
      <c r="A3592" s="250">
        <v>45621.66107666666</v>
      </c>
      <c r="B3592" s="251" t="s">
        <v>2068</v>
      </c>
      <c r="C3592" s="178" t="s">
        <v>4844</v>
      </c>
      <c r="D3592" s="36">
        <v>5500.0</v>
      </c>
      <c r="E3592" s="36" t="s">
        <v>1683</v>
      </c>
      <c r="F3592" s="178" t="s">
        <v>968</v>
      </c>
    </row>
    <row r="3593">
      <c r="A3593" s="250">
        <v>45621.66107666666</v>
      </c>
      <c r="B3593" s="251" t="s">
        <v>1698</v>
      </c>
      <c r="C3593" s="178" t="s">
        <v>4813</v>
      </c>
      <c r="D3593" s="36" t="s">
        <v>1683</v>
      </c>
      <c r="E3593" s="36">
        <v>5500.0</v>
      </c>
      <c r="F3593" s="178" t="s">
        <v>968</v>
      </c>
    </row>
    <row r="3594">
      <c r="A3594" s="250">
        <v>45621.73675111111</v>
      </c>
      <c r="B3594" s="251" t="s">
        <v>1693</v>
      </c>
      <c r="C3594" s="178" t="s">
        <v>4845</v>
      </c>
      <c r="D3594" s="36">
        <v>137761.0</v>
      </c>
      <c r="E3594" s="36" t="s">
        <v>1683</v>
      </c>
      <c r="F3594" s="178" t="s">
        <v>184</v>
      </c>
    </row>
    <row r="3595">
      <c r="A3595" s="250">
        <v>45621.73675111111</v>
      </c>
      <c r="B3595" s="251" t="s">
        <v>1684</v>
      </c>
      <c r="C3595" s="178" t="s">
        <v>4846</v>
      </c>
      <c r="D3595" s="36" t="s">
        <v>1683</v>
      </c>
      <c r="E3595" s="36">
        <v>137761.0</v>
      </c>
      <c r="F3595" s="178" t="s">
        <v>184</v>
      </c>
    </row>
    <row r="3596">
      <c r="A3596" s="250">
        <v>45621.73682111111</v>
      </c>
      <c r="B3596" s="251" t="s">
        <v>1693</v>
      </c>
      <c r="C3596" s="178" t="s">
        <v>4847</v>
      </c>
      <c r="D3596" s="36">
        <v>1965872.9999999995</v>
      </c>
      <c r="E3596" s="36" t="s">
        <v>1683</v>
      </c>
      <c r="F3596" s="178" t="s">
        <v>184</v>
      </c>
    </row>
    <row r="3597">
      <c r="A3597" s="250">
        <v>45621.73682111111</v>
      </c>
      <c r="B3597" s="251" t="s">
        <v>1684</v>
      </c>
      <c r="C3597" s="178" t="s">
        <v>4848</v>
      </c>
      <c r="D3597" s="36" t="s">
        <v>1683</v>
      </c>
      <c r="E3597" s="36">
        <v>1965872.9999999995</v>
      </c>
      <c r="F3597" s="178" t="s">
        <v>184</v>
      </c>
    </row>
    <row r="3598">
      <c r="A3598" s="250">
        <v>45621.73690111111</v>
      </c>
      <c r="B3598" s="251" t="s">
        <v>1693</v>
      </c>
      <c r="C3598" s="178" t="s">
        <v>4849</v>
      </c>
      <c r="D3598" s="36">
        <v>83638.0</v>
      </c>
      <c r="E3598" s="36" t="s">
        <v>1683</v>
      </c>
      <c r="F3598" s="178" t="s">
        <v>415</v>
      </c>
    </row>
    <row r="3599">
      <c r="A3599" s="250">
        <v>45621.73690111111</v>
      </c>
      <c r="B3599" s="251" t="s">
        <v>1684</v>
      </c>
      <c r="C3599" s="178" t="s">
        <v>4850</v>
      </c>
      <c r="D3599" s="36" t="s">
        <v>1683</v>
      </c>
      <c r="E3599" s="36">
        <v>83638.0</v>
      </c>
      <c r="F3599" s="178" t="s">
        <v>415</v>
      </c>
    </row>
    <row r="3600">
      <c r="A3600" s="250">
        <v>45622.46276555555</v>
      </c>
      <c r="B3600" s="251" t="s">
        <v>3392</v>
      </c>
      <c r="C3600" s="178" t="s">
        <v>4851</v>
      </c>
      <c r="D3600" s="36">
        <v>727247.9999999999</v>
      </c>
      <c r="E3600" s="36" t="s">
        <v>1683</v>
      </c>
      <c r="F3600" s="178" t="s">
        <v>988</v>
      </c>
    </row>
    <row r="3601">
      <c r="A3601" s="250">
        <v>45622.46276555555</v>
      </c>
      <c r="B3601" s="251" t="s">
        <v>1698</v>
      </c>
      <c r="C3601" s="178" t="s">
        <v>4825</v>
      </c>
      <c r="D3601" s="36" t="s">
        <v>1683</v>
      </c>
      <c r="E3601" s="36">
        <v>727247.9999999999</v>
      </c>
      <c r="F3601" s="178" t="s">
        <v>988</v>
      </c>
    </row>
    <row r="3602">
      <c r="A3602" s="250">
        <v>45623.497382222224</v>
      </c>
      <c r="B3602" s="251" t="s">
        <v>4805</v>
      </c>
      <c r="C3602" s="178" t="s">
        <v>4852</v>
      </c>
      <c r="D3602" s="36">
        <v>705768.0</v>
      </c>
      <c r="E3602" s="36" t="s">
        <v>1683</v>
      </c>
      <c r="F3602" s="178" t="s">
        <v>815</v>
      </c>
    </row>
    <row r="3603">
      <c r="A3603" s="250">
        <v>45623.497382222224</v>
      </c>
      <c r="B3603" s="251" t="s">
        <v>1698</v>
      </c>
      <c r="C3603" s="178" t="s">
        <v>4815</v>
      </c>
      <c r="D3603" s="36" t="s">
        <v>1683</v>
      </c>
      <c r="E3603" s="36">
        <v>705768.0</v>
      </c>
      <c r="F3603" s="178" t="s">
        <v>815</v>
      </c>
    </row>
    <row r="3604">
      <c r="A3604" s="250">
        <v>45624.485372222225</v>
      </c>
      <c r="B3604" s="251" t="s">
        <v>2068</v>
      </c>
      <c r="C3604" s="178" t="s">
        <v>4853</v>
      </c>
      <c r="D3604" s="36">
        <v>396413.50000000006</v>
      </c>
      <c r="E3604" s="36" t="s">
        <v>1683</v>
      </c>
      <c r="F3604" s="178" t="s">
        <v>185</v>
      </c>
    </row>
    <row r="3605">
      <c r="A3605" s="250">
        <v>45624.485372222225</v>
      </c>
      <c r="B3605" s="251" t="s">
        <v>1698</v>
      </c>
      <c r="C3605" s="178" t="s">
        <v>4819</v>
      </c>
      <c r="D3605" s="36" t="s">
        <v>1683</v>
      </c>
      <c r="E3605" s="36">
        <v>396413.50000000006</v>
      </c>
      <c r="F3605" s="178" t="s">
        <v>185</v>
      </c>
    </row>
    <row r="3606">
      <c r="A3606" s="250">
        <v>45624.48544222222</v>
      </c>
      <c r="B3606" s="251" t="s">
        <v>2064</v>
      </c>
      <c r="C3606" s="178" t="s">
        <v>4854</v>
      </c>
      <c r="D3606" s="36">
        <v>5669813.5</v>
      </c>
      <c r="E3606" s="36" t="s">
        <v>1683</v>
      </c>
      <c r="F3606" s="178" t="s">
        <v>185</v>
      </c>
    </row>
    <row r="3607">
      <c r="A3607" s="250">
        <v>45624.48544222222</v>
      </c>
      <c r="B3607" s="251" t="s">
        <v>1698</v>
      </c>
      <c r="C3607" s="178" t="s">
        <v>4821</v>
      </c>
      <c r="D3607" s="36" t="s">
        <v>1683</v>
      </c>
      <c r="E3607" s="36">
        <v>5669813.5</v>
      </c>
      <c r="F3607" s="178" t="s">
        <v>185</v>
      </c>
    </row>
    <row r="3608">
      <c r="A3608" s="250">
        <v>45624.62225777778</v>
      </c>
      <c r="B3608" s="251" t="s">
        <v>4078</v>
      </c>
      <c r="C3608" s="178" t="s">
        <v>4855</v>
      </c>
      <c r="D3608" s="36">
        <v>263720.0</v>
      </c>
      <c r="E3608" s="36" t="s">
        <v>1683</v>
      </c>
      <c r="F3608" s="178" t="s">
        <v>598</v>
      </c>
    </row>
    <row r="3609">
      <c r="A3609" s="250">
        <v>45624.62225777778</v>
      </c>
      <c r="B3609" s="251" t="s">
        <v>1802</v>
      </c>
      <c r="C3609" s="178" t="s">
        <v>4827</v>
      </c>
      <c r="D3609" s="36" t="s">
        <v>1683</v>
      </c>
      <c r="E3609" s="36">
        <v>263720.0</v>
      </c>
      <c r="F3609" s="178" t="s">
        <v>598</v>
      </c>
    </row>
    <row r="3610">
      <c r="A3610" s="250">
        <v>45624.67230222222</v>
      </c>
      <c r="B3610" s="251" t="s">
        <v>2497</v>
      </c>
      <c r="C3610" s="178" t="s">
        <v>4856</v>
      </c>
      <c r="D3610" s="36">
        <v>621500.0</v>
      </c>
      <c r="E3610" s="36" t="s">
        <v>1683</v>
      </c>
      <c r="F3610" s="178" t="s">
        <v>916</v>
      </c>
    </row>
    <row r="3611">
      <c r="A3611" s="250">
        <v>45624.67230222222</v>
      </c>
      <c r="B3611" s="251" t="s">
        <v>1802</v>
      </c>
      <c r="C3611" s="178" t="s">
        <v>4839</v>
      </c>
      <c r="D3611" s="36" t="s">
        <v>1683</v>
      </c>
      <c r="E3611" s="36">
        <v>621500.0</v>
      </c>
      <c r="F3611" s="178" t="s">
        <v>916</v>
      </c>
    </row>
    <row r="3612">
      <c r="A3612" s="250">
        <v>45624.672422222226</v>
      </c>
      <c r="B3612" s="251" t="s">
        <v>3916</v>
      </c>
      <c r="C3612" s="178" t="s">
        <v>4857</v>
      </c>
      <c r="D3612" s="36">
        <v>704250.0</v>
      </c>
      <c r="E3612" s="36" t="s">
        <v>1683</v>
      </c>
      <c r="F3612" s="178" t="s">
        <v>464</v>
      </c>
    </row>
    <row r="3613">
      <c r="A3613" s="250">
        <v>45624.672422222226</v>
      </c>
      <c r="B3613" s="251" t="s">
        <v>1802</v>
      </c>
      <c r="C3613" s="178" t="s">
        <v>4831</v>
      </c>
      <c r="D3613" s="36" t="s">
        <v>1683</v>
      </c>
      <c r="E3613" s="36">
        <v>704250.0</v>
      </c>
      <c r="F3613" s="178" t="s">
        <v>464</v>
      </c>
    </row>
    <row r="3614">
      <c r="A3614" s="250">
        <v>45624.672682222226</v>
      </c>
      <c r="B3614" s="251" t="s">
        <v>3872</v>
      </c>
      <c r="C3614" s="178" t="s">
        <v>4858</v>
      </c>
      <c r="D3614" s="36">
        <v>299450.00000000006</v>
      </c>
      <c r="E3614" s="36" t="s">
        <v>1683</v>
      </c>
      <c r="F3614" s="178" t="s">
        <v>850</v>
      </c>
    </row>
    <row r="3615">
      <c r="A3615" s="250">
        <v>45624.672682222226</v>
      </c>
      <c r="B3615" s="251" t="s">
        <v>1802</v>
      </c>
      <c r="C3615" s="178" t="s">
        <v>4833</v>
      </c>
      <c r="D3615" s="36" t="s">
        <v>1683</v>
      </c>
      <c r="E3615" s="36">
        <v>299450.00000000006</v>
      </c>
      <c r="F3615" s="178" t="s">
        <v>850</v>
      </c>
    </row>
    <row r="3616">
      <c r="A3616" s="250">
        <v>45624.673022222225</v>
      </c>
      <c r="B3616" s="251" t="s">
        <v>1844</v>
      </c>
      <c r="C3616" s="178" t="s">
        <v>4859</v>
      </c>
      <c r="D3616" s="36">
        <v>801500.0000000001</v>
      </c>
      <c r="E3616" s="36" t="s">
        <v>1683</v>
      </c>
      <c r="F3616" s="178" t="s">
        <v>416</v>
      </c>
    </row>
    <row r="3617">
      <c r="A3617" s="250">
        <v>45624.673022222225</v>
      </c>
      <c r="B3617" s="251" t="s">
        <v>1802</v>
      </c>
      <c r="C3617" s="178" t="s">
        <v>4841</v>
      </c>
      <c r="D3617" s="36" t="s">
        <v>1683</v>
      </c>
      <c r="E3617" s="36">
        <v>801500.0000000001</v>
      </c>
      <c r="F3617" s="178" t="s">
        <v>416</v>
      </c>
    </row>
    <row r="3618">
      <c r="A3618" s="250">
        <v>45624.67363666667</v>
      </c>
      <c r="B3618" s="251" t="s">
        <v>4078</v>
      </c>
      <c r="C3618" s="178" t="s">
        <v>4860</v>
      </c>
      <c r="D3618" s="36">
        <v>726170.0</v>
      </c>
      <c r="E3618" s="36" t="s">
        <v>1683</v>
      </c>
      <c r="F3618" s="178" t="s">
        <v>597</v>
      </c>
    </row>
    <row r="3619">
      <c r="A3619" s="250">
        <v>45624.67363666667</v>
      </c>
      <c r="B3619" s="251" t="s">
        <v>1802</v>
      </c>
      <c r="C3619" s="178" t="s">
        <v>4835</v>
      </c>
      <c r="D3619" s="36" t="s">
        <v>1683</v>
      </c>
      <c r="E3619" s="36">
        <v>726170.0</v>
      </c>
      <c r="F3619" s="178" t="s">
        <v>597</v>
      </c>
    </row>
    <row r="3620">
      <c r="A3620" s="250">
        <v>45624.69896111111</v>
      </c>
      <c r="B3620" s="251" t="s">
        <v>1783</v>
      </c>
      <c r="C3620" s="178" t="s">
        <v>4861</v>
      </c>
      <c r="D3620" s="36">
        <v>201000.0</v>
      </c>
      <c r="E3620" s="36" t="s">
        <v>1683</v>
      </c>
      <c r="F3620" s="178" t="s">
        <v>480</v>
      </c>
    </row>
    <row r="3621">
      <c r="A3621" s="250">
        <v>45624.69896111111</v>
      </c>
      <c r="B3621" s="251" t="s">
        <v>1684</v>
      </c>
      <c r="C3621" s="178" t="s">
        <v>4862</v>
      </c>
      <c r="D3621" s="36" t="s">
        <v>1683</v>
      </c>
      <c r="E3621" s="36">
        <v>201000.0</v>
      </c>
      <c r="F3621" s="178" t="s">
        <v>480</v>
      </c>
    </row>
    <row r="3622">
      <c r="A3622" s="250">
        <v>45624.70501111111</v>
      </c>
      <c r="B3622" s="251" t="s">
        <v>1693</v>
      </c>
      <c r="C3622" s="178" t="s">
        <v>4863</v>
      </c>
      <c r="D3622" s="36">
        <v>13200.0</v>
      </c>
      <c r="E3622" s="36" t="s">
        <v>1683</v>
      </c>
      <c r="F3622" s="178" t="s">
        <v>813</v>
      </c>
    </row>
    <row r="3623">
      <c r="A3623" s="250">
        <v>45624.70501111111</v>
      </c>
      <c r="B3623" s="251" t="s">
        <v>1684</v>
      </c>
      <c r="C3623" s="178" t="s">
        <v>4864</v>
      </c>
      <c r="D3623" s="36" t="s">
        <v>1683</v>
      </c>
      <c r="E3623" s="36">
        <v>13200.0</v>
      </c>
      <c r="F3623" s="178" t="s">
        <v>813</v>
      </c>
    </row>
    <row r="3624">
      <c r="A3624" s="250">
        <v>45624.70914333333</v>
      </c>
      <c r="B3624" s="251" t="s">
        <v>1844</v>
      </c>
      <c r="C3624" s="178" t="s">
        <v>4865</v>
      </c>
      <c r="D3624" s="36">
        <v>732500.0</v>
      </c>
      <c r="E3624" s="36" t="s">
        <v>1683</v>
      </c>
      <c r="F3624" s="178" t="s">
        <v>417</v>
      </c>
    </row>
    <row r="3625">
      <c r="A3625" s="250">
        <v>45624.70914333333</v>
      </c>
      <c r="B3625" s="251" t="s">
        <v>1698</v>
      </c>
      <c r="C3625" s="178" t="s">
        <v>4837</v>
      </c>
      <c r="D3625" s="36" t="s">
        <v>1683</v>
      </c>
      <c r="E3625" s="36">
        <v>732500.0</v>
      </c>
      <c r="F3625" s="178" t="s">
        <v>417</v>
      </c>
    </row>
    <row r="3626">
      <c r="A3626" s="250">
        <v>45624.70927777777</v>
      </c>
      <c r="B3626" s="251" t="s">
        <v>2324</v>
      </c>
      <c r="C3626" s="178" t="s">
        <v>4866</v>
      </c>
      <c r="D3626" s="36">
        <v>66038.49999999999</v>
      </c>
      <c r="E3626" s="36" t="s">
        <v>1683</v>
      </c>
      <c r="F3626" s="178" t="s">
        <v>537</v>
      </c>
    </row>
    <row r="3627">
      <c r="A3627" s="250">
        <v>45624.70927777777</v>
      </c>
      <c r="B3627" s="251" t="s">
        <v>1698</v>
      </c>
      <c r="C3627" s="178" t="s">
        <v>4817</v>
      </c>
      <c r="D3627" s="36" t="s">
        <v>1683</v>
      </c>
      <c r="E3627" s="36">
        <v>66038.49999999999</v>
      </c>
      <c r="F3627" s="178" t="s">
        <v>537</v>
      </c>
    </row>
    <row r="3628">
      <c r="A3628" s="250">
        <v>45624.709947777774</v>
      </c>
      <c r="B3628" s="251" t="s">
        <v>2348</v>
      </c>
      <c r="C3628" s="178" t="s">
        <v>4867</v>
      </c>
      <c r="D3628" s="36">
        <v>495038.49999999994</v>
      </c>
      <c r="E3628" s="36" t="s">
        <v>1683</v>
      </c>
      <c r="F3628" s="178" t="s">
        <v>537</v>
      </c>
    </row>
    <row r="3629">
      <c r="A3629" s="250">
        <v>45624.709947777774</v>
      </c>
      <c r="B3629" s="251" t="s">
        <v>1698</v>
      </c>
      <c r="C3629" s="178" t="s">
        <v>4823</v>
      </c>
      <c r="D3629" s="36" t="s">
        <v>1683</v>
      </c>
      <c r="E3629" s="36">
        <v>495038.49999999994</v>
      </c>
      <c r="F3629" s="178" t="s">
        <v>537</v>
      </c>
    </row>
    <row r="3630">
      <c r="A3630" s="250">
        <v>45625.41730666666</v>
      </c>
      <c r="B3630" s="251" t="s">
        <v>2068</v>
      </c>
      <c r="C3630" s="178" t="s">
        <v>4868</v>
      </c>
      <c r="D3630" s="36">
        <v>137761.0</v>
      </c>
      <c r="E3630" s="36" t="s">
        <v>1683</v>
      </c>
      <c r="F3630" s="178" t="s">
        <v>184</v>
      </c>
    </row>
    <row r="3631">
      <c r="A3631" s="250">
        <v>45625.41730666666</v>
      </c>
      <c r="B3631" s="251" t="s">
        <v>1698</v>
      </c>
      <c r="C3631" s="178" t="s">
        <v>4845</v>
      </c>
      <c r="D3631" s="36" t="s">
        <v>1683</v>
      </c>
      <c r="E3631" s="36">
        <v>137761.0</v>
      </c>
      <c r="F3631" s="178" t="s">
        <v>184</v>
      </c>
    </row>
    <row r="3632">
      <c r="A3632" s="250">
        <v>45625.417376666664</v>
      </c>
      <c r="B3632" s="251" t="s">
        <v>2064</v>
      </c>
      <c r="C3632" s="178" t="s">
        <v>4869</v>
      </c>
      <c r="D3632" s="36">
        <v>1965872.9999999995</v>
      </c>
      <c r="E3632" s="36" t="s">
        <v>1683</v>
      </c>
      <c r="F3632" s="178" t="s">
        <v>184</v>
      </c>
    </row>
    <row r="3633">
      <c r="A3633" s="250">
        <v>45625.417376666664</v>
      </c>
      <c r="B3633" s="251" t="s">
        <v>1698</v>
      </c>
      <c r="C3633" s="178" t="s">
        <v>4847</v>
      </c>
      <c r="D3633" s="36" t="s">
        <v>1683</v>
      </c>
      <c r="E3633" s="36">
        <v>1965872.9999999995</v>
      </c>
      <c r="F3633" s="178" t="s">
        <v>184</v>
      </c>
    </row>
    <row r="3634">
      <c r="A3634" s="250">
        <v>45626.43412333333</v>
      </c>
      <c r="B3634" s="251" t="s">
        <v>1844</v>
      </c>
      <c r="C3634" s="178" t="s">
        <v>4870</v>
      </c>
      <c r="D3634" s="36">
        <v>83638.0</v>
      </c>
      <c r="E3634" s="36" t="s">
        <v>1683</v>
      </c>
      <c r="F3634" s="178" t="s">
        <v>415</v>
      </c>
    </row>
    <row r="3635">
      <c r="A3635" s="250">
        <v>45626.43412333333</v>
      </c>
      <c r="B3635" s="251" t="s">
        <v>1698</v>
      </c>
      <c r="C3635" s="178" t="s">
        <v>4849</v>
      </c>
      <c r="D3635" s="36" t="s">
        <v>1683</v>
      </c>
      <c r="E3635" s="36">
        <v>83638.0</v>
      </c>
      <c r="F3635" s="178" t="s">
        <v>415</v>
      </c>
    </row>
    <row r="3636">
      <c r="A3636" s="250">
        <v>45626.86612222222</v>
      </c>
      <c r="B3636" s="251" t="s">
        <v>4805</v>
      </c>
      <c r="C3636" s="178" t="s">
        <v>4871</v>
      </c>
      <c r="D3636" s="36">
        <v>13200.0</v>
      </c>
      <c r="E3636" s="36" t="s">
        <v>1683</v>
      </c>
      <c r="F3636" s="178" t="s">
        <v>813</v>
      </c>
    </row>
    <row r="3637">
      <c r="A3637" s="250">
        <v>45626.86612222222</v>
      </c>
      <c r="B3637" s="251" t="s">
        <v>1698</v>
      </c>
      <c r="C3637" s="178" t="s">
        <v>4863</v>
      </c>
      <c r="D3637" s="36" t="s">
        <v>1683</v>
      </c>
      <c r="E3637" s="36">
        <v>13200.0</v>
      </c>
      <c r="F3637" s="178" t="s">
        <v>813</v>
      </c>
    </row>
    <row r="3638">
      <c r="A3638" s="250">
        <v>45627.62535</v>
      </c>
      <c r="B3638" s="251" t="s">
        <v>2844</v>
      </c>
      <c r="C3638" s="178" t="s">
        <v>4872</v>
      </c>
      <c r="D3638" s="36">
        <v>201000.0</v>
      </c>
      <c r="E3638" s="36" t="s">
        <v>1683</v>
      </c>
      <c r="F3638" s="178" t="s">
        <v>480</v>
      </c>
    </row>
    <row r="3639">
      <c r="A3639" s="250">
        <v>45627.62535</v>
      </c>
      <c r="B3639" s="251" t="s">
        <v>1802</v>
      </c>
      <c r="C3639" s="178" t="s">
        <v>4861</v>
      </c>
      <c r="D3639" s="36" t="s">
        <v>1683</v>
      </c>
      <c r="E3639" s="36">
        <v>201000.0</v>
      </c>
      <c r="F3639" s="178" t="s">
        <v>480</v>
      </c>
    </row>
    <row r="3640">
      <c r="A3640" s="250">
        <v>45627.72231222222</v>
      </c>
      <c r="B3640" s="251" t="s">
        <v>2497</v>
      </c>
      <c r="C3640" s="178" t="s">
        <v>4873</v>
      </c>
      <c r="D3640" s="36">
        <v>475450.00000000006</v>
      </c>
      <c r="E3640" s="36" t="s">
        <v>1683</v>
      </c>
      <c r="F3640" s="178" t="s">
        <v>917</v>
      </c>
    </row>
    <row r="3641">
      <c r="A3641" s="250">
        <v>45627.72231222222</v>
      </c>
      <c r="B3641" s="251" t="s">
        <v>1802</v>
      </c>
      <c r="C3641" s="178" t="s">
        <v>4829</v>
      </c>
      <c r="D3641" s="36" t="s">
        <v>1683</v>
      </c>
      <c r="E3641" s="36">
        <v>475450.00000000006</v>
      </c>
      <c r="F3641" s="178" t="s">
        <v>917</v>
      </c>
    </row>
    <row r="3642">
      <c r="A3642" s="250">
        <v>45637.81177111111</v>
      </c>
      <c r="B3642" s="251" t="s">
        <v>1693</v>
      </c>
      <c r="C3642" s="178" t="s">
        <v>4874</v>
      </c>
      <c r="D3642" s="36">
        <v>720311.9999999999</v>
      </c>
      <c r="E3642" s="36" t="s">
        <v>1683</v>
      </c>
      <c r="F3642" s="178" t="s">
        <v>874</v>
      </c>
    </row>
    <row r="3643">
      <c r="A3643" s="250">
        <v>45637.81177111111</v>
      </c>
      <c r="B3643" s="251" t="s">
        <v>1684</v>
      </c>
      <c r="C3643" s="178" t="s">
        <v>4875</v>
      </c>
      <c r="D3643" s="36" t="s">
        <v>1683</v>
      </c>
      <c r="E3643" s="36">
        <v>720311.9999999999</v>
      </c>
      <c r="F3643" s="178" t="s">
        <v>874</v>
      </c>
    </row>
    <row r="3644">
      <c r="A3644" s="250">
        <v>45637.811781111115</v>
      </c>
      <c r="B3644" s="251" t="s">
        <v>1693</v>
      </c>
      <c r="C3644" s="178" t="s">
        <v>4876</v>
      </c>
      <c r="D3644" s="36">
        <v>720311.9999999999</v>
      </c>
      <c r="E3644" s="36" t="s">
        <v>1683</v>
      </c>
      <c r="F3644" s="178" t="s">
        <v>875</v>
      </c>
    </row>
    <row r="3645">
      <c r="A3645" s="250">
        <v>45637.811781111115</v>
      </c>
      <c r="B3645" s="251" t="s">
        <v>1684</v>
      </c>
      <c r="C3645" s="178" t="s">
        <v>4877</v>
      </c>
      <c r="D3645" s="36" t="s">
        <v>1683</v>
      </c>
      <c r="E3645" s="36">
        <v>720311.9999999999</v>
      </c>
      <c r="F3645" s="178" t="s">
        <v>875</v>
      </c>
    </row>
    <row r="3646">
      <c r="A3646" s="250">
        <v>45638.00808888889</v>
      </c>
      <c r="B3646" s="251" t="s">
        <v>1693</v>
      </c>
      <c r="C3646" s="178" t="s">
        <v>4878</v>
      </c>
      <c r="D3646" s="36">
        <v>1360306.5</v>
      </c>
      <c r="E3646" s="36" t="s">
        <v>1683</v>
      </c>
      <c r="F3646" s="178" t="s">
        <v>280</v>
      </c>
    </row>
    <row r="3647">
      <c r="A3647" s="250">
        <v>45638.00808888889</v>
      </c>
      <c r="B3647" s="251" t="s">
        <v>1684</v>
      </c>
      <c r="C3647" s="178" t="s">
        <v>4879</v>
      </c>
      <c r="D3647" s="36" t="s">
        <v>1683</v>
      </c>
      <c r="E3647" s="36">
        <v>1360306.5</v>
      </c>
      <c r="F3647" s="178" t="s">
        <v>280</v>
      </c>
    </row>
    <row r="3648">
      <c r="A3648" s="250">
        <v>45638.00820888889</v>
      </c>
      <c r="B3648" s="251" t="s">
        <v>1693</v>
      </c>
      <c r="C3648" s="178" t="s">
        <v>4880</v>
      </c>
      <c r="D3648" s="36">
        <v>1304306.5</v>
      </c>
      <c r="E3648" s="36" t="s">
        <v>1683</v>
      </c>
      <c r="F3648" s="178" t="s">
        <v>280</v>
      </c>
    </row>
    <row r="3649">
      <c r="A3649" s="250">
        <v>45638.00820888889</v>
      </c>
      <c r="B3649" s="251" t="s">
        <v>1684</v>
      </c>
      <c r="C3649" s="178" t="s">
        <v>4881</v>
      </c>
      <c r="D3649" s="36" t="s">
        <v>1683</v>
      </c>
      <c r="E3649" s="36">
        <v>1304306.5</v>
      </c>
      <c r="F3649" s="178" t="s">
        <v>280</v>
      </c>
    </row>
    <row r="3650">
      <c r="A3650" s="250">
        <v>45638.814094444446</v>
      </c>
      <c r="B3650" s="251" t="s">
        <v>3646</v>
      </c>
      <c r="C3650" s="178" t="s">
        <v>4882</v>
      </c>
      <c r="D3650" s="36">
        <v>14260.0</v>
      </c>
      <c r="E3650" s="36" t="s">
        <v>1683</v>
      </c>
      <c r="F3650" s="178" t="s">
        <v>1683</v>
      </c>
    </row>
    <row r="3651">
      <c r="A3651" s="250">
        <v>45638.814094444446</v>
      </c>
      <c r="B3651" s="251" t="s">
        <v>3648</v>
      </c>
      <c r="C3651" s="178" t="s">
        <v>4883</v>
      </c>
      <c r="D3651" s="36" t="s">
        <v>1683</v>
      </c>
      <c r="E3651" s="36">
        <v>14260.0</v>
      </c>
      <c r="F3651" s="178" t="s">
        <v>1683</v>
      </c>
    </row>
    <row r="3652">
      <c r="A3652" s="250">
        <v>45638.81410444445</v>
      </c>
      <c r="B3652" s="251" t="s">
        <v>4112</v>
      </c>
      <c r="C3652" s="178" t="s">
        <v>4884</v>
      </c>
      <c r="D3652" s="36">
        <v>86640.0</v>
      </c>
      <c r="E3652" s="36" t="s">
        <v>1683</v>
      </c>
      <c r="F3652" s="178" t="s">
        <v>1683</v>
      </c>
    </row>
    <row r="3653">
      <c r="A3653" s="250">
        <v>45638.81410444445</v>
      </c>
      <c r="B3653" s="251" t="s">
        <v>4114</v>
      </c>
      <c r="C3653" s="178" t="s">
        <v>4885</v>
      </c>
      <c r="D3653" s="36" t="s">
        <v>1683</v>
      </c>
      <c r="E3653" s="36">
        <v>86640.0</v>
      </c>
      <c r="F3653" s="178" t="s">
        <v>1683</v>
      </c>
    </row>
    <row r="3654">
      <c r="A3654" s="250">
        <v>45638.814114444445</v>
      </c>
      <c r="B3654" s="251" t="s">
        <v>4886</v>
      </c>
      <c r="C3654" s="178" t="s">
        <v>4887</v>
      </c>
      <c r="D3654" s="36">
        <v>35872.6315789474</v>
      </c>
      <c r="E3654" s="36" t="s">
        <v>1683</v>
      </c>
      <c r="F3654" s="178" t="s">
        <v>1683</v>
      </c>
    </row>
    <row r="3655">
      <c r="A3655" s="250">
        <v>45638.814114444445</v>
      </c>
      <c r="B3655" s="251" t="s">
        <v>4888</v>
      </c>
      <c r="C3655" s="178" t="s">
        <v>4889</v>
      </c>
      <c r="D3655" s="36" t="s">
        <v>1683</v>
      </c>
      <c r="E3655" s="36">
        <v>35872.6315789474</v>
      </c>
      <c r="F3655" s="178" t="s">
        <v>1683</v>
      </c>
    </row>
    <row r="3656">
      <c r="A3656" s="250">
        <v>45638.81412444445</v>
      </c>
      <c r="B3656" s="251" t="s">
        <v>4890</v>
      </c>
      <c r="C3656" s="178" t="s">
        <v>4891</v>
      </c>
      <c r="D3656" s="36">
        <v>39280.39</v>
      </c>
      <c r="E3656" s="36" t="s">
        <v>1683</v>
      </c>
      <c r="F3656" s="178" t="s">
        <v>1683</v>
      </c>
    </row>
    <row r="3657">
      <c r="A3657" s="250">
        <v>45638.81412444445</v>
      </c>
      <c r="B3657" s="251" t="s">
        <v>4892</v>
      </c>
      <c r="C3657" s="178" t="s">
        <v>4893</v>
      </c>
      <c r="D3657" s="36" t="s">
        <v>1683</v>
      </c>
      <c r="E3657" s="36">
        <v>39280.39</v>
      </c>
      <c r="F3657" s="178" t="s">
        <v>1683</v>
      </c>
    </row>
    <row r="3658">
      <c r="A3658" s="250">
        <v>45638.814134444445</v>
      </c>
      <c r="B3658" s="251" t="s">
        <v>4894</v>
      </c>
      <c r="C3658" s="178" t="s">
        <v>4895</v>
      </c>
      <c r="D3658" s="36">
        <v>30370.0</v>
      </c>
      <c r="E3658" s="36" t="s">
        <v>1683</v>
      </c>
      <c r="F3658" s="178" t="s">
        <v>1683</v>
      </c>
    </row>
    <row r="3659">
      <c r="A3659" s="250">
        <v>45638.814134444445</v>
      </c>
      <c r="B3659" s="251" t="s">
        <v>4896</v>
      </c>
      <c r="C3659" s="178" t="s">
        <v>4897</v>
      </c>
      <c r="D3659" s="36" t="s">
        <v>1683</v>
      </c>
      <c r="E3659" s="36">
        <v>30370.0</v>
      </c>
      <c r="F3659" s="178" t="s">
        <v>1683</v>
      </c>
    </row>
    <row r="3660">
      <c r="A3660" s="250">
        <v>45638.81414444445</v>
      </c>
      <c r="B3660" s="251" t="s">
        <v>4894</v>
      </c>
      <c r="C3660" s="178" t="s">
        <v>4898</v>
      </c>
      <c r="D3660" s="36">
        <v>60740.0</v>
      </c>
      <c r="E3660" s="36" t="s">
        <v>1683</v>
      </c>
      <c r="F3660" s="178" t="s">
        <v>1683</v>
      </c>
    </row>
    <row r="3661">
      <c r="A3661" s="250">
        <v>45638.81414444445</v>
      </c>
      <c r="B3661" s="251" t="s">
        <v>4896</v>
      </c>
      <c r="C3661" s="178" t="s">
        <v>4899</v>
      </c>
      <c r="D3661" s="36" t="s">
        <v>1683</v>
      </c>
      <c r="E3661" s="36">
        <v>60740.0</v>
      </c>
      <c r="F3661" s="178" t="s">
        <v>1683</v>
      </c>
    </row>
    <row r="3662">
      <c r="A3662" s="250">
        <v>45638.82351666666</v>
      </c>
      <c r="B3662" s="251" t="s">
        <v>1783</v>
      </c>
      <c r="C3662" s="178" t="s">
        <v>4900</v>
      </c>
      <c r="D3662" s="36">
        <v>24999.999999999996</v>
      </c>
      <c r="E3662" s="36" t="s">
        <v>1683</v>
      </c>
      <c r="F3662" s="178" t="s">
        <v>463</v>
      </c>
    </row>
    <row r="3663">
      <c r="A3663" s="250">
        <v>45638.82351666666</v>
      </c>
      <c r="B3663" s="251" t="s">
        <v>1684</v>
      </c>
      <c r="C3663" s="178" t="s">
        <v>4901</v>
      </c>
      <c r="D3663" s="36" t="s">
        <v>1683</v>
      </c>
      <c r="E3663" s="36">
        <v>24999.999999999996</v>
      </c>
      <c r="F3663" s="178" t="s">
        <v>463</v>
      </c>
    </row>
    <row r="3664">
      <c r="A3664" s="250">
        <v>45641.40621555555</v>
      </c>
      <c r="B3664" s="251" t="s">
        <v>3240</v>
      </c>
      <c r="C3664" s="178" t="s">
        <v>4902</v>
      </c>
      <c r="D3664" s="36">
        <v>720311.9999999999</v>
      </c>
      <c r="E3664" s="36" t="s">
        <v>1683</v>
      </c>
      <c r="F3664" s="178" t="s">
        <v>874</v>
      </c>
    </row>
    <row r="3665">
      <c r="A3665" s="250">
        <v>45641.40621555555</v>
      </c>
      <c r="B3665" s="251" t="s">
        <v>1698</v>
      </c>
      <c r="C3665" s="178" t="s">
        <v>4874</v>
      </c>
      <c r="D3665" s="36" t="s">
        <v>1683</v>
      </c>
      <c r="E3665" s="36">
        <v>720311.9999999999</v>
      </c>
      <c r="F3665" s="178" t="s">
        <v>874</v>
      </c>
    </row>
    <row r="3666">
      <c r="A3666" s="250">
        <v>45642.12983666667</v>
      </c>
      <c r="B3666" s="251" t="s">
        <v>1693</v>
      </c>
      <c r="C3666" s="178" t="s">
        <v>4903</v>
      </c>
      <c r="D3666" s="36">
        <v>2800.0000000000014</v>
      </c>
      <c r="E3666" s="36" t="s">
        <v>1683</v>
      </c>
      <c r="F3666" s="178" t="s">
        <v>512</v>
      </c>
    </row>
    <row r="3667">
      <c r="A3667" s="250">
        <v>45642.12983666667</v>
      </c>
      <c r="B3667" s="251" t="s">
        <v>1684</v>
      </c>
      <c r="C3667" s="178" t="s">
        <v>4904</v>
      </c>
      <c r="D3667" s="36" t="s">
        <v>1683</v>
      </c>
      <c r="E3667" s="36">
        <v>2800.0000000000014</v>
      </c>
      <c r="F3667" s="178" t="s">
        <v>512</v>
      </c>
    </row>
    <row r="3668">
      <c r="A3668" s="250">
        <v>45642.39789222222</v>
      </c>
      <c r="B3668" s="251" t="s">
        <v>3240</v>
      </c>
      <c r="C3668" s="178" t="s">
        <v>4905</v>
      </c>
      <c r="D3668" s="36">
        <v>720311.9999999999</v>
      </c>
      <c r="E3668" s="36" t="s">
        <v>1683</v>
      </c>
      <c r="F3668" s="178" t="s">
        <v>875</v>
      </c>
    </row>
    <row r="3669">
      <c r="A3669" s="250">
        <v>45642.39789222222</v>
      </c>
      <c r="B3669" s="251" t="s">
        <v>1698</v>
      </c>
      <c r="C3669" s="178" t="s">
        <v>4876</v>
      </c>
      <c r="D3669" s="36" t="s">
        <v>1683</v>
      </c>
      <c r="E3669" s="36">
        <v>720311.9999999999</v>
      </c>
      <c r="F3669" s="178" t="s">
        <v>875</v>
      </c>
    </row>
    <row r="3670">
      <c r="A3670" s="250">
        <v>45642.61711666667</v>
      </c>
      <c r="B3670" s="251" t="s">
        <v>3872</v>
      </c>
      <c r="C3670" s="178" t="s">
        <v>4906</v>
      </c>
      <c r="D3670" s="36">
        <v>1360306.5</v>
      </c>
      <c r="E3670" s="36" t="s">
        <v>1683</v>
      </c>
      <c r="F3670" s="178" t="s">
        <v>280</v>
      </c>
    </row>
    <row r="3671">
      <c r="A3671" s="250">
        <v>45642.61711666667</v>
      </c>
      <c r="B3671" s="251" t="s">
        <v>1698</v>
      </c>
      <c r="C3671" s="178" t="s">
        <v>4878</v>
      </c>
      <c r="D3671" s="36" t="s">
        <v>1683</v>
      </c>
      <c r="E3671" s="36">
        <v>1360306.5</v>
      </c>
      <c r="F3671" s="178" t="s">
        <v>280</v>
      </c>
    </row>
    <row r="3672">
      <c r="A3672" s="250">
        <v>45642.617236666665</v>
      </c>
      <c r="B3672" s="251" t="s">
        <v>3398</v>
      </c>
      <c r="C3672" s="178" t="s">
        <v>4907</v>
      </c>
      <c r="D3672" s="36">
        <v>1304306.5</v>
      </c>
      <c r="E3672" s="36" t="s">
        <v>1683</v>
      </c>
      <c r="F3672" s="178" t="s">
        <v>280</v>
      </c>
    </row>
    <row r="3673">
      <c r="A3673" s="250">
        <v>45642.617236666665</v>
      </c>
      <c r="B3673" s="251" t="s">
        <v>1698</v>
      </c>
      <c r="C3673" s="178" t="s">
        <v>4880</v>
      </c>
      <c r="D3673" s="36" t="s">
        <v>1683</v>
      </c>
      <c r="E3673" s="36">
        <v>1304306.5</v>
      </c>
      <c r="F3673" s="178" t="s">
        <v>280</v>
      </c>
    </row>
    <row r="3674">
      <c r="A3674" s="250">
        <v>45642.68979888889</v>
      </c>
      <c r="B3674" s="251" t="s">
        <v>1693</v>
      </c>
      <c r="C3674" s="178" t="s">
        <v>4908</v>
      </c>
      <c r="D3674" s="36">
        <v>289000.0</v>
      </c>
      <c r="E3674" s="36" t="s">
        <v>1683</v>
      </c>
      <c r="F3674" s="178" t="s">
        <v>215</v>
      </c>
    </row>
    <row r="3675">
      <c r="A3675" s="250">
        <v>45642.68979888889</v>
      </c>
      <c r="B3675" s="251" t="s">
        <v>1684</v>
      </c>
      <c r="C3675" s="178" t="s">
        <v>4909</v>
      </c>
      <c r="D3675" s="36" t="s">
        <v>1683</v>
      </c>
      <c r="E3675" s="36">
        <v>289000.0</v>
      </c>
      <c r="F3675" s="178" t="s">
        <v>215</v>
      </c>
    </row>
    <row r="3676">
      <c r="A3676" s="250">
        <v>45642.90129444444</v>
      </c>
      <c r="B3676" s="251" t="s">
        <v>2266</v>
      </c>
      <c r="C3676" s="178" t="s">
        <v>4910</v>
      </c>
      <c r="D3676" s="36">
        <v>24999.999999999996</v>
      </c>
      <c r="E3676" s="36" t="s">
        <v>1683</v>
      </c>
      <c r="F3676" s="178" t="s">
        <v>463</v>
      </c>
    </row>
    <row r="3677">
      <c r="A3677" s="250">
        <v>45642.90129444444</v>
      </c>
      <c r="B3677" s="251" t="s">
        <v>1802</v>
      </c>
      <c r="C3677" s="178" t="s">
        <v>4900</v>
      </c>
      <c r="D3677" s="36" t="s">
        <v>1683</v>
      </c>
      <c r="E3677" s="36">
        <v>24999.999999999996</v>
      </c>
      <c r="F3677" s="178" t="s">
        <v>463</v>
      </c>
    </row>
    <row r="3678">
      <c r="A3678" s="250">
        <v>45643.45229888889</v>
      </c>
      <c r="B3678" s="251" t="s">
        <v>1693</v>
      </c>
      <c r="C3678" s="178" t="s">
        <v>4911</v>
      </c>
      <c r="D3678" s="36">
        <v>71299.99999999999</v>
      </c>
      <c r="E3678" s="36" t="s">
        <v>1683</v>
      </c>
      <c r="F3678" s="178" t="s">
        <v>536</v>
      </c>
    </row>
    <row r="3679">
      <c r="A3679" s="250">
        <v>45643.45229888889</v>
      </c>
      <c r="B3679" s="251" t="s">
        <v>1684</v>
      </c>
      <c r="C3679" s="178" t="s">
        <v>4912</v>
      </c>
      <c r="D3679" s="36" t="s">
        <v>1683</v>
      </c>
      <c r="E3679" s="36">
        <v>71299.99999999999</v>
      </c>
      <c r="F3679" s="178" t="s">
        <v>536</v>
      </c>
    </row>
    <row r="3680">
      <c r="A3680" s="250">
        <v>45643.61956</v>
      </c>
      <c r="B3680" s="251" t="s">
        <v>1693</v>
      </c>
      <c r="C3680" s="178" t="s">
        <v>4913</v>
      </c>
      <c r="D3680" s="36">
        <v>899250.0000000002</v>
      </c>
      <c r="E3680" s="36" t="s">
        <v>1683</v>
      </c>
      <c r="F3680" s="178" t="s">
        <v>114</v>
      </c>
    </row>
    <row r="3681">
      <c r="A3681" s="250">
        <v>45643.61956</v>
      </c>
      <c r="B3681" s="251" t="s">
        <v>1684</v>
      </c>
      <c r="C3681" s="178" t="s">
        <v>4914</v>
      </c>
      <c r="D3681" s="36" t="s">
        <v>1683</v>
      </c>
      <c r="E3681" s="36">
        <v>899250.0000000002</v>
      </c>
      <c r="F3681" s="178" t="s">
        <v>114</v>
      </c>
    </row>
    <row r="3682">
      <c r="A3682" s="250">
        <v>45643.621633333336</v>
      </c>
      <c r="B3682" s="251" t="s">
        <v>1693</v>
      </c>
      <c r="C3682" s="178" t="s">
        <v>4915</v>
      </c>
      <c r="D3682" s="36">
        <v>23000.0</v>
      </c>
      <c r="E3682" s="36" t="s">
        <v>1683</v>
      </c>
      <c r="F3682" s="178" t="s">
        <v>113</v>
      </c>
    </row>
    <row r="3683">
      <c r="A3683" s="250">
        <v>45643.621633333336</v>
      </c>
      <c r="B3683" s="251" t="s">
        <v>1684</v>
      </c>
      <c r="C3683" s="178" t="s">
        <v>4916</v>
      </c>
      <c r="D3683" s="36" t="s">
        <v>1683</v>
      </c>
      <c r="E3683" s="36">
        <v>23000.0</v>
      </c>
      <c r="F3683" s="178" t="s">
        <v>113</v>
      </c>
    </row>
    <row r="3684">
      <c r="A3684" s="250">
        <v>45644.67019888889</v>
      </c>
      <c r="B3684" s="251" t="s">
        <v>1783</v>
      </c>
      <c r="C3684" s="178" t="s">
        <v>4917</v>
      </c>
      <c r="D3684" s="36">
        <v>158096.0</v>
      </c>
      <c r="E3684" s="36" t="s">
        <v>1683</v>
      </c>
      <c r="F3684" s="178" t="s">
        <v>463</v>
      </c>
    </row>
    <row r="3685">
      <c r="A3685" s="250">
        <v>45644.67019888889</v>
      </c>
      <c r="B3685" s="251" t="s">
        <v>1684</v>
      </c>
      <c r="C3685" s="178" t="s">
        <v>4918</v>
      </c>
      <c r="D3685" s="36" t="s">
        <v>1683</v>
      </c>
      <c r="E3685" s="36">
        <v>158096.0</v>
      </c>
      <c r="F3685" s="178" t="s">
        <v>463</v>
      </c>
    </row>
    <row r="3686">
      <c r="A3686" s="250">
        <v>45644.67031888889</v>
      </c>
      <c r="B3686" s="251" t="s">
        <v>1783</v>
      </c>
      <c r="C3686" s="178" t="s">
        <v>4919</v>
      </c>
      <c r="D3686" s="36">
        <v>360201.0</v>
      </c>
      <c r="E3686" s="36" t="s">
        <v>1683</v>
      </c>
      <c r="F3686" s="178" t="s">
        <v>463</v>
      </c>
    </row>
    <row r="3687">
      <c r="A3687" s="250">
        <v>45644.67031888889</v>
      </c>
      <c r="B3687" s="251" t="s">
        <v>1684</v>
      </c>
      <c r="C3687" s="178" t="s">
        <v>4920</v>
      </c>
      <c r="D3687" s="36" t="s">
        <v>1683</v>
      </c>
      <c r="E3687" s="36">
        <v>360201.0</v>
      </c>
      <c r="F3687" s="178" t="s">
        <v>463</v>
      </c>
    </row>
    <row r="3688">
      <c r="A3688" s="250">
        <v>45644.67032888889</v>
      </c>
      <c r="B3688" s="251" t="s">
        <v>1783</v>
      </c>
      <c r="C3688" s="178" t="s">
        <v>4921</v>
      </c>
      <c r="D3688" s="36">
        <v>72201.0</v>
      </c>
      <c r="E3688" s="36" t="s">
        <v>1683</v>
      </c>
      <c r="F3688" s="178" t="s">
        <v>463</v>
      </c>
    </row>
    <row r="3689">
      <c r="A3689" s="250">
        <v>45644.67032888889</v>
      </c>
      <c r="B3689" s="251" t="s">
        <v>1684</v>
      </c>
      <c r="C3689" s="178" t="s">
        <v>4922</v>
      </c>
      <c r="D3689" s="36" t="s">
        <v>1683</v>
      </c>
      <c r="E3689" s="36">
        <v>72201.0</v>
      </c>
      <c r="F3689" s="178" t="s">
        <v>463</v>
      </c>
    </row>
    <row r="3690">
      <c r="A3690" s="250">
        <v>45644.67050888889</v>
      </c>
      <c r="B3690" s="251" t="s">
        <v>1783</v>
      </c>
      <c r="C3690" s="178" t="s">
        <v>4923</v>
      </c>
      <c r="D3690" s="36">
        <v>151300.0</v>
      </c>
      <c r="E3690" s="36" t="s">
        <v>1683</v>
      </c>
      <c r="F3690" s="178" t="s">
        <v>463</v>
      </c>
    </row>
    <row r="3691">
      <c r="A3691" s="250">
        <v>45644.67050888889</v>
      </c>
      <c r="B3691" s="251" t="s">
        <v>1684</v>
      </c>
      <c r="C3691" s="178" t="s">
        <v>4924</v>
      </c>
      <c r="D3691" s="36" t="s">
        <v>1683</v>
      </c>
      <c r="E3691" s="36">
        <v>151300.0</v>
      </c>
      <c r="F3691" s="178" t="s">
        <v>463</v>
      </c>
    </row>
    <row r="3692">
      <c r="A3692" s="250">
        <v>45644.67064888889</v>
      </c>
      <c r="B3692" s="251" t="s">
        <v>1783</v>
      </c>
      <c r="C3692" s="178" t="s">
        <v>4925</v>
      </c>
      <c r="D3692" s="36">
        <v>607700.9999999999</v>
      </c>
      <c r="E3692" s="36" t="s">
        <v>1683</v>
      </c>
      <c r="F3692" s="178" t="s">
        <v>463</v>
      </c>
    </row>
    <row r="3693">
      <c r="A3693" s="250">
        <v>45644.67064888889</v>
      </c>
      <c r="B3693" s="251" t="s">
        <v>1684</v>
      </c>
      <c r="C3693" s="178" t="s">
        <v>4926</v>
      </c>
      <c r="D3693" s="36" t="s">
        <v>1683</v>
      </c>
      <c r="E3693" s="36">
        <v>607700.9999999999</v>
      </c>
      <c r="F3693" s="178" t="s">
        <v>463</v>
      </c>
    </row>
    <row r="3694">
      <c r="A3694" s="250">
        <v>45644.67071888889</v>
      </c>
      <c r="B3694" s="251" t="s">
        <v>1783</v>
      </c>
      <c r="C3694" s="178" t="s">
        <v>4927</v>
      </c>
      <c r="D3694" s="36">
        <v>292700.99999999994</v>
      </c>
      <c r="E3694" s="36" t="s">
        <v>1683</v>
      </c>
      <c r="F3694" s="178" t="s">
        <v>463</v>
      </c>
    </row>
    <row r="3695">
      <c r="A3695" s="250">
        <v>45644.67071888889</v>
      </c>
      <c r="B3695" s="251" t="s">
        <v>1684</v>
      </c>
      <c r="C3695" s="178" t="s">
        <v>4928</v>
      </c>
      <c r="D3695" s="36" t="s">
        <v>1683</v>
      </c>
      <c r="E3695" s="36">
        <v>292700.99999999994</v>
      </c>
      <c r="F3695" s="178" t="s">
        <v>463</v>
      </c>
    </row>
    <row r="3696">
      <c r="A3696" s="250">
        <v>45644.72382666667</v>
      </c>
      <c r="B3696" s="251" t="s">
        <v>3247</v>
      </c>
      <c r="C3696" s="178" t="s">
        <v>4929</v>
      </c>
      <c r="D3696" s="36">
        <v>289000.0</v>
      </c>
      <c r="E3696" s="36" t="s">
        <v>1683</v>
      </c>
      <c r="F3696" s="178" t="s">
        <v>215</v>
      </c>
    </row>
    <row r="3697">
      <c r="A3697" s="250">
        <v>45644.72382666667</v>
      </c>
      <c r="B3697" s="251" t="s">
        <v>1698</v>
      </c>
      <c r="C3697" s="178" t="s">
        <v>4908</v>
      </c>
      <c r="D3697" s="36" t="s">
        <v>1683</v>
      </c>
      <c r="E3697" s="36">
        <v>289000.0</v>
      </c>
      <c r="F3697" s="178" t="s">
        <v>215</v>
      </c>
    </row>
    <row r="3698">
      <c r="A3698" s="250">
        <v>45644.91386444445</v>
      </c>
      <c r="B3698" s="251" t="s">
        <v>3867</v>
      </c>
      <c r="C3698" s="178" t="s">
        <v>4930</v>
      </c>
      <c r="D3698" s="36">
        <v>2800.0000000000014</v>
      </c>
      <c r="E3698" s="36" t="s">
        <v>1683</v>
      </c>
      <c r="F3698" s="178" t="s">
        <v>512</v>
      </c>
    </row>
    <row r="3699">
      <c r="A3699" s="250">
        <v>45644.91386444445</v>
      </c>
      <c r="B3699" s="251" t="s">
        <v>1698</v>
      </c>
      <c r="C3699" s="178" t="s">
        <v>4903</v>
      </c>
      <c r="D3699" s="36" t="s">
        <v>1683</v>
      </c>
      <c r="E3699" s="36">
        <v>2800.0000000000014</v>
      </c>
      <c r="F3699" s="178" t="s">
        <v>512</v>
      </c>
    </row>
    <row r="3700">
      <c r="A3700" s="250">
        <v>45645.69188222222</v>
      </c>
      <c r="B3700" s="251" t="s">
        <v>2348</v>
      </c>
      <c r="C3700" s="178" t="s">
        <v>4931</v>
      </c>
      <c r="D3700" s="36">
        <v>71299.99999999999</v>
      </c>
      <c r="E3700" s="36" t="s">
        <v>1683</v>
      </c>
      <c r="F3700" s="178" t="s">
        <v>536</v>
      </c>
    </row>
    <row r="3701">
      <c r="A3701" s="250">
        <v>45645.69188222222</v>
      </c>
      <c r="B3701" s="251" t="s">
        <v>1698</v>
      </c>
      <c r="C3701" s="178" t="s">
        <v>4911</v>
      </c>
      <c r="D3701" s="36" t="s">
        <v>1683</v>
      </c>
      <c r="E3701" s="36">
        <v>71299.99999999999</v>
      </c>
      <c r="F3701" s="178" t="s">
        <v>536</v>
      </c>
    </row>
    <row r="3702">
      <c r="A3702" s="250">
        <v>45645.834123333334</v>
      </c>
      <c r="B3702" s="251" t="s">
        <v>1693</v>
      </c>
      <c r="C3702" s="178" t="s">
        <v>4932</v>
      </c>
      <c r="D3702" s="36">
        <v>1451353.9999999998</v>
      </c>
      <c r="E3702" s="36" t="s">
        <v>1683</v>
      </c>
      <c r="F3702" s="178" t="s">
        <v>199</v>
      </c>
    </row>
    <row r="3703">
      <c r="A3703" s="250">
        <v>45645.834123333334</v>
      </c>
      <c r="B3703" s="251" t="s">
        <v>1684</v>
      </c>
      <c r="C3703" s="178" t="s">
        <v>4933</v>
      </c>
      <c r="D3703" s="36" t="s">
        <v>1683</v>
      </c>
      <c r="E3703" s="36">
        <v>1451353.9999999998</v>
      </c>
      <c r="F3703" s="178" t="s">
        <v>199</v>
      </c>
    </row>
    <row r="3704">
      <c r="A3704" s="250">
        <v>45645.83415333334</v>
      </c>
      <c r="B3704" s="251" t="s">
        <v>1693</v>
      </c>
      <c r="C3704" s="178" t="s">
        <v>4934</v>
      </c>
      <c r="D3704" s="36">
        <v>702112.0</v>
      </c>
      <c r="E3704" s="36" t="s">
        <v>1683</v>
      </c>
      <c r="F3704" s="178" t="s">
        <v>305</v>
      </c>
    </row>
    <row r="3705">
      <c r="A3705" s="250">
        <v>45645.83415333334</v>
      </c>
      <c r="B3705" s="251" t="s">
        <v>1684</v>
      </c>
      <c r="C3705" s="178" t="s">
        <v>4935</v>
      </c>
      <c r="D3705" s="36" t="s">
        <v>1683</v>
      </c>
      <c r="E3705" s="36">
        <v>702112.0</v>
      </c>
      <c r="F3705" s="178" t="s">
        <v>305</v>
      </c>
    </row>
    <row r="3706">
      <c r="A3706" s="250">
        <v>45645.83417333334</v>
      </c>
      <c r="B3706" s="251" t="s">
        <v>1693</v>
      </c>
      <c r="C3706" s="178" t="s">
        <v>4936</v>
      </c>
      <c r="D3706" s="36">
        <v>1736987.0000000002</v>
      </c>
      <c r="E3706" s="36" t="s">
        <v>1683</v>
      </c>
      <c r="F3706" s="178" t="s">
        <v>305</v>
      </c>
    </row>
    <row r="3707">
      <c r="A3707" s="250">
        <v>45645.83417333334</v>
      </c>
      <c r="B3707" s="251" t="s">
        <v>1684</v>
      </c>
      <c r="C3707" s="178" t="s">
        <v>4937</v>
      </c>
      <c r="D3707" s="36" t="s">
        <v>1683</v>
      </c>
      <c r="E3707" s="36">
        <v>1736987.0000000002</v>
      </c>
      <c r="F3707" s="178" t="s">
        <v>305</v>
      </c>
    </row>
    <row r="3708">
      <c r="A3708" s="250">
        <v>45645.899421111106</v>
      </c>
      <c r="B3708" s="251" t="s">
        <v>3017</v>
      </c>
      <c r="C3708" s="178" t="s">
        <v>4938</v>
      </c>
      <c r="D3708" s="36">
        <v>899250.0000000002</v>
      </c>
      <c r="E3708" s="36" t="s">
        <v>1683</v>
      </c>
      <c r="F3708" s="178" t="s">
        <v>114</v>
      </c>
    </row>
    <row r="3709">
      <c r="A3709" s="250">
        <v>45645.899421111106</v>
      </c>
      <c r="B3709" s="251" t="s">
        <v>1698</v>
      </c>
      <c r="C3709" s="178" t="s">
        <v>4913</v>
      </c>
      <c r="D3709" s="36" t="s">
        <v>1683</v>
      </c>
      <c r="E3709" s="36">
        <v>899250.0000000002</v>
      </c>
      <c r="F3709" s="178" t="s">
        <v>114</v>
      </c>
    </row>
    <row r="3710">
      <c r="A3710" s="250">
        <v>45645.95010555556</v>
      </c>
      <c r="B3710" s="251" t="s">
        <v>3017</v>
      </c>
      <c r="C3710" s="178" t="s">
        <v>4939</v>
      </c>
      <c r="D3710" s="36">
        <v>23000.0</v>
      </c>
      <c r="E3710" s="36" t="s">
        <v>1683</v>
      </c>
      <c r="F3710" s="178" t="s">
        <v>113</v>
      </c>
    </row>
    <row r="3711">
      <c r="A3711" s="250">
        <v>45645.95010555556</v>
      </c>
      <c r="B3711" s="251" t="s">
        <v>1698</v>
      </c>
      <c r="C3711" s="178" t="s">
        <v>4915</v>
      </c>
      <c r="D3711" s="36" t="s">
        <v>1683</v>
      </c>
      <c r="E3711" s="36">
        <v>23000.0</v>
      </c>
      <c r="F3711" s="178" t="s">
        <v>113</v>
      </c>
    </row>
    <row r="3712">
      <c r="A3712" s="250">
        <v>45646.652363333335</v>
      </c>
      <c r="B3712" s="251" t="s">
        <v>1693</v>
      </c>
      <c r="C3712" s="178" t="s">
        <v>4940</v>
      </c>
      <c r="D3712" s="36">
        <v>130199.99999999996</v>
      </c>
      <c r="E3712" s="36" t="s">
        <v>1683</v>
      </c>
      <c r="F3712" s="178" t="s">
        <v>361</v>
      </c>
    </row>
    <row r="3713">
      <c r="A3713" s="250">
        <v>45646.652363333335</v>
      </c>
      <c r="B3713" s="251" t="s">
        <v>1684</v>
      </c>
      <c r="C3713" s="178" t="s">
        <v>4941</v>
      </c>
      <c r="D3713" s="36" t="s">
        <v>1683</v>
      </c>
      <c r="E3713" s="36">
        <v>130199.99999999996</v>
      </c>
      <c r="F3713" s="178" t="s">
        <v>361</v>
      </c>
    </row>
    <row r="3714">
      <c r="A3714" s="250">
        <v>45646.659074386575</v>
      </c>
      <c r="B3714" s="251" t="s">
        <v>4002</v>
      </c>
      <c r="C3714" s="178" t="s">
        <v>4942</v>
      </c>
      <c r="D3714" s="36">
        <v>158096.0</v>
      </c>
      <c r="E3714" s="36" t="s">
        <v>1683</v>
      </c>
      <c r="F3714" s="178" t="s">
        <v>463</v>
      </c>
    </row>
    <row r="3715">
      <c r="A3715" s="250">
        <v>45646.659074386575</v>
      </c>
      <c r="B3715" s="251" t="s">
        <v>1802</v>
      </c>
      <c r="C3715" s="178" t="s">
        <v>4917</v>
      </c>
      <c r="D3715" s="36" t="s">
        <v>1683</v>
      </c>
      <c r="E3715" s="36">
        <v>158096.0</v>
      </c>
      <c r="F3715" s="178" t="s">
        <v>463</v>
      </c>
    </row>
    <row r="3716">
      <c r="A3716" s="250">
        <v>45646.65919438658</v>
      </c>
      <c r="B3716" s="251" t="s">
        <v>3916</v>
      </c>
      <c r="C3716" s="178" t="s">
        <v>4943</v>
      </c>
      <c r="D3716" s="36">
        <v>360201.0</v>
      </c>
      <c r="E3716" s="36" t="s">
        <v>1683</v>
      </c>
      <c r="F3716" s="178" t="s">
        <v>463</v>
      </c>
    </row>
    <row r="3717">
      <c r="A3717" s="250">
        <v>45646.65919438658</v>
      </c>
      <c r="B3717" s="251" t="s">
        <v>1802</v>
      </c>
      <c r="C3717" s="178" t="s">
        <v>4919</v>
      </c>
      <c r="D3717" s="36" t="s">
        <v>1683</v>
      </c>
      <c r="E3717" s="36">
        <v>360201.0</v>
      </c>
      <c r="F3717" s="178" t="s">
        <v>463</v>
      </c>
    </row>
    <row r="3718">
      <c r="A3718" s="250">
        <v>45646.659204386575</v>
      </c>
      <c r="B3718" s="251" t="s">
        <v>3916</v>
      </c>
      <c r="C3718" s="178" t="s">
        <v>4944</v>
      </c>
      <c r="D3718" s="36">
        <v>72201.0</v>
      </c>
      <c r="E3718" s="36" t="s">
        <v>1683</v>
      </c>
      <c r="F3718" s="178" t="s">
        <v>463</v>
      </c>
    </row>
    <row r="3719">
      <c r="A3719" s="250">
        <v>45646.659204386575</v>
      </c>
      <c r="B3719" s="251" t="s">
        <v>1802</v>
      </c>
      <c r="C3719" s="178" t="s">
        <v>4921</v>
      </c>
      <c r="D3719" s="36" t="s">
        <v>1683</v>
      </c>
      <c r="E3719" s="36">
        <v>72201.0</v>
      </c>
      <c r="F3719" s="178" t="s">
        <v>463</v>
      </c>
    </row>
    <row r="3720">
      <c r="A3720" s="250">
        <v>45646.65938438658</v>
      </c>
      <c r="B3720" s="251" t="s">
        <v>1846</v>
      </c>
      <c r="C3720" s="178" t="s">
        <v>4945</v>
      </c>
      <c r="D3720" s="36">
        <v>151300.0</v>
      </c>
      <c r="E3720" s="36" t="s">
        <v>1683</v>
      </c>
      <c r="F3720" s="178" t="s">
        <v>463</v>
      </c>
    </row>
    <row r="3721">
      <c r="A3721" s="250">
        <v>45646.65938438658</v>
      </c>
      <c r="B3721" s="251" t="s">
        <v>1802</v>
      </c>
      <c r="C3721" s="178" t="s">
        <v>4923</v>
      </c>
      <c r="D3721" s="36" t="s">
        <v>1683</v>
      </c>
      <c r="E3721" s="36">
        <v>151300.0</v>
      </c>
      <c r="F3721" s="178" t="s">
        <v>463</v>
      </c>
    </row>
    <row r="3722">
      <c r="A3722" s="250">
        <v>45646.659524386574</v>
      </c>
      <c r="B3722" s="251" t="s">
        <v>3494</v>
      </c>
      <c r="C3722" s="178" t="s">
        <v>4946</v>
      </c>
      <c r="D3722" s="36">
        <v>607700.9999999999</v>
      </c>
      <c r="E3722" s="36" t="s">
        <v>1683</v>
      </c>
      <c r="F3722" s="178" t="s">
        <v>463</v>
      </c>
    </row>
    <row r="3723">
      <c r="A3723" s="250">
        <v>45646.659524386574</v>
      </c>
      <c r="B3723" s="251" t="s">
        <v>1802</v>
      </c>
      <c r="C3723" s="178" t="s">
        <v>4925</v>
      </c>
      <c r="D3723" s="36" t="s">
        <v>1683</v>
      </c>
      <c r="E3723" s="36">
        <v>607700.9999999999</v>
      </c>
      <c r="F3723" s="178" t="s">
        <v>463</v>
      </c>
    </row>
    <row r="3724">
      <c r="A3724" s="250">
        <v>45646.659594386576</v>
      </c>
      <c r="B3724" s="251" t="s">
        <v>4655</v>
      </c>
      <c r="C3724" s="178" t="s">
        <v>4947</v>
      </c>
      <c r="D3724" s="36">
        <v>292700.99999999994</v>
      </c>
      <c r="E3724" s="36" t="s">
        <v>1683</v>
      </c>
      <c r="F3724" s="178" t="s">
        <v>463</v>
      </c>
    </row>
    <row r="3725">
      <c r="A3725" s="250">
        <v>45646.659594386576</v>
      </c>
      <c r="B3725" s="251" t="s">
        <v>1802</v>
      </c>
      <c r="C3725" s="178" t="s">
        <v>4927</v>
      </c>
      <c r="D3725" s="36" t="s">
        <v>1683</v>
      </c>
      <c r="E3725" s="36">
        <v>292700.99999999994</v>
      </c>
      <c r="F3725" s="178" t="s">
        <v>463</v>
      </c>
    </row>
    <row r="3726">
      <c r="A3726" s="250">
        <v>45647.48273444444</v>
      </c>
      <c r="B3726" s="251" t="s">
        <v>1693</v>
      </c>
      <c r="C3726" s="178" t="s">
        <v>4948</v>
      </c>
      <c r="D3726" s="36">
        <v>899250.0000000002</v>
      </c>
      <c r="E3726" s="36" t="s">
        <v>1683</v>
      </c>
      <c r="F3726" s="178" t="s">
        <v>112</v>
      </c>
    </row>
    <row r="3727">
      <c r="A3727" s="250">
        <v>45647.48273444444</v>
      </c>
      <c r="B3727" s="251" t="s">
        <v>1684</v>
      </c>
      <c r="C3727" s="178" t="s">
        <v>4949</v>
      </c>
      <c r="D3727" s="36" t="s">
        <v>1683</v>
      </c>
      <c r="E3727" s="36">
        <v>899250.0000000002</v>
      </c>
      <c r="F3727" s="178" t="s">
        <v>112</v>
      </c>
    </row>
    <row r="3728">
      <c r="A3728" s="250">
        <v>45647.69318111111</v>
      </c>
      <c r="B3728" s="251" t="s">
        <v>4049</v>
      </c>
      <c r="C3728" s="178" t="s">
        <v>4950</v>
      </c>
      <c r="D3728" s="36">
        <v>702112.0</v>
      </c>
      <c r="E3728" s="36" t="s">
        <v>1683</v>
      </c>
      <c r="F3728" s="178" t="s">
        <v>305</v>
      </c>
    </row>
    <row r="3729">
      <c r="A3729" s="250">
        <v>45647.69318111111</v>
      </c>
      <c r="B3729" s="251" t="s">
        <v>1698</v>
      </c>
      <c r="C3729" s="178" t="s">
        <v>4934</v>
      </c>
      <c r="D3729" s="36" t="s">
        <v>1683</v>
      </c>
      <c r="E3729" s="36">
        <v>702112.0</v>
      </c>
      <c r="F3729" s="178" t="s">
        <v>305</v>
      </c>
    </row>
    <row r="3730">
      <c r="A3730" s="250">
        <v>45647.69320111111</v>
      </c>
      <c r="B3730" s="251" t="s">
        <v>3387</v>
      </c>
      <c r="C3730" s="178" t="s">
        <v>4951</v>
      </c>
      <c r="D3730" s="36">
        <v>1736987.0000000002</v>
      </c>
      <c r="E3730" s="36" t="s">
        <v>1683</v>
      </c>
      <c r="F3730" s="178" t="s">
        <v>305</v>
      </c>
    </row>
    <row r="3731">
      <c r="A3731" s="250">
        <v>45647.69320111111</v>
      </c>
      <c r="B3731" s="251" t="s">
        <v>1698</v>
      </c>
      <c r="C3731" s="178" t="s">
        <v>4936</v>
      </c>
      <c r="D3731" s="36" t="s">
        <v>1683</v>
      </c>
      <c r="E3731" s="36">
        <v>1736987.0000000002</v>
      </c>
      <c r="F3731" s="178" t="s">
        <v>305</v>
      </c>
    </row>
    <row r="3732">
      <c r="A3732" s="250">
        <v>45648.43291888889</v>
      </c>
      <c r="B3732" s="251" t="s">
        <v>3257</v>
      </c>
      <c r="C3732" s="178" t="s">
        <v>4952</v>
      </c>
      <c r="D3732" s="36">
        <v>130199.99999999996</v>
      </c>
      <c r="E3732" s="36" t="s">
        <v>1683</v>
      </c>
      <c r="F3732" s="178" t="s">
        <v>361</v>
      </c>
    </row>
    <row r="3733">
      <c r="A3733" s="250">
        <v>45648.43291888889</v>
      </c>
      <c r="B3733" s="251" t="s">
        <v>1698</v>
      </c>
      <c r="C3733" s="178" t="s">
        <v>4940</v>
      </c>
      <c r="D3733" s="36" t="s">
        <v>1683</v>
      </c>
      <c r="E3733" s="36">
        <v>130199.99999999996</v>
      </c>
      <c r="F3733" s="178" t="s">
        <v>361</v>
      </c>
    </row>
    <row r="3734">
      <c r="A3734" s="250">
        <v>45649.38412333333</v>
      </c>
      <c r="B3734" s="251" t="s">
        <v>3264</v>
      </c>
      <c r="C3734" s="178" t="s">
        <v>4953</v>
      </c>
      <c r="D3734" s="36">
        <v>1451353.9999999998</v>
      </c>
      <c r="E3734" s="36" t="s">
        <v>1683</v>
      </c>
      <c r="F3734" s="178" t="s">
        <v>199</v>
      </c>
    </row>
    <row r="3735">
      <c r="A3735" s="250">
        <v>45649.38412333333</v>
      </c>
      <c r="B3735" s="251" t="s">
        <v>1698</v>
      </c>
      <c r="C3735" s="178" t="s">
        <v>4932</v>
      </c>
      <c r="D3735" s="36" t="s">
        <v>1683</v>
      </c>
      <c r="E3735" s="36">
        <v>1451353.9999999998</v>
      </c>
      <c r="F3735" s="178" t="s">
        <v>199</v>
      </c>
    </row>
    <row r="3736">
      <c r="A3736" s="250">
        <v>45649.70443666667</v>
      </c>
      <c r="B3736" s="251" t="s">
        <v>1693</v>
      </c>
      <c r="C3736" s="178" t="s">
        <v>4954</v>
      </c>
      <c r="D3736" s="36">
        <v>2811100.0</v>
      </c>
      <c r="E3736" s="36" t="s">
        <v>1683</v>
      </c>
      <c r="F3736" s="178" t="s">
        <v>360</v>
      </c>
    </row>
    <row r="3737">
      <c r="A3737" s="250">
        <v>45649.70443666667</v>
      </c>
      <c r="B3737" s="251" t="s">
        <v>1684</v>
      </c>
      <c r="C3737" s="178" t="s">
        <v>4955</v>
      </c>
      <c r="D3737" s="36" t="s">
        <v>1683</v>
      </c>
      <c r="E3737" s="36">
        <v>2811100.0</v>
      </c>
      <c r="F3737" s="178" t="s">
        <v>360</v>
      </c>
    </row>
    <row r="3738">
      <c r="A3738" s="250">
        <v>45652.42527</v>
      </c>
      <c r="B3738" s="251" t="s">
        <v>3257</v>
      </c>
      <c r="C3738" s="178" t="s">
        <v>4956</v>
      </c>
      <c r="D3738" s="36">
        <v>2811100.0</v>
      </c>
      <c r="E3738" s="36" t="s">
        <v>1683</v>
      </c>
      <c r="F3738" s="178" t="s">
        <v>360</v>
      </c>
    </row>
    <row r="3739">
      <c r="A3739" s="250">
        <v>45652.42527</v>
      </c>
      <c r="B3739" s="251" t="s">
        <v>1698</v>
      </c>
      <c r="C3739" s="178" t="s">
        <v>4954</v>
      </c>
      <c r="D3739" s="36" t="s">
        <v>1683</v>
      </c>
      <c r="E3739" s="36">
        <v>2811100.0</v>
      </c>
      <c r="F3739" s="178" t="s">
        <v>360</v>
      </c>
    </row>
    <row r="3740">
      <c r="A3740" s="250">
        <v>45652.51051222222</v>
      </c>
      <c r="B3740" s="251" t="s">
        <v>3017</v>
      </c>
      <c r="C3740" s="178" t="s">
        <v>4957</v>
      </c>
      <c r="D3740" s="36">
        <v>899250.0000000002</v>
      </c>
      <c r="E3740" s="36" t="s">
        <v>1683</v>
      </c>
      <c r="F3740" s="178" t="s">
        <v>112</v>
      </c>
    </row>
    <row r="3741">
      <c r="A3741" s="250">
        <v>45652.51051222222</v>
      </c>
      <c r="B3741" s="251" t="s">
        <v>1698</v>
      </c>
      <c r="C3741" s="178" t="s">
        <v>4948</v>
      </c>
      <c r="D3741" s="36" t="s">
        <v>1683</v>
      </c>
      <c r="E3741" s="36">
        <v>899250.0000000002</v>
      </c>
      <c r="F3741" s="178" t="s">
        <v>112</v>
      </c>
    </row>
    <row r="3742">
      <c r="A3742" s="250">
        <v>45666.773002222224</v>
      </c>
      <c r="B3742" s="251" t="s">
        <v>1693</v>
      </c>
      <c r="C3742" s="178" t="s">
        <v>4958</v>
      </c>
      <c r="D3742" s="36">
        <v>457000.0000000001</v>
      </c>
      <c r="E3742" s="36" t="s">
        <v>1683</v>
      </c>
      <c r="F3742" s="178" t="s">
        <v>111</v>
      </c>
    </row>
    <row r="3743">
      <c r="A3743" s="250">
        <v>45666.773002222224</v>
      </c>
      <c r="B3743" s="251" t="s">
        <v>1684</v>
      </c>
      <c r="C3743" s="178" t="s">
        <v>4959</v>
      </c>
      <c r="D3743" s="36" t="s">
        <v>1683</v>
      </c>
      <c r="E3743" s="36">
        <v>457000.0000000001</v>
      </c>
      <c r="F3743" s="178" t="s">
        <v>111</v>
      </c>
    </row>
    <row r="3744">
      <c r="A3744" s="250">
        <v>45666.78475777778</v>
      </c>
      <c r="B3744" s="251" t="s">
        <v>1607</v>
      </c>
      <c r="C3744" s="178" t="s">
        <v>4960</v>
      </c>
      <c r="D3744" s="36">
        <v>70150.0</v>
      </c>
      <c r="E3744" s="36" t="s">
        <v>1683</v>
      </c>
      <c r="F3744" s="178" t="s">
        <v>1667</v>
      </c>
    </row>
    <row r="3745">
      <c r="A3745" s="250">
        <v>45666.78475777778</v>
      </c>
      <c r="B3745" s="251" t="s">
        <v>1684</v>
      </c>
      <c r="C3745" s="178" t="s">
        <v>4961</v>
      </c>
      <c r="D3745" s="36" t="s">
        <v>1683</v>
      </c>
      <c r="E3745" s="36">
        <v>70150.0</v>
      </c>
      <c r="F3745" s="178" t="s">
        <v>1667</v>
      </c>
    </row>
    <row r="3746">
      <c r="A3746" s="250">
        <v>45666.78496777778</v>
      </c>
      <c r="B3746" s="251" t="s">
        <v>1693</v>
      </c>
      <c r="C3746" s="178" t="s">
        <v>4962</v>
      </c>
      <c r="D3746" s="36">
        <v>2764155.0000000005</v>
      </c>
      <c r="E3746" s="36" t="s">
        <v>1683</v>
      </c>
      <c r="F3746" s="178" t="s">
        <v>897</v>
      </c>
    </row>
    <row r="3747">
      <c r="A3747" s="250">
        <v>45666.78496777778</v>
      </c>
      <c r="B3747" s="251" t="s">
        <v>1684</v>
      </c>
      <c r="C3747" s="178" t="s">
        <v>4963</v>
      </c>
      <c r="D3747" s="36" t="s">
        <v>1683</v>
      </c>
      <c r="E3747" s="36">
        <v>2764155.0000000005</v>
      </c>
      <c r="F3747" s="178" t="s">
        <v>897</v>
      </c>
    </row>
    <row r="3748">
      <c r="A3748" s="250">
        <v>45667.73705111111</v>
      </c>
      <c r="B3748" s="251" t="s">
        <v>3243</v>
      </c>
      <c r="C3748" s="178" t="s">
        <v>4964</v>
      </c>
      <c r="D3748" s="36">
        <v>2764155.0000000005</v>
      </c>
      <c r="E3748" s="36" t="s">
        <v>1683</v>
      </c>
      <c r="F3748" s="178" t="s">
        <v>897</v>
      </c>
    </row>
    <row r="3749">
      <c r="A3749" s="250">
        <v>45667.73705111111</v>
      </c>
      <c r="B3749" s="251" t="s">
        <v>1698</v>
      </c>
      <c r="C3749" s="178" t="s">
        <v>4962</v>
      </c>
      <c r="D3749" s="36" t="s">
        <v>1683</v>
      </c>
      <c r="E3749" s="36">
        <v>2764155.0000000005</v>
      </c>
      <c r="F3749" s="178" t="s">
        <v>897</v>
      </c>
    </row>
    <row r="3750">
      <c r="A3750" s="250">
        <v>45671.58133555556</v>
      </c>
      <c r="B3750" s="251" t="s">
        <v>3017</v>
      </c>
      <c r="C3750" s="178" t="s">
        <v>4965</v>
      </c>
      <c r="D3750" s="36">
        <v>457000.0000000001</v>
      </c>
      <c r="E3750" s="36" t="s">
        <v>1683</v>
      </c>
      <c r="F3750" s="178" t="s">
        <v>111</v>
      </c>
    </row>
    <row r="3751">
      <c r="A3751" s="250">
        <v>45671.58133555556</v>
      </c>
      <c r="B3751" s="251" t="s">
        <v>1698</v>
      </c>
      <c r="C3751" s="178" t="s">
        <v>4958</v>
      </c>
      <c r="D3751" s="36" t="s">
        <v>1683</v>
      </c>
      <c r="E3751" s="36">
        <v>457000.0000000001</v>
      </c>
      <c r="F3751" s="178" t="s">
        <v>111</v>
      </c>
    </row>
    <row r="3752">
      <c r="A3752" s="250">
        <v>45677.70930333334</v>
      </c>
      <c r="B3752" s="251" t="s">
        <v>2996</v>
      </c>
      <c r="C3752" s="178" t="s">
        <v>4966</v>
      </c>
      <c r="D3752" s="36">
        <v>413.25</v>
      </c>
      <c r="E3752" s="36" t="s">
        <v>1683</v>
      </c>
      <c r="F3752" s="178" t="s">
        <v>1683</v>
      </c>
    </row>
    <row r="3753">
      <c r="A3753" s="250">
        <v>45677.70930333334</v>
      </c>
      <c r="B3753" s="251" t="s">
        <v>3326</v>
      </c>
      <c r="C3753" s="178" t="s">
        <v>4967</v>
      </c>
      <c r="D3753" s="36" t="s">
        <v>1683</v>
      </c>
      <c r="E3753" s="36">
        <v>413.25</v>
      </c>
      <c r="F3753" s="178" t="s">
        <v>1683</v>
      </c>
    </row>
    <row r="3754">
      <c r="A3754" s="250">
        <v>45677.77097888889</v>
      </c>
      <c r="B3754" s="251" t="s">
        <v>1693</v>
      </c>
      <c r="C3754" s="178" t="s">
        <v>4968</v>
      </c>
      <c r="D3754" s="36">
        <v>30290.000000000004</v>
      </c>
      <c r="E3754" s="36" t="s">
        <v>1683</v>
      </c>
      <c r="F3754" s="178" t="s">
        <v>792</v>
      </c>
    </row>
    <row r="3755">
      <c r="A3755" s="250">
        <v>45677.77097888889</v>
      </c>
      <c r="B3755" s="251" t="s">
        <v>1684</v>
      </c>
      <c r="C3755" s="178" t="s">
        <v>4969</v>
      </c>
      <c r="D3755" s="36" t="s">
        <v>1683</v>
      </c>
      <c r="E3755" s="36">
        <v>30290.000000000004</v>
      </c>
      <c r="F3755" s="178" t="s">
        <v>792</v>
      </c>
    </row>
    <row r="3756">
      <c r="A3756" s="250">
        <v>45679.60434666667</v>
      </c>
      <c r="B3756" s="251" t="s">
        <v>3006</v>
      </c>
      <c r="C3756" s="178" t="s">
        <v>4970</v>
      </c>
      <c r="D3756" s="36">
        <v>2080817.0</v>
      </c>
      <c r="E3756" s="36" t="s">
        <v>1683</v>
      </c>
      <c r="F3756" s="178" t="s">
        <v>104</v>
      </c>
    </row>
    <row r="3757">
      <c r="A3757" s="250">
        <v>45679.60434666667</v>
      </c>
      <c r="B3757" s="251" t="s">
        <v>1684</v>
      </c>
      <c r="C3757" s="178" t="s">
        <v>4971</v>
      </c>
      <c r="D3757" s="36" t="s">
        <v>1683</v>
      </c>
      <c r="E3757" s="36">
        <v>2080817.0</v>
      </c>
      <c r="F3757" s="178" t="s">
        <v>104</v>
      </c>
    </row>
    <row r="3758">
      <c r="A3758" s="250">
        <v>45679.60493666666</v>
      </c>
      <c r="B3758" s="251" t="s">
        <v>3006</v>
      </c>
      <c r="C3758" s="178" t="s">
        <v>4972</v>
      </c>
      <c r="D3758" s="36">
        <v>2214983.0</v>
      </c>
      <c r="E3758" s="36" t="s">
        <v>1683</v>
      </c>
      <c r="F3758" s="178" t="s">
        <v>104</v>
      </c>
    </row>
    <row r="3759">
      <c r="A3759" s="250">
        <v>45679.60493666666</v>
      </c>
      <c r="B3759" s="251" t="s">
        <v>1684</v>
      </c>
      <c r="C3759" s="178" t="s">
        <v>4973</v>
      </c>
      <c r="D3759" s="36" t="s">
        <v>1683</v>
      </c>
      <c r="E3759" s="36">
        <v>2214983.0</v>
      </c>
      <c r="F3759" s="178" t="s">
        <v>104</v>
      </c>
    </row>
    <row r="3760">
      <c r="A3760" s="250">
        <v>45680.40361777778</v>
      </c>
      <c r="B3760" s="251" t="s">
        <v>2996</v>
      </c>
      <c r="C3760" s="178" t="s">
        <v>4974</v>
      </c>
      <c r="D3760" s="36">
        <v>30290.000000000004</v>
      </c>
      <c r="E3760" s="36" t="s">
        <v>1683</v>
      </c>
      <c r="F3760" s="178" t="s">
        <v>792</v>
      </c>
    </row>
    <row r="3761">
      <c r="A3761" s="250">
        <v>45680.40361777778</v>
      </c>
      <c r="B3761" s="251" t="s">
        <v>1698</v>
      </c>
      <c r="C3761" s="178" t="s">
        <v>4968</v>
      </c>
      <c r="D3761" s="36" t="s">
        <v>1683</v>
      </c>
      <c r="E3761" s="36">
        <v>30290.000000000004</v>
      </c>
      <c r="F3761" s="178" t="s">
        <v>792</v>
      </c>
    </row>
    <row r="3762">
      <c r="A3762" s="250">
        <v>45681.60434666667</v>
      </c>
      <c r="B3762" s="251" t="s">
        <v>3020</v>
      </c>
      <c r="C3762" s="178" t="s">
        <v>4975</v>
      </c>
      <c r="D3762" s="36">
        <v>2080817.0</v>
      </c>
      <c r="E3762" s="36" t="s">
        <v>1683</v>
      </c>
      <c r="F3762" s="178" t="s">
        <v>104</v>
      </c>
    </row>
    <row r="3763">
      <c r="A3763" s="250">
        <v>45681.60434666667</v>
      </c>
      <c r="B3763" s="251" t="s">
        <v>3019</v>
      </c>
      <c r="C3763" s="178" t="s">
        <v>4970</v>
      </c>
      <c r="D3763" s="36" t="s">
        <v>1683</v>
      </c>
      <c r="E3763" s="36">
        <v>2080817.0</v>
      </c>
      <c r="F3763" s="178" t="s">
        <v>104</v>
      </c>
    </row>
    <row r="3764">
      <c r="A3764" s="250">
        <v>45681.60493666666</v>
      </c>
      <c r="B3764" s="251" t="s">
        <v>3017</v>
      </c>
      <c r="C3764" s="178" t="s">
        <v>4976</v>
      </c>
      <c r="D3764" s="36">
        <v>2214983.0</v>
      </c>
      <c r="E3764" s="36" t="s">
        <v>1683</v>
      </c>
      <c r="F3764" s="178" t="s">
        <v>104</v>
      </c>
    </row>
    <row r="3765">
      <c r="A3765" s="250">
        <v>45681.60493666666</v>
      </c>
      <c r="B3765" s="251" t="s">
        <v>3019</v>
      </c>
      <c r="C3765" s="178" t="s">
        <v>4972</v>
      </c>
      <c r="D3765" s="36" t="s">
        <v>1683</v>
      </c>
      <c r="E3765" s="36">
        <v>2214983.0</v>
      </c>
      <c r="F3765" s="178" t="s">
        <v>104</v>
      </c>
    </row>
    <row r="3766">
      <c r="A3766" s="250">
        <v>45681.918565555556</v>
      </c>
      <c r="B3766" s="251" t="s">
        <v>1693</v>
      </c>
      <c r="C3766" s="178" t="s">
        <v>4977</v>
      </c>
      <c r="D3766" s="36">
        <v>91330.0</v>
      </c>
      <c r="E3766" s="36" t="s">
        <v>1683</v>
      </c>
      <c r="F3766" s="178" t="s">
        <v>959</v>
      </c>
    </row>
    <row r="3767">
      <c r="A3767" s="250">
        <v>45681.918565555556</v>
      </c>
      <c r="B3767" s="251" t="s">
        <v>1684</v>
      </c>
      <c r="C3767" s="178" t="s">
        <v>4978</v>
      </c>
      <c r="D3767" s="36" t="s">
        <v>1683</v>
      </c>
      <c r="E3767" s="36">
        <v>91330.0</v>
      </c>
      <c r="F3767" s="178" t="s">
        <v>959</v>
      </c>
    </row>
    <row r="3768">
      <c r="A3768" s="250">
        <v>45682.02744333333</v>
      </c>
      <c r="B3768" s="251" t="s">
        <v>1693</v>
      </c>
      <c r="C3768" s="178" t="s">
        <v>4979</v>
      </c>
      <c r="D3768" s="36">
        <v>660186.0</v>
      </c>
      <c r="E3768" s="36" t="s">
        <v>1683</v>
      </c>
      <c r="F3768" s="178" t="s">
        <v>518</v>
      </c>
    </row>
    <row r="3769">
      <c r="A3769" s="250">
        <v>45682.02744333333</v>
      </c>
      <c r="B3769" s="251" t="s">
        <v>1684</v>
      </c>
      <c r="C3769" s="178" t="s">
        <v>4980</v>
      </c>
      <c r="D3769" s="36" t="s">
        <v>1683</v>
      </c>
      <c r="E3769" s="36">
        <v>660186.0</v>
      </c>
      <c r="F3769" s="178" t="s">
        <v>518</v>
      </c>
    </row>
    <row r="3770">
      <c r="A3770" s="250">
        <v>45682.027724907406</v>
      </c>
      <c r="B3770" s="251" t="s">
        <v>1693</v>
      </c>
      <c r="C3770" s="178" t="s">
        <v>4981</v>
      </c>
      <c r="D3770" s="36">
        <v>105642.0</v>
      </c>
      <c r="E3770" s="36" t="s">
        <v>1683</v>
      </c>
      <c r="F3770" s="178" t="s">
        <v>183</v>
      </c>
    </row>
    <row r="3771">
      <c r="A3771" s="250">
        <v>45682.027724907406</v>
      </c>
      <c r="B3771" s="251" t="s">
        <v>1684</v>
      </c>
      <c r="C3771" s="178" t="s">
        <v>4982</v>
      </c>
      <c r="D3771" s="36" t="s">
        <v>1683</v>
      </c>
      <c r="E3771" s="36">
        <v>105642.0</v>
      </c>
      <c r="F3771" s="178" t="s">
        <v>183</v>
      </c>
    </row>
    <row r="3772">
      <c r="A3772" s="250">
        <v>45682.0277949074</v>
      </c>
      <c r="B3772" s="251" t="s">
        <v>1693</v>
      </c>
      <c r="C3772" s="178" t="s">
        <v>4983</v>
      </c>
      <c r="D3772" s="36">
        <v>1512239.9999999998</v>
      </c>
      <c r="E3772" s="36" t="s">
        <v>1683</v>
      </c>
      <c r="F3772" s="178" t="s">
        <v>183</v>
      </c>
    </row>
    <row r="3773">
      <c r="A3773" s="250">
        <v>45682.0277949074</v>
      </c>
      <c r="B3773" s="251" t="s">
        <v>1684</v>
      </c>
      <c r="C3773" s="178" t="s">
        <v>4984</v>
      </c>
      <c r="D3773" s="36" t="s">
        <v>1683</v>
      </c>
      <c r="E3773" s="36">
        <v>1512239.9999999998</v>
      </c>
      <c r="F3773" s="178" t="s">
        <v>183</v>
      </c>
    </row>
    <row r="3774">
      <c r="A3774" s="250">
        <v>45682.02783333333</v>
      </c>
      <c r="B3774" s="251" t="s">
        <v>1693</v>
      </c>
      <c r="C3774" s="178" t="s">
        <v>4985</v>
      </c>
      <c r="D3774" s="36">
        <v>726185.9999999999</v>
      </c>
      <c r="E3774" s="36" t="s">
        <v>1683</v>
      </c>
      <c r="F3774" s="178" t="s">
        <v>518</v>
      </c>
    </row>
    <row r="3775">
      <c r="A3775" s="250">
        <v>45682.02783333333</v>
      </c>
      <c r="B3775" s="251" t="s">
        <v>1684</v>
      </c>
      <c r="C3775" s="178" t="s">
        <v>4986</v>
      </c>
      <c r="D3775" s="36" t="s">
        <v>1683</v>
      </c>
      <c r="E3775" s="36">
        <v>726185.9999999999</v>
      </c>
      <c r="F3775" s="178" t="s">
        <v>518</v>
      </c>
    </row>
    <row r="3776">
      <c r="A3776" s="250">
        <v>45682.028073333335</v>
      </c>
      <c r="B3776" s="251" t="s">
        <v>1693</v>
      </c>
      <c r="C3776" s="178" t="s">
        <v>4987</v>
      </c>
      <c r="D3776" s="36">
        <v>660186.0</v>
      </c>
      <c r="E3776" s="36" t="s">
        <v>1683</v>
      </c>
      <c r="F3776" s="178" t="s">
        <v>518</v>
      </c>
    </row>
    <row r="3777">
      <c r="A3777" s="250">
        <v>45682.028073333335</v>
      </c>
      <c r="B3777" s="251" t="s">
        <v>1684</v>
      </c>
      <c r="C3777" s="178" t="s">
        <v>4988</v>
      </c>
      <c r="D3777" s="36" t="s">
        <v>1683</v>
      </c>
      <c r="E3777" s="36">
        <v>660186.0</v>
      </c>
      <c r="F3777" s="178" t="s">
        <v>518</v>
      </c>
    </row>
    <row r="3778">
      <c r="A3778" s="250">
        <v>45683.08628111111</v>
      </c>
      <c r="B3778" s="251" t="s">
        <v>1783</v>
      </c>
      <c r="C3778" s="178" t="s">
        <v>4989</v>
      </c>
      <c r="D3778" s="36">
        <v>20889.999999999993</v>
      </c>
      <c r="E3778" s="36" t="s">
        <v>1683</v>
      </c>
      <c r="F3778" s="178" t="s">
        <v>462</v>
      </c>
    </row>
    <row r="3779">
      <c r="A3779" s="250">
        <v>45683.08628111111</v>
      </c>
      <c r="B3779" s="251" t="s">
        <v>1684</v>
      </c>
      <c r="C3779" s="178" t="s">
        <v>4990</v>
      </c>
      <c r="D3779" s="36" t="s">
        <v>1683</v>
      </c>
      <c r="E3779" s="36">
        <v>20889.999999999993</v>
      </c>
      <c r="F3779" s="178" t="s">
        <v>462</v>
      </c>
    </row>
    <row r="3780">
      <c r="A3780" s="250">
        <v>45684.176454444445</v>
      </c>
      <c r="B3780" s="251" t="s">
        <v>1693</v>
      </c>
      <c r="C3780" s="178" t="s">
        <v>4991</v>
      </c>
      <c r="D3780" s="36">
        <v>900250.0</v>
      </c>
      <c r="E3780" s="36" t="s">
        <v>1683</v>
      </c>
      <c r="F3780" s="178" t="s">
        <v>110</v>
      </c>
    </row>
    <row r="3781">
      <c r="A3781" s="250">
        <v>45684.176454444445</v>
      </c>
      <c r="B3781" s="251" t="s">
        <v>1684</v>
      </c>
      <c r="C3781" s="178" t="s">
        <v>4992</v>
      </c>
      <c r="D3781" s="36" t="s">
        <v>1683</v>
      </c>
      <c r="E3781" s="36">
        <v>900250.0</v>
      </c>
      <c r="F3781" s="178" t="s">
        <v>110</v>
      </c>
    </row>
    <row r="3782">
      <c r="A3782" s="250">
        <v>45684.69229666667</v>
      </c>
      <c r="B3782" s="251" t="s">
        <v>2068</v>
      </c>
      <c r="C3782" s="178" t="s">
        <v>4993</v>
      </c>
      <c r="D3782" s="36">
        <v>105642.0</v>
      </c>
      <c r="E3782" s="36" t="s">
        <v>1683</v>
      </c>
      <c r="F3782" s="178" t="s">
        <v>183</v>
      </c>
    </row>
    <row r="3783">
      <c r="A3783" s="250">
        <v>45684.69229666667</v>
      </c>
      <c r="B3783" s="251" t="s">
        <v>1698</v>
      </c>
      <c r="C3783" s="178" t="s">
        <v>4981</v>
      </c>
      <c r="D3783" s="36" t="s">
        <v>1683</v>
      </c>
      <c r="E3783" s="36">
        <v>105642.0</v>
      </c>
      <c r="F3783" s="178" t="s">
        <v>183</v>
      </c>
    </row>
    <row r="3784">
      <c r="A3784" s="250">
        <v>45684.69236666666</v>
      </c>
      <c r="B3784" s="251" t="s">
        <v>2064</v>
      </c>
      <c r="C3784" s="178" t="s">
        <v>4994</v>
      </c>
      <c r="D3784" s="36">
        <v>1512239.9999999998</v>
      </c>
      <c r="E3784" s="36" t="s">
        <v>1683</v>
      </c>
      <c r="F3784" s="178" t="s">
        <v>183</v>
      </c>
    </row>
    <row r="3785">
      <c r="A3785" s="250">
        <v>45684.69236666666</v>
      </c>
      <c r="B3785" s="251" t="s">
        <v>1698</v>
      </c>
      <c r="C3785" s="178" t="s">
        <v>4983</v>
      </c>
      <c r="D3785" s="36" t="s">
        <v>1683</v>
      </c>
      <c r="E3785" s="36">
        <v>1512239.9999999998</v>
      </c>
      <c r="F3785" s="178" t="s">
        <v>183</v>
      </c>
    </row>
    <row r="3786">
      <c r="A3786" s="250">
        <v>45685.32064888889</v>
      </c>
      <c r="B3786" s="251" t="s">
        <v>4526</v>
      </c>
      <c r="C3786" s="178" t="s">
        <v>4995</v>
      </c>
      <c r="D3786" s="36">
        <v>91330.0</v>
      </c>
      <c r="E3786" s="36" t="s">
        <v>1683</v>
      </c>
      <c r="F3786" s="178" t="s">
        <v>959</v>
      </c>
    </row>
    <row r="3787">
      <c r="A3787" s="250">
        <v>45685.32064888889</v>
      </c>
      <c r="B3787" s="251" t="s">
        <v>1698</v>
      </c>
      <c r="C3787" s="178" t="s">
        <v>4977</v>
      </c>
      <c r="D3787" s="36" t="s">
        <v>1683</v>
      </c>
      <c r="E3787" s="36">
        <v>91330.0</v>
      </c>
      <c r="F3787" s="178" t="s">
        <v>959</v>
      </c>
    </row>
    <row r="3788">
      <c r="A3788" s="250">
        <v>45685.47258222222</v>
      </c>
      <c r="B3788" s="251" t="s">
        <v>1786</v>
      </c>
      <c r="C3788" s="178" t="s">
        <v>4996</v>
      </c>
      <c r="D3788" s="36">
        <v>660186.0</v>
      </c>
      <c r="E3788" s="36" t="s">
        <v>1683</v>
      </c>
      <c r="F3788" s="178" t="s">
        <v>518</v>
      </c>
    </row>
    <row r="3789">
      <c r="A3789" s="250">
        <v>45685.47258222222</v>
      </c>
      <c r="B3789" s="251" t="s">
        <v>1698</v>
      </c>
      <c r="C3789" s="178" t="s">
        <v>4979</v>
      </c>
      <c r="D3789" s="36" t="s">
        <v>1683</v>
      </c>
      <c r="E3789" s="36">
        <v>660186.0</v>
      </c>
      <c r="F3789" s="178" t="s">
        <v>518</v>
      </c>
    </row>
    <row r="3790">
      <c r="A3790" s="250">
        <v>45685.47297222222</v>
      </c>
      <c r="B3790" s="251" t="s">
        <v>1793</v>
      </c>
      <c r="C3790" s="178" t="s">
        <v>4997</v>
      </c>
      <c r="D3790" s="36">
        <v>726185.9999999999</v>
      </c>
      <c r="E3790" s="36" t="s">
        <v>1683</v>
      </c>
      <c r="F3790" s="178" t="s">
        <v>518</v>
      </c>
    </row>
    <row r="3791">
      <c r="A3791" s="250">
        <v>45685.47297222222</v>
      </c>
      <c r="B3791" s="251" t="s">
        <v>1698</v>
      </c>
      <c r="C3791" s="178" t="s">
        <v>4985</v>
      </c>
      <c r="D3791" s="36" t="s">
        <v>1683</v>
      </c>
      <c r="E3791" s="36">
        <v>726185.9999999999</v>
      </c>
      <c r="F3791" s="178" t="s">
        <v>518</v>
      </c>
    </row>
    <row r="3792">
      <c r="A3792" s="250">
        <v>45685.47321222222</v>
      </c>
      <c r="B3792" s="251" t="s">
        <v>1774</v>
      </c>
      <c r="C3792" s="178" t="s">
        <v>4998</v>
      </c>
      <c r="D3792" s="36">
        <v>660186.0</v>
      </c>
      <c r="E3792" s="36" t="s">
        <v>1683</v>
      </c>
      <c r="F3792" s="178" t="s">
        <v>518</v>
      </c>
    </row>
    <row r="3793">
      <c r="A3793" s="250">
        <v>45685.47321222222</v>
      </c>
      <c r="B3793" s="251" t="s">
        <v>1698</v>
      </c>
      <c r="C3793" s="178" t="s">
        <v>4987</v>
      </c>
      <c r="D3793" s="36" t="s">
        <v>1683</v>
      </c>
      <c r="E3793" s="36">
        <v>660186.0</v>
      </c>
      <c r="F3793" s="178" t="s">
        <v>518</v>
      </c>
    </row>
    <row r="3794">
      <c r="A3794" s="250">
        <v>45685.533448888884</v>
      </c>
      <c r="B3794" s="251" t="s">
        <v>3913</v>
      </c>
      <c r="C3794" s="178" t="s">
        <v>4999</v>
      </c>
      <c r="D3794" s="36">
        <v>91100.00000000001</v>
      </c>
      <c r="E3794" s="36" t="s">
        <v>1683</v>
      </c>
      <c r="F3794" s="178" t="s">
        <v>605</v>
      </c>
    </row>
    <row r="3795">
      <c r="A3795" s="250">
        <v>45685.533448888884</v>
      </c>
      <c r="B3795" s="251" t="s">
        <v>1698</v>
      </c>
      <c r="C3795" s="178" t="s">
        <v>3255</v>
      </c>
      <c r="D3795" s="36" t="s">
        <v>1683</v>
      </c>
      <c r="E3795" s="36">
        <v>91100.00000000001</v>
      </c>
      <c r="F3795" s="178" t="s">
        <v>605</v>
      </c>
    </row>
    <row r="3796">
      <c r="A3796" s="250">
        <v>45687.58905888889</v>
      </c>
      <c r="B3796" s="251" t="s">
        <v>3916</v>
      </c>
      <c r="C3796" s="178" t="s">
        <v>5000</v>
      </c>
      <c r="D3796" s="36">
        <v>20889.999999999993</v>
      </c>
      <c r="E3796" s="36" t="s">
        <v>1683</v>
      </c>
      <c r="F3796" s="178" t="s">
        <v>462</v>
      </c>
    </row>
    <row r="3797">
      <c r="A3797" s="250">
        <v>45687.58905888889</v>
      </c>
      <c r="B3797" s="251" t="s">
        <v>1802</v>
      </c>
      <c r="C3797" s="178" t="s">
        <v>4989</v>
      </c>
      <c r="D3797" s="36" t="s">
        <v>1683</v>
      </c>
      <c r="E3797" s="36">
        <v>20889.999999999993</v>
      </c>
      <c r="F3797" s="178" t="s">
        <v>462</v>
      </c>
    </row>
    <row r="3798">
      <c r="A3798" s="250">
        <v>45690.15342777778</v>
      </c>
      <c r="B3798" s="251" t="s">
        <v>1693</v>
      </c>
      <c r="C3798" s="178" t="s">
        <v>5001</v>
      </c>
      <c r="D3798" s="36">
        <v>173800.0</v>
      </c>
      <c r="E3798" s="36" t="s">
        <v>1683</v>
      </c>
      <c r="F3798" s="178" t="s">
        <v>873</v>
      </c>
    </row>
    <row r="3799">
      <c r="A3799" s="250">
        <v>45690.15342777778</v>
      </c>
      <c r="B3799" s="251" t="s">
        <v>1684</v>
      </c>
      <c r="C3799" s="178" t="s">
        <v>5002</v>
      </c>
      <c r="D3799" s="36" t="s">
        <v>1683</v>
      </c>
      <c r="E3799" s="36">
        <v>173800.0</v>
      </c>
      <c r="F3799" s="178" t="s">
        <v>873</v>
      </c>
    </row>
    <row r="3800">
      <c r="A3800" s="250">
        <v>45690.17608444444</v>
      </c>
      <c r="B3800" s="251" t="s">
        <v>1693</v>
      </c>
      <c r="C3800" s="178" t="s">
        <v>5003</v>
      </c>
      <c r="D3800" s="36">
        <v>2693536.0</v>
      </c>
      <c r="E3800" s="36" t="s">
        <v>1683</v>
      </c>
      <c r="F3800" s="178" t="s">
        <v>80</v>
      </c>
    </row>
    <row r="3801">
      <c r="A3801" s="250">
        <v>45690.17608444444</v>
      </c>
      <c r="B3801" s="251" t="s">
        <v>1684</v>
      </c>
      <c r="C3801" s="178" t="s">
        <v>5004</v>
      </c>
      <c r="D3801" s="36" t="s">
        <v>1683</v>
      </c>
      <c r="E3801" s="36">
        <v>2693536.0</v>
      </c>
      <c r="F3801" s="178" t="s">
        <v>80</v>
      </c>
    </row>
    <row r="3802">
      <c r="A3802" s="250">
        <v>45690.17623444444</v>
      </c>
      <c r="B3802" s="251" t="s">
        <v>1693</v>
      </c>
      <c r="C3802" s="178" t="s">
        <v>5005</v>
      </c>
      <c r="D3802" s="36">
        <v>397428.00000000006</v>
      </c>
      <c r="E3802" s="36" t="s">
        <v>1683</v>
      </c>
      <c r="F3802" s="178" t="s">
        <v>859</v>
      </c>
    </row>
    <row r="3803">
      <c r="A3803" s="250">
        <v>45690.17623444444</v>
      </c>
      <c r="B3803" s="251" t="s">
        <v>1684</v>
      </c>
      <c r="C3803" s="178" t="s">
        <v>5006</v>
      </c>
      <c r="D3803" s="36" t="s">
        <v>1683</v>
      </c>
      <c r="E3803" s="36">
        <v>397428.00000000006</v>
      </c>
      <c r="F3803" s="178" t="s">
        <v>859</v>
      </c>
    </row>
    <row r="3804">
      <c r="A3804" s="250">
        <v>45690.293695555556</v>
      </c>
      <c r="B3804" s="251" t="s">
        <v>1693</v>
      </c>
      <c r="C3804" s="178" t="s">
        <v>5007</v>
      </c>
      <c r="D3804" s="36">
        <v>173800.0</v>
      </c>
      <c r="E3804" s="36" t="s">
        <v>1683</v>
      </c>
      <c r="F3804" s="178" t="s">
        <v>872</v>
      </c>
    </row>
    <row r="3805">
      <c r="A3805" s="250">
        <v>45690.293695555556</v>
      </c>
      <c r="B3805" s="251" t="s">
        <v>1684</v>
      </c>
      <c r="C3805" s="178" t="s">
        <v>5008</v>
      </c>
      <c r="D3805" s="36" t="s">
        <v>1683</v>
      </c>
      <c r="E3805" s="36">
        <v>173800.0</v>
      </c>
      <c r="F3805" s="178" t="s">
        <v>872</v>
      </c>
    </row>
    <row r="3806">
      <c r="A3806" s="250">
        <v>45690.321797777775</v>
      </c>
      <c r="B3806" s="251" t="s">
        <v>1693</v>
      </c>
      <c r="C3806" s="178" t="s">
        <v>5009</v>
      </c>
      <c r="D3806" s="36">
        <v>1716468.0</v>
      </c>
      <c r="E3806" s="36" t="s">
        <v>1683</v>
      </c>
      <c r="F3806" s="178" t="s">
        <v>244</v>
      </c>
    </row>
    <row r="3807">
      <c r="A3807" s="250">
        <v>45690.321797777775</v>
      </c>
      <c r="B3807" s="251" t="s">
        <v>1684</v>
      </c>
      <c r="C3807" s="178" t="s">
        <v>5010</v>
      </c>
      <c r="D3807" s="36" t="s">
        <v>1683</v>
      </c>
      <c r="E3807" s="36">
        <v>1716468.0</v>
      </c>
      <c r="F3807" s="178" t="s">
        <v>244</v>
      </c>
    </row>
    <row r="3808">
      <c r="A3808" s="250">
        <v>45690.322337777776</v>
      </c>
      <c r="B3808" s="251" t="s">
        <v>1693</v>
      </c>
      <c r="C3808" s="178" t="s">
        <v>5011</v>
      </c>
      <c r="D3808" s="36">
        <v>1240614.9999999998</v>
      </c>
      <c r="E3808" s="36" t="s">
        <v>1683</v>
      </c>
      <c r="F3808" s="178" t="s">
        <v>304</v>
      </c>
    </row>
    <row r="3809">
      <c r="A3809" s="250">
        <v>45690.322337777776</v>
      </c>
      <c r="B3809" s="251" t="s">
        <v>1684</v>
      </c>
      <c r="C3809" s="178" t="s">
        <v>5012</v>
      </c>
      <c r="D3809" s="36" t="s">
        <v>1683</v>
      </c>
      <c r="E3809" s="36">
        <v>1240614.9999999998</v>
      </c>
      <c r="F3809" s="178" t="s">
        <v>304</v>
      </c>
    </row>
    <row r="3810">
      <c r="A3810" s="250">
        <v>45690.32242777778</v>
      </c>
      <c r="B3810" s="251" t="s">
        <v>1693</v>
      </c>
      <c r="C3810" s="178" t="s">
        <v>5013</v>
      </c>
      <c r="D3810" s="36">
        <v>694775.0</v>
      </c>
      <c r="E3810" s="36" t="s">
        <v>1683</v>
      </c>
      <c r="F3810" s="178" t="s">
        <v>312</v>
      </c>
    </row>
    <row r="3811">
      <c r="A3811" s="250">
        <v>45690.32242777778</v>
      </c>
      <c r="B3811" s="251" t="s">
        <v>1684</v>
      </c>
      <c r="C3811" s="178" t="s">
        <v>5014</v>
      </c>
      <c r="D3811" s="36" t="s">
        <v>1683</v>
      </c>
      <c r="E3811" s="36">
        <v>694775.0</v>
      </c>
      <c r="F3811" s="178" t="s">
        <v>312</v>
      </c>
    </row>
    <row r="3812">
      <c r="A3812" s="250">
        <v>45690.40106444444</v>
      </c>
      <c r="B3812" s="251" t="s">
        <v>1783</v>
      </c>
      <c r="C3812" s="178" t="s">
        <v>5015</v>
      </c>
      <c r="D3812" s="36">
        <v>343213.99999999994</v>
      </c>
      <c r="E3812" s="36" t="s">
        <v>1683</v>
      </c>
      <c r="F3812" s="178" t="s">
        <v>371</v>
      </c>
    </row>
    <row r="3813">
      <c r="A3813" s="250">
        <v>45690.40106444444</v>
      </c>
      <c r="B3813" s="251" t="s">
        <v>1684</v>
      </c>
      <c r="C3813" s="178" t="s">
        <v>5016</v>
      </c>
      <c r="D3813" s="36" t="s">
        <v>1683</v>
      </c>
      <c r="E3813" s="36">
        <v>343213.99999999994</v>
      </c>
      <c r="F3813" s="178" t="s">
        <v>371</v>
      </c>
    </row>
    <row r="3814">
      <c r="A3814" s="250">
        <v>45690.47506555556</v>
      </c>
      <c r="B3814" s="251" t="s">
        <v>3017</v>
      </c>
      <c r="C3814" s="178" t="s">
        <v>5017</v>
      </c>
      <c r="D3814" s="36">
        <v>900250.0</v>
      </c>
      <c r="E3814" s="36" t="s">
        <v>1683</v>
      </c>
      <c r="F3814" s="178" t="s">
        <v>110</v>
      </c>
    </row>
    <row r="3815">
      <c r="A3815" s="250">
        <v>45690.47506555556</v>
      </c>
      <c r="B3815" s="251" t="s">
        <v>1698</v>
      </c>
      <c r="C3815" s="178" t="s">
        <v>4991</v>
      </c>
      <c r="D3815" s="36" t="s">
        <v>1683</v>
      </c>
      <c r="E3815" s="36">
        <v>900250.0</v>
      </c>
      <c r="F3815" s="178" t="s">
        <v>110</v>
      </c>
    </row>
    <row r="3816">
      <c r="A3816" s="250">
        <v>45691.67425111111</v>
      </c>
      <c r="B3816" s="251" t="s">
        <v>3240</v>
      </c>
      <c r="C3816" s="178" t="s">
        <v>5018</v>
      </c>
      <c r="D3816" s="36">
        <v>173800.0</v>
      </c>
      <c r="E3816" s="36" t="s">
        <v>1683</v>
      </c>
      <c r="F3816" s="178" t="s">
        <v>872</v>
      </c>
    </row>
    <row r="3817">
      <c r="A3817" s="250">
        <v>45691.67425111111</v>
      </c>
      <c r="B3817" s="251" t="s">
        <v>1698</v>
      </c>
      <c r="C3817" s="178" t="s">
        <v>5007</v>
      </c>
      <c r="D3817" s="36" t="s">
        <v>1683</v>
      </c>
      <c r="E3817" s="36">
        <v>173800.0</v>
      </c>
      <c r="F3817" s="178" t="s">
        <v>872</v>
      </c>
    </row>
    <row r="3818">
      <c r="A3818" s="250">
        <v>45692.425370000004</v>
      </c>
      <c r="B3818" s="251" t="s">
        <v>2685</v>
      </c>
      <c r="C3818" s="178" t="s">
        <v>5019</v>
      </c>
      <c r="D3818" s="36">
        <v>343213.99999999994</v>
      </c>
      <c r="E3818" s="36" t="s">
        <v>1683</v>
      </c>
      <c r="F3818" s="178" t="s">
        <v>371</v>
      </c>
    </row>
    <row r="3819">
      <c r="A3819" s="250">
        <v>45692.425370000004</v>
      </c>
      <c r="B3819" s="251" t="s">
        <v>1802</v>
      </c>
      <c r="C3819" s="178" t="s">
        <v>5015</v>
      </c>
      <c r="D3819" s="36" t="s">
        <v>1683</v>
      </c>
      <c r="E3819" s="36">
        <v>343213.99999999994</v>
      </c>
      <c r="F3819" s="178" t="s">
        <v>371</v>
      </c>
    </row>
    <row r="3820">
      <c r="A3820" s="250">
        <v>45692.42581</v>
      </c>
      <c r="B3820" s="251" t="s">
        <v>4049</v>
      </c>
      <c r="C3820" s="178" t="s">
        <v>5020</v>
      </c>
      <c r="D3820" s="36">
        <v>1240614.9999999998</v>
      </c>
      <c r="E3820" s="36" t="s">
        <v>1683</v>
      </c>
      <c r="F3820" s="178" t="s">
        <v>304</v>
      </c>
    </row>
    <row r="3821">
      <c r="A3821" s="250">
        <v>45692.42581</v>
      </c>
      <c r="B3821" s="251" t="s">
        <v>1698</v>
      </c>
      <c r="C3821" s="178" t="s">
        <v>5011</v>
      </c>
      <c r="D3821" s="36" t="s">
        <v>1683</v>
      </c>
      <c r="E3821" s="36">
        <v>1240614.9999999998</v>
      </c>
      <c r="F3821" s="178" t="s">
        <v>304</v>
      </c>
    </row>
    <row r="3822">
      <c r="A3822" s="250">
        <v>45692.4259</v>
      </c>
      <c r="B3822" s="251" t="s">
        <v>4051</v>
      </c>
      <c r="C3822" s="178" t="s">
        <v>5021</v>
      </c>
      <c r="D3822" s="36">
        <v>694775.0</v>
      </c>
      <c r="E3822" s="36" t="s">
        <v>1683</v>
      </c>
      <c r="F3822" s="178" t="s">
        <v>312</v>
      </c>
    </row>
    <row r="3823">
      <c r="A3823" s="250">
        <v>45692.4259</v>
      </c>
      <c r="B3823" s="251" t="s">
        <v>1698</v>
      </c>
      <c r="C3823" s="178" t="s">
        <v>5013</v>
      </c>
      <c r="D3823" s="36" t="s">
        <v>1683</v>
      </c>
      <c r="E3823" s="36">
        <v>694775.0</v>
      </c>
      <c r="F3823" s="178" t="s">
        <v>312</v>
      </c>
    </row>
    <row r="3824">
      <c r="A3824" s="250">
        <v>45692.61388888889</v>
      </c>
      <c r="B3824" s="251" t="s">
        <v>4078</v>
      </c>
      <c r="C3824" s="178" t="s">
        <v>5022</v>
      </c>
      <c r="D3824" s="36">
        <v>100546.6153846158</v>
      </c>
      <c r="E3824" s="36" t="s">
        <v>1683</v>
      </c>
      <c r="F3824" s="178" t="s">
        <v>1683</v>
      </c>
    </row>
    <row r="3825">
      <c r="A3825" s="250">
        <v>45692.61388888889</v>
      </c>
      <c r="B3825" s="251" t="s">
        <v>5023</v>
      </c>
      <c r="C3825" s="178" t="s">
        <v>5024</v>
      </c>
      <c r="D3825" s="36" t="s">
        <v>1683</v>
      </c>
      <c r="E3825" s="36">
        <v>100546.6153846158</v>
      </c>
      <c r="F3825" s="178" t="s">
        <v>1683</v>
      </c>
    </row>
    <row r="3826">
      <c r="A3826" s="250">
        <v>45692.61487888889</v>
      </c>
      <c r="B3826" s="251" t="s">
        <v>5025</v>
      </c>
      <c r="C3826" s="178" t="s">
        <v>5026</v>
      </c>
      <c r="D3826" s="36">
        <v>105322.44827586239</v>
      </c>
      <c r="E3826" s="36" t="s">
        <v>1683</v>
      </c>
      <c r="F3826" s="178" t="s">
        <v>1683</v>
      </c>
    </row>
    <row r="3827">
      <c r="A3827" s="250">
        <v>45692.61487888889</v>
      </c>
      <c r="B3827" s="251" t="s">
        <v>5027</v>
      </c>
      <c r="C3827" s="178" t="s">
        <v>5028</v>
      </c>
      <c r="D3827" s="36" t="s">
        <v>1683</v>
      </c>
      <c r="E3827" s="36">
        <v>105322.44827586239</v>
      </c>
      <c r="F3827" s="178" t="s">
        <v>1683</v>
      </c>
    </row>
    <row r="3828">
      <c r="A3828" s="250">
        <v>45693.343595555554</v>
      </c>
      <c r="B3828" s="251" t="s">
        <v>3543</v>
      </c>
      <c r="C3828" s="178" t="s">
        <v>5029</v>
      </c>
      <c r="D3828" s="36">
        <v>397428.00000000006</v>
      </c>
      <c r="E3828" s="36" t="s">
        <v>1683</v>
      </c>
      <c r="F3828" s="178" t="s">
        <v>859</v>
      </c>
    </row>
    <row r="3829">
      <c r="A3829" s="250">
        <v>45693.343595555554</v>
      </c>
      <c r="B3829" s="251" t="s">
        <v>1698</v>
      </c>
      <c r="C3829" s="178" t="s">
        <v>5005</v>
      </c>
      <c r="D3829" s="36" t="s">
        <v>1683</v>
      </c>
      <c r="E3829" s="36">
        <v>397428.00000000006</v>
      </c>
      <c r="F3829" s="178" t="s">
        <v>859</v>
      </c>
    </row>
    <row r="3830">
      <c r="A3830" s="250">
        <v>45693.3444</v>
      </c>
      <c r="B3830" s="251" t="s">
        <v>3240</v>
      </c>
      <c r="C3830" s="178" t="s">
        <v>5030</v>
      </c>
      <c r="D3830" s="36">
        <v>173800.0</v>
      </c>
      <c r="E3830" s="36" t="s">
        <v>1683</v>
      </c>
      <c r="F3830" s="178" t="s">
        <v>873</v>
      </c>
    </row>
    <row r="3831">
      <c r="A3831" s="250">
        <v>45693.3444</v>
      </c>
      <c r="B3831" s="251" t="s">
        <v>1698</v>
      </c>
      <c r="C3831" s="178" t="s">
        <v>5001</v>
      </c>
      <c r="D3831" s="36" t="s">
        <v>1683</v>
      </c>
      <c r="E3831" s="36">
        <v>173800.0</v>
      </c>
      <c r="F3831" s="178" t="s">
        <v>873</v>
      </c>
    </row>
    <row r="3832">
      <c r="A3832" s="250">
        <v>45694.25455666667</v>
      </c>
      <c r="B3832" s="251" t="s">
        <v>2987</v>
      </c>
      <c r="C3832" s="178" t="s">
        <v>5031</v>
      </c>
      <c r="D3832" s="36">
        <v>2693536.0</v>
      </c>
      <c r="E3832" s="36" t="s">
        <v>1683</v>
      </c>
      <c r="F3832" s="178" t="s">
        <v>80</v>
      </c>
    </row>
    <row r="3833">
      <c r="A3833" s="250">
        <v>45694.25455666667</v>
      </c>
      <c r="B3833" s="251" t="s">
        <v>1698</v>
      </c>
      <c r="C3833" s="178" t="s">
        <v>5003</v>
      </c>
      <c r="D3833" s="36" t="s">
        <v>1683</v>
      </c>
      <c r="E3833" s="36">
        <v>2693536.0</v>
      </c>
      <c r="F3833" s="178" t="s">
        <v>80</v>
      </c>
    </row>
    <row r="3834">
      <c r="A3834" s="250">
        <v>45698.72874222222</v>
      </c>
      <c r="B3834" s="251" t="s">
        <v>3416</v>
      </c>
      <c r="C3834" s="178" t="s">
        <v>5032</v>
      </c>
      <c r="D3834" s="36">
        <v>1716468.0</v>
      </c>
      <c r="E3834" s="36" t="s">
        <v>1683</v>
      </c>
      <c r="F3834" s="178" t="s">
        <v>244</v>
      </c>
    </row>
    <row r="3835">
      <c r="A3835" s="250">
        <v>45698.72874222222</v>
      </c>
      <c r="B3835" s="251" t="s">
        <v>1698</v>
      </c>
      <c r="C3835" s="178" t="s">
        <v>5009</v>
      </c>
      <c r="D3835" s="36" t="s">
        <v>1683</v>
      </c>
      <c r="E3835" s="36">
        <v>1716468.0</v>
      </c>
      <c r="F3835" s="178" t="s">
        <v>244</v>
      </c>
    </row>
    <row r="3836">
      <c r="A3836" s="250">
        <v>45705.48402777778</v>
      </c>
      <c r="B3836" s="251" t="s">
        <v>1693</v>
      </c>
      <c r="C3836" s="178" t="s">
        <v>5033</v>
      </c>
      <c r="D3836" s="36">
        <v>2070472.9999999998</v>
      </c>
      <c r="E3836" s="36" t="s">
        <v>1683</v>
      </c>
      <c r="F3836" s="178" t="s">
        <v>718</v>
      </c>
    </row>
    <row r="3837">
      <c r="A3837" s="250">
        <v>45705.48402777778</v>
      </c>
      <c r="B3837" s="251" t="s">
        <v>1684</v>
      </c>
      <c r="C3837" s="178" t="s">
        <v>5034</v>
      </c>
      <c r="D3837" s="36" t="s">
        <v>1683</v>
      </c>
      <c r="E3837" s="36">
        <v>2070472.9999999998</v>
      </c>
      <c r="F3837" s="178" t="s">
        <v>718</v>
      </c>
    </row>
    <row r="3838">
      <c r="A3838" s="250">
        <v>45705.48435777778</v>
      </c>
      <c r="B3838" s="251" t="s">
        <v>1693</v>
      </c>
      <c r="C3838" s="178" t="s">
        <v>5035</v>
      </c>
      <c r="D3838" s="36">
        <v>1863472.9999999998</v>
      </c>
      <c r="E3838" s="36" t="s">
        <v>1683</v>
      </c>
      <c r="F3838" s="178" t="s">
        <v>718</v>
      </c>
    </row>
    <row r="3839">
      <c r="A3839" s="250">
        <v>45705.48435777778</v>
      </c>
      <c r="B3839" s="251" t="s">
        <v>1684</v>
      </c>
      <c r="C3839" s="178" t="s">
        <v>5036</v>
      </c>
      <c r="D3839" s="36" t="s">
        <v>1683</v>
      </c>
      <c r="E3839" s="36">
        <v>1863472.9999999998</v>
      </c>
      <c r="F3839" s="178" t="s">
        <v>718</v>
      </c>
    </row>
    <row r="3840">
      <c r="A3840" s="250">
        <v>45705.48467777778</v>
      </c>
      <c r="B3840" s="251" t="s">
        <v>1693</v>
      </c>
      <c r="C3840" s="178" t="s">
        <v>5037</v>
      </c>
      <c r="D3840" s="36">
        <v>105825.5</v>
      </c>
      <c r="E3840" s="36" t="s">
        <v>1683</v>
      </c>
      <c r="F3840" s="178" t="s">
        <v>781</v>
      </c>
    </row>
    <row r="3841">
      <c r="A3841" s="250">
        <v>45705.48467777778</v>
      </c>
      <c r="B3841" s="251" t="s">
        <v>1684</v>
      </c>
      <c r="C3841" s="178" t="s">
        <v>5038</v>
      </c>
      <c r="D3841" s="36" t="s">
        <v>1683</v>
      </c>
      <c r="E3841" s="36">
        <v>105825.5</v>
      </c>
      <c r="F3841" s="178" t="s">
        <v>781</v>
      </c>
    </row>
    <row r="3842">
      <c r="A3842" s="250">
        <v>45705.48473777778</v>
      </c>
      <c r="B3842" s="251" t="s">
        <v>1693</v>
      </c>
      <c r="C3842" s="178" t="s">
        <v>5039</v>
      </c>
      <c r="D3842" s="36">
        <v>105825.5</v>
      </c>
      <c r="E3842" s="36" t="s">
        <v>1683</v>
      </c>
      <c r="F3842" s="178" t="s">
        <v>781</v>
      </c>
    </row>
    <row r="3843">
      <c r="A3843" s="250">
        <v>45705.48473777778</v>
      </c>
      <c r="B3843" s="251" t="s">
        <v>1684</v>
      </c>
      <c r="C3843" s="178" t="s">
        <v>5040</v>
      </c>
      <c r="D3843" s="36" t="s">
        <v>1683</v>
      </c>
      <c r="E3843" s="36">
        <v>105825.5</v>
      </c>
      <c r="F3843" s="178" t="s">
        <v>781</v>
      </c>
    </row>
    <row r="3844">
      <c r="A3844" s="250">
        <v>45705.48480777778</v>
      </c>
      <c r="B3844" s="251" t="s">
        <v>1693</v>
      </c>
      <c r="C3844" s="178" t="s">
        <v>5041</v>
      </c>
      <c r="D3844" s="36">
        <v>12975.0</v>
      </c>
      <c r="E3844" s="36" t="s">
        <v>1683</v>
      </c>
      <c r="F3844" s="178" t="s">
        <v>602</v>
      </c>
    </row>
    <row r="3845">
      <c r="A3845" s="250">
        <v>45705.48480777778</v>
      </c>
      <c r="B3845" s="251" t="s">
        <v>1684</v>
      </c>
      <c r="C3845" s="178" t="s">
        <v>5042</v>
      </c>
      <c r="D3845" s="36" t="s">
        <v>1683</v>
      </c>
      <c r="E3845" s="36">
        <v>12975.0</v>
      </c>
      <c r="F3845" s="178" t="s">
        <v>602</v>
      </c>
    </row>
    <row r="3846">
      <c r="A3846" s="250">
        <v>45708.67716888889</v>
      </c>
      <c r="B3846" s="251" t="s">
        <v>3913</v>
      </c>
      <c r="C3846" s="178" t="s">
        <v>5043</v>
      </c>
      <c r="D3846" s="36">
        <v>12975.0</v>
      </c>
      <c r="E3846" s="36" t="s">
        <v>1683</v>
      </c>
      <c r="F3846" s="178" t="s">
        <v>602</v>
      </c>
    </row>
    <row r="3847">
      <c r="A3847" s="250">
        <v>45708.67716888889</v>
      </c>
      <c r="B3847" s="251" t="s">
        <v>1698</v>
      </c>
      <c r="C3847" s="178" t="s">
        <v>5041</v>
      </c>
      <c r="D3847" s="36" t="s">
        <v>1683</v>
      </c>
      <c r="E3847" s="36">
        <v>12975.0</v>
      </c>
      <c r="F3847" s="178" t="s">
        <v>602</v>
      </c>
    </row>
    <row r="3848">
      <c r="A3848" s="250">
        <v>45708.68467777778</v>
      </c>
      <c r="B3848" s="251" t="s">
        <v>5044</v>
      </c>
      <c r="C3848" s="178" t="s">
        <v>5045</v>
      </c>
      <c r="D3848" s="36">
        <v>105825.5</v>
      </c>
      <c r="E3848" s="36" t="s">
        <v>1683</v>
      </c>
      <c r="F3848" s="178" t="s">
        <v>781</v>
      </c>
    </row>
    <row r="3849">
      <c r="A3849" s="250">
        <v>45708.68467777778</v>
      </c>
      <c r="B3849" s="251" t="s">
        <v>1698</v>
      </c>
      <c r="C3849" s="178" t="s">
        <v>5037</v>
      </c>
      <c r="D3849" s="36" t="s">
        <v>1683</v>
      </c>
      <c r="E3849" s="36">
        <v>105825.5</v>
      </c>
      <c r="F3849" s="178" t="s">
        <v>781</v>
      </c>
    </row>
    <row r="3850">
      <c r="A3850" s="250">
        <v>45708.68473777778</v>
      </c>
      <c r="B3850" s="251" t="s">
        <v>5046</v>
      </c>
      <c r="C3850" s="178" t="s">
        <v>5047</v>
      </c>
      <c r="D3850" s="36">
        <v>105825.5</v>
      </c>
      <c r="E3850" s="36" t="s">
        <v>1683</v>
      </c>
      <c r="F3850" s="178" t="s">
        <v>781</v>
      </c>
    </row>
    <row r="3851">
      <c r="A3851" s="250">
        <v>45708.68473777778</v>
      </c>
      <c r="B3851" s="251" t="s">
        <v>1698</v>
      </c>
      <c r="C3851" s="178" t="s">
        <v>5039</v>
      </c>
      <c r="D3851" s="36" t="s">
        <v>1683</v>
      </c>
      <c r="E3851" s="36">
        <v>105825.5</v>
      </c>
      <c r="F3851" s="178" t="s">
        <v>781</v>
      </c>
    </row>
    <row r="3852">
      <c r="A3852" s="250">
        <v>45710.91362197917</v>
      </c>
      <c r="B3852" s="251" t="s">
        <v>2489</v>
      </c>
      <c r="C3852" s="178" t="s">
        <v>5048</v>
      </c>
      <c r="D3852" s="36">
        <v>8460.0</v>
      </c>
      <c r="E3852" s="36" t="s">
        <v>1683</v>
      </c>
      <c r="F3852" s="178" t="s">
        <v>1683</v>
      </c>
    </row>
    <row r="3853">
      <c r="A3853" s="250">
        <v>45710.91362197917</v>
      </c>
      <c r="B3853" s="251" t="s">
        <v>3752</v>
      </c>
      <c r="C3853" s="178" t="s">
        <v>5049</v>
      </c>
      <c r="D3853" s="36" t="s">
        <v>1683</v>
      </c>
      <c r="E3853" s="36">
        <v>8460.0</v>
      </c>
      <c r="F3853" s="178" t="s">
        <v>1683</v>
      </c>
    </row>
    <row r="3854">
      <c r="A3854" s="250">
        <v>45710.913631979165</v>
      </c>
      <c r="B3854" s="251" t="s">
        <v>2685</v>
      </c>
      <c r="C3854" s="178" t="s">
        <v>5050</v>
      </c>
      <c r="D3854" s="36">
        <v>21290.357142857134</v>
      </c>
      <c r="E3854" s="36" t="s">
        <v>1683</v>
      </c>
      <c r="F3854" s="178" t="s">
        <v>1683</v>
      </c>
    </row>
    <row r="3855">
      <c r="A3855" s="250">
        <v>45710.913631979165</v>
      </c>
      <c r="B3855" s="251" t="s">
        <v>3745</v>
      </c>
      <c r="C3855" s="178" t="s">
        <v>5051</v>
      </c>
      <c r="D3855" s="36" t="s">
        <v>1683</v>
      </c>
      <c r="E3855" s="36">
        <v>21290.357142857134</v>
      </c>
      <c r="F3855" s="178" t="s">
        <v>1683</v>
      </c>
    </row>
    <row r="3856">
      <c r="A3856" s="250">
        <v>45711.41875</v>
      </c>
      <c r="B3856" s="251" t="s">
        <v>3930</v>
      </c>
      <c r="C3856" s="178" t="s">
        <v>5052</v>
      </c>
      <c r="D3856" s="36">
        <v>2070472.9999999998</v>
      </c>
      <c r="E3856" s="36" t="s">
        <v>1683</v>
      </c>
      <c r="F3856" s="178" t="s">
        <v>718</v>
      </c>
    </row>
    <row r="3857">
      <c r="A3857" s="250">
        <v>45711.41875</v>
      </c>
      <c r="B3857" s="251" t="s">
        <v>1698</v>
      </c>
      <c r="C3857" s="178" t="s">
        <v>5033</v>
      </c>
      <c r="D3857" s="36" t="s">
        <v>1683</v>
      </c>
      <c r="E3857" s="36">
        <v>2070472.9999999998</v>
      </c>
      <c r="F3857" s="178" t="s">
        <v>718</v>
      </c>
    </row>
    <row r="3858">
      <c r="A3858" s="250">
        <v>45711.41908</v>
      </c>
      <c r="B3858" s="251" t="s">
        <v>3932</v>
      </c>
      <c r="C3858" s="178" t="s">
        <v>5053</v>
      </c>
      <c r="D3858" s="36">
        <v>1863472.9999999998</v>
      </c>
      <c r="E3858" s="36" t="s">
        <v>1683</v>
      </c>
      <c r="F3858" s="178" t="s">
        <v>718</v>
      </c>
    </row>
    <row r="3859">
      <c r="A3859" s="250">
        <v>45711.41908</v>
      </c>
      <c r="B3859" s="251" t="s">
        <v>1698</v>
      </c>
      <c r="C3859" s="178" t="s">
        <v>5035</v>
      </c>
      <c r="D3859" s="36" t="s">
        <v>1683</v>
      </c>
      <c r="E3859" s="36">
        <v>1863472.9999999998</v>
      </c>
      <c r="F3859" s="178" t="s">
        <v>718</v>
      </c>
    </row>
    <row r="3860">
      <c r="A3860" s="250">
        <v>45712.00154888889</v>
      </c>
      <c r="B3860" s="251" t="s">
        <v>1693</v>
      </c>
      <c r="C3860" s="178" t="s">
        <v>5054</v>
      </c>
      <c r="D3860" s="36">
        <v>1085288.9999999998</v>
      </c>
      <c r="E3860" s="36" t="s">
        <v>1683</v>
      </c>
      <c r="F3860" s="178" t="s">
        <v>461</v>
      </c>
    </row>
    <row r="3861">
      <c r="A3861" s="250">
        <v>45712.00154888889</v>
      </c>
      <c r="B3861" s="251" t="s">
        <v>1684</v>
      </c>
      <c r="C3861" s="178" t="s">
        <v>5055</v>
      </c>
      <c r="D3861" s="36" t="s">
        <v>1683</v>
      </c>
      <c r="E3861" s="36">
        <v>1085288.9999999998</v>
      </c>
      <c r="F3861" s="178" t="s">
        <v>461</v>
      </c>
    </row>
    <row r="3862">
      <c r="A3862" s="250">
        <v>45712.00209888889</v>
      </c>
      <c r="B3862" s="251" t="s">
        <v>1693</v>
      </c>
      <c r="C3862" s="178" t="s">
        <v>5056</v>
      </c>
      <c r="D3862" s="36">
        <v>1144312.0</v>
      </c>
      <c r="E3862" s="36" t="s">
        <v>1683</v>
      </c>
      <c r="F3862" s="178" t="s">
        <v>89</v>
      </c>
    </row>
    <row r="3863">
      <c r="A3863" s="250">
        <v>45712.00209888889</v>
      </c>
      <c r="B3863" s="251" t="s">
        <v>1684</v>
      </c>
      <c r="C3863" s="178" t="s">
        <v>5057</v>
      </c>
      <c r="D3863" s="36" t="s">
        <v>1683</v>
      </c>
      <c r="E3863" s="36">
        <v>1144312.0</v>
      </c>
      <c r="F3863" s="178" t="s">
        <v>89</v>
      </c>
    </row>
    <row r="3864">
      <c r="A3864" s="250">
        <v>45712.00227888889</v>
      </c>
      <c r="B3864" s="251" t="s">
        <v>1693</v>
      </c>
      <c r="C3864" s="178" t="s">
        <v>5058</v>
      </c>
      <c r="D3864" s="36">
        <v>694774.0</v>
      </c>
      <c r="E3864" s="36" t="s">
        <v>1683</v>
      </c>
      <c r="F3864" s="178" t="s">
        <v>89</v>
      </c>
    </row>
    <row r="3865">
      <c r="A3865" s="250">
        <v>45712.00227888889</v>
      </c>
      <c r="B3865" s="251" t="s">
        <v>1684</v>
      </c>
      <c r="C3865" s="178" t="s">
        <v>5059</v>
      </c>
      <c r="D3865" s="36" t="s">
        <v>1683</v>
      </c>
      <c r="E3865" s="36">
        <v>694774.0</v>
      </c>
      <c r="F3865" s="178" t="s">
        <v>89</v>
      </c>
    </row>
    <row r="3866">
      <c r="A3866" s="250">
        <v>45712.002288888885</v>
      </c>
      <c r="B3866" s="251" t="s">
        <v>1693</v>
      </c>
      <c r="C3866" s="178" t="s">
        <v>5060</v>
      </c>
      <c r="D3866" s="36">
        <v>739449.0</v>
      </c>
      <c r="E3866" s="36" t="s">
        <v>1683</v>
      </c>
      <c r="F3866" s="178" t="s">
        <v>461</v>
      </c>
    </row>
    <row r="3867">
      <c r="A3867" s="250">
        <v>45712.002288888885</v>
      </c>
      <c r="B3867" s="251" t="s">
        <v>1684</v>
      </c>
      <c r="C3867" s="178" t="s">
        <v>5061</v>
      </c>
      <c r="D3867" s="36" t="s">
        <v>1683</v>
      </c>
      <c r="E3867" s="36">
        <v>739449.0</v>
      </c>
      <c r="F3867" s="178" t="s">
        <v>461</v>
      </c>
    </row>
    <row r="3868">
      <c r="A3868" s="250">
        <v>45712.76351444444</v>
      </c>
      <c r="B3868" s="251" t="s">
        <v>1693</v>
      </c>
      <c r="C3868" s="178" t="s">
        <v>5062</v>
      </c>
      <c r="D3868" s="36">
        <v>2178337.9999999995</v>
      </c>
      <c r="E3868" s="36" t="s">
        <v>1683</v>
      </c>
      <c r="F3868" s="178" t="s">
        <v>511</v>
      </c>
    </row>
    <row r="3869">
      <c r="A3869" s="250">
        <v>45712.76351444444</v>
      </c>
      <c r="B3869" s="251" t="s">
        <v>1684</v>
      </c>
      <c r="C3869" s="178" t="s">
        <v>5063</v>
      </c>
      <c r="D3869" s="36" t="s">
        <v>1683</v>
      </c>
      <c r="E3869" s="36">
        <v>2178337.9999999995</v>
      </c>
      <c r="F3869" s="178" t="s">
        <v>511</v>
      </c>
    </row>
    <row r="3870">
      <c r="A3870" s="250">
        <v>45712.76372444444</v>
      </c>
      <c r="B3870" s="251" t="s">
        <v>1693</v>
      </c>
      <c r="C3870" s="178" t="s">
        <v>5064</v>
      </c>
      <c r="D3870" s="36">
        <v>1121444.0000000002</v>
      </c>
      <c r="E3870" s="36" t="s">
        <v>1683</v>
      </c>
      <c r="F3870" s="178" t="s">
        <v>858</v>
      </c>
    </row>
    <row r="3871">
      <c r="A3871" s="250">
        <v>45712.76372444444</v>
      </c>
      <c r="B3871" s="251" t="s">
        <v>1684</v>
      </c>
      <c r="C3871" s="178" t="s">
        <v>5065</v>
      </c>
      <c r="D3871" s="36" t="s">
        <v>1683</v>
      </c>
      <c r="E3871" s="36">
        <v>1121444.0000000002</v>
      </c>
      <c r="F3871" s="178" t="s">
        <v>858</v>
      </c>
    </row>
    <row r="3872">
      <c r="A3872" s="250">
        <v>45712.76385444444</v>
      </c>
      <c r="B3872" s="251" t="s">
        <v>1693</v>
      </c>
      <c r="C3872" s="178" t="s">
        <v>5066</v>
      </c>
      <c r="D3872" s="36">
        <v>158737.99999999997</v>
      </c>
      <c r="E3872" s="36" t="s">
        <v>1683</v>
      </c>
      <c r="F3872" s="178" t="s">
        <v>511</v>
      </c>
    </row>
    <row r="3873">
      <c r="A3873" s="250">
        <v>45712.76385444444</v>
      </c>
      <c r="B3873" s="251" t="s">
        <v>1684</v>
      </c>
      <c r="C3873" s="178" t="s">
        <v>5067</v>
      </c>
      <c r="D3873" s="36" t="s">
        <v>1683</v>
      </c>
      <c r="E3873" s="36">
        <v>158737.99999999997</v>
      </c>
      <c r="F3873" s="178" t="s">
        <v>511</v>
      </c>
    </row>
    <row r="3874">
      <c r="A3874" s="250">
        <v>45713.02883222222</v>
      </c>
      <c r="B3874" s="251" t="s">
        <v>1783</v>
      </c>
      <c r="C3874" s="178" t="s">
        <v>5068</v>
      </c>
      <c r="D3874" s="36">
        <v>345499.99999999994</v>
      </c>
      <c r="E3874" s="36" t="s">
        <v>1683</v>
      </c>
      <c r="F3874" s="178" t="s">
        <v>370</v>
      </c>
    </row>
    <row r="3875">
      <c r="A3875" s="250">
        <v>45713.02883222222</v>
      </c>
      <c r="B3875" s="251" t="s">
        <v>1684</v>
      </c>
      <c r="C3875" s="178" t="s">
        <v>5069</v>
      </c>
      <c r="D3875" s="36" t="s">
        <v>1683</v>
      </c>
      <c r="E3875" s="36">
        <v>345499.99999999994</v>
      </c>
      <c r="F3875" s="178" t="s">
        <v>370</v>
      </c>
    </row>
    <row r="3876">
      <c r="A3876" s="250">
        <v>45713.305391111106</v>
      </c>
      <c r="B3876" s="251" t="s">
        <v>3543</v>
      </c>
      <c r="C3876" s="178" t="s">
        <v>5070</v>
      </c>
      <c r="D3876" s="36">
        <v>1121444.0000000002</v>
      </c>
      <c r="E3876" s="36" t="s">
        <v>1683</v>
      </c>
      <c r="F3876" s="178" t="s">
        <v>858</v>
      </c>
    </row>
    <row r="3877">
      <c r="A3877" s="250">
        <v>45713.305391111106</v>
      </c>
      <c r="B3877" s="251" t="s">
        <v>1698</v>
      </c>
      <c r="C3877" s="178" t="s">
        <v>5064</v>
      </c>
      <c r="D3877" s="36" t="s">
        <v>1683</v>
      </c>
      <c r="E3877" s="36">
        <v>1121444.0000000002</v>
      </c>
      <c r="F3877" s="178" t="s">
        <v>858</v>
      </c>
    </row>
    <row r="3878">
      <c r="A3878" s="250">
        <v>45713.37029888889</v>
      </c>
      <c r="B3878" s="251" t="s">
        <v>3006</v>
      </c>
      <c r="C3878" s="178" t="s">
        <v>5071</v>
      </c>
      <c r="D3878" s="36">
        <v>1040409.0</v>
      </c>
      <c r="E3878" s="36" t="s">
        <v>1683</v>
      </c>
      <c r="F3878" s="178" t="s">
        <v>104</v>
      </c>
    </row>
    <row r="3879">
      <c r="A3879" s="250">
        <v>45713.37029888889</v>
      </c>
      <c r="B3879" s="251" t="s">
        <v>1684</v>
      </c>
      <c r="C3879" s="178" t="s">
        <v>5072</v>
      </c>
      <c r="D3879" s="36" t="s">
        <v>1683</v>
      </c>
      <c r="E3879" s="36">
        <v>1040409.0</v>
      </c>
      <c r="F3879" s="178" t="s">
        <v>104</v>
      </c>
    </row>
    <row r="3880">
      <c r="A3880" s="250">
        <v>45713.37030888889</v>
      </c>
      <c r="B3880" s="251" t="s">
        <v>3006</v>
      </c>
      <c r="C3880" s="178" t="s">
        <v>5073</v>
      </c>
      <c r="D3880" s="36">
        <v>1040408.0</v>
      </c>
      <c r="E3880" s="36" t="s">
        <v>1683</v>
      </c>
      <c r="F3880" s="178" t="s">
        <v>104</v>
      </c>
    </row>
    <row r="3881">
      <c r="A3881" s="250">
        <v>45713.37030888889</v>
      </c>
      <c r="B3881" s="251" t="s">
        <v>1684</v>
      </c>
      <c r="C3881" s="178" t="s">
        <v>5074</v>
      </c>
      <c r="D3881" s="36" t="s">
        <v>1683</v>
      </c>
      <c r="E3881" s="36">
        <v>1040408.0</v>
      </c>
      <c r="F3881" s="178" t="s">
        <v>104</v>
      </c>
    </row>
    <row r="3882">
      <c r="A3882" s="250">
        <v>45713.43473777778</v>
      </c>
      <c r="B3882" s="251" t="s">
        <v>4078</v>
      </c>
      <c r="C3882" s="178" t="s">
        <v>5075</v>
      </c>
      <c r="D3882" s="36">
        <v>1144312.0</v>
      </c>
      <c r="E3882" s="36" t="s">
        <v>1683</v>
      </c>
      <c r="F3882" s="178" t="s">
        <v>89</v>
      </c>
    </row>
    <row r="3883">
      <c r="A3883" s="250">
        <v>45713.43473777778</v>
      </c>
      <c r="B3883" s="251" t="s">
        <v>1698</v>
      </c>
      <c r="C3883" s="178" t="s">
        <v>5056</v>
      </c>
      <c r="D3883" s="36" t="s">
        <v>1683</v>
      </c>
      <c r="E3883" s="36">
        <v>1144312.0</v>
      </c>
      <c r="F3883" s="178" t="s">
        <v>89</v>
      </c>
    </row>
    <row r="3884">
      <c r="A3884" s="250">
        <v>45713.570883333334</v>
      </c>
      <c r="B3884" s="251" t="s">
        <v>1783</v>
      </c>
      <c r="C3884" s="178" t="s">
        <v>5076</v>
      </c>
      <c r="D3884" s="36">
        <v>153250.00000000003</v>
      </c>
      <c r="E3884" s="36" t="s">
        <v>1683</v>
      </c>
      <c r="F3884" s="178" t="s">
        <v>391</v>
      </c>
    </row>
    <row r="3885">
      <c r="A3885" s="250">
        <v>45713.570883333334</v>
      </c>
      <c r="B3885" s="251" t="s">
        <v>1684</v>
      </c>
      <c r="C3885" s="178" t="s">
        <v>5077</v>
      </c>
      <c r="D3885" s="36" t="s">
        <v>1683</v>
      </c>
      <c r="E3885" s="36">
        <v>153250.00000000003</v>
      </c>
      <c r="F3885" s="178" t="s">
        <v>391</v>
      </c>
    </row>
    <row r="3886">
      <c r="A3886" s="250">
        <v>45713.57133333333</v>
      </c>
      <c r="B3886" s="251" t="s">
        <v>1783</v>
      </c>
      <c r="C3886" s="178" t="s">
        <v>5078</v>
      </c>
      <c r="D3886" s="36">
        <v>121750.0</v>
      </c>
      <c r="E3886" s="36" t="s">
        <v>1683</v>
      </c>
      <c r="F3886" s="178" t="s">
        <v>391</v>
      </c>
    </row>
    <row r="3887">
      <c r="A3887" s="250">
        <v>45713.57133333333</v>
      </c>
      <c r="B3887" s="251" t="s">
        <v>1684</v>
      </c>
      <c r="C3887" s="178" t="s">
        <v>5079</v>
      </c>
      <c r="D3887" s="36" t="s">
        <v>1683</v>
      </c>
      <c r="E3887" s="36">
        <v>121750.0</v>
      </c>
      <c r="F3887" s="178" t="s">
        <v>391</v>
      </c>
    </row>
    <row r="3888">
      <c r="A3888" s="250">
        <v>45713.57139333333</v>
      </c>
      <c r="B3888" s="251" t="s">
        <v>1783</v>
      </c>
      <c r="C3888" s="178" t="s">
        <v>5080</v>
      </c>
      <c r="D3888" s="36">
        <v>2160250.0000000005</v>
      </c>
      <c r="E3888" s="36" t="s">
        <v>1683</v>
      </c>
      <c r="F3888" s="178" t="s">
        <v>391</v>
      </c>
    </row>
    <row r="3889">
      <c r="A3889" s="250">
        <v>45713.57139333333</v>
      </c>
      <c r="B3889" s="251" t="s">
        <v>1684</v>
      </c>
      <c r="C3889" s="178" t="s">
        <v>5081</v>
      </c>
      <c r="D3889" s="36" t="s">
        <v>1683</v>
      </c>
      <c r="E3889" s="36">
        <v>2160250.0000000005</v>
      </c>
      <c r="F3889" s="178" t="s">
        <v>391</v>
      </c>
    </row>
    <row r="3890">
      <c r="A3890" s="250">
        <v>45713.57176333333</v>
      </c>
      <c r="B3890" s="251" t="s">
        <v>1783</v>
      </c>
      <c r="C3890" s="178" t="s">
        <v>5082</v>
      </c>
      <c r="D3890" s="36">
        <v>126250.0</v>
      </c>
      <c r="E3890" s="36" t="s">
        <v>1683</v>
      </c>
      <c r="F3890" s="178" t="s">
        <v>391</v>
      </c>
    </row>
    <row r="3891">
      <c r="A3891" s="250">
        <v>45713.57176333333</v>
      </c>
      <c r="B3891" s="251" t="s">
        <v>1684</v>
      </c>
      <c r="C3891" s="178" t="s">
        <v>5083</v>
      </c>
      <c r="D3891" s="36" t="s">
        <v>1683</v>
      </c>
      <c r="E3891" s="36">
        <v>126250.0</v>
      </c>
      <c r="F3891" s="178" t="s">
        <v>391</v>
      </c>
    </row>
    <row r="3892">
      <c r="A3892" s="250">
        <v>45714.41894555556</v>
      </c>
      <c r="B3892" s="251" t="s">
        <v>4051</v>
      </c>
      <c r="C3892" s="178" t="s">
        <v>5084</v>
      </c>
      <c r="D3892" s="36">
        <v>694774.0</v>
      </c>
      <c r="E3892" s="36" t="s">
        <v>1683</v>
      </c>
      <c r="F3892" s="178" t="s">
        <v>89</v>
      </c>
    </row>
    <row r="3893">
      <c r="A3893" s="250">
        <v>45714.41894555556</v>
      </c>
      <c r="B3893" s="251" t="s">
        <v>1698</v>
      </c>
      <c r="C3893" s="178" t="s">
        <v>5058</v>
      </c>
      <c r="D3893" s="36" t="s">
        <v>1683</v>
      </c>
      <c r="E3893" s="36">
        <v>694774.0</v>
      </c>
      <c r="F3893" s="178" t="s">
        <v>89</v>
      </c>
    </row>
    <row r="3894">
      <c r="A3894" s="250">
        <v>45715.45780888889</v>
      </c>
      <c r="B3894" s="251" t="s">
        <v>3020</v>
      </c>
      <c r="C3894" s="178" t="s">
        <v>5085</v>
      </c>
      <c r="D3894" s="36">
        <v>1040408.0</v>
      </c>
      <c r="E3894" s="36" t="s">
        <v>1683</v>
      </c>
      <c r="F3894" s="178" t="s">
        <v>104</v>
      </c>
    </row>
    <row r="3895">
      <c r="A3895" s="250">
        <v>45715.45780888889</v>
      </c>
      <c r="B3895" s="251" t="s">
        <v>3019</v>
      </c>
      <c r="C3895" s="178" t="s">
        <v>5073</v>
      </c>
      <c r="D3895" s="36" t="s">
        <v>1683</v>
      </c>
      <c r="E3895" s="36">
        <v>1040408.0</v>
      </c>
      <c r="F3895" s="178" t="s">
        <v>104</v>
      </c>
    </row>
    <row r="3896">
      <c r="A3896" s="250">
        <v>45715.59407</v>
      </c>
      <c r="B3896" s="251" t="s">
        <v>3932</v>
      </c>
      <c r="C3896" s="178" t="s">
        <v>5086</v>
      </c>
      <c r="D3896" s="36">
        <v>2178337.9999999995</v>
      </c>
      <c r="E3896" s="36" t="s">
        <v>1683</v>
      </c>
      <c r="F3896" s="178" t="s">
        <v>511</v>
      </c>
    </row>
    <row r="3897">
      <c r="A3897" s="250">
        <v>45715.59407</v>
      </c>
      <c r="B3897" s="251" t="s">
        <v>1698</v>
      </c>
      <c r="C3897" s="178" t="s">
        <v>5062</v>
      </c>
      <c r="D3897" s="36" t="s">
        <v>1683</v>
      </c>
      <c r="E3897" s="36">
        <v>2178337.9999999995</v>
      </c>
      <c r="F3897" s="178" t="s">
        <v>511</v>
      </c>
    </row>
    <row r="3898">
      <c r="A3898" s="250">
        <v>45715.59441</v>
      </c>
      <c r="B3898" s="251" t="s">
        <v>3867</v>
      </c>
      <c r="C3898" s="178" t="s">
        <v>5087</v>
      </c>
      <c r="D3898" s="36">
        <v>158737.99999999997</v>
      </c>
      <c r="E3898" s="36" t="s">
        <v>1683</v>
      </c>
      <c r="F3898" s="178" t="s">
        <v>511</v>
      </c>
    </row>
    <row r="3899">
      <c r="A3899" s="250">
        <v>45715.59441</v>
      </c>
      <c r="B3899" s="251" t="s">
        <v>1698</v>
      </c>
      <c r="C3899" s="178" t="s">
        <v>5066</v>
      </c>
      <c r="D3899" s="36" t="s">
        <v>1683</v>
      </c>
      <c r="E3899" s="36">
        <v>158737.99999999997</v>
      </c>
      <c r="F3899" s="178" t="s">
        <v>511</v>
      </c>
    </row>
    <row r="3900">
      <c r="A3900" s="250">
        <v>45715.59758222222</v>
      </c>
      <c r="B3900" s="251" t="s">
        <v>2685</v>
      </c>
      <c r="C3900" s="178" t="s">
        <v>5088</v>
      </c>
      <c r="D3900" s="36">
        <v>345499.99999999994</v>
      </c>
      <c r="E3900" s="36" t="s">
        <v>1683</v>
      </c>
      <c r="F3900" s="178" t="s">
        <v>370</v>
      </c>
    </row>
    <row r="3901">
      <c r="A3901" s="250">
        <v>45715.59758222222</v>
      </c>
      <c r="B3901" s="251" t="s">
        <v>1802</v>
      </c>
      <c r="C3901" s="178" t="s">
        <v>5068</v>
      </c>
      <c r="D3901" s="36" t="s">
        <v>1683</v>
      </c>
      <c r="E3901" s="36">
        <v>345499.99999999994</v>
      </c>
      <c r="F3901" s="178" t="s">
        <v>370</v>
      </c>
    </row>
    <row r="3902">
      <c r="A3902" s="250">
        <v>45716.45779888889</v>
      </c>
      <c r="B3902" s="251" t="s">
        <v>3020</v>
      </c>
      <c r="C3902" s="178" t="s">
        <v>5089</v>
      </c>
      <c r="D3902" s="36">
        <v>1040409.0</v>
      </c>
      <c r="E3902" s="36" t="s">
        <v>1683</v>
      </c>
      <c r="F3902" s="178" t="s">
        <v>104</v>
      </c>
    </row>
    <row r="3903">
      <c r="A3903" s="250">
        <v>45716.45779888889</v>
      </c>
      <c r="B3903" s="251" t="s">
        <v>3019</v>
      </c>
      <c r="C3903" s="178" t="s">
        <v>5071</v>
      </c>
      <c r="D3903" s="36" t="s">
        <v>1683</v>
      </c>
      <c r="E3903" s="36">
        <v>1040409.0</v>
      </c>
      <c r="F3903" s="178" t="s">
        <v>104</v>
      </c>
    </row>
    <row r="3904">
      <c r="A3904" s="250">
        <v>45716.661271111116</v>
      </c>
      <c r="B3904" s="251" t="s">
        <v>3916</v>
      </c>
      <c r="C3904" s="178" t="s">
        <v>5090</v>
      </c>
      <c r="D3904" s="36">
        <v>1085288.9999999998</v>
      </c>
      <c r="E3904" s="36" t="s">
        <v>1683</v>
      </c>
      <c r="F3904" s="178" t="s">
        <v>461</v>
      </c>
    </row>
    <row r="3905">
      <c r="A3905" s="250">
        <v>45716.661271111116</v>
      </c>
      <c r="B3905" s="251" t="s">
        <v>1698</v>
      </c>
      <c r="C3905" s="178" t="s">
        <v>5054</v>
      </c>
      <c r="D3905" s="36" t="s">
        <v>1683</v>
      </c>
      <c r="E3905" s="36">
        <v>1085288.9999999998</v>
      </c>
      <c r="F3905" s="178" t="s">
        <v>461</v>
      </c>
    </row>
    <row r="3906">
      <c r="A3906" s="250">
        <v>45716.66201111111</v>
      </c>
      <c r="B3906" s="251" t="s">
        <v>2348</v>
      </c>
      <c r="C3906" s="178" t="s">
        <v>5091</v>
      </c>
      <c r="D3906" s="36">
        <v>739449.0</v>
      </c>
      <c r="E3906" s="36" t="s">
        <v>1683</v>
      </c>
      <c r="F3906" s="178" t="s">
        <v>461</v>
      </c>
    </row>
    <row r="3907">
      <c r="A3907" s="250">
        <v>45716.66201111111</v>
      </c>
      <c r="B3907" s="251" t="s">
        <v>1698</v>
      </c>
      <c r="C3907" s="178" t="s">
        <v>5060</v>
      </c>
      <c r="D3907" s="36" t="s">
        <v>1683</v>
      </c>
      <c r="E3907" s="36">
        <v>739449.0</v>
      </c>
      <c r="F3907" s="178" t="s">
        <v>461</v>
      </c>
    </row>
    <row r="3908">
      <c r="A3908" s="250">
        <v>45717.49241111111</v>
      </c>
      <c r="B3908" s="251" t="s">
        <v>4002</v>
      </c>
      <c r="C3908" s="178" t="s">
        <v>5092</v>
      </c>
      <c r="D3908" s="36">
        <v>153250.00000000003</v>
      </c>
      <c r="E3908" s="36" t="s">
        <v>1683</v>
      </c>
      <c r="F3908" s="178" t="s">
        <v>391</v>
      </c>
    </row>
    <row r="3909">
      <c r="A3909" s="250">
        <v>45717.49241111111</v>
      </c>
      <c r="B3909" s="251" t="s">
        <v>1802</v>
      </c>
      <c r="C3909" s="178" t="s">
        <v>5076</v>
      </c>
      <c r="D3909" s="36" t="s">
        <v>1683</v>
      </c>
      <c r="E3909" s="36">
        <v>153250.00000000003</v>
      </c>
      <c r="F3909" s="178" t="s">
        <v>391</v>
      </c>
    </row>
    <row r="3910">
      <c r="A3910" s="250">
        <v>45717.49286111111</v>
      </c>
      <c r="B3910" s="251" t="s">
        <v>3494</v>
      </c>
      <c r="C3910" s="178" t="s">
        <v>5093</v>
      </c>
      <c r="D3910" s="36">
        <v>121750.0</v>
      </c>
      <c r="E3910" s="36" t="s">
        <v>1683</v>
      </c>
      <c r="F3910" s="178" t="s">
        <v>391</v>
      </c>
    </row>
    <row r="3911">
      <c r="A3911" s="250">
        <v>45717.49286111111</v>
      </c>
      <c r="B3911" s="251" t="s">
        <v>1802</v>
      </c>
      <c r="C3911" s="178" t="s">
        <v>5078</v>
      </c>
      <c r="D3911" s="36" t="s">
        <v>1683</v>
      </c>
      <c r="E3911" s="36">
        <v>121750.0</v>
      </c>
      <c r="F3911" s="178" t="s">
        <v>391</v>
      </c>
    </row>
    <row r="3912">
      <c r="A3912" s="250">
        <v>45717.49292111111</v>
      </c>
      <c r="B3912" s="251" t="s">
        <v>3046</v>
      </c>
      <c r="C3912" s="178" t="s">
        <v>5094</v>
      </c>
      <c r="D3912" s="36">
        <v>2160250.0000000005</v>
      </c>
      <c r="E3912" s="36" t="s">
        <v>1683</v>
      </c>
      <c r="F3912" s="178" t="s">
        <v>391</v>
      </c>
    </row>
    <row r="3913">
      <c r="A3913" s="250">
        <v>45717.49292111111</v>
      </c>
      <c r="B3913" s="251" t="s">
        <v>1802</v>
      </c>
      <c r="C3913" s="178" t="s">
        <v>5080</v>
      </c>
      <c r="D3913" s="36" t="s">
        <v>1683</v>
      </c>
      <c r="E3913" s="36">
        <v>2160250.0000000005</v>
      </c>
      <c r="F3913" s="178" t="s">
        <v>391</v>
      </c>
    </row>
    <row r="3914">
      <c r="A3914" s="250">
        <v>45717.49329111111</v>
      </c>
      <c r="B3914" s="251" t="s">
        <v>4216</v>
      </c>
      <c r="C3914" s="178" t="s">
        <v>5095</v>
      </c>
      <c r="D3914" s="36">
        <v>126250.0</v>
      </c>
      <c r="E3914" s="36" t="s">
        <v>1683</v>
      </c>
      <c r="F3914" s="178" t="s">
        <v>391</v>
      </c>
    </row>
    <row r="3915">
      <c r="A3915" s="250">
        <v>45717.49329111111</v>
      </c>
      <c r="B3915" s="251" t="s">
        <v>1802</v>
      </c>
      <c r="C3915" s="178" t="s">
        <v>5082</v>
      </c>
      <c r="D3915" s="36" t="s">
        <v>1683</v>
      </c>
      <c r="E3915" s="36">
        <v>126250.0</v>
      </c>
      <c r="F3915" s="178" t="s">
        <v>391</v>
      </c>
    </row>
    <row r="3916">
      <c r="A3916" s="250">
        <v>45718.51166111111</v>
      </c>
      <c r="B3916" s="251" t="s">
        <v>1783</v>
      </c>
      <c r="C3916" s="178" t="s">
        <v>5096</v>
      </c>
      <c r="D3916" s="36">
        <v>379600.00000000006</v>
      </c>
      <c r="E3916" s="36" t="s">
        <v>1683</v>
      </c>
      <c r="F3916" s="178" t="s">
        <v>389</v>
      </c>
    </row>
    <row r="3917">
      <c r="A3917" s="250">
        <v>45718.51166111111</v>
      </c>
      <c r="B3917" s="251" t="s">
        <v>1684</v>
      </c>
      <c r="C3917" s="178" t="s">
        <v>5097</v>
      </c>
      <c r="D3917" s="36" t="s">
        <v>1683</v>
      </c>
      <c r="E3917" s="36">
        <v>379600.00000000006</v>
      </c>
      <c r="F3917" s="178" t="s">
        <v>389</v>
      </c>
    </row>
    <row r="3918">
      <c r="A3918" s="250">
        <v>45719.74151222222</v>
      </c>
      <c r="B3918" s="251" t="s">
        <v>1693</v>
      </c>
      <c r="C3918" s="178" t="s">
        <v>5098</v>
      </c>
      <c r="D3918" s="36">
        <v>727000.0</v>
      </c>
      <c r="E3918" s="36" t="s">
        <v>1683</v>
      </c>
      <c r="F3918" s="178" t="s">
        <v>388</v>
      </c>
    </row>
    <row r="3919">
      <c r="A3919" s="250">
        <v>45719.74151222222</v>
      </c>
      <c r="B3919" s="251" t="s">
        <v>1684</v>
      </c>
      <c r="C3919" s="178" t="s">
        <v>5099</v>
      </c>
      <c r="D3919" s="36" t="s">
        <v>1683</v>
      </c>
      <c r="E3919" s="36">
        <v>727000.0</v>
      </c>
      <c r="F3919" s="178" t="s">
        <v>388</v>
      </c>
    </row>
    <row r="3920">
      <c r="A3920" s="250">
        <v>45719.75867333333</v>
      </c>
      <c r="B3920" s="251" t="s">
        <v>1783</v>
      </c>
      <c r="C3920" s="178" t="s">
        <v>5100</v>
      </c>
      <c r="D3920" s="36">
        <v>1710999.9999999998</v>
      </c>
      <c r="E3920" s="36" t="s">
        <v>1683</v>
      </c>
      <c r="F3920" s="178" t="s">
        <v>479</v>
      </c>
    </row>
    <row r="3921">
      <c r="A3921" s="250">
        <v>45719.75867333333</v>
      </c>
      <c r="B3921" s="251" t="s">
        <v>1684</v>
      </c>
      <c r="C3921" s="178" t="s">
        <v>5101</v>
      </c>
      <c r="D3921" s="36" t="s">
        <v>1683</v>
      </c>
      <c r="E3921" s="36">
        <v>1710999.9999999998</v>
      </c>
      <c r="F3921" s="178" t="s">
        <v>479</v>
      </c>
    </row>
    <row r="3922">
      <c r="A3922" s="250">
        <v>45720.41672666666</v>
      </c>
      <c r="B3922" s="251" t="s">
        <v>2491</v>
      </c>
      <c r="C3922" s="178" t="s">
        <v>5102</v>
      </c>
      <c r="D3922" s="36">
        <v>968.52</v>
      </c>
      <c r="E3922" s="36" t="s">
        <v>1683</v>
      </c>
      <c r="F3922" s="178" t="s">
        <v>1683</v>
      </c>
    </row>
    <row r="3923">
      <c r="A3923" s="250">
        <v>45720.41672666666</v>
      </c>
      <c r="B3923" s="251" t="s">
        <v>2493</v>
      </c>
      <c r="C3923" s="178" t="s">
        <v>5103</v>
      </c>
      <c r="D3923" s="36" t="s">
        <v>1683</v>
      </c>
      <c r="E3923" s="36">
        <v>968.52</v>
      </c>
      <c r="F3923" s="178" t="s">
        <v>1683</v>
      </c>
    </row>
    <row r="3924">
      <c r="A3924" s="250">
        <v>45720.73112442129</v>
      </c>
      <c r="B3924" s="251" t="s">
        <v>2210</v>
      </c>
      <c r="C3924" s="178" t="s">
        <v>5104</v>
      </c>
      <c r="D3924" s="36">
        <v>65664.0</v>
      </c>
      <c r="E3924" s="36" t="s">
        <v>1683</v>
      </c>
      <c r="F3924" s="178" t="s">
        <v>1683</v>
      </c>
    </row>
    <row r="3925">
      <c r="A3925" s="250">
        <v>45720.73112442129</v>
      </c>
      <c r="B3925" s="251" t="s">
        <v>2212</v>
      </c>
      <c r="C3925" s="178" t="s">
        <v>5105</v>
      </c>
      <c r="D3925" s="36" t="s">
        <v>1683</v>
      </c>
      <c r="E3925" s="36">
        <v>65664.0</v>
      </c>
      <c r="F3925" s="178" t="s">
        <v>1683</v>
      </c>
    </row>
    <row r="3926">
      <c r="A3926" s="250">
        <v>45720.731134421294</v>
      </c>
      <c r="B3926" s="251" t="s">
        <v>2214</v>
      </c>
      <c r="C3926" s="178" t="s">
        <v>5106</v>
      </c>
      <c r="D3926" s="36">
        <v>54825.0</v>
      </c>
      <c r="E3926" s="36" t="s">
        <v>1683</v>
      </c>
      <c r="F3926" s="178" t="s">
        <v>1683</v>
      </c>
    </row>
    <row r="3927">
      <c r="A3927" s="250">
        <v>45720.731134421294</v>
      </c>
      <c r="B3927" s="251" t="s">
        <v>2216</v>
      </c>
      <c r="C3927" s="178" t="s">
        <v>5107</v>
      </c>
      <c r="D3927" s="36" t="s">
        <v>1683</v>
      </c>
      <c r="E3927" s="36">
        <v>54825.0</v>
      </c>
      <c r="F3927" s="178" t="s">
        <v>1683</v>
      </c>
    </row>
    <row r="3928">
      <c r="A3928" s="250">
        <v>45721.40541111111</v>
      </c>
      <c r="B3928" s="251" t="s">
        <v>3046</v>
      </c>
      <c r="C3928" s="178" t="s">
        <v>5108</v>
      </c>
      <c r="D3928" s="36">
        <v>379600.00000000006</v>
      </c>
      <c r="E3928" s="36" t="s">
        <v>1683</v>
      </c>
      <c r="F3928" s="178" t="s">
        <v>389</v>
      </c>
    </row>
    <row r="3929">
      <c r="A3929" s="250">
        <v>45721.40541111111</v>
      </c>
      <c r="B3929" s="251" t="s">
        <v>1802</v>
      </c>
      <c r="C3929" s="178" t="s">
        <v>5096</v>
      </c>
      <c r="D3929" s="36" t="s">
        <v>1683</v>
      </c>
      <c r="E3929" s="36">
        <v>379600.00000000006</v>
      </c>
      <c r="F3929" s="178" t="s">
        <v>389</v>
      </c>
    </row>
    <row r="3930">
      <c r="A3930" s="250">
        <v>45722.39290111111</v>
      </c>
      <c r="B3930" s="251" t="s">
        <v>3046</v>
      </c>
      <c r="C3930" s="178" t="s">
        <v>5109</v>
      </c>
      <c r="D3930" s="36">
        <v>727000.0</v>
      </c>
      <c r="E3930" s="36" t="s">
        <v>1683</v>
      </c>
      <c r="F3930" s="178" t="s">
        <v>388</v>
      </c>
    </row>
    <row r="3931">
      <c r="A3931" s="250">
        <v>45722.39290111111</v>
      </c>
      <c r="B3931" s="251" t="s">
        <v>1698</v>
      </c>
      <c r="C3931" s="178" t="s">
        <v>5098</v>
      </c>
      <c r="D3931" s="36" t="s">
        <v>1683</v>
      </c>
      <c r="E3931" s="36">
        <v>727000.0</v>
      </c>
      <c r="F3931" s="178" t="s">
        <v>388</v>
      </c>
    </row>
    <row r="3932">
      <c r="A3932" s="250">
        <v>45722.46631222222</v>
      </c>
      <c r="B3932" s="251" t="s">
        <v>2844</v>
      </c>
      <c r="C3932" s="178" t="s">
        <v>5110</v>
      </c>
      <c r="D3932" s="36">
        <v>1710999.9999999998</v>
      </c>
      <c r="E3932" s="36" t="s">
        <v>1683</v>
      </c>
      <c r="F3932" s="178" t="s">
        <v>479</v>
      </c>
    </row>
    <row r="3933">
      <c r="A3933" s="250">
        <v>45722.46631222222</v>
      </c>
      <c r="B3933" s="251" t="s">
        <v>1802</v>
      </c>
      <c r="C3933" s="178" t="s">
        <v>5100</v>
      </c>
      <c r="D3933" s="36" t="s">
        <v>1683</v>
      </c>
      <c r="E3933" s="36">
        <v>1710999.9999999998</v>
      </c>
      <c r="F3933" s="178" t="s">
        <v>479</v>
      </c>
    </row>
    <row r="3934">
      <c r="A3934" s="250">
        <v>45737.759982222226</v>
      </c>
      <c r="B3934" s="251" t="s">
        <v>1693</v>
      </c>
      <c r="C3934" s="178" t="s">
        <v>5111</v>
      </c>
      <c r="D3934" s="36">
        <v>3660040.0000000005</v>
      </c>
      <c r="E3934" s="36" t="s">
        <v>1683</v>
      </c>
      <c r="F3934" s="178" t="s">
        <v>359</v>
      </c>
    </row>
    <row r="3935">
      <c r="A3935" s="250">
        <v>45737.759982222226</v>
      </c>
      <c r="B3935" s="251" t="s">
        <v>1684</v>
      </c>
      <c r="C3935" s="178" t="s">
        <v>5112</v>
      </c>
      <c r="D3935" s="36" t="s">
        <v>1683</v>
      </c>
      <c r="E3935" s="36">
        <v>3660040.0000000005</v>
      </c>
      <c r="F3935" s="178" t="s">
        <v>359</v>
      </c>
    </row>
    <row r="3936">
      <c r="A3936" s="250">
        <v>45740.478732222226</v>
      </c>
      <c r="B3936" s="251" t="s">
        <v>3257</v>
      </c>
      <c r="C3936" s="178" t="s">
        <v>5113</v>
      </c>
      <c r="D3936" s="36">
        <v>3660040.0000000005</v>
      </c>
      <c r="E3936" s="36" t="s">
        <v>1683</v>
      </c>
      <c r="F3936" s="178" t="s">
        <v>359</v>
      </c>
    </row>
    <row r="3937">
      <c r="A3937" s="250">
        <v>45740.478732222226</v>
      </c>
      <c r="B3937" s="251" t="s">
        <v>1698</v>
      </c>
      <c r="C3937" s="178" t="s">
        <v>5111</v>
      </c>
      <c r="D3937" s="36" t="s">
        <v>1683</v>
      </c>
      <c r="E3937" s="36">
        <v>3660040.0000000005</v>
      </c>
      <c r="F3937" s="178" t="s">
        <v>359</v>
      </c>
    </row>
    <row r="3938">
      <c r="A3938" s="250">
        <v>45742.21327444444</v>
      </c>
      <c r="B3938" s="251" t="s">
        <v>1693</v>
      </c>
      <c r="C3938" s="178" t="s">
        <v>5114</v>
      </c>
      <c r="D3938" s="36">
        <v>440120.0</v>
      </c>
      <c r="E3938" s="36" t="s">
        <v>1683</v>
      </c>
      <c r="F3938" s="178" t="s">
        <v>337</v>
      </c>
    </row>
    <row r="3939">
      <c r="A3939" s="250">
        <v>45742.21327444444</v>
      </c>
      <c r="B3939" s="251" t="s">
        <v>1684</v>
      </c>
      <c r="C3939" s="178" t="s">
        <v>5115</v>
      </c>
      <c r="D3939" s="36" t="s">
        <v>1683</v>
      </c>
      <c r="E3939" s="36">
        <v>440120.0</v>
      </c>
      <c r="F3939" s="178" t="s">
        <v>337</v>
      </c>
    </row>
    <row r="3940">
      <c r="A3940" s="250">
        <v>45742.21344444444</v>
      </c>
      <c r="B3940" s="251" t="s">
        <v>1693</v>
      </c>
      <c r="C3940" s="178" t="s">
        <v>5116</v>
      </c>
      <c r="D3940" s="36">
        <v>3216399.9999999995</v>
      </c>
      <c r="E3940" s="36" t="s">
        <v>1683</v>
      </c>
      <c r="F3940" s="178" t="s">
        <v>358</v>
      </c>
    </row>
    <row r="3941">
      <c r="A3941" s="250">
        <v>45742.21344444444</v>
      </c>
      <c r="B3941" s="251" t="s">
        <v>1684</v>
      </c>
      <c r="C3941" s="178" t="s">
        <v>5117</v>
      </c>
      <c r="D3941" s="36" t="s">
        <v>1683</v>
      </c>
      <c r="E3941" s="36">
        <v>3216399.9999999995</v>
      </c>
      <c r="F3941" s="178" t="s">
        <v>358</v>
      </c>
    </row>
    <row r="3942">
      <c r="A3942" s="250">
        <v>45744.47386111111</v>
      </c>
      <c r="B3942" s="251" t="s">
        <v>3257</v>
      </c>
      <c r="C3942" s="178" t="s">
        <v>5118</v>
      </c>
      <c r="D3942" s="36">
        <v>3216399.9999999995</v>
      </c>
      <c r="E3942" s="36" t="s">
        <v>1683</v>
      </c>
      <c r="F3942" s="178" t="s">
        <v>358</v>
      </c>
    </row>
    <row r="3943">
      <c r="A3943" s="250">
        <v>45744.47386111111</v>
      </c>
      <c r="B3943" s="251" t="s">
        <v>1698</v>
      </c>
      <c r="C3943" s="178" t="s">
        <v>5116</v>
      </c>
      <c r="D3943" s="36" t="s">
        <v>1683</v>
      </c>
      <c r="E3943" s="36">
        <v>3216399.9999999995</v>
      </c>
      <c r="F3943" s="178" t="s">
        <v>358</v>
      </c>
    </row>
    <row r="3944">
      <c r="A3944" s="250">
        <v>45744.72160777778</v>
      </c>
      <c r="B3944" s="251" t="s">
        <v>2841</v>
      </c>
      <c r="C3944" s="178" t="s">
        <v>5119</v>
      </c>
      <c r="D3944" s="36">
        <v>440120.0</v>
      </c>
      <c r="E3944" s="36" t="s">
        <v>1683</v>
      </c>
      <c r="F3944" s="178" t="s">
        <v>337</v>
      </c>
    </row>
    <row r="3945">
      <c r="A3945" s="250">
        <v>45744.72160777778</v>
      </c>
      <c r="B3945" s="251" t="s">
        <v>1698</v>
      </c>
      <c r="C3945" s="178" t="s">
        <v>5114</v>
      </c>
      <c r="D3945" s="36" t="s">
        <v>1683</v>
      </c>
      <c r="E3945" s="36">
        <v>440120.0</v>
      </c>
      <c r="F3945" s="178" t="s">
        <v>337</v>
      </c>
    </row>
    <row r="3946">
      <c r="A3946" s="250">
        <v>45751.73001111111</v>
      </c>
      <c r="B3946" s="251" t="s">
        <v>1693</v>
      </c>
      <c r="C3946" s="178" t="s">
        <v>5120</v>
      </c>
      <c r="D3946" s="36">
        <v>647000.0</v>
      </c>
      <c r="E3946" s="36" t="s">
        <v>1683</v>
      </c>
      <c r="F3946" s="178" t="s">
        <v>459</v>
      </c>
    </row>
    <row r="3947">
      <c r="A3947" s="250">
        <v>45751.73001111111</v>
      </c>
      <c r="B3947" s="251" t="s">
        <v>1684</v>
      </c>
      <c r="C3947" s="178" t="s">
        <v>5121</v>
      </c>
      <c r="D3947" s="36" t="s">
        <v>1683</v>
      </c>
      <c r="E3947" s="36">
        <v>647000.0</v>
      </c>
      <c r="F3947" s="178" t="s">
        <v>459</v>
      </c>
    </row>
    <row r="3948">
      <c r="A3948" s="250">
        <v>45751.76541777777</v>
      </c>
      <c r="B3948" s="251" t="s">
        <v>1693</v>
      </c>
      <c r="C3948" s="178" t="s">
        <v>5122</v>
      </c>
      <c r="D3948" s="36">
        <v>828924.0</v>
      </c>
      <c r="E3948" s="36" t="s">
        <v>1683</v>
      </c>
      <c r="F3948" s="178" t="s">
        <v>458</v>
      </c>
    </row>
    <row r="3949">
      <c r="A3949" s="250">
        <v>45751.76541777777</v>
      </c>
      <c r="B3949" s="251" t="s">
        <v>1684</v>
      </c>
      <c r="C3949" s="178" t="s">
        <v>5123</v>
      </c>
      <c r="D3949" s="36" t="s">
        <v>1683</v>
      </c>
      <c r="E3949" s="36">
        <v>828924.0</v>
      </c>
      <c r="F3949" s="178" t="s">
        <v>458</v>
      </c>
    </row>
    <row r="3950">
      <c r="A3950" s="250">
        <v>45751.76620777778</v>
      </c>
      <c r="B3950" s="251" t="s">
        <v>1693</v>
      </c>
      <c r="C3950" s="178" t="s">
        <v>5124</v>
      </c>
      <c r="D3950" s="36">
        <v>68116.0</v>
      </c>
      <c r="E3950" s="36" t="s">
        <v>1683</v>
      </c>
      <c r="F3950" s="178" t="s">
        <v>896</v>
      </c>
    </row>
    <row r="3951">
      <c r="A3951" s="250">
        <v>45751.76620777778</v>
      </c>
      <c r="B3951" s="251" t="s">
        <v>1684</v>
      </c>
      <c r="C3951" s="178" t="s">
        <v>5125</v>
      </c>
      <c r="D3951" s="36" t="s">
        <v>1683</v>
      </c>
      <c r="E3951" s="36">
        <v>68116.0</v>
      </c>
      <c r="F3951" s="178" t="s">
        <v>896</v>
      </c>
    </row>
    <row r="3952">
      <c r="A3952" s="250">
        <v>45754.58626111111</v>
      </c>
      <c r="B3952" s="251" t="s">
        <v>3916</v>
      </c>
      <c r="C3952" s="178" t="s">
        <v>5126</v>
      </c>
      <c r="D3952" s="36">
        <v>647000.0</v>
      </c>
      <c r="E3952" s="36" t="s">
        <v>1683</v>
      </c>
      <c r="F3952" s="178" t="s">
        <v>459</v>
      </c>
    </row>
    <row r="3953">
      <c r="A3953" s="250">
        <v>45754.58626111111</v>
      </c>
      <c r="B3953" s="251" t="s">
        <v>1698</v>
      </c>
      <c r="C3953" s="178" t="s">
        <v>5120</v>
      </c>
      <c r="D3953" s="36" t="s">
        <v>1683</v>
      </c>
      <c r="E3953" s="36">
        <v>647000.0</v>
      </c>
      <c r="F3953" s="178" t="s">
        <v>459</v>
      </c>
    </row>
    <row r="3954">
      <c r="A3954" s="250">
        <v>45754.61134666667</v>
      </c>
      <c r="B3954" s="251" t="s">
        <v>3243</v>
      </c>
      <c r="C3954" s="178" t="s">
        <v>5127</v>
      </c>
      <c r="D3954" s="36">
        <v>68116.0</v>
      </c>
      <c r="E3954" s="36" t="s">
        <v>1683</v>
      </c>
      <c r="F3954" s="178" t="s">
        <v>896</v>
      </c>
    </row>
    <row r="3955">
      <c r="A3955" s="250">
        <v>45754.61134666667</v>
      </c>
      <c r="B3955" s="251" t="s">
        <v>1698</v>
      </c>
      <c r="C3955" s="178" t="s">
        <v>5124</v>
      </c>
      <c r="D3955" s="36" t="s">
        <v>1683</v>
      </c>
      <c r="E3955" s="36">
        <v>68116.0</v>
      </c>
      <c r="F3955" s="178" t="s">
        <v>896</v>
      </c>
    </row>
    <row r="3956">
      <c r="A3956" s="250">
        <v>45755.40500111111</v>
      </c>
      <c r="B3956" s="251" t="s">
        <v>3916</v>
      </c>
      <c r="C3956" s="178" t="s">
        <v>5128</v>
      </c>
      <c r="D3956" s="36">
        <v>828924.0</v>
      </c>
      <c r="E3956" s="36" t="s">
        <v>1683</v>
      </c>
      <c r="F3956" s="178" t="s">
        <v>458</v>
      </c>
    </row>
    <row r="3957">
      <c r="A3957" s="250">
        <v>45755.40500111111</v>
      </c>
      <c r="B3957" s="251" t="s">
        <v>1698</v>
      </c>
      <c r="C3957" s="178" t="s">
        <v>5122</v>
      </c>
      <c r="D3957" s="36" t="s">
        <v>1683</v>
      </c>
      <c r="E3957" s="36">
        <v>828924.0</v>
      </c>
      <c r="F3957" s="178" t="s">
        <v>458</v>
      </c>
    </row>
    <row r="3958">
      <c r="A3958" s="250">
        <v>45756.65491666667</v>
      </c>
      <c r="B3958" s="251" t="s">
        <v>3006</v>
      </c>
      <c r="C3958" s="178" t="s">
        <v>5129</v>
      </c>
      <c r="D3958" s="36">
        <v>2214983.0</v>
      </c>
      <c r="E3958" s="36" t="s">
        <v>1683</v>
      </c>
      <c r="F3958" s="178" t="s">
        <v>104</v>
      </c>
    </row>
    <row r="3959">
      <c r="A3959" s="250">
        <v>45756.65491666667</v>
      </c>
      <c r="B3959" s="251" t="s">
        <v>1684</v>
      </c>
      <c r="C3959" s="178" t="s">
        <v>5130</v>
      </c>
      <c r="D3959" s="36" t="s">
        <v>1683</v>
      </c>
      <c r="E3959" s="36">
        <v>2214983.0</v>
      </c>
      <c r="F3959" s="178" t="s">
        <v>104</v>
      </c>
    </row>
    <row r="3960">
      <c r="A3960" s="250">
        <v>45768.54804666667</v>
      </c>
      <c r="B3960" s="251" t="s">
        <v>1693</v>
      </c>
      <c r="C3960" s="178" t="s">
        <v>5131</v>
      </c>
      <c r="D3960" s="36">
        <v>360408.0</v>
      </c>
      <c r="E3960" s="36" t="s">
        <v>1683</v>
      </c>
      <c r="F3960" s="178" t="s">
        <v>457</v>
      </c>
    </row>
    <row r="3961">
      <c r="A3961" s="250">
        <v>45768.54804666667</v>
      </c>
      <c r="B3961" s="251" t="s">
        <v>1684</v>
      </c>
      <c r="C3961" s="178" t="s">
        <v>5132</v>
      </c>
      <c r="D3961" s="36" t="s">
        <v>1683</v>
      </c>
      <c r="E3961" s="36">
        <v>360408.0</v>
      </c>
      <c r="F3961" s="178" t="s">
        <v>457</v>
      </c>
    </row>
    <row r="3962">
      <c r="A3962" s="250">
        <v>45771.65713231481</v>
      </c>
      <c r="B3962" s="251" t="s">
        <v>5133</v>
      </c>
      <c r="C3962" s="178" t="s">
        <v>5134</v>
      </c>
      <c r="D3962" s="36">
        <v>253176.0</v>
      </c>
      <c r="E3962" s="36" t="s">
        <v>1683</v>
      </c>
      <c r="F3962" s="178" t="s">
        <v>1683</v>
      </c>
    </row>
    <row r="3963">
      <c r="A3963" s="250">
        <v>45771.65713231481</v>
      </c>
      <c r="B3963" s="251" t="s">
        <v>5135</v>
      </c>
      <c r="C3963" s="178" t="s">
        <v>5136</v>
      </c>
      <c r="D3963" s="36" t="s">
        <v>1683</v>
      </c>
      <c r="E3963" s="36">
        <v>253176.0</v>
      </c>
      <c r="F3963" s="178" t="s">
        <v>1683</v>
      </c>
    </row>
    <row r="3964">
      <c r="A3964" s="250">
        <v>45771.65714231481</v>
      </c>
      <c r="B3964" s="251" t="s">
        <v>5133</v>
      </c>
      <c r="C3964" s="178" t="s">
        <v>5137</v>
      </c>
      <c r="D3964" s="36">
        <v>102476.0</v>
      </c>
      <c r="E3964" s="36" t="s">
        <v>1683</v>
      </c>
      <c r="F3964" s="178" t="s">
        <v>1683</v>
      </c>
    </row>
    <row r="3965">
      <c r="A3965" s="250">
        <v>45771.65714231481</v>
      </c>
      <c r="B3965" s="251" t="s">
        <v>5135</v>
      </c>
      <c r="C3965" s="178" t="s">
        <v>5138</v>
      </c>
      <c r="D3965" s="36" t="s">
        <v>1683</v>
      </c>
      <c r="E3965" s="36">
        <v>102476.0</v>
      </c>
      <c r="F3965" s="178" t="s">
        <v>1683</v>
      </c>
    </row>
    <row r="3966">
      <c r="A3966" s="250">
        <v>45771.65715231481</v>
      </c>
      <c r="B3966" s="251" t="s">
        <v>5139</v>
      </c>
      <c r="C3966" s="178" t="s">
        <v>5140</v>
      </c>
      <c r="D3966" s="36">
        <v>26416.0</v>
      </c>
      <c r="E3966" s="36" t="s">
        <v>1683</v>
      </c>
      <c r="F3966" s="178" t="s">
        <v>1683</v>
      </c>
    </row>
    <row r="3967">
      <c r="A3967" s="250">
        <v>45771.65715231481</v>
      </c>
      <c r="B3967" s="251" t="s">
        <v>5141</v>
      </c>
      <c r="C3967" s="178" t="s">
        <v>5142</v>
      </c>
      <c r="D3967" s="36" t="s">
        <v>1683</v>
      </c>
      <c r="E3967" s="36">
        <v>26416.0</v>
      </c>
      <c r="F3967" s="178" t="s">
        <v>1683</v>
      </c>
    </row>
    <row r="3968">
      <c r="A3968" s="250">
        <v>45771.65716231481</v>
      </c>
      <c r="B3968" s="251" t="s">
        <v>4088</v>
      </c>
      <c r="C3968" s="178" t="s">
        <v>5143</v>
      </c>
      <c r="D3968" s="36">
        <v>22451.05</v>
      </c>
      <c r="E3968" s="36" t="s">
        <v>1683</v>
      </c>
      <c r="F3968" s="178" t="s">
        <v>1683</v>
      </c>
    </row>
    <row r="3969">
      <c r="A3969" s="250">
        <v>45771.65716231481</v>
      </c>
      <c r="B3969" s="251" t="s">
        <v>5144</v>
      </c>
      <c r="C3969" s="178" t="s">
        <v>5145</v>
      </c>
      <c r="D3969" s="36" t="s">
        <v>1683</v>
      </c>
      <c r="E3969" s="36">
        <v>22451.05</v>
      </c>
      <c r="F3969" s="178" t="s">
        <v>1683</v>
      </c>
    </row>
    <row r="3970">
      <c r="A3970" s="250">
        <v>45771.65717231481</v>
      </c>
      <c r="B3970" s="251" t="s">
        <v>2266</v>
      </c>
      <c r="C3970" s="178" t="s">
        <v>5146</v>
      </c>
      <c r="D3970" s="36">
        <v>1515.16</v>
      </c>
      <c r="E3970" s="36" t="s">
        <v>1683</v>
      </c>
      <c r="F3970" s="178" t="s">
        <v>1683</v>
      </c>
    </row>
    <row r="3971">
      <c r="A3971" s="250">
        <v>45771.65717231481</v>
      </c>
      <c r="B3971" s="251" t="s">
        <v>2420</v>
      </c>
      <c r="C3971" s="178" t="s">
        <v>5147</v>
      </c>
      <c r="D3971" s="36" t="s">
        <v>1683</v>
      </c>
      <c r="E3971" s="36">
        <v>1515.16</v>
      </c>
      <c r="F3971" s="178" t="s">
        <v>1683</v>
      </c>
    </row>
    <row r="3972">
      <c r="A3972" s="250">
        <v>45771.666102222225</v>
      </c>
      <c r="B3972" s="251" t="s">
        <v>3916</v>
      </c>
      <c r="C3972" s="178" t="s">
        <v>5148</v>
      </c>
      <c r="D3972" s="36">
        <v>360408.0</v>
      </c>
      <c r="E3972" s="36" t="s">
        <v>1683</v>
      </c>
      <c r="F3972" s="178" t="s">
        <v>457</v>
      </c>
    </row>
    <row r="3973">
      <c r="A3973" s="250">
        <v>45771.666102222225</v>
      </c>
      <c r="B3973" s="251" t="s">
        <v>1698</v>
      </c>
      <c r="C3973" s="178" t="s">
        <v>5131</v>
      </c>
      <c r="D3973" s="36" t="s">
        <v>1683</v>
      </c>
      <c r="E3973" s="36">
        <v>360408.0</v>
      </c>
      <c r="F3973" s="178" t="s">
        <v>457</v>
      </c>
    </row>
    <row r="3974">
      <c r="A3974" s="250">
        <v>45772.00421222222</v>
      </c>
      <c r="B3974" s="251" t="s">
        <v>1693</v>
      </c>
      <c r="C3974" s="178" t="s">
        <v>5149</v>
      </c>
      <c r="D3974" s="36">
        <v>660180.0</v>
      </c>
      <c r="E3974" s="36" t="s">
        <v>1683</v>
      </c>
      <c r="F3974" s="178" t="s">
        <v>517</v>
      </c>
    </row>
    <row r="3975">
      <c r="A3975" s="250">
        <v>45772.00421222222</v>
      </c>
      <c r="B3975" s="251" t="s">
        <v>1684</v>
      </c>
      <c r="C3975" s="178" t="s">
        <v>5150</v>
      </c>
      <c r="D3975" s="36" t="s">
        <v>1683</v>
      </c>
      <c r="E3975" s="36">
        <v>660180.0</v>
      </c>
      <c r="F3975" s="178" t="s">
        <v>517</v>
      </c>
    </row>
    <row r="3976">
      <c r="A3976" s="250">
        <v>45772.004302222216</v>
      </c>
      <c r="B3976" s="251" t="s">
        <v>1693</v>
      </c>
      <c r="C3976" s="178" t="s">
        <v>3692</v>
      </c>
      <c r="D3976" s="36">
        <v>1789969.0000000002</v>
      </c>
      <c r="E3976" s="36" t="s">
        <v>1683</v>
      </c>
      <c r="F3976" s="178" t="s">
        <v>608</v>
      </c>
    </row>
    <row r="3977">
      <c r="A3977" s="250">
        <v>45772.004302222216</v>
      </c>
      <c r="B3977" s="251" t="s">
        <v>1684</v>
      </c>
      <c r="C3977" s="178" t="s">
        <v>5151</v>
      </c>
      <c r="D3977" s="36" t="s">
        <v>1683</v>
      </c>
      <c r="E3977" s="36">
        <v>1789969.0000000002</v>
      </c>
      <c r="F3977" s="178" t="s">
        <v>608</v>
      </c>
    </row>
    <row r="3978">
      <c r="A3978" s="250">
        <v>45772.02051888889</v>
      </c>
      <c r="B3978" s="251" t="s">
        <v>1693</v>
      </c>
      <c r="C3978" s="178" t="s">
        <v>5152</v>
      </c>
      <c r="D3978" s="36">
        <v>2701439.9999999995</v>
      </c>
      <c r="E3978" s="36" t="s">
        <v>1683</v>
      </c>
      <c r="F3978" s="178" t="s">
        <v>79</v>
      </c>
    </row>
    <row r="3979">
      <c r="A3979" s="250">
        <v>45772.02051888889</v>
      </c>
      <c r="B3979" s="251" t="s">
        <v>1684</v>
      </c>
      <c r="C3979" s="178" t="s">
        <v>5153</v>
      </c>
      <c r="D3979" s="36" t="s">
        <v>1683</v>
      </c>
      <c r="E3979" s="36">
        <v>2701439.9999999995</v>
      </c>
      <c r="F3979" s="178" t="s">
        <v>79</v>
      </c>
    </row>
    <row r="3980">
      <c r="A3980" s="250">
        <v>45772.02647444444</v>
      </c>
      <c r="B3980" s="251" t="s">
        <v>1783</v>
      </c>
      <c r="C3980" s="178" t="s">
        <v>5154</v>
      </c>
      <c r="D3980" s="36">
        <v>47549.99999999999</v>
      </c>
      <c r="E3980" s="36" t="s">
        <v>1683</v>
      </c>
      <c r="F3980" s="178" t="s">
        <v>413</v>
      </c>
    </row>
    <row r="3981">
      <c r="A3981" s="250">
        <v>45772.02647444444</v>
      </c>
      <c r="B3981" s="251" t="s">
        <v>1684</v>
      </c>
      <c r="C3981" s="178" t="s">
        <v>5155</v>
      </c>
      <c r="D3981" s="36" t="s">
        <v>1683</v>
      </c>
      <c r="E3981" s="36">
        <v>47549.99999999999</v>
      </c>
      <c r="F3981" s="178" t="s">
        <v>413</v>
      </c>
    </row>
    <row r="3982">
      <c r="A3982" s="250">
        <v>45772.50075</v>
      </c>
      <c r="B3982" s="251" t="s">
        <v>3017</v>
      </c>
      <c r="C3982" s="178" t="s">
        <v>5156</v>
      </c>
      <c r="D3982" s="36">
        <v>2214983.0</v>
      </c>
      <c r="E3982" s="36" t="s">
        <v>1683</v>
      </c>
      <c r="F3982" s="178" t="s">
        <v>104</v>
      </c>
    </row>
    <row r="3983">
      <c r="A3983" s="250">
        <v>45772.50075</v>
      </c>
      <c r="B3983" s="251" t="s">
        <v>3019</v>
      </c>
      <c r="C3983" s="178" t="s">
        <v>5129</v>
      </c>
      <c r="D3983" s="36" t="s">
        <v>1683</v>
      </c>
      <c r="E3983" s="36">
        <v>2214983.0</v>
      </c>
      <c r="F3983" s="178" t="s">
        <v>104</v>
      </c>
    </row>
    <row r="3984">
      <c r="A3984" s="250">
        <v>45773.734277777774</v>
      </c>
      <c r="B3984" s="251" t="s">
        <v>1693</v>
      </c>
      <c r="C3984" s="178" t="s">
        <v>5157</v>
      </c>
      <c r="D3984" s="36">
        <v>490394.99999999994</v>
      </c>
      <c r="E3984" s="36" t="s">
        <v>1683</v>
      </c>
      <c r="F3984" s="178" t="s">
        <v>823</v>
      </c>
    </row>
    <row r="3985">
      <c r="A3985" s="250">
        <v>45773.734277777774</v>
      </c>
      <c r="B3985" s="251" t="s">
        <v>1684</v>
      </c>
      <c r="C3985" s="178" t="s">
        <v>5158</v>
      </c>
      <c r="D3985" s="36" t="s">
        <v>1683</v>
      </c>
      <c r="E3985" s="36">
        <v>490394.99999999994</v>
      </c>
      <c r="F3985" s="178" t="s">
        <v>823</v>
      </c>
    </row>
    <row r="3986">
      <c r="A3986" s="250">
        <v>45773.73476777778</v>
      </c>
      <c r="B3986" s="251" t="s">
        <v>1631</v>
      </c>
      <c r="C3986" s="178" t="s">
        <v>5159</v>
      </c>
      <c r="D3986" s="36">
        <v>23045.0</v>
      </c>
      <c r="E3986" s="36" t="s">
        <v>1683</v>
      </c>
      <c r="F3986" s="178" t="s">
        <v>1668</v>
      </c>
    </row>
    <row r="3987">
      <c r="A3987" s="250">
        <v>45773.73476777778</v>
      </c>
      <c r="B3987" s="251" t="s">
        <v>1684</v>
      </c>
      <c r="C3987" s="178" t="s">
        <v>5160</v>
      </c>
      <c r="D3987" s="36" t="s">
        <v>1683</v>
      </c>
      <c r="E3987" s="36">
        <v>23045.0</v>
      </c>
      <c r="F3987" s="178" t="s">
        <v>1668</v>
      </c>
    </row>
    <row r="3988">
      <c r="A3988" s="250">
        <v>45774.42091888889</v>
      </c>
      <c r="B3988" s="251" t="s">
        <v>1844</v>
      </c>
      <c r="C3988" s="178" t="s">
        <v>5161</v>
      </c>
      <c r="D3988" s="36">
        <v>47549.99999999999</v>
      </c>
      <c r="E3988" s="36" t="s">
        <v>1683</v>
      </c>
      <c r="F3988" s="178" t="s">
        <v>413</v>
      </c>
    </row>
    <row r="3989">
      <c r="A3989" s="250">
        <v>45774.42091888889</v>
      </c>
      <c r="B3989" s="251" t="s">
        <v>1802</v>
      </c>
      <c r="C3989" s="178" t="s">
        <v>5154</v>
      </c>
      <c r="D3989" s="36" t="s">
        <v>1683</v>
      </c>
      <c r="E3989" s="36">
        <v>47549.99999999999</v>
      </c>
      <c r="F3989" s="178" t="s">
        <v>413</v>
      </c>
    </row>
    <row r="3990">
      <c r="A3990" s="250">
        <v>45774.55215888889</v>
      </c>
      <c r="B3990" s="251" t="s">
        <v>1783</v>
      </c>
      <c r="C3990" s="178" t="s">
        <v>5162</v>
      </c>
      <c r="D3990" s="36">
        <v>187000.0</v>
      </c>
      <c r="E3990" s="36" t="s">
        <v>1683</v>
      </c>
      <c r="F3990" s="178" t="s">
        <v>412</v>
      </c>
    </row>
    <row r="3991">
      <c r="A3991" s="250">
        <v>45774.55215888889</v>
      </c>
      <c r="B3991" s="251" t="s">
        <v>1684</v>
      </c>
      <c r="C3991" s="178" t="s">
        <v>5163</v>
      </c>
      <c r="D3991" s="36" t="s">
        <v>1683</v>
      </c>
      <c r="E3991" s="36">
        <v>187000.0</v>
      </c>
      <c r="F3991" s="178" t="s">
        <v>412</v>
      </c>
    </row>
    <row r="3992">
      <c r="A3992" s="250">
        <v>45775.40282333334</v>
      </c>
      <c r="B3992" s="251" t="s">
        <v>1793</v>
      </c>
      <c r="C3992" s="178" t="s">
        <v>5164</v>
      </c>
      <c r="D3992" s="36">
        <v>660180.0</v>
      </c>
      <c r="E3992" s="36" t="s">
        <v>1683</v>
      </c>
      <c r="F3992" s="178" t="s">
        <v>517</v>
      </c>
    </row>
    <row r="3993">
      <c r="A3993" s="250">
        <v>45775.40282333334</v>
      </c>
      <c r="B3993" s="251" t="s">
        <v>1698</v>
      </c>
      <c r="C3993" s="178" t="s">
        <v>5149</v>
      </c>
      <c r="D3993" s="36" t="s">
        <v>1683</v>
      </c>
      <c r="E3993" s="36">
        <v>660180.0</v>
      </c>
      <c r="F3993" s="178" t="s">
        <v>517</v>
      </c>
    </row>
    <row r="3994">
      <c r="A3994" s="250">
        <v>45775.46843555555</v>
      </c>
      <c r="B3994" s="251" t="s">
        <v>2987</v>
      </c>
      <c r="C3994" s="178" t="s">
        <v>5165</v>
      </c>
      <c r="D3994" s="36">
        <v>2701439.9999999995</v>
      </c>
      <c r="E3994" s="36" t="s">
        <v>1683</v>
      </c>
      <c r="F3994" s="178" t="s">
        <v>79</v>
      </c>
    </row>
    <row r="3995">
      <c r="A3995" s="250">
        <v>45775.46843555555</v>
      </c>
      <c r="B3995" s="251" t="s">
        <v>1698</v>
      </c>
      <c r="C3995" s="178" t="s">
        <v>5152</v>
      </c>
      <c r="D3995" s="36" t="s">
        <v>1683</v>
      </c>
      <c r="E3995" s="36">
        <v>2701439.9999999995</v>
      </c>
      <c r="F3995" s="178" t="s">
        <v>79</v>
      </c>
    </row>
    <row r="3996">
      <c r="A3996" s="250">
        <v>45776.51813111111</v>
      </c>
      <c r="B3996" s="251" t="s">
        <v>1844</v>
      </c>
      <c r="C3996" s="178" t="s">
        <v>5166</v>
      </c>
      <c r="D3996" s="36">
        <v>187000.0</v>
      </c>
      <c r="E3996" s="36" t="s">
        <v>1683</v>
      </c>
      <c r="F3996" s="178" t="s">
        <v>412</v>
      </c>
    </row>
    <row r="3997">
      <c r="A3997" s="250">
        <v>45776.51813111111</v>
      </c>
      <c r="B3997" s="251" t="s">
        <v>1802</v>
      </c>
      <c r="C3997" s="178" t="s">
        <v>5162</v>
      </c>
      <c r="D3997" s="36" t="s">
        <v>1683</v>
      </c>
      <c r="E3997" s="36">
        <v>187000.0</v>
      </c>
      <c r="F3997" s="178" t="s">
        <v>412</v>
      </c>
    </row>
    <row r="3998">
      <c r="A3998" s="250">
        <v>45777.71761111111</v>
      </c>
      <c r="B3998" s="251" t="s">
        <v>3249</v>
      </c>
      <c r="C3998" s="178" t="s">
        <v>5167</v>
      </c>
      <c r="D3998" s="36">
        <v>490394.99999999994</v>
      </c>
      <c r="E3998" s="36" t="s">
        <v>1683</v>
      </c>
      <c r="F3998" s="178" t="s">
        <v>823</v>
      </c>
    </row>
    <row r="3999">
      <c r="A3999" s="250">
        <v>45777.71761111111</v>
      </c>
      <c r="B3999" s="251" t="s">
        <v>1698</v>
      </c>
      <c r="C3999" s="178" t="s">
        <v>5157</v>
      </c>
      <c r="D3999" s="36" t="s">
        <v>1683</v>
      </c>
      <c r="E3999" s="36">
        <v>490394.99999999994</v>
      </c>
      <c r="F3999" s="178" t="s">
        <v>823</v>
      </c>
    </row>
    <row r="4000">
      <c r="A4000" s="250">
        <v>45782.75581555556</v>
      </c>
      <c r="B4000" s="251" t="s">
        <v>1693</v>
      </c>
      <c r="C4000" s="178" t="s">
        <v>5168</v>
      </c>
      <c r="D4000" s="36">
        <v>1144500.0000000002</v>
      </c>
      <c r="E4000" s="36" t="s">
        <v>1683</v>
      </c>
      <c r="F4000" s="178" t="s">
        <v>243</v>
      </c>
    </row>
    <row r="4001">
      <c r="A4001" s="250">
        <v>45782.75581555556</v>
      </c>
      <c r="B4001" s="251" t="s">
        <v>1684</v>
      </c>
      <c r="C4001" s="178" t="s">
        <v>5169</v>
      </c>
      <c r="D4001" s="36" t="s">
        <v>1683</v>
      </c>
      <c r="E4001" s="36">
        <v>1144500.0000000002</v>
      </c>
      <c r="F4001" s="178" t="s">
        <v>243</v>
      </c>
    </row>
    <row r="4002">
      <c r="A4002" s="250">
        <v>45782.75654555556</v>
      </c>
      <c r="B4002" s="251" t="s">
        <v>1693</v>
      </c>
      <c r="C4002" s="178" t="s">
        <v>5170</v>
      </c>
      <c r="D4002" s="36">
        <v>1980499.9999999998</v>
      </c>
      <c r="E4002" s="36" t="s">
        <v>1683</v>
      </c>
      <c r="F4002" s="178" t="s">
        <v>243</v>
      </c>
    </row>
    <row r="4003">
      <c r="A4003" s="250">
        <v>45782.75654555556</v>
      </c>
      <c r="B4003" s="251" t="s">
        <v>1684</v>
      </c>
      <c r="C4003" s="178" t="s">
        <v>5171</v>
      </c>
      <c r="D4003" s="36" t="s">
        <v>1683</v>
      </c>
      <c r="E4003" s="36">
        <v>1980499.9999999998</v>
      </c>
      <c r="F4003" s="178" t="s">
        <v>243</v>
      </c>
    </row>
    <row r="4004">
      <c r="A4004" s="250">
        <v>45784.631649999996</v>
      </c>
      <c r="B4004" s="251" t="s">
        <v>1693</v>
      </c>
      <c r="C4004" s="178" t="s">
        <v>5172</v>
      </c>
      <c r="D4004" s="36">
        <v>83700.0</v>
      </c>
      <c r="E4004" s="36" t="s">
        <v>1683</v>
      </c>
      <c r="F4004" s="178" t="s">
        <v>260</v>
      </c>
    </row>
    <row r="4005">
      <c r="A4005" s="250">
        <v>45784.631649999996</v>
      </c>
      <c r="B4005" s="251" t="s">
        <v>1684</v>
      </c>
      <c r="C4005" s="178" t="s">
        <v>5173</v>
      </c>
      <c r="D4005" s="36" t="s">
        <v>1683</v>
      </c>
      <c r="E4005" s="36">
        <v>83700.0</v>
      </c>
      <c r="F4005" s="178" t="s">
        <v>260</v>
      </c>
    </row>
    <row r="4006">
      <c r="A4006" s="250">
        <v>45784.635806666665</v>
      </c>
      <c r="B4006" s="251" t="s">
        <v>1693</v>
      </c>
      <c r="C4006" s="178" t="s">
        <v>5174</v>
      </c>
      <c r="D4006" s="36">
        <v>204321.99999999997</v>
      </c>
      <c r="E4006" s="36" t="s">
        <v>1683</v>
      </c>
      <c r="F4006" s="178" t="s">
        <v>259</v>
      </c>
    </row>
    <row r="4007">
      <c r="A4007" s="250">
        <v>45784.635806666665</v>
      </c>
      <c r="B4007" s="251" t="s">
        <v>1684</v>
      </c>
      <c r="C4007" s="178" t="s">
        <v>5175</v>
      </c>
      <c r="D4007" s="36" t="s">
        <v>1683</v>
      </c>
      <c r="E4007" s="36">
        <v>204321.99999999997</v>
      </c>
      <c r="F4007" s="178" t="s">
        <v>259</v>
      </c>
    </row>
    <row r="4008">
      <c r="A4008" s="250">
        <v>45786.68233444444</v>
      </c>
      <c r="B4008" s="251" t="s">
        <v>3396</v>
      </c>
      <c r="C4008" s="178" t="s">
        <v>5176</v>
      </c>
      <c r="D4008" s="36">
        <v>204321.99999999997</v>
      </c>
      <c r="E4008" s="36" t="s">
        <v>1683</v>
      </c>
      <c r="F4008" s="178" t="s">
        <v>259</v>
      </c>
    </row>
    <row r="4009">
      <c r="A4009" s="250">
        <v>45786.68233444444</v>
      </c>
      <c r="B4009" s="251" t="s">
        <v>1698</v>
      </c>
      <c r="C4009" s="178" t="s">
        <v>5174</v>
      </c>
      <c r="D4009" s="36" t="s">
        <v>1683</v>
      </c>
      <c r="E4009" s="36">
        <v>204321.99999999997</v>
      </c>
      <c r="F4009" s="178" t="s">
        <v>259</v>
      </c>
    </row>
    <row r="4010">
      <c r="A4010" s="250">
        <v>45786.68234444444</v>
      </c>
      <c r="B4010" s="251" t="s">
        <v>3396</v>
      </c>
      <c r="C4010" s="178" t="s">
        <v>5177</v>
      </c>
      <c r="D4010" s="36">
        <v>83700.0</v>
      </c>
      <c r="E4010" s="36" t="s">
        <v>1683</v>
      </c>
      <c r="F4010" s="178" t="s">
        <v>260</v>
      </c>
    </row>
    <row r="4011">
      <c r="A4011" s="250">
        <v>45786.68234444444</v>
      </c>
      <c r="B4011" s="251" t="s">
        <v>1698</v>
      </c>
      <c r="C4011" s="178" t="s">
        <v>5172</v>
      </c>
      <c r="D4011" s="36" t="s">
        <v>1683</v>
      </c>
      <c r="E4011" s="36">
        <v>83700.0</v>
      </c>
      <c r="F4011" s="178" t="s">
        <v>260</v>
      </c>
    </row>
    <row r="4012">
      <c r="A4012" s="250">
        <v>45789.53151</v>
      </c>
      <c r="B4012" s="251" t="s">
        <v>3416</v>
      </c>
      <c r="C4012" s="178" t="s">
        <v>5178</v>
      </c>
      <c r="D4012" s="36">
        <v>1144500.0000000002</v>
      </c>
      <c r="E4012" s="36" t="s">
        <v>1683</v>
      </c>
      <c r="F4012" s="178" t="s">
        <v>243</v>
      </c>
    </row>
    <row r="4013">
      <c r="A4013" s="250">
        <v>45789.53151</v>
      </c>
      <c r="B4013" s="251" t="s">
        <v>1698</v>
      </c>
      <c r="C4013" s="178" t="s">
        <v>5168</v>
      </c>
      <c r="D4013" s="36" t="s">
        <v>1683</v>
      </c>
      <c r="E4013" s="36">
        <v>1144500.0000000002</v>
      </c>
      <c r="F4013" s="178" t="s">
        <v>243</v>
      </c>
    </row>
    <row r="4014">
      <c r="A4014" s="250">
        <v>45789.53224</v>
      </c>
      <c r="B4014" s="251" t="s">
        <v>3930</v>
      </c>
      <c r="C4014" s="178" t="s">
        <v>5179</v>
      </c>
      <c r="D4014" s="36">
        <v>1980499.9999999998</v>
      </c>
      <c r="E4014" s="36" t="s">
        <v>1683</v>
      </c>
      <c r="F4014" s="178" t="s">
        <v>243</v>
      </c>
    </row>
    <row r="4015">
      <c r="A4015" s="250">
        <v>45789.53224</v>
      </c>
      <c r="B4015" s="251" t="s">
        <v>1698</v>
      </c>
      <c r="C4015" s="178" t="s">
        <v>5170</v>
      </c>
      <c r="D4015" s="36" t="s">
        <v>1683</v>
      </c>
      <c r="E4015" s="36">
        <v>1980499.9999999998</v>
      </c>
      <c r="F4015" s="178" t="s">
        <v>243</v>
      </c>
    </row>
    <row r="4016">
      <c r="A4016" s="250">
        <v>45795.775030000004</v>
      </c>
      <c r="B4016" s="251" t="s">
        <v>1693</v>
      </c>
      <c r="C4016" s="178" t="s">
        <v>5180</v>
      </c>
      <c r="D4016" s="36">
        <v>59871.66666666666</v>
      </c>
      <c r="E4016" s="36" t="s">
        <v>1683</v>
      </c>
      <c r="F4016" s="178" t="s">
        <v>758</v>
      </c>
    </row>
    <row r="4017">
      <c r="A4017" s="250">
        <v>45795.775030000004</v>
      </c>
      <c r="B4017" s="251" t="s">
        <v>1684</v>
      </c>
      <c r="C4017" s="178" t="s">
        <v>5181</v>
      </c>
      <c r="D4017" s="36" t="s">
        <v>1683</v>
      </c>
      <c r="E4017" s="36">
        <v>59871.66666666666</v>
      </c>
      <c r="F4017" s="178" t="s">
        <v>758</v>
      </c>
    </row>
    <row r="4018">
      <c r="A4018" s="250">
        <v>45795.77507</v>
      </c>
      <c r="B4018" s="251" t="s">
        <v>1693</v>
      </c>
      <c r="C4018" s="178" t="s">
        <v>5182</v>
      </c>
      <c r="D4018" s="36">
        <v>59871.66666666666</v>
      </c>
      <c r="E4018" s="36" t="s">
        <v>1683</v>
      </c>
      <c r="F4018" s="178" t="s">
        <v>758</v>
      </c>
    </row>
    <row r="4019">
      <c r="A4019" s="250">
        <v>45795.77507</v>
      </c>
      <c r="B4019" s="251" t="s">
        <v>1684</v>
      </c>
      <c r="C4019" s="178" t="s">
        <v>5183</v>
      </c>
      <c r="D4019" s="36" t="s">
        <v>1683</v>
      </c>
      <c r="E4019" s="36">
        <v>59871.66666666666</v>
      </c>
      <c r="F4019" s="178" t="s">
        <v>758</v>
      </c>
    </row>
    <row r="4020">
      <c r="A4020" s="250">
        <v>45795.77514</v>
      </c>
      <c r="B4020" s="251" t="s">
        <v>1693</v>
      </c>
      <c r="C4020" s="178" t="s">
        <v>5184</v>
      </c>
      <c r="D4020" s="36">
        <v>59871.66666666666</v>
      </c>
      <c r="E4020" s="36" t="s">
        <v>1683</v>
      </c>
      <c r="F4020" s="178" t="s">
        <v>758</v>
      </c>
    </row>
    <row r="4021">
      <c r="A4021" s="250">
        <v>45795.77514</v>
      </c>
      <c r="B4021" s="251" t="s">
        <v>1684</v>
      </c>
      <c r="C4021" s="178" t="s">
        <v>5185</v>
      </c>
      <c r="D4021" s="36" t="s">
        <v>1683</v>
      </c>
      <c r="E4021" s="36">
        <v>59871.66666666666</v>
      </c>
      <c r="F4021" s="178" t="s">
        <v>758</v>
      </c>
    </row>
    <row r="4022">
      <c r="A4022" s="250">
        <v>45795.77543</v>
      </c>
      <c r="B4022" s="251" t="s">
        <v>1693</v>
      </c>
      <c r="C4022" s="178" t="s">
        <v>5186</v>
      </c>
      <c r="D4022" s="36">
        <v>59871.66666666666</v>
      </c>
      <c r="E4022" s="36" t="s">
        <v>1683</v>
      </c>
      <c r="F4022" s="178" t="s">
        <v>758</v>
      </c>
    </row>
    <row r="4023">
      <c r="A4023" s="250">
        <v>45795.77543</v>
      </c>
      <c r="B4023" s="251" t="s">
        <v>1684</v>
      </c>
      <c r="C4023" s="178" t="s">
        <v>5187</v>
      </c>
      <c r="D4023" s="36" t="s">
        <v>1683</v>
      </c>
      <c r="E4023" s="36">
        <v>59871.66666666666</v>
      </c>
      <c r="F4023" s="178" t="s">
        <v>758</v>
      </c>
    </row>
    <row r="4024">
      <c r="A4024" s="250">
        <v>45795.775440000005</v>
      </c>
      <c r="B4024" s="251" t="s">
        <v>1693</v>
      </c>
      <c r="C4024" s="178" t="s">
        <v>5188</v>
      </c>
      <c r="D4024" s="36">
        <v>59871.66666666666</v>
      </c>
      <c r="E4024" s="36" t="s">
        <v>1683</v>
      </c>
      <c r="F4024" s="178" t="s">
        <v>758</v>
      </c>
    </row>
    <row r="4025">
      <c r="A4025" s="250">
        <v>45795.775440000005</v>
      </c>
      <c r="B4025" s="251" t="s">
        <v>1684</v>
      </c>
      <c r="C4025" s="178" t="s">
        <v>5189</v>
      </c>
      <c r="D4025" s="36" t="s">
        <v>1683</v>
      </c>
      <c r="E4025" s="36">
        <v>59871.66666666666</v>
      </c>
      <c r="F4025" s="178" t="s">
        <v>758</v>
      </c>
    </row>
    <row r="4026">
      <c r="A4026" s="250">
        <v>45795.77547</v>
      </c>
      <c r="B4026" s="251" t="s">
        <v>1693</v>
      </c>
      <c r="C4026" s="178" t="s">
        <v>5190</v>
      </c>
      <c r="D4026" s="36">
        <v>59871.66666666666</v>
      </c>
      <c r="E4026" s="36" t="s">
        <v>1683</v>
      </c>
      <c r="F4026" s="178" t="s">
        <v>758</v>
      </c>
    </row>
    <row r="4027">
      <c r="A4027" s="250">
        <v>45795.77547</v>
      </c>
      <c r="B4027" s="251" t="s">
        <v>1684</v>
      </c>
      <c r="C4027" s="178" t="s">
        <v>5191</v>
      </c>
      <c r="D4027" s="36" t="s">
        <v>1683</v>
      </c>
      <c r="E4027" s="36">
        <v>59871.66666666666</v>
      </c>
      <c r="F4027" s="178" t="s">
        <v>758</v>
      </c>
    </row>
    <row r="4028">
      <c r="A4028" s="250">
        <v>45795.77555</v>
      </c>
      <c r="B4028" s="251" t="s">
        <v>1693</v>
      </c>
      <c r="C4028" s="178" t="s">
        <v>5192</v>
      </c>
      <c r="D4028" s="36">
        <v>59871.66666666666</v>
      </c>
      <c r="E4028" s="36" t="s">
        <v>1683</v>
      </c>
      <c r="F4028" s="178" t="s">
        <v>758</v>
      </c>
    </row>
    <row r="4029">
      <c r="A4029" s="250">
        <v>45795.77555</v>
      </c>
      <c r="B4029" s="251" t="s">
        <v>1684</v>
      </c>
      <c r="C4029" s="178" t="s">
        <v>5193</v>
      </c>
      <c r="D4029" s="36" t="s">
        <v>1683</v>
      </c>
      <c r="E4029" s="36">
        <v>59871.66666666666</v>
      </c>
      <c r="F4029" s="178" t="s">
        <v>758</v>
      </c>
    </row>
    <row r="4030">
      <c r="A4030" s="250">
        <v>45795.77558</v>
      </c>
      <c r="B4030" s="251" t="s">
        <v>1693</v>
      </c>
      <c r="C4030" s="178" t="s">
        <v>5194</v>
      </c>
      <c r="D4030" s="36">
        <v>59871.66666666666</v>
      </c>
      <c r="E4030" s="36" t="s">
        <v>1683</v>
      </c>
      <c r="F4030" s="178" t="s">
        <v>758</v>
      </c>
    </row>
    <row r="4031">
      <c r="A4031" s="250">
        <v>45795.77558</v>
      </c>
      <c r="B4031" s="251" t="s">
        <v>1684</v>
      </c>
      <c r="C4031" s="178" t="s">
        <v>5195</v>
      </c>
      <c r="D4031" s="36" t="s">
        <v>1683</v>
      </c>
      <c r="E4031" s="36">
        <v>59871.66666666666</v>
      </c>
      <c r="F4031" s="178" t="s">
        <v>758</v>
      </c>
    </row>
    <row r="4032">
      <c r="A4032" s="250">
        <v>45795.77567</v>
      </c>
      <c r="B4032" s="251" t="s">
        <v>1693</v>
      </c>
      <c r="C4032" s="178" t="s">
        <v>5196</v>
      </c>
      <c r="D4032" s="36">
        <v>59871.66666666666</v>
      </c>
      <c r="E4032" s="36" t="s">
        <v>1683</v>
      </c>
      <c r="F4032" s="178" t="s">
        <v>758</v>
      </c>
    </row>
    <row r="4033">
      <c r="A4033" s="250">
        <v>45795.77567</v>
      </c>
      <c r="B4033" s="251" t="s">
        <v>1684</v>
      </c>
      <c r="C4033" s="178" t="s">
        <v>5197</v>
      </c>
      <c r="D4033" s="36" t="s">
        <v>1683</v>
      </c>
      <c r="E4033" s="36">
        <v>59871.66666666666</v>
      </c>
      <c r="F4033" s="178" t="s">
        <v>758</v>
      </c>
    </row>
    <row r="4034">
      <c r="A4034" s="250">
        <v>45795.77573</v>
      </c>
      <c r="B4034" s="251" t="s">
        <v>1693</v>
      </c>
      <c r="C4034" s="178" t="s">
        <v>5198</v>
      </c>
      <c r="D4034" s="36">
        <v>59871.66666666666</v>
      </c>
      <c r="E4034" s="36" t="s">
        <v>1683</v>
      </c>
      <c r="F4034" s="178" t="s">
        <v>758</v>
      </c>
    </row>
    <row r="4035">
      <c r="A4035" s="250">
        <v>45795.77573</v>
      </c>
      <c r="B4035" s="251" t="s">
        <v>1684</v>
      </c>
      <c r="C4035" s="178" t="s">
        <v>5199</v>
      </c>
      <c r="D4035" s="36" t="s">
        <v>1683</v>
      </c>
      <c r="E4035" s="36">
        <v>59871.66666666666</v>
      </c>
      <c r="F4035" s="178" t="s">
        <v>758</v>
      </c>
    </row>
    <row r="4036">
      <c r="A4036" s="250">
        <v>45795.775740000005</v>
      </c>
      <c r="B4036" s="251" t="s">
        <v>1693</v>
      </c>
      <c r="C4036" s="178" t="s">
        <v>5200</v>
      </c>
      <c r="D4036" s="36">
        <v>59871.66666666666</v>
      </c>
      <c r="E4036" s="36" t="s">
        <v>1683</v>
      </c>
      <c r="F4036" s="178" t="s">
        <v>758</v>
      </c>
    </row>
    <row r="4037">
      <c r="A4037" s="250">
        <v>45795.775740000005</v>
      </c>
      <c r="B4037" s="251" t="s">
        <v>1684</v>
      </c>
      <c r="C4037" s="178" t="s">
        <v>5201</v>
      </c>
      <c r="D4037" s="36" t="s">
        <v>1683</v>
      </c>
      <c r="E4037" s="36">
        <v>59871.66666666666</v>
      </c>
      <c r="F4037" s="178" t="s">
        <v>758</v>
      </c>
    </row>
    <row r="4038">
      <c r="A4038" s="250">
        <v>45795.77578</v>
      </c>
      <c r="B4038" s="251" t="s">
        <v>1693</v>
      </c>
      <c r="C4038" s="178" t="s">
        <v>5202</v>
      </c>
      <c r="D4038" s="36">
        <v>59871.66666666666</v>
      </c>
      <c r="E4038" s="36" t="s">
        <v>1683</v>
      </c>
      <c r="F4038" s="178" t="s">
        <v>758</v>
      </c>
    </row>
    <row r="4039">
      <c r="A4039" s="250">
        <v>45795.77578</v>
      </c>
      <c r="B4039" s="251" t="s">
        <v>1684</v>
      </c>
      <c r="C4039" s="178" t="s">
        <v>5203</v>
      </c>
      <c r="D4039" s="36" t="s">
        <v>1683</v>
      </c>
      <c r="E4039" s="36">
        <v>59871.66666666666</v>
      </c>
      <c r="F4039" s="178" t="s">
        <v>758</v>
      </c>
    </row>
    <row r="4040">
      <c r="A4040" s="250">
        <v>45795.77582</v>
      </c>
      <c r="B4040" s="251" t="s">
        <v>1693</v>
      </c>
      <c r="C4040" s="178" t="s">
        <v>5204</v>
      </c>
      <c r="D4040" s="36">
        <v>59871.66666666666</v>
      </c>
      <c r="E4040" s="36" t="s">
        <v>1683</v>
      </c>
      <c r="F4040" s="178" t="s">
        <v>758</v>
      </c>
    </row>
    <row r="4041">
      <c r="A4041" s="250">
        <v>45795.77582</v>
      </c>
      <c r="B4041" s="251" t="s">
        <v>1684</v>
      </c>
      <c r="C4041" s="178" t="s">
        <v>5205</v>
      </c>
      <c r="D4041" s="36" t="s">
        <v>1683</v>
      </c>
      <c r="E4041" s="36">
        <v>59871.66666666666</v>
      </c>
      <c r="F4041" s="178" t="s">
        <v>758</v>
      </c>
    </row>
    <row r="4042">
      <c r="A4042" s="250">
        <v>45795.77592</v>
      </c>
      <c r="B4042" s="251" t="s">
        <v>1693</v>
      </c>
      <c r="C4042" s="178" t="s">
        <v>5206</v>
      </c>
      <c r="D4042" s="36">
        <v>59871.66666666666</v>
      </c>
      <c r="E4042" s="36" t="s">
        <v>1683</v>
      </c>
      <c r="F4042" s="178" t="s">
        <v>758</v>
      </c>
    </row>
    <row r="4043">
      <c r="A4043" s="250">
        <v>45795.77592</v>
      </c>
      <c r="B4043" s="251" t="s">
        <v>1684</v>
      </c>
      <c r="C4043" s="178" t="s">
        <v>5207</v>
      </c>
      <c r="D4043" s="36" t="s">
        <v>1683</v>
      </c>
      <c r="E4043" s="36">
        <v>59871.66666666666</v>
      </c>
      <c r="F4043" s="178" t="s">
        <v>758</v>
      </c>
    </row>
    <row r="4044">
      <c r="A4044" s="250">
        <v>45795.77598</v>
      </c>
      <c r="B4044" s="251" t="s">
        <v>1693</v>
      </c>
      <c r="C4044" s="178" t="s">
        <v>5208</v>
      </c>
      <c r="D4044" s="36">
        <v>59871.66666666666</v>
      </c>
      <c r="E4044" s="36" t="s">
        <v>1683</v>
      </c>
      <c r="F4044" s="178" t="s">
        <v>758</v>
      </c>
    </row>
    <row r="4045">
      <c r="A4045" s="250">
        <v>45795.77598</v>
      </c>
      <c r="B4045" s="251" t="s">
        <v>1684</v>
      </c>
      <c r="C4045" s="178" t="s">
        <v>5209</v>
      </c>
      <c r="D4045" s="36" t="s">
        <v>1683</v>
      </c>
      <c r="E4045" s="36">
        <v>59871.66666666666</v>
      </c>
      <c r="F4045" s="178" t="s">
        <v>758</v>
      </c>
    </row>
    <row r="4046">
      <c r="A4046" s="250">
        <v>45795.78186</v>
      </c>
      <c r="B4046" s="251" t="s">
        <v>1693</v>
      </c>
      <c r="C4046" s="178" t="s">
        <v>5210</v>
      </c>
      <c r="D4046" s="36">
        <v>44600.0</v>
      </c>
      <c r="E4046" s="36" t="s">
        <v>1683</v>
      </c>
      <c r="F4046" s="178" t="s">
        <v>774</v>
      </c>
    </row>
    <row r="4047">
      <c r="A4047" s="250">
        <v>45795.78186</v>
      </c>
      <c r="B4047" s="251" t="s">
        <v>1684</v>
      </c>
      <c r="C4047" s="178" t="s">
        <v>5211</v>
      </c>
      <c r="D4047" s="36" t="s">
        <v>1683</v>
      </c>
      <c r="E4047" s="36">
        <v>44600.0</v>
      </c>
      <c r="F4047" s="178" t="s">
        <v>774</v>
      </c>
    </row>
    <row r="4048">
      <c r="A4048" s="250">
        <v>45795.78208</v>
      </c>
      <c r="B4048" s="251" t="s">
        <v>1693</v>
      </c>
      <c r="C4048" s="178" t="s">
        <v>5212</v>
      </c>
      <c r="D4048" s="36">
        <v>65179.99999999999</v>
      </c>
      <c r="E4048" s="36" t="s">
        <v>1683</v>
      </c>
      <c r="F4048" s="178" t="s">
        <v>774</v>
      </c>
    </row>
    <row r="4049">
      <c r="A4049" s="250">
        <v>45795.78208</v>
      </c>
      <c r="B4049" s="251" t="s">
        <v>1684</v>
      </c>
      <c r="C4049" s="178" t="s">
        <v>5213</v>
      </c>
      <c r="D4049" s="36" t="s">
        <v>1683</v>
      </c>
      <c r="E4049" s="36">
        <v>65179.99999999999</v>
      </c>
      <c r="F4049" s="178" t="s">
        <v>774</v>
      </c>
    </row>
    <row r="4050">
      <c r="A4050" s="250">
        <v>45797.44030777778</v>
      </c>
      <c r="B4050" s="251" t="s">
        <v>2622</v>
      </c>
      <c r="C4050" s="178" t="s">
        <v>5214</v>
      </c>
      <c r="D4050" s="36">
        <v>59871.66666666666</v>
      </c>
      <c r="E4050" s="36" t="s">
        <v>1683</v>
      </c>
      <c r="F4050" s="178" t="s">
        <v>758</v>
      </c>
    </row>
    <row r="4051">
      <c r="A4051" s="250">
        <v>45797.44030777778</v>
      </c>
      <c r="B4051" s="251" t="s">
        <v>1698</v>
      </c>
      <c r="C4051" s="178" t="s">
        <v>5180</v>
      </c>
      <c r="D4051" s="36" t="s">
        <v>1683</v>
      </c>
      <c r="E4051" s="36">
        <v>59871.66666666666</v>
      </c>
      <c r="F4051" s="178" t="s">
        <v>758</v>
      </c>
    </row>
    <row r="4052">
      <c r="A4052" s="250">
        <v>45797.44034777778</v>
      </c>
      <c r="B4052" s="251" t="s">
        <v>3313</v>
      </c>
      <c r="C4052" s="178" t="s">
        <v>5215</v>
      </c>
      <c r="D4052" s="36">
        <v>59871.66666666666</v>
      </c>
      <c r="E4052" s="36" t="s">
        <v>1683</v>
      </c>
      <c r="F4052" s="178" t="s">
        <v>758</v>
      </c>
    </row>
    <row r="4053">
      <c r="A4053" s="250">
        <v>45797.44034777778</v>
      </c>
      <c r="B4053" s="251" t="s">
        <v>1698</v>
      </c>
      <c r="C4053" s="178" t="s">
        <v>5182</v>
      </c>
      <c r="D4053" s="36" t="s">
        <v>1683</v>
      </c>
      <c r="E4053" s="36">
        <v>59871.66666666666</v>
      </c>
      <c r="F4053" s="178" t="s">
        <v>758</v>
      </c>
    </row>
    <row r="4054">
      <c r="A4054" s="250">
        <v>45797.440417777776</v>
      </c>
      <c r="B4054" s="251" t="s">
        <v>5216</v>
      </c>
      <c r="C4054" s="178" t="s">
        <v>5217</v>
      </c>
      <c r="D4054" s="36">
        <v>59871.66666666666</v>
      </c>
      <c r="E4054" s="36" t="s">
        <v>1683</v>
      </c>
      <c r="F4054" s="178" t="s">
        <v>758</v>
      </c>
    </row>
    <row r="4055">
      <c r="A4055" s="250">
        <v>45797.440417777776</v>
      </c>
      <c r="B4055" s="251" t="s">
        <v>1698</v>
      </c>
      <c r="C4055" s="178" t="s">
        <v>5184</v>
      </c>
      <c r="D4055" s="36" t="s">
        <v>1683</v>
      </c>
      <c r="E4055" s="36">
        <v>59871.66666666666</v>
      </c>
      <c r="F4055" s="178" t="s">
        <v>758</v>
      </c>
    </row>
    <row r="4056">
      <c r="A4056" s="250">
        <v>45797.44070777778</v>
      </c>
      <c r="B4056" s="251" t="s">
        <v>2314</v>
      </c>
      <c r="C4056" s="178" t="s">
        <v>5218</v>
      </c>
      <c r="D4056" s="36">
        <v>59871.66666666666</v>
      </c>
      <c r="E4056" s="36" t="s">
        <v>1683</v>
      </c>
      <c r="F4056" s="178" t="s">
        <v>758</v>
      </c>
    </row>
    <row r="4057">
      <c r="A4057" s="250">
        <v>45797.44070777778</v>
      </c>
      <c r="B4057" s="251" t="s">
        <v>1698</v>
      </c>
      <c r="C4057" s="178" t="s">
        <v>5186</v>
      </c>
      <c r="D4057" s="36" t="s">
        <v>1683</v>
      </c>
      <c r="E4057" s="36">
        <v>59871.66666666666</v>
      </c>
      <c r="F4057" s="178" t="s">
        <v>758</v>
      </c>
    </row>
    <row r="4058">
      <c r="A4058" s="250">
        <v>45797.44071777778</v>
      </c>
      <c r="B4058" s="251" t="s">
        <v>2314</v>
      </c>
      <c r="C4058" s="178" t="s">
        <v>5219</v>
      </c>
      <c r="D4058" s="36">
        <v>59871.66666666666</v>
      </c>
      <c r="E4058" s="36" t="s">
        <v>1683</v>
      </c>
      <c r="F4058" s="178" t="s">
        <v>758</v>
      </c>
    </row>
    <row r="4059">
      <c r="A4059" s="250">
        <v>45797.44071777778</v>
      </c>
      <c r="B4059" s="251" t="s">
        <v>1698</v>
      </c>
      <c r="C4059" s="178" t="s">
        <v>5188</v>
      </c>
      <c r="D4059" s="36" t="s">
        <v>1683</v>
      </c>
      <c r="E4059" s="36">
        <v>59871.66666666666</v>
      </c>
      <c r="F4059" s="178" t="s">
        <v>758</v>
      </c>
    </row>
    <row r="4060">
      <c r="A4060" s="250">
        <v>45797.44074777778</v>
      </c>
      <c r="B4060" s="251" t="s">
        <v>2316</v>
      </c>
      <c r="C4060" s="178" t="s">
        <v>5220</v>
      </c>
      <c r="D4060" s="36">
        <v>59871.66666666666</v>
      </c>
      <c r="E4060" s="36" t="s">
        <v>1683</v>
      </c>
      <c r="F4060" s="178" t="s">
        <v>758</v>
      </c>
    </row>
    <row r="4061">
      <c r="A4061" s="250">
        <v>45797.44074777778</v>
      </c>
      <c r="B4061" s="251" t="s">
        <v>1698</v>
      </c>
      <c r="C4061" s="178" t="s">
        <v>5190</v>
      </c>
      <c r="D4061" s="36" t="s">
        <v>1683</v>
      </c>
      <c r="E4061" s="36">
        <v>59871.66666666666</v>
      </c>
      <c r="F4061" s="178" t="s">
        <v>758</v>
      </c>
    </row>
    <row r="4062">
      <c r="A4062" s="250">
        <v>45797.44082777778</v>
      </c>
      <c r="B4062" s="251" t="s">
        <v>2626</v>
      </c>
      <c r="C4062" s="178" t="s">
        <v>5221</v>
      </c>
      <c r="D4062" s="36">
        <v>59871.66666666666</v>
      </c>
      <c r="E4062" s="36" t="s">
        <v>1683</v>
      </c>
      <c r="F4062" s="178" t="s">
        <v>758</v>
      </c>
    </row>
    <row r="4063">
      <c r="A4063" s="250">
        <v>45797.44082777778</v>
      </c>
      <c r="B4063" s="251" t="s">
        <v>1698</v>
      </c>
      <c r="C4063" s="178" t="s">
        <v>5192</v>
      </c>
      <c r="D4063" s="36" t="s">
        <v>1683</v>
      </c>
      <c r="E4063" s="36">
        <v>59871.66666666666</v>
      </c>
      <c r="F4063" s="178" t="s">
        <v>758</v>
      </c>
    </row>
    <row r="4064">
      <c r="A4064" s="250">
        <v>45797.44085777778</v>
      </c>
      <c r="B4064" s="251" t="s">
        <v>3607</v>
      </c>
      <c r="C4064" s="178" t="s">
        <v>5222</v>
      </c>
      <c r="D4064" s="36">
        <v>59871.66666666666</v>
      </c>
      <c r="E4064" s="36" t="s">
        <v>1683</v>
      </c>
      <c r="F4064" s="178" t="s">
        <v>758</v>
      </c>
    </row>
    <row r="4065">
      <c r="A4065" s="250">
        <v>45797.44085777778</v>
      </c>
      <c r="B4065" s="251" t="s">
        <v>1698</v>
      </c>
      <c r="C4065" s="178" t="s">
        <v>5194</v>
      </c>
      <c r="D4065" s="36" t="s">
        <v>1683</v>
      </c>
      <c r="E4065" s="36">
        <v>59871.66666666666</v>
      </c>
      <c r="F4065" s="178" t="s">
        <v>758</v>
      </c>
    </row>
    <row r="4066">
      <c r="A4066" s="250">
        <v>45797.44094777778</v>
      </c>
      <c r="B4066" s="251" t="s">
        <v>2318</v>
      </c>
      <c r="C4066" s="178" t="s">
        <v>5223</v>
      </c>
      <c r="D4066" s="36">
        <v>59871.66666666666</v>
      </c>
      <c r="E4066" s="36" t="s">
        <v>1683</v>
      </c>
      <c r="F4066" s="178" t="s">
        <v>758</v>
      </c>
    </row>
    <row r="4067">
      <c r="A4067" s="250">
        <v>45797.44094777778</v>
      </c>
      <c r="B4067" s="251" t="s">
        <v>1698</v>
      </c>
      <c r="C4067" s="178" t="s">
        <v>5196</v>
      </c>
      <c r="D4067" s="36" t="s">
        <v>1683</v>
      </c>
      <c r="E4067" s="36">
        <v>59871.66666666666</v>
      </c>
      <c r="F4067" s="178" t="s">
        <v>758</v>
      </c>
    </row>
    <row r="4068">
      <c r="A4068" s="250">
        <v>45797.44100777778</v>
      </c>
      <c r="B4068" s="251" t="s">
        <v>5224</v>
      </c>
      <c r="C4068" s="178" t="s">
        <v>5225</v>
      </c>
      <c r="D4068" s="36">
        <v>59871.66666666666</v>
      </c>
      <c r="E4068" s="36" t="s">
        <v>1683</v>
      </c>
      <c r="F4068" s="178" t="s">
        <v>758</v>
      </c>
    </row>
    <row r="4069">
      <c r="A4069" s="250">
        <v>45797.44100777778</v>
      </c>
      <c r="B4069" s="251" t="s">
        <v>1698</v>
      </c>
      <c r="C4069" s="178" t="s">
        <v>5198</v>
      </c>
      <c r="D4069" s="36" t="s">
        <v>1683</v>
      </c>
      <c r="E4069" s="36">
        <v>59871.66666666666</v>
      </c>
      <c r="F4069" s="178" t="s">
        <v>758</v>
      </c>
    </row>
    <row r="4070">
      <c r="A4070" s="250">
        <v>45797.44101777778</v>
      </c>
      <c r="B4070" s="251" t="s">
        <v>2643</v>
      </c>
      <c r="C4070" s="178" t="s">
        <v>5226</v>
      </c>
      <c r="D4070" s="36">
        <v>59871.66666666666</v>
      </c>
      <c r="E4070" s="36" t="s">
        <v>1683</v>
      </c>
      <c r="F4070" s="178" t="s">
        <v>758</v>
      </c>
    </row>
    <row r="4071">
      <c r="A4071" s="250">
        <v>45797.44101777778</v>
      </c>
      <c r="B4071" s="251" t="s">
        <v>1698</v>
      </c>
      <c r="C4071" s="178" t="s">
        <v>5200</v>
      </c>
      <c r="D4071" s="36" t="s">
        <v>1683</v>
      </c>
      <c r="E4071" s="36">
        <v>59871.66666666666</v>
      </c>
      <c r="F4071" s="178" t="s">
        <v>758</v>
      </c>
    </row>
    <row r="4072">
      <c r="A4072" s="250">
        <v>45797.44105777778</v>
      </c>
      <c r="B4072" s="251" t="s">
        <v>2320</v>
      </c>
      <c r="C4072" s="178" t="s">
        <v>5227</v>
      </c>
      <c r="D4072" s="36">
        <v>59871.66666666666</v>
      </c>
      <c r="E4072" s="36" t="s">
        <v>1683</v>
      </c>
      <c r="F4072" s="178" t="s">
        <v>758</v>
      </c>
    </row>
    <row r="4073">
      <c r="A4073" s="250">
        <v>45797.44105777778</v>
      </c>
      <c r="B4073" s="251" t="s">
        <v>1698</v>
      </c>
      <c r="C4073" s="178" t="s">
        <v>5202</v>
      </c>
      <c r="D4073" s="36" t="s">
        <v>1683</v>
      </c>
      <c r="E4073" s="36">
        <v>59871.66666666666</v>
      </c>
      <c r="F4073" s="178" t="s">
        <v>758</v>
      </c>
    </row>
    <row r="4074">
      <c r="A4074" s="250">
        <v>45797.44109777778</v>
      </c>
      <c r="B4074" s="251" t="s">
        <v>5228</v>
      </c>
      <c r="C4074" s="178" t="s">
        <v>5229</v>
      </c>
      <c r="D4074" s="36">
        <v>59871.66666666666</v>
      </c>
      <c r="E4074" s="36" t="s">
        <v>1683</v>
      </c>
      <c r="F4074" s="178" t="s">
        <v>758</v>
      </c>
    </row>
    <row r="4075">
      <c r="A4075" s="250">
        <v>45797.44109777778</v>
      </c>
      <c r="B4075" s="251" t="s">
        <v>1698</v>
      </c>
      <c r="C4075" s="178" t="s">
        <v>5204</v>
      </c>
      <c r="D4075" s="36" t="s">
        <v>1683</v>
      </c>
      <c r="E4075" s="36">
        <v>59871.66666666666</v>
      </c>
      <c r="F4075" s="178" t="s">
        <v>758</v>
      </c>
    </row>
    <row r="4076">
      <c r="A4076" s="250">
        <v>45797.44119777778</v>
      </c>
      <c r="B4076" s="251" t="s">
        <v>5230</v>
      </c>
      <c r="C4076" s="178" t="s">
        <v>5231</v>
      </c>
      <c r="D4076" s="36">
        <v>59871.66666666666</v>
      </c>
      <c r="E4076" s="36" t="s">
        <v>1683</v>
      </c>
      <c r="F4076" s="178" t="s">
        <v>758</v>
      </c>
    </row>
    <row r="4077">
      <c r="A4077" s="250">
        <v>45797.44119777778</v>
      </c>
      <c r="B4077" s="251" t="s">
        <v>1698</v>
      </c>
      <c r="C4077" s="178" t="s">
        <v>5206</v>
      </c>
      <c r="D4077" s="36" t="s">
        <v>1683</v>
      </c>
      <c r="E4077" s="36">
        <v>59871.66666666666</v>
      </c>
      <c r="F4077" s="178" t="s">
        <v>758</v>
      </c>
    </row>
    <row r="4078">
      <c r="A4078" s="250">
        <v>45797.44125777778</v>
      </c>
      <c r="B4078" s="251" t="s">
        <v>5232</v>
      </c>
      <c r="C4078" s="178" t="s">
        <v>5233</v>
      </c>
      <c r="D4078" s="36">
        <v>59871.66666666666</v>
      </c>
      <c r="E4078" s="36" t="s">
        <v>1683</v>
      </c>
      <c r="F4078" s="178" t="s">
        <v>758</v>
      </c>
    </row>
    <row r="4079">
      <c r="A4079" s="250">
        <v>45797.44125777778</v>
      </c>
      <c r="B4079" s="251" t="s">
        <v>1698</v>
      </c>
      <c r="C4079" s="178" t="s">
        <v>5208</v>
      </c>
      <c r="D4079" s="36" t="s">
        <v>1683</v>
      </c>
      <c r="E4079" s="36">
        <v>59871.66666666666</v>
      </c>
      <c r="F4079" s="178" t="s">
        <v>758</v>
      </c>
    </row>
    <row r="4080">
      <c r="A4080" s="250">
        <v>45798.55338777778</v>
      </c>
      <c r="B4080" s="251" t="s">
        <v>2641</v>
      </c>
      <c r="C4080" s="178" t="s">
        <v>5234</v>
      </c>
      <c r="D4080" s="36">
        <v>44600.0</v>
      </c>
      <c r="E4080" s="36" t="s">
        <v>1683</v>
      </c>
      <c r="F4080" s="178" t="s">
        <v>774</v>
      </c>
    </row>
    <row r="4081">
      <c r="A4081" s="250">
        <v>45798.55338777778</v>
      </c>
      <c r="B4081" s="251" t="s">
        <v>1698</v>
      </c>
      <c r="C4081" s="178" t="s">
        <v>5210</v>
      </c>
      <c r="D4081" s="36" t="s">
        <v>1683</v>
      </c>
      <c r="E4081" s="36">
        <v>44600.0</v>
      </c>
      <c r="F4081" s="178" t="s">
        <v>774</v>
      </c>
    </row>
    <row r="4082">
      <c r="A4082" s="250">
        <v>45798.55360777777</v>
      </c>
      <c r="B4082" s="251" t="s">
        <v>2996</v>
      </c>
      <c r="C4082" s="178" t="s">
        <v>5235</v>
      </c>
      <c r="D4082" s="36">
        <v>65179.99999999999</v>
      </c>
      <c r="E4082" s="36" t="s">
        <v>1683</v>
      </c>
      <c r="F4082" s="178" t="s">
        <v>774</v>
      </c>
    </row>
    <row r="4083">
      <c r="A4083" s="250">
        <v>45798.55360777777</v>
      </c>
      <c r="B4083" s="251" t="s">
        <v>1698</v>
      </c>
      <c r="C4083" s="178" t="s">
        <v>5212</v>
      </c>
      <c r="D4083" s="36" t="s">
        <v>1683</v>
      </c>
      <c r="E4083" s="36">
        <v>65179.99999999999</v>
      </c>
      <c r="F4083" s="178" t="s">
        <v>774</v>
      </c>
    </row>
    <row r="4084">
      <c r="A4084" s="250">
        <v>45801.86135111111</v>
      </c>
      <c r="B4084" s="251" t="s">
        <v>1693</v>
      </c>
      <c r="C4084" s="178" t="s">
        <v>5236</v>
      </c>
      <c r="D4084" s="36">
        <v>39900.0</v>
      </c>
      <c r="E4084" s="36" t="s">
        <v>1683</v>
      </c>
      <c r="F4084" s="178" t="s">
        <v>356</v>
      </c>
    </row>
    <row r="4085">
      <c r="A4085" s="250">
        <v>45801.86135111111</v>
      </c>
      <c r="B4085" s="251" t="s">
        <v>1684</v>
      </c>
      <c r="C4085" s="178" t="s">
        <v>5237</v>
      </c>
      <c r="D4085" s="36" t="s">
        <v>1683</v>
      </c>
      <c r="E4085" s="36">
        <v>39900.0</v>
      </c>
      <c r="F4085" s="178" t="s">
        <v>356</v>
      </c>
    </row>
    <row r="4086">
      <c r="A4086" s="250">
        <v>45801.87800777778</v>
      </c>
      <c r="B4086" s="251" t="s">
        <v>1693</v>
      </c>
      <c r="C4086" s="178" t="s">
        <v>5238</v>
      </c>
      <c r="D4086" s="36">
        <v>148900.0</v>
      </c>
      <c r="E4086" s="36" t="s">
        <v>1683</v>
      </c>
      <c r="F4086" s="178" t="s">
        <v>355</v>
      </c>
    </row>
    <row r="4087">
      <c r="A4087" s="250">
        <v>45801.87800777778</v>
      </c>
      <c r="B4087" s="251" t="s">
        <v>1684</v>
      </c>
      <c r="C4087" s="178" t="s">
        <v>5239</v>
      </c>
      <c r="D4087" s="36" t="s">
        <v>1683</v>
      </c>
      <c r="E4087" s="36">
        <v>148900.0</v>
      </c>
      <c r="F4087" s="178" t="s">
        <v>355</v>
      </c>
    </row>
    <row r="4088">
      <c r="A4088" s="250">
        <v>45802.002008888885</v>
      </c>
      <c r="B4088" s="251" t="s">
        <v>1693</v>
      </c>
      <c r="C4088" s="178" t="s">
        <v>5240</v>
      </c>
      <c r="D4088" s="36">
        <v>47920.0</v>
      </c>
      <c r="E4088" s="36" t="s">
        <v>1683</v>
      </c>
      <c r="F4088" s="178" t="s">
        <v>182</v>
      </c>
    </row>
    <row r="4089">
      <c r="A4089" s="250">
        <v>45802.002008888885</v>
      </c>
      <c r="B4089" s="251" t="s">
        <v>1684</v>
      </c>
      <c r="C4089" s="178" t="s">
        <v>5241</v>
      </c>
      <c r="D4089" s="36" t="s">
        <v>1683</v>
      </c>
      <c r="E4089" s="36">
        <v>47920.0</v>
      </c>
      <c r="F4089" s="178" t="s">
        <v>182</v>
      </c>
    </row>
    <row r="4090">
      <c r="A4090" s="250">
        <v>45802.00207888889</v>
      </c>
      <c r="B4090" s="251" t="s">
        <v>1693</v>
      </c>
      <c r="C4090" s="178" t="s">
        <v>5242</v>
      </c>
      <c r="D4090" s="36">
        <v>680928.0</v>
      </c>
      <c r="E4090" s="36" t="s">
        <v>1683</v>
      </c>
      <c r="F4090" s="178" t="s">
        <v>182</v>
      </c>
    </row>
    <row r="4091">
      <c r="A4091" s="250">
        <v>45802.00207888889</v>
      </c>
      <c r="B4091" s="251" t="s">
        <v>1684</v>
      </c>
      <c r="C4091" s="178" t="s">
        <v>5243</v>
      </c>
      <c r="D4091" s="36" t="s">
        <v>1683</v>
      </c>
      <c r="E4091" s="36">
        <v>680928.0</v>
      </c>
      <c r="F4091" s="178" t="s">
        <v>182</v>
      </c>
    </row>
    <row r="4092">
      <c r="A4092" s="250">
        <v>45802.068175555556</v>
      </c>
      <c r="B4092" s="251" t="s">
        <v>1693</v>
      </c>
      <c r="C4092" s="178" t="s">
        <v>5244</v>
      </c>
      <c r="D4092" s="36">
        <v>1422378.0</v>
      </c>
      <c r="E4092" s="36" t="s">
        <v>1683</v>
      </c>
      <c r="F4092" s="178" t="s">
        <v>456</v>
      </c>
    </row>
    <row r="4093">
      <c r="A4093" s="250">
        <v>45802.068175555556</v>
      </c>
      <c r="B4093" s="251" t="s">
        <v>1684</v>
      </c>
      <c r="C4093" s="178" t="s">
        <v>5245</v>
      </c>
      <c r="D4093" s="36" t="s">
        <v>1683</v>
      </c>
      <c r="E4093" s="36">
        <v>1422378.0</v>
      </c>
      <c r="F4093" s="178" t="s">
        <v>456</v>
      </c>
    </row>
    <row r="4094">
      <c r="A4094" s="250">
        <v>45802.06830555556</v>
      </c>
      <c r="B4094" s="251" t="s">
        <v>1693</v>
      </c>
      <c r="C4094" s="178" t="s">
        <v>5246</v>
      </c>
      <c r="D4094" s="36">
        <v>2340622.0</v>
      </c>
      <c r="E4094" s="36" t="s">
        <v>1683</v>
      </c>
      <c r="F4094" s="178" t="s">
        <v>242</v>
      </c>
    </row>
    <row r="4095">
      <c r="A4095" s="250">
        <v>45802.06830555556</v>
      </c>
      <c r="B4095" s="251" t="s">
        <v>1684</v>
      </c>
      <c r="C4095" s="178" t="s">
        <v>5247</v>
      </c>
      <c r="D4095" s="36" t="s">
        <v>1683</v>
      </c>
      <c r="E4095" s="36">
        <v>2340622.0</v>
      </c>
      <c r="F4095" s="178" t="s">
        <v>242</v>
      </c>
    </row>
    <row r="4096">
      <c r="A4096" s="250">
        <v>45802.07228777778</v>
      </c>
      <c r="B4096" s="251" t="s">
        <v>1693</v>
      </c>
      <c r="C4096" s="178" t="s">
        <v>5248</v>
      </c>
      <c r="D4096" s="36">
        <v>2499.9999999999995</v>
      </c>
      <c r="E4096" s="36" t="s">
        <v>1683</v>
      </c>
      <c r="F4096" s="178" t="s">
        <v>411</v>
      </c>
    </row>
    <row r="4097">
      <c r="A4097" s="250">
        <v>45802.07228777778</v>
      </c>
      <c r="B4097" s="251" t="s">
        <v>1684</v>
      </c>
      <c r="C4097" s="178" t="s">
        <v>5249</v>
      </c>
      <c r="D4097" s="36" t="s">
        <v>1683</v>
      </c>
      <c r="E4097" s="36">
        <v>2499.9999999999995</v>
      </c>
      <c r="F4097" s="178" t="s">
        <v>411</v>
      </c>
    </row>
    <row r="4098">
      <c r="A4098" s="250">
        <v>45802.480935555555</v>
      </c>
      <c r="B4098" s="251" t="s">
        <v>1693</v>
      </c>
      <c r="C4098" s="178" t="s">
        <v>5250</v>
      </c>
      <c r="D4098" s="36">
        <v>583100.0</v>
      </c>
      <c r="E4098" s="36" t="s">
        <v>1683</v>
      </c>
      <c r="F4098" s="178" t="s">
        <v>258</v>
      </c>
    </row>
    <row r="4099">
      <c r="A4099" s="250">
        <v>45802.480935555555</v>
      </c>
      <c r="B4099" s="251" t="s">
        <v>1684</v>
      </c>
      <c r="C4099" s="178" t="s">
        <v>5251</v>
      </c>
      <c r="D4099" s="36" t="s">
        <v>1683</v>
      </c>
      <c r="E4099" s="36">
        <v>583100.0</v>
      </c>
      <c r="F4099" s="178" t="s">
        <v>258</v>
      </c>
    </row>
    <row r="4100">
      <c r="A4100" s="250">
        <v>45802.6564</v>
      </c>
      <c r="B4100" s="251" t="s">
        <v>3006</v>
      </c>
      <c r="C4100" s="178" t="s">
        <v>5252</v>
      </c>
      <c r="D4100" s="36">
        <v>1040408.9999999999</v>
      </c>
      <c r="E4100" s="36" t="s">
        <v>1683</v>
      </c>
      <c r="F4100" s="178" t="s">
        <v>104</v>
      </c>
    </row>
    <row r="4101">
      <c r="A4101" s="250">
        <v>45802.6564</v>
      </c>
      <c r="B4101" s="251" t="s">
        <v>1684</v>
      </c>
      <c r="C4101" s="178" t="s">
        <v>5253</v>
      </c>
      <c r="D4101" s="36" t="s">
        <v>1683</v>
      </c>
      <c r="E4101" s="36">
        <v>1040408.9999999999</v>
      </c>
      <c r="F4101" s="178" t="s">
        <v>104</v>
      </c>
    </row>
    <row r="4102">
      <c r="A4102" s="250">
        <v>45802.65693</v>
      </c>
      <c r="B4102" s="251" t="s">
        <v>3006</v>
      </c>
      <c r="C4102" s="178" t="s">
        <v>5254</v>
      </c>
      <c r="D4102" s="36">
        <v>134532.0</v>
      </c>
      <c r="E4102" s="36" t="s">
        <v>1683</v>
      </c>
      <c r="F4102" s="178" t="s">
        <v>104</v>
      </c>
    </row>
    <row r="4103">
      <c r="A4103" s="250">
        <v>45802.65693</v>
      </c>
      <c r="B4103" s="251" t="s">
        <v>1684</v>
      </c>
      <c r="C4103" s="178" t="s">
        <v>5255</v>
      </c>
      <c r="D4103" s="36" t="s">
        <v>1683</v>
      </c>
      <c r="E4103" s="36">
        <v>134532.0</v>
      </c>
      <c r="F4103" s="178" t="s">
        <v>104</v>
      </c>
    </row>
    <row r="4104">
      <c r="A4104" s="250">
        <v>45804.74873111111</v>
      </c>
      <c r="B4104" s="251" t="s">
        <v>3916</v>
      </c>
      <c r="C4104" s="178" t="s">
        <v>5256</v>
      </c>
      <c r="D4104" s="36">
        <v>1422378.0</v>
      </c>
      <c r="E4104" s="36" t="s">
        <v>1683</v>
      </c>
      <c r="F4104" s="178" t="s">
        <v>456</v>
      </c>
    </row>
    <row r="4105">
      <c r="A4105" s="250">
        <v>45804.74873111111</v>
      </c>
      <c r="B4105" s="251" t="s">
        <v>1698</v>
      </c>
      <c r="C4105" s="178" t="s">
        <v>5244</v>
      </c>
      <c r="D4105" s="36" t="s">
        <v>1683</v>
      </c>
      <c r="E4105" s="36">
        <v>1422378.0</v>
      </c>
      <c r="F4105" s="178" t="s">
        <v>456</v>
      </c>
    </row>
    <row r="4106">
      <c r="A4106" s="250">
        <v>45804.74884111111</v>
      </c>
      <c r="B4106" s="251" t="s">
        <v>3257</v>
      </c>
      <c r="C4106" s="178" t="s">
        <v>5257</v>
      </c>
      <c r="D4106" s="36">
        <v>148900.0</v>
      </c>
      <c r="E4106" s="36" t="s">
        <v>1683</v>
      </c>
      <c r="F4106" s="178" t="s">
        <v>355</v>
      </c>
    </row>
    <row r="4107">
      <c r="A4107" s="250">
        <v>45804.74884111111</v>
      </c>
      <c r="B4107" s="251" t="s">
        <v>1698</v>
      </c>
      <c r="C4107" s="178" t="s">
        <v>5238</v>
      </c>
      <c r="D4107" s="36" t="s">
        <v>1683</v>
      </c>
      <c r="E4107" s="36">
        <v>148900.0</v>
      </c>
      <c r="F4107" s="178" t="s">
        <v>355</v>
      </c>
    </row>
    <row r="4108">
      <c r="A4108" s="250">
        <v>45804.748851111115</v>
      </c>
      <c r="B4108" s="251" t="s">
        <v>3257</v>
      </c>
      <c r="C4108" s="178" t="s">
        <v>5258</v>
      </c>
      <c r="D4108" s="36">
        <v>39900.0</v>
      </c>
      <c r="E4108" s="36" t="s">
        <v>1683</v>
      </c>
      <c r="F4108" s="178" t="s">
        <v>356</v>
      </c>
    </row>
    <row r="4109">
      <c r="A4109" s="250">
        <v>45804.748851111115</v>
      </c>
      <c r="B4109" s="251" t="s">
        <v>1698</v>
      </c>
      <c r="C4109" s="178" t="s">
        <v>5236</v>
      </c>
      <c r="D4109" s="36" t="s">
        <v>1683</v>
      </c>
      <c r="E4109" s="36">
        <v>39900.0</v>
      </c>
      <c r="F4109" s="178" t="s">
        <v>356</v>
      </c>
    </row>
    <row r="4110">
      <c r="A4110" s="250">
        <v>45805.391732222226</v>
      </c>
      <c r="B4110" s="251" t="s">
        <v>1844</v>
      </c>
      <c r="C4110" s="178" t="s">
        <v>5259</v>
      </c>
      <c r="D4110" s="36">
        <v>2499.9999999999995</v>
      </c>
      <c r="E4110" s="36" t="s">
        <v>1683</v>
      </c>
      <c r="F4110" s="178" t="s">
        <v>411</v>
      </c>
    </row>
    <row r="4111">
      <c r="A4111" s="250">
        <v>45805.391732222226</v>
      </c>
      <c r="B4111" s="251" t="s">
        <v>1698</v>
      </c>
      <c r="C4111" s="178" t="s">
        <v>5248</v>
      </c>
      <c r="D4111" s="36" t="s">
        <v>1683</v>
      </c>
      <c r="E4111" s="36">
        <v>2499.9999999999995</v>
      </c>
      <c r="F4111" s="178" t="s">
        <v>411</v>
      </c>
    </row>
    <row r="4112">
      <c r="A4112" s="250">
        <v>45805.48371333333</v>
      </c>
      <c r="B4112" s="251" t="s">
        <v>3396</v>
      </c>
      <c r="C4112" s="178" t="s">
        <v>5260</v>
      </c>
      <c r="D4112" s="36">
        <v>583100.0</v>
      </c>
      <c r="E4112" s="36" t="s">
        <v>1683</v>
      </c>
      <c r="F4112" s="178" t="s">
        <v>258</v>
      </c>
    </row>
    <row r="4113">
      <c r="A4113" s="250">
        <v>45805.48371333333</v>
      </c>
      <c r="B4113" s="251" t="s">
        <v>1698</v>
      </c>
      <c r="C4113" s="178" t="s">
        <v>5250</v>
      </c>
      <c r="D4113" s="36" t="s">
        <v>1683</v>
      </c>
      <c r="E4113" s="36">
        <v>583100.0</v>
      </c>
      <c r="F4113" s="178" t="s">
        <v>258</v>
      </c>
    </row>
    <row r="4114">
      <c r="A4114" s="250">
        <v>45805.48395333333</v>
      </c>
      <c r="B4114" s="251" t="s">
        <v>2068</v>
      </c>
      <c r="C4114" s="178" t="s">
        <v>5261</v>
      </c>
      <c r="D4114" s="36">
        <v>47920.0</v>
      </c>
      <c r="E4114" s="36" t="s">
        <v>1683</v>
      </c>
      <c r="F4114" s="178" t="s">
        <v>182</v>
      </c>
    </row>
    <row r="4115">
      <c r="A4115" s="250">
        <v>45805.48395333333</v>
      </c>
      <c r="B4115" s="251" t="s">
        <v>1698</v>
      </c>
      <c r="C4115" s="178" t="s">
        <v>5240</v>
      </c>
      <c r="D4115" s="36" t="s">
        <v>1683</v>
      </c>
      <c r="E4115" s="36">
        <v>47920.0</v>
      </c>
      <c r="F4115" s="178" t="s">
        <v>182</v>
      </c>
    </row>
    <row r="4116">
      <c r="A4116" s="250">
        <v>45805.48402333333</v>
      </c>
      <c r="B4116" s="251" t="s">
        <v>2064</v>
      </c>
      <c r="C4116" s="178" t="s">
        <v>5262</v>
      </c>
      <c r="D4116" s="36">
        <v>680928.0</v>
      </c>
      <c r="E4116" s="36" t="s">
        <v>1683</v>
      </c>
      <c r="F4116" s="178" t="s">
        <v>182</v>
      </c>
    </row>
    <row r="4117">
      <c r="A4117" s="250">
        <v>45805.48402333333</v>
      </c>
      <c r="B4117" s="251" t="s">
        <v>1698</v>
      </c>
      <c r="C4117" s="178" t="s">
        <v>5242</v>
      </c>
      <c r="D4117" s="36" t="s">
        <v>1683</v>
      </c>
      <c r="E4117" s="36">
        <v>680928.0</v>
      </c>
      <c r="F4117" s="178" t="s">
        <v>182</v>
      </c>
    </row>
    <row r="4118">
      <c r="A4118" s="250">
        <v>45810.72872222222</v>
      </c>
      <c r="B4118" s="251" t="s">
        <v>3416</v>
      </c>
      <c r="C4118" s="178" t="s">
        <v>5263</v>
      </c>
      <c r="D4118" s="36">
        <v>2340622.0</v>
      </c>
      <c r="E4118" s="36" t="s">
        <v>1683</v>
      </c>
      <c r="F4118" s="178" t="s">
        <v>242</v>
      </c>
    </row>
    <row r="4119">
      <c r="A4119" s="250">
        <v>45810.72872222222</v>
      </c>
      <c r="B4119" s="251" t="s">
        <v>1698</v>
      </c>
      <c r="C4119" s="178" t="s">
        <v>5246</v>
      </c>
      <c r="D4119" s="36" t="s">
        <v>1683</v>
      </c>
      <c r="E4119" s="36">
        <v>2340622.0</v>
      </c>
      <c r="F4119" s="178" t="s">
        <v>242</v>
      </c>
    </row>
    <row r="4120">
      <c r="A4120" s="250">
        <v>45811.416816666664</v>
      </c>
      <c r="B4120" s="251" t="s">
        <v>3020</v>
      </c>
      <c r="C4120" s="178" t="s">
        <v>5264</v>
      </c>
      <c r="D4120" s="36">
        <v>1040408.9999999999</v>
      </c>
      <c r="E4120" s="36" t="s">
        <v>1683</v>
      </c>
      <c r="F4120" s="178" t="s">
        <v>104</v>
      </c>
    </row>
    <row r="4121">
      <c r="A4121" s="250">
        <v>45811.416816666664</v>
      </c>
      <c r="B4121" s="251" t="s">
        <v>3019</v>
      </c>
      <c r="C4121" s="178" t="s">
        <v>5252</v>
      </c>
      <c r="D4121" s="36" t="s">
        <v>1683</v>
      </c>
      <c r="E4121" s="36">
        <v>1040408.9999999999</v>
      </c>
      <c r="F4121" s="178" t="s">
        <v>104</v>
      </c>
    </row>
    <row r="4122">
      <c r="A4122" s="250">
        <v>45811.41734666666</v>
      </c>
      <c r="B4122" s="251" t="s">
        <v>3022</v>
      </c>
      <c r="C4122" s="178" t="s">
        <v>5265</v>
      </c>
      <c r="D4122" s="36">
        <v>134532.0</v>
      </c>
      <c r="E4122" s="36" t="s">
        <v>1683</v>
      </c>
      <c r="F4122" s="178" t="s">
        <v>104</v>
      </c>
    </row>
    <row r="4123">
      <c r="A4123" s="250">
        <v>45811.41734666666</v>
      </c>
      <c r="B4123" s="251" t="s">
        <v>3019</v>
      </c>
      <c r="C4123" s="178" t="s">
        <v>5254</v>
      </c>
      <c r="D4123" s="36" t="s">
        <v>1683</v>
      </c>
      <c r="E4123" s="36">
        <v>134532.0</v>
      </c>
      <c r="F4123" s="178" t="s">
        <v>104</v>
      </c>
    </row>
    <row r="4124">
      <c r="A4124" s="250">
        <v>45813.80742444444</v>
      </c>
      <c r="B4124" s="251" t="s">
        <v>1693</v>
      </c>
      <c r="C4124" s="178" t="s">
        <v>5266</v>
      </c>
      <c r="D4124" s="36">
        <v>283600.0</v>
      </c>
      <c r="E4124" s="36" t="s">
        <v>1683</v>
      </c>
      <c r="F4124" s="178" t="s">
        <v>672</v>
      </c>
    </row>
    <row r="4125">
      <c r="A4125" s="250">
        <v>45813.80742444444</v>
      </c>
      <c r="B4125" s="251" t="s">
        <v>1684</v>
      </c>
      <c r="C4125" s="178" t="s">
        <v>5267</v>
      </c>
      <c r="D4125" s="36" t="s">
        <v>1683</v>
      </c>
      <c r="E4125" s="36">
        <v>283600.0</v>
      </c>
      <c r="F4125" s="178" t="s">
        <v>672</v>
      </c>
    </row>
    <row r="4126">
      <c r="A4126" s="250">
        <v>45814.00125444445</v>
      </c>
      <c r="B4126" s="251" t="s">
        <v>1693</v>
      </c>
      <c r="C4126" s="178" t="s">
        <v>5268</v>
      </c>
      <c r="D4126" s="36">
        <v>13800.000000000002</v>
      </c>
      <c r="E4126" s="36" t="s">
        <v>1683</v>
      </c>
      <c r="F4126" s="178" t="s">
        <v>278</v>
      </c>
    </row>
    <row r="4127">
      <c r="A4127" s="250">
        <v>45814.00125444445</v>
      </c>
      <c r="B4127" s="251" t="s">
        <v>1684</v>
      </c>
      <c r="C4127" s="178" t="s">
        <v>5269</v>
      </c>
      <c r="D4127" s="36" t="s">
        <v>1683</v>
      </c>
      <c r="E4127" s="36">
        <v>13800.000000000002</v>
      </c>
      <c r="F4127" s="178" t="s">
        <v>278</v>
      </c>
    </row>
    <row r="4128">
      <c r="A4128" s="250">
        <v>45814.00332777778</v>
      </c>
      <c r="B4128" s="251" t="s">
        <v>1693</v>
      </c>
      <c r="C4128" s="178" t="s">
        <v>5270</v>
      </c>
      <c r="D4128" s="36">
        <v>730728.0</v>
      </c>
      <c r="E4128" s="36" t="s">
        <v>1683</v>
      </c>
      <c r="F4128" s="178" t="s">
        <v>277</v>
      </c>
    </row>
    <row r="4129">
      <c r="A4129" s="250">
        <v>45814.00332777778</v>
      </c>
      <c r="B4129" s="251" t="s">
        <v>1684</v>
      </c>
      <c r="C4129" s="178" t="s">
        <v>5271</v>
      </c>
      <c r="D4129" s="36" t="s">
        <v>1683</v>
      </c>
      <c r="E4129" s="36">
        <v>730728.0</v>
      </c>
      <c r="F4129" s="178" t="s">
        <v>277</v>
      </c>
    </row>
    <row r="4130">
      <c r="A4130" s="250">
        <v>45814.00870333333</v>
      </c>
      <c r="B4130" s="251" t="s">
        <v>1693</v>
      </c>
      <c r="C4130" s="178" t="s">
        <v>5272</v>
      </c>
      <c r="D4130" s="36">
        <v>923360.0</v>
      </c>
      <c r="E4130" s="36" t="s">
        <v>1683</v>
      </c>
      <c r="F4130" s="178" t="s">
        <v>257</v>
      </c>
    </row>
    <row r="4131">
      <c r="A4131" s="250">
        <v>45814.00870333333</v>
      </c>
      <c r="B4131" s="251" t="s">
        <v>1684</v>
      </c>
      <c r="C4131" s="178" t="s">
        <v>5273</v>
      </c>
      <c r="D4131" s="36" t="s">
        <v>1683</v>
      </c>
      <c r="E4131" s="36">
        <v>923360.0</v>
      </c>
      <c r="F4131" s="178" t="s">
        <v>257</v>
      </c>
    </row>
    <row r="4132">
      <c r="A4132" s="250">
        <v>45817.35881333333</v>
      </c>
      <c r="B4132" s="251" t="s">
        <v>2499</v>
      </c>
      <c r="C4132" s="178" t="s">
        <v>5274</v>
      </c>
      <c r="D4132" s="36">
        <v>283600.0</v>
      </c>
      <c r="E4132" s="36" t="s">
        <v>1683</v>
      </c>
      <c r="F4132" s="178" t="s">
        <v>672</v>
      </c>
    </row>
    <row r="4133">
      <c r="A4133" s="250">
        <v>45817.35881333333</v>
      </c>
      <c r="B4133" s="251" t="s">
        <v>1698</v>
      </c>
      <c r="C4133" s="178" t="s">
        <v>5266</v>
      </c>
      <c r="D4133" s="36" t="s">
        <v>1683</v>
      </c>
      <c r="E4133" s="36">
        <v>283600.0</v>
      </c>
      <c r="F4133" s="178" t="s">
        <v>672</v>
      </c>
    </row>
    <row r="4134">
      <c r="A4134" s="250">
        <v>45817.65333777778</v>
      </c>
      <c r="B4134" s="251" t="s">
        <v>3398</v>
      </c>
      <c r="C4134" s="178" t="s">
        <v>5275</v>
      </c>
      <c r="D4134" s="36">
        <v>13800.000000000002</v>
      </c>
      <c r="E4134" s="36" t="s">
        <v>1683</v>
      </c>
      <c r="F4134" s="178" t="s">
        <v>278</v>
      </c>
    </row>
    <row r="4135">
      <c r="A4135" s="250">
        <v>45817.65333777778</v>
      </c>
      <c r="B4135" s="251" t="s">
        <v>1698</v>
      </c>
      <c r="C4135" s="178" t="s">
        <v>5268</v>
      </c>
      <c r="D4135" s="36" t="s">
        <v>1683</v>
      </c>
      <c r="E4135" s="36">
        <v>13800.000000000002</v>
      </c>
      <c r="F4135" s="178" t="s">
        <v>278</v>
      </c>
    </row>
    <row r="4136">
      <c r="A4136" s="250">
        <v>45817.77814777778</v>
      </c>
      <c r="B4136" s="251" t="s">
        <v>3396</v>
      </c>
      <c r="C4136" s="178" t="s">
        <v>5276</v>
      </c>
      <c r="D4136" s="36">
        <v>923360.0</v>
      </c>
      <c r="E4136" s="36" t="s">
        <v>1683</v>
      </c>
      <c r="F4136" s="178" t="s">
        <v>257</v>
      </c>
    </row>
    <row r="4137">
      <c r="A4137" s="250">
        <v>45817.77814777778</v>
      </c>
      <c r="B4137" s="251" t="s">
        <v>1698</v>
      </c>
      <c r="C4137" s="178" t="s">
        <v>5272</v>
      </c>
      <c r="D4137" s="36" t="s">
        <v>1683</v>
      </c>
      <c r="E4137" s="36">
        <v>923360.0</v>
      </c>
      <c r="F4137" s="178" t="s">
        <v>257</v>
      </c>
    </row>
    <row r="4138">
      <c r="A4138" s="250">
        <v>45818.376244444444</v>
      </c>
      <c r="B4138" s="251" t="s">
        <v>3398</v>
      </c>
      <c r="C4138" s="178" t="s">
        <v>5277</v>
      </c>
      <c r="D4138" s="36">
        <v>730728.0</v>
      </c>
      <c r="E4138" s="36" t="s">
        <v>1683</v>
      </c>
      <c r="F4138" s="178" t="s">
        <v>277</v>
      </c>
    </row>
    <row r="4139">
      <c r="A4139" s="250">
        <v>45818.376244444444</v>
      </c>
      <c r="B4139" s="251" t="s">
        <v>1698</v>
      </c>
      <c r="C4139" s="178" t="s">
        <v>5270</v>
      </c>
      <c r="D4139" s="36" t="s">
        <v>1683</v>
      </c>
      <c r="E4139" s="36">
        <v>730728.0</v>
      </c>
      <c r="F4139" s="178" t="s">
        <v>277</v>
      </c>
    </row>
    <row r="4140">
      <c r="A4140" s="250">
        <v>45830.967196666665</v>
      </c>
      <c r="B4140" s="251" t="s">
        <v>1783</v>
      </c>
      <c r="C4140" s="178" t="s">
        <v>5278</v>
      </c>
      <c r="D4140" s="36">
        <v>387185.0</v>
      </c>
      <c r="E4140" s="36" t="s">
        <v>1683</v>
      </c>
      <c r="F4140" s="178" t="s">
        <v>387</v>
      </c>
    </row>
    <row r="4141">
      <c r="A4141" s="250">
        <v>45830.967196666665</v>
      </c>
      <c r="B4141" s="251" t="s">
        <v>1684</v>
      </c>
      <c r="C4141" s="178" t="s">
        <v>5279</v>
      </c>
      <c r="D4141" s="36" t="s">
        <v>1683</v>
      </c>
      <c r="E4141" s="36">
        <v>387185.0</v>
      </c>
      <c r="F4141" s="178" t="s">
        <v>387</v>
      </c>
    </row>
    <row r="4142">
      <c r="A4142" s="250">
        <v>45830.969804444445</v>
      </c>
      <c r="B4142" s="251" t="s">
        <v>1693</v>
      </c>
      <c r="C4142" s="178" t="s">
        <v>5280</v>
      </c>
      <c r="D4142" s="36">
        <v>892315.0000000001</v>
      </c>
      <c r="E4142" s="36" t="s">
        <v>1683</v>
      </c>
      <c r="F4142" s="178" t="s">
        <v>255</v>
      </c>
    </row>
    <row r="4143">
      <c r="A4143" s="250">
        <v>45830.969804444445</v>
      </c>
      <c r="B4143" s="251" t="s">
        <v>1684</v>
      </c>
      <c r="C4143" s="178" t="s">
        <v>5281</v>
      </c>
      <c r="D4143" s="36" t="s">
        <v>1683</v>
      </c>
      <c r="E4143" s="36">
        <v>892315.0000000001</v>
      </c>
      <c r="F4143" s="178" t="s">
        <v>255</v>
      </c>
    </row>
    <row r="4144">
      <c r="A4144" s="250">
        <v>45830.97719333333</v>
      </c>
      <c r="B4144" s="251" t="s">
        <v>1693</v>
      </c>
      <c r="C4144" s="178" t="s">
        <v>5282</v>
      </c>
      <c r="D4144" s="36">
        <v>901000.0</v>
      </c>
      <c r="E4144" s="36" t="s">
        <v>1683</v>
      </c>
      <c r="F4144" s="178" t="s">
        <v>454</v>
      </c>
    </row>
    <row r="4145">
      <c r="A4145" s="250">
        <v>45830.97719333333</v>
      </c>
      <c r="B4145" s="251" t="s">
        <v>1684</v>
      </c>
      <c r="C4145" s="178" t="s">
        <v>5283</v>
      </c>
      <c r="D4145" s="36" t="s">
        <v>1683</v>
      </c>
      <c r="E4145" s="36">
        <v>901000.0</v>
      </c>
      <c r="F4145" s="178" t="s">
        <v>454</v>
      </c>
    </row>
    <row r="4146">
      <c r="A4146" s="250">
        <v>45831.84146222222</v>
      </c>
      <c r="B4146" s="251" t="s">
        <v>1783</v>
      </c>
      <c r="C4146" s="178" t="s">
        <v>5284</v>
      </c>
      <c r="D4146" s="36">
        <v>2900.0</v>
      </c>
      <c r="E4146" s="36" t="s">
        <v>1683</v>
      </c>
      <c r="F4146" s="178" t="s">
        <v>494</v>
      </c>
    </row>
    <row r="4147">
      <c r="A4147" s="250">
        <v>45831.84146222222</v>
      </c>
      <c r="B4147" s="251" t="s">
        <v>1684</v>
      </c>
      <c r="C4147" s="178" t="s">
        <v>5285</v>
      </c>
      <c r="D4147" s="36" t="s">
        <v>1683</v>
      </c>
      <c r="E4147" s="36">
        <v>2900.0</v>
      </c>
      <c r="F4147" s="178" t="s">
        <v>494</v>
      </c>
    </row>
    <row r="4148">
      <c r="A4148" s="250">
        <v>45831.84423</v>
      </c>
      <c r="B4148" s="251" t="s">
        <v>1783</v>
      </c>
      <c r="C4148" s="178" t="s">
        <v>5286</v>
      </c>
      <c r="D4148" s="36">
        <v>250090.0</v>
      </c>
      <c r="E4148" s="36" t="s">
        <v>1683</v>
      </c>
      <c r="F4148" s="178" t="s">
        <v>493</v>
      </c>
    </row>
    <row r="4149">
      <c r="A4149" s="250">
        <v>45831.84423</v>
      </c>
      <c r="B4149" s="251" t="s">
        <v>1684</v>
      </c>
      <c r="C4149" s="178" t="s">
        <v>5287</v>
      </c>
      <c r="D4149" s="36" t="s">
        <v>1683</v>
      </c>
      <c r="E4149" s="36">
        <v>250090.0</v>
      </c>
      <c r="F4149" s="178" t="s">
        <v>493</v>
      </c>
    </row>
    <row r="4150">
      <c r="A4150" s="250">
        <v>45831.84630333333</v>
      </c>
      <c r="B4150" s="251" t="s">
        <v>1783</v>
      </c>
      <c r="C4150" s="178" t="s">
        <v>5288</v>
      </c>
      <c r="D4150" s="36">
        <v>197649.99999999997</v>
      </c>
      <c r="E4150" s="36" t="s">
        <v>1683</v>
      </c>
      <c r="F4150" s="178" t="s">
        <v>492</v>
      </c>
    </row>
    <row r="4151">
      <c r="A4151" s="250">
        <v>45831.84630333333</v>
      </c>
      <c r="B4151" s="251" t="s">
        <v>1684</v>
      </c>
      <c r="C4151" s="178" t="s">
        <v>5289</v>
      </c>
      <c r="D4151" s="36" t="s">
        <v>1683</v>
      </c>
      <c r="E4151" s="36">
        <v>197649.99999999997</v>
      </c>
      <c r="F4151" s="178" t="s">
        <v>492</v>
      </c>
    </row>
    <row r="4152">
      <c r="A4152" s="250">
        <v>45831.84768222222</v>
      </c>
      <c r="B4152" s="251" t="s">
        <v>1783</v>
      </c>
      <c r="C4152" s="178" t="s">
        <v>5290</v>
      </c>
      <c r="D4152" s="36">
        <v>197649.99999999997</v>
      </c>
      <c r="E4152" s="36" t="s">
        <v>1683</v>
      </c>
      <c r="F4152" s="178" t="s">
        <v>491</v>
      </c>
    </row>
    <row r="4153">
      <c r="A4153" s="250">
        <v>45831.84768222222</v>
      </c>
      <c r="B4153" s="251" t="s">
        <v>1684</v>
      </c>
      <c r="C4153" s="178" t="s">
        <v>5291</v>
      </c>
      <c r="D4153" s="36" t="s">
        <v>1683</v>
      </c>
      <c r="E4153" s="36">
        <v>197649.99999999997</v>
      </c>
      <c r="F4153" s="178" t="s">
        <v>491</v>
      </c>
    </row>
    <row r="4154">
      <c r="A4154" s="250">
        <v>45833.00577555556</v>
      </c>
      <c r="B4154" s="251" t="s">
        <v>1693</v>
      </c>
      <c r="C4154" s="178" t="s">
        <v>5292</v>
      </c>
      <c r="D4154" s="36">
        <v>2975142.0</v>
      </c>
      <c r="E4154" s="36" t="s">
        <v>1683</v>
      </c>
      <c r="F4154" s="178" t="s">
        <v>353</v>
      </c>
    </row>
    <row r="4155">
      <c r="A4155" s="250">
        <v>45833.00577555556</v>
      </c>
      <c r="B4155" s="251" t="s">
        <v>1684</v>
      </c>
      <c r="C4155" s="178" t="s">
        <v>5293</v>
      </c>
      <c r="D4155" s="36" t="s">
        <v>1683</v>
      </c>
      <c r="E4155" s="36">
        <v>2975142.0</v>
      </c>
      <c r="F4155" s="178" t="s">
        <v>353</v>
      </c>
    </row>
    <row r="4156">
      <c r="A4156" s="250">
        <v>45833.00643555556</v>
      </c>
      <c r="B4156" s="251" t="s">
        <v>1693</v>
      </c>
      <c r="C4156" s="178" t="s">
        <v>5294</v>
      </c>
      <c r="D4156" s="36">
        <v>691090.0</v>
      </c>
      <c r="E4156" s="36" t="s">
        <v>1683</v>
      </c>
      <c r="F4156" s="178" t="s">
        <v>311</v>
      </c>
    </row>
    <row r="4157">
      <c r="A4157" s="250">
        <v>45833.00643555556</v>
      </c>
      <c r="B4157" s="251" t="s">
        <v>1684</v>
      </c>
      <c r="C4157" s="178" t="s">
        <v>5295</v>
      </c>
      <c r="D4157" s="36" t="s">
        <v>1683</v>
      </c>
      <c r="E4157" s="36">
        <v>691090.0</v>
      </c>
      <c r="F4157" s="178" t="s">
        <v>311</v>
      </c>
    </row>
    <row r="4158">
      <c r="A4158" s="250">
        <v>45833.40330777778</v>
      </c>
      <c r="B4158" s="251" t="s">
        <v>3046</v>
      </c>
      <c r="C4158" s="178" t="s">
        <v>5296</v>
      </c>
      <c r="D4158" s="36">
        <v>387185.0</v>
      </c>
      <c r="E4158" s="36" t="s">
        <v>1683</v>
      </c>
      <c r="F4158" s="178" t="s">
        <v>387</v>
      </c>
    </row>
    <row r="4159">
      <c r="A4159" s="250">
        <v>45833.40330777778</v>
      </c>
      <c r="B4159" s="251" t="s">
        <v>1802</v>
      </c>
      <c r="C4159" s="178" t="s">
        <v>5278</v>
      </c>
      <c r="D4159" s="36" t="s">
        <v>1683</v>
      </c>
      <c r="E4159" s="36">
        <v>387185.0</v>
      </c>
      <c r="F4159" s="178" t="s">
        <v>387</v>
      </c>
    </row>
    <row r="4160">
      <c r="A4160" s="250">
        <v>45833.50869333333</v>
      </c>
      <c r="B4160" s="251" t="s">
        <v>3396</v>
      </c>
      <c r="C4160" s="178" t="s">
        <v>5297</v>
      </c>
      <c r="D4160" s="36">
        <v>892315.0000000001</v>
      </c>
      <c r="E4160" s="36" t="s">
        <v>1683</v>
      </c>
      <c r="F4160" s="178" t="s">
        <v>255</v>
      </c>
    </row>
    <row r="4161">
      <c r="A4161" s="250">
        <v>45833.50869333333</v>
      </c>
      <c r="B4161" s="251" t="s">
        <v>1698</v>
      </c>
      <c r="C4161" s="178" t="s">
        <v>5280</v>
      </c>
      <c r="D4161" s="36" t="s">
        <v>1683</v>
      </c>
      <c r="E4161" s="36">
        <v>892315.0000000001</v>
      </c>
      <c r="F4161" s="178" t="s">
        <v>255</v>
      </c>
    </row>
    <row r="4162">
      <c r="A4162" s="250">
        <v>45833.686221111115</v>
      </c>
      <c r="B4162" s="251" t="s">
        <v>3916</v>
      </c>
      <c r="C4162" s="178" t="s">
        <v>5298</v>
      </c>
      <c r="D4162" s="36">
        <v>901000.0</v>
      </c>
      <c r="E4162" s="36" t="s">
        <v>1683</v>
      </c>
      <c r="F4162" s="178" t="s">
        <v>454</v>
      </c>
    </row>
    <row r="4163">
      <c r="A4163" s="250">
        <v>45833.686221111115</v>
      </c>
      <c r="B4163" s="251" t="s">
        <v>1698</v>
      </c>
      <c r="C4163" s="178" t="s">
        <v>5282</v>
      </c>
      <c r="D4163" s="36" t="s">
        <v>1683</v>
      </c>
      <c r="E4163" s="36">
        <v>901000.0</v>
      </c>
      <c r="F4163" s="178" t="s">
        <v>454</v>
      </c>
    </row>
    <row r="4164">
      <c r="A4164" s="250">
        <v>45833.72476555556</v>
      </c>
      <c r="B4164" s="251" t="s">
        <v>3494</v>
      </c>
      <c r="C4164" s="178" t="s">
        <v>5299</v>
      </c>
      <c r="D4164" s="36">
        <v>197649.99999999997</v>
      </c>
      <c r="E4164" s="36" t="s">
        <v>1683</v>
      </c>
      <c r="F4164" s="178" t="s">
        <v>491</v>
      </c>
    </row>
    <row r="4165">
      <c r="A4165" s="250">
        <v>45833.72476555556</v>
      </c>
      <c r="B4165" s="251" t="s">
        <v>1802</v>
      </c>
      <c r="C4165" s="178" t="s">
        <v>5290</v>
      </c>
      <c r="D4165" s="36" t="s">
        <v>1683</v>
      </c>
      <c r="E4165" s="36">
        <v>197649.99999999997</v>
      </c>
      <c r="F4165" s="178" t="s">
        <v>491</v>
      </c>
    </row>
    <row r="4166">
      <c r="A4166" s="250">
        <v>45833.72477555556</v>
      </c>
      <c r="B4166" s="251" t="s">
        <v>3494</v>
      </c>
      <c r="C4166" s="178" t="s">
        <v>5300</v>
      </c>
      <c r="D4166" s="36">
        <v>197649.99999999997</v>
      </c>
      <c r="E4166" s="36" t="s">
        <v>1683</v>
      </c>
      <c r="F4166" s="178" t="s">
        <v>492</v>
      </c>
    </row>
    <row r="4167">
      <c r="A4167" s="250">
        <v>45833.72477555556</v>
      </c>
      <c r="B4167" s="251" t="s">
        <v>1802</v>
      </c>
      <c r="C4167" s="178" t="s">
        <v>5288</v>
      </c>
      <c r="D4167" s="36" t="s">
        <v>1683</v>
      </c>
      <c r="E4167" s="36">
        <v>197649.99999999997</v>
      </c>
      <c r="F4167" s="178" t="s">
        <v>492</v>
      </c>
    </row>
    <row r="4168">
      <c r="A4168" s="250">
        <v>45833.72478555556</v>
      </c>
      <c r="B4168" s="251" t="s">
        <v>3494</v>
      </c>
      <c r="C4168" s="178" t="s">
        <v>5301</v>
      </c>
      <c r="D4168" s="36">
        <v>250090.0</v>
      </c>
      <c r="E4168" s="36" t="s">
        <v>1683</v>
      </c>
      <c r="F4168" s="178" t="s">
        <v>493</v>
      </c>
    </row>
    <row r="4169">
      <c r="A4169" s="250">
        <v>45833.72478555556</v>
      </c>
      <c r="B4169" s="251" t="s">
        <v>1802</v>
      </c>
      <c r="C4169" s="178" t="s">
        <v>5286</v>
      </c>
      <c r="D4169" s="36" t="s">
        <v>1683</v>
      </c>
      <c r="E4169" s="36">
        <v>250090.0</v>
      </c>
      <c r="F4169" s="178" t="s">
        <v>493</v>
      </c>
    </row>
    <row r="4170">
      <c r="A4170" s="250">
        <v>45833.72479555556</v>
      </c>
      <c r="B4170" s="251" t="s">
        <v>3494</v>
      </c>
      <c r="C4170" s="178" t="s">
        <v>5302</v>
      </c>
      <c r="D4170" s="36">
        <v>2900.0</v>
      </c>
      <c r="E4170" s="36" t="s">
        <v>1683</v>
      </c>
      <c r="F4170" s="178" t="s">
        <v>494</v>
      </c>
    </row>
    <row r="4171">
      <c r="A4171" s="250">
        <v>45833.72479555556</v>
      </c>
      <c r="B4171" s="251" t="s">
        <v>1802</v>
      </c>
      <c r="C4171" s="178" t="s">
        <v>5284</v>
      </c>
      <c r="D4171" s="36" t="s">
        <v>1683</v>
      </c>
      <c r="E4171" s="36">
        <v>2900.0</v>
      </c>
      <c r="F4171" s="178" t="s">
        <v>494</v>
      </c>
    </row>
    <row r="4172">
      <c r="A4172" s="250">
        <v>45834.64312555556</v>
      </c>
      <c r="B4172" s="251" t="s">
        <v>1783</v>
      </c>
      <c r="C4172" s="178" t="s">
        <v>5303</v>
      </c>
      <c r="D4172" s="36">
        <v>682769.9999999999</v>
      </c>
      <c r="E4172" s="36" t="s">
        <v>1683</v>
      </c>
      <c r="F4172" s="178" t="s">
        <v>915</v>
      </c>
    </row>
    <row r="4173">
      <c r="A4173" s="250">
        <v>45834.64312555556</v>
      </c>
      <c r="B4173" s="251" t="s">
        <v>1684</v>
      </c>
      <c r="C4173" s="178" t="s">
        <v>5304</v>
      </c>
      <c r="D4173" s="36" t="s">
        <v>1683</v>
      </c>
      <c r="E4173" s="36">
        <v>682769.9999999999</v>
      </c>
      <c r="F4173" s="178" t="s">
        <v>915</v>
      </c>
    </row>
    <row r="4174">
      <c r="A4174" s="250">
        <v>45834.76121111111</v>
      </c>
      <c r="B4174" s="251" t="s">
        <v>1693</v>
      </c>
      <c r="C4174" s="178" t="s">
        <v>5305</v>
      </c>
      <c r="D4174" s="36">
        <v>111199.99999999999</v>
      </c>
      <c r="E4174" s="36" t="s">
        <v>1683</v>
      </c>
      <c r="F4174" s="178" t="s">
        <v>453</v>
      </c>
    </row>
    <row r="4175">
      <c r="A4175" s="250">
        <v>45834.76121111111</v>
      </c>
      <c r="B4175" s="251" t="s">
        <v>1684</v>
      </c>
      <c r="C4175" s="178" t="s">
        <v>5306</v>
      </c>
      <c r="D4175" s="36" t="s">
        <v>1683</v>
      </c>
      <c r="E4175" s="36">
        <v>111199.99999999999</v>
      </c>
      <c r="F4175" s="178" t="s">
        <v>453</v>
      </c>
    </row>
    <row r="4176">
      <c r="A4176" s="250">
        <v>45835.533518888886</v>
      </c>
      <c r="B4176" s="251" t="s">
        <v>4051</v>
      </c>
      <c r="C4176" s="178" t="s">
        <v>5307</v>
      </c>
      <c r="D4176" s="36">
        <v>691090.0</v>
      </c>
      <c r="E4176" s="36" t="s">
        <v>1683</v>
      </c>
      <c r="F4176" s="178" t="s">
        <v>311</v>
      </c>
    </row>
    <row r="4177">
      <c r="A4177" s="250">
        <v>45835.533518888886</v>
      </c>
      <c r="B4177" s="251" t="s">
        <v>1698</v>
      </c>
      <c r="C4177" s="178" t="s">
        <v>5294</v>
      </c>
      <c r="D4177" s="36" t="s">
        <v>1683</v>
      </c>
      <c r="E4177" s="36">
        <v>691090.0</v>
      </c>
      <c r="F4177" s="178" t="s">
        <v>311</v>
      </c>
    </row>
    <row r="4178">
      <c r="A4178" s="250">
        <v>45838.44382</v>
      </c>
      <c r="B4178" s="251" t="s">
        <v>2497</v>
      </c>
      <c r="C4178" s="178" t="s">
        <v>5308</v>
      </c>
      <c r="D4178" s="36">
        <v>682769.9999999999</v>
      </c>
      <c r="E4178" s="36" t="s">
        <v>1683</v>
      </c>
      <c r="F4178" s="178" t="s">
        <v>915</v>
      </c>
    </row>
    <row r="4179">
      <c r="A4179" s="250">
        <v>45838.44382</v>
      </c>
      <c r="B4179" s="251" t="s">
        <v>1802</v>
      </c>
      <c r="C4179" s="178" t="s">
        <v>5303</v>
      </c>
      <c r="D4179" s="36" t="s">
        <v>1683</v>
      </c>
      <c r="E4179" s="36">
        <v>682769.9999999999</v>
      </c>
      <c r="F4179" s="178" t="s">
        <v>915</v>
      </c>
    </row>
    <row r="4180">
      <c r="A4180" s="250">
        <v>45838.55982222222</v>
      </c>
      <c r="B4180" s="251" t="s">
        <v>3916</v>
      </c>
      <c r="C4180" s="178" t="s">
        <v>5309</v>
      </c>
      <c r="D4180" s="36">
        <v>111199.99999999999</v>
      </c>
      <c r="E4180" s="36" t="s">
        <v>1683</v>
      </c>
      <c r="F4180" s="178" t="s">
        <v>453</v>
      </c>
    </row>
    <row r="4181">
      <c r="A4181" s="250">
        <v>45838.55982222222</v>
      </c>
      <c r="B4181" s="251" t="s">
        <v>1698</v>
      </c>
      <c r="C4181" s="178" t="s">
        <v>5305</v>
      </c>
      <c r="D4181" s="36" t="s">
        <v>1683</v>
      </c>
      <c r="E4181" s="36">
        <v>111199.99999999999</v>
      </c>
      <c r="F4181" s="178" t="s">
        <v>453</v>
      </c>
    </row>
    <row r="4182">
      <c r="A4182" s="250">
        <v>45840.67105333333</v>
      </c>
      <c r="B4182" s="251" t="s">
        <v>3257</v>
      </c>
      <c r="C4182" s="178" t="s">
        <v>5310</v>
      </c>
      <c r="D4182" s="36">
        <v>2975142.0</v>
      </c>
      <c r="E4182" s="36" t="s">
        <v>1683</v>
      </c>
      <c r="F4182" s="178" t="s">
        <v>353</v>
      </c>
    </row>
    <row r="4183">
      <c r="A4183" s="250">
        <v>45840.67105333333</v>
      </c>
      <c r="B4183" s="251" t="s">
        <v>1698</v>
      </c>
      <c r="C4183" s="178" t="s">
        <v>5292</v>
      </c>
      <c r="D4183" s="36" t="s">
        <v>1683</v>
      </c>
      <c r="E4183" s="36">
        <v>2975142.0</v>
      </c>
      <c r="F4183" s="178" t="s">
        <v>353</v>
      </c>
    </row>
    <row r="4184">
      <c r="A4184" s="250">
        <v>45845.002843333335</v>
      </c>
      <c r="B4184" s="251" t="s">
        <v>1611</v>
      </c>
      <c r="C4184" s="178" t="s">
        <v>5311</v>
      </c>
      <c r="D4184" s="36">
        <v>183176.0</v>
      </c>
      <c r="E4184" s="36" t="s">
        <v>1683</v>
      </c>
      <c r="F4184" s="178" t="s">
        <v>1669</v>
      </c>
    </row>
    <row r="4185">
      <c r="A4185" s="250">
        <v>45845.002843333335</v>
      </c>
      <c r="B4185" s="251" t="s">
        <v>1684</v>
      </c>
      <c r="C4185" s="178" t="s">
        <v>5312</v>
      </c>
      <c r="D4185" s="36" t="s">
        <v>1683</v>
      </c>
      <c r="E4185" s="36">
        <v>183176.0</v>
      </c>
      <c r="F4185" s="178" t="s">
        <v>1669</v>
      </c>
    </row>
    <row r="4186">
      <c r="A4186" s="250">
        <v>45845.02924222222</v>
      </c>
      <c r="B4186" s="251" t="s">
        <v>1611</v>
      </c>
      <c r="C4186" s="178" t="s">
        <v>5313</v>
      </c>
      <c r="D4186" s="36">
        <v>137560.0</v>
      </c>
      <c r="E4186" s="36" t="s">
        <v>1683</v>
      </c>
      <c r="F4186" s="178" t="s">
        <v>1670</v>
      </c>
    </row>
    <row r="4187">
      <c r="A4187" s="250">
        <v>45845.02924222222</v>
      </c>
      <c r="B4187" s="251" t="s">
        <v>1684</v>
      </c>
      <c r="C4187" s="178" t="s">
        <v>5314</v>
      </c>
      <c r="D4187" s="36" t="s">
        <v>1683</v>
      </c>
      <c r="E4187" s="36">
        <v>137560.0</v>
      </c>
      <c r="F4187" s="178" t="s">
        <v>1670</v>
      </c>
    </row>
    <row r="4188">
      <c r="A4188" s="250">
        <v>45855.760172222224</v>
      </c>
      <c r="B4188" s="251" t="s">
        <v>1783</v>
      </c>
      <c r="C4188" s="178" t="s">
        <v>5315</v>
      </c>
      <c r="D4188" s="36">
        <v>233834.0</v>
      </c>
      <c r="E4188" s="36" t="s">
        <v>1683</v>
      </c>
      <c r="F4188" s="178" t="s">
        <v>490</v>
      </c>
    </row>
    <row r="4189">
      <c r="A4189" s="250">
        <v>45855.760172222224</v>
      </c>
      <c r="B4189" s="251" t="s">
        <v>1684</v>
      </c>
      <c r="C4189" s="178" t="s">
        <v>5316</v>
      </c>
      <c r="D4189" s="36" t="s">
        <v>1683</v>
      </c>
      <c r="E4189" s="36">
        <v>233834.0</v>
      </c>
      <c r="F4189" s="178" t="s">
        <v>490</v>
      </c>
    </row>
    <row r="4190">
      <c r="A4190" s="250">
        <v>45856.61375925926</v>
      </c>
      <c r="B4190" s="251" t="s">
        <v>3177</v>
      </c>
      <c r="C4190" s="178" t="s">
        <v>5317</v>
      </c>
      <c r="D4190" s="36">
        <v>2888870.0000000005</v>
      </c>
      <c r="E4190" s="36" t="s">
        <v>1683</v>
      </c>
      <c r="F4190" s="178" t="s">
        <v>410</v>
      </c>
    </row>
    <row r="4191">
      <c r="A4191" s="250">
        <v>45856.61375925926</v>
      </c>
      <c r="B4191" s="251" t="s">
        <v>1684</v>
      </c>
      <c r="C4191" s="178" t="s">
        <v>5318</v>
      </c>
      <c r="D4191" s="36" t="s">
        <v>1683</v>
      </c>
      <c r="E4191" s="36">
        <v>2888870.0000000005</v>
      </c>
      <c r="F4191" s="178" t="s">
        <v>410</v>
      </c>
    </row>
    <row r="4192">
      <c r="A4192" s="250">
        <v>45858.14242111111</v>
      </c>
      <c r="B4192" s="251" t="s">
        <v>1783</v>
      </c>
      <c r="C4192" s="178" t="s">
        <v>5319</v>
      </c>
      <c r="D4192" s="36">
        <v>247382.00000000006</v>
      </c>
      <c r="E4192" s="36" t="s">
        <v>1683</v>
      </c>
      <c r="F4192" s="178" t="s">
        <v>41</v>
      </c>
    </row>
    <row r="4193">
      <c r="A4193" s="250">
        <v>45858.14242111111</v>
      </c>
      <c r="B4193" s="251" t="s">
        <v>1684</v>
      </c>
      <c r="C4193" s="178" t="s">
        <v>5320</v>
      </c>
      <c r="D4193" s="36" t="s">
        <v>1683</v>
      </c>
      <c r="E4193" s="36">
        <v>247382.00000000006</v>
      </c>
      <c r="F4193" s="178" t="s">
        <v>41</v>
      </c>
    </row>
    <row r="4194">
      <c r="A4194" s="250">
        <v>45858.14518888889</v>
      </c>
      <c r="B4194" s="251" t="s">
        <v>1783</v>
      </c>
      <c r="C4194" s="178" t="s">
        <v>5321</v>
      </c>
      <c r="D4194" s="36">
        <v>111482.99999999999</v>
      </c>
      <c r="E4194" s="36" t="s">
        <v>1683</v>
      </c>
      <c r="F4194" s="178" t="s">
        <v>40</v>
      </c>
    </row>
    <row r="4195">
      <c r="A4195" s="250">
        <v>45858.14518888889</v>
      </c>
      <c r="B4195" s="251" t="s">
        <v>1684</v>
      </c>
      <c r="C4195" s="178" t="s">
        <v>5322</v>
      </c>
      <c r="D4195" s="36" t="s">
        <v>1683</v>
      </c>
      <c r="E4195" s="36">
        <v>111482.99999999999</v>
      </c>
      <c r="F4195" s="178" t="s">
        <v>40</v>
      </c>
    </row>
    <row r="4196">
      <c r="A4196" s="250">
        <v>45862.40561555555</v>
      </c>
      <c r="B4196" s="251" t="s">
        <v>1896</v>
      </c>
      <c r="C4196" s="178" t="s">
        <v>5323</v>
      </c>
      <c r="D4196" s="36">
        <v>247382.00000000006</v>
      </c>
      <c r="E4196" s="36" t="s">
        <v>1683</v>
      </c>
      <c r="F4196" s="178" t="s">
        <v>41</v>
      </c>
    </row>
    <row r="4197">
      <c r="A4197" s="250">
        <v>45862.40561555555</v>
      </c>
      <c r="B4197" s="251" t="s">
        <v>1802</v>
      </c>
      <c r="C4197" s="178" t="s">
        <v>5319</v>
      </c>
      <c r="D4197" s="36" t="s">
        <v>1683</v>
      </c>
      <c r="E4197" s="36">
        <v>247382.00000000006</v>
      </c>
      <c r="F4197" s="178" t="s">
        <v>41</v>
      </c>
    </row>
    <row r="4198">
      <c r="A4198" s="250">
        <v>45862.567411111115</v>
      </c>
      <c r="B4198" s="251" t="s">
        <v>1896</v>
      </c>
      <c r="C4198" s="178" t="s">
        <v>5324</v>
      </c>
      <c r="D4198" s="36">
        <v>111482.99999999999</v>
      </c>
      <c r="E4198" s="36" t="s">
        <v>1683</v>
      </c>
      <c r="F4198" s="178" t="s">
        <v>40</v>
      </c>
    </row>
    <row r="4199">
      <c r="A4199" s="250">
        <v>45862.567411111115</v>
      </c>
      <c r="B4199" s="251" t="s">
        <v>1802</v>
      </c>
      <c r="C4199" s="178" t="s">
        <v>5321</v>
      </c>
      <c r="D4199" s="36" t="s">
        <v>1683</v>
      </c>
      <c r="E4199" s="36">
        <v>111482.99999999999</v>
      </c>
      <c r="F4199" s="178" t="s">
        <v>40</v>
      </c>
    </row>
    <row r="4200">
      <c r="A4200" s="250">
        <v>45863.00731444445</v>
      </c>
      <c r="B4200" s="251" t="s">
        <v>1693</v>
      </c>
      <c r="C4200" s="178" t="s">
        <v>5325</v>
      </c>
      <c r="D4200" s="36">
        <v>2708799.9999999995</v>
      </c>
      <c r="E4200" s="36" t="s">
        <v>1683</v>
      </c>
      <c r="F4200" s="178" t="s">
        <v>78</v>
      </c>
    </row>
    <row r="4201">
      <c r="A4201" s="250">
        <v>45863.00731444445</v>
      </c>
      <c r="B4201" s="251" t="s">
        <v>1684</v>
      </c>
      <c r="C4201" s="178" t="s">
        <v>5326</v>
      </c>
      <c r="D4201" s="36" t="s">
        <v>1683</v>
      </c>
      <c r="E4201" s="36">
        <v>2708799.9999999995</v>
      </c>
      <c r="F4201" s="178" t="s">
        <v>78</v>
      </c>
    </row>
    <row r="4202">
      <c r="A4202" s="250">
        <v>45865.73300888889</v>
      </c>
      <c r="B4202" s="251" t="s">
        <v>2987</v>
      </c>
      <c r="C4202" s="178" t="s">
        <v>5327</v>
      </c>
      <c r="D4202" s="36">
        <v>2708799.9999999995</v>
      </c>
      <c r="E4202" s="36" t="s">
        <v>1683</v>
      </c>
      <c r="F4202" s="178" t="s">
        <v>78</v>
      </c>
    </row>
    <row r="4203">
      <c r="A4203" s="250">
        <v>45865.73300888889</v>
      </c>
      <c r="B4203" s="251" t="s">
        <v>1698</v>
      </c>
      <c r="C4203" s="178" t="s">
        <v>5325</v>
      </c>
      <c r="D4203" s="36" t="s">
        <v>1683</v>
      </c>
      <c r="E4203" s="36">
        <v>2708799.9999999995</v>
      </c>
      <c r="F4203" s="178" t="s">
        <v>78</v>
      </c>
    </row>
    <row r="4204">
      <c r="A4204" s="250">
        <v>45867.20253333333</v>
      </c>
      <c r="B4204" s="251" t="s">
        <v>3494</v>
      </c>
      <c r="C4204" s="178" t="s">
        <v>5328</v>
      </c>
      <c r="D4204" s="36">
        <v>233834.0</v>
      </c>
      <c r="E4204" s="36" t="s">
        <v>1683</v>
      </c>
      <c r="F4204" s="178" t="s">
        <v>490</v>
      </c>
    </row>
    <row r="4205">
      <c r="A4205" s="250">
        <v>45867.20253333333</v>
      </c>
      <c r="B4205" s="251" t="s">
        <v>1802</v>
      </c>
      <c r="C4205" s="178" t="s">
        <v>5315</v>
      </c>
      <c r="D4205" s="36" t="s">
        <v>1683</v>
      </c>
      <c r="E4205" s="36">
        <v>233834.0</v>
      </c>
      <c r="F4205" s="178" t="s">
        <v>490</v>
      </c>
    </row>
    <row r="4206">
      <c r="A4206" s="250">
        <v>45901.286721111115</v>
      </c>
      <c r="B4206" s="251" t="s">
        <v>1693</v>
      </c>
      <c r="C4206" s="178" t="s">
        <v>5329</v>
      </c>
      <c r="D4206" s="36">
        <v>51500.0</v>
      </c>
      <c r="E4206" s="36" t="s">
        <v>1683</v>
      </c>
      <c r="F4206" s="178" t="s">
        <v>181</v>
      </c>
    </row>
    <row r="4207">
      <c r="A4207" s="250">
        <v>45901.286721111115</v>
      </c>
      <c r="B4207" s="251" t="s">
        <v>1684</v>
      </c>
      <c r="C4207" s="178" t="s">
        <v>5330</v>
      </c>
      <c r="D4207" s="36" t="s">
        <v>1683</v>
      </c>
      <c r="E4207" s="36">
        <v>51500.0</v>
      </c>
      <c r="F4207" s="178" t="s">
        <v>181</v>
      </c>
    </row>
    <row r="4208">
      <c r="A4208" s="250">
        <v>45901.28679111111</v>
      </c>
      <c r="B4208" s="251" t="s">
        <v>1693</v>
      </c>
      <c r="C4208" s="178" t="s">
        <v>5331</v>
      </c>
      <c r="D4208" s="36">
        <v>733414.0000000001</v>
      </c>
      <c r="E4208" s="36" t="s">
        <v>1683</v>
      </c>
      <c r="F4208" s="178" t="s">
        <v>181</v>
      </c>
    </row>
    <row r="4209">
      <c r="A4209" s="250">
        <v>45901.28679111111</v>
      </c>
      <c r="B4209" s="251" t="s">
        <v>1684</v>
      </c>
      <c r="C4209" s="178" t="s">
        <v>5332</v>
      </c>
      <c r="D4209" s="36" t="s">
        <v>1683</v>
      </c>
      <c r="E4209" s="36">
        <v>733414.0000000001</v>
      </c>
      <c r="F4209" s="178" t="s">
        <v>181</v>
      </c>
    </row>
    <row r="4210">
      <c r="A4210" s="250">
        <v>45903.42074888889</v>
      </c>
      <c r="B4210" s="251" t="s">
        <v>2068</v>
      </c>
      <c r="C4210" s="178" t="s">
        <v>5333</v>
      </c>
      <c r="D4210" s="36">
        <v>51500.0</v>
      </c>
      <c r="E4210" s="36" t="s">
        <v>1683</v>
      </c>
      <c r="F4210" s="178" t="s">
        <v>181</v>
      </c>
    </row>
    <row r="4211">
      <c r="A4211" s="250">
        <v>45903.42074888889</v>
      </c>
      <c r="B4211" s="251" t="s">
        <v>1698</v>
      </c>
      <c r="C4211" s="178" t="s">
        <v>5329</v>
      </c>
      <c r="D4211" s="36" t="s">
        <v>1683</v>
      </c>
      <c r="E4211" s="36">
        <v>51500.0</v>
      </c>
      <c r="F4211" s="178" t="s">
        <v>181</v>
      </c>
    </row>
    <row r="4212">
      <c r="A4212" s="250">
        <v>45903.42081888889</v>
      </c>
      <c r="B4212" s="251" t="s">
        <v>2064</v>
      </c>
      <c r="C4212" s="178" t="s">
        <v>5334</v>
      </c>
      <c r="D4212" s="36">
        <v>733414.0000000001</v>
      </c>
      <c r="E4212" s="36" t="s">
        <v>1683</v>
      </c>
      <c r="F4212" s="178" t="s">
        <v>181</v>
      </c>
    </row>
    <row r="4213">
      <c r="A4213" s="250">
        <v>45903.42081888889</v>
      </c>
      <c r="B4213" s="251" t="s">
        <v>1698</v>
      </c>
      <c r="C4213" s="178" t="s">
        <v>5331</v>
      </c>
      <c r="D4213" s="36" t="s">
        <v>1683</v>
      </c>
      <c r="E4213" s="36">
        <v>733414.0000000001</v>
      </c>
      <c r="F4213" s="178" t="s">
        <v>181</v>
      </c>
    </row>
    <row r="4214">
      <c r="A4214" s="250">
        <v>45904.53898444444</v>
      </c>
      <c r="B4214" s="251" t="s">
        <v>1631</v>
      </c>
      <c r="C4214" s="178" t="s">
        <v>5335</v>
      </c>
      <c r="D4214" s="36">
        <v>198359.0</v>
      </c>
      <c r="E4214" s="36" t="s">
        <v>1683</v>
      </c>
      <c r="F4214" s="178" t="s">
        <v>1671</v>
      </c>
    </row>
    <row r="4215">
      <c r="A4215" s="250">
        <v>45904.53898444444</v>
      </c>
      <c r="B4215" s="251" t="s">
        <v>1684</v>
      </c>
      <c r="C4215" s="178" t="s">
        <v>5336</v>
      </c>
      <c r="D4215" s="36" t="s">
        <v>1683</v>
      </c>
      <c r="E4215" s="36">
        <v>198359.0</v>
      </c>
      <c r="F4215" s="178" t="s">
        <v>1671</v>
      </c>
    </row>
    <row r="4216">
      <c r="A4216" s="250">
        <v>45905.50823888889</v>
      </c>
      <c r="B4216" s="251" t="s">
        <v>1693</v>
      </c>
      <c r="C4216" s="178" t="s">
        <v>5337</v>
      </c>
      <c r="D4216" s="36">
        <v>4400.0</v>
      </c>
      <c r="E4216" s="36" t="s">
        <v>1683</v>
      </c>
      <c r="F4216" s="178" t="s">
        <v>180</v>
      </c>
    </row>
    <row r="4217">
      <c r="A4217" s="250">
        <v>45905.50823888889</v>
      </c>
      <c r="B4217" s="251" t="s">
        <v>1684</v>
      </c>
      <c r="C4217" s="178" t="s">
        <v>5338</v>
      </c>
      <c r="D4217" s="36" t="s">
        <v>1683</v>
      </c>
      <c r="E4217" s="36">
        <v>4400.0</v>
      </c>
      <c r="F4217" s="178" t="s">
        <v>180</v>
      </c>
    </row>
    <row r="4218">
      <c r="A4218" s="250">
        <v>45905.50830888889</v>
      </c>
      <c r="B4218" s="251" t="s">
        <v>1693</v>
      </c>
      <c r="C4218" s="178" t="s">
        <v>5339</v>
      </c>
      <c r="D4218" s="36">
        <v>79300.00000000001</v>
      </c>
      <c r="E4218" s="36" t="s">
        <v>1683</v>
      </c>
      <c r="F4218" s="178" t="s">
        <v>180</v>
      </c>
    </row>
    <row r="4219">
      <c r="A4219" s="250">
        <v>45905.50830888889</v>
      </c>
      <c r="B4219" s="251" t="s">
        <v>1684</v>
      </c>
      <c r="C4219" s="178" t="s">
        <v>5340</v>
      </c>
      <c r="D4219" s="36" t="s">
        <v>1683</v>
      </c>
      <c r="E4219" s="36">
        <v>79300.00000000001</v>
      </c>
      <c r="F4219" s="178" t="s">
        <v>180</v>
      </c>
    </row>
    <row r="4220">
      <c r="A4220" s="250">
        <v>45907.38948888889</v>
      </c>
      <c r="B4220" s="251" t="s">
        <v>2068</v>
      </c>
      <c r="C4220" s="178" t="s">
        <v>5341</v>
      </c>
      <c r="D4220" s="36">
        <v>4400.0</v>
      </c>
      <c r="E4220" s="36" t="s">
        <v>1683</v>
      </c>
      <c r="F4220" s="178" t="s">
        <v>180</v>
      </c>
    </row>
    <row r="4221">
      <c r="A4221" s="250">
        <v>45907.38948888889</v>
      </c>
      <c r="B4221" s="251" t="s">
        <v>1698</v>
      </c>
      <c r="C4221" s="178" t="s">
        <v>5337</v>
      </c>
      <c r="D4221" s="36" t="s">
        <v>1683</v>
      </c>
      <c r="E4221" s="36">
        <v>4400.0</v>
      </c>
      <c r="F4221" s="178" t="s">
        <v>180</v>
      </c>
    </row>
    <row r="4222">
      <c r="A4222" s="250">
        <v>45907.38955888889</v>
      </c>
      <c r="B4222" s="251" t="s">
        <v>2064</v>
      </c>
      <c r="C4222" s="178" t="s">
        <v>5342</v>
      </c>
      <c r="D4222" s="36">
        <v>79300.00000000001</v>
      </c>
      <c r="E4222" s="36" t="s">
        <v>1683</v>
      </c>
      <c r="F4222" s="178" t="s">
        <v>180</v>
      </c>
    </row>
    <row r="4223">
      <c r="A4223" s="250">
        <v>45907.38955888889</v>
      </c>
      <c r="B4223" s="251" t="s">
        <v>1698</v>
      </c>
      <c r="C4223" s="178" t="s">
        <v>5339</v>
      </c>
      <c r="D4223" s="36" t="s">
        <v>1683</v>
      </c>
      <c r="E4223" s="36">
        <v>79300.00000000001</v>
      </c>
      <c r="F4223" s="178" t="s">
        <v>180</v>
      </c>
    </row>
    <row r="4224">
      <c r="A4224" s="250">
        <v>45908.52436111111</v>
      </c>
      <c r="B4224" s="251" t="s">
        <v>1844</v>
      </c>
      <c r="C4224" s="178" t="s">
        <v>5343</v>
      </c>
      <c r="D4224" s="36">
        <v>2888870.0000000005</v>
      </c>
      <c r="E4224" s="36" t="s">
        <v>1683</v>
      </c>
      <c r="F4224" s="178" t="s">
        <v>410</v>
      </c>
    </row>
    <row r="4225">
      <c r="A4225" s="250">
        <v>45908.52436111111</v>
      </c>
      <c r="B4225" s="251" t="s">
        <v>3242</v>
      </c>
      <c r="C4225" s="178" t="s">
        <v>5317</v>
      </c>
      <c r="D4225" s="36" t="s">
        <v>1683</v>
      </c>
      <c r="E4225" s="36">
        <v>2888870.0000000005</v>
      </c>
      <c r="F4225" s="178" t="s">
        <v>410</v>
      </c>
    </row>
    <row r="4226">
      <c r="A4226" s="250">
        <v>45909.58673614583</v>
      </c>
      <c r="B4226" s="251" t="s">
        <v>2839</v>
      </c>
      <c r="C4226" s="178" t="s">
        <v>5344</v>
      </c>
      <c r="D4226" s="36">
        <v>9373.0</v>
      </c>
      <c r="E4226" s="36" t="s">
        <v>1683</v>
      </c>
      <c r="F4226" s="178" t="s">
        <v>1683</v>
      </c>
    </row>
    <row r="4227">
      <c r="A4227" s="250">
        <v>45909.58673614583</v>
      </c>
      <c r="B4227" s="251" t="s">
        <v>4407</v>
      </c>
      <c r="C4227" s="178" t="s">
        <v>5345</v>
      </c>
      <c r="D4227" s="36" t="s">
        <v>1683</v>
      </c>
      <c r="E4227" s="36">
        <v>9373.0</v>
      </c>
      <c r="F4227" s="178" t="s">
        <v>1683</v>
      </c>
    </row>
    <row r="4228">
      <c r="A4228" s="250">
        <v>45909.58674614583</v>
      </c>
      <c r="B4228" s="251" t="s">
        <v>2417</v>
      </c>
      <c r="C4228" s="178" t="s">
        <v>5346</v>
      </c>
      <c r="D4228" s="36">
        <v>2421.2999999999997</v>
      </c>
      <c r="E4228" s="36" t="s">
        <v>1683</v>
      </c>
      <c r="F4228" s="178" t="s">
        <v>1683</v>
      </c>
    </row>
    <row r="4229">
      <c r="A4229" s="250">
        <v>45909.58674614583</v>
      </c>
      <c r="B4229" s="251" t="s">
        <v>2607</v>
      </c>
      <c r="C4229" s="178" t="s">
        <v>5347</v>
      </c>
      <c r="D4229" s="36" t="s">
        <v>1683</v>
      </c>
      <c r="E4229" s="36">
        <v>2421.2999999999997</v>
      </c>
      <c r="F4229" s="178" t="s">
        <v>1683</v>
      </c>
    </row>
    <row r="4230">
      <c r="A4230" s="250">
        <v>45909.586756145836</v>
      </c>
      <c r="B4230" s="251" t="s">
        <v>2841</v>
      </c>
      <c r="C4230" s="178" t="s">
        <v>5348</v>
      </c>
      <c r="D4230" s="36">
        <v>43131.76</v>
      </c>
      <c r="E4230" s="36" t="s">
        <v>1683</v>
      </c>
      <c r="F4230" s="178" t="s">
        <v>1683</v>
      </c>
    </row>
    <row r="4231">
      <c r="A4231" s="250">
        <v>45909.586756145836</v>
      </c>
      <c r="B4231" s="251" t="s">
        <v>3102</v>
      </c>
      <c r="C4231" s="178" t="s">
        <v>5349</v>
      </c>
      <c r="D4231" s="36" t="s">
        <v>1683</v>
      </c>
      <c r="E4231" s="36">
        <v>43131.76</v>
      </c>
      <c r="F4231" s="178" t="s">
        <v>1683</v>
      </c>
    </row>
    <row r="4232">
      <c r="A4232" s="250">
        <v>45909.58676614583</v>
      </c>
      <c r="B4232" s="251" t="s">
        <v>2266</v>
      </c>
      <c r="C4232" s="178" t="s">
        <v>5350</v>
      </c>
      <c r="D4232" s="36">
        <v>1515.16</v>
      </c>
      <c r="E4232" s="36" t="s">
        <v>1683</v>
      </c>
      <c r="F4232" s="178" t="s">
        <v>1683</v>
      </c>
    </row>
    <row r="4233">
      <c r="A4233" s="250">
        <v>45909.58676614583</v>
      </c>
      <c r="B4233" s="251" t="s">
        <v>2420</v>
      </c>
      <c r="C4233" s="178" t="s">
        <v>5351</v>
      </c>
      <c r="D4233" s="36" t="s">
        <v>1683</v>
      </c>
      <c r="E4233" s="36">
        <v>1515.16</v>
      </c>
      <c r="F4233" s="178" t="s">
        <v>1683</v>
      </c>
    </row>
    <row r="4234">
      <c r="A4234" s="250">
        <v>45909.60298777778</v>
      </c>
      <c r="B4234" s="251" t="s">
        <v>1693</v>
      </c>
      <c r="C4234" s="178" t="s">
        <v>5352</v>
      </c>
      <c r="D4234" s="36">
        <v>710280.0</v>
      </c>
      <c r="E4234" s="36" t="s">
        <v>1683</v>
      </c>
      <c r="F4234" s="178" t="s">
        <v>352</v>
      </c>
    </row>
    <row r="4235">
      <c r="A4235" s="250">
        <v>45909.60298777778</v>
      </c>
      <c r="B4235" s="251" t="s">
        <v>1684</v>
      </c>
      <c r="C4235" s="178" t="s">
        <v>5353</v>
      </c>
      <c r="D4235" s="36" t="s">
        <v>1683</v>
      </c>
      <c r="E4235" s="36">
        <v>710280.0</v>
      </c>
      <c r="F4235" s="178" t="s">
        <v>352</v>
      </c>
    </row>
    <row r="4236">
      <c r="A4236" s="250">
        <v>45912.44118222222</v>
      </c>
      <c r="B4236" s="251" t="s">
        <v>3257</v>
      </c>
      <c r="C4236" s="178" t="s">
        <v>5354</v>
      </c>
      <c r="D4236" s="36">
        <v>710280.0</v>
      </c>
      <c r="E4236" s="36" t="s">
        <v>1683</v>
      </c>
      <c r="F4236" s="178" t="s">
        <v>352</v>
      </c>
    </row>
    <row r="4237">
      <c r="A4237" s="250">
        <v>45912.44118222222</v>
      </c>
      <c r="B4237" s="251" t="s">
        <v>1698</v>
      </c>
      <c r="C4237" s="178" t="s">
        <v>5352</v>
      </c>
      <c r="D4237" s="36" t="s">
        <v>1683</v>
      </c>
      <c r="E4237" s="36">
        <v>710280.0</v>
      </c>
      <c r="F4237" s="178" t="s">
        <v>352</v>
      </c>
    </row>
    <row r="4238">
      <c r="A4238" s="250">
        <v>45918.63205</v>
      </c>
      <c r="B4238" s="251" t="s">
        <v>1631</v>
      </c>
      <c r="C4238" s="178" t="s">
        <v>5355</v>
      </c>
      <c r="D4238" s="36">
        <v>391609.0</v>
      </c>
      <c r="E4238" s="36" t="s">
        <v>1683</v>
      </c>
      <c r="F4238" s="178" t="s">
        <v>1672</v>
      </c>
    </row>
    <row r="4239">
      <c r="A4239" s="250">
        <v>45918.63205</v>
      </c>
      <c r="B4239" s="251" t="s">
        <v>1684</v>
      </c>
      <c r="C4239" s="178" t="s">
        <v>5356</v>
      </c>
      <c r="D4239" s="36" t="s">
        <v>1683</v>
      </c>
      <c r="E4239" s="36">
        <v>391609.0</v>
      </c>
      <c r="F4239" s="178" t="s">
        <v>1672</v>
      </c>
    </row>
    <row r="4240">
      <c r="A4240" s="250">
        <v>45923.776448888886</v>
      </c>
      <c r="B4240" s="251" t="s">
        <v>1783</v>
      </c>
      <c r="C4240" s="178" t="s">
        <v>5357</v>
      </c>
      <c r="D4240" s="36">
        <v>324499.99999999994</v>
      </c>
      <c r="E4240" s="36" t="s">
        <v>1683</v>
      </c>
      <c r="F4240" s="178" t="s">
        <v>914</v>
      </c>
    </row>
    <row r="4241">
      <c r="A4241" s="250">
        <v>45923.776448888886</v>
      </c>
      <c r="B4241" s="251" t="s">
        <v>1684</v>
      </c>
      <c r="C4241" s="178" t="s">
        <v>5358</v>
      </c>
      <c r="D4241" s="36" t="s">
        <v>1683</v>
      </c>
      <c r="E4241" s="36">
        <v>324499.99999999994</v>
      </c>
      <c r="F4241" s="178" t="s">
        <v>914</v>
      </c>
    </row>
    <row r="4242">
      <c r="A4242" s="250">
        <v>45923.779911111116</v>
      </c>
      <c r="B4242" s="251" t="s">
        <v>1783</v>
      </c>
      <c r="C4242" s="178" t="s">
        <v>5359</v>
      </c>
      <c r="D4242" s="36">
        <v>273749.99999999994</v>
      </c>
      <c r="E4242" s="36" t="s">
        <v>1683</v>
      </c>
      <c r="F4242" s="178" t="s">
        <v>913</v>
      </c>
    </row>
    <row r="4243">
      <c r="A4243" s="250">
        <v>45923.779911111116</v>
      </c>
      <c r="B4243" s="251" t="s">
        <v>1684</v>
      </c>
      <c r="C4243" s="178" t="s">
        <v>5360</v>
      </c>
      <c r="D4243" s="36" t="s">
        <v>1683</v>
      </c>
      <c r="E4243" s="36">
        <v>273749.99999999994</v>
      </c>
      <c r="F4243" s="178" t="s">
        <v>913</v>
      </c>
    </row>
    <row r="4244">
      <c r="A4244" s="250">
        <v>45923.781984444446</v>
      </c>
      <c r="B4244" s="251" t="s">
        <v>1783</v>
      </c>
      <c r="C4244" s="178" t="s">
        <v>5361</v>
      </c>
      <c r="D4244" s="36">
        <v>111780.0</v>
      </c>
      <c r="E4244" s="36" t="s">
        <v>1683</v>
      </c>
      <c r="F4244" s="178" t="s">
        <v>912</v>
      </c>
    </row>
    <row r="4245">
      <c r="A4245" s="250">
        <v>45923.781984444446</v>
      </c>
      <c r="B4245" s="251" t="s">
        <v>1684</v>
      </c>
      <c r="C4245" s="178" t="s">
        <v>5362</v>
      </c>
      <c r="D4245" s="36" t="s">
        <v>1683</v>
      </c>
      <c r="E4245" s="36">
        <v>111780.0</v>
      </c>
      <c r="F4245" s="178" t="s">
        <v>912</v>
      </c>
    </row>
    <row r="4246">
      <c r="A4246" s="250">
        <v>45925.00298333333</v>
      </c>
      <c r="B4246" s="251" t="s">
        <v>1693</v>
      </c>
      <c r="C4246" s="178" t="s">
        <v>5363</v>
      </c>
      <c r="D4246" s="36">
        <v>4550.0</v>
      </c>
      <c r="E4246" s="36" t="s">
        <v>1683</v>
      </c>
      <c r="F4246" s="178" t="s">
        <v>213</v>
      </c>
    </row>
    <row r="4247">
      <c r="A4247" s="250">
        <v>45925.00298333333</v>
      </c>
      <c r="B4247" s="251" t="s">
        <v>1684</v>
      </c>
      <c r="C4247" s="178" t="s">
        <v>5364</v>
      </c>
      <c r="D4247" s="36" t="s">
        <v>1683</v>
      </c>
      <c r="E4247" s="36">
        <v>4550.0</v>
      </c>
      <c r="F4247" s="178" t="s">
        <v>213</v>
      </c>
    </row>
    <row r="4248">
      <c r="A4248" s="250">
        <v>45925.04382</v>
      </c>
      <c r="B4248" s="251" t="s">
        <v>1693</v>
      </c>
      <c r="C4248" s="178" t="s">
        <v>5365</v>
      </c>
      <c r="D4248" s="36">
        <v>7699.999999999999</v>
      </c>
      <c r="E4248" s="36" t="s">
        <v>1683</v>
      </c>
      <c r="F4248" s="178" t="s">
        <v>335</v>
      </c>
    </row>
    <row r="4249">
      <c r="A4249" s="250">
        <v>45925.04382</v>
      </c>
      <c r="B4249" s="251" t="s">
        <v>1684</v>
      </c>
      <c r="C4249" s="178" t="s">
        <v>5366</v>
      </c>
      <c r="D4249" s="36" t="s">
        <v>1683</v>
      </c>
      <c r="E4249" s="36">
        <v>7699.999999999999</v>
      </c>
      <c r="F4249" s="178" t="s">
        <v>335</v>
      </c>
    </row>
    <row r="4250">
      <c r="A4250" s="250">
        <v>45925.101398888895</v>
      </c>
      <c r="B4250" s="251" t="s">
        <v>1783</v>
      </c>
      <c r="C4250" s="178" t="s">
        <v>5367</v>
      </c>
      <c r="D4250" s="36">
        <v>180000.0</v>
      </c>
      <c r="E4250" s="36" t="s">
        <v>1683</v>
      </c>
      <c r="F4250" s="178" t="s">
        <v>623</v>
      </c>
    </row>
    <row r="4251">
      <c r="A4251" s="250">
        <v>45925.101398888895</v>
      </c>
      <c r="B4251" s="251" t="s">
        <v>1684</v>
      </c>
      <c r="C4251" s="178" t="s">
        <v>5368</v>
      </c>
      <c r="D4251" s="36" t="s">
        <v>1683</v>
      </c>
      <c r="E4251" s="36">
        <v>180000.0</v>
      </c>
      <c r="F4251" s="178" t="s">
        <v>623</v>
      </c>
    </row>
    <row r="4252">
      <c r="A4252" s="250">
        <v>45925.118525555554</v>
      </c>
      <c r="B4252" s="251" t="s">
        <v>1783</v>
      </c>
      <c r="C4252" s="178" t="s">
        <v>5369</v>
      </c>
      <c r="D4252" s="36">
        <v>150300.0</v>
      </c>
      <c r="E4252" s="36" t="s">
        <v>1683</v>
      </c>
      <c r="F4252" s="178" t="s">
        <v>671</v>
      </c>
    </row>
    <row r="4253">
      <c r="A4253" s="250">
        <v>45925.118525555554</v>
      </c>
      <c r="B4253" s="251" t="s">
        <v>1684</v>
      </c>
      <c r="C4253" s="178" t="s">
        <v>5370</v>
      </c>
      <c r="D4253" s="36" t="s">
        <v>1683</v>
      </c>
      <c r="E4253" s="36">
        <v>150300.0</v>
      </c>
      <c r="F4253" s="178" t="s">
        <v>671</v>
      </c>
    </row>
    <row r="4254">
      <c r="A4254" s="250">
        <v>45925.121557777784</v>
      </c>
      <c r="B4254" s="251" t="s">
        <v>1783</v>
      </c>
      <c r="C4254" s="178" t="s">
        <v>5371</v>
      </c>
      <c r="D4254" s="36">
        <v>28349.999999999996</v>
      </c>
      <c r="E4254" s="36" t="s">
        <v>1683</v>
      </c>
      <c r="F4254" s="178" t="s">
        <v>911</v>
      </c>
    </row>
    <row r="4255">
      <c r="A4255" s="250">
        <v>45925.121557777784</v>
      </c>
      <c r="B4255" s="251" t="s">
        <v>1684</v>
      </c>
      <c r="C4255" s="178" t="s">
        <v>5372</v>
      </c>
      <c r="D4255" s="36" t="s">
        <v>1683</v>
      </c>
      <c r="E4255" s="36">
        <v>28349.999999999996</v>
      </c>
      <c r="F4255" s="178" t="s">
        <v>911</v>
      </c>
    </row>
    <row r="4256">
      <c r="A4256" s="250">
        <v>45925.12474555556</v>
      </c>
      <c r="B4256" s="251" t="s">
        <v>1783</v>
      </c>
      <c r="C4256" s="178" t="s">
        <v>5373</v>
      </c>
      <c r="D4256" s="36">
        <v>80100.0</v>
      </c>
      <c r="E4256" s="36" t="s">
        <v>1683</v>
      </c>
      <c r="F4256" s="178" t="s">
        <v>489</v>
      </c>
    </row>
    <row r="4257">
      <c r="A4257" s="250">
        <v>45925.12474555556</v>
      </c>
      <c r="B4257" s="251" t="s">
        <v>1684</v>
      </c>
      <c r="C4257" s="178" t="s">
        <v>5374</v>
      </c>
      <c r="D4257" s="36" t="s">
        <v>1683</v>
      </c>
      <c r="E4257" s="36">
        <v>80100.0</v>
      </c>
      <c r="F4257" s="178" t="s">
        <v>489</v>
      </c>
    </row>
    <row r="4258">
      <c r="A4258" s="250">
        <v>45925.12612444445</v>
      </c>
      <c r="B4258" s="251" t="s">
        <v>1783</v>
      </c>
      <c r="C4258" s="178" t="s">
        <v>5375</v>
      </c>
      <c r="D4258" s="36">
        <v>80100.0</v>
      </c>
      <c r="E4258" s="36" t="s">
        <v>1683</v>
      </c>
      <c r="F4258" s="178" t="s">
        <v>488</v>
      </c>
    </row>
    <row r="4259">
      <c r="A4259" s="250">
        <v>45925.12612444445</v>
      </c>
      <c r="B4259" s="251" t="s">
        <v>1684</v>
      </c>
      <c r="C4259" s="178" t="s">
        <v>5376</v>
      </c>
      <c r="D4259" s="36" t="s">
        <v>1683</v>
      </c>
      <c r="E4259" s="36">
        <v>80100.0</v>
      </c>
      <c r="F4259" s="178" t="s">
        <v>488</v>
      </c>
    </row>
    <row r="4260">
      <c r="A4260" s="250">
        <v>45925.43306888889</v>
      </c>
      <c r="B4260" s="251" t="s">
        <v>3494</v>
      </c>
      <c r="C4260" s="178" t="s">
        <v>5377</v>
      </c>
      <c r="D4260" s="36">
        <v>80100.0</v>
      </c>
      <c r="E4260" s="36" t="s">
        <v>1683</v>
      </c>
      <c r="F4260" s="178" t="s">
        <v>488</v>
      </c>
    </row>
    <row r="4261">
      <c r="A4261" s="250">
        <v>45925.43306888889</v>
      </c>
      <c r="B4261" s="251" t="s">
        <v>1802</v>
      </c>
      <c r="C4261" s="178" t="s">
        <v>5375</v>
      </c>
      <c r="D4261" s="36" t="s">
        <v>1683</v>
      </c>
      <c r="E4261" s="36">
        <v>80100.0</v>
      </c>
      <c r="F4261" s="178" t="s">
        <v>488</v>
      </c>
    </row>
    <row r="4262">
      <c r="A4262" s="250">
        <v>45925.43307888889</v>
      </c>
      <c r="B4262" s="251" t="s">
        <v>3494</v>
      </c>
      <c r="C4262" s="178" t="s">
        <v>5378</v>
      </c>
      <c r="D4262" s="36">
        <v>80100.0</v>
      </c>
      <c r="E4262" s="36" t="s">
        <v>1683</v>
      </c>
      <c r="F4262" s="178" t="s">
        <v>489</v>
      </c>
    </row>
    <row r="4263">
      <c r="A4263" s="250">
        <v>45925.43307888889</v>
      </c>
      <c r="B4263" s="251" t="s">
        <v>1802</v>
      </c>
      <c r="C4263" s="178" t="s">
        <v>5373</v>
      </c>
      <c r="D4263" s="36" t="s">
        <v>1683</v>
      </c>
      <c r="E4263" s="36">
        <v>80100.0</v>
      </c>
      <c r="F4263" s="178" t="s">
        <v>489</v>
      </c>
    </row>
    <row r="4264">
      <c r="A4264" s="250">
        <v>45925.50769888889</v>
      </c>
      <c r="B4264" s="251" t="s">
        <v>2497</v>
      </c>
      <c r="C4264" s="178" t="s">
        <v>5379</v>
      </c>
      <c r="D4264" s="36">
        <v>324499.99999999994</v>
      </c>
      <c r="E4264" s="36" t="s">
        <v>1683</v>
      </c>
      <c r="F4264" s="178" t="s">
        <v>914</v>
      </c>
    </row>
    <row r="4265">
      <c r="A4265" s="250">
        <v>45925.50769888889</v>
      </c>
      <c r="B4265" s="251" t="s">
        <v>1802</v>
      </c>
      <c r="C4265" s="178" t="s">
        <v>5357</v>
      </c>
      <c r="D4265" s="36" t="s">
        <v>1683</v>
      </c>
      <c r="E4265" s="36">
        <v>324499.99999999994</v>
      </c>
      <c r="F4265" s="178" t="s">
        <v>914</v>
      </c>
    </row>
    <row r="4266">
      <c r="A4266" s="250">
        <v>45926.45351222222</v>
      </c>
      <c r="B4266" s="251" t="s">
        <v>2497</v>
      </c>
      <c r="C4266" s="178" t="s">
        <v>5380</v>
      </c>
      <c r="D4266" s="36">
        <v>111780.0</v>
      </c>
      <c r="E4266" s="36" t="s">
        <v>1683</v>
      </c>
      <c r="F4266" s="178" t="s">
        <v>912</v>
      </c>
    </row>
    <row r="4267">
      <c r="A4267" s="250">
        <v>45926.45351222222</v>
      </c>
      <c r="B4267" s="251" t="s">
        <v>1802</v>
      </c>
      <c r="C4267" s="178" t="s">
        <v>5361</v>
      </c>
      <c r="D4267" s="36" t="s">
        <v>1683</v>
      </c>
      <c r="E4267" s="36">
        <v>111780.0</v>
      </c>
      <c r="F4267" s="178" t="s">
        <v>912</v>
      </c>
    </row>
    <row r="4268">
      <c r="A4268" s="250">
        <v>45926.453522222226</v>
      </c>
      <c r="B4268" s="251" t="s">
        <v>2497</v>
      </c>
      <c r="C4268" s="178" t="s">
        <v>5381</v>
      </c>
      <c r="D4268" s="36">
        <v>273749.99999999994</v>
      </c>
      <c r="E4268" s="36" t="s">
        <v>1683</v>
      </c>
      <c r="F4268" s="178" t="s">
        <v>913</v>
      </c>
    </row>
    <row r="4269">
      <c r="A4269" s="250">
        <v>45926.453522222226</v>
      </c>
      <c r="B4269" s="251" t="s">
        <v>1802</v>
      </c>
      <c r="C4269" s="178" t="s">
        <v>5359</v>
      </c>
      <c r="D4269" s="36" t="s">
        <v>1683</v>
      </c>
      <c r="E4269" s="36">
        <v>273749.99999999994</v>
      </c>
      <c r="F4269" s="178" t="s">
        <v>913</v>
      </c>
    </row>
    <row r="4270">
      <c r="A4270" s="250">
        <v>45926.63681555556</v>
      </c>
      <c r="B4270" s="251" t="s">
        <v>4332</v>
      </c>
      <c r="C4270" s="178" t="s">
        <v>5382</v>
      </c>
      <c r="D4270" s="36">
        <v>180000.0</v>
      </c>
      <c r="E4270" s="36" t="s">
        <v>1683</v>
      </c>
      <c r="F4270" s="178" t="s">
        <v>623</v>
      </c>
    </row>
    <row r="4271">
      <c r="A4271" s="250">
        <v>45926.63681555556</v>
      </c>
      <c r="B4271" s="251" t="s">
        <v>1802</v>
      </c>
      <c r="C4271" s="178" t="s">
        <v>5367</v>
      </c>
      <c r="D4271" s="36" t="s">
        <v>1683</v>
      </c>
      <c r="E4271" s="36">
        <v>180000.0</v>
      </c>
      <c r="F4271" s="178" t="s">
        <v>623</v>
      </c>
    </row>
    <row r="4272">
      <c r="A4272" s="250">
        <v>45927.40047</v>
      </c>
      <c r="B4272" s="251" t="s">
        <v>2499</v>
      </c>
      <c r="C4272" s="178" t="s">
        <v>5383</v>
      </c>
      <c r="D4272" s="36">
        <v>150300.0</v>
      </c>
      <c r="E4272" s="36" t="s">
        <v>1683</v>
      </c>
      <c r="F4272" s="178" t="s">
        <v>671</v>
      </c>
    </row>
    <row r="4273">
      <c r="A4273" s="250">
        <v>45927.40047</v>
      </c>
      <c r="B4273" s="251" t="s">
        <v>1802</v>
      </c>
      <c r="C4273" s="178" t="s">
        <v>5369</v>
      </c>
      <c r="D4273" s="36" t="s">
        <v>1683</v>
      </c>
      <c r="E4273" s="36">
        <v>150300.0</v>
      </c>
      <c r="F4273" s="178" t="s">
        <v>671</v>
      </c>
    </row>
    <row r="4274">
      <c r="A4274" s="250">
        <v>45927.43266888889</v>
      </c>
      <c r="B4274" s="251" t="s">
        <v>2497</v>
      </c>
      <c r="C4274" s="178" t="s">
        <v>5384</v>
      </c>
      <c r="D4274" s="36">
        <v>28349.999999999996</v>
      </c>
      <c r="E4274" s="36" t="s">
        <v>1683</v>
      </c>
      <c r="F4274" s="178" t="s">
        <v>911</v>
      </c>
    </row>
    <row r="4275">
      <c r="A4275" s="250">
        <v>45927.43266888889</v>
      </c>
      <c r="B4275" s="251" t="s">
        <v>1802</v>
      </c>
      <c r="C4275" s="178" t="s">
        <v>5371</v>
      </c>
      <c r="D4275" s="36" t="s">
        <v>1683</v>
      </c>
      <c r="E4275" s="36">
        <v>28349.999999999996</v>
      </c>
      <c r="F4275" s="178" t="s">
        <v>911</v>
      </c>
    </row>
    <row r="4276">
      <c r="A4276" s="250">
        <v>45927.64534444444</v>
      </c>
      <c r="B4276" s="251" t="s">
        <v>3247</v>
      </c>
      <c r="C4276" s="178" t="s">
        <v>5385</v>
      </c>
      <c r="D4276" s="36">
        <v>4550.0</v>
      </c>
      <c r="E4276" s="36" t="s">
        <v>1683</v>
      </c>
      <c r="F4276" s="178" t="s">
        <v>213</v>
      </c>
    </row>
    <row r="4277">
      <c r="A4277" s="250">
        <v>45927.64534444444</v>
      </c>
      <c r="B4277" s="251" t="s">
        <v>1698</v>
      </c>
      <c r="C4277" s="178" t="s">
        <v>5363</v>
      </c>
      <c r="D4277" s="36" t="s">
        <v>1683</v>
      </c>
      <c r="E4277" s="36">
        <v>4550.0</v>
      </c>
      <c r="F4277" s="178" t="s">
        <v>213</v>
      </c>
    </row>
    <row r="4278">
      <c r="A4278" s="250">
        <v>45930.612570000005</v>
      </c>
      <c r="B4278" s="251" t="s">
        <v>2841</v>
      </c>
      <c r="C4278" s="178" t="s">
        <v>5386</v>
      </c>
      <c r="D4278" s="36">
        <v>7699.999999999999</v>
      </c>
      <c r="E4278" s="36" t="s">
        <v>1683</v>
      </c>
      <c r="F4278" s="178" t="s">
        <v>335</v>
      </c>
    </row>
    <row r="4279">
      <c r="A4279" s="250">
        <v>45930.612570000005</v>
      </c>
      <c r="B4279" s="251" t="s">
        <v>1698</v>
      </c>
      <c r="C4279" s="178" t="s">
        <v>5365</v>
      </c>
      <c r="D4279" s="36" t="s">
        <v>1683</v>
      </c>
      <c r="E4279" s="36">
        <v>7699.999999999999</v>
      </c>
      <c r="F4279" s="178" t="s">
        <v>335</v>
      </c>
    </row>
    <row r="4280">
      <c r="A4280" s="250">
        <v>45938.09624333333</v>
      </c>
      <c r="B4280" s="251" t="s">
        <v>1783</v>
      </c>
      <c r="C4280" s="178" t="s">
        <v>5387</v>
      </c>
      <c r="D4280" s="36">
        <v>9537.0</v>
      </c>
      <c r="E4280" s="36" t="s">
        <v>1683</v>
      </c>
      <c r="F4280" s="178" t="s">
        <v>487</v>
      </c>
    </row>
    <row r="4281">
      <c r="A4281" s="250">
        <v>45938.09624333333</v>
      </c>
      <c r="B4281" s="251" t="s">
        <v>1684</v>
      </c>
      <c r="C4281" s="178" t="s">
        <v>5388</v>
      </c>
      <c r="D4281" s="36" t="s">
        <v>1683</v>
      </c>
      <c r="E4281" s="36">
        <v>9537.0</v>
      </c>
      <c r="F4281" s="178" t="s">
        <v>487</v>
      </c>
    </row>
    <row r="4282">
      <c r="A4282" s="250">
        <v>45938.09625333333</v>
      </c>
      <c r="B4282" s="251" t="s">
        <v>1783</v>
      </c>
      <c r="C4282" s="178" t="s">
        <v>5389</v>
      </c>
      <c r="D4282" s="36">
        <v>239360.0</v>
      </c>
      <c r="E4282" s="36" t="s">
        <v>1683</v>
      </c>
      <c r="F4282" s="178" t="s">
        <v>487</v>
      </c>
    </row>
    <row r="4283">
      <c r="A4283" s="250">
        <v>45938.09625333333</v>
      </c>
      <c r="B4283" s="251" t="s">
        <v>1684</v>
      </c>
      <c r="C4283" s="178" t="s">
        <v>5390</v>
      </c>
      <c r="D4283" s="36" t="s">
        <v>1683</v>
      </c>
      <c r="E4283" s="36">
        <v>239360.0</v>
      </c>
      <c r="F4283" s="178" t="s">
        <v>487</v>
      </c>
    </row>
    <row r="4284">
      <c r="A4284" s="250">
        <v>45940.01107666666</v>
      </c>
      <c r="B4284" s="251" t="s">
        <v>1693</v>
      </c>
      <c r="C4284" s="178" t="s">
        <v>5391</v>
      </c>
      <c r="D4284" s="36">
        <v>725140.0</v>
      </c>
      <c r="E4284" s="36" t="s">
        <v>1683</v>
      </c>
      <c r="F4284" s="178" t="s">
        <v>179</v>
      </c>
    </row>
    <row r="4285">
      <c r="A4285" s="250">
        <v>45940.01107666666</v>
      </c>
      <c r="B4285" s="251" t="s">
        <v>1684</v>
      </c>
      <c r="C4285" s="178" t="s">
        <v>5392</v>
      </c>
      <c r="D4285" s="36" t="s">
        <v>1683</v>
      </c>
      <c r="E4285" s="36">
        <v>725140.0</v>
      </c>
      <c r="F4285" s="178" t="s">
        <v>179</v>
      </c>
    </row>
    <row r="4286">
      <c r="A4286" s="250">
        <v>45940.01551777778</v>
      </c>
      <c r="B4286" s="251" t="s">
        <v>1693</v>
      </c>
      <c r="C4286" s="178" t="s">
        <v>5393</v>
      </c>
      <c r="D4286" s="36">
        <v>286786.00000000006</v>
      </c>
      <c r="E4286" s="36" t="s">
        <v>1683</v>
      </c>
      <c r="F4286" s="178" t="s">
        <v>556</v>
      </c>
    </row>
    <row r="4287">
      <c r="A4287" s="250">
        <v>45940.01551777778</v>
      </c>
      <c r="B4287" s="251" t="s">
        <v>1684</v>
      </c>
      <c r="C4287" s="178" t="s">
        <v>5394</v>
      </c>
      <c r="D4287" s="36" t="s">
        <v>1683</v>
      </c>
      <c r="E4287" s="36">
        <v>286786.00000000006</v>
      </c>
      <c r="F4287" s="178" t="s">
        <v>556</v>
      </c>
    </row>
    <row r="4288">
      <c r="A4288" s="250">
        <v>45940.01564777778</v>
      </c>
      <c r="B4288" s="251" t="s">
        <v>1693</v>
      </c>
      <c r="C4288" s="178" t="s">
        <v>5395</v>
      </c>
      <c r="D4288" s="36">
        <v>110303.5</v>
      </c>
      <c r="E4288" s="36" t="s">
        <v>1683</v>
      </c>
      <c r="F4288" s="178" t="s">
        <v>662</v>
      </c>
    </row>
    <row r="4289">
      <c r="A4289" s="250">
        <v>45940.01564777778</v>
      </c>
      <c r="B4289" s="251" t="s">
        <v>1684</v>
      </c>
      <c r="C4289" s="178" t="s">
        <v>5396</v>
      </c>
      <c r="D4289" s="36" t="s">
        <v>1683</v>
      </c>
      <c r="E4289" s="36">
        <v>110303.5</v>
      </c>
      <c r="F4289" s="178" t="s">
        <v>662</v>
      </c>
    </row>
    <row r="4290">
      <c r="A4290" s="250">
        <v>45940.01570777778</v>
      </c>
      <c r="B4290" s="251" t="s">
        <v>1693</v>
      </c>
      <c r="C4290" s="178" t="s">
        <v>5397</v>
      </c>
      <c r="D4290" s="36">
        <v>110303.5</v>
      </c>
      <c r="E4290" s="36" t="s">
        <v>1683</v>
      </c>
      <c r="F4290" s="178" t="s">
        <v>662</v>
      </c>
    </row>
    <row r="4291">
      <c r="A4291" s="250">
        <v>45940.01570777778</v>
      </c>
      <c r="B4291" s="251" t="s">
        <v>1684</v>
      </c>
      <c r="C4291" s="178" t="s">
        <v>5398</v>
      </c>
      <c r="D4291" s="36" t="s">
        <v>1683</v>
      </c>
      <c r="E4291" s="36">
        <v>110303.5</v>
      </c>
      <c r="F4291" s="178" t="s">
        <v>662</v>
      </c>
    </row>
    <row r="4292">
      <c r="A4292" s="250">
        <v>45940.01581777778</v>
      </c>
      <c r="B4292" s="251" t="s">
        <v>1693</v>
      </c>
      <c r="C4292" s="178" t="s">
        <v>5399</v>
      </c>
      <c r="D4292" s="36">
        <v>110303.5</v>
      </c>
      <c r="E4292" s="36" t="s">
        <v>1683</v>
      </c>
      <c r="F4292" s="178" t="s">
        <v>662</v>
      </c>
    </row>
    <row r="4293">
      <c r="A4293" s="250">
        <v>45940.01581777778</v>
      </c>
      <c r="B4293" s="251" t="s">
        <v>1684</v>
      </c>
      <c r="C4293" s="178" t="s">
        <v>5400</v>
      </c>
      <c r="D4293" s="36" t="s">
        <v>1683</v>
      </c>
      <c r="E4293" s="36">
        <v>110303.5</v>
      </c>
      <c r="F4293" s="178" t="s">
        <v>662</v>
      </c>
    </row>
    <row r="4294">
      <c r="A4294" s="250">
        <v>45940.016087777774</v>
      </c>
      <c r="B4294" s="251" t="s">
        <v>1693</v>
      </c>
      <c r="C4294" s="178" t="s">
        <v>5401</v>
      </c>
      <c r="D4294" s="36">
        <v>110303.5</v>
      </c>
      <c r="E4294" s="36" t="s">
        <v>1683</v>
      </c>
      <c r="F4294" s="178" t="s">
        <v>662</v>
      </c>
    </row>
    <row r="4295">
      <c r="A4295" s="250">
        <v>45940.016087777774</v>
      </c>
      <c r="B4295" s="251" t="s">
        <v>1684</v>
      </c>
      <c r="C4295" s="178" t="s">
        <v>5402</v>
      </c>
      <c r="D4295" s="36" t="s">
        <v>1683</v>
      </c>
      <c r="E4295" s="36">
        <v>110303.5</v>
      </c>
      <c r="F4295" s="178" t="s">
        <v>662</v>
      </c>
    </row>
    <row r="4296">
      <c r="A4296" s="250">
        <v>45940.73303888889</v>
      </c>
      <c r="B4296" s="251" t="s">
        <v>1783</v>
      </c>
      <c r="C4296" s="178" t="s">
        <v>5403</v>
      </c>
      <c r="D4296" s="36">
        <v>288999.99999999994</v>
      </c>
      <c r="E4296" s="36" t="s">
        <v>1683</v>
      </c>
      <c r="F4296" s="178" t="s">
        <v>486</v>
      </c>
    </row>
    <row r="4297">
      <c r="A4297" s="250">
        <v>45940.73303888889</v>
      </c>
      <c r="B4297" s="251" t="s">
        <v>1684</v>
      </c>
      <c r="C4297" s="178" t="s">
        <v>5404</v>
      </c>
      <c r="D4297" s="36" t="s">
        <v>1683</v>
      </c>
      <c r="E4297" s="36">
        <v>288999.99999999994</v>
      </c>
      <c r="F4297" s="178" t="s">
        <v>486</v>
      </c>
    </row>
    <row r="4298">
      <c r="A4298" s="250">
        <v>45940.73941888889</v>
      </c>
      <c r="B4298" s="251" t="s">
        <v>1783</v>
      </c>
      <c r="C4298" s="178" t="s">
        <v>5405</v>
      </c>
      <c r="D4298" s="36">
        <v>15589.874999999998</v>
      </c>
      <c r="E4298" s="36" t="s">
        <v>1683</v>
      </c>
      <c r="F4298" s="178" t="s">
        <v>768</v>
      </c>
    </row>
    <row r="4299">
      <c r="A4299" s="250">
        <v>45940.73941888889</v>
      </c>
      <c r="B4299" s="251" t="s">
        <v>1684</v>
      </c>
      <c r="C4299" s="178" t="s">
        <v>5406</v>
      </c>
      <c r="D4299" s="36" t="s">
        <v>1683</v>
      </c>
      <c r="E4299" s="36">
        <v>15589.874999999998</v>
      </c>
      <c r="F4299" s="178" t="s">
        <v>768</v>
      </c>
    </row>
    <row r="4300">
      <c r="A4300" s="250">
        <v>45940.73942888889</v>
      </c>
      <c r="B4300" s="251" t="s">
        <v>1783</v>
      </c>
      <c r="C4300" s="178" t="s">
        <v>5407</v>
      </c>
      <c r="D4300" s="36">
        <v>15589.874999999998</v>
      </c>
      <c r="E4300" s="36" t="s">
        <v>1683</v>
      </c>
      <c r="F4300" s="178" t="s">
        <v>768</v>
      </c>
    </row>
    <row r="4301">
      <c r="A4301" s="250">
        <v>45940.73942888889</v>
      </c>
      <c r="B4301" s="251" t="s">
        <v>1684</v>
      </c>
      <c r="C4301" s="178" t="s">
        <v>5408</v>
      </c>
      <c r="D4301" s="36" t="s">
        <v>1683</v>
      </c>
      <c r="E4301" s="36">
        <v>15589.874999999998</v>
      </c>
      <c r="F4301" s="178" t="s">
        <v>768</v>
      </c>
    </row>
    <row r="4302">
      <c r="A4302" s="250">
        <v>45940.73954888889</v>
      </c>
      <c r="B4302" s="251" t="s">
        <v>1783</v>
      </c>
      <c r="C4302" s="178" t="s">
        <v>5409</v>
      </c>
      <c r="D4302" s="36">
        <v>15589.874999999998</v>
      </c>
      <c r="E4302" s="36" t="s">
        <v>1683</v>
      </c>
      <c r="F4302" s="178" t="s">
        <v>768</v>
      </c>
    </row>
    <row r="4303">
      <c r="A4303" s="250">
        <v>45940.73954888889</v>
      </c>
      <c r="B4303" s="251" t="s">
        <v>1684</v>
      </c>
      <c r="C4303" s="178" t="s">
        <v>5410</v>
      </c>
      <c r="D4303" s="36" t="s">
        <v>1683</v>
      </c>
      <c r="E4303" s="36">
        <v>15589.874999999998</v>
      </c>
      <c r="F4303" s="178" t="s">
        <v>768</v>
      </c>
    </row>
    <row r="4304">
      <c r="A4304" s="250">
        <v>45940.739608888885</v>
      </c>
      <c r="B4304" s="251" t="s">
        <v>1783</v>
      </c>
      <c r="C4304" s="178" t="s">
        <v>5411</v>
      </c>
      <c r="D4304" s="36">
        <v>15589.874999999998</v>
      </c>
      <c r="E4304" s="36" t="s">
        <v>1683</v>
      </c>
      <c r="F4304" s="178" t="s">
        <v>768</v>
      </c>
    </row>
    <row r="4305">
      <c r="A4305" s="250">
        <v>45940.739608888885</v>
      </c>
      <c r="B4305" s="251" t="s">
        <v>1684</v>
      </c>
      <c r="C4305" s="178" t="s">
        <v>5412</v>
      </c>
      <c r="D4305" s="36" t="s">
        <v>1683</v>
      </c>
      <c r="E4305" s="36">
        <v>15589.874999999998</v>
      </c>
      <c r="F4305" s="178" t="s">
        <v>768</v>
      </c>
    </row>
    <row r="4306">
      <c r="A4306" s="250">
        <v>45940.73969888889</v>
      </c>
      <c r="B4306" s="251" t="s">
        <v>1783</v>
      </c>
      <c r="C4306" s="178" t="s">
        <v>5413</v>
      </c>
      <c r="D4306" s="36">
        <v>31179.749999999996</v>
      </c>
      <c r="E4306" s="36" t="s">
        <v>1683</v>
      </c>
      <c r="F4306" s="178" t="s">
        <v>768</v>
      </c>
    </row>
    <row r="4307">
      <c r="A4307" s="250">
        <v>45940.73969888889</v>
      </c>
      <c r="B4307" s="251" t="s">
        <v>1684</v>
      </c>
      <c r="C4307" s="178" t="s">
        <v>5414</v>
      </c>
      <c r="D4307" s="36" t="s">
        <v>1683</v>
      </c>
      <c r="E4307" s="36">
        <v>31179.749999999996</v>
      </c>
      <c r="F4307" s="178" t="s">
        <v>768</v>
      </c>
    </row>
    <row r="4308">
      <c r="A4308" s="250">
        <v>45940.73979888889</v>
      </c>
      <c r="B4308" s="251" t="s">
        <v>1783</v>
      </c>
      <c r="C4308" s="178" t="s">
        <v>5415</v>
      </c>
      <c r="D4308" s="36">
        <v>31179.749999999996</v>
      </c>
      <c r="E4308" s="36" t="s">
        <v>1683</v>
      </c>
      <c r="F4308" s="178" t="s">
        <v>768</v>
      </c>
    </row>
    <row r="4309">
      <c r="A4309" s="250">
        <v>45940.73979888889</v>
      </c>
      <c r="B4309" s="251" t="s">
        <v>1684</v>
      </c>
      <c r="C4309" s="178" t="s">
        <v>5416</v>
      </c>
      <c r="D4309" s="36" t="s">
        <v>1683</v>
      </c>
      <c r="E4309" s="36">
        <v>31179.749999999996</v>
      </c>
      <c r="F4309" s="178" t="s">
        <v>768</v>
      </c>
    </row>
    <row r="4310">
      <c r="A4310" s="250">
        <v>45940.74996555555</v>
      </c>
      <c r="B4310" s="251" t="s">
        <v>1693</v>
      </c>
      <c r="C4310" s="178" t="s">
        <v>5417</v>
      </c>
      <c r="D4310" s="36">
        <v>264081.6666666666</v>
      </c>
      <c r="E4310" s="36" t="s">
        <v>1683</v>
      </c>
      <c r="F4310" s="178" t="s">
        <v>290</v>
      </c>
    </row>
    <row r="4311">
      <c r="A4311" s="250">
        <v>45940.74996555555</v>
      </c>
      <c r="B4311" s="251" t="s">
        <v>1684</v>
      </c>
      <c r="C4311" s="178" t="s">
        <v>5418</v>
      </c>
      <c r="D4311" s="36" t="s">
        <v>1683</v>
      </c>
      <c r="E4311" s="36">
        <v>264081.6666666666</v>
      </c>
      <c r="F4311" s="178" t="s">
        <v>290</v>
      </c>
    </row>
    <row r="4312">
      <c r="A4312" s="250">
        <v>45940.750065555556</v>
      </c>
      <c r="B4312" s="251" t="s">
        <v>1693</v>
      </c>
      <c r="C4312" s="178" t="s">
        <v>5419</v>
      </c>
      <c r="D4312" s="36">
        <v>423414.1666666667</v>
      </c>
      <c r="E4312" s="36" t="s">
        <v>1683</v>
      </c>
      <c r="F4312" s="178" t="s">
        <v>290</v>
      </c>
    </row>
    <row r="4313">
      <c r="A4313" s="250">
        <v>45940.750065555556</v>
      </c>
      <c r="B4313" s="251" t="s">
        <v>1684</v>
      </c>
      <c r="C4313" s="178" t="s">
        <v>5420</v>
      </c>
      <c r="D4313" s="36" t="s">
        <v>1683</v>
      </c>
      <c r="E4313" s="36">
        <v>423414.1666666667</v>
      </c>
      <c r="F4313" s="178" t="s">
        <v>290</v>
      </c>
    </row>
    <row r="4314">
      <c r="A4314" s="250">
        <v>45940.750105555555</v>
      </c>
      <c r="B4314" s="251" t="s">
        <v>1693</v>
      </c>
      <c r="C4314" s="178" t="s">
        <v>5421</v>
      </c>
      <c r="D4314" s="36">
        <v>419249.1666666667</v>
      </c>
      <c r="E4314" s="36" t="s">
        <v>1683</v>
      </c>
      <c r="F4314" s="178" t="s">
        <v>290</v>
      </c>
    </row>
    <row r="4315">
      <c r="A4315" s="250">
        <v>45940.750105555555</v>
      </c>
      <c r="B4315" s="251" t="s">
        <v>1684</v>
      </c>
      <c r="C4315" s="178" t="s">
        <v>5422</v>
      </c>
      <c r="D4315" s="36" t="s">
        <v>1683</v>
      </c>
      <c r="E4315" s="36">
        <v>419249.1666666667</v>
      </c>
      <c r="F4315" s="178" t="s">
        <v>290</v>
      </c>
    </row>
    <row r="4316">
      <c r="A4316" s="250">
        <v>45940.75937777778</v>
      </c>
      <c r="B4316" s="251" t="s">
        <v>1693</v>
      </c>
      <c r="C4316" s="178" t="s">
        <v>5423</v>
      </c>
      <c r="D4316" s="36">
        <v>646500.0000000001</v>
      </c>
      <c r="E4316" s="36" t="s">
        <v>1683</v>
      </c>
      <c r="F4316" s="178" t="s">
        <v>368</v>
      </c>
    </row>
    <row r="4317">
      <c r="A4317" s="250">
        <v>45940.75937777778</v>
      </c>
      <c r="B4317" s="251" t="s">
        <v>1684</v>
      </c>
      <c r="C4317" s="178" t="s">
        <v>5424</v>
      </c>
      <c r="D4317" s="36" t="s">
        <v>1683</v>
      </c>
      <c r="E4317" s="36">
        <v>646500.0000000001</v>
      </c>
      <c r="F4317" s="178" t="s">
        <v>368</v>
      </c>
    </row>
    <row r="4318">
      <c r="A4318" s="250">
        <v>45940.75964777778</v>
      </c>
      <c r="B4318" s="251" t="s">
        <v>1693</v>
      </c>
      <c r="C4318" s="178" t="s">
        <v>5425</v>
      </c>
      <c r="D4318" s="36">
        <v>969500.0000000001</v>
      </c>
      <c r="E4318" s="36" t="s">
        <v>1683</v>
      </c>
      <c r="F4318" s="178" t="s">
        <v>368</v>
      </c>
    </row>
    <row r="4319">
      <c r="A4319" s="250">
        <v>45940.75964777778</v>
      </c>
      <c r="B4319" s="251" t="s">
        <v>1684</v>
      </c>
      <c r="C4319" s="178" t="s">
        <v>5426</v>
      </c>
      <c r="D4319" s="36" t="s">
        <v>1683</v>
      </c>
      <c r="E4319" s="36">
        <v>969500.0000000001</v>
      </c>
      <c r="F4319" s="178" t="s">
        <v>368</v>
      </c>
    </row>
    <row r="4320">
      <c r="A4320" s="250">
        <v>45940.76775111111</v>
      </c>
      <c r="B4320" s="251" t="s">
        <v>1783</v>
      </c>
      <c r="C4320" s="178" t="s">
        <v>5427</v>
      </c>
      <c r="D4320" s="36">
        <v>364999.99999999994</v>
      </c>
      <c r="E4320" s="36" t="s">
        <v>1683</v>
      </c>
      <c r="F4320" s="178" t="s">
        <v>485</v>
      </c>
    </row>
    <row r="4321">
      <c r="A4321" s="250">
        <v>45940.76775111111</v>
      </c>
      <c r="B4321" s="251" t="s">
        <v>1684</v>
      </c>
      <c r="C4321" s="178" t="s">
        <v>5428</v>
      </c>
      <c r="D4321" s="36" t="s">
        <v>1683</v>
      </c>
      <c r="E4321" s="36">
        <v>364999.99999999994</v>
      </c>
      <c r="F4321" s="178" t="s">
        <v>485</v>
      </c>
    </row>
    <row r="4322">
      <c r="A4322" s="250">
        <v>45941.43582666667</v>
      </c>
      <c r="B4322" s="251" t="s">
        <v>3494</v>
      </c>
      <c r="C4322" s="178" t="s">
        <v>5429</v>
      </c>
      <c r="D4322" s="36">
        <v>9537.0</v>
      </c>
      <c r="E4322" s="36" t="s">
        <v>1683</v>
      </c>
      <c r="F4322" s="178" t="s">
        <v>487</v>
      </c>
    </row>
    <row r="4323">
      <c r="A4323" s="250">
        <v>45941.43582666667</v>
      </c>
      <c r="B4323" s="251" t="s">
        <v>1802</v>
      </c>
      <c r="C4323" s="178" t="s">
        <v>5387</v>
      </c>
      <c r="D4323" s="36" t="s">
        <v>1683</v>
      </c>
      <c r="E4323" s="36">
        <v>9537.0</v>
      </c>
      <c r="F4323" s="178" t="s">
        <v>487</v>
      </c>
    </row>
    <row r="4324">
      <c r="A4324" s="250">
        <v>45941.435836666664</v>
      </c>
      <c r="B4324" s="251" t="s">
        <v>3494</v>
      </c>
      <c r="C4324" s="178" t="s">
        <v>5430</v>
      </c>
      <c r="D4324" s="36">
        <v>239360.0</v>
      </c>
      <c r="E4324" s="36" t="s">
        <v>1683</v>
      </c>
      <c r="F4324" s="178" t="s">
        <v>487</v>
      </c>
    </row>
    <row r="4325">
      <c r="A4325" s="250">
        <v>45941.435836666664</v>
      </c>
      <c r="B4325" s="251" t="s">
        <v>1802</v>
      </c>
      <c r="C4325" s="178" t="s">
        <v>5389</v>
      </c>
      <c r="D4325" s="36" t="s">
        <v>1683</v>
      </c>
      <c r="E4325" s="36">
        <v>239360.0</v>
      </c>
      <c r="F4325" s="178" t="s">
        <v>487</v>
      </c>
    </row>
    <row r="4326">
      <c r="A4326" s="250">
        <v>45942.52566</v>
      </c>
      <c r="B4326" s="251" t="s">
        <v>3418</v>
      </c>
      <c r="C4326" s="178" t="s">
        <v>5431</v>
      </c>
      <c r="D4326" s="36">
        <v>264081.6666666666</v>
      </c>
      <c r="E4326" s="36" t="s">
        <v>1683</v>
      </c>
      <c r="F4326" s="178" t="s">
        <v>290</v>
      </c>
    </row>
    <row r="4327">
      <c r="A4327" s="250">
        <v>45942.52566</v>
      </c>
      <c r="B4327" s="251" t="s">
        <v>1698</v>
      </c>
      <c r="C4327" s="178" t="s">
        <v>5417</v>
      </c>
      <c r="D4327" s="36" t="s">
        <v>1683</v>
      </c>
      <c r="E4327" s="36">
        <v>264081.6666666666</v>
      </c>
      <c r="F4327" s="178" t="s">
        <v>290</v>
      </c>
    </row>
    <row r="4328">
      <c r="A4328" s="250">
        <v>45942.525760000004</v>
      </c>
      <c r="B4328" s="251" t="s">
        <v>4047</v>
      </c>
      <c r="C4328" s="178" t="s">
        <v>5432</v>
      </c>
      <c r="D4328" s="36">
        <v>423414.1666666667</v>
      </c>
      <c r="E4328" s="36" t="s">
        <v>1683</v>
      </c>
      <c r="F4328" s="178" t="s">
        <v>290</v>
      </c>
    </row>
    <row r="4329">
      <c r="A4329" s="250">
        <v>45942.525760000004</v>
      </c>
      <c r="B4329" s="251" t="s">
        <v>1698</v>
      </c>
      <c r="C4329" s="178" t="s">
        <v>5419</v>
      </c>
      <c r="D4329" s="36" t="s">
        <v>1683</v>
      </c>
      <c r="E4329" s="36">
        <v>423414.1666666667</v>
      </c>
      <c r="F4329" s="178" t="s">
        <v>290</v>
      </c>
    </row>
    <row r="4330">
      <c r="A4330" s="250">
        <v>45942.5258</v>
      </c>
      <c r="B4330" s="251" t="s">
        <v>4049</v>
      </c>
      <c r="C4330" s="178" t="s">
        <v>5433</v>
      </c>
      <c r="D4330" s="36">
        <v>419249.1666666667</v>
      </c>
      <c r="E4330" s="36" t="s">
        <v>1683</v>
      </c>
      <c r="F4330" s="178" t="s">
        <v>290</v>
      </c>
    </row>
    <row r="4331">
      <c r="A4331" s="250">
        <v>45942.5258</v>
      </c>
      <c r="B4331" s="251" t="s">
        <v>1698</v>
      </c>
      <c r="C4331" s="178" t="s">
        <v>5421</v>
      </c>
      <c r="D4331" s="36" t="s">
        <v>1683</v>
      </c>
      <c r="E4331" s="36">
        <v>419249.1666666667</v>
      </c>
      <c r="F4331" s="178" t="s">
        <v>290</v>
      </c>
    </row>
    <row r="4332">
      <c r="A4332" s="250">
        <v>45942.77496555555</v>
      </c>
      <c r="B4332" s="251" t="s">
        <v>2064</v>
      </c>
      <c r="C4332" s="178" t="s">
        <v>5434</v>
      </c>
      <c r="D4332" s="36">
        <v>725140.0</v>
      </c>
      <c r="E4332" s="36" t="s">
        <v>1683</v>
      </c>
      <c r="F4332" s="178" t="s">
        <v>179</v>
      </c>
    </row>
    <row r="4333">
      <c r="A4333" s="250">
        <v>45942.77496555555</v>
      </c>
      <c r="B4333" s="251" t="s">
        <v>1698</v>
      </c>
      <c r="C4333" s="178" t="s">
        <v>5391</v>
      </c>
      <c r="D4333" s="36" t="s">
        <v>1683</v>
      </c>
      <c r="E4333" s="36">
        <v>725140.0</v>
      </c>
      <c r="F4333" s="178" t="s">
        <v>179</v>
      </c>
    </row>
    <row r="4334">
      <c r="A4334" s="250">
        <v>45943.47385111111</v>
      </c>
      <c r="B4334" s="251" t="s">
        <v>2324</v>
      </c>
      <c r="C4334" s="178" t="s">
        <v>5435</v>
      </c>
      <c r="D4334" s="36">
        <v>286786.00000000006</v>
      </c>
      <c r="E4334" s="36" t="s">
        <v>1683</v>
      </c>
      <c r="F4334" s="178" t="s">
        <v>556</v>
      </c>
    </row>
    <row r="4335">
      <c r="A4335" s="250">
        <v>45943.47385111111</v>
      </c>
      <c r="B4335" s="251" t="s">
        <v>1698</v>
      </c>
      <c r="C4335" s="178" t="s">
        <v>5393</v>
      </c>
      <c r="D4335" s="36" t="s">
        <v>1683</v>
      </c>
      <c r="E4335" s="36">
        <v>286786.00000000006</v>
      </c>
      <c r="F4335" s="178" t="s">
        <v>556</v>
      </c>
    </row>
    <row r="4336">
      <c r="A4336" s="250">
        <v>45943.47414111111</v>
      </c>
      <c r="B4336" s="251" t="s">
        <v>5436</v>
      </c>
      <c r="C4336" s="178" t="s">
        <v>5437</v>
      </c>
      <c r="D4336" s="36">
        <v>15589.874999999998</v>
      </c>
      <c r="E4336" s="36" t="s">
        <v>1683</v>
      </c>
      <c r="F4336" s="178" t="s">
        <v>768</v>
      </c>
    </row>
    <row r="4337">
      <c r="A4337" s="250">
        <v>45943.47414111111</v>
      </c>
      <c r="B4337" s="251" t="s">
        <v>1802</v>
      </c>
      <c r="C4337" s="178" t="s">
        <v>5405</v>
      </c>
      <c r="D4337" s="36" t="s">
        <v>1683</v>
      </c>
      <c r="E4337" s="36">
        <v>15589.874999999998</v>
      </c>
      <c r="F4337" s="178" t="s">
        <v>768</v>
      </c>
    </row>
    <row r="4338">
      <c r="A4338" s="250">
        <v>45943.47415111111</v>
      </c>
      <c r="B4338" s="251" t="s">
        <v>2626</v>
      </c>
      <c r="C4338" s="178" t="s">
        <v>5438</v>
      </c>
      <c r="D4338" s="36">
        <v>15589.874999999998</v>
      </c>
      <c r="E4338" s="36" t="s">
        <v>1683</v>
      </c>
      <c r="F4338" s="178" t="s">
        <v>768</v>
      </c>
    </row>
    <row r="4339">
      <c r="A4339" s="250">
        <v>45943.47415111111</v>
      </c>
      <c r="B4339" s="251" t="s">
        <v>1802</v>
      </c>
      <c r="C4339" s="178" t="s">
        <v>5407</v>
      </c>
      <c r="D4339" s="36" t="s">
        <v>1683</v>
      </c>
      <c r="E4339" s="36">
        <v>15589.874999999998</v>
      </c>
      <c r="F4339" s="178" t="s">
        <v>768</v>
      </c>
    </row>
    <row r="4340">
      <c r="A4340" s="250">
        <v>45943.47427111111</v>
      </c>
      <c r="B4340" s="251" t="s">
        <v>2318</v>
      </c>
      <c r="C4340" s="178" t="s">
        <v>5439</v>
      </c>
      <c r="D4340" s="36">
        <v>15589.874999999998</v>
      </c>
      <c r="E4340" s="36" t="s">
        <v>1683</v>
      </c>
      <c r="F4340" s="178" t="s">
        <v>768</v>
      </c>
    </row>
    <row r="4341">
      <c r="A4341" s="250">
        <v>45943.47427111111</v>
      </c>
      <c r="B4341" s="251" t="s">
        <v>1802</v>
      </c>
      <c r="C4341" s="178" t="s">
        <v>5409</v>
      </c>
      <c r="D4341" s="36" t="s">
        <v>1683</v>
      </c>
      <c r="E4341" s="36">
        <v>15589.874999999998</v>
      </c>
      <c r="F4341" s="178" t="s">
        <v>768</v>
      </c>
    </row>
    <row r="4342">
      <c r="A4342" s="250">
        <v>45943.47433111111</v>
      </c>
      <c r="B4342" s="251" t="s">
        <v>5224</v>
      </c>
      <c r="C4342" s="178" t="s">
        <v>5440</v>
      </c>
      <c r="D4342" s="36">
        <v>15589.874999999998</v>
      </c>
      <c r="E4342" s="36" t="s">
        <v>1683</v>
      </c>
      <c r="F4342" s="178" t="s">
        <v>768</v>
      </c>
    </row>
    <row r="4343">
      <c r="A4343" s="250">
        <v>45943.47433111111</v>
      </c>
      <c r="B4343" s="251" t="s">
        <v>1802</v>
      </c>
      <c r="C4343" s="178" t="s">
        <v>5411</v>
      </c>
      <c r="D4343" s="36" t="s">
        <v>1683</v>
      </c>
      <c r="E4343" s="36">
        <v>15589.874999999998</v>
      </c>
      <c r="F4343" s="178" t="s">
        <v>768</v>
      </c>
    </row>
    <row r="4344">
      <c r="A4344" s="250">
        <v>45943.47442111111</v>
      </c>
      <c r="B4344" s="251" t="s">
        <v>5228</v>
      </c>
      <c r="C4344" s="178" t="s">
        <v>5441</v>
      </c>
      <c r="D4344" s="36">
        <v>31179.749999999996</v>
      </c>
      <c r="E4344" s="36" t="s">
        <v>1683</v>
      </c>
      <c r="F4344" s="178" t="s">
        <v>768</v>
      </c>
    </row>
    <row r="4345">
      <c r="A4345" s="250">
        <v>45943.47442111111</v>
      </c>
      <c r="B4345" s="251" t="s">
        <v>1802</v>
      </c>
      <c r="C4345" s="178" t="s">
        <v>5413</v>
      </c>
      <c r="D4345" s="36" t="s">
        <v>1683</v>
      </c>
      <c r="E4345" s="36">
        <v>31179.749999999996</v>
      </c>
      <c r="F4345" s="178" t="s">
        <v>768</v>
      </c>
    </row>
    <row r="4346">
      <c r="A4346" s="250">
        <v>45943.474521111115</v>
      </c>
      <c r="B4346" s="251" t="s">
        <v>5442</v>
      </c>
      <c r="C4346" s="178" t="s">
        <v>5443</v>
      </c>
      <c r="D4346" s="36">
        <v>31179.749999999996</v>
      </c>
      <c r="E4346" s="36" t="s">
        <v>1683</v>
      </c>
      <c r="F4346" s="178" t="s">
        <v>768</v>
      </c>
    </row>
    <row r="4347">
      <c r="A4347" s="250">
        <v>45943.474521111115</v>
      </c>
      <c r="B4347" s="251" t="s">
        <v>1802</v>
      </c>
      <c r="C4347" s="178" t="s">
        <v>5415</v>
      </c>
      <c r="D4347" s="36" t="s">
        <v>1683</v>
      </c>
      <c r="E4347" s="36">
        <v>31179.749999999996</v>
      </c>
      <c r="F4347" s="178" t="s">
        <v>768</v>
      </c>
    </row>
    <row r="4348">
      <c r="A4348" s="250">
        <v>45943.48370333333</v>
      </c>
      <c r="B4348" s="251" t="s">
        <v>3836</v>
      </c>
      <c r="C4348" s="178" t="s">
        <v>5444</v>
      </c>
      <c r="D4348" s="36">
        <v>110303.5</v>
      </c>
      <c r="E4348" s="36" t="s">
        <v>1683</v>
      </c>
      <c r="F4348" s="178" t="s">
        <v>662</v>
      </c>
    </row>
    <row r="4349">
      <c r="A4349" s="250">
        <v>45943.48370333333</v>
      </c>
      <c r="B4349" s="251" t="s">
        <v>1698</v>
      </c>
      <c r="C4349" s="178" t="s">
        <v>5395</v>
      </c>
      <c r="D4349" s="36" t="s">
        <v>1683</v>
      </c>
      <c r="E4349" s="36">
        <v>110303.5</v>
      </c>
      <c r="F4349" s="178" t="s">
        <v>662</v>
      </c>
    </row>
    <row r="4350">
      <c r="A4350" s="250">
        <v>45943.48376333333</v>
      </c>
      <c r="B4350" s="251" t="s">
        <v>3838</v>
      </c>
      <c r="C4350" s="178" t="s">
        <v>5445</v>
      </c>
      <c r="D4350" s="36">
        <v>110303.5</v>
      </c>
      <c r="E4350" s="36" t="s">
        <v>1683</v>
      </c>
      <c r="F4350" s="178" t="s">
        <v>662</v>
      </c>
    </row>
    <row r="4351">
      <c r="A4351" s="250">
        <v>45943.48376333333</v>
      </c>
      <c r="B4351" s="251" t="s">
        <v>1698</v>
      </c>
      <c r="C4351" s="178" t="s">
        <v>5397</v>
      </c>
      <c r="D4351" s="36" t="s">
        <v>1683</v>
      </c>
      <c r="E4351" s="36">
        <v>110303.5</v>
      </c>
      <c r="F4351" s="178" t="s">
        <v>662</v>
      </c>
    </row>
    <row r="4352">
      <c r="A4352" s="250">
        <v>45943.48387333333</v>
      </c>
      <c r="B4352" s="251" t="s">
        <v>3841</v>
      </c>
      <c r="C4352" s="178" t="s">
        <v>5446</v>
      </c>
      <c r="D4352" s="36">
        <v>110303.5</v>
      </c>
      <c r="E4352" s="36" t="s">
        <v>1683</v>
      </c>
      <c r="F4352" s="178" t="s">
        <v>662</v>
      </c>
    </row>
    <row r="4353">
      <c r="A4353" s="250">
        <v>45943.48387333333</v>
      </c>
      <c r="B4353" s="251" t="s">
        <v>1698</v>
      </c>
      <c r="C4353" s="178" t="s">
        <v>5399</v>
      </c>
      <c r="D4353" s="36" t="s">
        <v>1683</v>
      </c>
      <c r="E4353" s="36">
        <v>110303.5</v>
      </c>
      <c r="F4353" s="178" t="s">
        <v>662</v>
      </c>
    </row>
    <row r="4354">
      <c r="A4354" s="250">
        <v>45943.48414333333</v>
      </c>
      <c r="B4354" s="251" t="s">
        <v>3845</v>
      </c>
      <c r="C4354" s="178" t="s">
        <v>5447</v>
      </c>
      <c r="D4354" s="36">
        <v>110303.5</v>
      </c>
      <c r="E4354" s="36" t="s">
        <v>1683</v>
      </c>
      <c r="F4354" s="178" t="s">
        <v>662</v>
      </c>
    </row>
    <row r="4355">
      <c r="A4355" s="250">
        <v>45943.48414333333</v>
      </c>
      <c r="B4355" s="251" t="s">
        <v>1698</v>
      </c>
      <c r="C4355" s="178" t="s">
        <v>5401</v>
      </c>
      <c r="D4355" s="36" t="s">
        <v>1683</v>
      </c>
      <c r="E4355" s="36">
        <v>110303.5</v>
      </c>
      <c r="F4355" s="178" t="s">
        <v>662</v>
      </c>
    </row>
    <row r="4356">
      <c r="A4356" s="250">
        <v>45944.46637222222</v>
      </c>
      <c r="B4356" s="251" t="s">
        <v>3494</v>
      </c>
      <c r="C4356" s="178" t="s">
        <v>5448</v>
      </c>
      <c r="D4356" s="36">
        <v>288999.99999999994</v>
      </c>
      <c r="E4356" s="36" t="s">
        <v>1683</v>
      </c>
      <c r="F4356" s="178" t="s">
        <v>486</v>
      </c>
    </row>
    <row r="4357">
      <c r="A4357" s="250">
        <v>45944.46637222222</v>
      </c>
      <c r="B4357" s="251" t="s">
        <v>1802</v>
      </c>
      <c r="C4357" s="178" t="s">
        <v>5403</v>
      </c>
      <c r="D4357" s="36" t="s">
        <v>1683</v>
      </c>
      <c r="E4357" s="36">
        <v>288999.99999999994</v>
      </c>
      <c r="F4357" s="178" t="s">
        <v>486</v>
      </c>
    </row>
    <row r="4358">
      <c r="A4358" s="250">
        <v>45945.456640000004</v>
      </c>
      <c r="B4358" s="251" t="s">
        <v>3494</v>
      </c>
      <c r="C4358" s="178" t="s">
        <v>5449</v>
      </c>
      <c r="D4358" s="36">
        <v>364999.99999999994</v>
      </c>
      <c r="E4358" s="36" t="s">
        <v>1683</v>
      </c>
      <c r="F4358" s="178" t="s">
        <v>485</v>
      </c>
    </row>
    <row r="4359">
      <c r="A4359" s="250">
        <v>45945.456640000004</v>
      </c>
      <c r="B4359" s="251" t="s">
        <v>1802</v>
      </c>
      <c r="C4359" s="178" t="s">
        <v>5427</v>
      </c>
      <c r="D4359" s="36" t="s">
        <v>1683</v>
      </c>
      <c r="E4359" s="36">
        <v>364999.99999999994</v>
      </c>
      <c r="F4359" s="178" t="s">
        <v>485</v>
      </c>
    </row>
    <row r="4360">
      <c r="A4360" s="250">
        <v>45946.5691</v>
      </c>
      <c r="B4360" s="251" t="s">
        <v>2685</v>
      </c>
      <c r="C4360" s="178" t="s">
        <v>5450</v>
      </c>
      <c r="D4360" s="36">
        <v>646500.0000000001</v>
      </c>
      <c r="E4360" s="36" t="s">
        <v>1683</v>
      </c>
      <c r="F4360" s="178" t="s">
        <v>368</v>
      </c>
    </row>
    <row r="4361">
      <c r="A4361" s="250">
        <v>45946.5691</v>
      </c>
      <c r="B4361" s="251" t="s">
        <v>1698</v>
      </c>
      <c r="C4361" s="178" t="s">
        <v>5423</v>
      </c>
      <c r="D4361" s="36" t="s">
        <v>1683</v>
      </c>
      <c r="E4361" s="36">
        <v>646500.0000000001</v>
      </c>
      <c r="F4361" s="178" t="s">
        <v>368</v>
      </c>
    </row>
    <row r="4362">
      <c r="A4362" s="250">
        <v>45946.56937</v>
      </c>
      <c r="B4362" s="251" t="s">
        <v>5451</v>
      </c>
      <c r="C4362" s="178" t="s">
        <v>5452</v>
      </c>
      <c r="D4362" s="36">
        <v>969500.0000000001</v>
      </c>
      <c r="E4362" s="36" t="s">
        <v>1683</v>
      </c>
      <c r="F4362" s="178" t="s">
        <v>368</v>
      </c>
    </row>
    <row r="4363">
      <c r="A4363" s="250">
        <v>45946.56937</v>
      </c>
      <c r="B4363" s="251" t="s">
        <v>1698</v>
      </c>
      <c r="C4363" s="178" t="s">
        <v>5425</v>
      </c>
      <c r="D4363" s="36" t="s">
        <v>1683</v>
      </c>
      <c r="E4363" s="36">
        <v>969500.0000000001</v>
      </c>
      <c r="F4363" s="178" t="s">
        <v>368</v>
      </c>
    </row>
    <row r="4364">
      <c r="A4364" s="250">
        <v>45952.70493399305</v>
      </c>
      <c r="B4364" s="251" t="s">
        <v>3156</v>
      </c>
      <c r="C4364" s="178" t="s">
        <v>5453</v>
      </c>
      <c r="D4364" s="36">
        <v>3845.45659722222</v>
      </c>
      <c r="E4364" s="36" t="s">
        <v>1683</v>
      </c>
      <c r="F4364" s="178" t="s">
        <v>1683</v>
      </c>
    </row>
    <row r="4365">
      <c r="A4365" s="250">
        <v>45952.70493399305</v>
      </c>
      <c r="B4365" s="251" t="s">
        <v>3158</v>
      </c>
      <c r="C4365" s="178" t="s">
        <v>5454</v>
      </c>
      <c r="D4365" s="36" t="s">
        <v>1683</v>
      </c>
      <c r="E4365" s="36">
        <v>3845.45659722222</v>
      </c>
      <c r="F4365" s="178" t="s">
        <v>1683</v>
      </c>
    </row>
    <row r="4366">
      <c r="A4366" s="250">
        <v>45955.016582222226</v>
      </c>
      <c r="B4366" s="251" t="s">
        <v>1693</v>
      </c>
      <c r="C4366" s="178" t="s">
        <v>5455</v>
      </c>
      <c r="D4366" s="36">
        <v>580639.0000000001</v>
      </c>
      <c r="E4366" s="36" t="s">
        <v>1683</v>
      </c>
      <c r="F4366" s="178" t="s">
        <v>396</v>
      </c>
    </row>
    <row r="4367">
      <c r="A4367" s="250">
        <v>45955.016582222226</v>
      </c>
      <c r="B4367" s="251" t="s">
        <v>1684</v>
      </c>
      <c r="C4367" s="178" t="s">
        <v>5456</v>
      </c>
      <c r="D4367" s="36" t="s">
        <v>1683</v>
      </c>
      <c r="E4367" s="36">
        <v>580639.0000000001</v>
      </c>
      <c r="F4367" s="178" t="s">
        <v>396</v>
      </c>
    </row>
    <row r="4368">
      <c r="A4368" s="250">
        <v>45955.016622222225</v>
      </c>
      <c r="B4368" s="251" t="s">
        <v>1693</v>
      </c>
      <c r="C4368" s="178" t="s">
        <v>5457</v>
      </c>
      <c r="D4368" s="36">
        <v>210975.00000000003</v>
      </c>
      <c r="E4368" s="36" t="s">
        <v>1683</v>
      </c>
      <c r="F4368" s="178" t="s">
        <v>289</v>
      </c>
    </row>
    <row r="4369">
      <c r="A4369" s="250">
        <v>45955.016622222225</v>
      </c>
      <c r="B4369" s="251" t="s">
        <v>1684</v>
      </c>
      <c r="C4369" s="178" t="s">
        <v>5458</v>
      </c>
      <c r="D4369" s="36" t="s">
        <v>1683</v>
      </c>
      <c r="E4369" s="36">
        <v>210975.00000000003</v>
      </c>
      <c r="F4369" s="178" t="s">
        <v>289</v>
      </c>
    </row>
    <row r="4370">
      <c r="A4370" s="250">
        <v>45955.01672222222</v>
      </c>
      <c r="B4370" s="251" t="s">
        <v>1693</v>
      </c>
      <c r="C4370" s="178" t="s">
        <v>5459</v>
      </c>
      <c r="D4370" s="36">
        <v>338441.0</v>
      </c>
      <c r="E4370" s="36" t="s">
        <v>1683</v>
      </c>
      <c r="F4370" s="178" t="s">
        <v>289</v>
      </c>
    </row>
    <row r="4371">
      <c r="A4371" s="250">
        <v>45955.01672222222</v>
      </c>
      <c r="B4371" s="251" t="s">
        <v>1684</v>
      </c>
      <c r="C4371" s="178" t="s">
        <v>5460</v>
      </c>
      <c r="D4371" s="36" t="s">
        <v>1683</v>
      </c>
      <c r="E4371" s="36">
        <v>338441.0</v>
      </c>
      <c r="F4371" s="178" t="s">
        <v>289</v>
      </c>
    </row>
    <row r="4372">
      <c r="A4372" s="250">
        <v>45955.032304444445</v>
      </c>
      <c r="B4372" s="251" t="s">
        <v>1693</v>
      </c>
      <c r="C4372" s="178" t="s">
        <v>5461</v>
      </c>
      <c r="D4372" s="36">
        <v>106340.90909090909</v>
      </c>
      <c r="E4372" s="36" t="s">
        <v>1683</v>
      </c>
      <c r="F4372" s="178" t="s">
        <v>661</v>
      </c>
    </row>
    <row r="4373">
      <c r="A4373" s="250">
        <v>45955.032304444445</v>
      </c>
      <c r="B4373" s="251" t="s">
        <v>1684</v>
      </c>
      <c r="C4373" s="178" t="s">
        <v>5462</v>
      </c>
      <c r="D4373" s="36" t="s">
        <v>1683</v>
      </c>
      <c r="E4373" s="36">
        <v>106340.90909090909</v>
      </c>
      <c r="F4373" s="178" t="s">
        <v>661</v>
      </c>
    </row>
    <row r="4374">
      <c r="A4374" s="250">
        <v>45955.03235444445</v>
      </c>
      <c r="B4374" s="251" t="s">
        <v>1693</v>
      </c>
      <c r="C4374" s="178" t="s">
        <v>5463</v>
      </c>
      <c r="D4374" s="36">
        <v>106340.90909090909</v>
      </c>
      <c r="E4374" s="36" t="s">
        <v>1683</v>
      </c>
      <c r="F4374" s="178" t="s">
        <v>661</v>
      </c>
    </row>
    <row r="4375">
      <c r="A4375" s="250">
        <v>45955.03235444445</v>
      </c>
      <c r="B4375" s="251" t="s">
        <v>1684</v>
      </c>
      <c r="C4375" s="178" t="s">
        <v>5464</v>
      </c>
      <c r="D4375" s="36" t="s">
        <v>1683</v>
      </c>
      <c r="E4375" s="36">
        <v>106340.90909090909</v>
      </c>
      <c r="F4375" s="178" t="s">
        <v>661</v>
      </c>
    </row>
    <row r="4376">
      <c r="A4376" s="250">
        <v>45955.03240444445</v>
      </c>
      <c r="B4376" s="251" t="s">
        <v>1693</v>
      </c>
      <c r="C4376" s="178" t="s">
        <v>5465</v>
      </c>
      <c r="D4376" s="36">
        <v>106340.90909090909</v>
      </c>
      <c r="E4376" s="36" t="s">
        <v>1683</v>
      </c>
      <c r="F4376" s="178" t="s">
        <v>661</v>
      </c>
    </row>
    <row r="4377">
      <c r="A4377" s="250">
        <v>45955.03240444445</v>
      </c>
      <c r="B4377" s="251" t="s">
        <v>1684</v>
      </c>
      <c r="C4377" s="178" t="s">
        <v>5466</v>
      </c>
      <c r="D4377" s="36" t="s">
        <v>1683</v>
      </c>
      <c r="E4377" s="36">
        <v>106340.90909090909</v>
      </c>
      <c r="F4377" s="178" t="s">
        <v>661</v>
      </c>
    </row>
    <row r="4378">
      <c r="A4378" s="250">
        <v>45955.03251444444</v>
      </c>
      <c r="B4378" s="251" t="s">
        <v>1693</v>
      </c>
      <c r="C4378" s="178" t="s">
        <v>5467</v>
      </c>
      <c r="D4378" s="36">
        <v>106340.90909090909</v>
      </c>
      <c r="E4378" s="36" t="s">
        <v>1683</v>
      </c>
      <c r="F4378" s="178" t="s">
        <v>661</v>
      </c>
    </row>
    <row r="4379">
      <c r="A4379" s="250">
        <v>45955.03251444444</v>
      </c>
      <c r="B4379" s="251" t="s">
        <v>1684</v>
      </c>
      <c r="C4379" s="178" t="s">
        <v>5468</v>
      </c>
      <c r="D4379" s="36" t="s">
        <v>1683</v>
      </c>
      <c r="E4379" s="36">
        <v>106340.90909090909</v>
      </c>
      <c r="F4379" s="178" t="s">
        <v>661</v>
      </c>
    </row>
    <row r="4380">
      <c r="A4380" s="250">
        <v>45955.03267444445</v>
      </c>
      <c r="B4380" s="251" t="s">
        <v>1693</v>
      </c>
      <c r="C4380" s="178" t="s">
        <v>5469</v>
      </c>
      <c r="D4380" s="36">
        <v>106340.90909090909</v>
      </c>
      <c r="E4380" s="36" t="s">
        <v>1683</v>
      </c>
      <c r="F4380" s="178" t="s">
        <v>661</v>
      </c>
    </row>
    <row r="4381">
      <c r="A4381" s="250">
        <v>45955.03267444445</v>
      </c>
      <c r="B4381" s="251" t="s">
        <v>1684</v>
      </c>
      <c r="C4381" s="178" t="s">
        <v>5470</v>
      </c>
      <c r="D4381" s="36" t="s">
        <v>1683</v>
      </c>
      <c r="E4381" s="36">
        <v>106340.90909090909</v>
      </c>
      <c r="F4381" s="178" t="s">
        <v>661</v>
      </c>
    </row>
    <row r="4382">
      <c r="A4382" s="250">
        <v>45955.032714444445</v>
      </c>
      <c r="B4382" s="251" t="s">
        <v>1693</v>
      </c>
      <c r="C4382" s="178" t="s">
        <v>5471</v>
      </c>
      <c r="D4382" s="36">
        <v>69153.40909090909</v>
      </c>
      <c r="E4382" s="36" t="s">
        <v>1683</v>
      </c>
      <c r="F4382" s="178" t="s">
        <v>661</v>
      </c>
    </row>
    <row r="4383">
      <c r="A4383" s="250">
        <v>45955.032714444445</v>
      </c>
      <c r="B4383" s="251" t="s">
        <v>1684</v>
      </c>
      <c r="C4383" s="178" t="s">
        <v>5472</v>
      </c>
      <c r="D4383" s="36" t="s">
        <v>1683</v>
      </c>
      <c r="E4383" s="36">
        <v>69153.40909090909</v>
      </c>
      <c r="F4383" s="178" t="s">
        <v>661</v>
      </c>
    </row>
    <row r="4384">
      <c r="A4384" s="250">
        <v>45955.032734444445</v>
      </c>
      <c r="B4384" s="251" t="s">
        <v>1693</v>
      </c>
      <c r="C4384" s="178" t="s">
        <v>5473</v>
      </c>
      <c r="D4384" s="36">
        <v>106340.90909090909</v>
      </c>
      <c r="E4384" s="36" t="s">
        <v>1683</v>
      </c>
      <c r="F4384" s="178" t="s">
        <v>661</v>
      </c>
    </row>
    <row r="4385">
      <c r="A4385" s="250">
        <v>45955.032734444445</v>
      </c>
      <c r="B4385" s="251" t="s">
        <v>1684</v>
      </c>
      <c r="C4385" s="178" t="s">
        <v>5474</v>
      </c>
      <c r="D4385" s="36" t="s">
        <v>1683</v>
      </c>
      <c r="E4385" s="36">
        <v>106340.90909090909</v>
      </c>
      <c r="F4385" s="178" t="s">
        <v>661</v>
      </c>
    </row>
    <row r="4386">
      <c r="A4386" s="250">
        <v>45955.03274444445</v>
      </c>
      <c r="B4386" s="251" t="s">
        <v>1693</v>
      </c>
      <c r="C4386" s="178" t="s">
        <v>5475</v>
      </c>
      <c r="D4386" s="36">
        <v>106340.90909090909</v>
      </c>
      <c r="E4386" s="36" t="s">
        <v>1683</v>
      </c>
      <c r="F4386" s="178" t="s">
        <v>661</v>
      </c>
    </row>
    <row r="4387">
      <c r="A4387" s="250">
        <v>45955.03274444445</v>
      </c>
      <c r="B4387" s="251" t="s">
        <v>1684</v>
      </c>
      <c r="C4387" s="178" t="s">
        <v>5476</v>
      </c>
      <c r="D4387" s="36" t="s">
        <v>1683</v>
      </c>
      <c r="E4387" s="36">
        <v>106340.90909090909</v>
      </c>
      <c r="F4387" s="178" t="s">
        <v>661</v>
      </c>
    </row>
    <row r="4388">
      <c r="A4388" s="250">
        <v>45955.03279444444</v>
      </c>
      <c r="B4388" s="251" t="s">
        <v>1693</v>
      </c>
      <c r="C4388" s="178" t="s">
        <v>5477</v>
      </c>
      <c r="D4388" s="36">
        <v>106340.90909090909</v>
      </c>
      <c r="E4388" s="36" t="s">
        <v>1683</v>
      </c>
      <c r="F4388" s="178" t="s">
        <v>661</v>
      </c>
    </row>
    <row r="4389">
      <c r="A4389" s="250">
        <v>45955.03279444444</v>
      </c>
      <c r="B4389" s="251" t="s">
        <v>1684</v>
      </c>
      <c r="C4389" s="178" t="s">
        <v>5478</v>
      </c>
      <c r="D4389" s="36" t="s">
        <v>1683</v>
      </c>
      <c r="E4389" s="36">
        <v>106340.90909090909</v>
      </c>
      <c r="F4389" s="178" t="s">
        <v>661</v>
      </c>
    </row>
    <row r="4390">
      <c r="A4390" s="250">
        <v>45955.03281444445</v>
      </c>
      <c r="B4390" s="251" t="s">
        <v>1693</v>
      </c>
      <c r="C4390" s="178" t="s">
        <v>5479</v>
      </c>
      <c r="D4390" s="36">
        <v>106340.90909090909</v>
      </c>
      <c r="E4390" s="36" t="s">
        <v>1683</v>
      </c>
      <c r="F4390" s="178" t="s">
        <v>661</v>
      </c>
    </row>
    <row r="4391">
      <c r="A4391" s="250">
        <v>45955.03281444445</v>
      </c>
      <c r="B4391" s="251" t="s">
        <v>1684</v>
      </c>
      <c r="C4391" s="178" t="s">
        <v>5480</v>
      </c>
      <c r="D4391" s="36" t="s">
        <v>1683</v>
      </c>
      <c r="E4391" s="36">
        <v>106340.90909090909</v>
      </c>
      <c r="F4391" s="178" t="s">
        <v>661</v>
      </c>
    </row>
    <row r="4392">
      <c r="A4392" s="250">
        <v>45955.032824444446</v>
      </c>
      <c r="B4392" s="251" t="s">
        <v>1693</v>
      </c>
      <c r="C4392" s="178" t="s">
        <v>5481</v>
      </c>
      <c r="D4392" s="36">
        <v>106340.90909090909</v>
      </c>
      <c r="E4392" s="36" t="s">
        <v>1683</v>
      </c>
      <c r="F4392" s="178" t="s">
        <v>661</v>
      </c>
    </row>
    <row r="4393">
      <c r="A4393" s="250">
        <v>45955.032824444446</v>
      </c>
      <c r="B4393" s="251" t="s">
        <v>1684</v>
      </c>
      <c r="C4393" s="178" t="s">
        <v>5482</v>
      </c>
      <c r="D4393" s="36" t="s">
        <v>1683</v>
      </c>
      <c r="E4393" s="36">
        <v>106340.90909090909</v>
      </c>
      <c r="F4393" s="178" t="s">
        <v>661</v>
      </c>
    </row>
    <row r="4394">
      <c r="A4394" s="250">
        <v>45955.03769555556</v>
      </c>
      <c r="B4394" s="251" t="s">
        <v>1693</v>
      </c>
      <c r="C4394" s="178" t="s">
        <v>5483</v>
      </c>
      <c r="D4394" s="36">
        <v>20999.999999999996</v>
      </c>
      <c r="E4394" s="36" t="s">
        <v>1683</v>
      </c>
      <c r="F4394" s="178" t="s">
        <v>211</v>
      </c>
    </row>
    <row r="4395">
      <c r="A4395" s="250">
        <v>45955.03769555556</v>
      </c>
      <c r="B4395" s="251" t="s">
        <v>1684</v>
      </c>
      <c r="C4395" s="178" t="s">
        <v>5484</v>
      </c>
      <c r="D4395" s="36" t="s">
        <v>1683</v>
      </c>
      <c r="E4395" s="36">
        <v>20999.999999999996</v>
      </c>
      <c r="F4395" s="178" t="s">
        <v>211</v>
      </c>
    </row>
    <row r="4396">
      <c r="A4396" s="250">
        <v>45955.04388999999</v>
      </c>
      <c r="B4396" s="251" t="s">
        <v>1693</v>
      </c>
      <c r="C4396" s="178" t="s">
        <v>5485</v>
      </c>
      <c r="D4396" s="36">
        <v>478205.99999999994</v>
      </c>
      <c r="E4396" s="36" t="s">
        <v>1683</v>
      </c>
      <c r="F4396" s="178" t="s">
        <v>143</v>
      </c>
    </row>
    <row r="4397">
      <c r="A4397" s="250">
        <v>45955.04388999999</v>
      </c>
      <c r="B4397" s="251" t="s">
        <v>1684</v>
      </c>
      <c r="C4397" s="178" t="s">
        <v>5486</v>
      </c>
      <c r="D4397" s="36" t="s">
        <v>1683</v>
      </c>
      <c r="E4397" s="36">
        <v>478205.99999999994</v>
      </c>
      <c r="F4397" s="178" t="s">
        <v>143</v>
      </c>
    </row>
    <row r="4398">
      <c r="A4398" s="250">
        <v>45955.04438</v>
      </c>
      <c r="B4398" s="251" t="s">
        <v>1693</v>
      </c>
      <c r="C4398" s="178" t="s">
        <v>5487</v>
      </c>
      <c r="D4398" s="36">
        <v>651251.0</v>
      </c>
      <c r="E4398" s="36" t="s">
        <v>1683</v>
      </c>
      <c r="F4398" s="178" t="s">
        <v>871</v>
      </c>
    </row>
    <row r="4399">
      <c r="A4399" s="250">
        <v>45955.04438</v>
      </c>
      <c r="B4399" s="251" t="s">
        <v>1684</v>
      </c>
      <c r="C4399" s="178" t="s">
        <v>5488</v>
      </c>
      <c r="D4399" s="36" t="s">
        <v>1683</v>
      </c>
      <c r="E4399" s="36">
        <v>651251.0</v>
      </c>
      <c r="F4399" s="178" t="s">
        <v>871</v>
      </c>
    </row>
    <row r="4400">
      <c r="A4400" s="250">
        <v>45956.57519555556</v>
      </c>
      <c r="B4400" s="251" t="s">
        <v>3247</v>
      </c>
      <c r="C4400" s="178" t="s">
        <v>5489</v>
      </c>
      <c r="D4400" s="36">
        <v>20999.999999999996</v>
      </c>
      <c r="E4400" s="36" t="s">
        <v>1683</v>
      </c>
      <c r="F4400" s="178" t="s">
        <v>211</v>
      </c>
    </row>
    <row r="4401">
      <c r="A4401" s="250">
        <v>45956.57519555556</v>
      </c>
      <c r="B4401" s="251" t="s">
        <v>1698</v>
      </c>
      <c r="C4401" s="178" t="s">
        <v>5483</v>
      </c>
      <c r="D4401" s="36" t="s">
        <v>1683</v>
      </c>
      <c r="E4401" s="36">
        <v>20999.999999999996</v>
      </c>
      <c r="F4401" s="178" t="s">
        <v>211</v>
      </c>
    </row>
    <row r="4402">
      <c r="A4402" s="250">
        <v>45956.57563</v>
      </c>
      <c r="B4402" s="251" t="s">
        <v>3240</v>
      </c>
      <c r="C4402" s="178" t="s">
        <v>5490</v>
      </c>
      <c r="D4402" s="36">
        <v>651251.0</v>
      </c>
      <c r="E4402" s="36" t="s">
        <v>1683</v>
      </c>
      <c r="F4402" s="178" t="s">
        <v>871</v>
      </c>
    </row>
    <row r="4403">
      <c r="A4403" s="250">
        <v>45956.57563</v>
      </c>
      <c r="B4403" s="251" t="s">
        <v>1698</v>
      </c>
      <c r="C4403" s="178" t="s">
        <v>5487</v>
      </c>
      <c r="D4403" s="36" t="s">
        <v>1683</v>
      </c>
      <c r="E4403" s="36">
        <v>651251.0</v>
      </c>
      <c r="F4403" s="178" t="s">
        <v>871</v>
      </c>
    </row>
    <row r="4404">
      <c r="A4404" s="250">
        <v>45957.41936</v>
      </c>
      <c r="B4404" s="251" t="s">
        <v>5451</v>
      </c>
      <c r="C4404" s="178" t="s">
        <v>5491</v>
      </c>
      <c r="D4404" s="36">
        <v>580639.0000000001</v>
      </c>
      <c r="E4404" s="36" t="s">
        <v>1683</v>
      </c>
      <c r="F4404" s="178" t="s">
        <v>396</v>
      </c>
    </row>
    <row r="4405">
      <c r="A4405" s="250">
        <v>45957.41936</v>
      </c>
      <c r="B4405" s="251" t="s">
        <v>1698</v>
      </c>
      <c r="C4405" s="178" t="s">
        <v>5455</v>
      </c>
      <c r="D4405" s="36" t="s">
        <v>1683</v>
      </c>
      <c r="E4405" s="36">
        <v>580639.0000000001</v>
      </c>
      <c r="F4405" s="178" t="s">
        <v>396</v>
      </c>
    </row>
    <row r="4406">
      <c r="A4406" s="250">
        <v>45957.47375111111</v>
      </c>
      <c r="B4406" s="251" t="s">
        <v>3020</v>
      </c>
      <c r="C4406" s="178" t="s">
        <v>5492</v>
      </c>
      <c r="D4406" s="36">
        <v>478205.99999999994</v>
      </c>
      <c r="E4406" s="36" t="s">
        <v>1683</v>
      </c>
      <c r="F4406" s="178" t="s">
        <v>143</v>
      </c>
    </row>
    <row r="4407">
      <c r="A4407" s="250">
        <v>45957.47375111111</v>
      </c>
      <c r="B4407" s="251" t="s">
        <v>1698</v>
      </c>
      <c r="C4407" s="178" t="s">
        <v>5485</v>
      </c>
      <c r="D4407" s="36" t="s">
        <v>1683</v>
      </c>
      <c r="E4407" s="36">
        <v>478205.99999999994</v>
      </c>
      <c r="F4407" s="178" t="s">
        <v>143</v>
      </c>
    </row>
    <row r="4408">
      <c r="A4408" s="250">
        <v>45957.56194972222</v>
      </c>
      <c r="B4408" s="251" t="s">
        <v>3177</v>
      </c>
      <c r="C4408" s="178" t="s">
        <v>5493</v>
      </c>
      <c r="D4408" s="36">
        <v>5069436.0</v>
      </c>
      <c r="E4408" s="36" t="s">
        <v>1683</v>
      </c>
      <c r="F4408" s="178" t="s">
        <v>36</v>
      </c>
    </row>
    <row r="4409">
      <c r="A4409" s="250">
        <v>45957.56194972222</v>
      </c>
      <c r="B4409" s="251" t="s">
        <v>1684</v>
      </c>
      <c r="C4409" s="178" t="s">
        <v>5494</v>
      </c>
      <c r="D4409" s="36" t="s">
        <v>1683</v>
      </c>
      <c r="E4409" s="36">
        <v>5069436.0</v>
      </c>
      <c r="F4409" s="178" t="s">
        <v>36</v>
      </c>
    </row>
    <row r="4410">
      <c r="A4410" s="250">
        <v>45957.56196972222</v>
      </c>
      <c r="B4410" s="251" t="s">
        <v>3177</v>
      </c>
      <c r="C4410" s="178" t="s">
        <v>5495</v>
      </c>
      <c r="D4410" s="36">
        <v>3197120.0</v>
      </c>
      <c r="E4410" s="36" t="s">
        <v>1683</v>
      </c>
      <c r="F4410" s="178" t="s">
        <v>333</v>
      </c>
    </row>
    <row r="4411">
      <c r="A4411" s="250">
        <v>45957.56196972222</v>
      </c>
      <c r="B4411" s="251" t="s">
        <v>1684</v>
      </c>
      <c r="C4411" s="178" t="s">
        <v>5496</v>
      </c>
      <c r="D4411" s="36" t="s">
        <v>1683</v>
      </c>
      <c r="E4411" s="36">
        <v>3197120.0</v>
      </c>
      <c r="F4411" s="178" t="s">
        <v>333</v>
      </c>
    </row>
    <row r="4412">
      <c r="A4412" s="250">
        <v>45957.56224972222</v>
      </c>
      <c r="B4412" s="251" t="s">
        <v>3177</v>
      </c>
      <c r="C4412" s="178" t="s">
        <v>5497</v>
      </c>
      <c r="D4412" s="36">
        <v>4367784.0</v>
      </c>
      <c r="E4412" s="36" t="s">
        <v>1683</v>
      </c>
      <c r="F4412" s="178" t="s">
        <v>366</v>
      </c>
    </row>
    <row r="4413">
      <c r="A4413" s="250">
        <v>45957.56224972222</v>
      </c>
      <c r="B4413" s="251" t="s">
        <v>1684</v>
      </c>
      <c r="C4413" s="178" t="s">
        <v>5498</v>
      </c>
      <c r="D4413" s="36" t="s">
        <v>1683</v>
      </c>
      <c r="E4413" s="36">
        <v>4367784.0</v>
      </c>
      <c r="F4413" s="178" t="s">
        <v>366</v>
      </c>
    </row>
    <row r="4414">
      <c r="A4414" s="250">
        <v>45957.562349722226</v>
      </c>
      <c r="B4414" s="251" t="s">
        <v>3177</v>
      </c>
      <c r="C4414" s="178" t="s">
        <v>5499</v>
      </c>
      <c r="D4414" s="36">
        <v>7795440.0</v>
      </c>
      <c r="E4414" s="36" t="s">
        <v>1683</v>
      </c>
      <c r="F4414" s="178" t="s">
        <v>379</v>
      </c>
    </row>
    <row r="4415">
      <c r="A4415" s="250">
        <v>45957.562349722226</v>
      </c>
      <c r="B4415" s="251" t="s">
        <v>1684</v>
      </c>
      <c r="C4415" s="178" t="s">
        <v>5500</v>
      </c>
      <c r="D4415" s="36" t="s">
        <v>1683</v>
      </c>
      <c r="E4415" s="36">
        <v>7795440.0</v>
      </c>
      <c r="F4415" s="178" t="s">
        <v>379</v>
      </c>
    </row>
    <row r="4416">
      <c r="A4416" s="250">
        <v>45957.69162222222</v>
      </c>
      <c r="B4416" s="251" t="s">
        <v>3418</v>
      </c>
      <c r="C4416" s="178" t="s">
        <v>5501</v>
      </c>
      <c r="D4416" s="36">
        <v>210975.00000000003</v>
      </c>
      <c r="E4416" s="36" t="s">
        <v>1683</v>
      </c>
      <c r="F4416" s="178" t="s">
        <v>289</v>
      </c>
    </row>
    <row r="4417">
      <c r="A4417" s="250">
        <v>45957.69162222222</v>
      </c>
      <c r="B4417" s="251" t="s">
        <v>1698</v>
      </c>
      <c r="C4417" s="178" t="s">
        <v>5457</v>
      </c>
      <c r="D4417" s="36" t="s">
        <v>1683</v>
      </c>
      <c r="E4417" s="36">
        <v>210975.00000000003</v>
      </c>
      <c r="F4417" s="178" t="s">
        <v>289</v>
      </c>
    </row>
    <row r="4418">
      <c r="A4418" s="250">
        <v>45957.69172222222</v>
      </c>
      <c r="B4418" s="251" t="s">
        <v>4047</v>
      </c>
      <c r="C4418" s="178" t="s">
        <v>5502</v>
      </c>
      <c r="D4418" s="36">
        <v>338441.0</v>
      </c>
      <c r="E4418" s="36" t="s">
        <v>1683</v>
      </c>
      <c r="F4418" s="178" t="s">
        <v>289</v>
      </c>
    </row>
    <row r="4419">
      <c r="A4419" s="250">
        <v>45957.69172222222</v>
      </c>
      <c r="B4419" s="251" t="s">
        <v>1698</v>
      </c>
      <c r="C4419" s="178" t="s">
        <v>5459</v>
      </c>
      <c r="D4419" s="36" t="s">
        <v>1683</v>
      </c>
      <c r="E4419" s="36">
        <v>338441.0</v>
      </c>
      <c r="F4419" s="178" t="s">
        <v>289</v>
      </c>
    </row>
    <row r="4420">
      <c r="A4420" s="250">
        <v>45958.88577666666</v>
      </c>
      <c r="B4420" s="251" t="s">
        <v>3836</v>
      </c>
      <c r="C4420" s="178" t="s">
        <v>5503</v>
      </c>
      <c r="D4420" s="36">
        <v>106340.90909090909</v>
      </c>
      <c r="E4420" s="36" t="s">
        <v>1683</v>
      </c>
      <c r="F4420" s="178" t="s">
        <v>661</v>
      </c>
    </row>
    <row r="4421">
      <c r="A4421" s="250">
        <v>45958.88577666666</v>
      </c>
      <c r="B4421" s="251" t="s">
        <v>1698</v>
      </c>
      <c r="C4421" s="178" t="s">
        <v>5461</v>
      </c>
      <c r="D4421" s="36" t="s">
        <v>1683</v>
      </c>
      <c r="E4421" s="36">
        <v>106340.90909090909</v>
      </c>
      <c r="F4421" s="178" t="s">
        <v>661</v>
      </c>
    </row>
    <row r="4422">
      <c r="A4422" s="250">
        <v>45958.885826666665</v>
      </c>
      <c r="B4422" s="251" t="s">
        <v>5504</v>
      </c>
      <c r="C4422" s="178" t="s">
        <v>5505</v>
      </c>
      <c r="D4422" s="36">
        <v>106340.90909090909</v>
      </c>
      <c r="E4422" s="36" t="s">
        <v>1683</v>
      </c>
      <c r="F4422" s="178" t="s">
        <v>661</v>
      </c>
    </row>
    <row r="4423">
      <c r="A4423" s="250">
        <v>45958.885826666665</v>
      </c>
      <c r="B4423" s="251" t="s">
        <v>1698</v>
      </c>
      <c r="C4423" s="178" t="s">
        <v>5463</v>
      </c>
      <c r="D4423" s="36" t="s">
        <v>1683</v>
      </c>
      <c r="E4423" s="36">
        <v>106340.90909090909</v>
      </c>
      <c r="F4423" s="178" t="s">
        <v>661</v>
      </c>
    </row>
    <row r="4424">
      <c r="A4424" s="250">
        <v>45958.88587666667</v>
      </c>
      <c r="B4424" s="251" t="s">
        <v>2499</v>
      </c>
      <c r="C4424" s="178" t="s">
        <v>5506</v>
      </c>
      <c r="D4424" s="36">
        <v>106340.90909090909</v>
      </c>
      <c r="E4424" s="36" t="s">
        <v>1683</v>
      </c>
      <c r="F4424" s="178" t="s">
        <v>661</v>
      </c>
    </row>
    <row r="4425">
      <c r="A4425" s="250">
        <v>45958.88587666667</v>
      </c>
      <c r="B4425" s="251" t="s">
        <v>1698</v>
      </c>
      <c r="C4425" s="178" t="s">
        <v>5465</v>
      </c>
      <c r="D4425" s="36" t="s">
        <v>1683</v>
      </c>
      <c r="E4425" s="36">
        <v>106340.90909090909</v>
      </c>
      <c r="F4425" s="178" t="s">
        <v>661</v>
      </c>
    </row>
    <row r="4426">
      <c r="A4426" s="250">
        <v>45958.88598666666</v>
      </c>
      <c r="B4426" s="251" t="s">
        <v>5507</v>
      </c>
      <c r="C4426" s="178" t="s">
        <v>5508</v>
      </c>
      <c r="D4426" s="36">
        <v>106340.90909090909</v>
      </c>
      <c r="E4426" s="36" t="s">
        <v>1683</v>
      </c>
      <c r="F4426" s="178" t="s">
        <v>661</v>
      </c>
    </row>
    <row r="4427">
      <c r="A4427" s="250">
        <v>45958.88598666666</v>
      </c>
      <c r="B4427" s="251" t="s">
        <v>1698</v>
      </c>
      <c r="C4427" s="178" t="s">
        <v>5467</v>
      </c>
      <c r="D4427" s="36" t="s">
        <v>1683</v>
      </c>
      <c r="E4427" s="36">
        <v>106340.90909090909</v>
      </c>
      <c r="F4427" s="178" t="s">
        <v>661</v>
      </c>
    </row>
    <row r="4428">
      <c r="A4428" s="250">
        <v>45958.886146666664</v>
      </c>
      <c r="B4428" s="251" t="s">
        <v>3843</v>
      </c>
      <c r="C4428" s="178" t="s">
        <v>5509</v>
      </c>
      <c r="D4428" s="36">
        <v>106340.90909090909</v>
      </c>
      <c r="E4428" s="36" t="s">
        <v>1683</v>
      </c>
      <c r="F4428" s="178" t="s">
        <v>661</v>
      </c>
    </row>
    <row r="4429">
      <c r="A4429" s="250">
        <v>45958.886146666664</v>
      </c>
      <c r="B4429" s="251" t="s">
        <v>1698</v>
      </c>
      <c r="C4429" s="178" t="s">
        <v>5469</v>
      </c>
      <c r="D4429" s="36" t="s">
        <v>1683</v>
      </c>
      <c r="E4429" s="36">
        <v>106340.90909090909</v>
      </c>
      <c r="F4429" s="178" t="s">
        <v>661</v>
      </c>
    </row>
    <row r="4430">
      <c r="A4430" s="250">
        <v>45958.88618666666</v>
      </c>
      <c r="B4430" s="251" t="s">
        <v>5510</v>
      </c>
      <c r="C4430" s="178" t="s">
        <v>5511</v>
      </c>
      <c r="D4430" s="36">
        <v>69153.40909090909</v>
      </c>
      <c r="E4430" s="36" t="s">
        <v>1683</v>
      </c>
      <c r="F4430" s="178" t="s">
        <v>661</v>
      </c>
    </row>
    <row r="4431">
      <c r="A4431" s="250">
        <v>45958.88618666666</v>
      </c>
      <c r="B4431" s="251" t="s">
        <v>1698</v>
      </c>
      <c r="C4431" s="178" t="s">
        <v>5471</v>
      </c>
      <c r="D4431" s="36" t="s">
        <v>1683</v>
      </c>
      <c r="E4431" s="36">
        <v>69153.40909090909</v>
      </c>
      <c r="F4431" s="178" t="s">
        <v>661</v>
      </c>
    </row>
    <row r="4432">
      <c r="A4432" s="250">
        <v>45958.88620666666</v>
      </c>
      <c r="B4432" s="251" t="s">
        <v>5512</v>
      </c>
      <c r="C4432" s="178" t="s">
        <v>5513</v>
      </c>
      <c r="D4432" s="36">
        <v>106340.90909090909</v>
      </c>
      <c r="E4432" s="36" t="s">
        <v>1683</v>
      </c>
      <c r="F4432" s="178" t="s">
        <v>661</v>
      </c>
    </row>
    <row r="4433">
      <c r="A4433" s="250">
        <v>45958.88620666666</v>
      </c>
      <c r="B4433" s="251" t="s">
        <v>1698</v>
      </c>
      <c r="C4433" s="178" t="s">
        <v>5473</v>
      </c>
      <c r="D4433" s="36" t="s">
        <v>1683</v>
      </c>
      <c r="E4433" s="36">
        <v>106340.90909090909</v>
      </c>
      <c r="F4433" s="178" t="s">
        <v>661</v>
      </c>
    </row>
    <row r="4434">
      <c r="A4434" s="250">
        <v>45958.886216666666</v>
      </c>
      <c r="B4434" s="251" t="s">
        <v>3845</v>
      </c>
      <c r="C4434" s="178" t="s">
        <v>5514</v>
      </c>
      <c r="D4434" s="36">
        <v>106340.90909090909</v>
      </c>
      <c r="E4434" s="36" t="s">
        <v>1683</v>
      </c>
      <c r="F4434" s="178" t="s">
        <v>661</v>
      </c>
    </row>
    <row r="4435">
      <c r="A4435" s="250">
        <v>45958.886216666666</v>
      </c>
      <c r="B4435" s="251" t="s">
        <v>1698</v>
      </c>
      <c r="C4435" s="178" t="s">
        <v>5475</v>
      </c>
      <c r="D4435" s="36" t="s">
        <v>1683</v>
      </c>
      <c r="E4435" s="36">
        <v>106340.90909090909</v>
      </c>
      <c r="F4435" s="178" t="s">
        <v>661</v>
      </c>
    </row>
    <row r="4436">
      <c r="A4436" s="250">
        <v>45958.88626666666</v>
      </c>
      <c r="B4436" s="251" t="s">
        <v>5515</v>
      </c>
      <c r="C4436" s="178" t="s">
        <v>5516</v>
      </c>
      <c r="D4436" s="36">
        <v>106340.90909090909</v>
      </c>
      <c r="E4436" s="36" t="s">
        <v>1683</v>
      </c>
      <c r="F4436" s="178" t="s">
        <v>661</v>
      </c>
    </row>
    <row r="4437">
      <c r="A4437" s="250">
        <v>45958.88626666666</v>
      </c>
      <c r="B4437" s="251" t="s">
        <v>1698</v>
      </c>
      <c r="C4437" s="178" t="s">
        <v>5477</v>
      </c>
      <c r="D4437" s="36" t="s">
        <v>1683</v>
      </c>
      <c r="E4437" s="36">
        <v>106340.90909090909</v>
      </c>
      <c r="F4437" s="178" t="s">
        <v>661</v>
      </c>
    </row>
    <row r="4438">
      <c r="A4438" s="250">
        <v>45958.88628666667</v>
      </c>
      <c r="B4438" s="251" t="s">
        <v>5517</v>
      </c>
      <c r="C4438" s="178" t="s">
        <v>5518</v>
      </c>
      <c r="D4438" s="36">
        <v>106340.90909090909</v>
      </c>
      <c r="E4438" s="36" t="s">
        <v>1683</v>
      </c>
      <c r="F4438" s="178" t="s">
        <v>661</v>
      </c>
    </row>
    <row r="4439">
      <c r="A4439" s="250">
        <v>45958.88628666667</v>
      </c>
      <c r="B4439" s="251" t="s">
        <v>1698</v>
      </c>
      <c r="C4439" s="178" t="s">
        <v>5479</v>
      </c>
      <c r="D4439" s="36" t="s">
        <v>1683</v>
      </c>
      <c r="E4439" s="36">
        <v>106340.90909090909</v>
      </c>
      <c r="F4439" s="178" t="s">
        <v>661</v>
      </c>
    </row>
    <row r="4440">
      <c r="A4440" s="250">
        <v>45958.886296666664</v>
      </c>
      <c r="B4440" s="251" t="s">
        <v>5519</v>
      </c>
      <c r="C4440" s="178" t="s">
        <v>5520</v>
      </c>
      <c r="D4440" s="36">
        <v>106340.90909090909</v>
      </c>
      <c r="E4440" s="36" t="s">
        <v>1683</v>
      </c>
      <c r="F4440" s="178" t="s">
        <v>661</v>
      </c>
    </row>
    <row r="4441">
      <c r="A4441" s="250">
        <v>45958.886296666664</v>
      </c>
      <c r="B4441" s="251" t="s">
        <v>1698</v>
      </c>
      <c r="C4441" s="178" t="s">
        <v>5481</v>
      </c>
      <c r="D4441" s="36" t="s">
        <v>1683</v>
      </c>
      <c r="E4441" s="36">
        <v>106340.90909090909</v>
      </c>
      <c r="F4441" s="178" t="s">
        <v>661</v>
      </c>
    </row>
    <row r="4442">
      <c r="A4442" s="250">
        <v>45969.651284444444</v>
      </c>
      <c r="B4442" s="251" t="s">
        <v>1693</v>
      </c>
      <c r="C4442" s="178" t="s">
        <v>5521</v>
      </c>
      <c r="D4442" s="36">
        <v>484667.0</v>
      </c>
      <c r="E4442" s="36" t="s">
        <v>1683</v>
      </c>
      <c r="F4442" s="178" t="s">
        <v>684</v>
      </c>
    </row>
    <row r="4443">
      <c r="A4443" s="250">
        <v>45969.651284444444</v>
      </c>
      <c r="B4443" s="251" t="s">
        <v>1684</v>
      </c>
      <c r="C4443" s="178" t="s">
        <v>5522</v>
      </c>
      <c r="D4443" s="36" t="s">
        <v>1683</v>
      </c>
      <c r="E4443" s="36">
        <v>484667.0</v>
      </c>
      <c r="F4443" s="178" t="s">
        <v>684</v>
      </c>
    </row>
    <row r="4444">
      <c r="A4444" s="250">
        <v>45969.65151444444</v>
      </c>
      <c r="B4444" s="251" t="s">
        <v>1607</v>
      </c>
      <c r="C4444" s="178" t="s">
        <v>5523</v>
      </c>
      <c r="D4444" s="36">
        <v>100230.0</v>
      </c>
      <c r="E4444" s="36" t="s">
        <v>1683</v>
      </c>
      <c r="F4444" s="178" t="s">
        <v>1673</v>
      </c>
    </row>
    <row r="4445">
      <c r="A4445" s="250">
        <v>45969.65151444444</v>
      </c>
      <c r="B4445" s="251" t="s">
        <v>1684</v>
      </c>
      <c r="C4445" s="178" t="s">
        <v>5524</v>
      </c>
      <c r="D4445" s="36" t="s">
        <v>1683</v>
      </c>
      <c r="E4445" s="36">
        <v>100230.0</v>
      </c>
      <c r="F4445" s="178" t="s">
        <v>1673</v>
      </c>
    </row>
    <row r="4446">
      <c r="A4446" s="250">
        <v>45969.65152444444</v>
      </c>
      <c r="B4446" s="251" t="s">
        <v>1611</v>
      </c>
      <c r="C4446" s="178" t="s">
        <v>5525</v>
      </c>
      <c r="D4446" s="36">
        <v>140112.0</v>
      </c>
      <c r="E4446" s="36" t="s">
        <v>1683</v>
      </c>
      <c r="F4446" s="178" t="s">
        <v>1674</v>
      </c>
    </row>
    <row r="4447">
      <c r="A4447" s="250">
        <v>45969.65152444444</v>
      </c>
      <c r="B4447" s="251" t="s">
        <v>1684</v>
      </c>
      <c r="C4447" s="178" t="s">
        <v>5526</v>
      </c>
      <c r="D4447" s="36" t="s">
        <v>1683</v>
      </c>
      <c r="E4447" s="36">
        <v>140112.0</v>
      </c>
      <c r="F4447" s="178" t="s">
        <v>1674</v>
      </c>
    </row>
    <row r="4448">
      <c r="A4448" s="250">
        <v>45969.69812666666</v>
      </c>
      <c r="B4448" s="251" t="s">
        <v>5025</v>
      </c>
      <c r="C4448" s="178" t="s">
        <v>5527</v>
      </c>
      <c r="D4448" s="36">
        <v>58512.471264367996</v>
      </c>
      <c r="E4448" s="36" t="s">
        <v>1683</v>
      </c>
      <c r="F4448" s="178" t="s">
        <v>1683</v>
      </c>
    </row>
    <row r="4449">
      <c r="A4449" s="250">
        <v>45969.69812666666</v>
      </c>
      <c r="B4449" s="251" t="s">
        <v>5027</v>
      </c>
      <c r="C4449" s="178" t="s">
        <v>5528</v>
      </c>
      <c r="D4449" s="36" t="s">
        <v>1683</v>
      </c>
      <c r="E4449" s="36">
        <v>58512.471264367996</v>
      </c>
      <c r="F4449" s="178" t="s">
        <v>1683</v>
      </c>
    </row>
    <row r="4450">
      <c r="A4450" s="250">
        <v>45969.698136666666</v>
      </c>
      <c r="B4450" s="251" t="s">
        <v>4078</v>
      </c>
      <c r="C4450" s="178" t="s">
        <v>5529</v>
      </c>
      <c r="D4450" s="36">
        <v>57215.600000000006</v>
      </c>
      <c r="E4450" s="36" t="s">
        <v>1683</v>
      </c>
      <c r="F4450" s="178" t="s">
        <v>1683</v>
      </c>
    </row>
    <row r="4451">
      <c r="A4451" s="250">
        <v>45969.698136666666</v>
      </c>
      <c r="B4451" s="251" t="s">
        <v>5023</v>
      </c>
      <c r="C4451" s="178" t="s">
        <v>5530</v>
      </c>
      <c r="D4451" s="36" t="s">
        <v>1683</v>
      </c>
      <c r="E4451" s="36">
        <v>57215.600000000006</v>
      </c>
      <c r="F4451" s="178" t="s">
        <v>1683</v>
      </c>
    </row>
    <row r="4452">
      <c r="A4452" s="250">
        <v>45972.019400000005</v>
      </c>
      <c r="B4452" s="251" t="s">
        <v>1693</v>
      </c>
      <c r="C4452" s="178" t="s">
        <v>5531</v>
      </c>
      <c r="D4452" s="36">
        <v>694000.0</v>
      </c>
      <c r="E4452" s="36" t="s">
        <v>1683</v>
      </c>
      <c r="F4452" s="178" t="s">
        <v>510</v>
      </c>
    </row>
    <row r="4453">
      <c r="A4453" s="250">
        <v>45972.019400000005</v>
      </c>
      <c r="B4453" s="251" t="s">
        <v>1684</v>
      </c>
      <c r="C4453" s="178" t="s">
        <v>5532</v>
      </c>
      <c r="D4453" s="36" t="s">
        <v>1683</v>
      </c>
      <c r="E4453" s="36">
        <v>694000.0</v>
      </c>
      <c r="F4453" s="178" t="s">
        <v>510</v>
      </c>
    </row>
    <row r="4454">
      <c r="A4454" s="250">
        <v>45972.10261333333</v>
      </c>
      <c r="B4454" s="251" t="s">
        <v>1693</v>
      </c>
      <c r="C4454" s="178" t="s">
        <v>5533</v>
      </c>
      <c r="D4454" s="36">
        <v>23400.0</v>
      </c>
      <c r="E4454" s="36" t="s">
        <v>1683</v>
      </c>
      <c r="F4454" s="178" t="s">
        <v>274</v>
      </c>
    </row>
    <row r="4455">
      <c r="A4455" s="250">
        <v>45972.10261333333</v>
      </c>
      <c r="B4455" s="251" t="s">
        <v>1684</v>
      </c>
      <c r="C4455" s="178" t="s">
        <v>5534</v>
      </c>
      <c r="D4455" s="36" t="s">
        <v>1683</v>
      </c>
      <c r="E4455" s="36">
        <v>23400.0</v>
      </c>
      <c r="F4455" s="178" t="s">
        <v>274</v>
      </c>
    </row>
    <row r="4456">
      <c r="A4456" s="250">
        <v>45972.107464444445</v>
      </c>
      <c r="B4456" s="251" t="s">
        <v>1693</v>
      </c>
      <c r="C4456" s="178" t="s">
        <v>5535</v>
      </c>
      <c r="D4456" s="36">
        <v>29300.0</v>
      </c>
      <c r="E4456" s="36" t="s">
        <v>1683</v>
      </c>
      <c r="F4456" s="178" t="s">
        <v>273</v>
      </c>
    </row>
    <row r="4457">
      <c r="A4457" s="250">
        <v>45972.107464444445</v>
      </c>
      <c r="B4457" s="251" t="s">
        <v>1684</v>
      </c>
      <c r="C4457" s="178" t="s">
        <v>5536</v>
      </c>
      <c r="D4457" s="36" t="s">
        <v>1683</v>
      </c>
      <c r="E4457" s="36">
        <v>29300.0</v>
      </c>
      <c r="F4457" s="178" t="s">
        <v>273</v>
      </c>
    </row>
    <row r="4458">
      <c r="A4458" s="250">
        <v>45972.109537777775</v>
      </c>
      <c r="B4458" s="251" t="s">
        <v>1693</v>
      </c>
      <c r="C4458" s="178" t="s">
        <v>5537</v>
      </c>
      <c r="D4458" s="36">
        <v>124100.0</v>
      </c>
      <c r="E4458" s="36" t="s">
        <v>1683</v>
      </c>
      <c r="F4458" s="178" t="s">
        <v>272</v>
      </c>
    </row>
    <row r="4459">
      <c r="A4459" s="250">
        <v>45972.109537777775</v>
      </c>
      <c r="B4459" s="251" t="s">
        <v>1684</v>
      </c>
      <c r="C4459" s="178" t="s">
        <v>5538</v>
      </c>
      <c r="D4459" s="36" t="s">
        <v>1683</v>
      </c>
      <c r="E4459" s="36">
        <v>124100.0</v>
      </c>
      <c r="F4459" s="178" t="s">
        <v>272</v>
      </c>
    </row>
    <row r="4460">
      <c r="A4460" s="250">
        <v>45972.15042</v>
      </c>
      <c r="B4460" s="251" t="s">
        <v>1693</v>
      </c>
      <c r="C4460" s="178" t="s">
        <v>5539</v>
      </c>
      <c r="D4460" s="36">
        <v>63119.0</v>
      </c>
      <c r="E4460" s="36" t="s">
        <v>1683</v>
      </c>
      <c r="F4460" s="178" t="s">
        <v>667</v>
      </c>
    </row>
    <row r="4461">
      <c r="A4461" s="250">
        <v>45972.15042</v>
      </c>
      <c r="B4461" s="251" t="s">
        <v>1684</v>
      </c>
      <c r="C4461" s="178" t="s">
        <v>5540</v>
      </c>
      <c r="D4461" s="36" t="s">
        <v>1683</v>
      </c>
      <c r="E4461" s="36">
        <v>63119.0</v>
      </c>
      <c r="F4461" s="178" t="s">
        <v>667</v>
      </c>
    </row>
    <row r="4462">
      <c r="A4462" s="250">
        <v>45972.151284444444</v>
      </c>
      <c r="B4462" s="251" t="s">
        <v>1693</v>
      </c>
      <c r="C4462" s="178" t="s">
        <v>5541</v>
      </c>
      <c r="D4462" s="36">
        <v>46288.0</v>
      </c>
      <c r="E4462" s="36" t="s">
        <v>1683</v>
      </c>
      <c r="F4462" s="178" t="s">
        <v>177</v>
      </c>
    </row>
    <row r="4463">
      <c r="A4463" s="250">
        <v>45972.151284444444</v>
      </c>
      <c r="B4463" s="251" t="s">
        <v>1684</v>
      </c>
      <c r="C4463" s="178" t="s">
        <v>5542</v>
      </c>
      <c r="D4463" s="36" t="s">
        <v>1683</v>
      </c>
      <c r="E4463" s="36">
        <v>46288.0</v>
      </c>
      <c r="F4463" s="178" t="s">
        <v>177</v>
      </c>
    </row>
    <row r="4464">
      <c r="A4464" s="250">
        <v>45972.15134444444</v>
      </c>
      <c r="B4464" s="251" t="s">
        <v>1693</v>
      </c>
      <c r="C4464" s="178" t="s">
        <v>5543</v>
      </c>
      <c r="D4464" s="36">
        <v>1025413.0</v>
      </c>
      <c r="E4464" s="36" t="s">
        <v>1683</v>
      </c>
      <c r="F4464" s="178" t="s">
        <v>177</v>
      </c>
    </row>
    <row r="4465">
      <c r="A4465" s="250">
        <v>45972.15134444444</v>
      </c>
      <c r="B4465" s="251" t="s">
        <v>1684</v>
      </c>
      <c r="C4465" s="178" t="s">
        <v>5544</v>
      </c>
      <c r="D4465" s="36" t="s">
        <v>1683</v>
      </c>
      <c r="E4465" s="36">
        <v>1025413.0</v>
      </c>
      <c r="F4465" s="178" t="s">
        <v>177</v>
      </c>
    </row>
    <row r="4466">
      <c r="A4466" s="250">
        <v>45972.16728666666</v>
      </c>
      <c r="B4466" s="251" t="s">
        <v>1693</v>
      </c>
      <c r="C4466" s="178" t="s">
        <v>5545</v>
      </c>
      <c r="D4466" s="36">
        <v>763530.0</v>
      </c>
      <c r="E4466" s="36" t="s">
        <v>1683</v>
      </c>
      <c r="F4466" s="178" t="s">
        <v>870</v>
      </c>
    </row>
    <row r="4467">
      <c r="A4467" s="250">
        <v>45972.16728666666</v>
      </c>
      <c r="B4467" s="251" t="s">
        <v>1684</v>
      </c>
      <c r="C4467" s="178" t="s">
        <v>5546</v>
      </c>
      <c r="D4467" s="36" t="s">
        <v>1683</v>
      </c>
      <c r="E4467" s="36">
        <v>763530.0</v>
      </c>
      <c r="F4467" s="178" t="s">
        <v>870</v>
      </c>
    </row>
    <row r="4468">
      <c r="A4468" s="250">
        <v>45972.64012333333</v>
      </c>
      <c r="B4468" s="251" t="s">
        <v>1693</v>
      </c>
      <c r="C4468" s="178" t="s">
        <v>5547</v>
      </c>
      <c r="D4468" s="36">
        <v>1393705.0</v>
      </c>
      <c r="E4468" s="36" t="s">
        <v>1683</v>
      </c>
      <c r="F4468" s="178" t="s">
        <v>276</v>
      </c>
    </row>
    <row r="4469">
      <c r="A4469" s="250">
        <v>45972.64012333333</v>
      </c>
      <c r="B4469" s="251" t="s">
        <v>1684</v>
      </c>
      <c r="C4469" s="178" t="s">
        <v>5548</v>
      </c>
      <c r="D4469" s="36" t="s">
        <v>1683</v>
      </c>
      <c r="E4469" s="36">
        <v>1393705.0</v>
      </c>
      <c r="F4469" s="178" t="s">
        <v>276</v>
      </c>
    </row>
    <row r="4470">
      <c r="A4470" s="250">
        <v>45974.467901111115</v>
      </c>
      <c r="B4470" s="251" t="s">
        <v>3398</v>
      </c>
      <c r="C4470" s="178" t="s">
        <v>5549</v>
      </c>
      <c r="D4470" s="36">
        <v>1393705.0</v>
      </c>
      <c r="E4470" s="36" t="s">
        <v>1683</v>
      </c>
      <c r="F4470" s="178" t="s">
        <v>276</v>
      </c>
    </row>
    <row r="4471">
      <c r="A4471" s="250">
        <v>45974.467901111115</v>
      </c>
      <c r="B4471" s="251" t="s">
        <v>1698</v>
      </c>
      <c r="C4471" s="178" t="s">
        <v>5547</v>
      </c>
      <c r="D4471" s="36" t="s">
        <v>1683</v>
      </c>
      <c r="E4471" s="36">
        <v>1393705.0</v>
      </c>
      <c r="F4471" s="178" t="s">
        <v>276</v>
      </c>
    </row>
    <row r="4472">
      <c r="A4472" s="250">
        <v>45974.52900222222</v>
      </c>
      <c r="B4472" s="251" t="s">
        <v>5550</v>
      </c>
      <c r="C4472" s="178" t="s">
        <v>5551</v>
      </c>
      <c r="D4472" s="36">
        <v>23400.0</v>
      </c>
      <c r="E4472" s="36" t="s">
        <v>1683</v>
      </c>
      <c r="F4472" s="178" t="s">
        <v>274</v>
      </c>
    </row>
    <row r="4473">
      <c r="A4473" s="250">
        <v>45974.52900222222</v>
      </c>
      <c r="B4473" s="251" t="s">
        <v>1698</v>
      </c>
      <c r="C4473" s="178" t="s">
        <v>5533</v>
      </c>
      <c r="D4473" s="36" t="s">
        <v>1683</v>
      </c>
      <c r="E4473" s="36">
        <v>23400.0</v>
      </c>
      <c r="F4473" s="178" t="s">
        <v>274</v>
      </c>
    </row>
    <row r="4474">
      <c r="A4474" s="250">
        <v>45974.68176</v>
      </c>
      <c r="B4474" s="251" t="s">
        <v>5550</v>
      </c>
      <c r="C4474" s="178" t="s">
        <v>5552</v>
      </c>
      <c r="D4474" s="36">
        <v>124100.0</v>
      </c>
      <c r="E4474" s="36" t="s">
        <v>1683</v>
      </c>
      <c r="F4474" s="178" t="s">
        <v>272</v>
      </c>
    </row>
    <row r="4475">
      <c r="A4475" s="250">
        <v>45974.68176</v>
      </c>
      <c r="B4475" s="251" t="s">
        <v>1698</v>
      </c>
      <c r="C4475" s="178" t="s">
        <v>5537</v>
      </c>
      <c r="D4475" s="36" t="s">
        <v>1683</v>
      </c>
      <c r="E4475" s="36">
        <v>124100.0</v>
      </c>
      <c r="F4475" s="178" t="s">
        <v>272</v>
      </c>
    </row>
    <row r="4476">
      <c r="A4476" s="250">
        <v>45974.71937</v>
      </c>
      <c r="B4476" s="251" t="s">
        <v>3240</v>
      </c>
      <c r="C4476" s="178" t="s">
        <v>5553</v>
      </c>
      <c r="D4476" s="36">
        <v>763530.0</v>
      </c>
      <c r="E4476" s="36" t="s">
        <v>1683</v>
      </c>
      <c r="F4476" s="178" t="s">
        <v>870</v>
      </c>
    </row>
    <row r="4477">
      <c r="A4477" s="250">
        <v>45974.71937</v>
      </c>
      <c r="B4477" s="251" t="s">
        <v>1698</v>
      </c>
      <c r="C4477" s="178" t="s">
        <v>5545</v>
      </c>
      <c r="D4477" s="36" t="s">
        <v>1683</v>
      </c>
      <c r="E4477" s="36">
        <v>763530.0</v>
      </c>
      <c r="F4477" s="178" t="s">
        <v>870</v>
      </c>
    </row>
    <row r="4478">
      <c r="A4478" s="250">
        <v>45974.81447888889</v>
      </c>
      <c r="B4478" s="251" t="s">
        <v>2266</v>
      </c>
      <c r="C4478" s="178" t="s">
        <v>5554</v>
      </c>
      <c r="D4478" s="36">
        <v>484667.0</v>
      </c>
      <c r="E4478" s="36" t="s">
        <v>1683</v>
      </c>
      <c r="F4478" s="178" t="s">
        <v>684</v>
      </c>
    </row>
    <row r="4479">
      <c r="A4479" s="250">
        <v>45974.81447888889</v>
      </c>
      <c r="B4479" s="251" t="s">
        <v>1698</v>
      </c>
      <c r="C4479" s="178" t="s">
        <v>5521</v>
      </c>
      <c r="D4479" s="36" t="s">
        <v>1683</v>
      </c>
      <c r="E4479" s="36">
        <v>484667.0</v>
      </c>
      <c r="F4479" s="178" t="s">
        <v>684</v>
      </c>
    </row>
    <row r="4480">
      <c r="A4480" s="250">
        <v>45975.59833666666</v>
      </c>
      <c r="B4480" s="251" t="s">
        <v>3838</v>
      </c>
      <c r="C4480" s="178" t="s">
        <v>5555</v>
      </c>
      <c r="D4480" s="36">
        <v>63119.0</v>
      </c>
      <c r="E4480" s="36" t="s">
        <v>1683</v>
      </c>
      <c r="F4480" s="178" t="s">
        <v>667</v>
      </c>
    </row>
    <row r="4481">
      <c r="A4481" s="250">
        <v>45975.59833666666</v>
      </c>
      <c r="B4481" s="251" t="s">
        <v>1698</v>
      </c>
      <c r="C4481" s="178" t="s">
        <v>5539</v>
      </c>
      <c r="D4481" s="36" t="s">
        <v>1683</v>
      </c>
      <c r="E4481" s="36">
        <v>63119.0</v>
      </c>
      <c r="F4481" s="178" t="s">
        <v>667</v>
      </c>
    </row>
    <row r="4482">
      <c r="A4482" s="250">
        <v>45975.73732555556</v>
      </c>
      <c r="B4482" s="251" t="s">
        <v>5550</v>
      </c>
      <c r="C4482" s="178" t="s">
        <v>5556</v>
      </c>
      <c r="D4482" s="36">
        <v>29300.0</v>
      </c>
      <c r="E4482" s="36" t="s">
        <v>1683</v>
      </c>
      <c r="F4482" s="178" t="s">
        <v>273</v>
      </c>
    </row>
    <row r="4483">
      <c r="A4483" s="250">
        <v>45975.73732555556</v>
      </c>
      <c r="B4483" s="251" t="s">
        <v>1698</v>
      </c>
      <c r="C4483" s="178" t="s">
        <v>5535</v>
      </c>
      <c r="D4483" s="36" t="s">
        <v>1683</v>
      </c>
      <c r="E4483" s="36">
        <v>29300.0</v>
      </c>
      <c r="F4483" s="178" t="s">
        <v>273</v>
      </c>
    </row>
    <row r="4484">
      <c r="A4484" s="250">
        <v>45976.7196</v>
      </c>
      <c r="B4484" s="251" t="s">
        <v>1627</v>
      </c>
      <c r="C4484" s="178" t="s">
        <v>5557</v>
      </c>
      <c r="D4484" s="36">
        <v>15802.0</v>
      </c>
      <c r="E4484" s="36" t="s">
        <v>1683</v>
      </c>
      <c r="F4484" s="178" t="s">
        <v>1675</v>
      </c>
    </row>
    <row r="4485">
      <c r="A4485" s="250">
        <v>45976.7196</v>
      </c>
      <c r="B4485" s="251" t="s">
        <v>1684</v>
      </c>
      <c r="C4485" s="178" t="s">
        <v>5558</v>
      </c>
      <c r="D4485" s="36" t="s">
        <v>1683</v>
      </c>
      <c r="E4485" s="36">
        <v>15802.0</v>
      </c>
      <c r="F4485" s="178" t="s">
        <v>1675</v>
      </c>
    </row>
    <row r="4486">
      <c r="A4486" s="250">
        <v>45980.67465555556</v>
      </c>
      <c r="B4486" s="251" t="s">
        <v>1693</v>
      </c>
      <c r="C4486" s="178" t="s">
        <v>5559</v>
      </c>
      <c r="D4486" s="36">
        <v>1124742.0</v>
      </c>
      <c r="E4486" s="36" t="s">
        <v>1683</v>
      </c>
      <c r="F4486" s="178" t="s">
        <v>254</v>
      </c>
    </row>
    <row r="4487">
      <c r="A4487" s="250">
        <v>45980.67465555556</v>
      </c>
      <c r="B4487" s="251" t="s">
        <v>1684</v>
      </c>
      <c r="C4487" s="178" t="s">
        <v>5560</v>
      </c>
      <c r="D4487" s="36" t="s">
        <v>1683</v>
      </c>
      <c r="E4487" s="36">
        <v>1124742.0</v>
      </c>
      <c r="F4487" s="178" t="s">
        <v>254</v>
      </c>
    </row>
    <row r="4488">
      <c r="A4488" s="250">
        <v>45980.693011111114</v>
      </c>
      <c r="B4488" s="251" t="s">
        <v>3867</v>
      </c>
      <c r="C4488" s="178" t="s">
        <v>5561</v>
      </c>
      <c r="D4488" s="36">
        <v>694000.0</v>
      </c>
      <c r="E4488" s="36" t="s">
        <v>1683</v>
      </c>
      <c r="F4488" s="178" t="s">
        <v>510</v>
      </c>
    </row>
    <row r="4489">
      <c r="A4489" s="250">
        <v>45980.693011111114</v>
      </c>
      <c r="B4489" s="251" t="s">
        <v>1698</v>
      </c>
      <c r="C4489" s="178" t="s">
        <v>5531</v>
      </c>
      <c r="D4489" s="36" t="s">
        <v>1683</v>
      </c>
      <c r="E4489" s="36">
        <v>694000.0</v>
      </c>
      <c r="F4489" s="178" t="s">
        <v>510</v>
      </c>
    </row>
    <row r="4490">
      <c r="A4490" s="250">
        <v>45981.64124777778</v>
      </c>
      <c r="B4490" s="251" t="s">
        <v>1693</v>
      </c>
      <c r="C4490" s="178" t="s">
        <v>5562</v>
      </c>
      <c r="D4490" s="36">
        <v>64350.0</v>
      </c>
      <c r="E4490" s="36" t="s">
        <v>1683</v>
      </c>
      <c r="F4490" s="178" t="s">
        <v>619</v>
      </c>
    </row>
    <row r="4491">
      <c r="A4491" s="250">
        <v>45981.64124777778</v>
      </c>
      <c r="B4491" s="251" t="s">
        <v>1684</v>
      </c>
      <c r="C4491" s="178" t="s">
        <v>5563</v>
      </c>
      <c r="D4491" s="36" t="s">
        <v>1683</v>
      </c>
      <c r="E4491" s="36">
        <v>64350.0</v>
      </c>
      <c r="F4491" s="178" t="s">
        <v>619</v>
      </c>
    </row>
    <row r="4492">
      <c r="A4492" s="250">
        <v>45983.52812777778</v>
      </c>
      <c r="B4492" s="251" t="s">
        <v>3396</v>
      </c>
      <c r="C4492" s="178" t="s">
        <v>5564</v>
      </c>
      <c r="D4492" s="36">
        <v>1124742.0</v>
      </c>
      <c r="E4492" s="36" t="s">
        <v>1683</v>
      </c>
      <c r="F4492" s="178" t="s">
        <v>254</v>
      </c>
    </row>
    <row r="4493">
      <c r="A4493" s="250">
        <v>45983.52812777778</v>
      </c>
      <c r="B4493" s="251" t="s">
        <v>1698</v>
      </c>
      <c r="C4493" s="178" t="s">
        <v>5559</v>
      </c>
      <c r="D4493" s="36" t="s">
        <v>1683</v>
      </c>
      <c r="E4493" s="36">
        <v>1124742.0</v>
      </c>
      <c r="F4493" s="178" t="s">
        <v>254</v>
      </c>
    </row>
    <row r="4494">
      <c r="A4494" s="250">
        <v>45984.534303333334</v>
      </c>
      <c r="B4494" s="251" t="s">
        <v>4334</v>
      </c>
      <c r="C4494" s="178" t="s">
        <v>5565</v>
      </c>
      <c r="D4494" s="36">
        <v>64350.0</v>
      </c>
      <c r="E4494" s="36" t="s">
        <v>1683</v>
      </c>
      <c r="F4494" s="178" t="s">
        <v>619</v>
      </c>
    </row>
    <row r="4495">
      <c r="A4495" s="250">
        <v>45984.534303333334</v>
      </c>
      <c r="B4495" s="251" t="s">
        <v>1698</v>
      </c>
      <c r="C4495" s="178" t="s">
        <v>5562</v>
      </c>
      <c r="D4495" s="36" t="s">
        <v>1683</v>
      </c>
      <c r="E4495" s="36">
        <v>64350.0</v>
      </c>
      <c r="F4495" s="178" t="s">
        <v>619</v>
      </c>
    </row>
    <row r="4496">
      <c r="A4496" s="250">
        <v>45986.02362111111</v>
      </c>
      <c r="B4496" s="251" t="s">
        <v>1693</v>
      </c>
      <c r="C4496" s="178" t="s">
        <v>5566</v>
      </c>
      <c r="D4496" s="36">
        <v>222053.5</v>
      </c>
      <c r="E4496" s="36" t="s">
        <v>1683</v>
      </c>
      <c r="F4496" s="178" t="s">
        <v>907</v>
      </c>
    </row>
    <row r="4497">
      <c r="A4497" s="250">
        <v>45986.02362111111</v>
      </c>
      <c r="B4497" s="251" t="s">
        <v>1684</v>
      </c>
      <c r="C4497" s="178" t="s">
        <v>5567</v>
      </c>
      <c r="D4497" s="36" t="s">
        <v>1683</v>
      </c>
      <c r="E4497" s="36">
        <v>222053.5</v>
      </c>
      <c r="F4497" s="178" t="s">
        <v>907</v>
      </c>
    </row>
    <row r="4498">
      <c r="A4498" s="250">
        <v>45986.02389111111</v>
      </c>
      <c r="B4498" s="251" t="s">
        <v>1693</v>
      </c>
      <c r="C4498" s="178" t="s">
        <v>5568</v>
      </c>
      <c r="D4498" s="36">
        <v>31911.333333333336</v>
      </c>
      <c r="E4498" s="36" t="s">
        <v>1683</v>
      </c>
      <c r="F4498" s="178" t="s">
        <v>652</v>
      </c>
    </row>
    <row r="4499">
      <c r="A4499" s="250">
        <v>45986.02389111111</v>
      </c>
      <c r="B4499" s="251" t="s">
        <v>1684</v>
      </c>
      <c r="C4499" s="178" t="s">
        <v>5569</v>
      </c>
      <c r="D4499" s="36" t="s">
        <v>1683</v>
      </c>
      <c r="E4499" s="36">
        <v>31911.333333333336</v>
      </c>
      <c r="F4499" s="178" t="s">
        <v>652</v>
      </c>
    </row>
    <row r="4500">
      <c r="A4500" s="250">
        <v>45986.02390111111</v>
      </c>
      <c r="B4500" s="251" t="s">
        <v>1693</v>
      </c>
      <c r="C4500" s="178" t="s">
        <v>5570</v>
      </c>
      <c r="D4500" s="36">
        <v>212626.0</v>
      </c>
      <c r="E4500" s="36" t="s">
        <v>1683</v>
      </c>
      <c r="F4500" s="178" t="s">
        <v>747</v>
      </c>
    </row>
    <row r="4501">
      <c r="A4501" s="250">
        <v>45986.02390111111</v>
      </c>
      <c r="B4501" s="251" t="s">
        <v>1684</v>
      </c>
      <c r="C4501" s="178" t="s">
        <v>5571</v>
      </c>
      <c r="D4501" s="36" t="s">
        <v>1683</v>
      </c>
      <c r="E4501" s="36">
        <v>212626.0</v>
      </c>
      <c r="F4501" s="178" t="s">
        <v>747</v>
      </c>
    </row>
    <row r="4502">
      <c r="A4502" s="250">
        <v>45986.02392111111</v>
      </c>
      <c r="B4502" s="251" t="s">
        <v>1693</v>
      </c>
      <c r="C4502" s="178" t="s">
        <v>5572</v>
      </c>
      <c r="D4502" s="36">
        <v>455803.5</v>
      </c>
      <c r="E4502" s="36" t="s">
        <v>1683</v>
      </c>
      <c r="F4502" s="178" t="s">
        <v>907</v>
      </c>
    </row>
    <row r="4503">
      <c r="A4503" s="250">
        <v>45986.02392111111</v>
      </c>
      <c r="B4503" s="251" t="s">
        <v>1684</v>
      </c>
      <c r="C4503" s="178" t="s">
        <v>5573</v>
      </c>
      <c r="D4503" s="36" t="s">
        <v>1683</v>
      </c>
      <c r="E4503" s="36">
        <v>455803.5</v>
      </c>
      <c r="F4503" s="178" t="s">
        <v>907</v>
      </c>
    </row>
    <row r="4504">
      <c r="A4504" s="250">
        <v>45986.024011111105</v>
      </c>
      <c r="B4504" s="251" t="s">
        <v>1693</v>
      </c>
      <c r="C4504" s="178" t="s">
        <v>5574</v>
      </c>
      <c r="D4504" s="36">
        <v>21286.333333333332</v>
      </c>
      <c r="E4504" s="36" t="s">
        <v>1683</v>
      </c>
      <c r="F4504" s="178" t="s">
        <v>652</v>
      </c>
    </row>
    <row r="4505">
      <c r="A4505" s="250">
        <v>45986.024011111105</v>
      </c>
      <c r="B4505" s="251" t="s">
        <v>1684</v>
      </c>
      <c r="C4505" s="178" t="s">
        <v>5575</v>
      </c>
      <c r="D4505" s="36" t="s">
        <v>1683</v>
      </c>
      <c r="E4505" s="36">
        <v>21286.333333333332</v>
      </c>
      <c r="F4505" s="178" t="s">
        <v>652</v>
      </c>
    </row>
    <row r="4506">
      <c r="A4506" s="250">
        <v>45986.02423111111</v>
      </c>
      <c r="B4506" s="251" t="s">
        <v>1693</v>
      </c>
      <c r="C4506" s="178" t="s">
        <v>5576</v>
      </c>
      <c r="D4506" s="36">
        <v>414624.0</v>
      </c>
      <c r="E4506" s="36" t="s">
        <v>1683</v>
      </c>
      <c r="F4506" s="178" t="s">
        <v>584</v>
      </c>
    </row>
    <row r="4507">
      <c r="A4507" s="250">
        <v>45986.02423111111</v>
      </c>
      <c r="B4507" s="251" t="s">
        <v>1684</v>
      </c>
      <c r="C4507" s="178" t="s">
        <v>5577</v>
      </c>
      <c r="D4507" s="36" t="s">
        <v>1683</v>
      </c>
      <c r="E4507" s="36">
        <v>414624.0</v>
      </c>
      <c r="F4507" s="178" t="s">
        <v>584</v>
      </c>
    </row>
    <row r="4508">
      <c r="A4508" s="250">
        <v>45986.02437111111</v>
      </c>
      <c r="B4508" s="251" t="s">
        <v>1693</v>
      </c>
      <c r="C4508" s="178" t="s">
        <v>5578</v>
      </c>
      <c r="D4508" s="36">
        <v>106286.33333333333</v>
      </c>
      <c r="E4508" s="36" t="s">
        <v>1683</v>
      </c>
      <c r="F4508" s="178" t="s">
        <v>652</v>
      </c>
    </row>
    <row r="4509">
      <c r="A4509" s="250">
        <v>45986.02437111111</v>
      </c>
      <c r="B4509" s="251" t="s">
        <v>1684</v>
      </c>
      <c r="C4509" s="178" t="s">
        <v>5579</v>
      </c>
      <c r="D4509" s="36" t="s">
        <v>1683</v>
      </c>
      <c r="E4509" s="36">
        <v>106286.33333333333</v>
      </c>
      <c r="F4509" s="178" t="s">
        <v>652</v>
      </c>
    </row>
    <row r="4510">
      <c r="A4510" s="250">
        <v>45986.02439111111</v>
      </c>
      <c r="B4510" s="251" t="s">
        <v>1693</v>
      </c>
      <c r="C4510" s="178" t="s">
        <v>5580</v>
      </c>
      <c r="D4510" s="36">
        <v>106286.33333333333</v>
      </c>
      <c r="E4510" s="36" t="s">
        <v>1683</v>
      </c>
      <c r="F4510" s="178" t="s">
        <v>652</v>
      </c>
    </row>
    <row r="4511">
      <c r="A4511" s="250">
        <v>45986.02439111111</v>
      </c>
      <c r="B4511" s="251" t="s">
        <v>1684</v>
      </c>
      <c r="C4511" s="178" t="s">
        <v>5581</v>
      </c>
      <c r="D4511" s="36" t="s">
        <v>1683</v>
      </c>
      <c r="E4511" s="36">
        <v>106286.33333333333</v>
      </c>
      <c r="F4511" s="178" t="s">
        <v>652</v>
      </c>
    </row>
    <row r="4512">
      <c r="A4512" s="250">
        <v>45986.02445111111</v>
      </c>
      <c r="B4512" s="251" t="s">
        <v>1693</v>
      </c>
      <c r="C4512" s="178" t="s">
        <v>5582</v>
      </c>
      <c r="D4512" s="36">
        <v>53161.333333333336</v>
      </c>
      <c r="E4512" s="36" t="s">
        <v>1683</v>
      </c>
      <c r="F4512" s="178" t="s">
        <v>652</v>
      </c>
    </row>
    <row r="4513">
      <c r="A4513" s="250">
        <v>45986.02445111111</v>
      </c>
      <c r="B4513" s="251" t="s">
        <v>1684</v>
      </c>
      <c r="C4513" s="178" t="s">
        <v>5583</v>
      </c>
      <c r="D4513" s="36" t="s">
        <v>1683</v>
      </c>
      <c r="E4513" s="36">
        <v>53161.333333333336</v>
      </c>
      <c r="F4513" s="178" t="s">
        <v>652</v>
      </c>
    </row>
    <row r="4514">
      <c r="A4514" s="250">
        <v>45986.02447111111</v>
      </c>
      <c r="B4514" s="251" t="s">
        <v>1693</v>
      </c>
      <c r="C4514" s="178" t="s">
        <v>5584</v>
      </c>
      <c r="D4514" s="36">
        <v>42536.333333333336</v>
      </c>
      <c r="E4514" s="36" t="s">
        <v>1683</v>
      </c>
      <c r="F4514" s="178" t="s">
        <v>652</v>
      </c>
    </row>
    <row r="4515">
      <c r="A4515" s="250">
        <v>45986.02447111111</v>
      </c>
      <c r="B4515" s="251" t="s">
        <v>1684</v>
      </c>
      <c r="C4515" s="178" t="s">
        <v>5585</v>
      </c>
      <c r="D4515" s="36" t="s">
        <v>1683</v>
      </c>
      <c r="E4515" s="36">
        <v>42536.333333333336</v>
      </c>
      <c r="F4515" s="178" t="s">
        <v>652</v>
      </c>
    </row>
    <row r="4516">
      <c r="A4516" s="250">
        <v>45986.603472222225</v>
      </c>
      <c r="B4516" s="251" t="s">
        <v>1783</v>
      </c>
      <c r="C4516" s="178" t="s">
        <v>5586</v>
      </c>
      <c r="D4516" s="36">
        <v>52640.0</v>
      </c>
      <c r="E4516" s="36" t="s">
        <v>1683</v>
      </c>
      <c r="F4516" s="178" t="s">
        <v>615</v>
      </c>
    </row>
    <row r="4517">
      <c r="A4517" s="250">
        <v>45986.603472222225</v>
      </c>
      <c r="B4517" s="251" t="s">
        <v>1684</v>
      </c>
      <c r="C4517" s="178" t="s">
        <v>5587</v>
      </c>
      <c r="D4517" s="36" t="s">
        <v>1683</v>
      </c>
      <c r="E4517" s="36">
        <v>52640.0</v>
      </c>
      <c r="F4517" s="178" t="s">
        <v>615</v>
      </c>
    </row>
    <row r="4518">
      <c r="A4518" s="250">
        <v>45986.603582222226</v>
      </c>
      <c r="B4518" s="251" t="s">
        <v>1783</v>
      </c>
      <c r="C4518" s="178" t="s">
        <v>5588</v>
      </c>
      <c r="D4518" s="36">
        <v>17440.0</v>
      </c>
      <c r="E4518" s="36" t="s">
        <v>1683</v>
      </c>
      <c r="F4518" s="178" t="s">
        <v>764</v>
      </c>
    </row>
    <row r="4519">
      <c r="A4519" s="250">
        <v>45986.603582222226</v>
      </c>
      <c r="B4519" s="251" t="s">
        <v>1684</v>
      </c>
      <c r="C4519" s="178" t="s">
        <v>5589</v>
      </c>
      <c r="D4519" s="36" t="s">
        <v>1683</v>
      </c>
      <c r="E4519" s="36">
        <v>17440.0</v>
      </c>
      <c r="F4519" s="178" t="s">
        <v>764</v>
      </c>
    </row>
    <row r="4520">
      <c r="A4520" s="250">
        <v>45986.603602222225</v>
      </c>
      <c r="B4520" s="251" t="s">
        <v>1783</v>
      </c>
      <c r="C4520" s="178" t="s">
        <v>5590</v>
      </c>
      <c r="D4520" s="36">
        <v>17630.5</v>
      </c>
      <c r="E4520" s="36" t="s">
        <v>1683</v>
      </c>
      <c r="F4520" s="178" t="s">
        <v>789</v>
      </c>
    </row>
    <row r="4521">
      <c r="A4521" s="250">
        <v>45986.603602222225</v>
      </c>
      <c r="B4521" s="251" t="s">
        <v>1684</v>
      </c>
      <c r="C4521" s="178" t="s">
        <v>5591</v>
      </c>
      <c r="D4521" s="36" t="s">
        <v>1683</v>
      </c>
      <c r="E4521" s="36">
        <v>17630.5</v>
      </c>
      <c r="F4521" s="178" t="s">
        <v>789</v>
      </c>
    </row>
    <row r="4522">
      <c r="A4522" s="250">
        <v>45986.60398222222</v>
      </c>
      <c r="B4522" s="251" t="s">
        <v>1783</v>
      </c>
      <c r="C4522" s="178" t="s">
        <v>5592</v>
      </c>
      <c r="D4522" s="36">
        <v>17440.0</v>
      </c>
      <c r="E4522" s="36" t="s">
        <v>1683</v>
      </c>
      <c r="F4522" s="178" t="s">
        <v>764</v>
      </c>
    </row>
    <row r="4523">
      <c r="A4523" s="250">
        <v>45986.60398222222</v>
      </c>
      <c r="B4523" s="251" t="s">
        <v>1684</v>
      </c>
      <c r="C4523" s="178" t="s">
        <v>5593</v>
      </c>
      <c r="D4523" s="36" t="s">
        <v>1683</v>
      </c>
      <c r="E4523" s="36">
        <v>17440.0</v>
      </c>
      <c r="F4523" s="178" t="s">
        <v>764</v>
      </c>
    </row>
    <row r="4524">
      <c r="A4524" s="250">
        <v>45986.603992222226</v>
      </c>
      <c r="B4524" s="251" t="s">
        <v>1783</v>
      </c>
      <c r="C4524" s="178" t="s">
        <v>5594</v>
      </c>
      <c r="D4524" s="36">
        <v>17440.0</v>
      </c>
      <c r="E4524" s="36" t="s">
        <v>1683</v>
      </c>
      <c r="F4524" s="178" t="s">
        <v>764</v>
      </c>
    </row>
    <row r="4525">
      <c r="A4525" s="250">
        <v>45986.603992222226</v>
      </c>
      <c r="B4525" s="251" t="s">
        <v>1684</v>
      </c>
      <c r="C4525" s="178" t="s">
        <v>5595</v>
      </c>
      <c r="D4525" s="36" t="s">
        <v>1683</v>
      </c>
      <c r="E4525" s="36">
        <v>17440.0</v>
      </c>
      <c r="F4525" s="178" t="s">
        <v>764</v>
      </c>
    </row>
    <row r="4526">
      <c r="A4526" s="250">
        <v>45986.604072222224</v>
      </c>
      <c r="B4526" s="251" t="s">
        <v>1783</v>
      </c>
      <c r="C4526" s="178" t="s">
        <v>5596</v>
      </c>
      <c r="D4526" s="36">
        <v>17440.0</v>
      </c>
      <c r="E4526" s="36" t="s">
        <v>1683</v>
      </c>
      <c r="F4526" s="178" t="s">
        <v>764</v>
      </c>
    </row>
    <row r="4527">
      <c r="A4527" s="250">
        <v>45986.604072222224</v>
      </c>
      <c r="B4527" s="251" t="s">
        <v>1684</v>
      </c>
      <c r="C4527" s="178" t="s">
        <v>5597</v>
      </c>
      <c r="D4527" s="36" t="s">
        <v>1683</v>
      </c>
      <c r="E4527" s="36">
        <v>17440.0</v>
      </c>
      <c r="F4527" s="178" t="s">
        <v>764</v>
      </c>
    </row>
    <row r="4528">
      <c r="A4528" s="250">
        <v>45986.60411222222</v>
      </c>
      <c r="B4528" s="251" t="s">
        <v>1783</v>
      </c>
      <c r="C4528" s="178" t="s">
        <v>5598</v>
      </c>
      <c r="D4528" s="36">
        <v>17440.0</v>
      </c>
      <c r="E4528" s="36" t="s">
        <v>1683</v>
      </c>
      <c r="F4528" s="178" t="s">
        <v>764</v>
      </c>
    </row>
    <row r="4529">
      <c r="A4529" s="250">
        <v>45986.60411222222</v>
      </c>
      <c r="B4529" s="251" t="s">
        <v>1684</v>
      </c>
      <c r="C4529" s="178" t="s">
        <v>5599</v>
      </c>
      <c r="D4529" s="36" t="s">
        <v>1683</v>
      </c>
      <c r="E4529" s="36">
        <v>17440.0</v>
      </c>
      <c r="F4529" s="178" t="s">
        <v>764</v>
      </c>
    </row>
    <row r="4530">
      <c r="A4530" s="250">
        <v>45986.60424222222</v>
      </c>
      <c r="B4530" s="251" t="s">
        <v>1783</v>
      </c>
      <c r="C4530" s="178" t="s">
        <v>5600</v>
      </c>
      <c r="D4530" s="36">
        <v>17630.5</v>
      </c>
      <c r="E4530" s="36" t="s">
        <v>1683</v>
      </c>
      <c r="F4530" s="178" t="s">
        <v>789</v>
      </c>
    </row>
    <row r="4531">
      <c r="A4531" s="250">
        <v>45986.60424222222</v>
      </c>
      <c r="B4531" s="251" t="s">
        <v>1684</v>
      </c>
      <c r="C4531" s="178" t="s">
        <v>5601</v>
      </c>
      <c r="D4531" s="36" t="s">
        <v>1683</v>
      </c>
      <c r="E4531" s="36">
        <v>17630.5</v>
      </c>
      <c r="F4531" s="178" t="s">
        <v>789</v>
      </c>
    </row>
    <row r="4532">
      <c r="A4532" s="250">
        <v>45986.60439222222</v>
      </c>
      <c r="B4532" s="251" t="s">
        <v>1783</v>
      </c>
      <c r="C4532" s="178" t="s">
        <v>5602</v>
      </c>
      <c r="D4532" s="36">
        <v>117640.0</v>
      </c>
      <c r="E4532" s="36" t="s">
        <v>1683</v>
      </c>
      <c r="F4532" s="178" t="s">
        <v>615</v>
      </c>
    </row>
    <row r="4533">
      <c r="A4533" s="250">
        <v>45986.60439222222</v>
      </c>
      <c r="B4533" s="251" t="s">
        <v>1684</v>
      </c>
      <c r="C4533" s="178" t="s">
        <v>5603</v>
      </c>
      <c r="D4533" s="36" t="s">
        <v>1683</v>
      </c>
      <c r="E4533" s="36">
        <v>117640.0</v>
      </c>
      <c r="F4533" s="178" t="s">
        <v>615</v>
      </c>
    </row>
    <row r="4534">
      <c r="A4534" s="250">
        <v>45986.60440222223</v>
      </c>
      <c r="B4534" s="251" t="s">
        <v>1783</v>
      </c>
      <c r="C4534" s="178" t="s">
        <v>5604</v>
      </c>
      <c r="D4534" s="36">
        <v>17730.5</v>
      </c>
      <c r="E4534" s="36" t="s">
        <v>1683</v>
      </c>
      <c r="F4534" s="178" t="s">
        <v>789</v>
      </c>
    </row>
    <row r="4535">
      <c r="A4535" s="250">
        <v>45986.60440222223</v>
      </c>
      <c r="B4535" s="251" t="s">
        <v>1684</v>
      </c>
      <c r="C4535" s="178" t="s">
        <v>5605</v>
      </c>
      <c r="D4535" s="36" t="s">
        <v>1683</v>
      </c>
      <c r="E4535" s="36">
        <v>17730.5</v>
      </c>
      <c r="F4535" s="178" t="s">
        <v>789</v>
      </c>
    </row>
    <row r="4536">
      <c r="A4536" s="250">
        <v>45986.604442222226</v>
      </c>
      <c r="B4536" s="251" t="s">
        <v>1783</v>
      </c>
      <c r="C4536" s="178" t="s">
        <v>5606</v>
      </c>
      <c r="D4536" s="36">
        <v>17630.5</v>
      </c>
      <c r="E4536" s="36" t="s">
        <v>1683</v>
      </c>
      <c r="F4536" s="178" t="s">
        <v>789</v>
      </c>
    </row>
    <row r="4537">
      <c r="A4537" s="250">
        <v>45986.604442222226</v>
      </c>
      <c r="B4537" s="251" t="s">
        <v>1684</v>
      </c>
      <c r="C4537" s="178" t="s">
        <v>5607</v>
      </c>
      <c r="D4537" s="36" t="s">
        <v>1683</v>
      </c>
      <c r="E4537" s="36">
        <v>17630.5</v>
      </c>
      <c r="F4537" s="178" t="s">
        <v>789</v>
      </c>
    </row>
    <row r="4538">
      <c r="A4538" s="250">
        <v>45986.60747444444</v>
      </c>
      <c r="B4538" s="251" t="s">
        <v>1783</v>
      </c>
      <c r="C4538" s="178" t="s">
        <v>5608</v>
      </c>
      <c r="D4538" s="36">
        <v>284825.0</v>
      </c>
      <c r="E4538" s="36" t="s">
        <v>1683</v>
      </c>
      <c r="F4538" s="178" t="s">
        <v>578</v>
      </c>
    </row>
    <row r="4539">
      <c r="A4539" s="250">
        <v>45986.60747444444</v>
      </c>
      <c r="B4539" s="251" t="s">
        <v>1684</v>
      </c>
      <c r="C4539" s="178" t="s">
        <v>5609</v>
      </c>
      <c r="D4539" s="36" t="s">
        <v>1683</v>
      </c>
      <c r="E4539" s="36">
        <v>284825.0</v>
      </c>
      <c r="F4539" s="178" t="s">
        <v>578</v>
      </c>
    </row>
    <row r="4540">
      <c r="A4540" s="250">
        <v>45986.61163111111</v>
      </c>
      <c r="B4540" s="251" t="s">
        <v>1783</v>
      </c>
      <c r="C4540" s="178" t="s">
        <v>5610</v>
      </c>
      <c r="D4540" s="36">
        <v>291320.0</v>
      </c>
      <c r="E4540" s="36" t="s">
        <v>1683</v>
      </c>
      <c r="F4540" s="178" t="s">
        <v>386</v>
      </c>
    </row>
    <row r="4541">
      <c r="A4541" s="250">
        <v>45986.61163111111</v>
      </c>
      <c r="B4541" s="251" t="s">
        <v>1684</v>
      </c>
      <c r="C4541" s="178" t="s">
        <v>5611</v>
      </c>
      <c r="D4541" s="36" t="s">
        <v>1683</v>
      </c>
      <c r="E4541" s="36">
        <v>291320.0</v>
      </c>
      <c r="F4541" s="178" t="s">
        <v>386</v>
      </c>
    </row>
    <row r="4542">
      <c r="A4542" s="250">
        <v>45987.64526888889</v>
      </c>
      <c r="B4542" s="251" t="s">
        <v>5216</v>
      </c>
      <c r="C4542" s="178" t="s">
        <v>5612</v>
      </c>
      <c r="D4542" s="36">
        <v>17630.5</v>
      </c>
      <c r="E4542" s="36" t="s">
        <v>1683</v>
      </c>
      <c r="F4542" s="178" t="s">
        <v>789</v>
      </c>
    </row>
    <row r="4543">
      <c r="A4543" s="250">
        <v>45987.64526888889</v>
      </c>
      <c r="B4543" s="251" t="s">
        <v>1802</v>
      </c>
      <c r="C4543" s="178" t="s">
        <v>5590</v>
      </c>
      <c r="D4543" s="36" t="s">
        <v>1683</v>
      </c>
      <c r="E4543" s="36">
        <v>17630.5</v>
      </c>
      <c r="F4543" s="178" t="s">
        <v>789</v>
      </c>
    </row>
    <row r="4544">
      <c r="A4544" s="250">
        <v>45987.64590888889</v>
      </c>
      <c r="B4544" s="251" t="s">
        <v>2320</v>
      </c>
      <c r="C4544" s="178" t="s">
        <v>5613</v>
      </c>
      <c r="D4544" s="36">
        <v>17630.5</v>
      </c>
      <c r="E4544" s="36" t="s">
        <v>1683</v>
      </c>
      <c r="F4544" s="178" t="s">
        <v>789</v>
      </c>
    </row>
    <row r="4545">
      <c r="A4545" s="250">
        <v>45987.64590888889</v>
      </c>
      <c r="B4545" s="251" t="s">
        <v>1802</v>
      </c>
      <c r="C4545" s="178" t="s">
        <v>5600</v>
      </c>
      <c r="D4545" s="36" t="s">
        <v>1683</v>
      </c>
      <c r="E4545" s="36">
        <v>17630.5</v>
      </c>
      <c r="F4545" s="178" t="s">
        <v>789</v>
      </c>
    </row>
    <row r="4546">
      <c r="A4546" s="250">
        <v>45987.64606888889</v>
      </c>
      <c r="B4546" s="251" t="s">
        <v>2322</v>
      </c>
      <c r="C4546" s="178" t="s">
        <v>5614</v>
      </c>
      <c r="D4546" s="36">
        <v>17730.5</v>
      </c>
      <c r="E4546" s="36" t="s">
        <v>1683</v>
      </c>
      <c r="F4546" s="178" t="s">
        <v>789</v>
      </c>
    </row>
    <row r="4547">
      <c r="A4547" s="250">
        <v>45987.64606888889</v>
      </c>
      <c r="B4547" s="251" t="s">
        <v>1802</v>
      </c>
      <c r="C4547" s="178" t="s">
        <v>5604</v>
      </c>
      <c r="D4547" s="36" t="s">
        <v>1683</v>
      </c>
      <c r="E4547" s="36">
        <v>17730.5</v>
      </c>
      <c r="F4547" s="178" t="s">
        <v>789</v>
      </c>
    </row>
    <row r="4548">
      <c r="A4548" s="250">
        <v>45987.64610888889</v>
      </c>
      <c r="B4548" s="251" t="s">
        <v>5232</v>
      </c>
      <c r="C4548" s="178" t="s">
        <v>5615</v>
      </c>
      <c r="D4548" s="36">
        <v>17630.5</v>
      </c>
      <c r="E4548" s="36" t="s">
        <v>1683</v>
      </c>
      <c r="F4548" s="178" t="s">
        <v>789</v>
      </c>
    </row>
    <row r="4549">
      <c r="A4549" s="250">
        <v>45987.64610888889</v>
      </c>
      <c r="B4549" s="251" t="s">
        <v>1802</v>
      </c>
      <c r="C4549" s="178" t="s">
        <v>5606</v>
      </c>
      <c r="D4549" s="36" t="s">
        <v>1683</v>
      </c>
      <c r="E4549" s="36">
        <v>17630.5</v>
      </c>
      <c r="F4549" s="178" t="s">
        <v>789</v>
      </c>
    </row>
    <row r="4550">
      <c r="A4550" s="250">
        <v>45987.67135333333</v>
      </c>
      <c r="B4550" s="251" t="s">
        <v>3046</v>
      </c>
      <c r="C4550" s="178" t="s">
        <v>5616</v>
      </c>
      <c r="D4550" s="36">
        <v>291320.0</v>
      </c>
      <c r="E4550" s="36" t="s">
        <v>1683</v>
      </c>
      <c r="F4550" s="178" t="s">
        <v>386</v>
      </c>
    </row>
    <row r="4551">
      <c r="A4551" s="250">
        <v>45987.67135333333</v>
      </c>
      <c r="B4551" s="251" t="s">
        <v>1802</v>
      </c>
      <c r="C4551" s="178" t="s">
        <v>5610</v>
      </c>
      <c r="D4551" s="36" t="s">
        <v>1683</v>
      </c>
      <c r="E4551" s="36">
        <v>291320.0</v>
      </c>
      <c r="F4551" s="178" t="s">
        <v>386</v>
      </c>
    </row>
    <row r="4552">
      <c r="A4552" s="250">
        <v>45987.80756444444</v>
      </c>
      <c r="B4552" s="251" t="s">
        <v>5617</v>
      </c>
      <c r="C4552" s="178" t="s">
        <v>5618</v>
      </c>
      <c r="D4552" s="36">
        <v>414624.0</v>
      </c>
      <c r="E4552" s="36" t="s">
        <v>1683</v>
      </c>
      <c r="F4552" s="178" t="s">
        <v>584</v>
      </c>
    </row>
    <row r="4553">
      <c r="A4553" s="250">
        <v>45987.80756444444</v>
      </c>
      <c r="B4553" s="251" t="s">
        <v>1698</v>
      </c>
      <c r="C4553" s="178" t="s">
        <v>5576</v>
      </c>
      <c r="D4553" s="36" t="s">
        <v>1683</v>
      </c>
      <c r="E4553" s="36">
        <v>414624.0</v>
      </c>
      <c r="F4553" s="178" t="s">
        <v>584</v>
      </c>
    </row>
    <row r="4554">
      <c r="A4554" s="250">
        <v>45988.43552666667</v>
      </c>
      <c r="B4554" s="251" t="s">
        <v>2613</v>
      </c>
      <c r="C4554" s="178" t="s">
        <v>5619</v>
      </c>
      <c r="D4554" s="36">
        <v>17440.0</v>
      </c>
      <c r="E4554" s="36" t="s">
        <v>1683</v>
      </c>
      <c r="F4554" s="178" t="s">
        <v>764</v>
      </c>
    </row>
    <row r="4555">
      <c r="A4555" s="250">
        <v>45988.43552666667</v>
      </c>
      <c r="B4555" s="251" t="s">
        <v>1802</v>
      </c>
      <c r="C4555" s="178" t="s">
        <v>5588</v>
      </c>
      <c r="D4555" s="36" t="s">
        <v>1683</v>
      </c>
      <c r="E4555" s="36">
        <v>17440.0</v>
      </c>
      <c r="F4555" s="178" t="s">
        <v>764</v>
      </c>
    </row>
    <row r="4556">
      <c r="A4556" s="250">
        <v>45988.435926666665</v>
      </c>
      <c r="B4556" s="251" t="s">
        <v>5620</v>
      </c>
      <c r="C4556" s="178" t="s">
        <v>5621</v>
      </c>
      <c r="D4556" s="36">
        <v>17440.0</v>
      </c>
      <c r="E4556" s="36" t="s">
        <v>1683</v>
      </c>
      <c r="F4556" s="178" t="s">
        <v>764</v>
      </c>
    </row>
    <row r="4557">
      <c r="A4557" s="250">
        <v>45988.435926666665</v>
      </c>
      <c r="B4557" s="251" t="s">
        <v>1802</v>
      </c>
      <c r="C4557" s="178" t="s">
        <v>5592</v>
      </c>
      <c r="D4557" s="36" t="s">
        <v>1683</v>
      </c>
      <c r="E4557" s="36">
        <v>17440.0</v>
      </c>
      <c r="F4557" s="178" t="s">
        <v>764</v>
      </c>
    </row>
    <row r="4558">
      <c r="A4558" s="250">
        <v>45988.43593666667</v>
      </c>
      <c r="B4558" s="251" t="s">
        <v>5622</v>
      </c>
      <c r="C4558" s="178" t="s">
        <v>5623</v>
      </c>
      <c r="D4558" s="36">
        <v>17440.0</v>
      </c>
      <c r="E4558" s="36" t="s">
        <v>1683</v>
      </c>
      <c r="F4558" s="178" t="s">
        <v>764</v>
      </c>
    </row>
    <row r="4559">
      <c r="A4559" s="250">
        <v>45988.43593666667</v>
      </c>
      <c r="B4559" s="251" t="s">
        <v>1802</v>
      </c>
      <c r="C4559" s="178" t="s">
        <v>5594</v>
      </c>
      <c r="D4559" s="36" t="s">
        <v>1683</v>
      </c>
      <c r="E4559" s="36">
        <v>17440.0</v>
      </c>
      <c r="F4559" s="178" t="s">
        <v>764</v>
      </c>
    </row>
    <row r="4560">
      <c r="A4560" s="250">
        <v>45988.43601666667</v>
      </c>
      <c r="B4560" s="251" t="s">
        <v>2641</v>
      </c>
      <c r="C4560" s="178" t="s">
        <v>5624</v>
      </c>
      <c r="D4560" s="36">
        <v>17440.0</v>
      </c>
      <c r="E4560" s="36" t="s">
        <v>1683</v>
      </c>
      <c r="F4560" s="178" t="s">
        <v>764</v>
      </c>
    </row>
    <row r="4561">
      <c r="A4561" s="250">
        <v>45988.43601666667</v>
      </c>
      <c r="B4561" s="251" t="s">
        <v>1802</v>
      </c>
      <c r="C4561" s="178" t="s">
        <v>5596</v>
      </c>
      <c r="D4561" s="36" t="s">
        <v>1683</v>
      </c>
      <c r="E4561" s="36">
        <v>17440.0</v>
      </c>
      <c r="F4561" s="178" t="s">
        <v>764</v>
      </c>
    </row>
    <row r="4562">
      <c r="A4562" s="250">
        <v>45988.436056666666</v>
      </c>
      <c r="B4562" s="251" t="s">
        <v>5625</v>
      </c>
      <c r="C4562" s="178" t="s">
        <v>5626</v>
      </c>
      <c r="D4562" s="36">
        <v>17440.0</v>
      </c>
      <c r="E4562" s="36" t="s">
        <v>1683</v>
      </c>
      <c r="F4562" s="178" t="s">
        <v>764</v>
      </c>
    </row>
    <row r="4563">
      <c r="A4563" s="250">
        <v>45988.436056666666</v>
      </c>
      <c r="B4563" s="251" t="s">
        <v>1802</v>
      </c>
      <c r="C4563" s="178" t="s">
        <v>5598</v>
      </c>
      <c r="D4563" s="36" t="s">
        <v>1683</v>
      </c>
      <c r="E4563" s="36">
        <v>17440.0</v>
      </c>
      <c r="F4563" s="178" t="s">
        <v>764</v>
      </c>
    </row>
    <row r="4564">
      <c r="A4564" s="250">
        <v>45988.61736111111</v>
      </c>
      <c r="B4564" s="251" t="s">
        <v>4332</v>
      </c>
      <c r="C4564" s="178" t="s">
        <v>5627</v>
      </c>
      <c r="D4564" s="36">
        <v>52640.0</v>
      </c>
      <c r="E4564" s="36" t="s">
        <v>1683</v>
      </c>
      <c r="F4564" s="178" t="s">
        <v>615</v>
      </c>
    </row>
    <row r="4565">
      <c r="A4565" s="250">
        <v>45988.61736111111</v>
      </c>
      <c r="B4565" s="251" t="s">
        <v>1802</v>
      </c>
      <c r="C4565" s="178" t="s">
        <v>5586</v>
      </c>
      <c r="D4565" s="36" t="s">
        <v>1683</v>
      </c>
      <c r="E4565" s="36">
        <v>52640.0</v>
      </c>
      <c r="F4565" s="178" t="s">
        <v>615</v>
      </c>
    </row>
    <row r="4566">
      <c r="A4566" s="250">
        <v>45988.61828111111</v>
      </c>
      <c r="B4566" s="251" t="s">
        <v>4216</v>
      </c>
      <c r="C4566" s="178" t="s">
        <v>5628</v>
      </c>
      <c r="D4566" s="36">
        <v>117640.0</v>
      </c>
      <c r="E4566" s="36" t="s">
        <v>1683</v>
      </c>
      <c r="F4566" s="178" t="s">
        <v>615</v>
      </c>
    </row>
    <row r="4567">
      <c r="A4567" s="250">
        <v>45988.61828111111</v>
      </c>
      <c r="B4567" s="251" t="s">
        <v>1802</v>
      </c>
      <c r="C4567" s="178" t="s">
        <v>5602</v>
      </c>
      <c r="D4567" s="36" t="s">
        <v>1683</v>
      </c>
      <c r="E4567" s="36">
        <v>117640.0</v>
      </c>
      <c r="F4567" s="178" t="s">
        <v>615</v>
      </c>
    </row>
    <row r="4568">
      <c r="A4568" s="250">
        <v>45989.62414111111</v>
      </c>
      <c r="B4568" s="251" t="s">
        <v>2345</v>
      </c>
      <c r="C4568" s="178" t="s">
        <v>5629</v>
      </c>
      <c r="D4568" s="36">
        <v>284825.0</v>
      </c>
      <c r="E4568" s="36" t="s">
        <v>1683</v>
      </c>
      <c r="F4568" s="178" t="s">
        <v>578</v>
      </c>
    </row>
    <row r="4569">
      <c r="A4569" s="250">
        <v>45989.62414111111</v>
      </c>
      <c r="B4569" s="251" t="s">
        <v>1802</v>
      </c>
      <c r="C4569" s="178" t="s">
        <v>5608</v>
      </c>
      <c r="D4569" s="36" t="s">
        <v>1683</v>
      </c>
      <c r="E4569" s="36">
        <v>284825.0</v>
      </c>
      <c r="F4569" s="178" t="s">
        <v>578</v>
      </c>
    </row>
    <row r="4570">
      <c r="A4570" s="250">
        <v>45990.431260000005</v>
      </c>
      <c r="B4570" s="251" t="s">
        <v>4088</v>
      </c>
      <c r="C4570" s="178" t="s">
        <v>5630</v>
      </c>
      <c r="D4570" s="36">
        <v>222053.5</v>
      </c>
      <c r="E4570" s="36" t="s">
        <v>1683</v>
      </c>
      <c r="F4570" s="178" t="s">
        <v>907</v>
      </c>
    </row>
    <row r="4571">
      <c r="A4571" s="250">
        <v>45990.431260000005</v>
      </c>
      <c r="B4571" s="251" t="s">
        <v>1698</v>
      </c>
      <c r="C4571" s="178" t="s">
        <v>5566</v>
      </c>
      <c r="D4571" s="36" t="s">
        <v>1683</v>
      </c>
      <c r="E4571" s="36">
        <v>222053.5</v>
      </c>
      <c r="F4571" s="178" t="s">
        <v>907</v>
      </c>
    </row>
    <row r="4572">
      <c r="A4572" s="250">
        <v>45990.431560000005</v>
      </c>
      <c r="B4572" s="251" t="s">
        <v>3491</v>
      </c>
      <c r="C4572" s="178" t="s">
        <v>5631</v>
      </c>
      <c r="D4572" s="36">
        <v>455803.5</v>
      </c>
      <c r="E4572" s="36" t="s">
        <v>1683</v>
      </c>
      <c r="F4572" s="178" t="s">
        <v>907</v>
      </c>
    </row>
    <row r="4573">
      <c r="A4573" s="250">
        <v>45990.431560000005</v>
      </c>
      <c r="B4573" s="251" t="s">
        <v>1698</v>
      </c>
      <c r="C4573" s="178" t="s">
        <v>5572</v>
      </c>
      <c r="D4573" s="36" t="s">
        <v>1683</v>
      </c>
      <c r="E4573" s="36">
        <v>455803.5</v>
      </c>
      <c r="F4573" s="178" t="s">
        <v>907</v>
      </c>
    </row>
    <row r="4574">
      <c r="A4574" s="250">
        <v>45990.55444666667</v>
      </c>
      <c r="B4574" s="251" t="s">
        <v>2000</v>
      </c>
      <c r="C4574" s="178" t="s">
        <v>5632</v>
      </c>
      <c r="D4574" s="36">
        <v>31911.333333333336</v>
      </c>
      <c r="E4574" s="36" t="s">
        <v>1683</v>
      </c>
      <c r="F4574" s="178" t="s">
        <v>652</v>
      </c>
    </row>
    <row r="4575">
      <c r="A4575" s="250">
        <v>45990.55444666667</v>
      </c>
      <c r="B4575" s="251" t="s">
        <v>1698</v>
      </c>
      <c r="C4575" s="178" t="s">
        <v>5568</v>
      </c>
      <c r="D4575" s="36" t="s">
        <v>1683</v>
      </c>
      <c r="E4575" s="36">
        <v>31911.333333333336</v>
      </c>
      <c r="F4575" s="178" t="s">
        <v>652</v>
      </c>
    </row>
    <row r="4576">
      <c r="A4576" s="250">
        <v>45990.554566666666</v>
      </c>
      <c r="B4576" s="251" t="s">
        <v>5504</v>
      </c>
      <c r="C4576" s="178" t="s">
        <v>5633</v>
      </c>
      <c r="D4576" s="36">
        <v>21286.333333333332</v>
      </c>
      <c r="E4576" s="36" t="s">
        <v>1683</v>
      </c>
      <c r="F4576" s="178" t="s">
        <v>652</v>
      </c>
    </row>
    <row r="4577">
      <c r="A4577" s="250">
        <v>45990.554566666666</v>
      </c>
      <c r="B4577" s="251" t="s">
        <v>1698</v>
      </c>
      <c r="C4577" s="178" t="s">
        <v>5574</v>
      </c>
      <c r="D4577" s="36" t="s">
        <v>1683</v>
      </c>
      <c r="E4577" s="36">
        <v>21286.333333333332</v>
      </c>
      <c r="F4577" s="178" t="s">
        <v>652</v>
      </c>
    </row>
    <row r="4578">
      <c r="A4578" s="250">
        <v>45990.55492666667</v>
      </c>
      <c r="B4578" s="251" t="s">
        <v>5510</v>
      </c>
      <c r="C4578" s="178" t="s">
        <v>5634</v>
      </c>
      <c r="D4578" s="36">
        <v>106286.33333333333</v>
      </c>
      <c r="E4578" s="36" t="s">
        <v>1683</v>
      </c>
      <c r="F4578" s="178" t="s">
        <v>652</v>
      </c>
    </row>
    <row r="4579">
      <c r="A4579" s="250">
        <v>45990.55492666667</v>
      </c>
      <c r="B4579" s="251" t="s">
        <v>1698</v>
      </c>
      <c r="C4579" s="178" t="s">
        <v>5578</v>
      </c>
      <c r="D4579" s="36" t="s">
        <v>1683</v>
      </c>
      <c r="E4579" s="36">
        <v>106286.33333333333</v>
      </c>
      <c r="F4579" s="178" t="s">
        <v>652</v>
      </c>
    </row>
    <row r="4580">
      <c r="A4580" s="250">
        <v>45990.55494666667</v>
      </c>
      <c r="B4580" s="251" t="s">
        <v>5512</v>
      </c>
      <c r="C4580" s="178" t="s">
        <v>5635</v>
      </c>
      <c r="D4580" s="36">
        <v>106286.33333333333</v>
      </c>
      <c r="E4580" s="36" t="s">
        <v>1683</v>
      </c>
      <c r="F4580" s="178" t="s">
        <v>652</v>
      </c>
    </row>
    <row r="4581">
      <c r="A4581" s="250">
        <v>45990.55494666667</v>
      </c>
      <c r="B4581" s="251" t="s">
        <v>1698</v>
      </c>
      <c r="C4581" s="178" t="s">
        <v>5580</v>
      </c>
      <c r="D4581" s="36" t="s">
        <v>1683</v>
      </c>
      <c r="E4581" s="36">
        <v>106286.33333333333</v>
      </c>
      <c r="F4581" s="178" t="s">
        <v>652</v>
      </c>
    </row>
    <row r="4582">
      <c r="A4582" s="250">
        <v>45990.55500666667</v>
      </c>
      <c r="B4582" s="251" t="s">
        <v>5515</v>
      </c>
      <c r="C4582" s="178" t="s">
        <v>5636</v>
      </c>
      <c r="D4582" s="36">
        <v>53161.333333333336</v>
      </c>
      <c r="E4582" s="36" t="s">
        <v>1683</v>
      </c>
      <c r="F4582" s="178" t="s">
        <v>652</v>
      </c>
    </row>
    <row r="4583">
      <c r="A4583" s="250">
        <v>45990.55500666667</v>
      </c>
      <c r="B4583" s="251" t="s">
        <v>1698</v>
      </c>
      <c r="C4583" s="178" t="s">
        <v>5582</v>
      </c>
      <c r="D4583" s="36" t="s">
        <v>1683</v>
      </c>
      <c r="E4583" s="36">
        <v>53161.333333333336</v>
      </c>
      <c r="F4583" s="178" t="s">
        <v>652</v>
      </c>
    </row>
    <row r="4584">
      <c r="A4584" s="250">
        <v>45990.55502666667</v>
      </c>
      <c r="B4584" s="251" t="s">
        <v>5517</v>
      </c>
      <c r="C4584" s="178" t="s">
        <v>5637</v>
      </c>
      <c r="D4584" s="36">
        <v>42536.333333333336</v>
      </c>
      <c r="E4584" s="36" t="s">
        <v>1683</v>
      </c>
      <c r="F4584" s="178" t="s">
        <v>652</v>
      </c>
    </row>
    <row r="4585">
      <c r="A4585" s="250">
        <v>45990.55502666667</v>
      </c>
      <c r="B4585" s="251" t="s">
        <v>1698</v>
      </c>
      <c r="C4585" s="178" t="s">
        <v>5584</v>
      </c>
      <c r="D4585" s="36" t="s">
        <v>1683</v>
      </c>
      <c r="E4585" s="36">
        <v>42536.333333333336</v>
      </c>
      <c r="F4585" s="178" t="s">
        <v>652</v>
      </c>
    </row>
    <row r="4586">
      <c r="A4586" s="250">
        <v>45990.571123333335</v>
      </c>
      <c r="B4586" s="251" t="s">
        <v>4807</v>
      </c>
      <c r="C4586" s="178" t="s">
        <v>5638</v>
      </c>
      <c r="D4586" s="36">
        <v>212626.0</v>
      </c>
      <c r="E4586" s="36" t="s">
        <v>1683</v>
      </c>
      <c r="F4586" s="178" t="s">
        <v>747</v>
      </c>
    </row>
    <row r="4587">
      <c r="A4587" s="250">
        <v>45990.571123333335</v>
      </c>
      <c r="B4587" s="251" t="s">
        <v>1698</v>
      </c>
      <c r="C4587" s="178" t="s">
        <v>5570</v>
      </c>
      <c r="D4587" s="36" t="s">
        <v>1683</v>
      </c>
      <c r="E4587" s="36">
        <v>212626.0</v>
      </c>
      <c r="F4587" s="178" t="s">
        <v>747</v>
      </c>
    </row>
    <row r="4588">
      <c r="A4588" s="250">
        <v>45996.71610222222</v>
      </c>
      <c r="B4588" s="251" t="s">
        <v>3006</v>
      </c>
      <c r="C4588" s="178" t="s">
        <v>5639</v>
      </c>
      <c r="D4588" s="36">
        <v>1040409.0</v>
      </c>
      <c r="E4588" s="36" t="s">
        <v>1683</v>
      </c>
      <c r="F4588" s="178" t="s">
        <v>104</v>
      </c>
    </row>
    <row r="4589">
      <c r="A4589" s="250">
        <v>45996.71610222222</v>
      </c>
      <c r="B4589" s="251" t="s">
        <v>1684</v>
      </c>
      <c r="C4589" s="178" t="s">
        <v>5640</v>
      </c>
      <c r="D4589" s="36" t="s">
        <v>1683</v>
      </c>
      <c r="E4589" s="36">
        <v>1040409.0</v>
      </c>
      <c r="F4589" s="178" t="s">
        <v>104</v>
      </c>
    </row>
    <row r="4590">
      <c r="A4590" s="250">
        <v>46002.59503444445</v>
      </c>
      <c r="B4590" s="251" t="s">
        <v>2068</v>
      </c>
      <c r="C4590" s="178" t="s">
        <v>5641</v>
      </c>
      <c r="D4590" s="36">
        <v>46288.0</v>
      </c>
      <c r="E4590" s="36" t="s">
        <v>1683</v>
      </c>
      <c r="F4590" s="178" t="s">
        <v>177</v>
      </c>
    </row>
    <row r="4591">
      <c r="A4591" s="250">
        <v>46002.59503444445</v>
      </c>
      <c r="B4591" s="251" t="s">
        <v>1698</v>
      </c>
      <c r="C4591" s="178" t="s">
        <v>5541</v>
      </c>
      <c r="D4591" s="36" t="s">
        <v>1683</v>
      </c>
      <c r="E4591" s="36">
        <v>46288.0</v>
      </c>
      <c r="F4591" s="178" t="s">
        <v>177</v>
      </c>
    </row>
    <row r="4592">
      <c r="A4592" s="250">
        <v>46002.59509444445</v>
      </c>
      <c r="B4592" s="251" t="s">
        <v>2064</v>
      </c>
      <c r="C4592" s="178" t="s">
        <v>5642</v>
      </c>
      <c r="D4592" s="36">
        <v>1025413.0</v>
      </c>
      <c r="E4592" s="36" t="s">
        <v>1683</v>
      </c>
      <c r="F4592" s="178" t="s">
        <v>177</v>
      </c>
    </row>
    <row r="4593">
      <c r="A4593" s="250">
        <v>46002.59509444445</v>
      </c>
      <c r="B4593" s="251" t="s">
        <v>1698</v>
      </c>
      <c r="C4593" s="178" t="s">
        <v>5543</v>
      </c>
      <c r="D4593" s="36" t="s">
        <v>1683</v>
      </c>
      <c r="E4593" s="36">
        <v>1025413.0</v>
      </c>
      <c r="F4593" s="178" t="s">
        <v>177</v>
      </c>
    </row>
    <row r="4594">
      <c r="A4594" s="250">
        <v>46002.675784444444</v>
      </c>
      <c r="B4594" s="251" t="s">
        <v>1693</v>
      </c>
      <c r="C4594" s="178" t="s">
        <v>5643</v>
      </c>
      <c r="D4594" s="36">
        <v>680697.0</v>
      </c>
      <c r="E4594" s="36" t="s">
        <v>1683</v>
      </c>
      <c r="F4594" s="178" t="s">
        <v>452</v>
      </c>
    </row>
    <row r="4595">
      <c r="A4595" s="250">
        <v>46002.675784444444</v>
      </c>
      <c r="B4595" s="251" t="s">
        <v>1684</v>
      </c>
      <c r="C4595" s="178" t="s">
        <v>5644</v>
      </c>
      <c r="D4595" s="36" t="s">
        <v>1683</v>
      </c>
      <c r="E4595" s="36">
        <v>680697.0</v>
      </c>
      <c r="F4595" s="178" t="s">
        <v>452</v>
      </c>
    </row>
    <row r="4596">
      <c r="A4596" s="250">
        <v>46002.67633444444</v>
      </c>
      <c r="B4596" s="251" t="s">
        <v>1693</v>
      </c>
      <c r="C4596" s="178" t="s">
        <v>5645</v>
      </c>
      <c r="D4596" s="36">
        <v>454676.0</v>
      </c>
      <c r="E4596" s="36" t="s">
        <v>1683</v>
      </c>
      <c r="F4596" s="178" t="s">
        <v>288</v>
      </c>
    </row>
    <row r="4597">
      <c r="A4597" s="250">
        <v>46002.67633444444</v>
      </c>
      <c r="B4597" s="251" t="s">
        <v>1684</v>
      </c>
      <c r="C4597" s="178" t="s">
        <v>5646</v>
      </c>
      <c r="D4597" s="36" t="s">
        <v>1683</v>
      </c>
      <c r="E4597" s="36">
        <v>454676.0</v>
      </c>
      <c r="F4597" s="178" t="s">
        <v>288</v>
      </c>
    </row>
    <row r="4598">
      <c r="A4598" s="250">
        <v>46002.682814444444</v>
      </c>
      <c r="B4598" s="251" t="s">
        <v>1613</v>
      </c>
      <c r="C4598" s="178" t="s">
        <v>5647</v>
      </c>
      <c r="D4598" s="36">
        <v>25800.0</v>
      </c>
      <c r="E4598" s="36" t="s">
        <v>1683</v>
      </c>
      <c r="F4598" s="178" t="s">
        <v>1676</v>
      </c>
    </row>
    <row r="4599">
      <c r="A4599" s="250">
        <v>46002.682814444444</v>
      </c>
      <c r="B4599" s="251" t="s">
        <v>1684</v>
      </c>
      <c r="C4599" s="178" t="s">
        <v>5648</v>
      </c>
      <c r="D4599" s="36" t="s">
        <v>1683</v>
      </c>
      <c r="E4599" s="36">
        <v>25800.0</v>
      </c>
      <c r="F4599" s="178" t="s">
        <v>1676</v>
      </c>
    </row>
    <row r="4600">
      <c r="A4600" s="250">
        <v>46002.68827</v>
      </c>
      <c r="B4600" s="251" t="s">
        <v>1693</v>
      </c>
      <c r="C4600" s="178" t="s">
        <v>5649</v>
      </c>
      <c r="D4600" s="36">
        <v>122040.0</v>
      </c>
      <c r="E4600" s="36" t="s">
        <v>1683</v>
      </c>
      <c r="F4600" s="178" t="s">
        <v>600</v>
      </c>
    </row>
    <row r="4601">
      <c r="A4601" s="250">
        <v>46002.68827</v>
      </c>
      <c r="B4601" s="251" t="s">
        <v>1684</v>
      </c>
      <c r="C4601" s="178" t="s">
        <v>5650</v>
      </c>
      <c r="D4601" s="36" t="s">
        <v>1683</v>
      </c>
      <c r="E4601" s="36">
        <v>122040.0</v>
      </c>
      <c r="F4601" s="178" t="s">
        <v>600</v>
      </c>
    </row>
    <row r="4602">
      <c r="A4602" s="250">
        <v>46003.00691</v>
      </c>
      <c r="B4602" s="251" t="s">
        <v>1693</v>
      </c>
      <c r="C4602" s="178" t="s">
        <v>5651</v>
      </c>
      <c r="D4602" s="36">
        <v>2818.0</v>
      </c>
      <c r="E4602" s="36" t="s">
        <v>1683</v>
      </c>
      <c r="F4602" s="178" t="s">
        <v>591</v>
      </c>
    </row>
    <row r="4603">
      <c r="A4603" s="250">
        <v>46003.00691</v>
      </c>
      <c r="B4603" s="251" t="s">
        <v>1684</v>
      </c>
      <c r="C4603" s="178" t="s">
        <v>5652</v>
      </c>
      <c r="D4603" s="36" t="s">
        <v>1683</v>
      </c>
      <c r="E4603" s="36">
        <v>2818.0</v>
      </c>
      <c r="F4603" s="178" t="s">
        <v>591</v>
      </c>
    </row>
    <row r="4604">
      <c r="A4604" s="250">
        <v>46003.02076888889</v>
      </c>
      <c r="B4604" s="251" t="s">
        <v>1693</v>
      </c>
      <c r="C4604" s="178" t="s">
        <v>5653</v>
      </c>
      <c r="D4604" s="36">
        <v>497393.0</v>
      </c>
      <c r="E4604" s="36" t="s">
        <v>1683</v>
      </c>
      <c r="F4604" s="178" t="s">
        <v>286</v>
      </c>
    </row>
    <row r="4605">
      <c r="A4605" s="250">
        <v>46003.02076888889</v>
      </c>
      <c r="B4605" s="251" t="s">
        <v>1684</v>
      </c>
      <c r="C4605" s="178" t="s">
        <v>5654</v>
      </c>
      <c r="D4605" s="36" t="s">
        <v>1683</v>
      </c>
      <c r="E4605" s="36">
        <v>497393.0</v>
      </c>
      <c r="F4605" s="178" t="s">
        <v>286</v>
      </c>
    </row>
    <row r="4606">
      <c r="A4606" s="250">
        <v>46003.02078888889</v>
      </c>
      <c r="B4606" s="251" t="s">
        <v>1693</v>
      </c>
      <c r="C4606" s="178" t="s">
        <v>5655</v>
      </c>
      <c r="D4606" s="36">
        <v>853423.0</v>
      </c>
      <c r="E4606" s="36" t="s">
        <v>1683</v>
      </c>
      <c r="F4606" s="178" t="s">
        <v>590</v>
      </c>
    </row>
    <row r="4607">
      <c r="A4607" s="250">
        <v>46003.02078888889</v>
      </c>
      <c r="B4607" s="251" t="s">
        <v>1684</v>
      </c>
      <c r="C4607" s="178" t="s">
        <v>5656</v>
      </c>
      <c r="D4607" s="36" t="s">
        <v>1683</v>
      </c>
      <c r="E4607" s="36">
        <v>853423.0</v>
      </c>
      <c r="F4607" s="178" t="s">
        <v>590</v>
      </c>
    </row>
    <row r="4608">
      <c r="A4608" s="250">
        <v>46003.61045666667</v>
      </c>
      <c r="B4608" s="251" t="s">
        <v>1896</v>
      </c>
      <c r="C4608" s="178" t="s">
        <v>5657</v>
      </c>
      <c r="D4608" s="36">
        <v>5069436.0</v>
      </c>
      <c r="E4608" s="36" t="s">
        <v>1683</v>
      </c>
      <c r="F4608" s="178" t="s">
        <v>36</v>
      </c>
    </row>
    <row r="4609">
      <c r="A4609" s="250">
        <v>46003.61045666667</v>
      </c>
      <c r="B4609" s="251" t="s">
        <v>3242</v>
      </c>
      <c r="C4609" s="178" t="s">
        <v>5493</v>
      </c>
      <c r="D4609" s="36" t="s">
        <v>1683</v>
      </c>
      <c r="E4609" s="36">
        <v>5069436.0</v>
      </c>
      <c r="F4609" s="178" t="s">
        <v>36</v>
      </c>
    </row>
    <row r="4610">
      <c r="A4610" s="250">
        <v>46003.61075666667</v>
      </c>
      <c r="B4610" s="251" t="s">
        <v>2685</v>
      </c>
      <c r="C4610" s="178" t="s">
        <v>5658</v>
      </c>
      <c r="D4610" s="36">
        <v>4367784.0</v>
      </c>
      <c r="E4610" s="36" t="s">
        <v>1683</v>
      </c>
      <c r="F4610" s="178" t="s">
        <v>366</v>
      </c>
    </row>
    <row r="4611">
      <c r="A4611" s="250">
        <v>46003.61075666667</v>
      </c>
      <c r="B4611" s="251" t="s">
        <v>3242</v>
      </c>
      <c r="C4611" s="178" t="s">
        <v>5497</v>
      </c>
      <c r="D4611" s="36" t="s">
        <v>1683</v>
      </c>
      <c r="E4611" s="36">
        <v>4367784.0</v>
      </c>
      <c r="F4611" s="178" t="s">
        <v>366</v>
      </c>
    </row>
    <row r="4612">
      <c r="A4612" s="250">
        <v>46003.626728888885</v>
      </c>
      <c r="B4612" s="251" t="s">
        <v>1693</v>
      </c>
      <c r="C4612" s="178" t="s">
        <v>5659</v>
      </c>
      <c r="D4612" s="36">
        <v>23076.0</v>
      </c>
      <c r="E4612" s="36" t="s">
        <v>1683</v>
      </c>
      <c r="F4612" s="178" t="s">
        <v>252</v>
      </c>
    </row>
    <row r="4613">
      <c r="A4613" s="250">
        <v>46003.626728888885</v>
      </c>
      <c r="B4613" s="251" t="s">
        <v>1684</v>
      </c>
      <c r="C4613" s="178" t="s">
        <v>5660</v>
      </c>
      <c r="D4613" s="36" t="s">
        <v>1683</v>
      </c>
      <c r="E4613" s="36">
        <v>23076.0</v>
      </c>
      <c r="F4613" s="178" t="s">
        <v>252</v>
      </c>
    </row>
    <row r="4614">
      <c r="A4614" s="250">
        <v>46003.63428333333</v>
      </c>
      <c r="B4614" s="251" t="s">
        <v>1693</v>
      </c>
      <c r="C4614" s="178" t="s">
        <v>5661</v>
      </c>
      <c r="D4614" s="36">
        <v>2079120.0</v>
      </c>
      <c r="E4614" s="36" t="s">
        <v>1683</v>
      </c>
      <c r="F4614" s="178" t="s">
        <v>987</v>
      </c>
    </row>
    <row r="4615">
      <c r="A4615" s="250">
        <v>46003.63428333333</v>
      </c>
      <c r="B4615" s="251" t="s">
        <v>1684</v>
      </c>
      <c r="C4615" s="178" t="s">
        <v>5662</v>
      </c>
      <c r="D4615" s="36" t="s">
        <v>1683</v>
      </c>
      <c r="E4615" s="36">
        <v>2079120.0</v>
      </c>
      <c r="F4615" s="178" t="s">
        <v>987</v>
      </c>
    </row>
    <row r="4616">
      <c r="A4616" s="250">
        <v>46004.79993555556</v>
      </c>
      <c r="B4616" s="251" t="s">
        <v>3418</v>
      </c>
      <c r="C4616" s="178" t="s">
        <v>5663</v>
      </c>
      <c r="D4616" s="36">
        <v>497393.0</v>
      </c>
      <c r="E4616" s="36" t="s">
        <v>1683</v>
      </c>
      <c r="F4616" s="178" t="s">
        <v>286</v>
      </c>
    </row>
    <row r="4617">
      <c r="A4617" s="250">
        <v>46004.79993555556</v>
      </c>
      <c r="B4617" s="251" t="s">
        <v>1698</v>
      </c>
      <c r="C4617" s="178" t="s">
        <v>5653</v>
      </c>
      <c r="D4617" s="36" t="s">
        <v>1683</v>
      </c>
      <c r="E4617" s="36">
        <v>497393.0</v>
      </c>
      <c r="F4617" s="178" t="s">
        <v>286</v>
      </c>
    </row>
    <row r="4618">
      <c r="A4618" s="250">
        <v>46004.81692222222</v>
      </c>
      <c r="B4618" s="251" t="s">
        <v>3392</v>
      </c>
      <c r="C4618" s="178" t="s">
        <v>5664</v>
      </c>
      <c r="D4618" s="36">
        <v>2079120.0</v>
      </c>
      <c r="E4618" s="36" t="s">
        <v>1683</v>
      </c>
      <c r="F4618" s="178" t="s">
        <v>987</v>
      </c>
    </row>
    <row r="4619">
      <c r="A4619" s="250">
        <v>46004.81692222222</v>
      </c>
      <c r="B4619" s="251" t="s">
        <v>1698</v>
      </c>
      <c r="C4619" s="178" t="s">
        <v>5661</v>
      </c>
      <c r="D4619" s="36" t="s">
        <v>1683</v>
      </c>
      <c r="E4619" s="36">
        <v>2079120.0</v>
      </c>
      <c r="F4619" s="178" t="s">
        <v>987</v>
      </c>
    </row>
    <row r="4620">
      <c r="A4620" s="250">
        <v>46005.42853222222</v>
      </c>
      <c r="B4620" s="251" t="s">
        <v>2841</v>
      </c>
      <c r="C4620" s="178" t="s">
        <v>5665</v>
      </c>
      <c r="D4620" s="36">
        <v>3197120.0</v>
      </c>
      <c r="E4620" s="36" t="s">
        <v>1683</v>
      </c>
      <c r="F4620" s="178" t="s">
        <v>333</v>
      </c>
    </row>
    <row r="4621">
      <c r="A4621" s="250">
        <v>46005.42853222222</v>
      </c>
      <c r="B4621" s="251" t="s">
        <v>3242</v>
      </c>
      <c r="C4621" s="178" t="s">
        <v>5495</v>
      </c>
      <c r="D4621" s="36" t="s">
        <v>1683</v>
      </c>
      <c r="E4621" s="36">
        <v>3197120.0</v>
      </c>
      <c r="F4621" s="178" t="s">
        <v>333</v>
      </c>
    </row>
    <row r="4622">
      <c r="A4622" s="250">
        <v>46005.436056666666</v>
      </c>
      <c r="B4622" s="251" t="s">
        <v>3418</v>
      </c>
      <c r="C4622" s="178" t="s">
        <v>5666</v>
      </c>
      <c r="D4622" s="36">
        <v>454676.0</v>
      </c>
      <c r="E4622" s="36" t="s">
        <v>1683</v>
      </c>
      <c r="F4622" s="178" t="s">
        <v>288</v>
      </c>
    </row>
    <row r="4623">
      <c r="A4623" s="250">
        <v>46005.436056666666</v>
      </c>
      <c r="B4623" s="251" t="s">
        <v>1698</v>
      </c>
      <c r="C4623" s="178" t="s">
        <v>5645</v>
      </c>
      <c r="D4623" s="36" t="s">
        <v>1683</v>
      </c>
      <c r="E4623" s="36">
        <v>454676.0</v>
      </c>
      <c r="F4623" s="178" t="s">
        <v>288</v>
      </c>
    </row>
    <row r="4624">
      <c r="A4624" s="250">
        <v>46005.44093777778</v>
      </c>
      <c r="B4624" s="251" t="s">
        <v>4076</v>
      </c>
      <c r="C4624" s="178" t="s">
        <v>5667</v>
      </c>
      <c r="D4624" s="36">
        <v>2818.0</v>
      </c>
      <c r="E4624" s="36" t="s">
        <v>1683</v>
      </c>
      <c r="F4624" s="178" t="s">
        <v>591</v>
      </c>
    </row>
    <row r="4625">
      <c r="A4625" s="250">
        <v>46005.44093777778</v>
      </c>
      <c r="B4625" s="251" t="s">
        <v>1698</v>
      </c>
      <c r="C4625" s="178" t="s">
        <v>5651</v>
      </c>
      <c r="D4625" s="36" t="s">
        <v>1683</v>
      </c>
      <c r="E4625" s="36">
        <v>2818.0</v>
      </c>
      <c r="F4625" s="178" t="s">
        <v>591</v>
      </c>
    </row>
    <row r="4626">
      <c r="A4626" s="250">
        <v>46005.80493666667</v>
      </c>
      <c r="B4626" s="251" t="s">
        <v>3913</v>
      </c>
      <c r="C4626" s="178" t="s">
        <v>5668</v>
      </c>
      <c r="D4626" s="36">
        <v>122040.0</v>
      </c>
      <c r="E4626" s="36" t="s">
        <v>1683</v>
      </c>
      <c r="F4626" s="178" t="s">
        <v>600</v>
      </c>
    </row>
    <row r="4627">
      <c r="A4627" s="250">
        <v>46005.80493666667</v>
      </c>
      <c r="B4627" s="251" t="s">
        <v>1698</v>
      </c>
      <c r="C4627" s="178" t="s">
        <v>5649</v>
      </c>
      <c r="D4627" s="36" t="s">
        <v>1683</v>
      </c>
      <c r="E4627" s="36">
        <v>122040.0</v>
      </c>
      <c r="F4627" s="178" t="s">
        <v>600</v>
      </c>
    </row>
    <row r="4628">
      <c r="A4628" s="250">
        <v>46006.47773333333</v>
      </c>
      <c r="B4628" s="251" t="s">
        <v>4076</v>
      </c>
      <c r="C4628" s="178" t="s">
        <v>5669</v>
      </c>
      <c r="D4628" s="36">
        <v>853423.0</v>
      </c>
      <c r="E4628" s="36" t="s">
        <v>1683</v>
      </c>
      <c r="F4628" s="178" t="s">
        <v>590</v>
      </c>
    </row>
    <row r="4629">
      <c r="A4629" s="250">
        <v>46006.47773333333</v>
      </c>
      <c r="B4629" s="251" t="s">
        <v>1698</v>
      </c>
      <c r="C4629" s="178" t="s">
        <v>5655</v>
      </c>
      <c r="D4629" s="36" t="s">
        <v>1683</v>
      </c>
      <c r="E4629" s="36">
        <v>853423.0</v>
      </c>
      <c r="F4629" s="178" t="s">
        <v>590</v>
      </c>
    </row>
    <row r="4630">
      <c r="A4630" s="250">
        <v>46007.66294</v>
      </c>
      <c r="B4630" s="251" t="s">
        <v>2489</v>
      </c>
      <c r="C4630" s="178" t="s">
        <v>5670</v>
      </c>
      <c r="D4630" s="36">
        <v>7795440.0</v>
      </c>
      <c r="E4630" s="36" t="s">
        <v>1683</v>
      </c>
      <c r="F4630" s="178" t="s">
        <v>379</v>
      </c>
    </row>
    <row r="4631">
      <c r="A4631" s="250">
        <v>46007.66294</v>
      </c>
      <c r="B4631" s="251" t="s">
        <v>3242</v>
      </c>
      <c r="C4631" s="178" t="s">
        <v>5499</v>
      </c>
      <c r="D4631" s="36" t="s">
        <v>1683</v>
      </c>
      <c r="E4631" s="36">
        <v>7795440.0</v>
      </c>
      <c r="F4631" s="178" t="s">
        <v>379</v>
      </c>
    </row>
    <row r="4632">
      <c r="A4632" s="250">
        <v>46008.52509</v>
      </c>
      <c r="B4632" s="251" t="s">
        <v>3916</v>
      </c>
      <c r="C4632" s="178" t="s">
        <v>5671</v>
      </c>
      <c r="D4632" s="36">
        <v>680697.0</v>
      </c>
      <c r="E4632" s="36" t="s">
        <v>1683</v>
      </c>
      <c r="F4632" s="178" t="s">
        <v>452</v>
      </c>
    </row>
    <row r="4633">
      <c r="A4633" s="250">
        <v>46008.52509</v>
      </c>
      <c r="B4633" s="251" t="s">
        <v>1698</v>
      </c>
      <c r="C4633" s="178" t="s">
        <v>5643</v>
      </c>
      <c r="D4633" s="36" t="s">
        <v>1683</v>
      </c>
      <c r="E4633" s="36">
        <v>680697.0</v>
      </c>
      <c r="F4633" s="178" t="s">
        <v>452</v>
      </c>
    </row>
    <row r="4634">
      <c r="A4634" s="250">
        <v>46008.92256222222</v>
      </c>
      <c r="B4634" s="251" t="s">
        <v>3396</v>
      </c>
      <c r="C4634" s="178" t="s">
        <v>5672</v>
      </c>
      <c r="D4634" s="36">
        <v>23076.0</v>
      </c>
      <c r="E4634" s="36" t="s">
        <v>1683</v>
      </c>
      <c r="F4634" s="178" t="s">
        <v>252</v>
      </c>
    </row>
    <row r="4635">
      <c r="A4635" s="250">
        <v>46008.92256222222</v>
      </c>
      <c r="B4635" s="251" t="s">
        <v>1698</v>
      </c>
      <c r="C4635" s="178" t="s">
        <v>5659</v>
      </c>
      <c r="D4635" s="36" t="s">
        <v>1683</v>
      </c>
      <c r="E4635" s="36">
        <v>23076.0</v>
      </c>
      <c r="F4635" s="178" t="s">
        <v>252</v>
      </c>
    </row>
    <row r="4636">
      <c r="A4636" s="250">
        <v>46012.67374111111</v>
      </c>
      <c r="B4636" s="251" t="s">
        <v>3020</v>
      </c>
      <c r="C4636" s="178" t="s">
        <v>5673</v>
      </c>
      <c r="D4636" s="36">
        <v>1040409.0</v>
      </c>
      <c r="E4636" s="36" t="s">
        <v>1683</v>
      </c>
      <c r="F4636" s="178" t="s">
        <v>104</v>
      </c>
    </row>
    <row r="4637">
      <c r="A4637" s="250">
        <v>46012.67374111111</v>
      </c>
      <c r="B4637" s="251" t="s">
        <v>3019</v>
      </c>
      <c r="C4637" s="178" t="s">
        <v>5639</v>
      </c>
      <c r="D4637" s="36" t="s">
        <v>1683</v>
      </c>
      <c r="E4637" s="36">
        <v>1040409.0</v>
      </c>
      <c r="F4637" s="178" t="s">
        <v>104</v>
      </c>
    </row>
    <row r="4638">
      <c r="A4638" s="250" t="s">
        <v>1683</v>
      </c>
      <c r="B4638" s="251" t="s">
        <v>1683</v>
      </c>
      <c r="C4638" s="178" t="s">
        <v>1683</v>
      </c>
      <c r="D4638" s="36" t="s">
        <v>1683</v>
      </c>
      <c r="E4638" s="36" t="s">
        <v>1683</v>
      </c>
      <c r="F4638" s="178" t="s">
        <v>1683</v>
      </c>
    </row>
    <row r="4639">
      <c r="A4639" s="250" t="s">
        <v>1683</v>
      </c>
      <c r="B4639" s="251" t="s">
        <v>1683</v>
      </c>
      <c r="C4639" s="178" t="s">
        <v>1683</v>
      </c>
      <c r="D4639" s="36" t="s">
        <v>1683</v>
      </c>
      <c r="E4639" s="36" t="s">
        <v>1683</v>
      </c>
      <c r="F4639" s="178" t="s">
        <v>1683</v>
      </c>
    </row>
    <row r="4640">
      <c r="A4640" s="250" t="s">
        <v>1683</v>
      </c>
      <c r="B4640" s="251" t="s">
        <v>1683</v>
      </c>
      <c r="C4640" s="178" t="s">
        <v>1683</v>
      </c>
      <c r="D4640" s="36" t="s">
        <v>1683</v>
      </c>
      <c r="E4640" s="36" t="s">
        <v>1683</v>
      </c>
      <c r="F4640" s="178" t="s">
        <v>1683</v>
      </c>
    </row>
    <row r="4641">
      <c r="A4641" s="250" t="s">
        <v>1683</v>
      </c>
      <c r="B4641" s="251" t="s">
        <v>1683</v>
      </c>
      <c r="C4641" s="178" t="s">
        <v>1683</v>
      </c>
      <c r="D4641" s="36" t="s">
        <v>1683</v>
      </c>
      <c r="E4641" s="36" t="s">
        <v>1683</v>
      </c>
      <c r="F4641" s="178" t="s">
        <v>1683</v>
      </c>
    </row>
    <row r="4642">
      <c r="A4642" s="250"/>
      <c r="B4642" s="251"/>
      <c r="C4642" s="178"/>
      <c r="D4642" s="36"/>
      <c r="E4642" s="36"/>
      <c r="F4642" s="178"/>
    </row>
    <row r="4643">
      <c r="A4643" s="250"/>
      <c r="B4643" s="251"/>
      <c r="C4643" s="178"/>
      <c r="D4643" s="36"/>
      <c r="E4643" s="36"/>
      <c r="F4643" s="17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38"/>
    <col customWidth="1" min="2" max="2" width="7.75"/>
    <col customWidth="1" min="3" max="3" width="6.88"/>
    <col customWidth="1" min="4" max="4" width="48.13"/>
    <col customWidth="1" min="5" max="5" width="10.88"/>
    <col customWidth="1" min="6" max="6" width="10.75"/>
    <col customWidth="1" min="7" max="7" width="8.38"/>
    <col customWidth="1" min="8" max="8" width="6.13"/>
    <col customWidth="1" min="9" max="9" width="5.25"/>
    <col customWidth="1" hidden="1" min="10" max="10" width="5.38"/>
    <col customWidth="1" hidden="1" min="11" max="12" width="5.25"/>
    <col customWidth="1" min="13" max="13" width="10.75"/>
    <col customWidth="1" min="14" max="14" width="9.5"/>
    <col customWidth="1" min="15" max="31" width="1.88"/>
  </cols>
  <sheetData>
    <row r="1">
      <c r="A1" s="166" t="str">
        <f t="array" ref="A1:A20">{"Alamat Penerima";
SORT(IF(UNIQUE(TRIM(UPPER({BisaStok!D3:D1123;BisaPindahBarang!C2:C1123;BisaPindahBarang!D2:D1123;BisaHilang!G2:G1123})))="",,UNIQUE(TRIM(UPPER({BisaStok!D3:D1123;BisaPindahBarang!C2:C1123;BisaPindahBarang!D2:D1123;BisaHilang!G2:G1123})))))}</f>
        <v>Alamat Penerima</v>
      </c>
      <c r="B1" s="166" t="str">
        <f t="array" ref="B1:B1123">{"Harga
Impor
Barang
(Rupiah)";IF(A2:A1123="",,IF(SUMIF(BisaStok!D3:D1123&amp;BisaStok!E3:E1123&amp;IF(BisaStok!C3:C1123&lt;2,FALSE,TRUE),A2:A1123&amp;TRUE&amp;FALSE,BisaStok!X3:X1123)&lt;1,,SUMIF(BisaStok!D3:D1123&amp;BisaStok!E3:E1123&amp;IF(BisaStok!C3:C1123&lt;2,FALSE,TRUE),A2:A1123&amp;TRUE&amp;FALSE,BisaStok!X3:X1123)))}</f>
        <v>Harga
Impor
Barang
(Rupiah)</v>
      </c>
      <c r="C1" s="167" t="str">
        <f>IFERROR(__xludf.DUMMYFUNCTION("ARRAYFORMULA({""Harga
Impor
Barang
(USD)"";If(B2:B1123="""",,B2:B1123/GOOGLEFINANCE(""CURRENCY:USDIDR""))})"),"Harga
Impor
Barang
(USD)")</f>
        <v>Harga
Impor
Barang
(USD)</v>
      </c>
      <c r="D1" s="166" t="str">
        <f t="array" ref="D1:F213">{"SKU","Tanggal Pesan Terakhir","HPP
Terakhir";
SORT({
SORT(UNIQUE(BisaSEO!A2:A1123)),IFERROR(IF(SORT(UNIQUE(BisaSEO!A2:A1123))="",,{
VLOOKUP(SORT(BisaSEO!A2:A1123),SORT({'Import-BisaJual'!A2:A1123,'Import-BisaJual'!B2:B1123},1,TRUE,2,FALSE),2,FALSE),
VLOOKUP(SORT(BisaSEO!A2:A1123),SORT({BisaStok!A3:A1123,BisaStok!B3:B1123,BisaStok!AC3:AC1123},1,TRUE,2,FALSE),3,FALSE)}),"")
},1,TRUE)}</f>
        <v>SKU</v>
      </c>
      <c r="E1" s="175" t="s">
        <v>1048</v>
      </c>
      <c r="F1" s="170" t="s">
        <v>1049</v>
      </c>
      <c r="G1" s="170" t="str">
        <f t="array" ref="G1:G1123">{"HPP Belum Terjual";IF(D2:D1123="",,F2:F1123*H2:H1123)}</f>
        <v>HPP Belum Terjual</v>
      </c>
      <c r="H1" s="252" t="str">
        <f t="array" ref="H1:H1123">{"Total
Stok";
IF(D2:D1123="",,IF(SUMIF(IF(COLUMN(M2:O1123),ROW(M2:O1123)),ROW(M2:O1123),M2:O1123)=0,,SUMIF(IF(COLUMN(M2:O1123),ROW(M2:O1123)),ROW(M2:O1123),M2:O1123)))}</f>
        <v>Total
Stok</v>
      </c>
      <c r="I1" s="252" t="str">
        <f t="array" ref="I1:I1123">{"1/2
Total
Stok";
IF(H2:H1123="",,ROUNDDOWN(H2:H1123/2,0))}</f>
        <v>1/2
Total
Stok</v>
      </c>
      <c r="J1" s="253" t="str">
        <f t="array" ref="J1:J1123">{"1/3
Total
Stok";
IF(H2:H1123="",,ROUNDDOWN(H2:H1123/3,0))}</f>
        <v>1/3
Total
Stok</v>
      </c>
      <c r="K1" s="253" t="str">
        <f t="array" ref="K1:K1123">{"40%
Total
Stok";
IF(H2:H1123="",,ROUNDDOWN(H2:H1123*40%,0))}</f>
        <v>40%
Total
Stok</v>
      </c>
      <c r="L1" s="253" t="str">
        <f t="array" ref="L1:L1123">{"20%
Total
Stok";
IF(H2:H1123="",,ROUNDDOWN(H2:H1123*20%,0))}</f>
        <v>20%
Total
Stok</v>
      </c>
      <c r="M1" s="176" t="str">
        <f t="array" ref="M1:AK623">TRANSPOSE(SORT(TRANSPOSE(IF(
ABS(BisaRekapGudangBackend!A1:AE1)&lt;0.5 +
(BisaRekapGudangBackend!A2:AE2="BCA ITBISA") + 
(BisaRekapGudangBackend!A2:AE2="BLIBLI ITBISA") + 
(BisaRekapGudangBackend!A2:AE2="BNI SYARIAH ITBISA") +
(BisaRekapGudangBackend!A2:AE2="BRI ITBISA") +
(BisaRekapGudangBackend!A2:AE2="MANDIRI ITBISA")
,,{BisaRekapGudangBackend!A2:AE2;IF(ABS(BisaRekapGudangBackend!A3:Y1123)&lt;1,,BisaRekapGudangBackend!A3:Y1123)}))))</f>
        <v>KERTASARI CIAMIS</v>
      </c>
      <c r="N1" s="177" t="s">
        <v>33</v>
      </c>
      <c r="O1" s="177"/>
      <c r="P1" s="177"/>
      <c r="Q1" s="177"/>
      <c r="R1" s="177"/>
      <c r="S1" s="177"/>
      <c r="T1" s="177"/>
      <c r="U1" s="177"/>
      <c r="V1" s="177"/>
      <c r="W1" s="177"/>
      <c r="X1" s="177"/>
      <c r="Y1" s="177"/>
      <c r="Z1" s="177"/>
      <c r="AA1" s="177"/>
      <c r="AB1" s="177"/>
      <c r="AC1" s="177"/>
      <c r="AD1" s="177"/>
      <c r="AE1" s="177"/>
    </row>
    <row r="2">
      <c r="A2" s="178" t="s">
        <v>66</v>
      </c>
      <c r="B2" s="36"/>
      <c r="C2" s="37"/>
      <c r="D2" s="254" t="s">
        <v>32</v>
      </c>
      <c r="E2" s="180">
        <v>46014.0</v>
      </c>
      <c r="F2" s="181">
        <v>675.9248</v>
      </c>
      <c r="G2" s="205">
        <v>4937630.664</v>
      </c>
      <c r="H2" s="205">
        <v>7305.0</v>
      </c>
      <c r="I2" s="255">
        <v>3652.0</v>
      </c>
      <c r="J2" s="256">
        <v>2435.0</v>
      </c>
      <c r="K2" s="257">
        <v>2922.0</v>
      </c>
      <c r="L2" s="257">
        <v>1461.0</v>
      </c>
      <c r="M2" s="258">
        <v>255.0</v>
      </c>
      <c r="N2" s="127">
        <v>7050.0</v>
      </c>
      <c r="O2" s="127"/>
      <c r="P2" s="127"/>
      <c r="Q2" s="127"/>
      <c r="R2" s="127"/>
      <c r="S2" s="127"/>
      <c r="T2" s="127"/>
      <c r="U2" s="127"/>
      <c r="V2" s="127"/>
      <c r="W2" s="127"/>
      <c r="X2" s="127"/>
      <c r="Y2" s="127"/>
      <c r="Z2" s="127"/>
      <c r="AA2" s="127"/>
      <c r="AB2" s="127"/>
      <c r="AC2" s="127"/>
      <c r="AD2" s="127"/>
      <c r="AE2" s="127"/>
    </row>
    <row r="3">
      <c r="A3" s="178" t="s">
        <v>828</v>
      </c>
      <c r="B3" s="36"/>
      <c r="C3" s="37"/>
      <c r="D3" s="254" t="s">
        <v>73</v>
      </c>
      <c r="E3" s="180">
        <v>46003.0</v>
      </c>
      <c r="F3" s="181">
        <v>2000.0</v>
      </c>
      <c r="G3" s="210">
        <v>4318000.0</v>
      </c>
      <c r="H3" s="205">
        <v>2159.0</v>
      </c>
      <c r="I3" s="255">
        <v>1079.0</v>
      </c>
      <c r="J3" s="256">
        <v>719.0</v>
      </c>
      <c r="K3" s="257">
        <v>863.0</v>
      </c>
      <c r="L3" s="257">
        <v>431.0</v>
      </c>
      <c r="M3" s="258">
        <v>519.0</v>
      </c>
      <c r="N3" s="127">
        <v>1640.0</v>
      </c>
      <c r="O3" s="127"/>
      <c r="P3" s="127"/>
      <c r="Q3" s="127"/>
      <c r="R3" s="127"/>
      <c r="S3" s="127"/>
      <c r="T3" s="127"/>
      <c r="U3" s="127"/>
      <c r="V3" s="127"/>
      <c r="W3" s="127"/>
      <c r="X3" s="127"/>
      <c r="Y3" s="127"/>
      <c r="Z3" s="127"/>
      <c r="AA3" s="127"/>
      <c r="AB3" s="127"/>
      <c r="AC3" s="127"/>
      <c r="AD3" s="127"/>
      <c r="AE3" s="127"/>
    </row>
    <row r="4">
      <c r="A4" s="178" t="s">
        <v>831</v>
      </c>
      <c r="B4" s="36"/>
      <c r="C4" s="37"/>
      <c r="D4" s="254" t="s">
        <v>76</v>
      </c>
      <c r="E4" s="180">
        <v>46006.0</v>
      </c>
      <c r="F4" s="181">
        <v>3611.7333333333327</v>
      </c>
      <c r="G4" s="210">
        <v>7646039.466666665</v>
      </c>
      <c r="H4" s="205">
        <v>2117.0</v>
      </c>
      <c r="I4" s="255">
        <v>1058.0</v>
      </c>
      <c r="J4" s="256">
        <v>705.0</v>
      </c>
      <c r="K4" s="257">
        <v>846.0</v>
      </c>
      <c r="L4" s="257">
        <v>423.0</v>
      </c>
      <c r="M4" s="258">
        <v>782.0</v>
      </c>
      <c r="N4" s="127">
        <v>1335.0</v>
      </c>
      <c r="O4" s="127"/>
      <c r="P4" s="127"/>
      <c r="Q4" s="127"/>
      <c r="R4" s="127"/>
      <c r="S4" s="127"/>
      <c r="T4" s="127"/>
      <c r="U4" s="127"/>
      <c r="V4" s="127"/>
      <c r="W4" s="127"/>
      <c r="X4" s="127"/>
      <c r="Y4" s="127"/>
      <c r="Z4" s="127"/>
      <c r="AA4" s="127"/>
      <c r="AB4" s="127"/>
      <c r="AC4" s="127"/>
      <c r="AD4" s="127"/>
      <c r="AE4" s="127"/>
    </row>
    <row r="5">
      <c r="A5" s="178" t="s">
        <v>834</v>
      </c>
      <c r="B5" s="36"/>
      <c r="C5" s="37"/>
      <c r="D5" s="254" t="s">
        <v>90</v>
      </c>
      <c r="E5" s="180">
        <v>45715.0</v>
      </c>
      <c r="F5" s="181">
        <v>6028.0</v>
      </c>
      <c r="G5" s="210">
        <v>0.0</v>
      </c>
      <c r="H5" s="205"/>
      <c r="I5" s="255"/>
      <c r="J5" s="256"/>
      <c r="K5" s="257"/>
      <c r="L5" s="257"/>
      <c r="M5" s="258"/>
      <c r="N5" s="127"/>
      <c r="O5" s="127"/>
      <c r="P5" s="127"/>
      <c r="Q5" s="127"/>
      <c r="R5" s="127"/>
      <c r="S5" s="127"/>
      <c r="T5" s="127"/>
      <c r="U5" s="127"/>
      <c r="V5" s="127"/>
      <c r="W5" s="127"/>
      <c r="X5" s="127"/>
      <c r="Y5" s="127"/>
      <c r="Z5" s="127"/>
      <c r="AA5" s="127"/>
      <c r="AB5" s="127"/>
      <c r="AC5" s="127"/>
      <c r="AD5" s="127"/>
      <c r="AE5" s="127"/>
    </row>
    <row r="6">
      <c r="A6" s="178" t="s">
        <v>837</v>
      </c>
      <c r="B6" s="36"/>
      <c r="C6" s="37"/>
      <c r="D6" s="254" t="s">
        <v>93</v>
      </c>
      <c r="E6" s="180">
        <v>46020.0</v>
      </c>
      <c r="F6" s="181">
        <v>731.0</v>
      </c>
      <c r="G6" s="210">
        <v>2095046.0</v>
      </c>
      <c r="H6" s="205">
        <v>2866.0</v>
      </c>
      <c r="I6" s="255">
        <v>1433.0</v>
      </c>
      <c r="J6" s="256">
        <v>955.0</v>
      </c>
      <c r="K6" s="257">
        <v>1146.0</v>
      </c>
      <c r="L6" s="257">
        <v>573.0</v>
      </c>
      <c r="M6" s="185">
        <v>1752.0</v>
      </c>
      <c r="N6" s="186">
        <v>1114.0</v>
      </c>
      <c r="O6" s="186"/>
      <c r="P6" s="186"/>
      <c r="Q6" s="186"/>
      <c r="R6" s="186"/>
      <c r="S6" s="186"/>
      <c r="T6" s="186"/>
      <c r="U6" s="186"/>
      <c r="V6" s="186"/>
      <c r="W6" s="186"/>
      <c r="X6" s="186"/>
      <c r="Y6" s="186"/>
      <c r="Z6" s="186"/>
      <c r="AA6" s="186"/>
      <c r="AB6" s="186"/>
      <c r="AC6" s="186"/>
      <c r="AD6" s="186"/>
      <c r="AE6" s="186"/>
    </row>
    <row r="7">
      <c r="A7" s="178" t="s">
        <v>226</v>
      </c>
      <c r="B7" s="36"/>
      <c r="C7" s="37"/>
      <c r="D7" s="254" t="s">
        <v>1122</v>
      </c>
      <c r="E7" s="180"/>
      <c r="F7" s="181"/>
      <c r="G7" s="205">
        <v>0.0</v>
      </c>
      <c r="H7" s="205"/>
      <c r="I7" s="255"/>
      <c r="J7" s="256"/>
      <c r="K7" s="257"/>
      <c r="L7" s="257"/>
      <c r="M7" s="185"/>
      <c r="N7" s="186"/>
      <c r="O7" s="186"/>
      <c r="P7" s="186"/>
      <c r="Q7" s="186"/>
      <c r="R7" s="186"/>
      <c r="S7" s="186"/>
      <c r="T7" s="186"/>
      <c r="U7" s="186"/>
      <c r="V7" s="186"/>
      <c r="W7" s="186"/>
      <c r="X7" s="186"/>
      <c r="Y7" s="186"/>
      <c r="Z7" s="186"/>
      <c r="AA7" s="186"/>
      <c r="AB7" s="186"/>
      <c r="AC7" s="186"/>
      <c r="AD7" s="186"/>
      <c r="AE7" s="186"/>
    </row>
    <row r="8">
      <c r="A8" s="178" t="s">
        <v>229</v>
      </c>
      <c r="B8" s="36"/>
      <c r="C8" s="37"/>
      <c r="D8" s="254" t="s">
        <v>101</v>
      </c>
      <c r="E8" s="180">
        <v>46000.0</v>
      </c>
      <c r="F8" s="181">
        <v>2756.0</v>
      </c>
      <c r="G8" s="205">
        <v>1113424.0</v>
      </c>
      <c r="H8" s="205">
        <v>404.0</v>
      </c>
      <c r="I8" s="255">
        <v>202.0</v>
      </c>
      <c r="J8" s="256">
        <v>134.0</v>
      </c>
      <c r="K8" s="257">
        <v>161.0</v>
      </c>
      <c r="L8" s="257">
        <v>80.0</v>
      </c>
      <c r="M8" s="185">
        <v>87.0</v>
      </c>
      <c r="N8" s="186">
        <v>317.0</v>
      </c>
      <c r="O8" s="186"/>
      <c r="P8" s="186"/>
      <c r="Q8" s="186"/>
      <c r="R8" s="186"/>
      <c r="S8" s="186"/>
      <c r="T8" s="186"/>
      <c r="U8" s="186"/>
      <c r="V8" s="186"/>
      <c r="W8" s="186"/>
      <c r="X8" s="186"/>
      <c r="Y8" s="186"/>
      <c r="Z8" s="186"/>
      <c r="AA8" s="186"/>
      <c r="AB8" s="186"/>
      <c r="AC8" s="186"/>
      <c r="AD8" s="186"/>
      <c r="AE8" s="186"/>
    </row>
    <row r="9">
      <c r="A9" s="178" t="s">
        <v>232</v>
      </c>
      <c r="B9" s="36"/>
      <c r="C9" s="37"/>
      <c r="D9" s="254" t="s">
        <v>102</v>
      </c>
      <c r="E9" s="180">
        <v>46022.0</v>
      </c>
      <c r="F9" s="181">
        <v>6028.0</v>
      </c>
      <c r="G9" s="205">
        <v>361680.0</v>
      </c>
      <c r="H9" s="205">
        <v>60.0</v>
      </c>
      <c r="I9" s="255">
        <v>30.0</v>
      </c>
      <c r="J9" s="256">
        <v>20.0</v>
      </c>
      <c r="K9" s="257">
        <v>24.0</v>
      </c>
      <c r="L9" s="257">
        <v>12.0</v>
      </c>
      <c r="M9" s="185">
        <v>8.0</v>
      </c>
      <c r="N9" s="186">
        <v>52.0</v>
      </c>
      <c r="O9" s="186"/>
      <c r="P9" s="186"/>
      <c r="Q9" s="186"/>
      <c r="R9" s="186"/>
      <c r="S9" s="186"/>
      <c r="T9" s="186"/>
      <c r="U9" s="186"/>
      <c r="V9" s="186"/>
      <c r="W9" s="186"/>
      <c r="X9" s="186"/>
      <c r="Y9" s="186"/>
      <c r="Z9" s="186"/>
      <c r="AA9" s="186"/>
      <c r="AB9" s="186"/>
      <c r="AC9" s="186"/>
      <c r="AD9" s="186"/>
      <c r="AE9" s="186"/>
    </row>
    <row r="10">
      <c r="A10" s="178" t="s">
        <v>48</v>
      </c>
      <c r="B10" s="36"/>
      <c r="C10" s="37"/>
      <c r="D10" s="197" t="s">
        <v>1129</v>
      </c>
      <c r="E10" s="180"/>
      <c r="F10" s="181"/>
      <c r="G10" s="205">
        <v>0.0</v>
      </c>
      <c r="H10" s="205"/>
      <c r="I10" s="255"/>
      <c r="J10" s="256"/>
      <c r="K10" s="257"/>
      <c r="L10" s="257"/>
      <c r="M10" s="185"/>
      <c r="N10" s="186"/>
      <c r="O10" s="186"/>
      <c r="P10" s="186"/>
      <c r="Q10" s="186"/>
      <c r="R10" s="186"/>
      <c r="S10" s="186"/>
      <c r="T10" s="186"/>
      <c r="U10" s="186"/>
      <c r="V10" s="186"/>
      <c r="W10" s="186"/>
      <c r="X10" s="186"/>
      <c r="Y10" s="186"/>
      <c r="Z10" s="186"/>
      <c r="AA10" s="186"/>
      <c r="AB10" s="186"/>
      <c r="AC10" s="186"/>
      <c r="AD10" s="186"/>
      <c r="AE10" s="186"/>
    </row>
    <row r="11">
      <c r="A11" s="178" t="s">
        <v>37</v>
      </c>
      <c r="B11" s="36"/>
      <c r="C11" s="37"/>
      <c r="D11" s="197" t="s">
        <v>103</v>
      </c>
      <c r="E11" s="180">
        <v>46019.0</v>
      </c>
      <c r="F11" s="181">
        <v>11211.0</v>
      </c>
      <c r="G11" s="205">
        <v>100899.0</v>
      </c>
      <c r="H11" s="205">
        <v>9.0</v>
      </c>
      <c r="I11" s="255">
        <v>4.0</v>
      </c>
      <c r="J11" s="256">
        <v>3.0</v>
      </c>
      <c r="K11" s="257">
        <v>3.0</v>
      </c>
      <c r="L11" s="257">
        <v>1.0</v>
      </c>
      <c r="M11" s="185">
        <v>8.0</v>
      </c>
      <c r="N11" s="186">
        <v>1.0</v>
      </c>
      <c r="O11" s="186"/>
      <c r="P11" s="186"/>
      <c r="Q11" s="186"/>
      <c r="R11" s="186"/>
      <c r="S11" s="186"/>
      <c r="T11" s="186"/>
      <c r="U11" s="186"/>
      <c r="V11" s="186"/>
      <c r="W11" s="186"/>
      <c r="X11" s="186"/>
      <c r="Y11" s="186"/>
      <c r="Z11" s="186"/>
      <c r="AA11" s="186"/>
      <c r="AB11" s="186"/>
      <c r="AC11" s="186"/>
      <c r="AD11" s="186"/>
      <c r="AE11" s="186"/>
    </row>
    <row r="12">
      <c r="A12" s="178" t="s">
        <v>163</v>
      </c>
      <c r="B12" s="36"/>
      <c r="C12" s="37"/>
      <c r="D12" s="254" t="s">
        <v>108</v>
      </c>
      <c r="E12" s="180">
        <v>46022.0</v>
      </c>
      <c r="F12" s="181">
        <v>3845.456597222222</v>
      </c>
      <c r="G12" s="205">
        <v>4014656.6875</v>
      </c>
      <c r="H12" s="205">
        <v>1044.0</v>
      </c>
      <c r="I12" s="255">
        <v>522.0</v>
      </c>
      <c r="J12" s="256">
        <v>348.0</v>
      </c>
      <c r="K12" s="257">
        <v>417.0</v>
      </c>
      <c r="L12" s="257">
        <v>208.0</v>
      </c>
      <c r="M12" s="185">
        <v>250.0</v>
      </c>
      <c r="N12" s="186">
        <v>794.0</v>
      </c>
      <c r="O12" s="186"/>
      <c r="P12" s="186"/>
      <c r="Q12" s="186"/>
      <c r="R12" s="186"/>
      <c r="S12" s="186"/>
      <c r="T12" s="186"/>
      <c r="U12" s="186"/>
      <c r="V12" s="186"/>
      <c r="W12" s="186"/>
      <c r="X12" s="186"/>
      <c r="Y12" s="186"/>
      <c r="Z12" s="186"/>
      <c r="AA12" s="186"/>
      <c r="AB12" s="186"/>
      <c r="AC12" s="186"/>
      <c r="AD12" s="186"/>
      <c r="AE12" s="186"/>
    </row>
    <row r="13">
      <c r="A13" s="178" t="s">
        <v>1008</v>
      </c>
      <c r="B13" s="36"/>
      <c r="C13" s="37"/>
      <c r="D13" s="254" t="s">
        <v>141</v>
      </c>
      <c r="E13" s="180">
        <v>46020.0</v>
      </c>
      <c r="F13" s="181">
        <v>3612.53125</v>
      </c>
      <c r="G13" s="210">
        <v>5086444.0</v>
      </c>
      <c r="H13" s="205">
        <v>1408.0</v>
      </c>
      <c r="I13" s="255">
        <v>704.0</v>
      </c>
      <c r="J13" s="256">
        <v>469.0</v>
      </c>
      <c r="K13" s="257">
        <v>563.0</v>
      </c>
      <c r="L13" s="257">
        <v>281.0</v>
      </c>
      <c r="M13" s="185">
        <v>35.0</v>
      </c>
      <c r="N13" s="186">
        <v>1373.0</v>
      </c>
      <c r="O13" s="186"/>
      <c r="P13" s="186"/>
      <c r="Q13" s="186"/>
      <c r="R13" s="186"/>
      <c r="S13" s="186"/>
      <c r="T13" s="186"/>
      <c r="U13" s="186"/>
      <c r="V13" s="186"/>
      <c r="W13" s="186"/>
      <c r="X13" s="186"/>
      <c r="Y13" s="186"/>
      <c r="Z13" s="186"/>
      <c r="AA13" s="186"/>
      <c r="AB13" s="186"/>
      <c r="AC13" s="186"/>
      <c r="AD13" s="186"/>
      <c r="AE13" s="186"/>
    </row>
    <row r="14">
      <c r="A14" s="178" t="s">
        <v>33</v>
      </c>
      <c r="B14" s="36"/>
      <c r="C14" s="37"/>
      <c r="D14" s="197" t="s">
        <v>1130</v>
      </c>
      <c r="E14" s="180"/>
      <c r="F14" s="181"/>
      <c r="G14" s="210">
        <v>0.0</v>
      </c>
      <c r="H14" s="205"/>
      <c r="I14" s="255"/>
      <c r="J14" s="256"/>
      <c r="K14" s="257"/>
      <c r="L14" s="257"/>
      <c r="M14" s="185"/>
      <c r="N14" s="186"/>
      <c r="O14" s="186"/>
      <c r="P14" s="186"/>
      <c r="Q14" s="186"/>
      <c r="R14" s="186"/>
      <c r="S14" s="186"/>
      <c r="T14" s="186"/>
      <c r="U14" s="186"/>
      <c r="V14" s="186"/>
      <c r="W14" s="186"/>
      <c r="X14" s="186"/>
      <c r="Y14" s="186"/>
      <c r="Z14" s="186"/>
      <c r="AA14" s="186"/>
      <c r="AB14" s="186"/>
      <c r="AC14" s="186"/>
      <c r="AD14" s="186"/>
      <c r="AE14" s="186"/>
    </row>
    <row r="15">
      <c r="A15" s="178" t="s">
        <v>840</v>
      </c>
      <c r="B15" s="36"/>
      <c r="C15" s="37"/>
      <c r="D15" s="197" t="s">
        <v>150</v>
      </c>
      <c r="E15" s="180">
        <v>43362.0</v>
      </c>
      <c r="F15" s="181">
        <v>5000.0</v>
      </c>
      <c r="G15" s="210">
        <v>0.0</v>
      </c>
      <c r="H15" s="205"/>
      <c r="I15" s="255"/>
      <c r="J15" s="256"/>
      <c r="K15" s="257"/>
      <c r="L15" s="257"/>
      <c r="M15" s="185"/>
      <c r="N15" s="186"/>
      <c r="O15" s="186"/>
      <c r="P15" s="186"/>
      <c r="Q15" s="186"/>
      <c r="R15" s="186"/>
      <c r="S15" s="186"/>
      <c r="T15" s="186"/>
      <c r="U15" s="186"/>
      <c r="V15" s="186"/>
      <c r="W15" s="186"/>
      <c r="X15" s="186"/>
      <c r="Y15" s="186"/>
      <c r="Z15" s="186"/>
      <c r="AA15" s="186"/>
      <c r="AB15" s="186"/>
      <c r="AC15" s="186"/>
      <c r="AD15" s="186"/>
      <c r="AE15" s="186"/>
    </row>
    <row r="16">
      <c r="A16" s="178" t="s">
        <v>1038</v>
      </c>
      <c r="B16" s="36"/>
      <c r="C16" s="37"/>
      <c r="D16" s="197" t="s">
        <v>152</v>
      </c>
      <c r="E16" s="180">
        <v>45841.0</v>
      </c>
      <c r="F16" s="181">
        <v>5166.666666666667</v>
      </c>
      <c r="G16" s="210">
        <v>5166.666666666667</v>
      </c>
      <c r="H16" s="205">
        <v>1.0</v>
      </c>
      <c r="I16" s="255">
        <v>0.0</v>
      </c>
      <c r="J16" s="256">
        <v>0.0</v>
      </c>
      <c r="K16" s="257">
        <v>0.0</v>
      </c>
      <c r="L16" s="257">
        <v>0.0</v>
      </c>
      <c r="M16" s="185"/>
      <c r="N16" s="186">
        <v>1.0</v>
      </c>
      <c r="O16" s="186"/>
      <c r="P16" s="186"/>
      <c r="Q16" s="186"/>
      <c r="R16" s="186"/>
      <c r="S16" s="186"/>
      <c r="T16" s="186"/>
      <c r="U16" s="186"/>
      <c r="V16" s="186"/>
      <c r="W16" s="186"/>
      <c r="X16" s="186"/>
      <c r="Y16" s="186"/>
      <c r="Z16" s="186"/>
      <c r="AA16" s="186"/>
      <c r="AB16" s="186"/>
      <c r="AC16" s="186"/>
      <c r="AD16" s="186"/>
      <c r="AE16" s="186"/>
    </row>
    <row r="17">
      <c r="A17" s="178" t="s">
        <v>56</v>
      </c>
      <c r="B17" s="36"/>
      <c r="C17" s="37"/>
      <c r="D17" s="197" t="s">
        <v>174</v>
      </c>
      <c r="E17" s="180">
        <v>45355.0</v>
      </c>
      <c r="F17" s="181"/>
      <c r="G17" s="210">
        <v>0.0</v>
      </c>
      <c r="H17" s="205"/>
      <c r="I17" s="255"/>
      <c r="J17" s="256"/>
      <c r="K17" s="257"/>
      <c r="L17" s="257"/>
      <c r="M17" s="185"/>
      <c r="N17" s="186"/>
      <c r="O17" s="186"/>
      <c r="P17" s="186"/>
      <c r="Q17" s="186"/>
      <c r="R17" s="186"/>
      <c r="S17" s="186"/>
      <c r="T17" s="186"/>
      <c r="U17" s="186"/>
      <c r="V17" s="186"/>
      <c r="W17" s="186"/>
      <c r="X17" s="186"/>
      <c r="Y17" s="186"/>
      <c r="Z17" s="186"/>
      <c r="AA17" s="186"/>
      <c r="AB17" s="186"/>
      <c r="AC17" s="186"/>
      <c r="AD17" s="186"/>
      <c r="AE17" s="186"/>
    </row>
    <row r="18">
      <c r="A18" s="178" t="s">
        <v>68</v>
      </c>
      <c r="B18" s="36"/>
      <c r="C18" s="37"/>
      <c r="D18" s="254" t="s">
        <v>175</v>
      </c>
      <c r="E18" s="180">
        <v>45997.0</v>
      </c>
      <c r="F18" s="181">
        <v>37978.25925925926</v>
      </c>
      <c r="G18" s="210">
        <v>9912325.666666668</v>
      </c>
      <c r="H18" s="205">
        <v>261.0</v>
      </c>
      <c r="I18" s="255">
        <v>130.0</v>
      </c>
      <c r="J18" s="256">
        <v>87.0</v>
      </c>
      <c r="K18" s="257">
        <v>104.0</v>
      </c>
      <c r="L18" s="257">
        <v>52.0</v>
      </c>
      <c r="M18" s="185">
        <v>221.0</v>
      </c>
      <c r="N18" s="186">
        <v>40.0</v>
      </c>
      <c r="O18" s="186"/>
      <c r="P18" s="186"/>
      <c r="Q18" s="186"/>
      <c r="R18" s="186"/>
      <c r="S18" s="186"/>
      <c r="T18" s="186"/>
      <c r="U18" s="186"/>
      <c r="V18" s="186"/>
      <c r="W18" s="186"/>
      <c r="X18" s="186"/>
      <c r="Y18" s="186"/>
      <c r="Z18" s="186"/>
      <c r="AA18" s="186"/>
      <c r="AB18" s="186"/>
      <c r="AC18" s="186"/>
      <c r="AD18" s="186"/>
      <c r="AE18" s="186"/>
    </row>
    <row r="19">
      <c r="A19" s="178" t="s">
        <v>98</v>
      </c>
      <c r="B19" s="36"/>
      <c r="C19" s="37"/>
      <c r="D19" s="197" t="s">
        <v>190</v>
      </c>
      <c r="E19" s="180">
        <v>45200.0</v>
      </c>
      <c r="F19" s="181">
        <v>38232.142857142855</v>
      </c>
      <c r="G19" s="210">
        <v>0.0</v>
      </c>
      <c r="H19" s="205"/>
      <c r="I19" s="255"/>
      <c r="J19" s="256"/>
      <c r="K19" s="257"/>
      <c r="L19" s="257"/>
      <c r="M19" s="185"/>
      <c r="N19" s="186"/>
      <c r="O19" s="186"/>
      <c r="P19" s="186"/>
      <c r="Q19" s="186"/>
      <c r="R19" s="186"/>
      <c r="S19" s="186"/>
      <c r="T19" s="186"/>
      <c r="U19" s="186"/>
      <c r="V19" s="186"/>
      <c r="W19" s="186"/>
      <c r="X19" s="186"/>
      <c r="Y19" s="186"/>
      <c r="Z19" s="186"/>
      <c r="AA19" s="186"/>
      <c r="AB19" s="186"/>
      <c r="AC19" s="186"/>
      <c r="AD19" s="186"/>
      <c r="AE19" s="186"/>
    </row>
    <row r="20">
      <c r="A20" s="28"/>
      <c r="B20" s="36"/>
      <c r="C20" s="37"/>
      <c r="D20" s="197" t="s">
        <v>195</v>
      </c>
      <c r="E20" s="180"/>
      <c r="F20" s="181">
        <v>39217.153846153844</v>
      </c>
      <c r="G20" s="205">
        <v>0.0</v>
      </c>
      <c r="H20" s="205"/>
      <c r="I20" s="255"/>
      <c r="J20" s="256"/>
      <c r="K20" s="257"/>
      <c r="L20" s="257"/>
      <c r="M20" s="185"/>
      <c r="N20" s="186"/>
      <c r="O20" s="186"/>
      <c r="P20" s="186"/>
      <c r="Q20" s="186"/>
      <c r="R20" s="186"/>
      <c r="S20" s="186"/>
      <c r="T20" s="186"/>
      <c r="U20" s="186"/>
      <c r="V20" s="186"/>
      <c r="W20" s="186"/>
      <c r="X20" s="186"/>
      <c r="Y20" s="186"/>
      <c r="Z20" s="186"/>
      <c r="AA20" s="186"/>
      <c r="AB20" s="186"/>
      <c r="AC20" s="186"/>
      <c r="AD20" s="186"/>
      <c r="AE20" s="186"/>
    </row>
    <row r="21">
      <c r="A21" s="178"/>
      <c r="B21" s="36"/>
      <c r="C21" s="37"/>
      <c r="D21" s="254" t="s">
        <v>197</v>
      </c>
      <c r="E21" s="180">
        <v>46011.0</v>
      </c>
      <c r="F21" s="181">
        <v>29027.079999999994</v>
      </c>
      <c r="G21" s="205">
        <v>1277191.5199999998</v>
      </c>
      <c r="H21" s="205">
        <v>44.0</v>
      </c>
      <c r="I21" s="255">
        <v>22.0</v>
      </c>
      <c r="J21" s="256">
        <v>14.0</v>
      </c>
      <c r="K21" s="257">
        <v>17.0</v>
      </c>
      <c r="L21" s="257">
        <v>8.0</v>
      </c>
      <c r="M21" s="185">
        <v>6.0</v>
      </c>
      <c r="N21" s="186">
        <v>38.0</v>
      </c>
      <c r="O21" s="186"/>
      <c r="P21" s="186"/>
      <c r="Q21" s="186"/>
      <c r="R21" s="186"/>
      <c r="S21" s="186"/>
      <c r="T21" s="186"/>
      <c r="U21" s="186"/>
      <c r="V21" s="186"/>
      <c r="W21" s="186"/>
      <c r="X21" s="186"/>
      <c r="Y21" s="186"/>
      <c r="Z21" s="186"/>
      <c r="AA21" s="186"/>
      <c r="AB21" s="186"/>
      <c r="AC21" s="186"/>
      <c r="AD21" s="186"/>
      <c r="AE21" s="186"/>
    </row>
    <row r="22">
      <c r="A22" s="178"/>
      <c r="B22" s="36"/>
      <c r="C22" s="37"/>
      <c r="D22" s="254" t="s">
        <v>209</v>
      </c>
      <c r="E22" s="180">
        <v>46015.0</v>
      </c>
      <c r="F22" s="181">
        <v>6999.999999999999</v>
      </c>
      <c r="G22" s="205">
        <v>202999.99999999997</v>
      </c>
      <c r="H22" s="205">
        <v>29.0</v>
      </c>
      <c r="I22" s="255">
        <v>14.0</v>
      </c>
      <c r="J22" s="256">
        <v>9.0</v>
      </c>
      <c r="K22" s="257">
        <v>11.0</v>
      </c>
      <c r="L22" s="257">
        <v>5.0</v>
      </c>
      <c r="M22" s="185">
        <v>24.0</v>
      </c>
      <c r="N22" s="186">
        <v>5.0</v>
      </c>
      <c r="O22" s="186"/>
      <c r="P22" s="186"/>
      <c r="Q22" s="186"/>
      <c r="R22" s="186"/>
      <c r="S22" s="186"/>
      <c r="T22" s="186"/>
      <c r="U22" s="186"/>
      <c r="V22" s="186"/>
      <c r="W22" s="186"/>
      <c r="X22" s="186"/>
      <c r="Y22" s="186"/>
      <c r="Z22" s="186"/>
      <c r="AA22" s="186"/>
      <c r="AB22" s="186"/>
      <c r="AC22" s="186"/>
      <c r="AD22" s="186"/>
      <c r="AE22" s="186"/>
    </row>
    <row r="23">
      <c r="A23" s="178"/>
      <c r="B23" s="36"/>
      <c r="C23" s="37"/>
      <c r="D23" s="197" t="s">
        <v>1056</v>
      </c>
      <c r="E23" s="180">
        <v>46000.0</v>
      </c>
      <c r="F23" s="181"/>
      <c r="G23" s="210">
        <v>0.0</v>
      </c>
      <c r="H23" s="205">
        <v>-13.0</v>
      </c>
      <c r="I23" s="255">
        <v>-6.0</v>
      </c>
      <c r="J23" s="256">
        <v>-4.0</v>
      </c>
      <c r="K23" s="257">
        <v>-5.0</v>
      </c>
      <c r="L23" s="257">
        <v>-2.0</v>
      </c>
      <c r="M23" s="185">
        <v>-11.0</v>
      </c>
      <c r="N23" s="186">
        <v>-2.0</v>
      </c>
      <c r="O23" s="186"/>
      <c r="P23" s="186"/>
      <c r="Q23" s="186"/>
      <c r="R23" s="186"/>
      <c r="S23" s="186"/>
      <c r="T23" s="186"/>
      <c r="U23" s="186"/>
      <c r="V23" s="186"/>
      <c r="W23" s="186"/>
      <c r="X23" s="186"/>
      <c r="Y23" s="186"/>
      <c r="Z23" s="186"/>
      <c r="AA23" s="186"/>
      <c r="AB23" s="186"/>
      <c r="AC23" s="186"/>
      <c r="AD23" s="186"/>
      <c r="AE23" s="186"/>
    </row>
    <row r="24">
      <c r="A24" s="178"/>
      <c r="B24" s="36"/>
      <c r="C24" s="37"/>
      <c r="D24" s="197" t="s">
        <v>225</v>
      </c>
      <c r="E24" s="180">
        <v>43326.0</v>
      </c>
      <c r="F24" s="181">
        <v>611959.3684983478</v>
      </c>
      <c r="G24" s="210">
        <v>0.0</v>
      </c>
      <c r="H24" s="205"/>
      <c r="I24" s="255"/>
      <c r="J24" s="256"/>
      <c r="K24" s="257"/>
      <c r="L24" s="257"/>
      <c r="M24" s="185"/>
      <c r="N24" s="186"/>
      <c r="O24" s="186"/>
      <c r="P24" s="186"/>
      <c r="Q24" s="186"/>
      <c r="R24" s="186"/>
      <c r="S24" s="186"/>
      <c r="T24" s="186"/>
      <c r="U24" s="186"/>
      <c r="V24" s="186"/>
      <c r="W24" s="186"/>
      <c r="X24" s="186"/>
      <c r="Y24" s="186"/>
      <c r="Z24" s="186"/>
      <c r="AA24" s="186"/>
      <c r="AB24" s="186"/>
      <c r="AC24" s="186"/>
      <c r="AD24" s="186"/>
      <c r="AE24" s="186"/>
    </row>
    <row r="25">
      <c r="A25" s="178"/>
      <c r="B25" s="36"/>
      <c r="C25" s="37"/>
      <c r="D25" s="197" t="s">
        <v>231</v>
      </c>
      <c r="E25" s="180">
        <v>43326.0</v>
      </c>
      <c r="F25" s="181">
        <v>1114.4100399924616</v>
      </c>
      <c r="G25" s="210">
        <v>0.0</v>
      </c>
      <c r="H25" s="205"/>
      <c r="I25" s="255"/>
      <c r="J25" s="256"/>
      <c r="K25" s="257"/>
      <c r="L25" s="257"/>
      <c r="M25" s="185"/>
      <c r="N25" s="186"/>
      <c r="O25" s="186"/>
      <c r="P25" s="186"/>
      <c r="Q25" s="186"/>
      <c r="R25" s="186"/>
      <c r="S25" s="186"/>
      <c r="T25" s="186"/>
      <c r="U25" s="186"/>
      <c r="V25" s="186"/>
      <c r="W25" s="186"/>
      <c r="X25" s="186"/>
      <c r="Y25" s="186"/>
      <c r="Z25" s="186"/>
      <c r="AA25" s="186"/>
      <c r="AB25" s="186"/>
      <c r="AC25" s="186"/>
      <c r="AD25" s="186"/>
      <c r="AE25" s="186"/>
    </row>
    <row r="26">
      <c r="A26" s="178"/>
      <c r="B26" s="36"/>
      <c r="C26" s="37"/>
      <c r="D26" s="197" t="s">
        <v>233</v>
      </c>
      <c r="E26" s="180">
        <v>43326.0</v>
      </c>
      <c r="F26" s="181">
        <v>1110.3900978076015</v>
      </c>
      <c r="G26" s="210">
        <v>0.0</v>
      </c>
      <c r="H26" s="205"/>
      <c r="I26" s="255"/>
      <c r="J26" s="256"/>
      <c r="K26" s="257"/>
      <c r="L26" s="257"/>
      <c r="M26" s="185"/>
      <c r="N26" s="186"/>
      <c r="O26" s="186"/>
      <c r="P26" s="186"/>
      <c r="Q26" s="186"/>
      <c r="R26" s="186"/>
      <c r="S26" s="186"/>
      <c r="T26" s="186"/>
      <c r="U26" s="186"/>
      <c r="V26" s="186"/>
      <c r="W26" s="186"/>
      <c r="X26" s="186"/>
      <c r="Y26" s="186"/>
      <c r="Z26" s="186"/>
      <c r="AA26" s="186"/>
      <c r="AB26" s="186"/>
      <c r="AC26" s="186"/>
      <c r="AD26" s="186"/>
      <c r="AE26" s="186"/>
    </row>
    <row r="27">
      <c r="A27" s="178"/>
      <c r="B27" s="36"/>
      <c r="C27" s="37"/>
      <c r="D27" s="197" t="s">
        <v>1187</v>
      </c>
      <c r="E27" s="180"/>
      <c r="F27" s="181"/>
      <c r="G27" s="205">
        <v>0.0</v>
      </c>
      <c r="H27" s="205"/>
      <c r="I27" s="255"/>
      <c r="J27" s="256"/>
      <c r="K27" s="257"/>
      <c r="L27" s="257"/>
      <c r="M27" s="185"/>
      <c r="N27" s="186"/>
      <c r="O27" s="186"/>
      <c r="P27" s="186"/>
      <c r="Q27" s="186"/>
      <c r="R27" s="186"/>
      <c r="S27" s="186"/>
      <c r="T27" s="186"/>
      <c r="U27" s="186"/>
      <c r="V27" s="186"/>
      <c r="W27" s="186"/>
      <c r="X27" s="186"/>
      <c r="Y27" s="186"/>
      <c r="Z27" s="186"/>
      <c r="AA27" s="186"/>
      <c r="AB27" s="186"/>
      <c r="AC27" s="186"/>
      <c r="AD27" s="186"/>
      <c r="AE27" s="186"/>
    </row>
    <row r="28">
      <c r="A28" s="178"/>
      <c r="B28" s="36"/>
      <c r="C28" s="37"/>
      <c r="D28" s="197" t="s">
        <v>1188</v>
      </c>
      <c r="E28" s="180"/>
      <c r="F28" s="181"/>
      <c r="G28" s="205">
        <v>0.0</v>
      </c>
      <c r="H28" s="205"/>
      <c r="I28" s="255"/>
      <c r="J28" s="256"/>
      <c r="K28" s="257"/>
      <c r="L28" s="257"/>
      <c r="M28" s="185"/>
      <c r="N28" s="186"/>
      <c r="O28" s="186"/>
      <c r="P28" s="186"/>
      <c r="Q28" s="186"/>
      <c r="R28" s="186"/>
      <c r="S28" s="186"/>
      <c r="T28" s="186"/>
      <c r="U28" s="186"/>
      <c r="V28" s="186"/>
      <c r="W28" s="186"/>
      <c r="X28" s="186"/>
      <c r="Y28" s="186"/>
      <c r="Z28" s="186"/>
      <c r="AA28" s="186"/>
      <c r="AB28" s="186"/>
      <c r="AC28" s="186"/>
      <c r="AD28" s="186"/>
      <c r="AE28" s="186"/>
    </row>
    <row r="29">
      <c r="A29" s="178"/>
      <c r="B29" s="36"/>
      <c r="C29" s="37"/>
      <c r="D29" s="197" t="s">
        <v>235</v>
      </c>
      <c r="E29" s="180">
        <v>43326.0</v>
      </c>
      <c r="F29" s="181">
        <v>1421.4004632344113</v>
      </c>
      <c r="G29" s="205">
        <v>0.0</v>
      </c>
      <c r="H29" s="205"/>
      <c r="I29" s="255"/>
      <c r="J29" s="256"/>
      <c r="K29" s="257"/>
      <c r="L29" s="257"/>
      <c r="M29" s="185"/>
      <c r="N29" s="186"/>
      <c r="O29" s="186"/>
      <c r="P29" s="186"/>
      <c r="Q29" s="186"/>
      <c r="R29" s="186"/>
      <c r="S29" s="186"/>
      <c r="T29" s="186"/>
      <c r="U29" s="186"/>
      <c r="V29" s="186"/>
      <c r="W29" s="186"/>
      <c r="X29" s="186"/>
      <c r="Y29" s="186"/>
      <c r="Z29" s="186"/>
      <c r="AA29" s="186"/>
      <c r="AB29" s="186"/>
      <c r="AC29" s="186"/>
      <c r="AD29" s="186"/>
      <c r="AE29" s="186"/>
    </row>
    <row r="30">
      <c r="A30" s="178"/>
      <c r="B30" s="36"/>
      <c r="C30" s="37"/>
      <c r="D30" s="197" t="s">
        <v>237</v>
      </c>
      <c r="E30" s="180">
        <v>43326.0</v>
      </c>
      <c r="F30" s="181"/>
      <c r="G30" s="205">
        <v>0.0</v>
      </c>
      <c r="H30" s="205"/>
      <c r="I30" s="255"/>
      <c r="J30" s="256"/>
      <c r="K30" s="257"/>
      <c r="L30" s="257"/>
      <c r="M30" s="185"/>
      <c r="N30" s="186"/>
      <c r="O30" s="186"/>
      <c r="P30" s="186"/>
      <c r="Q30" s="186"/>
      <c r="R30" s="186"/>
      <c r="S30" s="186"/>
      <c r="T30" s="186"/>
      <c r="U30" s="186"/>
      <c r="V30" s="186"/>
      <c r="W30" s="186"/>
      <c r="X30" s="186"/>
      <c r="Y30" s="186"/>
      <c r="Z30" s="186"/>
      <c r="AA30" s="186"/>
      <c r="AB30" s="186"/>
      <c r="AC30" s="186"/>
      <c r="AD30" s="186"/>
      <c r="AE30" s="186"/>
    </row>
    <row r="31">
      <c r="A31" s="178"/>
      <c r="B31" s="36"/>
      <c r="C31" s="37"/>
      <c r="D31" s="197" t="s">
        <v>239</v>
      </c>
      <c r="E31" s="180">
        <v>43326.0</v>
      </c>
      <c r="F31" s="181">
        <v>1107.9924816062169</v>
      </c>
      <c r="G31" s="205">
        <v>0.0</v>
      </c>
      <c r="H31" s="205"/>
      <c r="I31" s="255"/>
      <c r="J31" s="256"/>
      <c r="K31" s="257"/>
      <c r="L31" s="257"/>
      <c r="M31" s="185"/>
      <c r="N31" s="186"/>
      <c r="O31" s="186"/>
      <c r="P31" s="186"/>
      <c r="Q31" s="186"/>
      <c r="R31" s="186"/>
      <c r="S31" s="186"/>
      <c r="T31" s="186"/>
      <c r="U31" s="186"/>
      <c r="V31" s="186"/>
      <c r="W31" s="186"/>
      <c r="X31" s="186"/>
      <c r="Y31" s="186"/>
      <c r="Z31" s="186"/>
      <c r="AA31" s="186"/>
      <c r="AB31" s="186"/>
      <c r="AC31" s="186"/>
      <c r="AD31" s="186"/>
      <c r="AE31" s="186"/>
    </row>
    <row r="32">
      <c r="A32" s="178"/>
      <c r="B32" s="36"/>
      <c r="C32" s="37"/>
      <c r="D32" s="254" t="s">
        <v>241</v>
      </c>
      <c r="E32" s="180">
        <v>46019.0</v>
      </c>
      <c r="F32" s="181">
        <v>1170.311</v>
      </c>
      <c r="G32" s="210">
        <v>3715737.425</v>
      </c>
      <c r="H32" s="205">
        <v>3175.0</v>
      </c>
      <c r="I32" s="255">
        <v>1587.0</v>
      </c>
      <c r="J32" s="256">
        <v>1058.0</v>
      </c>
      <c r="K32" s="257">
        <v>1270.0</v>
      </c>
      <c r="L32" s="257">
        <v>635.0</v>
      </c>
      <c r="M32" s="185">
        <v>1037.0</v>
      </c>
      <c r="N32" s="186">
        <v>2138.0</v>
      </c>
      <c r="O32" s="186"/>
      <c r="P32" s="186"/>
      <c r="Q32" s="186"/>
      <c r="R32" s="186"/>
      <c r="S32" s="186"/>
      <c r="T32" s="186"/>
      <c r="U32" s="186"/>
      <c r="V32" s="186"/>
      <c r="W32" s="186"/>
      <c r="X32" s="186"/>
      <c r="Y32" s="186"/>
      <c r="Z32" s="186"/>
      <c r="AA32" s="186"/>
      <c r="AB32" s="186"/>
      <c r="AC32" s="186"/>
      <c r="AD32" s="186"/>
      <c r="AE32" s="186"/>
    </row>
    <row r="33">
      <c r="A33" s="178"/>
      <c r="B33" s="36"/>
      <c r="C33" s="37"/>
      <c r="D33" s="254" t="s">
        <v>250</v>
      </c>
      <c r="E33" s="180">
        <v>46016.0</v>
      </c>
      <c r="F33" s="181">
        <v>23076.0</v>
      </c>
      <c r="G33" s="205">
        <v>392292.0</v>
      </c>
      <c r="H33" s="205">
        <v>17.0</v>
      </c>
      <c r="I33" s="255">
        <v>8.0</v>
      </c>
      <c r="J33" s="256">
        <v>5.0</v>
      </c>
      <c r="K33" s="257">
        <v>6.0</v>
      </c>
      <c r="L33" s="257">
        <v>3.0</v>
      </c>
      <c r="M33" s="185">
        <v>22.0</v>
      </c>
      <c r="N33" s="186">
        <v>-5.0</v>
      </c>
      <c r="O33" s="186"/>
      <c r="P33" s="186"/>
      <c r="Q33" s="186"/>
      <c r="R33" s="186"/>
      <c r="S33" s="186"/>
      <c r="T33" s="186"/>
      <c r="U33" s="186"/>
      <c r="V33" s="186"/>
      <c r="W33" s="186"/>
      <c r="X33" s="186"/>
      <c r="Y33" s="186"/>
      <c r="Z33" s="186"/>
      <c r="AA33" s="186"/>
      <c r="AB33" s="186"/>
      <c r="AC33" s="186"/>
      <c r="AD33" s="186"/>
      <c r="AE33" s="186"/>
    </row>
    <row r="34">
      <c r="A34" s="178"/>
      <c r="B34" s="36"/>
      <c r="C34" s="37"/>
      <c r="D34" s="254" t="s">
        <v>270</v>
      </c>
      <c r="E34" s="180"/>
      <c r="F34" s="181">
        <v>24820.0</v>
      </c>
      <c r="G34" s="205">
        <v>198560.0</v>
      </c>
      <c r="H34" s="205">
        <v>8.0</v>
      </c>
      <c r="I34" s="255">
        <v>4.0</v>
      </c>
      <c r="J34" s="256">
        <v>2.0</v>
      </c>
      <c r="K34" s="257">
        <v>3.0</v>
      </c>
      <c r="L34" s="257">
        <v>1.0</v>
      </c>
      <c r="M34" s="185"/>
      <c r="N34" s="186">
        <v>8.0</v>
      </c>
      <c r="O34" s="186"/>
      <c r="P34" s="186"/>
      <c r="Q34" s="186"/>
      <c r="R34" s="186"/>
      <c r="S34" s="186"/>
      <c r="T34" s="186"/>
      <c r="U34" s="186"/>
      <c r="V34" s="186"/>
      <c r="W34" s="186"/>
      <c r="X34" s="186"/>
      <c r="Y34" s="186"/>
      <c r="Z34" s="186"/>
      <c r="AA34" s="186"/>
      <c r="AB34" s="186"/>
      <c r="AC34" s="186"/>
      <c r="AD34" s="186"/>
      <c r="AE34" s="186"/>
    </row>
    <row r="35">
      <c r="A35" s="178"/>
      <c r="B35" s="36"/>
      <c r="C35" s="37"/>
      <c r="D35" s="254" t="s">
        <v>275</v>
      </c>
      <c r="E35" s="180">
        <v>45981.0</v>
      </c>
      <c r="F35" s="181">
        <v>13937.05</v>
      </c>
      <c r="G35" s="205">
        <v>1951187.0</v>
      </c>
      <c r="H35" s="205">
        <v>140.0</v>
      </c>
      <c r="I35" s="255">
        <v>70.0</v>
      </c>
      <c r="J35" s="256">
        <v>46.0</v>
      </c>
      <c r="K35" s="257">
        <v>56.0</v>
      </c>
      <c r="L35" s="257">
        <v>28.0</v>
      </c>
      <c r="M35" s="185">
        <v>138.0</v>
      </c>
      <c r="N35" s="186">
        <v>2.0</v>
      </c>
      <c r="O35" s="186"/>
      <c r="P35" s="186"/>
      <c r="Q35" s="186"/>
      <c r="R35" s="186"/>
      <c r="S35" s="186"/>
      <c r="T35" s="186"/>
      <c r="U35" s="186"/>
      <c r="V35" s="186"/>
      <c r="W35" s="186"/>
      <c r="X35" s="186"/>
      <c r="Y35" s="186"/>
      <c r="Z35" s="186"/>
      <c r="AA35" s="186"/>
      <c r="AB35" s="186"/>
      <c r="AC35" s="186"/>
      <c r="AD35" s="186"/>
      <c r="AE35" s="186"/>
    </row>
    <row r="36">
      <c r="A36" s="178"/>
      <c r="B36" s="36"/>
      <c r="C36" s="37"/>
      <c r="D36" s="197" t="s">
        <v>282</v>
      </c>
      <c r="E36" s="180">
        <v>43527.0</v>
      </c>
      <c r="F36" s="181">
        <v>670000.0</v>
      </c>
      <c r="G36" s="210">
        <v>0.0</v>
      </c>
      <c r="H36" s="205"/>
      <c r="I36" s="255"/>
      <c r="J36" s="256"/>
      <c r="K36" s="257"/>
      <c r="L36" s="257"/>
      <c r="M36" s="185"/>
      <c r="N36" s="186"/>
      <c r="O36" s="186"/>
      <c r="P36" s="186"/>
      <c r="Q36" s="186"/>
      <c r="R36" s="186"/>
      <c r="S36" s="186"/>
      <c r="T36" s="186"/>
      <c r="U36" s="186"/>
      <c r="V36" s="186"/>
      <c r="W36" s="186"/>
      <c r="X36" s="186"/>
      <c r="Y36" s="186"/>
      <c r="Z36" s="186"/>
      <c r="AA36" s="186"/>
      <c r="AB36" s="186"/>
      <c r="AC36" s="186"/>
      <c r="AD36" s="186"/>
      <c r="AE36" s="186"/>
    </row>
    <row r="37">
      <c r="A37" s="178"/>
      <c r="B37" s="36"/>
      <c r="C37" s="37"/>
      <c r="D37" s="254" t="s">
        <v>284</v>
      </c>
      <c r="E37" s="180">
        <v>46015.0</v>
      </c>
      <c r="F37" s="181">
        <v>4973.93</v>
      </c>
      <c r="G37" s="205">
        <v>1124108.1800000002</v>
      </c>
      <c r="H37" s="205">
        <v>226.0</v>
      </c>
      <c r="I37" s="255">
        <v>113.0</v>
      </c>
      <c r="J37" s="256">
        <v>75.0</v>
      </c>
      <c r="K37" s="257">
        <v>90.0</v>
      </c>
      <c r="L37" s="257">
        <v>45.0</v>
      </c>
      <c r="M37" s="185">
        <v>101.0</v>
      </c>
      <c r="N37" s="186">
        <v>125.0</v>
      </c>
      <c r="O37" s="186"/>
      <c r="P37" s="186"/>
      <c r="Q37" s="186"/>
      <c r="R37" s="186"/>
      <c r="S37" s="186"/>
      <c r="T37" s="186"/>
      <c r="U37" s="186"/>
      <c r="V37" s="186"/>
      <c r="W37" s="186"/>
      <c r="X37" s="186"/>
      <c r="Y37" s="186"/>
      <c r="Z37" s="186"/>
      <c r="AA37" s="186"/>
      <c r="AB37" s="186"/>
      <c r="AC37" s="186"/>
      <c r="AD37" s="186"/>
      <c r="AE37" s="186"/>
    </row>
    <row r="38">
      <c r="A38" s="178"/>
      <c r="B38" s="36"/>
      <c r="C38" s="37"/>
      <c r="D38" s="254" t="s">
        <v>298</v>
      </c>
      <c r="E38" s="180">
        <v>46000.0</v>
      </c>
      <c r="F38" s="181">
        <v>8461.025</v>
      </c>
      <c r="G38" s="205">
        <v>1167621.45</v>
      </c>
      <c r="H38" s="205">
        <v>138.0</v>
      </c>
      <c r="I38" s="255">
        <v>69.0</v>
      </c>
      <c r="J38" s="256">
        <v>46.0</v>
      </c>
      <c r="K38" s="257">
        <v>55.0</v>
      </c>
      <c r="L38" s="257">
        <v>27.0</v>
      </c>
      <c r="M38" s="185">
        <v>67.0</v>
      </c>
      <c r="N38" s="186">
        <v>71.0</v>
      </c>
      <c r="O38" s="186"/>
      <c r="P38" s="186"/>
      <c r="Q38" s="186"/>
      <c r="R38" s="186"/>
      <c r="S38" s="186"/>
      <c r="T38" s="186"/>
      <c r="U38" s="186"/>
      <c r="V38" s="186"/>
      <c r="W38" s="186"/>
      <c r="X38" s="186"/>
      <c r="Y38" s="186"/>
      <c r="Z38" s="186"/>
      <c r="AA38" s="186"/>
      <c r="AB38" s="186"/>
      <c r="AC38" s="186"/>
      <c r="AD38" s="186"/>
      <c r="AE38" s="186"/>
    </row>
    <row r="39">
      <c r="A39" s="178"/>
      <c r="B39" s="36"/>
      <c r="C39" s="37"/>
      <c r="D39" s="254" t="s">
        <v>303</v>
      </c>
      <c r="E39" s="180">
        <v>46015.0</v>
      </c>
      <c r="F39" s="181">
        <v>8384.983333333334</v>
      </c>
      <c r="G39" s="205">
        <v>1442217.1333333333</v>
      </c>
      <c r="H39" s="205">
        <v>172.0</v>
      </c>
      <c r="I39" s="255">
        <v>86.0</v>
      </c>
      <c r="J39" s="256">
        <v>57.0</v>
      </c>
      <c r="K39" s="257">
        <v>68.0</v>
      </c>
      <c r="L39" s="257">
        <v>34.0</v>
      </c>
      <c r="M39" s="185">
        <v>119.0</v>
      </c>
      <c r="N39" s="186">
        <v>53.0</v>
      </c>
      <c r="O39" s="186"/>
      <c r="P39" s="186"/>
      <c r="Q39" s="186"/>
      <c r="R39" s="186"/>
      <c r="S39" s="186"/>
      <c r="T39" s="186"/>
      <c r="U39" s="186"/>
      <c r="V39" s="186"/>
      <c r="W39" s="186"/>
      <c r="X39" s="186"/>
      <c r="Y39" s="186"/>
      <c r="Z39" s="186"/>
      <c r="AA39" s="186"/>
      <c r="AB39" s="186"/>
      <c r="AC39" s="186"/>
      <c r="AD39" s="186"/>
      <c r="AE39" s="186"/>
    </row>
    <row r="40">
      <c r="A40" s="178"/>
      <c r="B40" s="36"/>
      <c r="C40" s="37"/>
      <c r="D40" s="254" t="s">
        <v>310</v>
      </c>
      <c r="E40" s="180">
        <v>46022.0</v>
      </c>
      <c r="F40" s="181">
        <v>6910.9</v>
      </c>
      <c r="G40" s="210">
        <v>1921230.2</v>
      </c>
      <c r="H40" s="205">
        <v>278.0</v>
      </c>
      <c r="I40" s="255">
        <v>139.0</v>
      </c>
      <c r="J40" s="256">
        <v>92.0</v>
      </c>
      <c r="K40" s="257">
        <v>111.0</v>
      </c>
      <c r="L40" s="257">
        <v>55.0</v>
      </c>
      <c r="M40" s="185">
        <v>186.0</v>
      </c>
      <c r="N40" s="186">
        <v>92.0</v>
      </c>
      <c r="O40" s="186"/>
      <c r="P40" s="186"/>
      <c r="Q40" s="186"/>
      <c r="R40" s="186"/>
      <c r="S40" s="186"/>
      <c r="T40" s="186"/>
      <c r="U40" s="186"/>
      <c r="V40" s="186"/>
      <c r="W40" s="186"/>
      <c r="X40" s="186"/>
      <c r="Y40" s="186"/>
      <c r="Z40" s="186"/>
      <c r="AA40" s="186"/>
      <c r="AB40" s="186"/>
      <c r="AC40" s="186"/>
      <c r="AD40" s="186"/>
      <c r="AE40" s="186"/>
    </row>
    <row r="41">
      <c r="A41" s="178"/>
      <c r="B41" s="36"/>
      <c r="C41" s="37"/>
      <c r="D41" s="197" t="s">
        <v>1202</v>
      </c>
      <c r="E41" s="180"/>
      <c r="F41" s="181"/>
      <c r="G41" s="210">
        <v>0.0</v>
      </c>
      <c r="H41" s="205"/>
      <c r="I41" s="255"/>
      <c r="J41" s="256"/>
      <c r="K41" s="257"/>
      <c r="L41" s="257"/>
      <c r="M41" s="185"/>
      <c r="N41" s="186"/>
      <c r="O41" s="186"/>
      <c r="P41" s="186"/>
      <c r="Q41" s="186"/>
      <c r="R41" s="186"/>
      <c r="S41" s="186"/>
      <c r="T41" s="186"/>
      <c r="U41" s="186"/>
      <c r="V41" s="186"/>
      <c r="W41" s="186"/>
      <c r="X41" s="186"/>
      <c r="Y41" s="186"/>
      <c r="Z41" s="186"/>
      <c r="AA41" s="186"/>
      <c r="AB41" s="186"/>
      <c r="AC41" s="186"/>
      <c r="AD41" s="186"/>
      <c r="AE41" s="186"/>
    </row>
    <row r="42">
      <c r="A42" s="178"/>
      <c r="B42" s="36"/>
      <c r="C42" s="37"/>
      <c r="D42" s="197" t="s">
        <v>1010</v>
      </c>
      <c r="E42" s="180">
        <v>43798.0</v>
      </c>
      <c r="F42" s="181"/>
      <c r="G42" s="205">
        <v>0.0</v>
      </c>
      <c r="H42" s="205"/>
      <c r="I42" s="255"/>
      <c r="J42" s="256"/>
      <c r="K42" s="257"/>
      <c r="L42" s="257"/>
      <c r="M42" s="185"/>
      <c r="N42" s="186"/>
      <c r="O42" s="186"/>
      <c r="P42" s="186"/>
      <c r="Q42" s="186"/>
      <c r="R42" s="186"/>
      <c r="S42" s="186"/>
      <c r="T42" s="186"/>
      <c r="U42" s="186"/>
      <c r="V42" s="186"/>
      <c r="W42" s="186"/>
      <c r="X42" s="186"/>
      <c r="Y42" s="186"/>
      <c r="Z42" s="186"/>
      <c r="AA42" s="186"/>
      <c r="AB42" s="186"/>
      <c r="AC42" s="186"/>
      <c r="AD42" s="186"/>
      <c r="AE42" s="186"/>
    </row>
    <row r="43">
      <c r="A43" s="178"/>
      <c r="B43" s="36"/>
      <c r="C43" s="37"/>
      <c r="D43" s="197" t="s">
        <v>315</v>
      </c>
      <c r="E43" s="180">
        <v>43464.0</v>
      </c>
      <c r="F43" s="181">
        <v>1293750.0</v>
      </c>
      <c r="G43" s="210">
        <v>0.0</v>
      </c>
      <c r="H43" s="205"/>
      <c r="I43" s="255"/>
      <c r="J43" s="256"/>
      <c r="K43" s="257"/>
      <c r="L43" s="257"/>
      <c r="M43" s="185"/>
      <c r="N43" s="186"/>
      <c r="O43" s="186"/>
      <c r="P43" s="186"/>
      <c r="Q43" s="186"/>
      <c r="R43" s="186"/>
      <c r="S43" s="186"/>
      <c r="T43" s="186"/>
      <c r="U43" s="186"/>
      <c r="V43" s="186"/>
      <c r="W43" s="186"/>
      <c r="X43" s="186"/>
      <c r="Y43" s="186"/>
      <c r="Z43" s="186"/>
      <c r="AA43" s="186"/>
      <c r="AB43" s="186"/>
      <c r="AC43" s="186"/>
      <c r="AD43" s="186"/>
      <c r="AE43" s="186"/>
    </row>
    <row r="44">
      <c r="A44" s="178"/>
      <c r="B44" s="36"/>
      <c r="C44" s="37"/>
      <c r="D44" s="254" t="s">
        <v>318</v>
      </c>
      <c r="E44" s="180">
        <v>46022.0</v>
      </c>
      <c r="F44" s="181">
        <v>5617.6</v>
      </c>
      <c r="G44" s="205">
        <v>381996.80000000005</v>
      </c>
      <c r="H44" s="205">
        <v>68.0</v>
      </c>
      <c r="I44" s="255">
        <v>34.0</v>
      </c>
      <c r="J44" s="256">
        <v>22.0</v>
      </c>
      <c r="K44" s="257">
        <v>27.0</v>
      </c>
      <c r="L44" s="257">
        <v>13.0</v>
      </c>
      <c r="M44" s="185">
        <v>31.0</v>
      </c>
      <c r="N44" s="186">
        <v>37.0</v>
      </c>
      <c r="O44" s="186"/>
      <c r="P44" s="186"/>
      <c r="Q44" s="186"/>
      <c r="R44" s="186"/>
      <c r="S44" s="186"/>
      <c r="T44" s="186"/>
      <c r="U44" s="186"/>
      <c r="V44" s="186"/>
      <c r="W44" s="186"/>
      <c r="X44" s="186"/>
      <c r="Y44" s="186"/>
      <c r="Z44" s="186"/>
      <c r="AA44" s="186"/>
      <c r="AB44" s="186"/>
      <c r="AC44" s="186"/>
      <c r="AD44" s="186"/>
      <c r="AE44" s="186"/>
    </row>
    <row r="45">
      <c r="A45" s="178"/>
      <c r="B45" s="36"/>
      <c r="C45" s="37"/>
      <c r="D45" s="197" t="s">
        <v>1203</v>
      </c>
      <c r="E45" s="180"/>
      <c r="F45" s="181"/>
      <c r="G45" s="210">
        <v>0.0</v>
      </c>
      <c r="H45" s="205"/>
      <c r="I45" s="255"/>
      <c r="J45" s="256"/>
      <c r="K45" s="257"/>
      <c r="L45" s="257"/>
      <c r="M45" s="185"/>
      <c r="N45" s="186"/>
      <c r="O45" s="186"/>
      <c r="P45" s="186"/>
      <c r="Q45" s="186"/>
      <c r="R45" s="186"/>
      <c r="S45" s="186"/>
      <c r="T45" s="186"/>
      <c r="U45" s="186"/>
      <c r="V45" s="186"/>
      <c r="W45" s="186"/>
      <c r="X45" s="186"/>
      <c r="Y45" s="186"/>
      <c r="Z45" s="186"/>
      <c r="AA45" s="186"/>
      <c r="AB45" s="186"/>
      <c r="AC45" s="186"/>
      <c r="AD45" s="186"/>
      <c r="AE45" s="186"/>
    </row>
    <row r="46">
      <c r="A46" s="178"/>
      <c r="B46" s="36"/>
      <c r="C46" s="37"/>
      <c r="D46" s="197" t="s">
        <v>326</v>
      </c>
      <c r="E46" s="180">
        <v>45022.0</v>
      </c>
      <c r="F46" s="181">
        <v>9.780000000000054</v>
      </c>
      <c r="G46" s="210">
        <v>0.0</v>
      </c>
      <c r="H46" s="205"/>
      <c r="I46" s="255"/>
      <c r="J46" s="256"/>
      <c r="K46" s="257"/>
      <c r="L46" s="257"/>
      <c r="M46" s="185"/>
      <c r="N46" s="186"/>
      <c r="O46" s="186"/>
      <c r="P46" s="186"/>
      <c r="Q46" s="186"/>
      <c r="R46" s="186"/>
      <c r="S46" s="186"/>
      <c r="T46" s="186"/>
      <c r="U46" s="186"/>
      <c r="V46" s="186"/>
      <c r="W46" s="186"/>
      <c r="X46" s="186"/>
      <c r="Y46" s="186"/>
      <c r="Z46" s="186"/>
      <c r="AA46" s="186"/>
      <c r="AB46" s="186"/>
      <c r="AC46" s="186"/>
      <c r="AD46" s="186"/>
      <c r="AE46" s="186"/>
    </row>
    <row r="47">
      <c r="A47" s="178"/>
      <c r="B47" s="36"/>
      <c r="C47" s="37"/>
      <c r="D47" s="254" t="s">
        <v>329</v>
      </c>
      <c r="E47" s="180">
        <v>45979.0</v>
      </c>
      <c r="F47" s="181">
        <v>1338.9999999999998</v>
      </c>
      <c r="G47" s="205">
        <v>0.0</v>
      </c>
      <c r="H47" s="205"/>
      <c r="I47" s="255"/>
      <c r="J47" s="256"/>
      <c r="K47" s="257"/>
      <c r="L47" s="257"/>
      <c r="M47" s="185"/>
      <c r="N47" s="186"/>
      <c r="O47" s="186"/>
      <c r="P47" s="186"/>
      <c r="Q47" s="186"/>
      <c r="R47" s="186"/>
      <c r="S47" s="186"/>
      <c r="T47" s="186"/>
      <c r="U47" s="186"/>
      <c r="V47" s="186"/>
      <c r="W47" s="186"/>
      <c r="X47" s="186"/>
      <c r="Y47" s="186"/>
      <c r="Z47" s="186"/>
      <c r="AA47" s="186"/>
      <c r="AB47" s="186"/>
      <c r="AC47" s="186"/>
      <c r="AD47" s="186"/>
      <c r="AE47" s="186"/>
    </row>
    <row r="48">
      <c r="A48" s="178"/>
      <c r="B48" s="36"/>
      <c r="C48" s="37"/>
      <c r="D48" s="254" t="s">
        <v>331</v>
      </c>
      <c r="E48" s="180">
        <v>46022.0</v>
      </c>
      <c r="F48" s="181">
        <v>639.424</v>
      </c>
      <c r="G48" s="205">
        <v>2611407.616</v>
      </c>
      <c r="H48" s="205">
        <v>4084.0</v>
      </c>
      <c r="I48" s="255">
        <v>2042.0</v>
      </c>
      <c r="J48" s="256">
        <v>1361.0</v>
      </c>
      <c r="K48" s="257">
        <v>1633.0</v>
      </c>
      <c r="L48" s="257">
        <v>816.0</v>
      </c>
      <c r="M48" s="185">
        <v>14.0</v>
      </c>
      <c r="N48" s="186">
        <v>4070.0</v>
      </c>
      <c r="O48" s="186"/>
      <c r="P48" s="186"/>
      <c r="Q48" s="186"/>
      <c r="R48" s="186"/>
      <c r="S48" s="186"/>
      <c r="T48" s="186"/>
      <c r="U48" s="186"/>
      <c r="V48" s="186"/>
      <c r="W48" s="186"/>
      <c r="X48" s="186"/>
      <c r="Y48" s="186"/>
      <c r="Z48" s="186"/>
      <c r="AA48" s="186"/>
      <c r="AB48" s="186"/>
      <c r="AC48" s="186"/>
      <c r="AD48" s="186"/>
      <c r="AE48" s="186"/>
    </row>
    <row r="49">
      <c r="A49" s="178"/>
      <c r="B49" s="36"/>
      <c r="C49" s="37"/>
      <c r="D49" s="254" t="s">
        <v>344</v>
      </c>
      <c r="E49" s="180">
        <v>45996.0</v>
      </c>
      <c r="F49" s="181">
        <v>161.42</v>
      </c>
      <c r="G49" s="205">
        <v>0.0</v>
      </c>
      <c r="H49" s="205"/>
      <c r="I49" s="255"/>
      <c r="J49" s="256"/>
      <c r="K49" s="257"/>
      <c r="L49" s="257"/>
      <c r="M49" s="185"/>
      <c r="N49" s="186"/>
      <c r="O49" s="186"/>
      <c r="P49" s="186"/>
      <c r="Q49" s="186"/>
      <c r="R49" s="186"/>
      <c r="S49" s="186"/>
      <c r="T49" s="186"/>
      <c r="U49" s="186"/>
      <c r="V49" s="186"/>
      <c r="W49" s="186"/>
      <c r="X49" s="186"/>
      <c r="Y49" s="186"/>
      <c r="Z49" s="186"/>
      <c r="AA49" s="186"/>
      <c r="AB49" s="186"/>
      <c r="AC49" s="186"/>
      <c r="AD49" s="186"/>
      <c r="AE49" s="186"/>
    </row>
    <row r="50">
      <c r="A50" s="178"/>
      <c r="B50" s="36"/>
      <c r="C50" s="37"/>
      <c r="D50" s="254" t="s">
        <v>351</v>
      </c>
      <c r="E50" s="180">
        <v>46015.0</v>
      </c>
      <c r="F50" s="181">
        <v>27318.46153846154</v>
      </c>
      <c r="G50" s="205">
        <v>5190507.692307692</v>
      </c>
      <c r="H50" s="205">
        <v>190.0</v>
      </c>
      <c r="I50" s="255">
        <v>95.0</v>
      </c>
      <c r="J50" s="256">
        <v>63.0</v>
      </c>
      <c r="K50" s="257">
        <v>76.0</v>
      </c>
      <c r="L50" s="257">
        <v>38.0</v>
      </c>
      <c r="M50" s="185">
        <v>159.0</v>
      </c>
      <c r="N50" s="186">
        <v>31.0</v>
      </c>
      <c r="O50" s="186"/>
      <c r="P50" s="186"/>
      <c r="Q50" s="186"/>
      <c r="R50" s="186"/>
      <c r="S50" s="186"/>
      <c r="T50" s="186"/>
      <c r="U50" s="186"/>
      <c r="V50" s="186"/>
      <c r="W50" s="186"/>
      <c r="X50" s="186"/>
      <c r="Y50" s="186"/>
      <c r="Z50" s="186"/>
      <c r="AA50" s="186"/>
      <c r="AB50" s="186"/>
      <c r="AC50" s="186"/>
      <c r="AD50" s="186"/>
      <c r="AE50" s="186"/>
    </row>
    <row r="51">
      <c r="A51" s="178"/>
      <c r="B51" s="36"/>
      <c r="C51" s="37"/>
      <c r="D51" s="254" t="s">
        <v>364</v>
      </c>
      <c r="E51" s="180">
        <v>46016.0</v>
      </c>
      <c r="F51" s="181">
        <v>727.964</v>
      </c>
      <c r="G51" s="205">
        <v>3760662.024</v>
      </c>
      <c r="H51" s="205">
        <v>5166.0</v>
      </c>
      <c r="I51" s="255">
        <v>2583.0</v>
      </c>
      <c r="J51" s="256">
        <v>1722.0</v>
      </c>
      <c r="K51" s="257">
        <v>2066.0</v>
      </c>
      <c r="L51" s="257">
        <v>1033.0</v>
      </c>
      <c r="M51" s="185"/>
      <c r="N51" s="186">
        <v>5166.0</v>
      </c>
      <c r="O51" s="186"/>
      <c r="P51" s="186"/>
      <c r="Q51" s="186"/>
      <c r="R51" s="186"/>
      <c r="S51" s="186"/>
      <c r="T51" s="186"/>
      <c r="U51" s="186"/>
      <c r="V51" s="186"/>
      <c r="W51" s="186"/>
      <c r="X51" s="186"/>
      <c r="Y51" s="186"/>
      <c r="Z51" s="186"/>
      <c r="AA51" s="186"/>
      <c r="AB51" s="186"/>
      <c r="AC51" s="186"/>
      <c r="AD51" s="186"/>
      <c r="AE51" s="186"/>
    </row>
    <row r="52">
      <c r="A52" s="178"/>
      <c r="B52" s="36"/>
      <c r="C52" s="37"/>
      <c r="D52" s="254" t="s">
        <v>377</v>
      </c>
      <c r="E52" s="180">
        <v>45709.0</v>
      </c>
      <c r="F52" s="181">
        <v>779.544</v>
      </c>
      <c r="G52" s="205">
        <v>7795440.0</v>
      </c>
      <c r="H52" s="205">
        <v>10000.0</v>
      </c>
      <c r="I52" s="255">
        <v>5000.0</v>
      </c>
      <c r="J52" s="256">
        <v>3333.0</v>
      </c>
      <c r="K52" s="257">
        <v>4000.0</v>
      </c>
      <c r="L52" s="257">
        <v>2000.0</v>
      </c>
      <c r="M52" s="185"/>
      <c r="N52" s="186">
        <v>10000.0</v>
      </c>
      <c r="O52" s="186"/>
      <c r="P52" s="186"/>
      <c r="Q52" s="186"/>
      <c r="R52" s="186"/>
      <c r="S52" s="186"/>
      <c r="T52" s="186"/>
      <c r="U52" s="186"/>
      <c r="V52" s="186"/>
      <c r="W52" s="186"/>
      <c r="X52" s="186"/>
      <c r="Y52" s="186"/>
      <c r="Z52" s="186"/>
      <c r="AA52" s="186"/>
      <c r="AB52" s="186"/>
      <c r="AC52" s="186"/>
      <c r="AD52" s="186"/>
      <c r="AE52" s="186"/>
    </row>
    <row r="53">
      <c r="A53" s="178"/>
      <c r="B53" s="36"/>
      <c r="C53" s="37"/>
      <c r="D53" s="254" t="s">
        <v>385</v>
      </c>
      <c r="E53" s="180">
        <v>46020.0</v>
      </c>
      <c r="F53" s="181">
        <v>874.8348348348349</v>
      </c>
      <c r="G53" s="205">
        <v>762855.975975976</v>
      </c>
      <c r="H53" s="205">
        <v>872.0</v>
      </c>
      <c r="I53" s="255">
        <v>436.0</v>
      </c>
      <c r="J53" s="256">
        <v>290.0</v>
      </c>
      <c r="K53" s="257">
        <v>348.0</v>
      </c>
      <c r="L53" s="257">
        <v>174.0</v>
      </c>
      <c r="M53" s="185">
        <v>494.0</v>
      </c>
      <c r="N53" s="186">
        <v>378.0</v>
      </c>
      <c r="O53" s="186"/>
      <c r="P53" s="186"/>
      <c r="Q53" s="186"/>
      <c r="R53" s="186"/>
      <c r="S53" s="186"/>
      <c r="T53" s="186"/>
      <c r="U53" s="186"/>
      <c r="V53" s="186"/>
      <c r="W53" s="186"/>
      <c r="X53" s="186"/>
      <c r="Y53" s="186"/>
      <c r="Z53" s="186"/>
      <c r="AA53" s="186"/>
      <c r="AB53" s="186"/>
      <c r="AC53" s="186"/>
      <c r="AD53" s="186"/>
      <c r="AE53" s="186"/>
    </row>
    <row r="54">
      <c r="A54" s="178"/>
      <c r="B54" s="36"/>
      <c r="C54" s="37"/>
      <c r="D54" s="197" t="s">
        <v>393</v>
      </c>
      <c r="E54" s="180">
        <v>45405.0</v>
      </c>
      <c r="F54" s="181">
        <v>2425.0</v>
      </c>
      <c r="G54" s="205">
        <v>0.0</v>
      </c>
      <c r="H54" s="205"/>
      <c r="I54" s="255"/>
      <c r="J54" s="256"/>
      <c r="K54" s="257"/>
      <c r="L54" s="257"/>
      <c r="M54" s="185"/>
      <c r="N54" s="186"/>
      <c r="O54" s="186"/>
      <c r="P54" s="186"/>
      <c r="Q54" s="186"/>
      <c r="R54" s="186"/>
      <c r="S54" s="186"/>
      <c r="T54" s="186"/>
      <c r="U54" s="186"/>
      <c r="V54" s="186"/>
      <c r="W54" s="186"/>
      <c r="X54" s="186"/>
      <c r="Y54" s="186"/>
      <c r="Z54" s="186"/>
      <c r="AA54" s="186"/>
      <c r="AB54" s="186"/>
      <c r="AC54" s="186"/>
      <c r="AD54" s="186"/>
      <c r="AE54" s="186"/>
    </row>
    <row r="55">
      <c r="A55" s="178"/>
      <c r="B55" s="36"/>
      <c r="C55" s="37"/>
      <c r="D55" s="254" t="s">
        <v>395</v>
      </c>
      <c r="E55" s="180">
        <v>46017.0</v>
      </c>
      <c r="F55" s="181">
        <v>552.9895238095239</v>
      </c>
      <c r="G55" s="205">
        <v>1498048.6200000003</v>
      </c>
      <c r="H55" s="205">
        <v>2709.0</v>
      </c>
      <c r="I55" s="255">
        <v>1354.0</v>
      </c>
      <c r="J55" s="256">
        <v>903.0</v>
      </c>
      <c r="K55" s="257">
        <v>1083.0</v>
      </c>
      <c r="L55" s="257">
        <v>541.0</v>
      </c>
      <c r="M55" s="185">
        <v>1000.0</v>
      </c>
      <c r="N55" s="186">
        <v>1709.0</v>
      </c>
      <c r="O55" s="186"/>
      <c r="P55" s="186"/>
      <c r="Q55" s="186"/>
      <c r="R55" s="186"/>
      <c r="S55" s="186"/>
      <c r="T55" s="186"/>
      <c r="U55" s="186"/>
      <c r="V55" s="186"/>
      <c r="W55" s="186"/>
      <c r="X55" s="186"/>
      <c r="Y55" s="186"/>
      <c r="Z55" s="186"/>
      <c r="AA55" s="186"/>
      <c r="AB55" s="186"/>
      <c r="AC55" s="186"/>
      <c r="AD55" s="186"/>
      <c r="AE55" s="186"/>
    </row>
    <row r="56">
      <c r="A56" s="178"/>
      <c r="B56" s="36"/>
      <c r="C56" s="37"/>
      <c r="D56" s="254" t="s">
        <v>397</v>
      </c>
      <c r="E56" s="180">
        <v>46013.0</v>
      </c>
      <c r="F56" s="181">
        <v>1140.7243478260868</v>
      </c>
      <c r="G56" s="205">
        <v>5168622.02</v>
      </c>
      <c r="H56" s="205">
        <v>4531.0</v>
      </c>
      <c r="I56" s="255">
        <v>2265.0</v>
      </c>
      <c r="J56" s="256">
        <v>1510.0</v>
      </c>
      <c r="K56" s="257">
        <v>1812.0</v>
      </c>
      <c r="L56" s="257">
        <v>906.0</v>
      </c>
      <c r="M56" s="185">
        <v>932.0</v>
      </c>
      <c r="N56" s="186">
        <v>3599.0</v>
      </c>
      <c r="O56" s="186"/>
      <c r="P56" s="186"/>
      <c r="Q56" s="186"/>
      <c r="R56" s="186"/>
      <c r="S56" s="186"/>
      <c r="T56" s="186"/>
      <c r="U56" s="186"/>
      <c r="V56" s="186"/>
      <c r="W56" s="186"/>
      <c r="X56" s="186"/>
      <c r="Y56" s="186"/>
      <c r="Z56" s="186"/>
      <c r="AA56" s="186"/>
      <c r="AB56" s="186"/>
      <c r="AC56" s="186"/>
      <c r="AD56" s="186"/>
      <c r="AE56" s="186"/>
    </row>
    <row r="57">
      <c r="A57" s="178"/>
      <c r="B57" s="36"/>
      <c r="C57" s="37"/>
      <c r="D57" s="197" t="s">
        <v>402</v>
      </c>
      <c r="E57" s="180">
        <v>45527.0</v>
      </c>
      <c r="F57" s="181">
        <v>1448.0666666666666</v>
      </c>
      <c r="G57" s="205">
        <v>0.0</v>
      </c>
      <c r="H57" s="205"/>
      <c r="I57" s="255"/>
      <c r="J57" s="256"/>
      <c r="K57" s="257"/>
      <c r="L57" s="257"/>
      <c r="M57" s="185"/>
      <c r="N57" s="186"/>
      <c r="O57" s="186"/>
      <c r="P57" s="186"/>
      <c r="Q57" s="186"/>
      <c r="R57" s="186"/>
      <c r="S57" s="186"/>
      <c r="T57" s="186"/>
      <c r="U57" s="186"/>
      <c r="V57" s="186"/>
      <c r="W57" s="186"/>
      <c r="X57" s="186"/>
      <c r="Y57" s="186"/>
      <c r="Z57" s="186"/>
      <c r="AA57" s="186"/>
      <c r="AB57" s="186"/>
      <c r="AC57" s="186"/>
      <c r="AD57" s="186"/>
      <c r="AE57" s="186"/>
    </row>
    <row r="58">
      <c r="A58" s="178"/>
      <c r="B58" s="36"/>
      <c r="C58" s="37"/>
      <c r="D58" s="254" t="s">
        <v>403</v>
      </c>
      <c r="E58" s="180">
        <v>46019.0</v>
      </c>
      <c r="F58" s="181">
        <v>1056.9999999999998</v>
      </c>
      <c r="G58" s="205">
        <v>1144730.9999999998</v>
      </c>
      <c r="H58" s="205">
        <v>1083.0</v>
      </c>
      <c r="I58" s="255">
        <v>541.0</v>
      </c>
      <c r="J58" s="256">
        <v>361.0</v>
      </c>
      <c r="K58" s="257">
        <v>433.0</v>
      </c>
      <c r="L58" s="257">
        <v>216.0</v>
      </c>
      <c r="M58" s="185">
        <v>802.0</v>
      </c>
      <c r="N58" s="186">
        <v>281.0</v>
      </c>
      <c r="O58" s="186"/>
      <c r="P58" s="186"/>
      <c r="Q58" s="186"/>
      <c r="R58" s="186"/>
      <c r="S58" s="186"/>
      <c r="T58" s="186"/>
      <c r="U58" s="186"/>
      <c r="V58" s="186"/>
      <c r="W58" s="186"/>
      <c r="X58" s="186"/>
      <c r="Y58" s="186"/>
      <c r="Z58" s="186"/>
      <c r="AA58" s="186"/>
      <c r="AB58" s="186"/>
      <c r="AC58" s="186"/>
      <c r="AD58" s="186"/>
      <c r="AE58" s="186"/>
    </row>
    <row r="59">
      <c r="A59" s="178"/>
      <c r="B59" s="36"/>
      <c r="C59" s="37"/>
      <c r="D59" s="197" t="s">
        <v>1280</v>
      </c>
      <c r="E59" s="180"/>
      <c r="F59" s="181"/>
      <c r="G59" s="205">
        <v>0.0</v>
      </c>
      <c r="H59" s="205"/>
      <c r="I59" s="255"/>
      <c r="J59" s="256"/>
      <c r="K59" s="257"/>
      <c r="L59" s="257"/>
      <c r="M59" s="185"/>
      <c r="N59" s="186"/>
      <c r="O59" s="186"/>
      <c r="P59" s="186"/>
      <c r="Q59" s="186"/>
      <c r="R59" s="186"/>
      <c r="S59" s="186"/>
      <c r="T59" s="186"/>
      <c r="U59" s="186"/>
      <c r="V59" s="186"/>
      <c r="W59" s="186"/>
      <c r="X59" s="186"/>
      <c r="Y59" s="186"/>
      <c r="Z59" s="186"/>
      <c r="AA59" s="186"/>
      <c r="AB59" s="186"/>
      <c r="AC59" s="186"/>
      <c r="AD59" s="186"/>
      <c r="AE59" s="186"/>
    </row>
    <row r="60">
      <c r="A60" s="178"/>
      <c r="B60" s="36"/>
      <c r="C60" s="37"/>
      <c r="D60" s="197" t="s">
        <v>406</v>
      </c>
      <c r="E60" s="180">
        <v>45965.0</v>
      </c>
      <c r="F60" s="181">
        <v>1291.1</v>
      </c>
      <c r="G60" s="205">
        <v>27113.1</v>
      </c>
      <c r="H60" s="205">
        <v>21.0</v>
      </c>
      <c r="I60" s="255">
        <v>10.0</v>
      </c>
      <c r="J60" s="256">
        <v>7.0</v>
      </c>
      <c r="K60" s="257">
        <v>8.0</v>
      </c>
      <c r="L60" s="257">
        <v>4.0</v>
      </c>
      <c r="M60" s="185"/>
      <c r="N60" s="186">
        <v>21.0</v>
      </c>
      <c r="O60" s="186"/>
      <c r="P60" s="186"/>
      <c r="Q60" s="186"/>
      <c r="R60" s="186"/>
      <c r="S60" s="186"/>
      <c r="T60" s="186"/>
      <c r="U60" s="186"/>
      <c r="V60" s="186"/>
      <c r="W60" s="186"/>
      <c r="X60" s="186"/>
      <c r="Y60" s="186"/>
      <c r="Z60" s="186"/>
      <c r="AA60" s="186"/>
      <c r="AB60" s="186"/>
      <c r="AC60" s="186"/>
      <c r="AD60" s="186"/>
      <c r="AE60" s="186"/>
    </row>
    <row r="61">
      <c r="A61" s="178"/>
      <c r="B61" s="36"/>
      <c r="C61" s="37"/>
      <c r="D61" s="254" t="s">
        <v>408</v>
      </c>
      <c r="E61" s="180">
        <v>46022.0</v>
      </c>
      <c r="F61" s="181">
        <v>288.88700000000006</v>
      </c>
      <c r="G61" s="205">
        <v>1521567.8290000004</v>
      </c>
      <c r="H61" s="205">
        <v>5267.0</v>
      </c>
      <c r="I61" s="255">
        <v>2633.0</v>
      </c>
      <c r="J61" s="256">
        <v>1755.0</v>
      </c>
      <c r="K61" s="257">
        <v>2106.0</v>
      </c>
      <c r="L61" s="257">
        <v>1053.0</v>
      </c>
      <c r="M61" s="185">
        <v>2992.0</v>
      </c>
      <c r="N61" s="186">
        <v>2275.0</v>
      </c>
      <c r="O61" s="186"/>
      <c r="P61" s="186"/>
      <c r="Q61" s="186"/>
      <c r="R61" s="186"/>
      <c r="S61" s="186"/>
      <c r="T61" s="186"/>
      <c r="U61" s="186"/>
      <c r="V61" s="186"/>
      <c r="W61" s="186"/>
      <c r="X61" s="186"/>
      <c r="Y61" s="186"/>
      <c r="Z61" s="186"/>
      <c r="AA61" s="186"/>
      <c r="AB61" s="186"/>
      <c r="AC61" s="186"/>
      <c r="AD61" s="186"/>
      <c r="AE61" s="186"/>
    </row>
    <row r="62">
      <c r="A62" s="178"/>
      <c r="B62" s="36"/>
      <c r="C62" s="37"/>
      <c r="D62" s="254" t="s">
        <v>450</v>
      </c>
      <c r="E62" s="180">
        <v>46022.0</v>
      </c>
      <c r="F62" s="181">
        <v>340.3485</v>
      </c>
      <c r="G62" s="205">
        <v>1347099.363</v>
      </c>
      <c r="H62" s="178">
        <v>3958.0</v>
      </c>
      <c r="I62" s="259">
        <v>1979.0</v>
      </c>
      <c r="J62" s="260">
        <v>1319.0</v>
      </c>
      <c r="K62" s="185">
        <v>1583.0</v>
      </c>
      <c r="L62" s="185">
        <v>791.0</v>
      </c>
      <c r="M62" s="185">
        <v>1748.0</v>
      </c>
      <c r="N62" s="186">
        <v>2210.0</v>
      </c>
      <c r="O62" s="186"/>
      <c r="P62" s="186"/>
      <c r="Q62" s="186"/>
      <c r="R62" s="186"/>
      <c r="S62" s="186"/>
      <c r="T62" s="186"/>
      <c r="U62" s="186"/>
      <c r="V62" s="186"/>
      <c r="W62" s="186"/>
      <c r="X62" s="186"/>
      <c r="Y62" s="186"/>
      <c r="Z62" s="186"/>
      <c r="AA62" s="186"/>
      <c r="AB62" s="186"/>
      <c r="AC62" s="186"/>
      <c r="AD62" s="186"/>
      <c r="AE62" s="186"/>
    </row>
    <row r="63">
      <c r="A63" s="178"/>
      <c r="B63" s="36"/>
      <c r="C63" s="37"/>
      <c r="D63" s="254" t="s">
        <v>472</v>
      </c>
      <c r="E63" s="180">
        <v>46022.0</v>
      </c>
      <c r="F63" s="181">
        <v>572.0</v>
      </c>
      <c r="G63" s="205">
        <v>2864004.0</v>
      </c>
      <c r="H63" s="205">
        <v>5007.0</v>
      </c>
      <c r="I63" s="255">
        <v>2503.0</v>
      </c>
      <c r="J63" s="256">
        <v>1669.0</v>
      </c>
      <c r="K63" s="257">
        <v>2002.0</v>
      </c>
      <c r="L63" s="257">
        <v>1001.0</v>
      </c>
      <c r="M63" s="185">
        <v>4619.0</v>
      </c>
      <c r="N63" s="186">
        <v>388.0</v>
      </c>
      <c r="O63" s="186"/>
      <c r="P63" s="186"/>
      <c r="Q63" s="186"/>
      <c r="R63" s="186"/>
      <c r="S63" s="186"/>
      <c r="T63" s="186"/>
      <c r="U63" s="186"/>
      <c r="V63" s="186"/>
      <c r="W63" s="186"/>
      <c r="X63" s="186"/>
      <c r="Y63" s="186"/>
      <c r="Z63" s="186"/>
      <c r="AA63" s="186"/>
      <c r="AB63" s="186"/>
      <c r="AC63" s="186"/>
      <c r="AD63" s="186"/>
      <c r="AE63" s="186"/>
    </row>
    <row r="64">
      <c r="A64" s="178"/>
      <c r="B64" s="36"/>
      <c r="C64" s="37"/>
      <c r="D64" s="254" t="s">
        <v>478</v>
      </c>
      <c r="E64" s="180">
        <v>46021.0</v>
      </c>
      <c r="F64" s="181">
        <v>855.4999999999999</v>
      </c>
      <c r="G64" s="205">
        <v>2073731.9999999998</v>
      </c>
      <c r="H64" s="205">
        <v>2424.0</v>
      </c>
      <c r="I64" s="255">
        <v>1212.0</v>
      </c>
      <c r="J64" s="256">
        <v>808.0</v>
      </c>
      <c r="K64" s="257">
        <v>969.0</v>
      </c>
      <c r="L64" s="257">
        <v>484.0</v>
      </c>
      <c r="M64" s="185">
        <v>1214.0</v>
      </c>
      <c r="N64" s="186">
        <v>1210.0</v>
      </c>
      <c r="O64" s="186"/>
      <c r="P64" s="186"/>
      <c r="Q64" s="186"/>
      <c r="R64" s="186"/>
      <c r="S64" s="186"/>
      <c r="T64" s="186"/>
      <c r="U64" s="186"/>
      <c r="V64" s="186"/>
      <c r="W64" s="186"/>
      <c r="X64" s="186"/>
      <c r="Y64" s="186"/>
      <c r="Z64" s="186"/>
      <c r="AA64" s="186"/>
      <c r="AB64" s="186"/>
      <c r="AC64" s="186"/>
      <c r="AD64" s="186"/>
      <c r="AE64" s="186"/>
    </row>
    <row r="65">
      <c r="A65" s="178"/>
      <c r="B65" s="36"/>
      <c r="C65" s="37"/>
      <c r="D65" s="254" t="s">
        <v>481</v>
      </c>
      <c r="E65" s="180">
        <v>46021.0</v>
      </c>
      <c r="F65" s="181">
        <v>1018.0</v>
      </c>
      <c r="G65" s="205">
        <v>1344778.0</v>
      </c>
      <c r="H65" s="205">
        <v>1321.0</v>
      </c>
      <c r="I65" s="255">
        <v>660.0</v>
      </c>
      <c r="J65" s="256">
        <v>440.0</v>
      </c>
      <c r="K65" s="257">
        <v>528.0</v>
      </c>
      <c r="L65" s="257">
        <v>264.0</v>
      </c>
      <c r="M65" s="185">
        <v>423.0</v>
      </c>
      <c r="N65" s="186">
        <v>898.0</v>
      </c>
      <c r="O65" s="186"/>
      <c r="P65" s="186"/>
      <c r="Q65" s="186"/>
      <c r="R65" s="186"/>
      <c r="S65" s="186"/>
      <c r="T65" s="186"/>
      <c r="U65" s="186"/>
      <c r="V65" s="186"/>
      <c r="W65" s="186"/>
      <c r="X65" s="186"/>
      <c r="Y65" s="186"/>
      <c r="Z65" s="186"/>
      <c r="AA65" s="186"/>
      <c r="AB65" s="186"/>
      <c r="AC65" s="186"/>
      <c r="AD65" s="186"/>
      <c r="AE65" s="186"/>
    </row>
    <row r="66">
      <c r="A66" s="178"/>
      <c r="B66" s="36"/>
      <c r="C66" s="37"/>
      <c r="D66" s="254" t="s">
        <v>483</v>
      </c>
      <c r="E66" s="180">
        <v>46016.0</v>
      </c>
      <c r="F66" s="181">
        <v>729.9999999999999</v>
      </c>
      <c r="G66" s="205">
        <v>886949.9999999999</v>
      </c>
      <c r="H66" s="205">
        <v>1215.0</v>
      </c>
      <c r="I66" s="255">
        <v>607.0</v>
      </c>
      <c r="J66" s="256">
        <v>405.0</v>
      </c>
      <c r="K66" s="257">
        <v>486.0</v>
      </c>
      <c r="L66" s="257">
        <v>243.0</v>
      </c>
      <c r="M66" s="185">
        <v>1021.0</v>
      </c>
      <c r="N66" s="186">
        <v>194.0</v>
      </c>
      <c r="O66" s="186"/>
      <c r="P66" s="186"/>
      <c r="Q66" s="186"/>
      <c r="R66" s="186"/>
      <c r="S66" s="186"/>
      <c r="T66" s="186"/>
      <c r="U66" s="186"/>
      <c r="V66" s="186"/>
      <c r="W66" s="186"/>
      <c r="X66" s="186"/>
      <c r="Y66" s="186"/>
      <c r="Z66" s="186"/>
      <c r="AA66" s="186"/>
      <c r="AB66" s="186"/>
      <c r="AC66" s="186"/>
      <c r="AD66" s="186"/>
      <c r="AE66" s="186"/>
    </row>
    <row r="67">
      <c r="A67" s="178"/>
      <c r="B67" s="36"/>
      <c r="C67" s="37"/>
      <c r="D67" s="254" t="s">
        <v>502</v>
      </c>
      <c r="E67" s="180">
        <v>46019.0</v>
      </c>
      <c r="F67" s="181">
        <v>585.4019999999999</v>
      </c>
      <c r="G67" s="205">
        <v>525105.5939999999</v>
      </c>
      <c r="H67" s="205">
        <v>897.0</v>
      </c>
      <c r="I67" s="255">
        <v>448.0</v>
      </c>
      <c r="J67" s="256">
        <v>299.0</v>
      </c>
      <c r="K67" s="257">
        <v>358.0</v>
      </c>
      <c r="L67" s="257">
        <v>179.0</v>
      </c>
      <c r="M67" s="185">
        <v>412.0</v>
      </c>
      <c r="N67" s="186">
        <v>485.0</v>
      </c>
      <c r="O67" s="186"/>
      <c r="P67" s="186"/>
      <c r="Q67" s="186"/>
      <c r="R67" s="186"/>
      <c r="S67" s="186"/>
      <c r="T67" s="186"/>
      <c r="U67" s="186"/>
      <c r="V67" s="186"/>
      <c r="W67" s="186"/>
      <c r="X67" s="186"/>
      <c r="Y67" s="186"/>
      <c r="Z67" s="186"/>
      <c r="AA67" s="186"/>
      <c r="AB67" s="186"/>
      <c r="AC67" s="186"/>
      <c r="AD67" s="186"/>
      <c r="AE67" s="186"/>
    </row>
    <row r="68">
      <c r="A68" s="178"/>
      <c r="B68" s="36"/>
      <c r="C68" s="37"/>
      <c r="D68" s="197" t="s">
        <v>504</v>
      </c>
      <c r="E68" s="180">
        <v>43444.0</v>
      </c>
      <c r="F68" s="181">
        <v>7889000.0</v>
      </c>
      <c r="G68" s="205">
        <v>0.0</v>
      </c>
      <c r="H68" s="205"/>
      <c r="I68" s="255"/>
      <c r="J68" s="256"/>
      <c r="K68" s="257"/>
      <c r="L68" s="257"/>
      <c r="M68" s="185"/>
      <c r="N68" s="186"/>
      <c r="O68" s="186"/>
      <c r="P68" s="186"/>
      <c r="Q68" s="186"/>
      <c r="R68" s="186"/>
      <c r="S68" s="186"/>
      <c r="T68" s="186"/>
      <c r="U68" s="186"/>
      <c r="V68" s="186"/>
      <c r="W68" s="186"/>
      <c r="X68" s="186"/>
      <c r="Y68" s="186"/>
      <c r="Z68" s="186"/>
      <c r="AA68" s="186"/>
      <c r="AB68" s="186"/>
      <c r="AC68" s="186"/>
      <c r="AD68" s="186"/>
      <c r="AE68" s="186"/>
    </row>
    <row r="69">
      <c r="A69" s="178"/>
      <c r="B69" s="36"/>
      <c r="C69" s="37"/>
      <c r="D69" s="254" t="s">
        <v>507</v>
      </c>
      <c r="E69" s="180">
        <v>46022.0</v>
      </c>
      <c r="F69" s="181">
        <v>607.75</v>
      </c>
      <c r="G69" s="205">
        <v>677641.25</v>
      </c>
      <c r="H69" s="205">
        <v>1115.0</v>
      </c>
      <c r="I69" s="255">
        <v>557.0</v>
      </c>
      <c r="J69" s="256">
        <v>371.0</v>
      </c>
      <c r="K69" s="257">
        <v>446.0</v>
      </c>
      <c r="L69" s="257">
        <v>223.0</v>
      </c>
      <c r="M69" s="185">
        <v>552.0</v>
      </c>
      <c r="N69" s="186">
        <v>563.0</v>
      </c>
      <c r="O69" s="186"/>
      <c r="P69" s="186"/>
      <c r="Q69" s="186"/>
      <c r="R69" s="186"/>
      <c r="S69" s="186"/>
      <c r="T69" s="186"/>
      <c r="U69" s="186"/>
      <c r="V69" s="186"/>
      <c r="W69" s="186"/>
      <c r="X69" s="186"/>
      <c r="Y69" s="186"/>
      <c r="Z69" s="186"/>
      <c r="AA69" s="186"/>
      <c r="AB69" s="186"/>
      <c r="AC69" s="186"/>
      <c r="AD69" s="186"/>
      <c r="AE69" s="186"/>
    </row>
    <row r="70">
      <c r="A70" s="178"/>
      <c r="B70" s="36"/>
      <c r="C70" s="37"/>
      <c r="D70" s="254" t="s">
        <v>509</v>
      </c>
      <c r="E70" s="180">
        <v>46021.0</v>
      </c>
      <c r="F70" s="181">
        <v>325.974635979333</v>
      </c>
      <c r="G70" s="205">
        <v>828627.5246594645</v>
      </c>
      <c r="H70" s="205">
        <v>2542.0</v>
      </c>
      <c r="I70" s="261">
        <v>1271.0</v>
      </c>
      <c r="J70" s="262">
        <v>847.0</v>
      </c>
      <c r="K70" s="263">
        <v>1016.0</v>
      </c>
      <c r="L70" s="263">
        <v>508.0</v>
      </c>
      <c r="M70" s="185">
        <v>344.0</v>
      </c>
      <c r="N70" s="186">
        <v>2198.0</v>
      </c>
      <c r="O70" s="186"/>
      <c r="P70" s="186"/>
      <c r="Q70" s="186"/>
      <c r="R70" s="186"/>
      <c r="S70" s="186"/>
      <c r="T70" s="186"/>
      <c r="U70" s="186"/>
      <c r="V70" s="186"/>
      <c r="W70" s="186"/>
      <c r="X70" s="186"/>
      <c r="Y70" s="186"/>
      <c r="Z70" s="186"/>
      <c r="AA70" s="186"/>
      <c r="AB70" s="186"/>
      <c r="AC70" s="186"/>
      <c r="AD70" s="186"/>
      <c r="AE70" s="186"/>
    </row>
    <row r="71">
      <c r="A71" s="178"/>
      <c r="B71" s="36"/>
      <c r="C71" s="37"/>
      <c r="D71" s="254" t="s">
        <v>516</v>
      </c>
      <c r="E71" s="180">
        <v>46001.0</v>
      </c>
      <c r="F71" s="181">
        <v>165.045</v>
      </c>
      <c r="G71" s="205">
        <v>1201527.5999999999</v>
      </c>
      <c r="H71" s="205">
        <v>7280.0</v>
      </c>
      <c r="I71" s="255">
        <v>3640.0</v>
      </c>
      <c r="J71" s="256">
        <v>2426.0</v>
      </c>
      <c r="K71" s="257">
        <v>2912.0</v>
      </c>
      <c r="L71" s="257">
        <v>1456.0</v>
      </c>
      <c r="M71" s="185">
        <v>5600.0</v>
      </c>
      <c r="N71" s="186">
        <v>1680.0</v>
      </c>
      <c r="O71" s="186"/>
      <c r="P71" s="186"/>
      <c r="Q71" s="186"/>
      <c r="R71" s="186"/>
      <c r="S71" s="186"/>
      <c r="T71" s="186"/>
      <c r="U71" s="186"/>
      <c r="V71" s="186"/>
      <c r="W71" s="186"/>
      <c r="X71" s="186"/>
      <c r="Y71" s="186"/>
      <c r="Z71" s="186"/>
      <c r="AA71" s="186"/>
      <c r="AB71" s="186"/>
      <c r="AC71" s="186"/>
      <c r="AD71" s="186"/>
      <c r="AE71" s="186"/>
    </row>
    <row r="72">
      <c r="A72" s="178"/>
      <c r="B72" s="36"/>
      <c r="C72" s="37"/>
      <c r="D72" s="254" t="s">
        <v>535</v>
      </c>
      <c r="E72" s="180">
        <v>46002.0</v>
      </c>
      <c r="F72" s="181">
        <v>165.05558035714284</v>
      </c>
      <c r="G72" s="205">
        <v>1188400.1785714284</v>
      </c>
      <c r="H72" s="205">
        <v>7200.0</v>
      </c>
      <c r="I72" s="255">
        <v>3600.0</v>
      </c>
      <c r="J72" s="256">
        <v>2400.0</v>
      </c>
      <c r="K72" s="257">
        <v>2880.0</v>
      </c>
      <c r="L72" s="257">
        <v>1440.0</v>
      </c>
      <c r="M72" s="185">
        <v>3120.0</v>
      </c>
      <c r="N72" s="186">
        <v>4080.0</v>
      </c>
      <c r="O72" s="186"/>
      <c r="P72" s="186"/>
      <c r="Q72" s="186"/>
      <c r="R72" s="186"/>
      <c r="S72" s="186"/>
      <c r="T72" s="186"/>
      <c r="U72" s="186"/>
      <c r="V72" s="186"/>
      <c r="W72" s="186"/>
      <c r="X72" s="186"/>
      <c r="Y72" s="186"/>
      <c r="Z72" s="186"/>
      <c r="AA72" s="186"/>
      <c r="AB72" s="186"/>
      <c r="AC72" s="186"/>
      <c r="AD72" s="186"/>
      <c r="AE72" s="186"/>
    </row>
    <row r="73">
      <c r="A73" s="178"/>
      <c r="B73" s="36"/>
      <c r="C73" s="37"/>
      <c r="D73" s="254" t="s">
        <v>544</v>
      </c>
      <c r="E73" s="180">
        <v>46017.0</v>
      </c>
      <c r="F73" s="181">
        <v>165.0465</v>
      </c>
      <c r="G73" s="205">
        <v>1366585.02</v>
      </c>
      <c r="H73" s="205">
        <v>8280.0</v>
      </c>
      <c r="I73" s="255">
        <v>4140.0</v>
      </c>
      <c r="J73" s="256">
        <v>2760.0</v>
      </c>
      <c r="K73" s="257">
        <v>3312.0</v>
      </c>
      <c r="L73" s="257">
        <v>1656.0</v>
      </c>
      <c r="M73" s="185">
        <v>5240.0</v>
      </c>
      <c r="N73" s="186">
        <v>3040.0</v>
      </c>
      <c r="O73" s="186"/>
      <c r="P73" s="186"/>
      <c r="Q73" s="186"/>
      <c r="R73" s="186"/>
      <c r="S73" s="186"/>
      <c r="T73" s="186"/>
      <c r="U73" s="186"/>
      <c r="V73" s="186"/>
      <c r="W73" s="186"/>
      <c r="X73" s="186"/>
      <c r="Y73" s="186"/>
      <c r="Z73" s="186"/>
      <c r="AA73" s="186"/>
      <c r="AB73" s="186"/>
      <c r="AC73" s="186"/>
      <c r="AD73" s="186"/>
      <c r="AE73" s="186"/>
    </row>
    <row r="74">
      <c r="A74" s="178"/>
      <c r="B74" s="36"/>
      <c r="C74" s="37"/>
      <c r="D74" s="254" t="s">
        <v>555</v>
      </c>
      <c r="E74" s="180">
        <v>46010.0</v>
      </c>
      <c r="F74" s="181">
        <v>179.24125000000004</v>
      </c>
      <c r="G74" s="205">
        <v>996581.3500000002</v>
      </c>
      <c r="H74" s="205">
        <v>5560.0</v>
      </c>
      <c r="I74" s="255">
        <v>2780.0</v>
      </c>
      <c r="J74" s="256">
        <v>1853.0</v>
      </c>
      <c r="K74" s="257">
        <v>2224.0</v>
      </c>
      <c r="L74" s="257">
        <v>1112.0</v>
      </c>
      <c r="M74" s="185">
        <v>2440.0</v>
      </c>
      <c r="N74" s="186">
        <v>3120.0</v>
      </c>
      <c r="O74" s="186"/>
      <c r="P74" s="186"/>
      <c r="Q74" s="186"/>
      <c r="R74" s="186"/>
      <c r="S74" s="186"/>
      <c r="T74" s="186"/>
      <c r="U74" s="186"/>
      <c r="V74" s="186"/>
      <c r="W74" s="186"/>
      <c r="X74" s="186"/>
      <c r="Y74" s="186"/>
      <c r="Z74" s="186"/>
      <c r="AA74" s="186"/>
      <c r="AB74" s="186"/>
      <c r="AC74" s="186"/>
      <c r="AD74" s="186"/>
      <c r="AE74" s="186"/>
    </row>
    <row r="75">
      <c r="A75" s="178"/>
      <c r="B75" s="36"/>
      <c r="C75" s="37"/>
      <c r="D75" s="254" t="s">
        <v>566</v>
      </c>
      <c r="E75" s="180">
        <v>46017.0</v>
      </c>
      <c r="F75" s="181">
        <v>165.0465</v>
      </c>
      <c r="G75" s="205">
        <v>845038.0800000001</v>
      </c>
      <c r="H75" s="205">
        <v>5120.0</v>
      </c>
      <c r="I75" s="255">
        <v>2560.0</v>
      </c>
      <c r="J75" s="256">
        <v>1706.0</v>
      </c>
      <c r="K75" s="257">
        <v>2048.0</v>
      </c>
      <c r="L75" s="257">
        <v>1024.0</v>
      </c>
      <c r="M75" s="185">
        <v>1560.0</v>
      </c>
      <c r="N75" s="186">
        <v>3560.0</v>
      </c>
      <c r="O75" s="186"/>
      <c r="P75" s="186"/>
      <c r="Q75" s="186"/>
      <c r="R75" s="186"/>
      <c r="S75" s="186"/>
      <c r="T75" s="186"/>
      <c r="U75" s="186"/>
      <c r="V75" s="186"/>
      <c r="W75" s="186"/>
      <c r="X75" s="186"/>
      <c r="Y75" s="186"/>
      <c r="Z75" s="186"/>
      <c r="AA75" s="186"/>
      <c r="AB75" s="186"/>
      <c r="AC75" s="186"/>
      <c r="AD75" s="186"/>
      <c r="AE75" s="186"/>
    </row>
    <row r="76">
      <c r="A76" s="178"/>
      <c r="B76" s="36"/>
      <c r="C76" s="37"/>
      <c r="D76" s="254" t="s">
        <v>576</v>
      </c>
      <c r="E76" s="180">
        <v>46010.0</v>
      </c>
      <c r="F76" s="181">
        <v>187.38486842105263</v>
      </c>
      <c r="G76" s="205">
        <v>989392.1052631579</v>
      </c>
      <c r="H76" s="205">
        <v>5280.0</v>
      </c>
      <c r="I76" s="255">
        <v>2640.0</v>
      </c>
      <c r="J76" s="256">
        <v>1760.0</v>
      </c>
      <c r="K76" s="257">
        <v>2112.0</v>
      </c>
      <c r="L76" s="257">
        <v>1056.0</v>
      </c>
      <c r="M76" s="185">
        <v>2600.0</v>
      </c>
      <c r="N76" s="186">
        <v>2680.0</v>
      </c>
      <c r="O76" s="186"/>
      <c r="P76" s="186"/>
      <c r="Q76" s="186"/>
      <c r="R76" s="186"/>
      <c r="S76" s="186"/>
      <c r="T76" s="186"/>
      <c r="U76" s="186"/>
      <c r="V76" s="186"/>
      <c r="W76" s="186"/>
      <c r="X76" s="186"/>
      <c r="Y76" s="186"/>
      <c r="Z76" s="186"/>
      <c r="AA76" s="186"/>
      <c r="AB76" s="186"/>
      <c r="AC76" s="186"/>
      <c r="AD76" s="186"/>
      <c r="AE76" s="186"/>
    </row>
    <row r="77">
      <c r="A77" s="178"/>
      <c r="B77" s="36"/>
      <c r="C77" s="37"/>
      <c r="D77" s="197" t="s">
        <v>582</v>
      </c>
      <c r="E77" s="180">
        <v>46011.0</v>
      </c>
      <c r="F77" s="181">
        <v>829.248</v>
      </c>
      <c r="G77" s="205">
        <v>386429.568</v>
      </c>
      <c r="H77" s="205">
        <v>466.0</v>
      </c>
      <c r="I77" s="255">
        <v>233.0</v>
      </c>
      <c r="J77" s="256">
        <v>155.0</v>
      </c>
      <c r="K77" s="257">
        <v>186.0</v>
      </c>
      <c r="L77" s="257">
        <v>93.0</v>
      </c>
      <c r="M77" s="185"/>
      <c r="N77" s="186">
        <v>466.0</v>
      </c>
      <c r="O77" s="186"/>
      <c r="P77" s="186"/>
      <c r="Q77" s="186"/>
      <c r="R77" s="186"/>
      <c r="S77" s="186"/>
      <c r="T77" s="186"/>
      <c r="U77" s="186"/>
      <c r="V77" s="186"/>
      <c r="W77" s="186"/>
      <c r="X77" s="186"/>
      <c r="Y77" s="186"/>
      <c r="Z77" s="186"/>
      <c r="AA77" s="186"/>
      <c r="AB77" s="186"/>
      <c r="AC77" s="186"/>
      <c r="AD77" s="186"/>
      <c r="AE77" s="186"/>
    </row>
    <row r="78">
      <c r="A78" s="178"/>
      <c r="B78" s="36"/>
      <c r="C78" s="37"/>
      <c r="D78" s="197" t="s">
        <v>585</v>
      </c>
      <c r="E78" s="180"/>
      <c r="F78" s="181"/>
      <c r="G78" s="205">
        <v>0.0</v>
      </c>
      <c r="H78" s="205">
        <v>1.0</v>
      </c>
      <c r="I78" s="255">
        <v>0.0</v>
      </c>
      <c r="J78" s="256">
        <v>0.0</v>
      </c>
      <c r="K78" s="257">
        <v>0.0</v>
      </c>
      <c r="L78" s="257">
        <v>0.0</v>
      </c>
      <c r="M78" s="185"/>
      <c r="N78" s="186"/>
      <c r="O78" s="186">
        <v>1.0</v>
      </c>
      <c r="P78" s="186"/>
      <c r="Q78" s="186"/>
      <c r="R78" s="186"/>
      <c r="S78" s="186"/>
      <c r="T78" s="186"/>
      <c r="U78" s="186"/>
      <c r="V78" s="186"/>
      <c r="W78" s="186"/>
      <c r="X78" s="186"/>
      <c r="Y78" s="186"/>
      <c r="Z78" s="186"/>
      <c r="AA78" s="186"/>
      <c r="AB78" s="186"/>
      <c r="AC78" s="186"/>
      <c r="AD78" s="186"/>
      <c r="AE78" s="186"/>
    </row>
    <row r="79">
      <c r="A79" s="178"/>
      <c r="B79" s="36"/>
      <c r="C79" s="37"/>
      <c r="D79" s="197" t="s">
        <v>587</v>
      </c>
      <c r="E79" s="180"/>
      <c r="F79" s="181">
        <v>8715.384615384615</v>
      </c>
      <c r="G79" s="205">
        <v>0.0</v>
      </c>
      <c r="H79" s="205"/>
      <c r="I79" s="255"/>
      <c r="J79" s="256"/>
      <c r="K79" s="257"/>
      <c r="L79" s="257"/>
      <c r="M79" s="185"/>
      <c r="N79" s="186"/>
      <c r="O79" s="186"/>
      <c r="P79" s="186"/>
      <c r="Q79" s="186"/>
      <c r="R79" s="186"/>
      <c r="S79" s="186"/>
      <c r="T79" s="186"/>
      <c r="U79" s="186"/>
      <c r="V79" s="186"/>
      <c r="W79" s="186"/>
      <c r="X79" s="186"/>
      <c r="Y79" s="186"/>
      <c r="Z79" s="186"/>
      <c r="AA79" s="186"/>
      <c r="AB79" s="186"/>
      <c r="AC79" s="186"/>
      <c r="AD79" s="186"/>
      <c r="AE79" s="186"/>
    </row>
    <row r="80">
      <c r="A80" s="178"/>
      <c r="B80" s="36"/>
      <c r="C80" s="37"/>
      <c r="D80" s="254" t="s">
        <v>589</v>
      </c>
      <c r="E80" s="180">
        <v>45994.0</v>
      </c>
      <c r="F80" s="181">
        <v>9482.477777777778</v>
      </c>
      <c r="G80" s="205">
        <v>1081002.4666666668</v>
      </c>
      <c r="H80" s="205">
        <v>114.0</v>
      </c>
      <c r="I80" s="255">
        <v>57.0</v>
      </c>
      <c r="J80" s="256">
        <v>38.0</v>
      </c>
      <c r="K80" s="257">
        <v>45.0</v>
      </c>
      <c r="L80" s="257">
        <v>22.0</v>
      </c>
      <c r="M80" s="185">
        <v>23.0</v>
      </c>
      <c r="N80" s="186">
        <v>91.0</v>
      </c>
      <c r="O80" s="186"/>
      <c r="P80" s="186"/>
      <c r="Q80" s="186"/>
      <c r="R80" s="186"/>
      <c r="S80" s="186"/>
      <c r="T80" s="186"/>
      <c r="U80" s="186"/>
      <c r="V80" s="186"/>
      <c r="W80" s="186"/>
      <c r="X80" s="186"/>
      <c r="Y80" s="186"/>
      <c r="Z80" s="186"/>
      <c r="AA80" s="186"/>
      <c r="AB80" s="186"/>
      <c r="AC80" s="186"/>
      <c r="AD80" s="186"/>
      <c r="AE80" s="186"/>
    </row>
    <row r="81">
      <c r="A81" s="178"/>
      <c r="B81" s="36"/>
      <c r="C81" s="37"/>
      <c r="D81" s="254" t="s">
        <v>596</v>
      </c>
      <c r="E81" s="180">
        <v>46019.0</v>
      </c>
      <c r="F81" s="181">
        <v>11443.12</v>
      </c>
      <c r="G81" s="205">
        <v>961222.0800000001</v>
      </c>
      <c r="H81" s="205">
        <v>84.0</v>
      </c>
      <c r="I81" s="255">
        <v>42.0</v>
      </c>
      <c r="J81" s="256">
        <v>28.0</v>
      </c>
      <c r="K81" s="257">
        <v>33.0</v>
      </c>
      <c r="L81" s="257">
        <v>16.0</v>
      </c>
      <c r="M81" s="185">
        <v>24.0</v>
      </c>
      <c r="N81" s="186">
        <v>60.0</v>
      </c>
      <c r="O81" s="186"/>
      <c r="P81" s="186"/>
      <c r="Q81" s="186"/>
      <c r="R81" s="186"/>
      <c r="S81" s="186"/>
      <c r="T81" s="186"/>
      <c r="U81" s="186"/>
      <c r="V81" s="186"/>
      <c r="W81" s="186"/>
      <c r="X81" s="186"/>
      <c r="Y81" s="186"/>
      <c r="Z81" s="186"/>
      <c r="AA81" s="186"/>
      <c r="AB81" s="186"/>
      <c r="AC81" s="186"/>
      <c r="AD81" s="186"/>
      <c r="AE81" s="186"/>
    </row>
    <row r="82">
      <c r="A82" s="178"/>
      <c r="B82" s="36"/>
      <c r="C82" s="37"/>
      <c r="D82" s="254" t="s">
        <v>599</v>
      </c>
      <c r="E82" s="180">
        <v>45995.0</v>
      </c>
      <c r="F82" s="181">
        <v>285.14018691588785</v>
      </c>
      <c r="G82" s="205">
        <v>145136.3551401869</v>
      </c>
      <c r="H82" s="205">
        <v>509.0</v>
      </c>
      <c r="I82" s="255">
        <v>254.0</v>
      </c>
      <c r="J82" s="256">
        <v>169.0</v>
      </c>
      <c r="K82" s="257">
        <v>203.0</v>
      </c>
      <c r="L82" s="257">
        <v>101.0</v>
      </c>
      <c r="M82" s="185">
        <v>109.0</v>
      </c>
      <c r="N82" s="186">
        <v>400.0</v>
      </c>
      <c r="O82" s="186"/>
      <c r="P82" s="186"/>
      <c r="Q82" s="186"/>
      <c r="R82" s="186"/>
      <c r="S82" s="186"/>
      <c r="T82" s="186"/>
      <c r="U82" s="186"/>
      <c r="V82" s="186"/>
      <c r="W82" s="186"/>
      <c r="X82" s="186"/>
      <c r="Y82" s="186"/>
      <c r="Z82" s="186"/>
      <c r="AA82" s="186"/>
      <c r="AB82" s="186"/>
      <c r="AC82" s="186"/>
      <c r="AD82" s="186"/>
      <c r="AE82" s="186"/>
    </row>
    <row r="83">
      <c r="A83" s="178"/>
      <c r="B83" s="36"/>
      <c r="C83" s="37"/>
      <c r="D83" s="254" t="s">
        <v>606</v>
      </c>
      <c r="E83" s="180">
        <v>45505.0</v>
      </c>
      <c r="F83" s="181">
        <v>36500.0</v>
      </c>
      <c r="G83" s="205">
        <v>182500.0</v>
      </c>
      <c r="H83" s="205">
        <v>5.0</v>
      </c>
      <c r="I83" s="255">
        <v>2.0</v>
      </c>
      <c r="J83" s="256">
        <v>1.0</v>
      </c>
      <c r="K83" s="257">
        <v>2.0</v>
      </c>
      <c r="L83" s="257">
        <v>1.0</v>
      </c>
      <c r="M83" s="185">
        <v>5.0</v>
      </c>
      <c r="N83" s="186"/>
      <c r="O83" s="186"/>
      <c r="P83" s="186"/>
      <c r="Q83" s="186"/>
      <c r="R83" s="186"/>
      <c r="S83" s="186"/>
      <c r="T83" s="186"/>
      <c r="U83" s="186"/>
      <c r="V83" s="186"/>
      <c r="W83" s="186"/>
      <c r="X83" s="186"/>
      <c r="Y83" s="186"/>
      <c r="Z83" s="186"/>
      <c r="AA83" s="186"/>
      <c r="AB83" s="186"/>
      <c r="AC83" s="186"/>
      <c r="AD83" s="186"/>
      <c r="AE83" s="186"/>
    </row>
    <row r="84">
      <c r="A84" s="178"/>
      <c r="B84" s="36"/>
      <c r="C84" s="37"/>
      <c r="D84" s="254" t="s">
        <v>607</v>
      </c>
      <c r="E84" s="180">
        <v>45970.0</v>
      </c>
      <c r="F84" s="181">
        <v>35799.380000000005</v>
      </c>
      <c r="G84" s="205">
        <v>3257743.5800000005</v>
      </c>
      <c r="H84" s="205">
        <v>91.0</v>
      </c>
      <c r="I84" s="255">
        <v>45.0</v>
      </c>
      <c r="J84" s="256">
        <v>30.0</v>
      </c>
      <c r="K84" s="257">
        <v>36.0</v>
      </c>
      <c r="L84" s="257">
        <v>18.0</v>
      </c>
      <c r="M84" s="185">
        <v>62.0</v>
      </c>
      <c r="N84" s="186">
        <v>29.0</v>
      </c>
      <c r="O84" s="186"/>
      <c r="P84" s="186"/>
      <c r="Q84" s="186"/>
      <c r="R84" s="186"/>
      <c r="S84" s="186"/>
      <c r="T84" s="186"/>
      <c r="U84" s="186"/>
      <c r="V84" s="186"/>
      <c r="W84" s="186"/>
      <c r="X84" s="186"/>
      <c r="Y84" s="186"/>
      <c r="Z84" s="186"/>
      <c r="AA84" s="186"/>
      <c r="AB84" s="186"/>
      <c r="AC84" s="186"/>
      <c r="AD84" s="186"/>
      <c r="AE84" s="186"/>
    </row>
    <row r="85">
      <c r="A85" s="178"/>
      <c r="B85" s="36"/>
      <c r="C85" s="37"/>
      <c r="D85" s="254" t="s">
        <v>614</v>
      </c>
      <c r="E85" s="180">
        <v>46022.0</v>
      </c>
      <c r="F85" s="181">
        <v>58.82</v>
      </c>
      <c r="G85" s="205">
        <v>314510.54</v>
      </c>
      <c r="H85" s="205">
        <v>5347.0</v>
      </c>
      <c r="I85" s="255">
        <v>2673.0</v>
      </c>
      <c r="J85" s="256">
        <v>1782.0</v>
      </c>
      <c r="K85" s="257">
        <v>2138.0</v>
      </c>
      <c r="L85" s="257">
        <v>1069.0</v>
      </c>
      <c r="M85" s="185">
        <v>2690.0</v>
      </c>
      <c r="N85" s="186">
        <v>2657.0</v>
      </c>
      <c r="O85" s="186"/>
      <c r="P85" s="186"/>
      <c r="Q85" s="186"/>
      <c r="R85" s="186"/>
      <c r="S85" s="186"/>
      <c r="T85" s="186"/>
      <c r="U85" s="186"/>
      <c r="V85" s="186"/>
      <c r="W85" s="186"/>
      <c r="X85" s="186"/>
      <c r="Y85" s="186"/>
      <c r="Z85" s="186"/>
      <c r="AA85" s="186"/>
      <c r="AB85" s="186"/>
      <c r="AC85" s="186"/>
      <c r="AD85" s="186"/>
      <c r="AE85" s="186"/>
    </row>
    <row r="86">
      <c r="A86" s="178"/>
      <c r="B86" s="36"/>
      <c r="C86" s="37"/>
      <c r="D86" s="254" t="s">
        <v>618</v>
      </c>
      <c r="E86" s="180">
        <v>46020.0</v>
      </c>
      <c r="F86" s="181">
        <v>64.35</v>
      </c>
      <c r="G86" s="205">
        <v>65379.59999999999</v>
      </c>
      <c r="H86" s="205">
        <v>1016.0</v>
      </c>
      <c r="I86" s="255">
        <v>508.0</v>
      </c>
      <c r="J86" s="256">
        <v>338.0</v>
      </c>
      <c r="K86" s="257">
        <v>406.0</v>
      </c>
      <c r="L86" s="257">
        <v>203.0</v>
      </c>
      <c r="M86" s="185">
        <v>964.0</v>
      </c>
      <c r="N86" s="186">
        <v>52.0</v>
      </c>
      <c r="O86" s="186"/>
      <c r="P86" s="186"/>
      <c r="Q86" s="186"/>
      <c r="R86" s="186"/>
      <c r="S86" s="186"/>
      <c r="T86" s="186"/>
      <c r="U86" s="186"/>
      <c r="V86" s="186"/>
      <c r="W86" s="186"/>
      <c r="X86" s="186"/>
      <c r="Y86" s="186"/>
      <c r="Z86" s="186"/>
      <c r="AA86" s="186"/>
      <c r="AB86" s="186"/>
      <c r="AC86" s="186"/>
      <c r="AD86" s="186"/>
      <c r="AE86" s="186"/>
    </row>
    <row r="87">
      <c r="A87" s="178"/>
      <c r="B87" s="36"/>
      <c r="C87" s="37"/>
      <c r="D87" s="254" t="s">
        <v>622</v>
      </c>
      <c r="E87" s="180">
        <v>46021.0</v>
      </c>
      <c r="F87" s="181">
        <v>52.64</v>
      </c>
      <c r="G87" s="205">
        <v>298942.56</v>
      </c>
      <c r="H87" s="205">
        <v>5679.0</v>
      </c>
      <c r="I87" s="255">
        <v>2839.0</v>
      </c>
      <c r="J87" s="256">
        <v>1893.0</v>
      </c>
      <c r="K87" s="257">
        <v>2271.0</v>
      </c>
      <c r="L87" s="257">
        <v>1135.0</v>
      </c>
      <c r="M87" s="185">
        <v>983.0</v>
      </c>
      <c r="N87" s="186">
        <v>4696.0</v>
      </c>
      <c r="O87" s="186"/>
      <c r="P87" s="186"/>
      <c r="Q87" s="186"/>
      <c r="R87" s="186"/>
      <c r="S87" s="186"/>
      <c r="T87" s="186"/>
      <c r="U87" s="186"/>
      <c r="V87" s="186"/>
      <c r="W87" s="186"/>
      <c r="X87" s="186"/>
      <c r="Y87" s="186"/>
      <c r="Z87" s="186"/>
      <c r="AA87" s="186"/>
      <c r="AB87" s="186"/>
      <c r="AC87" s="186"/>
      <c r="AD87" s="186"/>
      <c r="AE87" s="186"/>
    </row>
    <row r="88">
      <c r="A88" s="178"/>
      <c r="B88" s="36"/>
      <c r="C88" s="37"/>
      <c r="D88" s="254" t="s">
        <v>624</v>
      </c>
      <c r="E88" s="180">
        <v>46022.0</v>
      </c>
      <c r="F88" s="181">
        <v>76.62500000000001</v>
      </c>
      <c r="G88" s="205">
        <v>221293.00000000003</v>
      </c>
      <c r="H88" s="205">
        <v>2888.0</v>
      </c>
      <c r="I88" s="255">
        <v>1444.0</v>
      </c>
      <c r="J88" s="256">
        <v>962.0</v>
      </c>
      <c r="K88" s="257">
        <v>1155.0</v>
      </c>
      <c r="L88" s="257">
        <v>577.0</v>
      </c>
      <c r="M88" s="185">
        <v>2525.0</v>
      </c>
      <c r="N88" s="186">
        <v>363.0</v>
      </c>
      <c r="O88" s="186"/>
      <c r="P88" s="186"/>
      <c r="Q88" s="186"/>
      <c r="R88" s="186"/>
      <c r="S88" s="186"/>
      <c r="T88" s="186"/>
      <c r="U88" s="186"/>
      <c r="V88" s="186"/>
      <c r="W88" s="186"/>
      <c r="X88" s="186"/>
      <c r="Y88" s="186"/>
      <c r="Z88" s="186"/>
      <c r="AA88" s="186"/>
      <c r="AB88" s="186"/>
      <c r="AC88" s="186"/>
      <c r="AD88" s="186"/>
      <c r="AE88" s="186"/>
    </row>
    <row r="89">
      <c r="A89" s="178"/>
      <c r="B89" s="36"/>
      <c r="C89" s="37"/>
      <c r="D89" s="254" t="s">
        <v>626</v>
      </c>
      <c r="E89" s="180">
        <v>46021.0</v>
      </c>
      <c r="F89" s="181">
        <v>66.66666666666667</v>
      </c>
      <c r="G89" s="205">
        <v>53733.333333333336</v>
      </c>
      <c r="H89" s="205">
        <v>806.0</v>
      </c>
      <c r="I89" s="255">
        <v>403.0</v>
      </c>
      <c r="J89" s="256">
        <v>268.0</v>
      </c>
      <c r="K89" s="257">
        <v>322.0</v>
      </c>
      <c r="L89" s="257">
        <v>161.0</v>
      </c>
      <c r="M89" s="185">
        <v>490.0</v>
      </c>
      <c r="N89" s="186">
        <v>316.0</v>
      </c>
      <c r="O89" s="186"/>
      <c r="P89" s="186"/>
      <c r="Q89" s="186"/>
      <c r="R89" s="186"/>
      <c r="S89" s="186"/>
      <c r="T89" s="186"/>
      <c r="U89" s="186"/>
      <c r="V89" s="186"/>
      <c r="W89" s="186"/>
      <c r="X89" s="186"/>
      <c r="Y89" s="186"/>
      <c r="Z89" s="186"/>
      <c r="AA89" s="186"/>
      <c r="AB89" s="186"/>
      <c r="AC89" s="186"/>
      <c r="AD89" s="186"/>
      <c r="AE89" s="186"/>
    </row>
    <row r="90">
      <c r="A90" s="178"/>
      <c r="B90" s="36"/>
      <c r="C90" s="37"/>
      <c r="D90" s="197" t="s">
        <v>628</v>
      </c>
      <c r="E90" s="180">
        <v>43458.0</v>
      </c>
      <c r="F90" s="181">
        <v>382000.0</v>
      </c>
      <c r="G90" s="205">
        <v>0.0</v>
      </c>
      <c r="H90" s="205"/>
      <c r="I90" s="255"/>
      <c r="J90" s="256"/>
      <c r="K90" s="257"/>
      <c r="L90" s="257"/>
      <c r="M90" s="185"/>
      <c r="N90" s="186"/>
      <c r="O90" s="186"/>
      <c r="P90" s="186"/>
      <c r="Q90" s="186"/>
      <c r="R90" s="186"/>
      <c r="S90" s="186"/>
      <c r="T90" s="186"/>
      <c r="U90" s="186"/>
      <c r="V90" s="186"/>
      <c r="W90" s="186"/>
      <c r="X90" s="186"/>
      <c r="Y90" s="186"/>
      <c r="Z90" s="186"/>
      <c r="AA90" s="186"/>
      <c r="AB90" s="186"/>
      <c r="AC90" s="186"/>
      <c r="AD90" s="186"/>
      <c r="AE90" s="186"/>
    </row>
    <row r="91">
      <c r="A91" s="178"/>
      <c r="B91" s="36"/>
      <c r="C91" s="37"/>
      <c r="D91" s="254" t="s">
        <v>629</v>
      </c>
      <c r="E91" s="180">
        <v>45957.0</v>
      </c>
      <c r="F91" s="181">
        <v>5500.0</v>
      </c>
      <c r="G91" s="205">
        <v>0.0</v>
      </c>
      <c r="H91" s="205"/>
      <c r="I91" s="255"/>
      <c r="J91" s="256"/>
      <c r="K91" s="257"/>
      <c r="L91" s="257"/>
      <c r="M91" s="185"/>
      <c r="N91" s="186"/>
      <c r="O91" s="186"/>
      <c r="P91" s="186"/>
      <c r="Q91" s="186"/>
      <c r="R91" s="186"/>
      <c r="S91" s="186"/>
      <c r="T91" s="186"/>
      <c r="U91" s="186"/>
      <c r="V91" s="186"/>
      <c r="W91" s="186"/>
      <c r="X91" s="186"/>
      <c r="Y91" s="186"/>
      <c r="Z91" s="186"/>
      <c r="AA91" s="186"/>
      <c r="AB91" s="186"/>
      <c r="AC91" s="186"/>
      <c r="AD91" s="186"/>
      <c r="AE91" s="186"/>
    </row>
    <row r="92">
      <c r="A92" s="178"/>
      <c r="B92" s="36"/>
      <c r="C92" s="37"/>
      <c r="D92" s="254" t="s">
        <v>631</v>
      </c>
      <c r="E92" s="180">
        <v>43925.0</v>
      </c>
      <c r="F92" s="181">
        <v>16323.333333333334</v>
      </c>
      <c r="G92" s="205">
        <v>0.0</v>
      </c>
      <c r="H92" s="205"/>
      <c r="I92" s="255"/>
      <c r="J92" s="256"/>
      <c r="K92" s="257"/>
      <c r="L92" s="257"/>
      <c r="M92" s="185"/>
      <c r="N92" s="186"/>
      <c r="O92" s="186"/>
      <c r="P92" s="186"/>
      <c r="Q92" s="186"/>
      <c r="R92" s="186"/>
      <c r="S92" s="186"/>
      <c r="T92" s="186"/>
      <c r="U92" s="186"/>
      <c r="V92" s="186"/>
      <c r="W92" s="186"/>
      <c r="X92" s="186"/>
      <c r="Y92" s="186"/>
      <c r="Z92" s="186"/>
      <c r="AA92" s="186"/>
      <c r="AB92" s="186"/>
      <c r="AC92" s="186"/>
      <c r="AD92" s="186"/>
      <c r="AE92" s="186"/>
    </row>
    <row r="93">
      <c r="A93" s="178"/>
      <c r="B93" s="36"/>
      <c r="C93" s="37"/>
      <c r="D93" s="254" t="s">
        <v>636</v>
      </c>
      <c r="E93" s="180">
        <v>45468.0</v>
      </c>
      <c r="F93" s="181">
        <v>45000.0</v>
      </c>
      <c r="G93" s="205">
        <v>0.0</v>
      </c>
      <c r="H93" s="205"/>
      <c r="I93" s="255"/>
      <c r="J93" s="256"/>
      <c r="K93" s="257"/>
      <c r="L93" s="257"/>
      <c r="M93" s="185"/>
      <c r="N93" s="186"/>
      <c r="O93" s="186"/>
      <c r="P93" s="186"/>
      <c r="Q93" s="186"/>
      <c r="R93" s="186"/>
      <c r="S93" s="186"/>
      <c r="T93" s="186"/>
      <c r="U93" s="186"/>
      <c r="V93" s="186"/>
      <c r="W93" s="186"/>
      <c r="X93" s="186"/>
      <c r="Y93" s="186"/>
      <c r="Z93" s="186"/>
      <c r="AA93" s="186"/>
      <c r="AB93" s="186"/>
      <c r="AC93" s="186"/>
      <c r="AD93" s="186"/>
      <c r="AE93" s="186"/>
    </row>
    <row r="94">
      <c r="A94" s="178"/>
      <c r="B94" s="36"/>
      <c r="C94" s="37"/>
      <c r="D94" s="254" t="s">
        <v>637</v>
      </c>
      <c r="E94" s="180">
        <v>45650.0</v>
      </c>
      <c r="F94" s="181">
        <v>43319.99999999999</v>
      </c>
      <c r="G94" s="205">
        <v>0.0</v>
      </c>
      <c r="H94" s="205"/>
      <c r="I94" s="255"/>
      <c r="J94" s="256"/>
      <c r="K94" s="257"/>
      <c r="L94" s="257"/>
      <c r="M94" s="185"/>
      <c r="N94" s="186"/>
      <c r="O94" s="186"/>
      <c r="P94" s="186"/>
      <c r="Q94" s="186"/>
      <c r="R94" s="186"/>
      <c r="S94" s="186"/>
      <c r="T94" s="186"/>
      <c r="U94" s="186"/>
      <c r="V94" s="186"/>
      <c r="W94" s="186"/>
      <c r="X94" s="186"/>
      <c r="Y94" s="186"/>
      <c r="Z94" s="186"/>
      <c r="AA94" s="186"/>
      <c r="AB94" s="186"/>
      <c r="AC94" s="186"/>
      <c r="AD94" s="186"/>
      <c r="AE94" s="186"/>
    </row>
    <row r="95">
      <c r="A95" s="178"/>
      <c r="B95" s="36"/>
      <c r="C95" s="37"/>
      <c r="D95" s="254" t="s">
        <v>643</v>
      </c>
      <c r="E95" s="180">
        <v>45523.0</v>
      </c>
      <c r="F95" s="181">
        <v>35872.63157894737</v>
      </c>
      <c r="G95" s="205">
        <v>0.0</v>
      </c>
      <c r="H95" s="205"/>
      <c r="I95" s="255"/>
      <c r="J95" s="256"/>
      <c r="K95" s="257"/>
      <c r="L95" s="257"/>
      <c r="M95" s="185"/>
      <c r="N95" s="186"/>
      <c r="O95" s="186"/>
      <c r="P95" s="186"/>
      <c r="Q95" s="186"/>
      <c r="R95" s="186"/>
      <c r="S95" s="186"/>
      <c r="T95" s="186"/>
      <c r="U95" s="186"/>
      <c r="V95" s="186"/>
      <c r="W95" s="186"/>
      <c r="X95" s="186"/>
      <c r="Y95" s="186"/>
      <c r="Z95" s="186"/>
      <c r="AA95" s="186"/>
      <c r="AB95" s="186"/>
      <c r="AC95" s="186"/>
      <c r="AD95" s="186"/>
      <c r="AE95" s="186"/>
    </row>
    <row r="96">
      <c r="A96" s="178"/>
      <c r="B96" s="36"/>
      <c r="C96" s="37"/>
      <c r="D96" s="254" t="s">
        <v>646</v>
      </c>
      <c r="E96" s="180">
        <v>46000.0</v>
      </c>
      <c r="F96" s="181">
        <v>23261.028571428567</v>
      </c>
      <c r="G96" s="205">
        <v>7210918.857142856</v>
      </c>
      <c r="H96" s="205">
        <v>310.0</v>
      </c>
      <c r="I96" s="255">
        <v>155.0</v>
      </c>
      <c r="J96" s="256">
        <v>103.0</v>
      </c>
      <c r="K96" s="257">
        <v>124.0</v>
      </c>
      <c r="L96" s="257">
        <v>62.0</v>
      </c>
      <c r="M96" s="185">
        <v>119.0</v>
      </c>
      <c r="N96" s="186">
        <v>191.0</v>
      </c>
      <c r="O96" s="186"/>
      <c r="P96" s="186"/>
      <c r="Q96" s="186"/>
      <c r="R96" s="186"/>
      <c r="S96" s="186"/>
      <c r="T96" s="186"/>
      <c r="U96" s="186"/>
      <c r="V96" s="186"/>
      <c r="W96" s="186"/>
      <c r="X96" s="186"/>
      <c r="Y96" s="186"/>
      <c r="Z96" s="186"/>
      <c r="AA96" s="186"/>
      <c r="AB96" s="186"/>
      <c r="AC96" s="186"/>
      <c r="AD96" s="186"/>
      <c r="AE96" s="186"/>
    </row>
    <row r="97">
      <c r="A97" s="178"/>
      <c r="B97" s="36"/>
      <c r="C97" s="37"/>
      <c r="D97" s="254" t="s">
        <v>650</v>
      </c>
      <c r="E97" s="180">
        <v>46008.0</v>
      </c>
      <c r="F97" s="181">
        <v>106.37111111111112</v>
      </c>
      <c r="G97" s="205">
        <v>1076369.2733333334</v>
      </c>
      <c r="H97" s="205">
        <v>10119.0</v>
      </c>
      <c r="I97" s="255">
        <v>5059.0</v>
      </c>
      <c r="J97" s="256">
        <v>3373.0</v>
      </c>
      <c r="K97" s="257">
        <v>4047.0</v>
      </c>
      <c r="L97" s="257">
        <v>2023.0</v>
      </c>
      <c r="M97" s="185">
        <v>1825.0</v>
      </c>
      <c r="N97" s="186">
        <v>8294.0</v>
      </c>
      <c r="O97" s="186"/>
      <c r="P97" s="186"/>
      <c r="Q97" s="186"/>
      <c r="R97" s="186"/>
      <c r="S97" s="186"/>
      <c r="T97" s="186"/>
      <c r="U97" s="186"/>
      <c r="V97" s="186"/>
      <c r="W97" s="186"/>
      <c r="X97" s="186"/>
      <c r="Y97" s="186"/>
      <c r="Z97" s="186"/>
      <c r="AA97" s="186"/>
      <c r="AB97" s="186"/>
      <c r="AC97" s="186"/>
      <c r="AD97" s="186"/>
      <c r="AE97" s="186"/>
    </row>
    <row r="98">
      <c r="A98" s="178"/>
      <c r="B98" s="36"/>
      <c r="C98" s="37"/>
      <c r="D98" s="254" t="s">
        <v>660</v>
      </c>
      <c r="E98" s="180">
        <v>45858.0</v>
      </c>
      <c r="F98" s="181">
        <v>106.3409090909091</v>
      </c>
      <c r="G98" s="205">
        <v>240330.45454545456</v>
      </c>
      <c r="H98" s="205">
        <v>2260.0</v>
      </c>
      <c r="I98" s="255">
        <v>1130.0</v>
      </c>
      <c r="J98" s="256">
        <v>753.0</v>
      </c>
      <c r="K98" s="257">
        <v>904.0</v>
      </c>
      <c r="L98" s="257">
        <v>452.0</v>
      </c>
      <c r="M98" s="185">
        <v>1070.0</v>
      </c>
      <c r="N98" s="186">
        <v>1190.0</v>
      </c>
      <c r="O98" s="186"/>
      <c r="P98" s="186"/>
      <c r="Q98" s="186"/>
      <c r="R98" s="186"/>
      <c r="S98" s="186"/>
      <c r="T98" s="186"/>
      <c r="U98" s="186"/>
      <c r="V98" s="186"/>
      <c r="W98" s="186"/>
      <c r="X98" s="186"/>
      <c r="Y98" s="186"/>
      <c r="Z98" s="186"/>
      <c r="AA98" s="186"/>
      <c r="AB98" s="186"/>
      <c r="AC98" s="186"/>
      <c r="AD98" s="186"/>
      <c r="AE98" s="186"/>
    </row>
    <row r="99">
      <c r="A99" s="178"/>
      <c r="B99" s="36"/>
      <c r="C99" s="37"/>
      <c r="D99" s="254" t="s">
        <v>665</v>
      </c>
      <c r="E99" s="180"/>
      <c r="F99" s="181">
        <v>106.43166666666666</v>
      </c>
      <c r="G99" s="205">
        <v>127717.99999999999</v>
      </c>
      <c r="H99" s="205">
        <v>1200.0</v>
      </c>
      <c r="I99" s="255">
        <v>600.0</v>
      </c>
      <c r="J99" s="256">
        <v>400.0</v>
      </c>
      <c r="K99" s="257">
        <v>480.0</v>
      </c>
      <c r="L99" s="257">
        <v>240.0</v>
      </c>
      <c r="M99" s="185">
        <v>200.0</v>
      </c>
      <c r="N99" s="186">
        <v>1000.0</v>
      </c>
      <c r="O99" s="186"/>
      <c r="P99" s="186"/>
      <c r="Q99" s="186"/>
      <c r="R99" s="186"/>
      <c r="S99" s="186"/>
      <c r="T99" s="186"/>
      <c r="U99" s="186"/>
      <c r="V99" s="186"/>
      <c r="W99" s="186"/>
      <c r="X99" s="186"/>
      <c r="Y99" s="186"/>
      <c r="Z99" s="186"/>
      <c r="AA99" s="186"/>
      <c r="AB99" s="186"/>
      <c r="AC99" s="186"/>
      <c r="AD99" s="186"/>
      <c r="AE99" s="186"/>
    </row>
    <row r="100">
      <c r="A100" s="178"/>
      <c r="B100" s="36"/>
      <c r="C100" s="37"/>
      <c r="D100" s="254" t="s">
        <v>666</v>
      </c>
      <c r="E100" s="180">
        <v>45846.0</v>
      </c>
      <c r="F100" s="181">
        <v>106.44013490725126</v>
      </c>
      <c r="G100" s="205">
        <v>236616.41989881956</v>
      </c>
      <c r="H100" s="205">
        <v>2223.0</v>
      </c>
      <c r="I100" s="255">
        <v>1111.0</v>
      </c>
      <c r="J100" s="256">
        <v>741.0</v>
      </c>
      <c r="K100" s="257">
        <v>889.0</v>
      </c>
      <c r="L100" s="257">
        <v>444.0</v>
      </c>
      <c r="M100" s="185">
        <v>1490.0</v>
      </c>
      <c r="N100" s="186">
        <v>733.0</v>
      </c>
      <c r="O100" s="186"/>
      <c r="P100" s="186"/>
      <c r="Q100" s="186"/>
      <c r="R100" s="186"/>
      <c r="S100" s="186"/>
      <c r="T100" s="186"/>
      <c r="U100" s="186"/>
      <c r="V100" s="186"/>
      <c r="W100" s="186"/>
      <c r="X100" s="186"/>
      <c r="Y100" s="186"/>
      <c r="Z100" s="186"/>
      <c r="AA100" s="186"/>
      <c r="AB100" s="186"/>
      <c r="AC100" s="186"/>
      <c r="AD100" s="186"/>
      <c r="AE100" s="186"/>
    </row>
    <row r="101">
      <c r="A101" s="178"/>
      <c r="B101" s="36"/>
      <c r="C101" s="37"/>
      <c r="D101" s="254" t="s">
        <v>669</v>
      </c>
      <c r="E101" s="180">
        <v>46013.0</v>
      </c>
      <c r="F101" s="181">
        <v>106.3409090909091</v>
      </c>
      <c r="G101" s="205">
        <v>387612.61363636365</v>
      </c>
      <c r="H101" s="205">
        <v>3645.0</v>
      </c>
      <c r="I101" s="255">
        <v>1822.0</v>
      </c>
      <c r="J101" s="256">
        <v>1215.0</v>
      </c>
      <c r="K101" s="257">
        <v>1458.0</v>
      </c>
      <c r="L101" s="257">
        <v>729.0</v>
      </c>
      <c r="M101" s="185">
        <v>1804.0</v>
      </c>
      <c r="N101" s="186">
        <v>1841.0</v>
      </c>
      <c r="O101" s="186"/>
      <c r="P101" s="186"/>
      <c r="Q101" s="186"/>
      <c r="R101" s="186"/>
      <c r="S101" s="186"/>
      <c r="T101" s="186"/>
      <c r="U101" s="186"/>
      <c r="V101" s="186"/>
      <c r="W101" s="186"/>
      <c r="X101" s="186"/>
      <c r="Y101" s="186"/>
      <c r="Z101" s="186"/>
      <c r="AA101" s="186"/>
      <c r="AB101" s="186"/>
      <c r="AC101" s="186"/>
      <c r="AD101" s="186"/>
      <c r="AE101" s="186"/>
    </row>
    <row r="102">
      <c r="A102" s="178"/>
      <c r="B102" s="36"/>
      <c r="C102" s="37"/>
      <c r="D102" s="254" t="s">
        <v>1374</v>
      </c>
      <c r="E102" s="180"/>
      <c r="F102" s="181"/>
      <c r="G102" s="205">
        <v>0.0</v>
      </c>
      <c r="H102" s="205"/>
      <c r="I102" s="255"/>
      <c r="J102" s="256"/>
      <c r="K102" s="257"/>
      <c r="L102" s="257"/>
      <c r="M102" s="185"/>
      <c r="N102" s="186"/>
      <c r="O102" s="186"/>
      <c r="P102" s="186"/>
      <c r="Q102" s="186"/>
      <c r="R102" s="186"/>
      <c r="S102" s="186"/>
      <c r="T102" s="186"/>
      <c r="U102" s="186"/>
      <c r="V102" s="186"/>
      <c r="W102" s="186"/>
      <c r="X102" s="186"/>
      <c r="Y102" s="186"/>
      <c r="Z102" s="186"/>
      <c r="AA102" s="186"/>
      <c r="AB102" s="186"/>
      <c r="AC102" s="186"/>
      <c r="AD102" s="186"/>
      <c r="AE102" s="186"/>
    </row>
    <row r="103">
      <c r="A103" s="178"/>
      <c r="B103" s="36"/>
      <c r="C103" s="37"/>
      <c r="D103" s="254" t="s">
        <v>1379</v>
      </c>
      <c r="E103" s="180"/>
      <c r="F103" s="181"/>
      <c r="G103" s="205">
        <v>0.0</v>
      </c>
      <c r="H103" s="205"/>
      <c r="I103" s="255"/>
      <c r="J103" s="256"/>
      <c r="K103" s="257"/>
      <c r="L103" s="257"/>
      <c r="M103" s="185"/>
      <c r="N103" s="186"/>
      <c r="O103" s="186"/>
      <c r="P103" s="186"/>
      <c r="Q103" s="186"/>
      <c r="R103" s="186"/>
      <c r="S103" s="186"/>
      <c r="T103" s="186"/>
      <c r="U103" s="186"/>
      <c r="V103" s="186"/>
      <c r="W103" s="186"/>
      <c r="X103" s="186"/>
      <c r="Y103" s="186"/>
      <c r="Z103" s="186"/>
      <c r="AA103" s="186"/>
      <c r="AB103" s="186"/>
      <c r="AC103" s="186"/>
      <c r="AD103" s="186"/>
      <c r="AE103" s="186"/>
    </row>
    <row r="104">
      <c r="A104" s="178"/>
      <c r="B104" s="36"/>
      <c r="C104" s="37"/>
      <c r="D104" s="254" t="s">
        <v>679</v>
      </c>
      <c r="E104" s="180">
        <v>45735.0</v>
      </c>
      <c r="F104" s="181">
        <v>110.3035</v>
      </c>
      <c r="G104" s="205">
        <v>135673.305</v>
      </c>
      <c r="H104" s="205">
        <v>1230.0</v>
      </c>
      <c r="I104" s="255">
        <v>615.0</v>
      </c>
      <c r="J104" s="256">
        <v>410.0</v>
      </c>
      <c r="K104" s="257">
        <v>492.0</v>
      </c>
      <c r="L104" s="257">
        <v>246.0</v>
      </c>
      <c r="M104" s="185">
        <v>1080.0</v>
      </c>
      <c r="N104" s="186">
        <v>150.0</v>
      </c>
      <c r="O104" s="186"/>
      <c r="P104" s="186"/>
      <c r="Q104" s="186"/>
      <c r="R104" s="186"/>
      <c r="S104" s="186"/>
      <c r="T104" s="186"/>
      <c r="U104" s="186"/>
      <c r="V104" s="186"/>
      <c r="W104" s="186"/>
      <c r="X104" s="186"/>
      <c r="Y104" s="186"/>
      <c r="Z104" s="186"/>
      <c r="AA104" s="186"/>
      <c r="AB104" s="186"/>
      <c r="AC104" s="186"/>
      <c r="AD104" s="186"/>
      <c r="AE104" s="186"/>
    </row>
    <row r="105">
      <c r="A105" s="178"/>
      <c r="B105" s="36"/>
      <c r="C105" s="37"/>
      <c r="D105" s="254" t="s">
        <v>680</v>
      </c>
      <c r="E105" s="180"/>
      <c r="F105" s="181">
        <v>106.3409090909091</v>
      </c>
      <c r="G105" s="205">
        <v>106340.90909090909</v>
      </c>
      <c r="H105" s="205">
        <v>1000.0</v>
      </c>
      <c r="I105" s="255">
        <v>500.0</v>
      </c>
      <c r="J105" s="256">
        <v>333.0</v>
      </c>
      <c r="K105" s="257">
        <v>400.0</v>
      </c>
      <c r="L105" s="257">
        <v>200.0</v>
      </c>
      <c r="M105" s="185"/>
      <c r="N105" s="186">
        <v>1000.0</v>
      </c>
      <c r="O105" s="186"/>
      <c r="P105" s="186"/>
      <c r="Q105" s="186"/>
      <c r="R105" s="186"/>
      <c r="S105" s="186"/>
      <c r="T105" s="186"/>
      <c r="U105" s="186"/>
      <c r="V105" s="186"/>
      <c r="W105" s="186"/>
      <c r="X105" s="186"/>
      <c r="Y105" s="186"/>
      <c r="Z105" s="186"/>
      <c r="AA105" s="186"/>
      <c r="AB105" s="186"/>
      <c r="AC105" s="186"/>
      <c r="AD105" s="186"/>
      <c r="AE105" s="186"/>
    </row>
    <row r="106">
      <c r="A106" s="178"/>
      <c r="B106" s="36"/>
      <c r="C106" s="37"/>
      <c r="D106" s="197" t="s">
        <v>681</v>
      </c>
      <c r="E106" s="180">
        <v>43458.0</v>
      </c>
      <c r="F106" s="181">
        <v>3007000.0</v>
      </c>
      <c r="G106" s="205">
        <v>0.0</v>
      </c>
      <c r="H106" s="205"/>
      <c r="I106" s="255"/>
      <c r="J106" s="256"/>
      <c r="K106" s="257"/>
      <c r="L106" s="257"/>
      <c r="M106" s="185"/>
      <c r="N106" s="186"/>
      <c r="O106" s="186"/>
      <c r="P106" s="186"/>
      <c r="Q106" s="186"/>
      <c r="R106" s="186"/>
      <c r="S106" s="186"/>
      <c r="T106" s="186"/>
      <c r="U106" s="186"/>
      <c r="V106" s="186"/>
      <c r="W106" s="186"/>
      <c r="X106" s="186"/>
      <c r="Y106" s="186"/>
      <c r="Z106" s="186"/>
      <c r="AA106" s="186"/>
      <c r="AB106" s="186"/>
      <c r="AC106" s="186"/>
      <c r="AD106" s="186"/>
      <c r="AE106" s="186"/>
    </row>
    <row r="107">
      <c r="A107" s="178"/>
      <c r="B107" s="36"/>
      <c r="C107" s="37"/>
      <c r="D107" s="254" t="s">
        <v>682</v>
      </c>
      <c r="E107" s="180">
        <v>46020.0</v>
      </c>
      <c r="F107" s="181">
        <v>969.334</v>
      </c>
      <c r="G107" s="205">
        <v>451709.644</v>
      </c>
      <c r="H107" s="205">
        <v>466.0</v>
      </c>
      <c r="I107" s="255">
        <v>233.0</v>
      </c>
      <c r="J107" s="256">
        <v>155.0</v>
      </c>
      <c r="K107" s="257">
        <v>186.0</v>
      </c>
      <c r="L107" s="257">
        <v>93.0</v>
      </c>
      <c r="M107" s="185">
        <v>75.0</v>
      </c>
      <c r="N107" s="186">
        <v>391.0</v>
      </c>
      <c r="O107" s="186"/>
      <c r="P107" s="186"/>
      <c r="Q107" s="186"/>
      <c r="R107" s="186"/>
      <c r="S107" s="186"/>
      <c r="T107" s="186"/>
      <c r="U107" s="186"/>
      <c r="V107" s="186"/>
      <c r="W107" s="186"/>
      <c r="X107" s="186"/>
      <c r="Y107" s="186"/>
      <c r="Z107" s="186"/>
      <c r="AA107" s="186"/>
      <c r="AB107" s="186"/>
      <c r="AC107" s="186"/>
      <c r="AD107" s="186"/>
      <c r="AE107" s="186"/>
    </row>
    <row r="108">
      <c r="A108" s="178"/>
      <c r="B108" s="36"/>
      <c r="C108" s="37"/>
      <c r="D108" s="254" t="s">
        <v>693</v>
      </c>
      <c r="E108" s="180">
        <v>45953.0</v>
      </c>
      <c r="F108" s="181">
        <v>726.0933333333334</v>
      </c>
      <c r="G108" s="205">
        <v>12343.586666666668</v>
      </c>
      <c r="H108" s="205">
        <v>17.0</v>
      </c>
      <c r="I108" s="255">
        <v>8.0</v>
      </c>
      <c r="J108" s="256">
        <v>5.0</v>
      </c>
      <c r="K108" s="257">
        <v>6.0</v>
      </c>
      <c r="L108" s="257">
        <v>3.0</v>
      </c>
      <c r="M108" s="185">
        <v>17.0</v>
      </c>
      <c r="N108" s="186"/>
      <c r="O108" s="186"/>
      <c r="P108" s="186"/>
      <c r="Q108" s="186"/>
      <c r="R108" s="186"/>
      <c r="S108" s="186"/>
      <c r="T108" s="186"/>
      <c r="U108" s="186"/>
      <c r="V108" s="186"/>
      <c r="W108" s="186"/>
      <c r="X108" s="186"/>
      <c r="Y108" s="186"/>
      <c r="Z108" s="186"/>
      <c r="AA108" s="186"/>
      <c r="AB108" s="186"/>
      <c r="AC108" s="186"/>
      <c r="AD108" s="186"/>
      <c r="AE108" s="186"/>
    </row>
    <row r="109">
      <c r="A109" s="178"/>
      <c r="B109" s="36"/>
      <c r="C109" s="37"/>
      <c r="D109" s="254" t="s">
        <v>695</v>
      </c>
      <c r="E109" s="180">
        <v>46010.0</v>
      </c>
      <c r="F109" s="181">
        <v>315.0</v>
      </c>
      <c r="G109" s="205">
        <v>460845.0</v>
      </c>
      <c r="H109" s="205">
        <v>1463.0</v>
      </c>
      <c r="I109" s="255">
        <v>731.0</v>
      </c>
      <c r="J109" s="256">
        <v>487.0</v>
      </c>
      <c r="K109" s="257">
        <v>585.0</v>
      </c>
      <c r="L109" s="257">
        <v>292.0</v>
      </c>
      <c r="M109" s="185">
        <v>794.0</v>
      </c>
      <c r="N109" s="186">
        <v>669.0</v>
      </c>
      <c r="O109" s="186"/>
      <c r="P109" s="186"/>
      <c r="Q109" s="186"/>
      <c r="R109" s="186"/>
      <c r="S109" s="186"/>
      <c r="T109" s="186"/>
      <c r="U109" s="186"/>
      <c r="V109" s="186"/>
      <c r="W109" s="186"/>
      <c r="X109" s="186"/>
      <c r="Y109" s="186"/>
      <c r="Z109" s="186"/>
      <c r="AA109" s="186"/>
      <c r="AB109" s="186"/>
      <c r="AC109" s="186"/>
      <c r="AD109" s="186"/>
      <c r="AE109" s="186"/>
    </row>
    <row r="110">
      <c r="A110" s="178"/>
      <c r="B110" s="36"/>
      <c r="C110" s="37"/>
      <c r="D110" s="254" t="s">
        <v>698</v>
      </c>
      <c r="E110" s="180">
        <v>45947.0</v>
      </c>
      <c r="F110" s="181">
        <v>106.3409090909091</v>
      </c>
      <c r="G110" s="205">
        <v>126013.97727272728</v>
      </c>
      <c r="H110" s="205">
        <v>1185.0</v>
      </c>
      <c r="I110" s="255">
        <v>592.0</v>
      </c>
      <c r="J110" s="256">
        <v>395.0</v>
      </c>
      <c r="K110" s="257">
        <v>474.0</v>
      </c>
      <c r="L110" s="257">
        <v>237.0</v>
      </c>
      <c r="M110" s="185">
        <v>90.0</v>
      </c>
      <c r="N110" s="186">
        <v>1095.0</v>
      </c>
      <c r="O110" s="186"/>
      <c r="P110" s="186"/>
      <c r="Q110" s="186"/>
      <c r="R110" s="186"/>
      <c r="S110" s="186"/>
      <c r="T110" s="186"/>
      <c r="U110" s="186"/>
      <c r="V110" s="186"/>
      <c r="W110" s="186"/>
      <c r="X110" s="186"/>
      <c r="Y110" s="186"/>
      <c r="Z110" s="186"/>
      <c r="AA110" s="186"/>
      <c r="AB110" s="186"/>
      <c r="AC110" s="186"/>
      <c r="AD110" s="186"/>
      <c r="AE110" s="186"/>
    </row>
    <row r="111">
      <c r="A111" s="178"/>
      <c r="B111" s="36"/>
      <c r="C111" s="37"/>
      <c r="D111" s="254" t="s">
        <v>699</v>
      </c>
      <c r="E111" s="180"/>
      <c r="F111" s="181">
        <v>106.28633333333333</v>
      </c>
      <c r="G111" s="205">
        <v>175372.44999999998</v>
      </c>
      <c r="H111" s="205">
        <v>1650.0</v>
      </c>
      <c r="I111" s="255">
        <v>825.0</v>
      </c>
      <c r="J111" s="256">
        <v>550.0</v>
      </c>
      <c r="K111" s="257">
        <v>660.0</v>
      </c>
      <c r="L111" s="257">
        <v>330.0</v>
      </c>
      <c r="M111" s="185">
        <v>1000.0</v>
      </c>
      <c r="N111" s="186">
        <v>650.0</v>
      </c>
      <c r="O111" s="186"/>
      <c r="P111" s="186"/>
      <c r="Q111" s="186"/>
      <c r="R111" s="186"/>
      <c r="S111" s="186"/>
      <c r="T111" s="186"/>
      <c r="U111" s="186"/>
      <c r="V111" s="186"/>
      <c r="W111" s="186"/>
      <c r="X111" s="186"/>
      <c r="Y111" s="186"/>
      <c r="Z111" s="186"/>
      <c r="AA111" s="186"/>
      <c r="AB111" s="186"/>
      <c r="AC111" s="186"/>
      <c r="AD111" s="186"/>
      <c r="AE111" s="186"/>
    </row>
    <row r="112">
      <c r="A112" s="178"/>
      <c r="B112" s="36"/>
      <c r="C112" s="37"/>
      <c r="D112" s="254" t="s">
        <v>700</v>
      </c>
      <c r="E112" s="180"/>
      <c r="F112" s="181">
        <v>106.28633333333333</v>
      </c>
      <c r="G112" s="205">
        <v>212572.66666666666</v>
      </c>
      <c r="H112" s="205">
        <v>2000.0</v>
      </c>
      <c r="I112" s="255">
        <v>1000.0</v>
      </c>
      <c r="J112" s="256">
        <v>666.0</v>
      </c>
      <c r="K112" s="257">
        <v>800.0</v>
      </c>
      <c r="L112" s="257">
        <v>400.0</v>
      </c>
      <c r="M112" s="185">
        <v>1000.0</v>
      </c>
      <c r="N112" s="186">
        <v>1000.0</v>
      </c>
      <c r="O112" s="186"/>
      <c r="P112" s="186"/>
      <c r="Q112" s="186"/>
      <c r="R112" s="186"/>
      <c r="S112" s="186"/>
      <c r="T112" s="186"/>
      <c r="U112" s="186"/>
      <c r="V112" s="186"/>
      <c r="W112" s="186"/>
      <c r="X112" s="186"/>
      <c r="Y112" s="186"/>
      <c r="Z112" s="186"/>
      <c r="AA112" s="186"/>
      <c r="AB112" s="186"/>
      <c r="AC112" s="186"/>
      <c r="AD112" s="186"/>
      <c r="AE112" s="186"/>
    </row>
    <row r="113">
      <c r="A113" s="178"/>
      <c r="B113" s="36"/>
      <c r="C113" s="37"/>
      <c r="D113" s="254" t="s">
        <v>701</v>
      </c>
      <c r="E113" s="180">
        <v>45830.0</v>
      </c>
      <c r="F113" s="181">
        <v>106.3409090909091</v>
      </c>
      <c r="G113" s="205">
        <v>219913.0</v>
      </c>
      <c r="H113" s="205">
        <v>2068.0</v>
      </c>
      <c r="I113" s="255">
        <v>1034.0</v>
      </c>
      <c r="J113" s="256">
        <v>689.0</v>
      </c>
      <c r="K113" s="257">
        <v>827.0</v>
      </c>
      <c r="L113" s="257">
        <v>413.0</v>
      </c>
      <c r="M113" s="185">
        <v>1000.0</v>
      </c>
      <c r="N113" s="186">
        <v>1068.0</v>
      </c>
      <c r="O113" s="186"/>
      <c r="P113" s="186"/>
      <c r="Q113" s="186"/>
      <c r="R113" s="186"/>
      <c r="S113" s="186"/>
      <c r="T113" s="186"/>
      <c r="U113" s="186"/>
      <c r="V113" s="186"/>
      <c r="W113" s="186"/>
      <c r="X113" s="186"/>
      <c r="Y113" s="186"/>
      <c r="Z113" s="186"/>
      <c r="AA113" s="186"/>
      <c r="AB113" s="186"/>
      <c r="AC113" s="186"/>
      <c r="AD113" s="186"/>
      <c r="AE113" s="186"/>
    </row>
    <row r="114">
      <c r="A114" s="178"/>
      <c r="B114" s="36"/>
      <c r="C114" s="37"/>
      <c r="D114" s="254" t="s">
        <v>702</v>
      </c>
      <c r="E114" s="180">
        <v>46013.0</v>
      </c>
      <c r="F114" s="181">
        <v>106.32266666666668</v>
      </c>
      <c r="G114" s="205">
        <v>157357.5466666667</v>
      </c>
      <c r="H114" s="205">
        <v>1480.0</v>
      </c>
      <c r="I114" s="255">
        <v>740.0</v>
      </c>
      <c r="J114" s="256">
        <v>493.0</v>
      </c>
      <c r="K114" s="257">
        <v>592.0</v>
      </c>
      <c r="L114" s="257">
        <v>296.0</v>
      </c>
      <c r="M114" s="185">
        <v>480.0</v>
      </c>
      <c r="N114" s="186">
        <v>1000.0</v>
      </c>
      <c r="O114" s="186"/>
      <c r="P114" s="186"/>
      <c r="Q114" s="186"/>
      <c r="R114" s="186"/>
      <c r="S114" s="186"/>
      <c r="T114" s="186"/>
      <c r="U114" s="186"/>
      <c r="V114" s="186"/>
      <c r="W114" s="186"/>
      <c r="X114" s="186"/>
      <c r="Y114" s="186"/>
      <c r="Z114" s="186"/>
      <c r="AA114" s="186"/>
      <c r="AB114" s="186"/>
      <c r="AC114" s="186"/>
      <c r="AD114" s="186"/>
      <c r="AE114" s="186"/>
    </row>
    <row r="115">
      <c r="A115" s="178"/>
      <c r="B115" s="36"/>
      <c r="C115" s="37"/>
      <c r="D115" s="254" t="s">
        <v>703</v>
      </c>
      <c r="E115" s="180">
        <v>45981.0</v>
      </c>
      <c r="F115" s="181">
        <v>106.34083333333334</v>
      </c>
      <c r="G115" s="205">
        <v>145686.94166666668</v>
      </c>
      <c r="H115" s="205">
        <v>1370.0</v>
      </c>
      <c r="I115" s="255">
        <v>685.0</v>
      </c>
      <c r="J115" s="256">
        <v>456.0</v>
      </c>
      <c r="K115" s="257">
        <v>548.0</v>
      </c>
      <c r="L115" s="257">
        <v>274.0</v>
      </c>
      <c r="M115" s="185">
        <v>400.0</v>
      </c>
      <c r="N115" s="186">
        <v>970.0</v>
      </c>
      <c r="O115" s="186"/>
      <c r="P115" s="186"/>
      <c r="Q115" s="186"/>
      <c r="R115" s="186"/>
      <c r="S115" s="186"/>
      <c r="T115" s="186"/>
      <c r="U115" s="186"/>
      <c r="V115" s="186"/>
      <c r="W115" s="186"/>
      <c r="X115" s="186"/>
      <c r="Y115" s="186"/>
      <c r="Z115" s="186"/>
      <c r="AA115" s="186"/>
      <c r="AB115" s="186"/>
      <c r="AC115" s="186"/>
      <c r="AD115" s="186"/>
      <c r="AE115" s="186"/>
    </row>
    <row r="116">
      <c r="A116" s="178"/>
      <c r="B116" s="36"/>
      <c r="C116" s="37"/>
      <c r="D116" s="254" t="s">
        <v>704</v>
      </c>
      <c r="E116" s="180">
        <v>45958.0</v>
      </c>
      <c r="F116" s="181">
        <v>106.3409090909091</v>
      </c>
      <c r="G116" s="205">
        <v>85072.72727272728</v>
      </c>
      <c r="H116" s="205">
        <v>800.0</v>
      </c>
      <c r="I116" s="255">
        <v>400.0</v>
      </c>
      <c r="J116" s="256">
        <v>266.0</v>
      </c>
      <c r="K116" s="257">
        <v>320.0</v>
      </c>
      <c r="L116" s="257">
        <v>160.0</v>
      </c>
      <c r="M116" s="185"/>
      <c r="N116" s="186">
        <v>800.0</v>
      </c>
      <c r="O116" s="186"/>
      <c r="P116" s="186"/>
      <c r="Q116" s="186"/>
      <c r="R116" s="186"/>
      <c r="S116" s="186"/>
      <c r="T116" s="186"/>
      <c r="U116" s="186"/>
      <c r="V116" s="186"/>
      <c r="W116" s="186"/>
      <c r="X116" s="186"/>
      <c r="Y116" s="186"/>
      <c r="Z116" s="186"/>
      <c r="AA116" s="186"/>
      <c r="AB116" s="186"/>
      <c r="AC116" s="186"/>
      <c r="AD116" s="186"/>
      <c r="AE116" s="186"/>
    </row>
    <row r="117">
      <c r="A117" s="178"/>
      <c r="B117" s="36"/>
      <c r="C117" s="37"/>
      <c r="D117" s="197" t="s">
        <v>705</v>
      </c>
      <c r="E117" s="180"/>
      <c r="F117" s="181">
        <v>18000.000000000004</v>
      </c>
      <c r="G117" s="205">
        <v>0.0</v>
      </c>
      <c r="H117" s="205"/>
      <c r="I117" s="255"/>
      <c r="J117" s="256"/>
      <c r="K117" s="257"/>
      <c r="L117" s="257"/>
      <c r="M117" s="185"/>
      <c r="N117" s="186"/>
      <c r="O117" s="186"/>
      <c r="P117" s="186"/>
      <c r="Q117" s="186"/>
      <c r="R117" s="186"/>
      <c r="S117" s="186"/>
      <c r="T117" s="186"/>
      <c r="U117" s="186"/>
      <c r="V117" s="186"/>
      <c r="W117" s="186"/>
      <c r="X117" s="186"/>
      <c r="Y117" s="186"/>
      <c r="Z117" s="186"/>
      <c r="AA117" s="186"/>
      <c r="AB117" s="186"/>
      <c r="AC117" s="186"/>
      <c r="AD117" s="186"/>
      <c r="AE117" s="186"/>
    </row>
    <row r="118">
      <c r="A118" s="178"/>
      <c r="B118" s="36"/>
      <c r="C118" s="37"/>
      <c r="D118" s="197" t="s">
        <v>1009</v>
      </c>
      <c r="E118" s="180">
        <v>43789.0</v>
      </c>
      <c r="F118" s="181"/>
      <c r="G118" s="205">
        <v>0.0</v>
      </c>
      <c r="H118" s="205"/>
      <c r="I118" s="255"/>
      <c r="J118" s="256"/>
      <c r="K118" s="257"/>
      <c r="L118" s="257"/>
      <c r="M118" s="185"/>
      <c r="N118" s="186"/>
      <c r="O118" s="186"/>
      <c r="P118" s="186"/>
      <c r="Q118" s="186"/>
      <c r="R118" s="186"/>
      <c r="S118" s="186"/>
      <c r="T118" s="186"/>
      <c r="U118" s="186"/>
      <c r="V118" s="186"/>
      <c r="W118" s="186"/>
      <c r="X118" s="186"/>
      <c r="Y118" s="186"/>
      <c r="Z118" s="186"/>
      <c r="AA118" s="186"/>
      <c r="AB118" s="186"/>
      <c r="AC118" s="186"/>
      <c r="AD118" s="186"/>
      <c r="AE118" s="186"/>
    </row>
    <row r="119">
      <c r="A119" s="178"/>
      <c r="B119" s="36"/>
      <c r="C119" s="37"/>
      <c r="D119" s="254" t="s">
        <v>707</v>
      </c>
      <c r="E119" s="180">
        <v>46021.0</v>
      </c>
      <c r="F119" s="181">
        <v>640.6666666666666</v>
      </c>
      <c r="G119" s="205">
        <v>784176.0</v>
      </c>
      <c r="H119" s="205">
        <v>1224.0</v>
      </c>
      <c r="I119" s="255">
        <v>612.0</v>
      </c>
      <c r="J119" s="256">
        <v>408.0</v>
      </c>
      <c r="K119" s="257">
        <v>489.0</v>
      </c>
      <c r="L119" s="257">
        <v>244.0</v>
      </c>
      <c r="M119" s="185">
        <v>103.0</v>
      </c>
      <c r="N119" s="186">
        <v>1121.0</v>
      </c>
      <c r="O119" s="186"/>
      <c r="P119" s="186"/>
      <c r="Q119" s="186"/>
      <c r="R119" s="186"/>
      <c r="S119" s="186"/>
      <c r="T119" s="186"/>
      <c r="U119" s="186"/>
      <c r="V119" s="186"/>
      <c r="W119" s="186"/>
      <c r="X119" s="186"/>
      <c r="Y119" s="186"/>
      <c r="Z119" s="186"/>
      <c r="AA119" s="186"/>
      <c r="AB119" s="186"/>
      <c r="AC119" s="186"/>
      <c r="AD119" s="186"/>
      <c r="AE119" s="186"/>
    </row>
    <row r="120">
      <c r="A120" s="178"/>
      <c r="B120" s="36"/>
      <c r="C120" s="37"/>
      <c r="D120" s="254" t="s">
        <v>713</v>
      </c>
      <c r="E120" s="180">
        <v>46022.0</v>
      </c>
      <c r="F120" s="181">
        <v>559.962</v>
      </c>
      <c r="G120" s="205">
        <v>461408.68799999997</v>
      </c>
      <c r="H120" s="205">
        <v>824.0</v>
      </c>
      <c r="I120" s="255">
        <v>412.0</v>
      </c>
      <c r="J120" s="256">
        <v>274.0</v>
      </c>
      <c r="K120" s="257">
        <v>329.0</v>
      </c>
      <c r="L120" s="257">
        <v>164.0</v>
      </c>
      <c r="M120" s="185"/>
      <c r="N120" s="186">
        <v>824.0</v>
      </c>
      <c r="O120" s="186"/>
      <c r="P120" s="186"/>
      <c r="Q120" s="186"/>
      <c r="R120" s="186"/>
      <c r="S120" s="186"/>
      <c r="T120" s="186"/>
      <c r="U120" s="186"/>
      <c r="V120" s="186"/>
      <c r="W120" s="186"/>
      <c r="X120" s="186"/>
      <c r="Y120" s="186"/>
      <c r="Z120" s="186"/>
      <c r="AA120" s="186"/>
      <c r="AB120" s="186"/>
      <c r="AC120" s="186"/>
      <c r="AD120" s="186"/>
      <c r="AE120" s="186"/>
    </row>
    <row r="121">
      <c r="A121" s="178"/>
      <c r="B121" s="36"/>
      <c r="C121" s="37"/>
      <c r="D121" s="254" t="s">
        <v>714</v>
      </c>
      <c r="E121" s="180">
        <v>46019.0</v>
      </c>
      <c r="F121" s="181">
        <v>1637.0000000000002</v>
      </c>
      <c r="G121" s="205">
        <v>482915.00000000006</v>
      </c>
      <c r="H121" s="205">
        <v>295.0</v>
      </c>
      <c r="I121" s="255">
        <v>147.0</v>
      </c>
      <c r="J121" s="256">
        <v>98.0</v>
      </c>
      <c r="K121" s="257">
        <v>118.0</v>
      </c>
      <c r="L121" s="257">
        <v>59.0</v>
      </c>
      <c r="M121" s="185">
        <v>295.0</v>
      </c>
      <c r="N121" s="186"/>
      <c r="O121" s="186"/>
      <c r="P121" s="186"/>
      <c r="Q121" s="186"/>
      <c r="R121" s="186"/>
      <c r="S121" s="186"/>
      <c r="T121" s="186"/>
      <c r="U121" s="186"/>
      <c r="V121" s="186"/>
      <c r="W121" s="186"/>
      <c r="X121" s="186"/>
      <c r="Y121" s="186"/>
      <c r="Z121" s="186"/>
      <c r="AA121" s="186"/>
      <c r="AB121" s="186"/>
      <c r="AC121" s="186"/>
      <c r="AD121" s="186"/>
      <c r="AE121" s="186"/>
    </row>
    <row r="122">
      <c r="A122" s="178"/>
      <c r="B122" s="36"/>
      <c r="C122" s="37"/>
      <c r="D122" s="254" t="s">
        <v>717</v>
      </c>
      <c r="E122" s="180">
        <v>46016.0</v>
      </c>
      <c r="F122" s="181">
        <v>1980.4999999999998</v>
      </c>
      <c r="G122" s="205">
        <v>340645.99999999994</v>
      </c>
      <c r="H122" s="205">
        <v>172.0</v>
      </c>
      <c r="I122" s="255">
        <v>86.0</v>
      </c>
      <c r="J122" s="256">
        <v>57.0</v>
      </c>
      <c r="K122" s="257">
        <v>68.0</v>
      </c>
      <c r="L122" s="257">
        <v>34.0</v>
      </c>
      <c r="M122" s="185">
        <v>171.0</v>
      </c>
      <c r="N122" s="186">
        <v>1.0</v>
      </c>
      <c r="O122" s="186"/>
      <c r="P122" s="186"/>
      <c r="Q122" s="186"/>
      <c r="R122" s="186"/>
      <c r="S122" s="186"/>
      <c r="T122" s="186"/>
      <c r="U122" s="186"/>
      <c r="V122" s="186"/>
      <c r="W122" s="186"/>
      <c r="X122" s="186"/>
      <c r="Y122" s="186"/>
      <c r="Z122" s="186"/>
      <c r="AA122" s="186"/>
      <c r="AB122" s="186"/>
      <c r="AC122" s="186"/>
      <c r="AD122" s="186"/>
      <c r="AE122" s="186"/>
    </row>
    <row r="123">
      <c r="A123" s="178"/>
      <c r="B123" s="36"/>
      <c r="C123" s="37"/>
      <c r="D123" s="254" t="s">
        <v>746</v>
      </c>
      <c r="E123" s="180">
        <v>46017.0</v>
      </c>
      <c r="F123" s="181">
        <v>4252.52</v>
      </c>
      <c r="G123" s="205">
        <v>229636.08000000002</v>
      </c>
      <c r="H123" s="205">
        <v>54.0</v>
      </c>
      <c r="I123" s="255">
        <v>27.0</v>
      </c>
      <c r="J123" s="256">
        <v>18.0</v>
      </c>
      <c r="K123" s="257">
        <v>21.0</v>
      </c>
      <c r="L123" s="257">
        <v>10.0</v>
      </c>
      <c r="M123" s="185">
        <v>47.0</v>
      </c>
      <c r="N123" s="186">
        <v>7.0</v>
      </c>
      <c r="O123" s="186"/>
      <c r="P123" s="186"/>
      <c r="Q123" s="186"/>
      <c r="R123" s="186"/>
      <c r="S123" s="186"/>
      <c r="T123" s="186"/>
      <c r="U123" s="186"/>
      <c r="V123" s="186"/>
      <c r="W123" s="186"/>
      <c r="X123" s="186"/>
      <c r="Y123" s="186"/>
      <c r="Z123" s="186"/>
      <c r="AA123" s="186"/>
      <c r="AB123" s="186"/>
      <c r="AC123" s="186"/>
      <c r="AD123" s="186"/>
      <c r="AE123" s="186"/>
    </row>
    <row r="124">
      <c r="A124" s="178"/>
      <c r="B124" s="36"/>
      <c r="C124" s="37"/>
      <c r="D124" s="197" t="s">
        <v>749</v>
      </c>
      <c r="E124" s="180">
        <v>46022.0</v>
      </c>
      <c r="F124" s="181">
        <v>1637.0</v>
      </c>
      <c r="G124" s="205">
        <v>2617563.0</v>
      </c>
      <c r="H124" s="205">
        <v>1599.0</v>
      </c>
      <c r="I124" s="255">
        <v>799.0</v>
      </c>
      <c r="J124" s="256">
        <v>533.0</v>
      </c>
      <c r="K124" s="257">
        <v>639.0</v>
      </c>
      <c r="L124" s="257">
        <v>319.0</v>
      </c>
      <c r="M124" s="185">
        <v>1254.0</v>
      </c>
      <c r="N124" s="186">
        <v>345.0</v>
      </c>
      <c r="O124" s="186"/>
      <c r="P124" s="186"/>
      <c r="Q124" s="186"/>
      <c r="R124" s="186"/>
      <c r="S124" s="186"/>
      <c r="T124" s="186"/>
      <c r="U124" s="186"/>
      <c r="V124" s="186"/>
      <c r="W124" s="186"/>
      <c r="X124" s="186"/>
      <c r="Y124" s="186"/>
      <c r="Z124" s="186"/>
      <c r="AA124" s="186"/>
      <c r="AB124" s="186"/>
      <c r="AC124" s="186"/>
      <c r="AD124" s="186"/>
      <c r="AE124" s="186"/>
    </row>
    <row r="125">
      <c r="A125" s="178"/>
      <c r="B125" s="36"/>
      <c r="C125" s="37"/>
      <c r="D125" s="254" t="s">
        <v>750</v>
      </c>
      <c r="E125" s="180">
        <v>46021.0</v>
      </c>
      <c r="F125" s="181">
        <v>1980.3072727272722</v>
      </c>
      <c r="G125" s="205">
        <v>3756642.8963636355</v>
      </c>
      <c r="H125" s="205">
        <v>1897.0</v>
      </c>
      <c r="I125" s="255">
        <v>948.0</v>
      </c>
      <c r="J125" s="256">
        <v>632.0</v>
      </c>
      <c r="K125" s="257">
        <v>758.0</v>
      </c>
      <c r="L125" s="257">
        <v>379.0</v>
      </c>
      <c r="M125" s="185">
        <v>930.0</v>
      </c>
      <c r="N125" s="186">
        <v>967.0</v>
      </c>
      <c r="O125" s="186"/>
      <c r="P125" s="186"/>
      <c r="Q125" s="186"/>
      <c r="R125" s="186"/>
      <c r="S125" s="186"/>
      <c r="T125" s="186"/>
      <c r="U125" s="186"/>
      <c r="V125" s="186"/>
      <c r="W125" s="186"/>
      <c r="X125" s="186"/>
      <c r="Y125" s="186"/>
      <c r="Z125" s="186"/>
      <c r="AA125" s="186"/>
      <c r="AB125" s="186"/>
      <c r="AC125" s="186"/>
      <c r="AD125" s="186"/>
      <c r="AE125" s="186"/>
    </row>
    <row r="126">
      <c r="A126" s="178"/>
      <c r="B126" s="36"/>
      <c r="C126" s="37"/>
      <c r="D126" s="254" t="s">
        <v>756</v>
      </c>
      <c r="E126" s="180">
        <v>46002.0</v>
      </c>
      <c r="F126" s="181">
        <v>19.957222222222217</v>
      </c>
      <c r="G126" s="205">
        <v>142973.53999999998</v>
      </c>
      <c r="H126" s="205">
        <v>7164.0</v>
      </c>
      <c r="I126" s="255">
        <v>3582.0</v>
      </c>
      <c r="J126" s="256">
        <v>2388.0</v>
      </c>
      <c r="K126" s="257">
        <v>2865.0</v>
      </c>
      <c r="L126" s="257">
        <v>1432.0</v>
      </c>
      <c r="M126" s="185">
        <v>900.0</v>
      </c>
      <c r="N126" s="186">
        <v>6264.0</v>
      </c>
      <c r="O126" s="186"/>
      <c r="P126" s="186"/>
      <c r="Q126" s="186"/>
      <c r="R126" s="186"/>
      <c r="S126" s="186"/>
      <c r="T126" s="186"/>
      <c r="U126" s="186"/>
      <c r="V126" s="186"/>
      <c r="W126" s="186"/>
      <c r="X126" s="186"/>
      <c r="Y126" s="186"/>
      <c r="Z126" s="186"/>
      <c r="AA126" s="186"/>
      <c r="AB126" s="186"/>
      <c r="AC126" s="186"/>
      <c r="AD126" s="186"/>
      <c r="AE126" s="186"/>
    </row>
    <row r="127">
      <c r="A127" s="178"/>
      <c r="B127" s="36"/>
      <c r="C127" s="37"/>
      <c r="D127" s="254" t="s">
        <v>760</v>
      </c>
      <c r="E127" s="180">
        <v>46018.0</v>
      </c>
      <c r="F127" s="181">
        <v>19.957222222222217</v>
      </c>
      <c r="G127" s="205">
        <v>87272.93277777775</v>
      </c>
      <c r="H127" s="205">
        <v>4373.0</v>
      </c>
      <c r="I127" s="255">
        <v>2186.0</v>
      </c>
      <c r="J127" s="256">
        <v>1457.0</v>
      </c>
      <c r="K127" s="257">
        <v>1749.0</v>
      </c>
      <c r="L127" s="257">
        <v>874.0</v>
      </c>
      <c r="M127" s="185">
        <v>1585.0</v>
      </c>
      <c r="N127" s="186">
        <v>2788.0</v>
      </c>
      <c r="O127" s="186"/>
      <c r="P127" s="186"/>
      <c r="Q127" s="186"/>
      <c r="R127" s="186"/>
      <c r="S127" s="186"/>
      <c r="T127" s="186"/>
      <c r="U127" s="186"/>
      <c r="V127" s="186"/>
      <c r="W127" s="186"/>
      <c r="X127" s="186"/>
      <c r="Y127" s="186"/>
      <c r="Z127" s="186"/>
      <c r="AA127" s="186"/>
      <c r="AB127" s="186"/>
      <c r="AC127" s="186"/>
      <c r="AD127" s="186"/>
      <c r="AE127" s="186"/>
    </row>
    <row r="128">
      <c r="A128" s="178"/>
      <c r="B128" s="36"/>
      <c r="C128" s="37"/>
      <c r="D128" s="254" t="s">
        <v>1404</v>
      </c>
      <c r="E128" s="180"/>
      <c r="F128" s="181"/>
      <c r="G128" s="205">
        <v>0.0</v>
      </c>
      <c r="H128" s="205"/>
      <c r="I128" s="255"/>
      <c r="J128" s="256"/>
      <c r="K128" s="257"/>
      <c r="L128" s="257"/>
      <c r="M128" s="185"/>
      <c r="N128" s="186"/>
      <c r="O128" s="186"/>
      <c r="P128" s="186"/>
      <c r="Q128" s="186"/>
      <c r="R128" s="186"/>
      <c r="S128" s="186"/>
      <c r="T128" s="186"/>
      <c r="U128" s="186"/>
      <c r="V128" s="186"/>
      <c r="W128" s="186"/>
      <c r="X128" s="186"/>
      <c r="Y128" s="186"/>
      <c r="Z128" s="186"/>
      <c r="AA128" s="186"/>
      <c r="AB128" s="186"/>
      <c r="AC128" s="186"/>
      <c r="AD128" s="186"/>
      <c r="AE128" s="186"/>
    </row>
    <row r="129">
      <c r="A129" s="178"/>
      <c r="B129" s="36"/>
      <c r="C129" s="37"/>
      <c r="D129" s="254" t="s">
        <v>762</v>
      </c>
      <c r="E129" s="180"/>
      <c r="F129" s="181">
        <v>17.44</v>
      </c>
      <c r="G129" s="205">
        <v>17440.0</v>
      </c>
      <c r="H129" s="205">
        <v>1000.0</v>
      </c>
      <c r="I129" s="255">
        <v>500.0</v>
      </c>
      <c r="J129" s="256">
        <v>333.0</v>
      </c>
      <c r="K129" s="257">
        <v>400.0</v>
      </c>
      <c r="L129" s="257">
        <v>200.0</v>
      </c>
      <c r="M129" s="185">
        <v>1000.0</v>
      </c>
      <c r="N129" s="186"/>
      <c r="O129" s="186"/>
      <c r="P129" s="186"/>
      <c r="Q129" s="186"/>
      <c r="R129" s="186"/>
      <c r="S129" s="186"/>
      <c r="T129" s="186"/>
      <c r="U129" s="186"/>
      <c r="V129" s="186"/>
      <c r="W129" s="186"/>
      <c r="X129" s="186"/>
      <c r="Y129" s="186"/>
      <c r="Z129" s="186"/>
      <c r="AA129" s="186"/>
      <c r="AB129" s="186"/>
      <c r="AC129" s="186"/>
      <c r="AD129" s="186"/>
      <c r="AE129" s="186"/>
    </row>
    <row r="130">
      <c r="A130" s="178"/>
      <c r="B130" s="36"/>
      <c r="C130" s="37"/>
      <c r="D130" s="254" t="s">
        <v>765</v>
      </c>
      <c r="E130" s="180"/>
      <c r="F130" s="181">
        <v>17.44</v>
      </c>
      <c r="G130" s="205">
        <v>17440.0</v>
      </c>
      <c r="H130" s="205">
        <v>1000.0</v>
      </c>
      <c r="I130" s="255">
        <v>500.0</v>
      </c>
      <c r="J130" s="256">
        <v>333.0</v>
      </c>
      <c r="K130" s="257">
        <v>400.0</v>
      </c>
      <c r="L130" s="257">
        <v>200.0</v>
      </c>
      <c r="M130" s="185">
        <v>1000.0</v>
      </c>
      <c r="N130" s="186"/>
      <c r="O130" s="186"/>
      <c r="P130" s="186"/>
      <c r="Q130" s="186"/>
      <c r="R130" s="186"/>
      <c r="S130" s="186"/>
      <c r="T130" s="186"/>
      <c r="U130" s="186"/>
      <c r="V130" s="186"/>
      <c r="W130" s="186"/>
      <c r="X130" s="186"/>
      <c r="Y130" s="186"/>
      <c r="Z130" s="186"/>
      <c r="AA130" s="186"/>
      <c r="AB130" s="186"/>
      <c r="AC130" s="186"/>
      <c r="AD130" s="186"/>
      <c r="AE130" s="186"/>
    </row>
    <row r="131">
      <c r="A131" s="178"/>
      <c r="B131" s="36"/>
      <c r="C131" s="37"/>
      <c r="D131" s="254" t="s">
        <v>766</v>
      </c>
      <c r="E131" s="180"/>
      <c r="F131" s="181">
        <v>15.589874999999997</v>
      </c>
      <c r="G131" s="205">
        <v>15589.874999999998</v>
      </c>
      <c r="H131" s="205">
        <v>1000.0</v>
      </c>
      <c r="I131" s="255">
        <v>500.0</v>
      </c>
      <c r="J131" s="256">
        <v>333.0</v>
      </c>
      <c r="K131" s="257">
        <v>400.0</v>
      </c>
      <c r="L131" s="257">
        <v>200.0</v>
      </c>
      <c r="M131" s="185">
        <v>1000.0</v>
      </c>
      <c r="N131" s="186"/>
      <c r="O131" s="186"/>
      <c r="P131" s="186"/>
      <c r="Q131" s="186"/>
      <c r="R131" s="186"/>
      <c r="S131" s="186"/>
      <c r="T131" s="186"/>
      <c r="U131" s="186"/>
      <c r="V131" s="186"/>
      <c r="W131" s="186"/>
      <c r="X131" s="186"/>
      <c r="Y131" s="186"/>
      <c r="Z131" s="186"/>
      <c r="AA131" s="186"/>
      <c r="AB131" s="186"/>
      <c r="AC131" s="186"/>
      <c r="AD131" s="186"/>
      <c r="AE131" s="186"/>
    </row>
    <row r="132">
      <c r="A132" s="178"/>
      <c r="B132" s="36"/>
      <c r="C132" s="37"/>
      <c r="D132" s="254" t="s">
        <v>769</v>
      </c>
      <c r="E132" s="180">
        <v>45997.0</v>
      </c>
      <c r="F132" s="181">
        <v>15.589874999999997</v>
      </c>
      <c r="G132" s="205">
        <v>87428.01899999999</v>
      </c>
      <c r="H132" s="205">
        <v>5608.0</v>
      </c>
      <c r="I132" s="255">
        <v>2804.0</v>
      </c>
      <c r="J132" s="256">
        <v>1869.0</v>
      </c>
      <c r="K132" s="257">
        <v>2243.0</v>
      </c>
      <c r="L132" s="257">
        <v>1121.0</v>
      </c>
      <c r="M132" s="185">
        <v>1890.0</v>
      </c>
      <c r="N132" s="186">
        <v>3718.0</v>
      </c>
      <c r="O132" s="186"/>
      <c r="P132" s="186"/>
      <c r="Q132" s="186"/>
      <c r="R132" s="186"/>
      <c r="S132" s="186"/>
      <c r="T132" s="186"/>
      <c r="U132" s="186"/>
      <c r="V132" s="186"/>
      <c r="W132" s="186"/>
      <c r="X132" s="186"/>
      <c r="Y132" s="186"/>
      <c r="Z132" s="186"/>
      <c r="AA132" s="186"/>
      <c r="AB132" s="186"/>
      <c r="AC132" s="186"/>
      <c r="AD132" s="186"/>
      <c r="AE132" s="186"/>
    </row>
    <row r="133">
      <c r="A133" s="178"/>
      <c r="B133" s="36"/>
      <c r="C133" s="37"/>
      <c r="D133" s="254" t="s">
        <v>771</v>
      </c>
      <c r="E133" s="180">
        <v>45965.0</v>
      </c>
      <c r="F133" s="181">
        <v>19.957222222222217</v>
      </c>
      <c r="G133" s="205">
        <v>79629.31666666665</v>
      </c>
      <c r="H133" s="205">
        <v>3990.0</v>
      </c>
      <c r="I133" s="255">
        <v>1995.0</v>
      </c>
      <c r="J133" s="256">
        <v>1330.0</v>
      </c>
      <c r="K133" s="257">
        <v>1596.0</v>
      </c>
      <c r="L133" s="257">
        <v>798.0</v>
      </c>
      <c r="M133" s="185">
        <v>1000.0</v>
      </c>
      <c r="N133" s="186">
        <v>2990.0</v>
      </c>
      <c r="O133" s="186"/>
      <c r="P133" s="186"/>
      <c r="Q133" s="186"/>
      <c r="R133" s="186"/>
      <c r="S133" s="186"/>
      <c r="T133" s="186"/>
      <c r="U133" s="186"/>
      <c r="V133" s="186"/>
      <c r="W133" s="186"/>
      <c r="X133" s="186"/>
      <c r="Y133" s="186"/>
      <c r="Z133" s="186"/>
      <c r="AA133" s="186"/>
      <c r="AB133" s="186"/>
      <c r="AC133" s="186"/>
      <c r="AD133" s="186"/>
      <c r="AE133" s="186"/>
    </row>
    <row r="134">
      <c r="A134" s="178"/>
      <c r="B134" s="36"/>
      <c r="C134" s="37"/>
      <c r="D134" s="254" t="s">
        <v>772</v>
      </c>
      <c r="E134" s="180">
        <v>46006.0</v>
      </c>
      <c r="F134" s="181">
        <v>17.44</v>
      </c>
      <c r="G134" s="205">
        <v>40984.0</v>
      </c>
      <c r="H134" s="205">
        <v>2350.0</v>
      </c>
      <c r="I134" s="255">
        <v>1175.0</v>
      </c>
      <c r="J134" s="256">
        <v>783.0</v>
      </c>
      <c r="K134" s="257">
        <v>940.0</v>
      </c>
      <c r="L134" s="257">
        <v>470.0</v>
      </c>
      <c r="M134" s="185">
        <v>1270.0</v>
      </c>
      <c r="N134" s="186">
        <v>1080.0</v>
      </c>
      <c r="O134" s="186"/>
      <c r="P134" s="186"/>
      <c r="Q134" s="186"/>
      <c r="R134" s="186"/>
      <c r="S134" s="186"/>
      <c r="T134" s="186"/>
      <c r="U134" s="186"/>
      <c r="V134" s="186"/>
      <c r="W134" s="186"/>
      <c r="X134" s="186"/>
      <c r="Y134" s="186"/>
      <c r="Z134" s="186"/>
      <c r="AA134" s="186"/>
      <c r="AB134" s="186"/>
      <c r="AC134" s="186"/>
      <c r="AD134" s="186"/>
      <c r="AE134" s="186"/>
    </row>
    <row r="135">
      <c r="A135" s="178"/>
      <c r="B135" s="36"/>
      <c r="C135" s="37"/>
      <c r="D135" s="254" t="s">
        <v>778</v>
      </c>
      <c r="E135" s="180"/>
      <c r="F135" s="181">
        <v>17.44</v>
      </c>
      <c r="G135" s="205">
        <v>17440.0</v>
      </c>
      <c r="H135" s="205">
        <v>1000.0</v>
      </c>
      <c r="I135" s="255">
        <v>500.0</v>
      </c>
      <c r="J135" s="256">
        <v>333.0</v>
      </c>
      <c r="K135" s="257">
        <v>400.0</v>
      </c>
      <c r="L135" s="257">
        <v>200.0</v>
      </c>
      <c r="M135" s="185">
        <v>1000.0</v>
      </c>
      <c r="N135" s="186"/>
      <c r="O135" s="186"/>
      <c r="P135" s="186"/>
      <c r="Q135" s="186"/>
      <c r="R135" s="186"/>
      <c r="S135" s="186"/>
      <c r="T135" s="186"/>
      <c r="U135" s="186"/>
      <c r="V135" s="186"/>
      <c r="W135" s="186"/>
      <c r="X135" s="186"/>
      <c r="Y135" s="186"/>
      <c r="Z135" s="186"/>
      <c r="AA135" s="186"/>
      <c r="AB135" s="186"/>
      <c r="AC135" s="186"/>
      <c r="AD135" s="186"/>
      <c r="AE135" s="186"/>
    </row>
    <row r="136">
      <c r="A136" s="178"/>
      <c r="B136" s="36"/>
      <c r="C136" s="37"/>
      <c r="D136" s="254" t="s">
        <v>779</v>
      </c>
      <c r="E136" s="180">
        <v>46015.0</v>
      </c>
      <c r="F136" s="181">
        <v>21.1651</v>
      </c>
      <c r="G136" s="205">
        <v>96047.22379999999</v>
      </c>
      <c r="H136" s="205">
        <v>4538.0</v>
      </c>
      <c r="I136" s="255">
        <v>2269.0</v>
      </c>
      <c r="J136" s="256">
        <v>1512.0</v>
      </c>
      <c r="K136" s="257">
        <v>1815.0</v>
      </c>
      <c r="L136" s="257">
        <v>907.0</v>
      </c>
      <c r="M136" s="185">
        <v>4562.0</v>
      </c>
      <c r="N136" s="186">
        <v>-24.0</v>
      </c>
      <c r="O136" s="186"/>
      <c r="P136" s="186"/>
      <c r="Q136" s="186"/>
      <c r="R136" s="186"/>
      <c r="S136" s="186"/>
      <c r="T136" s="186"/>
      <c r="U136" s="186"/>
      <c r="V136" s="186"/>
      <c r="W136" s="186"/>
      <c r="X136" s="186"/>
      <c r="Y136" s="186"/>
      <c r="Z136" s="186"/>
      <c r="AA136" s="186"/>
      <c r="AB136" s="186"/>
      <c r="AC136" s="186"/>
      <c r="AD136" s="186"/>
      <c r="AE136" s="186"/>
    </row>
    <row r="137">
      <c r="A137" s="178"/>
      <c r="B137" s="36"/>
      <c r="C137" s="37"/>
      <c r="D137" s="254" t="s">
        <v>1426</v>
      </c>
      <c r="E137" s="180">
        <v>45763.0</v>
      </c>
      <c r="F137" s="181"/>
      <c r="G137" s="205">
        <v>0.0</v>
      </c>
      <c r="H137" s="205"/>
      <c r="I137" s="255"/>
      <c r="J137" s="256"/>
      <c r="K137" s="257"/>
      <c r="L137" s="257"/>
      <c r="M137" s="185"/>
      <c r="N137" s="186"/>
      <c r="O137" s="186"/>
      <c r="P137" s="186"/>
      <c r="Q137" s="186"/>
      <c r="R137" s="186"/>
      <c r="S137" s="186"/>
      <c r="T137" s="186"/>
      <c r="U137" s="186"/>
      <c r="V137" s="186"/>
      <c r="W137" s="186"/>
      <c r="X137" s="186"/>
      <c r="Y137" s="186"/>
      <c r="Z137" s="186"/>
      <c r="AA137" s="186"/>
      <c r="AB137" s="186"/>
      <c r="AC137" s="186"/>
      <c r="AD137" s="186"/>
      <c r="AE137" s="186"/>
    </row>
    <row r="138">
      <c r="A138" s="178"/>
      <c r="B138" s="36"/>
      <c r="C138" s="37"/>
      <c r="D138" s="254" t="s">
        <v>782</v>
      </c>
      <c r="E138" s="180">
        <v>46017.0</v>
      </c>
      <c r="F138" s="181">
        <v>15.589874999999997</v>
      </c>
      <c r="G138" s="205">
        <v>123440.63024999997</v>
      </c>
      <c r="H138" s="205">
        <v>7918.0</v>
      </c>
      <c r="I138" s="255">
        <v>3959.0</v>
      </c>
      <c r="J138" s="256">
        <v>2639.0</v>
      </c>
      <c r="K138" s="257">
        <v>3167.0</v>
      </c>
      <c r="L138" s="257">
        <v>1583.0</v>
      </c>
      <c r="M138" s="185">
        <v>1960.0</v>
      </c>
      <c r="N138" s="186">
        <v>5958.0</v>
      </c>
      <c r="O138" s="186"/>
      <c r="P138" s="186"/>
      <c r="Q138" s="186"/>
      <c r="R138" s="186"/>
      <c r="S138" s="186"/>
      <c r="T138" s="186"/>
      <c r="U138" s="186"/>
      <c r="V138" s="186"/>
      <c r="W138" s="186"/>
      <c r="X138" s="186"/>
      <c r="Y138" s="186"/>
      <c r="Z138" s="186"/>
      <c r="AA138" s="186"/>
      <c r="AB138" s="186"/>
      <c r="AC138" s="186"/>
      <c r="AD138" s="186"/>
      <c r="AE138" s="186"/>
    </row>
    <row r="139">
      <c r="A139" s="178"/>
      <c r="B139" s="36"/>
      <c r="C139" s="37"/>
      <c r="D139" s="254" t="s">
        <v>784</v>
      </c>
      <c r="E139" s="180">
        <v>45957.0</v>
      </c>
      <c r="F139" s="181">
        <v>21.1651</v>
      </c>
      <c r="G139" s="205">
        <v>105719.6745</v>
      </c>
      <c r="H139" s="205">
        <v>4995.0</v>
      </c>
      <c r="I139" s="255">
        <v>2497.0</v>
      </c>
      <c r="J139" s="256">
        <v>1665.0</v>
      </c>
      <c r="K139" s="257">
        <v>1998.0</v>
      </c>
      <c r="L139" s="257">
        <v>999.0</v>
      </c>
      <c r="M139" s="185">
        <v>4995.0</v>
      </c>
      <c r="N139" s="186"/>
      <c r="O139" s="186"/>
      <c r="P139" s="186"/>
      <c r="Q139" s="186"/>
      <c r="R139" s="186"/>
      <c r="S139" s="186"/>
      <c r="T139" s="186"/>
      <c r="U139" s="186"/>
      <c r="V139" s="186"/>
      <c r="W139" s="186"/>
      <c r="X139" s="186"/>
      <c r="Y139" s="186"/>
      <c r="Z139" s="186"/>
      <c r="AA139" s="186"/>
      <c r="AB139" s="186"/>
      <c r="AC139" s="186"/>
      <c r="AD139" s="186"/>
      <c r="AE139" s="186"/>
    </row>
    <row r="140">
      <c r="A140" s="178"/>
      <c r="B140" s="36"/>
      <c r="C140" s="37"/>
      <c r="D140" s="254" t="s">
        <v>785</v>
      </c>
      <c r="E140" s="180">
        <v>46002.0</v>
      </c>
      <c r="F140" s="181">
        <v>15.589874999999997</v>
      </c>
      <c r="G140" s="205">
        <v>61969.75312499999</v>
      </c>
      <c r="H140" s="205">
        <v>3975.0</v>
      </c>
      <c r="I140" s="255">
        <v>1987.0</v>
      </c>
      <c r="J140" s="256">
        <v>1325.0</v>
      </c>
      <c r="K140" s="257">
        <v>1590.0</v>
      </c>
      <c r="L140" s="257">
        <v>795.0</v>
      </c>
      <c r="M140" s="185">
        <v>1000.0</v>
      </c>
      <c r="N140" s="186">
        <v>2975.0</v>
      </c>
      <c r="O140" s="186"/>
      <c r="P140" s="186"/>
      <c r="Q140" s="186"/>
      <c r="R140" s="186"/>
      <c r="S140" s="186"/>
      <c r="T140" s="186"/>
      <c r="U140" s="186"/>
      <c r="V140" s="186"/>
      <c r="W140" s="186"/>
      <c r="X140" s="186"/>
      <c r="Y140" s="186"/>
      <c r="Z140" s="186"/>
      <c r="AA140" s="186"/>
      <c r="AB140" s="186"/>
      <c r="AC140" s="186"/>
      <c r="AD140" s="186"/>
      <c r="AE140" s="186"/>
    </row>
    <row r="141">
      <c r="A141" s="178"/>
      <c r="B141" s="36"/>
      <c r="C141" s="37"/>
      <c r="D141" s="254" t="s">
        <v>786</v>
      </c>
      <c r="E141" s="180">
        <v>45991.0</v>
      </c>
      <c r="F141" s="181">
        <v>19.957222222222217</v>
      </c>
      <c r="G141" s="205">
        <v>89687.75666666664</v>
      </c>
      <c r="H141" s="205">
        <v>4494.0</v>
      </c>
      <c r="I141" s="255">
        <v>2247.0</v>
      </c>
      <c r="J141" s="256">
        <v>1498.0</v>
      </c>
      <c r="K141" s="257">
        <v>1797.0</v>
      </c>
      <c r="L141" s="257">
        <v>898.0</v>
      </c>
      <c r="M141" s="185">
        <v>1000.0</v>
      </c>
      <c r="N141" s="186">
        <v>3494.0</v>
      </c>
      <c r="O141" s="186"/>
      <c r="P141" s="186"/>
      <c r="Q141" s="186"/>
      <c r="R141" s="186"/>
      <c r="S141" s="186"/>
      <c r="T141" s="186"/>
      <c r="U141" s="186"/>
      <c r="V141" s="186"/>
      <c r="W141" s="186"/>
      <c r="X141" s="186"/>
      <c r="Y141" s="186"/>
      <c r="Z141" s="186"/>
      <c r="AA141" s="186"/>
      <c r="AB141" s="186"/>
      <c r="AC141" s="186"/>
      <c r="AD141" s="186"/>
      <c r="AE141" s="186"/>
    </row>
    <row r="142">
      <c r="A142" s="178"/>
      <c r="B142" s="36"/>
      <c r="C142" s="37"/>
      <c r="D142" s="254" t="s">
        <v>788</v>
      </c>
      <c r="E142" s="180">
        <v>46017.0</v>
      </c>
      <c r="F142" s="181">
        <v>17.6305</v>
      </c>
      <c r="G142" s="205">
        <v>89016.39450000001</v>
      </c>
      <c r="H142" s="205">
        <v>5049.0</v>
      </c>
      <c r="I142" s="255">
        <v>2524.0</v>
      </c>
      <c r="J142" s="256">
        <v>1683.0</v>
      </c>
      <c r="K142" s="257">
        <v>2019.0</v>
      </c>
      <c r="L142" s="257">
        <v>1009.0</v>
      </c>
      <c r="M142" s="185">
        <v>870.0</v>
      </c>
      <c r="N142" s="186">
        <v>4179.0</v>
      </c>
      <c r="O142" s="186"/>
      <c r="P142" s="186"/>
      <c r="Q142" s="186"/>
      <c r="R142" s="186"/>
      <c r="S142" s="186"/>
      <c r="T142" s="186"/>
      <c r="U142" s="186"/>
      <c r="V142" s="186"/>
      <c r="W142" s="186"/>
      <c r="X142" s="186"/>
      <c r="Y142" s="186"/>
      <c r="Z142" s="186"/>
      <c r="AA142" s="186"/>
      <c r="AB142" s="186"/>
      <c r="AC142" s="186"/>
      <c r="AD142" s="186"/>
      <c r="AE142" s="186"/>
    </row>
    <row r="143">
      <c r="A143" s="178"/>
      <c r="B143" s="36"/>
      <c r="C143" s="37"/>
      <c r="D143" s="254" t="s">
        <v>790</v>
      </c>
      <c r="E143" s="180">
        <v>45987.0</v>
      </c>
      <c r="F143" s="181">
        <v>15.589874999999997</v>
      </c>
      <c r="G143" s="205">
        <v>77481.67874999999</v>
      </c>
      <c r="H143" s="205">
        <v>4970.0</v>
      </c>
      <c r="I143" s="255">
        <v>2485.0</v>
      </c>
      <c r="J143" s="256">
        <v>1656.0</v>
      </c>
      <c r="K143" s="257">
        <v>1988.0</v>
      </c>
      <c r="L143" s="257">
        <v>994.0</v>
      </c>
      <c r="M143" s="185">
        <v>1980.0</v>
      </c>
      <c r="N143" s="186">
        <v>2990.0</v>
      </c>
      <c r="O143" s="186"/>
      <c r="P143" s="186"/>
      <c r="Q143" s="186"/>
      <c r="R143" s="186"/>
      <c r="S143" s="186"/>
      <c r="T143" s="186"/>
      <c r="U143" s="186"/>
      <c r="V143" s="186"/>
      <c r="W143" s="186"/>
      <c r="X143" s="186"/>
      <c r="Y143" s="186"/>
      <c r="Z143" s="186"/>
      <c r="AA143" s="186"/>
      <c r="AB143" s="186"/>
      <c r="AC143" s="186"/>
      <c r="AD143" s="186"/>
      <c r="AE143" s="186"/>
    </row>
    <row r="144">
      <c r="A144" s="178"/>
      <c r="B144" s="36"/>
      <c r="C144" s="37"/>
      <c r="D144" s="254" t="s">
        <v>791</v>
      </c>
      <c r="E144" s="180">
        <v>45997.0</v>
      </c>
      <c r="F144" s="181">
        <v>21.726666666666663</v>
      </c>
      <c r="G144" s="205">
        <v>92533.87333333332</v>
      </c>
      <c r="H144" s="205">
        <v>4259.0</v>
      </c>
      <c r="I144" s="255">
        <v>2129.0</v>
      </c>
      <c r="J144" s="256">
        <v>1419.0</v>
      </c>
      <c r="K144" s="257">
        <v>1703.0</v>
      </c>
      <c r="L144" s="257">
        <v>851.0</v>
      </c>
      <c r="M144" s="185">
        <v>1289.0</v>
      </c>
      <c r="N144" s="186">
        <v>2970.0</v>
      </c>
      <c r="O144" s="186"/>
      <c r="P144" s="186"/>
      <c r="Q144" s="186"/>
      <c r="R144" s="186"/>
      <c r="S144" s="186"/>
      <c r="T144" s="186"/>
      <c r="U144" s="186"/>
      <c r="V144" s="186"/>
      <c r="W144" s="186"/>
      <c r="X144" s="186"/>
      <c r="Y144" s="186"/>
      <c r="Z144" s="186"/>
      <c r="AA144" s="186"/>
      <c r="AB144" s="186"/>
      <c r="AC144" s="186"/>
      <c r="AD144" s="186"/>
      <c r="AE144" s="186"/>
    </row>
    <row r="145">
      <c r="A145" s="178"/>
      <c r="B145" s="36"/>
      <c r="C145" s="37"/>
      <c r="D145" s="254" t="s">
        <v>794</v>
      </c>
      <c r="E145" s="180">
        <v>45355.0</v>
      </c>
      <c r="F145" s="181">
        <v>25.666666666666664</v>
      </c>
      <c r="G145" s="205">
        <v>0.0</v>
      </c>
      <c r="H145" s="205"/>
      <c r="I145" s="255"/>
      <c r="J145" s="256"/>
      <c r="K145" s="257"/>
      <c r="L145" s="257"/>
      <c r="M145" s="185"/>
      <c r="N145" s="186"/>
      <c r="O145" s="186"/>
      <c r="P145" s="186"/>
      <c r="Q145" s="186"/>
      <c r="R145" s="186"/>
      <c r="S145" s="186"/>
      <c r="T145" s="186"/>
      <c r="U145" s="186"/>
      <c r="V145" s="186"/>
      <c r="W145" s="186"/>
      <c r="X145" s="186"/>
      <c r="Y145" s="186"/>
      <c r="Z145" s="186"/>
      <c r="AA145" s="186"/>
      <c r="AB145" s="186"/>
      <c r="AC145" s="186"/>
      <c r="AD145" s="186"/>
      <c r="AE145" s="186"/>
    </row>
    <row r="146">
      <c r="A146" s="178"/>
      <c r="B146" s="36"/>
      <c r="C146" s="37"/>
      <c r="D146" s="254" t="s">
        <v>795</v>
      </c>
      <c r="E146" s="180">
        <v>46012.0</v>
      </c>
      <c r="F146" s="181">
        <v>21.75</v>
      </c>
      <c r="G146" s="205">
        <v>38280.0</v>
      </c>
      <c r="H146" s="205">
        <v>1760.0</v>
      </c>
      <c r="I146" s="255">
        <v>880.0</v>
      </c>
      <c r="J146" s="256">
        <v>586.0</v>
      </c>
      <c r="K146" s="257">
        <v>704.0</v>
      </c>
      <c r="L146" s="257">
        <v>352.0</v>
      </c>
      <c r="M146" s="185">
        <v>1000.0</v>
      </c>
      <c r="N146" s="186">
        <v>760.0</v>
      </c>
      <c r="O146" s="186"/>
      <c r="P146" s="186"/>
      <c r="Q146" s="186"/>
      <c r="R146" s="186"/>
      <c r="S146" s="186"/>
      <c r="T146" s="186"/>
      <c r="U146" s="186"/>
      <c r="V146" s="186"/>
      <c r="W146" s="186"/>
      <c r="X146" s="186"/>
      <c r="Y146" s="186"/>
      <c r="Z146" s="186"/>
      <c r="AA146" s="186"/>
      <c r="AB146" s="186"/>
      <c r="AC146" s="186"/>
      <c r="AD146" s="186"/>
      <c r="AE146" s="186"/>
    </row>
    <row r="147">
      <c r="A147" s="178"/>
      <c r="B147" s="36"/>
      <c r="C147" s="37"/>
      <c r="D147" s="254" t="s">
        <v>797</v>
      </c>
      <c r="E147" s="180">
        <v>46010.0</v>
      </c>
      <c r="F147" s="181">
        <v>15.589874999999997</v>
      </c>
      <c r="G147" s="205">
        <v>29464.863749999997</v>
      </c>
      <c r="H147" s="205">
        <v>1890.0</v>
      </c>
      <c r="I147" s="255">
        <v>945.0</v>
      </c>
      <c r="J147" s="256">
        <v>630.0</v>
      </c>
      <c r="K147" s="257">
        <v>756.0</v>
      </c>
      <c r="L147" s="257">
        <v>378.0</v>
      </c>
      <c r="M147" s="185">
        <v>1890.0</v>
      </c>
      <c r="N147" s="186"/>
      <c r="O147" s="186"/>
      <c r="P147" s="186"/>
      <c r="Q147" s="186"/>
      <c r="R147" s="186"/>
      <c r="S147" s="186"/>
      <c r="T147" s="186"/>
      <c r="U147" s="186"/>
      <c r="V147" s="186"/>
      <c r="W147" s="186"/>
      <c r="X147" s="186"/>
      <c r="Y147" s="186"/>
      <c r="Z147" s="186"/>
      <c r="AA147" s="186"/>
      <c r="AB147" s="186"/>
      <c r="AC147" s="186"/>
      <c r="AD147" s="186"/>
      <c r="AE147" s="186"/>
    </row>
    <row r="148">
      <c r="A148" s="178"/>
      <c r="B148" s="36"/>
      <c r="C148" s="37"/>
      <c r="D148" s="254" t="s">
        <v>798</v>
      </c>
      <c r="E148" s="180">
        <v>45935.0</v>
      </c>
      <c r="F148" s="181">
        <v>19.957222222222217</v>
      </c>
      <c r="G148" s="205">
        <v>59672.09444444443</v>
      </c>
      <c r="H148" s="205">
        <v>2990.0</v>
      </c>
      <c r="I148" s="255">
        <v>1495.0</v>
      </c>
      <c r="J148" s="256">
        <v>996.0</v>
      </c>
      <c r="K148" s="257">
        <v>1196.0</v>
      </c>
      <c r="L148" s="257">
        <v>598.0</v>
      </c>
      <c r="M148" s="185"/>
      <c r="N148" s="186">
        <v>2990.0</v>
      </c>
      <c r="O148" s="186"/>
      <c r="P148" s="186"/>
      <c r="Q148" s="186"/>
      <c r="R148" s="186"/>
      <c r="S148" s="186"/>
      <c r="T148" s="186"/>
      <c r="U148" s="186"/>
      <c r="V148" s="186"/>
      <c r="W148" s="186"/>
      <c r="X148" s="186"/>
      <c r="Y148" s="186"/>
      <c r="Z148" s="186"/>
      <c r="AA148" s="186"/>
      <c r="AB148" s="186"/>
      <c r="AC148" s="186"/>
      <c r="AD148" s="186"/>
      <c r="AE148" s="186"/>
    </row>
    <row r="149">
      <c r="A149" s="178"/>
      <c r="B149" s="36"/>
      <c r="C149" s="37"/>
      <c r="D149" s="254" t="s">
        <v>799</v>
      </c>
      <c r="E149" s="180">
        <v>46011.0</v>
      </c>
      <c r="F149" s="181">
        <v>17.7305</v>
      </c>
      <c r="G149" s="205">
        <v>42446.816999999995</v>
      </c>
      <c r="H149" s="205">
        <v>2394.0</v>
      </c>
      <c r="I149" s="255">
        <v>1197.0</v>
      </c>
      <c r="J149" s="256">
        <v>798.0</v>
      </c>
      <c r="K149" s="257">
        <v>957.0</v>
      </c>
      <c r="L149" s="257">
        <v>478.0</v>
      </c>
      <c r="M149" s="185">
        <v>900.0</v>
      </c>
      <c r="N149" s="186">
        <v>1494.0</v>
      </c>
      <c r="O149" s="186"/>
      <c r="P149" s="186"/>
      <c r="Q149" s="186"/>
      <c r="R149" s="186"/>
      <c r="S149" s="186"/>
      <c r="T149" s="186"/>
      <c r="U149" s="186"/>
      <c r="V149" s="186"/>
      <c r="W149" s="186"/>
      <c r="X149" s="186"/>
      <c r="Y149" s="186"/>
      <c r="Z149" s="186"/>
      <c r="AA149" s="186"/>
      <c r="AB149" s="186"/>
      <c r="AC149" s="186"/>
      <c r="AD149" s="186"/>
      <c r="AE149" s="186"/>
    </row>
    <row r="150">
      <c r="A150" s="178"/>
      <c r="B150" s="36"/>
      <c r="C150" s="37"/>
      <c r="D150" s="254" t="s">
        <v>1451</v>
      </c>
      <c r="E150" s="180">
        <v>45763.0</v>
      </c>
      <c r="F150" s="181"/>
      <c r="G150" s="205">
        <v>0.0</v>
      </c>
      <c r="H150" s="205"/>
      <c r="I150" s="255"/>
      <c r="J150" s="256"/>
      <c r="K150" s="257"/>
      <c r="L150" s="257"/>
      <c r="M150" s="185"/>
      <c r="N150" s="186"/>
      <c r="O150" s="186"/>
      <c r="P150" s="186"/>
      <c r="Q150" s="186"/>
      <c r="R150" s="186"/>
      <c r="S150" s="186"/>
      <c r="T150" s="186"/>
      <c r="U150" s="186"/>
      <c r="V150" s="186"/>
      <c r="W150" s="186"/>
      <c r="X150" s="186"/>
      <c r="Y150" s="186"/>
      <c r="Z150" s="186"/>
      <c r="AA150" s="186"/>
      <c r="AB150" s="186"/>
      <c r="AC150" s="186"/>
      <c r="AD150" s="186"/>
      <c r="AE150" s="186"/>
    </row>
    <row r="151">
      <c r="A151" s="178"/>
      <c r="B151" s="36"/>
      <c r="C151" s="37"/>
      <c r="D151" s="254" t="s">
        <v>800</v>
      </c>
      <c r="E151" s="180">
        <v>45980.0</v>
      </c>
      <c r="F151" s="181">
        <v>22.433333333333334</v>
      </c>
      <c r="G151" s="205">
        <v>21984.666666666668</v>
      </c>
      <c r="H151" s="205">
        <v>980.0</v>
      </c>
      <c r="I151" s="255">
        <v>490.0</v>
      </c>
      <c r="J151" s="256">
        <v>326.0</v>
      </c>
      <c r="K151" s="257">
        <v>392.0</v>
      </c>
      <c r="L151" s="257">
        <v>196.0</v>
      </c>
      <c r="M151" s="185"/>
      <c r="N151" s="186">
        <v>980.0</v>
      </c>
      <c r="O151" s="186"/>
      <c r="P151" s="186"/>
      <c r="Q151" s="186"/>
      <c r="R151" s="186"/>
      <c r="S151" s="186"/>
      <c r="T151" s="186"/>
      <c r="U151" s="186"/>
      <c r="V151" s="186"/>
      <c r="W151" s="186"/>
      <c r="X151" s="186"/>
      <c r="Y151" s="186"/>
      <c r="Z151" s="186"/>
      <c r="AA151" s="186"/>
      <c r="AB151" s="186"/>
      <c r="AC151" s="186"/>
      <c r="AD151" s="186"/>
      <c r="AE151" s="186"/>
    </row>
    <row r="152">
      <c r="A152" s="178"/>
      <c r="B152" s="36"/>
      <c r="C152" s="37"/>
      <c r="D152" s="254" t="s">
        <v>802</v>
      </c>
      <c r="E152" s="180">
        <v>46011.0</v>
      </c>
      <c r="F152" s="181">
        <v>17.6305</v>
      </c>
      <c r="G152" s="205">
        <v>66643.29000000001</v>
      </c>
      <c r="H152" s="205">
        <v>3780.0</v>
      </c>
      <c r="I152" s="255">
        <v>1890.0</v>
      </c>
      <c r="J152" s="256">
        <v>1260.0</v>
      </c>
      <c r="K152" s="257">
        <v>1512.0</v>
      </c>
      <c r="L152" s="257">
        <v>756.0</v>
      </c>
      <c r="M152" s="185"/>
      <c r="N152" s="186">
        <v>3780.0</v>
      </c>
      <c r="O152" s="186"/>
      <c r="P152" s="186"/>
      <c r="Q152" s="186"/>
      <c r="R152" s="186"/>
      <c r="S152" s="186"/>
      <c r="T152" s="186"/>
      <c r="U152" s="186"/>
      <c r="V152" s="186"/>
      <c r="W152" s="186"/>
      <c r="X152" s="186"/>
      <c r="Y152" s="186"/>
      <c r="Z152" s="186"/>
      <c r="AA152" s="186"/>
      <c r="AB152" s="186"/>
      <c r="AC152" s="186"/>
      <c r="AD152" s="186"/>
      <c r="AE152" s="186"/>
    </row>
    <row r="153">
      <c r="A153" s="178"/>
      <c r="B153" s="36"/>
      <c r="C153" s="37"/>
      <c r="D153" s="254" t="s">
        <v>803</v>
      </c>
      <c r="E153" s="180">
        <v>46011.0</v>
      </c>
      <c r="F153" s="181">
        <v>21.7</v>
      </c>
      <c r="G153" s="205">
        <v>62344.1</v>
      </c>
      <c r="H153" s="205">
        <v>2873.0</v>
      </c>
      <c r="I153" s="255">
        <v>1436.0</v>
      </c>
      <c r="J153" s="256">
        <v>957.0</v>
      </c>
      <c r="K153" s="257">
        <v>1149.0</v>
      </c>
      <c r="L153" s="257">
        <v>574.0</v>
      </c>
      <c r="M153" s="185">
        <v>1960.0</v>
      </c>
      <c r="N153" s="186">
        <v>913.0</v>
      </c>
      <c r="O153" s="186"/>
      <c r="P153" s="186"/>
      <c r="Q153" s="186"/>
      <c r="R153" s="186"/>
      <c r="S153" s="186"/>
      <c r="T153" s="186"/>
      <c r="U153" s="186"/>
      <c r="V153" s="186"/>
      <c r="W153" s="186"/>
      <c r="X153" s="186"/>
      <c r="Y153" s="186"/>
      <c r="Z153" s="186"/>
      <c r="AA153" s="186"/>
      <c r="AB153" s="186"/>
      <c r="AC153" s="186"/>
      <c r="AD153" s="186"/>
      <c r="AE153" s="186"/>
    </row>
    <row r="154">
      <c r="A154" s="178"/>
      <c r="B154" s="36"/>
      <c r="C154" s="37"/>
      <c r="D154" s="254" t="s">
        <v>804</v>
      </c>
      <c r="E154" s="180">
        <v>46010.0</v>
      </c>
      <c r="F154" s="181">
        <v>19.957222222222217</v>
      </c>
      <c r="G154" s="205">
        <v>88949.33944444443</v>
      </c>
      <c r="H154" s="205">
        <v>4457.0</v>
      </c>
      <c r="I154" s="255">
        <v>2228.0</v>
      </c>
      <c r="J154" s="256">
        <v>1485.0</v>
      </c>
      <c r="K154" s="257">
        <v>1782.0</v>
      </c>
      <c r="L154" s="257">
        <v>891.0</v>
      </c>
      <c r="M154" s="185">
        <v>990.0</v>
      </c>
      <c r="N154" s="186">
        <v>3467.0</v>
      </c>
      <c r="O154" s="186"/>
      <c r="P154" s="186"/>
      <c r="Q154" s="186"/>
      <c r="R154" s="186"/>
      <c r="S154" s="186"/>
      <c r="T154" s="186"/>
      <c r="U154" s="186"/>
      <c r="V154" s="186"/>
      <c r="W154" s="186"/>
      <c r="X154" s="186"/>
      <c r="Y154" s="186"/>
      <c r="Z154" s="186"/>
      <c r="AA154" s="186"/>
      <c r="AB154" s="186"/>
      <c r="AC154" s="186"/>
      <c r="AD154" s="186"/>
      <c r="AE154" s="186"/>
    </row>
    <row r="155">
      <c r="A155" s="178"/>
      <c r="B155" s="36"/>
      <c r="C155" s="37"/>
      <c r="D155" s="254" t="s">
        <v>806</v>
      </c>
      <c r="E155" s="180">
        <v>45997.0</v>
      </c>
      <c r="F155" s="181">
        <v>20.0</v>
      </c>
      <c r="G155" s="205">
        <v>13000.0</v>
      </c>
      <c r="H155" s="205">
        <v>650.0</v>
      </c>
      <c r="I155" s="255">
        <v>325.0</v>
      </c>
      <c r="J155" s="256">
        <v>216.0</v>
      </c>
      <c r="K155" s="257">
        <v>260.0</v>
      </c>
      <c r="L155" s="257">
        <v>130.0</v>
      </c>
      <c r="M155" s="185"/>
      <c r="N155" s="186">
        <v>650.0</v>
      </c>
      <c r="O155" s="186"/>
      <c r="P155" s="186"/>
      <c r="Q155" s="186"/>
      <c r="R155" s="186"/>
      <c r="S155" s="186"/>
      <c r="T155" s="186"/>
      <c r="U155" s="186"/>
      <c r="V155" s="186"/>
      <c r="W155" s="186"/>
      <c r="X155" s="186"/>
      <c r="Y155" s="186"/>
      <c r="Z155" s="186"/>
      <c r="AA155" s="186"/>
      <c r="AB155" s="186"/>
      <c r="AC155" s="186"/>
      <c r="AD155" s="186"/>
      <c r="AE155" s="186"/>
    </row>
    <row r="156">
      <c r="A156" s="178"/>
      <c r="B156" s="36"/>
      <c r="C156" s="37"/>
      <c r="D156" s="254" t="s">
        <v>808</v>
      </c>
      <c r="E156" s="180">
        <v>45997.0</v>
      </c>
      <c r="F156" s="181">
        <v>19.957222222222217</v>
      </c>
      <c r="G156" s="205">
        <v>137305.68888888886</v>
      </c>
      <c r="H156" s="205">
        <v>6880.0</v>
      </c>
      <c r="I156" s="255">
        <v>3440.0</v>
      </c>
      <c r="J156" s="256">
        <v>2293.0</v>
      </c>
      <c r="K156" s="257">
        <v>2752.0</v>
      </c>
      <c r="L156" s="257">
        <v>1376.0</v>
      </c>
      <c r="M156" s="185">
        <v>4000.0</v>
      </c>
      <c r="N156" s="186">
        <v>2880.0</v>
      </c>
      <c r="O156" s="186"/>
      <c r="P156" s="186"/>
      <c r="Q156" s="186"/>
      <c r="R156" s="186"/>
      <c r="S156" s="186"/>
      <c r="T156" s="186"/>
      <c r="U156" s="186"/>
      <c r="V156" s="186"/>
      <c r="W156" s="186"/>
      <c r="X156" s="186"/>
      <c r="Y156" s="186"/>
      <c r="Z156" s="186"/>
      <c r="AA156" s="186"/>
      <c r="AB156" s="186"/>
      <c r="AC156" s="186"/>
      <c r="AD156" s="186"/>
      <c r="AE156" s="186"/>
    </row>
    <row r="157">
      <c r="A157" s="178"/>
      <c r="B157" s="36"/>
      <c r="C157" s="37"/>
      <c r="D157" s="254" t="s">
        <v>809</v>
      </c>
      <c r="E157" s="180">
        <v>45994.0</v>
      </c>
      <c r="F157" s="181">
        <v>17.44</v>
      </c>
      <c r="G157" s="205">
        <v>32961.600000000006</v>
      </c>
      <c r="H157" s="205">
        <v>1890.0</v>
      </c>
      <c r="I157" s="255">
        <v>945.0</v>
      </c>
      <c r="J157" s="256">
        <v>630.0</v>
      </c>
      <c r="K157" s="257">
        <v>756.0</v>
      </c>
      <c r="L157" s="257">
        <v>378.0</v>
      </c>
      <c r="M157" s="185">
        <v>1000.0</v>
      </c>
      <c r="N157" s="186">
        <v>890.0</v>
      </c>
      <c r="O157" s="186"/>
      <c r="P157" s="186"/>
      <c r="Q157" s="186"/>
      <c r="R157" s="186"/>
      <c r="S157" s="186"/>
      <c r="T157" s="186"/>
      <c r="U157" s="186"/>
      <c r="V157" s="186"/>
      <c r="W157" s="186"/>
      <c r="X157" s="186"/>
      <c r="Y157" s="186"/>
      <c r="Z157" s="186"/>
      <c r="AA157" s="186"/>
      <c r="AB157" s="186"/>
      <c r="AC157" s="186"/>
      <c r="AD157" s="186"/>
      <c r="AE157" s="186"/>
    </row>
    <row r="158">
      <c r="A158" s="178"/>
      <c r="B158" s="36"/>
      <c r="C158" s="37"/>
      <c r="D158" s="254" t="s">
        <v>811</v>
      </c>
      <c r="E158" s="180">
        <v>45997.0</v>
      </c>
      <c r="F158" s="181">
        <v>17.6305</v>
      </c>
      <c r="G158" s="205">
        <v>68406.34000000001</v>
      </c>
      <c r="H158" s="205">
        <v>3880.0</v>
      </c>
      <c r="I158" s="255">
        <v>1940.0</v>
      </c>
      <c r="J158" s="256">
        <v>1293.0</v>
      </c>
      <c r="K158" s="257">
        <v>1552.0</v>
      </c>
      <c r="L158" s="257">
        <v>776.0</v>
      </c>
      <c r="M158" s="185"/>
      <c r="N158" s="186">
        <v>3880.0</v>
      </c>
      <c r="O158" s="186"/>
      <c r="P158" s="186"/>
      <c r="Q158" s="186"/>
      <c r="R158" s="186"/>
      <c r="S158" s="186"/>
      <c r="T158" s="186"/>
      <c r="U158" s="186"/>
      <c r="V158" s="186"/>
      <c r="W158" s="186"/>
      <c r="X158" s="186"/>
      <c r="Y158" s="186"/>
      <c r="Z158" s="186"/>
      <c r="AA158" s="186"/>
      <c r="AB158" s="186"/>
      <c r="AC158" s="186"/>
      <c r="AD158" s="186"/>
      <c r="AE158" s="186"/>
    </row>
    <row r="159">
      <c r="A159" s="178"/>
      <c r="B159" s="36"/>
      <c r="C159" s="37"/>
      <c r="D159" s="197" t="s">
        <v>812</v>
      </c>
      <c r="E159" s="180">
        <v>45775.0</v>
      </c>
      <c r="F159" s="181">
        <v>13200.0</v>
      </c>
      <c r="G159" s="205">
        <v>1953600.0</v>
      </c>
      <c r="H159" s="205">
        <v>148.0</v>
      </c>
      <c r="I159" s="255">
        <v>74.0</v>
      </c>
      <c r="J159" s="256">
        <v>49.0</v>
      </c>
      <c r="K159" s="257">
        <v>59.0</v>
      </c>
      <c r="L159" s="257">
        <v>29.0</v>
      </c>
      <c r="M159" s="185">
        <v>66.0</v>
      </c>
      <c r="N159" s="186">
        <v>82.0</v>
      </c>
      <c r="O159" s="186"/>
      <c r="P159" s="186"/>
      <c r="Q159" s="186"/>
      <c r="R159" s="186"/>
      <c r="S159" s="186"/>
      <c r="T159" s="186"/>
      <c r="U159" s="186"/>
      <c r="V159" s="186"/>
      <c r="W159" s="186"/>
      <c r="X159" s="186"/>
      <c r="Y159" s="186"/>
      <c r="Z159" s="186"/>
      <c r="AA159" s="186"/>
      <c r="AB159" s="186"/>
      <c r="AC159" s="186"/>
      <c r="AD159" s="186"/>
      <c r="AE159" s="186"/>
    </row>
    <row r="160">
      <c r="A160" s="178"/>
      <c r="B160" s="36"/>
      <c r="C160" s="37"/>
      <c r="D160" s="197" t="s">
        <v>817</v>
      </c>
      <c r="E160" s="180">
        <v>45895.0</v>
      </c>
      <c r="F160" s="181">
        <v>18007.860869565222</v>
      </c>
      <c r="G160" s="205">
        <v>4501965.217391306</v>
      </c>
      <c r="H160" s="205">
        <v>250.0</v>
      </c>
      <c r="I160" s="255">
        <v>125.0</v>
      </c>
      <c r="J160" s="256">
        <v>83.0</v>
      </c>
      <c r="K160" s="257">
        <v>100.0</v>
      </c>
      <c r="L160" s="257">
        <v>50.0</v>
      </c>
      <c r="M160" s="185">
        <v>174.0</v>
      </c>
      <c r="N160" s="186">
        <v>76.0</v>
      </c>
      <c r="O160" s="186"/>
      <c r="P160" s="186"/>
      <c r="Q160" s="186"/>
      <c r="R160" s="186"/>
      <c r="S160" s="186"/>
      <c r="T160" s="186"/>
      <c r="U160" s="186"/>
      <c r="V160" s="186"/>
      <c r="W160" s="186"/>
      <c r="X160" s="186"/>
      <c r="Y160" s="186"/>
      <c r="Z160" s="186"/>
      <c r="AA160" s="186"/>
      <c r="AB160" s="186"/>
      <c r="AC160" s="186"/>
      <c r="AD160" s="186"/>
      <c r="AE160" s="186"/>
    </row>
    <row r="161">
      <c r="A161" s="178"/>
      <c r="B161" s="36"/>
      <c r="C161" s="37"/>
      <c r="D161" s="197" t="s">
        <v>821</v>
      </c>
      <c r="E161" s="180">
        <v>46015.0</v>
      </c>
      <c r="F161" s="181">
        <v>17514.10714285714</v>
      </c>
      <c r="G161" s="205">
        <v>2522031.428571428</v>
      </c>
      <c r="H161" s="205">
        <v>144.0</v>
      </c>
      <c r="I161" s="255">
        <v>72.0</v>
      </c>
      <c r="J161" s="256">
        <v>48.0</v>
      </c>
      <c r="K161" s="257">
        <v>57.0</v>
      </c>
      <c r="L161" s="257">
        <v>28.0</v>
      </c>
      <c r="M161" s="185">
        <v>96.0</v>
      </c>
      <c r="N161" s="186">
        <v>48.0</v>
      </c>
      <c r="O161" s="186"/>
      <c r="P161" s="186"/>
      <c r="Q161" s="186"/>
      <c r="R161" s="186"/>
      <c r="S161" s="186"/>
      <c r="T161" s="186"/>
      <c r="U161" s="186"/>
      <c r="V161" s="186"/>
      <c r="W161" s="186"/>
      <c r="X161" s="186"/>
      <c r="Y161" s="186"/>
      <c r="Z161" s="186"/>
      <c r="AA161" s="186"/>
      <c r="AB161" s="186"/>
      <c r="AC161" s="186"/>
      <c r="AD161" s="186"/>
      <c r="AE161" s="186"/>
    </row>
    <row r="162">
      <c r="A162" s="178"/>
      <c r="B162" s="36"/>
      <c r="C162" s="37"/>
      <c r="D162" s="197" t="s">
        <v>827</v>
      </c>
      <c r="E162" s="180"/>
      <c r="F162" s="181">
        <v>10000.0</v>
      </c>
      <c r="G162" s="205">
        <v>0.0</v>
      </c>
      <c r="H162" s="205"/>
      <c r="I162" s="255"/>
      <c r="J162" s="256"/>
      <c r="K162" s="257"/>
      <c r="L162" s="257"/>
      <c r="M162" s="185"/>
      <c r="N162" s="186"/>
      <c r="O162" s="186"/>
      <c r="P162" s="186"/>
      <c r="Q162" s="186"/>
      <c r="R162" s="186"/>
      <c r="S162" s="186"/>
      <c r="T162" s="186"/>
      <c r="U162" s="186"/>
      <c r="V162" s="186"/>
      <c r="W162" s="186"/>
      <c r="X162" s="186"/>
      <c r="Y162" s="186"/>
      <c r="Z162" s="186"/>
      <c r="AA162" s="186"/>
      <c r="AB162" s="186"/>
      <c r="AC162" s="186"/>
      <c r="AD162" s="186"/>
      <c r="AE162" s="186"/>
    </row>
    <row r="163">
      <c r="A163" s="178"/>
      <c r="B163" s="36"/>
      <c r="C163" s="37"/>
      <c r="D163" s="197" t="s">
        <v>830</v>
      </c>
      <c r="E163" s="180"/>
      <c r="F163" s="181">
        <v>500000.0</v>
      </c>
      <c r="G163" s="205">
        <v>0.0</v>
      </c>
      <c r="H163" s="205"/>
      <c r="I163" s="255"/>
      <c r="J163" s="256"/>
      <c r="K163" s="257"/>
      <c r="L163" s="257"/>
      <c r="M163" s="185"/>
      <c r="N163" s="186"/>
      <c r="O163" s="186"/>
      <c r="P163" s="186"/>
      <c r="Q163" s="186"/>
      <c r="R163" s="186"/>
      <c r="S163" s="186"/>
      <c r="T163" s="186"/>
      <c r="U163" s="186"/>
      <c r="V163" s="186"/>
      <c r="W163" s="186"/>
      <c r="X163" s="186"/>
      <c r="Y163" s="186"/>
      <c r="Z163" s="186"/>
      <c r="AA163" s="186"/>
      <c r="AB163" s="186"/>
      <c r="AC163" s="186"/>
      <c r="AD163" s="186"/>
      <c r="AE163" s="186"/>
    </row>
    <row r="164">
      <c r="A164" s="178"/>
      <c r="B164" s="36"/>
      <c r="C164" s="37"/>
      <c r="D164" s="197" t="s">
        <v>833</v>
      </c>
      <c r="E164" s="180"/>
      <c r="F164" s="181">
        <v>100000.0</v>
      </c>
      <c r="G164" s="205">
        <v>0.0</v>
      </c>
      <c r="H164" s="205"/>
      <c r="I164" s="255"/>
      <c r="J164" s="256"/>
      <c r="K164" s="257"/>
      <c r="L164" s="257"/>
      <c r="M164" s="185"/>
      <c r="N164" s="186"/>
      <c r="O164" s="186"/>
      <c r="P164" s="186"/>
      <c r="Q164" s="186"/>
      <c r="R164" s="186"/>
      <c r="S164" s="186"/>
      <c r="T164" s="186"/>
      <c r="U164" s="186"/>
      <c r="V164" s="186"/>
      <c r="W164" s="186"/>
      <c r="X164" s="186"/>
      <c r="Y164" s="186"/>
      <c r="Z164" s="186"/>
      <c r="AA164" s="186"/>
      <c r="AB164" s="186"/>
      <c r="AC164" s="186"/>
      <c r="AD164" s="186"/>
      <c r="AE164" s="186"/>
    </row>
    <row r="165">
      <c r="A165" s="178"/>
      <c r="B165" s="36"/>
      <c r="C165" s="37"/>
      <c r="D165" s="197" t="s">
        <v>836</v>
      </c>
      <c r="E165" s="180"/>
      <c r="F165" s="181">
        <v>50000.0</v>
      </c>
      <c r="G165" s="205">
        <v>0.0</v>
      </c>
      <c r="H165" s="205"/>
      <c r="I165" s="255"/>
      <c r="J165" s="256"/>
      <c r="K165" s="257"/>
      <c r="L165" s="257"/>
      <c r="M165" s="185"/>
      <c r="N165" s="186"/>
      <c r="O165" s="186"/>
      <c r="P165" s="186"/>
      <c r="Q165" s="186"/>
      <c r="R165" s="186"/>
      <c r="S165" s="186"/>
      <c r="T165" s="186"/>
      <c r="U165" s="186"/>
      <c r="V165" s="186"/>
      <c r="W165" s="186"/>
      <c r="X165" s="186"/>
      <c r="Y165" s="186"/>
      <c r="Z165" s="186"/>
      <c r="AA165" s="186"/>
      <c r="AB165" s="186"/>
      <c r="AC165" s="186"/>
      <c r="AD165" s="186"/>
      <c r="AE165" s="186"/>
    </row>
    <row r="166">
      <c r="A166" s="178"/>
      <c r="B166" s="36"/>
      <c r="C166" s="37"/>
      <c r="D166" s="197" t="s">
        <v>839</v>
      </c>
      <c r="E166" s="180"/>
      <c r="F166" s="181">
        <v>100000.0</v>
      </c>
      <c r="G166" s="205">
        <v>0.0</v>
      </c>
      <c r="H166" s="205"/>
      <c r="I166" s="255"/>
      <c r="J166" s="256"/>
      <c r="K166" s="257"/>
      <c r="L166" s="257"/>
      <c r="M166" s="185"/>
      <c r="N166" s="186"/>
      <c r="O166" s="186"/>
      <c r="P166" s="186"/>
      <c r="Q166" s="186"/>
      <c r="R166" s="186"/>
      <c r="S166" s="186"/>
      <c r="T166" s="186"/>
      <c r="U166" s="186"/>
      <c r="V166" s="186"/>
      <c r="W166" s="186"/>
      <c r="X166" s="186"/>
      <c r="Y166" s="186"/>
      <c r="Z166" s="186"/>
      <c r="AA166" s="186"/>
      <c r="AB166" s="186"/>
      <c r="AC166" s="186"/>
      <c r="AD166" s="186"/>
      <c r="AE166" s="186"/>
    </row>
    <row r="167">
      <c r="A167" s="178"/>
      <c r="B167" s="36"/>
      <c r="C167" s="37"/>
      <c r="D167" s="254" t="s">
        <v>842</v>
      </c>
      <c r="E167" s="180">
        <v>43459.0</v>
      </c>
      <c r="F167" s="181">
        <v>1647000.0</v>
      </c>
      <c r="G167" s="205">
        <v>0.0</v>
      </c>
      <c r="H167" s="205"/>
      <c r="I167" s="255"/>
      <c r="J167" s="256"/>
      <c r="K167" s="257"/>
      <c r="L167" s="257"/>
      <c r="M167" s="185"/>
      <c r="N167" s="186"/>
      <c r="O167" s="186"/>
      <c r="P167" s="186"/>
      <c r="Q167" s="186"/>
      <c r="R167" s="186"/>
      <c r="S167" s="186"/>
      <c r="T167" s="186"/>
      <c r="U167" s="186"/>
      <c r="V167" s="186"/>
      <c r="W167" s="186"/>
      <c r="X167" s="186"/>
      <c r="Y167" s="186"/>
      <c r="Z167" s="186"/>
      <c r="AA167" s="186"/>
      <c r="AB167" s="186"/>
      <c r="AC167" s="186"/>
      <c r="AD167" s="186"/>
      <c r="AE167" s="186"/>
    </row>
    <row r="168">
      <c r="A168" s="178"/>
      <c r="B168" s="36"/>
      <c r="C168" s="37"/>
      <c r="D168" s="254" t="s">
        <v>843</v>
      </c>
      <c r="E168" s="180"/>
      <c r="F168" s="181">
        <v>2942.8571428571427</v>
      </c>
      <c r="G168" s="205">
        <v>0.0</v>
      </c>
      <c r="H168" s="205"/>
      <c r="I168" s="255"/>
      <c r="J168" s="256"/>
      <c r="K168" s="257"/>
      <c r="L168" s="257"/>
      <c r="M168" s="185"/>
      <c r="N168" s="186"/>
      <c r="O168" s="186"/>
      <c r="P168" s="186"/>
      <c r="Q168" s="186"/>
      <c r="R168" s="186"/>
      <c r="S168" s="186"/>
      <c r="T168" s="186"/>
      <c r="U168" s="186"/>
      <c r="V168" s="186"/>
      <c r="W168" s="186"/>
      <c r="X168" s="186"/>
      <c r="Y168" s="186"/>
      <c r="Z168" s="186"/>
      <c r="AA168" s="186"/>
      <c r="AB168" s="186"/>
      <c r="AC168" s="186"/>
      <c r="AD168" s="186"/>
      <c r="AE168" s="186"/>
    </row>
    <row r="169">
      <c r="A169" s="178"/>
      <c r="B169" s="36"/>
      <c r="C169" s="37"/>
      <c r="D169" s="254" t="s">
        <v>845</v>
      </c>
      <c r="E169" s="180"/>
      <c r="F169" s="181">
        <v>6393.181818181818</v>
      </c>
      <c r="G169" s="205">
        <v>0.0</v>
      </c>
      <c r="H169" s="205"/>
      <c r="I169" s="255"/>
      <c r="J169" s="256"/>
      <c r="K169" s="257"/>
      <c r="L169" s="257"/>
      <c r="M169" s="185"/>
      <c r="N169" s="186"/>
      <c r="O169" s="186"/>
      <c r="P169" s="186"/>
      <c r="Q169" s="186"/>
      <c r="R169" s="186"/>
      <c r="S169" s="186"/>
      <c r="T169" s="186"/>
      <c r="U169" s="186"/>
      <c r="V169" s="186"/>
      <c r="W169" s="186"/>
      <c r="X169" s="186"/>
      <c r="Y169" s="186"/>
      <c r="Z169" s="186"/>
      <c r="AA169" s="186"/>
      <c r="AB169" s="186"/>
      <c r="AC169" s="186"/>
      <c r="AD169" s="186"/>
      <c r="AE169" s="186"/>
    </row>
    <row r="170">
      <c r="A170" s="178"/>
      <c r="B170" s="36"/>
      <c r="C170" s="37"/>
      <c r="D170" s="254" t="s">
        <v>847</v>
      </c>
      <c r="E170" s="180">
        <v>45955.0</v>
      </c>
      <c r="F170" s="181">
        <v>8283.86</v>
      </c>
      <c r="G170" s="205">
        <v>298218.96</v>
      </c>
      <c r="H170" s="205">
        <v>36.0</v>
      </c>
      <c r="I170" s="255">
        <v>18.0</v>
      </c>
      <c r="J170" s="256">
        <v>12.0</v>
      </c>
      <c r="K170" s="257">
        <v>14.0</v>
      </c>
      <c r="L170" s="257">
        <v>7.0</v>
      </c>
      <c r="M170" s="185"/>
      <c r="N170" s="186">
        <v>36.0</v>
      </c>
      <c r="O170" s="186"/>
      <c r="P170" s="186"/>
      <c r="Q170" s="186"/>
      <c r="R170" s="186"/>
      <c r="S170" s="186"/>
      <c r="T170" s="186"/>
      <c r="U170" s="186"/>
      <c r="V170" s="186"/>
      <c r="W170" s="186"/>
      <c r="X170" s="186"/>
      <c r="Y170" s="186"/>
      <c r="Z170" s="186"/>
      <c r="AA170" s="186"/>
      <c r="AB170" s="186"/>
      <c r="AC170" s="186"/>
      <c r="AD170" s="186"/>
      <c r="AE170" s="186"/>
    </row>
    <row r="171">
      <c r="A171" s="178"/>
      <c r="B171" s="36"/>
      <c r="C171" s="37"/>
      <c r="D171" s="254" t="s">
        <v>849</v>
      </c>
      <c r="E171" s="180">
        <v>46014.0</v>
      </c>
      <c r="F171" s="181">
        <v>6801.5325</v>
      </c>
      <c r="G171" s="205">
        <v>734565.51</v>
      </c>
      <c r="H171" s="205">
        <v>108.0</v>
      </c>
      <c r="I171" s="255">
        <v>54.0</v>
      </c>
      <c r="J171" s="256">
        <v>36.0</v>
      </c>
      <c r="K171" s="257">
        <v>43.0</v>
      </c>
      <c r="L171" s="257">
        <v>21.0</v>
      </c>
      <c r="M171" s="185">
        <v>65.0</v>
      </c>
      <c r="N171" s="186">
        <v>43.0</v>
      </c>
      <c r="O171" s="186"/>
      <c r="P171" s="186"/>
      <c r="Q171" s="186"/>
      <c r="R171" s="186"/>
      <c r="S171" s="186"/>
      <c r="T171" s="186"/>
      <c r="U171" s="186"/>
      <c r="V171" s="186"/>
      <c r="W171" s="186"/>
      <c r="X171" s="186"/>
      <c r="Y171" s="186"/>
      <c r="Z171" s="186"/>
      <c r="AA171" s="186"/>
      <c r="AB171" s="186"/>
      <c r="AC171" s="186"/>
      <c r="AD171" s="186"/>
      <c r="AE171" s="186"/>
    </row>
    <row r="172">
      <c r="A172" s="178"/>
      <c r="B172" s="36"/>
      <c r="C172" s="37"/>
      <c r="D172" s="254" t="s">
        <v>856</v>
      </c>
      <c r="E172" s="180">
        <v>46022.0</v>
      </c>
      <c r="F172" s="181">
        <v>11443.306122448981</v>
      </c>
      <c r="G172" s="205">
        <v>343299.1836734694</v>
      </c>
      <c r="H172" s="205">
        <v>30.0</v>
      </c>
      <c r="I172" s="255">
        <v>15.0</v>
      </c>
      <c r="J172" s="256">
        <v>10.0</v>
      </c>
      <c r="K172" s="257">
        <v>12.0</v>
      </c>
      <c r="L172" s="257">
        <v>6.0</v>
      </c>
      <c r="M172" s="185"/>
      <c r="N172" s="186">
        <v>30.0</v>
      </c>
      <c r="O172" s="186"/>
      <c r="P172" s="186"/>
      <c r="Q172" s="186"/>
      <c r="R172" s="186"/>
      <c r="S172" s="186"/>
      <c r="T172" s="186"/>
      <c r="U172" s="186"/>
      <c r="V172" s="186"/>
      <c r="W172" s="186"/>
      <c r="X172" s="186"/>
      <c r="Y172" s="186"/>
      <c r="Z172" s="186"/>
      <c r="AA172" s="186"/>
      <c r="AB172" s="186"/>
      <c r="AC172" s="186"/>
      <c r="AD172" s="186"/>
      <c r="AE172" s="186"/>
    </row>
    <row r="173">
      <c r="A173" s="178"/>
      <c r="B173" s="36"/>
      <c r="C173" s="37"/>
      <c r="D173" s="254" t="s">
        <v>869</v>
      </c>
      <c r="E173" s="180">
        <v>46022.0</v>
      </c>
      <c r="F173" s="181">
        <v>10459.315068493152</v>
      </c>
      <c r="G173" s="205">
        <v>732152.0547945206</v>
      </c>
      <c r="H173" s="205">
        <v>70.0</v>
      </c>
      <c r="I173" s="255">
        <v>35.0</v>
      </c>
      <c r="J173" s="256">
        <v>23.0</v>
      </c>
      <c r="K173" s="257">
        <v>28.0</v>
      </c>
      <c r="L173" s="257">
        <v>14.0</v>
      </c>
      <c r="M173" s="185">
        <v>56.0</v>
      </c>
      <c r="N173" s="186">
        <v>14.0</v>
      </c>
      <c r="O173" s="186"/>
      <c r="P173" s="186"/>
      <c r="Q173" s="186"/>
      <c r="R173" s="186"/>
      <c r="S173" s="186"/>
      <c r="T173" s="186"/>
      <c r="U173" s="186"/>
      <c r="V173" s="186"/>
      <c r="W173" s="186"/>
      <c r="X173" s="186"/>
      <c r="Y173" s="186"/>
      <c r="Z173" s="186"/>
      <c r="AA173" s="186"/>
      <c r="AB173" s="186"/>
      <c r="AC173" s="186"/>
      <c r="AD173" s="186"/>
      <c r="AE173" s="186"/>
    </row>
    <row r="174">
      <c r="A174" s="178"/>
      <c r="B174" s="36"/>
      <c r="C174" s="37"/>
      <c r="D174" s="254" t="s">
        <v>895</v>
      </c>
      <c r="E174" s="180">
        <v>46022.0</v>
      </c>
      <c r="F174" s="181">
        <v>11352.666666666666</v>
      </c>
      <c r="G174" s="205">
        <v>578986.0</v>
      </c>
      <c r="H174" s="205">
        <v>51.0</v>
      </c>
      <c r="I174" s="255">
        <v>25.0</v>
      </c>
      <c r="J174" s="256">
        <v>17.0</v>
      </c>
      <c r="K174" s="257">
        <v>20.0</v>
      </c>
      <c r="L174" s="257">
        <v>10.0</v>
      </c>
      <c r="M174" s="185">
        <v>51.0</v>
      </c>
      <c r="N174" s="186"/>
      <c r="O174" s="186"/>
      <c r="P174" s="186"/>
      <c r="Q174" s="186"/>
      <c r="R174" s="186"/>
      <c r="S174" s="186"/>
      <c r="T174" s="186"/>
      <c r="U174" s="186"/>
      <c r="V174" s="186"/>
      <c r="W174" s="186"/>
      <c r="X174" s="186"/>
      <c r="Y174" s="186"/>
      <c r="Z174" s="186"/>
      <c r="AA174" s="186"/>
      <c r="AB174" s="186"/>
      <c r="AC174" s="186"/>
      <c r="AD174" s="186"/>
      <c r="AE174" s="186"/>
    </row>
    <row r="175">
      <c r="A175" s="178"/>
      <c r="B175" s="36"/>
      <c r="C175" s="37"/>
      <c r="D175" s="254" t="s">
        <v>1475</v>
      </c>
      <c r="E175" s="180"/>
      <c r="F175" s="181"/>
      <c r="G175" s="205">
        <v>0.0</v>
      </c>
      <c r="H175" s="205"/>
      <c r="I175" s="255"/>
      <c r="J175" s="256"/>
      <c r="K175" s="257"/>
      <c r="L175" s="257"/>
      <c r="M175" s="185"/>
      <c r="N175" s="186"/>
      <c r="O175" s="186"/>
      <c r="P175" s="186"/>
      <c r="Q175" s="186"/>
      <c r="R175" s="186"/>
      <c r="S175" s="186"/>
      <c r="T175" s="186"/>
      <c r="U175" s="186"/>
      <c r="V175" s="186"/>
      <c r="W175" s="186"/>
      <c r="X175" s="186"/>
      <c r="Y175" s="186"/>
      <c r="Z175" s="186"/>
      <c r="AA175" s="186"/>
      <c r="AB175" s="186"/>
      <c r="AC175" s="186"/>
      <c r="AD175" s="186"/>
      <c r="AE175" s="186"/>
    </row>
    <row r="176">
      <c r="A176" s="178"/>
      <c r="B176" s="36"/>
      <c r="C176" s="37"/>
      <c r="D176" s="254" t="s">
        <v>901</v>
      </c>
      <c r="E176" s="180">
        <v>45950.0</v>
      </c>
      <c r="F176" s="181">
        <v>951.3</v>
      </c>
      <c r="G176" s="205">
        <v>0.0</v>
      </c>
      <c r="H176" s="205"/>
      <c r="I176" s="255"/>
      <c r="J176" s="256"/>
      <c r="K176" s="257"/>
      <c r="L176" s="257"/>
      <c r="M176" s="185"/>
      <c r="N176" s="186"/>
      <c r="O176" s="186"/>
      <c r="P176" s="186"/>
      <c r="Q176" s="186"/>
      <c r="R176" s="186"/>
      <c r="S176" s="186"/>
      <c r="T176" s="186"/>
      <c r="U176" s="186"/>
      <c r="V176" s="186"/>
      <c r="W176" s="186"/>
      <c r="X176" s="186"/>
      <c r="Y176" s="186"/>
      <c r="Z176" s="186"/>
      <c r="AA176" s="186"/>
      <c r="AB176" s="186"/>
      <c r="AC176" s="186"/>
      <c r="AD176" s="186"/>
      <c r="AE176" s="186"/>
    </row>
    <row r="177">
      <c r="A177" s="178"/>
      <c r="B177" s="36"/>
      <c r="C177" s="37"/>
      <c r="D177" s="254" t="s">
        <v>1476</v>
      </c>
      <c r="E177" s="180">
        <v>45758.0</v>
      </c>
      <c r="F177" s="181"/>
      <c r="G177" s="205">
        <v>0.0</v>
      </c>
      <c r="H177" s="205"/>
      <c r="I177" s="255"/>
      <c r="J177" s="256"/>
      <c r="K177" s="257"/>
      <c r="L177" s="257"/>
      <c r="M177" s="185"/>
      <c r="N177" s="186"/>
      <c r="O177" s="186"/>
      <c r="P177" s="186"/>
      <c r="Q177" s="186"/>
      <c r="R177" s="186"/>
      <c r="S177" s="186"/>
      <c r="T177" s="186"/>
      <c r="U177" s="186"/>
      <c r="V177" s="186"/>
      <c r="W177" s="186"/>
      <c r="X177" s="186"/>
      <c r="Y177" s="186"/>
      <c r="Z177" s="186"/>
      <c r="AA177" s="186"/>
      <c r="AB177" s="186"/>
      <c r="AC177" s="186"/>
      <c r="AD177" s="186"/>
      <c r="AE177" s="186"/>
    </row>
    <row r="178">
      <c r="A178" s="178"/>
      <c r="B178" s="36"/>
      <c r="C178" s="37"/>
      <c r="D178" s="254" t="s">
        <v>904</v>
      </c>
      <c r="E178" s="180">
        <v>46014.0</v>
      </c>
      <c r="F178" s="181">
        <v>2904.0666666666666</v>
      </c>
      <c r="G178" s="205">
        <v>5808.133333333333</v>
      </c>
      <c r="H178" s="205">
        <v>2.0</v>
      </c>
      <c r="I178" s="255">
        <v>1.0</v>
      </c>
      <c r="J178" s="256">
        <v>0.0</v>
      </c>
      <c r="K178" s="257">
        <v>0.0</v>
      </c>
      <c r="L178" s="257">
        <v>0.0</v>
      </c>
      <c r="M178" s="185"/>
      <c r="N178" s="186">
        <v>2.0</v>
      </c>
      <c r="O178" s="186"/>
      <c r="P178" s="186"/>
      <c r="Q178" s="186"/>
      <c r="R178" s="186"/>
      <c r="S178" s="186"/>
      <c r="T178" s="186"/>
      <c r="U178" s="186"/>
      <c r="V178" s="186"/>
      <c r="W178" s="186"/>
      <c r="X178" s="186"/>
      <c r="Y178" s="186"/>
      <c r="Z178" s="186"/>
      <c r="AA178" s="186"/>
      <c r="AB178" s="186"/>
      <c r="AC178" s="186"/>
      <c r="AD178" s="186"/>
      <c r="AE178" s="186"/>
    </row>
    <row r="179">
      <c r="A179" s="178"/>
      <c r="B179" s="36"/>
      <c r="C179" s="37"/>
      <c r="D179" s="254" t="s">
        <v>905</v>
      </c>
      <c r="E179" s="180">
        <v>46008.0</v>
      </c>
      <c r="F179" s="181">
        <v>222.0535</v>
      </c>
      <c r="G179" s="205">
        <v>286004.908</v>
      </c>
      <c r="H179" s="205">
        <v>1288.0</v>
      </c>
      <c r="I179" s="255">
        <v>644.0</v>
      </c>
      <c r="J179" s="256">
        <v>429.0</v>
      </c>
      <c r="K179" s="257">
        <v>515.0</v>
      </c>
      <c r="L179" s="257">
        <v>257.0</v>
      </c>
      <c r="M179" s="185">
        <v>1261.0</v>
      </c>
      <c r="N179" s="186">
        <v>27.0</v>
      </c>
      <c r="O179" s="186"/>
      <c r="P179" s="186"/>
      <c r="Q179" s="186"/>
      <c r="R179" s="186"/>
      <c r="S179" s="186"/>
      <c r="T179" s="186"/>
      <c r="U179" s="186"/>
      <c r="V179" s="186"/>
      <c r="W179" s="186"/>
      <c r="X179" s="186"/>
      <c r="Y179" s="186"/>
      <c r="Z179" s="186"/>
      <c r="AA179" s="186"/>
      <c r="AB179" s="186"/>
      <c r="AC179" s="186"/>
      <c r="AD179" s="186"/>
      <c r="AE179" s="186"/>
    </row>
    <row r="180">
      <c r="A180" s="178"/>
      <c r="B180" s="36"/>
      <c r="C180" s="37"/>
      <c r="D180" s="254" t="s">
        <v>910</v>
      </c>
      <c r="E180" s="180">
        <v>46021.0</v>
      </c>
      <c r="F180" s="181">
        <v>157.49999999999997</v>
      </c>
      <c r="G180" s="205">
        <v>525892.4999999999</v>
      </c>
      <c r="H180" s="205">
        <v>3339.0</v>
      </c>
      <c r="I180" s="255">
        <v>1669.0</v>
      </c>
      <c r="J180" s="256">
        <v>1113.0</v>
      </c>
      <c r="K180" s="257">
        <v>1335.0</v>
      </c>
      <c r="L180" s="257">
        <v>667.0</v>
      </c>
      <c r="M180" s="185">
        <v>1760.0</v>
      </c>
      <c r="N180" s="186">
        <v>1579.0</v>
      </c>
      <c r="O180" s="186"/>
      <c r="P180" s="186"/>
      <c r="Q180" s="186"/>
      <c r="R180" s="186"/>
      <c r="S180" s="186"/>
      <c r="T180" s="186"/>
      <c r="U180" s="186"/>
      <c r="V180" s="186"/>
      <c r="W180" s="186"/>
      <c r="X180" s="186"/>
      <c r="Y180" s="186"/>
      <c r="Z180" s="186"/>
      <c r="AA180" s="186"/>
      <c r="AB180" s="186"/>
      <c r="AC180" s="186"/>
      <c r="AD180" s="186"/>
      <c r="AE180" s="186"/>
    </row>
    <row r="181">
      <c r="A181" s="178"/>
      <c r="B181" s="36"/>
      <c r="C181" s="37"/>
      <c r="D181" s="197" t="s">
        <v>933</v>
      </c>
      <c r="E181" s="180">
        <v>46000.0</v>
      </c>
      <c r="F181" s="181">
        <v>535.0</v>
      </c>
      <c r="G181" s="205">
        <v>348820.0</v>
      </c>
      <c r="H181" s="205">
        <v>652.0</v>
      </c>
      <c r="I181" s="255">
        <v>326.0</v>
      </c>
      <c r="J181" s="256">
        <v>217.0</v>
      </c>
      <c r="K181" s="257">
        <v>260.0</v>
      </c>
      <c r="L181" s="257">
        <v>130.0</v>
      </c>
      <c r="M181" s="185">
        <v>33.0</v>
      </c>
      <c r="N181" s="186">
        <v>619.0</v>
      </c>
      <c r="O181" s="186"/>
      <c r="P181" s="186"/>
      <c r="Q181" s="186"/>
      <c r="R181" s="186"/>
      <c r="S181" s="186"/>
      <c r="T181" s="186"/>
      <c r="U181" s="186"/>
      <c r="V181" s="186"/>
      <c r="W181" s="186"/>
      <c r="X181" s="186"/>
      <c r="Y181" s="186"/>
      <c r="Z181" s="186"/>
      <c r="AA181" s="186"/>
      <c r="AB181" s="186"/>
      <c r="AC181" s="186"/>
      <c r="AD181" s="186"/>
      <c r="AE181" s="186"/>
    </row>
    <row r="182">
      <c r="A182" s="178"/>
      <c r="B182" s="36"/>
      <c r="C182" s="37"/>
      <c r="D182" s="197" t="s">
        <v>940</v>
      </c>
      <c r="E182" s="180">
        <v>46006.0</v>
      </c>
      <c r="F182" s="181">
        <v>455.8035</v>
      </c>
      <c r="G182" s="205">
        <v>580237.8555</v>
      </c>
      <c r="H182" s="205">
        <v>1273.0</v>
      </c>
      <c r="I182" s="255">
        <v>636.0</v>
      </c>
      <c r="J182" s="256">
        <v>424.0</v>
      </c>
      <c r="K182" s="257">
        <v>509.0</v>
      </c>
      <c r="L182" s="257">
        <v>254.0</v>
      </c>
      <c r="M182" s="185">
        <v>998.0</v>
      </c>
      <c r="N182" s="186">
        <v>275.0</v>
      </c>
      <c r="O182" s="186"/>
      <c r="P182" s="186"/>
      <c r="Q182" s="186"/>
      <c r="R182" s="186"/>
      <c r="S182" s="186"/>
      <c r="T182" s="186"/>
      <c r="U182" s="186"/>
      <c r="V182" s="186"/>
      <c r="W182" s="186"/>
      <c r="X182" s="186"/>
      <c r="Y182" s="186"/>
      <c r="Z182" s="186"/>
      <c r="AA182" s="186"/>
      <c r="AB182" s="186"/>
      <c r="AC182" s="186"/>
      <c r="AD182" s="186"/>
      <c r="AE182" s="186"/>
    </row>
    <row r="183">
      <c r="A183" s="178"/>
      <c r="B183" s="36"/>
      <c r="C183" s="37"/>
      <c r="D183" s="254" t="s">
        <v>944</v>
      </c>
      <c r="E183" s="180">
        <v>46020.0</v>
      </c>
      <c r="F183" s="181">
        <v>126.08333333333333</v>
      </c>
      <c r="G183" s="205">
        <v>176768.8333333333</v>
      </c>
      <c r="H183" s="205">
        <v>1402.0</v>
      </c>
      <c r="I183" s="255">
        <v>701.0</v>
      </c>
      <c r="J183" s="256">
        <v>467.0</v>
      </c>
      <c r="K183" s="257">
        <v>560.0</v>
      </c>
      <c r="L183" s="257">
        <v>280.0</v>
      </c>
      <c r="M183" s="185">
        <v>1102.0</v>
      </c>
      <c r="N183" s="186">
        <v>300.0</v>
      </c>
      <c r="O183" s="186"/>
      <c r="P183" s="186"/>
      <c r="Q183" s="186"/>
      <c r="R183" s="186"/>
      <c r="S183" s="186"/>
      <c r="T183" s="186"/>
      <c r="U183" s="186"/>
      <c r="V183" s="186"/>
      <c r="W183" s="186"/>
      <c r="X183" s="186"/>
      <c r="Y183" s="186"/>
      <c r="Z183" s="186"/>
      <c r="AA183" s="186"/>
      <c r="AB183" s="186"/>
      <c r="AC183" s="186"/>
      <c r="AD183" s="186"/>
      <c r="AE183" s="186"/>
    </row>
    <row r="184">
      <c r="A184" s="178"/>
      <c r="B184" s="36"/>
      <c r="C184" s="37"/>
      <c r="D184" s="197" t="s">
        <v>1493</v>
      </c>
      <c r="E184" s="180"/>
      <c r="F184" s="181"/>
      <c r="G184" s="205">
        <v>0.0</v>
      </c>
      <c r="H184" s="205"/>
      <c r="I184" s="255"/>
      <c r="J184" s="256"/>
      <c r="K184" s="257"/>
      <c r="L184" s="257"/>
      <c r="M184" s="185"/>
      <c r="N184" s="186"/>
      <c r="O184" s="186"/>
      <c r="P184" s="186"/>
      <c r="Q184" s="186"/>
      <c r="R184" s="186"/>
      <c r="S184" s="186"/>
      <c r="T184" s="186"/>
      <c r="U184" s="186"/>
      <c r="V184" s="186"/>
      <c r="W184" s="186"/>
      <c r="X184" s="186"/>
      <c r="Y184" s="186"/>
      <c r="Z184" s="186"/>
      <c r="AA184" s="186"/>
      <c r="AB184" s="186"/>
      <c r="AC184" s="186"/>
      <c r="AD184" s="186"/>
      <c r="AE184" s="186"/>
    </row>
    <row r="185">
      <c r="A185" s="178"/>
      <c r="B185" s="36"/>
      <c r="C185" s="37"/>
      <c r="D185" s="197" t="s">
        <v>956</v>
      </c>
      <c r="E185" s="180">
        <v>43547.0</v>
      </c>
      <c r="F185" s="181">
        <v>10300.0</v>
      </c>
      <c r="G185" s="205">
        <v>0.0</v>
      </c>
      <c r="H185" s="205"/>
      <c r="I185" s="255"/>
      <c r="J185" s="256"/>
      <c r="K185" s="257"/>
      <c r="L185" s="257"/>
      <c r="M185" s="185"/>
      <c r="N185" s="186"/>
      <c r="O185" s="186"/>
      <c r="P185" s="186"/>
      <c r="Q185" s="186"/>
      <c r="R185" s="186"/>
      <c r="S185" s="186"/>
      <c r="T185" s="186"/>
      <c r="U185" s="186"/>
      <c r="V185" s="186"/>
      <c r="W185" s="186"/>
      <c r="X185" s="186"/>
      <c r="Y185" s="186"/>
      <c r="Z185" s="186"/>
      <c r="AA185" s="186"/>
      <c r="AB185" s="186"/>
      <c r="AC185" s="186"/>
      <c r="AD185" s="186"/>
      <c r="AE185" s="186"/>
    </row>
    <row r="186">
      <c r="A186" s="178"/>
      <c r="B186" s="36"/>
      <c r="C186" s="37"/>
      <c r="D186" s="197" t="s">
        <v>958</v>
      </c>
      <c r="E186" s="180">
        <v>46021.0</v>
      </c>
      <c r="F186" s="181">
        <v>359.56692913385825</v>
      </c>
      <c r="G186" s="205">
        <v>81621.69291338582</v>
      </c>
      <c r="H186" s="205">
        <v>227.0</v>
      </c>
      <c r="I186" s="255">
        <v>113.0</v>
      </c>
      <c r="J186" s="256">
        <v>75.0</v>
      </c>
      <c r="K186" s="257">
        <v>90.0</v>
      </c>
      <c r="L186" s="257">
        <v>45.0</v>
      </c>
      <c r="M186" s="185">
        <v>55.0</v>
      </c>
      <c r="N186" s="186">
        <v>172.0</v>
      </c>
      <c r="O186" s="186"/>
      <c r="P186" s="186"/>
      <c r="Q186" s="186"/>
      <c r="R186" s="186"/>
      <c r="S186" s="186"/>
      <c r="T186" s="186"/>
      <c r="U186" s="186"/>
      <c r="V186" s="186"/>
      <c r="W186" s="186"/>
      <c r="X186" s="186"/>
      <c r="Y186" s="186"/>
      <c r="Z186" s="186"/>
      <c r="AA186" s="186"/>
      <c r="AB186" s="186"/>
      <c r="AC186" s="186"/>
      <c r="AD186" s="186"/>
      <c r="AE186" s="186"/>
    </row>
    <row r="187">
      <c r="A187" s="178"/>
      <c r="B187" s="36"/>
      <c r="C187" s="37"/>
      <c r="D187" s="254" t="s">
        <v>960</v>
      </c>
      <c r="E187" s="180">
        <v>45512.0</v>
      </c>
      <c r="F187" s="181">
        <v>10607.575757575756</v>
      </c>
      <c r="G187" s="205">
        <v>10607.575757575756</v>
      </c>
      <c r="H187" s="205">
        <v>1.0</v>
      </c>
      <c r="I187" s="255">
        <v>0.0</v>
      </c>
      <c r="J187" s="256">
        <v>0.0</v>
      </c>
      <c r="K187" s="257">
        <v>0.0</v>
      </c>
      <c r="L187" s="257">
        <v>0.0</v>
      </c>
      <c r="M187" s="185"/>
      <c r="N187" s="186">
        <v>1.0</v>
      </c>
      <c r="O187" s="186"/>
      <c r="P187" s="186"/>
      <c r="Q187" s="186"/>
      <c r="R187" s="186"/>
      <c r="S187" s="186"/>
      <c r="T187" s="186"/>
      <c r="U187" s="186"/>
      <c r="V187" s="186"/>
      <c r="W187" s="186"/>
      <c r="X187" s="186"/>
      <c r="Y187" s="186"/>
      <c r="Z187" s="186"/>
      <c r="AA187" s="186"/>
      <c r="AB187" s="186"/>
      <c r="AC187" s="186"/>
      <c r="AD187" s="186"/>
      <c r="AE187" s="186"/>
    </row>
    <row r="188">
      <c r="A188" s="178"/>
      <c r="B188" s="36"/>
      <c r="C188" s="37"/>
      <c r="D188" s="197" t="s">
        <v>965</v>
      </c>
      <c r="E188" s="180">
        <v>44938.0</v>
      </c>
      <c r="F188" s="181">
        <v>5000.0</v>
      </c>
      <c r="G188" s="205">
        <v>0.0</v>
      </c>
      <c r="H188" s="205"/>
      <c r="I188" s="255"/>
      <c r="J188" s="256"/>
      <c r="K188" s="257"/>
      <c r="L188" s="257"/>
      <c r="M188" s="185"/>
      <c r="N188" s="186"/>
      <c r="O188" s="186"/>
      <c r="P188" s="186"/>
      <c r="Q188" s="186"/>
      <c r="R188" s="186"/>
      <c r="S188" s="186"/>
      <c r="T188" s="186"/>
      <c r="U188" s="186"/>
      <c r="V188" s="186"/>
      <c r="W188" s="186"/>
      <c r="X188" s="186"/>
      <c r="Y188" s="186"/>
      <c r="Z188" s="186"/>
      <c r="AA188" s="186"/>
      <c r="AB188" s="186"/>
      <c r="AC188" s="186"/>
      <c r="AD188" s="186"/>
      <c r="AE188" s="186"/>
    </row>
    <row r="189">
      <c r="A189" s="178"/>
      <c r="B189" s="36"/>
      <c r="C189" s="37"/>
      <c r="D189" s="197" t="s">
        <v>1508</v>
      </c>
      <c r="E189" s="180"/>
      <c r="F189" s="181"/>
      <c r="G189" s="205">
        <v>0.0</v>
      </c>
      <c r="H189" s="205"/>
      <c r="I189" s="255"/>
      <c r="J189" s="256"/>
      <c r="K189" s="257"/>
      <c r="L189" s="257"/>
      <c r="M189" s="185"/>
      <c r="N189" s="186"/>
      <c r="O189" s="186"/>
      <c r="P189" s="186"/>
      <c r="Q189" s="186"/>
      <c r="R189" s="186"/>
      <c r="S189" s="186"/>
      <c r="T189" s="186"/>
      <c r="U189" s="186"/>
      <c r="V189" s="186"/>
      <c r="W189" s="186"/>
      <c r="X189" s="186"/>
      <c r="Y189" s="186"/>
      <c r="Z189" s="186"/>
      <c r="AA189" s="186"/>
      <c r="AB189" s="186"/>
      <c r="AC189" s="186"/>
      <c r="AD189" s="186"/>
      <c r="AE189" s="186"/>
    </row>
    <row r="190">
      <c r="A190" s="178"/>
      <c r="B190" s="36"/>
      <c r="C190" s="37"/>
      <c r="D190" s="197" t="s">
        <v>967</v>
      </c>
      <c r="E190" s="180">
        <v>46020.0</v>
      </c>
      <c r="F190" s="181">
        <v>1714.3703703703704</v>
      </c>
      <c r="G190" s="205">
        <v>797182.2222222222</v>
      </c>
      <c r="H190" s="205">
        <v>465.0</v>
      </c>
      <c r="I190" s="255">
        <v>232.0</v>
      </c>
      <c r="J190" s="256">
        <v>155.0</v>
      </c>
      <c r="K190" s="257">
        <v>186.0</v>
      </c>
      <c r="L190" s="257">
        <v>93.0</v>
      </c>
      <c r="M190" s="185">
        <v>161.0</v>
      </c>
      <c r="N190" s="186">
        <v>304.0</v>
      </c>
      <c r="O190" s="186"/>
      <c r="P190" s="186"/>
      <c r="Q190" s="186"/>
      <c r="R190" s="186"/>
      <c r="S190" s="186"/>
      <c r="T190" s="186"/>
      <c r="U190" s="186"/>
      <c r="V190" s="186"/>
      <c r="W190" s="186"/>
      <c r="X190" s="186"/>
      <c r="Y190" s="186"/>
      <c r="Z190" s="186"/>
      <c r="AA190" s="186"/>
      <c r="AB190" s="186"/>
      <c r="AC190" s="186"/>
      <c r="AD190" s="186"/>
      <c r="AE190" s="186"/>
    </row>
    <row r="191">
      <c r="A191" s="178"/>
      <c r="B191" s="36"/>
      <c r="C191" s="37"/>
      <c r="D191" s="197" t="s">
        <v>969</v>
      </c>
      <c r="E191" s="180">
        <v>43818.0</v>
      </c>
      <c r="F191" s="181">
        <v>6500.0</v>
      </c>
      <c r="G191" s="205">
        <v>0.0</v>
      </c>
      <c r="H191" s="205"/>
      <c r="I191" s="255"/>
      <c r="J191" s="256"/>
      <c r="K191" s="257"/>
      <c r="L191" s="257"/>
      <c r="M191" s="185"/>
      <c r="N191" s="186"/>
      <c r="O191" s="186"/>
      <c r="P191" s="186"/>
      <c r="Q191" s="186"/>
      <c r="R191" s="186"/>
      <c r="S191" s="186"/>
      <c r="T191" s="186"/>
      <c r="U191" s="186"/>
      <c r="V191" s="186"/>
      <c r="W191" s="186"/>
      <c r="X191" s="186"/>
      <c r="Y191" s="186"/>
      <c r="Z191" s="186"/>
      <c r="AA191" s="186"/>
      <c r="AB191" s="186"/>
      <c r="AC191" s="186"/>
      <c r="AD191" s="186"/>
      <c r="AE191" s="186"/>
    </row>
    <row r="192">
      <c r="A192" s="178"/>
      <c r="B192" s="36"/>
      <c r="C192" s="37"/>
      <c r="D192" s="254" t="s">
        <v>970</v>
      </c>
      <c r="E192" s="180">
        <v>45276.0</v>
      </c>
      <c r="F192" s="181">
        <v>12266.666666666666</v>
      </c>
      <c r="G192" s="205">
        <v>0.0</v>
      </c>
      <c r="H192" s="205"/>
      <c r="I192" s="255"/>
      <c r="J192" s="256"/>
      <c r="K192" s="257"/>
      <c r="L192" s="257"/>
      <c r="M192" s="185"/>
      <c r="N192" s="186"/>
      <c r="O192" s="186"/>
      <c r="P192" s="186"/>
      <c r="Q192" s="186"/>
      <c r="R192" s="186"/>
      <c r="S192" s="186"/>
      <c r="T192" s="186"/>
      <c r="U192" s="186"/>
      <c r="V192" s="186"/>
      <c r="W192" s="186"/>
      <c r="X192" s="186"/>
      <c r="Y192" s="186"/>
      <c r="Z192" s="186"/>
      <c r="AA192" s="186"/>
      <c r="AB192" s="186"/>
      <c r="AC192" s="186"/>
      <c r="AD192" s="186"/>
      <c r="AE192" s="186"/>
    </row>
    <row r="193">
      <c r="A193" s="178"/>
      <c r="B193" s="36"/>
      <c r="C193" s="37"/>
      <c r="D193" s="197" t="s">
        <v>984</v>
      </c>
      <c r="E193" s="180">
        <v>45233.0</v>
      </c>
      <c r="F193" s="181">
        <v>9165.666666666666</v>
      </c>
      <c r="G193" s="205">
        <v>0.0</v>
      </c>
      <c r="H193" s="205"/>
      <c r="I193" s="255"/>
      <c r="J193" s="256"/>
      <c r="K193" s="257"/>
      <c r="L193" s="257"/>
      <c r="M193" s="185"/>
      <c r="N193" s="186"/>
      <c r="O193" s="186"/>
      <c r="P193" s="186"/>
      <c r="Q193" s="186"/>
      <c r="R193" s="186"/>
      <c r="S193" s="186"/>
      <c r="T193" s="186"/>
      <c r="U193" s="186"/>
      <c r="V193" s="186"/>
      <c r="W193" s="186"/>
      <c r="X193" s="186"/>
      <c r="Y193" s="186"/>
      <c r="Z193" s="186"/>
      <c r="AA193" s="186"/>
      <c r="AB193" s="186"/>
      <c r="AC193" s="186"/>
      <c r="AD193" s="186"/>
      <c r="AE193" s="186"/>
    </row>
    <row r="194">
      <c r="A194" s="178"/>
      <c r="B194" s="36"/>
      <c r="C194" s="37"/>
      <c r="D194" s="197" t="s">
        <v>1528</v>
      </c>
      <c r="E194" s="180"/>
      <c r="F194" s="181"/>
      <c r="G194" s="205">
        <v>0.0</v>
      </c>
      <c r="H194" s="205"/>
      <c r="I194" s="255"/>
      <c r="J194" s="256"/>
      <c r="K194" s="257"/>
      <c r="L194" s="257"/>
      <c r="M194" s="185"/>
      <c r="N194" s="186"/>
      <c r="O194" s="186"/>
      <c r="P194" s="186"/>
      <c r="Q194" s="186"/>
      <c r="R194" s="186"/>
      <c r="S194" s="186"/>
      <c r="T194" s="186"/>
      <c r="U194" s="186"/>
      <c r="V194" s="186"/>
      <c r="W194" s="186"/>
      <c r="X194" s="186"/>
      <c r="Y194" s="186"/>
      <c r="Z194" s="186"/>
      <c r="AA194" s="186"/>
      <c r="AB194" s="186"/>
      <c r="AC194" s="186"/>
      <c r="AD194" s="186"/>
      <c r="AE194" s="186"/>
    </row>
    <row r="195">
      <c r="A195" s="178"/>
      <c r="B195" s="36"/>
      <c r="C195" s="37"/>
      <c r="D195" s="197" t="s">
        <v>985</v>
      </c>
      <c r="E195" s="180">
        <v>46000.0</v>
      </c>
      <c r="F195" s="181">
        <v>20791.2</v>
      </c>
      <c r="G195" s="205">
        <v>2494944.0</v>
      </c>
      <c r="H195" s="205">
        <v>120.0</v>
      </c>
      <c r="I195" s="255">
        <v>60.0</v>
      </c>
      <c r="J195" s="256">
        <v>40.0</v>
      </c>
      <c r="K195" s="257">
        <v>48.0</v>
      </c>
      <c r="L195" s="257">
        <v>24.0</v>
      </c>
      <c r="M195" s="185">
        <v>20.0</v>
      </c>
      <c r="N195" s="186">
        <v>100.0</v>
      </c>
      <c r="O195" s="186"/>
      <c r="P195" s="186"/>
      <c r="Q195" s="186"/>
      <c r="R195" s="186"/>
      <c r="S195" s="186"/>
      <c r="T195" s="186"/>
      <c r="U195" s="186"/>
      <c r="V195" s="186"/>
      <c r="W195" s="186"/>
      <c r="X195" s="186"/>
      <c r="Y195" s="186"/>
      <c r="Z195" s="186"/>
      <c r="AA195" s="186"/>
      <c r="AB195" s="186"/>
      <c r="AC195" s="186"/>
      <c r="AD195" s="186"/>
      <c r="AE195" s="186"/>
    </row>
    <row r="196">
      <c r="A196" s="178"/>
      <c r="B196" s="36"/>
      <c r="C196" s="37"/>
      <c r="D196" s="197" t="s">
        <v>994</v>
      </c>
      <c r="E196" s="180">
        <v>43458.0</v>
      </c>
      <c r="F196" s="181">
        <v>146000.0</v>
      </c>
      <c r="G196" s="205">
        <v>0.0</v>
      </c>
      <c r="H196" s="205"/>
      <c r="I196" s="255"/>
      <c r="J196" s="256"/>
      <c r="K196" s="257"/>
      <c r="L196" s="257"/>
      <c r="M196" s="185"/>
      <c r="N196" s="186"/>
      <c r="O196" s="186"/>
      <c r="P196" s="186"/>
      <c r="Q196" s="186"/>
      <c r="R196" s="186"/>
      <c r="S196" s="186"/>
      <c r="T196" s="186"/>
      <c r="U196" s="186"/>
      <c r="V196" s="186"/>
      <c r="W196" s="186"/>
      <c r="X196" s="186"/>
      <c r="Y196" s="186"/>
      <c r="Z196" s="186"/>
      <c r="AA196" s="186"/>
      <c r="AB196" s="186"/>
      <c r="AC196" s="186"/>
      <c r="AD196" s="186"/>
      <c r="AE196" s="186"/>
    </row>
    <row r="197">
      <c r="A197" s="178"/>
      <c r="B197" s="36"/>
      <c r="C197" s="37"/>
      <c r="D197" s="197" t="s">
        <v>995</v>
      </c>
      <c r="E197" s="180">
        <v>43419.0</v>
      </c>
      <c r="F197" s="181">
        <v>1458899.9999999998</v>
      </c>
      <c r="G197" s="205">
        <v>0.0</v>
      </c>
      <c r="H197" s="205"/>
      <c r="I197" s="255"/>
      <c r="J197" s="256"/>
      <c r="K197" s="257"/>
      <c r="L197" s="257"/>
      <c r="M197" s="185"/>
      <c r="N197" s="186"/>
      <c r="O197" s="186"/>
      <c r="P197" s="186"/>
      <c r="Q197" s="186"/>
      <c r="R197" s="186"/>
      <c r="S197" s="186"/>
      <c r="T197" s="186"/>
      <c r="U197" s="186"/>
      <c r="V197" s="186"/>
      <c r="W197" s="186"/>
      <c r="X197" s="186"/>
      <c r="Y197" s="186"/>
      <c r="Z197" s="186"/>
      <c r="AA197" s="186"/>
      <c r="AB197" s="186"/>
      <c r="AC197" s="186"/>
      <c r="AD197" s="186"/>
      <c r="AE197" s="186"/>
    </row>
    <row r="198">
      <c r="A198" s="178"/>
      <c r="B198" s="36"/>
      <c r="C198" s="37"/>
      <c r="D198" s="197" t="s">
        <v>997</v>
      </c>
      <c r="E198" s="180">
        <v>43459.0</v>
      </c>
      <c r="F198" s="181">
        <v>2013250.0</v>
      </c>
      <c r="G198" s="205">
        <v>0.0</v>
      </c>
      <c r="H198" s="205"/>
      <c r="I198" s="255"/>
      <c r="J198" s="256"/>
      <c r="K198" s="257"/>
      <c r="L198" s="257"/>
      <c r="M198" s="185"/>
      <c r="N198" s="186"/>
      <c r="O198" s="186"/>
      <c r="P198" s="186"/>
      <c r="Q198" s="186"/>
      <c r="R198" s="186"/>
      <c r="S198" s="186"/>
      <c r="T198" s="186"/>
      <c r="U198" s="186"/>
      <c r="V198" s="186"/>
      <c r="W198" s="186"/>
      <c r="X198" s="186"/>
      <c r="Y198" s="186"/>
      <c r="Z198" s="186"/>
      <c r="AA198" s="186"/>
      <c r="AB198" s="186"/>
      <c r="AC198" s="186"/>
      <c r="AD198" s="186"/>
      <c r="AE198" s="186"/>
    </row>
    <row r="199">
      <c r="A199" s="178"/>
      <c r="B199" s="36"/>
      <c r="C199" s="37"/>
      <c r="D199" s="197" t="s">
        <v>998</v>
      </c>
      <c r="E199" s="180">
        <v>43430.0</v>
      </c>
      <c r="F199" s="181">
        <v>1618899.0</v>
      </c>
      <c r="G199" s="205">
        <v>0.0</v>
      </c>
      <c r="H199" s="205"/>
      <c r="I199" s="255"/>
      <c r="J199" s="256"/>
      <c r="K199" s="257"/>
      <c r="L199" s="257"/>
      <c r="M199" s="185"/>
      <c r="N199" s="186"/>
      <c r="O199" s="186"/>
      <c r="P199" s="186"/>
      <c r="Q199" s="186"/>
      <c r="R199" s="186"/>
      <c r="S199" s="186"/>
      <c r="T199" s="186"/>
      <c r="U199" s="186"/>
      <c r="V199" s="186"/>
      <c r="W199" s="186"/>
      <c r="X199" s="186"/>
      <c r="Y199" s="186"/>
      <c r="Z199" s="186"/>
      <c r="AA199" s="186"/>
      <c r="AB199" s="186"/>
      <c r="AC199" s="186"/>
      <c r="AD199" s="186"/>
      <c r="AE199" s="186"/>
    </row>
    <row r="200">
      <c r="A200" s="178"/>
      <c r="B200" s="36"/>
      <c r="C200" s="37"/>
      <c r="D200" s="197" t="s">
        <v>1000</v>
      </c>
      <c r="E200" s="180">
        <v>43458.0</v>
      </c>
      <c r="F200" s="181">
        <v>307000.0</v>
      </c>
      <c r="G200" s="205">
        <v>0.0</v>
      </c>
      <c r="H200" s="205"/>
      <c r="I200" s="255"/>
      <c r="J200" s="256"/>
      <c r="K200" s="257"/>
      <c r="L200" s="257"/>
      <c r="M200" s="185"/>
      <c r="N200" s="186"/>
      <c r="O200" s="186"/>
      <c r="P200" s="186"/>
      <c r="Q200" s="186"/>
      <c r="R200" s="186"/>
      <c r="S200" s="186"/>
      <c r="T200" s="186"/>
      <c r="U200" s="186"/>
      <c r="V200" s="186"/>
      <c r="W200" s="186"/>
      <c r="X200" s="186"/>
      <c r="Y200" s="186"/>
      <c r="Z200" s="186"/>
      <c r="AA200" s="186"/>
      <c r="AB200" s="186"/>
      <c r="AC200" s="186"/>
      <c r="AD200" s="186"/>
      <c r="AE200" s="186"/>
    </row>
    <row r="201">
      <c r="A201" s="178"/>
      <c r="B201" s="36"/>
      <c r="C201" s="37"/>
      <c r="D201" s="197" t="s">
        <v>1537</v>
      </c>
      <c r="E201" s="180"/>
      <c r="F201" s="181"/>
      <c r="G201" s="205">
        <v>0.0</v>
      </c>
      <c r="H201" s="205"/>
      <c r="I201" s="255"/>
      <c r="J201" s="256"/>
      <c r="K201" s="257"/>
      <c r="L201" s="257"/>
      <c r="M201" s="185"/>
      <c r="N201" s="186"/>
      <c r="O201" s="186"/>
      <c r="P201" s="186"/>
      <c r="Q201" s="186"/>
      <c r="R201" s="186"/>
      <c r="S201" s="186"/>
      <c r="T201" s="186"/>
      <c r="U201" s="186"/>
      <c r="V201" s="186"/>
      <c r="W201" s="186"/>
      <c r="X201" s="186"/>
      <c r="Y201" s="186"/>
      <c r="Z201" s="186"/>
      <c r="AA201" s="186"/>
      <c r="AB201" s="186"/>
      <c r="AC201" s="186"/>
      <c r="AD201" s="186"/>
      <c r="AE201" s="186"/>
    </row>
    <row r="202">
      <c r="A202" s="178"/>
      <c r="B202" s="36"/>
      <c r="C202" s="37"/>
      <c r="D202" s="197" t="s">
        <v>1546</v>
      </c>
      <c r="E202" s="180"/>
      <c r="F202" s="181"/>
      <c r="G202" s="205">
        <v>0.0</v>
      </c>
      <c r="H202" s="205"/>
      <c r="I202" s="255"/>
      <c r="J202" s="256"/>
      <c r="K202" s="257"/>
      <c r="L202" s="257"/>
      <c r="M202" s="185"/>
      <c r="N202" s="186"/>
      <c r="O202" s="186"/>
      <c r="P202" s="186"/>
      <c r="Q202" s="186"/>
      <c r="R202" s="186"/>
      <c r="S202" s="186"/>
      <c r="T202" s="186"/>
      <c r="U202" s="186"/>
      <c r="V202" s="186"/>
      <c r="W202" s="186"/>
      <c r="X202" s="186"/>
      <c r="Y202" s="186"/>
      <c r="Z202" s="186"/>
      <c r="AA202" s="186"/>
      <c r="AB202" s="186"/>
      <c r="AC202" s="186"/>
      <c r="AD202" s="186"/>
      <c r="AE202" s="186"/>
    </row>
    <row r="203">
      <c r="A203" s="178"/>
      <c r="B203" s="36"/>
      <c r="C203" s="37"/>
      <c r="D203" s="197" t="s">
        <v>1550</v>
      </c>
      <c r="E203" s="180"/>
      <c r="F203" s="181"/>
      <c r="G203" s="205">
        <v>0.0</v>
      </c>
      <c r="H203" s="205"/>
      <c r="I203" s="255"/>
      <c r="J203" s="256"/>
      <c r="K203" s="257"/>
      <c r="L203" s="257"/>
      <c r="M203" s="185"/>
      <c r="N203" s="186"/>
      <c r="O203" s="186"/>
      <c r="P203" s="186"/>
      <c r="Q203" s="186"/>
      <c r="R203" s="186"/>
      <c r="S203" s="186"/>
      <c r="T203" s="186"/>
      <c r="U203" s="186"/>
      <c r="V203" s="186"/>
      <c r="W203" s="186"/>
      <c r="X203" s="186"/>
      <c r="Y203" s="186"/>
      <c r="Z203" s="186"/>
      <c r="AA203" s="186"/>
      <c r="AB203" s="186"/>
      <c r="AC203" s="186"/>
      <c r="AD203" s="186"/>
      <c r="AE203" s="186"/>
    </row>
    <row r="204">
      <c r="A204" s="178"/>
      <c r="B204" s="36"/>
      <c r="C204" s="37"/>
      <c r="D204" s="197" t="s">
        <v>1554</v>
      </c>
      <c r="E204" s="180"/>
      <c r="F204" s="181"/>
      <c r="G204" s="205">
        <v>0.0</v>
      </c>
      <c r="H204" s="205"/>
      <c r="I204" s="255"/>
      <c r="J204" s="256"/>
      <c r="K204" s="257"/>
      <c r="L204" s="257"/>
      <c r="M204" s="185"/>
      <c r="N204" s="186"/>
      <c r="O204" s="186"/>
      <c r="P204" s="186"/>
      <c r="Q204" s="186"/>
      <c r="R204" s="186"/>
      <c r="S204" s="186"/>
      <c r="T204" s="186"/>
      <c r="U204" s="186"/>
      <c r="V204" s="186"/>
      <c r="W204" s="186"/>
      <c r="X204" s="186"/>
      <c r="Y204" s="186"/>
      <c r="Z204" s="186"/>
      <c r="AA204" s="186"/>
      <c r="AB204" s="186"/>
      <c r="AC204" s="186"/>
      <c r="AD204" s="186"/>
      <c r="AE204" s="186"/>
    </row>
    <row r="205">
      <c r="A205" s="178"/>
      <c r="B205" s="36"/>
      <c r="C205" s="37"/>
      <c r="D205" s="197" t="s">
        <v>1558</v>
      </c>
      <c r="E205" s="180"/>
      <c r="F205" s="181"/>
      <c r="G205" s="205">
        <v>0.0</v>
      </c>
      <c r="H205" s="205"/>
      <c r="I205" s="255"/>
      <c r="J205" s="256"/>
      <c r="K205" s="257"/>
      <c r="L205" s="257"/>
      <c r="M205" s="185"/>
      <c r="N205" s="186"/>
      <c r="O205" s="186"/>
      <c r="P205" s="186"/>
      <c r="Q205" s="186"/>
      <c r="R205" s="186"/>
      <c r="S205" s="186"/>
      <c r="T205" s="186"/>
      <c r="U205" s="186"/>
      <c r="V205" s="186"/>
      <c r="W205" s="186"/>
      <c r="X205" s="186"/>
      <c r="Y205" s="186"/>
      <c r="Z205" s="186"/>
      <c r="AA205" s="186"/>
      <c r="AB205" s="186"/>
      <c r="AC205" s="186"/>
      <c r="AD205" s="186"/>
      <c r="AE205" s="186"/>
    </row>
    <row r="206">
      <c r="A206" s="178"/>
      <c r="B206" s="36"/>
      <c r="C206" s="37"/>
      <c r="D206" s="197" t="s">
        <v>1562</v>
      </c>
      <c r="E206" s="180"/>
      <c r="F206" s="181"/>
      <c r="G206" s="205">
        <v>0.0</v>
      </c>
      <c r="H206" s="205"/>
      <c r="I206" s="255"/>
      <c r="J206" s="256"/>
      <c r="K206" s="257"/>
      <c r="L206" s="257"/>
      <c r="M206" s="185"/>
      <c r="N206" s="186"/>
      <c r="O206" s="186"/>
      <c r="P206" s="186"/>
      <c r="Q206" s="186"/>
      <c r="R206" s="186"/>
      <c r="S206" s="186"/>
      <c r="T206" s="186"/>
      <c r="U206" s="186"/>
      <c r="V206" s="186"/>
      <c r="W206" s="186"/>
      <c r="X206" s="186"/>
      <c r="Y206" s="186"/>
      <c r="Z206" s="186"/>
      <c r="AA206" s="186"/>
      <c r="AB206" s="186"/>
      <c r="AC206" s="186"/>
      <c r="AD206" s="186"/>
      <c r="AE206" s="186"/>
    </row>
    <row r="207">
      <c r="A207" s="178"/>
      <c r="B207" s="36"/>
      <c r="C207" s="37"/>
      <c r="D207" s="197" t="s">
        <v>1567</v>
      </c>
      <c r="E207" s="180"/>
      <c r="F207" s="181"/>
      <c r="G207" s="205">
        <v>0.0</v>
      </c>
      <c r="H207" s="205"/>
      <c r="I207" s="255"/>
      <c r="J207" s="256"/>
      <c r="K207" s="257"/>
      <c r="L207" s="257"/>
      <c r="M207" s="185"/>
      <c r="N207" s="186"/>
      <c r="O207" s="186"/>
      <c r="P207" s="186"/>
      <c r="Q207" s="186"/>
      <c r="R207" s="186"/>
      <c r="S207" s="186"/>
      <c r="T207" s="186"/>
      <c r="U207" s="186"/>
      <c r="V207" s="186"/>
      <c r="W207" s="186"/>
      <c r="X207" s="186"/>
      <c r="Y207" s="186"/>
      <c r="Z207" s="186"/>
      <c r="AA207" s="186"/>
      <c r="AB207" s="186"/>
      <c r="AC207" s="186"/>
      <c r="AD207" s="186"/>
      <c r="AE207" s="186"/>
    </row>
    <row r="208">
      <c r="A208" s="178"/>
      <c r="B208" s="36"/>
      <c r="C208" s="37"/>
      <c r="D208" s="197" t="s">
        <v>1570</v>
      </c>
      <c r="E208" s="180"/>
      <c r="F208" s="181"/>
      <c r="G208" s="205">
        <v>0.0</v>
      </c>
      <c r="H208" s="205"/>
      <c r="I208" s="255"/>
      <c r="J208" s="256"/>
      <c r="K208" s="257"/>
      <c r="L208" s="257"/>
      <c r="M208" s="185"/>
      <c r="N208" s="186"/>
      <c r="O208" s="186"/>
      <c r="P208" s="186"/>
      <c r="Q208" s="186"/>
      <c r="R208" s="186"/>
      <c r="S208" s="186"/>
      <c r="T208" s="186"/>
      <c r="U208" s="186"/>
      <c r="V208" s="186"/>
      <c r="W208" s="186"/>
      <c r="X208" s="186"/>
      <c r="Y208" s="186"/>
      <c r="Z208" s="186"/>
      <c r="AA208" s="186"/>
      <c r="AB208" s="186"/>
      <c r="AC208" s="186"/>
      <c r="AD208" s="186"/>
      <c r="AE208" s="186"/>
    </row>
    <row r="209">
      <c r="A209" s="178"/>
      <c r="B209" s="36"/>
      <c r="C209" s="37"/>
      <c r="D209" s="197" t="s">
        <v>1573</v>
      </c>
      <c r="E209" s="180"/>
      <c r="F209" s="181"/>
      <c r="G209" s="205">
        <v>0.0</v>
      </c>
      <c r="H209" s="205"/>
      <c r="I209" s="255"/>
      <c r="J209" s="256"/>
      <c r="K209" s="257"/>
      <c r="L209" s="257"/>
      <c r="M209" s="185"/>
      <c r="N209" s="186"/>
      <c r="O209" s="186"/>
      <c r="P209" s="186"/>
      <c r="Q209" s="186"/>
      <c r="R209" s="186"/>
      <c r="S209" s="186"/>
      <c r="T209" s="186"/>
      <c r="U209" s="186"/>
      <c r="V209" s="186"/>
      <c r="W209" s="186"/>
      <c r="X209" s="186"/>
      <c r="Y209" s="186"/>
      <c r="Z209" s="186"/>
      <c r="AA209" s="186"/>
      <c r="AB209" s="186"/>
      <c r="AC209" s="186"/>
      <c r="AD209" s="186"/>
      <c r="AE209" s="186"/>
    </row>
    <row r="210">
      <c r="A210" s="178"/>
      <c r="B210" s="36"/>
      <c r="C210" s="36"/>
      <c r="D210" s="197" t="s">
        <v>1576</v>
      </c>
      <c r="E210" s="180"/>
      <c r="F210" s="181"/>
      <c r="G210" s="205">
        <v>0.0</v>
      </c>
      <c r="H210" s="205"/>
      <c r="I210" s="205"/>
      <c r="J210" s="205"/>
      <c r="K210" s="205"/>
      <c r="L210" s="205"/>
      <c r="M210" s="186"/>
      <c r="N210" s="186"/>
      <c r="O210" s="186"/>
      <c r="P210" s="186"/>
      <c r="Q210" s="186"/>
      <c r="R210" s="186"/>
      <c r="S210" s="186"/>
      <c r="T210" s="186"/>
      <c r="U210" s="186"/>
      <c r="V210" s="186"/>
      <c r="W210" s="186"/>
      <c r="X210" s="186"/>
      <c r="Y210" s="186"/>
      <c r="Z210" s="186"/>
      <c r="AA210" s="186"/>
      <c r="AB210" s="186"/>
      <c r="AC210" s="186"/>
      <c r="AD210" s="186"/>
      <c r="AE210" s="186"/>
    </row>
    <row r="211">
      <c r="A211" s="178"/>
      <c r="B211" s="36"/>
      <c r="C211" s="36"/>
      <c r="D211" s="197" t="s">
        <v>1579</v>
      </c>
      <c r="E211" s="180"/>
      <c r="F211" s="181"/>
      <c r="G211" s="205">
        <v>0.0</v>
      </c>
      <c r="H211" s="205"/>
      <c r="I211" s="205"/>
      <c r="J211" s="205"/>
      <c r="K211" s="205"/>
      <c r="L211" s="205"/>
      <c r="M211" s="186"/>
      <c r="N211" s="186"/>
      <c r="O211" s="186"/>
      <c r="P211" s="186"/>
      <c r="Q211" s="186"/>
      <c r="R211" s="186"/>
      <c r="S211" s="186"/>
      <c r="T211" s="186"/>
      <c r="U211" s="186"/>
      <c r="V211" s="186"/>
      <c r="W211" s="186"/>
      <c r="X211" s="186"/>
      <c r="Y211" s="186"/>
      <c r="Z211" s="186"/>
      <c r="AA211" s="186"/>
      <c r="AB211" s="186"/>
      <c r="AC211" s="186"/>
      <c r="AD211" s="186"/>
      <c r="AE211" s="186"/>
    </row>
    <row r="212">
      <c r="A212" s="178"/>
      <c r="B212" s="36"/>
      <c r="C212" s="36"/>
      <c r="D212" s="197" t="s">
        <v>1582</v>
      </c>
      <c r="E212" s="180"/>
      <c r="F212" s="181"/>
      <c r="G212" s="205">
        <v>0.0</v>
      </c>
      <c r="H212" s="205"/>
      <c r="I212" s="205"/>
      <c r="J212" s="205"/>
      <c r="K212" s="205"/>
      <c r="L212" s="205"/>
      <c r="M212" s="186"/>
      <c r="N212" s="186"/>
      <c r="O212" s="186"/>
      <c r="P212" s="186"/>
      <c r="Q212" s="186"/>
      <c r="R212" s="186"/>
      <c r="S212" s="186"/>
      <c r="T212" s="186"/>
      <c r="U212" s="186"/>
      <c r="V212" s="186"/>
      <c r="W212" s="186"/>
      <c r="X212" s="186"/>
      <c r="Y212" s="186"/>
      <c r="Z212" s="186"/>
      <c r="AA212" s="186"/>
      <c r="AB212" s="186"/>
      <c r="AC212" s="186"/>
      <c r="AD212" s="186"/>
      <c r="AE212" s="186"/>
    </row>
    <row r="213">
      <c r="A213" s="178"/>
      <c r="B213" s="36"/>
      <c r="C213" s="36"/>
      <c r="D213" s="197"/>
      <c r="E213" s="180"/>
      <c r="F213" s="181"/>
      <c r="G213" s="205"/>
      <c r="H213" s="205"/>
      <c r="I213" s="205"/>
      <c r="J213" s="205"/>
      <c r="K213" s="205"/>
      <c r="L213" s="205"/>
      <c r="M213" s="186"/>
      <c r="N213" s="186"/>
      <c r="O213" s="186"/>
      <c r="P213" s="186"/>
      <c r="Q213" s="186"/>
      <c r="R213" s="186"/>
      <c r="S213" s="186"/>
      <c r="T213" s="186"/>
      <c r="U213" s="186"/>
      <c r="V213" s="186"/>
      <c r="W213" s="186"/>
      <c r="X213" s="186"/>
      <c r="Y213" s="186"/>
      <c r="Z213" s="186"/>
      <c r="AA213" s="186"/>
      <c r="AB213" s="186"/>
      <c r="AC213" s="186"/>
      <c r="AD213" s="186"/>
      <c r="AE213" s="186"/>
    </row>
    <row r="214">
      <c r="A214" s="178"/>
      <c r="B214" s="36"/>
      <c r="C214" s="36"/>
      <c r="D214" s="197"/>
      <c r="E214" s="180"/>
      <c r="F214" s="181"/>
      <c r="G214" s="205"/>
      <c r="H214" s="205"/>
      <c r="I214" s="205"/>
      <c r="J214" s="205"/>
      <c r="K214" s="205"/>
      <c r="L214" s="205"/>
      <c r="M214" s="186"/>
      <c r="N214" s="186"/>
      <c r="O214" s="186"/>
      <c r="P214" s="186"/>
      <c r="Q214" s="186"/>
      <c r="R214" s="186"/>
      <c r="S214" s="186"/>
      <c r="T214" s="186"/>
      <c r="U214" s="186"/>
      <c r="V214" s="186"/>
      <c r="W214" s="186"/>
      <c r="X214" s="186"/>
      <c r="Y214" s="186"/>
      <c r="Z214" s="186"/>
      <c r="AA214" s="186"/>
      <c r="AB214" s="186"/>
      <c r="AC214" s="186"/>
      <c r="AD214" s="186"/>
      <c r="AE214" s="186"/>
    </row>
    <row r="215">
      <c r="A215" s="178"/>
      <c r="B215" s="36"/>
      <c r="C215" s="36"/>
      <c r="D215" s="197"/>
      <c r="E215" s="180"/>
      <c r="F215" s="181"/>
      <c r="G215" s="205"/>
      <c r="H215" s="205"/>
      <c r="I215" s="205"/>
      <c r="J215" s="205"/>
      <c r="K215" s="205"/>
      <c r="L215" s="205"/>
      <c r="M215" s="186"/>
      <c r="N215" s="186"/>
      <c r="O215" s="186"/>
      <c r="P215" s="186"/>
      <c r="Q215" s="186"/>
      <c r="R215" s="186"/>
      <c r="S215" s="186"/>
      <c r="T215" s="186"/>
      <c r="U215" s="186"/>
      <c r="V215" s="186"/>
      <c r="W215" s="186"/>
      <c r="X215" s="186"/>
      <c r="Y215" s="186"/>
      <c r="Z215" s="186"/>
      <c r="AA215" s="186"/>
      <c r="AB215" s="186"/>
      <c r="AC215" s="186"/>
      <c r="AD215" s="186"/>
      <c r="AE215" s="186"/>
    </row>
    <row r="216">
      <c r="A216" s="178"/>
      <c r="B216" s="36"/>
      <c r="C216" s="36"/>
      <c r="D216" s="197"/>
      <c r="E216" s="180"/>
      <c r="F216" s="181"/>
      <c r="G216" s="205"/>
      <c r="H216" s="205"/>
      <c r="I216" s="205"/>
      <c r="J216" s="205"/>
      <c r="K216" s="205"/>
      <c r="L216" s="205"/>
      <c r="M216" s="186"/>
      <c r="N216" s="186"/>
      <c r="O216" s="186"/>
      <c r="P216" s="186"/>
      <c r="Q216" s="186"/>
      <c r="R216" s="186"/>
      <c r="S216" s="186"/>
      <c r="T216" s="186"/>
      <c r="U216" s="186"/>
      <c r="V216" s="186"/>
      <c r="W216" s="186"/>
      <c r="X216" s="186"/>
      <c r="Y216" s="186"/>
      <c r="Z216" s="186"/>
      <c r="AA216" s="186"/>
      <c r="AB216" s="186"/>
      <c r="AC216" s="186"/>
      <c r="AD216" s="186"/>
      <c r="AE216" s="186"/>
    </row>
    <row r="217">
      <c r="A217" s="178"/>
      <c r="B217" s="36"/>
      <c r="C217" s="36"/>
      <c r="D217" s="197"/>
      <c r="E217" s="180"/>
      <c r="F217" s="181"/>
      <c r="G217" s="205"/>
      <c r="H217" s="205"/>
      <c r="I217" s="205"/>
      <c r="J217" s="205"/>
      <c r="K217" s="205"/>
      <c r="L217" s="205"/>
      <c r="M217" s="186"/>
      <c r="N217" s="186"/>
      <c r="O217" s="186"/>
      <c r="P217" s="186"/>
      <c r="Q217" s="186"/>
      <c r="R217" s="186"/>
      <c r="S217" s="186"/>
      <c r="T217" s="186"/>
      <c r="U217" s="186"/>
      <c r="V217" s="186"/>
      <c r="W217" s="186"/>
      <c r="X217" s="186"/>
      <c r="Y217" s="186"/>
      <c r="Z217" s="186"/>
      <c r="AA217" s="186"/>
      <c r="AB217" s="186"/>
      <c r="AC217" s="186"/>
      <c r="AD217" s="186"/>
      <c r="AE217" s="186"/>
    </row>
    <row r="218">
      <c r="A218" s="178"/>
      <c r="B218" s="36"/>
      <c r="C218" s="36"/>
      <c r="D218" s="197"/>
      <c r="E218" s="180"/>
      <c r="F218" s="181"/>
      <c r="G218" s="205"/>
      <c r="H218" s="205"/>
      <c r="I218" s="205"/>
      <c r="J218" s="205"/>
      <c r="K218" s="205"/>
      <c r="L218" s="205"/>
      <c r="M218" s="186"/>
      <c r="N218" s="186"/>
      <c r="O218" s="186"/>
      <c r="P218" s="186"/>
      <c r="Q218" s="186"/>
      <c r="R218" s="186"/>
      <c r="S218" s="186"/>
      <c r="T218" s="186"/>
      <c r="U218" s="186"/>
      <c r="V218" s="186"/>
      <c r="W218" s="186"/>
      <c r="X218" s="186"/>
      <c r="Y218" s="186"/>
      <c r="Z218" s="186"/>
      <c r="AA218" s="186"/>
      <c r="AB218" s="186"/>
      <c r="AC218" s="186"/>
      <c r="AD218" s="186"/>
      <c r="AE218" s="186"/>
    </row>
    <row r="219">
      <c r="A219" s="178"/>
      <c r="B219" s="36"/>
      <c r="C219" s="36"/>
      <c r="D219" s="197"/>
      <c r="E219" s="180"/>
      <c r="F219" s="181"/>
      <c r="G219" s="205"/>
      <c r="H219" s="205"/>
      <c r="I219" s="205"/>
      <c r="J219" s="205"/>
      <c r="K219" s="205"/>
      <c r="L219" s="205"/>
      <c r="M219" s="186"/>
      <c r="N219" s="186"/>
      <c r="O219" s="186"/>
      <c r="P219" s="186"/>
      <c r="Q219" s="186"/>
      <c r="R219" s="186"/>
      <c r="S219" s="186"/>
      <c r="T219" s="186"/>
      <c r="U219" s="186"/>
      <c r="V219" s="186"/>
      <c r="W219" s="186"/>
      <c r="X219" s="186"/>
      <c r="Y219" s="186"/>
      <c r="Z219" s="186"/>
      <c r="AA219" s="186"/>
      <c r="AB219" s="186"/>
      <c r="AC219" s="186"/>
      <c r="AD219" s="186"/>
      <c r="AE219" s="186"/>
    </row>
    <row r="220">
      <c r="A220" s="178"/>
      <c r="B220" s="36"/>
      <c r="C220" s="36"/>
      <c r="D220" s="197"/>
      <c r="E220" s="180"/>
      <c r="F220" s="181"/>
      <c r="G220" s="205"/>
      <c r="H220" s="205"/>
      <c r="I220" s="205"/>
      <c r="J220" s="205"/>
      <c r="K220" s="205"/>
      <c r="L220" s="205"/>
      <c r="M220" s="186"/>
      <c r="N220" s="186"/>
      <c r="O220" s="186"/>
      <c r="P220" s="186"/>
      <c r="Q220" s="186"/>
      <c r="R220" s="186"/>
      <c r="S220" s="186"/>
      <c r="T220" s="186"/>
      <c r="U220" s="186"/>
      <c r="V220" s="186"/>
      <c r="W220" s="186"/>
      <c r="X220" s="186"/>
      <c r="Y220" s="186"/>
      <c r="Z220" s="186"/>
      <c r="AA220" s="186"/>
      <c r="AB220" s="186"/>
      <c r="AC220" s="186"/>
      <c r="AD220" s="186"/>
      <c r="AE220" s="186"/>
    </row>
    <row r="221">
      <c r="A221" s="178"/>
      <c r="B221" s="36"/>
      <c r="C221" s="36"/>
      <c r="D221" s="197"/>
      <c r="E221" s="180"/>
      <c r="F221" s="181"/>
      <c r="G221" s="205"/>
      <c r="H221" s="205"/>
      <c r="I221" s="205"/>
      <c r="J221" s="205"/>
      <c r="K221" s="205"/>
      <c r="L221" s="205"/>
      <c r="M221" s="186"/>
      <c r="N221" s="186"/>
      <c r="O221" s="186"/>
      <c r="P221" s="186"/>
      <c r="Q221" s="186"/>
      <c r="R221" s="186"/>
      <c r="S221" s="186"/>
      <c r="T221" s="186"/>
      <c r="U221" s="186"/>
      <c r="V221" s="186"/>
      <c r="W221" s="186"/>
      <c r="X221" s="186"/>
      <c r="Y221" s="186"/>
      <c r="Z221" s="186"/>
      <c r="AA221" s="186"/>
      <c r="AB221" s="186"/>
      <c r="AC221" s="186"/>
      <c r="AD221" s="186"/>
      <c r="AE221" s="186"/>
    </row>
    <row r="222">
      <c r="A222" s="178"/>
      <c r="B222" s="36"/>
      <c r="C222" s="36"/>
      <c r="D222" s="197"/>
      <c r="E222" s="180"/>
      <c r="F222" s="181"/>
      <c r="G222" s="205"/>
      <c r="H222" s="205"/>
      <c r="I222" s="205"/>
      <c r="J222" s="205"/>
      <c r="K222" s="205"/>
      <c r="L222" s="205"/>
      <c r="M222" s="186"/>
      <c r="N222" s="186"/>
      <c r="O222" s="186"/>
      <c r="P222" s="186"/>
      <c r="Q222" s="186"/>
      <c r="R222" s="186"/>
      <c r="S222" s="186"/>
      <c r="T222" s="186"/>
      <c r="U222" s="186"/>
      <c r="V222" s="186"/>
      <c r="W222" s="186"/>
      <c r="X222" s="186"/>
      <c r="Y222" s="186"/>
      <c r="Z222" s="186"/>
      <c r="AA222" s="186"/>
      <c r="AB222" s="186"/>
      <c r="AC222" s="186"/>
      <c r="AD222" s="186"/>
      <c r="AE222" s="186"/>
    </row>
    <row r="223">
      <c r="A223" s="178"/>
      <c r="B223" s="36"/>
      <c r="C223" s="36"/>
      <c r="D223" s="197"/>
      <c r="E223" s="180"/>
      <c r="F223" s="181"/>
      <c r="G223" s="205"/>
      <c r="H223" s="205"/>
      <c r="I223" s="205"/>
      <c r="J223" s="205"/>
      <c r="K223" s="205"/>
      <c r="L223" s="205"/>
      <c r="M223" s="186"/>
      <c r="N223" s="186"/>
      <c r="O223" s="186"/>
      <c r="P223" s="186"/>
      <c r="Q223" s="186"/>
      <c r="R223" s="186"/>
      <c r="S223" s="186"/>
      <c r="T223" s="186"/>
      <c r="U223" s="186"/>
      <c r="V223" s="186"/>
      <c r="W223" s="186"/>
      <c r="X223" s="186"/>
      <c r="Y223" s="186"/>
      <c r="Z223" s="186"/>
      <c r="AA223" s="186"/>
      <c r="AB223" s="186"/>
      <c r="AC223" s="186"/>
      <c r="AD223" s="186"/>
      <c r="AE223" s="186"/>
    </row>
    <row r="224">
      <c r="A224" s="178"/>
      <c r="B224" s="36"/>
      <c r="C224" s="36"/>
      <c r="D224" s="197"/>
      <c r="E224" s="180"/>
      <c r="F224" s="181"/>
      <c r="G224" s="205"/>
      <c r="H224" s="205"/>
      <c r="I224" s="205"/>
      <c r="J224" s="205"/>
      <c r="K224" s="205"/>
      <c r="L224" s="205"/>
      <c r="M224" s="186"/>
      <c r="N224" s="186"/>
      <c r="O224" s="186"/>
      <c r="P224" s="186"/>
      <c r="Q224" s="186"/>
      <c r="R224" s="186"/>
      <c r="S224" s="186"/>
      <c r="T224" s="186"/>
      <c r="U224" s="186"/>
      <c r="V224" s="186"/>
      <c r="W224" s="186"/>
      <c r="X224" s="186"/>
      <c r="Y224" s="186"/>
      <c r="Z224" s="186"/>
      <c r="AA224" s="186"/>
      <c r="AB224" s="186"/>
      <c r="AC224" s="186"/>
      <c r="AD224" s="186"/>
      <c r="AE224" s="186"/>
    </row>
    <row r="225">
      <c r="A225" s="178"/>
      <c r="B225" s="36"/>
      <c r="C225" s="36"/>
      <c r="D225" s="197"/>
      <c r="E225" s="180"/>
      <c r="F225" s="181"/>
      <c r="G225" s="205"/>
      <c r="H225" s="205"/>
      <c r="I225" s="205"/>
      <c r="J225" s="205"/>
      <c r="K225" s="205"/>
      <c r="L225" s="205"/>
      <c r="M225" s="186"/>
      <c r="N225" s="186"/>
      <c r="O225" s="186"/>
      <c r="P225" s="186"/>
      <c r="Q225" s="186"/>
      <c r="R225" s="186"/>
      <c r="S225" s="186"/>
      <c r="T225" s="186"/>
      <c r="U225" s="186"/>
      <c r="V225" s="186"/>
      <c r="W225" s="186"/>
      <c r="X225" s="186"/>
      <c r="Y225" s="186"/>
      <c r="Z225" s="186"/>
      <c r="AA225" s="186"/>
      <c r="AB225" s="186"/>
      <c r="AC225" s="186"/>
      <c r="AD225" s="186"/>
      <c r="AE225" s="186"/>
    </row>
    <row r="226">
      <c r="A226" s="178"/>
      <c r="B226" s="36"/>
      <c r="C226" s="36"/>
      <c r="D226" s="197"/>
      <c r="E226" s="180"/>
      <c r="F226" s="181"/>
      <c r="G226" s="205"/>
      <c r="H226" s="205"/>
      <c r="I226" s="205"/>
      <c r="J226" s="205"/>
      <c r="K226" s="205"/>
      <c r="L226" s="205"/>
      <c r="M226" s="186"/>
      <c r="N226" s="186"/>
      <c r="O226" s="186"/>
      <c r="P226" s="186"/>
      <c r="Q226" s="186"/>
      <c r="R226" s="186"/>
      <c r="S226" s="186"/>
      <c r="T226" s="186"/>
      <c r="U226" s="186"/>
      <c r="V226" s="186"/>
      <c r="W226" s="186"/>
      <c r="X226" s="186"/>
      <c r="Y226" s="186"/>
      <c r="Z226" s="186"/>
      <c r="AA226" s="186"/>
      <c r="AB226" s="186"/>
      <c r="AC226" s="186"/>
      <c r="AD226" s="186"/>
      <c r="AE226" s="186"/>
    </row>
    <row r="227">
      <c r="A227" s="178"/>
      <c r="B227" s="36"/>
      <c r="C227" s="36"/>
      <c r="D227" s="197"/>
      <c r="E227" s="180"/>
      <c r="F227" s="181"/>
      <c r="G227" s="205"/>
      <c r="H227" s="205"/>
      <c r="I227" s="205"/>
      <c r="J227" s="205"/>
      <c r="K227" s="205"/>
      <c r="L227" s="205"/>
      <c r="M227" s="186"/>
      <c r="N227" s="186"/>
      <c r="O227" s="186"/>
      <c r="P227" s="186"/>
      <c r="Q227" s="186"/>
      <c r="R227" s="186"/>
      <c r="S227" s="186"/>
      <c r="T227" s="186"/>
      <c r="U227" s="186"/>
      <c r="V227" s="186"/>
      <c r="W227" s="186"/>
      <c r="X227" s="186"/>
      <c r="Y227" s="186"/>
      <c r="Z227" s="186"/>
      <c r="AA227" s="186"/>
      <c r="AB227" s="186"/>
      <c r="AC227" s="186"/>
      <c r="AD227" s="186"/>
      <c r="AE227" s="186"/>
    </row>
    <row r="228">
      <c r="A228" s="178"/>
      <c r="B228" s="36"/>
      <c r="C228" s="36"/>
      <c r="D228" s="197"/>
      <c r="E228" s="180"/>
      <c r="F228" s="181"/>
      <c r="G228" s="205"/>
      <c r="H228" s="205"/>
      <c r="I228" s="205"/>
      <c r="J228" s="205"/>
      <c r="K228" s="205"/>
      <c r="L228" s="205"/>
      <c r="M228" s="186"/>
      <c r="N228" s="186"/>
      <c r="O228" s="186"/>
      <c r="P228" s="186"/>
      <c r="Q228" s="186"/>
      <c r="R228" s="186"/>
      <c r="S228" s="186"/>
      <c r="T228" s="186"/>
      <c r="U228" s="186"/>
      <c r="V228" s="186"/>
      <c r="W228" s="186"/>
      <c r="X228" s="186"/>
      <c r="Y228" s="186"/>
      <c r="Z228" s="186"/>
      <c r="AA228" s="186"/>
      <c r="AB228" s="186"/>
      <c r="AC228" s="186"/>
      <c r="AD228" s="186"/>
      <c r="AE228" s="186"/>
    </row>
    <row r="229">
      <c r="A229" s="178"/>
      <c r="B229" s="36"/>
      <c r="C229" s="36"/>
      <c r="D229" s="197"/>
      <c r="E229" s="180"/>
      <c r="F229" s="181"/>
      <c r="G229" s="205"/>
      <c r="H229" s="205"/>
      <c r="I229" s="205"/>
      <c r="J229" s="205"/>
      <c r="K229" s="205"/>
      <c r="L229" s="205"/>
      <c r="M229" s="186"/>
      <c r="N229" s="186"/>
      <c r="O229" s="186"/>
      <c r="P229" s="186"/>
      <c r="Q229" s="186"/>
      <c r="R229" s="186"/>
      <c r="S229" s="186"/>
      <c r="T229" s="186"/>
      <c r="U229" s="186"/>
      <c r="V229" s="186"/>
      <c r="W229" s="186"/>
      <c r="X229" s="186"/>
      <c r="Y229" s="186"/>
      <c r="Z229" s="186"/>
      <c r="AA229" s="186"/>
      <c r="AB229" s="186"/>
      <c r="AC229" s="186"/>
      <c r="AD229" s="186"/>
      <c r="AE229" s="186"/>
    </row>
    <row r="230">
      <c r="A230" s="178"/>
      <c r="B230" s="36"/>
      <c r="C230" s="36"/>
      <c r="D230" s="197"/>
      <c r="E230" s="180"/>
      <c r="F230" s="181"/>
      <c r="G230" s="205"/>
      <c r="H230" s="205"/>
      <c r="I230" s="205"/>
      <c r="J230" s="205"/>
      <c r="K230" s="205"/>
      <c r="L230" s="205"/>
      <c r="M230" s="186"/>
      <c r="N230" s="186"/>
      <c r="O230" s="186"/>
      <c r="P230" s="186"/>
      <c r="Q230" s="186"/>
      <c r="R230" s="186"/>
      <c r="S230" s="186"/>
      <c r="T230" s="186"/>
      <c r="U230" s="186"/>
      <c r="V230" s="186"/>
      <c r="W230" s="186"/>
      <c r="X230" s="186"/>
      <c r="Y230" s="186"/>
      <c r="Z230" s="186"/>
      <c r="AA230" s="186"/>
      <c r="AB230" s="186"/>
      <c r="AC230" s="186"/>
      <c r="AD230" s="186"/>
      <c r="AE230" s="186"/>
    </row>
    <row r="231">
      <c r="A231" s="178"/>
      <c r="B231" s="36"/>
      <c r="C231" s="36"/>
      <c r="D231" s="197"/>
      <c r="E231" s="180"/>
      <c r="F231" s="181"/>
      <c r="G231" s="205"/>
      <c r="H231" s="205"/>
      <c r="I231" s="205"/>
      <c r="J231" s="205"/>
      <c r="K231" s="205"/>
      <c r="L231" s="205"/>
      <c r="M231" s="186"/>
      <c r="N231" s="186"/>
      <c r="O231" s="186"/>
      <c r="P231" s="186"/>
      <c r="Q231" s="186"/>
      <c r="R231" s="186"/>
      <c r="S231" s="186"/>
      <c r="T231" s="186"/>
      <c r="U231" s="186"/>
      <c r="V231" s="186"/>
      <c r="W231" s="186"/>
      <c r="X231" s="186"/>
      <c r="Y231" s="186"/>
      <c r="Z231" s="186"/>
      <c r="AA231" s="186"/>
      <c r="AB231" s="186"/>
      <c r="AC231" s="186"/>
      <c r="AD231" s="186"/>
      <c r="AE231" s="186"/>
    </row>
    <row r="232">
      <c r="A232" s="178"/>
      <c r="B232" s="36"/>
      <c r="C232" s="36"/>
      <c r="D232" s="197"/>
      <c r="E232" s="180"/>
      <c r="F232" s="181"/>
      <c r="G232" s="205"/>
      <c r="H232" s="205"/>
      <c r="I232" s="205"/>
      <c r="J232" s="205"/>
      <c r="K232" s="205"/>
      <c r="L232" s="205"/>
      <c r="M232" s="186"/>
      <c r="N232" s="186"/>
      <c r="O232" s="186"/>
      <c r="P232" s="186"/>
      <c r="Q232" s="186"/>
      <c r="R232" s="186"/>
      <c r="S232" s="186"/>
      <c r="T232" s="186"/>
      <c r="U232" s="186"/>
      <c r="V232" s="186"/>
      <c r="W232" s="186"/>
      <c r="X232" s="186"/>
      <c r="Y232" s="186"/>
      <c r="Z232" s="186"/>
      <c r="AA232" s="186"/>
      <c r="AB232" s="186"/>
      <c r="AC232" s="186"/>
      <c r="AD232" s="186"/>
      <c r="AE232" s="186"/>
    </row>
    <row r="233">
      <c r="A233" s="178"/>
      <c r="B233" s="36"/>
      <c r="C233" s="36"/>
      <c r="D233" s="197"/>
      <c r="E233" s="180"/>
      <c r="F233" s="181"/>
      <c r="G233" s="205"/>
      <c r="H233" s="205"/>
      <c r="I233" s="205"/>
      <c r="J233" s="205"/>
      <c r="K233" s="205"/>
      <c r="L233" s="205"/>
      <c r="M233" s="186"/>
      <c r="N233" s="186"/>
      <c r="O233" s="186"/>
      <c r="P233" s="186"/>
      <c r="Q233" s="186"/>
      <c r="R233" s="186"/>
      <c r="S233" s="186"/>
      <c r="T233" s="186"/>
      <c r="U233" s="186"/>
      <c r="V233" s="186"/>
      <c r="W233" s="186"/>
      <c r="X233" s="186"/>
      <c r="Y233" s="186"/>
      <c r="Z233" s="186"/>
      <c r="AA233" s="186"/>
      <c r="AB233" s="186"/>
      <c r="AC233" s="186"/>
      <c r="AD233" s="186"/>
      <c r="AE233" s="186"/>
    </row>
    <row r="234">
      <c r="A234" s="178"/>
      <c r="B234" s="36"/>
      <c r="C234" s="36"/>
      <c r="D234" s="197"/>
      <c r="E234" s="180"/>
      <c r="F234" s="181"/>
      <c r="G234" s="205"/>
      <c r="H234" s="205"/>
      <c r="I234" s="205"/>
      <c r="J234" s="205"/>
      <c r="K234" s="205"/>
      <c r="L234" s="205"/>
      <c r="M234" s="186"/>
      <c r="N234" s="186"/>
      <c r="O234" s="186"/>
      <c r="P234" s="186"/>
      <c r="Q234" s="186"/>
      <c r="R234" s="186"/>
      <c r="S234" s="186"/>
      <c r="T234" s="186"/>
      <c r="U234" s="186"/>
      <c r="V234" s="186"/>
      <c r="W234" s="186"/>
      <c r="X234" s="186"/>
      <c r="Y234" s="186"/>
      <c r="Z234" s="186"/>
      <c r="AA234" s="186"/>
      <c r="AB234" s="186"/>
      <c r="AC234" s="186"/>
      <c r="AD234" s="186"/>
      <c r="AE234" s="186"/>
    </row>
    <row r="235">
      <c r="A235" s="178"/>
      <c r="B235" s="36"/>
      <c r="C235" s="36"/>
      <c r="D235" s="197"/>
      <c r="E235" s="180"/>
      <c r="F235" s="181"/>
      <c r="G235" s="205"/>
      <c r="H235" s="205"/>
      <c r="I235" s="205"/>
      <c r="J235" s="205"/>
      <c r="K235" s="205"/>
      <c r="L235" s="205"/>
      <c r="M235" s="186"/>
      <c r="N235" s="186"/>
      <c r="O235" s="186"/>
      <c r="P235" s="186"/>
      <c r="Q235" s="186"/>
      <c r="R235" s="186"/>
      <c r="S235" s="186"/>
      <c r="T235" s="186"/>
      <c r="U235" s="186"/>
      <c r="V235" s="186"/>
      <c r="W235" s="186"/>
      <c r="X235" s="186"/>
      <c r="Y235" s="186"/>
      <c r="Z235" s="186"/>
      <c r="AA235" s="186"/>
      <c r="AB235" s="186"/>
      <c r="AC235" s="186"/>
      <c r="AD235" s="186"/>
      <c r="AE235" s="186"/>
    </row>
    <row r="236">
      <c r="A236" s="178"/>
      <c r="B236" s="36"/>
      <c r="C236" s="36"/>
      <c r="D236" s="197"/>
      <c r="E236" s="180"/>
      <c r="F236" s="181"/>
      <c r="G236" s="205"/>
      <c r="H236" s="205"/>
      <c r="I236" s="205"/>
      <c r="J236" s="205"/>
      <c r="K236" s="205"/>
      <c r="L236" s="205"/>
      <c r="M236" s="186"/>
      <c r="N236" s="186"/>
      <c r="O236" s="186"/>
      <c r="P236" s="186"/>
      <c r="Q236" s="186"/>
      <c r="R236" s="186"/>
      <c r="S236" s="186"/>
      <c r="T236" s="186"/>
      <c r="U236" s="186"/>
      <c r="V236" s="186"/>
      <c r="W236" s="186"/>
      <c r="X236" s="186"/>
      <c r="Y236" s="186"/>
      <c r="Z236" s="186"/>
      <c r="AA236" s="186"/>
      <c r="AB236" s="186"/>
      <c r="AC236" s="186"/>
      <c r="AD236" s="186"/>
      <c r="AE236" s="186"/>
    </row>
    <row r="237">
      <c r="A237" s="178"/>
      <c r="B237" s="36"/>
      <c r="C237" s="36"/>
      <c r="D237" s="197"/>
      <c r="E237" s="180"/>
      <c r="F237" s="181"/>
      <c r="G237" s="205"/>
      <c r="H237" s="205"/>
      <c r="I237" s="205"/>
      <c r="J237" s="205"/>
      <c r="K237" s="205"/>
      <c r="L237" s="205"/>
      <c r="M237" s="186"/>
      <c r="N237" s="186"/>
      <c r="O237" s="186"/>
      <c r="P237" s="186"/>
      <c r="Q237" s="186"/>
      <c r="R237" s="186"/>
      <c r="S237" s="186"/>
      <c r="T237" s="186"/>
      <c r="U237" s="186"/>
      <c r="V237" s="186"/>
      <c r="W237" s="186"/>
      <c r="X237" s="186"/>
      <c r="Y237" s="186"/>
      <c r="Z237" s="186"/>
      <c r="AA237" s="186"/>
      <c r="AB237" s="186"/>
      <c r="AC237" s="186"/>
      <c r="AD237" s="186"/>
      <c r="AE237" s="186"/>
    </row>
    <row r="238">
      <c r="A238" s="178"/>
      <c r="B238" s="36"/>
      <c r="C238" s="36"/>
      <c r="D238" s="197"/>
      <c r="E238" s="180"/>
      <c r="F238" s="181"/>
      <c r="G238" s="205"/>
      <c r="H238" s="205"/>
      <c r="I238" s="205"/>
      <c r="J238" s="205"/>
      <c r="K238" s="205"/>
      <c r="L238" s="205"/>
      <c r="M238" s="186"/>
      <c r="N238" s="186"/>
      <c r="O238" s="186"/>
      <c r="P238" s="186"/>
      <c r="Q238" s="186"/>
      <c r="R238" s="186"/>
      <c r="S238" s="186"/>
      <c r="T238" s="186"/>
      <c r="U238" s="186"/>
      <c r="V238" s="186"/>
      <c r="W238" s="186"/>
      <c r="X238" s="186"/>
      <c r="Y238" s="186"/>
      <c r="Z238" s="186"/>
      <c r="AA238" s="186"/>
      <c r="AB238" s="186"/>
      <c r="AC238" s="186"/>
      <c r="AD238" s="186"/>
      <c r="AE238" s="186"/>
    </row>
    <row r="239">
      <c r="A239" s="178"/>
      <c r="B239" s="36"/>
      <c r="C239" s="36"/>
      <c r="D239" s="197"/>
      <c r="E239" s="180"/>
      <c r="F239" s="181"/>
      <c r="G239" s="205"/>
      <c r="H239" s="205"/>
      <c r="I239" s="205"/>
      <c r="J239" s="205"/>
      <c r="K239" s="205"/>
      <c r="L239" s="205"/>
      <c r="M239" s="186"/>
      <c r="N239" s="186"/>
      <c r="O239" s="186"/>
      <c r="P239" s="186"/>
      <c r="Q239" s="186"/>
      <c r="R239" s="186"/>
      <c r="S239" s="186"/>
      <c r="T239" s="186"/>
      <c r="U239" s="186"/>
      <c r="V239" s="186"/>
      <c r="W239" s="186"/>
      <c r="X239" s="186"/>
      <c r="Y239" s="186"/>
      <c r="Z239" s="186"/>
      <c r="AA239" s="186"/>
      <c r="AB239" s="186"/>
      <c r="AC239" s="186"/>
      <c r="AD239" s="186"/>
      <c r="AE239" s="186"/>
    </row>
    <row r="240">
      <c r="A240" s="178"/>
      <c r="B240" s="36"/>
      <c r="C240" s="36"/>
      <c r="D240" s="197"/>
      <c r="E240" s="180"/>
      <c r="F240" s="181"/>
      <c r="G240" s="205"/>
      <c r="H240" s="205"/>
      <c r="I240" s="205"/>
      <c r="J240" s="205"/>
      <c r="K240" s="205"/>
      <c r="L240" s="205"/>
      <c r="M240" s="186"/>
      <c r="N240" s="186"/>
      <c r="O240" s="186"/>
      <c r="P240" s="186"/>
      <c r="Q240" s="186"/>
      <c r="R240" s="186"/>
      <c r="S240" s="186"/>
      <c r="T240" s="186"/>
      <c r="U240" s="186"/>
      <c r="V240" s="186"/>
      <c r="W240" s="186"/>
      <c r="X240" s="186"/>
      <c r="Y240" s="186"/>
      <c r="Z240" s="186"/>
      <c r="AA240" s="186"/>
      <c r="AB240" s="186"/>
      <c r="AC240" s="186"/>
      <c r="AD240" s="186"/>
      <c r="AE240" s="186"/>
    </row>
    <row r="241">
      <c r="A241" s="178"/>
      <c r="B241" s="36"/>
      <c r="C241" s="36"/>
      <c r="D241" s="197"/>
      <c r="E241" s="180"/>
      <c r="F241" s="181"/>
      <c r="G241" s="205"/>
      <c r="H241" s="205"/>
      <c r="I241" s="205"/>
      <c r="J241" s="205"/>
      <c r="K241" s="205"/>
      <c r="L241" s="205"/>
      <c r="M241" s="186"/>
      <c r="N241" s="186"/>
      <c r="O241" s="186"/>
      <c r="P241" s="186"/>
      <c r="Q241" s="186"/>
      <c r="R241" s="186"/>
      <c r="S241" s="186"/>
      <c r="T241" s="186"/>
      <c r="U241" s="186"/>
      <c r="V241" s="186"/>
      <c r="W241" s="186"/>
      <c r="X241" s="186"/>
      <c r="Y241" s="186"/>
      <c r="Z241" s="186"/>
      <c r="AA241" s="186"/>
      <c r="AB241" s="186"/>
      <c r="AC241" s="186"/>
      <c r="AD241" s="186"/>
      <c r="AE241" s="186"/>
    </row>
    <row r="242">
      <c r="A242" s="178"/>
      <c r="B242" s="36"/>
      <c r="C242" s="36"/>
      <c r="D242" s="197"/>
      <c r="E242" s="180"/>
      <c r="F242" s="181"/>
      <c r="G242" s="205"/>
      <c r="H242" s="205"/>
      <c r="I242" s="205"/>
      <c r="J242" s="205"/>
      <c r="K242" s="205"/>
      <c r="L242" s="205"/>
      <c r="M242" s="186"/>
      <c r="N242" s="186"/>
      <c r="O242" s="186"/>
      <c r="P242" s="186"/>
      <c r="Q242" s="186"/>
      <c r="R242" s="186"/>
      <c r="S242" s="186"/>
      <c r="T242" s="186"/>
      <c r="U242" s="186"/>
      <c r="V242" s="186"/>
      <c r="W242" s="186"/>
      <c r="X242" s="186"/>
      <c r="Y242" s="186"/>
      <c r="Z242" s="186"/>
      <c r="AA242" s="186"/>
      <c r="AB242" s="186"/>
      <c r="AC242" s="186"/>
      <c r="AD242" s="186"/>
      <c r="AE242" s="186"/>
    </row>
    <row r="243">
      <c r="A243" s="178"/>
      <c r="B243" s="36"/>
      <c r="C243" s="36"/>
      <c r="D243" s="197"/>
      <c r="E243" s="180"/>
      <c r="F243" s="181"/>
      <c r="G243" s="205"/>
      <c r="H243" s="205"/>
      <c r="I243" s="205"/>
      <c r="J243" s="205"/>
      <c r="K243" s="205"/>
      <c r="L243" s="205"/>
      <c r="M243" s="186"/>
      <c r="N243" s="186"/>
      <c r="O243" s="186"/>
      <c r="P243" s="186"/>
      <c r="Q243" s="186"/>
      <c r="R243" s="186"/>
      <c r="S243" s="186"/>
      <c r="T243" s="186"/>
      <c r="U243" s="186"/>
      <c r="V243" s="186"/>
      <c r="W243" s="186"/>
      <c r="X243" s="186"/>
      <c r="Y243" s="186"/>
      <c r="Z243" s="186"/>
      <c r="AA243" s="186"/>
      <c r="AB243" s="186"/>
      <c r="AC243" s="186"/>
      <c r="AD243" s="186"/>
      <c r="AE243" s="186"/>
    </row>
    <row r="244">
      <c r="A244" s="178"/>
      <c r="B244" s="36"/>
      <c r="C244" s="36"/>
      <c r="D244" s="197"/>
      <c r="E244" s="180"/>
      <c r="F244" s="181"/>
      <c r="G244" s="205"/>
      <c r="H244" s="205"/>
      <c r="I244" s="205"/>
      <c r="J244" s="205"/>
      <c r="K244" s="205"/>
      <c r="L244" s="205"/>
      <c r="M244" s="186"/>
      <c r="N244" s="186"/>
      <c r="O244" s="186"/>
      <c r="P244" s="186"/>
      <c r="Q244" s="186"/>
      <c r="R244" s="186"/>
      <c r="S244" s="186"/>
      <c r="T244" s="186"/>
      <c r="U244" s="186"/>
      <c r="V244" s="186"/>
      <c r="W244" s="186"/>
      <c r="X244" s="186"/>
      <c r="Y244" s="186"/>
      <c r="Z244" s="186"/>
      <c r="AA244" s="186"/>
      <c r="AB244" s="186"/>
      <c r="AC244" s="186"/>
      <c r="AD244" s="186"/>
      <c r="AE244" s="186"/>
    </row>
    <row r="245">
      <c r="A245" s="178"/>
      <c r="B245" s="36"/>
      <c r="C245" s="36"/>
      <c r="D245" s="197"/>
      <c r="E245" s="180"/>
      <c r="F245" s="181"/>
      <c r="G245" s="205"/>
      <c r="H245" s="205"/>
      <c r="I245" s="205"/>
      <c r="J245" s="205"/>
      <c r="K245" s="205"/>
      <c r="L245" s="205"/>
      <c r="M245" s="186"/>
      <c r="N245" s="186"/>
      <c r="O245" s="186"/>
      <c r="P245" s="186"/>
      <c r="Q245" s="186"/>
      <c r="R245" s="186"/>
      <c r="S245" s="186"/>
      <c r="T245" s="186"/>
      <c r="U245" s="186"/>
      <c r="V245" s="186"/>
      <c r="W245" s="186"/>
      <c r="X245" s="186"/>
      <c r="Y245" s="186"/>
      <c r="Z245" s="186"/>
      <c r="AA245" s="186"/>
      <c r="AB245" s="186"/>
      <c r="AC245" s="186"/>
      <c r="AD245" s="186"/>
      <c r="AE245" s="186"/>
    </row>
    <row r="246">
      <c r="A246" s="178"/>
      <c r="B246" s="36"/>
      <c r="C246" s="36"/>
      <c r="D246" s="197"/>
      <c r="E246" s="180"/>
      <c r="F246" s="181"/>
      <c r="G246" s="205"/>
      <c r="H246" s="205"/>
      <c r="I246" s="205"/>
      <c r="J246" s="205"/>
      <c r="K246" s="205"/>
      <c r="L246" s="205"/>
      <c r="M246" s="186"/>
      <c r="N246" s="186"/>
      <c r="O246" s="186"/>
      <c r="P246" s="186"/>
      <c r="Q246" s="186"/>
      <c r="R246" s="186"/>
      <c r="S246" s="186"/>
      <c r="T246" s="186"/>
      <c r="U246" s="186"/>
      <c r="V246" s="186"/>
      <c r="W246" s="186"/>
      <c r="X246" s="186"/>
      <c r="Y246" s="186"/>
      <c r="Z246" s="186"/>
      <c r="AA246" s="186"/>
      <c r="AB246" s="186"/>
      <c r="AC246" s="186"/>
      <c r="AD246" s="186"/>
      <c r="AE246" s="186"/>
    </row>
    <row r="247">
      <c r="A247" s="178"/>
      <c r="B247" s="36"/>
      <c r="C247" s="36"/>
      <c r="D247" s="197"/>
      <c r="E247" s="180"/>
      <c r="F247" s="181"/>
      <c r="G247" s="205"/>
      <c r="H247" s="205"/>
      <c r="I247" s="205"/>
      <c r="J247" s="205"/>
      <c r="K247" s="205"/>
      <c r="L247" s="205"/>
      <c r="M247" s="186"/>
      <c r="N247" s="186"/>
      <c r="O247" s="186"/>
      <c r="P247" s="186"/>
      <c r="Q247" s="186"/>
      <c r="R247" s="186"/>
      <c r="S247" s="186"/>
      <c r="T247" s="186"/>
      <c r="U247" s="186"/>
      <c r="V247" s="186"/>
      <c r="W247" s="186"/>
      <c r="X247" s="186"/>
      <c r="Y247" s="186"/>
      <c r="Z247" s="186"/>
      <c r="AA247" s="186"/>
      <c r="AB247" s="186"/>
      <c r="AC247" s="186"/>
      <c r="AD247" s="186"/>
      <c r="AE247" s="186"/>
    </row>
    <row r="248">
      <c r="A248" s="178"/>
      <c r="B248" s="36"/>
      <c r="C248" s="36"/>
      <c r="D248" s="197"/>
      <c r="E248" s="180"/>
      <c r="F248" s="181"/>
      <c r="G248" s="205"/>
      <c r="H248" s="205"/>
      <c r="I248" s="205"/>
      <c r="J248" s="205"/>
      <c r="K248" s="205"/>
      <c r="L248" s="205"/>
      <c r="M248" s="186"/>
      <c r="N248" s="186"/>
      <c r="O248" s="186"/>
      <c r="P248" s="186"/>
      <c r="Q248" s="186"/>
      <c r="R248" s="186"/>
      <c r="S248" s="186"/>
      <c r="T248" s="186"/>
      <c r="U248" s="186"/>
      <c r="V248" s="186"/>
      <c r="W248" s="186"/>
      <c r="X248" s="186"/>
      <c r="Y248" s="186"/>
      <c r="Z248" s="186"/>
      <c r="AA248" s="186"/>
      <c r="AB248" s="186"/>
      <c r="AC248" s="186"/>
      <c r="AD248" s="186"/>
      <c r="AE248" s="186"/>
    </row>
    <row r="249">
      <c r="A249" s="178"/>
      <c r="B249" s="36"/>
      <c r="C249" s="36"/>
      <c r="D249" s="197"/>
      <c r="E249" s="180"/>
      <c r="F249" s="181"/>
      <c r="G249" s="205"/>
      <c r="H249" s="205"/>
      <c r="I249" s="205"/>
      <c r="J249" s="205"/>
      <c r="K249" s="205"/>
      <c r="L249" s="205"/>
      <c r="M249" s="186"/>
      <c r="N249" s="186"/>
      <c r="O249" s="186"/>
      <c r="P249" s="186"/>
      <c r="Q249" s="186"/>
      <c r="R249" s="186"/>
      <c r="S249" s="186"/>
      <c r="T249" s="186"/>
      <c r="U249" s="186"/>
      <c r="V249" s="186"/>
      <c r="W249" s="186"/>
      <c r="X249" s="186"/>
      <c r="Y249" s="186"/>
      <c r="Z249" s="186"/>
      <c r="AA249" s="186"/>
      <c r="AB249" s="186"/>
      <c r="AC249" s="186"/>
      <c r="AD249" s="186"/>
      <c r="AE249" s="186"/>
    </row>
    <row r="250">
      <c r="A250" s="178"/>
      <c r="B250" s="36"/>
      <c r="C250" s="36"/>
      <c r="D250" s="197"/>
      <c r="E250" s="180"/>
      <c r="F250" s="181"/>
      <c r="G250" s="205"/>
      <c r="H250" s="205"/>
      <c r="I250" s="205"/>
      <c r="J250" s="205"/>
      <c r="K250" s="205"/>
      <c r="L250" s="205"/>
      <c r="M250" s="186"/>
      <c r="N250" s="186"/>
      <c r="O250" s="186"/>
      <c r="P250" s="186"/>
      <c r="Q250" s="186"/>
      <c r="R250" s="186"/>
      <c r="S250" s="186"/>
      <c r="T250" s="186"/>
      <c r="U250" s="186"/>
      <c r="V250" s="186"/>
      <c r="W250" s="186"/>
      <c r="X250" s="186"/>
      <c r="Y250" s="186"/>
      <c r="Z250" s="186"/>
      <c r="AA250" s="186"/>
      <c r="AB250" s="186"/>
      <c r="AC250" s="186"/>
      <c r="AD250" s="186"/>
      <c r="AE250" s="186"/>
    </row>
    <row r="251">
      <c r="A251" s="178"/>
      <c r="B251" s="36"/>
      <c r="C251" s="36"/>
      <c r="D251" s="197"/>
      <c r="E251" s="180"/>
      <c r="F251" s="181"/>
      <c r="G251" s="205"/>
      <c r="H251" s="205"/>
      <c r="I251" s="205"/>
      <c r="J251" s="205"/>
      <c r="K251" s="205"/>
      <c r="L251" s="205"/>
      <c r="M251" s="186"/>
      <c r="N251" s="186"/>
      <c r="O251" s="186"/>
      <c r="P251" s="186"/>
      <c r="Q251" s="186"/>
      <c r="R251" s="186"/>
      <c r="S251" s="186"/>
      <c r="T251" s="186"/>
      <c r="U251" s="186"/>
      <c r="V251" s="186"/>
      <c r="W251" s="186"/>
      <c r="X251" s="186"/>
      <c r="Y251" s="186"/>
      <c r="Z251" s="186"/>
      <c r="AA251" s="186"/>
      <c r="AB251" s="186"/>
      <c r="AC251" s="186"/>
      <c r="AD251" s="186"/>
      <c r="AE251" s="186"/>
    </row>
    <row r="252">
      <c r="A252" s="178"/>
      <c r="B252" s="36"/>
      <c r="C252" s="36"/>
      <c r="D252" s="197"/>
      <c r="E252" s="180"/>
      <c r="F252" s="181"/>
      <c r="G252" s="205"/>
      <c r="H252" s="205"/>
      <c r="I252" s="205"/>
      <c r="J252" s="205"/>
      <c r="K252" s="205"/>
      <c r="L252" s="205"/>
      <c r="M252" s="186"/>
      <c r="N252" s="186"/>
      <c r="O252" s="186"/>
      <c r="P252" s="186"/>
      <c r="Q252" s="186"/>
      <c r="R252" s="186"/>
      <c r="S252" s="186"/>
      <c r="T252" s="186"/>
      <c r="U252" s="186"/>
      <c r="V252" s="186"/>
      <c r="W252" s="186"/>
      <c r="X252" s="186"/>
      <c r="Y252" s="186"/>
      <c r="Z252" s="186"/>
      <c r="AA252" s="186"/>
      <c r="AB252" s="186"/>
      <c r="AC252" s="186"/>
      <c r="AD252" s="186"/>
      <c r="AE252" s="186"/>
    </row>
    <row r="253">
      <c r="A253" s="178"/>
      <c r="B253" s="36"/>
      <c r="C253" s="36"/>
      <c r="D253" s="197"/>
      <c r="E253" s="180"/>
      <c r="F253" s="181"/>
      <c r="G253" s="205"/>
      <c r="H253" s="205"/>
      <c r="I253" s="205"/>
      <c r="J253" s="205"/>
      <c r="K253" s="205"/>
      <c r="L253" s="205"/>
      <c r="M253" s="186"/>
      <c r="N253" s="186"/>
      <c r="O253" s="186"/>
      <c r="P253" s="186"/>
      <c r="Q253" s="186"/>
      <c r="R253" s="186"/>
      <c r="S253" s="186"/>
      <c r="T253" s="186"/>
      <c r="U253" s="186"/>
      <c r="V253" s="186"/>
      <c r="W253" s="186"/>
      <c r="X253" s="186"/>
      <c r="Y253" s="186"/>
      <c r="Z253" s="186"/>
      <c r="AA253" s="186"/>
      <c r="AB253" s="186"/>
      <c r="AC253" s="186"/>
      <c r="AD253" s="186"/>
      <c r="AE253" s="186"/>
    </row>
    <row r="254">
      <c r="A254" s="178"/>
      <c r="B254" s="36"/>
      <c r="C254" s="36"/>
      <c r="D254" s="197"/>
      <c r="E254" s="180"/>
      <c r="F254" s="181"/>
      <c r="G254" s="205"/>
      <c r="H254" s="205"/>
      <c r="I254" s="205"/>
      <c r="J254" s="205"/>
      <c r="K254" s="205"/>
      <c r="L254" s="205"/>
      <c r="M254" s="186"/>
      <c r="N254" s="186"/>
      <c r="O254" s="186"/>
      <c r="P254" s="186"/>
      <c r="Q254" s="186"/>
      <c r="R254" s="186"/>
      <c r="S254" s="186"/>
      <c r="T254" s="186"/>
      <c r="U254" s="186"/>
      <c r="V254" s="186"/>
      <c r="W254" s="186"/>
      <c r="X254" s="186"/>
      <c r="Y254" s="186"/>
      <c r="Z254" s="186"/>
      <c r="AA254" s="186"/>
      <c r="AB254" s="186"/>
      <c r="AC254" s="186"/>
      <c r="AD254" s="186"/>
      <c r="AE254" s="186"/>
    </row>
    <row r="255">
      <c r="A255" s="178"/>
      <c r="B255" s="36"/>
      <c r="C255" s="36"/>
      <c r="D255" s="197"/>
      <c r="E255" s="180"/>
      <c r="F255" s="181"/>
      <c r="G255" s="205"/>
      <c r="H255" s="205"/>
      <c r="I255" s="205"/>
      <c r="J255" s="205"/>
      <c r="K255" s="205"/>
      <c r="L255" s="205"/>
      <c r="M255" s="186"/>
      <c r="N255" s="186"/>
      <c r="O255" s="186"/>
      <c r="P255" s="186"/>
      <c r="Q255" s="186"/>
      <c r="R255" s="186"/>
      <c r="S255" s="186"/>
      <c r="T255" s="186"/>
      <c r="U255" s="186"/>
      <c r="V255" s="186"/>
      <c r="W255" s="186"/>
      <c r="X255" s="186"/>
      <c r="Y255" s="186"/>
      <c r="Z255" s="186"/>
      <c r="AA255" s="186"/>
      <c r="AB255" s="186"/>
      <c r="AC255" s="186"/>
      <c r="AD255" s="186"/>
      <c r="AE255" s="186"/>
    </row>
    <row r="256">
      <c r="A256" s="178"/>
      <c r="B256" s="36"/>
      <c r="C256" s="36"/>
      <c r="D256" s="197"/>
      <c r="E256" s="180"/>
      <c r="F256" s="181"/>
      <c r="G256" s="205"/>
      <c r="H256" s="205"/>
      <c r="I256" s="205"/>
      <c r="J256" s="205"/>
      <c r="K256" s="205"/>
      <c r="L256" s="205"/>
      <c r="M256" s="186"/>
      <c r="N256" s="186"/>
      <c r="O256" s="186"/>
      <c r="P256" s="186"/>
      <c r="Q256" s="186"/>
      <c r="R256" s="186"/>
      <c r="S256" s="186"/>
      <c r="T256" s="186"/>
      <c r="U256" s="186"/>
      <c r="V256" s="186"/>
      <c r="W256" s="186"/>
      <c r="X256" s="186"/>
      <c r="Y256" s="186"/>
      <c r="Z256" s="186"/>
      <c r="AA256" s="186"/>
      <c r="AB256" s="186"/>
      <c r="AC256" s="186"/>
      <c r="AD256" s="186"/>
      <c r="AE256" s="186"/>
    </row>
    <row r="257">
      <c r="A257" s="178"/>
      <c r="B257" s="36"/>
      <c r="C257" s="36"/>
      <c r="D257" s="197"/>
      <c r="E257" s="180"/>
      <c r="F257" s="181"/>
      <c r="G257" s="205"/>
      <c r="H257" s="205"/>
      <c r="I257" s="205"/>
      <c r="J257" s="205"/>
      <c r="K257" s="205"/>
      <c r="L257" s="205"/>
      <c r="M257" s="186"/>
      <c r="N257" s="186"/>
      <c r="O257" s="186"/>
      <c r="P257" s="186"/>
      <c r="Q257" s="186"/>
      <c r="R257" s="186"/>
      <c r="S257" s="186"/>
      <c r="T257" s="186"/>
      <c r="U257" s="186"/>
      <c r="V257" s="186"/>
      <c r="W257" s="186"/>
      <c r="X257" s="186"/>
      <c r="Y257" s="186"/>
      <c r="Z257" s="186"/>
      <c r="AA257" s="186"/>
      <c r="AB257" s="186"/>
      <c r="AC257" s="186"/>
      <c r="AD257" s="186"/>
      <c r="AE257" s="186"/>
    </row>
    <row r="258">
      <c r="A258" s="178"/>
      <c r="B258" s="36"/>
      <c r="C258" s="36"/>
      <c r="D258" s="197"/>
      <c r="E258" s="180"/>
      <c r="F258" s="181"/>
      <c r="G258" s="205"/>
      <c r="H258" s="205"/>
      <c r="I258" s="205"/>
      <c r="J258" s="205"/>
      <c r="K258" s="205"/>
      <c r="L258" s="205"/>
      <c r="M258" s="186"/>
      <c r="N258" s="186"/>
      <c r="O258" s="186"/>
      <c r="P258" s="186"/>
      <c r="Q258" s="186"/>
      <c r="R258" s="186"/>
      <c r="S258" s="186"/>
      <c r="T258" s="186"/>
      <c r="U258" s="186"/>
      <c r="V258" s="186"/>
      <c r="W258" s="186"/>
      <c r="X258" s="186"/>
      <c r="Y258" s="186"/>
      <c r="Z258" s="186"/>
      <c r="AA258" s="186"/>
      <c r="AB258" s="186"/>
      <c r="AC258" s="186"/>
      <c r="AD258" s="186"/>
      <c r="AE258" s="186"/>
    </row>
    <row r="259">
      <c r="A259" s="178"/>
      <c r="B259" s="36"/>
      <c r="C259" s="36"/>
      <c r="D259" s="197"/>
      <c r="E259" s="180"/>
      <c r="F259" s="181"/>
      <c r="G259" s="205"/>
      <c r="H259" s="205"/>
      <c r="I259" s="205"/>
      <c r="J259" s="205"/>
      <c r="K259" s="205"/>
      <c r="L259" s="205"/>
      <c r="M259" s="186"/>
      <c r="N259" s="186"/>
      <c r="O259" s="186"/>
      <c r="P259" s="186"/>
      <c r="Q259" s="186"/>
      <c r="R259" s="186"/>
      <c r="S259" s="186"/>
      <c r="T259" s="186"/>
      <c r="U259" s="186"/>
      <c r="V259" s="186"/>
      <c r="W259" s="186"/>
      <c r="X259" s="186"/>
      <c r="Y259" s="186"/>
      <c r="Z259" s="186"/>
      <c r="AA259" s="186"/>
      <c r="AB259" s="186"/>
      <c r="AC259" s="186"/>
      <c r="AD259" s="186"/>
      <c r="AE259" s="186"/>
    </row>
    <row r="260">
      <c r="A260" s="178"/>
      <c r="B260" s="36"/>
      <c r="C260" s="36"/>
      <c r="D260" s="197"/>
      <c r="E260" s="180"/>
      <c r="F260" s="181"/>
      <c r="G260" s="205"/>
      <c r="H260" s="205"/>
      <c r="I260" s="205"/>
      <c r="J260" s="205"/>
      <c r="K260" s="205"/>
      <c r="L260" s="205"/>
      <c r="M260" s="186"/>
      <c r="N260" s="186"/>
      <c r="O260" s="186"/>
      <c r="P260" s="186"/>
      <c r="Q260" s="186"/>
      <c r="R260" s="186"/>
      <c r="S260" s="186"/>
      <c r="T260" s="186"/>
      <c r="U260" s="186"/>
      <c r="V260" s="186"/>
      <c r="W260" s="186"/>
      <c r="X260" s="186"/>
      <c r="Y260" s="186"/>
      <c r="Z260" s="186"/>
      <c r="AA260" s="186"/>
      <c r="AB260" s="186"/>
      <c r="AC260" s="186"/>
      <c r="AD260" s="186"/>
      <c r="AE260" s="186"/>
    </row>
    <row r="261">
      <c r="A261" s="178"/>
      <c r="B261" s="36"/>
      <c r="C261" s="36"/>
      <c r="D261" s="197"/>
      <c r="E261" s="180"/>
      <c r="F261" s="181"/>
      <c r="G261" s="205"/>
      <c r="H261" s="205"/>
      <c r="I261" s="205"/>
      <c r="J261" s="205"/>
      <c r="K261" s="205"/>
      <c r="L261" s="205"/>
      <c r="M261" s="186"/>
      <c r="N261" s="186"/>
      <c r="O261" s="186"/>
      <c r="P261" s="186"/>
      <c r="Q261" s="186"/>
      <c r="R261" s="186"/>
      <c r="S261" s="186"/>
      <c r="T261" s="186"/>
      <c r="U261" s="186"/>
      <c r="V261" s="186"/>
      <c r="W261" s="186"/>
      <c r="X261" s="186"/>
      <c r="Y261" s="186"/>
      <c r="Z261" s="186"/>
      <c r="AA261" s="186"/>
      <c r="AB261" s="186"/>
      <c r="AC261" s="186"/>
      <c r="AD261" s="186"/>
      <c r="AE261" s="186"/>
    </row>
    <row r="262">
      <c r="A262" s="178"/>
      <c r="B262" s="36"/>
      <c r="C262" s="36"/>
      <c r="D262" s="197"/>
      <c r="E262" s="180"/>
      <c r="F262" s="181"/>
      <c r="G262" s="205"/>
      <c r="H262" s="205"/>
      <c r="I262" s="205"/>
      <c r="J262" s="205"/>
      <c r="K262" s="205"/>
      <c r="L262" s="205"/>
      <c r="M262" s="186"/>
      <c r="N262" s="186"/>
      <c r="O262" s="186"/>
      <c r="P262" s="186"/>
      <c r="Q262" s="186"/>
      <c r="R262" s="186"/>
      <c r="S262" s="186"/>
      <c r="T262" s="186"/>
      <c r="U262" s="186"/>
      <c r="V262" s="186"/>
      <c r="W262" s="186"/>
      <c r="X262" s="186"/>
      <c r="Y262" s="186"/>
      <c r="Z262" s="186"/>
      <c r="AA262" s="186"/>
      <c r="AB262" s="186"/>
      <c r="AC262" s="186"/>
      <c r="AD262" s="186"/>
      <c r="AE262" s="186"/>
    </row>
    <row r="263">
      <c r="A263" s="178"/>
      <c r="B263" s="36"/>
      <c r="C263" s="36"/>
      <c r="D263" s="197"/>
      <c r="E263" s="180"/>
      <c r="F263" s="181"/>
      <c r="G263" s="205"/>
      <c r="H263" s="205"/>
      <c r="I263" s="205"/>
      <c r="J263" s="205"/>
      <c r="K263" s="205"/>
      <c r="L263" s="205"/>
      <c r="M263" s="186"/>
      <c r="N263" s="186"/>
      <c r="O263" s="186"/>
      <c r="P263" s="186"/>
      <c r="Q263" s="186"/>
      <c r="R263" s="186"/>
      <c r="S263" s="186"/>
      <c r="T263" s="186"/>
      <c r="U263" s="186"/>
      <c r="V263" s="186"/>
      <c r="W263" s="186"/>
      <c r="X263" s="186"/>
      <c r="Y263" s="186"/>
      <c r="Z263" s="186"/>
      <c r="AA263" s="186"/>
      <c r="AB263" s="186"/>
      <c r="AC263" s="186"/>
      <c r="AD263" s="186"/>
      <c r="AE263" s="186"/>
    </row>
    <row r="264">
      <c r="A264" s="178"/>
      <c r="B264" s="36"/>
      <c r="C264" s="36"/>
      <c r="D264" s="197"/>
      <c r="E264" s="180"/>
      <c r="F264" s="181"/>
      <c r="G264" s="205"/>
      <c r="H264" s="205"/>
      <c r="I264" s="205"/>
      <c r="J264" s="205"/>
      <c r="K264" s="205"/>
      <c r="L264" s="205"/>
      <c r="M264" s="186"/>
      <c r="N264" s="186"/>
      <c r="O264" s="186"/>
      <c r="P264" s="186"/>
      <c r="Q264" s="186"/>
      <c r="R264" s="186"/>
      <c r="S264" s="186"/>
      <c r="T264" s="186"/>
      <c r="U264" s="186"/>
      <c r="V264" s="186"/>
      <c r="W264" s="186"/>
      <c r="X264" s="186"/>
      <c r="Y264" s="186"/>
      <c r="Z264" s="186"/>
      <c r="AA264" s="186"/>
      <c r="AB264" s="186"/>
      <c r="AC264" s="186"/>
      <c r="AD264" s="186"/>
      <c r="AE264" s="186"/>
    </row>
    <row r="265">
      <c r="A265" s="178"/>
      <c r="B265" s="36"/>
      <c r="C265" s="36"/>
      <c r="D265" s="197"/>
      <c r="E265" s="180"/>
      <c r="F265" s="181"/>
      <c r="G265" s="205"/>
      <c r="H265" s="205"/>
      <c r="I265" s="205"/>
      <c r="J265" s="205"/>
      <c r="K265" s="205"/>
      <c r="L265" s="205"/>
      <c r="M265" s="186"/>
      <c r="N265" s="186"/>
      <c r="O265" s="186"/>
      <c r="P265" s="186"/>
      <c r="Q265" s="186"/>
      <c r="R265" s="186"/>
      <c r="S265" s="186"/>
      <c r="T265" s="186"/>
      <c r="U265" s="186"/>
      <c r="V265" s="186"/>
      <c r="W265" s="186"/>
      <c r="X265" s="186"/>
      <c r="Y265" s="186"/>
      <c r="Z265" s="186"/>
      <c r="AA265" s="186"/>
      <c r="AB265" s="186"/>
      <c r="AC265" s="186"/>
      <c r="AD265" s="186"/>
      <c r="AE265" s="186"/>
    </row>
    <row r="266">
      <c r="A266" s="178"/>
      <c r="B266" s="36"/>
      <c r="C266" s="36"/>
      <c r="D266" s="197"/>
      <c r="E266" s="180"/>
      <c r="F266" s="181"/>
      <c r="G266" s="205"/>
      <c r="H266" s="205"/>
      <c r="I266" s="205"/>
      <c r="J266" s="205"/>
      <c r="K266" s="205"/>
      <c r="L266" s="205"/>
      <c r="M266" s="186"/>
      <c r="N266" s="186"/>
      <c r="O266" s="186"/>
      <c r="P266" s="186"/>
      <c r="Q266" s="186"/>
      <c r="R266" s="186"/>
      <c r="S266" s="186"/>
      <c r="T266" s="186"/>
      <c r="U266" s="186"/>
      <c r="V266" s="186"/>
      <c r="W266" s="186"/>
      <c r="X266" s="186"/>
      <c r="Y266" s="186"/>
      <c r="Z266" s="186"/>
      <c r="AA266" s="186"/>
      <c r="AB266" s="186"/>
      <c r="AC266" s="186"/>
      <c r="AD266" s="186"/>
      <c r="AE266" s="186"/>
    </row>
    <row r="267">
      <c r="A267" s="178"/>
      <c r="B267" s="36"/>
      <c r="C267" s="36"/>
      <c r="D267" s="197"/>
      <c r="E267" s="180"/>
      <c r="F267" s="181"/>
      <c r="G267" s="205"/>
      <c r="H267" s="205"/>
      <c r="I267" s="205"/>
      <c r="J267" s="205"/>
      <c r="K267" s="205"/>
      <c r="L267" s="205"/>
      <c r="M267" s="186"/>
      <c r="N267" s="186"/>
      <c r="O267" s="186"/>
      <c r="P267" s="186"/>
      <c r="Q267" s="186"/>
      <c r="R267" s="186"/>
      <c r="S267" s="186"/>
      <c r="T267" s="186"/>
      <c r="U267" s="186"/>
      <c r="V267" s="186"/>
      <c r="W267" s="186"/>
      <c r="X267" s="186"/>
      <c r="Y267" s="186"/>
      <c r="Z267" s="186"/>
      <c r="AA267" s="186"/>
      <c r="AB267" s="186"/>
      <c r="AC267" s="186"/>
      <c r="AD267" s="186"/>
      <c r="AE267" s="186"/>
    </row>
    <row r="268">
      <c r="A268" s="178"/>
      <c r="B268" s="36"/>
      <c r="C268" s="36"/>
      <c r="D268" s="197"/>
      <c r="E268" s="180"/>
      <c r="F268" s="181"/>
      <c r="G268" s="205"/>
      <c r="H268" s="205"/>
      <c r="I268" s="205"/>
      <c r="J268" s="205"/>
      <c r="K268" s="205"/>
      <c r="L268" s="205"/>
      <c r="M268" s="186"/>
      <c r="N268" s="186"/>
      <c r="O268" s="186"/>
      <c r="P268" s="186"/>
      <c r="Q268" s="186"/>
      <c r="R268" s="186"/>
      <c r="S268" s="186"/>
      <c r="T268" s="186"/>
      <c r="U268" s="186"/>
      <c r="V268" s="186"/>
      <c r="W268" s="186"/>
      <c r="X268" s="186"/>
      <c r="Y268" s="186"/>
      <c r="Z268" s="186"/>
      <c r="AA268" s="186"/>
      <c r="AB268" s="186"/>
      <c r="AC268" s="186"/>
      <c r="AD268" s="186"/>
      <c r="AE268" s="186"/>
    </row>
    <row r="269">
      <c r="A269" s="178"/>
      <c r="B269" s="36"/>
      <c r="C269" s="36"/>
      <c r="D269" s="197"/>
      <c r="E269" s="180"/>
      <c r="F269" s="181"/>
      <c r="G269" s="205"/>
      <c r="H269" s="205"/>
      <c r="I269" s="205"/>
      <c r="J269" s="205"/>
      <c r="K269" s="205"/>
      <c r="L269" s="205"/>
      <c r="M269" s="186"/>
      <c r="N269" s="186"/>
      <c r="O269" s="186"/>
      <c r="P269" s="186"/>
      <c r="Q269" s="186"/>
      <c r="R269" s="186"/>
      <c r="S269" s="186"/>
      <c r="T269" s="186"/>
      <c r="U269" s="186"/>
      <c r="V269" s="186"/>
      <c r="W269" s="186"/>
      <c r="X269" s="186"/>
      <c r="Y269" s="186"/>
      <c r="Z269" s="186"/>
      <c r="AA269" s="186"/>
      <c r="AB269" s="186"/>
      <c r="AC269" s="186"/>
      <c r="AD269" s="186"/>
      <c r="AE269" s="186"/>
    </row>
    <row r="270">
      <c r="A270" s="178"/>
      <c r="B270" s="36"/>
      <c r="C270" s="36"/>
      <c r="D270" s="197"/>
      <c r="E270" s="180"/>
      <c r="F270" s="181"/>
      <c r="G270" s="205"/>
      <c r="H270" s="205"/>
      <c r="I270" s="205"/>
      <c r="J270" s="205"/>
      <c r="K270" s="205"/>
      <c r="L270" s="205"/>
      <c r="M270" s="186"/>
      <c r="N270" s="186"/>
      <c r="O270" s="186"/>
      <c r="P270" s="186"/>
      <c r="Q270" s="186"/>
      <c r="R270" s="186"/>
      <c r="S270" s="186"/>
      <c r="T270" s="186"/>
      <c r="U270" s="186"/>
      <c r="V270" s="186"/>
      <c r="W270" s="186"/>
      <c r="X270" s="186"/>
      <c r="Y270" s="186"/>
      <c r="Z270" s="186"/>
      <c r="AA270" s="186"/>
      <c r="AB270" s="186"/>
      <c r="AC270" s="186"/>
      <c r="AD270" s="186"/>
      <c r="AE270" s="186"/>
    </row>
    <row r="271">
      <c r="A271" s="178"/>
      <c r="B271" s="36"/>
      <c r="C271" s="36"/>
      <c r="D271" s="197"/>
      <c r="E271" s="180"/>
      <c r="F271" s="181"/>
      <c r="G271" s="205"/>
      <c r="H271" s="205"/>
      <c r="I271" s="205"/>
      <c r="J271" s="205"/>
      <c r="K271" s="205"/>
      <c r="L271" s="205"/>
      <c r="M271" s="186"/>
      <c r="N271" s="186"/>
      <c r="O271" s="186"/>
      <c r="P271" s="186"/>
      <c r="Q271" s="186"/>
      <c r="R271" s="186"/>
      <c r="S271" s="186"/>
      <c r="T271" s="186"/>
      <c r="U271" s="186"/>
      <c r="V271" s="186"/>
      <c r="W271" s="186"/>
      <c r="X271" s="186"/>
      <c r="Y271" s="186"/>
      <c r="Z271" s="186"/>
      <c r="AA271" s="186"/>
      <c r="AB271" s="186"/>
      <c r="AC271" s="186"/>
      <c r="AD271" s="186"/>
      <c r="AE271" s="186"/>
    </row>
    <row r="272">
      <c r="A272" s="178"/>
      <c r="B272" s="36"/>
      <c r="C272" s="36"/>
      <c r="D272" s="197"/>
      <c r="E272" s="180"/>
      <c r="F272" s="181"/>
      <c r="G272" s="205"/>
      <c r="H272" s="205"/>
      <c r="I272" s="205"/>
      <c r="J272" s="205"/>
      <c r="K272" s="205"/>
      <c r="L272" s="205"/>
      <c r="M272" s="186"/>
      <c r="N272" s="186"/>
      <c r="O272" s="186"/>
      <c r="P272" s="186"/>
      <c r="Q272" s="186"/>
      <c r="R272" s="186"/>
      <c r="S272" s="186"/>
      <c r="T272" s="186"/>
      <c r="U272" s="186"/>
      <c r="V272" s="186"/>
      <c r="W272" s="186"/>
      <c r="X272" s="186"/>
      <c r="Y272" s="186"/>
      <c r="Z272" s="186"/>
      <c r="AA272" s="186"/>
      <c r="AB272" s="186"/>
      <c r="AC272" s="186"/>
      <c r="AD272" s="186"/>
      <c r="AE272" s="186"/>
    </row>
    <row r="273">
      <c r="A273" s="178"/>
      <c r="B273" s="36"/>
      <c r="C273" s="36"/>
      <c r="D273" s="197"/>
      <c r="E273" s="180"/>
      <c r="F273" s="181"/>
      <c r="G273" s="205"/>
      <c r="H273" s="205"/>
      <c r="I273" s="205"/>
      <c r="J273" s="205"/>
      <c r="K273" s="205"/>
      <c r="L273" s="205"/>
      <c r="M273" s="186"/>
      <c r="N273" s="186"/>
      <c r="O273" s="186"/>
      <c r="P273" s="186"/>
      <c r="Q273" s="186"/>
      <c r="R273" s="186"/>
      <c r="S273" s="186"/>
      <c r="T273" s="186"/>
      <c r="U273" s="186"/>
      <c r="V273" s="186"/>
      <c r="W273" s="186"/>
      <c r="X273" s="186"/>
      <c r="Y273" s="186"/>
      <c r="Z273" s="186"/>
      <c r="AA273" s="186"/>
      <c r="AB273" s="186"/>
      <c r="AC273" s="186"/>
      <c r="AD273" s="186"/>
      <c r="AE273" s="186"/>
    </row>
    <row r="274">
      <c r="A274" s="178"/>
      <c r="B274" s="36"/>
      <c r="C274" s="36"/>
      <c r="D274" s="197"/>
      <c r="E274" s="180"/>
      <c r="F274" s="181"/>
      <c r="G274" s="205"/>
      <c r="H274" s="205"/>
      <c r="I274" s="205"/>
      <c r="J274" s="205"/>
      <c r="K274" s="205"/>
      <c r="L274" s="205"/>
      <c r="M274" s="186"/>
      <c r="N274" s="186"/>
      <c r="O274" s="186"/>
      <c r="P274" s="186"/>
      <c r="Q274" s="186"/>
      <c r="R274" s="186"/>
      <c r="S274" s="186"/>
      <c r="T274" s="186"/>
      <c r="U274" s="186"/>
      <c r="V274" s="186"/>
      <c r="W274" s="186"/>
      <c r="X274" s="186"/>
      <c r="Y274" s="186"/>
      <c r="Z274" s="186"/>
      <c r="AA274" s="186"/>
      <c r="AB274" s="186"/>
      <c r="AC274" s="186"/>
      <c r="AD274" s="186"/>
      <c r="AE274" s="186"/>
    </row>
    <row r="275">
      <c r="A275" s="178"/>
      <c r="B275" s="36"/>
      <c r="C275" s="36"/>
      <c r="D275" s="197"/>
      <c r="E275" s="180"/>
      <c r="F275" s="181"/>
      <c r="G275" s="205"/>
      <c r="H275" s="205"/>
      <c r="I275" s="205"/>
      <c r="J275" s="205"/>
      <c r="K275" s="205"/>
      <c r="L275" s="205"/>
      <c r="M275" s="186"/>
      <c r="N275" s="186"/>
      <c r="O275" s="186"/>
      <c r="P275" s="186"/>
      <c r="Q275" s="186"/>
      <c r="R275" s="186"/>
      <c r="S275" s="186"/>
      <c r="T275" s="186"/>
      <c r="U275" s="186"/>
      <c r="V275" s="186"/>
      <c r="W275" s="186"/>
      <c r="X275" s="186"/>
      <c r="Y275" s="186"/>
      <c r="Z275" s="186"/>
      <c r="AA275" s="186"/>
      <c r="AB275" s="186"/>
      <c r="AC275" s="186"/>
      <c r="AD275" s="186"/>
      <c r="AE275" s="186"/>
    </row>
    <row r="276">
      <c r="A276" s="178"/>
      <c r="B276" s="36"/>
      <c r="C276" s="36"/>
      <c r="D276" s="197"/>
      <c r="E276" s="180"/>
      <c r="F276" s="181"/>
      <c r="G276" s="205"/>
      <c r="H276" s="205"/>
      <c r="I276" s="205"/>
      <c r="J276" s="205"/>
      <c r="K276" s="205"/>
      <c r="L276" s="205"/>
      <c r="M276" s="186"/>
      <c r="N276" s="186"/>
      <c r="O276" s="186"/>
      <c r="P276" s="186"/>
      <c r="Q276" s="186"/>
      <c r="R276" s="186"/>
      <c r="S276" s="186"/>
      <c r="T276" s="186"/>
      <c r="U276" s="186"/>
      <c r="V276" s="186"/>
      <c r="W276" s="186"/>
      <c r="X276" s="186"/>
      <c r="Y276" s="186"/>
      <c r="Z276" s="186"/>
      <c r="AA276" s="186"/>
      <c r="AB276" s="186"/>
      <c r="AC276" s="186"/>
      <c r="AD276" s="186"/>
      <c r="AE276" s="186"/>
    </row>
    <row r="277">
      <c r="A277" s="178"/>
      <c r="B277" s="36"/>
      <c r="C277" s="36"/>
      <c r="D277" s="197"/>
      <c r="E277" s="180"/>
      <c r="F277" s="181"/>
      <c r="G277" s="205"/>
      <c r="H277" s="205"/>
      <c r="I277" s="205"/>
      <c r="J277" s="205"/>
      <c r="K277" s="205"/>
      <c r="L277" s="205"/>
      <c r="M277" s="186"/>
      <c r="N277" s="186"/>
      <c r="O277" s="186"/>
      <c r="P277" s="186"/>
      <c r="Q277" s="186"/>
      <c r="R277" s="186"/>
      <c r="S277" s="186"/>
      <c r="T277" s="186"/>
      <c r="U277" s="186"/>
      <c r="V277" s="186"/>
      <c r="W277" s="186"/>
      <c r="X277" s="186"/>
      <c r="Y277" s="186"/>
      <c r="Z277" s="186"/>
      <c r="AA277" s="186"/>
      <c r="AB277" s="186"/>
      <c r="AC277" s="186"/>
      <c r="AD277" s="186"/>
      <c r="AE277" s="186"/>
    </row>
    <row r="278">
      <c r="A278" s="178"/>
      <c r="B278" s="36"/>
      <c r="C278" s="36"/>
      <c r="D278" s="197"/>
      <c r="E278" s="180"/>
      <c r="F278" s="181"/>
      <c r="G278" s="205"/>
      <c r="H278" s="205"/>
      <c r="I278" s="205"/>
      <c r="J278" s="205"/>
      <c r="K278" s="205"/>
      <c r="L278" s="205"/>
      <c r="M278" s="186"/>
      <c r="N278" s="186"/>
      <c r="O278" s="186"/>
      <c r="P278" s="186"/>
      <c r="Q278" s="186"/>
      <c r="R278" s="186"/>
      <c r="S278" s="186"/>
      <c r="T278" s="186"/>
      <c r="U278" s="186"/>
      <c r="V278" s="186"/>
      <c r="W278" s="186"/>
      <c r="X278" s="186"/>
      <c r="Y278" s="186"/>
      <c r="Z278" s="186"/>
      <c r="AA278" s="186"/>
      <c r="AB278" s="186"/>
      <c r="AC278" s="186"/>
      <c r="AD278" s="186"/>
      <c r="AE278" s="186"/>
    </row>
    <row r="279">
      <c r="A279" s="178"/>
      <c r="B279" s="36"/>
      <c r="C279" s="36"/>
      <c r="D279" s="197"/>
      <c r="E279" s="180"/>
      <c r="F279" s="181"/>
      <c r="G279" s="205"/>
      <c r="H279" s="205"/>
      <c r="I279" s="205"/>
      <c r="J279" s="205"/>
      <c r="K279" s="205"/>
      <c r="L279" s="205"/>
      <c r="M279" s="186"/>
      <c r="N279" s="186"/>
      <c r="O279" s="186"/>
      <c r="P279" s="186"/>
      <c r="Q279" s="186"/>
      <c r="R279" s="186"/>
      <c r="S279" s="186"/>
      <c r="T279" s="186"/>
      <c r="U279" s="186"/>
      <c r="V279" s="186"/>
      <c r="W279" s="186"/>
      <c r="X279" s="186"/>
      <c r="Y279" s="186"/>
      <c r="Z279" s="186"/>
      <c r="AA279" s="186"/>
      <c r="AB279" s="186"/>
      <c r="AC279" s="186"/>
      <c r="AD279" s="186"/>
      <c r="AE279" s="186"/>
    </row>
    <row r="280">
      <c r="A280" s="178"/>
      <c r="B280" s="36"/>
      <c r="C280" s="36"/>
      <c r="D280" s="197"/>
      <c r="E280" s="180"/>
      <c r="F280" s="181"/>
      <c r="G280" s="205"/>
      <c r="H280" s="205"/>
      <c r="I280" s="205"/>
      <c r="J280" s="205"/>
      <c r="K280" s="205"/>
      <c r="L280" s="205"/>
      <c r="M280" s="186"/>
      <c r="N280" s="186"/>
      <c r="O280" s="186"/>
      <c r="P280" s="186"/>
      <c r="Q280" s="186"/>
      <c r="R280" s="186"/>
      <c r="S280" s="186"/>
      <c r="T280" s="186"/>
      <c r="U280" s="186"/>
      <c r="V280" s="186"/>
      <c r="W280" s="186"/>
      <c r="X280" s="186"/>
      <c r="Y280" s="186"/>
      <c r="Z280" s="186"/>
      <c r="AA280" s="186"/>
      <c r="AB280" s="186"/>
      <c r="AC280" s="186"/>
      <c r="AD280" s="186"/>
      <c r="AE280" s="186"/>
    </row>
    <row r="281">
      <c r="A281" s="178"/>
      <c r="B281" s="36"/>
      <c r="C281" s="36"/>
      <c r="D281" s="197"/>
      <c r="E281" s="180"/>
      <c r="F281" s="181"/>
      <c r="G281" s="205"/>
      <c r="H281" s="205"/>
      <c r="I281" s="205"/>
      <c r="J281" s="205"/>
      <c r="K281" s="205"/>
      <c r="L281" s="205"/>
      <c r="M281" s="186"/>
      <c r="N281" s="186"/>
      <c r="O281" s="186"/>
      <c r="P281" s="186"/>
      <c r="Q281" s="186"/>
      <c r="R281" s="186"/>
      <c r="S281" s="186"/>
      <c r="T281" s="186"/>
      <c r="U281" s="186"/>
      <c r="V281" s="186"/>
      <c r="W281" s="186"/>
      <c r="X281" s="186"/>
      <c r="Y281" s="186"/>
      <c r="Z281" s="186"/>
      <c r="AA281" s="186"/>
      <c r="AB281" s="186"/>
      <c r="AC281" s="186"/>
      <c r="AD281" s="186"/>
      <c r="AE281" s="186"/>
    </row>
    <row r="282">
      <c r="A282" s="178"/>
      <c r="B282" s="36"/>
      <c r="C282" s="36"/>
      <c r="D282" s="197"/>
      <c r="E282" s="180"/>
      <c r="F282" s="181"/>
      <c r="G282" s="205"/>
      <c r="H282" s="205"/>
      <c r="I282" s="205"/>
      <c r="J282" s="205"/>
      <c r="K282" s="205"/>
      <c r="L282" s="205"/>
      <c r="M282" s="186"/>
      <c r="N282" s="186"/>
      <c r="O282" s="186"/>
      <c r="P282" s="186"/>
      <c r="Q282" s="186"/>
      <c r="R282" s="186"/>
      <c r="S282" s="186"/>
      <c r="T282" s="186"/>
      <c r="U282" s="186"/>
      <c r="V282" s="186"/>
      <c r="W282" s="186"/>
      <c r="X282" s="186"/>
      <c r="Y282" s="186"/>
      <c r="Z282" s="186"/>
      <c r="AA282" s="186"/>
      <c r="AB282" s="186"/>
      <c r="AC282" s="186"/>
      <c r="AD282" s="186"/>
      <c r="AE282" s="186"/>
    </row>
    <row r="283">
      <c r="A283" s="178"/>
      <c r="B283" s="36"/>
      <c r="C283" s="36"/>
      <c r="D283" s="197"/>
      <c r="E283" s="180"/>
      <c r="F283" s="181"/>
      <c r="G283" s="205"/>
      <c r="H283" s="205"/>
      <c r="I283" s="205"/>
      <c r="J283" s="205"/>
      <c r="K283" s="205"/>
      <c r="L283" s="205"/>
      <c r="M283" s="186"/>
      <c r="N283" s="186"/>
      <c r="O283" s="186"/>
      <c r="P283" s="186"/>
      <c r="Q283" s="186"/>
      <c r="R283" s="186"/>
      <c r="S283" s="186"/>
      <c r="T283" s="186"/>
      <c r="U283" s="186"/>
      <c r="V283" s="186"/>
      <c r="W283" s="186"/>
      <c r="X283" s="186"/>
      <c r="Y283" s="186"/>
      <c r="Z283" s="186"/>
      <c r="AA283" s="186"/>
      <c r="AB283" s="186"/>
      <c r="AC283" s="186"/>
      <c r="AD283" s="186"/>
      <c r="AE283" s="186"/>
    </row>
    <row r="284">
      <c r="A284" s="178"/>
      <c r="B284" s="36"/>
      <c r="C284" s="36"/>
      <c r="D284" s="197"/>
      <c r="E284" s="180"/>
      <c r="F284" s="181"/>
      <c r="G284" s="205"/>
      <c r="H284" s="205"/>
      <c r="I284" s="205"/>
      <c r="J284" s="205"/>
      <c r="K284" s="205"/>
      <c r="L284" s="205"/>
      <c r="M284" s="186"/>
      <c r="N284" s="186"/>
      <c r="O284" s="186"/>
      <c r="P284" s="186"/>
      <c r="Q284" s="186"/>
      <c r="R284" s="186"/>
      <c r="S284" s="186"/>
      <c r="T284" s="186"/>
      <c r="U284" s="186"/>
      <c r="V284" s="186"/>
      <c r="W284" s="186"/>
      <c r="X284" s="186"/>
      <c r="Y284" s="186"/>
      <c r="Z284" s="186"/>
      <c r="AA284" s="186"/>
      <c r="AB284" s="186"/>
      <c r="AC284" s="186"/>
      <c r="AD284" s="186"/>
      <c r="AE284" s="186"/>
    </row>
    <row r="285">
      <c r="A285" s="178"/>
      <c r="B285" s="36"/>
      <c r="C285" s="36"/>
      <c r="D285" s="197"/>
      <c r="E285" s="180"/>
      <c r="F285" s="181"/>
      <c r="G285" s="205"/>
      <c r="H285" s="205"/>
      <c r="I285" s="205"/>
      <c r="J285" s="205"/>
      <c r="K285" s="205"/>
      <c r="L285" s="205"/>
      <c r="M285" s="186"/>
      <c r="N285" s="186"/>
      <c r="O285" s="186"/>
      <c r="P285" s="186"/>
      <c r="Q285" s="186"/>
      <c r="R285" s="186"/>
      <c r="S285" s="186"/>
      <c r="T285" s="186"/>
      <c r="U285" s="186"/>
      <c r="V285" s="186"/>
      <c r="W285" s="186"/>
      <c r="X285" s="186"/>
      <c r="Y285" s="186"/>
      <c r="Z285" s="186"/>
      <c r="AA285" s="186"/>
      <c r="AB285" s="186"/>
      <c r="AC285" s="186"/>
      <c r="AD285" s="186"/>
      <c r="AE285" s="186"/>
    </row>
    <row r="286">
      <c r="A286" s="178"/>
      <c r="B286" s="36"/>
      <c r="C286" s="36"/>
      <c r="D286" s="197"/>
      <c r="E286" s="180"/>
      <c r="F286" s="181"/>
      <c r="G286" s="205"/>
      <c r="H286" s="205"/>
      <c r="I286" s="205"/>
      <c r="J286" s="205"/>
      <c r="K286" s="205"/>
      <c r="L286" s="205"/>
      <c r="M286" s="186"/>
      <c r="N286" s="186"/>
      <c r="O286" s="186"/>
      <c r="P286" s="186"/>
      <c r="Q286" s="186"/>
      <c r="R286" s="186"/>
      <c r="S286" s="186"/>
      <c r="T286" s="186"/>
      <c r="U286" s="186"/>
      <c r="V286" s="186"/>
      <c r="W286" s="186"/>
      <c r="X286" s="186"/>
      <c r="Y286" s="186"/>
      <c r="Z286" s="186"/>
      <c r="AA286" s="186"/>
      <c r="AB286" s="186"/>
      <c r="AC286" s="186"/>
      <c r="AD286" s="186"/>
      <c r="AE286" s="186"/>
    </row>
    <row r="287">
      <c r="A287" s="178"/>
      <c r="B287" s="36"/>
      <c r="C287" s="36"/>
      <c r="D287" s="197"/>
      <c r="E287" s="180"/>
      <c r="F287" s="181"/>
      <c r="G287" s="205"/>
      <c r="H287" s="205"/>
      <c r="I287" s="205"/>
      <c r="J287" s="205"/>
      <c r="K287" s="205"/>
      <c r="L287" s="205"/>
      <c r="M287" s="186"/>
      <c r="N287" s="186"/>
      <c r="O287" s="186"/>
      <c r="P287" s="186"/>
      <c r="Q287" s="186"/>
      <c r="R287" s="186"/>
      <c r="S287" s="186"/>
      <c r="T287" s="186"/>
      <c r="U287" s="186"/>
      <c r="V287" s="186"/>
      <c r="W287" s="186"/>
      <c r="X287" s="186"/>
      <c r="Y287" s="186"/>
      <c r="Z287" s="186"/>
      <c r="AA287" s="186"/>
      <c r="AB287" s="186"/>
      <c r="AC287" s="186"/>
      <c r="AD287" s="186"/>
      <c r="AE287" s="186"/>
    </row>
    <row r="288">
      <c r="A288" s="178"/>
      <c r="B288" s="36"/>
      <c r="C288" s="36"/>
      <c r="D288" s="197"/>
      <c r="E288" s="180"/>
      <c r="F288" s="181"/>
      <c r="G288" s="205"/>
      <c r="H288" s="205"/>
      <c r="I288" s="205"/>
      <c r="J288" s="205"/>
      <c r="K288" s="205"/>
      <c r="L288" s="205"/>
      <c r="M288" s="186"/>
      <c r="N288" s="186"/>
      <c r="O288" s="186"/>
      <c r="P288" s="186"/>
      <c r="Q288" s="186"/>
      <c r="R288" s="186"/>
      <c r="S288" s="186"/>
      <c r="T288" s="186"/>
      <c r="U288" s="186"/>
      <c r="V288" s="186"/>
      <c r="W288" s="186"/>
      <c r="X288" s="186"/>
      <c r="Y288" s="186"/>
      <c r="Z288" s="186"/>
      <c r="AA288" s="186"/>
      <c r="AB288" s="186"/>
      <c r="AC288" s="186"/>
      <c r="AD288" s="186"/>
      <c r="AE288" s="186"/>
    </row>
    <row r="289">
      <c r="A289" s="178"/>
      <c r="B289" s="36"/>
      <c r="C289" s="36"/>
      <c r="D289" s="197"/>
      <c r="E289" s="180"/>
      <c r="F289" s="181"/>
      <c r="G289" s="205"/>
      <c r="H289" s="205"/>
      <c r="I289" s="205"/>
      <c r="J289" s="205"/>
      <c r="K289" s="205"/>
      <c r="L289" s="205"/>
      <c r="M289" s="186"/>
      <c r="N289" s="186"/>
      <c r="O289" s="186"/>
      <c r="P289" s="186"/>
      <c r="Q289" s="186"/>
      <c r="R289" s="186"/>
      <c r="S289" s="186"/>
      <c r="T289" s="186"/>
      <c r="U289" s="186"/>
      <c r="V289" s="186"/>
      <c r="W289" s="186"/>
      <c r="X289" s="186"/>
      <c r="Y289" s="186"/>
      <c r="Z289" s="186"/>
      <c r="AA289" s="186"/>
      <c r="AB289" s="186"/>
      <c r="AC289" s="186"/>
      <c r="AD289" s="186"/>
      <c r="AE289" s="186"/>
    </row>
    <row r="290">
      <c r="A290" s="178"/>
      <c r="B290" s="36"/>
      <c r="C290" s="36"/>
      <c r="D290" s="197"/>
      <c r="E290" s="180"/>
      <c r="F290" s="181"/>
      <c r="G290" s="205"/>
      <c r="H290" s="205"/>
      <c r="I290" s="205"/>
      <c r="J290" s="205"/>
      <c r="K290" s="205"/>
      <c r="L290" s="205"/>
      <c r="M290" s="186"/>
      <c r="N290" s="186"/>
      <c r="O290" s="186"/>
      <c r="P290" s="186"/>
      <c r="Q290" s="186"/>
      <c r="R290" s="186"/>
      <c r="S290" s="186"/>
      <c r="T290" s="186"/>
      <c r="U290" s="186"/>
      <c r="V290" s="186"/>
      <c r="W290" s="186"/>
      <c r="X290" s="186"/>
      <c r="Y290" s="186"/>
      <c r="Z290" s="186"/>
      <c r="AA290" s="186"/>
      <c r="AB290" s="186"/>
      <c r="AC290" s="186"/>
      <c r="AD290" s="186"/>
      <c r="AE290" s="186"/>
    </row>
    <row r="291">
      <c r="A291" s="178"/>
      <c r="B291" s="36"/>
      <c r="C291" s="36"/>
      <c r="D291" s="197"/>
      <c r="E291" s="180"/>
      <c r="F291" s="181"/>
      <c r="G291" s="205"/>
      <c r="H291" s="205"/>
      <c r="I291" s="205"/>
      <c r="J291" s="205"/>
      <c r="K291" s="205"/>
      <c r="L291" s="205"/>
      <c r="M291" s="186"/>
      <c r="N291" s="186"/>
      <c r="O291" s="186"/>
      <c r="P291" s="186"/>
      <c r="Q291" s="186"/>
      <c r="R291" s="186"/>
      <c r="S291" s="186"/>
      <c r="T291" s="186"/>
      <c r="U291" s="186"/>
      <c r="V291" s="186"/>
      <c r="W291" s="186"/>
      <c r="X291" s="186"/>
      <c r="Y291" s="186"/>
      <c r="Z291" s="186"/>
      <c r="AA291" s="186"/>
      <c r="AB291" s="186"/>
      <c r="AC291" s="186"/>
      <c r="AD291" s="186"/>
      <c r="AE291" s="186"/>
    </row>
    <row r="292">
      <c r="A292" s="178"/>
      <c r="B292" s="36"/>
      <c r="C292" s="36"/>
      <c r="D292" s="197"/>
      <c r="E292" s="180"/>
      <c r="F292" s="181"/>
      <c r="G292" s="205"/>
      <c r="H292" s="205"/>
      <c r="I292" s="205"/>
      <c r="J292" s="205"/>
      <c r="K292" s="205"/>
      <c r="L292" s="205"/>
      <c r="M292" s="186"/>
      <c r="N292" s="186"/>
      <c r="O292" s="186"/>
      <c r="P292" s="186"/>
      <c r="Q292" s="186"/>
      <c r="R292" s="186"/>
      <c r="S292" s="186"/>
      <c r="T292" s="186"/>
      <c r="U292" s="186"/>
      <c r="V292" s="186"/>
      <c r="W292" s="186"/>
      <c r="X292" s="186"/>
      <c r="Y292" s="186"/>
      <c r="Z292" s="186"/>
      <c r="AA292" s="186"/>
      <c r="AB292" s="186"/>
      <c r="AC292" s="186"/>
      <c r="AD292" s="186"/>
      <c r="AE292" s="186"/>
    </row>
    <row r="293">
      <c r="A293" s="178"/>
      <c r="B293" s="36"/>
      <c r="C293" s="36"/>
      <c r="D293" s="197"/>
      <c r="E293" s="180"/>
      <c r="F293" s="181"/>
      <c r="G293" s="205"/>
      <c r="H293" s="205"/>
      <c r="I293" s="205"/>
      <c r="J293" s="205"/>
      <c r="K293" s="205"/>
      <c r="L293" s="205"/>
      <c r="M293" s="186"/>
      <c r="N293" s="186"/>
      <c r="O293" s="186"/>
      <c r="P293" s="186"/>
      <c r="Q293" s="186"/>
      <c r="R293" s="186"/>
      <c r="S293" s="186"/>
      <c r="T293" s="186"/>
      <c r="U293" s="186"/>
      <c r="V293" s="186"/>
      <c r="W293" s="186"/>
      <c r="X293" s="186"/>
      <c r="Y293" s="186"/>
      <c r="Z293" s="186"/>
      <c r="AA293" s="186"/>
      <c r="AB293" s="186"/>
      <c r="AC293" s="186"/>
      <c r="AD293" s="186"/>
      <c r="AE293" s="186"/>
    </row>
    <row r="294">
      <c r="A294" s="178"/>
      <c r="B294" s="36"/>
      <c r="C294" s="36"/>
      <c r="D294" s="197"/>
      <c r="E294" s="180"/>
      <c r="F294" s="181"/>
      <c r="G294" s="205"/>
      <c r="H294" s="205"/>
      <c r="I294" s="205"/>
      <c r="J294" s="205"/>
      <c r="K294" s="205"/>
      <c r="L294" s="205"/>
      <c r="M294" s="186"/>
      <c r="N294" s="186"/>
      <c r="O294" s="186"/>
      <c r="P294" s="186"/>
      <c r="Q294" s="186"/>
      <c r="R294" s="186"/>
      <c r="S294" s="186"/>
      <c r="T294" s="186"/>
      <c r="U294" s="186"/>
      <c r="V294" s="186"/>
      <c r="W294" s="186"/>
      <c r="X294" s="186"/>
      <c r="Y294" s="186"/>
      <c r="Z294" s="186"/>
      <c r="AA294" s="186"/>
      <c r="AB294" s="186"/>
      <c r="AC294" s="186"/>
      <c r="AD294" s="186"/>
      <c r="AE294" s="186"/>
    </row>
    <row r="295">
      <c r="A295" s="178"/>
      <c r="B295" s="36"/>
      <c r="C295" s="36"/>
      <c r="D295" s="197"/>
      <c r="E295" s="180"/>
      <c r="F295" s="181"/>
      <c r="G295" s="205"/>
      <c r="H295" s="205"/>
      <c r="I295" s="205"/>
      <c r="J295" s="205"/>
      <c r="K295" s="205"/>
      <c r="L295" s="205"/>
      <c r="M295" s="186"/>
      <c r="N295" s="186"/>
      <c r="O295" s="186"/>
      <c r="P295" s="186"/>
      <c r="Q295" s="186"/>
      <c r="R295" s="186"/>
      <c r="S295" s="186"/>
      <c r="T295" s="186"/>
      <c r="U295" s="186"/>
      <c r="V295" s="186"/>
      <c r="W295" s="186"/>
      <c r="X295" s="186"/>
      <c r="Y295" s="186"/>
      <c r="Z295" s="186"/>
      <c r="AA295" s="186"/>
      <c r="AB295" s="186"/>
      <c r="AC295" s="186"/>
      <c r="AD295" s="186"/>
      <c r="AE295" s="186"/>
    </row>
    <row r="296">
      <c r="A296" s="178"/>
      <c r="B296" s="36"/>
      <c r="C296" s="36"/>
      <c r="D296" s="197"/>
      <c r="E296" s="180"/>
      <c r="F296" s="181"/>
      <c r="G296" s="205"/>
      <c r="H296" s="205"/>
      <c r="I296" s="205"/>
      <c r="J296" s="205"/>
      <c r="K296" s="205"/>
      <c r="L296" s="205"/>
      <c r="M296" s="186"/>
      <c r="N296" s="186"/>
      <c r="O296" s="186"/>
      <c r="P296" s="186"/>
      <c r="Q296" s="186"/>
      <c r="R296" s="186"/>
      <c r="S296" s="186"/>
      <c r="T296" s="186"/>
      <c r="U296" s="186"/>
      <c r="V296" s="186"/>
      <c r="W296" s="186"/>
      <c r="X296" s="186"/>
      <c r="Y296" s="186"/>
      <c r="Z296" s="186"/>
      <c r="AA296" s="186"/>
      <c r="AB296" s="186"/>
      <c r="AC296" s="186"/>
      <c r="AD296" s="186"/>
      <c r="AE296" s="186"/>
    </row>
    <row r="297">
      <c r="A297" s="178"/>
      <c r="B297" s="36"/>
      <c r="C297" s="36"/>
      <c r="D297" s="197"/>
      <c r="E297" s="180"/>
      <c r="F297" s="181"/>
      <c r="G297" s="205"/>
      <c r="H297" s="205"/>
      <c r="I297" s="205"/>
      <c r="J297" s="205"/>
      <c r="K297" s="205"/>
      <c r="L297" s="205"/>
      <c r="M297" s="186"/>
      <c r="N297" s="186"/>
      <c r="O297" s="186"/>
      <c r="P297" s="186"/>
      <c r="Q297" s="186"/>
      <c r="R297" s="186"/>
      <c r="S297" s="186"/>
      <c r="T297" s="186"/>
      <c r="U297" s="186"/>
      <c r="V297" s="186"/>
      <c r="W297" s="186"/>
      <c r="X297" s="186"/>
      <c r="Y297" s="186"/>
      <c r="Z297" s="186"/>
      <c r="AA297" s="186"/>
      <c r="AB297" s="186"/>
      <c r="AC297" s="186"/>
      <c r="AD297" s="186"/>
      <c r="AE297" s="186"/>
    </row>
    <row r="298">
      <c r="A298" s="178"/>
      <c r="B298" s="36"/>
      <c r="C298" s="36"/>
      <c r="D298" s="197"/>
      <c r="E298" s="180"/>
      <c r="F298" s="181"/>
      <c r="G298" s="205"/>
      <c r="H298" s="205"/>
      <c r="I298" s="205"/>
      <c r="J298" s="205"/>
      <c r="K298" s="205"/>
      <c r="L298" s="205"/>
      <c r="M298" s="186"/>
      <c r="N298" s="186"/>
      <c r="O298" s="186"/>
      <c r="P298" s="186"/>
      <c r="Q298" s="186"/>
      <c r="R298" s="186"/>
      <c r="S298" s="186"/>
      <c r="T298" s="186"/>
      <c r="U298" s="186"/>
      <c r="V298" s="186"/>
      <c r="W298" s="186"/>
      <c r="X298" s="186"/>
      <c r="Y298" s="186"/>
      <c r="Z298" s="186"/>
      <c r="AA298" s="186"/>
      <c r="AB298" s="186"/>
      <c r="AC298" s="186"/>
      <c r="AD298" s="186"/>
      <c r="AE298" s="186"/>
    </row>
    <row r="299">
      <c r="A299" s="178"/>
      <c r="B299" s="36"/>
      <c r="C299" s="36"/>
      <c r="D299" s="197"/>
      <c r="E299" s="180"/>
      <c r="F299" s="181"/>
      <c r="G299" s="205"/>
      <c r="H299" s="205"/>
      <c r="I299" s="205"/>
      <c r="J299" s="205"/>
      <c r="K299" s="205"/>
      <c r="L299" s="205"/>
      <c r="M299" s="186"/>
      <c r="N299" s="186"/>
      <c r="O299" s="186"/>
      <c r="P299" s="186"/>
      <c r="Q299" s="186"/>
      <c r="R299" s="186"/>
      <c r="S299" s="186"/>
      <c r="T299" s="186"/>
      <c r="U299" s="186"/>
      <c r="V299" s="186"/>
      <c r="W299" s="186"/>
      <c r="X299" s="186"/>
      <c r="Y299" s="186"/>
      <c r="Z299" s="186"/>
      <c r="AA299" s="186"/>
      <c r="AB299" s="186"/>
      <c r="AC299" s="186"/>
      <c r="AD299" s="186"/>
      <c r="AE299" s="186"/>
    </row>
    <row r="300">
      <c r="A300" s="178"/>
      <c r="B300" s="36"/>
      <c r="C300" s="36"/>
      <c r="D300" s="197"/>
      <c r="E300" s="180"/>
      <c r="F300" s="181"/>
      <c r="G300" s="205"/>
      <c r="H300" s="205"/>
      <c r="I300" s="205"/>
      <c r="J300" s="205"/>
      <c r="K300" s="205"/>
      <c r="L300" s="205"/>
      <c r="M300" s="186"/>
      <c r="N300" s="186"/>
      <c r="O300" s="186"/>
      <c r="P300" s="186"/>
      <c r="Q300" s="186"/>
      <c r="R300" s="186"/>
      <c r="S300" s="186"/>
      <c r="T300" s="186"/>
      <c r="U300" s="186"/>
      <c r="V300" s="186"/>
      <c r="W300" s="186"/>
      <c r="X300" s="186"/>
      <c r="Y300" s="186"/>
      <c r="Z300" s="186"/>
      <c r="AA300" s="186"/>
      <c r="AB300" s="186"/>
      <c r="AC300" s="186"/>
      <c r="AD300" s="186"/>
      <c r="AE300" s="186"/>
    </row>
    <row r="301">
      <c r="A301" s="178"/>
      <c r="B301" s="36"/>
      <c r="C301" s="36"/>
      <c r="D301" s="197"/>
      <c r="E301" s="180"/>
      <c r="F301" s="181"/>
      <c r="G301" s="205"/>
      <c r="H301" s="205"/>
      <c r="I301" s="205"/>
      <c r="J301" s="205"/>
      <c r="K301" s="205"/>
      <c r="L301" s="205"/>
      <c r="M301" s="186"/>
      <c r="N301" s="186"/>
      <c r="O301" s="186"/>
      <c r="P301" s="186"/>
      <c r="Q301" s="186"/>
      <c r="R301" s="186"/>
      <c r="S301" s="186"/>
      <c r="T301" s="186"/>
      <c r="U301" s="186"/>
      <c r="V301" s="186"/>
      <c r="W301" s="186"/>
      <c r="X301" s="186"/>
      <c r="Y301" s="186"/>
      <c r="Z301" s="186"/>
      <c r="AA301" s="186"/>
      <c r="AB301" s="186"/>
      <c r="AC301" s="186"/>
      <c r="AD301" s="186"/>
      <c r="AE301" s="186"/>
    </row>
    <row r="302">
      <c r="A302" s="178"/>
      <c r="B302" s="36"/>
      <c r="C302" s="36"/>
      <c r="D302" s="197"/>
      <c r="E302" s="180"/>
      <c r="F302" s="181"/>
      <c r="G302" s="205"/>
      <c r="H302" s="205"/>
      <c r="I302" s="205"/>
      <c r="J302" s="205"/>
      <c r="K302" s="205"/>
      <c r="L302" s="205"/>
      <c r="M302" s="186"/>
      <c r="N302" s="186"/>
      <c r="O302" s="186"/>
      <c r="P302" s="186"/>
      <c r="Q302" s="186"/>
      <c r="R302" s="186"/>
      <c r="S302" s="186"/>
      <c r="T302" s="186"/>
      <c r="U302" s="186"/>
      <c r="V302" s="186"/>
      <c r="W302" s="186"/>
      <c r="X302" s="186"/>
      <c r="Y302" s="186"/>
      <c r="Z302" s="186"/>
      <c r="AA302" s="186"/>
      <c r="AB302" s="186"/>
      <c r="AC302" s="186"/>
      <c r="AD302" s="186"/>
      <c r="AE302" s="186"/>
    </row>
    <row r="303">
      <c r="A303" s="178"/>
      <c r="B303" s="36"/>
      <c r="C303" s="36"/>
      <c r="D303" s="197"/>
      <c r="E303" s="180"/>
      <c r="F303" s="181"/>
      <c r="G303" s="205"/>
      <c r="H303" s="205"/>
      <c r="I303" s="205"/>
      <c r="J303" s="205"/>
      <c r="K303" s="205"/>
      <c r="L303" s="205"/>
      <c r="M303" s="186"/>
      <c r="N303" s="186"/>
      <c r="O303" s="186"/>
      <c r="P303" s="186"/>
      <c r="Q303" s="186"/>
      <c r="R303" s="186"/>
      <c r="S303" s="186"/>
      <c r="T303" s="186"/>
      <c r="U303" s="186"/>
      <c r="V303" s="186"/>
      <c r="W303" s="186"/>
      <c r="X303" s="186"/>
      <c r="Y303" s="186"/>
      <c r="Z303" s="186"/>
      <c r="AA303" s="186"/>
      <c r="AB303" s="186"/>
      <c r="AC303" s="186"/>
      <c r="AD303" s="186"/>
      <c r="AE303" s="186"/>
    </row>
    <row r="304">
      <c r="A304" s="178"/>
      <c r="B304" s="36"/>
      <c r="C304" s="36"/>
      <c r="D304" s="197"/>
      <c r="E304" s="180"/>
      <c r="F304" s="181"/>
      <c r="G304" s="205"/>
      <c r="H304" s="205"/>
      <c r="I304" s="205"/>
      <c r="J304" s="205"/>
      <c r="K304" s="205"/>
      <c r="L304" s="205"/>
      <c r="M304" s="186"/>
      <c r="N304" s="186"/>
      <c r="O304" s="186"/>
      <c r="P304" s="186"/>
      <c r="Q304" s="186"/>
      <c r="R304" s="186"/>
      <c r="S304" s="186"/>
      <c r="T304" s="186"/>
      <c r="U304" s="186"/>
      <c r="V304" s="186"/>
      <c r="W304" s="186"/>
      <c r="X304" s="186"/>
      <c r="Y304" s="186"/>
      <c r="Z304" s="186"/>
      <c r="AA304" s="186"/>
      <c r="AB304" s="186"/>
      <c r="AC304" s="186"/>
      <c r="AD304" s="186"/>
      <c r="AE304" s="186"/>
    </row>
    <row r="305">
      <c r="A305" s="178"/>
      <c r="B305" s="36"/>
      <c r="C305" s="36"/>
      <c r="D305" s="197"/>
      <c r="E305" s="180"/>
      <c r="F305" s="181"/>
      <c r="G305" s="205"/>
      <c r="H305" s="205"/>
      <c r="I305" s="205"/>
      <c r="J305" s="205"/>
      <c r="K305" s="205"/>
      <c r="L305" s="205"/>
      <c r="M305" s="186"/>
      <c r="N305" s="186"/>
      <c r="O305" s="186"/>
      <c r="P305" s="186"/>
      <c r="Q305" s="186"/>
      <c r="R305" s="186"/>
      <c r="S305" s="186"/>
      <c r="T305" s="186"/>
      <c r="U305" s="186"/>
      <c r="V305" s="186"/>
      <c r="W305" s="186"/>
      <c r="X305" s="186"/>
      <c r="Y305" s="186"/>
      <c r="Z305" s="186"/>
      <c r="AA305" s="186"/>
      <c r="AB305" s="186"/>
      <c r="AC305" s="186"/>
      <c r="AD305" s="186"/>
      <c r="AE305" s="186"/>
    </row>
    <row r="306">
      <c r="A306" s="178"/>
      <c r="B306" s="36"/>
      <c r="C306" s="36"/>
      <c r="D306" s="197"/>
      <c r="E306" s="180"/>
      <c r="F306" s="181"/>
      <c r="G306" s="205"/>
      <c r="H306" s="205"/>
      <c r="I306" s="205"/>
      <c r="J306" s="205"/>
      <c r="K306" s="205"/>
      <c r="L306" s="205"/>
      <c r="M306" s="186"/>
      <c r="N306" s="186"/>
      <c r="O306" s="186"/>
      <c r="P306" s="186"/>
      <c r="Q306" s="186"/>
      <c r="R306" s="186"/>
      <c r="S306" s="186"/>
      <c r="T306" s="186"/>
      <c r="U306" s="186"/>
      <c r="V306" s="186"/>
      <c r="W306" s="186"/>
      <c r="X306" s="186"/>
      <c r="Y306" s="186"/>
      <c r="Z306" s="186"/>
      <c r="AA306" s="186"/>
      <c r="AB306" s="186"/>
      <c r="AC306" s="186"/>
      <c r="AD306" s="186"/>
      <c r="AE306" s="186"/>
    </row>
    <row r="307">
      <c r="A307" s="178"/>
      <c r="B307" s="36"/>
      <c r="C307" s="36"/>
      <c r="D307" s="197"/>
      <c r="E307" s="180"/>
      <c r="F307" s="181"/>
      <c r="G307" s="205"/>
      <c r="H307" s="205"/>
      <c r="I307" s="205"/>
      <c r="J307" s="205"/>
      <c r="K307" s="205"/>
      <c r="L307" s="205"/>
      <c r="M307" s="186"/>
      <c r="N307" s="186"/>
      <c r="O307" s="186"/>
      <c r="P307" s="186"/>
      <c r="Q307" s="186"/>
      <c r="R307" s="186"/>
      <c r="S307" s="186"/>
      <c r="T307" s="186"/>
      <c r="U307" s="186"/>
      <c r="V307" s="186"/>
      <c r="W307" s="186"/>
      <c r="X307" s="186"/>
      <c r="Y307" s="186"/>
      <c r="Z307" s="186"/>
      <c r="AA307" s="186"/>
      <c r="AB307" s="186"/>
      <c r="AC307" s="186"/>
      <c r="AD307" s="186"/>
      <c r="AE307" s="186"/>
    </row>
    <row r="308">
      <c r="A308" s="178"/>
      <c r="B308" s="36"/>
      <c r="C308" s="36"/>
      <c r="D308" s="197"/>
      <c r="E308" s="180"/>
      <c r="F308" s="181"/>
      <c r="G308" s="205"/>
      <c r="H308" s="205"/>
      <c r="I308" s="205"/>
      <c r="J308" s="205"/>
      <c r="K308" s="205"/>
      <c r="L308" s="205"/>
      <c r="M308" s="186"/>
      <c r="N308" s="186"/>
      <c r="O308" s="186"/>
      <c r="P308" s="186"/>
      <c r="Q308" s="186"/>
      <c r="R308" s="186"/>
      <c r="S308" s="186"/>
      <c r="T308" s="186"/>
      <c r="U308" s="186"/>
      <c r="V308" s="186"/>
      <c r="W308" s="186"/>
      <c r="X308" s="186"/>
      <c r="Y308" s="186"/>
      <c r="Z308" s="186"/>
      <c r="AA308" s="186"/>
      <c r="AB308" s="186"/>
      <c r="AC308" s="186"/>
      <c r="AD308" s="186"/>
      <c r="AE308" s="186"/>
    </row>
    <row r="309">
      <c r="A309" s="178"/>
      <c r="B309" s="36"/>
      <c r="C309" s="36"/>
      <c r="D309" s="197"/>
      <c r="E309" s="180"/>
      <c r="F309" s="181"/>
      <c r="G309" s="205"/>
      <c r="H309" s="205"/>
      <c r="I309" s="205"/>
      <c r="J309" s="205"/>
      <c r="K309" s="205"/>
      <c r="L309" s="205"/>
      <c r="M309" s="186"/>
      <c r="N309" s="186"/>
      <c r="O309" s="186"/>
      <c r="P309" s="186"/>
      <c r="Q309" s="186"/>
      <c r="R309" s="186"/>
      <c r="S309" s="186"/>
      <c r="T309" s="186"/>
      <c r="U309" s="186"/>
      <c r="V309" s="186"/>
      <c r="W309" s="186"/>
      <c r="X309" s="186"/>
      <c r="Y309" s="186"/>
      <c r="Z309" s="186"/>
      <c r="AA309" s="186"/>
      <c r="AB309" s="186"/>
      <c r="AC309" s="186"/>
      <c r="AD309" s="186"/>
      <c r="AE309" s="186"/>
    </row>
    <row r="310">
      <c r="A310" s="178"/>
      <c r="B310" s="36"/>
      <c r="C310" s="36"/>
      <c r="D310" s="197"/>
      <c r="E310" s="180"/>
      <c r="F310" s="181"/>
      <c r="G310" s="205"/>
      <c r="H310" s="205"/>
      <c r="I310" s="205"/>
      <c r="J310" s="205"/>
      <c r="K310" s="205"/>
      <c r="L310" s="205"/>
      <c r="M310" s="186"/>
      <c r="N310" s="186"/>
      <c r="O310" s="186"/>
      <c r="P310" s="186"/>
      <c r="Q310" s="186"/>
      <c r="R310" s="186"/>
      <c r="S310" s="186"/>
      <c r="T310" s="186"/>
      <c r="U310" s="186"/>
      <c r="V310" s="186"/>
      <c r="W310" s="186"/>
      <c r="X310" s="186"/>
      <c r="Y310" s="186"/>
      <c r="Z310" s="186"/>
      <c r="AA310" s="186"/>
      <c r="AB310" s="186"/>
      <c r="AC310" s="186"/>
      <c r="AD310" s="186"/>
      <c r="AE310" s="186"/>
    </row>
    <row r="311">
      <c r="A311" s="178"/>
      <c r="B311" s="36"/>
      <c r="C311" s="36"/>
      <c r="D311" s="197"/>
      <c r="E311" s="180"/>
      <c r="F311" s="181"/>
      <c r="G311" s="205"/>
      <c r="H311" s="205"/>
      <c r="I311" s="205"/>
      <c r="J311" s="205"/>
      <c r="K311" s="205"/>
      <c r="L311" s="205"/>
      <c r="M311" s="186"/>
      <c r="N311" s="186"/>
      <c r="O311" s="186"/>
      <c r="P311" s="186"/>
      <c r="Q311" s="186"/>
      <c r="R311" s="186"/>
      <c r="S311" s="186"/>
      <c r="T311" s="186"/>
      <c r="U311" s="186"/>
      <c r="V311" s="186"/>
      <c r="W311" s="186"/>
      <c r="X311" s="186"/>
      <c r="Y311" s="186"/>
      <c r="Z311" s="186"/>
      <c r="AA311" s="186"/>
      <c r="AB311" s="186"/>
      <c r="AC311" s="186"/>
      <c r="AD311" s="186"/>
      <c r="AE311" s="186"/>
    </row>
    <row r="312">
      <c r="A312" s="178"/>
      <c r="B312" s="36"/>
      <c r="C312" s="36"/>
      <c r="D312" s="197"/>
      <c r="E312" s="180"/>
      <c r="F312" s="181"/>
      <c r="G312" s="205"/>
      <c r="H312" s="205"/>
      <c r="I312" s="205"/>
      <c r="J312" s="205"/>
      <c r="K312" s="205"/>
      <c r="L312" s="205"/>
      <c r="M312" s="186"/>
      <c r="N312" s="186"/>
      <c r="O312" s="186"/>
      <c r="P312" s="186"/>
      <c r="Q312" s="186"/>
      <c r="R312" s="186"/>
      <c r="S312" s="186"/>
      <c r="T312" s="186"/>
      <c r="U312" s="186"/>
      <c r="V312" s="186"/>
      <c r="W312" s="186"/>
      <c r="X312" s="186"/>
      <c r="Y312" s="186"/>
      <c r="Z312" s="186"/>
      <c r="AA312" s="186"/>
      <c r="AB312" s="186"/>
      <c r="AC312" s="186"/>
      <c r="AD312" s="186"/>
      <c r="AE312" s="186"/>
    </row>
    <row r="313">
      <c r="A313" s="178"/>
      <c r="B313" s="36"/>
      <c r="C313" s="36"/>
      <c r="D313" s="197"/>
      <c r="E313" s="180"/>
      <c r="F313" s="181"/>
      <c r="G313" s="205"/>
      <c r="H313" s="205"/>
      <c r="I313" s="205"/>
      <c r="J313" s="205"/>
      <c r="K313" s="205"/>
      <c r="L313" s="205"/>
      <c r="M313" s="186"/>
      <c r="N313" s="186"/>
      <c r="O313" s="186"/>
      <c r="P313" s="186"/>
      <c r="Q313" s="186"/>
      <c r="R313" s="186"/>
      <c r="S313" s="186"/>
      <c r="T313" s="186"/>
      <c r="U313" s="186"/>
      <c r="V313" s="186"/>
      <c r="W313" s="186"/>
      <c r="X313" s="186"/>
      <c r="Y313" s="186"/>
      <c r="Z313" s="186"/>
      <c r="AA313" s="186"/>
      <c r="AB313" s="186"/>
      <c r="AC313" s="186"/>
      <c r="AD313" s="186"/>
      <c r="AE313" s="186"/>
    </row>
    <row r="314">
      <c r="A314" s="178"/>
      <c r="B314" s="36"/>
      <c r="C314" s="36"/>
      <c r="D314" s="197"/>
      <c r="E314" s="180"/>
      <c r="F314" s="181"/>
      <c r="G314" s="205"/>
      <c r="H314" s="205"/>
      <c r="I314" s="205"/>
      <c r="J314" s="205"/>
      <c r="K314" s="205"/>
      <c r="L314" s="205"/>
      <c r="M314" s="186"/>
      <c r="N314" s="186"/>
      <c r="O314" s="186"/>
      <c r="P314" s="186"/>
      <c r="Q314" s="186"/>
      <c r="R314" s="186"/>
      <c r="S314" s="186"/>
      <c r="T314" s="186"/>
      <c r="U314" s="186"/>
      <c r="V314" s="186"/>
      <c r="W314" s="186"/>
      <c r="X314" s="186"/>
      <c r="Y314" s="186"/>
      <c r="Z314" s="186"/>
      <c r="AA314" s="186"/>
      <c r="AB314" s="186"/>
      <c r="AC314" s="186"/>
      <c r="AD314" s="186"/>
      <c r="AE314" s="186"/>
    </row>
    <row r="315">
      <c r="A315" s="178"/>
      <c r="B315" s="36"/>
      <c r="C315" s="36"/>
      <c r="D315" s="197"/>
      <c r="E315" s="180"/>
      <c r="F315" s="181"/>
      <c r="G315" s="205"/>
      <c r="H315" s="205"/>
      <c r="I315" s="205"/>
      <c r="J315" s="205"/>
      <c r="K315" s="205"/>
      <c r="L315" s="205"/>
      <c r="M315" s="186"/>
      <c r="N315" s="186"/>
      <c r="O315" s="186"/>
      <c r="P315" s="186"/>
      <c r="Q315" s="186"/>
      <c r="R315" s="186"/>
      <c r="S315" s="186"/>
      <c r="T315" s="186"/>
      <c r="U315" s="186"/>
      <c r="V315" s="186"/>
      <c r="W315" s="186"/>
      <c r="X315" s="186"/>
      <c r="Y315" s="186"/>
      <c r="Z315" s="186"/>
      <c r="AA315" s="186"/>
      <c r="AB315" s="186"/>
      <c r="AC315" s="186"/>
      <c r="AD315" s="186"/>
      <c r="AE315" s="186"/>
    </row>
    <row r="316">
      <c r="A316" s="178"/>
      <c r="B316" s="36"/>
      <c r="C316" s="36"/>
      <c r="D316" s="197"/>
      <c r="E316" s="180"/>
      <c r="F316" s="181"/>
      <c r="G316" s="205"/>
      <c r="H316" s="205"/>
      <c r="I316" s="205"/>
      <c r="J316" s="205"/>
      <c r="K316" s="205"/>
      <c r="L316" s="205"/>
      <c r="M316" s="186"/>
      <c r="N316" s="186"/>
      <c r="O316" s="186"/>
      <c r="P316" s="186"/>
      <c r="Q316" s="186"/>
      <c r="R316" s="186"/>
      <c r="S316" s="186"/>
      <c r="T316" s="186"/>
      <c r="U316" s="186"/>
      <c r="V316" s="186"/>
      <c r="W316" s="186"/>
      <c r="X316" s="186"/>
      <c r="Y316" s="186"/>
      <c r="Z316" s="186"/>
      <c r="AA316" s="186"/>
      <c r="AB316" s="186"/>
      <c r="AC316" s="186"/>
      <c r="AD316" s="186"/>
      <c r="AE316" s="186"/>
    </row>
    <row r="317">
      <c r="A317" s="178"/>
      <c r="B317" s="36"/>
      <c r="C317" s="36"/>
      <c r="D317" s="197"/>
      <c r="E317" s="180"/>
      <c r="F317" s="181"/>
      <c r="G317" s="205"/>
      <c r="H317" s="205"/>
      <c r="I317" s="205"/>
      <c r="J317" s="205"/>
      <c r="K317" s="205"/>
      <c r="L317" s="205"/>
      <c r="M317" s="186"/>
      <c r="N317" s="186"/>
      <c r="O317" s="186"/>
      <c r="P317" s="186"/>
      <c r="Q317" s="186"/>
      <c r="R317" s="186"/>
      <c r="S317" s="186"/>
      <c r="T317" s="186"/>
      <c r="U317" s="186"/>
      <c r="V317" s="186"/>
      <c r="W317" s="186"/>
      <c r="X317" s="186"/>
      <c r="Y317" s="186"/>
      <c r="Z317" s="186"/>
      <c r="AA317" s="186"/>
      <c r="AB317" s="186"/>
      <c r="AC317" s="186"/>
      <c r="AD317" s="186"/>
      <c r="AE317" s="186"/>
    </row>
    <row r="318">
      <c r="A318" s="178"/>
      <c r="B318" s="36"/>
      <c r="C318" s="36"/>
      <c r="D318" s="197"/>
      <c r="E318" s="180"/>
      <c r="F318" s="181"/>
      <c r="G318" s="205"/>
      <c r="H318" s="205"/>
      <c r="I318" s="205"/>
      <c r="J318" s="205"/>
      <c r="K318" s="205"/>
      <c r="L318" s="205"/>
      <c r="M318" s="186"/>
      <c r="N318" s="186"/>
      <c r="O318" s="186"/>
      <c r="P318" s="186"/>
      <c r="Q318" s="186"/>
      <c r="R318" s="186"/>
      <c r="S318" s="186"/>
      <c r="T318" s="186"/>
      <c r="U318" s="186"/>
      <c r="V318" s="186"/>
      <c r="W318" s="186"/>
      <c r="X318" s="186"/>
      <c r="Y318" s="186"/>
      <c r="Z318" s="186"/>
      <c r="AA318" s="186"/>
      <c r="AB318" s="186"/>
      <c r="AC318" s="186"/>
      <c r="AD318" s="186"/>
      <c r="AE318" s="186"/>
    </row>
    <row r="319">
      <c r="A319" s="178"/>
      <c r="B319" s="36"/>
      <c r="C319" s="36"/>
      <c r="D319" s="197"/>
      <c r="E319" s="180"/>
      <c r="F319" s="181"/>
      <c r="G319" s="205"/>
      <c r="H319" s="205"/>
      <c r="I319" s="205"/>
      <c r="J319" s="205"/>
      <c r="K319" s="205"/>
      <c r="L319" s="205"/>
      <c r="M319" s="186"/>
      <c r="N319" s="186"/>
      <c r="O319" s="186"/>
      <c r="P319" s="186"/>
      <c r="Q319" s="186"/>
      <c r="R319" s="186"/>
      <c r="S319" s="186"/>
      <c r="T319" s="186"/>
      <c r="U319" s="186"/>
      <c r="V319" s="186"/>
      <c r="W319" s="186"/>
      <c r="X319" s="186"/>
      <c r="Y319" s="186"/>
      <c r="Z319" s="186"/>
      <c r="AA319" s="186"/>
      <c r="AB319" s="186"/>
      <c r="AC319" s="186"/>
      <c r="AD319" s="186"/>
      <c r="AE319" s="186"/>
    </row>
    <row r="320">
      <c r="A320" s="178"/>
      <c r="B320" s="36"/>
      <c r="C320" s="36"/>
      <c r="D320" s="197"/>
      <c r="E320" s="180"/>
      <c r="F320" s="181"/>
      <c r="G320" s="205"/>
      <c r="H320" s="205"/>
      <c r="I320" s="205"/>
      <c r="J320" s="205"/>
      <c r="K320" s="205"/>
      <c r="L320" s="205"/>
      <c r="M320" s="186"/>
      <c r="N320" s="186"/>
      <c r="O320" s="186"/>
      <c r="P320" s="186"/>
      <c r="Q320" s="186"/>
      <c r="R320" s="186"/>
      <c r="S320" s="186"/>
      <c r="T320" s="186"/>
      <c r="U320" s="186"/>
      <c r="V320" s="186"/>
      <c r="W320" s="186"/>
      <c r="X320" s="186"/>
      <c r="Y320" s="186"/>
      <c r="Z320" s="186"/>
      <c r="AA320" s="186"/>
      <c r="AB320" s="186"/>
      <c r="AC320" s="186"/>
      <c r="AD320" s="186"/>
      <c r="AE320" s="186"/>
    </row>
    <row r="321">
      <c r="A321" s="178"/>
      <c r="B321" s="36"/>
      <c r="C321" s="36"/>
      <c r="D321" s="197"/>
      <c r="E321" s="180"/>
      <c r="F321" s="181"/>
      <c r="G321" s="205"/>
      <c r="H321" s="205"/>
      <c r="I321" s="205"/>
      <c r="J321" s="205"/>
      <c r="K321" s="205"/>
      <c r="L321" s="205"/>
      <c r="M321" s="186"/>
      <c r="N321" s="186"/>
      <c r="O321" s="186"/>
      <c r="P321" s="186"/>
      <c r="Q321" s="186"/>
      <c r="R321" s="186"/>
      <c r="S321" s="186"/>
      <c r="T321" s="186"/>
      <c r="U321" s="186"/>
      <c r="V321" s="186"/>
      <c r="W321" s="186"/>
      <c r="X321" s="186"/>
      <c r="Y321" s="186"/>
      <c r="Z321" s="186"/>
      <c r="AA321" s="186"/>
      <c r="AB321" s="186"/>
      <c r="AC321" s="186"/>
      <c r="AD321" s="186"/>
      <c r="AE321" s="186"/>
    </row>
    <row r="322">
      <c r="A322" s="178"/>
      <c r="B322" s="36"/>
      <c r="C322" s="36"/>
      <c r="D322" s="197"/>
      <c r="E322" s="180"/>
      <c r="F322" s="181"/>
      <c r="G322" s="205"/>
      <c r="H322" s="205"/>
      <c r="I322" s="205"/>
      <c r="J322" s="205"/>
      <c r="K322" s="205"/>
      <c r="L322" s="205"/>
      <c r="M322" s="186"/>
      <c r="N322" s="186"/>
      <c r="O322" s="186"/>
      <c r="P322" s="186"/>
      <c r="Q322" s="186"/>
      <c r="R322" s="186"/>
      <c r="S322" s="186"/>
      <c r="T322" s="186"/>
      <c r="U322" s="186"/>
      <c r="V322" s="186"/>
      <c r="W322" s="186"/>
      <c r="X322" s="186"/>
      <c r="Y322" s="186"/>
      <c r="Z322" s="186"/>
      <c r="AA322" s="186"/>
      <c r="AB322" s="186"/>
      <c r="AC322" s="186"/>
      <c r="AD322" s="186"/>
      <c r="AE322" s="186"/>
    </row>
    <row r="323">
      <c r="A323" s="178"/>
      <c r="B323" s="36"/>
      <c r="C323" s="36"/>
      <c r="D323" s="197"/>
      <c r="E323" s="180"/>
      <c r="F323" s="181"/>
      <c r="G323" s="205"/>
      <c r="H323" s="205"/>
      <c r="I323" s="205"/>
      <c r="J323" s="205"/>
      <c r="K323" s="205"/>
      <c r="L323" s="205"/>
      <c r="M323" s="186"/>
      <c r="N323" s="186"/>
      <c r="O323" s="186"/>
      <c r="P323" s="186"/>
      <c r="Q323" s="186"/>
      <c r="R323" s="186"/>
      <c r="S323" s="186"/>
      <c r="T323" s="186"/>
      <c r="U323" s="186"/>
      <c r="V323" s="186"/>
      <c r="W323" s="186"/>
      <c r="X323" s="186"/>
      <c r="Y323" s="186"/>
      <c r="Z323" s="186"/>
      <c r="AA323" s="186"/>
      <c r="AB323" s="186"/>
      <c r="AC323" s="186"/>
      <c r="AD323" s="186"/>
      <c r="AE323" s="186"/>
    </row>
    <row r="324">
      <c r="A324" s="178"/>
      <c r="B324" s="36"/>
      <c r="C324" s="36"/>
      <c r="D324" s="197"/>
      <c r="E324" s="180"/>
      <c r="F324" s="181"/>
      <c r="G324" s="205"/>
      <c r="H324" s="205"/>
      <c r="I324" s="205"/>
      <c r="J324" s="205"/>
      <c r="K324" s="205"/>
      <c r="L324" s="205"/>
      <c r="M324" s="186"/>
      <c r="N324" s="186"/>
      <c r="O324" s="186"/>
      <c r="P324" s="186"/>
      <c r="Q324" s="186"/>
      <c r="R324" s="186"/>
      <c r="S324" s="186"/>
      <c r="T324" s="186"/>
      <c r="U324" s="186"/>
      <c r="V324" s="186"/>
      <c r="W324" s="186"/>
      <c r="X324" s="186"/>
      <c r="Y324" s="186"/>
      <c r="Z324" s="186"/>
      <c r="AA324" s="186"/>
      <c r="AB324" s="186"/>
      <c r="AC324" s="186"/>
      <c r="AD324" s="186"/>
      <c r="AE324" s="186"/>
    </row>
    <row r="325">
      <c r="A325" s="178"/>
      <c r="B325" s="36"/>
      <c r="C325" s="36"/>
      <c r="D325" s="197"/>
      <c r="E325" s="180"/>
      <c r="F325" s="181"/>
      <c r="G325" s="205"/>
      <c r="H325" s="205"/>
      <c r="I325" s="205"/>
      <c r="J325" s="205"/>
      <c r="K325" s="205"/>
      <c r="L325" s="205"/>
      <c r="M325" s="186"/>
      <c r="N325" s="186"/>
      <c r="O325" s="186"/>
      <c r="P325" s="186"/>
      <c r="Q325" s="186"/>
      <c r="R325" s="186"/>
      <c r="S325" s="186"/>
      <c r="T325" s="186"/>
      <c r="U325" s="186"/>
      <c r="V325" s="186"/>
      <c r="W325" s="186"/>
      <c r="X325" s="186"/>
      <c r="Y325" s="186"/>
      <c r="Z325" s="186"/>
      <c r="AA325" s="186"/>
      <c r="AB325" s="186"/>
      <c r="AC325" s="186"/>
      <c r="AD325" s="186"/>
      <c r="AE325" s="186"/>
    </row>
    <row r="326">
      <c r="A326" s="178"/>
      <c r="B326" s="36"/>
      <c r="C326" s="36"/>
      <c r="D326" s="197"/>
      <c r="E326" s="180"/>
      <c r="F326" s="181"/>
      <c r="G326" s="205"/>
      <c r="H326" s="205"/>
      <c r="I326" s="205"/>
      <c r="J326" s="205"/>
      <c r="K326" s="205"/>
      <c r="L326" s="205"/>
      <c r="M326" s="186"/>
      <c r="N326" s="186"/>
      <c r="O326" s="186"/>
      <c r="P326" s="186"/>
      <c r="Q326" s="186"/>
      <c r="R326" s="186"/>
      <c r="S326" s="186"/>
      <c r="T326" s="186"/>
      <c r="U326" s="186"/>
      <c r="V326" s="186"/>
      <c r="W326" s="186"/>
      <c r="X326" s="186"/>
      <c r="Y326" s="186"/>
      <c r="Z326" s="186"/>
      <c r="AA326" s="186"/>
      <c r="AB326" s="186"/>
      <c r="AC326" s="186"/>
      <c r="AD326" s="186"/>
      <c r="AE326" s="186"/>
    </row>
    <row r="327">
      <c r="A327" s="178"/>
      <c r="B327" s="36"/>
      <c r="C327" s="36"/>
      <c r="D327" s="197"/>
      <c r="E327" s="180"/>
      <c r="F327" s="181"/>
      <c r="G327" s="205"/>
      <c r="H327" s="205"/>
      <c r="I327" s="205"/>
      <c r="J327" s="205"/>
      <c r="K327" s="205"/>
      <c r="L327" s="205"/>
      <c r="M327" s="186"/>
      <c r="N327" s="186"/>
      <c r="O327" s="186"/>
      <c r="P327" s="186"/>
      <c r="Q327" s="186"/>
      <c r="R327" s="186"/>
      <c r="S327" s="186"/>
      <c r="T327" s="186"/>
      <c r="U327" s="186"/>
      <c r="V327" s="186"/>
      <c r="W327" s="186"/>
      <c r="X327" s="186"/>
      <c r="Y327" s="186"/>
      <c r="Z327" s="186"/>
      <c r="AA327" s="186"/>
      <c r="AB327" s="186"/>
      <c r="AC327" s="186"/>
      <c r="AD327" s="186"/>
      <c r="AE327" s="186"/>
    </row>
    <row r="328">
      <c r="A328" s="178"/>
      <c r="B328" s="36"/>
      <c r="C328" s="36"/>
      <c r="D328" s="197"/>
      <c r="E328" s="180"/>
      <c r="F328" s="181"/>
      <c r="G328" s="205"/>
      <c r="H328" s="205"/>
      <c r="I328" s="205"/>
      <c r="J328" s="205"/>
      <c r="K328" s="205"/>
      <c r="L328" s="205"/>
      <c r="M328" s="186"/>
      <c r="N328" s="186"/>
      <c r="O328" s="186"/>
      <c r="P328" s="186"/>
      <c r="Q328" s="186"/>
      <c r="R328" s="186"/>
      <c r="S328" s="186"/>
      <c r="T328" s="186"/>
      <c r="U328" s="186"/>
      <c r="V328" s="186"/>
      <c r="W328" s="186"/>
      <c r="X328" s="186"/>
      <c r="Y328" s="186"/>
      <c r="Z328" s="186"/>
      <c r="AA328" s="186"/>
      <c r="AB328" s="186"/>
      <c r="AC328" s="186"/>
      <c r="AD328" s="186"/>
      <c r="AE328" s="186"/>
    </row>
    <row r="329">
      <c r="A329" s="178"/>
      <c r="B329" s="36"/>
      <c r="C329" s="36"/>
      <c r="D329" s="197"/>
      <c r="E329" s="180"/>
      <c r="F329" s="181"/>
      <c r="G329" s="205"/>
      <c r="H329" s="205"/>
      <c r="I329" s="205"/>
      <c r="J329" s="205"/>
      <c r="K329" s="205"/>
      <c r="L329" s="205"/>
      <c r="M329" s="186"/>
      <c r="N329" s="186"/>
      <c r="O329" s="186"/>
      <c r="P329" s="186"/>
      <c r="Q329" s="186"/>
      <c r="R329" s="186"/>
      <c r="S329" s="186"/>
      <c r="T329" s="186"/>
      <c r="U329" s="186"/>
      <c r="V329" s="186"/>
      <c r="W329" s="186"/>
      <c r="X329" s="186"/>
      <c r="Y329" s="186"/>
      <c r="Z329" s="186"/>
      <c r="AA329" s="186"/>
      <c r="AB329" s="186"/>
      <c r="AC329" s="186"/>
      <c r="AD329" s="186"/>
      <c r="AE329" s="186"/>
    </row>
    <row r="330">
      <c r="A330" s="178"/>
      <c r="B330" s="36"/>
      <c r="C330" s="36"/>
      <c r="D330" s="197"/>
      <c r="E330" s="180"/>
      <c r="F330" s="181"/>
      <c r="G330" s="205"/>
      <c r="H330" s="205"/>
      <c r="I330" s="205"/>
      <c r="J330" s="205"/>
      <c r="K330" s="205"/>
      <c r="L330" s="205"/>
      <c r="M330" s="186"/>
      <c r="N330" s="186"/>
      <c r="O330" s="186"/>
      <c r="P330" s="186"/>
      <c r="Q330" s="186"/>
      <c r="R330" s="186"/>
      <c r="S330" s="186"/>
      <c r="T330" s="186"/>
      <c r="U330" s="186"/>
      <c r="V330" s="186"/>
      <c r="W330" s="186"/>
      <c r="X330" s="186"/>
      <c r="Y330" s="186"/>
      <c r="Z330" s="186"/>
      <c r="AA330" s="186"/>
      <c r="AB330" s="186"/>
      <c r="AC330" s="186"/>
      <c r="AD330" s="186"/>
      <c r="AE330" s="186"/>
    </row>
    <row r="331">
      <c r="A331" s="178"/>
      <c r="B331" s="36"/>
      <c r="C331" s="36"/>
      <c r="D331" s="197"/>
      <c r="E331" s="180"/>
      <c r="F331" s="181"/>
      <c r="G331" s="205"/>
      <c r="H331" s="205"/>
      <c r="I331" s="205"/>
      <c r="J331" s="205"/>
      <c r="K331" s="205"/>
      <c r="L331" s="205"/>
      <c r="M331" s="186"/>
      <c r="N331" s="186"/>
      <c r="O331" s="186"/>
      <c r="P331" s="186"/>
      <c r="Q331" s="186"/>
      <c r="R331" s="186"/>
      <c r="S331" s="186"/>
      <c r="T331" s="186"/>
      <c r="U331" s="186"/>
      <c r="V331" s="186"/>
      <c r="W331" s="186"/>
      <c r="X331" s="186"/>
      <c r="Y331" s="186"/>
      <c r="Z331" s="186"/>
      <c r="AA331" s="186"/>
      <c r="AB331" s="186"/>
      <c r="AC331" s="186"/>
      <c r="AD331" s="186"/>
      <c r="AE331" s="186"/>
    </row>
    <row r="332">
      <c r="A332" s="178"/>
      <c r="B332" s="36"/>
      <c r="C332" s="36"/>
      <c r="D332" s="197"/>
      <c r="E332" s="180"/>
      <c r="F332" s="181"/>
      <c r="G332" s="205"/>
      <c r="H332" s="205"/>
      <c r="I332" s="205"/>
      <c r="J332" s="205"/>
      <c r="K332" s="205"/>
      <c r="L332" s="205"/>
      <c r="M332" s="186"/>
      <c r="N332" s="186"/>
      <c r="O332" s="186"/>
      <c r="P332" s="186"/>
      <c r="Q332" s="186"/>
      <c r="R332" s="186"/>
      <c r="S332" s="186"/>
      <c r="T332" s="186"/>
      <c r="U332" s="186"/>
      <c r="V332" s="186"/>
      <c r="W332" s="186"/>
      <c r="X332" s="186"/>
      <c r="Y332" s="186"/>
      <c r="Z332" s="186"/>
      <c r="AA332" s="186"/>
      <c r="AB332" s="186"/>
      <c r="AC332" s="186"/>
      <c r="AD332" s="186"/>
      <c r="AE332" s="186"/>
    </row>
    <row r="333">
      <c r="A333" s="178"/>
      <c r="B333" s="36"/>
      <c r="C333" s="36"/>
      <c r="D333" s="197"/>
      <c r="E333" s="180"/>
      <c r="F333" s="181"/>
      <c r="G333" s="205"/>
      <c r="H333" s="205"/>
      <c r="I333" s="205"/>
      <c r="J333" s="205"/>
      <c r="K333" s="205"/>
      <c r="L333" s="205"/>
      <c r="M333" s="186"/>
      <c r="N333" s="186"/>
      <c r="O333" s="186"/>
      <c r="P333" s="186"/>
      <c r="Q333" s="186"/>
      <c r="R333" s="186"/>
      <c r="S333" s="186"/>
      <c r="T333" s="186"/>
      <c r="U333" s="186"/>
      <c r="V333" s="186"/>
      <c r="W333" s="186"/>
      <c r="X333" s="186"/>
      <c r="Y333" s="186"/>
      <c r="Z333" s="186"/>
      <c r="AA333" s="186"/>
      <c r="AB333" s="186"/>
      <c r="AC333" s="186"/>
      <c r="AD333" s="186"/>
      <c r="AE333" s="186"/>
    </row>
    <row r="334">
      <c r="A334" s="178"/>
      <c r="B334" s="36"/>
      <c r="C334" s="36"/>
      <c r="D334" s="197"/>
      <c r="E334" s="180"/>
      <c r="F334" s="181"/>
      <c r="G334" s="205"/>
      <c r="H334" s="205"/>
      <c r="I334" s="205"/>
      <c r="J334" s="205"/>
      <c r="K334" s="205"/>
      <c r="L334" s="205"/>
      <c r="M334" s="186"/>
      <c r="N334" s="186"/>
      <c r="O334" s="186"/>
      <c r="P334" s="186"/>
      <c r="Q334" s="186"/>
      <c r="R334" s="186"/>
      <c r="S334" s="186"/>
      <c r="T334" s="186"/>
      <c r="U334" s="186"/>
      <c r="V334" s="186"/>
      <c r="W334" s="186"/>
      <c r="X334" s="186"/>
      <c r="Y334" s="186"/>
      <c r="Z334" s="186"/>
      <c r="AA334" s="186"/>
      <c r="AB334" s="186"/>
      <c r="AC334" s="186"/>
      <c r="AD334" s="186"/>
      <c r="AE334" s="186"/>
    </row>
    <row r="335">
      <c r="A335" s="178"/>
      <c r="B335" s="36"/>
      <c r="C335" s="36"/>
      <c r="D335" s="197"/>
      <c r="E335" s="180"/>
      <c r="F335" s="181"/>
      <c r="G335" s="205"/>
      <c r="H335" s="205"/>
      <c r="I335" s="205"/>
      <c r="J335" s="205"/>
      <c r="K335" s="205"/>
      <c r="L335" s="205"/>
      <c r="M335" s="186"/>
      <c r="N335" s="186"/>
      <c r="O335" s="186"/>
      <c r="P335" s="186"/>
      <c r="Q335" s="186"/>
      <c r="R335" s="186"/>
      <c r="S335" s="186"/>
      <c r="T335" s="186"/>
      <c r="U335" s="186"/>
      <c r="V335" s="186"/>
      <c r="W335" s="186"/>
      <c r="X335" s="186"/>
      <c r="Y335" s="186"/>
      <c r="Z335" s="186"/>
      <c r="AA335" s="186"/>
      <c r="AB335" s="186"/>
      <c r="AC335" s="186"/>
      <c r="AD335" s="186"/>
      <c r="AE335" s="186"/>
    </row>
    <row r="336">
      <c r="A336" s="178"/>
      <c r="B336" s="36"/>
      <c r="C336" s="36"/>
      <c r="D336" s="197"/>
      <c r="E336" s="180"/>
      <c r="F336" s="181"/>
      <c r="G336" s="205"/>
      <c r="H336" s="205"/>
      <c r="I336" s="205"/>
      <c r="J336" s="205"/>
      <c r="K336" s="205"/>
      <c r="L336" s="205"/>
      <c r="M336" s="186"/>
      <c r="N336" s="186"/>
      <c r="O336" s="186"/>
      <c r="P336" s="186"/>
      <c r="Q336" s="186"/>
      <c r="R336" s="186"/>
      <c r="S336" s="186"/>
      <c r="T336" s="186"/>
      <c r="U336" s="186"/>
      <c r="V336" s="186"/>
      <c r="W336" s="186"/>
      <c r="X336" s="186"/>
      <c r="Y336" s="186"/>
      <c r="Z336" s="186"/>
      <c r="AA336" s="186"/>
      <c r="AB336" s="186"/>
      <c r="AC336" s="186"/>
      <c r="AD336" s="186"/>
      <c r="AE336" s="186"/>
    </row>
    <row r="337">
      <c r="A337" s="178"/>
      <c r="B337" s="36"/>
      <c r="C337" s="36"/>
      <c r="D337" s="197"/>
      <c r="E337" s="180"/>
      <c r="F337" s="181"/>
      <c r="G337" s="205"/>
      <c r="H337" s="205"/>
      <c r="I337" s="205"/>
      <c r="J337" s="205"/>
      <c r="K337" s="205"/>
      <c r="L337" s="205"/>
      <c r="M337" s="186"/>
      <c r="N337" s="186"/>
      <c r="O337" s="186"/>
      <c r="P337" s="186"/>
      <c r="Q337" s="186"/>
      <c r="R337" s="186"/>
      <c r="S337" s="186"/>
      <c r="T337" s="186"/>
      <c r="U337" s="186"/>
      <c r="V337" s="186"/>
      <c r="W337" s="186"/>
      <c r="X337" s="186"/>
      <c r="Y337" s="186"/>
      <c r="Z337" s="186"/>
      <c r="AA337" s="186"/>
      <c r="AB337" s="186"/>
      <c r="AC337" s="186"/>
      <c r="AD337" s="186"/>
      <c r="AE337" s="186"/>
    </row>
    <row r="338">
      <c r="A338" s="178"/>
      <c r="B338" s="36"/>
      <c r="C338" s="36"/>
      <c r="D338" s="197"/>
      <c r="E338" s="180"/>
      <c r="F338" s="181"/>
      <c r="G338" s="205"/>
      <c r="H338" s="205"/>
      <c r="I338" s="205"/>
      <c r="J338" s="205"/>
      <c r="K338" s="205"/>
      <c r="L338" s="205"/>
      <c r="M338" s="186"/>
      <c r="N338" s="186"/>
      <c r="O338" s="186"/>
      <c r="P338" s="186"/>
      <c r="Q338" s="186"/>
      <c r="R338" s="186"/>
      <c r="S338" s="186"/>
      <c r="T338" s="186"/>
      <c r="U338" s="186"/>
      <c r="V338" s="186"/>
      <c r="W338" s="186"/>
      <c r="X338" s="186"/>
      <c r="Y338" s="186"/>
      <c r="Z338" s="186"/>
      <c r="AA338" s="186"/>
      <c r="AB338" s="186"/>
      <c r="AC338" s="186"/>
      <c r="AD338" s="186"/>
      <c r="AE338" s="186"/>
    </row>
    <row r="339">
      <c r="A339" s="178"/>
      <c r="B339" s="36"/>
      <c r="C339" s="36"/>
      <c r="D339" s="197"/>
      <c r="E339" s="180"/>
      <c r="F339" s="181"/>
      <c r="G339" s="205"/>
      <c r="H339" s="205"/>
      <c r="I339" s="205"/>
      <c r="J339" s="205"/>
      <c r="K339" s="205"/>
      <c r="L339" s="205"/>
      <c r="M339" s="186"/>
      <c r="N339" s="186"/>
      <c r="O339" s="186"/>
      <c r="P339" s="186"/>
      <c r="Q339" s="186"/>
      <c r="R339" s="186"/>
      <c r="S339" s="186"/>
      <c r="T339" s="186"/>
      <c r="U339" s="186"/>
      <c r="V339" s="186"/>
      <c r="W339" s="186"/>
      <c r="X339" s="186"/>
      <c r="Y339" s="186"/>
      <c r="Z339" s="186"/>
      <c r="AA339" s="186"/>
      <c r="AB339" s="186"/>
      <c r="AC339" s="186"/>
      <c r="AD339" s="186"/>
      <c r="AE339" s="186"/>
    </row>
    <row r="340">
      <c r="A340" s="178"/>
      <c r="B340" s="36"/>
      <c r="C340" s="36"/>
      <c r="D340" s="197"/>
      <c r="E340" s="180"/>
      <c r="F340" s="181"/>
      <c r="G340" s="205"/>
      <c r="H340" s="205"/>
      <c r="I340" s="205"/>
      <c r="J340" s="205"/>
      <c r="K340" s="205"/>
      <c r="L340" s="205"/>
      <c r="M340" s="186"/>
      <c r="N340" s="186"/>
      <c r="O340" s="186"/>
      <c r="P340" s="186"/>
      <c r="Q340" s="186"/>
      <c r="R340" s="186"/>
      <c r="S340" s="186"/>
      <c r="T340" s="186"/>
      <c r="U340" s="186"/>
      <c r="V340" s="186"/>
      <c r="W340" s="186"/>
      <c r="X340" s="186"/>
      <c r="Y340" s="186"/>
      <c r="Z340" s="186"/>
      <c r="AA340" s="186"/>
      <c r="AB340" s="186"/>
      <c r="AC340" s="186"/>
      <c r="AD340" s="186"/>
      <c r="AE340" s="186"/>
    </row>
    <row r="341">
      <c r="A341" s="178"/>
      <c r="B341" s="36"/>
      <c r="C341" s="36"/>
      <c r="D341" s="197"/>
      <c r="E341" s="180"/>
      <c r="F341" s="181"/>
      <c r="G341" s="205"/>
      <c r="H341" s="205"/>
      <c r="I341" s="205"/>
      <c r="J341" s="205"/>
      <c r="K341" s="205"/>
      <c r="L341" s="205"/>
      <c r="M341" s="186"/>
      <c r="N341" s="186"/>
      <c r="O341" s="186"/>
      <c r="P341" s="186"/>
      <c r="Q341" s="186"/>
      <c r="R341" s="186"/>
      <c r="S341" s="186"/>
      <c r="T341" s="186"/>
      <c r="U341" s="186"/>
      <c r="V341" s="186"/>
      <c r="W341" s="186"/>
      <c r="X341" s="186"/>
      <c r="Y341" s="186"/>
      <c r="Z341" s="186"/>
      <c r="AA341" s="186"/>
      <c r="AB341" s="186"/>
      <c r="AC341" s="186"/>
      <c r="AD341" s="186"/>
      <c r="AE341" s="186"/>
    </row>
    <row r="342">
      <c r="A342" s="178"/>
      <c r="B342" s="36"/>
      <c r="C342" s="36"/>
      <c r="D342" s="197"/>
      <c r="E342" s="180"/>
      <c r="F342" s="181"/>
      <c r="G342" s="205"/>
      <c r="H342" s="205"/>
      <c r="I342" s="205"/>
      <c r="J342" s="205"/>
      <c r="K342" s="205"/>
      <c r="L342" s="205"/>
      <c r="M342" s="186"/>
      <c r="N342" s="186"/>
      <c r="O342" s="186"/>
      <c r="P342" s="186"/>
      <c r="Q342" s="186"/>
      <c r="R342" s="186"/>
      <c r="S342" s="186"/>
      <c r="T342" s="186"/>
      <c r="U342" s="186"/>
      <c r="V342" s="186"/>
      <c r="W342" s="186"/>
      <c r="X342" s="186"/>
      <c r="Y342" s="186"/>
      <c r="Z342" s="186"/>
      <c r="AA342" s="186"/>
      <c r="AB342" s="186"/>
      <c r="AC342" s="186"/>
      <c r="AD342" s="186"/>
      <c r="AE342" s="186"/>
    </row>
    <row r="343">
      <c r="A343" s="178"/>
      <c r="B343" s="36"/>
      <c r="C343" s="36"/>
      <c r="D343" s="197"/>
      <c r="E343" s="180"/>
      <c r="F343" s="181"/>
      <c r="G343" s="205"/>
      <c r="H343" s="205"/>
      <c r="I343" s="205"/>
      <c r="J343" s="205"/>
      <c r="K343" s="205"/>
      <c r="L343" s="205"/>
      <c r="M343" s="186"/>
      <c r="N343" s="186"/>
      <c r="O343" s="186"/>
      <c r="P343" s="186"/>
      <c r="Q343" s="186"/>
      <c r="R343" s="186"/>
      <c r="S343" s="186"/>
      <c r="T343" s="186"/>
      <c r="U343" s="186"/>
      <c r="V343" s="186"/>
      <c r="W343" s="186"/>
      <c r="X343" s="186"/>
      <c r="Y343" s="186"/>
      <c r="Z343" s="186"/>
      <c r="AA343" s="186"/>
      <c r="AB343" s="186"/>
      <c r="AC343" s="186"/>
      <c r="AD343" s="186"/>
      <c r="AE343" s="186"/>
    </row>
    <row r="344">
      <c r="A344" s="178"/>
      <c r="B344" s="36"/>
      <c r="C344" s="36"/>
      <c r="D344" s="197"/>
      <c r="E344" s="180"/>
      <c r="F344" s="181"/>
      <c r="G344" s="205"/>
      <c r="H344" s="205"/>
      <c r="I344" s="205"/>
      <c r="J344" s="205"/>
      <c r="K344" s="205"/>
      <c r="L344" s="205"/>
      <c r="M344" s="186"/>
      <c r="N344" s="186"/>
      <c r="O344" s="186"/>
      <c r="P344" s="186"/>
      <c r="Q344" s="186"/>
      <c r="R344" s="186"/>
      <c r="S344" s="186"/>
      <c r="T344" s="186"/>
      <c r="U344" s="186"/>
      <c r="V344" s="186"/>
      <c r="W344" s="186"/>
      <c r="X344" s="186"/>
      <c r="Y344" s="186"/>
      <c r="Z344" s="186"/>
      <c r="AA344" s="186"/>
      <c r="AB344" s="186"/>
      <c r="AC344" s="186"/>
      <c r="AD344" s="186"/>
      <c r="AE344" s="186"/>
    </row>
    <row r="345">
      <c r="A345" s="178"/>
      <c r="B345" s="36"/>
      <c r="C345" s="36"/>
      <c r="D345" s="197"/>
      <c r="E345" s="180"/>
      <c r="F345" s="181"/>
      <c r="G345" s="205"/>
      <c r="H345" s="205"/>
      <c r="I345" s="205"/>
      <c r="J345" s="205"/>
      <c r="K345" s="205"/>
      <c r="L345" s="205"/>
      <c r="M345" s="186"/>
      <c r="N345" s="186"/>
      <c r="O345" s="186"/>
      <c r="P345" s="186"/>
      <c r="Q345" s="186"/>
      <c r="R345" s="186"/>
      <c r="S345" s="186"/>
      <c r="T345" s="186"/>
      <c r="U345" s="186"/>
      <c r="V345" s="186"/>
      <c r="W345" s="186"/>
      <c r="X345" s="186"/>
      <c r="Y345" s="186"/>
      <c r="Z345" s="186"/>
      <c r="AA345" s="186"/>
      <c r="AB345" s="186"/>
      <c r="AC345" s="186"/>
      <c r="AD345" s="186"/>
      <c r="AE345" s="186"/>
    </row>
    <row r="346">
      <c r="A346" s="178"/>
      <c r="B346" s="36"/>
      <c r="C346" s="36"/>
      <c r="D346" s="197"/>
      <c r="E346" s="180"/>
      <c r="F346" s="181"/>
      <c r="G346" s="205"/>
      <c r="H346" s="205"/>
      <c r="I346" s="205"/>
      <c r="J346" s="205"/>
      <c r="K346" s="205"/>
      <c r="L346" s="205"/>
      <c r="M346" s="186"/>
      <c r="N346" s="186"/>
      <c r="O346" s="186"/>
      <c r="P346" s="186"/>
      <c r="Q346" s="186"/>
      <c r="R346" s="186"/>
      <c r="S346" s="186"/>
      <c r="T346" s="186"/>
      <c r="U346" s="186"/>
      <c r="V346" s="186"/>
      <c r="W346" s="186"/>
      <c r="X346" s="186"/>
      <c r="Y346" s="186"/>
      <c r="Z346" s="186"/>
      <c r="AA346" s="186"/>
      <c r="AB346" s="186"/>
      <c r="AC346" s="186"/>
      <c r="AD346" s="186"/>
      <c r="AE346" s="186"/>
    </row>
    <row r="347">
      <c r="A347" s="178"/>
      <c r="B347" s="36"/>
      <c r="C347" s="36"/>
      <c r="D347" s="197"/>
      <c r="E347" s="180"/>
      <c r="F347" s="181"/>
      <c r="G347" s="205"/>
      <c r="H347" s="205"/>
      <c r="I347" s="205"/>
      <c r="J347" s="205"/>
      <c r="K347" s="205"/>
      <c r="L347" s="205"/>
      <c r="M347" s="186"/>
      <c r="N347" s="186"/>
      <c r="O347" s="186"/>
      <c r="P347" s="186"/>
      <c r="Q347" s="186"/>
      <c r="R347" s="186"/>
      <c r="S347" s="186"/>
      <c r="T347" s="186"/>
      <c r="U347" s="186"/>
      <c r="V347" s="186"/>
      <c r="W347" s="186"/>
      <c r="X347" s="186"/>
      <c r="Y347" s="186"/>
      <c r="Z347" s="186"/>
      <c r="AA347" s="186"/>
      <c r="AB347" s="186"/>
      <c r="AC347" s="186"/>
      <c r="AD347" s="186"/>
      <c r="AE347" s="186"/>
    </row>
    <row r="348">
      <c r="A348" s="178"/>
      <c r="B348" s="36"/>
      <c r="C348" s="36"/>
      <c r="D348" s="197"/>
      <c r="E348" s="180"/>
      <c r="F348" s="181"/>
      <c r="G348" s="205"/>
      <c r="H348" s="205"/>
      <c r="I348" s="205"/>
      <c r="J348" s="205"/>
      <c r="K348" s="205"/>
      <c r="L348" s="205"/>
      <c r="M348" s="186"/>
      <c r="N348" s="186"/>
      <c r="O348" s="186"/>
      <c r="P348" s="186"/>
      <c r="Q348" s="186"/>
      <c r="R348" s="186"/>
      <c r="S348" s="186"/>
      <c r="T348" s="186"/>
      <c r="U348" s="186"/>
      <c r="V348" s="186"/>
      <c r="W348" s="186"/>
      <c r="X348" s="186"/>
      <c r="Y348" s="186"/>
      <c r="Z348" s="186"/>
      <c r="AA348" s="186"/>
      <c r="AB348" s="186"/>
      <c r="AC348" s="186"/>
      <c r="AD348" s="186"/>
      <c r="AE348" s="186"/>
    </row>
    <row r="349">
      <c r="A349" s="178"/>
      <c r="B349" s="36"/>
      <c r="C349" s="36"/>
      <c r="D349" s="197"/>
      <c r="E349" s="180"/>
      <c r="F349" s="181"/>
      <c r="G349" s="205"/>
      <c r="H349" s="205"/>
      <c r="I349" s="205"/>
      <c r="J349" s="205"/>
      <c r="K349" s="205"/>
      <c r="L349" s="205"/>
      <c r="M349" s="186"/>
      <c r="N349" s="186"/>
      <c r="O349" s="186"/>
      <c r="P349" s="186"/>
      <c r="Q349" s="186"/>
      <c r="R349" s="186"/>
      <c r="S349" s="186"/>
      <c r="T349" s="186"/>
      <c r="U349" s="186"/>
      <c r="V349" s="186"/>
      <c r="W349" s="186"/>
      <c r="X349" s="186"/>
      <c r="Y349" s="186"/>
      <c r="Z349" s="186"/>
      <c r="AA349" s="186"/>
      <c r="AB349" s="186"/>
      <c r="AC349" s="186"/>
      <c r="AD349" s="186"/>
      <c r="AE349" s="186"/>
    </row>
    <row r="350">
      <c r="A350" s="178"/>
      <c r="B350" s="36"/>
      <c r="C350" s="36"/>
      <c r="D350" s="197"/>
      <c r="E350" s="180"/>
      <c r="F350" s="181"/>
      <c r="G350" s="205"/>
      <c r="H350" s="205"/>
      <c r="I350" s="205"/>
      <c r="J350" s="205"/>
      <c r="K350" s="205"/>
      <c r="L350" s="205"/>
      <c r="M350" s="186"/>
      <c r="N350" s="186"/>
      <c r="O350" s="186"/>
      <c r="P350" s="186"/>
      <c r="Q350" s="186"/>
      <c r="R350" s="186"/>
      <c r="S350" s="186"/>
      <c r="T350" s="186"/>
      <c r="U350" s="186"/>
      <c r="V350" s="186"/>
      <c r="W350" s="186"/>
      <c r="X350" s="186"/>
      <c r="Y350" s="186"/>
      <c r="Z350" s="186"/>
      <c r="AA350" s="186"/>
      <c r="AB350" s="186"/>
      <c r="AC350" s="186"/>
      <c r="AD350" s="186"/>
      <c r="AE350" s="186"/>
    </row>
    <row r="351">
      <c r="A351" s="178"/>
      <c r="B351" s="36"/>
      <c r="C351" s="36"/>
      <c r="D351" s="197"/>
      <c r="E351" s="180"/>
      <c r="F351" s="181"/>
      <c r="G351" s="205"/>
      <c r="H351" s="205"/>
      <c r="I351" s="205"/>
      <c r="J351" s="205"/>
      <c r="K351" s="205"/>
      <c r="L351" s="205"/>
      <c r="M351" s="186"/>
      <c r="N351" s="186"/>
      <c r="O351" s="186"/>
      <c r="P351" s="186"/>
      <c r="Q351" s="186"/>
      <c r="R351" s="186"/>
      <c r="S351" s="186"/>
      <c r="T351" s="186"/>
      <c r="U351" s="186"/>
      <c r="V351" s="186"/>
      <c r="W351" s="186"/>
      <c r="X351" s="186"/>
      <c r="Y351" s="186"/>
      <c r="Z351" s="186"/>
      <c r="AA351" s="186"/>
      <c r="AB351" s="186"/>
      <c r="AC351" s="186"/>
      <c r="AD351" s="186"/>
      <c r="AE351" s="186"/>
    </row>
    <row r="352">
      <c r="A352" s="178"/>
      <c r="B352" s="36"/>
      <c r="C352" s="36"/>
      <c r="D352" s="197"/>
      <c r="E352" s="180"/>
      <c r="F352" s="181"/>
      <c r="G352" s="205"/>
      <c r="H352" s="205"/>
      <c r="I352" s="205"/>
      <c r="J352" s="205"/>
      <c r="K352" s="205"/>
      <c r="L352" s="205"/>
      <c r="M352" s="186"/>
      <c r="N352" s="186"/>
      <c r="O352" s="186"/>
      <c r="P352" s="186"/>
      <c r="Q352" s="186"/>
      <c r="R352" s="186"/>
      <c r="S352" s="186"/>
      <c r="T352" s="186"/>
      <c r="U352" s="186"/>
      <c r="V352" s="186"/>
      <c r="W352" s="186"/>
      <c r="X352" s="186"/>
      <c r="Y352" s="186"/>
      <c r="Z352" s="186"/>
      <c r="AA352" s="186"/>
      <c r="AB352" s="186"/>
      <c r="AC352" s="186"/>
      <c r="AD352" s="186"/>
      <c r="AE352" s="186"/>
    </row>
    <row r="353">
      <c r="A353" s="178"/>
      <c r="B353" s="36"/>
      <c r="C353" s="36"/>
      <c r="D353" s="197"/>
      <c r="E353" s="180"/>
      <c r="F353" s="181"/>
      <c r="G353" s="205"/>
      <c r="H353" s="205"/>
      <c r="I353" s="205"/>
      <c r="J353" s="205"/>
      <c r="K353" s="205"/>
      <c r="L353" s="205"/>
      <c r="M353" s="186"/>
      <c r="N353" s="186"/>
      <c r="O353" s="186"/>
      <c r="P353" s="186"/>
      <c r="Q353" s="186"/>
      <c r="R353" s="186"/>
      <c r="S353" s="186"/>
      <c r="T353" s="186"/>
      <c r="U353" s="186"/>
      <c r="V353" s="186"/>
      <c r="W353" s="186"/>
      <c r="X353" s="186"/>
      <c r="Y353" s="186"/>
      <c r="Z353" s="186"/>
      <c r="AA353" s="186"/>
      <c r="AB353" s="186"/>
      <c r="AC353" s="186"/>
      <c r="AD353" s="186"/>
      <c r="AE353" s="186"/>
    </row>
    <row r="354">
      <c r="A354" s="178"/>
      <c r="B354" s="36"/>
      <c r="C354" s="36"/>
      <c r="D354" s="197"/>
      <c r="E354" s="180"/>
      <c r="F354" s="181"/>
      <c r="G354" s="205"/>
      <c r="H354" s="205"/>
      <c r="I354" s="205"/>
      <c r="J354" s="205"/>
      <c r="K354" s="205"/>
      <c r="L354" s="205"/>
      <c r="M354" s="186"/>
      <c r="N354" s="186"/>
      <c r="O354" s="186"/>
      <c r="P354" s="186"/>
      <c r="Q354" s="186"/>
      <c r="R354" s="186"/>
      <c r="S354" s="186"/>
      <c r="T354" s="186"/>
      <c r="U354" s="186"/>
      <c r="V354" s="186"/>
      <c r="W354" s="186"/>
      <c r="X354" s="186"/>
      <c r="Y354" s="186"/>
      <c r="Z354" s="186"/>
      <c r="AA354" s="186"/>
      <c r="AB354" s="186"/>
      <c r="AC354" s="186"/>
      <c r="AD354" s="186"/>
      <c r="AE354" s="186"/>
    </row>
    <row r="355">
      <c r="A355" s="178"/>
      <c r="B355" s="36"/>
      <c r="C355" s="36"/>
      <c r="D355" s="197"/>
      <c r="E355" s="180"/>
      <c r="F355" s="181"/>
      <c r="G355" s="205"/>
      <c r="H355" s="205"/>
      <c r="I355" s="205"/>
      <c r="J355" s="205"/>
      <c r="K355" s="205"/>
      <c r="L355" s="205"/>
      <c r="M355" s="186"/>
      <c r="N355" s="186"/>
      <c r="O355" s="186"/>
      <c r="P355" s="186"/>
      <c r="Q355" s="186"/>
      <c r="R355" s="186"/>
      <c r="S355" s="186"/>
      <c r="T355" s="186"/>
      <c r="U355" s="186"/>
      <c r="V355" s="186"/>
      <c r="W355" s="186"/>
      <c r="X355" s="186"/>
      <c r="Y355" s="186"/>
      <c r="Z355" s="186"/>
      <c r="AA355" s="186"/>
      <c r="AB355" s="186"/>
      <c r="AC355" s="186"/>
      <c r="AD355" s="186"/>
      <c r="AE355" s="186"/>
    </row>
    <row r="356">
      <c r="A356" s="178"/>
      <c r="B356" s="36"/>
      <c r="C356" s="36"/>
      <c r="D356" s="197"/>
      <c r="E356" s="180"/>
      <c r="F356" s="181"/>
      <c r="G356" s="205"/>
      <c r="H356" s="205"/>
      <c r="I356" s="205"/>
      <c r="J356" s="205"/>
      <c r="K356" s="205"/>
      <c r="L356" s="205"/>
      <c r="M356" s="186"/>
      <c r="N356" s="186"/>
      <c r="O356" s="186"/>
      <c r="P356" s="186"/>
      <c r="Q356" s="186"/>
      <c r="R356" s="186"/>
      <c r="S356" s="186"/>
      <c r="T356" s="186"/>
      <c r="U356" s="186"/>
      <c r="V356" s="186"/>
      <c r="W356" s="186"/>
      <c r="X356" s="186"/>
      <c r="Y356" s="186"/>
      <c r="Z356" s="186"/>
      <c r="AA356" s="186"/>
      <c r="AB356" s="186"/>
      <c r="AC356" s="186"/>
      <c r="AD356" s="186"/>
      <c r="AE356" s="186"/>
    </row>
    <row r="357">
      <c r="A357" s="178"/>
      <c r="B357" s="36"/>
      <c r="C357" s="36"/>
      <c r="D357" s="197"/>
      <c r="E357" s="180"/>
      <c r="F357" s="181"/>
      <c r="G357" s="205"/>
      <c r="H357" s="205"/>
      <c r="I357" s="205"/>
      <c r="J357" s="205"/>
      <c r="K357" s="205"/>
      <c r="L357" s="205"/>
      <c r="M357" s="186"/>
      <c r="N357" s="186"/>
      <c r="O357" s="186"/>
      <c r="P357" s="186"/>
      <c r="Q357" s="186"/>
      <c r="R357" s="186"/>
      <c r="S357" s="186"/>
      <c r="T357" s="186"/>
      <c r="U357" s="186"/>
      <c r="V357" s="186"/>
      <c r="W357" s="186"/>
      <c r="X357" s="186"/>
      <c r="Y357" s="186"/>
      <c r="Z357" s="186"/>
      <c r="AA357" s="186"/>
      <c r="AB357" s="186"/>
      <c r="AC357" s="186"/>
      <c r="AD357" s="186"/>
      <c r="AE357" s="186"/>
    </row>
    <row r="358">
      <c r="A358" s="178"/>
      <c r="B358" s="36"/>
      <c r="C358" s="36"/>
      <c r="D358" s="197"/>
      <c r="E358" s="180"/>
      <c r="F358" s="181"/>
      <c r="G358" s="205"/>
      <c r="H358" s="205"/>
      <c r="I358" s="205"/>
      <c r="J358" s="205"/>
      <c r="K358" s="205"/>
      <c r="L358" s="205"/>
      <c r="M358" s="186"/>
      <c r="N358" s="186"/>
      <c r="O358" s="186"/>
      <c r="P358" s="186"/>
      <c r="Q358" s="186"/>
      <c r="R358" s="186"/>
      <c r="S358" s="186"/>
      <c r="T358" s="186"/>
      <c r="U358" s="186"/>
      <c r="V358" s="186"/>
      <c r="W358" s="186"/>
      <c r="X358" s="186"/>
      <c r="Y358" s="186"/>
      <c r="Z358" s="186"/>
      <c r="AA358" s="186"/>
      <c r="AB358" s="186"/>
      <c r="AC358" s="186"/>
      <c r="AD358" s="186"/>
      <c r="AE358" s="186"/>
    </row>
    <row r="359">
      <c r="A359" s="178"/>
      <c r="B359" s="36"/>
      <c r="C359" s="36"/>
      <c r="D359" s="197"/>
      <c r="E359" s="180"/>
      <c r="F359" s="181"/>
      <c r="G359" s="205"/>
      <c r="H359" s="205"/>
      <c r="I359" s="205"/>
      <c r="J359" s="205"/>
      <c r="K359" s="205"/>
      <c r="L359" s="205"/>
      <c r="M359" s="186"/>
      <c r="N359" s="186"/>
      <c r="O359" s="186"/>
      <c r="P359" s="186"/>
      <c r="Q359" s="186"/>
      <c r="R359" s="186"/>
      <c r="S359" s="186"/>
      <c r="T359" s="186"/>
      <c r="U359" s="186"/>
      <c r="V359" s="186"/>
      <c r="W359" s="186"/>
      <c r="X359" s="186"/>
      <c r="Y359" s="186"/>
      <c r="Z359" s="186"/>
      <c r="AA359" s="186"/>
      <c r="AB359" s="186"/>
      <c r="AC359" s="186"/>
      <c r="AD359" s="186"/>
      <c r="AE359" s="186"/>
    </row>
    <row r="360">
      <c r="A360" s="178"/>
      <c r="B360" s="36"/>
      <c r="C360" s="36"/>
      <c r="D360" s="197"/>
      <c r="E360" s="180"/>
      <c r="F360" s="181"/>
      <c r="G360" s="205"/>
      <c r="H360" s="205"/>
      <c r="I360" s="205"/>
      <c r="J360" s="205"/>
      <c r="K360" s="205"/>
      <c r="L360" s="205"/>
      <c r="M360" s="186"/>
      <c r="N360" s="186"/>
      <c r="O360" s="186"/>
      <c r="P360" s="186"/>
      <c r="Q360" s="186"/>
      <c r="R360" s="186"/>
      <c r="S360" s="186"/>
      <c r="T360" s="186"/>
      <c r="U360" s="186"/>
      <c r="V360" s="186"/>
      <c r="W360" s="186"/>
      <c r="X360" s="186"/>
      <c r="Y360" s="186"/>
      <c r="Z360" s="186"/>
      <c r="AA360" s="186"/>
      <c r="AB360" s="186"/>
      <c r="AC360" s="186"/>
      <c r="AD360" s="186"/>
      <c r="AE360" s="186"/>
    </row>
    <row r="361">
      <c r="A361" s="178"/>
      <c r="B361" s="36"/>
      <c r="C361" s="36"/>
      <c r="D361" s="197"/>
      <c r="E361" s="180"/>
      <c r="F361" s="181"/>
      <c r="G361" s="205"/>
      <c r="H361" s="205"/>
      <c r="I361" s="205"/>
      <c r="J361" s="205"/>
      <c r="K361" s="205"/>
      <c r="L361" s="205"/>
      <c r="M361" s="186"/>
      <c r="N361" s="186"/>
      <c r="O361" s="186"/>
      <c r="P361" s="186"/>
      <c r="Q361" s="186"/>
      <c r="R361" s="186"/>
      <c r="S361" s="186"/>
      <c r="T361" s="186"/>
      <c r="U361" s="186"/>
      <c r="V361" s="186"/>
      <c r="W361" s="186"/>
      <c r="X361" s="186"/>
      <c r="Y361" s="186"/>
      <c r="Z361" s="186"/>
      <c r="AA361" s="186"/>
      <c r="AB361" s="186"/>
      <c r="AC361" s="186"/>
      <c r="AD361" s="186"/>
      <c r="AE361" s="186"/>
    </row>
    <row r="362">
      <c r="A362" s="178"/>
      <c r="B362" s="36"/>
      <c r="C362" s="36"/>
      <c r="D362" s="197"/>
      <c r="E362" s="180"/>
      <c r="F362" s="181"/>
      <c r="G362" s="205"/>
      <c r="H362" s="205"/>
      <c r="I362" s="205"/>
      <c r="J362" s="205"/>
      <c r="K362" s="205"/>
      <c r="L362" s="205"/>
      <c r="M362" s="186"/>
      <c r="N362" s="186"/>
      <c r="O362" s="186"/>
      <c r="P362" s="186"/>
      <c r="Q362" s="186"/>
      <c r="R362" s="186"/>
      <c r="S362" s="186"/>
      <c r="T362" s="186"/>
      <c r="U362" s="186"/>
      <c r="V362" s="186"/>
      <c r="W362" s="186"/>
      <c r="X362" s="186"/>
      <c r="Y362" s="186"/>
      <c r="Z362" s="186"/>
      <c r="AA362" s="186"/>
      <c r="AB362" s="186"/>
      <c r="AC362" s="186"/>
      <c r="AD362" s="186"/>
      <c r="AE362" s="186"/>
    </row>
    <row r="363">
      <c r="A363" s="178"/>
      <c r="B363" s="36"/>
      <c r="C363" s="36"/>
      <c r="D363" s="197"/>
      <c r="E363" s="180"/>
      <c r="F363" s="181"/>
      <c r="G363" s="205"/>
      <c r="H363" s="205"/>
      <c r="I363" s="205"/>
      <c r="J363" s="205"/>
      <c r="K363" s="205"/>
      <c r="L363" s="205"/>
      <c r="M363" s="186"/>
      <c r="N363" s="186"/>
      <c r="O363" s="186"/>
      <c r="P363" s="186"/>
      <c r="Q363" s="186"/>
      <c r="R363" s="186"/>
      <c r="S363" s="186"/>
      <c r="T363" s="186"/>
      <c r="U363" s="186"/>
      <c r="V363" s="186"/>
      <c r="W363" s="186"/>
      <c r="X363" s="186"/>
      <c r="Y363" s="186"/>
      <c r="Z363" s="186"/>
      <c r="AA363" s="186"/>
      <c r="AB363" s="186"/>
      <c r="AC363" s="186"/>
      <c r="AD363" s="186"/>
      <c r="AE363" s="186"/>
    </row>
    <row r="364">
      <c r="A364" s="178"/>
      <c r="B364" s="36"/>
      <c r="C364" s="36"/>
      <c r="D364" s="197"/>
      <c r="E364" s="180"/>
      <c r="F364" s="181"/>
      <c r="G364" s="205"/>
      <c r="H364" s="205"/>
      <c r="I364" s="205"/>
      <c r="J364" s="205"/>
      <c r="K364" s="205"/>
      <c r="L364" s="205"/>
      <c r="M364" s="186"/>
      <c r="N364" s="186"/>
      <c r="O364" s="186"/>
      <c r="P364" s="186"/>
      <c r="Q364" s="186"/>
      <c r="R364" s="186"/>
      <c r="S364" s="186"/>
      <c r="T364" s="186"/>
      <c r="U364" s="186"/>
      <c r="V364" s="186"/>
      <c r="W364" s="186"/>
      <c r="X364" s="186"/>
      <c r="Y364" s="186"/>
      <c r="Z364" s="186"/>
      <c r="AA364" s="186"/>
      <c r="AB364" s="186"/>
      <c r="AC364" s="186"/>
      <c r="AD364" s="186"/>
      <c r="AE364" s="186"/>
    </row>
    <row r="365">
      <c r="A365" s="178"/>
      <c r="B365" s="36"/>
      <c r="C365" s="36"/>
      <c r="D365" s="197"/>
      <c r="E365" s="180"/>
      <c r="F365" s="181"/>
      <c r="G365" s="205"/>
      <c r="H365" s="205"/>
      <c r="I365" s="205"/>
      <c r="J365" s="205"/>
      <c r="K365" s="205"/>
      <c r="L365" s="205"/>
      <c r="M365" s="186"/>
      <c r="N365" s="186"/>
      <c r="O365" s="186"/>
      <c r="P365" s="186"/>
      <c r="Q365" s="186"/>
      <c r="R365" s="186"/>
      <c r="S365" s="186"/>
      <c r="T365" s="186"/>
      <c r="U365" s="186"/>
      <c r="V365" s="186"/>
      <c r="W365" s="186"/>
      <c r="X365" s="186"/>
      <c r="Y365" s="186"/>
      <c r="Z365" s="186"/>
      <c r="AA365" s="186"/>
      <c r="AB365" s="186"/>
      <c r="AC365" s="186"/>
      <c r="AD365" s="186"/>
      <c r="AE365" s="186"/>
    </row>
    <row r="366">
      <c r="A366" s="178"/>
      <c r="B366" s="36"/>
      <c r="C366" s="36"/>
      <c r="D366" s="197"/>
      <c r="E366" s="180"/>
      <c r="F366" s="181"/>
      <c r="G366" s="205"/>
      <c r="H366" s="205"/>
      <c r="I366" s="205"/>
      <c r="J366" s="205"/>
      <c r="K366" s="205"/>
      <c r="L366" s="205"/>
      <c r="M366" s="186"/>
      <c r="N366" s="186"/>
      <c r="O366" s="186"/>
      <c r="P366" s="186"/>
      <c r="Q366" s="186"/>
      <c r="R366" s="186"/>
      <c r="S366" s="186"/>
      <c r="T366" s="186"/>
      <c r="U366" s="186"/>
      <c r="V366" s="186"/>
      <c r="W366" s="186"/>
      <c r="X366" s="186"/>
      <c r="Y366" s="186"/>
      <c r="Z366" s="186"/>
      <c r="AA366" s="186"/>
      <c r="AB366" s="186"/>
      <c r="AC366" s="186"/>
      <c r="AD366" s="186"/>
      <c r="AE366" s="186"/>
    </row>
    <row r="367">
      <c r="A367" s="178"/>
      <c r="B367" s="36"/>
      <c r="C367" s="36"/>
      <c r="D367" s="197"/>
      <c r="E367" s="180"/>
      <c r="F367" s="181"/>
      <c r="G367" s="205"/>
      <c r="H367" s="205"/>
      <c r="I367" s="205"/>
      <c r="J367" s="205"/>
      <c r="K367" s="205"/>
      <c r="L367" s="205"/>
      <c r="M367" s="186"/>
      <c r="N367" s="186"/>
      <c r="O367" s="186"/>
      <c r="P367" s="186"/>
      <c r="Q367" s="186"/>
      <c r="R367" s="186"/>
      <c r="S367" s="186"/>
      <c r="T367" s="186"/>
      <c r="U367" s="186"/>
      <c r="V367" s="186"/>
      <c r="W367" s="186"/>
      <c r="X367" s="186"/>
      <c r="Y367" s="186"/>
      <c r="Z367" s="186"/>
      <c r="AA367" s="186"/>
      <c r="AB367" s="186"/>
      <c r="AC367" s="186"/>
      <c r="AD367" s="186"/>
      <c r="AE367" s="186"/>
    </row>
    <row r="368">
      <c r="A368" s="178"/>
      <c r="B368" s="36"/>
      <c r="C368" s="36"/>
      <c r="D368" s="197"/>
      <c r="E368" s="180"/>
      <c r="F368" s="181"/>
      <c r="G368" s="205"/>
      <c r="H368" s="205"/>
      <c r="I368" s="205"/>
      <c r="J368" s="205"/>
      <c r="K368" s="205"/>
      <c r="L368" s="205"/>
      <c r="M368" s="186"/>
      <c r="N368" s="186"/>
      <c r="O368" s="186"/>
      <c r="P368" s="186"/>
      <c r="Q368" s="186"/>
      <c r="R368" s="186"/>
      <c r="S368" s="186"/>
      <c r="T368" s="186"/>
      <c r="U368" s="186"/>
      <c r="V368" s="186"/>
      <c r="W368" s="186"/>
      <c r="X368" s="186"/>
      <c r="Y368" s="186"/>
      <c r="Z368" s="186"/>
      <c r="AA368" s="186"/>
      <c r="AB368" s="186"/>
      <c r="AC368" s="186"/>
      <c r="AD368" s="186"/>
      <c r="AE368" s="186"/>
    </row>
    <row r="369">
      <c r="A369" s="178"/>
      <c r="B369" s="36"/>
      <c r="C369" s="36"/>
      <c r="D369" s="197"/>
      <c r="E369" s="180"/>
      <c r="F369" s="181"/>
      <c r="G369" s="205"/>
      <c r="H369" s="205"/>
      <c r="I369" s="205"/>
      <c r="J369" s="205"/>
      <c r="K369" s="205"/>
      <c r="L369" s="205"/>
      <c r="M369" s="186"/>
      <c r="N369" s="186"/>
      <c r="O369" s="186"/>
      <c r="P369" s="186"/>
      <c r="Q369" s="186"/>
      <c r="R369" s="186"/>
      <c r="S369" s="186"/>
      <c r="T369" s="186"/>
      <c r="U369" s="186"/>
      <c r="V369" s="186"/>
      <c r="W369" s="186"/>
      <c r="X369" s="186"/>
      <c r="Y369" s="186"/>
      <c r="Z369" s="186"/>
      <c r="AA369" s="186"/>
      <c r="AB369" s="186"/>
      <c r="AC369" s="186"/>
      <c r="AD369" s="186"/>
      <c r="AE369" s="186"/>
    </row>
    <row r="370">
      <c r="A370" s="178"/>
      <c r="B370" s="36"/>
      <c r="C370" s="36"/>
      <c r="D370" s="197"/>
      <c r="E370" s="180"/>
      <c r="F370" s="181"/>
      <c r="G370" s="205"/>
      <c r="H370" s="205"/>
      <c r="I370" s="205"/>
      <c r="J370" s="205"/>
      <c r="K370" s="205"/>
      <c r="L370" s="205"/>
      <c r="M370" s="186"/>
      <c r="N370" s="186"/>
      <c r="O370" s="186"/>
      <c r="P370" s="186"/>
      <c r="Q370" s="186"/>
      <c r="R370" s="186"/>
      <c r="S370" s="186"/>
      <c r="T370" s="186"/>
      <c r="U370" s="186"/>
      <c r="V370" s="186"/>
      <c r="W370" s="186"/>
      <c r="X370" s="186"/>
      <c r="Y370" s="186"/>
      <c r="Z370" s="186"/>
      <c r="AA370" s="186"/>
      <c r="AB370" s="186"/>
      <c r="AC370" s="186"/>
      <c r="AD370" s="186"/>
      <c r="AE370" s="186"/>
    </row>
    <row r="371">
      <c r="A371" s="178"/>
      <c r="B371" s="36"/>
      <c r="C371" s="36"/>
      <c r="D371" s="197"/>
      <c r="E371" s="180"/>
      <c r="F371" s="181"/>
      <c r="G371" s="205"/>
      <c r="H371" s="205"/>
      <c r="I371" s="205"/>
      <c r="J371" s="205"/>
      <c r="K371" s="205"/>
      <c r="L371" s="205"/>
      <c r="M371" s="186"/>
      <c r="N371" s="186"/>
      <c r="O371" s="186"/>
      <c r="P371" s="186"/>
      <c r="Q371" s="186"/>
      <c r="R371" s="186"/>
      <c r="S371" s="186"/>
      <c r="T371" s="186"/>
      <c r="U371" s="186"/>
      <c r="V371" s="186"/>
      <c r="W371" s="186"/>
      <c r="X371" s="186"/>
      <c r="Y371" s="186"/>
      <c r="Z371" s="186"/>
      <c r="AA371" s="186"/>
      <c r="AB371" s="186"/>
      <c r="AC371" s="186"/>
      <c r="AD371" s="186"/>
      <c r="AE371" s="186"/>
    </row>
    <row r="372">
      <c r="A372" s="178"/>
      <c r="B372" s="36"/>
      <c r="C372" s="36"/>
      <c r="D372" s="197"/>
      <c r="E372" s="180"/>
      <c r="F372" s="181"/>
      <c r="G372" s="205"/>
      <c r="H372" s="205"/>
      <c r="I372" s="205"/>
      <c r="J372" s="205"/>
      <c r="K372" s="205"/>
      <c r="L372" s="205"/>
      <c r="M372" s="186"/>
      <c r="N372" s="186"/>
      <c r="O372" s="186"/>
      <c r="P372" s="186"/>
      <c r="Q372" s="186"/>
      <c r="R372" s="186"/>
      <c r="S372" s="186"/>
      <c r="T372" s="186"/>
      <c r="U372" s="186"/>
      <c r="V372" s="186"/>
      <c r="W372" s="186"/>
      <c r="X372" s="186"/>
      <c r="Y372" s="186"/>
      <c r="Z372" s="186"/>
      <c r="AA372" s="186"/>
      <c r="AB372" s="186"/>
      <c r="AC372" s="186"/>
      <c r="AD372" s="186"/>
      <c r="AE372" s="186"/>
    </row>
    <row r="373">
      <c r="A373" s="178"/>
      <c r="B373" s="36"/>
      <c r="C373" s="36"/>
      <c r="D373" s="197"/>
      <c r="E373" s="180"/>
      <c r="F373" s="181"/>
      <c r="G373" s="205"/>
      <c r="H373" s="205"/>
      <c r="I373" s="205"/>
      <c r="J373" s="205"/>
      <c r="K373" s="205"/>
      <c r="L373" s="205"/>
      <c r="M373" s="186"/>
      <c r="N373" s="186"/>
      <c r="O373" s="186"/>
      <c r="P373" s="186"/>
      <c r="Q373" s="186"/>
      <c r="R373" s="186"/>
      <c r="S373" s="186"/>
      <c r="T373" s="186"/>
      <c r="U373" s="186"/>
      <c r="V373" s="186"/>
      <c r="W373" s="186"/>
      <c r="X373" s="186"/>
      <c r="Y373" s="186"/>
      <c r="Z373" s="186"/>
      <c r="AA373" s="186"/>
      <c r="AB373" s="186"/>
      <c r="AC373" s="186"/>
      <c r="AD373" s="186"/>
      <c r="AE373" s="186"/>
    </row>
    <row r="374">
      <c r="A374" s="178"/>
      <c r="B374" s="36"/>
      <c r="C374" s="36"/>
      <c r="D374" s="197"/>
      <c r="E374" s="180"/>
      <c r="F374" s="181"/>
      <c r="G374" s="205"/>
      <c r="H374" s="205"/>
      <c r="I374" s="205"/>
      <c r="J374" s="205"/>
      <c r="K374" s="205"/>
      <c r="L374" s="205"/>
      <c r="M374" s="186"/>
      <c r="N374" s="186"/>
      <c r="O374" s="186"/>
      <c r="P374" s="186"/>
      <c r="Q374" s="186"/>
      <c r="R374" s="186"/>
      <c r="S374" s="186"/>
      <c r="T374" s="186"/>
      <c r="U374" s="186"/>
      <c r="V374" s="186"/>
      <c r="W374" s="186"/>
      <c r="X374" s="186"/>
      <c r="Y374" s="186"/>
      <c r="Z374" s="186"/>
      <c r="AA374" s="186"/>
      <c r="AB374" s="186"/>
      <c r="AC374" s="186"/>
      <c r="AD374" s="186"/>
      <c r="AE374" s="186"/>
    </row>
    <row r="375">
      <c r="A375" s="178"/>
      <c r="B375" s="36"/>
      <c r="C375" s="36"/>
      <c r="D375" s="197"/>
      <c r="E375" s="180"/>
      <c r="F375" s="181"/>
      <c r="G375" s="205"/>
      <c r="H375" s="205"/>
      <c r="I375" s="205"/>
      <c r="J375" s="205"/>
      <c r="K375" s="205"/>
      <c r="L375" s="205"/>
      <c r="M375" s="186"/>
      <c r="N375" s="186"/>
      <c r="O375" s="186"/>
      <c r="P375" s="186"/>
      <c r="Q375" s="186"/>
      <c r="R375" s="186"/>
      <c r="S375" s="186"/>
      <c r="T375" s="186"/>
      <c r="U375" s="186"/>
      <c r="V375" s="186"/>
      <c r="W375" s="186"/>
      <c r="X375" s="186"/>
      <c r="Y375" s="186"/>
      <c r="Z375" s="186"/>
      <c r="AA375" s="186"/>
      <c r="AB375" s="186"/>
      <c r="AC375" s="186"/>
      <c r="AD375" s="186"/>
      <c r="AE375" s="186"/>
    </row>
    <row r="376">
      <c r="A376" s="178"/>
      <c r="B376" s="36"/>
      <c r="C376" s="36"/>
      <c r="D376" s="197"/>
      <c r="E376" s="180"/>
      <c r="F376" s="181"/>
      <c r="G376" s="205"/>
      <c r="H376" s="205"/>
      <c r="I376" s="205"/>
      <c r="J376" s="205"/>
      <c r="K376" s="205"/>
      <c r="L376" s="205"/>
      <c r="M376" s="186"/>
      <c r="N376" s="186"/>
      <c r="O376" s="186"/>
      <c r="P376" s="186"/>
      <c r="Q376" s="186"/>
      <c r="R376" s="186"/>
      <c r="S376" s="186"/>
      <c r="T376" s="186"/>
      <c r="U376" s="186"/>
      <c r="V376" s="186"/>
      <c r="W376" s="186"/>
      <c r="X376" s="186"/>
      <c r="Y376" s="186"/>
      <c r="Z376" s="186"/>
      <c r="AA376" s="186"/>
      <c r="AB376" s="186"/>
      <c r="AC376" s="186"/>
      <c r="AD376" s="186"/>
      <c r="AE376" s="186"/>
    </row>
    <row r="377">
      <c r="A377" s="178"/>
      <c r="B377" s="36"/>
      <c r="C377" s="36"/>
      <c r="D377" s="197"/>
      <c r="E377" s="180"/>
      <c r="F377" s="181"/>
      <c r="G377" s="205"/>
      <c r="H377" s="205"/>
      <c r="I377" s="205"/>
      <c r="J377" s="205"/>
      <c r="K377" s="205"/>
      <c r="L377" s="205"/>
      <c r="M377" s="186"/>
      <c r="N377" s="186"/>
      <c r="O377" s="186"/>
      <c r="P377" s="186"/>
      <c r="Q377" s="186"/>
      <c r="R377" s="186"/>
      <c r="S377" s="186"/>
      <c r="T377" s="186"/>
      <c r="U377" s="186"/>
      <c r="V377" s="186"/>
      <c r="W377" s="186"/>
      <c r="X377" s="186"/>
      <c r="Y377" s="186"/>
      <c r="Z377" s="186"/>
      <c r="AA377" s="186"/>
      <c r="AB377" s="186"/>
      <c r="AC377" s="186"/>
      <c r="AD377" s="186"/>
      <c r="AE377" s="186"/>
    </row>
    <row r="378">
      <c r="A378" s="178"/>
      <c r="B378" s="36"/>
      <c r="C378" s="36"/>
      <c r="D378" s="197"/>
      <c r="E378" s="180"/>
      <c r="F378" s="181"/>
      <c r="G378" s="205"/>
      <c r="H378" s="205"/>
      <c r="I378" s="205"/>
      <c r="J378" s="205"/>
      <c r="K378" s="205"/>
      <c r="L378" s="205"/>
      <c r="M378" s="186"/>
      <c r="N378" s="186"/>
      <c r="O378" s="186"/>
      <c r="P378" s="186"/>
      <c r="Q378" s="186"/>
      <c r="R378" s="186"/>
      <c r="S378" s="186"/>
      <c r="T378" s="186"/>
      <c r="U378" s="186"/>
      <c r="V378" s="186"/>
      <c r="W378" s="186"/>
      <c r="X378" s="186"/>
      <c r="Y378" s="186"/>
      <c r="Z378" s="186"/>
      <c r="AA378" s="186"/>
      <c r="AB378" s="186"/>
      <c r="AC378" s="186"/>
      <c r="AD378" s="186"/>
      <c r="AE378" s="186"/>
    </row>
    <row r="379">
      <c r="A379" s="178"/>
      <c r="B379" s="36"/>
      <c r="C379" s="36"/>
      <c r="D379" s="197"/>
      <c r="E379" s="180"/>
      <c r="F379" s="181"/>
      <c r="G379" s="205"/>
      <c r="H379" s="205"/>
      <c r="I379" s="205"/>
      <c r="J379" s="205"/>
      <c r="K379" s="205"/>
      <c r="L379" s="205"/>
      <c r="M379" s="186"/>
      <c r="N379" s="186"/>
      <c r="O379" s="186"/>
      <c r="P379" s="186"/>
      <c r="Q379" s="186"/>
      <c r="R379" s="186"/>
      <c r="S379" s="186"/>
      <c r="T379" s="186"/>
      <c r="U379" s="186"/>
      <c r="V379" s="186"/>
      <c r="W379" s="186"/>
      <c r="X379" s="186"/>
      <c r="Y379" s="186"/>
      <c r="Z379" s="186"/>
      <c r="AA379" s="186"/>
      <c r="AB379" s="186"/>
      <c r="AC379" s="186"/>
      <c r="AD379" s="186"/>
      <c r="AE379" s="186"/>
    </row>
    <row r="380">
      <c r="A380" s="178"/>
      <c r="B380" s="36"/>
      <c r="C380" s="36"/>
      <c r="D380" s="197"/>
      <c r="E380" s="180"/>
      <c r="F380" s="181"/>
      <c r="G380" s="205"/>
      <c r="H380" s="205"/>
      <c r="I380" s="205"/>
      <c r="J380" s="205"/>
      <c r="K380" s="205"/>
      <c r="L380" s="205"/>
      <c r="M380" s="186"/>
      <c r="N380" s="186"/>
      <c r="O380" s="186"/>
      <c r="P380" s="186"/>
      <c r="Q380" s="186"/>
      <c r="R380" s="186"/>
      <c r="S380" s="186"/>
      <c r="T380" s="186"/>
      <c r="U380" s="186"/>
      <c r="V380" s="186"/>
      <c r="W380" s="186"/>
      <c r="X380" s="186"/>
      <c r="Y380" s="186"/>
      <c r="Z380" s="186"/>
      <c r="AA380" s="186"/>
      <c r="AB380" s="186"/>
      <c r="AC380" s="186"/>
      <c r="AD380" s="186"/>
      <c r="AE380" s="186"/>
    </row>
    <row r="381">
      <c r="A381" s="178"/>
      <c r="B381" s="36"/>
      <c r="C381" s="36"/>
      <c r="D381" s="197"/>
      <c r="E381" s="180"/>
      <c r="F381" s="181"/>
      <c r="G381" s="205"/>
      <c r="H381" s="205"/>
      <c r="I381" s="205"/>
      <c r="J381" s="205"/>
      <c r="K381" s="205"/>
      <c r="L381" s="205"/>
      <c r="M381" s="186"/>
      <c r="N381" s="186"/>
      <c r="O381" s="186"/>
      <c r="P381" s="186"/>
      <c r="Q381" s="186"/>
      <c r="R381" s="186"/>
      <c r="S381" s="186"/>
      <c r="T381" s="186"/>
      <c r="U381" s="186"/>
      <c r="V381" s="186"/>
      <c r="W381" s="186"/>
      <c r="X381" s="186"/>
      <c r="Y381" s="186"/>
      <c r="Z381" s="186"/>
      <c r="AA381" s="186"/>
      <c r="AB381" s="186"/>
      <c r="AC381" s="186"/>
      <c r="AD381" s="186"/>
      <c r="AE381" s="186"/>
    </row>
    <row r="382">
      <c r="A382" s="178"/>
      <c r="B382" s="36"/>
      <c r="C382" s="36"/>
      <c r="D382" s="197"/>
      <c r="E382" s="180"/>
      <c r="F382" s="181"/>
      <c r="G382" s="205"/>
      <c r="H382" s="205"/>
      <c r="I382" s="205"/>
      <c r="J382" s="205"/>
      <c r="K382" s="205"/>
      <c r="L382" s="205"/>
      <c r="M382" s="186"/>
      <c r="N382" s="186"/>
      <c r="O382" s="186"/>
      <c r="P382" s="186"/>
      <c r="Q382" s="186"/>
      <c r="R382" s="186"/>
      <c r="S382" s="186"/>
      <c r="T382" s="186"/>
      <c r="U382" s="186"/>
      <c r="V382" s="186"/>
      <c r="W382" s="186"/>
      <c r="X382" s="186"/>
      <c r="Y382" s="186"/>
      <c r="Z382" s="186"/>
      <c r="AA382" s="186"/>
      <c r="AB382" s="186"/>
      <c r="AC382" s="186"/>
      <c r="AD382" s="186"/>
      <c r="AE382" s="186"/>
    </row>
    <row r="383">
      <c r="A383" s="178"/>
      <c r="B383" s="36"/>
      <c r="C383" s="36"/>
      <c r="D383" s="197"/>
      <c r="E383" s="180"/>
      <c r="F383" s="181"/>
      <c r="G383" s="205"/>
      <c r="H383" s="205"/>
      <c r="I383" s="205"/>
      <c r="J383" s="205"/>
      <c r="K383" s="205"/>
      <c r="L383" s="205"/>
      <c r="M383" s="186"/>
      <c r="N383" s="186"/>
      <c r="O383" s="186"/>
      <c r="P383" s="186"/>
      <c r="Q383" s="186"/>
      <c r="R383" s="186"/>
      <c r="S383" s="186"/>
      <c r="T383" s="186"/>
      <c r="U383" s="186"/>
      <c r="V383" s="186"/>
      <c r="W383" s="186"/>
      <c r="X383" s="186"/>
      <c r="Y383" s="186"/>
      <c r="Z383" s="186"/>
      <c r="AA383" s="186"/>
      <c r="AB383" s="186"/>
      <c r="AC383" s="186"/>
      <c r="AD383" s="186"/>
      <c r="AE383" s="186"/>
    </row>
    <row r="384">
      <c r="A384" s="178"/>
      <c r="B384" s="36"/>
      <c r="C384" s="36"/>
      <c r="D384" s="197"/>
      <c r="E384" s="180"/>
      <c r="F384" s="181"/>
      <c r="G384" s="205"/>
      <c r="H384" s="205"/>
      <c r="I384" s="205"/>
      <c r="J384" s="205"/>
      <c r="K384" s="205"/>
      <c r="L384" s="205"/>
      <c r="M384" s="186"/>
      <c r="N384" s="186"/>
      <c r="O384" s="186"/>
      <c r="P384" s="186"/>
      <c r="Q384" s="186"/>
      <c r="R384" s="186"/>
      <c r="S384" s="186"/>
      <c r="T384" s="186"/>
      <c r="U384" s="186"/>
      <c r="V384" s="186"/>
      <c r="W384" s="186"/>
      <c r="X384" s="186"/>
      <c r="Y384" s="186"/>
      <c r="Z384" s="186"/>
      <c r="AA384" s="186"/>
      <c r="AB384" s="186"/>
      <c r="AC384" s="186"/>
      <c r="AD384" s="186"/>
      <c r="AE384" s="186"/>
    </row>
    <row r="385">
      <c r="A385" s="178"/>
      <c r="B385" s="36"/>
      <c r="C385" s="36"/>
      <c r="D385" s="197"/>
      <c r="E385" s="180"/>
      <c r="F385" s="181"/>
      <c r="G385" s="205"/>
      <c r="H385" s="205"/>
      <c r="I385" s="205"/>
      <c r="J385" s="205"/>
      <c r="K385" s="205"/>
      <c r="L385" s="205"/>
      <c r="M385" s="186"/>
      <c r="N385" s="186"/>
      <c r="O385" s="186"/>
      <c r="P385" s="186"/>
      <c r="Q385" s="186"/>
      <c r="R385" s="186"/>
      <c r="S385" s="186"/>
      <c r="T385" s="186"/>
      <c r="U385" s="186"/>
      <c r="V385" s="186"/>
      <c r="W385" s="186"/>
      <c r="X385" s="186"/>
      <c r="Y385" s="186"/>
      <c r="Z385" s="186"/>
      <c r="AA385" s="186"/>
      <c r="AB385" s="186"/>
      <c r="AC385" s="186"/>
      <c r="AD385" s="186"/>
      <c r="AE385" s="186"/>
    </row>
    <row r="386">
      <c r="A386" s="178"/>
      <c r="B386" s="36"/>
      <c r="C386" s="36"/>
      <c r="D386" s="197"/>
      <c r="E386" s="180"/>
      <c r="F386" s="181"/>
      <c r="G386" s="205"/>
      <c r="H386" s="205"/>
      <c r="I386" s="205"/>
      <c r="J386" s="205"/>
      <c r="K386" s="205"/>
      <c r="L386" s="205"/>
      <c r="M386" s="186"/>
      <c r="N386" s="186"/>
      <c r="O386" s="186"/>
      <c r="P386" s="186"/>
      <c r="Q386" s="186"/>
      <c r="R386" s="186"/>
      <c r="S386" s="186"/>
      <c r="T386" s="186"/>
      <c r="U386" s="186"/>
      <c r="V386" s="186"/>
      <c r="W386" s="186"/>
      <c r="X386" s="186"/>
      <c r="Y386" s="186"/>
      <c r="Z386" s="186"/>
      <c r="AA386" s="186"/>
      <c r="AB386" s="186"/>
      <c r="AC386" s="186"/>
      <c r="AD386" s="186"/>
      <c r="AE386" s="186"/>
    </row>
    <row r="387">
      <c r="A387" s="178"/>
      <c r="B387" s="36"/>
      <c r="C387" s="36"/>
      <c r="D387" s="197"/>
      <c r="E387" s="180"/>
      <c r="F387" s="181"/>
      <c r="G387" s="205"/>
      <c r="H387" s="205"/>
      <c r="I387" s="205"/>
      <c r="J387" s="205"/>
      <c r="K387" s="205"/>
      <c r="L387" s="205"/>
      <c r="M387" s="186"/>
      <c r="N387" s="186"/>
      <c r="O387" s="186"/>
      <c r="P387" s="186"/>
      <c r="Q387" s="186"/>
      <c r="R387" s="186"/>
      <c r="S387" s="186"/>
      <c r="T387" s="186"/>
      <c r="U387" s="186"/>
      <c r="V387" s="186"/>
      <c r="W387" s="186"/>
      <c r="X387" s="186"/>
      <c r="Y387" s="186"/>
      <c r="Z387" s="186"/>
      <c r="AA387" s="186"/>
      <c r="AB387" s="186"/>
      <c r="AC387" s="186"/>
      <c r="AD387" s="186"/>
      <c r="AE387" s="186"/>
    </row>
    <row r="388">
      <c r="A388" s="178"/>
      <c r="B388" s="36"/>
      <c r="C388" s="36"/>
      <c r="D388" s="197"/>
      <c r="E388" s="180"/>
      <c r="F388" s="181"/>
      <c r="G388" s="205"/>
      <c r="H388" s="205"/>
      <c r="I388" s="205"/>
      <c r="J388" s="205"/>
      <c r="K388" s="205"/>
      <c r="L388" s="205"/>
      <c r="M388" s="186"/>
      <c r="N388" s="186"/>
      <c r="O388" s="186"/>
      <c r="P388" s="186"/>
      <c r="Q388" s="186"/>
      <c r="R388" s="186"/>
      <c r="S388" s="186"/>
      <c r="T388" s="186"/>
      <c r="U388" s="186"/>
      <c r="V388" s="186"/>
      <c r="W388" s="186"/>
      <c r="X388" s="186"/>
      <c r="Y388" s="186"/>
      <c r="Z388" s="186"/>
      <c r="AA388" s="186"/>
      <c r="AB388" s="186"/>
      <c r="AC388" s="186"/>
      <c r="AD388" s="186"/>
      <c r="AE388" s="186"/>
    </row>
    <row r="389">
      <c r="A389" s="178"/>
      <c r="B389" s="36"/>
      <c r="C389" s="36"/>
      <c r="D389" s="197"/>
      <c r="E389" s="180"/>
      <c r="F389" s="181"/>
      <c r="G389" s="205"/>
      <c r="H389" s="205"/>
      <c r="I389" s="205"/>
      <c r="J389" s="205"/>
      <c r="K389" s="205"/>
      <c r="L389" s="205"/>
      <c r="M389" s="186"/>
      <c r="N389" s="186"/>
      <c r="O389" s="186"/>
      <c r="P389" s="186"/>
      <c r="Q389" s="186"/>
      <c r="R389" s="186"/>
      <c r="S389" s="186"/>
      <c r="T389" s="186"/>
      <c r="U389" s="186"/>
      <c r="V389" s="186"/>
      <c r="W389" s="186"/>
      <c r="X389" s="186"/>
      <c r="Y389" s="186"/>
      <c r="Z389" s="186"/>
      <c r="AA389" s="186"/>
      <c r="AB389" s="186"/>
      <c r="AC389" s="186"/>
      <c r="AD389" s="186"/>
      <c r="AE389" s="186"/>
    </row>
    <row r="390">
      <c r="A390" s="178"/>
      <c r="B390" s="36"/>
      <c r="C390" s="36"/>
      <c r="D390" s="197"/>
      <c r="E390" s="180"/>
      <c r="F390" s="181"/>
      <c r="G390" s="205"/>
      <c r="H390" s="205"/>
      <c r="I390" s="205"/>
      <c r="J390" s="205"/>
      <c r="K390" s="205"/>
      <c r="L390" s="205"/>
      <c r="M390" s="186"/>
      <c r="N390" s="186"/>
      <c r="O390" s="186"/>
      <c r="P390" s="186"/>
      <c r="Q390" s="186"/>
      <c r="R390" s="186"/>
      <c r="S390" s="186"/>
      <c r="T390" s="186"/>
      <c r="U390" s="186"/>
      <c r="V390" s="186"/>
      <c r="W390" s="186"/>
      <c r="X390" s="186"/>
      <c r="Y390" s="186"/>
      <c r="Z390" s="186"/>
      <c r="AA390" s="186"/>
      <c r="AB390" s="186"/>
      <c r="AC390" s="186"/>
      <c r="AD390" s="186"/>
      <c r="AE390" s="186"/>
    </row>
    <row r="391">
      <c r="A391" s="178"/>
      <c r="B391" s="36"/>
      <c r="C391" s="36"/>
      <c r="D391" s="197"/>
      <c r="E391" s="180"/>
      <c r="F391" s="181"/>
      <c r="G391" s="205"/>
      <c r="H391" s="205"/>
      <c r="I391" s="205"/>
      <c r="J391" s="205"/>
      <c r="K391" s="205"/>
      <c r="L391" s="205"/>
      <c r="M391" s="186"/>
      <c r="N391" s="186"/>
      <c r="O391" s="186"/>
      <c r="P391" s="186"/>
      <c r="Q391" s="186"/>
      <c r="R391" s="186"/>
      <c r="S391" s="186"/>
      <c r="T391" s="186"/>
      <c r="U391" s="186"/>
      <c r="V391" s="186"/>
      <c r="W391" s="186"/>
      <c r="X391" s="186"/>
      <c r="Y391" s="186"/>
      <c r="Z391" s="186"/>
      <c r="AA391" s="186"/>
      <c r="AB391" s="186"/>
      <c r="AC391" s="186"/>
      <c r="AD391" s="186"/>
      <c r="AE391" s="186"/>
    </row>
    <row r="392">
      <c r="A392" s="178"/>
      <c r="B392" s="36"/>
      <c r="C392" s="36"/>
      <c r="D392" s="197"/>
      <c r="E392" s="180"/>
      <c r="F392" s="181"/>
      <c r="G392" s="205"/>
      <c r="H392" s="205"/>
      <c r="I392" s="205"/>
      <c r="J392" s="205"/>
      <c r="K392" s="205"/>
      <c r="L392" s="205"/>
      <c r="M392" s="186"/>
      <c r="N392" s="186"/>
      <c r="O392" s="186"/>
      <c r="P392" s="186"/>
      <c r="Q392" s="186"/>
      <c r="R392" s="186"/>
      <c r="S392" s="186"/>
      <c r="T392" s="186"/>
      <c r="U392" s="186"/>
      <c r="V392" s="186"/>
      <c r="W392" s="186"/>
      <c r="X392" s="186"/>
      <c r="Y392" s="186"/>
      <c r="Z392" s="186"/>
      <c r="AA392" s="186"/>
      <c r="AB392" s="186"/>
      <c r="AC392" s="186"/>
      <c r="AD392" s="186"/>
      <c r="AE392" s="186"/>
    </row>
    <row r="393">
      <c r="A393" s="178"/>
      <c r="B393" s="36"/>
      <c r="C393" s="36"/>
      <c r="D393" s="197"/>
      <c r="E393" s="180"/>
      <c r="F393" s="181"/>
      <c r="G393" s="205"/>
      <c r="H393" s="205"/>
      <c r="I393" s="205"/>
      <c r="J393" s="205"/>
      <c r="K393" s="205"/>
      <c r="L393" s="205"/>
      <c r="M393" s="186"/>
      <c r="N393" s="186"/>
      <c r="O393" s="186"/>
      <c r="P393" s="186"/>
      <c r="Q393" s="186"/>
      <c r="R393" s="186"/>
      <c r="S393" s="186"/>
      <c r="T393" s="186"/>
      <c r="U393" s="186"/>
      <c r="V393" s="186"/>
      <c r="W393" s="186"/>
      <c r="X393" s="186"/>
      <c r="Y393" s="186"/>
      <c r="Z393" s="186"/>
      <c r="AA393" s="186"/>
      <c r="AB393" s="186"/>
      <c r="AC393" s="186"/>
      <c r="AD393" s="186"/>
      <c r="AE393" s="186"/>
    </row>
    <row r="394">
      <c r="A394" s="178"/>
      <c r="B394" s="36"/>
      <c r="C394" s="36"/>
      <c r="D394" s="197"/>
      <c r="E394" s="180"/>
      <c r="F394" s="181"/>
      <c r="G394" s="205"/>
      <c r="H394" s="205"/>
      <c r="I394" s="205"/>
      <c r="J394" s="205"/>
      <c r="K394" s="205"/>
      <c r="L394" s="205"/>
      <c r="M394" s="186"/>
      <c r="N394" s="186"/>
      <c r="O394" s="186"/>
      <c r="P394" s="186"/>
      <c r="Q394" s="186"/>
      <c r="R394" s="186"/>
      <c r="S394" s="186"/>
      <c r="T394" s="186"/>
      <c r="U394" s="186"/>
      <c r="V394" s="186"/>
      <c r="W394" s="186"/>
      <c r="X394" s="186"/>
      <c r="Y394" s="186"/>
      <c r="Z394" s="186"/>
      <c r="AA394" s="186"/>
      <c r="AB394" s="186"/>
      <c r="AC394" s="186"/>
      <c r="AD394" s="186"/>
      <c r="AE394" s="186"/>
    </row>
    <row r="395">
      <c r="A395" s="178"/>
      <c r="B395" s="36"/>
      <c r="C395" s="36"/>
      <c r="D395" s="197"/>
      <c r="E395" s="180"/>
      <c r="F395" s="181"/>
      <c r="G395" s="205"/>
      <c r="H395" s="205"/>
      <c r="I395" s="205"/>
      <c r="J395" s="205"/>
      <c r="K395" s="205"/>
      <c r="L395" s="205"/>
      <c r="M395" s="186"/>
      <c r="N395" s="186"/>
      <c r="O395" s="186"/>
      <c r="P395" s="186"/>
      <c r="Q395" s="186"/>
      <c r="R395" s="186"/>
      <c r="S395" s="186"/>
      <c r="T395" s="186"/>
      <c r="U395" s="186"/>
      <c r="V395" s="186"/>
      <c r="W395" s="186"/>
      <c r="X395" s="186"/>
      <c r="Y395" s="186"/>
      <c r="Z395" s="186"/>
      <c r="AA395" s="186"/>
      <c r="AB395" s="186"/>
      <c r="AC395" s="186"/>
      <c r="AD395" s="186"/>
      <c r="AE395" s="186"/>
    </row>
    <row r="396">
      <c r="A396" s="178"/>
      <c r="B396" s="36"/>
      <c r="C396" s="36"/>
      <c r="D396" s="197"/>
      <c r="E396" s="180"/>
      <c r="F396" s="181"/>
      <c r="G396" s="205"/>
      <c r="H396" s="205"/>
      <c r="I396" s="205"/>
      <c r="J396" s="205"/>
      <c r="K396" s="205"/>
      <c r="L396" s="205"/>
      <c r="M396" s="186"/>
      <c r="N396" s="186"/>
      <c r="O396" s="186"/>
      <c r="P396" s="186"/>
      <c r="Q396" s="186"/>
      <c r="R396" s="186"/>
      <c r="S396" s="186"/>
      <c r="T396" s="186"/>
      <c r="U396" s="186"/>
      <c r="V396" s="186"/>
      <c r="W396" s="186"/>
      <c r="X396" s="186"/>
      <c r="Y396" s="186"/>
      <c r="Z396" s="186"/>
      <c r="AA396" s="186"/>
      <c r="AB396" s="186"/>
      <c r="AC396" s="186"/>
      <c r="AD396" s="186"/>
      <c r="AE396" s="186"/>
    </row>
    <row r="397">
      <c r="A397" s="178"/>
      <c r="B397" s="36"/>
      <c r="C397" s="36"/>
      <c r="D397" s="197"/>
      <c r="E397" s="180"/>
      <c r="F397" s="181"/>
      <c r="G397" s="205"/>
      <c r="H397" s="205"/>
      <c r="I397" s="205"/>
      <c r="J397" s="205"/>
      <c r="K397" s="205"/>
      <c r="L397" s="205"/>
      <c r="M397" s="186"/>
      <c r="N397" s="186"/>
      <c r="O397" s="186"/>
      <c r="P397" s="186"/>
      <c r="Q397" s="186"/>
      <c r="R397" s="186"/>
      <c r="S397" s="186"/>
      <c r="T397" s="186"/>
      <c r="U397" s="186"/>
      <c r="V397" s="186"/>
      <c r="W397" s="186"/>
      <c r="X397" s="186"/>
      <c r="Y397" s="186"/>
      <c r="Z397" s="186"/>
      <c r="AA397" s="186"/>
      <c r="AB397" s="186"/>
      <c r="AC397" s="186"/>
      <c r="AD397" s="186"/>
      <c r="AE397" s="186"/>
    </row>
    <row r="398">
      <c r="A398" s="178"/>
      <c r="B398" s="36"/>
      <c r="C398" s="36"/>
      <c r="D398" s="197"/>
      <c r="E398" s="180"/>
      <c r="F398" s="181"/>
      <c r="G398" s="205"/>
      <c r="H398" s="205"/>
      <c r="I398" s="205"/>
      <c r="J398" s="205"/>
      <c r="K398" s="205"/>
      <c r="L398" s="205"/>
      <c r="M398" s="186"/>
      <c r="N398" s="186"/>
      <c r="O398" s="186"/>
      <c r="P398" s="186"/>
      <c r="Q398" s="186"/>
      <c r="R398" s="186"/>
      <c r="S398" s="186"/>
      <c r="T398" s="186"/>
      <c r="U398" s="186"/>
      <c r="V398" s="186"/>
      <c r="W398" s="186"/>
      <c r="X398" s="186"/>
      <c r="Y398" s="186"/>
      <c r="Z398" s="186"/>
      <c r="AA398" s="186"/>
      <c r="AB398" s="186"/>
      <c r="AC398" s="186"/>
      <c r="AD398" s="186"/>
      <c r="AE398" s="186"/>
    </row>
    <row r="399">
      <c r="A399" s="178"/>
      <c r="B399" s="36"/>
      <c r="C399" s="36"/>
      <c r="D399" s="197"/>
      <c r="E399" s="180"/>
      <c r="F399" s="181"/>
      <c r="G399" s="205"/>
      <c r="H399" s="205"/>
      <c r="I399" s="205"/>
      <c r="J399" s="205"/>
      <c r="K399" s="205"/>
      <c r="L399" s="205"/>
      <c r="M399" s="186"/>
      <c r="N399" s="186"/>
      <c r="O399" s="186"/>
      <c r="P399" s="186"/>
      <c r="Q399" s="186"/>
      <c r="R399" s="186"/>
      <c r="S399" s="186"/>
      <c r="T399" s="186"/>
      <c r="U399" s="186"/>
      <c r="V399" s="186"/>
      <c r="W399" s="186"/>
      <c r="X399" s="186"/>
      <c r="Y399" s="186"/>
      <c r="Z399" s="186"/>
      <c r="AA399" s="186"/>
      <c r="AB399" s="186"/>
      <c r="AC399" s="186"/>
      <c r="AD399" s="186"/>
      <c r="AE399" s="186"/>
    </row>
    <row r="400">
      <c r="A400" s="178"/>
      <c r="B400" s="36"/>
      <c r="C400" s="36"/>
      <c r="D400" s="197"/>
      <c r="E400" s="180"/>
      <c r="F400" s="181"/>
      <c r="G400" s="205"/>
      <c r="H400" s="205"/>
      <c r="I400" s="205"/>
      <c r="J400" s="205"/>
      <c r="K400" s="205"/>
      <c r="L400" s="205"/>
      <c r="M400" s="186"/>
      <c r="N400" s="186"/>
      <c r="O400" s="186"/>
      <c r="P400" s="186"/>
      <c r="Q400" s="186"/>
      <c r="R400" s="186"/>
      <c r="S400" s="186"/>
      <c r="T400" s="186"/>
      <c r="U400" s="186"/>
      <c r="V400" s="186"/>
      <c r="W400" s="186"/>
      <c r="X400" s="186"/>
      <c r="Y400" s="186"/>
      <c r="Z400" s="186"/>
      <c r="AA400" s="186"/>
      <c r="AB400" s="186"/>
      <c r="AC400" s="186"/>
      <c r="AD400" s="186"/>
      <c r="AE400" s="186"/>
    </row>
    <row r="401">
      <c r="A401" s="178"/>
      <c r="B401" s="36"/>
      <c r="C401" s="36"/>
      <c r="D401" s="197"/>
      <c r="E401" s="180"/>
      <c r="F401" s="181"/>
      <c r="G401" s="205"/>
      <c r="H401" s="205"/>
      <c r="I401" s="205"/>
      <c r="J401" s="205"/>
      <c r="K401" s="205"/>
      <c r="L401" s="205"/>
      <c r="M401" s="186"/>
      <c r="N401" s="186"/>
      <c r="O401" s="186"/>
      <c r="P401" s="186"/>
      <c r="Q401" s="186"/>
      <c r="R401" s="186"/>
      <c r="S401" s="186"/>
      <c r="T401" s="186"/>
      <c r="U401" s="186"/>
      <c r="V401" s="186"/>
      <c r="W401" s="186"/>
      <c r="X401" s="186"/>
      <c r="Y401" s="186"/>
      <c r="Z401" s="186"/>
      <c r="AA401" s="186"/>
      <c r="AB401" s="186"/>
      <c r="AC401" s="186"/>
      <c r="AD401" s="186"/>
      <c r="AE401" s="186"/>
    </row>
    <row r="402">
      <c r="A402" s="178"/>
      <c r="B402" s="36"/>
      <c r="C402" s="36"/>
      <c r="D402" s="197"/>
      <c r="E402" s="180"/>
      <c r="F402" s="181"/>
      <c r="G402" s="205"/>
      <c r="H402" s="205"/>
      <c r="I402" s="205"/>
      <c r="J402" s="205"/>
      <c r="K402" s="205"/>
      <c r="L402" s="205"/>
      <c r="M402" s="186"/>
      <c r="N402" s="186"/>
      <c r="O402" s="186"/>
      <c r="P402" s="186"/>
      <c r="Q402" s="186"/>
      <c r="R402" s="186"/>
      <c r="S402" s="186"/>
      <c r="T402" s="186"/>
      <c r="U402" s="186"/>
      <c r="V402" s="186"/>
      <c r="W402" s="186"/>
      <c r="X402" s="186"/>
      <c r="Y402" s="186"/>
      <c r="Z402" s="186"/>
      <c r="AA402" s="186"/>
      <c r="AB402" s="186"/>
      <c r="AC402" s="186"/>
      <c r="AD402" s="186"/>
      <c r="AE402" s="186"/>
    </row>
    <row r="403">
      <c r="A403" s="178"/>
      <c r="B403" s="36"/>
      <c r="C403" s="36"/>
      <c r="D403" s="197"/>
      <c r="E403" s="180"/>
      <c r="F403" s="181"/>
      <c r="G403" s="205"/>
      <c r="H403" s="205"/>
      <c r="I403" s="205"/>
      <c r="J403" s="205"/>
      <c r="K403" s="205"/>
      <c r="L403" s="205"/>
      <c r="M403" s="186"/>
      <c r="N403" s="186"/>
      <c r="O403" s="186"/>
      <c r="P403" s="186"/>
      <c r="Q403" s="186"/>
      <c r="R403" s="186"/>
      <c r="S403" s="186"/>
      <c r="T403" s="186"/>
      <c r="U403" s="186"/>
      <c r="V403" s="186"/>
      <c r="W403" s="186"/>
      <c r="X403" s="186"/>
      <c r="Y403" s="186"/>
      <c r="Z403" s="186"/>
      <c r="AA403" s="186"/>
      <c r="AB403" s="186"/>
      <c r="AC403" s="186"/>
      <c r="AD403" s="186"/>
      <c r="AE403" s="186"/>
    </row>
    <row r="404">
      <c r="A404" s="178"/>
      <c r="B404" s="36"/>
      <c r="C404" s="36"/>
      <c r="D404" s="197"/>
      <c r="E404" s="180"/>
      <c r="F404" s="181"/>
      <c r="G404" s="205"/>
      <c r="H404" s="205"/>
      <c r="I404" s="205"/>
      <c r="J404" s="205"/>
      <c r="K404" s="205"/>
      <c r="L404" s="205"/>
      <c r="M404" s="186"/>
      <c r="N404" s="186"/>
      <c r="O404" s="186"/>
      <c r="P404" s="186"/>
      <c r="Q404" s="186"/>
      <c r="R404" s="186"/>
      <c r="S404" s="186"/>
      <c r="T404" s="186"/>
      <c r="U404" s="186"/>
      <c r="V404" s="186"/>
      <c r="W404" s="186"/>
      <c r="X404" s="186"/>
      <c r="Y404" s="186"/>
      <c r="Z404" s="186"/>
      <c r="AA404" s="186"/>
      <c r="AB404" s="186"/>
      <c r="AC404" s="186"/>
      <c r="AD404" s="186"/>
      <c r="AE404" s="186"/>
    </row>
    <row r="405">
      <c r="A405" s="178"/>
      <c r="B405" s="36"/>
      <c r="C405" s="36"/>
      <c r="D405" s="197"/>
      <c r="E405" s="180"/>
      <c r="F405" s="181"/>
      <c r="G405" s="205"/>
      <c r="H405" s="205"/>
      <c r="I405" s="205"/>
      <c r="J405" s="205"/>
      <c r="K405" s="205"/>
      <c r="L405" s="205"/>
      <c r="M405" s="186"/>
      <c r="N405" s="186"/>
      <c r="O405" s="186"/>
      <c r="P405" s="186"/>
      <c r="Q405" s="186"/>
      <c r="R405" s="186"/>
      <c r="S405" s="186"/>
      <c r="T405" s="186"/>
      <c r="U405" s="186"/>
      <c r="V405" s="186"/>
      <c r="W405" s="186"/>
      <c r="X405" s="186"/>
      <c r="Y405" s="186"/>
      <c r="Z405" s="186"/>
      <c r="AA405" s="186"/>
      <c r="AB405" s="186"/>
      <c r="AC405" s="186"/>
      <c r="AD405" s="186"/>
      <c r="AE405" s="186"/>
    </row>
    <row r="406">
      <c r="A406" s="178"/>
      <c r="B406" s="36"/>
      <c r="C406" s="36"/>
      <c r="D406" s="197"/>
      <c r="E406" s="180"/>
      <c r="F406" s="181"/>
      <c r="G406" s="205"/>
      <c r="H406" s="205"/>
      <c r="I406" s="205"/>
      <c r="J406" s="205"/>
      <c r="K406" s="205"/>
      <c r="L406" s="205"/>
      <c r="M406" s="186"/>
      <c r="N406" s="186"/>
      <c r="O406" s="186"/>
      <c r="P406" s="186"/>
      <c r="Q406" s="186"/>
      <c r="R406" s="186"/>
      <c r="S406" s="186"/>
      <c r="T406" s="186"/>
      <c r="U406" s="186"/>
      <c r="V406" s="186"/>
      <c r="W406" s="186"/>
      <c r="X406" s="186"/>
      <c r="Y406" s="186"/>
      <c r="Z406" s="186"/>
      <c r="AA406" s="186"/>
      <c r="AB406" s="186"/>
      <c r="AC406" s="186"/>
      <c r="AD406" s="186"/>
      <c r="AE406" s="186"/>
    </row>
    <row r="407">
      <c r="A407" s="178"/>
      <c r="B407" s="36"/>
      <c r="C407" s="36"/>
      <c r="D407" s="197"/>
      <c r="E407" s="180"/>
      <c r="F407" s="181"/>
      <c r="G407" s="205"/>
      <c r="H407" s="205"/>
      <c r="I407" s="205"/>
      <c r="J407" s="205"/>
      <c r="K407" s="205"/>
      <c r="L407" s="205"/>
      <c r="M407" s="186"/>
      <c r="N407" s="186"/>
      <c r="O407" s="186"/>
      <c r="P407" s="186"/>
      <c r="Q407" s="186"/>
      <c r="R407" s="186"/>
      <c r="S407" s="186"/>
      <c r="T407" s="186"/>
      <c r="U407" s="186"/>
      <c r="V407" s="186"/>
      <c r="W407" s="186"/>
      <c r="X407" s="186"/>
      <c r="Y407" s="186"/>
      <c r="Z407" s="186"/>
      <c r="AA407" s="186"/>
      <c r="AB407" s="186"/>
      <c r="AC407" s="186"/>
      <c r="AD407" s="186"/>
      <c r="AE407" s="186"/>
    </row>
    <row r="408">
      <c r="A408" s="178"/>
      <c r="B408" s="36"/>
      <c r="C408" s="36"/>
      <c r="D408" s="197"/>
      <c r="E408" s="180"/>
      <c r="F408" s="181"/>
      <c r="G408" s="205"/>
      <c r="H408" s="205"/>
      <c r="I408" s="205"/>
      <c r="J408" s="205"/>
      <c r="K408" s="205"/>
      <c r="L408" s="205"/>
      <c r="M408" s="186"/>
      <c r="N408" s="186"/>
      <c r="O408" s="186"/>
      <c r="P408" s="186"/>
      <c r="Q408" s="186"/>
      <c r="R408" s="186"/>
      <c r="S408" s="186"/>
      <c r="T408" s="186"/>
      <c r="U408" s="186"/>
      <c r="V408" s="186"/>
      <c r="W408" s="186"/>
      <c r="X408" s="186"/>
      <c r="Y408" s="186"/>
      <c r="Z408" s="186"/>
      <c r="AA408" s="186"/>
      <c r="AB408" s="186"/>
      <c r="AC408" s="186"/>
      <c r="AD408" s="186"/>
      <c r="AE408" s="186"/>
    </row>
    <row r="409">
      <c r="A409" s="178"/>
      <c r="B409" s="36"/>
      <c r="C409" s="36"/>
      <c r="D409" s="197"/>
      <c r="E409" s="180"/>
      <c r="F409" s="181"/>
      <c r="G409" s="205"/>
      <c r="H409" s="205"/>
      <c r="I409" s="205"/>
      <c r="J409" s="205"/>
      <c r="K409" s="205"/>
      <c r="L409" s="205"/>
      <c r="M409" s="186"/>
      <c r="N409" s="186"/>
      <c r="O409" s="186"/>
      <c r="P409" s="186"/>
      <c r="Q409" s="186"/>
      <c r="R409" s="186"/>
      <c r="S409" s="186"/>
      <c r="T409" s="186"/>
      <c r="U409" s="186"/>
      <c r="V409" s="186"/>
      <c r="W409" s="186"/>
      <c r="X409" s="186"/>
      <c r="Y409" s="186"/>
      <c r="Z409" s="186"/>
      <c r="AA409" s="186"/>
      <c r="AB409" s="186"/>
      <c r="AC409" s="186"/>
      <c r="AD409" s="186"/>
      <c r="AE409" s="186"/>
    </row>
    <row r="410">
      <c r="A410" s="178"/>
      <c r="B410" s="36"/>
      <c r="C410" s="36"/>
      <c r="D410" s="197"/>
      <c r="E410" s="180"/>
      <c r="F410" s="181"/>
      <c r="G410" s="205"/>
      <c r="H410" s="205"/>
      <c r="I410" s="205"/>
      <c r="J410" s="205"/>
      <c r="K410" s="205"/>
      <c r="L410" s="205"/>
      <c r="M410" s="186"/>
      <c r="N410" s="186"/>
      <c r="O410" s="186"/>
      <c r="P410" s="186"/>
      <c r="Q410" s="186"/>
      <c r="R410" s="186"/>
      <c r="S410" s="186"/>
      <c r="T410" s="186"/>
      <c r="U410" s="186"/>
      <c r="V410" s="186"/>
      <c r="W410" s="186"/>
      <c r="X410" s="186"/>
      <c r="Y410" s="186"/>
      <c r="Z410" s="186"/>
      <c r="AA410" s="186"/>
      <c r="AB410" s="186"/>
      <c r="AC410" s="186"/>
      <c r="AD410" s="186"/>
      <c r="AE410" s="186"/>
    </row>
    <row r="411">
      <c r="A411" s="178"/>
      <c r="B411" s="36"/>
      <c r="C411" s="36"/>
      <c r="D411" s="197"/>
      <c r="E411" s="180"/>
      <c r="F411" s="181"/>
      <c r="G411" s="205"/>
      <c r="H411" s="205"/>
      <c r="I411" s="205"/>
      <c r="J411" s="205"/>
      <c r="K411" s="205"/>
      <c r="L411" s="205"/>
      <c r="M411" s="186"/>
      <c r="N411" s="186"/>
      <c r="O411" s="186"/>
      <c r="P411" s="186"/>
      <c r="Q411" s="186"/>
      <c r="R411" s="186"/>
      <c r="S411" s="186"/>
      <c r="T411" s="186"/>
      <c r="U411" s="186"/>
      <c r="V411" s="186"/>
      <c r="W411" s="186"/>
      <c r="X411" s="186"/>
      <c r="Y411" s="186"/>
      <c r="Z411" s="186"/>
      <c r="AA411" s="186"/>
      <c r="AB411" s="186"/>
      <c r="AC411" s="186"/>
      <c r="AD411" s="186"/>
      <c r="AE411" s="186"/>
    </row>
    <row r="412">
      <c r="A412" s="178"/>
      <c r="B412" s="36"/>
      <c r="C412" s="36"/>
      <c r="D412" s="197"/>
      <c r="E412" s="180"/>
      <c r="F412" s="181"/>
      <c r="G412" s="205"/>
      <c r="H412" s="205"/>
      <c r="I412" s="205"/>
      <c r="J412" s="205"/>
      <c r="K412" s="205"/>
      <c r="L412" s="205"/>
      <c r="M412" s="186"/>
      <c r="N412" s="186"/>
      <c r="O412" s="186"/>
      <c r="P412" s="186"/>
      <c r="Q412" s="186"/>
      <c r="R412" s="186"/>
      <c r="S412" s="186"/>
      <c r="T412" s="186"/>
      <c r="U412" s="186"/>
      <c r="V412" s="186"/>
      <c r="W412" s="186"/>
      <c r="X412" s="186"/>
      <c r="Y412" s="186"/>
      <c r="Z412" s="186"/>
      <c r="AA412" s="186"/>
      <c r="AB412" s="186"/>
      <c r="AC412" s="186"/>
      <c r="AD412" s="186"/>
      <c r="AE412" s="186"/>
    </row>
    <row r="413">
      <c r="A413" s="178"/>
      <c r="B413" s="36"/>
      <c r="C413" s="36"/>
      <c r="D413" s="197"/>
      <c r="E413" s="180"/>
      <c r="F413" s="181"/>
      <c r="G413" s="205"/>
      <c r="H413" s="205"/>
      <c r="I413" s="205"/>
      <c r="J413" s="205"/>
      <c r="K413" s="205"/>
      <c r="L413" s="205"/>
      <c r="M413" s="186"/>
      <c r="N413" s="186"/>
      <c r="O413" s="186"/>
      <c r="P413" s="186"/>
      <c r="Q413" s="186"/>
      <c r="R413" s="186"/>
      <c r="S413" s="186"/>
      <c r="T413" s="186"/>
      <c r="U413" s="186"/>
      <c r="V413" s="186"/>
      <c r="W413" s="186"/>
      <c r="X413" s="186"/>
      <c r="Y413" s="186"/>
      <c r="Z413" s="186"/>
      <c r="AA413" s="186"/>
      <c r="AB413" s="186"/>
      <c r="AC413" s="186"/>
      <c r="AD413" s="186"/>
      <c r="AE413" s="186"/>
    </row>
    <row r="414">
      <c r="A414" s="178"/>
      <c r="B414" s="36"/>
      <c r="C414" s="36"/>
      <c r="D414" s="197"/>
      <c r="E414" s="180"/>
      <c r="F414" s="181"/>
      <c r="G414" s="205"/>
      <c r="H414" s="205"/>
      <c r="I414" s="205"/>
      <c r="J414" s="205"/>
      <c r="K414" s="205"/>
      <c r="L414" s="205"/>
      <c r="M414" s="186"/>
      <c r="N414" s="186"/>
      <c r="O414" s="186"/>
      <c r="P414" s="186"/>
      <c r="Q414" s="186"/>
      <c r="R414" s="186"/>
      <c r="S414" s="186"/>
      <c r="T414" s="186"/>
      <c r="U414" s="186"/>
      <c r="V414" s="186"/>
      <c r="W414" s="186"/>
      <c r="X414" s="186"/>
      <c r="Y414" s="186"/>
      <c r="Z414" s="186"/>
      <c r="AA414" s="186"/>
      <c r="AB414" s="186"/>
      <c r="AC414" s="186"/>
      <c r="AD414" s="186"/>
      <c r="AE414" s="186"/>
    </row>
    <row r="415">
      <c r="A415" s="178"/>
      <c r="B415" s="36"/>
      <c r="C415" s="36"/>
      <c r="D415" s="197"/>
      <c r="E415" s="180"/>
      <c r="F415" s="181"/>
      <c r="G415" s="205"/>
      <c r="H415" s="205"/>
      <c r="I415" s="205"/>
      <c r="J415" s="205"/>
      <c r="K415" s="205"/>
      <c r="L415" s="205"/>
      <c r="M415" s="186"/>
      <c r="N415" s="186"/>
      <c r="O415" s="186"/>
      <c r="P415" s="186"/>
      <c r="Q415" s="186"/>
      <c r="R415" s="186"/>
      <c r="S415" s="186"/>
      <c r="T415" s="186"/>
      <c r="U415" s="186"/>
      <c r="V415" s="186"/>
      <c r="W415" s="186"/>
      <c r="X415" s="186"/>
      <c r="Y415" s="186"/>
      <c r="Z415" s="186"/>
      <c r="AA415" s="186"/>
      <c r="AB415" s="186"/>
      <c r="AC415" s="186"/>
      <c r="AD415" s="186"/>
      <c r="AE415" s="186"/>
    </row>
    <row r="416">
      <c r="A416" s="178"/>
      <c r="B416" s="36"/>
      <c r="C416" s="36"/>
      <c r="D416" s="197"/>
      <c r="E416" s="180"/>
      <c r="F416" s="181"/>
      <c r="G416" s="205"/>
      <c r="H416" s="205"/>
      <c r="I416" s="205"/>
      <c r="J416" s="205"/>
      <c r="K416" s="205"/>
      <c r="L416" s="205"/>
      <c r="M416" s="186"/>
      <c r="N416" s="186"/>
      <c r="O416" s="186"/>
      <c r="P416" s="186"/>
      <c r="Q416" s="186"/>
      <c r="R416" s="186"/>
      <c r="S416" s="186"/>
      <c r="T416" s="186"/>
      <c r="U416" s="186"/>
      <c r="V416" s="186"/>
      <c r="W416" s="186"/>
      <c r="X416" s="186"/>
      <c r="Y416" s="186"/>
      <c r="Z416" s="186"/>
      <c r="AA416" s="186"/>
      <c r="AB416" s="186"/>
      <c r="AC416" s="186"/>
      <c r="AD416" s="186"/>
      <c r="AE416" s="186"/>
    </row>
    <row r="417">
      <c r="A417" s="178"/>
      <c r="B417" s="36"/>
      <c r="C417" s="36"/>
      <c r="D417" s="197"/>
      <c r="E417" s="180"/>
      <c r="F417" s="181"/>
      <c r="G417" s="205"/>
      <c r="H417" s="205"/>
      <c r="I417" s="205"/>
      <c r="J417" s="205"/>
      <c r="K417" s="205"/>
      <c r="L417" s="205"/>
      <c r="M417" s="186"/>
      <c r="N417" s="186"/>
      <c r="O417" s="186"/>
      <c r="P417" s="186"/>
      <c r="Q417" s="186"/>
      <c r="R417" s="186"/>
      <c r="S417" s="186"/>
      <c r="T417" s="186"/>
      <c r="U417" s="186"/>
      <c r="V417" s="186"/>
      <c r="W417" s="186"/>
      <c r="X417" s="186"/>
      <c r="Y417" s="186"/>
      <c r="Z417" s="186"/>
      <c r="AA417" s="186"/>
      <c r="AB417" s="186"/>
      <c r="AC417" s="186"/>
      <c r="AD417" s="186"/>
      <c r="AE417" s="186"/>
    </row>
    <row r="418">
      <c r="A418" s="178"/>
      <c r="B418" s="36"/>
      <c r="C418" s="36"/>
      <c r="D418" s="197"/>
      <c r="E418" s="180"/>
      <c r="F418" s="181"/>
      <c r="G418" s="205"/>
      <c r="H418" s="205"/>
      <c r="I418" s="205"/>
      <c r="J418" s="205"/>
      <c r="K418" s="205"/>
      <c r="L418" s="205"/>
      <c r="M418" s="186"/>
      <c r="N418" s="186"/>
      <c r="O418" s="186"/>
      <c r="P418" s="186"/>
      <c r="Q418" s="186"/>
      <c r="R418" s="186"/>
      <c r="S418" s="186"/>
      <c r="T418" s="186"/>
      <c r="U418" s="186"/>
      <c r="V418" s="186"/>
      <c r="W418" s="186"/>
      <c r="X418" s="186"/>
      <c r="Y418" s="186"/>
      <c r="Z418" s="186"/>
      <c r="AA418" s="186"/>
      <c r="AB418" s="186"/>
      <c r="AC418" s="186"/>
      <c r="AD418" s="186"/>
      <c r="AE418" s="186"/>
    </row>
    <row r="419">
      <c r="A419" s="178"/>
      <c r="B419" s="36"/>
      <c r="C419" s="36"/>
      <c r="D419" s="197"/>
      <c r="E419" s="180"/>
      <c r="F419" s="181"/>
      <c r="G419" s="205"/>
      <c r="H419" s="205"/>
      <c r="I419" s="205"/>
      <c r="J419" s="205"/>
      <c r="K419" s="205"/>
      <c r="L419" s="205"/>
      <c r="M419" s="186"/>
      <c r="N419" s="186"/>
      <c r="O419" s="186"/>
      <c r="P419" s="186"/>
      <c r="Q419" s="186"/>
      <c r="R419" s="186"/>
      <c r="S419" s="186"/>
      <c r="T419" s="186"/>
      <c r="U419" s="186"/>
      <c r="V419" s="186"/>
      <c r="W419" s="186"/>
      <c r="X419" s="186"/>
      <c r="Y419" s="186"/>
      <c r="Z419" s="186"/>
      <c r="AA419" s="186"/>
      <c r="AB419" s="186"/>
      <c r="AC419" s="186"/>
      <c r="AD419" s="186"/>
      <c r="AE419" s="186"/>
    </row>
    <row r="420">
      <c r="A420" s="178"/>
      <c r="B420" s="36"/>
      <c r="C420" s="36"/>
      <c r="D420" s="197"/>
      <c r="E420" s="180"/>
      <c r="F420" s="181"/>
      <c r="G420" s="205"/>
      <c r="H420" s="205"/>
      <c r="I420" s="205"/>
      <c r="J420" s="205"/>
      <c r="K420" s="205"/>
      <c r="L420" s="205"/>
      <c r="M420" s="186"/>
      <c r="N420" s="186"/>
      <c r="O420" s="186"/>
      <c r="P420" s="186"/>
      <c r="Q420" s="186"/>
      <c r="R420" s="186"/>
      <c r="S420" s="186"/>
      <c r="T420" s="186"/>
      <c r="U420" s="186"/>
      <c r="V420" s="186"/>
      <c r="W420" s="186"/>
      <c r="X420" s="186"/>
      <c r="Y420" s="186"/>
      <c r="Z420" s="186"/>
      <c r="AA420" s="186"/>
      <c r="AB420" s="186"/>
      <c r="AC420" s="186"/>
      <c r="AD420" s="186"/>
      <c r="AE420" s="186"/>
    </row>
    <row r="421">
      <c r="A421" s="178"/>
      <c r="B421" s="36"/>
      <c r="C421" s="36"/>
      <c r="D421" s="197"/>
      <c r="E421" s="180"/>
      <c r="F421" s="181"/>
      <c r="G421" s="205"/>
      <c r="H421" s="205"/>
      <c r="I421" s="205"/>
      <c r="J421" s="205"/>
      <c r="K421" s="205"/>
      <c r="L421" s="205"/>
      <c r="M421" s="186"/>
      <c r="N421" s="186"/>
      <c r="O421" s="186"/>
      <c r="P421" s="186"/>
      <c r="Q421" s="186"/>
      <c r="R421" s="186"/>
      <c r="S421" s="186"/>
      <c r="T421" s="186"/>
      <c r="U421" s="186"/>
      <c r="V421" s="186"/>
      <c r="W421" s="186"/>
      <c r="X421" s="186"/>
      <c r="Y421" s="186"/>
      <c r="Z421" s="186"/>
      <c r="AA421" s="186"/>
      <c r="AB421" s="186"/>
      <c r="AC421" s="186"/>
      <c r="AD421" s="186"/>
      <c r="AE421" s="186"/>
    </row>
    <row r="422">
      <c r="A422" s="178"/>
      <c r="B422" s="36"/>
      <c r="C422" s="36"/>
      <c r="D422" s="197"/>
      <c r="E422" s="180"/>
      <c r="F422" s="181"/>
      <c r="G422" s="205"/>
      <c r="H422" s="205"/>
      <c r="I422" s="205"/>
      <c r="J422" s="205"/>
      <c r="K422" s="205"/>
      <c r="L422" s="205"/>
      <c r="M422" s="186"/>
      <c r="N422" s="186"/>
      <c r="O422" s="186"/>
      <c r="P422" s="186"/>
      <c r="Q422" s="186"/>
      <c r="R422" s="186"/>
      <c r="S422" s="186"/>
      <c r="T422" s="186"/>
      <c r="U422" s="186"/>
      <c r="V422" s="186"/>
      <c r="W422" s="186"/>
      <c r="X422" s="186"/>
      <c r="Y422" s="186"/>
      <c r="Z422" s="186"/>
      <c r="AA422" s="186"/>
      <c r="AB422" s="186"/>
      <c r="AC422" s="186"/>
      <c r="AD422" s="186"/>
      <c r="AE422" s="186"/>
    </row>
    <row r="423">
      <c r="A423" s="178"/>
      <c r="B423" s="36"/>
      <c r="C423" s="36"/>
      <c r="D423" s="197"/>
      <c r="E423" s="180"/>
      <c r="F423" s="181"/>
      <c r="G423" s="205"/>
      <c r="H423" s="205"/>
      <c r="I423" s="205"/>
      <c r="J423" s="205"/>
      <c r="K423" s="205"/>
      <c r="L423" s="205"/>
      <c r="M423" s="186"/>
      <c r="N423" s="186"/>
      <c r="O423" s="186"/>
      <c r="P423" s="186"/>
      <c r="Q423" s="186"/>
      <c r="R423" s="186"/>
      <c r="S423" s="186"/>
      <c r="T423" s="186"/>
      <c r="U423" s="186"/>
      <c r="V423" s="186"/>
      <c r="W423" s="186"/>
      <c r="X423" s="186"/>
      <c r="Y423" s="186"/>
      <c r="Z423" s="186"/>
      <c r="AA423" s="186"/>
      <c r="AB423" s="186"/>
      <c r="AC423" s="186"/>
      <c r="AD423" s="186"/>
      <c r="AE423" s="186"/>
    </row>
    <row r="424">
      <c r="A424" s="178"/>
      <c r="B424" s="36"/>
      <c r="C424" s="36"/>
      <c r="D424" s="197"/>
      <c r="E424" s="180"/>
      <c r="F424" s="181"/>
      <c r="G424" s="205"/>
      <c r="H424" s="205"/>
      <c r="I424" s="205"/>
      <c r="J424" s="205"/>
      <c r="K424" s="205"/>
      <c r="L424" s="205"/>
      <c r="M424" s="186"/>
      <c r="N424" s="186"/>
      <c r="O424" s="186"/>
      <c r="P424" s="186"/>
      <c r="Q424" s="186"/>
      <c r="R424" s="186"/>
      <c r="S424" s="186"/>
      <c r="T424" s="186"/>
      <c r="U424" s="186"/>
      <c r="V424" s="186"/>
      <c r="W424" s="186"/>
      <c r="X424" s="186"/>
      <c r="Y424" s="186"/>
      <c r="Z424" s="186"/>
      <c r="AA424" s="186"/>
      <c r="AB424" s="186"/>
      <c r="AC424" s="186"/>
      <c r="AD424" s="186"/>
      <c r="AE424" s="186"/>
    </row>
    <row r="425">
      <c r="A425" s="178"/>
      <c r="B425" s="36"/>
      <c r="C425" s="36"/>
      <c r="D425" s="197"/>
      <c r="E425" s="180"/>
      <c r="F425" s="181"/>
      <c r="G425" s="205"/>
      <c r="H425" s="205"/>
      <c r="I425" s="205"/>
      <c r="J425" s="205"/>
      <c r="K425" s="205"/>
      <c r="L425" s="205"/>
      <c r="M425" s="186"/>
      <c r="N425" s="186"/>
      <c r="O425" s="186"/>
      <c r="P425" s="186"/>
      <c r="Q425" s="186"/>
      <c r="R425" s="186"/>
      <c r="S425" s="186"/>
      <c r="T425" s="186"/>
      <c r="U425" s="186"/>
      <c r="V425" s="186"/>
      <c r="W425" s="186"/>
      <c r="X425" s="186"/>
      <c r="Y425" s="186"/>
      <c r="Z425" s="186"/>
      <c r="AA425" s="186"/>
      <c r="AB425" s="186"/>
      <c r="AC425" s="186"/>
      <c r="AD425" s="186"/>
      <c r="AE425" s="186"/>
    </row>
    <row r="426">
      <c r="A426" s="178"/>
      <c r="B426" s="36"/>
      <c r="C426" s="36"/>
      <c r="D426" s="197"/>
      <c r="E426" s="180"/>
      <c r="F426" s="181"/>
      <c r="G426" s="205"/>
      <c r="H426" s="205"/>
      <c r="I426" s="205"/>
      <c r="J426" s="205"/>
      <c r="K426" s="205"/>
      <c r="L426" s="205"/>
      <c r="M426" s="186"/>
      <c r="N426" s="186"/>
      <c r="O426" s="186"/>
      <c r="P426" s="186"/>
      <c r="Q426" s="186"/>
      <c r="R426" s="186"/>
      <c r="S426" s="186"/>
      <c r="T426" s="186"/>
      <c r="U426" s="186"/>
      <c r="V426" s="186"/>
      <c r="W426" s="186"/>
      <c r="X426" s="186"/>
      <c r="Y426" s="186"/>
      <c r="Z426" s="186"/>
      <c r="AA426" s="186"/>
      <c r="AB426" s="186"/>
      <c r="AC426" s="186"/>
      <c r="AD426" s="186"/>
      <c r="AE426" s="186"/>
    </row>
    <row r="427">
      <c r="A427" s="178"/>
      <c r="B427" s="36"/>
      <c r="C427" s="36"/>
      <c r="D427" s="197"/>
      <c r="E427" s="180"/>
      <c r="F427" s="181"/>
      <c r="G427" s="205"/>
      <c r="H427" s="205"/>
      <c r="I427" s="205"/>
      <c r="J427" s="205"/>
      <c r="K427" s="205"/>
      <c r="L427" s="205"/>
      <c r="M427" s="186"/>
      <c r="N427" s="186"/>
      <c r="O427" s="186"/>
      <c r="P427" s="186"/>
      <c r="Q427" s="186"/>
      <c r="R427" s="186"/>
      <c r="S427" s="186"/>
      <c r="T427" s="186"/>
      <c r="U427" s="186"/>
      <c r="V427" s="186"/>
      <c r="W427" s="186"/>
      <c r="X427" s="186"/>
      <c r="Y427" s="186"/>
      <c r="Z427" s="186"/>
      <c r="AA427" s="186"/>
      <c r="AB427" s="186"/>
      <c r="AC427" s="186"/>
      <c r="AD427" s="186"/>
      <c r="AE427" s="186"/>
    </row>
    <row r="428">
      <c r="A428" s="178"/>
      <c r="B428" s="36"/>
      <c r="C428" s="36"/>
      <c r="D428" s="197"/>
      <c r="E428" s="180"/>
      <c r="F428" s="181"/>
      <c r="G428" s="205"/>
      <c r="H428" s="205"/>
      <c r="I428" s="205"/>
      <c r="J428" s="205"/>
      <c r="K428" s="205"/>
      <c r="L428" s="205"/>
      <c r="M428" s="186"/>
      <c r="N428" s="186"/>
      <c r="O428" s="186"/>
      <c r="P428" s="186"/>
      <c r="Q428" s="186"/>
      <c r="R428" s="186"/>
      <c r="S428" s="186"/>
      <c r="T428" s="186"/>
      <c r="U428" s="186"/>
      <c r="V428" s="186"/>
      <c r="W428" s="186"/>
      <c r="X428" s="186"/>
      <c r="Y428" s="186"/>
      <c r="Z428" s="186"/>
      <c r="AA428" s="186"/>
      <c r="AB428" s="186"/>
      <c r="AC428" s="186"/>
      <c r="AD428" s="186"/>
      <c r="AE428" s="186"/>
    </row>
    <row r="429">
      <c r="A429" s="178"/>
      <c r="B429" s="36"/>
      <c r="C429" s="36"/>
      <c r="D429" s="197"/>
      <c r="E429" s="180"/>
      <c r="F429" s="181"/>
      <c r="G429" s="205"/>
      <c r="H429" s="205"/>
      <c r="I429" s="205"/>
      <c r="J429" s="205"/>
      <c r="K429" s="205"/>
      <c r="L429" s="205"/>
      <c r="M429" s="186"/>
      <c r="N429" s="186"/>
      <c r="O429" s="186"/>
      <c r="P429" s="186"/>
      <c r="Q429" s="186"/>
      <c r="R429" s="186"/>
      <c r="S429" s="186"/>
      <c r="T429" s="186"/>
      <c r="U429" s="186"/>
      <c r="V429" s="186"/>
      <c r="W429" s="186"/>
      <c r="X429" s="186"/>
      <c r="Y429" s="186"/>
      <c r="Z429" s="186"/>
      <c r="AA429" s="186"/>
      <c r="AB429" s="186"/>
      <c r="AC429" s="186"/>
      <c r="AD429" s="186"/>
      <c r="AE429" s="186"/>
    </row>
    <row r="430">
      <c r="A430" s="178"/>
      <c r="B430" s="36"/>
      <c r="C430" s="36"/>
      <c r="D430" s="197"/>
      <c r="E430" s="180"/>
      <c r="F430" s="181"/>
      <c r="G430" s="205"/>
      <c r="H430" s="205"/>
      <c r="I430" s="205"/>
      <c r="J430" s="205"/>
      <c r="K430" s="205"/>
      <c r="L430" s="205"/>
      <c r="M430" s="186"/>
      <c r="N430" s="186"/>
      <c r="O430" s="186"/>
      <c r="P430" s="186"/>
      <c r="Q430" s="186"/>
      <c r="R430" s="186"/>
      <c r="S430" s="186"/>
      <c r="T430" s="186"/>
      <c r="U430" s="186"/>
      <c r="V430" s="186"/>
      <c r="W430" s="186"/>
      <c r="X430" s="186"/>
      <c r="Y430" s="186"/>
      <c r="Z430" s="186"/>
      <c r="AA430" s="186"/>
      <c r="AB430" s="186"/>
      <c r="AC430" s="186"/>
      <c r="AD430" s="186"/>
      <c r="AE430" s="186"/>
    </row>
    <row r="431">
      <c r="A431" s="178"/>
      <c r="B431" s="36"/>
      <c r="C431" s="36"/>
      <c r="D431" s="197"/>
      <c r="E431" s="180"/>
      <c r="F431" s="181"/>
      <c r="G431" s="205"/>
      <c r="H431" s="205"/>
      <c r="I431" s="205"/>
      <c r="J431" s="205"/>
      <c r="K431" s="205"/>
      <c r="L431" s="205"/>
      <c r="M431" s="186"/>
      <c r="N431" s="186"/>
      <c r="O431" s="186"/>
      <c r="P431" s="186"/>
      <c r="Q431" s="186"/>
      <c r="R431" s="186"/>
      <c r="S431" s="186"/>
      <c r="T431" s="186"/>
      <c r="U431" s="186"/>
      <c r="V431" s="186"/>
      <c r="W431" s="186"/>
      <c r="X431" s="186"/>
      <c r="Y431" s="186"/>
      <c r="Z431" s="186"/>
      <c r="AA431" s="186"/>
      <c r="AB431" s="186"/>
      <c r="AC431" s="186"/>
      <c r="AD431" s="186"/>
      <c r="AE431" s="186"/>
    </row>
    <row r="432">
      <c r="A432" s="178"/>
      <c r="B432" s="36"/>
      <c r="C432" s="36"/>
      <c r="D432" s="197"/>
      <c r="E432" s="180"/>
      <c r="F432" s="181"/>
      <c r="G432" s="205"/>
      <c r="H432" s="205"/>
      <c r="I432" s="205"/>
      <c r="J432" s="205"/>
      <c r="K432" s="205"/>
      <c r="L432" s="205"/>
      <c r="M432" s="186"/>
      <c r="N432" s="186"/>
      <c r="O432" s="186"/>
      <c r="P432" s="186"/>
      <c r="Q432" s="186"/>
      <c r="R432" s="186"/>
      <c r="S432" s="186"/>
      <c r="T432" s="186"/>
      <c r="U432" s="186"/>
      <c r="V432" s="186"/>
      <c r="W432" s="186"/>
      <c r="X432" s="186"/>
      <c r="Y432" s="186"/>
      <c r="Z432" s="186"/>
      <c r="AA432" s="186"/>
      <c r="AB432" s="186"/>
      <c r="AC432" s="186"/>
      <c r="AD432" s="186"/>
      <c r="AE432" s="186"/>
    </row>
    <row r="433">
      <c r="A433" s="178"/>
      <c r="B433" s="36"/>
      <c r="C433" s="36"/>
      <c r="D433" s="197"/>
      <c r="E433" s="180"/>
      <c r="F433" s="181"/>
      <c r="G433" s="205"/>
      <c r="H433" s="205"/>
      <c r="I433" s="205"/>
      <c r="J433" s="205"/>
      <c r="K433" s="205"/>
      <c r="L433" s="205"/>
      <c r="M433" s="186"/>
      <c r="N433" s="186"/>
      <c r="O433" s="186"/>
      <c r="P433" s="186"/>
      <c r="Q433" s="186"/>
      <c r="R433" s="186"/>
      <c r="S433" s="186"/>
      <c r="T433" s="186"/>
      <c r="U433" s="186"/>
      <c r="V433" s="186"/>
      <c r="W433" s="186"/>
      <c r="X433" s="186"/>
      <c r="Y433" s="186"/>
      <c r="Z433" s="186"/>
      <c r="AA433" s="186"/>
      <c r="AB433" s="186"/>
      <c r="AC433" s="186"/>
      <c r="AD433" s="186"/>
      <c r="AE433" s="186"/>
    </row>
    <row r="434">
      <c r="A434" s="178"/>
      <c r="B434" s="36"/>
      <c r="C434" s="36"/>
      <c r="D434" s="197"/>
      <c r="E434" s="180"/>
      <c r="F434" s="181"/>
      <c r="G434" s="205"/>
      <c r="H434" s="205"/>
      <c r="I434" s="205"/>
      <c r="J434" s="205"/>
      <c r="K434" s="205"/>
      <c r="L434" s="205"/>
      <c r="M434" s="186"/>
      <c r="N434" s="186"/>
      <c r="O434" s="186"/>
      <c r="P434" s="186"/>
      <c r="Q434" s="186"/>
      <c r="R434" s="186"/>
      <c r="S434" s="186"/>
      <c r="T434" s="186"/>
      <c r="U434" s="186"/>
      <c r="V434" s="186"/>
      <c r="W434" s="186"/>
      <c r="X434" s="186"/>
      <c r="Y434" s="186"/>
      <c r="Z434" s="186"/>
      <c r="AA434" s="186"/>
      <c r="AB434" s="186"/>
      <c r="AC434" s="186"/>
      <c r="AD434" s="186"/>
      <c r="AE434" s="186"/>
    </row>
    <row r="435">
      <c r="A435" s="178"/>
      <c r="B435" s="36"/>
      <c r="C435" s="36"/>
      <c r="D435" s="197"/>
      <c r="E435" s="180"/>
      <c r="F435" s="181"/>
      <c r="G435" s="205"/>
      <c r="H435" s="205"/>
      <c r="I435" s="205"/>
      <c r="J435" s="205"/>
      <c r="K435" s="205"/>
      <c r="L435" s="205"/>
      <c r="M435" s="186"/>
      <c r="N435" s="186"/>
      <c r="O435" s="186"/>
      <c r="P435" s="186"/>
      <c r="Q435" s="186"/>
      <c r="R435" s="186"/>
      <c r="S435" s="186"/>
      <c r="T435" s="186"/>
      <c r="U435" s="186"/>
      <c r="V435" s="186"/>
      <c r="W435" s="186"/>
      <c r="X435" s="186"/>
      <c r="Y435" s="186"/>
      <c r="Z435" s="186"/>
      <c r="AA435" s="186"/>
      <c r="AB435" s="186"/>
      <c r="AC435" s="186"/>
      <c r="AD435" s="186"/>
      <c r="AE435" s="186"/>
    </row>
    <row r="436">
      <c r="A436" s="178"/>
      <c r="B436" s="36"/>
      <c r="C436" s="36"/>
      <c r="D436" s="197"/>
      <c r="E436" s="180"/>
      <c r="F436" s="181"/>
      <c r="G436" s="205"/>
      <c r="H436" s="205"/>
      <c r="I436" s="205"/>
      <c r="J436" s="205"/>
      <c r="K436" s="205"/>
      <c r="L436" s="205"/>
      <c r="M436" s="186"/>
      <c r="N436" s="186"/>
      <c r="O436" s="186"/>
      <c r="P436" s="186"/>
      <c r="Q436" s="186"/>
      <c r="R436" s="186"/>
      <c r="S436" s="186"/>
      <c r="T436" s="186"/>
      <c r="U436" s="186"/>
      <c r="V436" s="186"/>
      <c r="W436" s="186"/>
      <c r="X436" s="186"/>
      <c r="Y436" s="186"/>
      <c r="Z436" s="186"/>
      <c r="AA436" s="186"/>
      <c r="AB436" s="186"/>
      <c r="AC436" s="186"/>
      <c r="AD436" s="186"/>
      <c r="AE436" s="186"/>
    </row>
    <row r="437">
      <c r="A437" s="178"/>
      <c r="B437" s="36"/>
      <c r="C437" s="36"/>
      <c r="D437" s="197"/>
      <c r="E437" s="180"/>
      <c r="F437" s="181"/>
      <c r="G437" s="205"/>
      <c r="H437" s="205"/>
      <c r="I437" s="205"/>
      <c r="J437" s="205"/>
      <c r="K437" s="205"/>
      <c r="L437" s="205"/>
      <c r="M437" s="186"/>
      <c r="N437" s="186"/>
      <c r="O437" s="186"/>
      <c r="P437" s="186"/>
      <c r="Q437" s="186"/>
      <c r="R437" s="186"/>
      <c r="S437" s="186"/>
      <c r="T437" s="186"/>
      <c r="U437" s="186"/>
      <c r="V437" s="186"/>
      <c r="W437" s="186"/>
      <c r="X437" s="186"/>
      <c r="Y437" s="186"/>
      <c r="Z437" s="186"/>
      <c r="AA437" s="186"/>
      <c r="AB437" s="186"/>
      <c r="AC437" s="186"/>
      <c r="AD437" s="186"/>
      <c r="AE437" s="186"/>
    </row>
    <row r="438">
      <c r="A438" s="178"/>
      <c r="B438" s="36"/>
      <c r="C438" s="36"/>
      <c r="D438" s="197"/>
      <c r="E438" s="180"/>
      <c r="F438" s="181"/>
      <c r="G438" s="205"/>
      <c r="H438" s="205"/>
      <c r="I438" s="205"/>
      <c r="J438" s="205"/>
      <c r="K438" s="205"/>
      <c r="L438" s="205"/>
      <c r="M438" s="186"/>
      <c r="N438" s="186"/>
      <c r="O438" s="186"/>
      <c r="P438" s="186"/>
      <c r="Q438" s="186"/>
      <c r="R438" s="186"/>
      <c r="S438" s="186"/>
      <c r="T438" s="186"/>
      <c r="U438" s="186"/>
      <c r="V438" s="186"/>
      <c r="W438" s="186"/>
      <c r="X438" s="186"/>
      <c r="Y438" s="186"/>
      <c r="Z438" s="186"/>
      <c r="AA438" s="186"/>
      <c r="AB438" s="186"/>
      <c r="AC438" s="186"/>
      <c r="AD438" s="186"/>
      <c r="AE438" s="186"/>
    </row>
    <row r="439">
      <c r="A439" s="178"/>
      <c r="B439" s="36"/>
      <c r="C439" s="36"/>
      <c r="D439" s="197"/>
      <c r="E439" s="180"/>
      <c r="F439" s="181"/>
      <c r="G439" s="205"/>
      <c r="H439" s="205"/>
      <c r="I439" s="205"/>
      <c r="J439" s="205"/>
      <c r="K439" s="205"/>
      <c r="L439" s="205"/>
      <c r="M439" s="186"/>
      <c r="N439" s="186"/>
      <c r="O439" s="186"/>
      <c r="P439" s="186"/>
      <c r="Q439" s="186"/>
      <c r="R439" s="186"/>
      <c r="S439" s="186"/>
      <c r="T439" s="186"/>
      <c r="U439" s="186"/>
      <c r="V439" s="186"/>
      <c r="W439" s="186"/>
      <c r="X439" s="186"/>
      <c r="Y439" s="186"/>
      <c r="Z439" s="186"/>
      <c r="AA439" s="186"/>
      <c r="AB439" s="186"/>
      <c r="AC439" s="186"/>
      <c r="AD439" s="186"/>
      <c r="AE439" s="186"/>
    </row>
    <row r="440">
      <c r="A440" s="178"/>
      <c r="B440" s="36"/>
      <c r="C440" s="36"/>
      <c r="D440" s="197"/>
      <c r="E440" s="180"/>
      <c r="F440" s="181"/>
      <c r="G440" s="205"/>
      <c r="H440" s="205"/>
      <c r="I440" s="205"/>
      <c r="J440" s="205"/>
      <c r="K440" s="205"/>
      <c r="L440" s="205"/>
      <c r="M440" s="186"/>
      <c r="N440" s="186"/>
      <c r="O440" s="186"/>
      <c r="P440" s="186"/>
      <c r="Q440" s="186"/>
      <c r="R440" s="186"/>
      <c r="S440" s="186"/>
      <c r="T440" s="186"/>
      <c r="U440" s="186"/>
      <c r="V440" s="186"/>
      <c r="W440" s="186"/>
      <c r="X440" s="186"/>
      <c r="Y440" s="186"/>
      <c r="Z440" s="186"/>
      <c r="AA440" s="186"/>
      <c r="AB440" s="186"/>
      <c r="AC440" s="186"/>
      <c r="AD440" s="186"/>
      <c r="AE440" s="186"/>
    </row>
    <row r="441">
      <c r="A441" s="178"/>
      <c r="B441" s="36"/>
      <c r="C441" s="36"/>
      <c r="D441" s="197"/>
      <c r="E441" s="180"/>
      <c r="F441" s="181"/>
      <c r="G441" s="205"/>
      <c r="H441" s="205"/>
      <c r="I441" s="205"/>
      <c r="J441" s="205"/>
      <c r="K441" s="205"/>
      <c r="L441" s="205"/>
      <c r="M441" s="186"/>
      <c r="N441" s="186"/>
      <c r="O441" s="186"/>
      <c r="P441" s="186"/>
      <c r="Q441" s="186"/>
      <c r="R441" s="186"/>
      <c r="S441" s="186"/>
      <c r="T441" s="186"/>
      <c r="U441" s="186"/>
      <c r="V441" s="186"/>
      <c r="W441" s="186"/>
      <c r="X441" s="186"/>
      <c r="Y441" s="186"/>
      <c r="Z441" s="186"/>
      <c r="AA441" s="186"/>
      <c r="AB441" s="186"/>
      <c r="AC441" s="186"/>
      <c r="AD441" s="186"/>
      <c r="AE441" s="186"/>
    </row>
    <row r="442">
      <c r="A442" s="178"/>
      <c r="B442" s="36"/>
      <c r="C442" s="36"/>
      <c r="D442" s="197"/>
      <c r="E442" s="180"/>
      <c r="F442" s="181"/>
      <c r="G442" s="205"/>
      <c r="H442" s="205"/>
      <c r="I442" s="205"/>
      <c r="J442" s="205"/>
      <c r="K442" s="205"/>
      <c r="L442" s="205"/>
      <c r="M442" s="186"/>
      <c r="N442" s="186"/>
      <c r="O442" s="186"/>
      <c r="P442" s="186"/>
      <c r="Q442" s="186"/>
      <c r="R442" s="186"/>
      <c r="S442" s="186"/>
      <c r="T442" s="186"/>
      <c r="U442" s="186"/>
      <c r="V442" s="186"/>
      <c r="W442" s="186"/>
      <c r="X442" s="186"/>
      <c r="Y442" s="186"/>
      <c r="Z442" s="186"/>
      <c r="AA442" s="186"/>
      <c r="AB442" s="186"/>
      <c r="AC442" s="186"/>
      <c r="AD442" s="186"/>
      <c r="AE442" s="186"/>
    </row>
    <row r="443">
      <c r="A443" s="178"/>
      <c r="B443" s="36"/>
      <c r="C443" s="36"/>
      <c r="D443" s="197"/>
      <c r="E443" s="180"/>
      <c r="F443" s="181"/>
      <c r="G443" s="205"/>
      <c r="H443" s="205"/>
      <c r="I443" s="205"/>
      <c r="J443" s="205"/>
      <c r="K443" s="205"/>
      <c r="L443" s="205"/>
      <c r="M443" s="186"/>
      <c r="N443" s="186"/>
      <c r="O443" s="186"/>
      <c r="P443" s="186"/>
      <c r="Q443" s="186"/>
      <c r="R443" s="186"/>
      <c r="S443" s="186"/>
      <c r="T443" s="186"/>
      <c r="U443" s="186"/>
      <c r="V443" s="186"/>
      <c r="W443" s="186"/>
      <c r="X443" s="186"/>
      <c r="Y443" s="186"/>
      <c r="Z443" s="186"/>
      <c r="AA443" s="186"/>
      <c r="AB443" s="186"/>
      <c r="AC443" s="186"/>
      <c r="AD443" s="186"/>
      <c r="AE443" s="186"/>
    </row>
    <row r="444">
      <c r="A444" s="178"/>
      <c r="B444" s="36"/>
      <c r="C444" s="36"/>
      <c r="D444" s="197"/>
      <c r="E444" s="180"/>
      <c r="F444" s="181"/>
      <c r="G444" s="205"/>
      <c r="H444" s="205"/>
      <c r="I444" s="205"/>
      <c r="J444" s="205"/>
      <c r="K444" s="205"/>
      <c r="L444" s="205"/>
      <c r="M444" s="186"/>
      <c r="N444" s="186"/>
      <c r="O444" s="186"/>
      <c r="P444" s="186"/>
      <c r="Q444" s="186"/>
      <c r="R444" s="186"/>
      <c r="S444" s="186"/>
      <c r="T444" s="186"/>
      <c r="U444" s="186"/>
      <c r="V444" s="186"/>
      <c r="W444" s="186"/>
      <c r="X444" s="186"/>
      <c r="Y444" s="186"/>
      <c r="Z444" s="186"/>
      <c r="AA444" s="186"/>
      <c r="AB444" s="186"/>
      <c r="AC444" s="186"/>
      <c r="AD444" s="186"/>
      <c r="AE444" s="186"/>
    </row>
    <row r="445">
      <c r="A445" s="178"/>
      <c r="B445" s="36"/>
      <c r="C445" s="36"/>
      <c r="D445" s="197"/>
      <c r="E445" s="180"/>
      <c r="F445" s="181"/>
      <c r="G445" s="205"/>
      <c r="H445" s="205"/>
      <c r="I445" s="205"/>
      <c r="J445" s="205"/>
      <c r="K445" s="205"/>
      <c r="L445" s="205"/>
      <c r="M445" s="186"/>
      <c r="N445" s="186"/>
      <c r="O445" s="186"/>
      <c r="P445" s="186"/>
      <c r="Q445" s="186"/>
      <c r="R445" s="186"/>
      <c r="S445" s="186"/>
      <c r="T445" s="186"/>
      <c r="U445" s="186"/>
      <c r="V445" s="186"/>
      <c r="W445" s="186"/>
      <c r="X445" s="186"/>
      <c r="Y445" s="186"/>
      <c r="Z445" s="186"/>
      <c r="AA445" s="186"/>
      <c r="AB445" s="186"/>
      <c r="AC445" s="186"/>
      <c r="AD445" s="186"/>
      <c r="AE445" s="186"/>
    </row>
    <row r="446">
      <c r="A446" s="178"/>
      <c r="B446" s="36"/>
      <c r="C446" s="36"/>
      <c r="D446" s="197"/>
      <c r="E446" s="180"/>
      <c r="F446" s="181"/>
      <c r="G446" s="205"/>
      <c r="H446" s="205"/>
      <c r="I446" s="205"/>
      <c r="J446" s="205"/>
      <c r="K446" s="205"/>
      <c r="L446" s="205"/>
      <c r="M446" s="186"/>
      <c r="N446" s="186"/>
      <c r="O446" s="186"/>
      <c r="P446" s="186"/>
      <c r="Q446" s="186"/>
      <c r="R446" s="186"/>
      <c r="S446" s="186"/>
      <c r="T446" s="186"/>
      <c r="U446" s="186"/>
      <c r="V446" s="186"/>
      <c r="W446" s="186"/>
      <c r="X446" s="186"/>
      <c r="Y446" s="186"/>
      <c r="Z446" s="186"/>
      <c r="AA446" s="186"/>
      <c r="AB446" s="186"/>
      <c r="AC446" s="186"/>
      <c r="AD446" s="186"/>
      <c r="AE446" s="186"/>
    </row>
    <row r="447">
      <c r="A447" s="178"/>
      <c r="B447" s="36"/>
      <c r="C447" s="36"/>
      <c r="D447" s="197"/>
      <c r="E447" s="180"/>
      <c r="F447" s="181"/>
      <c r="G447" s="205"/>
      <c r="H447" s="205"/>
      <c r="I447" s="205"/>
      <c r="J447" s="205"/>
      <c r="K447" s="205"/>
      <c r="L447" s="205"/>
      <c r="M447" s="186"/>
      <c r="N447" s="186"/>
      <c r="O447" s="186"/>
      <c r="P447" s="186"/>
      <c r="Q447" s="186"/>
      <c r="R447" s="186"/>
      <c r="S447" s="186"/>
      <c r="T447" s="186"/>
      <c r="U447" s="186"/>
      <c r="V447" s="186"/>
      <c r="W447" s="186"/>
      <c r="X447" s="186"/>
      <c r="Y447" s="186"/>
      <c r="Z447" s="186"/>
      <c r="AA447" s="186"/>
      <c r="AB447" s="186"/>
      <c r="AC447" s="186"/>
      <c r="AD447" s="186"/>
      <c r="AE447" s="186"/>
    </row>
    <row r="448">
      <c r="A448" s="178"/>
      <c r="B448" s="36"/>
      <c r="C448" s="36"/>
      <c r="D448" s="197"/>
      <c r="E448" s="180"/>
      <c r="F448" s="181"/>
      <c r="G448" s="205"/>
      <c r="H448" s="205"/>
      <c r="I448" s="205"/>
      <c r="J448" s="205"/>
      <c r="K448" s="205"/>
      <c r="L448" s="205"/>
      <c r="M448" s="186"/>
      <c r="N448" s="186"/>
      <c r="O448" s="186"/>
      <c r="P448" s="186"/>
      <c r="Q448" s="186"/>
      <c r="R448" s="186"/>
      <c r="S448" s="186"/>
      <c r="T448" s="186"/>
      <c r="U448" s="186"/>
      <c r="V448" s="186"/>
      <c r="W448" s="186"/>
      <c r="X448" s="186"/>
      <c r="Y448" s="186"/>
      <c r="Z448" s="186"/>
      <c r="AA448" s="186"/>
      <c r="AB448" s="186"/>
      <c r="AC448" s="186"/>
      <c r="AD448" s="186"/>
      <c r="AE448" s="186"/>
    </row>
    <row r="449">
      <c r="A449" s="178"/>
      <c r="B449" s="36"/>
      <c r="C449" s="36"/>
      <c r="D449" s="197"/>
      <c r="E449" s="180"/>
      <c r="F449" s="181"/>
      <c r="G449" s="205"/>
      <c r="H449" s="205"/>
      <c r="I449" s="205"/>
      <c r="J449" s="205"/>
      <c r="K449" s="205"/>
      <c r="L449" s="205"/>
      <c r="M449" s="186"/>
      <c r="N449" s="186"/>
      <c r="O449" s="186"/>
      <c r="P449" s="186"/>
      <c r="Q449" s="186"/>
      <c r="R449" s="186"/>
      <c r="S449" s="186"/>
      <c r="T449" s="186"/>
      <c r="U449" s="186"/>
      <c r="V449" s="186"/>
      <c r="W449" s="186"/>
      <c r="X449" s="186"/>
      <c r="Y449" s="186"/>
      <c r="Z449" s="186"/>
      <c r="AA449" s="186"/>
      <c r="AB449" s="186"/>
      <c r="AC449" s="186"/>
      <c r="AD449" s="186"/>
      <c r="AE449" s="186"/>
    </row>
    <row r="450">
      <c r="A450" s="178"/>
      <c r="B450" s="36"/>
      <c r="C450" s="36"/>
      <c r="D450" s="197"/>
      <c r="E450" s="180"/>
      <c r="F450" s="181"/>
      <c r="G450" s="205"/>
      <c r="H450" s="205"/>
      <c r="I450" s="205"/>
      <c r="J450" s="205"/>
      <c r="K450" s="205"/>
      <c r="L450" s="205"/>
      <c r="M450" s="186"/>
      <c r="N450" s="186"/>
      <c r="O450" s="186"/>
      <c r="P450" s="186"/>
      <c r="Q450" s="186"/>
      <c r="R450" s="186"/>
      <c r="S450" s="186"/>
      <c r="T450" s="186"/>
      <c r="U450" s="186"/>
      <c r="V450" s="186"/>
      <c r="W450" s="186"/>
      <c r="X450" s="186"/>
      <c r="Y450" s="186"/>
      <c r="Z450" s="186"/>
      <c r="AA450" s="186"/>
      <c r="AB450" s="186"/>
      <c r="AC450" s="186"/>
      <c r="AD450" s="186"/>
      <c r="AE450" s="186"/>
    </row>
    <row r="451">
      <c r="A451" s="178"/>
      <c r="B451" s="36"/>
      <c r="C451" s="36"/>
      <c r="D451" s="197"/>
      <c r="E451" s="180"/>
      <c r="F451" s="181"/>
      <c r="G451" s="205"/>
      <c r="H451" s="205"/>
      <c r="I451" s="205"/>
      <c r="J451" s="205"/>
      <c r="K451" s="205"/>
      <c r="L451" s="205"/>
      <c r="M451" s="186"/>
      <c r="N451" s="186"/>
      <c r="O451" s="186"/>
      <c r="P451" s="186"/>
      <c r="Q451" s="186"/>
      <c r="R451" s="186"/>
      <c r="S451" s="186"/>
      <c r="T451" s="186"/>
      <c r="U451" s="186"/>
      <c r="V451" s="186"/>
      <c r="W451" s="186"/>
      <c r="X451" s="186"/>
      <c r="Y451" s="186"/>
      <c r="Z451" s="186"/>
      <c r="AA451" s="186"/>
      <c r="AB451" s="186"/>
      <c r="AC451" s="186"/>
      <c r="AD451" s="186"/>
      <c r="AE451" s="186"/>
    </row>
    <row r="452">
      <c r="A452" s="178"/>
      <c r="B452" s="36"/>
      <c r="C452" s="36"/>
      <c r="D452" s="197"/>
      <c r="E452" s="180"/>
      <c r="F452" s="181"/>
      <c r="G452" s="205"/>
      <c r="H452" s="205"/>
      <c r="I452" s="205"/>
      <c r="J452" s="205"/>
      <c r="K452" s="205"/>
      <c r="L452" s="205"/>
      <c r="M452" s="186"/>
      <c r="N452" s="186"/>
      <c r="O452" s="186"/>
      <c r="P452" s="186"/>
      <c r="Q452" s="186"/>
      <c r="R452" s="186"/>
      <c r="S452" s="186"/>
      <c r="T452" s="186"/>
      <c r="U452" s="186"/>
      <c r="V452" s="186"/>
      <c r="W452" s="186"/>
      <c r="X452" s="186"/>
      <c r="Y452" s="186"/>
      <c r="Z452" s="186"/>
      <c r="AA452" s="186"/>
      <c r="AB452" s="186"/>
      <c r="AC452" s="186"/>
      <c r="AD452" s="186"/>
      <c r="AE452" s="186"/>
    </row>
    <row r="453">
      <c r="A453" s="178"/>
      <c r="B453" s="36"/>
      <c r="C453" s="36"/>
      <c r="D453" s="197"/>
      <c r="E453" s="180"/>
      <c r="F453" s="181"/>
      <c r="G453" s="205"/>
      <c r="H453" s="205"/>
      <c r="I453" s="205"/>
      <c r="J453" s="205"/>
      <c r="K453" s="205"/>
      <c r="L453" s="205"/>
      <c r="M453" s="186"/>
      <c r="N453" s="186"/>
      <c r="O453" s="186"/>
      <c r="P453" s="186"/>
      <c r="Q453" s="186"/>
      <c r="R453" s="186"/>
      <c r="S453" s="186"/>
      <c r="T453" s="186"/>
      <c r="U453" s="186"/>
      <c r="V453" s="186"/>
      <c r="W453" s="186"/>
      <c r="X453" s="186"/>
      <c r="Y453" s="186"/>
      <c r="Z453" s="186"/>
      <c r="AA453" s="186"/>
      <c r="AB453" s="186"/>
      <c r="AC453" s="186"/>
      <c r="AD453" s="186"/>
      <c r="AE453" s="186"/>
    </row>
    <row r="454">
      <c r="A454" s="178"/>
      <c r="B454" s="36"/>
      <c r="C454" s="36"/>
      <c r="D454" s="197"/>
      <c r="E454" s="180"/>
      <c r="F454" s="181"/>
      <c r="G454" s="205"/>
      <c r="H454" s="205"/>
      <c r="I454" s="205"/>
      <c r="J454" s="205"/>
      <c r="K454" s="205"/>
      <c r="L454" s="205"/>
      <c r="M454" s="186"/>
      <c r="N454" s="186"/>
      <c r="O454" s="186"/>
      <c r="P454" s="186"/>
      <c r="Q454" s="186"/>
      <c r="R454" s="186"/>
      <c r="S454" s="186"/>
      <c r="T454" s="186"/>
      <c r="U454" s="186"/>
      <c r="V454" s="186"/>
      <c r="W454" s="186"/>
      <c r="X454" s="186"/>
      <c r="Y454" s="186"/>
      <c r="Z454" s="186"/>
      <c r="AA454" s="186"/>
      <c r="AB454" s="186"/>
      <c r="AC454" s="186"/>
      <c r="AD454" s="186"/>
      <c r="AE454" s="186"/>
    </row>
    <row r="455">
      <c r="A455" s="178"/>
      <c r="B455" s="36"/>
      <c r="C455" s="36"/>
      <c r="D455" s="197"/>
      <c r="E455" s="180"/>
      <c r="F455" s="181"/>
      <c r="G455" s="205"/>
      <c r="H455" s="205"/>
      <c r="I455" s="205"/>
      <c r="J455" s="205"/>
      <c r="K455" s="205"/>
      <c r="L455" s="205"/>
      <c r="M455" s="186"/>
      <c r="N455" s="186"/>
      <c r="O455" s="186"/>
      <c r="P455" s="186"/>
      <c r="Q455" s="186"/>
      <c r="R455" s="186"/>
      <c r="S455" s="186"/>
      <c r="T455" s="186"/>
      <c r="U455" s="186"/>
      <c r="V455" s="186"/>
      <c r="W455" s="186"/>
      <c r="X455" s="186"/>
      <c r="Y455" s="186"/>
      <c r="Z455" s="186"/>
      <c r="AA455" s="186"/>
      <c r="AB455" s="186"/>
      <c r="AC455" s="186"/>
      <c r="AD455" s="186"/>
      <c r="AE455" s="186"/>
    </row>
    <row r="456">
      <c r="A456" s="178"/>
      <c r="B456" s="36"/>
      <c r="C456" s="36"/>
      <c r="D456" s="197"/>
      <c r="E456" s="180"/>
      <c r="F456" s="181"/>
      <c r="G456" s="205"/>
      <c r="H456" s="205"/>
      <c r="I456" s="205"/>
      <c r="J456" s="205"/>
      <c r="K456" s="205"/>
      <c r="L456" s="205"/>
      <c r="M456" s="186"/>
      <c r="N456" s="186"/>
      <c r="O456" s="186"/>
      <c r="P456" s="186"/>
      <c r="Q456" s="186"/>
      <c r="R456" s="186"/>
      <c r="S456" s="186"/>
      <c r="T456" s="186"/>
      <c r="U456" s="186"/>
      <c r="V456" s="186"/>
      <c r="W456" s="186"/>
      <c r="X456" s="186"/>
      <c r="Y456" s="186"/>
      <c r="Z456" s="186"/>
      <c r="AA456" s="186"/>
      <c r="AB456" s="186"/>
      <c r="AC456" s="186"/>
      <c r="AD456" s="186"/>
      <c r="AE456" s="186"/>
    </row>
    <row r="457">
      <c r="A457" s="178"/>
      <c r="B457" s="36"/>
      <c r="C457" s="36"/>
      <c r="D457" s="197"/>
      <c r="E457" s="180"/>
      <c r="F457" s="181"/>
      <c r="G457" s="205"/>
      <c r="H457" s="205"/>
      <c r="I457" s="205"/>
      <c r="J457" s="205"/>
      <c r="K457" s="205"/>
      <c r="L457" s="205"/>
      <c r="M457" s="186"/>
      <c r="N457" s="186"/>
      <c r="O457" s="186"/>
      <c r="P457" s="186"/>
      <c r="Q457" s="186"/>
      <c r="R457" s="186"/>
      <c r="S457" s="186"/>
      <c r="T457" s="186"/>
      <c r="U457" s="186"/>
      <c r="V457" s="186"/>
      <c r="W457" s="186"/>
      <c r="X457" s="186"/>
      <c r="Y457" s="186"/>
      <c r="Z457" s="186"/>
      <c r="AA457" s="186"/>
      <c r="AB457" s="186"/>
      <c r="AC457" s="186"/>
      <c r="AD457" s="186"/>
      <c r="AE457" s="186"/>
    </row>
    <row r="458">
      <c r="A458" s="178"/>
      <c r="B458" s="36"/>
      <c r="C458" s="36"/>
      <c r="D458" s="197"/>
      <c r="E458" s="180"/>
      <c r="F458" s="181"/>
      <c r="G458" s="205"/>
      <c r="H458" s="205"/>
      <c r="I458" s="205"/>
      <c r="J458" s="205"/>
      <c r="K458" s="205"/>
      <c r="L458" s="205"/>
      <c r="M458" s="186"/>
      <c r="N458" s="186"/>
      <c r="O458" s="186"/>
      <c r="P458" s="186"/>
      <c r="Q458" s="186"/>
      <c r="R458" s="186"/>
      <c r="S458" s="186"/>
      <c r="T458" s="186"/>
      <c r="U458" s="186"/>
      <c r="V458" s="186"/>
      <c r="W458" s="186"/>
      <c r="X458" s="186"/>
      <c r="Y458" s="186"/>
      <c r="Z458" s="186"/>
      <c r="AA458" s="186"/>
      <c r="AB458" s="186"/>
      <c r="AC458" s="186"/>
      <c r="AD458" s="186"/>
      <c r="AE458" s="186"/>
    </row>
    <row r="459">
      <c r="A459" s="178"/>
      <c r="B459" s="36"/>
      <c r="C459" s="36"/>
      <c r="D459" s="197"/>
      <c r="E459" s="180"/>
      <c r="F459" s="181"/>
      <c r="G459" s="205"/>
      <c r="H459" s="205"/>
      <c r="I459" s="205"/>
      <c r="J459" s="205"/>
      <c r="K459" s="205"/>
      <c r="L459" s="205"/>
      <c r="M459" s="186"/>
      <c r="N459" s="186"/>
      <c r="O459" s="186"/>
      <c r="P459" s="186"/>
      <c r="Q459" s="186"/>
      <c r="R459" s="186"/>
      <c r="S459" s="186"/>
      <c r="T459" s="186"/>
      <c r="U459" s="186"/>
      <c r="V459" s="186"/>
      <c r="W459" s="186"/>
      <c r="X459" s="186"/>
      <c r="Y459" s="186"/>
      <c r="Z459" s="186"/>
      <c r="AA459" s="186"/>
      <c r="AB459" s="186"/>
      <c r="AC459" s="186"/>
      <c r="AD459" s="186"/>
      <c r="AE459" s="186"/>
    </row>
    <row r="460">
      <c r="A460" s="178"/>
      <c r="B460" s="36"/>
      <c r="C460" s="36"/>
      <c r="D460" s="197"/>
      <c r="E460" s="180"/>
      <c r="F460" s="181"/>
      <c r="G460" s="205"/>
      <c r="H460" s="205"/>
      <c r="I460" s="205"/>
      <c r="J460" s="205"/>
      <c r="K460" s="205"/>
      <c r="L460" s="205"/>
      <c r="M460" s="186"/>
      <c r="N460" s="186"/>
      <c r="O460" s="186"/>
      <c r="P460" s="186"/>
      <c r="Q460" s="186"/>
      <c r="R460" s="186"/>
      <c r="S460" s="186"/>
      <c r="T460" s="186"/>
      <c r="U460" s="186"/>
      <c r="V460" s="186"/>
      <c r="W460" s="186"/>
      <c r="X460" s="186"/>
      <c r="Y460" s="186"/>
      <c r="Z460" s="186"/>
      <c r="AA460" s="186"/>
      <c r="AB460" s="186"/>
      <c r="AC460" s="186"/>
      <c r="AD460" s="186"/>
      <c r="AE460" s="186"/>
    </row>
    <row r="461">
      <c r="A461" s="178"/>
      <c r="B461" s="36"/>
      <c r="C461" s="36"/>
      <c r="D461" s="197"/>
      <c r="E461" s="180"/>
      <c r="F461" s="181"/>
      <c r="G461" s="205"/>
      <c r="H461" s="205"/>
      <c r="I461" s="205"/>
      <c r="J461" s="205"/>
      <c r="K461" s="205"/>
      <c r="L461" s="205"/>
      <c r="M461" s="186"/>
      <c r="N461" s="186"/>
      <c r="O461" s="186"/>
      <c r="P461" s="186"/>
      <c r="Q461" s="186"/>
      <c r="R461" s="186"/>
      <c r="S461" s="186"/>
      <c r="T461" s="186"/>
      <c r="U461" s="186"/>
      <c r="V461" s="186"/>
      <c r="W461" s="186"/>
      <c r="X461" s="186"/>
      <c r="Y461" s="186"/>
      <c r="Z461" s="186"/>
      <c r="AA461" s="186"/>
      <c r="AB461" s="186"/>
      <c r="AC461" s="186"/>
      <c r="AD461" s="186"/>
      <c r="AE461" s="186"/>
    </row>
    <row r="462">
      <c r="A462" s="178"/>
      <c r="B462" s="36"/>
      <c r="C462" s="36"/>
      <c r="D462" s="197"/>
      <c r="E462" s="180"/>
      <c r="F462" s="181"/>
      <c r="G462" s="205"/>
      <c r="H462" s="205"/>
      <c r="I462" s="205"/>
      <c r="J462" s="205"/>
      <c r="K462" s="205"/>
      <c r="L462" s="205"/>
      <c r="M462" s="186"/>
      <c r="N462" s="186"/>
      <c r="O462" s="186"/>
      <c r="P462" s="186"/>
      <c r="Q462" s="186"/>
      <c r="R462" s="186"/>
      <c r="S462" s="186"/>
      <c r="T462" s="186"/>
      <c r="U462" s="186"/>
      <c r="V462" s="186"/>
      <c r="W462" s="186"/>
      <c r="X462" s="186"/>
      <c r="Y462" s="186"/>
      <c r="Z462" s="186"/>
      <c r="AA462" s="186"/>
      <c r="AB462" s="186"/>
      <c r="AC462" s="186"/>
      <c r="AD462" s="186"/>
      <c r="AE462" s="186"/>
    </row>
    <row r="463">
      <c r="A463" s="178"/>
      <c r="B463" s="36"/>
      <c r="C463" s="36"/>
      <c r="D463" s="197"/>
      <c r="E463" s="180"/>
      <c r="F463" s="181"/>
      <c r="G463" s="205"/>
      <c r="H463" s="205"/>
      <c r="I463" s="205"/>
      <c r="J463" s="205"/>
      <c r="K463" s="205"/>
      <c r="L463" s="205"/>
      <c r="M463" s="186"/>
      <c r="N463" s="186"/>
      <c r="O463" s="186"/>
      <c r="P463" s="186"/>
      <c r="Q463" s="186"/>
      <c r="R463" s="186"/>
      <c r="S463" s="186"/>
      <c r="T463" s="186"/>
      <c r="U463" s="186"/>
      <c r="V463" s="186"/>
      <c r="W463" s="186"/>
      <c r="X463" s="186"/>
      <c r="Y463" s="186"/>
      <c r="Z463" s="186"/>
      <c r="AA463" s="186"/>
      <c r="AB463" s="186"/>
      <c r="AC463" s="186"/>
      <c r="AD463" s="186"/>
      <c r="AE463" s="186"/>
    </row>
    <row r="464">
      <c r="A464" s="178"/>
      <c r="B464" s="36"/>
      <c r="C464" s="36"/>
      <c r="D464" s="197"/>
      <c r="E464" s="180"/>
      <c r="F464" s="181"/>
      <c r="G464" s="205"/>
      <c r="H464" s="205"/>
      <c r="I464" s="205"/>
      <c r="J464" s="205"/>
      <c r="K464" s="205"/>
      <c r="L464" s="205"/>
      <c r="M464" s="186"/>
      <c r="N464" s="186"/>
      <c r="O464" s="186"/>
      <c r="P464" s="186"/>
      <c r="Q464" s="186"/>
      <c r="R464" s="186"/>
      <c r="S464" s="186"/>
      <c r="T464" s="186"/>
      <c r="U464" s="186"/>
      <c r="V464" s="186"/>
      <c r="W464" s="186"/>
      <c r="X464" s="186"/>
      <c r="Y464" s="186"/>
      <c r="Z464" s="186"/>
      <c r="AA464" s="186"/>
      <c r="AB464" s="186"/>
      <c r="AC464" s="186"/>
      <c r="AD464" s="186"/>
      <c r="AE464" s="186"/>
    </row>
    <row r="465">
      <c r="A465" s="178"/>
      <c r="B465" s="36"/>
      <c r="C465" s="36"/>
      <c r="D465" s="197"/>
      <c r="E465" s="180"/>
      <c r="F465" s="181"/>
      <c r="G465" s="205"/>
      <c r="H465" s="205"/>
      <c r="I465" s="205"/>
      <c r="J465" s="205"/>
      <c r="K465" s="205"/>
      <c r="L465" s="205"/>
      <c r="M465" s="186"/>
      <c r="N465" s="186"/>
      <c r="O465" s="186"/>
      <c r="P465" s="186"/>
      <c r="Q465" s="186"/>
      <c r="R465" s="186"/>
      <c r="S465" s="186"/>
      <c r="T465" s="186"/>
      <c r="U465" s="186"/>
      <c r="V465" s="186"/>
      <c r="W465" s="186"/>
      <c r="X465" s="186"/>
      <c r="Y465" s="186"/>
      <c r="Z465" s="186"/>
      <c r="AA465" s="186"/>
      <c r="AB465" s="186"/>
      <c r="AC465" s="186"/>
      <c r="AD465" s="186"/>
      <c r="AE465" s="186"/>
    </row>
    <row r="466">
      <c r="A466" s="178"/>
      <c r="B466" s="36"/>
      <c r="C466" s="36"/>
      <c r="D466" s="197"/>
      <c r="E466" s="180"/>
      <c r="F466" s="181"/>
      <c r="G466" s="205"/>
      <c r="H466" s="205"/>
      <c r="I466" s="205"/>
      <c r="J466" s="205"/>
      <c r="K466" s="205"/>
      <c r="L466" s="205"/>
      <c r="M466" s="186"/>
      <c r="N466" s="186"/>
      <c r="O466" s="186"/>
      <c r="P466" s="186"/>
      <c r="Q466" s="186"/>
      <c r="R466" s="186"/>
      <c r="S466" s="186"/>
      <c r="T466" s="186"/>
      <c r="U466" s="186"/>
      <c r="V466" s="186"/>
      <c r="W466" s="186"/>
      <c r="X466" s="186"/>
      <c r="Y466" s="186"/>
      <c r="Z466" s="186"/>
      <c r="AA466" s="186"/>
      <c r="AB466" s="186"/>
      <c r="AC466" s="186"/>
      <c r="AD466" s="186"/>
      <c r="AE466" s="186"/>
    </row>
    <row r="467">
      <c r="A467" s="178"/>
      <c r="B467" s="36"/>
      <c r="C467" s="36"/>
      <c r="D467" s="197"/>
      <c r="E467" s="180"/>
      <c r="F467" s="181"/>
      <c r="G467" s="205"/>
      <c r="H467" s="205"/>
      <c r="I467" s="205"/>
      <c r="J467" s="205"/>
      <c r="K467" s="205"/>
      <c r="L467" s="205"/>
      <c r="M467" s="186"/>
      <c r="N467" s="186"/>
      <c r="O467" s="186"/>
      <c r="P467" s="186"/>
      <c r="Q467" s="186"/>
      <c r="R467" s="186"/>
      <c r="S467" s="186"/>
      <c r="T467" s="186"/>
      <c r="U467" s="186"/>
      <c r="V467" s="186"/>
      <c r="W467" s="186"/>
      <c r="X467" s="186"/>
      <c r="Y467" s="186"/>
      <c r="Z467" s="186"/>
      <c r="AA467" s="186"/>
      <c r="AB467" s="186"/>
      <c r="AC467" s="186"/>
      <c r="AD467" s="186"/>
      <c r="AE467" s="186"/>
    </row>
    <row r="468">
      <c r="A468" s="178"/>
      <c r="B468" s="36"/>
      <c r="C468" s="36"/>
      <c r="D468" s="197"/>
      <c r="E468" s="180"/>
      <c r="F468" s="181"/>
      <c r="G468" s="205"/>
      <c r="H468" s="205"/>
      <c r="I468" s="205"/>
      <c r="J468" s="205"/>
      <c r="K468" s="205"/>
      <c r="L468" s="205"/>
      <c r="M468" s="186"/>
      <c r="N468" s="186"/>
      <c r="O468" s="186"/>
      <c r="P468" s="186"/>
      <c r="Q468" s="186"/>
      <c r="R468" s="186"/>
      <c r="S468" s="186"/>
      <c r="T468" s="186"/>
      <c r="U468" s="186"/>
      <c r="V468" s="186"/>
      <c r="W468" s="186"/>
      <c r="X468" s="186"/>
      <c r="Y468" s="186"/>
      <c r="Z468" s="186"/>
      <c r="AA468" s="186"/>
      <c r="AB468" s="186"/>
      <c r="AC468" s="186"/>
      <c r="AD468" s="186"/>
      <c r="AE468" s="186"/>
    </row>
    <row r="469">
      <c r="A469" s="178"/>
      <c r="B469" s="36"/>
      <c r="C469" s="36"/>
      <c r="D469" s="197"/>
      <c r="E469" s="180"/>
      <c r="F469" s="181"/>
      <c r="G469" s="205"/>
      <c r="H469" s="205"/>
      <c r="I469" s="205"/>
      <c r="J469" s="205"/>
      <c r="K469" s="205"/>
      <c r="L469" s="205"/>
      <c r="M469" s="186"/>
      <c r="N469" s="186"/>
      <c r="O469" s="186"/>
      <c r="P469" s="186"/>
      <c r="Q469" s="186"/>
      <c r="R469" s="186"/>
      <c r="S469" s="186"/>
      <c r="T469" s="186"/>
      <c r="U469" s="186"/>
      <c r="V469" s="186"/>
      <c r="W469" s="186"/>
      <c r="X469" s="186"/>
      <c r="Y469" s="186"/>
      <c r="Z469" s="186"/>
      <c r="AA469" s="186"/>
      <c r="AB469" s="186"/>
      <c r="AC469" s="186"/>
      <c r="AD469" s="186"/>
      <c r="AE469" s="186"/>
    </row>
    <row r="470">
      <c r="A470" s="178"/>
      <c r="B470" s="36"/>
      <c r="C470" s="36"/>
      <c r="D470" s="197"/>
      <c r="E470" s="180"/>
      <c r="F470" s="181"/>
      <c r="G470" s="205"/>
      <c r="H470" s="205"/>
      <c r="I470" s="205"/>
      <c r="J470" s="205"/>
      <c r="K470" s="205"/>
      <c r="L470" s="205"/>
      <c r="M470" s="186"/>
      <c r="N470" s="186"/>
      <c r="O470" s="186"/>
      <c r="P470" s="186"/>
      <c r="Q470" s="186"/>
      <c r="R470" s="186"/>
      <c r="S470" s="186"/>
      <c r="T470" s="186"/>
      <c r="U470" s="186"/>
      <c r="V470" s="186"/>
      <c r="W470" s="186"/>
      <c r="X470" s="186"/>
      <c r="Y470" s="186"/>
      <c r="Z470" s="186"/>
      <c r="AA470" s="186"/>
      <c r="AB470" s="186"/>
      <c r="AC470" s="186"/>
      <c r="AD470" s="186"/>
      <c r="AE470" s="186"/>
    </row>
    <row r="471">
      <c r="A471" s="178"/>
      <c r="B471" s="36"/>
      <c r="C471" s="36"/>
      <c r="D471" s="197"/>
      <c r="E471" s="180"/>
      <c r="F471" s="181"/>
      <c r="G471" s="205"/>
      <c r="H471" s="205"/>
      <c r="I471" s="205"/>
      <c r="J471" s="205"/>
      <c r="K471" s="205"/>
      <c r="L471" s="205"/>
      <c r="M471" s="186"/>
      <c r="N471" s="186"/>
      <c r="O471" s="186"/>
      <c r="P471" s="186"/>
      <c r="Q471" s="186"/>
      <c r="R471" s="186"/>
      <c r="S471" s="186"/>
      <c r="T471" s="186"/>
      <c r="U471" s="186"/>
      <c r="V471" s="186"/>
      <c r="W471" s="186"/>
      <c r="X471" s="186"/>
      <c r="Y471" s="186"/>
      <c r="Z471" s="186"/>
      <c r="AA471" s="186"/>
      <c r="AB471" s="186"/>
      <c r="AC471" s="186"/>
      <c r="AD471" s="186"/>
      <c r="AE471" s="186"/>
    </row>
    <row r="472">
      <c r="A472" s="178"/>
      <c r="B472" s="36"/>
      <c r="C472" s="36"/>
      <c r="D472" s="197"/>
      <c r="E472" s="180"/>
      <c r="F472" s="181"/>
      <c r="G472" s="205"/>
      <c r="H472" s="205"/>
      <c r="I472" s="205"/>
      <c r="J472" s="205"/>
      <c r="K472" s="205"/>
      <c r="L472" s="205"/>
      <c r="M472" s="186"/>
      <c r="N472" s="186"/>
      <c r="O472" s="186"/>
      <c r="P472" s="186"/>
      <c r="Q472" s="186"/>
      <c r="R472" s="186"/>
      <c r="S472" s="186"/>
      <c r="T472" s="186"/>
      <c r="U472" s="186"/>
      <c r="V472" s="186"/>
      <c r="W472" s="186"/>
      <c r="X472" s="186"/>
      <c r="Y472" s="186"/>
      <c r="Z472" s="186"/>
      <c r="AA472" s="186"/>
      <c r="AB472" s="186"/>
      <c r="AC472" s="186"/>
      <c r="AD472" s="186"/>
      <c r="AE472" s="186"/>
    </row>
    <row r="473">
      <c r="A473" s="178"/>
      <c r="B473" s="36"/>
      <c r="C473" s="36"/>
      <c r="D473" s="197"/>
      <c r="E473" s="180"/>
      <c r="F473" s="181"/>
      <c r="G473" s="205"/>
      <c r="H473" s="205"/>
      <c r="I473" s="205"/>
      <c r="J473" s="205"/>
      <c r="K473" s="205"/>
      <c r="L473" s="205"/>
      <c r="M473" s="186"/>
      <c r="N473" s="186"/>
      <c r="O473" s="186"/>
      <c r="P473" s="186"/>
      <c r="Q473" s="186"/>
      <c r="R473" s="186"/>
      <c r="S473" s="186"/>
      <c r="T473" s="186"/>
      <c r="U473" s="186"/>
      <c r="V473" s="186"/>
      <c r="W473" s="186"/>
      <c r="X473" s="186"/>
      <c r="Y473" s="186"/>
      <c r="Z473" s="186"/>
      <c r="AA473" s="186"/>
      <c r="AB473" s="186"/>
      <c r="AC473" s="186"/>
      <c r="AD473" s="186"/>
      <c r="AE473" s="186"/>
    </row>
    <row r="474">
      <c r="A474" s="178"/>
      <c r="B474" s="36"/>
      <c r="C474" s="36"/>
      <c r="D474" s="197"/>
      <c r="E474" s="180"/>
      <c r="F474" s="181"/>
      <c r="G474" s="205"/>
      <c r="H474" s="205"/>
      <c r="I474" s="205"/>
      <c r="J474" s="205"/>
      <c r="K474" s="205"/>
      <c r="L474" s="205"/>
      <c r="M474" s="186"/>
      <c r="N474" s="186"/>
      <c r="O474" s="186"/>
      <c r="P474" s="186"/>
      <c r="Q474" s="186"/>
      <c r="R474" s="186"/>
      <c r="S474" s="186"/>
      <c r="T474" s="186"/>
      <c r="U474" s="186"/>
      <c r="V474" s="186"/>
      <c r="W474" s="186"/>
      <c r="X474" s="186"/>
      <c r="Y474" s="186"/>
      <c r="Z474" s="186"/>
      <c r="AA474" s="186"/>
      <c r="AB474" s="186"/>
      <c r="AC474" s="186"/>
      <c r="AD474" s="186"/>
      <c r="AE474" s="186"/>
    </row>
    <row r="475">
      <c r="A475" s="178"/>
      <c r="B475" s="36"/>
      <c r="C475" s="36"/>
      <c r="D475" s="197"/>
      <c r="E475" s="180"/>
      <c r="F475" s="181"/>
      <c r="G475" s="205"/>
      <c r="H475" s="205"/>
      <c r="I475" s="205"/>
      <c r="J475" s="205"/>
      <c r="K475" s="205"/>
      <c r="L475" s="205"/>
      <c r="M475" s="186"/>
      <c r="N475" s="186"/>
      <c r="O475" s="186"/>
      <c r="P475" s="186"/>
      <c r="Q475" s="186"/>
      <c r="R475" s="186"/>
      <c r="S475" s="186"/>
      <c r="T475" s="186"/>
      <c r="U475" s="186"/>
      <c r="V475" s="186"/>
      <c r="W475" s="186"/>
      <c r="X475" s="186"/>
      <c r="Y475" s="186"/>
      <c r="Z475" s="186"/>
      <c r="AA475" s="186"/>
      <c r="AB475" s="186"/>
      <c r="AC475" s="186"/>
      <c r="AD475" s="186"/>
      <c r="AE475" s="186"/>
    </row>
    <row r="476">
      <c r="A476" s="178"/>
      <c r="B476" s="36"/>
      <c r="C476" s="36"/>
      <c r="D476" s="197"/>
      <c r="E476" s="180"/>
      <c r="F476" s="181"/>
      <c r="G476" s="205"/>
      <c r="H476" s="205"/>
      <c r="I476" s="205"/>
      <c r="J476" s="205"/>
      <c r="K476" s="205"/>
      <c r="L476" s="205"/>
      <c r="M476" s="186"/>
      <c r="N476" s="186"/>
      <c r="O476" s="186"/>
      <c r="P476" s="186"/>
      <c r="Q476" s="186"/>
      <c r="R476" s="186"/>
      <c r="S476" s="186"/>
      <c r="T476" s="186"/>
      <c r="U476" s="186"/>
      <c r="V476" s="186"/>
      <c r="W476" s="186"/>
      <c r="X476" s="186"/>
      <c r="Y476" s="186"/>
      <c r="Z476" s="186"/>
      <c r="AA476" s="186"/>
      <c r="AB476" s="186"/>
      <c r="AC476" s="186"/>
      <c r="AD476" s="186"/>
      <c r="AE476" s="186"/>
    </row>
    <row r="477">
      <c r="A477" s="178"/>
      <c r="B477" s="36"/>
      <c r="C477" s="36"/>
      <c r="D477" s="197"/>
      <c r="E477" s="180"/>
      <c r="F477" s="181"/>
      <c r="G477" s="205"/>
      <c r="H477" s="205"/>
      <c r="I477" s="205"/>
      <c r="J477" s="205"/>
      <c r="K477" s="205"/>
      <c r="L477" s="205"/>
      <c r="M477" s="186"/>
      <c r="N477" s="186"/>
      <c r="O477" s="186"/>
      <c r="P477" s="186"/>
      <c r="Q477" s="186"/>
      <c r="R477" s="186"/>
      <c r="S477" s="186"/>
      <c r="T477" s="186"/>
      <c r="U477" s="186"/>
      <c r="V477" s="186"/>
      <c r="W477" s="186"/>
      <c r="X477" s="186"/>
      <c r="Y477" s="186"/>
      <c r="Z477" s="186"/>
      <c r="AA477" s="186"/>
      <c r="AB477" s="186"/>
      <c r="AC477" s="186"/>
      <c r="AD477" s="186"/>
      <c r="AE477" s="186"/>
    </row>
    <row r="478">
      <c r="A478" s="178"/>
      <c r="B478" s="36"/>
      <c r="C478" s="36"/>
      <c r="D478" s="197"/>
      <c r="E478" s="180"/>
      <c r="F478" s="181"/>
      <c r="G478" s="205"/>
      <c r="H478" s="205"/>
      <c r="I478" s="205"/>
      <c r="J478" s="205"/>
      <c r="K478" s="205"/>
      <c r="L478" s="205"/>
      <c r="M478" s="186"/>
      <c r="N478" s="186"/>
      <c r="O478" s="186"/>
      <c r="P478" s="186"/>
      <c r="Q478" s="186"/>
      <c r="R478" s="186"/>
      <c r="S478" s="186"/>
      <c r="T478" s="186"/>
      <c r="U478" s="186"/>
      <c r="V478" s="186"/>
      <c r="W478" s="186"/>
      <c r="X478" s="186"/>
      <c r="Y478" s="186"/>
      <c r="Z478" s="186"/>
      <c r="AA478" s="186"/>
      <c r="AB478" s="186"/>
      <c r="AC478" s="186"/>
      <c r="AD478" s="186"/>
      <c r="AE478" s="186"/>
    </row>
    <row r="479">
      <c r="A479" s="178"/>
      <c r="B479" s="36"/>
      <c r="C479" s="36"/>
      <c r="D479" s="197"/>
      <c r="E479" s="180"/>
      <c r="F479" s="181"/>
      <c r="G479" s="205"/>
      <c r="H479" s="205"/>
      <c r="I479" s="205"/>
      <c r="J479" s="205"/>
      <c r="K479" s="205"/>
      <c r="L479" s="205"/>
      <c r="M479" s="186"/>
      <c r="N479" s="186"/>
      <c r="O479" s="186"/>
      <c r="P479" s="186"/>
      <c r="Q479" s="186"/>
      <c r="R479" s="186"/>
      <c r="S479" s="186"/>
      <c r="T479" s="186"/>
      <c r="U479" s="186"/>
      <c r="V479" s="186"/>
      <c r="W479" s="186"/>
      <c r="X479" s="186"/>
      <c r="Y479" s="186"/>
      <c r="Z479" s="186"/>
      <c r="AA479" s="186"/>
      <c r="AB479" s="186"/>
      <c r="AC479" s="186"/>
      <c r="AD479" s="186"/>
      <c r="AE479" s="186"/>
    </row>
    <row r="480">
      <c r="A480" s="178"/>
      <c r="B480" s="36"/>
      <c r="C480" s="36"/>
      <c r="D480" s="197"/>
      <c r="E480" s="180"/>
      <c r="F480" s="181"/>
      <c r="G480" s="205"/>
      <c r="H480" s="205"/>
      <c r="I480" s="205"/>
      <c r="J480" s="205"/>
      <c r="K480" s="205"/>
      <c r="L480" s="205"/>
      <c r="M480" s="186"/>
      <c r="N480" s="186"/>
      <c r="O480" s="186"/>
      <c r="P480" s="186"/>
      <c r="Q480" s="186"/>
      <c r="R480" s="186"/>
      <c r="S480" s="186"/>
      <c r="T480" s="186"/>
      <c r="U480" s="186"/>
      <c r="V480" s="186"/>
      <c r="W480" s="186"/>
      <c r="X480" s="186"/>
      <c r="Y480" s="186"/>
      <c r="Z480" s="186"/>
      <c r="AA480" s="186"/>
      <c r="AB480" s="186"/>
      <c r="AC480" s="186"/>
      <c r="AD480" s="186"/>
      <c r="AE480" s="186"/>
    </row>
    <row r="481">
      <c r="A481" s="178"/>
      <c r="B481" s="36"/>
      <c r="C481" s="36"/>
      <c r="D481" s="197"/>
      <c r="E481" s="180"/>
      <c r="F481" s="181"/>
      <c r="G481" s="205"/>
      <c r="H481" s="205"/>
      <c r="I481" s="205"/>
      <c r="J481" s="205"/>
      <c r="K481" s="205"/>
      <c r="L481" s="205"/>
      <c r="M481" s="186"/>
      <c r="N481" s="186"/>
      <c r="O481" s="186"/>
      <c r="P481" s="186"/>
      <c r="Q481" s="186"/>
      <c r="R481" s="186"/>
      <c r="S481" s="186"/>
      <c r="T481" s="186"/>
      <c r="U481" s="186"/>
      <c r="V481" s="186"/>
      <c r="W481" s="186"/>
      <c r="X481" s="186"/>
      <c r="Y481" s="186"/>
      <c r="Z481" s="186"/>
      <c r="AA481" s="186"/>
      <c r="AB481" s="186"/>
      <c r="AC481" s="186"/>
      <c r="AD481" s="186"/>
      <c r="AE481" s="186"/>
    </row>
    <row r="482">
      <c r="A482" s="178"/>
      <c r="B482" s="36"/>
      <c r="C482" s="36"/>
      <c r="D482" s="197"/>
      <c r="E482" s="180"/>
      <c r="F482" s="181"/>
      <c r="G482" s="205"/>
      <c r="H482" s="205"/>
      <c r="I482" s="205"/>
      <c r="J482" s="205"/>
      <c r="K482" s="205"/>
      <c r="L482" s="205"/>
      <c r="M482" s="186"/>
      <c r="N482" s="186"/>
      <c r="O482" s="186"/>
      <c r="P482" s="186"/>
      <c r="Q482" s="186"/>
      <c r="R482" s="186"/>
      <c r="S482" s="186"/>
      <c r="T482" s="186"/>
      <c r="U482" s="186"/>
      <c r="V482" s="186"/>
      <c r="W482" s="186"/>
      <c r="X482" s="186"/>
      <c r="Y482" s="186"/>
      <c r="Z482" s="186"/>
      <c r="AA482" s="186"/>
      <c r="AB482" s="186"/>
      <c r="AC482" s="186"/>
      <c r="AD482" s="186"/>
      <c r="AE482" s="186"/>
    </row>
    <row r="483">
      <c r="A483" s="178"/>
      <c r="B483" s="36"/>
      <c r="C483" s="36"/>
      <c r="D483" s="197"/>
      <c r="E483" s="180"/>
      <c r="F483" s="181"/>
      <c r="G483" s="205"/>
      <c r="H483" s="205"/>
      <c r="I483" s="205"/>
      <c r="J483" s="205"/>
      <c r="K483" s="205"/>
      <c r="L483" s="205"/>
      <c r="M483" s="186"/>
      <c r="N483" s="186"/>
      <c r="O483" s="186"/>
      <c r="P483" s="186"/>
      <c r="Q483" s="186"/>
      <c r="R483" s="186"/>
      <c r="S483" s="186"/>
      <c r="T483" s="186"/>
      <c r="U483" s="186"/>
      <c r="V483" s="186"/>
      <c r="W483" s="186"/>
      <c r="X483" s="186"/>
      <c r="Y483" s="186"/>
      <c r="Z483" s="186"/>
      <c r="AA483" s="186"/>
      <c r="AB483" s="186"/>
      <c r="AC483" s="186"/>
      <c r="AD483" s="186"/>
      <c r="AE483" s="186"/>
    </row>
    <row r="484">
      <c r="A484" s="178"/>
      <c r="B484" s="36"/>
      <c r="C484" s="36"/>
      <c r="D484" s="197"/>
      <c r="E484" s="180"/>
      <c r="F484" s="181"/>
      <c r="G484" s="205"/>
      <c r="H484" s="205"/>
      <c r="I484" s="205"/>
      <c r="J484" s="205"/>
      <c r="K484" s="205"/>
      <c r="L484" s="205"/>
      <c r="M484" s="186"/>
      <c r="N484" s="186"/>
      <c r="O484" s="186"/>
      <c r="P484" s="186"/>
      <c r="Q484" s="186"/>
      <c r="R484" s="186"/>
      <c r="S484" s="186"/>
      <c r="T484" s="186"/>
      <c r="U484" s="186"/>
      <c r="V484" s="186"/>
      <c r="W484" s="186"/>
      <c r="X484" s="186"/>
      <c r="Y484" s="186"/>
      <c r="Z484" s="186"/>
      <c r="AA484" s="186"/>
      <c r="AB484" s="186"/>
      <c r="AC484" s="186"/>
      <c r="AD484" s="186"/>
      <c r="AE484" s="186"/>
    </row>
    <row r="485">
      <c r="A485" s="178"/>
      <c r="B485" s="36"/>
      <c r="C485" s="36"/>
      <c r="D485" s="197"/>
      <c r="E485" s="180"/>
      <c r="F485" s="181"/>
      <c r="G485" s="205"/>
      <c r="H485" s="205"/>
      <c r="I485" s="205"/>
      <c r="J485" s="205"/>
      <c r="K485" s="205"/>
      <c r="L485" s="205"/>
      <c r="M485" s="186"/>
      <c r="N485" s="186"/>
      <c r="O485" s="186"/>
      <c r="P485" s="186"/>
      <c r="Q485" s="186"/>
      <c r="R485" s="186"/>
      <c r="S485" s="186"/>
      <c r="T485" s="186"/>
      <c r="U485" s="186"/>
      <c r="V485" s="186"/>
      <c r="W485" s="186"/>
      <c r="X485" s="186"/>
      <c r="Y485" s="186"/>
      <c r="Z485" s="186"/>
      <c r="AA485" s="186"/>
      <c r="AB485" s="186"/>
      <c r="AC485" s="186"/>
      <c r="AD485" s="186"/>
      <c r="AE485" s="186"/>
    </row>
    <row r="486">
      <c r="A486" s="178"/>
      <c r="B486" s="36"/>
      <c r="C486" s="36"/>
      <c r="D486" s="197"/>
      <c r="E486" s="180"/>
      <c r="F486" s="181"/>
      <c r="G486" s="205"/>
      <c r="H486" s="205"/>
      <c r="I486" s="205"/>
      <c r="J486" s="205"/>
      <c r="K486" s="205"/>
      <c r="L486" s="205"/>
      <c r="M486" s="186"/>
      <c r="N486" s="186"/>
      <c r="O486" s="186"/>
      <c r="P486" s="186"/>
      <c r="Q486" s="186"/>
      <c r="R486" s="186"/>
      <c r="S486" s="186"/>
      <c r="T486" s="186"/>
      <c r="U486" s="186"/>
      <c r="V486" s="186"/>
      <c r="W486" s="186"/>
      <c r="X486" s="186"/>
      <c r="Y486" s="186"/>
      <c r="Z486" s="186"/>
      <c r="AA486" s="186"/>
      <c r="AB486" s="186"/>
      <c r="AC486" s="186"/>
      <c r="AD486" s="186"/>
      <c r="AE486" s="186"/>
    </row>
    <row r="487">
      <c r="A487" s="178"/>
      <c r="B487" s="36"/>
      <c r="C487" s="36"/>
      <c r="D487" s="197"/>
      <c r="E487" s="180"/>
      <c r="F487" s="181"/>
      <c r="G487" s="205"/>
      <c r="H487" s="205"/>
      <c r="I487" s="205"/>
      <c r="J487" s="205"/>
      <c r="K487" s="205"/>
      <c r="L487" s="205"/>
      <c r="M487" s="186"/>
      <c r="N487" s="186"/>
      <c r="O487" s="186"/>
      <c r="P487" s="186"/>
      <c r="Q487" s="186"/>
      <c r="R487" s="186"/>
      <c r="S487" s="186"/>
      <c r="T487" s="186"/>
      <c r="U487" s="186"/>
      <c r="V487" s="186"/>
      <c r="W487" s="186"/>
      <c r="X487" s="186"/>
      <c r="Y487" s="186"/>
      <c r="Z487" s="186"/>
      <c r="AA487" s="186"/>
      <c r="AB487" s="186"/>
      <c r="AC487" s="186"/>
      <c r="AD487" s="186"/>
      <c r="AE487" s="186"/>
    </row>
    <row r="488">
      <c r="A488" s="178"/>
      <c r="B488" s="36"/>
      <c r="C488" s="36"/>
      <c r="D488" s="197"/>
      <c r="E488" s="180"/>
      <c r="F488" s="181"/>
      <c r="G488" s="205"/>
      <c r="H488" s="205"/>
      <c r="I488" s="205"/>
      <c r="J488" s="205"/>
      <c r="K488" s="205"/>
      <c r="L488" s="205"/>
      <c r="M488" s="186"/>
      <c r="N488" s="186"/>
      <c r="O488" s="186"/>
      <c r="P488" s="186"/>
      <c r="Q488" s="186"/>
      <c r="R488" s="186"/>
      <c r="S488" s="186"/>
      <c r="T488" s="186"/>
      <c r="U488" s="186"/>
      <c r="V488" s="186"/>
      <c r="W488" s="186"/>
      <c r="X488" s="186"/>
      <c r="Y488" s="186"/>
      <c r="Z488" s="186"/>
      <c r="AA488" s="186"/>
      <c r="AB488" s="186"/>
      <c r="AC488" s="186"/>
      <c r="AD488" s="186"/>
      <c r="AE488" s="186"/>
    </row>
    <row r="489">
      <c r="A489" s="178"/>
      <c r="B489" s="36"/>
      <c r="C489" s="36"/>
      <c r="D489" s="197"/>
      <c r="E489" s="180"/>
      <c r="F489" s="181"/>
      <c r="G489" s="205"/>
      <c r="H489" s="205"/>
      <c r="I489" s="205"/>
      <c r="J489" s="205"/>
      <c r="K489" s="205"/>
      <c r="L489" s="205"/>
      <c r="M489" s="186"/>
      <c r="N489" s="186"/>
      <c r="O489" s="186"/>
      <c r="P489" s="186"/>
      <c r="Q489" s="186"/>
      <c r="R489" s="186"/>
      <c r="S489" s="186"/>
      <c r="T489" s="186"/>
      <c r="U489" s="186"/>
      <c r="V489" s="186"/>
      <c r="W489" s="186"/>
      <c r="X489" s="186"/>
      <c r="Y489" s="186"/>
      <c r="Z489" s="186"/>
      <c r="AA489" s="186"/>
      <c r="AB489" s="186"/>
      <c r="AC489" s="186"/>
      <c r="AD489" s="186"/>
      <c r="AE489" s="186"/>
    </row>
    <row r="490">
      <c r="A490" s="178"/>
      <c r="B490" s="36"/>
      <c r="C490" s="36"/>
      <c r="D490" s="197"/>
      <c r="E490" s="180"/>
      <c r="F490" s="181"/>
      <c r="G490" s="205"/>
      <c r="H490" s="205"/>
      <c r="I490" s="205"/>
      <c r="J490" s="205"/>
      <c r="K490" s="205"/>
      <c r="L490" s="205"/>
      <c r="M490" s="186"/>
      <c r="N490" s="186"/>
      <c r="O490" s="186"/>
      <c r="P490" s="186"/>
      <c r="Q490" s="186"/>
      <c r="R490" s="186"/>
      <c r="S490" s="186"/>
      <c r="T490" s="186"/>
      <c r="U490" s="186"/>
      <c r="V490" s="186"/>
      <c r="W490" s="186"/>
      <c r="X490" s="186"/>
      <c r="Y490" s="186"/>
      <c r="Z490" s="186"/>
      <c r="AA490" s="186"/>
      <c r="AB490" s="186"/>
      <c r="AC490" s="186"/>
      <c r="AD490" s="186"/>
      <c r="AE490" s="186"/>
    </row>
    <row r="491">
      <c r="A491" s="178"/>
      <c r="B491" s="36"/>
      <c r="C491" s="36"/>
      <c r="D491" s="197"/>
      <c r="E491" s="180"/>
      <c r="F491" s="181"/>
      <c r="G491" s="205"/>
      <c r="H491" s="205"/>
      <c r="I491" s="205"/>
      <c r="J491" s="205"/>
      <c r="K491" s="205"/>
      <c r="L491" s="205"/>
      <c r="M491" s="186"/>
      <c r="N491" s="186"/>
      <c r="O491" s="186"/>
      <c r="P491" s="186"/>
      <c r="Q491" s="186"/>
      <c r="R491" s="186"/>
      <c r="S491" s="186"/>
      <c r="T491" s="186"/>
      <c r="U491" s="186"/>
      <c r="V491" s="186"/>
      <c r="W491" s="186"/>
      <c r="X491" s="186"/>
      <c r="Y491" s="186"/>
      <c r="Z491" s="186"/>
      <c r="AA491" s="186"/>
      <c r="AB491" s="186"/>
      <c r="AC491" s="186"/>
      <c r="AD491" s="186"/>
      <c r="AE491" s="186"/>
    </row>
    <row r="492">
      <c r="A492" s="178"/>
      <c r="B492" s="36"/>
      <c r="C492" s="36"/>
      <c r="D492" s="197"/>
      <c r="E492" s="180"/>
      <c r="F492" s="181"/>
      <c r="G492" s="205"/>
      <c r="H492" s="205"/>
      <c r="I492" s="205"/>
      <c r="J492" s="205"/>
      <c r="K492" s="205"/>
      <c r="L492" s="205"/>
      <c r="M492" s="186"/>
      <c r="N492" s="186"/>
      <c r="O492" s="186"/>
      <c r="P492" s="186"/>
      <c r="Q492" s="186"/>
      <c r="R492" s="186"/>
      <c r="S492" s="186"/>
      <c r="T492" s="186"/>
      <c r="U492" s="186"/>
      <c r="V492" s="186"/>
      <c r="W492" s="186"/>
      <c r="X492" s="186"/>
      <c r="Y492" s="186"/>
      <c r="Z492" s="186"/>
      <c r="AA492" s="186"/>
      <c r="AB492" s="186"/>
      <c r="AC492" s="186"/>
      <c r="AD492" s="186"/>
      <c r="AE492" s="186"/>
    </row>
    <row r="493">
      <c r="A493" s="178"/>
      <c r="B493" s="36"/>
      <c r="C493" s="36"/>
      <c r="D493" s="197"/>
      <c r="E493" s="180"/>
      <c r="F493" s="181"/>
      <c r="G493" s="205"/>
      <c r="H493" s="205"/>
      <c r="I493" s="205"/>
      <c r="J493" s="205"/>
      <c r="K493" s="205"/>
      <c r="L493" s="205"/>
      <c r="M493" s="186"/>
      <c r="N493" s="186"/>
      <c r="O493" s="186"/>
      <c r="P493" s="186"/>
      <c r="Q493" s="186"/>
      <c r="R493" s="186"/>
      <c r="S493" s="186"/>
      <c r="T493" s="186"/>
      <c r="U493" s="186"/>
      <c r="V493" s="186"/>
      <c r="W493" s="186"/>
      <c r="X493" s="186"/>
      <c r="Y493" s="186"/>
      <c r="Z493" s="186"/>
      <c r="AA493" s="186"/>
      <c r="AB493" s="186"/>
      <c r="AC493" s="186"/>
      <c r="AD493" s="186"/>
      <c r="AE493" s="186"/>
    </row>
    <row r="494">
      <c r="A494" s="178"/>
      <c r="B494" s="36"/>
      <c r="C494" s="36"/>
      <c r="D494" s="197"/>
      <c r="E494" s="180"/>
      <c r="F494" s="181"/>
      <c r="G494" s="205"/>
      <c r="H494" s="205"/>
      <c r="I494" s="205"/>
      <c r="J494" s="205"/>
      <c r="K494" s="205"/>
      <c r="L494" s="205"/>
      <c r="M494" s="186"/>
      <c r="N494" s="186"/>
      <c r="O494" s="186"/>
      <c r="P494" s="186"/>
      <c r="Q494" s="186"/>
      <c r="R494" s="186"/>
      <c r="S494" s="186"/>
      <c r="T494" s="186"/>
      <c r="U494" s="186"/>
      <c r="V494" s="186"/>
      <c r="W494" s="186"/>
      <c r="X494" s="186"/>
      <c r="Y494" s="186"/>
      <c r="Z494" s="186"/>
      <c r="AA494" s="186"/>
      <c r="AB494" s="186"/>
      <c r="AC494" s="186"/>
      <c r="AD494" s="186"/>
      <c r="AE494" s="186"/>
    </row>
    <row r="495">
      <c r="A495" s="178"/>
      <c r="B495" s="36"/>
      <c r="C495" s="36"/>
      <c r="D495" s="197"/>
      <c r="E495" s="180"/>
      <c r="F495" s="181"/>
      <c r="G495" s="205"/>
      <c r="H495" s="205"/>
      <c r="I495" s="205"/>
      <c r="J495" s="205"/>
      <c r="K495" s="205"/>
      <c r="L495" s="205"/>
      <c r="M495" s="186"/>
      <c r="N495" s="186"/>
      <c r="O495" s="186"/>
      <c r="P495" s="186"/>
      <c r="Q495" s="186"/>
      <c r="R495" s="186"/>
      <c r="S495" s="186"/>
      <c r="T495" s="186"/>
      <c r="U495" s="186"/>
      <c r="V495" s="186"/>
      <c r="W495" s="186"/>
      <c r="X495" s="186"/>
      <c r="Y495" s="186"/>
      <c r="Z495" s="186"/>
      <c r="AA495" s="186"/>
      <c r="AB495" s="186"/>
      <c r="AC495" s="186"/>
      <c r="AD495" s="186"/>
      <c r="AE495" s="186"/>
    </row>
    <row r="496">
      <c r="A496" s="178"/>
      <c r="B496" s="36"/>
      <c r="C496" s="36"/>
      <c r="D496" s="197"/>
      <c r="E496" s="180"/>
      <c r="F496" s="181"/>
      <c r="G496" s="205"/>
      <c r="H496" s="205"/>
      <c r="I496" s="205"/>
      <c r="J496" s="205"/>
      <c r="K496" s="205"/>
      <c r="L496" s="205"/>
      <c r="M496" s="186"/>
      <c r="N496" s="186"/>
      <c r="O496" s="186"/>
      <c r="P496" s="186"/>
      <c r="Q496" s="186"/>
      <c r="R496" s="186"/>
      <c r="S496" s="186"/>
      <c r="T496" s="186"/>
      <c r="U496" s="186"/>
      <c r="V496" s="186"/>
      <c r="W496" s="186"/>
      <c r="X496" s="186"/>
      <c r="Y496" s="186"/>
      <c r="Z496" s="186"/>
      <c r="AA496" s="186"/>
      <c r="AB496" s="186"/>
      <c r="AC496" s="186"/>
      <c r="AD496" s="186"/>
      <c r="AE496" s="186"/>
    </row>
    <row r="497">
      <c r="A497" s="178"/>
      <c r="B497" s="36"/>
      <c r="C497" s="36"/>
      <c r="D497" s="197"/>
      <c r="E497" s="180"/>
      <c r="F497" s="181"/>
      <c r="G497" s="205"/>
      <c r="H497" s="205"/>
      <c r="I497" s="205"/>
      <c r="J497" s="205"/>
      <c r="K497" s="205"/>
      <c r="L497" s="205"/>
      <c r="M497" s="186"/>
      <c r="N497" s="186"/>
      <c r="O497" s="186"/>
      <c r="P497" s="186"/>
      <c r="Q497" s="186"/>
      <c r="R497" s="186"/>
      <c r="S497" s="186"/>
      <c r="T497" s="186"/>
      <c r="U497" s="186"/>
      <c r="V497" s="186"/>
      <c r="W497" s="186"/>
      <c r="X497" s="186"/>
      <c r="Y497" s="186"/>
      <c r="Z497" s="186"/>
      <c r="AA497" s="186"/>
      <c r="AB497" s="186"/>
      <c r="AC497" s="186"/>
      <c r="AD497" s="186"/>
      <c r="AE497" s="186"/>
    </row>
    <row r="498">
      <c r="A498" s="178"/>
      <c r="B498" s="36"/>
      <c r="C498" s="36"/>
      <c r="D498" s="197"/>
      <c r="E498" s="180"/>
      <c r="F498" s="181"/>
      <c r="G498" s="205"/>
      <c r="H498" s="205"/>
      <c r="I498" s="205"/>
      <c r="J498" s="205"/>
      <c r="K498" s="205"/>
      <c r="L498" s="205"/>
      <c r="M498" s="186"/>
      <c r="N498" s="186"/>
      <c r="O498" s="186"/>
      <c r="P498" s="186"/>
      <c r="Q498" s="186"/>
      <c r="R498" s="186"/>
      <c r="S498" s="186"/>
      <c r="T498" s="186"/>
      <c r="U498" s="186"/>
      <c r="V498" s="186"/>
      <c r="W498" s="186"/>
      <c r="X498" s="186"/>
      <c r="Y498" s="186"/>
      <c r="Z498" s="186"/>
      <c r="AA498" s="186"/>
      <c r="AB498" s="186"/>
      <c r="AC498" s="186"/>
      <c r="AD498" s="186"/>
      <c r="AE498" s="186"/>
    </row>
    <row r="499">
      <c r="A499" s="178"/>
      <c r="B499" s="36"/>
      <c r="C499" s="36"/>
      <c r="D499" s="197"/>
      <c r="E499" s="180"/>
      <c r="F499" s="181"/>
      <c r="G499" s="205"/>
      <c r="H499" s="205"/>
      <c r="I499" s="205"/>
      <c r="J499" s="205"/>
      <c r="K499" s="205"/>
      <c r="L499" s="205"/>
      <c r="M499" s="186"/>
      <c r="N499" s="186"/>
      <c r="O499" s="186"/>
      <c r="P499" s="186"/>
      <c r="Q499" s="186"/>
      <c r="R499" s="186"/>
      <c r="S499" s="186"/>
      <c r="T499" s="186"/>
      <c r="U499" s="186"/>
      <c r="V499" s="186"/>
      <c r="W499" s="186"/>
      <c r="X499" s="186"/>
      <c r="Y499" s="186"/>
      <c r="Z499" s="186"/>
      <c r="AA499" s="186"/>
      <c r="AB499" s="186"/>
      <c r="AC499" s="186"/>
      <c r="AD499" s="186"/>
      <c r="AE499" s="186"/>
    </row>
    <row r="500">
      <c r="A500" s="178"/>
      <c r="B500" s="36"/>
      <c r="C500" s="36"/>
      <c r="D500" s="197"/>
      <c r="E500" s="180"/>
      <c r="F500" s="181"/>
      <c r="G500" s="205"/>
      <c r="H500" s="205"/>
      <c r="I500" s="205"/>
      <c r="J500" s="205"/>
      <c r="K500" s="205"/>
      <c r="L500" s="205"/>
      <c r="M500" s="186"/>
      <c r="N500" s="186"/>
      <c r="O500" s="186"/>
      <c r="P500" s="186"/>
      <c r="Q500" s="186"/>
      <c r="R500" s="186"/>
      <c r="S500" s="186"/>
      <c r="T500" s="186"/>
      <c r="U500" s="186"/>
      <c r="V500" s="186"/>
      <c r="W500" s="186"/>
      <c r="X500" s="186"/>
      <c r="Y500" s="186"/>
      <c r="Z500" s="186"/>
      <c r="AA500" s="186"/>
      <c r="AB500" s="186"/>
      <c r="AC500" s="186"/>
      <c r="AD500" s="186"/>
      <c r="AE500" s="186"/>
    </row>
    <row r="501">
      <c r="A501" s="178"/>
      <c r="B501" s="36"/>
      <c r="C501" s="36"/>
      <c r="D501" s="197"/>
      <c r="E501" s="180"/>
      <c r="F501" s="181"/>
      <c r="G501" s="205"/>
      <c r="H501" s="205"/>
      <c r="I501" s="205"/>
      <c r="J501" s="205"/>
      <c r="K501" s="205"/>
      <c r="L501" s="205"/>
      <c r="M501" s="186"/>
      <c r="N501" s="186"/>
      <c r="O501" s="186"/>
      <c r="P501" s="186"/>
      <c r="Q501" s="186"/>
      <c r="R501" s="186"/>
      <c r="S501" s="186"/>
      <c r="T501" s="186"/>
      <c r="U501" s="186"/>
      <c r="V501" s="186"/>
      <c r="W501" s="186"/>
      <c r="X501" s="186"/>
      <c r="Y501" s="186"/>
      <c r="Z501" s="186"/>
      <c r="AA501" s="186"/>
      <c r="AB501" s="186"/>
      <c r="AC501" s="186"/>
      <c r="AD501" s="186"/>
      <c r="AE501" s="186"/>
    </row>
    <row r="502">
      <c r="A502" s="178"/>
      <c r="B502" s="36"/>
      <c r="C502" s="36"/>
      <c r="D502" s="197"/>
      <c r="E502" s="180"/>
      <c r="F502" s="181"/>
      <c r="G502" s="205"/>
      <c r="H502" s="205"/>
      <c r="I502" s="205"/>
      <c r="J502" s="205"/>
      <c r="K502" s="205"/>
      <c r="L502" s="205"/>
      <c r="M502" s="186"/>
      <c r="N502" s="186"/>
      <c r="O502" s="186"/>
      <c r="P502" s="186"/>
      <c r="Q502" s="186"/>
      <c r="R502" s="186"/>
      <c r="S502" s="186"/>
      <c r="T502" s="186"/>
      <c r="U502" s="186"/>
      <c r="V502" s="186"/>
      <c r="W502" s="186"/>
      <c r="X502" s="186"/>
      <c r="Y502" s="186"/>
      <c r="Z502" s="186"/>
      <c r="AA502" s="186"/>
      <c r="AB502" s="186"/>
      <c r="AC502" s="186"/>
      <c r="AD502" s="186"/>
      <c r="AE502" s="186"/>
    </row>
    <row r="503">
      <c r="A503" s="178"/>
      <c r="B503" s="36"/>
      <c r="C503" s="36"/>
      <c r="D503" s="197"/>
      <c r="E503" s="180"/>
      <c r="F503" s="181"/>
      <c r="G503" s="205"/>
      <c r="H503" s="205"/>
      <c r="I503" s="205"/>
      <c r="J503" s="205"/>
      <c r="K503" s="205"/>
      <c r="L503" s="205"/>
      <c r="M503" s="186"/>
      <c r="N503" s="186"/>
      <c r="O503" s="186"/>
      <c r="P503" s="186"/>
      <c r="Q503" s="186"/>
      <c r="R503" s="186"/>
      <c r="S503" s="186"/>
      <c r="T503" s="186"/>
      <c r="U503" s="186"/>
      <c r="V503" s="186"/>
      <c r="W503" s="186"/>
      <c r="X503" s="186"/>
      <c r="Y503" s="186"/>
      <c r="Z503" s="186"/>
      <c r="AA503" s="186"/>
      <c r="AB503" s="186"/>
      <c r="AC503" s="186"/>
      <c r="AD503" s="186"/>
      <c r="AE503" s="186"/>
    </row>
    <row r="504">
      <c r="A504" s="178"/>
      <c r="B504" s="36"/>
      <c r="C504" s="36"/>
      <c r="D504" s="197"/>
      <c r="E504" s="180"/>
      <c r="F504" s="181"/>
      <c r="G504" s="205"/>
      <c r="H504" s="205"/>
      <c r="I504" s="205"/>
      <c r="J504" s="205"/>
      <c r="K504" s="205"/>
      <c r="L504" s="205"/>
      <c r="M504" s="186"/>
      <c r="N504" s="186"/>
      <c r="O504" s="186"/>
      <c r="P504" s="186"/>
      <c r="Q504" s="186"/>
      <c r="R504" s="186"/>
      <c r="S504" s="186"/>
      <c r="T504" s="186"/>
      <c r="U504" s="186"/>
      <c r="V504" s="186"/>
      <c r="W504" s="186"/>
      <c r="X504" s="186"/>
      <c r="Y504" s="186"/>
      <c r="Z504" s="186"/>
      <c r="AA504" s="186"/>
      <c r="AB504" s="186"/>
      <c r="AC504" s="186"/>
      <c r="AD504" s="186"/>
      <c r="AE504" s="186"/>
    </row>
    <row r="505">
      <c r="A505" s="178"/>
      <c r="B505" s="36"/>
      <c r="C505" s="36"/>
      <c r="D505" s="197"/>
      <c r="E505" s="180"/>
      <c r="F505" s="181"/>
      <c r="G505" s="205"/>
      <c r="H505" s="205"/>
      <c r="I505" s="205"/>
      <c r="J505" s="205"/>
      <c r="K505" s="205"/>
      <c r="L505" s="205"/>
      <c r="M505" s="186"/>
      <c r="N505" s="186"/>
      <c r="O505" s="186"/>
      <c r="P505" s="186"/>
      <c r="Q505" s="186"/>
      <c r="R505" s="186"/>
      <c r="S505" s="186"/>
      <c r="T505" s="186"/>
      <c r="U505" s="186"/>
      <c r="V505" s="186"/>
      <c r="W505" s="186"/>
      <c r="X505" s="186"/>
      <c r="Y505" s="186"/>
      <c r="Z505" s="186"/>
      <c r="AA505" s="186"/>
      <c r="AB505" s="186"/>
      <c r="AC505" s="186"/>
      <c r="AD505" s="186"/>
      <c r="AE505" s="186"/>
    </row>
    <row r="506">
      <c r="A506" s="178"/>
      <c r="B506" s="36"/>
      <c r="C506" s="36"/>
      <c r="D506" s="197"/>
      <c r="E506" s="180"/>
      <c r="F506" s="181"/>
      <c r="G506" s="205"/>
      <c r="H506" s="205"/>
      <c r="I506" s="205"/>
      <c r="J506" s="205"/>
      <c r="K506" s="205"/>
      <c r="L506" s="205"/>
      <c r="M506" s="186"/>
      <c r="N506" s="186"/>
      <c r="O506" s="186"/>
      <c r="P506" s="186"/>
      <c r="Q506" s="186"/>
      <c r="R506" s="186"/>
      <c r="S506" s="186"/>
      <c r="T506" s="186"/>
      <c r="U506" s="186"/>
      <c r="V506" s="186"/>
      <c r="W506" s="186"/>
      <c r="X506" s="186"/>
      <c r="Y506" s="186"/>
      <c r="Z506" s="186"/>
      <c r="AA506" s="186"/>
      <c r="AB506" s="186"/>
      <c r="AC506" s="186"/>
      <c r="AD506" s="186"/>
      <c r="AE506" s="186"/>
    </row>
    <row r="507">
      <c r="A507" s="178"/>
      <c r="B507" s="36"/>
      <c r="C507" s="36"/>
      <c r="D507" s="197"/>
      <c r="E507" s="180"/>
      <c r="F507" s="181"/>
      <c r="G507" s="205"/>
      <c r="H507" s="205"/>
      <c r="I507" s="205"/>
      <c r="J507" s="205"/>
      <c r="K507" s="205"/>
      <c r="L507" s="205"/>
      <c r="M507" s="186"/>
      <c r="N507" s="186"/>
      <c r="O507" s="186"/>
      <c r="P507" s="186"/>
      <c r="Q507" s="186"/>
      <c r="R507" s="186"/>
      <c r="S507" s="186"/>
      <c r="T507" s="186"/>
      <c r="U507" s="186"/>
      <c r="V507" s="186"/>
      <c r="W507" s="186"/>
      <c r="X507" s="186"/>
      <c r="Y507" s="186"/>
      <c r="Z507" s="186"/>
      <c r="AA507" s="186"/>
      <c r="AB507" s="186"/>
      <c r="AC507" s="186"/>
      <c r="AD507" s="186"/>
      <c r="AE507" s="186"/>
    </row>
    <row r="508">
      <c r="A508" s="178"/>
      <c r="B508" s="36"/>
      <c r="C508" s="36"/>
      <c r="D508" s="197"/>
      <c r="E508" s="180"/>
      <c r="F508" s="181"/>
      <c r="G508" s="205"/>
      <c r="H508" s="205"/>
      <c r="I508" s="205"/>
      <c r="J508" s="205"/>
      <c r="K508" s="205"/>
      <c r="L508" s="205"/>
      <c r="M508" s="186"/>
      <c r="N508" s="186"/>
      <c r="O508" s="186"/>
      <c r="P508" s="186"/>
      <c r="Q508" s="186"/>
      <c r="R508" s="186"/>
      <c r="S508" s="186"/>
      <c r="T508" s="186"/>
      <c r="U508" s="186"/>
      <c r="V508" s="186"/>
      <c r="W508" s="186"/>
      <c r="X508" s="186"/>
      <c r="Y508" s="186"/>
      <c r="Z508" s="186"/>
      <c r="AA508" s="186"/>
      <c r="AB508" s="186"/>
      <c r="AC508" s="186"/>
      <c r="AD508" s="186"/>
      <c r="AE508" s="186"/>
    </row>
    <row r="509">
      <c r="A509" s="178"/>
      <c r="B509" s="36"/>
      <c r="C509" s="36"/>
      <c r="D509" s="197"/>
      <c r="E509" s="180"/>
      <c r="F509" s="181"/>
      <c r="G509" s="205"/>
      <c r="H509" s="205"/>
      <c r="I509" s="205"/>
      <c r="J509" s="205"/>
      <c r="K509" s="205"/>
      <c r="L509" s="205"/>
      <c r="M509" s="186"/>
      <c r="N509" s="186"/>
      <c r="O509" s="186"/>
      <c r="P509" s="186"/>
      <c r="Q509" s="186"/>
      <c r="R509" s="186"/>
      <c r="S509" s="186"/>
      <c r="T509" s="186"/>
      <c r="U509" s="186"/>
      <c r="V509" s="186"/>
      <c r="W509" s="186"/>
      <c r="X509" s="186"/>
      <c r="Y509" s="186"/>
      <c r="Z509" s="186"/>
      <c r="AA509" s="186"/>
      <c r="AB509" s="186"/>
      <c r="AC509" s="186"/>
      <c r="AD509" s="186"/>
      <c r="AE509" s="186"/>
    </row>
    <row r="510">
      <c r="A510" s="178"/>
      <c r="B510" s="36"/>
      <c r="C510" s="36"/>
      <c r="D510" s="197"/>
      <c r="E510" s="180"/>
      <c r="F510" s="181"/>
      <c r="G510" s="205"/>
      <c r="H510" s="205"/>
      <c r="I510" s="205"/>
      <c r="J510" s="205"/>
      <c r="K510" s="205"/>
      <c r="L510" s="205"/>
      <c r="M510" s="186"/>
      <c r="N510" s="186"/>
      <c r="O510" s="186"/>
      <c r="P510" s="186"/>
      <c r="Q510" s="186"/>
      <c r="R510" s="186"/>
      <c r="S510" s="186"/>
      <c r="T510" s="186"/>
      <c r="U510" s="186"/>
      <c r="V510" s="186"/>
      <c r="W510" s="186"/>
      <c r="X510" s="186"/>
      <c r="Y510" s="186"/>
      <c r="Z510" s="186"/>
      <c r="AA510" s="186"/>
      <c r="AB510" s="186"/>
      <c r="AC510" s="186"/>
      <c r="AD510" s="186"/>
      <c r="AE510" s="186"/>
    </row>
    <row r="511">
      <c r="A511" s="178"/>
      <c r="B511" s="36"/>
      <c r="C511" s="36"/>
      <c r="D511" s="197"/>
      <c r="E511" s="180"/>
      <c r="F511" s="181"/>
      <c r="G511" s="205"/>
      <c r="H511" s="205"/>
      <c r="I511" s="205"/>
      <c r="J511" s="205"/>
      <c r="K511" s="205"/>
      <c r="L511" s="205"/>
      <c r="M511" s="186"/>
      <c r="N511" s="186"/>
      <c r="O511" s="186"/>
      <c r="P511" s="186"/>
      <c r="Q511" s="186"/>
      <c r="R511" s="186"/>
      <c r="S511" s="186"/>
      <c r="T511" s="186"/>
      <c r="U511" s="186"/>
      <c r="V511" s="186"/>
      <c r="W511" s="186"/>
      <c r="X511" s="186"/>
      <c r="Y511" s="186"/>
      <c r="Z511" s="186"/>
      <c r="AA511" s="186"/>
      <c r="AB511" s="186"/>
      <c r="AC511" s="186"/>
      <c r="AD511" s="186"/>
      <c r="AE511" s="186"/>
    </row>
    <row r="512">
      <c r="A512" s="178"/>
      <c r="B512" s="36"/>
      <c r="C512" s="36"/>
      <c r="D512" s="197"/>
      <c r="E512" s="180"/>
      <c r="F512" s="181"/>
      <c r="G512" s="205"/>
      <c r="H512" s="205"/>
      <c r="I512" s="205"/>
      <c r="J512" s="205"/>
      <c r="K512" s="205"/>
      <c r="L512" s="205"/>
      <c r="M512" s="186"/>
      <c r="N512" s="186"/>
      <c r="O512" s="186"/>
      <c r="P512" s="186"/>
      <c r="Q512" s="186"/>
      <c r="R512" s="186"/>
      <c r="S512" s="186"/>
      <c r="T512" s="186"/>
      <c r="U512" s="186"/>
      <c r="V512" s="186"/>
      <c r="W512" s="186"/>
      <c r="X512" s="186"/>
      <c r="Y512" s="186"/>
      <c r="Z512" s="186"/>
      <c r="AA512" s="186"/>
      <c r="AB512" s="186"/>
      <c r="AC512" s="186"/>
      <c r="AD512" s="186"/>
      <c r="AE512" s="186"/>
    </row>
    <row r="513">
      <c r="A513" s="178"/>
      <c r="B513" s="36"/>
      <c r="C513" s="36"/>
      <c r="D513" s="197"/>
      <c r="E513" s="180"/>
      <c r="F513" s="181"/>
      <c r="G513" s="205"/>
      <c r="H513" s="205"/>
      <c r="I513" s="205"/>
      <c r="J513" s="205"/>
      <c r="K513" s="205"/>
      <c r="L513" s="205"/>
      <c r="M513" s="186"/>
      <c r="N513" s="186"/>
      <c r="O513" s="186"/>
      <c r="P513" s="186"/>
      <c r="Q513" s="186"/>
      <c r="R513" s="186"/>
      <c r="S513" s="186"/>
      <c r="T513" s="186"/>
      <c r="U513" s="186"/>
      <c r="V513" s="186"/>
      <c r="W513" s="186"/>
      <c r="X513" s="186"/>
      <c r="Y513" s="186"/>
      <c r="Z513" s="186"/>
      <c r="AA513" s="186"/>
      <c r="AB513" s="186"/>
      <c r="AC513" s="186"/>
      <c r="AD513" s="186"/>
      <c r="AE513" s="186"/>
    </row>
    <row r="514">
      <c r="A514" s="178"/>
      <c r="B514" s="36"/>
      <c r="C514" s="36"/>
      <c r="D514" s="197"/>
      <c r="E514" s="180"/>
      <c r="F514" s="181"/>
      <c r="G514" s="205"/>
      <c r="H514" s="205"/>
      <c r="I514" s="205"/>
      <c r="J514" s="205"/>
      <c r="K514" s="205"/>
      <c r="L514" s="205"/>
      <c r="M514" s="186"/>
      <c r="N514" s="186"/>
      <c r="O514" s="186"/>
      <c r="P514" s="186"/>
      <c r="Q514" s="186"/>
      <c r="R514" s="186"/>
      <c r="S514" s="186"/>
      <c r="T514" s="186"/>
      <c r="U514" s="186"/>
      <c r="V514" s="186"/>
      <c r="W514" s="186"/>
      <c r="X514" s="186"/>
      <c r="Y514" s="186"/>
      <c r="Z514" s="186"/>
      <c r="AA514" s="186"/>
      <c r="AB514" s="186"/>
      <c r="AC514" s="186"/>
      <c r="AD514" s="186"/>
      <c r="AE514" s="186"/>
    </row>
    <row r="515">
      <c r="A515" s="178"/>
      <c r="B515" s="36"/>
      <c r="C515" s="36"/>
      <c r="D515" s="197"/>
      <c r="E515" s="180"/>
      <c r="F515" s="181"/>
      <c r="G515" s="205"/>
      <c r="H515" s="205"/>
      <c r="I515" s="205"/>
      <c r="J515" s="205"/>
      <c r="K515" s="205"/>
      <c r="L515" s="205"/>
      <c r="M515" s="186"/>
      <c r="N515" s="186"/>
      <c r="O515" s="186"/>
      <c r="P515" s="186"/>
      <c r="Q515" s="186"/>
      <c r="R515" s="186"/>
      <c r="S515" s="186"/>
      <c r="T515" s="186"/>
      <c r="U515" s="186"/>
      <c r="V515" s="186"/>
      <c r="W515" s="186"/>
      <c r="X515" s="186"/>
      <c r="Y515" s="186"/>
      <c r="Z515" s="186"/>
      <c r="AA515" s="186"/>
      <c r="AB515" s="186"/>
      <c r="AC515" s="186"/>
      <c r="AD515" s="186"/>
      <c r="AE515" s="186"/>
    </row>
    <row r="516">
      <c r="A516" s="178"/>
      <c r="B516" s="36"/>
      <c r="C516" s="36"/>
      <c r="D516" s="197"/>
      <c r="E516" s="180"/>
      <c r="F516" s="181"/>
      <c r="G516" s="205"/>
      <c r="H516" s="205"/>
      <c r="I516" s="205"/>
      <c r="J516" s="205"/>
      <c r="K516" s="205"/>
      <c r="L516" s="205"/>
      <c r="M516" s="186"/>
      <c r="N516" s="186"/>
      <c r="O516" s="186"/>
      <c r="P516" s="186"/>
      <c r="Q516" s="186"/>
      <c r="R516" s="186"/>
      <c r="S516" s="186"/>
      <c r="T516" s="186"/>
      <c r="U516" s="186"/>
      <c r="V516" s="186"/>
      <c r="W516" s="186"/>
      <c r="X516" s="186"/>
      <c r="Y516" s="186"/>
      <c r="Z516" s="186"/>
      <c r="AA516" s="186"/>
      <c r="AB516" s="186"/>
      <c r="AC516" s="186"/>
      <c r="AD516" s="186"/>
      <c r="AE516" s="186"/>
    </row>
    <row r="517">
      <c r="A517" s="178"/>
      <c r="B517" s="36"/>
      <c r="C517" s="36"/>
      <c r="D517" s="197"/>
      <c r="E517" s="180"/>
      <c r="F517" s="181"/>
      <c r="G517" s="205"/>
      <c r="H517" s="205"/>
      <c r="I517" s="205"/>
      <c r="J517" s="205"/>
      <c r="K517" s="205"/>
      <c r="L517" s="205"/>
      <c r="M517" s="186"/>
      <c r="N517" s="186"/>
      <c r="O517" s="186"/>
      <c r="P517" s="186"/>
      <c r="Q517" s="186"/>
      <c r="R517" s="186"/>
      <c r="S517" s="186"/>
      <c r="T517" s="186"/>
      <c r="U517" s="186"/>
      <c r="V517" s="186"/>
      <c r="W517" s="186"/>
      <c r="X517" s="186"/>
      <c r="Y517" s="186"/>
      <c r="Z517" s="186"/>
      <c r="AA517" s="186"/>
      <c r="AB517" s="186"/>
      <c r="AC517" s="186"/>
      <c r="AD517" s="186"/>
      <c r="AE517" s="186"/>
    </row>
    <row r="518">
      <c r="A518" s="178"/>
      <c r="B518" s="36"/>
      <c r="C518" s="36"/>
      <c r="D518" s="197"/>
      <c r="E518" s="180"/>
      <c r="F518" s="181"/>
      <c r="G518" s="205"/>
      <c r="H518" s="205"/>
      <c r="I518" s="205"/>
      <c r="J518" s="205"/>
      <c r="K518" s="205"/>
      <c r="L518" s="205"/>
      <c r="M518" s="186"/>
      <c r="N518" s="186"/>
      <c r="O518" s="186"/>
      <c r="P518" s="186"/>
      <c r="Q518" s="186"/>
      <c r="R518" s="186"/>
      <c r="S518" s="186"/>
      <c r="T518" s="186"/>
      <c r="U518" s="186"/>
      <c r="V518" s="186"/>
      <c r="W518" s="186"/>
      <c r="X518" s="186"/>
      <c r="Y518" s="186"/>
      <c r="Z518" s="186"/>
      <c r="AA518" s="186"/>
      <c r="AB518" s="186"/>
      <c r="AC518" s="186"/>
      <c r="AD518" s="186"/>
      <c r="AE518" s="186"/>
    </row>
    <row r="519">
      <c r="A519" s="178"/>
      <c r="B519" s="36"/>
      <c r="C519" s="36"/>
      <c r="D519" s="197"/>
      <c r="E519" s="180"/>
      <c r="F519" s="181"/>
      <c r="G519" s="205"/>
      <c r="H519" s="205"/>
      <c r="I519" s="205"/>
      <c r="J519" s="205"/>
      <c r="K519" s="205"/>
      <c r="L519" s="205"/>
      <c r="M519" s="186"/>
      <c r="N519" s="186"/>
      <c r="O519" s="186"/>
      <c r="P519" s="186"/>
      <c r="Q519" s="186"/>
      <c r="R519" s="186"/>
      <c r="S519" s="186"/>
      <c r="T519" s="186"/>
      <c r="U519" s="186"/>
      <c r="V519" s="186"/>
      <c r="W519" s="186"/>
      <c r="X519" s="186"/>
      <c r="Y519" s="186"/>
      <c r="Z519" s="186"/>
      <c r="AA519" s="186"/>
      <c r="AB519" s="186"/>
      <c r="AC519" s="186"/>
      <c r="AD519" s="186"/>
      <c r="AE519" s="186"/>
    </row>
    <row r="520">
      <c r="A520" s="178"/>
      <c r="B520" s="36"/>
      <c r="C520" s="36"/>
      <c r="D520" s="197"/>
      <c r="E520" s="180"/>
      <c r="F520" s="181"/>
      <c r="G520" s="205"/>
      <c r="H520" s="205"/>
      <c r="I520" s="205"/>
      <c r="J520" s="205"/>
      <c r="K520" s="205"/>
      <c r="L520" s="205"/>
      <c r="M520" s="186"/>
      <c r="N520" s="186"/>
      <c r="O520" s="186"/>
      <c r="P520" s="186"/>
      <c r="Q520" s="186"/>
      <c r="R520" s="186"/>
      <c r="S520" s="186"/>
      <c r="T520" s="186"/>
      <c r="U520" s="186"/>
      <c r="V520" s="186"/>
      <c r="W520" s="186"/>
      <c r="X520" s="186"/>
      <c r="Y520" s="186"/>
      <c r="Z520" s="186"/>
      <c r="AA520" s="186"/>
      <c r="AB520" s="186"/>
      <c r="AC520" s="186"/>
      <c r="AD520" s="186"/>
      <c r="AE520" s="186"/>
    </row>
    <row r="521">
      <c r="A521" s="178"/>
      <c r="B521" s="36"/>
      <c r="C521" s="36"/>
      <c r="D521" s="197"/>
      <c r="E521" s="180"/>
      <c r="F521" s="181"/>
      <c r="G521" s="205"/>
      <c r="H521" s="205"/>
      <c r="I521" s="205"/>
      <c r="J521" s="205"/>
      <c r="K521" s="205"/>
      <c r="L521" s="205"/>
      <c r="M521" s="186"/>
      <c r="N521" s="186"/>
      <c r="O521" s="186"/>
      <c r="P521" s="186"/>
      <c r="Q521" s="186"/>
      <c r="R521" s="186"/>
      <c r="S521" s="186"/>
      <c r="T521" s="186"/>
      <c r="U521" s="186"/>
      <c r="V521" s="186"/>
      <c r="W521" s="186"/>
      <c r="X521" s="186"/>
      <c r="Y521" s="186"/>
      <c r="Z521" s="186"/>
      <c r="AA521" s="186"/>
      <c r="AB521" s="186"/>
      <c r="AC521" s="186"/>
      <c r="AD521" s="186"/>
      <c r="AE521" s="186"/>
    </row>
    <row r="522">
      <c r="A522" s="178"/>
      <c r="B522" s="36"/>
      <c r="C522" s="36"/>
      <c r="D522" s="197"/>
      <c r="E522" s="180"/>
      <c r="F522" s="181"/>
      <c r="G522" s="205"/>
      <c r="H522" s="205"/>
      <c r="I522" s="205"/>
      <c r="J522" s="205"/>
      <c r="K522" s="205"/>
      <c r="L522" s="205"/>
      <c r="M522" s="186"/>
      <c r="N522" s="186"/>
      <c r="O522" s="186"/>
      <c r="P522" s="186"/>
      <c r="Q522" s="186"/>
      <c r="R522" s="186"/>
      <c r="S522" s="186"/>
      <c r="T522" s="186"/>
      <c r="U522" s="186"/>
      <c r="V522" s="186"/>
      <c r="W522" s="186"/>
      <c r="X522" s="186"/>
      <c r="Y522" s="186"/>
      <c r="Z522" s="186"/>
      <c r="AA522" s="186"/>
      <c r="AB522" s="186"/>
      <c r="AC522" s="186"/>
      <c r="AD522" s="186"/>
      <c r="AE522" s="186"/>
    </row>
    <row r="523">
      <c r="A523" s="178"/>
      <c r="B523" s="36"/>
      <c r="C523" s="36"/>
      <c r="D523" s="197"/>
      <c r="E523" s="180"/>
      <c r="F523" s="181"/>
      <c r="G523" s="205"/>
      <c r="H523" s="205"/>
      <c r="I523" s="205"/>
      <c r="J523" s="205"/>
      <c r="K523" s="205"/>
      <c r="L523" s="205"/>
      <c r="M523" s="186"/>
      <c r="N523" s="186"/>
      <c r="O523" s="186"/>
      <c r="P523" s="186"/>
      <c r="Q523" s="186"/>
      <c r="R523" s="186"/>
      <c r="S523" s="186"/>
      <c r="T523" s="186"/>
      <c r="U523" s="186"/>
      <c r="V523" s="186"/>
      <c r="W523" s="186"/>
      <c r="X523" s="186"/>
      <c r="Y523" s="186"/>
      <c r="Z523" s="186"/>
      <c r="AA523" s="186"/>
      <c r="AB523" s="186"/>
      <c r="AC523" s="186"/>
      <c r="AD523" s="186"/>
      <c r="AE523" s="186"/>
    </row>
    <row r="524">
      <c r="A524" s="178"/>
      <c r="B524" s="36"/>
      <c r="C524" s="36"/>
      <c r="D524" s="197"/>
      <c r="E524" s="180"/>
      <c r="F524" s="181"/>
      <c r="G524" s="205"/>
      <c r="H524" s="205"/>
      <c r="I524" s="205"/>
      <c r="J524" s="205"/>
      <c r="K524" s="205"/>
      <c r="L524" s="205"/>
      <c r="M524" s="186"/>
      <c r="N524" s="186"/>
      <c r="O524" s="186"/>
      <c r="P524" s="186"/>
      <c r="Q524" s="186"/>
      <c r="R524" s="186"/>
      <c r="S524" s="186"/>
      <c r="T524" s="186"/>
      <c r="U524" s="186"/>
      <c r="V524" s="186"/>
      <c r="W524" s="186"/>
      <c r="X524" s="186"/>
      <c r="Y524" s="186"/>
      <c r="Z524" s="186"/>
      <c r="AA524" s="186"/>
      <c r="AB524" s="186"/>
      <c r="AC524" s="186"/>
      <c r="AD524" s="186"/>
      <c r="AE524" s="186"/>
    </row>
    <row r="525">
      <c r="A525" s="178"/>
      <c r="B525" s="36"/>
      <c r="C525" s="36"/>
      <c r="D525" s="197"/>
      <c r="E525" s="180"/>
      <c r="F525" s="181"/>
      <c r="G525" s="205"/>
      <c r="H525" s="205"/>
      <c r="I525" s="205"/>
      <c r="J525" s="205"/>
      <c r="K525" s="205"/>
      <c r="L525" s="205"/>
      <c r="M525" s="186"/>
      <c r="N525" s="186"/>
      <c r="O525" s="186"/>
      <c r="P525" s="186"/>
      <c r="Q525" s="186"/>
      <c r="R525" s="186"/>
      <c r="S525" s="186"/>
      <c r="T525" s="186"/>
      <c r="U525" s="186"/>
      <c r="V525" s="186"/>
      <c r="W525" s="186"/>
      <c r="X525" s="186"/>
      <c r="Y525" s="186"/>
      <c r="Z525" s="186"/>
      <c r="AA525" s="186"/>
      <c r="AB525" s="186"/>
      <c r="AC525" s="186"/>
      <c r="AD525" s="186"/>
      <c r="AE525" s="186"/>
    </row>
    <row r="526">
      <c r="A526" s="178"/>
      <c r="B526" s="36"/>
      <c r="C526" s="36"/>
      <c r="D526" s="197"/>
      <c r="E526" s="180"/>
      <c r="F526" s="181"/>
      <c r="G526" s="205"/>
      <c r="H526" s="205"/>
      <c r="I526" s="205"/>
      <c r="J526" s="205"/>
      <c r="K526" s="205"/>
      <c r="L526" s="205"/>
      <c r="M526" s="186"/>
      <c r="N526" s="186"/>
      <c r="O526" s="186"/>
      <c r="P526" s="186"/>
      <c r="Q526" s="186"/>
      <c r="R526" s="186"/>
      <c r="S526" s="186"/>
      <c r="T526" s="186"/>
      <c r="U526" s="186"/>
      <c r="V526" s="186"/>
      <c r="W526" s="186"/>
      <c r="X526" s="186"/>
      <c r="Y526" s="186"/>
      <c r="Z526" s="186"/>
      <c r="AA526" s="186"/>
      <c r="AB526" s="186"/>
      <c r="AC526" s="186"/>
      <c r="AD526" s="186"/>
      <c r="AE526" s="186"/>
    </row>
    <row r="527">
      <c r="A527" s="178"/>
      <c r="B527" s="36"/>
      <c r="C527" s="36"/>
      <c r="D527" s="197"/>
      <c r="E527" s="180"/>
      <c r="F527" s="181"/>
      <c r="G527" s="205"/>
      <c r="H527" s="205"/>
      <c r="I527" s="205"/>
      <c r="J527" s="205"/>
      <c r="K527" s="205"/>
      <c r="L527" s="205"/>
      <c r="M527" s="186"/>
      <c r="N527" s="186"/>
      <c r="O527" s="186"/>
      <c r="P527" s="186"/>
      <c r="Q527" s="186"/>
      <c r="R527" s="186"/>
      <c r="S527" s="186"/>
      <c r="T527" s="186"/>
      <c r="U527" s="186"/>
      <c r="V527" s="186"/>
      <c r="W527" s="186"/>
      <c r="X527" s="186"/>
      <c r="Y527" s="186"/>
      <c r="Z527" s="186"/>
      <c r="AA527" s="186"/>
      <c r="AB527" s="186"/>
      <c r="AC527" s="186"/>
      <c r="AD527" s="186"/>
      <c r="AE527" s="186"/>
    </row>
    <row r="528">
      <c r="A528" s="178"/>
      <c r="B528" s="36"/>
      <c r="C528" s="36"/>
      <c r="D528" s="197"/>
      <c r="E528" s="180"/>
      <c r="F528" s="181"/>
      <c r="G528" s="205"/>
      <c r="H528" s="205"/>
      <c r="I528" s="205"/>
      <c r="J528" s="205"/>
      <c r="K528" s="205"/>
      <c r="L528" s="205"/>
      <c r="M528" s="186"/>
      <c r="N528" s="186"/>
      <c r="O528" s="186"/>
      <c r="P528" s="186"/>
      <c r="Q528" s="186"/>
      <c r="R528" s="186"/>
      <c r="S528" s="186"/>
      <c r="T528" s="186"/>
      <c r="U528" s="186"/>
      <c r="V528" s="186"/>
      <c r="W528" s="186"/>
      <c r="X528" s="186"/>
      <c r="Y528" s="186"/>
      <c r="Z528" s="186"/>
      <c r="AA528" s="186"/>
      <c r="AB528" s="186"/>
      <c r="AC528" s="186"/>
      <c r="AD528" s="186"/>
      <c r="AE528" s="186"/>
    </row>
    <row r="529">
      <c r="A529" s="178"/>
      <c r="B529" s="36"/>
      <c r="C529" s="36"/>
      <c r="D529" s="197"/>
      <c r="E529" s="180"/>
      <c r="F529" s="181"/>
      <c r="G529" s="205"/>
      <c r="H529" s="205"/>
      <c r="I529" s="205"/>
      <c r="J529" s="205"/>
      <c r="K529" s="205"/>
      <c r="L529" s="205"/>
      <c r="M529" s="186"/>
      <c r="N529" s="186"/>
      <c r="O529" s="186"/>
      <c r="P529" s="186"/>
      <c r="Q529" s="186"/>
      <c r="R529" s="186"/>
      <c r="S529" s="186"/>
      <c r="T529" s="186"/>
      <c r="U529" s="186"/>
      <c r="V529" s="186"/>
      <c r="W529" s="186"/>
      <c r="X529" s="186"/>
      <c r="Y529" s="186"/>
      <c r="Z529" s="186"/>
      <c r="AA529" s="186"/>
      <c r="AB529" s="186"/>
      <c r="AC529" s="186"/>
      <c r="AD529" s="186"/>
      <c r="AE529" s="186"/>
    </row>
    <row r="530">
      <c r="A530" s="178"/>
      <c r="B530" s="36"/>
      <c r="C530" s="36"/>
      <c r="D530" s="197"/>
      <c r="E530" s="180"/>
      <c r="F530" s="181"/>
      <c r="G530" s="205"/>
      <c r="H530" s="205"/>
      <c r="I530" s="205"/>
      <c r="J530" s="205"/>
      <c r="K530" s="205"/>
      <c r="L530" s="205"/>
      <c r="M530" s="186"/>
      <c r="N530" s="186"/>
      <c r="O530" s="186"/>
      <c r="P530" s="186"/>
      <c r="Q530" s="186"/>
      <c r="R530" s="186"/>
      <c r="S530" s="186"/>
      <c r="T530" s="186"/>
      <c r="U530" s="186"/>
      <c r="V530" s="186"/>
      <c r="W530" s="186"/>
      <c r="X530" s="186"/>
      <c r="Y530" s="186"/>
      <c r="Z530" s="186"/>
      <c r="AA530" s="186"/>
      <c r="AB530" s="186"/>
      <c r="AC530" s="186"/>
      <c r="AD530" s="186"/>
      <c r="AE530" s="186"/>
    </row>
    <row r="531">
      <c r="A531" s="178"/>
      <c r="B531" s="36"/>
      <c r="C531" s="36"/>
      <c r="D531" s="197"/>
      <c r="E531" s="180"/>
      <c r="F531" s="181"/>
      <c r="G531" s="205"/>
      <c r="H531" s="205"/>
      <c r="I531" s="205"/>
      <c r="J531" s="205"/>
      <c r="K531" s="205"/>
      <c r="L531" s="205"/>
      <c r="M531" s="186"/>
      <c r="N531" s="186"/>
      <c r="O531" s="186"/>
      <c r="P531" s="186"/>
      <c r="Q531" s="186"/>
      <c r="R531" s="186"/>
      <c r="S531" s="186"/>
      <c r="T531" s="186"/>
      <c r="U531" s="186"/>
      <c r="V531" s="186"/>
      <c r="W531" s="186"/>
      <c r="X531" s="186"/>
      <c r="Y531" s="186"/>
      <c r="Z531" s="186"/>
      <c r="AA531" s="186"/>
      <c r="AB531" s="186"/>
      <c r="AC531" s="186"/>
      <c r="AD531" s="186"/>
      <c r="AE531" s="186"/>
    </row>
    <row r="532">
      <c r="A532" s="178"/>
      <c r="B532" s="36"/>
      <c r="C532" s="36"/>
      <c r="D532" s="197"/>
      <c r="E532" s="180"/>
      <c r="F532" s="181"/>
      <c r="G532" s="205"/>
      <c r="H532" s="205"/>
      <c r="I532" s="205"/>
      <c r="J532" s="205"/>
      <c r="K532" s="205"/>
      <c r="L532" s="205"/>
      <c r="M532" s="186"/>
      <c r="N532" s="186"/>
      <c r="O532" s="186"/>
      <c r="P532" s="186"/>
      <c r="Q532" s="186"/>
      <c r="R532" s="186"/>
      <c r="S532" s="186"/>
      <c r="T532" s="186"/>
      <c r="U532" s="186"/>
      <c r="V532" s="186"/>
      <c r="W532" s="186"/>
      <c r="X532" s="186"/>
      <c r="Y532" s="186"/>
      <c r="Z532" s="186"/>
      <c r="AA532" s="186"/>
      <c r="AB532" s="186"/>
      <c r="AC532" s="186"/>
      <c r="AD532" s="186"/>
      <c r="AE532" s="186"/>
    </row>
    <row r="533">
      <c r="A533" s="178"/>
      <c r="B533" s="36"/>
      <c r="C533" s="36"/>
      <c r="D533" s="197"/>
      <c r="E533" s="180"/>
      <c r="F533" s="181"/>
      <c r="G533" s="205"/>
      <c r="H533" s="205"/>
      <c r="I533" s="205"/>
      <c r="J533" s="205"/>
      <c r="K533" s="205"/>
      <c r="L533" s="205"/>
      <c r="M533" s="186"/>
      <c r="N533" s="186"/>
      <c r="O533" s="186"/>
      <c r="P533" s="186"/>
      <c r="Q533" s="186"/>
      <c r="R533" s="186"/>
      <c r="S533" s="186"/>
      <c r="T533" s="186"/>
      <c r="U533" s="186"/>
      <c r="V533" s="186"/>
      <c r="W533" s="186"/>
      <c r="X533" s="186"/>
      <c r="Y533" s="186"/>
      <c r="Z533" s="186"/>
      <c r="AA533" s="186"/>
      <c r="AB533" s="186"/>
      <c r="AC533" s="186"/>
      <c r="AD533" s="186"/>
      <c r="AE533" s="186"/>
    </row>
    <row r="534">
      <c r="A534" s="178"/>
      <c r="B534" s="36"/>
      <c r="C534" s="36"/>
      <c r="D534" s="197"/>
      <c r="E534" s="180"/>
      <c r="F534" s="181"/>
      <c r="G534" s="205"/>
      <c r="H534" s="205"/>
      <c r="I534" s="205"/>
      <c r="J534" s="205"/>
      <c r="K534" s="205"/>
      <c r="L534" s="205"/>
      <c r="M534" s="186"/>
      <c r="N534" s="186"/>
      <c r="O534" s="186"/>
      <c r="P534" s="186"/>
      <c r="Q534" s="186"/>
      <c r="R534" s="186"/>
      <c r="S534" s="186"/>
      <c r="T534" s="186"/>
      <c r="U534" s="186"/>
      <c r="V534" s="186"/>
      <c r="W534" s="186"/>
      <c r="X534" s="186"/>
      <c r="Y534" s="186"/>
      <c r="Z534" s="186"/>
      <c r="AA534" s="186"/>
      <c r="AB534" s="186"/>
      <c r="AC534" s="186"/>
      <c r="AD534" s="186"/>
      <c r="AE534" s="186"/>
    </row>
    <row r="535">
      <c r="A535" s="178"/>
      <c r="B535" s="36"/>
      <c r="C535" s="36"/>
      <c r="D535" s="197"/>
      <c r="E535" s="180"/>
      <c r="F535" s="181"/>
      <c r="G535" s="205"/>
      <c r="H535" s="205"/>
      <c r="I535" s="205"/>
      <c r="J535" s="205"/>
      <c r="K535" s="205"/>
      <c r="L535" s="205"/>
      <c r="M535" s="186"/>
      <c r="N535" s="186"/>
      <c r="O535" s="186"/>
      <c r="P535" s="186"/>
      <c r="Q535" s="186"/>
      <c r="R535" s="186"/>
      <c r="S535" s="186"/>
      <c r="T535" s="186"/>
      <c r="U535" s="186"/>
      <c r="V535" s="186"/>
      <c r="W535" s="186"/>
      <c r="X535" s="186"/>
      <c r="Y535" s="186"/>
      <c r="Z535" s="186"/>
      <c r="AA535" s="186"/>
      <c r="AB535" s="186"/>
      <c r="AC535" s="186"/>
      <c r="AD535" s="186"/>
      <c r="AE535" s="186"/>
    </row>
    <row r="536">
      <c r="A536" s="178"/>
      <c r="B536" s="36"/>
      <c r="C536" s="36"/>
      <c r="D536" s="197"/>
      <c r="E536" s="180"/>
      <c r="F536" s="181"/>
      <c r="G536" s="205"/>
      <c r="H536" s="205"/>
      <c r="I536" s="205"/>
      <c r="J536" s="205"/>
      <c r="K536" s="205"/>
      <c r="L536" s="205"/>
      <c r="M536" s="186"/>
      <c r="N536" s="186"/>
      <c r="O536" s="186"/>
      <c r="P536" s="186"/>
      <c r="Q536" s="186"/>
      <c r="R536" s="186"/>
      <c r="S536" s="186"/>
      <c r="T536" s="186"/>
      <c r="U536" s="186"/>
      <c r="V536" s="186"/>
      <c r="W536" s="186"/>
      <c r="X536" s="186"/>
      <c r="Y536" s="186"/>
      <c r="Z536" s="186"/>
      <c r="AA536" s="186"/>
      <c r="AB536" s="186"/>
      <c r="AC536" s="186"/>
      <c r="AD536" s="186"/>
      <c r="AE536" s="186"/>
    </row>
    <row r="537">
      <c r="A537" s="178"/>
      <c r="B537" s="36"/>
      <c r="C537" s="36"/>
      <c r="D537" s="197"/>
      <c r="E537" s="180"/>
      <c r="F537" s="181"/>
      <c r="G537" s="205"/>
      <c r="H537" s="205"/>
      <c r="I537" s="205"/>
      <c r="J537" s="205"/>
      <c r="K537" s="205"/>
      <c r="L537" s="205"/>
      <c r="M537" s="186"/>
      <c r="N537" s="186"/>
      <c r="O537" s="186"/>
      <c r="P537" s="186"/>
      <c r="Q537" s="186"/>
      <c r="R537" s="186"/>
      <c r="S537" s="186"/>
      <c r="T537" s="186"/>
      <c r="U537" s="186"/>
      <c r="V537" s="186"/>
      <c r="W537" s="186"/>
      <c r="X537" s="186"/>
      <c r="Y537" s="186"/>
      <c r="Z537" s="186"/>
      <c r="AA537" s="186"/>
      <c r="AB537" s="186"/>
      <c r="AC537" s="186"/>
      <c r="AD537" s="186"/>
      <c r="AE537" s="186"/>
    </row>
    <row r="538">
      <c r="A538" s="178"/>
      <c r="B538" s="36"/>
      <c r="C538" s="36"/>
      <c r="D538" s="197"/>
      <c r="E538" s="180"/>
      <c r="F538" s="181"/>
      <c r="G538" s="205"/>
      <c r="H538" s="205"/>
      <c r="I538" s="205"/>
      <c r="J538" s="205"/>
      <c r="K538" s="205"/>
      <c r="L538" s="205"/>
      <c r="M538" s="186"/>
      <c r="N538" s="186"/>
      <c r="O538" s="186"/>
      <c r="P538" s="186"/>
      <c r="Q538" s="186"/>
      <c r="R538" s="186"/>
      <c r="S538" s="186"/>
      <c r="T538" s="186"/>
      <c r="U538" s="186"/>
      <c r="V538" s="186"/>
      <c r="W538" s="186"/>
      <c r="X538" s="186"/>
      <c r="Y538" s="186"/>
      <c r="Z538" s="186"/>
      <c r="AA538" s="186"/>
      <c r="AB538" s="186"/>
      <c r="AC538" s="186"/>
      <c r="AD538" s="186"/>
      <c r="AE538" s="186"/>
    </row>
    <row r="539">
      <c r="A539" s="178"/>
      <c r="B539" s="36"/>
      <c r="C539" s="36"/>
      <c r="D539" s="197"/>
      <c r="E539" s="180"/>
      <c r="F539" s="181"/>
      <c r="G539" s="205"/>
      <c r="H539" s="205"/>
      <c r="I539" s="205"/>
      <c r="J539" s="205"/>
      <c r="K539" s="205"/>
      <c r="L539" s="205"/>
      <c r="M539" s="186"/>
      <c r="N539" s="186"/>
      <c r="O539" s="186"/>
      <c r="P539" s="186"/>
      <c r="Q539" s="186"/>
      <c r="R539" s="186"/>
      <c r="S539" s="186"/>
      <c r="T539" s="186"/>
      <c r="U539" s="186"/>
      <c r="V539" s="186"/>
      <c r="W539" s="186"/>
      <c r="X539" s="186"/>
      <c r="Y539" s="186"/>
      <c r="Z539" s="186"/>
      <c r="AA539" s="186"/>
      <c r="AB539" s="186"/>
      <c r="AC539" s="186"/>
      <c r="AD539" s="186"/>
      <c r="AE539" s="186"/>
    </row>
    <row r="540">
      <c r="A540" s="178"/>
      <c r="B540" s="36"/>
      <c r="C540" s="36"/>
      <c r="D540" s="197"/>
      <c r="E540" s="180"/>
      <c r="F540" s="181"/>
      <c r="G540" s="205"/>
      <c r="H540" s="205"/>
      <c r="I540" s="205"/>
      <c r="J540" s="205"/>
      <c r="K540" s="205"/>
      <c r="L540" s="205"/>
      <c r="M540" s="186"/>
      <c r="N540" s="186"/>
      <c r="O540" s="186"/>
      <c r="P540" s="186"/>
      <c r="Q540" s="186"/>
      <c r="R540" s="186"/>
      <c r="S540" s="186"/>
      <c r="T540" s="186"/>
      <c r="U540" s="186"/>
      <c r="V540" s="186"/>
      <c r="W540" s="186"/>
      <c r="X540" s="186"/>
      <c r="Y540" s="186"/>
      <c r="Z540" s="186"/>
      <c r="AA540" s="186"/>
      <c r="AB540" s="186"/>
      <c r="AC540" s="186"/>
      <c r="AD540" s="186"/>
      <c r="AE540" s="186"/>
    </row>
    <row r="541">
      <c r="A541" s="178"/>
      <c r="B541" s="36"/>
      <c r="C541" s="36"/>
      <c r="D541" s="197"/>
      <c r="E541" s="180"/>
      <c r="F541" s="181"/>
      <c r="G541" s="205"/>
      <c r="H541" s="205"/>
      <c r="I541" s="205"/>
      <c r="J541" s="205"/>
      <c r="K541" s="205"/>
      <c r="L541" s="205"/>
      <c r="M541" s="186"/>
      <c r="N541" s="186"/>
      <c r="O541" s="186"/>
      <c r="P541" s="186"/>
      <c r="Q541" s="186"/>
      <c r="R541" s="186"/>
      <c r="S541" s="186"/>
      <c r="T541" s="186"/>
      <c r="U541" s="186"/>
      <c r="V541" s="186"/>
      <c r="W541" s="186"/>
      <c r="X541" s="186"/>
      <c r="Y541" s="186"/>
      <c r="Z541" s="186"/>
      <c r="AA541" s="186"/>
      <c r="AB541" s="186"/>
      <c r="AC541" s="186"/>
      <c r="AD541" s="186"/>
      <c r="AE541" s="186"/>
    </row>
    <row r="542">
      <c r="A542" s="178"/>
      <c r="B542" s="36"/>
      <c r="C542" s="36"/>
      <c r="D542" s="197"/>
      <c r="E542" s="180"/>
      <c r="F542" s="181"/>
      <c r="G542" s="205"/>
      <c r="H542" s="205"/>
      <c r="I542" s="205"/>
      <c r="J542" s="205"/>
      <c r="K542" s="205"/>
      <c r="L542" s="205"/>
      <c r="M542" s="186"/>
      <c r="N542" s="186"/>
      <c r="O542" s="186"/>
      <c r="P542" s="186"/>
      <c r="Q542" s="186"/>
      <c r="R542" s="186"/>
      <c r="S542" s="186"/>
      <c r="T542" s="186"/>
      <c r="U542" s="186"/>
      <c r="V542" s="186"/>
      <c r="W542" s="186"/>
      <c r="X542" s="186"/>
      <c r="Y542" s="186"/>
      <c r="Z542" s="186"/>
      <c r="AA542" s="186"/>
      <c r="AB542" s="186"/>
      <c r="AC542" s="186"/>
      <c r="AD542" s="186"/>
      <c r="AE542" s="186"/>
    </row>
    <row r="543">
      <c r="A543" s="178"/>
      <c r="B543" s="36"/>
      <c r="C543" s="36"/>
      <c r="D543" s="197"/>
      <c r="E543" s="180"/>
      <c r="F543" s="181"/>
      <c r="G543" s="205"/>
      <c r="H543" s="205"/>
      <c r="I543" s="205"/>
      <c r="J543" s="205"/>
      <c r="K543" s="205"/>
      <c r="L543" s="205"/>
      <c r="M543" s="186"/>
      <c r="N543" s="186"/>
      <c r="O543" s="186"/>
      <c r="P543" s="186"/>
      <c r="Q543" s="186"/>
      <c r="R543" s="186"/>
      <c r="S543" s="186"/>
      <c r="T543" s="186"/>
      <c r="U543" s="186"/>
      <c r="V543" s="186"/>
      <c r="W543" s="186"/>
      <c r="X543" s="186"/>
      <c r="Y543" s="186"/>
      <c r="Z543" s="186"/>
      <c r="AA543" s="186"/>
      <c r="AB543" s="186"/>
      <c r="AC543" s="186"/>
      <c r="AD543" s="186"/>
      <c r="AE543" s="186"/>
    </row>
    <row r="544">
      <c r="A544" s="178"/>
      <c r="B544" s="36"/>
      <c r="C544" s="36"/>
      <c r="D544" s="197"/>
      <c r="E544" s="180"/>
      <c r="F544" s="181"/>
      <c r="G544" s="205"/>
      <c r="H544" s="205"/>
      <c r="I544" s="205"/>
      <c r="J544" s="205"/>
      <c r="K544" s="205"/>
      <c r="L544" s="205"/>
      <c r="M544" s="186"/>
      <c r="N544" s="186"/>
      <c r="O544" s="186"/>
      <c r="P544" s="186"/>
      <c r="Q544" s="186"/>
      <c r="R544" s="186"/>
      <c r="S544" s="186"/>
      <c r="T544" s="186"/>
      <c r="U544" s="186"/>
      <c r="V544" s="186"/>
      <c r="W544" s="186"/>
      <c r="X544" s="186"/>
      <c r="Y544" s="186"/>
      <c r="Z544" s="186"/>
      <c r="AA544" s="186"/>
      <c r="AB544" s="186"/>
      <c r="AC544" s="186"/>
      <c r="AD544" s="186"/>
      <c r="AE544" s="186"/>
    </row>
    <row r="545">
      <c r="A545" s="178"/>
      <c r="B545" s="36"/>
      <c r="C545" s="36"/>
      <c r="D545" s="197"/>
      <c r="E545" s="180"/>
      <c r="F545" s="181"/>
      <c r="G545" s="205"/>
      <c r="H545" s="205"/>
      <c r="I545" s="205"/>
      <c r="J545" s="205"/>
      <c r="K545" s="205"/>
      <c r="L545" s="205"/>
      <c r="M545" s="186"/>
      <c r="N545" s="186"/>
      <c r="O545" s="186"/>
      <c r="P545" s="186"/>
      <c r="Q545" s="186"/>
      <c r="R545" s="186"/>
      <c r="S545" s="186"/>
      <c r="T545" s="186"/>
      <c r="U545" s="186"/>
      <c r="V545" s="186"/>
      <c r="W545" s="186"/>
      <c r="X545" s="186"/>
      <c r="Y545" s="186"/>
      <c r="Z545" s="186"/>
      <c r="AA545" s="186"/>
      <c r="AB545" s="186"/>
      <c r="AC545" s="186"/>
      <c r="AD545" s="186"/>
      <c r="AE545" s="186"/>
    </row>
    <row r="546">
      <c r="A546" s="178"/>
      <c r="B546" s="36"/>
      <c r="C546" s="36"/>
      <c r="D546" s="197"/>
      <c r="E546" s="180"/>
      <c r="F546" s="181"/>
      <c r="G546" s="205"/>
      <c r="H546" s="205"/>
      <c r="I546" s="205"/>
      <c r="J546" s="205"/>
      <c r="K546" s="205"/>
      <c r="L546" s="205"/>
      <c r="M546" s="186"/>
      <c r="N546" s="186"/>
      <c r="O546" s="186"/>
      <c r="P546" s="186"/>
      <c r="Q546" s="186"/>
      <c r="R546" s="186"/>
      <c r="S546" s="186"/>
      <c r="T546" s="186"/>
      <c r="U546" s="186"/>
      <c r="V546" s="186"/>
      <c r="W546" s="186"/>
      <c r="X546" s="186"/>
      <c r="Y546" s="186"/>
      <c r="Z546" s="186"/>
      <c r="AA546" s="186"/>
      <c r="AB546" s="186"/>
      <c r="AC546" s="186"/>
      <c r="AD546" s="186"/>
      <c r="AE546" s="186"/>
    </row>
    <row r="547">
      <c r="A547" s="178"/>
      <c r="B547" s="36"/>
      <c r="C547" s="36"/>
      <c r="D547" s="197"/>
      <c r="E547" s="180"/>
      <c r="F547" s="181"/>
      <c r="G547" s="205"/>
      <c r="H547" s="205"/>
      <c r="I547" s="205"/>
      <c r="J547" s="205"/>
      <c r="K547" s="205"/>
      <c r="L547" s="205"/>
      <c r="M547" s="186"/>
      <c r="N547" s="186"/>
      <c r="O547" s="186"/>
      <c r="P547" s="186"/>
      <c r="Q547" s="186"/>
      <c r="R547" s="186"/>
      <c r="S547" s="186"/>
      <c r="T547" s="186"/>
      <c r="U547" s="186"/>
      <c r="V547" s="186"/>
      <c r="W547" s="186"/>
      <c r="X547" s="186"/>
      <c r="Y547" s="186"/>
      <c r="Z547" s="186"/>
      <c r="AA547" s="186"/>
      <c r="AB547" s="186"/>
      <c r="AC547" s="186"/>
      <c r="AD547" s="186"/>
      <c r="AE547" s="186"/>
    </row>
    <row r="548">
      <c r="A548" s="178"/>
      <c r="B548" s="36"/>
      <c r="C548" s="36"/>
      <c r="D548" s="197"/>
      <c r="E548" s="180"/>
      <c r="F548" s="181"/>
      <c r="G548" s="205"/>
      <c r="H548" s="205"/>
      <c r="I548" s="205"/>
      <c r="J548" s="205"/>
      <c r="K548" s="205"/>
      <c r="L548" s="205"/>
      <c r="M548" s="186"/>
      <c r="N548" s="186"/>
      <c r="O548" s="186"/>
      <c r="P548" s="186"/>
      <c r="Q548" s="186"/>
      <c r="R548" s="186"/>
      <c r="S548" s="186"/>
      <c r="T548" s="186"/>
      <c r="U548" s="186"/>
      <c r="V548" s="186"/>
      <c r="W548" s="186"/>
      <c r="X548" s="186"/>
      <c r="Y548" s="186"/>
      <c r="Z548" s="186"/>
      <c r="AA548" s="186"/>
      <c r="AB548" s="186"/>
      <c r="AC548" s="186"/>
      <c r="AD548" s="186"/>
      <c r="AE548" s="186"/>
    </row>
    <row r="549">
      <c r="A549" s="178"/>
      <c r="B549" s="36"/>
      <c r="C549" s="36"/>
      <c r="D549" s="197"/>
      <c r="E549" s="180"/>
      <c r="F549" s="181"/>
      <c r="G549" s="205"/>
      <c r="H549" s="205"/>
      <c r="I549" s="205"/>
      <c r="J549" s="205"/>
      <c r="K549" s="205"/>
      <c r="L549" s="205"/>
      <c r="M549" s="186"/>
      <c r="N549" s="186"/>
      <c r="O549" s="186"/>
      <c r="P549" s="186"/>
      <c r="Q549" s="186"/>
      <c r="R549" s="186"/>
      <c r="S549" s="186"/>
      <c r="T549" s="186"/>
      <c r="U549" s="186"/>
      <c r="V549" s="186"/>
      <c r="W549" s="186"/>
      <c r="X549" s="186"/>
      <c r="Y549" s="186"/>
      <c r="Z549" s="186"/>
      <c r="AA549" s="186"/>
      <c r="AB549" s="186"/>
      <c r="AC549" s="186"/>
      <c r="AD549" s="186"/>
      <c r="AE549" s="186"/>
    </row>
    <row r="550">
      <c r="A550" s="178"/>
      <c r="B550" s="36"/>
      <c r="C550" s="36"/>
      <c r="D550" s="197"/>
      <c r="E550" s="180"/>
      <c r="F550" s="181"/>
      <c r="G550" s="205"/>
      <c r="H550" s="205"/>
      <c r="I550" s="205"/>
      <c r="J550" s="205"/>
      <c r="K550" s="205"/>
      <c r="L550" s="205"/>
      <c r="M550" s="186"/>
      <c r="N550" s="186"/>
      <c r="O550" s="186"/>
      <c r="P550" s="186"/>
      <c r="Q550" s="186"/>
      <c r="R550" s="186"/>
      <c r="S550" s="186"/>
      <c r="T550" s="186"/>
      <c r="U550" s="186"/>
      <c r="V550" s="186"/>
      <c r="W550" s="186"/>
      <c r="X550" s="186"/>
      <c r="Y550" s="186"/>
      <c r="Z550" s="186"/>
      <c r="AA550" s="186"/>
      <c r="AB550" s="186"/>
      <c r="AC550" s="186"/>
      <c r="AD550" s="186"/>
      <c r="AE550" s="186"/>
    </row>
    <row r="551">
      <c r="A551" s="178"/>
      <c r="B551" s="36"/>
      <c r="C551" s="36"/>
      <c r="D551" s="197"/>
      <c r="E551" s="180"/>
      <c r="F551" s="181"/>
      <c r="G551" s="205"/>
      <c r="H551" s="205"/>
      <c r="I551" s="205"/>
      <c r="J551" s="205"/>
      <c r="K551" s="205"/>
      <c r="L551" s="205"/>
      <c r="M551" s="186"/>
      <c r="N551" s="186"/>
      <c r="O551" s="186"/>
      <c r="P551" s="186"/>
      <c r="Q551" s="186"/>
      <c r="R551" s="186"/>
      <c r="S551" s="186"/>
      <c r="T551" s="186"/>
      <c r="U551" s="186"/>
      <c r="V551" s="186"/>
      <c r="W551" s="186"/>
      <c r="X551" s="186"/>
      <c r="Y551" s="186"/>
      <c r="Z551" s="186"/>
      <c r="AA551" s="186"/>
      <c r="AB551" s="186"/>
      <c r="AC551" s="186"/>
      <c r="AD551" s="186"/>
      <c r="AE551" s="186"/>
    </row>
    <row r="552">
      <c r="A552" s="178"/>
      <c r="B552" s="36"/>
      <c r="C552" s="36"/>
      <c r="D552" s="197"/>
      <c r="E552" s="180"/>
      <c r="F552" s="181"/>
      <c r="G552" s="205"/>
      <c r="H552" s="205"/>
      <c r="I552" s="205"/>
      <c r="J552" s="205"/>
      <c r="K552" s="205"/>
      <c r="L552" s="205"/>
      <c r="M552" s="186"/>
      <c r="N552" s="186"/>
      <c r="O552" s="186"/>
      <c r="P552" s="186"/>
      <c r="Q552" s="186"/>
      <c r="R552" s="186"/>
      <c r="S552" s="186"/>
      <c r="T552" s="186"/>
      <c r="U552" s="186"/>
      <c r="V552" s="186"/>
      <c r="W552" s="186"/>
      <c r="X552" s="186"/>
      <c r="Y552" s="186"/>
      <c r="Z552" s="186"/>
      <c r="AA552" s="186"/>
      <c r="AB552" s="186"/>
      <c r="AC552" s="186"/>
      <c r="AD552" s="186"/>
      <c r="AE552" s="186"/>
    </row>
    <row r="553">
      <c r="A553" s="178"/>
      <c r="B553" s="36"/>
      <c r="C553" s="36"/>
      <c r="D553" s="197"/>
      <c r="E553" s="180"/>
      <c r="F553" s="181"/>
      <c r="G553" s="205"/>
      <c r="H553" s="205"/>
      <c r="I553" s="205"/>
      <c r="J553" s="205"/>
      <c r="K553" s="205"/>
      <c r="L553" s="205"/>
      <c r="M553" s="186"/>
      <c r="N553" s="186"/>
      <c r="O553" s="186"/>
      <c r="P553" s="186"/>
      <c r="Q553" s="186"/>
      <c r="R553" s="186"/>
      <c r="S553" s="186"/>
      <c r="T553" s="186"/>
      <c r="U553" s="186"/>
      <c r="V553" s="186"/>
      <c r="W553" s="186"/>
      <c r="X553" s="186"/>
      <c r="Y553" s="186"/>
      <c r="Z553" s="186"/>
      <c r="AA553" s="186"/>
      <c r="AB553" s="186"/>
      <c r="AC553" s="186"/>
      <c r="AD553" s="186"/>
      <c r="AE553" s="186"/>
    </row>
    <row r="554">
      <c r="A554" s="178"/>
      <c r="B554" s="36"/>
      <c r="C554" s="36"/>
      <c r="D554" s="197"/>
      <c r="E554" s="180"/>
      <c r="F554" s="181"/>
      <c r="G554" s="205"/>
      <c r="H554" s="205"/>
      <c r="I554" s="205"/>
      <c r="J554" s="205"/>
      <c r="K554" s="205"/>
      <c r="L554" s="205"/>
      <c r="M554" s="186"/>
      <c r="N554" s="186"/>
      <c r="O554" s="186"/>
      <c r="P554" s="186"/>
      <c r="Q554" s="186"/>
      <c r="R554" s="186"/>
      <c r="S554" s="186"/>
      <c r="T554" s="186"/>
      <c r="U554" s="186"/>
      <c r="V554" s="186"/>
      <c r="W554" s="186"/>
      <c r="X554" s="186"/>
      <c r="Y554" s="186"/>
      <c r="Z554" s="186"/>
      <c r="AA554" s="186"/>
      <c r="AB554" s="186"/>
      <c r="AC554" s="186"/>
      <c r="AD554" s="186"/>
      <c r="AE554" s="186"/>
    </row>
    <row r="555">
      <c r="A555" s="178"/>
      <c r="B555" s="36"/>
      <c r="C555" s="36"/>
      <c r="D555" s="197"/>
      <c r="E555" s="180"/>
      <c r="F555" s="181"/>
      <c r="G555" s="205"/>
      <c r="H555" s="205"/>
      <c r="I555" s="205"/>
      <c r="J555" s="205"/>
      <c r="K555" s="205"/>
      <c r="L555" s="205"/>
      <c r="M555" s="186"/>
      <c r="N555" s="186"/>
      <c r="O555" s="186"/>
      <c r="P555" s="186"/>
      <c r="Q555" s="186"/>
      <c r="R555" s="186"/>
      <c r="S555" s="186"/>
      <c r="T555" s="186"/>
      <c r="U555" s="186"/>
      <c r="V555" s="186"/>
      <c r="W555" s="186"/>
      <c r="X555" s="186"/>
      <c r="Y555" s="186"/>
      <c r="Z555" s="186"/>
      <c r="AA555" s="186"/>
      <c r="AB555" s="186"/>
      <c r="AC555" s="186"/>
      <c r="AD555" s="186"/>
      <c r="AE555" s="186"/>
    </row>
    <row r="556">
      <c r="A556" s="178"/>
      <c r="B556" s="36"/>
      <c r="C556" s="36"/>
      <c r="D556" s="197"/>
      <c r="E556" s="180"/>
      <c r="F556" s="181"/>
      <c r="G556" s="205"/>
      <c r="H556" s="205"/>
      <c r="I556" s="205"/>
      <c r="J556" s="205"/>
      <c r="K556" s="205"/>
      <c r="L556" s="205"/>
      <c r="M556" s="186"/>
      <c r="N556" s="186"/>
      <c r="O556" s="186"/>
      <c r="P556" s="186"/>
      <c r="Q556" s="186"/>
      <c r="R556" s="186"/>
      <c r="S556" s="186"/>
      <c r="T556" s="186"/>
      <c r="U556" s="186"/>
      <c r="V556" s="186"/>
      <c r="W556" s="186"/>
      <c r="X556" s="186"/>
      <c r="Y556" s="186"/>
      <c r="Z556" s="186"/>
      <c r="AA556" s="186"/>
      <c r="AB556" s="186"/>
      <c r="AC556" s="186"/>
      <c r="AD556" s="186"/>
      <c r="AE556" s="186"/>
    </row>
    <row r="557">
      <c r="A557" s="178"/>
      <c r="B557" s="36"/>
      <c r="C557" s="36"/>
      <c r="D557" s="197"/>
      <c r="E557" s="180"/>
      <c r="F557" s="181"/>
      <c r="G557" s="205"/>
      <c r="H557" s="205"/>
      <c r="I557" s="205"/>
      <c r="J557" s="205"/>
      <c r="K557" s="205"/>
      <c r="L557" s="205"/>
      <c r="M557" s="186"/>
      <c r="N557" s="186"/>
      <c r="O557" s="186"/>
      <c r="P557" s="186"/>
      <c r="Q557" s="186"/>
      <c r="R557" s="186"/>
      <c r="S557" s="186"/>
      <c r="T557" s="186"/>
      <c r="U557" s="186"/>
      <c r="V557" s="186"/>
      <c r="W557" s="186"/>
      <c r="X557" s="186"/>
      <c r="Y557" s="186"/>
      <c r="Z557" s="186"/>
      <c r="AA557" s="186"/>
      <c r="AB557" s="186"/>
      <c r="AC557" s="186"/>
      <c r="AD557" s="186"/>
      <c r="AE557" s="186"/>
    </row>
    <row r="558">
      <c r="A558" s="178"/>
      <c r="B558" s="36"/>
      <c r="C558" s="36"/>
      <c r="D558" s="197"/>
      <c r="E558" s="180"/>
      <c r="F558" s="181"/>
      <c r="G558" s="205"/>
      <c r="H558" s="205"/>
      <c r="I558" s="205"/>
      <c r="J558" s="205"/>
      <c r="K558" s="205"/>
      <c r="L558" s="205"/>
      <c r="M558" s="186"/>
      <c r="N558" s="186"/>
      <c r="O558" s="186"/>
      <c r="P558" s="186"/>
      <c r="Q558" s="186"/>
      <c r="R558" s="186"/>
      <c r="S558" s="186"/>
      <c r="T558" s="186"/>
      <c r="U558" s="186"/>
      <c r="V558" s="186"/>
      <c r="W558" s="186"/>
      <c r="X558" s="186"/>
      <c r="Y558" s="186"/>
      <c r="Z558" s="186"/>
      <c r="AA558" s="186"/>
      <c r="AB558" s="186"/>
      <c r="AC558" s="186"/>
      <c r="AD558" s="186"/>
      <c r="AE558" s="186"/>
    </row>
    <row r="559">
      <c r="A559" s="178"/>
      <c r="B559" s="36"/>
      <c r="C559" s="36"/>
      <c r="D559" s="197"/>
      <c r="E559" s="180"/>
      <c r="F559" s="181"/>
      <c r="G559" s="205"/>
      <c r="H559" s="205"/>
      <c r="I559" s="205"/>
      <c r="J559" s="205"/>
      <c r="K559" s="205"/>
      <c r="L559" s="205"/>
      <c r="M559" s="186"/>
      <c r="N559" s="186"/>
      <c r="O559" s="186"/>
      <c r="P559" s="186"/>
      <c r="Q559" s="186"/>
      <c r="R559" s="186"/>
      <c r="S559" s="186"/>
      <c r="T559" s="186"/>
      <c r="U559" s="186"/>
      <c r="V559" s="186"/>
      <c r="W559" s="186"/>
      <c r="X559" s="186"/>
      <c r="Y559" s="186"/>
      <c r="Z559" s="186"/>
      <c r="AA559" s="186"/>
      <c r="AB559" s="186"/>
      <c r="AC559" s="186"/>
      <c r="AD559" s="186"/>
      <c r="AE559" s="186"/>
    </row>
    <row r="560">
      <c r="A560" s="178"/>
      <c r="B560" s="36"/>
      <c r="C560" s="36"/>
      <c r="D560" s="197"/>
      <c r="E560" s="180"/>
      <c r="F560" s="181"/>
      <c r="G560" s="205"/>
      <c r="H560" s="205"/>
      <c r="I560" s="205"/>
      <c r="J560" s="205"/>
      <c r="K560" s="205"/>
      <c r="L560" s="205"/>
      <c r="M560" s="186"/>
      <c r="N560" s="186"/>
      <c r="O560" s="186"/>
      <c r="P560" s="186"/>
      <c r="Q560" s="186"/>
      <c r="R560" s="186"/>
      <c r="S560" s="186"/>
      <c r="T560" s="186"/>
      <c r="U560" s="186"/>
      <c r="V560" s="186"/>
      <c r="W560" s="186"/>
      <c r="X560" s="186"/>
      <c r="Y560" s="186"/>
      <c r="Z560" s="186"/>
      <c r="AA560" s="186"/>
      <c r="AB560" s="186"/>
      <c r="AC560" s="186"/>
      <c r="AD560" s="186"/>
      <c r="AE560" s="186"/>
    </row>
    <row r="561">
      <c r="A561" s="178"/>
      <c r="B561" s="36"/>
      <c r="C561" s="36"/>
      <c r="D561" s="197"/>
      <c r="E561" s="180"/>
      <c r="F561" s="181"/>
      <c r="G561" s="205"/>
      <c r="H561" s="205"/>
      <c r="I561" s="205"/>
      <c r="J561" s="205"/>
      <c r="K561" s="205"/>
      <c r="L561" s="205"/>
      <c r="M561" s="186"/>
      <c r="N561" s="186"/>
      <c r="O561" s="186"/>
      <c r="P561" s="186"/>
      <c r="Q561" s="186"/>
      <c r="R561" s="186"/>
      <c r="S561" s="186"/>
      <c r="T561" s="186"/>
      <c r="U561" s="186"/>
      <c r="V561" s="186"/>
      <c r="W561" s="186"/>
      <c r="X561" s="186"/>
      <c r="Y561" s="186"/>
      <c r="Z561" s="186"/>
      <c r="AA561" s="186"/>
      <c r="AB561" s="186"/>
      <c r="AC561" s="186"/>
      <c r="AD561" s="186"/>
      <c r="AE561" s="186"/>
    </row>
    <row r="562">
      <c r="A562" s="178"/>
      <c r="B562" s="36"/>
      <c r="C562" s="36"/>
      <c r="D562" s="197"/>
      <c r="E562" s="180"/>
      <c r="F562" s="181"/>
      <c r="G562" s="205"/>
      <c r="H562" s="205"/>
      <c r="I562" s="205"/>
      <c r="J562" s="205"/>
      <c r="K562" s="205"/>
      <c r="L562" s="205"/>
      <c r="M562" s="186"/>
      <c r="N562" s="186"/>
      <c r="O562" s="186"/>
      <c r="P562" s="186"/>
      <c r="Q562" s="186"/>
      <c r="R562" s="186"/>
      <c r="S562" s="186"/>
      <c r="T562" s="186"/>
      <c r="U562" s="186"/>
      <c r="V562" s="186"/>
      <c r="W562" s="186"/>
      <c r="X562" s="186"/>
      <c r="Y562" s="186"/>
      <c r="Z562" s="186"/>
      <c r="AA562" s="186"/>
      <c r="AB562" s="186"/>
      <c r="AC562" s="186"/>
      <c r="AD562" s="186"/>
      <c r="AE562" s="186"/>
    </row>
    <row r="563">
      <c r="A563" s="178"/>
      <c r="B563" s="36"/>
      <c r="C563" s="36"/>
      <c r="D563" s="197"/>
      <c r="E563" s="180"/>
      <c r="F563" s="181"/>
      <c r="G563" s="205"/>
      <c r="H563" s="205"/>
      <c r="I563" s="205"/>
      <c r="J563" s="205"/>
      <c r="K563" s="205"/>
      <c r="L563" s="205"/>
      <c r="M563" s="186"/>
      <c r="N563" s="186"/>
      <c r="O563" s="186"/>
      <c r="P563" s="186"/>
      <c r="Q563" s="186"/>
      <c r="R563" s="186"/>
      <c r="S563" s="186"/>
      <c r="T563" s="186"/>
      <c r="U563" s="186"/>
      <c r="V563" s="186"/>
      <c r="W563" s="186"/>
      <c r="X563" s="186"/>
      <c r="Y563" s="186"/>
      <c r="Z563" s="186"/>
      <c r="AA563" s="186"/>
      <c r="AB563" s="186"/>
      <c r="AC563" s="186"/>
      <c r="AD563" s="186"/>
      <c r="AE563" s="186"/>
    </row>
    <row r="564">
      <c r="A564" s="178"/>
      <c r="B564" s="36"/>
      <c r="C564" s="36"/>
      <c r="D564" s="197"/>
      <c r="E564" s="180"/>
      <c r="F564" s="181"/>
      <c r="G564" s="205"/>
      <c r="H564" s="205"/>
      <c r="I564" s="205"/>
      <c r="J564" s="205"/>
      <c r="K564" s="205"/>
      <c r="L564" s="205"/>
      <c r="M564" s="186"/>
      <c r="N564" s="186"/>
      <c r="O564" s="186"/>
      <c r="P564" s="186"/>
      <c r="Q564" s="186"/>
      <c r="R564" s="186"/>
      <c r="S564" s="186"/>
      <c r="T564" s="186"/>
      <c r="U564" s="186"/>
      <c r="V564" s="186"/>
      <c r="W564" s="186"/>
      <c r="X564" s="186"/>
      <c r="Y564" s="186"/>
      <c r="Z564" s="186"/>
      <c r="AA564" s="186"/>
      <c r="AB564" s="186"/>
      <c r="AC564" s="186"/>
      <c r="AD564" s="186"/>
      <c r="AE564" s="186"/>
    </row>
    <row r="565">
      <c r="A565" s="178"/>
      <c r="B565" s="36"/>
      <c r="C565" s="36"/>
      <c r="D565" s="197"/>
      <c r="E565" s="180"/>
      <c r="F565" s="181"/>
      <c r="G565" s="205"/>
      <c r="H565" s="205"/>
      <c r="I565" s="205"/>
      <c r="J565" s="205"/>
      <c r="K565" s="205"/>
      <c r="L565" s="205"/>
      <c r="M565" s="186"/>
      <c r="N565" s="186"/>
      <c r="O565" s="186"/>
      <c r="P565" s="186"/>
      <c r="Q565" s="186"/>
      <c r="R565" s="186"/>
      <c r="S565" s="186"/>
      <c r="T565" s="186"/>
      <c r="U565" s="186"/>
      <c r="V565" s="186"/>
      <c r="W565" s="186"/>
      <c r="X565" s="186"/>
      <c r="Y565" s="186"/>
      <c r="Z565" s="186"/>
      <c r="AA565" s="186"/>
      <c r="AB565" s="186"/>
      <c r="AC565" s="186"/>
      <c r="AD565" s="186"/>
      <c r="AE565" s="186"/>
    </row>
    <row r="566">
      <c r="A566" s="178"/>
      <c r="B566" s="36"/>
      <c r="C566" s="36"/>
      <c r="D566" s="197"/>
      <c r="E566" s="180"/>
      <c r="F566" s="181"/>
      <c r="G566" s="205"/>
      <c r="H566" s="205"/>
      <c r="I566" s="205"/>
      <c r="J566" s="205"/>
      <c r="K566" s="205"/>
      <c r="L566" s="205"/>
      <c r="M566" s="186"/>
      <c r="N566" s="186"/>
      <c r="O566" s="186"/>
      <c r="P566" s="186"/>
      <c r="Q566" s="186"/>
      <c r="R566" s="186"/>
      <c r="S566" s="186"/>
      <c r="T566" s="186"/>
      <c r="U566" s="186"/>
      <c r="V566" s="186"/>
      <c r="W566" s="186"/>
      <c r="X566" s="186"/>
      <c r="Y566" s="186"/>
      <c r="Z566" s="186"/>
      <c r="AA566" s="186"/>
      <c r="AB566" s="186"/>
      <c r="AC566" s="186"/>
      <c r="AD566" s="186"/>
      <c r="AE566" s="186"/>
    </row>
    <row r="567">
      <c r="A567" s="178"/>
      <c r="B567" s="36"/>
      <c r="C567" s="36"/>
      <c r="D567" s="197"/>
      <c r="E567" s="180"/>
      <c r="F567" s="181"/>
      <c r="G567" s="205"/>
      <c r="H567" s="205"/>
      <c r="I567" s="205"/>
      <c r="J567" s="205"/>
      <c r="K567" s="205"/>
      <c r="L567" s="205"/>
      <c r="M567" s="186"/>
      <c r="N567" s="186"/>
      <c r="O567" s="186"/>
      <c r="P567" s="186"/>
      <c r="Q567" s="186"/>
      <c r="R567" s="186"/>
      <c r="S567" s="186"/>
      <c r="T567" s="186"/>
      <c r="U567" s="186"/>
      <c r="V567" s="186"/>
      <c r="W567" s="186"/>
      <c r="X567" s="186"/>
      <c r="Y567" s="186"/>
      <c r="Z567" s="186"/>
      <c r="AA567" s="186"/>
      <c r="AB567" s="186"/>
      <c r="AC567" s="186"/>
      <c r="AD567" s="186"/>
      <c r="AE567" s="186"/>
    </row>
    <row r="568">
      <c r="A568" s="178"/>
      <c r="B568" s="36"/>
      <c r="C568" s="36"/>
      <c r="D568" s="197"/>
      <c r="E568" s="180"/>
      <c r="F568" s="181"/>
      <c r="G568" s="205"/>
      <c r="H568" s="205"/>
      <c r="I568" s="205"/>
      <c r="J568" s="205"/>
      <c r="K568" s="205"/>
      <c r="L568" s="205"/>
      <c r="M568" s="186"/>
      <c r="N568" s="186"/>
      <c r="O568" s="186"/>
      <c r="P568" s="186"/>
      <c r="Q568" s="186"/>
      <c r="R568" s="186"/>
      <c r="S568" s="186"/>
      <c r="T568" s="186"/>
      <c r="U568" s="186"/>
      <c r="V568" s="186"/>
      <c r="W568" s="186"/>
      <c r="X568" s="186"/>
      <c r="Y568" s="186"/>
      <c r="Z568" s="186"/>
      <c r="AA568" s="186"/>
      <c r="AB568" s="186"/>
      <c r="AC568" s="186"/>
      <c r="AD568" s="186"/>
      <c r="AE568" s="186"/>
    </row>
    <row r="569">
      <c r="A569" s="178"/>
      <c r="B569" s="36"/>
      <c r="C569" s="36"/>
      <c r="D569" s="197"/>
      <c r="E569" s="180"/>
      <c r="F569" s="181"/>
      <c r="G569" s="205"/>
      <c r="H569" s="205"/>
      <c r="I569" s="205"/>
      <c r="J569" s="205"/>
      <c r="K569" s="205"/>
      <c r="L569" s="205"/>
      <c r="M569" s="186"/>
      <c r="N569" s="186"/>
      <c r="O569" s="186"/>
      <c r="P569" s="186"/>
      <c r="Q569" s="186"/>
      <c r="R569" s="186"/>
      <c r="S569" s="186"/>
      <c r="T569" s="186"/>
      <c r="U569" s="186"/>
      <c r="V569" s="186"/>
      <c r="W569" s="186"/>
      <c r="X569" s="186"/>
      <c r="Y569" s="186"/>
      <c r="Z569" s="186"/>
      <c r="AA569" s="186"/>
      <c r="AB569" s="186"/>
      <c r="AC569" s="186"/>
      <c r="AD569" s="186"/>
      <c r="AE569" s="186"/>
    </row>
    <row r="570">
      <c r="A570" s="178"/>
      <c r="B570" s="36"/>
      <c r="C570" s="36"/>
      <c r="D570" s="197"/>
      <c r="E570" s="180"/>
      <c r="F570" s="181"/>
      <c r="G570" s="205"/>
      <c r="H570" s="205"/>
      <c r="I570" s="205"/>
      <c r="J570" s="205"/>
      <c r="K570" s="205"/>
      <c r="L570" s="205"/>
      <c r="M570" s="186"/>
      <c r="N570" s="186"/>
      <c r="O570" s="186"/>
      <c r="P570" s="186"/>
      <c r="Q570" s="186"/>
      <c r="R570" s="186"/>
      <c r="S570" s="186"/>
      <c r="T570" s="186"/>
      <c r="U570" s="186"/>
      <c r="V570" s="186"/>
      <c r="W570" s="186"/>
      <c r="X570" s="186"/>
      <c r="Y570" s="186"/>
      <c r="Z570" s="186"/>
      <c r="AA570" s="186"/>
      <c r="AB570" s="186"/>
      <c r="AC570" s="186"/>
      <c r="AD570" s="186"/>
      <c r="AE570" s="186"/>
    </row>
    <row r="571">
      <c r="A571" s="178"/>
      <c r="B571" s="36"/>
      <c r="C571" s="36"/>
      <c r="D571" s="197"/>
      <c r="E571" s="180"/>
      <c r="F571" s="181"/>
      <c r="G571" s="205"/>
      <c r="H571" s="205"/>
      <c r="I571" s="205"/>
      <c r="J571" s="205"/>
      <c r="K571" s="205"/>
      <c r="L571" s="205"/>
      <c r="M571" s="186"/>
      <c r="N571" s="186"/>
      <c r="O571" s="186"/>
      <c r="P571" s="186"/>
      <c r="Q571" s="186"/>
      <c r="R571" s="186"/>
      <c r="S571" s="186"/>
      <c r="T571" s="186"/>
      <c r="U571" s="186"/>
      <c r="V571" s="186"/>
      <c r="W571" s="186"/>
      <c r="X571" s="186"/>
      <c r="Y571" s="186"/>
      <c r="Z571" s="186"/>
      <c r="AA571" s="186"/>
      <c r="AB571" s="186"/>
      <c r="AC571" s="186"/>
      <c r="AD571" s="186"/>
      <c r="AE571" s="186"/>
    </row>
    <row r="572">
      <c r="A572" s="178"/>
      <c r="B572" s="36"/>
      <c r="C572" s="36"/>
      <c r="D572" s="197"/>
      <c r="E572" s="180"/>
      <c r="F572" s="181"/>
      <c r="G572" s="205"/>
      <c r="H572" s="205"/>
      <c r="I572" s="205"/>
      <c r="J572" s="205"/>
      <c r="K572" s="205"/>
      <c r="L572" s="205"/>
      <c r="M572" s="186"/>
      <c r="N572" s="186"/>
      <c r="O572" s="186"/>
      <c r="P572" s="186"/>
      <c r="Q572" s="186"/>
      <c r="R572" s="186"/>
      <c r="S572" s="186"/>
      <c r="T572" s="186"/>
      <c r="U572" s="186"/>
      <c r="V572" s="186"/>
      <c r="W572" s="186"/>
      <c r="X572" s="186"/>
      <c r="Y572" s="186"/>
      <c r="Z572" s="186"/>
      <c r="AA572" s="186"/>
      <c r="AB572" s="186"/>
      <c r="AC572" s="186"/>
      <c r="AD572" s="186"/>
      <c r="AE572" s="186"/>
    </row>
    <row r="573">
      <c r="A573" s="178"/>
      <c r="B573" s="36"/>
      <c r="C573" s="36"/>
      <c r="D573" s="197"/>
      <c r="E573" s="180"/>
      <c r="F573" s="181"/>
      <c r="G573" s="205"/>
      <c r="H573" s="205"/>
      <c r="I573" s="205"/>
      <c r="J573" s="205"/>
      <c r="K573" s="205"/>
      <c r="L573" s="205"/>
      <c r="M573" s="186"/>
      <c r="N573" s="186"/>
      <c r="O573" s="186"/>
      <c r="P573" s="186"/>
      <c r="Q573" s="186"/>
      <c r="R573" s="186"/>
      <c r="S573" s="186"/>
      <c r="T573" s="186"/>
      <c r="U573" s="186"/>
      <c r="V573" s="186"/>
      <c r="W573" s="186"/>
      <c r="X573" s="186"/>
      <c r="Y573" s="186"/>
      <c r="Z573" s="186"/>
      <c r="AA573" s="186"/>
      <c r="AB573" s="186"/>
      <c r="AC573" s="186"/>
      <c r="AD573" s="186"/>
      <c r="AE573" s="186"/>
    </row>
    <row r="574">
      <c r="A574" s="178"/>
      <c r="B574" s="36"/>
      <c r="C574" s="36"/>
      <c r="D574" s="197"/>
      <c r="E574" s="180"/>
      <c r="F574" s="181"/>
      <c r="G574" s="205"/>
      <c r="H574" s="205"/>
      <c r="I574" s="205"/>
      <c r="J574" s="205"/>
      <c r="K574" s="205"/>
      <c r="L574" s="205"/>
      <c r="M574" s="186"/>
      <c r="N574" s="186"/>
      <c r="O574" s="186"/>
      <c r="P574" s="186"/>
      <c r="Q574" s="186"/>
      <c r="R574" s="186"/>
      <c r="S574" s="186"/>
      <c r="T574" s="186"/>
      <c r="U574" s="186"/>
      <c r="V574" s="186"/>
      <c r="W574" s="186"/>
      <c r="X574" s="186"/>
      <c r="Y574" s="186"/>
      <c r="Z574" s="186"/>
      <c r="AA574" s="186"/>
      <c r="AB574" s="186"/>
      <c r="AC574" s="186"/>
      <c r="AD574" s="186"/>
      <c r="AE574" s="186"/>
    </row>
    <row r="575">
      <c r="A575" s="178"/>
      <c r="B575" s="36"/>
      <c r="C575" s="36"/>
      <c r="D575" s="197"/>
      <c r="E575" s="180"/>
      <c r="F575" s="181"/>
      <c r="G575" s="205"/>
      <c r="H575" s="205"/>
      <c r="I575" s="205"/>
      <c r="J575" s="205"/>
      <c r="K575" s="205"/>
      <c r="L575" s="205"/>
      <c r="M575" s="186"/>
      <c r="N575" s="186"/>
      <c r="O575" s="186"/>
      <c r="P575" s="186"/>
      <c r="Q575" s="186"/>
      <c r="R575" s="186"/>
      <c r="S575" s="186"/>
      <c r="T575" s="186"/>
      <c r="U575" s="186"/>
      <c r="V575" s="186"/>
      <c r="W575" s="186"/>
      <c r="X575" s="186"/>
      <c r="Y575" s="186"/>
      <c r="Z575" s="186"/>
      <c r="AA575" s="186"/>
      <c r="AB575" s="186"/>
      <c r="AC575" s="186"/>
      <c r="AD575" s="186"/>
      <c r="AE575" s="186"/>
    </row>
    <row r="576">
      <c r="A576" s="178"/>
      <c r="B576" s="36"/>
      <c r="C576" s="36"/>
      <c r="D576" s="197"/>
      <c r="E576" s="180"/>
      <c r="F576" s="181"/>
      <c r="G576" s="205"/>
      <c r="H576" s="205"/>
      <c r="I576" s="205"/>
      <c r="J576" s="205"/>
      <c r="K576" s="205"/>
      <c r="L576" s="205"/>
      <c r="M576" s="186"/>
      <c r="N576" s="186"/>
      <c r="O576" s="186"/>
      <c r="P576" s="186"/>
      <c r="Q576" s="186"/>
      <c r="R576" s="186"/>
      <c r="S576" s="186"/>
      <c r="T576" s="186"/>
      <c r="U576" s="186"/>
      <c r="V576" s="186"/>
      <c r="W576" s="186"/>
      <c r="X576" s="186"/>
      <c r="Y576" s="186"/>
      <c r="Z576" s="186"/>
      <c r="AA576" s="186"/>
      <c r="AB576" s="186"/>
      <c r="AC576" s="186"/>
      <c r="AD576" s="186"/>
      <c r="AE576" s="186"/>
    </row>
    <row r="577">
      <c r="A577" s="178"/>
      <c r="B577" s="36"/>
      <c r="C577" s="36"/>
      <c r="D577" s="197"/>
      <c r="E577" s="180"/>
      <c r="F577" s="181"/>
      <c r="G577" s="205"/>
      <c r="H577" s="205"/>
      <c r="I577" s="205"/>
      <c r="J577" s="205"/>
      <c r="K577" s="205"/>
      <c r="L577" s="205"/>
      <c r="M577" s="186"/>
      <c r="N577" s="186"/>
      <c r="O577" s="186"/>
      <c r="P577" s="186"/>
      <c r="Q577" s="186"/>
      <c r="R577" s="186"/>
      <c r="S577" s="186"/>
      <c r="T577" s="186"/>
      <c r="U577" s="186"/>
      <c r="V577" s="186"/>
      <c r="W577" s="186"/>
      <c r="X577" s="186"/>
      <c r="Y577" s="186"/>
      <c r="Z577" s="186"/>
      <c r="AA577" s="186"/>
      <c r="AB577" s="186"/>
      <c r="AC577" s="186"/>
      <c r="AD577" s="186"/>
      <c r="AE577" s="186"/>
    </row>
    <row r="578">
      <c r="A578" s="178"/>
      <c r="B578" s="36"/>
      <c r="C578" s="36"/>
      <c r="D578" s="197"/>
      <c r="E578" s="180"/>
      <c r="F578" s="181"/>
      <c r="G578" s="205"/>
      <c r="H578" s="205"/>
      <c r="I578" s="205"/>
      <c r="J578" s="205"/>
      <c r="K578" s="205"/>
      <c r="L578" s="205"/>
      <c r="M578" s="186"/>
      <c r="N578" s="186"/>
      <c r="O578" s="186"/>
      <c r="P578" s="186"/>
      <c r="Q578" s="186"/>
      <c r="R578" s="186"/>
      <c r="S578" s="186"/>
      <c r="T578" s="186"/>
      <c r="U578" s="186"/>
      <c r="V578" s="186"/>
      <c r="W578" s="186"/>
      <c r="X578" s="186"/>
      <c r="Y578" s="186"/>
      <c r="Z578" s="186"/>
      <c r="AA578" s="186"/>
      <c r="AB578" s="186"/>
      <c r="AC578" s="186"/>
      <c r="AD578" s="186"/>
      <c r="AE578" s="186"/>
    </row>
    <row r="579">
      <c r="A579" s="178"/>
      <c r="B579" s="36"/>
      <c r="C579" s="36"/>
      <c r="D579" s="197"/>
      <c r="E579" s="180"/>
      <c r="F579" s="181"/>
      <c r="G579" s="205"/>
      <c r="H579" s="205"/>
      <c r="I579" s="205"/>
      <c r="J579" s="205"/>
      <c r="K579" s="205"/>
      <c r="L579" s="205"/>
      <c r="M579" s="186"/>
      <c r="N579" s="186"/>
      <c r="O579" s="186"/>
      <c r="P579" s="186"/>
      <c r="Q579" s="186"/>
      <c r="R579" s="186"/>
      <c r="S579" s="186"/>
      <c r="T579" s="186"/>
      <c r="U579" s="186"/>
      <c r="V579" s="186"/>
      <c r="W579" s="186"/>
      <c r="X579" s="186"/>
      <c r="Y579" s="186"/>
      <c r="Z579" s="186"/>
      <c r="AA579" s="186"/>
      <c r="AB579" s="186"/>
      <c r="AC579" s="186"/>
      <c r="AD579" s="186"/>
      <c r="AE579" s="186"/>
    </row>
    <row r="580">
      <c r="A580" s="178"/>
      <c r="B580" s="36"/>
      <c r="C580" s="36"/>
      <c r="D580" s="197"/>
      <c r="E580" s="180"/>
      <c r="F580" s="181"/>
      <c r="G580" s="205"/>
      <c r="H580" s="205"/>
      <c r="I580" s="205"/>
      <c r="J580" s="205"/>
      <c r="K580" s="205"/>
      <c r="L580" s="205"/>
      <c r="M580" s="186"/>
      <c r="N580" s="186"/>
      <c r="O580" s="186"/>
      <c r="P580" s="186"/>
      <c r="Q580" s="186"/>
      <c r="R580" s="186"/>
      <c r="S580" s="186"/>
      <c r="T580" s="186"/>
      <c r="U580" s="186"/>
      <c r="V580" s="186"/>
      <c r="W580" s="186"/>
      <c r="X580" s="186"/>
      <c r="Y580" s="186"/>
      <c r="Z580" s="186"/>
      <c r="AA580" s="186"/>
      <c r="AB580" s="186"/>
      <c r="AC580" s="186"/>
      <c r="AD580" s="186"/>
      <c r="AE580" s="186"/>
    </row>
    <row r="581">
      <c r="A581" s="178"/>
      <c r="B581" s="36"/>
      <c r="C581" s="36"/>
      <c r="D581" s="197"/>
      <c r="E581" s="180"/>
      <c r="F581" s="181"/>
      <c r="G581" s="205"/>
      <c r="H581" s="205"/>
      <c r="I581" s="205"/>
      <c r="J581" s="205"/>
      <c r="K581" s="205"/>
      <c r="L581" s="205"/>
      <c r="M581" s="186"/>
      <c r="N581" s="186"/>
      <c r="O581" s="186"/>
      <c r="P581" s="186"/>
      <c r="Q581" s="186"/>
      <c r="R581" s="186"/>
      <c r="S581" s="186"/>
      <c r="T581" s="186"/>
      <c r="U581" s="186"/>
      <c r="V581" s="186"/>
      <c r="W581" s="186"/>
      <c r="X581" s="186"/>
      <c r="Y581" s="186"/>
      <c r="Z581" s="186"/>
      <c r="AA581" s="186"/>
      <c r="AB581" s="186"/>
      <c r="AC581" s="186"/>
      <c r="AD581" s="186"/>
      <c r="AE581" s="186"/>
    </row>
    <row r="582">
      <c r="A582" s="178"/>
      <c r="B582" s="36"/>
      <c r="C582" s="36"/>
      <c r="D582" s="197"/>
      <c r="E582" s="180"/>
      <c r="F582" s="181"/>
      <c r="G582" s="205"/>
      <c r="H582" s="205"/>
      <c r="I582" s="205"/>
      <c r="J582" s="205"/>
      <c r="K582" s="205"/>
      <c r="L582" s="205"/>
      <c r="M582" s="186"/>
      <c r="N582" s="186"/>
      <c r="O582" s="186"/>
      <c r="P582" s="186"/>
      <c r="Q582" s="186"/>
      <c r="R582" s="186"/>
      <c r="S582" s="186"/>
      <c r="T582" s="186"/>
      <c r="U582" s="186"/>
      <c r="V582" s="186"/>
      <c r="W582" s="186"/>
      <c r="X582" s="186"/>
      <c r="Y582" s="186"/>
      <c r="Z582" s="186"/>
      <c r="AA582" s="186"/>
      <c r="AB582" s="186"/>
      <c r="AC582" s="186"/>
      <c r="AD582" s="186"/>
      <c r="AE582" s="186"/>
    </row>
    <row r="583">
      <c r="A583" s="178"/>
      <c r="B583" s="36"/>
      <c r="C583" s="36"/>
      <c r="D583" s="197"/>
      <c r="E583" s="180"/>
      <c r="F583" s="181"/>
      <c r="G583" s="205"/>
      <c r="H583" s="205"/>
      <c r="I583" s="205"/>
      <c r="J583" s="205"/>
      <c r="K583" s="205"/>
      <c r="L583" s="205"/>
      <c r="M583" s="186"/>
      <c r="N583" s="186"/>
      <c r="O583" s="186"/>
      <c r="P583" s="186"/>
      <c r="Q583" s="186"/>
      <c r="R583" s="186"/>
      <c r="S583" s="186"/>
      <c r="T583" s="186"/>
      <c r="U583" s="186"/>
      <c r="V583" s="186"/>
      <c r="W583" s="186"/>
      <c r="X583" s="186"/>
      <c r="Y583" s="186"/>
      <c r="Z583" s="186"/>
      <c r="AA583" s="186"/>
      <c r="AB583" s="186"/>
      <c r="AC583" s="186"/>
      <c r="AD583" s="186"/>
      <c r="AE583" s="186"/>
    </row>
    <row r="584">
      <c r="A584" s="178"/>
      <c r="B584" s="36"/>
      <c r="C584" s="36"/>
      <c r="D584" s="197"/>
      <c r="E584" s="180"/>
      <c r="F584" s="181"/>
      <c r="G584" s="205"/>
      <c r="H584" s="205"/>
      <c r="I584" s="205"/>
      <c r="J584" s="205"/>
      <c r="K584" s="205"/>
      <c r="L584" s="205"/>
      <c r="M584" s="186"/>
      <c r="N584" s="186"/>
      <c r="O584" s="186"/>
      <c r="P584" s="186"/>
      <c r="Q584" s="186"/>
      <c r="R584" s="186"/>
      <c r="S584" s="186"/>
      <c r="T584" s="186"/>
      <c r="U584" s="186"/>
      <c r="V584" s="186"/>
      <c r="W584" s="186"/>
      <c r="X584" s="186"/>
      <c r="Y584" s="186"/>
      <c r="Z584" s="186"/>
      <c r="AA584" s="186"/>
      <c r="AB584" s="186"/>
      <c r="AC584" s="186"/>
      <c r="AD584" s="186"/>
      <c r="AE584" s="186"/>
    </row>
    <row r="585">
      <c r="A585" s="178"/>
      <c r="B585" s="36"/>
      <c r="C585" s="36"/>
      <c r="D585" s="197"/>
      <c r="E585" s="180"/>
      <c r="F585" s="181"/>
      <c r="G585" s="205"/>
      <c r="H585" s="205"/>
      <c r="I585" s="205"/>
      <c r="J585" s="205"/>
      <c r="K585" s="205"/>
      <c r="L585" s="205"/>
      <c r="M585" s="186"/>
      <c r="N585" s="186"/>
      <c r="O585" s="186"/>
      <c r="P585" s="186"/>
      <c r="Q585" s="186"/>
      <c r="R585" s="186"/>
      <c r="S585" s="186"/>
      <c r="T585" s="186"/>
      <c r="U585" s="186"/>
      <c r="V585" s="186"/>
      <c r="W585" s="186"/>
      <c r="X585" s="186"/>
      <c r="Y585" s="186"/>
      <c r="Z585" s="186"/>
      <c r="AA585" s="186"/>
      <c r="AB585" s="186"/>
      <c r="AC585" s="186"/>
      <c r="AD585" s="186"/>
      <c r="AE585" s="186"/>
    </row>
    <row r="586">
      <c r="A586" s="178"/>
      <c r="B586" s="36"/>
      <c r="C586" s="36"/>
      <c r="D586" s="197"/>
      <c r="E586" s="180"/>
      <c r="F586" s="181"/>
      <c r="G586" s="205"/>
      <c r="H586" s="205"/>
      <c r="I586" s="205"/>
      <c r="J586" s="205"/>
      <c r="K586" s="205"/>
      <c r="L586" s="205"/>
      <c r="M586" s="186"/>
      <c r="N586" s="186"/>
      <c r="O586" s="186"/>
      <c r="P586" s="186"/>
      <c r="Q586" s="186"/>
      <c r="R586" s="186"/>
      <c r="S586" s="186"/>
      <c r="T586" s="186"/>
      <c r="U586" s="186"/>
      <c r="V586" s="186"/>
      <c r="W586" s="186"/>
      <c r="X586" s="186"/>
      <c r="Y586" s="186"/>
      <c r="Z586" s="186"/>
      <c r="AA586" s="186"/>
      <c r="AB586" s="186"/>
      <c r="AC586" s="186"/>
      <c r="AD586" s="186"/>
      <c r="AE586" s="186"/>
    </row>
    <row r="587">
      <c r="A587" s="178"/>
      <c r="B587" s="36"/>
      <c r="C587" s="36"/>
      <c r="D587" s="197"/>
      <c r="E587" s="180"/>
      <c r="F587" s="181"/>
      <c r="G587" s="205"/>
      <c r="H587" s="205"/>
      <c r="I587" s="205"/>
      <c r="J587" s="205"/>
      <c r="K587" s="205"/>
      <c r="L587" s="205"/>
      <c r="M587" s="186"/>
      <c r="N587" s="186"/>
      <c r="O587" s="186"/>
      <c r="P587" s="186"/>
      <c r="Q587" s="186"/>
      <c r="R587" s="186"/>
      <c r="S587" s="186"/>
      <c r="T587" s="186"/>
      <c r="U587" s="186"/>
      <c r="V587" s="186"/>
      <c r="W587" s="186"/>
      <c r="X587" s="186"/>
      <c r="Y587" s="186"/>
      <c r="Z587" s="186"/>
      <c r="AA587" s="186"/>
      <c r="AB587" s="186"/>
      <c r="AC587" s="186"/>
      <c r="AD587" s="186"/>
      <c r="AE587" s="186"/>
    </row>
    <row r="588">
      <c r="A588" s="178"/>
      <c r="B588" s="36"/>
      <c r="C588" s="36"/>
      <c r="D588" s="197"/>
      <c r="E588" s="180"/>
      <c r="F588" s="181"/>
      <c r="G588" s="205"/>
      <c r="H588" s="205"/>
      <c r="I588" s="205"/>
      <c r="J588" s="205"/>
      <c r="K588" s="205"/>
      <c r="L588" s="205"/>
      <c r="M588" s="186"/>
      <c r="N588" s="186"/>
      <c r="O588" s="186"/>
      <c r="P588" s="186"/>
      <c r="Q588" s="186"/>
      <c r="R588" s="186"/>
      <c r="S588" s="186"/>
      <c r="T588" s="186"/>
      <c r="U588" s="186"/>
      <c r="V588" s="186"/>
      <c r="W588" s="186"/>
      <c r="X588" s="186"/>
      <c r="Y588" s="186"/>
      <c r="Z588" s="186"/>
      <c r="AA588" s="186"/>
      <c r="AB588" s="186"/>
      <c r="AC588" s="186"/>
      <c r="AD588" s="186"/>
      <c r="AE588" s="186"/>
    </row>
    <row r="589">
      <c r="A589" s="178"/>
      <c r="B589" s="36"/>
      <c r="C589" s="36"/>
      <c r="D589" s="197"/>
      <c r="E589" s="180"/>
      <c r="F589" s="181"/>
      <c r="G589" s="205"/>
      <c r="H589" s="205"/>
      <c r="I589" s="205"/>
      <c r="J589" s="205"/>
      <c r="K589" s="205"/>
      <c r="L589" s="205"/>
      <c r="M589" s="186"/>
      <c r="N589" s="186"/>
      <c r="O589" s="186"/>
      <c r="P589" s="186"/>
      <c r="Q589" s="186"/>
      <c r="R589" s="186"/>
      <c r="S589" s="186"/>
      <c r="T589" s="186"/>
      <c r="U589" s="186"/>
      <c r="V589" s="186"/>
      <c r="W589" s="186"/>
      <c r="X589" s="186"/>
      <c r="Y589" s="186"/>
      <c r="Z589" s="186"/>
      <c r="AA589" s="186"/>
      <c r="AB589" s="186"/>
      <c r="AC589" s="186"/>
      <c r="AD589" s="186"/>
      <c r="AE589" s="186"/>
    </row>
    <row r="590">
      <c r="A590" s="178"/>
      <c r="B590" s="36"/>
      <c r="C590" s="36"/>
      <c r="D590" s="197"/>
      <c r="E590" s="180"/>
      <c r="F590" s="181"/>
      <c r="G590" s="205"/>
      <c r="H590" s="205"/>
      <c r="I590" s="205"/>
      <c r="J590" s="205"/>
      <c r="K590" s="205"/>
      <c r="L590" s="205"/>
      <c r="M590" s="186"/>
      <c r="N590" s="186"/>
      <c r="O590" s="186"/>
      <c r="P590" s="186"/>
      <c r="Q590" s="186"/>
      <c r="R590" s="186"/>
      <c r="S590" s="186"/>
      <c r="T590" s="186"/>
      <c r="U590" s="186"/>
      <c r="V590" s="186"/>
      <c r="W590" s="186"/>
      <c r="X590" s="186"/>
      <c r="Y590" s="186"/>
      <c r="Z590" s="186"/>
      <c r="AA590" s="186"/>
      <c r="AB590" s="186"/>
      <c r="AC590" s="186"/>
      <c r="AD590" s="186"/>
      <c r="AE590" s="186"/>
    </row>
    <row r="591">
      <c r="A591" s="178"/>
      <c r="B591" s="36"/>
      <c r="C591" s="36"/>
      <c r="D591" s="197"/>
      <c r="E591" s="180"/>
      <c r="F591" s="181"/>
      <c r="G591" s="205"/>
      <c r="H591" s="205"/>
      <c r="I591" s="205"/>
      <c r="J591" s="205"/>
      <c r="K591" s="205"/>
      <c r="L591" s="205"/>
      <c r="M591" s="186"/>
      <c r="N591" s="186"/>
      <c r="O591" s="186"/>
      <c r="P591" s="186"/>
      <c r="Q591" s="186"/>
      <c r="R591" s="186"/>
      <c r="S591" s="186"/>
      <c r="T591" s="186"/>
      <c r="U591" s="186"/>
      <c r="V591" s="186"/>
      <c r="W591" s="186"/>
      <c r="X591" s="186"/>
      <c r="Y591" s="186"/>
      <c r="Z591" s="186"/>
      <c r="AA591" s="186"/>
      <c r="AB591" s="186"/>
      <c r="AC591" s="186"/>
      <c r="AD591" s="186"/>
      <c r="AE591" s="186"/>
    </row>
    <row r="592">
      <c r="A592" s="178"/>
      <c r="B592" s="36"/>
      <c r="C592" s="36"/>
      <c r="D592" s="197"/>
      <c r="E592" s="180"/>
      <c r="F592" s="181"/>
      <c r="G592" s="205"/>
      <c r="H592" s="205"/>
      <c r="I592" s="205"/>
      <c r="J592" s="205"/>
      <c r="K592" s="205"/>
      <c r="L592" s="205"/>
      <c r="M592" s="186"/>
      <c r="N592" s="186"/>
      <c r="O592" s="186"/>
      <c r="P592" s="186"/>
      <c r="Q592" s="186"/>
      <c r="R592" s="186"/>
      <c r="S592" s="186"/>
      <c r="T592" s="186"/>
      <c r="U592" s="186"/>
      <c r="V592" s="186"/>
      <c r="W592" s="186"/>
      <c r="X592" s="186"/>
      <c r="Y592" s="186"/>
      <c r="Z592" s="186"/>
      <c r="AA592" s="186"/>
      <c r="AB592" s="186"/>
      <c r="AC592" s="186"/>
      <c r="AD592" s="186"/>
      <c r="AE592" s="186"/>
    </row>
    <row r="593">
      <c r="A593" s="178"/>
      <c r="B593" s="36"/>
      <c r="C593" s="36"/>
      <c r="D593" s="197"/>
      <c r="E593" s="180"/>
      <c r="F593" s="181"/>
      <c r="G593" s="205"/>
      <c r="H593" s="205"/>
      <c r="I593" s="205"/>
      <c r="J593" s="205"/>
      <c r="K593" s="205"/>
      <c r="L593" s="205"/>
      <c r="M593" s="186"/>
      <c r="N593" s="186"/>
      <c r="O593" s="186"/>
      <c r="P593" s="186"/>
      <c r="Q593" s="186"/>
      <c r="R593" s="186"/>
      <c r="S593" s="186"/>
      <c r="T593" s="186"/>
      <c r="U593" s="186"/>
      <c r="V593" s="186"/>
      <c r="W593" s="186"/>
      <c r="X593" s="186"/>
      <c r="Y593" s="186"/>
      <c r="Z593" s="186"/>
      <c r="AA593" s="186"/>
      <c r="AB593" s="186"/>
      <c r="AC593" s="186"/>
      <c r="AD593" s="186"/>
      <c r="AE593" s="186"/>
    </row>
    <row r="594">
      <c r="A594" s="178"/>
      <c r="B594" s="36"/>
      <c r="C594" s="36"/>
      <c r="D594" s="197"/>
      <c r="E594" s="180"/>
      <c r="F594" s="181"/>
      <c r="G594" s="205"/>
      <c r="H594" s="205"/>
      <c r="I594" s="205"/>
      <c r="J594" s="205"/>
      <c r="K594" s="205"/>
      <c r="L594" s="205"/>
      <c r="M594" s="186"/>
      <c r="N594" s="186"/>
      <c r="O594" s="186"/>
      <c r="P594" s="186"/>
      <c r="Q594" s="186"/>
      <c r="R594" s="186"/>
      <c r="S594" s="186"/>
      <c r="T594" s="186"/>
      <c r="U594" s="186"/>
      <c r="V594" s="186"/>
      <c r="W594" s="186"/>
      <c r="X594" s="186"/>
      <c r="Y594" s="186"/>
      <c r="Z594" s="186"/>
      <c r="AA594" s="186"/>
      <c r="AB594" s="186"/>
      <c r="AC594" s="186"/>
      <c r="AD594" s="186"/>
      <c r="AE594" s="186"/>
    </row>
    <row r="595">
      <c r="A595" s="178"/>
      <c r="B595" s="36"/>
      <c r="C595" s="36"/>
      <c r="D595" s="197"/>
      <c r="E595" s="180"/>
      <c r="F595" s="181"/>
      <c r="G595" s="205"/>
      <c r="H595" s="205"/>
      <c r="I595" s="205"/>
      <c r="J595" s="205"/>
      <c r="K595" s="205"/>
      <c r="L595" s="205"/>
      <c r="M595" s="186"/>
      <c r="N595" s="186"/>
      <c r="O595" s="186"/>
      <c r="P595" s="186"/>
      <c r="Q595" s="186"/>
      <c r="R595" s="186"/>
      <c r="S595" s="186"/>
      <c r="T595" s="186"/>
      <c r="U595" s="186"/>
      <c r="V595" s="186"/>
      <c r="W595" s="186"/>
      <c r="X595" s="186"/>
      <c r="Y595" s="186"/>
      <c r="Z595" s="186"/>
      <c r="AA595" s="186"/>
      <c r="AB595" s="186"/>
      <c r="AC595" s="186"/>
      <c r="AD595" s="186"/>
      <c r="AE595" s="186"/>
    </row>
    <row r="596">
      <c r="A596" s="178"/>
      <c r="B596" s="36"/>
      <c r="C596" s="36"/>
      <c r="D596" s="197"/>
      <c r="E596" s="180"/>
      <c r="F596" s="181"/>
      <c r="G596" s="205"/>
      <c r="H596" s="205"/>
      <c r="I596" s="205"/>
      <c r="J596" s="205"/>
      <c r="K596" s="205"/>
      <c r="L596" s="205"/>
      <c r="M596" s="186"/>
      <c r="N596" s="186"/>
      <c r="O596" s="186"/>
      <c r="P596" s="186"/>
      <c r="Q596" s="186"/>
      <c r="R596" s="186"/>
      <c r="S596" s="186"/>
      <c r="T596" s="186"/>
      <c r="U596" s="186"/>
      <c r="V596" s="186"/>
      <c r="W596" s="186"/>
      <c r="X596" s="186"/>
      <c r="Y596" s="186"/>
      <c r="Z596" s="186"/>
      <c r="AA596" s="186"/>
      <c r="AB596" s="186"/>
      <c r="AC596" s="186"/>
      <c r="AD596" s="186"/>
      <c r="AE596" s="186"/>
    </row>
    <row r="597">
      <c r="A597" s="178"/>
      <c r="B597" s="36"/>
      <c r="C597" s="36"/>
      <c r="D597" s="197"/>
      <c r="E597" s="180"/>
      <c r="F597" s="181"/>
      <c r="G597" s="205"/>
      <c r="H597" s="205"/>
      <c r="I597" s="205"/>
      <c r="J597" s="205"/>
      <c r="K597" s="205"/>
      <c r="L597" s="205"/>
      <c r="M597" s="186"/>
      <c r="N597" s="186"/>
      <c r="O597" s="186"/>
      <c r="P597" s="186"/>
      <c r="Q597" s="186"/>
      <c r="R597" s="186"/>
      <c r="S597" s="186"/>
      <c r="T597" s="186"/>
      <c r="U597" s="186"/>
      <c r="V597" s="186"/>
      <c r="W597" s="186"/>
      <c r="X597" s="186"/>
      <c r="Y597" s="186"/>
      <c r="Z597" s="186"/>
      <c r="AA597" s="186"/>
      <c r="AB597" s="186"/>
      <c r="AC597" s="186"/>
      <c r="AD597" s="186"/>
      <c r="AE597" s="186"/>
    </row>
    <row r="598">
      <c r="A598" s="178"/>
      <c r="B598" s="36"/>
      <c r="C598" s="36"/>
      <c r="D598" s="197"/>
      <c r="E598" s="180"/>
      <c r="F598" s="181"/>
      <c r="G598" s="205"/>
      <c r="H598" s="205"/>
      <c r="I598" s="205"/>
      <c r="J598" s="205"/>
      <c r="K598" s="205"/>
      <c r="L598" s="205"/>
      <c r="M598" s="186"/>
      <c r="N598" s="186"/>
      <c r="O598" s="186"/>
      <c r="P598" s="186"/>
      <c r="Q598" s="186"/>
      <c r="R598" s="186"/>
      <c r="S598" s="186"/>
      <c r="T598" s="186"/>
      <c r="U598" s="186"/>
      <c r="V598" s="186"/>
      <c r="W598" s="186"/>
      <c r="X598" s="186"/>
      <c r="Y598" s="186"/>
      <c r="Z598" s="186"/>
      <c r="AA598" s="186"/>
      <c r="AB598" s="186"/>
      <c r="AC598" s="186"/>
      <c r="AD598" s="186"/>
      <c r="AE598" s="186"/>
    </row>
    <row r="599">
      <c r="A599" s="178"/>
      <c r="B599" s="36"/>
      <c r="C599" s="36"/>
      <c r="D599" s="197"/>
      <c r="E599" s="180"/>
      <c r="F599" s="181"/>
      <c r="G599" s="205"/>
      <c r="H599" s="205"/>
      <c r="I599" s="205"/>
      <c r="J599" s="205"/>
      <c r="K599" s="205"/>
      <c r="L599" s="205"/>
      <c r="M599" s="186"/>
      <c r="N599" s="186"/>
      <c r="O599" s="186"/>
      <c r="P599" s="186"/>
      <c r="Q599" s="186"/>
      <c r="R599" s="186"/>
      <c r="S599" s="186"/>
      <c r="T599" s="186"/>
      <c r="U599" s="186"/>
      <c r="V599" s="186"/>
      <c r="W599" s="186"/>
      <c r="X599" s="186"/>
      <c r="Y599" s="186"/>
      <c r="Z599" s="186"/>
      <c r="AA599" s="186"/>
      <c r="AB599" s="186"/>
      <c r="AC599" s="186"/>
      <c r="AD599" s="186"/>
      <c r="AE599" s="186"/>
    </row>
    <row r="600">
      <c r="A600" s="178"/>
      <c r="B600" s="36"/>
      <c r="C600" s="36"/>
      <c r="D600" s="197"/>
      <c r="E600" s="180"/>
      <c r="F600" s="181"/>
      <c r="G600" s="205"/>
      <c r="H600" s="205"/>
      <c r="I600" s="205"/>
      <c r="J600" s="205"/>
      <c r="K600" s="205"/>
      <c r="L600" s="205"/>
      <c r="M600" s="186"/>
      <c r="N600" s="186"/>
      <c r="O600" s="186"/>
      <c r="P600" s="186"/>
      <c r="Q600" s="186"/>
      <c r="R600" s="186"/>
      <c r="S600" s="186"/>
      <c r="T600" s="186"/>
      <c r="U600" s="186"/>
      <c r="V600" s="186"/>
      <c r="W600" s="186"/>
      <c r="X600" s="186"/>
      <c r="Y600" s="186"/>
      <c r="Z600" s="186"/>
      <c r="AA600" s="186"/>
      <c r="AB600" s="186"/>
      <c r="AC600" s="186"/>
      <c r="AD600" s="186"/>
      <c r="AE600" s="186"/>
    </row>
    <row r="601">
      <c r="A601" s="178"/>
      <c r="B601" s="36"/>
      <c r="C601" s="36"/>
      <c r="D601" s="197"/>
      <c r="E601" s="180"/>
      <c r="F601" s="181"/>
      <c r="G601" s="205"/>
      <c r="H601" s="205"/>
      <c r="I601" s="205"/>
      <c r="J601" s="205"/>
      <c r="K601" s="205"/>
      <c r="L601" s="205"/>
      <c r="M601" s="186"/>
      <c r="N601" s="186"/>
      <c r="O601" s="186"/>
      <c r="P601" s="186"/>
      <c r="Q601" s="186"/>
      <c r="R601" s="186"/>
      <c r="S601" s="186"/>
      <c r="T601" s="186"/>
      <c r="U601" s="186"/>
      <c r="V601" s="186"/>
      <c r="W601" s="186"/>
      <c r="X601" s="186"/>
      <c r="Y601" s="186"/>
      <c r="Z601" s="186"/>
      <c r="AA601" s="186"/>
      <c r="AB601" s="186"/>
      <c r="AC601" s="186"/>
      <c r="AD601" s="186"/>
      <c r="AE601" s="186"/>
    </row>
    <row r="602">
      <c r="A602" s="178"/>
      <c r="B602" s="36"/>
      <c r="C602" s="36"/>
      <c r="D602" s="197"/>
      <c r="E602" s="180"/>
      <c r="F602" s="181"/>
      <c r="G602" s="205"/>
      <c r="H602" s="205"/>
      <c r="I602" s="205"/>
      <c r="J602" s="205"/>
      <c r="K602" s="205"/>
      <c r="L602" s="205"/>
      <c r="M602" s="186"/>
      <c r="N602" s="186"/>
      <c r="O602" s="186"/>
      <c r="P602" s="186"/>
      <c r="Q602" s="186"/>
      <c r="R602" s="186"/>
      <c r="S602" s="186"/>
      <c r="T602" s="186"/>
      <c r="U602" s="186"/>
      <c r="V602" s="186"/>
      <c r="W602" s="186"/>
      <c r="X602" s="186"/>
      <c r="Y602" s="186"/>
      <c r="Z602" s="186"/>
      <c r="AA602" s="186"/>
      <c r="AB602" s="186"/>
      <c r="AC602" s="186"/>
      <c r="AD602" s="186"/>
      <c r="AE602" s="186"/>
    </row>
    <row r="603">
      <c r="A603" s="178"/>
      <c r="B603" s="36"/>
      <c r="C603" s="36"/>
      <c r="D603" s="197"/>
      <c r="E603" s="180"/>
      <c r="F603" s="181"/>
      <c r="G603" s="205"/>
      <c r="H603" s="205"/>
      <c r="I603" s="205"/>
      <c r="J603" s="205"/>
      <c r="K603" s="205"/>
      <c r="L603" s="205"/>
      <c r="M603" s="186"/>
      <c r="N603" s="186"/>
      <c r="O603" s="186"/>
      <c r="P603" s="186"/>
      <c r="Q603" s="186"/>
      <c r="R603" s="186"/>
      <c r="S603" s="186"/>
      <c r="T603" s="186"/>
      <c r="U603" s="186"/>
      <c r="V603" s="186"/>
      <c r="W603" s="186"/>
      <c r="X603" s="186"/>
      <c r="Y603" s="186"/>
      <c r="Z603" s="186"/>
      <c r="AA603" s="186"/>
      <c r="AB603" s="186"/>
      <c r="AC603" s="186"/>
      <c r="AD603" s="186"/>
      <c r="AE603" s="186"/>
    </row>
    <row r="604">
      <c r="A604" s="178"/>
      <c r="B604" s="36"/>
      <c r="C604" s="36"/>
      <c r="D604" s="197"/>
      <c r="E604" s="180"/>
      <c r="F604" s="181"/>
      <c r="G604" s="205"/>
      <c r="H604" s="205"/>
      <c r="I604" s="205"/>
      <c r="J604" s="205"/>
      <c r="K604" s="205"/>
      <c r="L604" s="205"/>
      <c r="M604" s="186"/>
      <c r="N604" s="186"/>
      <c r="O604" s="186"/>
      <c r="P604" s="186"/>
      <c r="Q604" s="186"/>
      <c r="R604" s="186"/>
      <c r="S604" s="186"/>
      <c r="T604" s="186"/>
      <c r="U604" s="186"/>
      <c r="V604" s="186"/>
      <c r="W604" s="186"/>
      <c r="X604" s="186"/>
      <c r="Y604" s="186"/>
      <c r="Z604" s="186"/>
      <c r="AA604" s="186"/>
      <c r="AB604" s="186"/>
      <c r="AC604" s="186"/>
      <c r="AD604" s="186"/>
      <c r="AE604" s="186"/>
    </row>
    <row r="605">
      <c r="A605" s="178"/>
      <c r="B605" s="36"/>
      <c r="C605" s="36"/>
      <c r="D605" s="197"/>
      <c r="E605" s="180"/>
      <c r="F605" s="181"/>
      <c r="G605" s="205"/>
      <c r="H605" s="205"/>
      <c r="I605" s="205"/>
      <c r="J605" s="205"/>
      <c r="K605" s="205"/>
      <c r="L605" s="205"/>
      <c r="M605" s="186"/>
      <c r="N605" s="186"/>
      <c r="O605" s="186"/>
      <c r="P605" s="186"/>
      <c r="Q605" s="186"/>
      <c r="R605" s="186"/>
      <c r="S605" s="186"/>
      <c r="T605" s="186"/>
      <c r="U605" s="186"/>
      <c r="V605" s="186"/>
      <c r="W605" s="186"/>
      <c r="X605" s="186"/>
      <c r="Y605" s="186"/>
      <c r="Z605" s="186"/>
      <c r="AA605" s="186"/>
      <c r="AB605" s="186"/>
      <c r="AC605" s="186"/>
      <c r="AD605" s="186"/>
      <c r="AE605" s="186"/>
    </row>
    <row r="606">
      <c r="A606" s="178"/>
      <c r="B606" s="36"/>
      <c r="C606" s="36"/>
      <c r="D606" s="197"/>
      <c r="E606" s="180"/>
      <c r="F606" s="181"/>
      <c r="G606" s="205"/>
      <c r="H606" s="205"/>
      <c r="I606" s="205"/>
      <c r="J606" s="205"/>
      <c r="K606" s="205"/>
      <c r="L606" s="205"/>
      <c r="M606" s="186"/>
      <c r="N606" s="186"/>
      <c r="O606" s="186"/>
      <c r="P606" s="186"/>
      <c r="Q606" s="186"/>
      <c r="R606" s="186"/>
      <c r="S606" s="186"/>
      <c r="T606" s="186"/>
      <c r="U606" s="186"/>
      <c r="V606" s="186"/>
      <c r="W606" s="186"/>
      <c r="X606" s="186"/>
      <c r="Y606" s="186"/>
      <c r="Z606" s="186"/>
      <c r="AA606" s="186"/>
      <c r="AB606" s="186"/>
      <c r="AC606" s="186"/>
      <c r="AD606" s="186"/>
      <c r="AE606" s="186"/>
    </row>
    <row r="607">
      <c r="A607" s="178"/>
      <c r="B607" s="36"/>
      <c r="C607" s="36"/>
      <c r="D607" s="197"/>
      <c r="E607" s="180"/>
      <c r="F607" s="181"/>
      <c r="G607" s="205"/>
      <c r="H607" s="205"/>
      <c r="I607" s="205"/>
      <c r="J607" s="205"/>
      <c r="K607" s="205"/>
      <c r="L607" s="205"/>
      <c r="M607" s="186"/>
      <c r="N607" s="186"/>
      <c r="O607" s="186"/>
      <c r="P607" s="186"/>
      <c r="Q607" s="186"/>
      <c r="R607" s="186"/>
      <c r="S607" s="186"/>
      <c r="T607" s="186"/>
      <c r="U607" s="186"/>
      <c r="V607" s="186"/>
      <c r="W607" s="186"/>
      <c r="X607" s="186"/>
      <c r="Y607" s="186"/>
      <c r="Z607" s="186"/>
      <c r="AA607" s="186"/>
      <c r="AB607" s="186"/>
      <c r="AC607" s="186"/>
      <c r="AD607" s="186"/>
      <c r="AE607" s="186"/>
    </row>
    <row r="608">
      <c r="A608" s="178"/>
      <c r="B608" s="36"/>
      <c r="C608" s="36"/>
      <c r="D608" s="197"/>
      <c r="E608" s="180"/>
      <c r="F608" s="181"/>
      <c r="G608" s="205"/>
      <c r="H608" s="205"/>
      <c r="I608" s="205"/>
      <c r="J608" s="205"/>
      <c r="K608" s="205"/>
      <c r="L608" s="205"/>
      <c r="M608" s="186"/>
      <c r="N608" s="186"/>
      <c r="O608" s="186"/>
      <c r="P608" s="186"/>
      <c r="Q608" s="186"/>
      <c r="R608" s="186"/>
      <c r="S608" s="186"/>
      <c r="T608" s="186"/>
      <c r="U608" s="186"/>
      <c r="V608" s="186"/>
      <c r="W608" s="186"/>
      <c r="X608" s="186"/>
      <c r="Y608" s="186"/>
      <c r="Z608" s="186"/>
      <c r="AA608" s="186"/>
      <c r="AB608" s="186"/>
      <c r="AC608" s="186"/>
      <c r="AD608" s="186"/>
      <c r="AE608" s="186"/>
    </row>
    <row r="609">
      <c r="A609" s="178"/>
      <c r="B609" s="36"/>
      <c r="C609" s="36"/>
      <c r="D609" s="197"/>
      <c r="E609" s="180"/>
      <c r="F609" s="181"/>
      <c r="G609" s="205"/>
      <c r="H609" s="205"/>
      <c r="I609" s="205"/>
      <c r="J609" s="205"/>
      <c r="K609" s="205"/>
      <c r="L609" s="205"/>
      <c r="M609" s="186"/>
      <c r="N609" s="186"/>
      <c r="O609" s="186"/>
      <c r="P609" s="186"/>
      <c r="Q609" s="186"/>
      <c r="R609" s="186"/>
      <c r="S609" s="186"/>
      <c r="T609" s="186"/>
      <c r="U609" s="186"/>
      <c r="V609" s="186"/>
      <c r="W609" s="186"/>
      <c r="X609" s="186"/>
      <c r="Y609" s="186"/>
      <c r="Z609" s="186"/>
      <c r="AA609" s="186"/>
      <c r="AB609" s="186"/>
      <c r="AC609" s="186"/>
      <c r="AD609" s="186"/>
      <c r="AE609" s="186"/>
    </row>
    <row r="610">
      <c r="A610" s="178"/>
      <c r="B610" s="36"/>
      <c r="C610" s="36"/>
      <c r="D610" s="197"/>
      <c r="E610" s="180"/>
      <c r="F610" s="181"/>
      <c r="G610" s="205"/>
      <c r="H610" s="205"/>
      <c r="I610" s="205"/>
      <c r="J610" s="205"/>
      <c r="K610" s="205"/>
      <c r="L610" s="205"/>
      <c r="M610" s="186"/>
      <c r="N610" s="186"/>
      <c r="O610" s="186"/>
      <c r="P610" s="186"/>
      <c r="Q610" s="186"/>
      <c r="R610" s="186"/>
      <c r="S610" s="186"/>
      <c r="T610" s="186"/>
      <c r="U610" s="186"/>
      <c r="V610" s="186"/>
      <c r="W610" s="186"/>
      <c r="X610" s="186"/>
      <c r="Y610" s="186"/>
      <c r="Z610" s="186"/>
      <c r="AA610" s="186"/>
      <c r="AB610" s="186"/>
      <c r="AC610" s="186"/>
      <c r="AD610" s="186"/>
      <c r="AE610" s="186"/>
    </row>
    <row r="611">
      <c r="A611" s="178"/>
      <c r="B611" s="36"/>
      <c r="C611" s="36"/>
      <c r="D611" s="197"/>
      <c r="E611" s="180"/>
      <c r="F611" s="181"/>
      <c r="G611" s="205"/>
      <c r="H611" s="205"/>
      <c r="I611" s="205"/>
      <c r="J611" s="205"/>
      <c r="K611" s="205"/>
      <c r="L611" s="205"/>
      <c r="M611" s="186"/>
      <c r="N611" s="186"/>
      <c r="O611" s="186"/>
      <c r="P611" s="186"/>
      <c r="Q611" s="186"/>
      <c r="R611" s="186"/>
      <c r="S611" s="186"/>
      <c r="T611" s="186"/>
      <c r="U611" s="186"/>
      <c r="V611" s="186"/>
      <c r="W611" s="186"/>
      <c r="X611" s="186"/>
      <c r="Y611" s="186"/>
      <c r="Z611" s="186"/>
      <c r="AA611" s="186"/>
      <c r="AB611" s="186"/>
      <c r="AC611" s="186"/>
      <c r="AD611" s="186"/>
      <c r="AE611" s="186"/>
    </row>
    <row r="612">
      <c r="A612" s="178"/>
      <c r="B612" s="36"/>
      <c r="C612" s="36"/>
      <c r="D612" s="197"/>
      <c r="E612" s="180"/>
      <c r="F612" s="181"/>
      <c r="G612" s="205"/>
      <c r="H612" s="205"/>
      <c r="I612" s="205"/>
      <c r="J612" s="205"/>
      <c r="K612" s="205"/>
      <c r="L612" s="205"/>
      <c r="M612" s="186"/>
      <c r="N612" s="186"/>
      <c r="O612" s="186"/>
      <c r="P612" s="186"/>
      <c r="Q612" s="186"/>
      <c r="R612" s="186"/>
      <c r="S612" s="186"/>
      <c r="T612" s="186"/>
      <c r="U612" s="186"/>
      <c r="V612" s="186"/>
      <c r="W612" s="186"/>
      <c r="X612" s="186"/>
      <c r="Y612" s="186"/>
      <c r="Z612" s="186"/>
      <c r="AA612" s="186"/>
      <c r="AB612" s="186"/>
      <c r="AC612" s="186"/>
      <c r="AD612" s="186"/>
      <c r="AE612" s="186"/>
    </row>
    <row r="613">
      <c r="A613" s="178"/>
      <c r="B613" s="36"/>
      <c r="C613" s="36"/>
      <c r="D613" s="197"/>
      <c r="E613" s="180"/>
      <c r="F613" s="181"/>
      <c r="G613" s="205"/>
      <c r="H613" s="205"/>
      <c r="I613" s="205"/>
      <c r="J613" s="205"/>
      <c r="K613" s="205"/>
      <c r="L613" s="205"/>
      <c r="M613" s="186"/>
      <c r="N613" s="186"/>
      <c r="O613" s="186"/>
      <c r="P613" s="186"/>
      <c r="Q613" s="186"/>
      <c r="R613" s="186"/>
      <c r="S613" s="186"/>
      <c r="T613" s="186"/>
      <c r="U613" s="186"/>
      <c r="V613" s="186"/>
      <c r="W613" s="186"/>
      <c r="X613" s="186"/>
      <c r="Y613" s="186"/>
      <c r="Z613" s="186"/>
      <c r="AA613" s="186"/>
      <c r="AB613" s="186"/>
      <c r="AC613" s="186"/>
      <c r="AD613" s="186"/>
      <c r="AE613" s="186"/>
    </row>
    <row r="614">
      <c r="A614" s="178"/>
      <c r="B614" s="36"/>
      <c r="C614" s="36"/>
      <c r="D614" s="197"/>
      <c r="E614" s="180"/>
      <c r="F614" s="181"/>
      <c r="G614" s="205"/>
      <c r="H614" s="205"/>
      <c r="I614" s="205"/>
      <c r="J614" s="205"/>
      <c r="K614" s="205"/>
      <c r="L614" s="205"/>
      <c r="M614" s="186"/>
      <c r="N614" s="186"/>
      <c r="O614" s="186"/>
      <c r="P614" s="186"/>
      <c r="Q614" s="186"/>
      <c r="R614" s="186"/>
      <c r="S614" s="186"/>
      <c r="T614" s="186"/>
      <c r="U614" s="186"/>
      <c r="V614" s="186"/>
      <c r="W614" s="186"/>
      <c r="X614" s="186"/>
      <c r="Y614" s="186"/>
      <c r="Z614" s="186"/>
      <c r="AA614" s="186"/>
      <c r="AB614" s="186"/>
      <c r="AC614" s="186"/>
      <c r="AD614" s="186"/>
      <c r="AE614" s="186"/>
    </row>
    <row r="615">
      <c r="A615" s="178"/>
      <c r="B615" s="36"/>
      <c r="C615" s="36"/>
      <c r="D615" s="197"/>
      <c r="E615" s="180"/>
      <c r="F615" s="181"/>
      <c r="G615" s="205"/>
      <c r="H615" s="205"/>
      <c r="I615" s="205"/>
      <c r="J615" s="205"/>
      <c r="K615" s="205"/>
      <c r="L615" s="205"/>
      <c r="M615" s="186"/>
      <c r="N615" s="186"/>
      <c r="O615" s="186"/>
      <c r="P615" s="186"/>
      <c r="Q615" s="186"/>
      <c r="R615" s="186"/>
      <c r="S615" s="186"/>
      <c r="T615" s="186"/>
      <c r="U615" s="186"/>
      <c r="V615" s="186"/>
      <c r="W615" s="186"/>
      <c r="X615" s="186"/>
      <c r="Y615" s="186"/>
      <c r="Z615" s="186"/>
      <c r="AA615" s="186"/>
      <c r="AB615" s="186"/>
      <c r="AC615" s="186"/>
      <c r="AD615" s="186"/>
      <c r="AE615" s="186"/>
    </row>
    <row r="616">
      <c r="A616" s="178"/>
      <c r="B616" s="36"/>
      <c r="C616" s="36"/>
      <c r="D616" s="197"/>
      <c r="E616" s="180"/>
      <c r="F616" s="181"/>
      <c r="G616" s="205"/>
      <c r="H616" s="205"/>
      <c r="I616" s="205"/>
      <c r="J616" s="205"/>
      <c r="K616" s="205"/>
      <c r="L616" s="205"/>
      <c r="M616" s="186"/>
      <c r="N616" s="186"/>
      <c r="O616" s="186"/>
      <c r="P616" s="186"/>
      <c r="Q616" s="186"/>
      <c r="R616" s="186"/>
      <c r="S616" s="186"/>
      <c r="T616" s="186"/>
      <c r="U616" s="186"/>
      <c r="V616" s="186"/>
      <c r="W616" s="186"/>
      <c r="X616" s="186"/>
      <c r="Y616" s="186"/>
      <c r="Z616" s="186"/>
      <c r="AA616" s="186"/>
      <c r="AB616" s="186"/>
      <c r="AC616" s="186"/>
      <c r="AD616" s="186"/>
      <c r="AE616" s="186"/>
    </row>
    <row r="617">
      <c r="A617" s="178"/>
      <c r="B617" s="36"/>
      <c r="C617" s="36"/>
      <c r="D617" s="197"/>
      <c r="E617" s="180"/>
      <c r="F617" s="181"/>
      <c r="G617" s="205"/>
      <c r="H617" s="205"/>
      <c r="I617" s="205"/>
      <c r="J617" s="205"/>
      <c r="K617" s="205"/>
      <c r="L617" s="205"/>
      <c r="M617" s="186"/>
      <c r="N617" s="186"/>
      <c r="O617" s="186"/>
      <c r="P617" s="186"/>
      <c r="Q617" s="186"/>
      <c r="R617" s="186"/>
      <c r="S617" s="186"/>
      <c r="T617" s="186"/>
      <c r="U617" s="186"/>
      <c r="V617" s="186"/>
      <c r="W617" s="186"/>
      <c r="X617" s="186"/>
      <c r="Y617" s="186"/>
      <c r="Z617" s="186"/>
      <c r="AA617" s="186"/>
      <c r="AB617" s="186"/>
      <c r="AC617" s="186"/>
      <c r="AD617" s="186"/>
      <c r="AE617" s="186"/>
    </row>
    <row r="618">
      <c r="A618" s="178"/>
      <c r="B618" s="36"/>
      <c r="C618" s="36"/>
      <c r="D618" s="197"/>
      <c r="E618" s="180"/>
      <c r="F618" s="181"/>
      <c r="G618" s="205"/>
      <c r="H618" s="205"/>
      <c r="I618" s="205"/>
      <c r="J618" s="205"/>
      <c r="K618" s="205"/>
      <c r="L618" s="205"/>
      <c r="M618" s="186"/>
      <c r="N618" s="186"/>
      <c r="O618" s="186"/>
      <c r="P618" s="186"/>
      <c r="Q618" s="186"/>
      <c r="R618" s="186"/>
      <c r="S618" s="186"/>
      <c r="T618" s="186"/>
      <c r="U618" s="186"/>
      <c r="V618" s="186"/>
      <c r="W618" s="186"/>
      <c r="X618" s="186"/>
      <c r="Y618" s="186"/>
      <c r="Z618" s="186"/>
      <c r="AA618" s="186"/>
      <c r="AB618" s="186"/>
      <c r="AC618" s="186"/>
      <c r="AD618" s="186"/>
      <c r="AE618" s="186"/>
    </row>
    <row r="619">
      <c r="A619" s="178"/>
      <c r="B619" s="36"/>
      <c r="C619" s="36"/>
      <c r="D619" s="197"/>
      <c r="E619" s="180"/>
      <c r="F619" s="181"/>
      <c r="G619" s="205"/>
      <c r="H619" s="205"/>
      <c r="I619" s="205"/>
      <c r="J619" s="205"/>
      <c r="K619" s="205"/>
      <c r="L619" s="205"/>
      <c r="M619" s="186"/>
      <c r="N619" s="186"/>
      <c r="O619" s="186"/>
      <c r="P619" s="186"/>
      <c r="Q619" s="186"/>
      <c r="R619" s="186"/>
      <c r="S619" s="186"/>
      <c r="T619" s="186"/>
      <c r="U619" s="186"/>
      <c r="V619" s="186"/>
      <c r="W619" s="186"/>
      <c r="X619" s="186"/>
      <c r="Y619" s="186"/>
      <c r="Z619" s="186"/>
      <c r="AA619" s="186"/>
      <c r="AB619" s="186"/>
      <c r="AC619" s="186"/>
      <c r="AD619" s="186"/>
      <c r="AE619" s="186"/>
    </row>
    <row r="620">
      <c r="A620" s="178"/>
      <c r="B620" s="36"/>
      <c r="C620" s="36"/>
      <c r="D620" s="197"/>
      <c r="E620" s="180"/>
      <c r="F620" s="181"/>
      <c r="G620" s="205"/>
      <c r="H620" s="205"/>
      <c r="I620" s="205"/>
      <c r="J620" s="205"/>
      <c r="K620" s="205"/>
      <c r="L620" s="205"/>
      <c r="M620" s="186"/>
      <c r="N620" s="186"/>
      <c r="O620" s="186"/>
      <c r="P620" s="186"/>
      <c r="Q620" s="186"/>
      <c r="R620" s="186"/>
      <c r="S620" s="186"/>
      <c r="T620" s="186"/>
      <c r="U620" s="186"/>
      <c r="V620" s="186"/>
      <c r="W620" s="186"/>
      <c r="X620" s="186"/>
      <c r="Y620" s="186"/>
      <c r="Z620" s="186"/>
      <c r="AA620" s="186"/>
      <c r="AB620" s="186"/>
      <c r="AC620" s="186"/>
      <c r="AD620" s="186"/>
      <c r="AE620" s="186"/>
    </row>
    <row r="621">
      <c r="A621" s="178"/>
      <c r="B621" s="36"/>
      <c r="C621" s="36"/>
      <c r="D621" s="197"/>
      <c r="E621" s="180"/>
      <c r="F621" s="181"/>
      <c r="G621" s="205"/>
      <c r="H621" s="205"/>
      <c r="I621" s="205"/>
      <c r="J621" s="205"/>
      <c r="K621" s="205"/>
      <c r="L621" s="205"/>
      <c r="M621" s="186"/>
      <c r="N621" s="186"/>
      <c r="O621" s="186"/>
      <c r="P621" s="186"/>
      <c r="Q621" s="186"/>
      <c r="R621" s="186"/>
      <c r="S621" s="186"/>
      <c r="T621" s="186"/>
      <c r="U621" s="186"/>
      <c r="V621" s="186"/>
      <c r="W621" s="186"/>
      <c r="X621" s="186"/>
      <c r="Y621" s="186"/>
      <c r="Z621" s="186"/>
      <c r="AA621" s="186"/>
      <c r="AB621" s="186"/>
      <c r="AC621" s="186"/>
      <c r="AD621" s="186"/>
      <c r="AE621" s="186"/>
    </row>
    <row r="622">
      <c r="A622" s="178"/>
      <c r="B622" s="36"/>
      <c r="C622" s="36"/>
      <c r="D622" s="197"/>
      <c r="E622" s="180"/>
      <c r="F622" s="181"/>
      <c r="G622" s="205"/>
      <c r="H622" s="205"/>
      <c r="I622" s="205"/>
      <c r="J622" s="205"/>
      <c r="K622" s="205"/>
      <c r="L622" s="205"/>
      <c r="M622" s="186"/>
      <c r="N622" s="186"/>
      <c r="O622" s="186"/>
      <c r="P622" s="186"/>
      <c r="Q622" s="186"/>
      <c r="R622" s="186"/>
      <c r="S622" s="186"/>
      <c r="T622" s="186"/>
      <c r="U622" s="186"/>
      <c r="V622" s="186"/>
      <c r="W622" s="186"/>
      <c r="X622" s="186"/>
      <c r="Y622" s="186"/>
      <c r="Z622" s="186"/>
      <c r="AA622" s="186"/>
      <c r="AB622" s="186"/>
      <c r="AC622" s="186"/>
      <c r="AD622" s="186"/>
      <c r="AE622" s="186"/>
    </row>
    <row r="623">
      <c r="A623" s="178"/>
      <c r="B623" s="36"/>
      <c r="C623" s="36"/>
      <c r="D623" s="197"/>
      <c r="E623" s="180"/>
      <c r="F623" s="181"/>
      <c r="G623" s="205"/>
      <c r="H623" s="205"/>
      <c r="I623" s="205"/>
      <c r="J623" s="205"/>
      <c r="K623" s="205"/>
      <c r="L623" s="205"/>
      <c r="M623" s="186"/>
      <c r="N623" s="186"/>
      <c r="O623" s="186"/>
      <c r="P623" s="186"/>
      <c r="Q623" s="186"/>
      <c r="R623" s="186"/>
      <c r="S623" s="186"/>
      <c r="T623" s="186"/>
      <c r="U623" s="186"/>
      <c r="V623" s="186"/>
      <c r="W623" s="186"/>
      <c r="X623" s="186"/>
      <c r="Y623" s="186"/>
      <c r="Z623" s="186"/>
      <c r="AA623" s="186"/>
      <c r="AB623" s="186"/>
      <c r="AC623" s="186"/>
      <c r="AD623" s="186"/>
      <c r="AE623" s="186"/>
    </row>
    <row r="624">
      <c r="A624" s="178"/>
      <c r="B624" s="36"/>
      <c r="C624" s="36"/>
      <c r="D624" s="197"/>
      <c r="E624" s="180"/>
      <c r="F624" s="181"/>
      <c r="G624" s="205"/>
      <c r="H624" s="205"/>
      <c r="I624" s="205"/>
      <c r="J624" s="205"/>
      <c r="K624" s="205"/>
      <c r="L624" s="205"/>
      <c r="M624" s="186"/>
      <c r="N624" s="186"/>
      <c r="O624" s="186"/>
      <c r="P624" s="186"/>
      <c r="Q624" s="186"/>
      <c r="R624" s="186"/>
      <c r="S624" s="186"/>
      <c r="T624" s="186"/>
      <c r="U624" s="186"/>
      <c r="V624" s="186"/>
      <c r="W624" s="186"/>
      <c r="X624" s="186"/>
      <c r="Y624" s="186"/>
      <c r="Z624" s="186"/>
      <c r="AA624" s="186"/>
      <c r="AB624" s="186"/>
      <c r="AC624" s="186"/>
      <c r="AD624" s="186"/>
      <c r="AE624" s="186"/>
    </row>
    <row r="625">
      <c r="A625" s="178"/>
      <c r="B625" s="36"/>
      <c r="C625" s="36"/>
      <c r="D625" s="197"/>
      <c r="E625" s="180"/>
      <c r="F625" s="181"/>
      <c r="G625" s="205"/>
      <c r="H625" s="205"/>
      <c r="I625" s="205"/>
      <c r="J625" s="205"/>
      <c r="K625" s="205"/>
      <c r="L625" s="205"/>
      <c r="M625" s="186"/>
      <c r="N625" s="186"/>
      <c r="O625" s="186"/>
      <c r="P625" s="186"/>
      <c r="Q625" s="186"/>
      <c r="R625" s="186"/>
      <c r="S625" s="186"/>
      <c r="T625" s="186"/>
      <c r="U625" s="186"/>
      <c r="V625" s="186"/>
      <c r="W625" s="186"/>
      <c r="X625" s="186"/>
      <c r="Y625" s="186"/>
      <c r="Z625" s="186"/>
      <c r="AA625" s="186"/>
      <c r="AB625" s="186"/>
      <c r="AC625" s="186"/>
      <c r="AD625" s="186"/>
      <c r="AE625" s="186"/>
    </row>
    <row r="626">
      <c r="A626" s="178"/>
      <c r="B626" s="36"/>
      <c r="C626" s="36"/>
      <c r="D626" s="197"/>
      <c r="E626" s="180"/>
      <c r="F626" s="181"/>
      <c r="G626" s="205"/>
      <c r="H626" s="205"/>
      <c r="I626" s="205"/>
      <c r="J626" s="205"/>
      <c r="K626" s="205"/>
      <c r="L626" s="205"/>
      <c r="M626" s="186"/>
      <c r="N626" s="186"/>
      <c r="O626" s="186"/>
      <c r="P626" s="186"/>
      <c r="Q626" s="186"/>
      <c r="R626" s="186"/>
      <c r="S626" s="186"/>
      <c r="T626" s="186"/>
      <c r="U626" s="186"/>
      <c r="V626" s="186"/>
      <c r="W626" s="186"/>
      <c r="X626" s="186"/>
      <c r="Y626" s="186"/>
      <c r="Z626" s="186"/>
      <c r="AA626" s="186"/>
      <c r="AB626" s="186"/>
      <c r="AC626" s="186"/>
      <c r="AD626" s="186"/>
      <c r="AE626" s="186"/>
    </row>
    <row r="627">
      <c r="A627" s="178"/>
      <c r="B627" s="36"/>
      <c r="C627" s="36"/>
      <c r="D627" s="197"/>
      <c r="E627" s="180"/>
      <c r="F627" s="181"/>
      <c r="G627" s="205"/>
      <c r="H627" s="205"/>
      <c r="I627" s="205"/>
      <c r="J627" s="205"/>
      <c r="K627" s="205"/>
      <c r="L627" s="205"/>
      <c r="M627" s="186"/>
      <c r="N627" s="186"/>
      <c r="O627" s="186"/>
      <c r="P627" s="186"/>
      <c r="Q627" s="186"/>
      <c r="R627" s="186"/>
      <c r="S627" s="186"/>
      <c r="T627" s="186"/>
      <c r="U627" s="186"/>
      <c r="V627" s="186"/>
      <c r="W627" s="186"/>
      <c r="X627" s="186"/>
      <c r="Y627" s="186"/>
      <c r="Z627" s="186"/>
      <c r="AA627" s="186"/>
      <c r="AB627" s="186"/>
      <c r="AC627" s="186"/>
      <c r="AD627" s="186"/>
      <c r="AE627" s="186"/>
    </row>
    <row r="628">
      <c r="A628" s="178"/>
      <c r="B628" s="36"/>
      <c r="C628" s="36"/>
      <c r="D628" s="197"/>
      <c r="E628" s="180"/>
      <c r="F628" s="181"/>
      <c r="G628" s="205"/>
      <c r="H628" s="205"/>
      <c r="I628" s="205"/>
      <c r="J628" s="205"/>
      <c r="K628" s="205"/>
      <c r="L628" s="205"/>
      <c r="M628" s="186"/>
      <c r="N628" s="186"/>
      <c r="O628" s="186"/>
      <c r="P628" s="186"/>
      <c r="Q628" s="186"/>
      <c r="R628" s="186"/>
      <c r="S628" s="186"/>
      <c r="T628" s="186"/>
      <c r="U628" s="186"/>
      <c r="V628" s="186"/>
      <c r="W628" s="186"/>
      <c r="X628" s="186"/>
      <c r="Y628" s="186"/>
      <c r="Z628" s="186"/>
      <c r="AA628" s="186"/>
      <c r="AB628" s="186"/>
      <c r="AC628" s="186"/>
      <c r="AD628" s="186"/>
      <c r="AE628" s="186"/>
    </row>
    <row r="629">
      <c r="A629" s="178"/>
      <c r="B629" s="36"/>
      <c r="C629" s="36"/>
      <c r="D629" s="197"/>
      <c r="E629" s="180"/>
      <c r="F629" s="181"/>
      <c r="G629" s="205"/>
      <c r="H629" s="205"/>
      <c r="I629" s="205"/>
      <c r="J629" s="205"/>
      <c r="K629" s="205"/>
      <c r="L629" s="205"/>
      <c r="M629" s="186"/>
      <c r="N629" s="186"/>
      <c r="O629" s="186"/>
      <c r="P629" s="186"/>
      <c r="Q629" s="186"/>
      <c r="R629" s="186"/>
      <c r="S629" s="186"/>
      <c r="T629" s="186"/>
      <c r="U629" s="186"/>
      <c r="V629" s="186"/>
      <c r="W629" s="186"/>
      <c r="X629" s="186"/>
      <c r="Y629" s="186"/>
      <c r="Z629" s="186"/>
      <c r="AA629" s="186"/>
      <c r="AB629" s="186"/>
      <c r="AC629" s="186"/>
      <c r="AD629" s="186"/>
      <c r="AE629" s="186"/>
    </row>
    <row r="630">
      <c r="A630" s="178"/>
      <c r="B630" s="36"/>
      <c r="C630" s="36"/>
      <c r="D630" s="197"/>
      <c r="E630" s="180"/>
      <c r="F630" s="181"/>
      <c r="G630" s="205"/>
      <c r="H630" s="205"/>
      <c r="I630" s="205"/>
      <c r="J630" s="205"/>
      <c r="K630" s="205"/>
      <c r="L630" s="205"/>
      <c r="M630" s="186"/>
      <c r="N630" s="186"/>
      <c r="O630" s="186"/>
      <c r="P630" s="186"/>
      <c r="Q630" s="186"/>
      <c r="R630" s="186"/>
      <c r="S630" s="186"/>
      <c r="T630" s="186"/>
      <c r="U630" s="186"/>
      <c r="V630" s="186"/>
      <c r="W630" s="186"/>
      <c r="X630" s="186"/>
      <c r="Y630" s="186"/>
      <c r="Z630" s="186"/>
      <c r="AA630" s="186"/>
      <c r="AB630" s="186"/>
      <c r="AC630" s="186"/>
      <c r="AD630" s="186"/>
      <c r="AE630" s="186"/>
    </row>
    <row r="631">
      <c r="A631" s="178"/>
      <c r="B631" s="36"/>
      <c r="C631" s="36"/>
      <c r="D631" s="197"/>
      <c r="E631" s="180"/>
      <c r="F631" s="181"/>
      <c r="G631" s="205"/>
      <c r="H631" s="205"/>
      <c r="I631" s="205"/>
      <c r="J631" s="205"/>
      <c r="K631" s="205"/>
      <c r="L631" s="205"/>
      <c r="M631" s="186"/>
      <c r="N631" s="186"/>
      <c r="O631" s="186"/>
      <c r="P631" s="186"/>
      <c r="Q631" s="186"/>
      <c r="R631" s="186"/>
      <c r="S631" s="186"/>
      <c r="T631" s="186"/>
      <c r="U631" s="186"/>
      <c r="V631" s="186"/>
      <c r="W631" s="186"/>
      <c r="X631" s="186"/>
      <c r="Y631" s="186"/>
      <c r="Z631" s="186"/>
      <c r="AA631" s="186"/>
      <c r="AB631" s="186"/>
      <c r="AC631" s="186"/>
      <c r="AD631" s="186"/>
      <c r="AE631" s="186"/>
    </row>
    <row r="632">
      <c r="A632" s="178"/>
      <c r="B632" s="36"/>
      <c r="C632" s="36"/>
      <c r="D632" s="197"/>
      <c r="E632" s="180"/>
      <c r="F632" s="181"/>
      <c r="G632" s="205"/>
      <c r="H632" s="205"/>
      <c r="I632" s="205"/>
      <c r="J632" s="205"/>
      <c r="K632" s="205"/>
      <c r="L632" s="205"/>
      <c r="M632" s="186"/>
      <c r="N632" s="186"/>
      <c r="O632" s="186"/>
      <c r="P632" s="186"/>
      <c r="Q632" s="186"/>
      <c r="R632" s="186"/>
      <c r="S632" s="186"/>
      <c r="T632" s="186"/>
      <c r="U632" s="186"/>
      <c r="V632" s="186"/>
      <c r="W632" s="186"/>
      <c r="X632" s="186"/>
      <c r="Y632" s="186"/>
      <c r="Z632" s="186"/>
      <c r="AA632" s="186"/>
      <c r="AB632" s="186"/>
      <c r="AC632" s="186"/>
      <c r="AD632" s="186"/>
      <c r="AE632" s="186"/>
    </row>
    <row r="633">
      <c r="A633" s="178"/>
      <c r="B633" s="36"/>
      <c r="C633" s="36"/>
      <c r="D633" s="197"/>
      <c r="E633" s="180"/>
      <c r="F633" s="181"/>
      <c r="G633" s="205"/>
      <c r="H633" s="205"/>
      <c r="I633" s="205"/>
      <c r="J633" s="205"/>
      <c r="K633" s="205"/>
      <c r="L633" s="205"/>
      <c r="M633" s="186"/>
      <c r="N633" s="186"/>
      <c r="O633" s="186"/>
      <c r="P633" s="186"/>
      <c r="Q633" s="186"/>
      <c r="R633" s="186"/>
      <c r="S633" s="186"/>
      <c r="T633" s="186"/>
      <c r="U633" s="186"/>
      <c r="V633" s="186"/>
      <c r="W633" s="186"/>
      <c r="X633" s="186"/>
      <c r="Y633" s="186"/>
      <c r="Z633" s="186"/>
      <c r="AA633" s="186"/>
      <c r="AB633" s="186"/>
      <c r="AC633" s="186"/>
      <c r="AD633" s="186"/>
      <c r="AE633" s="186"/>
    </row>
    <row r="634">
      <c r="A634" s="178"/>
      <c r="B634" s="36"/>
      <c r="C634" s="36"/>
      <c r="D634" s="197"/>
      <c r="E634" s="180"/>
      <c r="F634" s="181"/>
      <c r="G634" s="205"/>
      <c r="H634" s="205"/>
      <c r="I634" s="205"/>
      <c r="J634" s="205"/>
      <c r="K634" s="205"/>
      <c r="L634" s="205"/>
      <c r="M634" s="186"/>
      <c r="N634" s="186"/>
      <c r="O634" s="186"/>
      <c r="P634" s="186"/>
      <c r="Q634" s="186"/>
      <c r="R634" s="186"/>
      <c r="S634" s="186"/>
      <c r="T634" s="186"/>
      <c r="U634" s="186"/>
      <c r="V634" s="186"/>
      <c r="W634" s="186"/>
      <c r="X634" s="186"/>
      <c r="Y634" s="186"/>
      <c r="Z634" s="186"/>
      <c r="AA634" s="186"/>
      <c r="AB634" s="186"/>
      <c r="AC634" s="186"/>
      <c r="AD634" s="186"/>
      <c r="AE634" s="186"/>
    </row>
    <row r="635">
      <c r="A635" s="178"/>
      <c r="B635" s="36"/>
      <c r="C635" s="36"/>
      <c r="D635" s="197"/>
      <c r="E635" s="180"/>
      <c r="F635" s="181"/>
      <c r="G635" s="205"/>
      <c r="H635" s="205"/>
      <c r="I635" s="205"/>
      <c r="J635" s="205"/>
      <c r="K635" s="205"/>
      <c r="L635" s="205"/>
      <c r="M635" s="186"/>
      <c r="N635" s="186"/>
      <c r="O635" s="186"/>
      <c r="P635" s="186"/>
      <c r="Q635" s="186"/>
      <c r="R635" s="186"/>
      <c r="S635" s="186"/>
      <c r="T635" s="186"/>
      <c r="U635" s="186"/>
      <c r="V635" s="186"/>
      <c r="W635" s="186"/>
      <c r="X635" s="186"/>
      <c r="Y635" s="186"/>
      <c r="Z635" s="186"/>
      <c r="AA635" s="186"/>
      <c r="AB635" s="186"/>
      <c r="AC635" s="186"/>
      <c r="AD635" s="186"/>
      <c r="AE635" s="186"/>
    </row>
    <row r="636">
      <c r="A636" s="178"/>
      <c r="B636" s="36"/>
      <c r="C636" s="36"/>
      <c r="D636" s="197"/>
      <c r="E636" s="180"/>
      <c r="F636" s="181"/>
      <c r="G636" s="205"/>
      <c r="H636" s="205"/>
      <c r="I636" s="205"/>
      <c r="J636" s="205"/>
      <c r="K636" s="205"/>
      <c r="L636" s="205"/>
      <c r="M636" s="186"/>
      <c r="N636" s="186"/>
      <c r="O636" s="186"/>
      <c r="P636" s="186"/>
      <c r="Q636" s="186"/>
      <c r="R636" s="186"/>
      <c r="S636" s="186"/>
      <c r="T636" s="186"/>
      <c r="U636" s="186"/>
      <c r="V636" s="186"/>
      <c r="W636" s="186"/>
      <c r="X636" s="186"/>
      <c r="Y636" s="186"/>
      <c r="Z636" s="186"/>
      <c r="AA636" s="186"/>
      <c r="AB636" s="186"/>
      <c r="AC636" s="186"/>
      <c r="AD636" s="186"/>
      <c r="AE636" s="186"/>
    </row>
    <row r="637">
      <c r="A637" s="178"/>
      <c r="B637" s="36"/>
      <c r="C637" s="36"/>
      <c r="D637" s="197"/>
      <c r="E637" s="180"/>
      <c r="F637" s="181"/>
      <c r="G637" s="205"/>
      <c r="H637" s="205"/>
      <c r="I637" s="205"/>
      <c r="J637" s="205"/>
      <c r="K637" s="205"/>
      <c r="L637" s="205"/>
      <c r="M637" s="186"/>
      <c r="N637" s="186"/>
      <c r="O637" s="186"/>
      <c r="P637" s="186"/>
      <c r="Q637" s="186"/>
      <c r="R637" s="186"/>
      <c r="S637" s="186"/>
      <c r="T637" s="186"/>
      <c r="U637" s="186"/>
      <c r="V637" s="186"/>
      <c r="W637" s="186"/>
      <c r="X637" s="186"/>
      <c r="Y637" s="186"/>
      <c r="Z637" s="186"/>
      <c r="AA637" s="186"/>
      <c r="AB637" s="186"/>
      <c r="AC637" s="186"/>
      <c r="AD637" s="186"/>
      <c r="AE637" s="186"/>
    </row>
    <row r="638">
      <c r="A638" s="178"/>
      <c r="B638" s="36"/>
      <c r="C638" s="36"/>
      <c r="D638" s="197"/>
      <c r="E638" s="180"/>
      <c r="F638" s="181"/>
      <c r="G638" s="205"/>
      <c r="H638" s="205"/>
      <c r="I638" s="205"/>
      <c r="J638" s="205"/>
      <c r="K638" s="205"/>
      <c r="L638" s="205"/>
      <c r="M638" s="186"/>
      <c r="N638" s="186"/>
      <c r="O638" s="186"/>
      <c r="P638" s="186"/>
      <c r="Q638" s="186"/>
      <c r="R638" s="186"/>
      <c r="S638" s="186"/>
      <c r="T638" s="186"/>
      <c r="U638" s="186"/>
      <c r="V638" s="186"/>
      <c r="W638" s="186"/>
      <c r="X638" s="186"/>
      <c r="Y638" s="186"/>
      <c r="Z638" s="186"/>
      <c r="AA638" s="186"/>
      <c r="AB638" s="186"/>
      <c r="AC638" s="186"/>
      <c r="AD638" s="186"/>
      <c r="AE638" s="186"/>
    </row>
    <row r="639">
      <c r="A639" s="178"/>
      <c r="B639" s="36"/>
      <c r="C639" s="36"/>
      <c r="D639" s="197"/>
      <c r="E639" s="180"/>
      <c r="F639" s="181"/>
      <c r="G639" s="205"/>
      <c r="H639" s="205"/>
      <c r="I639" s="205"/>
      <c r="J639" s="205"/>
      <c r="K639" s="205"/>
      <c r="L639" s="205"/>
      <c r="M639" s="186"/>
      <c r="N639" s="186"/>
      <c r="O639" s="186"/>
      <c r="P639" s="186"/>
      <c r="Q639" s="186"/>
      <c r="R639" s="186"/>
      <c r="S639" s="186"/>
      <c r="T639" s="186"/>
      <c r="U639" s="186"/>
      <c r="V639" s="186"/>
      <c r="W639" s="186"/>
      <c r="X639" s="186"/>
      <c r="Y639" s="186"/>
      <c r="Z639" s="186"/>
      <c r="AA639" s="186"/>
      <c r="AB639" s="186"/>
      <c r="AC639" s="186"/>
      <c r="AD639" s="186"/>
      <c r="AE639" s="186"/>
    </row>
    <row r="640">
      <c r="A640" s="178"/>
      <c r="B640" s="36"/>
      <c r="C640" s="36"/>
      <c r="D640" s="197"/>
      <c r="E640" s="180"/>
      <c r="F640" s="181"/>
      <c r="G640" s="205"/>
      <c r="H640" s="205"/>
      <c r="I640" s="205"/>
      <c r="J640" s="205"/>
      <c r="K640" s="205"/>
      <c r="L640" s="205"/>
      <c r="M640" s="186"/>
      <c r="N640" s="186"/>
      <c r="O640" s="186"/>
      <c r="P640" s="186"/>
      <c r="Q640" s="186"/>
      <c r="R640" s="186"/>
      <c r="S640" s="186"/>
      <c r="T640" s="186"/>
      <c r="U640" s="186"/>
      <c r="V640" s="186"/>
      <c r="W640" s="186"/>
      <c r="X640" s="186"/>
      <c r="Y640" s="186"/>
      <c r="Z640" s="186"/>
      <c r="AA640" s="186"/>
      <c r="AB640" s="186"/>
      <c r="AC640" s="186"/>
      <c r="AD640" s="186"/>
      <c r="AE640" s="186"/>
    </row>
    <row r="641">
      <c r="A641" s="178"/>
      <c r="B641" s="36"/>
      <c r="C641" s="36"/>
      <c r="D641" s="197"/>
      <c r="E641" s="180"/>
      <c r="F641" s="181"/>
      <c r="G641" s="205"/>
      <c r="H641" s="205"/>
      <c r="I641" s="205"/>
      <c r="J641" s="205"/>
      <c r="K641" s="205"/>
      <c r="L641" s="205"/>
      <c r="M641" s="186"/>
      <c r="N641" s="186"/>
      <c r="O641" s="186"/>
      <c r="P641" s="186"/>
      <c r="Q641" s="186"/>
      <c r="R641" s="186"/>
      <c r="S641" s="186"/>
      <c r="T641" s="186"/>
      <c r="U641" s="186"/>
      <c r="V641" s="186"/>
      <c r="W641" s="186"/>
      <c r="X641" s="186"/>
      <c r="Y641" s="186"/>
      <c r="Z641" s="186"/>
      <c r="AA641" s="186"/>
      <c r="AB641" s="186"/>
      <c r="AC641" s="186"/>
      <c r="AD641" s="186"/>
      <c r="AE641" s="186"/>
    </row>
    <row r="642">
      <c r="A642" s="178"/>
      <c r="B642" s="36"/>
      <c r="C642" s="36"/>
      <c r="D642" s="197"/>
      <c r="E642" s="180"/>
      <c r="F642" s="181"/>
      <c r="G642" s="205"/>
      <c r="H642" s="205"/>
      <c r="I642" s="205"/>
      <c r="J642" s="205"/>
      <c r="K642" s="205"/>
      <c r="L642" s="205"/>
      <c r="M642" s="186"/>
      <c r="N642" s="186"/>
      <c r="O642" s="186"/>
      <c r="P642" s="186"/>
      <c r="Q642" s="186"/>
      <c r="R642" s="186"/>
      <c r="S642" s="186"/>
      <c r="T642" s="186"/>
      <c r="U642" s="186"/>
      <c r="V642" s="186"/>
      <c r="W642" s="186"/>
      <c r="X642" s="186"/>
      <c r="Y642" s="186"/>
      <c r="Z642" s="186"/>
      <c r="AA642" s="186"/>
      <c r="AB642" s="186"/>
      <c r="AC642" s="186"/>
      <c r="AD642" s="186"/>
      <c r="AE642" s="186"/>
    </row>
    <row r="643">
      <c r="A643" s="178"/>
      <c r="B643" s="36"/>
      <c r="C643" s="36"/>
      <c r="D643" s="197"/>
      <c r="E643" s="180"/>
      <c r="F643" s="181"/>
      <c r="G643" s="205"/>
      <c r="H643" s="205"/>
      <c r="I643" s="205"/>
      <c r="J643" s="205"/>
      <c r="K643" s="205"/>
      <c r="L643" s="205"/>
      <c r="M643" s="186"/>
      <c r="N643" s="186"/>
      <c r="O643" s="186"/>
      <c r="P643" s="186"/>
      <c r="Q643" s="186"/>
      <c r="R643" s="186"/>
      <c r="S643" s="186"/>
      <c r="T643" s="186"/>
      <c r="U643" s="186"/>
      <c r="V643" s="186"/>
      <c r="W643" s="186"/>
      <c r="X643" s="186"/>
      <c r="Y643" s="186"/>
      <c r="Z643" s="186"/>
      <c r="AA643" s="186"/>
      <c r="AB643" s="186"/>
      <c r="AC643" s="186"/>
      <c r="AD643" s="186"/>
      <c r="AE643" s="186"/>
    </row>
    <row r="644">
      <c r="A644" s="178"/>
      <c r="B644" s="36"/>
      <c r="C644" s="36"/>
      <c r="D644" s="197"/>
      <c r="E644" s="180"/>
      <c r="F644" s="181"/>
      <c r="G644" s="205"/>
      <c r="H644" s="205"/>
      <c r="I644" s="205"/>
      <c r="J644" s="205"/>
      <c r="K644" s="205"/>
      <c r="L644" s="205"/>
      <c r="M644" s="186"/>
      <c r="N644" s="186"/>
      <c r="O644" s="186"/>
      <c r="P644" s="186"/>
      <c r="Q644" s="186"/>
      <c r="R644" s="186"/>
      <c r="S644" s="186"/>
      <c r="T644" s="186"/>
      <c r="U644" s="186"/>
      <c r="V644" s="186"/>
      <c r="W644" s="186"/>
      <c r="X644" s="186"/>
      <c r="Y644" s="186"/>
      <c r="Z644" s="186"/>
      <c r="AA644" s="186"/>
      <c r="AB644" s="186"/>
      <c r="AC644" s="186"/>
      <c r="AD644" s="186"/>
      <c r="AE644" s="186"/>
    </row>
    <row r="645">
      <c r="A645" s="178"/>
      <c r="B645" s="36"/>
      <c r="C645" s="36"/>
      <c r="D645" s="197"/>
      <c r="E645" s="180"/>
      <c r="F645" s="181"/>
      <c r="G645" s="205"/>
      <c r="H645" s="205"/>
      <c r="I645" s="205"/>
      <c r="J645" s="205"/>
      <c r="K645" s="205"/>
      <c r="L645" s="205"/>
      <c r="M645" s="186"/>
      <c r="N645" s="186"/>
      <c r="O645" s="186"/>
      <c r="P645" s="186"/>
      <c r="Q645" s="186"/>
      <c r="R645" s="186"/>
      <c r="S645" s="186"/>
      <c r="T645" s="186"/>
      <c r="U645" s="186"/>
      <c r="V645" s="186"/>
      <c r="W645" s="186"/>
      <c r="X645" s="186"/>
      <c r="Y645" s="186"/>
      <c r="Z645" s="186"/>
      <c r="AA645" s="186"/>
      <c r="AB645" s="186"/>
      <c r="AC645" s="186"/>
      <c r="AD645" s="186"/>
      <c r="AE645" s="186"/>
    </row>
    <row r="646">
      <c r="A646" s="178"/>
      <c r="B646" s="36"/>
      <c r="C646" s="36"/>
      <c r="D646" s="197"/>
      <c r="E646" s="180"/>
      <c r="F646" s="181"/>
      <c r="G646" s="205"/>
      <c r="H646" s="205"/>
      <c r="I646" s="205"/>
      <c r="J646" s="205"/>
      <c r="K646" s="205"/>
      <c r="L646" s="205"/>
      <c r="M646" s="186"/>
      <c r="N646" s="186"/>
      <c r="O646" s="186"/>
      <c r="P646" s="186"/>
      <c r="Q646" s="186"/>
      <c r="R646" s="186"/>
      <c r="S646" s="186"/>
      <c r="T646" s="186"/>
      <c r="U646" s="186"/>
      <c r="V646" s="186"/>
      <c r="W646" s="186"/>
      <c r="X646" s="186"/>
      <c r="Y646" s="186"/>
      <c r="Z646" s="186"/>
      <c r="AA646" s="186"/>
      <c r="AB646" s="186"/>
      <c r="AC646" s="186"/>
      <c r="AD646" s="186"/>
      <c r="AE646" s="186"/>
    </row>
    <row r="647">
      <c r="A647" s="178"/>
      <c r="B647" s="36"/>
      <c r="C647" s="36"/>
      <c r="D647" s="197"/>
      <c r="E647" s="180"/>
      <c r="F647" s="181"/>
      <c r="G647" s="205"/>
      <c r="H647" s="205"/>
      <c r="I647" s="205"/>
      <c r="J647" s="205"/>
      <c r="K647" s="205"/>
      <c r="L647" s="205"/>
      <c r="M647" s="186"/>
      <c r="N647" s="186"/>
      <c r="O647" s="186"/>
      <c r="P647" s="186"/>
      <c r="Q647" s="186"/>
      <c r="R647" s="186"/>
      <c r="S647" s="186"/>
      <c r="T647" s="186"/>
      <c r="U647" s="186"/>
      <c r="V647" s="186"/>
      <c r="W647" s="186"/>
      <c r="X647" s="186"/>
      <c r="Y647" s="186"/>
      <c r="Z647" s="186"/>
      <c r="AA647" s="186"/>
      <c r="AB647" s="186"/>
      <c r="AC647" s="186"/>
      <c r="AD647" s="186"/>
      <c r="AE647" s="186"/>
    </row>
    <row r="648">
      <c r="A648" s="178"/>
      <c r="B648" s="36"/>
      <c r="C648" s="36"/>
      <c r="D648" s="197"/>
      <c r="E648" s="180"/>
      <c r="F648" s="181"/>
      <c r="G648" s="205"/>
      <c r="H648" s="205"/>
      <c r="I648" s="205"/>
      <c r="J648" s="205"/>
      <c r="K648" s="205"/>
      <c r="L648" s="205"/>
      <c r="M648" s="186"/>
      <c r="N648" s="186"/>
      <c r="O648" s="186"/>
      <c r="P648" s="186"/>
      <c r="Q648" s="186"/>
      <c r="R648" s="186"/>
      <c r="S648" s="186"/>
      <c r="T648" s="186"/>
      <c r="U648" s="186"/>
      <c r="V648" s="186"/>
      <c r="W648" s="186"/>
      <c r="X648" s="186"/>
      <c r="Y648" s="186"/>
      <c r="Z648" s="186"/>
      <c r="AA648" s="186"/>
      <c r="AB648" s="186"/>
      <c r="AC648" s="186"/>
      <c r="AD648" s="186"/>
      <c r="AE648" s="186"/>
    </row>
    <row r="649">
      <c r="A649" s="178"/>
      <c r="B649" s="36"/>
      <c r="C649" s="36"/>
      <c r="D649" s="197"/>
      <c r="E649" s="180"/>
      <c r="F649" s="181"/>
      <c r="G649" s="205"/>
      <c r="H649" s="205"/>
      <c r="I649" s="205"/>
      <c r="J649" s="205"/>
      <c r="K649" s="205"/>
      <c r="L649" s="205"/>
      <c r="M649" s="186"/>
      <c r="N649" s="186"/>
      <c r="O649" s="186"/>
      <c r="P649" s="186"/>
      <c r="Q649" s="186"/>
      <c r="R649" s="186"/>
      <c r="S649" s="186"/>
      <c r="T649" s="186"/>
      <c r="U649" s="186"/>
      <c r="V649" s="186"/>
      <c r="W649" s="186"/>
      <c r="X649" s="186"/>
      <c r="Y649" s="186"/>
      <c r="Z649" s="186"/>
      <c r="AA649" s="186"/>
      <c r="AB649" s="186"/>
      <c r="AC649" s="186"/>
      <c r="AD649" s="186"/>
      <c r="AE649" s="186"/>
    </row>
    <row r="650">
      <c r="A650" s="178"/>
      <c r="B650" s="36"/>
      <c r="C650" s="36"/>
      <c r="D650" s="197"/>
      <c r="E650" s="180"/>
      <c r="F650" s="181"/>
      <c r="G650" s="205"/>
      <c r="H650" s="205"/>
      <c r="I650" s="205"/>
      <c r="J650" s="205"/>
      <c r="K650" s="205"/>
      <c r="L650" s="205"/>
      <c r="M650" s="186"/>
      <c r="N650" s="186"/>
      <c r="O650" s="186"/>
      <c r="P650" s="186"/>
      <c r="Q650" s="186"/>
      <c r="R650" s="186"/>
      <c r="S650" s="186"/>
      <c r="T650" s="186"/>
      <c r="U650" s="186"/>
      <c r="V650" s="186"/>
      <c r="W650" s="186"/>
      <c r="X650" s="186"/>
      <c r="Y650" s="186"/>
      <c r="Z650" s="186"/>
      <c r="AA650" s="186"/>
      <c r="AB650" s="186"/>
      <c r="AC650" s="186"/>
      <c r="AD650" s="186"/>
      <c r="AE650" s="186"/>
    </row>
    <row r="651">
      <c r="A651" s="178"/>
      <c r="B651" s="36"/>
      <c r="C651" s="36"/>
      <c r="D651" s="197"/>
      <c r="E651" s="180"/>
      <c r="F651" s="181"/>
      <c r="G651" s="205"/>
      <c r="H651" s="205"/>
      <c r="I651" s="205"/>
      <c r="J651" s="205"/>
      <c r="K651" s="205"/>
      <c r="L651" s="205"/>
      <c r="M651" s="186"/>
      <c r="N651" s="186"/>
      <c r="O651" s="186"/>
      <c r="P651" s="186"/>
      <c r="Q651" s="186"/>
      <c r="R651" s="186"/>
      <c r="S651" s="186"/>
      <c r="T651" s="186"/>
      <c r="U651" s="186"/>
      <c r="V651" s="186"/>
      <c r="W651" s="186"/>
      <c r="X651" s="186"/>
      <c r="Y651" s="186"/>
      <c r="Z651" s="186"/>
      <c r="AA651" s="186"/>
      <c r="AB651" s="186"/>
      <c r="AC651" s="186"/>
      <c r="AD651" s="186"/>
      <c r="AE651" s="186"/>
    </row>
    <row r="652">
      <c r="A652" s="178"/>
      <c r="B652" s="36"/>
      <c r="C652" s="36"/>
      <c r="D652" s="197"/>
      <c r="E652" s="180"/>
      <c r="F652" s="181"/>
      <c r="G652" s="205"/>
      <c r="H652" s="205"/>
      <c r="I652" s="205"/>
      <c r="J652" s="205"/>
      <c r="K652" s="205"/>
      <c r="L652" s="205"/>
      <c r="M652" s="186"/>
      <c r="N652" s="186"/>
      <c r="O652" s="186"/>
      <c r="P652" s="186"/>
      <c r="Q652" s="186"/>
      <c r="R652" s="186"/>
      <c r="S652" s="186"/>
      <c r="T652" s="186"/>
      <c r="U652" s="186"/>
      <c r="V652" s="186"/>
      <c r="W652" s="186"/>
      <c r="X652" s="186"/>
      <c r="Y652" s="186"/>
      <c r="Z652" s="186"/>
      <c r="AA652" s="186"/>
      <c r="AB652" s="186"/>
      <c r="AC652" s="186"/>
      <c r="AD652" s="186"/>
      <c r="AE652" s="186"/>
    </row>
    <row r="653">
      <c r="A653" s="178"/>
      <c r="B653" s="36"/>
      <c r="C653" s="36"/>
      <c r="D653" s="197"/>
      <c r="E653" s="180"/>
      <c r="F653" s="181"/>
      <c r="G653" s="205"/>
      <c r="H653" s="205"/>
      <c r="I653" s="205"/>
      <c r="J653" s="205"/>
      <c r="K653" s="205"/>
      <c r="L653" s="205"/>
      <c r="M653" s="186"/>
      <c r="N653" s="186"/>
      <c r="O653" s="186"/>
      <c r="P653" s="186"/>
      <c r="Q653" s="186"/>
      <c r="R653" s="186"/>
      <c r="S653" s="186"/>
      <c r="T653" s="186"/>
      <c r="U653" s="186"/>
      <c r="V653" s="186"/>
      <c r="W653" s="186"/>
      <c r="X653" s="186"/>
      <c r="Y653" s="186"/>
      <c r="Z653" s="186"/>
      <c r="AA653" s="186"/>
      <c r="AB653" s="186"/>
      <c r="AC653" s="186"/>
      <c r="AD653" s="186"/>
      <c r="AE653" s="186"/>
    </row>
    <row r="654">
      <c r="A654" s="178"/>
      <c r="B654" s="36"/>
      <c r="C654" s="36"/>
      <c r="D654" s="197"/>
      <c r="E654" s="180"/>
      <c r="F654" s="181"/>
      <c r="G654" s="205"/>
      <c r="H654" s="205"/>
      <c r="I654" s="205"/>
      <c r="J654" s="205"/>
      <c r="K654" s="205"/>
      <c r="L654" s="205"/>
      <c r="M654" s="186"/>
      <c r="N654" s="186"/>
      <c r="O654" s="186"/>
      <c r="P654" s="186"/>
      <c r="Q654" s="186"/>
      <c r="R654" s="186"/>
      <c r="S654" s="186"/>
      <c r="T654" s="186"/>
      <c r="U654" s="186"/>
      <c r="V654" s="186"/>
      <c r="W654" s="186"/>
      <c r="X654" s="186"/>
      <c r="Y654" s="186"/>
      <c r="Z654" s="186"/>
      <c r="AA654" s="186"/>
      <c r="AB654" s="186"/>
      <c r="AC654" s="186"/>
      <c r="AD654" s="186"/>
      <c r="AE654" s="186"/>
    </row>
    <row r="655">
      <c r="A655" s="178"/>
      <c r="B655" s="36"/>
      <c r="C655" s="36"/>
      <c r="D655" s="197"/>
      <c r="E655" s="180"/>
      <c r="F655" s="181"/>
      <c r="G655" s="205"/>
      <c r="H655" s="205"/>
      <c r="I655" s="205"/>
      <c r="J655" s="205"/>
      <c r="K655" s="205"/>
      <c r="L655" s="205"/>
      <c r="M655" s="186"/>
      <c r="N655" s="186"/>
      <c r="O655" s="186"/>
      <c r="P655" s="186"/>
      <c r="Q655" s="186"/>
      <c r="R655" s="186"/>
      <c r="S655" s="186"/>
      <c r="T655" s="186"/>
      <c r="U655" s="186"/>
      <c r="V655" s="186"/>
      <c r="W655" s="186"/>
      <c r="X655" s="186"/>
      <c r="Y655" s="186"/>
      <c r="Z655" s="186"/>
      <c r="AA655" s="186"/>
      <c r="AB655" s="186"/>
      <c r="AC655" s="186"/>
      <c r="AD655" s="186"/>
      <c r="AE655" s="186"/>
    </row>
    <row r="656">
      <c r="A656" s="178"/>
      <c r="B656" s="36"/>
      <c r="C656" s="36"/>
      <c r="D656" s="197"/>
      <c r="E656" s="180"/>
      <c r="F656" s="181"/>
      <c r="G656" s="205"/>
      <c r="H656" s="205"/>
      <c r="I656" s="205"/>
      <c r="J656" s="205"/>
      <c r="K656" s="205"/>
      <c r="L656" s="205"/>
      <c r="M656" s="186"/>
      <c r="N656" s="186"/>
      <c r="O656" s="186"/>
      <c r="P656" s="186"/>
      <c r="Q656" s="186"/>
      <c r="R656" s="186"/>
      <c r="S656" s="186"/>
      <c r="T656" s="186"/>
      <c r="U656" s="186"/>
      <c r="V656" s="186"/>
      <c r="W656" s="186"/>
      <c r="X656" s="186"/>
      <c r="Y656" s="186"/>
      <c r="Z656" s="186"/>
      <c r="AA656" s="186"/>
      <c r="AB656" s="186"/>
      <c r="AC656" s="186"/>
      <c r="AD656" s="186"/>
      <c r="AE656" s="186"/>
    </row>
    <row r="657">
      <c r="A657" s="178"/>
      <c r="B657" s="36"/>
      <c r="C657" s="36"/>
      <c r="D657" s="197"/>
      <c r="E657" s="180"/>
      <c r="F657" s="181"/>
      <c r="G657" s="205"/>
      <c r="H657" s="205"/>
      <c r="I657" s="205"/>
      <c r="J657" s="205"/>
      <c r="K657" s="205"/>
      <c r="L657" s="205"/>
      <c r="M657" s="186"/>
      <c r="N657" s="186"/>
      <c r="O657" s="186"/>
      <c r="P657" s="186"/>
      <c r="Q657" s="186"/>
      <c r="R657" s="186"/>
      <c r="S657" s="186"/>
      <c r="T657" s="186"/>
      <c r="U657" s="186"/>
      <c r="V657" s="186"/>
      <c r="W657" s="186"/>
      <c r="X657" s="186"/>
      <c r="Y657" s="186"/>
      <c r="Z657" s="186"/>
      <c r="AA657" s="186"/>
      <c r="AB657" s="186"/>
      <c r="AC657" s="186"/>
      <c r="AD657" s="186"/>
      <c r="AE657" s="186"/>
    </row>
    <row r="658">
      <c r="A658" s="178"/>
      <c r="B658" s="36"/>
      <c r="C658" s="36"/>
      <c r="D658" s="197"/>
      <c r="E658" s="180"/>
      <c r="F658" s="181"/>
      <c r="G658" s="205"/>
      <c r="H658" s="205"/>
      <c r="I658" s="205"/>
      <c r="J658" s="205"/>
      <c r="K658" s="205"/>
      <c r="L658" s="205"/>
      <c r="M658" s="186"/>
      <c r="N658" s="186"/>
      <c r="O658" s="186"/>
      <c r="P658" s="186"/>
      <c r="Q658" s="186"/>
      <c r="R658" s="186"/>
      <c r="S658" s="186"/>
      <c r="T658" s="186"/>
      <c r="U658" s="186"/>
      <c r="V658" s="186"/>
      <c r="W658" s="186"/>
      <c r="X658" s="186"/>
      <c r="Y658" s="186"/>
      <c r="Z658" s="186"/>
      <c r="AA658" s="186"/>
      <c r="AB658" s="186"/>
      <c r="AC658" s="186"/>
      <c r="AD658" s="186"/>
      <c r="AE658" s="186"/>
    </row>
    <row r="659">
      <c r="A659" s="178"/>
      <c r="B659" s="36"/>
      <c r="C659" s="36"/>
      <c r="D659" s="197"/>
      <c r="E659" s="180"/>
      <c r="F659" s="181"/>
      <c r="G659" s="205"/>
      <c r="H659" s="205"/>
      <c r="I659" s="205"/>
      <c r="J659" s="205"/>
      <c r="K659" s="205"/>
      <c r="L659" s="205"/>
      <c r="M659" s="186"/>
      <c r="N659" s="186"/>
      <c r="O659" s="186"/>
      <c r="P659" s="186"/>
      <c r="Q659" s="186"/>
      <c r="R659" s="186"/>
      <c r="S659" s="186"/>
      <c r="T659" s="186"/>
      <c r="U659" s="186"/>
      <c r="V659" s="186"/>
      <c r="W659" s="186"/>
      <c r="X659" s="186"/>
      <c r="Y659" s="186"/>
      <c r="Z659" s="186"/>
      <c r="AA659" s="186"/>
      <c r="AB659" s="186"/>
      <c r="AC659" s="186"/>
      <c r="AD659" s="186"/>
      <c r="AE659" s="186"/>
    </row>
    <row r="660">
      <c r="A660" s="178"/>
      <c r="B660" s="36"/>
      <c r="C660" s="36"/>
      <c r="D660" s="197"/>
      <c r="E660" s="180"/>
      <c r="F660" s="181"/>
      <c r="G660" s="205"/>
      <c r="H660" s="205"/>
      <c r="I660" s="205"/>
      <c r="J660" s="205"/>
      <c r="K660" s="205"/>
      <c r="L660" s="205"/>
      <c r="M660" s="186"/>
      <c r="N660" s="186"/>
      <c r="O660" s="186"/>
      <c r="P660" s="186"/>
      <c r="Q660" s="186"/>
      <c r="R660" s="186"/>
      <c r="S660" s="186"/>
      <c r="T660" s="186"/>
      <c r="U660" s="186"/>
      <c r="V660" s="186"/>
      <c r="W660" s="186"/>
      <c r="X660" s="186"/>
      <c r="Y660" s="186"/>
      <c r="Z660" s="186"/>
      <c r="AA660" s="186"/>
      <c r="AB660" s="186"/>
      <c r="AC660" s="186"/>
      <c r="AD660" s="186"/>
      <c r="AE660" s="186"/>
    </row>
    <row r="661">
      <c r="A661" s="178"/>
      <c r="B661" s="36"/>
      <c r="C661" s="36"/>
      <c r="D661" s="197"/>
      <c r="E661" s="180"/>
      <c r="F661" s="181"/>
      <c r="G661" s="205"/>
      <c r="H661" s="205"/>
      <c r="I661" s="205"/>
      <c r="J661" s="205"/>
      <c r="K661" s="205"/>
      <c r="L661" s="205"/>
      <c r="M661" s="186"/>
      <c r="N661" s="186"/>
      <c r="O661" s="186"/>
      <c r="P661" s="186"/>
      <c r="Q661" s="186"/>
      <c r="R661" s="186"/>
      <c r="S661" s="186"/>
      <c r="T661" s="186"/>
      <c r="U661" s="186"/>
      <c r="V661" s="186"/>
      <c r="W661" s="186"/>
      <c r="X661" s="186"/>
      <c r="Y661" s="186"/>
      <c r="Z661" s="186"/>
      <c r="AA661" s="186"/>
      <c r="AB661" s="186"/>
      <c r="AC661" s="186"/>
      <c r="AD661" s="186"/>
      <c r="AE661" s="186"/>
    </row>
    <row r="662">
      <c r="A662" s="178"/>
      <c r="B662" s="36"/>
      <c r="C662" s="36"/>
      <c r="D662" s="197"/>
      <c r="E662" s="180"/>
      <c r="F662" s="181"/>
      <c r="G662" s="205"/>
      <c r="H662" s="205"/>
      <c r="I662" s="205"/>
      <c r="J662" s="205"/>
      <c r="K662" s="205"/>
      <c r="L662" s="205"/>
      <c r="M662" s="186"/>
      <c r="N662" s="186"/>
      <c r="O662" s="186"/>
      <c r="P662" s="186"/>
      <c r="Q662" s="186"/>
      <c r="R662" s="186"/>
      <c r="S662" s="186"/>
      <c r="T662" s="186"/>
      <c r="U662" s="186"/>
      <c r="V662" s="186"/>
      <c r="W662" s="186"/>
      <c r="X662" s="186"/>
      <c r="Y662" s="186"/>
      <c r="Z662" s="186"/>
      <c r="AA662" s="186"/>
      <c r="AB662" s="186"/>
      <c r="AC662" s="186"/>
      <c r="AD662" s="186"/>
      <c r="AE662" s="186"/>
    </row>
    <row r="663">
      <c r="A663" s="178"/>
      <c r="B663" s="36"/>
      <c r="C663" s="36"/>
      <c r="D663" s="197"/>
      <c r="E663" s="180"/>
      <c r="F663" s="181"/>
      <c r="G663" s="205"/>
      <c r="H663" s="205"/>
      <c r="I663" s="205"/>
      <c r="J663" s="205"/>
      <c r="K663" s="205"/>
      <c r="L663" s="205"/>
      <c r="M663" s="186"/>
      <c r="N663" s="186"/>
      <c r="O663" s="186"/>
      <c r="P663" s="186"/>
      <c r="Q663" s="186"/>
      <c r="R663" s="186"/>
      <c r="S663" s="186"/>
      <c r="T663" s="186"/>
      <c r="U663" s="186"/>
      <c r="V663" s="186"/>
      <c r="W663" s="186"/>
      <c r="X663" s="186"/>
      <c r="Y663" s="186"/>
      <c r="Z663" s="186"/>
      <c r="AA663" s="186"/>
      <c r="AB663" s="186"/>
      <c r="AC663" s="186"/>
      <c r="AD663" s="186"/>
      <c r="AE663" s="186"/>
    </row>
    <row r="664">
      <c r="A664" s="178"/>
      <c r="B664" s="36"/>
      <c r="C664" s="36"/>
      <c r="D664" s="197"/>
      <c r="E664" s="180"/>
      <c r="F664" s="181"/>
      <c r="G664" s="205"/>
      <c r="H664" s="205"/>
      <c r="I664" s="205"/>
      <c r="J664" s="205"/>
      <c r="K664" s="205"/>
      <c r="L664" s="205"/>
      <c r="M664" s="186"/>
      <c r="N664" s="186"/>
      <c r="O664" s="186"/>
      <c r="P664" s="186"/>
      <c r="Q664" s="186"/>
      <c r="R664" s="186"/>
      <c r="S664" s="186"/>
      <c r="T664" s="186"/>
      <c r="U664" s="186"/>
      <c r="V664" s="186"/>
      <c r="W664" s="186"/>
      <c r="X664" s="186"/>
      <c r="Y664" s="186"/>
      <c r="Z664" s="186"/>
      <c r="AA664" s="186"/>
      <c r="AB664" s="186"/>
      <c r="AC664" s="186"/>
      <c r="AD664" s="186"/>
      <c r="AE664" s="186"/>
    </row>
    <row r="665">
      <c r="A665" s="178"/>
      <c r="B665" s="36"/>
      <c r="C665" s="36"/>
      <c r="D665" s="197"/>
      <c r="E665" s="180"/>
      <c r="F665" s="181"/>
      <c r="G665" s="205"/>
      <c r="H665" s="205"/>
      <c r="I665" s="205"/>
      <c r="J665" s="205"/>
      <c r="K665" s="205"/>
      <c r="L665" s="205"/>
      <c r="M665" s="186"/>
      <c r="N665" s="186"/>
      <c r="O665" s="186"/>
      <c r="P665" s="186"/>
      <c r="Q665" s="186"/>
      <c r="R665" s="186"/>
      <c r="S665" s="186"/>
      <c r="T665" s="186"/>
      <c r="U665" s="186"/>
      <c r="V665" s="186"/>
      <c r="W665" s="186"/>
      <c r="X665" s="186"/>
      <c r="Y665" s="186"/>
      <c r="Z665" s="186"/>
      <c r="AA665" s="186"/>
      <c r="AB665" s="186"/>
      <c r="AC665" s="186"/>
      <c r="AD665" s="186"/>
      <c r="AE665" s="186"/>
    </row>
    <row r="666">
      <c r="A666" s="178"/>
      <c r="B666" s="36"/>
      <c r="C666" s="36"/>
      <c r="D666" s="197"/>
      <c r="E666" s="180"/>
      <c r="F666" s="181"/>
      <c r="G666" s="205"/>
      <c r="H666" s="205"/>
      <c r="I666" s="205"/>
      <c r="J666" s="205"/>
      <c r="K666" s="205"/>
      <c r="L666" s="205"/>
      <c r="M666" s="186"/>
      <c r="N666" s="186"/>
      <c r="O666" s="186"/>
      <c r="P666" s="186"/>
      <c r="Q666" s="186"/>
      <c r="R666" s="186"/>
      <c r="S666" s="186"/>
      <c r="T666" s="186"/>
      <c r="U666" s="186"/>
      <c r="V666" s="186"/>
      <c r="W666" s="186"/>
      <c r="X666" s="186"/>
      <c r="Y666" s="186"/>
      <c r="Z666" s="186"/>
      <c r="AA666" s="186"/>
      <c r="AB666" s="186"/>
      <c r="AC666" s="186"/>
      <c r="AD666" s="186"/>
      <c r="AE666" s="186"/>
    </row>
    <row r="667">
      <c r="A667" s="178"/>
      <c r="B667" s="36"/>
      <c r="C667" s="36"/>
      <c r="D667" s="197"/>
      <c r="E667" s="180"/>
      <c r="F667" s="181"/>
      <c r="G667" s="205"/>
      <c r="H667" s="205"/>
      <c r="I667" s="205"/>
      <c r="J667" s="205"/>
      <c r="K667" s="205"/>
      <c r="L667" s="205"/>
      <c r="M667" s="186"/>
      <c r="N667" s="186"/>
      <c r="O667" s="186"/>
      <c r="P667" s="186"/>
      <c r="Q667" s="186"/>
      <c r="R667" s="186"/>
      <c r="S667" s="186"/>
      <c r="T667" s="186"/>
      <c r="U667" s="186"/>
      <c r="V667" s="186"/>
      <c r="W667" s="186"/>
      <c r="X667" s="186"/>
      <c r="Y667" s="186"/>
      <c r="Z667" s="186"/>
      <c r="AA667" s="186"/>
      <c r="AB667" s="186"/>
      <c r="AC667" s="186"/>
      <c r="AD667" s="186"/>
      <c r="AE667" s="186"/>
    </row>
    <row r="668">
      <c r="A668" s="178"/>
      <c r="B668" s="36"/>
      <c r="C668" s="36"/>
      <c r="D668" s="197"/>
      <c r="E668" s="180"/>
      <c r="F668" s="181"/>
      <c r="G668" s="205"/>
      <c r="H668" s="205"/>
      <c r="I668" s="205"/>
      <c r="J668" s="205"/>
      <c r="K668" s="205"/>
      <c r="L668" s="205"/>
      <c r="M668" s="186"/>
      <c r="N668" s="186"/>
      <c r="O668" s="186"/>
      <c r="P668" s="186"/>
      <c r="Q668" s="186"/>
      <c r="R668" s="186"/>
      <c r="S668" s="186"/>
      <c r="T668" s="186"/>
      <c r="U668" s="186"/>
      <c r="V668" s="186"/>
      <c r="W668" s="186"/>
      <c r="X668" s="186"/>
      <c r="Y668" s="186"/>
      <c r="Z668" s="186"/>
      <c r="AA668" s="186"/>
      <c r="AB668" s="186"/>
      <c r="AC668" s="186"/>
      <c r="AD668" s="186"/>
      <c r="AE668" s="186"/>
    </row>
    <row r="669">
      <c r="A669" s="178"/>
      <c r="B669" s="36"/>
      <c r="C669" s="36"/>
      <c r="D669" s="197"/>
      <c r="E669" s="180"/>
      <c r="F669" s="181"/>
      <c r="G669" s="205"/>
      <c r="H669" s="205"/>
      <c r="I669" s="205"/>
      <c r="J669" s="205"/>
      <c r="K669" s="205"/>
      <c r="L669" s="205"/>
      <c r="M669" s="186"/>
      <c r="N669" s="186"/>
      <c r="O669" s="186"/>
      <c r="P669" s="186"/>
      <c r="Q669" s="186"/>
      <c r="R669" s="186"/>
      <c r="S669" s="186"/>
      <c r="T669" s="186"/>
      <c r="U669" s="186"/>
      <c r="V669" s="186"/>
      <c r="W669" s="186"/>
      <c r="X669" s="186"/>
      <c r="Y669" s="186"/>
      <c r="Z669" s="186"/>
      <c r="AA669" s="186"/>
      <c r="AB669" s="186"/>
      <c r="AC669" s="186"/>
      <c r="AD669" s="186"/>
      <c r="AE669" s="186"/>
    </row>
    <row r="670">
      <c r="A670" s="178"/>
      <c r="B670" s="36"/>
      <c r="C670" s="36"/>
      <c r="D670" s="197"/>
      <c r="E670" s="180"/>
      <c r="F670" s="181"/>
      <c r="G670" s="205"/>
      <c r="H670" s="205"/>
      <c r="I670" s="205"/>
      <c r="J670" s="205"/>
      <c r="K670" s="205"/>
      <c r="L670" s="205"/>
      <c r="M670" s="186"/>
      <c r="N670" s="186"/>
      <c r="O670" s="186"/>
      <c r="P670" s="186"/>
      <c r="Q670" s="186"/>
      <c r="R670" s="186"/>
      <c r="S670" s="186"/>
      <c r="T670" s="186"/>
      <c r="U670" s="186"/>
      <c r="V670" s="186"/>
      <c r="W670" s="186"/>
      <c r="X670" s="186"/>
      <c r="Y670" s="186"/>
      <c r="Z670" s="186"/>
      <c r="AA670" s="186"/>
      <c r="AB670" s="186"/>
      <c r="AC670" s="186"/>
      <c r="AD670" s="186"/>
      <c r="AE670" s="186"/>
    </row>
    <row r="671">
      <c r="A671" s="178"/>
      <c r="B671" s="36"/>
      <c r="C671" s="36"/>
      <c r="D671" s="197"/>
      <c r="E671" s="180"/>
      <c r="F671" s="181"/>
      <c r="G671" s="205"/>
      <c r="H671" s="205"/>
      <c r="I671" s="205"/>
      <c r="J671" s="205"/>
      <c r="K671" s="205"/>
      <c r="L671" s="205"/>
      <c r="M671" s="186"/>
      <c r="N671" s="186"/>
      <c r="O671" s="186"/>
      <c r="P671" s="186"/>
      <c r="Q671" s="186"/>
      <c r="R671" s="186"/>
      <c r="S671" s="186"/>
      <c r="T671" s="186"/>
      <c r="U671" s="186"/>
      <c r="V671" s="186"/>
      <c r="W671" s="186"/>
      <c r="X671" s="186"/>
      <c r="Y671" s="186"/>
      <c r="Z671" s="186"/>
      <c r="AA671" s="186"/>
      <c r="AB671" s="186"/>
      <c r="AC671" s="186"/>
      <c r="AD671" s="186"/>
      <c r="AE671" s="186"/>
    </row>
    <row r="672">
      <c r="A672" s="178"/>
      <c r="B672" s="36"/>
      <c r="C672" s="36"/>
      <c r="D672" s="197"/>
      <c r="E672" s="180"/>
      <c r="F672" s="181"/>
      <c r="G672" s="205"/>
      <c r="H672" s="205"/>
      <c r="I672" s="205"/>
      <c r="J672" s="205"/>
      <c r="K672" s="205"/>
      <c r="L672" s="205"/>
      <c r="M672" s="186"/>
      <c r="N672" s="186"/>
      <c r="O672" s="186"/>
      <c r="P672" s="186"/>
      <c r="Q672" s="186"/>
      <c r="R672" s="186"/>
      <c r="S672" s="186"/>
      <c r="T672" s="186"/>
      <c r="U672" s="186"/>
      <c r="V672" s="186"/>
      <c r="W672" s="186"/>
      <c r="X672" s="186"/>
      <c r="Y672" s="186"/>
      <c r="Z672" s="186"/>
      <c r="AA672" s="186"/>
      <c r="AB672" s="186"/>
      <c r="AC672" s="186"/>
      <c r="AD672" s="186"/>
      <c r="AE672" s="186"/>
    </row>
    <row r="673">
      <c r="A673" s="178"/>
      <c r="B673" s="36"/>
      <c r="C673" s="36"/>
      <c r="D673" s="197"/>
      <c r="E673" s="180"/>
      <c r="F673" s="181"/>
      <c r="G673" s="205"/>
      <c r="H673" s="205"/>
      <c r="I673" s="205"/>
      <c r="J673" s="205"/>
      <c r="K673" s="205"/>
      <c r="L673" s="205"/>
      <c r="M673" s="186"/>
      <c r="N673" s="186"/>
      <c r="O673" s="186"/>
      <c r="P673" s="186"/>
      <c r="Q673" s="186"/>
      <c r="R673" s="186"/>
      <c r="S673" s="186"/>
      <c r="T673" s="186"/>
      <c r="U673" s="186"/>
      <c r="V673" s="186"/>
      <c r="W673" s="186"/>
      <c r="X673" s="186"/>
      <c r="Y673" s="186"/>
      <c r="Z673" s="186"/>
      <c r="AA673" s="186"/>
      <c r="AB673" s="186"/>
      <c r="AC673" s="186"/>
      <c r="AD673" s="186"/>
      <c r="AE673" s="186"/>
    </row>
    <row r="674">
      <c r="A674" s="178"/>
      <c r="B674" s="36"/>
      <c r="C674" s="36"/>
      <c r="D674" s="197"/>
      <c r="E674" s="180"/>
      <c r="F674" s="181"/>
      <c r="G674" s="205"/>
      <c r="H674" s="205"/>
      <c r="I674" s="205"/>
      <c r="J674" s="205"/>
      <c r="K674" s="205"/>
      <c r="L674" s="205"/>
      <c r="M674" s="186"/>
      <c r="N674" s="186"/>
      <c r="O674" s="186"/>
      <c r="P674" s="186"/>
      <c r="Q674" s="186"/>
      <c r="R674" s="186"/>
      <c r="S674" s="186"/>
      <c r="T674" s="186"/>
      <c r="U674" s="186"/>
      <c r="V674" s="186"/>
      <c r="W674" s="186"/>
      <c r="X674" s="186"/>
      <c r="Y674" s="186"/>
      <c r="Z674" s="186"/>
      <c r="AA674" s="186"/>
      <c r="AB674" s="186"/>
      <c r="AC674" s="186"/>
      <c r="AD674" s="186"/>
      <c r="AE674" s="186"/>
    </row>
    <row r="675">
      <c r="A675" s="178"/>
      <c r="B675" s="36"/>
      <c r="C675" s="36"/>
      <c r="D675" s="197"/>
      <c r="E675" s="180"/>
      <c r="F675" s="181"/>
      <c r="G675" s="205"/>
      <c r="H675" s="205"/>
      <c r="I675" s="205"/>
      <c r="J675" s="205"/>
      <c r="K675" s="205"/>
      <c r="L675" s="205"/>
      <c r="M675" s="186"/>
      <c r="N675" s="186"/>
      <c r="O675" s="186"/>
      <c r="P675" s="186"/>
      <c r="Q675" s="186"/>
      <c r="R675" s="186"/>
      <c r="S675" s="186"/>
      <c r="T675" s="186"/>
      <c r="U675" s="186"/>
      <c r="V675" s="186"/>
      <c r="W675" s="186"/>
      <c r="X675" s="186"/>
      <c r="Y675" s="186"/>
      <c r="Z675" s="186"/>
      <c r="AA675" s="186"/>
      <c r="AB675" s="186"/>
      <c r="AC675" s="186"/>
      <c r="AD675" s="186"/>
      <c r="AE675" s="186"/>
    </row>
    <row r="676">
      <c r="A676" s="178"/>
      <c r="B676" s="36"/>
      <c r="C676" s="36"/>
      <c r="D676" s="197"/>
      <c r="E676" s="180"/>
      <c r="F676" s="181"/>
      <c r="G676" s="205"/>
      <c r="H676" s="205"/>
      <c r="I676" s="205"/>
      <c r="J676" s="205"/>
      <c r="K676" s="205"/>
      <c r="L676" s="205"/>
      <c r="M676" s="186"/>
      <c r="N676" s="186"/>
      <c r="O676" s="186"/>
      <c r="P676" s="186"/>
      <c r="Q676" s="186"/>
      <c r="R676" s="186"/>
      <c r="S676" s="186"/>
      <c r="T676" s="186"/>
      <c r="U676" s="186"/>
      <c r="V676" s="186"/>
      <c r="W676" s="186"/>
      <c r="X676" s="186"/>
      <c r="Y676" s="186"/>
      <c r="Z676" s="186"/>
      <c r="AA676" s="186"/>
      <c r="AB676" s="186"/>
      <c r="AC676" s="186"/>
      <c r="AD676" s="186"/>
      <c r="AE676" s="186"/>
    </row>
    <row r="677">
      <c r="A677" s="178"/>
      <c r="B677" s="36"/>
      <c r="C677" s="36"/>
      <c r="D677" s="197"/>
      <c r="E677" s="180"/>
      <c r="F677" s="181"/>
      <c r="G677" s="205"/>
      <c r="H677" s="205"/>
      <c r="I677" s="205"/>
      <c r="J677" s="205"/>
      <c r="K677" s="205"/>
      <c r="L677" s="205"/>
      <c r="M677" s="186"/>
      <c r="N677" s="186"/>
      <c r="O677" s="186"/>
      <c r="P677" s="186"/>
      <c r="Q677" s="186"/>
      <c r="R677" s="186"/>
      <c r="S677" s="186"/>
      <c r="T677" s="186"/>
      <c r="U677" s="186"/>
      <c r="V677" s="186"/>
      <c r="W677" s="186"/>
      <c r="X677" s="186"/>
      <c r="Y677" s="186"/>
      <c r="Z677" s="186"/>
      <c r="AA677" s="186"/>
      <c r="AB677" s="186"/>
      <c r="AC677" s="186"/>
      <c r="AD677" s="186"/>
      <c r="AE677" s="186"/>
    </row>
    <row r="678">
      <c r="A678" s="178"/>
      <c r="B678" s="36"/>
      <c r="C678" s="36"/>
      <c r="D678" s="197"/>
      <c r="E678" s="180"/>
      <c r="F678" s="181"/>
      <c r="G678" s="205"/>
      <c r="H678" s="205"/>
      <c r="I678" s="205"/>
      <c r="J678" s="205"/>
      <c r="K678" s="205"/>
      <c r="L678" s="205"/>
      <c r="M678" s="186"/>
      <c r="N678" s="186"/>
      <c r="O678" s="186"/>
      <c r="P678" s="186"/>
      <c r="Q678" s="186"/>
      <c r="R678" s="186"/>
      <c r="S678" s="186"/>
      <c r="T678" s="186"/>
      <c r="U678" s="186"/>
      <c r="V678" s="186"/>
      <c r="W678" s="186"/>
      <c r="X678" s="186"/>
      <c r="Y678" s="186"/>
      <c r="Z678" s="186"/>
      <c r="AA678" s="186"/>
      <c r="AB678" s="186"/>
      <c r="AC678" s="186"/>
      <c r="AD678" s="186"/>
      <c r="AE678" s="186"/>
    </row>
    <row r="679">
      <c r="A679" s="178"/>
      <c r="B679" s="36"/>
      <c r="C679" s="36"/>
      <c r="D679" s="197"/>
      <c r="E679" s="180"/>
      <c r="F679" s="181"/>
      <c r="G679" s="205"/>
      <c r="H679" s="205"/>
      <c r="I679" s="205"/>
      <c r="J679" s="205"/>
      <c r="K679" s="205"/>
      <c r="L679" s="205"/>
      <c r="M679" s="186"/>
      <c r="N679" s="186"/>
      <c r="O679" s="186"/>
      <c r="P679" s="186"/>
      <c r="Q679" s="186"/>
      <c r="R679" s="186"/>
      <c r="S679" s="186"/>
      <c r="T679" s="186"/>
      <c r="U679" s="186"/>
      <c r="V679" s="186"/>
      <c r="W679" s="186"/>
      <c r="X679" s="186"/>
      <c r="Y679" s="186"/>
      <c r="Z679" s="186"/>
      <c r="AA679" s="186"/>
      <c r="AB679" s="186"/>
      <c r="AC679" s="186"/>
      <c r="AD679" s="186"/>
      <c r="AE679" s="186"/>
    </row>
    <row r="680">
      <c r="A680" s="178"/>
      <c r="B680" s="36"/>
      <c r="C680" s="36"/>
      <c r="D680" s="197"/>
      <c r="E680" s="180"/>
      <c r="F680" s="181"/>
      <c r="G680" s="205"/>
      <c r="H680" s="205"/>
      <c r="I680" s="205"/>
      <c r="J680" s="205"/>
      <c r="K680" s="205"/>
      <c r="L680" s="205"/>
      <c r="M680" s="186"/>
      <c r="N680" s="186"/>
      <c r="O680" s="186"/>
      <c r="P680" s="186"/>
      <c r="Q680" s="186"/>
      <c r="R680" s="186"/>
      <c r="S680" s="186"/>
      <c r="T680" s="186"/>
      <c r="U680" s="186"/>
      <c r="V680" s="186"/>
      <c r="W680" s="186"/>
      <c r="X680" s="186"/>
      <c r="Y680" s="186"/>
      <c r="Z680" s="186"/>
      <c r="AA680" s="186"/>
      <c r="AB680" s="186"/>
      <c r="AC680" s="186"/>
      <c r="AD680" s="186"/>
      <c r="AE680" s="186"/>
    </row>
    <row r="681">
      <c r="A681" s="178"/>
      <c r="B681" s="36"/>
      <c r="C681" s="36"/>
      <c r="D681" s="197"/>
      <c r="E681" s="180"/>
      <c r="F681" s="181"/>
      <c r="G681" s="205"/>
      <c r="H681" s="205"/>
      <c r="I681" s="205"/>
      <c r="J681" s="205"/>
      <c r="K681" s="205"/>
      <c r="L681" s="205"/>
      <c r="M681" s="186"/>
      <c r="N681" s="186"/>
      <c r="O681" s="186"/>
      <c r="P681" s="186"/>
      <c r="Q681" s="186"/>
      <c r="R681" s="186"/>
      <c r="S681" s="186"/>
      <c r="T681" s="186"/>
      <c r="U681" s="186"/>
      <c r="V681" s="186"/>
      <c r="W681" s="186"/>
      <c r="X681" s="186"/>
      <c r="Y681" s="186"/>
      <c r="Z681" s="186"/>
      <c r="AA681" s="186"/>
      <c r="AB681" s="186"/>
      <c r="AC681" s="186"/>
      <c r="AD681" s="186"/>
      <c r="AE681" s="186"/>
    </row>
    <row r="682">
      <c r="A682" s="178"/>
      <c r="B682" s="36"/>
      <c r="C682" s="36"/>
      <c r="D682" s="197"/>
      <c r="E682" s="180"/>
      <c r="F682" s="181"/>
      <c r="G682" s="205"/>
      <c r="H682" s="205"/>
      <c r="I682" s="205"/>
      <c r="J682" s="205"/>
      <c r="K682" s="205"/>
      <c r="L682" s="205"/>
      <c r="M682" s="186"/>
      <c r="N682" s="186"/>
      <c r="O682" s="186"/>
      <c r="P682" s="186"/>
      <c r="Q682" s="186"/>
      <c r="R682" s="186"/>
      <c r="S682" s="186"/>
      <c r="T682" s="186"/>
      <c r="U682" s="186"/>
      <c r="V682" s="186"/>
      <c r="W682" s="186"/>
      <c r="X682" s="186"/>
      <c r="Y682" s="186"/>
      <c r="Z682" s="186"/>
      <c r="AA682" s="186"/>
      <c r="AB682" s="186"/>
      <c r="AC682" s="186"/>
      <c r="AD682" s="186"/>
      <c r="AE682" s="186"/>
    </row>
    <row r="683">
      <c r="A683" s="178"/>
      <c r="B683" s="36"/>
      <c r="C683" s="36"/>
      <c r="D683" s="197"/>
      <c r="E683" s="180"/>
      <c r="F683" s="181"/>
      <c r="G683" s="205"/>
      <c r="H683" s="205"/>
      <c r="I683" s="205"/>
      <c r="J683" s="205"/>
      <c r="K683" s="205"/>
      <c r="L683" s="205"/>
      <c r="M683" s="186"/>
      <c r="N683" s="186"/>
      <c r="O683" s="186"/>
      <c r="P683" s="186"/>
      <c r="Q683" s="186"/>
      <c r="R683" s="186"/>
      <c r="S683" s="186"/>
      <c r="T683" s="186"/>
      <c r="U683" s="186"/>
      <c r="V683" s="186"/>
      <c r="W683" s="186"/>
      <c r="X683" s="186"/>
      <c r="Y683" s="186"/>
      <c r="Z683" s="186"/>
      <c r="AA683" s="186"/>
      <c r="AB683" s="186"/>
      <c r="AC683" s="186"/>
      <c r="AD683" s="186"/>
      <c r="AE683" s="186"/>
    </row>
    <row r="684">
      <c r="A684" s="178"/>
      <c r="B684" s="36"/>
      <c r="C684" s="36"/>
      <c r="D684" s="197"/>
      <c r="E684" s="180"/>
      <c r="F684" s="181"/>
      <c r="G684" s="205"/>
      <c r="H684" s="205"/>
      <c r="I684" s="205"/>
      <c r="J684" s="205"/>
      <c r="K684" s="205"/>
      <c r="L684" s="205"/>
      <c r="M684" s="186"/>
      <c r="N684" s="186"/>
      <c r="O684" s="186"/>
      <c r="P684" s="186"/>
      <c r="Q684" s="186"/>
      <c r="R684" s="186"/>
      <c r="S684" s="186"/>
      <c r="T684" s="186"/>
      <c r="U684" s="186"/>
      <c r="V684" s="186"/>
      <c r="W684" s="186"/>
      <c r="X684" s="186"/>
      <c r="Y684" s="186"/>
      <c r="Z684" s="186"/>
      <c r="AA684" s="186"/>
      <c r="AB684" s="186"/>
      <c r="AC684" s="186"/>
      <c r="AD684" s="186"/>
      <c r="AE684" s="186"/>
    </row>
    <row r="685">
      <c r="A685" s="178"/>
      <c r="B685" s="36"/>
      <c r="C685" s="36"/>
      <c r="D685" s="197"/>
      <c r="E685" s="180"/>
      <c r="F685" s="181"/>
      <c r="G685" s="205"/>
      <c r="H685" s="205"/>
      <c r="I685" s="205"/>
      <c r="J685" s="205"/>
      <c r="K685" s="205"/>
      <c r="L685" s="205"/>
      <c r="M685" s="186"/>
      <c r="N685" s="186"/>
      <c r="O685" s="186"/>
      <c r="P685" s="186"/>
      <c r="Q685" s="186"/>
      <c r="R685" s="186"/>
      <c r="S685" s="186"/>
      <c r="T685" s="186"/>
      <c r="U685" s="186"/>
      <c r="V685" s="186"/>
      <c r="W685" s="186"/>
      <c r="X685" s="186"/>
      <c r="Y685" s="186"/>
      <c r="Z685" s="186"/>
      <c r="AA685" s="186"/>
      <c r="AB685" s="186"/>
      <c r="AC685" s="186"/>
      <c r="AD685" s="186"/>
      <c r="AE685" s="186"/>
    </row>
    <row r="686">
      <c r="A686" s="178"/>
      <c r="B686" s="36"/>
      <c r="C686" s="36"/>
      <c r="D686" s="197"/>
      <c r="E686" s="180"/>
      <c r="F686" s="181"/>
      <c r="G686" s="205"/>
      <c r="H686" s="205"/>
      <c r="I686" s="205"/>
      <c r="J686" s="205"/>
      <c r="K686" s="205"/>
      <c r="L686" s="205"/>
      <c r="M686" s="186"/>
      <c r="N686" s="186"/>
      <c r="O686" s="186"/>
      <c r="P686" s="186"/>
      <c r="Q686" s="186"/>
      <c r="R686" s="186"/>
      <c r="S686" s="186"/>
      <c r="T686" s="186"/>
      <c r="U686" s="186"/>
      <c r="V686" s="186"/>
      <c r="W686" s="186"/>
      <c r="X686" s="186"/>
      <c r="Y686" s="186"/>
      <c r="Z686" s="186"/>
      <c r="AA686" s="186"/>
      <c r="AB686" s="186"/>
      <c r="AC686" s="186"/>
      <c r="AD686" s="186"/>
      <c r="AE686" s="186"/>
    </row>
    <row r="687">
      <c r="A687" s="178"/>
      <c r="B687" s="36"/>
      <c r="C687" s="36"/>
      <c r="D687" s="197"/>
      <c r="E687" s="180"/>
      <c r="F687" s="181"/>
      <c r="G687" s="205"/>
      <c r="H687" s="205"/>
      <c r="I687" s="205"/>
      <c r="J687" s="205"/>
      <c r="K687" s="205"/>
      <c r="L687" s="205"/>
      <c r="M687" s="186"/>
      <c r="N687" s="186"/>
      <c r="O687" s="186"/>
      <c r="P687" s="186"/>
      <c r="Q687" s="186"/>
      <c r="R687" s="186"/>
      <c r="S687" s="186"/>
      <c r="T687" s="186"/>
      <c r="U687" s="186"/>
      <c r="V687" s="186"/>
      <c r="W687" s="186"/>
      <c r="X687" s="186"/>
      <c r="Y687" s="186"/>
      <c r="Z687" s="186"/>
      <c r="AA687" s="186"/>
      <c r="AB687" s="186"/>
      <c r="AC687" s="186"/>
      <c r="AD687" s="186"/>
      <c r="AE687" s="186"/>
    </row>
    <row r="688">
      <c r="A688" s="178"/>
      <c r="B688" s="36"/>
      <c r="C688" s="36"/>
      <c r="D688" s="197"/>
      <c r="E688" s="180"/>
      <c r="F688" s="181"/>
      <c r="G688" s="205"/>
      <c r="H688" s="205"/>
      <c r="I688" s="205"/>
      <c r="J688" s="205"/>
      <c r="K688" s="205"/>
      <c r="L688" s="205"/>
      <c r="M688" s="186"/>
      <c r="N688" s="186"/>
      <c r="O688" s="186"/>
      <c r="P688" s="186"/>
      <c r="Q688" s="186"/>
      <c r="R688" s="186"/>
      <c r="S688" s="186"/>
      <c r="T688" s="186"/>
      <c r="U688" s="186"/>
      <c r="V688" s="186"/>
      <c r="W688" s="186"/>
      <c r="X688" s="186"/>
      <c r="Y688" s="186"/>
      <c r="Z688" s="186"/>
      <c r="AA688" s="186"/>
      <c r="AB688" s="186"/>
      <c r="AC688" s="186"/>
      <c r="AD688" s="186"/>
      <c r="AE688" s="186"/>
    </row>
    <row r="689">
      <c r="A689" s="178"/>
      <c r="B689" s="36"/>
      <c r="C689" s="36"/>
      <c r="D689" s="197"/>
      <c r="E689" s="180"/>
      <c r="F689" s="181"/>
      <c r="G689" s="205"/>
      <c r="H689" s="205"/>
      <c r="I689" s="205"/>
      <c r="J689" s="205"/>
      <c r="K689" s="205"/>
      <c r="L689" s="205"/>
      <c r="M689" s="186"/>
      <c r="N689" s="186"/>
      <c r="O689" s="186"/>
      <c r="P689" s="186"/>
      <c r="Q689" s="186"/>
      <c r="R689" s="186"/>
      <c r="S689" s="186"/>
      <c r="T689" s="186"/>
      <c r="U689" s="186"/>
      <c r="V689" s="186"/>
      <c r="W689" s="186"/>
      <c r="X689" s="186"/>
      <c r="Y689" s="186"/>
      <c r="Z689" s="186"/>
      <c r="AA689" s="186"/>
      <c r="AB689" s="186"/>
      <c r="AC689" s="186"/>
      <c r="AD689" s="186"/>
      <c r="AE689" s="186"/>
    </row>
    <row r="690">
      <c r="A690" s="178"/>
      <c r="B690" s="36"/>
      <c r="C690" s="36"/>
      <c r="D690" s="197"/>
      <c r="E690" s="180"/>
      <c r="F690" s="181"/>
      <c r="G690" s="205"/>
      <c r="H690" s="205"/>
      <c r="I690" s="205"/>
      <c r="J690" s="205"/>
      <c r="K690" s="205"/>
      <c r="L690" s="205"/>
      <c r="M690" s="186"/>
      <c r="N690" s="186"/>
      <c r="O690" s="186"/>
      <c r="P690" s="186"/>
      <c r="Q690" s="186"/>
      <c r="R690" s="186"/>
      <c r="S690" s="186"/>
      <c r="T690" s="186"/>
      <c r="U690" s="186"/>
      <c r="V690" s="186"/>
      <c r="W690" s="186"/>
      <c r="X690" s="186"/>
      <c r="Y690" s="186"/>
      <c r="Z690" s="186"/>
      <c r="AA690" s="186"/>
      <c r="AB690" s="186"/>
      <c r="AC690" s="186"/>
      <c r="AD690" s="186"/>
      <c r="AE690" s="186"/>
    </row>
    <row r="691">
      <c r="A691" s="178"/>
      <c r="B691" s="36"/>
      <c r="C691" s="36"/>
      <c r="D691" s="197"/>
      <c r="E691" s="180"/>
      <c r="F691" s="181"/>
      <c r="G691" s="205"/>
      <c r="H691" s="205"/>
      <c r="I691" s="205"/>
      <c r="J691" s="205"/>
      <c r="K691" s="205"/>
      <c r="L691" s="205"/>
      <c r="M691" s="186"/>
      <c r="N691" s="186"/>
      <c r="O691" s="186"/>
      <c r="P691" s="186"/>
      <c r="Q691" s="186"/>
      <c r="R691" s="186"/>
      <c r="S691" s="186"/>
      <c r="T691" s="186"/>
      <c r="U691" s="186"/>
      <c r="V691" s="186"/>
      <c r="W691" s="186"/>
      <c r="X691" s="186"/>
      <c r="Y691" s="186"/>
      <c r="Z691" s="186"/>
      <c r="AA691" s="186"/>
      <c r="AB691" s="186"/>
      <c r="AC691" s="186"/>
      <c r="AD691" s="186"/>
      <c r="AE691" s="186"/>
    </row>
    <row r="692">
      <c r="A692" s="178"/>
      <c r="B692" s="36"/>
      <c r="C692" s="36"/>
      <c r="D692" s="197"/>
      <c r="E692" s="180"/>
      <c r="F692" s="181"/>
      <c r="G692" s="205"/>
      <c r="H692" s="205"/>
      <c r="I692" s="205"/>
      <c r="J692" s="205"/>
      <c r="K692" s="205"/>
      <c r="L692" s="205"/>
      <c r="M692" s="186"/>
      <c r="N692" s="186"/>
      <c r="O692" s="186"/>
      <c r="P692" s="186"/>
      <c r="Q692" s="186"/>
      <c r="R692" s="186"/>
      <c r="S692" s="186"/>
      <c r="T692" s="186"/>
      <c r="U692" s="186"/>
      <c r="V692" s="186"/>
      <c r="W692" s="186"/>
      <c r="X692" s="186"/>
      <c r="Y692" s="186"/>
      <c r="Z692" s="186"/>
      <c r="AA692" s="186"/>
      <c r="AB692" s="186"/>
      <c r="AC692" s="186"/>
      <c r="AD692" s="186"/>
      <c r="AE692" s="186"/>
    </row>
    <row r="693">
      <c r="A693" s="178"/>
      <c r="B693" s="36"/>
      <c r="C693" s="36"/>
      <c r="D693" s="197"/>
      <c r="E693" s="180"/>
      <c r="F693" s="181"/>
      <c r="G693" s="205"/>
      <c r="H693" s="205"/>
      <c r="I693" s="205"/>
      <c r="J693" s="205"/>
      <c r="K693" s="205"/>
      <c r="L693" s="205"/>
      <c r="M693" s="186"/>
      <c r="N693" s="186"/>
      <c r="O693" s="186"/>
      <c r="P693" s="186"/>
      <c r="Q693" s="186"/>
      <c r="R693" s="186"/>
      <c r="S693" s="186"/>
      <c r="T693" s="186"/>
      <c r="U693" s="186"/>
      <c r="V693" s="186"/>
      <c r="W693" s="186"/>
      <c r="X693" s="186"/>
      <c r="Y693" s="186"/>
      <c r="Z693" s="186"/>
      <c r="AA693" s="186"/>
      <c r="AB693" s="186"/>
      <c r="AC693" s="186"/>
      <c r="AD693" s="186"/>
      <c r="AE693" s="186"/>
    </row>
    <row r="694">
      <c r="A694" s="178"/>
      <c r="B694" s="36"/>
      <c r="C694" s="36"/>
      <c r="D694" s="197"/>
      <c r="E694" s="180"/>
      <c r="F694" s="181"/>
      <c r="G694" s="205"/>
      <c r="H694" s="205"/>
      <c r="I694" s="205"/>
      <c r="J694" s="205"/>
      <c r="K694" s="205"/>
      <c r="L694" s="205"/>
      <c r="M694" s="186"/>
      <c r="N694" s="186"/>
      <c r="O694" s="186"/>
      <c r="P694" s="186"/>
      <c r="Q694" s="186"/>
      <c r="R694" s="186"/>
      <c r="S694" s="186"/>
      <c r="T694" s="186"/>
      <c r="U694" s="186"/>
      <c r="V694" s="186"/>
      <c r="W694" s="186"/>
      <c r="X694" s="186"/>
      <c r="Y694" s="186"/>
      <c r="Z694" s="186"/>
      <c r="AA694" s="186"/>
      <c r="AB694" s="186"/>
      <c r="AC694" s="186"/>
      <c r="AD694" s="186"/>
      <c r="AE694" s="186"/>
    </row>
    <row r="695">
      <c r="A695" s="178"/>
      <c r="B695" s="36"/>
      <c r="C695" s="36"/>
      <c r="D695" s="197"/>
      <c r="E695" s="180"/>
      <c r="F695" s="181"/>
      <c r="G695" s="205"/>
      <c r="H695" s="205"/>
      <c r="I695" s="205"/>
      <c r="J695" s="205"/>
      <c r="K695" s="205"/>
      <c r="L695" s="205"/>
      <c r="M695" s="186"/>
      <c r="N695" s="186"/>
      <c r="O695" s="186"/>
      <c r="P695" s="186"/>
      <c r="Q695" s="186"/>
      <c r="R695" s="186"/>
      <c r="S695" s="186"/>
      <c r="T695" s="186"/>
      <c r="U695" s="186"/>
      <c r="V695" s="186"/>
      <c r="W695" s="186"/>
      <c r="X695" s="186"/>
      <c r="Y695" s="186"/>
      <c r="Z695" s="186"/>
      <c r="AA695" s="186"/>
      <c r="AB695" s="186"/>
      <c r="AC695" s="186"/>
      <c r="AD695" s="186"/>
      <c r="AE695" s="186"/>
    </row>
    <row r="696">
      <c r="A696" s="178"/>
      <c r="B696" s="36"/>
      <c r="C696" s="36"/>
      <c r="D696" s="197"/>
      <c r="E696" s="180"/>
      <c r="F696" s="181"/>
      <c r="G696" s="205"/>
      <c r="H696" s="205"/>
      <c r="I696" s="205"/>
      <c r="J696" s="205"/>
      <c r="K696" s="205"/>
      <c r="L696" s="205"/>
      <c r="M696" s="186"/>
      <c r="N696" s="186"/>
      <c r="O696" s="186"/>
      <c r="P696" s="186"/>
      <c r="Q696" s="186"/>
      <c r="R696" s="186"/>
      <c r="S696" s="186"/>
      <c r="T696" s="186"/>
      <c r="U696" s="186"/>
      <c r="V696" s="186"/>
      <c r="W696" s="186"/>
      <c r="X696" s="186"/>
      <c r="Y696" s="186"/>
      <c r="Z696" s="186"/>
      <c r="AA696" s="186"/>
      <c r="AB696" s="186"/>
      <c r="AC696" s="186"/>
      <c r="AD696" s="186"/>
      <c r="AE696" s="186"/>
    </row>
    <row r="697">
      <c r="A697" s="178"/>
      <c r="B697" s="36"/>
      <c r="C697" s="36"/>
      <c r="D697" s="197"/>
      <c r="E697" s="180"/>
      <c r="F697" s="181"/>
      <c r="G697" s="205"/>
      <c r="H697" s="205"/>
      <c r="I697" s="205"/>
      <c r="J697" s="205"/>
      <c r="K697" s="205"/>
      <c r="L697" s="205"/>
      <c r="M697" s="186"/>
      <c r="N697" s="186"/>
      <c r="O697" s="186"/>
      <c r="P697" s="186"/>
      <c r="Q697" s="186"/>
      <c r="R697" s="186"/>
      <c r="S697" s="186"/>
      <c r="T697" s="186"/>
      <c r="U697" s="186"/>
      <c r="V697" s="186"/>
      <c r="W697" s="186"/>
      <c r="X697" s="186"/>
      <c r="Y697" s="186"/>
      <c r="Z697" s="186"/>
      <c r="AA697" s="186"/>
      <c r="AB697" s="186"/>
      <c r="AC697" s="186"/>
      <c r="AD697" s="186"/>
      <c r="AE697" s="186"/>
    </row>
    <row r="698">
      <c r="A698" s="178"/>
      <c r="B698" s="36"/>
      <c r="C698" s="36"/>
      <c r="D698" s="197"/>
      <c r="E698" s="180"/>
      <c r="F698" s="181"/>
      <c r="G698" s="205"/>
      <c r="H698" s="205"/>
      <c r="I698" s="205"/>
      <c r="J698" s="205"/>
      <c r="K698" s="205"/>
      <c r="L698" s="205"/>
      <c r="M698" s="186"/>
      <c r="N698" s="186"/>
      <c r="O698" s="186"/>
      <c r="P698" s="186"/>
      <c r="Q698" s="186"/>
      <c r="R698" s="186"/>
      <c r="S698" s="186"/>
      <c r="T698" s="186"/>
      <c r="U698" s="186"/>
      <c r="V698" s="186"/>
      <c r="W698" s="186"/>
      <c r="X698" s="186"/>
      <c r="Y698" s="186"/>
      <c r="Z698" s="186"/>
      <c r="AA698" s="186"/>
      <c r="AB698" s="186"/>
      <c r="AC698" s="186"/>
      <c r="AD698" s="186"/>
      <c r="AE698" s="186"/>
    </row>
    <row r="699">
      <c r="A699" s="178"/>
      <c r="B699" s="36"/>
      <c r="C699" s="36"/>
      <c r="D699" s="197"/>
      <c r="E699" s="180"/>
      <c r="F699" s="181"/>
      <c r="G699" s="205"/>
      <c r="H699" s="205"/>
      <c r="I699" s="205"/>
      <c r="J699" s="205"/>
      <c r="K699" s="205"/>
      <c r="L699" s="205"/>
      <c r="M699" s="186"/>
      <c r="N699" s="186"/>
      <c r="O699" s="186"/>
      <c r="P699" s="186"/>
      <c r="Q699" s="186"/>
      <c r="R699" s="186"/>
      <c r="S699" s="186"/>
      <c r="T699" s="186"/>
      <c r="U699" s="186"/>
      <c r="V699" s="186"/>
      <c r="W699" s="186"/>
      <c r="X699" s="186"/>
      <c r="Y699" s="186"/>
      <c r="Z699" s="186"/>
      <c r="AA699" s="186"/>
      <c r="AB699" s="186"/>
      <c r="AC699" s="186"/>
      <c r="AD699" s="186"/>
      <c r="AE699" s="186"/>
    </row>
    <row r="700">
      <c r="A700" s="178"/>
      <c r="B700" s="36"/>
      <c r="C700" s="36"/>
      <c r="D700" s="197"/>
      <c r="E700" s="180"/>
      <c r="F700" s="181"/>
      <c r="G700" s="205"/>
      <c r="H700" s="205"/>
      <c r="I700" s="205"/>
      <c r="J700" s="205"/>
      <c r="K700" s="205"/>
      <c r="L700" s="205"/>
      <c r="M700" s="186"/>
      <c r="N700" s="186"/>
      <c r="O700" s="186"/>
      <c r="P700" s="186"/>
      <c r="Q700" s="186"/>
      <c r="R700" s="186"/>
      <c r="S700" s="186"/>
      <c r="T700" s="186"/>
      <c r="U700" s="186"/>
      <c r="V700" s="186"/>
      <c r="W700" s="186"/>
      <c r="X700" s="186"/>
      <c r="Y700" s="186"/>
      <c r="Z700" s="186"/>
      <c r="AA700" s="186"/>
      <c r="AB700" s="186"/>
      <c r="AC700" s="186"/>
      <c r="AD700" s="186"/>
      <c r="AE700" s="186"/>
    </row>
    <row r="701">
      <c r="A701" s="178"/>
      <c r="B701" s="36"/>
      <c r="C701" s="36"/>
      <c r="D701" s="197"/>
      <c r="E701" s="180"/>
      <c r="F701" s="181"/>
      <c r="G701" s="205"/>
      <c r="H701" s="205"/>
      <c r="I701" s="205"/>
      <c r="J701" s="205"/>
      <c r="K701" s="205"/>
      <c r="L701" s="205"/>
      <c r="M701" s="186"/>
      <c r="N701" s="186"/>
      <c r="O701" s="186"/>
      <c r="P701" s="186"/>
      <c r="Q701" s="186"/>
      <c r="R701" s="186"/>
      <c r="S701" s="186"/>
      <c r="T701" s="186"/>
      <c r="U701" s="186"/>
      <c r="V701" s="186"/>
      <c r="W701" s="186"/>
      <c r="X701" s="186"/>
      <c r="Y701" s="186"/>
      <c r="Z701" s="186"/>
      <c r="AA701" s="186"/>
      <c r="AB701" s="186"/>
      <c r="AC701" s="186"/>
      <c r="AD701" s="186"/>
      <c r="AE701" s="186"/>
    </row>
    <row r="702">
      <c r="A702" s="178"/>
      <c r="B702" s="36"/>
      <c r="C702" s="36"/>
      <c r="D702" s="197"/>
      <c r="E702" s="180"/>
      <c r="F702" s="181"/>
      <c r="G702" s="205"/>
      <c r="H702" s="205"/>
      <c r="I702" s="205"/>
      <c r="J702" s="205"/>
      <c r="K702" s="205"/>
      <c r="L702" s="205"/>
      <c r="M702" s="186"/>
      <c r="N702" s="186"/>
      <c r="O702" s="186"/>
      <c r="P702" s="186"/>
      <c r="Q702" s="186"/>
      <c r="R702" s="186"/>
      <c r="S702" s="186"/>
      <c r="T702" s="186"/>
      <c r="U702" s="186"/>
      <c r="V702" s="186"/>
      <c r="W702" s="186"/>
      <c r="X702" s="186"/>
      <c r="Y702" s="186"/>
      <c r="Z702" s="186"/>
      <c r="AA702" s="186"/>
      <c r="AB702" s="186"/>
      <c r="AC702" s="186"/>
      <c r="AD702" s="186"/>
      <c r="AE702" s="186"/>
    </row>
    <row r="703">
      <c r="A703" s="178"/>
      <c r="B703" s="36"/>
      <c r="C703" s="36"/>
      <c r="D703" s="197"/>
      <c r="E703" s="180"/>
      <c r="F703" s="181"/>
      <c r="G703" s="205"/>
      <c r="H703" s="205"/>
      <c r="I703" s="205"/>
      <c r="J703" s="205"/>
      <c r="K703" s="205"/>
      <c r="L703" s="205"/>
      <c r="M703" s="186"/>
      <c r="N703" s="186"/>
      <c r="O703" s="186"/>
      <c r="P703" s="186"/>
      <c r="Q703" s="186"/>
      <c r="R703" s="186"/>
      <c r="S703" s="186"/>
      <c r="T703" s="186"/>
      <c r="U703" s="186"/>
      <c r="V703" s="186"/>
      <c r="W703" s="186"/>
      <c r="X703" s="186"/>
      <c r="Y703" s="186"/>
      <c r="Z703" s="186"/>
      <c r="AA703" s="186"/>
      <c r="AB703" s="186"/>
      <c r="AC703" s="186"/>
      <c r="AD703" s="186"/>
      <c r="AE703" s="186"/>
    </row>
    <row r="704">
      <c r="A704" s="178"/>
      <c r="B704" s="36"/>
      <c r="C704" s="36"/>
      <c r="D704" s="197"/>
      <c r="E704" s="180"/>
      <c r="F704" s="181"/>
      <c r="G704" s="205"/>
      <c r="H704" s="205"/>
      <c r="I704" s="205"/>
      <c r="J704" s="205"/>
      <c r="K704" s="205"/>
      <c r="L704" s="205"/>
      <c r="M704" s="186"/>
      <c r="N704" s="186"/>
      <c r="O704" s="186"/>
      <c r="P704" s="186"/>
      <c r="Q704" s="186"/>
      <c r="R704" s="186"/>
      <c r="S704" s="186"/>
      <c r="T704" s="186"/>
      <c r="U704" s="186"/>
      <c r="V704" s="186"/>
      <c r="W704" s="186"/>
      <c r="X704" s="186"/>
      <c r="Y704" s="186"/>
      <c r="Z704" s="186"/>
      <c r="AA704" s="186"/>
      <c r="AB704" s="186"/>
      <c r="AC704" s="186"/>
      <c r="AD704" s="186"/>
      <c r="AE704" s="186"/>
    </row>
    <row r="705">
      <c r="A705" s="178"/>
      <c r="B705" s="36"/>
      <c r="C705" s="36"/>
      <c r="D705" s="197"/>
      <c r="E705" s="180"/>
      <c r="F705" s="181"/>
      <c r="G705" s="205"/>
      <c r="H705" s="205"/>
      <c r="I705" s="205"/>
      <c r="J705" s="205"/>
      <c r="K705" s="205"/>
      <c r="L705" s="205"/>
      <c r="M705" s="186"/>
      <c r="N705" s="186"/>
      <c r="O705" s="186"/>
      <c r="P705" s="186"/>
      <c r="Q705" s="186"/>
      <c r="R705" s="186"/>
      <c r="S705" s="186"/>
      <c r="T705" s="186"/>
      <c r="U705" s="186"/>
      <c r="V705" s="186"/>
      <c r="W705" s="186"/>
      <c r="X705" s="186"/>
      <c r="Y705" s="186"/>
      <c r="Z705" s="186"/>
      <c r="AA705" s="186"/>
      <c r="AB705" s="186"/>
      <c r="AC705" s="186"/>
      <c r="AD705" s="186"/>
      <c r="AE705" s="186"/>
    </row>
    <row r="706">
      <c r="A706" s="178"/>
      <c r="B706" s="36"/>
      <c r="C706" s="36"/>
      <c r="D706" s="197"/>
      <c r="E706" s="180"/>
      <c r="F706" s="181"/>
      <c r="G706" s="205"/>
      <c r="H706" s="205"/>
      <c r="I706" s="205"/>
      <c r="J706" s="205"/>
      <c r="K706" s="205"/>
      <c r="L706" s="205"/>
      <c r="M706" s="186"/>
      <c r="N706" s="186"/>
      <c r="O706" s="186"/>
      <c r="P706" s="186"/>
      <c r="Q706" s="186"/>
      <c r="R706" s="186"/>
      <c r="S706" s="186"/>
      <c r="T706" s="186"/>
      <c r="U706" s="186"/>
      <c r="V706" s="186"/>
      <c r="W706" s="186"/>
      <c r="X706" s="186"/>
      <c r="Y706" s="186"/>
      <c r="Z706" s="186"/>
      <c r="AA706" s="186"/>
      <c r="AB706" s="186"/>
      <c r="AC706" s="186"/>
      <c r="AD706" s="186"/>
      <c r="AE706" s="186"/>
    </row>
    <row r="707">
      <c r="A707" s="178"/>
      <c r="B707" s="36"/>
      <c r="C707" s="36"/>
      <c r="D707" s="197"/>
      <c r="E707" s="180"/>
      <c r="F707" s="181"/>
      <c r="G707" s="205"/>
      <c r="H707" s="205"/>
      <c r="I707" s="205"/>
      <c r="J707" s="205"/>
      <c r="K707" s="205"/>
      <c r="L707" s="205"/>
      <c r="M707" s="186"/>
      <c r="N707" s="186"/>
      <c r="O707" s="186"/>
      <c r="P707" s="186"/>
      <c r="Q707" s="186"/>
      <c r="R707" s="186"/>
      <c r="S707" s="186"/>
      <c r="T707" s="186"/>
      <c r="U707" s="186"/>
      <c r="V707" s="186"/>
      <c r="W707" s="186"/>
      <c r="X707" s="186"/>
      <c r="Y707" s="186"/>
      <c r="Z707" s="186"/>
      <c r="AA707" s="186"/>
      <c r="AB707" s="186"/>
      <c r="AC707" s="186"/>
      <c r="AD707" s="186"/>
      <c r="AE707" s="186"/>
    </row>
    <row r="708">
      <c r="A708" s="178"/>
      <c r="B708" s="36"/>
      <c r="C708" s="36"/>
      <c r="D708" s="197"/>
      <c r="E708" s="180"/>
      <c r="F708" s="181"/>
      <c r="G708" s="205"/>
      <c r="H708" s="205"/>
      <c r="I708" s="205"/>
      <c r="J708" s="205"/>
      <c r="K708" s="205"/>
      <c r="L708" s="205"/>
      <c r="M708" s="186"/>
      <c r="N708" s="186"/>
      <c r="O708" s="186"/>
      <c r="P708" s="186"/>
      <c r="Q708" s="186"/>
      <c r="R708" s="186"/>
      <c r="S708" s="186"/>
      <c r="T708" s="186"/>
      <c r="U708" s="186"/>
      <c r="V708" s="186"/>
      <c r="W708" s="186"/>
      <c r="X708" s="186"/>
      <c r="Y708" s="186"/>
      <c r="Z708" s="186"/>
      <c r="AA708" s="186"/>
      <c r="AB708" s="186"/>
      <c r="AC708" s="186"/>
      <c r="AD708" s="186"/>
      <c r="AE708" s="186"/>
    </row>
    <row r="709">
      <c r="A709" s="178"/>
      <c r="B709" s="36"/>
      <c r="C709" s="36"/>
      <c r="D709" s="197"/>
      <c r="E709" s="180"/>
      <c r="F709" s="181"/>
      <c r="G709" s="205"/>
      <c r="H709" s="205"/>
      <c r="I709" s="205"/>
      <c r="J709" s="205"/>
      <c r="K709" s="205"/>
      <c r="L709" s="205"/>
      <c r="M709" s="186"/>
      <c r="N709" s="186"/>
      <c r="O709" s="186"/>
      <c r="P709" s="186"/>
      <c r="Q709" s="186"/>
      <c r="R709" s="186"/>
      <c r="S709" s="186"/>
      <c r="T709" s="186"/>
      <c r="U709" s="186"/>
      <c r="V709" s="186"/>
      <c r="W709" s="186"/>
      <c r="X709" s="186"/>
      <c r="Y709" s="186"/>
      <c r="Z709" s="186"/>
      <c r="AA709" s="186"/>
      <c r="AB709" s="186"/>
      <c r="AC709" s="186"/>
      <c r="AD709" s="186"/>
      <c r="AE709" s="186"/>
    </row>
    <row r="710">
      <c r="A710" s="178"/>
      <c r="B710" s="36"/>
      <c r="C710" s="36"/>
      <c r="D710" s="197"/>
      <c r="E710" s="180"/>
      <c r="F710" s="181"/>
      <c r="G710" s="205"/>
      <c r="H710" s="205"/>
      <c r="I710" s="205"/>
      <c r="J710" s="205"/>
      <c r="K710" s="205"/>
      <c r="L710" s="205"/>
      <c r="M710" s="186"/>
      <c r="N710" s="186"/>
      <c r="O710" s="186"/>
      <c r="P710" s="186"/>
      <c r="Q710" s="186"/>
      <c r="R710" s="186"/>
      <c r="S710" s="186"/>
      <c r="T710" s="186"/>
      <c r="U710" s="186"/>
      <c r="V710" s="186"/>
      <c r="W710" s="186"/>
      <c r="X710" s="186"/>
      <c r="Y710" s="186"/>
      <c r="Z710" s="186"/>
      <c r="AA710" s="186"/>
      <c r="AB710" s="186"/>
      <c r="AC710" s="186"/>
      <c r="AD710" s="186"/>
      <c r="AE710" s="186"/>
    </row>
    <row r="711">
      <c r="A711" s="178"/>
      <c r="B711" s="36"/>
      <c r="C711" s="36"/>
      <c r="D711" s="197"/>
      <c r="E711" s="180"/>
      <c r="F711" s="181"/>
      <c r="G711" s="205"/>
      <c r="H711" s="205"/>
      <c r="I711" s="205"/>
      <c r="J711" s="205"/>
      <c r="K711" s="205"/>
      <c r="L711" s="205"/>
      <c r="M711" s="186"/>
      <c r="N711" s="186"/>
      <c r="O711" s="186"/>
      <c r="P711" s="186"/>
      <c r="Q711" s="186"/>
      <c r="R711" s="186"/>
      <c r="S711" s="186"/>
      <c r="T711" s="186"/>
      <c r="U711" s="186"/>
      <c r="V711" s="186"/>
      <c r="W711" s="186"/>
      <c r="X711" s="186"/>
      <c r="Y711" s="186"/>
      <c r="Z711" s="186"/>
      <c r="AA711" s="186"/>
      <c r="AB711" s="186"/>
      <c r="AC711" s="186"/>
      <c r="AD711" s="186"/>
      <c r="AE711" s="186"/>
    </row>
    <row r="712">
      <c r="A712" s="178"/>
      <c r="B712" s="36"/>
      <c r="C712" s="36"/>
      <c r="D712" s="197"/>
      <c r="E712" s="180"/>
      <c r="F712" s="181"/>
      <c r="G712" s="205"/>
      <c r="H712" s="205"/>
      <c r="I712" s="205"/>
      <c r="J712" s="205"/>
      <c r="K712" s="205"/>
      <c r="L712" s="205"/>
      <c r="M712" s="186"/>
      <c r="N712" s="186"/>
      <c r="O712" s="186"/>
      <c r="P712" s="186"/>
      <c r="Q712" s="186"/>
      <c r="R712" s="186"/>
      <c r="S712" s="186"/>
      <c r="T712" s="186"/>
      <c r="U712" s="186"/>
      <c r="V712" s="186"/>
      <c r="W712" s="186"/>
      <c r="X712" s="186"/>
      <c r="Y712" s="186"/>
      <c r="Z712" s="186"/>
      <c r="AA712" s="186"/>
      <c r="AB712" s="186"/>
      <c r="AC712" s="186"/>
      <c r="AD712" s="186"/>
      <c r="AE712" s="186"/>
    </row>
    <row r="713">
      <c r="A713" s="178"/>
      <c r="B713" s="36"/>
      <c r="C713" s="36"/>
      <c r="D713" s="197"/>
      <c r="E713" s="180"/>
      <c r="F713" s="181"/>
      <c r="G713" s="205"/>
      <c r="H713" s="205"/>
      <c r="I713" s="205"/>
      <c r="J713" s="205"/>
      <c r="K713" s="205"/>
      <c r="L713" s="205"/>
      <c r="M713" s="186"/>
      <c r="N713" s="186"/>
      <c r="O713" s="186"/>
      <c r="P713" s="186"/>
      <c r="Q713" s="186"/>
      <c r="R713" s="186"/>
      <c r="S713" s="186"/>
      <c r="T713" s="186"/>
      <c r="U713" s="186"/>
      <c r="V713" s="186"/>
      <c r="W713" s="186"/>
      <c r="X713" s="186"/>
      <c r="Y713" s="186"/>
      <c r="Z713" s="186"/>
      <c r="AA713" s="186"/>
      <c r="AB713" s="186"/>
      <c r="AC713" s="186"/>
      <c r="AD713" s="186"/>
      <c r="AE713" s="186"/>
    </row>
    <row r="714">
      <c r="A714" s="178"/>
      <c r="B714" s="36"/>
      <c r="C714" s="36"/>
      <c r="D714" s="197"/>
      <c r="E714" s="180"/>
      <c r="F714" s="181"/>
      <c r="G714" s="205"/>
      <c r="H714" s="205"/>
      <c r="I714" s="205"/>
      <c r="J714" s="205"/>
      <c r="K714" s="205"/>
      <c r="L714" s="205"/>
      <c r="M714" s="186"/>
      <c r="N714" s="186"/>
      <c r="O714" s="186"/>
      <c r="P714" s="186"/>
      <c r="Q714" s="186"/>
      <c r="R714" s="186"/>
      <c r="S714" s="186"/>
      <c r="T714" s="186"/>
      <c r="U714" s="186"/>
      <c r="V714" s="186"/>
      <c r="W714" s="186"/>
      <c r="X714" s="186"/>
      <c r="Y714" s="186"/>
      <c r="Z714" s="186"/>
      <c r="AA714" s="186"/>
      <c r="AB714" s="186"/>
      <c r="AC714" s="186"/>
      <c r="AD714" s="186"/>
      <c r="AE714" s="186"/>
    </row>
    <row r="715">
      <c r="A715" s="178"/>
      <c r="B715" s="36"/>
      <c r="C715" s="36"/>
      <c r="D715" s="197"/>
      <c r="E715" s="180"/>
      <c r="F715" s="181"/>
      <c r="G715" s="205"/>
      <c r="H715" s="205"/>
      <c r="I715" s="205"/>
      <c r="J715" s="205"/>
      <c r="K715" s="205"/>
      <c r="L715" s="205"/>
      <c r="M715" s="186"/>
      <c r="N715" s="186"/>
      <c r="O715" s="186"/>
      <c r="P715" s="186"/>
      <c r="Q715" s="186"/>
      <c r="R715" s="186"/>
      <c r="S715" s="186"/>
      <c r="T715" s="186"/>
      <c r="U715" s="186"/>
      <c r="V715" s="186"/>
      <c r="W715" s="186"/>
      <c r="X715" s="186"/>
      <c r="Y715" s="186"/>
      <c r="Z715" s="186"/>
      <c r="AA715" s="186"/>
      <c r="AB715" s="186"/>
      <c r="AC715" s="186"/>
      <c r="AD715" s="186"/>
      <c r="AE715" s="186"/>
    </row>
    <row r="716">
      <c r="A716" s="178"/>
      <c r="B716" s="36"/>
      <c r="C716" s="36"/>
      <c r="D716" s="197"/>
      <c r="E716" s="180"/>
      <c r="F716" s="181"/>
      <c r="G716" s="205"/>
      <c r="H716" s="205"/>
      <c r="I716" s="205"/>
      <c r="J716" s="205"/>
      <c r="K716" s="205"/>
      <c r="L716" s="205"/>
      <c r="M716" s="186"/>
      <c r="N716" s="186"/>
      <c r="O716" s="186"/>
      <c r="P716" s="186"/>
      <c r="Q716" s="186"/>
      <c r="R716" s="186"/>
      <c r="S716" s="186"/>
      <c r="T716" s="186"/>
      <c r="U716" s="186"/>
      <c r="V716" s="186"/>
      <c r="W716" s="186"/>
      <c r="X716" s="186"/>
      <c r="Y716" s="186"/>
      <c r="Z716" s="186"/>
      <c r="AA716" s="186"/>
      <c r="AB716" s="186"/>
      <c r="AC716" s="186"/>
      <c r="AD716" s="186"/>
      <c r="AE716" s="186"/>
    </row>
    <row r="717">
      <c r="A717" s="178"/>
      <c r="B717" s="36"/>
      <c r="C717" s="36"/>
      <c r="D717" s="197"/>
      <c r="E717" s="180"/>
      <c r="F717" s="181"/>
      <c r="G717" s="205"/>
      <c r="H717" s="205"/>
      <c r="I717" s="205"/>
      <c r="J717" s="205"/>
      <c r="K717" s="205"/>
      <c r="L717" s="205"/>
      <c r="M717" s="186"/>
      <c r="N717" s="186"/>
      <c r="O717" s="186"/>
      <c r="P717" s="186"/>
      <c r="Q717" s="186"/>
      <c r="R717" s="186"/>
      <c r="S717" s="186"/>
      <c r="T717" s="186"/>
      <c r="U717" s="186"/>
      <c r="V717" s="186"/>
      <c r="W717" s="186"/>
      <c r="X717" s="186"/>
      <c r="Y717" s="186"/>
      <c r="Z717" s="186"/>
      <c r="AA717" s="186"/>
      <c r="AB717" s="186"/>
      <c r="AC717" s="186"/>
      <c r="AD717" s="186"/>
      <c r="AE717" s="186"/>
    </row>
    <row r="718">
      <c r="A718" s="178"/>
      <c r="B718" s="36"/>
      <c r="C718" s="36"/>
      <c r="D718" s="197"/>
      <c r="E718" s="180"/>
      <c r="F718" s="181"/>
      <c r="G718" s="205"/>
      <c r="H718" s="205"/>
      <c r="I718" s="205"/>
      <c r="J718" s="205"/>
      <c r="K718" s="205"/>
      <c r="L718" s="205"/>
      <c r="M718" s="186"/>
      <c r="N718" s="186"/>
      <c r="O718" s="186"/>
      <c r="P718" s="186"/>
      <c r="Q718" s="186"/>
      <c r="R718" s="186"/>
      <c r="S718" s="186"/>
      <c r="T718" s="186"/>
      <c r="U718" s="186"/>
      <c r="V718" s="186"/>
      <c r="W718" s="186"/>
      <c r="X718" s="186"/>
      <c r="Y718" s="186"/>
      <c r="Z718" s="186"/>
      <c r="AA718" s="186"/>
      <c r="AB718" s="186"/>
      <c r="AC718" s="186"/>
      <c r="AD718" s="186"/>
      <c r="AE718" s="186"/>
    </row>
    <row r="719">
      <c r="A719" s="178"/>
      <c r="B719" s="36"/>
      <c r="C719" s="36"/>
      <c r="D719" s="197"/>
      <c r="E719" s="180"/>
      <c r="F719" s="181"/>
      <c r="G719" s="205"/>
      <c r="H719" s="205"/>
      <c r="I719" s="205"/>
      <c r="J719" s="205"/>
      <c r="K719" s="205"/>
      <c r="L719" s="205"/>
      <c r="M719" s="186"/>
      <c r="N719" s="186"/>
      <c r="O719" s="186"/>
      <c r="P719" s="186"/>
      <c r="Q719" s="186"/>
      <c r="R719" s="186"/>
      <c r="S719" s="186"/>
      <c r="T719" s="186"/>
      <c r="U719" s="186"/>
      <c r="V719" s="186"/>
      <c r="W719" s="186"/>
      <c r="X719" s="186"/>
      <c r="Y719" s="186"/>
      <c r="Z719" s="186"/>
      <c r="AA719" s="186"/>
      <c r="AB719" s="186"/>
      <c r="AC719" s="186"/>
      <c r="AD719" s="186"/>
      <c r="AE719" s="186"/>
    </row>
    <row r="720">
      <c r="A720" s="178"/>
      <c r="B720" s="36"/>
      <c r="C720" s="36"/>
      <c r="D720" s="197"/>
      <c r="E720" s="180"/>
      <c r="F720" s="181"/>
      <c r="G720" s="205"/>
      <c r="H720" s="205"/>
      <c r="I720" s="205"/>
      <c r="J720" s="205"/>
      <c r="K720" s="205"/>
      <c r="L720" s="205"/>
      <c r="M720" s="186"/>
      <c r="N720" s="186"/>
      <c r="O720" s="186"/>
      <c r="P720" s="186"/>
      <c r="Q720" s="186"/>
      <c r="R720" s="186"/>
      <c r="S720" s="186"/>
      <c r="T720" s="186"/>
      <c r="U720" s="186"/>
      <c r="V720" s="186"/>
      <c r="W720" s="186"/>
      <c r="X720" s="186"/>
      <c r="Y720" s="186"/>
      <c r="Z720" s="186"/>
      <c r="AA720" s="186"/>
      <c r="AB720" s="186"/>
      <c r="AC720" s="186"/>
      <c r="AD720" s="186"/>
      <c r="AE720" s="186"/>
    </row>
    <row r="721">
      <c r="A721" s="178"/>
      <c r="B721" s="36"/>
      <c r="C721" s="36"/>
      <c r="D721" s="197"/>
      <c r="E721" s="180"/>
      <c r="F721" s="181"/>
      <c r="G721" s="205"/>
      <c r="H721" s="205"/>
      <c r="I721" s="205"/>
      <c r="J721" s="205"/>
      <c r="K721" s="205"/>
      <c r="L721" s="205"/>
      <c r="M721" s="186"/>
      <c r="N721" s="186"/>
      <c r="O721" s="186"/>
      <c r="P721" s="186"/>
      <c r="Q721" s="186"/>
      <c r="R721" s="186"/>
      <c r="S721" s="186"/>
      <c r="T721" s="186"/>
      <c r="U721" s="186"/>
      <c r="V721" s="186"/>
      <c r="W721" s="186"/>
      <c r="X721" s="186"/>
      <c r="Y721" s="186"/>
      <c r="Z721" s="186"/>
      <c r="AA721" s="186"/>
      <c r="AB721" s="186"/>
      <c r="AC721" s="186"/>
      <c r="AD721" s="186"/>
      <c r="AE721" s="186"/>
    </row>
    <row r="722">
      <c r="A722" s="178"/>
      <c r="B722" s="36"/>
      <c r="C722" s="36"/>
      <c r="D722" s="197"/>
      <c r="E722" s="180"/>
      <c r="F722" s="181"/>
      <c r="G722" s="205"/>
      <c r="H722" s="205"/>
      <c r="I722" s="205"/>
      <c r="J722" s="205"/>
      <c r="K722" s="205"/>
      <c r="L722" s="205"/>
      <c r="M722" s="186"/>
      <c r="N722" s="186"/>
      <c r="O722" s="186"/>
      <c r="P722" s="186"/>
      <c r="Q722" s="186"/>
      <c r="R722" s="186"/>
      <c r="S722" s="186"/>
      <c r="T722" s="186"/>
      <c r="U722" s="186"/>
      <c r="V722" s="186"/>
      <c r="W722" s="186"/>
      <c r="X722" s="186"/>
      <c r="Y722" s="186"/>
      <c r="Z722" s="186"/>
      <c r="AA722" s="186"/>
      <c r="AB722" s="186"/>
      <c r="AC722" s="186"/>
      <c r="AD722" s="186"/>
      <c r="AE722" s="186"/>
    </row>
    <row r="723">
      <c r="A723" s="178"/>
      <c r="B723" s="36"/>
      <c r="C723" s="36"/>
      <c r="D723" s="197"/>
      <c r="E723" s="180"/>
      <c r="F723" s="181"/>
      <c r="G723" s="205"/>
      <c r="H723" s="205"/>
      <c r="I723" s="205"/>
      <c r="J723" s="205"/>
      <c r="K723" s="205"/>
      <c r="L723" s="205"/>
      <c r="M723" s="186"/>
      <c r="N723" s="186"/>
      <c r="O723" s="186"/>
      <c r="P723" s="186"/>
      <c r="Q723" s="186"/>
      <c r="R723" s="186"/>
      <c r="S723" s="186"/>
      <c r="T723" s="186"/>
      <c r="U723" s="186"/>
      <c r="V723" s="186"/>
      <c r="W723" s="186"/>
      <c r="X723" s="186"/>
      <c r="Y723" s="186"/>
      <c r="Z723" s="186"/>
      <c r="AA723" s="186"/>
      <c r="AB723" s="186"/>
      <c r="AC723" s="186"/>
      <c r="AD723" s="186"/>
      <c r="AE723" s="186"/>
    </row>
    <row r="724">
      <c r="A724" s="178"/>
      <c r="B724" s="36"/>
      <c r="C724" s="36"/>
      <c r="D724" s="197"/>
      <c r="E724" s="180"/>
      <c r="F724" s="181"/>
      <c r="G724" s="205"/>
      <c r="H724" s="205"/>
      <c r="I724" s="205"/>
      <c r="J724" s="205"/>
      <c r="K724" s="205"/>
      <c r="L724" s="205"/>
      <c r="M724" s="186"/>
      <c r="N724" s="186"/>
      <c r="O724" s="186"/>
      <c r="P724" s="186"/>
      <c r="Q724" s="186"/>
      <c r="R724" s="186"/>
      <c r="S724" s="186"/>
      <c r="T724" s="186"/>
      <c r="U724" s="186"/>
      <c r="V724" s="186"/>
      <c r="W724" s="186"/>
      <c r="X724" s="186"/>
      <c r="Y724" s="186"/>
      <c r="Z724" s="186"/>
      <c r="AA724" s="186"/>
      <c r="AB724" s="186"/>
      <c r="AC724" s="186"/>
      <c r="AD724" s="186"/>
      <c r="AE724" s="186"/>
    </row>
    <row r="725">
      <c r="A725" s="178"/>
      <c r="B725" s="36"/>
      <c r="C725" s="36"/>
      <c r="D725" s="197"/>
      <c r="E725" s="180"/>
      <c r="F725" s="181"/>
      <c r="G725" s="205"/>
      <c r="H725" s="205"/>
      <c r="I725" s="205"/>
      <c r="J725" s="205"/>
      <c r="K725" s="205"/>
      <c r="L725" s="205"/>
      <c r="M725" s="186"/>
      <c r="N725" s="186"/>
      <c r="O725" s="186"/>
      <c r="P725" s="186"/>
      <c r="Q725" s="186"/>
      <c r="R725" s="186"/>
      <c r="S725" s="186"/>
      <c r="T725" s="186"/>
      <c r="U725" s="186"/>
      <c r="V725" s="186"/>
      <c r="W725" s="186"/>
      <c r="X725" s="186"/>
      <c r="Y725" s="186"/>
      <c r="Z725" s="186"/>
      <c r="AA725" s="186"/>
      <c r="AB725" s="186"/>
      <c r="AC725" s="186"/>
      <c r="AD725" s="186"/>
      <c r="AE725" s="186"/>
    </row>
    <row r="726">
      <c r="A726" s="178"/>
      <c r="B726" s="36"/>
      <c r="C726" s="36"/>
      <c r="D726" s="197"/>
      <c r="E726" s="180"/>
      <c r="F726" s="181"/>
      <c r="G726" s="205"/>
      <c r="H726" s="205"/>
      <c r="I726" s="205"/>
      <c r="J726" s="205"/>
      <c r="K726" s="205"/>
      <c r="L726" s="205"/>
      <c r="M726" s="186"/>
      <c r="N726" s="186"/>
      <c r="O726" s="186"/>
      <c r="P726" s="186"/>
      <c r="Q726" s="186"/>
      <c r="R726" s="186"/>
      <c r="S726" s="186"/>
      <c r="T726" s="186"/>
      <c r="U726" s="186"/>
      <c r="V726" s="186"/>
      <c r="W726" s="186"/>
      <c r="X726" s="186"/>
      <c r="Y726" s="186"/>
      <c r="Z726" s="186"/>
      <c r="AA726" s="186"/>
      <c r="AB726" s="186"/>
      <c r="AC726" s="186"/>
      <c r="AD726" s="186"/>
      <c r="AE726" s="186"/>
    </row>
    <row r="727">
      <c r="A727" s="178"/>
      <c r="B727" s="36"/>
      <c r="C727" s="36"/>
      <c r="D727" s="197"/>
      <c r="E727" s="180"/>
      <c r="F727" s="181"/>
      <c r="G727" s="205"/>
      <c r="H727" s="205"/>
      <c r="I727" s="205"/>
      <c r="J727" s="205"/>
      <c r="K727" s="205"/>
      <c r="L727" s="205"/>
      <c r="M727" s="186"/>
      <c r="N727" s="186"/>
      <c r="O727" s="186"/>
      <c r="P727" s="186"/>
      <c r="Q727" s="186"/>
      <c r="R727" s="186"/>
      <c r="S727" s="186"/>
      <c r="T727" s="186"/>
      <c r="U727" s="186"/>
      <c r="V727" s="186"/>
      <c r="W727" s="186"/>
      <c r="X727" s="186"/>
      <c r="Y727" s="186"/>
      <c r="Z727" s="186"/>
      <c r="AA727" s="186"/>
      <c r="AB727" s="186"/>
      <c r="AC727" s="186"/>
      <c r="AD727" s="186"/>
      <c r="AE727" s="186"/>
    </row>
    <row r="728">
      <c r="A728" s="178"/>
      <c r="B728" s="36"/>
      <c r="C728" s="36"/>
      <c r="D728" s="197"/>
      <c r="E728" s="180"/>
      <c r="F728" s="181"/>
      <c r="G728" s="205"/>
      <c r="H728" s="205"/>
      <c r="I728" s="205"/>
      <c r="J728" s="205"/>
      <c r="K728" s="205"/>
      <c r="L728" s="205"/>
      <c r="M728" s="186"/>
      <c r="N728" s="186"/>
      <c r="O728" s="186"/>
      <c r="P728" s="186"/>
      <c r="Q728" s="186"/>
      <c r="R728" s="186"/>
      <c r="S728" s="186"/>
      <c r="T728" s="186"/>
      <c r="U728" s="186"/>
      <c r="V728" s="186"/>
      <c r="W728" s="186"/>
      <c r="X728" s="186"/>
      <c r="Y728" s="186"/>
      <c r="Z728" s="186"/>
      <c r="AA728" s="186"/>
      <c r="AB728" s="186"/>
      <c r="AC728" s="186"/>
      <c r="AD728" s="186"/>
      <c r="AE728" s="186"/>
    </row>
    <row r="729">
      <c r="A729" s="178"/>
      <c r="B729" s="36"/>
      <c r="C729" s="36"/>
      <c r="D729" s="197"/>
      <c r="E729" s="180"/>
      <c r="F729" s="181"/>
      <c r="G729" s="205"/>
      <c r="H729" s="205"/>
      <c r="I729" s="205"/>
      <c r="J729" s="205"/>
      <c r="K729" s="205"/>
      <c r="L729" s="205"/>
      <c r="M729" s="186"/>
      <c r="N729" s="186"/>
      <c r="O729" s="186"/>
      <c r="P729" s="186"/>
      <c r="Q729" s="186"/>
      <c r="R729" s="186"/>
      <c r="S729" s="186"/>
      <c r="T729" s="186"/>
      <c r="U729" s="186"/>
      <c r="V729" s="186"/>
      <c r="W729" s="186"/>
      <c r="X729" s="186"/>
      <c r="Y729" s="186"/>
      <c r="Z729" s="186"/>
      <c r="AA729" s="186"/>
      <c r="AB729" s="186"/>
      <c r="AC729" s="186"/>
      <c r="AD729" s="186"/>
      <c r="AE729" s="186"/>
    </row>
    <row r="730">
      <c r="A730" s="178"/>
      <c r="B730" s="36"/>
      <c r="C730" s="36"/>
      <c r="D730" s="197"/>
      <c r="E730" s="180"/>
      <c r="F730" s="181"/>
      <c r="G730" s="205"/>
      <c r="H730" s="205"/>
      <c r="I730" s="205"/>
      <c r="J730" s="205"/>
      <c r="K730" s="205"/>
      <c r="L730" s="205"/>
      <c r="M730" s="186"/>
      <c r="N730" s="186"/>
      <c r="O730" s="186"/>
      <c r="P730" s="186"/>
      <c r="Q730" s="186"/>
      <c r="R730" s="186"/>
      <c r="S730" s="186"/>
      <c r="T730" s="186"/>
      <c r="U730" s="186"/>
      <c r="V730" s="186"/>
      <c r="W730" s="186"/>
      <c r="X730" s="186"/>
      <c r="Y730" s="186"/>
      <c r="Z730" s="186"/>
      <c r="AA730" s="186"/>
      <c r="AB730" s="186"/>
      <c r="AC730" s="186"/>
      <c r="AD730" s="186"/>
      <c r="AE730" s="186"/>
    </row>
    <row r="731">
      <c r="A731" s="178"/>
      <c r="B731" s="36"/>
      <c r="C731" s="36"/>
      <c r="D731" s="197"/>
      <c r="E731" s="180"/>
      <c r="F731" s="181"/>
      <c r="G731" s="205"/>
      <c r="H731" s="205"/>
      <c r="I731" s="205"/>
      <c r="J731" s="205"/>
      <c r="K731" s="205"/>
      <c r="L731" s="205"/>
      <c r="M731" s="186"/>
      <c r="N731" s="186"/>
      <c r="O731" s="186"/>
      <c r="P731" s="186"/>
      <c r="Q731" s="186"/>
      <c r="R731" s="186"/>
      <c r="S731" s="186"/>
      <c r="T731" s="186"/>
      <c r="U731" s="186"/>
      <c r="V731" s="186"/>
      <c r="W731" s="186"/>
      <c r="X731" s="186"/>
      <c r="Y731" s="186"/>
      <c r="Z731" s="186"/>
      <c r="AA731" s="186"/>
      <c r="AB731" s="186"/>
      <c r="AC731" s="186"/>
      <c r="AD731" s="186"/>
      <c r="AE731" s="186"/>
    </row>
    <row r="732">
      <c r="A732" s="178"/>
      <c r="B732" s="36"/>
      <c r="C732" s="36"/>
      <c r="D732" s="197"/>
      <c r="E732" s="180"/>
      <c r="F732" s="181"/>
      <c r="G732" s="205"/>
      <c r="H732" s="205"/>
      <c r="I732" s="205"/>
      <c r="J732" s="205"/>
      <c r="K732" s="205"/>
      <c r="L732" s="205"/>
      <c r="M732" s="186"/>
      <c r="N732" s="186"/>
      <c r="O732" s="186"/>
      <c r="P732" s="186"/>
      <c r="Q732" s="186"/>
      <c r="R732" s="186"/>
      <c r="S732" s="186"/>
      <c r="T732" s="186"/>
      <c r="U732" s="186"/>
      <c r="V732" s="186"/>
      <c r="W732" s="186"/>
      <c r="X732" s="186"/>
      <c r="Y732" s="186"/>
      <c r="Z732" s="186"/>
      <c r="AA732" s="186"/>
      <c r="AB732" s="186"/>
      <c r="AC732" s="186"/>
      <c r="AD732" s="186"/>
      <c r="AE732" s="186"/>
    </row>
    <row r="733">
      <c r="A733" s="178"/>
      <c r="B733" s="36"/>
      <c r="C733" s="36"/>
      <c r="D733" s="197"/>
      <c r="E733" s="180"/>
      <c r="F733" s="181"/>
      <c r="G733" s="205"/>
      <c r="H733" s="205"/>
      <c r="I733" s="205"/>
      <c r="J733" s="205"/>
      <c r="K733" s="205"/>
      <c r="L733" s="205"/>
      <c r="M733" s="186"/>
      <c r="N733" s="186"/>
      <c r="O733" s="186"/>
      <c r="P733" s="186"/>
      <c r="Q733" s="186"/>
      <c r="R733" s="186"/>
      <c r="S733" s="186"/>
      <c r="T733" s="186"/>
      <c r="U733" s="186"/>
      <c r="V733" s="186"/>
      <c r="W733" s="186"/>
      <c r="X733" s="186"/>
      <c r="Y733" s="186"/>
      <c r="Z733" s="186"/>
      <c r="AA733" s="186"/>
      <c r="AB733" s="186"/>
      <c r="AC733" s="186"/>
      <c r="AD733" s="186"/>
      <c r="AE733" s="186"/>
    </row>
    <row r="734">
      <c r="A734" s="178"/>
      <c r="B734" s="36"/>
      <c r="C734" s="36"/>
      <c r="D734" s="197"/>
      <c r="E734" s="180"/>
      <c r="F734" s="181"/>
      <c r="G734" s="205"/>
      <c r="H734" s="205"/>
      <c r="I734" s="205"/>
      <c r="J734" s="205"/>
      <c r="K734" s="205"/>
      <c r="L734" s="205"/>
      <c r="M734" s="186"/>
      <c r="N734" s="186"/>
      <c r="O734" s="186"/>
      <c r="P734" s="186"/>
      <c r="Q734" s="186"/>
      <c r="R734" s="186"/>
      <c r="S734" s="186"/>
      <c r="T734" s="186"/>
      <c r="U734" s="186"/>
      <c r="V734" s="186"/>
      <c r="W734" s="186"/>
      <c r="X734" s="186"/>
      <c r="Y734" s="186"/>
      <c r="Z734" s="186"/>
      <c r="AA734" s="186"/>
      <c r="AB734" s="186"/>
      <c r="AC734" s="186"/>
      <c r="AD734" s="186"/>
      <c r="AE734" s="186"/>
    </row>
    <row r="735">
      <c r="A735" s="178"/>
      <c r="B735" s="36"/>
      <c r="C735" s="36"/>
      <c r="D735" s="197"/>
      <c r="E735" s="180"/>
      <c r="F735" s="181"/>
      <c r="G735" s="205"/>
      <c r="H735" s="205"/>
      <c r="I735" s="205"/>
      <c r="J735" s="205"/>
      <c r="K735" s="205"/>
      <c r="L735" s="205"/>
      <c r="M735" s="186"/>
      <c r="N735" s="186"/>
      <c r="O735" s="186"/>
      <c r="P735" s="186"/>
      <c r="Q735" s="186"/>
      <c r="R735" s="186"/>
      <c r="S735" s="186"/>
      <c r="T735" s="186"/>
      <c r="U735" s="186"/>
      <c r="V735" s="186"/>
      <c r="W735" s="186"/>
      <c r="X735" s="186"/>
      <c r="Y735" s="186"/>
      <c r="Z735" s="186"/>
      <c r="AA735" s="186"/>
      <c r="AB735" s="186"/>
      <c r="AC735" s="186"/>
      <c r="AD735" s="186"/>
      <c r="AE735" s="186"/>
    </row>
    <row r="736">
      <c r="A736" s="178"/>
      <c r="B736" s="36"/>
      <c r="C736" s="36"/>
      <c r="D736" s="197"/>
      <c r="E736" s="180"/>
      <c r="F736" s="181"/>
      <c r="G736" s="205"/>
      <c r="H736" s="205"/>
      <c r="I736" s="205"/>
      <c r="J736" s="205"/>
      <c r="K736" s="205"/>
      <c r="L736" s="205"/>
      <c r="M736" s="186"/>
      <c r="N736" s="186"/>
      <c r="O736" s="186"/>
      <c r="P736" s="186"/>
      <c r="Q736" s="186"/>
      <c r="R736" s="186"/>
      <c r="S736" s="186"/>
      <c r="T736" s="186"/>
      <c r="U736" s="186"/>
      <c r="V736" s="186"/>
      <c r="W736" s="186"/>
      <c r="X736" s="186"/>
      <c r="Y736" s="186"/>
      <c r="Z736" s="186"/>
      <c r="AA736" s="186"/>
      <c r="AB736" s="186"/>
      <c r="AC736" s="186"/>
      <c r="AD736" s="186"/>
      <c r="AE736" s="186"/>
    </row>
    <row r="737">
      <c r="A737" s="178"/>
      <c r="B737" s="36"/>
      <c r="C737" s="36"/>
      <c r="D737" s="197"/>
      <c r="E737" s="180"/>
      <c r="F737" s="181"/>
      <c r="G737" s="205"/>
      <c r="H737" s="205"/>
      <c r="I737" s="205"/>
      <c r="J737" s="205"/>
      <c r="K737" s="205"/>
      <c r="L737" s="205"/>
      <c r="M737" s="186"/>
      <c r="N737" s="186"/>
      <c r="O737" s="186"/>
      <c r="P737" s="186"/>
      <c r="Q737" s="186"/>
      <c r="R737" s="186"/>
      <c r="S737" s="186"/>
      <c r="T737" s="186"/>
      <c r="U737" s="186"/>
      <c r="V737" s="186"/>
      <c r="W737" s="186"/>
      <c r="X737" s="186"/>
      <c r="Y737" s="186"/>
      <c r="Z737" s="186"/>
      <c r="AA737" s="186"/>
      <c r="AB737" s="186"/>
      <c r="AC737" s="186"/>
      <c r="AD737" s="186"/>
      <c r="AE737" s="186"/>
    </row>
    <row r="738">
      <c r="A738" s="178"/>
      <c r="B738" s="36"/>
      <c r="C738" s="36"/>
      <c r="D738" s="197"/>
      <c r="E738" s="180"/>
      <c r="F738" s="181"/>
      <c r="G738" s="205"/>
      <c r="H738" s="205"/>
      <c r="I738" s="205"/>
      <c r="J738" s="205"/>
      <c r="K738" s="205"/>
      <c r="L738" s="205"/>
      <c r="M738" s="186"/>
      <c r="N738" s="186"/>
      <c r="O738" s="186"/>
      <c r="P738" s="186"/>
      <c r="Q738" s="186"/>
      <c r="R738" s="186"/>
      <c r="S738" s="186"/>
      <c r="T738" s="186"/>
      <c r="U738" s="186"/>
      <c r="V738" s="186"/>
      <c r="W738" s="186"/>
      <c r="X738" s="186"/>
      <c r="Y738" s="186"/>
      <c r="Z738" s="186"/>
      <c r="AA738" s="186"/>
      <c r="AB738" s="186"/>
      <c r="AC738" s="186"/>
      <c r="AD738" s="186"/>
      <c r="AE738" s="186"/>
    </row>
    <row r="739">
      <c r="A739" s="178"/>
      <c r="B739" s="36"/>
      <c r="C739" s="36"/>
      <c r="D739" s="197"/>
      <c r="E739" s="180"/>
      <c r="F739" s="181"/>
      <c r="G739" s="205"/>
      <c r="H739" s="205"/>
      <c r="I739" s="205"/>
      <c r="J739" s="205"/>
      <c r="K739" s="205"/>
      <c r="L739" s="205"/>
      <c r="M739" s="186"/>
      <c r="N739" s="186"/>
      <c r="O739" s="186"/>
      <c r="P739" s="186"/>
      <c r="Q739" s="186"/>
      <c r="R739" s="186"/>
      <c r="S739" s="186"/>
      <c r="T739" s="186"/>
      <c r="U739" s="186"/>
      <c r="V739" s="186"/>
      <c r="W739" s="186"/>
      <c r="X739" s="186"/>
      <c r="Y739" s="186"/>
      <c r="Z739" s="186"/>
      <c r="AA739" s="186"/>
      <c r="AB739" s="186"/>
      <c r="AC739" s="186"/>
      <c r="AD739" s="186"/>
      <c r="AE739" s="186"/>
    </row>
    <row r="740">
      <c r="A740" s="178"/>
      <c r="B740" s="36"/>
      <c r="C740" s="36"/>
      <c r="D740" s="197"/>
      <c r="E740" s="180"/>
      <c r="F740" s="181"/>
      <c r="G740" s="205"/>
      <c r="H740" s="205"/>
      <c r="I740" s="205"/>
      <c r="J740" s="205"/>
      <c r="K740" s="205"/>
      <c r="L740" s="205"/>
      <c r="M740" s="186"/>
      <c r="N740" s="186"/>
      <c r="O740" s="186"/>
      <c r="P740" s="186"/>
      <c r="Q740" s="186"/>
      <c r="R740" s="186"/>
      <c r="S740" s="186"/>
      <c r="T740" s="186"/>
      <c r="U740" s="186"/>
      <c r="V740" s="186"/>
      <c r="W740" s="186"/>
      <c r="X740" s="186"/>
      <c r="Y740" s="186"/>
      <c r="Z740" s="186"/>
      <c r="AA740" s="186"/>
      <c r="AB740" s="186"/>
      <c r="AC740" s="186"/>
      <c r="AD740" s="186"/>
      <c r="AE740" s="186"/>
    </row>
    <row r="741">
      <c r="A741" s="178"/>
      <c r="B741" s="36"/>
      <c r="C741" s="36"/>
      <c r="D741" s="197"/>
      <c r="E741" s="180"/>
      <c r="F741" s="181"/>
      <c r="G741" s="205"/>
      <c r="H741" s="205"/>
      <c r="I741" s="205"/>
      <c r="J741" s="205"/>
      <c r="K741" s="205"/>
      <c r="L741" s="205"/>
      <c r="M741" s="186"/>
      <c r="N741" s="186"/>
      <c r="O741" s="186"/>
      <c r="P741" s="186"/>
      <c r="Q741" s="186"/>
      <c r="R741" s="186"/>
      <c r="S741" s="186"/>
      <c r="T741" s="186"/>
      <c r="U741" s="186"/>
      <c r="V741" s="186"/>
      <c r="W741" s="186"/>
      <c r="X741" s="186"/>
      <c r="Y741" s="186"/>
      <c r="Z741" s="186"/>
      <c r="AA741" s="186"/>
      <c r="AB741" s="186"/>
      <c r="AC741" s="186"/>
      <c r="AD741" s="186"/>
      <c r="AE741" s="186"/>
    </row>
    <row r="742">
      <c r="A742" s="178"/>
      <c r="B742" s="36"/>
      <c r="C742" s="36"/>
      <c r="D742" s="197"/>
      <c r="E742" s="180"/>
      <c r="F742" s="181"/>
      <c r="G742" s="205"/>
      <c r="H742" s="205"/>
      <c r="I742" s="205"/>
      <c r="J742" s="205"/>
      <c r="K742" s="205"/>
      <c r="L742" s="205"/>
      <c r="M742" s="186"/>
      <c r="N742" s="186"/>
      <c r="O742" s="186"/>
      <c r="P742" s="186"/>
      <c r="Q742" s="186"/>
      <c r="R742" s="186"/>
      <c r="S742" s="186"/>
      <c r="T742" s="186"/>
      <c r="U742" s="186"/>
      <c r="V742" s="186"/>
      <c r="W742" s="186"/>
      <c r="X742" s="186"/>
      <c r="Y742" s="186"/>
      <c r="Z742" s="186"/>
      <c r="AA742" s="186"/>
      <c r="AB742" s="186"/>
      <c r="AC742" s="186"/>
      <c r="AD742" s="186"/>
      <c r="AE742" s="186"/>
    </row>
    <row r="743">
      <c r="A743" s="178"/>
      <c r="B743" s="36"/>
      <c r="C743" s="36"/>
      <c r="D743" s="197"/>
      <c r="E743" s="180"/>
      <c r="F743" s="181"/>
      <c r="G743" s="205"/>
      <c r="H743" s="205"/>
      <c r="I743" s="205"/>
      <c r="J743" s="205"/>
      <c r="K743" s="205"/>
      <c r="L743" s="205"/>
      <c r="M743" s="186"/>
      <c r="N743" s="186"/>
      <c r="O743" s="186"/>
      <c r="P743" s="186"/>
      <c r="Q743" s="186"/>
      <c r="R743" s="186"/>
      <c r="S743" s="186"/>
      <c r="T743" s="186"/>
      <c r="U743" s="186"/>
      <c r="V743" s="186"/>
      <c r="W743" s="186"/>
      <c r="X743" s="186"/>
      <c r="Y743" s="186"/>
      <c r="Z743" s="186"/>
      <c r="AA743" s="186"/>
      <c r="AB743" s="186"/>
      <c r="AC743" s="186"/>
      <c r="AD743" s="186"/>
      <c r="AE743" s="186"/>
    </row>
    <row r="744">
      <c r="A744" s="178"/>
      <c r="B744" s="36"/>
      <c r="C744" s="36"/>
      <c r="D744" s="197"/>
      <c r="E744" s="180"/>
      <c r="F744" s="181"/>
      <c r="G744" s="205"/>
      <c r="H744" s="205"/>
      <c r="I744" s="205"/>
      <c r="J744" s="205"/>
      <c r="K744" s="205"/>
      <c r="L744" s="205"/>
      <c r="M744" s="186"/>
      <c r="N744" s="186"/>
      <c r="O744" s="186"/>
      <c r="P744" s="186"/>
      <c r="Q744" s="186"/>
      <c r="R744" s="186"/>
      <c r="S744" s="186"/>
      <c r="T744" s="186"/>
      <c r="U744" s="186"/>
      <c r="V744" s="186"/>
      <c r="W744" s="186"/>
      <c r="X744" s="186"/>
      <c r="Y744" s="186"/>
      <c r="Z744" s="186"/>
      <c r="AA744" s="186"/>
      <c r="AB744" s="186"/>
      <c r="AC744" s="186"/>
      <c r="AD744" s="186"/>
      <c r="AE744" s="186"/>
    </row>
    <row r="745">
      <c r="A745" s="178"/>
      <c r="B745" s="36"/>
      <c r="C745" s="36"/>
      <c r="D745" s="197"/>
      <c r="E745" s="180"/>
      <c r="F745" s="181"/>
      <c r="G745" s="205"/>
      <c r="H745" s="205"/>
      <c r="I745" s="205"/>
      <c r="J745" s="205"/>
      <c r="K745" s="205"/>
      <c r="L745" s="205"/>
      <c r="M745" s="186"/>
      <c r="N745" s="186"/>
      <c r="O745" s="186"/>
      <c r="P745" s="186"/>
      <c r="Q745" s="186"/>
      <c r="R745" s="186"/>
      <c r="S745" s="186"/>
      <c r="T745" s="186"/>
      <c r="U745" s="186"/>
      <c r="V745" s="186"/>
      <c r="W745" s="186"/>
      <c r="X745" s="186"/>
      <c r="Y745" s="186"/>
      <c r="Z745" s="186"/>
      <c r="AA745" s="186"/>
      <c r="AB745" s="186"/>
      <c r="AC745" s="186"/>
      <c r="AD745" s="186"/>
      <c r="AE745" s="186"/>
    </row>
    <row r="746">
      <c r="A746" s="178"/>
      <c r="B746" s="36"/>
      <c r="C746" s="36"/>
      <c r="D746" s="197"/>
      <c r="E746" s="180"/>
      <c r="F746" s="181"/>
      <c r="G746" s="205"/>
      <c r="H746" s="205"/>
      <c r="I746" s="205"/>
      <c r="J746" s="205"/>
      <c r="K746" s="205"/>
      <c r="L746" s="205"/>
      <c r="M746" s="186"/>
      <c r="N746" s="186"/>
      <c r="O746" s="186"/>
      <c r="P746" s="186"/>
      <c r="Q746" s="186"/>
      <c r="R746" s="186"/>
      <c r="S746" s="186"/>
      <c r="T746" s="186"/>
      <c r="U746" s="186"/>
      <c r="V746" s="186"/>
      <c r="W746" s="186"/>
      <c r="X746" s="186"/>
      <c r="Y746" s="186"/>
      <c r="Z746" s="186"/>
      <c r="AA746" s="186"/>
      <c r="AB746" s="186"/>
      <c r="AC746" s="186"/>
      <c r="AD746" s="186"/>
      <c r="AE746" s="186"/>
    </row>
    <row r="747">
      <c r="A747" s="178"/>
      <c r="B747" s="36"/>
      <c r="C747" s="36"/>
      <c r="D747" s="197"/>
      <c r="E747" s="180"/>
      <c r="F747" s="181"/>
      <c r="G747" s="205"/>
      <c r="H747" s="205"/>
      <c r="I747" s="205"/>
      <c r="J747" s="205"/>
      <c r="K747" s="205"/>
      <c r="L747" s="205"/>
      <c r="M747" s="186"/>
      <c r="N747" s="186"/>
      <c r="O747" s="186"/>
      <c r="P747" s="186"/>
      <c r="Q747" s="186"/>
      <c r="R747" s="186"/>
      <c r="S747" s="186"/>
      <c r="T747" s="186"/>
      <c r="U747" s="186"/>
      <c r="V747" s="186"/>
      <c r="W747" s="186"/>
      <c r="X747" s="186"/>
      <c r="Y747" s="186"/>
      <c r="Z747" s="186"/>
      <c r="AA747" s="186"/>
      <c r="AB747" s="186"/>
      <c r="AC747" s="186"/>
      <c r="AD747" s="186"/>
      <c r="AE747" s="186"/>
    </row>
    <row r="748">
      <c r="A748" s="178"/>
      <c r="B748" s="36"/>
      <c r="C748" s="36"/>
      <c r="D748" s="197"/>
      <c r="E748" s="180"/>
      <c r="F748" s="181"/>
      <c r="G748" s="205"/>
      <c r="H748" s="205"/>
      <c r="I748" s="205"/>
      <c r="J748" s="205"/>
      <c r="K748" s="205"/>
      <c r="L748" s="205"/>
      <c r="M748" s="186"/>
      <c r="N748" s="186"/>
      <c r="O748" s="186"/>
      <c r="P748" s="186"/>
      <c r="Q748" s="186"/>
      <c r="R748" s="186"/>
      <c r="S748" s="186"/>
      <c r="T748" s="186"/>
      <c r="U748" s="186"/>
      <c r="V748" s="186"/>
      <c r="W748" s="186"/>
      <c r="X748" s="186"/>
      <c r="Y748" s="186"/>
      <c r="Z748" s="186"/>
      <c r="AA748" s="186"/>
      <c r="AB748" s="186"/>
      <c r="AC748" s="186"/>
      <c r="AD748" s="186"/>
      <c r="AE748" s="186"/>
    </row>
    <row r="749">
      <c r="A749" s="178"/>
      <c r="B749" s="36"/>
      <c r="C749" s="36"/>
      <c r="D749" s="197"/>
      <c r="E749" s="180"/>
      <c r="F749" s="181"/>
      <c r="G749" s="205"/>
      <c r="H749" s="205"/>
      <c r="I749" s="205"/>
      <c r="J749" s="205"/>
      <c r="K749" s="205"/>
      <c r="L749" s="205"/>
      <c r="M749" s="186"/>
      <c r="N749" s="186"/>
      <c r="O749" s="186"/>
      <c r="P749" s="186"/>
      <c r="Q749" s="186"/>
      <c r="R749" s="186"/>
      <c r="S749" s="186"/>
      <c r="T749" s="186"/>
      <c r="U749" s="186"/>
      <c r="V749" s="186"/>
      <c r="W749" s="186"/>
      <c r="X749" s="186"/>
      <c r="Y749" s="186"/>
      <c r="Z749" s="186"/>
      <c r="AA749" s="186"/>
      <c r="AB749" s="186"/>
      <c r="AC749" s="186"/>
      <c r="AD749" s="186"/>
      <c r="AE749" s="186"/>
    </row>
    <row r="750">
      <c r="A750" s="178"/>
      <c r="B750" s="36"/>
      <c r="C750" s="36"/>
      <c r="D750" s="197"/>
      <c r="E750" s="180"/>
      <c r="F750" s="181"/>
      <c r="G750" s="205"/>
      <c r="H750" s="205"/>
      <c r="I750" s="205"/>
      <c r="J750" s="205"/>
      <c r="K750" s="205"/>
      <c r="L750" s="205"/>
      <c r="M750" s="186"/>
      <c r="N750" s="186"/>
      <c r="O750" s="186"/>
      <c r="P750" s="186"/>
      <c r="Q750" s="186"/>
      <c r="R750" s="186"/>
      <c r="S750" s="186"/>
      <c r="T750" s="186"/>
      <c r="U750" s="186"/>
      <c r="V750" s="186"/>
      <c r="W750" s="186"/>
      <c r="X750" s="186"/>
      <c r="Y750" s="186"/>
      <c r="Z750" s="186"/>
      <c r="AA750" s="186"/>
      <c r="AB750" s="186"/>
      <c r="AC750" s="186"/>
      <c r="AD750" s="186"/>
      <c r="AE750" s="186"/>
    </row>
    <row r="751">
      <c r="A751" s="178"/>
      <c r="B751" s="36"/>
      <c r="C751" s="36"/>
      <c r="D751" s="197"/>
      <c r="E751" s="180"/>
      <c r="F751" s="181"/>
      <c r="G751" s="205"/>
      <c r="H751" s="205"/>
      <c r="I751" s="205"/>
      <c r="J751" s="205"/>
      <c r="K751" s="205"/>
      <c r="L751" s="205"/>
      <c r="M751" s="186"/>
      <c r="N751" s="186"/>
      <c r="O751" s="186"/>
      <c r="P751" s="186"/>
      <c r="Q751" s="186"/>
      <c r="R751" s="186"/>
      <c r="S751" s="186"/>
      <c r="T751" s="186"/>
      <c r="U751" s="186"/>
      <c r="V751" s="186"/>
      <c r="W751" s="186"/>
      <c r="X751" s="186"/>
      <c r="Y751" s="186"/>
      <c r="Z751" s="186"/>
      <c r="AA751" s="186"/>
      <c r="AB751" s="186"/>
      <c r="AC751" s="186"/>
      <c r="AD751" s="186"/>
      <c r="AE751" s="186"/>
    </row>
    <row r="752">
      <c r="A752" s="178"/>
      <c r="B752" s="36"/>
      <c r="C752" s="36"/>
      <c r="D752" s="197"/>
      <c r="E752" s="180"/>
      <c r="F752" s="181"/>
      <c r="G752" s="205"/>
      <c r="H752" s="205"/>
      <c r="I752" s="205"/>
      <c r="J752" s="205"/>
      <c r="K752" s="205"/>
      <c r="L752" s="205"/>
      <c r="M752" s="186"/>
      <c r="N752" s="186"/>
      <c r="O752" s="186"/>
      <c r="P752" s="186"/>
      <c r="Q752" s="186"/>
      <c r="R752" s="186"/>
      <c r="S752" s="186"/>
      <c r="T752" s="186"/>
      <c r="U752" s="186"/>
      <c r="V752" s="186"/>
      <c r="W752" s="186"/>
      <c r="X752" s="186"/>
      <c r="Y752" s="186"/>
      <c r="Z752" s="186"/>
      <c r="AA752" s="186"/>
      <c r="AB752" s="186"/>
      <c r="AC752" s="186"/>
      <c r="AD752" s="186"/>
      <c r="AE752" s="186"/>
    </row>
    <row r="753">
      <c r="A753" s="178"/>
      <c r="B753" s="36"/>
      <c r="C753" s="36"/>
      <c r="D753" s="197"/>
      <c r="E753" s="180"/>
      <c r="F753" s="181"/>
      <c r="G753" s="205"/>
      <c r="H753" s="205"/>
      <c r="I753" s="205"/>
      <c r="J753" s="205"/>
      <c r="K753" s="205"/>
      <c r="L753" s="205"/>
      <c r="M753" s="186"/>
      <c r="N753" s="186"/>
      <c r="O753" s="186"/>
      <c r="P753" s="186"/>
      <c r="Q753" s="186"/>
      <c r="R753" s="186"/>
      <c r="S753" s="186"/>
      <c r="T753" s="186"/>
      <c r="U753" s="186"/>
      <c r="V753" s="186"/>
      <c r="W753" s="186"/>
      <c r="X753" s="186"/>
      <c r="Y753" s="186"/>
      <c r="Z753" s="186"/>
      <c r="AA753" s="186"/>
      <c r="AB753" s="186"/>
      <c r="AC753" s="186"/>
      <c r="AD753" s="186"/>
      <c r="AE753" s="186"/>
    </row>
    <row r="754">
      <c r="A754" s="178"/>
      <c r="B754" s="36"/>
      <c r="C754" s="36"/>
      <c r="D754" s="197"/>
      <c r="E754" s="180"/>
      <c r="F754" s="181"/>
      <c r="G754" s="205"/>
      <c r="H754" s="205"/>
      <c r="I754" s="205"/>
      <c r="J754" s="205"/>
      <c r="K754" s="205"/>
      <c r="L754" s="205"/>
      <c r="M754" s="186"/>
      <c r="N754" s="186"/>
      <c r="O754" s="186"/>
      <c r="P754" s="186"/>
      <c r="Q754" s="186"/>
      <c r="R754" s="186"/>
      <c r="S754" s="186"/>
      <c r="T754" s="186"/>
      <c r="U754" s="186"/>
      <c r="V754" s="186"/>
      <c r="W754" s="186"/>
      <c r="X754" s="186"/>
      <c r="Y754" s="186"/>
      <c r="Z754" s="186"/>
      <c r="AA754" s="186"/>
      <c r="AB754" s="186"/>
      <c r="AC754" s="186"/>
      <c r="AD754" s="186"/>
      <c r="AE754" s="186"/>
    </row>
    <row r="755">
      <c r="A755" s="178"/>
      <c r="B755" s="36"/>
      <c r="C755" s="36"/>
      <c r="D755" s="197"/>
      <c r="E755" s="180"/>
      <c r="F755" s="181"/>
      <c r="G755" s="205"/>
      <c r="H755" s="205"/>
      <c r="I755" s="205"/>
      <c r="J755" s="205"/>
      <c r="K755" s="205"/>
      <c r="L755" s="205"/>
      <c r="M755" s="186"/>
      <c r="N755" s="186"/>
      <c r="O755" s="186"/>
      <c r="P755" s="186"/>
      <c r="Q755" s="186"/>
      <c r="R755" s="186"/>
      <c r="S755" s="186"/>
      <c r="T755" s="186"/>
      <c r="U755" s="186"/>
      <c r="V755" s="186"/>
      <c r="W755" s="186"/>
      <c r="X755" s="186"/>
      <c r="Y755" s="186"/>
      <c r="Z755" s="186"/>
      <c r="AA755" s="186"/>
      <c r="AB755" s="186"/>
      <c r="AC755" s="186"/>
      <c r="AD755" s="186"/>
      <c r="AE755" s="186"/>
    </row>
    <row r="756">
      <c r="A756" s="178"/>
      <c r="B756" s="36"/>
      <c r="C756" s="36"/>
      <c r="D756" s="197"/>
      <c r="E756" s="180"/>
      <c r="F756" s="181"/>
      <c r="G756" s="205"/>
      <c r="H756" s="205"/>
      <c r="I756" s="205"/>
      <c r="J756" s="205"/>
      <c r="K756" s="205"/>
      <c r="L756" s="205"/>
      <c r="M756" s="186"/>
      <c r="N756" s="186"/>
      <c r="O756" s="186"/>
      <c r="P756" s="186"/>
      <c r="Q756" s="186"/>
      <c r="R756" s="186"/>
      <c r="S756" s="186"/>
      <c r="T756" s="186"/>
      <c r="U756" s="186"/>
      <c r="V756" s="186"/>
      <c r="W756" s="186"/>
      <c r="X756" s="186"/>
      <c r="Y756" s="186"/>
      <c r="Z756" s="186"/>
      <c r="AA756" s="186"/>
      <c r="AB756" s="186"/>
      <c r="AC756" s="186"/>
      <c r="AD756" s="186"/>
      <c r="AE756" s="186"/>
    </row>
    <row r="757">
      <c r="A757" s="178"/>
      <c r="B757" s="36"/>
      <c r="C757" s="36"/>
      <c r="D757" s="197"/>
      <c r="E757" s="180"/>
      <c r="F757" s="181"/>
      <c r="G757" s="205"/>
      <c r="H757" s="205"/>
      <c r="I757" s="205"/>
      <c r="J757" s="205"/>
      <c r="K757" s="205"/>
      <c r="L757" s="205"/>
      <c r="M757" s="186"/>
      <c r="N757" s="186"/>
      <c r="O757" s="186"/>
      <c r="P757" s="186"/>
      <c r="Q757" s="186"/>
      <c r="R757" s="186"/>
      <c r="S757" s="186"/>
      <c r="T757" s="186"/>
      <c r="U757" s="186"/>
      <c r="V757" s="186"/>
      <c r="W757" s="186"/>
      <c r="X757" s="186"/>
      <c r="Y757" s="186"/>
      <c r="Z757" s="186"/>
      <c r="AA757" s="186"/>
      <c r="AB757" s="186"/>
      <c r="AC757" s="186"/>
      <c r="AD757" s="186"/>
      <c r="AE757" s="186"/>
    </row>
    <row r="758">
      <c r="A758" s="178"/>
      <c r="B758" s="36"/>
      <c r="C758" s="36"/>
      <c r="D758" s="197"/>
      <c r="E758" s="180"/>
      <c r="F758" s="181"/>
      <c r="G758" s="205"/>
      <c r="H758" s="205"/>
      <c r="I758" s="205"/>
      <c r="J758" s="205"/>
      <c r="K758" s="205"/>
      <c r="L758" s="205"/>
      <c r="M758" s="186"/>
      <c r="N758" s="186"/>
      <c r="O758" s="186"/>
      <c r="P758" s="186"/>
      <c r="Q758" s="186"/>
      <c r="R758" s="186"/>
      <c r="S758" s="186"/>
      <c r="T758" s="186"/>
      <c r="U758" s="186"/>
      <c r="V758" s="186"/>
      <c r="W758" s="186"/>
      <c r="X758" s="186"/>
      <c r="Y758" s="186"/>
      <c r="Z758" s="186"/>
      <c r="AA758" s="186"/>
      <c r="AB758" s="186"/>
      <c r="AC758" s="186"/>
      <c r="AD758" s="186"/>
      <c r="AE758" s="186"/>
    </row>
    <row r="759">
      <c r="A759" s="178"/>
      <c r="B759" s="36"/>
      <c r="C759" s="36"/>
      <c r="D759" s="197"/>
      <c r="E759" s="180"/>
      <c r="F759" s="181"/>
      <c r="G759" s="205"/>
      <c r="H759" s="205"/>
      <c r="I759" s="205"/>
      <c r="J759" s="205"/>
      <c r="K759" s="205"/>
      <c r="L759" s="205"/>
      <c r="M759" s="186"/>
      <c r="N759" s="186"/>
      <c r="O759" s="186"/>
      <c r="P759" s="186"/>
      <c r="Q759" s="186"/>
      <c r="R759" s="186"/>
      <c r="S759" s="186"/>
      <c r="T759" s="186"/>
      <c r="U759" s="186"/>
      <c r="V759" s="186"/>
      <c r="W759" s="186"/>
      <c r="X759" s="186"/>
      <c r="Y759" s="186"/>
      <c r="Z759" s="186"/>
      <c r="AA759" s="186"/>
      <c r="AB759" s="186"/>
      <c r="AC759" s="186"/>
      <c r="AD759" s="186"/>
      <c r="AE759" s="186"/>
    </row>
    <row r="760">
      <c r="A760" s="178"/>
      <c r="B760" s="36"/>
      <c r="C760" s="36"/>
      <c r="D760" s="197"/>
      <c r="E760" s="180"/>
      <c r="F760" s="181"/>
      <c r="G760" s="205"/>
      <c r="H760" s="205"/>
      <c r="I760" s="205"/>
      <c r="J760" s="205"/>
      <c r="K760" s="205"/>
      <c r="L760" s="205"/>
      <c r="M760" s="186"/>
      <c r="N760" s="186"/>
      <c r="O760" s="186"/>
      <c r="P760" s="186"/>
      <c r="Q760" s="186"/>
      <c r="R760" s="186"/>
      <c r="S760" s="186"/>
      <c r="T760" s="186"/>
      <c r="U760" s="186"/>
      <c r="V760" s="186"/>
      <c r="W760" s="186"/>
      <c r="X760" s="186"/>
      <c r="Y760" s="186"/>
      <c r="Z760" s="186"/>
      <c r="AA760" s="186"/>
      <c r="AB760" s="186"/>
      <c r="AC760" s="186"/>
      <c r="AD760" s="186"/>
      <c r="AE760" s="186"/>
    </row>
    <row r="761">
      <c r="A761" s="178"/>
      <c r="B761" s="36"/>
      <c r="C761" s="36"/>
      <c r="D761" s="197"/>
      <c r="E761" s="180"/>
      <c r="F761" s="181"/>
      <c r="G761" s="205"/>
      <c r="H761" s="205"/>
      <c r="I761" s="205"/>
      <c r="J761" s="205"/>
      <c r="K761" s="205"/>
      <c r="L761" s="205"/>
      <c r="M761" s="186"/>
      <c r="N761" s="186"/>
      <c r="O761" s="186"/>
      <c r="P761" s="186"/>
      <c r="Q761" s="186"/>
      <c r="R761" s="186"/>
      <c r="S761" s="186"/>
      <c r="T761" s="186"/>
      <c r="U761" s="186"/>
      <c r="V761" s="186"/>
      <c r="W761" s="186"/>
      <c r="X761" s="186"/>
      <c r="Y761" s="186"/>
      <c r="Z761" s="186"/>
      <c r="AA761" s="186"/>
      <c r="AB761" s="186"/>
      <c r="AC761" s="186"/>
      <c r="AD761" s="186"/>
      <c r="AE761" s="186"/>
    </row>
    <row r="762">
      <c r="A762" s="178"/>
      <c r="B762" s="36"/>
      <c r="C762" s="36"/>
      <c r="D762" s="197"/>
      <c r="E762" s="180"/>
      <c r="F762" s="181"/>
      <c r="G762" s="205"/>
      <c r="H762" s="205"/>
      <c r="I762" s="205"/>
      <c r="J762" s="205"/>
      <c r="K762" s="205"/>
      <c r="L762" s="205"/>
      <c r="M762" s="186"/>
      <c r="N762" s="186"/>
      <c r="O762" s="186"/>
      <c r="P762" s="186"/>
      <c r="Q762" s="186"/>
      <c r="R762" s="186"/>
      <c r="S762" s="186"/>
      <c r="T762" s="186"/>
      <c r="U762" s="186"/>
      <c r="V762" s="186"/>
      <c r="W762" s="186"/>
      <c r="X762" s="186"/>
      <c r="Y762" s="186"/>
      <c r="Z762" s="186"/>
      <c r="AA762" s="186"/>
      <c r="AB762" s="186"/>
      <c r="AC762" s="186"/>
      <c r="AD762" s="186"/>
      <c r="AE762" s="186"/>
    </row>
    <row r="763">
      <c r="A763" s="178"/>
      <c r="B763" s="36"/>
      <c r="C763" s="36"/>
      <c r="D763" s="197"/>
      <c r="E763" s="180"/>
      <c r="F763" s="181"/>
      <c r="G763" s="205"/>
      <c r="H763" s="205"/>
      <c r="I763" s="205"/>
      <c r="J763" s="205"/>
      <c r="K763" s="205"/>
      <c r="L763" s="205"/>
      <c r="M763" s="186"/>
      <c r="N763" s="186"/>
      <c r="O763" s="186"/>
      <c r="P763" s="186"/>
      <c r="Q763" s="186"/>
      <c r="R763" s="186"/>
      <c r="S763" s="186"/>
      <c r="T763" s="186"/>
      <c r="U763" s="186"/>
      <c r="V763" s="186"/>
      <c r="W763" s="186"/>
      <c r="X763" s="186"/>
      <c r="Y763" s="186"/>
      <c r="Z763" s="186"/>
      <c r="AA763" s="186"/>
      <c r="AB763" s="186"/>
      <c r="AC763" s="186"/>
      <c r="AD763" s="186"/>
      <c r="AE763" s="186"/>
    </row>
    <row r="764">
      <c r="A764" s="178"/>
      <c r="B764" s="36"/>
      <c r="C764" s="36"/>
      <c r="D764" s="197"/>
      <c r="E764" s="180"/>
      <c r="F764" s="181"/>
      <c r="G764" s="205"/>
      <c r="H764" s="205"/>
      <c r="I764" s="205"/>
      <c r="J764" s="205"/>
      <c r="K764" s="205"/>
      <c r="L764" s="205"/>
      <c r="M764" s="186"/>
      <c r="N764" s="186"/>
      <c r="O764" s="186"/>
      <c r="P764" s="186"/>
      <c r="Q764" s="186"/>
      <c r="R764" s="186"/>
      <c r="S764" s="186"/>
      <c r="T764" s="186"/>
      <c r="U764" s="186"/>
      <c r="V764" s="186"/>
      <c r="W764" s="186"/>
      <c r="X764" s="186"/>
      <c r="Y764" s="186"/>
      <c r="Z764" s="186"/>
      <c r="AA764" s="186"/>
      <c r="AB764" s="186"/>
      <c r="AC764" s="186"/>
      <c r="AD764" s="186"/>
      <c r="AE764" s="186"/>
    </row>
    <row r="765">
      <c r="A765" s="178"/>
      <c r="B765" s="36"/>
      <c r="C765" s="36"/>
      <c r="D765" s="197"/>
      <c r="E765" s="180"/>
      <c r="F765" s="181"/>
      <c r="G765" s="205"/>
      <c r="H765" s="205"/>
      <c r="I765" s="205"/>
      <c r="J765" s="205"/>
      <c r="K765" s="205"/>
      <c r="L765" s="205"/>
      <c r="M765" s="186"/>
      <c r="N765" s="186"/>
      <c r="O765" s="186"/>
      <c r="P765" s="186"/>
      <c r="Q765" s="186"/>
      <c r="R765" s="186"/>
      <c r="S765" s="186"/>
      <c r="T765" s="186"/>
      <c r="U765" s="186"/>
      <c r="V765" s="186"/>
      <c r="W765" s="186"/>
      <c r="X765" s="186"/>
      <c r="Y765" s="186"/>
      <c r="Z765" s="186"/>
      <c r="AA765" s="186"/>
      <c r="AB765" s="186"/>
      <c r="AC765" s="186"/>
      <c r="AD765" s="186"/>
      <c r="AE765" s="186"/>
    </row>
    <row r="766">
      <c r="A766" s="178"/>
      <c r="B766" s="36"/>
      <c r="C766" s="36"/>
      <c r="D766" s="197"/>
      <c r="E766" s="180"/>
      <c r="F766" s="181"/>
      <c r="G766" s="205"/>
      <c r="H766" s="205"/>
      <c r="I766" s="205"/>
      <c r="J766" s="205"/>
      <c r="K766" s="205"/>
      <c r="L766" s="205"/>
      <c r="M766" s="186"/>
      <c r="N766" s="186"/>
      <c r="O766" s="186"/>
      <c r="P766" s="186"/>
      <c r="Q766" s="186"/>
      <c r="R766" s="186"/>
      <c r="S766" s="186"/>
      <c r="T766" s="186"/>
      <c r="U766" s="186"/>
      <c r="V766" s="186"/>
      <c r="W766" s="186"/>
      <c r="X766" s="186"/>
      <c r="Y766" s="186"/>
      <c r="Z766" s="186"/>
      <c r="AA766" s="186"/>
      <c r="AB766" s="186"/>
      <c r="AC766" s="186"/>
      <c r="AD766" s="186"/>
      <c r="AE766" s="186"/>
    </row>
    <row r="767">
      <c r="A767" s="178"/>
      <c r="B767" s="36"/>
      <c r="C767" s="36"/>
      <c r="D767" s="197"/>
      <c r="E767" s="180"/>
      <c r="F767" s="181"/>
      <c r="G767" s="205"/>
      <c r="H767" s="205"/>
      <c r="I767" s="205"/>
      <c r="J767" s="205"/>
      <c r="K767" s="205"/>
      <c r="L767" s="205"/>
      <c r="M767" s="186"/>
      <c r="N767" s="186"/>
      <c r="O767" s="186"/>
      <c r="P767" s="186"/>
      <c r="Q767" s="186"/>
      <c r="R767" s="186"/>
      <c r="S767" s="186"/>
      <c r="T767" s="186"/>
      <c r="U767" s="186"/>
      <c r="V767" s="186"/>
      <c r="W767" s="186"/>
      <c r="X767" s="186"/>
      <c r="Y767" s="186"/>
      <c r="Z767" s="186"/>
      <c r="AA767" s="186"/>
      <c r="AB767" s="186"/>
      <c r="AC767" s="186"/>
      <c r="AD767" s="186"/>
      <c r="AE767" s="186"/>
    </row>
    <row r="768">
      <c r="A768" s="178"/>
      <c r="B768" s="36"/>
      <c r="C768" s="36"/>
      <c r="D768" s="197"/>
      <c r="E768" s="180"/>
      <c r="F768" s="181"/>
      <c r="G768" s="205"/>
      <c r="H768" s="205"/>
      <c r="I768" s="205"/>
      <c r="J768" s="205"/>
      <c r="K768" s="205"/>
      <c r="L768" s="205"/>
      <c r="M768" s="186"/>
      <c r="N768" s="186"/>
      <c r="O768" s="186"/>
      <c r="P768" s="186"/>
      <c r="Q768" s="186"/>
      <c r="R768" s="186"/>
      <c r="S768" s="186"/>
      <c r="T768" s="186"/>
      <c r="U768" s="186"/>
      <c r="V768" s="186"/>
      <c r="W768" s="186"/>
      <c r="X768" s="186"/>
      <c r="Y768" s="186"/>
      <c r="Z768" s="186"/>
      <c r="AA768" s="186"/>
      <c r="AB768" s="186"/>
      <c r="AC768" s="186"/>
      <c r="AD768" s="186"/>
      <c r="AE768" s="186"/>
    </row>
    <row r="769">
      <c r="A769" s="178"/>
      <c r="B769" s="36"/>
      <c r="C769" s="36"/>
      <c r="D769" s="197"/>
      <c r="E769" s="180"/>
      <c r="F769" s="181"/>
      <c r="G769" s="205"/>
      <c r="H769" s="205"/>
      <c r="I769" s="205"/>
      <c r="J769" s="205"/>
      <c r="K769" s="205"/>
      <c r="L769" s="205"/>
      <c r="M769" s="186"/>
      <c r="N769" s="186"/>
      <c r="O769" s="186"/>
      <c r="P769" s="186"/>
      <c r="Q769" s="186"/>
      <c r="R769" s="186"/>
      <c r="S769" s="186"/>
      <c r="T769" s="186"/>
      <c r="U769" s="186"/>
      <c r="V769" s="186"/>
      <c r="W769" s="186"/>
      <c r="X769" s="186"/>
      <c r="Y769" s="186"/>
      <c r="Z769" s="186"/>
      <c r="AA769" s="186"/>
      <c r="AB769" s="186"/>
      <c r="AC769" s="186"/>
      <c r="AD769" s="186"/>
      <c r="AE769" s="186"/>
    </row>
    <row r="770">
      <c r="A770" s="178"/>
      <c r="B770" s="36"/>
      <c r="C770" s="36"/>
      <c r="D770" s="197"/>
      <c r="E770" s="180"/>
      <c r="F770" s="181"/>
      <c r="G770" s="205"/>
      <c r="H770" s="205"/>
      <c r="I770" s="205"/>
      <c r="J770" s="205"/>
      <c r="K770" s="205"/>
      <c r="L770" s="205"/>
      <c r="M770" s="186"/>
      <c r="N770" s="186"/>
      <c r="O770" s="186"/>
      <c r="P770" s="186"/>
      <c r="Q770" s="186"/>
      <c r="R770" s="186"/>
      <c r="S770" s="186"/>
      <c r="T770" s="186"/>
      <c r="U770" s="186"/>
      <c r="V770" s="186"/>
      <c r="W770" s="186"/>
      <c r="X770" s="186"/>
      <c r="Y770" s="186"/>
      <c r="Z770" s="186"/>
      <c r="AA770" s="186"/>
      <c r="AB770" s="186"/>
      <c r="AC770" s="186"/>
      <c r="AD770" s="186"/>
      <c r="AE770" s="186"/>
    </row>
    <row r="771">
      <c r="A771" s="178"/>
      <c r="B771" s="36"/>
      <c r="C771" s="36"/>
      <c r="D771" s="197"/>
      <c r="E771" s="180"/>
      <c r="F771" s="181"/>
      <c r="G771" s="205"/>
      <c r="H771" s="205"/>
      <c r="I771" s="205"/>
      <c r="J771" s="205"/>
      <c r="K771" s="205"/>
      <c r="L771" s="205"/>
      <c r="M771" s="186"/>
      <c r="N771" s="186"/>
      <c r="O771" s="186"/>
      <c r="P771" s="186"/>
      <c r="Q771" s="186"/>
      <c r="R771" s="186"/>
      <c r="S771" s="186"/>
      <c r="T771" s="186"/>
      <c r="U771" s="186"/>
      <c r="V771" s="186"/>
      <c r="W771" s="186"/>
      <c r="X771" s="186"/>
      <c r="Y771" s="186"/>
      <c r="Z771" s="186"/>
      <c r="AA771" s="186"/>
      <c r="AB771" s="186"/>
      <c r="AC771" s="186"/>
      <c r="AD771" s="186"/>
      <c r="AE771" s="186"/>
    </row>
    <row r="772">
      <c r="A772" s="178"/>
      <c r="B772" s="36"/>
      <c r="C772" s="36"/>
      <c r="D772" s="197"/>
      <c r="E772" s="180"/>
      <c r="F772" s="181"/>
      <c r="G772" s="205"/>
      <c r="H772" s="205"/>
      <c r="I772" s="205"/>
      <c r="J772" s="205"/>
      <c r="K772" s="205"/>
      <c r="L772" s="205"/>
      <c r="M772" s="186"/>
      <c r="N772" s="186"/>
      <c r="O772" s="186"/>
      <c r="P772" s="186"/>
      <c r="Q772" s="186"/>
      <c r="R772" s="186"/>
      <c r="S772" s="186"/>
      <c r="T772" s="186"/>
      <c r="U772" s="186"/>
      <c r="V772" s="186"/>
      <c r="W772" s="186"/>
      <c r="X772" s="186"/>
      <c r="Y772" s="186"/>
      <c r="Z772" s="186"/>
      <c r="AA772" s="186"/>
      <c r="AB772" s="186"/>
      <c r="AC772" s="186"/>
      <c r="AD772" s="186"/>
      <c r="AE772" s="186"/>
    </row>
    <row r="773">
      <c r="A773" s="178"/>
      <c r="B773" s="36"/>
      <c r="C773" s="36"/>
      <c r="D773" s="197"/>
      <c r="E773" s="180"/>
      <c r="F773" s="181"/>
      <c r="G773" s="205"/>
      <c r="H773" s="205"/>
      <c r="I773" s="205"/>
      <c r="J773" s="205"/>
      <c r="K773" s="205"/>
      <c r="L773" s="205"/>
      <c r="M773" s="186"/>
      <c r="N773" s="186"/>
      <c r="O773" s="186"/>
      <c r="P773" s="186"/>
      <c r="Q773" s="186"/>
      <c r="R773" s="186"/>
      <c r="S773" s="186"/>
      <c r="T773" s="186"/>
      <c r="U773" s="186"/>
      <c r="V773" s="186"/>
      <c r="W773" s="186"/>
      <c r="X773" s="186"/>
      <c r="Y773" s="186"/>
      <c r="Z773" s="186"/>
      <c r="AA773" s="186"/>
      <c r="AB773" s="186"/>
      <c r="AC773" s="186"/>
      <c r="AD773" s="186"/>
      <c r="AE773" s="186"/>
    </row>
    <row r="774">
      <c r="A774" s="178"/>
      <c r="B774" s="36"/>
      <c r="C774" s="36"/>
      <c r="D774" s="197"/>
      <c r="E774" s="180"/>
      <c r="F774" s="181"/>
      <c r="G774" s="205"/>
      <c r="H774" s="205"/>
      <c r="I774" s="205"/>
      <c r="J774" s="205"/>
      <c r="K774" s="205"/>
      <c r="L774" s="205"/>
      <c r="M774" s="186"/>
      <c r="N774" s="186"/>
      <c r="O774" s="186"/>
      <c r="P774" s="186"/>
      <c r="Q774" s="186"/>
      <c r="R774" s="186"/>
      <c r="S774" s="186"/>
      <c r="T774" s="186"/>
      <c r="U774" s="186"/>
      <c r="V774" s="186"/>
      <c r="W774" s="186"/>
      <c r="X774" s="186"/>
      <c r="Y774" s="186"/>
      <c r="Z774" s="186"/>
      <c r="AA774" s="186"/>
      <c r="AB774" s="186"/>
      <c r="AC774" s="186"/>
      <c r="AD774" s="186"/>
      <c r="AE774" s="186"/>
    </row>
    <row r="775">
      <c r="A775" s="178"/>
      <c r="B775" s="36"/>
      <c r="C775" s="36"/>
      <c r="D775" s="197"/>
      <c r="E775" s="180"/>
      <c r="F775" s="181"/>
      <c r="G775" s="205"/>
      <c r="H775" s="205"/>
      <c r="I775" s="205"/>
      <c r="J775" s="205"/>
      <c r="K775" s="205"/>
      <c r="L775" s="205"/>
      <c r="M775" s="186"/>
      <c r="N775" s="186"/>
      <c r="O775" s="186"/>
      <c r="P775" s="186"/>
      <c r="Q775" s="186"/>
      <c r="R775" s="186"/>
      <c r="S775" s="186"/>
      <c r="T775" s="186"/>
      <c r="U775" s="186"/>
      <c r="V775" s="186"/>
      <c r="W775" s="186"/>
      <c r="X775" s="186"/>
      <c r="Y775" s="186"/>
      <c r="Z775" s="186"/>
      <c r="AA775" s="186"/>
      <c r="AB775" s="186"/>
      <c r="AC775" s="186"/>
      <c r="AD775" s="186"/>
      <c r="AE775" s="186"/>
    </row>
    <row r="776">
      <c r="A776" s="178"/>
      <c r="B776" s="36"/>
      <c r="C776" s="36"/>
      <c r="D776" s="197"/>
      <c r="E776" s="180"/>
      <c r="F776" s="181"/>
      <c r="G776" s="205"/>
      <c r="H776" s="205"/>
      <c r="I776" s="205"/>
      <c r="J776" s="205"/>
      <c r="K776" s="205"/>
      <c r="L776" s="205"/>
      <c r="M776" s="186"/>
      <c r="N776" s="186"/>
      <c r="O776" s="186"/>
      <c r="P776" s="186"/>
      <c r="Q776" s="186"/>
      <c r="R776" s="186"/>
      <c r="S776" s="186"/>
      <c r="T776" s="186"/>
      <c r="U776" s="186"/>
      <c r="V776" s="186"/>
      <c r="W776" s="186"/>
      <c r="X776" s="186"/>
      <c r="Y776" s="186"/>
      <c r="Z776" s="186"/>
      <c r="AA776" s="186"/>
      <c r="AB776" s="186"/>
      <c r="AC776" s="186"/>
      <c r="AD776" s="186"/>
      <c r="AE776" s="186"/>
    </row>
    <row r="777">
      <c r="A777" s="178"/>
      <c r="B777" s="36"/>
      <c r="C777" s="36"/>
      <c r="D777" s="197"/>
      <c r="E777" s="180"/>
      <c r="F777" s="181"/>
      <c r="G777" s="205"/>
      <c r="H777" s="205"/>
      <c r="I777" s="205"/>
      <c r="J777" s="205"/>
      <c r="K777" s="205"/>
      <c r="L777" s="205"/>
      <c r="M777" s="186"/>
      <c r="N777" s="186"/>
      <c r="O777" s="186"/>
      <c r="P777" s="186"/>
      <c r="Q777" s="186"/>
      <c r="R777" s="186"/>
      <c r="S777" s="186"/>
      <c r="T777" s="186"/>
      <c r="U777" s="186"/>
      <c r="V777" s="186"/>
      <c r="W777" s="186"/>
      <c r="X777" s="186"/>
      <c r="Y777" s="186"/>
      <c r="Z777" s="186"/>
      <c r="AA777" s="186"/>
      <c r="AB777" s="186"/>
      <c r="AC777" s="186"/>
      <c r="AD777" s="186"/>
      <c r="AE777" s="186"/>
    </row>
    <row r="778">
      <c r="A778" s="178"/>
      <c r="B778" s="36"/>
      <c r="C778" s="36"/>
      <c r="D778" s="197"/>
      <c r="E778" s="180"/>
      <c r="F778" s="181"/>
      <c r="G778" s="205"/>
      <c r="H778" s="205"/>
      <c r="I778" s="205"/>
      <c r="J778" s="205"/>
      <c r="K778" s="205"/>
      <c r="L778" s="205"/>
      <c r="M778" s="186"/>
      <c r="N778" s="186"/>
      <c r="O778" s="186"/>
      <c r="P778" s="186"/>
      <c r="Q778" s="186"/>
      <c r="R778" s="186"/>
      <c r="S778" s="186"/>
      <c r="T778" s="186"/>
      <c r="U778" s="186"/>
      <c r="V778" s="186"/>
      <c r="W778" s="186"/>
      <c r="X778" s="186"/>
      <c r="Y778" s="186"/>
      <c r="Z778" s="186"/>
      <c r="AA778" s="186"/>
      <c r="AB778" s="186"/>
      <c r="AC778" s="186"/>
      <c r="AD778" s="186"/>
      <c r="AE778" s="186"/>
    </row>
    <row r="779">
      <c r="A779" s="178"/>
      <c r="B779" s="36"/>
      <c r="C779" s="36"/>
      <c r="D779" s="197"/>
      <c r="E779" s="180"/>
      <c r="F779" s="181"/>
      <c r="G779" s="205"/>
      <c r="H779" s="205"/>
      <c r="I779" s="205"/>
      <c r="J779" s="205"/>
      <c r="K779" s="205"/>
      <c r="L779" s="205"/>
      <c r="M779" s="186"/>
      <c r="N779" s="186"/>
      <c r="O779" s="186"/>
      <c r="P779" s="186"/>
      <c r="Q779" s="186"/>
      <c r="R779" s="186"/>
      <c r="S779" s="186"/>
      <c r="T779" s="186"/>
      <c r="U779" s="186"/>
      <c r="V779" s="186"/>
      <c r="W779" s="186"/>
      <c r="X779" s="186"/>
      <c r="Y779" s="186"/>
      <c r="Z779" s="186"/>
      <c r="AA779" s="186"/>
      <c r="AB779" s="186"/>
      <c r="AC779" s="186"/>
      <c r="AD779" s="186"/>
      <c r="AE779" s="186"/>
    </row>
    <row r="780">
      <c r="A780" s="178"/>
      <c r="B780" s="36"/>
      <c r="C780" s="36"/>
      <c r="D780" s="197"/>
      <c r="E780" s="180"/>
      <c r="F780" s="181"/>
      <c r="G780" s="205"/>
      <c r="H780" s="205"/>
      <c r="I780" s="205"/>
      <c r="J780" s="205"/>
      <c r="K780" s="205"/>
      <c r="L780" s="205"/>
      <c r="M780" s="186"/>
      <c r="N780" s="186"/>
      <c r="O780" s="186"/>
      <c r="P780" s="186"/>
      <c r="Q780" s="186"/>
      <c r="R780" s="186"/>
      <c r="S780" s="186"/>
      <c r="T780" s="186"/>
      <c r="U780" s="186"/>
      <c r="V780" s="186"/>
      <c r="W780" s="186"/>
      <c r="X780" s="186"/>
      <c r="Y780" s="186"/>
      <c r="Z780" s="186"/>
      <c r="AA780" s="186"/>
      <c r="AB780" s="186"/>
      <c r="AC780" s="186"/>
      <c r="AD780" s="186"/>
      <c r="AE780" s="186"/>
    </row>
    <row r="781">
      <c r="A781" s="178"/>
      <c r="B781" s="36"/>
      <c r="C781" s="36"/>
      <c r="D781" s="197"/>
      <c r="E781" s="180"/>
      <c r="F781" s="181"/>
      <c r="G781" s="205"/>
      <c r="H781" s="205"/>
      <c r="I781" s="205"/>
      <c r="J781" s="205"/>
      <c r="K781" s="205"/>
      <c r="L781" s="205"/>
      <c r="M781" s="186"/>
      <c r="N781" s="186"/>
      <c r="O781" s="186"/>
      <c r="P781" s="186"/>
      <c r="Q781" s="186"/>
      <c r="R781" s="186"/>
      <c r="S781" s="186"/>
      <c r="T781" s="186"/>
      <c r="U781" s="186"/>
      <c r="V781" s="186"/>
      <c r="W781" s="186"/>
      <c r="X781" s="186"/>
      <c r="Y781" s="186"/>
      <c r="Z781" s="186"/>
      <c r="AA781" s="186"/>
      <c r="AB781" s="186"/>
      <c r="AC781" s="186"/>
      <c r="AD781" s="186"/>
      <c r="AE781" s="186"/>
    </row>
    <row r="782">
      <c r="A782" s="178"/>
      <c r="B782" s="36"/>
      <c r="C782" s="36"/>
      <c r="D782" s="197"/>
      <c r="E782" s="180"/>
      <c r="F782" s="181"/>
      <c r="G782" s="205"/>
      <c r="H782" s="205"/>
      <c r="I782" s="205"/>
      <c r="J782" s="205"/>
      <c r="K782" s="205"/>
      <c r="L782" s="205"/>
      <c r="M782" s="186"/>
      <c r="N782" s="186"/>
      <c r="O782" s="186"/>
      <c r="P782" s="186"/>
      <c r="Q782" s="186"/>
      <c r="R782" s="186"/>
      <c r="S782" s="186"/>
      <c r="T782" s="186"/>
      <c r="U782" s="186"/>
      <c r="V782" s="186"/>
      <c r="W782" s="186"/>
      <c r="X782" s="186"/>
      <c r="Y782" s="186"/>
      <c r="Z782" s="186"/>
      <c r="AA782" s="186"/>
      <c r="AB782" s="186"/>
      <c r="AC782" s="186"/>
      <c r="AD782" s="186"/>
      <c r="AE782" s="186"/>
    </row>
    <row r="783">
      <c r="A783" s="178"/>
      <c r="B783" s="36"/>
      <c r="C783" s="36"/>
      <c r="D783" s="197"/>
      <c r="E783" s="180"/>
      <c r="F783" s="181"/>
      <c r="G783" s="205"/>
      <c r="H783" s="205"/>
      <c r="I783" s="205"/>
      <c r="J783" s="205"/>
      <c r="K783" s="205"/>
      <c r="L783" s="205"/>
      <c r="M783" s="186"/>
      <c r="N783" s="186"/>
      <c r="O783" s="186"/>
      <c r="P783" s="186"/>
      <c r="Q783" s="186"/>
      <c r="R783" s="186"/>
      <c r="S783" s="186"/>
      <c r="T783" s="186"/>
      <c r="U783" s="186"/>
      <c r="V783" s="186"/>
      <c r="W783" s="186"/>
      <c r="X783" s="186"/>
      <c r="Y783" s="186"/>
      <c r="Z783" s="186"/>
      <c r="AA783" s="186"/>
      <c r="AB783" s="186"/>
      <c r="AC783" s="186"/>
      <c r="AD783" s="186"/>
      <c r="AE783" s="186"/>
    </row>
    <row r="784">
      <c r="A784" s="178"/>
      <c r="B784" s="36"/>
      <c r="C784" s="36"/>
      <c r="D784" s="197"/>
      <c r="E784" s="180"/>
      <c r="F784" s="181"/>
      <c r="G784" s="205"/>
      <c r="H784" s="205"/>
      <c r="I784" s="205"/>
      <c r="J784" s="205"/>
      <c r="K784" s="205"/>
      <c r="L784" s="205"/>
      <c r="M784" s="186"/>
      <c r="N784" s="186"/>
      <c r="O784" s="186"/>
      <c r="P784" s="186"/>
      <c r="Q784" s="186"/>
      <c r="R784" s="186"/>
      <c r="S784" s="186"/>
      <c r="T784" s="186"/>
      <c r="U784" s="186"/>
      <c r="V784" s="186"/>
      <c r="W784" s="186"/>
      <c r="X784" s="186"/>
      <c r="Y784" s="186"/>
      <c r="Z784" s="186"/>
      <c r="AA784" s="186"/>
      <c r="AB784" s="186"/>
      <c r="AC784" s="186"/>
      <c r="AD784" s="186"/>
      <c r="AE784" s="186"/>
    </row>
    <row r="785">
      <c r="A785" s="178"/>
      <c r="B785" s="36"/>
      <c r="C785" s="36"/>
      <c r="D785" s="197"/>
      <c r="E785" s="180"/>
      <c r="F785" s="181"/>
      <c r="G785" s="205"/>
      <c r="H785" s="205"/>
      <c r="I785" s="205"/>
      <c r="J785" s="205"/>
      <c r="K785" s="205"/>
      <c r="L785" s="205"/>
      <c r="M785" s="186"/>
      <c r="N785" s="186"/>
      <c r="O785" s="186"/>
      <c r="P785" s="186"/>
      <c r="Q785" s="186"/>
      <c r="R785" s="186"/>
      <c r="S785" s="186"/>
      <c r="T785" s="186"/>
      <c r="U785" s="186"/>
      <c r="V785" s="186"/>
      <c r="W785" s="186"/>
      <c r="X785" s="186"/>
      <c r="Y785" s="186"/>
      <c r="Z785" s="186"/>
      <c r="AA785" s="186"/>
      <c r="AB785" s="186"/>
      <c r="AC785" s="186"/>
      <c r="AD785" s="186"/>
      <c r="AE785" s="186"/>
    </row>
    <row r="786">
      <c r="A786" s="178"/>
      <c r="B786" s="36"/>
      <c r="C786" s="36"/>
      <c r="D786" s="197"/>
      <c r="E786" s="180"/>
      <c r="F786" s="181"/>
      <c r="G786" s="205"/>
      <c r="H786" s="205"/>
      <c r="I786" s="205"/>
      <c r="J786" s="205"/>
      <c r="K786" s="205"/>
      <c r="L786" s="205"/>
      <c r="M786" s="186"/>
      <c r="N786" s="186"/>
      <c r="O786" s="186"/>
      <c r="P786" s="186"/>
      <c r="Q786" s="186"/>
      <c r="R786" s="186"/>
      <c r="S786" s="186"/>
      <c r="T786" s="186"/>
      <c r="U786" s="186"/>
      <c r="V786" s="186"/>
      <c r="W786" s="186"/>
      <c r="X786" s="186"/>
      <c r="Y786" s="186"/>
      <c r="Z786" s="186"/>
      <c r="AA786" s="186"/>
      <c r="AB786" s="186"/>
      <c r="AC786" s="186"/>
      <c r="AD786" s="186"/>
      <c r="AE786" s="186"/>
    </row>
    <row r="787">
      <c r="A787" s="178"/>
      <c r="B787" s="36"/>
      <c r="C787" s="36"/>
      <c r="D787" s="197"/>
      <c r="E787" s="180"/>
      <c r="F787" s="181"/>
      <c r="G787" s="205"/>
      <c r="H787" s="205"/>
      <c r="I787" s="205"/>
      <c r="J787" s="205"/>
      <c r="K787" s="205"/>
      <c r="L787" s="205"/>
      <c r="M787" s="186"/>
      <c r="N787" s="186"/>
      <c r="O787" s="186"/>
      <c r="P787" s="186"/>
      <c r="Q787" s="186"/>
      <c r="R787" s="186"/>
      <c r="S787" s="186"/>
      <c r="T787" s="186"/>
      <c r="U787" s="186"/>
      <c r="V787" s="186"/>
      <c r="W787" s="186"/>
      <c r="X787" s="186"/>
      <c r="Y787" s="186"/>
      <c r="Z787" s="186"/>
      <c r="AA787" s="186"/>
      <c r="AB787" s="186"/>
      <c r="AC787" s="186"/>
      <c r="AD787" s="186"/>
      <c r="AE787" s="186"/>
    </row>
    <row r="788">
      <c r="A788" s="178"/>
      <c r="B788" s="36"/>
      <c r="C788" s="36"/>
      <c r="D788" s="197"/>
      <c r="E788" s="180"/>
      <c r="F788" s="181"/>
      <c r="G788" s="205"/>
      <c r="H788" s="205"/>
      <c r="I788" s="205"/>
      <c r="J788" s="205"/>
      <c r="K788" s="205"/>
      <c r="L788" s="205"/>
      <c r="M788" s="186"/>
      <c r="N788" s="186"/>
      <c r="O788" s="186"/>
      <c r="P788" s="186"/>
      <c r="Q788" s="186"/>
      <c r="R788" s="186"/>
      <c r="S788" s="186"/>
      <c r="T788" s="186"/>
      <c r="U788" s="186"/>
      <c r="V788" s="186"/>
      <c r="W788" s="186"/>
      <c r="X788" s="186"/>
      <c r="Y788" s="186"/>
      <c r="Z788" s="186"/>
      <c r="AA788" s="186"/>
      <c r="AB788" s="186"/>
      <c r="AC788" s="186"/>
      <c r="AD788" s="186"/>
      <c r="AE788" s="186"/>
    </row>
    <row r="789">
      <c r="A789" s="178"/>
      <c r="B789" s="36"/>
      <c r="C789" s="36"/>
      <c r="D789" s="197"/>
      <c r="E789" s="180"/>
      <c r="F789" s="181"/>
      <c r="G789" s="205"/>
      <c r="H789" s="205"/>
      <c r="I789" s="205"/>
      <c r="J789" s="205"/>
      <c r="K789" s="205"/>
      <c r="L789" s="205"/>
      <c r="M789" s="186"/>
      <c r="N789" s="186"/>
      <c r="O789" s="186"/>
      <c r="P789" s="186"/>
      <c r="Q789" s="186"/>
      <c r="R789" s="186"/>
      <c r="S789" s="186"/>
      <c r="T789" s="186"/>
      <c r="U789" s="186"/>
      <c r="V789" s="186"/>
      <c r="W789" s="186"/>
      <c r="X789" s="186"/>
      <c r="Y789" s="186"/>
      <c r="Z789" s="186"/>
      <c r="AA789" s="186"/>
      <c r="AB789" s="186"/>
      <c r="AC789" s="186"/>
      <c r="AD789" s="186"/>
      <c r="AE789" s="186"/>
    </row>
    <row r="790">
      <c r="A790" s="178"/>
      <c r="B790" s="36"/>
      <c r="C790" s="36"/>
      <c r="D790" s="197"/>
      <c r="E790" s="180"/>
      <c r="F790" s="181"/>
      <c r="G790" s="205"/>
      <c r="H790" s="205"/>
      <c r="I790" s="205"/>
      <c r="J790" s="205"/>
      <c r="K790" s="205"/>
      <c r="L790" s="205"/>
      <c r="M790" s="186"/>
      <c r="N790" s="186"/>
      <c r="O790" s="186"/>
      <c r="P790" s="186"/>
      <c r="Q790" s="186"/>
      <c r="R790" s="186"/>
      <c r="S790" s="186"/>
      <c r="T790" s="186"/>
      <c r="U790" s="186"/>
      <c r="V790" s="186"/>
      <c r="W790" s="186"/>
      <c r="X790" s="186"/>
      <c r="Y790" s="186"/>
      <c r="Z790" s="186"/>
      <c r="AA790" s="186"/>
      <c r="AB790" s="186"/>
      <c r="AC790" s="186"/>
      <c r="AD790" s="186"/>
      <c r="AE790" s="186"/>
    </row>
    <row r="791">
      <c r="A791" s="178"/>
      <c r="B791" s="36"/>
      <c r="C791" s="36"/>
      <c r="D791" s="197"/>
      <c r="E791" s="180"/>
      <c r="F791" s="181"/>
      <c r="G791" s="205"/>
      <c r="H791" s="205"/>
      <c r="I791" s="205"/>
      <c r="J791" s="205"/>
      <c r="K791" s="205"/>
      <c r="L791" s="205"/>
      <c r="M791" s="186"/>
      <c r="N791" s="186"/>
      <c r="O791" s="186"/>
      <c r="P791" s="186"/>
      <c r="Q791" s="186"/>
      <c r="R791" s="186"/>
      <c r="S791" s="186"/>
      <c r="T791" s="186"/>
      <c r="U791" s="186"/>
      <c r="V791" s="186"/>
      <c r="W791" s="186"/>
      <c r="X791" s="186"/>
      <c r="Y791" s="186"/>
      <c r="Z791" s="186"/>
      <c r="AA791" s="186"/>
      <c r="AB791" s="186"/>
      <c r="AC791" s="186"/>
      <c r="AD791" s="186"/>
      <c r="AE791" s="186"/>
    </row>
    <row r="792">
      <c r="A792" s="178"/>
      <c r="B792" s="36"/>
      <c r="C792" s="36"/>
      <c r="D792" s="197"/>
      <c r="E792" s="180"/>
      <c r="F792" s="181"/>
      <c r="G792" s="205"/>
      <c r="H792" s="205"/>
      <c r="I792" s="205"/>
      <c r="J792" s="205"/>
      <c r="K792" s="205"/>
      <c r="L792" s="205"/>
      <c r="M792" s="186"/>
      <c r="N792" s="186"/>
      <c r="O792" s="186"/>
      <c r="P792" s="186"/>
      <c r="Q792" s="186"/>
      <c r="R792" s="186"/>
      <c r="S792" s="186"/>
      <c r="T792" s="186"/>
      <c r="U792" s="186"/>
      <c r="V792" s="186"/>
      <c r="W792" s="186"/>
      <c r="X792" s="186"/>
      <c r="Y792" s="186"/>
      <c r="Z792" s="186"/>
      <c r="AA792" s="186"/>
      <c r="AB792" s="186"/>
      <c r="AC792" s="186"/>
      <c r="AD792" s="186"/>
      <c r="AE792" s="186"/>
    </row>
    <row r="793">
      <c r="A793" s="178"/>
      <c r="B793" s="36"/>
      <c r="C793" s="36"/>
      <c r="D793" s="197"/>
      <c r="E793" s="180"/>
      <c r="F793" s="181"/>
      <c r="G793" s="205"/>
      <c r="H793" s="205"/>
      <c r="I793" s="205"/>
      <c r="J793" s="205"/>
      <c r="K793" s="205"/>
      <c r="L793" s="205"/>
      <c r="M793" s="186"/>
      <c r="N793" s="186"/>
      <c r="O793" s="186"/>
      <c r="P793" s="186"/>
      <c r="Q793" s="186"/>
      <c r="R793" s="186"/>
      <c r="S793" s="186"/>
      <c r="T793" s="186"/>
      <c r="U793" s="186"/>
      <c r="V793" s="186"/>
      <c r="W793" s="186"/>
      <c r="X793" s="186"/>
      <c r="Y793" s="186"/>
      <c r="Z793" s="186"/>
      <c r="AA793" s="186"/>
      <c r="AB793" s="186"/>
      <c r="AC793" s="186"/>
      <c r="AD793" s="186"/>
      <c r="AE793" s="186"/>
    </row>
    <row r="794">
      <c r="A794" s="178"/>
      <c r="B794" s="36"/>
      <c r="C794" s="36"/>
      <c r="D794" s="197"/>
      <c r="E794" s="180"/>
      <c r="F794" s="181"/>
      <c r="G794" s="205"/>
      <c r="H794" s="205"/>
      <c r="I794" s="205"/>
      <c r="J794" s="205"/>
      <c r="K794" s="205"/>
      <c r="L794" s="205"/>
      <c r="M794" s="186"/>
      <c r="N794" s="186"/>
      <c r="O794" s="186"/>
      <c r="P794" s="186"/>
      <c r="Q794" s="186"/>
      <c r="R794" s="186"/>
      <c r="S794" s="186"/>
      <c r="T794" s="186"/>
      <c r="U794" s="186"/>
      <c r="V794" s="186"/>
      <c r="W794" s="186"/>
      <c r="X794" s="186"/>
      <c r="Y794" s="186"/>
      <c r="Z794" s="186"/>
      <c r="AA794" s="186"/>
      <c r="AB794" s="186"/>
      <c r="AC794" s="186"/>
      <c r="AD794" s="186"/>
      <c r="AE794" s="186"/>
    </row>
    <row r="795">
      <c r="A795" s="178"/>
      <c r="B795" s="36"/>
      <c r="C795" s="36"/>
      <c r="D795" s="197"/>
      <c r="E795" s="180"/>
      <c r="F795" s="181"/>
      <c r="G795" s="205"/>
      <c r="H795" s="205"/>
      <c r="I795" s="205"/>
      <c r="J795" s="205"/>
      <c r="K795" s="205"/>
      <c r="L795" s="205"/>
      <c r="M795" s="186"/>
      <c r="N795" s="186"/>
      <c r="O795" s="186"/>
      <c r="P795" s="186"/>
      <c r="Q795" s="186"/>
      <c r="R795" s="186"/>
      <c r="S795" s="186"/>
      <c r="T795" s="186"/>
      <c r="U795" s="186"/>
      <c r="V795" s="186"/>
      <c r="W795" s="186"/>
      <c r="X795" s="186"/>
      <c r="Y795" s="186"/>
      <c r="Z795" s="186"/>
      <c r="AA795" s="186"/>
      <c r="AB795" s="186"/>
      <c r="AC795" s="186"/>
      <c r="AD795" s="186"/>
      <c r="AE795" s="186"/>
    </row>
    <row r="796">
      <c r="A796" s="178"/>
      <c r="B796" s="36"/>
      <c r="C796" s="36"/>
      <c r="D796" s="197"/>
      <c r="E796" s="180"/>
      <c r="F796" s="181"/>
      <c r="G796" s="205"/>
      <c r="H796" s="205"/>
      <c r="I796" s="205"/>
      <c r="J796" s="205"/>
      <c r="K796" s="205"/>
      <c r="L796" s="205"/>
      <c r="M796" s="186"/>
      <c r="N796" s="186"/>
      <c r="O796" s="186"/>
      <c r="P796" s="186"/>
      <c r="Q796" s="186"/>
      <c r="R796" s="186"/>
      <c r="S796" s="186"/>
      <c r="T796" s="186"/>
      <c r="U796" s="186"/>
      <c r="V796" s="186"/>
      <c r="W796" s="186"/>
      <c r="X796" s="186"/>
      <c r="Y796" s="186"/>
      <c r="Z796" s="186"/>
      <c r="AA796" s="186"/>
      <c r="AB796" s="186"/>
      <c r="AC796" s="186"/>
      <c r="AD796" s="186"/>
      <c r="AE796" s="186"/>
    </row>
    <row r="797">
      <c r="A797" s="178"/>
      <c r="B797" s="36"/>
      <c r="C797" s="36"/>
      <c r="D797" s="197"/>
      <c r="E797" s="180"/>
      <c r="F797" s="181"/>
      <c r="G797" s="205"/>
      <c r="H797" s="205"/>
      <c r="I797" s="205"/>
      <c r="J797" s="205"/>
      <c r="K797" s="205"/>
      <c r="L797" s="205"/>
      <c r="M797" s="186"/>
      <c r="N797" s="186"/>
      <c r="O797" s="186"/>
      <c r="P797" s="186"/>
      <c r="Q797" s="186"/>
      <c r="R797" s="186"/>
      <c r="S797" s="186"/>
      <c r="T797" s="186"/>
      <c r="U797" s="186"/>
      <c r="V797" s="186"/>
      <c r="W797" s="186"/>
      <c r="X797" s="186"/>
      <c r="Y797" s="186"/>
      <c r="Z797" s="186"/>
      <c r="AA797" s="186"/>
      <c r="AB797" s="186"/>
      <c r="AC797" s="186"/>
      <c r="AD797" s="186"/>
      <c r="AE797" s="186"/>
    </row>
    <row r="798">
      <c r="A798" s="178"/>
      <c r="B798" s="36"/>
      <c r="C798" s="36"/>
      <c r="D798" s="197"/>
      <c r="E798" s="180"/>
      <c r="F798" s="181"/>
      <c r="G798" s="205"/>
      <c r="H798" s="205"/>
      <c r="I798" s="205"/>
      <c r="J798" s="205"/>
      <c r="K798" s="205"/>
      <c r="L798" s="205"/>
      <c r="M798" s="186"/>
      <c r="N798" s="186"/>
      <c r="O798" s="186"/>
      <c r="P798" s="186"/>
      <c r="Q798" s="186"/>
      <c r="R798" s="186"/>
      <c r="S798" s="186"/>
      <c r="T798" s="186"/>
      <c r="U798" s="186"/>
      <c r="V798" s="186"/>
      <c r="W798" s="186"/>
      <c r="X798" s="186"/>
      <c r="Y798" s="186"/>
      <c r="Z798" s="186"/>
      <c r="AA798" s="186"/>
      <c r="AB798" s="186"/>
      <c r="AC798" s="186"/>
      <c r="AD798" s="186"/>
      <c r="AE798" s="186"/>
    </row>
    <row r="799">
      <c r="A799" s="178"/>
      <c r="B799" s="36"/>
      <c r="C799" s="36"/>
      <c r="D799" s="197"/>
      <c r="E799" s="180"/>
      <c r="F799" s="181"/>
      <c r="G799" s="205"/>
      <c r="H799" s="205"/>
      <c r="I799" s="205"/>
      <c r="J799" s="205"/>
      <c r="K799" s="205"/>
      <c r="L799" s="205"/>
      <c r="M799" s="186"/>
      <c r="N799" s="186"/>
      <c r="O799" s="186"/>
      <c r="P799" s="186"/>
      <c r="Q799" s="186"/>
      <c r="R799" s="186"/>
      <c r="S799" s="186"/>
      <c r="T799" s="186"/>
      <c r="U799" s="186"/>
      <c r="V799" s="186"/>
      <c r="W799" s="186"/>
      <c r="X799" s="186"/>
      <c r="Y799" s="186"/>
      <c r="Z799" s="186"/>
      <c r="AA799" s="186"/>
      <c r="AB799" s="186"/>
      <c r="AC799" s="186"/>
      <c r="AD799" s="186"/>
      <c r="AE799" s="186"/>
    </row>
    <row r="800">
      <c r="A800" s="178"/>
      <c r="B800" s="36"/>
      <c r="C800" s="36"/>
      <c r="D800" s="197"/>
      <c r="E800" s="180"/>
      <c r="F800" s="181"/>
      <c r="G800" s="205"/>
      <c r="H800" s="205"/>
      <c r="I800" s="205"/>
      <c r="J800" s="205"/>
      <c r="K800" s="205"/>
      <c r="L800" s="205"/>
      <c r="M800" s="186"/>
      <c r="N800" s="186"/>
      <c r="O800" s="186"/>
      <c r="P800" s="186"/>
      <c r="Q800" s="186"/>
      <c r="R800" s="186"/>
      <c r="S800" s="186"/>
      <c r="T800" s="186"/>
      <c r="U800" s="186"/>
      <c r="V800" s="186"/>
      <c r="W800" s="186"/>
      <c r="X800" s="186"/>
      <c r="Y800" s="186"/>
      <c r="Z800" s="186"/>
      <c r="AA800" s="186"/>
      <c r="AB800" s="186"/>
      <c r="AC800" s="186"/>
      <c r="AD800" s="186"/>
      <c r="AE800" s="186"/>
    </row>
    <row r="801">
      <c r="A801" s="178"/>
      <c r="B801" s="36"/>
      <c r="C801" s="36"/>
      <c r="D801" s="197"/>
      <c r="E801" s="180"/>
      <c r="F801" s="181"/>
      <c r="G801" s="205"/>
      <c r="H801" s="205"/>
      <c r="I801" s="205"/>
      <c r="J801" s="205"/>
      <c r="K801" s="205"/>
      <c r="L801" s="205"/>
      <c r="M801" s="186"/>
      <c r="N801" s="186"/>
      <c r="O801" s="186"/>
      <c r="P801" s="186"/>
      <c r="Q801" s="186"/>
      <c r="R801" s="186"/>
      <c r="S801" s="186"/>
      <c r="T801" s="186"/>
      <c r="U801" s="186"/>
      <c r="V801" s="186"/>
      <c r="W801" s="186"/>
      <c r="X801" s="186"/>
      <c r="Y801" s="186"/>
      <c r="Z801" s="186"/>
      <c r="AA801" s="186"/>
      <c r="AB801" s="186"/>
      <c r="AC801" s="186"/>
      <c r="AD801" s="186"/>
      <c r="AE801" s="186"/>
    </row>
    <row r="802">
      <c r="A802" s="178"/>
      <c r="B802" s="36"/>
      <c r="C802" s="36"/>
      <c r="D802" s="197"/>
      <c r="E802" s="180"/>
      <c r="F802" s="181"/>
      <c r="G802" s="205"/>
      <c r="H802" s="205"/>
      <c r="I802" s="205"/>
      <c r="J802" s="205"/>
      <c r="K802" s="205"/>
      <c r="L802" s="205"/>
      <c r="M802" s="186"/>
      <c r="N802" s="186"/>
      <c r="O802" s="186"/>
      <c r="P802" s="186"/>
      <c r="Q802" s="186"/>
      <c r="R802" s="186"/>
      <c r="S802" s="186"/>
      <c r="T802" s="186"/>
      <c r="U802" s="186"/>
      <c r="V802" s="186"/>
      <c r="W802" s="186"/>
      <c r="X802" s="186"/>
      <c r="Y802" s="186"/>
      <c r="Z802" s="186"/>
      <c r="AA802" s="186"/>
      <c r="AB802" s="186"/>
      <c r="AC802" s="186"/>
      <c r="AD802" s="186"/>
      <c r="AE802" s="186"/>
    </row>
    <row r="803">
      <c r="A803" s="178"/>
      <c r="B803" s="36"/>
      <c r="C803" s="36"/>
      <c r="D803" s="197"/>
      <c r="E803" s="180"/>
      <c r="F803" s="181"/>
      <c r="G803" s="205"/>
      <c r="H803" s="205"/>
      <c r="I803" s="205"/>
      <c r="J803" s="205"/>
      <c r="K803" s="205"/>
      <c r="L803" s="205"/>
      <c r="M803" s="186"/>
      <c r="N803" s="186"/>
      <c r="O803" s="186"/>
      <c r="P803" s="186"/>
      <c r="Q803" s="186"/>
      <c r="R803" s="186"/>
      <c r="S803" s="186"/>
      <c r="T803" s="186"/>
      <c r="U803" s="186"/>
      <c r="V803" s="186"/>
      <c r="W803" s="186"/>
      <c r="X803" s="186"/>
      <c r="Y803" s="186"/>
      <c r="Z803" s="186"/>
      <c r="AA803" s="186"/>
      <c r="AB803" s="186"/>
      <c r="AC803" s="186"/>
      <c r="AD803" s="186"/>
      <c r="AE803" s="186"/>
    </row>
    <row r="804">
      <c r="A804" s="178"/>
      <c r="B804" s="36"/>
      <c r="C804" s="36"/>
      <c r="D804" s="197"/>
      <c r="E804" s="180"/>
      <c r="F804" s="181"/>
      <c r="G804" s="205"/>
      <c r="H804" s="205"/>
      <c r="I804" s="205"/>
      <c r="J804" s="205"/>
      <c r="K804" s="205"/>
      <c r="L804" s="205"/>
      <c r="M804" s="186"/>
      <c r="N804" s="186"/>
      <c r="O804" s="186"/>
      <c r="P804" s="186"/>
      <c r="Q804" s="186"/>
      <c r="R804" s="186"/>
      <c r="S804" s="186"/>
      <c r="T804" s="186"/>
      <c r="U804" s="186"/>
      <c r="V804" s="186"/>
      <c r="W804" s="186"/>
      <c r="X804" s="186"/>
      <c r="Y804" s="186"/>
      <c r="Z804" s="186"/>
      <c r="AA804" s="186"/>
      <c r="AB804" s="186"/>
      <c r="AC804" s="186"/>
      <c r="AD804" s="186"/>
      <c r="AE804" s="186"/>
    </row>
    <row r="805">
      <c r="A805" s="178"/>
      <c r="B805" s="36"/>
      <c r="C805" s="36"/>
      <c r="D805" s="197"/>
      <c r="E805" s="180"/>
      <c r="F805" s="181"/>
      <c r="G805" s="205"/>
      <c r="H805" s="205"/>
      <c r="I805" s="205"/>
      <c r="J805" s="205"/>
      <c r="K805" s="205"/>
      <c r="L805" s="205"/>
      <c r="M805" s="186"/>
      <c r="N805" s="186"/>
      <c r="O805" s="186"/>
      <c r="P805" s="186"/>
      <c r="Q805" s="186"/>
      <c r="R805" s="186"/>
      <c r="S805" s="186"/>
      <c r="T805" s="186"/>
      <c r="U805" s="186"/>
      <c r="V805" s="186"/>
      <c r="W805" s="186"/>
      <c r="X805" s="186"/>
      <c r="Y805" s="186"/>
      <c r="Z805" s="186"/>
      <c r="AA805" s="186"/>
      <c r="AB805" s="186"/>
      <c r="AC805" s="186"/>
      <c r="AD805" s="186"/>
      <c r="AE805" s="186"/>
    </row>
    <row r="806">
      <c r="A806" s="178"/>
      <c r="B806" s="36"/>
      <c r="C806" s="36"/>
      <c r="D806" s="197"/>
      <c r="E806" s="180"/>
      <c r="F806" s="181"/>
      <c r="G806" s="205"/>
      <c r="H806" s="205"/>
      <c r="I806" s="205"/>
      <c r="J806" s="205"/>
      <c r="K806" s="205"/>
      <c r="L806" s="205"/>
      <c r="M806" s="186"/>
      <c r="N806" s="186"/>
      <c r="O806" s="186"/>
      <c r="P806" s="186"/>
      <c r="Q806" s="186"/>
      <c r="R806" s="186"/>
      <c r="S806" s="186"/>
      <c r="T806" s="186"/>
      <c r="U806" s="186"/>
      <c r="V806" s="186"/>
      <c r="W806" s="186"/>
      <c r="X806" s="186"/>
      <c r="Y806" s="186"/>
      <c r="Z806" s="186"/>
      <c r="AA806" s="186"/>
      <c r="AB806" s="186"/>
      <c r="AC806" s="186"/>
      <c r="AD806" s="186"/>
      <c r="AE806" s="186"/>
    </row>
    <row r="807">
      <c r="A807" s="178"/>
      <c r="B807" s="36"/>
      <c r="C807" s="36"/>
      <c r="D807" s="197"/>
      <c r="E807" s="180"/>
      <c r="F807" s="181"/>
      <c r="G807" s="205"/>
      <c r="H807" s="205"/>
      <c r="I807" s="205"/>
      <c r="J807" s="205"/>
      <c r="K807" s="205"/>
      <c r="L807" s="205"/>
      <c r="M807" s="186"/>
      <c r="N807" s="186"/>
      <c r="O807" s="186"/>
      <c r="P807" s="186"/>
      <c r="Q807" s="186"/>
      <c r="R807" s="186"/>
      <c r="S807" s="186"/>
      <c r="T807" s="186"/>
      <c r="U807" s="186"/>
      <c r="V807" s="186"/>
      <c r="W807" s="186"/>
      <c r="X807" s="186"/>
      <c r="Y807" s="186"/>
      <c r="Z807" s="186"/>
      <c r="AA807" s="186"/>
      <c r="AB807" s="186"/>
      <c r="AC807" s="186"/>
      <c r="AD807" s="186"/>
      <c r="AE807" s="186"/>
    </row>
    <row r="808">
      <c r="A808" s="178"/>
      <c r="B808" s="36"/>
      <c r="C808" s="36"/>
      <c r="D808" s="197"/>
      <c r="E808" s="180"/>
      <c r="F808" s="181"/>
      <c r="G808" s="205"/>
      <c r="H808" s="205"/>
      <c r="I808" s="205"/>
      <c r="J808" s="205"/>
      <c r="K808" s="205"/>
      <c r="L808" s="205"/>
      <c r="M808" s="186"/>
      <c r="N808" s="186"/>
      <c r="O808" s="186"/>
      <c r="P808" s="186"/>
      <c r="Q808" s="186"/>
      <c r="R808" s="186"/>
      <c r="S808" s="186"/>
      <c r="T808" s="186"/>
      <c r="U808" s="186"/>
      <c r="V808" s="186"/>
      <c r="W808" s="186"/>
      <c r="X808" s="186"/>
      <c r="Y808" s="186"/>
      <c r="Z808" s="186"/>
      <c r="AA808" s="186"/>
      <c r="AB808" s="186"/>
      <c r="AC808" s="186"/>
      <c r="AD808" s="186"/>
      <c r="AE808" s="186"/>
    </row>
    <row r="809">
      <c r="A809" s="178"/>
      <c r="B809" s="36"/>
      <c r="C809" s="36"/>
      <c r="D809" s="197"/>
      <c r="E809" s="180"/>
      <c r="F809" s="181"/>
      <c r="G809" s="205"/>
      <c r="H809" s="205"/>
      <c r="I809" s="205"/>
      <c r="J809" s="205"/>
      <c r="K809" s="205"/>
      <c r="L809" s="205"/>
      <c r="M809" s="186"/>
      <c r="N809" s="186"/>
      <c r="O809" s="186"/>
      <c r="P809" s="186"/>
      <c r="Q809" s="186"/>
      <c r="R809" s="186"/>
      <c r="S809" s="186"/>
      <c r="T809" s="186"/>
      <c r="U809" s="186"/>
      <c r="V809" s="186"/>
      <c r="W809" s="186"/>
      <c r="X809" s="186"/>
      <c r="Y809" s="186"/>
      <c r="Z809" s="186"/>
      <c r="AA809" s="186"/>
      <c r="AB809" s="186"/>
      <c r="AC809" s="186"/>
      <c r="AD809" s="186"/>
      <c r="AE809" s="186"/>
    </row>
    <row r="810">
      <c r="A810" s="178"/>
      <c r="B810" s="36"/>
      <c r="C810" s="36"/>
      <c r="D810" s="197"/>
      <c r="E810" s="180"/>
      <c r="F810" s="181"/>
      <c r="G810" s="205"/>
      <c r="H810" s="205"/>
      <c r="I810" s="205"/>
      <c r="J810" s="205"/>
      <c r="K810" s="205"/>
      <c r="L810" s="205"/>
      <c r="M810" s="186"/>
      <c r="N810" s="186"/>
      <c r="O810" s="186"/>
      <c r="P810" s="186"/>
      <c r="Q810" s="186"/>
      <c r="R810" s="186"/>
      <c r="S810" s="186"/>
      <c r="T810" s="186"/>
      <c r="U810" s="186"/>
      <c r="V810" s="186"/>
      <c r="W810" s="186"/>
      <c r="X810" s="186"/>
      <c r="Y810" s="186"/>
      <c r="Z810" s="186"/>
      <c r="AA810" s="186"/>
      <c r="AB810" s="186"/>
      <c r="AC810" s="186"/>
      <c r="AD810" s="186"/>
      <c r="AE810" s="186"/>
    </row>
    <row r="811">
      <c r="A811" s="178"/>
      <c r="B811" s="36"/>
      <c r="C811" s="36"/>
      <c r="D811" s="197"/>
      <c r="E811" s="180"/>
      <c r="F811" s="181"/>
      <c r="G811" s="205"/>
      <c r="H811" s="205"/>
      <c r="I811" s="205"/>
      <c r="J811" s="205"/>
      <c r="K811" s="205"/>
      <c r="L811" s="205"/>
      <c r="M811" s="186"/>
      <c r="N811" s="186"/>
      <c r="O811" s="186"/>
      <c r="P811" s="186"/>
      <c r="Q811" s="186"/>
      <c r="R811" s="186"/>
      <c r="S811" s="186"/>
      <c r="T811" s="186"/>
      <c r="U811" s="186"/>
      <c r="V811" s="186"/>
      <c r="W811" s="186"/>
      <c r="X811" s="186"/>
      <c r="Y811" s="186"/>
      <c r="Z811" s="186"/>
      <c r="AA811" s="186"/>
      <c r="AB811" s="186"/>
      <c r="AC811" s="186"/>
      <c r="AD811" s="186"/>
      <c r="AE811" s="186"/>
    </row>
    <row r="812">
      <c r="A812" s="178"/>
      <c r="B812" s="36"/>
      <c r="C812" s="36"/>
      <c r="D812" s="197"/>
      <c r="E812" s="180"/>
      <c r="F812" s="181"/>
      <c r="G812" s="205"/>
      <c r="H812" s="205"/>
      <c r="I812" s="205"/>
      <c r="J812" s="205"/>
      <c r="K812" s="205"/>
      <c r="L812" s="205"/>
      <c r="M812" s="186"/>
      <c r="N812" s="186"/>
      <c r="O812" s="186"/>
      <c r="P812" s="186"/>
      <c r="Q812" s="186"/>
      <c r="R812" s="186"/>
      <c r="S812" s="186"/>
      <c r="T812" s="186"/>
      <c r="U812" s="186"/>
      <c r="V812" s="186"/>
      <c r="W812" s="186"/>
      <c r="X812" s="186"/>
      <c r="Y812" s="186"/>
      <c r="Z812" s="186"/>
      <c r="AA812" s="186"/>
      <c r="AB812" s="186"/>
      <c r="AC812" s="186"/>
      <c r="AD812" s="186"/>
      <c r="AE812" s="186"/>
    </row>
    <row r="813">
      <c r="A813" s="178"/>
      <c r="B813" s="36"/>
      <c r="C813" s="36"/>
      <c r="D813" s="197"/>
      <c r="E813" s="180"/>
      <c r="F813" s="181"/>
      <c r="G813" s="205"/>
      <c r="H813" s="205"/>
      <c r="I813" s="205"/>
      <c r="J813" s="205"/>
      <c r="K813" s="205"/>
      <c r="L813" s="205"/>
      <c r="M813" s="186"/>
      <c r="N813" s="186"/>
      <c r="O813" s="186"/>
      <c r="P813" s="186"/>
      <c r="Q813" s="186"/>
      <c r="R813" s="186"/>
      <c r="S813" s="186"/>
      <c r="T813" s="186"/>
      <c r="U813" s="186"/>
      <c r="V813" s="186"/>
      <c r="W813" s="186"/>
      <c r="X813" s="186"/>
      <c r="Y813" s="186"/>
      <c r="Z813" s="186"/>
      <c r="AA813" s="186"/>
      <c r="AB813" s="186"/>
      <c r="AC813" s="186"/>
      <c r="AD813" s="186"/>
      <c r="AE813" s="186"/>
    </row>
    <row r="814">
      <c r="A814" s="178"/>
      <c r="B814" s="36"/>
      <c r="C814" s="36"/>
      <c r="D814" s="197"/>
      <c r="E814" s="180"/>
      <c r="F814" s="181"/>
      <c r="G814" s="205"/>
      <c r="H814" s="205"/>
      <c r="I814" s="205"/>
      <c r="J814" s="205"/>
      <c r="K814" s="205"/>
      <c r="L814" s="205"/>
      <c r="M814" s="186"/>
      <c r="N814" s="186"/>
      <c r="O814" s="186"/>
      <c r="P814" s="186"/>
      <c r="Q814" s="186"/>
      <c r="R814" s="186"/>
      <c r="S814" s="186"/>
      <c r="T814" s="186"/>
      <c r="U814" s="186"/>
      <c r="V814" s="186"/>
      <c r="W814" s="186"/>
      <c r="X814" s="186"/>
      <c r="Y814" s="186"/>
      <c r="Z814" s="186"/>
      <c r="AA814" s="186"/>
      <c r="AB814" s="186"/>
      <c r="AC814" s="186"/>
      <c r="AD814" s="186"/>
      <c r="AE814" s="186"/>
    </row>
    <row r="815">
      <c r="A815" s="178"/>
      <c r="B815" s="36"/>
      <c r="C815" s="36"/>
      <c r="D815" s="197"/>
      <c r="E815" s="180"/>
      <c r="F815" s="181"/>
      <c r="G815" s="205"/>
      <c r="H815" s="205"/>
      <c r="I815" s="205"/>
      <c r="J815" s="205"/>
      <c r="K815" s="205"/>
      <c r="L815" s="205"/>
      <c r="M815" s="186"/>
      <c r="N815" s="186"/>
      <c r="O815" s="186"/>
      <c r="P815" s="186"/>
      <c r="Q815" s="186"/>
      <c r="R815" s="186"/>
      <c r="S815" s="186"/>
      <c r="T815" s="186"/>
      <c r="U815" s="186"/>
      <c r="V815" s="186"/>
      <c r="W815" s="186"/>
      <c r="X815" s="186"/>
      <c r="Y815" s="186"/>
      <c r="Z815" s="186"/>
      <c r="AA815" s="186"/>
      <c r="AB815" s="186"/>
      <c r="AC815" s="186"/>
      <c r="AD815" s="186"/>
      <c r="AE815" s="186"/>
    </row>
    <row r="816">
      <c r="A816" s="178"/>
      <c r="B816" s="36"/>
      <c r="C816" s="36"/>
      <c r="D816" s="197"/>
      <c r="E816" s="180"/>
      <c r="F816" s="181"/>
      <c r="G816" s="205"/>
      <c r="H816" s="205"/>
      <c r="I816" s="205"/>
      <c r="J816" s="205"/>
      <c r="K816" s="205"/>
      <c r="L816" s="205"/>
      <c r="M816" s="186"/>
      <c r="N816" s="186"/>
      <c r="O816" s="186"/>
      <c r="P816" s="186"/>
      <c r="Q816" s="186"/>
      <c r="R816" s="186"/>
      <c r="S816" s="186"/>
      <c r="T816" s="186"/>
      <c r="U816" s="186"/>
      <c r="V816" s="186"/>
      <c r="W816" s="186"/>
      <c r="X816" s="186"/>
      <c r="Y816" s="186"/>
      <c r="Z816" s="186"/>
      <c r="AA816" s="186"/>
      <c r="AB816" s="186"/>
      <c r="AC816" s="186"/>
      <c r="AD816" s="186"/>
      <c r="AE816" s="186"/>
    </row>
    <row r="817">
      <c r="A817" s="178"/>
      <c r="B817" s="36"/>
      <c r="C817" s="36"/>
      <c r="D817" s="197"/>
      <c r="E817" s="180"/>
      <c r="F817" s="181"/>
      <c r="G817" s="205"/>
      <c r="H817" s="205"/>
      <c r="I817" s="205"/>
      <c r="J817" s="205"/>
      <c r="K817" s="205"/>
      <c r="L817" s="205"/>
      <c r="M817" s="186"/>
      <c r="N817" s="186"/>
      <c r="O817" s="186"/>
      <c r="P817" s="186"/>
      <c r="Q817" s="186"/>
      <c r="R817" s="186"/>
      <c r="S817" s="186"/>
      <c r="T817" s="186"/>
      <c r="U817" s="186"/>
      <c r="V817" s="186"/>
      <c r="W817" s="186"/>
      <c r="X817" s="186"/>
      <c r="Y817" s="186"/>
      <c r="Z817" s="186"/>
      <c r="AA817" s="186"/>
      <c r="AB817" s="186"/>
      <c r="AC817" s="186"/>
      <c r="AD817" s="186"/>
      <c r="AE817" s="186"/>
    </row>
    <row r="818">
      <c r="A818" s="178"/>
      <c r="B818" s="36"/>
      <c r="C818" s="36"/>
      <c r="D818" s="197"/>
      <c r="E818" s="180"/>
      <c r="F818" s="181"/>
      <c r="G818" s="205"/>
      <c r="H818" s="205"/>
      <c r="I818" s="205"/>
      <c r="J818" s="205"/>
      <c r="K818" s="205"/>
      <c r="L818" s="205"/>
      <c r="M818" s="186"/>
      <c r="N818" s="186"/>
      <c r="O818" s="186"/>
      <c r="P818" s="186"/>
      <c r="Q818" s="186"/>
      <c r="R818" s="186"/>
      <c r="S818" s="186"/>
      <c r="T818" s="186"/>
      <c r="U818" s="186"/>
      <c r="V818" s="186"/>
      <c r="W818" s="186"/>
      <c r="X818" s="186"/>
      <c r="Y818" s="186"/>
      <c r="Z818" s="186"/>
      <c r="AA818" s="186"/>
      <c r="AB818" s="186"/>
      <c r="AC818" s="186"/>
      <c r="AD818" s="186"/>
      <c r="AE818" s="186"/>
    </row>
    <row r="819">
      <c r="A819" s="178"/>
      <c r="B819" s="36"/>
      <c r="C819" s="36"/>
      <c r="D819" s="197"/>
      <c r="E819" s="180"/>
      <c r="F819" s="181"/>
      <c r="G819" s="205"/>
      <c r="H819" s="205"/>
      <c r="I819" s="205"/>
      <c r="J819" s="205"/>
      <c r="K819" s="205"/>
      <c r="L819" s="205"/>
      <c r="M819" s="186"/>
      <c r="N819" s="186"/>
      <c r="O819" s="186"/>
      <c r="P819" s="186"/>
      <c r="Q819" s="186"/>
      <c r="R819" s="186"/>
      <c r="S819" s="186"/>
      <c r="T819" s="186"/>
      <c r="U819" s="186"/>
      <c r="V819" s="186"/>
      <c r="W819" s="186"/>
      <c r="X819" s="186"/>
      <c r="Y819" s="186"/>
      <c r="Z819" s="186"/>
      <c r="AA819" s="186"/>
      <c r="AB819" s="186"/>
      <c r="AC819" s="186"/>
      <c r="AD819" s="186"/>
      <c r="AE819" s="186"/>
    </row>
    <row r="820">
      <c r="A820" s="178"/>
      <c r="B820" s="36"/>
      <c r="C820" s="36"/>
      <c r="D820" s="197"/>
      <c r="E820" s="180"/>
      <c r="F820" s="181"/>
      <c r="G820" s="205"/>
      <c r="H820" s="205"/>
      <c r="I820" s="205"/>
      <c r="J820" s="205"/>
      <c r="K820" s="205"/>
      <c r="L820" s="205"/>
      <c r="M820" s="186"/>
      <c r="N820" s="186"/>
      <c r="O820" s="186"/>
      <c r="P820" s="186"/>
      <c r="Q820" s="186"/>
      <c r="R820" s="186"/>
      <c r="S820" s="186"/>
      <c r="T820" s="186"/>
      <c r="U820" s="186"/>
      <c r="V820" s="186"/>
      <c r="W820" s="186"/>
      <c r="X820" s="186"/>
      <c r="Y820" s="186"/>
      <c r="Z820" s="186"/>
      <c r="AA820" s="186"/>
      <c r="AB820" s="186"/>
      <c r="AC820" s="186"/>
      <c r="AD820" s="186"/>
      <c r="AE820" s="186"/>
    </row>
    <row r="821">
      <c r="A821" s="178"/>
      <c r="B821" s="36"/>
      <c r="C821" s="36"/>
      <c r="D821" s="197"/>
      <c r="E821" s="180"/>
      <c r="F821" s="181"/>
      <c r="G821" s="205"/>
      <c r="H821" s="205"/>
      <c r="I821" s="205"/>
      <c r="J821" s="205"/>
      <c r="K821" s="205"/>
      <c r="L821" s="205"/>
      <c r="M821" s="186"/>
      <c r="N821" s="186"/>
      <c r="O821" s="186"/>
      <c r="P821" s="186"/>
      <c r="Q821" s="186"/>
      <c r="R821" s="186"/>
      <c r="S821" s="186"/>
      <c r="T821" s="186"/>
      <c r="U821" s="186"/>
      <c r="V821" s="186"/>
      <c r="W821" s="186"/>
      <c r="X821" s="186"/>
      <c r="Y821" s="186"/>
      <c r="Z821" s="186"/>
      <c r="AA821" s="186"/>
      <c r="AB821" s="186"/>
      <c r="AC821" s="186"/>
      <c r="AD821" s="186"/>
      <c r="AE821" s="186"/>
    </row>
    <row r="822">
      <c r="A822" s="178"/>
      <c r="B822" s="36"/>
      <c r="C822" s="36"/>
      <c r="D822" s="197"/>
      <c r="E822" s="180"/>
      <c r="F822" s="181"/>
      <c r="G822" s="205"/>
      <c r="H822" s="205"/>
      <c r="I822" s="205"/>
      <c r="J822" s="205"/>
      <c r="K822" s="205"/>
      <c r="L822" s="205"/>
      <c r="M822" s="186"/>
      <c r="N822" s="186"/>
      <c r="O822" s="186"/>
      <c r="P822" s="186"/>
      <c r="Q822" s="186"/>
      <c r="R822" s="186"/>
      <c r="S822" s="186"/>
      <c r="T822" s="186"/>
      <c r="U822" s="186"/>
      <c r="V822" s="186"/>
      <c r="W822" s="186"/>
      <c r="X822" s="186"/>
      <c r="Y822" s="186"/>
      <c r="Z822" s="186"/>
      <c r="AA822" s="186"/>
      <c r="AB822" s="186"/>
      <c r="AC822" s="186"/>
      <c r="AD822" s="186"/>
      <c r="AE822" s="186"/>
    </row>
    <row r="823">
      <c r="A823" s="178"/>
      <c r="B823" s="36"/>
      <c r="C823" s="36"/>
      <c r="D823" s="197"/>
      <c r="E823" s="180"/>
      <c r="F823" s="181"/>
      <c r="G823" s="205"/>
      <c r="H823" s="205"/>
      <c r="I823" s="205"/>
      <c r="J823" s="205"/>
      <c r="K823" s="205"/>
      <c r="L823" s="205"/>
      <c r="M823" s="186"/>
      <c r="N823" s="186"/>
      <c r="O823" s="186"/>
      <c r="P823" s="186"/>
      <c r="Q823" s="186"/>
      <c r="R823" s="186"/>
      <c r="S823" s="186"/>
      <c r="T823" s="186"/>
      <c r="U823" s="186"/>
      <c r="V823" s="186"/>
      <c r="W823" s="186"/>
      <c r="X823" s="186"/>
      <c r="Y823" s="186"/>
      <c r="Z823" s="186"/>
      <c r="AA823" s="186"/>
      <c r="AB823" s="186"/>
      <c r="AC823" s="186"/>
      <c r="AD823" s="186"/>
      <c r="AE823" s="186"/>
    </row>
    <row r="824">
      <c r="A824" s="178"/>
      <c r="B824" s="36"/>
      <c r="C824" s="36"/>
      <c r="D824" s="197"/>
      <c r="E824" s="180"/>
      <c r="F824" s="181"/>
      <c r="G824" s="205"/>
      <c r="H824" s="205"/>
      <c r="I824" s="205"/>
      <c r="J824" s="205"/>
      <c r="K824" s="205"/>
      <c r="L824" s="205"/>
      <c r="M824" s="186"/>
      <c r="N824" s="186"/>
      <c r="O824" s="186"/>
      <c r="P824" s="186"/>
      <c r="Q824" s="186"/>
      <c r="R824" s="186"/>
      <c r="S824" s="186"/>
      <c r="T824" s="186"/>
      <c r="U824" s="186"/>
      <c r="V824" s="186"/>
      <c r="W824" s="186"/>
      <c r="X824" s="186"/>
      <c r="Y824" s="186"/>
      <c r="Z824" s="186"/>
      <c r="AA824" s="186"/>
      <c r="AB824" s="186"/>
      <c r="AC824" s="186"/>
      <c r="AD824" s="186"/>
      <c r="AE824" s="186"/>
    </row>
    <row r="825">
      <c r="A825" s="178"/>
      <c r="B825" s="36"/>
      <c r="C825" s="36"/>
      <c r="D825" s="197"/>
      <c r="E825" s="180"/>
      <c r="F825" s="181"/>
      <c r="G825" s="205"/>
      <c r="H825" s="205"/>
      <c r="I825" s="205"/>
      <c r="J825" s="205"/>
      <c r="K825" s="205"/>
      <c r="L825" s="205"/>
      <c r="M825" s="186"/>
      <c r="N825" s="186"/>
      <c r="O825" s="186"/>
      <c r="P825" s="186"/>
      <c r="Q825" s="186"/>
      <c r="R825" s="186"/>
      <c r="S825" s="186"/>
      <c r="T825" s="186"/>
      <c r="U825" s="186"/>
      <c r="V825" s="186"/>
      <c r="W825" s="186"/>
      <c r="X825" s="186"/>
      <c r="Y825" s="186"/>
      <c r="Z825" s="186"/>
      <c r="AA825" s="186"/>
      <c r="AB825" s="186"/>
      <c r="AC825" s="186"/>
      <c r="AD825" s="186"/>
      <c r="AE825" s="186"/>
    </row>
    <row r="826">
      <c r="A826" s="178"/>
      <c r="B826" s="36"/>
      <c r="C826" s="36"/>
      <c r="D826" s="197"/>
      <c r="E826" s="180"/>
      <c r="F826" s="181"/>
      <c r="G826" s="205"/>
      <c r="H826" s="205"/>
      <c r="I826" s="205"/>
      <c r="J826" s="205"/>
      <c r="K826" s="205"/>
      <c r="L826" s="205"/>
      <c r="M826" s="186"/>
      <c r="N826" s="186"/>
      <c r="O826" s="186"/>
      <c r="P826" s="186"/>
      <c r="Q826" s="186"/>
      <c r="R826" s="186"/>
      <c r="S826" s="186"/>
      <c r="T826" s="186"/>
      <c r="U826" s="186"/>
      <c r="V826" s="186"/>
      <c r="W826" s="186"/>
      <c r="X826" s="186"/>
      <c r="Y826" s="186"/>
      <c r="Z826" s="186"/>
      <c r="AA826" s="186"/>
      <c r="AB826" s="186"/>
      <c r="AC826" s="186"/>
      <c r="AD826" s="186"/>
      <c r="AE826" s="186"/>
    </row>
    <row r="827">
      <c r="A827" s="178"/>
      <c r="B827" s="36"/>
      <c r="C827" s="36"/>
      <c r="D827" s="197"/>
      <c r="E827" s="180"/>
      <c r="F827" s="181"/>
      <c r="G827" s="205"/>
      <c r="H827" s="205"/>
      <c r="I827" s="205"/>
      <c r="J827" s="205"/>
      <c r="K827" s="205"/>
      <c r="L827" s="205"/>
      <c r="M827" s="186"/>
      <c r="N827" s="186"/>
      <c r="O827" s="186"/>
      <c r="P827" s="186"/>
      <c r="Q827" s="186"/>
      <c r="R827" s="186"/>
      <c r="S827" s="186"/>
      <c r="T827" s="186"/>
      <c r="U827" s="186"/>
      <c r="V827" s="186"/>
      <c r="W827" s="186"/>
      <c r="X827" s="186"/>
      <c r="Y827" s="186"/>
      <c r="Z827" s="186"/>
      <c r="AA827" s="186"/>
      <c r="AB827" s="186"/>
      <c r="AC827" s="186"/>
      <c r="AD827" s="186"/>
      <c r="AE827" s="186"/>
    </row>
    <row r="828">
      <c r="A828" s="178"/>
      <c r="B828" s="36"/>
      <c r="C828" s="36"/>
      <c r="D828" s="197"/>
      <c r="E828" s="180"/>
      <c r="F828" s="181"/>
      <c r="G828" s="205"/>
      <c r="H828" s="205"/>
      <c r="I828" s="205"/>
      <c r="J828" s="205"/>
      <c r="K828" s="205"/>
      <c r="L828" s="205"/>
      <c r="M828" s="186"/>
      <c r="N828" s="186"/>
      <c r="O828" s="186"/>
      <c r="P828" s="186"/>
      <c r="Q828" s="186"/>
      <c r="R828" s="186"/>
      <c r="S828" s="186"/>
      <c r="T828" s="186"/>
      <c r="U828" s="186"/>
      <c r="V828" s="186"/>
      <c r="W828" s="186"/>
      <c r="X828" s="186"/>
      <c r="Y828" s="186"/>
      <c r="Z828" s="186"/>
      <c r="AA828" s="186"/>
      <c r="AB828" s="186"/>
      <c r="AC828" s="186"/>
      <c r="AD828" s="186"/>
      <c r="AE828" s="186"/>
    </row>
    <row r="829">
      <c r="A829" s="178"/>
      <c r="B829" s="36"/>
      <c r="C829" s="36"/>
      <c r="D829" s="197"/>
      <c r="E829" s="180"/>
      <c r="F829" s="181"/>
      <c r="G829" s="205"/>
      <c r="H829" s="205"/>
      <c r="I829" s="205"/>
      <c r="J829" s="205"/>
      <c r="K829" s="205"/>
      <c r="L829" s="205"/>
      <c r="M829" s="186"/>
      <c r="N829" s="186"/>
      <c r="O829" s="186"/>
      <c r="P829" s="186"/>
      <c r="Q829" s="186"/>
      <c r="R829" s="186"/>
      <c r="S829" s="186"/>
      <c r="T829" s="186"/>
      <c r="U829" s="186"/>
      <c r="V829" s="186"/>
      <c r="W829" s="186"/>
      <c r="X829" s="186"/>
      <c r="Y829" s="186"/>
      <c r="Z829" s="186"/>
      <c r="AA829" s="186"/>
      <c r="AB829" s="186"/>
      <c r="AC829" s="186"/>
      <c r="AD829" s="186"/>
      <c r="AE829" s="186"/>
    </row>
    <row r="830">
      <c r="A830" s="178"/>
      <c r="B830" s="36"/>
      <c r="C830" s="36"/>
      <c r="D830" s="197"/>
      <c r="E830" s="180"/>
      <c r="F830" s="181"/>
      <c r="G830" s="205"/>
      <c r="H830" s="205"/>
      <c r="I830" s="205"/>
      <c r="J830" s="205"/>
      <c r="K830" s="205"/>
      <c r="L830" s="205"/>
      <c r="M830" s="186"/>
      <c r="N830" s="186"/>
      <c r="O830" s="186"/>
      <c r="P830" s="186"/>
      <c r="Q830" s="186"/>
      <c r="R830" s="186"/>
      <c r="S830" s="186"/>
      <c r="T830" s="186"/>
      <c r="U830" s="186"/>
      <c r="V830" s="186"/>
      <c r="W830" s="186"/>
      <c r="X830" s="186"/>
      <c r="Y830" s="186"/>
      <c r="Z830" s="186"/>
      <c r="AA830" s="186"/>
      <c r="AB830" s="186"/>
      <c r="AC830" s="186"/>
      <c r="AD830" s="186"/>
      <c r="AE830" s="186"/>
    </row>
    <row r="831">
      <c r="A831" s="178"/>
      <c r="B831" s="36"/>
      <c r="C831" s="36"/>
      <c r="D831" s="197"/>
      <c r="E831" s="180"/>
      <c r="F831" s="181"/>
      <c r="G831" s="205"/>
      <c r="H831" s="205"/>
      <c r="I831" s="205"/>
      <c r="J831" s="205"/>
      <c r="K831" s="205"/>
      <c r="L831" s="205"/>
      <c r="M831" s="186"/>
      <c r="N831" s="186"/>
      <c r="O831" s="186"/>
      <c r="P831" s="186"/>
      <c r="Q831" s="186"/>
      <c r="R831" s="186"/>
      <c r="S831" s="186"/>
      <c r="T831" s="186"/>
      <c r="U831" s="186"/>
      <c r="V831" s="186"/>
      <c r="W831" s="186"/>
      <c r="X831" s="186"/>
      <c r="Y831" s="186"/>
      <c r="Z831" s="186"/>
      <c r="AA831" s="186"/>
      <c r="AB831" s="186"/>
      <c r="AC831" s="186"/>
      <c r="AD831" s="186"/>
      <c r="AE831" s="186"/>
    </row>
    <row r="832">
      <c r="A832" s="178"/>
      <c r="B832" s="36"/>
      <c r="C832" s="36"/>
      <c r="D832" s="197"/>
      <c r="E832" s="180"/>
      <c r="F832" s="181"/>
      <c r="G832" s="205"/>
      <c r="H832" s="205"/>
      <c r="I832" s="205"/>
      <c r="J832" s="205"/>
      <c r="K832" s="205"/>
      <c r="L832" s="205"/>
      <c r="M832" s="186"/>
      <c r="N832" s="186"/>
      <c r="O832" s="186"/>
      <c r="P832" s="186"/>
      <c r="Q832" s="186"/>
      <c r="R832" s="186"/>
      <c r="S832" s="186"/>
      <c r="T832" s="186"/>
      <c r="U832" s="186"/>
      <c r="V832" s="186"/>
      <c r="W832" s="186"/>
      <c r="X832" s="186"/>
      <c r="Y832" s="186"/>
      <c r="Z832" s="186"/>
      <c r="AA832" s="186"/>
      <c r="AB832" s="186"/>
      <c r="AC832" s="186"/>
      <c r="AD832" s="186"/>
      <c r="AE832" s="186"/>
    </row>
    <row r="833">
      <c r="A833" s="178"/>
      <c r="B833" s="36"/>
      <c r="C833" s="36"/>
      <c r="D833" s="197"/>
      <c r="E833" s="180"/>
      <c r="F833" s="181"/>
      <c r="G833" s="205"/>
      <c r="H833" s="205"/>
      <c r="I833" s="205"/>
      <c r="J833" s="205"/>
      <c r="K833" s="205"/>
      <c r="L833" s="205"/>
      <c r="M833" s="186"/>
      <c r="N833" s="186"/>
      <c r="O833" s="186"/>
      <c r="P833" s="186"/>
      <c r="Q833" s="186"/>
      <c r="R833" s="186"/>
      <c r="S833" s="186"/>
      <c r="T833" s="186"/>
      <c r="U833" s="186"/>
      <c r="V833" s="186"/>
      <c r="W833" s="186"/>
      <c r="X833" s="186"/>
      <c r="Y833" s="186"/>
      <c r="Z833" s="186"/>
      <c r="AA833" s="186"/>
      <c r="AB833" s="186"/>
      <c r="AC833" s="186"/>
      <c r="AD833" s="186"/>
      <c r="AE833" s="186"/>
    </row>
    <row r="834">
      <c r="A834" s="178"/>
      <c r="B834" s="36"/>
      <c r="C834" s="36"/>
      <c r="D834" s="197"/>
      <c r="E834" s="180"/>
      <c r="F834" s="181"/>
      <c r="G834" s="205"/>
      <c r="H834" s="205"/>
      <c r="I834" s="205"/>
      <c r="J834" s="205"/>
      <c r="K834" s="205"/>
      <c r="L834" s="205"/>
      <c r="M834" s="186"/>
      <c r="N834" s="186"/>
      <c r="O834" s="186"/>
      <c r="P834" s="186"/>
      <c r="Q834" s="186"/>
      <c r="R834" s="186"/>
      <c r="S834" s="186"/>
      <c r="T834" s="186"/>
      <c r="U834" s="186"/>
      <c r="V834" s="186"/>
      <c r="W834" s="186"/>
      <c r="X834" s="186"/>
      <c r="Y834" s="186"/>
      <c r="Z834" s="186"/>
      <c r="AA834" s="186"/>
      <c r="AB834" s="186"/>
      <c r="AC834" s="186"/>
      <c r="AD834" s="186"/>
      <c r="AE834" s="186"/>
    </row>
    <row r="835">
      <c r="A835" s="178"/>
      <c r="B835" s="36"/>
      <c r="C835" s="36"/>
      <c r="D835" s="197"/>
      <c r="E835" s="180"/>
      <c r="F835" s="181"/>
      <c r="G835" s="205"/>
      <c r="H835" s="205"/>
      <c r="I835" s="205"/>
      <c r="J835" s="205"/>
      <c r="K835" s="205"/>
      <c r="L835" s="205"/>
      <c r="M835" s="186"/>
      <c r="N835" s="186"/>
      <c r="O835" s="186"/>
      <c r="P835" s="186"/>
      <c r="Q835" s="186"/>
      <c r="R835" s="186"/>
      <c r="S835" s="186"/>
      <c r="T835" s="186"/>
      <c r="U835" s="186"/>
      <c r="V835" s="186"/>
      <c r="W835" s="186"/>
      <c r="X835" s="186"/>
      <c r="Y835" s="186"/>
      <c r="Z835" s="186"/>
      <c r="AA835" s="186"/>
      <c r="AB835" s="186"/>
      <c r="AC835" s="186"/>
      <c r="AD835" s="186"/>
      <c r="AE835" s="186"/>
    </row>
    <row r="836">
      <c r="A836" s="178"/>
      <c r="B836" s="36"/>
      <c r="C836" s="36"/>
      <c r="D836" s="197"/>
      <c r="E836" s="180"/>
      <c r="F836" s="181"/>
      <c r="G836" s="205"/>
      <c r="H836" s="205"/>
      <c r="I836" s="205"/>
      <c r="J836" s="205"/>
      <c r="K836" s="205"/>
      <c r="L836" s="205"/>
      <c r="M836" s="186"/>
      <c r="N836" s="186"/>
      <c r="O836" s="186"/>
      <c r="P836" s="186"/>
      <c r="Q836" s="186"/>
      <c r="R836" s="186"/>
      <c r="S836" s="186"/>
      <c r="T836" s="186"/>
      <c r="U836" s="186"/>
      <c r="V836" s="186"/>
      <c r="W836" s="186"/>
      <c r="X836" s="186"/>
      <c r="Y836" s="186"/>
      <c r="Z836" s="186"/>
      <c r="AA836" s="186"/>
      <c r="AB836" s="186"/>
      <c r="AC836" s="186"/>
      <c r="AD836" s="186"/>
      <c r="AE836" s="186"/>
    </row>
    <row r="837">
      <c r="A837" s="178"/>
      <c r="B837" s="36"/>
      <c r="C837" s="36"/>
      <c r="D837" s="197"/>
      <c r="E837" s="180"/>
      <c r="F837" s="181"/>
      <c r="G837" s="205"/>
      <c r="H837" s="205"/>
      <c r="I837" s="205"/>
      <c r="J837" s="205"/>
      <c r="K837" s="205"/>
      <c r="L837" s="205"/>
      <c r="M837" s="186"/>
      <c r="N837" s="186"/>
      <c r="O837" s="186"/>
      <c r="P837" s="186"/>
      <c r="Q837" s="186"/>
      <c r="R837" s="186"/>
      <c r="S837" s="186"/>
      <c r="T837" s="186"/>
      <c r="U837" s="186"/>
      <c r="V837" s="186"/>
      <c r="W837" s="186"/>
      <c r="X837" s="186"/>
      <c r="Y837" s="186"/>
      <c r="Z837" s="186"/>
      <c r="AA837" s="186"/>
      <c r="AB837" s="186"/>
      <c r="AC837" s="186"/>
      <c r="AD837" s="186"/>
      <c r="AE837" s="186"/>
    </row>
    <row r="838">
      <c r="A838" s="178"/>
      <c r="B838" s="36"/>
      <c r="C838" s="36"/>
      <c r="D838" s="197"/>
      <c r="E838" s="180"/>
      <c r="F838" s="181"/>
      <c r="G838" s="205"/>
      <c r="H838" s="205"/>
      <c r="I838" s="205"/>
      <c r="J838" s="205"/>
      <c r="K838" s="205"/>
      <c r="L838" s="205"/>
      <c r="M838" s="186"/>
      <c r="N838" s="186"/>
      <c r="O838" s="186"/>
      <c r="P838" s="186"/>
      <c r="Q838" s="186"/>
      <c r="R838" s="186"/>
      <c r="S838" s="186"/>
      <c r="T838" s="186"/>
      <c r="U838" s="186"/>
      <c r="V838" s="186"/>
      <c r="W838" s="186"/>
      <c r="X838" s="186"/>
      <c r="Y838" s="186"/>
      <c r="Z838" s="186"/>
      <c r="AA838" s="186"/>
      <c r="AB838" s="186"/>
      <c r="AC838" s="186"/>
      <c r="AD838" s="186"/>
      <c r="AE838" s="186"/>
    </row>
    <row r="839">
      <c r="A839" s="178"/>
      <c r="B839" s="36"/>
      <c r="C839" s="36"/>
      <c r="D839" s="197"/>
      <c r="E839" s="180"/>
      <c r="F839" s="181"/>
      <c r="G839" s="205"/>
      <c r="H839" s="205"/>
      <c r="I839" s="205"/>
      <c r="J839" s="205"/>
      <c r="K839" s="205"/>
      <c r="L839" s="205"/>
      <c r="M839" s="186"/>
      <c r="N839" s="186"/>
      <c r="O839" s="186"/>
      <c r="P839" s="186"/>
      <c r="Q839" s="186"/>
      <c r="R839" s="186"/>
      <c r="S839" s="186"/>
      <c r="T839" s="186"/>
      <c r="U839" s="186"/>
      <c r="V839" s="186"/>
      <c r="W839" s="186"/>
      <c r="X839" s="186"/>
      <c r="Y839" s="186"/>
      <c r="Z839" s="186"/>
      <c r="AA839" s="186"/>
      <c r="AB839" s="186"/>
      <c r="AC839" s="186"/>
      <c r="AD839" s="186"/>
      <c r="AE839" s="186"/>
    </row>
    <row r="840">
      <c r="A840" s="178"/>
      <c r="B840" s="36"/>
      <c r="C840" s="36"/>
      <c r="D840" s="197"/>
      <c r="E840" s="180"/>
      <c r="F840" s="181"/>
      <c r="G840" s="205"/>
      <c r="H840" s="205"/>
      <c r="I840" s="205"/>
      <c r="J840" s="205"/>
      <c r="K840" s="205"/>
      <c r="L840" s="205"/>
      <c r="M840" s="186"/>
      <c r="N840" s="186"/>
      <c r="O840" s="186"/>
      <c r="P840" s="186"/>
      <c r="Q840" s="186"/>
      <c r="R840" s="186"/>
      <c r="S840" s="186"/>
      <c r="T840" s="186"/>
      <c r="U840" s="186"/>
      <c r="V840" s="186"/>
      <c r="W840" s="186"/>
      <c r="X840" s="186"/>
      <c r="Y840" s="186"/>
      <c r="Z840" s="186"/>
      <c r="AA840" s="186"/>
      <c r="AB840" s="186"/>
      <c r="AC840" s="186"/>
      <c r="AD840" s="186"/>
      <c r="AE840" s="186"/>
    </row>
    <row r="841">
      <c r="A841" s="178"/>
      <c r="B841" s="36"/>
      <c r="C841" s="36"/>
      <c r="D841" s="197"/>
      <c r="E841" s="180"/>
      <c r="F841" s="181"/>
      <c r="G841" s="205"/>
      <c r="H841" s="205"/>
      <c r="I841" s="205"/>
      <c r="J841" s="205"/>
      <c r="K841" s="205"/>
      <c r="L841" s="205"/>
      <c r="M841" s="186"/>
      <c r="N841" s="186"/>
      <c r="O841" s="186"/>
      <c r="P841" s="186"/>
      <c r="Q841" s="186"/>
      <c r="R841" s="186"/>
      <c r="S841" s="186"/>
      <c r="T841" s="186"/>
      <c r="U841" s="186"/>
      <c r="V841" s="186"/>
      <c r="W841" s="186"/>
      <c r="X841" s="186"/>
      <c r="Y841" s="186"/>
      <c r="Z841" s="186"/>
      <c r="AA841" s="186"/>
      <c r="AB841" s="186"/>
      <c r="AC841" s="186"/>
      <c r="AD841" s="186"/>
      <c r="AE841" s="186"/>
    </row>
    <row r="842">
      <c r="A842" s="178"/>
      <c r="B842" s="36"/>
      <c r="C842" s="36"/>
      <c r="D842" s="197"/>
      <c r="E842" s="180"/>
      <c r="F842" s="181"/>
      <c r="G842" s="205"/>
      <c r="H842" s="205"/>
      <c r="I842" s="205"/>
      <c r="J842" s="205"/>
      <c r="K842" s="205"/>
      <c r="L842" s="205"/>
      <c r="M842" s="186"/>
      <c r="N842" s="186"/>
      <c r="O842" s="186"/>
      <c r="P842" s="186"/>
      <c r="Q842" s="186"/>
      <c r="R842" s="186"/>
      <c r="S842" s="186"/>
      <c r="T842" s="186"/>
      <c r="U842" s="186"/>
      <c r="V842" s="186"/>
      <c r="W842" s="186"/>
      <c r="X842" s="186"/>
      <c r="Y842" s="186"/>
      <c r="Z842" s="186"/>
      <c r="AA842" s="186"/>
      <c r="AB842" s="186"/>
      <c r="AC842" s="186"/>
      <c r="AD842" s="186"/>
      <c r="AE842" s="186"/>
    </row>
    <row r="843">
      <c r="A843" s="178"/>
      <c r="B843" s="36"/>
      <c r="C843" s="36"/>
      <c r="D843" s="197"/>
      <c r="E843" s="180"/>
      <c r="F843" s="181"/>
      <c r="G843" s="205"/>
      <c r="H843" s="205"/>
      <c r="I843" s="205"/>
      <c r="J843" s="205"/>
      <c r="K843" s="205"/>
      <c r="L843" s="205"/>
      <c r="M843" s="186"/>
      <c r="N843" s="186"/>
      <c r="O843" s="186"/>
      <c r="P843" s="186"/>
      <c r="Q843" s="186"/>
      <c r="R843" s="186"/>
      <c r="S843" s="186"/>
      <c r="T843" s="186"/>
      <c r="U843" s="186"/>
      <c r="V843" s="186"/>
      <c r="W843" s="186"/>
      <c r="X843" s="186"/>
      <c r="Y843" s="186"/>
      <c r="Z843" s="186"/>
      <c r="AA843" s="186"/>
      <c r="AB843" s="186"/>
      <c r="AC843" s="186"/>
      <c r="AD843" s="186"/>
      <c r="AE843" s="186"/>
    </row>
    <row r="844">
      <c r="A844" s="178"/>
      <c r="B844" s="36"/>
      <c r="C844" s="36"/>
      <c r="D844" s="197"/>
      <c r="E844" s="180"/>
      <c r="F844" s="181"/>
      <c r="G844" s="205"/>
      <c r="H844" s="205"/>
      <c r="I844" s="205"/>
      <c r="J844" s="205"/>
      <c r="K844" s="205"/>
      <c r="L844" s="205"/>
      <c r="M844" s="186"/>
      <c r="N844" s="186"/>
      <c r="O844" s="186"/>
      <c r="P844" s="186"/>
      <c r="Q844" s="186"/>
      <c r="R844" s="186"/>
      <c r="S844" s="186"/>
      <c r="T844" s="186"/>
      <c r="U844" s="186"/>
      <c r="V844" s="186"/>
      <c r="W844" s="186"/>
      <c r="X844" s="186"/>
      <c r="Y844" s="186"/>
      <c r="Z844" s="186"/>
      <c r="AA844" s="186"/>
      <c r="AB844" s="186"/>
      <c r="AC844" s="186"/>
      <c r="AD844" s="186"/>
      <c r="AE844" s="186"/>
    </row>
    <row r="845">
      <c r="A845" s="178"/>
      <c r="B845" s="36"/>
      <c r="C845" s="36"/>
      <c r="D845" s="197"/>
      <c r="E845" s="180"/>
      <c r="F845" s="181"/>
      <c r="G845" s="205"/>
      <c r="H845" s="205"/>
      <c r="I845" s="205"/>
      <c r="J845" s="205"/>
      <c r="K845" s="205"/>
      <c r="L845" s="205"/>
      <c r="M845" s="186"/>
      <c r="N845" s="186"/>
      <c r="O845" s="186"/>
      <c r="P845" s="186"/>
      <c r="Q845" s="186"/>
      <c r="R845" s="186"/>
      <c r="S845" s="186"/>
      <c r="T845" s="186"/>
      <c r="U845" s="186"/>
      <c r="V845" s="186"/>
      <c r="W845" s="186"/>
      <c r="X845" s="186"/>
      <c r="Y845" s="186"/>
      <c r="Z845" s="186"/>
      <c r="AA845" s="186"/>
      <c r="AB845" s="186"/>
      <c r="AC845" s="186"/>
      <c r="AD845" s="186"/>
      <c r="AE845" s="186"/>
    </row>
    <row r="846">
      <c r="A846" s="178"/>
      <c r="B846" s="36"/>
      <c r="C846" s="36"/>
      <c r="D846" s="197"/>
      <c r="E846" s="180"/>
      <c r="F846" s="181"/>
      <c r="G846" s="205"/>
      <c r="H846" s="205"/>
      <c r="I846" s="205"/>
      <c r="J846" s="205"/>
      <c r="K846" s="205"/>
      <c r="L846" s="205"/>
      <c r="M846" s="186"/>
      <c r="N846" s="186"/>
      <c r="O846" s="186"/>
      <c r="P846" s="186"/>
      <c r="Q846" s="186"/>
      <c r="R846" s="186"/>
      <c r="S846" s="186"/>
      <c r="T846" s="186"/>
      <c r="U846" s="186"/>
      <c r="V846" s="186"/>
      <c r="W846" s="186"/>
      <c r="X846" s="186"/>
      <c r="Y846" s="186"/>
      <c r="Z846" s="186"/>
      <c r="AA846" s="186"/>
      <c r="AB846" s="186"/>
      <c r="AC846" s="186"/>
      <c r="AD846" s="186"/>
      <c r="AE846" s="186"/>
    </row>
    <row r="847">
      <c r="A847" s="178"/>
      <c r="B847" s="36"/>
      <c r="C847" s="36"/>
      <c r="D847" s="197"/>
      <c r="E847" s="180"/>
      <c r="F847" s="181"/>
      <c r="G847" s="205"/>
      <c r="H847" s="205"/>
      <c r="I847" s="205"/>
      <c r="J847" s="205"/>
      <c r="K847" s="205"/>
      <c r="L847" s="205"/>
      <c r="M847" s="186"/>
      <c r="N847" s="186"/>
      <c r="O847" s="186"/>
      <c r="P847" s="186"/>
      <c r="Q847" s="186"/>
      <c r="R847" s="186"/>
      <c r="S847" s="186"/>
      <c r="T847" s="186"/>
      <c r="U847" s="186"/>
      <c r="V847" s="186"/>
      <c r="W847" s="186"/>
      <c r="X847" s="186"/>
      <c r="Y847" s="186"/>
      <c r="Z847" s="186"/>
      <c r="AA847" s="186"/>
      <c r="AB847" s="186"/>
      <c r="AC847" s="186"/>
      <c r="AD847" s="186"/>
      <c r="AE847" s="186"/>
    </row>
    <row r="848">
      <c r="A848" s="178"/>
      <c r="B848" s="36"/>
      <c r="C848" s="36"/>
      <c r="D848" s="197"/>
      <c r="E848" s="180"/>
      <c r="F848" s="181"/>
      <c r="G848" s="205"/>
      <c r="H848" s="205"/>
      <c r="I848" s="205"/>
      <c r="J848" s="205"/>
      <c r="K848" s="205"/>
      <c r="L848" s="205"/>
      <c r="M848" s="186"/>
      <c r="N848" s="186"/>
      <c r="O848" s="186"/>
      <c r="P848" s="186"/>
      <c r="Q848" s="186"/>
      <c r="R848" s="186"/>
      <c r="S848" s="186"/>
      <c r="T848" s="186"/>
      <c r="U848" s="186"/>
      <c r="V848" s="186"/>
      <c r="W848" s="186"/>
      <c r="X848" s="186"/>
      <c r="Y848" s="186"/>
      <c r="Z848" s="186"/>
      <c r="AA848" s="186"/>
      <c r="AB848" s="186"/>
      <c r="AC848" s="186"/>
      <c r="AD848" s="186"/>
      <c r="AE848" s="186"/>
    </row>
    <row r="849">
      <c r="A849" s="178"/>
      <c r="B849" s="36"/>
      <c r="C849" s="36"/>
      <c r="D849" s="197"/>
      <c r="E849" s="180"/>
      <c r="F849" s="181"/>
      <c r="G849" s="205"/>
      <c r="H849" s="205"/>
      <c r="I849" s="205"/>
      <c r="J849" s="205"/>
      <c r="K849" s="205"/>
      <c r="L849" s="205"/>
      <c r="M849" s="186"/>
      <c r="N849" s="186"/>
      <c r="O849" s="186"/>
      <c r="P849" s="186"/>
      <c r="Q849" s="186"/>
      <c r="R849" s="186"/>
      <c r="S849" s="186"/>
      <c r="T849" s="186"/>
      <c r="U849" s="186"/>
      <c r="V849" s="186"/>
      <c r="W849" s="186"/>
      <c r="X849" s="186"/>
      <c r="Y849" s="186"/>
      <c r="Z849" s="186"/>
      <c r="AA849" s="186"/>
      <c r="AB849" s="186"/>
      <c r="AC849" s="186"/>
      <c r="AD849" s="186"/>
      <c r="AE849" s="186"/>
    </row>
    <row r="850">
      <c r="A850" s="178"/>
      <c r="B850" s="36"/>
      <c r="C850" s="36"/>
      <c r="D850" s="197"/>
      <c r="E850" s="180"/>
      <c r="F850" s="181"/>
      <c r="G850" s="205"/>
      <c r="H850" s="205"/>
      <c r="I850" s="205"/>
      <c r="J850" s="205"/>
      <c r="K850" s="205"/>
      <c r="L850" s="205"/>
      <c r="M850" s="186"/>
      <c r="N850" s="186"/>
      <c r="O850" s="186"/>
      <c r="P850" s="186"/>
      <c r="Q850" s="186"/>
      <c r="R850" s="186"/>
      <c r="S850" s="186"/>
      <c r="T850" s="186"/>
      <c r="U850" s="186"/>
      <c r="V850" s="186"/>
      <c r="W850" s="186"/>
      <c r="X850" s="186"/>
      <c r="Y850" s="186"/>
      <c r="Z850" s="186"/>
      <c r="AA850" s="186"/>
      <c r="AB850" s="186"/>
      <c r="AC850" s="186"/>
      <c r="AD850" s="186"/>
      <c r="AE850" s="186"/>
    </row>
    <row r="851">
      <c r="A851" s="178"/>
      <c r="B851" s="36"/>
      <c r="C851" s="36"/>
      <c r="D851" s="197"/>
      <c r="E851" s="180"/>
      <c r="F851" s="181"/>
      <c r="G851" s="205"/>
      <c r="H851" s="205"/>
      <c r="I851" s="205"/>
      <c r="J851" s="205"/>
      <c r="K851" s="205"/>
      <c r="L851" s="205"/>
      <c r="M851" s="186"/>
      <c r="N851" s="186"/>
      <c r="O851" s="186"/>
      <c r="P851" s="186"/>
      <c r="Q851" s="186"/>
      <c r="R851" s="186"/>
      <c r="S851" s="186"/>
      <c r="T851" s="186"/>
      <c r="U851" s="186"/>
      <c r="V851" s="186"/>
      <c r="W851" s="186"/>
      <c r="X851" s="186"/>
      <c r="Y851" s="186"/>
      <c r="Z851" s="186"/>
      <c r="AA851" s="186"/>
      <c r="AB851" s="186"/>
      <c r="AC851" s="186"/>
      <c r="AD851" s="186"/>
      <c r="AE851" s="186"/>
    </row>
    <row r="852">
      <c r="A852" s="178"/>
      <c r="B852" s="36"/>
      <c r="C852" s="36"/>
      <c r="D852" s="197"/>
      <c r="E852" s="180"/>
      <c r="F852" s="181"/>
      <c r="G852" s="205"/>
      <c r="H852" s="205"/>
      <c r="I852" s="205"/>
      <c r="J852" s="205"/>
      <c r="K852" s="205"/>
      <c r="L852" s="205"/>
      <c r="M852" s="186"/>
      <c r="N852" s="186"/>
      <c r="O852" s="186"/>
      <c r="P852" s="186"/>
      <c r="Q852" s="186"/>
      <c r="R852" s="186"/>
      <c r="S852" s="186"/>
      <c r="T852" s="186"/>
      <c r="U852" s="186"/>
      <c r="V852" s="186"/>
      <c r="W852" s="186"/>
      <c r="X852" s="186"/>
      <c r="Y852" s="186"/>
      <c r="Z852" s="186"/>
      <c r="AA852" s="186"/>
      <c r="AB852" s="186"/>
      <c r="AC852" s="186"/>
      <c r="AD852" s="186"/>
      <c r="AE852" s="186"/>
    </row>
    <row r="853">
      <c r="A853" s="178"/>
      <c r="B853" s="36"/>
      <c r="C853" s="36"/>
      <c r="D853" s="197"/>
      <c r="E853" s="180"/>
      <c r="F853" s="181"/>
      <c r="G853" s="205"/>
      <c r="H853" s="205"/>
      <c r="I853" s="205"/>
      <c r="J853" s="205"/>
      <c r="K853" s="205"/>
      <c r="L853" s="205"/>
      <c r="M853" s="186"/>
      <c r="N853" s="186"/>
      <c r="O853" s="186"/>
      <c r="P853" s="186"/>
      <c r="Q853" s="186"/>
      <c r="R853" s="186"/>
      <c r="S853" s="186"/>
      <c r="T853" s="186"/>
      <c r="U853" s="186"/>
      <c r="V853" s="186"/>
      <c r="W853" s="186"/>
      <c r="X853" s="186"/>
      <c r="Y853" s="186"/>
      <c r="Z853" s="186"/>
      <c r="AA853" s="186"/>
      <c r="AB853" s="186"/>
      <c r="AC853" s="186"/>
      <c r="AD853" s="186"/>
      <c r="AE853" s="186"/>
    </row>
    <row r="854">
      <c r="A854" s="178"/>
      <c r="B854" s="36"/>
      <c r="C854" s="36"/>
      <c r="D854" s="197"/>
      <c r="E854" s="180"/>
      <c r="F854" s="181"/>
      <c r="G854" s="205"/>
      <c r="H854" s="205"/>
      <c r="I854" s="205"/>
      <c r="J854" s="205"/>
      <c r="K854" s="205"/>
      <c r="L854" s="205"/>
      <c r="M854" s="186"/>
      <c r="N854" s="186"/>
      <c r="O854" s="186"/>
      <c r="P854" s="186"/>
      <c r="Q854" s="186"/>
      <c r="R854" s="186"/>
      <c r="S854" s="186"/>
      <c r="T854" s="186"/>
      <c r="U854" s="186"/>
      <c r="V854" s="186"/>
      <c r="W854" s="186"/>
      <c r="X854" s="186"/>
      <c r="Y854" s="186"/>
      <c r="Z854" s="186"/>
      <c r="AA854" s="186"/>
      <c r="AB854" s="186"/>
      <c r="AC854" s="186"/>
      <c r="AD854" s="186"/>
      <c r="AE854" s="186"/>
    </row>
    <row r="855">
      <c r="A855" s="178"/>
      <c r="B855" s="36"/>
      <c r="C855" s="36"/>
      <c r="D855" s="197"/>
      <c r="E855" s="180"/>
      <c r="F855" s="181"/>
      <c r="G855" s="205"/>
      <c r="H855" s="205"/>
      <c r="I855" s="205"/>
      <c r="J855" s="205"/>
      <c r="K855" s="205"/>
      <c r="L855" s="205"/>
      <c r="M855" s="186"/>
      <c r="N855" s="186"/>
      <c r="O855" s="186"/>
      <c r="P855" s="186"/>
      <c r="Q855" s="186"/>
      <c r="R855" s="186"/>
      <c r="S855" s="186"/>
      <c r="T855" s="186"/>
      <c r="U855" s="186"/>
      <c r="V855" s="186"/>
      <c r="W855" s="186"/>
      <c r="X855" s="186"/>
      <c r="Y855" s="186"/>
      <c r="Z855" s="186"/>
      <c r="AA855" s="186"/>
      <c r="AB855" s="186"/>
      <c r="AC855" s="186"/>
      <c r="AD855" s="186"/>
      <c r="AE855" s="186"/>
    </row>
    <row r="856">
      <c r="A856" s="178"/>
      <c r="B856" s="36"/>
      <c r="C856" s="36"/>
      <c r="D856" s="197"/>
      <c r="E856" s="180"/>
      <c r="F856" s="181"/>
      <c r="G856" s="205"/>
      <c r="H856" s="205"/>
      <c r="I856" s="205"/>
      <c r="J856" s="205"/>
      <c r="K856" s="205"/>
      <c r="L856" s="205"/>
      <c r="M856" s="186"/>
      <c r="N856" s="186"/>
      <c r="O856" s="186"/>
      <c r="P856" s="186"/>
      <c r="Q856" s="186"/>
      <c r="R856" s="186"/>
      <c r="S856" s="186"/>
      <c r="T856" s="186"/>
      <c r="U856" s="186"/>
      <c r="V856" s="186"/>
      <c r="W856" s="186"/>
      <c r="X856" s="186"/>
      <c r="Y856" s="186"/>
      <c r="Z856" s="186"/>
      <c r="AA856" s="186"/>
      <c r="AB856" s="186"/>
      <c r="AC856" s="186"/>
      <c r="AD856" s="186"/>
      <c r="AE856" s="186"/>
    </row>
    <row r="857">
      <c r="A857" s="178"/>
      <c r="B857" s="36"/>
      <c r="C857" s="36"/>
      <c r="D857" s="197"/>
      <c r="E857" s="180"/>
      <c r="F857" s="181"/>
      <c r="G857" s="205"/>
      <c r="H857" s="205"/>
      <c r="I857" s="205"/>
      <c r="J857" s="205"/>
      <c r="K857" s="205"/>
      <c r="L857" s="205"/>
      <c r="M857" s="186"/>
      <c r="N857" s="186"/>
      <c r="O857" s="186"/>
      <c r="P857" s="186"/>
      <c r="Q857" s="186"/>
      <c r="R857" s="186"/>
      <c r="S857" s="186"/>
      <c r="T857" s="186"/>
      <c r="U857" s="186"/>
      <c r="V857" s="186"/>
      <c r="W857" s="186"/>
      <c r="X857" s="186"/>
      <c r="Y857" s="186"/>
      <c r="Z857" s="186"/>
      <c r="AA857" s="186"/>
      <c r="AB857" s="186"/>
      <c r="AC857" s="186"/>
      <c r="AD857" s="186"/>
      <c r="AE857" s="186"/>
    </row>
    <row r="858">
      <c r="A858" s="178"/>
      <c r="B858" s="36"/>
      <c r="C858" s="36"/>
      <c r="D858" s="197"/>
      <c r="E858" s="180"/>
      <c r="F858" s="181"/>
      <c r="G858" s="205"/>
      <c r="H858" s="205"/>
      <c r="I858" s="205"/>
      <c r="J858" s="205"/>
      <c r="K858" s="205"/>
      <c r="L858" s="205"/>
      <c r="M858" s="186"/>
      <c r="N858" s="186"/>
      <c r="O858" s="186"/>
      <c r="P858" s="186"/>
      <c r="Q858" s="186"/>
      <c r="R858" s="186"/>
      <c r="S858" s="186"/>
      <c r="T858" s="186"/>
      <c r="U858" s="186"/>
      <c r="V858" s="186"/>
      <c r="W858" s="186"/>
      <c r="X858" s="186"/>
      <c r="Y858" s="186"/>
      <c r="Z858" s="186"/>
      <c r="AA858" s="186"/>
      <c r="AB858" s="186"/>
      <c r="AC858" s="186"/>
      <c r="AD858" s="186"/>
      <c r="AE858" s="186"/>
    </row>
    <row r="859">
      <c r="A859" s="178"/>
      <c r="B859" s="36"/>
      <c r="C859" s="36"/>
      <c r="D859" s="197"/>
      <c r="E859" s="180"/>
      <c r="F859" s="181"/>
      <c r="G859" s="205"/>
      <c r="H859" s="205"/>
      <c r="I859" s="205"/>
      <c r="J859" s="205"/>
      <c r="K859" s="205"/>
      <c r="L859" s="205"/>
      <c r="M859" s="186"/>
      <c r="N859" s="186"/>
      <c r="O859" s="186"/>
      <c r="P859" s="186"/>
      <c r="Q859" s="186"/>
      <c r="R859" s="186"/>
      <c r="S859" s="186"/>
      <c r="T859" s="186"/>
      <c r="U859" s="186"/>
      <c r="V859" s="186"/>
      <c r="W859" s="186"/>
      <c r="X859" s="186"/>
      <c r="Y859" s="186"/>
      <c r="Z859" s="186"/>
      <c r="AA859" s="186"/>
      <c r="AB859" s="186"/>
      <c r="AC859" s="186"/>
      <c r="AD859" s="186"/>
      <c r="AE859" s="186"/>
    </row>
    <row r="860">
      <c r="A860" s="178"/>
      <c r="B860" s="36"/>
      <c r="C860" s="36"/>
      <c r="D860" s="197"/>
      <c r="E860" s="180"/>
      <c r="F860" s="181"/>
      <c r="G860" s="205"/>
      <c r="H860" s="205"/>
      <c r="I860" s="205"/>
      <c r="J860" s="205"/>
      <c r="K860" s="205"/>
      <c r="L860" s="205"/>
      <c r="M860" s="186"/>
      <c r="N860" s="186"/>
      <c r="O860" s="186"/>
      <c r="P860" s="186"/>
      <c r="Q860" s="186"/>
      <c r="R860" s="186"/>
      <c r="S860" s="186"/>
      <c r="T860" s="186"/>
      <c r="U860" s="186"/>
      <c r="V860" s="186"/>
      <c r="W860" s="186"/>
      <c r="X860" s="186"/>
      <c r="Y860" s="186"/>
      <c r="Z860" s="186"/>
      <c r="AA860" s="186"/>
      <c r="AB860" s="186"/>
      <c r="AC860" s="186"/>
      <c r="AD860" s="186"/>
      <c r="AE860" s="186"/>
    </row>
    <row r="861">
      <c r="A861" s="178"/>
      <c r="B861" s="36"/>
      <c r="C861" s="36"/>
      <c r="D861" s="197"/>
      <c r="E861" s="180"/>
      <c r="F861" s="181"/>
      <c r="G861" s="205"/>
      <c r="H861" s="205"/>
      <c r="I861" s="205"/>
      <c r="J861" s="205"/>
      <c r="K861" s="205"/>
      <c r="L861" s="205"/>
      <c r="M861" s="186"/>
      <c r="N861" s="186"/>
      <c r="O861" s="186"/>
      <c r="P861" s="186"/>
      <c r="Q861" s="186"/>
      <c r="R861" s="186"/>
      <c r="S861" s="186"/>
      <c r="T861" s="186"/>
      <c r="U861" s="186"/>
      <c r="V861" s="186"/>
      <c r="W861" s="186"/>
      <c r="X861" s="186"/>
      <c r="Y861" s="186"/>
      <c r="Z861" s="186"/>
      <c r="AA861" s="186"/>
      <c r="AB861" s="186"/>
      <c r="AC861" s="186"/>
      <c r="AD861" s="186"/>
      <c r="AE861" s="186"/>
    </row>
    <row r="862">
      <c r="A862" s="178"/>
      <c r="B862" s="36"/>
      <c r="C862" s="36"/>
      <c r="D862" s="197"/>
      <c r="E862" s="180"/>
      <c r="F862" s="181"/>
      <c r="G862" s="205"/>
      <c r="H862" s="205"/>
      <c r="I862" s="205"/>
      <c r="J862" s="205"/>
      <c r="K862" s="205"/>
      <c r="L862" s="205"/>
      <c r="M862" s="186"/>
      <c r="N862" s="186"/>
      <c r="O862" s="186"/>
      <c r="P862" s="186"/>
      <c r="Q862" s="186"/>
      <c r="R862" s="186"/>
      <c r="S862" s="186"/>
      <c r="T862" s="186"/>
      <c r="U862" s="186"/>
      <c r="V862" s="186"/>
      <c r="W862" s="186"/>
      <c r="X862" s="186"/>
      <c r="Y862" s="186"/>
      <c r="Z862" s="186"/>
      <c r="AA862" s="186"/>
      <c r="AB862" s="186"/>
      <c r="AC862" s="186"/>
      <c r="AD862" s="186"/>
      <c r="AE862" s="186"/>
    </row>
    <row r="863">
      <c r="A863" s="178"/>
      <c r="B863" s="36"/>
      <c r="C863" s="36"/>
      <c r="D863" s="197"/>
      <c r="E863" s="180"/>
      <c r="F863" s="181"/>
      <c r="G863" s="205"/>
      <c r="H863" s="205"/>
      <c r="I863" s="205"/>
      <c r="J863" s="205"/>
      <c r="K863" s="205"/>
      <c r="L863" s="205"/>
      <c r="M863" s="186"/>
      <c r="N863" s="186"/>
      <c r="O863" s="186"/>
      <c r="P863" s="186"/>
      <c r="Q863" s="186"/>
      <c r="R863" s="186"/>
      <c r="S863" s="186"/>
      <c r="T863" s="186"/>
      <c r="U863" s="186"/>
      <c r="V863" s="186"/>
      <c r="W863" s="186"/>
      <c r="X863" s="186"/>
      <c r="Y863" s="186"/>
      <c r="Z863" s="186"/>
      <c r="AA863" s="186"/>
      <c r="AB863" s="186"/>
      <c r="AC863" s="186"/>
      <c r="AD863" s="186"/>
      <c r="AE863" s="186"/>
    </row>
    <row r="864">
      <c r="A864" s="178"/>
      <c r="B864" s="36"/>
      <c r="C864" s="36"/>
      <c r="D864" s="197"/>
      <c r="E864" s="180"/>
      <c r="F864" s="181"/>
      <c r="G864" s="205"/>
      <c r="H864" s="205"/>
      <c r="I864" s="205"/>
      <c r="J864" s="205"/>
      <c r="K864" s="205"/>
      <c r="L864" s="205"/>
      <c r="M864" s="186"/>
      <c r="N864" s="186"/>
      <c r="O864" s="186"/>
      <c r="P864" s="186"/>
      <c r="Q864" s="186"/>
      <c r="R864" s="186"/>
      <c r="S864" s="186"/>
      <c r="T864" s="186"/>
      <c r="U864" s="186"/>
      <c r="V864" s="186"/>
      <c r="W864" s="186"/>
      <c r="X864" s="186"/>
      <c r="Y864" s="186"/>
      <c r="Z864" s="186"/>
      <c r="AA864" s="186"/>
      <c r="AB864" s="186"/>
      <c r="AC864" s="186"/>
      <c r="AD864" s="186"/>
      <c r="AE864" s="186"/>
    </row>
    <row r="865">
      <c r="A865" s="178"/>
      <c r="B865" s="36"/>
      <c r="C865" s="36"/>
      <c r="D865" s="197"/>
      <c r="E865" s="180"/>
      <c r="F865" s="181"/>
      <c r="G865" s="205"/>
      <c r="H865" s="205"/>
      <c r="I865" s="205"/>
      <c r="J865" s="205"/>
      <c r="K865" s="205"/>
      <c r="L865" s="205"/>
      <c r="M865" s="186"/>
      <c r="N865" s="186"/>
      <c r="O865" s="186"/>
      <c r="P865" s="186"/>
      <c r="Q865" s="186"/>
      <c r="R865" s="186"/>
      <c r="S865" s="186"/>
      <c r="T865" s="186"/>
      <c r="U865" s="186"/>
      <c r="V865" s="186"/>
      <c r="W865" s="186"/>
      <c r="X865" s="186"/>
      <c r="Y865" s="186"/>
      <c r="Z865" s="186"/>
      <c r="AA865" s="186"/>
      <c r="AB865" s="186"/>
      <c r="AC865" s="186"/>
      <c r="AD865" s="186"/>
      <c r="AE865" s="186"/>
    </row>
    <row r="866">
      <c r="A866" s="178"/>
      <c r="B866" s="36"/>
      <c r="C866" s="36"/>
      <c r="D866" s="197"/>
      <c r="E866" s="180"/>
      <c r="F866" s="181"/>
      <c r="G866" s="205"/>
      <c r="H866" s="205"/>
      <c r="I866" s="205"/>
      <c r="J866" s="205"/>
      <c r="K866" s="205"/>
      <c r="L866" s="205"/>
      <c r="M866" s="186"/>
      <c r="N866" s="186"/>
      <c r="O866" s="186"/>
      <c r="P866" s="186"/>
      <c r="Q866" s="186"/>
      <c r="R866" s="186"/>
      <c r="S866" s="186"/>
      <c r="T866" s="186"/>
      <c r="U866" s="186"/>
      <c r="V866" s="186"/>
      <c r="W866" s="186"/>
      <c r="X866" s="186"/>
      <c r="Y866" s="186"/>
      <c r="Z866" s="186"/>
      <c r="AA866" s="186"/>
      <c r="AB866" s="186"/>
      <c r="AC866" s="186"/>
      <c r="AD866" s="186"/>
      <c r="AE866" s="186"/>
    </row>
    <row r="867">
      <c r="A867" s="178"/>
      <c r="B867" s="36"/>
      <c r="C867" s="36"/>
      <c r="D867" s="197"/>
      <c r="E867" s="180"/>
      <c r="F867" s="181"/>
      <c r="G867" s="205"/>
      <c r="H867" s="205"/>
      <c r="I867" s="205"/>
      <c r="J867" s="205"/>
      <c r="K867" s="205"/>
      <c r="L867" s="205"/>
      <c r="M867" s="186"/>
      <c r="N867" s="186"/>
      <c r="O867" s="186"/>
      <c r="P867" s="186"/>
      <c r="Q867" s="186"/>
      <c r="R867" s="186"/>
      <c r="S867" s="186"/>
      <c r="T867" s="186"/>
      <c r="U867" s="186"/>
      <c r="V867" s="186"/>
      <c r="W867" s="186"/>
      <c r="X867" s="186"/>
      <c r="Y867" s="186"/>
      <c r="Z867" s="186"/>
      <c r="AA867" s="186"/>
      <c r="AB867" s="186"/>
      <c r="AC867" s="186"/>
      <c r="AD867" s="186"/>
      <c r="AE867" s="186"/>
    </row>
    <row r="868">
      <c r="A868" s="178"/>
      <c r="B868" s="36"/>
      <c r="C868" s="36"/>
      <c r="D868" s="197"/>
      <c r="E868" s="180"/>
      <c r="F868" s="181"/>
      <c r="G868" s="205"/>
      <c r="H868" s="205"/>
      <c r="I868" s="205"/>
      <c r="J868" s="205"/>
      <c r="K868" s="205"/>
      <c r="L868" s="205"/>
      <c r="M868" s="186"/>
      <c r="N868" s="186"/>
      <c r="O868" s="186"/>
      <c r="P868" s="186"/>
      <c r="Q868" s="186"/>
      <c r="R868" s="186"/>
      <c r="S868" s="186"/>
      <c r="T868" s="186"/>
      <c r="U868" s="186"/>
      <c r="V868" s="186"/>
      <c r="W868" s="186"/>
      <c r="X868" s="186"/>
      <c r="Y868" s="186"/>
      <c r="Z868" s="186"/>
      <c r="AA868" s="186"/>
      <c r="AB868" s="186"/>
      <c r="AC868" s="186"/>
      <c r="AD868" s="186"/>
      <c r="AE868" s="186"/>
    </row>
    <row r="869">
      <c r="A869" s="178"/>
      <c r="B869" s="36"/>
      <c r="C869" s="36"/>
      <c r="D869" s="197"/>
      <c r="E869" s="180"/>
      <c r="F869" s="181"/>
      <c r="G869" s="205"/>
      <c r="H869" s="205"/>
      <c r="I869" s="205"/>
      <c r="J869" s="205"/>
      <c r="K869" s="205"/>
      <c r="L869" s="205"/>
      <c r="M869" s="186"/>
      <c r="N869" s="186"/>
      <c r="O869" s="186"/>
      <c r="P869" s="186"/>
      <c r="Q869" s="186"/>
      <c r="R869" s="186"/>
      <c r="S869" s="186"/>
      <c r="T869" s="186"/>
      <c r="U869" s="186"/>
      <c r="V869" s="186"/>
      <c r="W869" s="186"/>
      <c r="X869" s="186"/>
      <c r="Y869" s="186"/>
      <c r="Z869" s="186"/>
      <c r="AA869" s="186"/>
      <c r="AB869" s="186"/>
      <c r="AC869" s="186"/>
      <c r="AD869" s="186"/>
      <c r="AE869" s="186"/>
    </row>
    <row r="870">
      <c r="A870" s="178"/>
      <c r="B870" s="36"/>
      <c r="C870" s="36"/>
      <c r="D870" s="197"/>
      <c r="E870" s="180"/>
      <c r="F870" s="181"/>
      <c r="G870" s="205"/>
      <c r="H870" s="205"/>
      <c r="I870" s="205"/>
      <c r="J870" s="205"/>
      <c r="K870" s="205"/>
      <c r="L870" s="205"/>
      <c r="M870" s="186"/>
      <c r="N870" s="186"/>
      <c r="O870" s="186"/>
      <c r="P870" s="186"/>
      <c r="Q870" s="186"/>
      <c r="R870" s="186"/>
      <c r="S870" s="186"/>
      <c r="T870" s="186"/>
      <c r="U870" s="186"/>
      <c r="V870" s="186"/>
      <c r="W870" s="186"/>
      <c r="X870" s="186"/>
      <c r="Y870" s="186"/>
      <c r="Z870" s="186"/>
      <c r="AA870" s="186"/>
      <c r="AB870" s="186"/>
      <c r="AC870" s="186"/>
      <c r="AD870" s="186"/>
      <c r="AE870" s="186"/>
    </row>
    <row r="871">
      <c r="A871" s="178"/>
      <c r="B871" s="36"/>
      <c r="C871" s="36"/>
      <c r="D871" s="197"/>
      <c r="E871" s="180"/>
      <c r="F871" s="181"/>
      <c r="G871" s="205"/>
      <c r="H871" s="205"/>
      <c r="I871" s="205"/>
      <c r="J871" s="205"/>
      <c r="K871" s="205"/>
      <c r="L871" s="205"/>
      <c r="M871" s="186"/>
      <c r="N871" s="186"/>
      <c r="O871" s="186"/>
      <c r="P871" s="186"/>
      <c r="Q871" s="186"/>
      <c r="R871" s="186"/>
      <c r="S871" s="186"/>
      <c r="T871" s="186"/>
      <c r="U871" s="186"/>
      <c r="V871" s="186"/>
      <c r="W871" s="186"/>
      <c r="X871" s="186"/>
      <c r="Y871" s="186"/>
      <c r="Z871" s="186"/>
      <c r="AA871" s="186"/>
      <c r="AB871" s="186"/>
      <c r="AC871" s="186"/>
      <c r="AD871" s="186"/>
      <c r="AE871" s="186"/>
    </row>
    <row r="872">
      <c r="A872" s="178"/>
      <c r="B872" s="36"/>
      <c r="C872" s="36"/>
      <c r="D872" s="197"/>
      <c r="E872" s="180"/>
      <c r="F872" s="181"/>
      <c r="G872" s="205"/>
      <c r="H872" s="205"/>
      <c r="I872" s="205"/>
      <c r="J872" s="205"/>
      <c r="K872" s="205"/>
      <c r="L872" s="205"/>
      <c r="M872" s="186"/>
      <c r="N872" s="186"/>
      <c r="O872" s="186"/>
      <c r="P872" s="186"/>
      <c r="Q872" s="186"/>
      <c r="R872" s="186"/>
      <c r="S872" s="186"/>
      <c r="T872" s="186"/>
      <c r="U872" s="186"/>
      <c r="V872" s="186"/>
      <c r="W872" s="186"/>
      <c r="X872" s="186"/>
      <c r="Y872" s="186"/>
      <c r="Z872" s="186"/>
      <c r="AA872" s="186"/>
      <c r="AB872" s="186"/>
      <c r="AC872" s="186"/>
      <c r="AD872" s="186"/>
      <c r="AE872" s="186"/>
    </row>
    <row r="873">
      <c r="A873" s="178"/>
      <c r="B873" s="36"/>
      <c r="C873" s="36"/>
      <c r="D873" s="197"/>
      <c r="E873" s="180"/>
      <c r="F873" s="181"/>
      <c r="G873" s="205"/>
      <c r="H873" s="205"/>
      <c r="I873" s="205"/>
      <c r="J873" s="205"/>
      <c r="K873" s="205"/>
      <c r="L873" s="205"/>
      <c r="M873" s="186"/>
      <c r="N873" s="186"/>
      <c r="O873" s="186"/>
      <c r="P873" s="186"/>
      <c r="Q873" s="186"/>
      <c r="R873" s="186"/>
      <c r="S873" s="186"/>
      <c r="T873" s="186"/>
      <c r="U873" s="186"/>
      <c r="V873" s="186"/>
      <c r="W873" s="186"/>
      <c r="X873" s="186"/>
      <c r="Y873" s="186"/>
      <c r="Z873" s="186"/>
      <c r="AA873" s="186"/>
      <c r="AB873" s="186"/>
      <c r="AC873" s="186"/>
      <c r="AD873" s="186"/>
      <c r="AE873" s="186"/>
    </row>
    <row r="874">
      <c r="A874" s="178"/>
      <c r="B874" s="36"/>
      <c r="C874" s="36"/>
      <c r="D874" s="197"/>
      <c r="E874" s="180"/>
      <c r="F874" s="181"/>
      <c r="G874" s="205"/>
      <c r="H874" s="205"/>
      <c r="I874" s="205"/>
      <c r="J874" s="205"/>
      <c r="K874" s="205"/>
      <c r="L874" s="205"/>
      <c r="M874" s="186"/>
      <c r="N874" s="186"/>
      <c r="O874" s="186"/>
      <c r="P874" s="186"/>
      <c r="Q874" s="186"/>
      <c r="R874" s="186"/>
      <c r="S874" s="186"/>
      <c r="T874" s="186"/>
      <c r="U874" s="186"/>
      <c r="V874" s="186"/>
      <c r="W874" s="186"/>
      <c r="X874" s="186"/>
      <c r="Y874" s="186"/>
      <c r="Z874" s="186"/>
      <c r="AA874" s="186"/>
      <c r="AB874" s="186"/>
      <c r="AC874" s="186"/>
      <c r="AD874" s="186"/>
      <c r="AE874" s="186"/>
    </row>
    <row r="875">
      <c r="A875" s="178"/>
      <c r="B875" s="36"/>
      <c r="C875" s="36"/>
      <c r="D875" s="197"/>
      <c r="E875" s="180"/>
      <c r="F875" s="181"/>
      <c r="G875" s="205"/>
      <c r="H875" s="205"/>
      <c r="I875" s="205"/>
      <c r="J875" s="205"/>
      <c r="K875" s="205"/>
      <c r="L875" s="205"/>
      <c r="M875" s="186"/>
      <c r="N875" s="186"/>
      <c r="O875" s="186"/>
      <c r="P875" s="186"/>
      <c r="Q875" s="186"/>
      <c r="R875" s="186"/>
      <c r="S875" s="186"/>
      <c r="T875" s="186"/>
      <c r="U875" s="186"/>
      <c r="V875" s="186"/>
      <c r="W875" s="186"/>
      <c r="X875" s="186"/>
      <c r="Y875" s="186"/>
      <c r="Z875" s="186"/>
      <c r="AA875" s="186"/>
      <c r="AB875" s="186"/>
      <c r="AC875" s="186"/>
      <c r="AD875" s="186"/>
      <c r="AE875" s="186"/>
    </row>
    <row r="876">
      <c r="A876" s="178"/>
      <c r="B876" s="36"/>
      <c r="C876" s="36"/>
      <c r="D876" s="197"/>
      <c r="E876" s="180"/>
      <c r="F876" s="181"/>
      <c r="G876" s="205"/>
      <c r="H876" s="205"/>
      <c r="I876" s="205"/>
      <c r="J876" s="205"/>
      <c r="K876" s="205"/>
      <c r="L876" s="205"/>
      <c r="M876" s="186"/>
      <c r="N876" s="186"/>
      <c r="O876" s="186"/>
      <c r="P876" s="186"/>
      <c r="Q876" s="186"/>
      <c r="R876" s="186"/>
      <c r="S876" s="186"/>
      <c r="T876" s="186"/>
      <c r="U876" s="186"/>
      <c r="V876" s="186"/>
      <c r="W876" s="186"/>
      <c r="X876" s="186"/>
      <c r="Y876" s="186"/>
      <c r="Z876" s="186"/>
      <c r="AA876" s="186"/>
      <c r="AB876" s="186"/>
      <c r="AC876" s="186"/>
      <c r="AD876" s="186"/>
      <c r="AE876" s="186"/>
    </row>
    <row r="877">
      <c r="A877" s="178"/>
      <c r="B877" s="36"/>
      <c r="C877" s="36"/>
      <c r="D877" s="197"/>
      <c r="E877" s="180"/>
      <c r="F877" s="181"/>
      <c r="G877" s="205"/>
      <c r="H877" s="205"/>
      <c r="I877" s="205"/>
      <c r="J877" s="205"/>
      <c r="K877" s="205"/>
      <c r="L877" s="205"/>
      <c r="M877" s="186"/>
      <c r="N877" s="186"/>
      <c r="O877" s="186"/>
      <c r="P877" s="186"/>
      <c r="Q877" s="186"/>
      <c r="R877" s="186"/>
      <c r="S877" s="186"/>
      <c r="T877" s="186"/>
      <c r="U877" s="186"/>
      <c r="V877" s="186"/>
      <c r="W877" s="186"/>
      <c r="X877" s="186"/>
      <c r="Y877" s="186"/>
      <c r="Z877" s="186"/>
      <c r="AA877" s="186"/>
      <c r="AB877" s="186"/>
      <c r="AC877" s="186"/>
      <c r="AD877" s="186"/>
      <c r="AE877" s="186"/>
    </row>
    <row r="878">
      <c r="A878" s="178"/>
      <c r="B878" s="36"/>
      <c r="C878" s="36"/>
      <c r="D878" s="197"/>
      <c r="E878" s="180"/>
      <c r="F878" s="181"/>
      <c r="G878" s="205"/>
      <c r="H878" s="205"/>
      <c r="I878" s="205"/>
      <c r="J878" s="205"/>
      <c r="K878" s="205"/>
      <c r="L878" s="205"/>
      <c r="M878" s="186"/>
      <c r="N878" s="186"/>
      <c r="O878" s="186"/>
      <c r="P878" s="186"/>
      <c r="Q878" s="186"/>
      <c r="R878" s="186"/>
      <c r="S878" s="186"/>
      <c r="T878" s="186"/>
      <c r="U878" s="186"/>
      <c r="V878" s="186"/>
      <c r="W878" s="186"/>
      <c r="X878" s="186"/>
      <c r="Y878" s="186"/>
      <c r="Z878" s="186"/>
      <c r="AA878" s="186"/>
      <c r="AB878" s="186"/>
      <c r="AC878" s="186"/>
      <c r="AD878" s="186"/>
      <c r="AE878" s="186"/>
    </row>
    <row r="879">
      <c r="A879" s="178"/>
      <c r="B879" s="36"/>
      <c r="C879" s="36"/>
      <c r="D879" s="197"/>
      <c r="E879" s="180"/>
      <c r="F879" s="181"/>
      <c r="G879" s="205"/>
      <c r="H879" s="205"/>
      <c r="I879" s="205"/>
      <c r="J879" s="205"/>
      <c r="K879" s="205"/>
      <c r="L879" s="205"/>
      <c r="M879" s="186"/>
      <c r="N879" s="186"/>
      <c r="O879" s="186"/>
      <c r="P879" s="186"/>
      <c r="Q879" s="186"/>
      <c r="R879" s="186"/>
      <c r="S879" s="186"/>
      <c r="T879" s="186"/>
      <c r="U879" s="186"/>
      <c r="V879" s="186"/>
      <c r="W879" s="186"/>
      <c r="X879" s="186"/>
      <c r="Y879" s="186"/>
      <c r="Z879" s="186"/>
      <c r="AA879" s="186"/>
      <c r="AB879" s="186"/>
      <c r="AC879" s="186"/>
      <c r="AD879" s="186"/>
      <c r="AE879" s="186"/>
    </row>
    <row r="880">
      <c r="A880" s="178"/>
      <c r="B880" s="36"/>
      <c r="C880" s="36"/>
      <c r="D880" s="197"/>
      <c r="E880" s="180"/>
      <c r="F880" s="181"/>
      <c r="G880" s="205"/>
      <c r="H880" s="205"/>
      <c r="I880" s="205"/>
      <c r="J880" s="205"/>
      <c r="K880" s="205"/>
      <c r="L880" s="205"/>
      <c r="M880" s="186"/>
      <c r="N880" s="186"/>
      <c r="O880" s="186"/>
      <c r="P880" s="186"/>
      <c r="Q880" s="186"/>
      <c r="R880" s="186"/>
      <c r="S880" s="186"/>
      <c r="T880" s="186"/>
      <c r="U880" s="186"/>
      <c r="V880" s="186"/>
      <c r="W880" s="186"/>
      <c r="X880" s="186"/>
      <c r="Y880" s="186"/>
      <c r="Z880" s="186"/>
      <c r="AA880" s="186"/>
      <c r="AB880" s="186"/>
      <c r="AC880" s="186"/>
      <c r="AD880" s="186"/>
      <c r="AE880" s="186"/>
    </row>
    <row r="881">
      <c r="A881" s="178"/>
      <c r="B881" s="36"/>
      <c r="C881" s="36"/>
      <c r="D881" s="197"/>
      <c r="E881" s="180"/>
      <c r="F881" s="181"/>
      <c r="G881" s="205"/>
      <c r="H881" s="205"/>
      <c r="I881" s="205"/>
      <c r="J881" s="205"/>
      <c r="K881" s="205"/>
      <c r="L881" s="205"/>
      <c r="M881" s="186"/>
      <c r="N881" s="186"/>
      <c r="O881" s="186"/>
      <c r="P881" s="186"/>
      <c r="Q881" s="186"/>
      <c r="R881" s="186"/>
      <c r="S881" s="186"/>
      <c r="T881" s="186"/>
      <c r="U881" s="186"/>
      <c r="V881" s="186"/>
      <c r="W881" s="186"/>
      <c r="X881" s="186"/>
      <c r="Y881" s="186"/>
      <c r="Z881" s="186"/>
      <c r="AA881" s="186"/>
      <c r="AB881" s="186"/>
      <c r="AC881" s="186"/>
      <c r="AD881" s="186"/>
      <c r="AE881" s="186"/>
    </row>
    <row r="882">
      <c r="A882" s="178"/>
      <c r="B882" s="36"/>
      <c r="C882" s="36"/>
      <c r="D882" s="197"/>
      <c r="E882" s="180"/>
      <c r="F882" s="181"/>
      <c r="G882" s="205"/>
      <c r="H882" s="205"/>
      <c r="I882" s="205"/>
      <c r="J882" s="205"/>
      <c r="K882" s="205"/>
      <c r="L882" s="205"/>
      <c r="M882" s="186"/>
      <c r="N882" s="186"/>
      <c r="O882" s="186"/>
      <c r="P882" s="186"/>
      <c r="Q882" s="186"/>
      <c r="R882" s="186"/>
      <c r="S882" s="186"/>
      <c r="T882" s="186"/>
      <c r="U882" s="186"/>
      <c r="V882" s="186"/>
      <c r="W882" s="186"/>
      <c r="X882" s="186"/>
      <c r="Y882" s="186"/>
      <c r="Z882" s="186"/>
      <c r="AA882" s="186"/>
      <c r="AB882" s="186"/>
      <c r="AC882" s="186"/>
      <c r="AD882" s="186"/>
      <c r="AE882" s="186"/>
    </row>
    <row r="883">
      <c r="A883" s="178"/>
      <c r="B883" s="36"/>
      <c r="C883" s="36"/>
      <c r="D883" s="197"/>
      <c r="E883" s="180"/>
      <c r="F883" s="181"/>
      <c r="G883" s="205"/>
      <c r="H883" s="205"/>
      <c r="I883" s="205"/>
      <c r="J883" s="205"/>
      <c r="K883" s="205"/>
      <c r="L883" s="205"/>
      <c r="M883" s="186"/>
      <c r="N883" s="186"/>
      <c r="O883" s="186"/>
      <c r="P883" s="186"/>
      <c r="Q883" s="186"/>
      <c r="R883" s="186"/>
      <c r="S883" s="186"/>
      <c r="T883" s="186"/>
      <c r="U883" s="186"/>
      <c r="V883" s="186"/>
      <c r="W883" s="186"/>
      <c r="X883" s="186"/>
      <c r="Y883" s="186"/>
      <c r="Z883" s="186"/>
      <c r="AA883" s="186"/>
      <c r="AB883" s="186"/>
      <c r="AC883" s="186"/>
      <c r="AD883" s="186"/>
      <c r="AE883" s="186"/>
    </row>
    <row r="884">
      <c r="A884" s="178"/>
      <c r="B884" s="36"/>
      <c r="C884" s="36"/>
      <c r="D884" s="197"/>
      <c r="E884" s="180"/>
      <c r="F884" s="181"/>
      <c r="G884" s="205"/>
      <c r="H884" s="205"/>
      <c r="I884" s="205"/>
      <c r="J884" s="205"/>
      <c r="K884" s="205"/>
      <c r="L884" s="205"/>
      <c r="M884" s="186"/>
      <c r="N884" s="186"/>
      <c r="O884" s="186"/>
      <c r="P884" s="186"/>
      <c r="Q884" s="186"/>
      <c r="R884" s="186"/>
      <c r="S884" s="186"/>
      <c r="T884" s="186"/>
      <c r="U884" s="186"/>
      <c r="V884" s="186"/>
      <c r="W884" s="186"/>
      <c r="X884" s="186"/>
      <c r="Y884" s="186"/>
      <c r="Z884" s="186"/>
      <c r="AA884" s="186"/>
      <c r="AB884" s="186"/>
      <c r="AC884" s="186"/>
      <c r="AD884" s="186"/>
      <c r="AE884" s="186"/>
    </row>
    <row r="885">
      <c r="A885" s="178"/>
      <c r="B885" s="36"/>
      <c r="C885" s="36"/>
      <c r="D885" s="197"/>
      <c r="E885" s="180"/>
      <c r="F885" s="181"/>
      <c r="G885" s="205"/>
      <c r="H885" s="205"/>
      <c r="I885" s="205"/>
      <c r="J885" s="205"/>
      <c r="K885" s="205"/>
      <c r="L885" s="205"/>
      <c r="M885" s="186"/>
      <c r="N885" s="186"/>
      <c r="O885" s="186"/>
      <c r="P885" s="186"/>
      <c r="Q885" s="186"/>
      <c r="R885" s="186"/>
      <c r="S885" s="186"/>
      <c r="T885" s="186"/>
      <c r="U885" s="186"/>
      <c r="V885" s="186"/>
      <c r="W885" s="186"/>
      <c r="X885" s="186"/>
      <c r="Y885" s="186"/>
      <c r="Z885" s="186"/>
      <c r="AA885" s="186"/>
      <c r="AB885" s="186"/>
      <c r="AC885" s="186"/>
      <c r="AD885" s="186"/>
      <c r="AE885" s="186"/>
    </row>
    <row r="886">
      <c r="A886" s="178"/>
      <c r="B886" s="36"/>
      <c r="C886" s="36"/>
      <c r="D886" s="197"/>
      <c r="E886" s="180"/>
      <c r="F886" s="181"/>
      <c r="G886" s="205"/>
      <c r="H886" s="205"/>
      <c r="I886" s="205"/>
      <c r="J886" s="205"/>
      <c r="K886" s="205"/>
      <c r="L886" s="205"/>
      <c r="M886" s="186"/>
      <c r="N886" s="186"/>
      <c r="O886" s="186"/>
      <c r="P886" s="186"/>
      <c r="Q886" s="186"/>
      <c r="R886" s="186"/>
      <c r="S886" s="186"/>
      <c r="T886" s="186"/>
      <c r="U886" s="186"/>
      <c r="V886" s="186"/>
      <c r="W886" s="186"/>
      <c r="X886" s="186"/>
      <c r="Y886" s="186"/>
      <c r="Z886" s="186"/>
      <c r="AA886" s="186"/>
      <c r="AB886" s="186"/>
      <c r="AC886" s="186"/>
      <c r="AD886" s="186"/>
      <c r="AE886" s="186"/>
    </row>
    <row r="887">
      <c r="A887" s="178"/>
      <c r="B887" s="36"/>
      <c r="C887" s="36"/>
      <c r="D887" s="197"/>
      <c r="E887" s="180"/>
      <c r="F887" s="181"/>
      <c r="G887" s="205"/>
      <c r="H887" s="205"/>
      <c r="I887" s="205"/>
      <c r="J887" s="205"/>
      <c r="K887" s="205"/>
      <c r="L887" s="205"/>
      <c r="M887" s="186"/>
      <c r="N887" s="186"/>
      <c r="O887" s="186"/>
      <c r="P887" s="186"/>
      <c r="Q887" s="186"/>
      <c r="R887" s="186"/>
      <c r="S887" s="186"/>
      <c r="T887" s="186"/>
      <c r="U887" s="186"/>
      <c r="V887" s="186"/>
      <c r="W887" s="186"/>
      <c r="X887" s="186"/>
      <c r="Y887" s="186"/>
      <c r="Z887" s="186"/>
      <c r="AA887" s="186"/>
      <c r="AB887" s="186"/>
      <c r="AC887" s="186"/>
      <c r="AD887" s="186"/>
      <c r="AE887" s="186"/>
    </row>
    <row r="888">
      <c r="A888" s="178"/>
      <c r="B888" s="36"/>
      <c r="C888" s="36"/>
      <c r="D888" s="197"/>
      <c r="E888" s="180"/>
      <c r="F888" s="181"/>
      <c r="G888" s="205"/>
      <c r="H888" s="205"/>
      <c r="I888" s="205"/>
      <c r="J888" s="205"/>
      <c r="K888" s="205"/>
      <c r="L888" s="205"/>
      <c r="M888" s="186"/>
      <c r="N888" s="186"/>
      <c r="O888" s="186"/>
      <c r="P888" s="186"/>
      <c r="Q888" s="186"/>
      <c r="R888" s="186"/>
      <c r="S888" s="186"/>
      <c r="T888" s="186"/>
      <c r="U888" s="186"/>
      <c r="V888" s="186"/>
      <c r="W888" s="186"/>
      <c r="X888" s="186"/>
      <c r="Y888" s="186"/>
      <c r="Z888" s="186"/>
      <c r="AA888" s="186"/>
      <c r="AB888" s="186"/>
      <c r="AC888" s="186"/>
      <c r="AD888" s="186"/>
      <c r="AE888" s="186"/>
    </row>
    <row r="889">
      <c r="A889" s="178"/>
      <c r="B889" s="36"/>
      <c r="C889" s="36"/>
      <c r="D889" s="197"/>
      <c r="E889" s="180"/>
      <c r="F889" s="181"/>
      <c r="G889" s="205"/>
      <c r="H889" s="205"/>
      <c r="I889" s="205"/>
      <c r="J889" s="205"/>
      <c r="K889" s="205"/>
      <c r="L889" s="205"/>
      <c r="M889" s="186"/>
      <c r="N889" s="186"/>
      <c r="O889" s="186"/>
      <c r="P889" s="186"/>
      <c r="Q889" s="186"/>
      <c r="R889" s="186"/>
      <c r="S889" s="186"/>
      <c r="T889" s="186"/>
      <c r="U889" s="186"/>
      <c r="V889" s="186"/>
      <c r="W889" s="186"/>
      <c r="X889" s="186"/>
      <c r="Y889" s="186"/>
      <c r="Z889" s="186"/>
      <c r="AA889" s="186"/>
      <c r="AB889" s="186"/>
      <c r="AC889" s="186"/>
      <c r="AD889" s="186"/>
      <c r="AE889" s="186"/>
    </row>
    <row r="890">
      <c r="A890" s="178"/>
      <c r="B890" s="36"/>
      <c r="C890" s="36"/>
      <c r="D890" s="197"/>
      <c r="E890" s="180"/>
      <c r="F890" s="181"/>
      <c r="G890" s="205"/>
      <c r="H890" s="205"/>
      <c r="I890" s="205"/>
      <c r="J890" s="205"/>
      <c r="K890" s="205"/>
      <c r="L890" s="205"/>
      <c r="M890" s="186"/>
      <c r="N890" s="186"/>
      <c r="O890" s="186"/>
      <c r="P890" s="186"/>
      <c r="Q890" s="186"/>
      <c r="R890" s="186"/>
      <c r="S890" s="186"/>
      <c r="T890" s="186"/>
      <c r="U890" s="186"/>
      <c r="V890" s="186"/>
      <c r="W890" s="186"/>
      <c r="X890" s="186"/>
      <c r="Y890" s="186"/>
      <c r="Z890" s="186"/>
      <c r="AA890" s="186"/>
      <c r="AB890" s="186"/>
      <c r="AC890" s="186"/>
      <c r="AD890" s="186"/>
      <c r="AE890" s="186"/>
    </row>
    <row r="891">
      <c r="A891" s="178"/>
      <c r="B891" s="36"/>
      <c r="C891" s="36"/>
      <c r="D891" s="197"/>
      <c r="E891" s="180"/>
      <c r="F891" s="181"/>
      <c r="G891" s="205"/>
      <c r="H891" s="205"/>
      <c r="I891" s="205"/>
      <c r="J891" s="205"/>
      <c r="K891" s="205"/>
      <c r="L891" s="205"/>
      <c r="M891" s="186"/>
      <c r="N891" s="186"/>
      <c r="O891" s="186"/>
      <c r="P891" s="186"/>
      <c r="Q891" s="186"/>
      <c r="R891" s="186"/>
      <c r="S891" s="186"/>
      <c r="T891" s="186"/>
      <c r="U891" s="186"/>
      <c r="V891" s="186"/>
      <c r="W891" s="186"/>
      <c r="X891" s="186"/>
      <c r="Y891" s="186"/>
      <c r="Z891" s="186"/>
      <c r="AA891" s="186"/>
      <c r="AB891" s="186"/>
      <c r="AC891" s="186"/>
      <c r="AD891" s="186"/>
      <c r="AE891" s="186"/>
    </row>
    <row r="892">
      <c r="A892" s="178"/>
      <c r="B892" s="36"/>
      <c r="C892" s="36"/>
      <c r="D892" s="197"/>
      <c r="E892" s="180"/>
      <c r="F892" s="181"/>
      <c r="G892" s="205"/>
      <c r="H892" s="205"/>
      <c r="I892" s="205"/>
      <c r="J892" s="205"/>
      <c r="K892" s="205"/>
      <c r="L892" s="205"/>
      <c r="M892" s="186"/>
      <c r="N892" s="186"/>
      <c r="O892" s="186"/>
      <c r="P892" s="186"/>
      <c r="Q892" s="186"/>
      <c r="R892" s="186"/>
      <c r="S892" s="186"/>
      <c r="T892" s="186"/>
      <c r="U892" s="186"/>
      <c r="V892" s="186"/>
      <c r="W892" s="186"/>
      <c r="X892" s="186"/>
      <c r="Y892" s="186"/>
      <c r="Z892" s="186"/>
      <c r="AA892" s="186"/>
      <c r="AB892" s="186"/>
      <c r="AC892" s="186"/>
      <c r="AD892" s="186"/>
      <c r="AE892" s="186"/>
    </row>
    <row r="893">
      <c r="A893" s="178"/>
      <c r="B893" s="36"/>
      <c r="C893" s="36"/>
      <c r="D893" s="197"/>
      <c r="E893" s="180"/>
      <c r="F893" s="181"/>
      <c r="G893" s="205"/>
      <c r="H893" s="205"/>
      <c r="I893" s="205"/>
      <c r="J893" s="205"/>
      <c r="K893" s="205"/>
      <c r="L893" s="205"/>
      <c r="M893" s="186"/>
      <c r="N893" s="186"/>
      <c r="O893" s="186"/>
      <c r="P893" s="186"/>
      <c r="Q893" s="186"/>
      <c r="R893" s="186"/>
      <c r="S893" s="186"/>
      <c r="T893" s="186"/>
      <c r="U893" s="186"/>
      <c r="V893" s="186"/>
      <c r="W893" s="186"/>
      <c r="X893" s="186"/>
      <c r="Y893" s="186"/>
      <c r="Z893" s="186"/>
      <c r="AA893" s="186"/>
      <c r="AB893" s="186"/>
      <c r="AC893" s="186"/>
      <c r="AD893" s="186"/>
      <c r="AE893" s="186"/>
    </row>
    <row r="894">
      <c r="A894" s="178"/>
      <c r="B894" s="36"/>
      <c r="C894" s="36"/>
      <c r="D894" s="197"/>
      <c r="E894" s="180"/>
      <c r="F894" s="181"/>
      <c r="G894" s="205"/>
      <c r="H894" s="205"/>
      <c r="I894" s="205"/>
      <c r="J894" s="205"/>
      <c r="K894" s="205"/>
      <c r="L894" s="205"/>
      <c r="M894" s="186"/>
      <c r="N894" s="186"/>
      <c r="O894" s="186"/>
      <c r="P894" s="186"/>
      <c r="Q894" s="186"/>
      <c r="R894" s="186"/>
      <c r="S894" s="186"/>
      <c r="T894" s="186"/>
      <c r="U894" s="186"/>
      <c r="V894" s="186"/>
      <c r="W894" s="186"/>
      <c r="X894" s="186"/>
      <c r="Y894" s="186"/>
      <c r="Z894" s="186"/>
      <c r="AA894" s="186"/>
      <c r="AB894" s="186"/>
      <c r="AC894" s="186"/>
      <c r="AD894" s="186"/>
      <c r="AE894" s="186"/>
    </row>
    <row r="895">
      <c r="A895" s="178"/>
      <c r="B895" s="36"/>
      <c r="C895" s="36"/>
      <c r="D895" s="197"/>
      <c r="E895" s="180"/>
      <c r="F895" s="181"/>
      <c r="G895" s="205"/>
      <c r="H895" s="205"/>
      <c r="I895" s="205"/>
      <c r="J895" s="205"/>
      <c r="K895" s="205"/>
      <c r="L895" s="205"/>
      <c r="M895" s="186"/>
      <c r="N895" s="186"/>
      <c r="O895" s="186"/>
      <c r="P895" s="186"/>
      <c r="Q895" s="186"/>
      <c r="R895" s="186"/>
      <c r="S895" s="186"/>
      <c r="T895" s="186"/>
      <c r="U895" s="186"/>
      <c r="V895" s="186"/>
      <c r="W895" s="186"/>
      <c r="X895" s="186"/>
      <c r="Y895" s="186"/>
      <c r="Z895" s="186"/>
      <c r="AA895" s="186"/>
      <c r="AB895" s="186"/>
      <c r="AC895" s="186"/>
      <c r="AD895" s="186"/>
      <c r="AE895" s="186"/>
    </row>
    <row r="896">
      <c r="A896" s="178"/>
      <c r="B896" s="36"/>
      <c r="C896" s="36"/>
      <c r="D896" s="197"/>
      <c r="E896" s="180"/>
      <c r="F896" s="181"/>
      <c r="G896" s="205"/>
      <c r="H896" s="205"/>
      <c r="I896" s="205"/>
      <c r="J896" s="205"/>
      <c r="K896" s="205"/>
      <c r="L896" s="205"/>
      <c r="M896" s="186"/>
      <c r="N896" s="186"/>
      <c r="O896" s="186"/>
      <c r="P896" s="186"/>
      <c r="Q896" s="186"/>
      <c r="R896" s="186"/>
      <c r="S896" s="186"/>
      <c r="T896" s="186"/>
      <c r="U896" s="186"/>
      <c r="V896" s="186"/>
      <c r="W896" s="186"/>
      <c r="X896" s="186"/>
      <c r="Y896" s="186"/>
      <c r="Z896" s="186"/>
      <c r="AA896" s="186"/>
      <c r="AB896" s="186"/>
      <c r="AC896" s="186"/>
      <c r="AD896" s="186"/>
      <c r="AE896" s="186"/>
    </row>
    <row r="897">
      <c r="A897" s="178"/>
      <c r="B897" s="36"/>
      <c r="C897" s="36"/>
      <c r="D897" s="197"/>
      <c r="E897" s="180"/>
      <c r="F897" s="181"/>
      <c r="G897" s="205"/>
      <c r="H897" s="205"/>
      <c r="I897" s="205"/>
      <c r="J897" s="205"/>
      <c r="K897" s="205"/>
      <c r="L897" s="205"/>
      <c r="M897" s="186"/>
      <c r="N897" s="186"/>
      <c r="O897" s="186"/>
      <c r="P897" s="186"/>
      <c r="Q897" s="186"/>
      <c r="R897" s="186"/>
      <c r="S897" s="186"/>
      <c r="T897" s="186"/>
      <c r="U897" s="186"/>
      <c r="V897" s="186"/>
      <c r="W897" s="186"/>
      <c r="X897" s="186"/>
      <c r="Y897" s="186"/>
      <c r="Z897" s="186"/>
      <c r="AA897" s="186"/>
      <c r="AB897" s="186"/>
      <c r="AC897" s="186"/>
      <c r="AD897" s="186"/>
      <c r="AE897" s="186"/>
    </row>
    <row r="898">
      <c r="A898" s="178"/>
      <c r="B898" s="36"/>
      <c r="C898" s="36"/>
      <c r="D898" s="197"/>
      <c r="E898" s="180"/>
      <c r="F898" s="181"/>
      <c r="G898" s="205"/>
      <c r="H898" s="205"/>
      <c r="I898" s="205"/>
      <c r="J898" s="205"/>
      <c r="K898" s="205"/>
      <c r="L898" s="205"/>
      <c r="M898" s="186"/>
      <c r="N898" s="186"/>
      <c r="O898" s="186"/>
      <c r="P898" s="186"/>
      <c r="Q898" s="186"/>
      <c r="R898" s="186"/>
      <c r="S898" s="186"/>
      <c r="T898" s="186"/>
      <c r="U898" s="186"/>
      <c r="V898" s="186"/>
      <c r="W898" s="186"/>
      <c r="X898" s="186"/>
      <c r="Y898" s="186"/>
      <c r="Z898" s="186"/>
      <c r="AA898" s="186"/>
      <c r="AB898" s="186"/>
      <c r="AC898" s="186"/>
      <c r="AD898" s="186"/>
      <c r="AE898" s="186"/>
    </row>
    <row r="899">
      <c r="A899" s="178"/>
      <c r="B899" s="36"/>
      <c r="C899" s="36"/>
      <c r="D899" s="197"/>
      <c r="E899" s="180"/>
      <c r="F899" s="181"/>
      <c r="G899" s="205"/>
      <c r="H899" s="205"/>
      <c r="I899" s="205"/>
      <c r="J899" s="205"/>
      <c r="K899" s="205"/>
      <c r="L899" s="205"/>
      <c r="M899" s="186"/>
      <c r="N899" s="186"/>
      <c r="O899" s="186"/>
      <c r="P899" s="186"/>
      <c r="Q899" s="186"/>
      <c r="R899" s="186"/>
      <c r="S899" s="186"/>
      <c r="T899" s="186"/>
      <c r="U899" s="186"/>
      <c r="V899" s="186"/>
      <c r="W899" s="186"/>
      <c r="X899" s="186"/>
      <c r="Y899" s="186"/>
      <c r="Z899" s="186"/>
      <c r="AA899" s="186"/>
      <c r="AB899" s="186"/>
      <c r="AC899" s="186"/>
      <c r="AD899" s="186"/>
      <c r="AE899" s="186"/>
    </row>
    <row r="900">
      <c r="A900" s="178"/>
      <c r="B900" s="36"/>
      <c r="C900" s="36"/>
      <c r="D900" s="197"/>
      <c r="E900" s="180"/>
      <c r="F900" s="181"/>
      <c r="G900" s="205"/>
      <c r="H900" s="205"/>
      <c r="I900" s="205"/>
      <c r="J900" s="205"/>
      <c r="K900" s="205"/>
      <c r="L900" s="205"/>
      <c r="M900" s="186"/>
      <c r="N900" s="186"/>
      <c r="O900" s="186"/>
      <c r="P900" s="186"/>
      <c r="Q900" s="186"/>
      <c r="R900" s="186"/>
      <c r="S900" s="186"/>
      <c r="T900" s="186"/>
      <c r="U900" s="186"/>
      <c r="V900" s="186"/>
      <c r="W900" s="186"/>
      <c r="X900" s="186"/>
      <c r="Y900" s="186"/>
      <c r="Z900" s="186"/>
      <c r="AA900" s="186"/>
      <c r="AB900" s="186"/>
      <c r="AC900" s="186"/>
      <c r="AD900" s="186"/>
      <c r="AE900" s="186"/>
    </row>
    <row r="901">
      <c r="A901" s="178"/>
      <c r="B901" s="36"/>
      <c r="C901" s="36"/>
      <c r="D901" s="197"/>
      <c r="E901" s="180"/>
      <c r="F901" s="181"/>
      <c r="G901" s="205"/>
      <c r="H901" s="205"/>
      <c r="I901" s="205"/>
      <c r="J901" s="205"/>
      <c r="K901" s="205"/>
      <c r="L901" s="205"/>
      <c r="M901" s="186"/>
      <c r="N901" s="186"/>
      <c r="O901" s="186"/>
      <c r="P901" s="186"/>
      <c r="Q901" s="186"/>
      <c r="R901" s="186"/>
      <c r="S901" s="186"/>
      <c r="T901" s="186"/>
      <c r="U901" s="186"/>
      <c r="V901" s="186"/>
      <c r="W901" s="186"/>
      <c r="X901" s="186"/>
      <c r="Y901" s="186"/>
      <c r="Z901" s="186"/>
      <c r="AA901" s="186"/>
      <c r="AB901" s="186"/>
      <c r="AC901" s="186"/>
      <c r="AD901" s="186"/>
      <c r="AE901" s="186"/>
    </row>
    <row r="902">
      <c r="A902" s="178"/>
      <c r="B902" s="36"/>
      <c r="C902" s="36"/>
      <c r="D902" s="197"/>
      <c r="E902" s="180"/>
      <c r="F902" s="181"/>
      <c r="G902" s="205"/>
      <c r="H902" s="205"/>
      <c r="I902" s="205"/>
      <c r="J902" s="205"/>
      <c r="K902" s="205"/>
      <c r="L902" s="205"/>
      <c r="M902" s="186"/>
      <c r="N902" s="186"/>
      <c r="O902" s="186"/>
      <c r="P902" s="186"/>
      <c r="Q902" s="186"/>
      <c r="R902" s="186"/>
      <c r="S902" s="186"/>
      <c r="T902" s="186"/>
      <c r="U902" s="186"/>
      <c r="V902" s="186"/>
      <c r="W902" s="186"/>
      <c r="X902" s="186"/>
      <c r="Y902" s="186"/>
      <c r="Z902" s="186"/>
      <c r="AA902" s="186"/>
      <c r="AB902" s="186"/>
      <c r="AC902" s="186"/>
      <c r="AD902" s="186"/>
      <c r="AE902" s="186"/>
    </row>
    <row r="903">
      <c r="A903" s="178"/>
      <c r="B903" s="36"/>
      <c r="C903" s="36"/>
      <c r="D903" s="197"/>
      <c r="E903" s="180"/>
      <c r="F903" s="181"/>
      <c r="G903" s="205"/>
      <c r="H903" s="205"/>
      <c r="I903" s="205"/>
      <c r="J903" s="205"/>
      <c r="K903" s="205"/>
      <c r="L903" s="205"/>
      <c r="M903" s="186"/>
      <c r="N903" s="186"/>
      <c r="O903" s="186"/>
      <c r="P903" s="186"/>
      <c r="Q903" s="186"/>
      <c r="R903" s="186"/>
      <c r="S903" s="186"/>
      <c r="T903" s="186"/>
      <c r="U903" s="186"/>
      <c r="V903" s="186"/>
      <c r="W903" s="186"/>
      <c r="X903" s="186"/>
      <c r="Y903" s="186"/>
      <c r="Z903" s="186"/>
      <c r="AA903" s="186"/>
      <c r="AB903" s="186"/>
      <c r="AC903" s="186"/>
      <c r="AD903" s="186"/>
      <c r="AE903" s="186"/>
    </row>
    <row r="904">
      <c r="A904" s="178"/>
      <c r="B904" s="36"/>
      <c r="C904" s="36"/>
      <c r="D904" s="197"/>
      <c r="E904" s="180"/>
      <c r="F904" s="181"/>
      <c r="G904" s="205"/>
      <c r="H904" s="205"/>
      <c r="I904" s="205"/>
      <c r="J904" s="205"/>
      <c r="K904" s="205"/>
      <c r="L904" s="205"/>
      <c r="M904" s="186"/>
      <c r="N904" s="186"/>
      <c r="O904" s="186"/>
      <c r="P904" s="186"/>
      <c r="Q904" s="186"/>
      <c r="R904" s="186"/>
      <c r="S904" s="186"/>
      <c r="T904" s="186"/>
      <c r="U904" s="186"/>
      <c r="V904" s="186"/>
      <c r="W904" s="186"/>
      <c r="X904" s="186"/>
      <c r="Y904" s="186"/>
      <c r="Z904" s="186"/>
      <c r="AA904" s="186"/>
      <c r="AB904" s="186"/>
      <c r="AC904" s="186"/>
      <c r="AD904" s="186"/>
      <c r="AE904" s="186"/>
    </row>
    <row r="905">
      <c r="A905" s="178"/>
      <c r="B905" s="36"/>
      <c r="C905" s="36"/>
      <c r="D905" s="197"/>
      <c r="E905" s="180"/>
      <c r="F905" s="181"/>
      <c r="G905" s="205"/>
      <c r="H905" s="205"/>
      <c r="I905" s="205"/>
      <c r="J905" s="205"/>
      <c r="K905" s="205"/>
      <c r="L905" s="205"/>
      <c r="M905" s="186"/>
      <c r="N905" s="186"/>
      <c r="O905" s="186"/>
      <c r="P905" s="186"/>
      <c r="Q905" s="186"/>
      <c r="R905" s="186"/>
      <c r="S905" s="186"/>
      <c r="T905" s="186"/>
      <c r="U905" s="186"/>
      <c r="V905" s="186"/>
      <c r="W905" s="186"/>
      <c r="X905" s="186"/>
      <c r="Y905" s="186"/>
      <c r="Z905" s="186"/>
      <c r="AA905" s="186"/>
      <c r="AB905" s="186"/>
      <c r="AC905" s="186"/>
      <c r="AD905" s="186"/>
      <c r="AE905" s="186"/>
    </row>
    <row r="906">
      <c r="A906" s="178"/>
      <c r="B906" s="36"/>
      <c r="C906" s="36"/>
      <c r="D906" s="197"/>
      <c r="E906" s="180"/>
      <c r="F906" s="181"/>
      <c r="G906" s="205"/>
      <c r="H906" s="205"/>
      <c r="I906" s="205"/>
      <c r="J906" s="205"/>
      <c r="K906" s="205"/>
      <c r="L906" s="205"/>
      <c r="M906" s="186"/>
      <c r="N906" s="186"/>
      <c r="O906" s="186"/>
      <c r="P906" s="186"/>
      <c r="Q906" s="186"/>
      <c r="R906" s="186"/>
      <c r="S906" s="186"/>
      <c r="T906" s="186"/>
      <c r="U906" s="186"/>
      <c r="V906" s="186"/>
      <c r="W906" s="186"/>
      <c r="X906" s="186"/>
      <c r="Y906" s="186"/>
      <c r="Z906" s="186"/>
      <c r="AA906" s="186"/>
      <c r="AB906" s="186"/>
      <c r="AC906" s="186"/>
      <c r="AD906" s="186"/>
      <c r="AE906" s="186"/>
    </row>
    <row r="907">
      <c r="A907" s="178"/>
      <c r="B907" s="36"/>
      <c r="C907" s="36"/>
      <c r="D907" s="197"/>
      <c r="E907" s="180"/>
      <c r="F907" s="181"/>
      <c r="G907" s="205"/>
      <c r="H907" s="205"/>
      <c r="I907" s="205"/>
      <c r="J907" s="205"/>
      <c r="K907" s="205"/>
      <c r="L907" s="205"/>
      <c r="M907" s="186"/>
      <c r="N907" s="186"/>
      <c r="O907" s="186"/>
      <c r="P907" s="186"/>
      <c r="Q907" s="186"/>
      <c r="R907" s="186"/>
      <c r="S907" s="186"/>
      <c r="T907" s="186"/>
      <c r="U907" s="186"/>
      <c r="V907" s="186"/>
      <c r="W907" s="186"/>
      <c r="X907" s="186"/>
      <c r="Y907" s="186"/>
      <c r="Z907" s="186"/>
      <c r="AA907" s="186"/>
      <c r="AB907" s="186"/>
      <c r="AC907" s="186"/>
      <c r="AD907" s="186"/>
      <c r="AE907" s="186"/>
    </row>
    <row r="908">
      <c r="A908" s="178"/>
      <c r="B908" s="36"/>
      <c r="C908" s="36"/>
      <c r="D908" s="197"/>
      <c r="E908" s="180"/>
      <c r="F908" s="181"/>
      <c r="G908" s="205"/>
      <c r="H908" s="205"/>
      <c r="I908" s="205"/>
      <c r="J908" s="205"/>
      <c r="K908" s="205"/>
      <c r="L908" s="205"/>
      <c r="M908" s="186"/>
      <c r="N908" s="186"/>
      <c r="O908" s="186"/>
      <c r="P908" s="186"/>
      <c r="Q908" s="186"/>
      <c r="R908" s="186"/>
      <c r="S908" s="186"/>
      <c r="T908" s="186"/>
      <c r="U908" s="186"/>
      <c r="V908" s="186"/>
      <c r="W908" s="186"/>
      <c r="X908" s="186"/>
      <c r="Y908" s="186"/>
      <c r="Z908" s="186"/>
      <c r="AA908" s="186"/>
      <c r="AB908" s="186"/>
      <c r="AC908" s="186"/>
      <c r="AD908" s="186"/>
      <c r="AE908" s="186"/>
    </row>
    <row r="909">
      <c r="A909" s="178"/>
      <c r="B909" s="36"/>
      <c r="C909" s="36"/>
      <c r="D909" s="197"/>
      <c r="E909" s="180"/>
      <c r="F909" s="181"/>
      <c r="G909" s="205"/>
      <c r="H909" s="205"/>
      <c r="I909" s="205"/>
      <c r="J909" s="205"/>
      <c r="K909" s="205"/>
      <c r="L909" s="205"/>
      <c r="M909" s="186"/>
      <c r="N909" s="186"/>
      <c r="O909" s="186"/>
      <c r="P909" s="186"/>
      <c r="Q909" s="186"/>
      <c r="R909" s="186"/>
      <c r="S909" s="186"/>
      <c r="T909" s="186"/>
      <c r="U909" s="186"/>
      <c r="V909" s="186"/>
      <c r="W909" s="186"/>
      <c r="X909" s="186"/>
      <c r="Y909" s="186"/>
      <c r="Z909" s="186"/>
      <c r="AA909" s="186"/>
      <c r="AB909" s="186"/>
      <c r="AC909" s="186"/>
      <c r="AD909" s="186"/>
      <c r="AE909" s="186"/>
    </row>
    <row r="910">
      <c r="A910" s="178"/>
      <c r="B910" s="36"/>
      <c r="C910" s="36"/>
      <c r="D910" s="197"/>
      <c r="E910" s="180"/>
      <c r="F910" s="181"/>
      <c r="G910" s="205"/>
      <c r="H910" s="205"/>
      <c r="I910" s="205"/>
      <c r="J910" s="205"/>
      <c r="K910" s="205"/>
      <c r="L910" s="205"/>
      <c r="M910" s="186"/>
      <c r="N910" s="186"/>
      <c r="O910" s="186"/>
      <c r="P910" s="186"/>
      <c r="Q910" s="186"/>
      <c r="R910" s="186"/>
      <c r="S910" s="186"/>
      <c r="T910" s="186"/>
      <c r="U910" s="186"/>
      <c r="V910" s="186"/>
      <c r="W910" s="186"/>
      <c r="X910" s="186"/>
      <c r="Y910" s="186"/>
      <c r="Z910" s="186"/>
      <c r="AA910" s="186"/>
      <c r="AB910" s="186"/>
      <c r="AC910" s="186"/>
      <c r="AD910" s="186"/>
      <c r="AE910" s="186"/>
    </row>
    <row r="911">
      <c r="A911" s="178"/>
      <c r="B911" s="36"/>
      <c r="C911" s="36"/>
      <c r="D911" s="197"/>
      <c r="E911" s="180"/>
      <c r="F911" s="181"/>
      <c r="G911" s="205"/>
      <c r="H911" s="205"/>
      <c r="I911" s="205"/>
      <c r="J911" s="205"/>
      <c r="K911" s="205"/>
      <c r="L911" s="205"/>
      <c r="M911" s="186"/>
      <c r="N911" s="186"/>
      <c r="O911" s="186"/>
      <c r="P911" s="186"/>
      <c r="Q911" s="186"/>
      <c r="R911" s="186"/>
      <c r="S911" s="186"/>
      <c r="T911" s="186"/>
      <c r="U911" s="186"/>
      <c r="V911" s="186"/>
      <c r="W911" s="186"/>
      <c r="X911" s="186"/>
      <c r="Y911" s="186"/>
      <c r="Z911" s="186"/>
      <c r="AA911" s="186"/>
      <c r="AB911" s="186"/>
      <c r="AC911" s="186"/>
      <c r="AD911" s="186"/>
      <c r="AE911" s="186"/>
    </row>
    <row r="912">
      <c r="A912" s="178"/>
      <c r="B912" s="36"/>
      <c r="C912" s="36"/>
      <c r="D912" s="197"/>
      <c r="E912" s="180"/>
      <c r="F912" s="181"/>
      <c r="G912" s="205"/>
      <c r="H912" s="205"/>
      <c r="I912" s="205"/>
      <c r="J912" s="205"/>
      <c r="K912" s="205"/>
      <c r="L912" s="205"/>
      <c r="M912" s="186"/>
      <c r="N912" s="186"/>
      <c r="O912" s="186"/>
      <c r="P912" s="186"/>
      <c r="Q912" s="186"/>
      <c r="R912" s="186"/>
      <c r="S912" s="186"/>
      <c r="T912" s="186"/>
      <c r="U912" s="186"/>
      <c r="V912" s="186"/>
      <c r="W912" s="186"/>
      <c r="X912" s="186"/>
      <c r="Y912" s="186"/>
      <c r="Z912" s="186"/>
      <c r="AA912" s="186"/>
      <c r="AB912" s="186"/>
      <c r="AC912" s="186"/>
      <c r="AD912" s="186"/>
      <c r="AE912" s="186"/>
    </row>
    <row r="913">
      <c r="A913" s="178"/>
      <c r="B913" s="36"/>
      <c r="C913" s="36"/>
      <c r="D913" s="197"/>
      <c r="E913" s="180"/>
      <c r="F913" s="181"/>
      <c r="G913" s="205"/>
      <c r="H913" s="205"/>
      <c r="I913" s="205"/>
      <c r="J913" s="205"/>
      <c r="K913" s="205"/>
      <c r="L913" s="205"/>
      <c r="M913" s="186"/>
      <c r="N913" s="186"/>
      <c r="O913" s="186"/>
      <c r="P913" s="186"/>
      <c r="Q913" s="186"/>
      <c r="R913" s="186"/>
      <c r="S913" s="186"/>
      <c r="T913" s="186"/>
      <c r="U913" s="186"/>
      <c r="V913" s="186"/>
      <c r="W913" s="186"/>
      <c r="X913" s="186"/>
      <c r="Y913" s="186"/>
      <c r="Z913" s="186"/>
      <c r="AA913" s="186"/>
      <c r="AB913" s="186"/>
      <c r="AC913" s="186"/>
      <c r="AD913" s="186"/>
      <c r="AE913" s="186"/>
    </row>
    <row r="914">
      <c r="A914" s="178"/>
      <c r="B914" s="36"/>
      <c r="C914" s="36"/>
      <c r="D914" s="197"/>
      <c r="E914" s="180"/>
      <c r="F914" s="181"/>
      <c r="G914" s="205"/>
      <c r="H914" s="205"/>
      <c r="I914" s="205"/>
      <c r="J914" s="205"/>
      <c r="K914" s="205"/>
      <c r="L914" s="205"/>
      <c r="M914" s="186"/>
      <c r="N914" s="186"/>
      <c r="O914" s="186"/>
      <c r="P914" s="186"/>
      <c r="Q914" s="186"/>
      <c r="R914" s="186"/>
      <c r="S914" s="186"/>
      <c r="T914" s="186"/>
      <c r="U914" s="186"/>
      <c r="V914" s="186"/>
      <c r="W914" s="186"/>
      <c r="X914" s="186"/>
      <c r="Y914" s="186"/>
      <c r="Z914" s="186"/>
      <c r="AA914" s="186"/>
      <c r="AB914" s="186"/>
      <c r="AC914" s="186"/>
      <c r="AD914" s="186"/>
      <c r="AE914" s="186"/>
    </row>
    <row r="915">
      <c r="A915" s="178"/>
      <c r="B915" s="36"/>
      <c r="C915" s="36"/>
      <c r="D915" s="197"/>
      <c r="E915" s="180"/>
      <c r="F915" s="181"/>
      <c r="G915" s="205"/>
      <c r="H915" s="205"/>
      <c r="I915" s="205"/>
      <c r="J915" s="205"/>
      <c r="K915" s="205"/>
      <c r="L915" s="205"/>
      <c r="M915" s="186"/>
      <c r="N915" s="186"/>
      <c r="O915" s="186"/>
      <c r="P915" s="186"/>
      <c r="Q915" s="186"/>
      <c r="R915" s="186"/>
      <c r="S915" s="186"/>
      <c r="T915" s="186"/>
      <c r="U915" s="186"/>
      <c r="V915" s="186"/>
      <c r="W915" s="186"/>
      <c r="X915" s="186"/>
      <c r="Y915" s="186"/>
      <c r="Z915" s="186"/>
      <c r="AA915" s="186"/>
      <c r="AB915" s="186"/>
      <c r="AC915" s="186"/>
      <c r="AD915" s="186"/>
      <c r="AE915" s="186"/>
    </row>
    <row r="916">
      <c r="A916" s="178"/>
      <c r="B916" s="36"/>
      <c r="C916" s="36"/>
      <c r="D916" s="197"/>
      <c r="E916" s="180"/>
      <c r="F916" s="181"/>
      <c r="G916" s="205"/>
      <c r="H916" s="205"/>
      <c r="I916" s="205"/>
      <c r="J916" s="205"/>
      <c r="K916" s="205"/>
      <c r="L916" s="205"/>
      <c r="M916" s="186"/>
      <c r="N916" s="186"/>
      <c r="O916" s="186"/>
      <c r="P916" s="186"/>
      <c r="Q916" s="186"/>
      <c r="R916" s="186"/>
      <c r="S916" s="186"/>
      <c r="T916" s="186"/>
      <c r="U916" s="186"/>
      <c r="V916" s="186"/>
      <c r="W916" s="186"/>
      <c r="X916" s="186"/>
      <c r="Y916" s="186"/>
      <c r="Z916" s="186"/>
      <c r="AA916" s="186"/>
      <c r="AB916" s="186"/>
      <c r="AC916" s="186"/>
      <c r="AD916" s="186"/>
      <c r="AE916" s="186"/>
    </row>
    <row r="917">
      <c r="A917" s="178"/>
      <c r="B917" s="36"/>
      <c r="C917" s="36"/>
      <c r="D917" s="197"/>
      <c r="E917" s="180"/>
      <c r="F917" s="181"/>
      <c r="G917" s="205"/>
      <c r="H917" s="205"/>
      <c r="I917" s="205"/>
      <c r="J917" s="205"/>
      <c r="K917" s="205"/>
      <c r="L917" s="205"/>
      <c r="M917" s="186"/>
      <c r="N917" s="186"/>
      <c r="O917" s="186"/>
      <c r="P917" s="186"/>
      <c r="Q917" s="186"/>
      <c r="R917" s="186"/>
      <c r="S917" s="186"/>
      <c r="T917" s="186"/>
      <c r="U917" s="186"/>
      <c r="V917" s="186"/>
      <c r="W917" s="186"/>
      <c r="X917" s="186"/>
      <c r="Y917" s="186"/>
      <c r="Z917" s="186"/>
      <c r="AA917" s="186"/>
      <c r="AB917" s="186"/>
      <c r="AC917" s="186"/>
      <c r="AD917" s="186"/>
      <c r="AE917" s="186"/>
    </row>
    <row r="918">
      <c r="A918" s="178"/>
      <c r="B918" s="36"/>
      <c r="C918" s="36"/>
      <c r="D918" s="197"/>
      <c r="E918" s="180"/>
      <c r="F918" s="181"/>
      <c r="G918" s="205"/>
      <c r="H918" s="205"/>
      <c r="I918" s="205"/>
      <c r="J918" s="205"/>
      <c r="K918" s="205"/>
      <c r="L918" s="205"/>
      <c r="M918" s="186"/>
      <c r="N918" s="186"/>
      <c r="O918" s="186"/>
      <c r="P918" s="186"/>
      <c r="Q918" s="186"/>
      <c r="R918" s="186"/>
      <c r="S918" s="186"/>
      <c r="T918" s="186"/>
      <c r="U918" s="186"/>
      <c r="V918" s="186"/>
      <c r="W918" s="186"/>
      <c r="X918" s="186"/>
      <c r="Y918" s="186"/>
      <c r="Z918" s="186"/>
      <c r="AA918" s="186"/>
      <c r="AB918" s="186"/>
      <c r="AC918" s="186"/>
      <c r="AD918" s="186"/>
      <c r="AE918" s="186"/>
    </row>
    <row r="919">
      <c r="A919" s="178"/>
      <c r="B919" s="36"/>
      <c r="C919" s="36"/>
      <c r="D919" s="197"/>
      <c r="E919" s="180"/>
      <c r="F919" s="181"/>
      <c r="G919" s="205"/>
      <c r="H919" s="205"/>
      <c r="I919" s="205"/>
      <c r="J919" s="205"/>
      <c r="K919" s="205"/>
      <c r="L919" s="205"/>
      <c r="M919" s="186"/>
      <c r="N919" s="186"/>
      <c r="O919" s="186"/>
      <c r="P919" s="186"/>
      <c r="Q919" s="186"/>
      <c r="R919" s="186"/>
      <c r="S919" s="186"/>
      <c r="T919" s="186"/>
      <c r="U919" s="186"/>
      <c r="V919" s="186"/>
      <c r="W919" s="186"/>
      <c r="X919" s="186"/>
      <c r="Y919" s="186"/>
      <c r="Z919" s="186"/>
      <c r="AA919" s="186"/>
      <c r="AB919" s="186"/>
      <c r="AC919" s="186"/>
      <c r="AD919" s="186"/>
      <c r="AE919" s="186"/>
    </row>
    <row r="920">
      <c r="A920" s="178"/>
      <c r="B920" s="36"/>
      <c r="C920" s="36"/>
      <c r="D920" s="197"/>
      <c r="E920" s="180"/>
      <c r="F920" s="181"/>
      <c r="G920" s="205"/>
      <c r="H920" s="205"/>
      <c r="I920" s="205"/>
      <c r="J920" s="205"/>
      <c r="K920" s="205"/>
      <c r="L920" s="205"/>
      <c r="M920" s="186"/>
      <c r="N920" s="186"/>
      <c r="O920" s="186"/>
      <c r="P920" s="186"/>
      <c r="Q920" s="186"/>
      <c r="R920" s="186"/>
      <c r="S920" s="186"/>
      <c r="T920" s="186"/>
      <c r="U920" s="186"/>
      <c r="V920" s="186"/>
      <c r="W920" s="186"/>
      <c r="X920" s="186"/>
      <c r="Y920" s="186"/>
      <c r="Z920" s="186"/>
      <c r="AA920" s="186"/>
      <c r="AB920" s="186"/>
      <c r="AC920" s="186"/>
      <c r="AD920" s="186"/>
      <c r="AE920" s="186"/>
    </row>
    <row r="921">
      <c r="A921" s="178"/>
      <c r="B921" s="36"/>
      <c r="C921" s="36"/>
      <c r="D921" s="197"/>
      <c r="E921" s="180"/>
      <c r="F921" s="181"/>
      <c r="G921" s="205"/>
      <c r="H921" s="205"/>
      <c r="I921" s="205"/>
      <c r="J921" s="205"/>
      <c r="K921" s="205"/>
      <c r="L921" s="205"/>
      <c r="M921" s="186"/>
      <c r="N921" s="186"/>
      <c r="O921" s="186"/>
      <c r="P921" s="186"/>
      <c r="Q921" s="186"/>
      <c r="R921" s="186"/>
      <c r="S921" s="186"/>
      <c r="T921" s="186"/>
      <c r="U921" s="186"/>
      <c r="V921" s="186"/>
      <c r="W921" s="186"/>
      <c r="X921" s="186"/>
      <c r="Y921" s="186"/>
      <c r="Z921" s="186"/>
      <c r="AA921" s="186"/>
      <c r="AB921" s="186"/>
      <c r="AC921" s="186"/>
      <c r="AD921" s="186"/>
      <c r="AE921" s="186"/>
    </row>
    <row r="922">
      <c r="A922" s="178"/>
      <c r="B922" s="36"/>
      <c r="C922" s="36"/>
      <c r="D922" s="197"/>
      <c r="E922" s="180"/>
      <c r="F922" s="181"/>
      <c r="G922" s="205"/>
      <c r="H922" s="205"/>
      <c r="I922" s="205"/>
      <c r="J922" s="205"/>
      <c r="K922" s="205"/>
      <c r="L922" s="205"/>
      <c r="M922" s="186"/>
      <c r="N922" s="186"/>
      <c r="O922" s="186"/>
      <c r="P922" s="186"/>
      <c r="Q922" s="186"/>
      <c r="R922" s="186"/>
      <c r="S922" s="186"/>
      <c r="T922" s="186"/>
      <c r="U922" s="186"/>
      <c r="V922" s="186"/>
      <c r="W922" s="186"/>
      <c r="X922" s="186"/>
      <c r="Y922" s="186"/>
      <c r="Z922" s="186"/>
      <c r="AA922" s="186"/>
      <c r="AB922" s="186"/>
      <c r="AC922" s="186"/>
      <c r="AD922" s="186"/>
      <c r="AE922" s="186"/>
    </row>
    <row r="923">
      <c r="A923" s="178"/>
      <c r="B923" s="36"/>
      <c r="C923" s="36"/>
      <c r="D923" s="197"/>
      <c r="E923" s="180"/>
      <c r="F923" s="181"/>
      <c r="G923" s="205"/>
      <c r="H923" s="205"/>
      <c r="I923" s="205"/>
      <c r="J923" s="205"/>
      <c r="K923" s="205"/>
      <c r="L923" s="205"/>
      <c r="M923" s="186"/>
      <c r="N923" s="186"/>
      <c r="O923" s="186"/>
      <c r="P923" s="186"/>
      <c r="Q923" s="186"/>
      <c r="R923" s="186"/>
      <c r="S923" s="186"/>
      <c r="T923" s="186"/>
      <c r="U923" s="186"/>
      <c r="V923" s="186"/>
      <c r="W923" s="186"/>
      <c r="X923" s="186"/>
      <c r="Y923" s="186"/>
      <c r="Z923" s="186"/>
      <c r="AA923" s="186"/>
      <c r="AB923" s="186"/>
      <c r="AC923" s="186"/>
      <c r="AD923" s="186"/>
      <c r="AE923" s="186"/>
    </row>
    <row r="924">
      <c r="A924" s="178"/>
      <c r="B924" s="36"/>
      <c r="C924" s="36"/>
      <c r="D924" s="197"/>
      <c r="E924" s="180"/>
      <c r="F924" s="181"/>
      <c r="G924" s="205"/>
      <c r="H924" s="205"/>
      <c r="I924" s="205"/>
      <c r="J924" s="205"/>
      <c r="K924" s="205"/>
      <c r="L924" s="205"/>
      <c r="M924" s="186"/>
      <c r="N924" s="186"/>
      <c r="O924" s="186"/>
      <c r="P924" s="186"/>
      <c r="Q924" s="186"/>
      <c r="R924" s="186"/>
      <c r="S924" s="186"/>
      <c r="T924" s="186"/>
      <c r="U924" s="186"/>
      <c r="V924" s="186"/>
      <c r="W924" s="186"/>
      <c r="X924" s="186"/>
      <c r="Y924" s="186"/>
      <c r="Z924" s="186"/>
      <c r="AA924" s="186"/>
      <c r="AB924" s="186"/>
      <c r="AC924" s="186"/>
      <c r="AD924" s="186"/>
      <c r="AE924" s="186"/>
    </row>
    <row r="925">
      <c r="A925" s="178"/>
      <c r="B925" s="36"/>
      <c r="C925" s="36"/>
      <c r="D925" s="197"/>
      <c r="E925" s="180"/>
      <c r="F925" s="181"/>
      <c r="G925" s="205"/>
      <c r="H925" s="205"/>
      <c r="I925" s="205"/>
      <c r="J925" s="205"/>
      <c r="K925" s="205"/>
      <c r="L925" s="205"/>
      <c r="M925" s="186"/>
      <c r="N925" s="186"/>
      <c r="O925" s="186"/>
      <c r="P925" s="186"/>
      <c r="Q925" s="186"/>
      <c r="R925" s="186"/>
      <c r="S925" s="186"/>
      <c r="T925" s="186"/>
      <c r="U925" s="186"/>
      <c r="V925" s="186"/>
      <c r="W925" s="186"/>
      <c r="X925" s="186"/>
      <c r="Y925" s="186"/>
      <c r="Z925" s="186"/>
      <c r="AA925" s="186"/>
      <c r="AB925" s="186"/>
      <c r="AC925" s="186"/>
      <c r="AD925" s="186"/>
      <c r="AE925" s="186"/>
    </row>
    <row r="926">
      <c r="A926" s="178"/>
      <c r="B926" s="36"/>
      <c r="C926" s="36"/>
      <c r="D926" s="197"/>
      <c r="E926" s="180"/>
      <c r="F926" s="181"/>
      <c r="G926" s="205"/>
      <c r="H926" s="205"/>
      <c r="I926" s="205"/>
      <c r="J926" s="205"/>
      <c r="K926" s="205"/>
      <c r="L926" s="205"/>
      <c r="M926" s="186"/>
      <c r="N926" s="186"/>
      <c r="O926" s="186"/>
      <c r="P926" s="186"/>
      <c r="Q926" s="186"/>
      <c r="R926" s="186"/>
      <c r="S926" s="186"/>
      <c r="T926" s="186"/>
      <c r="U926" s="186"/>
      <c r="V926" s="186"/>
      <c r="W926" s="186"/>
      <c r="X926" s="186"/>
      <c r="Y926" s="186"/>
      <c r="Z926" s="186"/>
      <c r="AA926" s="186"/>
      <c r="AB926" s="186"/>
      <c r="AC926" s="186"/>
      <c r="AD926" s="186"/>
      <c r="AE926" s="186"/>
    </row>
    <row r="927">
      <c r="A927" s="178"/>
      <c r="B927" s="36"/>
      <c r="C927" s="36"/>
      <c r="D927" s="197"/>
      <c r="E927" s="180"/>
      <c r="F927" s="181"/>
      <c r="G927" s="205"/>
      <c r="H927" s="205"/>
      <c r="I927" s="205"/>
      <c r="J927" s="205"/>
      <c r="K927" s="205"/>
      <c r="L927" s="205"/>
      <c r="M927" s="186"/>
      <c r="N927" s="186"/>
      <c r="O927" s="186"/>
      <c r="P927" s="186"/>
      <c r="Q927" s="186"/>
      <c r="R927" s="186"/>
      <c r="S927" s="186"/>
      <c r="T927" s="186"/>
      <c r="U927" s="186"/>
      <c r="V927" s="186"/>
      <c r="W927" s="186"/>
      <c r="X927" s="186"/>
      <c r="Y927" s="186"/>
      <c r="Z927" s="186"/>
      <c r="AA927" s="186"/>
      <c r="AB927" s="186"/>
      <c r="AC927" s="186"/>
      <c r="AD927" s="186"/>
      <c r="AE927" s="186"/>
    </row>
    <row r="928">
      <c r="A928" s="178"/>
      <c r="B928" s="36"/>
      <c r="C928" s="36"/>
      <c r="D928" s="197"/>
      <c r="E928" s="180"/>
      <c r="F928" s="181"/>
      <c r="G928" s="205"/>
      <c r="H928" s="205"/>
      <c r="I928" s="205"/>
      <c r="J928" s="205"/>
      <c r="K928" s="205"/>
      <c r="L928" s="205"/>
      <c r="M928" s="186"/>
      <c r="N928" s="186"/>
      <c r="O928" s="186"/>
      <c r="P928" s="186"/>
      <c r="Q928" s="186"/>
      <c r="R928" s="186"/>
      <c r="S928" s="186"/>
      <c r="T928" s="186"/>
      <c r="U928" s="186"/>
      <c r="V928" s="186"/>
      <c r="W928" s="186"/>
      <c r="X928" s="186"/>
      <c r="Y928" s="186"/>
      <c r="Z928" s="186"/>
      <c r="AA928" s="186"/>
      <c r="AB928" s="186"/>
      <c r="AC928" s="186"/>
      <c r="AD928" s="186"/>
      <c r="AE928" s="186"/>
    </row>
    <row r="929">
      <c r="A929" s="178"/>
      <c r="B929" s="36"/>
      <c r="C929" s="36"/>
      <c r="D929" s="197"/>
      <c r="E929" s="180"/>
      <c r="F929" s="181"/>
      <c r="G929" s="205"/>
      <c r="H929" s="205"/>
      <c r="I929" s="205"/>
      <c r="J929" s="205"/>
      <c r="K929" s="205"/>
      <c r="L929" s="205"/>
      <c r="M929" s="186"/>
      <c r="N929" s="186"/>
      <c r="O929" s="186"/>
      <c r="P929" s="186"/>
      <c r="Q929" s="186"/>
      <c r="R929" s="186"/>
      <c r="S929" s="186"/>
      <c r="T929" s="186"/>
      <c r="U929" s="186"/>
      <c r="V929" s="186"/>
      <c r="W929" s="186"/>
      <c r="X929" s="186"/>
      <c r="Y929" s="186"/>
      <c r="Z929" s="186"/>
      <c r="AA929" s="186"/>
      <c r="AB929" s="186"/>
      <c r="AC929" s="186"/>
      <c r="AD929" s="186"/>
      <c r="AE929" s="186"/>
    </row>
    <row r="930">
      <c r="A930" s="178"/>
      <c r="B930" s="36"/>
      <c r="C930" s="36"/>
      <c r="D930" s="197"/>
      <c r="E930" s="180"/>
      <c r="F930" s="181"/>
      <c r="G930" s="205"/>
      <c r="H930" s="205"/>
      <c r="I930" s="205"/>
      <c r="J930" s="205"/>
      <c r="K930" s="205"/>
      <c r="L930" s="205"/>
      <c r="M930" s="186"/>
      <c r="N930" s="186"/>
      <c r="O930" s="186"/>
      <c r="P930" s="186"/>
      <c r="Q930" s="186"/>
      <c r="R930" s="186"/>
      <c r="S930" s="186"/>
      <c r="T930" s="186"/>
      <c r="U930" s="186"/>
      <c r="V930" s="186"/>
      <c r="W930" s="186"/>
      <c r="X930" s="186"/>
      <c r="Y930" s="186"/>
      <c r="Z930" s="186"/>
      <c r="AA930" s="186"/>
      <c r="AB930" s="186"/>
      <c r="AC930" s="186"/>
      <c r="AD930" s="186"/>
      <c r="AE930" s="186"/>
    </row>
    <row r="931">
      <c r="A931" s="178"/>
      <c r="B931" s="36"/>
      <c r="C931" s="36"/>
      <c r="D931" s="197"/>
      <c r="E931" s="180"/>
      <c r="F931" s="181"/>
      <c r="G931" s="205"/>
      <c r="H931" s="205"/>
      <c r="I931" s="205"/>
      <c r="J931" s="205"/>
      <c r="K931" s="205"/>
      <c r="L931" s="205"/>
      <c r="M931" s="186"/>
      <c r="N931" s="186"/>
      <c r="O931" s="186"/>
      <c r="P931" s="186"/>
      <c r="Q931" s="186"/>
      <c r="R931" s="186"/>
      <c r="S931" s="186"/>
      <c r="T931" s="186"/>
      <c r="U931" s="186"/>
      <c r="V931" s="186"/>
      <c r="W931" s="186"/>
      <c r="X931" s="186"/>
      <c r="Y931" s="186"/>
      <c r="Z931" s="186"/>
      <c r="AA931" s="186"/>
      <c r="AB931" s="186"/>
      <c r="AC931" s="186"/>
      <c r="AD931" s="186"/>
      <c r="AE931" s="186"/>
    </row>
    <row r="932">
      <c r="A932" s="178"/>
      <c r="B932" s="36"/>
      <c r="C932" s="36"/>
      <c r="D932" s="197"/>
      <c r="E932" s="180"/>
      <c r="F932" s="181"/>
      <c r="G932" s="205"/>
      <c r="H932" s="205"/>
      <c r="I932" s="205"/>
      <c r="J932" s="205"/>
      <c r="K932" s="205"/>
      <c r="L932" s="205"/>
      <c r="M932" s="186"/>
      <c r="N932" s="186"/>
      <c r="O932" s="186"/>
      <c r="P932" s="186"/>
      <c r="Q932" s="186"/>
      <c r="R932" s="186"/>
      <c r="S932" s="186"/>
      <c r="T932" s="186"/>
      <c r="U932" s="186"/>
      <c r="V932" s="186"/>
      <c r="W932" s="186"/>
      <c r="X932" s="186"/>
      <c r="Y932" s="186"/>
      <c r="Z932" s="186"/>
      <c r="AA932" s="186"/>
      <c r="AB932" s="186"/>
      <c r="AC932" s="186"/>
      <c r="AD932" s="186"/>
      <c r="AE932" s="186"/>
    </row>
    <row r="933">
      <c r="A933" s="178"/>
      <c r="B933" s="36"/>
      <c r="C933" s="36"/>
      <c r="D933" s="197"/>
      <c r="E933" s="180"/>
      <c r="F933" s="181"/>
      <c r="G933" s="205"/>
      <c r="H933" s="205"/>
      <c r="I933" s="205"/>
      <c r="J933" s="205"/>
      <c r="K933" s="205"/>
      <c r="L933" s="205"/>
      <c r="M933" s="186"/>
      <c r="N933" s="186"/>
      <c r="O933" s="186"/>
      <c r="P933" s="186"/>
      <c r="Q933" s="186"/>
      <c r="R933" s="186"/>
      <c r="S933" s="186"/>
      <c r="T933" s="186"/>
      <c r="U933" s="186"/>
      <c r="V933" s="186"/>
      <c r="W933" s="186"/>
      <c r="X933" s="186"/>
      <c r="Y933" s="186"/>
      <c r="Z933" s="186"/>
      <c r="AA933" s="186"/>
      <c r="AB933" s="186"/>
      <c r="AC933" s="186"/>
      <c r="AD933" s="186"/>
      <c r="AE933" s="186"/>
    </row>
    <row r="934">
      <c r="A934" s="178"/>
      <c r="B934" s="36"/>
      <c r="C934" s="36"/>
      <c r="D934" s="197"/>
      <c r="E934" s="180"/>
      <c r="F934" s="181"/>
      <c r="G934" s="205"/>
      <c r="H934" s="205"/>
      <c r="I934" s="205"/>
      <c r="J934" s="205"/>
      <c r="K934" s="205"/>
      <c r="L934" s="205"/>
      <c r="M934" s="186"/>
      <c r="N934" s="186"/>
      <c r="O934" s="186"/>
      <c r="P934" s="186"/>
      <c r="Q934" s="186"/>
      <c r="R934" s="186"/>
      <c r="S934" s="186"/>
      <c r="T934" s="186"/>
      <c r="U934" s="186"/>
      <c r="V934" s="186"/>
      <c r="W934" s="186"/>
      <c r="X934" s="186"/>
      <c r="Y934" s="186"/>
      <c r="Z934" s="186"/>
      <c r="AA934" s="186"/>
      <c r="AB934" s="186"/>
      <c r="AC934" s="186"/>
      <c r="AD934" s="186"/>
      <c r="AE934" s="186"/>
    </row>
    <row r="935">
      <c r="A935" s="178"/>
      <c r="B935" s="36"/>
      <c r="C935" s="36"/>
      <c r="D935" s="197"/>
      <c r="E935" s="180"/>
      <c r="F935" s="181"/>
      <c r="G935" s="205"/>
      <c r="H935" s="205"/>
      <c r="I935" s="205"/>
      <c r="J935" s="205"/>
      <c r="K935" s="205"/>
      <c r="L935" s="205"/>
      <c r="M935" s="186"/>
      <c r="N935" s="186"/>
      <c r="O935" s="186"/>
      <c r="P935" s="186"/>
      <c r="Q935" s="186"/>
      <c r="R935" s="186"/>
      <c r="S935" s="186"/>
      <c r="T935" s="186"/>
      <c r="U935" s="186"/>
      <c r="V935" s="186"/>
      <c r="W935" s="186"/>
      <c r="X935" s="186"/>
      <c r="Y935" s="186"/>
      <c r="Z935" s="186"/>
      <c r="AA935" s="186"/>
      <c r="AB935" s="186"/>
      <c r="AC935" s="186"/>
      <c r="AD935" s="186"/>
      <c r="AE935" s="186"/>
    </row>
    <row r="936">
      <c r="A936" s="178"/>
      <c r="B936" s="36"/>
      <c r="C936" s="36"/>
      <c r="D936" s="197"/>
      <c r="E936" s="180"/>
      <c r="F936" s="181"/>
      <c r="G936" s="205"/>
      <c r="H936" s="205"/>
      <c r="I936" s="205"/>
      <c r="J936" s="205"/>
      <c r="K936" s="205"/>
      <c r="L936" s="205"/>
      <c r="M936" s="186"/>
      <c r="N936" s="186"/>
      <c r="O936" s="186"/>
      <c r="P936" s="186"/>
      <c r="Q936" s="186"/>
      <c r="R936" s="186"/>
      <c r="S936" s="186"/>
      <c r="T936" s="186"/>
      <c r="U936" s="186"/>
      <c r="V936" s="186"/>
      <c r="W936" s="186"/>
      <c r="X936" s="186"/>
      <c r="Y936" s="186"/>
      <c r="Z936" s="186"/>
      <c r="AA936" s="186"/>
      <c r="AB936" s="186"/>
      <c r="AC936" s="186"/>
      <c r="AD936" s="186"/>
      <c r="AE936" s="186"/>
    </row>
    <row r="937">
      <c r="A937" s="178"/>
      <c r="B937" s="36"/>
      <c r="C937" s="36"/>
      <c r="D937" s="197"/>
      <c r="E937" s="180"/>
      <c r="F937" s="181"/>
      <c r="G937" s="205"/>
      <c r="H937" s="205"/>
      <c r="I937" s="205"/>
      <c r="J937" s="205"/>
      <c r="K937" s="205"/>
      <c r="L937" s="205"/>
      <c r="M937" s="186"/>
      <c r="N937" s="186"/>
      <c r="O937" s="186"/>
      <c r="P937" s="186"/>
      <c r="Q937" s="186"/>
      <c r="R937" s="186"/>
      <c r="S937" s="186"/>
      <c r="T937" s="186"/>
      <c r="U937" s="186"/>
      <c r="V937" s="186"/>
      <c r="W937" s="186"/>
      <c r="X937" s="186"/>
      <c r="Y937" s="186"/>
      <c r="Z937" s="186"/>
      <c r="AA937" s="186"/>
      <c r="AB937" s="186"/>
      <c r="AC937" s="186"/>
      <c r="AD937" s="186"/>
      <c r="AE937" s="186"/>
    </row>
    <row r="938">
      <c r="A938" s="178"/>
      <c r="B938" s="36"/>
      <c r="C938" s="36"/>
      <c r="D938" s="197"/>
      <c r="E938" s="180"/>
      <c r="F938" s="181"/>
      <c r="G938" s="205"/>
      <c r="H938" s="205"/>
      <c r="I938" s="205"/>
      <c r="J938" s="205"/>
      <c r="K938" s="205"/>
      <c r="L938" s="205"/>
      <c r="M938" s="186"/>
      <c r="N938" s="186"/>
      <c r="O938" s="186"/>
      <c r="P938" s="186"/>
      <c r="Q938" s="186"/>
      <c r="R938" s="186"/>
      <c r="S938" s="186"/>
      <c r="T938" s="186"/>
      <c r="U938" s="186"/>
      <c r="V938" s="186"/>
      <c r="W938" s="186"/>
      <c r="X938" s="186"/>
      <c r="Y938" s="186"/>
      <c r="Z938" s="186"/>
      <c r="AA938" s="186"/>
      <c r="AB938" s="186"/>
      <c r="AC938" s="186"/>
      <c r="AD938" s="186"/>
      <c r="AE938" s="186"/>
    </row>
    <row r="939">
      <c r="A939" s="178"/>
      <c r="B939" s="36"/>
      <c r="C939" s="36"/>
      <c r="D939" s="197"/>
      <c r="E939" s="180"/>
      <c r="F939" s="181"/>
      <c r="G939" s="205"/>
      <c r="H939" s="205"/>
      <c r="I939" s="205"/>
      <c r="J939" s="205"/>
      <c r="K939" s="205"/>
      <c r="L939" s="205"/>
      <c r="M939" s="186"/>
      <c r="N939" s="186"/>
      <c r="O939" s="186"/>
      <c r="P939" s="186"/>
      <c r="Q939" s="186"/>
      <c r="R939" s="186"/>
      <c r="S939" s="186"/>
      <c r="T939" s="186"/>
      <c r="U939" s="186"/>
      <c r="V939" s="186"/>
      <c r="W939" s="186"/>
      <c r="X939" s="186"/>
      <c r="Y939" s="186"/>
      <c r="Z939" s="186"/>
      <c r="AA939" s="186"/>
      <c r="AB939" s="186"/>
      <c r="AC939" s="186"/>
      <c r="AD939" s="186"/>
      <c r="AE939" s="186"/>
    </row>
    <row r="940">
      <c r="A940" s="178"/>
      <c r="B940" s="36"/>
      <c r="C940" s="36"/>
      <c r="D940" s="197"/>
      <c r="E940" s="180"/>
      <c r="F940" s="181"/>
      <c r="G940" s="205"/>
      <c r="H940" s="205"/>
      <c r="I940" s="205"/>
      <c r="J940" s="205"/>
      <c r="K940" s="205"/>
      <c r="L940" s="205"/>
      <c r="M940" s="186"/>
      <c r="N940" s="186"/>
      <c r="O940" s="186"/>
      <c r="P940" s="186"/>
      <c r="Q940" s="186"/>
      <c r="R940" s="186"/>
      <c r="S940" s="186"/>
      <c r="T940" s="186"/>
      <c r="U940" s="186"/>
      <c r="V940" s="186"/>
      <c r="W940" s="186"/>
      <c r="X940" s="186"/>
      <c r="Y940" s="186"/>
      <c r="Z940" s="186"/>
      <c r="AA940" s="186"/>
      <c r="AB940" s="186"/>
      <c r="AC940" s="186"/>
      <c r="AD940" s="186"/>
      <c r="AE940" s="186"/>
    </row>
    <row r="941">
      <c r="A941" s="178"/>
      <c r="B941" s="36"/>
      <c r="C941" s="36"/>
      <c r="D941" s="197"/>
      <c r="E941" s="180"/>
      <c r="F941" s="181"/>
      <c r="G941" s="205"/>
      <c r="H941" s="205"/>
      <c r="I941" s="205"/>
      <c r="J941" s="205"/>
      <c r="K941" s="205"/>
      <c r="L941" s="205"/>
      <c r="M941" s="186"/>
      <c r="N941" s="186"/>
      <c r="O941" s="186"/>
      <c r="P941" s="186"/>
      <c r="Q941" s="186"/>
      <c r="R941" s="186"/>
      <c r="S941" s="186"/>
      <c r="T941" s="186"/>
      <c r="U941" s="186"/>
      <c r="V941" s="186"/>
      <c r="W941" s="186"/>
      <c r="X941" s="186"/>
      <c r="Y941" s="186"/>
      <c r="Z941" s="186"/>
      <c r="AA941" s="186"/>
      <c r="AB941" s="186"/>
      <c r="AC941" s="186"/>
      <c r="AD941" s="186"/>
      <c r="AE941" s="186"/>
    </row>
    <row r="942">
      <c r="A942" s="178"/>
      <c r="B942" s="36"/>
      <c r="C942" s="36"/>
      <c r="D942" s="197"/>
      <c r="E942" s="180"/>
      <c r="F942" s="181"/>
      <c r="G942" s="205"/>
      <c r="H942" s="205"/>
      <c r="I942" s="205"/>
      <c r="J942" s="205"/>
      <c r="K942" s="205"/>
      <c r="L942" s="205"/>
      <c r="M942" s="186"/>
      <c r="N942" s="186"/>
      <c r="O942" s="186"/>
      <c r="P942" s="186"/>
      <c r="Q942" s="186"/>
      <c r="R942" s="186"/>
      <c r="S942" s="186"/>
      <c r="T942" s="186"/>
      <c r="U942" s="186"/>
      <c r="V942" s="186"/>
      <c r="W942" s="186"/>
      <c r="X942" s="186"/>
      <c r="Y942" s="186"/>
      <c r="Z942" s="186"/>
      <c r="AA942" s="186"/>
      <c r="AB942" s="186"/>
      <c r="AC942" s="186"/>
      <c r="AD942" s="186"/>
      <c r="AE942" s="186"/>
    </row>
    <row r="943">
      <c r="A943" s="178"/>
      <c r="B943" s="36"/>
      <c r="C943" s="36"/>
      <c r="D943" s="197"/>
      <c r="E943" s="180"/>
      <c r="F943" s="181"/>
      <c r="G943" s="205"/>
      <c r="H943" s="205"/>
      <c r="I943" s="205"/>
      <c r="J943" s="205"/>
      <c r="K943" s="205"/>
      <c r="L943" s="205"/>
      <c r="M943" s="186"/>
      <c r="N943" s="186"/>
      <c r="O943" s="186"/>
      <c r="P943" s="186"/>
      <c r="Q943" s="186"/>
      <c r="R943" s="186"/>
      <c r="S943" s="186"/>
      <c r="T943" s="186"/>
      <c r="U943" s="186"/>
      <c r="V943" s="186"/>
      <c r="W943" s="186"/>
      <c r="X943" s="186"/>
      <c r="Y943" s="186"/>
      <c r="Z943" s="186"/>
      <c r="AA943" s="186"/>
      <c r="AB943" s="186"/>
      <c r="AC943" s="186"/>
      <c r="AD943" s="186"/>
      <c r="AE943" s="186"/>
    </row>
    <row r="944">
      <c r="A944" s="178"/>
      <c r="B944" s="36"/>
      <c r="C944" s="36"/>
      <c r="D944" s="197"/>
      <c r="E944" s="180"/>
      <c r="F944" s="181"/>
      <c r="G944" s="205"/>
      <c r="H944" s="205"/>
      <c r="I944" s="205"/>
      <c r="J944" s="205"/>
      <c r="K944" s="205"/>
      <c r="L944" s="205"/>
      <c r="M944" s="186"/>
      <c r="N944" s="186"/>
      <c r="O944" s="186"/>
      <c r="P944" s="186"/>
      <c r="Q944" s="186"/>
      <c r="R944" s="186"/>
      <c r="S944" s="186"/>
      <c r="T944" s="186"/>
      <c r="U944" s="186"/>
      <c r="V944" s="186"/>
      <c r="W944" s="186"/>
      <c r="X944" s="186"/>
      <c r="Y944" s="186"/>
      <c r="Z944" s="186"/>
      <c r="AA944" s="186"/>
      <c r="AB944" s="186"/>
      <c r="AC944" s="186"/>
      <c r="AD944" s="186"/>
      <c r="AE944" s="186"/>
    </row>
    <row r="945">
      <c r="A945" s="178"/>
      <c r="B945" s="36"/>
      <c r="C945" s="36"/>
      <c r="D945" s="197"/>
      <c r="E945" s="180"/>
      <c r="F945" s="181"/>
      <c r="G945" s="205"/>
      <c r="H945" s="205"/>
      <c r="I945" s="205"/>
      <c r="J945" s="205"/>
      <c r="K945" s="205"/>
      <c r="L945" s="205"/>
      <c r="M945" s="186"/>
      <c r="N945" s="186"/>
      <c r="O945" s="186"/>
      <c r="P945" s="186"/>
      <c r="Q945" s="186"/>
      <c r="R945" s="186"/>
      <c r="S945" s="186"/>
      <c r="T945" s="186"/>
      <c r="U945" s="186"/>
      <c r="V945" s="186"/>
      <c r="W945" s="186"/>
      <c r="X945" s="186"/>
      <c r="Y945" s="186"/>
      <c r="Z945" s="186"/>
      <c r="AA945" s="186"/>
      <c r="AB945" s="186"/>
      <c r="AC945" s="186"/>
      <c r="AD945" s="186"/>
      <c r="AE945" s="186"/>
    </row>
    <row r="946">
      <c r="A946" s="178"/>
      <c r="B946" s="36"/>
      <c r="C946" s="36"/>
      <c r="D946" s="197"/>
      <c r="E946" s="180"/>
      <c r="F946" s="181"/>
      <c r="G946" s="205"/>
      <c r="H946" s="205"/>
      <c r="I946" s="205"/>
      <c r="J946" s="205"/>
      <c r="K946" s="205"/>
      <c r="L946" s="205"/>
      <c r="M946" s="186"/>
      <c r="N946" s="186"/>
      <c r="O946" s="186"/>
      <c r="P946" s="186"/>
      <c r="Q946" s="186"/>
      <c r="R946" s="186"/>
      <c r="S946" s="186"/>
      <c r="T946" s="186"/>
      <c r="U946" s="186"/>
      <c r="V946" s="186"/>
      <c r="W946" s="186"/>
      <c r="X946" s="186"/>
      <c r="Y946" s="186"/>
      <c r="Z946" s="186"/>
      <c r="AA946" s="186"/>
      <c r="AB946" s="186"/>
      <c r="AC946" s="186"/>
      <c r="AD946" s="186"/>
      <c r="AE946" s="186"/>
    </row>
    <row r="947">
      <c r="A947" s="178"/>
      <c r="B947" s="36"/>
      <c r="C947" s="36"/>
      <c r="D947" s="197"/>
      <c r="E947" s="180"/>
      <c r="F947" s="181"/>
      <c r="G947" s="205"/>
      <c r="H947" s="205"/>
      <c r="I947" s="205"/>
      <c r="J947" s="205"/>
      <c r="K947" s="205"/>
      <c r="L947" s="205"/>
      <c r="M947" s="186"/>
      <c r="N947" s="186"/>
      <c r="O947" s="186"/>
      <c r="P947" s="186"/>
      <c r="Q947" s="186"/>
      <c r="R947" s="186"/>
      <c r="S947" s="186"/>
      <c r="T947" s="186"/>
      <c r="U947" s="186"/>
      <c r="V947" s="186"/>
      <c r="W947" s="186"/>
      <c r="X947" s="186"/>
      <c r="Y947" s="186"/>
      <c r="Z947" s="186"/>
      <c r="AA947" s="186"/>
      <c r="AB947" s="186"/>
      <c r="AC947" s="186"/>
      <c r="AD947" s="186"/>
      <c r="AE947" s="186"/>
    </row>
    <row r="948">
      <c r="A948" s="178"/>
      <c r="B948" s="36"/>
      <c r="C948" s="36"/>
      <c r="D948" s="197"/>
      <c r="E948" s="180"/>
      <c r="F948" s="181"/>
      <c r="G948" s="205"/>
      <c r="H948" s="205"/>
      <c r="I948" s="205"/>
      <c r="J948" s="205"/>
      <c r="K948" s="205"/>
      <c r="L948" s="205"/>
      <c r="M948" s="186"/>
      <c r="N948" s="186"/>
      <c r="O948" s="186"/>
      <c r="P948" s="186"/>
      <c r="Q948" s="186"/>
      <c r="R948" s="186"/>
      <c r="S948" s="186"/>
      <c r="T948" s="186"/>
      <c r="U948" s="186"/>
      <c r="V948" s="186"/>
      <c r="W948" s="186"/>
      <c r="X948" s="186"/>
      <c r="Y948" s="186"/>
      <c r="Z948" s="186"/>
      <c r="AA948" s="186"/>
      <c r="AB948" s="186"/>
      <c r="AC948" s="186"/>
      <c r="AD948" s="186"/>
      <c r="AE948" s="186"/>
    </row>
    <row r="949">
      <c r="A949" s="178"/>
      <c r="B949" s="36"/>
      <c r="C949" s="36"/>
      <c r="D949" s="197"/>
      <c r="E949" s="180"/>
      <c r="F949" s="181"/>
      <c r="G949" s="205"/>
      <c r="H949" s="205"/>
      <c r="I949" s="205"/>
      <c r="J949" s="205"/>
      <c r="K949" s="205"/>
      <c r="L949" s="205"/>
      <c r="M949" s="186"/>
      <c r="N949" s="186"/>
      <c r="O949" s="186"/>
      <c r="P949" s="186"/>
      <c r="Q949" s="186"/>
      <c r="R949" s="186"/>
      <c r="S949" s="186"/>
      <c r="T949" s="186"/>
      <c r="U949" s="186"/>
      <c r="V949" s="186"/>
      <c r="W949" s="186"/>
      <c r="X949" s="186"/>
      <c r="Y949" s="186"/>
      <c r="Z949" s="186"/>
      <c r="AA949" s="186"/>
      <c r="AB949" s="186"/>
      <c r="AC949" s="186"/>
      <c r="AD949" s="186"/>
      <c r="AE949" s="186"/>
    </row>
    <row r="950">
      <c r="A950" s="178"/>
      <c r="B950" s="36"/>
      <c r="C950" s="36"/>
      <c r="D950" s="197"/>
      <c r="E950" s="180"/>
      <c r="F950" s="181"/>
      <c r="G950" s="205"/>
      <c r="H950" s="205"/>
      <c r="I950" s="205"/>
      <c r="J950" s="205"/>
      <c r="K950" s="205"/>
      <c r="L950" s="205"/>
      <c r="M950" s="186"/>
      <c r="N950" s="186"/>
      <c r="O950" s="186"/>
      <c r="P950" s="186"/>
      <c r="Q950" s="186"/>
      <c r="R950" s="186"/>
      <c r="S950" s="186"/>
      <c r="T950" s="186"/>
      <c r="U950" s="186"/>
      <c r="V950" s="186"/>
      <c r="W950" s="186"/>
      <c r="X950" s="186"/>
      <c r="Y950" s="186"/>
      <c r="Z950" s="186"/>
      <c r="AA950" s="186"/>
      <c r="AB950" s="186"/>
      <c r="AC950" s="186"/>
      <c r="AD950" s="186"/>
      <c r="AE950" s="186"/>
    </row>
    <row r="951">
      <c r="A951" s="178"/>
      <c r="B951" s="36"/>
      <c r="C951" s="36"/>
      <c r="D951" s="197"/>
      <c r="E951" s="180"/>
      <c r="F951" s="181"/>
      <c r="G951" s="205"/>
      <c r="H951" s="205"/>
      <c r="I951" s="205"/>
      <c r="J951" s="205"/>
      <c r="K951" s="205"/>
      <c r="L951" s="205"/>
      <c r="M951" s="186"/>
      <c r="N951" s="186"/>
      <c r="O951" s="186"/>
      <c r="P951" s="186"/>
      <c r="Q951" s="186"/>
      <c r="R951" s="186"/>
      <c r="S951" s="186"/>
      <c r="T951" s="186"/>
      <c r="U951" s="186"/>
      <c r="V951" s="186"/>
      <c r="W951" s="186"/>
      <c r="X951" s="186"/>
      <c r="Y951" s="186"/>
      <c r="Z951" s="186"/>
      <c r="AA951" s="186"/>
      <c r="AB951" s="186"/>
      <c r="AC951" s="186"/>
      <c r="AD951" s="186"/>
      <c r="AE951" s="186"/>
    </row>
    <row r="952">
      <c r="A952" s="178"/>
      <c r="B952" s="36"/>
      <c r="C952" s="36"/>
      <c r="D952" s="197"/>
      <c r="E952" s="180"/>
      <c r="F952" s="181"/>
      <c r="G952" s="205"/>
      <c r="H952" s="205"/>
      <c r="I952" s="205"/>
      <c r="J952" s="205"/>
      <c r="K952" s="205"/>
      <c r="L952" s="205"/>
      <c r="M952" s="186"/>
      <c r="N952" s="186"/>
      <c r="O952" s="186"/>
      <c r="P952" s="186"/>
      <c r="Q952" s="186"/>
      <c r="R952" s="186"/>
      <c r="S952" s="186"/>
      <c r="T952" s="186"/>
      <c r="U952" s="186"/>
      <c r="V952" s="186"/>
      <c r="W952" s="186"/>
      <c r="X952" s="186"/>
      <c r="Y952" s="186"/>
      <c r="Z952" s="186"/>
      <c r="AA952" s="186"/>
      <c r="AB952" s="186"/>
      <c r="AC952" s="186"/>
      <c r="AD952" s="186"/>
      <c r="AE952" s="186"/>
    </row>
    <row r="953">
      <c r="A953" s="178"/>
      <c r="B953" s="36"/>
      <c r="C953" s="36"/>
      <c r="D953" s="197"/>
      <c r="E953" s="180"/>
      <c r="F953" s="181"/>
      <c r="G953" s="205"/>
      <c r="H953" s="205"/>
      <c r="I953" s="205"/>
      <c r="J953" s="205"/>
      <c r="K953" s="205"/>
      <c r="L953" s="205"/>
      <c r="M953" s="186"/>
      <c r="N953" s="186"/>
      <c r="O953" s="186"/>
      <c r="P953" s="186"/>
      <c r="Q953" s="186"/>
      <c r="R953" s="186"/>
      <c r="S953" s="186"/>
      <c r="T953" s="186"/>
      <c r="U953" s="186"/>
      <c r="V953" s="186"/>
      <c r="W953" s="186"/>
      <c r="X953" s="186"/>
      <c r="Y953" s="186"/>
      <c r="Z953" s="186"/>
      <c r="AA953" s="186"/>
      <c r="AB953" s="186"/>
      <c r="AC953" s="186"/>
      <c r="AD953" s="186"/>
      <c r="AE953" s="186"/>
    </row>
    <row r="954">
      <c r="A954" s="178"/>
      <c r="B954" s="36"/>
      <c r="C954" s="36"/>
      <c r="D954" s="197"/>
      <c r="E954" s="180"/>
      <c r="F954" s="181"/>
      <c r="G954" s="205"/>
      <c r="H954" s="205"/>
      <c r="I954" s="205"/>
      <c r="J954" s="205"/>
      <c r="K954" s="205"/>
      <c r="L954" s="205"/>
      <c r="M954" s="186"/>
      <c r="N954" s="186"/>
      <c r="O954" s="186"/>
      <c r="P954" s="186"/>
      <c r="Q954" s="186"/>
      <c r="R954" s="186"/>
      <c r="S954" s="186"/>
      <c r="T954" s="186"/>
      <c r="U954" s="186"/>
      <c r="V954" s="186"/>
      <c r="W954" s="186"/>
      <c r="X954" s="186"/>
      <c r="Y954" s="186"/>
      <c r="Z954" s="186"/>
      <c r="AA954" s="186"/>
      <c r="AB954" s="186"/>
      <c r="AC954" s="186"/>
      <c r="AD954" s="186"/>
      <c r="AE954" s="186"/>
    </row>
    <row r="955">
      <c r="A955" s="178"/>
      <c r="B955" s="36"/>
      <c r="C955" s="36"/>
      <c r="D955" s="197"/>
      <c r="E955" s="180"/>
      <c r="F955" s="181"/>
      <c r="G955" s="205"/>
      <c r="H955" s="205"/>
      <c r="I955" s="205"/>
      <c r="J955" s="205"/>
      <c r="K955" s="205"/>
      <c r="L955" s="205"/>
      <c r="M955" s="186"/>
      <c r="N955" s="186"/>
      <c r="O955" s="186"/>
      <c r="P955" s="186"/>
      <c r="Q955" s="186"/>
      <c r="R955" s="186"/>
      <c r="S955" s="186"/>
      <c r="T955" s="186"/>
      <c r="U955" s="186"/>
      <c r="V955" s="186"/>
      <c r="W955" s="186"/>
      <c r="X955" s="186"/>
      <c r="Y955" s="186"/>
      <c r="Z955" s="186"/>
      <c r="AA955" s="186"/>
      <c r="AB955" s="186"/>
      <c r="AC955" s="186"/>
      <c r="AD955" s="186"/>
      <c r="AE955" s="186"/>
    </row>
    <row r="956">
      <c r="A956" s="178"/>
      <c r="B956" s="36"/>
      <c r="C956" s="36"/>
      <c r="D956" s="197"/>
      <c r="E956" s="180"/>
      <c r="F956" s="181"/>
      <c r="G956" s="205"/>
      <c r="H956" s="205"/>
      <c r="I956" s="205"/>
      <c r="J956" s="205"/>
      <c r="K956" s="205"/>
      <c r="L956" s="205"/>
      <c r="M956" s="186"/>
      <c r="N956" s="186"/>
      <c r="O956" s="186"/>
      <c r="P956" s="186"/>
      <c r="Q956" s="186"/>
      <c r="R956" s="186"/>
      <c r="S956" s="186"/>
      <c r="T956" s="186"/>
      <c r="U956" s="186"/>
      <c r="V956" s="186"/>
      <c r="W956" s="186"/>
      <c r="X956" s="186"/>
      <c r="Y956" s="186"/>
      <c r="Z956" s="186"/>
      <c r="AA956" s="186"/>
      <c r="AB956" s="186"/>
      <c r="AC956" s="186"/>
      <c r="AD956" s="186"/>
      <c r="AE956" s="186"/>
    </row>
    <row r="957">
      <c r="A957" s="178"/>
      <c r="B957" s="36"/>
      <c r="C957" s="36"/>
      <c r="D957" s="197"/>
      <c r="E957" s="180"/>
      <c r="F957" s="181"/>
      <c r="G957" s="205"/>
      <c r="H957" s="205"/>
      <c r="I957" s="205"/>
      <c r="J957" s="205"/>
      <c r="K957" s="205"/>
      <c r="L957" s="205"/>
      <c r="M957" s="186"/>
      <c r="N957" s="186"/>
      <c r="O957" s="186"/>
      <c r="P957" s="186"/>
      <c r="Q957" s="186"/>
      <c r="R957" s="186"/>
      <c r="S957" s="186"/>
      <c r="T957" s="186"/>
      <c r="U957" s="186"/>
      <c r="V957" s="186"/>
      <c r="W957" s="186"/>
      <c r="X957" s="186"/>
      <c r="Y957" s="186"/>
      <c r="Z957" s="186"/>
      <c r="AA957" s="186"/>
      <c r="AB957" s="186"/>
      <c r="AC957" s="186"/>
      <c r="AD957" s="186"/>
      <c r="AE957" s="186"/>
    </row>
    <row r="958">
      <c r="A958" s="178"/>
      <c r="B958" s="36"/>
      <c r="C958" s="36"/>
      <c r="D958" s="197"/>
      <c r="E958" s="180"/>
      <c r="F958" s="181"/>
      <c r="G958" s="205"/>
      <c r="H958" s="205"/>
      <c r="I958" s="205"/>
      <c r="J958" s="205"/>
      <c r="K958" s="205"/>
      <c r="L958" s="205"/>
      <c r="M958" s="186"/>
      <c r="N958" s="186"/>
      <c r="O958" s="186"/>
      <c r="P958" s="186"/>
      <c r="Q958" s="186"/>
      <c r="R958" s="186"/>
      <c r="S958" s="186"/>
      <c r="T958" s="186"/>
      <c r="U958" s="186"/>
      <c r="V958" s="186"/>
      <c r="W958" s="186"/>
      <c r="X958" s="186"/>
      <c r="Y958" s="186"/>
      <c r="Z958" s="186"/>
      <c r="AA958" s="186"/>
      <c r="AB958" s="186"/>
      <c r="AC958" s="186"/>
      <c r="AD958" s="186"/>
      <c r="AE958" s="186"/>
    </row>
    <row r="959">
      <c r="A959" s="178"/>
      <c r="B959" s="36"/>
      <c r="C959" s="36"/>
      <c r="D959" s="197"/>
      <c r="E959" s="180"/>
      <c r="F959" s="181"/>
      <c r="G959" s="205"/>
      <c r="H959" s="205"/>
      <c r="I959" s="205"/>
      <c r="J959" s="205"/>
      <c r="K959" s="205"/>
      <c r="L959" s="205"/>
      <c r="M959" s="186"/>
      <c r="N959" s="186"/>
      <c r="O959" s="186"/>
      <c r="P959" s="186"/>
      <c r="Q959" s="186"/>
      <c r="R959" s="186"/>
      <c r="S959" s="186"/>
      <c r="T959" s="186"/>
      <c r="U959" s="186"/>
      <c r="V959" s="186"/>
      <c r="W959" s="186"/>
      <c r="X959" s="186"/>
      <c r="Y959" s="186"/>
      <c r="Z959" s="186"/>
      <c r="AA959" s="186"/>
      <c r="AB959" s="186"/>
      <c r="AC959" s="186"/>
      <c r="AD959" s="186"/>
      <c r="AE959" s="186"/>
    </row>
    <row r="960">
      <c r="A960" s="178"/>
      <c r="B960" s="36"/>
      <c r="C960" s="36"/>
      <c r="D960" s="197"/>
      <c r="E960" s="180"/>
      <c r="F960" s="181"/>
      <c r="G960" s="205"/>
      <c r="H960" s="205"/>
      <c r="I960" s="205"/>
      <c r="J960" s="205"/>
      <c r="K960" s="205"/>
      <c r="L960" s="205"/>
      <c r="M960" s="186"/>
      <c r="N960" s="186"/>
      <c r="O960" s="186"/>
      <c r="P960" s="186"/>
      <c r="Q960" s="186"/>
      <c r="R960" s="186"/>
      <c r="S960" s="186"/>
      <c r="T960" s="186"/>
      <c r="U960" s="186"/>
      <c r="V960" s="186"/>
      <c r="W960" s="186"/>
      <c r="X960" s="186"/>
      <c r="Y960" s="186"/>
      <c r="Z960" s="186"/>
      <c r="AA960" s="186"/>
      <c r="AB960" s="186"/>
      <c r="AC960" s="186"/>
      <c r="AD960" s="186"/>
      <c r="AE960" s="186"/>
    </row>
    <row r="961">
      <c r="A961" s="178"/>
      <c r="B961" s="36"/>
      <c r="C961" s="36"/>
      <c r="D961" s="197"/>
      <c r="E961" s="180"/>
      <c r="F961" s="181"/>
      <c r="G961" s="205"/>
      <c r="H961" s="205"/>
      <c r="I961" s="205"/>
      <c r="J961" s="205"/>
      <c r="K961" s="205"/>
      <c r="L961" s="205"/>
      <c r="M961" s="186"/>
      <c r="N961" s="186"/>
      <c r="O961" s="186"/>
      <c r="P961" s="186"/>
      <c r="Q961" s="186"/>
      <c r="R961" s="186"/>
      <c r="S961" s="186"/>
      <c r="T961" s="186"/>
      <c r="U961" s="186"/>
      <c r="V961" s="186"/>
      <c r="W961" s="186"/>
      <c r="X961" s="186"/>
      <c r="Y961" s="186"/>
      <c r="Z961" s="186"/>
      <c r="AA961" s="186"/>
      <c r="AB961" s="186"/>
      <c r="AC961" s="186"/>
      <c r="AD961" s="186"/>
      <c r="AE961" s="186"/>
    </row>
    <row r="962">
      <c r="A962" s="178"/>
      <c r="B962" s="36"/>
      <c r="C962" s="36"/>
      <c r="D962" s="197"/>
      <c r="E962" s="180"/>
      <c r="F962" s="181"/>
      <c r="G962" s="205"/>
      <c r="H962" s="205"/>
      <c r="I962" s="205"/>
      <c r="J962" s="205"/>
      <c r="K962" s="205"/>
      <c r="L962" s="205"/>
      <c r="M962" s="186"/>
      <c r="N962" s="186"/>
      <c r="O962" s="186"/>
      <c r="P962" s="186"/>
      <c r="Q962" s="186"/>
      <c r="R962" s="186"/>
      <c r="S962" s="186"/>
      <c r="T962" s="186"/>
      <c r="U962" s="186"/>
      <c r="V962" s="186"/>
      <c r="W962" s="186"/>
      <c r="X962" s="186"/>
      <c r="Y962" s="186"/>
      <c r="Z962" s="186"/>
      <c r="AA962" s="186"/>
      <c r="AB962" s="186"/>
      <c r="AC962" s="186"/>
      <c r="AD962" s="186"/>
      <c r="AE962" s="186"/>
    </row>
    <row r="963">
      <c r="A963" s="178"/>
      <c r="B963" s="36"/>
      <c r="C963" s="36"/>
      <c r="D963" s="197"/>
      <c r="E963" s="180"/>
      <c r="F963" s="181"/>
      <c r="G963" s="205"/>
      <c r="H963" s="205"/>
      <c r="I963" s="205"/>
      <c r="J963" s="205"/>
      <c r="K963" s="205"/>
      <c r="L963" s="205"/>
      <c r="M963" s="186"/>
      <c r="N963" s="186"/>
      <c r="O963" s="186"/>
      <c r="P963" s="186"/>
      <c r="Q963" s="186"/>
      <c r="R963" s="186"/>
      <c r="S963" s="186"/>
      <c r="T963" s="186"/>
      <c r="U963" s="186"/>
      <c r="V963" s="186"/>
      <c r="W963" s="186"/>
      <c r="X963" s="186"/>
      <c r="Y963" s="186"/>
      <c r="Z963" s="186"/>
      <c r="AA963" s="186"/>
      <c r="AB963" s="186"/>
      <c r="AC963" s="186"/>
      <c r="AD963" s="186"/>
      <c r="AE963" s="186"/>
    </row>
    <row r="964">
      <c r="A964" s="178"/>
      <c r="B964" s="36"/>
      <c r="C964" s="36"/>
      <c r="D964" s="197"/>
      <c r="E964" s="180"/>
      <c r="F964" s="181"/>
      <c r="G964" s="205"/>
      <c r="H964" s="205"/>
      <c r="I964" s="205"/>
      <c r="J964" s="205"/>
      <c r="K964" s="205"/>
      <c r="L964" s="205"/>
      <c r="M964" s="186"/>
      <c r="N964" s="186"/>
      <c r="O964" s="186"/>
      <c r="P964" s="186"/>
      <c r="Q964" s="186"/>
      <c r="R964" s="186"/>
      <c r="S964" s="186"/>
      <c r="T964" s="186"/>
      <c r="U964" s="186"/>
      <c r="V964" s="186"/>
      <c r="W964" s="186"/>
      <c r="X964" s="186"/>
      <c r="Y964" s="186"/>
      <c r="Z964" s="186"/>
      <c r="AA964" s="186"/>
      <c r="AB964" s="186"/>
      <c r="AC964" s="186"/>
      <c r="AD964" s="186"/>
      <c r="AE964" s="186"/>
    </row>
    <row r="965">
      <c r="A965" s="178"/>
      <c r="B965" s="36"/>
      <c r="C965" s="36"/>
      <c r="D965" s="197"/>
      <c r="E965" s="180"/>
      <c r="F965" s="181"/>
      <c r="G965" s="205"/>
      <c r="H965" s="205"/>
      <c r="I965" s="205"/>
      <c r="J965" s="205"/>
      <c r="K965" s="205"/>
      <c r="L965" s="205"/>
      <c r="M965" s="186"/>
      <c r="N965" s="186"/>
      <c r="O965" s="186"/>
      <c r="P965" s="186"/>
      <c r="Q965" s="186"/>
      <c r="R965" s="186"/>
      <c r="S965" s="186"/>
      <c r="T965" s="186"/>
      <c r="U965" s="186"/>
      <c r="V965" s="186"/>
      <c r="W965" s="186"/>
      <c r="X965" s="186"/>
      <c r="Y965" s="186"/>
      <c r="Z965" s="186"/>
      <c r="AA965" s="186"/>
      <c r="AB965" s="186"/>
      <c r="AC965" s="186"/>
      <c r="AD965" s="186"/>
      <c r="AE965" s="186"/>
    </row>
    <row r="966">
      <c r="A966" s="178"/>
      <c r="B966" s="36"/>
      <c r="C966" s="36"/>
      <c r="D966" s="197"/>
      <c r="E966" s="180"/>
      <c r="F966" s="181"/>
      <c r="G966" s="205"/>
      <c r="H966" s="205"/>
      <c r="I966" s="205"/>
      <c r="J966" s="205"/>
      <c r="K966" s="205"/>
      <c r="L966" s="205"/>
      <c r="M966" s="186"/>
      <c r="N966" s="186"/>
      <c r="O966" s="186"/>
      <c r="P966" s="186"/>
      <c r="Q966" s="186"/>
      <c r="R966" s="186"/>
      <c r="S966" s="186"/>
      <c r="T966" s="186"/>
      <c r="U966" s="186"/>
      <c r="V966" s="186"/>
      <c r="W966" s="186"/>
      <c r="X966" s="186"/>
      <c r="Y966" s="186"/>
      <c r="Z966" s="186"/>
      <c r="AA966" s="186"/>
      <c r="AB966" s="186"/>
      <c r="AC966" s="186"/>
      <c r="AD966" s="186"/>
      <c r="AE966" s="186"/>
    </row>
    <row r="967">
      <c r="A967" s="178"/>
      <c r="B967" s="36"/>
      <c r="C967" s="36"/>
      <c r="D967" s="197"/>
      <c r="E967" s="180"/>
      <c r="F967" s="181"/>
      <c r="G967" s="205"/>
      <c r="H967" s="205"/>
      <c r="I967" s="205"/>
      <c r="J967" s="205"/>
      <c r="K967" s="205"/>
      <c r="L967" s="205"/>
      <c r="M967" s="186"/>
      <c r="N967" s="186"/>
      <c r="O967" s="186"/>
      <c r="P967" s="186"/>
      <c r="Q967" s="186"/>
      <c r="R967" s="186"/>
      <c r="S967" s="186"/>
      <c r="T967" s="186"/>
      <c r="U967" s="186"/>
      <c r="V967" s="186"/>
      <c r="W967" s="186"/>
      <c r="X967" s="186"/>
      <c r="Y967" s="186"/>
      <c r="Z967" s="186"/>
      <c r="AA967" s="186"/>
      <c r="AB967" s="186"/>
      <c r="AC967" s="186"/>
      <c r="AD967" s="186"/>
      <c r="AE967" s="186"/>
    </row>
    <row r="968">
      <c r="A968" s="178"/>
      <c r="B968" s="36"/>
      <c r="C968" s="36"/>
      <c r="D968" s="197"/>
      <c r="E968" s="180"/>
      <c r="F968" s="181"/>
      <c r="G968" s="205"/>
      <c r="H968" s="205"/>
      <c r="I968" s="205"/>
      <c r="J968" s="205"/>
      <c r="K968" s="205"/>
      <c r="L968" s="205"/>
      <c r="M968" s="186"/>
      <c r="N968" s="186"/>
      <c r="O968" s="186"/>
      <c r="P968" s="186"/>
      <c r="Q968" s="186"/>
      <c r="R968" s="186"/>
      <c r="S968" s="186"/>
      <c r="T968" s="186"/>
      <c r="U968" s="186"/>
      <c r="V968" s="186"/>
      <c r="W968" s="186"/>
      <c r="X968" s="186"/>
      <c r="Y968" s="186"/>
      <c r="Z968" s="186"/>
      <c r="AA968" s="186"/>
      <c r="AB968" s="186"/>
      <c r="AC968" s="186"/>
      <c r="AD968" s="186"/>
      <c r="AE968" s="186"/>
    </row>
    <row r="969">
      <c r="A969" s="178"/>
      <c r="B969" s="36"/>
      <c r="C969" s="36"/>
      <c r="D969" s="197"/>
      <c r="E969" s="180"/>
      <c r="F969" s="181"/>
      <c r="G969" s="205"/>
      <c r="H969" s="205"/>
      <c r="I969" s="205"/>
      <c r="J969" s="205"/>
      <c r="K969" s="205"/>
      <c r="L969" s="205"/>
      <c r="M969" s="186"/>
      <c r="N969" s="186"/>
      <c r="O969" s="186"/>
      <c r="P969" s="186"/>
      <c r="Q969" s="186"/>
      <c r="R969" s="186"/>
      <c r="S969" s="186"/>
      <c r="T969" s="186"/>
      <c r="U969" s="186"/>
      <c r="V969" s="186"/>
      <c r="W969" s="186"/>
      <c r="X969" s="186"/>
      <c r="Y969" s="186"/>
      <c r="Z969" s="186"/>
      <c r="AA969" s="186"/>
      <c r="AB969" s="186"/>
      <c r="AC969" s="186"/>
      <c r="AD969" s="186"/>
      <c r="AE969" s="186"/>
    </row>
    <row r="970">
      <c r="A970" s="178"/>
      <c r="B970" s="36"/>
      <c r="C970" s="36"/>
      <c r="D970" s="197"/>
      <c r="E970" s="180"/>
      <c r="F970" s="181"/>
      <c r="G970" s="205"/>
      <c r="H970" s="205"/>
      <c r="I970" s="205"/>
      <c r="J970" s="205"/>
      <c r="K970" s="205"/>
      <c r="L970" s="205"/>
      <c r="M970" s="186"/>
      <c r="N970" s="186"/>
      <c r="O970" s="186"/>
      <c r="P970" s="186"/>
      <c r="Q970" s="186"/>
      <c r="R970" s="186"/>
      <c r="S970" s="186"/>
      <c r="T970" s="186"/>
      <c r="U970" s="186"/>
      <c r="V970" s="186"/>
      <c r="W970" s="186"/>
      <c r="X970" s="186"/>
      <c r="Y970" s="186"/>
      <c r="Z970" s="186"/>
      <c r="AA970" s="186"/>
      <c r="AB970" s="186"/>
      <c r="AC970" s="186"/>
      <c r="AD970" s="186"/>
      <c r="AE970" s="186"/>
    </row>
    <row r="971">
      <c r="A971" s="178"/>
      <c r="B971" s="36"/>
      <c r="C971" s="36"/>
      <c r="D971" s="197"/>
      <c r="E971" s="180"/>
      <c r="F971" s="181"/>
      <c r="G971" s="205"/>
      <c r="H971" s="205"/>
      <c r="I971" s="205"/>
      <c r="J971" s="205"/>
      <c r="K971" s="205"/>
      <c r="L971" s="205"/>
      <c r="M971" s="186"/>
      <c r="N971" s="186"/>
      <c r="O971" s="186"/>
      <c r="P971" s="186"/>
      <c r="Q971" s="186"/>
      <c r="R971" s="186"/>
      <c r="S971" s="186"/>
      <c r="T971" s="186"/>
      <c r="U971" s="186"/>
      <c r="V971" s="186"/>
      <c r="W971" s="186"/>
      <c r="X971" s="186"/>
      <c r="Y971" s="186"/>
      <c r="Z971" s="186"/>
      <c r="AA971" s="186"/>
      <c r="AB971" s="186"/>
      <c r="AC971" s="186"/>
      <c r="AD971" s="186"/>
      <c r="AE971" s="186"/>
    </row>
    <row r="972">
      <c r="A972" s="178"/>
      <c r="B972" s="36"/>
      <c r="C972" s="36"/>
      <c r="D972" s="197"/>
      <c r="E972" s="180"/>
      <c r="F972" s="181"/>
      <c r="G972" s="205"/>
      <c r="H972" s="205"/>
      <c r="I972" s="205"/>
      <c r="J972" s="205"/>
      <c r="K972" s="205"/>
      <c r="L972" s="205"/>
      <c r="M972" s="186"/>
      <c r="N972" s="186"/>
      <c r="O972" s="186"/>
      <c r="P972" s="186"/>
      <c r="Q972" s="186"/>
      <c r="R972" s="186"/>
      <c r="S972" s="186"/>
      <c r="T972" s="186"/>
      <c r="U972" s="186"/>
      <c r="V972" s="186"/>
      <c r="W972" s="186"/>
      <c r="X972" s="186"/>
      <c r="Y972" s="186"/>
      <c r="Z972" s="186"/>
      <c r="AA972" s="186"/>
      <c r="AB972" s="186"/>
      <c r="AC972" s="186"/>
      <c r="AD972" s="186"/>
      <c r="AE972" s="186"/>
    </row>
    <row r="973">
      <c r="A973" s="178"/>
      <c r="B973" s="36"/>
      <c r="C973" s="36"/>
      <c r="D973" s="197"/>
      <c r="E973" s="180"/>
      <c r="F973" s="181"/>
      <c r="G973" s="205"/>
      <c r="H973" s="205"/>
      <c r="I973" s="205"/>
      <c r="J973" s="205"/>
      <c r="K973" s="205"/>
      <c r="L973" s="205"/>
      <c r="M973" s="186"/>
      <c r="N973" s="186"/>
      <c r="O973" s="186"/>
      <c r="P973" s="186"/>
      <c r="Q973" s="186"/>
      <c r="R973" s="186"/>
      <c r="S973" s="186"/>
      <c r="T973" s="186"/>
      <c r="U973" s="186"/>
      <c r="V973" s="186"/>
      <c r="W973" s="186"/>
      <c r="X973" s="186"/>
      <c r="Y973" s="186"/>
      <c r="Z973" s="186"/>
      <c r="AA973" s="186"/>
      <c r="AB973" s="186"/>
      <c r="AC973" s="186"/>
      <c r="AD973" s="186"/>
      <c r="AE973" s="186"/>
    </row>
    <row r="974">
      <c r="A974" s="178"/>
      <c r="B974" s="36"/>
      <c r="C974" s="36"/>
      <c r="D974" s="197"/>
      <c r="E974" s="180"/>
      <c r="F974" s="181"/>
      <c r="G974" s="205"/>
      <c r="H974" s="205"/>
      <c r="I974" s="205"/>
      <c r="J974" s="205"/>
      <c r="K974" s="205"/>
      <c r="L974" s="205"/>
      <c r="M974" s="186"/>
      <c r="N974" s="186"/>
      <c r="O974" s="186"/>
      <c r="P974" s="186"/>
      <c r="Q974" s="186"/>
      <c r="R974" s="186"/>
      <c r="S974" s="186"/>
      <c r="T974" s="186"/>
      <c r="U974" s="186"/>
      <c r="V974" s="186"/>
      <c r="W974" s="186"/>
      <c r="X974" s="186"/>
      <c r="Y974" s="186"/>
      <c r="Z974" s="186"/>
      <c r="AA974" s="186"/>
      <c r="AB974" s="186"/>
      <c r="AC974" s="186"/>
      <c r="AD974" s="186"/>
      <c r="AE974" s="186"/>
    </row>
    <row r="975">
      <c r="A975" s="178"/>
      <c r="B975" s="36"/>
      <c r="C975" s="36"/>
      <c r="D975" s="197"/>
      <c r="E975" s="180"/>
      <c r="F975" s="181"/>
      <c r="G975" s="205"/>
      <c r="H975" s="205"/>
      <c r="I975" s="205"/>
      <c r="J975" s="205"/>
      <c r="K975" s="205"/>
      <c r="L975" s="205"/>
      <c r="M975" s="186"/>
      <c r="N975" s="186"/>
      <c r="O975" s="186"/>
      <c r="P975" s="186"/>
      <c r="Q975" s="186"/>
      <c r="R975" s="186"/>
      <c r="S975" s="186"/>
      <c r="T975" s="186"/>
      <c r="U975" s="186"/>
      <c r="V975" s="186"/>
      <c r="W975" s="186"/>
      <c r="X975" s="186"/>
      <c r="Y975" s="186"/>
      <c r="Z975" s="186"/>
      <c r="AA975" s="186"/>
      <c r="AB975" s="186"/>
      <c r="AC975" s="186"/>
      <c r="AD975" s="186"/>
      <c r="AE975" s="186"/>
    </row>
    <row r="976">
      <c r="A976" s="178"/>
      <c r="B976" s="36"/>
      <c r="C976" s="36"/>
      <c r="D976" s="197"/>
      <c r="E976" s="180"/>
      <c r="F976" s="181"/>
      <c r="G976" s="205"/>
      <c r="H976" s="205"/>
      <c r="I976" s="205"/>
      <c r="J976" s="205"/>
      <c r="K976" s="205"/>
      <c r="L976" s="205"/>
      <c r="M976" s="186"/>
      <c r="N976" s="186"/>
      <c r="O976" s="186"/>
      <c r="P976" s="186"/>
      <c r="Q976" s="186"/>
      <c r="R976" s="186"/>
      <c r="S976" s="186"/>
      <c r="T976" s="186"/>
      <c r="U976" s="186"/>
      <c r="V976" s="186"/>
      <c r="W976" s="186"/>
      <c r="X976" s="186"/>
      <c r="Y976" s="186"/>
      <c r="Z976" s="186"/>
      <c r="AA976" s="186"/>
      <c r="AB976" s="186"/>
      <c r="AC976" s="186"/>
      <c r="AD976" s="186"/>
      <c r="AE976" s="186"/>
    </row>
    <row r="977">
      <c r="A977" s="178"/>
      <c r="B977" s="36"/>
      <c r="C977" s="36"/>
      <c r="D977" s="197"/>
      <c r="E977" s="180"/>
      <c r="F977" s="181"/>
      <c r="G977" s="205"/>
      <c r="H977" s="205"/>
      <c r="I977" s="205"/>
      <c r="J977" s="205"/>
      <c r="K977" s="205"/>
      <c r="L977" s="205"/>
      <c r="M977" s="186"/>
      <c r="N977" s="186"/>
      <c r="O977" s="186"/>
      <c r="P977" s="186"/>
      <c r="Q977" s="186"/>
      <c r="R977" s="186"/>
      <c r="S977" s="186"/>
      <c r="T977" s="186"/>
      <c r="U977" s="186"/>
      <c r="V977" s="186"/>
      <c r="W977" s="186"/>
      <c r="X977" s="186"/>
      <c r="Y977" s="186"/>
      <c r="Z977" s="186"/>
      <c r="AA977" s="186"/>
      <c r="AB977" s="186"/>
      <c r="AC977" s="186"/>
      <c r="AD977" s="186"/>
      <c r="AE977" s="186"/>
    </row>
    <row r="978">
      <c r="A978" s="178"/>
      <c r="B978" s="36"/>
      <c r="C978" s="36"/>
      <c r="D978" s="197"/>
      <c r="E978" s="180"/>
      <c r="F978" s="181"/>
      <c r="G978" s="205"/>
      <c r="H978" s="205"/>
      <c r="I978" s="205"/>
      <c r="J978" s="205"/>
      <c r="K978" s="205"/>
      <c r="L978" s="205"/>
      <c r="M978" s="186"/>
      <c r="N978" s="186"/>
      <c r="O978" s="186"/>
      <c r="P978" s="186"/>
      <c r="Q978" s="186"/>
      <c r="R978" s="186"/>
      <c r="S978" s="186"/>
      <c r="T978" s="186"/>
      <c r="U978" s="186"/>
      <c r="V978" s="186"/>
      <c r="W978" s="186"/>
      <c r="X978" s="186"/>
      <c r="Y978" s="186"/>
      <c r="Z978" s="186"/>
      <c r="AA978" s="186"/>
      <c r="AB978" s="186"/>
      <c r="AC978" s="186"/>
      <c r="AD978" s="186"/>
      <c r="AE978" s="186"/>
    </row>
    <row r="979">
      <c r="A979" s="178"/>
      <c r="B979" s="36"/>
      <c r="C979" s="36"/>
      <c r="D979" s="197"/>
      <c r="E979" s="180"/>
      <c r="F979" s="181"/>
      <c r="G979" s="205"/>
      <c r="H979" s="205"/>
      <c r="I979" s="205"/>
      <c r="J979" s="205"/>
      <c r="K979" s="205"/>
      <c r="L979" s="205"/>
      <c r="M979" s="186"/>
      <c r="N979" s="186"/>
      <c r="O979" s="186"/>
      <c r="P979" s="186"/>
      <c r="Q979" s="186"/>
      <c r="R979" s="186"/>
      <c r="S979" s="186"/>
      <c r="T979" s="186"/>
      <c r="U979" s="186"/>
      <c r="V979" s="186"/>
      <c r="W979" s="186"/>
      <c r="X979" s="186"/>
      <c r="Y979" s="186"/>
      <c r="Z979" s="186"/>
      <c r="AA979" s="186"/>
      <c r="AB979" s="186"/>
      <c r="AC979" s="186"/>
      <c r="AD979" s="186"/>
      <c r="AE979" s="186"/>
    </row>
    <row r="980">
      <c r="A980" s="178"/>
      <c r="B980" s="36"/>
      <c r="C980" s="36"/>
      <c r="D980" s="197"/>
      <c r="E980" s="180"/>
      <c r="F980" s="181"/>
      <c r="G980" s="205"/>
      <c r="H980" s="205"/>
      <c r="I980" s="205"/>
      <c r="J980" s="205"/>
      <c r="K980" s="205"/>
      <c r="L980" s="205"/>
      <c r="M980" s="186"/>
      <c r="N980" s="186"/>
      <c r="O980" s="186"/>
      <c r="P980" s="186"/>
      <c r="Q980" s="186"/>
      <c r="R980" s="186"/>
      <c r="S980" s="186"/>
      <c r="T980" s="186"/>
      <c r="U980" s="186"/>
      <c r="V980" s="186"/>
      <c r="W980" s="186"/>
      <c r="X980" s="186"/>
      <c r="Y980" s="186"/>
      <c r="Z980" s="186"/>
      <c r="AA980" s="186"/>
      <c r="AB980" s="186"/>
      <c r="AC980" s="186"/>
      <c r="AD980" s="186"/>
      <c r="AE980" s="186"/>
    </row>
    <row r="981">
      <c r="A981" s="178"/>
      <c r="B981" s="36"/>
      <c r="C981" s="36"/>
      <c r="D981" s="197"/>
      <c r="E981" s="180"/>
      <c r="F981" s="181"/>
      <c r="G981" s="205"/>
      <c r="H981" s="205"/>
      <c r="I981" s="205"/>
      <c r="J981" s="205"/>
      <c r="K981" s="205"/>
      <c r="L981" s="205"/>
      <c r="M981" s="186"/>
      <c r="N981" s="186"/>
      <c r="O981" s="186"/>
      <c r="P981" s="186"/>
      <c r="Q981" s="186"/>
      <c r="R981" s="186"/>
      <c r="S981" s="186"/>
      <c r="T981" s="186"/>
      <c r="U981" s="186"/>
      <c r="V981" s="186"/>
      <c r="W981" s="186"/>
      <c r="X981" s="186"/>
      <c r="Y981" s="186"/>
      <c r="Z981" s="186"/>
      <c r="AA981" s="186"/>
      <c r="AB981" s="186"/>
      <c r="AC981" s="186"/>
      <c r="AD981" s="186"/>
      <c r="AE981" s="186"/>
    </row>
    <row r="982">
      <c r="A982" s="178"/>
      <c r="B982" s="36"/>
      <c r="C982" s="36"/>
      <c r="D982" s="197"/>
      <c r="E982" s="180"/>
      <c r="F982" s="181"/>
      <c r="G982" s="205"/>
      <c r="H982" s="205"/>
      <c r="I982" s="205"/>
      <c r="J982" s="205"/>
      <c r="K982" s="205"/>
      <c r="L982" s="205"/>
      <c r="M982" s="186"/>
      <c r="N982" s="186"/>
      <c r="O982" s="186"/>
      <c r="P982" s="186"/>
      <c r="Q982" s="186"/>
      <c r="R982" s="186"/>
      <c r="S982" s="186"/>
      <c r="T982" s="186"/>
      <c r="U982" s="186"/>
      <c r="V982" s="186"/>
      <c r="W982" s="186"/>
      <c r="X982" s="186"/>
      <c r="Y982" s="186"/>
      <c r="Z982" s="186"/>
      <c r="AA982" s="186"/>
      <c r="AB982" s="186"/>
      <c r="AC982" s="186"/>
      <c r="AD982" s="186"/>
      <c r="AE982" s="186"/>
    </row>
    <row r="983">
      <c r="A983" s="178"/>
      <c r="B983" s="36"/>
      <c r="C983" s="36"/>
      <c r="D983" s="197"/>
      <c r="E983" s="180"/>
      <c r="F983" s="181"/>
      <c r="G983" s="205"/>
      <c r="H983" s="205"/>
      <c r="I983" s="205"/>
      <c r="J983" s="205"/>
      <c r="K983" s="205"/>
      <c r="L983" s="205"/>
      <c r="M983" s="186"/>
      <c r="N983" s="186"/>
      <c r="O983" s="186"/>
      <c r="P983" s="186"/>
      <c r="Q983" s="186"/>
      <c r="R983" s="186"/>
      <c r="S983" s="186"/>
      <c r="T983" s="186"/>
      <c r="U983" s="186"/>
      <c r="V983" s="186"/>
      <c r="W983" s="186"/>
      <c r="X983" s="186"/>
      <c r="Y983" s="186"/>
      <c r="Z983" s="186"/>
      <c r="AA983" s="186"/>
      <c r="AB983" s="186"/>
      <c r="AC983" s="186"/>
      <c r="AD983" s="186"/>
      <c r="AE983" s="186"/>
    </row>
    <row r="984">
      <c r="A984" s="178"/>
      <c r="B984" s="36"/>
      <c r="C984" s="36"/>
      <c r="D984" s="197"/>
      <c r="E984" s="180"/>
      <c r="F984" s="181"/>
      <c r="G984" s="205"/>
      <c r="H984" s="205"/>
      <c r="I984" s="205"/>
      <c r="J984" s="205"/>
      <c r="K984" s="205"/>
      <c r="L984" s="205"/>
      <c r="M984" s="186"/>
      <c r="N984" s="186"/>
      <c r="O984" s="186"/>
      <c r="P984" s="186"/>
      <c r="Q984" s="186"/>
      <c r="R984" s="186"/>
      <c r="S984" s="186"/>
      <c r="T984" s="186"/>
      <c r="U984" s="186"/>
      <c r="V984" s="186"/>
      <c r="W984" s="186"/>
      <c r="X984" s="186"/>
      <c r="Y984" s="186"/>
      <c r="Z984" s="186"/>
      <c r="AA984" s="186"/>
      <c r="AB984" s="186"/>
      <c r="AC984" s="186"/>
      <c r="AD984" s="186"/>
      <c r="AE984" s="186"/>
    </row>
    <row r="985">
      <c r="A985" s="178"/>
      <c r="B985" s="36"/>
      <c r="C985" s="36"/>
      <c r="D985" s="197"/>
      <c r="E985" s="180"/>
      <c r="F985" s="181"/>
      <c r="G985" s="205"/>
      <c r="H985" s="205"/>
      <c r="I985" s="205"/>
      <c r="J985" s="205"/>
      <c r="K985" s="205"/>
      <c r="L985" s="205"/>
      <c r="M985" s="186"/>
      <c r="N985" s="186"/>
      <c r="O985" s="186"/>
      <c r="P985" s="186"/>
      <c r="Q985" s="186"/>
      <c r="R985" s="186"/>
      <c r="S985" s="186"/>
      <c r="T985" s="186"/>
      <c r="U985" s="186"/>
      <c r="V985" s="186"/>
      <c r="W985" s="186"/>
      <c r="X985" s="186"/>
      <c r="Y985" s="186"/>
      <c r="Z985" s="186"/>
      <c r="AA985" s="186"/>
      <c r="AB985" s="186"/>
      <c r="AC985" s="186"/>
      <c r="AD985" s="186"/>
      <c r="AE985" s="186"/>
    </row>
    <row r="986">
      <c r="A986" s="178"/>
      <c r="B986" s="36"/>
      <c r="C986" s="36"/>
      <c r="D986" s="197"/>
      <c r="E986" s="180"/>
      <c r="F986" s="181"/>
      <c r="G986" s="205"/>
      <c r="H986" s="205"/>
      <c r="I986" s="205"/>
      <c r="J986" s="205"/>
      <c r="K986" s="205"/>
      <c r="L986" s="205"/>
      <c r="M986" s="186"/>
      <c r="N986" s="186"/>
      <c r="O986" s="186"/>
      <c r="P986" s="186"/>
      <c r="Q986" s="186"/>
      <c r="R986" s="186"/>
      <c r="S986" s="186"/>
      <c r="T986" s="186"/>
      <c r="U986" s="186"/>
      <c r="V986" s="186"/>
      <c r="W986" s="186"/>
      <c r="X986" s="186"/>
      <c r="Y986" s="186"/>
      <c r="Z986" s="186"/>
      <c r="AA986" s="186"/>
      <c r="AB986" s="186"/>
      <c r="AC986" s="186"/>
      <c r="AD986" s="186"/>
      <c r="AE986" s="186"/>
    </row>
    <row r="987">
      <c r="A987" s="178"/>
      <c r="B987" s="36"/>
      <c r="C987" s="36"/>
      <c r="D987" s="197"/>
      <c r="E987" s="180"/>
      <c r="F987" s="181"/>
      <c r="G987" s="205"/>
      <c r="H987" s="205"/>
      <c r="I987" s="205"/>
      <c r="J987" s="205"/>
      <c r="K987" s="205"/>
      <c r="L987" s="205"/>
      <c r="M987" s="186"/>
      <c r="N987" s="186"/>
      <c r="O987" s="186"/>
      <c r="P987" s="186"/>
      <c r="Q987" s="186"/>
      <c r="R987" s="186"/>
      <c r="S987" s="186"/>
      <c r="T987" s="186"/>
      <c r="U987" s="186"/>
      <c r="V987" s="186"/>
      <c r="W987" s="186"/>
      <c r="X987" s="186"/>
      <c r="Y987" s="186"/>
      <c r="Z987" s="186"/>
      <c r="AA987" s="186"/>
      <c r="AB987" s="186"/>
      <c r="AC987" s="186"/>
      <c r="AD987" s="186"/>
      <c r="AE987" s="186"/>
    </row>
    <row r="988">
      <c r="A988" s="178"/>
      <c r="B988" s="36"/>
      <c r="C988" s="36"/>
      <c r="D988" s="197"/>
      <c r="E988" s="180"/>
      <c r="F988" s="181"/>
      <c r="G988" s="205"/>
      <c r="H988" s="205"/>
      <c r="I988" s="205"/>
      <c r="J988" s="205"/>
      <c r="K988" s="205"/>
      <c r="L988" s="205"/>
      <c r="M988" s="186"/>
      <c r="N988" s="186"/>
      <c r="O988" s="186"/>
      <c r="P988" s="186"/>
      <c r="Q988" s="186"/>
      <c r="R988" s="186"/>
      <c r="S988" s="186"/>
      <c r="T988" s="186"/>
      <c r="U988" s="186"/>
      <c r="V988" s="186"/>
      <c r="W988" s="186"/>
      <c r="X988" s="186"/>
      <c r="Y988" s="186"/>
      <c r="Z988" s="186"/>
      <c r="AA988" s="186"/>
      <c r="AB988" s="186"/>
      <c r="AC988" s="186"/>
      <c r="AD988" s="186"/>
      <c r="AE988" s="186"/>
    </row>
    <row r="989">
      <c r="A989" s="178"/>
      <c r="B989" s="36"/>
      <c r="C989" s="36"/>
      <c r="D989" s="197"/>
      <c r="E989" s="180"/>
      <c r="F989" s="181"/>
      <c r="G989" s="205"/>
      <c r="H989" s="205"/>
      <c r="I989" s="205"/>
      <c r="J989" s="205"/>
      <c r="K989" s="205"/>
      <c r="L989" s="205"/>
      <c r="M989" s="186"/>
      <c r="N989" s="186"/>
      <c r="O989" s="186"/>
      <c r="P989" s="186"/>
      <c r="Q989" s="186"/>
      <c r="R989" s="186"/>
      <c r="S989" s="186"/>
      <c r="T989" s="186"/>
      <c r="U989" s="186"/>
      <c r="V989" s="186"/>
      <c r="W989" s="186"/>
      <c r="X989" s="186"/>
      <c r="Y989" s="186"/>
      <c r="Z989" s="186"/>
      <c r="AA989" s="186"/>
      <c r="AB989" s="186"/>
      <c r="AC989" s="186"/>
      <c r="AD989" s="186"/>
      <c r="AE989" s="186"/>
    </row>
    <row r="990">
      <c r="A990" s="178"/>
      <c r="B990" s="36"/>
      <c r="C990" s="36"/>
      <c r="D990" s="197"/>
      <c r="E990" s="180"/>
      <c r="F990" s="181"/>
      <c r="G990" s="205"/>
      <c r="H990" s="205"/>
      <c r="I990" s="205"/>
      <c r="J990" s="205"/>
      <c r="K990" s="205"/>
      <c r="L990" s="205"/>
      <c r="M990" s="186"/>
      <c r="N990" s="186"/>
      <c r="O990" s="186"/>
      <c r="P990" s="186"/>
      <c r="Q990" s="186"/>
      <c r="R990" s="186"/>
      <c r="S990" s="186"/>
      <c r="T990" s="186"/>
      <c r="U990" s="186"/>
      <c r="V990" s="186"/>
      <c r="W990" s="186"/>
      <c r="X990" s="186"/>
      <c r="Y990" s="186"/>
      <c r="Z990" s="186"/>
      <c r="AA990" s="186"/>
      <c r="AB990" s="186"/>
      <c r="AC990" s="186"/>
      <c r="AD990" s="186"/>
      <c r="AE990" s="186"/>
    </row>
    <row r="991">
      <c r="A991" s="178"/>
      <c r="B991" s="36"/>
      <c r="C991" s="36"/>
      <c r="D991" s="197"/>
      <c r="E991" s="180"/>
      <c r="F991" s="181"/>
      <c r="G991" s="205"/>
      <c r="H991" s="205"/>
      <c r="I991" s="205"/>
      <c r="J991" s="205"/>
      <c r="K991" s="205"/>
      <c r="L991" s="205"/>
      <c r="M991" s="186"/>
      <c r="N991" s="186"/>
      <c r="O991" s="186"/>
      <c r="P991" s="186"/>
      <c r="Q991" s="186"/>
      <c r="R991" s="186"/>
      <c r="S991" s="186"/>
      <c r="T991" s="186"/>
      <c r="U991" s="186"/>
      <c r="V991" s="186"/>
      <c r="W991" s="186"/>
      <c r="X991" s="186"/>
      <c r="Y991" s="186"/>
      <c r="Z991" s="186"/>
      <c r="AA991" s="186"/>
      <c r="AB991" s="186"/>
      <c r="AC991" s="186"/>
      <c r="AD991" s="186"/>
      <c r="AE991" s="186"/>
    </row>
    <row r="992">
      <c r="A992" s="178"/>
      <c r="B992" s="36"/>
      <c r="C992" s="36"/>
      <c r="D992" s="197"/>
      <c r="E992" s="180"/>
      <c r="F992" s="181"/>
      <c r="G992" s="205"/>
      <c r="H992" s="205"/>
      <c r="I992" s="205"/>
      <c r="J992" s="205"/>
      <c r="K992" s="205"/>
      <c r="L992" s="205"/>
      <c r="M992" s="186"/>
      <c r="N992" s="186"/>
      <c r="O992" s="186"/>
      <c r="P992" s="186"/>
      <c r="Q992" s="186"/>
      <c r="R992" s="186"/>
      <c r="S992" s="186"/>
      <c r="T992" s="186"/>
      <c r="U992" s="186"/>
      <c r="V992" s="186"/>
      <c r="W992" s="186"/>
      <c r="X992" s="186"/>
      <c r="Y992" s="186"/>
      <c r="Z992" s="186"/>
      <c r="AA992" s="186"/>
      <c r="AB992" s="186"/>
      <c r="AC992" s="186"/>
      <c r="AD992" s="186"/>
      <c r="AE992" s="186"/>
    </row>
    <row r="993">
      <c r="A993" s="178"/>
      <c r="B993" s="36"/>
      <c r="C993" s="36"/>
      <c r="D993" s="197"/>
      <c r="E993" s="180"/>
      <c r="F993" s="181"/>
      <c r="G993" s="205"/>
      <c r="H993" s="205"/>
      <c r="I993" s="205"/>
      <c r="J993" s="205"/>
      <c r="K993" s="205"/>
      <c r="L993" s="205"/>
      <c r="M993" s="186"/>
      <c r="N993" s="186"/>
      <c r="O993" s="186"/>
      <c r="P993" s="186"/>
      <c r="Q993" s="186"/>
      <c r="R993" s="186"/>
      <c r="S993" s="186"/>
      <c r="T993" s="186"/>
      <c r="U993" s="186"/>
      <c r="V993" s="186"/>
      <c r="W993" s="186"/>
      <c r="X993" s="186"/>
      <c r="Y993" s="186"/>
      <c r="Z993" s="186"/>
      <c r="AA993" s="186"/>
      <c r="AB993" s="186"/>
      <c r="AC993" s="186"/>
      <c r="AD993" s="186"/>
      <c r="AE993" s="186"/>
    </row>
    <row r="994">
      <c r="A994" s="178"/>
      <c r="B994" s="36"/>
      <c r="C994" s="36"/>
      <c r="D994" s="197"/>
      <c r="E994" s="180"/>
      <c r="F994" s="181"/>
      <c r="G994" s="205"/>
      <c r="H994" s="205"/>
      <c r="I994" s="205"/>
      <c r="J994" s="205"/>
      <c r="K994" s="205"/>
      <c r="L994" s="205"/>
      <c r="M994" s="186"/>
      <c r="N994" s="186"/>
      <c r="O994" s="186"/>
      <c r="P994" s="186"/>
      <c r="Q994" s="186"/>
      <c r="R994" s="186"/>
      <c r="S994" s="186"/>
      <c r="T994" s="186"/>
      <c r="U994" s="186"/>
      <c r="V994" s="186"/>
      <c r="W994" s="186"/>
      <c r="X994" s="186"/>
      <c r="Y994" s="186"/>
      <c r="Z994" s="186"/>
      <c r="AA994" s="186"/>
      <c r="AB994" s="186"/>
      <c r="AC994" s="186"/>
      <c r="AD994" s="186"/>
      <c r="AE994" s="186"/>
    </row>
    <row r="995">
      <c r="A995" s="178"/>
      <c r="B995" s="36"/>
      <c r="C995" s="36"/>
      <c r="D995" s="197"/>
      <c r="E995" s="180"/>
      <c r="F995" s="181"/>
      <c r="G995" s="205"/>
      <c r="H995" s="205"/>
      <c r="I995" s="205"/>
      <c r="J995" s="205"/>
      <c r="K995" s="205"/>
      <c r="L995" s="205"/>
      <c r="M995" s="186"/>
      <c r="N995" s="186"/>
      <c r="O995" s="186"/>
      <c r="P995" s="186"/>
      <c r="Q995" s="186"/>
      <c r="R995" s="186"/>
      <c r="S995" s="186"/>
      <c r="T995" s="186"/>
      <c r="U995" s="186"/>
      <c r="V995" s="186"/>
      <c r="W995" s="186"/>
      <c r="X995" s="186"/>
      <c r="Y995" s="186"/>
      <c r="Z995" s="186"/>
      <c r="AA995" s="186"/>
      <c r="AB995" s="186"/>
      <c r="AC995" s="186"/>
      <c r="AD995" s="186"/>
      <c r="AE995" s="186"/>
    </row>
    <row r="996">
      <c r="A996" s="178"/>
      <c r="B996" s="36"/>
      <c r="C996" s="36"/>
      <c r="D996" s="197"/>
      <c r="E996" s="180"/>
      <c r="F996" s="181"/>
      <c r="G996" s="205"/>
      <c r="H996" s="205"/>
      <c r="I996" s="205"/>
      <c r="J996" s="205"/>
      <c r="K996" s="205"/>
      <c r="L996" s="205"/>
      <c r="M996" s="186"/>
      <c r="N996" s="186"/>
      <c r="O996" s="186"/>
      <c r="P996" s="186"/>
      <c r="Q996" s="186"/>
      <c r="R996" s="186"/>
      <c r="S996" s="186"/>
      <c r="T996" s="186"/>
      <c r="U996" s="186"/>
      <c r="V996" s="186"/>
      <c r="W996" s="186"/>
      <c r="X996" s="186"/>
      <c r="Y996" s="186"/>
      <c r="Z996" s="186"/>
      <c r="AA996" s="186"/>
      <c r="AB996" s="186"/>
      <c r="AC996" s="186"/>
      <c r="AD996" s="186"/>
      <c r="AE996" s="186"/>
    </row>
    <row r="997">
      <c r="A997" s="178"/>
      <c r="B997" s="36"/>
      <c r="C997" s="36"/>
      <c r="D997" s="197"/>
      <c r="E997" s="180"/>
      <c r="F997" s="181"/>
      <c r="G997" s="205"/>
      <c r="H997" s="205"/>
      <c r="I997" s="205"/>
      <c r="J997" s="205"/>
      <c r="K997" s="205"/>
      <c r="L997" s="205"/>
      <c r="M997" s="186"/>
      <c r="N997" s="186"/>
      <c r="O997" s="186"/>
      <c r="P997" s="186"/>
      <c r="Q997" s="186"/>
      <c r="R997" s="186"/>
      <c r="S997" s="186"/>
      <c r="T997" s="186"/>
      <c r="U997" s="186"/>
      <c r="V997" s="186"/>
      <c r="W997" s="186"/>
      <c r="X997" s="186"/>
      <c r="Y997" s="186"/>
      <c r="Z997" s="186"/>
      <c r="AA997" s="186"/>
      <c r="AB997" s="186"/>
      <c r="AC997" s="186"/>
      <c r="AD997" s="186"/>
      <c r="AE997" s="186"/>
    </row>
    <row r="998">
      <c r="A998" s="178"/>
      <c r="B998" s="36"/>
      <c r="C998" s="36"/>
      <c r="D998" s="197"/>
      <c r="E998" s="180"/>
      <c r="F998" s="181"/>
      <c r="G998" s="205"/>
      <c r="H998" s="205"/>
      <c r="I998" s="205"/>
      <c r="J998" s="205"/>
      <c r="K998" s="205"/>
      <c r="L998" s="205"/>
      <c r="M998" s="186"/>
      <c r="N998" s="186"/>
      <c r="O998" s="186"/>
      <c r="P998" s="186"/>
      <c r="Q998" s="186"/>
      <c r="R998" s="186"/>
      <c r="S998" s="186"/>
      <c r="T998" s="186"/>
      <c r="U998" s="186"/>
      <c r="V998" s="186"/>
      <c r="W998" s="186"/>
      <c r="X998" s="186"/>
      <c r="Y998" s="186"/>
      <c r="Z998" s="186"/>
      <c r="AA998" s="186"/>
      <c r="AB998" s="186"/>
      <c r="AC998" s="186"/>
      <c r="AD998" s="186"/>
      <c r="AE998" s="186"/>
    </row>
    <row r="999">
      <c r="A999" s="178"/>
      <c r="B999" s="36"/>
      <c r="C999" s="36"/>
      <c r="D999" s="197"/>
      <c r="E999" s="180"/>
      <c r="F999" s="181"/>
      <c r="G999" s="205"/>
      <c r="H999" s="205"/>
      <c r="I999" s="205"/>
      <c r="J999" s="205"/>
      <c r="K999" s="205"/>
      <c r="L999" s="205"/>
      <c r="M999" s="186"/>
      <c r="N999" s="186"/>
      <c r="O999" s="186"/>
      <c r="P999" s="186"/>
      <c r="Q999" s="186"/>
      <c r="R999" s="186"/>
      <c r="S999" s="186"/>
      <c r="T999" s="186"/>
      <c r="U999" s="186"/>
      <c r="V999" s="186"/>
      <c r="W999" s="186"/>
      <c r="X999" s="186"/>
      <c r="Y999" s="186"/>
      <c r="Z999" s="186"/>
      <c r="AA999" s="186"/>
      <c r="AB999" s="186"/>
      <c r="AC999" s="186"/>
      <c r="AD999" s="186"/>
      <c r="AE999" s="186"/>
    </row>
    <row r="1000">
      <c r="A1000" s="178"/>
      <c r="B1000" s="36"/>
      <c r="C1000" s="36"/>
      <c r="D1000" s="197"/>
      <c r="E1000" s="180"/>
      <c r="F1000" s="181"/>
      <c r="G1000" s="205"/>
      <c r="H1000" s="205"/>
      <c r="I1000" s="205"/>
      <c r="J1000" s="205"/>
      <c r="K1000" s="205"/>
      <c r="L1000" s="205"/>
      <c r="M1000" s="186"/>
      <c r="N1000" s="186"/>
      <c r="O1000" s="186"/>
      <c r="P1000" s="186"/>
      <c r="Q1000" s="186"/>
      <c r="R1000" s="186"/>
      <c r="S1000" s="186"/>
      <c r="T1000" s="186"/>
      <c r="U1000" s="186"/>
      <c r="V1000" s="186"/>
      <c r="W1000" s="186"/>
      <c r="X1000" s="186"/>
      <c r="Y1000" s="186"/>
      <c r="Z1000" s="186"/>
      <c r="AA1000" s="186"/>
      <c r="AB1000" s="186"/>
      <c r="AC1000" s="186"/>
      <c r="AD1000" s="186"/>
      <c r="AE1000" s="186"/>
    </row>
    <row r="1001">
      <c r="A1001" s="178"/>
      <c r="B1001" s="36"/>
      <c r="C1001" s="36"/>
      <c r="D1001" s="197"/>
      <c r="E1001" s="180"/>
      <c r="F1001" s="181"/>
      <c r="G1001" s="205"/>
      <c r="H1001" s="205"/>
      <c r="I1001" s="205"/>
      <c r="J1001" s="205"/>
      <c r="K1001" s="205"/>
      <c r="L1001" s="205"/>
      <c r="M1001" s="186"/>
      <c r="N1001" s="186"/>
      <c r="O1001" s="186"/>
      <c r="P1001" s="186"/>
      <c r="Q1001" s="186"/>
      <c r="R1001" s="186"/>
      <c r="S1001" s="186"/>
      <c r="T1001" s="186"/>
      <c r="U1001" s="186"/>
      <c r="V1001" s="186"/>
      <c r="W1001" s="186"/>
      <c r="X1001" s="186"/>
      <c r="Y1001" s="186"/>
      <c r="Z1001" s="186"/>
      <c r="AA1001" s="186"/>
      <c r="AB1001" s="186"/>
      <c r="AC1001" s="186"/>
      <c r="AD1001" s="186"/>
      <c r="AE1001" s="186"/>
    </row>
    <row r="1002">
      <c r="A1002" s="178"/>
      <c r="B1002" s="36"/>
      <c r="C1002" s="36"/>
      <c r="D1002" s="197"/>
      <c r="E1002" s="180"/>
      <c r="F1002" s="181"/>
      <c r="G1002" s="205"/>
      <c r="H1002" s="205"/>
      <c r="I1002" s="205"/>
      <c r="J1002" s="205"/>
      <c r="K1002" s="205"/>
      <c r="L1002" s="205"/>
      <c r="M1002" s="186"/>
      <c r="N1002" s="186"/>
      <c r="O1002" s="186"/>
      <c r="P1002" s="186"/>
      <c r="Q1002" s="186"/>
      <c r="R1002" s="186"/>
      <c r="S1002" s="186"/>
      <c r="T1002" s="186"/>
      <c r="U1002" s="186"/>
      <c r="V1002" s="186"/>
      <c r="W1002" s="186"/>
      <c r="X1002" s="186"/>
      <c r="Y1002" s="186"/>
      <c r="Z1002" s="186"/>
      <c r="AA1002" s="186"/>
      <c r="AB1002" s="186"/>
      <c r="AC1002" s="186"/>
      <c r="AD1002" s="186"/>
      <c r="AE1002" s="186"/>
    </row>
    <row r="1003">
      <c r="A1003" s="178"/>
      <c r="B1003" s="36"/>
      <c r="C1003" s="36"/>
      <c r="D1003" s="197"/>
      <c r="E1003" s="180"/>
      <c r="F1003" s="181"/>
      <c r="G1003" s="205"/>
      <c r="H1003" s="205"/>
      <c r="I1003" s="205"/>
      <c r="J1003" s="205"/>
      <c r="K1003" s="205"/>
      <c r="L1003" s="205"/>
      <c r="M1003" s="186"/>
      <c r="N1003" s="186"/>
      <c r="O1003" s="186"/>
      <c r="P1003" s="186"/>
      <c r="Q1003" s="186"/>
      <c r="R1003" s="186"/>
      <c r="S1003" s="186"/>
      <c r="T1003" s="186"/>
      <c r="U1003" s="186"/>
      <c r="V1003" s="186"/>
      <c r="W1003" s="186"/>
      <c r="X1003" s="186"/>
      <c r="Y1003" s="186"/>
      <c r="Z1003" s="186"/>
      <c r="AA1003" s="186"/>
      <c r="AB1003" s="186"/>
      <c r="AC1003" s="186"/>
      <c r="AD1003" s="186"/>
      <c r="AE1003" s="186"/>
    </row>
    <row r="1004">
      <c r="A1004" s="178"/>
      <c r="B1004" s="36"/>
      <c r="C1004" s="36"/>
      <c r="D1004" s="197"/>
      <c r="E1004" s="180"/>
      <c r="F1004" s="181"/>
      <c r="G1004" s="205"/>
      <c r="H1004" s="205"/>
      <c r="I1004" s="205"/>
      <c r="J1004" s="205"/>
      <c r="K1004" s="205"/>
      <c r="L1004" s="205"/>
      <c r="M1004" s="186"/>
      <c r="N1004" s="186"/>
      <c r="O1004" s="186"/>
      <c r="P1004" s="186"/>
      <c r="Q1004" s="186"/>
      <c r="R1004" s="186"/>
      <c r="S1004" s="186"/>
      <c r="T1004" s="186"/>
      <c r="U1004" s="186"/>
      <c r="V1004" s="186"/>
      <c r="W1004" s="186"/>
      <c r="X1004" s="186"/>
      <c r="Y1004" s="186"/>
      <c r="Z1004" s="186"/>
      <c r="AA1004" s="186"/>
      <c r="AB1004" s="186"/>
      <c r="AC1004" s="186"/>
      <c r="AD1004" s="186"/>
      <c r="AE1004" s="186"/>
    </row>
    <row r="1005">
      <c r="A1005" s="178"/>
      <c r="B1005" s="36"/>
      <c r="C1005" s="36"/>
      <c r="D1005" s="197"/>
      <c r="E1005" s="180"/>
      <c r="F1005" s="181"/>
      <c r="G1005" s="205"/>
      <c r="H1005" s="205"/>
      <c r="I1005" s="205"/>
      <c r="J1005" s="205"/>
      <c r="K1005" s="205"/>
      <c r="L1005" s="205"/>
      <c r="M1005" s="186"/>
      <c r="N1005" s="186"/>
      <c r="O1005" s="186"/>
      <c r="P1005" s="186"/>
      <c r="Q1005" s="186"/>
      <c r="R1005" s="186"/>
      <c r="S1005" s="186"/>
      <c r="T1005" s="186"/>
      <c r="U1005" s="186"/>
      <c r="V1005" s="186"/>
      <c r="W1005" s="186"/>
      <c r="X1005" s="186"/>
      <c r="Y1005" s="186"/>
      <c r="Z1005" s="186"/>
      <c r="AA1005" s="186"/>
      <c r="AB1005" s="186"/>
      <c r="AC1005" s="186"/>
      <c r="AD1005" s="186"/>
      <c r="AE1005" s="186"/>
    </row>
    <row r="1006">
      <c r="A1006" s="178"/>
      <c r="B1006" s="36"/>
      <c r="C1006" s="36"/>
      <c r="D1006" s="197"/>
      <c r="E1006" s="180"/>
      <c r="F1006" s="181"/>
      <c r="G1006" s="205"/>
      <c r="H1006" s="205"/>
      <c r="I1006" s="205"/>
      <c r="J1006" s="205"/>
      <c r="K1006" s="205"/>
      <c r="L1006" s="205"/>
      <c r="M1006" s="186"/>
      <c r="N1006" s="186"/>
      <c r="O1006" s="186"/>
      <c r="P1006" s="186"/>
      <c r="Q1006" s="186"/>
      <c r="R1006" s="186"/>
      <c r="S1006" s="186"/>
      <c r="T1006" s="186"/>
      <c r="U1006" s="186"/>
      <c r="V1006" s="186"/>
      <c r="W1006" s="186"/>
      <c r="X1006" s="186"/>
      <c r="Y1006" s="186"/>
      <c r="Z1006" s="186"/>
      <c r="AA1006" s="186"/>
      <c r="AB1006" s="186"/>
      <c r="AC1006" s="186"/>
      <c r="AD1006" s="186"/>
      <c r="AE1006" s="186"/>
    </row>
    <row r="1007">
      <c r="A1007" s="178"/>
      <c r="B1007" s="36"/>
      <c r="C1007" s="36"/>
      <c r="D1007" s="197"/>
      <c r="E1007" s="180"/>
      <c r="F1007" s="181"/>
      <c r="G1007" s="205"/>
      <c r="H1007" s="205"/>
      <c r="I1007" s="205"/>
      <c r="J1007" s="205"/>
      <c r="K1007" s="205"/>
      <c r="L1007" s="205"/>
      <c r="M1007" s="186"/>
      <c r="N1007" s="186"/>
      <c r="O1007" s="186"/>
      <c r="P1007" s="186"/>
      <c r="Q1007" s="186"/>
      <c r="R1007" s="186"/>
      <c r="S1007" s="186"/>
      <c r="T1007" s="186"/>
      <c r="U1007" s="186"/>
      <c r="V1007" s="186"/>
      <c r="W1007" s="186"/>
      <c r="X1007" s="186"/>
      <c r="Y1007" s="186"/>
      <c r="Z1007" s="186"/>
      <c r="AA1007" s="186"/>
      <c r="AB1007" s="186"/>
      <c r="AC1007" s="186"/>
      <c r="AD1007" s="186"/>
      <c r="AE1007" s="186"/>
    </row>
    <row r="1008">
      <c r="A1008" s="178"/>
      <c r="B1008" s="36"/>
      <c r="C1008" s="36"/>
      <c r="D1008" s="197"/>
      <c r="E1008" s="180"/>
      <c r="F1008" s="181"/>
      <c r="G1008" s="205"/>
      <c r="H1008" s="205"/>
      <c r="I1008" s="205"/>
      <c r="J1008" s="205"/>
      <c r="K1008" s="205"/>
      <c r="L1008" s="205"/>
      <c r="M1008" s="186"/>
      <c r="N1008" s="186"/>
      <c r="O1008" s="186"/>
      <c r="P1008" s="186"/>
      <c r="Q1008" s="186"/>
      <c r="R1008" s="186"/>
      <c r="S1008" s="186"/>
      <c r="T1008" s="186"/>
      <c r="U1008" s="186"/>
      <c r="V1008" s="186"/>
      <c r="W1008" s="186"/>
      <c r="X1008" s="186"/>
      <c r="Y1008" s="186"/>
      <c r="Z1008" s="186"/>
      <c r="AA1008" s="186"/>
      <c r="AB1008" s="186"/>
      <c r="AC1008" s="186"/>
      <c r="AD1008" s="186"/>
      <c r="AE1008" s="186"/>
    </row>
    <row r="1009">
      <c r="A1009" s="178"/>
      <c r="B1009" s="36"/>
      <c r="C1009" s="36"/>
      <c r="D1009" s="197"/>
      <c r="E1009" s="180"/>
      <c r="F1009" s="181"/>
      <c r="G1009" s="205"/>
      <c r="H1009" s="205"/>
      <c r="I1009" s="205"/>
      <c r="J1009" s="205"/>
      <c r="K1009" s="205"/>
      <c r="L1009" s="205"/>
      <c r="M1009" s="186"/>
      <c r="N1009" s="186"/>
      <c r="O1009" s="186"/>
      <c r="P1009" s="186"/>
      <c r="Q1009" s="186"/>
      <c r="R1009" s="186"/>
      <c r="S1009" s="186"/>
      <c r="T1009" s="186"/>
      <c r="U1009" s="186"/>
      <c r="V1009" s="186"/>
      <c r="W1009" s="186"/>
      <c r="X1009" s="186"/>
      <c r="Y1009" s="186"/>
      <c r="Z1009" s="186"/>
      <c r="AA1009" s="186"/>
      <c r="AB1009" s="186"/>
      <c r="AC1009" s="186"/>
      <c r="AD1009" s="186"/>
      <c r="AE1009" s="186"/>
    </row>
    <row r="1010">
      <c r="A1010" s="178"/>
      <c r="B1010" s="36"/>
      <c r="C1010" s="36"/>
      <c r="D1010" s="197"/>
      <c r="E1010" s="180"/>
      <c r="F1010" s="181"/>
      <c r="G1010" s="205"/>
      <c r="H1010" s="205"/>
      <c r="I1010" s="205"/>
      <c r="J1010" s="205"/>
      <c r="K1010" s="205"/>
      <c r="L1010" s="205"/>
      <c r="M1010" s="186"/>
      <c r="N1010" s="186"/>
      <c r="O1010" s="186"/>
      <c r="P1010" s="186"/>
      <c r="Q1010" s="186"/>
      <c r="R1010" s="186"/>
      <c r="S1010" s="186"/>
      <c r="T1010" s="186"/>
      <c r="U1010" s="186"/>
      <c r="V1010" s="186"/>
      <c r="W1010" s="186"/>
      <c r="X1010" s="186"/>
      <c r="Y1010" s="186"/>
      <c r="Z1010" s="186"/>
      <c r="AA1010" s="186"/>
      <c r="AB1010" s="186"/>
      <c r="AC1010" s="186"/>
      <c r="AD1010" s="186"/>
      <c r="AE1010" s="186"/>
    </row>
    <row r="1011">
      <c r="A1011" s="178"/>
      <c r="B1011" s="36"/>
      <c r="C1011" s="36"/>
      <c r="D1011" s="197"/>
      <c r="E1011" s="180"/>
      <c r="F1011" s="181"/>
      <c r="G1011" s="205"/>
      <c r="H1011" s="205"/>
      <c r="I1011" s="205"/>
      <c r="J1011" s="205"/>
      <c r="K1011" s="205"/>
      <c r="L1011" s="205"/>
      <c r="M1011" s="186"/>
      <c r="N1011" s="186"/>
      <c r="O1011" s="186"/>
      <c r="P1011" s="186"/>
      <c r="Q1011" s="186"/>
      <c r="R1011" s="186"/>
      <c r="S1011" s="186"/>
      <c r="T1011" s="186"/>
      <c r="U1011" s="186"/>
      <c r="V1011" s="186"/>
      <c r="W1011" s="186"/>
      <c r="X1011" s="186"/>
      <c r="Y1011" s="186"/>
      <c r="Z1011" s="186"/>
      <c r="AA1011" s="186"/>
      <c r="AB1011" s="186"/>
      <c r="AC1011" s="186"/>
      <c r="AD1011" s="186"/>
      <c r="AE1011" s="186"/>
    </row>
    <row r="1012">
      <c r="A1012" s="178"/>
      <c r="B1012" s="36"/>
      <c r="C1012" s="36"/>
      <c r="D1012" s="197"/>
      <c r="E1012" s="180"/>
      <c r="F1012" s="181"/>
      <c r="G1012" s="205"/>
      <c r="H1012" s="205"/>
      <c r="I1012" s="205"/>
      <c r="J1012" s="205"/>
      <c r="K1012" s="205"/>
      <c r="L1012" s="205"/>
      <c r="M1012" s="186"/>
      <c r="N1012" s="186"/>
      <c r="O1012" s="186"/>
      <c r="P1012" s="186"/>
      <c r="Q1012" s="186"/>
      <c r="R1012" s="186"/>
      <c r="S1012" s="186"/>
      <c r="T1012" s="186"/>
      <c r="U1012" s="186"/>
      <c r="V1012" s="186"/>
      <c r="W1012" s="186"/>
      <c r="X1012" s="186"/>
      <c r="Y1012" s="186"/>
      <c r="Z1012" s="186"/>
      <c r="AA1012" s="186"/>
      <c r="AB1012" s="186"/>
      <c r="AC1012" s="186"/>
      <c r="AD1012" s="186"/>
      <c r="AE1012" s="186"/>
    </row>
    <row r="1013">
      <c r="A1013" s="178"/>
      <c r="B1013" s="36"/>
      <c r="C1013" s="36"/>
      <c r="D1013" s="197"/>
      <c r="E1013" s="180"/>
      <c r="F1013" s="181"/>
      <c r="G1013" s="205"/>
      <c r="H1013" s="205"/>
      <c r="I1013" s="205"/>
      <c r="J1013" s="205"/>
      <c r="K1013" s="205"/>
      <c r="L1013" s="205"/>
      <c r="M1013" s="186"/>
      <c r="N1013" s="186"/>
      <c r="O1013" s="186"/>
      <c r="P1013" s="186"/>
      <c r="Q1013" s="186"/>
      <c r="R1013" s="186"/>
      <c r="S1013" s="186"/>
      <c r="T1013" s="186"/>
      <c r="U1013" s="186"/>
      <c r="V1013" s="186"/>
      <c r="W1013" s="186"/>
      <c r="X1013" s="186"/>
      <c r="Y1013" s="186"/>
      <c r="Z1013" s="186"/>
      <c r="AA1013" s="186"/>
      <c r="AB1013" s="186"/>
      <c r="AC1013" s="186"/>
      <c r="AD1013" s="186"/>
      <c r="AE1013" s="186"/>
    </row>
    <row r="1014">
      <c r="A1014" s="178"/>
      <c r="B1014" s="36"/>
      <c r="C1014" s="36"/>
      <c r="D1014" s="197"/>
      <c r="E1014" s="180"/>
      <c r="F1014" s="181"/>
      <c r="G1014" s="205"/>
      <c r="H1014" s="205"/>
      <c r="I1014" s="205"/>
      <c r="J1014" s="205"/>
      <c r="K1014" s="205"/>
      <c r="L1014" s="205"/>
      <c r="M1014" s="186"/>
      <c r="N1014" s="186"/>
      <c r="O1014" s="186"/>
      <c r="P1014" s="186"/>
      <c r="Q1014" s="186"/>
      <c r="R1014" s="186"/>
      <c r="S1014" s="186"/>
      <c r="T1014" s="186"/>
      <c r="U1014" s="186"/>
      <c r="V1014" s="186"/>
      <c r="W1014" s="186"/>
      <c r="X1014" s="186"/>
      <c r="Y1014" s="186"/>
      <c r="Z1014" s="186"/>
      <c r="AA1014" s="186"/>
      <c r="AB1014" s="186"/>
      <c r="AC1014" s="186"/>
      <c r="AD1014" s="186"/>
      <c r="AE1014" s="186"/>
    </row>
    <row r="1015">
      <c r="A1015" s="178"/>
      <c r="B1015" s="36"/>
      <c r="C1015" s="36"/>
      <c r="D1015" s="197"/>
      <c r="E1015" s="180"/>
      <c r="F1015" s="181"/>
      <c r="G1015" s="205"/>
      <c r="H1015" s="205"/>
      <c r="I1015" s="205"/>
      <c r="J1015" s="205"/>
      <c r="K1015" s="205"/>
      <c r="L1015" s="205"/>
      <c r="M1015" s="186"/>
      <c r="N1015" s="186"/>
      <c r="O1015" s="186"/>
      <c r="P1015" s="186"/>
      <c r="Q1015" s="186"/>
      <c r="R1015" s="186"/>
      <c r="S1015" s="186"/>
      <c r="T1015" s="186"/>
      <c r="U1015" s="186"/>
      <c r="V1015" s="186"/>
      <c r="W1015" s="186"/>
      <c r="X1015" s="186"/>
      <c r="Y1015" s="186"/>
      <c r="Z1015" s="186"/>
      <c r="AA1015" s="186"/>
      <c r="AB1015" s="186"/>
      <c r="AC1015" s="186"/>
      <c r="AD1015" s="186"/>
      <c r="AE1015" s="186"/>
    </row>
    <row r="1016">
      <c r="A1016" s="178"/>
      <c r="B1016" s="36"/>
      <c r="C1016" s="36"/>
      <c r="D1016" s="197"/>
      <c r="E1016" s="180"/>
      <c r="F1016" s="181"/>
      <c r="G1016" s="205"/>
      <c r="H1016" s="205"/>
      <c r="I1016" s="205"/>
      <c r="J1016" s="205"/>
      <c r="K1016" s="205"/>
      <c r="L1016" s="205"/>
      <c r="M1016" s="186"/>
      <c r="N1016" s="186"/>
      <c r="O1016" s="186"/>
      <c r="P1016" s="186"/>
      <c r="Q1016" s="186"/>
      <c r="R1016" s="186"/>
      <c r="S1016" s="186"/>
      <c r="T1016" s="186"/>
      <c r="U1016" s="186"/>
      <c r="V1016" s="186"/>
      <c r="W1016" s="186"/>
      <c r="X1016" s="186"/>
      <c r="Y1016" s="186"/>
      <c r="Z1016" s="186"/>
      <c r="AA1016" s="186"/>
      <c r="AB1016" s="186"/>
      <c r="AC1016" s="186"/>
      <c r="AD1016" s="186"/>
      <c r="AE1016" s="186"/>
    </row>
    <row r="1017">
      <c r="A1017" s="178"/>
      <c r="B1017" s="36"/>
      <c r="C1017" s="36"/>
      <c r="D1017" s="197"/>
      <c r="E1017" s="180"/>
      <c r="F1017" s="181"/>
      <c r="G1017" s="205"/>
      <c r="H1017" s="205"/>
      <c r="I1017" s="205"/>
      <c r="J1017" s="205"/>
      <c r="K1017" s="205"/>
      <c r="L1017" s="205"/>
      <c r="M1017" s="186"/>
      <c r="N1017" s="186"/>
      <c r="O1017" s="186"/>
      <c r="P1017" s="186"/>
      <c r="Q1017" s="186"/>
      <c r="R1017" s="186"/>
      <c r="S1017" s="186"/>
      <c r="T1017" s="186"/>
      <c r="U1017" s="186"/>
      <c r="V1017" s="186"/>
      <c r="W1017" s="186"/>
      <c r="X1017" s="186"/>
      <c r="Y1017" s="186"/>
      <c r="Z1017" s="186"/>
      <c r="AA1017" s="186"/>
      <c r="AB1017" s="186"/>
      <c r="AC1017" s="186"/>
      <c r="AD1017" s="186"/>
      <c r="AE1017" s="186"/>
    </row>
    <row r="1018">
      <c r="A1018" s="178"/>
      <c r="B1018" s="36"/>
      <c r="C1018" s="36"/>
      <c r="D1018" s="197"/>
      <c r="E1018" s="180"/>
      <c r="F1018" s="181"/>
      <c r="G1018" s="205"/>
      <c r="H1018" s="205"/>
      <c r="I1018" s="205"/>
      <c r="J1018" s="205"/>
      <c r="K1018" s="205"/>
      <c r="L1018" s="205"/>
      <c r="M1018" s="186"/>
      <c r="N1018" s="186"/>
      <c r="O1018" s="186"/>
      <c r="P1018" s="186"/>
      <c r="Q1018" s="186"/>
      <c r="R1018" s="186"/>
      <c r="S1018" s="186"/>
      <c r="T1018" s="186"/>
      <c r="U1018" s="186"/>
      <c r="V1018" s="186"/>
      <c r="W1018" s="186"/>
      <c r="X1018" s="186"/>
      <c r="Y1018" s="186"/>
      <c r="Z1018" s="186"/>
      <c r="AA1018" s="186"/>
      <c r="AB1018" s="186"/>
      <c r="AC1018" s="186"/>
      <c r="AD1018" s="186"/>
      <c r="AE1018" s="186"/>
    </row>
    <row r="1019">
      <c r="A1019" s="178"/>
      <c r="B1019" s="36"/>
      <c r="C1019" s="36"/>
      <c r="D1019" s="197"/>
      <c r="E1019" s="180"/>
      <c r="F1019" s="181"/>
      <c r="G1019" s="205"/>
      <c r="H1019" s="205"/>
      <c r="I1019" s="205"/>
      <c r="J1019" s="205"/>
      <c r="K1019" s="205"/>
      <c r="L1019" s="205"/>
      <c r="M1019" s="186"/>
      <c r="N1019" s="186"/>
      <c r="O1019" s="186"/>
      <c r="P1019" s="186"/>
      <c r="Q1019" s="186"/>
      <c r="R1019" s="186"/>
      <c r="S1019" s="186"/>
      <c r="T1019" s="186"/>
      <c r="U1019" s="186"/>
      <c r="V1019" s="186"/>
      <c r="W1019" s="186"/>
      <c r="X1019" s="186"/>
      <c r="Y1019" s="186"/>
      <c r="Z1019" s="186"/>
      <c r="AA1019" s="186"/>
      <c r="AB1019" s="186"/>
      <c r="AC1019" s="186"/>
      <c r="AD1019" s="186"/>
      <c r="AE1019" s="186"/>
    </row>
    <row r="1020">
      <c r="A1020" s="178"/>
      <c r="B1020" s="36"/>
      <c r="C1020" s="36"/>
      <c r="D1020" s="197"/>
      <c r="E1020" s="180"/>
      <c r="F1020" s="181"/>
      <c r="G1020" s="205"/>
      <c r="H1020" s="205"/>
      <c r="I1020" s="205"/>
      <c r="J1020" s="205"/>
      <c r="K1020" s="205"/>
      <c r="L1020" s="205"/>
      <c r="M1020" s="186"/>
      <c r="N1020" s="186"/>
      <c r="O1020" s="186"/>
      <c r="P1020" s="186"/>
      <c r="Q1020" s="186"/>
      <c r="R1020" s="186"/>
      <c r="S1020" s="186"/>
      <c r="T1020" s="186"/>
      <c r="U1020" s="186"/>
      <c r="V1020" s="186"/>
      <c r="W1020" s="186"/>
      <c r="X1020" s="186"/>
      <c r="Y1020" s="186"/>
      <c r="Z1020" s="186"/>
      <c r="AA1020" s="186"/>
      <c r="AB1020" s="186"/>
      <c r="AC1020" s="186"/>
      <c r="AD1020" s="186"/>
      <c r="AE1020" s="186"/>
    </row>
    <row r="1021">
      <c r="A1021" s="178"/>
      <c r="B1021" s="36"/>
      <c r="C1021" s="36"/>
      <c r="D1021" s="197"/>
      <c r="E1021" s="180"/>
      <c r="F1021" s="181"/>
      <c r="G1021" s="205"/>
      <c r="H1021" s="205"/>
      <c r="I1021" s="205"/>
      <c r="J1021" s="205"/>
      <c r="K1021" s="205"/>
      <c r="L1021" s="205"/>
      <c r="M1021" s="186"/>
      <c r="N1021" s="186"/>
      <c r="O1021" s="186"/>
      <c r="P1021" s="186"/>
      <c r="Q1021" s="186"/>
      <c r="R1021" s="186"/>
      <c r="S1021" s="186"/>
      <c r="T1021" s="186"/>
      <c r="U1021" s="186"/>
      <c r="V1021" s="186"/>
      <c r="W1021" s="186"/>
      <c r="X1021" s="186"/>
      <c r="Y1021" s="186"/>
      <c r="Z1021" s="186"/>
      <c r="AA1021" s="186"/>
      <c r="AB1021" s="186"/>
      <c r="AC1021" s="186"/>
      <c r="AD1021" s="186"/>
      <c r="AE1021" s="186"/>
    </row>
    <row r="1022">
      <c r="A1022" s="178"/>
      <c r="B1022" s="36"/>
      <c r="C1022" s="36"/>
      <c r="D1022" s="197"/>
      <c r="E1022" s="180"/>
      <c r="F1022" s="181"/>
      <c r="G1022" s="205"/>
      <c r="H1022" s="205"/>
      <c r="I1022" s="205"/>
      <c r="J1022" s="205"/>
      <c r="K1022" s="205"/>
      <c r="L1022" s="205"/>
      <c r="M1022" s="186"/>
      <c r="N1022" s="186"/>
      <c r="O1022" s="186"/>
      <c r="P1022" s="186"/>
      <c r="Q1022" s="186"/>
      <c r="R1022" s="186"/>
      <c r="S1022" s="186"/>
      <c r="T1022" s="186"/>
      <c r="U1022" s="186"/>
      <c r="V1022" s="186"/>
      <c r="W1022" s="186"/>
      <c r="X1022" s="186"/>
      <c r="Y1022" s="186"/>
      <c r="Z1022" s="186"/>
      <c r="AA1022" s="186"/>
      <c r="AB1022" s="186"/>
      <c r="AC1022" s="186"/>
      <c r="AD1022" s="186"/>
      <c r="AE1022" s="186"/>
    </row>
    <row r="1023">
      <c r="A1023" s="178"/>
      <c r="B1023" s="36"/>
      <c r="C1023" s="36"/>
      <c r="D1023" s="197"/>
      <c r="E1023" s="180"/>
      <c r="F1023" s="181"/>
      <c r="G1023" s="205"/>
      <c r="H1023" s="205"/>
      <c r="I1023" s="205"/>
      <c r="J1023" s="205"/>
      <c r="K1023" s="205"/>
      <c r="L1023" s="205"/>
      <c r="M1023" s="186"/>
      <c r="N1023" s="186"/>
      <c r="O1023" s="186"/>
      <c r="P1023" s="186"/>
      <c r="Q1023" s="186"/>
      <c r="R1023" s="186"/>
      <c r="S1023" s="186"/>
      <c r="T1023" s="186"/>
      <c r="U1023" s="186"/>
      <c r="V1023" s="186"/>
      <c r="W1023" s="186"/>
      <c r="X1023" s="186"/>
      <c r="Y1023" s="186"/>
      <c r="Z1023" s="186"/>
      <c r="AA1023" s="186"/>
      <c r="AB1023" s="186"/>
      <c r="AC1023" s="186"/>
      <c r="AD1023" s="186"/>
      <c r="AE1023" s="186"/>
    </row>
    <row r="1024">
      <c r="A1024" s="178"/>
      <c r="B1024" s="36"/>
      <c r="C1024" s="36"/>
      <c r="D1024" s="197"/>
      <c r="E1024" s="180"/>
      <c r="F1024" s="181"/>
      <c r="G1024" s="205"/>
      <c r="H1024" s="205"/>
      <c r="I1024" s="205"/>
      <c r="J1024" s="205"/>
      <c r="K1024" s="205"/>
      <c r="L1024" s="205"/>
      <c r="M1024" s="186"/>
      <c r="N1024" s="186"/>
      <c r="O1024" s="186"/>
      <c r="P1024" s="186"/>
      <c r="Q1024" s="186"/>
      <c r="R1024" s="186"/>
      <c r="S1024" s="186"/>
      <c r="T1024" s="186"/>
      <c r="U1024" s="186"/>
      <c r="V1024" s="186"/>
      <c r="W1024" s="186"/>
      <c r="X1024" s="186"/>
      <c r="Y1024" s="186"/>
      <c r="Z1024" s="186"/>
      <c r="AA1024" s="186"/>
      <c r="AB1024" s="186"/>
      <c r="AC1024" s="186"/>
      <c r="AD1024" s="186"/>
      <c r="AE1024" s="186"/>
    </row>
    <row r="1025">
      <c r="A1025" s="178"/>
      <c r="B1025" s="36"/>
      <c r="C1025" s="36"/>
      <c r="D1025" s="197"/>
      <c r="E1025" s="180"/>
      <c r="F1025" s="181"/>
      <c r="G1025" s="205"/>
      <c r="H1025" s="205"/>
      <c r="I1025" s="205"/>
      <c r="J1025" s="205"/>
      <c r="K1025" s="205"/>
      <c r="L1025" s="205"/>
      <c r="M1025" s="186"/>
      <c r="N1025" s="186"/>
      <c r="O1025" s="186"/>
      <c r="P1025" s="186"/>
      <c r="Q1025" s="186"/>
      <c r="R1025" s="186"/>
      <c r="S1025" s="186"/>
      <c r="T1025" s="186"/>
      <c r="U1025" s="186"/>
      <c r="V1025" s="186"/>
      <c r="W1025" s="186"/>
      <c r="X1025" s="186"/>
      <c r="Y1025" s="186"/>
      <c r="Z1025" s="186"/>
      <c r="AA1025" s="186"/>
      <c r="AB1025" s="186"/>
      <c r="AC1025" s="186"/>
      <c r="AD1025" s="186"/>
      <c r="AE1025" s="186"/>
    </row>
    <row r="1026">
      <c r="A1026" s="178"/>
      <c r="B1026" s="36"/>
      <c r="C1026" s="36"/>
      <c r="D1026" s="197"/>
      <c r="E1026" s="180"/>
      <c r="F1026" s="181"/>
      <c r="G1026" s="205"/>
      <c r="H1026" s="205"/>
      <c r="I1026" s="205"/>
      <c r="J1026" s="205"/>
      <c r="K1026" s="205"/>
      <c r="L1026" s="205"/>
      <c r="M1026" s="186"/>
      <c r="N1026" s="186"/>
      <c r="O1026" s="186"/>
      <c r="P1026" s="186"/>
      <c r="Q1026" s="186"/>
      <c r="R1026" s="186"/>
      <c r="S1026" s="186"/>
      <c r="T1026" s="186"/>
      <c r="U1026" s="186"/>
      <c r="V1026" s="186"/>
      <c r="W1026" s="186"/>
      <c r="X1026" s="186"/>
      <c r="Y1026" s="186"/>
      <c r="Z1026" s="186"/>
      <c r="AA1026" s="186"/>
      <c r="AB1026" s="186"/>
      <c r="AC1026" s="186"/>
      <c r="AD1026" s="186"/>
      <c r="AE1026" s="186"/>
    </row>
    <row r="1027">
      <c r="A1027" s="178"/>
      <c r="B1027" s="36"/>
      <c r="C1027" s="36"/>
      <c r="D1027" s="197"/>
      <c r="E1027" s="180"/>
      <c r="F1027" s="181"/>
      <c r="G1027" s="205"/>
      <c r="H1027" s="205"/>
      <c r="I1027" s="205"/>
      <c r="J1027" s="205"/>
      <c r="K1027" s="205"/>
      <c r="L1027" s="205"/>
      <c r="M1027" s="186"/>
      <c r="N1027" s="186"/>
      <c r="O1027" s="186"/>
      <c r="P1027" s="186"/>
      <c r="Q1027" s="186"/>
      <c r="R1027" s="186"/>
      <c r="S1027" s="186"/>
      <c r="T1027" s="186"/>
      <c r="U1027" s="186"/>
      <c r="V1027" s="186"/>
      <c r="W1027" s="186"/>
      <c r="X1027" s="186"/>
      <c r="Y1027" s="186"/>
      <c r="Z1027" s="186"/>
      <c r="AA1027" s="186"/>
      <c r="AB1027" s="186"/>
      <c r="AC1027" s="186"/>
      <c r="AD1027" s="186"/>
      <c r="AE1027" s="186"/>
    </row>
    <row r="1028">
      <c r="A1028" s="178"/>
      <c r="B1028" s="36"/>
      <c r="C1028" s="36"/>
      <c r="D1028" s="197"/>
      <c r="E1028" s="180"/>
      <c r="F1028" s="181"/>
      <c r="G1028" s="205"/>
      <c r="H1028" s="205"/>
      <c r="I1028" s="205"/>
      <c r="J1028" s="205"/>
      <c r="K1028" s="205"/>
      <c r="L1028" s="205"/>
      <c r="M1028" s="186"/>
      <c r="N1028" s="186"/>
      <c r="O1028" s="186"/>
      <c r="P1028" s="186"/>
      <c r="Q1028" s="186"/>
      <c r="R1028" s="186"/>
      <c r="S1028" s="186"/>
      <c r="T1028" s="186"/>
      <c r="U1028" s="186"/>
      <c r="V1028" s="186"/>
      <c r="W1028" s="186"/>
      <c r="X1028" s="186"/>
      <c r="Y1028" s="186"/>
      <c r="Z1028" s="186"/>
      <c r="AA1028" s="186"/>
      <c r="AB1028" s="186"/>
      <c r="AC1028" s="186"/>
      <c r="AD1028" s="186"/>
      <c r="AE1028" s="186"/>
    </row>
    <row r="1029">
      <c r="A1029" s="178"/>
      <c r="B1029" s="36"/>
      <c r="C1029" s="36"/>
      <c r="D1029" s="197"/>
      <c r="E1029" s="180"/>
      <c r="F1029" s="181"/>
      <c r="G1029" s="205"/>
      <c r="H1029" s="205"/>
      <c r="I1029" s="205"/>
      <c r="J1029" s="205"/>
      <c r="K1029" s="205"/>
      <c r="L1029" s="205"/>
      <c r="M1029" s="186"/>
      <c r="N1029" s="186"/>
      <c r="O1029" s="186"/>
      <c r="P1029" s="186"/>
      <c r="Q1029" s="186"/>
      <c r="R1029" s="186"/>
      <c r="S1029" s="186"/>
      <c r="T1029" s="186"/>
      <c r="U1029" s="186"/>
      <c r="V1029" s="186"/>
      <c r="W1029" s="186"/>
      <c r="X1029" s="186"/>
      <c r="Y1029" s="186"/>
      <c r="Z1029" s="186"/>
      <c r="AA1029" s="186"/>
      <c r="AB1029" s="186"/>
      <c r="AC1029" s="186"/>
      <c r="AD1029" s="186"/>
      <c r="AE1029" s="186"/>
    </row>
    <row r="1030">
      <c r="A1030" s="178"/>
      <c r="B1030" s="36"/>
      <c r="C1030" s="36"/>
      <c r="D1030" s="197"/>
      <c r="E1030" s="180"/>
      <c r="F1030" s="181"/>
      <c r="G1030" s="205"/>
      <c r="H1030" s="205"/>
      <c r="I1030" s="205"/>
      <c r="J1030" s="205"/>
      <c r="K1030" s="205"/>
      <c r="L1030" s="205"/>
      <c r="M1030" s="186"/>
      <c r="N1030" s="186"/>
      <c r="O1030" s="186"/>
      <c r="P1030" s="186"/>
      <c r="Q1030" s="186"/>
      <c r="R1030" s="186"/>
      <c r="S1030" s="186"/>
      <c r="T1030" s="186"/>
      <c r="U1030" s="186"/>
      <c r="V1030" s="186"/>
      <c r="W1030" s="186"/>
      <c r="X1030" s="186"/>
      <c r="Y1030" s="186"/>
      <c r="Z1030" s="186"/>
      <c r="AA1030" s="186"/>
      <c r="AB1030" s="186"/>
      <c r="AC1030" s="186"/>
      <c r="AD1030" s="186"/>
      <c r="AE1030" s="186"/>
    </row>
    <row r="1031">
      <c r="A1031" s="178"/>
      <c r="B1031" s="36"/>
      <c r="C1031" s="36"/>
      <c r="D1031" s="197"/>
      <c r="E1031" s="180"/>
      <c r="F1031" s="181"/>
      <c r="G1031" s="205"/>
      <c r="H1031" s="205"/>
      <c r="I1031" s="205"/>
      <c r="J1031" s="205"/>
      <c r="K1031" s="205"/>
      <c r="L1031" s="205"/>
      <c r="M1031" s="186"/>
      <c r="N1031" s="186"/>
      <c r="O1031" s="186"/>
      <c r="P1031" s="186"/>
      <c r="Q1031" s="186"/>
      <c r="R1031" s="186"/>
      <c r="S1031" s="186"/>
      <c r="T1031" s="186"/>
      <c r="U1031" s="186"/>
      <c r="V1031" s="186"/>
      <c r="W1031" s="186"/>
      <c r="X1031" s="186"/>
      <c r="Y1031" s="186"/>
      <c r="Z1031" s="186"/>
      <c r="AA1031" s="186"/>
      <c r="AB1031" s="186"/>
      <c r="AC1031" s="186"/>
      <c r="AD1031" s="186"/>
      <c r="AE1031" s="186"/>
    </row>
    <row r="1032">
      <c r="A1032" s="178"/>
      <c r="B1032" s="36"/>
      <c r="C1032" s="36"/>
      <c r="D1032" s="197"/>
      <c r="E1032" s="180"/>
      <c r="F1032" s="181"/>
      <c r="G1032" s="205"/>
      <c r="H1032" s="205"/>
      <c r="I1032" s="205"/>
      <c r="J1032" s="205"/>
      <c r="K1032" s="205"/>
      <c r="L1032" s="205"/>
      <c r="M1032" s="186"/>
      <c r="N1032" s="186"/>
      <c r="O1032" s="186"/>
      <c r="P1032" s="186"/>
      <c r="Q1032" s="186"/>
      <c r="R1032" s="186"/>
      <c r="S1032" s="186"/>
      <c r="T1032" s="186"/>
      <c r="U1032" s="186"/>
      <c r="V1032" s="186"/>
      <c r="W1032" s="186"/>
      <c r="X1032" s="186"/>
      <c r="Y1032" s="186"/>
      <c r="Z1032" s="186"/>
      <c r="AA1032" s="186"/>
      <c r="AB1032" s="186"/>
      <c r="AC1032" s="186"/>
      <c r="AD1032" s="186"/>
      <c r="AE1032" s="186"/>
    </row>
    <row r="1033">
      <c r="A1033" s="178"/>
      <c r="B1033" s="36"/>
      <c r="C1033" s="36"/>
      <c r="D1033" s="197"/>
      <c r="E1033" s="180"/>
      <c r="F1033" s="181"/>
      <c r="G1033" s="205"/>
      <c r="H1033" s="205"/>
      <c r="I1033" s="205"/>
      <c r="J1033" s="205"/>
      <c r="K1033" s="205"/>
      <c r="L1033" s="205"/>
      <c r="M1033" s="186"/>
      <c r="N1033" s="186"/>
      <c r="O1033" s="186"/>
      <c r="P1033" s="186"/>
      <c r="Q1033" s="186"/>
      <c r="R1033" s="186"/>
      <c r="S1033" s="186"/>
      <c r="T1033" s="186"/>
      <c r="U1033" s="186"/>
      <c r="V1033" s="186"/>
      <c r="W1033" s="186"/>
      <c r="X1033" s="186"/>
      <c r="Y1033" s="186"/>
      <c r="Z1033" s="186"/>
      <c r="AA1033" s="186"/>
      <c r="AB1033" s="186"/>
      <c r="AC1033" s="186"/>
      <c r="AD1033" s="186"/>
      <c r="AE1033" s="186"/>
    </row>
    <row r="1034">
      <c r="A1034" s="178"/>
      <c r="B1034" s="36"/>
      <c r="C1034" s="36"/>
      <c r="D1034" s="197"/>
      <c r="E1034" s="180"/>
      <c r="F1034" s="181"/>
      <c r="G1034" s="205"/>
      <c r="H1034" s="205"/>
      <c r="I1034" s="205"/>
      <c r="J1034" s="205"/>
      <c r="K1034" s="205"/>
      <c r="L1034" s="205"/>
      <c r="M1034" s="186"/>
      <c r="N1034" s="186"/>
      <c r="O1034" s="186"/>
      <c r="P1034" s="186"/>
      <c r="Q1034" s="186"/>
      <c r="R1034" s="186"/>
      <c r="S1034" s="186"/>
      <c r="T1034" s="186"/>
      <c r="U1034" s="186"/>
      <c r="V1034" s="186"/>
      <c r="W1034" s="186"/>
      <c r="X1034" s="186"/>
      <c r="Y1034" s="186"/>
      <c r="Z1034" s="186"/>
      <c r="AA1034" s="186"/>
      <c r="AB1034" s="186"/>
      <c r="AC1034" s="186"/>
      <c r="AD1034" s="186"/>
      <c r="AE1034" s="186"/>
    </row>
    <row r="1035">
      <c r="A1035" s="178"/>
      <c r="B1035" s="36"/>
      <c r="C1035" s="36"/>
      <c r="D1035" s="197"/>
      <c r="E1035" s="180"/>
      <c r="F1035" s="181"/>
      <c r="G1035" s="205"/>
      <c r="H1035" s="205"/>
      <c r="I1035" s="205"/>
      <c r="J1035" s="205"/>
      <c r="K1035" s="205"/>
      <c r="L1035" s="205"/>
      <c r="M1035" s="186"/>
      <c r="N1035" s="186"/>
      <c r="O1035" s="186"/>
      <c r="P1035" s="186"/>
      <c r="Q1035" s="186"/>
      <c r="R1035" s="186"/>
      <c r="S1035" s="186"/>
      <c r="T1035" s="186"/>
      <c r="U1035" s="186"/>
      <c r="V1035" s="186"/>
      <c r="W1035" s="186"/>
      <c r="X1035" s="186"/>
      <c r="Y1035" s="186"/>
      <c r="Z1035" s="186"/>
      <c r="AA1035" s="186"/>
      <c r="AB1035" s="186"/>
      <c r="AC1035" s="186"/>
      <c r="AD1035" s="186"/>
      <c r="AE1035" s="186"/>
    </row>
    <row r="1036">
      <c r="A1036" s="178"/>
      <c r="B1036" s="36"/>
      <c r="C1036" s="36"/>
      <c r="D1036" s="197"/>
      <c r="E1036" s="180"/>
      <c r="F1036" s="181"/>
      <c r="G1036" s="205"/>
      <c r="H1036" s="205"/>
      <c r="I1036" s="205"/>
      <c r="J1036" s="205"/>
      <c r="K1036" s="205"/>
      <c r="L1036" s="205"/>
      <c r="M1036" s="186"/>
      <c r="N1036" s="186"/>
      <c r="O1036" s="186"/>
      <c r="P1036" s="186"/>
      <c r="Q1036" s="186"/>
      <c r="R1036" s="186"/>
      <c r="S1036" s="186"/>
      <c r="T1036" s="186"/>
      <c r="U1036" s="186"/>
      <c r="V1036" s="186"/>
      <c r="W1036" s="186"/>
      <c r="X1036" s="186"/>
      <c r="Y1036" s="186"/>
      <c r="Z1036" s="186"/>
      <c r="AA1036" s="186"/>
      <c r="AB1036" s="186"/>
      <c r="AC1036" s="186"/>
      <c r="AD1036" s="186"/>
      <c r="AE1036" s="186"/>
    </row>
    <row r="1037">
      <c r="A1037" s="178"/>
      <c r="B1037" s="36"/>
      <c r="C1037" s="36"/>
      <c r="D1037" s="197"/>
      <c r="E1037" s="180"/>
      <c r="F1037" s="181"/>
      <c r="G1037" s="205"/>
      <c r="H1037" s="205"/>
      <c r="I1037" s="205"/>
      <c r="J1037" s="205"/>
      <c r="K1037" s="205"/>
      <c r="L1037" s="205"/>
      <c r="M1037" s="186"/>
      <c r="N1037" s="186"/>
      <c r="O1037" s="186"/>
      <c r="P1037" s="186"/>
      <c r="Q1037" s="186"/>
      <c r="R1037" s="186"/>
      <c r="S1037" s="186"/>
      <c r="T1037" s="186"/>
      <c r="U1037" s="186"/>
      <c r="V1037" s="186"/>
      <c r="W1037" s="186"/>
      <c r="X1037" s="186"/>
      <c r="Y1037" s="186"/>
      <c r="Z1037" s="186"/>
      <c r="AA1037" s="186"/>
      <c r="AB1037" s="186"/>
      <c r="AC1037" s="186"/>
      <c r="AD1037" s="186"/>
      <c r="AE1037" s="186"/>
    </row>
    <row r="1038">
      <c r="A1038" s="178"/>
      <c r="B1038" s="36"/>
      <c r="C1038" s="36"/>
      <c r="D1038" s="197"/>
      <c r="E1038" s="180"/>
      <c r="F1038" s="181"/>
      <c r="G1038" s="205"/>
      <c r="H1038" s="205"/>
      <c r="I1038" s="205"/>
      <c r="J1038" s="205"/>
      <c r="K1038" s="205"/>
      <c r="L1038" s="205"/>
      <c r="M1038" s="186"/>
      <c r="N1038" s="186"/>
      <c r="O1038" s="186"/>
      <c r="P1038" s="186"/>
      <c r="Q1038" s="186"/>
      <c r="R1038" s="186"/>
      <c r="S1038" s="186"/>
      <c r="T1038" s="186"/>
      <c r="U1038" s="186"/>
      <c r="V1038" s="186"/>
      <c r="W1038" s="186"/>
      <c r="X1038" s="186"/>
      <c r="Y1038" s="186"/>
      <c r="Z1038" s="186"/>
      <c r="AA1038" s="186"/>
      <c r="AB1038" s="186"/>
      <c r="AC1038" s="186"/>
      <c r="AD1038" s="186"/>
      <c r="AE1038" s="186"/>
    </row>
    <row r="1039">
      <c r="A1039" s="178"/>
      <c r="B1039" s="36"/>
      <c r="C1039" s="36"/>
      <c r="D1039" s="197"/>
      <c r="E1039" s="180"/>
      <c r="F1039" s="181"/>
      <c r="G1039" s="205"/>
      <c r="H1039" s="205"/>
      <c r="I1039" s="205"/>
      <c r="J1039" s="205"/>
      <c r="K1039" s="205"/>
      <c r="L1039" s="205"/>
      <c r="M1039" s="186"/>
      <c r="N1039" s="186"/>
      <c r="O1039" s="186"/>
      <c r="P1039" s="186"/>
      <c r="Q1039" s="186"/>
      <c r="R1039" s="186"/>
      <c r="S1039" s="186"/>
      <c r="T1039" s="186"/>
      <c r="U1039" s="186"/>
      <c r="V1039" s="186"/>
      <c r="W1039" s="186"/>
      <c r="X1039" s="186"/>
      <c r="Y1039" s="186"/>
      <c r="Z1039" s="186"/>
      <c r="AA1039" s="186"/>
      <c r="AB1039" s="186"/>
      <c r="AC1039" s="186"/>
      <c r="AD1039" s="186"/>
      <c r="AE1039" s="186"/>
    </row>
    <row r="1040">
      <c r="A1040" s="178"/>
      <c r="B1040" s="36"/>
      <c r="C1040" s="36"/>
      <c r="D1040" s="197"/>
      <c r="E1040" s="180"/>
      <c r="F1040" s="181"/>
      <c r="G1040" s="205"/>
      <c r="H1040" s="205"/>
      <c r="I1040" s="205"/>
      <c r="J1040" s="205"/>
      <c r="K1040" s="205"/>
      <c r="L1040" s="205"/>
      <c r="M1040" s="186"/>
      <c r="N1040" s="186"/>
      <c r="O1040" s="186"/>
      <c r="P1040" s="186"/>
      <c r="Q1040" s="186"/>
      <c r="R1040" s="186"/>
      <c r="S1040" s="186"/>
      <c r="T1040" s="186"/>
      <c r="U1040" s="186"/>
      <c r="V1040" s="186"/>
      <c r="W1040" s="186"/>
      <c r="X1040" s="186"/>
      <c r="Y1040" s="186"/>
      <c r="Z1040" s="186"/>
      <c r="AA1040" s="186"/>
      <c r="AB1040" s="186"/>
      <c r="AC1040" s="186"/>
      <c r="AD1040" s="186"/>
      <c r="AE1040" s="186"/>
    </row>
    <row r="1041">
      <c r="A1041" s="178"/>
      <c r="B1041" s="36"/>
      <c r="C1041" s="36"/>
      <c r="D1041" s="197"/>
      <c r="E1041" s="180"/>
      <c r="F1041" s="181"/>
      <c r="G1041" s="205"/>
      <c r="H1041" s="205"/>
      <c r="I1041" s="205"/>
      <c r="J1041" s="205"/>
      <c r="K1041" s="205"/>
      <c r="L1041" s="205"/>
      <c r="M1041" s="186"/>
      <c r="N1041" s="186"/>
      <c r="O1041" s="186"/>
      <c r="P1041" s="186"/>
      <c r="Q1041" s="186"/>
      <c r="R1041" s="186"/>
      <c r="S1041" s="186"/>
      <c r="T1041" s="186"/>
      <c r="U1041" s="186"/>
      <c r="V1041" s="186"/>
      <c r="W1041" s="186"/>
      <c r="X1041" s="186"/>
      <c r="Y1041" s="186"/>
      <c r="Z1041" s="186"/>
      <c r="AA1041" s="186"/>
      <c r="AB1041" s="186"/>
      <c r="AC1041" s="186"/>
      <c r="AD1041" s="186"/>
      <c r="AE1041" s="186"/>
    </row>
    <row r="1042">
      <c r="A1042" s="178"/>
      <c r="B1042" s="36"/>
      <c r="C1042" s="36"/>
      <c r="D1042" s="197"/>
      <c r="E1042" s="180"/>
      <c r="F1042" s="181"/>
      <c r="G1042" s="205"/>
      <c r="H1042" s="205"/>
      <c r="I1042" s="205"/>
      <c r="J1042" s="205"/>
      <c r="K1042" s="205"/>
      <c r="L1042" s="205"/>
      <c r="M1042" s="186"/>
      <c r="N1042" s="186"/>
      <c r="O1042" s="186"/>
      <c r="P1042" s="186"/>
      <c r="Q1042" s="186"/>
      <c r="R1042" s="186"/>
      <c r="S1042" s="186"/>
      <c r="T1042" s="186"/>
      <c r="U1042" s="186"/>
      <c r="V1042" s="186"/>
      <c r="W1042" s="186"/>
      <c r="X1042" s="186"/>
      <c r="Y1042" s="186"/>
      <c r="Z1042" s="186"/>
      <c r="AA1042" s="186"/>
      <c r="AB1042" s="186"/>
      <c r="AC1042" s="186"/>
      <c r="AD1042" s="186"/>
      <c r="AE1042" s="186"/>
    </row>
    <row r="1043">
      <c r="A1043" s="178"/>
      <c r="B1043" s="36"/>
      <c r="C1043" s="36"/>
      <c r="D1043" s="197"/>
      <c r="E1043" s="180"/>
      <c r="F1043" s="181"/>
      <c r="G1043" s="205"/>
      <c r="H1043" s="205"/>
      <c r="I1043" s="205"/>
      <c r="J1043" s="205"/>
      <c r="K1043" s="205"/>
      <c r="L1043" s="205"/>
      <c r="M1043" s="186"/>
      <c r="N1043" s="186"/>
      <c r="O1043" s="186"/>
      <c r="P1043" s="186"/>
      <c r="Q1043" s="186"/>
      <c r="R1043" s="186"/>
      <c r="S1043" s="186"/>
      <c r="T1043" s="186"/>
      <c r="U1043" s="186"/>
      <c r="V1043" s="186"/>
      <c r="W1043" s="186"/>
      <c r="X1043" s="186"/>
      <c r="Y1043" s="186"/>
      <c r="Z1043" s="186"/>
      <c r="AA1043" s="186"/>
      <c r="AB1043" s="186"/>
      <c r="AC1043" s="186"/>
      <c r="AD1043" s="186"/>
      <c r="AE1043" s="186"/>
    </row>
    <row r="1044">
      <c r="A1044" s="178"/>
      <c r="B1044" s="36"/>
      <c r="C1044" s="36"/>
      <c r="D1044" s="197"/>
      <c r="E1044" s="180"/>
      <c r="F1044" s="181"/>
      <c r="G1044" s="205"/>
      <c r="H1044" s="205"/>
      <c r="I1044" s="205"/>
      <c r="J1044" s="205"/>
      <c r="K1044" s="205"/>
      <c r="L1044" s="205"/>
      <c r="M1044" s="186"/>
      <c r="N1044" s="186"/>
      <c r="O1044" s="186"/>
      <c r="P1044" s="186"/>
      <c r="Q1044" s="186"/>
      <c r="R1044" s="186"/>
      <c r="S1044" s="186"/>
      <c r="T1044" s="186"/>
      <c r="U1044" s="186"/>
      <c r="V1044" s="186"/>
      <c r="W1044" s="186"/>
      <c r="X1044" s="186"/>
      <c r="Y1044" s="186"/>
      <c r="Z1044" s="186"/>
      <c r="AA1044" s="186"/>
      <c r="AB1044" s="186"/>
      <c r="AC1044" s="186"/>
      <c r="AD1044" s="186"/>
      <c r="AE1044" s="186"/>
    </row>
    <row r="1045">
      <c r="A1045" s="178"/>
      <c r="B1045" s="36"/>
      <c r="C1045" s="36"/>
      <c r="D1045" s="197"/>
      <c r="E1045" s="180"/>
      <c r="F1045" s="181"/>
      <c r="G1045" s="205"/>
      <c r="H1045" s="205"/>
      <c r="I1045" s="205"/>
      <c r="J1045" s="205"/>
      <c r="K1045" s="205"/>
      <c r="L1045" s="205"/>
      <c r="M1045" s="186"/>
      <c r="N1045" s="186"/>
      <c r="O1045" s="186"/>
      <c r="P1045" s="186"/>
      <c r="Q1045" s="186"/>
      <c r="R1045" s="186"/>
      <c r="S1045" s="186"/>
      <c r="T1045" s="186"/>
      <c r="U1045" s="186"/>
      <c r="V1045" s="186"/>
      <c r="W1045" s="186"/>
      <c r="X1045" s="186"/>
      <c r="Y1045" s="186"/>
      <c r="Z1045" s="186"/>
      <c r="AA1045" s="186"/>
      <c r="AB1045" s="186"/>
      <c r="AC1045" s="186"/>
      <c r="AD1045" s="186"/>
      <c r="AE1045" s="186"/>
    </row>
    <row r="1046">
      <c r="A1046" s="178"/>
      <c r="B1046" s="36"/>
      <c r="C1046" s="36"/>
      <c r="D1046" s="197"/>
      <c r="E1046" s="180"/>
      <c r="F1046" s="181"/>
      <c r="G1046" s="205"/>
      <c r="H1046" s="205"/>
      <c r="I1046" s="205"/>
      <c r="J1046" s="205"/>
      <c r="K1046" s="205"/>
      <c r="L1046" s="205"/>
      <c r="M1046" s="186"/>
      <c r="N1046" s="186"/>
      <c r="O1046" s="186"/>
      <c r="P1046" s="186"/>
      <c r="Q1046" s="186"/>
      <c r="R1046" s="186"/>
      <c r="S1046" s="186"/>
      <c r="T1046" s="186"/>
      <c r="U1046" s="186"/>
      <c r="V1046" s="186"/>
      <c r="W1046" s="186"/>
      <c r="X1046" s="186"/>
      <c r="Y1046" s="186"/>
      <c r="Z1046" s="186"/>
      <c r="AA1046" s="186"/>
      <c r="AB1046" s="186"/>
      <c r="AC1046" s="186"/>
      <c r="AD1046" s="186"/>
      <c r="AE1046" s="186"/>
    </row>
    <row r="1047">
      <c r="A1047" s="178"/>
      <c r="B1047" s="36"/>
      <c r="C1047" s="36"/>
      <c r="D1047" s="197"/>
      <c r="E1047" s="180"/>
      <c r="F1047" s="181"/>
      <c r="G1047" s="205"/>
      <c r="H1047" s="205"/>
      <c r="I1047" s="205"/>
      <c r="J1047" s="205"/>
      <c r="K1047" s="205"/>
      <c r="L1047" s="205"/>
      <c r="M1047" s="186"/>
      <c r="N1047" s="186"/>
      <c r="O1047" s="186"/>
      <c r="P1047" s="186"/>
      <c r="Q1047" s="186"/>
      <c r="R1047" s="186"/>
      <c r="S1047" s="186"/>
      <c r="T1047" s="186"/>
      <c r="U1047" s="186"/>
      <c r="V1047" s="186"/>
      <c r="W1047" s="186"/>
      <c r="X1047" s="186"/>
      <c r="Y1047" s="186"/>
      <c r="Z1047" s="186"/>
      <c r="AA1047" s="186"/>
      <c r="AB1047" s="186"/>
      <c r="AC1047" s="186"/>
      <c r="AD1047" s="186"/>
      <c r="AE1047" s="186"/>
    </row>
    <row r="1048">
      <c r="A1048" s="178"/>
      <c r="B1048" s="36"/>
      <c r="C1048" s="36"/>
      <c r="D1048" s="197"/>
      <c r="E1048" s="180"/>
      <c r="F1048" s="181"/>
      <c r="G1048" s="205"/>
      <c r="H1048" s="205"/>
      <c r="I1048" s="205"/>
      <c r="J1048" s="205"/>
      <c r="K1048" s="205"/>
      <c r="L1048" s="205"/>
      <c r="M1048" s="186"/>
      <c r="N1048" s="186"/>
      <c r="O1048" s="186"/>
      <c r="P1048" s="186"/>
      <c r="Q1048" s="186"/>
      <c r="R1048" s="186"/>
      <c r="S1048" s="186"/>
      <c r="T1048" s="186"/>
      <c r="U1048" s="186"/>
      <c r="V1048" s="186"/>
      <c r="W1048" s="186"/>
      <c r="X1048" s="186"/>
      <c r="Y1048" s="186"/>
      <c r="Z1048" s="186"/>
      <c r="AA1048" s="186"/>
      <c r="AB1048" s="186"/>
      <c r="AC1048" s="186"/>
      <c r="AD1048" s="186"/>
      <c r="AE1048" s="186"/>
    </row>
    <row r="1049">
      <c r="A1049" s="178"/>
      <c r="B1049" s="36"/>
      <c r="C1049" s="36"/>
      <c r="D1049" s="197"/>
      <c r="E1049" s="180"/>
      <c r="F1049" s="181"/>
      <c r="G1049" s="205"/>
      <c r="H1049" s="205"/>
      <c r="I1049" s="205"/>
      <c r="J1049" s="205"/>
      <c r="K1049" s="205"/>
      <c r="L1049" s="205"/>
      <c r="M1049" s="186"/>
      <c r="N1049" s="186"/>
      <c r="O1049" s="186"/>
      <c r="P1049" s="186"/>
      <c r="Q1049" s="186"/>
      <c r="R1049" s="186"/>
      <c r="S1049" s="186"/>
      <c r="T1049" s="186"/>
      <c r="U1049" s="186"/>
      <c r="V1049" s="186"/>
      <c r="W1049" s="186"/>
      <c r="X1049" s="186"/>
      <c r="Y1049" s="186"/>
      <c r="Z1049" s="186"/>
      <c r="AA1049" s="186"/>
      <c r="AB1049" s="186"/>
      <c r="AC1049" s="186"/>
      <c r="AD1049" s="186"/>
      <c r="AE1049" s="186"/>
    </row>
    <row r="1050">
      <c r="A1050" s="178"/>
      <c r="B1050" s="36"/>
      <c r="C1050" s="36"/>
      <c r="D1050" s="197"/>
      <c r="E1050" s="180"/>
      <c r="F1050" s="181"/>
      <c r="G1050" s="205"/>
      <c r="H1050" s="205"/>
      <c r="I1050" s="205"/>
      <c r="J1050" s="205"/>
      <c r="K1050" s="205"/>
      <c r="L1050" s="205"/>
      <c r="M1050" s="186"/>
      <c r="N1050" s="186"/>
      <c r="O1050" s="186"/>
      <c r="P1050" s="186"/>
      <c r="Q1050" s="186"/>
      <c r="R1050" s="186"/>
      <c r="S1050" s="186"/>
      <c r="T1050" s="186"/>
      <c r="U1050" s="186"/>
      <c r="V1050" s="186"/>
      <c r="W1050" s="186"/>
      <c r="X1050" s="186"/>
      <c r="Y1050" s="186"/>
      <c r="Z1050" s="186"/>
      <c r="AA1050" s="186"/>
      <c r="AB1050" s="186"/>
      <c r="AC1050" s="186"/>
      <c r="AD1050" s="186"/>
      <c r="AE1050" s="186"/>
    </row>
    <row r="1051">
      <c r="A1051" s="178"/>
      <c r="B1051" s="36"/>
      <c r="C1051" s="36"/>
      <c r="D1051" s="197"/>
      <c r="E1051" s="180"/>
      <c r="F1051" s="181"/>
      <c r="G1051" s="205"/>
      <c r="H1051" s="205"/>
      <c r="I1051" s="205"/>
      <c r="J1051" s="205"/>
      <c r="K1051" s="205"/>
      <c r="L1051" s="205"/>
      <c r="M1051" s="186"/>
      <c r="N1051" s="186"/>
      <c r="O1051" s="186"/>
      <c r="P1051" s="186"/>
      <c r="Q1051" s="186"/>
      <c r="R1051" s="186"/>
      <c r="S1051" s="186"/>
      <c r="T1051" s="186"/>
      <c r="U1051" s="186"/>
      <c r="V1051" s="186"/>
      <c r="W1051" s="186"/>
      <c r="X1051" s="186"/>
      <c r="Y1051" s="186"/>
      <c r="Z1051" s="186"/>
      <c r="AA1051" s="186"/>
      <c r="AB1051" s="186"/>
      <c r="AC1051" s="186"/>
      <c r="AD1051" s="186"/>
      <c r="AE1051" s="186"/>
    </row>
    <row r="1052">
      <c r="A1052" s="178"/>
      <c r="B1052" s="36"/>
      <c r="C1052" s="36"/>
      <c r="D1052" s="197"/>
      <c r="E1052" s="180"/>
      <c r="F1052" s="181"/>
      <c r="G1052" s="205"/>
      <c r="H1052" s="205"/>
      <c r="I1052" s="205"/>
      <c r="J1052" s="205"/>
      <c r="K1052" s="205"/>
      <c r="L1052" s="205"/>
      <c r="M1052" s="186"/>
      <c r="N1052" s="186"/>
      <c r="O1052" s="186"/>
      <c r="P1052" s="186"/>
      <c r="Q1052" s="186"/>
      <c r="R1052" s="186"/>
      <c r="S1052" s="186"/>
      <c r="T1052" s="186"/>
      <c r="U1052" s="186"/>
      <c r="V1052" s="186"/>
      <c r="W1052" s="186"/>
      <c r="X1052" s="186"/>
      <c r="Y1052" s="186"/>
      <c r="Z1052" s="186"/>
      <c r="AA1052" s="186"/>
      <c r="AB1052" s="186"/>
      <c r="AC1052" s="186"/>
      <c r="AD1052" s="186"/>
      <c r="AE1052" s="186"/>
    </row>
    <row r="1053">
      <c r="A1053" s="178"/>
      <c r="B1053" s="36"/>
      <c r="C1053" s="36"/>
      <c r="D1053" s="197"/>
      <c r="E1053" s="180"/>
      <c r="F1053" s="181"/>
      <c r="G1053" s="205"/>
      <c r="H1053" s="205"/>
      <c r="I1053" s="205"/>
      <c r="J1053" s="205"/>
      <c r="K1053" s="205"/>
      <c r="L1053" s="205"/>
      <c r="M1053" s="186"/>
      <c r="N1053" s="186"/>
      <c r="O1053" s="186"/>
      <c r="P1053" s="186"/>
      <c r="Q1053" s="186"/>
      <c r="R1053" s="186"/>
      <c r="S1053" s="186"/>
      <c r="T1053" s="186"/>
      <c r="U1053" s="186"/>
      <c r="V1053" s="186"/>
      <c r="W1053" s="186"/>
      <c r="X1053" s="186"/>
      <c r="Y1053" s="186"/>
      <c r="Z1053" s="186"/>
      <c r="AA1053" s="186"/>
      <c r="AB1053" s="186"/>
      <c r="AC1053" s="186"/>
      <c r="AD1053" s="186"/>
      <c r="AE1053" s="186"/>
    </row>
    <row r="1054">
      <c r="A1054" s="178"/>
      <c r="B1054" s="36"/>
      <c r="C1054" s="36"/>
      <c r="D1054" s="197"/>
      <c r="E1054" s="180"/>
      <c r="F1054" s="181"/>
      <c r="G1054" s="205"/>
      <c r="H1054" s="205"/>
      <c r="I1054" s="205"/>
      <c r="J1054" s="205"/>
      <c r="K1054" s="205"/>
      <c r="L1054" s="205"/>
      <c r="M1054" s="186"/>
      <c r="N1054" s="186"/>
      <c r="O1054" s="186"/>
      <c r="P1054" s="186"/>
      <c r="Q1054" s="186"/>
      <c r="R1054" s="186"/>
      <c r="S1054" s="186"/>
      <c r="T1054" s="186"/>
      <c r="U1054" s="186"/>
      <c r="V1054" s="186"/>
      <c r="W1054" s="186"/>
      <c r="X1054" s="186"/>
      <c r="Y1054" s="186"/>
      <c r="Z1054" s="186"/>
      <c r="AA1054" s="186"/>
      <c r="AB1054" s="186"/>
      <c r="AC1054" s="186"/>
      <c r="AD1054" s="186"/>
      <c r="AE1054" s="186"/>
    </row>
    <row r="1055">
      <c r="A1055" s="178"/>
      <c r="B1055" s="36"/>
      <c r="C1055" s="36"/>
      <c r="D1055" s="197"/>
      <c r="E1055" s="180"/>
      <c r="F1055" s="181"/>
      <c r="G1055" s="205"/>
      <c r="H1055" s="205"/>
      <c r="I1055" s="205"/>
      <c r="J1055" s="205"/>
      <c r="K1055" s="205"/>
      <c r="L1055" s="205"/>
      <c r="M1055" s="186"/>
      <c r="N1055" s="186"/>
      <c r="O1055" s="186"/>
      <c r="P1055" s="186"/>
      <c r="Q1055" s="186"/>
      <c r="R1055" s="186"/>
      <c r="S1055" s="186"/>
      <c r="T1055" s="186"/>
      <c r="U1055" s="186"/>
      <c r="V1055" s="186"/>
      <c r="W1055" s="186"/>
      <c r="X1055" s="186"/>
      <c r="Y1055" s="186"/>
      <c r="Z1055" s="186"/>
      <c r="AA1055" s="186"/>
      <c r="AB1055" s="186"/>
      <c r="AC1055" s="186"/>
      <c r="AD1055" s="186"/>
      <c r="AE1055" s="186"/>
    </row>
    <row r="1056">
      <c r="A1056" s="178"/>
      <c r="B1056" s="36"/>
      <c r="C1056" s="36"/>
      <c r="D1056" s="197"/>
      <c r="E1056" s="180"/>
      <c r="F1056" s="181"/>
      <c r="G1056" s="205"/>
      <c r="H1056" s="205"/>
      <c r="I1056" s="205"/>
      <c r="J1056" s="205"/>
      <c r="K1056" s="205"/>
      <c r="L1056" s="205"/>
      <c r="M1056" s="186"/>
      <c r="N1056" s="186"/>
      <c r="O1056" s="186"/>
      <c r="P1056" s="186"/>
      <c r="Q1056" s="186"/>
      <c r="R1056" s="186"/>
      <c r="S1056" s="186"/>
      <c r="T1056" s="186"/>
      <c r="U1056" s="186"/>
      <c r="V1056" s="186"/>
      <c r="W1056" s="186"/>
      <c r="X1056" s="186"/>
      <c r="Y1056" s="186"/>
      <c r="Z1056" s="186"/>
      <c r="AA1056" s="186"/>
      <c r="AB1056" s="186"/>
      <c r="AC1056" s="186"/>
      <c r="AD1056" s="186"/>
      <c r="AE1056" s="186"/>
    </row>
    <row r="1057">
      <c r="A1057" s="178"/>
      <c r="B1057" s="36"/>
      <c r="C1057" s="36"/>
      <c r="D1057" s="197"/>
      <c r="E1057" s="180"/>
      <c r="F1057" s="181"/>
      <c r="G1057" s="205"/>
      <c r="H1057" s="205"/>
      <c r="I1057" s="205"/>
      <c r="J1057" s="205"/>
      <c r="K1057" s="205"/>
      <c r="L1057" s="205"/>
      <c r="M1057" s="186"/>
      <c r="N1057" s="186"/>
      <c r="O1057" s="186"/>
      <c r="P1057" s="186"/>
      <c r="Q1057" s="186"/>
      <c r="R1057" s="186"/>
      <c r="S1057" s="186"/>
      <c r="T1057" s="186"/>
      <c r="U1057" s="186"/>
      <c r="V1057" s="186"/>
      <c r="W1057" s="186"/>
      <c r="X1057" s="186"/>
      <c r="Y1057" s="186"/>
      <c r="Z1057" s="186"/>
      <c r="AA1057" s="186"/>
      <c r="AB1057" s="186"/>
      <c r="AC1057" s="186"/>
      <c r="AD1057" s="186"/>
      <c r="AE1057" s="186"/>
    </row>
    <row r="1058">
      <c r="A1058" s="178"/>
      <c r="B1058" s="36"/>
      <c r="C1058" s="36"/>
      <c r="D1058" s="197"/>
      <c r="E1058" s="180"/>
      <c r="F1058" s="181"/>
      <c r="G1058" s="205"/>
      <c r="H1058" s="205"/>
      <c r="I1058" s="205"/>
      <c r="J1058" s="205"/>
      <c r="K1058" s="205"/>
      <c r="L1058" s="205"/>
      <c r="M1058" s="186"/>
      <c r="N1058" s="186"/>
      <c r="O1058" s="186"/>
      <c r="P1058" s="186"/>
      <c r="Q1058" s="186"/>
      <c r="R1058" s="186"/>
      <c r="S1058" s="186"/>
      <c r="T1058" s="186"/>
      <c r="U1058" s="186"/>
      <c r="V1058" s="186"/>
      <c r="W1058" s="186"/>
      <c r="X1058" s="186"/>
      <c r="Y1058" s="186"/>
      <c r="Z1058" s="186"/>
      <c r="AA1058" s="186"/>
      <c r="AB1058" s="186"/>
      <c r="AC1058" s="186"/>
      <c r="AD1058" s="186"/>
      <c r="AE1058" s="186"/>
    </row>
    <row r="1059">
      <c r="A1059" s="178"/>
      <c r="B1059" s="36"/>
      <c r="C1059" s="36"/>
      <c r="D1059" s="197"/>
      <c r="E1059" s="180"/>
      <c r="F1059" s="181"/>
      <c r="G1059" s="205"/>
      <c r="H1059" s="205"/>
      <c r="I1059" s="205"/>
      <c r="J1059" s="205"/>
      <c r="K1059" s="205"/>
      <c r="L1059" s="205"/>
      <c r="M1059" s="186"/>
      <c r="N1059" s="186"/>
      <c r="O1059" s="186"/>
      <c r="P1059" s="186"/>
      <c r="Q1059" s="186"/>
      <c r="R1059" s="186"/>
      <c r="S1059" s="186"/>
      <c r="T1059" s="186"/>
      <c r="U1059" s="186"/>
      <c r="V1059" s="186"/>
      <c r="W1059" s="186"/>
      <c r="X1059" s="186"/>
      <c r="Y1059" s="186"/>
      <c r="Z1059" s="186"/>
      <c r="AA1059" s="186"/>
      <c r="AB1059" s="186"/>
      <c r="AC1059" s="186"/>
      <c r="AD1059" s="186"/>
      <c r="AE1059" s="186"/>
    </row>
    <row r="1060">
      <c r="A1060" s="178"/>
      <c r="B1060" s="36"/>
      <c r="C1060" s="36"/>
      <c r="D1060" s="197"/>
      <c r="E1060" s="180"/>
      <c r="F1060" s="181"/>
      <c r="G1060" s="205"/>
      <c r="H1060" s="205"/>
      <c r="I1060" s="205"/>
      <c r="J1060" s="205"/>
      <c r="K1060" s="205"/>
      <c r="L1060" s="205"/>
      <c r="M1060" s="186"/>
      <c r="N1060" s="186"/>
      <c r="O1060" s="186"/>
      <c r="P1060" s="186"/>
      <c r="Q1060" s="186"/>
      <c r="R1060" s="186"/>
      <c r="S1060" s="186"/>
      <c r="T1060" s="186"/>
      <c r="U1060" s="186"/>
      <c r="V1060" s="186"/>
      <c r="W1060" s="186"/>
      <c r="X1060" s="186"/>
      <c r="Y1060" s="186"/>
      <c r="Z1060" s="186"/>
      <c r="AA1060" s="186"/>
      <c r="AB1060" s="186"/>
      <c r="AC1060" s="186"/>
      <c r="AD1060" s="186"/>
      <c r="AE1060" s="186"/>
    </row>
    <row r="1061">
      <c r="A1061" s="178"/>
      <c r="B1061" s="36"/>
      <c r="C1061" s="36"/>
      <c r="D1061" s="197"/>
      <c r="E1061" s="180"/>
      <c r="F1061" s="181"/>
      <c r="G1061" s="205"/>
      <c r="H1061" s="205"/>
      <c r="I1061" s="205"/>
      <c r="J1061" s="205"/>
      <c r="K1061" s="205"/>
      <c r="L1061" s="205"/>
      <c r="M1061" s="186"/>
      <c r="N1061" s="186"/>
      <c r="O1061" s="186"/>
      <c r="P1061" s="186"/>
      <c r="Q1061" s="186"/>
      <c r="R1061" s="186"/>
      <c r="S1061" s="186"/>
      <c r="T1061" s="186"/>
      <c r="U1061" s="186"/>
      <c r="V1061" s="186"/>
      <c r="W1061" s="186"/>
      <c r="X1061" s="186"/>
      <c r="Y1061" s="186"/>
      <c r="Z1061" s="186"/>
      <c r="AA1061" s="186"/>
      <c r="AB1061" s="186"/>
      <c r="AC1061" s="186"/>
      <c r="AD1061" s="186"/>
      <c r="AE1061" s="186"/>
    </row>
    <row r="1062">
      <c r="A1062" s="178"/>
      <c r="B1062" s="36"/>
      <c r="C1062" s="36"/>
      <c r="D1062" s="197"/>
      <c r="E1062" s="180"/>
      <c r="F1062" s="181"/>
      <c r="G1062" s="205"/>
      <c r="H1062" s="205"/>
      <c r="I1062" s="205"/>
      <c r="J1062" s="205"/>
      <c r="K1062" s="205"/>
      <c r="L1062" s="205"/>
      <c r="M1062" s="186"/>
      <c r="N1062" s="186"/>
      <c r="O1062" s="186"/>
      <c r="P1062" s="186"/>
      <c r="Q1062" s="186"/>
      <c r="R1062" s="186"/>
      <c r="S1062" s="186"/>
      <c r="T1062" s="186"/>
      <c r="U1062" s="186"/>
      <c r="V1062" s="186"/>
      <c r="W1062" s="186"/>
      <c r="X1062" s="186"/>
      <c r="Y1062" s="186"/>
      <c r="Z1062" s="186"/>
      <c r="AA1062" s="186"/>
      <c r="AB1062" s="186"/>
      <c r="AC1062" s="186"/>
      <c r="AD1062" s="186"/>
      <c r="AE1062" s="186"/>
    </row>
    <row r="1063">
      <c r="A1063" s="178"/>
      <c r="B1063" s="36"/>
      <c r="C1063" s="36"/>
      <c r="D1063" s="197"/>
      <c r="E1063" s="180"/>
      <c r="F1063" s="181"/>
      <c r="G1063" s="205"/>
      <c r="H1063" s="205"/>
      <c r="I1063" s="205"/>
      <c r="J1063" s="205"/>
      <c r="K1063" s="205"/>
      <c r="L1063" s="205"/>
      <c r="M1063" s="186"/>
      <c r="N1063" s="186"/>
      <c r="O1063" s="186"/>
      <c r="P1063" s="186"/>
      <c r="Q1063" s="186"/>
      <c r="R1063" s="186"/>
      <c r="S1063" s="186"/>
      <c r="T1063" s="186"/>
      <c r="U1063" s="186"/>
      <c r="V1063" s="186"/>
      <c r="W1063" s="186"/>
      <c r="X1063" s="186"/>
      <c r="Y1063" s="186"/>
      <c r="Z1063" s="186"/>
      <c r="AA1063" s="186"/>
      <c r="AB1063" s="186"/>
      <c r="AC1063" s="186"/>
      <c r="AD1063" s="186"/>
      <c r="AE1063" s="186"/>
    </row>
    <row r="1064">
      <c r="A1064" s="178"/>
      <c r="B1064" s="36"/>
      <c r="C1064" s="36"/>
      <c r="D1064" s="197"/>
      <c r="E1064" s="180"/>
      <c r="F1064" s="181"/>
      <c r="G1064" s="205"/>
      <c r="H1064" s="205"/>
      <c r="I1064" s="205"/>
      <c r="J1064" s="205"/>
      <c r="K1064" s="205"/>
      <c r="L1064" s="205"/>
      <c r="M1064" s="186"/>
      <c r="N1064" s="186"/>
      <c r="O1064" s="186"/>
      <c r="P1064" s="186"/>
      <c r="Q1064" s="186"/>
      <c r="R1064" s="186"/>
      <c r="S1064" s="186"/>
      <c r="T1064" s="186"/>
      <c r="U1064" s="186"/>
      <c r="V1064" s="186"/>
      <c r="W1064" s="186"/>
      <c r="X1064" s="186"/>
      <c r="Y1064" s="186"/>
      <c r="Z1064" s="186"/>
      <c r="AA1064" s="186"/>
      <c r="AB1064" s="186"/>
      <c r="AC1064" s="186"/>
      <c r="AD1064" s="186"/>
      <c r="AE1064" s="186"/>
    </row>
    <row r="1065">
      <c r="A1065" s="178"/>
      <c r="B1065" s="36"/>
      <c r="C1065" s="36"/>
      <c r="D1065" s="197"/>
      <c r="E1065" s="180"/>
      <c r="F1065" s="181"/>
      <c r="G1065" s="205"/>
      <c r="H1065" s="205"/>
      <c r="I1065" s="205"/>
      <c r="J1065" s="205"/>
      <c r="K1065" s="205"/>
      <c r="L1065" s="205"/>
      <c r="M1065" s="186"/>
      <c r="N1065" s="186"/>
      <c r="O1065" s="186"/>
      <c r="P1065" s="186"/>
      <c r="Q1065" s="186"/>
      <c r="R1065" s="186"/>
      <c r="S1065" s="186"/>
      <c r="T1065" s="186"/>
      <c r="U1065" s="186"/>
      <c r="V1065" s="186"/>
      <c r="W1065" s="186"/>
      <c r="X1065" s="186"/>
      <c r="Y1065" s="186"/>
      <c r="Z1065" s="186"/>
      <c r="AA1065" s="186"/>
      <c r="AB1065" s="186"/>
      <c r="AC1065" s="186"/>
      <c r="AD1065" s="186"/>
      <c r="AE1065" s="186"/>
    </row>
    <row r="1066">
      <c r="A1066" s="178"/>
      <c r="B1066" s="36"/>
      <c r="C1066" s="36"/>
      <c r="D1066" s="197"/>
      <c r="E1066" s="180"/>
      <c r="F1066" s="181"/>
      <c r="G1066" s="205"/>
      <c r="H1066" s="205"/>
      <c r="I1066" s="205"/>
      <c r="J1066" s="205"/>
      <c r="K1066" s="205"/>
      <c r="L1066" s="205"/>
      <c r="M1066" s="186"/>
      <c r="N1066" s="186"/>
      <c r="O1066" s="186"/>
      <c r="P1066" s="186"/>
      <c r="Q1066" s="186"/>
      <c r="R1066" s="186"/>
      <c r="S1066" s="186"/>
      <c r="T1066" s="186"/>
      <c r="U1066" s="186"/>
      <c r="V1066" s="186"/>
      <c r="W1066" s="186"/>
      <c r="X1066" s="186"/>
      <c r="Y1066" s="186"/>
      <c r="Z1066" s="186"/>
      <c r="AA1066" s="186"/>
      <c r="AB1066" s="186"/>
      <c r="AC1066" s="186"/>
      <c r="AD1066" s="186"/>
      <c r="AE1066" s="186"/>
    </row>
    <row r="1067">
      <c r="A1067" s="178"/>
      <c r="B1067" s="36"/>
      <c r="C1067" s="36"/>
      <c r="D1067" s="197"/>
      <c r="E1067" s="180"/>
      <c r="F1067" s="181"/>
      <c r="G1067" s="205"/>
      <c r="H1067" s="205"/>
      <c r="I1067" s="205"/>
      <c r="J1067" s="205"/>
      <c r="K1067" s="205"/>
      <c r="L1067" s="205"/>
      <c r="M1067" s="186"/>
      <c r="N1067" s="186"/>
      <c r="O1067" s="186"/>
      <c r="P1067" s="186"/>
      <c r="Q1067" s="186"/>
      <c r="R1067" s="186"/>
      <c r="S1067" s="186"/>
      <c r="T1067" s="186"/>
      <c r="U1067" s="186"/>
      <c r="V1067" s="186"/>
      <c r="W1067" s="186"/>
      <c r="X1067" s="186"/>
      <c r="Y1067" s="186"/>
      <c r="Z1067" s="186"/>
      <c r="AA1067" s="186"/>
      <c r="AB1067" s="186"/>
      <c r="AC1067" s="186"/>
      <c r="AD1067" s="186"/>
      <c r="AE1067" s="186"/>
    </row>
    <row r="1068">
      <c r="A1068" s="178"/>
      <c r="B1068" s="36"/>
      <c r="C1068" s="36"/>
      <c r="D1068" s="197"/>
      <c r="E1068" s="180"/>
      <c r="F1068" s="181"/>
      <c r="G1068" s="205"/>
      <c r="H1068" s="205"/>
      <c r="I1068" s="205"/>
      <c r="J1068" s="205"/>
      <c r="K1068" s="205"/>
      <c r="L1068" s="205"/>
      <c r="M1068" s="186"/>
      <c r="N1068" s="186"/>
      <c r="O1068" s="186"/>
      <c r="P1068" s="186"/>
      <c r="Q1068" s="186"/>
      <c r="R1068" s="186"/>
      <c r="S1068" s="186"/>
      <c r="T1068" s="186"/>
      <c r="U1068" s="186"/>
      <c r="V1068" s="186"/>
      <c r="W1068" s="186"/>
      <c r="X1068" s="186"/>
      <c r="Y1068" s="186"/>
      <c r="Z1068" s="186"/>
      <c r="AA1068" s="186"/>
      <c r="AB1068" s="186"/>
      <c r="AC1068" s="186"/>
      <c r="AD1068" s="186"/>
      <c r="AE1068" s="186"/>
    </row>
    <row r="1069">
      <c r="A1069" s="178"/>
      <c r="B1069" s="36"/>
      <c r="C1069" s="36"/>
      <c r="D1069" s="197"/>
      <c r="E1069" s="180"/>
      <c r="F1069" s="181"/>
      <c r="G1069" s="205"/>
      <c r="H1069" s="205"/>
      <c r="I1069" s="205"/>
      <c r="J1069" s="205"/>
      <c r="K1069" s="205"/>
      <c r="L1069" s="205"/>
      <c r="M1069" s="186"/>
      <c r="N1069" s="186"/>
      <c r="O1069" s="186"/>
      <c r="P1069" s="186"/>
      <c r="Q1069" s="186"/>
      <c r="R1069" s="186"/>
      <c r="S1069" s="186"/>
      <c r="T1069" s="186"/>
      <c r="U1069" s="186"/>
      <c r="V1069" s="186"/>
      <c r="W1069" s="186"/>
      <c r="X1069" s="186"/>
      <c r="Y1069" s="186"/>
      <c r="Z1069" s="186"/>
      <c r="AA1069" s="186"/>
      <c r="AB1069" s="186"/>
      <c r="AC1069" s="186"/>
      <c r="AD1069" s="186"/>
      <c r="AE1069" s="186"/>
    </row>
    <row r="1070">
      <c r="A1070" s="178"/>
      <c r="B1070" s="36"/>
      <c r="C1070" s="36"/>
      <c r="D1070" s="197"/>
      <c r="E1070" s="180"/>
      <c r="F1070" s="181"/>
      <c r="G1070" s="205"/>
      <c r="H1070" s="205"/>
      <c r="I1070" s="205"/>
      <c r="J1070" s="205"/>
      <c r="K1070" s="205"/>
      <c r="L1070" s="205"/>
      <c r="M1070" s="186"/>
      <c r="N1070" s="186"/>
      <c r="O1070" s="186"/>
      <c r="P1070" s="186"/>
      <c r="Q1070" s="186"/>
      <c r="R1070" s="186"/>
      <c r="S1070" s="186"/>
      <c r="T1070" s="186"/>
      <c r="U1070" s="186"/>
      <c r="V1070" s="186"/>
      <c r="W1070" s="186"/>
      <c r="X1070" s="186"/>
      <c r="Y1070" s="186"/>
      <c r="Z1070" s="186"/>
      <c r="AA1070" s="186"/>
      <c r="AB1070" s="186"/>
      <c r="AC1070" s="186"/>
      <c r="AD1070" s="186"/>
      <c r="AE1070" s="186"/>
    </row>
    <row r="1071">
      <c r="A1071" s="178"/>
      <c r="B1071" s="36"/>
      <c r="C1071" s="36"/>
      <c r="D1071" s="197"/>
      <c r="E1071" s="180"/>
      <c r="F1071" s="181"/>
      <c r="G1071" s="205"/>
      <c r="H1071" s="205"/>
      <c r="I1071" s="205"/>
      <c r="J1071" s="205"/>
      <c r="K1071" s="205"/>
      <c r="L1071" s="205"/>
      <c r="M1071" s="186"/>
      <c r="N1071" s="186"/>
      <c r="O1071" s="186"/>
      <c r="P1071" s="186"/>
      <c r="Q1071" s="186"/>
      <c r="R1071" s="186"/>
      <c r="S1071" s="186"/>
      <c r="T1071" s="186"/>
      <c r="U1071" s="186"/>
      <c r="V1071" s="186"/>
      <c r="W1071" s="186"/>
      <c r="X1071" s="186"/>
      <c r="Y1071" s="186"/>
      <c r="Z1071" s="186"/>
      <c r="AA1071" s="186"/>
      <c r="AB1071" s="186"/>
      <c r="AC1071" s="186"/>
      <c r="AD1071" s="186"/>
      <c r="AE1071" s="186"/>
    </row>
    <row r="1072">
      <c r="A1072" s="178"/>
      <c r="B1072" s="36"/>
      <c r="C1072" s="36"/>
      <c r="D1072" s="197"/>
      <c r="E1072" s="180"/>
      <c r="F1072" s="181"/>
      <c r="G1072" s="205"/>
      <c r="H1072" s="205"/>
      <c r="I1072" s="205"/>
      <c r="J1072" s="205"/>
      <c r="K1072" s="205"/>
      <c r="L1072" s="205"/>
      <c r="M1072" s="186"/>
      <c r="N1072" s="186"/>
      <c r="O1072" s="186"/>
      <c r="P1072" s="186"/>
      <c r="Q1072" s="186"/>
      <c r="R1072" s="186"/>
      <c r="S1072" s="186"/>
      <c r="T1072" s="186"/>
      <c r="U1072" s="186"/>
      <c r="V1072" s="186"/>
      <c r="W1072" s="186"/>
      <c r="X1072" s="186"/>
      <c r="Y1072" s="186"/>
      <c r="Z1072" s="186"/>
      <c r="AA1072" s="186"/>
      <c r="AB1072" s="186"/>
      <c r="AC1072" s="186"/>
      <c r="AD1072" s="186"/>
      <c r="AE1072" s="186"/>
    </row>
    <row r="1073">
      <c r="A1073" s="178"/>
      <c r="B1073" s="36"/>
      <c r="C1073" s="36"/>
      <c r="D1073" s="197"/>
      <c r="E1073" s="180"/>
      <c r="F1073" s="181"/>
      <c r="G1073" s="205"/>
      <c r="H1073" s="205"/>
      <c r="I1073" s="205"/>
      <c r="J1073" s="205"/>
      <c r="K1073" s="205"/>
      <c r="L1073" s="205"/>
      <c r="M1073" s="186"/>
      <c r="N1073" s="186"/>
      <c r="O1073" s="186"/>
      <c r="P1073" s="186"/>
      <c r="Q1073" s="186"/>
      <c r="R1073" s="186"/>
      <c r="S1073" s="186"/>
      <c r="T1073" s="186"/>
      <c r="U1073" s="186"/>
      <c r="V1073" s="186"/>
      <c r="W1073" s="186"/>
      <c r="X1073" s="186"/>
      <c r="Y1073" s="186"/>
      <c r="Z1073" s="186"/>
      <c r="AA1073" s="186"/>
      <c r="AB1073" s="186"/>
      <c r="AC1073" s="186"/>
      <c r="AD1073" s="186"/>
      <c r="AE1073" s="186"/>
    </row>
    <row r="1074">
      <c r="A1074" s="178"/>
      <c r="B1074" s="36"/>
      <c r="C1074" s="36"/>
      <c r="D1074" s="197"/>
      <c r="E1074" s="180"/>
      <c r="F1074" s="181"/>
      <c r="G1074" s="205"/>
      <c r="H1074" s="205"/>
      <c r="I1074" s="205"/>
      <c r="J1074" s="205"/>
      <c r="K1074" s="205"/>
      <c r="L1074" s="205"/>
      <c r="M1074" s="186"/>
      <c r="N1074" s="186"/>
      <c r="O1074" s="186"/>
      <c r="P1074" s="186"/>
      <c r="Q1074" s="186"/>
      <c r="R1074" s="186"/>
      <c r="S1074" s="186"/>
      <c r="T1074" s="186"/>
      <c r="U1074" s="186"/>
      <c r="V1074" s="186"/>
      <c r="W1074" s="186"/>
      <c r="X1074" s="186"/>
      <c r="Y1074" s="186"/>
      <c r="Z1074" s="186"/>
      <c r="AA1074" s="186"/>
      <c r="AB1074" s="186"/>
      <c r="AC1074" s="186"/>
      <c r="AD1074" s="186"/>
      <c r="AE1074" s="186"/>
    </row>
    <row r="1075">
      <c r="A1075" s="178"/>
      <c r="B1075" s="36"/>
      <c r="C1075" s="36"/>
      <c r="D1075" s="197"/>
      <c r="E1075" s="180"/>
      <c r="F1075" s="181"/>
      <c r="G1075" s="205"/>
      <c r="H1075" s="205"/>
      <c r="I1075" s="205"/>
      <c r="J1075" s="205"/>
      <c r="K1075" s="205"/>
      <c r="L1075" s="205"/>
      <c r="M1075" s="186"/>
      <c r="N1075" s="186"/>
      <c r="O1075" s="186"/>
      <c r="P1075" s="186"/>
      <c r="Q1075" s="186"/>
      <c r="R1075" s="186"/>
      <c r="S1075" s="186"/>
      <c r="T1075" s="186"/>
      <c r="U1075" s="186"/>
      <c r="V1075" s="186"/>
      <c r="W1075" s="186"/>
      <c r="X1075" s="186"/>
      <c r="Y1075" s="186"/>
      <c r="Z1075" s="186"/>
      <c r="AA1075" s="186"/>
      <c r="AB1075" s="186"/>
      <c r="AC1075" s="186"/>
      <c r="AD1075" s="186"/>
      <c r="AE1075" s="186"/>
    </row>
    <row r="1076">
      <c r="A1076" s="178"/>
      <c r="B1076" s="36"/>
      <c r="C1076" s="36"/>
      <c r="D1076" s="197"/>
      <c r="E1076" s="180"/>
      <c r="F1076" s="181"/>
      <c r="G1076" s="205"/>
      <c r="H1076" s="205"/>
      <c r="I1076" s="205"/>
      <c r="J1076" s="205"/>
      <c r="K1076" s="205"/>
      <c r="L1076" s="205"/>
      <c r="M1076" s="186"/>
      <c r="N1076" s="186"/>
      <c r="O1076" s="186"/>
      <c r="P1076" s="186"/>
      <c r="Q1076" s="186"/>
      <c r="R1076" s="186"/>
      <c r="S1076" s="186"/>
      <c r="T1076" s="186"/>
      <c r="U1076" s="186"/>
      <c r="V1076" s="186"/>
      <c r="W1076" s="186"/>
      <c r="X1076" s="186"/>
      <c r="Y1076" s="186"/>
      <c r="Z1076" s="186"/>
      <c r="AA1076" s="186"/>
      <c r="AB1076" s="186"/>
      <c r="AC1076" s="186"/>
      <c r="AD1076" s="186"/>
      <c r="AE1076" s="186"/>
    </row>
    <row r="1077">
      <c r="A1077" s="178"/>
      <c r="B1077" s="36"/>
      <c r="C1077" s="36"/>
      <c r="D1077" s="197"/>
      <c r="E1077" s="180"/>
      <c r="F1077" s="181"/>
      <c r="G1077" s="205"/>
      <c r="H1077" s="205"/>
      <c r="I1077" s="205"/>
      <c r="J1077" s="205"/>
      <c r="K1077" s="205"/>
      <c r="L1077" s="205"/>
      <c r="M1077" s="186"/>
      <c r="N1077" s="186"/>
      <c r="O1077" s="186"/>
      <c r="P1077" s="186"/>
      <c r="Q1077" s="186"/>
      <c r="R1077" s="186"/>
      <c r="S1077" s="186"/>
      <c r="T1077" s="186"/>
      <c r="U1077" s="186"/>
      <c r="V1077" s="186"/>
      <c r="W1077" s="186"/>
      <c r="X1077" s="186"/>
      <c r="Y1077" s="186"/>
      <c r="Z1077" s="186"/>
      <c r="AA1077" s="186"/>
      <c r="AB1077" s="186"/>
      <c r="AC1077" s="186"/>
      <c r="AD1077" s="186"/>
      <c r="AE1077" s="186"/>
    </row>
    <row r="1078">
      <c r="A1078" s="178"/>
      <c r="B1078" s="36"/>
      <c r="C1078" s="36"/>
      <c r="D1078" s="197"/>
      <c r="E1078" s="180"/>
      <c r="F1078" s="181"/>
      <c r="G1078" s="205"/>
      <c r="H1078" s="205"/>
      <c r="I1078" s="205"/>
      <c r="J1078" s="205"/>
      <c r="K1078" s="205"/>
      <c r="L1078" s="205"/>
      <c r="M1078" s="186"/>
      <c r="N1078" s="186"/>
      <c r="O1078" s="186"/>
      <c r="P1078" s="186"/>
      <c r="Q1078" s="186"/>
      <c r="R1078" s="186"/>
      <c r="S1078" s="186"/>
      <c r="T1078" s="186"/>
      <c r="U1078" s="186"/>
      <c r="V1078" s="186"/>
      <c r="W1078" s="186"/>
      <c r="X1078" s="186"/>
      <c r="Y1078" s="186"/>
      <c r="Z1078" s="186"/>
      <c r="AA1078" s="186"/>
      <c r="AB1078" s="186"/>
      <c r="AC1078" s="186"/>
      <c r="AD1078" s="186"/>
      <c r="AE1078" s="186"/>
    </row>
    <row r="1079">
      <c r="A1079" s="178"/>
      <c r="B1079" s="36"/>
      <c r="C1079" s="36"/>
      <c r="D1079" s="197"/>
      <c r="E1079" s="180"/>
      <c r="F1079" s="181"/>
      <c r="G1079" s="205"/>
      <c r="H1079" s="205"/>
      <c r="I1079" s="205"/>
      <c r="J1079" s="205"/>
      <c r="K1079" s="205"/>
      <c r="L1079" s="205"/>
      <c r="M1079" s="186"/>
      <c r="N1079" s="186"/>
      <c r="O1079" s="186"/>
      <c r="P1079" s="186"/>
      <c r="Q1079" s="186"/>
      <c r="R1079" s="186"/>
      <c r="S1079" s="186"/>
      <c r="T1079" s="186"/>
      <c r="U1079" s="186"/>
      <c r="V1079" s="186"/>
      <c r="W1079" s="186"/>
      <c r="X1079" s="186"/>
      <c r="Y1079" s="186"/>
      <c r="Z1079" s="186"/>
      <c r="AA1079" s="186"/>
      <c r="AB1079" s="186"/>
      <c r="AC1079" s="186"/>
      <c r="AD1079" s="186"/>
      <c r="AE1079" s="186"/>
    </row>
    <row r="1080">
      <c r="A1080" s="178"/>
      <c r="B1080" s="36"/>
      <c r="C1080" s="36"/>
      <c r="D1080" s="197"/>
      <c r="E1080" s="180"/>
      <c r="F1080" s="181"/>
      <c r="G1080" s="205"/>
      <c r="H1080" s="205"/>
      <c r="I1080" s="205"/>
      <c r="J1080" s="205"/>
      <c r="K1080" s="205"/>
      <c r="L1080" s="205"/>
      <c r="M1080" s="186"/>
      <c r="N1080" s="186"/>
      <c r="O1080" s="186"/>
      <c r="P1080" s="186"/>
      <c r="Q1080" s="186"/>
      <c r="R1080" s="186"/>
      <c r="S1080" s="186"/>
      <c r="T1080" s="186"/>
      <c r="U1080" s="186"/>
      <c r="V1080" s="186"/>
      <c r="W1080" s="186"/>
      <c r="X1080" s="186"/>
      <c r="Y1080" s="186"/>
      <c r="Z1080" s="186"/>
      <c r="AA1080" s="186"/>
      <c r="AB1080" s="186"/>
      <c r="AC1080" s="186"/>
      <c r="AD1080" s="186"/>
      <c r="AE1080" s="186"/>
    </row>
    <row r="1081">
      <c r="A1081" s="178"/>
      <c r="B1081" s="36"/>
      <c r="C1081" s="36"/>
      <c r="D1081" s="197"/>
      <c r="E1081" s="180"/>
      <c r="F1081" s="181"/>
      <c r="G1081" s="205"/>
      <c r="H1081" s="205"/>
      <c r="I1081" s="205"/>
      <c r="J1081" s="205"/>
      <c r="K1081" s="205"/>
      <c r="L1081" s="205"/>
      <c r="M1081" s="186"/>
      <c r="N1081" s="186"/>
      <c r="O1081" s="186"/>
      <c r="P1081" s="186"/>
      <c r="Q1081" s="186"/>
      <c r="R1081" s="186"/>
      <c r="S1081" s="186"/>
      <c r="T1081" s="186"/>
      <c r="U1081" s="186"/>
      <c r="V1081" s="186"/>
      <c r="W1081" s="186"/>
      <c r="X1081" s="186"/>
      <c r="Y1081" s="186"/>
      <c r="Z1081" s="186"/>
      <c r="AA1081" s="186"/>
      <c r="AB1081" s="186"/>
      <c r="AC1081" s="186"/>
      <c r="AD1081" s="186"/>
      <c r="AE1081" s="186"/>
    </row>
    <row r="1082">
      <c r="A1082" s="178"/>
      <c r="B1082" s="36"/>
      <c r="C1082" s="36"/>
      <c r="D1082" s="197"/>
      <c r="E1082" s="180"/>
      <c r="F1082" s="181"/>
      <c r="G1082" s="205"/>
      <c r="H1082" s="205"/>
      <c r="I1082" s="205"/>
      <c r="J1082" s="205"/>
      <c r="K1082" s="205"/>
      <c r="L1082" s="205"/>
      <c r="M1082" s="186"/>
      <c r="N1082" s="186"/>
      <c r="O1082" s="186"/>
      <c r="P1082" s="186"/>
      <c r="Q1082" s="186"/>
      <c r="R1082" s="186"/>
      <c r="S1082" s="186"/>
      <c r="T1082" s="186"/>
      <c r="U1082" s="186"/>
      <c r="V1082" s="186"/>
      <c r="W1082" s="186"/>
      <c r="X1082" s="186"/>
      <c r="Y1082" s="186"/>
      <c r="Z1082" s="186"/>
      <c r="AA1082" s="186"/>
      <c r="AB1082" s="186"/>
      <c r="AC1082" s="186"/>
      <c r="AD1082" s="186"/>
      <c r="AE1082" s="186"/>
    </row>
    <row r="1083">
      <c r="A1083" s="178"/>
      <c r="B1083" s="36"/>
      <c r="C1083" s="36"/>
      <c r="D1083" s="197"/>
      <c r="E1083" s="180"/>
      <c r="F1083" s="181"/>
      <c r="G1083" s="205"/>
      <c r="H1083" s="205"/>
      <c r="I1083" s="205"/>
      <c r="J1083" s="205"/>
      <c r="K1083" s="205"/>
      <c r="L1083" s="205"/>
      <c r="M1083" s="186"/>
      <c r="N1083" s="186"/>
      <c r="O1083" s="186"/>
      <c r="P1083" s="186"/>
      <c r="Q1083" s="186"/>
      <c r="R1083" s="186"/>
      <c r="S1083" s="186"/>
      <c r="T1083" s="186"/>
      <c r="U1083" s="186"/>
      <c r="V1083" s="186"/>
      <c r="W1083" s="186"/>
      <c r="X1083" s="186"/>
      <c r="Y1083" s="186"/>
      <c r="Z1083" s="186"/>
      <c r="AA1083" s="186"/>
      <c r="AB1083" s="186"/>
      <c r="AC1083" s="186"/>
      <c r="AD1083" s="186"/>
      <c r="AE1083" s="186"/>
    </row>
    <row r="1084">
      <c r="A1084" s="178"/>
      <c r="B1084" s="36"/>
      <c r="C1084" s="36"/>
      <c r="D1084" s="197"/>
      <c r="E1084" s="180"/>
      <c r="F1084" s="181"/>
      <c r="G1084" s="205"/>
      <c r="H1084" s="205"/>
      <c r="I1084" s="205"/>
      <c r="J1084" s="205"/>
      <c r="K1084" s="205"/>
      <c r="L1084" s="205"/>
      <c r="M1084" s="186"/>
      <c r="N1084" s="186"/>
      <c r="O1084" s="186"/>
      <c r="P1084" s="186"/>
      <c r="Q1084" s="186"/>
      <c r="R1084" s="186"/>
      <c r="S1084" s="186"/>
      <c r="T1084" s="186"/>
      <c r="U1084" s="186"/>
      <c r="V1084" s="186"/>
      <c r="W1084" s="186"/>
      <c r="X1084" s="186"/>
      <c r="Y1084" s="186"/>
      <c r="Z1084" s="186"/>
      <c r="AA1084" s="186"/>
      <c r="AB1084" s="186"/>
      <c r="AC1084" s="186"/>
      <c r="AD1084" s="186"/>
      <c r="AE1084" s="186"/>
    </row>
    <row r="1085">
      <c r="A1085" s="178"/>
      <c r="B1085" s="36"/>
      <c r="C1085" s="36"/>
      <c r="D1085" s="197"/>
      <c r="E1085" s="180"/>
      <c r="F1085" s="181"/>
      <c r="G1085" s="205"/>
      <c r="H1085" s="205"/>
      <c r="I1085" s="205"/>
      <c r="J1085" s="205"/>
      <c r="K1085" s="205"/>
      <c r="L1085" s="205"/>
      <c r="M1085" s="186"/>
      <c r="N1085" s="186"/>
      <c r="O1085" s="186"/>
      <c r="P1085" s="186"/>
      <c r="Q1085" s="186"/>
      <c r="R1085" s="186"/>
      <c r="S1085" s="186"/>
      <c r="T1085" s="186"/>
      <c r="U1085" s="186"/>
      <c r="V1085" s="186"/>
      <c r="W1085" s="186"/>
      <c r="X1085" s="186"/>
      <c r="Y1085" s="186"/>
      <c r="Z1085" s="186"/>
      <c r="AA1085" s="186"/>
      <c r="AB1085" s="186"/>
      <c r="AC1085" s="186"/>
      <c r="AD1085" s="186"/>
      <c r="AE1085" s="186"/>
    </row>
    <row r="1086">
      <c r="A1086" s="178"/>
      <c r="B1086" s="36"/>
      <c r="C1086" s="36"/>
      <c r="D1086" s="197"/>
      <c r="E1086" s="180"/>
      <c r="F1086" s="181"/>
      <c r="G1086" s="205"/>
      <c r="H1086" s="205"/>
      <c r="I1086" s="205"/>
      <c r="J1086" s="205"/>
      <c r="K1086" s="205"/>
      <c r="L1086" s="205"/>
      <c r="M1086" s="186"/>
      <c r="N1086" s="186"/>
      <c r="O1086" s="186"/>
      <c r="P1086" s="186"/>
      <c r="Q1086" s="186"/>
      <c r="R1086" s="186"/>
      <c r="S1086" s="186"/>
      <c r="T1086" s="186"/>
      <c r="U1086" s="186"/>
      <c r="V1086" s="186"/>
      <c r="W1086" s="186"/>
      <c r="X1086" s="186"/>
      <c r="Y1086" s="186"/>
      <c r="Z1086" s="186"/>
      <c r="AA1086" s="186"/>
      <c r="AB1086" s="186"/>
      <c r="AC1086" s="186"/>
      <c r="AD1086" s="186"/>
      <c r="AE1086" s="186"/>
    </row>
    <row r="1087">
      <c r="A1087" s="178"/>
      <c r="B1087" s="36"/>
      <c r="C1087" s="36"/>
      <c r="D1087" s="197"/>
      <c r="E1087" s="180"/>
      <c r="F1087" s="181"/>
      <c r="G1087" s="205"/>
      <c r="H1087" s="205"/>
      <c r="I1087" s="205"/>
      <c r="J1087" s="205"/>
      <c r="K1087" s="205"/>
      <c r="L1087" s="205"/>
      <c r="M1087" s="186"/>
      <c r="N1087" s="186"/>
      <c r="O1087" s="186"/>
      <c r="P1087" s="186"/>
      <c r="Q1087" s="186"/>
      <c r="R1087" s="186"/>
      <c r="S1087" s="186"/>
      <c r="T1087" s="186"/>
      <c r="U1087" s="186"/>
      <c r="V1087" s="186"/>
      <c r="W1087" s="186"/>
      <c r="X1087" s="186"/>
      <c r="Y1087" s="186"/>
      <c r="Z1087" s="186"/>
      <c r="AA1087" s="186"/>
      <c r="AB1087" s="186"/>
      <c r="AC1087" s="186"/>
      <c r="AD1087" s="186"/>
      <c r="AE1087" s="186"/>
    </row>
    <row r="1088">
      <c r="A1088" s="178"/>
      <c r="B1088" s="36"/>
      <c r="C1088" s="36"/>
      <c r="D1088" s="197"/>
      <c r="E1088" s="180"/>
      <c r="F1088" s="181"/>
      <c r="G1088" s="205"/>
      <c r="H1088" s="205"/>
      <c r="I1088" s="205"/>
      <c r="J1088" s="205"/>
      <c r="K1088" s="205"/>
      <c r="L1088" s="205"/>
      <c r="M1088" s="186"/>
      <c r="N1088" s="186"/>
      <c r="O1088" s="186"/>
      <c r="P1088" s="186"/>
      <c r="Q1088" s="186"/>
      <c r="R1088" s="186"/>
      <c r="S1088" s="186"/>
      <c r="T1088" s="186"/>
      <c r="U1088" s="186"/>
      <c r="V1088" s="186"/>
      <c r="W1088" s="186"/>
      <c r="X1088" s="186"/>
      <c r="Y1088" s="186"/>
      <c r="Z1088" s="186"/>
      <c r="AA1088" s="186"/>
      <c r="AB1088" s="186"/>
      <c r="AC1088" s="186"/>
      <c r="AD1088" s="186"/>
      <c r="AE1088" s="186"/>
    </row>
    <row r="1089">
      <c r="A1089" s="178"/>
      <c r="B1089" s="36"/>
      <c r="C1089" s="36"/>
      <c r="D1089" s="197"/>
      <c r="E1089" s="180"/>
      <c r="F1089" s="181"/>
      <c r="G1089" s="205"/>
      <c r="H1089" s="205"/>
      <c r="I1089" s="205"/>
      <c r="J1089" s="205"/>
      <c r="K1089" s="205"/>
      <c r="L1089" s="205"/>
      <c r="M1089" s="186"/>
      <c r="N1089" s="186"/>
      <c r="O1089" s="186"/>
      <c r="P1089" s="186"/>
      <c r="Q1089" s="186"/>
      <c r="R1089" s="186"/>
      <c r="S1089" s="186"/>
      <c r="T1089" s="186"/>
      <c r="U1089" s="186"/>
      <c r="V1089" s="186"/>
      <c r="W1089" s="186"/>
      <c r="X1089" s="186"/>
      <c r="Y1089" s="186"/>
      <c r="Z1089" s="186"/>
      <c r="AA1089" s="186"/>
      <c r="AB1089" s="186"/>
      <c r="AC1089" s="186"/>
      <c r="AD1089" s="186"/>
      <c r="AE1089" s="186"/>
    </row>
    <row r="1090">
      <c r="A1090" s="178"/>
      <c r="B1090" s="36"/>
      <c r="C1090" s="36"/>
      <c r="D1090" s="197"/>
      <c r="E1090" s="180"/>
      <c r="F1090" s="181"/>
      <c r="G1090" s="205"/>
      <c r="H1090" s="205"/>
      <c r="I1090" s="205"/>
      <c r="J1090" s="205"/>
      <c r="K1090" s="205"/>
      <c r="L1090" s="205"/>
      <c r="M1090" s="186"/>
      <c r="N1090" s="186"/>
      <c r="O1090" s="186"/>
      <c r="P1090" s="186"/>
      <c r="Q1090" s="186"/>
      <c r="R1090" s="186"/>
      <c r="S1090" s="186"/>
      <c r="T1090" s="186"/>
      <c r="U1090" s="186"/>
      <c r="V1090" s="186"/>
      <c r="W1090" s="186"/>
      <c r="X1090" s="186"/>
      <c r="Y1090" s="186"/>
      <c r="Z1090" s="186"/>
      <c r="AA1090" s="186"/>
      <c r="AB1090" s="186"/>
      <c r="AC1090" s="186"/>
      <c r="AD1090" s="186"/>
      <c r="AE1090" s="186"/>
    </row>
    <row r="1091">
      <c r="A1091" s="178"/>
      <c r="B1091" s="36"/>
      <c r="C1091" s="36"/>
      <c r="D1091" s="197"/>
      <c r="E1091" s="180"/>
      <c r="F1091" s="181"/>
      <c r="G1091" s="205"/>
      <c r="H1091" s="205"/>
      <c r="I1091" s="205"/>
      <c r="J1091" s="205"/>
      <c r="K1091" s="205"/>
      <c r="L1091" s="205"/>
      <c r="M1091" s="186"/>
      <c r="N1091" s="186"/>
      <c r="O1091" s="186"/>
      <c r="P1091" s="186"/>
      <c r="Q1091" s="186"/>
      <c r="R1091" s="186"/>
      <c r="S1091" s="186"/>
      <c r="T1091" s="186"/>
      <c r="U1091" s="186"/>
      <c r="V1091" s="186"/>
      <c r="W1091" s="186"/>
      <c r="X1091" s="186"/>
      <c r="Y1091" s="186"/>
      <c r="Z1091" s="186"/>
      <c r="AA1091" s="186"/>
      <c r="AB1091" s="186"/>
      <c r="AC1091" s="186"/>
      <c r="AD1091" s="186"/>
      <c r="AE1091" s="186"/>
    </row>
    <row r="1092">
      <c r="A1092" s="178"/>
      <c r="B1092" s="36"/>
      <c r="C1092" s="36"/>
      <c r="D1092" s="197"/>
      <c r="E1092" s="180"/>
      <c r="F1092" s="181"/>
      <c r="G1092" s="205"/>
      <c r="H1092" s="205"/>
      <c r="I1092" s="205"/>
      <c r="J1092" s="205"/>
      <c r="K1092" s="205"/>
      <c r="L1092" s="205"/>
      <c r="M1092" s="186"/>
      <c r="N1092" s="186"/>
      <c r="O1092" s="186"/>
      <c r="P1092" s="186"/>
      <c r="Q1092" s="186"/>
      <c r="R1092" s="186"/>
      <c r="S1092" s="186"/>
      <c r="T1092" s="186"/>
      <c r="U1092" s="186"/>
      <c r="V1092" s="186"/>
      <c r="W1092" s="186"/>
      <c r="X1092" s="186"/>
      <c r="Y1092" s="186"/>
      <c r="Z1092" s="186"/>
      <c r="AA1092" s="186"/>
      <c r="AB1092" s="186"/>
      <c r="AC1092" s="186"/>
      <c r="AD1092" s="186"/>
      <c r="AE1092" s="186"/>
    </row>
    <row r="1093">
      <c r="A1093" s="178"/>
      <c r="B1093" s="36"/>
      <c r="C1093" s="36"/>
      <c r="D1093" s="197"/>
      <c r="E1093" s="180"/>
      <c r="F1093" s="181"/>
      <c r="G1093" s="205"/>
      <c r="H1093" s="205"/>
      <c r="I1093" s="205"/>
      <c r="J1093" s="205"/>
      <c r="K1093" s="205"/>
      <c r="L1093" s="205"/>
      <c r="M1093" s="186"/>
      <c r="N1093" s="186"/>
      <c r="O1093" s="186"/>
      <c r="P1093" s="186"/>
      <c r="Q1093" s="186"/>
      <c r="R1093" s="186"/>
      <c r="S1093" s="186"/>
      <c r="T1093" s="186"/>
      <c r="U1093" s="186"/>
      <c r="V1093" s="186"/>
      <c r="W1093" s="186"/>
      <c r="X1093" s="186"/>
      <c r="Y1093" s="186"/>
      <c r="Z1093" s="186"/>
      <c r="AA1093" s="186"/>
      <c r="AB1093" s="186"/>
      <c r="AC1093" s="186"/>
      <c r="AD1093" s="186"/>
      <c r="AE1093" s="186"/>
    </row>
    <row r="1094">
      <c r="A1094" s="178"/>
      <c r="B1094" s="36"/>
      <c r="C1094" s="36"/>
      <c r="D1094" s="197"/>
      <c r="E1094" s="180"/>
      <c r="F1094" s="181"/>
      <c r="G1094" s="205"/>
      <c r="H1094" s="205"/>
      <c r="I1094" s="205"/>
      <c r="J1094" s="205"/>
      <c r="K1094" s="205"/>
      <c r="L1094" s="205"/>
      <c r="M1094" s="186"/>
      <c r="N1094" s="186"/>
      <c r="O1094" s="186"/>
      <c r="P1094" s="186"/>
      <c r="Q1094" s="186"/>
      <c r="R1094" s="186"/>
      <c r="S1094" s="186"/>
      <c r="T1094" s="186"/>
      <c r="U1094" s="186"/>
      <c r="V1094" s="186"/>
      <c r="W1094" s="186"/>
      <c r="X1094" s="186"/>
      <c r="Y1094" s="186"/>
      <c r="Z1094" s="186"/>
      <c r="AA1094" s="186"/>
      <c r="AB1094" s="186"/>
      <c r="AC1094" s="186"/>
      <c r="AD1094" s="186"/>
      <c r="AE1094" s="186"/>
    </row>
    <row r="1095">
      <c r="A1095" s="178"/>
      <c r="B1095" s="36"/>
      <c r="C1095" s="36"/>
      <c r="D1095" s="197"/>
      <c r="E1095" s="180"/>
      <c r="F1095" s="181"/>
      <c r="G1095" s="205"/>
      <c r="H1095" s="205"/>
      <c r="I1095" s="205"/>
      <c r="J1095" s="205"/>
      <c r="K1095" s="205"/>
      <c r="L1095" s="205"/>
      <c r="M1095" s="186"/>
      <c r="N1095" s="186"/>
      <c r="O1095" s="186"/>
      <c r="P1095" s="186"/>
      <c r="Q1095" s="186"/>
      <c r="R1095" s="186"/>
      <c r="S1095" s="186"/>
      <c r="T1095" s="186"/>
      <c r="U1095" s="186"/>
      <c r="V1095" s="186"/>
      <c r="W1095" s="186"/>
      <c r="X1095" s="186"/>
      <c r="Y1095" s="186"/>
      <c r="Z1095" s="186"/>
      <c r="AA1095" s="186"/>
      <c r="AB1095" s="186"/>
      <c r="AC1095" s="186"/>
      <c r="AD1095" s="186"/>
      <c r="AE1095" s="186"/>
    </row>
    <row r="1096">
      <c r="A1096" s="178"/>
      <c r="B1096" s="36"/>
      <c r="C1096" s="36"/>
      <c r="D1096" s="197"/>
      <c r="E1096" s="180"/>
      <c r="F1096" s="181"/>
      <c r="G1096" s="205"/>
      <c r="H1096" s="205"/>
      <c r="I1096" s="205"/>
      <c r="J1096" s="205"/>
      <c r="K1096" s="205"/>
      <c r="L1096" s="205"/>
      <c r="M1096" s="186"/>
      <c r="N1096" s="186"/>
      <c r="O1096" s="186"/>
      <c r="P1096" s="186"/>
      <c r="Q1096" s="186"/>
      <c r="R1096" s="186"/>
      <c r="S1096" s="186"/>
      <c r="T1096" s="186"/>
      <c r="U1096" s="186"/>
      <c r="V1096" s="186"/>
      <c r="W1096" s="186"/>
      <c r="X1096" s="186"/>
      <c r="Y1096" s="186"/>
      <c r="Z1096" s="186"/>
      <c r="AA1096" s="186"/>
      <c r="AB1096" s="186"/>
      <c r="AC1096" s="186"/>
      <c r="AD1096" s="186"/>
      <c r="AE1096" s="186"/>
    </row>
    <row r="1097">
      <c r="A1097" s="178"/>
      <c r="B1097" s="36"/>
      <c r="C1097" s="36"/>
      <c r="D1097" s="197"/>
      <c r="E1097" s="180"/>
      <c r="F1097" s="181"/>
      <c r="G1097" s="205"/>
      <c r="H1097" s="205"/>
      <c r="I1097" s="205"/>
      <c r="J1097" s="205"/>
      <c r="K1097" s="205"/>
      <c r="L1097" s="205"/>
      <c r="M1097" s="186"/>
      <c r="N1097" s="186"/>
      <c r="O1097" s="186"/>
      <c r="P1097" s="186"/>
      <c r="Q1097" s="186"/>
      <c r="R1097" s="186"/>
      <c r="S1097" s="186"/>
      <c r="T1097" s="186"/>
      <c r="U1097" s="186"/>
      <c r="V1097" s="186"/>
      <c r="W1097" s="186"/>
      <c r="X1097" s="186"/>
      <c r="Y1097" s="186"/>
      <c r="Z1097" s="186"/>
      <c r="AA1097" s="186"/>
      <c r="AB1097" s="186"/>
      <c r="AC1097" s="186"/>
      <c r="AD1097" s="186"/>
      <c r="AE1097" s="186"/>
    </row>
    <row r="1098">
      <c r="A1098" s="178"/>
      <c r="B1098" s="36"/>
      <c r="C1098" s="36"/>
      <c r="D1098" s="197"/>
      <c r="E1098" s="180"/>
      <c r="F1098" s="181"/>
      <c r="G1098" s="205"/>
      <c r="H1098" s="205"/>
      <c r="I1098" s="205"/>
      <c r="J1098" s="205"/>
      <c r="K1098" s="205"/>
      <c r="L1098" s="205"/>
      <c r="M1098" s="186"/>
      <c r="N1098" s="186"/>
      <c r="O1098" s="186"/>
      <c r="P1098" s="186"/>
      <c r="Q1098" s="186"/>
      <c r="R1098" s="186"/>
      <c r="S1098" s="186"/>
      <c r="T1098" s="186"/>
      <c r="U1098" s="186"/>
      <c r="V1098" s="186"/>
      <c r="W1098" s="186"/>
      <c r="X1098" s="186"/>
      <c r="Y1098" s="186"/>
      <c r="Z1098" s="186"/>
      <c r="AA1098" s="186"/>
      <c r="AB1098" s="186"/>
      <c r="AC1098" s="186"/>
      <c r="AD1098" s="186"/>
      <c r="AE1098" s="186"/>
    </row>
    <row r="1099">
      <c r="A1099" s="178"/>
      <c r="B1099" s="36"/>
      <c r="C1099" s="36"/>
      <c r="D1099" s="197"/>
      <c r="E1099" s="180"/>
      <c r="F1099" s="181"/>
      <c r="G1099" s="205"/>
      <c r="H1099" s="205"/>
      <c r="I1099" s="205"/>
      <c r="J1099" s="205"/>
      <c r="K1099" s="205"/>
      <c r="L1099" s="205"/>
      <c r="M1099" s="186"/>
      <c r="N1099" s="186"/>
      <c r="O1099" s="186"/>
      <c r="P1099" s="186"/>
      <c r="Q1099" s="186"/>
      <c r="R1099" s="186"/>
      <c r="S1099" s="186"/>
      <c r="T1099" s="186"/>
      <c r="U1099" s="186"/>
      <c r="V1099" s="186"/>
      <c r="W1099" s="186"/>
      <c r="X1099" s="186"/>
      <c r="Y1099" s="186"/>
      <c r="Z1099" s="186"/>
      <c r="AA1099" s="186"/>
      <c r="AB1099" s="186"/>
      <c r="AC1099" s="186"/>
      <c r="AD1099" s="186"/>
      <c r="AE1099" s="186"/>
    </row>
    <row r="1100">
      <c r="A1100" s="178"/>
      <c r="B1100" s="36"/>
      <c r="C1100" s="36"/>
      <c r="D1100" s="197"/>
      <c r="E1100" s="180"/>
      <c r="F1100" s="181"/>
      <c r="G1100" s="205"/>
      <c r="H1100" s="205"/>
      <c r="I1100" s="205"/>
      <c r="J1100" s="205"/>
      <c r="K1100" s="205"/>
      <c r="L1100" s="205"/>
      <c r="M1100" s="186"/>
      <c r="N1100" s="186"/>
      <c r="O1100" s="186"/>
      <c r="P1100" s="186"/>
      <c r="Q1100" s="186"/>
      <c r="R1100" s="186"/>
      <c r="S1100" s="186"/>
      <c r="T1100" s="186"/>
      <c r="U1100" s="186"/>
      <c r="V1100" s="186"/>
      <c r="W1100" s="186"/>
      <c r="X1100" s="186"/>
      <c r="Y1100" s="186"/>
      <c r="Z1100" s="186"/>
      <c r="AA1100" s="186"/>
      <c r="AB1100" s="186"/>
      <c r="AC1100" s="186"/>
      <c r="AD1100" s="186"/>
      <c r="AE1100" s="186"/>
    </row>
    <row r="1101">
      <c r="A1101" s="178"/>
      <c r="B1101" s="36"/>
      <c r="C1101" s="36"/>
      <c r="D1101" s="197"/>
      <c r="E1101" s="180"/>
      <c r="F1101" s="181"/>
      <c r="G1101" s="205"/>
      <c r="H1101" s="205"/>
      <c r="I1101" s="205"/>
      <c r="J1101" s="205"/>
      <c r="K1101" s="205"/>
      <c r="L1101" s="205"/>
      <c r="M1101" s="186"/>
      <c r="N1101" s="186"/>
      <c r="O1101" s="186"/>
      <c r="P1101" s="186"/>
      <c r="Q1101" s="186"/>
      <c r="R1101" s="186"/>
      <c r="S1101" s="186"/>
      <c r="T1101" s="186"/>
      <c r="U1101" s="186"/>
      <c r="V1101" s="186"/>
      <c r="W1101" s="186"/>
      <c r="X1101" s="186"/>
      <c r="Y1101" s="186"/>
      <c r="Z1101" s="186"/>
      <c r="AA1101" s="186"/>
      <c r="AB1101" s="186"/>
      <c r="AC1101" s="186"/>
      <c r="AD1101" s="186"/>
      <c r="AE1101" s="186"/>
    </row>
    <row r="1102">
      <c r="A1102" s="178"/>
      <c r="B1102" s="36"/>
      <c r="C1102" s="36"/>
      <c r="D1102" s="197"/>
      <c r="E1102" s="180"/>
      <c r="F1102" s="181"/>
      <c r="G1102" s="205"/>
      <c r="H1102" s="205"/>
      <c r="I1102" s="205"/>
      <c r="J1102" s="205"/>
      <c r="K1102" s="205"/>
      <c r="L1102" s="205"/>
      <c r="M1102" s="186"/>
      <c r="N1102" s="186"/>
      <c r="O1102" s="186"/>
      <c r="P1102" s="186"/>
      <c r="Q1102" s="186"/>
      <c r="R1102" s="186"/>
      <c r="S1102" s="186"/>
      <c r="T1102" s="186"/>
      <c r="U1102" s="186"/>
      <c r="V1102" s="186"/>
      <c r="W1102" s="186"/>
      <c r="X1102" s="186"/>
      <c r="Y1102" s="186"/>
      <c r="Z1102" s="186"/>
      <c r="AA1102" s="186"/>
      <c r="AB1102" s="186"/>
      <c r="AC1102" s="186"/>
      <c r="AD1102" s="186"/>
      <c r="AE1102" s="186"/>
    </row>
    <row r="1103">
      <c r="A1103" s="178"/>
      <c r="B1103" s="36"/>
      <c r="C1103" s="36"/>
      <c r="D1103" s="197"/>
      <c r="E1103" s="180"/>
      <c r="F1103" s="181"/>
      <c r="G1103" s="205"/>
      <c r="H1103" s="205"/>
      <c r="I1103" s="205"/>
      <c r="J1103" s="205"/>
      <c r="K1103" s="205"/>
      <c r="L1103" s="205"/>
      <c r="M1103" s="186"/>
      <c r="N1103" s="186"/>
      <c r="O1103" s="186"/>
      <c r="P1103" s="186"/>
      <c r="Q1103" s="186"/>
      <c r="R1103" s="186"/>
      <c r="S1103" s="186"/>
      <c r="T1103" s="186"/>
      <c r="U1103" s="186"/>
      <c r="V1103" s="186"/>
      <c r="W1103" s="186"/>
      <c r="X1103" s="186"/>
      <c r="Y1103" s="186"/>
      <c r="Z1103" s="186"/>
      <c r="AA1103" s="186"/>
      <c r="AB1103" s="186"/>
      <c r="AC1103" s="186"/>
      <c r="AD1103" s="186"/>
      <c r="AE1103" s="186"/>
    </row>
    <row r="1104">
      <c r="A1104" s="178"/>
      <c r="B1104" s="36"/>
      <c r="C1104" s="36"/>
      <c r="D1104" s="197"/>
      <c r="E1104" s="180"/>
      <c r="F1104" s="181"/>
      <c r="G1104" s="205"/>
      <c r="H1104" s="205"/>
      <c r="I1104" s="205"/>
      <c r="J1104" s="205"/>
      <c r="K1104" s="205"/>
      <c r="L1104" s="205"/>
      <c r="M1104" s="186"/>
      <c r="N1104" s="186"/>
      <c r="O1104" s="186"/>
      <c r="P1104" s="186"/>
      <c r="Q1104" s="186"/>
      <c r="R1104" s="186"/>
      <c r="S1104" s="186"/>
      <c r="T1104" s="186"/>
      <c r="U1104" s="186"/>
      <c r="V1104" s="186"/>
      <c r="W1104" s="186"/>
      <c r="X1104" s="186"/>
      <c r="Y1104" s="186"/>
      <c r="Z1104" s="186"/>
      <c r="AA1104" s="186"/>
      <c r="AB1104" s="186"/>
      <c r="AC1104" s="186"/>
      <c r="AD1104" s="186"/>
      <c r="AE1104" s="186"/>
    </row>
    <row r="1105">
      <c r="A1105" s="178"/>
      <c r="B1105" s="36"/>
      <c r="C1105" s="36"/>
      <c r="D1105" s="197"/>
      <c r="E1105" s="180"/>
      <c r="F1105" s="181"/>
      <c r="G1105" s="205"/>
      <c r="H1105" s="205"/>
      <c r="I1105" s="205"/>
      <c r="J1105" s="205"/>
      <c r="K1105" s="205"/>
      <c r="L1105" s="205"/>
      <c r="M1105" s="186"/>
      <c r="N1105" s="186"/>
      <c r="O1105" s="186"/>
      <c r="P1105" s="186"/>
      <c r="Q1105" s="186"/>
      <c r="R1105" s="186"/>
      <c r="S1105" s="186"/>
      <c r="T1105" s="186"/>
      <c r="U1105" s="186"/>
      <c r="V1105" s="186"/>
      <c r="W1105" s="186"/>
      <c r="X1105" s="186"/>
      <c r="Y1105" s="186"/>
      <c r="Z1105" s="186"/>
      <c r="AA1105" s="186"/>
      <c r="AB1105" s="186"/>
      <c r="AC1105" s="186"/>
      <c r="AD1105" s="186"/>
      <c r="AE1105" s="186"/>
    </row>
    <row r="1106">
      <c r="A1106" s="178"/>
      <c r="B1106" s="36"/>
      <c r="C1106" s="36"/>
      <c r="D1106" s="197"/>
      <c r="E1106" s="180"/>
      <c r="F1106" s="181"/>
      <c r="G1106" s="205"/>
      <c r="H1106" s="205"/>
      <c r="I1106" s="205"/>
      <c r="J1106" s="205"/>
      <c r="K1106" s="205"/>
      <c r="L1106" s="205"/>
      <c r="M1106" s="186"/>
      <c r="N1106" s="186"/>
      <c r="O1106" s="186"/>
      <c r="P1106" s="186"/>
      <c r="Q1106" s="186"/>
      <c r="R1106" s="186"/>
      <c r="S1106" s="186"/>
      <c r="T1106" s="186"/>
      <c r="U1106" s="186"/>
      <c r="V1106" s="186"/>
      <c r="W1106" s="186"/>
      <c r="X1106" s="186"/>
      <c r="Y1106" s="186"/>
      <c r="Z1106" s="186"/>
      <c r="AA1106" s="186"/>
      <c r="AB1106" s="186"/>
      <c r="AC1106" s="186"/>
      <c r="AD1106" s="186"/>
      <c r="AE1106" s="186"/>
    </row>
    <row r="1107">
      <c r="A1107" s="178"/>
      <c r="B1107" s="36"/>
      <c r="C1107" s="36"/>
      <c r="D1107" s="197"/>
      <c r="E1107" s="180"/>
      <c r="F1107" s="181"/>
      <c r="G1107" s="205"/>
      <c r="H1107" s="205"/>
      <c r="I1107" s="205"/>
      <c r="J1107" s="205"/>
      <c r="K1107" s="205"/>
      <c r="L1107" s="205"/>
      <c r="M1107" s="186"/>
      <c r="N1107" s="186"/>
      <c r="O1107" s="186"/>
      <c r="P1107" s="186"/>
      <c r="Q1107" s="186"/>
      <c r="R1107" s="186"/>
      <c r="S1107" s="186"/>
      <c r="T1107" s="186"/>
      <c r="U1107" s="186"/>
      <c r="V1107" s="186"/>
      <c r="W1107" s="186"/>
      <c r="X1107" s="186"/>
      <c r="Y1107" s="186"/>
      <c r="Z1107" s="186"/>
      <c r="AA1107" s="186"/>
      <c r="AB1107" s="186"/>
      <c r="AC1107" s="186"/>
      <c r="AD1107" s="186"/>
      <c r="AE1107" s="186"/>
    </row>
    <row r="1108">
      <c r="A1108" s="178"/>
      <c r="B1108" s="36"/>
      <c r="C1108" s="36"/>
      <c r="D1108" s="197"/>
      <c r="E1108" s="180"/>
      <c r="F1108" s="181"/>
      <c r="G1108" s="205"/>
      <c r="H1108" s="205"/>
      <c r="I1108" s="205"/>
      <c r="J1108" s="205"/>
      <c r="K1108" s="205"/>
      <c r="L1108" s="205"/>
      <c r="M1108" s="186"/>
      <c r="N1108" s="186"/>
      <c r="O1108" s="186"/>
      <c r="P1108" s="186"/>
      <c r="Q1108" s="186"/>
      <c r="R1108" s="186"/>
      <c r="S1108" s="186"/>
      <c r="T1108" s="186"/>
      <c r="U1108" s="186"/>
      <c r="V1108" s="186"/>
      <c r="W1108" s="186"/>
      <c r="X1108" s="186"/>
      <c r="Y1108" s="186"/>
      <c r="Z1108" s="186"/>
      <c r="AA1108" s="186"/>
      <c r="AB1108" s="186"/>
      <c r="AC1108" s="186"/>
      <c r="AD1108" s="186"/>
      <c r="AE1108" s="186"/>
    </row>
    <row r="1109">
      <c r="A1109" s="178"/>
      <c r="B1109" s="36"/>
      <c r="C1109" s="36"/>
      <c r="D1109" s="197"/>
      <c r="E1109" s="180"/>
      <c r="F1109" s="181"/>
      <c r="G1109" s="205"/>
      <c r="H1109" s="205"/>
      <c r="I1109" s="205"/>
      <c r="J1109" s="205"/>
      <c r="K1109" s="205"/>
      <c r="L1109" s="205"/>
      <c r="M1109" s="186"/>
      <c r="N1109" s="186"/>
      <c r="O1109" s="186"/>
      <c r="P1109" s="186"/>
      <c r="Q1109" s="186"/>
      <c r="R1109" s="186"/>
      <c r="S1109" s="186"/>
      <c r="T1109" s="186"/>
      <c r="U1109" s="186"/>
      <c r="V1109" s="186"/>
      <c r="W1109" s="186"/>
      <c r="X1109" s="186"/>
      <c r="Y1109" s="186"/>
      <c r="Z1109" s="186"/>
      <c r="AA1109" s="186"/>
      <c r="AB1109" s="186"/>
      <c r="AC1109" s="186"/>
      <c r="AD1109" s="186"/>
      <c r="AE1109" s="186"/>
    </row>
    <row r="1110">
      <c r="A1110" s="178"/>
      <c r="B1110" s="36"/>
      <c r="C1110" s="36"/>
      <c r="D1110" s="197"/>
      <c r="E1110" s="180"/>
      <c r="F1110" s="181"/>
      <c r="G1110" s="205"/>
      <c r="H1110" s="205"/>
      <c r="I1110" s="205"/>
      <c r="J1110" s="205"/>
      <c r="K1110" s="205"/>
      <c r="L1110" s="205"/>
      <c r="M1110" s="186"/>
      <c r="N1110" s="186"/>
      <c r="O1110" s="186"/>
      <c r="P1110" s="186"/>
      <c r="Q1110" s="186"/>
      <c r="R1110" s="186"/>
      <c r="S1110" s="186"/>
      <c r="T1110" s="186"/>
      <c r="U1110" s="186"/>
      <c r="V1110" s="186"/>
      <c r="W1110" s="186"/>
      <c r="X1110" s="186"/>
      <c r="Y1110" s="186"/>
      <c r="Z1110" s="186"/>
      <c r="AA1110" s="186"/>
      <c r="AB1110" s="186"/>
      <c r="AC1110" s="186"/>
      <c r="AD1110" s="186"/>
      <c r="AE1110" s="186"/>
    </row>
    <row r="1111">
      <c r="A1111" s="178"/>
      <c r="B1111" s="36"/>
      <c r="C1111" s="36"/>
      <c r="D1111" s="197"/>
      <c r="E1111" s="180"/>
      <c r="F1111" s="181"/>
      <c r="G1111" s="205"/>
      <c r="H1111" s="205"/>
      <c r="I1111" s="205"/>
      <c r="J1111" s="205"/>
      <c r="K1111" s="205"/>
      <c r="L1111" s="205"/>
      <c r="M1111" s="186"/>
      <c r="N1111" s="186"/>
      <c r="O1111" s="186"/>
      <c r="P1111" s="186"/>
      <c r="Q1111" s="186"/>
      <c r="R1111" s="186"/>
      <c r="S1111" s="186"/>
      <c r="T1111" s="186"/>
      <c r="U1111" s="186"/>
      <c r="V1111" s="186"/>
      <c r="W1111" s="186"/>
      <c r="X1111" s="186"/>
      <c r="Y1111" s="186"/>
      <c r="Z1111" s="186"/>
      <c r="AA1111" s="186"/>
      <c r="AB1111" s="186"/>
      <c r="AC1111" s="186"/>
      <c r="AD1111" s="186"/>
      <c r="AE1111" s="186"/>
    </row>
    <row r="1112">
      <c r="A1112" s="178"/>
      <c r="B1112" s="36"/>
      <c r="C1112" s="36"/>
      <c r="D1112" s="197"/>
      <c r="E1112" s="180"/>
      <c r="F1112" s="181"/>
      <c r="G1112" s="205"/>
      <c r="H1112" s="205"/>
      <c r="I1112" s="205"/>
      <c r="J1112" s="205"/>
      <c r="K1112" s="205"/>
      <c r="L1112" s="205"/>
      <c r="M1112" s="186"/>
      <c r="N1112" s="186"/>
      <c r="O1112" s="186"/>
      <c r="P1112" s="186"/>
      <c r="Q1112" s="186"/>
      <c r="R1112" s="186"/>
      <c r="S1112" s="186"/>
      <c r="T1112" s="186"/>
      <c r="U1112" s="186"/>
      <c r="V1112" s="186"/>
      <c r="W1112" s="186"/>
      <c r="X1112" s="186"/>
      <c r="Y1112" s="186"/>
      <c r="Z1112" s="186"/>
      <c r="AA1112" s="186"/>
      <c r="AB1112" s="186"/>
      <c r="AC1112" s="186"/>
      <c r="AD1112" s="186"/>
      <c r="AE1112" s="186"/>
    </row>
    <row r="1113">
      <c r="A1113" s="178"/>
      <c r="B1113" s="36"/>
      <c r="C1113" s="36"/>
      <c r="D1113" s="197"/>
      <c r="E1113" s="180"/>
      <c r="F1113" s="181"/>
      <c r="G1113" s="205"/>
      <c r="H1113" s="205"/>
      <c r="I1113" s="205"/>
      <c r="J1113" s="205"/>
      <c r="K1113" s="205"/>
      <c r="L1113" s="205"/>
      <c r="M1113" s="186"/>
      <c r="N1113" s="186"/>
      <c r="O1113" s="186"/>
      <c r="P1113" s="186"/>
      <c r="Q1113" s="186"/>
      <c r="R1113" s="186"/>
      <c r="S1113" s="186"/>
      <c r="T1113" s="186"/>
      <c r="U1113" s="186"/>
      <c r="V1113" s="186"/>
      <c r="W1113" s="186"/>
      <c r="X1113" s="186"/>
      <c r="Y1113" s="186"/>
      <c r="Z1113" s="186"/>
      <c r="AA1113" s="186"/>
      <c r="AB1113" s="186"/>
      <c r="AC1113" s="186"/>
      <c r="AD1113" s="186"/>
      <c r="AE1113" s="186"/>
    </row>
    <row r="1114">
      <c r="A1114" s="178"/>
      <c r="B1114" s="36"/>
      <c r="C1114" s="36"/>
      <c r="D1114" s="197"/>
      <c r="E1114" s="180"/>
      <c r="F1114" s="181"/>
      <c r="G1114" s="205"/>
      <c r="H1114" s="205"/>
      <c r="I1114" s="205"/>
      <c r="J1114" s="205"/>
      <c r="K1114" s="205"/>
      <c r="L1114" s="205"/>
      <c r="M1114" s="186"/>
      <c r="N1114" s="186"/>
      <c r="O1114" s="186"/>
      <c r="P1114" s="186"/>
      <c r="Q1114" s="186"/>
      <c r="R1114" s="186"/>
      <c r="S1114" s="186"/>
      <c r="T1114" s="186"/>
      <c r="U1114" s="186"/>
      <c r="V1114" s="186"/>
      <c r="W1114" s="186"/>
      <c r="X1114" s="186"/>
      <c r="Y1114" s="186"/>
      <c r="Z1114" s="186"/>
      <c r="AA1114" s="186"/>
      <c r="AB1114" s="186"/>
      <c r="AC1114" s="186"/>
      <c r="AD1114" s="186"/>
      <c r="AE1114" s="186"/>
    </row>
    <row r="1115">
      <c r="A1115" s="178"/>
      <c r="B1115" s="36"/>
      <c r="C1115" s="36"/>
      <c r="D1115" s="197"/>
      <c r="E1115" s="180"/>
      <c r="F1115" s="181"/>
      <c r="G1115" s="205"/>
      <c r="H1115" s="205"/>
      <c r="I1115" s="205"/>
      <c r="J1115" s="205"/>
      <c r="K1115" s="205"/>
      <c r="L1115" s="205"/>
      <c r="M1115" s="186"/>
      <c r="N1115" s="186"/>
      <c r="O1115" s="186"/>
      <c r="P1115" s="186"/>
      <c r="Q1115" s="186"/>
      <c r="R1115" s="186"/>
      <c r="S1115" s="186"/>
      <c r="T1115" s="186"/>
      <c r="U1115" s="186"/>
      <c r="V1115" s="186"/>
      <c r="W1115" s="186"/>
      <c r="X1115" s="186"/>
      <c r="Y1115" s="186"/>
      <c r="Z1115" s="186"/>
      <c r="AA1115" s="186"/>
      <c r="AB1115" s="186"/>
      <c r="AC1115" s="186"/>
      <c r="AD1115" s="186"/>
      <c r="AE1115" s="186"/>
    </row>
    <row r="1116">
      <c r="A1116" s="178"/>
      <c r="B1116" s="36"/>
      <c r="C1116" s="36"/>
      <c r="D1116" s="197"/>
      <c r="E1116" s="180"/>
      <c r="F1116" s="181"/>
      <c r="G1116" s="205"/>
      <c r="H1116" s="205"/>
      <c r="I1116" s="205"/>
      <c r="J1116" s="205"/>
      <c r="K1116" s="205"/>
      <c r="L1116" s="205"/>
      <c r="M1116" s="186"/>
      <c r="N1116" s="186"/>
      <c r="O1116" s="186"/>
      <c r="P1116" s="186"/>
      <c r="Q1116" s="186"/>
      <c r="R1116" s="186"/>
      <c r="S1116" s="186"/>
      <c r="T1116" s="186"/>
      <c r="U1116" s="186"/>
      <c r="V1116" s="186"/>
      <c r="W1116" s="186"/>
      <c r="X1116" s="186"/>
      <c r="Y1116" s="186"/>
      <c r="Z1116" s="186"/>
      <c r="AA1116" s="186"/>
      <c r="AB1116" s="186"/>
      <c r="AC1116" s="186"/>
      <c r="AD1116" s="186"/>
      <c r="AE1116" s="186"/>
    </row>
    <row r="1117">
      <c r="A1117" s="178"/>
      <c r="B1117" s="36"/>
      <c r="C1117" s="36"/>
      <c r="D1117" s="197"/>
      <c r="E1117" s="180"/>
      <c r="F1117" s="181"/>
      <c r="G1117" s="205"/>
      <c r="H1117" s="205"/>
      <c r="I1117" s="205"/>
      <c r="J1117" s="205"/>
      <c r="K1117" s="205"/>
      <c r="L1117" s="205"/>
      <c r="M1117" s="186"/>
      <c r="N1117" s="186"/>
      <c r="O1117" s="186"/>
      <c r="P1117" s="186"/>
      <c r="Q1117" s="186"/>
      <c r="R1117" s="186"/>
      <c r="S1117" s="186"/>
      <c r="T1117" s="186"/>
      <c r="U1117" s="186"/>
      <c r="V1117" s="186"/>
      <c r="W1117" s="186"/>
      <c r="X1117" s="186"/>
      <c r="Y1117" s="186"/>
      <c r="Z1117" s="186"/>
      <c r="AA1117" s="186"/>
      <c r="AB1117" s="186"/>
      <c r="AC1117" s="186"/>
      <c r="AD1117" s="186"/>
      <c r="AE1117" s="186"/>
    </row>
    <row r="1118">
      <c r="A1118" s="178"/>
      <c r="B1118" s="36"/>
      <c r="C1118" s="36"/>
      <c r="D1118" s="197"/>
      <c r="E1118" s="180"/>
      <c r="F1118" s="181"/>
      <c r="G1118" s="205"/>
      <c r="H1118" s="205"/>
      <c r="I1118" s="205"/>
      <c r="J1118" s="205"/>
      <c r="K1118" s="205"/>
      <c r="L1118" s="205"/>
      <c r="M1118" s="186"/>
      <c r="N1118" s="186"/>
      <c r="O1118" s="186"/>
      <c r="P1118" s="186"/>
      <c r="Q1118" s="186"/>
      <c r="R1118" s="186"/>
      <c r="S1118" s="186"/>
      <c r="T1118" s="186"/>
      <c r="U1118" s="186"/>
      <c r="V1118" s="186"/>
      <c r="W1118" s="186"/>
      <c r="X1118" s="186"/>
      <c r="Y1118" s="186"/>
      <c r="Z1118" s="186"/>
      <c r="AA1118" s="186"/>
      <c r="AB1118" s="186"/>
      <c r="AC1118" s="186"/>
      <c r="AD1118" s="186"/>
      <c r="AE1118" s="186"/>
    </row>
    <row r="1119">
      <c r="A1119" s="178"/>
      <c r="B1119" s="36"/>
      <c r="C1119" s="36"/>
      <c r="D1119" s="197"/>
      <c r="E1119" s="180"/>
      <c r="F1119" s="181"/>
      <c r="G1119" s="205"/>
      <c r="H1119" s="205"/>
      <c r="I1119" s="205"/>
      <c r="J1119" s="205"/>
      <c r="K1119" s="205"/>
      <c r="L1119" s="205"/>
      <c r="M1119" s="186"/>
      <c r="N1119" s="186"/>
      <c r="O1119" s="186"/>
      <c r="P1119" s="186"/>
      <c r="Q1119" s="186"/>
      <c r="R1119" s="186"/>
      <c r="S1119" s="186"/>
      <c r="T1119" s="186"/>
      <c r="U1119" s="186"/>
      <c r="V1119" s="186"/>
      <c r="W1119" s="186"/>
      <c r="X1119" s="186"/>
      <c r="Y1119" s="186"/>
      <c r="Z1119" s="186"/>
      <c r="AA1119" s="186"/>
      <c r="AB1119" s="186"/>
      <c r="AC1119" s="186"/>
      <c r="AD1119" s="186"/>
      <c r="AE1119" s="186"/>
    </row>
    <row r="1120">
      <c r="A1120" s="178"/>
      <c r="B1120" s="36"/>
      <c r="C1120" s="36"/>
      <c r="D1120" s="197"/>
      <c r="E1120" s="180"/>
      <c r="F1120" s="181"/>
      <c r="G1120" s="205"/>
      <c r="H1120" s="205"/>
      <c r="I1120" s="205"/>
      <c r="J1120" s="205"/>
      <c r="K1120" s="205"/>
      <c r="L1120" s="205"/>
      <c r="M1120" s="186"/>
      <c r="N1120" s="186"/>
      <c r="O1120" s="186"/>
      <c r="P1120" s="186"/>
      <c r="Q1120" s="186"/>
      <c r="R1120" s="186"/>
      <c r="S1120" s="186"/>
      <c r="T1120" s="186"/>
      <c r="U1120" s="186"/>
      <c r="V1120" s="186"/>
      <c r="W1120" s="186"/>
      <c r="X1120" s="186"/>
      <c r="Y1120" s="186"/>
      <c r="Z1120" s="186"/>
      <c r="AA1120" s="186"/>
      <c r="AB1120" s="186"/>
      <c r="AC1120" s="186"/>
      <c r="AD1120" s="186"/>
      <c r="AE1120" s="186"/>
    </row>
    <row r="1121">
      <c r="A1121" s="178"/>
      <c r="B1121" s="36"/>
      <c r="C1121" s="36"/>
      <c r="D1121" s="197"/>
      <c r="E1121" s="180"/>
      <c r="F1121" s="181"/>
      <c r="G1121" s="205"/>
      <c r="H1121" s="205"/>
      <c r="I1121" s="205"/>
      <c r="J1121" s="205"/>
      <c r="K1121" s="205"/>
      <c r="L1121" s="205"/>
      <c r="M1121" s="186"/>
      <c r="N1121" s="186"/>
      <c r="O1121" s="186"/>
      <c r="P1121" s="186"/>
      <c r="Q1121" s="186"/>
      <c r="R1121" s="186"/>
      <c r="S1121" s="186"/>
      <c r="T1121" s="186"/>
      <c r="U1121" s="186"/>
      <c r="V1121" s="186"/>
      <c r="W1121" s="186"/>
      <c r="X1121" s="186"/>
      <c r="Y1121" s="186"/>
      <c r="Z1121" s="186"/>
      <c r="AA1121" s="186"/>
      <c r="AB1121" s="186"/>
      <c r="AC1121" s="186"/>
      <c r="AD1121" s="186"/>
      <c r="AE1121" s="186"/>
    </row>
    <row r="1122">
      <c r="A1122" s="178"/>
      <c r="B1122" s="36"/>
      <c r="C1122" s="36"/>
      <c r="D1122" s="197"/>
      <c r="E1122" s="180"/>
      <c r="F1122" s="181"/>
      <c r="G1122" s="205"/>
      <c r="H1122" s="205"/>
      <c r="I1122" s="205"/>
      <c r="J1122" s="205"/>
      <c r="K1122" s="205"/>
      <c r="L1122" s="205"/>
      <c r="M1122" s="186"/>
      <c r="N1122" s="186"/>
      <c r="O1122" s="186"/>
      <c r="P1122" s="186"/>
      <c r="Q1122" s="186"/>
      <c r="R1122" s="186"/>
      <c r="S1122" s="186"/>
      <c r="T1122" s="186"/>
      <c r="U1122" s="186"/>
      <c r="V1122" s="186"/>
      <c r="W1122" s="186"/>
      <c r="X1122" s="186"/>
      <c r="Y1122" s="186"/>
      <c r="Z1122" s="186"/>
      <c r="AA1122" s="186"/>
      <c r="AB1122" s="186"/>
      <c r="AC1122" s="186"/>
      <c r="AD1122" s="186"/>
      <c r="AE1122" s="186"/>
    </row>
    <row r="1123">
      <c r="A1123" s="178"/>
      <c r="B1123" s="36"/>
      <c r="C1123" s="36"/>
      <c r="D1123" s="197"/>
      <c r="E1123" s="180"/>
      <c r="F1123" s="181"/>
      <c r="G1123" s="205"/>
      <c r="H1123" s="205"/>
      <c r="I1123" s="205"/>
      <c r="J1123" s="205"/>
      <c r="K1123" s="205"/>
      <c r="L1123" s="205"/>
      <c r="M1123" s="186"/>
      <c r="N1123" s="186"/>
      <c r="O1123" s="186"/>
      <c r="P1123" s="186"/>
      <c r="Q1123" s="186"/>
      <c r="R1123" s="186"/>
      <c r="S1123" s="186"/>
      <c r="T1123" s="186"/>
      <c r="U1123" s="186"/>
      <c r="V1123" s="186"/>
      <c r="W1123" s="186"/>
      <c r="X1123" s="186"/>
      <c r="Y1123" s="186"/>
      <c r="Z1123" s="186"/>
      <c r="AA1123" s="186"/>
      <c r="AB1123" s="186"/>
      <c r="AC1123" s="186"/>
      <c r="AD1123" s="186"/>
      <c r="AE1123" s="186"/>
    </row>
  </sheetData>
  <conditionalFormatting sqref="H1:AE1123 G2:G1123">
    <cfRule type="cellIs" dxfId="1" priority="1" operator="between">
      <formula>0.001</formula>
      <formula>-0.001</formula>
    </cfRule>
  </conditionalFormatting>
  <conditionalFormatting sqref="L1:AE1123">
    <cfRule type="cellIs" dxfId="0" priority="2" operator="lessThan">
      <formula>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5" width="11.25"/>
  </cols>
  <sheetData>
    <row r="1">
      <c r="A1" s="177">
        <f t="array" ref="A1:Y1">SUMIF(IF(ROW(A3:Y624),COLUMN(A3:Y624)),COLUMN(A3:Y624),A3:Y624)</f>
        <v>0</v>
      </c>
      <c r="B1" s="177">
        <v>1.0</v>
      </c>
      <c r="C1" s="177">
        <v>1.0</v>
      </c>
      <c r="D1" s="177">
        <v>1.0</v>
      </c>
      <c r="E1" s="177">
        <v>1.0</v>
      </c>
      <c r="F1" s="177">
        <v>0.0</v>
      </c>
      <c r="G1" s="177">
        <v>0.0</v>
      </c>
      <c r="H1" s="177">
        <v>5.684341886080801E-13</v>
      </c>
      <c r="I1" s="177">
        <v>0.0</v>
      </c>
      <c r="J1" s="177">
        <v>111981.0</v>
      </c>
      <c r="K1" s="177">
        <v>0.0</v>
      </c>
      <c r="L1" s="177">
        <v>0.0</v>
      </c>
      <c r="M1" s="177">
        <v>170326.0</v>
      </c>
      <c r="N1" s="177">
        <v>1.0</v>
      </c>
      <c r="O1" s="177">
        <v>0.0</v>
      </c>
      <c r="P1" s="177">
        <v>0.0</v>
      </c>
      <c r="Q1" s="177">
        <v>0.0</v>
      </c>
      <c r="R1" s="177">
        <v>0.0</v>
      </c>
      <c r="S1" s="177">
        <v>1.0</v>
      </c>
      <c r="T1" s="177">
        <v>0.0</v>
      </c>
      <c r="U1" s="177">
        <v>0.0</v>
      </c>
      <c r="V1" s="177">
        <v>0.0</v>
      </c>
      <c r="W1" s="177">
        <v>0.0</v>
      </c>
      <c r="X1" s="177">
        <v>0.0</v>
      </c>
      <c r="Y1" s="177">
        <v>0.0</v>
      </c>
    </row>
    <row r="2">
      <c r="A2" s="177" t="str">
        <f t="array" ref="A2:S1124">{TRANSPOSE(UNIQUE(BisaRekapBarangBackend!A2:A624));
IF(BisaRekapBarangBackend!D2:D624="",,0
+ SUMIF(BisaStok!A3:A624&amp;BisaStok!D3:D624&amp;(BisaStok!C3:C624&gt;0),BisaRekapBarangBackend!D2:D624&amp;TRANSPOSE(UNIQUE(BisaRekapBarangBackend!A2:A624))&amp;TRUE,BisaStok!Q3:Q624)
+ SUMIF(BisaPindahBarang!B2:B624&amp;BisaPindahBarang!C2:C624,BisaRekapBarangBackend!D2:D624&amp;TRANSPOSE(UNIQUE(BisaRekapBarangBackend!A2:A624)),BisaPindahBarang!E2:E624)
- SUMIF(BisaPindahBarang!B2:B624&amp;BisaPindahBarang!D2:D624,BisaRekapBarangBackend!D2:D624&amp;TRANSPOSE(UNIQUE(BisaRekapBarangBackend!A2:A624)),BisaPindahBarang!E2:E624)
- SUMIF('Import-BisaJual'!A2:A624&amp;'Import-BisaJual'!C2:C624,BisaRekapBarangBackend!D2:D624&amp;TRANSPOSE(UNIQUE(BisaRekapBarangBackend!A2:A624)),'Import-BisaJual'!D2:D624)
+ SUMIF(BisaHilang!B2:B624&amp;BisaHilang!G2:G624,BisaRekapBarangBackend!D2:D624&amp;TRANSPOSE(UNIQUE(BisaRekapBarangBackend!A2:A624)),BisaHilang!C2:C624)
- SUMIF(BisaHilang!B2:B624&amp;BisaHilang!G2:G624,BisaRekapBarangBackend!D2:D624&amp;TRANSPOSE(UNIQUE(BisaRekapBarangBackend!A2:A624)),BisaHilang!E2:E624)
)}</f>
        <v>AVRG ITB</v>
      </c>
      <c r="B2" s="177" t="s">
        <v>828</v>
      </c>
      <c r="C2" s="177" t="s">
        <v>831</v>
      </c>
      <c r="D2" s="177" t="s">
        <v>834</v>
      </c>
      <c r="E2" s="177" t="s">
        <v>837</v>
      </c>
      <c r="F2" s="177" t="s">
        <v>226</v>
      </c>
      <c r="G2" s="177" t="s">
        <v>229</v>
      </c>
      <c r="H2" s="177" t="s">
        <v>232</v>
      </c>
      <c r="I2" s="177" t="s">
        <v>48</v>
      </c>
      <c r="J2" s="177" t="s">
        <v>37</v>
      </c>
      <c r="K2" s="177" t="s">
        <v>163</v>
      </c>
      <c r="L2" s="177" t="s">
        <v>1008</v>
      </c>
      <c r="M2" s="177" t="s">
        <v>33</v>
      </c>
      <c r="N2" s="177" t="s">
        <v>840</v>
      </c>
      <c r="O2" s="177" t="s">
        <v>1038</v>
      </c>
      <c r="P2" s="177" t="s">
        <v>56</v>
      </c>
      <c r="Q2" s="177" t="s">
        <v>68</v>
      </c>
      <c r="R2" s="177" t="s">
        <v>98</v>
      </c>
      <c r="S2" s="177"/>
      <c r="T2" s="177"/>
      <c r="U2" s="177"/>
      <c r="V2" s="177"/>
      <c r="W2" s="177"/>
      <c r="X2" s="177"/>
      <c r="Y2" s="177"/>
    </row>
    <row r="3">
      <c r="A3" s="127">
        <v>0.0</v>
      </c>
      <c r="B3" s="127">
        <v>0.0</v>
      </c>
      <c r="C3" s="127">
        <v>0.0</v>
      </c>
      <c r="D3" s="127">
        <v>0.0</v>
      </c>
      <c r="E3" s="127">
        <v>0.0</v>
      </c>
      <c r="F3" s="127">
        <v>0.0</v>
      </c>
      <c r="G3" s="127">
        <v>0.0</v>
      </c>
      <c r="H3" s="127">
        <v>0.0</v>
      </c>
      <c r="I3" s="127">
        <v>0.0</v>
      </c>
      <c r="J3" s="127">
        <v>255.0</v>
      </c>
      <c r="K3" s="127">
        <v>0.0</v>
      </c>
      <c r="L3" s="127">
        <v>0.0</v>
      </c>
      <c r="M3" s="127">
        <v>7050.0</v>
      </c>
      <c r="N3" s="127">
        <v>0.0</v>
      </c>
      <c r="O3" s="127">
        <v>0.0</v>
      </c>
      <c r="P3" s="127">
        <v>0.0</v>
      </c>
      <c r="Q3" s="127">
        <v>0.0</v>
      </c>
      <c r="R3" s="127">
        <v>0.0</v>
      </c>
      <c r="S3" s="127">
        <v>0.0</v>
      </c>
      <c r="T3" s="127"/>
      <c r="U3" s="127"/>
      <c r="V3" s="127"/>
      <c r="W3" s="127"/>
      <c r="X3" s="127"/>
      <c r="Y3" s="127"/>
    </row>
    <row r="4">
      <c r="A4" s="127">
        <v>0.0</v>
      </c>
      <c r="B4" s="127">
        <v>0.0</v>
      </c>
      <c r="C4" s="127">
        <v>0.0</v>
      </c>
      <c r="D4" s="127">
        <v>0.0</v>
      </c>
      <c r="E4" s="127">
        <v>0.0</v>
      </c>
      <c r="F4" s="127">
        <v>0.0</v>
      </c>
      <c r="G4" s="127">
        <v>0.0</v>
      </c>
      <c r="H4" s="127">
        <v>0.0</v>
      </c>
      <c r="I4" s="127">
        <v>0.0</v>
      </c>
      <c r="J4" s="127">
        <v>519.0</v>
      </c>
      <c r="K4" s="127">
        <v>0.0</v>
      </c>
      <c r="L4" s="127">
        <v>0.0</v>
      </c>
      <c r="M4" s="127">
        <v>1640.0</v>
      </c>
      <c r="N4" s="127">
        <v>0.0</v>
      </c>
      <c r="O4" s="127">
        <v>0.0</v>
      </c>
      <c r="P4" s="127">
        <v>0.0</v>
      </c>
      <c r="Q4" s="127">
        <v>0.0</v>
      </c>
      <c r="R4" s="127">
        <v>0.0</v>
      </c>
      <c r="S4" s="127">
        <v>0.0</v>
      </c>
      <c r="T4" s="127"/>
      <c r="U4" s="127"/>
      <c r="V4" s="127"/>
      <c r="W4" s="127"/>
      <c r="X4" s="127"/>
      <c r="Y4" s="127"/>
    </row>
    <row r="5">
      <c r="A5" s="127">
        <v>0.0</v>
      </c>
      <c r="B5" s="127">
        <v>0.0</v>
      </c>
      <c r="C5" s="127">
        <v>0.0</v>
      </c>
      <c r="D5" s="127">
        <v>0.0</v>
      </c>
      <c r="E5" s="127">
        <v>0.0</v>
      </c>
      <c r="F5" s="127">
        <v>0.0</v>
      </c>
      <c r="G5" s="127">
        <v>0.0</v>
      </c>
      <c r="H5" s="127">
        <v>0.0</v>
      </c>
      <c r="I5" s="127">
        <v>0.0</v>
      </c>
      <c r="J5" s="127">
        <v>782.0</v>
      </c>
      <c r="K5" s="127">
        <v>0.0</v>
      </c>
      <c r="L5" s="127">
        <v>0.0</v>
      </c>
      <c r="M5" s="127">
        <v>1335.0</v>
      </c>
      <c r="N5" s="127">
        <v>0.0</v>
      </c>
      <c r="O5" s="127">
        <v>0.0</v>
      </c>
      <c r="P5" s="127">
        <v>0.0</v>
      </c>
      <c r="Q5" s="127">
        <v>0.0</v>
      </c>
      <c r="R5" s="127">
        <v>0.0</v>
      </c>
      <c r="S5" s="127">
        <v>0.0</v>
      </c>
      <c r="T5" s="127"/>
      <c r="U5" s="127"/>
      <c r="V5" s="127"/>
      <c r="W5" s="127"/>
      <c r="X5" s="127"/>
      <c r="Y5" s="127"/>
    </row>
    <row r="6">
      <c r="A6" s="127">
        <v>0.0</v>
      </c>
      <c r="B6" s="127">
        <v>0.0</v>
      </c>
      <c r="C6" s="127">
        <v>0.0</v>
      </c>
      <c r="D6" s="127">
        <v>0.0</v>
      </c>
      <c r="E6" s="127">
        <v>0.0</v>
      </c>
      <c r="F6" s="127">
        <v>0.0</v>
      </c>
      <c r="G6" s="127">
        <v>0.0</v>
      </c>
      <c r="H6" s="127">
        <v>0.0</v>
      </c>
      <c r="I6" s="127">
        <v>0.0</v>
      </c>
      <c r="J6" s="127">
        <v>0.0</v>
      </c>
      <c r="K6" s="127">
        <v>0.0</v>
      </c>
      <c r="L6" s="127">
        <v>0.0</v>
      </c>
      <c r="M6" s="127">
        <v>0.0</v>
      </c>
      <c r="N6" s="127">
        <v>0.0</v>
      </c>
      <c r="O6" s="127">
        <v>0.0</v>
      </c>
      <c r="P6" s="127">
        <v>0.0</v>
      </c>
      <c r="Q6" s="127">
        <v>0.0</v>
      </c>
      <c r="R6" s="127">
        <v>0.0</v>
      </c>
      <c r="S6" s="127">
        <v>0.0</v>
      </c>
      <c r="T6" s="127"/>
      <c r="U6" s="127"/>
      <c r="V6" s="127"/>
      <c r="W6" s="127"/>
      <c r="X6" s="127"/>
      <c r="Y6" s="127"/>
    </row>
    <row r="7">
      <c r="A7" s="127">
        <v>0.0</v>
      </c>
      <c r="B7" s="127">
        <v>0.0</v>
      </c>
      <c r="C7" s="127">
        <v>0.0</v>
      </c>
      <c r="D7" s="127">
        <v>0.0</v>
      </c>
      <c r="E7" s="127">
        <v>0.0</v>
      </c>
      <c r="F7" s="127">
        <v>0.0</v>
      </c>
      <c r="G7" s="127">
        <v>0.0</v>
      </c>
      <c r="H7" s="127">
        <v>0.0</v>
      </c>
      <c r="I7" s="127">
        <v>0.0</v>
      </c>
      <c r="J7" s="127">
        <v>1752.0</v>
      </c>
      <c r="K7" s="127">
        <v>0.0</v>
      </c>
      <c r="L7" s="127">
        <v>0.0</v>
      </c>
      <c r="M7" s="127">
        <v>1114.0</v>
      </c>
      <c r="N7" s="127">
        <v>0.0</v>
      </c>
      <c r="O7" s="127">
        <v>0.0</v>
      </c>
      <c r="P7" s="127">
        <v>-3.0</v>
      </c>
      <c r="Q7" s="127">
        <v>0.0</v>
      </c>
      <c r="R7" s="127">
        <v>0.0</v>
      </c>
      <c r="S7" s="127">
        <v>0.0</v>
      </c>
      <c r="T7" s="127"/>
      <c r="U7" s="127"/>
      <c r="V7" s="127"/>
      <c r="W7" s="127"/>
      <c r="X7" s="127"/>
      <c r="Y7" s="127"/>
    </row>
    <row r="8">
      <c r="A8" s="127">
        <v>0.0</v>
      </c>
      <c r="B8" s="127">
        <v>0.0</v>
      </c>
      <c r="C8" s="127">
        <v>0.0</v>
      </c>
      <c r="D8" s="127">
        <v>0.0</v>
      </c>
      <c r="E8" s="127">
        <v>0.0</v>
      </c>
      <c r="F8" s="127">
        <v>0.0</v>
      </c>
      <c r="G8" s="127">
        <v>0.0</v>
      </c>
      <c r="H8" s="127">
        <v>0.0</v>
      </c>
      <c r="I8" s="127">
        <v>0.0</v>
      </c>
      <c r="J8" s="127">
        <v>0.0</v>
      </c>
      <c r="K8" s="127">
        <v>0.0</v>
      </c>
      <c r="L8" s="127">
        <v>0.0</v>
      </c>
      <c r="M8" s="127">
        <v>0.0</v>
      </c>
      <c r="N8" s="127">
        <v>0.0</v>
      </c>
      <c r="O8" s="127">
        <v>0.0</v>
      </c>
      <c r="P8" s="127">
        <v>0.0</v>
      </c>
      <c r="Q8" s="127">
        <v>0.0</v>
      </c>
      <c r="R8" s="127">
        <v>0.0</v>
      </c>
      <c r="S8" s="127">
        <v>0.0</v>
      </c>
      <c r="T8" s="127"/>
      <c r="U8" s="127"/>
      <c r="V8" s="127"/>
      <c r="W8" s="127"/>
      <c r="X8" s="127"/>
      <c r="Y8" s="127"/>
    </row>
    <row r="9">
      <c r="A9" s="127">
        <v>0.0</v>
      </c>
      <c r="B9" s="127">
        <v>0.0</v>
      </c>
      <c r="C9" s="127">
        <v>0.0</v>
      </c>
      <c r="D9" s="127">
        <v>0.0</v>
      </c>
      <c r="E9" s="127">
        <v>0.0</v>
      </c>
      <c r="F9" s="127">
        <v>0.0</v>
      </c>
      <c r="G9" s="127">
        <v>0.0</v>
      </c>
      <c r="H9" s="127">
        <v>0.0</v>
      </c>
      <c r="I9" s="127">
        <v>0.0</v>
      </c>
      <c r="J9" s="127">
        <v>87.0</v>
      </c>
      <c r="K9" s="127">
        <v>0.0</v>
      </c>
      <c r="L9" s="127">
        <v>0.0</v>
      </c>
      <c r="M9" s="127">
        <v>317.0</v>
      </c>
      <c r="N9" s="127">
        <v>0.0</v>
      </c>
      <c r="O9" s="127">
        <v>0.0</v>
      </c>
      <c r="P9" s="127">
        <v>0.0</v>
      </c>
      <c r="Q9" s="127">
        <v>0.0</v>
      </c>
      <c r="R9" s="127">
        <v>0.0</v>
      </c>
      <c r="S9" s="127">
        <v>0.0</v>
      </c>
      <c r="T9" s="127"/>
      <c r="U9" s="127"/>
      <c r="V9" s="127"/>
      <c r="W9" s="127"/>
      <c r="X9" s="127"/>
      <c r="Y9" s="127"/>
    </row>
    <row r="10">
      <c r="A10" s="127">
        <v>0.0</v>
      </c>
      <c r="B10" s="127">
        <v>0.0</v>
      </c>
      <c r="C10" s="127">
        <v>0.0</v>
      </c>
      <c r="D10" s="127">
        <v>0.0</v>
      </c>
      <c r="E10" s="127">
        <v>0.0</v>
      </c>
      <c r="F10" s="127">
        <v>0.0</v>
      </c>
      <c r="G10" s="127">
        <v>0.0</v>
      </c>
      <c r="H10" s="127">
        <v>0.0</v>
      </c>
      <c r="I10" s="127">
        <v>0.0</v>
      </c>
      <c r="J10" s="127">
        <v>8.0</v>
      </c>
      <c r="K10" s="127">
        <v>0.0</v>
      </c>
      <c r="L10" s="127">
        <v>0.0</v>
      </c>
      <c r="M10" s="127">
        <v>52.0</v>
      </c>
      <c r="N10" s="127">
        <v>0.0</v>
      </c>
      <c r="O10" s="127">
        <v>0.0</v>
      </c>
      <c r="P10" s="127">
        <v>0.0</v>
      </c>
      <c r="Q10" s="127">
        <v>0.0</v>
      </c>
      <c r="R10" s="127">
        <v>0.0</v>
      </c>
      <c r="S10" s="127">
        <v>0.0</v>
      </c>
      <c r="T10" s="127"/>
      <c r="U10" s="127"/>
      <c r="V10" s="127"/>
      <c r="W10" s="127"/>
      <c r="X10" s="127"/>
      <c r="Y10" s="127"/>
    </row>
    <row r="11">
      <c r="A11" s="127">
        <v>0.0</v>
      </c>
      <c r="B11" s="127">
        <v>0.0</v>
      </c>
      <c r="C11" s="127">
        <v>0.0</v>
      </c>
      <c r="D11" s="127">
        <v>0.0</v>
      </c>
      <c r="E11" s="127">
        <v>0.0</v>
      </c>
      <c r="F11" s="127">
        <v>0.0</v>
      </c>
      <c r="G11" s="127">
        <v>0.0</v>
      </c>
      <c r="H11" s="127">
        <v>0.0</v>
      </c>
      <c r="I11" s="127">
        <v>0.0</v>
      </c>
      <c r="J11" s="127">
        <v>0.0</v>
      </c>
      <c r="K11" s="127">
        <v>0.0</v>
      </c>
      <c r="L11" s="127">
        <v>0.0</v>
      </c>
      <c r="M11" s="127">
        <v>0.0</v>
      </c>
      <c r="N11" s="127">
        <v>0.0</v>
      </c>
      <c r="O11" s="127">
        <v>0.0</v>
      </c>
      <c r="P11" s="127">
        <v>0.0</v>
      </c>
      <c r="Q11" s="127">
        <v>0.0</v>
      </c>
      <c r="R11" s="127">
        <v>0.0</v>
      </c>
      <c r="S11" s="127">
        <v>0.0</v>
      </c>
      <c r="T11" s="127"/>
      <c r="U11" s="127"/>
      <c r="V11" s="127"/>
      <c r="W11" s="127"/>
      <c r="X11" s="127"/>
      <c r="Y11" s="127"/>
    </row>
    <row r="12">
      <c r="A12" s="127">
        <v>0.0</v>
      </c>
      <c r="B12" s="127">
        <v>0.0</v>
      </c>
      <c r="C12" s="127">
        <v>0.0</v>
      </c>
      <c r="D12" s="127">
        <v>0.0</v>
      </c>
      <c r="E12" s="127">
        <v>0.0</v>
      </c>
      <c r="F12" s="127">
        <v>0.0</v>
      </c>
      <c r="G12" s="127">
        <v>0.0</v>
      </c>
      <c r="H12" s="127">
        <v>0.0</v>
      </c>
      <c r="I12" s="127">
        <v>0.0</v>
      </c>
      <c r="J12" s="127">
        <v>8.0</v>
      </c>
      <c r="K12" s="127">
        <v>0.0</v>
      </c>
      <c r="L12" s="127">
        <v>0.0</v>
      </c>
      <c r="M12" s="127">
        <v>1.0</v>
      </c>
      <c r="N12" s="127">
        <v>0.0</v>
      </c>
      <c r="O12" s="127">
        <v>0.0</v>
      </c>
      <c r="P12" s="127">
        <v>0.0</v>
      </c>
      <c r="Q12" s="127">
        <v>0.0</v>
      </c>
      <c r="R12" s="127">
        <v>0.0</v>
      </c>
      <c r="S12" s="127">
        <v>0.0</v>
      </c>
      <c r="T12" s="127"/>
      <c r="U12" s="127"/>
      <c r="V12" s="127"/>
      <c r="W12" s="127"/>
      <c r="X12" s="127"/>
      <c r="Y12" s="127"/>
    </row>
    <row r="13">
      <c r="A13" s="127">
        <v>0.0</v>
      </c>
      <c r="B13" s="127">
        <v>0.0</v>
      </c>
      <c r="C13" s="127">
        <v>0.0</v>
      </c>
      <c r="D13" s="127">
        <v>0.0</v>
      </c>
      <c r="E13" s="127">
        <v>0.0</v>
      </c>
      <c r="F13" s="127">
        <v>0.0</v>
      </c>
      <c r="G13" s="127">
        <v>0.0</v>
      </c>
      <c r="H13" s="127">
        <v>0.0</v>
      </c>
      <c r="I13" s="127">
        <v>0.0</v>
      </c>
      <c r="J13" s="127">
        <v>250.0</v>
      </c>
      <c r="K13" s="127">
        <v>0.0</v>
      </c>
      <c r="L13" s="127">
        <v>0.0</v>
      </c>
      <c r="M13" s="127">
        <v>794.0</v>
      </c>
      <c r="N13" s="127">
        <v>0.0</v>
      </c>
      <c r="O13" s="127">
        <v>0.0</v>
      </c>
      <c r="P13" s="127">
        <v>0.0</v>
      </c>
      <c r="Q13" s="127">
        <v>0.0</v>
      </c>
      <c r="R13" s="127">
        <v>0.0</v>
      </c>
      <c r="S13" s="127">
        <v>0.0</v>
      </c>
      <c r="T13" s="127"/>
      <c r="U13" s="127"/>
      <c r="V13" s="127"/>
      <c r="W13" s="127"/>
      <c r="X13" s="127"/>
      <c r="Y13" s="127"/>
    </row>
    <row r="14">
      <c r="A14" s="127">
        <v>0.0</v>
      </c>
      <c r="B14" s="127">
        <v>0.0</v>
      </c>
      <c r="C14" s="127">
        <v>0.0</v>
      </c>
      <c r="D14" s="127">
        <v>0.0</v>
      </c>
      <c r="E14" s="127">
        <v>0.0</v>
      </c>
      <c r="F14" s="127">
        <v>0.0</v>
      </c>
      <c r="G14" s="127">
        <v>0.0</v>
      </c>
      <c r="H14" s="127">
        <v>0.0</v>
      </c>
      <c r="I14" s="127">
        <v>0.0</v>
      </c>
      <c r="J14" s="127">
        <v>35.0</v>
      </c>
      <c r="K14" s="127">
        <v>0.0</v>
      </c>
      <c r="L14" s="127">
        <v>0.0</v>
      </c>
      <c r="M14" s="127">
        <v>1373.0</v>
      </c>
      <c r="N14" s="127">
        <v>0.0</v>
      </c>
      <c r="O14" s="127">
        <v>0.0</v>
      </c>
      <c r="P14" s="127">
        <v>0.0</v>
      </c>
      <c r="Q14" s="127">
        <v>0.0</v>
      </c>
      <c r="R14" s="127">
        <v>0.0</v>
      </c>
      <c r="S14" s="127">
        <v>0.0</v>
      </c>
      <c r="T14" s="127"/>
      <c r="U14" s="127"/>
      <c r="V14" s="127"/>
      <c r="W14" s="127"/>
      <c r="X14" s="127"/>
      <c r="Y14" s="127"/>
    </row>
    <row r="15">
      <c r="A15" s="127">
        <v>0.0</v>
      </c>
      <c r="B15" s="127">
        <v>0.0</v>
      </c>
      <c r="C15" s="127">
        <v>0.0</v>
      </c>
      <c r="D15" s="127">
        <v>0.0</v>
      </c>
      <c r="E15" s="127">
        <v>0.0</v>
      </c>
      <c r="F15" s="127">
        <v>0.0</v>
      </c>
      <c r="G15" s="127">
        <v>0.0</v>
      </c>
      <c r="H15" s="127">
        <v>0.0</v>
      </c>
      <c r="I15" s="127">
        <v>0.0</v>
      </c>
      <c r="J15" s="127">
        <v>0.0</v>
      </c>
      <c r="K15" s="127">
        <v>0.0</v>
      </c>
      <c r="L15" s="127">
        <v>0.0</v>
      </c>
      <c r="M15" s="127">
        <v>0.0</v>
      </c>
      <c r="N15" s="127">
        <v>0.0</v>
      </c>
      <c r="O15" s="127">
        <v>0.0</v>
      </c>
      <c r="P15" s="127">
        <v>0.0</v>
      </c>
      <c r="Q15" s="127">
        <v>0.0</v>
      </c>
      <c r="R15" s="127">
        <v>0.0</v>
      </c>
      <c r="S15" s="127">
        <v>0.0</v>
      </c>
      <c r="T15" s="127"/>
      <c r="U15" s="127"/>
      <c r="V15" s="127"/>
      <c r="W15" s="127"/>
      <c r="X15" s="127"/>
      <c r="Y15" s="127"/>
    </row>
    <row r="16">
      <c r="A16" s="127">
        <v>0.0</v>
      </c>
      <c r="B16" s="127">
        <v>0.0</v>
      </c>
      <c r="C16" s="127">
        <v>0.0</v>
      </c>
      <c r="D16" s="127">
        <v>0.0</v>
      </c>
      <c r="E16" s="127">
        <v>0.0</v>
      </c>
      <c r="F16" s="127">
        <v>0.0</v>
      </c>
      <c r="G16" s="127">
        <v>0.0</v>
      </c>
      <c r="H16" s="127">
        <v>0.0</v>
      </c>
      <c r="I16" s="127">
        <v>0.0</v>
      </c>
      <c r="J16" s="127">
        <v>0.0</v>
      </c>
      <c r="K16" s="127">
        <v>0.0</v>
      </c>
      <c r="L16" s="127">
        <v>0.0</v>
      </c>
      <c r="M16" s="127">
        <v>0.0</v>
      </c>
      <c r="N16" s="127">
        <v>0.0</v>
      </c>
      <c r="O16" s="127">
        <v>0.0</v>
      </c>
      <c r="P16" s="127">
        <v>0.0</v>
      </c>
      <c r="Q16" s="127">
        <v>0.0</v>
      </c>
      <c r="R16" s="127">
        <v>0.0</v>
      </c>
      <c r="S16" s="127">
        <v>0.0</v>
      </c>
      <c r="T16" s="127"/>
      <c r="U16" s="127"/>
      <c r="V16" s="127"/>
      <c r="W16" s="127"/>
      <c r="X16" s="127"/>
      <c r="Y16" s="127"/>
    </row>
    <row r="17">
      <c r="A17" s="127">
        <v>0.0</v>
      </c>
      <c r="B17" s="127">
        <v>0.0</v>
      </c>
      <c r="C17" s="127">
        <v>0.0</v>
      </c>
      <c r="D17" s="127">
        <v>0.0</v>
      </c>
      <c r="E17" s="127">
        <v>0.0</v>
      </c>
      <c r="F17" s="127">
        <v>0.0</v>
      </c>
      <c r="G17" s="127">
        <v>0.0</v>
      </c>
      <c r="H17" s="127">
        <v>0.0</v>
      </c>
      <c r="I17" s="127">
        <v>0.0</v>
      </c>
      <c r="J17" s="127">
        <v>0.0</v>
      </c>
      <c r="K17" s="127">
        <v>0.0</v>
      </c>
      <c r="L17" s="127">
        <v>0.0</v>
      </c>
      <c r="M17" s="127">
        <v>1.0</v>
      </c>
      <c r="N17" s="127">
        <v>0.0</v>
      </c>
      <c r="O17" s="127">
        <v>0.0</v>
      </c>
      <c r="P17" s="127">
        <v>0.0</v>
      </c>
      <c r="Q17" s="127">
        <v>0.0</v>
      </c>
      <c r="R17" s="127">
        <v>0.0</v>
      </c>
      <c r="S17" s="127">
        <v>0.0</v>
      </c>
      <c r="T17" s="127"/>
      <c r="U17" s="127"/>
      <c r="V17" s="127"/>
      <c r="W17" s="127"/>
      <c r="X17" s="127"/>
      <c r="Y17" s="127"/>
    </row>
    <row r="18">
      <c r="A18" s="127">
        <v>0.0</v>
      </c>
      <c r="B18" s="127">
        <v>0.0</v>
      </c>
      <c r="C18" s="127">
        <v>0.0</v>
      </c>
      <c r="D18" s="127">
        <v>0.0</v>
      </c>
      <c r="E18" s="127">
        <v>0.0</v>
      </c>
      <c r="F18" s="127">
        <v>0.0</v>
      </c>
      <c r="G18" s="127">
        <v>0.0</v>
      </c>
      <c r="H18" s="127">
        <v>0.0</v>
      </c>
      <c r="I18" s="127">
        <v>0.0</v>
      </c>
      <c r="J18" s="127">
        <v>0.0</v>
      </c>
      <c r="K18" s="127">
        <v>0.0</v>
      </c>
      <c r="L18" s="127">
        <v>0.0</v>
      </c>
      <c r="M18" s="127">
        <v>0.0</v>
      </c>
      <c r="N18" s="127">
        <v>0.0</v>
      </c>
      <c r="O18" s="127">
        <v>0.0</v>
      </c>
      <c r="P18" s="127">
        <v>0.0</v>
      </c>
      <c r="Q18" s="127">
        <v>0.0</v>
      </c>
      <c r="R18" s="127">
        <v>0.0</v>
      </c>
      <c r="S18" s="127">
        <v>0.0</v>
      </c>
      <c r="T18" s="127"/>
      <c r="U18" s="127"/>
      <c r="V18" s="127"/>
      <c r="W18" s="127"/>
      <c r="X18" s="127"/>
      <c r="Y18" s="127"/>
    </row>
    <row r="19">
      <c r="A19" s="127">
        <v>0.0</v>
      </c>
      <c r="B19" s="127">
        <v>0.0</v>
      </c>
      <c r="C19" s="127">
        <v>0.0</v>
      </c>
      <c r="D19" s="127">
        <v>0.0</v>
      </c>
      <c r="E19" s="127">
        <v>0.0</v>
      </c>
      <c r="F19" s="127">
        <v>0.0</v>
      </c>
      <c r="G19" s="127">
        <v>0.0</v>
      </c>
      <c r="H19" s="127">
        <v>0.0</v>
      </c>
      <c r="I19" s="127">
        <v>0.0</v>
      </c>
      <c r="J19" s="127">
        <v>221.0</v>
      </c>
      <c r="K19" s="127">
        <v>0.0</v>
      </c>
      <c r="L19" s="127">
        <v>0.0</v>
      </c>
      <c r="M19" s="127">
        <v>40.0</v>
      </c>
      <c r="N19" s="127">
        <v>0.0</v>
      </c>
      <c r="O19" s="127">
        <v>0.0</v>
      </c>
      <c r="P19" s="127">
        <v>0.0</v>
      </c>
      <c r="Q19" s="127">
        <v>0.0</v>
      </c>
      <c r="R19" s="127">
        <v>0.0</v>
      </c>
      <c r="S19" s="127">
        <v>0.0</v>
      </c>
      <c r="T19" s="127"/>
      <c r="U19" s="127"/>
      <c r="V19" s="127"/>
      <c r="W19" s="127"/>
      <c r="X19" s="127"/>
      <c r="Y19" s="127"/>
    </row>
    <row r="20">
      <c r="A20" s="127">
        <v>0.0</v>
      </c>
      <c r="B20" s="127">
        <v>0.0</v>
      </c>
      <c r="C20" s="127">
        <v>0.0</v>
      </c>
      <c r="D20" s="127">
        <v>0.0</v>
      </c>
      <c r="E20" s="127">
        <v>0.0</v>
      </c>
      <c r="F20" s="127">
        <v>0.0</v>
      </c>
      <c r="G20" s="127">
        <v>0.0</v>
      </c>
      <c r="H20" s="127">
        <v>0.0</v>
      </c>
      <c r="I20" s="127">
        <v>0.0</v>
      </c>
      <c r="J20" s="127">
        <v>0.0</v>
      </c>
      <c r="K20" s="127">
        <v>0.0</v>
      </c>
      <c r="L20" s="127">
        <v>0.0</v>
      </c>
      <c r="M20" s="127">
        <v>0.0</v>
      </c>
      <c r="N20" s="127">
        <v>0.0</v>
      </c>
      <c r="O20" s="127">
        <v>0.0</v>
      </c>
      <c r="P20" s="127">
        <v>0.0</v>
      </c>
      <c r="Q20" s="127">
        <v>0.0</v>
      </c>
      <c r="R20" s="127">
        <v>0.0</v>
      </c>
      <c r="S20" s="127">
        <v>0.0</v>
      </c>
      <c r="T20" s="127"/>
      <c r="U20" s="127"/>
      <c r="V20" s="127"/>
      <c r="W20" s="127"/>
      <c r="X20" s="127"/>
      <c r="Y20" s="127"/>
    </row>
    <row r="21">
      <c r="A21" s="127">
        <v>0.0</v>
      </c>
      <c r="B21" s="127">
        <v>0.0</v>
      </c>
      <c r="C21" s="127">
        <v>0.0</v>
      </c>
      <c r="D21" s="127">
        <v>0.0</v>
      </c>
      <c r="E21" s="127">
        <v>0.0</v>
      </c>
      <c r="F21" s="127">
        <v>0.0</v>
      </c>
      <c r="G21" s="127">
        <v>0.0</v>
      </c>
      <c r="H21" s="127">
        <v>0.0</v>
      </c>
      <c r="I21" s="127">
        <v>0.0</v>
      </c>
      <c r="J21" s="127">
        <v>0.0</v>
      </c>
      <c r="K21" s="127">
        <v>0.0</v>
      </c>
      <c r="L21" s="127">
        <v>0.0</v>
      </c>
      <c r="M21" s="127">
        <v>0.0</v>
      </c>
      <c r="N21" s="127">
        <v>0.0</v>
      </c>
      <c r="O21" s="127">
        <v>0.0</v>
      </c>
      <c r="P21" s="127">
        <v>0.0</v>
      </c>
      <c r="Q21" s="127">
        <v>0.0</v>
      </c>
      <c r="R21" s="127">
        <v>0.0</v>
      </c>
      <c r="S21" s="127">
        <v>0.0</v>
      </c>
      <c r="T21" s="127"/>
      <c r="U21" s="127"/>
      <c r="V21" s="127"/>
      <c r="W21" s="127"/>
      <c r="X21" s="127"/>
      <c r="Y21" s="127"/>
    </row>
    <row r="22">
      <c r="A22" s="127">
        <v>0.0</v>
      </c>
      <c r="B22" s="127">
        <v>0.0</v>
      </c>
      <c r="C22" s="127">
        <v>0.0</v>
      </c>
      <c r="D22" s="127">
        <v>0.0</v>
      </c>
      <c r="E22" s="127">
        <v>0.0</v>
      </c>
      <c r="F22" s="127">
        <v>0.0</v>
      </c>
      <c r="G22" s="127">
        <v>0.0</v>
      </c>
      <c r="H22" s="127">
        <v>0.0</v>
      </c>
      <c r="I22" s="127">
        <v>0.0</v>
      </c>
      <c r="J22" s="127">
        <v>6.0</v>
      </c>
      <c r="K22" s="127">
        <v>0.0</v>
      </c>
      <c r="L22" s="127">
        <v>0.0</v>
      </c>
      <c r="M22" s="127">
        <v>38.0</v>
      </c>
      <c r="N22" s="127">
        <v>0.0</v>
      </c>
      <c r="O22" s="127">
        <v>0.0</v>
      </c>
      <c r="P22" s="127">
        <v>0.0</v>
      </c>
      <c r="Q22" s="127">
        <v>0.0</v>
      </c>
      <c r="R22" s="127">
        <v>0.0</v>
      </c>
      <c r="S22" s="127">
        <v>0.0</v>
      </c>
      <c r="T22" s="127"/>
      <c r="U22" s="127"/>
      <c r="V22" s="127"/>
      <c r="W22" s="127"/>
      <c r="X22" s="127"/>
      <c r="Y22" s="127"/>
    </row>
    <row r="23">
      <c r="A23" s="127">
        <v>0.0</v>
      </c>
      <c r="B23" s="127">
        <v>0.0</v>
      </c>
      <c r="C23" s="127">
        <v>0.0</v>
      </c>
      <c r="D23" s="127">
        <v>0.0</v>
      </c>
      <c r="E23" s="127">
        <v>0.0</v>
      </c>
      <c r="F23" s="127">
        <v>0.0</v>
      </c>
      <c r="G23" s="127">
        <v>0.0</v>
      </c>
      <c r="H23" s="127">
        <v>0.0</v>
      </c>
      <c r="I23" s="127">
        <v>0.0</v>
      </c>
      <c r="J23" s="127">
        <v>24.0</v>
      </c>
      <c r="K23" s="127">
        <v>0.0</v>
      </c>
      <c r="L23" s="127">
        <v>0.0</v>
      </c>
      <c r="M23" s="127">
        <v>5.0</v>
      </c>
      <c r="N23" s="127">
        <v>0.0</v>
      </c>
      <c r="O23" s="127">
        <v>0.0</v>
      </c>
      <c r="P23" s="127">
        <v>0.0</v>
      </c>
      <c r="Q23" s="127">
        <v>0.0</v>
      </c>
      <c r="R23" s="127">
        <v>0.0</v>
      </c>
      <c r="S23" s="127">
        <v>0.0</v>
      </c>
      <c r="T23" s="127"/>
      <c r="U23" s="127"/>
      <c r="V23" s="127"/>
      <c r="W23" s="127"/>
      <c r="X23" s="127"/>
      <c r="Y23" s="127"/>
    </row>
    <row r="24">
      <c r="A24" s="127">
        <v>0.0</v>
      </c>
      <c r="B24" s="127">
        <v>0.0</v>
      </c>
      <c r="C24" s="127">
        <v>0.0</v>
      </c>
      <c r="D24" s="127">
        <v>0.0</v>
      </c>
      <c r="E24" s="127">
        <v>0.0</v>
      </c>
      <c r="F24" s="127">
        <v>0.0</v>
      </c>
      <c r="G24" s="127">
        <v>0.0</v>
      </c>
      <c r="H24" s="127">
        <v>0.0</v>
      </c>
      <c r="I24" s="127">
        <v>0.0</v>
      </c>
      <c r="J24" s="127">
        <v>-11.0</v>
      </c>
      <c r="K24" s="127">
        <v>0.0</v>
      </c>
      <c r="L24" s="127">
        <v>0.0</v>
      </c>
      <c r="M24" s="127">
        <v>-2.0</v>
      </c>
      <c r="N24" s="127">
        <v>0.0</v>
      </c>
      <c r="O24" s="127">
        <v>0.0</v>
      </c>
      <c r="P24" s="127">
        <v>0.0</v>
      </c>
      <c r="Q24" s="127">
        <v>0.0</v>
      </c>
      <c r="R24" s="127">
        <v>0.0</v>
      </c>
      <c r="S24" s="127">
        <v>0.0</v>
      </c>
      <c r="T24" s="127"/>
      <c r="U24" s="127"/>
      <c r="V24" s="127"/>
      <c r="W24" s="127"/>
      <c r="X24" s="127"/>
      <c r="Y24" s="127"/>
    </row>
    <row r="25">
      <c r="A25" s="127">
        <v>0.0</v>
      </c>
      <c r="B25" s="127">
        <v>0.0</v>
      </c>
      <c r="C25" s="127">
        <v>0.0</v>
      </c>
      <c r="D25" s="127">
        <v>0.0</v>
      </c>
      <c r="E25" s="127">
        <v>0.0</v>
      </c>
      <c r="F25" s="127">
        <v>0.0</v>
      </c>
      <c r="G25" s="127">
        <v>0.0</v>
      </c>
      <c r="H25" s="127">
        <v>0.0</v>
      </c>
      <c r="I25" s="127">
        <v>0.0</v>
      </c>
      <c r="J25" s="127">
        <v>0.0</v>
      </c>
      <c r="K25" s="127">
        <v>0.0</v>
      </c>
      <c r="L25" s="127">
        <v>0.0</v>
      </c>
      <c r="M25" s="127">
        <v>0.0</v>
      </c>
      <c r="N25" s="127">
        <v>0.0</v>
      </c>
      <c r="O25" s="127">
        <v>0.0</v>
      </c>
      <c r="P25" s="127">
        <v>0.0</v>
      </c>
      <c r="Q25" s="127">
        <v>0.0</v>
      </c>
      <c r="R25" s="127">
        <v>0.0</v>
      </c>
      <c r="S25" s="127">
        <v>0.0</v>
      </c>
      <c r="T25" s="127"/>
      <c r="U25" s="127"/>
      <c r="V25" s="127"/>
      <c r="W25" s="127"/>
      <c r="X25" s="127"/>
      <c r="Y25" s="127"/>
    </row>
    <row r="26">
      <c r="A26" s="127">
        <v>0.0</v>
      </c>
      <c r="B26" s="127">
        <v>0.0</v>
      </c>
      <c r="C26" s="127">
        <v>0.0</v>
      </c>
      <c r="D26" s="127">
        <v>0.0</v>
      </c>
      <c r="E26" s="127">
        <v>0.0</v>
      </c>
      <c r="F26" s="127">
        <v>0.0</v>
      </c>
      <c r="G26" s="127">
        <v>0.0</v>
      </c>
      <c r="H26" s="127">
        <v>0.0</v>
      </c>
      <c r="I26" s="127">
        <v>0.0</v>
      </c>
      <c r="J26" s="127">
        <v>0.0</v>
      </c>
      <c r="K26" s="127">
        <v>0.0</v>
      </c>
      <c r="L26" s="127">
        <v>0.0</v>
      </c>
      <c r="M26" s="127">
        <v>0.0</v>
      </c>
      <c r="N26" s="127">
        <v>0.0</v>
      </c>
      <c r="O26" s="127">
        <v>0.0</v>
      </c>
      <c r="P26" s="127">
        <v>0.0</v>
      </c>
      <c r="Q26" s="127">
        <v>0.0</v>
      </c>
      <c r="R26" s="127">
        <v>0.0</v>
      </c>
      <c r="S26" s="127">
        <v>0.0</v>
      </c>
      <c r="T26" s="127"/>
      <c r="U26" s="127"/>
      <c r="V26" s="127"/>
      <c r="W26" s="127"/>
      <c r="X26" s="127"/>
      <c r="Y26" s="127"/>
    </row>
    <row r="27">
      <c r="A27" s="127">
        <v>0.0</v>
      </c>
      <c r="B27" s="127">
        <v>0.0</v>
      </c>
      <c r="C27" s="127">
        <v>0.0</v>
      </c>
      <c r="D27" s="127">
        <v>0.0</v>
      </c>
      <c r="E27" s="127">
        <v>0.0</v>
      </c>
      <c r="F27" s="127">
        <v>0.0</v>
      </c>
      <c r="G27" s="127">
        <v>0.0</v>
      </c>
      <c r="H27" s="127">
        <v>1.1368683772161603E-13</v>
      </c>
      <c r="I27" s="127">
        <v>0.0</v>
      </c>
      <c r="J27" s="127">
        <v>0.0</v>
      </c>
      <c r="K27" s="127">
        <v>0.0</v>
      </c>
      <c r="L27" s="127">
        <v>0.0</v>
      </c>
      <c r="M27" s="127">
        <v>0.0</v>
      </c>
      <c r="N27" s="127">
        <v>0.0</v>
      </c>
      <c r="O27" s="127">
        <v>0.0</v>
      </c>
      <c r="P27" s="127">
        <v>0.0</v>
      </c>
      <c r="Q27" s="127">
        <v>0.0</v>
      </c>
      <c r="R27" s="127">
        <v>0.0</v>
      </c>
      <c r="S27" s="127">
        <v>0.0</v>
      </c>
      <c r="T27" s="127"/>
      <c r="U27" s="127"/>
      <c r="V27" s="127"/>
      <c r="W27" s="127"/>
      <c r="X27" s="127"/>
      <c r="Y27" s="127"/>
    </row>
    <row r="28">
      <c r="A28" s="127">
        <v>0.0</v>
      </c>
      <c r="B28" s="127">
        <v>0.0</v>
      </c>
      <c r="C28" s="127">
        <v>0.0</v>
      </c>
      <c r="D28" s="127">
        <v>0.0</v>
      </c>
      <c r="E28" s="127">
        <v>0.0</v>
      </c>
      <c r="F28" s="127">
        <v>0.0</v>
      </c>
      <c r="G28" s="127">
        <v>0.0</v>
      </c>
      <c r="H28" s="127">
        <v>0.0</v>
      </c>
      <c r="I28" s="127">
        <v>0.0</v>
      </c>
      <c r="J28" s="127">
        <v>0.0</v>
      </c>
      <c r="K28" s="127">
        <v>0.0</v>
      </c>
      <c r="L28" s="127">
        <v>0.0</v>
      </c>
      <c r="M28" s="127">
        <v>0.0</v>
      </c>
      <c r="N28" s="127">
        <v>0.0</v>
      </c>
      <c r="O28" s="127">
        <v>0.0</v>
      </c>
      <c r="P28" s="127">
        <v>0.0</v>
      </c>
      <c r="Q28" s="127">
        <v>0.0</v>
      </c>
      <c r="R28" s="127">
        <v>0.0</v>
      </c>
      <c r="S28" s="127">
        <v>0.0</v>
      </c>
      <c r="T28" s="127"/>
      <c r="U28" s="127"/>
      <c r="V28" s="127"/>
      <c r="W28" s="127"/>
      <c r="X28" s="127"/>
      <c r="Y28" s="127"/>
    </row>
    <row r="29">
      <c r="A29" s="127">
        <v>0.0</v>
      </c>
      <c r="B29" s="127">
        <v>0.0</v>
      </c>
      <c r="C29" s="127">
        <v>0.0</v>
      </c>
      <c r="D29" s="127">
        <v>0.0</v>
      </c>
      <c r="E29" s="127">
        <v>0.0</v>
      </c>
      <c r="F29" s="127">
        <v>0.0</v>
      </c>
      <c r="G29" s="127">
        <v>0.0</v>
      </c>
      <c r="H29" s="127">
        <v>0.0</v>
      </c>
      <c r="I29" s="127">
        <v>0.0</v>
      </c>
      <c r="J29" s="127">
        <v>0.0</v>
      </c>
      <c r="K29" s="127">
        <v>0.0</v>
      </c>
      <c r="L29" s="127">
        <v>0.0</v>
      </c>
      <c r="M29" s="127">
        <v>0.0</v>
      </c>
      <c r="N29" s="127">
        <v>0.0</v>
      </c>
      <c r="O29" s="127">
        <v>0.0</v>
      </c>
      <c r="P29" s="127">
        <v>0.0</v>
      </c>
      <c r="Q29" s="127">
        <v>0.0</v>
      </c>
      <c r="R29" s="127">
        <v>0.0</v>
      </c>
      <c r="S29" s="127">
        <v>0.0</v>
      </c>
      <c r="T29" s="127"/>
      <c r="U29" s="127"/>
      <c r="V29" s="127"/>
      <c r="W29" s="127"/>
      <c r="X29" s="127"/>
      <c r="Y29" s="127"/>
    </row>
    <row r="30">
      <c r="A30" s="127">
        <v>0.0</v>
      </c>
      <c r="B30" s="127">
        <v>0.0</v>
      </c>
      <c r="C30" s="127">
        <v>0.0</v>
      </c>
      <c r="D30" s="127">
        <v>0.0</v>
      </c>
      <c r="E30" s="127">
        <v>0.0</v>
      </c>
      <c r="F30" s="127">
        <v>0.0</v>
      </c>
      <c r="G30" s="127">
        <v>0.0</v>
      </c>
      <c r="H30" s="127">
        <v>0.0</v>
      </c>
      <c r="I30" s="127">
        <v>0.0</v>
      </c>
      <c r="J30" s="127">
        <v>0.0</v>
      </c>
      <c r="K30" s="127">
        <v>0.0</v>
      </c>
      <c r="L30" s="127">
        <v>0.0</v>
      </c>
      <c r="M30" s="127">
        <v>0.0</v>
      </c>
      <c r="N30" s="127">
        <v>0.0</v>
      </c>
      <c r="O30" s="127">
        <v>0.0</v>
      </c>
      <c r="P30" s="127">
        <v>0.0</v>
      </c>
      <c r="Q30" s="127">
        <v>0.0</v>
      </c>
      <c r="R30" s="127">
        <v>0.0</v>
      </c>
      <c r="S30" s="127">
        <v>0.0</v>
      </c>
      <c r="T30" s="127"/>
      <c r="U30" s="127"/>
      <c r="V30" s="127"/>
      <c r="W30" s="127"/>
      <c r="X30" s="127"/>
      <c r="Y30" s="127"/>
    </row>
    <row r="31">
      <c r="A31" s="127">
        <v>0.0</v>
      </c>
      <c r="B31" s="127">
        <v>0.0</v>
      </c>
      <c r="C31" s="127">
        <v>0.0</v>
      </c>
      <c r="D31" s="127">
        <v>0.0</v>
      </c>
      <c r="E31" s="127">
        <v>0.0</v>
      </c>
      <c r="F31" s="127">
        <v>0.0</v>
      </c>
      <c r="G31" s="127">
        <v>0.0</v>
      </c>
      <c r="H31" s="127">
        <v>0.0</v>
      </c>
      <c r="I31" s="127">
        <v>0.0</v>
      </c>
      <c r="J31" s="127">
        <v>0.0</v>
      </c>
      <c r="K31" s="127">
        <v>0.0</v>
      </c>
      <c r="L31" s="127">
        <v>0.0</v>
      </c>
      <c r="M31" s="127">
        <v>0.0</v>
      </c>
      <c r="N31" s="127">
        <v>0.0</v>
      </c>
      <c r="O31" s="127">
        <v>0.0</v>
      </c>
      <c r="P31" s="127">
        <v>0.0</v>
      </c>
      <c r="Q31" s="127">
        <v>0.0</v>
      </c>
      <c r="R31" s="127">
        <v>0.0</v>
      </c>
      <c r="S31" s="127">
        <v>0.0</v>
      </c>
      <c r="T31" s="127"/>
      <c r="U31" s="127"/>
      <c r="V31" s="127"/>
      <c r="W31" s="127"/>
      <c r="X31" s="127"/>
      <c r="Y31" s="127"/>
    </row>
    <row r="32">
      <c r="A32" s="127">
        <v>0.0</v>
      </c>
      <c r="B32" s="127">
        <v>0.0</v>
      </c>
      <c r="C32" s="127">
        <v>0.0</v>
      </c>
      <c r="D32" s="127">
        <v>0.0</v>
      </c>
      <c r="E32" s="127">
        <v>0.0</v>
      </c>
      <c r="F32" s="127">
        <v>0.0</v>
      </c>
      <c r="G32" s="127">
        <v>0.0</v>
      </c>
      <c r="H32" s="127">
        <v>4.547473508864641E-13</v>
      </c>
      <c r="I32" s="127">
        <v>0.0</v>
      </c>
      <c r="J32" s="127">
        <v>0.0</v>
      </c>
      <c r="K32" s="127">
        <v>0.0</v>
      </c>
      <c r="L32" s="127">
        <v>0.0</v>
      </c>
      <c r="M32" s="127">
        <v>0.0</v>
      </c>
      <c r="N32" s="127">
        <v>0.0</v>
      </c>
      <c r="O32" s="127">
        <v>0.0</v>
      </c>
      <c r="P32" s="127">
        <v>0.0</v>
      </c>
      <c r="Q32" s="127">
        <v>0.0</v>
      </c>
      <c r="R32" s="127">
        <v>0.0</v>
      </c>
      <c r="S32" s="127">
        <v>0.0</v>
      </c>
      <c r="T32" s="127"/>
      <c r="U32" s="127"/>
      <c r="V32" s="127"/>
      <c r="W32" s="127"/>
      <c r="X32" s="127"/>
      <c r="Y32" s="127"/>
    </row>
    <row r="33">
      <c r="A33" s="127">
        <v>0.0</v>
      </c>
      <c r="B33" s="127">
        <v>0.0</v>
      </c>
      <c r="C33" s="127">
        <v>0.0</v>
      </c>
      <c r="D33" s="127">
        <v>0.0</v>
      </c>
      <c r="E33" s="127">
        <v>0.0</v>
      </c>
      <c r="F33" s="127">
        <v>0.0</v>
      </c>
      <c r="G33" s="127">
        <v>0.0</v>
      </c>
      <c r="H33" s="127">
        <v>0.0</v>
      </c>
      <c r="I33" s="127">
        <v>0.0</v>
      </c>
      <c r="J33" s="127">
        <v>1037.0</v>
      </c>
      <c r="K33" s="127">
        <v>0.0</v>
      </c>
      <c r="L33" s="127">
        <v>0.0</v>
      </c>
      <c r="M33" s="127">
        <v>2138.0</v>
      </c>
      <c r="N33" s="127">
        <v>0.0</v>
      </c>
      <c r="O33" s="127">
        <v>0.0</v>
      </c>
      <c r="P33" s="127">
        <v>0.0</v>
      </c>
      <c r="Q33" s="127">
        <v>0.0</v>
      </c>
      <c r="R33" s="127">
        <v>0.0</v>
      </c>
      <c r="S33" s="127">
        <v>0.0</v>
      </c>
      <c r="T33" s="127"/>
      <c r="U33" s="127"/>
      <c r="V33" s="127"/>
      <c r="W33" s="127"/>
      <c r="X33" s="127"/>
      <c r="Y33" s="127"/>
    </row>
    <row r="34">
      <c r="A34" s="127">
        <v>0.0</v>
      </c>
      <c r="B34" s="127">
        <v>0.0</v>
      </c>
      <c r="C34" s="127">
        <v>0.0</v>
      </c>
      <c r="D34" s="127">
        <v>0.0</v>
      </c>
      <c r="E34" s="127">
        <v>0.0</v>
      </c>
      <c r="F34" s="127">
        <v>0.0</v>
      </c>
      <c r="G34" s="127">
        <v>0.0</v>
      </c>
      <c r="H34" s="127">
        <v>0.0</v>
      </c>
      <c r="I34" s="127">
        <v>0.0</v>
      </c>
      <c r="J34" s="127">
        <v>22.0</v>
      </c>
      <c r="K34" s="127">
        <v>0.0</v>
      </c>
      <c r="L34" s="127">
        <v>0.0</v>
      </c>
      <c r="M34" s="127">
        <v>-5.0</v>
      </c>
      <c r="N34" s="127">
        <v>0.0</v>
      </c>
      <c r="O34" s="127">
        <v>0.0</v>
      </c>
      <c r="P34" s="127">
        <v>0.0</v>
      </c>
      <c r="Q34" s="127">
        <v>0.0</v>
      </c>
      <c r="R34" s="127">
        <v>0.0</v>
      </c>
      <c r="S34" s="127">
        <v>0.0</v>
      </c>
      <c r="T34" s="127"/>
      <c r="U34" s="127"/>
      <c r="V34" s="127"/>
      <c r="W34" s="127"/>
      <c r="X34" s="127"/>
      <c r="Y34" s="127"/>
    </row>
    <row r="35">
      <c r="A35" s="127">
        <v>0.0</v>
      </c>
      <c r="B35" s="127">
        <v>0.0</v>
      </c>
      <c r="C35" s="127">
        <v>0.0</v>
      </c>
      <c r="D35" s="127">
        <v>0.0</v>
      </c>
      <c r="E35" s="127">
        <v>0.0</v>
      </c>
      <c r="F35" s="127">
        <v>0.0</v>
      </c>
      <c r="G35" s="127">
        <v>0.0</v>
      </c>
      <c r="H35" s="127">
        <v>0.0</v>
      </c>
      <c r="I35" s="127">
        <v>0.0</v>
      </c>
      <c r="J35" s="127">
        <v>0.0</v>
      </c>
      <c r="K35" s="127">
        <v>0.0</v>
      </c>
      <c r="L35" s="127">
        <v>0.0</v>
      </c>
      <c r="M35" s="127">
        <v>8.0</v>
      </c>
      <c r="N35" s="127">
        <v>0.0</v>
      </c>
      <c r="O35" s="127">
        <v>0.0</v>
      </c>
      <c r="P35" s="127">
        <v>0.0</v>
      </c>
      <c r="Q35" s="127">
        <v>0.0</v>
      </c>
      <c r="R35" s="127">
        <v>0.0</v>
      </c>
      <c r="S35" s="127">
        <v>0.0</v>
      </c>
      <c r="T35" s="127"/>
      <c r="U35" s="127"/>
      <c r="V35" s="127"/>
      <c r="W35" s="127"/>
      <c r="X35" s="127"/>
      <c r="Y35" s="127"/>
    </row>
    <row r="36">
      <c r="A36" s="127">
        <v>0.0</v>
      </c>
      <c r="B36" s="127">
        <v>0.0</v>
      </c>
      <c r="C36" s="127">
        <v>0.0</v>
      </c>
      <c r="D36" s="127">
        <v>0.0</v>
      </c>
      <c r="E36" s="127">
        <v>0.0</v>
      </c>
      <c r="F36" s="127">
        <v>0.0</v>
      </c>
      <c r="G36" s="127">
        <v>0.0</v>
      </c>
      <c r="H36" s="127">
        <v>0.0</v>
      </c>
      <c r="I36" s="127">
        <v>0.0</v>
      </c>
      <c r="J36" s="127">
        <v>138.0</v>
      </c>
      <c r="K36" s="127">
        <v>0.0</v>
      </c>
      <c r="L36" s="127">
        <v>0.0</v>
      </c>
      <c r="M36" s="127">
        <v>2.0</v>
      </c>
      <c r="N36" s="127">
        <v>0.0</v>
      </c>
      <c r="O36" s="127">
        <v>0.0</v>
      </c>
      <c r="P36" s="127">
        <v>0.0</v>
      </c>
      <c r="Q36" s="127">
        <v>0.0</v>
      </c>
      <c r="R36" s="127">
        <v>0.0</v>
      </c>
      <c r="S36" s="127">
        <v>0.0</v>
      </c>
      <c r="T36" s="127"/>
      <c r="U36" s="127"/>
      <c r="V36" s="127"/>
      <c r="W36" s="127"/>
      <c r="X36" s="127"/>
      <c r="Y36" s="127"/>
    </row>
    <row r="37">
      <c r="A37" s="127">
        <v>0.0</v>
      </c>
      <c r="B37" s="127">
        <v>0.0</v>
      </c>
      <c r="C37" s="127">
        <v>0.0</v>
      </c>
      <c r="D37" s="127">
        <v>0.0</v>
      </c>
      <c r="E37" s="127">
        <v>0.0</v>
      </c>
      <c r="F37" s="127">
        <v>0.0</v>
      </c>
      <c r="G37" s="127">
        <v>0.0</v>
      </c>
      <c r="H37" s="127">
        <v>0.0</v>
      </c>
      <c r="I37" s="127">
        <v>0.0</v>
      </c>
      <c r="J37" s="127">
        <v>0.0</v>
      </c>
      <c r="K37" s="127">
        <v>0.0</v>
      </c>
      <c r="L37" s="127">
        <v>0.0</v>
      </c>
      <c r="M37" s="127">
        <v>0.0</v>
      </c>
      <c r="N37" s="127">
        <v>0.0</v>
      </c>
      <c r="O37" s="127">
        <v>0.0</v>
      </c>
      <c r="P37" s="127">
        <v>0.0</v>
      </c>
      <c r="Q37" s="127">
        <v>0.0</v>
      </c>
      <c r="R37" s="127">
        <v>0.0</v>
      </c>
      <c r="S37" s="127">
        <v>0.0</v>
      </c>
      <c r="T37" s="127"/>
      <c r="U37" s="127"/>
      <c r="V37" s="127"/>
      <c r="W37" s="127"/>
      <c r="X37" s="127"/>
      <c r="Y37" s="127"/>
    </row>
    <row r="38">
      <c r="A38" s="127">
        <v>0.0</v>
      </c>
      <c r="B38" s="127">
        <v>0.0</v>
      </c>
      <c r="C38" s="127">
        <v>0.0</v>
      </c>
      <c r="D38" s="127">
        <v>0.0</v>
      </c>
      <c r="E38" s="127">
        <v>0.0</v>
      </c>
      <c r="F38" s="127">
        <v>0.0</v>
      </c>
      <c r="G38" s="127">
        <v>0.0</v>
      </c>
      <c r="H38" s="127">
        <v>0.0</v>
      </c>
      <c r="I38" s="127">
        <v>0.0</v>
      </c>
      <c r="J38" s="127">
        <v>101.0</v>
      </c>
      <c r="K38" s="127">
        <v>0.0</v>
      </c>
      <c r="L38" s="127">
        <v>0.0</v>
      </c>
      <c r="M38" s="127">
        <v>125.0</v>
      </c>
      <c r="N38" s="127">
        <v>0.0</v>
      </c>
      <c r="O38" s="127">
        <v>0.0</v>
      </c>
      <c r="P38" s="127">
        <v>0.0</v>
      </c>
      <c r="Q38" s="127">
        <v>0.0</v>
      </c>
      <c r="R38" s="127">
        <v>0.0</v>
      </c>
      <c r="S38" s="127">
        <v>0.0</v>
      </c>
      <c r="T38" s="127"/>
      <c r="U38" s="127"/>
      <c r="V38" s="127"/>
      <c r="W38" s="127"/>
      <c r="X38" s="127"/>
      <c r="Y38" s="127"/>
    </row>
    <row r="39">
      <c r="A39" s="127">
        <v>0.0</v>
      </c>
      <c r="B39" s="127">
        <v>0.0</v>
      </c>
      <c r="C39" s="127">
        <v>0.0</v>
      </c>
      <c r="D39" s="127">
        <v>0.0</v>
      </c>
      <c r="E39" s="127">
        <v>0.0</v>
      </c>
      <c r="F39" s="127">
        <v>0.0</v>
      </c>
      <c r="G39" s="127">
        <v>0.0</v>
      </c>
      <c r="H39" s="127">
        <v>0.0</v>
      </c>
      <c r="I39" s="127">
        <v>0.0</v>
      </c>
      <c r="J39" s="127">
        <v>67.0</v>
      </c>
      <c r="K39" s="127">
        <v>0.0</v>
      </c>
      <c r="L39" s="127">
        <v>0.0</v>
      </c>
      <c r="M39" s="127">
        <v>71.0</v>
      </c>
      <c r="N39" s="127">
        <v>0.0</v>
      </c>
      <c r="O39" s="127">
        <v>0.0</v>
      </c>
      <c r="P39" s="127">
        <v>0.0</v>
      </c>
      <c r="Q39" s="127">
        <v>0.0</v>
      </c>
      <c r="R39" s="127">
        <v>0.0</v>
      </c>
      <c r="S39" s="127">
        <v>0.0</v>
      </c>
      <c r="T39" s="127"/>
      <c r="U39" s="127"/>
      <c r="V39" s="127"/>
      <c r="W39" s="127"/>
      <c r="X39" s="127"/>
      <c r="Y39" s="127"/>
    </row>
    <row r="40">
      <c r="A40" s="127">
        <v>0.0</v>
      </c>
      <c r="B40" s="127">
        <v>0.0</v>
      </c>
      <c r="C40" s="127">
        <v>0.0</v>
      </c>
      <c r="D40" s="127">
        <v>0.0</v>
      </c>
      <c r="E40" s="127">
        <v>0.0</v>
      </c>
      <c r="F40" s="127">
        <v>0.0</v>
      </c>
      <c r="G40" s="127">
        <v>0.0</v>
      </c>
      <c r="H40" s="127">
        <v>0.0</v>
      </c>
      <c r="I40" s="127">
        <v>0.0</v>
      </c>
      <c r="J40" s="127">
        <v>119.0</v>
      </c>
      <c r="K40" s="127">
        <v>0.0</v>
      </c>
      <c r="L40" s="127">
        <v>0.0</v>
      </c>
      <c r="M40" s="127">
        <v>53.0</v>
      </c>
      <c r="N40" s="127">
        <v>0.0</v>
      </c>
      <c r="O40" s="127">
        <v>0.0</v>
      </c>
      <c r="P40" s="127">
        <v>0.0</v>
      </c>
      <c r="Q40" s="127">
        <v>0.0</v>
      </c>
      <c r="R40" s="127">
        <v>0.0</v>
      </c>
      <c r="S40" s="127">
        <v>0.0</v>
      </c>
      <c r="T40" s="127"/>
      <c r="U40" s="127"/>
      <c r="V40" s="127"/>
      <c r="W40" s="127"/>
      <c r="X40" s="127"/>
      <c r="Y40" s="127"/>
    </row>
    <row r="41">
      <c r="A41" s="127">
        <v>0.0</v>
      </c>
      <c r="B41" s="127">
        <v>0.0</v>
      </c>
      <c r="C41" s="127">
        <v>0.0</v>
      </c>
      <c r="D41" s="127">
        <v>0.0</v>
      </c>
      <c r="E41" s="127">
        <v>0.0</v>
      </c>
      <c r="F41" s="127">
        <v>0.0</v>
      </c>
      <c r="G41" s="127">
        <v>0.0</v>
      </c>
      <c r="H41" s="127">
        <v>0.0</v>
      </c>
      <c r="I41" s="127">
        <v>0.0</v>
      </c>
      <c r="J41" s="127">
        <v>186.0</v>
      </c>
      <c r="K41" s="127">
        <v>0.0</v>
      </c>
      <c r="L41" s="127">
        <v>0.0</v>
      </c>
      <c r="M41" s="127">
        <v>92.0</v>
      </c>
      <c r="N41" s="127">
        <v>0.0</v>
      </c>
      <c r="O41" s="127">
        <v>0.0</v>
      </c>
      <c r="P41" s="127">
        <v>0.0</v>
      </c>
      <c r="Q41" s="127">
        <v>0.0</v>
      </c>
      <c r="R41" s="127">
        <v>0.0</v>
      </c>
      <c r="S41" s="127">
        <v>0.0</v>
      </c>
      <c r="T41" s="127"/>
      <c r="U41" s="127"/>
      <c r="V41" s="127"/>
      <c r="W41" s="127"/>
      <c r="X41" s="127"/>
      <c r="Y41" s="127"/>
    </row>
    <row r="42">
      <c r="A42" s="127">
        <v>0.0</v>
      </c>
      <c r="B42" s="127">
        <v>0.0</v>
      </c>
      <c r="C42" s="127">
        <v>0.0</v>
      </c>
      <c r="D42" s="127">
        <v>0.0</v>
      </c>
      <c r="E42" s="127">
        <v>0.0</v>
      </c>
      <c r="F42" s="127">
        <v>0.0</v>
      </c>
      <c r="G42" s="127">
        <v>0.0</v>
      </c>
      <c r="H42" s="127">
        <v>0.0</v>
      </c>
      <c r="I42" s="127">
        <v>0.0</v>
      </c>
      <c r="J42" s="127">
        <v>0.0</v>
      </c>
      <c r="K42" s="127">
        <v>0.0</v>
      </c>
      <c r="L42" s="127">
        <v>0.0</v>
      </c>
      <c r="M42" s="127">
        <v>0.0</v>
      </c>
      <c r="N42" s="127">
        <v>0.0</v>
      </c>
      <c r="O42" s="127">
        <v>0.0</v>
      </c>
      <c r="P42" s="127">
        <v>0.0</v>
      </c>
      <c r="Q42" s="127">
        <v>0.0</v>
      </c>
      <c r="R42" s="127">
        <v>0.0</v>
      </c>
      <c r="S42" s="127">
        <v>0.0</v>
      </c>
      <c r="T42" s="127"/>
      <c r="U42" s="127"/>
      <c r="V42" s="127"/>
      <c r="W42" s="127"/>
      <c r="X42" s="127"/>
      <c r="Y42" s="127"/>
    </row>
    <row r="43">
      <c r="A43" s="127">
        <v>0.0</v>
      </c>
      <c r="B43" s="127">
        <v>0.0</v>
      </c>
      <c r="C43" s="127">
        <v>0.0</v>
      </c>
      <c r="D43" s="127">
        <v>0.0</v>
      </c>
      <c r="E43" s="127">
        <v>0.0</v>
      </c>
      <c r="F43" s="127">
        <v>0.0</v>
      </c>
      <c r="G43" s="127">
        <v>0.0</v>
      </c>
      <c r="H43" s="127">
        <v>0.0</v>
      </c>
      <c r="I43" s="127">
        <v>0.0</v>
      </c>
      <c r="J43" s="127">
        <v>0.0</v>
      </c>
      <c r="K43" s="127">
        <v>0.0</v>
      </c>
      <c r="L43" s="127">
        <v>0.0</v>
      </c>
      <c r="M43" s="127">
        <v>0.0</v>
      </c>
      <c r="N43" s="127">
        <v>0.0</v>
      </c>
      <c r="O43" s="127">
        <v>0.0</v>
      </c>
      <c r="P43" s="127">
        <v>0.0</v>
      </c>
      <c r="Q43" s="127">
        <v>0.0</v>
      </c>
      <c r="R43" s="127">
        <v>0.0</v>
      </c>
      <c r="S43" s="127">
        <v>0.0</v>
      </c>
      <c r="T43" s="127"/>
      <c r="U43" s="127"/>
      <c r="V43" s="127"/>
      <c r="W43" s="127"/>
      <c r="X43" s="127"/>
      <c r="Y43" s="127"/>
    </row>
    <row r="44">
      <c r="A44" s="127">
        <v>0.0</v>
      </c>
      <c r="B44" s="127">
        <v>0.0</v>
      </c>
      <c r="C44" s="127">
        <v>0.0</v>
      </c>
      <c r="D44" s="127">
        <v>0.0</v>
      </c>
      <c r="E44" s="127">
        <v>0.0</v>
      </c>
      <c r="F44" s="127">
        <v>0.0</v>
      </c>
      <c r="G44" s="127">
        <v>0.0</v>
      </c>
      <c r="H44" s="127">
        <v>0.0</v>
      </c>
      <c r="I44" s="127">
        <v>0.0</v>
      </c>
      <c r="J44" s="127">
        <v>0.0</v>
      </c>
      <c r="K44" s="127">
        <v>0.0</v>
      </c>
      <c r="L44" s="127">
        <v>0.0</v>
      </c>
      <c r="M44" s="127">
        <v>0.0</v>
      </c>
      <c r="N44" s="127">
        <v>0.0</v>
      </c>
      <c r="O44" s="127">
        <v>0.0</v>
      </c>
      <c r="P44" s="127">
        <v>0.0</v>
      </c>
      <c r="Q44" s="127">
        <v>0.0</v>
      </c>
      <c r="R44" s="127">
        <v>0.0</v>
      </c>
      <c r="S44" s="127">
        <v>0.0</v>
      </c>
      <c r="T44" s="127"/>
      <c r="U44" s="127"/>
      <c r="V44" s="127"/>
      <c r="W44" s="127"/>
      <c r="X44" s="127"/>
      <c r="Y44" s="127"/>
    </row>
    <row r="45">
      <c r="A45" s="127">
        <v>0.0</v>
      </c>
      <c r="B45" s="127">
        <v>0.0</v>
      </c>
      <c r="C45" s="127">
        <v>0.0</v>
      </c>
      <c r="D45" s="127">
        <v>0.0</v>
      </c>
      <c r="E45" s="127">
        <v>0.0</v>
      </c>
      <c r="F45" s="127">
        <v>0.0</v>
      </c>
      <c r="G45" s="127">
        <v>0.0</v>
      </c>
      <c r="H45" s="127">
        <v>0.0</v>
      </c>
      <c r="I45" s="127">
        <v>0.0</v>
      </c>
      <c r="J45" s="127">
        <v>31.0</v>
      </c>
      <c r="K45" s="127">
        <v>0.0</v>
      </c>
      <c r="L45" s="127">
        <v>0.0</v>
      </c>
      <c r="M45" s="127">
        <v>37.0</v>
      </c>
      <c r="N45" s="127">
        <v>0.0</v>
      </c>
      <c r="O45" s="127">
        <v>0.0</v>
      </c>
      <c r="P45" s="127">
        <v>0.0</v>
      </c>
      <c r="Q45" s="127">
        <v>0.0</v>
      </c>
      <c r="R45" s="127">
        <v>0.0</v>
      </c>
      <c r="S45" s="127">
        <v>0.0</v>
      </c>
      <c r="T45" s="127"/>
      <c r="U45" s="127"/>
      <c r="V45" s="127"/>
      <c r="W45" s="127"/>
      <c r="X45" s="127"/>
      <c r="Y45" s="127"/>
    </row>
    <row r="46">
      <c r="A46" s="127">
        <v>0.0</v>
      </c>
      <c r="B46" s="127">
        <v>0.0</v>
      </c>
      <c r="C46" s="127">
        <v>0.0</v>
      </c>
      <c r="D46" s="127">
        <v>0.0</v>
      </c>
      <c r="E46" s="127">
        <v>0.0</v>
      </c>
      <c r="F46" s="127">
        <v>0.0</v>
      </c>
      <c r="G46" s="127">
        <v>0.0</v>
      </c>
      <c r="H46" s="127">
        <v>0.0</v>
      </c>
      <c r="I46" s="127">
        <v>0.0</v>
      </c>
      <c r="J46" s="127">
        <v>0.0</v>
      </c>
      <c r="K46" s="127">
        <v>0.0</v>
      </c>
      <c r="L46" s="127">
        <v>0.0</v>
      </c>
      <c r="M46" s="127">
        <v>0.0</v>
      </c>
      <c r="N46" s="127">
        <v>0.0</v>
      </c>
      <c r="O46" s="127">
        <v>0.0</v>
      </c>
      <c r="P46" s="127">
        <v>0.0</v>
      </c>
      <c r="Q46" s="127">
        <v>0.0</v>
      </c>
      <c r="R46" s="127">
        <v>0.0</v>
      </c>
      <c r="S46" s="127">
        <v>0.0</v>
      </c>
      <c r="T46" s="127"/>
      <c r="U46" s="127"/>
      <c r="V46" s="127"/>
      <c r="W46" s="127"/>
      <c r="X46" s="127"/>
      <c r="Y46" s="127"/>
    </row>
    <row r="47">
      <c r="A47" s="127">
        <v>0.0</v>
      </c>
      <c r="B47" s="127">
        <v>0.0</v>
      </c>
      <c r="C47" s="127">
        <v>0.0</v>
      </c>
      <c r="D47" s="127">
        <v>0.0</v>
      </c>
      <c r="E47" s="127">
        <v>0.0</v>
      </c>
      <c r="F47" s="127">
        <v>0.0</v>
      </c>
      <c r="G47" s="127">
        <v>0.0</v>
      </c>
      <c r="H47" s="127">
        <v>0.0</v>
      </c>
      <c r="I47" s="127">
        <v>0.0</v>
      </c>
      <c r="J47" s="127">
        <v>0.0</v>
      </c>
      <c r="K47" s="127">
        <v>0.0</v>
      </c>
      <c r="L47" s="127">
        <v>0.0</v>
      </c>
      <c r="M47" s="127">
        <v>0.0</v>
      </c>
      <c r="N47" s="127">
        <v>0.0</v>
      </c>
      <c r="O47" s="127">
        <v>0.0</v>
      </c>
      <c r="P47" s="127">
        <v>0.0</v>
      </c>
      <c r="Q47" s="127">
        <v>0.0</v>
      </c>
      <c r="R47" s="127">
        <v>0.0</v>
      </c>
      <c r="S47" s="127">
        <v>0.0</v>
      </c>
      <c r="T47" s="127"/>
      <c r="U47" s="127"/>
      <c r="V47" s="127"/>
      <c r="W47" s="127"/>
      <c r="X47" s="127"/>
      <c r="Y47" s="127"/>
    </row>
    <row r="48">
      <c r="A48" s="127">
        <v>0.0</v>
      </c>
      <c r="B48" s="127">
        <v>0.0</v>
      </c>
      <c r="C48" s="127">
        <v>0.0</v>
      </c>
      <c r="D48" s="127">
        <v>0.0</v>
      </c>
      <c r="E48" s="127">
        <v>0.0</v>
      </c>
      <c r="F48" s="127">
        <v>0.0</v>
      </c>
      <c r="G48" s="127">
        <v>0.0</v>
      </c>
      <c r="H48" s="127">
        <v>0.0</v>
      </c>
      <c r="I48" s="127">
        <v>0.0</v>
      </c>
      <c r="J48" s="127">
        <v>0.0</v>
      </c>
      <c r="K48" s="127">
        <v>0.0</v>
      </c>
      <c r="L48" s="127">
        <v>0.0</v>
      </c>
      <c r="M48" s="127">
        <v>0.0</v>
      </c>
      <c r="N48" s="127">
        <v>0.0</v>
      </c>
      <c r="O48" s="127">
        <v>0.0</v>
      </c>
      <c r="P48" s="127">
        <v>0.0</v>
      </c>
      <c r="Q48" s="127">
        <v>0.0</v>
      </c>
      <c r="R48" s="127">
        <v>0.0</v>
      </c>
      <c r="S48" s="127">
        <v>0.0</v>
      </c>
      <c r="T48" s="127"/>
      <c r="U48" s="127"/>
      <c r="V48" s="127"/>
      <c r="W48" s="127"/>
      <c r="X48" s="127"/>
      <c r="Y48" s="127"/>
    </row>
    <row r="49">
      <c r="A49" s="127">
        <v>0.0</v>
      </c>
      <c r="B49" s="127">
        <v>0.0</v>
      </c>
      <c r="C49" s="127">
        <v>0.0</v>
      </c>
      <c r="D49" s="127">
        <v>0.0</v>
      </c>
      <c r="E49" s="127">
        <v>0.0</v>
      </c>
      <c r="F49" s="127">
        <v>0.0</v>
      </c>
      <c r="G49" s="127">
        <v>0.0</v>
      </c>
      <c r="H49" s="127">
        <v>0.0</v>
      </c>
      <c r="I49" s="127">
        <v>0.0</v>
      </c>
      <c r="J49" s="127">
        <v>14.0</v>
      </c>
      <c r="K49" s="127">
        <v>0.0</v>
      </c>
      <c r="L49" s="127">
        <v>0.0</v>
      </c>
      <c r="M49" s="127">
        <v>4070.0</v>
      </c>
      <c r="N49" s="127">
        <v>0.0</v>
      </c>
      <c r="O49" s="127">
        <v>0.0</v>
      </c>
      <c r="P49" s="127">
        <v>0.0</v>
      </c>
      <c r="Q49" s="127">
        <v>0.0</v>
      </c>
      <c r="R49" s="127">
        <v>0.0</v>
      </c>
      <c r="S49" s="127">
        <v>0.0</v>
      </c>
      <c r="T49" s="127"/>
      <c r="U49" s="127"/>
      <c r="V49" s="127"/>
      <c r="W49" s="127"/>
      <c r="X49" s="127"/>
      <c r="Y49" s="127"/>
    </row>
    <row r="50">
      <c r="A50" s="127">
        <v>0.0</v>
      </c>
      <c r="B50" s="127">
        <v>0.0</v>
      </c>
      <c r="C50" s="127">
        <v>0.0</v>
      </c>
      <c r="D50" s="127">
        <v>0.0</v>
      </c>
      <c r="E50" s="127">
        <v>0.0</v>
      </c>
      <c r="F50" s="127">
        <v>0.0</v>
      </c>
      <c r="G50" s="127">
        <v>0.0</v>
      </c>
      <c r="H50" s="127">
        <v>0.0</v>
      </c>
      <c r="I50" s="127">
        <v>0.0</v>
      </c>
      <c r="J50" s="127">
        <v>0.0</v>
      </c>
      <c r="K50" s="127">
        <v>0.0</v>
      </c>
      <c r="L50" s="127">
        <v>0.0</v>
      </c>
      <c r="M50" s="127">
        <v>0.0</v>
      </c>
      <c r="N50" s="127">
        <v>0.0</v>
      </c>
      <c r="O50" s="127">
        <v>0.0</v>
      </c>
      <c r="P50" s="127">
        <v>0.0</v>
      </c>
      <c r="Q50" s="127">
        <v>0.0</v>
      </c>
      <c r="R50" s="127">
        <v>0.0</v>
      </c>
      <c r="S50" s="127">
        <v>0.0</v>
      </c>
      <c r="T50" s="127"/>
      <c r="U50" s="127"/>
      <c r="V50" s="127"/>
      <c r="W50" s="127"/>
      <c r="X50" s="127"/>
      <c r="Y50" s="127"/>
    </row>
    <row r="51">
      <c r="A51" s="127">
        <v>0.0</v>
      </c>
      <c r="B51" s="127">
        <v>0.0</v>
      </c>
      <c r="C51" s="127">
        <v>0.0</v>
      </c>
      <c r="D51" s="127">
        <v>0.0</v>
      </c>
      <c r="E51" s="127">
        <v>0.0</v>
      </c>
      <c r="F51" s="127">
        <v>0.0</v>
      </c>
      <c r="G51" s="127">
        <v>0.0</v>
      </c>
      <c r="H51" s="127">
        <v>0.0</v>
      </c>
      <c r="I51" s="127">
        <v>0.0</v>
      </c>
      <c r="J51" s="127">
        <v>159.0</v>
      </c>
      <c r="K51" s="127">
        <v>0.0</v>
      </c>
      <c r="L51" s="127">
        <v>0.0</v>
      </c>
      <c r="M51" s="127">
        <v>31.0</v>
      </c>
      <c r="N51" s="127">
        <v>0.0</v>
      </c>
      <c r="O51" s="127">
        <v>0.0</v>
      </c>
      <c r="P51" s="127">
        <v>0.0</v>
      </c>
      <c r="Q51" s="127">
        <v>0.0</v>
      </c>
      <c r="R51" s="127">
        <v>0.0</v>
      </c>
      <c r="S51" s="127">
        <v>0.0</v>
      </c>
      <c r="T51" s="127"/>
      <c r="U51" s="127"/>
      <c r="V51" s="127"/>
      <c r="W51" s="127"/>
      <c r="X51" s="127"/>
      <c r="Y51" s="127"/>
    </row>
    <row r="52">
      <c r="A52" s="127">
        <v>0.0</v>
      </c>
      <c r="B52" s="127">
        <v>0.0</v>
      </c>
      <c r="C52" s="127">
        <v>0.0</v>
      </c>
      <c r="D52" s="127">
        <v>0.0</v>
      </c>
      <c r="E52" s="127">
        <v>0.0</v>
      </c>
      <c r="F52" s="127">
        <v>0.0</v>
      </c>
      <c r="G52" s="127">
        <v>0.0</v>
      </c>
      <c r="H52" s="127">
        <v>0.0</v>
      </c>
      <c r="I52" s="127">
        <v>0.0</v>
      </c>
      <c r="J52" s="127">
        <v>0.0</v>
      </c>
      <c r="K52" s="127">
        <v>0.0</v>
      </c>
      <c r="L52" s="127">
        <v>0.0</v>
      </c>
      <c r="M52" s="127">
        <v>5166.0</v>
      </c>
      <c r="N52" s="127">
        <v>0.0</v>
      </c>
      <c r="O52" s="127">
        <v>0.0</v>
      </c>
      <c r="P52" s="127">
        <v>0.0</v>
      </c>
      <c r="Q52" s="127">
        <v>0.0</v>
      </c>
      <c r="R52" s="127">
        <v>0.0</v>
      </c>
      <c r="S52" s="127">
        <v>0.0</v>
      </c>
      <c r="T52" s="127"/>
      <c r="U52" s="127"/>
      <c r="V52" s="127"/>
      <c r="W52" s="127"/>
      <c r="X52" s="127"/>
      <c r="Y52" s="127"/>
    </row>
    <row r="53">
      <c r="A53" s="127">
        <v>0.0</v>
      </c>
      <c r="B53" s="127">
        <v>0.0</v>
      </c>
      <c r="C53" s="127">
        <v>0.0</v>
      </c>
      <c r="D53" s="127">
        <v>0.0</v>
      </c>
      <c r="E53" s="127">
        <v>0.0</v>
      </c>
      <c r="F53" s="127">
        <v>0.0</v>
      </c>
      <c r="G53" s="127">
        <v>0.0</v>
      </c>
      <c r="H53" s="127">
        <v>0.0</v>
      </c>
      <c r="I53" s="127">
        <v>0.0</v>
      </c>
      <c r="J53" s="127">
        <v>0.0</v>
      </c>
      <c r="K53" s="127">
        <v>0.0</v>
      </c>
      <c r="L53" s="127">
        <v>0.0</v>
      </c>
      <c r="M53" s="127">
        <v>10000.0</v>
      </c>
      <c r="N53" s="127">
        <v>0.0</v>
      </c>
      <c r="O53" s="127">
        <v>0.0</v>
      </c>
      <c r="P53" s="127">
        <v>0.0</v>
      </c>
      <c r="Q53" s="127">
        <v>0.0</v>
      </c>
      <c r="R53" s="127">
        <v>0.0</v>
      </c>
      <c r="S53" s="127">
        <v>0.0</v>
      </c>
      <c r="T53" s="127"/>
      <c r="U53" s="127"/>
      <c r="V53" s="127"/>
      <c r="W53" s="127"/>
      <c r="X53" s="127"/>
      <c r="Y53" s="127"/>
    </row>
    <row r="54">
      <c r="A54" s="127">
        <v>0.0</v>
      </c>
      <c r="B54" s="127">
        <v>0.0</v>
      </c>
      <c r="C54" s="127">
        <v>0.0</v>
      </c>
      <c r="D54" s="127">
        <v>0.0</v>
      </c>
      <c r="E54" s="127">
        <v>0.0</v>
      </c>
      <c r="F54" s="127">
        <v>0.0</v>
      </c>
      <c r="G54" s="127">
        <v>0.0</v>
      </c>
      <c r="H54" s="127">
        <v>0.0</v>
      </c>
      <c r="I54" s="127">
        <v>0.0</v>
      </c>
      <c r="J54" s="127">
        <v>494.0</v>
      </c>
      <c r="K54" s="127">
        <v>0.0</v>
      </c>
      <c r="L54" s="127">
        <v>0.0</v>
      </c>
      <c r="M54" s="127">
        <v>378.0</v>
      </c>
      <c r="N54" s="127">
        <v>0.0</v>
      </c>
      <c r="O54" s="127">
        <v>0.0</v>
      </c>
      <c r="P54" s="127">
        <v>0.0</v>
      </c>
      <c r="Q54" s="127">
        <v>0.0</v>
      </c>
      <c r="R54" s="127">
        <v>0.0</v>
      </c>
      <c r="S54" s="127">
        <v>0.0</v>
      </c>
      <c r="T54" s="127"/>
      <c r="U54" s="127"/>
      <c r="V54" s="127"/>
      <c r="W54" s="127"/>
      <c r="X54" s="127"/>
      <c r="Y54" s="127"/>
    </row>
    <row r="55">
      <c r="A55" s="127">
        <v>0.0</v>
      </c>
      <c r="B55" s="127">
        <v>0.0</v>
      </c>
      <c r="C55" s="127">
        <v>0.0</v>
      </c>
      <c r="D55" s="127">
        <v>0.0</v>
      </c>
      <c r="E55" s="127">
        <v>0.0</v>
      </c>
      <c r="F55" s="127">
        <v>0.0</v>
      </c>
      <c r="G55" s="127">
        <v>0.0</v>
      </c>
      <c r="H55" s="127">
        <v>0.0</v>
      </c>
      <c r="I55" s="127">
        <v>0.0</v>
      </c>
      <c r="J55" s="127">
        <v>0.0</v>
      </c>
      <c r="K55" s="127">
        <v>0.0</v>
      </c>
      <c r="L55" s="127">
        <v>0.0</v>
      </c>
      <c r="M55" s="127">
        <v>0.0</v>
      </c>
      <c r="N55" s="127">
        <v>0.0</v>
      </c>
      <c r="O55" s="127">
        <v>0.0</v>
      </c>
      <c r="P55" s="127">
        <v>0.0</v>
      </c>
      <c r="Q55" s="127">
        <v>0.0</v>
      </c>
      <c r="R55" s="127">
        <v>0.0</v>
      </c>
      <c r="S55" s="127">
        <v>0.0</v>
      </c>
      <c r="T55" s="127"/>
      <c r="U55" s="127"/>
      <c r="V55" s="127"/>
      <c r="W55" s="127"/>
      <c r="X55" s="127"/>
      <c r="Y55" s="127"/>
    </row>
    <row r="56">
      <c r="A56" s="127">
        <v>0.0</v>
      </c>
      <c r="B56" s="127">
        <v>0.0</v>
      </c>
      <c r="C56" s="127">
        <v>0.0</v>
      </c>
      <c r="D56" s="127">
        <v>0.0</v>
      </c>
      <c r="E56" s="127">
        <v>0.0</v>
      </c>
      <c r="F56" s="127">
        <v>0.0</v>
      </c>
      <c r="G56" s="127">
        <v>0.0</v>
      </c>
      <c r="H56" s="127">
        <v>0.0</v>
      </c>
      <c r="I56" s="127">
        <v>0.0</v>
      </c>
      <c r="J56" s="127">
        <v>1000.0</v>
      </c>
      <c r="K56" s="127">
        <v>0.0</v>
      </c>
      <c r="L56" s="127">
        <v>0.0</v>
      </c>
      <c r="M56" s="127">
        <v>1709.0</v>
      </c>
      <c r="N56" s="127">
        <v>0.0</v>
      </c>
      <c r="O56" s="127">
        <v>0.0</v>
      </c>
      <c r="P56" s="127">
        <v>0.0</v>
      </c>
      <c r="Q56" s="127">
        <v>0.0</v>
      </c>
      <c r="R56" s="127">
        <v>0.0</v>
      </c>
      <c r="S56" s="127">
        <v>0.0</v>
      </c>
      <c r="T56" s="127"/>
      <c r="U56" s="127"/>
      <c r="V56" s="127"/>
      <c r="W56" s="127"/>
      <c r="X56" s="127"/>
      <c r="Y56" s="127"/>
    </row>
    <row r="57">
      <c r="A57" s="127">
        <v>0.0</v>
      </c>
      <c r="B57" s="127">
        <v>0.0</v>
      </c>
      <c r="C57" s="127">
        <v>0.0</v>
      </c>
      <c r="D57" s="127">
        <v>0.0</v>
      </c>
      <c r="E57" s="127">
        <v>0.0</v>
      </c>
      <c r="F57" s="127">
        <v>0.0</v>
      </c>
      <c r="G57" s="127">
        <v>0.0</v>
      </c>
      <c r="H57" s="127">
        <v>0.0</v>
      </c>
      <c r="I57" s="127">
        <v>0.0</v>
      </c>
      <c r="J57" s="127">
        <v>932.0</v>
      </c>
      <c r="K57" s="127">
        <v>0.0</v>
      </c>
      <c r="L57" s="127">
        <v>0.0</v>
      </c>
      <c r="M57" s="127">
        <v>3599.0</v>
      </c>
      <c r="N57" s="127">
        <v>0.0</v>
      </c>
      <c r="O57" s="127">
        <v>0.0</v>
      </c>
      <c r="P57" s="127">
        <v>0.0</v>
      </c>
      <c r="Q57" s="127">
        <v>0.0</v>
      </c>
      <c r="R57" s="127">
        <v>0.0</v>
      </c>
      <c r="S57" s="127">
        <v>0.0</v>
      </c>
      <c r="T57" s="127"/>
      <c r="U57" s="127"/>
      <c r="V57" s="127"/>
      <c r="W57" s="127"/>
      <c r="X57" s="127"/>
      <c r="Y57" s="127"/>
    </row>
    <row r="58">
      <c r="A58" s="127">
        <v>0.0</v>
      </c>
      <c r="B58" s="127">
        <v>0.0</v>
      </c>
      <c r="C58" s="127">
        <v>0.0</v>
      </c>
      <c r="D58" s="127">
        <v>0.0</v>
      </c>
      <c r="E58" s="127">
        <v>0.0</v>
      </c>
      <c r="F58" s="127">
        <v>0.0</v>
      </c>
      <c r="G58" s="127">
        <v>0.0</v>
      </c>
      <c r="H58" s="127">
        <v>0.0</v>
      </c>
      <c r="I58" s="127">
        <v>0.0</v>
      </c>
      <c r="J58" s="127">
        <v>0.0</v>
      </c>
      <c r="K58" s="127">
        <v>0.0</v>
      </c>
      <c r="L58" s="127">
        <v>0.0</v>
      </c>
      <c r="M58" s="127">
        <v>0.0</v>
      </c>
      <c r="N58" s="127">
        <v>0.0</v>
      </c>
      <c r="O58" s="127">
        <v>0.0</v>
      </c>
      <c r="P58" s="127">
        <v>0.0</v>
      </c>
      <c r="Q58" s="127">
        <v>0.0</v>
      </c>
      <c r="R58" s="127">
        <v>0.0</v>
      </c>
      <c r="S58" s="127">
        <v>0.0</v>
      </c>
      <c r="T58" s="127"/>
      <c r="U58" s="127"/>
      <c r="V58" s="127"/>
      <c r="W58" s="127"/>
      <c r="X58" s="127"/>
      <c r="Y58" s="127"/>
    </row>
    <row r="59">
      <c r="A59" s="127">
        <v>0.0</v>
      </c>
      <c r="B59" s="127">
        <v>0.0</v>
      </c>
      <c r="C59" s="127">
        <v>0.0</v>
      </c>
      <c r="D59" s="127">
        <v>0.0</v>
      </c>
      <c r="E59" s="127">
        <v>0.0</v>
      </c>
      <c r="F59" s="127">
        <v>0.0</v>
      </c>
      <c r="G59" s="127">
        <v>0.0</v>
      </c>
      <c r="H59" s="127">
        <v>0.0</v>
      </c>
      <c r="I59" s="127">
        <v>0.0</v>
      </c>
      <c r="J59" s="127">
        <v>802.0</v>
      </c>
      <c r="K59" s="127">
        <v>0.0</v>
      </c>
      <c r="L59" s="127">
        <v>0.0</v>
      </c>
      <c r="M59" s="127">
        <v>281.0</v>
      </c>
      <c r="N59" s="127">
        <v>0.0</v>
      </c>
      <c r="O59" s="127">
        <v>0.0</v>
      </c>
      <c r="P59" s="127">
        <v>0.0</v>
      </c>
      <c r="Q59" s="127">
        <v>0.0</v>
      </c>
      <c r="R59" s="127">
        <v>0.0</v>
      </c>
      <c r="S59" s="127">
        <v>0.0</v>
      </c>
      <c r="T59" s="127"/>
      <c r="U59" s="127"/>
      <c r="V59" s="127"/>
      <c r="W59" s="127"/>
      <c r="X59" s="127"/>
      <c r="Y59" s="127"/>
    </row>
    <row r="60">
      <c r="A60" s="127">
        <v>0.0</v>
      </c>
      <c r="B60" s="127">
        <v>0.0</v>
      </c>
      <c r="C60" s="127">
        <v>0.0</v>
      </c>
      <c r="D60" s="127">
        <v>0.0</v>
      </c>
      <c r="E60" s="127">
        <v>0.0</v>
      </c>
      <c r="F60" s="127">
        <v>0.0</v>
      </c>
      <c r="G60" s="127">
        <v>0.0</v>
      </c>
      <c r="H60" s="127">
        <v>0.0</v>
      </c>
      <c r="I60" s="127">
        <v>0.0</v>
      </c>
      <c r="J60" s="127">
        <v>0.0</v>
      </c>
      <c r="K60" s="127">
        <v>0.0</v>
      </c>
      <c r="L60" s="127">
        <v>0.0</v>
      </c>
      <c r="M60" s="127">
        <v>0.0</v>
      </c>
      <c r="N60" s="127">
        <v>0.0</v>
      </c>
      <c r="O60" s="127">
        <v>0.0</v>
      </c>
      <c r="P60" s="127">
        <v>0.0</v>
      </c>
      <c r="Q60" s="127">
        <v>0.0</v>
      </c>
      <c r="R60" s="127">
        <v>0.0</v>
      </c>
      <c r="S60" s="127">
        <v>0.0</v>
      </c>
      <c r="T60" s="127"/>
      <c r="U60" s="127"/>
      <c r="V60" s="127"/>
      <c r="W60" s="127"/>
      <c r="X60" s="127"/>
      <c r="Y60" s="127"/>
    </row>
    <row r="61">
      <c r="A61" s="127">
        <v>0.0</v>
      </c>
      <c r="B61" s="127">
        <v>0.0</v>
      </c>
      <c r="C61" s="127">
        <v>0.0</v>
      </c>
      <c r="D61" s="127">
        <v>0.0</v>
      </c>
      <c r="E61" s="127">
        <v>0.0</v>
      </c>
      <c r="F61" s="127">
        <v>0.0</v>
      </c>
      <c r="G61" s="127">
        <v>0.0</v>
      </c>
      <c r="H61" s="127">
        <v>0.0</v>
      </c>
      <c r="I61" s="127">
        <v>0.0</v>
      </c>
      <c r="J61" s="127">
        <v>0.0</v>
      </c>
      <c r="K61" s="127">
        <v>0.0</v>
      </c>
      <c r="L61" s="127">
        <v>0.0</v>
      </c>
      <c r="M61" s="127">
        <v>21.0</v>
      </c>
      <c r="N61" s="127">
        <v>0.0</v>
      </c>
      <c r="O61" s="127">
        <v>0.0</v>
      </c>
      <c r="P61" s="127">
        <v>0.0</v>
      </c>
      <c r="Q61" s="127">
        <v>0.0</v>
      </c>
      <c r="R61" s="127">
        <v>0.0</v>
      </c>
      <c r="S61" s="127">
        <v>0.0</v>
      </c>
      <c r="T61" s="127"/>
      <c r="U61" s="127"/>
      <c r="V61" s="127"/>
      <c r="W61" s="127"/>
      <c r="X61" s="127"/>
      <c r="Y61" s="127"/>
    </row>
    <row r="62">
      <c r="A62" s="127">
        <v>0.0</v>
      </c>
      <c r="B62" s="127">
        <v>0.0</v>
      </c>
      <c r="C62" s="127">
        <v>0.0</v>
      </c>
      <c r="D62" s="127">
        <v>0.0</v>
      </c>
      <c r="E62" s="127">
        <v>0.0</v>
      </c>
      <c r="F62" s="127">
        <v>0.0</v>
      </c>
      <c r="G62" s="127">
        <v>0.0</v>
      </c>
      <c r="H62" s="127">
        <v>0.0</v>
      </c>
      <c r="I62" s="127">
        <v>0.0</v>
      </c>
      <c r="J62" s="127">
        <v>2992.0</v>
      </c>
      <c r="K62" s="127">
        <v>0.0</v>
      </c>
      <c r="L62" s="127">
        <v>0.0</v>
      </c>
      <c r="M62" s="127">
        <v>2275.0</v>
      </c>
      <c r="N62" s="127">
        <v>0.0</v>
      </c>
      <c r="O62" s="127">
        <v>0.0</v>
      </c>
      <c r="P62" s="127">
        <v>0.0</v>
      </c>
      <c r="Q62" s="127">
        <v>0.0</v>
      </c>
      <c r="R62" s="127">
        <v>0.0</v>
      </c>
      <c r="S62" s="127">
        <v>0.0</v>
      </c>
      <c r="T62" s="127"/>
      <c r="U62" s="127"/>
      <c r="V62" s="127"/>
      <c r="W62" s="127"/>
      <c r="X62" s="127"/>
      <c r="Y62" s="127"/>
    </row>
    <row r="63">
      <c r="A63" s="127">
        <v>0.0</v>
      </c>
      <c r="B63" s="127">
        <v>0.0</v>
      </c>
      <c r="C63" s="127">
        <v>0.0</v>
      </c>
      <c r="D63" s="127">
        <v>0.0</v>
      </c>
      <c r="E63" s="127">
        <v>0.0</v>
      </c>
      <c r="F63" s="127">
        <v>0.0</v>
      </c>
      <c r="G63" s="127">
        <v>0.0</v>
      </c>
      <c r="H63" s="127">
        <v>0.0</v>
      </c>
      <c r="I63" s="127">
        <v>0.0</v>
      </c>
      <c r="J63" s="127">
        <v>1748.0</v>
      </c>
      <c r="K63" s="127">
        <v>0.0</v>
      </c>
      <c r="L63" s="127">
        <v>0.0</v>
      </c>
      <c r="M63" s="127">
        <v>2210.0</v>
      </c>
      <c r="N63" s="127">
        <v>0.0</v>
      </c>
      <c r="O63" s="127">
        <v>0.0</v>
      </c>
      <c r="P63" s="127">
        <v>0.0</v>
      </c>
      <c r="Q63" s="127">
        <v>0.0</v>
      </c>
      <c r="R63" s="127">
        <v>0.0</v>
      </c>
      <c r="S63" s="127">
        <v>0.0</v>
      </c>
      <c r="T63" s="127"/>
      <c r="U63" s="127"/>
      <c r="V63" s="127"/>
      <c r="W63" s="127"/>
      <c r="X63" s="127"/>
      <c r="Y63" s="127"/>
    </row>
    <row r="64">
      <c r="A64" s="127">
        <v>0.0</v>
      </c>
      <c r="B64" s="127">
        <v>0.0</v>
      </c>
      <c r="C64" s="127">
        <v>0.0</v>
      </c>
      <c r="D64" s="127">
        <v>0.0</v>
      </c>
      <c r="E64" s="127">
        <v>0.0</v>
      </c>
      <c r="F64" s="127">
        <v>0.0</v>
      </c>
      <c r="G64" s="127">
        <v>0.0</v>
      </c>
      <c r="H64" s="127">
        <v>0.0</v>
      </c>
      <c r="I64" s="127">
        <v>0.0</v>
      </c>
      <c r="J64" s="127">
        <v>4619.0</v>
      </c>
      <c r="K64" s="127">
        <v>0.0</v>
      </c>
      <c r="L64" s="127">
        <v>0.0</v>
      </c>
      <c r="M64" s="127">
        <v>388.0</v>
      </c>
      <c r="N64" s="127">
        <v>0.0</v>
      </c>
      <c r="O64" s="127">
        <v>0.0</v>
      </c>
      <c r="P64" s="127">
        <v>0.0</v>
      </c>
      <c r="Q64" s="127">
        <v>0.0</v>
      </c>
      <c r="R64" s="127">
        <v>0.0</v>
      </c>
      <c r="S64" s="127">
        <v>0.0</v>
      </c>
      <c r="T64" s="127"/>
      <c r="U64" s="127"/>
      <c r="V64" s="127"/>
      <c r="W64" s="127"/>
      <c r="X64" s="127"/>
      <c r="Y64" s="127"/>
    </row>
    <row r="65">
      <c r="A65" s="127">
        <v>0.0</v>
      </c>
      <c r="B65" s="127">
        <v>0.0</v>
      </c>
      <c r="C65" s="127">
        <v>0.0</v>
      </c>
      <c r="D65" s="127">
        <v>0.0</v>
      </c>
      <c r="E65" s="127">
        <v>0.0</v>
      </c>
      <c r="F65" s="127">
        <v>0.0</v>
      </c>
      <c r="G65" s="127">
        <v>0.0</v>
      </c>
      <c r="H65" s="127">
        <v>0.0</v>
      </c>
      <c r="I65" s="127">
        <v>0.0</v>
      </c>
      <c r="J65" s="127">
        <v>1214.0</v>
      </c>
      <c r="K65" s="127">
        <v>0.0</v>
      </c>
      <c r="L65" s="127">
        <v>0.0</v>
      </c>
      <c r="M65" s="127">
        <v>1210.0</v>
      </c>
      <c r="N65" s="127">
        <v>0.0</v>
      </c>
      <c r="O65" s="127">
        <v>0.0</v>
      </c>
      <c r="P65" s="127">
        <v>0.0</v>
      </c>
      <c r="Q65" s="127">
        <v>0.0</v>
      </c>
      <c r="R65" s="127">
        <v>0.0</v>
      </c>
      <c r="S65" s="127">
        <v>0.0</v>
      </c>
      <c r="T65" s="127"/>
      <c r="U65" s="127"/>
      <c r="V65" s="127"/>
      <c r="W65" s="127"/>
      <c r="X65" s="127"/>
      <c r="Y65" s="127"/>
    </row>
    <row r="66">
      <c r="A66" s="127">
        <v>0.0</v>
      </c>
      <c r="B66" s="127">
        <v>0.0</v>
      </c>
      <c r="C66" s="127">
        <v>0.0</v>
      </c>
      <c r="D66" s="127">
        <v>0.0</v>
      </c>
      <c r="E66" s="127">
        <v>0.0</v>
      </c>
      <c r="F66" s="127">
        <v>0.0</v>
      </c>
      <c r="G66" s="127">
        <v>0.0</v>
      </c>
      <c r="H66" s="127">
        <v>0.0</v>
      </c>
      <c r="I66" s="127">
        <v>0.0</v>
      </c>
      <c r="J66" s="127">
        <v>423.0</v>
      </c>
      <c r="K66" s="127">
        <v>0.0</v>
      </c>
      <c r="L66" s="127">
        <v>0.0</v>
      </c>
      <c r="M66" s="127">
        <v>898.0</v>
      </c>
      <c r="N66" s="127">
        <v>0.0</v>
      </c>
      <c r="O66" s="127">
        <v>0.0</v>
      </c>
      <c r="P66" s="127">
        <v>0.0</v>
      </c>
      <c r="Q66" s="127">
        <v>0.0</v>
      </c>
      <c r="R66" s="127">
        <v>0.0</v>
      </c>
      <c r="S66" s="127">
        <v>0.0</v>
      </c>
      <c r="T66" s="127"/>
      <c r="U66" s="127"/>
      <c r="V66" s="127"/>
      <c r="W66" s="127"/>
      <c r="X66" s="127"/>
      <c r="Y66" s="127"/>
    </row>
    <row r="67">
      <c r="A67" s="127">
        <v>0.0</v>
      </c>
      <c r="B67" s="127">
        <v>0.0</v>
      </c>
      <c r="C67" s="127">
        <v>0.0</v>
      </c>
      <c r="D67" s="127">
        <v>0.0</v>
      </c>
      <c r="E67" s="127">
        <v>0.0</v>
      </c>
      <c r="F67" s="127">
        <v>0.0</v>
      </c>
      <c r="G67" s="127">
        <v>0.0</v>
      </c>
      <c r="H67" s="127">
        <v>0.0</v>
      </c>
      <c r="I67" s="127">
        <v>0.0</v>
      </c>
      <c r="J67" s="127">
        <v>1021.0</v>
      </c>
      <c r="K67" s="127">
        <v>0.0</v>
      </c>
      <c r="L67" s="127">
        <v>0.0</v>
      </c>
      <c r="M67" s="127">
        <v>194.0</v>
      </c>
      <c r="N67" s="127">
        <v>0.0</v>
      </c>
      <c r="O67" s="127">
        <v>0.0</v>
      </c>
      <c r="P67" s="127">
        <v>0.0</v>
      </c>
      <c r="Q67" s="127">
        <v>0.0</v>
      </c>
      <c r="R67" s="127">
        <v>0.0</v>
      </c>
      <c r="S67" s="127">
        <v>0.0</v>
      </c>
      <c r="T67" s="127"/>
      <c r="U67" s="127"/>
      <c r="V67" s="127"/>
      <c r="W67" s="127"/>
      <c r="X67" s="127"/>
      <c r="Y67" s="127"/>
    </row>
    <row r="68">
      <c r="A68" s="127">
        <v>0.0</v>
      </c>
      <c r="B68" s="127">
        <v>0.0</v>
      </c>
      <c r="C68" s="127">
        <v>0.0</v>
      </c>
      <c r="D68" s="127">
        <v>0.0</v>
      </c>
      <c r="E68" s="127">
        <v>0.0</v>
      </c>
      <c r="F68" s="127">
        <v>0.0</v>
      </c>
      <c r="G68" s="127">
        <v>0.0</v>
      </c>
      <c r="H68" s="127">
        <v>0.0</v>
      </c>
      <c r="I68" s="127">
        <v>0.0</v>
      </c>
      <c r="J68" s="127">
        <v>412.0</v>
      </c>
      <c r="K68" s="127">
        <v>0.0</v>
      </c>
      <c r="L68" s="127">
        <v>0.0</v>
      </c>
      <c r="M68" s="127">
        <v>485.0</v>
      </c>
      <c r="N68" s="127">
        <v>0.0</v>
      </c>
      <c r="O68" s="127">
        <v>0.0</v>
      </c>
      <c r="P68" s="127">
        <v>0.0</v>
      </c>
      <c r="Q68" s="127">
        <v>0.0</v>
      </c>
      <c r="R68" s="127">
        <v>0.0</v>
      </c>
      <c r="S68" s="127">
        <v>0.0</v>
      </c>
      <c r="T68" s="127"/>
      <c r="U68" s="127"/>
      <c r="V68" s="127"/>
      <c r="W68" s="127"/>
      <c r="X68" s="127"/>
      <c r="Y68" s="127"/>
    </row>
    <row r="69">
      <c r="A69" s="127">
        <v>0.0</v>
      </c>
      <c r="B69" s="127">
        <v>0.0</v>
      </c>
      <c r="C69" s="127">
        <v>0.0</v>
      </c>
      <c r="D69" s="127">
        <v>0.0</v>
      </c>
      <c r="E69" s="127">
        <v>0.0</v>
      </c>
      <c r="F69" s="127">
        <v>0.0</v>
      </c>
      <c r="G69" s="127">
        <v>0.0</v>
      </c>
      <c r="H69" s="127">
        <v>0.0</v>
      </c>
      <c r="I69" s="127">
        <v>0.0</v>
      </c>
      <c r="J69" s="127">
        <v>0.0</v>
      </c>
      <c r="K69" s="127">
        <v>0.0</v>
      </c>
      <c r="L69" s="127">
        <v>0.0</v>
      </c>
      <c r="M69" s="127">
        <v>0.0</v>
      </c>
      <c r="N69" s="127">
        <v>0.0</v>
      </c>
      <c r="O69" s="127">
        <v>0.0</v>
      </c>
      <c r="P69" s="127">
        <v>0.0</v>
      </c>
      <c r="Q69" s="127">
        <v>0.0</v>
      </c>
      <c r="R69" s="127">
        <v>0.0</v>
      </c>
      <c r="S69" s="127">
        <v>0.0</v>
      </c>
      <c r="T69" s="127"/>
      <c r="U69" s="127"/>
      <c r="V69" s="127"/>
      <c r="W69" s="127"/>
      <c r="X69" s="127"/>
      <c r="Y69" s="127"/>
    </row>
    <row r="70">
      <c r="A70" s="127">
        <v>0.0</v>
      </c>
      <c r="B70" s="127">
        <v>0.0</v>
      </c>
      <c r="C70" s="127">
        <v>0.0</v>
      </c>
      <c r="D70" s="127">
        <v>0.0</v>
      </c>
      <c r="E70" s="127">
        <v>0.0</v>
      </c>
      <c r="F70" s="127">
        <v>0.0</v>
      </c>
      <c r="G70" s="127">
        <v>0.0</v>
      </c>
      <c r="H70" s="127">
        <v>0.0</v>
      </c>
      <c r="I70" s="127">
        <v>0.0</v>
      </c>
      <c r="J70" s="127">
        <v>552.0</v>
      </c>
      <c r="K70" s="127">
        <v>0.0</v>
      </c>
      <c r="L70" s="127">
        <v>0.0</v>
      </c>
      <c r="M70" s="127">
        <v>563.0</v>
      </c>
      <c r="N70" s="127">
        <v>0.0</v>
      </c>
      <c r="O70" s="127">
        <v>0.0</v>
      </c>
      <c r="P70" s="127">
        <v>0.0</v>
      </c>
      <c r="Q70" s="127">
        <v>0.0</v>
      </c>
      <c r="R70" s="127">
        <v>0.0</v>
      </c>
      <c r="S70" s="127">
        <v>0.0</v>
      </c>
      <c r="T70" s="127"/>
      <c r="U70" s="127"/>
      <c r="V70" s="127"/>
      <c r="W70" s="127"/>
      <c r="X70" s="127"/>
      <c r="Y70" s="127"/>
    </row>
    <row r="71">
      <c r="A71" s="127">
        <v>0.0</v>
      </c>
      <c r="B71" s="127">
        <v>0.0</v>
      </c>
      <c r="C71" s="127">
        <v>0.0</v>
      </c>
      <c r="D71" s="127">
        <v>0.0</v>
      </c>
      <c r="E71" s="127">
        <v>0.0</v>
      </c>
      <c r="F71" s="127">
        <v>0.0</v>
      </c>
      <c r="G71" s="127">
        <v>0.0</v>
      </c>
      <c r="H71" s="127">
        <v>0.0</v>
      </c>
      <c r="I71" s="127">
        <v>0.0</v>
      </c>
      <c r="J71" s="127">
        <v>344.0</v>
      </c>
      <c r="K71" s="127">
        <v>0.0</v>
      </c>
      <c r="L71" s="127">
        <v>0.0</v>
      </c>
      <c r="M71" s="127">
        <v>2198.0</v>
      </c>
      <c r="N71" s="127">
        <v>0.0</v>
      </c>
      <c r="O71" s="127">
        <v>0.0</v>
      </c>
      <c r="P71" s="127">
        <v>0.0</v>
      </c>
      <c r="Q71" s="127">
        <v>0.0</v>
      </c>
      <c r="R71" s="127">
        <v>0.0</v>
      </c>
      <c r="S71" s="127">
        <v>0.0</v>
      </c>
      <c r="T71" s="127"/>
      <c r="U71" s="127"/>
      <c r="V71" s="127"/>
      <c r="W71" s="127"/>
      <c r="X71" s="127"/>
      <c r="Y71" s="127"/>
    </row>
    <row r="72">
      <c r="A72" s="127">
        <v>0.0</v>
      </c>
      <c r="B72" s="127">
        <v>0.0</v>
      </c>
      <c r="C72" s="127">
        <v>0.0</v>
      </c>
      <c r="D72" s="127">
        <v>0.0</v>
      </c>
      <c r="E72" s="127">
        <v>0.0</v>
      </c>
      <c r="F72" s="127">
        <v>0.0</v>
      </c>
      <c r="G72" s="127">
        <v>0.0</v>
      </c>
      <c r="H72" s="127">
        <v>0.0</v>
      </c>
      <c r="I72" s="127">
        <v>0.0</v>
      </c>
      <c r="J72" s="127">
        <v>5600.0</v>
      </c>
      <c r="K72" s="127">
        <v>0.0</v>
      </c>
      <c r="L72" s="127">
        <v>0.0</v>
      </c>
      <c r="M72" s="127">
        <v>1680.0</v>
      </c>
      <c r="N72" s="127">
        <v>0.0</v>
      </c>
      <c r="O72" s="127">
        <v>0.0</v>
      </c>
      <c r="P72" s="127">
        <v>0.0</v>
      </c>
      <c r="Q72" s="127">
        <v>0.0</v>
      </c>
      <c r="R72" s="127">
        <v>0.0</v>
      </c>
      <c r="S72" s="127">
        <v>0.0</v>
      </c>
      <c r="T72" s="127"/>
      <c r="U72" s="127"/>
      <c r="V72" s="127"/>
      <c r="W72" s="127"/>
      <c r="X72" s="127"/>
      <c r="Y72" s="127"/>
    </row>
    <row r="73">
      <c r="A73" s="127">
        <v>0.0</v>
      </c>
      <c r="B73" s="127">
        <v>0.0</v>
      </c>
      <c r="C73" s="127">
        <v>0.0</v>
      </c>
      <c r="D73" s="127">
        <v>0.0</v>
      </c>
      <c r="E73" s="127">
        <v>0.0</v>
      </c>
      <c r="F73" s="127">
        <v>0.0</v>
      </c>
      <c r="G73" s="127">
        <v>0.0</v>
      </c>
      <c r="H73" s="127">
        <v>0.0</v>
      </c>
      <c r="I73" s="127">
        <v>0.0</v>
      </c>
      <c r="J73" s="127">
        <v>3120.0</v>
      </c>
      <c r="K73" s="127">
        <v>0.0</v>
      </c>
      <c r="L73" s="127">
        <v>0.0</v>
      </c>
      <c r="M73" s="127">
        <v>4080.0</v>
      </c>
      <c r="N73" s="127">
        <v>0.0</v>
      </c>
      <c r="O73" s="127">
        <v>0.0</v>
      </c>
      <c r="P73" s="127">
        <v>0.0</v>
      </c>
      <c r="Q73" s="127">
        <v>0.0</v>
      </c>
      <c r="R73" s="127">
        <v>0.0</v>
      </c>
      <c r="S73" s="127">
        <v>0.0</v>
      </c>
      <c r="T73" s="127"/>
      <c r="U73" s="127"/>
      <c r="V73" s="127"/>
      <c r="W73" s="127"/>
      <c r="X73" s="127"/>
      <c r="Y73" s="127"/>
    </row>
    <row r="74">
      <c r="A74" s="127">
        <v>0.0</v>
      </c>
      <c r="B74" s="127">
        <v>0.0</v>
      </c>
      <c r="C74" s="127">
        <v>0.0</v>
      </c>
      <c r="D74" s="127">
        <v>0.0</v>
      </c>
      <c r="E74" s="127">
        <v>0.0</v>
      </c>
      <c r="F74" s="127">
        <v>0.0</v>
      </c>
      <c r="G74" s="127">
        <v>0.0</v>
      </c>
      <c r="H74" s="127">
        <v>0.0</v>
      </c>
      <c r="I74" s="127">
        <v>0.0</v>
      </c>
      <c r="J74" s="127">
        <v>5240.0</v>
      </c>
      <c r="K74" s="127">
        <v>0.0</v>
      </c>
      <c r="L74" s="127">
        <v>0.0</v>
      </c>
      <c r="M74" s="127">
        <v>3040.0</v>
      </c>
      <c r="N74" s="127">
        <v>0.0</v>
      </c>
      <c r="O74" s="127">
        <v>0.0</v>
      </c>
      <c r="P74" s="127">
        <v>0.0</v>
      </c>
      <c r="Q74" s="127">
        <v>0.0</v>
      </c>
      <c r="R74" s="127">
        <v>0.0</v>
      </c>
      <c r="S74" s="127">
        <v>0.0</v>
      </c>
      <c r="T74" s="127"/>
      <c r="U74" s="127"/>
      <c r="V74" s="127"/>
      <c r="W74" s="127"/>
      <c r="X74" s="127"/>
      <c r="Y74" s="127"/>
    </row>
    <row r="75">
      <c r="A75" s="127">
        <v>0.0</v>
      </c>
      <c r="B75" s="127">
        <v>0.0</v>
      </c>
      <c r="C75" s="127">
        <v>0.0</v>
      </c>
      <c r="D75" s="127">
        <v>0.0</v>
      </c>
      <c r="E75" s="127">
        <v>0.0</v>
      </c>
      <c r="F75" s="127">
        <v>0.0</v>
      </c>
      <c r="G75" s="127">
        <v>0.0</v>
      </c>
      <c r="H75" s="127">
        <v>0.0</v>
      </c>
      <c r="I75" s="127">
        <v>0.0</v>
      </c>
      <c r="J75" s="127">
        <v>2440.0</v>
      </c>
      <c r="K75" s="127">
        <v>0.0</v>
      </c>
      <c r="L75" s="127">
        <v>0.0</v>
      </c>
      <c r="M75" s="127">
        <v>3120.0</v>
      </c>
      <c r="N75" s="127">
        <v>0.0</v>
      </c>
      <c r="O75" s="127">
        <v>0.0</v>
      </c>
      <c r="P75" s="127">
        <v>0.0</v>
      </c>
      <c r="Q75" s="127">
        <v>0.0</v>
      </c>
      <c r="R75" s="127">
        <v>0.0</v>
      </c>
      <c r="S75" s="127">
        <v>0.0</v>
      </c>
      <c r="T75" s="127"/>
      <c r="U75" s="127"/>
      <c r="V75" s="127"/>
      <c r="W75" s="127"/>
      <c r="X75" s="127"/>
      <c r="Y75" s="127"/>
    </row>
    <row r="76">
      <c r="A76" s="127">
        <v>0.0</v>
      </c>
      <c r="B76" s="127">
        <v>0.0</v>
      </c>
      <c r="C76" s="127">
        <v>0.0</v>
      </c>
      <c r="D76" s="127">
        <v>0.0</v>
      </c>
      <c r="E76" s="127">
        <v>0.0</v>
      </c>
      <c r="F76" s="127">
        <v>0.0</v>
      </c>
      <c r="G76" s="127">
        <v>0.0</v>
      </c>
      <c r="H76" s="127">
        <v>0.0</v>
      </c>
      <c r="I76" s="127">
        <v>0.0</v>
      </c>
      <c r="J76" s="127">
        <v>1560.0</v>
      </c>
      <c r="K76" s="127">
        <v>0.0</v>
      </c>
      <c r="L76" s="127">
        <v>0.0</v>
      </c>
      <c r="M76" s="127">
        <v>3560.0</v>
      </c>
      <c r="N76" s="127">
        <v>0.0</v>
      </c>
      <c r="O76" s="127">
        <v>0.0</v>
      </c>
      <c r="P76" s="127">
        <v>0.0</v>
      </c>
      <c r="Q76" s="127">
        <v>0.0</v>
      </c>
      <c r="R76" s="127">
        <v>0.0</v>
      </c>
      <c r="S76" s="127">
        <v>0.0</v>
      </c>
      <c r="T76" s="127"/>
      <c r="U76" s="127"/>
      <c r="V76" s="127"/>
      <c r="W76" s="127"/>
      <c r="X76" s="127"/>
      <c r="Y76" s="127"/>
    </row>
    <row r="77">
      <c r="A77" s="127">
        <v>0.0</v>
      </c>
      <c r="B77" s="127">
        <v>0.0</v>
      </c>
      <c r="C77" s="127">
        <v>0.0</v>
      </c>
      <c r="D77" s="127">
        <v>0.0</v>
      </c>
      <c r="E77" s="127">
        <v>0.0</v>
      </c>
      <c r="F77" s="127">
        <v>0.0</v>
      </c>
      <c r="G77" s="127">
        <v>0.0</v>
      </c>
      <c r="H77" s="127">
        <v>0.0</v>
      </c>
      <c r="I77" s="127">
        <v>0.0</v>
      </c>
      <c r="J77" s="127">
        <v>2600.0</v>
      </c>
      <c r="K77" s="127">
        <v>0.0</v>
      </c>
      <c r="L77" s="127">
        <v>0.0</v>
      </c>
      <c r="M77" s="127">
        <v>2680.0</v>
      </c>
      <c r="N77" s="127">
        <v>0.0</v>
      </c>
      <c r="O77" s="127">
        <v>0.0</v>
      </c>
      <c r="P77" s="127">
        <v>0.0</v>
      </c>
      <c r="Q77" s="127">
        <v>0.0</v>
      </c>
      <c r="R77" s="127">
        <v>0.0</v>
      </c>
      <c r="S77" s="127">
        <v>0.0</v>
      </c>
      <c r="T77" s="127"/>
      <c r="U77" s="127"/>
      <c r="V77" s="127"/>
      <c r="W77" s="127"/>
      <c r="X77" s="127"/>
      <c r="Y77" s="127"/>
    </row>
    <row r="78">
      <c r="A78" s="127">
        <v>0.0</v>
      </c>
      <c r="B78" s="127">
        <v>0.0</v>
      </c>
      <c r="C78" s="127">
        <v>0.0</v>
      </c>
      <c r="D78" s="127">
        <v>0.0</v>
      </c>
      <c r="E78" s="127">
        <v>0.0</v>
      </c>
      <c r="F78" s="127">
        <v>0.0</v>
      </c>
      <c r="G78" s="127">
        <v>0.0</v>
      </c>
      <c r="H78" s="127">
        <v>0.0</v>
      </c>
      <c r="I78" s="127">
        <v>0.0</v>
      </c>
      <c r="J78" s="127">
        <v>0.0</v>
      </c>
      <c r="K78" s="127">
        <v>0.0</v>
      </c>
      <c r="L78" s="127">
        <v>0.0</v>
      </c>
      <c r="M78" s="127">
        <v>466.0</v>
      </c>
      <c r="N78" s="127">
        <v>0.0</v>
      </c>
      <c r="O78" s="127">
        <v>0.0</v>
      </c>
      <c r="P78" s="127">
        <v>0.0</v>
      </c>
      <c r="Q78" s="127">
        <v>0.0</v>
      </c>
      <c r="R78" s="127">
        <v>0.0</v>
      </c>
      <c r="S78" s="127">
        <v>0.0</v>
      </c>
      <c r="T78" s="127"/>
      <c r="U78" s="127"/>
      <c r="V78" s="127"/>
      <c r="W78" s="127"/>
      <c r="X78" s="127"/>
      <c r="Y78" s="127"/>
    </row>
    <row r="79">
      <c r="A79" s="127">
        <v>0.0</v>
      </c>
      <c r="B79" s="127">
        <v>0.0</v>
      </c>
      <c r="C79" s="127">
        <v>0.0</v>
      </c>
      <c r="D79" s="127">
        <v>0.0</v>
      </c>
      <c r="E79" s="127">
        <v>0.0</v>
      </c>
      <c r="F79" s="127">
        <v>0.0</v>
      </c>
      <c r="G79" s="127">
        <v>0.0</v>
      </c>
      <c r="H79" s="127">
        <v>0.0</v>
      </c>
      <c r="I79" s="127">
        <v>0.0</v>
      </c>
      <c r="J79" s="127">
        <v>0.0</v>
      </c>
      <c r="K79" s="127">
        <v>0.0</v>
      </c>
      <c r="L79" s="127">
        <v>0.0</v>
      </c>
      <c r="M79" s="127">
        <v>0.0</v>
      </c>
      <c r="N79" s="127">
        <v>0.0</v>
      </c>
      <c r="O79" s="127">
        <v>0.0</v>
      </c>
      <c r="P79" s="127">
        <v>0.0</v>
      </c>
      <c r="Q79" s="127">
        <v>0.0</v>
      </c>
      <c r="R79" s="127">
        <v>0.0</v>
      </c>
      <c r="S79" s="127">
        <v>1.0</v>
      </c>
      <c r="T79" s="127"/>
      <c r="U79" s="127"/>
      <c r="V79" s="127"/>
      <c r="W79" s="127"/>
      <c r="X79" s="127"/>
      <c r="Y79" s="127"/>
    </row>
    <row r="80">
      <c r="A80" s="127">
        <v>0.0</v>
      </c>
      <c r="B80" s="127">
        <v>0.0</v>
      </c>
      <c r="C80" s="127">
        <v>0.0</v>
      </c>
      <c r="D80" s="127">
        <v>0.0</v>
      </c>
      <c r="E80" s="127">
        <v>0.0</v>
      </c>
      <c r="F80" s="127">
        <v>0.0</v>
      </c>
      <c r="G80" s="127">
        <v>0.0</v>
      </c>
      <c r="H80" s="127">
        <v>0.0</v>
      </c>
      <c r="I80" s="127">
        <v>0.0</v>
      </c>
      <c r="J80" s="127">
        <v>0.0</v>
      </c>
      <c r="K80" s="127">
        <v>0.0</v>
      </c>
      <c r="L80" s="127">
        <v>0.0</v>
      </c>
      <c r="M80" s="127">
        <v>0.0</v>
      </c>
      <c r="N80" s="127">
        <v>0.0</v>
      </c>
      <c r="O80" s="127">
        <v>0.0</v>
      </c>
      <c r="P80" s="127">
        <v>0.0</v>
      </c>
      <c r="Q80" s="127">
        <v>0.0</v>
      </c>
      <c r="R80" s="127">
        <v>0.0</v>
      </c>
      <c r="S80" s="127">
        <v>0.0</v>
      </c>
      <c r="T80" s="127"/>
      <c r="U80" s="127"/>
      <c r="V80" s="127"/>
      <c r="W80" s="127"/>
      <c r="X80" s="127"/>
      <c r="Y80" s="127"/>
    </row>
    <row r="81">
      <c r="A81" s="127">
        <v>0.0</v>
      </c>
      <c r="B81" s="127">
        <v>0.0</v>
      </c>
      <c r="C81" s="127">
        <v>0.0</v>
      </c>
      <c r="D81" s="127">
        <v>0.0</v>
      </c>
      <c r="E81" s="127">
        <v>0.0</v>
      </c>
      <c r="F81" s="127">
        <v>0.0</v>
      </c>
      <c r="G81" s="127">
        <v>0.0</v>
      </c>
      <c r="H81" s="127">
        <v>0.0</v>
      </c>
      <c r="I81" s="127">
        <v>0.0</v>
      </c>
      <c r="J81" s="127">
        <v>23.0</v>
      </c>
      <c r="K81" s="127">
        <v>0.0</v>
      </c>
      <c r="L81" s="127">
        <v>0.0</v>
      </c>
      <c r="M81" s="127">
        <v>91.0</v>
      </c>
      <c r="N81" s="127">
        <v>0.0</v>
      </c>
      <c r="O81" s="127">
        <v>0.0</v>
      </c>
      <c r="P81" s="127">
        <v>0.0</v>
      </c>
      <c r="Q81" s="127">
        <v>0.0</v>
      </c>
      <c r="R81" s="127">
        <v>0.0</v>
      </c>
      <c r="S81" s="127">
        <v>0.0</v>
      </c>
      <c r="T81" s="127"/>
      <c r="U81" s="127"/>
      <c r="V81" s="127"/>
      <c r="W81" s="127"/>
      <c r="X81" s="127"/>
      <c r="Y81" s="127"/>
    </row>
    <row r="82">
      <c r="A82" s="127">
        <v>0.0</v>
      </c>
      <c r="B82" s="127">
        <v>0.0</v>
      </c>
      <c r="C82" s="127">
        <v>0.0</v>
      </c>
      <c r="D82" s="127">
        <v>0.0</v>
      </c>
      <c r="E82" s="127">
        <v>0.0</v>
      </c>
      <c r="F82" s="127">
        <v>0.0</v>
      </c>
      <c r="G82" s="127">
        <v>0.0</v>
      </c>
      <c r="H82" s="127">
        <v>0.0</v>
      </c>
      <c r="I82" s="127">
        <v>0.0</v>
      </c>
      <c r="J82" s="127">
        <v>24.0</v>
      </c>
      <c r="K82" s="127">
        <v>0.0</v>
      </c>
      <c r="L82" s="127">
        <v>0.0</v>
      </c>
      <c r="M82" s="127">
        <v>60.0</v>
      </c>
      <c r="N82" s="127">
        <v>0.0</v>
      </c>
      <c r="O82" s="127">
        <v>0.0</v>
      </c>
      <c r="P82" s="127">
        <v>0.0</v>
      </c>
      <c r="Q82" s="127">
        <v>0.0</v>
      </c>
      <c r="R82" s="127">
        <v>0.0</v>
      </c>
      <c r="S82" s="127">
        <v>0.0</v>
      </c>
      <c r="T82" s="127"/>
      <c r="U82" s="127"/>
      <c r="V82" s="127"/>
      <c r="W82" s="127"/>
      <c r="X82" s="127"/>
      <c r="Y82" s="127"/>
    </row>
    <row r="83">
      <c r="A83" s="127">
        <v>0.0</v>
      </c>
      <c r="B83" s="127">
        <v>0.0</v>
      </c>
      <c r="C83" s="127">
        <v>0.0</v>
      </c>
      <c r="D83" s="127">
        <v>0.0</v>
      </c>
      <c r="E83" s="127">
        <v>0.0</v>
      </c>
      <c r="F83" s="127">
        <v>0.0</v>
      </c>
      <c r="G83" s="127">
        <v>0.0</v>
      </c>
      <c r="H83" s="127">
        <v>0.0</v>
      </c>
      <c r="I83" s="127">
        <v>0.0</v>
      </c>
      <c r="J83" s="127">
        <v>109.0</v>
      </c>
      <c r="K83" s="127">
        <v>0.0</v>
      </c>
      <c r="L83" s="127">
        <v>0.0</v>
      </c>
      <c r="M83" s="127">
        <v>400.0</v>
      </c>
      <c r="N83" s="127">
        <v>0.0</v>
      </c>
      <c r="O83" s="127">
        <v>0.0</v>
      </c>
      <c r="P83" s="127">
        <v>0.0</v>
      </c>
      <c r="Q83" s="127">
        <v>0.0</v>
      </c>
      <c r="R83" s="127">
        <v>0.0</v>
      </c>
      <c r="S83" s="127">
        <v>0.0</v>
      </c>
      <c r="T83" s="127"/>
      <c r="U83" s="127"/>
      <c r="V83" s="127"/>
      <c r="W83" s="127"/>
      <c r="X83" s="127"/>
      <c r="Y83" s="127"/>
    </row>
    <row r="84">
      <c r="A84" s="127">
        <v>0.0</v>
      </c>
      <c r="B84" s="127">
        <v>0.0</v>
      </c>
      <c r="C84" s="127">
        <v>0.0</v>
      </c>
      <c r="D84" s="127">
        <v>0.0</v>
      </c>
      <c r="E84" s="127">
        <v>0.0</v>
      </c>
      <c r="F84" s="127">
        <v>0.0</v>
      </c>
      <c r="G84" s="127">
        <v>0.0</v>
      </c>
      <c r="H84" s="127">
        <v>0.0</v>
      </c>
      <c r="I84" s="127">
        <v>0.0</v>
      </c>
      <c r="J84" s="127">
        <v>5.0</v>
      </c>
      <c r="K84" s="127">
        <v>0.0</v>
      </c>
      <c r="L84" s="127">
        <v>0.0</v>
      </c>
      <c r="M84" s="127">
        <v>0.0</v>
      </c>
      <c r="N84" s="127">
        <v>0.0</v>
      </c>
      <c r="O84" s="127">
        <v>0.0</v>
      </c>
      <c r="P84" s="127">
        <v>0.0</v>
      </c>
      <c r="Q84" s="127">
        <v>0.0</v>
      </c>
      <c r="R84" s="127">
        <v>0.0</v>
      </c>
      <c r="S84" s="127">
        <v>0.0</v>
      </c>
      <c r="T84" s="127"/>
      <c r="U84" s="127"/>
      <c r="V84" s="127"/>
      <c r="W84" s="127"/>
      <c r="X84" s="127"/>
      <c r="Y84" s="127"/>
    </row>
    <row r="85">
      <c r="A85" s="127">
        <v>0.0</v>
      </c>
      <c r="B85" s="127">
        <v>0.0</v>
      </c>
      <c r="C85" s="127">
        <v>0.0</v>
      </c>
      <c r="D85" s="127">
        <v>0.0</v>
      </c>
      <c r="E85" s="127">
        <v>0.0</v>
      </c>
      <c r="F85" s="127">
        <v>0.0</v>
      </c>
      <c r="G85" s="127">
        <v>0.0</v>
      </c>
      <c r="H85" s="127">
        <v>0.0</v>
      </c>
      <c r="I85" s="127">
        <v>0.0</v>
      </c>
      <c r="J85" s="127">
        <v>62.0</v>
      </c>
      <c r="K85" s="127">
        <v>0.0</v>
      </c>
      <c r="L85" s="127">
        <v>0.0</v>
      </c>
      <c r="M85" s="127">
        <v>29.0</v>
      </c>
      <c r="N85" s="127">
        <v>0.0</v>
      </c>
      <c r="O85" s="127">
        <v>0.0</v>
      </c>
      <c r="P85" s="127">
        <v>0.0</v>
      </c>
      <c r="Q85" s="127">
        <v>0.0</v>
      </c>
      <c r="R85" s="127">
        <v>0.0</v>
      </c>
      <c r="S85" s="127">
        <v>0.0</v>
      </c>
      <c r="T85" s="127"/>
      <c r="U85" s="127"/>
      <c r="V85" s="127"/>
      <c r="W85" s="127"/>
      <c r="X85" s="127"/>
      <c r="Y85" s="127"/>
    </row>
    <row r="86">
      <c r="A86" s="127">
        <v>0.0</v>
      </c>
      <c r="B86" s="127">
        <v>0.0</v>
      </c>
      <c r="C86" s="127">
        <v>0.0</v>
      </c>
      <c r="D86" s="127">
        <v>0.0</v>
      </c>
      <c r="E86" s="127">
        <v>0.0</v>
      </c>
      <c r="F86" s="127">
        <v>0.0</v>
      </c>
      <c r="G86" s="127">
        <v>0.0</v>
      </c>
      <c r="H86" s="127">
        <v>0.0</v>
      </c>
      <c r="I86" s="127">
        <v>0.0</v>
      </c>
      <c r="J86" s="127">
        <v>2690.0</v>
      </c>
      <c r="K86" s="127">
        <v>0.0</v>
      </c>
      <c r="L86" s="127">
        <v>0.0</v>
      </c>
      <c r="M86" s="127">
        <v>2657.0</v>
      </c>
      <c r="N86" s="127">
        <v>0.0</v>
      </c>
      <c r="O86" s="127">
        <v>0.0</v>
      </c>
      <c r="P86" s="127">
        <v>0.0</v>
      </c>
      <c r="Q86" s="127">
        <v>0.0</v>
      </c>
      <c r="R86" s="127">
        <v>0.0</v>
      </c>
      <c r="S86" s="127">
        <v>0.0</v>
      </c>
      <c r="T86" s="127"/>
      <c r="U86" s="127"/>
      <c r="V86" s="127"/>
      <c r="W86" s="127"/>
      <c r="X86" s="127"/>
      <c r="Y86" s="127"/>
    </row>
    <row r="87">
      <c r="A87" s="127">
        <v>0.0</v>
      </c>
      <c r="B87" s="127">
        <v>0.0</v>
      </c>
      <c r="C87" s="127">
        <v>0.0</v>
      </c>
      <c r="D87" s="127">
        <v>0.0</v>
      </c>
      <c r="E87" s="127">
        <v>0.0</v>
      </c>
      <c r="F87" s="127">
        <v>0.0</v>
      </c>
      <c r="G87" s="127">
        <v>0.0</v>
      </c>
      <c r="H87" s="127">
        <v>0.0</v>
      </c>
      <c r="I87" s="127">
        <v>0.0</v>
      </c>
      <c r="J87" s="127">
        <v>964.0</v>
      </c>
      <c r="K87" s="127">
        <v>0.0</v>
      </c>
      <c r="L87" s="127">
        <v>0.0</v>
      </c>
      <c r="M87" s="127">
        <v>52.0</v>
      </c>
      <c r="N87" s="127">
        <v>0.0</v>
      </c>
      <c r="O87" s="127">
        <v>0.0</v>
      </c>
      <c r="P87" s="127">
        <v>0.0</v>
      </c>
      <c r="Q87" s="127">
        <v>0.0</v>
      </c>
      <c r="R87" s="127">
        <v>0.0</v>
      </c>
      <c r="S87" s="127">
        <v>0.0</v>
      </c>
      <c r="T87" s="127"/>
      <c r="U87" s="127"/>
      <c r="V87" s="127"/>
      <c r="W87" s="127"/>
      <c r="X87" s="127"/>
      <c r="Y87" s="127"/>
    </row>
    <row r="88">
      <c r="A88" s="127">
        <v>0.0</v>
      </c>
      <c r="B88" s="127">
        <v>0.0</v>
      </c>
      <c r="C88" s="127">
        <v>0.0</v>
      </c>
      <c r="D88" s="127">
        <v>0.0</v>
      </c>
      <c r="E88" s="127">
        <v>0.0</v>
      </c>
      <c r="F88" s="127">
        <v>0.0</v>
      </c>
      <c r="G88" s="127">
        <v>0.0</v>
      </c>
      <c r="H88" s="127">
        <v>0.0</v>
      </c>
      <c r="I88" s="127">
        <v>0.0</v>
      </c>
      <c r="J88" s="127">
        <v>983.0</v>
      </c>
      <c r="K88" s="127">
        <v>0.0</v>
      </c>
      <c r="L88" s="127">
        <v>0.0</v>
      </c>
      <c r="M88" s="127">
        <v>4696.0</v>
      </c>
      <c r="N88" s="127">
        <v>0.0</v>
      </c>
      <c r="O88" s="127">
        <v>0.0</v>
      </c>
      <c r="P88" s="127">
        <v>0.0</v>
      </c>
      <c r="Q88" s="127">
        <v>0.0</v>
      </c>
      <c r="R88" s="127">
        <v>0.0</v>
      </c>
      <c r="S88" s="127">
        <v>0.0</v>
      </c>
      <c r="T88" s="127"/>
      <c r="U88" s="127"/>
      <c r="V88" s="127"/>
      <c r="W88" s="127"/>
      <c r="X88" s="127"/>
      <c r="Y88" s="127"/>
    </row>
    <row r="89">
      <c r="A89" s="127">
        <v>0.0</v>
      </c>
      <c r="B89" s="127">
        <v>0.0</v>
      </c>
      <c r="C89" s="127">
        <v>0.0</v>
      </c>
      <c r="D89" s="127">
        <v>0.0</v>
      </c>
      <c r="E89" s="127">
        <v>0.0</v>
      </c>
      <c r="F89" s="127">
        <v>0.0</v>
      </c>
      <c r="G89" s="127">
        <v>0.0</v>
      </c>
      <c r="H89" s="127">
        <v>0.0</v>
      </c>
      <c r="I89" s="127">
        <v>0.0</v>
      </c>
      <c r="J89" s="127">
        <v>2525.0</v>
      </c>
      <c r="K89" s="127">
        <v>0.0</v>
      </c>
      <c r="L89" s="127">
        <v>0.0</v>
      </c>
      <c r="M89" s="127">
        <v>363.0</v>
      </c>
      <c r="N89" s="127">
        <v>0.0</v>
      </c>
      <c r="O89" s="127">
        <v>0.0</v>
      </c>
      <c r="P89" s="127">
        <v>0.0</v>
      </c>
      <c r="Q89" s="127">
        <v>0.0</v>
      </c>
      <c r="R89" s="127">
        <v>0.0</v>
      </c>
      <c r="S89" s="127">
        <v>0.0</v>
      </c>
      <c r="T89" s="127"/>
      <c r="U89" s="127"/>
      <c r="V89" s="127"/>
      <c r="W89" s="127"/>
      <c r="X89" s="127"/>
      <c r="Y89" s="127"/>
    </row>
    <row r="90">
      <c r="A90" s="127">
        <v>0.0</v>
      </c>
      <c r="B90" s="127">
        <v>0.0</v>
      </c>
      <c r="C90" s="127">
        <v>0.0</v>
      </c>
      <c r="D90" s="127">
        <v>0.0</v>
      </c>
      <c r="E90" s="127">
        <v>0.0</v>
      </c>
      <c r="F90" s="127">
        <v>0.0</v>
      </c>
      <c r="G90" s="127">
        <v>0.0</v>
      </c>
      <c r="H90" s="127">
        <v>0.0</v>
      </c>
      <c r="I90" s="127">
        <v>0.0</v>
      </c>
      <c r="J90" s="127">
        <v>490.0</v>
      </c>
      <c r="K90" s="127">
        <v>0.0</v>
      </c>
      <c r="L90" s="127">
        <v>0.0</v>
      </c>
      <c r="M90" s="127">
        <v>316.0</v>
      </c>
      <c r="N90" s="127">
        <v>0.0</v>
      </c>
      <c r="O90" s="127">
        <v>0.0</v>
      </c>
      <c r="P90" s="127">
        <v>0.0</v>
      </c>
      <c r="Q90" s="127">
        <v>0.0</v>
      </c>
      <c r="R90" s="127">
        <v>0.0</v>
      </c>
      <c r="S90" s="127">
        <v>0.0</v>
      </c>
      <c r="T90" s="127"/>
      <c r="U90" s="127"/>
      <c r="V90" s="127"/>
      <c r="W90" s="127"/>
      <c r="X90" s="127"/>
      <c r="Y90" s="127"/>
    </row>
    <row r="91">
      <c r="A91" s="127">
        <v>0.0</v>
      </c>
      <c r="B91" s="127">
        <v>0.0</v>
      </c>
      <c r="C91" s="127">
        <v>0.0</v>
      </c>
      <c r="D91" s="127">
        <v>0.0</v>
      </c>
      <c r="E91" s="127">
        <v>0.0</v>
      </c>
      <c r="F91" s="127">
        <v>0.0</v>
      </c>
      <c r="G91" s="127">
        <v>0.0</v>
      </c>
      <c r="H91" s="127">
        <v>0.0</v>
      </c>
      <c r="I91" s="127">
        <v>0.0</v>
      </c>
      <c r="J91" s="127">
        <v>0.0</v>
      </c>
      <c r="K91" s="127">
        <v>0.0</v>
      </c>
      <c r="L91" s="127">
        <v>0.0</v>
      </c>
      <c r="M91" s="127">
        <v>0.0</v>
      </c>
      <c r="N91" s="127">
        <v>0.0</v>
      </c>
      <c r="O91" s="127">
        <v>0.0</v>
      </c>
      <c r="P91" s="127">
        <v>0.0</v>
      </c>
      <c r="Q91" s="127">
        <v>0.0</v>
      </c>
      <c r="R91" s="127">
        <v>0.0</v>
      </c>
      <c r="S91" s="127">
        <v>0.0</v>
      </c>
      <c r="T91" s="127"/>
      <c r="U91" s="127"/>
      <c r="V91" s="127"/>
      <c r="W91" s="127"/>
      <c r="X91" s="127"/>
      <c r="Y91" s="127"/>
    </row>
    <row r="92">
      <c r="A92" s="127">
        <v>0.0</v>
      </c>
      <c r="B92" s="127">
        <v>0.0</v>
      </c>
      <c r="C92" s="127">
        <v>0.0</v>
      </c>
      <c r="D92" s="127">
        <v>0.0</v>
      </c>
      <c r="E92" s="127">
        <v>0.0</v>
      </c>
      <c r="F92" s="127">
        <v>0.0</v>
      </c>
      <c r="G92" s="127">
        <v>0.0</v>
      </c>
      <c r="H92" s="127">
        <v>0.0</v>
      </c>
      <c r="I92" s="127">
        <v>0.0</v>
      </c>
      <c r="J92" s="127">
        <v>0.0</v>
      </c>
      <c r="K92" s="127">
        <v>0.0</v>
      </c>
      <c r="L92" s="127">
        <v>0.0</v>
      </c>
      <c r="M92" s="127">
        <v>0.0</v>
      </c>
      <c r="N92" s="127">
        <v>0.0</v>
      </c>
      <c r="O92" s="127">
        <v>0.0</v>
      </c>
      <c r="P92" s="127">
        <v>0.0</v>
      </c>
      <c r="Q92" s="127">
        <v>0.0</v>
      </c>
      <c r="R92" s="127">
        <v>0.0</v>
      </c>
      <c r="S92" s="127">
        <v>0.0</v>
      </c>
      <c r="T92" s="127"/>
      <c r="U92" s="127"/>
      <c r="V92" s="127"/>
      <c r="W92" s="127"/>
      <c r="X92" s="127"/>
      <c r="Y92" s="127"/>
    </row>
    <row r="93">
      <c r="A93" s="127">
        <v>0.0</v>
      </c>
      <c r="B93" s="127">
        <v>0.0</v>
      </c>
      <c r="C93" s="127">
        <v>0.0</v>
      </c>
      <c r="D93" s="127">
        <v>0.0</v>
      </c>
      <c r="E93" s="127">
        <v>0.0</v>
      </c>
      <c r="F93" s="127">
        <v>0.0</v>
      </c>
      <c r="G93" s="127">
        <v>0.0</v>
      </c>
      <c r="H93" s="127">
        <v>0.0</v>
      </c>
      <c r="I93" s="127">
        <v>0.0</v>
      </c>
      <c r="J93" s="127">
        <v>0.0</v>
      </c>
      <c r="K93" s="127">
        <v>0.0</v>
      </c>
      <c r="L93" s="127">
        <v>0.0</v>
      </c>
      <c r="M93" s="127">
        <v>0.0</v>
      </c>
      <c r="N93" s="127">
        <v>0.0</v>
      </c>
      <c r="O93" s="127">
        <v>0.0</v>
      </c>
      <c r="P93" s="127">
        <v>0.0</v>
      </c>
      <c r="Q93" s="127">
        <v>0.0</v>
      </c>
      <c r="R93" s="127">
        <v>0.0</v>
      </c>
      <c r="S93" s="127">
        <v>0.0</v>
      </c>
      <c r="T93" s="127"/>
      <c r="U93" s="127"/>
      <c r="V93" s="127"/>
      <c r="W93" s="127"/>
      <c r="X93" s="127"/>
      <c r="Y93" s="127"/>
    </row>
    <row r="94">
      <c r="A94" s="127">
        <v>0.0</v>
      </c>
      <c r="B94" s="127">
        <v>0.0</v>
      </c>
      <c r="C94" s="127">
        <v>0.0</v>
      </c>
      <c r="D94" s="127">
        <v>0.0</v>
      </c>
      <c r="E94" s="127">
        <v>0.0</v>
      </c>
      <c r="F94" s="127">
        <v>0.0</v>
      </c>
      <c r="G94" s="127">
        <v>0.0</v>
      </c>
      <c r="H94" s="127">
        <v>0.0</v>
      </c>
      <c r="I94" s="127">
        <v>0.0</v>
      </c>
      <c r="J94" s="127">
        <v>0.0</v>
      </c>
      <c r="K94" s="127">
        <v>0.0</v>
      </c>
      <c r="L94" s="127">
        <v>0.0</v>
      </c>
      <c r="M94" s="127">
        <v>0.0</v>
      </c>
      <c r="N94" s="127">
        <v>0.0</v>
      </c>
      <c r="O94" s="127">
        <v>0.0</v>
      </c>
      <c r="P94" s="127">
        <v>0.0</v>
      </c>
      <c r="Q94" s="127">
        <v>0.0</v>
      </c>
      <c r="R94" s="127">
        <v>0.0</v>
      </c>
      <c r="S94" s="127">
        <v>0.0</v>
      </c>
      <c r="T94" s="127"/>
      <c r="U94" s="127"/>
      <c r="V94" s="127"/>
      <c r="W94" s="127"/>
      <c r="X94" s="127"/>
      <c r="Y94" s="127"/>
    </row>
    <row r="95">
      <c r="A95" s="127">
        <v>0.0</v>
      </c>
      <c r="B95" s="127">
        <v>0.0</v>
      </c>
      <c r="C95" s="127">
        <v>0.0</v>
      </c>
      <c r="D95" s="127">
        <v>0.0</v>
      </c>
      <c r="E95" s="127">
        <v>0.0</v>
      </c>
      <c r="F95" s="127">
        <v>0.0</v>
      </c>
      <c r="G95" s="127">
        <v>0.0</v>
      </c>
      <c r="H95" s="127">
        <v>0.0</v>
      </c>
      <c r="I95" s="127">
        <v>0.0</v>
      </c>
      <c r="J95" s="127">
        <v>0.0</v>
      </c>
      <c r="K95" s="127">
        <v>0.0</v>
      </c>
      <c r="L95" s="127">
        <v>0.0</v>
      </c>
      <c r="M95" s="127">
        <v>0.0</v>
      </c>
      <c r="N95" s="127">
        <v>0.0</v>
      </c>
      <c r="O95" s="127">
        <v>0.0</v>
      </c>
      <c r="P95" s="127">
        <v>0.0</v>
      </c>
      <c r="Q95" s="127">
        <v>0.0</v>
      </c>
      <c r="R95" s="127">
        <v>0.0</v>
      </c>
      <c r="S95" s="127">
        <v>0.0</v>
      </c>
      <c r="T95" s="127"/>
      <c r="U95" s="127"/>
      <c r="V95" s="127"/>
      <c r="W95" s="127"/>
      <c r="X95" s="127"/>
      <c r="Y95" s="127"/>
    </row>
    <row r="96">
      <c r="A96" s="127">
        <v>0.0</v>
      </c>
      <c r="B96" s="127">
        <v>0.0</v>
      </c>
      <c r="C96" s="127">
        <v>0.0</v>
      </c>
      <c r="D96" s="127">
        <v>0.0</v>
      </c>
      <c r="E96" s="127">
        <v>0.0</v>
      </c>
      <c r="F96" s="127">
        <v>0.0</v>
      </c>
      <c r="G96" s="127">
        <v>0.0</v>
      </c>
      <c r="H96" s="127">
        <v>0.0</v>
      </c>
      <c r="I96" s="127">
        <v>0.0</v>
      </c>
      <c r="J96" s="127">
        <v>0.0</v>
      </c>
      <c r="K96" s="127">
        <v>0.0</v>
      </c>
      <c r="L96" s="127">
        <v>0.0</v>
      </c>
      <c r="M96" s="127">
        <v>0.0</v>
      </c>
      <c r="N96" s="127">
        <v>0.0</v>
      </c>
      <c r="O96" s="127">
        <v>0.0</v>
      </c>
      <c r="P96" s="127">
        <v>0.0</v>
      </c>
      <c r="Q96" s="127">
        <v>0.0</v>
      </c>
      <c r="R96" s="127">
        <v>0.0</v>
      </c>
      <c r="S96" s="127">
        <v>0.0</v>
      </c>
      <c r="T96" s="127"/>
      <c r="U96" s="127"/>
      <c r="V96" s="127"/>
      <c r="W96" s="127"/>
      <c r="X96" s="127"/>
      <c r="Y96" s="127"/>
    </row>
    <row r="97">
      <c r="A97" s="127">
        <v>0.0</v>
      </c>
      <c r="B97" s="127">
        <v>0.0</v>
      </c>
      <c r="C97" s="127">
        <v>0.0</v>
      </c>
      <c r="D97" s="127">
        <v>0.0</v>
      </c>
      <c r="E97" s="127">
        <v>0.0</v>
      </c>
      <c r="F97" s="127">
        <v>0.0</v>
      </c>
      <c r="G97" s="127">
        <v>0.0</v>
      </c>
      <c r="H97" s="127">
        <v>0.0</v>
      </c>
      <c r="I97" s="127">
        <v>0.0</v>
      </c>
      <c r="J97" s="127">
        <v>119.0</v>
      </c>
      <c r="K97" s="127">
        <v>0.0</v>
      </c>
      <c r="L97" s="127">
        <v>0.0</v>
      </c>
      <c r="M97" s="127">
        <v>191.0</v>
      </c>
      <c r="N97" s="127">
        <v>0.0</v>
      </c>
      <c r="O97" s="127">
        <v>0.0</v>
      </c>
      <c r="P97" s="127">
        <v>0.0</v>
      </c>
      <c r="Q97" s="127">
        <v>0.0</v>
      </c>
      <c r="R97" s="127">
        <v>0.0</v>
      </c>
      <c r="S97" s="127">
        <v>0.0</v>
      </c>
      <c r="T97" s="127"/>
      <c r="U97" s="127"/>
      <c r="V97" s="127"/>
      <c r="W97" s="127"/>
      <c r="X97" s="127"/>
      <c r="Y97" s="127"/>
    </row>
    <row r="98">
      <c r="A98" s="127">
        <v>0.0</v>
      </c>
      <c r="B98" s="127">
        <v>0.0</v>
      </c>
      <c r="C98" s="127">
        <v>0.0</v>
      </c>
      <c r="D98" s="127">
        <v>0.0</v>
      </c>
      <c r="E98" s="127">
        <v>0.0</v>
      </c>
      <c r="F98" s="127">
        <v>0.0</v>
      </c>
      <c r="G98" s="127">
        <v>0.0</v>
      </c>
      <c r="H98" s="127">
        <v>0.0</v>
      </c>
      <c r="I98" s="127">
        <v>0.0</v>
      </c>
      <c r="J98" s="127">
        <v>1825.0</v>
      </c>
      <c r="K98" s="127">
        <v>0.0</v>
      </c>
      <c r="L98" s="127">
        <v>0.0</v>
      </c>
      <c r="M98" s="127">
        <v>8294.0</v>
      </c>
      <c r="N98" s="127">
        <v>0.0</v>
      </c>
      <c r="O98" s="127">
        <v>0.0</v>
      </c>
      <c r="P98" s="127">
        <v>0.0</v>
      </c>
      <c r="Q98" s="127">
        <v>0.0</v>
      </c>
      <c r="R98" s="127">
        <v>0.0</v>
      </c>
      <c r="S98" s="127">
        <v>0.0</v>
      </c>
      <c r="T98" s="127"/>
      <c r="U98" s="127"/>
      <c r="V98" s="127"/>
      <c r="W98" s="127"/>
      <c r="X98" s="127"/>
      <c r="Y98" s="127"/>
    </row>
    <row r="99">
      <c r="A99" s="127">
        <v>0.0</v>
      </c>
      <c r="B99" s="127">
        <v>0.0</v>
      </c>
      <c r="C99" s="127">
        <v>0.0</v>
      </c>
      <c r="D99" s="127">
        <v>0.0</v>
      </c>
      <c r="E99" s="127">
        <v>0.0</v>
      </c>
      <c r="F99" s="127">
        <v>0.0</v>
      </c>
      <c r="G99" s="127">
        <v>0.0</v>
      </c>
      <c r="H99" s="127">
        <v>0.0</v>
      </c>
      <c r="I99" s="127">
        <v>0.0</v>
      </c>
      <c r="J99" s="127">
        <v>1070.0</v>
      </c>
      <c r="K99" s="127">
        <v>0.0</v>
      </c>
      <c r="L99" s="127">
        <v>0.0</v>
      </c>
      <c r="M99" s="127">
        <v>1190.0</v>
      </c>
      <c r="N99" s="127">
        <v>0.0</v>
      </c>
      <c r="O99" s="127">
        <v>0.0</v>
      </c>
      <c r="P99" s="127">
        <v>0.0</v>
      </c>
      <c r="Q99" s="127">
        <v>0.0</v>
      </c>
      <c r="R99" s="127">
        <v>0.0</v>
      </c>
      <c r="S99" s="127">
        <v>0.0</v>
      </c>
      <c r="T99" s="127"/>
      <c r="U99" s="127"/>
      <c r="V99" s="127"/>
      <c r="W99" s="127"/>
      <c r="X99" s="127"/>
      <c r="Y99" s="127"/>
    </row>
    <row r="100">
      <c r="A100" s="127">
        <v>0.0</v>
      </c>
      <c r="B100" s="127">
        <v>0.0</v>
      </c>
      <c r="C100" s="127">
        <v>0.0</v>
      </c>
      <c r="D100" s="127">
        <v>0.0</v>
      </c>
      <c r="E100" s="127">
        <v>0.0</v>
      </c>
      <c r="F100" s="127">
        <v>0.0</v>
      </c>
      <c r="G100" s="127">
        <v>0.0</v>
      </c>
      <c r="H100" s="127">
        <v>0.0</v>
      </c>
      <c r="I100" s="127">
        <v>0.0</v>
      </c>
      <c r="J100" s="127">
        <v>200.0</v>
      </c>
      <c r="K100" s="127">
        <v>0.0</v>
      </c>
      <c r="L100" s="127">
        <v>0.0</v>
      </c>
      <c r="M100" s="127">
        <v>1000.0</v>
      </c>
      <c r="N100" s="127">
        <v>0.0</v>
      </c>
      <c r="O100" s="127">
        <v>0.0</v>
      </c>
      <c r="P100" s="127">
        <v>0.0</v>
      </c>
      <c r="Q100" s="127">
        <v>0.0</v>
      </c>
      <c r="R100" s="127">
        <v>0.0</v>
      </c>
      <c r="S100" s="127">
        <v>0.0</v>
      </c>
      <c r="T100" s="127"/>
      <c r="U100" s="127"/>
      <c r="V100" s="127"/>
      <c r="W100" s="127"/>
      <c r="X100" s="127"/>
      <c r="Y100" s="127"/>
    </row>
    <row r="101">
      <c r="A101" s="127">
        <v>0.0</v>
      </c>
      <c r="B101" s="127">
        <v>0.0</v>
      </c>
      <c r="C101" s="127">
        <v>0.0</v>
      </c>
      <c r="D101" s="127">
        <v>0.0</v>
      </c>
      <c r="E101" s="127">
        <v>0.0</v>
      </c>
      <c r="F101" s="127">
        <v>0.0</v>
      </c>
      <c r="G101" s="127">
        <v>0.0</v>
      </c>
      <c r="H101" s="127">
        <v>0.0</v>
      </c>
      <c r="I101" s="127">
        <v>0.0</v>
      </c>
      <c r="J101" s="127">
        <v>1490.0</v>
      </c>
      <c r="K101" s="127">
        <v>0.0</v>
      </c>
      <c r="L101" s="127">
        <v>0.0</v>
      </c>
      <c r="M101" s="127">
        <v>733.0</v>
      </c>
      <c r="N101" s="127">
        <v>0.0</v>
      </c>
      <c r="O101" s="127">
        <v>0.0</v>
      </c>
      <c r="P101" s="127">
        <v>0.0</v>
      </c>
      <c r="Q101" s="127">
        <v>0.0</v>
      </c>
      <c r="R101" s="127">
        <v>0.0</v>
      </c>
      <c r="S101" s="127">
        <v>0.0</v>
      </c>
      <c r="T101" s="127"/>
      <c r="U101" s="127"/>
      <c r="V101" s="127"/>
      <c r="W101" s="127"/>
      <c r="X101" s="127"/>
      <c r="Y101" s="127"/>
    </row>
    <row r="102">
      <c r="A102" s="127">
        <v>0.0</v>
      </c>
      <c r="B102" s="127">
        <v>0.0</v>
      </c>
      <c r="C102" s="127">
        <v>0.0</v>
      </c>
      <c r="D102" s="127">
        <v>0.0</v>
      </c>
      <c r="E102" s="127">
        <v>0.0</v>
      </c>
      <c r="F102" s="127">
        <v>0.0</v>
      </c>
      <c r="G102" s="127">
        <v>0.0</v>
      </c>
      <c r="H102" s="127">
        <v>0.0</v>
      </c>
      <c r="I102" s="127">
        <v>0.0</v>
      </c>
      <c r="J102" s="127">
        <v>1804.0</v>
      </c>
      <c r="K102" s="127">
        <v>0.0</v>
      </c>
      <c r="L102" s="127">
        <v>0.0</v>
      </c>
      <c r="M102" s="127">
        <v>1841.0</v>
      </c>
      <c r="N102" s="127">
        <v>0.0</v>
      </c>
      <c r="O102" s="127">
        <v>0.0</v>
      </c>
      <c r="P102" s="127">
        <v>0.0</v>
      </c>
      <c r="Q102" s="127">
        <v>0.0</v>
      </c>
      <c r="R102" s="127">
        <v>0.0</v>
      </c>
      <c r="S102" s="127">
        <v>0.0</v>
      </c>
      <c r="T102" s="127"/>
      <c r="U102" s="127"/>
      <c r="V102" s="127"/>
      <c r="W102" s="127"/>
      <c r="X102" s="127"/>
      <c r="Y102" s="127"/>
    </row>
    <row r="103">
      <c r="A103" s="127">
        <v>0.0</v>
      </c>
      <c r="B103" s="127">
        <v>0.0</v>
      </c>
      <c r="C103" s="127">
        <v>0.0</v>
      </c>
      <c r="D103" s="127">
        <v>0.0</v>
      </c>
      <c r="E103" s="127">
        <v>0.0</v>
      </c>
      <c r="F103" s="127">
        <v>0.0</v>
      </c>
      <c r="G103" s="127">
        <v>0.0</v>
      </c>
      <c r="H103" s="127">
        <v>0.0</v>
      </c>
      <c r="I103" s="127">
        <v>0.0</v>
      </c>
      <c r="J103" s="127">
        <v>0.0</v>
      </c>
      <c r="K103" s="127">
        <v>0.0</v>
      </c>
      <c r="L103" s="127">
        <v>0.0</v>
      </c>
      <c r="M103" s="127">
        <v>0.0</v>
      </c>
      <c r="N103" s="127">
        <v>0.0</v>
      </c>
      <c r="O103" s="127">
        <v>0.0</v>
      </c>
      <c r="P103" s="127">
        <v>0.0</v>
      </c>
      <c r="Q103" s="127">
        <v>0.0</v>
      </c>
      <c r="R103" s="127">
        <v>0.0</v>
      </c>
      <c r="S103" s="127">
        <v>0.0</v>
      </c>
      <c r="T103" s="127"/>
      <c r="U103" s="127"/>
      <c r="V103" s="127"/>
      <c r="W103" s="127"/>
      <c r="X103" s="127"/>
      <c r="Y103" s="127"/>
    </row>
    <row r="104">
      <c r="A104" s="127">
        <v>0.0</v>
      </c>
      <c r="B104" s="127">
        <v>0.0</v>
      </c>
      <c r="C104" s="127">
        <v>0.0</v>
      </c>
      <c r="D104" s="127">
        <v>0.0</v>
      </c>
      <c r="E104" s="127">
        <v>0.0</v>
      </c>
      <c r="F104" s="127">
        <v>0.0</v>
      </c>
      <c r="G104" s="127">
        <v>0.0</v>
      </c>
      <c r="H104" s="127">
        <v>0.0</v>
      </c>
      <c r="I104" s="127">
        <v>0.0</v>
      </c>
      <c r="J104" s="127">
        <v>0.0</v>
      </c>
      <c r="K104" s="127">
        <v>0.0</v>
      </c>
      <c r="L104" s="127">
        <v>0.0</v>
      </c>
      <c r="M104" s="127">
        <v>0.0</v>
      </c>
      <c r="N104" s="127">
        <v>0.0</v>
      </c>
      <c r="O104" s="127">
        <v>0.0</v>
      </c>
      <c r="P104" s="127">
        <v>0.0</v>
      </c>
      <c r="Q104" s="127">
        <v>0.0</v>
      </c>
      <c r="R104" s="127">
        <v>0.0</v>
      </c>
      <c r="S104" s="127">
        <v>0.0</v>
      </c>
      <c r="T104" s="127"/>
      <c r="U104" s="127"/>
      <c r="V104" s="127"/>
      <c r="W104" s="127"/>
      <c r="X104" s="127"/>
      <c r="Y104" s="127"/>
    </row>
    <row r="105">
      <c r="A105" s="127">
        <v>0.0</v>
      </c>
      <c r="B105" s="127">
        <v>0.0</v>
      </c>
      <c r="C105" s="127">
        <v>0.0</v>
      </c>
      <c r="D105" s="127">
        <v>0.0</v>
      </c>
      <c r="E105" s="127">
        <v>0.0</v>
      </c>
      <c r="F105" s="127">
        <v>0.0</v>
      </c>
      <c r="G105" s="127">
        <v>0.0</v>
      </c>
      <c r="H105" s="127">
        <v>0.0</v>
      </c>
      <c r="I105" s="127">
        <v>0.0</v>
      </c>
      <c r="J105" s="127">
        <v>1080.0</v>
      </c>
      <c r="K105" s="127">
        <v>0.0</v>
      </c>
      <c r="L105" s="127">
        <v>0.0</v>
      </c>
      <c r="M105" s="127">
        <v>150.0</v>
      </c>
      <c r="N105" s="127">
        <v>0.0</v>
      </c>
      <c r="O105" s="127">
        <v>0.0</v>
      </c>
      <c r="P105" s="127">
        <v>0.0</v>
      </c>
      <c r="Q105" s="127">
        <v>0.0</v>
      </c>
      <c r="R105" s="127">
        <v>0.0</v>
      </c>
      <c r="S105" s="127">
        <v>0.0</v>
      </c>
      <c r="T105" s="127"/>
      <c r="U105" s="127"/>
      <c r="V105" s="127"/>
      <c r="W105" s="127"/>
      <c r="X105" s="127"/>
      <c r="Y105" s="127"/>
    </row>
    <row r="106">
      <c r="A106" s="127">
        <v>0.0</v>
      </c>
      <c r="B106" s="127">
        <v>0.0</v>
      </c>
      <c r="C106" s="127">
        <v>0.0</v>
      </c>
      <c r="D106" s="127">
        <v>0.0</v>
      </c>
      <c r="E106" s="127">
        <v>0.0</v>
      </c>
      <c r="F106" s="127">
        <v>0.0</v>
      </c>
      <c r="G106" s="127">
        <v>0.0</v>
      </c>
      <c r="H106" s="127">
        <v>0.0</v>
      </c>
      <c r="I106" s="127">
        <v>0.0</v>
      </c>
      <c r="J106" s="127">
        <v>0.0</v>
      </c>
      <c r="K106" s="127">
        <v>0.0</v>
      </c>
      <c r="L106" s="127">
        <v>0.0</v>
      </c>
      <c r="M106" s="127">
        <v>1000.0</v>
      </c>
      <c r="N106" s="127">
        <v>0.0</v>
      </c>
      <c r="O106" s="127">
        <v>0.0</v>
      </c>
      <c r="P106" s="127">
        <v>0.0</v>
      </c>
      <c r="Q106" s="127">
        <v>0.0</v>
      </c>
      <c r="R106" s="127">
        <v>0.0</v>
      </c>
      <c r="S106" s="127">
        <v>0.0</v>
      </c>
      <c r="T106" s="127"/>
      <c r="U106" s="127"/>
      <c r="V106" s="127"/>
      <c r="W106" s="127"/>
      <c r="X106" s="127"/>
      <c r="Y106" s="127"/>
    </row>
    <row r="107">
      <c r="A107" s="127">
        <v>0.0</v>
      </c>
      <c r="B107" s="127">
        <v>0.0</v>
      </c>
      <c r="C107" s="127">
        <v>0.0</v>
      </c>
      <c r="D107" s="127">
        <v>0.0</v>
      </c>
      <c r="E107" s="127">
        <v>0.0</v>
      </c>
      <c r="F107" s="127">
        <v>0.0</v>
      </c>
      <c r="G107" s="127">
        <v>0.0</v>
      </c>
      <c r="H107" s="127">
        <v>0.0</v>
      </c>
      <c r="I107" s="127">
        <v>0.0</v>
      </c>
      <c r="J107" s="127">
        <v>0.0</v>
      </c>
      <c r="K107" s="127">
        <v>0.0</v>
      </c>
      <c r="L107" s="127">
        <v>0.0</v>
      </c>
      <c r="M107" s="127">
        <v>0.0</v>
      </c>
      <c r="N107" s="127">
        <v>0.0</v>
      </c>
      <c r="O107" s="127">
        <v>0.0</v>
      </c>
      <c r="P107" s="127">
        <v>0.0</v>
      </c>
      <c r="Q107" s="127">
        <v>0.0</v>
      </c>
      <c r="R107" s="127">
        <v>0.0</v>
      </c>
      <c r="S107" s="127">
        <v>0.0</v>
      </c>
      <c r="T107" s="127"/>
      <c r="U107" s="127"/>
      <c r="V107" s="127"/>
      <c r="W107" s="127"/>
      <c r="X107" s="127"/>
      <c r="Y107" s="127"/>
    </row>
    <row r="108">
      <c r="A108" s="127">
        <v>0.0</v>
      </c>
      <c r="B108" s="127">
        <v>0.0</v>
      </c>
      <c r="C108" s="127">
        <v>0.0</v>
      </c>
      <c r="D108" s="127">
        <v>0.0</v>
      </c>
      <c r="E108" s="127">
        <v>0.0</v>
      </c>
      <c r="F108" s="127">
        <v>0.0</v>
      </c>
      <c r="G108" s="127">
        <v>0.0</v>
      </c>
      <c r="H108" s="127">
        <v>0.0</v>
      </c>
      <c r="I108" s="127">
        <v>0.0</v>
      </c>
      <c r="J108" s="127">
        <v>75.0</v>
      </c>
      <c r="K108" s="127">
        <v>0.0</v>
      </c>
      <c r="L108" s="127">
        <v>0.0</v>
      </c>
      <c r="M108" s="127">
        <v>391.0</v>
      </c>
      <c r="N108" s="127">
        <v>0.0</v>
      </c>
      <c r="O108" s="127">
        <v>0.0</v>
      </c>
      <c r="P108" s="127">
        <v>3.0</v>
      </c>
      <c r="Q108" s="127">
        <v>0.0</v>
      </c>
      <c r="R108" s="127">
        <v>0.0</v>
      </c>
      <c r="S108" s="127">
        <v>0.0</v>
      </c>
      <c r="T108" s="127"/>
      <c r="U108" s="127"/>
      <c r="V108" s="127"/>
      <c r="W108" s="127"/>
      <c r="X108" s="127"/>
      <c r="Y108" s="127"/>
    </row>
    <row r="109">
      <c r="A109" s="127">
        <v>0.0</v>
      </c>
      <c r="B109" s="127">
        <v>0.0</v>
      </c>
      <c r="C109" s="127">
        <v>0.0</v>
      </c>
      <c r="D109" s="127">
        <v>0.0</v>
      </c>
      <c r="E109" s="127">
        <v>0.0</v>
      </c>
      <c r="F109" s="127">
        <v>0.0</v>
      </c>
      <c r="G109" s="127">
        <v>0.0</v>
      </c>
      <c r="H109" s="127">
        <v>0.0</v>
      </c>
      <c r="I109" s="127">
        <v>0.0</v>
      </c>
      <c r="J109" s="127">
        <v>17.0</v>
      </c>
      <c r="K109" s="127">
        <v>0.0</v>
      </c>
      <c r="L109" s="127">
        <v>0.0</v>
      </c>
      <c r="M109" s="127">
        <v>0.0</v>
      </c>
      <c r="N109" s="127">
        <v>0.0</v>
      </c>
      <c r="O109" s="127">
        <v>0.0</v>
      </c>
      <c r="P109" s="127">
        <v>0.0</v>
      </c>
      <c r="Q109" s="127">
        <v>0.0</v>
      </c>
      <c r="R109" s="127">
        <v>0.0</v>
      </c>
      <c r="S109" s="127">
        <v>0.0</v>
      </c>
      <c r="T109" s="127"/>
      <c r="U109" s="127"/>
      <c r="V109" s="127"/>
      <c r="W109" s="127"/>
      <c r="X109" s="127"/>
      <c r="Y109" s="127"/>
    </row>
    <row r="110">
      <c r="A110" s="127">
        <v>0.0</v>
      </c>
      <c r="B110" s="127">
        <v>0.0</v>
      </c>
      <c r="C110" s="127">
        <v>0.0</v>
      </c>
      <c r="D110" s="127">
        <v>0.0</v>
      </c>
      <c r="E110" s="127">
        <v>0.0</v>
      </c>
      <c r="F110" s="127">
        <v>0.0</v>
      </c>
      <c r="G110" s="127">
        <v>0.0</v>
      </c>
      <c r="H110" s="127">
        <v>0.0</v>
      </c>
      <c r="I110" s="127">
        <v>0.0</v>
      </c>
      <c r="J110" s="127">
        <v>794.0</v>
      </c>
      <c r="K110" s="127">
        <v>0.0</v>
      </c>
      <c r="L110" s="127">
        <v>0.0</v>
      </c>
      <c r="M110" s="127">
        <v>669.0</v>
      </c>
      <c r="N110" s="127">
        <v>0.0</v>
      </c>
      <c r="O110" s="127">
        <v>0.0</v>
      </c>
      <c r="P110" s="127">
        <v>0.0</v>
      </c>
      <c r="Q110" s="127">
        <v>0.0</v>
      </c>
      <c r="R110" s="127">
        <v>0.0</v>
      </c>
      <c r="S110" s="127">
        <v>0.0</v>
      </c>
      <c r="T110" s="127"/>
      <c r="U110" s="127"/>
      <c r="V110" s="127"/>
      <c r="W110" s="127"/>
      <c r="X110" s="127"/>
      <c r="Y110" s="127"/>
    </row>
    <row r="111">
      <c r="A111" s="127">
        <v>0.0</v>
      </c>
      <c r="B111" s="127">
        <v>0.0</v>
      </c>
      <c r="C111" s="127">
        <v>0.0</v>
      </c>
      <c r="D111" s="127">
        <v>0.0</v>
      </c>
      <c r="E111" s="127">
        <v>0.0</v>
      </c>
      <c r="F111" s="127">
        <v>0.0</v>
      </c>
      <c r="G111" s="127">
        <v>0.0</v>
      </c>
      <c r="H111" s="127">
        <v>0.0</v>
      </c>
      <c r="I111" s="127">
        <v>0.0</v>
      </c>
      <c r="J111" s="127">
        <v>90.0</v>
      </c>
      <c r="K111" s="127">
        <v>0.0</v>
      </c>
      <c r="L111" s="127">
        <v>0.0</v>
      </c>
      <c r="M111" s="127">
        <v>1095.0</v>
      </c>
      <c r="N111" s="127">
        <v>0.0</v>
      </c>
      <c r="O111" s="127">
        <v>0.0</v>
      </c>
      <c r="P111" s="127">
        <v>0.0</v>
      </c>
      <c r="Q111" s="127">
        <v>0.0</v>
      </c>
      <c r="R111" s="127">
        <v>0.0</v>
      </c>
      <c r="S111" s="127">
        <v>0.0</v>
      </c>
      <c r="T111" s="127"/>
      <c r="U111" s="127"/>
      <c r="V111" s="127"/>
      <c r="W111" s="127"/>
      <c r="X111" s="127"/>
      <c r="Y111" s="127"/>
    </row>
    <row r="112">
      <c r="A112" s="127">
        <v>0.0</v>
      </c>
      <c r="B112" s="127">
        <v>0.0</v>
      </c>
      <c r="C112" s="127">
        <v>0.0</v>
      </c>
      <c r="D112" s="127">
        <v>0.0</v>
      </c>
      <c r="E112" s="127">
        <v>0.0</v>
      </c>
      <c r="F112" s="127">
        <v>0.0</v>
      </c>
      <c r="G112" s="127">
        <v>0.0</v>
      </c>
      <c r="H112" s="127">
        <v>0.0</v>
      </c>
      <c r="I112" s="127">
        <v>0.0</v>
      </c>
      <c r="J112" s="127">
        <v>1000.0</v>
      </c>
      <c r="K112" s="127">
        <v>0.0</v>
      </c>
      <c r="L112" s="127">
        <v>0.0</v>
      </c>
      <c r="M112" s="127">
        <v>650.0</v>
      </c>
      <c r="N112" s="127">
        <v>0.0</v>
      </c>
      <c r="O112" s="127">
        <v>0.0</v>
      </c>
      <c r="P112" s="127">
        <v>0.0</v>
      </c>
      <c r="Q112" s="127">
        <v>0.0</v>
      </c>
      <c r="R112" s="127">
        <v>0.0</v>
      </c>
      <c r="S112" s="127">
        <v>0.0</v>
      </c>
      <c r="T112" s="127"/>
      <c r="U112" s="127"/>
      <c r="V112" s="127"/>
      <c r="W112" s="127"/>
      <c r="X112" s="127"/>
      <c r="Y112" s="127"/>
    </row>
    <row r="113">
      <c r="A113" s="127">
        <v>0.0</v>
      </c>
      <c r="B113" s="127">
        <v>0.0</v>
      </c>
      <c r="C113" s="127">
        <v>0.0</v>
      </c>
      <c r="D113" s="127">
        <v>0.0</v>
      </c>
      <c r="E113" s="127">
        <v>0.0</v>
      </c>
      <c r="F113" s="127">
        <v>0.0</v>
      </c>
      <c r="G113" s="127">
        <v>0.0</v>
      </c>
      <c r="H113" s="127">
        <v>0.0</v>
      </c>
      <c r="I113" s="127">
        <v>0.0</v>
      </c>
      <c r="J113" s="127">
        <v>1000.0</v>
      </c>
      <c r="K113" s="127">
        <v>0.0</v>
      </c>
      <c r="L113" s="127">
        <v>0.0</v>
      </c>
      <c r="M113" s="127">
        <v>1000.0</v>
      </c>
      <c r="N113" s="127">
        <v>0.0</v>
      </c>
      <c r="O113" s="127">
        <v>0.0</v>
      </c>
      <c r="P113" s="127">
        <v>0.0</v>
      </c>
      <c r="Q113" s="127">
        <v>0.0</v>
      </c>
      <c r="R113" s="127">
        <v>0.0</v>
      </c>
      <c r="S113" s="127">
        <v>0.0</v>
      </c>
      <c r="T113" s="127"/>
      <c r="U113" s="127"/>
      <c r="V113" s="127"/>
      <c r="W113" s="127"/>
      <c r="X113" s="127"/>
      <c r="Y113" s="127"/>
    </row>
    <row r="114">
      <c r="A114" s="127">
        <v>0.0</v>
      </c>
      <c r="B114" s="127">
        <v>0.0</v>
      </c>
      <c r="C114" s="127">
        <v>0.0</v>
      </c>
      <c r="D114" s="127">
        <v>0.0</v>
      </c>
      <c r="E114" s="127">
        <v>0.0</v>
      </c>
      <c r="F114" s="127">
        <v>0.0</v>
      </c>
      <c r="G114" s="127">
        <v>0.0</v>
      </c>
      <c r="H114" s="127">
        <v>0.0</v>
      </c>
      <c r="I114" s="127">
        <v>0.0</v>
      </c>
      <c r="J114" s="127">
        <v>1000.0</v>
      </c>
      <c r="K114" s="127">
        <v>0.0</v>
      </c>
      <c r="L114" s="127">
        <v>0.0</v>
      </c>
      <c r="M114" s="127">
        <v>1068.0</v>
      </c>
      <c r="N114" s="127">
        <v>0.0</v>
      </c>
      <c r="O114" s="127">
        <v>0.0</v>
      </c>
      <c r="P114" s="127">
        <v>0.0</v>
      </c>
      <c r="Q114" s="127">
        <v>0.0</v>
      </c>
      <c r="R114" s="127">
        <v>0.0</v>
      </c>
      <c r="S114" s="127">
        <v>0.0</v>
      </c>
      <c r="T114" s="127"/>
      <c r="U114" s="127"/>
      <c r="V114" s="127"/>
      <c r="W114" s="127"/>
      <c r="X114" s="127"/>
      <c r="Y114" s="127"/>
    </row>
    <row r="115">
      <c r="A115" s="127">
        <v>0.0</v>
      </c>
      <c r="B115" s="127">
        <v>0.0</v>
      </c>
      <c r="C115" s="127">
        <v>0.0</v>
      </c>
      <c r="D115" s="127">
        <v>0.0</v>
      </c>
      <c r="E115" s="127">
        <v>0.0</v>
      </c>
      <c r="F115" s="127">
        <v>0.0</v>
      </c>
      <c r="G115" s="127">
        <v>0.0</v>
      </c>
      <c r="H115" s="127">
        <v>0.0</v>
      </c>
      <c r="I115" s="127">
        <v>0.0</v>
      </c>
      <c r="J115" s="127">
        <v>480.0</v>
      </c>
      <c r="K115" s="127">
        <v>0.0</v>
      </c>
      <c r="L115" s="127">
        <v>0.0</v>
      </c>
      <c r="M115" s="127">
        <v>1000.0</v>
      </c>
      <c r="N115" s="127">
        <v>0.0</v>
      </c>
      <c r="O115" s="127">
        <v>0.0</v>
      </c>
      <c r="P115" s="127">
        <v>0.0</v>
      </c>
      <c r="Q115" s="127">
        <v>0.0</v>
      </c>
      <c r="R115" s="127">
        <v>0.0</v>
      </c>
      <c r="S115" s="127">
        <v>0.0</v>
      </c>
      <c r="T115" s="127"/>
      <c r="U115" s="127"/>
      <c r="V115" s="127"/>
      <c r="W115" s="127"/>
      <c r="X115" s="127"/>
      <c r="Y115" s="127"/>
    </row>
    <row r="116">
      <c r="A116" s="127">
        <v>0.0</v>
      </c>
      <c r="B116" s="127">
        <v>0.0</v>
      </c>
      <c r="C116" s="127">
        <v>0.0</v>
      </c>
      <c r="D116" s="127">
        <v>0.0</v>
      </c>
      <c r="E116" s="127">
        <v>0.0</v>
      </c>
      <c r="F116" s="127">
        <v>0.0</v>
      </c>
      <c r="G116" s="127">
        <v>0.0</v>
      </c>
      <c r="H116" s="127">
        <v>0.0</v>
      </c>
      <c r="I116" s="127">
        <v>0.0</v>
      </c>
      <c r="J116" s="127">
        <v>400.0</v>
      </c>
      <c r="K116" s="127">
        <v>0.0</v>
      </c>
      <c r="L116" s="127">
        <v>0.0</v>
      </c>
      <c r="M116" s="127">
        <v>970.0</v>
      </c>
      <c r="N116" s="127">
        <v>0.0</v>
      </c>
      <c r="O116" s="127">
        <v>0.0</v>
      </c>
      <c r="P116" s="127">
        <v>0.0</v>
      </c>
      <c r="Q116" s="127">
        <v>0.0</v>
      </c>
      <c r="R116" s="127">
        <v>0.0</v>
      </c>
      <c r="S116" s="127">
        <v>0.0</v>
      </c>
      <c r="T116" s="127"/>
      <c r="U116" s="127"/>
      <c r="V116" s="127"/>
      <c r="W116" s="127"/>
      <c r="X116" s="127"/>
      <c r="Y116" s="127"/>
    </row>
    <row r="117">
      <c r="A117" s="127">
        <v>0.0</v>
      </c>
      <c r="B117" s="127">
        <v>0.0</v>
      </c>
      <c r="C117" s="127">
        <v>0.0</v>
      </c>
      <c r="D117" s="127">
        <v>0.0</v>
      </c>
      <c r="E117" s="127">
        <v>0.0</v>
      </c>
      <c r="F117" s="127">
        <v>0.0</v>
      </c>
      <c r="G117" s="127">
        <v>0.0</v>
      </c>
      <c r="H117" s="127">
        <v>0.0</v>
      </c>
      <c r="I117" s="127">
        <v>0.0</v>
      </c>
      <c r="J117" s="127">
        <v>0.0</v>
      </c>
      <c r="K117" s="127">
        <v>0.0</v>
      </c>
      <c r="L117" s="127">
        <v>0.0</v>
      </c>
      <c r="M117" s="127">
        <v>800.0</v>
      </c>
      <c r="N117" s="127">
        <v>0.0</v>
      </c>
      <c r="O117" s="127">
        <v>0.0</v>
      </c>
      <c r="P117" s="127">
        <v>0.0</v>
      </c>
      <c r="Q117" s="127">
        <v>0.0</v>
      </c>
      <c r="R117" s="127">
        <v>0.0</v>
      </c>
      <c r="S117" s="127">
        <v>0.0</v>
      </c>
      <c r="T117" s="127"/>
      <c r="U117" s="127"/>
      <c r="V117" s="127"/>
      <c r="W117" s="127"/>
      <c r="X117" s="127"/>
      <c r="Y117" s="127"/>
    </row>
    <row r="118">
      <c r="A118" s="127">
        <v>0.0</v>
      </c>
      <c r="B118" s="127">
        <v>0.0</v>
      </c>
      <c r="C118" s="127">
        <v>0.0</v>
      </c>
      <c r="D118" s="127">
        <v>0.0</v>
      </c>
      <c r="E118" s="127">
        <v>0.0</v>
      </c>
      <c r="F118" s="127">
        <v>0.0</v>
      </c>
      <c r="G118" s="127">
        <v>0.0</v>
      </c>
      <c r="H118" s="127">
        <v>0.0</v>
      </c>
      <c r="I118" s="127">
        <v>0.0</v>
      </c>
      <c r="J118" s="127">
        <v>0.0</v>
      </c>
      <c r="K118" s="127">
        <v>0.0</v>
      </c>
      <c r="L118" s="127">
        <v>0.0</v>
      </c>
      <c r="M118" s="127">
        <v>0.0</v>
      </c>
      <c r="N118" s="127">
        <v>0.0</v>
      </c>
      <c r="O118" s="127">
        <v>0.0</v>
      </c>
      <c r="P118" s="127">
        <v>0.0</v>
      </c>
      <c r="Q118" s="127">
        <v>0.0</v>
      </c>
      <c r="R118" s="127">
        <v>0.0</v>
      </c>
      <c r="S118" s="127">
        <v>0.0</v>
      </c>
      <c r="T118" s="127"/>
      <c r="U118" s="127"/>
      <c r="V118" s="127"/>
      <c r="W118" s="127"/>
      <c r="X118" s="127"/>
      <c r="Y118" s="127"/>
    </row>
    <row r="119">
      <c r="A119" s="127">
        <v>0.0</v>
      </c>
      <c r="B119" s="127">
        <v>0.0</v>
      </c>
      <c r="C119" s="127">
        <v>0.0</v>
      </c>
      <c r="D119" s="127">
        <v>0.0</v>
      </c>
      <c r="E119" s="127">
        <v>0.0</v>
      </c>
      <c r="F119" s="127">
        <v>0.0</v>
      </c>
      <c r="G119" s="127">
        <v>0.0</v>
      </c>
      <c r="H119" s="127">
        <v>0.0</v>
      </c>
      <c r="I119" s="127">
        <v>0.0</v>
      </c>
      <c r="J119" s="127">
        <v>0.0</v>
      </c>
      <c r="K119" s="127">
        <v>0.0</v>
      </c>
      <c r="L119" s="127">
        <v>0.0</v>
      </c>
      <c r="M119" s="127">
        <v>0.0</v>
      </c>
      <c r="N119" s="127">
        <v>0.0</v>
      </c>
      <c r="O119" s="127">
        <v>0.0</v>
      </c>
      <c r="P119" s="127">
        <v>0.0</v>
      </c>
      <c r="Q119" s="127">
        <v>0.0</v>
      </c>
      <c r="R119" s="127">
        <v>0.0</v>
      </c>
      <c r="S119" s="127">
        <v>0.0</v>
      </c>
      <c r="T119" s="127"/>
      <c r="U119" s="127"/>
      <c r="V119" s="127"/>
      <c r="W119" s="127"/>
      <c r="X119" s="127"/>
      <c r="Y119" s="127"/>
    </row>
    <row r="120">
      <c r="A120" s="127">
        <v>0.0</v>
      </c>
      <c r="B120" s="127">
        <v>0.0</v>
      </c>
      <c r="C120" s="127">
        <v>0.0</v>
      </c>
      <c r="D120" s="127">
        <v>0.0</v>
      </c>
      <c r="E120" s="127">
        <v>0.0</v>
      </c>
      <c r="F120" s="127">
        <v>0.0</v>
      </c>
      <c r="G120" s="127">
        <v>0.0</v>
      </c>
      <c r="H120" s="127">
        <v>0.0</v>
      </c>
      <c r="I120" s="127">
        <v>0.0</v>
      </c>
      <c r="J120" s="127">
        <v>103.0</v>
      </c>
      <c r="K120" s="127">
        <v>0.0</v>
      </c>
      <c r="L120" s="127">
        <v>0.0</v>
      </c>
      <c r="M120" s="127">
        <v>1121.0</v>
      </c>
      <c r="N120" s="127">
        <v>0.0</v>
      </c>
      <c r="O120" s="127">
        <v>0.0</v>
      </c>
      <c r="P120" s="127">
        <v>0.0</v>
      </c>
      <c r="Q120" s="127">
        <v>0.0</v>
      </c>
      <c r="R120" s="127">
        <v>0.0</v>
      </c>
      <c r="S120" s="127">
        <v>0.0</v>
      </c>
      <c r="T120" s="127"/>
      <c r="U120" s="127"/>
      <c r="V120" s="127"/>
      <c r="W120" s="127"/>
      <c r="X120" s="127"/>
      <c r="Y120" s="127"/>
    </row>
    <row r="121">
      <c r="A121" s="127">
        <v>0.0</v>
      </c>
      <c r="B121" s="127">
        <v>0.0</v>
      </c>
      <c r="C121" s="127">
        <v>0.0</v>
      </c>
      <c r="D121" s="127">
        <v>0.0</v>
      </c>
      <c r="E121" s="127">
        <v>0.0</v>
      </c>
      <c r="F121" s="127">
        <v>0.0</v>
      </c>
      <c r="G121" s="127">
        <v>0.0</v>
      </c>
      <c r="H121" s="127">
        <v>0.0</v>
      </c>
      <c r="I121" s="127">
        <v>0.0</v>
      </c>
      <c r="J121" s="127">
        <v>0.0</v>
      </c>
      <c r="K121" s="127">
        <v>0.0</v>
      </c>
      <c r="L121" s="127">
        <v>0.0</v>
      </c>
      <c r="M121" s="127">
        <v>824.0</v>
      </c>
      <c r="N121" s="127">
        <v>0.0</v>
      </c>
      <c r="O121" s="127">
        <v>0.0</v>
      </c>
      <c r="P121" s="127">
        <v>0.0</v>
      </c>
      <c r="Q121" s="127">
        <v>0.0</v>
      </c>
      <c r="R121" s="127">
        <v>0.0</v>
      </c>
      <c r="S121" s="127">
        <v>0.0</v>
      </c>
      <c r="T121" s="127"/>
      <c r="U121" s="127"/>
      <c r="V121" s="127"/>
      <c r="W121" s="127"/>
      <c r="X121" s="127"/>
      <c r="Y121" s="127"/>
    </row>
    <row r="122">
      <c r="A122" s="127">
        <v>0.0</v>
      </c>
      <c r="B122" s="127">
        <v>0.0</v>
      </c>
      <c r="C122" s="127">
        <v>0.0</v>
      </c>
      <c r="D122" s="127">
        <v>0.0</v>
      </c>
      <c r="E122" s="127">
        <v>0.0</v>
      </c>
      <c r="F122" s="127">
        <v>0.0</v>
      </c>
      <c r="G122" s="127">
        <v>0.0</v>
      </c>
      <c r="H122" s="127">
        <v>0.0</v>
      </c>
      <c r="I122" s="127">
        <v>0.0</v>
      </c>
      <c r="J122" s="127">
        <v>295.0</v>
      </c>
      <c r="K122" s="127">
        <v>0.0</v>
      </c>
      <c r="L122" s="127">
        <v>0.0</v>
      </c>
      <c r="M122" s="127">
        <v>0.0</v>
      </c>
      <c r="N122" s="127">
        <v>0.0</v>
      </c>
      <c r="O122" s="127">
        <v>0.0</v>
      </c>
      <c r="P122" s="127">
        <v>0.0</v>
      </c>
      <c r="Q122" s="127">
        <v>0.0</v>
      </c>
      <c r="R122" s="127">
        <v>0.0</v>
      </c>
      <c r="S122" s="127">
        <v>0.0</v>
      </c>
      <c r="T122" s="127"/>
      <c r="U122" s="127"/>
      <c r="V122" s="127"/>
      <c r="W122" s="127"/>
      <c r="X122" s="127"/>
      <c r="Y122" s="127"/>
    </row>
    <row r="123">
      <c r="A123" s="127">
        <v>0.0</v>
      </c>
      <c r="B123" s="127">
        <v>0.0</v>
      </c>
      <c r="C123" s="127">
        <v>0.0</v>
      </c>
      <c r="D123" s="127">
        <v>0.0</v>
      </c>
      <c r="E123" s="127">
        <v>0.0</v>
      </c>
      <c r="F123" s="127">
        <v>0.0</v>
      </c>
      <c r="G123" s="127">
        <v>0.0</v>
      </c>
      <c r="H123" s="127">
        <v>0.0</v>
      </c>
      <c r="I123" s="127">
        <v>0.0</v>
      </c>
      <c r="J123" s="127">
        <v>171.0</v>
      </c>
      <c r="K123" s="127">
        <v>0.0</v>
      </c>
      <c r="L123" s="127">
        <v>0.0</v>
      </c>
      <c r="M123" s="127">
        <v>1.0</v>
      </c>
      <c r="N123" s="127">
        <v>0.0</v>
      </c>
      <c r="O123" s="127">
        <v>0.0</v>
      </c>
      <c r="P123" s="127">
        <v>0.0</v>
      </c>
      <c r="Q123" s="127">
        <v>0.0</v>
      </c>
      <c r="R123" s="127">
        <v>0.0</v>
      </c>
      <c r="S123" s="127">
        <v>0.0</v>
      </c>
      <c r="T123" s="127"/>
      <c r="U123" s="127"/>
      <c r="V123" s="127"/>
      <c r="W123" s="127"/>
      <c r="X123" s="127"/>
      <c r="Y123" s="127"/>
    </row>
    <row r="124">
      <c r="A124" s="127">
        <v>0.0</v>
      </c>
      <c r="B124" s="127">
        <v>0.0</v>
      </c>
      <c r="C124" s="127">
        <v>0.0</v>
      </c>
      <c r="D124" s="127">
        <v>0.0</v>
      </c>
      <c r="E124" s="127">
        <v>0.0</v>
      </c>
      <c r="F124" s="127">
        <v>0.0</v>
      </c>
      <c r="G124" s="127">
        <v>0.0</v>
      </c>
      <c r="H124" s="127">
        <v>0.0</v>
      </c>
      <c r="I124" s="127">
        <v>0.0</v>
      </c>
      <c r="J124" s="127">
        <v>47.0</v>
      </c>
      <c r="K124" s="127">
        <v>0.0</v>
      </c>
      <c r="L124" s="127">
        <v>0.0</v>
      </c>
      <c r="M124" s="127">
        <v>7.0</v>
      </c>
      <c r="N124" s="127">
        <v>0.0</v>
      </c>
      <c r="O124" s="127">
        <v>0.0</v>
      </c>
      <c r="P124" s="127">
        <v>0.0</v>
      </c>
      <c r="Q124" s="127">
        <v>0.0</v>
      </c>
      <c r="R124" s="127">
        <v>0.0</v>
      </c>
      <c r="S124" s="127">
        <v>0.0</v>
      </c>
      <c r="T124" s="127"/>
      <c r="U124" s="127"/>
      <c r="V124" s="127"/>
      <c r="W124" s="127"/>
      <c r="X124" s="127"/>
      <c r="Y124" s="127"/>
    </row>
    <row r="125">
      <c r="A125" s="127">
        <v>0.0</v>
      </c>
      <c r="B125" s="127">
        <v>0.0</v>
      </c>
      <c r="C125" s="127">
        <v>0.0</v>
      </c>
      <c r="D125" s="127">
        <v>0.0</v>
      </c>
      <c r="E125" s="127">
        <v>0.0</v>
      </c>
      <c r="F125" s="127">
        <v>0.0</v>
      </c>
      <c r="G125" s="127">
        <v>0.0</v>
      </c>
      <c r="H125" s="127">
        <v>0.0</v>
      </c>
      <c r="I125" s="127">
        <v>0.0</v>
      </c>
      <c r="J125" s="127">
        <v>1254.0</v>
      </c>
      <c r="K125" s="127">
        <v>0.0</v>
      </c>
      <c r="L125" s="127">
        <v>0.0</v>
      </c>
      <c r="M125" s="127">
        <v>345.0</v>
      </c>
      <c r="N125" s="127">
        <v>0.0</v>
      </c>
      <c r="O125" s="127">
        <v>0.0</v>
      </c>
      <c r="P125" s="127">
        <v>0.0</v>
      </c>
      <c r="Q125" s="127">
        <v>0.0</v>
      </c>
      <c r="R125" s="127">
        <v>0.0</v>
      </c>
      <c r="S125" s="127">
        <v>0.0</v>
      </c>
      <c r="T125" s="127"/>
      <c r="U125" s="127"/>
      <c r="V125" s="127"/>
      <c r="W125" s="127"/>
      <c r="X125" s="127"/>
      <c r="Y125" s="127"/>
    </row>
    <row r="126">
      <c r="A126" s="127">
        <v>0.0</v>
      </c>
      <c r="B126" s="127">
        <v>0.0</v>
      </c>
      <c r="C126" s="127">
        <v>0.0</v>
      </c>
      <c r="D126" s="127">
        <v>0.0</v>
      </c>
      <c r="E126" s="127">
        <v>0.0</v>
      </c>
      <c r="F126" s="127">
        <v>0.0</v>
      </c>
      <c r="G126" s="127">
        <v>0.0</v>
      </c>
      <c r="H126" s="127">
        <v>0.0</v>
      </c>
      <c r="I126" s="127">
        <v>0.0</v>
      </c>
      <c r="J126" s="127">
        <v>930.0</v>
      </c>
      <c r="K126" s="127">
        <v>0.0</v>
      </c>
      <c r="L126" s="127">
        <v>0.0</v>
      </c>
      <c r="M126" s="127">
        <v>967.0</v>
      </c>
      <c r="N126" s="127">
        <v>0.0</v>
      </c>
      <c r="O126" s="127">
        <v>0.0</v>
      </c>
      <c r="P126" s="127">
        <v>0.0</v>
      </c>
      <c r="Q126" s="127">
        <v>0.0</v>
      </c>
      <c r="R126" s="127">
        <v>0.0</v>
      </c>
      <c r="S126" s="127">
        <v>0.0</v>
      </c>
      <c r="T126" s="127"/>
      <c r="U126" s="127"/>
      <c r="V126" s="127"/>
      <c r="W126" s="127"/>
      <c r="X126" s="127"/>
      <c r="Y126" s="127"/>
    </row>
    <row r="127">
      <c r="A127" s="127">
        <v>0.0</v>
      </c>
      <c r="B127" s="127">
        <v>0.0</v>
      </c>
      <c r="C127" s="127">
        <v>0.0</v>
      </c>
      <c r="D127" s="127">
        <v>0.0</v>
      </c>
      <c r="E127" s="127">
        <v>0.0</v>
      </c>
      <c r="F127" s="127">
        <v>0.0</v>
      </c>
      <c r="G127" s="127">
        <v>0.0</v>
      </c>
      <c r="H127" s="127">
        <v>0.0</v>
      </c>
      <c r="I127" s="127">
        <v>0.0</v>
      </c>
      <c r="J127" s="127">
        <v>900.0</v>
      </c>
      <c r="K127" s="127">
        <v>0.0</v>
      </c>
      <c r="L127" s="127">
        <v>0.0</v>
      </c>
      <c r="M127" s="127">
        <v>6264.0</v>
      </c>
      <c r="N127" s="127">
        <v>0.0</v>
      </c>
      <c r="O127" s="127">
        <v>0.0</v>
      </c>
      <c r="P127" s="127">
        <v>0.0</v>
      </c>
      <c r="Q127" s="127">
        <v>0.0</v>
      </c>
      <c r="R127" s="127">
        <v>0.0</v>
      </c>
      <c r="S127" s="127">
        <v>0.0</v>
      </c>
      <c r="T127" s="127"/>
      <c r="U127" s="127"/>
      <c r="V127" s="127"/>
      <c r="W127" s="127"/>
      <c r="X127" s="127"/>
      <c r="Y127" s="127"/>
    </row>
    <row r="128">
      <c r="A128" s="127">
        <v>0.0</v>
      </c>
      <c r="B128" s="127">
        <v>0.0</v>
      </c>
      <c r="C128" s="127">
        <v>0.0</v>
      </c>
      <c r="D128" s="127">
        <v>0.0</v>
      </c>
      <c r="E128" s="127">
        <v>0.0</v>
      </c>
      <c r="F128" s="127">
        <v>0.0</v>
      </c>
      <c r="G128" s="127">
        <v>0.0</v>
      </c>
      <c r="H128" s="127">
        <v>0.0</v>
      </c>
      <c r="I128" s="127">
        <v>0.0</v>
      </c>
      <c r="J128" s="127">
        <v>1585.0</v>
      </c>
      <c r="K128" s="127">
        <v>0.0</v>
      </c>
      <c r="L128" s="127">
        <v>0.0</v>
      </c>
      <c r="M128" s="127">
        <v>2788.0</v>
      </c>
      <c r="N128" s="127">
        <v>0.0</v>
      </c>
      <c r="O128" s="127">
        <v>0.0</v>
      </c>
      <c r="P128" s="127">
        <v>0.0</v>
      </c>
      <c r="Q128" s="127">
        <v>0.0</v>
      </c>
      <c r="R128" s="127">
        <v>0.0</v>
      </c>
      <c r="S128" s="127">
        <v>0.0</v>
      </c>
      <c r="T128" s="127"/>
      <c r="U128" s="127"/>
      <c r="V128" s="127"/>
      <c r="W128" s="127"/>
      <c r="X128" s="127"/>
      <c r="Y128" s="127"/>
    </row>
    <row r="129">
      <c r="A129" s="127">
        <v>0.0</v>
      </c>
      <c r="B129" s="127">
        <v>0.0</v>
      </c>
      <c r="C129" s="127">
        <v>0.0</v>
      </c>
      <c r="D129" s="127">
        <v>0.0</v>
      </c>
      <c r="E129" s="127">
        <v>0.0</v>
      </c>
      <c r="F129" s="127">
        <v>0.0</v>
      </c>
      <c r="G129" s="127">
        <v>0.0</v>
      </c>
      <c r="H129" s="127">
        <v>0.0</v>
      </c>
      <c r="I129" s="127">
        <v>0.0</v>
      </c>
      <c r="J129" s="127">
        <v>0.0</v>
      </c>
      <c r="K129" s="127">
        <v>0.0</v>
      </c>
      <c r="L129" s="127">
        <v>0.0</v>
      </c>
      <c r="M129" s="127">
        <v>0.0</v>
      </c>
      <c r="N129" s="127">
        <v>0.0</v>
      </c>
      <c r="O129" s="127">
        <v>0.0</v>
      </c>
      <c r="P129" s="127">
        <v>0.0</v>
      </c>
      <c r="Q129" s="127">
        <v>0.0</v>
      </c>
      <c r="R129" s="127">
        <v>0.0</v>
      </c>
      <c r="S129" s="127">
        <v>0.0</v>
      </c>
      <c r="T129" s="127"/>
      <c r="U129" s="127"/>
      <c r="V129" s="127"/>
      <c r="W129" s="127"/>
      <c r="X129" s="127"/>
      <c r="Y129" s="127"/>
    </row>
    <row r="130">
      <c r="A130" s="127">
        <v>0.0</v>
      </c>
      <c r="B130" s="127">
        <v>0.0</v>
      </c>
      <c r="C130" s="127">
        <v>0.0</v>
      </c>
      <c r="D130" s="127">
        <v>0.0</v>
      </c>
      <c r="E130" s="127">
        <v>0.0</v>
      </c>
      <c r="F130" s="127">
        <v>0.0</v>
      </c>
      <c r="G130" s="127">
        <v>0.0</v>
      </c>
      <c r="H130" s="127">
        <v>0.0</v>
      </c>
      <c r="I130" s="127">
        <v>0.0</v>
      </c>
      <c r="J130" s="127">
        <v>1000.0</v>
      </c>
      <c r="K130" s="127">
        <v>0.0</v>
      </c>
      <c r="L130" s="127">
        <v>0.0</v>
      </c>
      <c r="M130" s="127">
        <v>0.0</v>
      </c>
      <c r="N130" s="127">
        <v>0.0</v>
      </c>
      <c r="O130" s="127">
        <v>0.0</v>
      </c>
      <c r="P130" s="127">
        <v>0.0</v>
      </c>
      <c r="Q130" s="127">
        <v>0.0</v>
      </c>
      <c r="R130" s="127">
        <v>0.0</v>
      </c>
      <c r="S130" s="127">
        <v>0.0</v>
      </c>
      <c r="T130" s="127"/>
      <c r="U130" s="127"/>
      <c r="V130" s="127"/>
      <c r="W130" s="127"/>
      <c r="X130" s="127"/>
      <c r="Y130" s="127"/>
    </row>
    <row r="131">
      <c r="A131" s="127">
        <v>0.0</v>
      </c>
      <c r="B131" s="127">
        <v>0.0</v>
      </c>
      <c r="C131" s="127">
        <v>0.0</v>
      </c>
      <c r="D131" s="127">
        <v>0.0</v>
      </c>
      <c r="E131" s="127">
        <v>0.0</v>
      </c>
      <c r="F131" s="127">
        <v>0.0</v>
      </c>
      <c r="G131" s="127">
        <v>0.0</v>
      </c>
      <c r="H131" s="127">
        <v>0.0</v>
      </c>
      <c r="I131" s="127">
        <v>0.0</v>
      </c>
      <c r="J131" s="127">
        <v>1000.0</v>
      </c>
      <c r="K131" s="127">
        <v>0.0</v>
      </c>
      <c r="L131" s="127">
        <v>0.0</v>
      </c>
      <c r="M131" s="127">
        <v>0.0</v>
      </c>
      <c r="N131" s="127">
        <v>0.0</v>
      </c>
      <c r="O131" s="127">
        <v>0.0</v>
      </c>
      <c r="P131" s="127">
        <v>0.0</v>
      </c>
      <c r="Q131" s="127">
        <v>0.0</v>
      </c>
      <c r="R131" s="127">
        <v>0.0</v>
      </c>
      <c r="S131" s="127">
        <v>0.0</v>
      </c>
      <c r="T131" s="127"/>
      <c r="U131" s="127"/>
      <c r="V131" s="127"/>
      <c r="W131" s="127"/>
      <c r="X131" s="127"/>
      <c r="Y131" s="127"/>
    </row>
    <row r="132">
      <c r="A132" s="127">
        <v>0.0</v>
      </c>
      <c r="B132" s="127">
        <v>0.0</v>
      </c>
      <c r="C132" s="127">
        <v>0.0</v>
      </c>
      <c r="D132" s="127">
        <v>0.0</v>
      </c>
      <c r="E132" s="127">
        <v>0.0</v>
      </c>
      <c r="F132" s="127">
        <v>0.0</v>
      </c>
      <c r="G132" s="127">
        <v>0.0</v>
      </c>
      <c r="H132" s="127">
        <v>0.0</v>
      </c>
      <c r="I132" s="127">
        <v>0.0</v>
      </c>
      <c r="J132" s="127">
        <v>1000.0</v>
      </c>
      <c r="K132" s="127">
        <v>0.0</v>
      </c>
      <c r="L132" s="127">
        <v>0.0</v>
      </c>
      <c r="M132" s="127">
        <v>0.0</v>
      </c>
      <c r="N132" s="127">
        <v>0.0</v>
      </c>
      <c r="O132" s="127">
        <v>0.0</v>
      </c>
      <c r="P132" s="127">
        <v>0.0</v>
      </c>
      <c r="Q132" s="127">
        <v>0.0</v>
      </c>
      <c r="R132" s="127">
        <v>0.0</v>
      </c>
      <c r="S132" s="127">
        <v>0.0</v>
      </c>
      <c r="T132" s="127"/>
      <c r="U132" s="127"/>
      <c r="V132" s="127"/>
      <c r="W132" s="127"/>
      <c r="X132" s="127"/>
      <c r="Y132" s="127"/>
    </row>
    <row r="133">
      <c r="A133" s="127">
        <v>0.0</v>
      </c>
      <c r="B133" s="127">
        <v>0.0</v>
      </c>
      <c r="C133" s="127">
        <v>0.0</v>
      </c>
      <c r="D133" s="127">
        <v>0.0</v>
      </c>
      <c r="E133" s="127">
        <v>0.0</v>
      </c>
      <c r="F133" s="127">
        <v>0.0</v>
      </c>
      <c r="G133" s="127">
        <v>0.0</v>
      </c>
      <c r="H133" s="127">
        <v>0.0</v>
      </c>
      <c r="I133" s="127">
        <v>0.0</v>
      </c>
      <c r="J133" s="127">
        <v>1890.0</v>
      </c>
      <c r="K133" s="127">
        <v>0.0</v>
      </c>
      <c r="L133" s="127">
        <v>0.0</v>
      </c>
      <c r="M133" s="127">
        <v>3718.0</v>
      </c>
      <c r="N133" s="127">
        <v>0.0</v>
      </c>
      <c r="O133" s="127">
        <v>0.0</v>
      </c>
      <c r="P133" s="127">
        <v>0.0</v>
      </c>
      <c r="Q133" s="127">
        <v>0.0</v>
      </c>
      <c r="R133" s="127">
        <v>0.0</v>
      </c>
      <c r="S133" s="127">
        <v>0.0</v>
      </c>
      <c r="T133" s="127"/>
      <c r="U133" s="127"/>
      <c r="V133" s="127"/>
      <c r="W133" s="127"/>
      <c r="X133" s="127"/>
      <c r="Y133" s="127"/>
    </row>
    <row r="134">
      <c r="A134" s="127">
        <v>0.0</v>
      </c>
      <c r="B134" s="127">
        <v>0.0</v>
      </c>
      <c r="C134" s="127">
        <v>0.0</v>
      </c>
      <c r="D134" s="127">
        <v>0.0</v>
      </c>
      <c r="E134" s="127">
        <v>0.0</v>
      </c>
      <c r="F134" s="127">
        <v>0.0</v>
      </c>
      <c r="G134" s="127">
        <v>0.0</v>
      </c>
      <c r="H134" s="127">
        <v>0.0</v>
      </c>
      <c r="I134" s="127">
        <v>0.0</v>
      </c>
      <c r="J134" s="127">
        <v>1000.0</v>
      </c>
      <c r="K134" s="127">
        <v>0.0</v>
      </c>
      <c r="L134" s="127">
        <v>0.0</v>
      </c>
      <c r="M134" s="127">
        <v>2990.0</v>
      </c>
      <c r="N134" s="127">
        <v>0.0</v>
      </c>
      <c r="O134" s="127">
        <v>0.0</v>
      </c>
      <c r="P134" s="127">
        <v>0.0</v>
      </c>
      <c r="Q134" s="127">
        <v>0.0</v>
      </c>
      <c r="R134" s="127">
        <v>0.0</v>
      </c>
      <c r="S134" s="127">
        <v>0.0</v>
      </c>
      <c r="T134" s="127"/>
      <c r="U134" s="127"/>
      <c r="V134" s="127"/>
      <c r="W134" s="127"/>
      <c r="X134" s="127"/>
      <c r="Y134" s="127"/>
    </row>
    <row r="135">
      <c r="A135" s="127">
        <v>0.0</v>
      </c>
      <c r="B135" s="127">
        <v>0.0</v>
      </c>
      <c r="C135" s="127">
        <v>0.0</v>
      </c>
      <c r="D135" s="127">
        <v>0.0</v>
      </c>
      <c r="E135" s="127">
        <v>0.0</v>
      </c>
      <c r="F135" s="127">
        <v>0.0</v>
      </c>
      <c r="G135" s="127">
        <v>0.0</v>
      </c>
      <c r="H135" s="127">
        <v>0.0</v>
      </c>
      <c r="I135" s="127">
        <v>0.0</v>
      </c>
      <c r="J135" s="127">
        <v>1270.0</v>
      </c>
      <c r="K135" s="127">
        <v>0.0</v>
      </c>
      <c r="L135" s="127">
        <v>0.0</v>
      </c>
      <c r="M135" s="127">
        <v>1080.0</v>
      </c>
      <c r="N135" s="127">
        <v>0.0</v>
      </c>
      <c r="O135" s="127">
        <v>0.0</v>
      </c>
      <c r="P135" s="127">
        <v>0.0</v>
      </c>
      <c r="Q135" s="127">
        <v>0.0</v>
      </c>
      <c r="R135" s="127">
        <v>0.0</v>
      </c>
      <c r="S135" s="127">
        <v>0.0</v>
      </c>
      <c r="T135" s="127"/>
      <c r="U135" s="127"/>
      <c r="V135" s="127"/>
      <c r="W135" s="127"/>
      <c r="X135" s="127"/>
      <c r="Y135" s="127"/>
    </row>
    <row r="136">
      <c r="A136" s="127">
        <v>0.0</v>
      </c>
      <c r="B136" s="127">
        <v>0.0</v>
      </c>
      <c r="C136" s="127">
        <v>0.0</v>
      </c>
      <c r="D136" s="127">
        <v>0.0</v>
      </c>
      <c r="E136" s="127">
        <v>0.0</v>
      </c>
      <c r="F136" s="127">
        <v>0.0</v>
      </c>
      <c r="G136" s="127">
        <v>0.0</v>
      </c>
      <c r="H136" s="127">
        <v>0.0</v>
      </c>
      <c r="I136" s="127">
        <v>0.0</v>
      </c>
      <c r="J136" s="127">
        <v>1000.0</v>
      </c>
      <c r="K136" s="127">
        <v>0.0</v>
      </c>
      <c r="L136" s="127">
        <v>0.0</v>
      </c>
      <c r="M136" s="127">
        <v>0.0</v>
      </c>
      <c r="N136" s="127">
        <v>0.0</v>
      </c>
      <c r="O136" s="127">
        <v>0.0</v>
      </c>
      <c r="P136" s="127">
        <v>0.0</v>
      </c>
      <c r="Q136" s="127">
        <v>0.0</v>
      </c>
      <c r="R136" s="127">
        <v>0.0</v>
      </c>
      <c r="S136" s="127">
        <v>0.0</v>
      </c>
      <c r="T136" s="127"/>
      <c r="U136" s="127"/>
      <c r="V136" s="127"/>
      <c r="W136" s="127"/>
      <c r="X136" s="127"/>
      <c r="Y136" s="127"/>
    </row>
    <row r="137">
      <c r="A137" s="127">
        <v>0.0</v>
      </c>
      <c r="B137" s="127">
        <v>0.0</v>
      </c>
      <c r="C137" s="127">
        <v>0.0</v>
      </c>
      <c r="D137" s="127">
        <v>0.0</v>
      </c>
      <c r="E137" s="127">
        <v>0.0</v>
      </c>
      <c r="F137" s="127">
        <v>0.0</v>
      </c>
      <c r="G137" s="127">
        <v>0.0</v>
      </c>
      <c r="H137" s="127">
        <v>0.0</v>
      </c>
      <c r="I137" s="127">
        <v>0.0</v>
      </c>
      <c r="J137" s="127">
        <v>4562.0</v>
      </c>
      <c r="K137" s="127">
        <v>0.0</v>
      </c>
      <c r="L137" s="127">
        <v>0.0</v>
      </c>
      <c r="M137" s="127">
        <v>-24.0</v>
      </c>
      <c r="N137" s="127">
        <v>0.0</v>
      </c>
      <c r="O137" s="127">
        <v>0.0</v>
      </c>
      <c r="P137" s="127">
        <v>0.0</v>
      </c>
      <c r="Q137" s="127">
        <v>0.0</v>
      </c>
      <c r="R137" s="127">
        <v>0.0</v>
      </c>
      <c r="S137" s="127">
        <v>0.0</v>
      </c>
      <c r="T137" s="127"/>
      <c r="U137" s="127"/>
      <c r="V137" s="127"/>
      <c r="W137" s="127"/>
      <c r="X137" s="127"/>
      <c r="Y137" s="127"/>
    </row>
    <row r="138">
      <c r="A138" s="127">
        <v>0.0</v>
      </c>
      <c r="B138" s="127">
        <v>0.0</v>
      </c>
      <c r="C138" s="127">
        <v>0.0</v>
      </c>
      <c r="D138" s="127">
        <v>0.0</v>
      </c>
      <c r="E138" s="127">
        <v>0.0</v>
      </c>
      <c r="F138" s="127">
        <v>0.0</v>
      </c>
      <c r="G138" s="127">
        <v>0.0</v>
      </c>
      <c r="H138" s="127">
        <v>0.0</v>
      </c>
      <c r="I138" s="127">
        <v>0.0</v>
      </c>
      <c r="J138" s="127">
        <v>0.0</v>
      </c>
      <c r="K138" s="127">
        <v>0.0</v>
      </c>
      <c r="L138" s="127">
        <v>0.0</v>
      </c>
      <c r="M138" s="127">
        <v>0.0</v>
      </c>
      <c r="N138" s="127">
        <v>0.0</v>
      </c>
      <c r="O138" s="127">
        <v>0.0</v>
      </c>
      <c r="P138" s="127">
        <v>0.0</v>
      </c>
      <c r="Q138" s="127">
        <v>0.0</v>
      </c>
      <c r="R138" s="127">
        <v>0.0</v>
      </c>
      <c r="S138" s="127">
        <v>0.0</v>
      </c>
      <c r="T138" s="127"/>
      <c r="U138" s="127"/>
      <c r="V138" s="127"/>
      <c r="W138" s="127"/>
      <c r="X138" s="127"/>
      <c r="Y138" s="127"/>
    </row>
    <row r="139">
      <c r="A139" s="127">
        <v>0.0</v>
      </c>
      <c r="B139" s="127">
        <v>0.0</v>
      </c>
      <c r="C139" s="127">
        <v>0.0</v>
      </c>
      <c r="D139" s="127">
        <v>0.0</v>
      </c>
      <c r="E139" s="127">
        <v>0.0</v>
      </c>
      <c r="F139" s="127">
        <v>0.0</v>
      </c>
      <c r="G139" s="127">
        <v>0.0</v>
      </c>
      <c r="H139" s="127">
        <v>0.0</v>
      </c>
      <c r="I139" s="127">
        <v>0.0</v>
      </c>
      <c r="J139" s="127">
        <v>1960.0</v>
      </c>
      <c r="K139" s="127">
        <v>0.0</v>
      </c>
      <c r="L139" s="127">
        <v>0.0</v>
      </c>
      <c r="M139" s="127">
        <v>5958.0</v>
      </c>
      <c r="N139" s="127">
        <v>0.0</v>
      </c>
      <c r="O139" s="127">
        <v>0.0</v>
      </c>
      <c r="P139" s="127">
        <v>0.0</v>
      </c>
      <c r="Q139" s="127">
        <v>0.0</v>
      </c>
      <c r="R139" s="127">
        <v>0.0</v>
      </c>
      <c r="S139" s="127">
        <v>0.0</v>
      </c>
      <c r="T139" s="127"/>
      <c r="U139" s="127"/>
      <c r="V139" s="127"/>
      <c r="W139" s="127"/>
      <c r="X139" s="127"/>
      <c r="Y139" s="127"/>
    </row>
    <row r="140">
      <c r="A140" s="127">
        <v>0.0</v>
      </c>
      <c r="B140" s="127">
        <v>0.0</v>
      </c>
      <c r="C140" s="127">
        <v>0.0</v>
      </c>
      <c r="D140" s="127">
        <v>0.0</v>
      </c>
      <c r="E140" s="127">
        <v>0.0</v>
      </c>
      <c r="F140" s="127">
        <v>0.0</v>
      </c>
      <c r="G140" s="127">
        <v>0.0</v>
      </c>
      <c r="H140" s="127">
        <v>0.0</v>
      </c>
      <c r="I140" s="127">
        <v>0.0</v>
      </c>
      <c r="J140" s="127">
        <v>4995.0</v>
      </c>
      <c r="K140" s="127">
        <v>0.0</v>
      </c>
      <c r="L140" s="127">
        <v>0.0</v>
      </c>
      <c r="M140" s="127">
        <v>0.0</v>
      </c>
      <c r="N140" s="127">
        <v>0.0</v>
      </c>
      <c r="O140" s="127">
        <v>0.0</v>
      </c>
      <c r="P140" s="127">
        <v>0.0</v>
      </c>
      <c r="Q140" s="127">
        <v>0.0</v>
      </c>
      <c r="R140" s="127">
        <v>0.0</v>
      </c>
      <c r="S140" s="127">
        <v>0.0</v>
      </c>
      <c r="T140" s="127"/>
      <c r="U140" s="127"/>
      <c r="V140" s="127"/>
      <c r="W140" s="127"/>
      <c r="X140" s="127"/>
      <c r="Y140" s="127"/>
    </row>
    <row r="141">
      <c r="A141" s="127">
        <v>0.0</v>
      </c>
      <c r="B141" s="127">
        <v>0.0</v>
      </c>
      <c r="C141" s="127">
        <v>0.0</v>
      </c>
      <c r="D141" s="127">
        <v>0.0</v>
      </c>
      <c r="E141" s="127">
        <v>0.0</v>
      </c>
      <c r="F141" s="127">
        <v>0.0</v>
      </c>
      <c r="G141" s="127">
        <v>0.0</v>
      </c>
      <c r="H141" s="127">
        <v>0.0</v>
      </c>
      <c r="I141" s="127">
        <v>0.0</v>
      </c>
      <c r="J141" s="127">
        <v>1000.0</v>
      </c>
      <c r="K141" s="127">
        <v>0.0</v>
      </c>
      <c r="L141" s="127">
        <v>0.0</v>
      </c>
      <c r="M141" s="127">
        <v>2975.0</v>
      </c>
      <c r="N141" s="127">
        <v>0.0</v>
      </c>
      <c r="O141" s="127">
        <v>0.0</v>
      </c>
      <c r="P141" s="127">
        <v>0.0</v>
      </c>
      <c r="Q141" s="127">
        <v>0.0</v>
      </c>
      <c r="R141" s="127">
        <v>0.0</v>
      </c>
      <c r="S141" s="127">
        <v>0.0</v>
      </c>
      <c r="T141" s="127"/>
      <c r="U141" s="127"/>
      <c r="V141" s="127"/>
      <c r="W141" s="127"/>
      <c r="X141" s="127"/>
      <c r="Y141" s="127"/>
    </row>
    <row r="142">
      <c r="A142" s="127">
        <v>0.0</v>
      </c>
      <c r="B142" s="127">
        <v>0.0</v>
      </c>
      <c r="C142" s="127">
        <v>0.0</v>
      </c>
      <c r="D142" s="127">
        <v>0.0</v>
      </c>
      <c r="E142" s="127">
        <v>0.0</v>
      </c>
      <c r="F142" s="127">
        <v>0.0</v>
      </c>
      <c r="G142" s="127">
        <v>0.0</v>
      </c>
      <c r="H142" s="127">
        <v>0.0</v>
      </c>
      <c r="I142" s="127">
        <v>0.0</v>
      </c>
      <c r="J142" s="127">
        <v>1000.0</v>
      </c>
      <c r="K142" s="127">
        <v>0.0</v>
      </c>
      <c r="L142" s="127">
        <v>0.0</v>
      </c>
      <c r="M142" s="127">
        <v>3494.0</v>
      </c>
      <c r="N142" s="127">
        <v>0.0</v>
      </c>
      <c r="O142" s="127">
        <v>0.0</v>
      </c>
      <c r="P142" s="127">
        <v>0.0</v>
      </c>
      <c r="Q142" s="127">
        <v>0.0</v>
      </c>
      <c r="R142" s="127">
        <v>0.0</v>
      </c>
      <c r="S142" s="127">
        <v>0.0</v>
      </c>
      <c r="T142" s="127"/>
      <c r="U142" s="127"/>
      <c r="V142" s="127"/>
      <c r="W142" s="127"/>
      <c r="X142" s="127"/>
      <c r="Y142" s="127"/>
    </row>
    <row r="143">
      <c r="A143" s="127">
        <v>0.0</v>
      </c>
      <c r="B143" s="127">
        <v>0.0</v>
      </c>
      <c r="C143" s="127">
        <v>0.0</v>
      </c>
      <c r="D143" s="127">
        <v>0.0</v>
      </c>
      <c r="E143" s="127">
        <v>0.0</v>
      </c>
      <c r="F143" s="127">
        <v>0.0</v>
      </c>
      <c r="G143" s="127">
        <v>0.0</v>
      </c>
      <c r="H143" s="127">
        <v>0.0</v>
      </c>
      <c r="I143" s="127">
        <v>0.0</v>
      </c>
      <c r="J143" s="127">
        <v>870.0</v>
      </c>
      <c r="K143" s="127">
        <v>0.0</v>
      </c>
      <c r="L143" s="127">
        <v>0.0</v>
      </c>
      <c r="M143" s="127">
        <v>4179.0</v>
      </c>
      <c r="N143" s="127">
        <v>0.0</v>
      </c>
      <c r="O143" s="127">
        <v>0.0</v>
      </c>
      <c r="P143" s="127">
        <v>0.0</v>
      </c>
      <c r="Q143" s="127">
        <v>0.0</v>
      </c>
      <c r="R143" s="127">
        <v>0.0</v>
      </c>
      <c r="S143" s="127">
        <v>0.0</v>
      </c>
      <c r="T143" s="127"/>
      <c r="U143" s="127"/>
      <c r="V143" s="127"/>
      <c r="W143" s="127"/>
      <c r="X143" s="127"/>
      <c r="Y143" s="127"/>
    </row>
    <row r="144">
      <c r="A144" s="127">
        <v>0.0</v>
      </c>
      <c r="B144" s="127">
        <v>0.0</v>
      </c>
      <c r="C144" s="127">
        <v>0.0</v>
      </c>
      <c r="D144" s="127">
        <v>0.0</v>
      </c>
      <c r="E144" s="127">
        <v>0.0</v>
      </c>
      <c r="F144" s="127">
        <v>0.0</v>
      </c>
      <c r="G144" s="127">
        <v>0.0</v>
      </c>
      <c r="H144" s="127">
        <v>0.0</v>
      </c>
      <c r="I144" s="127">
        <v>0.0</v>
      </c>
      <c r="J144" s="127">
        <v>1980.0</v>
      </c>
      <c r="K144" s="127">
        <v>0.0</v>
      </c>
      <c r="L144" s="127">
        <v>0.0</v>
      </c>
      <c r="M144" s="127">
        <v>2990.0</v>
      </c>
      <c r="N144" s="127">
        <v>0.0</v>
      </c>
      <c r="O144" s="127">
        <v>0.0</v>
      </c>
      <c r="P144" s="127">
        <v>0.0</v>
      </c>
      <c r="Q144" s="127">
        <v>0.0</v>
      </c>
      <c r="R144" s="127">
        <v>0.0</v>
      </c>
      <c r="S144" s="127">
        <v>0.0</v>
      </c>
      <c r="T144" s="127"/>
      <c r="U144" s="127"/>
      <c r="V144" s="127"/>
      <c r="W144" s="127"/>
      <c r="X144" s="127"/>
      <c r="Y144" s="127"/>
    </row>
    <row r="145">
      <c r="A145" s="127">
        <v>0.0</v>
      </c>
      <c r="B145" s="127">
        <v>0.0</v>
      </c>
      <c r="C145" s="127">
        <v>0.0</v>
      </c>
      <c r="D145" s="127">
        <v>0.0</v>
      </c>
      <c r="E145" s="127">
        <v>0.0</v>
      </c>
      <c r="F145" s="127">
        <v>0.0</v>
      </c>
      <c r="G145" s="127">
        <v>0.0</v>
      </c>
      <c r="H145" s="127">
        <v>0.0</v>
      </c>
      <c r="I145" s="127">
        <v>0.0</v>
      </c>
      <c r="J145" s="127">
        <v>1289.0</v>
      </c>
      <c r="K145" s="127">
        <v>0.0</v>
      </c>
      <c r="L145" s="127">
        <v>0.0</v>
      </c>
      <c r="M145" s="127">
        <v>2970.0</v>
      </c>
      <c r="N145" s="127">
        <v>0.0</v>
      </c>
      <c r="O145" s="127">
        <v>0.0</v>
      </c>
      <c r="P145" s="127">
        <v>0.0</v>
      </c>
      <c r="Q145" s="127">
        <v>0.0</v>
      </c>
      <c r="R145" s="127">
        <v>0.0</v>
      </c>
      <c r="S145" s="127">
        <v>0.0</v>
      </c>
      <c r="T145" s="127"/>
      <c r="U145" s="127"/>
      <c r="V145" s="127"/>
      <c r="W145" s="127"/>
      <c r="X145" s="127"/>
      <c r="Y145" s="127"/>
    </row>
    <row r="146">
      <c r="A146" s="127">
        <v>0.0</v>
      </c>
      <c r="B146" s="127">
        <v>0.0</v>
      </c>
      <c r="C146" s="127">
        <v>0.0</v>
      </c>
      <c r="D146" s="127">
        <v>0.0</v>
      </c>
      <c r="E146" s="127">
        <v>0.0</v>
      </c>
      <c r="F146" s="127">
        <v>0.0</v>
      </c>
      <c r="G146" s="127">
        <v>0.0</v>
      </c>
      <c r="H146" s="127">
        <v>0.0</v>
      </c>
      <c r="I146" s="127">
        <v>0.0</v>
      </c>
      <c r="J146" s="127">
        <v>0.0</v>
      </c>
      <c r="K146" s="127">
        <v>0.0</v>
      </c>
      <c r="L146" s="127">
        <v>0.0</v>
      </c>
      <c r="M146" s="127">
        <v>0.0</v>
      </c>
      <c r="N146" s="127">
        <v>0.0</v>
      </c>
      <c r="O146" s="127">
        <v>0.0</v>
      </c>
      <c r="P146" s="127">
        <v>0.0</v>
      </c>
      <c r="Q146" s="127">
        <v>0.0</v>
      </c>
      <c r="R146" s="127">
        <v>0.0</v>
      </c>
      <c r="S146" s="127">
        <v>0.0</v>
      </c>
      <c r="T146" s="127"/>
      <c r="U146" s="127"/>
      <c r="V146" s="127"/>
      <c r="W146" s="127"/>
      <c r="X146" s="127"/>
      <c r="Y146" s="127"/>
    </row>
    <row r="147">
      <c r="A147" s="127">
        <v>0.0</v>
      </c>
      <c r="B147" s="127">
        <v>0.0</v>
      </c>
      <c r="C147" s="127">
        <v>0.0</v>
      </c>
      <c r="D147" s="127">
        <v>0.0</v>
      </c>
      <c r="E147" s="127">
        <v>0.0</v>
      </c>
      <c r="F147" s="127">
        <v>0.0</v>
      </c>
      <c r="G147" s="127">
        <v>0.0</v>
      </c>
      <c r="H147" s="127">
        <v>0.0</v>
      </c>
      <c r="I147" s="127">
        <v>0.0</v>
      </c>
      <c r="J147" s="127">
        <v>1000.0</v>
      </c>
      <c r="K147" s="127">
        <v>0.0</v>
      </c>
      <c r="L147" s="127">
        <v>0.0</v>
      </c>
      <c r="M147" s="127">
        <v>760.0</v>
      </c>
      <c r="N147" s="127">
        <v>0.0</v>
      </c>
      <c r="O147" s="127">
        <v>0.0</v>
      </c>
      <c r="P147" s="127">
        <v>0.0</v>
      </c>
      <c r="Q147" s="127">
        <v>0.0</v>
      </c>
      <c r="R147" s="127">
        <v>0.0</v>
      </c>
      <c r="S147" s="127">
        <v>0.0</v>
      </c>
      <c r="T147" s="127"/>
      <c r="U147" s="127"/>
      <c r="V147" s="127"/>
      <c r="W147" s="127"/>
      <c r="X147" s="127"/>
      <c r="Y147" s="127"/>
    </row>
    <row r="148">
      <c r="A148" s="127">
        <v>0.0</v>
      </c>
      <c r="B148" s="127">
        <v>0.0</v>
      </c>
      <c r="C148" s="127">
        <v>0.0</v>
      </c>
      <c r="D148" s="127">
        <v>0.0</v>
      </c>
      <c r="E148" s="127">
        <v>0.0</v>
      </c>
      <c r="F148" s="127">
        <v>0.0</v>
      </c>
      <c r="G148" s="127">
        <v>0.0</v>
      </c>
      <c r="H148" s="127">
        <v>0.0</v>
      </c>
      <c r="I148" s="127">
        <v>0.0</v>
      </c>
      <c r="J148" s="127">
        <v>1890.0</v>
      </c>
      <c r="K148" s="127">
        <v>0.0</v>
      </c>
      <c r="L148" s="127">
        <v>0.0</v>
      </c>
      <c r="M148" s="127">
        <v>0.0</v>
      </c>
      <c r="N148" s="127">
        <v>0.0</v>
      </c>
      <c r="O148" s="127">
        <v>0.0</v>
      </c>
      <c r="P148" s="127">
        <v>0.0</v>
      </c>
      <c r="Q148" s="127">
        <v>0.0</v>
      </c>
      <c r="R148" s="127">
        <v>0.0</v>
      </c>
      <c r="S148" s="127">
        <v>0.0</v>
      </c>
      <c r="T148" s="127"/>
      <c r="U148" s="127"/>
      <c r="V148" s="127"/>
      <c r="W148" s="127"/>
      <c r="X148" s="127"/>
      <c r="Y148" s="127"/>
    </row>
    <row r="149">
      <c r="A149" s="127">
        <v>0.0</v>
      </c>
      <c r="B149" s="127">
        <v>0.0</v>
      </c>
      <c r="C149" s="127">
        <v>0.0</v>
      </c>
      <c r="D149" s="127">
        <v>0.0</v>
      </c>
      <c r="E149" s="127">
        <v>0.0</v>
      </c>
      <c r="F149" s="127">
        <v>0.0</v>
      </c>
      <c r="G149" s="127">
        <v>0.0</v>
      </c>
      <c r="H149" s="127">
        <v>0.0</v>
      </c>
      <c r="I149" s="127">
        <v>0.0</v>
      </c>
      <c r="J149" s="127">
        <v>0.0</v>
      </c>
      <c r="K149" s="127">
        <v>0.0</v>
      </c>
      <c r="L149" s="127">
        <v>0.0</v>
      </c>
      <c r="M149" s="127">
        <v>2990.0</v>
      </c>
      <c r="N149" s="127">
        <v>0.0</v>
      </c>
      <c r="O149" s="127">
        <v>0.0</v>
      </c>
      <c r="P149" s="127">
        <v>0.0</v>
      </c>
      <c r="Q149" s="127">
        <v>0.0</v>
      </c>
      <c r="R149" s="127">
        <v>0.0</v>
      </c>
      <c r="S149" s="127">
        <v>0.0</v>
      </c>
      <c r="T149" s="127"/>
      <c r="U149" s="127"/>
      <c r="V149" s="127"/>
      <c r="W149" s="127"/>
      <c r="X149" s="127"/>
      <c r="Y149" s="127"/>
    </row>
    <row r="150">
      <c r="A150" s="127">
        <v>0.0</v>
      </c>
      <c r="B150" s="127">
        <v>0.0</v>
      </c>
      <c r="C150" s="127">
        <v>0.0</v>
      </c>
      <c r="D150" s="127">
        <v>0.0</v>
      </c>
      <c r="E150" s="127">
        <v>0.0</v>
      </c>
      <c r="F150" s="127">
        <v>0.0</v>
      </c>
      <c r="G150" s="127">
        <v>0.0</v>
      </c>
      <c r="H150" s="127">
        <v>0.0</v>
      </c>
      <c r="I150" s="127">
        <v>0.0</v>
      </c>
      <c r="J150" s="127">
        <v>900.0</v>
      </c>
      <c r="K150" s="127">
        <v>0.0</v>
      </c>
      <c r="L150" s="127">
        <v>0.0</v>
      </c>
      <c r="M150" s="127">
        <v>1494.0</v>
      </c>
      <c r="N150" s="127">
        <v>0.0</v>
      </c>
      <c r="O150" s="127">
        <v>0.0</v>
      </c>
      <c r="P150" s="127">
        <v>0.0</v>
      </c>
      <c r="Q150" s="127">
        <v>0.0</v>
      </c>
      <c r="R150" s="127">
        <v>0.0</v>
      </c>
      <c r="S150" s="127">
        <v>0.0</v>
      </c>
      <c r="T150" s="127"/>
      <c r="U150" s="127"/>
      <c r="V150" s="127"/>
      <c r="W150" s="127"/>
      <c r="X150" s="127"/>
      <c r="Y150" s="127"/>
    </row>
    <row r="151">
      <c r="A151" s="127">
        <v>0.0</v>
      </c>
      <c r="B151" s="127">
        <v>0.0</v>
      </c>
      <c r="C151" s="127">
        <v>0.0</v>
      </c>
      <c r="D151" s="127">
        <v>0.0</v>
      </c>
      <c r="E151" s="127">
        <v>0.0</v>
      </c>
      <c r="F151" s="127">
        <v>0.0</v>
      </c>
      <c r="G151" s="127">
        <v>0.0</v>
      </c>
      <c r="H151" s="127">
        <v>0.0</v>
      </c>
      <c r="I151" s="127">
        <v>0.0</v>
      </c>
      <c r="J151" s="127">
        <v>0.0</v>
      </c>
      <c r="K151" s="127">
        <v>0.0</v>
      </c>
      <c r="L151" s="127">
        <v>0.0</v>
      </c>
      <c r="M151" s="127">
        <v>0.0</v>
      </c>
      <c r="N151" s="127">
        <v>0.0</v>
      </c>
      <c r="O151" s="127">
        <v>0.0</v>
      </c>
      <c r="P151" s="127">
        <v>0.0</v>
      </c>
      <c r="Q151" s="127">
        <v>0.0</v>
      </c>
      <c r="R151" s="127">
        <v>0.0</v>
      </c>
      <c r="S151" s="127">
        <v>0.0</v>
      </c>
      <c r="T151" s="127"/>
      <c r="U151" s="127"/>
      <c r="V151" s="127"/>
      <c r="W151" s="127"/>
      <c r="X151" s="127"/>
      <c r="Y151" s="127"/>
    </row>
    <row r="152">
      <c r="A152" s="127">
        <v>0.0</v>
      </c>
      <c r="B152" s="127">
        <v>0.0</v>
      </c>
      <c r="C152" s="127">
        <v>0.0</v>
      </c>
      <c r="D152" s="127">
        <v>0.0</v>
      </c>
      <c r="E152" s="127">
        <v>0.0</v>
      </c>
      <c r="F152" s="127">
        <v>0.0</v>
      </c>
      <c r="G152" s="127">
        <v>0.0</v>
      </c>
      <c r="H152" s="127">
        <v>0.0</v>
      </c>
      <c r="I152" s="127">
        <v>0.0</v>
      </c>
      <c r="J152" s="127">
        <v>0.0</v>
      </c>
      <c r="K152" s="127">
        <v>0.0</v>
      </c>
      <c r="L152" s="127">
        <v>0.0</v>
      </c>
      <c r="M152" s="127">
        <v>980.0</v>
      </c>
      <c r="N152" s="127">
        <v>0.0</v>
      </c>
      <c r="O152" s="127">
        <v>0.0</v>
      </c>
      <c r="P152" s="127">
        <v>0.0</v>
      </c>
      <c r="Q152" s="127">
        <v>0.0</v>
      </c>
      <c r="R152" s="127">
        <v>0.0</v>
      </c>
      <c r="S152" s="127">
        <v>0.0</v>
      </c>
      <c r="T152" s="127"/>
      <c r="U152" s="127"/>
      <c r="V152" s="127"/>
      <c r="W152" s="127"/>
      <c r="X152" s="127"/>
      <c r="Y152" s="127"/>
    </row>
    <row r="153">
      <c r="A153" s="127">
        <v>0.0</v>
      </c>
      <c r="B153" s="127">
        <v>0.0</v>
      </c>
      <c r="C153" s="127">
        <v>0.0</v>
      </c>
      <c r="D153" s="127">
        <v>0.0</v>
      </c>
      <c r="E153" s="127">
        <v>0.0</v>
      </c>
      <c r="F153" s="127">
        <v>0.0</v>
      </c>
      <c r="G153" s="127">
        <v>0.0</v>
      </c>
      <c r="H153" s="127">
        <v>0.0</v>
      </c>
      <c r="I153" s="127">
        <v>0.0</v>
      </c>
      <c r="J153" s="127">
        <v>0.0</v>
      </c>
      <c r="K153" s="127">
        <v>0.0</v>
      </c>
      <c r="L153" s="127">
        <v>0.0</v>
      </c>
      <c r="M153" s="127">
        <v>3780.0</v>
      </c>
      <c r="N153" s="127">
        <v>0.0</v>
      </c>
      <c r="O153" s="127">
        <v>0.0</v>
      </c>
      <c r="P153" s="127">
        <v>0.0</v>
      </c>
      <c r="Q153" s="127">
        <v>0.0</v>
      </c>
      <c r="R153" s="127">
        <v>0.0</v>
      </c>
      <c r="S153" s="127">
        <v>0.0</v>
      </c>
      <c r="T153" s="127"/>
      <c r="U153" s="127"/>
      <c r="V153" s="127"/>
      <c r="W153" s="127"/>
      <c r="X153" s="127"/>
      <c r="Y153" s="127"/>
    </row>
    <row r="154">
      <c r="A154" s="127">
        <v>0.0</v>
      </c>
      <c r="B154" s="127">
        <v>0.0</v>
      </c>
      <c r="C154" s="127">
        <v>0.0</v>
      </c>
      <c r="D154" s="127">
        <v>0.0</v>
      </c>
      <c r="E154" s="127">
        <v>0.0</v>
      </c>
      <c r="F154" s="127">
        <v>0.0</v>
      </c>
      <c r="G154" s="127">
        <v>0.0</v>
      </c>
      <c r="H154" s="127">
        <v>0.0</v>
      </c>
      <c r="I154" s="127">
        <v>0.0</v>
      </c>
      <c r="J154" s="127">
        <v>1960.0</v>
      </c>
      <c r="K154" s="127">
        <v>0.0</v>
      </c>
      <c r="L154" s="127">
        <v>0.0</v>
      </c>
      <c r="M154" s="127">
        <v>913.0</v>
      </c>
      <c r="N154" s="127">
        <v>0.0</v>
      </c>
      <c r="O154" s="127">
        <v>0.0</v>
      </c>
      <c r="P154" s="127">
        <v>0.0</v>
      </c>
      <c r="Q154" s="127">
        <v>0.0</v>
      </c>
      <c r="R154" s="127">
        <v>0.0</v>
      </c>
      <c r="S154" s="127">
        <v>0.0</v>
      </c>
      <c r="T154" s="127"/>
      <c r="U154" s="127"/>
      <c r="V154" s="127"/>
      <c r="W154" s="127"/>
      <c r="X154" s="127"/>
      <c r="Y154" s="127"/>
    </row>
    <row r="155">
      <c r="A155" s="127">
        <v>0.0</v>
      </c>
      <c r="B155" s="127">
        <v>0.0</v>
      </c>
      <c r="C155" s="127">
        <v>0.0</v>
      </c>
      <c r="D155" s="127">
        <v>0.0</v>
      </c>
      <c r="E155" s="127">
        <v>0.0</v>
      </c>
      <c r="F155" s="127">
        <v>0.0</v>
      </c>
      <c r="G155" s="127">
        <v>0.0</v>
      </c>
      <c r="H155" s="127">
        <v>0.0</v>
      </c>
      <c r="I155" s="127">
        <v>0.0</v>
      </c>
      <c r="J155" s="127">
        <v>990.0</v>
      </c>
      <c r="K155" s="127">
        <v>0.0</v>
      </c>
      <c r="L155" s="127">
        <v>0.0</v>
      </c>
      <c r="M155" s="127">
        <v>3467.0</v>
      </c>
      <c r="N155" s="127">
        <v>0.0</v>
      </c>
      <c r="O155" s="127">
        <v>0.0</v>
      </c>
      <c r="P155" s="127">
        <v>0.0</v>
      </c>
      <c r="Q155" s="127">
        <v>0.0</v>
      </c>
      <c r="R155" s="127">
        <v>0.0</v>
      </c>
      <c r="S155" s="127">
        <v>0.0</v>
      </c>
      <c r="T155" s="127"/>
      <c r="U155" s="127"/>
      <c r="V155" s="127"/>
      <c r="W155" s="127"/>
      <c r="X155" s="127"/>
      <c r="Y155" s="127"/>
    </row>
    <row r="156">
      <c r="A156" s="127">
        <v>0.0</v>
      </c>
      <c r="B156" s="127">
        <v>0.0</v>
      </c>
      <c r="C156" s="127">
        <v>0.0</v>
      </c>
      <c r="D156" s="127">
        <v>0.0</v>
      </c>
      <c r="E156" s="127">
        <v>0.0</v>
      </c>
      <c r="F156" s="127">
        <v>0.0</v>
      </c>
      <c r="G156" s="127">
        <v>0.0</v>
      </c>
      <c r="H156" s="127">
        <v>0.0</v>
      </c>
      <c r="I156" s="127">
        <v>0.0</v>
      </c>
      <c r="J156" s="127">
        <v>0.0</v>
      </c>
      <c r="K156" s="127">
        <v>0.0</v>
      </c>
      <c r="L156" s="127">
        <v>0.0</v>
      </c>
      <c r="M156" s="127">
        <v>650.0</v>
      </c>
      <c r="N156" s="127">
        <v>0.0</v>
      </c>
      <c r="O156" s="127">
        <v>0.0</v>
      </c>
      <c r="P156" s="127">
        <v>0.0</v>
      </c>
      <c r="Q156" s="127">
        <v>0.0</v>
      </c>
      <c r="R156" s="127">
        <v>0.0</v>
      </c>
      <c r="S156" s="127">
        <v>0.0</v>
      </c>
      <c r="T156" s="127"/>
      <c r="U156" s="127"/>
      <c r="V156" s="127"/>
      <c r="W156" s="127"/>
      <c r="X156" s="127"/>
      <c r="Y156" s="127"/>
    </row>
    <row r="157">
      <c r="A157" s="127">
        <v>0.0</v>
      </c>
      <c r="B157" s="127">
        <v>0.0</v>
      </c>
      <c r="C157" s="127">
        <v>0.0</v>
      </c>
      <c r="D157" s="127">
        <v>0.0</v>
      </c>
      <c r="E157" s="127">
        <v>0.0</v>
      </c>
      <c r="F157" s="127">
        <v>0.0</v>
      </c>
      <c r="G157" s="127">
        <v>0.0</v>
      </c>
      <c r="H157" s="127">
        <v>0.0</v>
      </c>
      <c r="I157" s="127">
        <v>0.0</v>
      </c>
      <c r="J157" s="127">
        <v>4000.0</v>
      </c>
      <c r="K157" s="127">
        <v>0.0</v>
      </c>
      <c r="L157" s="127">
        <v>0.0</v>
      </c>
      <c r="M157" s="127">
        <v>2880.0</v>
      </c>
      <c r="N157" s="127">
        <v>0.0</v>
      </c>
      <c r="O157" s="127">
        <v>0.0</v>
      </c>
      <c r="P157" s="127">
        <v>0.0</v>
      </c>
      <c r="Q157" s="127">
        <v>0.0</v>
      </c>
      <c r="R157" s="127">
        <v>0.0</v>
      </c>
      <c r="S157" s="127">
        <v>0.0</v>
      </c>
      <c r="T157" s="127"/>
      <c r="U157" s="127"/>
      <c r="V157" s="127"/>
      <c r="W157" s="127"/>
      <c r="X157" s="127"/>
      <c r="Y157" s="127"/>
    </row>
    <row r="158">
      <c r="A158" s="127">
        <v>0.0</v>
      </c>
      <c r="B158" s="127">
        <v>0.0</v>
      </c>
      <c r="C158" s="127">
        <v>0.0</v>
      </c>
      <c r="D158" s="127">
        <v>0.0</v>
      </c>
      <c r="E158" s="127">
        <v>0.0</v>
      </c>
      <c r="F158" s="127">
        <v>0.0</v>
      </c>
      <c r="G158" s="127">
        <v>0.0</v>
      </c>
      <c r="H158" s="127">
        <v>0.0</v>
      </c>
      <c r="I158" s="127">
        <v>0.0</v>
      </c>
      <c r="J158" s="127">
        <v>1000.0</v>
      </c>
      <c r="K158" s="127">
        <v>0.0</v>
      </c>
      <c r="L158" s="127">
        <v>0.0</v>
      </c>
      <c r="M158" s="127">
        <v>890.0</v>
      </c>
      <c r="N158" s="127">
        <v>0.0</v>
      </c>
      <c r="O158" s="127">
        <v>0.0</v>
      </c>
      <c r="P158" s="127">
        <v>0.0</v>
      </c>
      <c r="Q158" s="127">
        <v>0.0</v>
      </c>
      <c r="R158" s="127">
        <v>0.0</v>
      </c>
      <c r="S158" s="127">
        <v>0.0</v>
      </c>
      <c r="T158" s="127"/>
      <c r="U158" s="127"/>
      <c r="V158" s="127"/>
      <c r="W158" s="127"/>
      <c r="X158" s="127"/>
      <c r="Y158" s="127"/>
    </row>
    <row r="159">
      <c r="A159" s="127">
        <v>0.0</v>
      </c>
      <c r="B159" s="127">
        <v>0.0</v>
      </c>
      <c r="C159" s="127">
        <v>0.0</v>
      </c>
      <c r="D159" s="127">
        <v>0.0</v>
      </c>
      <c r="E159" s="127">
        <v>0.0</v>
      </c>
      <c r="F159" s="127">
        <v>0.0</v>
      </c>
      <c r="G159" s="127">
        <v>0.0</v>
      </c>
      <c r="H159" s="127">
        <v>0.0</v>
      </c>
      <c r="I159" s="127">
        <v>0.0</v>
      </c>
      <c r="J159" s="127">
        <v>0.0</v>
      </c>
      <c r="K159" s="127">
        <v>0.0</v>
      </c>
      <c r="L159" s="127">
        <v>0.0</v>
      </c>
      <c r="M159" s="127">
        <v>3880.0</v>
      </c>
      <c r="N159" s="127">
        <v>0.0</v>
      </c>
      <c r="O159" s="127">
        <v>0.0</v>
      </c>
      <c r="P159" s="127">
        <v>0.0</v>
      </c>
      <c r="Q159" s="127">
        <v>0.0</v>
      </c>
      <c r="R159" s="127">
        <v>0.0</v>
      </c>
      <c r="S159" s="127">
        <v>0.0</v>
      </c>
      <c r="T159" s="127"/>
      <c r="U159" s="127"/>
      <c r="V159" s="127"/>
      <c r="W159" s="127"/>
      <c r="X159" s="127"/>
      <c r="Y159" s="127"/>
    </row>
    <row r="160">
      <c r="A160" s="127">
        <v>0.0</v>
      </c>
      <c r="B160" s="127">
        <v>0.0</v>
      </c>
      <c r="C160" s="127">
        <v>0.0</v>
      </c>
      <c r="D160" s="127">
        <v>0.0</v>
      </c>
      <c r="E160" s="127">
        <v>0.0</v>
      </c>
      <c r="F160" s="127">
        <v>0.0</v>
      </c>
      <c r="G160" s="127">
        <v>0.0</v>
      </c>
      <c r="H160" s="127">
        <v>0.0</v>
      </c>
      <c r="I160" s="127">
        <v>0.0</v>
      </c>
      <c r="J160" s="127">
        <v>66.0</v>
      </c>
      <c r="K160" s="127">
        <v>0.0</v>
      </c>
      <c r="L160" s="127">
        <v>0.0</v>
      </c>
      <c r="M160" s="127">
        <v>82.0</v>
      </c>
      <c r="N160" s="127">
        <v>0.0</v>
      </c>
      <c r="O160" s="127">
        <v>0.0</v>
      </c>
      <c r="P160" s="127">
        <v>0.0</v>
      </c>
      <c r="Q160" s="127">
        <v>0.0</v>
      </c>
      <c r="R160" s="127">
        <v>0.0</v>
      </c>
      <c r="S160" s="127">
        <v>0.0</v>
      </c>
      <c r="T160" s="127"/>
      <c r="U160" s="127"/>
      <c r="V160" s="127"/>
      <c r="W160" s="127"/>
      <c r="X160" s="127"/>
      <c r="Y160" s="127"/>
    </row>
    <row r="161">
      <c r="A161" s="127">
        <v>0.0</v>
      </c>
      <c r="B161" s="127">
        <v>0.0</v>
      </c>
      <c r="C161" s="127">
        <v>0.0</v>
      </c>
      <c r="D161" s="127">
        <v>0.0</v>
      </c>
      <c r="E161" s="127">
        <v>0.0</v>
      </c>
      <c r="F161" s="127">
        <v>0.0</v>
      </c>
      <c r="G161" s="127">
        <v>0.0</v>
      </c>
      <c r="H161" s="127">
        <v>0.0</v>
      </c>
      <c r="I161" s="127">
        <v>0.0</v>
      </c>
      <c r="J161" s="127">
        <v>174.0</v>
      </c>
      <c r="K161" s="127">
        <v>0.0</v>
      </c>
      <c r="L161" s="127">
        <v>0.0</v>
      </c>
      <c r="M161" s="127">
        <v>76.0</v>
      </c>
      <c r="N161" s="127">
        <v>0.0</v>
      </c>
      <c r="O161" s="127">
        <v>0.0</v>
      </c>
      <c r="P161" s="127">
        <v>0.0</v>
      </c>
      <c r="Q161" s="127">
        <v>0.0</v>
      </c>
      <c r="R161" s="127">
        <v>0.0</v>
      </c>
      <c r="S161" s="127">
        <v>0.0</v>
      </c>
      <c r="T161" s="127"/>
      <c r="U161" s="127"/>
      <c r="V161" s="127"/>
      <c r="W161" s="127"/>
      <c r="X161" s="127"/>
      <c r="Y161" s="127"/>
    </row>
    <row r="162">
      <c r="A162" s="127">
        <v>0.0</v>
      </c>
      <c r="B162" s="127">
        <v>0.0</v>
      </c>
      <c r="C162" s="127">
        <v>0.0</v>
      </c>
      <c r="D162" s="127">
        <v>0.0</v>
      </c>
      <c r="E162" s="127">
        <v>0.0</v>
      </c>
      <c r="F162" s="127">
        <v>0.0</v>
      </c>
      <c r="G162" s="127">
        <v>0.0</v>
      </c>
      <c r="H162" s="127">
        <v>0.0</v>
      </c>
      <c r="I162" s="127">
        <v>0.0</v>
      </c>
      <c r="J162" s="127">
        <v>96.0</v>
      </c>
      <c r="K162" s="127">
        <v>0.0</v>
      </c>
      <c r="L162" s="127">
        <v>0.0</v>
      </c>
      <c r="M162" s="127">
        <v>48.0</v>
      </c>
      <c r="N162" s="127">
        <v>0.0</v>
      </c>
      <c r="O162" s="127">
        <v>0.0</v>
      </c>
      <c r="P162" s="127">
        <v>0.0</v>
      </c>
      <c r="Q162" s="127">
        <v>0.0</v>
      </c>
      <c r="R162" s="127">
        <v>0.0</v>
      </c>
      <c r="S162" s="127">
        <v>0.0</v>
      </c>
      <c r="T162" s="127"/>
      <c r="U162" s="127"/>
      <c r="V162" s="127"/>
      <c r="W162" s="127"/>
      <c r="X162" s="127"/>
      <c r="Y162" s="127"/>
    </row>
    <row r="163">
      <c r="A163" s="127">
        <v>0.0</v>
      </c>
      <c r="B163" s="127">
        <v>1.0</v>
      </c>
      <c r="C163" s="127">
        <v>0.0</v>
      </c>
      <c r="D163" s="127">
        <v>0.0</v>
      </c>
      <c r="E163" s="127">
        <v>0.0</v>
      </c>
      <c r="F163" s="127">
        <v>0.0</v>
      </c>
      <c r="G163" s="127">
        <v>0.0</v>
      </c>
      <c r="H163" s="127">
        <v>0.0</v>
      </c>
      <c r="I163" s="127">
        <v>0.0</v>
      </c>
      <c r="J163" s="127">
        <v>0.0</v>
      </c>
      <c r="K163" s="127">
        <v>0.0</v>
      </c>
      <c r="L163" s="127">
        <v>0.0</v>
      </c>
      <c r="M163" s="127">
        <v>0.0</v>
      </c>
      <c r="N163" s="127">
        <v>0.0</v>
      </c>
      <c r="O163" s="127">
        <v>0.0</v>
      </c>
      <c r="P163" s="127">
        <v>0.0</v>
      </c>
      <c r="Q163" s="127">
        <v>0.0</v>
      </c>
      <c r="R163" s="127">
        <v>0.0</v>
      </c>
      <c r="S163" s="127">
        <v>0.0</v>
      </c>
      <c r="T163" s="127"/>
      <c r="U163" s="127"/>
      <c r="V163" s="127"/>
      <c r="W163" s="127"/>
      <c r="X163" s="127"/>
      <c r="Y163" s="127"/>
    </row>
    <row r="164">
      <c r="A164" s="127">
        <v>0.0</v>
      </c>
      <c r="B164" s="127">
        <v>0.0</v>
      </c>
      <c r="C164" s="127">
        <v>1.0</v>
      </c>
      <c r="D164" s="127">
        <v>0.0</v>
      </c>
      <c r="E164" s="127">
        <v>0.0</v>
      </c>
      <c r="F164" s="127">
        <v>0.0</v>
      </c>
      <c r="G164" s="127">
        <v>0.0</v>
      </c>
      <c r="H164" s="127">
        <v>0.0</v>
      </c>
      <c r="I164" s="127">
        <v>0.0</v>
      </c>
      <c r="J164" s="127">
        <v>0.0</v>
      </c>
      <c r="K164" s="127">
        <v>0.0</v>
      </c>
      <c r="L164" s="127">
        <v>0.0</v>
      </c>
      <c r="M164" s="127">
        <v>0.0</v>
      </c>
      <c r="N164" s="127">
        <v>0.0</v>
      </c>
      <c r="O164" s="127">
        <v>0.0</v>
      </c>
      <c r="P164" s="127">
        <v>0.0</v>
      </c>
      <c r="Q164" s="127">
        <v>0.0</v>
      </c>
      <c r="R164" s="127">
        <v>0.0</v>
      </c>
      <c r="S164" s="127">
        <v>0.0</v>
      </c>
      <c r="T164" s="127"/>
      <c r="U164" s="127"/>
      <c r="V164" s="127"/>
      <c r="W164" s="127"/>
      <c r="X164" s="127"/>
      <c r="Y164" s="127"/>
    </row>
    <row r="165">
      <c r="A165" s="127">
        <v>0.0</v>
      </c>
      <c r="B165" s="127">
        <v>0.0</v>
      </c>
      <c r="C165" s="127">
        <v>0.0</v>
      </c>
      <c r="D165" s="127">
        <v>1.0</v>
      </c>
      <c r="E165" s="127">
        <v>0.0</v>
      </c>
      <c r="F165" s="127">
        <v>0.0</v>
      </c>
      <c r="G165" s="127">
        <v>0.0</v>
      </c>
      <c r="H165" s="127">
        <v>0.0</v>
      </c>
      <c r="I165" s="127">
        <v>0.0</v>
      </c>
      <c r="J165" s="127">
        <v>0.0</v>
      </c>
      <c r="K165" s="127">
        <v>0.0</v>
      </c>
      <c r="L165" s="127">
        <v>0.0</v>
      </c>
      <c r="M165" s="127">
        <v>0.0</v>
      </c>
      <c r="N165" s="127">
        <v>0.0</v>
      </c>
      <c r="O165" s="127">
        <v>0.0</v>
      </c>
      <c r="P165" s="127">
        <v>0.0</v>
      </c>
      <c r="Q165" s="127">
        <v>0.0</v>
      </c>
      <c r="R165" s="127">
        <v>0.0</v>
      </c>
      <c r="S165" s="127">
        <v>0.0</v>
      </c>
      <c r="T165" s="127"/>
      <c r="U165" s="127"/>
      <c r="V165" s="127"/>
      <c r="W165" s="127"/>
      <c r="X165" s="127"/>
      <c r="Y165" s="127"/>
    </row>
    <row r="166">
      <c r="A166" s="127">
        <v>0.0</v>
      </c>
      <c r="B166" s="127">
        <v>0.0</v>
      </c>
      <c r="C166" s="127">
        <v>0.0</v>
      </c>
      <c r="D166" s="127">
        <v>0.0</v>
      </c>
      <c r="E166" s="127">
        <v>1.0</v>
      </c>
      <c r="F166" s="127">
        <v>0.0</v>
      </c>
      <c r="G166" s="127">
        <v>0.0</v>
      </c>
      <c r="H166" s="127">
        <v>0.0</v>
      </c>
      <c r="I166" s="127">
        <v>0.0</v>
      </c>
      <c r="J166" s="127">
        <v>0.0</v>
      </c>
      <c r="K166" s="127">
        <v>0.0</v>
      </c>
      <c r="L166" s="127">
        <v>0.0</v>
      </c>
      <c r="M166" s="127">
        <v>0.0</v>
      </c>
      <c r="N166" s="127">
        <v>0.0</v>
      </c>
      <c r="O166" s="127">
        <v>0.0</v>
      </c>
      <c r="P166" s="127">
        <v>0.0</v>
      </c>
      <c r="Q166" s="127">
        <v>0.0</v>
      </c>
      <c r="R166" s="127">
        <v>0.0</v>
      </c>
      <c r="S166" s="127">
        <v>0.0</v>
      </c>
      <c r="T166" s="127"/>
      <c r="U166" s="127"/>
      <c r="V166" s="127"/>
      <c r="W166" s="127"/>
      <c r="X166" s="127"/>
      <c r="Y166" s="127"/>
    </row>
    <row r="167">
      <c r="A167" s="127">
        <v>0.0</v>
      </c>
      <c r="B167" s="127">
        <v>0.0</v>
      </c>
      <c r="C167" s="127">
        <v>0.0</v>
      </c>
      <c r="D167" s="127">
        <v>0.0</v>
      </c>
      <c r="E167" s="127">
        <v>0.0</v>
      </c>
      <c r="F167" s="127">
        <v>0.0</v>
      </c>
      <c r="G167" s="127">
        <v>0.0</v>
      </c>
      <c r="H167" s="127">
        <v>0.0</v>
      </c>
      <c r="I167" s="127">
        <v>0.0</v>
      </c>
      <c r="J167" s="127">
        <v>0.0</v>
      </c>
      <c r="K167" s="127">
        <v>0.0</v>
      </c>
      <c r="L167" s="127">
        <v>0.0</v>
      </c>
      <c r="M167" s="127">
        <v>0.0</v>
      </c>
      <c r="N167" s="127">
        <v>1.0</v>
      </c>
      <c r="O167" s="127">
        <v>0.0</v>
      </c>
      <c r="P167" s="127">
        <v>0.0</v>
      </c>
      <c r="Q167" s="127">
        <v>0.0</v>
      </c>
      <c r="R167" s="127">
        <v>0.0</v>
      </c>
      <c r="S167" s="127">
        <v>0.0</v>
      </c>
      <c r="T167" s="127"/>
      <c r="U167" s="127"/>
      <c r="V167" s="127"/>
      <c r="W167" s="127"/>
      <c r="X167" s="127"/>
      <c r="Y167" s="127"/>
    </row>
    <row r="168">
      <c r="A168" s="127">
        <v>0.0</v>
      </c>
      <c r="B168" s="127">
        <v>0.0</v>
      </c>
      <c r="C168" s="127">
        <v>0.0</v>
      </c>
      <c r="D168" s="127">
        <v>0.0</v>
      </c>
      <c r="E168" s="127">
        <v>0.0</v>
      </c>
      <c r="F168" s="127">
        <v>0.0</v>
      </c>
      <c r="G168" s="127">
        <v>0.0</v>
      </c>
      <c r="H168" s="127">
        <v>0.0</v>
      </c>
      <c r="I168" s="127">
        <v>0.0</v>
      </c>
      <c r="J168" s="127">
        <v>0.0</v>
      </c>
      <c r="K168" s="127">
        <v>0.0</v>
      </c>
      <c r="L168" s="127">
        <v>0.0</v>
      </c>
      <c r="M168" s="127">
        <v>0.0</v>
      </c>
      <c r="N168" s="127">
        <v>0.0</v>
      </c>
      <c r="O168" s="127">
        <v>0.0</v>
      </c>
      <c r="P168" s="127">
        <v>0.0</v>
      </c>
      <c r="Q168" s="127">
        <v>0.0</v>
      </c>
      <c r="R168" s="127">
        <v>0.0</v>
      </c>
      <c r="S168" s="127">
        <v>0.0</v>
      </c>
      <c r="T168" s="127"/>
      <c r="U168" s="127"/>
      <c r="V168" s="127"/>
      <c r="W168" s="127"/>
      <c r="X168" s="127"/>
      <c r="Y168" s="127"/>
    </row>
    <row r="169">
      <c r="A169" s="127">
        <v>0.0</v>
      </c>
      <c r="B169" s="127">
        <v>0.0</v>
      </c>
      <c r="C169" s="127">
        <v>0.0</v>
      </c>
      <c r="D169" s="127">
        <v>0.0</v>
      </c>
      <c r="E169" s="127">
        <v>0.0</v>
      </c>
      <c r="F169" s="127">
        <v>0.0</v>
      </c>
      <c r="G169" s="127">
        <v>0.0</v>
      </c>
      <c r="H169" s="127">
        <v>0.0</v>
      </c>
      <c r="I169" s="127">
        <v>0.0</v>
      </c>
      <c r="J169" s="127">
        <v>0.0</v>
      </c>
      <c r="K169" s="127">
        <v>0.0</v>
      </c>
      <c r="L169" s="127">
        <v>0.0</v>
      </c>
      <c r="M169" s="127">
        <v>0.0</v>
      </c>
      <c r="N169" s="127">
        <v>0.0</v>
      </c>
      <c r="O169" s="127">
        <v>0.0</v>
      </c>
      <c r="P169" s="127">
        <v>0.0</v>
      </c>
      <c r="Q169" s="127">
        <v>0.0</v>
      </c>
      <c r="R169" s="127">
        <v>0.0</v>
      </c>
      <c r="S169" s="127">
        <v>0.0</v>
      </c>
      <c r="T169" s="127"/>
      <c r="U169" s="127"/>
      <c r="V169" s="127"/>
      <c r="W169" s="127"/>
      <c r="X169" s="127"/>
      <c r="Y169" s="127"/>
    </row>
    <row r="170">
      <c r="A170" s="127">
        <v>0.0</v>
      </c>
      <c r="B170" s="127">
        <v>0.0</v>
      </c>
      <c r="C170" s="127">
        <v>0.0</v>
      </c>
      <c r="D170" s="127">
        <v>0.0</v>
      </c>
      <c r="E170" s="127">
        <v>0.0</v>
      </c>
      <c r="F170" s="127">
        <v>0.0</v>
      </c>
      <c r="G170" s="127">
        <v>0.0</v>
      </c>
      <c r="H170" s="127">
        <v>0.0</v>
      </c>
      <c r="I170" s="127">
        <v>0.0</v>
      </c>
      <c r="J170" s="127">
        <v>0.0</v>
      </c>
      <c r="K170" s="127">
        <v>0.0</v>
      </c>
      <c r="L170" s="127">
        <v>0.0</v>
      </c>
      <c r="M170" s="127">
        <v>0.0</v>
      </c>
      <c r="N170" s="127">
        <v>0.0</v>
      </c>
      <c r="O170" s="127">
        <v>0.0</v>
      </c>
      <c r="P170" s="127">
        <v>0.0</v>
      </c>
      <c r="Q170" s="127">
        <v>0.0</v>
      </c>
      <c r="R170" s="127">
        <v>0.0</v>
      </c>
      <c r="S170" s="127">
        <v>0.0</v>
      </c>
      <c r="T170" s="127"/>
      <c r="U170" s="127"/>
      <c r="V170" s="127"/>
      <c r="W170" s="127"/>
      <c r="X170" s="127"/>
      <c r="Y170" s="127"/>
    </row>
    <row r="171">
      <c r="A171" s="127">
        <v>0.0</v>
      </c>
      <c r="B171" s="127">
        <v>0.0</v>
      </c>
      <c r="C171" s="127">
        <v>0.0</v>
      </c>
      <c r="D171" s="127">
        <v>0.0</v>
      </c>
      <c r="E171" s="127">
        <v>0.0</v>
      </c>
      <c r="F171" s="127">
        <v>0.0</v>
      </c>
      <c r="G171" s="127">
        <v>0.0</v>
      </c>
      <c r="H171" s="127">
        <v>0.0</v>
      </c>
      <c r="I171" s="127">
        <v>0.0</v>
      </c>
      <c r="J171" s="127">
        <v>0.0</v>
      </c>
      <c r="K171" s="127">
        <v>0.0</v>
      </c>
      <c r="L171" s="127">
        <v>0.0</v>
      </c>
      <c r="M171" s="127">
        <v>36.0</v>
      </c>
      <c r="N171" s="127">
        <v>0.0</v>
      </c>
      <c r="O171" s="127">
        <v>0.0</v>
      </c>
      <c r="P171" s="127">
        <v>0.0</v>
      </c>
      <c r="Q171" s="127">
        <v>0.0</v>
      </c>
      <c r="R171" s="127">
        <v>0.0</v>
      </c>
      <c r="S171" s="127">
        <v>0.0</v>
      </c>
      <c r="T171" s="127"/>
      <c r="U171" s="127"/>
      <c r="V171" s="127"/>
      <c r="W171" s="127"/>
      <c r="X171" s="127"/>
      <c r="Y171" s="127"/>
    </row>
    <row r="172">
      <c r="A172" s="127">
        <v>0.0</v>
      </c>
      <c r="B172" s="127">
        <v>0.0</v>
      </c>
      <c r="C172" s="127">
        <v>0.0</v>
      </c>
      <c r="D172" s="127">
        <v>0.0</v>
      </c>
      <c r="E172" s="127">
        <v>0.0</v>
      </c>
      <c r="F172" s="127">
        <v>0.0</v>
      </c>
      <c r="G172" s="127">
        <v>0.0</v>
      </c>
      <c r="H172" s="127">
        <v>0.0</v>
      </c>
      <c r="I172" s="127">
        <v>0.0</v>
      </c>
      <c r="J172" s="127">
        <v>65.0</v>
      </c>
      <c r="K172" s="127">
        <v>0.0</v>
      </c>
      <c r="L172" s="127">
        <v>0.0</v>
      </c>
      <c r="M172" s="127">
        <v>43.0</v>
      </c>
      <c r="N172" s="127">
        <v>0.0</v>
      </c>
      <c r="O172" s="127">
        <v>0.0</v>
      </c>
      <c r="P172" s="127">
        <v>0.0</v>
      </c>
      <c r="Q172" s="127">
        <v>0.0</v>
      </c>
      <c r="R172" s="127">
        <v>0.0</v>
      </c>
      <c r="S172" s="127">
        <v>0.0</v>
      </c>
      <c r="T172" s="127"/>
      <c r="U172" s="127"/>
      <c r="V172" s="127"/>
      <c r="W172" s="127"/>
      <c r="X172" s="127"/>
      <c r="Y172" s="127"/>
    </row>
    <row r="173">
      <c r="A173" s="127">
        <v>0.0</v>
      </c>
      <c r="B173" s="127">
        <v>0.0</v>
      </c>
      <c r="C173" s="127">
        <v>0.0</v>
      </c>
      <c r="D173" s="127">
        <v>0.0</v>
      </c>
      <c r="E173" s="127">
        <v>0.0</v>
      </c>
      <c r="F173" s="127">
        <v>0.0</v>
      </c>
      <c r="G173" s="127">
        <v>0.0</v>
      </c>
      <c r="H173" s="127">
        <v>0.0</v>
      </c>
      <c r="I173" s="127">
        <v>0.0</v>
      </c>
      <c r="J173" s="127">
        <v>0.0</v>
      </c>
      <c r="K173" s="127">
        <v>0.0</v>
      </c>
      <c r="L173" s="127">
        <v>0.0</v>
      </c>
      <c r="M173" s="127">
        <v>30.0</v>
      </c>
      <c r="N173" s="127">
        <v>0.0</v>
      </c>
      <c r="O173" s="127">
        <v>0.0</v>
      </c>
      <c r="P173" s="127">
        <v>0.0</v>
      </c>
      <c r="Q173" s="127">
        <v>0.0</v>
      </c>
      <c r="R173" s="127">
        <v>0.0</v>
      </c>
      <c r="S173" s="127">
        <v>0.0</v>
      </c>
      <c r="T173" s="127"/>
      <c r="U173" s="127"/>
      <c r="V173" s="127"/>
      <c r="W173" s="127"/>
      <c r="X173" s="127"/>
      <c r="Y173" s="127"/>
    </row>
    <row r="174">
      <c r="A174" s="127">
        <v>0.0</v>
      </c>
      <c r="B174" s="127">
        <v>0.0</v>
      </c>
      <c r="C174" s="127">
        <v>0.0</v>
      </c>
      <c r="D174" s="127">
        <v>0.0</v>
      </c>
      <c r="E174" s="127">
        <v>0.0</v>
      </c>
      <c r="F174" s="127">
        <v>0.0</v>
      </c>
      <c r="G174" s="127">
        <v>0.0</v>
      </c>
      <c r="H174" s="127">
        <v>0.0</v>
      </c>
      <c r="I174" s="127">
        <v>0.0</v>
      </c>
      <c r="J174" s="127">
        <v>56.0</v>
      </c>
      <c r="K174" s="127">
        <v>0.0</v>
      </c>
      <c r="L174" s="127">
        <v>0.0</v>
      </c>
      <c r="M174" s="127">
        <v>14.0</v>
      </c>
      <c r="N174" s="127">
        <v>0.0</v>
      </c>
      <c r="O174" s="127">
        <v>0.0</v>
      </c>
      <c r="P174" s="127">
        <v>0.0</v>
      </c>
      <c r="Q174" s="127">
        <v>0.0</v>
      </c>
      <c r="R174" s="127">
        <v>0.0</v>
      </c>
      <c r="S174" s="127">
        <v>0.0</v>
      </c>
      <c r="T174" s="127"/>
      <c r="U174" s="127"/>
      <c r="V174" s="127"/>
      <c r="W174" s="127"/>
      <c r="X174" s="127"/>
      <c r="Y174" s="127"/>
    </row>
    <row r="175">
      <c r="A175" s="127">
        <v>0.0</v>
      </c>
      <c r="B175" s="127">
        <v>0.0</v>
      </c>
      <c r="C175" s="127">
        <v>0.0</v>
      </c>
      <c r="D175" s="127">
        <v>0.0</v>
      </c>
      <c r="E175" s="127">
        <v>0.0</v>
      </c>
      <c r="F175" s="127">
        <v>0.0</v>
      </c>
      <c r="G175" s="127">
        <v>0.0</v>
      </c>
      <c r="H175" s="127">
        <v>0.0</v>
      </c>
      <c r="I175" s="127">
        <v>0.0</v>
      </c>
      <c r="J175" s="127">
        <v>51.0</v>
      </c>
      <c r="K175" s="127">
        <v>0.0</v>
      </c>
      <c r="L175" s="127">
        <v>0.0</v>
      </c>
      <c r="M175" s="127">
        <v>0.0</v>
      </c>
      <c r="N175" s="127">
        <v>0.0</v>
      </c>
      <c r="O175" s="127">
        <v>0.0</v>
      </c>
      <c r="P175" s="127">
        <v>0.0</v>
      </c>
      <c r="Q175" s="127">
        <v>0.0</v>
      </c>
      <c r="R175" s="127">
        <v>0.0</v>
      </c>
      <c r="S175" s="127">
        <v>0.0</v>
      </c>
      <c r="T175" s="127"/>
      <c r="U175" s="127"/>
      <c r="V175" s="127"/>
      <c r="W175" s="127"/>
      <c r="X175" s="127"/>
      <c r="Y175" s="127"/>
    </row>
    <row r="176">
      <c r="A176" s="127">
        <v>0.0</v>
      </c>
      <c r="B176" s="127">
        <v>0.0</v>
      </c>
      <c r="C176" s="127">
        <v>0.0</v>
      </c>
      <c r="D176" s="127">
        <v>0.0</v>
      </c>
      <c r="E176" s="127">
        <v>0.0</v>
      </c>
      <c r="F176" s="127">
        <v>0.0</v>
      </c>
      <c r="G176" s="127">
        <v>0.0</v>
      </c>
      <c r="H176" s="127">
        <v>0.0</v>
      </c>
      <c r="I176" s="127">
        <v>0.0</v>
      </c>
      <c r="J176" s="127">
        <v>0.0</v>
      </c>
      <c r="K176" s="127">
        <v>0.0</v>
      </c>
      <c r="L176" s="127">
        <v>0.0</v>
      </c>
      <c r="M176" s="127">
        <v>0.0</v>
      </c>
      <c r="N176" s="127">
        <v>0.0</v>
      </c>
      <c r="O176" s="127">
        <v>0.0</v>
      </c>
      <c r="P176" s="127">
        <v>0.0</v>
      </c>
      <c r="Q176" s="127">
        <v>0.0</v>
      </c>
      <c r="R176" s="127">
        <v>0.0</v>
      </c>
      <c r="S176" s="127">
        <v>0.0</v>
      </c>
      <c r="T176" s="127"/>
      <c r="U176" s="127"/>
      <c r="V176" s="127"/>
      <c r="W176" s="127"/>
      <c r="X176" s="127"/>
      <c r="Y176" s="127"/>
    </row>
    <row r="177">
      <c r="A177" s="127">
        <v>0.0</v>
      </c>
      <c r="B177" s="127">
        <v>0.0</v>
      </c>
      <c r="C177" s="127">
        <v>0.0</v>
      </c>
      <c r="D177" s="127">
        <v>0.0</v>
      </c>
      <c r="E177" s="127">
        <v>0.0</v>
      </c>
      <c r="F177" s="127">
        <v>0.0</v>
      </c>
      <c r="G177" s="127">
        <v>0.0</v>
      </c>
      <c r="H177" s="127">
        <v>0.0</v>
      </c>
      <c r="I177" s="127">
        <v>0.0</v>
      </c>
      <c r="J177" s="127">
        <v>0.0</v>
      </c>
      <c r="K177" s="127">
        <v>0.0</v>
      </c>
      <c r="L177" s="127">
        <v>0.0</v>
      </c>
      <c r="M177" s="127">
        <v>0.0</v>
      </c>
      <c r="N177" s="127">
        <v>0.0</v>
      </c>
      <c r="O177" s="127">
        <v>0.0</v>
      </c>
      <c r="P177" s="127">
        <v>0.0</v>
      </c>
      <c r="Q177" s="127">
        <v>0.0</v>
      </c>
      <c r="R177" s="127">
        <v>0.0</v>
      </c>
      <c r="S177" s="127">
        <v>0.0</v>
      </c>
      <c r="T177" s="127"/>
      <c r="U177" s="127"/>
      <c r="V177" s="127"/>
      <c r="W177" s="127"/>
      <c r="X177" s="127"/>
      <c r="Y177" s="127"/>
    </row>
    <row r="178">
      <c r="A178" s="127">
        <v>0.0</v>
      </c>
      <c r="B178" s="127">
        <v>0.0</v>
      </c>
      <c r="C178" s="127">
        <v>0.0</v>
      </c>
      <c r="D178" s="127">
        <v>0.0</v>
      </c>
      <c r="E178" s="127">
        <v>0.0</v>
      </c>
      <c r="F178" s="127">
        <v>0.0</v>
      </c>
      <c r="G178" s="127">
        <v>0.0</v>
      </c>
      <c r="H178" s="127">
        <v>0.0</v>
      </c>
      <c r="I178" s="127">
        <v>0.0</v>
      </c>
      <c r="J178" s="127">
        <v>0.0</v>
      </c>
      <c r="K178" s="127">
        <v>0.0</v>
      </c>
      <c r="L178" s="127">
        <v>0.0</v>
      </c>
      <c r="M178" s="127">
        <v>0.0</v>
      </c>
      <c r="N178" s="127">
        <v>0.0</v>
      </c>
      <c r="O178" s="127">
        <v>0.0</v>
      </c>
      <c r="P178" s="127">
        <v>0.0</v>
      </c>
      <c r="Q178" s="127">
        <v>0.0</v>
      </c>
      <c r="R178" s="127">
        <v>0.0</v>
      </c>
      <c r="S178" s="127">
        <v>0.0</v>
      </c>
      <c r="T178" s="127"/>
      <c r="U178" s="127"/>
      <c r="V178" s="127"/>
      <c r="W178" s="127"/>
      <c r="X178" s="127"/>
      <c r="Y178" s="127"/>
    </row>
    <row r="179">
      <c r="A179" s="127">
        <v>0.0</v>
      </c>
      <c r="B179" s="127">
        <v>0.0</v>
      </c>
      <c r="C179" s="127">
        <v>0.0</v>
      </c>
      <c r="D179" s="127">
        <v>0.0</v>
      </c>
      <c r="E179" s="127">
        <v>0.0</v>
      </c>
      <c r="F179" s="127">
        <v>0.0</v>
      </c>
      <c r="G179" s="127">
        <v>0.0</v>
      </c>
      <c r="H179" s="127">
        <v>0.0</v>
      </c>
      <c r="I179" s="127">
        <v>0.0</v>
      </c>
      <c r="J179" s="127">
        <v>0.0</v>
      </c>
      <c r="K179" s="127">
        <v>0.0</v>
      </c>
      <c r="L179" s="127">
        <v>0.0</v>
      </c>
      <c r="M179" s="127">
        <v>2.0</v>
      </c>
      <c r="N179" s="127">
        <v>0.0</v>
      </c>
      <c r="O179" s="127">
        <v>0.0</v>
      </c>
      <c r="P179" s="127">
        <v>0.0</v>
      </c>
      <c r="Q179" s="127">
        <v>0.0</v>
      </c>
      <c r="R179" s="127">
        <v>0.0</v>
      </c>
      <c r="S179" s="127">
        <v>0.0</v>
      </c>
      <c r="T179" s="127"/>
      <c r="U179" s="127"/>
      <c r="V179" s="127"/>
      <c r="W179" s="127"/>
      <c r="X179" s="127"/>
      <c r="Y179" s="127"/>
    </row>
    <row r="180">
      <c r="A180" s="127">
        <v>0.0</v>
      </c>
      <c r="B180" s="127">
        <v>0.0</v>
      </c>
      <c r="C180" s="127">
        <v>0.0</v>
      </c>
      <c r="D180" s="127">
        <v>0.0</v>
      </c>
      <c r="E180" s="127">
        <v>0.0</v>
      </c>
      <c r="F180" s="127">
        <v>0.0</v>
      </c>
      <c r="G180" s="127">
        <v>0.0</v>
      </c>
      <c r="H180" s="127">
        <v>0.0</v>
      </c>
      <c r="I180" s="127">
        <v>0.0</v>
      </c>
      <c r="J180" s="127">
        <v>1261.0</v>
      </c>
      <c r="K180" s="127">
        <v>0.0</v>
      </c>
      <c r="L180" s="127">
        <v>0.0</v>
      </c>
      <c r="M180" s="127">
        <v>27.0</v>
      </c>
      <c r="N180" s="127">
        <v>0.0</v>
      </c>
      <c r="O180" s="127">
        <v>0.0</v>
      </c>
      <c r="P180" s="127">
        <v>0.0</v>
      </c>
      <c r="Q180" s="127">
        <v>0.0</v>
      </c>
      <c r="R180" s="127">
        <v>0.0</v>
      </c>
      <c r="S180" s="127">
        <v>0.0</v>
      </c>
      <c r="T180" s="127"/>
      <c r="U180" s="127"/>
      <c r="V180" s="127"/>
      <c r="W180" s="127"/>
      <c r="X180" s="127"/>
      <c r="Y180" s="127"/>
    </row>
    <row r="181">
      <c r="A181" s="127">
        <v>0.0</v>
      </c>
      <c r="B181" s="127">
        <v>0.0</v>
      </c>
      <c r="C181" s="127">
        <v>0.0</v>
      </c>
      <c r="D181" s="127">
        <v>0.0</v>
      </c>
      <c r="E181" s="127">
        <v>0.0</v>
      </c>
      <c r="F181" s="127">
        <v>0.0</v>
      </c>
      <c r="G181" s="127">
        <v>0.0</v>
      </c>
      <c r="H181" s="127">
        <v>0.0</v>
      </c>
      <c r="I181" s="127">
        <v>0.0</v>
      </c>
      <c r="J181" s="127">
        <v>1760.0</v>
      </c>
      <c r="K181" s="127">
        <v>0.0</v>
      </c>
      <c r="L181" s="127">
        <v>0.0</v>
      </c>
      <c r="M181" s="127">
        <v>1579.0</v>
      </c>
      <c r="N181" s="127">
        <v>0.0</v>
      </c>
      <c r="O181" s="127">
        <v>0.0</v>
      </c>
      <c r="P181" s="127">
        <v>0.0</v>
      </c>
      <c r="Q181" s="127">
        <v>0.0</v>
      </c>
      <c r="R181" s="127">
        <v>0.0</v>
      </c>
      <c r="S181" s="127">
        <v>0.0</v>
      </c>
      <c r="T181" s="127"/>
      <c r="U181" s="127"/>
      <c r="V181" s="127"/>
      <c r="W181" s="127"/>
      <c r="X181" s="127"/>
      <c r="Y181" s="127"/>
    </row>
    <row r="182">
      <c r="A182" s="127">
        <v>0.0</v>
      </c>
      <c r="B182" s="127">
        <v>0.0</v>
      </c>
      <c r="C182" s="127">
        <v>0.0</v>
      </c>
      <c r="D182" s="127">
        <v>0.0</v>
      </c>
      <c r="E182" s="127">
        <v>0.0</v>
      </c>
      <c r="F182" s="127">
        <v>0.0</v>
      </c>
      <c r="G182" s="127">
        <v>0.0</v>
      </c>
      <c r="H182" s="127">
        <v>0.0</v>
      </c>
      <c r="I182" s="127">
        <v>0.0</v>
      </c>
      <c r="J182" s="127">
        <v>33.0</v>
      </c>
      <c r="K182" s="127">
        <v>0.0</v>
      </c>
      <c r="L182" s="127">
        <v>0.0</v>
      </c>
      <c r="M182" s="127">
        <v>619.0</v>
      </c>
      <c r="N182" s="127">
        <v>0.0</v>
      </c>
      <c r="O182" s="127">
        <v>0.0</v>
      </c>
      <c r="P182" s="127">
        <v>0.0</v>
      </c>
      <c r="Q182" s="127">
        <v>0.0</v>
      </c>
      <c r="R182" s="127">
        <v>0.0</v>
      </c>
      <c r="S182" s="127">
        <v>0.0</v>
      </c>
      <c r="T182" s="127"/>
      <c r="U182" s="127"/>
      <c r="V182" s="127"/>
      <c r="W182" s="127"/>
      <c r="X182" s="127"/>
      <c r="Y182" s="127"/>
    </row>
    <row r="183">
      <c r="A183" s="127">
        <v>0.0</v>
      </c>
      <c r="B183" s="127">
        <v>0.0</v>
      </c>
      <c r="C183" s="127">
        <v>0.0</v>
      </c>
      <c r="D183" s="127">
        <v>0.0</v>
      </c>
      <c r="E183" s="127">
        <v>0.0</v>
      </c>
      <c r="F183" s="127">
        <v>0.0</v>
      </c>
      <c r="G183" s="127">
        <v>0.0</v>
      </c>
      <c r="H183" s="127">
        <v>0.0</v>
      </c>
      <c r="I183" s="127">
        <v>0.0</v>
      </c>
      <c r="J183" s="127">
        <v>998.0</v>
      </c>
      <c r="K183" s="127">
        <v>0.0</v>
      </c>
      <c r="L183" s="127">
        <v>0.0</v>
      </c>
      <c r="M183" s="127">
        <v>275.0</v>
      </c>
      <c r="N183" s="127">
        <v>0.0</v>
      </c>
      <c r="O183" s="127">
        <v>0.0</v>
      </c>
      <c r="P183" s="127">
        <v>0.0</v>
      </c>
      <c r="Q183" s="127">
        <v>0.0</v>
      </c>
      <c r="R183" s="127">
        <v>0.0</v>
      </c>
      <c r="S183" s="127">
        <v>0.0</v>
      </c>
      <c r="T183" s="127"/>
      <c r="U183" s="127"/>
      <c r="V183" s="127"/>
      <c r="W183" s="127"/>
      <c r="X183" s="127"/>
      <c r="Y183" s="127"/>
    </row>
    <row r="184">
      <c r="A184" s="127">
        <v>0.0</v>
      </c>
      <c r="B184" s="127">
        <v>0.0</v>
      </c>
      <c r="C184" s="127">
        <v>0.0</v>
      </c>
      <c r="D184" s="127">
        <v>0.0</v>
      </c>
      <c r="E184" s="127">
        <v>0.0</v>
      </c>
      <c r="F184" s="127">
        <v>0.0</v>
      </c>
      <c r="G184" s="127">
        <v>0.0</v>
      </c>
      <c r="H184" s="127">
        <v>0.0</v>
      </c>
      <c r="I184" s="127">
        <v>0.0</v>
      </c>
      <c r="J184" s="127">
        <v>1102.0</v>
      </c>
      <c r="K184" s="127">
        <v>0.0</v>
      </c>
      <c r="L184" s="127">
        <v>0.0</v>
      </c>
      <c r="M184" s="127">
        <v>300.0</v>
      </c>
      <c r="N184" s="127">
        <v>0.0</v>
      </c>
      <c r="O184" s="127">
        <v>0.0</v>
      </c>
      <c r="P184" s="127">
        <v>0.0</v>
      </c>
      <c r="Q184" s="127">
        <v>0.0</v>
      </c>
      <c r="R184" s="127">
        <v>0.0</v>
      </c>
      <c r="S184" s="127">
        <v>0.0</v>
      </c>
      <c r="T184" s="127"/>
      <c r="U184" s="127"/>
      <c r="V184" s="127"/>
      <c r="W184" s="127"/>
      <c r="X184" s="127"/>
      <c r="Y184" s="127"/>
    </row>
    <row r="185">
      <c r="A185" s="127">
        <v>0.0</v>
      </c>
      <c r="B185" s="127">
        <v>0.0</v>
      </c>
      <c r="C185" s="127">
        <v>0.0</v>
      </c>
      <c r="D185" s="127">
        <v>0.0</v>
      </c>
      <c r="E185" s="127">
        <v>0.0</v>
      </c>
      <c r="F185" s="127">
        <v>0.0</v>
      </c>
      <c r="G185" s="127">
        <v>0.0</v>
      </c>
      <c r="H185" s="127">
        <v>0.0</v>
      </c>
      <c r="I185" s="127">
        <v>0.0</v>
      </c>
      <c r="J185" s="127">
        <v>0.0</v>
      </c>
      <c r="K185" s="127">
        <v>0.0</v>
      </c>
      <c r="L185" s="127">
        <v>0.0</v>
      </c>
      <c r="M185" s="127">
        <v>0.0</v>
      </c>
      <c r="N185" s="127">
        <v>0.0</v>
      </c>
      <c r="O185" s="127">
        <v>0.0</v>
      </c>
      <c r="P185" s="127">
        <v>0.0</v>
      </c>
      <c r="Q185" s="127">
        <v>0.0</v>
      </c>
      <c r="R185" s="127">
        <v>0.0</v>
      </c>
      <c r="S185" s="127">
        <v>0.0</v>
      </c>
      <c r="T185" s="127"/>
      <c r="U185" s="127"/>
      <c r="V185" s="127"/>
      <c r="W185" s="127"/>
      <c r="X185" s="127"/>
      <c r="Y185" s="127"/>
    </row>
    <row r="186">
      <c r="A186" s="127">
        <v>0.0</v>
      </c>
      <c r="B186" s="127">
        <v>0.0</v>
      </c>
      <c r="C186" s="127">
        <v>0.0</v>
      </c>
      <c r="D186" s="127">
        <v>0.0</v>
      </c>
      <c r="E186" s="127">
        <v>0.0</v>
      </c>
      <c r="F186" s="127">
        <v>0.0</v>
      </c>
      <c r="G186" s="127">
        <v>0.0</v>
      </c>
      <c r="H186" s="127">
        <v>0.0</v>
      </c>
      <c r="I186" s="127">
        <v>0.0</v>
      </c>
      <c r="J186" s="127">
        <v>0.0</v>
      </c>
      <c r="K186" s="127">
        <v>0.0</v>
      </c>
      <c r="L186" s="127">
        <v>0.0</v>
      </c>
      <c r="M186" s="127">
        <v>0.0</v>
      </c>
      <c r="N186" s="127">
        <v>0.0</v>
      </c>
      <c r="O186" s="127">
        <v>0.0</v>
      </c>
      <c r="P186" s="127">
        <v>0.0</v>
      </c>
      <c r="Q186" s="127">
        <v>0.0</v>
      </c>
      <c r="R186" s="127">
        <v>0.0</v>
      </c>
      <c r="S186" s="127">
        <v>0.0</v>
      </c>
      <c r="T186" s="127"/>
      <c r="U186" s="127"/>
      <c r="V186" s="127"/>
      <c r="W186" s="127"/>
      <c r="X186" s="127"/>
      <c r="Y186" s="127"/>
    </row>
    <row r="187">
      <c r="A187" s="127">
        <v>0.0</v>
      </c>
      <c r="B187" s="127">
        <v>0.0</v>
      </c>
      <c r="C187" s="127">
        <v>0.0</v>
      </c>
      <c r="D187" s="127">
        <v>0.0</v>
      </c>
      <c r="E187" s="127">
        <v>0.0</v>
      </c>
      <c r="F187" s="127">
        <v>0.0</v>
      </c>
      <c r="G187" s="127">
        <v>0.0</v>
      </c>
      <c r="H187" s="127">
        <v>0.0</v>
      </c>
      <c r="I187" s="127">
        <v>0.0</v>
      </c>
      <c r="J187" s="127">
        <v>55.0</v>
      </c>
      <c r="K187" s="127">
        <v>0.0</v>
      </c>
      <c r="L187" s="127">
        <v>0.0</v>
      </c>
      <c r="M187" s="127">
        <v>172.0</v>
      </c>
      <c r="N187" s="127">
        <v>0.0</v>
      </c>
      <c r="O187" s="127">
        <v>0.0</v>
      </c>
      <c r="P187" s="127">
        <v>0.0</v>
      </c>
      <c r="Q187" s="127">
        <v>0.0</v>
      </c>
      <c r="R187" s="127">
        <v>0.0</v>
      </c>
      <c r="S187" s="127">
        <v>0.0</v>
      </c>
      <c r="T187" s="127"/>
      <c r="U187" s="127"/>
      <c r="V187" s="127"/>
      <c r="W187" s="127"/>
      <c r="X187" s="127"/>
      <c r="Y187" s="127"/>
    </row>
    <row r="188">
      <c r="A188" s="127">
        <v>-4.0</v>
      </c>
      <c r="B188" s="127">
        <v>0.0</v>
      </c>
      <c r="C188" s="127">
        <v>0.0</v>
      </c>
      <c r="D188" s="127">
        <v>0.0</v>
      </c>
      <c r="E188" s="127">
        <v>0.0</v>
      </c>
      <c r="F188" s="127">
        <v>0.0</v>
      </c>
      <c r="G188" s="127">
        <v>0.0</v>
      </c>
      <c r="H188" s="127">
        <v>0.0</v>
      </c>
      <c r="I188" s="127">
        <v>0.0</v>
      </c>
      <c r="J188" s="127">
        <v>0.0</v>
      </c>
      <c r="K188" s="127">
        <v>0.0</v>
      </c>
      <c r="L188" s="127">
        <v>0.0</v>
      </c>
      <c r="M188" s="127">
        <v>1.0</v>
      </c>
      <c r="N188" s="127">
        <v>0.0</v>
      </c>
      <c r="O188" s="127">
        <v>0.0</v>
      </c>
      <c r="P188" s="127">
        <v>0.0</v>
      </c>
      <c r="Q188" s="127">
        <v>0.0</v>
      </c>
      <c r="R188" s="127">
        <v>0.0</v>
      </c>
      <c r="S188" s="127">
        <v>0.0</v>
      </c>
      <c r="T188" s="127"/>
      <c r="U188" s="127"/>
      <c r="V188" s="127"/>
      <c r="W188" s="127"/>
      <c r="X188" s="127"/>
      <c r="Y188" s="127"/>
    </row>
    <row r="189">
      <c r="A189" s="127">
        <v>0.0</v>
      </c>
      <c r="B189" s="127">
        <v>0.0</v>
      </c>
      <c r="C189" s="127">
        <v>0.0</v>
      </c>
      <c r="D189" s="127">
        <v>0.0</v>
      </c>
      <c r="E189" s="127">
        <v>0.0</v>
      </c>
      <c r="F189" s="127">
        <v>0.0</v>
      </c>
      <c r="G189" s="127">
        <v>0.0</v>
      </c>
      <c r="H189" s="127">
        <v>0.0</v>
      </c>
      <c r="I189" s="127">
        <v>0.0</v>
      </c>
      <c r="J189" s="127">
        <v>0.0</v>
      </c>
      <c r="K189" s="127">
        <v>0.0</v>
      </c>
      <c r="L189" s="127">
        <v>0.0</v>
      </c>
      <c r="M189" s="127">
        <v>0.0</v>
      </c>
      <c r="N189" s="127">
        <v>0.0</v>
      </c>
      <c r="O189" s="127">
        <v>0.0</v>
      </c>
      <c r="P189" s="127">
        <v>0.0</v>
      </c>
      <c r="Q189" s="127">
        <v>0.0</v>
      </c>
      <c r="R189" s="127">
        <v>0.0</v>
      </c>
      <c r="S189" s="127">
        <v>0.0</v>
      </c>
      <c r="T189" s="127"/>
      <c r="U189" s="127"/>
      <c r="V189" s="127"/>
      <c r="W189" s="127"/>
      <c r="X189" s="127"/>
      <c r="Y189" s="127"/>
    </row>
    <row r="190">
      <c r="A190" s="127">
        <v>0.0</v>
      </c>
      <c r="B190" s="127">
        <v>0.0</v>
      </c>
      <c r="C190" s="127">
        <v>0.0</v>
      </c>
      <c r="D190" s="127">
        <v>0.0</v>
      </c>
      <c r="E190" s="127">
        <v>0.0</v>
      </c>
      <c r="F190" s="127">
        <v>0.0</v>
      </c>
      <c r="G190" s="127">
        <v>0.0</v>
      </c>
      <c r="H190" s="127">
        <v>0.0</v>
      </c>
      <c r="I190" s="127">
        <v>0.0</v>
      </c>
      <c r="J190" s="127">
        <v>0.0</v>
      </c>
      <c r="K190" s="127">
        <v>0.0</v>
      </c>
      <c r="L190" s="127">
        <v>0.0</v>
      </c>
      <c r="M190" s="127">
        <v>0.0</v>
      </c>
      <c r="N190" s="127">
        <v>0.0</v>
      </c>
      <c r="O190" s="127">
        <v>0.0</v>
      </c>
      <c r="P190" s="127">
        <v>0.0</v>
      </c>
      <c r="Q190" s="127">
        <v>0.0</v>
      </c>
      <c r="R190" s="127">
        <v>0.0</v>
      </c>
      <c r="S190" s="127">
        <v>0.0</v>
      </c>
      <c r="T190" s="127"/>
      <c r="U190" s="127"/>
      <c r="V190" s="127"/>
      <c r="W190" s="127"/>
      <c r="X190" s="127"/>
      <c r="Y190" s="127"/>
    </row>
    <row r="191">
      <c r="A191" s="127">
        <v>0.0</v>
      </c>
      <c r="B191" s="127">
        <v>0.0</v>
      </c>
      <c r="C191" s="127">
        <v>0.0</v>
      </c>
      <c r="D191" s="127">
        <v>0.0</v>
      </c>
      <c r="E191" s="127">
        <v>0.0</v>
      </c>
      <c r="F191" s="127">
        <v>0.0</v>
      </c>
      <c r="G191" s="127">
        <v>0.0</v>
      </c>
      <c r="H191" s="127">
        <v>0.0</v>
      </c>
      <c r="I191" s="127">
        <v>0.0</v>
      </c>
      <c r="J191" s="127">
        <v>161.0</v>
      </c>
      <c r="K191" s="127">
        <v>0.0</v>
      </c>
      <c r="L191" s="127">
        <v>0.0</v>
      </c>
      <c r="M191" s="127">
        <v>304.0</v>
      </c>
      <c r="N191" s="127">
        <v>0.0</v>
      </c>
      <c r="O191" s="127">
        <v>0.0</v>
      </c>
      <c r="P191" s="127">
        <v>0.0</v>
      </c>
      <c r="Q191" s="127">
        <v>0.0</v>
      </c>
      <c r="R191" s="127">
        <v>0.0</v>
      </c>
      <c r="S191" s="127">
        <v>0.0</v>
      </c>
      <c r="T191" s="127"/>
      <c r="U191" s="127"/>
      <c r="V191" s="127"/>
      <c r="W191" s="127"/>
      <c r="X191" s="127"/>
      <c r="Y191" s="127"/>
    </row>
    <row r="192">
      <c r="A192" s="127">
        <v>0.0</v>
      </c>
      <c r="B192" s="127">
        <v>0.0</v>
      </c>
      <c r="C192" s="127">
        <v>0.0</v>
      </c>
      <c r="D192" s="127">
        <v>0.0</v>
      </c>
      <c r="E192" s="127">
        <v>0.0</v>
      </c>
      <c r="F192" s="127">
        <v>0.0</v>
      </c>
      <c r="G192" s="127">
        <v>0.0</v>
      </c>
      <c r="H192" s="127">
        <v>0.0</v>
      </c>
      <c r="I192" s="127">
        <v>0.0</v>
      </c>
      <c r="J192" s="127">
        <v>0.0</v>
      </c>
      <c r="K192" s="127">
        <v>0.0</v>
      </c>
      <c r="L192" s="127">
        <v>0.0</v>
      </c>
      <c r="M192" s="127">
        <v>0.0</v>
      </c>
      <c r="N192" s="127">
        <v>0.0</v>
      </c>
      <c r="O192" s="127">
        <v>0.0</v>
      </c>
      <c r="P192" s="127">
        <v>0.0</v>
      </c>
      <c r="Q192" s="127">
        <v>0.0</v>
      </c>
      <c r="R192" s="127">
        <v>0.0</v>
      </c>
      <c r="S192" s="127">
        <v>0.0</v>
      </c>
      <c r="T192" s="127"/>
      <c r="U192" s="127"/>
      <c r="V192" s="127"/>
      <c r="W192" s="127"/>
      <c r="X192" s="127"/>
      <c r="Y192" s="127"/>
    </row>
    <row r="193">
      <c r="A193" s="127">
        <v>4.0</v>
      </c>
      <c r="B193" s="127">
        <v>0.0</v>
      </c>
      <c r="C193" s="127">
        <v>0.0</v>
      </c>
      <c r="D193" s="127">
        <v>0.0</v>
      </c>
      <c r="E193" s="127">
        <v>0.0</v>
      </c>
      <c r="F193" s="127">
        <v>0.0</v>
      </c>
      <c r="G193" s="127">
        <v>0.0</v>
      </c>
      <c r="H193" s="127">
        <v>0.0</v>
      </c>
      <c r="I193" s="127">
        <v>0.0</v>
      </c>
      <c r="J193" s="127">
        <v>0.0</v>
      </c>
      <c r="K193" s="127">
        <v>0.0</v>
      </c>
      <c r="L193" s="127">
        <v>0.0</v>
      </c>
      <c r="M193" s="127">
        <v>0.0</v>
      </c>
      <c r="N193" s="127">
        <v>0.0</v>
      </c>
      <c r="O193" s="127">
        <v>0.0</v>
      </c>
      <c r="P193" s="127">
        <v>0.0</v>
      </c>
      <c r="Q193" s="127">
        <v>0.0</v>
      </c>
      <c r="R193" s="127">
        <v>0.0</v>
      </c>
      <c r="S193" s="127">
        <v>0.0</v>
      </c>
      <c r="T193" s="127"/>
      <c r="U193" s="127"/>
      <c r="V193" s="127"/>
      <c r="W193" s="127"/>
      <c r="X193" s="127"/>
      <c r="Y193" s="127"/>
    </row>
    <row r="194">
      <c r="A194" s="127">
        <v>0.0</v>
      </c>
      <c r="B194" s="127">
        <v>0.0</v>
      </c>
      <c r="C194" s="127">
        <v>0.0</v>
      </c>
      <c r="D194" s="127">
        <v>0.0</v>
      </c>
      <c r="E194" s="127">
        <v>0.0</v>
      </c>
      <c r="F194" s="127">
        <v>0.0</v>
      </c>
      <c r="G194" s="127">
        <v>0.0</v>
      </c>
      <c r="H194" s="127">
        <v>0.0</v>
      </c>
      <c r="I194" s="127">
        <v>0.0</v>
      </c>
      <c r="J194" s="127">
        <v>0.0</v>
      </c>
      <c r="K194" s="127">
        <v>0.0</v>
      </c>
      <c r="L194" s="127">
        <v>0.0</v>
      </c>
      <c r="M194" s="127">
        <v>0.0</v>
      </c>
      <c r="N194" s="127">
        <v>0.0</v>
      </c>
      <c r="O194" s="127">
        <v>0.0</v>
      </c>
      <c r="P194" s="127">
        <v>0.0</v>
      </c>
      <c r="Q194" s="127">
        <v>0.0</v>
      </c>
      <c r="R194" s="127">
        <v>0.0</v>
      </c>
      <c r="S194" s="127">
        <v>0.0</v>
      </c>
      <c r="T194" s="127"/>
      <c r="U194" s="127"/>
      <c r="V194" s="127"/>
      <c r="W194" s="127"/>
      <c r="X194" s="127"/>
      <c r="Y194" s="127"/>
    </row>
    <row r="195">
      <c r="A195" s="127">
        <v>0.0</v>
      </c>
      <c r="B195" s="127">
        <v>0.0</v>
      </c>
      <c r="C195" s="127">
        <v>0.0</v>
      </c>
      <c r="D195" s="127">
        <v>0.0</v>
      </c>
      <c r="E195" s="127">
        <v>0.0</v>
      </c>
      <c r="F195" s="127">
        <v>0.0</v>
      </c>
      <c r="G195" s="127">
        <v>0.0</v>
      </c>
      <c r="H195" s="127">
        <v>0.0</v>
      </c>
      <c r="I195" s="127">
        <v>0.0</v>
      </c>
      <c r="J195" s="127">
        <v>0.0</v>
      </c>
      <c r="K195" s="127">
        <v>0.0</v>
      </c>
      <c r="L195" s="127">
        <v>0.0</v>
      </c>
      <c r="M195" s="127">
        <v>0.0</v>
      </c>
      <c r="N195" s="127">
        <v>0.0</v>
      </c>
      <c r="O195" s="127">
        <v>0.0</v>
      </c>
      <c r="P195" s="127">
        <v>0.0</v>
      </c>
      <c r="Q195" s="127">
        <v>0.0</v>
      </c>
      <c r="R195" s="127">
        <v>0.0</v>
      </c>
      <c r="S195" s="127">
        <v>0.0</v>
      </c>
      <c r="T195" s="127"/>
      <c r="U195" s="127"/>
      <c r="V195" s="127"/>
      <c r="W195" s="127"/>
      <c r="X195" s="127"/>
      <c r="Y195" s="127"/>
    </row>
    <row r="196">
      <c r="A196" s="127">
        <v>0.0</v>
      </c>
      <c r="B196" s="127">
        <v>0.0</v>
      </c>
      <c r="C196" s="127">
        <v>0.0</v>
      </c>
      <c r="D196" s="127">
        <v>0.0</v>
      </c>
      <c r="E196" s="127">
        <v>0.0</v>
      </c>
      <c r="F196" s="127">
        <v>0.0</v>
      </c>
      <c r="G196" s="127">
        <v>0.0</v>
      </c>
      <c r="H196" s="127">
        <v>0.0</v>
      </c>
      <c r="I196" s="127">
        <v>0.0</v>
      </c>
      <c r="J196" s="127">
        <v>20.0</v>
      </c>
      <c r="K196" s="127">
        <v>0.0</v>
      </c>
      <c r="L196" s="127">
        <v>0.0</v>
      </c>
      <c r="M196" s="127">
        <v>100.0</v>
      </c>
      <c r="N196" s="127">
        <v>0.0</v>
      </c>
      <c r="O196" s="127">
        <v>0.0</v>
      </c>
      <c r="P196" s="127">
        <v>0.0</v>
      </c>
      <c r="Q196" s="127">
        <v>0.0</v>
      </c>
      <c r="R196" s="127">
        <v>0.0</v>
      </c>
      <c r="S196" s="127">
        <v>0.0</v>
      </c>
      <c r="T196" s="127"/>
      <c r="U196" s="127"/>
      <c r="V196" s="127"/>
      <c r="W196" s="127"/>
      <c r="X196" s="127"/>
      <c r="Y196" s="127"/>
    </row>
    <row r="197">
      <c r="A197" s="127">
        <v>0.0</v>
      </c>
      <c r="B197" s="127">
        <v>0.0</v>
      </c>
      <c r="C197" s="127">
        <v>0.0</v>
      </c>
      <c r="D197" s="127">
        <v>0.0</v>
      </c>
      <c r="E197" s="127">
        <v>0.0</v>
      </c>
      <c r="F197" s="127">
        <v>0.0</v>
      </c>
      <c r="G197" s="127">
        <v>0.0</v>
      </c>
      <c r="H197" s="127">
        <v>0.0</v>
      </c>
      <c r="I197" s="127">
        <v>0.0</v>
      </c>
      <c r="J197" s="127">
        <v>0.0</v>
      </c>
      <c r="K197" s="127">
        <v>0.0</v>
      </c>
      <c r="L197" s="127">
        <v>0.0</v>
      </c>
      <c r="M197" s="127">
        <v>0.0</v>
      </c>
      <c r="N197" s="127">
        <v>0.0</v>
      </c>
      <c r="O197" s="127">
        <v>0.0</v>
      </c>
      <c r="P197" s="127">
        <v>0.0</v>
      </c>
      <c r="Q197" s="127">
        <v>0.0</v>
      </c>
      <c r="R197" s="127">
        <v>0.0</v>
      </c>
      <c r="S197" s="127">
        <v>0.0</v>
      </c>
      <c r="T197" s="127"/>
      <c r="U197" s="127"/>
      <c r="V197" s="127"/>
      <c r="W197" s="127"/>
      <c r="X197" s="127"/>
      <c r="Y197" s="127"/>
    </row>
    <row r="198">
      <c r="A198" s="127">
        <v>0.0</v>
      </c>
      <c r="B198" s="127">
        <v>0.0</v>
      </c>
      <c r="C198" s="127">
        <v>0.0</v>
      </c>
      <c r="D198" s="127">
        <v>0.0</v>
      </c>
      <c r="E198" s="127">
        <v>0.0</v>
      </c>
      <c r="F198" s="127">
        <v>0.0</v>
      </c>
      <c r="G198" s="127">
        <v>0.0</v>
      </c>
      <c r="H198" s="127">
        <v>0.0</v>
      </c>
      <c r="I198" s="127">
        <v>0.0</v>
      </c>
      <c r="J198" s="127">
        <v>0.0</v>
      </c>
      <c r="K198" s="127">
        <v>0.0</v>
      </c>
      <c r="L198" s="127">
        <v>0.0</v>
      </c>
      <c r="M198" s="127">
        <v>0.0</v>
      </c>
      <c r="N198" s="127">
        <v>0.0</v>
      </c>
      <c r="O198" s="127">
        <v>0.0</v>
      </c>
      <c r="P198" s="127">
        <v>0.0</v>
      </c>
      <c r="Q198" s="127">
        <v>0.0</v>
      </c>
      <c r="R198" s="127">
        <v>0.0</v>
      </c>
      <c r="S198" s="127">
        <v>0.0</v>
      </c>
      <c r="T198" s="127"/>
      <c r="U198" s="127"/>
      <c r="V198" s="127"/>
      <c r="W198" s="127"/>
      <c r="X198" s="127"/>
      <c r="Y198" s="127"/>
    </row>
    <row r="199">
      <c r="A199" s="127">
        <v>0.0</v>
      </c>
      <c r="B199" s="127">
        <v>0.0</v>
      </c>
      <c r="C199" s="127">
        <v>0.0</v>
      </c>
      <c r="D199" s="127">
        <v>0.0</v>
      </c>
      <c r="E199" s="127">
        <v>0.0</v>
      </c>
      <c r="F199" s="127">
        <v>0.0</v>
      </c>
      <c r="G199" s="127">
        <v>0.0</v>
      </c>
      <c r="H199" s="127">
        <v>0.0</v>
      </c>
      <c r="I199" s="127">
        <v>0.0</v>
      </c>
      <c r="J199" s="127">
        <v>0.0</v>
      </c>
      <c r="K199" s="127">
        <v>0.0</v>
      </c>
      <c r="L199" s="127">
        <v>0.0</v>
      </c>
      <c r="M199" s="127">
        <v>0.0</v>
      </c>
      <c r="N199" s="127">
        <v>0.0</v>
      </c>
      <c r="O199" s="127">
        <v>0.0</v>
      </c>
      <c r="P199" s="127">
        <v>0.0</v>
      </c>
      <c r="Q199" s="127">
        <v>0.0</v>
      </c>
      <c r="R199" s="127">
        <v>0.0</v>
      </c>
      <c r="S199" s="127">
        <v>0.0</v>
      </c>
      <c r="T199" s="127"/>
      <c r="U199" s="127"/>
      <c r="V199" s="127"/>
      <c r="W199" s="127"/>
      <c r="X199" s="127"/>
      <c r="Y199" s="127"/>
    </row>
    <row r="200">
      <c r="A200" s="127">
        <v>0.0</v>
      </c>
      <c r="B200" s="127">
        <v>0.0</v>
      </c>
      <c r="C200" s="127">
        <v>0.0</v>
      </c>
      <c r="D200" s="127">
        <v>0.0</v>
      </c>
      <c r="E200" s="127">
        <v>0.0</v>
      </c>
      <c r="F200" s="127">
        <v>0.0</v>
      </c>
      <c r="G200" s="127">
        <v>0.0</v>
      </c>
      <c r="H200" s="127">
        <v>0.0</v>
      </c>
      <c r="I200" s="127">
        <v>0.0</v>
      </c>
      <c r="J200" s="127">
        <v>0.0</v>
      </c>
      <c r="K200" s="127">
        <v>0.0</v>
      </c>
      <c r="L200" s="127">
        <v>0.0</v>
      </c>
      <c r="M200" s="127">
        <v>0.0</v>
      </c>
      <c r="N200" s="127">
        <v>0.0</v>
      </c>
      <c r="O200" s="127">
        <v>0.0</v>
      </c>
      <c r="P200" s="127">
        <v>0.0</v>
      </c>
      <c r="Q200" s="127">
        <v>0.0</v>
      </c>
      <c r="R200" s="127">
        <v>0.0</v>
      </c>
      <c r="S200" s="127">
        <v>0.0</v>
      </c>
      <c r="T200" s="127"/>
      <c r="U200" s="127"/>
      <c r="V200" s="127"/>
      <c r="W200" s="127"/>
      <c r="X200" s="127"/>
      <c r="Y200" s="127"/>
    </row>
    <row r="201">
      <c r="A201" s="127">
        <v>0.0</v>
      </c>
      <c r="B201" s="127">
        <v>0.0</v>
      </c>
      <c r="C201" s="127">
        <v>0.0</v>
      </c>
      <c r="D201" s="127">
        <v>0.0</v>
      </c>
      <c r="E201" s="127">
        <v>0.0</v>
      </c>
      <c r="F201" s="127">
        <v>0.0</v>
      </c>
      <c r="G201" s="127">
        <v>0.0</v>
      </c>
      <c r="H201" s="127">
        <v>0.0</v>
      </c>
      <c r="I201" s="127">
        <v>0.0</v>
      </c>
      <c r="J201" s="127">
        <v>0.0</v>
      </c>
      <c r="K201" s="127">
        <v>0.0</v>
      </c>
      <c r="L201" s="127">
        <v>0.0</v>
      </c>
      <c r="M201" s="127">
        <v>0.0</v>
      </c>
      <c r="N201" s="127">
        <v>0.0</v>
      </c>
      <c r="O201" s="127">
        <v>0.0</v>
      </c>
      <c r="P201" s="127">
        <v>0.0</v>
      </c>
      <c r="Q201" s="127">
        <v>0.0</v>
      </c>
      <c r="R201" s="127">
        <v>0.0</v>
      </c>
      <c r="S201" s="127">
        <v>0.0</v>
      </c>
      <c r="T201" s="127"/>
      <c r="U201" s="127"/>
      <c r="V201" s="127"/>
      <c r="W201" s="127"/>
      <c r="X201" s="127"/>
      <c r="Y201" s="127"/>
    </row>
    <row r="202">
      <c r="A202" s="127">
        <v>0.0</v>
      </c>
      <c r="B202" s="127">
        <v>0.0</v>
      </c>
      <c r="C202" s="127">
        <v>0.0</v>
      </c>
      <c r="D202" s="127">
        <v>0.0</v>
      </c>
      <c r="E202" s="127">
        <v>0.0</v>
      </c>
      <c r="F202" s="127">
        <v>0.0</v>
      </c>
      <c r="G202" s="127">
        <v>0.0</v>
      </c>
      <c r="H202" s="127">
        <v>0.0</v>
      </c>
      <c r="I202" s="127">
        <v>0.0</v>
      </c>
      <c r="J202" s="127">
        <v>0.0</v>
      </c>
      <c r="K202" s="127">
        <v>0.0</v>
      </c>
      <c r="L202" s="127">
        <v>0.0</v>
      </c>
      <c r="M202" s="127">
        <v>0.0</v>
      </c>
      <c r="N202" s="127">
        <v>0.0</v>
      </c>
      <c r="O202" s="127">
        <v>0.0</v>
      </c>
      <c r="P202" s="127">
        <v>0.0</v>
      </c>
      <c r="Q202" s="127">
        <v>0.0</v>
      </c>
      <c r="R202" s="127">
        <v>0.0</v>
      </c>
      <c r="S202" s="127">
        <v>0.0</v>
      </c>
      <c r="T202" s="127"/>
      <c r="U202" s="127"/>
      <c r="V202" s="127"/>
      <c r="W202" s="127"/>
      <c r="X202" s="127"/>
      <c r="Y202" s="127"/>
    </row>
    <row r="203">
      <c r="A203" s="127">
        <v>0.0</v>
      </c>
      <c r="B203" s="127">
        <v>0.0</v>
      </c>
      <c r="C203" s="127">
        <v>0.0</v>
      </c>
      <c r="D203" s="127">
        <v>0.0</v>
      </c>
      <c r="E203" s="127">
        <v>0.0</v>
      </c>
      <c r="F203" s="127">
        <v>0.0</v>
      </c>
      <c r="G203" s="127">
        <v>0.0</v>
      </c>
      <c r="H203" s="127">
        <v>0.0</v>
      </c>
      <c r="I203" s="127">
        <v>0.0</v>
      </c>
      <c r="J203" s="127">
        <v>0.0</v>
      </c>
      <c r="K203" s="127">
        <v>0.0</v>
      </c>
      <c r="L203" s="127">
        <v>0.0</v>
      </c>
      <c r="M203" s="127">
        <v>0.0</v>
      </c>
      <c r="N203" s="127">
        <v>0.0</v>
      </c>
      <c r="O203" s="127">
        <v>0.0</v>
      </c>
      <c r="P203" s="127">
        <v>0.0</v>
      </c>
      <c r="Q203" s="127">
        <v>0.0</v>
      </c>
      <c r="R203" s="127">
        <v>0.0</v>
      </c>
      <c r="S203" s="127">
        <v>0.0</v>
      </c>
      <c r="T203" s="127"/>
      <c r="U203" s="127"/>
      <c r="V203" s="127"/>
      <c r="W203" s="127"/>
      <c r="X203" s="127"/>
      <c r="Y203" s="127"/>
    </row>
    <row r="204">
      <c r="A204" s="127">
        <v>0.0</v>
      </c>
      <c r="B204" s="127">
        <v>0.0</v>
      </c>
      <c r="C204" s="127">
        <v>0.0</v>
      </c>
      <c r="D204" s="127">
        <v>0.0</v>
      </c>
      <c r="E204" s="127">
        <v>0.0</v>
      </c>
      <c r="F204" s="127">
        <v>0.0</v>
      </c>
      <c r="G204" s="127">
        <v>0.0</v>
      </c>
      <c r="H204" s="127">
        <v>0.0</v>
      </c>
      <c r="I204" s="127">
        <v>0.0</v>
      </c>
      <c r="J204" s="127">
        <v>0.0</v>
      </c>
      <c r="K204" s="127">
        <v>0.0</v>
      </c>
      <c r="L204" s="127">
        <v>0.0</v>
      </c>
      <c r="M204" s="127">
        <v>0.0</v>
      </c>
      <c r="N204" s="127">
        <v>0.0</v>
      </c>
      <c r="O204" s="127">
        <v>0.0</v>
      </c>
      <c r="P204" s="127">
        <v>0.0</v>
      </c>
      <c r="Q204" s="127">
        <v>0.0</v>
      </c>
      <c r="R204" s="127">
        <v>0.0</v>
      </c>
      <c r="S204" s="127">
        <v>0.0</v>
      </c>
      <c r="T204" s="127"/>
      <c r="U204" s="127"/>
      <c r="V204" s="127"/>
      <c r="W204" s="127"/>
      <c r="X204" s="127"/>
      <c r="Y204" s="127"/>
    </row>
    <row r="205">
      <c r="A205" s="127">
        <v>0.0</v>
      </c>
      <c r="B205" s="127">
        <v>0.0</v>
      </c>
      <c r="C205" s="127">
        <v>0.0</v>
      </c>
      <c r="D205" s="127">
        <v>0.0</v>
      </c>
      <c r="E205" s="127">
        <v>0.0</v>
      </c>
      <c r="F205" s="127">
        <v>0.0</v>
      </c>
      <c r="G205" s="127">
        <v>0.0</v>
      </c>
      <c r="H205" s="127">
        <v>0.0</v>
      </c>
      <c r="I205" s="127">
        <v>0.0</v>
      </c>
      <c r="J205" s="127">
        <v>0.0</v>
      </c>
      <c r="K205" s="127">
        <v>0.0</v>
      </c>
      <c r="L205" s="127">
        <v>0.0</v>
      </c>
      <c r="M205" s="127">
        <v>0.0</v>
      </c>
      <c r="N205" s="127">
        <v>0.0</v>
      </c>
      <c r="O205" s="127">
        <v>0.0</v>
      </c>
      <c r="P205" s="127">
        <v>0.0</v>
      </c>
      <c r="Q205" s="127">
        <v>0.0</v>
      </c>
      <c r="R205" s="127">
        <v>0.0</v>
      </c>
      <c r="S205" s="127">
        <v>0.0</v>
      </c>
      <c r="T205" s="127"/>
      <c r="U205" s="127"/>
      <c r="V205" s="127"/>
      <c r="W205" s="127"/>
      <c r="X205" s="127"/>
      <c r="Y205" s="127"/>
    </row>
    <row r="206">
      <c r="A206" s="127">
        <v>0.0</v>
      </c>
      <c r="B206" s="127">
        <v>0.0</v>
      </c>
      <c r="C206" s="127">
        <v>0.0</v>
      </c>
      <c r="D206" s="127">
        <v>0.0</v>
      </c>
      <c r="E206" s="127">
        <v>0.0</v>
      </c>
      <c r="F206" s="127">
        <v>0.0</v>
      </c>
      <c r="G206" s="127">
        <v>0.0</v>
      </c>
      <c r="H206" s="127">
        <v>0.0</v>
      </c>
      <c r="I206" s="127">
        <v>0.0</v>
      </c>
      <c r="J206" s="127">
        <v>0.0</v>
      </c>
      <c r="K206" s="127">
        <v>0.0</v>
      </c>
      <c r="L206" s="127">
        <v>0.0</v>
      </c>
      <c r="M206" s="127">
        <v>0.0</v>
      </c>
      <c r="N206" s="127">
        <v>0.0</v>
      </c>
      <c r="O206" s="127">
        <v>0.0</v>
      </c>
      <c r="P206" s="127">
        <v>0.0</v>
      </c>
      <c r="Q206" s="127">
        <v>0.0</v>
      </c>
      <c r="R206" s="127">
        <v>0.0</v>
      </c>
      <c r="S206" s="127">
        <v>0.0</v>
      </c>
      <c r="T206" s="127"/>
      <c r="U206" s="127"/>
      <c r="V206" s="127"/>
      <c r="W206" s="127"/>
      <c r="X206" s="127"/>
      <c r="Y206" s="127"/>
    </row>
    <row r="207">
      <c r="A207" s="127">
        <v>0.0</v>
      </c>
      <c r="B207" s="127">
        <v>0.0</v>
      </c>
      <c r="C207" s="127">
        <v>0.0</v>
      </c>
      <c r="D207" s="127">
        <v>0.0</v>
      </c>
      <c r="E207" s="127">
        <v>0.0</v>
      </c>
      <c r="F207" s="127">
        <v>0.0</v>
      </c>
      <c r="G207" s="127">
        <v>0.0</v>
      </c>
      <c r="H207" s="127">
        <v>0.0</v>
      </c>
      <c r="I207" s="127">
        <v>0.0</v>
      </c>
      <c r="J207" s="127">
        <v>0.0</v>
      </c>
      <c r="K207" s="127">
        <v>0.0</v>
      </c>
      <c r="L207" s="127">
        <v>0.0</v>
      </c>
      <c r="M207" s="127">
        <v>0.0</v>
      </c>
      <c r="N207" s="127">
        <v>0.0</v>
      </c>
      <c r="O207" s="127">
        <v>0.0</v>
      </c>
      <c r="P207" s="127">
        <v>0.0</v>
      </c>
      <c r="Q207" s="127">
        <v>0.0</v>
      </c>
      <c r="R207" s="127">
        <v>0.0</v>
      </c>
      <c r="S207" s="127">
        <v>0.0</v>
      </c>
      <c r="T207" s="127"/>
      <c r="U207" s="127"/>
      <c r="V207" s="127"/>
      <c r="W207" s="127"/>
      <c r="X207" s="127"/>
      <c r="Y207" s="127"/>
    </row>
    <row r="208">
      <c r="A208" s="127">
        <v>0.0</v>
      </c>
      <c r="B208" s="127">
        <v>0.0</v>
      </c>
      <c r="C208" s="127">
        <v>0.0</v>
      </c>
      <c r="D208" s="127">
        <v>0.0</v>
      </c>
      <c r="E208" s="127">
        <v>0.0</v>
      </c>
      <c r="F208" s="127">
        <v>0.0</v>
      </c>
      <c r="G208" s="127">
        <v>0.0</v>
      </c>
      <c r="H208" s="127">
        <v>0.0</v>
      </c>
      <c r="I208" s="127">
        <v>0.0</v>
      </c>
      <c r="J208" s="127">
        <v>0.0</v>
      </c>
      <c r="K208" s="127">
        <v>0.0</v>
      </c>
      <c r="L208" s="127">
        <v>0.0</v>
      </c>
      <c r="M208" s="127">
        <v>0.0</v>
      </c>
      <c r="N208" s="127">
        <v>0.0</v>
      </c>
      <c r="O208" s="127">
        <v>0.0</v>
      </c>
      <c r="P208" s="127">
        <v>0.0</v>
      </c>
      <c r="Q208" s="127">
        <v>0.0</v>
      </c>
      <c r="R208" s="127">
        <v>0.0</v>
      </c>
      <c r="S208" s="127">
        <v>0.0</v>
      </c>
      <c r="T208" s="127"/>
      <c r="U208" s="127"/>
      <c r="V208" s="127"/>
      <c r="W208" s="127"/>
      <c r="X208" s="127"/>
      <c r="Y208" s="127"/>
    </row>
    <row r="209">
      <c r="A209" s="127">
        <v>0.0</v>
      </c>
      <c r="B209" s="127">
        <v>0.0</v>
      </c>
      <c r="C209" s="127">
        <v>0.0</v>
      </c>
      <c r="D209" s="127">
        <v>0.0</v>
      </c>
      <c r="E209" s="127">
        <v>0.0</v>
      </c>
      <c r="F209" s="127">
        <v>0.0</v>
      </c>
      <c r="G209" s="127">
        <v>0.0</v>
      </c>
      <c r="H209" s="127">
        <v>0.0</v>
      </c>
      <c r="I209" s="127">
        <v>0.0</v>
      </c>
      <c r="J209" s="127">
        <v>0.0</v>
      </c>
      <c r="K209" s="127">
        <v>0.0</v>
      </c>
      <c r="L209" s="127">
        <v>0.0</v>
      </c>
      <c r="M209" s="127">
        <v>0.0</v>
      </c>
      <c r="N209" s="127">
        <v>0.0</v>
      </c>
      <c r="O209" s="127">
        <v>0.0</v>
      </c>
      <c r="P209" s="127">
        <v>0.0</v>
      </c>
      <c r="Q209" s="127">
        <v>0.0</v>
      </c>
      <c r="R209" s="127">
        <v>0.0</v>
      </c>
      <c r="S209" s="127">
        <v>0.0</v>
      </c>
      <c r="T209" s="127"/>
      <c r="U209" s="127"/>
      <c r="V209" s="127"/>
      <c r="W209" s="127"/>
      <c r="X209" s="127"/>
      <c r="Y209" s="127"/>
    </row>
    <row r="210">
      <c r="A210" s="127">
        <v>0.0</v>
      </c>
      <c r="B210" s="127">
        <v>0.0</v>
      </c>
      <c r="C210" s="127">
        <v>0.0</v>
      </c>
      <c r="D210" s="127">
        <v>0.0</v>
      </c>
      <c r="E210" s="127">
        <v>0.0</v>
      </c>
      <c r="F210" s="127">
        <v>0.0</v>
      </c>
      <c r="G210" s="127">
        <v>0.0</v>
      </c>
      <c r="H210" s="127">
        <v>0.0</v>
      </c>
      <c r="I210" s="127">
        <v>0.0</v>
      </c>
      <c r="J210" s="127">
        <v>0.0</v>
      </c>
      <c r="K210" s="127">
        <v>0.0</v>
      </c>
      <c r="L210" s="127">
        <v>0.0</v>
      </c>
      <c r="M210" s="127">
        <v>0.0</v>
      </c>
      <c r="N210" s="127">
        <v>0.0</v>
      </c>
      <c r="O210" s="127">
        <v>0.0</v>
      </c>
      <c r="P210" s="127">
        <v>0.0</v>
      </c>
      <c r="Q210" s="127">
        <v>0.0</v>
      </c>
      <c r="R210" s="127">
        <v>0.0</v>
      </c>
      <c r="S210" s="127">
        <v>0.0</v>
      </c>
      <c r="T210" s="127"/>
      <c r="U210" s="127"/>
      <c r="V210" s="127"/>
      <c r="W210" s="127"/>
      <c r="X210" s="127"/>
      <c r="Y210" s="127"/>
    </row>
    <row r="211">
      <c r="A211" s="127">
        <v>0.0</v>
      </c>
      <c r="B211" s="127">
        <v>0.0</v>
      </c>
      <c r="C211" s="127">
        <v>0.0</v>
      </c>
      <c r="D211" s="127">
        <v>0.0</v>
      </c>
      <c r="E211" s="127">
        <v>0.0</v>
      </c>
      <c r="F211" s="127">
        <v>0.0</v>
      </c>
      <c r="G211" s="127">
        <v>0.0</v>
      </c>
      <c r="H211" s="127">
        <v>0.0</v>
      </c>
      <c r="I211" s="127">
        <v>0.0</v>
      </c>
      <c r="J211" s="127">
        <v>0.0</v>
      </c>
      <c r="K211" s="127">
        <v>0.0</v>
      </c>
      <c r="L211" s="127">
        <v>0.0</v>
      </c>
      <c r="M211" s="127">
        <v>0.0</v>
      </c>
      <c r="N211" s="127">
        <v>0.0</v>
      </c>
      <c r="O211" s="127">
        <v>0.0</v>
      </c>
      <c r="P211" s="127">
        <v>0.0</v>
      </c>
      <c r="Q211" s="127">
        <v>0.0</v>
      </c>
      <c r="R211" s="127">
        <v>0.0</v>
      </c>
      <c r="S211" s="127">
        <v>0.0</v>
      </c>
      <c r="T211" s="127"/>
      <c r="U211" s="127"/>
      <c r="V211" s="127"/>
      <c r="W211" s="127"/>
      <c r="X211" s="127"/>
      <c r="Y211" s="127"/>
    </row>
    <row r="212">
      <c r="A212" s="127">
        <v>0.0</v>
      </c>
      <c r="B212" s="127">
        <v>0.0</v>
      </c>
      <c r="C212" s="127">
        <v>0.0</v>
      </c>
      <c r="D212" s="127">
        <v>0.0</v>
      </c>
      <c r="E212" s="127">
        <v>0.0</v>
      </c>
      <c r="F212" s="127">
        <v>0.0</v>
      </c>
      <c r="G212" s="127">
        <v>0.0</v>
      </c>
      <c r="H212" s="127">
        <v>0.0</v>
      </c>
      <c r="I212" s="127">
        <v>0.0</v>
      </c>
      <c r="J212" s="127">
        <v>0.0</v>
      </c>
      <c r="K212" s="127">
        <v>0.0</v>
      </c>
      <c r="L212" s="127">
        <v>0.0</v>
      </c>
      <c r="M212" s="127">
        <v>0.0</v>
      </c>
      <c r="N212" s="127">
        <v>0.0</v>
      </c>
      <c r="O212" s="127">
        <v>0.0</v>
      </c>
      <c r="P212" s="127">
        <v>0.0</v>
      </c>
      <c r="Q212" s="127">
        <v>0.0</v>
      </c>
      <c r="R212" s="127">
        <v>0.0</v>
      </c>
      <c r="S212" s="127">
        <v>0.0</v>
      </c>
      <c r="T212" s="127"/>
      <c r="U212" s="127"/>
      <c r="V212" s="127"/>
      <c r="W212" s="127"/>
      <c r="X212" s="127"/>
      <c r="Y212" s="127"/>
    </row>
    <row r="213">
      <c r="A213" s="127">
        <v>0.0</v>
      </c>
      <c r="B213" s="127">
        <v>0.0</v>
      </c>
      <c r="C213" s="127">
        <v>0.0</v>
      </c>
      <c r="D213" s="127">
        <v>0.0</v>
      </c>
      <c r="E213" s="127">
        <v>0.0</v>
      </c>
      <c r="F213" s="127">
        <v>0.0</v>
      </c>
      <c r="G213" s="127">
        <v>0.0</v>
      </c>
      <c r="H213" s="127">
        <v>0.0</v>
      </c>
      <c r="I213" s="127">
        <v>0.0</v>
      </c>
      <c r="J213" s="127">
        <v>0.0</v>
      </c>
      <c r="K213" s="127">
        <v>0.0</v>
      </c>
      <c r="L213" s="127">
        <v>0.0</v>
      </c>
      <c r="M213" s="127">
        <v>0.0</v>
      </c>
      <c r="N213" s="127">
        <v>0.0</v>
      </c>
      <c r="O213" s="127">
        <v>0.0</v>
      </c>
      <c r="P213" s="127">
        <v>0.0</v>
      </c>
      <c r="Q213" s="127">
        <v>0.0</v>
      </c>
      <c r="R213" s="127">
        <v>0.0</v>
      </c>
      <c r="S213" s="127">
        <v>0.0</v>
      </c>
      <c r="T213" s="127"/>
      <c r="U213" s="127"/>
      <c r="V213" s="127"/>
      <c r="W213" s="127"/>
      <c r="X213" s="127"/>
      <c r="Y213" s="127"/>
    </row>
    <row r="214">
      <c r="A214" s="127"/>
      <c r="B214" s="127"/>
      <c r="C214" s="127"/>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row>
    <row r="215">
      <c r="A215" s="127"/>
      <c r="B215" s="127"/>
      <c r="C215" s="127"/>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row>
    <row r="216">
      <c r="A216" s="127"/>
      <c r="B216" s="127"/>
      <c r="C216" s="127"/>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row>
    <row r="217">
      <c r="A217" s="127"/>
      <c r="B217" s="127"/>
      <c r="C217" s="127"/>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row>
    <row r="218">
      <c r="A218" s="127"/>
      <c r="B218" s="127"/>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row>
    <row r="219">
      <c r="A219" s="127"/>
      <c r="B219" s="127"/>
      <c r="C219" s="127"/>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row>
    <row r="220">
      <c r="A220" s="127"/>
      <c r="B220" s="127"/>
      <c r="C220" s="127"/>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row>
    <row r="221">
      <c r="A221" s="127"/>
      <c r="B221" s="127"/>
      <c r="C221" s="127"/>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row>
    <row r="222">
      <c r="A222" s="127"/>
      <c r="B222" s="127"/>
      <c r="C222" s="127"/>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row>
    <row r="223">
      <c r="A223" s="127"/>
      <c r="B223" s="127"/>
      <c r="C223" s="127"/>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row>
    <row r="224">
      <c r="A224" s="127"/>
      <c r="B224" s="127"/>
      <c r="C224" s="127"/>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row>
    <row r="225">
      <c r="A225" s="127"/>
      <c r="B225" s="127"/>
      <c r="C225" s="127"/>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row>
    <row r="226">
      <c r="A226" s="127"/>
      <c r="B226" s="127"/>
      <c r="C226" s="127"/>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row>
    <row r="227">
      <c r="A227" s="127"/>
      <c r="B227" s="127"/>
      <c r="C227" s="127"/>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row>
    <row r="228">
      <c r="A228" s="127"/>
      <c r="B228" s="127"/>
      <c r="C228" s="127"/>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row>
    <row r="229">
      <c r="A229" s="127"/>
      <c r="B229" s="127"/>
      <c r="C229" s="127"/>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row>
    <row r="230">
      <c r="A230" s="127"/>
      <c r="B230" s="127"/>
      <c r="C230" s="127"/>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row>
    <row r="231">
      <c r="A231" s="127"/>
      <c r="B231" s="127"/>
      <c r="C231" s="127"/>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row>
    <row r="232">
      <c r="A232" s="127"/>
      <c r="B232" s="127"/>
      <c r="C232" s="127"/>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row>
    <row r="233">
      <c r="A233" s="127"/>
      <c r="B233" s="127"/>
      <c r="C233" s="127"/>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row>
    <row r="234">
      <c r="A234" s="127"/>
      <c r="B234" s="127"/>
      <c r="C234" s="127"/>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row>
    <row r="235">
      <c r="A235" s="127"/>
      <c r="B235" s="127"/>
      <c r="C235" s="127"/>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row>
    <row r="236">
      <c r="A236" s="127"/>
      <c r="B236" s="127"/>
      <c r="C236" s="127"/>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row>
    <row r="237">
      <c r="A237" s="127"/>
      <c r="B237" s="127"/>
      <c r="C237" s="127"/>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row>
    <row r="238">
      <c r="A238" s="127"/>
      <c r="B238" s="127"/>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row>
    <row r="239">
      <c r="A239" s="127"/>
      <c r="B239" s="127"/>
      <c r="C239" s="127"/>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row>
    <row r="240">
      <c r="A240" s="127"/>
      <c r="B240" s="127"/>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row>
    <row r="241">
      <c r="A241" s="127"/>
      <c r="B241" s="127"/>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row>
    <row r="242">
      <c r="A242" s="127"/>
      <c r="B242" s="127"/>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row>
    <row r="243">
      <c r="A243" s="127"/>
      <c r="B243" s="127"/>
      <c r="C243" s="127"/>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row>
    <row r="244">
      <c r="A244" s="127"/>
      <c r="B244" s="127"/>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row>
    <row r="245">
      <c r="A245" s="127"/>
      <c r="B245" s="127"/>
      <c r="C245" s="127"/>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row>
    <row r="246">
      <c r="A246" s="127"/>
      <c r="B246" s="127"/>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row>
    <row r="247">
      <c r="A247" s="127"/>
      <c r="B247" s="127"/>
      <c r="C247" s="127"/>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row>
    <row r="248">
      <c r="A248" s="127"/>
      <c r="B248" s="127"/>
      <c r="C248" s="127"/>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row>
    <row r="249">
      <c r="A249" s="127"/>
      <c r="B249" s="127"/>
      <c r="C249" s="127"/>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row>
    <row r="250">
      <c r="A250" s="127"/>
      <c r="B250" s="127"/>
      <c r="C250" s="127"/>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row>
    <row r="251">
      <c r="A251" s="127"/>
      <c r="B251" s="127"/>
      <c r="C251" s="127"/>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row>
    <row r="252">
      <c r="A252" s="127"/>
      <c r="B252" s="127"/>
      <c r="C252" s="127"/>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row>
    <row r="253">
      <c r="A253" s="127"/>
      <c r="B253" s="127"/>
      <c r="C253" s="127"/>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row>
    <row r="254">
      <c r="A254" s="127"/>
      <c r="B254" s="127"/>
      <c r="C254" s="127"/>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row>
    <row r="255">
      <c r="A255" s="127"/>
      <c r="B255" s="127"/>
      <c r="C255" s="127"/>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row>
    <row r="256">
      <c r="A256" s="127"/>
      <c r="B256" s="127"/>
      <c r="C256" s="127"/>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row>
    <row r="257">
      <c r="A257" s="127"/>
      <c r="B257" s="127"/>
      <c r="C257" s="127"/>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row>
    <row r="258">
      <c r="A258" s="127"/>
      <c r="B258" s="127"/>
      <c r="C258" s="127"/>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row>
    <row r="259">
      <c r="A259" s="127"/>
      <c r="B259" s="127"/>
      <c r="C259" s="127"/>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row>
    <row r="260">
      <c r="A260" s="127"/>
      <c r="B260" s="127"/>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row>
    <row r="261">
      <c r="A261" s="127"/>
      <c r="B261" s="127"/>
      <c r="C261" s="127"/>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row>
    <row r="262">
      <c r="A262" s="127"/>
      <c r="B262" s="127"/>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row>
    <row r="263">
      <c r="A263" s="127"/>
      <c r="B263" s="127"/>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row>
    <row r="264">
      <c r="A264" s="127"/>
      <c r="B264" s="127"/>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row>
    <row r="265">
      <c r="A265" s="127"/>
      <c r="B265" s="127"/>
      <c r="C265" s="127"/>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row>
    <row r="266">
      <c r="A266" s="127"/>
      <c r="B266" s="127"/>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row>
    <row r="267">
      <c r="A267" s="127"/>
      <c r="B267" s="127"/>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row>
    <row r="268">
      <c r="A268" s="127"/>
      <c r="B268" s="127"/>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row>
    <row r="269">
      <c r="A269" s="127"/>
      <c r="B269" s="127"/>
      <c r="C269" s="127"/>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row>
    <row r="270">
      <c r="A270" s="127"/>
      <c r="B270" s="127"/>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row>
    <row r="271">
      <c r="A271" s="127"/>
      <c r="B271" s="127"/>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row>
    <row r="272">
      <c r="A272" s="127"/>
      <c r="B272" s="127"/>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row>
    <row r="273">
      <c r="A273" s="127"/>
      <c r="B273" s="127"/>
      <c r="C273" s="127"/>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row>
    <row r="274">
      <c r="A274" s="127"/>
      <c r="B274" s="127"/>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row>
    <row r="275">
      <c r="A275" s="127"/>
      <c r="B275" s="127"/>
      <c r="C275" s="127"/>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row>
    <row r="276">
      <c r="A276" s="127"/>
      <c r="B276" s="127"/>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row>
    <row r="277">
      <c r="A277" s="127"/>
      <c r="B277" s="127"/>
      <c r="C277" s="127"/>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row>
    <row r="278">
      <c r="A278" s="127"/>
      <c r="B278" s="127"/>
      <c r="C278" s="127"/>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row>
    <row r="279">
      <c r="A279" s="127"/>
      <c r="B279" s="127"/>
      <c r="C279" s="127"/>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row>
    <row r="280">
      <c r="A280" s="127"/>
      <c r="B280" s="127"/>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row>
    <row r="281">
      <c r="A281" s="127"/>
      <c r="B281" s="127"/>
      <c r="C281" s="127"/>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row>
    <row r="282">
      <c r="A282" s="127"/>
      <c r="B282" s="127"/>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row>
    <row r="283">
      <c r="A283" s="127"/>
      <c r="B283" s="127"/>
      <c r="C283" s="127"/>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row>
    <row r="284">
      <c r="A284" s="127"/>
      <c r="B284" s="127"/>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row>
    <row r="285">
      <c r="A285" s="127"/>
      <c r="B285" s="127"/>
      <c r="C285" s="127"/>
      <c r="D285" s="127"/>
      <c r="E285" s="127"/>
      <c r="F285" s="127"/>
      <c r="G285" s="127"/>
      <c r="H285" s="127"/>
      <c r="I285" s="127"/>
      <c r="J285" s="127"/>
      <c r="K285" s="127"/>
      <c r="L285" s="127"/>
      <c r="M285" s="127"/>
      <c r="N285" s="127"/>
      <c r="O285" s="127"/>
      <c r="P285" s="127"/>
      <c r="Q285" s="127"/>
      <c r="R285" s="127"/>
      <c r="S285" s="127"/>
      <c r="T285" s="127"/>
      <c r="U285" s="127"/>
      <c r="V285" s="127"/>
      <c r="W285" s="127"/>
      <c r="X285" s="127"/>
      <c r="Y285" s="127"/>
    </row>
    <row r="286">
      <c r="A286" s="127"/>
      <c r="B286" s="127"/>
      <c r="C286" s="127"/>
      <c r="D286" s="127"/>
      <c r="E286" s="127"/>
      <c r="F286" s="127"/>
      <c r="G286" s="127"/>
      <c r="H286" s="127"/>
      <c r="I286" s="127"/>
      <c r="J286" s="127"/>
      <c r="K286" s="127"/>
      <c r="L286" s="127"/>
      <c r="M286" s="127"/>
      <c r="N286" s="127"/>
      <c r="O286" s="127"/>
      <c r="P286" s="127"/>
      <c r="Q286" s="127"/>
      <c r="R286" s="127"/>
      <c r="S286" s="127"/>
      <c r="T286" s="127"/>
      <c r="U286" s="127"/>
      <c r="V286" s="127"/>
      <c r="W286" s="127"/>
      <c r="X286" s="127"/>
      <c r="Y286" s="127"/>
    </row>
    <row r="287">
      <c r="A287" s="127"/>
      <c r="B287" s="127"/>
      <c r="C287" s="127"/>
      <c r="D287" s="127"/>
      <c r="E287" s="127"/>
      <c r="F287" s="127"/>
      <c r="G287" s="127"/>
      <c r="H287" s="127"/>
      <c r="I287" s="127"/>
      <c r="J287" s="127"/>
      <c r="K287" s="127"/>
      <c r="L287" s="127"/>
      <c r="M287" s="127"/>
      <c r="N287" s="127"/>
      <c r="O287" s="127"/>
      <c r="P287" s="127"/>
      <c r="Q287" s="127"/>
      <c r="R287" s="127"/>
      <c r="S287" s="127"/>
      <c r="T287" s="127"/>
      <c r="U287" s="127"/>
      <c r="V287" s="127"/>
      <c r="W287" s="127"/>
      <c r="X287" s="127"/>
      <c r="Y287" s="127"/>
    </row>
    <row r="288">
      <c r="A288" s="127"/>
      <c r="B288" s="127"/>
      <c r="C288" s="127"/>
      <c r="D288" s="127"/>
      <c r="E288" s="127"/>
      <c r="F288" s="127"/>
      <c r="G288" s="127"/>
      <c r="H288" s="127"/>
      <c r="I288" s="127"/>
      <c r="J288" s="127"/>
      <c r="K288" s="127"/>
      <c r="L288" s="127"/>
      <c r="M288" s="127"/>
      <c r="N288" s="127"/>
      <c r="O288" s="127"/>
      <c r="P288" s="127"/>
      <c r="Q288" s="127"/>
      <c r="R288" s="127"/>
      <c r="S288" s="127"/>
      <c r="T288" s="127"/>
      <c r="U288" s="127"/>
      <c r="V288" s="127"/>
      <c r="W288" s="127"/>
      <c r="X288" s="127"/>
      <c r="Y288" s="127"/>
    </row>
    <row r="289">
      <c r="A289" s="127"/>
      <c r="B289" s="127"/>
      <c r="C289" s="127"/>
      <c r="D289" s="127"/>
      <c r="E289" s="127"/>
      <c r="F289" s="127"/>
      <c r="G289" s="127"/>
      <c r="H289" s="127"/>
      <c r="I289" s="127"/>
      <c r="J289" s="127"/>
      <c r="K289" s="127"/>
      <c r="L289" s="127"/>
      <c r="M289" s="127"/>
      <c r="N289" s="127"/>
      <c r="O289" s="127"/>
      <c r="P289" s="127"/>
      <c r="Q289" s="127"/>
      <c r="R289" s="127"/>
      <c r="S289" s="127"/>
      <c r="T289" s="127"/>
      <c r="U289" s="127"/>
      <c r="V289" s="127"/>
      <c r="W289" s="127"/>
      <c r="X289" s="127"/>
      <c r="Y289" s="127"/>
    </row>
    <row r="290">
      <c r="A290" s="127"/>
      <c r="B290" s="127"/>
      <c r="C290" s="127"/>
      <c r="D290" s="127"/>
      <c r="E290" s="127"/>
      <c r="F290" s="127"/>
      <c r="G290" s="127"/>
      <c r="H290" s="127"/>
      <c r="I290" s="127"/>
      <c r="J290" s="127"/>
      <c r="K290" s="127"/>
      <c r="L290" s="127"/>
      <c r="M290" s="127"/>
      <c r="N290" s="127"/>
      <c r="O290" s="127"/>
      <c r="P290" s="127"/>
      <c r="Q290" s="127"/>
      <c r="R290" s="127"/>
      <c r="S290" s="127"/>
      <c r="T290" s="127"/>
      <c r="U290" s="127"/>
      <c r="V290" s="127"/>
      <c r="W290" s="127"/>
      <c r="X290" s="127"/>
      <c r="Y290" s="127"/>
    </row>
    <row r="291">
      <c r="A291" s="127"/>
      <c r="B291" s="127"/>
      <c r="C291" s="127"/>
      <c r="D291" s="127"/>
      <c r="E291" s="127"/>
      <c r="F291" s="127"/>
      <c r="G291" s="127"/>
      <c r="H291" s="127"/>
      <c r="I291" s="127"/>
      <c r="J291" s="127"/>
      <c r="K291" s="127"/>
      <c r="L291" s="127"/>
      <c r="M291" s="127"/>
      <c r="N291" s="127"/>
      <c r="O291" s="127"/>
      <c r="P291" s="127"/>
      <c r="Q291" s="127"/>
      <c r="R291" s="127"/>
      <c r="S291" s="127"/>
      <c r="T291" s="127"/>
      <c r="U291" s="127"/>
      <c r="V291" s="127"/>
      <c r="W291" s="127"/>
      <c r="X291" s="127"/>
      <c r="Y291" s="127"/>
    </row>
    <row r="292">
      <c r="A292" s="127"/>
      <c r="B292" s="127"/>
      <c r="C292" s="127"/>
      <c r="D292" s="127"/>
      <c r="E292" s="127"/>
      <c r="F292" s="127"/>
      <c r="G292" s="127"/>
      <c r="H292" s="127"/>
      <c r="I292" s="127"/>
      <c r="J292" s="127"/>
      <c r="K292" s="127"/>
      <c r="L292" s="127"/>
      <c r="M292" s="127"/>
      <c r="N292" s="127"/>
      <c r="O292" s="127"/>
      <c r="P292" s="127"/>
      <c r="Q292" s="127"/>
      <c r="R292" s="127"/>
      <c r="S292" s="127"/>
      <c r="T292" s="127"/>
      <c r="U292" s="127"/>
      <c r="V292" s="127"/>
      <c r="W292" s="127"/>
      <c r="X292" s="127"/>
      <c r="Y292" s="127"/>
    </row>
    <row r="293">
      <c r="A293" s="127"/>
      <c r="B293" s="127"/>
      <c r="C293" s="127"/>
      <c r="D293" s="127"/>
      <c r="E293" s="127"/>
      <c r="F293" s="127"/>
      <c r="G293" s="127"/>
      <c r="H293" s="127"/>
      <c r="I293" s="127"/>
      <c r="J293" s="127"/>
      <c r="K293" s="127"/>
      <c r="L293" s="127"/>
      <c r="M293" s="127"/>
      <c r="N293" s="127"/>
      <c r="O293" s="127"/>
      <c r="P293" s="127"/>
      <c r="Q293" s="127"/>
      <c r="R293" s="127"/>
      <c r="S293" s="127"/>
      <c r="T293" s="127"/>
      <c r="U293" s="127"/>
      <c r="V293" s="127"/>
      <c r="W293" s="127"/>
      <c r="X293" s="127"/>
      <c r="Y293" s="127"/>
    </row>
    <row r="294">
      <c r="A294" s="127"/>
      <c r="B294" s="127"/>
      <c r="C294" s="127"/>
      <c r="D294" s="127"/>
      <c r="E294" s="127"/>
      <c r="F294" s="127"/>
      <c r="G294" s="127"/>
      <c r="H294" s="127"/>
      <c r="I294" s="127"/>
      <c r="J294" s="127"/>
      <c r="K294" s="127"/>
      <c r="L294" s="127"/>
      <c r="M294" s="127"/>
      <c r="N294" s="127"/>
      <c r="O294" s="127"/>
      <c r="P294" s="127"/>
      <c r="Q294" s="127"/>
      <c r="R294" s="127"/>
      <c r="S294" s="127"/>
      <c r="T294" s="127"/>
      <c r="U294" s="127"/>
      <c r="V294" s="127"/>
      <c r="W294" s="127"/>
      <c r="X294" s="127"/>
      <c r="Y294" s="127"/>
    </row>
    <row r="295">
      <c r="A295" s="127"/>
      <c r="B295" s="127"/>
      <c r="C295" s="127"/>
      <c r="D295" s="127"/>
      <c r="E295" s="127"/>
      <c r="F295" s="127"/>
      <c r="G295" s="127"/>
      <c r="H295" s="127"/>
      <c r="I295" s="127"/>
      <c r="J295" s="127"/>
      <c r="K295" s="127"/>
      <c r="L295" s="127"/>
      <c r="M295" s="127"/>
      <c r="N295" s="127"/>
      <c r="O295" s="127"/>
      <c r="P295" s="127"/>
      <c r="Q295" s="127"/>
      <c r="R295" s="127"/>
      <c r="S295" s="127"/>
      <c r="T295" s="127"/>
      <c r="U295" s="127"/>
      <c r="V295" s="127"/>
      <c r="W295" s="127"/>
      <c r="X295" s="127"/>
      <c r="Y295" s="127"/>
    </row>
    <row r="296">
      <c r="A296" s="127"/>
      <c r="B296" s="127"/>
      <c r="C296" s="127"/>
      <c r="D296" s="127"/>
      <c r="E296" s="127"/>
      <c r="F296" s="127"/>
      <c r="G296" s="127"/>
      <c r="H296" s="127"/>
      <c r="I296" s="127"/>
      <c r="J296" s="127"/>
      <c r="K296" s="127"/>
      <c r="L296" s="127"/>
      <c r="M296" s="127"/>
      <c r="N296" s="127"/>
      <c r="O296" s="127"/>
      <c r="P296" s="127"/>
      <c r="Q296" s="127"/>
      <c r="R296" s="127"/>
      <c r="S296" s="127"/>
      <c r="T296" s="127"/>
      <c r="U296" s="127"/>
      <c r="V296" s="127"/>
      <c r="W296" s="127"/>
      <c r="X296" s="127"/>
      <c r="Y296" s="127"/>
    </row>
    <row r="297">
      <c r="A297" s="127"/>
      <c r="B297" s="127"/>
      <c r="C297" s="127"/>
      <c r="D297" s="127"/>
      <c r="E297" s="127"/>
      <c r="F297" s="127"/>
      <c r="G297" s="127"/>
      <c r="H297" s="127"/>
      <c r="I297" s="127"/>
      <c r="J297" s="127"/>
      <c r="K297" s="127"/>
      <c r="L297" s="127"/>
      <c r="M297" s="127"/>
      <c r="N297" s="127"/>
      <c r="O297" s="127"/>
      <c r="P297" s="127"/>
      <c r="Q297" s="127"/>
      <c r="R297" s="127"/>
      <c r="S297" s="127"/>
      <c r="T297" s="127"/>
      <c r="U297" s="127"/>
      <c r="V297" s="127"/>
      <c r="W297" s="127"/>
      <c r="X297" s="127"/>
      <c r="Y297" s="127"/>
    </row>
    <row r="298">
      <c r="A298" s="127"/>
      <c r="B298" s="127"/>
      <c r="C298" s="127"/>
      <c r="D298" s="127"/>
      <c r="E298" s="127"/>
      <c r="F298" s="127"/>
      <c r="G298" s="127"/>
      <c r="H298" s="127"/>
      <c r="I298" s="127"/>
      <c r="J298" s="127"/>
      <c r="K298" s="127"/>
      <c r="L298" s="127"/>
      <c r="M298" s="127"/>
      <c r="N298" s="127"/>
      <c r="O298" s="127"/>
      <c r="P298" s="127"/>
      <c r="Q298" s="127"/>
      <c r="R298" s="127"/>
      <c r="S298" s="127"/>
      <c r="T298" s="127"/>
      <c r="U298" s="127"/>
      <c r="V298" s="127"/>
      <c r="W298" s="127"/>
      <c r="X298" s="127"/>
      <c r="Y298" s="127"/>
    </row>
    <row r="299">
      <c r="A299" s="127"/>
      <c r="B299" s="127"/>
      <c r="C299" s="127"/>
      <c r="D299" s="127"/>
      <c r="E299" s="127"/>
      <c r="F299" s="127"/>
      <c r="G299" s="127"/>
      <c r="H299" s="127"/>
      <c r="I299" s="127"/>
      <c r="J299" s="127"/>
      <c r="K299" s="127"/>
      <c r="L299" s="127"/>
      <c r="M299" s="127"/>
      <c r="N299" s="127"/>
      <c r="O299" s="127"/>
      <c r="P299" s="127"/>
      <c r="Q299" s="127"/>
      <c r="R299" s="127"/>
      <c r="S299" s="127"/>
      <c r="T299" s="127"/>
      <c r="U299" s="127"/>
      <c r="V299" s="127"/>
      <c r="W299" s="127"/>
      <c r="X299" s="127"/>
      <c r="Y299" s="127"/>
    </row>
    <row r="300">
      <c r="A300" s="127"/>
      <c r="B300" s="127"/>
      <c r="C300" s="127"/>
      <c r="D300" s="127"/>
      <c r="E300" s="127"/>
      <c r="F300" s="127"/>
      <c r="G300" s="127"/>
      <c r="H300" s="127"/>
      <c r="I300" s="127"/>
      <c r="J300" s="127"/>
      <c r="K300" s="127"/>
      <c r="L300" s="127"/>
      <c r="M300" s="127"/>
      <c r="N300" s="127"/>
      <c r="O300" s="127"/>
      <c r="P300" s="127"/>
      <c r="Q300" s="127"/>
      <c r="R300" s="127"/>
      <c r="S300" s="127"/>
      <c r="T300" s="127"/>
      <c r="U300" s="127"/>
      <c r="V300" s="127"/>
      <c r="W300" s="127"/>
      <c r="X300" s="127"/>
      <c r="Y300" s="127"/>
    </row>
    <row r="301">
      <c r="A301" s="127"/>
      <c r="B301" s="127"/>
      <c r="C301" s="127"/>
      <c r="D301" s="127"/>
      <c r="E301" s="127"/>
      <c r="F301" s="127"/>
      <c r="G301" s="127"/>
      <c r="H301" s="127"/>
      <c r="I301" s="127"/>
      <c r="J301" s="127"/>
      <c r="K301" s="127"/>
      <c r="L301" s="127"/>
      <c r="M301" s="127"/>
      <c r="N301" s="127"/>
      <c r="O301" s="127"/>
      <c r="P301" s="127"/>
      <c r="Q301" s="127"/>
      <c r="R301" s="127"/>
      <c r="S301" s="127"/>
      <c r="T301" s="127"/>
      <c r="U301" s="127"/>
      <c r="V301" s="127"/>
      <c r="W301" s="127"/>
      <c r="X301" s="127"/>
      <c r="Y301" s="127"/>
    </row>
    <row r="302">
      <c r="A302" s="127"/>
      <c r="B302" s="127"/>
      <c r="C302" s="127"/>
      <c r="D302" s="127"/>
      <c r="E302" s="127"/>
      <c r="F302" s="127"/>
      <c r="G302" s="127"/>
      <c r="H302" s="127"/>
      <c r="I302" s="127"/>
      <c r="J302" s="127"/>
      <c r="K302" s="127"/>
      <c r="L302" s="127"/>
      <c r="M302" s="127"/>
      <c r="N302" s="127"/>
      <c r="O302" s="127"/>
      <c r="P302" s="127"/>
      <c r="Q302" s="127"/>
      <c r="R302" s="127"/>
      <c r="S302" s="127"/>
      <c r="T302" s="127"/>
      <c r="U302" s="127"/>
      <c r="V302" s="127"/>
      <c r="W302" s="127"/>
      <c r="X302" s="127"/>
      <c r="Y302" s="127"/>
    </row>
    <row r="303">
      <c r="A303" s="127"/>
      <c r="B303" s="127"/>
      <c r="C303" s="127"/>
      <c r="D303" s="127"/>
      <c r="E303" s="127"/>
      <c r="F303" s="127"/>
      <c r="G303" s="127"/>
      <c r="H303" s="127"/>
      <c r="I303" s="127"/>
      <c r="J303" s="127"/>
      <c r="K303" s="127"/>
      <c r="L303" s="127"/>
      <c r="M303" s="127"/>
      <c r="N303" s="127"/>
      <c r="O303" s="127"/>
      <c r="P303" s="127"/>
      <c r="Q303" s="127"/>
      <c r="R303" s="127"/>
      <c r="S303" s="127"/>
      <c r="T303" s="127"/>
      <c r="U303" s="127"/>
      <c r="V303" s="127"/>
      <c r="W303" s="127"/>
      <c r="X303" s="127"/>
      <c r="Y303" s="127"/>
    </row>
    <row r="304">
      <c r="A304" s="127"/>
      <c r="B304" s="127"/>
      <c r="C304" s="127"/>
      <c r="D304" s="127"/>
      <c r="E304" s="127"/>
      <c r="F304" s="127"/>
      <c r="G304" s="127"/>
      <c r="H304" s="127"/>
      <c r="I304" s="127"/>
      <c r="J304" s="127"/>
      <c r="K304" s="127"/>
      <c r="L304" s="127"/>
      <c r="M304" s="127"/>
      <c r="N304" s="127"/>
      <c r="O304" s="127"/>
      <c r="P304" s="127"/>
      <c r="Q304" s="127"/>
      <c r="R304" s="127"/>
      <c r="S304" s="127"/>
      <c r="T304" s="127"/>
      <c r="U304" s="127"/>
      <c r="V304" s="127"/>
      <c r="W304" s="127"/>
      <c r="X304" s="127"/>
      <c r="Y304" s="127"/>
    </row>
    <row r="305">
      <c r="A305" s="127"/>
      <c r="B305" s="127"/>
      <c r="C305" s="127"/>
      <c r="D305" s="127"/>
      <c r="E305" s="127"/>
      <c r="F305" s="127"/>
      <c r="G305" s="127"/>
      <c r="H305" s="127"/>
      <c r="I305" s="127"/>
      <c r="J305" s="127"/>
      <c r="K305" s="127"/>
      <c r="L305" s="127"/>
      <c r="M305" s="127"/>
      <c r="N305" s="127"/>
      <c r="O305" s="127"/>
      <c r="P305" s="127"/>
      <c r="Q305" s="127"/>
      <c r="R305" s="127"/>
      <c r="S305" s="127"/>
      <c r="T305" s="127"/>
      <c r="U305" s="127"/>
      <c r="V305" s="127"/>
      <c r="W305" s="127"/>
      <c r="X305" s="127"/>
      <c r="Y305" s="127"/>
    </row>
    <row r="306">
      <c r="A306" s="127"/>
      <c r="B306" s="127"/>
      <c r="C306" s="127"/>
      <c r="D306" s="127"/>
      <c r="E306" s="127"/>
      <c r="F306" s="127"/>
      <c r="G306" s="127"/>
      <c r="H306" s="127"/>
      <c r="I306" s="127"/>
      <c r="J306" s="127"/>
      <c r="K306" s="127"/>
      <c r="L306" s="127"/>
      <c r="M306" s="127"/>
      <c r="N306" s="127"/>
      <c r="O306" s="127"/>
      <c r="P306" s="127"/>
      <c r="Q306" s="127"/>
      <c r="R306" s="127"/>
      <c r="S306" s="127"/>
      <c r="T306" s="127"/>
      <c r="U306" s="127"/>
      <c r="V306" s="127"/>
      <c r="W306" s="127"/>
      <c r="X306" s="127"/>
      <c r="Y306" s="127"/>
    </row>
    <row r="307">
      <c r="A307" s="127"/>
      <c r="B307" s="127"/>
      <c r="C307" s="127"/>
      <c r="D307" s="127"/>
      <c r="E307" s="127"/>
      <c r="F307" s="127"/>
      <c r="G307" s="127"/>
      <c r="H307" s="127"/>
      <c r="I307" s="127"/>
      <c r="J307" s="127"/>
      <c r="K307" s="127"/>
      <c r="L307" s="127"/>
      <c r="M307" s="127"/>
      <c r="N307" s="127"/>
      <c r="O307" s="127"/>
      <c r="P307" s="127"/>
      <c r="Q307" s="127"/>
      <c r="R307" s="127"/>
      <c r="S307" s="127"/>
      <c r="T307" s="127"/>
      <c r="U307" s="127"/>
      <c r="V307" s="127"/>
      <c r="W307" s="127"/>
      <c r="X307" s="127"/>
      <c r="Y307" s="127"/>
    </row>
    <row r="308">
      <c r="A308" s="127"/>
      <c r="B308" s="127"/>
      <c r="C308" s="127"/>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row>
    <row r="309">
      <c r="A309" s="127"/>
      <c r="B309" s="127"/>
      <c r="C309" s="127"/>
      <c r="D309" s="127"/>
      <c r="E309" s="127"/>
      <c r="F309" s="127"/>
      <c r="G309" s="127"/>
      <c r="H309" s="127"/>
      <c r="I309" s="127"/>
      <c r="J309" s="127"/>
      <c r="K309" s="127"/>
      <c r="L309" s="127"/>
      <c r="M309" s="127"/>
      <c r="N309" s="127"/>
      <c r="O309" s="127"/>
      <c r="P309" s="127"/>
      <c r="Q309" s="127"/>
      <c r="R309" s="127"/>
      <c r="S309" s="127"/>
      <c r="T309" s="127"/>
      <c r="U309" s="127"/>
      <c r="V309" s="127"/>
      <c r="W309" s="127"/>
      <c r="X309" s="127"/>
      <c r="Y309" s="127"/>
    </row>
    <row r="310">
      <c r="A310" s="127"/>
      <c r="B310" s="127"/>
      <c r="C310" s="127"/>
      <c r="D310" s="127"/>
      <c r="E310" s="127"/>
      <c r="F310" s="127"/>
      <c r="G310" s="127"/>
      <c r="H310" s="127"/>
      <c r="I310" s="127"/>
      <c r="J310" s="127"/>
      <c r="K310" s="127"/>
      <c r="L310" s="127"/>
      <c r="M310" s="127"/>
      <c r="N310" s="127"/>
      <c r="O310" s="127"/>
      <c r="P310" s="127"/>
      <c r="Q310" s="127"/>
      <c r="R310" s="127"/>
      <c r="S310" s="127"/>
      <c r="T310" s="127"/>
      <c r="U310" s="127"/>
      <c r="V310" s="127"/>
      <c r="W310" s="127"/>
      <c r="X310" s="127"/>
      <c r="Y310" s="127"/>
    </row>
    <row r="311">
      <c r="A311" s="127"/>
      <c r="B311" s="127"/>
      <c r="C311" s="127"/>
      <c r="D311" s="127"/>
      <c r="E311" s="127"/>
      <c r="F311" s="127"/>
      <c r="G311" s="127"/>
      <c r="H311" s="127"/>
      <c r="I311" s="127"/>
      <c r="J311" s="127"/>
      <c r="K311" s="127"/>
      <c r="L311" s="127"/>
      <c r="M311" s="127"/>
      <c r="N311" s="127"/>
      <c r="O311" s="127"/>
      <c r="P311" s="127"/>
      <c r="Q311" s="127"/>
      <c r="R311" s="127"/>
      <c r="S311" s="127"/>
      <c r="T311" s="127"/>
      <c r="U311" s="127"/>
      <c r="V311" s="127"/>
      <c r="W311" s="127"/>
      <c r="X311" s="127"/>
      <c r="Y311" s="127"/>
    </row>
    <row r="312">
      <c r="A312" s="127"/>
      <c r="B312" s="127"/>
      <c r="C312" s="127"/>
      <c r="D312" s="127"/>
      <c r="E312" s="127"/>
      <c r="F312" s="127"/>
      <c r="G312" s="127"/>
      <c r="H312" s="127"/>
      <c r="I312" s="127"/>
      <c r="J312" s="127"/>
      <c r="K312" s="127"/>
      <c r="L312" s="127"/>
      <c r="M312" s="127"/>
      <c r="N312" s="127"/>
      <c r="O312" s="127"/>
      <c r="P312" s="127"/>
      <c r="Q312" s="127"/>
      <c r="R312" s="127"/>
      <c r="S312" s="127"/>
      <c r="T312" s="127"/>
      <c r="U312" s="127"/>
      <c r="V312" s="127"/>
      <c r="W312" s="127"/>
      <c r="X312" s="127"/>
      <c r="Y312" s="127"/>
    </row>
    <row r="313">
      <c r="A313" s="127"/>
      <c r="B313" s="127"/>
      <c r="C313" s="127"/>
      <c r="D313" s="127"/>
      <c r="E313" s="127"/>
      <c r="F313" s="127"/>
      <c r="G313" s="127"/>
      <c r="H313" s="127"/>
      <c r="I313" s="127"/>
      <c r="J313" s="127"/>
      <c r="K313" s="127"/>
      <c r="L313" s="127"/>
      <c r="M313" s="127"/>
      <c r="N313" s="127"/>
      <c r="O313" s="127"/>
      <c r="P313" s="127"/>
      <c r="Q313" s="127"/>
      <c r="R313" s="127"/>
      <c r="S313" s="127"/>
      <c r="T313" s="127"/>
      <c r="U313" s="127"/>
      <c r="V313" s="127"/>
      <c r="W313" s="127"/>
      <c r="X313" s="127"/>
      <c r="Y313" s="127"/>
    </row>
    <row r="314">
      <c r="A314" s="127"/>
      <c r="B314" s="127"/>
      <c r="C314" s="127"/>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7"/>
    </row>
    <row r="315">
      <c r="A315" s="127"/>
      <c r="B315" s="127"/>
      <c r="C315" s="127"/>
      <c r="D315" s="127"/>
      <c r="E315" s="127"/>
      <c r="F315" s="127"/>
      <c r="G315" s="127"/>
      <c r="H315" s="127"/>
      <c r="I315" s="127"/>
      <c r="J315" s="127"/>
      <c r="K315" s="127"/>
      <c r="L315" s="127"/>
      <c r="M315" s="127"/>
      <c r="N315" s="127"/>
      <c r="O315" s="127"/>
      <c r="P315" s="127"/>
      <c r="Q315" s="127"/>
      <c r="R315" s="127"/>
      <c r="S315" s="127"/>
      <c r="T315" s="127"/>
      <c r="U315" s="127"/>
      <c r="V315" s="127"/>
      <c r="W315" s="127"/>
      <c r="X315" s="127"/>
      <c r="Y315" s="127"/>
    </row>
    <row r="316">
      <c r="A316" s="127"/>
      <c r="B316" s="127"/>
      <c r="C316" s="127"/>
      <c r="D316" s="127"/>
      <c r="E316" s="127"/>
      <c r="F316" s="127"/>
      <c r="G316" s="127"/>
      <c r="H316" s="127"/>
      <c r="I316" s="127"/>
      <c r="J316" s="127"/>
      <c r="K316" s="127"/>
      <c r="L316" s="127"/>
      <c r="M316" s="127"/>
      <c r="N316" s="127"/>
      <c r="O316" s="127"/>
      <c r="P316" s="127"/>
      <c r="Q316" s="127"/>
      <c r="R316" s="127"/>
      <c r="S316" s="127"/>
      <c r="T316" s="127"/>
      <c r="U316" s="127"/>
      <c r="V316" s="127"/>
      <c r="W316" s="127"/>
      <c r="X316" s="127"/>
      <c r="Y316" s="127"/>
    </row>
    <row r="317">
      <c r="A317" s="127"/>
      <c r="B317" s="127"/>
      <c r="C317" s="127"/>
      <c r="D317" s="127"/>
      <c r="E317" s="127"/>
      <c r="F317" s="127"/>
      <c r="G317" s="127"/>
      <c r="H317" s="127"/>
      <c r="I317" s="127"/>
      <c r="J317" s="127"/>
      <c r="K317" s="127"/>
      <c r="L317" s="127"/>
      <c r="M317" s="127"/>
      <c r="N317" s="127"/>
      <c r="O317" s="127"/>
      <c r="P317" s="127"/>
      <c r="Q317" s="127"/>
      <c r="R317" s="127"/>
      <c r="S317" s="127"/>
      <c r="T317" s="127"/>
      <c r="U317" s="127"/>
      <c r="V317" s="127"/>
      <c r="W317" s="127"/>
      <c r="X317" s="127"/>
      <c r="Y317" s="127"/>
    </row>
    <row r="318">
      <c r="A318" s="127"/>
      <c r="B318" s="127"/>
      <c r="C318" s="127"/>
      <c r="D318" s="127"/>
      <c r="E318" s="127"/>
      <c r="F318" s="127"/>
      <c r="G318" s="127"/>
      <c r="H318" s="127"/>
      <c r="I318" s="127"/>
      <c r="J318" s="127"/>
      <c r="K318" s="127"/>
      <c r="L318" s="127"/>
      <c r="M318" s="127"/>
      <c r="N318" s="127"/>
      <c r="O318" s="127"/>
      <c r="P318" s="127"/>
      <c r="Q318" s="127"/>
      <c r="R318" s="127"/>
      <c r="S318" s="127"/>
      <c r="T318" s="127"/>
      <c r="U318" s="127"/>
      <c r="V318" s="127"/>
      <c r="W318" s="127"/>
      <c r="X318" s="127"/>
      <c r="Y318" s="127"/>
    </row>
    <row r="319">
      <c r="A319" s="127"/>
      <c r="B319" s="127"/>
      <c r="C319" s="127"/>
      <c r="D319" s="127"/>
      <c r="E319" s="127"/>
      <c r="F319" s="127"/>
      <c r="G319" s="127"/>
      <c r="H319" s="127"/>
      <c r="I319" s="127"/>
      <c r="J319" s="127"/>
      <c r="K319" s="127"/>
      <c r="L319" s="127"/>
      <c r="M319" s="127"/>
      <c r="N319" s="127"/>
      <c r="O319" s="127"/>
      <c r="P319" s="127"/>
      <c r="Q319" s="127"/>
      <c r="R319" s="127"/>
      <c r="S319" s="127"/>
      <c r="T319" s="127"/>
      <c r="U319" s="127"/>
      <c r="V319" s="127"/>
      <c r="W319" s="127"/>
      <c r="X319" s="127"/>
      <c r="Y319" s="127"/>
    </row>
    <row r="320">
      <c r="A320" s="127"/>
      <c r="B320" s="127"/>
      <c r="C320" s="127"/>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row>
    <row r="321">
      <c r="A321" s="127"/>
      <c r="B321" s="127"/>
      <c r="C321" s="127"/>
      <c r="D321" s="127"/>
      <c r="E321" s="127"/>
      <c r="F321" s="127"/>
      <c r="G321" s="127"/>
      <c r="H321" s="127"/>
      <c r="I321" s="127"/>
      <c r="J321" s="127"/>
      <c r="K321" s="127"/>
      <c r="L321" s="127"/>
      <c r="M321" s="127"/>
      <c r="N321" s="127"/>
      <c r="O321" s="127"/>
      <c r="P321" s="127"/>
      <c r="Q321" s="127"/>
      <c r="R321" s="127"/>
      <c r="S321" s="127"/>
      <c r="T321" s="127"/>
      <c r="U321" s="127"/>
      <c r="V321" s="127"/>
      <c r="W321" s="127"/>
      <c r="X321" s="127"/>
      <c r="Y321" s="127"/>
    </row>
    <row r="322">
      <c r="A322" s="127"/>
      <c r="B322" s="127"/>
      <c r="C322" s="127"/>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row>
    <row r="323">
      <c r="A323" s="127"/>
      <c r="B323" s="127"/>
      <c r="C323" s="127"/>
      <c r="D323" s="127"/>
      <c r="E323" s="127"/>
      <c r="F323" s="127"/>
      <c r="G323" s="127"/>
      <c r="H323" s="127"/>
      <c r="I323" s="127"/>
      <c r="J323" s="127"/>
      <c r="K323" s="127"/>
      <c r="L323" s="127"/>
      <c r="M323" s="127"/>
      <c r="N323" s="127"/>
      <c r="O323" s="127"/>
      <c r="P323" s="127"/>
      <c r="Q323" s="127"/>
      <c r="R323" s="127"/>
      <c r="S323" s="127"/>
      <c r="T323" s="127"/>
      <c r="U323" s="127"/>
      <c r="V323" s="127"/>
      <c r="W323" s="127"/>
      <c r="X323" s="127"/>
      <c r="Y323" s="127"/>
    </row>
    <row r="324">
      <c r="A324" s="127"/>
      <c r="B324" s="127"/>
      <c r="C324" s="127"/>
      <c r="D324" s="127"/>
      <c r="E324" s="127"/>
      <c r="F324" s="127"/>
      <c r="G324" s="127"/>
      <c r="H324" s="127"/>
      <c r="I324" s="127"/>
      <c r="J324" s="127"/>
      <c r="K324" s="127"/>
      <c r="L324" s="127"/>
      <c r="M324" s="127"/>
      <c r="N324" s="127"/>
      <c r="O324" s="127"/>
      <c r="P324" s="127"/>
      <c r="Q324" s="127"/>
      <c r="R324" s="127"/>
      <c r="S324" s="127"/>
      <c r="T324" s="127"/>
      <c r="U324" s="127"/>
      <c r="V324" s="127"/>
      <c r="W324" s="127"/>
      <c r="X324" s="127"/>
      <c r="Y324" s="127"/>
    </row>
    <row r="325">
      <c r="A325" s="127"/>
      <c r="B325" s="127"/>
      <c r="C325" s="127"/>
      <c r="D325" s="127"/>
      <c r="E325" s="127"/>
      <c r="F325" s="127"/>
      <c r="G325" s="127"/>
      <c r="H325" s="127"/>
      <c r="I325" s="127"/>
      <c r="J325" s="127"/>
      <c r="K325" s="127"/>
      <c r="L325" s="127"/>
      <c r="M325" s="127"/>
      <c r="N325" s="127"/>
      <c r="O325" s="127"/>
      <c r="P325" s="127"/>
      <c r="Q325" s="127"/>
      <c r="R325" s="127"/>
      <c r="S325" s="127"/>
      <c r="T325" s="127"/>
      <c r="U325" s="127"/>
      <c r="V325" s="127"/>
      <c r="W325" s="127"/>
      <c r="X325" s="127"/>
      <c r="Y325" s="127"/>
    </row>
    <row r="326">
      <c r="A326" s="127"/>
      <c r="B326" s="127"/>
      <c r="C326" s="127"/>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row>
    <row r="327">
      <c r="A327" s="127"/>
      <c r="B327" s="127"/>
      <c r="C327" s="127"/>
      <c r="D327" s="127"/>
      <c r="E327" s="127"/>
      <c r="F327" s="127"/>
      <c r="G327" s="127"/>
      <c r="H327" s="127"/>
      <c r="I327" s="127"/>
      <c r="J327" s="127"/>
      <c r="K327" s="127"/>
      <c r="L327" s="127"/>
      <c r="M327" s="127"/>
      <c r="N327" s="127"/>
      <c r="O327" s="127"/>
      <c r="P327" s="127"/>
      <c r="Q327" s="127"/>
      <c r="R327" s="127"/>
      <c r="S327" s="127"/>
      <c r="T327" s="127"/>
      <c r="U327" s="127"/>
      <c r="V327" s="127"/>
      <c r="W327" s="127"/>
      <c r="X327" s="127"/>
      <c r="Y327" s="127"/>
    </row>
    <row r="328">
      <c r="A328" s="127"/>
      <c r="B328" s="127"/>
      <c r="C328" s="127"/>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row>
    <row r="329">
      <c r="A329" s="127"/>
      <c r="B329" s="127"/>
      <c r="C329" s="127"/>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row>
    <row r="330">
      <c r="A330" s="127"/>
      <c r="B330" s="127"/>
      <c r="C330" s="127"/>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row>
    <row r="331">
      <c r="A331" s="127"/>
      <c r="B331" s="127"/>
      <c r="C331" s="127"/>
      <c r="D331" s="127"/>
      <c r="E331" s="127"/>
      <c r="F331" s="127"/>
      <c r="G331" s="127"/>
      <c r="H331" s="127"/>
      <c r="I331" s="127"/>
      <c r="J331" s="127"/>
      <c r="K331" s="127"/>
      <c r="L331" s="127"/>
      <c r="M331" s="127"/>
      <c r="N331" s="127"/>
      <c r="O331" s="127"/>
      <c r="P331" s="127"/>
      <c r="Q331" s="127"/>
      <c r="R331" s="127"/>
      <c r="S331" s="127"/>
      <c r="T331" s="127"/>
      <c r="U331" s="127"/>
      <c r="V331" s="127"/>
      <c r="W331" s="127"/>
      <c r="X331" s="127"/>
      <c r="Y331" s="127"/>
    </row>
    <row r="332">
      <c r="A332" s="127"/>
      <c r="B332" s="127"/>
      <c r="C332" s="127"/>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row>
    <row r="333">
      <c r="A333" s="127"/>
      <c r="B333" s="127"/>
      <c r="C333" s="127"/>
      <c r="D333" s="127"/>
      <c r="E333" s="127"/>
      <c r="F333" s="127"/>
      <c r="G333" s="127"/>
      <c r="H333" s="127"/>
      <c r="I333" s="127"/>
      <c r="J333" s="127"/>
      <c r="K333" s="127"/>
      <c r="L333" s="127"/>
      <c r="M333" s="127"/>
      <c r="N333" s="127"/>
      <c r="O333" s="127"/>
      <c r="P333" s="127"/>
      <c r="Q333" s="127"/>
      <c r="R333" s="127"/>
      <c r="S333" s="127"/>
      <c r="T333" s="127"/>
      <c r="U333" s="127"/>
      <c r="V333" s="127"/>
      <c r="W333" s="127"/>
      <c r="X333" s="127"/>
      <c r="Y333" s="127"/>
    </row>
    <row r="334">
      <c r="A334" s="127"/>
      <c r="B334" s="127"/>
      <c r="C334" s="127"/>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row>
    <row r="335">
      <c r="A335" s="127"/>
      <c r="B335" s="127"/>
      <c r="C335" s="127"/>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row>
    <row r="336">
      <c r="A336" s="127"/>
      <c r="B336" s="127"/>
      <c r="C336" s="127"/>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row>
    <row r="337">
      <c r="A337" s="127"/>
      <c r="B337" s="127"/>
      <c r="C337" s="127"/>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row>
    <row r="338">
      <c r="A338" s="127"/>
      <c r="B338" s="127"/>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row>
    <row r="339">
      <c r="A339" s="127"/>
      <c r="B339" s="127"/>
      <c r="C339" s="127"/>
      <c r="D339" s="127"/>
      <c r="E339" s="127"/>
      <c r="F339" s="127"/>
      <c r="G339" s="127"/>
      <c r="H339" s="127"/>
      <c r="I339" s="127"/>
      <c r="J339" s="127"/>
      <c r="K339" s="127"/>
      <c r="L339" s="127"/>
      <c r="M339" s="127"/>
      <c r="N339" s="127"/>
      <c r="O339" s="127"/>
      <c r="P339" s="127"/>
      <c r="Q339" s="127"/>
      <c r="R339" s="127"/>
      <c r="S339" s="127"/>
      <c r="T339" s="127"/>
      <c r="U339" s="127"/>
      <c r="V339" s="127"/>
      <c r="W339" s="127"/>
      <c r="X339" s="127"/>
      <c r="Y339" s="127"/>
    </row>
    <row r="340">
      <c r="A340" s="127"/>
      <c r="B340" s="127"/>
      <c r="C340" s="127"/>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row>
    <row r="341">
      <c r="A341" s="127"/>
      <c r="B341" s="127"/>
      <c r="C341" s="127"/>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row>
    <row r="342">
      <c r="A342" s="127"/>
      <c r="B342" s="127"/>
      <c r="C342" s="127"/>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row>
    <row r="343">
      <c r="A343" s="127"/>
      <c r="B343" s="127"/>
      <c r="C343" s="127"/>
      <c r="D343" s="127"/>
      <c r="E343" s="127"/>
      <c r="F343" s="127"/>
      <c r="G343" s="127"/>
      <c r="H343" s="127"/>
      <c r="I343" s="127"/>
      <c r="J343" s="127"/>
      <c r="K343" s="127"/>
      <c r="L343" s="127"/>
      <c r="M343" s="127"/>
      <c r="N343" s="127"/>
      <c r="O343" s="127"/>
      <c r="P343" s="127"/>
      <c r="Q343" s="127"/>
      <c r="R343" s="127"/>
      <c r="S343" s="127"/>
      <c r="T343" s="127"/>
      <c r="U343" s="127"/>
      <c r="V343" s="127"/>
      <c r="W343" s="127"/>
      <c r="X343" s="127"/>
      <c r="Y343" s="127"/>
    </row>
    <row r="344">
      <c r="A344" s="127"/>
      <c r="B344" s="127"/>
      <c r="C344" s="127"/>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row>
    <row r="345">
      <c r="A345" s="127"/>
      <c r="B345" s="127"/>
      <c r="C345" s="127"/>
      <c r="D345" s="127"/>
      <c r="E345" s="127"/>
      <c r="F345" s="127"/>
      <c r="G345" s="127"/>
      <c r="H345" s="127"/>
      <c r="I345" s="127"/>
      <c r="J345" s="127"/>
      <c r="K345" s="127"/>
      <c r="L345" s="127"/>
      <c r="M345" s="127"/>
      <c r="N345" s="127"/>
      <c r="O345" s="127"/>
      <c r="P345" s="127"/>
      <c r="Q345" s="127"/>
      <c r="R345" s="127"/>
      <c r="S345" s="127"/>
      <c r="T345" s="127"/>
      <c r="U345" s="127"/>
      <c r="V345" s="127"/>
      <c r="W345" s="127"/>
      <c r="X345" s="127"/>
      <c r="Y345" s="127"/>
    </row>
    <row r="346">
      <c r="A346" s="127"/>
      <c r="B346" s="127"/>
      <c r="C346" s="127"/>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row>
    <row r="347">
      <c r="A347" s="127"/>
      <c r="B347" s="127"/>
      <c r="C347" s="127"/>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row>
    <row r="348">
      <c r="A348" s="127"/>
      <c r="B348" s="127"/>
      <c r="C348" s="127"/>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row>
    <row r="349">
      <c r="A349" s="127"/>
      <c r="B349" s="127"/>
      <c r="C349" s="127"/>
      <c r="D349" s="127"/>
      <c r="E349" s="127"/>
      <c r="F349" s="127"/>
      <c r="G349" s="127"/>
      <c r="H349" s="127"/>
      <c r="I349" s="127"/>
      <c r="J349" s="127"/>
      <c r="K349" s="127"/>
      <c r="L349" s="127"/>
      <c r="M349" s="127"/>
      <c r="N349" s="127"/>
      <c r="O349" s="127"/>
      <c r="P349" s="127"/>
      <c r="Q349" s="127"/>
      <c r="R349" s="127"/>
      <c r="S349" s="127"/>
      <c r="T349" s="127"/>
      <c r="U349" s="127"/>
      <c r="V349" s="127"/>
      <c r="W349" s="127"/>
      <c r="X349" s="127"/>
      <c r="Y349" s="127"/>
    </row>
    <row r="350">
      <c r="A350" s="127"/>
      <c r="B350" s="127"/>
      <c r="C350" s="127"/>
      <c r="D350" s="127"/>
      <c r="E350" s="127"/>
      <c r="F350" s="127"/>
      <c r="G350" s="127"/>
      <c r="H350" s="127"/>
      <c r="I350" s="127"/>
      <c r="J350" s="127"/>
      <c r="K350" s="127"/>
      <c r="L350" s="127"/>
      <c r="M350" s="127"/>
      <c r="N350" s="127"/>
      <c r="O350" s="127"/>
      <c r="P350" s="127"/>
      <c r="Q350" s="127"/>
      <c r="R350" s="127"/>
      <c r="S350" s="127"/>
      <c r="T350" s="127"/>
      <c r="U350" s="127"/>
      <c r="V350" s="127"/>
      <c r="W350" s="127"/>
      <c r="X350" s="127"/>
      <c r="Y350" s="127"/>
    </row>
    <row r="351">
      <c r="A351" s="127"/>
      <c r="B351" s="127"/>
      <c r="C351" s="127"/>
      <c r="D351" s="127"/>
      <c r="E351" s="127"/>
      <c r="F351" s="127"/>
      <c r="G351" s="127"/>
      <c r="H351" s="127"/>
      <c r="I351" s="127"/>
      <c r="J351" s="127"/>
      <c r="K351" s="127"/>
      <c r="L351" s="127"/>
      <c r="M351" s="127"/>
      <c r="N351" s="127"/>
      <c r="O351" s="127"/>
      <c r="P351" s="127"/>
      <c r="Q351" s="127"/>
      <c r="R351" s="127"/>
      <c r="S351" s="127"/>
      <c r="T351" s="127"/>
      <c r="U351" s="127"/>
      <c r="V351" s="127"/>
      <c r="W351" s="127"/>
      <c r="X351" s="127"/>
      <c r="Y351" s="127"/>
    </row>
    <row r="352">
      <c r="A352" s="127"/>
      <c r="B352" s="127"/>
      <c r="C352" s="127"/>
      <c r="D352" s="127"/>
      <c r="E352" s="127"/>
      <c r="F352" s="127"/>
      <c r="G352" s="127"/>
      <c r="H352" s="127"/>
      <c r="I352" s="127"/>
      <c r="J352" s="127"/>
      <c r="K352" s="127"/>
      <c r="L352" s="127"/>
      <c r="M352" s="127"/>
      <c r="N352" s="127"/>
      <c r="O352" s="127"/>
      <c r="P352" s="127"/>
      <c r="Q352" s="127"/>
      <c r="R352" s="127"/>
      <c r="S352" s="127"/>
      <c r="T352" s="127"/>
      <c r="U352" s="127"/>
      <c r="V352" s="127"/>
      <c r="W352" s="127"/>
      <c r="X352" s="127"/>
      <c r="Y352" s="127"/>
    </row>
    <row r="353">
      <c r="A353" s="127"/>
      <c r="B353" s="127"/>
      <c r="C353" s="127"/>
      <c r="D353" s="127"/>
      <c r="E353" s="127"/>
      <c r="F353" s="127"/>
      <c r="G353" s="127"/>
      <c r="H353" s="127"/>
      <c r="I353" s="127"/>
      <c r="J353" s="127"/>
      <c r="K353" s="127"/>
      <c r="L353" s="127"/>
      <c r="M353" s="127"/>
      <c r="N353" s="127"/>
      <c r="O353" s="127"/>
      <c r="P353" s="127"/>
      <c r="Q353" s="127"/>
      <c r="R353" s="127"/>
      <c r="S353" s="127"/>
      <c r="T353" s="127"/>
      <c r="U353" s="127"/>
      <c r="V353" s="127"/>
      <c r="W353" s="127"/>
      <c r="X353" s="127"/>
      <c r="Y353" s="127"/>
    </row>
    <row r="354">
      <c r="A354" s="127"/>
      <c r="B354" s="127"/>
      <c r="C354" s="127"/>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row>
    <row r="355">
      <c r="A355" s="127"/>
      <c r="B355" s="127"/>
      <c r="C355" s="127"/>
      <c r="D355" s="127"/>
      <c r="E355" s="127"/>
      <c r="F355" s="127"/>
      <c r="G355" s="127"/>
      <c r="H355" s="127"/>
      <c r="I355" s="127"/>
      <c r="J355" s="127"/>
      <c r="K355" s="127"/>
      <c r="L355" s="127"/>
      <c r="M355" s="127"/>
      <c r="N355" s="127"/>
      <c r="O355" s="127"/>
      <c r="P355" s="127"/>
      <c r="Q355" s="127"/>
      <c r="R355" s="127"/>
      <c r="S355" s="127"/>
      <c r="T355" s="127"/>
      <c r="U355" s="127"/>
      <c r="V355" s="127"/>
      <c r="W355" s="127"/>
      <c r="X355" s="127"/>
      <c r="Y355" s="127"/>
    </row>
    <row r="356">
      <c r="A356" s="127"/>
      <c r="B356" s="127"/>
      <c r="C356" s="127"/>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row>
    <row r="357">
      <c r="A357" s="127"/>
      <c r="B357" s="127"/>
      <c r="C357" s="127"/>
      <c r="D357" s="127"/>
      <c r="E357" s="127"/>
      <c r="F357" s="127"/>
      <c r="G357" s="127"/>
      <c r="H357" s="127"/>
      <c r="I357" s="127"/>
      <c r="J357" s="127"/>
      <c r="K357" s="127"/>
      <c r="L357" s="127"/>
      <c r="M357" s="127"/>
      <c r="N357" s="127"/>
      <c r="O357" s="127"/>
      <c r="P357" s="127"/>
      <c r="Q357" s="127"/>
      <c r="R357" s="127"/>
      <c r="S357" s="127"/>
      <c r="T357" s="127"/>
      <c r="U357" s="127"/>
      <c r="V357" s="127"/>
      <c r="W357" s="127"/>
      <c r="X357" s="127"/>
      <c r="Y357" s="127"/>
    </row>
    <row r="358">
      <c r="A358" s="127"/>
      <c r="B358" s="127"/>
      <c r="C358" s="127"/>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row>
    <row r="359">
      <c r="A359" s="127"/>
      <c r="B359" s="127"/>
      <c r="C359" s="127"/>
      <c r="D359" s="127"/>
      <c r="E359" s="127"/>
      <c r="F359" s="127"/>
      <c r="G359" s="127"/>
      <c r="H359" s="127"/>
      <c r="I359" s="127"/>
      <c r="J359" s="127"/>
      <c r="K359" s="127"/>
      <c r="L359" s="127"/>
      <c r="M359" s="127"/>
      <c r="N359" s="127"/>
      <c r="O359" s="127"/>
      <c r="P359" s="127"/>
      <c r="Q359" s="127"/>
      <c r="R359" s="127"/>
      <c r="S359" s="127"/>
      <c r="T359" s="127"/>
      <c r="U359" s="127"/>
      <c r="V359" s="127"/>
      <c r="W359" s="127"/>
      <c r="X359" s="127"/>
      <c r="Y359" s="127"/>
    </row>
    <row r="360">
      <c r="A360" s="127"/>
      <c r="B360" s="127"/>
      <c r="C360" s="127"/>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row>
    <row r="361">
      <c r="A361" s="127"/>
      <c r="B361" s="127"/>
      <c r="C361" s="127"/>
      <c r="D361" s="127"/>
      <c r="E361" s="127"/>
      <c r="F361" s="127"/>
      <c r="G361" s="127"/>
      <c r="H361" s="127"/>
      <c r="I361" s="127"/>
      <c r="J361" s="127"/>
      <c r="K361" s="127"/>
      <c r="L361" s="127"/>
      <c r="M361" s="127"/>
      <c r="N361" s="127"/>
      <c r="O361" s="127"/>
      <c r="P361" s="127"/>
      <c r="Q361" s="127"/>
      <c r="R361" s="127"/>
      <c r="S361" s="127"/>
      <c r="T361" s="127"/>
      <c r="U361" s="127"/>
      <c r="V361" s="127"/>
      <c r="W361" s="127"/>
      <c r="X361" s="127"/>
      <c r="Y361" s="127"/>
    </row>
    <row r="362">
      <c r="A362" s="127"/>
      <c r="B362" s="127"/>
      <c r="C362" s="127"/>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row>
    <row r="363">
      <c r="A363" s="127"/>
      <c r="B363" s="127"/>
      <c r="C363" s="127"/>
      <c r="D363" s="127"/>
      <c r="E363" s="127"/>
      <c r="F363" s="127"/>
      <c r="G363" s="127"/>
      <c r="H363" s="127"/>
      <c r="I363" s="127"/>
      <c r="J363" s="127"/>
      <c r="K363" s="127"/>
      <c r="L363" s="127"/>
      <c r="M363" s="127"/>
      <c r="N363" s="127"/>
      <c r="O363" s="127"/>
      <c r="P363" s="127"/>
      <c r="Q363" s="127"/>
      <c r="R363" s="127"/>
      <c r="S363" s="127"/>
      <c r="T363" s="127"/>
      <c r="U363" s="127"/>
      <c r="V363" s="127"/>
      <c r="W363" s="127"/>
      <c r="X363" s="127"/>
      <c r="Y363" s="127"/>
    </row>
    <row r="364">
      <c r="A364" s="127"/>
      <c r="B364" s="127"/>
      <c r="C364" s="127"/>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row>
    <row r="365">
      <c r="A365" s="127"/>
      <c r="B365" s="127"/>
      <c r="C365" s="127"/>
      <c r="D365" s="127"/>
      <c r="E365" s="127"/>
      <c r="F365" s="127"/>
      <c r="G365" s="127"/>
      <c r="H365" s="127"/>
      <c r="I365" s="127"/>
      <c r="J365" s="127"/>
      <c r="K365" s="127"/>
      <c r="L365" s="127"/>
      <c r="M365" s="127"/>
      <c r="N365" s="127"/>
      <c r="O365" s="127"/>
      <c r="P365" s="127"/>
      <c r="Q365" s="127"/>
      <c r="R365" s="127"/>
      <c r="S365" s="127"/>
      <c r="T365" s="127"/>
      <c r="U365" s="127"/>
      <c r="V365" s="127"/>
      <c r="W365" s="127"/>
      <c r="X365" s="127"/>
      <c r="Y365" s="127"/>
    </row>
    <row r="366">
      <c r="A366" s="127"/>
      <c r="B366" s="127"/>
      <c r="C366" s="127"/>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row>
    <row r="367">
      <c r="A367" s="127"/>
      <c r="B367" s="127"/>
      <c r="C367" s="127"/>
      <c r="D367" s="127"/>
      <c r="E367" s="127"/>
      <c r="F367" s="127"/>
      <c r="G367" s="127"/>
      <c r="H367" s="127"/>
      <c r="I367" s="127"/>
      <c r="J367" s="127"/>
      <c r="K367" s="127"/>
      <c r="L367" s="127"/>
      <c r="M367" s="127"/>
      <c r="N367" s="127"/>
      <c r="O367" s="127"/>
      <c r="P367" s="127"/>
      <c r="Q367" s="127"/>
      <c r="R367" s="127"/>
      <c r="S367" s="127"/>
      <c r="T367" s="127"/>
      <c r="U367" s="127"/>
      <c r="V367" s="127"/>
      <c r="W367" s="127"/>
      <c r="X367" s="127"/>
      <c r="Y367" s="127"/>
    </row>
    <row r="368">
      <c r="A368" s="127"/>
      <c r="B368" s="127"/>
      <c r="C368" s="127"/>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row>
    <row r="369">
      <c r="A369" s="127"/>
      <c r="B369" s="127"/>
      <c r="C369" s="127"/>
      <c r="D369" s="127"/>
      <c r="E369" s="127"/>
      <c r="F369" s="127"/>
      <c r="G369" s="127"/>
      <c r="H369" s="127"/>
      <c r="I369" s="127"/>
      <c r="J369" s="127"/>
      <c r="K369" s="127"/>
      <c r="L369" s="127"/>
      <c r="M369" s="127"/>
      <c r="N369" s="127"/>
      <c r="O369" s="127"/>
      <c r="P369" s="127"/>
      <c r="Q369" s="127"/>
      <c r="R369" s="127"/>
      <c r="S369" s="127"/>
      <c r="T369" s="127"/>
      <c r="U369" s="127"/>
      <c r="V369" s="127"/>
      <c r="W369" s="127"/>
      <c r="X369" s="127"/>
      <c r="Y369" s="127"/>
    </row>
    <row r="370">
      <c r="A370" s="127"/>
      <c r="B370" s="127"/>
      <c r="C370" s="127"/>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row>
    <row r="371">
      <c r="A371" s="127"/>
      <c r="B371" s="127"/>
      <c r="C371" s="127"/>
      <c r="D371" s="127"/>
      <c r="E371" s="127"/>
      <c r="F371" s="127"/>
      <c r="G371" s="127"/>
      <c r="H371" s="127"/>
      <c r="I371" s="127"/>
      <c r="J371" s="127"/>
      <c r="K371" s="127"/>
      <c r="L371" s="127"/>
      <c r="M371" s="127"/>
      <c r="N371" s="127"/>
      <c r="O371" s="127"/>
      <c r="P371" s="127"/>
      <c r="Q371" s="127"/>
      <c r="R371" s="127"/>
      <c r="S371" s="127"/>
      <c r="T371" s="127"/>
      <c r="U371" s="127"/>
      <c r="V371" s="127"/>
      <c r="W371" s="127"/>
      <c r="X371" s="127"/>
      <c r="Y371" s="127"/>
    </row>
    <row r="372">
      <c r="A372" s="127"/>
      <c r="B372" s="127"/>
      <c r="C372" s="127"/>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row>
    <row r="373">
      <c r="A373" s="127"/>
      <c r="B373" s="127"/>
      <c r="C373" s="127"/>
      <c r="D373" s="127"/>
      <c r="E373" s="127"/>
      <c r="F373" s="127"/>
      <c r="G373" s="127"/>
      <c r="H373" s="127"/>
      <c r="I373" s="127"/>
      <c r="J373" s="127"/>
      <c r="K373" s="127"/>
      <c r="L373" s="127"/>
      <c r="M373" s="127"/>
      <c r="N373" s="127"/>
      <c r="O373" s="127"/>
      <c r="P373" s="127"/>
      <c r="Q373" s="127"/>
      <c r="R373" s="127"/>
      <c r="S373" s="127"/>
      <c r="T373" s="127"/>
      <c r="U373" s="127"/>
      <c r="V373" s="127"/>
      <c r="W373" s="127"/>
      <c r="X373" s="127"/>
      <c r="Y373" s="127"/>
    </row>
    <row r="374">
      <c r="A374" s="127"/>
      <c r="B374" s="127"/>
      <c r="C374" s="127"/>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row>
    <row r="375">
      <c r="A375" s="127"/>
      <c r="B375" s="127"/>
      <c r="C375" s="127"/>
      <c r="D375" s="127"/>
      <c r="E375" s="127"/>
      <c r="F375" s="127"/>
      <c r="G375" s="127"/>
      <c r="H375" s="127"/>
      <c r="I375" s="127"/>
      <c r="J375" s="127"/>
      <c r="K375" s="127"/>
      <c r="L375" s="127"/>
      <c r="M375" s="127"/>
      <c r="N375" s="127"/>
      <c r="O375" s="127"/>
      <c r="P375" s="127"/>
      <c r="Q375" s="127"/>
      <c r="R375" s="127"/>
      <c r="S375" s="127"/>
      <c r="T375" s="127"/>
      <c r="U375" s="127"/>
      <c r="V375" s="127"/>
      <c r="W375" s="127"/>
      <c r="X375" s="127"/>
      <c r="Y375" s="127"/>
    </row>
    <row r="376">
      <c r="A376" s="127"/>
      <c r="B376" s="127"/>
      <c r="C376" s="127"/>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row>
    <row r="377">
      <c r="A377" s="127"/>
      <c r="B377" s="127"/>
      <c r="C377" s="127"/>
      <c r="D377" s="127"/>
      <c r="E377" s="127"/>
      <c r="F377" s="127"/>
      <c r="G377" s="127"/>
      <c r="H377" s="127"/>
      <c r="I377" s="127"/>
      <c r="J377" s="127"/>
      <c r="K377" s="127"/>
      <c r="L377" s="127"/>
      <c r="M377" s="127"/>
      <c r="N377" s="127"/>
      <c r="O377" s="127"/>
      <c r="P377" s="127"/>
      <c r="Q377" s="127"/>
      <c r="R377" s="127"/>
      <c r="S377" s="127"/>
      <c r="T377" s="127"/>
      <c r="U377" s="127"/>
      <c r="V377" s="127"/>
      <c r="W377" s="127"/>
      <c r="X377" s="127"/>
      <c r="Y377" s="127"/>
    </row>
    <row r="378">
      <c r="A378" s="127"/>
      <c r="B378" s="127"/>
      <c r="C378" s="127"/>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row>
    <row r="379">
      <c r="A379" s="127"/>
      <c r="B379" s="127"/>
      <c r="C379" s="127"/>
      <c r="D379" s="127"/>
      <c r="E379" s="127"/>
      <c r="F379" s="127"/>
      <c r="G379" s="127"/>
      <c r="H379" s="127"/>
      <c r="I379" s="127"/>
      <c r="J379" s="127"/>
      <c r="K379" s="127"/>
      <c r="L379" s="127"/>
      <c r="M379" s="127"/>
      <c r="N379" s="127"/>
      <c r="O379" s="127"/>
      <c r="P379" s="127"/>
      <c r="Q379" s="127"/>
      <c r="R379" s="127"/>
      <c r="S379" s="127"/>
      <c r="T379" s="127"/>
      <c r="U379" s="127"/>
      <c r="V379" s="127"/>
      <c r="W379" s="127"/>
      <c r="X379" s="127"/>
      <c r="Y379" s="127"/>
    </row>
    <row r="380">
      <c r="A380" s="127"/>
      <c r="B380" s="127"/>
      <c r="C380" s="127"/>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row>
    <row r="381">
      <c r="A381" s="127"/>
      <c r="B381" s="127"/>
      <c r="C381" s="127"/>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row>
    <row r="382">
      <c r="A382" s="127"/>
      <c r="B382" s="127"/>
      <c r="C382" s="127"/>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row>
    <row r="383">
      <c r="A383" s="127"/>
      <c r="B383" s="127"/>
      <c r="C383" s="127"/>
      <c r="D383" s="127"/>
      <c r="E383" s="127"/>
      <c r="F383" s="127"/>
      <c r="G383" s="127"/>
      <c r="H383" s="127"/>
      <c r="I383" s="127"/>
      <c r="J383" s="127"/>
      <c r="K383" s="127"/>
      <c r="L383" s="127"/>
      <c r="M383" s="127"/>
      <c r="N383" s="127"/>
      <c r="O383" s="127"/>
      <c r="P383" s="127"/>
      <c r="Q383" s="127"/>
      <c r="R383" s="127"/>
      <c r="S383" s="127"/>
      <c r="T383" s="127"/>
      <c r="U383" s="127"/>
      <c r="V383" s="127"/>
      <c r="W383" s="127"/>
      <c r="X383" s="127"/>
      <c r="Y383" s="127"/>
    </row>
    <row r="384">
      <c r="A384" s="127"/>
      <c r="B384" s="127"/>
      <c r="C384" s="127"/>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row>
    <row r="385">
      <c r="A385" s="127"/>
      <c r="B385" s="127"/>
      <c r="C385" s="127"/>
      <c r="D385" s="127"/>
      <c r="E385" s="127"/>
      <c r="F385" s="127"/>
      <c r="G385" s="127"/>
      <c r="H385" s="127"/>
      <c r="I385" s="127"/>
      <c r="J385" s="127"/>
      <c r="K385" s="127"/>
      <c r="L385" s="127"/>
      <c r="M385" s="127"/>
      <c r="N385" s="127"/>
      <c r="O385" s="127"/>
      <c r="P385" s="127"/>
      <c r="Q385" s="127"/>
      <c r="R385" s="127"/>
      <c r="S385" s="127"/>
      <c r="T385" s="127"/>
      <c r="U385" s="127"/>
      <c r="V385" s="127"/>
      <c r="W385" s="127"/>
      <c r="X385" s="127"/>
      <c r="Y385" s="127"/>
    </row>
    <row r="386">
      <c r="A386" s="127"/>
      <c r="B386" s="127"/>
      <c r="C386" s="127"/>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row>
    <row r="387">
      <c r="A387" s="127"/>
      <c r="B387" s="127"/>
      <c r="C387" s="127"/>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row>
    <row r="388">
      <c r="A388" s="127"/>
      <c r="B388" s="127"/>
      <c r="C388" s="127"/>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row>
    <row r="389">
      <c r="A389" s="127"/>
      <c r="B389" s="127"/>
      <c r="C389" s="127"/>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row>
    <row r="390">
      <c r="A390" s="127"/>
      <c r="B390" s="127"/>
      <c r="C390" s="127"/>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row>
    <row r="391">
      <c r="A391" s="127"/>
      <c r="B391" s="127"/>
      <c r="C391" s="127"/>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row>
    <row r="392">
      <c r="A392" s="127"/>
      <c r="B392" s="127"/>
      <c r="C392" s="127"/>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row>
    <row r="393">
      <c r="A393" s="127"/>
      <c r="B393" s="127"/>
      <c r="C393" s="127"/>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row>
    <row r="394">
      <c r="A394" s="127"/>
      <c r="B394" s="127"/>
      <c r="C394" s="127"/>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row>
    <row r="395">
      <c r="A395" s="127"/>
      <c r="B395" s="127"/>
      <c r="C395" s="127"/>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row>
    <row r="396">
      <c r="A396" s="127"/>
      <c r="B396" s="127"/>
      <c r="C396" s="127"/>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row>
    <row r="397">
      <c r="A397" s="127"/>
      <c r="B397" s="127"/>
      <c r="C397" s="127"/>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row>
    <row r="398">
      <c r="A398" s="127"/>
      <c r="B398" s="127"/>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row>
    <row r="399">
      <c r="A399" s="127"/>
      <c r="B399" s="127"/>
      <c r="C399" s="127"/>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row>
    <row r="400">
      <c r="A400" s="127"/>
      <c r="B400" s="127"/>
      <c r="C400" s="127"/>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row>
    <row r="401">
      <c r="A401" s="127"/>
      <c r="B401" s="127"/>
      <c r="C401" s="127"/>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row>
    <row r="402">
      <c r="A402" s="127"/>
      <c r="B402" s="127"/>
      <c r="C402" s="127"/>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row>
    <row r="403">
      <c r="A403" s="127"/>
      <c r="B403" s="127"/>
      <c r="C403" s="127"/>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row>
    <row r="404">
      <c r="A404" s="127"/>
      <c r="B404" s="127"/>
      <c r="C404" s="127"/>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row>
    <row r="405">
      <c r="A405" s="127"/>
      <c r="B405" s="127"/>
      <c r="C405" s="127"/>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row>
    <row r="406">
      <c r="A406" s="127"/>
      <c r="B406" s="127"/>
      <c r="C406" s="127"/>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row>
    <row r="407">
      <c r="A407" s="127"/>
      <c r="B407" s="127"/>
      <c r="C407" s="127"/>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row>
    <row r="408">
      <c r="A408" s="127"/>
      <c r="B408" s="127"/>
      <c r="C408" s="127"/>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row>
    <row r="409">
      <c r="A409" s="127"/>
      <c r="B409" s="127"/>
      <c r="C409" s="127"/>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row>
    <row r="410">
      <c r="A410" s="127"/>
      <c r="B410" s="127"/>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row>
    <row r="411">
      <c r="A411" s="127"/>
      <c r="B411" s="127"/>
      <c r="C411" s="127"/>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row>
    <row r="412">
      <c r="A412" s="127"/>
      <c r="B412" s="127"/>
      <c r="C412" s="127"/>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row>
    <row r="413">
      <c r="A413" s="127"/>
      <c r="B413" s="127"/>
      <c r="C413" s="127"/>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row>
    <row r="414">
      <c r="A414" s="127"/>
      <c r="B414" s="127"/>
      <c r="C414" s="127"/>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row>
    <row r="415">
      <c r="A415" s="127"/>
      <c r="B415" s="127"/>
      <c r="C415" s="127"/>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row>
    <row r="416">
      <c r="A416" s="127"/>
      <c r="B416" s="127"/>
      <c r="C416" s="127"/>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row>
    <row r="417">
      <c r="A417" s="127"/>
      <c r="B417" s="127"/>
      <c r="C417" s="127"/>
      <c r="D417" s="127"/>
      <c r="E417" s="127"/>
      <c r="F417" s="127"/>
      <c r="G417" s="127"/>
      <c r="H417" s="127"/>
      <c r="I417" s="127"/>
      <c r="J417" s="127"/>
      <c r="K417" s="127"/>
      <c r="L417" s="127"/>
      <c r="M417" s="127"/>
      <c r="N417" s="127"/>
      <c r="O417" s="127"/>
      <c r="P417" s="127"/>
      <c r="Q417" s="127"/>
      <c r="R417" s="127"/>
      <c r="S417" s="127"/>
      <c r="T417" s="127"/>
      <c r="U417" s="127"/>
      <c r="V417" s="127"/>
      <c r="W417" s="127"/>
      <c r="X417" s="127"/>
      <c r="Y417" s="127"/>
    </row>
    <row r="418">
      <c r="A418" s="127"/>
      <c r="B418" s="127"/>
      <c r="C418" s="127"/>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row>
    <row r="419">
      <c r="A419" s="127"/>
      <c r="B419" s="127"/>
      <c r="C419" s="127"/>
      <c r="D419" s="127"/>
      <c r="E419" s="127"/>
      <c r="F419" s="127"/>
      <c r="G419" s="127"/>
      <c r="H419" s="127"/>
      <c r="I419" s="127"/>
      <c r="J419" s="127"/>
      <c r="K419" s="127"/>
      <c r="L419" s="127"/>
      <c r="M419" s="127"/>
      <c r="N419" s="127"/>
      <c r="O419" s="127"/>
      <c r="P419" s="127"/>
      <c r="Q419" s="127"/>
      <c r="R419" s="127"/>
      <c r="S419" s="127"/>
      <c r="T419" s="127"/>
      <c r="U419" s="127"/>
      <c r="V419" s="127"/>
      <c r="W419" s="127"/>
      <c r="X419" s="127"/>
      <c r="Y419" s="127"/>
    </row>
    <row r="420">
      <c r="A420" s="127"/>
      <c r="B420" s="127"/>
      <c r="C420" s="127"/>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row>
    <row r="421">
      <c r="A421" s="127"/>
      <c r="B421" s="127"/>
      <c r="C421" s="127"/>
      <c r="D421" s="127"/>
      <c r="E421" s="127"/>
      <c r="F421" s="127"/>
      <c r="G421" s="127"/>
      <c r="H421" s="127"/>
      <c r="I421" s="127"/>
      <c r="J421" s="127"/>
      <c r="K421" s="127"/>
      <c r="L421" s="127"/>
      <c r="M421" s="127"/>
      <c r="N421" s="127"/>
      <c r="O421" s="127"/>
      <c r="P421" s="127"/>
      <c r="Q421" s="127"/>
      <c r="R421" s="127"/>
      <c r="S421" s="127"/>
      <c r="T421" s="127"/>
      <c r="U421" s="127"/>
      <c r="V421" s="127"/>
      <c r="W421" s="127"/>
      <c r="X421" s="127"/>
      <c r="Y421" s="127"/>
    </row>
    <row r="422">
      <c r="A422" s="127"/>
      <c r="B422" s="127"/>
      <c r="C422" s="127"/>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row>
    <row r="423">
      <c r="A423" s="127"/>
      <c r="B423" s="127"/>
      <c r="C423" s="127"/>
      <c r="D423" s="127"/>
      <c r="E423" s="127"/>
      <c r="F423" s="127"/>
      <c r="G423" s="127"/>
      <c r="H423" s="127"/>
      <c r="I423" s="127"/>
      <c r="J423" s="127"/>
      <c r="K423" s="127"/>
      <c r="L423" s="127"/>
      <c r="M423" s="127"/>
      <c r="N423" s="127"/>
      <c r="O423" s="127"/>
      <c r="P423" s="127"/>
      <c r="Q423" s="127"/>
      <c r="R423" s="127"/>
      <c r="S423" s="127"/>
      <c r="T423" s="127"/>
      <c r="U423" s="127"/>
      <c r="V423" s="127"/>
      <c r="W423" s="127"/>
      <c r="X423" s="127"/>
      <c r="Y423" s="127"/>
    </row>
    <row r="424">
      <c r="A424" s="127"/>
      <c r="B424" s="127"/>
      <c r="C424" s="127"/>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row>
    <row r="425">
      <c r="A425" s="127"/>
      <c r="B425" s="127"/>
      <c r="C425" s="127"/>
      <c r="D425" s="127"/>
      <c r="E425" s="127"/>
      <c r="F425" s="127"/>
      <c r="G425" s="127"/>
      <c r="H425" s="127"/>
      <c r="I425" s="127"/>
      <c r="J425" s="127"/>
      <c r="K425" s="127"/>
      <c r="L425" s="127"/>
      <c r="M425" s="127"/>
      <c r="N425" s="127"/>
      <c r="O425" s="127"/>
      <c r="P425" s="127"/>
      <c r="Q425" s="127"/>
      <c r="R425" s="127"/>
      <c r="S425" s="127"/>
      <c r="T425" s="127"/>
      <c r="U425" s="127"/>
      <c r="V425" s="127"/>
      <c r="W425" s="127"/>
      <c r="X425" s="127"/>
      <c r="Y425" s="127"/>
    </row>
    <row r="426">
      <c r="A426" s="127"/>
      <c r="B426" s="127"/>
      <c r="C426" s="127"/>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row>
    <row r="427">
      <c r="A427" s="127"/>
      <c r="B427" s="127"/>
      <c r="C427" s="127"/>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row>
    <row r="428">
      <c r="A428" s="127"/>
      <c r="B428" s="127"/>
      <c r="C428" s="127"/>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row>
    <row r="429">
      <c r="A429" s="127"/>
      <c r="B429" s="127"/>
      <c r="C429" s="127"/>
      <c r="D429" s="127"/>
      <c r="E429" s="127"/>
      <c r="F429" s="127"/>
      <c r="G429" s="127"/>
      <c r="H429" s="127"/>
      <c r="I429" s="127"/>
      <c r="J429" s="127"/>
      <c r="K429" s="127"/>
      <c r="L429" s="127"/>
      <c r="M429" s="127"/>
      <c r="N429" s="127"/>
      <c r="O429" s="127"/>
      <c r="P429" s="127"/>
      <c r="Q429" s="127"/>
      <c r="R429" s="127"/>
      <c r="S429" s="127"/>
      <c r="T429" s="127"/>
      <c r="U429" s="127"/>
      <c r="V429" s="127"/>
      <c r="W429" s="127"/>
      <c r="X429" s="127"/>
      <c r="Y429" s="127"/>
    </row>
    <row r="430">
      <c r="A430" s="127"/>
      <c r="B430" s="127"/>
      <c r="C430" s="127"/>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row>
    <row r="431">
      <c r="A431" s="127"/>
      <c r="B431" s="127"/>
      <c r="C431" s="127"/>
      <c r="D431" s="127"/>
      <c r="E431" s="127"/>
      <c r="F431" s="127"/>
      <c r="G431" s="127"/>
      <c r="H431" s="127"/>
      <c r="I431" s="127"/>
      <c r="J431" s="127"/>
      <c r="K431" s="127"/>
      <c r="L431" s="127"/>
      <c r="M431" s="127"/>
      <c r="N431" s="127"/>
      <c r="O431" s="127"/>
      <c r="P431" s="127"/>
      <c r="Q431" s="127"/>
      <c r="R431" s="127"/>
      <c r="S431" s="127"/>
      <c r="T431" s="127"/>
      <c r="U431" s="127"/>
      <c r="V431" s="127"/>
      <c r="W431" s="127"/>
      <c r="X431" s="127"/>
      <c r="Y431" s="127"/>
    </row>
    <row r="432">
      <c r="A432" s="127"/>
      <c r="B432" s="127"/>
      <c r="C432" s="127"/>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row>
    <row r="433">
      <c r="A433" s="127"/>
      <c r="B433" s="127"/>
      <c r="C433" s="127"/>
      <c r="D433" s="127"/>
      <c r="E433" s="127"/>
      <c r="F433" s="127"/>
      <c r="G433" s="127"/>
      <c r="H433" s="127"/>
      <c r="I433" s="127"/>
      <c r="J433" s="127"/>
      <c r="K433" s="127"/>
      <c r="L433" s="127"/>
      <c r="M433" s="127"/>
      <c r="N433" s="127"/>
      <c r="O433" s="127"/>
      <c r="P433" s="127"/>
      <c r="Q433" s="127"/>
      <c r="R433" s="127"/>
      <c r="S433" s="127"/>
      <c r="T433" s="127"/>
      <c r="U433" s="127"/>
      <c r="V433" s="127"/>
      <c r="W433" s="127"/>
      <c r="X433" s="127"/>
      <c r="Y433" s="127"/>
    </row>
    <row r="434">
      <c r="A434" s="127"/>
      <c r="B434" s="127"/>
      <c r="C434" s="127"/>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row>
    <row r="435">
      <c r="A435" s="127"/>
      <c r="B435" s="127"/>
      <c r="C435" s="127"/>
      <c r="D435" s="127"/>
      <c r="E435" s="127"/>
      <c r="F435" s="127"/>
      <c r="G435" s="127"/>
      <c r="H435" s="127"/>
      <c r="I435" s="127"/>
      <c r="J435" s="127"/>
      <c r="K435" s="127"/>
      <c r="L435" s="127"/>
      <c r="M435" s="127"/>
      <c r="N435" s="127"/>
      <c r="O435" s="127"/>
      <c r="P435" s="127"/>
      <c r="Q435" s="127"/>
      <c r="R435" s="127"/>
      <c r="S435" s="127"/>
      <c r="T435" s="127"/>
      <c r="U435" s="127"/>
      <c r="V435" s="127"/>
      <c r="W435" s="127"/>
      <c r="X435" s="127"/>
      <c r="Y435" s="127"/>
    </row>
    <row r="436">
      <c r="A436" s="127"/>
      <c r="B436" s="127"/>
      <c r="C436" s="127"/>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row>
    <row r="437">
      <c r="A437" s="127"/>
      <c r="B437" s="127"/>
      <c r="C437" s="127"/>
      <c r="D437" s="127"/>
      <c r="E437" s="127"/>
      <c r="F437" s="127"/>
      <c r="G437" s="127"/>
      <c r="H437" s="127"/>
      <c r="I437" s="127"/>
      <c r="J437" s="127"/>
      <c r="K437" s="127"/>
      <c r="L437" s="127"/>
      <c r="M437" s="127"/>
      <c r="N437" s="127"/>
      <c r="O437" s="127"/>
      <c r="P437" s="127"/>
      <c r="Q437" s="127"/>
      <c r="R437" s="127"/>
      <c r="S437" s="127"/>
      <c r="T437" s="127"/>
      <c r="U437" s="127"/>
      <c r="V437" s="127"/>
      <c r="W437" s="127"/>
      <c r="X437" s="127"/>
      <c r="Y437" s="127"/>
    </row>
    <row r="438">
      <c r="A438" s="127"/>
      <c r="B438" s="127"/>
      <c r="C438" s="127"/>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row>
    <row r="439">
      <c r="A439" s="127"/>
      <c r="B439" s="127"/>
      <c r="C439" s="127"/>
      <c r="D439" s="127"/>
      <c r="E439" s="127"/>
      <c r="F439" s="127"/>
      <c r="G439" s="127"/>
      <c r="H439" s="127"/>
      <c r="I439" s="127"/>
      <c r="J439" s="127"/>
      <c r="K439" s="127"/>
      <c r="L439" s="127"/>
      <c r="M439" s="127"/>
      <c r="N439" s="127"/>
      <c r="O439" s="127"/>
      <c r="P439" s="127"/>
      <c r="Q439" s="127"/>
      <c r="R439" s="127"/>
      <c r="S439" s="127"/>
      <c r="T439" s="127"/>
      <c r="U439" s="127"/>
      <c r="V439" s="127"/>
      <c r="W439" s="127"/>
      <c r="X439" s="127"/>
      <c r="Y439" s="127"/>
    </row>
    <row r="440">
      <c r="A440" s="127"/>
      <c r="B440" s="127"/>
      <c r="C440" s="127"/>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row>
    <row r="441">
      <c r="A441" s="127"/>
      <c r="B441" s="127"/>
      <c r="C441" s="127"/>
      <c r="D441" s="127"/>
      <c r="E441" s="127"/>
      <c r="F441" s="127"/>
      <c r="G441" s="127"/>
      <c r="H441" s="127"/>
      <c r="I441" s="127"/>
      <c r="J441" s="127"/>
      <c r="K441" s="127"/>
      <c r="L441" s="127"/>
      <c r="M441" s="127"/>
      <c r="N441" s="127"/>
      <c r="O441" s="127"/>
      <c r="P441" s="127"/>
      <c r="Q441" s="127"/>
      <c r="R441" s="127"/>
      <c r="S441" s="127"/>
      <c r="T441" s="127"/>
      <c r="U441" s="127"/>
      <c r="V441" s="127"/>
      <c r="W441" s="127"/>
      <c r="X441" s="127"/>
      <c r="Y441" s="127"/>
    </row>
    <row r="442">
      <c r="A442" s="127"/>
      <c r="B442" s="127"/>
      <c r="C442" s="127"/>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row>
    <row r="443">
      <c r="A443" s="127"/>
      <c r="B443" s="127"/>
      <c r="C443" s="127"/>
      <c r="D443" s="127"/>
      <c r="E443" s="127"/>
      <c r="F443" s="127"/>
      <c r="G443" s="127"/>
      <c r="H443" s="127"/>
      <c r="I443" s="127"/>
      <c r="J443" s="127"/>
      <c r="K443" s="127"/>
      <c r="L443" s="127"/>
      <c r="M443" s="127"/>
      <c r="N443" s="127"/>
      <c r="O443" s="127"/>
      <c r="P443" s="127"/>
      <c r="Q443" s="127"/>
      <c r="R443" s="127"/>
      <c r="S443" s="127"/>
      <c r="T443" s="127"/>
      <c r="U443" s="127"/>
      <c r="V443" s="127"/>
      <c r="W443" s="127"/>
      <c r="X443" s="127"/>
      <c r="Y443" s="127"/>
    </row>
    <row r="444">
      <c r="A444" s="127"/>
      <c r="B444" s="127"/>
      <c r="C444" s="127"/>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row>
    <row r="445">
      <c r="A445" s="127"/>
      <c r="B445" s="127"/>
      <c r="C445" s="127"/>
      <c r="D445" s="127"/>
      <c r="E445" s="127"/>
      <c r="F445" s="127"/>
      <c r="G445" s="127"/>
      <c r="H445" s="127"/>
      <c r="I445" s="127"/>
      <c r="J445" s="127"/>
      <c r="K445" s="127"/>
      <c r="L445" s="127"/>
      <c r="M445" s="127"/>
      <c r="N445" s="127"/>
      <c r="O445" s="127"/>
      <c r="P445" s="127"/>
      <c r="Q445" s="127"/>
      <c r="R445" s="127"/>
      <c r="S445" s="127"/>
      <c r="T445" s="127"/>
      <c r="U445" s="127"/>
      <c r="V445" s="127"/>
      <c r="W445" s="127"/>
      <c r="X445" s="127"/>
      <c r="Y445" s="127"/>
    </row>
    <row r="446">
      <c r="A446" s="127"/>
      <c r="B446" s="127"/>
      <c r="C446" s="127"/>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row>
    <row r="447">
      <c r="A447" s="127"/>
      <c r="B447" s="127"/>
      <c r="C447" s="127"/>
      <c r="D447" s="127"/>
      <c r="E447" s="127"/>
      <c r="F447" s="127"/>
      <c r="G447" s="127"/>
      <c r="H447" s="127"/>
      <c r="I447" s="127"/>
      <c r="J447" s="127"/>
      <c r="K447" s="127"/>
      <c r="L447" s="127"/>
      <c r="M447" s="127"/>
      <c r="N447" s="127"/>
      <c r="O447" s="127"/>
      <c r="P447" s="127"/>
      <c r="Q447" s="127"/>
      <c r="R447" s="127"/>
      <c r="S447" s="127"/>
      <c r="T447" s="127"/>
      <c r="U447" s="127"/>
      <c r="V447" s="127"/>
      <c r="W447" s="127"/>
      <c r="X447" s="127"/>
      <c r="Y447" s="127"/>
    </row>
    <row r="448">
      <c r="A448" s="127"/>
      <c r="B448" s="127"/>
      <c r="C448" s="127"/>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row>
    <row r="449">
      <c r="A449" s="127"/>
      <c r="B449" s="127"/>
      <c r="C449" s="127"/>
      <c r="D449" s="127"/>
      <c r="E449" s="127"/>
      <c r="F449" s="127"/>
      <c r="G449" s="127"/>
      <c r="H449" s="127"/>
      <c r="I449" s="127"/>
      <c r="J449" s="127"/>
      <c r="K449" s="127"/>
      <c r="L449" s="127"/>
      <c r="M449" s="127"/>
      <c r="N449" s="127"/>
      <c r="O449" s="127"/>
      <c r="P449" s="127"/>
      <c r="Q449" s="127"/>
      <c r="R449" s="127"/>
      <c r="S449" s="127"/>
      <c r="T449" s="127"/>
      <c r="U449" s="127"/>
      <c r="V449" s="127"/>
      <c r="W449" s="127"/>
      <c r="X449" s="127"/>
      <c r="Y449" s="127"/>
    </row>
    <row r="450">
      <c r="A450" s="127"/>
      <c r="B450" s="127"/>
      <c r="C450" s="127"/>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row>
    <row r="451">
      <c r="A451" s="127"/>
      <c r="B451" s="127"/>
      <c r="C451" s="127"/>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row>
    <row r="452">
      <c r="A452" s="127"/>
      <c r="B452" s="127"/>
      <c r="C452" s="127"/>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row>
    <row r="453">
      <c r="A453" s="127"/>
      <c r="B453" s="127"/>
      <c r="C453" s="127"/>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row>
    <row r="454">
      <c r="A454" s="127"/>
      <c r="B454" s="127"/>
      <c r="C454" s="127"/>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row>
    <row r="455">
      <c r="A455" s="127"/>
      <c r="B455" s="127"/>
      <c r="C455" s="127"/>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row>
    <row r="456">
      <c r="A456" s="127"/>
      <c r="B456" s="127"/>
      <c r="C456" s="127"/>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row>
    <row r="457">
      <c r="A457" s="127"/>
      <c r="B457" s="127"/>
      <c r="C457" s="127"/>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row>
    <row r="458">
      <c r="A458" s="127"/>
      <c r="B458" s="127"/>
      <c r="C458" s="127"/>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row>
    <row r="459">
      <c r="A459" s="127"/>
      <c r="B459" s="127"/>
      <c r="C459" s="127"/>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row>
    <row r="460">
      <c r="A460" s="127"/>
      <c r="B460" s="127"/>
      <c r="C460" s="127"/>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row>
    <row r="461">
      <c r="A461" s="127"/>
      <c r="B461" s="127"/>
      <c r="C461" s="127"/>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row>
    <row r="462">
      <c r="A462" s="127"/>
      <c r="B462" s="127"/>
      <c r="C462" s="127"/>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row>
    <row r="463">
      <c r="A463" s="127"/>
      <c r="B463" s="127"/>
      <c r="C463" s="127"/>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row>
    <row r="464">
      <c r="A464" s="127"/>
      <c r="B464" s="127"/>
      <c r="C464" s="127"/>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row>
    <row r="465">
      <c r="A465" s="127"/>
      <c r="B465" s="127"/>
      <c r="C465" s="127"/>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row>
    <row r="466">
      <c r="A466" s="127"/>
      <c r="B466" s="127"/>
      <c r="C466" s="127"/>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row>
    <row r="467">
      <c r="A467" s="127"/>
      <c r="B467" s="127"/>
      <c r="C467" s="127"/>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row>
    <row r="468">
      <c r="A468" s="127"/>
      <c r="B468" s="127"/>
      <c r="C468" s="127"/>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row>
    <row r="469">
      <c r="A469" s="127"/>
      <c r="B469" s="127"/>
      <c r="C469" s="127"/>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row>
    <row r="470">
      <c r="A470" s="127"/>
      <c r="B470" s="127"/>
      <c r="C470" s="127"/>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row>
    <row r="471">
      <c r="A471" s="127"/>
      <c r="B471" s="127"/>
      <c r="C471" s="127"/>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row>
    <row r="472">
      <c r="A472" s="127"/>
      <c r="B472" s="127"/>
      <c r="C472" s="127"/>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row>
    <row r="473">
      <c r="A473" s="127"/>
      <c r="B473" s="127"/>
      <c r="C473" s="127"/>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row>
    <row r="474">
      <c r="A474" s="127"/>
      <c r="B474" s="127"/>
      <c r="C474" s="127"/>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row>
    <row r="475">
      <c r="A475" s="127"/>
      <c r="B475" s="127"/>
      <c r="C475" s="127"/>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row>
    <row r="476">
      <c r="A476" s="127"/>
      <c r="B476" s="127"/>
      <c r="C476" s="127"/>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row>
    <row r="477">
      <c r="A477" s="127"/>
      <c r="B477" s="127"/>
      <c r="C477" s="127"/>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row>
    <row r="478">
      <c r="A478" s="127"/>
      <c r="B478" s="127"/>
      <c r="C478" s="127"/>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row>
    <row r="479">
      <c r="A479" s="127"/>
      <c r="B479" s="127"/>
      <c r="C479" s="127"/>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row>
    <row r="480">
      <c r="A480" s="127"/>
      <c r="B480" s="127"/>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row>
    <row r="481">
      <c r="A481" s="127"/>
      <c r="B481" s="127"/>
      <c r="C481" s="127"/>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row>
    <row r="482">
      <c r="A482" s="127"/>
      <c r="B482" s="127"/>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row>
    <row r="483">
      <c r="A483" s="127"/>
      <c r="B483" s="127"/>
      <c r="C483" s="127"/>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row>
    <row r="484">
      <c r="A484" s="127"/>
      <c r="B484" s="127"/>
      <c r="C484" s="127"/>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row>
    <row r="485">
      <c r="A485" s="127"/>
      <c r="B485" s="127"/>
      <c r="C485" s="127"/>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row>
    <row r="486">
      <c r="A486" s="127"/>
      <c r="B486" s="127"/>
      <c r="C486" s="127"/>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row>
    <row r="487">
      <c r="A487" s="127"/>
      <c r="B487" s="127"/>
      <c r="C487" s="127"/>
      <c r="D487" s="127"/>
      <c r="E487" s="127"/>
      <c r="F487" s="127"/>
      <c r="G487" s="127"/>
      <c r="H487" s="127"/>
      <c r="I487" s="127"/>
      <c r="J487" s="127"/>
      <c r="K487" s="127"/>
      <c r="L487" s="127"/>
      <c r="M487" s="127"/>
      <c r="N487" s="127"/>
      <c r="O487" s="127"/>
      <c r="P487" s="127"/>
      <c r="Q487" s="127"/>
      <c r="R487" s="127"/>
      <c r="S487" s="127"/>
      <c r="T487" s="127"/>
      <c r="U487" s="127"/>
      <c r="V487" s="127"/>
      <c r="W487" s="127"/>
      <c r="X487" s="127"/>
      <c r="Y487" s="127"/>
    </row>
    <row r="488">
      <c r="A488" s="127"/>
      <c r="B488" s="127"/>
      <c r="C488" s="127"/>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row>
    <row r="489">
      <c r="A489" s="127"/>
      <c r="B489" s="127"/>
      <c r="C489" s="127"/>
      <c r="D489" s="127"/>
      <c r="E489" s="127"/>
      <c r="F489" s="127"/>
      <c r="G489" s="127"/>
      <c r="H489" s="127"/>
      <c r="I489" s="127"/>
      <c r="J489" s="127"/>
      <c r="K489" s="127"/>
      <c r="L489" s="127"/>
      <c r="M489" s="127"/>
      <c r="N489" s="127"/>
      <c r="O489" s="127"/>
      <c r="P489" s="127"/>
      <c r="Q489" s="127"/>
      <c r="R489" s="127"/>
      <c r="S489" s="127"/>
      <c r="T489" s="127"/>
      <c r="U489" s="127"/>
      <c r="V489" s="127"/>
      <c r="W489" s="127"/>
      <c r="X489" s="127"/>
      <c r="Y489" s="127"/>
    </row>
    <row r="490">
      <c r="A490" s="127"/>
      <c r="B490" s="127"/>
      <c r="C490" s="127"/>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row>
    <row r="491">
      <c r="A491" s="127"/>
      <c r="B491" s="127"/>
      <c r="C491" s="127"/>
      <c r="D491" s="127"/>
      <c r="E491" s="127"/>
      <c r="F491" s="127"/>
      <c r="G491" s="127"/>
      <c r="H491" s="127"/>
      <c r="I491" s="127"/>
      <c r="J491" s="127"/>
      <c r="K491" s="127"/>
      <c r="L491" s="127"/>
      <c r="M491" s="127"/>
      <c r="N491" s="127"/>
      <c r="O491" s="127"/>
      <c r="P491" s="127"/>
      <c r="Q491" s="127"/>
      <c r="R491" s="127"/>
      <c r="S491" s="127"/>
      <c r="T491" s="127"/>
      <c r="U491" s="127"/>
      <c r="V491" s="127"/>
      <c r="W491" s="127"/>
      <c r="X491" s="127"/>
      <c r="Y491" s="127"/>
    </row>
    <row r="492">
      <c r="A492" s="127"/>
      <c r="B492" s="127"/>
      <c r="C492" s="127"/>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row>
    <row r="493">
      <c r="A493" s="127"/>
      <c r="B493" s="127"/>
      <c r="C493" s="127"/>
      <c r="D493" s="127"/>
      <c r="E493" s="127"/>
      <c r="F493" s="127"/>
      <c r="G493" s="127"/>
      <c r="H493" s="127"/>
      <c r="I493" s="127"/>
      <c r="J493" s="127"/>
      <c r="K493" s="127"/>
      <c r="L493" s="127"/>
      <c r="M493" s="127"/>
      <c r="N493" s="127"/>
      <c r="O493" s="127"/>
      <c r="P493" s="127"/>
      <c r="Q493" s="127"/>
      <c r="R493" s="127"/>
      <c r="S493" s="127"/>
      <c r="T493" s="127"/>
      <c r="U493" s="127"/>
      <c r="V493" s="127"/>
      <c r="W493" s="127"/>
      <c r="X493" s="127"/>
      <c r="Y493" s="127"/>
    </row>
    <row r="494">
      <c r="A494" s="127"/>
      <c r="B494" s="127"/>
      <c r="C494" s="127"/>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row>
    <row r="495">
      <c r="A495" s="127"/>
      <c r="B495" s="127"/>
      <c r="C495" s="127"/>
      <c r="D495" s="127"/>
      <c r="E495" s="127"/>
      <c r="F495" s="127"/>
      <c r="G495" s="127"/>
      <c r="H495" s="127"/>
      <c r="I495" s="127"/>
      <c r="J495" s="127"/>
      <c r="K495" s="127"/>
      <c r="L495" s="127"/>
      <c r="M495" s="127"/>
      <c r="N495" s="127"/>
      <c r="O495" s="127"/>
      <c r="P495" s="127"/>
      <c r="Q495" s="127"/>
      <c r="R495" s="127"/>
      <c r="S495" s="127"/>
      <c r="T495" s="127"/>
      <c r="U495" s="127"/>
      <c r="V495" s="127"/>
      <c r="W495" s="127"/>
      <c r="X495" s="127"/>
      <c r="Y495" s="127"/>
    </row>
    <row r="496">
      <c r="A496" s="127"/>
      <c r="B496" s="127"/>
      <c r="C496" s="127"/>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row>
    <row r="497">
      <c r="A497" s="127"/>
      <c r="B497" s="127"/>
      <c r="C497" s="127"/>
      <c r="D497" s="127"/>
      <c r="E497" s="127"/>
      <c r="F497" s="127"/>
      <c r="G497" s="127"/>
      <c r="H497" s="127"/>
      <c r="I497" s="127"/>
      <c r="J497" s="127"/>
      <c r="K497" s="127"/>
      <c r="L497" s="127"/>
      <c r="M497" s="127"/>
      <c r="N497" s="127"/>
      <c r="O497" s="127"/>
      <c r="P497" s="127"/>
      <c r="Q497" s="127"/>
      <c r="R497" s="127"/>
      <c r="S497" s="127"/>
      <c r="T497" s="127"/>
      <c r="U497" s="127"/>
      <c r="V497" s="127"/>
      <c r="W497" s="127"/>
      <c r="X497" s="127"/>
      <c r="Y497" s="127"/>
    </row>
    <row r="498">
      <c r="A498" s="127"/>
      <c r="B498" s="127"/>
      <c r="C498" s="127"/>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row>
    <row r="499">
      <c r="A499" s="127"/>
      <c r="B499" s="127"/>
      <c r="C499" s="127"/>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row>
    <row r="500">
      <c r="A500" s="127"/>
      <c r="B500" s="127"/>
      <c r="C500" s="127"/>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row>
    <row r="501">
      <c r="A501" s="127"/>
      <c r="B501" s="127"/>
      <c r="C501" s="127"/>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row>
    <row r="502">
      <c r="A502" s="127"/>
      <c r="B502" s="127"/>
      <c r="C502" s="127"/>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row>
    <row r="503">
      <c r="A503" s="127"/>
      <c r="B503" s="127"/>
      <c r="C503" s="127"/>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row>
    <row r="504">
      <c r="A504" s="127"/>
      <c r="B504" s="127"/>
      <c r="C504" s="127"/>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row>
    <row r="505">
      <c r="A505" s="127"/>
      <c r="B505" s="127"/>
      <c r="C505" s="127"/>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row>
    <row r="506">
      <c r="A506" s="127"/>
      <c r="B506" s="127"/>
      <c r="C506" s="127"/>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row>
    <row r="507">
      <c r="A507" s="127"/>
      <c r="B507" s="127"/>
      <c r="C507" s="127"/>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row>
    <row r="508">
      <c r="A508" s="127"/>
      <c r="B508" s="127"/>
      <c r="C508" s="127"/>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row>
    <row r="509">
      <c r="A509" s="127"/>
      <c r="B509" s="127"/>
      <c r="C509" s="127"/>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row>
    <row r="510">
      <c r="A510" s="127"/>
      <c r="B510" s="127"/>
      <c r="C510" s="127"/>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row>
    <row r="511">
      <c r="A511" s="127"/>
      <c r="B511" s="127"/>
      <c r="C511" s="127"/>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row>
    <row r="512">
      <c r="A512" s="127"/>
      <c r="B512" s="127"/>
      <c r="C512" s="127"/>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row>
    <row r="513">
      <c r="A513" s="127"/>
      <c r="B513" s="127"/>
      <c r="C513" s="127"/>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row>
    <row r="514">
      <c r="A514" s="127"/>
      <c r="B514" s="127"/>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row>
    <row r="515">
      <c r="A515" s="127"/>
      <c r="B515" s="127"/>
      <c r="C515" s="127"/>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27"/>
    </row>
    <row r="516">
      <c r="A516" s="127"/>
      <c r="B516" s="127"/>
      <c r="C516" s="127"/>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row>
    <row r="517">
      <c r="A517" s="127"/>
      <c r="B517" s="127"/>
      <c r="C517" s="127"/>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27"/>
    </row>
    <row r="518">
      <c r="A518" s="127"/>
      <c r="B518" s="127"/>
      <c r="C518" s="127"/>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row>
    <row r="519">
      <c r="A519" s="127"/>
      <c r="B519" s="127"/>
      <c r="C519" s="127"/>
      <c r="D519" s="127"/>
      <c r="E519" s="127"/>
      <c r="F519" s="127"/>
      <c r="G519" s="127"/>
      <c r="H519" s="127"/>
      <c r="I519" s="127"/>
      <c r="J519" s="127"/>
      <c r="K519" s="127"/>
      <c r="L519" s="127"/>
      <c r="M519" s="127"/>
      <c r="N519" s="127"/>
      <c r="O519" s="127"/>
      <c r="P519" s="127"/>
      <c r="Q519" s="127"/>
      <c r="R519" s="127"/>
      <c r="S519" s="127"/>
      <c r="T519" s="127"/>
      <c r="U519" s="127"/>
      <c r="V519" s="127"/>
      <c r="W519" s="127"/>
      <c r="X519" s="127"/>
      <c r="Y519" s="127"/>
    </row>
    <row r="520">
      <c r="A520" s="127"/>
      <c r="B520" s="127"/>
      <c r="C520" s="127"/>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row>
    <row r="521">
      <c r="A521" s="127"/>
      <c r="B521" s="127"/>
      <c r="C521" s="127"/>
      <c r="D521" s="127"/>
      <c r="E521" s="127"/>
      <c r="F521" s="127"/>
      <c r="G521" s="127"/>
      <c r="H521" s="127"/>
      <c r="I521" s="127"/>
      <c r="J521" s="127"/>
      <c r="K521" s="127"/>
      <c r="L521" s="127"/>
      <c r="M521" s="127"/>
      <c r="N521" s="127"/>
      <c r="O521" s="127"/>
      <c r="P521" s="127"/>
      <c r="Q521" s="127"/>
      <c r="R521" s="127"/>
      <c r="S521" s="127"/>
      <c r="T521" s="127"/>
      <c r="U521" s="127"/>
      <c r="V521" s="127"/>
      <c r="W521" s="127"/>
      <c r="X521" s="127"/>
      <c r="Y521" s="127"/>
    </row>
    <row r="522">
      <c r="A522" s="127"/>
      <c r="B522" s="127"/>
      <c r="C522" s="127"/>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row>
    <row r="523">
      <c r="A523" s="127"/>
      <c r="B523" s="127"/>
      <c r="C523" s="127"/>
      <c r="D523" s="127"/>
      <c r="E523" s="127"/>
      <c r="F523" s="127"/>
      <c r="G523" s="127"/>
      <c r="H523" s="127"/>
      <c r="I523" s="127"/>
      <c r="J523" s="127"/>
      <c r="K523" s="127"/>
      <c r="L523" s="127"/>
      <c r="M523" s="127"/>
      <c r="N523" s="127"/>
      <c r="O523" s="127"/>
      <c r="P523" s="127"/>
      <c r="Q523" s="127"/>
      <c r="R523" s="127"/>
      <c r="S523" s="127"/>
      <c r="T523" s="127"/>
      <c r="U523" s="127"/>
      <c r="V523" s="127"/>
      <c r="W523" s="127"/>
      <c r="X523" s="127"/>
      <c r="Y523" s="127"/>
    </row>
    <row r="524">
      <c r="A524" s="127"/>
      <c r="B524" s="127"/>
      <c r="C524" s="127"/>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row>
    <row r="525">
      <c r="A525" s="127"/>
      <c r="B525" s="127"/>
      <c r="C525" s="127"/>
      <c r="D525" s="127"/>
      <c r="E525" s="127"/>
      <c r="F525" s="127"/>
      <c r="G525" s="127"/>
      <c r="H525" s="127"/>
      <c r="I525" s="127"/>
      <c r="J525" s="127"/>
      <c r="K525" s="127"/>
      <c r="L525" s="127"/>
      <c r="M525" s="127"/>
      <c r="N525" s="127"/>
      <c r="O525" s="127"/>
      <c r="P525" s="127"/>
      <c r="Q525" s="127"/>
      <c r="R525" s="127"/>
      <c r="S525" s="127"/>
      <c r="T525" s="127"/>
      <c r="U525" s="127"/>
      <c r="V525" s="127"/>
      <c r="W525" s="127"/>
      <c r="X525" s="127"/>
      <c r="Y525" s="127"/>
    </row>
    <row r="526">
      <c r="A526" s="127"/>
      <c r="B526" s="127"/>
      <c r="C526" s="127"/>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row>
    <row r="527">
      <c r="A527" s="127"/>
      <c r="B527" s="127"/>
      <c r="C527" s="127"/>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row>
    <row r="528">
      <c r="A528" s="127"/>
      <c r="B528" s="127"/>
      <c r="C528" s="127"/>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row>
    <row r="529">
      <c r="A529" s="127"/>
      <c r="B529" s="127"/>
      <c r="C529" s="127"/>
      <c r="D529" s="127"/>
      <c r="E529" s="127"/>
      <c r="F529" s="127"/>
      <c r="G529" s="127"/>
      <c r="H529" s="127"/>
      <c r="I529" s="127"/>
      <c r="J529" s="127"/>
      <c r="K529" s="127"/>
      <c r="L529" s="127"/>
      <c r="M529" s="127"/>
      <c r="N529" s="127"/>
      <c r="O529" s="127"/>
      <c r="P529" s="127"/>
      <c r="Q529" s="127"/>
      <c r="R529" s="127"/>
      <c r="S529" s="127"/>
      <c r="T529" s="127"/>
      <c r="U529" s="127"/>
      <c r="V529" s="127"/>
      <c r="W529" s="127"/>
      <c r="X529" s="127"/>
      <c r="Y529" s="127"/>
    </row>
    <row r="530">
      <c r="A530" s="127"/>
      <c r="B530" s="127"/>
      <c r="C530" s="127"/>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row>
    <row r="531">
      <c r="A531" s="127"/>
      <c r="B531" s="127"/>
      <c r="C531" s="127"/>
      <c r="D531" s="127"/>
      <c r="E531" s="127"/>
      <c r="F531" s="127"/>
      <c r="G531" s="127"/>
      <c r="H531" s="127"/>
      <c r="I531" s="127"/>
      <c r="J531" s="127"/>
      <c r="K531" s="127"/>
      <c r="L531" s="127"/>
      <c r="M531" s="127"/>
      <c r="N531" s="127"/>
      <c r="O531" s="127"/>
      <c r="P531" s="127"/>
      <c r="Q531" s="127"/>
      <c r="R531" s="127"/>
      <c r="S531" s="127"/>
      <c r="T531" s="127"/>
      <c r="U531" s="127"/>
      <c r="V531" s="127"/>
      <c r="W531" s="127"/>
      <c r="X531" s="127"/>
      <c r="Y531" s="127"/>
    </row>
    <row r="532">
      <c r="A532" s="127"/>
      <c r="B532" s="127"/>
      <c r="C532" s="127"/>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row>
    <row r="533">
      <c r="A533" s="127"/>
      <c r="B533" s="127"/>
      <c r="C533" s="127"/>
      <c r="D533" s="127"/>
      <c r="E533" s="127"/>
      <c r="F533" s="127"/>
      <c r="G533" s="127"/>
      <c r="H533" s="127"/>
      <c r="I533" s="127"/>
      <c r="J533" s="127"/>
      <c r="K533" s="127"/>
      <c r="L533" s="127"/>
      <c r="M533" s="127"/>
      <c r="N533" s="127"/>
      <c r="O533" s="127"/>
      <c r="P533" s="127"/>
      <c r="Q533" s="127"/>
      <c r="R533" s="127"/>
      <c r="S533" s="127"/>
      <c r="T533" s="127"/>
      <c r="U533" s="127"/>
      <c r="V533" s="127"/>
      <c r="W533" s="127"/>
      <c r="X533" s="127"/>
      <c r="Y533" s="127"/>
    </row>
    <row r="534">
      <c r="A534" s="127"/>
      <c r="B534" s="127"/>
      <c r="C534" s="127"/>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row>
    <row r="535">
      <c r="A535" s="127"/>
      <c r="B535" s="127"/>
      <c r="C535" s="127"/>
      <c r="D535" s="127"/>
      <c r="E535" s="127"/>
      <c r="F535" s="127"/>
      <c r="G535" s="127"/>
      <c r="H535" s="127"/>
      <c r="I535" s="127"/>
      <c r="J535" s="127"/>
      <c r="K535" s="127"/>
      <c r="L535" s="127"/>
      <c r="M535" s="127"/>
      <c r="N535" s="127"/>
      <c r="O535" s="127"/>
      <c r="P535" s="127"/>
      <c r="Q535" s="127"/>
      <c r="R535" s="127"/>
      <c r="S535" s="127"/>
      <c r="T535" s="127"/>
      <c r="U535" s="127"/>
      <c r="V535" s="127"/>
      <c r="W535" s="127"/>
      <c r="X535" s="127"/>
      <c r="Y535" s="127"/>
    </row>
    <row r="536">
      <c r="A536" s="127"/>
      <c r="B536" s="127"/>
      <c r="C536" s="127"/>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row>
    <row r="537">
      <c r="A537" s="127"/>
      <c r="B537" s="127"/>
      <c r="C537" s="127"/>
      <c r="D537" s="127"/>
      <c r="E537" s="127"/>
      <c r="F537" s="127"/>
      <c r="G537" s="127"/>
      <c r="H537" s="127"/>
      <c r="I537" s="127"/>
      <c r="J537" s="127"/>
      <c r="K537" s="127"/>
      <c r="L537" s="127"/>
      <c r="M537" s="127"/>
      <c r="N537" s="127"/>
      <c r="O537" s="127"/>
      <c r="P537" s="127"/>
      <c r="Q537" s="127"/>
      <c r="R537" s="127"/>
      <c r="S537" s="127"/>
      <c r="T537" s="127"/>
      <c r="U537" s="127"/>
      <c r="V537" s="127"/>
      <c r="W537" s="127"/>
      <c r="X537" s="127"/>
      <c r="Y537" s="127"/>
    </row>
    <row r="538">
      <c r="A538" s="127"/>
      <c r="B538" s="127"/>
      <c r="C538" s="127"/>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row>
    <row r="539">
      <c r="A539" s="127"/>
      <c r="B539" s="127"/>
      <c r="C539" s="127"/>
      <c r="D539" s="127"/>
      <c r="E539" s="127"/>
      <c r="F539" s="127"/>
      <c r="G539" s="127"/>
      <c r="H539" s="127"/>
      <c r="I539" s="127"/>
      <c r="J539" s="127"/>
      <c r="K539" s="127"/>
      <c r="L539" s="127"/>
      <c r="M539" s="127"/>
      <c r="N539" s="127"/>
      <c r="O539" s="127"/>
      <c r="P539" s="127"/>
      <c r="Q539" s="127"/>
      <c r="R539" s="127"/>
      <c r="S539" s="127"/>
      <c r="T539" s="127"/>
      <c r="U539" s="127"/>
      <c r="V539" s="127"/>
      <c r="W539" s="127"/>
      <c r="X539" s="127"/>
      <c r="Y539" s="127"/>
    </row>
    <row r="540">
      <c r="A540" s="127"/>
      <c r="B540" s="127"/>
      <c r="C540" s="127"/>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row>
    <row r="541">
      <c r="A541" s="127"/>
      <c r="B541" s="127"/>
      <c r="C541" s="127"/>
      <c r="D541" s="127"/>
      <c r="E541" s="127"/>
      <c r="F541" s="127"/>
      <c r="G541" s="127"/>
      <c r="H541" s="127"/>
      <c r="I541" s="127"/>
      <c r="J541" s="127"/>
      <c r="K541" s="127"/>
      <c r="L541" s="127"/>
      <c r="M541" s="127"/>
      <c r="N541" s="127"/>
      <c r="O541" s="127"/>
      <c r="P541" s="127"/>
      <c r="Q541" s="127"/>
      <c r="R541" s="127"/>
      <c r="S541" s="127"/>
      <c r="T541" s="127"/>
      <c r="U541" s="127"/>
      <c r="V541" s="127"/>
      <c r="W541" s="127"/>
      <c r="X541" s="127"/>
      <c r="Y541" s="127"/>
    </row>
    <row r="542">
      <c r="A542" s="127"/>
      <c r="B542" s="127"/>
      <c r="C542" s="127"/>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row>
    <row r="543">
      <c r="A543" s="127"/>
      <c r="B543" s="127"/>
      <c r="C543" s="127"/>
      <c r="D543" s="127"/>
      <c r="E543" s="127"/>
      <c r="F543" s="127"/>
      <c r="G543" s="127"/>
      <c r="H543" s="127"/>
      <c r="I543" s="127"/>
      <c r="J543" s="127"/>
      <c r="K543" s="127"/>
      <c r="L543" s="127"/>
      <c r="M543" s="127"/>
      <c r="N543" s="127"/>
      <c r="O543" s="127"/>
      <c r="P543" s="127"/>
      <c r="Q543" s="127"/>
      <c r="R543" s="127"/>
      <c r="S543" s="127"/>
      <c r="T543" s="127"/>
      <c r="U543" s="127"/>
      <c r="V543" s="127"/>
      <c r="W543" s="127"/>
      <c r="X543" s="127"/>
      <c r="Y543" s="127"/>
    </row>
    <row r="544">
      <c r="A544" s="127"/>
      <c r="B544" s="127"/>
      <c r="C544" s="127"/>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row>
    <row r="545">
      <c r="A545" s="127"/>
      <c r="B545" s="127"/>
      <c r="C545" s="127"/>
      <c r="D545" s="127"/>
      <c r="E545" s="127"/>
      <c r="F545" s="127"/>
      <c r="G545" s="127"/>
      <c r="H545" s="127"/>
      <c r="I545" s="127"/>
      <c r="J545" s="127"/>
      <c r="K545" s="127"/>
      <c r="L545" s="127"/>
      <c r="M545" s="127"/>
      <c r="N545" s="127"/>
      <c r="O545" s="127"/>
      <c r="P545" s="127"/>
      <c r="Q545" s="127"/>
      <c r="R545" s="127"/>
      <c r="S545" s="127"/>
      <c r="T545" s="127"/>
      <c r="U545" s="127"/>
      <c r="V545" s="127"/>
      <c r="W545" s="127"/>
      <c r="X545" s="127"/>
      <c r="Y545" s="127"/>
    </row>
    <row r="546">
      <c r="A546" s="127"/>
      <c r="B546" s="127"/>
      <c r="C546" s="127"/>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row>
    <row r="547">
      <c r="A547" s="127"/>
      <c r="B547" s="127"/>
      <c r="C547" s="127"/>
      <c r="D547" s="127"/>
      <c r="E547" s="127"/>
      <c r="F547" s="127"/>
      <c r="G547" s="127"/>
      <c r="H547" s="127"/>
      <c r="I547" s="127"/>
      <c r="J547" s="127"/>
      <c r="K547" s="127"/>
      <c r="L547" s="127"/>
      <c r="M547" s="127"/>
      <c r="N547" s="127"/>
      <c r="O547" s="127"/>
      <c r="P547" s="127"/>
      <c r="Q547" s="127"/>
      <c r="R547" s="127"/>
      <c r="S547" s="127"/>
      <c r="T547" s="127"/>
      <c r="U547" s="127"/>
      <c r="V547" s="127"/>
      <c r="W547" s="127"/>
      <c r="X547" s="127"/>
      <c r="Y547" s="127"/>
    </row>
    <row r="548">
      <c r="A548" s="127"/>
      <c r="B548" s="127"/>
      <c r="C548" s="127"/>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row>
    <row r="549">
      <c r="A549" s="127"/>
      <c r="B549" s="127"/>
      <c r="C549" s="127"/>
      <c r="D549" s="127"/>
      <c r="E549" s="127"/>
      <c r="F549" s="127"/>
      <c r="G549" s="127"/>
      <c r="H549" s="127"/>
      <c r="I549" s="127"/>
      <c r="J549" s="127"/>
      <c r="K549" s="127"/>
      <c r="L549" s="127"/>
      <c r="M549" s="127"/>
      <c r="N549" s="127"/>
      <c r="O549" s="127"/>
      <c r="P549" s="127"/>
      <c r="Q549" s="127"/>
      <c r="R549" s="127"/>
      <c r="S549" s="127"/>
      <c r="T549" s="127"/>
      <c r="U549" s="127"/>
      <c r="V549" s="127"/>
      <c r="W549" s="127"/>
      <c r="X549" s="127"/>
      <c r="Y549" s="127"/>
    </row>
    <row r="550">
      <c r="A550" s="127"/>
      <c r="B550" s="127"/>
      <c r="C550" s="127"/>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row>
    <row r="551">
      <c r="A551" s="127"/>
      <c r="B551" s="127"/>
      <c r="C551" s="127"/>
      <c r="D551" s="127"/>
      <c r="E551" s="127"/>
      <c r="F551" s="127"/>
      <c r="G551" s="127"/>
      <c r="H551" s="127"/>
      <c r="I551" s="127"/>
      <c r="J551" s="127"/>
      <c r="K551" s="127"/>
      <c r="L551" s="127"/>
      <c r="M551" s="127"/>
      <c r="N551" s="127"/>
      <c r="O551" s="127"/>
      <c r="P551" s="127"/>
      <c r="Q551" s="127"/>
      <c r="R551" s="127"/>
      <c r="S551" s="127"/>
      <c r="T551" s="127"/>
      <c r="U551" s="127"/>
      <c r="V551" s="127"/>
      <c r="W551" s="127"/>
      <c r="X551" s="127"/>
      <c r="Y551" s="127"/>
    </row>
    <row r="552">
      <c r="A552" s="127"/>
      <c r="B552" s="127"/>
      <c r="C552" s="127"/>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row>
    <row r="553">
      <c r="A553" s="127"/>
      <c r="B553" s="127"/>
      <c r="C553" s="127"/>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row>
    <row r="554">
      <c r="A554" s="127"/>
      <c r="B554" s="127"/>
      <c r="C554" s="127"/>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row>
    <row r="555">
      <c r="A555" s="127"/>
      <c r="B555" s="127"/>
      <c r="C555" s="127"/>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row>
    <row r="556">
      <c r="A556" s="127"/>
      <c r="B556" s="127"/>
      <c r="C556" s="127"/>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row>
    <row r="557">
      <c r="A557" s="127"/>
      <c r="B557" s="127"/>
      <c r="C557" s="127"/>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row>
    <row r="558">
      <c r="A558" s="127"/>
      <c r="B558" s="127"/>
      <c r="C558" s="127"/>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row>
    <row r="559">
      <c r="A559" s="127"/>
      <c r="B559" s="127"/>
      <c r="C559" s="127"/>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row>
    <row r="560">
      <c r="A560" s="127"/>
      <c r="B560" s="127"/>
      <c r="C560" s="127"/>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row>
    <row r="561">
      <c r="A561" s="127"/>
      <c r="B561" s="127"/>
      <c r="C561" s="127"/>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row>
    <row r="562">
      <c r="A562" s="127"/>
      <c r="B562" s="127"/>
      <c r="C562" s="127"/>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row>
    <row r="563">
      <c r="A563" s="127"/>
      <c r="B563" s="127"/>
      <c r="C563" s="127"/>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row>
    <row r="564">
      <c r="A564" s="127"/>
      <c r="B564" s="127"/>
      <c r="C564" s="127"/>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row>
    <row r="565">
      <c r="A565" s="127"/>
      <c r="B565" s="127"/>
      <c r="C565" s="127"/>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row>
    <row r="566">
      <c r="A566" s="127"/>
      <c r="B566" s="127"/>
      <c r="C566" s="127"/>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row>
    <row r="567">
      <c r="A567" s="127"/>
      <c r="B567" s="127"/>
      <c r="C567" s="127"/>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row>
    <row r="568">
      <c r="A568" s="127"/>
      <c r="B568" s="127"/>
      <c r="C568" s="127"/>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row>
    <row r="569">
      <c r="A569" s="127"/>
      <c r="B569" s="127"/>
      <c r="C569" s="127"/>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row>
    <row r="570">
      <c r="A570" s="127"/>
      <c r="B570" s="127"/>
      <c r="C570" s="127"/>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row>
    <row r="571">
      <c r="A571" s="127"/>
      <c r="B571" s="127"/>
      <c r="C571" s="127"/>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row>
    <row r="572">
      <c r="A572" s="127"/>
      <c r="B572" s="127"/>
      <c r="C572" s="127"/>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row>
    <row r="573">
      <c r="A573" s="127"/>
      <c r="B573" s="127"/>
      <c r="C573" s="127"/>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row>
    <row r="574">
      <c r="A574" s="127"/>
      <c r="B574" s="127"/>
      <c r="C574" s="127"/>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row>
    <row r="575">
      <c r="A575" s="127"/>
      <c r="B575" s="127"/>
      <c r="C575" s="127"/>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row>
    <row r="576">
      <c r="A576" s="127"/>
      <c r="B576" s="127"/>
      <c r="C576" s="127"/>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row>
    <row r="577">
      <c r="A577" s="127"/>
      <c r="B577" s="127"/>
      <c r="C577" s="127"/>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row>
    <row r="578">
      <c r="A578" s="127"/>
      <c r="B578" s="127"/>
      <c r="C578" s="127"/>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row>
    <row r="579">
      <c r="A579" s="127"/>
      <c r="B579" s="127"/>
      <c r="C579" s="127"/>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row>
    <row r="580">
      <c r="A580" s="127"/>
      <c r="B580" s="127"/>
      <c r="C580" s="127"/>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row>
    <row r="581">
      <c r="A581" s="127"/>
      <c r="B581" s="127"/>
      <c r="C581" s="127"/>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row>
    <row r="582">
      <c r="A582" s="127"/>
      <c r="B582" s="127"/>
      <c r="C582" s="127"/>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row>
    <row r="583">
      <c r="A583" s="127"/>
      <c r="B583" s="127"/>
      <c r="C583" s="127"/>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row>
    <row r="584">
      <c r="A584" s="127"/>
      <c r="B584" s="127"/>
      <c r="C584" s="127"/>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row>
    <row r="585">
      <c r="A585" s="127"/>
      <c r="B585" s="127"/>
      <c r="C585" s="127"/>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row>
    <row r="586">
      <c r="A586" s="127"/>
      <c r="B586" s="127"/>
      <c r="C586" s="127"/>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row>
    <row r="587">
      <c r="A587" s="127"/>
      <c r="B587" s="127"/>
      <c r="C587" s="127"/>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row>
    <row r="588">
      <c r="A588" s="127"/>
      <c r="B588" s="127"/>
      <c r="C588" s="127"/>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row>
    <row r="589">
      <c r="A589" s="127"/>
      <c r="B589" s="127"/>
      <c r="C589" s="127"/>
      <c r="D589" s="127"/>
      <c r="E589" s="127"/>
      <c r="F589" s="127"/>
      <c r="G589" s="127"/>
      <c r="H589" s="127"/>
      <c r="I589" s="127"/>
      <c r="J589" s="127"/>
      <c r="K589" s="127"/>
      <c r="L589" s="127"/>
      <c r="M589" s="127"/>
      <c r="N589" s="127"/>
      <c r="O589" s="127"/>
      <c r="P589" s="127"/>
      <c r="Q589" s="127"/>
      <c r="R589" s="127"/>
      <c r="S589" s="127"/>
      <c r="T589" s="127"/>
      <c r="U589" s="127"/>
      <c r="V589" s="127"/>
      <c r="W589" s="127"/>
      <c r="X589" s="127"/>
      <c r="Y589" s="127"/>
    </row>
    <row r="590">
      <c r="A590" s="127"/>
      <c r="B590" s="127"/>
      <c r="C590" s="127"/>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row>
    <row r="591">
      <c r="A591" s="127"/>
      <c r="B591" s="127"/>
      <c r="C591" s="127"/>
      <c r="D591" s="127"/>
      <c r="E591" s="127"/>
      <c r="F591" s="127"/>
      <c r="G591" s="127"/>
      <c r="H591" s="127"/>
      <c r="I591" s="127"/>
      <c r="J591" s="127"/>
      <c r="K591" s="127"/>
      <c r="L591" s="127"/>
      <c r="M591" s="127"/>
      <c r="N591" s="127"/>
      <c r="O591" s="127"/>
      <c r="P591" s="127"/>
      <c r="Q591" s="127"/>
      <c r="R591" s="127"/>
      <c r="S591" s="127"/>
      <c r="T591" s="127"/>
      <c r="U591" s="127"/>
      <c r="V591" s="127"/>
      <c r="W591" s="127"/>
      <c r="X591" s="127"/>
      <c r="Y591" s="127"/>
    </row>
    <row r="592">
      <c r="A592" s="127"/>
      <c r="B592" s="127"/>
      <c r="C592" s="127"/>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row>
    <row r="593">
      <c r="A593" s="127"/>
      <c r="B593" s="127"/>
      <c r="C593" s="127"/>
      <c r="D593" s="127"/>
      <c r="E593" s="127"/>
      <c r="F593" s="127"/>
      <c r="G593" s="127"/>
      <c r="H593" s="127"/>
      <c r="I593" s="127"/>
      <c r="J593" s="127"/>
      <c r="K593" s="127"/>
      <c r="L593" s="127"/>
      <c r="M593" s="127"/>
      <c r="N593" s="127"/>
      <c r="O593" s="127"/>
      <c r="P593" s="127"/>
      <c r="Q593" s="127"/>
      <c r="R593" s="127"/>
      <c r="S593" s="127"/>
      <c r="T593" s="127"/>
      <c r="U593" s="127"/>
      <c r="V593" s="127"/>
      <c r="W593" s="127"/>
      <c r="X593" s="127"/>
      <c r="Y593" s="127"/>
    </row>
    <row r="594">
      <c r="A594" s="127"/>
      <c r="B594" s="127"/>
      <c r="C594" s="127"/>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row>
    <row r="595">
      <c r="A595" s="127"/>
      <c r="B595" s="127"/>
      <c r="C595" s="127"/>
      <c r="D595" s="127"/>
      <c r="E595" s="127"/>
      <c r="F595" s="127"/>
      <c r="G595" s="127"/>
      <c r="H595" s="127"/>
      <c r="I595" s="127"/>
      <c r="J595" s="127"/>
      <c r="K595" s="127"/>
      <c r="L595" s="127"/>
      <c r="M595" s="127"/>
      <c r="N595" s="127"/>
      <c r="O595" s="127"/>
      <c r="P595" s="127"/>
      <c r="Q595" s="127"/>
      <c r="R595" s="127"/>
      <c r="S595" s="127"/>
      <c r="T595" s="127"/>
      <c r="U595" s="127"/>
      <c r="V595" s="127"/>
      <c r="W595" s="127"/>
      <c r="X595" s="127"/>
      <c r="Y595" s="127"/>
    </row>
    <row r="596">
      <c r="A596" s="127"/>
      <c r="B596" s="127"/>
      <c r="C596" s="127"/>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row>
    <row r="597">
      <c r="A597" s="127"/>
      <c r="B597" s="127"/>
      <c r="C597" s="127"/>
      <c r="D597" s="127"/>
      <c r="E597" s="127"/>
      <c r="F597" s="127"/>
      <c r="G597" s="127"/>
      <c r="H597" s="127"/>
      <c r="I597" s="127"/>
      <c r="J597" s="127"/>
      <c r="K597" s="127"/>
      <c r="L597" s="127"/>
      <c r="M597" s="127"/>
      <c r="N597" s="127"/>
      <c r="O597" s="127"/>
      <c r="P597" s="127"/>
      <c r="Q597" s="127"/>
      <c r="R597" s="127"/>
      <c r="S597" s="127"/>
      <c r="T597" s="127"/>
      <c r="U597" s="127"/>
      <c r="V597" s="127"/>
      <c r="W597" s="127"/>
      <c r="X597" s="127"/>
      <c r="Y597" s="127"/>
    </row>
    <row r="598">
      <c r="A598" s="127"/>
      <c r="B598" s="127"/>
      <c r="C598" s="127"/>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row>
    <row r="599">
      <c r="A599" s="127"/>
      <c r="B599" s="127"/>
      <c r="C599" s="127"/>
      <c r="D599" s="127"/>
      <c r="E599" s="127"/>
      <c r="F599" s="127"/>
      <c r="G599" s="127"/>
      <c r="H599" s="127"/>
      <c r="I599" s="127"/>
      <c r="J599" s="127"/>
      <c r="K599" s="127"/>
      <c r="L599" s="127"/>
      <c r="M599" s="127"/>
      <c r="N599" s="127"/>
      <c r="O599" s="127"/>
      <c r="P599" s="127"/>
      <c r="Q599" s="127"/>
      <c r="R599" s="127"/>
      <c r="S599" s="127"/>
      <c r="T599" s="127"/>
      <c r="U599" s="127"/>
      <c r="V599" s="127"/>
      <c r="W599" s="127"/>
      <c r="X599" s="127"/>
      <c r="Y599" s="127"/>
    </row>
    <row r="600">
      <c r="A600" s="127"/>
      <c r="B600" s="127"/>
      <c r="C600" s="127"/>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row>
    <row r="601">
      <c r="A601" s="127"/>
      <c r="B601" s="127"/>
      <c r="C601" s="127"/>
      <c r="D601" s="127"/>
      <c r="E601" s="127"/>
      <c r="F601" s="127"/>
      <c r="G601" s="127"/>
      <c r="H601" s="127"/>
      <c r="I601" s="127"/>
      <c r="J601" s="127"/>
      <c r="K601" s="127"/>
      <c r="L601" s="127"/>
      <c r="M601" s="127"/>
      <c r="N601" s="127"/>
      <c r="O601" s="127"/>
      <c r="P601" s="127"/>
      <c r="Q601" s="127"/>
      <c r="R601" s="127"/>
      <c r="S601" s="127"/>
      <c r="T601" s="127"/>
      <c r="U601" s="127"/>
      <c r="V601" s="127"/>
      <c r="W601" s="127"/>
      <c r="X601" s="127"/>
      <c r="Y601" s="127"/>
    </row>
    <row r="602">
      <c r="A602" s="127"/>
      <c r="B602" s="127"/>
      <c r="C602" s="127"/>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row>
    <row r="603">
      <c r="A603" s="127"/>
      <c r="B603" s="127"/>
      <c r="C603" s="127"/>
      <c r="D603" s="127"/>
      <c r="E603" s="127"/>
      <c r="F603" s="127"/>
      <c r="G603" s="127"/>
      <c r="H603" s="127"/>
      <c r="I603" s="127"/>
      <c r="J603" s="127"/>
      <c r="K603" s="127"/>
      <c r="L603" s="127"/>
      <c r="M603" s="127"/>
      <c r="N603" s="127"/>
      <c r="O603" s="127"/>
      <c r="P603" s="127"/>
      <c r="Q603" s="127"/>
      <c r="R603" s="127"/>
      <c r="S603" s="127"/>
      <c r="T603" s="127"/>
      <c r="U603" s="127"/>
      <c r="V603" s="127"/>
      <c r="W603" s="127"/>
      <c r="X603" s="127"/>
      <c r="Y603" s="127"/>
    </row>
    <row r="604">
      <c r="A604" s="127"/>
      <c r="B604" s="127"/>
      <c r="C604" s="127"/>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row>
    <row r="605">
      <c r="A605" s="127"/>
      <c r="B605" s="127"/>
      <c r="C605" s="127"/>
      <c r="D605" s="127"/>
      <c r="E605" s="127"/>
      <c r="F605" s="127"/>
      <c r="G605" s="127"/>
      <c r="H605" s="127"/>
      <c r="I605" s="127"/>
      <c r="J605" s="127"/>
      <c r="K605" s="127"/>
      <c r="L605" s="127"/>
      <c r="M605" s="127"/>
      <c r="N605" s="127"/>
      <c r="O605" s="127"/>
      <c r="P605" s="127"/>
      <c r="Q605" s="127"/>
      <c r="R605" s="127"/>
      <c r="S605" s="127"/>
      <c r="T605" s="127"/>
      <c r="U605" s="127"/>
      <c r="V605" s="127"/>
      <c r="W605" s="127"/>
      <c r="X605" s="127"/>
      <c r="Y605" s="127"/>
    </row>
    <row r="606">
      <c r="A606" s="127"/>
      <c r="B606" s="127"/>
      <c r="C606" s="127"/>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row>
    <row r="607">
      <c r="A607" s="127"/>
      <c r="B607" s="127"/>
      <c r="C607" s="127"/>
      <c r="D607" s="127"/>
      <c r="E607" s="127"/>
      <c r="F607" s="127"/>
      <c r="G607" s="127"/>
      <c r="H607" s="127"/>
      <c r="I607" s="127"/>
      <c r="J607" s="127"/>
      <c r="K607" s="127"/>
      <c r="L607" s="127"/>
      <c r="M607" s="127"/>
      <c r="N607" s="127"/>
      <c r="O607" s="127"/>
      <c r="P607" s="127"/>
      <c r="Q607" s="127"/>
      <c r="R607" s="127"/>
      <c r="S607" s="127"/>
      <c r="T607" s="127"/>
      <c r="U607" s="127"/>
      <c r="V607" s="127"/>
      <c r="W607" s="127"/>
      <c r="X607" s="127"/>
      <c r="Y607" s="127"/>
    </row>
    <row r="608">
      <c r="A608" s="127"/>
      <c r="B608" s="127"/>
      <c r="C608" s="127"/>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row>
    <row r="609">
      <c r="A609" s="127"/>
      <c r="B609" s="127"/>
      <c r="C609" s="127"/>
      <c r="D609" s="127"/>
      <c r="E609" s="127"/>
      <c r="F609" s="127"/>
      <c r="G609" s="127"/>
      <c r="H609" s="127"/>
      <c r="I609" s="127"/>
      <c r="J609" s="127"/>
      <c r="K609" s="127"/>
      <c r="L609" s="127"/>
      <c r="M609" s="127"/>
      <c r="N609" s="127"/>
      <c r="O609" s="127"/>
      <c r="P609" s="127"/>
      <c r="Q609" s="127"/>
      <c r="R609" s="127"/>
      <c r="S609" s="127"/>
      <c r="T609" s="127"/>
      <c r="U609" s="127"/>
      <c r="V609" s="127"/>
      <c r="W609" s="127"/>
      <c r="X609" s="127"/>
      <c r="Y609" s="127"/>
    </row>
    <row r="610">
      <c r="A610" s="127"/>
      <c r="B610" s="127"/>
      <c r="C610" s="127"/>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row>
    <row r="611">
      <c r="A611" s="127"/>
      <c r="B611" s="127"/>
      <c r="C611" s="127"/>
      <c r="D611" s="127"/>
      <c r="E611" s="127"/>
      <c r="F611" s="127"/>
      <c r="G611" s="127"/>
      <c r="H611" s="127"/>
      <c r="I611" s="127"/>
      <c r="J611" s="127"/>
      <c r="K611" s="127"/>
      <c r="L611" s="127"/>
      <c r="M611" s="127"/>
      <c r="N611" s="127"/>
      <c r="O611" s="127"/>
      <c r="P611" s="127"/>
      <c r="Q611" s="127"/>
      <c r="R611" s="127"/>
      <c r="S611" s="127"/>
      <c r="T611" s="127"/>
      <c r="U611" s="127"/>
      <c r="V611" s="127"/>
      <c r="W611" s="127"/>
      <c r="X611" s="127"/>
      <c r="Y611" s="127"/>
    </row>
    <row r="612">
      <c r="A612" s="127"/>
      <c r="B612" s="127"/>
      <c r="C612" s="127"/>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row>
    <row r="613">
      <c r="A613" s="127"/>
      <c r="B613" s="127"/>
      <c r="C613" s="127"/>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row>
    <row r="614">
      <c r="A614" s="127"/>
      <c r="B614" s="127"/>
      <c r="C614" s="127"/>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row>
    <row r="615">
      <c r="A615" s="127"/>
      <c r="B615" s="127"/>
      <c r="C615" s="127"/>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row>
    <row r="616">
      <c r="A616" s="127"/>
      <c r="B616" s="127"/>
      <c r="C616" s="127"/>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row>
    <row r="617">
      <c r="A617" s="127"/>
      <c r="B617" s="127"/>
      <c r="C617" s="127"/>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row>
    <row r="618">
      <c r="A618" s="127"/>
      <c r="B618" s="127"/>
      <c r="C618" s="127"/>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row>
    <row r="619">
      <c r="A619" s="127"/>
      <c r="B619" s="127"/>
      <c r="C619" s="127"/>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row>
    <row r="620">
      <c r="A620" s="127"/>
      <c r="B620" s="127"/>
      <c r="C620" s="127"/>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row>
    <row r="621">
      <c r="A621" s="127"/>
      <c r="B621" s="127"/>
      <c r="C621" s="127"/>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row>
    <row r="622">
      <c r="A622" s="127"/>
      <c r="B622" s="127"/>
      <c r="C622" s="127"/>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row>
    <row r="623">
      <c r="A623" s="127"/>
      <c r="B623" s="127"/>
      <c r="C623" s="127"/>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row>
    <row r="624">
      <c r="A624" s="127"/>
      <c r="B624" s="127"/>
      <c r="C624" s="127"/>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row>
  </sheetData>
  <conditionalFormatting sqref="A1:Y624">
    <cfRule type="cellIs" dxfId="1" priority="1" operator="between">
      <formula>0.001</formula>
      <formula>-0.001</formula>
    </cfRule>
  </conditionalFormatting>
  <conditionalFormatting sqref="A1:Y624">
    <cfRule type="cellIs" dxfId="0" priority="2" operator="lessThan">
      <formula>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88"/>
    <col customWidth="1" min="2" max="3" width="21.88"/>
    <col customWidth="1" min="4" max="4" width="6.75"/>
  </cols>
  <sheetData>
    <row r="1">
      <c r="A1" s="264" t="str">
        <f>IFERROR(__xludf.DUMMYFUNCTION("ARRAYFORMULA({IF(IMPORTRANGE(""https://docs.google.com/spreadsheets/d/1yismcdwflLF6yw9e2QW1De-YipgifSF_RdHGS-Eh2tk"",""Ekspor-BisaJual-BisaStok!A1:H1"")="""",,
IMPORTRANGE(""https://docs.google.com/spreadsheets/d/1yismcdwflLF6yw9e2QW1De-YipgifSF_RdHGS-Eh2"&amp;"tk"",""Ekspor-BisaJual-BisaStok!A1:H1""));
SORT(IF(IMPORTRANGE(""https://docs.google.com/spreadsheets/d/1yismcdwflLF6yw9e2QW1De-YipgifSF_RdHGS-Eh2tk"",""Ekspor-BisaJual-BisaStok!A2:H"")="""",,
IMPORTRANGE(""https://docs.google.com/spreadsheets/d/1yismcdwf"&amp;"lLF6yw9e2QW1De-YipgifSF_RdHGS-Eh2tk"",""Ekspor-BisaJual-BisaStok!A2:H"")))})"),"SKU")</f>
        <v>SKU</v>
      </c>
      <c r="B1" s="264" t="str">
        <f>IFERROR(__xludf.DUMMYFUNCTION("""COMPUTED_VALUE"""),"Tanggal")</f>
        <v>Tanggal</v>
      </c>
      <c r="C1" s="264" t="str">
        <f>IFERROR(__xludf.DUMMYFUNCTION("""COMPUTED_VALUE"""),"Lokasi Gudang")</f>
        <v>Lokasi Gudang</v>
      </c>
      <c r="D1" s="265" t="str">
        <f>IFERROR(__xludf.DUMMYFUNCTION("""COMPUTED_VALUE"""),"Banyak
Terjual
(Buah)")</f>
        <v>Banyak
Terjual
(Buah)</v>
      </c>
    </row>
    <row r="2">
      <c r="A2" s="178" t="str">
        <f>IFERROR(__xludf.DUMMYFUNCTION("""COMPUTED_VALUE"""),"ITBISA-7SEGMENT-ANODE-RED-0.56-1BIT")</f>
        <v>ITBISA-7SEGMENT-ANODE-RED-0.56-1BIT</v>
      </c>
      <c r="B2" s="266">
        <f>IFERROR(__xludf.DUMMYFUNCTION("""COMPUTED_VALUE"""),43484.0)</f>
        <v>43484</v>
      </c>
      <c r="C2" s="266" t="str">
        <f>IFERROR(__xludf.DUMMYFUNCTION("""COMPUTED_VALUE"""),"AVRG ITB")</f>
        <v>AVRG ITB</v>
      </c>
      <c r="D2" s="186">
        <f>IFERROR(__xludf.DUMMYFUNCTION("""COMPUTED_VALUE"""),20.0)</f>
        <v>20</v>
      </c>
    </row>
    <row r="3">
      <c r="A3" s="178" t="str">
        <f>IFERROR(__xludf.DUMMYFUNCTION("""COMPUTED_VALUE"""),"ITBISA-7SEGMENT-ANODE-RED-0.56-1BIT")</f>
        <v>ITBISA-7SEGMENT-ANODE-RED-0.56-1BIT</v>
      </c>
      <c r="B3" s="266">
        <f>IFERROR(__xludf.DUMMYFUNCTION("""COMPUTED_VALUE"""),43501.0)</f>
        <v>43501</v>
      </c>
      <c r="C3" s="266" t="str">
        <f>IFERROR(__xludf.DUMMYFUNCTION("""COMPUTED_VALUE"""),"AVRG ITB")</f>
        <v>AVRG ITB</v>
      </c>
      <c r="D3" s="186">
        <f>IFERROR(__xludf.DUMMYFUNCTION("""COMPUTED_VALUE"""),10.0)</f>
        <v>10</v>
      </c>
    </row>
    <row r="4">
      <c r="A4" s="178" t="str">
        <f>IFERROR(__xludf.DUMMYFUNCTION("""COMPUTED_VALUE"""),"ITBISA-7SEGMENT-ANODE-RED-0.56-1BIT")</f>
        <v>ITBISA-7SEGMENT-ANODE-RED-0.56-1BIT</v>
      </c>
      <c r="B4" s="266">
        <f>IFERROR(__xludf.DUMMYFUNCTION("""COMPUTED_VALUE"""),43501.0)</f>
        <v>43501</v>
      </c>
      <c r="C4" s="266" t="str">
        <f>IFERROR(__xludf.DUMMYFUNCTION("""COMPUTED_VALUE"""),"AVRG ITB")</f>
        <v>AVRG ITB</v>
      </c>
      <c r="D4" s="186">
        <f>IFERROR(__xludf.DUMMYFUNCTION("""COMPUTED_VALUE"""),10.0)</f>
        <v>10</v>
      </c>
    </row>
    <row r="5">
      <c r="A5" s="178" t="str">
        <f>IFERROR(__xludf.DUMMYFUNCTION("""COMPUTED_VALUE"""),"ITBISA-7SEGMENT-ANODE-RED-0.56-1BIT")</f>
        <v>ITBISA-7SEGMENT-ANODE-RED-0.56-1BIT</v>
      </c>
      <c r="B5" s="266">
        <f>IFERROR(__xludf.DUMMYFUNCTION("""COMPUTED_VALUE"""),43508.0)</f>
        <v>43508</v>
      </c>
      <c r="C5" s="266" t="str">
        <f>IFERROR(__xludf.DUMMYFUNCTION("""COMPUTED_VALUE"""),"AVRG ITB")</f>
        <v>AVRG ITB</v>
      </c>
      <c r="D5" s="186">
        <f>IFERROR(__xludf.DUMMYFUNCTION("""COMPUTED_VALUE"""),10.0)</f>
        <v>10</v>
      </c>
    </row>
    <row r="6">
      <c r="A6" s="178" t="str">
        <f>IFERROR(__xludf.DUMMYFUNCTION("""COMPUTED_VALUE"""),"ITBISA-7SEGMENT-ANODE-RED-0.56-1BIT")</f>
        <v>ITBISA-7SEGMENT-ANODE-RED-0.56-1BIT</v>
      </c>
      <c r="B6" s="266">
        <f>IFERROR(__xludf.DUMMYFUNCTION("""COMPUTED_VALUE"""),43525.0)</f>
        <v>43525</v>
      </c>
      <c r="C6" s="266" t="str">
        <f>IFERROR(__xludf.DUMMYFUNCTION("""COMPUTED_VALUE"""),"AVRG ITB")</f>
        <v>AVRG ITB</v>
      </c>
      <c r="D6" s="186">
        <f>IFERROR(__xludf.DUMMYFUNCTION("""COMPUTED_VALUE"""),50.0)</f>
        <v>50</v>
      </c>
    </row>
    <row r="7">
      <c r="A7" s="178" t="str">
        <f>IFERROR(__xludf.DUMMYFUNCTION("""COMPUTED_VALUE"""),"ITBISA-7SEGMENT-ANODE-RED-0.56-1BIT")</f>
        <v>ITBISA-7SEGMENT-ANODE-RED-0.56-1BIT</v>
      </c>
      <c r="B7" s="266">
        <f>IFERROR(__xludf.DUMMYFUNCTION("""COMPUTED_VALUE"""),43525.0)</f>
        <v>43525</v>
      </c>
      <c r="C7" s="266" t="str">
        <f>IFERROR(__xludf.DUMMYFUNCTION("""COMPUTED_VALUE"""),"RUMAH MUZAKKI")</f>
        <v>RUMAH MUZAKKI</v>
      </c>
      <c r="D7" s="186">
        <f>IFERROR(__xludf.DUMMYFUNCTION("""COMPUTED_VALUE"""),50.0)</f>
        <v>50</v>
      </c>
    </row>
    <row r="8">
      <c r="A8" s="178" t="str">
        <f>IFERROR(__xludf.DUMMYFUNCTION("""COMPUTED_VALUE"""),"ITBISA-7SEGMENT-ANODE-RED-0.56-1BIT")</f>
        <v>ITBISA-7SEGMENT-ANODE-RED-0.56-1BIT</v>
      </c>
      <c r="B8" s="266">
        <f>IFERROR(__xludf.DUMMYFUNCTION("""COMPUTED_VALUE"""),43528.0)</f>
        <v>43528</v>
      </c>
      <c r="C8" s="266" t="str">
        <f>IFERROR(__xludf.DUMMYFUNCTION("""COMPUTED_VALUE"""),"AVRG ITB")</f>
        <v>AVRG ITB</v>
      </c>
      <c r="D8" s="186">
        <f>IFERROR(__xludf.DUMMYFUNCTION("""COMPUTED_VALUE"""),20.0)</f>
        <v>20</v>
      </c>
    </row>
    <row r="9">
      <c r="A9" s="178" t="str">
        <f>IFERROR(__xludf.DUMMYFUNCTION("""COMPUTED_VALUE"""),"ITBISA-7SEGMENT-ANODE-RED-0.56-1BIT")</f>
        <v>ITBISA-7SEGMENT-ANODE-RED-0.56-1BIT</v>
      </c>
      <c r="B9" s="266">
        <f>IFERROR(__xludf.DUMMYFUNCTION("""COMPUTED_VALUE"""),43528.0)</f>
        <v>43528</v>
      </c>
      <c r="C9" s="266" t="str">
        <f>IFERROR(__xludf.DUMMYFUNCTION("""COMPUTED_VALUE"""),"AVRG ITB")</f>
        <v>AVRG ITB</v>
      </c>
      <c r="D9" s="186">
        <f>IFERROR(__xludf.DUMMYFUNCTION("""COMPUTED_VALUE"""),20.0)</f>
        <v>20</v>
      </c>
    </row>
    <row r="10">
      <c r="A10" s="178" t="str">
        <f>IFERROR(__xludf.DUMMYFUNCTION("""COMPUTED_VALUE"""),"ITBISA-7SEGMENT-ANODE-RED-0.56-1BIT")</f>
        <v>ITBISA-7SEGMENT-ANODE-RED-0.56-1BIT</v>
      </c>
      <c r="B10" s="266">
        <f>IFERROR(__xludf.DUMMYFUNCTION("""COMPUTED_VALUE"""),43533.0)</f>
        <v>43533</v>
      </c>
      <c r="C10" s="266" t="str">
        <f>IFERROR(__xludf.DUMMYFUNCTION("""COMPUTED_VALUE"""),"AVRG ITB")</f>
        <v>AVRG ITB</v>
      </c>
      <c r="D10" s="186">
        <f>IFERROR(__xludf.DUMMYFUNCTION("""COMPUTED_VALUE"""),25.0)</f>
        <v>25</v>
      </c>
    </row>
    <row r="11">
      <c r="A11" s="178" t="str">
        <f>IFERROR(__xludf.DUMMYFUNCTION("""COMPUTED_VALUE"""),"ITBISA-7SEGMENT-ANODE-RED-0.56-1BIT")</f>
        <v>ITBISA-7SEGMENT-ANODE-RED-0.56-1BIT</v>
      </c>
      <c r="B11" s="266">
        <f>IFERROR(__xludf.DUMMYFUNCTION("""COMPUTED_VALUE"""),43536.0)</f>
        <v>43536</v>
      </c>
      <c r="C11" s="266" t="str">
        <f>IFERROR(__xludf.DUMMYFUNCTION("""COMPUTED_VALUE"""),"AVRG ITB")</f>
        <v>AVRG ITB</v>
      </c>
      <c r="D11" s="186">
        <f>IFERROR(__xludf.DUMMYFUNCTION("""COMPUTED_VALUE"""),50.0)</f>
        <v>50</v>
      </c>
    </row>
    <row r="12">
      <c r="A12" s="178" t="str">
        <f>IFERROR(__xludf.DUMMYFUNCTION("""COMPUTED_VALUE"""),"ITBISA-7SEGMENT-ANODE-RED-0.56-1BIT")</f>
        <v>ITBISA-7SEGMENT-ANODE-RED-0.56-1BIT</v>
      </c>
      <c r="B12" s="266">
        <f>IFERROR(__xludf.DUMMYFUNCTION("""COMPUTED_VALUE"""),43536.0)</f>
        <v>43536</v>
      </c>
      <c r="C12" s="266" t="str">
        <f>IFERROR(__xludf.DUMMYFUNCTION("""COMPUTED_VALUE"""),"AVRG ITB")</f>
        <v>AVRG ITB</v>
      </c>
      <c r="D12" s="186">
        <f>IFERROR(__xludf.DUMMYFUNCTION("""COMPUTED_VALUE"""),50.0)</f>
        <v>50</v>
      </c>
    </row>
    <row r="13">
      <c r="A13" s="178" t="str">
        <f>IFERROR(__xludf.DUMMYFUNCTION("""COMPUTED_VALUE"""),"ITBISA-7SEGMENT-ANODE-RED-0.56-1BIT")</f>
        <v>ITBISA-7SEGMENT-ANODE-RED-0.56-1BIT</v>
      </c>
      <c r="B13" s="266">
        <f>IFERROR(__xludf.DUMMYFUNCTION("""COMPUTED_VALUE"""),43556.0)</f>
        <v>43556</v>
      </c>
      <c r="C13" s="266" t="str">
        <f>IFERROR(__xludf.DUMMYFUNCTION("""COMPUTED_VALUE"""),"AVRG ITB")</f>
        <v>AVRG ITB</v>
      </c>
      <c r="D13" s="186">
        <f>IFERROR(__xludf.DUMMYFUNCTION("""COMPUTED_VALUE"""),115.0)</f>
        <v>115</v>
      </c>
    </row>
    <row r="14">
      <c r="A14" s="178" t="str">
        <f>IFERROR(__xludf.DUMMYFUNCTION("""COMPUTED_VALUE"""),"ITBISA-7SEGMENT-ANODE-RED-0.56-1BIT")</f>
        <v>ITBISA-7SEGMENT-ANODE-RED-0.56-1BIT</v>
      </c>
      <c r="B14" s="266">
        <f>IFERROR(__xludf.DUMMYFUNCTION("""COMPUTED_VALUE"""),43562.0)</f>
        <v>43562</v>
      </c>
      <c r="C14" s="266" t="str">
        <f>IFERROR(__xludf.DUMMYFUNCTION("""COMPUTED_VALUE"""),"AVRG ITB")</f>
        <v>AVRG ITB</v>
      </c>
      <c r="D14" s="186">
        <f>IFERROR(__xludf.DUMMYFUNCTION("""COMPUTED_VALUE"""),10.0)</f>
        <v>10</v>
      </c>
    </row>
    <row r="15">
      <c r="A15" s="178" t="str">
        <f>IFERROR(__xludf.DUMMYFUNCTION("""COMPUTED_VALUE"""),"ITBISA-7SEGMENT-ANODE-RED-0.56-1BIT")</f>
        <v>ITBISA-7SEGMENT-ANODE-RED-0.56-1BIT</v>
      </c>
      <c r="B15" s="266">
        <f>IFERROR(__xludf.DUMMYFUNCTION("""COMPUTED_VALUE"""),43568.0)</f>
        <v>43568</v>
      </c>
      <c r="C15" s="266" t="str">
        <f>IFERROR(__xludf.DUMMYFUNCTION("""COMPUTED_VALUE"""),"AVRG ITB")</f>
        <v>AVRG ITB</v>
      </c>
      <c r="D15" s="186">
        <f>IFERROR(__xludf.DUMMYFUNCTION("""COMPUTED_VALUE"""),200.0)</f>
        <v>200</v>
      </c>
    </row>
    <row r="16">
      <c r="A16" s="178" t="str">
        <f>IFERROR(__xludf.DUMMYFUNCTION("""COMPUTED_VALUE"""),"ITBISA-7SEGMENT-ANODE-RED-0.56-1BIT")</f>
        <v>ITBISA-7SEGMENT-ANODE-RED-0.56-1BIT</v>
      </c>
      <c r="B16" s="266">
        <f>IFERROR(__xludf.DUMMYFUNCTION("""COMPUTED_VALUE"""),43568.0)</f>
        <v>43568</v>
      </c>
      <c r="C16" s="266" t="str">
        <f>IFERROR(__xludf.DUMMYFUNCTION("""COMPUTED_VALUE"""),"AVRG ITB")</f>
        <v>AVRG ITB</v>
      </c>
      <c r="D16" s="186">
        <f>IFERROR(__xludf.DUMMYFUNCTION("""COMPUTED_VALUE"""),200.0)</f>
        <v>200</v>
      </c>
    </row>
    <row r="17">
      <c r="A17" s="178" t="str">
        <f>IFERROR(__xludf.DUMMYFUNCTION("""COMPUTED_VALUE"""),"ITBISA-7SEGMENT-ANODE-RED-0.56-1BIT")</f>
        <v>ITBISA-7SEGMENT-ANODE-RED-0.56-1BIT</v>
      </c>
      <c r="B17" s="266">
        <f>IFERROR(__xludf.DUMMYFUNCTION("""COMPUTED_VALUE"""),43581.0)</f>
        <v>43581</v>
      </c>
      <c r="C17" s="266" t="str">
        <f>IFERROR(__xludf.DUMMYFUNCTION("""COMPUTED_VALUE"""),"AVRG ITB")</f>
        <v>AVRG ITB</v>
      </c>
      <c r="D17" s="186">
        <f>IFERROR(__xludf.DUMMYFUNCTION("""COMPUTED_VALUE"""),16.0)</f>
        <v>16</v>
      </c>
    </row>
    <row r="18">
      <c r="A18" s="178" t="str">
        <f>IFERROR(__xludf.DUMMYFUNCTION("""COMPUTED_VALUE"""),"ITBISA-7SEGMENT-ANODE-RED-0.56-1BIT")</f>
        <v>ITBISA-7SEGMENT-ANODE-RED-0.56-1BIT</v>
      </c>
      <c r="B18" s="266">
        <f>IFERROR(__xludf.DUMMYFUNCTION("""COMPUTED_VALUE"""),43589.0)</f>
        <v>43589</v>
      </c>
      <c r="C18" s="266" t="str">
        <f>IFERROR(__xludf.DUMMYFUNCTION("""COMPUTED_VALUE"""),"AVRG ITB")</f>
        <v>AVRG ITB</v>
      </c>
      <c r="D18" s="186">
        <f>IFERROR(__xludf.DUMMYFUNCTION("""COMPUTED_VALUE"""),100.0)</f>
        <v>100</v>
      </c>
    </row>
    <row r="19">
      <c r="A19" s="178" t="str">
        <f>IFERROR(__xludf.DUMMYFUNCTION("""COMPUTED_VALUE"""),"ITBISA-7SEGMENT-ANODE-RED-0.56-1BIT")</f>
        <v>ITBISA-7SEGMENT-ANODE-RED-0.56-1BIT</v>
      </c>
      <c r="B19" s="266">
        <f>IFERROR(__xludf.DUMMYFUNCTION("""COMPUTED_VALUE"""),43602.0)</f>
        <v>43602</v>
      </c>
      <c r="C19" s="266" t="str">
        <f>IFERROR(__xludf.DUMMYFUNCTION("""COMPUTED_VALUE"""),"AVRG ITB")</f>
        <v>AVRG ITB</v>
      </c>
      <c r="D19" s="186">
        <f>IFERROR(__xludf.DUMMYFUNCTION("""COMPUTED_VALUE"""),100.0)</f>
        <v>100</v>
      </c>
    </row>
    <row r="20">
      <c r="A20" s="178" t="str">
        <f>IFERROR(__xludf.DUMMYFUNCTION("""COMPUTED_VALUE"""),"ITBISA-7SEGMENT-ANODE-RED-0.56-1BIT")</f>
        <v>ITBISA-7SEGMENT-ANODE-RED-0.56-1BIT</v>
      </c>
      <c r="B20" s="266">
        <f>IFERROR(__xludf.DUMMYFUNCTION("""COMPUTED_VALUE"""),43604.0)</f>
        <v>43604</v>
      </c>
      <c r="C20" s="266" t="str">
        <f>IFERROR(__xludf.DUMMYFUNCTION("""COMPUTED_VALUE"""),"AVRG ITB")</f>
        <v>AVRG ITB</v>
      </c>
      <c r="D20" s="186">
        <f>IFERROR(__xludf.DUMMYFUNCTION("""COMPUTED_VALUE"""),225.0)</f>
        <v>225</v>
      </c>
    </row>
    <row r="21">
      <c r="A21" s="178" t="str">
        <f>IFERROR(__xludf.DUMMYFUNCTION("""COMPUTED_VALUE"""),"ITBISA-7SEGMENT-ANODE-RED-0.56-1BIT")</f>
        <v>ITBISA-7SEGMENT-ANODE-RED-0.56-1BIT</v>
      </c>
      <c r="B21" s="266">
        <f>IFERROR(__xludf.DUMMYFUNCTION("""COMPUTED_VALUE"""),43604.0)</f>
        <v>43604</v>
      </c>
      <c r="C21" s="266" t="str">
        <f>IFERROR(__xludf.DUMMYFUNCTION("""COMPUTED_VALUE"""),"RUMAH MUZAKKI")</f>
        <v>RUMAH MUZAKKI</v>
      </c>
      <c r="D21" s="186">
        <f>IFERROR(__xludf.DUMMYFUNCTION("""COMPUTED_VALUE"""),10.0)</f>
        <v>10</v>
      </c>
    </row>
    <row r="22">
      <c r="A22" s="178" t="str">
        <f>IFERROR(__xludf.DUMMYFUNCTION("""COMPUTED_VALUE"""),"ITBISA-7SEGMENT-ANODE-RED-0.56-1BIT")</f>
        <v>ITBISA-7SEGMENT-ANODE-RED-0.56-1BIT</v>
      </c>
      <c r="B22" s="266">
        <f>IFERROR(__xludf.DUMMYFUNCTION("""COMPUTED_VALUE"""),43615.0)</f>
        <v>43615</v>
      </c>
      <c r="C22" s="266" t="str">
        <f>IFERROR(__xludf.DUMMYFUNCTION("""COMPUTED_VALUE"""),"AVRG ITB")</f>
        <v>AVRG ITB</v>
      </c>
      <c r="D22" s="186">
        <f>IFERROR(__xludf.DUMMYFUNCTION("""COMPUTED_VALUE"""),10.0)</f>
        <v>10</v>
      </c>
    </row>
    <row r="23">
      <c r="A23" s="178" t="str">
        <f>IFERROR(__xludf.DUMMYFUNCTION("""COMPUTED_VALUE"""),"ITBISA-7SEGMENT-ANODE-RED-0.56-1BIT")</f>
        <v>ITBISA-7SEGMENT-ANODE-RED-0.56-1BIT</v>
      </c>
      <c r="B23" s="266">
        <f>IFERROR(__xludf.DUMMYFUNCTION("""COMPUTED_VALUE"""),43641.0)</f>
        <v>43641</v>
      </c>
      <c r="C23" s="266" t="str">
        <f>IFERROR(__xludf.DUMMYFUNCTION("""COMPUTED_VALUE"""),"RUMAH MUZAKKI")</f>
        <v>RUMAH MUZAKKI</v>
      </c>
      <c r="D23" s="186">
        <f>IFERROR(__xludf.DUMMYFUNCTION("""COMPUTED_VALUE"""),52.0)</f>
        <v>52</v>
      </c>
    </row>
    <row r="24">
      <c r="A24" s="178" t="str">
        <f>IFERROR(__xludf.DUMMYFUNCTION("""COMPUTED_VALUE"""),"ITBISA-7SEGMENT-ANODE-RED-0.56-1BIT")</f>
        <v>ITBISA-7SEGMENT-ANODE-RED-0.56-1BIT</v>
      </c>
      <c r="B24" s="266">
        <f>IFERROR(__xludf.DUMMYFUNCTION("""COMPUTED_VALUE"""),43648.0)</f>
        <v>43648</v>
      </c>
      <c r="C24" s="266" t="str">
        <f>IFERROR(__xludf.DUMMYFUNCTION("""COMPUTED_VALUE"""),"RUMAH MUZAKKI")</f>
        <v>RUMAH MUZAKKI</v>
      </c>
      <c r="D24" s="186">
        <f>IFERROR(__xludf.DUMMYFUNCTION("""COMPUTED_VALUE"""),19.0)</f>
        <v>19</v>
      </c>
    </row>
    <row r="25">
      <c r="A25" s="178" t="str">
        <f>IFERROR(__xludf.DUMMYFUNCTION("""COMPUTED_VALUE"""),"ITBISA-7SEGMENT-ANODE-RED-0.56-1BIT")</f>
        <v>ITBISA-7SEGMENT-ANODE-RED-0.56-1BIT</v>
      </c>
      <c r="B25" s="266">
        <f>IFERROR(__xludf.DUMMYFUNCTION("""COMPUTED_VALUE"""),43650.0)</f>
        <v>43650</v>
      </c>
      <c r="C25" s="266" t="str">
        <f>IFERROR(__xludf.DUMMYFUNCTION("""COMPUTED_VALUE"""),"RUMAH MUZAKKI")</f>
        <v>RUMAH MUZAKKI</v>
      </c>
      <c r="D25" s="186">
        <f>IFERROR(__xludf.DUMMYFUNCTION("""COMPUTED_VALUE"""),200.0)</f>
        <v>200</v>
      </c>
    </row>
    <row r="26">
      <c r="A26" s="178" t="str">
        <f>IFERROR(__xludf.DUMMYFUNCTION("""COMPUTED_VALUE"""),"ITBISA-7SEGMENT-ANODE-RED-0.56-1BIT")</f>
        <v>ITBISA-7SEGMENT-ANODE-RED-0.56-1BIT</v>
      </c>
      <c r="B26" s="266">
        <f>IFERROR(__xludf.DUMMYFUNCTION("""COMPUTED_VALUE"""),43655.0)</f>
        <v>43655</v>
      </c>
      <c r="C26" s="266" t="str">
        <f>IFERROR(__xludf.DUMMYFUNCTION("""COMPUTED_VALUE"""),"RUMAH MUZAKKI")</f>
        <v>RUMAH MUZAKKI</v>
      </c>
      <c r="D26" s="186">
        <f>IFERROR(__xludf.DUMMYFUNCTION("""COMPUTED_VALUE"""),150.0)</f>
        <v>150</v>
      </c>
    </row>
    <row r="27">
      <c r="A27" s="178" t="str">
        <f>IFERROR(__xludf.DUMMYFUNCTION("""COMPUTED_VALUE"""),"ITBISA-7SEGMENT-ANODE-RED-0.56-1BIT")</f>
        <v>ITBISA-7SEGMENT-ANODE-RED-0.56-1BIT</v>
      </c>
      <c r="B27" s="266">
        <f>IFERROR(__xludf.DUMMYFUNCTION("""COMPUTED_VALUE"""),43684.0)</f>
        <v>43684</v>
      </c>
      <c r="C27" s="266" t="str">
        <f>IFERROR(__xludf.DUMMYFUNCTION("""COMPUTED_VALUE"""),"RUMAH MUZAKKI")</f>
        <v>RUMAH MUZAKKI</v>
      </c>
      <c r="D27" s="186">
        <f>IFERROR(__xludf.DUMMYFUNCTION("""COMPUTED_VALUE"""),100.0)</f>
        <v>100</v>
      </c>
    </row>
    <row r="28">
      <c r="A28" s="178" t="str">
        <f>IFERROR(__xludf.DUMMYFUNCTION("""COMPUTED_VALUE"""),"ITBISA-7SEGMENT-ANODE-RED-0.56-1BIT")</f>
        <v>ITBISA-7SEGMENT-ANODE-RED-0.56-1BIT</v>
      </c>
      <c r="B28" s="266">
        <f>IFERROR(__xludf.DUMMYFUNCTION("""COMPUTED_VALUE"""),43694.0)</f>
        <v>43694</v>
      </c>
      <c r="C28" s="266" t="str">
        <f>IFERROR(__xludf.DUMMYFUNCTION("""COMPUTED_VALUE"""),"RUMAH MUZAKKI")</f>
        <v>RUMAH MUZAKKI</v>
      </c>
      <c r="D28" s="186">
        <f>IFERROR(__xludf.DUMMYFUNCTION("""COMPUTED_VALUE"""),200.0)</f>
        <v>200</v>
      </c>
    </row>
    <row r="29">
      <c r="A29" s="178" t="str">
        <f>IFERROR(__xludf.DUMMYFUNCTION("""COMPUTED_VALUE"""),"ITBISA-7SEGMENT-ANODE-RED-0.56-1BIT")</f>
        <v>ITBISA-7SEGMENT-ANODE-RED-0.56-1BIT</v>
      </c>
      <c r="B29" s="266">
        <f>IFERROR(__xludf.DUMMYFUNCTION("""COMPUTED_VALUE"""),43732.0)</f>
        <v>43732</v>
      </c>
      <c r="C29" s="266" t="str">
        <f>IFERROR(__xludf.DUMMYFUNCTION("""COMPUTED_VALUE"""),"RUMAH MUZAKKI")</f>
        <v>RUMAH MUZAKKI</v>
      </c>
      <c r="D29" s="186">
        <f>IFERROR(__xludf.DUMMYFUNCTION("""COMPUTED_VALUE"""),2.0)</f>
        <v>2</v>
      </c>
    </row>
    <row r="30">
      <c r="A30" s="178" t="str">
        <f>IFERROR(__xludf.DUMMYFUNCTION("""COMPUTED_VALUE"""),"ITBISA-7SEGMENT-ANODE-RED-0.56-1BIT")</f>
        <v>ITBISA-7SEGMENT-ANODE-RED-0.56-1BIT</v>
      </c>
      <c r="B30" s="266">
        <f>IFERROR(__xludf.DUMMYFUNCTION("""COMPUTED_VALUE"""),43733.0)</f>
        <v>43733</v>
      </c>
      <c r="C30" s="266" t="str">
        <f>IFERROR(__xludf.DUMMYFUNCTION("""COMPUTED_VALUE"""),"RUMAH MUZAKKI")</f>
        <v>RUMAH MUZAKKI</v>
      </c>
      <c r="D30" s="186">
        <f>IFERROR(__xludf.DUMMYFUNCTION("""COMPUTED_VALUE"""),1.0)</f>
        <v>1</v>
      </c>
    </row>
    <row r="31">
      <c r="A31" s="178" t="str">
        <f>IFERROR(__xludf.DUMMYFUNCTION("""COMPUTED_VALUE"""),"ITBISA-7SEGMENT-ANODE-RED-0.56-1BIT")</f>
        <v>ITBISA-7SEGMENT-ANODE-RED-0.56-1BIT</v>
      </c>
      <c r="B31" s="266">
        <f>IFERROR(__xludf.DUMMYFUNCTION("""COMPUTED_VALUE"""),43753.0)</f>
        <v>43753</v>
      </c>
      <c r="C31" s="266" t="str">
        <f>IFERROR(__xludf.DUMMYFUNCTION("""COMPUTED_VALUE"""),"RUMAH MUZAKKI")</f>
        <v>RUMAH MUZAKKI</v>
      </c>
      <c r="D31" s="186">
        <f>IFERROR(__xludf.DUMMYFUNCTION("""COMPUTED_VALUE"""),100.0)</f>
        <v>100</v>
      </c>
    </row>
    <row r="32">
      <c r="A32" s="178" t="str">
        <f>IFERROR(__xludf.DUMMYFUNCTION("""COMPUTED_VALUE"""),"ITBISA-7SEGMENT-ANODE-RED-0.56-1BIT")</f>
        <v>ITBISA-7SEGMENT-ANODE-RED-0.56-1BIT</v>
      </c>
      <c r="B32" s="266">
        <f>IFERROR(__xludf.DUMMYFUNCTION("""COMPUTED_VALUE"""),43759.0)</f>
        <v>43759</v>
      </c>
      <c r="C32" s="266" t="str">
        <f>IFERROR(__xludf.DUMMYFUNCTION("""COMPUTED_VALUE"""),"RUMAH MUZAKKI")</f>
        <v>RUMAH MUZAKKI</v>
      </c>
      <c r="D32" s="186">
        <f>IFERROR(__xludf.DUMMYFUNCTION("""COMPUTED_VALUE"""),100.0)</f>
        <v>100</v>
      </c>
    </row>
    <row r="33">
      <c r="A33" s="178" t="str">
        <f>IFERROR(__xludf.DUMMYFUNCTION("""COMPUTED_VALUE"""),"ITBISA-7SEGMENT-ANODE-RED-0.56-1BIT")</f>
        <v>ITBISA-7SEGMENT-ANODE-RED-0.56-1BIT</v>
      </c>
      <c r="B33" s="266">
        <f>IFERROR(__xludf.DUMMYFUNCTION("""COMPUTED_VALUE"""),43768.0)</f>
        <v>43768</v>
      </c>
      <c r="C33" s="266" t="str">
        <f>IFERROR(__xludf.DUMMYFUNCTION("""COMPUTED_VALUE"""),"RUMAH MUZAKKI")</f>
        <v>RUMAH MUZAKKI</v>
      </c>
      <c r="D33" s="186">
        <f>IFERROR(__xludf.DUMMYFUNCTION("""COMPUTED_VALUE"""),6.0)</f>
        <v>6</v>
      </c>
    </row>
    <row r="34">
      <c r="A34" s="178" t="str">
        <f>IFERROR(__xludf.DUMMYFUNCTION("""COMPUTED_VALUE"""),"ITBISA-7SEGMENT-ANODE-RED-0.56-1BIT")</f>
        <v>ITBISA-7SEGMENT-ANODE-RED-0.56-1BIT</v>
      </c>
      <c r="B34" s="266">
        <f>IFERROR(__xludf.DUMMYFUNCTION("""COMPUTED_VALUE"""),43771.0)</f>
        <v>43771</v>
      </c>
      <c r="C34" s="266" t="str">
        <f>IFERROR(__xludf.DUMMYFUNCTION("""COMPUTED_VALUE"""),"RUMAH MUZAKKI")</f>
        <v>RUMAH MUZAKKI</v>
      </c>
      <c r="D34" s="186">
        <f>IFERROR(__xludf.DUMMYFUNCTION("""COMPUTED_VALUE"""),100.0)</f>
        <v>100</v>
      </c>
    </row>
    <row r="35">
      <c r="A35" s="178" t="str">
        <f>IFERROR(__xludf.DUMMYFUNCTION("""COMPUTED_VALUE"""),"ITBISA-7SEGMENT-ANODE-RED-0.56-1BIT")</f>
        <v>ITBISA-7SEGMENT-ANODE-RED-0.56-1BIT</v>
      </c>
      <c r="B35" s="266">
        <f>IFERROR(__xludf.DUMMYFUNCTION("""COMPUTED_VALUE"""),43783.0)</f>
        <v>43783</v>
      </c>
      <c r="C35" s="266" t="str">
        <f>IFERROR(__xludf.DUMMYFUNCTION("""COMPUTED_VALUE"""),"RUMAH MUZAKKI")</f>
        <v>RUMAH MUZAKKI</v>
      </c>
      <c r="D35" s="186">
        <f>IFERROR(__xludf.DUMMYFUNCTION("""COMPUTED_VALUE"""),10.0)</f>
        <v>10</v>
      </c>
    </row>
    <row r="36">
      <c r="A36" s="178" t="str">
        <f>IFERROR(__xludf.DUMMYFUNCTION("""COMPUTED_VALUE"""),"ITBISA-7SEGMENT-ANODE-RED-0.56-1BIT")</f>
        <v>ITBISA-7SEGMENT-ANODE-RED-0.56-1BIT</v>
      </c>
      <c r="B36" s="266">
        <f>IFERROR(__xludf.DUMMYFUNCTION("""COMPUTED_VALUE"""),43783.0)</f>
        <v>43783</v>
      </c>
      <c r="C36" s="266" t="str">
        <f>IFERROR(__xludf.DUMMYFUNCTION("""COMPUTED_VALUE"""),"RUMAH MUZAKKI")</f>
        <v>RUMAH MUZAKKI</v>
      </c>
      <c r="D36" s="186">
        <f>IFERROR(__xludf.DUMMYFUNCTION("""COMPUTED_VALUE"""),144.0)</f>
        <v>144</v>
      </c>
    </row>
    <row r="37">
      <c r="A37" s="178" t="str">
        <f>IFERROR(__xludf.DUMMYFUNCTION("""COMPUTED_VALUE"""),"ITBISA-7SEGMENT-ANODE-RED-0.56-1BIT")</f>
        <v>ITBISA-7SEGMENT-ANODE-RED-0.56-1BIT</v>
      </c>
      <c r="B37" s="266">
        <f>IFERROR(__xludf.DUMMYFUNCTION("""COMPUTED_VALUE"""),43797.0)</f>
        <v>43797</v>
      </c>
      <c r="C37" s="266" t="str">
        <f>IFERROR(__xludf.DUMMYFUNCTION("""COMPUTED_VALUE"""),"RUMAH MUZAKKI")</f>
        <v>RUMAH MUZAKKI</v>
      </c>
      <c r="D37" s="186">
        <f>IFERROR(__xludf.DUMMYFUNCTION("""COMPUTED_VALUE"""),150.0)</f>
        <v>150</v>
      </c>
    </row>
    <row r="38">
      <c r="A38" s="178" t="str">
        <f>IFERROR(__xludf.DUMMYFUNCTION("""COMPUTED_VALUE"""),"ITBISA-7SEGMENT-ANODE-RED-0.56-1BIT")</f>
        <v>ITBISA-7SEGMENT-ANODE-RED-0.56-1BIT</v>
      </c>
      <c r="B38" s="266">
        <f>IFERROR(__xludf.DUMMYFUNCTION("""COMPUTED_VALUE"""),43813.0)</f>
        <v>43813</v>
      </c>
      <c r="C38" s="266" t="str">
        <f>IFERROR(__xludf.DUMMYFUNCTION("""COMPUTED_VALUE"""),"AVRG ITB")</f>
        <v>AVRG ITB</v>
      </c>
      <c r="D38" s="186">
        <f>IFERROR(__xludf.DUMMYFUNCTION("""COMPUTED_VALUE"""),50.0)</f>
        <v>50</v>
      </c>
    </row>
    <row r="39">
      <c r="A39" s="178" t="str">
        <f>IFERROR(__xludf.DUMMYFUNCTION("""COMPUTED_VALUE"""),"ITBISA-7SEGMENT-ANODE-RED-0.56-1BIT")</f>
        <v>ITBISA-7SEGMENT-ANODE-RED-0.56-1BIT</v>
      </c>
      <c r="B39" s="266">
        <f>IFERROR(__xludf.DUMMYFUNCTION("""COMPUTED_VALUE"""),43820.0)</f>
        <v>43820</v>
      </c>
      <c r="C39" s="266" t="str">
        <f>IFERROR(__xludf.DUMMYFUNCTION("""COMPUTED_VALUE"""),"AVRG ITB")</f>
        <v>AVRG ITB</v>
      </c>
      <c r="D39" s="186">
        <f>IFERROR(__xludf.DUMMYFUNCTION("""COMPUTED_VALUE"""),20.0)</f>
        <v>20</v>
      </c>
    </row>
    <row r="40">
      <c r="A40" s="178" t="str">
        <f>IFERROR(__xludf.DUMMYFUNCTION("""COMPUTED_VALUE"""),"ITBISA-7SEGMENT-ANODE-RED-0.56-1BIT")</f>
        <v>ITBISA-7SEGMENT-ANODE-RED-0.56-1BIT</v>
      </c>
      <c r="B40" s="266">
        <f>IFERROR(__xludf.DUMMYFUNCTION("""COMPUTED_VALUE"""),43832.0)</f>
        <v>43832</v>
      </c>
      <c r="C40" s="266" t="str">
        <f>IFERROR(__xludf.DUMMYFUNCTION("""COMPUTED_VALUE"""),"AVRG ITB")</f>
        <v>AVRG ITB</v>
      </c>
      <c r="D40" s="186">
        <f>IFERROR(__xludf.DUMMYFUNCTION("""COMPUTED_VALUE"""),120.0)</f>
        <v>120</v>
      </c>
    </row>
    <row r="41">
      <c r="A41" s="178" t="str">
        <f>IFERROR(__xludf.DUMMYFUNCTION("""COMPUTED_VALUE"""),"ITBISA-7SEGMENT-ANODE-RED-0.56-1BIT")</f>
        <v>ITBISA-7SEGMENT-ANODE-RED-0.56-1BIT</v>
      </c>
      <c r="B41" s="266">
        <f>IFERROR(__xludf.DUMMYFUNCTION("""COMPUTED_VALUE"""),43837.0)</f>
        <v>43837</v>
      </c>
      <c r="C41" s="266" t="str">
        <f>IFERROR(__xludf.DUMMYFUNCTION("""COMPUTED_VALUE"""),"AVRG ITB")</f>
        <v>AVRG ITB</v>
      </c>
      <c r="D41" s="186">
        <f>IFERROR(__xludf.DUMMYFUNCTION("""COMPUTED_VALUE"""),150.0)</f>
        <v>150</v>
      </c>
    </row>
    <row r="42">
      <c r="A42" s="178" t="str">
        <f>IFERROR(__xludf.DUMMYFUNCTION("""COMPUTED_VALUE"""),"ITBISA-7SEGMENT-ANODE-RED-0.56-1BIT")</f>
        <v>ITBISA-7SEGMENT-ANODE-RED-0.56-1BIT</v>
      </c>
      <c r="B42" s="266">
        <f>IFERROR(__xludf.DUMMYFUNCTION("""COMPUTED_VALUE"""),43841.0)</f>
        <v>43841</v>
      </c>
      <c r="C42" s="266" t="str">
        <f>IFERROR(__xludf.DUMMYFUNCTION("""COMPUTED_VALUE"""),"AVRG ITB")</f>
        <v>AVRG ITB</v>
      </c>
      <c r="D42" s="186">
        <f>IFERROR(__xludf.DUMMYFUNCTION("""COMPUTED_VALUE"""),70.0)</f>
        <v>70</v>
      </c>
    </row>
    <row r="43">
      <c r="A43" s="178" t="str">
        <f>IFERROR(__xludf.DUMMYFUNCTION("""COMPUTED_VALUE"""),"ITBISA-7SEGMENT-ANODE-RED-0.56-1BIT")</f>
        <v>ITBISA-7SEGMENT-ANODE-RED-0.56-1BIT</v>
      </c>
      <c r="B43" s="266">
        <f>IFERROR(__xludf.DUMMYFUNCTION("""COMPUTED_VALUE"""),43877.0)</f>
        <v>43877</v>
      </c>
      <c r="C43" s="266" t="str">
        <f>IFERROR(__xludf.DUMMYFUNCTION("""COMPUTED_VALUE"""),"AVRG ITB")</f>
        <v>AVRG ITB</v>
      </c>
      <c r="D43" s="186">
        <f>IFERROR(__xludf.DUMMYFUNCTION("""COMPUTED_VALUE"""),92.0)</f>
        <v>92</v>
      </c>
    </row>
    <row r="44">
      <c r="A44" s="178" t="str">
        <f>IFERROR(__xludf.DUMMYFUNCTION("""COMPUTED_VALUE"""),"ITBISA-7SEGMENT-ANODE-RED-0.56-1BIT")</f>
        <v>ITBISA-7SEGMENT-ANODE-RED-0.56-1BIT</v>
      </c>
      <c r="B44" s="266">
        <f>IFERROR(__xludf.DUMMYFUNCTION("""COMPUTED_VALUE"""),43881.0)</f>
        <v>43881</v>
      </c>
      <c r="C44" s="266" t="str">
        <f>IFERROR(__xludf.DUMMYFUNCTION("""COMPUTED_VALUE"""),"AVRG ITB")</f>
        <v>AVRG ITB</v>
      </c>
      <c r="D44" s="186">
        <f>IFERROR(__xludf.DUMMYFUNCTION("""COMPUTED_VALUE"""),300.0)</f>
        <v>300</v>
      </c>
    </row>
    <row r="45">
      <c r="A45" s="178" t="str">
        <f>IFERROR(__xludf.DUMMYFUNCTION("""COMPUTED_VALUE"""),"ITBISA-7SEGMENT-ANODE-RED-0.56-1BIT")</f>
        <v>ITBISA-7SEGMENT-ANODE-RED-0.56-1BIT</v>
      </c>
      <c r="B45" s="266">
        <f>IFERROR(__xludf.DUMMYFUNCTION("""COMPUTED_VALUE"""),43884.0)</f>
        <v>43884</v>
      </c>
      <c r="C45" s="266" t="str">
        <f>IFERROR(__xludf.DUMMYFUNCTION("""COMPUTED_VALUE"""),"AVRG ITB")</f>
        <v>AVRG ITB</v>
      </c>
      <c r="D45" s="186">
        <f>IFERROR(__xludf.DUMMYFUNCTION("""COMPUTED_VALUE"""),15.0)</f>
        <v>15</v>
      </c>
    </row>
    <row r="46">
      <c r="A46" s="178" t="str">
        <f>IFERROR(__xludf.DUMMYFUNCTION("""COMPUTED_VALUE"""),"ITBISA-7SEGMENT-ANODE-RED-0.56-1BIT")</f>
        <v>ITBISA-7SEGMENT-ANODE-RED-0.56-1BIT</v>
      </c>
      <c r="B46" s="266">
        <f>IFERROR(__xludf.DUMMYFUNCTION("""COMPUTED_VALUE"""),43887.0)</f>
        <v>43887</v>
      </c>
      <c r="C46" s="266" t="str">
        <f>IFERROR(__xludf.DUMMYFUNCTION("""COMPUTED_VALUE"""),"AVRG ITB")</f>
        <v>AVRG ITB</v>
      </c>
      <c r="D46" s="186">
        <f>IFERROR(__xludf.DUMMYFUNCTION("""COMPUTED_VALUE"""),160.0)</f>
        <v>160</v>
      </c>
    </row>
    <row r="47">
      <c r="A47" s="178" t="str">
        <f>IFERROR(__xludf.DUMMYFUNCTION("""COMPUTED_VALUE"""),"ITBISA-7SEGMENT-ANODE-RED-0.56-1BIT")</f>
        <v>ITBISA-7SEGMENT-ANODE-RED-0.56-1BIT</v>
      </c>
      <c r="B47" s="266">
        <f>IFERROR(__xludf.DUMMYFUNCTION("""COMPUTED_VALUE"""),43888.0)</f>
        <v>43888</v>
      </c>
      <c r="C47" s="266" t="str">
        <f>IFERROR(__xludf.DUMMYFUNCTION("""COMPUTED_VALUE"""),"AVRG ITB")</f>
        <v>AVRG ITB</v>
      </c>
      <c r="D47" s="186">
        <f>IFERROR(__xludf.DUMMYFUNCTION("""COMPUTED_VALUE"""),106.0)</f>
        <v>106</v>
      </c>
    </row>
    <row r="48">
      <c r="A48" s="178" t="str">
        <f>IFERROR(__xludf.DUMMYFUNCTION("""COMPUTED_VALUE"""),"ITBISA-7SEGMENT-ANODE-RED-0.56-1BIT")</f>
        <v>ITBISA-7SEGMENT-ANODE-RED-0.56-1BIT</v>
      </c>
      <c r="B48" s="266">
        <f>IFERROR(__xludf.DUMMYFUNCTION("""COMPUTED_VALUE"""),43988.0)</f>
        <v>43988</v>
      </c>
      <c r="C48" s="266" t="str">
        <f>IFERROR(__xludf.DUMMYFUNCTION("""COMPUTED_VALUE"""),"KAETOBO RESIDENCE")</f>
        <v>KAETOBO RESIDENCE</v>
      </c>
      <c r="D48" s="186">
        <f>IFERROR(__xludf.DUMMYFUNCTION("""COMPUTED_VALUE"""),300.0)</f>
        <v>300</v>
      </c>
    </row>
    <row r="49">
      <c r="A49" s="178" t="str">
        <f>IFERROR(__xludf.DUMMYFUNCTION("""COMPUTED_VALUE"""),"ITBISA-7SEGMENT-ANODE-RED-0.56-1BIT")</f>
        <v>ITBISA-7SEGMENT-ANODE-RED-0.56-1BIT</v>
      </c>
      <c r="B49" s="266">
        <f>IFERROR(__xludf.DUMMYFUNCTION("""COMPUTED_VALUE"""),44014.0)</f>
        <v>44014</v>
      </c>
      <c r="C49" s="266" t="str">
        <f>IFERROR(__xludf.DUMMYFUNCTION("""COMPUTED_VALUE"""),"KAETOBO RESIDENCE")</f>
        <v>KAETOBO RESIDENCE</v>
      </c>
      <c r="D49" s="186">
        <f>IFERROR(__xludf.DUMMYFUNCTION("""COMPUTED_VALUE"""),150.0)</f>
        <v>150</v>
      </c>
    </row>
    <row r="50">
      <c r="A50" s="178" t="str">
        <f>IFERROR(__xludf.DUMMYFUNCTION("""COMPUTED_VALUE"""),"ITBISA-7SEGMENT-ANODE-RED-0.56-1BIT")</f>
        <v>ITBISA-7SEGMENT-ANODE-RED-0.56-1BIT</v>
      </c>
      <c r="B50" s="266">
        <f>IFERROR(__xludf.DUMMYFUNCTION("""COMPUTED_VALUE"""),44020.0)</f>
        <v>44020</v>
      </c>
      <c r="C50" s="266" t="str">
        <f>IFERROR(__xludf.DUMMYFUNCTION("""COMPUTED_VALUE"""),"KAETOBO RESIDENCE")</f>
        <v>KAETOBO RESIDENCE</v>
      </c>
      <c r="D50" s="186">
        <f>IFERROR(__xludf.DUMMYFUNCTION("""COMPUTED_VALUE"""),150.0)</f>
        <v>150</v>
      </c>
    </row>
    <row r="51">
      <c r="A51" s="178" t="str">
        <f>IFERROR(__xludf.DUMMYFUNCTION("""COMPUTED_VALUE"""),"ITBISA-7SEGMENT-ANODE-RED-0.56-1BIT")</f>
        <v>ITBISA-7SEGMENT-ANODE-RED-0.56-1BIT</v>
      </c>
      <c r="B51" s="266">
        <f>IFERROR(__xludf.DUMMYFUNCTION("""COMPUTED_VALUE"""),44032.0)</f>
        <v>44032</v>
      </c>
      <c r="C51" s="266" t="str">
        <f>IFERROR(__xludf.DUMMYFUNCTION("""COMPUTED_VALUE"""),"KAETOBO RESIDENCE")</f>
        <v>KAETOBO RESIDENCE</v>
      </c>
      <c r="D51" s="186">
        <f>IFERROR(__xludf.DUMMYFUNCTION("""COMPUTED_VALUE"""),210.0)</f>
        <v>210</v>
      </c>
    </row>
    <row r="52">
      <c r="A52" s="178" t="str">
        <f>IFERROR(__xludf.DUMMYFUNCTION("""COMPUTED_VALUE"""),"ITBISA-7SEGMENT-ANODE-RED-0.56-1BIT")</f>
        <v>ITBISA-7SEGMENT-ANODE-RED-0.56-1BIT</v>
      </c>
      <c r="B52" s="266">
        <f>IFERROR(__xludf.DUMMYFUNCTION("""COMPUTED_VALUE"""),44062.0)</f>
        <v>44062</v>
      </c>
      <c r="C52" s="266" t="str">
        <f>IFERROR(__xludf.DUMMYFUNCTION("""COMPUTED_VALUE"""),"KOST SRITUNGGAL")</f>
        <v>KOST SRITUNGGAL</v>
      </c>
      <c r="D52" s="186">
        <f>IFERROR(__xludf.DUMMYFUNCTION("""COMPUTED_VALUE"""),120.0)</f>
        <v>120</v>
      </c>
    </row>
    <row r="53">
      <c r="A53" s="178" t="str">
        <f>IFERROR(__xludf.DUMMYFUNCTION("""COMPUTED_VALUE"""),"ITBISA-7SEGMENT-ANODE-RED-0.56-1BIT")</f>
        <v>ITBISA-7SEGMENT-ANODE-RED-0.56-1BIT</v>
      </c>
      <c r="B53" s="266">
        <f>IFERROR(__xludf.DUMMYFUNCTION("""COMPUTED_VALUE"""),44149.0)</f>
        <v>44149</v>
      </c>
      <c r="C53" s="266" t="str">
        <f>IFERROR(__xludf.DUMMYFUNCTION("""COMPUTED_VALUE"""),"KOST RUMAHUMI")</f>
        <v>KOST RUMAHUMI</v>
      </c>
      <c r="D53" s="186">
        <f>IFERROR(__xludf.DUMMYFUNCTION("""COMPUTED_VALUE"""),135.0)</f>
        <v>135</v>
      </c>
    </row>
    <row r="54">
      <c r="A54" s="178" t="str">
        <f>IFERROR(__xludf.DUMMYFUNCTION("""COMPUTED_VALUE"""),"ITBISA-7SEGMENT-ANODE-RED-0.56-1BIT")</f>
        <v>ITBISA-7SEGMENT-ANODE-RED-0.56-1BIT</v>
      </c>
      <c r="B54" s="266">
        <f>IFERROR(__xludf.DUMMYFUNCTION("""COMPUTED_VALUE"""),44214.0)</f>
        <v>44214</v>
      </c>
      <c r="C54" s="266" t="str">
        <f>IFERROR(__xludf.DUMMYFUNCTION("""COMPUTED_VALUE"""),"KOST RUMAHUMI")</f>
        <v>KOST RUMAHUMI</v>
      </c>
      <c r="D54" s="186">
        <f>IFERROR(__xludf.DUMMYFUNCTION("""COMPUTED_VALUE"""),25.0)</f>
        <v>25</v>
      </c>
    </row>
    <row r="55">
      <c r="A55" s="178" t="str">
        <f>IFERROR(__xludf.DUMMYFUNCTION("""COMPUTED_VALUE"""),"ITBISA-7SEGMENT-ANODE-RED-0.56-1BIT")</f>
        <v>ITBISA-7SEGMENT-ANODE-RED-0.56-1BIT</v>
      </c>
      <c r="B55" s="266">
        <f>IFERROR(__xludf.DUMMYFUNCTION("""COMPUTED_VALUE"""),44263.0)</f>
        <v>44263</v>
      </c>
      <c r="C55" s="266" t="str">
        <f>IFERROR(__xludf.DUMMYFUNCTION("""COMPUTED_VALUE"""),"KOST RUMAHUMI")</f>
        <v>KOST RUMAHUMI</v>
      </c>
      <c r="D55" s="186">
        <f>IFERROR(__xludf.DUMMYFUNCTION("""COMPUTED_VALUE"""),37.0)</f>
        <v>37</v>
      </c>
    </row>
    <row r="56">
      <c r="A56" s="178" t="str">
        <f>IFERROR(__xludf.DUMMYFUNCTION("""COMPUTED_VALUE"""),"ITBISA-7SEGMENT-ANODE-RED-0.56-1BIT")</f>
        <v>ITBISA-7SEGMENT-ANODE-RED-0.56-1BIT</v>
      </c>
      <c r="B56" s="266">
        <f>IFERROR(__xludf.DUMMYFUNCTION("""COMPUTED_VALUE"""),44868.0)</f>
        <v>44868</v>
      </c>
      <c r="C56" s="266" t="str">
        <f>IFERROR(__xludf.DUMMYFUNCTION("""COMPUTED_VALUE"""),"KYAI KONTONG")</f>
        <v>KYAI KONTONG</v>
      </c>
      <c r="D56" s="186">
        <f>IFERROR(__xludf.DUMMYFUNCTION("""COMPUTED_VALUE"""),100.0)</f>
        <v>100</v>
      </c>
    </row>
    <row r="57">
      <c r="A57" s="178" t="str">
        <f>IFERROR(__xludf.DUMMYFUNCTION("""COMPUTED_VALUE"""),"ITBISA-7SEGMENT-ANODE-RED-0.56-1BIT")</f>
        <v>ITBISA-7SEGMENT-ANODE-RED-0.56-1BIT</v>
      </c>
      <c r="B57" s="266">
        <f>IFERROR(__xludf.DUMMYFUNCTION("""COMPUTED_VALUE"""),44884.0)</f>
        <v>44884</v>
      </c>
      <c r="C57" s="266" t="str">
        <f>IFERROR(__xludf.DUMMYFUNCTION("""COMPUTED_VALUE"""),"KYAI KONTONG")</f>
        <v>KYAI KONTONG</v>
      </c>
      <c r="D57" s="186">
        <f>IFERROR(__xludf.DUMMYFUNCTION("""COMPUTED_VALUE"""),30.0)</f>
        <v>30</v>
      </c>
    </row>
    <row r="58">
      <c r="A58" s="178" t="str">
        <f>IFERROR(__xludf.DUMMYFUNCTION("""COMPUTED_VALUE"""),"ITBISA-7SEGMENT-ANODE-RED-0.56-1BIT")</f>
        <v>ITBISA-7SEGMENT-ANODE-RED-0.56-1BIT</v>
      </c>
      <c r="B58" s="266">
        <f>IFERROR(__xludf.DUMMYFUNCTION("""COMPUTED_VALUE"""),44890.0)</f>
        <v>44890</v>
      </c>
      <c r="C58" s="266" t="str">
        <f>IFERROR(__xludf.DUMMYFUNCTION("""COMPUTED_VALUE"""),"KYAI KONTONG")</f>
        <v>KYAI KONTONG</v>
      </c>
      <c r="D58" s="186">
        <f>IFERROR(__xludf.DUMMYFUNCTION("""COMPUTED_VALUE"""),10.0)</f>
        <v>10</v>
      </c>
    </row>
    <row r="59">
      <c r="A59" s="178" t="str">
        <f>IFERROR(__xludf.DUMMYFUNCTION("""COMPUTED_VALUE"""),"ITBISA-7SEGMENT-ANODE-RED-0.56-1BIT")</f>
        <v>ITBISA-7SEGMENT-ANODE-RED-0.56-1BIT</v>
      </c>
      <c r="B59" s="266">
        <f>IFERROR(__xludf.DUMMYFUNCTION("""COMPUTED_VALUE"""),44897.0)</f>
        <v>44897</v>
      </c>
      <c r="C59" s="266" t="str">
        <f>IFERROR(__xludf.DUMMYFUNCTION("""COMPUTED_VALUE"""),"KYAI KONTONG")</f>
        <v>KYAI KONTONG</v>
      </c>
      <c r="D59" s="186">
        <f>IFERROR(__xludf.DUMMYFUNCTION("""COMPUTED_VALUE"""),16.0)</f>
        <v>16</v>
      </c>
    </row>
    <row r="60">
      <c r="A60" s="178" t="str">
        <f>IFERROR(__xludf.DUMMYFUNCTION("""COMPUTED_VALUE"""),"ITBISA-7SEGMENT-ANODE-RED-0.56-1BIT")</f>
        <v>ITBISA-7SEGMENT-ANODE-RED-0.56-1BIT</v>
      </c>
      <c r="B60" s="266">
        <f>IFERROR(__xludf.DUMMYFUNCTION("""COMPUTED_VALUE"""),44898.0)</f>
        <v>44898</v>
      </c>
      <c r="C60" s="266" t="str">
        <f>IFERROR(__xludf.DUMMYFUNCTION("""COMPUTED_VALUE"""),"KYAI KONTONG")</f>
        <v>KYAI KONTONG</v>
      </c>
      <c r="D60" s="186">
        <f>IFERROR(__xludf.DUMMYFUNCTION("""COMPUTED_VALUE"""),100.0)</f>
        <v>100</v>
      </c>
    </row>
    <row r="61">
      <c r="A61" s="178" t="str">
        <f>IFERROR(__xludf.DUMMYFUNCTION("""COMPUTED_VALUE"""),"ITBISA-7SEGMENT-ANODE-RED-0.56-1BIT")</f>
        <v>ITBISA-7SEGMENT-ANODE-RED-0.56-1BIT</v>
      </c>
      <c r="B61" s="266">
        <f>IFERROR(__xludf.DUMMYFUNCTION("""COMPUTED_VALUE"""),44903.0)</f>
        <v>44903</v>
      </c>
      <c r="C61" s="266" t="str">
        <f>IFERROR(__xludf.DUMMYFUNCTION("""COMPUTED_VALUE"""),"KYAI KONTONG")</f>
        <v>KYAI KONTONG</v>
      </c>
      <c r="D61" s="186">
        <f>IFERROR(__xludf.DUMMYFUNCTION("""COMPUTED_VALUE"""),30.0)</f>
        <v>30</v>
      </c>
    </row>
    <row r="62">
      <c r="A62" s="178" t="str">
        <f>IFERROR(__xludf.DUMMYFUNCTION("""COMPUTED_VALUE"""),"ITBISA-7SEGMENT-ANODE-RED-0.56-1BIT")</f>
        <v>ITBISA-7SEGMENT-ANODE-RED-0.56-1BIT</v>
      </c>
      <c r="B62" s="266">
        <f>IFERROR(__xludf.DUMMYFUNCTION("""COMPUTED_VALUE"""),44910.0)</f>
        <v>44910</v>
      </c>
      <c r="C62" s="266" t="str">
        <f>IFERROR(__xludf.DUMMYFUNCTION("""COMPUTED_VALUE"""),"KYAI KONTONG")</f>
        <v>KYAI KONTONG</v>
      </c>
      <c r="D62" s="186">
        <f>IFERROR(__xludf.DUMMYFUNCTION("""COMPUTED_VALUE"""),150.0)</f>
        <v>150</v>
      </c>
    </row>
    <row r="63">
      <c r="A63" s="178" t="str">
        <f>IFERROR(__xludf.DUMMYFUNCTION("""COMPUTED_VALUE"""),"ITBISA-7SEGMENT-ANODE-RED-0.56-1BIT")</f>
        <v>ITBISA-7SEGMENT-ANODE-RED-0.56-1BIT</v>
      </c>
      <c r="B63" s="266">
        <f>IFERROR(__xludf.DUMMYFUNCTION("""COMPUTED_VALUE"""),44913.0)</f>
        <v>44913</v>
      </c>
      <c r="C63" s="266" t="str">
        <f>IFERROR(__xludf.DUMMYFUNCTION("""COMPUTED_VALUE"""),"KYAI KONTONG")</f>
        <v>KYAI KONTONG</v>
      </c>
      <c r="D63" s="186">
        <f>IFERROR(__xludf.DUMMYFUNCTION("""COMPUTED_VALUE"""),8.0)</f>
        <v>8</v>
      </c>
    </row>
    <row r="64">
      <c r="A64" s="178" t="str">
        <f>IFERROR(__xludf.DUMMYFUNCTION("""COMPUTED_VALUE"""),"ITBISA-7SEGMENT-ANODE-RED-0.56-1BIT")</f>
        <v>ITBISA-7SEGMENT-ANODE-RED-0.56-1BIT</v>
      </c>
      <c r="B64" s="266">
        <f>IFERROR(__xludf.DUMMYFUNCTION("""COMPUTED_VALUE"""),44914.0)</f>
        <v>44914</v>
      </c>
      <c r="C64" s="266" t="str">
        <f>IFERROR(__xludf.DUMMYFUNCTION("""COMPUTED_VALUE"""),"KYAI KONTONG")</f>
        <v>KYAI KONTONG</v>
      </c>
      <c r="D64" s="186">
        <f>IFERROR(__xludf.DUMMYFUNCTION("""COMPUTED_VALUE"""),1.0)</f>
        <v>1</v>
      </c>
    </row>
    <row r="65">
      <c r="A65" s="178" t="str">
        <f>IFERROR(__xludf.DUMMYFUNCTION("""COMPUTED_VALUE"""),"ITBISA-7SEGMENT-ANODE-RED-0.56-1BIT")</f>
        <v>ITBISA-7SEGMENT-ANODE-RED-0.56-1BIT</v>
      </c>
      <c r="B65" s="266">
        <f>IFERROR(__xludf.DUMMYFUNCTION("""COMPUTED_VALUE"""),44917.0)</f>
        <v>44917</v>
      </c>
      <c r="C65" s="266" t="str">
        <f>IFERROR(__xludf.DUMMYFUNCTION("""COMPUTED_VALUE"""),"KYAI KONTONG")</f>
        <v>KYAI KONTONG</v>
      </c>
      <c r="D65" s="186">
        <f>IFERROR(__xludf.DUMMYFUNCTION("""COMPUTED_VALUE"""),150.0)</f>
        <v>150</v>
      </c>
    </row>
    <row r="66">
      <c r="A66" s="178" t="str">
        <f>IFERROR(__xludf.DUMMYFUNCTION("""COMPUTED_VALUE"""),"ITBISA-7SEGMENT-ANODE-RED-0.56-1BIT")</f>
        <v>ITBISA-7SEGMENT-ANODE-RED-0.56-1BIT</v>
      </c>
      <c r="B66" s="266">
        <f>IFERROR(__xludf.DUMMYFUNCTION("""COMPUTED_VALUE"""),44924.0)</f>
        <v>44924</v>
      </c>
      <c r="C66" s="266" t="str">
        <f>IFERROR(__xludf.DUMMYFUNCTION("""COMPUTED_VALUE"""),"KYAI KONTONG")</f>
        <v>KYAI KONTONG</v>
      </c>
      <c r="D66" s="186">
        <f>IFERROR(__xludf.DUMMYFUNCTION("""COMPUTED_VALUE"""),150.0)</f>
        <v>150</v>
      </c>
    </row>
    <row r="67">
      <c r="A67" s="178" t="str">
        <f>IFERROR(__xludf.DUMMYFUNCTION("""COMPUTED_VALUE"""),"ITBISA-7SEGMENT-ANODE-RED-0.56-1BIT")</f>
        <v>ITBISA-7SEGMENT-ANODE-RED-0.56-1BIT</v>
      </c>
      <c r="B67" s="266">
        <f>IFERROR(__xludf.DUMMYFUNCTION("""COMPUTED_VALUE"""),44933.0)</f>
        <v>44933</v>
      </c>
      <c r="C67" s="266" t="str">
        <f>IFERROR(__xludf.DUMMYFUNCTION("""COMPUTED_VALUE"""),"KYAI KONTONG")</f>
        <v>KYAI KONTONG</v>
      </c>
      <c r="D67" s="186">
        <f>IFERROR(__xludf.DUMMYFUNCTION("""COMPUTED_VALUE"""),150.0)</f>
        <v>150</v>
      </c>
    </row>
    <row r="68">
      <c r="A68" s="178" t="str">
        <f>IFERROR(__xludf.DUMMYFUNCTION("""COMPUTED_VALUE"""),"ITBISA-7SEGMENT-ANODE-RED-0.56-1BIT")</f>
        <v>ITBISA-7SEGMENT-ANODE-RED-0.56-1BIT</v>
      </c>
      <c r="B68" s="266">
        <f>IFERROR(__xludf.DUMMYFUNCTION("""COMPUTED_VALUE"""),44961.0)</f>
        <v>44961</v>
      </c>
      <c r="C68" s="266" t="str">
        <f>IFERROR(__xludf.DUMMYFUNCTION("""COMPUTED_VALUE"""),"KYAI KONTONG")</f>
        <v>KYAI KONTONG</v>
      </c>
      <c r="D68" s="186">
        <f>IFERROR(__xludf.DUMMYFUNCTION("""COMPUTED_VALUE"""),300.0)</f>
        <v>300</v>
      </c>
    </row>
    <row r="69">
      <c r="A69" s="178" t="str">
        <f>IFERROR(__xludf.DUMMYFUNCTION("""COMPUTED_VALUE"""),"ITBISA-7SEGMENT-ANODE-RED-0.56-1BIT")</f>
        <v>ITBISA-7SEGMENT-ANODE-RED-0.56-1BIT</v>
      </c>
      <c r="B69" s="266">
        <f>IFERROR(__xludf.DUMMYFUNCTION("""COMPUTED_VALUE"""),44964.0)</f>
        <v>44964</v>
      </c>
      <c r="C69" s="266" t="str">
        <f>IFERROR(__xludf.DUMMYFUNCTION("""COMPUTED_VALUE"""),"KYAI KONTONG")</f>
        <v>KYAI KONTONG</v>
      </c>
      <c r="D69" s="186">
        <f>IFERROR(__xludf.DUMMYFUNCTION("""COMPUTED_VALUE"""),5.0)</f>
        <v>5</v>
      </c>
    </row>
    <row r="70">
      <c r="A70" s="178" t="str">
        <f>IFERROR(__xludf.DUMMYFUNCTION("""COMPUTED_VALUE"""),"ITBISA-7SEGMENT-ANODE-RED-0.56-1BIT")</f>
        <v>ITBISA-7SEGMENT-ANODE-RED-0.56-1BIT</v>
      </c>
      <c r="B70" s="266">
        <f>IFERROR(__xludf.DUMMYFUNCTION("""COMPUTED_VALUE"""),44965.0)</f>
        <v>44965</v>
      </c>
      <c r="C70" s="266" t="str">
        <f>IFERROR(__xludf.DUMMYFUNCTION("""COMPUTED_VALUE"""),"KYAI KONTONG")</f>
        <v>KYAI KONTONG</v>
      </c>
      <c r="D70" s="186">
        <f>IFERROR(__xludf.DUMMYFUNCTION("""COMPUTED_VALUE"""),150.0)</f>
        <v>150</v>
      </c>
    </row>
    <row r="71">
      <c r="A71" s="178" t="str">
        <f>IFERROR(__xludf.DUMMYFUNCTION("""COMPUTED_VALUE"""),"ITBISA-7SEGMENT-ANODE-RED-0.56-1BIT")</f>
        <v>ITBISA-7SEGMENT-ANODE-RED-0.56-1BIT</v>
      </c>
      <c r="B71" s="266">
        <f>IFERROR(__xludf.DUMMYFUNCTION("""COMPUTED_VALUE"""),44967.0)</f>
        <v>44967</v>
      </c>
      <c r="C71" s="266" t="str">
        <f>IFERROR(__xludf.DUMMYFUNCTION("""COMPUTED_VALUE"""),"KYAI KONTONG")</f>
        <v>KYAI KONTONG</v>
      </c>
      <c r="D71" s="186">
        <f>IFERROR(__xludf.DUMMYFUNCTION("""COMPUTED_VALUE"""),150.0)</f>
        <v>150</v>
      </c>
    </row>
    <row r="72">
      <c r="A72" s="178" t="str">
        <f>IFERROR(__xludf.DUMMYFUNCTION("""COMPUTED_VALUE"""),"ITBISA-7SEGMENT-ANODE-RED-0.56-1BIT")</f>
        <v>ITBISA-7SEGMENT-ANODE-RED-0.56-1BIT</v>
      </c>
      <c r="B72" s="266">
        <f>IFERROR(__xludf.DUMMYFUNCTION("""COMPUTED_VALUE"""),44968.0)</f>
        <v>44968</v>
      </c>
      <c r="C72" s="266" t="str">
        <f>IFERROR(__xludf.DUMMYFUNCTION("""COMPUTED_VALUE"""),"KYAI KONTONG")</f>
        <v>KYAI KONTONG</v>
      </c>
      <c r="D72" s="186">
        <f>IFERROR(__xludf.DUMMYFUNCTION("""COMPUTED_VALUE"""),40.0)</f>
        <v>40</v>
      </c>
    </row>
    <row r="73">
      <c r="A73" s="178" t="str">
        <f>IFERROR(__xludf.DUMMYFUNCTION("""COMPUTED_VALUE"""),"ITBISA-7SEGMENT-ANODE-RED-0.56-1BIT")</f>
        <v>ITBISA-7SEGMENT-ANODE-RED-0.56-1BIT</v>
      </c>
      <c r="B73" s="266">
        <f>IFERROR(__xludf.DUMMYFUNCTION("""COMPUTED_VALUE"""),44970.0)</f>
        <v>44970</v>
      </c>
      <c r="C73" s="266" t="str">
        <f>IFERROR(__xludf.DUMMYFUNCTION("""COMPUTED_VALUE"""),"KYAI KONTONG")</f>
        <v>KYAI KONTONG</v>
      </c>
      <c r="D73" s="186">
        <f>IFERROR(__xludf.DUMMYFUNCTION("""COMPUTED_VALUE"""),3.0)</f>
        <v>3</v>
      </c>
    </row>
    <row r="74">
      <c r="A74" s="178" t="str">
        <f>IFERROR(__xludf.DUMMYFUNCTION("""COMPUTED_VALUE"""),"ITBISA-7SEGMENT-ANODE-RED-0.56-1BIT")</f>
        <v>ITBISA-7SEGMENT-ANODE-RED-0.56-1BIT</v>
      </c>
      <c r="B74" s="266">
        <f>IFERROR(__xludf.DUMMYFUNCTION("""COMPUTED_VALUE"""),44972.0)</f>
        <v>44972</v>
      </c>
      <c r="C74" s="266" t="str">
        <f>IFERROR(__xludf.DUMMYFUNCTION("""COMPUTED_VALUE"""),"KYAI KONTONG")</f>
        <v>KYAI KONTONG</v>
      </c>
      <c r="D74" s="186">
        <f>IFERROR(__xludf.DUMMYFUNCTION("""COMPUTED_VALUE"""),40.0)</f>
        <v>40</v>
      </c>
    </row>
    <row r="75">
      <c r="A75" s="178" t="str">
        <f>IFERROR(__xludf.DUMMYFUNCTION("""COMPUTED_VALUE"""),"ITBISA-7SEGMENT-ANODE-RED-0.56-1BIT")</f>
        <v>ITBISA-7SEGMENT-ANODE-RED-0.56-1BIT</v>
      </c>
      <c r="B75" s="266">
        <f>IFERROR(__xludf.DUMMYFUNCTION("""COMPUTED_VALUE"""),44975.0)</f>
        <v>44975</v>
      </c>
      <c r="C75" s="266" t="str">
        <f>IFERROR(__xludf.DUMMYFUNCTION("""COMPUTED_VALUE"""),"KYAI KONTONG")</f>
        <v>KYAI KONTONG</v>
      </c>
      <c r="D75" s="186">
        <f>IFERROR(__xludf.DUMMYFUNCTION("""COMPUTED_VALUE"""),10.0)</f>
        <v>10</v>
      </c>
    </row>
    <row r="76">
      <c r="A76" s="178" t="str">
        <f>IFERROR(__xludf.DUMMYFUNCTION("""COMPUTED_VALUE"""),"ITBISA-7SEGMENT-ANODE-RED-0.56-1BIT")</f>
        <v>ITBISA-7SEGMENT-ANODE-RED-0.56-1BIT</v>
      </c>
      <c r="B76" s="266">
        <f>IFERROR(__xludf.DUMMYFUNCTION("""COMPUTED_VALUE"""),44978.0)</f>
        <v>44978</v>
      </c>
      <c r="C76" s="266" t="str">
        <f>IFERROR(__xludf.DUMMYFUNCTION("""COMPUTED_VALUE"""),"KYAI KONTONG")</f>
        <v>KYAI KONTONG</v>
      </c>
      <c r="D76" s="186">
        <f>IFERROR(__xludf.DUMMYFUNCTION("""COMPUTED_VALUE"""),150.0)</f>
        <v>150</v>
      </c>
    </row>
    <row r="77">
      <c r="A77" s="178" t="str">
        <f>IFERROR(__xludf.DUMMYFUNCTION("""COMPUTED_VALUE"""),"ITBISA-7SEGMENT-ANODE-RED-0.56-1BIT")</f>
        <v>ITBISA-7SEGMENT-ANODE-RED-0.56-1BIT</v>
      </c>
      <c r="B77" s="266">
        <f>IFERROR(__xludf.DUMMYFUNCTION("""COMPUTED_VALUE"""),44979.0)</f>
        <v>44979</v>
      </c>
      <c r="C77" s="266" t="str">
        <f>IFERROR(__xludf.DUMMYFUNCTION("""COMPUTED_VALUE"""),"KYAI KONTONG")</f>
        <v>KYAI KONTONG</v>
      </c>
      <c r="D77" s="186">
        <f>IFERROR(__xludf.DUMMYFUNCTION("""COMPUTED_VALUE"""),20.0)</f>
        <v>20</v>
      </c>
    </row>
    <row r="78">
      <c r="A78" s="178" t="str">
        <f>IFERROR(__xludf.DUMMYFUNCTION("""COMPUTED_VALUE"""),"ITBISA-7SEGMENT-ANODE-RED-0.56-1BIT")</f>
        <v>ITBISA-7SEGMENT-ANODE-RED-0.56-1BIT</v>
      </c>
      <c r="B78" s="266">
        <f>IFERROR(__xludf.DUMMYFUNCTION("""COMPUTED_VALUE"""),44981.0)</f>
        <v>44981</v>
      </c>
      <c r="C78" s="266" t="str">
        <f>IFERROR(__xludf.DUMMYFUNCTION("""COMPUTED_VALUE"""),"KYAI KONTONG")</f>
        <v>KYAI KONTONG</v>
      </c>
      <c r="D78" s="186">
        <f>IFERROR(__xludf.DUMMYFUNCTION("""COMPUTED_VALUE"""),90.0)</f>
        <v>90</v>
      </c>
    </row>
    <row r="79">
      <c r="A79" s="178" t="str">
        <f>IFERROR(__xludf.DUMMYFUNCTION("""COMPUTED_VALUE"""),"ITBISA-7SEGMENT-ANODE-RED-0.56-1BIT")</f>
        <v>ITBISA-7SEGMENT-ANODE-RED-0.56-1BIT</v>
      </c>
      <c r="B79" s="266">
        <f>IFERROR(__xludf.DUMMYFUNCTION("""COMPUTED_VALUE"""),44984.0)</f>
        <v>44984</v>
      </c>
      <c r="C79" s="266" t="str">
        <f>IFERROR(__xludf.DUMMYFUNCTION("""COMPUTED_VALUE"""),"KYAI KONTONG")</f>
        <v>KYAI KONTONG</v>
      </c>
      <c r="D79" s="186">
        <f>IFERROR(__xludf.DUMMYFUNCTION("""COMPUTED_VALUE"""),150.0)</f>
        <v>150</v>
      </c>
    </row>
    <row r="80">
      <c r="A80" s="178" t="str">
        <f>IFERROR(__xludf.DUMMYFUNCTION("""COMPUTED_VALUE"""),"ITBISA-7SEGMENT-ANODE-RED-0.56-1BIT")</f>
        <v>ITBISA-7SEGMENT-ANODE-RED-0.56-1BIT</v>
      </c>
      <c r="B80" s="266">
        <f>IFERROR(__xludf.DUMMYFUNCTION("""COMPUTED_VALUE"""),44986.0)</f>
        <v>44986</v>
      </c>
      <c r="C80" s="266" t="str">
        <f>IFERROR(__xludf.DUMMYFUNCTION("""COMPUTED_VALUE"""),"KYAI KONTONG")</f>
        <v>KYAI KONTONG</v>
      </c>
      <c r="D80" s="186">
        <f>IFERROR(__xludf.DUMMYFUNCTION("""COMPUTED_VALUE"""),40.0)</f>
        <v>40</v>
      </c>
    </row>
    <row r="81">
      <c r="A81" s="178" t="str">
        <f>IFERROR(__xludf.DUMMYFUNCTION("""COMPUTED_VALUE"""),"ITBISA-7SEGMENT-ANODE-RED-0.56-1BIT")</f>
        <v>ITBISA-7SEGMENT-ANODE-RED-0.56-1BIT</v>
      </c>
      <c r="B81" s="266">
        <f>IFERROR(__xludf.DUMMYFUNCTION("""COMPUTED_VALUE"""),44994.0)</f>
        <v>44994</v>
      </c>
      <c r="C81" s="266" t="str">
        <f>IFERROR(__xludf.DUMMYFUNCTION("""COMPUTED_VALUE"""),"KYAI KONTONG")</f>
        <v>KYAI KONTONG</v>
      </c>
      <c r="D81" s="186">
        <f>IFERROR(__xludf.DUMMYFUNCTION("""COMPUTED_VALUE"""),100.0)</f>
        <v>100</v>
      </c>
    </row>
    <row r="82">
      <c r="A82" s="178" t="str">
        <f>IFERROR(__xludf.DUMMYFUNCTION("""COMPUTED_VALUE"""),"ITBISA-7SEGMENT-ANODE-RED-0.56-1BIT")</f>
        <v>ITBISA-7SEGMENT-ANODE-RED-0.56-1BIT</v>
      </c>
      <c r="B82" s="266">
        <f>IFERROR(__xludf.DUMMYFUNCTION("""COMPUTED_VALUE"""),44998.0)</f>
        <v>44998</v>
      </c>
      <c r="C82" s="266" t="str">
        <f>IFERROR(__xludf.DUMMYFUNCTION("""COMPUTED_VALUE"""),"KYAI KONTONG")</f>
        <v>KYAI KONTONG</v>
      </c>
      <c r="D82" s="186">
        <f>IFERROR(__xludf.DUMMYFUNCTION("""COMPUTED_VALUE"""),750.0)</f>
        <v>750</v>
      </c>
    </row>
    <row r="83">
      <c r="A83" s="178" t="str">
        <f>IFERROR(__xludf.DUMMYFUNCTION("""COMPUTED_VALUE"""),"ITBISA-7SEGMENT-ANODE-RED-0.56-1BIT")</f>
        <v>ITBISA-7SEGMENT-ANODE-RED-0.56-1BIT</v>
      </c>
      <c r="B83" s="266">
        <f>IFERROR(__xludf.DUMMYFUNCTION("""COMPUTED_VALUE"""),45001.0)</f>
        <v>45001</v>
      </c>
      <c r="C83" s="266" t="str">
        <f>IFERROR(__xludf.DUMMYFUNCTION("""COMPUTED_VALUE"""),"KYAI KONTONG")</f>
        <v>KYAI KONTONG</v>
      </c>
      <c r="D83" s="186">
        <f>IFERROR(__xludf.DUMMYFUNCTION("""COMPUTED_VALUE"""),24.0)</f>
        <v>24</v>
      </c>
    </row>
    <row r="84">
      <c r="A84" s="178" t="str">
        <f>IFERROR(__xludf.DUMMYFUNCTION("""COMPUTED_VALUE"""),"ITBISA-7SEGMENT-ANODE-RED-0.56-1BIT")</f>
        <v>ITBISA-7SEGMENT-ANODE-RED-0.56-1BIT</v>
      </c>
      <c r="B84" s="266">
        <f>IFERROR(__xludf.DUMMYFUNCTION("""COMPUTED_VALUE"""),45003.0)</f>
        <v>45003</v>
      </c>
      <c r="C84" s="266" t="str">
        <f>IFERROR(__xludf.DUMMYFUNCTION("""COMPUTED_VALUE"""),"KYAI KONTONG")</f>
        <v>KYAI KONTONG</v>
      </c>
      <c r="D84" s="186">
        <f>IFERROR(__xludf.DUMMYFUNCTION("""COMPUTED_VALUE"""),2.0)</f>
        <v>2</v>
      </c>
    </row>
    <row r="85">
      <c r="A85" s="178" t="str">
        <f>IFERROR(__xludf.DUMMYFUNCTION("""COMPUTED_VALUE"""),"ITBISA-7SEGMENT-ANODE-RED-0.56-1BIT")</f>
        <v>ITBISA-7SEGMENT-ANODE-RED-0.56-1BIT</v>
      </c>
      <c r="B85" s="266">
        <f>IFERROR(__xludf.DUMMYFUNCTION("""COMPUTED_VALUE"""),45006.0)</f>
        <v>45006</v>
      </c>
      <c r="C85" s="266" t="str">
        <f>IFERROR(__xludf.DUMMYFUNCTION("""COMPUTED_VALUE"""),"KYAI KONTONG")</f>
        <v>KYAI KONTONG</v>
      </c>
      <c r="D85" s="186">
        <f>IFERROR(__xludf.DUMMYFUNCTION("""COMPUTED_VALUE"""),30.0)</f>
        <v>30</v>
      </c>
    </row>
    <row r="86">
      <c r="A86" s="178" t="str">
        <f>IFERROR(__xludf.DUMMYFUNCTION("""COMPUTED_VALUE"""),"ITBISA-7SEGMENT-ANODE-RED-0.56-1BIT")</f>
        <v>ITBISA-7SEGMENT-ANODE-RED-0.56-1BIT</v>
      </c>
      <c r="B86" s="266">
        <f>IFERROR(__xludf.DUMMYFUNCTION("""COMPUTED_VALUE"""),45006.0)</f>
        <v>45006</v>
      </c>
      <c r="C86" s="266" t="str">
        <f>IFERROR(__xludf.DUMMYFUNCTION("""COMPUTED_VALUE"""),"KYAI KONTONG")</f>
        <v>KYAI KONTONG</v>
      </c>
      <c r="D86" s="186">
        <f>IFERROR(__xludf.DUMMYFUNCTION("""COMPUTED_VALUE"""),150.0)</f>
        <v>150</v>
      </c>
    </row>
    <row r="87">
      <c r="A87" s="178" t="str">
        <f>IFERROR(__xludf.DUMMYFUNCTION("""COMPUTED_VALUE"""),"ITBISA-7SEGMENT-ANODE-RED-0.56-1BIT")</f>
        <v>ITBISA-7SEGMENT-ANODE-RED-0.56-1BIT</v>
      </c>
      <c r="B87" s="266">
        <f>IFERROR(__xludf.DUMMYFUNCTION("""COMPUTED_VALUE"""),45009.0)</f>
        <v>45009</v>
      </c>
      <c r="C87" s="266" t="str">
        <f>IFERROR(__xludf.DUMMYFUNCTION("""COMPUTED_VALUE"""),"KYAI KONTONG")</f>
        <v>KYAI KONTONG</v>
      </c>
      <c r="D87" s="186">
        <f>IFERROR(__xludf.DUMMYFUNCTION("""COMPUTED_VALUE"""),150.0)</f>
        <v>150</v>
      </c>
    </row>
    <row r="88">
      <c r="A88" s="178" t="str">
        <f>IFERROR(__xludf.DUMMYFUNCTION("""COMPUTED_VALUE"""),"ITBISA-7SEGMENT-ANODE-RED-0.56-1BIT")</f>
        <v>ITBISA-7SEGMENT-ANODE-RED-0.56-1BIT</v>
      </c>
      <c r="B88" s="266">
        <f>IFERROR(__xludf.DUMMYFUNCTION("""COMPUTED_VALUE"""),45009.0)</f>
        <v>45009</v>
      </c>
      <c r="C88" s="266" t="str">
        <f>IFERROR(__xludf.DUMMYFUNCTION("""COMPUTED_VALUE"""),"KYAI KONTONG")</f>
        <v>KYAI KONTONG</v>
      </c>
      <c r="D88" s="186">
        <f>IFERROR(__xludf.DUMMYFUNCTION("""COMPUTED_VALUE"""),450.0)</f>
        <v>450</v>
      </c>
    </row>
    <row r="89">
      <c r="A89" s="178" t="str">
        <f>IFERROR(__xludf.DUMMYFUNCTION("""COMPUTED_VALUE"""),"ITBISA-7SEGMENT-ANODE-RED-0.56-1BIT")</f>
        <v>ITBISA-7SEGMENT-ANODE-RED-0.56-1BIT</v>
      </c>
      <c r="B89" s="266">
        <f>IFERROR(__xludf.DUMMYFUNCTION("""COMPUTED_VALUE"""),45010.0)</f>
        <v>45010</v>
      </c>
      <c r="C89" s="266" t="str">
        <f>IFERROR(__xludf.DUMMYFUNCTION("""COMPUTED_VALUE"""),"KYAI KONTONG")</f>
        <v>KYAI KONTONG</v>
      </c>
      <c r="D89" s="186">
        <f>IFERROR(__xludf.DUMMYFUNCTION("""COMPUTED_VALUE"""),3.0)</f>
        <v>3</v>
      </c>
    </row>
    <row r="90">
      <c r="A90" s="178" t="str">
        <f>IFERROR(__xludf.DUMMYFUNCTION("""COMPUTED_VALUE"""),"ITBISA-7SEGMENT-ANODE-RED-0.56-1BIT")</f>
        <v>ITBISA-7SEGMENT-ANODE-RED-0.56-1BIT</v>
      </c>
      <c r="B90" s="266">
        <f>IFERROR(__xludf.DUMMYFUNCTION("""COMPUTED_VALUE"""),45010.0)</f>
        <v>45010</v>
      </c>
      <c r="C90" s="266" t="str">
        <f>IFERROR(__xludf.DUMMYFUNCTION("""COMPUTED_VALUE"""),"KYAI KONTONG")</f>
        <v>KYAI KONTONG</v>
      </c>
      <c r="D90" s="186">
        <f>IFERROR(__xludf.DUMMYFUNCTION("""COMPUTED_VALUE"""),10.0)</f>
        <v>10</v>
      </c>
    </row>
    <row r="91">
      <c r="A91" s="178" t="str">
        <f>IFERROR(__xludf.DUMMYFUNCTION("""COMPUTED_VALUE"""),"ITBISA-7SEGMENT-ANODE-RED-0.56-1BIT")</f>
        <v>ITBISA-7SEGMENT-ANODE-RED-0.56-1BIT</v>
      </c>
      <c r="B91" s="266">
        <f>IFERROR(__xludf.DUMMYFUNCTION("""COMPUTED_VALUE"""),45010.0)</f>
        <v>45010</v>
      </c>
      <c r="C91" s="266" t="str">
        <f>IFERROR(__xludf.DUMMYFUNCTION("""COMPUTED_VALUE"""),"KYAI KONTONG")</f>
        <v>KYAI KONTONG</v>
      </c>
      <c r="D91" s="186">
        <f>IFERROR(__xludf.DUMMYFUNCTION("""COMPUTED_VALUE"""),150.0)</f>
        <v>150</v>
      </c>
    </row>
    <row r="92">
      <c r="A92" s="178" t="str">
        <f>IFERROR(__xludf.DUMMYFUNCTION("""COMPUTED_VALUE"""),"ITBISA-7SEGMENT-ANODE-RED-0.56-1BIT")</f>
        <v>ITBISA-7SEGMENT-ANODE-RED-0.56-1BIT</v>
      </c>
      <c r="B92" s="266">
        <f>IFERROR(__xludf.DUMMYFUNCTION("""COMPUTED_VALUE"""),45017.0)</f>
        <v>45017</v>
      </c>
      <c r="C92" s="266" t="str">
        <f>IFERROR(__xludf.DUMMYFUNCTION("""COMPUTED_VALUE"""),"KYAI KONTONG")</f>
        <v>KYAI KONTONG</v>
      </c>
      <c r="D92" s="186">
        <f>IFERROR(__xludf.DUMMYFUNCTION("""COMPUTED_VALUE"""),4.0)</f>
        <v>4</v>
      </c>
    </row>
    <row r="93">
      <c r="A93" s="178" t="str">
        <f>IFERROR(__xludf.DUMMYFUNCTION("""COMPUTED_VALUE"""),"ITBISA-7SEGMENT-ANODE-RED-0.56-1BIT")</f>
        <v>ITBISA-7SEGMENT-ANODE-RED-0.56-1BIT</v>
      </c>
      <c r="B93" s="266">
        <f>IFERROR(__xludf.DUMMYFUNCTION("""COMPUTED_VALUE"""),45020.0)</f>
        <v>45020</v>
      </c>
      <c r="C93" s="266" t="str">
        <f>IFERROR(__xludf.DUMMYFUNCTION("""COMPUTED_VALUE"""),"KYAI KONTONG")</f>
        <v>KYAI KONTONG</v>
      </c>
      <c r="D93" s="186">
        <f>IFERROR(__xludf.DUMMYFUNCTION("""COMPUTED_VALUE"""),4.0)</f>
        <v>4</v>
      </c>
    </row>
    <row r="94">
      <c r="A94" s="178" t="str">
        <f>IFERROR(__xludf.DUMMYFUNCTION("""COMPUTED_VALUE"""),"ITBISA-7SEGMENT-ANODE-RED-0.56-1BIT")</f>
        <v>ITBISA-7SEGMENT-ANODE-RED-0.56-1BIT</v>
      </c>
      <c r="B94" s="266">
        <f>IFERROR(__xludf.DUMMYFUNCTION("""COMPUTED_VALUE"""),45021.0)</f>
        <v>45021</v>
      </c>
      <c r="C94" s="266" t="str">
        <f>IFERROR(__xludf.DUMMYFUNCTION("""COMPUTED_VALUE"""),"KERTASARI CIAMIS")</f>
        <v>KERTASARI CIAMIS</v>
      </c>
      <c r="D94" s="186">
        <f>IFERROR(__xludf.DUMMYFUNCTION("""COMPUTED_VALUE"""),300.0)</f>
        <v>300</v>
      </c>
    </row>
    <row r="95">
      <c r="A95" s="178" t="str">
        <f>IFERROR(__xludf.DUMMYFUNCTION("""COMPUTED_VALUE"""),"ITBISA-7SEGMENT-ANODE-RED-0.56-1BIT")</f>
        <v>ITBISA-7SEGMENT-ANODE-RED-0.56-1BIT</v>
      </c>
      <c r="B95" s="266">
        <f>IFERROR(__xludf.DUMMYFUNCTION("""COMPUTED_VALUE"""),45021.0)</f>
        <v>45021</v>
      </c>
      <c r="C95" s="266" t="str">
        <f>IFERROR(__xludf.DUMMYFUNCTION("""COMPUTED_VALUE"""),"KYAI KONTONG")</f>
        <v>KYAI KONTONG</v>
      </c>
      <c r="D95" s="186">
        <f>IFERROR(__xludf.DUMMYFUNCTION("""COMPUTED_VALUE"""),5.0)</f>
        <v>5</v>
      </c>
    </row>
    <row r="96">
      <c r="A96" s="178" t="str">
        <f>IFERROR(__xludf.DUMMYFUNCTION("""COMPUTED_VALUE"""),"ITBISA-7SEGMENT-ANODE-RED-0.56-1BIT")</f>
        <v>ITBISA-7SEGMENT-ANODE-RED-0.56-1BIT</v>
      </c>
      <c r="B96" s="266">
        <f>IFERROR(__xludf.DUMMYFUNCTION("""COMPUTED_VALUE"""),45022.0)</f>
        <v>45022</v>
      </c>
      <c r="C96" s="266" t="str">
        <f>IFERROR(__xludf.DUMMYFUNCTION("""COMPUTED_VALUE"""),"KYAI KONTONG")</f>
        <v>KYAI KONTONG</v>
      </c>
      <c r="D96" s="186">
        <f>IFERROR(__xludf.DUMMYFUNCTION("""COMPUTED_VALUE"""),14.0)</f>
        <v>14</v>
      </c>
    </row>
    <row r="97">
      <c r="A97" s="178" t="str">
        <f>IFERROR(__xludf.DUMMYFUNCTION("""COMPUTED_VALUE"""),"ITBISA-7SEGMENT-ANODE-RED-0.56-1BIT")</f>
        <v>ITBISA-7SEGMENT-ANODE-RED-0.56-1BIT</v>
      </c>
      <c r="B97" s="266">
        <f>IFERROR(__xludf.DUMMYFUNCTION("""COMPUTED_VALUE"""),45023.0)</f>
        <v>45023</v>
      </c>
      <c r="C97" s="266" t="str">
        <f>IFERROR(__xludf.DUMMYFUNCTION("""COMPUTED_VALUE"""),"KYAI KONTONG")</f>
        <v>KYAI KONTONG</v>
      </c>
      <c r="D97" s="186">
        <f>IFERROR(__xludf.DUMMYFUNCTION("""COMPUTED_VALUE"""),10.0)</f>
        <v>10</v>
      </c>
    </row>
    <row r="98">
      <c r="A98" s="178" t="str">
        <f>IFERROR(__xludf.DUMMYFUNCTION("""COMPUTED_VALUE"""),"ITBISA-7SEGMENT-ANODE-RED-0.56-1BIT")</f>
        <v>ITBISA-7SEGMENT-ANODE-RED-0.56-1BIT</v>
      </c>
      <c r="B98" s="266">
        <f>IFERROR(__xludf.DUMMYFUNCTION("""COMPUTED_VALUE"""),45027.0)</f>
        <v>45027</v>
      </c>
      <c r="C98" s="266" t="str">
        <f>IFERROR(__xludf.DUMMYFUNCTION("""COMPUTED_VALUE"""),"KYAI KONTONG")</f>
        <v>KYAI KONTONG</v>
      </c>
      <c r="D98" s="186">
        <f>IFERROR(__xludf.DUMMYFUNCTION("""COMPUTED_VALUE"""),13.0)</f>
        <v>13</v>
      </c>
    </row>
    <row r="99">
      <c r="A99" s="178" t="str">
        <f>IFERROR(__xludf.DUMMYFUNCTION("""COMPUTED_VALUE"""),"ITBISA-7SEGMENT-ANODE-RED-0.56-1BIT")</f>
        <v>ITBISA-7SEGMENT-ANODE-RED-0.56-1BIT</v>
      </c>
      <c r="B99" s="266">
        <f>IFERROR(__xludf.DUMMYFUNCTION("""COMPUTED_VALUE"""),45029.0)</f>
        <v>45029</v>
      </c>
      <c r="C99" s="266" t="str">
        <f>IFERROR(__xludf.DUMMYFUNCTION("""COMPUTED_VALUE"""),"KYAI KONTONG")</f>
        <v>KYAI KONTONG</v>
      </c>
      <c r="D99" s="186">
        <f>IFERROR(__xludf.DUMMYFUNCTION("""COMPUTED_VALUE"""),20.0)</f>
        <v>20</v>
      </c>
    </row>
    <row r="100">
      <c r="A100" s="178" t="str">
        <f>IFERROR(__xludf.DUMMYFUNCTION("""COMPUTED_VALUE"""),"ITBISA-7SEGMENT-ANODE-RED-0.56-1BIT")</f>
        <v>ITBISA-7SEGMENT-ANODE-RED-0.56-1BIT</v>
      </c>
      <c r="B100" s="266">
        <f>IFERROR(__xludf.DUMMYFUNCTION("""COMPUTED_VALUE"""),45052.0)</f>
        <v>45052</v>
      </c>
      <c r="C100" s="266" t="str">
        <f>IFERROR(__xludf.DUMMYFUNCTION("""COMPUTED_VALUE"""),"KYAI KONTONG")</f>
        <v>KYAI KONTONG</v>
      </c>
      <c r="D100" s="186">
        <f>IFERROR(__xludf.DUMMYFUNCTION("""COMPUTED_VALUE"""),150.0)</f>
        <v>150</v>
      </c>
    </row>
    <row r="101">
      <c r="A101" s="178" t="str">
        <f>IFERROR(__xludf.DUMMYFUNCTION("""COMPUTED_VALUE"""),"ITBISA-7SEGMENT-ANODE-RED-0.56-1BIT")</f>
        <v>ITBISA-7SEGMENT-ANODE-RED-0.56-1BIT</v>
      </c>
      <c r="B101" s="266">
        <f>IFERROR(__xludf.DUMMYFUNCTION("""COMPUTED_VALUE"""),45053.0)</f>
        <v>45053</v>
      </c>
      <c r="C101" s="266" t="str">
        <f>IFERROR(__xludf.DUMMYFUNCTION("""COMPUTED_VALUE"""),"KYAI KONTONG")</f>
        <v>KYAI KONTONG</v>
      </c>
      <c r="D101" s="186">
        <f>IFERROR(__xludf.DUMMYFUNCTION("""COMPUTED_VALUE"""),150.0)</f>
        <v>150</v>
      </c>
    </row>
    <row r="102">
      <c r="A102" s="178" t="str">
        <f>IFERROR(__xludf.DUMMYFUNCTION("""COMPUTED_VALUE"""),"ITBISA-7SEGMENT-ANODE-RED-0.56-1BIT")</f>
        <v>ITBISA-7SEGMENT-ANODE-RED-0.56-1BIT</v>
      </c>
      <c r="B102" s="266">
        <f>IFERROR(__xludf.DUMMYFUNCTION("""COMPUTED_VALUE"""),45060.0)</f>
        <v>45060</v>
      </c>
      <c r="C102" s="266" t="str">
        <f>IFERROR(__xludf.DUMMYFUNCTION("""COMPUTED_VALUE"""),"KYAI KONTONG")</f>
        <v>KYAI KONTONG</v>
      </c>
      <c r="D102" s="186">
        <f>IFERROR(__xludf.DUMMYFUNCTION("""COMPUTED_VALUE"""),20.0)</f>
        <v>20</v>
      </c>
    </row>
    <row r="103">
      <c r="A103" s="178" t="str">
        <f>IFERROR(__xludf.DUMMYFUNCTION("""COMPUTED_VALUE"""),"ITBISA-7SEGMENT-ANODE-RED-0.56-1BIT")</f>
        <v>ITBISA-7SEGMENT-ANODE-RED-0.56-1BIT</v>
      </c>
      <c r="B103" s="266">
        <f>IFERROR(__xludf.DUMMYFUNCTION("""COMPUTED_VALUE"""),45061.0)</f>
        <v>45061</v>
      </c>
      <c r="C103" s="266" t="str">
        <f>IFERROR(__xludf.DUMMYFUNCTION("""COMPUTED_VALUE"""),"KYAI KONTONG")</f>
        <v>KYAI KONTONG</v>
      </c>
      <c r="D103" s="186">
        <f>IFERROR(__xludf.DUMMYFUNCTION("""COMPUTED_VALUE"""),32.0)</f>
        <v>32</v>
      </c>
    </row>
    <row r="104">
      <c r="A104" s="178" t="str">
        <f>IFERROR(__xludf.DUMMYFUNCTION("""COMPUTED_VALUE"""),"ITBISA-7SEGMENT-ANODE-RED-0.56-1BIT")</f>
        <v>ITBISA-7SEGMENT-ANODE-RED-0.56-1BIT</v>
      </c>
      <c r="B104" s="266">
        <f>IFERROR(__xludf.DUMMYFUNCTION("""COMPUTED_VALUE"""),45061.0)</f>
        <v>45061</v>
      </c>
      <c r="C104" s="266" t="str">
        <f>IFERROR(__xludf.DUMMYFUNCTION("""COMPUTED_VALUE"""),"KYAI KONTONG")</f>
        <v>KYAI KONTONG</v>
      </c>
      <c r="D104" s="186">
        <f>IFERROR(__xludf.DUMMYFUNCTION("""COMPUTED_VALUE"""),60.0)</f>
        <v>60</v>
      </c>
    </row>
    <row r="105">
      <c r="A105" s="178" t="str">
        <f>IFERROR(__xludf.DUMMYFUNCTION("""COMPUTED_VALUE"""),"ITBISA-7SEGMENT-ANODE-RED-0.56-1BIT")</f>
        <v>ITBISA-7SEGMENT-ANODE-RED-0.56-1BIT</v>
      </c>
      <c r="B105" s="266">
        <f>IFERROR(__xludf.DUMMYFUNCTION("""COMPUTED_VALUE"""),45061.0)</f>
        <v>45061</v>
      </c>
      <c r="C105" s="266" t="str">
        <f>IFERROR(__xludf.DUMMYFUNCTION("""COMPUTED_VALUE"""),"KYAI KONTONG")</f>
        <v>KYAI KONTONG</v>
      </c>
      <c r="D105" s="186">
        <f>IFERROR(__xludf.DUMMYFUNCTION("""COMPUTED_VALUE"""),70.0)</f>
        <v>70</v>
      </c>
    </row>
    <row r="106">
      <c r="A106" s="178" t="str">
        <f>IFERROR(__xludf.DUMMYFUNCTION("""COMPUTED_VALUE"""),"ITBISA-7SEGMENT-ANODE-RED-0.56-1BIT")</f>
        <v>ITBISA-7SEGMENT-ANODE-RED-0.56-1BIT</v>
      </c>
      <c r="B106" s="266">
        <f>IFERROR(__xludf.DUMMYFUNCTION("""COMPUTED_VALUE"""),45062.0)</f>
        <v>45062</v>
      </c>
      <c r="C106" s="266" t="str">
        <f>IFERROR(__xludf.DUMMYFUNCTION("""COMPUTED_VALUE"""),"KYAI KONTONG")</f>
        <v>KYAI KONTONG</v>
      </c>
      <c r="D106" s="186">
        <f>IFERROR(__xludf.DUMMYFUNCTION("""COMPUTED_VALUE"""),4.0)</f>
        <v>4</v>
      </c>
    </row>
    <row r="107">
      <c r="A107" s="178" t="str">
        <f>IFERROR(__xludf.DUMMYFUNCTION("""COMPUTED_VALUE"""),"ITBISA-7SEGMENT-ANODE-RED-0.56-1BIT")</f>
        <v>ITBISA-7SEGMENT-ANODE-RED-0.56-1BIT</v>
      </c>
      <c r="B107" s="266">
        <f>IFERROR(__xludf.DUMMYFUNCTION("""COMPUTED_VALUE"""),45062.0)</f>
        <v>45062</v>
      </c>
      <c r="C107" s="266" t="str">
        <f>IFERROR(__xludf.DUMMYFUNCTION("""COMPUTED_VALUE"""),"KYAI KONTONG")</f>
        <v>KYAI KONTONG</v>
      </c>
      <c r="D107" s="186">
        <f>IFERROR(__xludf.DUMMYFUNCTION("""COMPUTED_VALUE"""),300.0)</f>
        <v>300</v>
      </c>
    </row>
    <row r="108">
      <c r="A108" s="178" t="str">
        <f>IFERROR(__xludf.DUMMYFUNCTION("""COMPUTED_VALUE"""),"ITBISA-7SEGMENT-ANODE-RED-0.56-1BIT")</f>
        <v>ITBISA-7SEGMENT-ANODE-RED-0.56-1BIT</v>
      </c>
      <c r="B108" s="266">
        <f>IFERROR(__xludf.DUMMYFUNCTION("""COMPUTED_VALUE"""),45063.0)</f>
        <v>45063</v>
      </c>
      <c r="C108" s="266" t="str">
        <f>IFERROR(__xludf.DUMMYFUNCTION("""COMPUTED_VALUE"""),"KYAI KONTONG")</f>
        <v>KYAI KONTONG</v>
      </c>
      <c r="D108" s="186">
        <f>IFERROR(__xludf.DUMMYFUNCTION("""COMPUTED_VALUE"""),4.0)</f>
        <v>4</v>
      </c>
    </row>
    <row r="109">
      <c r="A109" s="178" t="str">
        <f>IFERROR(__xludf.DUMMYFUNCTION("""COMPUTED_VALUE"""),"ITBISA-7SEGMENT-ANODE-RED-0.56-1BIT")</f>
        <v>ITBISA-7SEGMENT-ANODE-RED-0.56-1BIT</v>
      </c>
      <c r="B109" s="266">
        <f>IFERROR(__xludf.DUMMYFUNCTION("""COMPUTED_VALUE"""),45065.0)</f>
        <v>45065</v>
      </c>
      <c r="C109" s="266" t="str">
        <f>IFERROR(__xludf.DUMMYFUNCTION("""COMPUTED_VALUE"""),"KYAI KONTONG")</f>
        <v>KYAI KONTONG</v>
      </c>
      <c r="D109" s="186">
        <f>IFERROR(__xludf.DUMMYFUNCTION("""COMPUTED_VALUE"""),50.0)</f>
        <v>50</v>
      </c>
    </row>
    <row r="110">
      <c r="A110" s="178" t="str">
        <f>IFERROR(__xludf.DUMMYFUNCTION("""COMPUTED_VALUE"""),"ITBISA-7SEGMENT-ANODE-RED-0.56-1BIT")</f>
        <v>ITBISA-7SEGMENT-ANODE-RED-0.56-1BIT</v>
      </c>
      <c r="B110" s="266">
        <f>IFERROR(__xludf.DUMMYFUNCTION("""COMPUTED_VALUE"""),45068.0)</f>
        <v>45068</v>
      </c>
      <c r="C110" s="266" t="str">
        <f>IFERROR(__xludf.DUMMYFUNCTION("""COMPUTED_VALUE"""),"KYAI KONTONG")</f>
        <v>KYAI KONTONG</v>
      </c>
      <c r="D110" s="186">
        <f>IFERROR(__xludf.DUMMYFUNCTION("""COMPUTED_VALUE"""),4.0)</f>
        <v>4</v>
      </c>
    </row>
    <row r="111">
      <c r="A111" s="178" t="str">
        <f>IFERROR(__xludf.DUMMYFUNCTION("""COMPUTED_VALUE"""),"ITBISA-7SEGMENT-ANODE-RED-0.56-1BIT")</f>
        <v>ITBISA-7SEGMENT-ANODE-RED-0.56-1BIT</v>
      </c>
      <c r="B111" s="266">
        <f>IFERROR(__xludf.DUMMYFUNCTION("""COMPUTED_VALUE"""),45069.0)</f>
        <v>45069</v>
      </c>
      <c r="C111" s="266" t="str">
        <f>IFERROR(__xludf.DUMMYFUNCTION("""COMPUTED_VALUE"""),"KYAI KONTONG")</f>
        <v>KYAI KONTONG</v>
      </c>
      <c r="D111" s="186">
        <f>IFERROR(__xludf.DUMMYFUNCTION("""COMPUTED_VALUE"""),2.0)</f>
        <v>2</v>
      </c>
    </row>
    <row r="112">
      <c r="A112" s="178" t="str">
        <f>IFERROR(__xludf.DUMMYFUNCTION("""COMPUTED_VALUE"""),"ITBISA-7SEGMENT-ANODE-RED-0.56-1BIT")</f>
        <v>ITBISA-7SEGMENT-ANODE-RED-0.56-1BIT</v>
      </c>
      <c r="B112" s="266">
        <f>IFERROR(__xludf.DUMMYFUNCTION("""COMPUTED_VALUE"""),45069.0)</f>
        <v>45069</v>
      </c>
      <c r="C112" s="266" t="str">
        <f>IFERROR(__xludf.DUMMYFUNCTION("""COMPUTED_VALUE"""),"KYAI KONTONG")</f>
        <v>KYAI KONTONG</v>
      </c>
      <c r="D112" s="186">
        <f>IFERROR(__xludf.DUMMYFUNCTION("""COMPUTED_VALUE"""),150.0)</f>
        <v>150</v>
      </c>
    </row>
    <row r="113">
      <c r="A113" s="178" t="str">
        <f>IFERROR(__xludf.DUMMYFUNCTION("""COMPUTED_VALUE"""),"ITBISA-7SEGMENT-ANODE-RED-0.56-1BIT")</f>
        <v>ITBISA-7SEGMENT-ANODE-RED-0.56-1BIT</v>
      </c>
      <c r="B113" s="266">
        <f>IFERROR(__xludf.DUMMYFUNCTION("""COMPUTED_VALUE"""),45075.0)</f>
        <v>45075</v>
      </c>
      <c r="C113" s="266" t="str">
        <f>IFERROR(__xludf.DUMMYFUNCTION("""COMPUTED_VALUE"""),"KYAI KONTONG")</f>
        <v>KYAI KONTONG</v>
      </c>
      <c r="D113" s="186">
        <f>IFERROR(__xludf.DUMMYFUNCTION("""COMPUTED_VALUE"""),25.0)</f>
        <v>25</v>
      </c>
    </row>
    <row r="114">
      <c r="A114" s="178" t="str">
        <f>IFERROR(__xludf.DUMMYFUNCTION("""COMPUTED_VALUE"""),"ITBISA-7SEGMENT-ANODE-RED-0.56-1BIT")</f>
        <v>ITBISA-7SEGMENT-ANODE-RED-0.56-1BIT</v>
      </c>
      <c r="B114" s="266">
        <f>IFERROR(__xludf.DUMMYFUNCTION("""COMPUTED_VALUE"""),45076.0)</f>
        <v>45076</v>
      </c>
      <c r="C114" s="266" t="str">
        <f>IFERROR(__xludf.DUMMYFUNCTION("""COMPUTED_VALUE"""),"KYAI KONTONG")</f>
        <v>KYAI KONTONG</v>
      </c>
      <c r="D114" s="186">
        <f>IFERROR(__xludf.DUMMYFUNCTION("""COMPUTED_VALUE"""),53.0)</f>
        <v>53</v>
      </c>
    </row>
    <row r="115">
      <c r="A115" s="178" t="str">
        <f>IFERROR(__xludf.DUMMYFUNCTION("""COMPUTED_VALUE"""),"ITBISA-7SEGMENT-ANODE-RED-0.56-1BIT")</f>
        <v>ITBISA-7SEGMENT-ANODE-RED-0.56-1BIT</v>
      </c>
      <c r="B115" s="266">
        <f>IFERROR(__xludf.DUMMYFUNCTION("""COMPUTED_VALUE"""),45076.0)</f>
        <v>45076</v>
      </c>
      <c r="C115" s="266" t="str">
        <f>IFERROR(__xludf.DUMMYFUNCTION("""COMPUTED_VALUE"""),"KYAI KONTONG")</f>
        <v>KYAI KONTONG</v>
      </c>
      <c r="D115" s="186">
        <f>IFERROR(__xludf.DUMMYFUNCTION("""COMPUTED_VALUE"""),150.0)</f>
        <v>150</v>
      </c>
    </row>
    <row r="116">
      <c r="A116" s="178" t="str">
        <f>IFERROR(__xludf.DUMMYFUNCTION("""COMPUTED_VALUE"""),"ITBISA-7SEGMENT-ANODE-RED-0.56-1BIT")</f>
        <v>ITBISA-7SEGMENT-ANODE-RED-0.56-1BIT</v>
      </c>
      <c r="B116" s="266">
        <f>IFERROR(__xludf.DUMMYFUNCTION("""COMPUTED_VALUE"""),45076.0)</f>
        <v>45076</v>
      </c>
      <c r="C116" s="266" t="str">
        <f>IFERROR(__xludf.DUMMYFUNCTION("""COMPUTED_VALUE"""),"KYAI KONTONG")</f>
        <v>KYAI KONTONG</v>
      </c>
      <c r="D116" s="186">
        <f>IFERROR(__xludf.DUMMYFUNCTION("""COMPUTED_VALUE"""),450.0)</f>
        <v>450</v>
      </c>
    </row>
    <row r="117">
      <c r="A117" s="178" t="str">
        <f>IFERROR(__xludf.DUMMYFUNCTION("""COMPUTED_VALUE"""),"ITBISA-7SEGMENT-ANODE-RED-0.56-1BIT")</f>
        <v>ITBISA-7SEGMENT-ANODE-RED-0.56-1BIT</v>
      </c>
      <c r="B117" s="266">
        <f>IFERROR(__xludf.DUMMYFUNCTION("""COMPUTED_VALUE"""),45082.0)</f>
        <v>45082</v>
      </c>
      <c r="C117" s="266" t="str">
        <f>IFERROR(__xludf.DUMMYFUNCTION("""COMPUTED_VALUE"""),"KYAI KONTONG")</f>
        <v>KYAI KONTONG</v>
      </c>
      <c r="D117" s="186">
        <f>IFERROR(__xludf.DUMMYFUNCTION("""COMPUTED_VALUE"""),50.0)</f>
        <v>50</v>
      </c>
    </row>
    <row r="118">
      <c r="A118" s="178" t="str">
        <f>IFERROR(__xludf.DUMMYFUNCTION("""COMPUTED_VALUE"""),"ITBISA-7SEGMENT-ANODE-RED-0.56-1BIT")</f>
        <v>ITBISA-7SEGMENT-ANODE-RED-0.56-1BIT</v>
      </c>
      <c r="B118" s="266">
        <f>IFERROR(__xludf.DUMMYFUNCTION("""COMPUTED_VALUE"""),45082.0)</f>
        <v>45082</v>
      </c>
      <c r="C118" s="266" t="str">
        <f>IFERROR(__xludf.DUMMYFUNCTION("""COMPUTED_VALUE"""),"KYAI KONTONG")</f>
        <v>KYAI KONTONG</v>
      </c>
      <c r="D118" s="186">
        <f>IFERROR(__xludf.DUMMYFUNCTION("""COMPUTED_VALUE"""),450.0)</f>
        <v>450</v>
      </c>
    </row>
    <row r="119">
      <c r="A119" s="178" t="str">
        <f>IFERROR(__xludf.DUMMYFUNCTION("""COMPUTED_VALUE"""),"ITBISA-7SEGMENT-ANODE-RED-0.56-1BIT")</f>
        <v>ITBISA-7SEGMENT-ANODE-RED-0.56-1BIT</v>
      </c>
      <c r="B119" s="266">
        <f>IFERROR(__xludf.DUMMYFUNCTION("""COMPUTED_VALUE"""),45083.0)</f>
        <v>45083</v>
      </c>
      <c r="C119" s="266" t="str">
        <f>IFERROR(__xludf.DUMMYFUNCTION("""COMPUTED_VALUE"""),"KYAI KONTONG")</f>
        <v>KYAI KONTONG</v>
      </c>
      <c r="D119" s="186">
        <f>IFERROR(__xludf.DUMMYFUNCTION("""COMPUTED_VALUE"""),300.0)</f>
        <v>300</v>
      </c>
    </row>
    <row r="120">
      <c r="A120" s="178" t="str">
        <f>IFERROR(__xludf.DUMMYFUNCTION("""COMPUTED_VALUE"""),"ITBISA-7SEGMENT-ANODE-RED-0.56-1BIT")</f>
        <v>ITBISA-7SEGMENT-ANODE-RED-0.56-1BIT</v>
      </c>
      <c r="B120" s="266">
        <f>IFERROR(__xludf.DUMMYFUNCTION("""COMPUTED_VALUE"""),45084.0)</f>
        <v>45084</v>
      </c>
      <c r="C120" s="266" t="str">
        <f>IFERROR(__xludf.DUMMYFUNCTION("""COMPUTED_VALUE"""),"KYAI KONTONG")</f>
        <v>KYAI KONTONG</v>
      </c>
      <c r="D120" s="186">
        <f>IFERROR(__xludf.DUMMYFUNCTION("""COMPUTED_VALUE"""),4.0)</f>
        <v>4</v>
      </c>
    </row>
    <row r="121">
      <c r="A121" s="178" t="str">
        <f>IFERROR(__xludf.DUMMYFUNCTION("""COMPUTED_VALUE"""),"ITBISA-7SEGMENT-ANODE-RED-0.56-1BIT")</f>
        <v>ITBISA-7SEGMENT-ANODE-RED-0.56-1BIT</v>
      </c>
      <c r="B121" s="266">
        <f>IFERROR(__xludf.DUMMYFUNCTION("""COMPUTED_VALUE"""),45086.0)</f>
        <v>45086</v>
      </c>
      <c r="C121" s="266" t="str">
        <f>IFERROR(__xludf.DUMMYFUNCTION("""COMPUTED_VALUE"""),"KYAI KONTONG")</f>
        <v>KYAI KONTONG</v>
      </c>
      <c r="D121" s="186">
        <f>IFERROR(__xludf.DUMMYFUNCTION("""COMPUTED_VALUE"""),50.0)</f>
        <v>50</v>
      </c>
    </row>
    <row r="122">
      <c r="A122" s="178" t="str">
        <f>IFERROR(__xludf.DUMMYFUNCTION("""COMPUTED_VALUE"""),"ITBISA-7SEGMENT-ANODE-RED-0.56-1BIT")</f>
        <v>ITBISA-7SEGMENT-ANODE-RED-0.56-1BIT</v>
      </c>
      <c r="B122" s="266">
        <f>IFERROR(__xludf.DUMMYFUNCTION("""COMPUTED_VALUE"""),45088.0)</f>
        <v>45088</v>
      </c>
      <c r="C122" s="266" t="str">
        <f>IFERROR(__xludf.DUMMYFUNCTION("""COMPUTED_VALUE"""),"KYAI KONTONG")</f>
        <v>KYAI KONTONG</v>
      </c>
      <c r="D122" s="186">
        <f>IFERROR(__xludf.DUMMYFUNCTION("""COMPUTED_VALUE"""),10.0)</f>
        <v>10</v>
      </c>
    </row>
    <row r="123">
      <c r="A123" s="178" t="str">
        <f>IFERROR(__xludf.DUMMYFUNCTION("""COMPUTED_VALUE"""),"ITBISA-7SEGMENT-ANODE-RED-0.56-1BIT")</f>
        <v>ITBISA-7SEGMENT-ANODE-RED-0.56-1BIT</v>
      </c>
      <c r="B123" s="266">
        <f>IFERROR(__xludf.DUMMYFUNCTION("""COMPUTED_VALUE"""),45089.0)</f>
        <v>45089</v>
      </c>
      <c r="C123" s="266" t="str">
        <f>IFERROR(__xludf.DUMMYFUNCTION("""COMPUTED_VALUE"""),"KYAI KONTONG")</f>
        <v>KYAI KONTONG</v>
      </c>
      <c r="D123" s="186">
        <f>IFERROR(__xludf.DUMMYFUNCTION("""COMPUTED_VALUE"""),12.0)</f>
        <v>12</v>
      </c>
    </row>
    <row r="124">
      <c r="A124" s="178" t="str">
        <f>IFERROR(__xludf.DUMMYFUNCTION("""COMPUTED_VALUE"""),"ITBISA-7SEGMENT-ANODE-RED-0.56-1BIT")</f>
        <v>ITBISA-7SEGMENT-ANODE-RED-0.56-1BIT</v>
      </c>
      <c r="B124" s="266">
        <f>IFERROR(__xludf.DUMMYFUNCTION("""COMPUTED_VALUE"""),45090.0)</f>
        <v>45090</v>
      </c>
      <c r="C124" s="266" t="str">
        <f>IFERROR(__xludf.DUMMYFUNCTION("""COMPUTED_VALUE"""),"KYAI KONTONG")</f>
        <v>KYAI KONTONG</v>
      </c>
      <c r="D124" s="186">
        <f>IFERROR(__xludf.DUMMYFUNCTION("""COMPUTED_VALUE"""),2.0)</f>
        <v>2</v>
      </c>
    </row>
    <row r="125">
      <c r="A125" s="178" t="str">
        <f>IFERROR(__xludf.DUMMYFUNCTION("""COMPUTED_VALUE"""),"ITBISA-7SEGMENT-ANODE-RED-0.56-1BIT")</f>
        <v>ITBISA-7SEGMENT-ANODE-RED-0.56-1BIT</v>
      </c>
      <c r="B125" s="266">
        <f>IFERROR(__xludf.DUMMYFUNCTION("""COMPUTED_VALUE"""),45094.0)</f>
        <v>45094</v>
      </c>
      <c r="C125" s="266" t="str">
        <f>IFERROR(__xludf.DUMMYFUNCTION("""COMPUTED_VALUE"""),"KYAI KONTONG")</f>
        <v>KYAI KONTONG</v>
      </c>
      <c r="D125" s="186">
        <f>IFERROR(__xludf.DUMMYFUNCTION("""COMPUTED_VALUE"""),20.0)</f>
        <v>20</v>
      </c>
    </row>
    <row r="126">
      <c r="A126" s="178" t="str">
        <f>IFERROR(__xludf.DUMMYFUNCTION("""COMPUTED_VALUE"""),"ITBISA-7SEGMENT-ANODE-RED-0.56-1BIT")</f>
        <v>ITBISA-7SEGMENT-ANODE-RED-0.56-1BIT</v>
      </c>
      <c r="B126" s="266">
        <f>IFERROR(__xludf.DUMMYFUNCTION("""COMPUTED_VALUE"""),45096.0)</f>
        <v>45096</v>
      </c>
      <c r="C126" s="266" t="str">
        <f>IFERROR(__xludf.DUMMYFUNCTION("""COMPUTED_VALUE"""),"KYAI KONTONG")</f>
        <v>KYAI KONTONG</v>
      </c>
      <c r="D126" s="186">
        <f>IFERROR(__xludf.DUMMYFUNCTION("""COMPUTED_VALUE"""),150.0)</f>
        <v>150</v>
      </c>
    </row>
    <row r="127">
      <c r="A127" s="178" t="str">
        <f>IFERROR(__xludf.DUMMYFUNCTION("""COMPUTED_VALUE"""),"ITBISA-7SEGMENT-ANODE-RED-0.56-1BIT")</f>
        <v>ITBISA-7SEGMENT-ANODE-RED-0.56-1BIT</v>
      </c>
      <c r="B127" s="266">
        <f>IFERROR(__xludf.DUMMYFUNCTION("""COMPUTED_VALUE"""),45102.0)</f>
        <v>45102</v>
      </c>
      <c r="C127" s="266" t="str">
        <f>IFERROR(__xludf.DUMMYFUNCTION("""COMPUTED_VALUE"""),"KYAI KONTONG")</f>
        <v>KYAI KONTONG</v>
      </c>
      <c r="D127" s="186">
        <f>IFERROR(__xludf.DUMMYFUNCTION("""COMPUTED_VALUE"""),300.0)</f>
        <v>300</v>
      </c>
    </row>
    <row r="128">
      <c r="A128" s="178" t="str">
        <f>IFERROR(__xludf.DUMMYFUNCTION("""COMPUTED_VALUE"""),"ITBISA-7SEGMENT-ANODE-RED-0.56-1BIT")</f>
        <v>ITBISA-7SEGMENT-ANODE-RED-0.56-1BIT</v>
      </c>
      <c r="B128" s="266">
        <f>IFERROR(__xludf.DUMMYFUNCTION("""COMPUTED_VALUE"""),45104.0)</f>
        <v>45104</v>
      </c>
      <c r="C128" s="266" t="str">
        <f>IFERROR(__xludf.DUMMYFUNCTION("""COMPUTED_VALUE"""),"KYAI KONTONG")</f>
        <v>KYAI KONTONG</v>
      </c>
      <c r="D128" s="186">
        <f>IFERROR(__xludf.DUMMYFUNCTION("""COMPUTED_VALUE"""),150.0)</f>
        <v>150</v>
      </c>
    </row>
    <row r="129">
      <c r="A129" s="178" t="str">
        <f>IFERROR(__xludf.DUMMYFUNCTION("""COMPUTED_VALUE"""),"ITBISA-7SEGMENT-ANODE-RED-0.56-1BIT")</f>
        <v>ITBISA-7SEGMENT-ANODE-RED-0.56-1BIT</v>
      </c>
      <c r="B129" s="266">
        <f>IFERROR(__xludf.DUMMYFUNCTION("""COMPUTED_VALUE"""),45105.0)</f>
        <v>45105</v>
      </c>
      <c r="C129" s="266" t="str">
        <f>IFERROR(__xludf.DUMMYFUNCTION("""COMPUTED_VALUE"""),"KYAI KONTONG")</f>
        <v>KYAI KONTONG</v>
      </c>
      <c r="D129" s="186">
        <f>IFERROR(__xludf.DUMMYFUNCTION("""COMPUTED_VALUE"""),300.0)</f>
        <v>300</v>
      </c>
    </row>
    <row r="130">
      <c r="A130" s="178" t="str">
        <f>IFERROR(__xludf.DUMMYFUNCTION("""COMPUTED_VALUE"""),"ITBISA-7SEGMENT-ANODE-RED-0.56-1BIT")</f>
        <v>ITBISA-7SEGMENT-ANODE-RED-0.56-1BIT</v>
      </c>
      <c r="B130" s="266">
        <f>IFERROR(__xludf.DUMMYFUNCTION("""COMPUTED_VALUE"""),45112.0)</f>
        <v>45112</v>
      </c>
      <c r="C130" s="266" t="str">
        <f>IFERROR(__xludf.DUMMYFUNCTION("""COMPUTED_VALUE"""),"KYAI KONTONG")</f>
        <v>KYAI KONTONG</v>
      </c>
      <c r="D130" s="186">
        <f>IFERROR(__xludf.DUMMYFUNCTION("""COMPUTED_VALUE"""),20.0)</f>
        <v>20</v>
      </c>
    </row>
    <row r="131">
      <c r="A131" s="178" t="str">
        <f>IFERROR(__xludf.DUMMYFUNCTION("""COMPUTED_VALUE"""),"ITBISA-7SEGMENT-ANODE-RED-0.56-1BIT")</f>
        <v>ITBISA-7SEGMENT-ANODE-RED-0.56-1BIT</v>
      </c>
      <c r="B131" s="266">
        <f>IFERROR(__xludf.DUMMYFUNCTION("""COMPUTED_VALUE"""),45112.0)</f>
        <v>45112</v>
      </c>
      <c r="C131" s="266" t="str">
        <f>IFERROR(__xludf.DUMMYFUNCTION("""COMPUTED_VALUE"""),"KYAI KONTONG")</f>
        <v>KYAI KONTONG</v>
      </c>
      <c r="D131" s="186">
        <f>IFERROR(__xludf.DUMMYFUNCTION("""COMPUTED_VALUE"""),150.0)</f>
        <v>150</v>
      </c>
    </row>
    <row r="132">
      <c r="A132" s="178" t="str">
        <f>IFERROR(__xludf.DUMMYFUNCTION("""COMPUTED_VALUE"""),"ITBISA-7SEGMENT-ANODE-RED-0.56-1BIT")</f>
        <v>ITBISA-7SEGMENT-ANODE-RED-0.56-1BIT</v>
      </c>
      <c r="B132" s="266">
        <f>IFERROR(__xludf.DUMMYFUNCTION("""COMPUTED_VALUE"""),45114.0)</f>
        <v>45114</v>
      </c>
      <c r="C132" s="266" t="str">
        <f>IFERROR(__xludf.DUMMYFUNCTION("""COMPUTED_VALUE"""),"KYAI KONTONG")</f>
        <v>KYAI KONTONG</v>
      </c>
      <c r="D132" s="186">
        <f>IFERROR(__xludf.DUMMYFUNCTION("""COMPUTED_VALUE"""),6.0)</f>
        <v>6</v>
      </c>
    </row>
    <row r="133">
      <c r="A133" s="178" t="str">
        <f>IFERROR(__xludf.DUMMYFUNCTION("""COMPUTED_VALUE"""),"ITBISA-7SEGMENT-ANODE-RED-0.56-1BIT")</f>
        <v>ITBISA-7SEGMENT-ANODE-RED-0.56-1BIT</v>
      </c>
      <c r="B133" s="266">
        <f>IFERROR(__xludf.DUMMYFUNCTION("""COMPUTED_VALUE"""),45114.0)</f>
        <v>45114</v>
      </c>
      <c r="C133" s="266" t="str">
        <f>IFERROR(__xludf.DUMMYFUNCTION("""COMPUTED_VALUE"""),"KYAI KONTONG")</f>
        <v>KYAI KONTONG</v>
      </c>
      <c r="D133" s="186">
        <f>IFERROR(__xludf.DUMMYFUNCTION("""COMPUTED_VALUE"""),16.0)</f>
        <v>16</v>
      </c>
    </row>
    <row r="134">
      <c r="A134" s="178" t="str">
        <f>IFERROR(__xludf.DUMMYFUNCTION("""COMPUTED_VALUE"""),"ITBISA-7SEGMENT-ANODE-RED-0.56-1BIT")</f>
        <v>ITBISA-7SEGMENT-ANODE-RED-0.56-1BIT</v>
      </c>
      <c r="B134" s="266">
        <f>IFERROR(__xludf.DUMMYFUNCTION("""COMPUTED_VALUE"""),45114.0)</f>
        <v>45114</v>
      </c>
      <c r="C134" s="266" t="str">
        <f>IFERROR(__xludf.DUMMYFUNCTION("""COMPUTED_VALUE"""),"KYAI KONTONG")</f>
        <v>KYAI KONTONG</v>
      </c>
      <c r="D134" s="186">
        <f>IFERROR(__xludf.DUMMYFUNCTION("""COMPUTED_VALUE"""),30.0)</f>
        <v>30</v>
      </c>
    </row>
    <row r="135">
      <c r="A135" s="178" t="str">
        <f>IFERROR(__xludf.DUMMYFUNCTION("""COMPUTED_VALUE"""),"ITBISA-7SEGMENT-ANODE-RED-0.56-1BIT")</f>
        <v>ITBISA-7SEGMENT-ANODE-RED-0.56-1BIT</v>
      </c>
      <c r="B135" s="266">
        <f>IFERROR(__xludf.DUMMYFUNCTION("""COMPUTED_VALUE"""),45115.0)</f>
        <v>45115</v>
      </c>
      <c r="C135" s="266" t="str">
        <f>IFERROR(__xludf.DUMMYFUNCTION("""COMPUTED_VALUE"""),"KYAI KONTONG")</f>
        <v>KYAI KONTONG</v>
      </c>
      <c r="D135" s="186">
        <f>IFERROR(__xludf.DUMMYFUNCTION("""COMPUTED_VALUE"""),20.0)</f>
        <v>20</v>
      </c>
    </row>
    <row r="136">
      <c r="A136" s="178" t="str">
        <f>IFERROR(__xludf.DUMMYFUNCTION("""COMPUTED_VALUE"""),"ITBISA-7SEGMENT-ANODE-RED-0.56-1BIT")</f>
        <v>ITBISA-7SEGMENT-ANODE-RED-0.56-1BIT</v>
      </c>
      <c r="B136" s="266">
        <f>IFERROR(__xludf.DUMMYFUNCTION("""COMPUTED_VALUE"""),45115.0)</f>
        <v>45115</v>
      </c>
      <c r="C136" s="266" t="str">
        <f>IFERROR(__xludf.DUMMYFUNCTION("""COMPUTED_VALUE"""),"KYAI KONTONG")</f>
        <v>KYAI KONTONG</v>
      </c>
      <c r="D136" s="186">
        <f>IFERROR(__xludf.DUMMYFUNCTION("""COMPUTED_VALUE"""),600.0)</f>
        <v>600</v>
      </c>
    </row>
    <row r="137">
      <c r="A137" s="178" t="str">
        <f>IFERROR(__xludf.DUMMYFUNCTION("""COMPUTED_VALUE"""),"ITBISA-7SEGMENT-ANODE-RED-0.56-1BIT")</f>
        <v>ITBISA-7SEGMENT-ANODE-RED-0.56-1BIT</v>
      </c>
      <c r="B137" s="266">
        <f>IFERROR(__xludf.DUMMYFUNCTION("""COMPUTED_VALUE"""),45116.0)</f>
        <v>45116</v>
      </c>
      <c r="C137" s="266" t="str">
        <f>IFERROR(__xludf.DUMMYFUNCTION("""COMPUTED_VALUE"""),"KYAI KONTONG")</f>
        <v>KYAI KONTONG</v>
      </c>
      <c r="D137" s="186">
        <f>IFERROR(__xludf.DUMMYFUNCTION("""COMPUTED_VALUE"""),30.0)</f>
        <v>30</v>
      </c>
    </row>
    <row r="138">
      <c r="A138" s="178" t="str">
        <f>IFERROR(__xludf.DUMMYFUNCTION("""COMPUTED_VALUE"""),"ITBISA-7SEGMENT-ANODE-RED-0.56-1BIT")</f>
        <v>ITBISA-7SEGMENT-ANODE-RED-0.56-1BIT</v>
      </c>
      <c r="B138" s="266">
        <f>IFERROR(__xludf.DUMMYFUNCTION("""COMPUTED_VALUE"""),45121.0)</f>
        <v>45121</v>
      </c>
      <c r="C138" s="266" t="str">
        <f>IFERROR(__xludf.DUMMYFUNCTION("""COMPUTED_VALUE"""),"KYAI KONTONG")</f>
        <v>KYAI KONTONG</v>
      </c>
      <c r="D138" s="186">
        <f>IFERROR(__xludf.DUMMYFUNCTION("""COMPUTED_VALUE"""),60.0)</f>
        <v>60</v>
      </c>
    </row>
    <row r="139">
      <c r="A139" s="178" t="str">
        <f>IFERROR(__xludf.DUMMYFUNCTION("""COMPUTED_VALUE"""),"ITBISA-7SEGMENT-ANODE-RED-0.56-1BIT")</f>
        <v>ITBISA-7SEGMENT-ANODE-RED-0.56-1BIT</v>
      </c>
      <c r="B139" s="266">
        <f>IFERROR(__xludf.DUMMYFUNCTION("""COMPUTED_VALUE"""),45122.0)</f>
        <v>45122</v>
      </c>
      <c r="C139" s="266" t="str">
        <f>IFERROR(__xludf.DUMMYFUNCTION("""COMPUTED_VALUE"""),"KYAI KONTONG")</f>
        <v>KYAI KONTONG</v>
      </c>
      <c r="D139" s="186">
        <f>IFERROR(__xludf.DUMMYFUNCTION("""COMPUTED_VALUE"""),7.0)</f>
        <v>7</v>
      </c>
    </row>
    <row r="140">
      <c r="A140" s="178" t="str">
        <f>IFERROR(__xludf.DUMMYFUNCTION("""COMPUTED_VALUE"""),"ITBISA-7SEGMENT-ANODE-RED-0.56-1BIT")</f>
        <v>ITBISA-7SEGMENT-ANODE-RED-0.56-1BIT</v>
      </c>
      <c r="B140" s="266">
        <f>IFERROR(__xludf.DUMMYFUNCTION("""COMPUTED_VALUE"""),45122.0)</f>
        <v>45122</v>
      </c>
      <c r="C140" s="266" t="str">
        <f>IFERROR(__xludf.DUMMYFUNCTION("""COMPUTED_VALUE"""),"KYAI KONTONG")</f>
        <v>KYAI KONTONG</v>
      </c>
      <c r="D140" s="186">
        <f>IFERROR(__xludf.DUMMYFUNCTION("""COMPUTED_VALUE"""),73.0)</f>
        <v>73</v>
      </c>
    </row>
    <row r="141">
      <c r="A141" s="178" t="str">
        <f>IFERROR(__xludf.DUMMYFUNCTION("""COMPUTED_VALUE"""),"ITBISA-7SEGMENT-ANODE-RED-0.56-1BIT")</f>
        <v>ITBISA-7SEGMENT-ANODE-RED-0.56-1BIT</v>
      </c>
      <c r="B141" s="266">
        <f>IFERROR(__xludf.DUMMYFUNCTION("""COMPUTED_VALUE"""),45124.0)</f>
        <v>45124</v>
      </c>
      <c r="C141" s="266" t="str">
        <f>IFERROR(__xludf.DUMMYFUNCTION("""COMPUTED_VALUE"""),"KYAI KONTONG")</f>
        <v>KYAI KONTONG</v>
      </c>
      <c r="D141" s="186">
        <f>IFERROR(__xludf.DUMMYFUNCTION("""COMPUTED_VALUE"""),3.0)</f>
        <v>3</v>
      </c>
    </row>
    <row r="142">
      <c r="A142" s="178" t="str">
        <f>IFERROR(__xludf.DUMMYFUNCTION("""COMPUTED_VALUE"""),"ITBISA-7SEGMENT-ANODE-RED-0.56-1BIT")</f>
        <v>ITBISA-7SEGMENT-ANODE-RED-0.56-1BIT</v>
      </c>
      <c r="B142" s="266">
        <f>IFERROR(__xludf.DUMMYFUNCTION("""COMPUTED_VALUE"""),45126.0)</f>
        <v>45126</v>
      </c>
      <c r="C142" s="266" t="str">
        <f>IFERROR(__xludf.DUMMYFUNCTION("""COMPUTED_VALUE"""),"KYAI KONTONG")</f>
        <v>KYAI KONTONG</v>
      </c>
      <c r="D142" s="186">
        <f>IFERROR(__xludf.DUMMYFUNCTION("""COMPUTED_VALUE"""),200.0)</f>
        <v>200</v>
      </c>
    </row>
    <row r="143">
      <c r="A143" s="178" t="str">
        <f>IFERROR(__xludf.DUMMYFUNCTION("""COMPUTED_VALUE"""),"ITBISA-7SEGMENT-ANODE-RED-0.56-1BIT")</f>
        <v>ITBISA-7SEGMENT-ANODE-RED-0.56-1BIT</v>
      </c>
      <c r="B143" s="266">
        <f>IFERROR(__xludf.DUMMYFUNCTION("""COMPUTED_VALUE"""),45140.0)</f>
        <v>45140</v>
      </c>
      <c r="C143" s="266" t="str">
        <f>IFERROR(__xludf.DUMMYFUNCTION("""COMPUTED_VALUE"""),"KYAI KONTONG")</f>
        <v>KYAI KONTONG</v>
      </c>
      <c r="D143" s="186">
        <f>IFERROR(__xludf.DUMMYFUNCTION("""COMPUTED_VALUE"""),20.0)</f>
        <v>20</v>
      </c>
    </row>
    <row r="144">
      <c r="A144" s="178" t="str">
        <f>IFERROR(__xludf.DUMMYFUNCTION("""COMPUTED_VALUE"""),"ITBISA-7SEGMENT-ANODE-RED-0.56-1BIT")</f>
        <v>ITBISA-7SEGMENT-ANODE-RED-0.56-1BIT</v>
      </c>
      <c r="B144" s="266">
        <f>IFERROR(__xludf.DUMMYFUNCTION("""COMPUTED_VALUE"""),45162.0)</f>
        <v>45162</v>
      </c>
      <c r="C144" s="266" t="str">
        <f>IFERROR(__xludf.DUMMYFUNCTION("""COMPUTED_VALUE"""),"KYAI KONTONG")</f>
        <v>KYAI KONTONG</v>
      </c>
      <c r="D144" s="186">
        <f>IFERROR(__xludf.DUMMYFUNCTION("""COMPUTED_VALUE"""),15.0)</f>
        <v>15</v>
      </c>
    </row>
    <row r="145">
      <c r="A145" s="178" t="str">
        <f>IFERROR(__xludf.DUMMYFUNCTION("""COMPUTED_VALUE"""),"ITBISA-7SEGMENT-ANODE-RED-0.56-1BIT")</f>
        <v>ITBISA-7SEGMENT-ANODE-RED-0.56-1BIT</v>
      </c>
      <c r="B145" s="266">
        <f>IFERROR(__xludf.DUMMYFUNCTION("""COMPUTED_VALUE"""),45162.0)</f>
        <v>45162</v>
      </c>
      <c r="C145" s="266" t="str">
        <f>IFERROR(__xludf.DUMMYFUNCTION("""COMPUTED_VALUE"""),"KYAI KONTONG")</f>
        <v>KYAI KONTONG</v>
      </c>
      <c r="D145" s="186">
        <f>IFERROR(__xludf.DUMMYFUNCTION("""COMPUTED_VALUE"""),150.0)</f>
        <v>150</v>
      </c>
    </row>
    <row r="146">
      <c r="A146" s="178" t="str">
        <f>IFERROR(__xludf.DUMMYFUNCTION("""COMPUTED_VALUE"""),"ITBISA-7SEGMENT-ANODE-RED-0.56-1BIT")</f>
        <v>ITBISA-7SEGMENT-ANODE-RED-0.56-1BIT</v>
      </c>
      <c r="B146" s="266">
        <f>IFERROR(__xludf.DUMMYFUNCTION("""COMPUTED_VALUE"""),45166.0)</f>
        <v>45166</v>
      </c>
      <c r="C146" s="266" t="str">
        <f>IFERROR(__xludf.DUMMYFUNCTION("""COMPUTED_VALUE"""),"KYAI KONTONG")</f>
        <v>KYAI KONTONG</v>
      </c>
      <c r="D146" s="186">
        <f>IFERROR(__xludf.DUMMYFUNCTION("""COMPUTED_VALUE"""),64.0)</f>
        <v>64</v>
      </c>
    </row>
    <row r="147">
      <c r="A147" s="178" t="str">
        <f>IFERROR(__xludf.DUMMYFUNCTION("""COMPUTED_VALUE"""),"ITBISA-7SEGMENT-ANODE-RED-0.56-1BIT")</f>
        <v>ITBISA-7SEGMENT-ANODE-RED-0.56-1BIT</v>
      </c>
      <c r="B147" s="266">
        <f>IFERROR(__xludf.DUMMYFUNCTION("""COMPUTED_VALUE"""),45167.0)</f>
        <v>45167</v>
      </c>
      <c r="C147" s="266" t="str">
        <f>IFERROR(__xludf.DUMMYFUNCTION("""COMPUTED_VALUE"""),"KYAI KONTONG")</f>
        <v>KYAI KONTONG</v>
      </c>
      <c r="D147" s="186">
        <f>IFERROR(__xludf.DUMMYFUNCTION("""COMPUTED_VALUE"""),50.0)</f>
        <v>50</v>
      </c>
    </row>
    <row r="148">
      <c r="A148" s="178" t="str">
        <f>IFERROR(__xludf.DUMMYFUNCTION("""COMPUTED_VALUE"""),"ITBISA-7SEGMENT-ANODE-RED-0.56-1BIT")</f>
        <v>ITBISA-7SEGMENT-ANODE-RED-0.56-1BIT</v>
      </c>
      <c r="B148" s="266">
        <f>IFERROR(__xludf.DUMMYFUNCTION("""COMPUTED_VALUE"""),45169.0)</f>
        <v>45169</v>
      </c>
      <c r="C148" s="266" t="str">
        <f>IFERROR(__xludf.DUMMYFUNCTION("""COMPUTED_VALUE"""),"KYAI KONTONG")</f>
        <v>KYAI KONTONG</v>
      </c>
      <c r="D148" s="186">
        <f>IFERROR(__xludf.DUMMYFUNCTION("""COMPUTED_VALUE"""),3.0)</f>
        <v>3</v>
      </c>
    </row>
    <row r="149">
      <c r="A149" s="178" t="str">
        <f>IFERROR(__xludf.DUMMYFUNCTION("""COMPUTED_VALUE"""),"ITBISA-7SEGMENT-ANODE-RED-0.56-1BIT")</f>
        <v>ITBISA-7SEGMENT-ANODE-RED-0.56-1BIT</v>
      </c>
      <c r="B149" s="266">
        <f>IFERROR(__xludf.DUMMYFUNCTION("""COMPUTED_VALUE"""),45170.0)</f>
        <v>45170</v>
      </c>
      <c r="C149" s="266" t="str">
        <f>IFERROR(__xludf.DUMMYFUNCTION("""COMPUTED_VALUE"""),"KYAI KONTONG")</f>
        <v>KYAI KONTONG</v>
      </c>
      <c r="D149" s="186">
        <f>IFERROR(__xludf.DUMMYFUNCTION("""COMPUTED_VALUE"""),20.0)</f>
        <v>20</v>
      </c>
    </row>
    <row r="150">
      <c r="A150" s="178" t="str">
        <f>IFERROR(__xludf.DUMMYFUNCTION("""COMPUTED_VALUE"""),"ITBISA-7SEGMENT-ANODE-RED-0.56-1BIT")</f>
        <v>ITBISA-7SEGMENT-ANODE-RED-0.56-1BIT</v>
      </c>
      <c r="B150" s="266">
        <f>IFERROR(__xludf.DUMMYFUNCTION("""COMPUTED_VALUE"""),45175.0)</f>
        <v>45175</v>
      </c>
      <c r="C150" s="266" t="str">
        <f>IFERROR(__xludf.DUMMYFUNCTION("""COMPUTED_VALUE"""),"KERTASARI CIAMIS")</f>
        <v>KERTASARI CIAMIS</v>
      </c>
      <c r="D150" s="186">
        <f>IFERROR(__xludf.DUMMYFUNCTION("""COMPUTED_VALUE"""),2.0)</f>
        <v>2</v>
      </c>
    </row>
    <row r="151">
      <c r="A151" s="178" t="str">
        <f>IFERROR(__xludf.DUMMYFUNCTION("""COMPUTED_VALUE"""),"ITBISA-7SEGMENT-ANODE-RED-0.56-1BIT")</f>
        <v>ITBISA-7SEGMENT-ANODE-RED-0.56-1BIT</v>
      </c>
      <c r="B151" s="266">
        <f>IFERROR(__xludf.DUMMYFUNCTION("""COMPUTED_VALUE"""),45176.0)</f>
        <v>45176</v>
      </c>
      <c r="C151" s="266" t="str">
        <f>IFERROR(__xludf.DUMMYFUNCTION("""COMPUTED_VALUE"""),"KYAI KONTONG")</f>
        <v>KYAI KONTONG</v>
      </c>
      <c r="D151" s="186">
        <f>IFERROR(__xludf.DUMMYFUNCTION("""COMPUTED_VALUE"""),15.0)</f>
        <v>15</v>
      </c>
    </row>
    <row r="152">
      <c r="A152" s="178" t="str">
        <f>IFERROR(__xludf.DUMMYFUNCTION("""COMPUTED_VALUE"""),"ITBISA-7SEGMENT-ANODE-RED-0.56-1BIT")</f>
        <v>ITBISA-7SEGMENT-ANODE-RED-0.56-1BIT</v>
      </c>
      <c r="B152" s="266">
        <f>IFERROR(__xludf.DUMMYFUNCTION("""COMPUTED_VALUE"""),45176.0)</f>
        <v>45176</v>
      </c>
      <c r="C152" s="266" t="str">
        <f>IFERROR(__xludf.DUMMYFUNCTION("""COMPUTED_VALUE"""),"KYAI KONTONG")</f>
        <v>KYAI KONTONG</v>
      </c>
      <c r="D152" s="186">
        <f>IFERROR(__xludf.DUMMYFUNCTION("""COMPUTED_VALUE"""),17.0)</f>
        <v>17</v>
      </c>
    </row>
    <row r="153">
      <c r="A153" s="178" t="str">
        <f>IFERROR(__xludf.DUMMYFUNCTION("""COMPUTED_VALUE"""),"ITBISA-7SEGMENT-ANODE-RED-0.56-1BIT")</f>
        <v>ITBISA-7SEGMENT-ANODE-RED-0.56-1BIT</v>
      </c>
      <c r="B153" s="266">
        <f>IFERROR(__xludf.DUMMYFUNCTION("""COMPUTED_VALUE"""),45178.0)</f>
        <v>45178</v>
      </c>
      <c r="C153" s="266" t="str">
        <f>IFERROR(__xludf.DUMMYFUNCTION("""COMPUTED_VALUE"""),"KYAI KONTONG")</f>
        <v>KYAI KONTONG</v>
      </c>
      <c r="D153" s="186">
        <f>IFERROR(__xludf.DUMMYFUNCTION("""COMPUTED_VALUE"""),750.0)</f>
        <v>750</v>
      </c>
    </row>
    <row r="154">
      <c r="A154" s="178" t="str">
        <f>IFERROR(__xludf.DUMMYFUNCTION("""COMPUTED_VALUE"""),"ITBISA-7SEGMENT-ANODE-RED-0.56-1BIT")</f>
        <v>ITBISA-7SEGMENT-ANODE-RED-0.56-1BIT</v>
      </c>
      <c r="B154" s="266">
        <f>IFERROR(__xludf.DUMMYFUNCTION("""COMPUTED_VALUE"""),45194.0)</f>
        <v>45194</v>
      </c>
      <c r="C154" s="266" t="str">
        <f>IFERROR(__xludf.DUMMYFUNCTION("""COMPUTED_VALUE"""),"KYAI KONTONG")</f>
        <v>KYAI KONTONG</v>
      </c>
      <c r="D154" s="186">
        <f>IFERROR(__xludf.DUMMYFUNCTION("""COMPUTED_VALUE"""),50.0)</f>
        <v>50</v>
      </c>
    </row>
    <row r="155">
      <c r="A155" s="178" t="str">
        <f>IFERROR(__xludf.DUMMYFUNCTION("""COMPUTED_VALUE"""),"ITBISA-7SEGMENT-ANODE-RED-0.56-1BIT")</f>
        <v>ITBISA-7SEGMENT-ANODE-RED-0.56-1BIT</v>
      </c>
      <c r="B155" s="266">
        <f>IFERROR(__xludf.DUMMYFUNCTION("""COMPUTED_VALUE"""),45195.0)</f>
        <v>45195</v>
      </c>
      <c r="C155" s="266" t="str">
        <f>IFERROR(__xludf.DUMMYFUNCTION("""COMPUTED_VALUE"""),"KYAI KONTONG")</f>
        <v>KYAI KONTONG</v>
      </c>
      <c r="D155" s="186">
        <f>IFERROR(__xludf.DUMMYFUNCTION("""COMPUTED_VALUE"""),26.0)</f>
        <v>26</v>
      </c>
    </row>
    <row r="156">
      <c r="A156" s="178" t="str">
        <f>IFERROR(__xludf.DUMMYFUNCTION("""COMPUTED_VALUE"""),"ITBISA-7SEGMENT-ANODE-RED-0.56-1BIT")</f>
        <v>ITBISA-7SEGMENT-ANODE-RED-0.56-1BIT</v>
      </c>
      <c r="B156" s="266">
        <f>IFERROR(__xludf.DUMMYFUNCTION("""COMPUTED_VALUE"""),45197.0)</f>
        <v>45197</v>
      </c>
      <c r="C156" s="266" t="str">
        <f>IFERROR(__xludf.DUMMYFUNCTION("""COMPUTED_VALUE"""),"KYAI KONTONG")</f>
        <v>KYAI KONTONG</v>
      </c>
      <c r="D156" s="186">
        <f>IFERROR(__xludf.DUMMYFUNCTION("""COMPUTED_VALUE"""),1.0)</f>
        <v>1</v>
      </c>
    </row>
    <row r="157">
      <c r="A157" s="178" t="str">
        <f>IFERROR(__xludf.DUMMYFUNCTION("""COMPUTED_VALUE"""),"ITBISA-7SEGMENT-ANODE-RED-0.56-1BIT")</f>
        <v>ITBISA-7SEGMENT-ANODE-RED-0.56-1BIT</v>
      </c>
      <c r="B157" s="266">
        <f>IFERROR(__xludf.DUMMYFUNCTION("""COMPUTED_VALUE"""),45197.0)</f>
        <v>45197</v>
      </c>
      <c r="C157" s="266" t="str">
        <f>IFERROR(__xludf.DUMMYFUNCTION("""COMPUTED_VALUE"""),"KYAI KONTONG")</f>
        <v>KYAI KONTONG</v>
      </c>
      <c r="D157" s="186">
        <f>IFERROR(__xludf.DUMMYFUNCTION("""COMPUTED_VALUE"""),150.0)</f>
        <v>150</v>
      </c>
    </row>
    <row r="158">
      <c r="A158" s="178" t="str">
        <f>IFERROR(__xludf.DUMMYFUNCTION("""COMPUTED_VALUE"""),"ITBISA-7SEGMENT-ANODE-RED-0.56-1BIT")</f>
        <v>ITBISA-7SEGMENT-ANODE-RED-0.56-1BIT</v>
      </c>
      <c r="B158" s="266">
        <f>IFERROR(__xludf.DUMMYFUNCTION("""COMPUTED_VALUE"""),45202.0)</f>
        <v>45202</v>
      </c>
      <c r="C158" s="266" t="str">
        <f>IFERROR(__xludf.DUMMYFUNCTION("""COMPUTED_VALUE"""),"KERTASARI CIAMIS")</f>
        <v>KERTASARI CIAMIS</v>
      </c>
      <c r="D158" s="186">
        <f>IFERROR(__xludf.DUMMYFUNCTION("""COMPUTED_VALUE"""),200.0)</f>
        <v>200</v>
      </c>
    </row>
    <row r="159">
      <c r="A159" s="178" t="str">
        <f>IFERROR(__xludf.DUMMYFUNCTION("""COMPUTED_VALUE"""),"ITBISA-7SEGMENT-ANODE-RED-0.56-1BIT")</f>
        <v>ITBISA-7SEGMENT-ANODE-RED-0.56-1BIT</v>
      </c>
      <c r="B159" s="266">
        <f>IFERROR(__xludf.DUMMYFUNCTION("""COMPUTED_VALUE"""),45204.0)</f>
        <v>45204</v>
      </c>
      <c r="C159" s="266" t="str">
        <f>IFERROR(__xludf.DUMMYFUNCTION("""COMPUTED_VALUE"""),"KYAI KONTONG")</f>
        <v>KYAI KONTONG</v>
      </c>
      <c r="D159" s="186">
        <f>IFERROR(__xludf.DUMMYFUNCTION("""COMPUTED_VALUE"""),55.0)</f>
        <v>55</v>
      </c>
    </row>
    <row r="160">
      <c r="A160" s="178" t="str">
        <f>IFERROR(__xludf.DUMMYFUNCTION("""COMPUTED_VALUE"""),"ITBISA-7SEGMENT-ANODE-RED-0.56-1BIT")</f>
        <v>ITBISA-7SEGMENT-ANODE-RED-0.56-1BIT</v>
      </c>
      <c r="B160" s="266">
        <f>IFERROR(__xludf.DUMMYFUNCTION("""COMPUTED_VALUE"""),45206.0)</f>
        <v>45206</v>
      </c>
      <c r="C160" s="266" t="str">
        <f>IFERROR(__xludf.DUMMYFUNCTION("""COMPUTED_VALUE"""),"KYAI KONTONG")</f>
        <v>KYAI KONTONG</v>
      </c>
      <c r="D160" s="186">
        <f>IFERROR(__xludf.DUMMYFUNCTION("""COMPUTED_VALUE"""),20.0)</f>
        <v>20</v>
      </c>
    </row>
    <row r="161">
      <c r="A161" s="178" t="str">
        <f>IFERROR(__xludf.DUMMYFUNCTION("""COMPUTED_VALUE"""),"ITBISA-7SEGMENT-ANODE-RED-0.56-1BIT")</f>
        <v>ITBISA-7SEGMENT-ANODE-RED-0.56-1BIT</v>
      </c>
      <c r="B161" s="266">
        <f>IFERROR(__xludf.DUMMYFUNCTION("""COMPUTED_VALUE"""),45209.0)</f>
        <v>45209</v>
      </c>
      <c r="C161" s="266" t="str">
        <f>IFERROR(__xludf.DUMMYFUNCTION("""COMPUTED_VALUE"""),"KYAI KONTONG")</f>
        <v>KYAI KONTONG</v>
      </c>
      <c r="D161" s="186">
        <f>IFERROR(__xludf.DUMMYFUNCTION("""COMPUTED_VALUE"""),24.0)</f>
        <v>24</v>
      </c>
    </row>
    <row r="162">
      <c r="A162" s="178" t="str">
        <f>IFERROR(__xludf.DUMMYFUNCTION("""COMPUTED_VALUE"""),"ITBISA-7SEGMENT-ANODE-RED-0.56-1BIT")</f>
        <v>ITBISA-7SEGMENT-ANODE-RED-0.56-1BIT</v>
      </c>
      <c r="B162" s="266">
        <f>IFERROR(__xludf.DUMMYFUNCTION("""COMPUTED_VALUE"""),45209.0)</f>
        <v>45209</v>
      </c>
      <c r="C162" s="266" t="str">
        <f>IFERROR(__xludf.DUMMYFUNCTION("""COMPUTED_VALUE"""),"KYAI KONTONG")</f>
        <v>KYAI KONTONG</v>
      </c>
      <c r="D162" s="186">
        <f>IFERROR(__xludf.DUMMYFUNCTION("""COMPUTED_VALUE"""),50.0)</f>
        <v>50</v>
      </c>
    </row>
    <row r="163">
      <c r="A163" s="178" t="str">
        <f>IFERROR(__xludf.DUMMYFUNCTION("""COMPUTED_VALUE"""),"ITBISA-7SEGMENT-ANODE-RED-0.56-1BIT")</f>
        <v>ITBISA-7SEGMENT-ANODE-RED-0.56-1BIT</v>
      </c>
      <c r="B163" s="266">
        <f>IFERROR(__xludf.DUMMYFUNCTION("""COMPUTED_VALUE"""),45210.0)</f>
        <v>45210</v>
      </c>
      <c r="C163" s="266" t="str">
        <f>IFERROR(__xludf.DUMMYFUNCTION("""COMPUTED_VALUE"""),"KYAI KONTONG")</f>
        <v>KYAI KONTONG</v>
      </c>
      <c r="D163" s="186">
        <f>IFERROR(__xludf.DUMMYFUNCTION("""COMPUTED_VALUE"""),1.0)</f>
        <v>1</v>
      </c>
    </row>
    <row r="164">
      <c r="A164" s="178" t="str">
        <f>IFERROR(__xludf.DUMMYFUNCTION("""COMPUTED_VALUE"""),"ITBISA-7SEGMENT-ANODE-RED-0.56-1BIT")</f>
        <v>ITBISA-7SEGMENT-ANODE-RED-0.56-1BIT</v>
      </c>
      <c r="B164" s="266">
        <f>IFERROR(__xludf.DUMMYFUNCTION("""COMPUTED_VALUE"""),45212.0)</f>
        <v>45212</v>
      </c>
      <c r="C164" s="266" t="str">
        <f>IFERROR(__xludf.DUMMYFUNCTION("""COMPUTED_VALUE"""),"KYAI KONTONG")</f>
        <v>KYAI KONTONG</v>
      </c>
      <c r="D164" s="186">
        <f>IFERROR(__xludf.DUMMYFUNCTION("""COMPUTED_VALUE"""),2.0)</f>
        <v>2</v>
      </c>
    </row>
    <row r="165">
      <c r="A165" s="178" t="str">
        <f>IFERROR(__xludf.DUMMYFUNCTION("""COMPUTED_VALUE"""),"ITBISA-7SEGMENT-ANODE-RED-0.56-1BIT")</f>
        <v>ITBISA-7SEGMENT-ANODE-RED-0.56-1BIT</v>
      </c>
      <c r="B165" s="266">
        <f>IFERROR(__xludf.DUMMYFUNCTION("""COMPUTED_VALUE"""),45213.0)</f>
        <v>45213</v>
      </c>
      <c r="C165" s="266" t="str">
        <f>IFERROR(__xludf.DUMMYFUNCTION("""COMPUTED_VALUE"""),"KYAI KONTONG")</f>
        <v>KYAI KONTONG</v>
      </c>
      <c r="D165" s="186">
        <f>IFERROR(__xludf.DUMMYFUNCTION("""COMPUTED_VALUE"""),150.0)</f>
        <v>150</v>
      </c>
    </row>
    <row r="166">
      <c r="A166" s="178" t="str">
        <f>IFERROR(__xludf.DUMMYFUNCTION("""COMPUTED_VALUE"""),"ITBISA-7SEGMENT-ANODE-RED-0.56-1BIT")</f>
        <v>ITBISA-7SEGMENT-ANODE-RED-0.56-1BIT</v>
      </c>
      <c r="B166" s="266">
        <f>IFERROR(__xludf.DUMMYFUNCTION("""COMPUTED_VALUE"""),45217.0)</f>
        <v>45217</v>
      </c>
      <c r="C166" s="266" t="str">
        <f>IFERROR(__xludf.DUMMYFUNCTION("""COMPUTED_VALUE"""),"KYAI KONTONG")</f>
        <v>KYAI KONTONG</v>
      </c>
      <c r="D166" s="186">
        <f>IFERROR(__xludf.DUMMYFUNCTION("""COMPUTED_VALUE"""),1.0)</f>
        <v>1</v>
      </c>
    </row>
    <row r="167">
      <c r="A167" s="178" t="str">
        <f>IFERROR(__xludf.DUMMYFUNCTION("""COMPUTED_VALUE"""),"ITBISA-7SEGMENT-ANODE-RED-0.56-1BIT")</f>
        <v>ITBISA-7SEGMENT-ANODE-RED-0.56-1BIT</v>
      </c>
      <c r="B167" s="266">
        <f>IFERROR(__xludf.DUMMYFUNCTION("""COMPUTED_VALUE"""),45217.0)</f>
        <v>45217</v>
      </c>
      <c r="C167" s="266" t="str">
        <f>IFERROR(__xludf.DUMMYFUNCTION("""COMPUTED_VALUE"""),"KYAI KONTONG")</f>
        <v>KYAI KONTONG</v>
      </c>
      <c r="D167" s="186">
        <f>IFERROR(__xludf.DUMMYFUNCTION("""COMPUTED_VALUE"""),55.0)</f>
        <v>55</v>
      </c>
    </row>
    <row r="168">
      <c r="A168" s="178" t="str">
        <f>IFERROR(__xludf.DUMMYFUNCTION("""COMPUTED_VALUE"""),"ITBISA-7SEGMENT-ANODE-RED-0.56-1BIT")</f>
        <v>ITBISA-7SEGMENT-ANODE-RED-0.56-1BIT</v>
      </c>
      <c r="B168" s="266">
        <f>IFERROR(__xludf.DUMMYFUNCTION("""COMPUTED_VALUE"""),45224.0)</f>
        <v>45224</v>
      </c>
      <c r="C168" s="266" t="str">
        <f>IFERROR(__xludf.DUMMYFUNCTION("""COMPUTED_VALUE"""),"KYAI KONTONG")</f>
        <v>KYAI KONTONG</v>
      </c>
      <c r="D168" s="186">
        <f>IFERROR(__xludf.DUMMYFUNCTION("""COMPUTED_VALUE"""),30.0)</f>
        <v>30</v>
      </c>
    </row>
    <row r="169">
      <c r="A169" s="178" t="str">
        <f>IFERROR(__xludf.DUMMYFUNCTION("""COMPUTED_VALUE"""),"ITBISA-7SEGMENT-ANODE-RED-0.56-1BIT")</f>
        <v>ITBISA-7SEGMENT-ANODE-RED-0.56-1BIT</v>
      </c>
      <c r="B169" s="266">
        <f>IFERROR(__xludf.DUMMYFUNCTION("""COMPUTED_VALUE"""),45224.0)</f>
        <v>45224</v>
      </c>
      <c r="C169" s="266" t="str">
        <f>IFERROR(__xludf.DUMMYFUNCTION("""COMPUTED_VALUE"""),"KYAI KONTONG")</f>
        <v>KYAI KONTONG</v>
      </c>
      <c r="D169" s="186">
        <f>IFERROR(__xludf.DUMMYFUNCTION("""COMPUTED_VALUE"""),50.0)</f>
        <v>50</v>
      </c>
    </row>
    <row r="170">
      <c r="A170" s="178" t="str">
        <f>IFERROR(__xludf.DUMMYFUNCTION("""COMPUTED_VALUE"""),"ITBISA-7SEGMENT-ANODE-RED-0.56-1BIT")</f>
        <v>ITBISA-7SEGMENT-ANODE-RED-0.56-1BIT</v>
      </c>
      <c r="B170" s="266">
        <f>IFERROR(__xludf.DUMMYFUNCTION("""COMPUTED_VALUE"""),45225.0)</f>
        <v>45225</v>
      </c>
      <c r="C170" s="266" t="str">
        <f>IFERROR(__xludf.DUMMYFUNCTION("""COMPUTED_VALUE"""),"KERTASARI CIAMIS")</f>
        <v>KERTASARI CIAMIS</v>
      </c>
      <c r="D170" s="186">
        <f>IFERROR(__xludf.DUMMYFUNCTION("""COMPUTED_VALUE"""),200.0)</f>
        <v>200</v>
      </c>
    </row>
    <row r="171">
      <c r="A171" s="178" t="str">
        <f>IFERROR(__xludf.DUMMYFUNCTION("""COMPUTED_VALUE"""),"ITBISA-7SEGMENT-ANODE-RED-0.56-1BIT")</f>
        <v>ITBISA-7SEGMENT-ANODE-RED-0.56-1BIT</v>
      </c>
      <c r="B171" s="266">
        <f>IFERROR(__xludf.DUMMYFUNCTION("""COMPUTED_VALUE"""),45225.0)</f>
        <v>45225</v>
      </c>
      <c r="C171" s="266" t="str">
        <f>IFERROR(__xludf.DUMMYFUNCTION("""COMPUTED_VALUE"""),"KYAI KONTONG")</f>
        <v>KYAI KONTONG</v>
      </c>
      <c r="D171" s="186">
        <f>IFERROR(__xludf.DUMMYFUNCTION("""COMPUTED_VALUE"""),10.0)</f>
        <v>10</v>
      </c>
    </row>
    <row r="172">
      <c r="A172" s="178" t="str">
        <f>IFERROR(__xludf.DUMMYFUNCTION("""COMPUTED_VALUE"""),"ITBISA-7SEGMENT-ANODE-RED-0.56-1BIT")</f>
        <v>ITBISA-7SEGMENT-ANODE-RED-0.56-1BIT</v>
      </c>
      <c r="B172" s="266">
        <f>IFERROR(__xludf.DUMMYFUNCTION("""COMPUTED_VALUE"""),45229.0)</f>
        <v>45229</v>
      </c>
      <c r="C172" s="266" t="str">
        <f>IFERROR(__xludf.DUMMYFUNCTION("""COMPUTED_VALUE"""),"KYAI KONTONG")</f>
        <v>KYAI KONTONG</v>
      </c>
      <c r="D172" s="186">
        <f>IFERROR(__xludf.DUMMYFUNCTION("""COMPUTED_VALUE"""),2.0)</f>
        <v>2</v>
      </c>
    </row>
    <row r="173">
      <c r="A173" s="178" t="str">
        <f>IFERROR(__xludf.DUMMYFUNCTION("""COMPUTED_VALUE"""),"ITBISA-7SEGMENT-ANODE-RED-0.56-1BIT")</f>
        <v>ITBISA-7SEGMENT-ANODE-RED-0.56-1BIT</v>
      </c>
      <c r="B173" s="266">
        <f>IFERROR(__xludf.DUMMYFUNCTION("""COMPUTED_VALUE"""),45229.0)</f>
        <v>45229</v>
      </c>
      <c r="C173" s="266" t="str">
        <f>IFERROR(__xludf.DUMMYFUNCTION("""COMPUTED_VALUE"""),"KYAI KONTONG")</f>
        <v>KYAI KONTONG</v>
      </c>
      <c r="D173" s="186">
        <f>IFERROR(__xludf.DUMMYFUNCTION("""COMPUTED_VALUE"""),2.0)</f>
        <v>2</v>
      </c>
    </row>
    <row r="174">
      <c r="A174" s="178" t="str">
        <f>IFERROR(__xludf.DUMMYFUNCTION("""COMPUTED_VALUE"""),"ITBISA-7SEGMENT-ANODE-RED-0.56-1BIT")</f>
        <v>ITBISA-7SEGMENT-ANODE-RED-0.56-1BIT</v>
      </c>
      <c r="B174" s="266">
        <f>IFERROR(__xludf.DUMMYFUNCTION("""COMPUTED_VALUE"""),45231.0)</f>
        <v>45231</v>
      </c>
      <c r="C174" s="266" t="str">
        <f>IFERROR(__xludf.DUMMYFUNCTION("""COMPUTED_VALUE"""),"KERTASARI CIAMIS")</f>
        <v>KERTASARI CIAMIS</v>
      </c>
      <c r="D174" s="186">
        <f>IFERROR(__xludf.DUMMYFUNCTION("""COMPUTED_VALUE"""),50.0)</f>
        <v>50</v>
      </c>
    </row>
    <row r="175">
      <c r="A175" s="178" t="str">
        <f>IFERROR(__xludf.DUMMYFUNCTION("""COMPUTED_VALUE"""),"ITBISA-7SEGMENT-ANODE-RED-0.56-1BIT")</f>
        <v>ITBISA-7SEGMENT-ANODE-RED-0.56-1BIT</v>
      </c>
      <c r="B175" s="266">
        <f>IFERROR(__xludf.DUMMYFUNCTION("""COMPUTED_VALUE"""),45233.0)</f>
        <v>45233</v>
      </c>
      <c r="C175" s="266" t="str">
        <f>IFERROR(__xludf.DUMMYFUNCTION("""COMPUTED_VALUE"""),"KERTASARI CIAMIS")</f>
        <v>KERTASARI CIAMIS</v>
      </c>
      <c r="D175" s="186">
        <f>IFERROR(__xludf.DUMMYFUNCTION("""COMPUTED_VALUE"""),200.0)</f>
        <v>200</v>
      </c>
    </row>
    <row r="176">
      <c r="A176" s="178" t="str">
        <f>IFERROR(__xludf.DUMMYFUNCTION("""COMPUTED_VALUE"""),"ITBISA-7SEGMENT-ANODE-RED-0.56-1BIT")</f>
        <v>ITBISA-7SEGMENT-ANODE-RED-0.56-1BIT</v>
      </c>
      <c r="B176" s="266">
        <f>IFERROR(__xludf.DUMMYFUNCTION("""COMPUTED_VALUE"""),45235.0)</f>
        <v>45235</v>
      </c>
      <c r="C176" s="266" t="str">
        <f>IFERROR(__xludf.DUMMYFUNCTION("""COMPUTED_VALUE"""),"KYAI KONTONG")</f>
        <v>KYAI KONTONG</v>
      </c>
      <c r="D176" s="186">
        <f>IFERROR(__xludf.DUMMYFUNCTION("""COMPUTED_VALUE"""),5.0)</f>
        <v>5</v>
      </c>
    </row>
    <row r="177">
      <c r="A177" s="178" t="str">
        <f>IFERROR(__xludf.DUMMYFUNCTION("""COMPUTED_VALUE"""),"ITBISA-7SEGMENT-ANODE-RED-0.56-1BIT")</f>
        <v>ITBISA-7SEGMENT-ANODE-RED-0.56-1BIT</v>
      </c>
      <c r="B177" s="266">
        <f>IFERROR(__xludf.DUMMYFUNCTION("""COMPUTED_VALUE"""),45236.0)</f>
        <v>45236</v>
      </c>
      <c r="C177" s="266" t="str">
        <f>IFERROR(__xludf.DUMMYFUNCTION("""COMPUTED_VALUE"""),"KYAI KONTONG")</f>
        <v>KYAI KONTONG</v>
      </c>
      <c r="D177" s="186">
        <f>IFERROR(__xludf.DUMMYFUNCTION("""COMPUTED_VALUE"""),200.0)</f>
        <v>200</v>
      </c>
    </row>
    <row r="178">
      <c r="A178" s="178" t="str">
        <f>IFERROR(__xludf.DUMMYFUNCTION("""COMPUTED_VALUE"""),"ITBISA-7SEGMENT-ANODE-RED-0.56-1BIT")</f>
        <v>ITBISA-7SEGMENT-ANODE-RED-0.56-1BIT</v>
      </c>
      <c r="B178" s="266">
        <f>IFERROR(__xludf.DUMMYFUNCTION("""COMPUTED_VALUE"""),45237.0)</f>
        <v>45237</v>
      </c>
      <c r="C178" s="266" t="str">
        <f>IFERROR(__xludf.DUMMYFUNCTION("""COMPUTED_VALUE"""),"KERTASARI CIAMIS")</f>
        <v>KERTASARI CIAMIS</v>
      </c>
      <c r="D178" s="186">
        <f>IFERROR(__xludf.DUMMYFUNCTION("""COMPUTED_VALUE"""),300.0)</f>
        <v>300</v>
      </c>
    </row>
    <row r="179">
      <c r="A179" s="178" t="str">
        <f>IFERROR(__xludf.DUMMYFUNCTION("""COMPUTED_VALUE"""),"ITBISA-7SEGMENT-ANODE-RED-0.56-1BIT")</f>
        <v>ITBISA-7SEGMENT-ANODE-RED-0.56-1BIT</v>
      </c>
      <c r="B179" s="266">
        <f>IFERROR(__xludf.DUMMYFUNCTION("""COMPUTED_VALUE"""),45238.0)</f>
        <v>45238</v>
      </c>
      <c r="C179" s="266" t="str">
        <f>IFERROR(__xludf.DUMMYFUNCTION("""COMPUTED_VALUE"""),"KYAI KONTONG")</f>
        <v>KYAI KONTONG</v>
      </c>
      <c r="D179" s="186">
        <f>IFERROR(__xludf.DUMMYFUNCTION("""COMPUTED_VALUE"""),15.0)</f>
        <v>15</v>
      </c>
    </row>
    <row r="180">
      <c r="A180" s="178" t="str">
        <f>IFERROR(__xludf.DUMMYFUNCTION("""COMPUTED_VALUE"""),"ITBISA-7SEGMENT-ANODE-RED-0.56-1BIT")</f>
        <v>ITBISA-7SEGMENT-ANODE-RED-0.56-1BIT</v>
      </c>
      <c r="B180" s="266">
        <f>IFERROR(__xludf.DUMMYFUNCTION("""COMPUTED_VALUE"""),45239.0)</f>
        <v>45239</v>
      </c>
      <c r="C180" s="266" t="str">
        <f>IFERROR(__xludf.DUMMYFUNCTION("""COMPUTED_VALUE"""),"KERTASARI CIAMIS")</f>
        <v>KERTASARI CIAMIS</v>
      </c>
      <c r="D180" s="186">
        <f>IFERROR(__xludf.DUMMYFUNCTION("""COMPUTED_VALUE"""),50.0)</f>
        <v>50</v>
      </c>
    </row>
    <row r="181">
      <c r="A181" s="178" t="str">
        <f>IFERROR(__xludf.DUMMYFUNCTION("""COMPUTED_VALUE"""),"ITBISA-7SEGMENT-ANODE-RED-0.56-1BIT")</f>
        <v>ITBISA-7SEGMENT-ANODE-RED-0.56-1BIT</v>
      </c>
      <c r="B181" s="266">
        <f>IFERROR(__xludf.DUMMYFUNCTION("""COMPUTED_VALUE"""),45243.0)</f>
        <v>45243</v>
      </c>
      <c r="C181" s="266" t="str">
        <f>IFERROR(__xludf.DUMMYFUNCTION("""COMPUTED_VALUE"""),"KERTASARI CIAMIS")</f>
        <v>KERTASARI CIAMIS</v>
      </c>
      <c r="D181" s="186">
        <f>IFERROR(__xludf.DUMMYFUNCTION("""COMPUTED_VALUE"""),200.0)</f>
        <v>200</v>
      </c>
    </row>
    <row r="182">
      <c r="A182" s="178" t="str">
        <f>IFERROR(__xludf.DUMMYFUNCTION("""COMPUTED_VALUE"""),"ITBISA-7SEGMENT-ANODE-RED-0.56-1BIT")</f>
        <v>ITBISA-7SEGMENT-ANODE-RED-0.56-1BIT</v>
      </c>
      <c r="B182" s="266">
        <f>IFERROR(__xludf.DUMMYFUNCTION("""COMPUTED_VALUE"""),45245.0)</f>
        <v>45245</v>
      </c>
      <c r="C182" s="266" t="str">
        <f>IFERROR(__xludf.DUMMYFUNCTION("""COMPUTED_VALUE"""),"KYAI KONTONG")</f>
        <v>KYAI KONTONG</v>
      </c>
      <c r="D182" s="186">
        <f>IFERROR(__xludf.DUMMYFUNCTION("""COMPUTED_VALUE"""),100.0)</f>
        <v>100</v>
      </c>
    </row>
    <row r="183">
      <c r="A183" s="178" t="str">
        <f>IFERROR(__xludf.DUMMYFUNCTION("""COMPUTED_VALUE"""),"ITBISA-7SEGMENT-ANODE-RED-0.56-1BIT")</f>
        <v>ITBISA-7SEGMENT-ANODE-RED-0.56-1BIT</v>
      </c>
      <c r="B183" s="266">
        <f>IFERROR(__xludf.DUMMYFUNCTION("""COMPUTED_VALUE"""),45248.0)</f>
        <v>45248</v>
      </c>
      <c r="C183" s="266" t="str">
        <f>IFERROR(__xludf.DUMMYFUNCTION("""COMPUTED_VALUE"""),"KYAI KONTONG")</f>
        <v>KYAI KONTONG</v>
      </c>
      <c r="D183" s="186">
        <f>IFERROR(__xludf.DUMMYFUNCTION("""COMPUTED_VALUE"""),1.0)</f>
        <v>1</v>
      </c>
    </row>
    <row r="184">
      <c r="A184" s="178" t="str">
        <f>IFERROR(__xludf.DUMMYFUNCTION("""COMPUTED_VALUE"""),"ITBISA-7SEGMENT-ANODE-RED-0.56-1BIT")</f>
        <v>ITBISA-7SEGMENT-ANODE-RED-0.56-1BIT</v>
      </c>
      <c r="B184" s="266">
        <f>IFERROR(__xludf.DUMMYFUNCTION("""COMPUTED_VALUE"""),45252.0)</f>
        <v>45252</v>
      </c>
      <c r="C184" s="266" t="str">
        <f>IFERROR(__xludf.DUMMYFUNCTION("""COMPUTED_VALUE"""),"KYAI KONTONG")</f>
        <v>KYAI KONTONG</v>
      </c>
      <c r="D184" s="186">
        <f>IFERROR(__xludf.DUMMYFUNCTION("""COMPUTED_VALUE"""),90.0)</f>
        <v>90</v>
      </c>
    </row>
    <row r="185">
      <c r="A185" s="178" t="str">
        <f>IFERROR(__xludf.DUMMYFUNCTION("""COMPUTED_VALUE"""),"ITBISA-7SEGMENT-ANODE-RED-0.56-1BIT")</f>
        <v>ITBISA-7SEGMENT-ANODE-RED-0.56-1BIT</v>
      </c>
      <c r="B185" s="266">
        <f>IFERROR(__xludf.DUMMYFUNCTION("""COMPUTED_VALUE"""),45253.0)</f>
        <v>45253</v>
      </c>
      <c r="C185" s="266" t="str">
        <f>IFERROR(__xludf.DUMMYFUNCTION("""COMPUTED_VALUE"""),"KYAI KONTONG")</f>
        <v>KYAI KONTONG</v>
      </c>
      <c r="D185" s="186">
        <f>IFERROR(__xludf.DUMMYFUNCTION("""COMPUTED_VALUE"""),60.0)</f>
        <v>60</v>
      </c>
    </row>
    <row r="186">
      <c r="A186" s="178" t="str">
        <f>IFERROR(__xludf.DUMMYFUNCTION("""COMPUTED_VALUE"""),"ITBISA-7SEGMENT-ANODE-RED-0.56-1BIT")</f>
        <v>ITBISA-7SEGMENT-ANODE-RED-0.56-1BIT</v>
      </c>
      <c r="B186" s="266">
        <f>IFERROR(__xludf.DUMMYFUNCTION("""COMPUTED_VALUE"""),45257.0)</f>
        <v>45257</v>
      </c>
      <c r="C186" s="266" t="str">
        <f>IFERROR(__xludf.DUMMYFUNCTION("""COMPUTED_VALUE"""),"KYAI KONTONG")</f>
        <v>KYAI KONTONG</v>
      </c>
      <c r="D186" s="186">
        <f>IFERROR(__xludf.DUMMYFUNCTION("""COMPUTED_VALUE"""),50.0)</f>
        <v>50</v>
      </c>
    </row>
    <row r="187">
      <c r="A187" s="178" t="str">
        <f>IFERROR(__xludf.DUMMYFUNCTION("""COMPUTED_VALUE"""),"ITBISA-7SEGMENT-ANODE-RED-0.56-1BIT")</f>
        <v>ITBISA-7SEGMENT-ANODE-RED-0.56-1BIT</v>
      </c>
      <c r="B187" s="266">
        <f>IFERROR(__xludf.DUMMYFUNCTION("""COMPUTED_VALUE"""),45263.0)</f>
        <v>45263</v>
      </c>
      <c r="C187" s="266" t="str">
        <f>IFERROR(__xludf.DUMMYFUNCTION("""COMPUTED_VALUE"""),"KYAI KONTONG")</f>
        <v>KYAI KONTONG</v>
      </c>
      <c r="D187" s="186">
        <f>IFERROR(__xludf.DUMMYFUNCTION("""COMPUTED_VALUE"""),10.0)</f>
        <v>10</v>
      </c>
    </row>
    <row r="188">
      <c r="A188" s="178" t="str">
        <f>IFERROR(__xludf.DUMMYFUNCTION("""COMPUTED_VALUE"""),"ITBISA-7SEGMENT-ANODE-RED-0.56-1BIT")</f>
        <v>ITBISA-7SEGMENT-ANODE-RED-0.56-1BIT</v>
      </c>
      <c r="B188" s="266">
        <f>IFERROR(__xludf.DUMMYFUNCTION("""COMPUTED_VALUE"""),45266.0)</f>
        <v>45266</v>
      </c>
      <c r="C188" s="266" t="str">
        <f>IFERROR(__xludf.DUMMYFUNCTION("""COMPUTED_VALUE"""),"KERTASARI CIAMIS")</f>
        <v>KERTASARI CIAMIS</v>
      </c>
      <c r="D188" s="186">
        <f>IFERROR(__xludf.DUMMYFUNCTION("""COMPUTED_VALUE"""),30.0)</f>
        <v>30</v>
      </c>
    </row>
    <row r="189">
      <c r="A189" s="178" t="str">
        <f>IFERROR(__xludf.DUMMYFUNCTION("""COMPUTED_VALUE"""),"ITBISA-7SEGMENT-ANODE-RED-0.56-1BIT")</f>
        <v>ITBISA-7SEGMENT-ANODE-RED-0.56-1BIT</v>
      </c>
      <c r="B189" s="266">
        <f>IFERROR(__xludf.DUMMYFUNCTION("""COMPUTED_VALUE"""),45266.0)</f>
        <v>45266</v>
      </c>
      <c r="C189" s="266" t="str">
        <f>IFERROR(__xludf.DUMMYFUNCTION("""COMPUTED_VALUE"""),"KYAI KONTONG")</f>
        <v>KYAI KONTONG</v>
      </c>
      <c r="D189" s="186">
        <f>IFERROR(__xludf.DUMMYFUNCTION("""COMPUTED_VALUE"""),3.0)</f>
        <v>3</v>
      </c>
    </row>
    <row r="190">
      <c r="A190" s="178" t="str">
        <f>IFERROR(__xludf.DUMMYFUNCTION("""COMPUTED_VALUE"""),"ITBISA-7SEGMENT-ANODE-RED-0.56-1BIT")</f>
        <v>ITBISA-7SEGMENT-ANODE-RED-0.56-1BIT</v>
      </c>
      <c r="B190" s="266">
        <f>IFERROR(__xludf.DUMMYFUNCTION("""COMPUTED_VALUE"""),45266.0)</f>
        <v>45266</v>
      </c>
      <c r="C190" s="266" t="str">
        <f>IFERROR(__xludf.DUMMYFUNCTION("""COMPUTED_VALUE"""),"KYAI KONTONG")</f>
        <v>KYAI KONTONG</v>
      </c>
      <c r="D190" s="186">
        <f>IFERROR(__xludf.DUMMYFUNCTION("""COMPUTED_VALUE"""),4.0)</f>
        <v>4</v>
      </c>
    </row>
    <row r="191">
      <c r="A191" s="178" t="str">
        <f>IFERROR(__xludf.DUMMYFUNCTION("""COMPUTED_VALUE"""),"ITBISA-7SEGMENT-ANODE-RED-0.56-1BIT")</f>
        <v>ITBISA-7SEGMENT-ANODE-RED-0.56-1BIT</v>
      </c>
      <c r="B191" s="266">
        <f>IFERROR(__xludf.DUMMYFUNCTION("""COMPUTED_VALUE"""),45268.0)</f>
        <v>45268</v>
      </c>
      <c r="C191" s="266" t="str">
        <f>IFERROR(__xludf.DUMMYFUNCTION("""COMPUTED_VALUE"""),"KERTASARI CIAMIS")</f>
        <v>KERTASARI CIAMIS</v>
      </c>
      <c r="D191" s="186">
        <f>IFERROR(__xludf.DUMMYFUNCTION("""COMPUTED_VALUE"""),8.0)</f>
        <v>8</v>
      </c>
    </row>
    <row r="192">
      <c r="A192" s="178" t="str">
        <f>IFERROR(__xludf.DUMMYFUNCTION("""COMPUTED_VALUE"""),"ITBISA-7SEGMENT-ANODE-RED-0.56-1BIT")</f>
        <v>ITBISA-7SEGMENT-ANODE-RED-0.56-1BIT</v>
      </c>
      <c r="B192" s="266">
        <f>IFERROR(__xludf.DUMMYFUNCTION("""COMPUTED_VALUE"""),45270.0)</f>
        <v>45270</v>
      </c>
      <c r="C192" s="266" t="str">
        <f>IFERROR(__xludf.DUMMYFUNCTION("""COMPUTED_VALUE"""),"KYAI KONTONG")</f>
        <v>KYAI KONTONG</v>
      </c>
      <c r="D192" s="186">
        <f>IFERROR(__xludf.DUMMYFUNCTION("""COMPUTED_VALUE"""),4.0)</f>
        <v>4</v>
      </c>
    </row>
    <row r="193">
      <c r="A193" s="178" t="str">
        <f>IFERROR(__xludf.DUMMYFUNCTION("""COMPUTED_VALUE"""),"ITBISA-7SEGMENT-ANODE-RED-0.56-1BIT")</f>
        <v>ITBISA-7SEGMENT-ANODE-RED-0.56-1BIT</v>
      </c>
      <c r="B193" s="266">
        <f>IFERROR(__xludf.DUMMYFUNCTION("""COMPUTED_VALUE"""),45271.0)</f>
        <v>45271</v>
      </c>
      <c r="C193" s="266" t="str">
        <f>IFERROR(__xludf.DUMMYFUNCTION("""COMPUTED_VALUE"""),"KYAI KONTONG")</f>
        <v>KYAI KONTONG</v>
      </c>
      <c r="D193" s="186">
        <f>IFERROR(__xludf.DUMMYFUNCTION("""COMPUTED_VALUE"""),12.0)</f>
        <v>12</v>
      </c>
    </row>
    <row r="194">
      <c r="A194" s="178" t="str">
        <f>IFERROR(__xludf.DUMMYFUNCTION("""COMPUTED_VALUE"""),"ITBISA-7SEGMENT-ANODE-RED-0.56-1BIT")</f>
        <v>ITBISA-7SEGMENT-ANODE-RED-0.56-1BIT</v>
      </c>
      <c r="B194" s="266">
        <f>IFERROR(__xludf.DUMMYFUNCTION("""COMPUTED_VALUE"""),45271.0)</f>
        <v>45271</v>
      </c>
      <c r="C194" s="266" t="str">
        <f>IFERROR(__xludf.DUMMYFUNCTION("""COMPUTED_VALUE"""),"KYAI KONTONG")</f>
        <v>KYAI KONTONG</v>
      </c>
      <c r="D194" s="186">
        <f>IFERROR(__xludf.DUMMYFUNCTION("""COMPUTED_VALUE"""),25.0)</f>
        <v>25</v>
      </c>
    </row>
    <row r="195">
      <c r="A195" s="178" t="str">
        <f>IFERROR(__xludf.DUMMYFUNCTION("""COMPUTED_VALUE"""),"ITBISA-7SEGMENT-ANODE-RED-0.56-1BIT")</f>
        <v>ITBISA-7SEGMENT-ANODE-RED-0.56-1BIT</v>
      </c>
      <c r="B195" s="266">
        <f>IFERROR(__xludf.DUMMYFUNCTION("""COMPUTED_VALUE"""),45272.0)</f>
        <v>45272</v>
      </c>
      <c r="C195" s="266" t="str">
        <f>IFERROR(__xludf.DUMMYFUNCTION("""COMPUTED_VALUE"""),"KERTASARI CIAMIS")</f>
        <v>KERTASARI CIAMIS</v>
      </c>
      <c r="D195" s="186">
        <f>IFERROR(__xludf.DUMMYFUNCTION("""COMPUTED_VALUE"""),200.0)</f>
        <v>200</v>
      </c>
    </row>
    <row r="196">
      <c r="A196" s="178" t="str">
        <f>IFERROR(__xludf.DUMMYFUNCTION("""COMPUTED_VALUE"""),"ITBISA-7SEGMENT-ANODE-RED-0.56-1BIT")</f>
        <v>ITBISA-7SEGMENT-ANODE-RED-0.56-1BIT</v>
      </c>
      <c r="B196" s="266">
        <f>IFERROR(__xludf.DUMMYFUNCTION("""COMPUTED_VALUE"""),45279.0)</f>
        <v>45279</v>
      </c>
      <c r="C196" s="266" t="str">
        <f>IFERROR(__xludf.DUMMYFUNCTION("""COMPUTED_VALUE"""),"KERTASARI CIAMIS")</f>
        <v>KERTASARI CIAMIS</v>
      </c>
      <c r="D196" s="186">
        <f>IFERROR(__xludf.DUMMYFUNCTION("""COMPUTED_VALUE"""),3.0)</f>
        <v>3</v>
      </c>
    </row>
    <row r="197">
      <c r="A197" s="178" t="str">
        <f>IFERROR(__xludf.DUMMYFUNCTION("""COMPUTED_VALUE"""),"ITBISA-7SEGMENT-ANODE-RED-0.56-1BIT")</f>
        <v>ITBISA-7SEGMENT-ANODE-RED-0.56-1BIT</v>
      </c>
      <c r="B197" s="266">
        <f>IFERROR(__xludf.DUMMYFUNCTION("""COMPUTED_VALUE"""),45279.0)</f>
        <v>45279</v>
      </c>
      <c r="C197" s="266" t="str">
        <f>IFERROR(__xludf.DUMMYFUNCTION("""COMPUTED_VALUE"""),"KYAI KONTONG")</f>
        <v>KYAI KONTONG</v>
      </c>
      <c r="D197" s="186">
        <f>IFERROR(__xludf.DUMMYFUNCTION("""COMPUTED_VALUE"""),4.0)</f>
        <v>4</v>
      </c>
    </row>
    <row r="198">
      <c r="A198" s="178" t="str">
        <f>IFERROR(__xludf.DUMMYFUNCTION("""COMPUTED_VALUE"""),"ITBISA-7SEGMENT-ANODE-RED-0.56-1BIT")</f>
        <v>ITBISA-7SEGMENT-ANODE-RED-0.56-1BIT</v>
      </c>
      <c r="B198" s="266">
        <f>IFERROR(__xludf.DUMMYFUNCTION("""COMPUTED_VALUE"""),45279.0)</f>
        <v>45279</v>
      </c>
      <c r="C198" s="266" t="str">
        <f>IFERROR(__xludf.DUMMYFUNCTION("""COMPUTED_VALUE"""),"KYAI KONTONG")</f>
        <v>KYAI KONTONG</v>
      </c>
      <c r="D198" s="186">
        <f>IFERROR(__xludf.DUMMYFUNCTION("""COMPUTED_VALUE"""),100.0)</f>
        <v>100</v>
      </c>
    </row>
    <row r="199">
      <c r="A199" s="178" t="str">
        <f>IFERROR(__xludf.DUMMYFUNCTION("""COMPUTED_VALUE"""),"ITBISA-7SEGMENT-ANODE-RED-0.56-1BIT")</f>
        <v>ITBISA-7SEGMENT-ANODE-RED-0.56-1BIT</v>
      </c>
      <c r="B199" s="266">
        <f>IFERROR(__xludf.DUMMYFUNCTION("""COMPUTED_VALUE"""),45283.0)</f>
        <v>45283</v>
      </c>
      <c r="C199" s="266" t="str">
        <f>IFERROR(__xludf.DUMMYFUNCTION("""COMPUTED_VALUE"""),"KYAI KONTONG")</f>
        <v>KYAI KONTONG</v>
      </c>
      <c r="D199" s="186">
        <f>IFERROR(__xludf.DUMMYFUNCTION("""COMPUTED_VALUE"""),4.0)</f>
        <v>4</v>
      </c>
    </row>
    <row r="200">
      <c r="A200" s="178" t="str">
        <f>IFERROR(__xludf.DUMMYFUNCTION("""COMPUTED_VALUE"""),"ITBISA-7SEGMENT-ANODE-RED-0.56-1BIT")</f>
        <v>ITBISA-7SEGMENT-ANODE-RED-0.56-1BIT</v>
      </c>
      <c r="B200" s="266">
        <f>IFERROR(__xludf.DUMMYFUNCTION("""COMPUTED_VALUE"""),45284.0)</f>
        <v>45284</v>
      </c>
      <c r="C200" s="266" t="str">
        <f>IFERROR(__xludf.DUMMYFUNCTION("""COMPUTED_VALUE"""),"KYAI KONTONG")</f>
        <v>KYAI KONTONG</v>
      </c>
      <c r="D200" s="186">
        <f>IFERROR(__xludf.DUMMYFUNCTION("""COMPUTED_VALUE"""),1.0)</f>
        <v>1</v>
      </c>
    </row>
    <row r="201">
      <c r="A201" s="178" t="str">
        <f>IFERROR(__xludf.DUMMYFUNCTION("""COMPUTED_VALUE"""),"ITBISA-7SEGMENT-ANODE-RED-0.56-1BIT")</f>
        <v>ITBISA-7SEGMENT-ANODE-RED-0.56-1BIT</v>
      </c>
      <c r="B201" s="266">
        <f>IFERROR(__xludf.DUMMYFUNCTION("""COMPUTED_VALUE"""),45286.0)</f>
        <v>45286</v>
      </c>
      <c r="C201" s="266" t="str">
        <f>IFERROR(__xludf.DUMMYFUNCTION("""COMPUTED_VALUE"""),"KERTASARI CIAMIS")</f>
        <v>KERTASARI CIAMIS</v>
      </c>
      <c r="D201" s="186">
        <f>IFERROR(__xludf.DUMMYFUNCTION("""COMPUTED_VALUE"""),10.0)</f>
        <v>10</v>
      </c>
    </row>
    <row r="202">
      <c r="A202" s="178" t="str">
        <f>IFERROR(__xludf.DUMMYFUNCTION("""COMPUTED_VALUE"""),"ITBISA-7SEGMENT-ANODE-RED-0.56-1BIT")</f>
        <v>ITBISA-7SEGMENT-ANODE-RED-0.56-1BIT</v>
      </c>
      <c r="B202" s="266">
        <f>IFERROR(__xludf.DUMMYFUNCTION("""COMPUTED_VALUE"""),45292.0)</f>
        <v>45292</v>
      </c>
      <c r="C202" s="266" t="str">
        <f>IFERROR(__xludf.DUMMYFUNCTION("""COMPUTED_VALUE"""),"KERTASARI CIAMIS")</f>
        <v>KERTASARI CIAMIS</v>
      </c>
      <c r="D202" s="186">
        <f>IFERROR(__xludf.DUMMYFUNCTION("""COMPUTED_VALUE"""),50.0)</f>
        <v>50</v>
      </c>
    </row>
    <row r="203">
      <c r="A203" s="178" t="str">
        <f>IFERROR(__xludf.DUMMYFUNCTION("""COMPUTED_VALUE"""),"ITBISA-7SEGMENT-ANODE-RED-0.56-1BIT")</f>
        <v>ITBISA-7SEGMENT-ANODE-RED-0.56-1BIT</v>
      </c>
      <c r="B203" s="266">
        <f>IFERROR(__xludf.DUMMYFUNCTION("""COMPUTED_VALUE"""),45292.0)</f>
        <v>45292</v>
      </c>
      <c r="C203" s="266" t="str">
        <f>IFERROR(__xludf.DUMMYFUNCTION("""COMPUTED_VALUE"""),"KYAI KONTONG")</f>
        <v>KYAI KONTONG</v>
      </c>
      <c r="D203" s="186">
        <f>IFERROR(__xludf.DUMMYFUNCTION("""COMPUTED_VALUE"""),2.0)</f>
        <v>2</v>
      </c>
    </row>
    <row r="204">
      <c r="A204" s="178" t="str">
        <f>IFERROR(__xludf.DUMMYFUNCTION("""COMPUTED_VALUE"""),"ITBISA-7SEGMENT-ANODE-RED-0.56-1BIT")</f>
        <v>ITBISA-7SEGMENT-ANODE-RED-0.56-1BIT</v>
      </c>
      <c r="B204" s="266">
        <f>IFERROR(__xludf.DUMMYFUNCTION("""COMPUTED_VALUE"""),45292.0)</f>
        <v>45292</v>
      </c>
      <c r="C204" s="266" t="str">
        <f>IFERROR(__xludf.DUMMYFUNCTION("""COMPUTED_VALUE"""),"KYAI KONTONG")</f>
        <v>KYAI KONTONG</v>
      </c>
      <c r="D204" s="186">
        <f>IFERROR(__xludf.DUMMYFUNCTION("""COMPUTED_VALUE"""),50.0)</f>
        <v>50</v>
      </c>
    </row>
    <row r="205">
      <c r="A205" s="178" t="str">
        <f>IFERROR(__xludf.DUMMYFUNCTION("""COMPUTED_VALUE"""),"ITBISA-7SEGMENT-ANODE-RED-0.56-1BIT")</f>
        <v>ITBISA-7SEGMENT-ANODE-RED-0.56-1BIT</v>
      </c>
      <c r="B205" s="266">
        <f>IFERROR(__xludf.DUMMYFUNCTION("""COMPUTED_VALUE"""),45293.0)</f>
        <v>45293</v>
      </c>
      <c r="C205" s="266" t="str">
        <f>IFERROR(__xludf.DUMMYFUNCTION("""COMPUTED_VALUE"""),"KYAI KONTONG")</f>
        <v>KYAI KONTONG</v>
      </c>
      <c r="D205" s="186">
        <f>IFERROR(__xludf.DUMMYFUNCTION("""COMPUTED_VALUE"""),1.0)</f>
        <v>1</v>
      </c>
    </row>
    <row r="206">
      <c r="A206" s="178" t="str">
        <f>IFERROR(__xludf.DUMMYFUNCTION("""COMPUTED_VALUE"""),"ITBISA-7SEGMENT-ANODE-RED-0.56-1BIT")</f>
        <v>ITBISA-7SEGMENT-ANODE-RED-0.56-1BIT</v>
      </c>
      <c r="B206" s="266">
        <f>IFERROR(__xludf.DUMMYFUNCTION("""COMPUTED_VALUE"""),45293.0)</f>
        <v>45293</v>
      </c>
      <c r="C206" s="266" t="str">
        <f>IFERROR(__xludf.DUMMYFUNCTION("""COMPUTED_VALUE"""),"KYAI KONTONG")</f>
        <v>KYAI KONTONG</v>
      </c>
      <c r="D206" s="186">
        <f>IFERROR(__xludf.DUMMYFUNCTION("""COMPUTED_VALUE"""),5.0)</f>
        <v>5</v>
      </c>
    </row>
    <row r="207">
      <c r="A207" s="178" t="str">
        <f>IFERROR(__xludf.DUMMYFUNCTION("""COMPUTED_VALUE"""),"ITBISA-7SEGMENT-ANODE-RED-0.56-1BIT")</f>
        <v>ITBISA-7SEGMENT-ANODE-RED-0.56-1BIT</v>
      </c>
      <c r="B207" s="266">
        <f>IFERROR(__xludf.DUMMYFUNCTION("""COMPUTED_VALUE"""),45302.0)</f>
        <v>45302</v>
      </c>
      <c r="C207" s="266" t="str">
        <f>IFERROR(__xludf.DUMMYFUNCTION("""COMPUTED_VALUE"""),"KERTASARI CIAMIS")</f>
        <v>KERTASARI CIAMIS</v>
      </c>
      <c r="D207" s="186">
        <f>IFERROR(__xludf.DUMMYFUNCTION("""COMPUTED_VALUE"""),1.0)</f>
        <v>1</v>
      </c>
    </row>
    <row r="208">
      <c r="A208" s="178" t="str">
        <f>IFERROR(__xludf.DUMMYFUNCTION("""COMPUTED_VALUE"""),"ITBISA-7SEGMENT-ANODE-RED-0.56-1BIT")</f>
        <v>ITBISA-7SEGMENT-ANODE-RED-0.56-1BIT</v>
      </c>
      <c r="B208" s="266">
        <f>IFERROR(__xludf.DUMMYFUNCTION("""COMPUTED_VALUE"""),45304.0)</f>
        <v>45304</v>
      </c>
      <c r="C208" s="266" t="str">
        <f>IFERROR(__xludf.DUMMYFUNCTION("""COMPUTED_VALUE"""),"KERTASARI CIAMIS")</f>
        <v>KERTASARI CIAMIS</v>
      </c>
      <c r="D208" s="186">
        <f>IFERROR(__xludf.DUMMYFUNCTION("""COMPUTED_VALUE"""),100.0)</f>
        <v>100</v>
      </c>
    </row>
    <row r="209">
      <c r="A209" s="178" t="str">
        <f>IFERROR(__xludf.DUMMYFUNCTION("""COMPUTED_VALUE"""),"ITBISA-7SEGMENT-ANODE-RED-0.56-1BIT")</f>
        <v>ITBISA-7SEGMENT-ANODE-RED-0.56-1BIT</v>
      </c>
      <c r="B209" s="266">
        <f>IFERROR(__xludf.DUMMYFUNCTION("""COMPUTED_VALUE"""),45306.0)</f>
        <v>45306</v>
      </c>
      <c r="C209" s="266" t="str">
        <f>IFERROR(__xludf.DUMMYFUNCTION("""COMPUTED_VALUE"""),"KERTASARI CIAMIS")</f>
        <v>KERTASARI CIAMIS</v>
      </c>
      <c r="D209" s="186">
        <f>IFERROR(__xludf.DUMMYFUNCTION("""COMPUTED_VALUE"""),50.0)</f>
        <v>50</v>
      </c>
    </row>
    <row r="210">
      <c r="A210" s="178" t="str">
        <f>IFERROR(__xludf.DUMMYFUNCTION("""COMPUTED_VALUE"""),"ITBISA-7SEGMENT-ANODE-RED-0.56-1BIT")</f>
        <v>ITBISA-7SEGMENT-ANODE-RED-0.56-1BIT</v>
      </c>
      <c r="B210" s="266">
        <f>IFERROR(__xludf.DUMMYFUNCTION("""COMPUTED_VALUE"""),45306.0)</f>
        <v>45306</v>
      </c>
      <c r="C210" s="266" t="str">
        <f>IFERROR(__xludf.DUMMYFUNCTION("""COMPUTED_VALUE"""),"KERTASARI CIAMIS")</f>
        <v>KERTASARI CIAMIS</v>
      </c>
      <c r="D210" s="186">
        <f>IFERROR(__xludf.DUMMYFUNCTION("""COMPUTED_VALUE"""),50.0)</f>
        <v>50</v>
      </c>
    </row>
    <row r="211">
      <c r="A211" s="178" t="str">
        <f>IFERROR(__xludf.DUMMYFUNCTION("""COMPUTED_VALUE"""),"ITBISA-7SEGMENT-ANODE-RED-0.56-1BIT")</f>
        <v>ITBISA-7SEGMENT-ANODE-RED-0.56-1BIT</v>
      </c>
      <c r="B211" s="266">
        <f>IFERROR(__xludf.DUMMYFUNCTION("""COMPUTED_VALUE"""),45312.0)</f>
        <v>45312</v>
      </c>
      <c r="C211" s="266" t="str">
        <f>IFERROR(__xludf.DUMMYFUNCTION("""COMPUTED_VALUE"""),"KERTASARI CIAMIS")</f>
        <v>KERTASARI CIAMIS</v>
      </c>
      <c r="D211" s="186">
        <f>IFERROR(__xludf.DUMMYFUNCTION("""COMPUTED_VALUE"""),1.0)</f>
        <v>1</v>
      </c>
    </row>
    <row r="212">
      <c r="A212" s="178" t="str">
        <f>IFERROR(__xludf.DUMMYFUNCTION("""COMPUTED_VALUE"""),"ITBISA-7SEGMENT-ANODE-RED-0.56-1BIT")</f>
        <v>ITBISA-7SEGMENT-ANODE-RED-0.56-1BIT</v>
      </c>
      <c r="B212" s="266">
        <f>IFERROR(__xludf.DUMMYFUNCTION("""COMPUTED_VALUE"""),45313.0)</f>
        <v>45313</v>
      </c>
      <c r="C212" s="266" t="str">
        <f>IFERROR(__xludf.DUMMYFUNCTION("""COMPUTED_VALUE"""),"KERTASARI CIAMIS")</f>
        <v>KERTASARI CIAMIS</v>
      </c>
      <c r="D212" s="186">
        <f>IFERROR(__xludf.DUMMYFUNCTION("""COMPUTED_VALUE"""),300.0)</f>
        <v>300</v>
      </c>
    </row>
    <row r="213">
      <c r="A213" s="178" t="str">
        <f>IFERROR(__xludf.DUMMYFUNCTION("""COMPUTED_VALUE"""),"ITBISA-7SEGMENT-ANODE-RED-0.56-1BIT")</f>
        <v>ITBISA-7SEGMENT-ANODE-RED-0.56-1BIT</v>
      </c>
      <c r="B213" s="266">
        <f>IFERROR(__xludf.DUMMYFUNCTION("""COMPUTED_VALUE"""),45314.0)</f>
        <v>45314</v>
      </c>
      <c r="C213" s="266" t="str">
        <f>IFERROR(__xludf.DUMMYFUNCTION("""COMPUTED_VALUE"""),"KYAI KONTONG")</f>
        <v>KYAI KONTONG</v>
      </c>
      <c r="D213" s="186">
        <f>IFERROR(__xludf.DUMMYFUNCTION("""COMPUTED_VALUE"""),610.0)</f>
        <v>610</v>
      </c>
    </row>
    <row r="214">
      <c r="A214" s="178" t="str">
        <f>IFERROR(__xludf.DUMMYFUNCTION("""COMPUTED_VALUE"""),"ITBISA-7SEGMENT-ANODE-RED-0.56-1BIT")</f>
        <v>ITBISA-7SEGMENT-ANODE-RED-0.56-1BIT</v>
      </c>
      <c r="B214" s="266">
        <f>IFERROR(__xludf.DUMMYFUNCTION("""COMPUTED_VALUE"""),45316.0)</f>
        <v>45316</v>
      </c>
      <c r="C214" s="266" t="str">
        <f>IFERROR(__xludf.DUMMYFUNCTION("""COMPUTED_VALUE"""),"KERTASARI CIAMIS")</f>
        <v>KERTASARI CIAMIS</v>
      </c>
      <c r="D214" s="186">
        <f>IFERROR(__xludf.DUMMYFUNCTION("""COMPUTED_VALUE"""),30.0)</f>
        <v>30</v>
      </c>
    </row>
    <row r="215">
      <c r="A215" s="178" t="str">
        <f>IFERROR(__xludf.DUMMYFUNCTION("""COMPUTED_VALUE"""),"ITBISA-7SEGMENT-ANODE-RED-0.56-1BIT")</f>
        <v>ITBISA-7SEGMENT-ANODE-RED-0.56-1BIT</v>
      </c>
      <c r="B215" s="266">
        <f>IFERROR(__xludf.DUMMYFUNCTION("""COMPUTED_VALUE"""),45322.0)</f>
        <v>45322</v>
      </c>
      <c r="C215" s="266" t="str">
        <f>IFERROR(__xludf.DUMMYFUNCTION("""COMPUTED_VALUE"""),"KERTASARI CIAMIS")</f>
        <v>KERTASARI CIAMIS</v>
      </c>
      <c r="D215" s="186">
        <f>IFERROR(__xludf.DUMMYFUNCTION("""COMPUTED_VALUE"""),48.0)</f>
        <v>48</v>
      </c>
    </row>
    <row r="216">
      <c r="A216" s="178" t="str">
        <f>IFERROR(__xludf.DUMMYFUNCTION("""COMPUTED_VALUE"""),"ITBISA-7SEGMENT-ANODE-RED-0.56-1BIT")</f>
        <v>ITBISA-7SEGMENT-ANODE-RED-0.56-1BIT</v>
      </c>
      <c r="B216" s="266">
        <f>IFERROR(__xludf.DUMMYFUNCTION("""COMPUTED_VALUE"""),45322.0)</f>
        <v>45322</v>
      </c>
      <c r="C216" s="266" t="str">
        <f>IFERROR(__xludf.DUMMYFUNCTION("""COMPUTED_VALUE"""),"KYAI KONTONG")</f>
        <v>KYAI KONTONG</v>
      </c>
      <c r="D216" s="186">
        <f>IFERROR(__xludf.DUMMYFUNCTION("""COMPUTED_VALUE"""),40.0)</f>
        <v>40</v>
      </c>
    </row>
    <row r="217">
      <c r="A217" s="178" t="str">
        <f>IFERROR(__xludf.DUMMYFUNCTION("""COMPUTED_VALUE"""),"ITBISA-7SEGMENT-ANODE-RED-0.56-1BIT")</f>
        <v>ITBISA-7SEGMENT-ANODE-RED-0.56-1BIT</v>
      </c>
      <c r="B217" s="266">
        <f>IFERROR(__xludf.DUMMYFUNCTION("""COMPUTED_VALUE"""),45324.0)</f>
        <v>45324</v>
      </c>
      <c r="C217" s="266" t="str">
        <f>IFERROR(__xludf.DUMMYFUNCTION("""COMPUTED_VALUE"""),"KERTASARI CIAMIS")</f>
        <v>KERTASARI CIAMIS</v>
      </c>
      <c r="D217" s="186">
        <f>IFERROR(__xludf.DUMMYFUNCTION("""COMPUTED_VALUE"""),4.0)</f>
        <v>4</v>
      </c>
    </row>
    <row r="218">
      <c r="A218" s="178" t="str">
        <f>IFERROR(__xludf.DUMMYFUNCTION("""COMPUTED_VALUE"""),"ITBISA-7SEGMENT-ANODE-RED-0.56-1BIT")</f>
        <v>ITBISA-7SEGMENT-ANODE-RED-0.56-1BIT</v>
      </c>
      <c r="B218" s="266">
        <f>IFERROR(__xludf.DUMMYFUNCTION("""COMPUTED_VALUE"""),45324.0)</f>
        <v>45324</v>
      </c>
      <c r="C218" s="266" t="str">
        <f>IFERROR(__xludf.DUMMYFUNCTION("""COMPUTED_VALUE"""),"KERTASARI CIAMIS")</f>
        <v>KERTASARI CIAMIS</v>
      </c>
      <c r="D218" s="186">
        <f>IFERROR(__xludf.DUMMYFUNCTION("""COMPUTED_VALUE"""),100.0)</f>
        <v>100</v>
      </c>
    </row>
    <row r="219">
      <c r="A219" s="178" t="str">
        <f>IFERROR(__xludf.DUMMYFUNCTION("""COMPUTED_VALUE"""),"ITBISA-7SEGMENT-ANODE-RED-0.56-1BIT")</f>
        <v>ITBISA-7SEGMENT-ANODE-RED-0.56-1BIT</v>
      </c>
      <c r="B219" s="266">
        <f>IFERROR(__xludf.DUMMYFUNCTION("""COMPUTED_VALUE"""),45328.0)</f>
        <v>45328</v>
      </c>
      <c r="C219" s="266" t="str">
        <f>IFERROR(__xludf.DUMMYFUNCTION("""COMPUTED_VALUE"""),"KERTASARI CIAMIS")</f>
        <v>KERTASARI CIAMIS</v>
      </c>
      <c r="D219" s="186">
        <f>IFERROR(__xludf.DUMMYFUNCTION("""COMPUTED_VALUE"""),50.0)</f>
        <v>50</v>
      </c>
    </row>
    <row r="220">
      <c r="A220" s="178" t="str">
        <f>IFERROR(__xludf.DUMMYFUNCTION("""COMPUTED_VALUE"""),"ITBISA-7SEGMENT-ANODE-RED-0.56-1BIT")</f>
        <v>ITBISA-7SEGMENT-ANODE-RED-0.56-1BIT</v>
      </c>
      <c r="B220" s="266">
        <f>IFERROR(__xludf.DUMMYFUNCTION("""COMPUTED_VALUE"""),45329.0)</f>
        <v>45329</v>
      </c>
      <c r="C220" s="266" t="str">
        <f>IFERROR(__xludf.DUMMYFUNCTION("""COMPUTED_VALUE"""),"KERTASARI CIAMIS")</f>
        <v>KERTASARI CIAMIS</v>
      </c>
      <c r="D220" s="186">
        <f>IFERROR(__xludf.DUMMYFUNCTION("""COMPUTED_VALUE"""),40.0)</f>
        <v>40</v>
      </c>
    </row>
    <row r="221">
      <c r="A221" s="178" t="str">
        <f>IFERROR(__xludf.DUMMYFUNCTION("""COMPUTED_VALUE"""),"ITBISA-7SEGMENT-ANODE-RED-0.56-1BIT")</f>
        <v>ITBISA-7SEGMENT-ANODE-RED-0.56-1BIT</v>
      </c>
      <c r="B221" s="266">
        <f>IFERROR(__xludf.DUMMYFUNCTION("""COMPUTED_VALUE"""),45330.0)</f>
        <v>45330</v>
      </c>
      <c r="C221" s="266" t="str">
        <f>IFERROR(__xludf.DUMMYFUNCTION("""COMPUTED_VALUE"""),"KYAI KONTONG")</f>
        <v>KYAI KONTONG</v>
      </c>
      <c r="D221" s="186">
        <f>IFERROR(__xludf.DUMMYFUNCTION("""COMPUTED_VALUE"""),450.0)</f>
        <v>450</v>
      </c>
    </row>
    <row r="222">
      <c r="A222" s="178" t="str">
        <f>IFERROR(__xludf.DUMMYFUNCTION("""COMPUTED_VALUE"""),"ITBISA-7SEGMENT-ANODE-RED-0.56-1BIT")</f>
        <v>ITBISA-7SEGMENT-ANODE-RED-0.56-1BIT</v>
      </c>
      <c r="B222" s="266">
        <f>IFERROR(__xludf.DUMMYFUNCTION("""COMPUTED_VALUE"""),45336.0)</f>
        <v>45336</v>
      </c>
      <c r="C222" s="266" t="str">
        <f>IFERROR(__xludf.DUMMYFUNCTION("""COMPUTED_VALUE"""),"KERTASARI CIAMIS")</f>
        <v>KERTASARI CIAMIS</v>
      </c>
      <c r="D222" s="186">
        <f>IFERROR(__xludf.DUMMYFUNCTION("""COMPUTED_VALUE"""),101.0)</f>
        <v>101</v>
      </c>
    </row>
    <row r="223">
      <c r="A223" s="178" t="str">
        <f>IFERROR(__xludf.DUMMYFUNCTION("""COMPUTED_VALUE"""),"ITBISA-7SEGMENT-ANODE-RED-0.56-1BIT")</f>
        <v>ITBISA-7SEGMENT-ANODE-RED-0.56-1BIT</v>
      </c>
      <c r="B223" s="266">
        <f>IFERROR(__xludf.DUMMYFUNCTION("""COMPUTED_VALUE"""),45337.0)</f>
        <v>45337</v>
      </c>
      <c r="C223" s="266" t="str">
        <f>IFERROR(__xludf.DUMMYFUNCTION("""COMPUTED_VALUE"""),"KERTASARI CIAMIS")</f>
        <v>KERTASARI CIAMIS</v>
      </c>
      <c r="D223" s="186">
        <f>IFERROR(__xludf.DUMMYFUNCTION("""COMPUTED_VALUE"""),2.0)</f>
        <v>2</v>
      </c>
    </row>
    <row r="224">
      <c r="A224" s="178" t="str">
        <f>IFERROR(__xludf.DUMMYFUNCTION("""COMPUTED_VALUE"""),"ITBISA-7SEGMENT-ANODE-RED-0.56-1BIT")</f>
        <v>ITBISA-7SEGMENT-ANODE-RED-0.56-1BIT</v>
      </c>
      <c r="B224" s="266">
        <f>IFERROR(__xludf.DUMMYFUNCTION("""COMPUTED_VALUE"""),45337.0)</f>
        <v>45337</v>
      </c>
      <c r="C224" s="266" t="str">
        <f>IFERROR(__xludf.DUMMYFUNCTION("""COMPUTED_VALUE"""),"KERTASARI CIAMIS")</f>
        <v>KERTASARI CIAMIS</v>
      </c>
      <c r="D224" s="186">
        <f>IFERROR(__xludf.DUMMYFUNCTION("""COMPUTED_VALUE"""),30.0)</f>
        <v>30</v>
      </c>
    </row>
    <row r="225">
      <c r="A225" s="178" t="str">
        <f>IFERROR(__xludf.DUMMYFUNCTION("""COMPUTED_VALUE"""),"ITBISA-7SEGMENT-ANODE-RED-0.56-1BIT")</f>
        <v>ITBISA-7SEGMENT-ANODE-RED-0.56-1BIT</v>
      </c>
      <c r="B225" s="266">
        <f>IFERROR(__xludf.DUMMYFUNCTION("""COMPUTED_VALUE"""),45337.0)</f>
        <v>45337</v>
      </c>
      <c r="C225" s="266" t="str">
        <f>IFERROR(__xludf.DUMMYFUNCTION("""COMPUTED_VALUE"""),"KERTASARI CIAMIS")</f>
        <v>KERTASARI CIAMIS</v>
      </c>
      <c r="D225" s="186">
        <f>IFERROR(__xludf.DUMMYFUNCTION("""COMPUTED_VALUE"""),70.0)</f>
        <v>70</v>
      </c>
    </row>
    <row r="226">
      <c r="A226" s="178" t="str">
        <f>IFERROR(__xludf.DUMMYFUNCTION("""COMPUTED_VALUE"""),"ITBISA-7SEGMENT-ANODE-RED-0.56-1BIT")</f>
        <v>ITBISA-7SEGMENT-ANODE-RED-0.56-1BIT</v>
      </c>
      <c r="B226" s="266">
        <f>IFERROR(__xludf.DUMMYFUNCTION("""COMPUTED_VALUE"""),45337.0)</f>
        <v>45337</v>
      </c>
      <c r="C226" s="266" t="str">
        <f>IFERROR(__xludf.DUMMYFUNCTION("""COMPUTED_VALUE"""),"KERTASARI CIAMIS")</f>
        <v>KERTASARI CIAMIS</v>
      </c>
      <c r="D226" s="186">
        <f>IFERROR(__xludf.DUMMYFUNCTION("""COMPUTED_VALUE"""),100.0)</f>
        <v>100</v>
      </c>
    </row>
    <row r="227">
      <c r="A227" s="178" t="str">
        <f>IFERROR(__xludf.DUMMYFUNCTION("""COMPUTED_VALUE"""),"ITBISA-7SEGMENT-ANODE-RED-0.56-1BIT")</f>
        <v>ITBISA-7SEGMENT-ANODE-RED-0.56-1BIT</v>
      </c>
      <c r="B227" s="266">
        <f>IFERROR(__xludf.DUMMYFUNCTION("""COMPUTED_VALUE"""),45338.0)</f>
        <v>45338</v>
      </c>
      <c r="C227" s="266" t="str">
        <f>IFERROR(__xludf.DUMMYFUNCTION("""COMPUTED_VALUE"""),"KERTASARI CIAMIS")</f>
        <v>KERTASARI CIAMIS</v>
      </c>
      <c r="D227" s="186">
        <f>IFERROR(__xludf.DUMMYFUNCTION("""COMPUTED_VALUE"""),2.0)</f>
        <v>2</v>
      </c>
    </row>
    <row r="228">
      <c r="A228" s="178" t="str">
        <f>IFERROR(__xludf.DUMMYFUNCTION("""COMPUTED_VALUE"""),"ITBISA-7SEGMENT-ANODE-RED-0.56-1BIT")</f>
        <v>ITBISA-7SEGMENT-ANODE-RED-0.56-1BIT</v>
      </c>
      <c r="B228" s="266">
        <f>IFERROR(__xludf.DUMMYFUNCTION("""COMPUTED_VALUE"""),45341.0)</f>
        <v>45341</v>
      </c>
      <c r="C228" s="266" t="str">
        <f>IFERROR(__xludf.DUMMYFUNCTION("""COMPUTED_VALUE"""),"KERTASARI CIAMIS")</f>
        <v>KERTASARI CIAMIS</v>
      </c>
      <c r="D228" s="186">
        <f>IFERROR(__xludf.DUMMYFUNCTION("""COMPUTED_VALUE"""),35.0)</f>
        <v>35</v>
      </c>
    </row>
    <row r="229">
      <c r="A229" s="178" t="str">
        <f>IFERROR(__xludf.DUMMYFUNCTION("""COMPUTED_VALUE"""),"ITBISA-7SEGMENT-ANODE-RED-0.56-1BIT")</f>
        <v>ITBISA-7SEGMENT-ANODE-RED-0.56-1BIT</v>
      </c>
      <c r="B229" s="266">
        <f>IFERROR(__xludf.DUMMYFUNCTION("""COMPUTED_VALUE"""),45348.0)</f>
        <v>45348</v>
      </c>
      <c r="C229" s="266" t="str">
        <f>IFERROR(__xludf.DUMMYFUNCTION("""COMPUTED_VALUE"""),"KERTASARI CIAMIS")</f>
        <v>KERTASARI CIAMIS</v>
      </c>
      <c r="D229" s="186">
        <f>IFERROR(__xludf.DUMMYFUNCTION("""COMPUTED_VALUE"""),150.0)</f>
        <v>150</v>
      </c>
    </row>
    <row r="230">
      <c r="A230" s="178" t="str">
        <f>IFERROR(__xludf.DUMMYFUNCTION("""COMPUTED_VALUE"""),"ITBISA-7SEGMENT-ANODE-RED-0.56-1BIT")</f>
        <v>ITBISA-7SEGMENT-ANODE-RED-0.56-1BIT</v>
      </c>
      <c r="B230" s="266">
        <f>IFERROR(__xludf.DUMMYFUNCTION("""COMPUTED_VALUE"""),45348.0)</f>
        <v>45348</v>
      </c>
      <c r="C230" s="266" t="str">
        <f>IFERROR(__xludf.DUMMYFUNCTION("""COMPUTED_VALUE"""),"RANCAEKEK ESTU")</f>
        <v>RANCAEKEK ESTU</v>
      </c>
      <c r="D230" s="186">
        <f>IFERROR(__xludf.DUMMYFUNCTION("""COMPUTED_VALUE"""),600.0)</f>
        <v>600</v>
      </c>
    </row>
    <row r="231">
      <c r="A231" s="178" t="str">
        <f>IFERROR(__xludf.DUMMYFUNCTION("""COMPUTED_VALUE"""),"ITBISA-7SEGMENT-ANODE-RED-0.56-1BIT")</f>
        <v>ITBISA-7SEGMENT-ANODE-RED-0.56-1BIT</v>
      </c>
      <c r="B231" s="266">
        <f>IFERROR(__xludf.DUMMYFUNCTION("""COMPUTED_VALUE"""),45349.0)</f>
        <v>45349</v>
      </c>
      <c r="C231" s="266" t="str">
        <f>IFERROR(__xludf.DUMMYFUNCTION("""COMPUTED_VALUE"""),"KERTASARI CIAMIS")</f>
        <v>KERTASARI CIAMIS</v>
      </c>
      <c r="D231" s="186">
        <f>IFERROR(__xludf.DUMMYFUNCTION("""COMPUTED_VALUE"""),5.0)</f>
        <v>5</v>
      </c>
    </row>
    <row r="232">
      <c r="A232" s="178" t="str">
        <f>IFERROR(__xludf.DUMMYFUNCTION("""COMPUTED_VALUE"""),"ITBISA-7SEGMENT-ANODE-RED-0.56-1BIT")</f>
        <v>ITBISA-7SEGMENT-ANODE-RED-0.56-1BIT</v>
      </c>
      <c r="B232" s="266">
        <f>IFERROR(__xludf.DUMMYFUNCTION("""COMPUTED_VALUE"""),45349.0)</f>
        <v>45349</v>
      </c>
      <c r="C232" s="266" t="str">
        <f>IFERROR(__xludf.DUMMYFUNCTION("""COMPUTED_VALUE"""),"KERTASARI CIAMIS")</f>
        <v>KERTASARI CIAMIS</v>
      </c>
      <c r="D232" s="186">
        <f>IFERROR(__xludf.DUMMYFUNCTION("""COMPUTED_VALUE"""),100.0)</f>
        <v>100</v>
      </c>
    </row>
    <row r="233">
      <c r="A233" s="178" t="str">
        <f>IFERROR(__xludf.DUMMYFUNCTION("""COMPUTED_VALUE"""),"ITBISA-7SEGMENT-ANODE-RED-0.56-1BIT")</f>
        <v>ITBISA-7SEGMENT-ANODE-RED-0.56-1BIT</v>
      </c>
      <c r="B233" s="266">
        <f>IFERROR(__xludf.DUMMYFUNCTION("""COMPUTED_VALUE"""),45353.0)</f>
        <v>45353</v>
      </c>
      <c r="C233" s="266" t="str">
        <f>IFERROR(__xludf.DUMMYFUNCTION("""COMPUTED_VALUE"""),"KYAI KONTONG")</f>
        <v>KYAI KONTONG</v>
      </c>
      <c r="D233" s="186">
        <f>IFERROR(__xludf.DUMMYFUNCTION("""COMPUTED_VALUE"""),5.0)</f>
        <v>5</v>
      </c>
    </row>
    <row r="234">
      <c r="A234" s="178" t="str">
        <f>IFERROR(__xludf.DUMMYFUNCTION("""COMPUTED_VALUE"""),"ITBISA-7SEGMENT-ANODE-RED-0.56-1BIT")</f>
        <v>ITBISA-7SEGMENT-ANODE-RED-0.56-1BIT</v>
      </c>
      <c r="B234" s="266">
        <f>IFERROR(__xludf.DUMMYFUNCTION("""COMPUTED_VALUE"""),45354.0)</f>
        <v>45354</v>
      </c>
      <c r="C234" s="266" t="str">
        <f>IFERROR(__xludf.DUMMYFUNCTION("""COMPUTED_VALUE"""),"KERTASARI CIAMIS")</f>
        <v>KERTASARI CIAMIS</v>
      </c>
      <c r="D234" s="186">
        <f>IFERROR(__xludf.DUMMYFUNCTION("""COMPUTED_VALUE"""),1.0)</f>
        <v>1</v>
      </c>
    </row>
    <row r="235">
      <c r="A235" s="178" t="str">
        <f>IFERROR(__xludf.DUMMYFUNCTION("""COMPUTED_VALUE"""),"ITBISA-7SEGMENT-ANODE-RED-0.56-1BIT")</f>
        <v>ITBISA-7SEGMENT-ANODE-RED-0.56-1BIT</v>
      </c>
      <c r="B235" s="266">
        <f>IFERROR(__xludf.DUMMYFUNCTION("""COMPUTED_VALUE"""),45354.0)</f>
        <v>45354</v>
      </c>
      <c r="C235" s="266" t="str">
        <f>IFERROR(__xludf.DUMMYFUNCTION("""COMPUTED_VALUE"""),"KERTASARI CIAMIS")</f>
        <v>KERTASARI CIAMIS</v>
      </c>
      <c r="D235" s="186">
        <f>IFERROR(__xludf.DUMMYFUNCTION("""COMPUTED_VALUE"""),2.0)</f>
        <v>2</v>
      </c>
    </row>
    <row r="236">
      <c r="A236" s="178" t="str">
        <f>IFERROR(__xludf.DUMMYFUNCTION("""COMPUTED_VALUE"""),"ITBISA-7SEGMENT-ANODE-RED-0.56-1BIT")</f>
        <v>ITBISA-7SEGMENT-ANODE-RED-0.56-1BIT</v>
      </c>
      <c r="B236" s="266">
        <f>IFERROR(__xludf.DUMMYFUNCTION("""COMPUTED_VALUE"""),45355.0)</f>
        <v>45355</v>
      </c>
      <c r="C236" s="266" t="str">
        <f>IFERROR(__xludf.DUMMYFUNCTION("""COMPUTED_VALUE"""),"KERTASARI CIAMIS")</f>
        <v>KERTASARI CIAMIS</v>
      </c>
      <c r="D236" s="186">
        <f>IFERROR(__xludf.DUMMYFUNCTION("""COMPUTED_VALUE"""),300.0)</f>
        <v>300</v>
      </c>
    </row>
    <row r="237">
      <c r="A237" s="178" t="str">
        <f>IFERROR(__xludf.DUMMYFUNCTION("""COMPUTED_VALUE"""),"ITBISA-7SEGMENT-ANODE-RED-0.56-1BIT")</f>
        <v>ITBISA-7SEGMENT-ANODE-RED-0.56-1BIT</v>
      </c>
      <c r="B237" s="266">
        <f>IFERROR(__xludf.DUMMYFUNCTION("""COMPUTED_VALUE"""),45360.0)</f>
        <v>45360</v>
      </c>
      <c r="C237" s="266" t="str">
        <f>IFERROR(__xludf.DUMMYFUNCTION("""COMPUTED_VALUE"""),"KERTASARI CIAMIS")</f>
        <v>KERTASARI CIAMIS</v>
      </c>
      <c r="D237" s="186">
        <f>IFERROR(__xludf.DUMMYFUNCTION("""COMPUTED_VALUE"""),40.0)</f>
        <v>40</v>
      </c>
    </row>
    <row r="238">
      <c r="A238" s="178" t="str">
        <f>IFERROR(__xludf.DUMMYFUNCTION("""COMPUTED_VALUE"""),"ITBISA-7SEGMENT-ANODE-RED-0.56-1BIT")</f>
        <v>ITBISA-7SEGMENT-ANODE-RED-0.56-1BIT</v>
      </c>
      <c r="B238" s="266">
        <f>IFERROR(__xludf.DUMMYFUNCTION("""COMPUTED_VALUE"""),45364.0)</f>
        <v>45364</v>
      </c>
      <c r="C238" s="266" t="str">
        <f>IFERROR(__xludf.DUMMYFUNCTION("""COMPUTED_VALUE"""),"KERTASARI CIAMIS")</f>
        <v>KERTASARI CIAMIS</v>
      </c>
      <c r="D238" s="186">
        <f>IFERROR(__xludf.DUMMYFUNCTION("""COMPUTED_VALUE"""),28.0)</f>
        <v>28</v>
      </c>
    </row>
    <row r="239">
      <c r="A239" s="178" t="str">
        <f>IFERROR(__xludf.DUMMYFUNCTION("""COMPUTED_VALUE"""),"ITBISA-7SEGMENT-ANODE-RED-0.56-1BIT")</f>
        <v>ITBISA-7SEGMENT-ANODE-RED-0.56-1BIT</v>
      </c>
      <c r="B239" s="266">
        <f>IFERROR(__xludf.DUMMYFUNCTION("""COMPUTED_VALUE"""),45368.0)</f>
        <v>45368</v>
      </c>
      <c r="C239" s="266" t="str">
        <f>IFERROR(__xludf.DUMMYFUNCTION("""COMPUTED_VALUE"""),"KYAI KONTONG")</f>
        <v>KYAI KONTONG</v>
      </c>
      <c r="D239" s="186">
        <f>IFERROR(__xludf.DUMMYFUNCTION("""COMPUTED_VALUE"""),1.0)</f>
        <v>1</v>
      </c>
    </row>
    <row r="240">
      <c r="A240" s="178" t="str">
        <f>IFERROR(__xludf.DUMMYFUNCTION("""COMPUTED_VALUE"""),"ITBISA-7SEGMENT-ANODE-RED-0.56-1BIT")</f>
        <v>ITBISA-7SEGMENT-ANODE-RED-0.56-1BIT</v>
      </c>
      <c r="B240" s="266">
        <f>IFERROR(__xludf.DUMMYFUNCTION("""COMPUTED_VALUE"""),45370.0)</f>
        <v>45370</v>
      </c>
      <c r="C240" s="266" t="str">
        <f>IFERROR(__xludf.DUMMYFUNCTION("""COMPUTED_VALUE"""),"KERTASARI CIAMIS")</f>
        <v>KERTASARI CIAMIS</v>
      </c>
      <c r="D240" s="186">
        <f>IFERROR(__xludf.DUMMYFUNCTION("""COMPUTED_VALUE"""),10.0)</f>
        <v>10</v>
      </c>
    </row>
    <row r="241">
      <c r="A241" s="178" t="str">
        <f>IFERROR(__xludf.DUMMYFUNCTION("""COMPUTED_VALUE"""),"ITBISA-7SEGMENT-ANODE-RED-0.56-1BIT")</f>
        <v>ITBISA-7SEGMENT-ANODE-RED-0.56-1BIT</v>
      </c>
      <c r="B241" s="266">
        <f>IFERROR(__xludf.DUMMYFUNCTION("""COMPUTED_VALUE"""),45371.0)</f>
        <v>45371</v>
      </c>
      <c r="C241" s="266" t="str">
        <f>IFERROR(__xludf.DUMMYFUNCTION("""COMPUTED_VALUE"""),"KERTASARI CIAMIS")</f>
        <v>KERTASARI CIAMIS</v>
      </c>
      <c r="D241" s="186">
        <f>IFERROR(__xludf.DUMMYFUNCTION("""COMPUTED_VALUE"""),300.0)</f>
        <v>300</v>
      </c>
    </row>
    <row r="242">
      <c r="A242" s="178" t="str">
        <f>IFERROR(__xludf.DUMMYFUNCTION("""COMPUTED_VALUE"""),"ITBISA-7SEGMENT-ANODE-RED-0.56-1BIT")</f>
        <v>ITBISA-7SEGMENT-ANODE-RED-0.56-1BIT</v>
      </c>
      <c r="B242" s="266">
        <f>IFERROR(__xludf.DUMMYFUNCTION("""COMPUTED_VALUE"""),45378.0)</f>
        <v>45378</v>
      </c>
      <c r="C242" s="266" t="str">
        <f>IFERROR(__xludf.DUMMYFUNCTION("""COMPUTED_VALUE"""),"KYAI KONTONG")</f>
        <v>KYAI KONTONG</v>
      </c>
      <c r="D242" s="186">
        <f>IFERROR(__xludf.DUMMYFUNCTION("""COMPUTED_VALUE"""),100.0)</f>
        <v>100</v>
      </c>
    </row>
    <row r="243">
      <c r="A243" s="178" t="str">
        <f>IFERROR(__xludf.DUMMYFUNCTION("""COMPUTED_VALUE"""),"ITBISA-7SEGMENT-ANODE-RED-0.56-1BIT")</f>
        <v>ITBISA-7SEGMENT-ANODE-RED-0.56-1BIT</v>
      </c>
      <c r="B243" s="266">
        <f>IFERROR(__xludf.DUMMYFUNCTION("""COMPUTED_VALUE"""),45380.0)</f>
        <v>45380</v>
      </c>
      <c r="C243" s="266" t="str">
        <f>IFERROR(__xludf.DUMMYFUNCTION("""COMPUTED_VALUE"""),"KERTASARI CIAMIS")</f>
        <v>KERTASARI CIAMIS</v>
      </c>
      <c r="D243" s="186">
        <f>IFERROR(__xludf.DUMMYFUNCTION("""COMPUTED_VALUE"""),150.0)</f>
        <v>150</v>
      </c>
    </row>
    <row r="244">
      <c r="A244" s="178" t="str">
        <f>IFERROR(__xludf.DUMMYFUNCTION("""COMPUTED_VALUE"""),"ITBISA-7SEGMENT-ANODE-RED-0.56-1BIT")</f>
        <v>ITBISA-7SEGMENT-ANODE-RED-0.56-1BIT</v>
      </c>
      <c r="B244" s="266">
        <f>IFERROR(__xludf.DUMMYFUNCTION("""COMPUTED_VALUE"""),45388.0)</f>
        <v>45388</v>
      </c>
      <c r="C244" s="266" t="str">
        <f>IFERROR(__xludf.DUMMYFUNCTION("""COMPUTED_VALUE"""),"KERTASARI CIAMIS")</f>
        <v>KERTASARI CIAMIS</v>
      </c>
      <c r="D244" s="186">
        <f>IFERROR(__xludf.DUMMYFUNCTION("""COMPUTED_VALUE"""),50.0)</f>
        <v>50</v>
      </c>
    </row>
    <row r="245">
      <c r="A245" s="178" t="str">
        <f>IFERROR(__xludf.DUMMYFUNCTION("""COMPUTED_VALUE"""),"ITBISA-7SEGMENT-ANODE-RED-0.56-1BIT")</f>
        <v>ITBISA-7SEGMENT-ANODE-RED-0.56-1BIT</v>
      </c>
      <c r="B245" s="266">
        <f>IFERROR(__xludf.DUMMYFUNCTION("""COMPUTED_VALUE"""),45395.0)</f>
        <v>45395</v>
      </c>
      <c r="C245" s="266" t="str">
        <f>IFERROR(__xludf.DUMMYFUNCTION("""COMPUTED_VALUE"""),"KERTASARI CIAMIS")</f>
        <v>KERTASARI CIAMIS</v>
      </c>
      <c r="D245" s="186">
        <f>IFERROR(__xludf.DUMMYFUNCTION("""COMPUTED_VALUE"""),95.0)</f>
        <v>95</v>
      </c>
    </row>
    <row r="246">
      <c r="A246" s="178" t="str">
        <f>IFERROR(__xludf.DUMMYFUNCTION("""COMPUTED_VALUE"""),"ITBISA-7SEGMENT-ANODE-RED-0.56-1BIT")</f>
        <v>ITBISA-7SEGMENT-ANODE-RED-0.56-1BIT</v>
      </c>
      <c r="B246" s="266">
        <f>IFERROR(__xludf.DUMMYFUNCTION("""COMPUTED_VALUE"""),45406.0)</f>
        <v>45406</v>
      </c>
      <c r="C246" s="266" t="str">
        <f>IFERROR(__xludf.DUMMYFUNCTION("""COMPUTED_VALUE"""),"KERTASARI CIAMIS")</f>
        <v>KERTASARI CIAMIS</v>
      </c>
      <c r="D246" s="186">
        <f>IFERROR(__xludf.DUMMYFUNCTION("""COMPUTED_VALUE"""),100.0)</f>
        <v>100</v>
      </c>
    </row>
    <row r="247">
      <c r="A247" s="178" t="str">
        <f>IFERROR(__xludf.DUMMYFUNCTION("""COMPUTED_VALUE"""),"ITBISA-7SEGMENT-ANODE-RED-0.56-1BIT")</f>
        <v>ITBISA-7SEGMENT-ANODE-RED-0.56-1BIT</v>
      </c>
      <c r="B247" s="266">
        <f>IFERROR(__xludf.DUMMYFUNCTION("""COMPUTED_VALUE"""),45408.0)</f>
        <v>45408</v>
      </c>
      <c r="C247" s="266" t="str">
        <f>IFERROR(__xludf.DUMMYFUNCTION("""COMPUTED_VALUE"""),"KYAI KONTONG")</f>
        <v>KYAI KONTONG</v>
      </c>
      <c r="D247" s="186">
        <f>IFERROR(__xludf.DUMMYFUNCTION("""COMPUTED_VALUE"""),3.0)</f>
        <v>3</v>
      </c>
    </row>
    <row r="248">
      <c r="A248" s="178" t="str">
        <f>IFERROR(__xludf.DUMMYFUNCTION("""COMPUTED_VALUE"""),"ITBISA-7SEGMENT-ANODE-RED-0.56-1BIT")</f>
        <v>ITBISA-7SEGMENT-ANODE-RED-0.56-1BIT</v>
      </c>
      <c r="B248" s="266">
        <f>IFERROR(__xludf.DUMMYFUNCTION("""COMPUTED_VALUE"""),45409.0)</f>
        <v>45409</v>
      </c>
      <c r="C248" s="266" t="str">
        <f>IFERROR(__xludf.DUMMYFUNCTION("""COMPUTED_VALUE"""),"KYAI KONTONG")</f>
        <v>KYAI KONTONG</v>
      </c>
      <c r="D248" s="186">
        <f>IFERROR(__xludf.DUMMYFUNCTION("""COMPUTED_VALUE"""),5.0)</f>
        <v>5</v>
      </c>
    </row>
    <row r="249">
      <c r="A249" s="178" t="str">
        <f>IFERROR(__xludf.DUMMYFUNCTION("""COMPUTED_VALUE"""),"ITBISA-7SEGMENT-ANODE-RED-0.56-1BIT")</f>
        <v>ITBISA-7SEGMENT-ANODE-RED-0.56-1BIT</v>
      </c>
      <c r="B249" s="266">
        <f>IFERROR(__xludf.DUMMYFUNCTION("""COMPUTED_VALUE"""),45410.0)</f>
        <v>45410</v>
      </c>
      <c r="C249" s="266" t="str">
        <f>IFERROR(__xludf.DUMMYFUNCTION("""COMPUTED_VALUE"""),"KERTASARI CIAMIS")</f>
        <v>KERTASARI CIAMIS</v>
      </c>
      <c r="D249" s="186">
        <f>IFERROR(__xludf.DUMMYFUNCTION("""COMPUTED_VALUE"""),90.0)</f>
        <v>90</v>
      </c>
    </row>
    <row r="250">
      <c r="A250" s="178" t="str">
        <f>IFERROR(__xludf.DUMMYFUNCTION("""COMPUTED_VALUE"""),"ITBISA-7SEGMENT-ANODE-RED-0.56-1BIT")</f>
        <v>ITBISA-7SEGMENT-ANODE-RED-0.56-1BIT</v>
      </c>
      <c r="B250" s="266">
        <f>IFERROR(__xludf.DUMMYFUNCTION("""COMPUTED_VALUE"""),45417.0)</f>
        <v>45417</v>
      </c>
      <c r="C250" s="266" t="str">
        <f>IFERROR(__xludf.DUMMYFUNCTION("""COMPUTED_VALUE"""),"KYAI KONTONG")</f>
        <v>KYAI KONTONG</v>
      </c>
      <c r="D250" s="186">
        <f>IFERROR(__xludf.DUMMYFUNCTION("""COMPUTED_VALUE"""),5.0)</f>
        <v>5</v>
      </c>
    </row>
    <row r="251">
      <c r="A251" s="178" t="str">
        <f>IFERROR(__xludf.DUMMYFUNCTION("""COMPUTED_VALUE"""),"ITBISA-7SEGMENT-ANODE-RED-0.56-1BIT")</f>
        <v>ITBISA-7SEGMENT-ANODE-RED-0.56-1BIT</v>
      </c>
      <c r="B251" s="266">
        <f>IFERROR(__xludf.DUMMYFUNCTION("""COMPUTED_VALUE"""),45419.0)</f>
        <v>45419</v>
      </c>
      <c r="C251" s="266" t="str">
        <f>IFERROR(__xludf.DUMMYFUNCTION("""COMPUTED_VALUE"""),"KERTASARI CIAMIS")</f>
        <v>KERTASARI CIAMIS</v>
      </c>
      <c r="D251" s="186">
        <f>IFERROR(__xludf.DUMMYFUNCTION("""COMPUTED_VALUE"""),50.0)</f>
        <v>50</v>
      </c>
    </row>
    <row r="252">
      <c r="A252" s="178" t="str">
        <f>IFERROR(__xludf.DUMMYFUNCTION("""COMPUTED_VALUE"""),"ITBISA-7SEGMENT-ANODE-RED-0.56-1BIT")</f>
        <v>ITBISA-7SEGMENT-ANODE-RED-0.56-1BIT</v>
      </c>
      <c r="B252" s="266">
        <f>IFERROR(__xludf.DUMMYFUNCTION("""COMPUTED_VALUE"""),45419.0)</f>
        <v>45419</v>
      </c>
      <c r="C252" s="266" t="str">
        <f>IFERROR(__xludf.DUMMYFUNCTION("""COMPUTED_VALUE"""),"KERTASARI CIAMIS")</f>
        <v>KERTASARI CIAMIS</v>
      </c>
      <c r="D252" s="186">
        <f>IFERROR(__xludf.DUMMYFUNCTION("""COMPUTED_VALUE"""),60.0)</f>
        <v>60</v>
      </c>
    </row>
    <row r="253">
      <c r="A253" s="178" t="str">
        <f>IFERROR(__xludf.DUMMYFUNCTION("""COMPUTED_VALUE"""),"ITBISA-7SEGMENT-ANODE-RED-0.56-1BIT")</f>
        <v>ITBISA-7SEGMENT-ANODE-RED-0.56-1BIT</v>
      </c>
      <c r="B253" s="266">
        <f>IFERROR(__xludf.DUMMYFUNCTION("""COMPUTED_VALUE"""),45422.0)</f>
        <v>45422</v>
      </c>
      <c r="C253" s="266" t="str">
        <f>IFERROR(__xludf.DUMMYFUNCTION("""COMPUTED_VALUE"""),"KYAI KONTONG")</f>
        <v>KYAI KONTONG</v>
      </c>
      <c r="D253" s="186">
        <f>IFERROR(__xludf.DUMMYFUNCTION("""COMPUTED_VALUE"""),6.0)</f>
        <v>6</v>
      </c>
    </row>
    <row r="254">
      <c r="A254" s="178" t="str">
        <f>IFERROR(__xludf.DUMMYFUNCTION("""COMPUTED_VALUE"""),"ITBISA-7SEGMENT-ANODE-RED-0.56-1BIT")</f>
        <v>ITBISA-7SEGMENT-ANODE-RED-0.56-1BIT</v>
      </c>
      <c r="B254" s="266">
        <f>IFERROR(__xludf.DUMMYFUNCTION("""COMPUTED_VALUE"""),45423.0)</f>
        <v>45423</v>
      </c>
      <c r="C254" s="266" t="str">
        <f>IFERROR(__xludf.DUMMYFUNCTION("""COMPUTED_VALUE"""),"KYAI KONTONG")</f>
        <v>KYAI KONTONG</v>
      </c>
      <c r="D254" s="186">
        <f>IFERROR(__xludf.DUMMYFUNCTION("""COMPUTED_VALUE"""),33.0)</f>
        <v>33</v>
      </c>
    </row>
    <row r="255">
      <c r="A255" s="178" t="str">
        <f>IFERROR(__xludf.DUMMYFUNCTION("""COMPUTED_VALUE"""),"ITBISA-7SEGMENT-ANODE-RED-0.56-1BIT")</f>
        <v>ITBISA-7SEGMENT-ANODE-RED-0.56-1BIT</v>
      </c>
      <c r="B255" s="266">
        <f>IFERROR(__xludf.DUMMYFUNCTION("""COMPUTED_VALUE"""),45425.0)</f>
        <v>45425</v>
      </c>
      <c r="C255" s="266" t="str">
        <f>IFERROR(__xludf.DUMMYFUNCTION("""COMPUTED_VALUE"""),"KYAI KONTONG")</f>
        <v>KYAI KONTONG</v>
      </c>
      <c r="D255" s="186">
        <f>IFERROR(__xludf.DUMMYFUNCTION("""COMPUTED_VALUE"""),24.0)</f>
        <v>24</v>
      </c>
    </row>
    <row r="256">
      <c r="A256" s="178" t="str">
        <f>IFERROR(__xludf.DUMMYFUNCTION("""COMPUTED_VALUE"""),"ITBISA-7SEGMENT-ANODE-RED-0.56-1BIT")</f>
        <v>ITBISA-7SEGMENT-ANODE-RED-0.56-1BIT</v>
      </c>
      <c r="B256" s="266">
        <f>IFERROR(__xludf.DUMMYFUNCTION("""COMPUTED_VALUE"""),45425.0)</f>
        <v>45425</v>
      </c>
      <c r="C256" s="266" t="str">
        <f>IFERROR(__xludf.DUMMYFUNCTION("""COMPUTED_VALUE"""),"KYAI KONTONG")</f>
        <v>KYAI KONTONG</v>
      </c>
      <c r="D256" s="186">
        <f>IFERROR(__xludf.DUMMYFUNCTION("""COMPUTED_VALUE"""),80.0)</f>
        <v>80</v>
      </c>
    </row>
    <row r="257">
      <c r="A257" s="178" t="str">
        <f>IFERROR(__xludf.DUMMYFUNCTION("""COMPUTED_VALUE"""),"ITBISA-7SEGMENT-ANODE-RED-0.56-1BIT")</f>
        <v>ITBISA-7SEGMENT-ANODE-RED-0.56-1BIT</v>
      </c>
      <c r="B257" s="266">
        <f>IFERROR(__xludf.DUMMYFUNCTION("""COMPUTED_VALUE"""),45427.0)</f>
        <v>45427</v>
      </c>
      <c r="C257" s="266" t="str">
        <f>IFERROR(__xludf.DUMMYFUNCTION("""COMPUTED_VALUE"""),"KYAI KONTONG")</f>
        <v>KYAI KONTONG</v>
      </c>
      <c r="D257" s="186">
        <f>IFERROR(__xludf.DUMMYFUNCTION("""COMPUTED_VALUE"""),50.0)</f>
        <v>50</v>
      </c>
    </row>
    <row r="258">
      <c r="A258" s="178" t="str">
        <f>IFERROR(__xludf.DUMMYFUNCTION("""COMPUTED_VALUE"""),"ITBISA-7SEGMENT-ANODE-RED-0.56-1BIT")</f>
        <v>ITBISA-7SEGMENT-ANODE-RED-0.56-1BIT</v>
      </c>
      <c r="B258" s="266">
        <f>IFERROR(__xludf.DUMMYFUNCTION("""COMPUTED_VALUE"""),45429.0)</f>
        <v>45429</v>
      </c>
      <c r="C258" s="266" t="str">
        <f>IFERROR(__xludf.DUMMYFUNCTION("""COMPUTED_VALUE"""),"KERTASARI CIAMIS")</f>
        <v>KERTASARI CIAMIS</v>
      </c>
      <c r="D258" s="186">
        <f>IFERROR(__xludf.DUMMYFUNCTION("""COMPUTED_VALUE"""),120.0)</f>
        <v>120</v>
      </c>
    </row>
    <row r="259">
      <c r="A259" s="178" t="str">
        <f>IFERROR(__xludf.DUMMYFUNCTION("""COMPUTED_VALUE"""),"ITBISA-7SEGMENT-ANODE-RED-0.56-1BIT")</f>
        <v>ITBISA-7SEGMENT-ANODE-RED-0.56-1BIT</v>
      </c>
      <c r="B259" s="266">
        <f>IFERROR(__xludf.DUMMYFUNCTION("""COMPUTED_VALUE"""),45430.0)</f>
        <v>45430</v>
      </c>
      <c r="C259" s="266" t="str">
        <f>IFERROR(__xludf.DUMMYFUNCTION("""COMPUTED_VALUE"""),"KERTASARI CIAMIS")</f>
        <v>KERTASARI CIAMIS</v>
      </c>
      <c r="D259" s="186">
        <f>IFERROR(__xludf.DUMMYFUNCTION("""COMPUTED_VALUE"""),50.0)</f>
        <v>50</v>
      </c>
    </row>
    <row r="260">
      <c r="A260" s="178" t="str">
        <f>IFERROR(__xludf.DUMMYFUNCTION("""COMPUTED_VALUE"""),"ITBISA-7SEGMENT-ANODE-RED-0.56-1BIT")</f>
        <v>ITBISA-7SEGMENT-ANODE-RED-0.56-1BIT</v>
      </c>
      <c r="B260" s="266">
        <f>IFERROR(__xludf.DUMMYFUNCTION("""COMPUTED_VALUE"""),45434.0)</f>
        <v>45434</v>
      </c>
      <c r="C260" s="266" t="str">
        <f>IFERROR(__xludf.DUMMYFUNCTION("""COMPUTED_VALUE"""),"KERTASARI CIAMIS")</f>
        <v>KERTASARI CIAMIS</v>
      </c>
      <c r="D260" s="186">
        <f>IFERROR(__xludf.DUMMYFUNCTION("""COMPUTED_VALUE"""),60.0)</f>
        <v>60</v>
      </c>
    </row>
    <row r="261">
      <c r="A261" s="178" t="str">
        <f>IFERROR(__xludf.DUMMYFUNCTION("""COMPUTED_VALUE"""),"ITBISA-7SEGMENT-ANODE-RED-0.56-1BIT")</f>
        <v>ITBISA-7SEGMENT-ANODE-RED-0.56-1BIT</v>
      </c>
      <c r="B261" s="266">
        <f>IFERROR(__xludf.DUMMYFUNCTION("""COMPUTED_VALUE"""),45437.0)</f>
        <v>45437</v>
      </c>
      <c r="C261" s="266" t="str">
        <f>IFERROR(__xludf.DUMMYFUNCTION("""COMPUTED_VALUE"""),"KERTASARI CIAMIS")</f>
        <v>KERTASARI CIAMIS</v>
      </c>
      <c r="D261" s="186">
        <f>IFERROR(__xludf.DUMMYFUNCTION("""COMPUTED_VALUE"""),34.0)</f>
        <v>34</v>
      </c>
    </row>
    <row r="262">
      <c r="A262" s="178" t="str">
        <f>IFERROR(__xludf.DUMMYFUNCTION("""COMPUTED_VALUE"""),"ITBISA-7SEGMENT-ANODE-RED-0.56-1BIT")</f>
        <v>ITBISA-7SEGMENT-ANODE-RED-0.56-1BIT</v>
      </c>
      <c r="B262" s="266">
        <f>IFERROR(__xludf.DUMMYFUNCTION("""COMPUTED_VALUE"""),45439.0)</f>
        <v>45439</v>
      </c>
      <c r="C262" s="266" t="str">
        <f>IFERROR(__xludf.DUMMYFUNCTION("""COMPUTED_VALUE"""),"KERTASARI CIAMIS")</f>
        <v>KERTASARI CIAMIS</v>
      </c>
      <c r="D262" s="186">
        <f>IFERROR(__xludf.DUMMYFUNCTION("""COMPUTED_VALUE"""),10.0)</f>
        <v>10</v>
      </c>
    </row>
    <row r="263">
      <c r="A263" s="178" t="str">
        <f>IFERROR(__xludf.DUMMYFUNCTION("""COMPUTED_VALUE"""),"ITBISA-7SEGMENT-ANODE-RED-0.56-1BIT")</f>
        <v>ITBISA-7SEGMENT-ANODE-RED-0.56-1BIT</v>
      </c>
      <c r="B263" s="266">
        <f>IFERROR(__xludf.DUMMYFUNCTION("""COMPUTED_VALUE"""),45446.0)</f>
        <v>45446</v>
      </c>
      <c r="C263" s="266" t="str">
        <f>IFERROR(__xludf.DUMMYFUNCTION("""COMPUTED_VALUE"""),"KERTASARI CIAMIS")</f>
        <v>KERTASARI CIAMIS</v>
      </c>
      <c r="D263" s="186">
        <f>IFERROR(__xludf.DUMMYFUNCTION("""COMPUTED_VALUE"""),2.0)</f>
        <v>2</v>
      </c>
    </row>
    <row r="264">
      <c r="A264" s="178" t="str">
        <f>IFERROR(__xludf.DUMMYFUNCTION("""COMPUTED_VALUE"""),"ITBISA-7SEGMENT-ANODE-RED-0.56-1BIT")</f>
        <v>ITBISA-7SEGMENT-ANODE-RED-0.56-1BIT</v>
      </c>
      <c r="B264" s="266">
        <f>IFERROR(__xludf.DUMMYFUNCTION("""COMPUTED_VALUE"""),45446.0)</f>
        <v>45446</v>
      </c>
      <c r="C264" s="266" t="str">
        <f>IFERROR(__xludf.DUMMYFUNCTION("""COMPUTED_VALUE"""),"KYAI KONTONG")</f>
        <v>KYAI KONTONG</v>
      </c>
      <c r="D264" s="186">
        <f>IFERROR(__xludf.DUMMYFUNCTION("""COMPUTED_VALUE"""),50.0)</f>
        <v>50</v>
      </c>
    </row>
    <row r="265">
      <c r="A265" s="178" t="str">
        <f>IFERROR(__xludf.DUMMYFUNCTION("""COMPUTED_VALUE"""),"ITBISA-7SEGMENT-ANODE-RED-0.56-1BIT")</f>
        <v>ITBISA-7SEGMENT-ANODE-RED-0.56-1BIT</v>
      </c>
      <c r="B265" s="266">
        <f>IFERROR(__xludf.DUMMYFUNCTION("""COMPUTED_VALUE"""),45449.0)</f>
        <v>45449</v>
      </c>
      <c r="C265" s="266" t="str">
        <f>IFERROR(__xludf.DUMMYFUNCTION("""COMPUTED_VALUE"""),"KERTASARI CIAMIS")</f>
        <v>KERTASARI CIAMIS</v>
      </c>
      <c r="D265" s="186">
        <f>IFERROR(__xludf.DUMMYFUNCTION("""COMPUTED_VALUE"""),2.0)</f>
        <v>2</v>
      </c>
    </row>
    <row r="266">
      <c r="A266" s="178" t="str">
        <f>IFERROR(__xludf.DUMMYFUNCTION("""COMPUTED_VALUE"""),"ITBISA-7SEGMENT-ANODE-RED-0.56-1BIT")</f>
        <v>ITBISA-7SEGMENT-ANODE-RED-0.56-1BIT</v>
      </c>
      <c r="B266" s="266">
        <f>IFERROR(__xludf.DUMMYFUNCTION("""COMPUTED_VALUE"""),45449.0)</f>
        <v>45449</v>
      </c>
      <c r="C266" s="266" t="str">
        <f>IFERROR(__xludf.DUMMYFUNCTION("""COMPUTED_VALUE"""),"KERTASARI CIAMIS")</f>
        <v>KERTASARI CIAMIS</v>
      </c>
      <c r="D266" s="186">
        <f>IFERROR(__xludf.DUMMYFUNCTION("""COMPUTED_VALUE"""),20.0)</f>
        <v>20</v>
      </c>
    </row>
    <row r="267">
      <c r="A267" s="178" t="str">
        <f>IFERROR(__xludf.DUMMYFUNCTION("""COMPUTED_VALUE"""),"ITBISA-7SEGMENT-ANODE-RED-0.56-1BIT")</f>
        <v>ITBISA-7SEGMENT-ANODE-RED-0.56-1BIT</v>
      </c>
      <c r="B267" s="266">
        <f>IFERROR(__xludf.DUMMYFUNCTION("""COMPUTED_VALUE"""),45450.0)</f>
        <v>45450</v>
      </c>
      <c r="C267" s="266" t="str">
        <f>IFERROR(__xludf.DUMMYFUNCTION("""COMPUTED_VALUE"""),"KYAI KONTONG")</f>
        <v>KYAI KONTONG</v>
      </c>
      <c r="D267" s="186">
        <f>IFERROR(__xludf.DUMMYFUNCTION("""COMPUTED_VALUE"""),5.0)</f>
        <v>5</v>
      </c>
    </row>
    <row r="268">
      <c r="A268" s="178" t="str">
        <f>IFERROR(__xludf.DUMMYFUNCTION("""COMPUTED_VALUE"""),"ITBISA-7SEGMENT-ANODE-RED-0.56-1BIT")</f>
        <v>ITBISA-7SEGMENT-ANODE-RED-0.56-1BIT</v>
      </c>
      <c r="B268" s="266">
        <f>IFERROR(__xludf.DUMMYFUNCTION("""COMPUTED_VALUE"""),45456.0)</f>
        <v>45456</v>
      </c>
      <c r="C268" s="266" t="str">
        <f>IFERROR(__xludf.DUMMYFUNCTION("""COMPUTED_VALUE"""),"KERTASARI CIAMIS")</f>
        <v>KERTASARI CIAMIS</v>
      </c>
      <c r="D268" s="186">
        <f>IFERROR(__xludf.DUMMYFUNCTION("""COMPUTED_VALUE"""),50.0)</f>
        <v>50</v>
      </c>
    </row>
    <row r="269">
      <c r="A269" s="178" t="str">
        <f>IFERROR(__xludf.DUMMYFUNCTION("""COMPUTED_VALUE"""),"ITBISA-7SEGMENT-ANODE-RED-0.56-1BIT")</f>
        <v>ITBISA-7SEGMENT-ANODE-RED-0.56-1BIT</v>
      </c>
      <c r="B269" s="266">
        <f>IFERROR(__xludf.DUMMYFUNCTION("""COMPUTED_VALUE"""),45458.0)</f>
        <v>45458</v>
      </c>
      <c r="C269" s="266" t="str">
        <f>IFERROR(__xludf.DUMMYFUNCTION("""COMPUTED_VALUE"""),"KERTASARI CIAMIS")</f>
        <v>KERTASARI CIAMIS</v>
      </c>
      <c r="D269" s="186">
        <f>IFERROR(__xludf.DUMMYFUNCTION("""COMPUTED_VALUE"""),25.0)</f>
        <v>25</v>
      </c>
    </row>
    <row r="270">
      <c r="A270" s="178" t="str">
        <f>IFERROR(__xludf.DUMMYFUNCTION("""COMPUTED_VALUE"""),"ITBISA-7SEGMENT-ANODE-RED-0.56-1BIT")</f>
        <v>ITBISA-7SEGMENT-ANODE-RED-0.56-1BIT</v>
      </c>
      <c r="B270" s="266">
        <f>IFERROR(__xludf.DUMMYFUNCTION("""COMPUTED_VALUE"""),45462.0)</f>
        <v>45462</v>
      </c>
      <c r="C270" s="266" t="str">
        <f>IFERROR(__xludf.DUMMYFUNCTION("""COMPUTED_VALUE"""),"KYAI KONTONG")</f>
        <v>KYAI KONTONG</v>
      </c>
      <c r="D270" s="186">
        <f>IFERROR(__xludf.DUMMYFUNCTION("""COMPUTED_VALUE"""),20.0)</f>
        <v>20</v>
      </c>
    </row>
    <row r="271">
      <c r="A271" s="178" t="str">
        <f>IFERROR(__xludf.DUMMYFUNCTION("""COMPUTED_VALUE"""),"ITBISA-7SEGMENT-ANODE-RED-0.56-1BIT")</f>
        <v>ITBISA-7SEGMENT-ANODE-RED-0.56-1BIT</v>
      </c>
      <c r="B271" s="266">
        <f>IFERROR(__xludf.DUMMYFUNCTION("""COMPUTED_VALUE"""),45463.0)</f>
        <v>45463</v>
      </c>
      <c r="C271" s="266" t="str">
        <f>IFERROR(__xludf.DUMMYFUNCTION("""COMPUTED_VALUE"""),"KYAI KONTONG")</f>
        <v>KYAI KONTONG</v>
      </c>
      <c r="D271" s="186">
        <f>IFERROR(__xludf.DUMMYFUNCTION("""COMPUTED_VALUE"""),30.0)</f>
        <v>30</v>
      </c>
    </row>
    <row r="272">
      <c r="A272" s="178" t="str">
        <f>IFERROR(__xludf.DUMMYFUNCTION("""COMPUTED_VALUE"""),"ITBISA-7SEGMENT-ANODE-RED-0.56-1BIT")</f>
        <v>ITBISA-7SEGMENT-ANODE-RED-0.56-1BIT</v>
      </c>
      <c r="B272" s="266">
        <f>IFERROR(__xludf.DUMMYFUNCTION("""COMPUTED_VALUE"""),45464.0)</f>
        <v>45464</v>
      </c>
      <c r="C272" s="266" t="str">
        <f>IFERROR(__xludf.DUMMYFUNCTION("""COMPUTED_VALUE"""),"KYAI KONTONG")</f>
        <v>KYAI KONTONG</v>
      </c>
      <c r="D272" s="186">
        <f>IFERROR(__xludf.DUMMYFUNCTION("""COMPUTED_VALUE"""),50.0)</f>
        <v>50</v>
      </c>
    </row>
    <row r="273">
      <c r="A273" s="178" t="str">
        <f>IFERROR(__xludf.DUMMYFUNCTION("""COMPUTED_VALUE"""),"ITBISA-7SEGMENT-ANODE-RED-0.56-1BIT")</f>
        <v>ITBISA-7SEGMENT-ANODE-RED-0.56-1BIT</v>
      </c>
      <c r="B273" s="266">
        <f>IFERROR(__xludf.DUMMYFUNCTION("""COMPUTED_VALUE"""),45467.0)</f>
        <v>45467</v>
      </c>
      <c r="C273" s="266" t="str">
        <f>IFERROR(__xludf.DUMMYFUNCTION("""COMPUTED_VALUE"""),"KYAI KONTONG")</f>
        <v>KYAI KONTONG</v>
      </c>
      <c r="D273" s="186">
        <f>IFERROR(__xludf.DUMMYFUNCTION("""COMPUTED_VALUE"""),50.0)</f>
        <v>50</v>
      </c>
    </row>
    <row r="274">
      <c r="A274" s="178" t="str">
        <f>IFERROR(__xludf.DUMMYFUNCTION("""COMPUTED_VALUE"""),"ITBISA-7SEGMENT-ANODE-RED-0.56-1BIT")</f>
        <v>ITBISA-7SEGMENT-ANODE-RED-0.56-1BIT</v>
      </c>
      <c r="B274" s="266">
        <f>IFERROR(__xludf.DUMMYFUNCTION("""COMPUTED_VALUE"""),45468.0)</f>
        <v>45468</v>
      </c>
      <c r="C274" s="266" t="str">
        <f>IFERROR(__xludf.DUMMYFUNCTION("""COMPUTED_VALUE"""),"KERTASARI CIAMIS")</f>
        <v>KERTASARI CIAMIS</v>
      </c>
      <c r="D274" s="186">
        <f>IFERROR(__xludf.DUMMYFUNCTION("""COMPUTED_VALUE"""),100.0)</f>
        <v>100</v>
      </c>
    </row>
    <row r="275">
      <c r="A275" s="178" t="str">
        <f>IFERROR(__xludf.DUMMYFUNCTION("""COMPUTED_VALUE"""),"ITBISA-7SEGMENT-ANODE-RED-0.56-1BIT")</f>
        <v>ITBISA-7SEGMENT-ANODE-RED-0.56-1BIT</v>
      </c>
      <c r="B275" s="266">
        <f>IFERROR(__xludf.DUMMYFUNCTION("""COMPUTED_VALUE"""),45468.0)</f>
        <v>45468</v>
      </c>
      <c r="C275" s="266" t="str">
        <f>IFERROR(__xludf.DUMMYFUNCTION("""COMPUTED_VALUE"""),"KYAI KONTONG")</f>
        <v>KYAI KONTONG</v>
      </c>
      <c r="D275" s="186">
        <f>IFERROR(__xludf.DUMMYFUNCTION("""COMPUTED_VALUE"""),77.0)</f>
        <v>77</v>
      </c>
    </row>
    <row r="276">
      <c r="A276" s="178" t="str">
        <f>IFERROR(__xludf.DUMMYFUNCTION("""COMPUTED_VALUE"""),"ITBISA-7SEGMENT-ANODE-RED-0.56-1BIT")</f>
        <v>ITBISA-7SEGMENT-ANODE-RED-0.56-1BIT</v>
      </c>
      <c r="B276" s="266">
        <f>IFERROR(__xludf.DUMMYFUNCTION("""COMPUTED_VALUE"""),45473.0)</f>
        <v>45473</v>
      </c>
      <c r="C276" s="266" t="str">
        <f>IFERROR(__xludf.DUMMYFUNCTION("""COMPUTED_VALUE"""),"KERTASARI CIAMIS")</f>
        <v>KERTASARI CIAMIS</v>
      </c>
      <c r="D276" s="186">
        <f>IFERROR(__xludf.DUMMYFUNCTION("""COMPUTED_VALUE"""),120.0)</f>
        <v>120</v>
      </c>
    </row>
    <row r="277">
      <c r="A277" s="178" t="str">
        <f>IFERROR(__xludf.DUMMYFUNCTION("""COMPUTED_VALUE"""),"ITBISA-7SEGMENT-ANODE-RED-0.56-1BIT")</f>
        <v>ITBISA-7SEGMENT-ANODE-RED-0.56-1BIT</v>
      </c>
      <c r="B277" s="266">
        <f>IFERROR(__xludf.DUMMYFUNCTION("""COMPUTED_VALUE"""),45479.0)</f>
        <v>45479</v>
      </c>
      <c r="C277" s="266" t="str">
        <f>IFERROR(__xludf.DUMMYFUNCTION("""COMPUTED_VALUE"""),"KERTASARI CIAMIS")</f>
        <v>KERTASARI CIAMIS</v>
      </c>
      <c r="D277" s="186">
        <f>IFERROR(__xludf.DUMMYFUNCTION("""COMPUTED_VALUE"""),150.0)</f>
        <v>150</v>
      </c>
    </row>
    <row r="278">
      <c r="A278" s="178" t="str">
        <f>IFERROR(__xludf.DUMMYFUNCTION("""COMPUTED_VALUE"""),"ITBISA-7SEGMENT-ANODE-RED-0.56-1BIT")</f>
        <v>ITBISA-7SEGMENT-ANODE-RED-0.56-1BIT</v>
      </c>
      <c r="B278" s="266">
        <f>IFERROR(__xludf.DUMMYFUNCTION("""COMPUTED_VALUE"""),45488.0)</f>
        <v>45488</v>
      </c>
      <c r="C278" s="266" t="str">
        <f>IFERROR(__xludf.DUMMYFUNCTION("""COMPUTED_VALUE"""),"KERTASARI CIAMIS")</f>
        <v>KERTASARI CIAMIS</v>
      </c>
      <c r="D278" s="186">
        <f>IFERROR(__xludf.DUMMYFUNCTION("""COMPUTED_VALUE"""),300.0)</f>
        <v>300</v>
      </c>
    </row>
    <row r="279">
      <c r="A279" s="178" t="str">
        <f>IFERROR(__xludf.DUMMYFUNCTION("""COMPUTED_VALUE"""),"ITBISA-7SEGMENT-ANODE-RED-0.56-1BIT")</f>
        <v>ITBISA-7SEGMENT-ANODE-RED-0.56-1BIT</v>
      </c>
      <c r="B279" s="266">
        <f>IFERROR(__xludf.DUMMYFUNCTION("""COMPUTED_VALUE"""),45509.0)</f>
        <v>45509</v>
      </c>
      <c r="C279" s="266" t="str">
        <f>IFERROR(__xludf.DUMMYFUNCTION("""COMPUTED_VALUE"""),"KERTASARI CIAMIS")</f>
        <v>KERTASARI CIAMIS</v>
      </c>
      <c r="D279" s="186">
        <f>IFERROR(__xludf.DUMMYFUNCTION("""COMPUTED_VALUE"""),12.0)</f>
        <v>12</v>
      </c>
    </row>
    <row r="280">
      <c r="A280" s="178" t="str">
        <f>IFERROR(__xludf.DUMMYFUNCTION("""COMPUTED_VALUE"""),"ITBISA-7SEGMENT-ANODE-RED-0.56-1BIT")</f>
        <v>ITBISA-7SEGMENT-ANODE-RED-0.56-1BIT</v>
      </c>
      <c r="B280" s="266">
        <f>IFERROR(__xludf.DUMMYFUNCTION("""COMPUTED_VALUE"""),45514.0)</f>
        <v>45514</v>
      </c>
      <c r="C280" s="266" t="str">
        <f>IFERROR(__xludf.DUMMYFUNCTION("""COMPUTED_VALUE"""),"KERTASARI CIAMIS")</f>
        <v>KERTASARI CIAMIS</v>
      </c>
      <c r="D280" s="186">
        <f>IFERROR(__xludf.DUMMYFUNCTION("""COMPUTED_VALUE"""),240.0)</f>
        <v>240</v>
      </c>
    </row>
    <row r="281">
      <c r="A281" s="178" t="str">
        <f>IFERROR(__xludf.DUMMYFUNCTION("""COMPUTED_VALUE"""),"ITBISA-7SEGMENT-ANODE-RED-0.56-1BIT")</f>
        <v>ITBISA-7SEGMENT-ANODE-RED-0.56-1BIT</v>
      </c>
      <c r="B281" s="266">
        <f>IFERROR(__xludf.DUMMYFUNCTION("""COMPUTED_VALUE"""),45517.0)</f>
        <v>45517</v>
      </c>
      <c r="C281" s="266" t="str">
        <f>IFERROR(__xludf.DUMMYFUNCTION("""COMPUTED_VALUE"""),"KERTASARI CIAMIS")</f>
        <v>KERTASARI CIAMIS</v>
      </c>
      <c r="D281" s="186">
        <f>IFERROR(__xludf.DUMMYFUNCTION("""COMPUTED_VALUE"""),50.0)</f>
        <v>50</v>
      </c>
    </row>
    <row r="282">
      <c r="A282" s="178" t="str">
        <f>IFERROR(__xludf.DUMMYFUNCTION("""COMPUTED_VALUE"""),"ITBISA-7SEGMENT-ANODE-RED-0.56-1BIT")</f>
        <v>ITBISA-7SEGMENT-ANODE-RED-0.56-1BIT</v>
      </c>
      <c r="B282" s="266">
        <f>IFERROR(__xludf.DUMMYFUNCTION("""COMPUTED_VALUE"""),45523.0)</f>
        <v>45523</v>
      </c>
      <c r="C282" s="266" t="str">
        <f>IFERROR(__xludf.DUMMYFUNCTION("""COMPUTED_VALUE"""),"KERTASARI CIAMIS")</f>
        <v>KERTASARI CIAMIS</v>
      </c>
      <c r="D282" s="186">
        <f>IFERROR(__xludf.DUMMYFUNCTION("""COMPUTED_VALUE"""),6.0)</f>
        <v>6</v>
      </c>
    </row>
    <row r="283">
      <c r="A283" s="178" t="str">
        <f>IFERROR(__xludf.DUMMYFUNCTION("""COMPUTED_VALUE"""),"ITBISA-7SEGMENT-ANODE-RED-0.56-1BIT")</f>
        <v>ITBISA-7SEGMENT-ANODE-RED-0.56-1BIT</v>
      </c>
      <c r="B283" s="266">
        <f>IFERROR(__xludf.DUMMYFUNCTION("""COMPUTED_VALUE"""),45529.0)</f>
        <v>45529</v>
      </c>
      <c r="C283" s="266" t="str">
        <f>IFERROR(__xludf.DUMMYFUNCTION("""COMPUTED_VALUE"""),"KYAI KONTONG")</f>
        <v>KYAI KONTONG</v>
      </c>
      <c r="D283" s="186">
        <f>IFERROR(__xludf.DUMMYFUNCTION("""COMPUTED_VALUE"""),10.0)</f>
        <v>10</v>
      </c>
    </row>
    <row r="284">
      <c r="A284" s="178" t="str">
        <f>IFERROR(__xludf.DUMMYFUNCTION("""COMPUTED_VALUE"""),"ITBISA-7SEGMENT-ANODE-RED-0.56-1BIT")</f>
        <v>ITBISA-7SEGMENT-ANODE-RED-0.56-1BIT</v>
      </c>
      <c r="B284" s="266">
        <f>IFERROR(__xludf.DUMMYFUNCTION("""COMPUTED_VALUE"""),45534.0)</f>
        <v>45534</v>
      </c>
      <c r="C284" s="266" t="str">
        <f>IFERROR(__xludf.DUMMYFUNCTION("""COMPUTED_VALUE"""),"KYAI KONTONG")</f>
        <v>KYAI KONTONG</v>
      </c>
      <c r="D284" s="186">
        <f>IFERROR(__xludf.DUMMYFUNCTION("""COMPUTED_VALUE"""),10.0)</f>
        <v>10</v>
      </c>
    </row>
    <row r="285">
      <c r="A285" s="178" t="str">
        <f>IFERROR(__xludf.DUMMYFUNCTION("""COMPUTED_VALUE"""),"ITBISA-7SEGMENT-ANODE-RED-0.56-1BIT")</f>
        <v>ITBISA-7SEGMENT-ANODE-RED-0.56-1BIT</v>
      </c>
      <c r="B285" s="266">
        <f>IFERROR(__xludf.DUMMYFUNCTION("""COMPUTED_VALUE"""),45540.0)</f>
        <v>45540</v>
      </c>
      <c r="C285" s="266" t="str">
        <f>IFERROR(__xludf.DUMMYFUNCTION("""COMPUTED_VALUE"""),"KYAI KONTONG")</f>
        <v>KYAI KONTONG</v>
      </c>
      <c r="D285" s="186">
        <f>IFERROR(__xludf.DUMMYFUNCTION("""COMPUTED_VALUE"""),1000.0)</f>
        <v>1000</v>
      </c>
    </row>
    <row r="286">
      <c r="A286" s="178" t="str">
        <f>IFERROR(__xludf.DUMMYFUNCTION("""COMPUTED_VALUE"""),"ITBISA-7SEGMENT-ANODE-RED-0.56-1BIT")</f>
        <v>ITBISA-7SEGMENT-ANODE-RED-0.56-1BIT</v>
      </c>
      <c r="B286" s="266">
        <f>IFERROR(__xludf.DUMMYFUNCTION("""COMPUTED_VALUE"""),45559.0)</f>
        <v>45559</v>
      </c>
      <c r="C286" s="266" t="str">
        <f>IFERROR(__xludf.DUMMYFUNCTION("""COMPUTED_VALUE"""),"KERTASARI CIAMIS")</f>
        <v>KERTASARI CIAMIS</v>
      </c>
      <c r="D286" s="186">
        <f>IFERROR(__xludf.DUMMYFUNCTION("""COMPUTED_VALUE"""),300.0)</f>
        <v>300</v>
      </c>
    </row>
    <row r="287">
      <c r="A287" s="178" t="str">
        <f>IFERROR(__xludf.DUMMYFUNCTION("""COMPUTED_VALUE"""),"ITBISA-7SEGMENT-ANODE-RED-0.56-1BIT")</f>
        <v>ITBISA-7SEGMENT-ANODE-RED-0.56-1BIT</v>
      </c>
      <c r="B287" s="266">
        <f>IFERROR(__xludf.DUMMYFUNCTION("""COMPUTED_VALUE"""),45565.0)</f>
        <v>45565</v>
      </c>
      <c r="C287" s="266" t="str">
        <f>IFERROR(__xludf.DUMMYFUNCTION("""COMPUTED_VALUE"""),"KERTASARI CIAMIS")</f>
        <v>KERTASARI CIAMIS</v>
      </c>
      <c r="D287" s="186">
        <f>IFERROR(__xludf.DUMMYFUNCTION("""COMPUTED_VALUE"""),100.0)</f>
        <v>100</v>
      </c>
    </row>
    <row r="288">
      <c r="A288" s="178" t="str">
        <f>IFERROR(__xludf.DUMMYFUNCTION("""COMPUTED_VALUE"""),"ITBISA-7SEGMENT-ANODE-RED-0.56-1BIT")</f>
        <v>ITBISA-7SEGMENT-ANODE-RED-0.56-1BIT</v>
      </c>
      <c r="B288" s="266">
        <f>IFERROR(__xludf.DUMMYFUNCTION("""COMPUTED_VALUE"""),45566.0)</f>
        <v>45566</v>
      </c>
      <c r="C288" s="266" t="str">
        <f>IFERROR(__xludf.DUMMYFUNCTION("""COMPUTED_VALUE"""),"KERTASARI CIAMIS")</f>
        <v>KERTASARI CIAMIS</v>
      </c>
      <c r="D288" s="186">
        <f>IFERROR(__xludf.DUMMYFUNCTION("""COMPUTED_VALUE"""),50.0)</f>
        <v>50</v>
      </c>
    </row>
    <row r="289">
      <c r="A289" s="178" t="str">
        <f>IFERROR(__xludf.DUMMYFUNCTION("""COMPUTED_VALUE"""),"ITBISA-7SEGMENT-ANODE-RED-0.56-1BIT")</f>
        <v>ITBISA-7SEGMENT-ANODE-RED-0.56-1BIT</v>
      </c>
      <c r="B289" s="266">
        <f>IFERROR(__xludf.DUMMYFUNCTION("""COMPUTED_VALUE"""),45566.0)</f>
        <v>45566</v>
      </c>
      <c r="C289" s="266" t="str">
        <f>IFERROR(__xludf.DUMMYFUNCTION("""COMPUTED_VALUE"""),"KERTASARI CIAMIS")</f>
        <v>KERTASARI CIAMIS</v>
      </c>
      <c r="D289" s="186">
        <f>IFERROR(__xludf.DUMMYFUNCTION("""COMPUTED_VALUE"""),150.0)</f>
        <v>150</v>
      </c>
    </row>
    <row r="290">
      <c r="A290" s="178" t="str">
        <f>IFERROR(__xludf.DUMMYFUNCTION("""COMPUTED_VALUE"""),"ITBISA-7SEGMENT-ANODE-RED-0.56-1BIT")</f>
        <v>ITBISA-7SEGMENT-ANODE-RED-0.56-1BIT</v>
      </c>
      <c r="B290" s="266">
        <f>IFERROR(__xludf.DUMMYFUNCTION("""COMPUTED_VALUE"""),45590.0)</f>
        <v>45590</v>
      </c>
      <c r="C290" s="266" t="str">
        <f>IFERROR(__xludf.DUMMYFUNCTION("""COMPUTED_VALUE"""),"KERTASARI CIAMIS")</f>
        <v>KERTASARI CIAMIS</v>
      </c>
      <c r="D290" s="186">
        <f>IFERROR(__xludf.DUMMYFUNCTION("""COMPUTED_VALUE"""),150.0)</f>
        <v>150</v>
      </c>
    </row>
    <row r="291">
      <c r="A291" s="178" t="str">
        <f>IFERROR(__xludf.DUMMYFUNCTION("""COMPUTED_VALUE"""),"ITBISA-7SEGMENT-ANODE-RED-0.56-1BIT")</f>
        <v>ITBISA-7SEGMENT-ANODE-RED-0.56-1BIT</v>
      </c>
      <c r="B291" s="266">
        <f>IFERROR(__xludf.DUMMYFUNCTION("""COMPUTED_VALUE"""),45594.0)</f>
        <v>45594</v>
      </c>
      <c r="C291" s="266" t="str">
        <f>IFERROR(__xludf.DUMMYFUNCTION("""COMPUTED_VALUE"""),"KERTASARI CIAMIS")</f>
        <v>KERTASARI CIAMIS</v>
      </c>
      <c r="D291" s="186">
        <f>IFERROR(__xludf.DUMMYFUNCTION("""COMPUTED_VALUE"""),20.0)</f>
        <v>20</v>
      </c>
    </row>
    <row r="292">
      <c r="A292" s="178" t="str">
        <f>IFERROR(__xludf.DUMMYFUNCTION("""COMPUTED_VALUE"""),"ITBISA-7SEGMENT-ANODE-RED-0.56-1BIT")</f>
        <v>ITBISA-7SEGMENT-ANODE-RED-0.56-1BIT</v>
      </c>
      <c r="B292" s="266">
        <f>IFERROR(__xludf.DUMMYFUNCTION("""COMPUTED_VALUE"""),45596.0)</f>
        <v>45596</v>
      </c>
      <c r="C292" s="266" t="str">
        <f>IFERROR(__xludf.DUMMYFUNCTION("""COMPUTED_VALUE"""),"KERTASARI CIAMIS")</f>
        <v>KERTASARI CIAMIS</v>
      </c>
      <c r="D292" s="186">
        <f>IFERROR(__xludf.DUMMYFUNCTION("""COMPUTED_VALUE"""),150.0)</f>
        <v>150</v>
      </c>
    </row>
    <row r="293">
      <c r="A293" s="178" t="str">
        <f>IFERROR(__xludf.DUMMYFUNCTION("""COMPUTED_VALUE"""),"ITBISA-7SEGMENT-ANODE-RED-0.56-1BIT")</f>
        <v>ITBISA-7SEGMENT-ANODE-RED-0.56-1BIT</v>
      </c>
      <c r="B293" s="266">
        <f>IFERROR(__xludf.DUMMYFUNCTION("""COMPUTED_VALUE"""),45615.0)</f>
        <v>45615</v>
      </c>
      <c r="C293" s="266" t="str">
        <f>IFERROR(__xludf.DUMMYFUNCTION("""COMPUTED_VALUE"""),"KERTASARI CIAMIS")</f>
        <v>KERTASARI CIAMIS</v>
      </c>
      <c r="D293" s="186">
        <f>IFERROR(__xludf.DUMMYFUNCTION("""COMPUTED_VALUE"""),80.0)</f>
        <v>80</v>
      </c>
    </row>
    <row r="294">
      <c r="A294" s="178" t="str">
        <f>IFERROR(__xludf.DUMMYFUNCTION("""COMPUTED_VALUE"""),"ITBISA-7SEGMENT-ANODE-RED-0.56-1BIT")</f>
        <v>ITBISA-7SEGMENT-ANODE-RED-0.56-1BIT</v>
      </c>
      <c r="B294" s="266">
        <f>IFERROR(__xludf.DUMMYFUNCTION("""COMPUTED_VALUE"""),45618.0)</f>
        <v>45618</v>
      </c>
      <c r="C294" s="266" t="str">
        <f>IFERROR(__xludf.DUMMYFUNCTION("""COMPUTED_VALUE"""),"KYAI KONTONG")</f>
        <v>KYAI KONTONG</v>
      </c>
      <c r="D294" s="186">
        <f>IFERROR(__xludf.DUMMYFUNCTION("""COMPUTED_VALUE"""),13.0)</f>
        <v>13</v>
      </c>
    </row>
    <row r="295">
      <c r="A295" s="178" t="str">
        <f>IFERROR(__xludf.DUMMYFUNCTION("""COMPUTED_VALUE"""),"ITBISA-7SEGMENT-ANODE-RED-0.56-1BIT")</f>
        <v>ITBISA-7SEGMENT-ANODE-RED-0.56-1BIT</v>
      </c>
      <c r="B295" s="266">
        <f>IFERROR(__xludf.DUMMYFUNCTION("""COMPUTED_VALUE"""),45628.0)</f>
        <v>45628</v>
      </c>
      <c r="C295" s="266" t="str">
        <f>IFERROR(__xludf.DUMMYFUNCTION("""COMPUTED_VALUE"""),"KYAI KONTONG")</f>
        <v>KYAI KONTONG</v>
      </c>
      <c r="D295" s="186">
        <f>IFERROR(__xludf.DUMMYFUNCTION("""COMPUTED_VALUE"""),10.0)</f>
        <v>10</v>
      </c>
    </row>
    <row r="296">
      <c r="A296" s="178" t="str">
        <f>IFERROR(__xludf.DUMMYFUNCTION("""COMPUTED_VALUE"""),"ITBISA-7SEGMENT-ANODE-RED-0.56-1BIT")</f>
        <v>ITBISA-7SEGMENT-ANODE-RED-0.56-1BIT</v>
      </c>
      <c r="B296" s="266">
        <f>IFERROR(__xludf.DUMMYFUNCTION("""COMPUTED_VALUE"""),45630.0)</f>
        <v>45630</v>
      </c>
      <c r="C296" s="266" t="str">
        <f>IFERROR(__xludf.DUMMYFUNCTION("""COMPUTED_VALUE"""),"KYAI KONTONG")</f>
        <v>KYAI KONTONG</v>
      </c>
      <c r="D296" s="186">
        <f>IFERROR(__xludf.DUMMYFUNCTION("""COMPUTED_VALUE"""),20.0)</f>
        <v>20</v>
      </c>
    </row>
    <row r="297">
      <c r="A297" s="178" t="str">
        <f>IFERROR(__xludf.DUMMYFUNCTION("""COMPUTED_VALUE"""),"ITBISA-7SEGMENT-ANODE-RED-0.56-1BIT")</f>
        <v>ITBISA-7SEGMENT-ANODE-RED-0.56-1BIT</v>
      </c>
      <c r="B297" s="266">
        <f>IFERROR(__xludf.DUMMYFUNCTION("""COMPUTED_VALUE"""),45631.0)</f>
        <v>45631</v>
      </c>
      <c r="C297" s="266" t="str">
        <f>IFERROR(__xludf.DUMMYFUNCTION("""COMPUTED_VALUE"""),"KYAI KONTONG")</f>
        <v>KYAI KONTONG</v>
      </c>
      <c r="D297" s="186">
        <f>IFERROR(__xludf.DUMMYFUNCTION("""COMPUTED_VALUE"""),25.0)</f>
        <v>25</v>
      </c>
    </row>
    <row r="298">
      <c r="A298" s="178" t="str">
        <f>IFERROR(__xludf.DUMMYFUNCTION("""COMPUTED_VALUE"""),"ITBISA-7SEGMENT-ANODE-RED-0.56-1BIT")</f>
        <v>ITBISA-7SEGMENT-ANODE-RED-0.56-1BIT</v>
      </c>
      <c r="B298" s="266">
        <f>IFERROR(__xludf.DUMMYFUNCTION("""COMPUTED_VALUE"""),45636.0)</f>
        <v>45636</v>
      </c>
      <c r="C298" s="266" t="str">
        <f>IFERROR(__xludf.DUMMYFUNCTION("""COMPUTED_VALUE"""),"KYAI KONTONG")</f>
        <v>KYAI KONTONG</v>
      </c>
      <c r="D298" s="186">
        <f>IFERROR(__xludf.DUMMYFUNCTION("""COMPUTED_VALUE"""),10.0)</f>
        <v>10</v>
      </c>
    </row>
    <row r="299">
      <c r="A299" s="178" t="str">
        <f>IFERROR(__xludf.DUMMYFUNCTION("""COMPUTED_VALUE"""),"ITBISA-7SEGMENT-ANODE-RED-0.56-1BIT")</f>
        <v>ITBISA-7SEGMENT-ANODE-RED-0.56-1BIT</v>
      </c>
      <c r="B299" s="266">
        <f>IFERROR(__xludf.DUMMYFUNCTION("""COMPUTED_VALUE"""),45640.0)</f>
        <v>45640</v>
      </c>
      <c r="C299" s="266" t="str">
        <f>IFERROR(__xludf.DUMMYFUNCTION("""COMPUTED_VALUE"""),"KERTASARI CIAMIS")</f>
        <v>KERTASARI CIAMIS</v>
      </c>
      <c r="D299" s="186">
        <f>IFERROR(__xludf.DUMMYFUNCTION("""COMPUTED_VALUE"""),120.0)</f>
        <v>120</v>
      </c>
    </row>
    <row r="300">
      <c r="A300" s="178" t="str">
        <f>IFERROR(__xludf.DUMMYFUNCTION("""COMPUTED_VALUE"""),"ITBISA-7SEGMENT-ANODE-RED-0.56-1BIT")</f>
        <v>ITBISA-7SEGMENT-ANODE-RED-0.56-1BIT</v>
      </c>
      <c r="B300" s="266">
        <f>IFERROR(__xludf.DUMMYFUNCTION("""COMPUTED_VALUE"""),45641.0)</f>
        <v>45641</v>
      </c>
      <c r="C300" s="266" t="str">
        <f>IFERROR(__xludf.DUMMYFUNCTION("""COMPUTED_VALUE"""),"KERTASARI CIAMIS")</f>
        <v>KERTASARI CIAMIS</v>
      </c>
      <c r="D300" s="186">
        <f>IFERROR(__xludf.DUMMYFUNCTION("""COMPUTED_VALUE"""),12.0)</f>
        <v>12</v>
      </c>
    </row>
    <row r="301">
      <c r="A301" s="178" t="str">
        <f>IFERROR(__xludf.DUMMYFUNCTION("""COMPUTED_VALUE"""),"ITBISA-7SEGMENT-ANODE-RED-0.56-1BIT")</f>
        <v>ITBISA-7SEGMENT-ANODE-RED-0.56-1BIT</v>
      </c>
      <c r="B301" s="266">
        <f>IFERROR(__xludf.DUMMYFUNCTION("""COMPUTED_VALUE"""),45642.0)</f>
        <v>45642</v>
      </c>
      <c r="C301" s="266" t="str">
        <f>IFERROR(__xludf.DUMMYFUNCTION("""COMPUTED_VALUE"""),"KYAI KONTONG")</f>
        <v>KYAI KONTONG</v>
      </c>
      <c r="D301" s="186">
        <f>IFERROR(__xludf.DUMMYFUNCTION("""COMPUTED_VALUE"""),10.0)</f>
        <v>10</v>
      </c>
    </row>
    <row r="302">
      <c r="A302" s="178" t="str">
        <f>IFERROR(__xludf.DUMMYFUNCTION("""COMPUTED_VALUE"""),"ITBISA-7SEGMENT-ANODE-RED-0.56-1BIT")</f>
        <v>ITBISA-7SEGMENT-ANODE-RED-0.56-1BIT</v>
      </c>
      <c r="B302" s="266">
        <f>IFERROR(__xludf.DUMMYFUNCTION("""COMPUTED_VALUE"""),45643.0)</f>
        <v>45643</v>
      </c>
      <c r="C302" s="266" t="str">
        <f>IFERROR(__xludf.DUMMYFUNCTION("""COMPUTED_VALUE"""),"KERTASARI CIAMIS")</f>
        <v>KERTASARI CIAMIS</v>
      </c>
      <c r="D302" s="186">
        <f>IFERROR(__xludf.DUMMYFUNCTION("""COMPUTED_VALUE"""),50.0)</f>
        <v>50</v>
      </c>
    </row>
    <row r="303">
      <c r="A303" s="178" t="str">
        <f>IFERROR(__xludf.DUMMYFUNCTION("""COMPUTED_VALUE"""),"ITBISA-7SEGMENT-ANODE-RED-0.56-1BIT")</f>
        <v>ITBISA-7SEGMENT-ANODE-RED-0.56-1BIT</v>
      </c>
      <c r="B303" s="266">
        <f>IFERROR(__xludf.DUMMYFUNCTION("""COMPUTED_VALUE"""),45643.0)</f>
        <v>45643</v>
      </c>
      <c r="C303" s="266" t="str">
        <f>IFERROR(__xludf.DUMMYFUNCTION("""COMPUTED_VALUE"""),"KERTASARI CIAMIS")</f>
        <v>KERTASARI CIAMIS</v>
      </c>
      <c r="D303" s="186">
        <f>IFERROR(__xludf.DUMMYFUNCTION("""COMPUTED_VALUE"""),150.0)</f>
        <v>150</v>
      </c>
    </row>
    <row r="304">
      <c r="A304" s="178" t="str">
        <f>IFERROR(__xludf.DUMMYFUNCTION("""COMPUTED_VALUE"""),"ITBISA-7SEGMENT-ANODE-RED-0.56-1BIT")</f>
        <v>ITBISA-7SEGMENT-ANODE-RED-0.56-1BIT</v>
      </c>
      <c r="B304" s="266">
        <f>IFERROR(__xludf.DUMMYFUNCTION("""COMPUTED_VALUE"""),45644.0)</f>
        <v>45644</v>
      </c>
      <c r="C304" s="266" t="str">
        <f>IFERROR(__xludf.DUMMYFUNCTION("""COMPUTED_VALUE"""),"KYAI KONTONG")</f>
        <v>KYAI KONTONG</v>
      </c>
      <c r="D304" s="186">
        <f>IFERROR(__xludf.DUMMYFUNCTION("""COMPUTED_VALUE"""),10.0)</f>
        <v>10</v>
      </c>
    </row>
    <row r="305">
      <c r="A305" s="178" t="str">
        <f>IFERROR(__xludf.DUMMYFUNCTION("""COMPUTED_VALUE"""),"ITBISA-7SEGMENT-ANODE-RED-0.56-1BIT")</f>
        <v>ITBISA-7SEGMENT-ANODE-RED-0.56-1BIT</v>
      </c>
      <c r="B305" s="266">
        <f>IFERROR(__xludf.DUMMYFUNCTION("""COMPUTED_VALUE"""),45645.0)</f>
        <v>45645</v>
      </c>
      <c r="C305" s="266" t="str">
        <f>IFERROR(__xludf.DUMMYFUNCTION("""COMPUTED_VALUE"""),"KYAI KONTONG")</f>
        <v>KYAI KONTONG</v>
      </c>
      <c r="D305" s="186">
        <f>IFERROR(__xludf.DUMMYFUNCTION("""COMPUTED_VALUE"""),3.0)</f>
        <v>3</v>
      </c>
    </row>
    <row r="306">
      <c r="A306" s="178" t="str">
        <f>IFERROR(__xludf.DUMMYFUNCTION("""COMPUTED_VALUE"""),"ITBISA-7SEGMENT-ANODE-RED-0.56-1BIT")</f>
        <v>ITBISA-7SEGMENT-ANODE-RED-0.56-1BIT</v>
      </c>
      <c r="B306" s="266">
        <f>IFERROR(__xludf.DUMMYFUNCTION("""COMPUTED_VALUE"""),45645.0)</f>
        <v>45645</v>
      </c>
      <c r="C306" s="266" t="str">
        <f>IFERROR(__xludf.DUMMYFUNCTION("""COMPUTED_VALUE"""),"KYAI KONTONG")</f>
        <v>KYAI KONTONG</v>
      </c>
      <c r="D306" s="186">
        <f>IFERROR(__xludf.DUMMYFUNCTION("""COMPUTED_VALUE"""),10.0)</f>
        <v>10</v>
      </c>
    </row>
    <row r="307">
      <c r="A307" s="178" t="str">
        <f>IFERROR(__xludf.DUMMYFUNCTION("""COMPUTED_VALUE"""),"ITBISA-7SEGMENT-ANODE-RED-0.56-1BIT")</f>
        <v>ITBISA-7SEGMENT-ANODE-RED-0.56-1BIT</v>
      </c>
      <c r="B307" s="266">
        <f>IFERROR(__xludf.DUMMYFUNCTION("""COMPUTED_VALUE"""),45645.0)</f>
        <v>45645</v>
      </c>
      <c r="C307" s="266" t="str">
        <f>IFERROR(__xludf.DUMMYFUNCTION("""COMPUTED_VALUE"""),"KYAI KONTONG")</f>
        <v>KYAI KONTONG</v>
      </c>
      <c r="D307" s="186">
        <f>IFERROR(__xludf.DUMMYFUNCTION("""COMPUTED_VALUE"""),10.0)</f>
        <v>10</v>
      </c>
    </row>
    <row r="308">
      <c r="A308" s="178" t="str">
        <f>IFERROR(__xludf.DUMMYFUNCTION("""COMPUTED_VALUE"""),"ITBISA-7SEGMENT-ANODE-RED-0.56-1BIT")</f>
        <v>ITBISA-7SEGMENT-ANODE-RED-0.56-1BIT</v>
      </c>
      <c r="B308" s="266">
        <f>IFERROR(__xludf.DUMMYFUNCTION("""COMPUTED_VALUE"""),45651.0)</f>
        <v>45651</v>
      </c>
      <c r="C308" s="266" t="str">
        <f>IFERROR(__xludf.DUMMYFUNCTION("""COMPUTED_VALUE"""),"KERTASARI CIAMIS")</f>
        <v>KERTASARI CIAMIS</v>
      </c>
      <c r="D308" s="186">
        <f>IFERROR(__xludf.DUMMYFUNCTION("""COMPUTED_VALUE"""),30.0)</f>
        <v>30</v>
      </c>
    </row>
    <row r="309">
      <c r="A309" s="178" t="str">
        <f>IFERROR(__xludf.DUMMYFUNCTION("""COMPUTED_VALUE"""),"ITBISA-7SEGMENT-ANODE-RED-0.56-1BIT")</f>
        <v>ITBISA-7SEGMENT-ANODE-RED-0.56-1BIT</v>
      </c>
      <c r="B309" s="266">
        <f>IFERROR(__xludf.DUMMYFUNCTION("""COMPUTED_VALUE"""),45652.0)</f>
        <v>45652</v>
      </c>
      <c r="C309" s="266" t="str">
        <f>IFERROR(__xludf.DUMMYFUNCTION("""COMPUTED_VALUE"""),"KYAI KONTONG")</f>
        <v>KYAI KONTONG</v>
      </c>
      <c r="D309" s="186">
        <f>IFERROR(__xludf.DUMMYFUNCTION("""COMPUTED_VALUE"""),50.0)</f>
        <v>50</v>
      </c>
    </row>
    <row r="310">
      <c r="A310" s="178" t="str">
        <f>IFERROR(__xludf.DUMMYFUNCTION("""COMPUTED_VALUE"""),"ITBISA-7SEGMENT-ANODE-RED-0.56-1BIT")</f>
        <v>ITBISA-7SEGMENT-ANODE-RED-0.56-1BIT</v>
      </c>
      <c r="B310" s="266">
        <f>IFERROR(__xludf.DUMMYFUNCTION("""COMPUTED_VALUE"""),45659.0)</f>
        <v>45659</v>
      </c>
      <c r="C310" s="266" t="str">
        <f>IFERROR(__xludf.DUMMYFUNCTION("""COMPUTED_VALUE"""),"KERTASARI CIAMIS")</f>
        <v>KERTASARI CIAMIS</v>
      </c>
      <c r="D310" s="186">
        <f>IFERROR(__xludf.DUMMYFUNCTION("""COMPUTED_VALUE"""),150.0)</f>
        <v>150</v>
      </c>
    </row>
    <row r="311">
      <c r="A311" s="178" t="str">
        <f>IFERROR(__xludf.DUMMYFUNCTION("""COMPUTED_VALUE"""),"ITBISA-7SEGMENT-ANODE-RED-0.56-1BIT")</f>
        <v>ITBISA-7SEGMENT-ANODE-RED-0.56-1BIT</v>
      </c>
      <c r="B311" s="266">
        <f>IFERROR(__xludf.DUMMYFUNCTION("""COMPUTED_VALUE"""),45659.0)</f>
        <v>45659</v>
      </c>
      <c r="C311" s="266" t="str">
        <f>IFERROR(__xludf.DUMMYFUNCTION("""COMPUTED_VALUE"""),"KYAI KONTONG")</f>
        <v>KYAI KONTONG</v>
      </c>
      <c r="D311" s="186">
        <f>IFERROR(__xludf.DUMMYFUNCTION("""COMPUTED_VALUE"""),25.0)</f>
        <v>25</v>
      </c>
    </row>
    <row r="312">
      <c r="A312" s="178" t="str">
        <f>IFERROR(__xludf.DUMMYFUNCTION("""COMPUTED_VALUE"""),"ITBISA-7SEGMENT-ANODE-RED-0.56-1BIT")</f>
        <v>ITBISA-7SEGMENT-ANODE-RED-0.56-1BIT</v>
      </c>
      <c r="B312" s="266">
        <f>IFERROR(__xludf.DUMMYFUNCTION("""COMPUTED_VALUE"""),45661.0)</f>
        <v>45661</v>
      </c>
      <c r="C312" s="266" t="str">
        <f>IFERROR(__xludf.DUMMYFUNCTION("""COMPUTED_VALUE"""),"KERTASARI CIAMIS")</f>
        <v>KERTASARI CIAMIS</v>
      </c>
      <c r="D312" s="186">
        <f>IFERROR(__xludf.DUMMYFUNCTION("""COMPUTED_VALUE"""),300.0)</f>
        <v>300</v>
      </c>
    </row>
    <row r="313">
      <c r="A313" s="178" t="str">
        <f>IFERROR(__xludf.DUMMYFUNCTION("""COMPUTED_VALUE"""),"ITBISA-7SEGMENT-ANODE-RED-0.56-1BIT")</f>
        <v>ITBISA-7SEGMENT-ANODE-RED-0.56-1BIT</v>
      </c>
      <c r="B313" s="266">
        <f>IFERROR(__xludf.DUMMYFUNCTION("""COMPUTED_VALUE"""),45663.0)</f>
        <v>45663</v>
      </c>
      <c r="C313" s="266" t="str">
        <f>IFERROR(__xludf.DUMMYFUNCTION("""COMPUTED_VALUE"""),"KERTASARI CIAMIS")</f>
        <v>KERTASARI CIAMIS</v>
      </c>
      <c r="D313" s="186">
        <f>IFERROR(__xludf.DUMMYFUNCTION("""COMPUTED_VALUE"""),70.0)</f>
        <v>70</v>
      </c>
    </row>
    <row r="314">
      <c r="A314" s="178" t="str">
        <f>IFERROR(__xludf.DUMMYFUNCTION("""COMPUTED_VALUE"""),"ITBISA-7SEGMENT-ANODE-RED-0.56-1BIT")</f>
        <v>ITBISA-7SEGMENT-ANODE-RED-0.56-1BIT</v>
      </c>
      <c r="B314" s="266">
        <f>IFERROR(__xludf.DUMMYFUNCTION("""COMPUTED_VALUE"""),45664.0)</f>
        <v>45664</v>
      </c>
      <c r="C314" s="266" t="str">
        <f>IFERROR(__xludf.DUMMYFUNCTION("""COMPUTED_VALUE"""),"KYAI KONTONG")</f>
        <v>KYAI KONTONG</v>
      </c>
      <c r="D314" s="186">
        <f>IFERROR(__xludf.DUMMYFUNCTION("""COMPUTED_VALUE"""),60.0)</f>
        <v>60</v>
      </c>
    </row>
    <row r="315">
      <c r="A315" s="178" t="str">
        <f>IFERROR(__xludf.DUMMYFUNCTION("""COMPUTED_VALUE"""),"ITBISA-7SEGMENT-ANODE-RED-0.56-1BIT")</f>
        <v>ITBISA-7SEGMENT-ANODE-RED-0.56-1BIT</v>
      </c>
      <c r="B315" s="266">
        <f>IFERROR(__xludf.DUMMYFUNCTION("""COMPUTED_VALUE"""),45667.0)</f>
        <v>45667</v>
      </c>
      <c r="C315" s="266" t="str">
        <f>IFERROR(__xludf.DUMMYFUNCTION("""COMPUTED_VALUE"""),"KERTASARI CIAMIS")</f>
        <v>KERTASARI CIAMIS</v>
      </c>
      <c r="D315" s="186">
        <f>IFERROR(__xludf.DUMMYFUNCTION("""COMPUTED_VALUE"""),60.0)</f>
        <v>60</v>
      </c>
    </row>
    <row r="316">
      <c r="A316" s="178" t="str">
        <f>IFERROR(__xludf.DUMMYFUNCTION("""COMPUTED_VALUE"""),"ITBISA-7SEGMENT-ANODE-RED-0.56-1BIT")</f>
        <v>ITBISA-7SEGMENT-ANODE-RED-0.56-1BIT</v>
      </c>
      <c r="B316" s="266">
        <f>IFERROR(__xludf.DUMMYFUNCTION("""COMPUTED_VALUE"""),45671.0)</f>
        <v>45671</v>
      </c>
      <c r="C316" s="266" t="str">
        <f>IFERROR(__xludf.DUMMYFUNCTION("""COMPUTED_VALUE"""),"KYAI KONTONG")</f>
        <v>KYAI KONTONG</v>
      </c>
      <c r="D316" s="186">
        <f>IFERROR(__xludf.DUMMYFUNCTION("""COMPUTED_VALUE"""),10.0)</f>
        <v>10</v>
      </c>
    </row>
    <row r="317">
      <c r="A317" s="178" t="str">
        <f>IFERROR(__xludf.DUMMYFUNCTION("""COMPUTED_VALUE"""),"ITBISA-7SEGMENT-ANODE-RED-0.56-1BIT")</f>
        <v>ITBISA-7SEGMENT-ANODE-RED-0.56-1BIT</v>
      </c>
      <c r="B317" s="266">
        <f>IFERROR(__xludf.DUMMYFUNCTION("""COMPUTED_VALUE"""),45672.0)</f>
        <v>45672</v>
      </c>
      <c r="C317" s="266" t="str">
        <f>IFERROR(__xludf.DUMMYFUNCTION("""COMPUTED_VALUE"""),"KYAI KONTONG")</f>
        <v>KYAI KONTONG</v>
      </c>
      <c r="D317" s="186">
        <f>IFERROR(__xludf.DUMMYFUNCTION("""COMPUTED_VALUE"""),10.0)</f>
        <v>10</v>
      </c>
    </row>
    <row r="318">
      <c r="A318" s="178" t="str">
        <f>IFERROR(__xludf.DUMMYFUNCTION("""COMPUTED_VALUE"""),"ITBISA-7SEGMENT-ANODE-RED-0.56-1BIT")</f>
        <v>ITBISA-7SEGMENT-ANODE-RED-0.56-1BIT</v>
      </c>
      <c r="B318" s="266">
        <f>IFERROR(__xludf.DUMMYFUNCTION("""COMPUTED_VALUE"""),45677.0)</f>
        <v>45677</v>
      </c>
      <c r="C318" s="266" t="str">
        <f>IFERROR(__xludf.DUMMYFUNCTION("""COMPUTED_VALUE"""),"KERTASARI CIAMIS")</f>
        <v>KERTASARI CIAMIS</v>
      </c>
      <c r="D318" s="186">
        <f>IFERROR(__xludf.DUMMYFUNCTION("""COMPUTED_VALUE"""),30.0)</f>
        <v>30</v>
      </c>
    </row>
    <row r="319">
      <c r="A319" s="178" t="str">
        <f>IFERROR(__xludf.DUMMYFUNCTION("""COMPUTED_VALUE"""),"ITBISA-7SEGMENT-ANODE-RED-0.56-1BIT")</f>
        <v>ITBISA-7SEGMENT-ANODE-RED-0.56-1BIT</v>
      </c>
      <c r="B319" s="266">
        <f>IFERROR(__xludf.DUMMYFUNCTION("""COMPUTED_VALUE"""),45677.0)</f>
        <v>45677</v>
      </c>
      <c r="C319" s="266" t="str">
        <f>IFERROR(__xludf.DUMMYFUNCTION("""COMPUTED_VALUE"""),"KYAI KONTONG")</f>
        <v>KYAI KONTONG</v>
      </c>
      <c r="D319" s="186">
        <f>IFERROR(__xludf.DUMMYFUNCTION("""COMPUTED_VALUE"""),300.0)</f>
        <v>300</v>
      </c>
    </row>
    <row r="320">
      <c r="A320" s="178" t="str">
        <f>IFERROR(__xludf.DUMMYFUNCTION("""COMPUTED_VALUE"""),"ITBISA-7SEGMENT-ANODE-RED-0.56-1BIT")</f>
        <v>ITBISA-7SEGMENT-ANODE-RED-0.56-1BIT</v>
      </c>
      <c r="B320" s="266">
        <f>IFERROR(__xludf.DUMMYFUNCTION("""COMPUTED_VALUE"""),45679.0)</f>
        <v>45679</v>
      </c>
      <c r="C320" s="266" t="str">
        <f>IFERROR(__xludf.DUMMYFUNCTION("""COMPUTED_VALUE"""),"KYAI KONTONG")</f>
        <v>KYAI KONTONG</v>
      </c>
      <c r="D320" s="186">
        <f>IFERROR(__xludf.DUMMYFUNCTION("""COMPUTED_VALUE"""),50.0)</f>
        <v>50</v>
      </c>
    </row>
    <row r="321">
      <c r="A321" s="178" t="str">
        <f>IFERROR(__xludf.DUMMYFUNCTION("""COMPUTED_VALUE"""),"ITBISA-7SEGMENT-ANODE-RED-0.56-1BIT")</f>
        <v>ITBISA-7SEGMENT-ANODE-RED-0.56-1BIT</v>
      </c>
      <c r="B321" s="266">
        <f>IFERROR(__xludf.DUMMYFUNCTION("""COMPUTED_VALUE"""),45681.0)</f>
        <v>45681</v>
      </c>
      <c r="C321" s="266" t="str">
        <f>IFERROR(__xludf.DUMMYFUNCTION("""COMPUTED_VALUE"""),"KYAI KONTONG")</f>
        <v>KYAI KONTONG</v>
      </c>
      <c r="D321" s="186">
        <f>IFERROR(__xludf.DUMMYFUNCTION("""COMPUTED_VALUE"""),10.0)</f>
        <v>10</v>
      </c>
    </row>
    <row r="322">
      <c r="A322" s="178" t="str">
        <f>IFERROR(__xludf.DUMMYFUNCTION("""COMPUTED_VALUE"""),"ITBISA-7SEGMENT-ANODE-RED-0.56-1BIT")</f>
        <v>ITBISA-7SEGMENT-ANODE-RED-0.56-1BIT</v>
      </c>
      <c r="B322" s="266">
        <f>IFERROR(__xludf.DUMMYFUNCTION("""COMPUTED_VALUE"""),45682.0)</f>
        <v>45682</v>
      </c>
      <c r="C322" s="266" t="str">
        <f>IFERROR(__xludf.DUMMYFUNCTION("""COMPUTED_VALUE"""),"KYAI KONTONG")</f>
        <v>KYAI KONTONG</v>
      </c>
      <c r="D322" s="186">
        <f>IFERROR(__xludf.DUMMYFUNCTION("""COMPUTED_VALUE"""),1.0)</f>
        <v>1</v>
      </c>
    </row>
    <row r="323">
      <c r="A323" s="178" t="str">
        <f>IFERROR(__xludf.DUMMYFUNCTION("""COMPUTED_VALUE"""),"ITBISA-7SEGMENT-ANODE-RED-0.56-1BIT")</f>
        <v>ITBISA-7SEGMENT-ANODE-RED-0.56-1BIT</v>
      </c>
      <c r="B323" s="266">
        <f>IFERROR(__xludf.DUMMYFUNCTION("""COMPUTED_VALUE"""),45689.0)</f>
        <v>45689</v>
      </c>
      <c r="C323" s="266" t="str">
        <f>IFERROR(__xludf.DUMMYFUNCTION("""COMPUTED_VALUE"""),"KERTASARI CIAMIS")</f>
        <v>KERTASARI CIAMIS</v>
      </c>
      <c r="D323" s="186">
        <f>IFERROR(__xludf.DUMMYFUNCTION("""COMPUTED_VALUE"""),27.0)</f>
        <v>27</v>
      </c>
    </row>
    <row r="324">
      <c r="A324" s="178" t="str">
        <f>IFERROR(__xludf.DUMMYFUNCTION("""COMPUTED_VALUE"""),"ITBISA-7SEGMENT-ANODE-RED-0.56-1BIT")</f>
        <v>ITBISA-7SEGMENT-ANODE-RED-0.56-1BIT</v>
      </c>
      <c r="B324" s="266">
        <f>IFERROR(__xludf.DUMMYFUNCTION("""COMPUTED_VALUE"""),45693.0)</f>
        <v>45693</v>
      </c>
      <c r="C324" s="266" t="str">
        <f>IFERROR(__xludf.DUMMYFUNCTION("""COMPUTED_VALUE"""),"KERTASARI CIAMIS")</f>
        <v>KERTASARI CIAMIS</v>
      </c>
      <c r="D324" s="186">
        <f>IFERROR(__xludf.DUMMYFUNCTION("""COMPUTED_VALUE"""),50.0)</f>
        <v>50</v>
      </c>
    </row>
    <row r="325">
      <c r="A325" s="178" t="str">
        <f>IFERROR(__xludf.DUMMYFUNCTION("""COMPUTED_VALUE"""),"ITBISA-7SEGMENT-ANODE-RED-0.56-1BIT")</f>
        <v>ITBISA-7SEGMENT-ANODE-RED-0.56-1BIT</v>
      </c>
      <c r="B325" s="266">
        <f>IFERROR(__xludf.DUMMYFUNCTION("""COMPUTED_VALUE"""),45694.0)</f>
        <v>45694</v>
      </c>
      <c r="C325" s="266" t="str">
        <f>IFERROR(__xludf.DUMMYFUNCTION("""COMPUTED_VALUE"""),"KYAI KONTONG")</f>
        <v>KYAI KONTONG</v>
      </c>
      <c r="D325" s="186">
        <f>IFERROR(__xludf.DUMMYFUNCTION("""COMPUTED_VALUE"""),25.0)</f>
        <v>25</v>
      </c>
    </row>
    <row r="326">
      <c r="A326" s="178" t="str">
        <f>IFERROR(__xludf.DUMMYFUNCTION("""COMPUTED_VALUE"""),"ITBISA-7SEGMENT-ANODE-RED-0.56-1BIT")</f>
        <v>ITBISA-7SEGMENT-ANODE-RED-0.56-1BIT</v>
      </c>
      <c r="B326" s="266">
        <f>IFERROR(__xludf.DUMMYFUNCTION("""COMPUTED_VALUE"""),45695.0)</f>
        <v>45695</v>
      </c>
      <c r="C326" s="266" t="str">
        <f>IFERROR(__xludf.DUMMYFUNCTION("""COMPUTED_VALUE"""),"KYAI KONTONG")</f>
        <v>KYAI KONTONG</v>
      </c>
      <c r="D326" s="186">
        <f>IFERROR(__xludf.DUMMYFUNCTION("""COMPUTED_VALUE"""),10.0)</f>
        <v>10</v>
      </c>
    </row>
    <row r="327">
      <c r="A327" s="178" t="str">
        <f>IFERROR(__xludf.DUMMYFUNCTION("""COMPUTED_VALUE"""),"ITBISA-7SEGMENT-ANODE-RED-0.56-1BIT")</f>
        <v>ITBISA-7SEGMENT-ANODE-RED-0.56-1BIT</v>
      </c>
      <c r="B327" s="266">
        <f>IFERROR(__xludf.DUMMYFUNCTION("""COMPUTED_VALUE"""),45696.0)</f>
        <v>45696</v>
      </c>
      <c r="C327" s="266" t="str">
        <f>IFERROR(__xludf.DUMMYFUNCTION("""COMPUTED_VALUE"""),"KERTASARI CIAMIS")</f>
        <v>KERTASARI CIAMIS</v>
      </c>
      <c r="D327" s="186">
        <f>IFERROR(__xludf.DUMMYFUNCTION("""COMPUTED_VALUE"""),640.0)</f>
        <v>640</v>
      </c>
    </row>
    <row r="328">
      <c r="A328" s="178" t="str">
        <f>IFERROR(__xludf.DUMMYFUNCTION("""COMPUTED_VALUE"""),"ITBISA-7SEGMENT-ANODE-RED-0.56-1BIT")</f>
        <v>ITBISA-7SEGMENT-ANODE-RED-0.56-1BIT</v>
      </c>
      <c r="B328" s="266">
        <f>IFERROR(__xludf.DUMMYFUNCTION("""COMPUTED_VALUE"""),45698.0)</f>
        <v>45698</v>
      </c>
      <c r="C328" s="266" t="str">
        <f>IFERROR(__xludf.DUMMYFUNCTION("""COMPUTED_VALUE"""),"KYAI KONTONG")</f>
        <v>KYAI KONTONG</v>
      </c>
      <c r="D328" s="186">
        <f>IFERROR(__xludf.DUMMYFUNCTION("""COMPUTED_VALUE"""),100.0)</f>
        <v>100</v>
      </c>
    </row>
    <row r="329">
      <c r="A329" s="178" t="str">
        <f>IFERROR(__xludf.DUMMYFUNCTION("""COMPUTED_VALUE"""),"ITBISA-7SEGMENT-ANODE-RED-0.56-1BIT")</f>
        <v>ITBISA-7SEGMENT-ANODE-RED-0.56-1BIT</v>
      </c>
      <c r="B329" s="266">
        <f>IFERROR(__xludf.DUMMYFUNCTION("""COMPUTED_VALUE"""),45699.0)</f>
        <v>45699</v>
      </c>
      <c r="C329" s="266" t="str">
        <f>IFERROR(__xludf.DUMMYFUNCTION("""COMPUTED_VALUE"""),"KYAI KONTONG")</f>
        <v>KYAI KONTONG</v>
      </c>
      <c r="D329" s="186">
        <f>IFERROR(__xludf.DUMMYFUNCTION("""COMPUTED_VALUE"""),34.0)</f>
        <v>34</v>
      </c>
    </row>
    <row r="330">
      <c r="A330" s="178" t="str">
        <f>IFERROR(__xludf.DUMMYFUNCTION("""COMPUTED_VALUE"""),"ITBISA-7SEGMENT-ANODE-RED-0.56-1BIT")</f>
        <v>ITBISA-7SEGMENT-ANODE-RED-0.56-1BIT</v>
      </c>
      <c r="B330" s="266">
        <f>IFERROR(__xludf.DUMMYFUNCTION("""COMPUTED_VALUE"""),45702.0)</f>
        <v>45702</v>
      </c>
      <c r="C330" s="266" t="str">
        <f>IFERROR(__xludf.DUMMYFUNCTION("""COMPUTED_VALUE"""),"KYAI KONTONG")</f>
        <v>KYAI KONTONG</v>
      </c>
      <c r="D330" s="186">
        <f>IFERROR(__xludf.DUMMYFUNCTION("""COMPUTED_VALUE"""),5.0)</f>
        <v>5</v>
      </c>
    </row>
    <row r="331">
      <c r="A331" s="178" t="str">
        <f>IFERROR(__xludf.DUMMYFUNCTION("""COMPUTED_VALUE"""),"ITBISA-7SEGMENT-ANODE-RED-0.56-1BIT")</f>
        <v>ITBISA-7SEGMENT-ANODE-RED-0.56-1BIT</v>
      </c>
      <c r="B331" s="266">
        <f>IFERROR(__xludf.DUMMYFUNCTION("""COMPUTED_VALUE"""),45705.0)</f>
        <v>45705</v>
      </c>
      <c r="C331" s="266" t="str">
        <f>IFERROR(__xludf.DUMMYFUNCTION("""COMPUTED_VALUE"""),"KYAI KONTONG")</f>
        <v>KYAI KONTONG</v>
      </c>
      <c r="D331" s="186">
        <f>IFERROR(__xludf.DUMMYFUNCTION("""COMPUTED_VALUE"""),34.0)</f>
        <v>34</v>
      </c>
    </row>
    <row r="332">
      <c r="A332" s="178" t="str">
        <f>IFERROR(__xludf.DUMMYFUNCTION("""COMPUTED_VALUE"""),"ITBISA-7SEGMENT-ANODE-RED-0.56-1BIT")</f>
        <v>ITBISA-7SEGMENT-ANODE-RED-0.56-1BIT</v>
      </c>
      <c r="B332" s="266">
        <f>IFERROR(__xludf.DUMMYFUNCTION("""COMPUTED_VALUE"""),45707.0)</f>
        <v>45707</v>
      </c>
      <c r="C332" s="266" t="str">
        <f>IFERROR(__xludf.DUMMYFUNCTION("""COMPUTED_VALUE"""),"KYAI KONTONG")</f>
        <v>KYAI KONTONG</v>
      </c>
      <c r="D332" s="186">
        <f>IFERROR(__xludf.DUMMYFUNCTION("""COMPUTED_VALUE"""),100.0)</f>
        <v>100</v>
      </c>
    </row>
    <row r="333">
      <c r="A333" s="178" t="str">
        <f>IFERROR(__xludf.DUMMYFUNCTION("""COMPUTED_VALUE"""),"ITBISA-7SEGMENT-ANODE-RED-0.56-1BIT")</f>
        <v>ITBISA-7SEGMENT-ANODE-RED-0.56-1BIT</v>
      </c>
      <c r="B333" s="266">
        <f>IFERROR(__xludf.DUMMYFUNCTION("""COMPUTED_VALUE"""),45712.0)</f>
        <v>45712</v>
      </c>
      <c r="C333" s="266" t="str">
        <f>IFERROR(__xludf.DUMMYFUNCTION("""COMPUTED_VALUE"""),"KYAI KONTONG")</f>
        <v>KYAI KONTONG</v>
      </c>
      <c r="D333" s="186">
        <f>IFERROR(__xludf.DUMMYFUNCTION("""COMPUTED_VALUE"""),10.0)</f>
        <v>10</v>
      </c>
    </row>
    <row r="334">
      <c r="A334" s="178" t="str">
        <f>IFERROR(__xludf.DUMMYFUNCTION("""COMPUTED_VALUE"""),"ITBISA-7SEGMENT-ANODE-RED-0.56-1BIT")</f>
        <v>ITBISA-7SEGMENT-ANODE-RED-0.56-1BIT</v>
      </c>
      <c r="B334" s="266">
        <f>IFERROR(__xludf.DUMMYFUNCTION("""COMPUTED_VALUE"""),45712.0)</f>
        <v>45712</v>
      </c>
      <c r="C334" s="266" t="str">
        <f>IFERROR(__xludf.DUMMYFUNCTION("""COMPUTED_VALUE"""),"KYAI KONTONG")</f>
        <v>KYAI KONTONG</v>
      </c>
      <c r="D334" s="186">
        <f>IFERROR(__xludf.DUMMYFUNCTION("""COMPUTED_VALUE"""),10.0)</f>
        <v>10</v>
      </c>
    </row>
    <row r="335">
      <c r="A335" s="178" t="str">
        <f>IFERROR(__xludf.DUMMYFUNCTION("""COMPUTED_VALUE"""),"ITBISA-7SEGMENT-ANODE-RED-0.56-1BIT")</f>
        <v>ITBISA-7SEGMENT-ANODE-RED-0.56-1BIT</v>
      </c>
      <c r="B335" s="266">
        <f>IFERROR(__xludf.DUMMYFUNCTION("""COMPUTED_VALUE"""),45712.0)</f>
        <v>45712</v>
      </c>
      <c r="C335" s="266" t="str">
        <f>IFERROR(__xludf.DUMMYFUNCTION("""COMPUTED_VALUE"""),"KYAI KONTONG")</f>
        <v>KYAI KONTONG</v>
      </c>
      <c r="D335" s="186">
        <f>IFERROR(__xludf.DUMMYFUNCTION("""COMPUTED_VALUE"""),100.0)</f>
        <v>100</v>
      </c>
    </row>
    <row r="336">
      <c r="A336" s="178" t="str">
        <f>IFERROR(__xludf.DUMMYFUNCTION("""COMPUTED_VALUE"""),"ITBISA-7SEGMENT-ANODE-RED-0.56-1BIT")</f>
        <v>ITBISA-7SEGMENT-ANODE-RED-0.56-1BIT</v>
      </c>
      <c r="B336" s="266">
        <f>IFERROR(__xludf.DUMMYFUNCTION("""COMPUTED_VALUE"""),45715.0)</f>
        <v>45715</v>
      </c>
      <c r="C336" s="266" t="str">
        <f>IFERROR(__xludf.DUMMYFUNCTION("""COMPUTED_VALUE"""),"KYAI KONTONG")</f>
        <v>KYAI KONTONG</v>
      </c>
      <c r="D336" s="186">
        <f>IFERROR(__xludf.DUMMYFUNCTION("""COMPUTED_VALUE"""),100.0)</f>
        <v>100</v>
      </c>
    </row>
    <row r="337">
      <c r="A337" s="178" t="str">
        <f>IFERROR(__xludf.DUMMYFUNCTION("""COMPUTED_VALUE"""),"ITBISA-7SEGMENT-ANODE-RED-0.56-1BIT")</f>
        <v>ITBISA-7SEGMENT-ANODE-RED-0.56-1BIT</v>
      </c>
      <c r="B337" s="266">
        <f>IFERROR(__xludf.DUMMYFUNCTION("""COMPUTED_VALUE"""),45715.0)</f>
        <v>45715</v>
      </c>
      <c r="C337" s="266" t="str">
        <f>IFERROR(__xludf.DUMMYFUNCTION("""COMPUTED_VALUE"""),"KYAI KONTONG")</f>
        <v>KYAI KONTONG</v>
      </c>
      <c r="D337" s="186">
        <f>IFERROR(__xludf.DUMMYFUNCTION("""COMPUTED_VALUE"""),450.0)</f>
        <v>450</v>
      </c>
    </row>
    <row r="338">
      <c r="A338" s="178" t="str">
        <f>IFERROR(__xludf.DUMMYFUNCTION("""COMPUTED_VALUE"""),"ITBISA-7SEGMENT-ANODE-RED-0.56-1BIT")</f>
        <v>ITBISA-7SEGMENT-ANODE-RED-0.56-1BIT</v>
      </c>
      <c r="B338" s="266">
        <f>IFERROR(__xludf.DUMMYFUNCTION("""COMPUTED_VALUE"""),45715.0)</f>
        <v>45715</v>
      </c>
      <c r="C338" s="266" t="str">
        <f>IFERROR(__xludf.DUMMYFUNCTION("""COMPUTED_VALUE"""),"KYAI KONTONG")</f>
        <v>KYAI KONTONG</v>
      </c>
      <c r="D338" s="186">
        <f>IFERROR(__xludf.DUMMYFUNCTION("""COMPUTED_VALUE"""),900.0)</f>
        <v>900</v>
      </c>
    </row>
    <row r="339">
      <c r="A339" s="178" t="str">
        <f>IFERROR(__xludf.DUMMYFUNCTION("""COMPUTED_VALUE"""),"ITBISA-7SEGMENT-ANODE-RED-0.56-1BIT")</f>
        <v>ITBISA-7SEGMENT-ANODE-RED-0.56-1BIT</v>
      </c>
      <c r="B339" s="266">
        <f>IFERROR(__xludf.DUMMYFUNCTION("""COMPUTED_VALUE"""),45719.0)</f>
        <v>45719</v>
      </c>
      <c r="C339" s="266" t="str">
        <f>IFERROR(__xludf.DUMMYFUNCTION("""COMPUTED_VALUE"""),"KYAI KONTONG")</f>
        <v>KYAI KONTONG</v>
      </c>
      <c r="D339" s="186">
        <f>IFERROR(__xludf.DUMMYFUNCTION("""COMPUTED_VALUE"""),25.0)</f>
        <v>25</v>
      </c>
    </row>
    <row r="340">
      <c r="A340" s="178" t="str">
        <f>IFERROR(__xludf.DUMMYFUNCTION("""COMPUTED_VALUE"""),"ITBISA-7SEGMENT-ANODE-RED-0.56-1BIT")</f>
        <v>ITBISA-7SEGMENT-ANODE-RED-0.56-1BIT</v>
      </c>
      <c r="B340" s="266">
        <f>IFERROR(__xludf.DUMMYFUNCTION("""COMPUTED_VALUE"""),45727.0)</f>
        <v>45727</v>
      </c>
      <c r="C340" s="266" t="str">
        <f>IFERROR(__xludf.DUMMYFUNCTION("""COMPUTED_VALUE"""),"KERTASARI CIAMIS")</f>
        <v>KERTASARI CIAMIS</v>
      </c>
      <c r="D340" s="186">
        <f>IFERROR(__xludf.DUMMYFUNCTION("""COMPUTED_VALUE"""),0.0)</f>
        <v>0</v>
      </c>
    </row>
    <row r="341">
      <c r="A341" s="178" t="str">
        <f>IFERROR(__xludf.DUMMYFUNCTION("""COMPUTED_VALUE"""),"ITBISA-7SEGMENT-ANODE-RED-0.56-1BIT")</f>
        <v>ITBISA-7SEGMENT-ANODE-RED-0.56-1BIT</v>
      </c>
      <c r="B341" s="266">
        <f>IFERROR(__xludf.DUMMYFUNCTION("""COMPUTED_VALUE"""),45729.0)</f>
        <v>45729</v>
      </c>
      <c r="C341" s="266" t="str">
        <f>IFERROR(__xludf.DUMMYFUNCTION("""COMPUTED_VALUE"""),"KYAI KONTONG")</f>
        <v>KYAI KONTONG</v>
      </c>
      <c r="D341" s="186">
        <f>IFERROR(__xludf.DUMMYFUNCTION("""COMPUTED_VALUE"""),15.0)</f>
        <v>15</v>
      </c>
    </row>
    <row r="342">
      <c r="A342" s="178" t="str">
        <f>IFERROR(__xludf.DUMMYFUNCTION("""COMPUTED_VALUE"""),"ITBISA-7SEGMENT-ANODE-RED-0.56-1BIT")</f>
        <v>ITBISA-7SEGMENT-ANODE-RED-0.56-1BIT</v>
      </c>
      <c r="B342" s="266">
        <f>IFERROR(__xludf.DUMMYFUNCTION("""COMPUTED_VALUE"""),45763.0)</f>
        <v>45763</v>
      </c>
      <c r="C342" s="266" t="str">
        <f>IFERROR(__xludf.DUMMYFUNCTION("""COMPUTED_VALUE"""),"KYAI KONTONG")</f>
        <v>KYAI KONTONG</v>
      </c>
      <c r="D342" s="186">
        <f>IFERROR(__xludf.DUMMYFUNCTION("""COMPUTED_VALUE"""),50.0)</f>
        <v>50</v>
      </c>
    </row>
    <row r="343">
      <c r="A343" s="178" t="str">
        <f>IFERROR(__xludf.DUMMYFUNCTION("""COMPUTED_VALUE"""),"ITBISA-7SEGMENT-ANODE-RED-0.56-1BIT")</f>
        <v>ITBISA-7SEGMENT-ANODE-RED-0.56-1BIT</v>
      </c>
      <c r="B343" s="266">
        <f>IFERROR(__xludf.DUMMYFUNCTION("""COMPUTED_VALUE"""),46011.0)</f>
        <v>46011</v>
      </c>
      <c r="C343" s="266" t="str">
        <f>IFERROR(__xludf.DUMMYFUNCTION("""COMPUTED_VALUE"""),"KYAI KONTONG")</f>
        <v>KYAI KONTONG</v>
      </c>
      <c r="D343" s="186">
        <f>IFERROR(__xludf.DUMMYFUNCTION("""COMPUTED_VALUE"""),450.0)</f>
        <v>450</v>
      </c>
    </row>
    <row r="344">
      <c r="A344" s="178" t="str">
        <f>IFERROR(__xludf.DUMMYFUNCTION("""COMPUTED_VALUE"""),"ITBISA-7SEGMENT-ANODE-RED-0.56-1BIT")</f>
        <v>ITBISA-7SEGMENT-ANODE-RED-0.56-1BIT</v>
      </c>
      <c r="B344" s="266">
        <f>IFERROR(__xludf.DUMMYFUNCTION("""COMPUTED_VALUE"""),46014.0)</f>
        <v>46014</v>
      </c>
      <c r="C344" s="266" t="str">
        <f>IFERROR(__xludf.DUMMYFUNCTION("""COMPUTED_VALUE"""),"KERTASARI CIAMIS")</f>
        <v>KERTASARI CIAMIS</v>
      </c>
      <c r="D344" s="186">
        <f>IFERROR(__xludf.DUMMYFUNCTION("""COMPUTED_VALUE"""),50.0)</f>
        <v>50</v>
      </c>
    </row>
    <row r="345">
      <c r="A345" s="178" t="str">
        <f>IFERROR(__xludf.DUMMYFUNCTION("""COMPUTED_VALUE"""),"ITBISA-7SEGMENT-ANODE-RED-1.00-1BIT")</f>
        <v>ITBISA-7SEGMENT-ANODE-RED-1.00-1BIT</v>
      </c>
      <c r="B345" s="266">
        <f>IFERROR(__xludf.DUMMYFUNCTION("""COMPUTED_VALUE"""),45272.0)</f>
        <v>45272</v>
      </c>
      <c r="C345" s="266" t="str">
        <f>IFERROR(__xludf.DUMMYFUNCTION("""COMPUTED_VALUE"""),"KYAI KONTONG")</f>
        <v>KYAI KONTONG</v>
      </c>
      <c r="D345" s="186">
        <f>IFERROR(__xludf.DUMMYFUNCTION("""COMPUTED_VALUE"""),50.0)</f>
        <v>50</v>
      </c>
    </row>
    <row r="346">
      <c r="A346" s="178" t="str">
        <f>IFERROR(__xludf.DUMMYFUNCTION("""COMPUTED_VALUE"""),"ITBISA-7SEGMENT-ANODE-RED-1.00-1BIT")</f>
        <v>ITBISA-7SEGMENT-ANODE-RED-1.00-1BIT</v>
      </c>
      <c r="B346" s="266">
        <f>IFERROR(__xludf.DUMMYFUNCTION("""COMPUTED_VALUE"""),45279.0)</f>
        <v>45279</v>
      </c>
      <c r="C346" s="266" t="str">
        <f>IFERROR(__xludf.DUMMYFUNCTION("""COMPUTED_VALUE"""),"KYAI KONTONG")</f>
        <v>KYAI KONTONG</v>
      </c>
      <c r="D346" s="186">
        <f>IFERROR(__xludf.DUMMYFUNCTION("""COMPUTED_VALUE"""),50.0)</f>
        <v>50</v>
      </c>
    </row>
    <row r="347">
      <c r="A347" s="178" t="str">
        <f>IFERROR(__xludf.DUMMYFUNCTION("""COMPUTED_VALUE"""),"ITBISA-7SEGMENT-ANODE-RED-1.00-1BIT")</f>
        <v>ITBISA-7SEGMENT-ANODE-RED-1.00-1BIT</v>
      </c>
      <c r="B347" s="266">
        <f>IFERROR(__xludf.DUMMYFUNCTION("""COMPUTED_VALUE"""),45285.0)</f>
        <v>45285</v>
      </c>
      <c r="C347" s="266" t="str">
        <f>IFERROR(__xludf.DUMMYFUNCTION("""COMPUTED_VALUE"""),"KYAI KONTONG")</f>
        <v>KYAI KONTONG</v>
      </c>
      <c r="D347" s="186">
        <f>IFERROR(__xludf.DUMMYFUNCTION("""COMPUTED_VALUE"""),3.0)</f>
        <v>3</v>
      </c>
    </row>
    <row r="348">
      <c r="A348" s="178" t="str">
        <f>IFERROR(__xludf.DUMMYFUNCTION("""COMPUTED_VALUE"""),"ITBISA-7SEGMENT-ANODE-RED-1.00-1BIT")</f>
        <v>ITBISA-7SEGMENT-ANODE-RED-1.00-1BIT</v>
      </c>
      <c r="B348" s="266">
        <f>IFERROR(__xludf.DUMMYFUNCTION("""COMPUTED_VALUE"""),45302.0)</f>
        <v>45302</v>
      </c>
      <c r="C348" s="266" t="str">
        <f>IFERROR(__xludf.DUMMYFUNCTION("""COMPUTED_VALUE"""),"KYAI KONTONG")</f>
        <v>KYAI KONTONG</v>
      </c>
      <c r="D348" s="186">
        <f>IFERROR(__xludf.DUMMYFUNCTION("""COMPUTED_VALUE"""),75.0)</f>
        <v>75</v>
      </c>
    </row>
    <row r="349">
      <c r="A349" s="178" t="str">
        <f>IFERROR(__xludf.DUMMYFUNCTION("""COMPUTED_VALUE"""),"ITBISA-7SEGMENT-ANODE-RED-1.00-1BIT")</f>
        <v>ITBISA-7SEGMENT-ANODE-RED-1.00-1BIT</v>
      </c>
      <c r="B349" s="266">
        <f>IFERROR(__xludf.DUMMYFUNCTION("""COMPUTED_VALUE"""),45313.0)</f>
        <v>45313</v>
      </c>
      <c r="C349" s="266" t="str">
        <f>IFERROR(__xludf.DUMMYFUNCTION("""COMPUTED_VALUE"""),"KYAI KONTONG")</f>
        <v>KYAI KONTONG</v>
      </c>
      <c r="D349" s="186">
        <f>IFERROR(__xludf.DUMMYFUNCTION("""COMPUTED_VALUE"""),30.0)</f>
        <v>30</v>
      </c>
    </row>
    <row r="350">
      <c r="A350" s="178" t="str">
        <f>IFERROR(__xludf.DUMMYFUNCTION("""COMPUTED_VALUE"""),"ITBISA-7SEGMENT-ANODE-RED-1.00-1BIT")</f>
        <v>ITBISA-7SEGMENT-ANODE-RED-1.00-1BIT</v>
      </c>
      <c r="B350" s="266">
        <f>IFERROR(__xludf.DUMMYFUNCTION("""COMPUTED_VALUE"""),45314.0)</f>
        <v>45314</v>
      </c>
      <c r="C350" s="266" t="str">
        <f>IFERROR(__xludf.DUMMYFUNCTION("""COMPUTED_VALUE"""),"KYAI KONTONG")</f>
        <v>KYAI KONTONG</v>
      </c>
      <c r="D350" s="186">
        <f>IFERROR(__xludf.DUMMYFUNCTION("""COMPUTED_VALUE"""),292.0)</f>
        <v>292</v>
      </c>
    </row>
    <row r="351">
      <c r="A351" s="178" t="str">
        <f>IFERROR(__xludf.DUMMYFUNCTION("""COMPUTED_VALUE"""),"ITBISA-7SEGMENT-ANODE-RED-1.00-1BIT")</f>
        <v>ITBISA-7SEGMENT-ANODE-RED-1.00-1BIT</v>
      </c>
      <c r="B351" s="266">
        <f>IFERROR(__xludf.DUMMYFUNCTION("""COMPUTED_VALUE"""),45331.0)</f>
        <v>45331</v>
      </c>
      <c r="C351" s="266" t="str">
        <f>IFERROR(__xludf.DUMMYFUNCTION("""COMPUTED_VALUE"""),"KERTASARI CIAMIS")</f>
        <v>KERTASARI CIAMIS</v>
      </c>
      <c r="D351" s="186">
        <f>IFERROR(__xludf.DUMMYFUNCTION("""COMPUTED_VALUE"""),30.0)</f>
        <v>30</v>
      </c>
    </row>
    <row r="352">
      <c r="A352" s="178" t="str">
        <f>IFERROR(__xludf.DUMMYFUNCTION("""COMPUTED_VALUE"""),"ITBISA-7SEGMENT-ANODE-RED-1.00-1BIT")</f>
        <v>ITBISA-7SEGMENT-ANODE-RED-1.00-1BIT</v>
      </c>
      <c r="B352" s="266">
        <f>IFERROR(__xludf.DUMMYFUNCTION("""COMPUTED_VALUE"""),45337.0)</f>
        <v>45337</v>
      </c>
      <c r="C352" s="266" t="str">
        <f>IFERROR(__xludf.DUMMYFUNCTION("""COMPUTED_VALUE"""),"KERTASARI CIAMIS")</f>
        <v>KERTASARI CIAMIS</v>
      </c>
      <c r="D352" s="186">
        <f>IFERROR(__xludf.DUMMYFUNCTION("""COMPUTED_VALUE"""),1.0)</f>
        <v>1</v>
      </c>
    </row>
    <row r="353">
      <c r="A353" s="178" t="str">
        <f>IFERROR(__xludf.DUMMYFUNCTION("""COMPUTED_VALUE"""),"ITBISA-7SEGMENT-ANODE-RED-1.00-1BIT")</f>
        <v>ITBISA-7SEGMENT-ANODE-RED-1.00-1BIT</v>
      </c>
      <c r="B353" s="266">
        <f>IFERROR(__xludf.DUMMYFUNCTION("""COMPUTED_VALUE"""),45344.0)</f>
        <v>45344</v>
      </c>
      <c r="C353" s="266" t="str">
        <f>IFERROR(__xludf.DUMMYFUNCTION("""COMPUTED_VALUE"""),"KERTASARI CIAMIS")</f>
        <v>KERTASARI CIAMIS</v>
      </c>
      <c r="D353" s="186">
        <f>IFERROR(__xludf.DUMMYFUNCTION("""COMPUTED_VALUE"""),10.0)</f>
        <v>10</v>
      </c>
    </row>
    <row r="354">
      <c r="A354" s="178" t="str">
        <f>IFERROR(__xludf.DUMMYFUNCTION("""COMPUTED_VALUE"""),"ITBISA-7SEGMENT-ANODE-RED-1.00-1BIT")</f>
        <v>ITBISA-7SEGMENT-ANODE-RED-1.00-1BIT</v>
      </c>
      <c r="B354" s="266">
        <f>IFERROR(__xludf.DUMMYFUNCTION("""COMPUTED_VALUE"""),45348.0)</f>
        <v>45348</v>
      </c>
      <c r="C354" s="266" t="str">
        <f>IFERROR(__xludf.DUMMYFUNCTION("""COMPUTED_VALUE"""),"KERTASARI CIAMIS")</f>
        <v>KERTASARI CIAMIS</v>
      </c>
      <c r="D354" s="186">
        <f>IFERROR(__xludf.DUMMYFUNCTION("""COMPUTED_VALUE"""),20.0)</f>
        <v>20</v>
      </c>
    </row>
    <row r="355">
      <c r="A355" s="178" t="str">
        <f>IFERROR(__xludf.DUMMYFUNCTION("""COMPUTED_VALUE"""),"ITBISA-7SEGMENT-ANODE-RED-1.00-1BIT")</f>
        <v>ITBISA-7SEGMENT-ANODE-RED-1.00-1BIT</v>
      </c>
      <c r="B355" s="266">
        <f>IFERROR(__xludf.DUMMYFUNCTION("""COMPUTED_VALUE"""),45355.0)</f>
        <v>45355</v>
      </c>
      <c r="C355" s="266" t="str">
        <f>IFERROR(__xludf.DUMMYFUNCTION("""COMPUTED_VALUE"""),"KERTASARI CIAMIS")</f>
        <v>KERTASARI CIAMIS</v>
      </c>
      <c r="D355" s="186">
        <f>IFERROR(__xludf.DUMMYFUNCTION("""COMPUTED_VALUE"""),40.0)</f>
        <v>40</v>
      </c>
    </row>
    <row r="356">
      <c r="A356" s="178" t="str">
        <f>IFERROR(__xludf.DUMMYFUNCTION("""COMPUTED_VALUE"""),"ITBISA-7SEGMENT-ANODE-RED-1.00-1BIT")</f>
        <v>ITBISA-7SEGMENT-ANODE-RED-1.00-1BIT</v>
      </c>
      <c r="B356" s="266">
        <f>IFERROR(__xludf.DUMMYFUNCTION("""COMPUTED_VALUE"""),45359.0)</f>
        <v>45359</v>
      </c>
      <c r="C356" s="266" t="str">
        <f>IFERROR(__xludf.DUMMYFUNCTION("""COMPUTED_VALUE"""),"KERTASARI CIAMIS")</f>
        <v>KERTASARI CIAMIS</v>
      </c>
      <c r="D356" s="186">
        <f>IFERROR(__xludf.DUMMYFUNCTION("""COMPUTED_VALUE"""),60.0)</f>
        <v>60</v>
      </c>
    </row>
    <row r="357">
      <c r="A357" s="178" t="str">
        <f>IFERROR(__xludf.DUMMYFUNCTION("""COMPUTED_VALUE"""),"ITBISA-7SEGMENT-ANODE-RED-1.00-1BIT")</f>
        <v>ITBISA-7SEGMENT-ANODE-RED-1.00-1BIT</v>
      </c>
      <c r="B357" s="266">
        <f>IFERROR(__xludf.DUMMYFUNCTION("""COMPUTED_VALUE"""),45366.0)</f>
        <v>45366</v>
      </c>
      <c r="C357" s="266" t="str">
        <f>IFERROR(__xludf.DUMMYFUNCTION("""COMPUTED_VALUE"""),"KERTASARI CIAMIS")</f>
        <v>KERTASARI CIAMIS</v>
      </c>
      <c r="D357" s="186">
        <f>IFERROR(__xludf.DUMMYFUNCTION("""COMPUTED_VALUE"""),36.0)</f>
        <v>36</v>
      </c>
    </row>
    <row r="358">
      <c r="A358" s="178" t="str">
        <f>IFERROR(__xludf.DUMMYFUNCTION("""COMPUTED_VALUE"""),"ITBISA-7SEGMENT-ANODE-RED-1.00-1BIT")</f>
        <v>ITBISA-7SEGMENT-ANODE-RED-1.00-1BIT</v>
      </c>
      <c r="B358" s="266">
        <f>IFERROR(__xludf.DUMMYFUNCTION("""COMPUTED_VALUE"""),45369.0)</f>
        <v>45369</v>
      </c>
      <c r="C358" s="266" t="str">
        <f>IFERROR(__xludf.DUMMYFUNCTION("""COMPUTED_VALUE"""),"KERTASARI CIAMIS")</f>
        <v>KERTASARI CIAMIS</v>
      </c>
      <c r="D358" s="186">
        <f>IFERROR(__xludf.DUMMYFUNCTION("""COMPUTED_VALUE"""),125.0)</f>
        <v>125</v>
      </c>
    </row>
    <row r="359">
      <c r="A359" s="178" t="str">
        <f>IFERROR(__xludf.DUMMYFUNCTION("""COMPUTED_VALUE"""),"ITBISA-7SEGMENT-ANODE-RED-1.00-1BIT")</f>
        <v>ITBISA-7SEGMENT-ANODE-RED-1.00-1BIT</v>
      </c>
      <c r="B359" s="266">
        <f>IFERROR(__xludf.DUMMYFUNCTION("""COMPUTED_VALUE"""),45369.0)</f>
        <v>45369</v>
      </c>
      <c r="C359" s="266" t="str">
        <f>IFERROR(__xludf.DUMMYFUNCTION("""COMPUTED_VALUE"""),"KERTASARI CIAMIS")</f>
        <v>KERTASARI CIAMIS</v>
      </c>
      <c r="D359" s="186">
        <f>IFERROR(__xludf.DUMMYFUNCTION("""COMPUTED_VALUE"""),125.0)</f>
        <v>125</v>
      </c>
    </row>
    <row r="360">
      <c r="A360" s="178" t="str">
        <f>IFERROR(__xludf.DUMMYFUNCTION("""COMPUTED_VALUE"""),"ITBISA-7SEGMENT-ANODE-RED-1.00-1BIT")</f>
        <v>ITBISA-7SEGMENT-ANODE-RED-1.00-1BIT</v>
      </c>
      <c r="B360" s="266">
        <f>IFERROR(__xludf.DUMMYFUNCTION("""COMPUTED_VALUE"""),45369.0)</f>
        <v>45369</v>
      </c>
      <c r="C360" s="266" t="str">
        <f>IFERROR(__xludf.DUMMYFUNCTION("""COMPUTED_VALUE"""),"KYAI KONTONG")</f>
        <v>KYAI KONTONG</v>
      </c>
      <c r="D360" s="186">
        <f>IFERROR(__xludf.DUMMYFUNCTION("""COMPUTED_VALUE"""),36.0)</f>
        <v>36</v>
      </c>
    </row>
    <row r="361">
      <c r="A361" s="178" t="str">
        <f>IFERROR(__xludf.DUMMYFUNCTION("""COMPUTED_VALUE"""),"ITBISA-7SEGMENT-ANODE-RED-1.00-1BIT")</f>
        <v>ITBISA-7SEGMENT-ANODE-RED-1.00-1BIT</v>
      </c>
      <c r="B361" s="266">
        <f>IFERROR(__xludf.DUMMYFUNCTION("""COMPUTED_VALUE"""),45371.0)</f>
        <v>45371</v>
      </c>
      <c r="C361" s="266" t="str">
        <f>IFERROR(__xludf.DUMMYFUNCTION("""COMPUTED_VALUE"""),"KYAI KONTONG")</f>
        <v>KYAI KONTONG</v>
      </c>
      <c r="D361" s="186">
        <f>IFERROR(__xludf.DUMMYFUNCTION("""COMPUTED_VALUE"""),4.0)</f>
        <v>4</v>
      </c>
    </row>
    <row r="362">
      <c r="A362" s="178" t="str">
        <f>IFERROR(__xludf.DUMMYFUNCTION("""COMPUTED_VALUE"""),"ITBISA-7SEGMENT-ANODE-RED-1.00-1BIT")</f>
        <v>ITBISA-7SEGMENT-ANODE-RED-1.00-1BIT</v>
      </c>
      <c r="B362" s="266">
        <f>IFERROR(__xludf.DUMMYFUNCTION("""COMPUTED_VALUE"""),45372.0)</f>
        <v>45372</v>
      </c>
      <c r="C362" s="266" t="str">
        <f>IFERROR(__xludf.DUMMYFUNCTION("""COMPUTED_VALUE"""),"KYAI KONTONG")</f>
        <v>KYAI KONTONG</v>
      </c>
      <c r="D362" s="186">
        <f>IFERROR(__xludf.DUMMYFUNCTION("""COMPUTED_VALUE"""),12.0)</f>
        <v>12</v>
      </c>
    </row>
    <row r="363">
      <c r="A363" s="178" t="str">
        <f>IFERROR(__xludf.DUMMYFUNCTION("""COMPUTED_VALUE"""),"ITBISA-7SEGMENT-ANODE-RED-1.00-1BIT")</f>
        <v>ITBISA-7SEGMENT-ANODE-RED-1.00-1BIT</v>
      </c>
      <c r="B363" s="266">
        <f>IFERROR(__xludf.DUMMYFUNCTION("""COMPUTED_VALUE"""),45401.0)</f>
        <v>45401</v>
      </c>
      <c r="C363" s="266" t="str">
        <f>IFERROR(__xludf.DUMMYFUNCTION("""COMPUTED_VALUE"""),"KERTASARI CIAMIS")</f>
        <v>KERTASARI CIAMIS</v>
      </c>
      <c r="D363" s="186">
        <f>IFERROR(__xludf.DUMMYFUNCTION("""COMPUTED_VALUE"""),3.0)</f>
        <v>3</v>
      </c>
    </row>
    <row r="364">
      <c r="A364" s="178" t="str">
        <f>IFERROR(__xludf.DUMMYFUNCTION("""COMPUTED_VALUE"""),"ITBISA-7SEGMENT-ANODE-RED-1.00-1BIT")</f>
        <v>ITBISA-7SEGMENT-ANODE-RED-1.00-1BIT</v>
      </c>
      <c r="B364" s="266">
        <f>IFERROR(__xludf.DUMMYFUNCTION("""COMPUTED_VALUE"""),45411.0)</f>
        <v>45411</v>
      </c>
      <c r="C364" s="266" t="str">
        <f>IFERROR(__xludf.DUMMYFUNCTION("""COMPUTED_VALUE"""),"KYAI KONTONG")</f>
        <v>KYAI KONTONG</v>
      </c>
      <c r="D364" s="186">
        <f>IFERROR(__xludf.DUMMYFUNCTION("""COMPUTED_VALUE"""),3.0)</f>
        <v>3</v>
      </c>
    </row>
    <row r="365">
      <c r="A365" s="178" t="str">
        <f>IFERROR(__xludf.DUMMYFUNCTION("""COMPUTED_VALUE"""),"ITBISA-7SEGMENT-ANODE-RED-1.00-1BIT")</f>
        <v>ITBISA-7SEGMENT-ANODE-RED-1.00-1BIT</v>
      </c>
      <c r="B365" s="266">
        <f>IFERROR(__xludf.DUMMYFUNCTION("""COMPUTED_VALUE"""),45479.0)</f>
        <v>45479</v>
      </c>
      <c r="C365" s="266" t="str">
        <f>IFERROR(__xludf.DUMMYFUNCTION("""COMPUTED_VALUE"""),"KERTASARI CIAMIS")</f>
        <v>KERTASARI CIAMIS</v>
      </c>
      <c r="D365" s="186">
        <f>IFERROR(__xludf.DUMMYFUNCTION("""COMPUTED_VALUE"""),30.0)</f>
        <v>30</v>
      </c>
    </row>
    <row r="366">
      <c r="A366" s="178" t="str">
        <f>IFERROR(__xludf.DUMMYFUNCTION("""COMPUTED_VALUE"""),"ITBISA-7SEGMENT-ANODE-RED-1.00-1BIT")</f>
        <v>ITBISA-7SEGMENT-ANODE-RED-1.00-1BIT</v>
      </c>
      <c r="B366" s="266">
        <f>IFERROR(__xludf.DUMMYFUNCTION("""COMPUTED_VALUE"""),45494.0)</f>
        <v>45494</v>
      </c>
      <c r="C366" s="266" t="str">
        <f>IFERROR(__xludf.DUMMYFUNCTION("""COMPUTED_VALUE"""),"KERTASARI CIAMIS")</f>
        <v>KERTASARI CIAMIS</v>
      </c>
      <c r="D366" s="186">
        <f>IFERROR(__xludf.DUMMYFUNCTION("""COMPUTED_VALUE"""),20.0)</f>
        <v>20</v>
      </c>
    </row>
    <row r="367">
      <c r="A367" s="178" t="str">
        <f>IFERROR(__xludf.DUMMYFUNCTION("""COMPUTED_VALUE"""),"ITBISA-7SEGMENT-ANODE-RED-1.00-1BIT")</f>
        <v>ITBISA-7SEGMENT-ANODE-RED-1.00-1BIT</v>
      </c>
      <c r="B367" s="266">
        <f>IFERROR(__xludf.DUMMYFUNCTION("""COMPUTED_VALUE"""),45514.0)</f>
        <v>45514</v>
      </c>
      <c r="C367" s="266" t="str">
        <f>IFERROR(__xludf.DUMMYFUNCTION("""COMPUTED_VALUE"""),"KERTASARI CIAMIS")</f>
        <v>KERTASARI CIAMIS</v>
      </c>
      <c r="D367" s="186">
        <f>IFERROR(__xludf.DUMMYFUNCTION("""COMPUTED_VALUE"""),20.0)</f>
        <v>20</v>
      </c>
    </row>
    <row r="368">
      <c r="A368" s="178" t="str">
        <f>IFERROR(__xludf.DUMMYFUNCTION("""COMPUTED_VALUE"""),"ITBISA-7SEGMENT-ANODE-RED-1.00-1BIT")</f>
        <v>ITBISA-7SEGMENT-ANODE-RED-1.00-1BIT</v>
      </c>
      <c r="B368" s="266">
        <f>IFERROR(__xludf.DUMMYFUNCTION("""COMPUTED_VALUE"""),45524.0)</f>
        <v>45524</v>
      </c>
      <c r="C368" s="266" t="str">
        <f>IFERROR(__xludf.DUMMYFUNCTION("""COMPUTED_VALUE"""),"KERTASARI CIAMIS")</f>
        <v>KERTASARI CIAMIS</v>
      </c>
      <c r="D368" s="186">
        <f>IFERROR(__xludf.DUMMYFUNCTION("""COMPUTED_VALUE"""),40.0)</f>
        <v>40</v>
      </c>
    </row>
    <row r="369">
      <c r="A369" s="178" t="str">
        <f>IFERROR(__xludf.DUMMYFUNCTION("""COMPUTED_VALUE"""),"ITBISA-7SEGMENT-ANODE-RED-1.00-1BIT")</f>
        <v>ITBISA-7SEGMENT-ANODE-RED-1.00-1BIT</v>
      </c>
      <c r="B369" s="266">
        <f>IFERROR(__xludf.DUMMYFUNCTION("""COMPUTED_VALUE"""),45531.0)</f>
        <v>45531</v>
      </c>
      <c r="C369" s="266" t="str">
        <f>IFERROR(__xludf.DUMMYFUNCTION("""COMPUTED_VALUE"""),"KYAI KONTONG")</f>
        <v>KYAI KONTONG</v>
      </c>
      <c r="D369" s="186">
        <f>IFERROR(__xludf.DUMMYFUNCTION("""COMPUTED_VALUE"""),40.0)</f>
        <v>40</v>
      </c>
    </row>
    <row r="370">
      <c r="A370" s="178" t="str">
        <f>IFERROR(__xludf.DUMMYFUNCTION("""COMPUTED_VALUE"""),"ITBISA-7SEGMENT-ANODE-RED-1.00-1BIT")</f>
        <v>ITBISA-7SEGMENT-ANODE-RED-1.00-1BIT</v>
      </c>
      <c r="B370" s="266">
        <f>IFERROR(__xludf.DUMMYFUNCTION("""COMPUTED_VALUE"""),45559.0)</f>
        <v>45559</v>
      </c>
      <c r="C370" s="266" t="str">
        <f>IFERROR(__xludf.DUMMYFUNCTION("""COMPUTED_VALUE"""),"KERTASARI CIAMIS")</f>
        <v>KERTASARI CIAMIS</v>
      </c>
      <c r="D370" s="186">
        <f>IFERROR(__xludf.DUMMYFUNCTION("""COMPUTED_VALUE"""),20.0)</f>
        <v>20</v>
      </c>
    </row>
    <row r="371">
      <c r="A371" s="178" t="str">
        <f>IFERROR(__xludf.DUMMYFUNCTION("""COMPUTED_VALUE"""),"ITBISA-7SEGMENT-ANODE-RED-1.00-1BIT")</f>
        <v>ITBISA-7SEGMENT-ANODE-RED-1.00-1BIT</v>
      </c>
      <c r="B371" s="266">
        <f>IFERROR(__xludf.DUMMYFUNCTION("""COMPUTED_VALUE"""),45578.0)</f>
        <v>45578</v>
      </c>
      <c r="C371" s="266" t="str">
        <f>IFERROR(__xludf.DUMMYFUNCTION("""COMPUTED_VALUE"""),"KYAI KONTONG")</f>
        <v>KYAI KONTONG</v>
      </c>
      <c r="D371" s="186">
        <f>IFERROR(__xludf.DUMMYFUNCTION("""COMPUTED_VALUE"""),34.0)</f>
        <v>34</v>
      </c>
    </row>
    <row r="372">
      <c r="A372" s="178" t="str">
        <f>IFERROR(__xludf.DUMMYFUNCTION("""COMPUTED_VALUE"""),"ITBISA-7SEGMENT-ANODE-RED-1.00-1BIT")</f>
        <v>ITBISA-7SEGMENT-ANODE-RED-1.00-1BIT</v>
      </c>
      <c r="B372" s="266">
        <f>IFERROR(__xludf.DUMMYFUNCTION("""COMPUTED_VALUE"""),45598.0)</f>
        <v>45598</v>
      </c>
      <c r="C372" s="266" t="str">
        <f>IFERROR(__xludf.DUMMYFUNCTION("""COMPUTED_VALUE"""),"KERTASARI CIAMIS")</f>
        <v>KERTASARI CIAMIS</v>
      </c>
      <c r="D372" s="186">
        <f>IFERROR(__xludf.DUMMYFUNCTION("""COMPUTED_VALUE"""),25.0)</f>
        <v>25</v>
      </c>
    </row>
    <row r="373">
      <c r="A373" s="178" t="str">
        <f>IFERROR(__xludf.DUMMYFUNCTION("""COMPUTED_VALUE"""),"ITBISA-7SEGMENT-ANODE-RED-1.00-1BIT")</f>
        <v>ITBISA-7SEGMENT-ANODE-RED-1.00-1BIT</v>
      </c>
      <c r="B373" s="266">
        <f>IFERROR(__xludf.DUMMYFUNCTION("""COMPUTED_VALUE"""),45604.0)</f>
        <v>45604</v>
      </c>
      <c r="C373" s="266" t="str">
        <f>IFERROR(__xludf.DUMMYFUNCTION("""COMPUTED_VALUE"""),"KERTASARI CIAMIS")</f>
        <v>KERTASARI CIAMIS</v>
      </c>
      <c r="D373" s="186">
        <f>IFERROR(__xludf.DUMMYFUNCTION("""COMPUTED_VALUE"""),10.0)</f>
        <v>10</v>
      </c>
    </row>
    <row r="374">
      <c r="A374" s="178" t="str">
        <f>IFERROR(__xludf.DUMMYFUNCTION("""COMPUTED_VALUE"""),"ITBISA-7SEGMENT-ANODE-RED-1.00-1BIT")</f>
        <v>ITBISA-7SEGMENT-ANODE-RED-1.00-1BIT</v>
      </c>
      <c r="B374" s="266">
        <f>IFERROR(__xludf.DUMMYFUNCTION("""COMPUTED_VALUE"""),45611.0)</f>
        <v>45611</v>
      </c>
      <c r="C374" s="266" t="str">
        <f>IFERROR(__xludf.DUMMYFUNCTION("""COMPUTED_VALUE"""),"KERTASARI CIAMIS")</f>
        <v>KERTASARI CIAMIS</v>
      </c>
      <c r="D374" s="186">
        <f>IFERROR(__xludf.DUMMYFUNCTION("""COMPUTED_VALUE"""),40.0)</f>
        <v>40</v>
      </c>
    </row>
    <row r="375">
      <c r="A375" s="178" t="str">
        <f>IFERROR(__xludf.DUMMYFUNCTION("""COMPUTED_VALUE"""),"ITBISA-7SEGMENT-ANODE-RED-1.00-1BIT")</f>
        <v>ITBISA-7SEGMENT-ANODE-RED-1.00-1BIT</v>
      </c>
      <c r="B375" s="266">
        <f>IFERROR(__xludf.DUMMYFUNCTION("""COMPUTED_VALUE"""),45611.0)</f>
        <v>45611</v>
      </c>
      <c r="C375" s="266" t="str">
        <f>IFERROR(__xludf.DUMMYFUNCTION("""COMPUTED_VALUE"""),"KYAI KONTONG")</f>
        <v>KYAI KONTONG</v>
      </c>
      <c r="D375" s="186">
        <f>IFERROR(__xludf.DUMMYFUNCTION("""COMPUTED_VALUE"""),2.0)</f>
        <v>2</v>
      </c>
    </row>
    <row r="376">
      <c r="A376" s="178" t="str">
        <f>IFERROR(__xludf.DUMMYFUNCTION("""COMPUTED_VALUE"""),"ITBISA-7SEGMENT-ANODE-RED-1.00-1BIT")</f>
        <v>ITBISA-7SEGMENT-ANODE-RED-1.00-1BIT</v>
      </c>
      <c r="B376" s="266">
        <f>IFERROR(__xludf.DUMMYFUNCTION("""COMPUTED_VALUE"""),45611.0)</f>
        <v>45611</v>
      </c>
      <c r="C376" s="266" t="str">
        <f>IFERROR(__xludf.DUMMYFUNCTION("""COMPUTED_VALUE"""),"KYAI KONTONG")</f>
        <v>KYAI KONTONG</v>
      </c>
      <c r="D376" s="186">
        <f>IFERROR(__xludf.DUMMYFUNCTION("""COMPUTED_VALUE"""),2.0)</f>
        <v>2</v>
      </c>
    </row>
    <row r="377">
      <c r="A377" s="178" t="str">
        <f>IFERROR(__xludf.DUMMYFUNCTION("""COMPUTED_VALUE"""),"ITBISA-7SEGMENT-ANODE-RED-1.00-1BIT")</f>
        <v>ITBISA-7SEGMENT-ANODE-RED-1.00-1BIT</v>
      </c>
      <c r="B377" s="266">
        <f>IFERROR(__xludf.DUMMYFUNCTION("""COMPUTED_VALUE"""),45667.0)</f>
        <v>45667</v>
      </c>
      <c r="C377" s="266" t="str">
        <f>IFERROR(__xludf.DUMMYFUNCTION("""COMPUTED_VALUE"""),"KERTASARI CIAMIS")</f>
        <v>KERTASARI CIAMIS</v>
      </c>
      <c r="D377" s="186">
        <f>IFERROR(__xludf.DUMMYFUNCTION("""COMPUTED_VALUE"""),20.0)</f>
        <v>20</v>
      </c>
    </row>
    <row r="378">
      <c r="A378" s="178" t="str">
        <f>IFERROR(__xludf.DUMMYFUNCTION("""COMPUTED_VALUE"""),"ITBISA-7SEGMENT-ANODE-RED-1.00-1BIT")</f>
        <v>ITBISA-7SEGMENT-ANODE-RED-1.00-1BIT</v>
      </c>
      <c r="B378" s="266">
        <f>IFERROR(__xludf.DUMMYFUNCTION("""COMPUTED_VALUE"""),45672.0)</f>
        <v>45672</v>
      </c>
      <c r="C378" s="266" t="str">
        <f>IFERROR(__xludf.DUMMYFUNCTION("""COMPUTED_VALUE"""),"KYAI KONTONG")</f>
        <v>KYAI KONTONG</v>
      </c>
      <c r="D378" s="186">
        <f>IFERROR(__xludf.DUMMYFUNCTION("""COMPUTED_VALUE"""),10.0)</f>
        <v>10</v>
      </c>
    </row>
    <row r="379">
      <c r="A379" s="178" t="str">
        <f>IFERROR(__xludf.DUMMYFUNCTION("""COMPUTED_VALUE"""),"ITBISA-7SEGMENT-ANODE-RED-1.00-1BIT")</f>
        <v>ITBISA-7SEGMENT-ANODE-RED-1.00-1BIT</v>
      </c>
      <c r="B379" s="266">
        <f>IFERROR(__xludf.DUMMYFUNCTION("""COMPUTED_VALUE"""),45678.0)</f>
        <v>45678</v>
      </c>
      <c r="C379" s="266" t="str">
        <f>IFERROR(__xludf.DUMMYFUNCTION("""COMPUTED_VALUE"""),"KERTASARI CIAMIS")</f>
        <v>KERTASARI CIAMIS</v>
      </c>
      <c r="D379" s="186">
        <f>IFERROR(__xludf.DUMMYFUNCTION("""COMPUTED_VALUE"""),12.0)</f>
        <v>12</v>
      </c>
    </row>
    <row r="380">
      <c r="A380" s="178" t="str">
        <f>IFERROR(__xludf.DUMMYFUNCTION("""COMPUTED_VALUE"""),"ITBISA-7SEGMENT-ANODE-RED-1.00-1BIT")</f>
        <v>ITBISA-7SEGMENT-ANODE-RED-1.00-1BIT</v>
      </c>
      <c r="B380" s="266">
        <f>IFERROR(__xludf.DUMMYFUNCTION("""COMPUTED_VALUE"""),45682.0)</f>
        <v>45682</v>
      </c>
      <c r="C380" s="266" t="str">
        <f>IFERROR(__xludf.DUMMYFUNCTION("""COMPUTED_VALUE"""),"KYAI KONTONG")</f>
        <v>KYAI KONTONG</v>
      </c>
      <c r="D380" s="186">
        <f>IFERROR(__xludf.DUMMYFUNCTION("""COMPUTED_VALUE"""),1.0)</f>
        <v>1</v>
      </c>
    </row>
    <row r="381">
      <c r="A381" s="178" t="str">
        <f>IFERROR(__xludf.DUMMYFUNCTION("""COMPUTED_VALUE"""),"ITBISA-7SEGMENT-ANODE-RED-1.00-1BIT")</f>
        <v>ITBISA-7SEGMENT-ANODE-RED-1.00-1BIT</v>
      </c>
      <c r="B381" s="266">
        <f>IFERROR(__xludf.DUMMYFUNCTION("""COMPUTED_VALUE"""),45701.0)</f>
        <v>45701</v>
      </c>
      <c r="C381" s="266" t="str">
        <f>IFERROR(__xludf.DUMMYFUNCTION("""COMPUTED_VALUE"""),"KYAI KONTONG")</f>
        <v>KYAI KONTONG</v>
      </c>
      <c r="D381" s="186">
        <f>IFERROR(__xludf.DUMMYFUNCTION("""COMPUTED_VALUE"""),6.0)</f>
        <v>6</v>
      </c>
    </row>
    <row r="382">
      <c r="A382" s="178" t="str">
        <f>IFERROR(__xludf.DUMMYFUNCTION("""COMPUTED_VALUE"""),"ITBISA-7SEGMENT-ANODE-RED-1.00-1BIT")</f>
        <v>ITBISA-7SEGMENT-ANODE-RED-1.00-1BIT</v>
      </c>
      <c r="B382" s="266">
        <f>IFERROR(__xludf.DUMMYFUNCTION("""COMPUTED_VALUE"""),45703.0)</f>
        <v>45703</v>
      </c>
      <c r="C382" s="266" t="str">
        <f>IFERROR(__xludf.DUMMYFUNCTION("""COMPUTED_VALUE"""),"KYAI KONTONG")</f>
        <v>KYAI KONTONG</v>
      </c>
      <c r="D382" s="186">
        <f>IFERROR(__xludf.DUMMYFUNCTION("""COMPUTED_VALUE"""),10.0)</f>
        <v>10</v>
      </c>
    </row>
    <row r="383">
      <c r="A383" s="178" t="str">
        <f>IFERROR(__xludf.DUMMYFUNCTION("""COMPUTED_VALUE"""),"ITBISA-7SEGMENT-ANODE-RED-1.00-1BIT")</f>
        <v>ITBISA-7SEGMENT-ANODE-RED-1.00-1BIT</v>
      </c>
      <c r="B383" s="266">
        <f>IFERROR(__xludf.DUMMYFUNCTION("""COMPUTED_VALUE"""),45709.0)</f>
        <v>45709</v>
      </c>
      <c r="C383" s="266" t="str">
        <f>IFERROR(__xludf.DUMMYFUNCTION("""COMPUTED_VALUE"""),"KYAI KONTONG")</f>
        <v>KYAI KONTONG</v>
      </c>
      <c r="D383" s="186">
        <f>IFERROR(__xludf.DUMMYFUNCTION("""COMPUTED_VALUE"""),70.0)</f>
        <v>70</v>
      </c>
    </row>
    <row r="384">
      <c r="A384" s="178" t="str">
        <f>IFERROR(__xludf.DUMMYFUNCTION("""COMPUTED_VALUE"""),"ITBISA-7SEGMENT-ANODE-RED-1.00-1BIT")</f>
        <v>ITBISA-7SEGMENT-ANODE-RED-1.00-1BIT</v>
      </c>
      <c r="B384" s="266">
        <f>IFERROR(__xludf.DUMMYFUNCTION("""COMPUTED_VALUE"""),45711.0)</f>
        <v>45711</v>
      </c>
      <c r="C384" s="266" t="str">
        <f>IFERROR(__xludf.DUMMYFUNCTION("""COMPUTED_VALUE"""),"KERTASARI CIAMIS")</f>
        <v>KERTASARI CIAMIS</v>
      </c>
      <c r="D384" s="186">
        <f>IFERROR(__xludf.DUMMYFUNCTION("""COMPUTED_VALUE"""),200.0)</f>
        <v>200</v>
      </c>
    </row>
    <row r="385">
      <c r="A385" s="178" t="str">
        <f>IFERROR(__xludf.DUMMYFUNCTION("""COMPUTED_VALUE"""),"ITBISA-7SEGMENT-ANODE-RED-1.00-1BIT")</f>
        <v>ITBISA-7SEGMENT-ANODE-RED-1.00-1BIT</v>
      </c>
      <c r="B385" s="266">
        <f>IFERROR(__xludf.DUMMYFUNCTION("""COMPUTED_VALUE"""),45712.0)</f>
        <v>45712</v>
      </c>
      <c r="C385" s="266" t="str">
        <f>IFERROR(__xludf.DUMMYFUNCTION("""COMPUTED_VALUE"""),"KYAI KONTONG")</f>
        <v>KYAI KONTONG</v>
      </c>
      <c r="D385" s="186">
        <f>IFERROR(__xludf.DUMMYFUNCTION("""COMPUTED_VALUE"""),6.0)</f>
        <v>6</v>
      </c>
    </row>
    <row r="386">
      <c r="A386" s="178" t="str">
        <f>IFERROR(__xludf.DUMMYFUNCTION("""COMPUTED_VALUE"""),"ITBISA-7SEGMENT-ANODE-RED-1.00-1BIT")</f>
        <v>ITBISA-7SEGMENT-ANODE-RED-1.00-1BIT</v>
      </c>
      <c r="B386" s="266">
        <f>IFERROR(__xludf.DUMMYFUNCTION("""COMPUTED_VALUE"""),45715.0)</f>
        <v>45715</v>
      </c>
      <c r="C386" s="266" t="str">
        <f>IFERROR(__xludf.DUMMYFUNCTION("""COMPUTED_VALUE"""),"KERTASARI CIAMIS")</f>
        <v>KERTASARI CIAMIS</v>
      </c>
      <c r="D386" s="186">
        <f>IFERROR(__xludf.DUMMYFUNCTION("""COMPUTED_VALUE"""),32.0)</f>
        <v>32</v>
      </c>
    </row>
    <row r="387">
      <c r="A387" s="178" t="str">
        <f>IFERROR(__xludf.DUMMYFUNCTION("""COMPUTED_VALUE"""),"ITBISA-7SEGMENT-ANODE-RED-1.00-1BIT")</f>
        <v>ITBISA-7SEGMENT-ANODE-RED-1.00-1BIT</v>
      </c>
      <c r="B387" s="266">
        <f>IFERROR(__xludf.DUMMYFUNCTION("""COMPUTED_VALUE"""),45720.0)</f>
        <v>45720</v>
      </c>
      <c r="C387" s="266" t="str">
        <f>IFERROR(__xludf.DUMMYFUNCTION("""COMPUTED_VALUE"""),"KERTASARI CIAMIS")</f>
        <v>KERTASARI CIAMIS</v>
      </c>
      <c r="D387" s="186">
        <f>IFERROR(__xludf.DUMMYFUNCTION("""COMPUTED_VALUE"""),5.0)</f>
        <v>5</v>
      </c>
    </row>
    <row r="388">
      <c r="A388" s="178" t="str">
        <f>IFERROR(__xludf.DUMMYFUNCTION("""COMPUTED_VALUE"""),"ITBISA-7SEGMENT-ANODE-RED-1.00-1BIT")</f>
        <v>ITBISA-7SEGMENT-ANODE-RED-1.00-1BIT</v>
      </c>
      <c r="B388" s="266">
        <f>IFERROR(__xludf.DUMMYFUNCTION("""COMPUTED_VALUE"""),45721.0)</f>
        <v>45721</v>
      </c>
      <c r="C388" s="266" t="str">
        <f>IFERROR(__xludf.DUMMYFUNCTION("""COMPUTED_VALUE"""),"KERTASARI CIAMIS")</f>
        <v>KERTASARI CIAMIS</v>
      </c>
      <c r="D388" s="186">
        <f>IFERROR(__xludf.DUMMYFUNCTION("""COMPUTED_VALUE"""),5.0)</f>
        <v>5</v>
      </c>
    </row>
    <row r="389">
      <c r="A389" s="178" t="str">
        <f>IFERROR(__xludf.DUMMYFUNCTION("""COMPUTED_VALUE"""),"ITBISA-7SEGMENT-ANODE-RED-1.00-1BIT")</f>
        <v>ITBISA-7SEGMENT-ANODE-RED-1.00-1BIT</v>
      </c>
      <c r="B389" s="266">
        <f>IFERROR(__xludf.DUMMYFUNCTION("""COMPUTED_VALUE"""),45722.0)</f>
        <v>45722</v>
      </c>
      <c r="C389" s="266" t="str">
        <f>IFERROR(__xludf.DUMMYFUNCTION("""COMPUTED_VALUE"""),"KYAI KONTONG")</f>
        <v>KYAI KONTONG</v>
      </c>
      <c r="D389" s="186">
        <f>IFERROR(__xludf.DUMMYFUNCTION("""COMPUTED_VALUE"""),5.0)</f>
        <v>5</v>
      </c>
    </row>
    <row r="390">
      <c r="A390" s="178" t="str">
        <f>IFERROR(__xludf.DUMMYFUNCTION("""COMPUTED_VALUE"""),"ITBISA-7SEGMENT-ANODE-RED-1.00-1BIT")</f>
        <v>ITBISA-7SEGMENT-ANODE-RED-1.00-1BIT</v>
      </c>
      <c r="B390" s="266">
        <f>IFERROR(__xludf.DUMMYFUNCTION("""COMPUTED_VALUE"""),45722.0)</f>
        <v>45722</v>
      </c>
      <c r="C390" s="266" t="str">
        <f>IFERROR(__xludf.DUMMYFUNCTION("""COMPUTED_VALUE"""),"KYAI KONTONG")</f>
        <v>KYAI KONTONG</v>
      </c>
      <c r="D390" s="186">
        <f>IFERROR(__xludf.DUMMYFUNCTION("""COMPUTED_VALUE"""),7.0)</f>
        <v>7</v>
      </c>
    </row>
    <row r="391">
      <c r="A391" s="178" t="str">
        <f>IFERROR(__xludf.DUMMYFUNCTION("""COMPUTED_VALUE"""),"ITBISA-7SEGMENT-ANODE-RED-1.00-1BIT")</f>
        <v>ITBISA-7SEGMENT-ANODE-RED-1.00-1BIT</v>
      </c>
      <c r="B391" s="266">
        <f>IFERROR(__xludf.DUMMYFUNCTION("""COMPUTED_VALUE"""),45774.0)</f>
        <v>45774</v>
      </c>
      <c r="C391" s="266" t="str">
        <f>IFERROR(__xludf.DUMMYFUNCTION("""COMPUTED_VALUE"""),"KYAI KONTONG")</f>
        <v>KYAI KONTONG</v>
      </c>
      <c r="D391" s="186">
        <f>IFERROR(__xludf.DUMMYFUNCTION("""COMPUTED_VALUE"""),5.0)</f>
        <v>5</v>
      </c>
    </row>
    <row r="392">
      <c r="A392" s="178" t="str">
        <f>IFERROR(__xludf.DUMMYFUNCTION("""COMPUTED_VALUE"""),"ITBISA-7SEGMENT-ANODE-RED-1.00-1BIT")</f>
        <v>ITBISA-7SEGMENT-ANODE-RED-1.00-1BIT</v>
      </c>
      <c r="B392" s="266">
        <f>IFERROR(__xludf.DUMMYFUNCTION("""COMPUTED_VALUE"""),45777.0)</f>
        <v>45777</v>
      </c>
      <c r="C392" s="266" t="str">
        <f>IFERROR(__xludf.DUMMYFUNCTION("""COMPUTED_VALUE"""),"KYAI KONTONG")</f>
        <v>KYAI KONTONG</v>
      </c>
      <c r="D392" s="186">
        <f>IFERROR(__xludf.DUMMYFUNCTION("""COMPUTED_VALUE"""),10.0)</f>
        <v>10</v>
      </c>
    </row>
    <row r="393">
      <c r="A393" s="178" t="str">
        <f>IFERROR(__xludf.DUMMYFUNCTION("""COMPUTED_VALUE"""),"ITBISA-7SEGMENT-ANODE-RED-1.00-1BIT")</f>
        <v>ITBISA-7SEGMENT-ANODE-RED-1.00-1BIT</v>
      </c>
      <c r="B393" s="266">
        <f>IFERROR(__xludf.DUMMYFUNCTION("""COMPUTED_VALUE"""),45779.0)</f>
        <v>45779</v>
      </c>
      <c r="C393" s="266" t="str">
        <f>IFERROR(__xludf.DUMMYFUNCTION("""COMPUTED_VALUE"""),"KYAI KONTONG")</f>
        <v>KYAI KONTONG</v>
      </c>
      <c r="D393" s="186">
        <f>IFERROR(__xludf.DUMMYFUNCTION("""COMPUTED_VALUE"""),5.0)</f>
        <v>5</v>
      </c>
    </row>
    <row r="394">
      <c r="A394" s="178" t="str">
        <f>IFERROR(__xludf.DUMMYFUNCTION("""COMPUTED_VALUE"""),"ITBISA-7SEGMENT-ANODE-RED-1.00-1BIT")</f>
        <v>ITBISA-7SEGMENT-ANODE-RED-1.00-1BIT</v>
      </c>
      <c r="B394" s="266">
        <f>IFERROR(__xludf.DUMMYFUNCTION("""COMPUTED_VALUE"""),45845.0)</f>
        <v>45845</v>
      </c>
      <c r="C394" s="266" t="str">
        <f>IFERROR(__xludf.DUMMYFUNCTION("""COMPUTED_VALUE"""),"KERTASARI CIAMIS")</f>
        <v>KERTASARI CIAMIS</v>
      </c>
      <c r="D394" s="186">
        <f>IFERROR(__xludf.DUMMYFUNCTION("""COMPUTED_VALUE"""),4.0)</f>
        <v>4</v>
      </c>
    </row>
    <row r="395">
      <c r="A395" s="178" t="str">
        <f>IFERROR(__xludf.DUMMYFUNCTION("""COMPUTED_VALUE"""),"ITBISA-7SEGMENT-ANODE-RED-1.00-1BIT")</f>
        <v>ITBISA-7SEGMENT-ANODE-RED-1.00-1BIT</v>
      </c>
      <c r="B395" s="266">
        <f>IFERROR(__xludf.DUMMYFUNCTION("""COMPUTED_VALUE"""),45855.0)</f>
        <v>45855</v>
      </c>
      <c r="C395" s="266" t="str">
        <f>IFERROR(__xludf.DUMMYFUNCTION("""COMPUTED_VALUE"""),"KYAI KONTONG")</f>
        <v>KYAI KONTONG</v>
      </c>
      <c r="D395" s="186">
        <f>IFERROR(__xludf.DUMMYFUNCTION("""COMPUTED_VALUE"""),10.0)</f>
        <v>10</v>
      </c>
    </row>
    <row r="396">
      <c r="A396" s="178" t="str">
        <f>IFERROR(__xludf.DUMMYFUNCTION("""COMPUTED_VALUE"""),"ITBISA-7SEGMENT-ANODE-RED-1.00-1BIT")</f>
        <v>ITBISA-7SEGMENT-ANODE-RED-1.00-1BIT</v>
      </c>
      <c r="B396" s="266">
        <f>IFERROR(__xludf.DUMMYFUNCTION("""COMPUTED_VALUE"""),45891.0)</f>
        <v>45891</v>
      </c>
      <c r="C396" s="266" t="str">
        <f>IFERROR(__xludf.DUMMYFUNCTION("""COMPUTED_VALUE"""),"KERTASARI CIAMIS")</f>
        <v>KERTASARI CIAMIS</v>
      </c>
      <c r="D396" s="186">
        <f>IFERROR(__xludf.DUMMYFUNCTION("""COMPUTED_VALUE"""),10.0)</f>
        <v>10</v>
      </c>
    </row>
    <row r="397">
      <c r="A397" s="178" t="str">
        <f>IFERROR(__xludf.DUMMYFUNCTION("""COMPUTED_VALUE"""),"ITBISA-7SEGMENT-ANODE-RED-1.00-1BIT")</f>
        <v>ITBISA-7SEGMENT-ANODE-RED-1.00-1BIT</v>
      </c>
      <c r="B397" s="266">
        <f>IFERROR(__xludf.DUMMYFUNCTION("""COMPUTED_VALUE"""),45891.0)</f>
        <v>45891</v>
      </c>
      <c r="C397" s="266" t="str">
        <f>IFERROR(__xludf.DUMMYFUNCTION("""COMPUTED_VALUE"""),"KYAI KONTONG")</f>
        <v>KYAI KONTONG</v>
      </c>
      <c r="D397" s="186">
        <f>IFERROR(__xludf.DUMMYFUNCTION("""COMPUTED_VALUE"""),50.0)</f>
        <v>50</v>
      </c>
    </row>
    <row r="398">
      <c r="A398" s="178" t="str">
        <f>IFERROR(__xludf.DUMMYFUNCTION("""COMPUTED_VALUE"""),"ITBISA-7SEGMENT-ANODE-RED-1.00-1BIT")</f>
        <v>ITBISA-7SEGMENT-ANODE-RED-1.00-1BIT</v>
      </c>
      <c r="B398" s="266">
        <f>IFERROR(__xludf.DUMMYFUNCTION("""COMPUTED_VALUE"""),45913.0)</f>
        <v>45913</v>
      </c>
      <c r="C398" s="266" t="str">
        <f>IFERROR(__xludf.DUMMYFUNCTION("""COMPUTED_VALUE"""),"KERTASARI CIAMIS")</f>
        <v>KERTASARI CIAMIS</v>
      </c>
      <c r="D398" s="186">
        <f>IFERROR(__xludf.DUMMYFUNCTION("""COMPUTED_VALUE"""),4.0)</f>
        <v>4</v>
      </c>
    </row>
    <row r="399">
      <c r="A399" s="178" t="str">
        <f>IFERROR(__xludf.DUMMYFUNCTION("""COMPUTED_VALUE"""),"ITBISA-7SEGMENT-ANODE-RED-1.00-1BIT")</f>
        <v>ITBISA-7SEGMENT-ANODE-RED-1.00-1BIT</v>
      </c>
      <c r="B399" s="266">
        <f>IFERROR(__xludf.DUMMYFUNCTION("""COMPUTED_VALUE"""),45951.0)</f>
        <v>45951</v>
      </c>
      <c r="C399" s="266" t="str">
        <f>IFERROR(__xludf.DUMMYFUNCTION("""COMPUTED_VALUE"""),"KERTASARI CIAMIS")</f>
        <v>KERTASARI CIAMIS</v>
      </c>
      <c r="D399" s="186">
        <f>IFERROR(__xludf.DUMMYFUNCTION("""COMPUTED_VALUE"""),3.0)</f>
        <v>3</v>
      </c>
    </row>
    <row r="400">
      <c r="A400" s="178" t="str">
        <f>IFERROR(__xludf.DUMMYFUNCTION("""COMPUTED_VALUE"""),"ITBISA-7SEGMENT-ANODE-RED-1.00-1BIT")</f>
        <v>ITBISA-7SEGMENT-ANODE-RED-1.00-1BIT</v>
      </c>
      <c r="B400" s="266">
        <f>IFERROR(__xludf.DUMMYFUNCTION("""COMPUTED_VALUE"""),45966.0)</f>
        <v>45966</v>
      </c>
      <c r="C400" s="266" t="str">
        <f>IFERROR(__xludf.DUMMYFUNCTION("""COMPUTED_VALUE"""),"KERTASARI CIAMIS")</f>
        <v>KERTASARI CIAMIS</v>
      </c>
      <c r="D400" s="186">
        <f>IFERROR(__xludf.DUMMYFUNCTION("""COMPUTED_VALUE"""),1.0)</f>
        <v>1</v>
      </c>
    </row>
    <row r="401">
      <c r="A401" s="178" t="str">
        <f>IFERROR(__xludf.DUMMYFUNCTION("""COMPUTED_VALUE"""),"ITBISA-7SEGMENT-ANODE-RED-1.00-1BIT")</f>
        <v>ITBISA-7SEGMENT-ANODE-RED-1.00-1BIT</v>
      </c>
      <c r="B401" s="266">
        <f>IFERROR(__xludf.DUMMYFUNCTION("""COMPUTED_VALUE"""),45983.0)</f>
        <v>45983</v>
      </c>
      <c r="C401" s="266" t="str">
        <f>IFERROR(__xludf.DUMMYFUNCTION("""COMPUTED_VALUE"""),"KERTASARI CIAMIS")</f>
        <v>KERTASARI CIAMIS</v>
      </c>
      <c r="D401" s="186">
        <f>IFERROR(__xludf.DUMMYFUNCTION("""COMPUTED_VALUE"""),5.0)</f>
        <v>5</v>
      </c>
    </row>
    <row r="402">
      <c r="A402" s="178" t="str">
        <f>IFERROR(__xludf.DUMMYFUNCTION("""COMPUTED_VALUE"""),"ITBISA-7SEGMENT-ANODE-RED-1.00-1BIT")</f>
        <v>ITBISA-7SEGMENT-ANODE-RED-1.00-1BIT</v>
      </c>
      <c r="B402" s="266">
        <f>IFERROR(__xludf.DUMMYFUNCTION("""COMPUTED_VALUE"""),45986.0)</f>
        <v>45986</v>
      </c>
      <c r="C402" s="266" t="str">
        <f>IFERROR(__xludf.DUMMYFUNCTION("""COMPUTED_VALUE"""),"KERTASARI CIAMIS")</f>
        <v>KERTASARI CIAMIS</v>
      </c>
      <c r="D402" s="186">
        <f>IFERROR(__xludf.DUMMYFUNCTION("""COMPUTED_VALUE"""),5.0)</f>
        <v>5</v>
      </c>
    </row>
    <row r="403">
      <c r="A403" s="178" t="str">
        <f>IFERROR(__xludf.DUMMYFUNCTION("""COMPUTED_VALUE"""),"ITBISA-7SEGMENT-ANODE-RED-1.00-1BIT")</f>
        <v>ITBISA-7SEGMENT-ANODE-RED-1.00-1BIT</v>
      </c>
      <c r="B403" s="266">
        <f>IFERROR(__xludf.DUMMYFUNCTION("""COMPUTED_VALUE"""),45986.0)</f>
        <v>45986</v>
      </c>
      <c r="C403" s="266" t="str">
        <f>IFERROR(__xludf.DUMMYFUNCTION("""COMPUTED_VALUE"""),"KERTASARI CIAMIS")</f>
        <v>KERTASARI CIAMIS</v>
      </c>
      <c r="D403" s="186">
        <f>IFERROR(__xludf.DUMMYFUNCTION("""COMPUTED_VALUE"""),5.0)</f>
        <v>5</v>
      </c>
    </row>
    <row r="404">
      <c r="A404" s="178" t="str">
        <f>IFERROR(__xludf.DUMMYFUNCTION("""COMPUTED_VALUE"""),"ITBISA-7SEGMENT-ANODE-RED-1.00-1BIT")</f>
        <v>ITBISA-7SEGMENT-ANODE-RED-1.00-1BIT</v>
      </c>
      <c r="B404" s="266">
        <f>IFERROR(__xludf.DUMMYFUNCTION("""COMPUTED_VALUE"""),45990.0)</f>
        <v>45990</v>
      </c>
      <c r="C404" s="266" t="str">
        <f>IFERROR(__xludf.DUMMYFUNCTION("""COMPUTED_VALUE"""),"KYAI KONTONG")</f>
        <v>KYAI KONTONG</v>
      </c>
      <c r="D404" s="186">
        <f>IFERROR(__xludf.DUMMYFUNCTION("""COMPUTED_VALUE"""),30.0)</f>
        <v>30</v>
      </c>
    </row>
    <row r="405">
      <c r="A405" s="178" t="str">
        <f>IFERROR(__xludf.DUMMYFUNCTION("""COMPUTED_VALUE"""),"ITBISA-7SEGMENT-ANODE-RED-1.00-1BIT")</f>
        <v>ITBISA-7SEGMENT-ANODE-RED-1.00-1BIT</v>
      </c>
      <c r="B405" s="266">
        <f>IFERROR(__xludf.DUMMYFUNCTION("""COMPUTED_VALUE"""),45996.0)</f>
        <v>45996</v>
      </c>
      <c r="C405" s="266" t="str">
        <f>IFERROR(__xludf.DUMMYFUNCTION("""COMPUTED_VALUE"""),"KYAI KONTONG")</f>
        <v>KYAI KONTONG</v>
      </c>
      <c r="D405" s="186">
        <f>IFERROR(__xludf.DUMMYFUNCTION("""COMPUTED_VALUE"""),2.0)</f>
        <v>2</v>
      </c>
    </row>
    <row r="406">
      <c r="A406" s="178" t="str">
        <f>IFERROR(__xludf.DUMMYFUNCTION("""COMPUTED_VALUE"""),"ITBISA-7SEGMENT-ANODE-RED-1.00-1BIT")</f>
        <v>ITBISA-7SEGMENT-ANODE-RED-1.00-1BIT</v>
      </c>
      <c r="B406" s="266">
        <f>IFERROR(__xludf.DUMMYFUNCTION("""COMPUTED_VALUE"""),46000.0)</f>
        <v>46000</v>
      </c>
      <c r="C406" s="266" t="str">
        <f>IFERROR(__xludf.DUMMYFUNCTION("""COMPUTED_VALUE"""),"KYAI KONTONG")</f>
        <v>KYAI KONTONG</v>
      </c>
      <c r="D406" s="186">
        <f>IFERROR(__xludf.DUMMYFUNCTION("""COMPUTED_VALUE"""),10.0)</f>
        <v>10</v>
      </c>
    </row>
    <row r="407">
      <c r="A407" s="178" t="str">
        <f>IFERROR(__xludf.DUMMYFUNCTION("""COMPUTED_VALUE"""),"ITBISA-7SEGMENT-ANODE-RED-1.00-1BIT")</f>
        <v>ITBISA-7SEGMENT-ANODE-RED-1.00-1BIT</v>
      </c>
      <c r="B407" s="266">
        <f>IFERROR(__xludf.DUMMYFUNCTION("""COMPUTED_VALUE"""),46003.0)</f>
        <v>46003</v>
      </c>
      <c r="C407" s="266" t="str">
        <f>IFERROR(__xludf.DUMMYFUNCTION("""COMPUTED_VALUE"""),"KYAI KONTONG")</f>
        <v>KYAI KONTONG</v>
      </c>
      <c r="D407" s="186">
        <f>IFERROR(__xludf.DUMMYFUNCTION("""COMPUTED_VALUE"""),10.0)</f>
        <v>10</v>
      </c>
    </row>
    <row r="408">
      <c r="A408" s="178" t="str">
        <f>IFERROR(__xludf.DUMMYFUNCTION("""COMPUTED_VALUE"""),"ITBISA-7SEGMENT-ANODE-RED-1.20-1BIT")</f>
        <v>ITBISA-7SEGMENT-ANODE-RED-1.20-1BIT</v>
      </c>
      <c r="B408" s="266">
        <f>IFERROR(__xludf.DUMMYFUNCTION("""COMPUTED_VALUE"""),45090.0)</f>
        <v>45090</v>
      </c>
      <c r="C408" s="266" t="str">
        <f>IFERROR(__xludf.DUMMYFUNCTION("""COMPUTED_VALUE"""),"KYAI KONTONG")</f>
        <v>KYAI KONTONG</v>
      </c>
      <c r="D408" s="186">
        <f>IFERROR(__xludf.DUMMYFUNCTION("""COMPUTED_VALUE"""),2.0)</f>
        <v>2</v>
      </c>
    </row>
    <row r="409">
      <c r="A409" s="178" t="str">
        <f>IFERROR(__xludf.DUMMYFUNCTION("""COMPUTED_VALUE"""),"ITBISA-7SEGMENT-ANODE-RED-1.20-1BIT")</f>
        <v>ITBISA-7SEGMENT-ANODE-RED-1.20-1BIT</v>
      </c>
      <c r="B409" s="266">
        <f>IFERROR(__xludf.DUMMYFUNCTION("""COMPUTED_VALUE"""),45106.0)</f>
        <v>45106</v>
      </c>
      <c r="C409" s="266" t="str">
        <f>IFERROR(__xludf.DUMMYFUNCTION("""COMPUTED_VALUE"""),"KYAI KONTONG")</f>
        <v>KYAI KONTONG</v>
      </c>
      <c r="D409" s="186">
        <f>IFERROR(__xludf.DUMMYFUNCTION("""COMPUTED_VALUE"""),15.0)</f>
        <v>15</v>
      </c>
    </row>
    <row r="410">
      <c r="A410" s="178" t="str">
        <f>IFERROR(__xludf.DUMMYFUNCTION("""COMPUTED_VALUE"""),"ITBISA-7SEGMENT-ANODE-RED-1.20-1BIT")</f>
        <v>ITBISA-7SEGMENT-ANODE-RED-1.20-1BIT</v>
      </c>
      <c r="B410" s="266">
        <f>IFERROR(__xludf.DUMMYFUNCTION("""COMPUTED_VALUE"""),45110.0)</f>
        <v>45110</v>
      </c>
      <c r="C410" s="266" t="str">
        <f>IFERROR(__xludf.DUMMYFUNCTION("""COMPUTED_VALUE"""),"KYAI KONTONG")</f>
        <v>KYAI KONTONG</v>
      </c>
      <c r="D410" s="186">
        <f>IFERROR(__xludf.DUMMYFUNCTION("""COMPUTED_VALUE"""),105.0)</f>
        <v>105</v>
      </c>
    </row>
    <row r="411">
      <c r="A411" s="178" t="str">
        <f>IFERROR(__xludf.DUMMYFUNCTION("""COMPUTED_VALUE"""),"ITBISA-7SEGMENT-ANODE-RED-1.20-1BIT")</f>
        <v>ITBISA-7SEGMENT-ANODE-RED-1.20-1BIT</v>
      </c>
      <c r="B411" s="266">
        <f>IFERROR(__xludf.DUMMYFUNCTION("""COMPUTED_VALUE"""),45119.0)</f>
        <v>45119</v>
      </c>
      <c r="C411" s="266" t="str">
        <f>IFERROR(__xludf.DUMMYFUNCTION("""COMPUTED_VALUE"""),"KYAI KONTONG")</f>
        <v>KYAI KONTONG</v>
      </c>
      <c r="D411" s="186">
        <f>IFERROR(__xludf.DUMMYFUNCTION("""COMPUTED_VALUE"""),878.0)</f>
        <v>878</v>
      </c>
    </row>
    <row r="412">
      <c r="A412" s="178" t="str">
        <f>IFERROR(__xludf.DUMMYFUNCTION("""COMPUTED_VALUE"""),"ITBISA-7SEGMENT-ANODE-RED-1.20-1BIT")</f>
        <v>ITBISA-7SEGMENT-ANODE-RED-1.20-1BIT</v>
      </c>
      <c r="B412" s="266">
        <f>IFERROR(__xludf.DUMMYFUNCTION("""COMPUTED_VALUE"""),45236.0)</f>
        <v>45236</v>
      </c>
      <c r="C412" s="266" t="str">
        <f>IFERROR(__xludf.DUMMYFUNCTION("""COMPUTED_VALUE"""),"KYAI KONTONG")</f>
        <v>KYAI KONTONG</v>
      </c>
      <c r="D412" s="186">
        <f>IFERROR(__xludf.DUMMYFUNCTION("""COMPUTED_VALUE"""),12.0)</f>
        <v>12</v>
      </c>
    </row>
    <row r="413">
      <c r="A413" s="178" t="str">
        <f>IFERROR(__xludf.DUMMYFUNCTION("""COMPUTED_VALUE"""),"ITBISA-7SEGMENT-ANODE-RED-1.20-1BIT")</f>
        <v>ITBISA-7SEGMENT-ANODE-RED-1.20-1BIT</v>
      </c>
      <c r="B413" s="266">
        <f>IFERROR(__xludf.DUMMYFUNCTION("""COMPUTED_VALUE"""),45242.0)</f>
        <v>45242</v>
      </c>
      <c r="C413" s="266" t="str">
        <f>IFERROR(__xludf.DUMMYFUNCTION("""COMPUTED_VALUE"""),"KYAI KONTONG")</f>
        <v>KYAI KONTONG</v>
      </c>
      <c r="D413" s="186">
        <f>IFERROR(__xludf.DUMMYFUNCTION("""COMPUTED_VALUE"""),300.0)</f>
        <v>300</v>
      </c>
    </row>
    <row r="414">
      <c r="A414" s="178" t="str">
        <f>IFERROR(__xludf.DUMMYFUNCTION("""COMPUTED_VALUE"""),"ITBISA-7SEGMENT-ANODE-RED-1.20-1BIT")</f>
        <v>ITBISA-7SEGMENT-ANODE-RED-1.20-1BIT</v>
      </c>
      <c r="B414" s="266">
        <f>IFERROR(__xludf.DUMMYFUNCTION("""COMPUTED_VALUE"""),45250.0)</f>
        <v>45250</v>
      </c>
      <c r="C414" s="266" t="str">
        <f>IFERROR(__xludf.DUMMYFUNCTION("""COMPUTED_VALUE"""),"KYAI KONTONG")</f>
        <v>KYAI KONTONG</v>
      </c>
      <c r="D414" s="186">
        <f>IFERROR(__xludf.DUMMYFUNCTION("""COMPUTED_VALUE"""),75.0)</f>
        <v>75</v>
      </c>
    </row>
    <row r="415">
      <c r="A415" s="178" t="str">
        <f>IFERROR(__xludf.DUMMYFUNCTION("""COMPUTED_VALUE"""),"ITBISA-7SEGMENT-ANODE-RED-1.20-1BIT")</f>
        <v>ITBISA-7SEGMENT-ANODE-RED-1.20-1BIT</v>
      </c>
      <c r="B415" s="266">
        <f>IFERROR(__xludf.DUMMYFUNCTION("""COMPUTED_VALUE"""),45250.0)</f>
        <v>45250</v>
      </c>
      <c r="C415" s="266" t="str">
        <f>IFERROR(__xludf.DUMMYFUNCTION("""COMPUTED_VALUE"""),"KYAI KONTONG")</f>
        <v>KYAI KONTONG</v>
      </c>
      <c r="D415" s="186">
        <f>IFERROR(__xludf.DUMMYFUNCTION("""COMPUTED_VALUE"""),300.0)</f>
        <v>300</v>
      </c>
    </row>
    <row r="416">
      <c r="A416" s="178" t="str">
        <f>IFERROR(__xludf.DUMMYFUNCTION("""COMPUTED_VALUE"""),"ITBISA-7SEGMENT-ANODE-RED-1.20-1BIT")</f>
        <v>ITBISA-7SEGMENT-ANODE-RED-1.20-1BIT</v>
      </c>
      <c r="B416" s="266">
        <f>IFERROR(__xludf.DUMMYFUNCTION("""COMPUTED_VALUE"""),45252.0)</f>
        <v>45252</v>
      </c>
      <c r="C416" s="266" t="str">
        <f>IFERROR(__xludf.DUMMYFUNCTION("""COMPUTED_VALUE"""),"KYAI KONTONG")</f>
        <v>KYAI KONTONG</v>
      </c>
      <c r="D416" s="186">
        <f>IFERROR(__xludf.DUMMYFUNCTION("""COMPUTED_VALUE"""),30.0)</f>
        <v>30</v>
      </c>
    </row>
    <row r="417">
      <c r="A417" s="178" t="str">
        <f>IFERROR(__xludf.DUMMYFUNCTION("""COMPUTED_VALUE"""),"ITBISA-7SEGMENT-ANODE-RED-1.20-1BIT")</f>
        <v>ITBISA-7SEGMENT-ANODE-RED-1.20-1BIT</v>
      </c>
      <c r="B417" s="266">
        <f>IFERROR(__xludf.DUMMYFUNCTION("""COMPUTED_VALUE"""),45253.0)</f>
        <v>45253</v>
      </c>
      <c r="C417" s="266" t="str">
        <f>IFERROR(__xludf.DUMMYFUNCTION("""COMPUTED_VALUE"""),"KYAI KONTONG")</f>
        <v>KYAI KONTONG</v>
      </c>
      <c r="D417" s="186">
        <f>IFERROR(__xludf.DUMMYFUNCTION("""COMPUTED_VALUE"""),200.0)</f>
        <v>200</v>
      </c>
    </row>
    <row r="418">
      <c r="A418" s="178" t="str">
        <f>IFERROR(__xludf.DUMMYFUNCTION("""COMPUTED_VALUE"""),"ITBISA-7SEGMENT-ANODE-RED-1.20-1BIT")</f>
        <v>ITBISA-7SEGMENT-ANODE-RED-1.20-1BIT</v>
      </c>
      <c r="B418" s="266">
        <f>IFERROR(__xludf.DUMMYFUNCTION("""COMPUTED_VALUE"""),45254.0)</f>
        <v>45254</v>
      </c>
      <c r="C418" s="266" t="str">
        <f>IFERROR(__xludf.DUMMYFUNCTION("""COMPUTED_VALUE"""),"KYAI KONTONG")</f>
        <v>KYAI KONTONG</v>
      </c>
      <c r="D418" s="186">
        <f>IFERROR(__xludf.DUMMYFUNCTION("""COMPUTED_VALUE"""),14.0)</f>
        <v>14</v>
      </c>
    </row>
    <row r="419">
      <c r="A419" s="178" t="str">
        <f>IFERROR(__xludf.DUMMYFUNCTION("""COMPUTED_VALUE"""),"ITBISA-7SEGMENT-ANODE-RED-1.20-1BIT")</f>
        <v>ITBISA-7SEGMENT-ANODE-RED-1.20-1BIT</v>
      </c>
      <c r="B419" s="266">
        <f>IFERROR(__xludf.DUMMYFUNCTION("""COMPUTED_VALUE"""),45255.0)</f>
        <v>45255</v>
      </c>
      <c r="C419" s="266" t="str">
        <f>IFERROR(__xludf.DUMMYFUNCTION("""COMPUTED_VALUE"""),"KERTASARI CIAMIS")</f>
        <v>KERTASARI CIAMIS</v>
      </c>
      <c r="D419" s="186">
        <f>IFERROR(__xludf.DUMMYFUNCTION("""COMPUTED_VALUE"""),300.0)</f>
        <v>300</v>
      </c>
    </row>
    <row r="420">
      <c r="A420" s="178" t="str">
        <f>IFERROR(__xludf.DUMMYFUNCTION("""COMPUTED_VALUE"""),"ITBISA-7SEGMENT-ANODE-RED-1.20-1BIT")</f>
        <v>ITBISA-7SEGMENT-ANODE-RED-1.20-1BIT</v>
      </c>
      <c r="B420" s="266">
        <f>IFERROR(__xludf.DUMMYFUNCTION("""COMPUTED_VALUE"""),45260.0)</f>
        <v>45260</v>
      </c>
      <c r="C420" s="266" t="str">
        <f>IFERROR(__xludf.DUMMYFUNCTION("""COMPUTED_VALUE"""),"KERTASARI CIAMIS")</f>
        <v>KERTASARI CIAMIS</v>
      </c>
      <c r="D420" s="186">
        <f>IFERROR(__xludf.DUMMYFUNCTION("""COMPUTED_VALUE"""),50.0)</f>
        <v>50</v>
      </c>
    </row>
    <row r="421">
      <c r="A421" s="178" t="str">
        <f>IFERROR(__xludf.DUMMYFUNCTION("""COMPUTED_VALUE"""),"ITBISA-7SEGMENT-ANODE-RED-1.20-1BIT")</f>
        <v>ITBISA-7SEGMENT-ANODE-RED-1.20-1BIT</v>
      </c>
      <c r="B421" s="266">
        <f>IFERROR(__xludf.DUMMYFUNCTION("""COMPUTED_VALUE"""),45262.0)</f>
        <v>45262</v>
      </c>
      <c r="C421" s="266" t="str">
        <f>IFERROR(__xludf.DUMMYFUNCTION("""COMPUTED_VALUE"""),"KERTASARI CIAMIS")</f>
        <v>KERTASARI CIAMIS</v>
      </c>
      <c r="D421" s="186">
        <f>IFERROR(__xludf.DUMMYFUNCTION("""COMPUTED_VALUE"""),300.0)</f>
        <v>300</v>
      </c>
    </row>
    <row r="422">
      <c r="A422" s="178" t="str">
        <f>IFERROR(__xludf.DUMMYFUNCTION("""COMPUTED_VALUE"""),"ITBISA-7SEGMENT-ANODE-RED-1.20-1BIT")</f>
        <v>ITBISA-7SEGMENT-ANODE-RED-1.20-1BIT</v>
      </c>
      <c r="B422" s="266">
        <f>IFERROR(__xludf.DUMMYFUNCTION("""COMPUTED_VALUE"""),45264.0)</f>
        <v>45264</v>
      </c>
      <c r="C422" s="266" t="str">
        <f>IFERROR(__xludf.DUMMYFUNCTION("""COMPUTED_VALUE"""),"KYAI KONTONG")</f>
        <v>KYAI KONTONG</v>
      </c>
      <c r="D422" s="186">
        <f>IFERROR(__xludf.DUMMYFUNCTION("""COMPUTED_VALUE"""),26.0)</f>
        <v>26</v>
      </c>
    </row>
    <row r="423">
      <c r="A423" s="178" t="str">
        <f>IFERROR(__xludf.DUMMYFUNCTION("""COMPUTED_VALUE"""),"ITBISA-7SEGMENT-ANODE-RED-1.20-1BIT")</f>
        <v>ITBISA-7SEGMENT-ANODE-RED-1.20-1BIT</v>
      </c>
      <c r="B423" s="266">
        <f>IFERROR(__xludf.DUMMYFUNCTION("""COMPUTED_VALUE"""),45264.0)</f>
        <v>45264</v>
      </c>
      <c r="C423" s="266" t="str">
        <f>IFERROR(__xludf.DUMMYFUNCTION("""COMPUTED_VALUE"""),"KYAI KONTONG")</f>
        <v>KYAI KONTONG</v>
      </c>
      <c r="D423" s="186">
        <f>IFERROR(__xludf.DUMMYFUNCTION("""COMPUTED_VALUE"""),75.0)</f>
        <v>75</v>
      </c>
    </row>
    <row r="424">
      <c r="A424" s="178" t="str">
        <f>IFERROR(__xludf.DUMMYFUNCTION("""COMPUTED_VALUE"""),"ITBISA-7SEGMENT-ANODE-RED-1.20-1BIT")</f>
        <v>ITBISA-7SEGMENT-ANODE-RED-1.20-1BIT</v>
      </c>
      <c r="B424" s="266">
        <f>IFERROR(__xludf.DUMMYFUNCTION("""COMPUTED_VALUE"""),45271.0)</f>
        <v>45271</v>
      </c>
      <c r="C424" s="266" t="str">
        <f>IFERROR(__xludf.DUMMYFUNCTION("""COMPUTED_VALUE"""),"KYAI KONTONG")</f>
        <v>KYAI KONTONG</v>
      </c>
      <c r="D424" s="186">
        <f>IFERROR(__xludf.DUMMYFUNCTION("""COMPUTED_VALUE"""),300.0)</f>
        <v>300</v>
      </c>
    </row>
    <row r="425">
      <c r="A425" s="178" t="str">
        <f>IFERROR(__xludf.DUMMYFUNCTION("""COMPUTED_VALUE"""),"ITBISA-7SEGMENT-ANODE-RED-1.20-1BIT")</f>
        <v>ITBISA-7SEGMENT-ANODE-RED-1.20-1BIT</v>
      </c>
      <c r="B425" s="266">
        <f>IFERROR(__xludf.DUMMYFUNCTION("""COMPUTED_VALUE"""),45273.0)</f>
        <v>45273</v>
      </c>
      <c r="C425" s="266" t="str">
        <f>IFERROR(__xludf.DUMMYFUNCTION("""COMPUTED_VALUE"""),"KERTASARI CIAMIS")</f>
        <v>KERTASARI CIAMIS</v>
      </c>
      <c r="D425" s="186">
        <f>IFERROR(__xludf.DUMMYFUNCTION("""COMPUTED_VALUE"""),15.0)</f>
        <v>15</v>
      </c>
    </row>
    <row r="426">
      <c r="A426" s="178" t="str">
        <f>IFERROR(__xludf.DUMMYFUNCTION("""COMPUTED_VALUE"""),"ITBISA-7SEGMENT-ANODE-RED-1.20-1BIT")</f>
        <v>ITBISA-7SEGMENT-ANODE-RED-1.20-1BIT</v>
      </c>
      <c r="B426" s="266">
        <f>IFERROR(__xludf.DUMMYFUNCTION("""COMPUTED_VALUE"""),45278.0)</f>
        <v>45278</v>
      </c>
      <c r="C426" s="266" t="str">
        <f>IFERROR(__xludf.DUMMYFUNCTION("""COMPUTED_VALUE"""),"KERTASARI CIAMIS")</f>
        <v>KERTASARI CIAMIS</v>
      </c>
      <c r="D426" s="186">
        <f>IFERROR(__xludf.DUMMYFUNCTION("""COMPUTED_VALUE"""),80.0)</f>
        <v>80</v>
      </c>
    </row>
    <row r="427">
      <c r="A427" s="178" t="str">
        <f>IFERROR(__xludf.DUMMYFUNCTION("""COMPUTED_VALUE"""),"ITBISA-7SEGMENT-ANODE-RED-1.20-1BIT")</f>
        <v>ITBISA-7SEGMENT-ANODE-RED-1.20-1BIT</v>
      </c>
      <c r="B427" s="266">
        <f>IFERROR(__xludf.DUMMYFUNCTION("""COMPUTED_VALUE"""),45278.0)</f>
        <v>45278</v>
      </c>
      <c r="C427" s="266" t="str">
        <f>IFERROR(__xludf.DUMMYFUNCTION("""COMPUTED_VALUE"""),"KYAI KONTONG")</f>
        <v>KYAI KONTONG</v>
      </c>
      <c r="D427" s="186">
        <f>IFERROR(__xludf.DUMMYFUNCTION("""COMPUTED_VALUE"""),300.0)</f>
        <v>300</v>
      </c>
    </row>
    <row r="428">
      <c r="A428" s="178" t="str">
        <f>IFERROR(__xludf.DUMMYFUNCTION("""COMPUTED_VALUE"""),"ITBISA-7SEGMENT-ANODE-RED-1.20-1BIT")</f>
        <v>ITBISA-7SEGMENT-ANODE-RED-1.20-1BIT</v>
      </c>
      <c r="B428" s="266">
        <f>IFERROR(__xludf.DUMMYFUNCTION("""COMPUTED_VALUE"""),45281.0)</f>
        <v>45281</v>
      </c>
      <c r="C428" s="266" t="str">
        <f>IFERROR(__xludf.DUMMYFUNCTION("""COMPUTED_VALUE"""),"KYAI KONTONG")</f>
        <v>KYAI KONTONG</v>
      </c>
      <c r="D428" s="186">
        <f>IFERROR(__xludf.DUMMYFUNCTION("""COMPUTED_VALUE"""),90.0)</f>
        <v>90</v>
      </c>
    </row>
    <row r="429">
      <c r="A429" s="178" t="str">
        <f>IFERROR(__xludf.DUMMYFUNCTION("""COMPUTED_VALUE"""),"ITBISA-7SEGMENT-ANODE-RED-1.20-1BIT")</f>
        <v>ITBISA-7SEGMENT-ANODE-RED-1.20-1BIT</v>
      </c>
      <c r="B429" s="266">
        <f>IFERROR(__xludf.DUMMYFUNCTION("""COMPUTED_VALUE"""),45294.0)</f>
        <v>45294</v>
      </c>
      <c r="C429" s="266" t="str">
        <f>IFERROR(__xludf.DUMMYFUNCTION("""COMPUTED_VALUE"""),"KYAI KONTONG")</f>
        <v>KYAI KONTONG</v>
      </c>
      <c r="D429" s="186">
        <f>IFERROR(__xludf.DUMMYFUNCTION("""COMPUTED_VALUE"""),30.0)</f>
        <v>30</v>
      </c>
    </row>
    <row r="430">
      <c r="A430" s="178" t="str">
        <f>IFERROR(__xludf.DUMMYFUNCTION("""COMPUTED_VALUE"""),"ITBISA-7SEGMENT-ANODE-RED-1.20-1BIT")</f>
        <v>ITBISA-7SEGMENT-ANODE-RED-1.20-1BIT</v>
      </c>
      <c r="B430" s="266">
        <f>IFERROR(__xludf.DUMMYFUNCTION("""COMPUTED_VALUE"""),45302.0)</f>
        <v>45302</v>
      </c>
      <c r="C430" s="266" t="str">
        <f>IFERROR(__xludf.DUMMYFUNCTION("""COMPUTED_VALUE"""),"KERTASARI CIAMIS")</f>
        <v>KERTASARI CIAMIS</v>
      </c>
      <c r="D430" s="186">
        <f>IFERROR(__xludf.DUMMYFUNCTION("""COMPUTED_VALUE"""),6.0)</f>
        <v>6</v>
      </c>
    </row>
    <row r="431">
      <c r="A431" s="178" t="str">
        <f>IFERROR(__xludf.DUMMYFUNCTION("""COMPUTED_VALUE"""),"ITBISA-7SEGMENT-ANODE-RED-1.20-1BIT")</f>
        <v>ITBISA-7SEGMENT-ANODE-RED-1.20-1BIT</v>
      </c>
      <c r="B431" s="266">
        <f>IFERROR(__xludf.DUMMYFUNCTION("""COMPUTED_VALUE"""),45303.0)</f>
        <v>45303</v>
      </c>
      <c r="C431" s="266" t="str">
        <f>IFERROR(__xludf.DUMMYFUNCTION("""COMPUTED_VALUE"""),"KYAI KONTONG")</f>
        <v>KYAI KONTONG</v>
      </c>
      <c r="D431" s="186">
        <f>IFERROR(__xludf.DUMMYFUNCTION("""COMPUTED_VALUE"""),20.0)</f>
        <v>20</v>
      </c>
    </row>
    <row r="432">
      <c r="A432" s="178" t="str">
        <f>IFERROR(__xludf.DUMMYFUNCTION("""COMPUTED_VALUE"""),"ITBISA-7SEGMENT-ANODE-RED-1.20-1BIT")</f>
        <v>ITBISA-7SEGMENT-ANODE-RED-1.20-1BIT</v>
      </c>
      <c r="B432" s="266">
        <f>IFERROR(__xludf.DUMMYFUNCTION("""COMPUTED_VALUE"""),45306.0)</f>
        <v>45306</v>
      </c>
      <c r="C432" s="266" t="str">
        <f>IFERROR(__xludf.DUMMYFUNCTION("""COMPUTED_VALUE"""),"KERTASARI CIAMIS")</f>
        <v>KERTASARI CIAMIS</v>
      </c>
      <c r="D432" s="186">
        <f>IFERROR(__xludf.DUMMYFUNCTION("""COMPUTED_VALUE"""),20.0)</f>
        <v>20</v>
      </c>
    </row>
    <row r="433">
      <c r="A433" s="178" t="str">
        <f>IFERROR(__xludf.DUMMYFUNCTION("""COMPUTED_VALUE"""),"ITBISA-7SEGMENT-ANODE-RED-1.20-1BIT")</f>
        <v>ITBISA-7SEGMENT-ANODE-RED-1.20-1BIT</v>
      </c>
      <c r="B433" s="266">
        <f>IFERROR(__xludf.DUMMYFUNCTION("""COMPUTED_VALUE"""),45308.0)</f>
        <v>45308</v>
      </c>
      <c r="C433" s="266" t="str">
        <f>IFERROR(__xludf.DUMMYFUNCTION("""COMPUTED_VALUE"""),"KYAI KONTONG")</f>
        <v>KYAI KONTONG</v>
      </c>
      <c r="D433" s="186">
        <f>IFERROR(__xludf.DUMMYFUNCTION("""COMPUTED_VALUE"""),2.0)</f>
        <v>2</v>
      </c>
    </row>
    <row r="434">
      <c r="A434" s="178" t="str">
        <f>IFERROR(__xludf.DUMMYFUNCTION("""COMPUTED_VALUE"""),"ITBISA-7SEGMENT-ANODE-RED-1.20-1BIT")</f>
        <v>ITBISA-7SEGMENT-ANODE-RED-1.20-1BIT</v>
      </c>
      <c r="B434" s="266">
        <f>IFERROR(__xludf.DUMMYFUNCTION("""COMPUTED_VALUE"""),45309.0)</f>
        <v>45309</v>
      </c>
      <c r="C434" s="266" t="str">
        <f>IFERROR(__xludf.DUMMYFUNCTION("""COMPUTED_VALUE"""),"KYAI KONTONG")</f>
        <v>KYAI KONTONG</v>
      </c>
      <c r="D434" s="186">
        <f>IFERROR(__xludf.DUMMYFUNCTION("""COMPUTED_VALUE"""),70.0)</f>
        <v>70</v>
      </c>
    </row>
    <row r="435">
      <c r="A435" s="178" t="str">
        <f>IFERROR(__xludf.DUMMYFUNCTION("""COMPUTED_VALUE"""),"ITBISA-7SEGMENT-ANODE-RED-1.20-1BIT")</f>
        <v>ITBISA-7SEGMENT-ANODE-RED-1.20-1BIT</v>
      </c>
      <c r="B435" s="266">
        <f>IFERROR(__xludf.DUMMYFUNCTION("""COMPUTED_VALUE"""),45310.0)</f>
        <v>45310</v>
      </c>
      <c r="C435" s="266" t="str">
        <f>IFERROR(__xludf.DUMMYFUNCTION("""COMPUTED_VALUE"""),"KERTASARI CIAMIS")</f>
        <v>KERTASARI CIAMIS</v>
      </c>
      <c r="D435" s="186">
        <f>IFERROR(__xludf.DUMMYFUNCTION("""COMPUTED_VALUE"""),300.0)</f>
        <v>300</v>
      </c>
    </row>
    <row r="436">
      <c r="A436" s="178" t="str">
        <f>IFERROR(__xludf.DUMMYFUNCTION("""COMPUTED_VALUE"""),"ITBISA-7SEGMENT-ANODE-RED-1.20-1BIT")</f>
        <v>ITBISA-7SEGMENT-ANODE-RED-1.20-1BIT</v>
      </c>
      <c r="B436" s="266">
        <f>IFERROR(__xludf.DUMMYFUNCTION("""COMPUTED_VALUE"""),45317.0)</f>
        <v>45317</v>
      </c>
      <c r="C436" s="266" t="str">
        <f>IFERROR(__xludf.DUMMYFUNCTION("""COMPUTED_VALUE"""),"KERTASARI CIAMIS")</f>
        <v>KERTASARI CIAMIS</v>
      </c>
      <c r="D436" s="186">
        <f>IFERROR(__xludf.DUMMYFUNCTION("""COMPUTED_VALUE"""),45.0)</f>
        <v>45</v>
      </c>
    </row>
    <row r="437">
      <c r="A437" s="178" t="str">
        <f>IFERROR(__xludf.DUMMYFUNCTION("""COMPUTED_VALUE"""),"ITBISA-7SEGMENT-ANODE-RED-1.20-1BIT")</f>
        <v>ITBISA-7SEGMENT-ANODE-RED-1.20-1BIT</v>
      </c>
      <c r="B437" s="266">
        <f>IFERROR(__xludf.DUMMYFUNCTION("""COMPUTED_VALUE"""),45344.0)</f>
        <v>45344</v>
      </c>
      <c r="C437" s="266" t="str">
        <f>IFERROR(__xludf.DUMMYFUNCTION("""COMPUTED_VALUE"""),"KERTASARI CIAMIS")</f>
        <v>KERTASARI CIAMIS</v>
      </c>
      <c r="D437" s="186">
        <f>IFERROR(__xludf.DUMMYFUNCTION("""COMPUTED_VALUE"""),4.0)</f>
        <v>4</v>
      </c>
    </row>
    <row r="438">
      <c r="A438" s="178" t="str">
        <f>IFERROR(__xludf.DUMMYFUNCTION("""COMPUTED_VALUE"""),"ITBISA-7SEGMENT-ANODE-RED-1.20-1BIT")</f>
        <v>ITBISA-7SEGMENT-ANODE-RED-1.20-1BIT</v>
      </c>
      <c r="B438" s="266">
        <f>IFERROR(__xludf.DUMMYFUNCTION("""COMPUTED_VALUE"""),45349.0)</f>
        <v>45349</v>
      </c>
      <c r="C438" s="266" t="str">
        <f>IFERROR(__xludf.DUMMYFUNCTION("""COMPUTED_VALUE"""),"KERTASARI CIAMIS")</f>
        <v>KERTASARI CIAMIS</v>
      </c>
      <c r="D438" s="186">
        <f>IFERROR(__xludf.DUMMYFUNCTION("""COMPUTED_VALUE"""),5.0)</f>
        <v>5</v>
      </c>
    </row>
    <row r="439">
      <c r="A439" s="178" t="str">
        <f>IFERROR(__xludf.DUMMYFUNCTION("""COMPUTED_VALUE"""),"ITBISA-7SEGMENT-ANODE-RED-1.20-1BIT")</f>
        <v>ITBISA-7SEGMENT-ANODE-RED-1.20-1BIT</v>
      </c>
      <c r="B439" s="266">
        <f>IFERROR(__xludf.DUMMYFUNCTION("""COMPUTED_VALUE"""),45355.0)</f>
        <v>45355</v>
      </c>
      <c r="C439" s="266" t="str">
        <f>IFERROR(__xludf.DUMMYFUNCTION("""COMPUTED_VALUE"""),"KERTASARI CIAMIS")</f>
        <v>KERTASARI CIAMIS</v>
      </c>
      <c r="D439" s="186">
        <f>IFERROR(__xludf.DUMMYFUNCTION("""COMPUTED_VALUE"""),60.0)</f>
        <v>60</v>
      </c>
    </row>
    <row r="440">
      <c r="A440" s="178" t="str">
        <f>IFERROR(__xludf.DUMMYFUNCTION("""COMPUTED_VALUE"""),"ITBISA-7SEGMENT-ANODE-RED-1.20-1BIT")</f>
        <v>ITBISA-7SEGMENT-ANODE-RED-1.20-1BIT</v>
      </c>
      <c r="B440" s="266">
        <f>IFERROR(__xludf.DUMMYFUNCTION("""COMPUTED_VALUE"""),45362.0)</f>
        <v>45362</v>
      </c>
      <c r="C440" s="266" t="str">
        <f>IFERROR(__xludf.DUMMYFUNCTION("""COMPUTED_VALUE"""),"KERTASARI CIAMIS")</f>
        <v>KERTASARI CIAMIS</v>
      </c>
      <c r="D440" s="186">
        <f>IFERROR(__xludf.DUMMYFUNCTION("""COMPUTED_VALUE"""),30.0)</f>
        <v>30</v>
      </c>
    </row>
    <row r="441">
      <c r="A441" s="178" t="str">
        <f>IFERROR(__xludf.DUMMYFUNCTION("""COMPUTED_VALUE"""),"ITBISA-7SEGMENT-ANODE-RED-1.20-1BIT")</f>
        <v>ITBISA-7SEGMENT-ANODE-RED-1.20-1BIT</v>
      </c>
      <c r="B441" s="266">
        <f>IFERROR(__xludf.DUMMYFUNCTION("""COMPUTED_VALUE"""),45362.0)</f>
        <v>45362</v>
      </c>
      <c r="C441" s="266" t="str">
        <f>IFERROR(__xludf.DUMMYFUNCTION("""COMPUTED_VALUE"""),"KYAI KONTONG")</f>
        <v>KYAI KONTONG</v>
      </c>
      <c r="D441" s="186">
        <f>IFERROR(__xludf.DUMMYFUNCTION("""COMPUTED_VALUE"""),40.0)</f>
        <v>40</v>
      </c>
    </row>
    <row r="442">
      <c r="A442" s="178" t="str">
        <f>IFERROR(__xludf.DUMMYFUNCTION("""COMPUTED_VALUE"""),"ITBISA-7SEGMENT-ANODE-RED-1.20-1BIT")</f>
        <v>ITBISA-7SEGMENT-ANODE-RED-1.20-1BIT</v>
      </c>
      <c r="B442" s="266">
        <f>IFERROR(__xludf.DUMMYFUNCTION("""COMPUTED_VALUE"""),45365.0)</f>
        <v>45365</v>
      </c>
      <c r="C442" s="266" t="str">
        <f>IFERROR(__xludf.DUMMYFUNCTION("""COMPUTED_VALUE"""),"KYAI KONTONG")</f>
        <v>KYAI KONTONG</v>
      </c>
      <c r="D442" s="186">
        <f>IFERROR(__xludf.DUMMYFUNCTION("""COMPUTED_VALUE"""),90.0)</f>
        <v>90</v>
      </c>
    </row>
    <row r="443">
      <c r="A443" s="178" t="str">
        <f>IFERROR(__xludf.DUMMYFUNCTION("""COMPUTED_VALUE"""),"ITBISA-7SEGMENT-ANODE-RED-1.20-1BIT")</f>
        <v>ITBISA-7SEGMENT-ANODE-RED-1.20-1BIT</v>
      </c>
      <c r="B443" s="266">
        <f>IFERROR(__xludf.DUMMYFUNCTION("""COMPUTED_VALUE"""),45370.0)</f>
        <v>45370</v>
      </c>
      <c r="C443" s="266" t="str">
        <f>IFERROR(__xludf.DUMMYFUNCTION("""COMPUTED_VALUE"""),"KERTASARI CIAMIS")</f>
        <v>KERTASARI CIAMIS</v>
      </c>
      <c r="D443" s="186">
        <f>IFERROR(__xludf.DUMMYFUNCTION("""COMPUTED_VALUE"""),4.0)</f>
        <v>4</v>
      </c>
    </row>
    <row r="444">
      <c r="A444" s="178" t="str">
        <f>IFERROR(__xludf.DUMMYFUNCTION("""COMPUTED_VALUE"""),"ITBISA-7SEGMENT-ANODE-RED-1.20-1BIT")</f>
        <v>ITBISA-7SEGMENT-ANODE-RED-1.20-1BIT</v>
      </c>
      <c r="B444" s="266">
        <f>IFERROR(__xludf.DUMMYFUNCTION("""COMPUTED_VALUE"""),45371.0)</f>
        <v>45371</v>
      </c>
      <c r="C444" s="266" t="str">
        <f>IFERROR(__xludf.DUMMYFUNCTION("""COMPUTED_VALUE"""),"KERTASARI CIAMIS")</f>
        <v>KERTASARI CIAMIS</v>
      </c>
      <c r="D444" s="186">
        <f>IFERROR(__xludf.DUMMYFUNCTION("""COMPUTED_VALUE"""),70.0)</f>
        <v>70</v>
      </c>
    </row>
    <row r="445">
      <c r="A445" s="178" t="str">
        <f>IFERROR(__xludf.DUMMYFUNCTION("""COMPUTED_VALUE"""),"ITBISA-7SEGMENT-ANODE-RED-1.20-1BIT")</f>
        <v>ITBISA-7SEGMENT-ANODE-RED-1.20-1BIT</v>
      </c>
      <c r="B445" s="266">
        <f>IFERROR(__xludf.DUMMYFUNCTION("""COMPUTED_VALUE"""),45377.0)</f>
        <v>45377</v>
      </c>
      <c r="C445" s="266" t="str">
        <f>IFERROR(__xludf.DUMMYFUNCTION("""COMPUTED_VALUE"""),"KERTASARI CIAMIS")</f>
        <v>KERTASARI CIAMIS</v>
      </c>
      <c r="D445" s="186">
        <f>IFERROR(__xludf.DUMMYFUNCTION("""COMPUTED_VALUE"""),64.0)</f>
        <v>64</v>
      </c>
    </row>
    <row r="446">
      <c r="A446" s="178" t="str">
        <f>IFERROR(__xludf.DUMMYFUNCTION("""COMPUTED_VALUE"""),"ITBISA-7SEGMENT-ANODE-RED-1.20-1BIT")</f>
        <v>ITBISA-7SEGMENT-ANODE-RED-1.20-1BIT</v>
      </c>
      <c r="B446" s="266">
        <f>IFERROR(__xludf.DUMMYFUNCTION("""COMPUTED_VALUE"""),45384.0)</f>
        <v>45384</v>
      </c>
      <c r="C446" s="266" t="str">
        <f>IFERROR(__xludf.DUMMYFUNCTION("""COMPUTED_VALUE"""),"KERTASARI CIAMIS")</f>
        <v>KERTASARI CIAMIS</v>
      </c>
      <c r="D446" s="186">
        <f>IFERROR(__xludf.DUMMYFUNCTION("""COMPUTED_VALUE"""),75.0)</f>
        <v>75</v>
      </c>
    </row>
    <row r="447">
      <c r="A447" s="178" t="str">
        <f>IFERROR(__xludf.DUMMYFUNCTION("""COMPUTED_VALUE"""),"ITBISA-7SEGMENT-ANODE-RED-1.20-1BIT")</f>
        <v>ITBISA-7SEGMENT-ANODE-RED-1.20-1BIT</v>
      </c>
      <c r="B447" s="266">
        <f>IFERROR(__xludf.DUMMYFUNCTION("""COMPUTED_VALUE"""),45390.0)</f>
        <v>45390</v>
      </c>
      <c r="C447" s="266" t="str">
        <f>IFERROR(__xludf.DUMMYFUNCTION("""COMPUTED_VALUE"""),"KYAI KONTONG")</f>
        <v>KYAI KONTONG</v>
      </c>
      <c r="D447" s="186">
        <f>IFERROR(__xludf.DUMMYFUNCTION("""COMPUTED_VALUE"""),5.0)</f>
        <v>5</v>
      </c>
    </row>
    <row r="448">
      <c r="A448" s="178" t="str">
        <f>IFERROR(__xludf.DUMMYFUNCTION("""COMPUTED_VALUE"""),"ITBISA-7SEGMENT-ANODE-RED-1.20-1BIT")</f>
        <v>ITBISA-7SEGMENT-ANODE-RED-1.20-1BIT</v>
      </c>
      <c r="B448" s="266">
        <f>IFERROR(__xludf.DUMMYFUNCTION("""COMPUTED_VALUE"""),45398.0)</f>
        <v>45398</v>
      </c>
      <c r="C448" s="266" t="str">
        <f>IFERROR(__xludf.DUMMYFUNCTION("""COMPUTED_VALUE"""),"KYAI KONTONG")</f>
        <v>KYAI KONTONG</v>
      </c>
      <c r="D448" s="186">
        <f>IFERROR(__xludf.DUMMYFUNCTION("""COMPUTED_VALUE"""),15.0)</f>
        <v>15</v>
      </c>
    </row>
    <row r="449">
      <c r="A449" s="178" t="str">
        <f>IFERROR(__xludf.DUMMYFUNCTION("""COMPUTED_VALUE"""),"ITBISA-7SEGMENT-ANODE-RED-1.20-1BIT")</f>
        <v>ITBISA-7SEGMENT-ANODE-RED-1.20-1BIT</v>
      </c>
      <c r="B449" s="266">
        <f>IFERROR(__xludf.DUMMYFUNCTION("""COMPUTED_VALUE"""),45401.0)</f>
        <v>45401</v>
      </c>
      <c r="C449" s="266" t="str">
        <f>IFERROR(__xludf.DUMMYFUNCTION("""COMPUTED_VALUE"""),"KERTASARI CIAMIS")</f>
        <v>KERTASARI CIAMIS</v>
      </c>
      <c r="D449" s="186">
        <f>IFERROR(__xludf.DUMMYFUNCTION("""COMPUTED_VALUE"""),45.0)</f>
        <v>45</v>
      </c>
    </row>
    <row r="450">
      <c r="A450" s="178" t="str">
        <f>IFERROR(__xludf.DUMMYFUNCTION("""COMPUTED_VALUE"""),"ITBISA-7SEGMENT-ANODE-RED-1.20-1BIT")</f>
        <v>ITBISA-7SEGMENT-ANODE-RED-1.20-1BIT</v>
      </c>
      <c r="B450" s="266">
        <f>IFERROR(__xludf.DUMMYFUNCTION("""COMPUTED_VALUE"""),45401.0)</f>
        <v>45401</v>
      </c>
      <c r="C450" s="266" t="str">
        <f>IFERROR(__xludf.DUMMYFUNCTION("""COMPUTED_VALUE"""),"KERTASARI CIAMIS")</f>
        <v>KERTASARI CIAMIS</v>
      </c>
      <c r="D450" s="186">
        <f>IFERROR(__xludf.DUMMYFUNCTION("""COMPUTED_VALUE"""),90.0)</f>
        <v>90</v>
      </c>
    </row>
    <row r="451">
      <c r="A451" s="178" t="str">
        <f>IFERROR(__xludf.DUMMYFUNCTION("""COMPUTED_VALUE"""),"ITBISA-7SEGMENT-ANODE-RED-1.20-1BIT")</f>
        <v>ITBISA-7SEGMENT-ANODE-RED-1.20-1BIT</v>
      </c>
      <c r="B451" s="266">
        <f>IFERROR(__xludf.DUMMYFUNCTION("""COMPUTED_VALUE"""),45401.0)</f>
        <v>45401</v>
      </c>
      <c r="C451" s="266" t="str">
        <f>IFERROR(__xludf.DUMMYFUNCTION("""COMPUTED_VALUE"""),"KYAI KONTONG")</f>
        <v>KYAI KONTONG</v>
      </c>
      <c r="D451" s="186">
        <f>IFERROR(__xludf.DUMMYFUNCTION("""COMPUTED_VALUE"""),15.0)</f>
        <v>15</v>
      </c>
    </row>
    <row r="452">
      <c r="A452" s="178" t="str">
        <f>IFERROR(__xludf.DUMMYFUNCTION("""COMPUTED_VALUE"""),"ITBISA-7SEGMENT-ANODE-RED-1.20-1BIT")</f>
        <v>ITBISA-7SEGMENT-ANODE-RED-1.20-1BIT</v>
      </c>
      <c r="B452" s="266">
        <f>IFERROR(__xludf.DUMMYFUNCTION("""COMPUTED_VALUE"""),45407.0)</f>
        <v>45407</v>
      </c>
      <c r="C452" s="266" t="str">
        <f>IFERROR(__xludf.DUMMYFUNCTION("""COMPUTED_VALUE"""),"KYAI KONTONG")</f>
        <v>KYAI KONTONG</v>
      </c>
      <c r="D452" s="186">
        <f>IFERROR(__xludf.DUMMYFUNCTION("""COMPUTED_VALUE"""),15.0)</f>
        <v>15</v>
      </c>
    </row>
    <row r="453">
      <c r="A453" s="178" t="str">
        <f>IFERROR(__xludf.DUMMYFUNCTION("""COMPUTED_VALUE"""),"ITBISA-7SEGMENT-ANODE-RED-1.20-1BIT")</f>
        <v>ITBISA-7SEGMENT-ANODE-RED-1.20-1BIT</v>
      </c>
      <c r="B453" s="266">
        <f>IFERROR(__xludf.DUMMYFUNCTION("""COMPUTED_VALUE"""),45408.0)</f>
        <v>45408</v>
      </c>
      <c r="C453" s="266" t="str">
        <f>IFERROR(__xludf.DUMMYFUNCTION("""COMPUTED_VALUE"""),"KERTASARI CIAMIS")</f>
        <v>KERTASARI CIAMIS</v>
      </c>
      <c r="D453" s="186">
        <f>IFERROR(__xludf.DUMMYFUNCTION("""COMPUTED_VALUE"""),15.0)</f>
        <v>15</v>
      </c>
    </row>
    <row r="454">
      <c r="A454" s="178" t="str">
        <f>IFERROR(__xludf.DUMMYFUNCTION("""COMPUTED_VALUE"""),"ITBISA-7SEGMENT-ANODE-RED-1.20-1BIT")</f>
        <v>ITBISA-7SEGMENT-ANODE-RED-1.20-1BIT</v>
      </c>
      <c r="B454" s="266">
        <f>IFERROR(__xludf.DUMMYFUNCTION("""COMPUTED_VALUE"""),45408.0)</f>
        <v>45408</v>
      </c>
      <c r="C454" s="266" t="str">
        <f>IFERROR(__xludf.DUMMYFUNCTION("""COMPUTED_VALUE"""),"KERTASARI CIAMIS")</f>
        <v>KERTASARI CIAMIS</v>
      </c>
      <c r="D454" s="186">
        <f>IFERROR(__xludf.DUMMYFUNCTION("""COMPUTED_VALUE"""),150.0)</f>
        <v>150</v>
      </c>
    </row>
    <row r="455">
      <c r="A455" s="178" t="str">
        <f>IFERROR(__xludf.DUMMYFUNCTION("""COMPUTED_VALUE"""),"ITBISA-7SEGMENT-ANODE-RED-1.20-1BIT")</f>
        <v>ITBISA-7SEGMENT-ANODE-RED-1.20-1BIT</v>
      </c>
      <c r="B455" s="266">
        <f>IFERROR(__xludf.DUMMYFUNCTION("""COMPUTED_VALUE"""),45409.0)</f>
        <v>45409</v>
      </c>
      <c r="C455" s="266" t="str">
        <f>IFERROR(__xludf.DUMMYFUNCTION("""COMPUTED_VALUE"""),"KERTASARI CIAMIS")</f>
        <v>KERTASARI CIAMIS</v>
      </c>
      <c r="D455" s="186">
        <f>IFERROR(__xludf.DUMMYFUNCTION("""COMPUTED_VALUE"""),75.0)</f>
        <v>75</v>
      </c>
    </row>
    <row r="456">
      <c r="A456" s="178" t="str">
        <f>IFERROR(__xludf.DUMMYFUNCTION("""COMPUTED_VALUE"""),"ITBISA-7SEGMENT-ANODE-RED-1.20-1BIT")</f>
        <v>ITBISA-7SEGMENT-ANODE-RED-1.20-1BIT</v>
      </c>
      <c r="B456" s="266">
        <f>IFERROR(__xludf.DUMMYFUNCTION("""COMPUTED_VALUE"""),45410.0)</f>
        <v>45410</v>
      </c>
      <c r="C456" s="266" t="str">
        <f>IFERROR(__xludf.DUMMYFUNCTION("""COMPUTED_VALUE"""),"KERTASARI CIAMIS")</f>
        <v>KERTASARI CIAMIS</v>
      </c>
      <c r="D456" s="186">
        <f>IFERROR(__xludf.DUMMYFUNCTION("""COMPUTED_VALUE"""),30.0)</f>
        <v>30</v>
      </c>
    </row>
    <row r="457">
      <c r="A457" s="178" t="str">
        <f>IFERROR(__xludf.DUMMYFUNCTION("""COMPUTED_VALUE"""),"ITBISA-7SEGMENT-ANODE-RED-1.20-1BIT")</f>
        <v>ITBISA-7SEGMENT-ANODE-RED-1.20-1BIT</v>
      </c>
      <c r="B457" s="266">
        <f>IFERROR(__xludf.DUMMYFUNCTION("""COMPUTED_VALUE"""),45411.0)</f>
        <v>45411</v>
      </c>
      <c r="C457" s="266" t="str">
        <f>IFERROR(__xludf.DUMMYFUNCTION("""COMPUTED_VALUE"""),"KYAI KONTONG")</f>
        <v>KYAI KONTONG</v>
      </c>
      <c r="D457" s="186">
        <f>IFERROR(__xludf.DUMMYFUNCTION("""COMPUTED_VALUE"""),8.0)</f>
        <v>8</v>
      </c>
    </row>
    <row r="458">
      <c r="A458" s="178" t="str">
        <f>IFERROR(__xludf.DUMMYFUNCTION("""COMPUTED_VALUE"""),"ITBISA-7SEGMENT-ANODE-RED-1.20-1BIT")</f>
        <v>ITBISA-7SEGMENT-ANODE-RED-1.20-1BIT</v>
      </c>
      <c r="B458" s="266">
        <f>IFERROR(__xludf.DUMMYFUNCTION("""COMPUTED_VALUE"""),45412.0)</f>
        <v>45412</v>
      </c>
      <c r="C458" s="266" t="str">
        <f>IFERROR(__xludf.DUMMYFUNCTION("""COMPUTED_VALUE"""),"KERTASARI CIAMIS")</f>
        <v>KERTASARI CIAMIS</v>
      </c>
      <c r="D458" s="186">
        <f>IFERROR(__xludf.DUMMYFUNCTION("""COMPUTED_VALUE"""),10.0)</f>
        <v>10</v>
      </c>
    </row>
    <row r="459">
      <c r="A459" s="178" t="str">
        <f>IFERROR(__xludf.DUMMYFUNCTION("""COMPUTED_VALUE"""),"ITBISA-7SEGMENT-ANODE-RED-1.20-1BIT")</f>
        <v>ITBISA-7SEGMENT-ANODE-RED-1.20-1BIT</v>
      </c>
      <c r="B459" s="266">
        <f>IFERROR(__xludf.DUMMYFUNCTION("""COMPUTED_VALUE"""),45412.0)</f>
        <v>45412</v>
      </c>
      <c r="C459" s="266" t="str">
        <f>IFERROR(__xludf.DUMMYFUNCTION("""COMPUTED_VALUE"""),"KERTASARI CIAMIS")</f>
        <v>KERTASARI CIAMIS</v>
      </c>
      <c r="D459" s="186">
        <f>IFERROR(__xludf.DUMMYFUNCTION("""COMPUTED_VALUE"""),15.0)</f>
        <v>15</v>
      </c>
    </row>
    <row r="460">
      <c r="A460" s="178" t="str">
        <f>IFERROR(__xludf.DUMMYFUNCTION("""COMPUTED_VALUE"""),"ITBISA-7SEGMENT-ANODE-RED-1.20-1BIT")</f>
        <v>ITBISA-7SEGMENT-ANODE-RED-1.20-1BIT</v>
      </c>
      <c r="B460" s="266">
        <f>IFERROR(__xludf.DUMMYFUNCTION("""COMPUTED_VALUE"""),45412.0)</f>
        <v>45412</v>
      </c>
      <c r="C460" s="266" t="str">
        <f>IFERROR(__xludf.DUMMYFUNCTION("""COMPUTED_VALUE"""),"KERTASARI CIAMIS")</f>
        <v>KERTASARI CIAMIS</v>
      </c>
      <c r="D460" s="186">
        <f>IFERROR(__xludf.DUMMYFUNCTION("""COMPUTED_VALUE"""),150.0)</f>
        <v>150</v>
      </c>
    </row>
    <row r="461">
      <c r="A461" s="178" t="str">
        <f>IFERROR(__xludf.DUMMYFUNCTION("""COMPUTED_VALUE"""),"ITBISA-7SEGMENT-ANODE-RED-1.20-1BIT")</f>
        <v>ITBISA-7SEGMENT-ANODE-RED-1.20-1BIT</v>
      </c>
      <c r="B461" s="266">
        <f>IFERROR(__xludf.DUMMYFUNCTION("""COMPUTED_VALUE"""),45413.0)</f>
        <v>45413</v>
      </c>
      <c r="C461" s="266" t="str">
        <f>IFERROR(__xludf.DUMMYFUNCTION("""COMPUTED_VALUE"""),"KYAI KONTONG")</f>
        <v>KYAI KONTONG</v>
      </c>
      <c r="D461" s="186">
        <f>IFERROR(__xludf.DUMMYFUNCTION("""COMPUTED_VALUE"""),4.0)</f>
        <v>4</v>
      </c>
    </row>
    <row r="462">
      <c r="A462" s="178" t="str">
        <f>IFERROR(__xludf.DUMMYFUNCTION("""COMPUTED_VALUE"""),"ITBISA-7SEGMENT-ANODE-RED-1.20-1BIT")</f>
        <v>ITBISA-7SEGMENT-ANODE-RED-1.20-1BIT</v>
      </c>
      <c r="B462" s="266">
        <f>IFERROR(__xludf.DUMMYFUNCTION("""COMPUTED_VALUE"""),45414.0)</f>
        <v>45414</v>
      </c>
      <c r="C462" s="266" t="str">
        <f>IFERROR(__xludf.DUMMYFUNCTION("""COMPUTED_VALUE"""),"KERTASARI CIAMIS")</f>
        <v>KERTASARI CIAMIS</v>
      </c>
      <c r="D462" s="186">
        <f>IFERROR(__xludf.DUMMYFUNCTION("""COMPUTED_VALUE"""),4.0)</f>
        <v>4</v>
      </c>
    </row>
    <row r="463">
      <c r="A463" s="178" t="str">
        <f>IFERROR(__xludf.DUMMYFUNCTION("""COMPUTED_VALUE"""),"ITBISA-7SEGMENT-ANODE-RED-1.20-1BIT")</f>
        <v>ITBISA-7SEGMENT-ANODE-RED-1.20-1BIT</v>
      </c>
      <c r="B463" s="266">
        <f>IFERROR(__xludf.DUMMYFUNCTION("""COMPUTED_VALUE"""),45414.0)</f>
        <v>45414</v>
      </c>
      <c r="C463" s="266" t="str">
        <f>IFERROR(__xludf.DUMMYFUNCTION("""COMPUTED_VALUE"""),"KERTASARI CIAMIS")</f>
        <v>KERTASARI CIAMIS</v>
      </c>
      <c r="D463" s="186">
        <f>IFERROR(__xludf.DUMMYFUNCTION("""COMPUTED_VALUE"""),150.0)</f>
        <v>150</v>
      </c>
    </row>
    <row r="464">
      <c r="A464" s="178" t="str">
        <f>IFERROR(__xludf.DUMMYFUNCTION("""COMPUTED_VALUE"""),"ITBISA-7SEGMENT-ANODE-RED-1.20-1BIT")</f>
        <v>ITBISA-7SEGMENT-ANODE-RED-1.20-1BIT</v>
      </c>
      <c r="B464" s="266">
        <f>IFERROR(__xludf.DUMMYFUNCTION("""COMPUTED_VALUE"""),45419.0)</f>
        <v>45419</v>
      </c>
      <c r="C464" s="266" t="str">
        <f>IFERROR(__xludf.DUMMYFUNCTION("""COMPUTED_VALUE"""),"KYAI KONTONG")</f>
        <v>KYAI KONTONG</v>
      </c>
      <c r="D464" s="186">
        <f>IFERROR(__xludf.DUMMYFUNCTION("""COMPUTED_VALUE"""),15.0)</f>
        <v>15</v>
      </c>
    </row>
    <row r="465">
      <c r="A465" s="178" t="str">
        <f>IFERROR(__xludf.DUMMYFUNCTION("""COMPUTED_VALUE"""),"ITBISA-7SEGMENT-ANODE-RED-1.20-1BIT")</f>
        <v>ITBISA-7SEGMENT-ANODE-RED-1.20-1BIT</v>
      </c>
      <c r="B465" s="266">
        <f>IFERROR(__xludf.DUMMYFUNCTION("""COMPUTED_VALUE"""),45420.0)</f>
        <v>45420</v>
      </c>
      <c r="C465" s="266" t="str">
        <f>IFERROR(__xludf.DUMMYFUNCTION("""COMPUTED_VALUE"""),"KYAI KONTONG")</f>
        <v>KYAI KONTONG</v>
      </c>
      <c r="D465" s="186">
        <f>IFERROR(__xludf.DUMMYFUNCTION("""COMPUTED_VALUE"""),10.0)</f>
        <v>10</v>
      </c>
    </row>
    <row r="466">
      <c r="A466" s="178" t="str">
        <f>IFERROR(__xludf.DUMMYFUNCTION("""COMPUTED_VALUE"""),"ITBISA-7SEGMENT-ANODE-RED-1.20-1BIT")</f>
        <v>ITBISA-7SEGMENT-ANODE-RED-1.20-1BIT</v>
      </c>
      <c r="B466" s="266">
        <f>IFERROR(__xludf.DUMMYFUNCTION("""COMPUTED_VALUE"""),45420.0)</f>
        <v>45420</v>
      </c>
      <c r="C466" s="266" t="str">
        <f>IFERROR(__xludf.DUMMYFUNCTION("""COMPUTED_VALUE"""),"KYAI KONTONG")</f>
        <v>KYAI KONTONG</v>
      </c>
      <c r="D466" s="186">
        <f>IFERROR(__xludf.DUMMYFUNCTION("""COMPUTED_VALUE"""),150.0)</f>
        <v>150</v>
      </c>
    </row>
    <row r="467">
      <c r="A467" s="178" t="str">
        <f>IFERROR(__xludf.DUMMYFUNCTION("""COMPUTED_VALUE"""),"ITBISA-7SEGMENT-ANODE-RED-1.20-1BIT")</f>
        <v>ITBISA-7SEGMENT-ANODE-RED-1.20-1BIT</v>
      </c>
      <c r="B467" s="266">
        <f>IFERROR(__xludf.DUMMYFUNCTION("""COMPUTED_VALUE"""),45424.0)</f>
        <v>45424</v>
      </c>
      <c r="C467" s="266" t="str">
        <f>IFERROR(__xludf.DUMMYFUNCTION("""COMPUTED_VALUE"""),"KERTASARI CIAMIS")</f>
        <v>KERTASARI CIAMIS</v>
      </c>
      <c r="D467" s="186">
        <f>IFERROR(__xludf.DUMMYFUNCTION("""COMPUTED_VALUE"""),45.0)</f>
        <v>45</v>
      </c>
    </row>
    <row r="468">
      <c r="A468" s="178" t="str">
        <f>IFERROR(__xludf.DUMMYFUNCTION("""COMPUTED_VALUE"""),"ITBISA-7SEGMENT-ANODE-RED-1.20-1BIT")</f>
        <v>ITBISA-7SEGMENT-ANODE-RED-1.20-1BIT</v>
      </c>
      <c r="B468" s="266">
        <f>IFERROR(__xludf.DUMMYFUNCTION("""COMPUTED_VALUE"""),45425.0)</f>
        <v>45425</v>
      </c>
      <c r="C468" s="266" t="str">
        <f>IFERROR(__xludf.DUMMYFUNCTION("""COMPUTED_VALUE"""),"KYAI KONTONG")</f>
        <v>KYAI KONTONG</v>
      </c>
      <c r="D468" s="186">
        <f>IFERROR(__xludf.DUMMYFUNCTION("""COMPUTED_VALUE"""),10.0)</f>
        <v>10</v>
      </c>
    </row>
    <row r="469">
      <c r="A469" s="178" t="str">
        <f>IFERROR(__xludf.DUMMYFUNCTION("""COMPUTED_VALUE"""),"ITBISA-7SEGMENT-ANODE-RED-1.20-1BIT")</f>
        <v>ITBISA-7SEGMENT-ANODE-RED-1.20-1BIT</v>
      </c>
      <c r="B469" s="266">
        <f>IFERROR(__xludf.DUMMYFUNCTION("""COMPUTED_VALUE"""),45425.0)</f>
        <v>45425</v>
      </c>
      <c r="C469" s="266" t="str">
        <f>IFERROR(__xludf.DUMMYFUNCTION("""COMPUTED_VALUE"""),"KYAI KONTONG")</f>
        <v>KYAI KONTONG</v>
      </c>
      <c r="D469" s="186">
        <f>IFERROR(__xludf.DUMMYFUNCTION("""COMPUTED_VALUE"""),100.0)</f>
        <v>100</v>
      </c>
    </row>
    <row r="470">
      <c r="A470" s="178" t="str">
        <f>IFERROR(__xludf.DUMMYFUNCTION("""COMPUTED_VALUE"""),"ITBISA-7SEGMENT-ANODE-RED-1.20-1BIT")</f>
        <v>ITBISA-7SEGMENT-ANODE-RED-1.20-1BIT</v>
      </c>
      <c r="B470" s="266">
        <f>IFERROR(__xludf.DUMMYFUNCTION("""COMPUTED_VALUE"""),45434.0)</f>
        <v>45434</v>
      </c>
      <c r="C470" s="266" t="str">
        <f>IFERROR(__xludf.DUMMYFUNCTION("""COMPUTED_VALUE"""),"KYAI KONTONG")</f>
        <v>KYAI KONTONG</v>
      </c>
      <c r="D470" s="186">
        <f>IFERROR(__xludf.DUMMYFUNCTION("""COMPUTED_VALUE"""),120.0)</f>
        <v>120</v>
      </c>
    </row>
    <row r="471">
      <c r="A471" s="178" t="str">
        <f>IFERROR(__xludf.DUMMYFUNCTION("""COMPUTED_VALUE"""),"ITBISA-7SEGMENT-ANODE-RED-1.20-1BIT")</f>
        <v>ITBISA-7SEGMENT-ANODE-RED-1.20-1BIT</v>
      </c>
      <c r="B471" s="266">
        <f>IFERROR(__xludf.DUMMYFUNCTION("""COMPUTED_VALUE"""),45451.0)</f>
        <v>45451</v>
      </c>
      <c r="C471" s="266" t="str">
        <f>IFERROR(__xludf.DUMMYFUNCTION("""COMPUTED_VALUE"""),"KERTASARI CIAMIS")</f>
        <v>KERTASARI CIAMIS</v>
      </c>
      <c r="D471" s="186">
        <f>IFERROR(__xludf.DUMMYFUNCTION("""COMPUTED_VALUE"""),60.0)</f>
        <v>60</v>
      </c>
    </row>
    <row r="472">
      <c r="A472" s="178" t="str">
        <f>IFERROR(__xludf.DUMMYFUNCTION("""COMPUTED_VALUE"""),"ITBISA-7SEGMENT-ANODE-RED-1.20-1BIT")</f>
        <v>ITBISA-7SEGMENT-ANODE-RED-1.20-1BIT</v>
      </c>
      <c r="B472" s="266">
        <f>IFERROR(__xludf.DUMMYFUNCTION("""COMPUTED_VALUE"""),45453.0)</f>
        <v>45453</v>
      </c>
      <c r="C472" s="266" t="str">
        <f>IFERROR(__xludf.DUMMYFUNCTION("""COMPUTED_VALUE"""),"KERTASARI CIAMIS")</f>
        <v>KERTASARI CIAMIS</v>
      </c>
      <c r="D472" s="186">
        <f>IFERROR(__xludf.DUMMYFUNCTION("""COMPUTED_VALUE"""),100.0)</f>
        <v>100</v>
      </c>
    </row>
    <row r="473">
      <c r="A473" s="178" t="str">
        <f>IFERROR(__xludf.DUMMYFUNCTION("""COMPUTED_VALUE"""),"ITBISA-7SEGMENT-ANODE-RED-1.20-1BIT")</f>
        <v>ITBISA-7SEGMENT-ANODE-RED-1.20-1BIT</v>
      </c>
      <c r="B473" s="266">
        <f>IFERROR(__xludf.DUMMYFUNCTION("""COMPUTED_VALUE"""),45458.0)</f>
        <v>45458</v>
      </c>
      <c r="C473" s="266" t="str">
        <f>IFERROR(__xludf.DUMMYFUNCTION("""COMPUTED_VALUE"""),"KERTASARI CIAMIS")</f>
        <v>KERTASARI CIAMIS</v>
      </c>
      <c r="D473" s="186">
        <f>IFERROR(__xludf.DUMMYFUNCTION("""COMPUTED_VALUE"""),25.0)</f>
        <v>25</v>
      </c>
    </row>
    <row r="474">
      <c r="A474" s="178" t="str">
        <f>IFERROR(__xludf.DUMMYFUNCTION("""COMPUTED_VALUE"""),"ITBISA-7SEGMENT-ANODE-RED-1.20-1BIT")</f>
        <v>ITBISA-7SEGMENT-ANODE-RED-1.20-1BIT</v>
      </c>
      <c r="B474" s="266">
        <f>IFERROR(__xludf.DUMMYFUNCTION("""COMPUTED_VALUE"""),45461.0)</f>
        <v>45461</v>
      </c>
      <c r="C474" s="266" t="str">
        <f>IFERROR(__xludf.DUMMYFUNCTION("""COMPUTED_VALUE"""),"KERTASARI CIAMIS")</f>
        <v>KERTASARI CIAMIS</v>
      </c>
      <c r="D474" s="186">
        <f>IFERROR(__xludf.DUMMYFUNCTION("""COMPUTED_VALUE"""),60.0)</f>
        <v>60</v>
      </c>
    </row>
    <row r="475">
      <c r="A475" s="178" t="str">
        <f>IFERROR(__xludf.DUMMYFUNCTION("""COMPUTED_VALUE"""),"ITBISA-7SEGMENT-ANODE-RED-1.20-1BIT")</f>
        <v>ITBISA-7SEGMENT-ANODE-RED-1.20-1BIT</v>
      </c>
      <c r="B475" s="266">
        <f>IFERROR(__xludf.DUMMYFUNCTION("""COMPUTED_VALUE"""),45463.0)</f>
        <v>45463</v>
      </c>
      <c r="C475" s="266" t="str">
        <f>IFERROR(__xludf.DUMMYFUNCTION("""COMPUTED_VALUE"""),"KERTASARI CIAMIS")</f>
        <v>KERTASARI CIAMIS</v>
      </c>
      <c r="D475" s="186">
        <f>IFERROR(__xludf.DUMMYFUNCTION("""COMPUTED_VALUE"""),45.0)</f>
        <v>45</v>
      </c>
    </row>
    <row r="476">
      <c r="A476" s="178" t="str">
        <f>IFERROR(__xludf.DUMMYFUNCTION("""COMPUTED_VALUE"""),"ITBISA-7SEGMENT-ANODE-RED-1.20-1BIT")</f>
        <v>ITBISA-7SEGMENT-ANODE-RED-1.20-1BIT</v>
      </c>
      <c r="B476" s="266">
        <f>IFERROR(__xludf.DUMMYFUNCTION("""COMPUTED_VALUE"""),45467.0)</f>
        <v>45467</v>
      </c>
      <c r="C476" s="266" t="str">
        <f>IFERROR(__xludf.DUMMYFUNCTION("""COMPUTED_VALUE"""),"KYAI KONTONG")</f>
        <v>KYAI KONTONG</v>
      </c>
      <c r="D476" s="186">
        <f>IFERROR(__xludf.DUMMYFUNCTION("""COMPUTED_VALUE"""),10.0)</f>
        <v>10</v>
      </c>
    </row>
    <row r="477">
      <c r="A477" s="178" t="str">
        <f>IFERROR(__xludf.DUMMYFUNCTION("""COMPUTED_VALUE"""),"ITBISA-7SEGMENT-ANODE-RED-1.20-1BIT")</f>
        <v>ITBISA-7SEGMENT-ANODE-RED-1.20-1BIT</v>
      </c>
      <c r="B477" s="266">
        <f>IFERROR(__xludf.DUMMYFUNCTION("""COMPUTED_VALUE"""),45468.0)</f>
        <v>45468</v>
      </c>
      <c r="C477" s="266" t="str">
        <f>IFERROR(__xludf.DUMMYFUNCTION("""COMPUTED_VALUE"""),"KERTASARI CIAMIS")</f>
        <v>KERTASARI CIAMIS</v>
      </c>
      <c r="D477" s="186">
        <f>IFERROR(__xludf.DUMMYFUNCTION("""COMPUTED_VALUE"""),5.0)</f>
        <v>5</v>
      </c>
    </row>
    <row r="478">
      <c r="A478" s="178" t="str">
        <f>IFERROR(__xludf.DUMMYFUNCTION("""COMPUTED_VALUE"""),"ITBISA-7SEGMENT-ANODE-RED-1.20-1BIT")</f>
        <v>ITBISA-7SEGMENT-ANODE-RED-1.20-1BIT</v>
      </c>
      <c r="B478" s="266">
        <f>IFERROR(__xludf.DUMMYFUNCTION("""COMPUTED_VALUE"""),45473.0)</f>
        <v>45473</v>
      </c>
      <c r="C478" s="266" t="str">
        <f>IFERROR(__xludf.DUMMYFUNCTION("""COMPUTED_VALUE"""),"KERTASARI CIAMIS")</f>
        <v>KERTASARI CIAMIS</v>
      </c>
      <c r="D478" s="186">
        <f>IFERROR(__xludf.DUMMYFUNCTION("""COMPUTED_VALUE"""),45.0)</f>
        <v>45</v>
      </c>
    </row>
    <row r="479">
      <c r="A479" s="178" t="str">
        <f>IFERROR(__xludf.DUMMYFUNCTION("""COMPUTED_VALUE"""),"ITBISA-7SEGMENT-ANODE-RED-1.20-1BIT")</f>
        <v>ITBISA-7SEGMENT-ANODE-RED-1.20-1BIT</v>
      </c>
      <c r="B479" s="266">
        <f>IFERROR(__xludf.DUMMYFUNCTION("""COMPUTED_VALUE"""),45474.0)</f>
        <v>45474</v>
      </c>
      <c r="C479" s="266" t="str">
        <f>IFERROR(__xludf.DUMMYFUNCTION("""COMPUTED_VALUE"""),"KERTASARI CIAMIS")</f>
        <v>KERTASARI CIAMIS</v>
      </c>
      <c r="D479" s="186">
        <f>IFERROR(__xludf.DUMMYFUNCTION("""COMPUTED_VALUE"""),45.0)</f>
        <v>45</v>
      </c>
    </row>
    <row r="480">
      <c r="A480" s="178" t="str">
        <f>IFERROR(__xludf.DUMMYFUNCTION("""COMPUTED_VALUE"""),"ITBISA-7SEGMENT-ANODE-RED-1.20-1BIT")</f>
        <v>ITBISA-7SEGMENT-ANODE-RED-1.20-1BIT</v>
      </c>
      <c r="B480" s="266">
        <f>IFERROR(__xludf.DUMMYFUNCTION("""COMPUTED_VALUE"""),45474.0)</f>
        <v>45474</v>
      </c>
      <c r="C480" s="266" t="str">
        <f>IFERROR(__xludf.DUMMYFUNCTION("""COMPUTED_VALUE"""),"KYAI KONTONG")</f>
        <v>KYAI KONTONG</v>
      </c>
      <c r="D480" s="186">
        <f>IFERROR(__xludf.DUMMYFUNCTION("""COMPUTED_VALUE"""),90.0)</f>
        <v>90</v>
      </c>
    </row>
    <row r="481">
      <c r="A481" s="178" t="str">
        <f>IFERROR(__xludf.DUMMYFUNCTION("""COMPUTED_VALUE"""),"ITBISA-7SEGMENT-ANODE-RED-1.20-1BIT")</f>
        <v>ITBISA-7SEGMENT-ANODE-RED-1.20-1BIT</v>
      </c>
      <c r="B481" s="266">
        <f>IFERROR(__xludf.DUMMYFUNCTION("""COMPUTED_VALUE"""),45480.0)</f>
        <v>45480</v>
      </c>
      <c r="C481" s="266" t="str">
        <f>IFERROR(__xludf.DUMMYFUNCTION("""COMPUTED_VALUE"""),"KERTASARI CIAMIS")</f>
        <v>KERTASARI CIAMIS</v>
      </c>
      <c r="D481" s="186">
        <f>IFERROR(__xludf.DUMMYFUNCTION("""COMPUTED_VALUE"""),10.0)</f>
        <v>10</v>
      </c>
    </row>
    <row r="482">
      <c r="A482" s="178" t="str">
        <f>IFERROR(__xludf.DUMMYFUNCTION("""COMPUTED_VALUE"""),"ITBISA-7SEGMENT-ANODE-RED-1.20-1BIT")</f>
        <v>ITBISA-7SEGMENT-ANODE-RED-1.20-1BIT</v>
      </c>
      <c r="B482" s="266">
        <f>IFERROR(__xludf.DUMMYFUNCTION("""COMPUTED_VALUE"""),45488.0)</f>
        <v>45488</v>
      </c>
      <c r="C482" s="266" t="str">
        <f>IFERROR(__xludf.DUMMYFUNCTION("""COMPUTED_VALUE"""),"KERTASARI CIAMIS")</f>
        <v>KERTASARI CIAMIS</v>
      </c>
      <c r="D482" s="186">
        <f>IFERROR(__xludf.DUMMYFUNCTION("""COMPUTED_VALUE"""),60.0)</f>
        <v>60</v>
      </c>
    </row>
    <row r="483">
      <c r="A483" s="178" t="str">
        <f>IFERROR(__xludf.DUMMYFUNCTION("""COMPUTED_VALUE"""),"ITBISA-7SEGMENT-ANODE-RED-1.20-1BIT")</f>
        <v>ITBISA-7SEGMENT-ANODE-RED-1.20-1BIT</v>
      </c>
      <c r="B483" s="266">
        <f>IFERROR(__xludf.DUMMYFUNCTION("""COMPUTED_VALUE"""),45496.0)</f>
        <v>45496</v>
      </c>
      <c r="C483" s="266" t="str">
        <f>IFERROR(__xludf.DUMMYFUNCTION("""COMPUTED_VALUE"""),"KYAI KONTONG")</f>
        <v>KYAI KONTONG</v>
      </c>
      <c r="D483" s="186">
        <f>IFERROR(__xludf.DUMMYFUNCTION("""COMPUTED_VALUE"""),45.0)</f>
        <v>45</v>
      </c>
    </row>
    <row r="484">
      <c r="A484" s="178" t="str">
        <f>IFERROR(__xludf.DUMMYFUNCTION("""COMPUTED_VALUE"""),"ITBISA-7SEGMENT-ANODE-RED-1.20-1BIT")</f>
        <v>ITBISA-7SEGMENT-ANODE-RED-1.20-1BIT</v>
      </c>
      <c r="B484" s="266">
        <f>IFERROR(__xludf.DUMMYFUNCTION("""COMPUTED_VALUE"""),45496.0)</f>
        <v>45496</v>
      </c>
      <c r="C484" s="266" t="str">
        <f>IFERROR(__xludf.DUMMYFUNCTION("""COMPUTED_VALUE"""),"KYAI KONTONG")</f>
        <v>KYAI KONTONG</v>
      </c>
      <c r="D484" s="186">
        <f>IFERROR(__xludf.DUMMYFUNCTION("""COMPUTED_VALUE"""),75.0)</f>
        <v>75</v>
      </c>
    </row>
    <row r="485">
      <c r="A485" s="178" t="str">
        <f>IFERROR(__xludf.DUMMYFUNCTION("""COMPUTED_VALUE"""),"ITBISA-7SEGMENT-ANODE-RED-1.20-1BIT")</f>
        <v>ITBISA-7SEGMENT-ANODE-RED-1.20-1BIT</v>
      </c>
      <c r="B485" s="266">
        <f>IFERROR(__xludf.DUMMYFUNCTION("""COMPUTED_VALUE"""),45497.0)</f>
        <v>45497</v>
      </c>
      <c r="C485" s="266" t="str">
        <f>IFERROR(__xludf.DUMMYFUNCTION("""COMPUTED_VALUE"""),"KYAI KONTONG")</f>
        <v>KYAI KONTONG</v>
      </c>
      <c r="D485" s="186">
        <f>IFERROR(__xludf.DUMMYFUNCTION("""COMPUTED_VALUE"""),1.0)</f>
        <v>1</v>
      </c>
    </row>
    <row r="486">
      <c r="A486" s="178" t="str">
        <f>IFERROR(__xludf.DUMMYFUNCTION("""COMPUTED_VALUE"""),"ITBISA-7SEGMENT-ANODE-RED-1.20-1BIT")</f>
        <v>ITBISA-7SEGMENT-ANODE-RED-1.20-1BIT</v>
      </c>
      <c r="B486" s="266">
        <f>IFERROR(__xludf.DUMMYFUNCTION("""COMPUTED_VALUE"""),45498.0)</f>
        <v>45498</v>
      </c>
      <c r="C486" s="266" t="str">
        <f>IFERROR(__xludf.DUMMYFUNCTION("""COMPUTED_VALUE"""),"KERTASARI CIAMIS")</f>
        <v>KERTASARI CIAMIS</v>
      </c>
      <c r="D486" s="186">
        <f>IFERROR(__xludf.DUMMYFUNCTION("""COMPUTED_VALUE"""),30.0)</f>
        <v>30</v>
      </c>
    </row>
    <row r="487">
      <c r="A487" s="178" t="str">
        <f>IFERROR(__xludf.DUMMYFUNCTION("""COMPUTED_VALUE"""),"ITBISA-7SEGMENT-ANODE-RED-1.20-1BIT")</f>
        <v>ITBISA-7SEGMENT-ANODE-RED-1.20-1BIT</v>
      </c>
      <c r="B487" s="266">
        <f>IFERROR(__xludf.DUMMYFUNCTION("""COMPUTED_VALUE"""),45498.0)</f>
        <v>45498</v>
      </c>
      <c r="C487" s="266" t="str">
        <f>IFERROR(__xludf.DUMMYFUNCTION("""COMPUTED_VALUE"""),"KYAI KONTONG")</f>
        <v>KYAI KONTONG</v>
      </c>
      <c r="D487" s="186">
        <f>IFERROR(__xludf.DUMMYFUNCTION("""COMPUTED_VALUE"""),20.0)</f>
        <v>20</v>
      </c>
    </row>
    <row r="488">
      <c r="A488" s="178" t="str">
        <f>IFERROR(__xludf.DUMMYFUNCTION("""COMPUTED_VALUE"""),"ITBISA-7SEGMENT-ANODE-RED-1.20-1BIT")</f>
        <v>ITBISA-7SEGMENT-ANODE-RED-1.20-1BIT</v>
      </c>
      <c r="B488" s="266">
        <f>IFERROR(__xludf.DUMMYFUNCTION("""COMPUTED_VALUE"""),45499.0)</f>
        <v>45499</v>
      </c>
      <c r="C488" s="266" t="str">
        <f>IFERROR(__xludf.DUMMYFUNCTION("""COMPUTED_VALUE"""),"KYAI KONTONG")</f>
        <v>KYAI KONTONG</v>
      </c>
      <c r="D488" s="186">
        <f>IFERROR(__xludf.DUMMYFUNCTION("""COMPUTED_VALUE"""),60.0)</f>
        <v>60</v>
      </c>
    </row>
    <row r="489">
      <c r="A489" s="178" t="str">
        <f>IFERROR(__xludf.DUMMYFUNCTION("""COMPUTED_VALUE"""),"ITBISA-7SEGMENT-ANODE-RED-1.20-1BIT")</f>
        <v>ITBISA-7SEGMENT-ANODE-RED-1.20-1BIT</v>
      </c>
      <c r="B489" s="266">
        <f>IFERROR(__xludf.DUMMYFUNCTION("""COMPUTED_VALUE"""),45501.0)</f>
        <v>45501</v>
      </c>
      <c r="C489" s="266" t="str">
        <f>IFERROR(__xludf.DUMMYFUNCTION("""COMPUTED_VALUE"""),"KYAI KONTONG")</f>
        <v>KYAI KONTONG</v>
      </c>
      <c r="D489" s="186">
        <f>IFERROR(__xludf.DUMMYFUNCTION("""COMPUTED_VALUE"""),4.0)</f>
        <v>4</v>
      </c>
    </row>
    <row r="490">
      <c r="A490" s="178" t="str">
        <f>IFERROR(__xludf.DUMMYFUNCTION("""COMPUTED_VALUE"""),"ITBISA-7SEGMENT-ANODE-RED-1.20-1BIT")</f>
        <v>ITBISA-7SEGMENT-ANODE-RED-1.20-1BIT</v>
      </c>
      <c r="B490" s="266">
        <f>IFERROR(__xludf.DUMMYFUNCTION("""COMPUTED_VALUE"""),45502.0)</f>
        <v>45502</v>
      </c>
      <c r="C490" s="266" t="str">
        <f>IFERROR(__xludf.DUMMYFUNCTION("""COMPUTED_VALUE"""),"KERTASARI CIAMIS")</f>
        <v>KERTASARI CIAMIS</v>
      </c>
      <c r="D490" s="186">
        <f>IFERROR(__xludf.DUMMYFUNCTION("""COMPUTED_VALUE"""),45.0)</f>
        <v>45</v>
      </c>
    </row>
    <row r="491">
      <c r="A491" s="178" t="str">
        <f>IFERROR(__xludf.DUMMYFUNCTION("""COMPUTED_VALUE"""),"ITBISA-7SEGMENT-ANODE-RED-1.20-1BIT")</f>
        <v>ITBISA-7SEGMENT-ANODE-RED-1.20-1BIT</v>
      </c>
      <c r="B491" s="266">
        <f>IFERROR(__xludf.DUMMYFUNCTION("""COMPUTED_VALUE"""),45502.0)</f>
        <v>45502</v>
      </c>
      <c r="C491" s="266" t="str">
        <f>IFERROR(__xludf.DUMMYFUNCTION("""COMPUTED_VALUE"""),"KYAI KONTONG")</f>
        <v>KYAI KONTONG</v>
      </c>
      <c r="D491" s="186">
        <f>IFERROR(__xludf.DUMMYFUNCTION("""COMPUTED_VALUE"""),30.0)</f>
        <v>30</v>
      </c>
    </row>
    <row r="492">
      <c r="A492" s="178" t="str">
        <f>IFERROR(__xludf.DUMMYFUNCTION("""COMPUTED_VALUE"""),"ITBISA-7SEGMENT-ANODE-RED-1.20-1BIT")</f>
        <v>ITBISA-7SEGMENT-ANODE-RED-1.20-1BIT</v>
      </c>
      <c r="B492" s="266">
        <f>IFERROR(__xludf.DUMMYFUNCTION("""COMPUTED_VALUE"""),45503.0)</f>
        <v>45503</v>
      </c>
      <c r="C492" s="266" t="str">
        <f>IFERROR(__xludf.DUMMYFUNCTION("""COMPUTED_VALUE"""),"KERTASARI CIAMIS")</f>
        <v>KERTASARI CIAMIS</v>
      </c>
      <c r="D492" s="186">
        <f>IFERROR(__xludf.DUMMYFUNCTION("""COMPUTED_VALUE"""),150.0)</f>
        <v>150</v>
      </c>
    </row>
    <row r="493">
      <c r="A493" s="178" t="str">
        <f>IFERROR(__xludf.DUMMYFUNCTION("""COMPUTED_VALUE"""),"ITBISA-7SEGMENT-ANODE-RED-1.20-1BIT")</f>
        <v>ITBISA-7SEGMENT-ANODE-RED-1.20-1BIT</v>
      </c>
      <c r="B493" s="266">
        <f>IFERROR(__xludf.DUMMYFUNCTION("""COMPUTED_VALUE"""),45503.0)</f>
        <v>45503</v>
      </c>
      <c r="C493" s="266" t="str">
        <f>IFERROR(__xludf.DUMMYFUNCTION("""COMPUTED_VALUE"""),"KYAI KONTONG")</f>
        <v>KYAI KONTONG</v>
      </c>
      <c r="D493" s="186">
        <f>IFERROR(__xludf.DUMMYFUNCTION("""COMPUTED_VALUE"""),45.0)</f>
        <v>45</v>
      </c>
    </row>
    <row r="494">
      <c r="A494" s="178" t="str">
        <f>IFERROR(__xludf.DUMMYFUNCTION("""COMPUTED_VALUE"""),"ITBISA-7SEGMENT-ANODE-RED-1.20-1BIT")</f>
        <v>ITBISA-7SEGMENT-ANODE-RED-1.20-1BIT</v>
      </c>
      <c r="B494" s="266">
        <f>IFERROR(__xludf.DUMMYFUNCTION("""COMPUTED_VALUE"""),45506.0)</f>
        <v>45506</v>
      </c>
      <c r="C494" s="266" t="str">
        <f>IFERROR(__xludf.DUMMYFUNCTION("""COMPUTED_VALUE"""),"KERTASARI CIAMIS")</f>
        <v>KERTASARI CIAMIS</v>
      </c>
      <c r="D494" s="186">
        <f>IFERROR(__xludf.DUMMYFUNCTION("""COMPUTED_VALUE"""),100.0)</f>
        <v>100</v>
      </c>
    </row>
    <row r="495">
      <c r="A495" s="178" t="str">
        <f>IFERROR(__xludf.DUMMYFUNCTION("""COMPUTED_VALUE"""),"ITBISA-7SEGMENT-ANODE-RED-1.20-1BIT")</f>
        <v>ITBISA-7SEGMENT-ANODE-RED-1.20-1BIT</v>
      </c>
      <c r="B495" s="266">
        <f>IFERROR(__xludf.DUMMYFUNCTION("""COMPUTED_VALUE"""),45508.0)</f>
        <v>45508</v>
      </c>
      <c r="C495" s="266" t="str">
        <f>IFERROR(__xludf.DUMMYFUNCTION("""COMPUTED_VALUE"""),"KERTASARI CIAMIS")</f>
        <v>KERTASARI CIAMIS</v>
      </c>
      <c r="D495" s="186">
        <f>IFERROR(__xludf.DUMMYFUNCTION("""COMPUTED_VALUE"""),30.0)</f>
        <v>30</v>
      </c>
    </row>
    <row r="496">
      <c r="A496" s="178" t="str">
        <f>IFERROR(__xludf.DUMMYFUNCTION("""COMPUTED_VALUE"""),"ITBISA-7SEGMENT-ANODE-RED-1.20-1BIT")</f>
        <v>ITBISA-7SEGMENT-ANODE-RED-1.20-1BIT</v>
      </c>
      <c r="B496" s="266">
        <f>IFERROR(__xludf.DUMMYFUNCTION("""COMPUTED_VALUE"""),45510.0)</f>
        <v>45510</v>
      </c>
      <c r="C496" s="266" t="str">
        <f>IFERROR(__xludf.DUMMYFUNCTION("""COMPUTED_VALUE"""),"KERTASARI CIAMIS")</f>
        <v>KERTASARI CIAMIS</v>
      </c>
      <c r="D496" s="186">
        <f>IFERROR(__xludf.DUMMYFUNCTION("""COMPUTED_VALUE"""),17.0)</f>
        <v>17</v>
      </c>
    </row>
    <row r="497">
      <c r="A497" s="178" t="str">
        <f>IFERROR(__xludf.DUMMYFUNCTION("""COMPUTED_VALUE"""),"ITBISA-7SEGMENT-ANODE-RED-1.20-1BIT")</f>
        <v>ITBISA-7SEGMENT-ANODE-RED-1.20-1BIT</v>
      </c>
      <c r="B497" s="266">
        <f>IFERROR(__xludf.DUMMYFUNCTION("""COMPUTED_VALUE"""),45511.0)</f>
        <v>45511</v>
      </c>
      <c r="C497" s="266" t="str">
        <f>IFERROR(__xludf.DUMMYFUNCTION("""COMPUTED_VALUE"""),"KERTASARI CIAMIS")</f>
        <v>KERTASARI CIAMIS</v>
      </c>
      <c r="D497" s="186">
        <f>IFERROR(__xludf.DUMMYFUNCTION("""COMPUTED_VALUE"""),65.0)</f>
        <v>65</v>
      </c>
    </row>
    <row r="498">
      <c r="A498" s="178" t="str">
        <f>IFERROR(__xludf.DUMMYFUNCTION("""COMPUTED_VALUE"""),"ITBISA-7SEGMENT-ANODE-RED-1.20-1BIT")</f>
        <v>ITBISA-7SEGMENT-ANODE-RED-1.20-1BIT</v>
      </c>
      <c r="B498" s="266">
        <f>IFERROR(__xludf.DUMMYFUNCTION("""COMPUTED_VALUE"""),45512.0)</f>
        <v>45512</v>
      </c>
      <c r="C498" s="266" t="str">
        <f>IFERROR(__xludf.DUMMYFUNCTION("""COMPUTED_VALUE"""),"KYAI KONTONG")</f>
        <v>KYAI KONTONG</v>
      </c>
      <c r="D498" s="186">
        <f>IFERROR(__xludf.DUMMYFUNCTION("""COMPUTED_VALUE"""),15.0)</f>
        <v>15</v>
      </c>
    </row>
    <row r="499">
      <c r="A499" s="178" t="str">
        <f>IFERROR(__xludf.DUMMYFUNCTION("""COMPUTED_VALUE"""),"ITBISA-7SEGMENT-ANODE-RED-1.20-1BIT")</f>
        <v>ITBISA-7SEGMENT-ANODE-RED-1.20-1BIT</v>
      </c>
      <c r="B499" s="266">
        <f>IFERROR(__xludf.DUMMYFUNCTION("""COMPUTED_VALUE"""),45513.0)</f>
        <v>45513</v>
      </c>
      <c r="C499" s="266" t="str">
        <f>IFERROR(__xludf.DUMMYFUNCTION("""COMPUTED_VALUE"""),"KERTASARI CIAMIS")</f>
        <v>KERTASARI CIAMIS</v>
      </c>
      <c r="D499" s="186">
        <f>IFERROR(__xludf.DUMMYFUNCTION("""COMPUTED_VALUE"""),100.0)</f>
        <v>100</v>
      </c>
    </row>
    <row r="500">
      <c r="A500" s="178" t="str">
        <f>IFERROR(__xludf.DUMMYFUNCTION("""COMPUTED_VALUE"""),"ITBISA-7SEGMENT-ANODE-RED-1.20-1BIT")</f>
        <v>ITBISA-7SEGMENT-ANODE-RED-1.20-1BIT</v>
      </c>
      <c r="B500" s="266">
        <f>IFERROR(__xludf.DUMMYFUNCTION("""COMPUTED_VALUE"""),45513.0)</f>
        <v>45513</v>
      </c>
      <c r="C500" s="266" t="str">
        <f>IFERROR(__xludf.DUMMYFUNCTION("""COMPUTED_VALUE"""),"KYAI KONTONG")</f>
        <v>KYAI KONTONG</v>
      </c>
      <c r="D500" s="186">
        <f>IFERROR(__xludf.DUMMYFUNCTION("""COMPUTED_VALUE"""),100.0)</f>
        <v>100</v>
      </c>
    </row>
    <row r="501">
      <c r="A501" s="178" t="str">
        <f>IFERROR(__xludf.DUMMYFUNCTION("""COMPUTED_VALUE"""),"ITBISA-7SEGMENT-ANODE-RED-1.20-1BIT")</f>
        <v>ITBISA-7SEGMENT-ANODE-RED-1.20-1BIT</v>
      </c>
      <c r="B501" s="266">
        <f>IFERROR(__xludf.DUMMYFUNCTION("""COMPUTED_VALUE"""),45525.0)</f>
        <v>45525</v>
      </c>
      <c r="C501" s="266" t="str">
        <f>IFERROR(__xludf.DUMMYFUNCTION("""COMPUTED_VALUE"""),"KERTASARI CIAMIS")</f>
        <v>KERTASARI CIAMIS</v>
      </c>
      <c r="D501" s="186">
        <f>IFERROR(__xludf.DUMMYFUNCTION("""COMPUTED_VALUE"""),160.0)</f>
        <v>160</v>
      </c>
    </row>
    <row r="502">
      <c r="A502" s="178" t="str">
        <f>IFERROR(__xludf.DUMMYFUNCTION("""COMPUTED_VALUE"""),"ITBISA-7SEGMENT-ANODE-RED-1.20-1BIT")</f>
        <v>ITBISA-7SEGMENT-ANODE-RED-1.20-1BIT</v>
      </c>
      <c r="B502" s="266">
        <f>IFERROR(__xludf.DUMMYFUNCTION("""COMPUTED_VALUE"""),45527.0)</f>
        <v>45527</v>
      </c>
      <c r="C502" s="266" t="str">
        <f>IFERROR(__xludf.DUMMYFUNCTION("""COMPUTED_VALUE"""),"KYAI KONTONG")</f>
        <v>KYAI KONTONG</v>
      </c>
      <c r="D502" s="186">
        <f>IFERROR(__xludf.DUMMYFUNCTION("""COMPUTED_VALUE"""),15.0)</f>
        <v>15</v>
      </c>
    </row>
    <row r="503">
      <c r="A503" s="178" t="str">
        <f>IFERROR(__xludf.DUMMYFUNCTION("""COMPUTED_VALUE"""),"ITBISA-7SEGMENT-ANODE-RED-1.20-1BIT")</f>
        <v>ITBISA-7SEGMENT-ANODE-RED-1.20-1BIT</v>
      </c>
      <c r="B503" s="266">
        <f>IFERROR(__xludf.DUMMYFUNCTION("""COMPUTED_VALUE"""),45529.0)</f>
        <v>45529</v>
      </c>
      <c r="C503" s="266" t="str">
        <f>IFERROR(__xludf.DUMMYFUNCTION("""COMPUTED_VALUE"""),"KERTASARI CIAMIS")</f>
        <v>KERTASARI CIAMIS</v>
      </c>
      <c r="D503" s="186">
        <f>IFERROR(__xludf.DUMMYFUNCTION("""COMPUTED_VALUE"""),77.0)</f>
        <v>77</v>
      </c>
    </row>
    <row r="504">
      <c r="A504" s="178" t="str">
        <f>IFERROR(__xludf.DUMMYFUNCTION("""COMPUTED_VALUE"""),"ITBISA-7SEGMENT-ANODE-RED-1.20-1BIT")</f>
        <v>ITBISA-7SEGMENT-ANODE-RED-1.20-1BIT</v>
      </c>
      <c r="B504" s="266">
        <f>IFERROR(__xludf.DUMMYFUNCTION("""COMPUTED_VALUE"""),45559.0)</f>
        <v>45559</v>
      </c>
      <c r="C504" s="266" t="str">
        <f>IFERROR(__xludf.DUMMYFUNCTION("""COMPUTED_VALUE"""),"KERTASARI CIAMIS")</f>
        <v>KERTASARI CIAMIS</v>
      </c>
      <c r="D504" s="186">
        <f>IFERROR(__xludf.DUMMYFUNCTION("""COMPUTED_VALUE"""),30.0)</f>
        <v>30</v>
      </c>
    </row>
    <row r="505">
      <c r="A505" s="178" t="str">
        <f>IFERROR(__xludf.DUMMYFUNCTION("""COMPUTED_VALUE"""),"ITBISA-7SEGMENT-ANODE-RED-1.20-1BIT")</f>
        <v>ITBISA-7SEGMENT-ANODE-RED-1.20-1BIT</v>
      </c>
      <c r="B505" s="266">
        <f>IFERROR(__xludf.DUMMYFUNCTION("""COMPUTED_VALUE"""),45565.0)</f>
        <v>45565</v>
      </c>
      <c r="C505" s="266" t="str">
        <f>IFERROR(__xludf.DUMMYFUNCTION("""COMPUTED_VALUE"""),"KERTASARI CIAMIS")</f>
        <v>KERTASARI CIAMIS</v>
      </c>
      <c r="D505" s="186">
        <f>IFERROR(__xludf.DUMMYFUNCTION("""COMPUTED_VALUE"""),45.0)</f>
        <v>45</v>
      </c>
    </row>
    <row r="506">
      <c r="A506" s="178" t="str">
        <f>IFERROR(__xludf.DUMMYFUNCTION("""COMPUTED_VALUE"""),"ITBISA-7SEGMENT-ANODE-RED-1.20-1BIT")</f>
        <v>ITBISA-7SEGMENT-ANODE-RED-1.20-1BIT</v>
      </c>
      <c r="B506" s="266">
        <f>IFERROR(__xludf.DUMMYFUNCTION("""COMPUTED_VALUE"""),45565.0)</f>
        <v>45565</v>
      </c>
      <c r="C506" s="266" t="str">
        <f>IFERROR(__xludf.DUMMYFUNCTION("""COMPUTED_VALUE"""),"KERTASARI CIAMIS")</f>
        <v>KERTASARI CIAMIS</v>
      </c>
      <c r="D506" s="186">
        <f>IFERROR(__xludf.DUMMYFUNCTION("""COMPUTED_VALUE"""),300.0)</f>
        <v>300</v>
      </c>
    </row>
    <row r="507">
      <c r="A507" s="178" t="str">
        <f>IFERROR(__xludf.DUMMYFUNCTION("""COMPUTED_VALUE"""),"ITBISA-7SEGMENT-ANODE-RED-1.20-1BIT")</f>
        <v>ITBISA-7SEGMENT-ANODE-RED-1.20-1BIT</v>
      </c>
      <c r="B507" s="266">
        <f>IFERROR(__xludf.DUMMYFUNCTION("""COMPUTED_VALUE"""),45566.0)</f>
        <v>45566</v>
      </c>
      <c r="C507" s="266" t="str">
        <f>IFERROR(__xludf.DUMMYFUNCTION("""COMPUTED_VALUE"""),"KERTASARI CIAMIS")</f>
        <v>KERTASARI CIAMIS</v>
      </c>
      <c r="D507" s="186">
        <f>IFERROR(__xludf.DUMMYFUNCTION("""COMPUTED_VALUE"""),12.0)</f>
        <v>12</v>
      </c>
    </row>
    <row r="508">
      <c r="A508" s="178" t="str">
        <f>IFERROR(__xludf.DUMMYFUNCTION("""COMPUTED_VALUE"""),"ITBISA-7SEGMENT-ANODE-RED-1.20-1BIT")</f>
        <v>ITBISA-7SEGMENT-ANODE-RED-1.20-1BIT</v>
      </c>
      <c r="B508" s="266">
        <f>IFERROR(__xludf.DUMMYFUNCTION("""COMPUTED_VALUE"""),45568.0)</f>
        <v>45568</v>
      </c>
      <c r="C508" s="266" t="str">
        <f>IFERROR(__xludf.DUMMYFUNCTION("""COMPUTED_VALUE"""),"KYAI KONTONG")</f>
        <v>KYAI KONTONG</v>
      </c>
      <c r="D508" s="186">
        <f>IFERROR(__xludf.DUMMYFUNCTION("""COMPUTED_VALUE"""),2.0)</f>
        <v>2</v>
      </c>
    </row>
    <row r="509">
      <c r="A509" s="178" t="str">
        <f>IFERROR(__xludf.DUMMYFUNCTION("""COMPUTED_VALUE"""),"ITBISA-7SEGMENT-ANODE-RED-1.20-1BIT")</f>
        <v>ITBISA-7SEGMENT-ANODE-RED-1.20-1BIT</v>
      </c>
      <c r="B509" s="266">
        <f>IFERROR(__xludf.DUMMYFUNCTION("""COMPUTED_VALUE"""),45569.0)</f>
        <v>45569</v>
      </c>
      <c r="C509" s="266" t="str">
        <f>IFERROR(__xludf.DUMMYFUNCTION("""COMPUTED_VALUE"""),"KYAI KONTONG")</f>
        <v>KYAI KONTONG</v>
      </c>
      <c r="D509" s="186">
        <f>IFERROR(__xludf.DUMMYFUNCTION("""COMPUTED_VALUE"""),155.0)</f>
        <v>155</v>
      </c>
    </row>
    <row r="510">
      <c r="A510" s="178" t="str">
        <f>IFERROR(__xludf.DUMMYFUNCTION("""COMPUTED_VALUE"""),"ITBISA-7SEGMENT-ANODE-RED-1.20-1BIT")</f>
        <v>ITBISA-7SEGMENT-ANODE-RED-1.20-1BIT</v>
      </c>
      <c r="B510" s="266">
        <f>IFERROR(__xludf.DUMMYFUNCTION("""COMPUTED_VALUE"""),45572.0)</f>
        <v>45572</v>
      </c>
      <c r="C510" s="266" t="str">
        <f>IFERROR(__xludf.DUMMYFUNCTION("""COMPUTED_VALUE"""),"KYAI KONTONG")</f>
        <v>KYAI KONTONG</v>
      </c>
      <c r="D510" s="186">
        <f>IFERROR(__xludf.DUMMYFUNCTION("""COMPUTED_VALUE"""),5.0)</f>
        <v>5</v>
      </c>
    </row>
    <row r="511">
      <c r="A511" s="178" t="str">
        <f>IFERROR(__xludf.DUMMYFUNCTION("""COMPUTED_VALUE"""),"ITBISA-7SEGMENT-ANODE-RED-1.20-1BIT")</f>
        <v>ITBISA-7SEGMENT-ANODE-RED-1.20-1BIT</v>
      </c>
      <c r="B511" s="266">
        <f>IFERROR(__xludf.DUMMYFUNCTION("""COMPUTED_VALUE"""),45577.0)</f>
        <v>45577</v>
      </c>
      <c r="C511" s="266" t="str">
        <f>IFERROR(__xludf.DUMMYFUNCTION("""COMPUTED_VALUE"""),"KYAI KONTONG")</f>
        <v>KYAI KONTONG</v>
      </c>
      <c r="D511" s="186">
        <f>IFERROR(__xludf.DUMMYFUNCTION("""COMPUTED_VALUE"""),200.0)</f>
        <v>200</v>
      </c>
    </row>
    <row r="512">
      <c r="A512" s="178" t="str">
        <f>IFERROR(__xludf.DUMMYFUNCTION("""COMPUTED_VALUE"""),"ITBISA-7SEGMENT-ANODE-RED-1.20-1BIT")</f>
        <v>ITBISA-7SEGMENT-ANODE-RED-1.20-1BIT</v>
      </c>
      <c r="B512" s="266">
        <f>IFERROR(__xludf.DUMMYFUNCTION("""COMPUTED_VALUE"""),45578.0)</f>
        <v>45578</v>
      </c>
      <c r="C512" s="266" t="str">
        <f>IFERROR(__xludf.DUMMYFUNCTION("""COMPUTED_VALUE"""),"KYAI KONTONG")</f>
        <v>KYAI KONTONG</v>
      </c>
      <c r="D512" s="186">
        <f>IFERROR(__xludf.DUMMYFUNCTION("""COMPUTED_VALUE"""),45.0)</f>
        <v>45</v>
      </c>
    </row>
    <row r="513">
      <c r="A513" s="178" t="str">
        <f>IFERROR(__xludf.DUMMYFUNCTION("""COMPUTED_VALUE"""),"ITBISA-7SEGMENT-ANODE-RED-1.20-1BIT")</f>
        <v>ITBISA-7SEGMENT-ANODE-RED-1.20-1BIT</v>
      </c>
      <c r="B513" s="266">
        <f>IFERROR(__xludf.DUMMYFUNCTION("""COMPUTED_VALUE"""),45579.0)</f>
        <v>45579</v>
      </c>
      <c r="C513" s="266" t="str">
        <f>IFERROR(__xludf.DUMMYFUNCTION("""COMPUTED_VALUE"""),"KYAI KONTONG")</f>
        <v>KYAI KONTONG</v>
      </c>
      <c r="D513" s="186">
        <f>IFERROR(__xludf.DUMMYFUNCTION("""COMPUTED_VALUE"""),150.0)</f>
        <v>150</v>
      </c>
    </row>
    <row r="514">
      <c r="A514" s="178" t="str">
        <f>IFERROR(__xludf.DUMMYFUNCTION("""COMPUTED_VALUE"""),"ITBISA-7SEGMENT-ANODE-RED-1.20-1BIT")</f>
        <v>ITBISA-7SEGMENT-ANODE-RED-1.20-1BIT</v>
      </c>
      <c r="B514" s="266">
        <f>IFERROR(__xludf.DUMMYFUNCTION("""COMPUTED_VALUE"""),45596.0)</f>
        <v>45596</v>
      </c>
      <c r="C514" s="266" t="str">
        <f>IFERROR(__xludf.DUMMYFUNCTION("""COMPUTED_VALUE"""),"KERTASARI CIAMIS")</f>
        <v>KERTASARI CIAMIS</v>
      </c>
      <c r="D514" s="186">
        <f>IFERROR(__xludf.DUMMYFUNCTION("""COMPUTED_VALUE"""),75.0)</f>
        <v>75</v>
      </c>
    </row>
    <row r="515">
      <c r="A515" s="178" t="str">
        <f>IFERROR(__xludf.DUMMYFUNCTION("""COMPUTED_VALUE"""),"ITBISA-7SEGMENT-ANODE-RED-1.20-1BIT")</f>
        <v>ITBISA-7SEGMENT-ANODE-RED-1.20-1BIT</v>
      </c>
      <c r="B515" s="266">
        <f>IFERROR(__xludf.DUMMYFUNCTION("""COMPUTED_VALUE"""),45602.0)</f>
        <v>45602</v>
      </c>
      <c r="C515" s="266" t="str">
        <f>IFERROR(__xludf.DUMMYFUNCTION("""COMPUTED_VALUE"""),"KYAI KONTONG")</f>
        <v>KYAI KONTONG</v>
      </c>
      <c r="D515" s="186">
        <f>IFERROR(__xludf.DUMMYFUNCTION("""COMPUTED_VALUE"""),4.0)</f>
        <v>4</v>
      </c>
    </row>
    <row r="516">
      <c r="A516" s="178" t="str">
        <f>IFERROR(__xludf.DUMMYFUNCTION("""COMPUTED_VALUE"""),"ITBISA-7SEGMENT-ANODE-RED-1.20-1BIT")</f>
        <v>ITBISA-7SEGMENT-ANODE-RED-1.20-1BIT</v>
      </c>
      <c r="B516" s="266">
        <f>IFERROR(__xludf.DUMMYFUNCTION("""COMPUTED_VALUE"""),45604.0)</f>
        <v>45604</v>
      </c>
      <c r="C516" s="266" t="str">
        <f>IFERROR(__xludf.DUMMYFUNCTION("""COMPUTED_VALUE"""),"KERTASARI CIAMIS")</f>
        <v>KERTASARI CIAMIS</v>
      </c>
      <c r="D516" s="186">
        <f>IFERROR(__xludf.DUMMYFUNCTION("""COMPUTED_VALUE"""),10.0)</f>
        <v>10</v>
      </c>
    </row>
    <row r="517">
      <c r="A517" s="178" t="str">
        <f>IFERROR(__xludf.DUMMYFUNCTION("""COMPUTED_VALUE"""),"ITBISA-7SEGMENT-ANODE-RED-1.20-1BIT")</f>
        <v>ITBISA-7SEGMENT-ANODE-RED-1.20-1BIT</v>
      </c>
      <c r="B517" s="266">
        <f>IFERROR(__xludf.DUMMYFUNCTION("""COMPUTED_VALUE"""),45606.0)</f>
        <v>45606</v>
      </c>
      <c r="C517" s="266" t="str">
        <f>IFERROR(__xludf.DUMMYFUNCTION("""COMPUTED_VALUE"""),"KERTASARI CIAMIS")</f>
        <v>KERTASARI CIAMIS</v>
      </c>
      <c r="D517" s="186">
        <f>IFERROR(__xludf.DUMMYFUNCTION("""COMPUTED_VALUE"""),200.0)</f>
        <v>200</v>
      </c>
    </row>
    <row r="518">
      <c r="A518" s="178" t="str">
        <f>IFERROR(__xludf.DUMMYFUNCTION("""COMPUTED_VALUE"""),"ITBISA-7SEGMENT-ANODE-RED-1.20-1BIT")</f>
        <v>ITBISA-7SEGMENT-ANODE-RED-1.20-1BIT</v>
      </c>
      <c r="B518" s="266">
        <f>IFERROR(__xludf.DUMMYFUNCTION("""COMPUTED_VALUE"""),45606.0)</f>
        <v>45606</v>
      </c>
      <c r="C518" s="266" t="str">
        <f>IFERROR(__xludf.DUMMYFUNCTION("""COMPUTED_VALUE"""),"KYAI KONTONG")</f>
        <v>KYAI KONTONG</v>
      </c>
      <c r="D518" s="186">
        <f>IFERROR(__xludf.DUMMYFUNCTION("""COMPUTED_VALUE"""),1.0)</f>
        <v>1</v>
      </c>
    </row>
    <row r="519">
      <c r="A519" s="178" t="str">
        <f>IFERROR(__xludf.DUMMYFUNCTION("""COMPUTED_VALUE"""),"ITBISA-7SEGMENT-ANODE-RED-1.20-1BIT")</f>
        <v>ITBISA-7SEGMENT-ANODE-RED-1.20-1BIT</v>
      </c>
      <c r="B519" s="266">
        <f>IFERROR(__xludf.DUMMYFUNCTION("""COMPUTED_VALUE"""),45613.0)</f>
        <v>45613</v>
      </c>
      <c r="C519" s="266" t="str">
        <f>IFERROR(__xludf.DUMMYFUNCTION("""COMPUTED_VALUE"""),"KERTASARI CIAMIS")</f>
        <v>KERTASARI CIAMIS</v>
      </c>
      <c r="D519" s="186">
        <f>IFERROR(__xludf.DUMMYFUNCTION("""COMPUTED_VALUE"""),150.0)</f>
        <v>150</v>
      </c>
    </row>
    <row r="520">
      <c r="A520" s="178" t="str">
        <f>IFERROR(__xludf.DUMMYFUNCTION("""COMPUTED_VALUE"""),"ITBISA-7SEGMENT-ANODE-RED-1.20-1BIT")</f>
        <v>ITBISA-7SEGMENT-ANODE-RED-1.20-1BIT</v>
      </c>
      <c r="B520" s="266">
        <f>IFERROR(__xludf.DUMMYFUNCTION("""COMPUTED_VALUE"""),45616.0)</f>
        <v>45616</v>
      </c>
      <c r="C520" s="266" t="str">
        <f>IFERROR(__xludf.DUMMYFUNCTION("""COMPUTED_VALUE"""),"KYAI KONTONG")</f>
        <v>KYAI KONTONG</v>
      </c>
      <c r="D520" s="186">
        <f>IFERROR(__xludf.DUMMYFUNCTION("""COMPUTED_VALUE"""),6.0)</f>
        <v>6</v>
      </c>
    </row>
    <row r="521">
      <c r="A521" s="178" t="str">
        <f>IFERROR(__xludf.DUMMYFUNCTION("""COMPUTED_VALUE"""),"ITBISA-7SEGMENT-ANODE-RED-1.20-1BIT")</f>
        <v>ITBISA-7SEGMENT-ANODE-RED-1.20-1BIT</v>
      </c>
      <c r="B521" s="266">
        <f>IFERROR(__xludf.DUMMYFUNCTION("""COMPUTED_VALUE"""),45617.0)</f>
        <v>45617</v>
      </c>
      <c r="C521" s="266" t="str">
        <f>IFERROR(__xludf.DUMMYFUNCTION("""COMPUTED_VALUE"""),"KERTASARI CIAMIS")</f>
        <v>KERTASARI CIAMIS</v>
      </c>
      <c r="D521" s="186">
        <f>IFERROR(__xludf.DUMMYFUNCTION("""COMPUTED_VALUE"""),5.0)</f>
        <v>5</v>
      </c>
    </row>
    <row r="522">
      <c r="A522" s="178" t="str">
        <f>IFERROR(__xludf.DUMMYFUNCTION("""COMPUTED_VALUE"""),"ITBISA-7SEGMENT-ANODE-RED-1.20-1BIT")</f>
        <v>ITBISA-7SEGMENT-ANODE-RED-1.20-1BIT</v>
      </c>
      <c r="B522" s="266">
        <f>IFERROR(__xludf.DUMMYFUNCTION("""COMPUTED_VALUE"""),45619.0)</f>
        <v>45619</v>
      </c>
      <c r="C522" s="266" t="str">
        <f>IFERROR(__xludf.DUMMYFUNCTION("""COMPUTED_VALUE"""),"KYAI KONTONG")</f>
        <v>KYAI KONTONG</v>
      </c>
      <c r="D522" s="186">
        <f>IFERROR(__xludf.DUMMYFUNCTION("""COMPUTED_VALUE"""),75.0)</f>
        <v>75</v>
      </c>
    </row>
    <row r="523">
      <c r="A523" s="178" t="str">
        <f>IFERROR(__xludf.DUMMYFUNCTION("""COMPUTED_VALUE"""),"ITBISA-7SEGMENT-ANODE-RED-1.20-1BIT")</f>
        <v>ITBISA-7SEGMENT-ANODE-RED-1.20-1BIT</v>
      </c>
      <c r="B523" s="266">
        <f>IFERROR(__xludf.DUMMYFUNCTION("""COMPUTED_VALUE"""),45625.0)</f>
        <v>45625</v>
      </c>
      <c r="C523" s="266" t="str">
        <f>IFERROR(__xludf.DUMMYFUNCTION("""COMPUTED_VALUE"""),"KYAI KONTONG")</f>
        <v>KYAI KONTONG</v>
      </c>
      <c r="D523" s="186">
        <f>IFERROR(__xludf.DUMMYFUNCTION("""COMPUTED_VALUE"""),210.0)</f>
        <v>210</v>
      </c>
    </row>
    <row r="524">
      <c r="A524" s="178" t="str">
        <f>IFERROR(__xludf.DUMMYFUNCTION("""COMPUTED_VALUE"""),"ITBISA-7SEGMENT-ANODE-RED-1.20-1BIT")</f>
        <v>ITBISA-7SEGMENT-ANODE-RED-1.20-1BIT</v>
      </c>
      <c r="B524" s="266">
        <f>IFERROR(__xludf.DUMMYFUNCTION("""COMPUTED_VALUE"""),45626.0)</f>
        <v>45626</v>
      </c>
      <c r="C524" s="266" t="str">
        <f>IFERROR(__xludf.DUMMYFUNCTION("""COMPUTED_VALUE"""),"KERTASARI CIAMIS")</f>
        <v>KERTASARI CIAMIS</v>
      </c>
      <c r="D524" s="186">
        <f>IFERROR(__xludf.DUMMYFUNCTION("""COMPUTED_VALUE"""),150.0)</f>
        <v>150</v>
      </c>
    </row>
    <row r="525">
      <c r="A525" s="178" t="str">
        <f>IFERROR(__xludf.DUMMYFUNCTION("""COMPUTED_VALUE"""),"ITBISA-7SEGMENT-ANODE-RED-1.20-1BIT")</f>
        <v>ITBISA-7SEGMENT-ANODE-RED-1.20-1BIT</v>
      </c>
      <c r="B525" s="266">
        <f>IFERROR(__xludf.DUMMYFUNCTION("""COMPUTED_VALUE"""),45643.0)</f>
        <v>45643</v>
      </c>
      <c r="C525" s="266" t="str">
        <f>IFERROR(__xludf.DUMMYFUNCTION("""COMPUTED_VALUE"""),"KERTASARI CIAMIS")</f>
        <v>KERTASARI CIAMIS</v>
      </c>
      <c r="D525" s="186">
        <f>IFERROR(__xludf.DUMMYFUNCTION("""COMPUTED_VALUE"""),200.0)</f>
        <v>200</v>
      </c>
    </row>
    <row r="526">
      <c r="A526" s="178" t="str">
        <f>IFERROR(__xludf.DUMMYFUNCTION("""COMPUTED_VALUE"""),"ITBISA-7SEGMENT-ANODE-RED-1.20-1BIT")</f>
        <v>ITBISA-7SEGMENT-ANODE-RED-1.20-1BIT</v>
      </c>
      <c r="B526" s="266">
        <f>IFERROR(__xludf.DUMMYFUNCTION("""COMPUTED_VALUE"""),45643.0)</f>
        <v>45643</v>
      </c>
      <c r="C526" s="266" t="str">
        <f>IFERROR(__xludf.DUMMYFUNCTION("""COMPUTED_VALUE"""),"KYAI KONTONG")</f>
        <v>KYAI KONTONG</v>
      </c>
      <c r="D526" s="186">
        <f>IFERROR(__xludf.DUMMYFUNCTION("""COMPUTED_VALUE"""),40.0)</f>
        <v>40</v>
      </c>
    </row>
    <row r="527">
      <c r="A527" s="178" t="str">
        <f>IFERROR(__xludf.DUMMYFUNCTION("""COMPUTED_VALUE"""),"ITBISA-7SEGMENT-ANODE-RED-1.20-1BIT")</f>
        <v>ITBISA-7SEGMENT-ANODE-RED-1.20-1BIT</v>
      </c>
      <c r="B527" s="266">
        <f>IFERROR(__xludf.DUMMYFUNCTION("""COMPUTED_VALUE"""),45644.0)</f>
        <v>45644</v>
      </c>
      <c r="C527" s="266" t="str">
        <f>IFERROR(__xludf.DUMMYFUNCTION("""COMPUTED_VALUE"""),"KERTASARI CIAMIS")</f>
        <v>KERTASARI CIAMIS</v>
      </c>
      <c r="D527" s="186">
        <f>IFERROR(__xludf.DUMMYFUNCTION("""COMPUTED_VALUE"""),7.0)</f>
        <v>7</v>
      </c>
    </row>
    <row r="528">
      <c r="A528" s="178" t="str">
        <f>IFERROR(__xludf.DUMMYFUNCTION("""COMPUTED_VALUE"""),"ITBISA-7SEGMENT-ANODE-RED-1.20-1BIT")</f>
        <v>ITBISA-7SEGMENT-ANODE-RED-1.20-1BIT</v>
      </c>
      <c r="B528" s="266">
        <f>IFERROR(__xludf.DUMMYFUNCTION("""COMPUTED_VALUE"""),45644.0)</f>
        <v>45644</v>
      </c>
      <c r="C528" s="266" t="str">
        <f>IFERROR(__xludf.DUMMYFUNCTION("""COMPUTED_VALUE"""),"KERTASARI CIAMIS")</f>
        <v>KERTASARI CIAMIS</v>
      </c>
      <c r="D528" s="186">
        <f>IFERROR(__xludf.DUMMYFUNCTION("""COMPUTED_VALUE"""),100.0)</f>
        <v>100</v>
      </c>
    </row>
    <row r="529">
      <c r="A529" s="178" t="str">
        <f>IFERROR(__xludf.DUMMYFUNCTION("""COMPUTED_VALUE"""),"ITBISA-7SEGMENT-ANODE-RED-1.20-1BIT")</f>
        <v>ITBISA-7SEGMENT-ANODE-RED-1.20-1BIT</v>
      </c>
      <c r="B529" s="266">
        <f>IFERROR(__xludf.DUMMYFUNCTION("""COMPUTED_VALUE"""),45661.0)</f>
        <v>45661</v>
      </c>
      <c r="C529" s="266" t="str">
        <f>IFERROR(__xludf.DUMMYFUNCTION("""COMPUTED_VALUE"""),"KYAI KONTONG")</f>
        <v>KYAI KONTONG</v>
      </c>
      <c r="D529" s="186">
        <f>IFERROR(__xludf.DUMMYFUNCTION("""COMPUTED_VALUE"""),16.0)</f>
        <v>16</v>
      </c>
    </row>
    <row r="530">
      <c r="A530" s="178" t="str">
        <f>IFERROR(__xludf.DUMMYFUNCTION("""COMPUTED_VALUE"""),"ITBISA-7SEGMENT-ANODE-RED-1.20-1BIT")</f>
        <v>ITBISA-7SEGMENT-ANODE-RED-1.20-1BIT</v>
      </c>
      <c r="B530" s="266">
        <f>IFERROR(__xludf.DUMMYFUNCTION("""COMPUTED_VALUE"""),45662.0)</f>
        <v>45662</v>
      </c>
      <c r="C530" s="266" t="str">
        <f>IFERROR(__xludf.DUMMYFUNCTION("""COMPUTED_VALUE"""),"KERTASARI CIAMIS")</f>
        <v>KERTASARI CIAMIS</v>
      </c>
      <c r="D530" s="186">
        <f>IFERROR(__xludf.DUMMYFUNCTION("""COMPUTED_VALUE"""),10.0)</f>
        <v>10</v>
      </c>
    </row>
    <row r="531">
      <c r="A531" s="178" t="str">
        <f>IFERROR(__xludf.DUMMYFUNCTION("""COMPUTED_VALUE"""),"ITBISA-7SEGMENT-ANODE-RED-1.20-1BIT")</f>
        <v>ITBISA-7SEGMENT-ANODE-RED-1.20-1BIT</v>
      </c>
      <c r="B531" s="266">
        <f>IFERROR(__xludf.DUMMYFUNCTION("""COMPUTED_VALUE"""),45665.0)</f>
        <v>45665</v>
      </c>
      <c r="C531" s="266" t="str">
        <f>IFERROR(__xludf.DUMMYFUNCTION("""COMPUTED_VALUE"""),"KERTASARI CIAMIS")</f>
        <v>KERTASARI CIAMIS</v>
      </c>
      <c r="D531" s="186">
        <f>IFERROR(__xludf.DUMMYFUNCTION("""COMPUTED_VALUE"""),150.0)</f>
        <v>150</v>
      </c>
    </row>
    <row r="532">
      <c r="A532" s="178" t="str">
        <f>IFERROR(__xludf.DUMMYFUNCTION("""COMPUTED_VALUE"""),"ITBISA-7SEGMENT-ANODE-RED-1.20-1BIT")</f>
        <v>ITBISA-7SEGMENT-ANODE-RED-1.20-1BIT</v>
      </c>
      <c r="B532" s="266">
        <f>IFERROR(__xludf.DUMMYFUNCTION("""COMPUTED_VALUE"""),45679.0)</f>
        <v>45679</v>
      </c>
      <c r="C532" s="266" t="str">
        <f>IFERROR(__xludf.DUMMYFUNCTION("""COMPUTED_VALUE"""),"KERTASARI CIAMIS")</f>
        <v>KERTASARI CIAMIS</v>
      </c>
      <c r="D532" s="186">
        <f>IFERROR(__xludf.DUMMYFUNCTION("""COMPUTED_VALUE"""),90.0)</f>
        <v>90</v>
      </c>
    </row>
    <row r="533">
      <c r="A533" s="178" t="str">
        <f>IFERROR(__xludf.DUMMYFUNCTION("""COMPUTED_VALUE"""),"ITBISA-7SEGMENT-ANODE-RED-1.20-1BIT")</f>
        <v>ITBISA-7SEGMENT-ANODE-RED-1.20-1BIT</v>
      </c>
      <c r="B533" s="266">
        <f>IFERROR(__xludf.DUMMYFUNCTION("""COMPUTED_VALUE"""),45682.0)</f>
        <v>45682</v>
      </c>
      <c r="C533" s="266" t="str">
        <f>IFERROR(__xludf.DUMMYFUNCTION("""COMPUTED_VALUE"""),"KYAI KONTONG")</f>
        <v>KYAI KONTONG</v>
      </c>
      <c r="D533" s="186">
        <f>IFERROR(__xludf.DUMMYFUNCTION("""COMPUTED_VALUE"""),1.0)</f>
        <v>1</v>
      </c>
    </row>
    <row r="534">
      <c r="A534" s="178" t="str">
        <f>IFERROR(__xludf.DUMMYFUNCTION("""COMPUTED_VALUE"""),"ITBISA-7SEGMENT-ANODE-RED-1.20-1BIT")</f>
        <v>ITBISA-7SEGMENT-ANODE-RED-1.20-1BIT</v>
      </c>
      <c r="B534" s="266">
        <f>IFERROR(__xludf.DUMMYFUNCTION("""COMPUTED_VALUE"""),45691.0)</f>
        <v>45691</v>
      </c>
      <c r="C534" s="266" t="str">
        <f>IFERROR(__xludf.DUMMYFUNCTION("""COMPUTED_VALUE"""),"KERTASARI CIAMIS")</f>
        <v>KERTASARI CIAMIS</v>
      </c>
      <c r="D534" s="186">
        <f>IFERROR(__xludf.DUMMYFUNCTION("""COMPUTED_VALUE"""),120.0)</f>
        <v>120</v>
      </c>
    </row>
    <row r="535">
      <c r="A535" s="178" t="str">
        <f>IFERROR(__xludf.DUMMYFUNCTION("""COMPUTED_VALUE"""),"ITBISA-7SEGMENT-ANODE-RED-1.20-1BIT")</f>
        <v>ITBISA-7SEGMENT-ANODE-RED-1.20-1BIT</v>
      </c>
      <c r="B535" s="266">
        <f>IFERROR(__xludf.DUMMYFUNCTION("""COMPUTED_VALUE"""),45691.0)</f>
        <v>45691</v>
      </c>
      <c r="C535" s="266" t="str">
        <f>IFERROR(__xludf.DUMMYFUNCTION("""COMPUTED_VALUE"""),"KYAI KONTONG")</f>
        <v>KYAI KONTONG</v>
      </c>
      <c r="D535" s="186">
        <f>IFERROR(__xludf.DUMMYFUNCTION("""COMPUTED_VALUE"""),10.0)</f>
        <v>10</v>
      </c>
    </row>
    <row r="536">
      <c r="A536" s="178" t="str">
        <f>IFERROR(__xludf.DUMMYFUNCTION("""COMPUTED_VALUE"""),"ITBISA-7SEGMENT-ANODE-RED-1.20-1BIT")</f>
        <v>ITBISA-7SEGMENT-ANODE-RED-1.20-1BIT</v>
      </c>
      <c r="B536" s="266">
        <f>IFERROR(__xludf.DUMMYFUNCTION("""COMPUTED_VALUE"""),45693.0)</f>
        <v>45693</v>
      </c>
      <c r="C536" s="266" t="str">
        <f>IFERROR(__xludf.DUMMYFUNCTION("""COMPUTED_VALUE"""),"KERTASARI CIAMIS")</f>
        <v>KERTASARI CIAMIS</v>
      </c>
      <c r="D536" s="186">
        <f>IFERROR(__xludf.DUMMYFUNCTION("""COMPUTED_VALUE"""),15.0)</f>
        <v>15</v>
      </c>
    </row>
    <row r="537">
      <c r="A537" s="178" t="str">
        <f>IFERROR(__xludf.DUMMYFUNCTION("""COMPUTED_VALUE"""),"ITBISA-7SEGMENT-ANODE-RED-1.20-1BIT")</f>
        <v>ITBISA-7SEGMENT-ANODE-RED-1.20-1BIT</v>
      </c>
      <c r="B537" s="266">
        <f>IFERROR(__xludf.DUMMYFUNCTION("""COMPUTED_VALUE"""),45696.0)</f>
        <v>45696</v>
      </c>
      <c r="C537" s="266" t="str">
        <f>IFERROR(__xludf.DUMMYFUNCTION("""COMPUTED_VALUE"""),"KERTASARI CIAMIS")</f>
        <v>KERTASARI CIAMIS</v>
      </c>
      <c r="D537" s="186">
        <f>IFERROR(__xludf.DUMMYFUNCTION("""COMPUTED_VALUE"""),80.0)</f>
        <v>80</v>
      </c>
    </row>
    <row r="538">
      <c r="A538" s="178" t="str">
        <f>IFERROR(__xludf.DUMMYFUNCTION("""COMPUTED_VALUE"""),"ITBISA-7SEGMENT-ANODE-RED-1.20-1BIT")</f>
        <v>ITBISA-7SEGMENT-ANODE-RED-1.20-1BIT</v>
      </c>
      <c r="B538" s="266">
        <f>IFERROR(__xludf.DUMMYFUNCTION("""COMPUTED_VALUE"""),45699.0)</f>
        <v>45699</v>
      </c>
      <c r="C538" s="266" t="str">
        <f>IFERROR(__xludf.DUMMYFUNCTION("""COMPUTED_VALUE"""),"KERTASARI CIAMIS")</f>
        <v>KERTASARI CIAMIS</v>
      </c>
      <c r="D538" s="186">
        <f>IFERROR(__xludf.DUMMYFUNCTION("""COMPUTED_VALUE"""),120.0)</f>
        <v>120</v>
      </c>
    </row>
    <row r="539">
      <c r="A539" s="178" t="str">
        <f>IFERROR(__xludf.DUMMYFUNCTION("""COMPUTED_VALUE"""),"ITBISA-7SEGMENT-ANODE-RED-1.20-1BIT")</f>
        <v>ITBISA-7SEGMENT-ANODE-RED-1.20-1BIT</v>
      </c>
      <c r="B539" s="266">
        <f>IFERROR(__xludf.DUMMYFUNCTION("""COMPUTED_VALUE"""),45699.0)</f>
        <v>45699</v>
      </c>
      <c r="C539" s="266" t="str">
        <f>IFERROR(__xludf.DUMMYFUNCTION("""COMPUTED_VALUE"""),"KYAI KONTONG")</f>
        <v>KYAI KONTONG</v>
      </c>
      <c r="D539" s="186">
        <f>IFERROR(__xludf.DUMMYFUNCTION("""COMPUTED_VALUE"""),5.0)</f>
        <v>5</v>
      </c>
    </row>
    <row r="540">
      <c r="A540" s="178" t="str">
        <f>IFERROR(__xludf.DUMMYFUNCTION("""COMPUTED_VALUE"""),"ITBISA-7SEGMENT-ANODE-RED-1.20-1BIT")</f>
        <v>ITBISA-7SEGMENT-ANODE-RED-1.20-1BIT</v>
      </c>
      <c r="B540" s="266">
        <f>IFERROR(__xludf.DUMMYFUNCTION("""COMPUTED_VALUE"""),45723.0)</f>
        <v>45723</v>
      </c>
      <c r="C540" s="266" t="str">
        <f>IFERROR(__xludf.DUMMYFUNCTION("""COMPUTED_VALUE"""),"KERTASARI CIAMIS")</f>
        <v>KERTASARI CIAMIS</v>
      </c>
      <c r="D540" s="186">
        <f>IFERROR(__xludf.DUMMYFUNCTION("""COMPUTED_VALUE"""),30.0)</f>
        <v>30</v>
      </c>
    </row>
    <row r="541">
      <c r="A541" s="178" t="str">
        <f>IFERROR(__xludf.DUMMYFUNCTION("""COMPUTED_VALUE"""),"ITBISA-7SEGMENT-ANODE-RED-1.20-1BIT")</f>
        <v>ITBISA-7SEGMENT-ANODE-RED-1.20-1BIT</v>
      </c>
      <c r="B541" s="266">
        <f>IFERROR(__xludf.DUMMYFUNCTION("""COMPUTED_VALUE"""),45726.0)</f>
        <v>45726</v>
      </c>
      <c r="C541" s="266" t="str">
        <f>IFERROR(__xludf.DUMMYFUNCTION("""COMPUTED_VALUE"""),"KERTASARI CIAMIS")</f>
        <v>KERTASARI CIAMIS</v>
      </c>
      <c r="D541" s="186">
        <f>IFERROR(__xludf.DUMMYFUNCTION("""COMPUTED_VALUE"""),120.0)</f>
        <v>120</v>
      </c>
    </row>
    <row r="542">
      <c r="A542" s="178" t="str">
        <f>IFERROR(__xludf.DUMMYFUNCTION("""COMPUTED_VALUE"""),"ITBISA-7SEGMENT-ANODE-RED-1.20-1BIT")</f>
        <v>ITBISA-7SEGMENT-ANODE-RED-1.20-1BIT</v>
      </c>
      <c r="B542" s="266">
        <f>IFERROR(__xludf.DUMMYFUNCTION("""COMPUTED_VALUE"""),45736.0)</f>
        <v>45736</v>
      </c>
      <c r="C542" s="266" t="str">
        <f>IFERROR(__xludf.DUMMYFUNCTION("""COMPUTED_VALUE"""),"KERTASARI CIAMIS")</f>
        <v>KERTASARI CIAMIS</v>
      </c>
      <c r="D542" s="186">
        <f>IFERROR(__xludf.DUMMYFUNCTION("""COMPUTED_VALUE"""),105.0)</f>
        <v>105</v>
      </c>
    </row>
    <row r="543">
      <c r="A543" s="178" t="str">
        <f>IFERROR(__xludf.DUMMYFUNCTION("""COMPUTED_VALUE"""),"ITBISA-7SEGMENT-ANODE-RED-1.20-1BIT")</f>
        <v>ITBISA-7SEGMENT-ANODE-RED-1.20-1BIT</v>
      </c>
      <c r="B543" s="266">
        <f>IFERROR(__xludf.DUMMYFUNCTION("""COMPUTED_VALUE"""),45752.0)</f>
        <v>45752</v>
      </c>
      <c r="C543" s="266" t="str">
        <f>IFERROR(__xludf.DUMMYFUNCTION("""COMPUTED_VALUE"""),"KERTASARI CIAMIS")</f>
        <v>KERTASARI CIAMIS</v>
      </c>
      <c r="D543" s="186">
        <f>IFERROR(__xludf.DUMMYFUNCTION("""COMPUTED_VALUE"""),150.0)</f>
        <v>150</v>
      </c>
    </row>
    <row r="544">
      <c r="A544" s="178" t="str">
        <f>IFERROR(__xludf.DUMMYFUNCTION("""COMPUTED_VALUE"""),"ITBISA-7SEGMENT-ANODE-RED-1.20-1BIT")</f>
        <v>ITBISA-7SEGMENT-ANODE-RED-1.20-1BIT</v>
      </c>
      <c r="B544" s="266">
        <f>IFERROR(__xludf.DUMMYFUNCTION("""COMPUTED_VALUE"""),45762.0)</f>
        <v>45762</v>
      </c>
      <c r="C544" s="266" t="str">
        <f>IFERROR(__xludf.DUMMYFUNCTION("""COMPUTED_VALUE"""),"KERTASARI CIAMIS")</f>
        <v>KERTASARI CIAMIS</v>
      </c>
      <c r="D544" s="186">
        <f>IFERROR(__xludf.DUMMYFUNCTION("""COMPUTED_VALUE"""),75.0)</f>
        <v>75</v>
      </c>
    </row>
    <row r="545">
      <c r="A545" s="178" t="str">
        <f>IFERROR(__xludf.DUMMYFUNCTION("""COMPUTED_VALUE"""),"ITBISA-7SEGMENT-ANODE-RED-1.20-1BIT")</f>
        <v>ITBISA-7SEGMENT-ANODE-RED-1.20-1BIT</v>
      </c>
      <c r="B545" s="266">
        <f>IFERROR(__xludf.DUMMYFUNCTION("""COMPUTED_VALUE"""),45782.0)</f>
        <v>45782</v>
      </c>
      <c r="C545" s="266" t="str">
        <f>IFERROR(__xludf.DUMMYFUNCTION("""COMPUTED_VALUE"""),"KERTASARI CIAMIS")</f>
        <v>KERTASARI CIAMIS</v>
      </c>
      <c r="D545" s="186">
        <f>IFERROR(__xludf.DUMMYFUNCTION("""COMPUTED_VALUE"""),75.0)</f>
        <v>75</v>
      </c>
    </row>
    <row r="546">
      <c r="A546" s="178" t="str">
        <f>IFERROR(__xludf.DUMMYFUNCTION("""COMPUTED_VALUE"""),"ITBISA-7SEGMENT-ANODE-RED-1.20-1BIT")</f>
        <v>ITBISA-7SEGMENT-ANODE-RED-1.20-1BIT</v>
      </c>
      <c r="B546" s="266">
        <f>IFERROR(__xludf.DUMMYFUNCTION("""COMPUTED_VALUE"""),45787.0)</f>
        <v>45787</v>
      </c>
      <c r="C546" s="266" t="str">
        <f>IFERROR(__xludf.DUMMYFUNCTION("""COMPUTED_VALUE"""),"KERTASARI CIAMIS")</f>
        <v>KERTASARI CIAMIS</v>
      </c>
      <c r="D546" s="186">
        <f>IFERROR(__xludf.DUMMYFUNCTION("""COMPUTED_VALUE"""),75.0)</f>
        <v>75</v>
      </c>
    </row>
    <row r="547">
      <c r="A547" s="178" t="str">
        <f>IFERROR(__xludf.DUMMYFUNCTION("""COMPUTED_VALUE"""),"ITBISA-7SEGMENT-ANODE-RED-1.20-1BIT")</f>
        <v>ITBISA-7SEGMENT-ANODE-RED-1.20-1BIT</v>
      </c>
      <c r="B547" s="266">
        <f>IFERROR(__xludf.DUMMYFUNCTION("""COMPUTED_VALUE"""),45799.0)</f>
        <v>45799</v>
      </c>
      <c r="C547" s="266" t="str">
        <f>IFERROR(__xludf.DUMMYFUNCTION("""COMPUTED_VALUE"""),"KERTASARI CIAMIS")</f>
        <v>KERTASARI CIAMIS</v>
      </c>
      <c r="D547" s="186">
        <f>IFERROR(__xludf.DUMMYFUNCTION("""COMPUTED_VALUE"""),80.0)</f>
        <v>80</v>
      </c>
    </row>
    <row r="548">
      <c r="A548" s="178" t="str">
        <f>IFERROR(__xludf.DUMMYFUNCTION("""COMPUTED_VALUE"""),"ITBISA-7SEGMENT-ANODE-RED-1.20-1BIT")</f>
        <v>ITBISA-7SEGMENT-ANODE-RED-1.20-1BIT</v>
      </c>
      <c r="B548" s="266">
        <f>IFERROR(__xludf.DUMMYFUNCTION("""COMPUTED_VALUE"""),45799.0)</f>
        <v>45799</v>
      </c>
      <c r="C548" s="266" t="str">
        <f>IFERROR(__xludf.DUMMYFUNCTION("""COMPUTED_VALUE"""),"KYAI KONTONG")</f>
        <v>KYAI KONTONG</v>
      </c>
      <c r="D548" s="186">
        <f>IFERROR(__xludf.DUMMYFUNCTION("""COMPUTED_VALUE"""),5.0)</f>
        <v>5</v>
      </c>
    </row>
    <row r="549">
      <c r="A549" s="178" t="str">
        <f>IFERROR(__xludf.DUMMYFUNCTION("""COMPUTED_VALUE"""),"ITBISA-7SEGMENT-ANODE-RED-1.20-1BIT")</f>
        <v>ITBISA-7SEGMENT-ANODE-RED-1.20-1BIT</v>
      </c>
      <c r="B549" s="266">
        <f>IFERROR(__xludf.DUMMYFUNCTION("""COMPUTED_VALUE"""),45824.0)</f>
        <v>45824</v>
      </c>
      <c r="C549" s="266" t="str">
        <f>IFERROR(__xludf.DUMMYFUNCTION("""COMPUTED_VALUE"""),"KERTASARI CIAMIS")</f>
        <v>KERTASARI CIAMIS</v>
      </c>
      <c r="D549" s="186">
        <f>IFERROR(__xludf.DUMMYFUNCTION("""COMPUTED_VALUE"""),75.0)</f>
        <v>75</v>
      </c>
    </row>
    <row r="550">
      <c r="A550" s="178" t="str">
        <f>IFERROR(__xludf.DUMMYFUNCTION("""COMPUTED_VALUE"""),"ITBISA-7SEGMENT-ANODE-RED-1.20-1BIT")</f>
        <v>ITBISA-7SEGMENT-ANODE-RED-1.20-1BIT</v>
      </c>
      <c r="B550" s="266">
        <f>IFERROR(__xludf.DUMMYFUNCTION("""COMPUTED_VALUE"""),45844.0)</f>
        <v>45844</v>
      </c>
      <c r="C550" s="266" t="str">
        <f>IFERROR(__xludf.DUMMYFUNCTION("""COMPUTED_VALUE"""),"KERTASARI CIAMIS")</f>
        <v>KERTASARI CIAMIS</v>
      </c>
      <c r="D550" s="186">
        <f>IFERROR(__xludf.DUMMYFUNCTION("""COMPUTED_VALUE"""),90.0)</f>
        <v>90</v>
      </c>
    </row>
    <row r="551">
      <c r="A551" s="178" t="str">
        <f>IFERROR(__xludf.DUMMYFUNCTION("""COMPUTED_VALUE"""),"ITBISA-7SEGMENT-ANODE-RED-1.20-1BIT")</f>
        <v>ITBISA-7SEGMENT-ANODE-RED-1.20-1BIT</v>
      </c>
      <c r="B551" s="266">
        <f>IFERROR(__xludf.DUMMYFUNCTION("""COMPUTED_VALUE"""),45850.0)</f>
        <v>45850</v>
      </c>
      <c r="C551" s="266" t="str">
        <f>IFERROR(__xludf.DUMMYFUNCTION("""COMPUTED_VALUE"""),"KERTASARI CIAMIS")</f>
        <v>KERTASARI CIAMIS</v>
      </c>
      <c r="D551" s="186">
        <f>IFERROR(__xludf.DUMMYFUNCTION("""COMPUTED_VALUE"""),90.0)</f>
        <v>90</v>
      </c>
    </row>
    <row r="552">
      <c r="A552" s="178" t="str">
        <f>IFERROR(__xludf.DUMMYFUNCTION("""COMPUTED_VALUE"""),"ITBISA-7SEGMENT-ANODE-RED-1.20-1BIT")</f>
        <v>ITBISA-7SEGMENT-ANODE-RED-1.20-1BIT</v>
      </c>
      <c r="B552" s="266">
        <f>IFERROR(__xludf.DUMMYFUNCTION("""COMPUTED_VALUE"""),45857.0)</f>
        <v>45857</v>
      </c>
      <c r="C552" s="266" t="str">
        <f>IFERROR(__xludf.DUMMYFUNCTION("""COMPUTED_VALUE"""),"KYAI KONTONG")</f>
        <v>KYAI KONTONG</v>
      </c>
      <c r="D552" s="186">
        <f>IFERROR(__xludf.DUMMYFUNCTION("""COMPUTED_VALUE"""),150.0)</f>
        <v>150</v>
      </c>
    </row>
    <row r="553">
      <c r="A553" s="178" t="str">
        <f>IFERROR(__xludf.DUMMYFUNCTION("""COMPUTED_VALUE"""),"ITBISA-7SEGMENT-ANODE-RED-1.20-1BIT")</f>
        <v>ITBISA-7SEGMENT-ANODE-RED-1.20-1BIT</v>
      </c>
      <c r="B553" s="266">
        <f>IFERROR(__xludf.DUMMYFUNCTION("""COMPUTED_VALUE"""),45869.0)</f>
        <v>45869</v>
      </c>
      <c r="C553" s="266" t="str">
        <f>IFERROR(__xludf.DUMMYFUNCTION("""COMPUTED_VALUE"""),"KERTASARI CIAMIS")</f>
        <v>KERTASARI CIAMIS</v>
      </c>
      <c r="D553" s="186">
        <f>IFERROR(__xludf.DUMMYFUNCTION("""COMPUTED_VALUE"""),150.0)</f>
        <v>150</v>
      </c>
    </row>
    <row r="554">
      <c r="A554" s="178" t="str">
        <f>IFERROR(__xludf.DUMMYFUNCTION("""COMPUTED_VALUE"""),"ITBISA-7SEGMENT-ANODE-RED-1.20-1BIT")</f>
        <v>ITBISA-7SEGMENT-ANODE-RED-1.20-1BIT</v>
      </c>
      <c r="B554" s="266">
        <f>IFERROR(__xludf.DUMMYFUNCTION("""COMPUTED_VALUE"""),45890.0)</f>
        <v>45890</v>
      </c>
      <c r="C554" s="266" t="str">
        <f>IFERROR(__xludf.DUMMYFUNCTION("""COMPUTED_VALUE"""),"KERTASARI CIAMIS")</f>
        <v>KERTASARI CIAMIS</v>
      </c>
      <c r="D554" s="186">
        <f>IFERROR(__xludf.DUMMYFUNCTION("""COMPUTED_VALUE"""),75.0)</f>
        <v>75</v>
      </c>
    </row>
    <row r="555">
      <c r="A555" s="178" t="str">
        <f>IFERROR(__xludf.DUMMYFUNCTION("""COMPUTED_VALUE"""),"ITBISA-7SEGMENT-ANODE-RED-1.20-1BIT")</f>
        <v>ITBISA-7SEGMENT-ANODE-RED-1.20-1BIT</v>
      </c>
      <c r="B555" s="266">
        <f>IFERROR(__xludf.DUMMYFUNCTION("""COMPUTED_VALUE"""),45894.0)</f>
        <v>45894</v>
      </c>
      <c r="C555" s="266" t="str">
        <f>IFERROR(__xludf.DUMMYFUNCTION("""COMPUTED_VALUE"""),"KERTASARI CIAMIS")</f>
        <v>KERTASARI CIAMIS</v>
      </c>
      <c r="D555" s="186">
        <f>IFERROR(__xludf.DUMMYFUNCTION("""COMPUTED_VALUE"""),60.0)</f>
        <v>60</v>
      </c>
    </row>
    <row r="556">
      <c r="A556" s="178" t="str">
        <f>IFERROR(__xludf.DUMMYFUNCTION("""COMPUTED_VALUE"""),"ITBISA-7SEGMENT-ANODE-RED-1.20-1BIT")</f>
        <v>ITBISA-7SEGMENT-ANODE-RED-1.20-1BIT</v>
      </c>
      <c r="B556" s="266">
        <f>IFERROR(__xludf.DUMMYFUNCTION("""COMPUTED_VALUE"""),45895.0)</f>
        <v>45895</v>
      </c>
      <c r="C556" s="266" t="str">
        <f>IFERROR(__xludf.DUMMYFUNCTION("""COMPUTED_VALUE"""),"KERTASARI CIAMIS")</f>
        <v>KERTASARI CIAMIS</v>
      </c>
      <c r="D556" s="186">
        <f>IFERROR(__xludf.DUMMYFUNCTION("""COMPUTED_VALUE"""),165.0)</f>
        <v>165</v>
      </c>
    </row>
    <row r="557">
      <c r="A557" s="178" t="str">
        <f>IFERROR(__xludf.DUMMYFUNCTION("""COMPUTED_VALUE"""),"ITBISA-7SEGMENT-ANODE-RED-1.20-1BIT")</f>
        <v>ITBISA-7SEGMENT-ANODE-RED-1.20-1BIT</v>
      </c>
      <c r="B557" s="266">
        <f>IFERROR(__xludf.DUMMYFUNCTION("""COMPUTED_VALUE"""),45898.0)</f>
        <v>45898</v>
      </c>
      <c r="C557" s="266" t="str">
        <f>IFERROR(__xludf.DUMMYFUNCTION("""COMPUTED_VALUE"""),"KERTASARI CIAMIS")</f>
        <v>KERTASARI CIAMIS</v>
      </c>
      <c r="D557" s="186">
        <f>IFERROR(__xludf.DUMMYFUNCTION("""COMPUTED_VALUE"""),30.0)</f>
        <v>30</v>
      </c>
    </row>
    <row r="558">
      <c r="A558" s="178" t="str">
        <f>IFERROR(__xludf.DUMMYFUNCTION("""COMPUTED_VALUE"""),"ITBISA-7SEGMENT-ANODE-RED-1.20-1BIT")</f>
        <v>ITBISA-7SEGMENT-ANODE-RED-1.20-1BIT</v>
      </c>
      <c r="B558" s="266">
        <f>IFERROR(__xludf.DUMMYFUNCTION("""COMPUTED_VALUE"""),45917.0)</f>
        <v>45917</v>
      </c>
      <c r="C558" s="266" t="str">
        <f>IFERROR(__xludf.DUMMYFUNCTION("""COMPUTED_VALUE"""),"KERTASARI CIAMIS")</f>
        <v>KERTASARI CIAMIS</v>
      </c>
      <c r="D558" s="186">
        <f>IFERROR(__xludf.DUMMYFUNCTION("""COMPUTED_VALUE"""),5.0)</f>
        <v>5</v>
      </c>
    </row>
    <row r="559">
      <c r="A559" s="178" t="str">
        <f>IFERROR(__xludf.DUMMYFUNCTION("""COMPUTED_VALUE"""),"ITBISA-7SEGMENT-ANODE-RED-1.20-1BIT")</f>
        <v>ITBISA-7SEGMENT-ANODE-RED-1.20-1BIT</v>
      </c>
      <c r="B559" s="266">
        <f>IFERROR(__xludf.DUMMYFUNCTION("""COMPUTED_VALUE"""),45918.0)</f>
        <v>45918</v>
      </c>
      <c r="C559" s="266" t="str">
        <f>IFERROR(__xludf.DUMMYFUNCTION("""COMPUTED_VALUE"""),"KERTASARI CIAMIS")</f>
        <v>KERTASARI CIAMIS</v>
      </c>
      <c r="D559" s="186">
        <f>IFERROR(__xludf.DUMMYFUNCTION("""COMPUTED_VALUE"""),5.0)</f>
        <v>5</v>
      </c>
    </row>
    <row r="560">
      <c r="A560" s="178" t="str">
        <f>IFERROR(__xludf.DUMMYFUNCTION("""COMPUTED_VALUE"""),"ITBISA-7SEGMENT-ANODE-RED-1.20-1BIT")</f>
        <v>ITBISA-7SEGMENT-ANODE-RED-1.20-1BIT</v>
      </c>
      <c r="B560" s="266">
        <f>IFERROR(__xludf.DUMMYFUNCTION("""COMPUTED_VALUE"""),45925.0)</f>
        <v>45925</v>
      </c>
      <c r="C560" s="266" t="str">
        <f>IFERROR(__xludf.DUMMYFUNCTION("""COMPUTED_VALUE"""),"KERTASARI CIAMIS")</f>
        <v>KERTASARI CIAMIS</v>
      </c>
      <c r="D560" s="186">
        <f>IFERROR(__xludf.DUMMYFUNCTION("""COMPUTED_VALUE"""),20.0)</f>
        <v>20</v>
      </c>
    </row>
    <row r="561">
      <c r="A561" s="178" t="str">
        <f>IFERROR(__xludf.DUMMYFUNCTION("""COMPUTED_VALUE"""),"ITBISA-7SEGMENT-ANODE-RED-1.20-1BIT")</f>
        <v>ITBISA-7SEGMENT-ANODE-RED-1.20-1BIT</v>
      </c>
      <c r="B561" s="266">
        <f>IFERROR(__xludf.DUMMYFUNCTION("""COMPUTED_VALUE"""),45931.0)</f>
        <v>45931</v>
      </c>
      <c r="C561" s="266" t="str">
        <f>IFERROR(__xludf.DUMMYFUNCTION("""COMPUTED_VALUE"""),"KYAI KONTONG")</f>
        <v>KYAI KONTONG</v>
      </c>
      <c r="D561" s="186">
        <f>IFERROR(__xludf.DUMMYFUNCTION("""COMPUTED_VALUE"""),5.0)</f>
        <v>5</v>
      </c>
    </row>
    <row r="562">
      <c r="A562" s="178" t="str">
        <f>IFERROR(__xludf.DUMMYFUNCTION("""COMPUTED_VALUE"""),"ITBISA-7SEGMENT-ANODE-RED-1.20-1BIT")</f>
        <v>ITBISA-7SEGMENT-ANODE-RED-1.20-1BIT</v>
      </c>
      <c r="B562" s="266">
        <f>IFERROR(__xludf.DUMMYFUNCTION("""COMPUTED_VALUE"""),45939.0)</f>
        <v>45939</v>
      </c>
      <c r="C562" s="266" t="str">
        <f>IFERROR(__xludf.DUMMYFUNCTION("""COMPUTED_VALUE"""),"KERTASARI CIAMIS")</f>
        <v>KERTASARI CIAMIS</v>
      </c>
      <c r="D562" s="186">
        <f>IFERROR(__xludf.DUMMYFUNCTION("""COMPUTED_VALUE"""),75.0)</f>
        <v>75</v>
      </c>
    </row>
    <row r="563">
      <c r="A563" s="178" t="str">
        <f>IFERROR(__xludf.DUMMYFUNCTION("""COMPUTED_VALUE"""),"ITBISA-7SEGMENT-ANODE-RED-1.20-1BIT")</f>
        <v>ITBISA-7SEGMENT-ANODE-RED-1.20-1BIT</v>
      </c>
      <c r="B563" s="266">
        <f>IFERROR(__xludf.DUMMYFUNCTION("""COMPUTED_VALUE"""),45946.0)</f>
        <v>45946</v>
      </c>
      <c r="C563" s="266" t="str">
        <f>IFERROR(__xludf.DUMMYFUNCTION("""COMPUTED_VALUE"""),"KYAI KONTONG")</f>
        <v>KYAI KONTONG</v>
      </c>
      <c r="D563" s="186">
        <f>IFERROR(__xludf.DUMMYFUNCTION("""COMPUTED_VALUE"""),11.0)</f>
        <v>11</v>
      </c>
    </row>
    <row r="564">
      <c r="A564" s="178" t="str">
        <f>IFERROR(__xludf.DUMMYFUNCTION("""COMPUTED_VALUE"""),"ITBISA-7SEGMENT-ANODE-RED-1.20-1BIT")</f>
        <v>ITBISA-7SEGMENT-ANODE-RED-1.20-1BIT</v>
      </c>
      <c r="B564" s="266">
        <f>IFERROR(__xludf.DUMMYFUNCTION("""COMPUTED_VALUE"""),45956.0)</f>
        <v>45956</v>
      </c>
      <c r="C564" s="266" t="str">
        <f>IFERROR(__xludf.DUMMYFUNCTION("""COMPUTED_VALUE"""),"KERTASARI CIAMIS")</f>
        <v>KERTASARI CIAMIS</v>
      </c>
      <c r="D564" s="186">
        <f>IFERROR(__xludf.DUMMYFUNCTION("""COMPUTED_VALUE"""),90.0)</f>
        <v>90</v>
      </c>
    </row>
    <row r="565">
      <c r="A565" s="178" t="str">
        <f>IFERROR(__xludf.DUMMYFUNCTION("""COMPUTED_VALUE"""),"ITBISA-7SEGMENT-ANODE-RED-1.20-1BIT")</f>
        <v>ITBISA-7SEGMENT-ANODE-RED-1.20-1BIT</v>
      </c>
      <c r="B565" s="266">
        <f>IFERROR(__xludf.DUMMYFUNCTION("""COMPUTED_VALUE"""),45962.0)</f>
        <v>45962</v>
      </c>
      <c r="C565" s="266" t="str">
        <f>IFERROR(__xludf.DUMMYFUNCTION("""COMPUTED_VALUE"""),"KERTASARI CIAMIS")</f>
        <v>KERTASARI CIAMIS</v>
      </c>
      <c r="D565" s="186">
        <f>IFERROR(__xludf.DUMMYFUNCTION("""COMPUTED_VALUE"""),15.0)</f>
        <v>15</v>
      </c>
    </row>
    <row r="566">
      <c r="A566" s="178" t="str">
        <f>IFERROR(__xludf.DUMMYFUNCTION("""COMPUTED_VALUE"""),"ITBISA-7SEGMENT-ANODE-RED-1.20-1BIT")</f>
        <v>ITBISA-7SEGMENT-ANODE-RED-1.20-1BIT</v>
      </c>
      <c r="B566" s="266">
        <f>IFERROR(__xludf.DUMMYFUNCTION("""COMPUTED_VALUE"""),45962.0)</f>
        <v>45962</v>
      </c>
      <c r="C566" s="266" t="str">
        <f>IFERROR(__xludf.DUMMYFUNCTION("""COMPUTED_VALUE"""),"KERTASARI CIAMIS")</f>
        <v>KERTASARI CIAMIS</v>
      </c>
      <c r="D566" s="186">
        <f>IFERROR(__xludf.DUMMYFUNCTION("""COMPUTED_VALUE"""),90.0)</f>
        <v>90</v>
      </c>
    </row>
    <row r="567">
      <c r="A567" s="178" t="str">
        <f>IFERROR(__xludf.DUMMYFUNCTION("""COMPUTED_VALUE"""),"ITBISA-7SEGMENT-ANODE-RED-1.20-1BIT")</f>
        <v>ITBISA-7SEGMENT-ANODE-RED-1.20-1BIT</v>
      </c>
      <c r="B567" s="266">
        <f>IFERROR(__xludf.DUMMYFUNCTION("""COMPUTED_VALUE"""),45970.0)</f>
        <v>45970</v>
      </c>
      <c r="C567" s="266" t="str">
        <f>IFERROR(__xludf.DUMMYFUNCTION("""COMPUTED_VALUE"""),"KERTASARI CIAMIS")</f>
        <v>KERTASARI CIAMIS</v>
      </c>
      <c r="D567" s="186">
        <f>IFERROR(__xludf.DUMMYFUNCTION("""COMPUTED_VALUE"""),5.0)</f>
        <v>5</v>
      </c>
    </row>
    <row r="568">
      <c r="A568" s="178" t="str">
        <f>IFERROR(__xludf.DUMMYFUNCTION("""COMPUTED_VALUE"""),"ITBISA-7SEGMENT-ANODE-RED-1.20-1BIT")</f>
        <v>ITBISA-7SEGMENT-ANODE-RED-1.20-1BIT</v>
      </c>
      <c r="B568" s="266">
        <f>IFERROR(__xludf.DUMMYFUNCTION("""COMPUTED_VALUE"""),45973.0)</f>
        <v>45973</v>
      </c>
      <c r="C568" s="266" t="str">
        <f>IFERROR(__xludf.DUMMYFUNCTION("""COMPUTED_VALUE"""),"KERTASARI CIAMIS")</f>
        <v>KERTASARI CIAMIS</v>
      </c>
      <c r="D568" s="186">
        <f>IFERROR(__xludf.DUMMYFUNCTION("""COMPUTED_VALUE"""),5.0)</f>
        <v>5</v>
      </c>
    </row>
    <row r="569">
      <c r="A569" s="178" t="str">
        <f>IFERROR(__xludf.DUMMYFUNCTION("""COMPUTED_VALUE"""),"ITBISA-7SEGMENT-ANODE-RED-1.20-1BIT")</f>
        <v>ITBISA-7SEGMENT-ANODE-RED-1.20-1BIT</v>
      </c>
      <c r="B569" s="266">
        <f>IFERROR(__xludf.DUMMYFUNCTION("""COMPUTED_VALUE"""),45979.0)</f>
        <v>45979</v>
      </c>
      <c r="C569" s="266" t="str">
        <f>IFERROR(__xludf.DUMMYFUNCTION("""COMPUTED_VALUE"""),"KYAI KONTONG")</f>
        <v>KYAI KONTONG</v>
      </c>
      <c r="D569" s="186">
        <f>IFERROR(__xludf.DUMMYFUNCTION("""COMPUTED_VALUE"""),5.0)</f>
        <v>5</v>
      </c>
    </row>
    <row r="570">
      <c r="A570" s="178" t="str">
        <f>IFERROR(__xludf.DUMMYFUNCTION("""COMPUTED_VALUE"""),"ITBISA-7SEGMENT-ANODE-RED-1.20-1BIT")</f>
        <v>ITBISA-7SEGMENT-ANODE-RED-1.20-1BIT</v>
      </c>
      <c r="B570" s="266">
        <f>IFERROR(__xludf.DUMMYFUNCTION("""COMPUTED_VALUE"""),45984.0)</f>
        <v>45984</v>
      </c>
      <c r="C570" s="266" t="str">
        <f>IFERROR(__xludf.DUMMYFUNCTION("""COMPUTED_VALUE"""),"KERTASARI CIAMIS")</f>
        <v>KERTASARI CIAMIS</v>
      </c>
      <c r="D570" s="186">
        <f>IFERROR(__xludf.DUMMYFUNCTION("""COMPUTED_VALUE"""),5.0)</f>
        <v>5</v>
      </c>
    </row>
    <row r="571">
      <c r="A571" s="178" t="str">
        <f>IFERROR(__xludf.DUMMYFUNCTION("""COMPUTED_VALUE"""),"ITBISA-7SEGMENT-ANODE-RED-1.20-1BIT")</f>
        <v>ITBISA-7SEGMENT-ANODE-RED-1.20-1BIT</v>
      </c>
      <c r="B571" s="266">
        <f>IFERROR(__xludf.DUMMYFUNCTION("""COMPUTED_VALUE"""),45990.0)</f>
        <v>45990</v>
      </c>
      <c r="C571" s="266" t="str">
        <f>IFERROR(__xludf.DUMMYFUNCTION("""COMPUTED_VALUE"""),"KYAI KONTONG")</f>
        <v>KYAI KONTONG</v>
      </c>
      <c r="D571" s="186">
        <f>IFERROR(__xludf.DUMMYFUNCTION("""COMPUTED_VALUE"""),6.0)</f>
        <v>6</v>
      </c>
    </row>
    <row r="572">
      <c r="A572" s="178" t="str">
        <f>IFERROR(__xludf.DUMMYFUNCTION("""COMPUTED_VALUE"""),"ITBISA-7SEGMENT-ANODE-RED-1.20-1BIT")</f>
        <v>ITBISA-7SEGMENT-ANODE-RED-1.20-1BIT</v>
      </c>
      <c r="B572" s="266">
        <f>IFERROR(__xludf.DUMMYFUNCTION("""COMPUTED_VALUE"""),46000.0)</f>
        <v>46000</v>
      </c>
      <c r="C572" s="266" t="str">
        <f>IFERROR(__xludf.DUMMYFUNCTION("""COMPUTED_VALUE"""),"KYAI KONTONG")</f>
        <v>KYAI KONTONG</v>
      </c>
      <c r="D572" s="186">
        <f>IFERROR(__xludf.DUMMYFUNCTION("""COMPUTED_VALUE"""),30.0)</f>
        <v>30</v>
      </c>
    </row>
    <row r="573">
      <c r="A573" s="178" t="str">
        <f>IFERROR(__xludf.DUMMYFUNCTION("""COMPUTED_VALUE"""),"ITBISA-7SEGMENT-ANODE-RED-1.20-1BIT")</f>
        <v>ITBISA-7SEGMENT-ANODE-RED-1.20-1BIT</v>
      </c>
      <c r="B573" s="266">
        <f>IFERROR(__xludf.DUMMYFUNCTION("""COMPUTED_VALUE"""),46003.0)</f>
        <v>46003</v>
      </c>
      <c r="C573" s="266" t="str">
        <f>IFERROR(__xludf.DUMMYFUNCTION("""COMPUTED_VALUE"""),"KYAI KONTONG")</f>
        <v>KYAI KONTONG</v>
      </c>
      <c r="D573" s="186">
        <f>IFERROR(__xludf.DUMMYFUNCTION("""COMPUTED_VALUE"""),10.0)</f>
        <v>10</v>
      </c>
    </row>
    <row r="574">
      <c r="A574" s="178" t="str">
        <f>IFERROR(__xludf.DUMMYFUNCTION("""COMPUTED_VALUE"""),"ITBISA-7SEGMENT-ANODE-RED-1.20-1BIT")</f>
        <v>ITBISA-7SEGMENT-ANODE-RED-1.20-1BIT</v>
      </c>
      <c r="B574" s="266">
        <f>IFERROR(__xludf.DUMMYFUNCTION("""COMPUTED_VALUE"""),46006.0)</f>
        <v>46006</v>
      </c>
      <c r="C574" s="266" t="str">
        <f>IFERROR(__xludf.DUMMYFUNCTION("""COMPUTED_VALUE"""),"KYAI KONTONG")</f>
        <v>KYAI KONTONG</v>
      </c>
      <c r="D574" s="186">
        <f>IFERROR(__xludf.DUMMYFUNCTION("""COMPUTED_VALUE"""),15.0)</f>
        <v>15</v>
      </c>
    </row>
    <row r="575">
      <c r="A575" s="178" t="str">
        <f>IFERROR(__xludf.DUMMYFUNCTION("""COMPUTED_VALUE"""),"ITBISA-7SEGMENT-ANODE-RED-2.30-1BIT")</f>
        <v>ITBISA-7SEGMENT-ANODE-RED-2.30-1BIT</v>
      </c>
      <c r="B575" s="266">
        <f>IFERROR(__xludf.DUMMYFUNCTION("""COMPUTED_VALUE"""),43593.0)</f>
        <v>43593</v>
      </c>
      <c r="C575" s="266" t="str">
        <f>IFERROR(__xludf.DUMMYFUNCTION("""COMPUTED_VALUE"""),"AVRG ITB")</f>
        <v>AVRG ITB</v>
      </c>
      <c r="D575" s="186">
        <f>IFERROR(__xludf.DUMMYFUNCTION("""COMPUTED_VALUE"""),1.0)</f>
        <v>1</v>
      </c>
    </row>
    <row r="576">
      <c r="A576" s="178" t="str">
        <f>IFERROR(__xludf.DUMMYFUNCTION("""COMPUTED_VALUE"""),"ITBISA-7SEGMENT-ANODE-RED-2.30-1BIT")</f>
        <v>ITBISA-7SEGMENT-ANODE-RED-2.30-1BIT</v>
      </c>
      <c r="B576" s="266">
        <f>IFERROR(__xludf.DUMMYFUNCTION("""COMPUTED_VALUE"""),43593.0)</f>
        <v>43593</v>
      </c>
      <c r="C576" s="266" t="str">
        <f>IFERROR(__xludf.DUMMYFUNCTION("""COMPUTED_VALUE"""),"AVRG ITB")</f>
        <v>AVRG ITB</v>
      </c>
      <c r="D576" s="186">
        <f>IFERROR(__xludf.DUMMYFUNCTION("""COMPUTED_VALUE"""),1.0)</f>
        <v>1</v>
      </c>
    </row>
    <row r="577">
      <c r="A577" s="178" t="str">
        <f>IFERROR(__xludf.DUMMYFUNCTION("""COMPUTED_VALUE"""),"ITBISA-7SEGMENT-ANODE-RED-2.30-1BIT")</f>
        <v>ITBISA-7SEGMENT-ANODE-RED-2.30-1BIT</v>
      </c>
      <c r="B577" s="266">
        <f>IFERROR(__xludf.DUMMYFUNCTION("""COMPUTED_VALUE"""),43593.0)</f>
        <v>43593</v>
      </c>
      <c r="C577" s="266" t="str">
        <f>IFERROR(__xludf.DUMMYFUNCTION("""COMPUTED_VALUE"""),"AVRG ITB")</f>
        <v>AVRG ITB</v>
      </c>
      <c r="D577" s="186">
        <f>IFERROR(__xludf.DUMMYFUNCTION("""COMPUTED_VALUE"""),1.0)</f>
        <v>1</v>
      </c>
    </row>
    <row r="578">
      <c r="A578" s="178" t="str">
        <f>IFERROR(__xludf.DUMMYFUNCTION("""COMPUTED_VALUE"""),"ITBISA-7SEGMENT-ANODE-RED-2.30-1BIT")</f>
        <v>ITBISA-7SEGMENT-ANODE-RED-2.30-1BIT</v>
      </c>
      <c r="B578" s="266">
        <f>IFERROR(__xludf.DUMMYFUNCTION("""COMPUTED_VALUE"""),43596.0)</f>
        <v>43596</v>
      </c>
      <c r="C578" s="266" t="str">
        <f>IFERROR(__xludf.DUMMYFUNCTION("""COMPUTED_VALUE"""),"AVRG ITB")</f>
        <v>AVRG ITB</v>
      </c>
      <c r="D578" s="186">
        <f>IFERROR(__xludf.DUMMYFUNCTION("""COMPUTED_VALUE"""),7.0)</f>
        <v>7</v>
      </c>
    </row>
    <row r="579">
      <c r="A579" s="178" t="str">
        <f>IFERROR(__xludf.DUMMYFUNCTION("""COMPUTED_VALUE"""),"ITBISA-7SEGMENT-ANODE-RED-2.30-1BIT")</f>
        <v>ITBISA-7SEGMENT-ANODE-RED-2.30-1BIT</v>
      </c>
      <c r="B579" s="266">
        <f>IFERROR(__xludf.DUMMYFUNCTION("""COMPUTED_VALUE"""),43607.0)</f>
        <v>43607</v>
      </c>
      <c r="C579" s="266" t="str">
        <f>IFERROR(__xludf.DUMMYFUNCTION("""COMPUTED_VALUE"""),"AVRG ITB")</f>
        <v>AVRG ITB</v>
      </c>
      <c r="D579" s="186">
        <f>IFERROR(__xludf.DUMMYFUNCTION("""COMPUTED_VALUE"""),10.0)</f>
        <v>10</v>
      </c>
    </row>
    <row r="580">
      <c r="A580" s="178" t="str">
        <f>IFERROR(__xludf.DUMMYFUNCTION("""COMPUTED_VALUE"""),"ITBISA-7SEGMENT-ANODE-RED-2.30-1BIT")</f>
        <v>ITBISA-7SEGMENT-ANODE-RED-2.30-1BIT</v>
      </c>
      <c r="B580" s="266">
        <f>IFERROR(__xludf.DUMMYFUNCTION("""COMPUTED_VALUE"""),43732.0)</f>
        <v>43732</v>
      </c>
      <c r="C580" s="266" t="str">
        <f>IFERROR(__xludf.DUMMYFUNCTION("""COMPUTED_VALUE"""),"RUMAH MUZAKKI")</f>
        <v>RUMAH MUZAKKI</v>
      </c>
      <c r="D580" s="186">
        <f>IFERROR(__xludf.DUMMYFUNCTION("""COMPUTED_VALUE"""),1.0)</f>
        <v>1</v>
      </c>
    </row>
    <row r="581">
      <c r="A581" s="178" t="str">
        <f>IFERROR(__xludf.DUMMYFUNCTION("""COMPUTED_VALUE"""),"ITBISA-7SEGMENT-ANODE-RED-2.30-1BIT")</f>
        <v>ITBISA-7SEGMENT-ANODE-RED-2.30-1BIT</v>
      </c>
      <c r="B581" s="266">
        <f>IFERROR(__xludf.DUMMYFUNCTION("""COMPUTED_VALUE"""),43733.0)</f>
        <v>43733</v>
      </c>
      <c r="C581" s="266" t="str">
        <f>IFERROR(__xludf.DUMMYFUNCTION("""COMPUTED_VALUE"""),"RUMAH MUZAKKI")</f>
        <v>RUMAH MUZAKKI</v>
      </c>
      <c r="D581" s="186">
        <f>IFERROR(__xludf.DUMMYFUNCTION("""COMPUTED_VALUE"""),1.0)</f>
        <v>1</v>
      </c>
    </row>
    <row r="582">
      <c r="A582" s="178" t="str">
        <f>IFERROR(__xludf.DUMMYFUNCTION("""COMPUTED_VALUE"""),"ITBISA-7SEGMENT-ANODE-RED-2.30-1BIT")</f>
        <v>ITBISA-7SEGMENT-ANODE-RED-2.30-1BIT</v>
      </c>
      <c r="B582" s="266">
        <f>IFERROR(__xludf.DUMMYFUNCTION("""COMPUTED_VALUE"""),45349.0)</f>
        <v>45349</v>
      </c>
      <c r="C582" s="266" t="str">
        <f>IFERROR(__xludf.DUMMYFUNCTION("""COMPUTED_VALUE"""),"KYAI KONTONG")</f>
        <v>KYAI KONTONG</v>
      </c>
      <c r="D582" s="186">
        <f>IFERROR(__xludf.DUMMYFUNCTION("""COMPUTED_VALUE"""),3.0)</f>
        <v>3</v>
      </c>
    </row>
    <row r="583">
      <c r="A583" s="178" t="str">
        <f>IFERROR(__xludf.DUMMYFUNCTION("""COMPUTED_VALUE"""),"ITBISA-7SEGMENT-ANODE-RED-2.30-1BIT")</f>
        <v>ITBISA-7SEGMENT-ANODE-RED-2.30-1BIT</v>
      </c>
      <c r="B583" s="266">
        <f>IFERROR(__xludf.DUMMYFUNCTION("""COMPUTED_VALUE"""),45355.0)</f>
        <v>45355</v>
      </c>
      <c r="C583" s="266" t="str">
        <f>IFERROR(__xludf.DUMMYFUNCTION("""COMPUTED_VALUE"""),"KERTASARI CIAMIS")</f>
        <v>KERTASARI CIAMIS</v>
      </c>
      <c r="D583" s="186">
        <f>IFERROR(__xludf.DUMMYFUNCTION("""COMPUTED_VALUE"""),4.0)</f>
        <v>4</v>
      </c>
    </row>
    <row r="584">
      <c r="A584" s="178" t="str">
        <f>IFERROR(__xludf.DUMMYFUNCTION("""COMPUTED_VALUE"""),"ITBISA-7SEGMENT-ANODE-RED-2.30-1BIT")</f>
        <v>ITBISA-7SEGMENT-ANODE-RED-2.30-1BIT</v>
      </c>
      <c r="B584" s="266">
        <f>IFERROR(__xludf.DUMMYFUNCTION("""COMPUTED_VALUE"""),45359.0)</f>
        <v>45359</v>
      </c>
      <c r="C584" s="266" t="str">
        <f>IFERROR(__xludf.DUMMYFUNCTION("""COMPUTED_VALUE"""),"KERTASARI CIAMIS")</f>
        <v>KERTASARI CIAMIS</v>
      </c>
      <c r="D584" s="186">
        <f>IFERROR(__xludf.DUMMYFUNCTION("""COMPUTED_VALUE"""),8.0)</f>
        <v>8</v>
      </c>
    </row>
    <row r="585">
      <c r="A585" s="178" t="str">
        <f>IFERROR(__xludf.DUMMYFUNCTION("""COMPUTED_VALUE"""),"ITBISA-7SEGMENT-ANODE-RED-2.30-1BIT")</f>
        <v>ITBISA-7SEGMENT-ANODE-RED-2.30-1BIT</v>
      </c>
      <c r="B585" s="266">
        <f>IFERROR(__xludf.DUMMYFUNCTION("""COMPUTED_VALUE"""),45363.0)</f>
        <v>45363</v>
      </c>
      <c r="C585" s="266" t="str">
        <f>IFERROR(__xludf.DUMMYFUNCTION("""COMPUTED_VALUE"""),"KYAI KONTONG")</f>
        <v>KYAI KONTONG</v>
      </c>
      <c r="D585" s="186">
        <f>IFERROR(__xludf.DUMMYFUNCTION("""COMPUTED_VALUE"""),1.0)</f>
        <v>1</v>
      </c>
    </row>
    <row r="586">
      <c r="A586" s="178" t="str">
        <f>IFERROR(__xludf.DUMMYFUNCTION("""COMPUTED_VALUE"""),"ITBISA-7SEGMENT-ANODE-RED-2.30-1BIT")</f>
        <v>ITBISA-7SEGMENT-ANODE-RED-2.30-1BIT</v>
      </c>
      <c r="B586" s="266">
        <f>IFERROR(__xludf.DUMMYFUNCTION("""COMPUTED_VALUE"""),45366.0)</f>
        <v>45366</v>
      </c>
      <c r="C586" s="266" t="str">
        <f>IFERROR(__xludf.DUMMYFUNCTION("""COMPUTED_VALUE"""),"KYAI KONTONG")</f>
        <v>KYAI KONTONG</v>
      </c>
      <c r="D586" s="186">
        <f>IFERROR(__xludf.DUMMYFUNCTION("""COMPUTED_VALUE"""),4.0)</f>
        <v>4</v>
      </c>
    </row>
    <row r="587">
      <c r="A587" s="178" t="str">
        <f>IFERROR(__xludf.DUMMYFUNCTION("""COMPUTED_VALUE"""),"ITBISA-7SEGMENT-ANODE-RED-2.30-1BIT")</f>
        <v>ITBISA-7SEGMENT-ANODE-RED-2.30-1BIT</v>
      </c>
      <c r="B587" s="266">
        <f>IFERROR(__xludf.DUMMYFUNCTION("""COMPUTED_VALUE"""),45417.0)</f>
        <v>45417</v>
      </c>
      <c r="C587" s="266" t="str">
        <f>IFERROR(__xludf.DUMMYFUNCTION("""COMPUTED_VALUE"""),"KYAI KONTONG")</f>
        <v>KYAI KONTONG</v>
      </c>
      <c r="D587" s="186">
        <f>IFERROR(__xludf.DUMMYFUNCTION("""COMPUTED_VALUE"""),2.0)</f>
        <v>2</v>
      </c>
    </row>
    <row r="588">
      <c r="A588" s="178" t="str">
        <f>IFERROR(__xludf.DUMMYFUNCTION("""COMPUTED_VALUE"""),"ITBISA-7SEGMENT-ANODE-RED-2.30-1BIT")</f>
        <v>ITBISA-7SEGMENT-ANODE-RED-2.30-1BIT</v>
      </c>
      <c r="B588" s="266">
        <f>IFERROR(__xludf.DUMMYFUNCTION("""COMPUTED_VALUE"""),45425.0)</f>
        <v>45425</v>
      </c>
      <c r="C588" s="266" t="str">
        <f>IFERROR(__xludf.DUMMYFUNCTION("""COMPUTED_VALUE"""),"KYAI KONTONG")</f>
        <v>KYAI KONTONG</v>
      </c>
      <c r="D588" s="186">
        <f>IFERROR(__xludf.DUMMYFUNCTION("""COMPUTED_VALUE"""),8.0)</f>
        <v>8</v>
      </c>
    </row>
    <row r="589">
      <c r="A589" s="178" t="str">
        <f>IFERROR(__xludf.DUMMYFUNCTION("""COMPUTED_VALUE"""),"ITBISA-7SEGMENT-ANODE-RED-2.30-1BIT")</f>
        <v>ITBISA-7SEGMENT-ANODE-RED-2.30-1BIT</v>
      </c>
      <c r="B589" s="266">
        <f>IFERROR(__xludf.DUMMYFUNCTION("""COMPUTED_VALUE"""),45432.0)</f>
        <v>45432</v>
      </c>
      <c r="C589" s="266" t="str">
        <f>IFERROR(__xludf.DUMMYFUNCTION("""COMPUTED_VALUE"""),"KYAI KONTONG")</f>
        <v>KYAI KONTONG</v>
      </c>
      <c r="D589" s="186">
        <f>IFERROR(__xludf.DUMMYFUNCTION("""COMPUTED_VALUE"""),4.0)</f>
        <v>4</v>
      </c>
    </row>
    <row r="590">
      <c r="A590" s="178" t="str">
        <f>IFERROR(__xludf.DUMMYFUNCTION("""COMPUTED_VALUE"""),"ITBISA-7SEGMENT-ANODE-RED-2.30-1BIT")</f>
        <v>ITBISA-7SEGMENT-ANODE-RED-2.30-1BIT</v>
      </c>
      <c r="B590" s="266">
        <f>IFERROR(__xludf.DUMMYFUNCTION("""COMPUTED_VALUE"""),45432.0)</f>
        <v>45432</v>
      </c>
      <c r="C590" s="266" t="str">
        <f>IFERROR(__xludf.DUMMYFUNCTION("""COMPUTED_VALUE"""),"KYAI KONTONG")</f>
        <v>KYAI KONTONG</v>
      </c>
      <c r="D590" s="186">
        <f>IFERROR(__xludf.DUMMYFUNCTION("""COMPUTED_VALUE"""),4.0)</f>
        <v>4</v>
      </c>
    </row>
    <row r="591">
      <c r="A591" s="178" t="str">
        <f>IFERROR(__xludf.DUMMYFUNCTION("""COMPUTED_VALUE"""),"ITBISA-7SEGMENT-ANODE-RED-2.30-1BIT")</f>
        <v>ITBISA-7SEGMENT-ANODE-RED-2.30-1BIT</v>
      </c>
      <c r="B591" s="266">
        <f>IFERROR(__xludf.DUMMYFUNCTION("""COMPUTED_VALUE"""),45436.0)</f>
        <v>45436</v>
      </c>
      <c r="C591" s="266" t="str">
        <f>IFERROR(__xludf.DUMMYFUNCTION("""COMPUTED_VALUE"""),"KYAI KONTONG")</f>
        <v>KYAI KONTONG</v>
      </c>
      <c r="D591" s="186">
        <f>IFERROR(__xludf.DUMMYFUNCTION("""COMPUTED_VALUE"""),3.0)</f>
        <v>3</v>
      </c>
    </row>
    <row r="592">
      <c r="A592" s="178" t="str">
        <f>IFERROR(__xludf.DUMMYFUNCTION("""COMPUTED_VALUE"""),"ITBISA-7SEGMENT-ANODE-RED-2.30-1BIT")</f>
        <v>ITBISA-7SEGMENT-ANODE-RED-2.30-1BIT</v>
      </c>
      <c r="B592" s="266">
        <f>IFERROR(__xludf.DUMMYFUNCTION("""COMPUTED_VALUE"""),45442.0)</f>
        <v>45442</v>
      </c>
      <c r="C592" s="266" t="str">
        <f>IFERROR(__xludf.DUMMYFUNCTION("""COMPUTED_VALUE"""),"KERTASARI CIAMIS")</f>
        <v>KERTASARI CIAMIS</v>
      </c>
      <c r="D592" s="186">
        <f>IFERROR(__xludf.DUMMYFUNCTION("""COMPUTED_VALUE"""),30.0)</f>
        <v>30</v>
      </c>
    </row>
    <row r="593">
      <c r="A593" s="178" t="str">
        <f>IFERROR(__xludf.DUMMYFUNCTION("""COMPUTED_VALUE"""),"ITBISA-7SEGMENT-ANODE-RED-2.30-1BIT")</f>
        <v>ITBISA-7SEGMENT-ANODE-RED-2.30-1BIT</v>
      </c>
      <c r="B593" s="266">
        <f>IFERROR(__xludf.DUMMYFUNCTION("""COMPUTED_VALUE"""),45446.0)</f>
        <v>45446</v>
      </c>
      <c r="C593" s="266" t="str">
        <f>IFERROR(__xludf.DUMMYFUNCTION("""COMPUTED_VALUE"""),"KERTASARI CIAMIS")</f>
        <v>KERTASARI CIAMIS</v>
      </c>
      <c r="D593" s="186">
        <f>IFERROR(__xludf.DUMMYFUNCTION("""COMPUTED_VALUE"""),2.0)</f>
        <v>2</v>
      </c>
    </row>
    <row r="594">
      <c r="A594" s="178" t="str">
        <f>IFERROR(__xludf.DUMMYFUNCTION("""COMPUTED_VALUE"""),"ITBISA-7SEGMENT-ANODE-RED-2.30-1BIT")</f>
        <v>ITBISA-7SEGMENT-ANODE-RED-2.30-1BIT</v>
      </c>
      <c r="B594" s="266">
        <f>IFERROR(__xludf.DUMMYFUNCTION("""COMPUTED_VALUE"""),45452.0)</f>
        <v>45452</v>
      </c>
      <c r="C594" s="266" t="str">
        <f>IFERROR(__xludf.DUMMYFUNCTION("""COMPUTED_VALUE"""),"KYAI KONTONG")</f>
        <v>KYAI KONTONG</v>
      </c>
      <c r="D594" s="186">
        <f>IFERROR(__xludf.DUMMYFUNCTION("""COMPUTED_VALUE"""),8.0)</f>
        <v>8</v>
      </c>
    </row>
    <row r="595">
      <c r="A595" s="178" t="str">
        <f>IFERROR(__xludf.DUMMYFUNCTION("""COMPUTED_VALUE"""),"ITBISA-7SEGMENT-ANODE-RED-2.30-1BIT")</f>
        <v>ITBISA-7SEGMENT-ANODE-RED-2.30-1BIT</v>
      </c>
      <c r="B595" s="266">
        <f>IFERROR(__xludf.DUMMYFUNCTION("""COMPUTED_VALUE"""),45453.0)</f>
        <v>45453</v>
      </c>
      <c r="C595" s="266" t="str">
        <f>IFERROR(__xludf.DUMMYFUNCTION("""COMPUTED_VALUE"""),"KYAI KONTONG")</f>
        <v>KYAI KONTONG</v>
      </c>
      <c r="D595" s="186">
        <f>IFERROR(__xludf.DUMMYFUNCTION("""COMPUTED_VALUE"""),38.0)</f>
        <v>38</v>
      </c>
    </row>
    <row r="596">
      <c r="A596" s="178" t="str">
        <f>IFERROR(__xludf.DUMMYFUNCTION("""COMPUTED_VALUE"""),"ITBISA-7SEGMENT-ANODE-RED-2.30-1BIT")</f>
        <v>ITBISA-7SEGMENT-ANODE-RED-2.30-1BIT</v>
      </c>
      <c r="B596" s="266">
        <f>IFERROR(__xludf.DUMMYFUNCTION("""COMPUTED_VALUE"""),45456.0)</f>
        <v>45456</v>
      </c>
      <c r="C596" s="266" t="str">
        <f>IFERROR(__xludf.DUMMYFUNCTION("""COMPUTED_VALUE"""),"KYAI KONTONG")</f>
        <v>KYAI KONTONG</v>
      </c>
      <c r="D596" s="186">
        <f>IFERROR(__xludf.DUMMYFUNCTION("""COMPUTED_VALUE"""),10.0)</f>
        <v>10</v>
      </c>
    </row>
    <row r="597">
      <c r="A597" s="178" t="str">
        <f>IFERROR(__xludf.DUMMYFUNCTION("""COMPUTED_VALUE"""),"ITBISA-7SEGMENT-ANODE-RED-2.30-1BIT")</f>
        <v>ITBISA-7SEGMENT-ANODE-RED-2.30-1BIT</v>
      </c>
      <c r="B597" s="266">
        <f>IFERROR(__xludf.DUMMYFUNCTION("""COMPUTED_VALUE"""),45461.0)</f>
        <v>45461</v>
      </c>
      <c r="C597" s="266" t="str">
        <f>IFERROR(__xludf.DUMMYFUNCTION("""COMPUTED_VALUE"""),"KERTASARI CIAMIS")</f>
        <v>KERTASARI CIAMIS</v>
      </c>
      <c r="D597" s="186">
        <f>IFERROR(__xludf.DUMMYFUNCTION("""COMPUTED_VALUE"""),6.0)</f>
        <v>6</v>
      </c>
    </row>
    <row r="598">
      <c r="A598" s="178" t="str">
        <f>IFERROR(__xludf.DUMMYFUNCTION("""COMPUTED_VALUE"""),"ITBISA-7SEGMENT-ANODE-RED-2.30-1BIT")</f>
        <v>ITBISA-7SEGMENT-ANODE-RED-2.30-1BIT</v>
      </c>
      <c r="B598" s="266">
        <f>IFERROR(__xludf.DUMMYFUNCTION("""COMPUTED_VALUE"""),45461.0)</f>
        <v>45461</v>
      </c>
      <c r="C598" s="266" t="str">
        <f>IFERROR(__xludf.DUMMYFUNCTION("""COMPUTED_VALUE"""),"KYAI KONTONG")</f>
        <v>KYAI KONTONG</v>
      </c>
      <c r="D598" s="186">
        <f>IFERROR(__xludf.DUMMYFUNCTION("""COMPUTED_VALUE"""),2.0)</f>
        <v>2</v>
      </c>
    </row>
    <row r="599">
      <c r="A599" s="178" t="str">
        <f>IFERROR(__xludf.DUMMYFUNCTION("""COMPUTED_VALUE"""),"ITBISA-7SEGMENT-ANODE-RED-2.30-1BIT")</f>
        <v>ITBISA-7SEGMENT-ANODE-RED-2.30-1BIT</v>
      </c>
      <c r="B599" s="266">
        <f>IFERROR(__xludf.DUMMYFUNCTION("""COMPUTED_VALUE"""),45462.0)</f>
        <v>45462</v>
      </c>
      <c r="C599" s="266" t="str">
        <f>IFERROR(__xludf.DUMMYFUNCTION("""COMPUTED_VALUE"""),"KYAI KONTONG")</f>
        <v>KYAI KONTONG</v>
      </c>
      <c r="D599" s="186">
        <f>IFERROR(__xludf.DUMMYFUNCTION("""COMPUTED_VALUE"""),2.0)</f>
        <v>2</v>
      </c>
    </row>
    <row r="600">
      <c r="A600" s="178" t="str">
        <f>IFERROR(__xludf.DUMMYFUNCTION("""COMPUTED_VALUE"""),"ITBISA-7SEGMENT-ANODE-RED-2.30-1BIT")</f>
        <v>ITBISA-7SEGMENT-ANODE-RED-2.30-1BIT</v>
      </c>
      <c r="B600" s="266">
        <f>IFERROR(__xludf.DUMMYFUNCTION("""COMPUTED_VALUE"""),45465.0)</f>
        <v>45465</v>
      </c>
      <c r="C600" s="266" t="str">
        <f>IFERROR(__xludf.DUMMYFUNCTION("""COMPUTED_VALUE"""),"KERTASARI CIAMIS")</f>
        <v>KERTASARI CIAMIS</v>
      </c>
      <c r="D600" s="186">
        <f>IFERROR(__xludf.DUMMYFUNCTION("""COMPUTED_VALUE"""),2.0)</f>
        <v>2</v>
      </c>
    </row>
    <row r="601">
      <c r="A601" s="178" t="str">
        <f>IFERROR(__xludf.DUMMYFUNCTION("""COMPUTED_VALUE"""),"ITBISA-7SEGMENT-ANODE-RED-2.30-1BIT")</f>
        <v>ITBISA-7SEGMENT-ANODE-RED-2.30-1BIT</v>
      </c>
      <c r="B601" s="266">
        <f>IFERROR(__xludf.DUMMYFUNCTION("""COMPUTED_VALUE"""),45470.0)</f>
        <v>45470</v>
      </c>
      <c r="C601" s="266" t="str">
        <f>IFERROR(__xludf.DUMMYFUNCTION("""COMPUTED_VALUE"""),"KYAI KONTONG")</f>
        <v>KYAI KONTONG</v>
      </c>
      <c r="D601" s="186">
        <f>IFERROR(__xludf.DUMMYFUNCTION("""COMPUTED_VALUE"""),6.0)</f>
        <v>6</v>
      </c>
    </row>
    <row r="602">
      <c r="A602" s="178" t="str">
        <f>IFERROR(__xludf.DUMMYFUNCTION("""COMPUTED_VALUE"""),"ITBISA-7SEGMENT-ANODE-RED-2.30-1BIT")</f>
        <v>ITBISA-7SEGMENT-ANODE-RED-2.30-1BIT</v>
      </c>
      <c r="B602" s="266">
        <f>IFERROR(__xludf.DUMMYFUNCTION("""COMPUTED_VALUE"""),45472.0)</f>
        <v>45472</v>
      </c>
      <c r="C602" s="266" t="str">
        <f>IFERROR(__xludf.DUMMYFUNCTION("""COMPUTED_VALUE"""),"KERTASARI CIAMIS")</f>
        <v>KERTASARI CIAMIS</v>
      </c>
      <c r="D602" s="186">
        <f>IFERROR(__xludf.DUMMYFUNCTION("""COMPUTED_VALUE"""),12.0)</f>
        <v>12</v>
      </c>
    </row>
    <row r="603">
      <c r="A603" s="178" t="str">
        <f>IFERROR(__xludf.DUMMYFUNCTION("""COMPUTED_VALUE"""),"ITBISA-7SEGMENT-ANODE-RED-2.30-1BIT")</f>
        <v>ITBISA-7SEGMENT-ANODE-RED-2.30-1BIT</v>
      </c>
      <c r="B603" s="266">
        <f>IFERROR(__xludf.DUMMYFUNCTION("""COMPUTED_VALUE"""),45472.0)</f>
        <v>45472</v>
      </c>
      <c r="C603" s="266" t="str">
        <f>IFERROR(__xludf.DUMMYFUNCTION("""COMPUTED_VALUE"""),"KYAI KONTONG")</f>
        <v>KYAI KONTONG</v>
      </c>
      <c r="D603" s="186">
        <f>IFERROR(__xludf.DUMMYFUNCTION("""COMPUTED_VALUE"""),4.0)</f>
        <v>4</v>
      </c>
    </row>
    <row r="604">
      <c r="A604" s="178" t="str">
        <f>IFERROR(__xludf.DUMMYFUNCTION("""COMPUTED_VALUE"""),"ITBISA-7SEGMENT-ANODE-RED-2.30-1BIT")</f>
        <v>ITBISA-7SEGMENT-ANODE-RED-2.30-1BIT</v>
      </c>
      <c r="B604" s="266">
        <f>IFERROR(__xludf.DUMMYFUNCTION("""COMPUTED_VALUE"""),45475.0)</f>
        <v>45475</v>
      </c>
      <c r="C604" s="266" t="str">
        <f>IFERROR(__xludf.DUMMYFUNCTION("""COMPUTED_VALUE"""),"KYAI KONTONG")</f>
        <v>KYAI KONTONG</v>
      </c>
      <c r="D604" s="186">
        <f>IFERROR(__xludf.DUMMYFUNCTION("""COMPUTED_VALUE"""),12.0)</f>
        <v>12</v>
      </c>
    </row>
    <row r="605">
      <c r="A605" s="178" t="str">
        <f>IFERROR(__xludf.DUMMYFUNCTION("""COMPUTED_VALUE"""),"ITBISA-7SEGMENT-ANODE-RED-2.30-1BIT")</f>
        <v>ITBISA-7SEGMENT-ANODE-RED-2.30-1BIT</v>
      </c>
      <c r="B605" s="266">
        <f>IFERROR(__xludf.DUMMYFUNCTION("""COMPUTED_VALUE"""),45480.0)</f>
        <v>45480</v>
      </c>
      <c r="C605" s="266" t="str">
        <f>IFERROR(__xludf.DUMMYFUNCTION("""COMPUTED_VALUE"""),"KERTASARI CIAMIS")</f>
        <v>KERTASARI CIAMIS</v>
      </c>
      <c r="D605" s="186">
        <f>IFERROR(__xludf.DUMMYFUNCTION("""COMPUTED_VALUE"""),2.0)</f>
        <v>2</v>
      </c>
    </row>
    <row r="606">
      <c r="A606" s="178" t="str">
        <f>IFERROR(__xludf.DUMMYFUNCTION("""COMPUTED_VALUE"""),"ITBISA-7SEGMENT-ANODE-RED-2.30-1BIT")</f>
        <v>ITBISA-7SEGMENT-ANODE-RED-2.30-1BIT</v>
      </c>
      <c r="B606" s="266">
        <f>IFERROR(__xludf.DUMMYFUNCTION("""COMPUTED_VALUE"""),45483.0)</f>
        <v>45483</v>
      </c>
      <c r="C606" s="266" t="str">
        <f>IFERROR(__xludf.DUMMYFUNCTION("""COMPUTED_VALUE"""),"KYAI KONTONG")</f>
        <v>KYAI KONTONG</v>
      </c>
      <c r="D606" s="186">
        <f>IFERROR(__xludf.DUMMYFUNCTION("""COMPUTED_VALUE"""),4.0)</f>
        <v>4</v>
      </c>
    </row>
    <row r="607">
      <c r="A607" s="178" t="str">
        <f>IFERROR(__xludf.DUMMYFUNCTION("""COMPUTED_VALUE"""),"ITBISA-7SEGMENT-ANODE-RED-2.30-1BIT")</f>
        <v>ITBISA-7SEGMENT-ANODE-RED-2.30-1BIT</v>
      </c>
      <c r="B607" s="266">
        <f>IFERROR(__xludf.DUMMYFUNCTION("""COMPUTED_VALUE"""),45489.0)</f>
        <v>45489</v>
      </c>
      <c r="C607" s="266" t="str">
        <f>IFERROR(__xludf.DUMMYFUNCTION("""COMPUTED_VALUE"""),"KYAI KONTONG")</f>
        <v>KYAI KONTONG</v>
      </c>
      <c r="D607" s="186">
        <f>IFERROR(__xludf.DUMMYFUNCTION("""COMPUTED_VALUE"""),2.0)</f>
        <v>2</v>
      </c>
    </row>
    <row r="608">
      <c r="A608" s="178" t="str">
        <f>IFERROR(__xludf.DUMMYFUNCTION("""COMPUTED_VALUE"""),"ITBISA-7SEGMENT-ANODE-RED-2.30-1BIT")</f>
        <v>ITBISA-7SEGMENT-ANODE-RED-2.30-1BIT</v>
      </c>
      <c r="B608" s="266">
        <f>IFERROR(__xludf.DUMMYFUNCTION("""COMPUTED_VALUE"""),45501.0)</f>
        <v>45501</v>
      </c>
      <c r="C608" s="266" t="str">
        <f>IFERROR(__xludf.DUMMYFUNCTION("""COMPUTED_VALUE"""),"KYAI KONTONG")</f>
        <v>KYAI KONTONG</v>
      </c>
      <c r="D608" s="186">
        <f>IFERROR(__xludf.DUMMYFUNCTION("""COMPUTED_VALUE"""),2.0)</f>
        <v>2</v>
      </c>
    </row>
    <row r="609">
      <c r="A609" s="178" t="str">
        <f>IFERROR(__xludf.DUMMYFUNCTION("""COMPUTED_VALUE"""),"ITBISA-7SEGMENT-ANODE-RED-2.30-1BIT")</f>
        <v>ITBISA-7SEGMENT-ANODE-RED-2.30-1BIT</v>
      </c>
      <c r="B609" s="266">
        <f>IFERROR(__xludf.DUMMYFUNCTION("""COMPUTED_VALUE"""),45501.0)</f>
        <v>45501</v>
      </c>
      <c r="C609" s="266" t="str">
        <f>IFERROR(__xludf.DUMMYFUNCTION("""COMPUTED_VALUE"""),"KYAI KONTONG")</f>
        <v>KYAI KONTONG</v>
      </c>
      <c r="D609" s="186">
        <f>IFERROR(__xludf.DUMMYFUNCTION("""COMPUTED_VALUE"""),8.0)</f>
        <v>8</v>
      </c>
    </row>
    <row r="610">
      <c r="A610" s="178" t="str">
        <f>IFERROR(__xludf.DUMMYFUNCTION("""COMPUTED_VALUE"""),"ITBISA-7SEGMENT-ANODE-RED-2.30-1BIT")</f>
        <v>ITBISA-7SEGMENT-ANODE-RED-2.30-1BIT</v>
      </c>
      <c r="B610" s="266">
        <f>IFERROR(__xludf.DUMMYFUNCTION("""COMPUTED_VALUE"""),45503.0)</f>
        <v>45503</v>
      </c>
      <c r="C610" s="266" t="str">
        <f>IFERROR(__xludf.DUMMYFUNCTION("""COMPUTED_VALUE"""),"KYAI KONTONG")</f>
        <v>KYAI KONTONG</v>
      </c>
      <c r="D610" s="186">
        <f>IFERROR(__xludf.DUMMYFUNCTION("""COMPUTED_VALUE"""),4.0)</f>
        <v>4</v>
      </c>
    </row>
    <row r="611">
      <c r="A611" s="178" t="str">
        <f>IFERROR(__xludf.DUMMYFUNCTION("""COMPUTED_VALUE"""),"ITBISA-7SEGMENT-ANODE-RED-2.30-1BIT")</f>
        <v>ITBISA-7SEGMENT-ANODE-RED-2.30-1BIT</v>
      </c>
      <c r="B611" s="266">
        <f>IFERROR(__xludf.DUMMYFUNCTION("""COMPUTED_VALUE"""),45503.0)</f>
        <v>45503</v>
      </c>
      <c r="C611" s="266" t="str">
        <f>IFERROR(__xludf.DUMMYFUNCTION("""COMPUTED_VALUE"""),"KYAI KONTONG")</f>
        <v>KYAI KONTONG</v>
      </c>
      <c r="D611" s="186">
        <f>IFERROR(__xludf.DUMMYFUNCTION("""COMPUTED_VALUE"""),10.0)</f>
        <v>10</v>
      </c>
    </row>
    <row r="612">
      <c r="A612" s="178" t="str">
        <f>IFERROR(__xludf.DUMMYFUNCTION("""COMPUTED_VALUE"""),"ITBISA-7SEGMENT-ANODE-RED-2.30-1BIT")</f>
        <v>ITBISA-7SEGMENT-ANODE-RED-2.30-1BIT</v>
      </c>
      <c r="B612" s="266">
        <f>IFERROR(__xludf.DUMMYFUNCTION("""COMPUTED_VALUE"""),45509.0)</f>
        <v>45509</v>
      </c>
      <c r="C612" s="266" t="str">
        <f>IFERROR(__xludf.DUMMYFUNCTION("""COMPUTED_VALUE"""),"KERTASARI CIAMIS")</f>
        <v>KERTASARI CIAMIS</v>
      </c>
      <c r="D612" s="186">
        <f>IFERROR(__xludf.DUMMYFUNCTION("""COMPUTED_VALUE"""),10.0)</f>
        <v>10</v>
      </c>
    </row>
    <row r="613">
      <c r="A613" s="178" t="str">
        <f>IFERROR(__xludf.DUMMYFUNCTION("""COMPUTED_VALUE"""),"ITBISA-7SEGMENT-ANODE-RED-2.30-1BIT")</f>
        <v>ITBISA-7SEGMENT-ANODE-RED-2.30-1BIT</v>
      </c>
      <c r="B613" s="266">
        <f>IFERROR(__xludf.DUMMYFUNCTION("""COMPUTED_VALUE"""),45510.0)</f>
        <v>45510</v>
      </c>
      <c r="C613" s="266" t="str">
        <f>IFERROR(__xludf.DUMMYFUNCTION("""COMPUTED_VALUE"""),"KERTASARI CIAMIS")</f>
        <v>KERTASARI CIAMIS</v>
      </c>
      <c r="D613" s="186">
        <f>IFERROR(__xludf.DUMMYFUNCTION("""COMPUTED_VALUE"""),8.0)</f>
        <v>8</v>
      </c>
    </row>
    <row r="614">
      <c r="A614" s="178" t="str">
        <f>IFERROR(__xludf.DUMMYFUNCTION("""COMPUTED_VALUE"""),"ITBISA-7SEGMENT-ANODE-RED-2.30-1BIT")</f>
        <v>ITBISA-7SEGMENT-ANODE-RED-2.30-1BIT</v>
      </c>
      <c r="B614" s="266">
        <f>IFERROR(__xludf.DUMMYFUNCTION("""COMPUTED_VALUE"""),45510.0)</f>
        <v>45510</v>
      </c>
      <c r="C614" s="266" t="str">
        <f>IFERROR(__xludf.DUMMYFUNCTION("""COMPUTED_VALUE"""),"KYAI KONTONG")</f>
        <v>KYAI KONTONG</v>
      </c>
      <c r="D614" s="186">
        <f>IFERROR(__xludf.DUMMYFUNCTION("""COMPUTED_VALUE"""),2.0)</f>
        <v>2</v>
      </c>
    </row>
    <row r="615">
      <c r="A615" s="178" t="str">
        <f>IFERROR(__xludf.DUMMYFUNCTION("""COMPUTED_VALUE"""),"ITBISA-7SEGMENT-ANODE-RED-2.30-1BIT")</f>
        <v>ITBISA-7SEGMENT-ANODE-RED-2.30-1BIT</v>
      </c>
      <c r="B615" s="266">
        <f>IFERROR(__xludf.DUMMYFUNCTION("""COMPUTED_VALUE"""),45513.0)</f>
        <v>45513</v>
      </c>
      <c r="C615" s="266" t="str">
        <f>IFERROR(__xludf.DUMMYFUNCTION("""COMPUTED_VALUE"""),"KERTASARI CIAMIS")</f>
        <v>KERTASARI CIAMIS</v>
      </c>
      <c r="D615" s="186">
        <f>IFERROR(__xludf.DUMMYFUNCTION("""COMPUTED_VALUE"""),4.0)</f>
        <v>4</v>
      </c>
    </row>
    <row r="616">
      <c r="A616" s="178" t="str">
        <f>IFERROR(__xludf.DUMMYFUNCTION("""COMPUTED_VALUE"""),"ITBISA-7SEGMENT-ANODE-RED-2.30-1BIT")</f>
        <v>ITBISA-7SEGMENT-ANODE-RED-2.30-1BIT</v>
      </c>
      <c r="B616" s="266">
        <f>IFERROR(__xludf.DUMMYFUNCTION("""COMPUTED_VALUE"""),45516.0)</f>
        <v>45516</v>
      </c>
      <c r="C616" s="266" t="str">
        <f>IFERROR(__xludf.DUMMYFUNCTION("""COMPUTED_VALUE"""),"KYAI KONTONG")</f>
        <v>KYAI KONTONG</v>
      </c>
      <c r="D616" s="186">
        <f>IFERROR(__xludf.DUMMYFUNCTION("""COMPUTED_VALUE"""),4.0)</f>
        <v>4</v>
      </c>
    </row>
    <row r="617">
      <c r="A617" s="178" t="str">
        <f>IFERROR(__xludf.DUMMYFUNCTION("""COMPUTED_VALUE"""),"ITBISA-7SEGMENT-ANODE-RED-2.30-1BIT")</f>
        <v>ITBISA-7SEGMENT-ANODE-RED-2.30-1BIT</v>
      </c>
      <c r="B617" s="266">
        <f>IFERROR(__xludf.DUMMYFUNCTION("""COMPUTED_VALUE"""),45518.0)</f>
        <v>45518</v>
      </c>
      <c r="C617" s="266" t="str">
        <f>IFERROR(__xludf.DUMMYFUNCTION("""COMPUTED_VALUE"""),"KYAI KONTONG")</f>
        <v>KYAI KONTONG</v>
      </c>
      <c r="D617" s="186">
        <f>IFERROR(__xludf.DUMMYFUNCTION("""COMPUTED_VALUE"""),60.0)</f>
        <v>60</v>
      </c>
    </row>
    <row r="618">
      <c r="A618" s="178" t="str">
        <f>IFERROR(__xludf.DUMMYFUNCTION("""COMPUTED_VALUE"""),"ITBISA-7SEGMENT-ANODE-RED-2.30-1BIT")</f>
        <v>ITBISA-7SEGMENT-ANODE-RED-2.30-1BIT</v>
      </c>
      <c r="B618" s="266">
        <f>IFERROR(__xludf.DUMMYFUNCTION("""COMPUTED_VALUE"""),45524.0)</f>
        <v>45524</v>
      </c>
      <c r="C618" s="266" t="str">
        <f>IFERROR(__xludf.DUMMYFUNCTION("""COMPUTED_VALUE"""),"KERTASARI CIAMIS")</f>
        <v>KERTASARI CIAMIS</v>
      </c>
      <c r="D618" s="186">
        <f>IFERROR(__xludf.DUMMYFUNCTION("""COMPUTED_VALUE"""),4.0)</f>
        <v>4</v>
      </c>
    </row>
    <row r="619">
      <c r="A619" s="178" t="str">
        <f>IFERROR(__xludf.DUMMYFUNCTION("""COMPUTED_VALUE"""),"ITBISA-7SEGMENT-ANODE-RED-2.30-1BIT")</f>
        <v>ITBISA-7SEGMENT-ANODE-RED-2.30-1BIT</v>
      </c>
      <c r="B619" s="266">
        <f>IFERROR(__xludf.DUMMYFUNCTION("""COMPUTED_VALUE"""),45527.0)</f>
        <v>45527</v>
      </c>
      <c r="C619" s="266" t="str">
        <f>IFERROR(__xludf.DUMMYFUNCTION("""COMPUTED_VALUE"""),"KYAI KONTONG")</f>
        <v>KYAI KONTONG</v>
      </c>
      <c r="D619" s="186">
        <f>IFERROR(__xludf.DUMMYFUNCTION("""COMPUTED_VALUE"""),40.0)</f>
        <v>40</v>
      </c>
    </row>
    <row r="620">
      <c r="A620" s="178" t="str">
        <f>IFERROR(__xludf.DUMMYFUNCTION("""COMPUTED_VALUE"""),"ITBISA-7SEGMENT-ANODE-RED-2.30-1BIT")</f>
        <v>ITBISA-7SEGMENT-ANODE-RED-2.30-1BIT</v>
      </c>
      <c r="B620" s="266">
        <f>IFERROR(__xludf.DUMMYFUNCTION("""COMPUTED_VALUE"""),45531.0)</f>
        <v>45531</v>
      </c>
      <c r="C620" s="266" t="str">
        <f>IFERROR(__xludf.DUMMYFUNCTION("""COMPUTED_VALUE"""),"KYAI KONTONG")</f>
        <v>KYAI KONTONG</v>
      </c>
      <c r="D620" s="186">
        <f>IFERROR(__xludf.DUMMYFUNCTION("""COMPUTED_VALUE"""),10.0)</f>
        <v>10</v>
      </c>
    </row>
    <row r="621">
      <c r="A621" s="178" t="str">
        <f>IFERROR(__xludf.DUMMYFUNCTION("""COMPUTED_VALUE"""),"ITBISA-7SEGMENT-ANODE-RED-2.30-1BIT")</f>
        <v>ITBISA-7SEGMENT-ANODE-RED-2.30-1BIT</v>
      </c>
      <c r="B621" s="266">
        <f>IFERROR(__xludf.DUMMYFUNCTION("""COMPUTED_VALUE"""),45539.0)</f>
        <v>45539</v>
      </c>
      <c r="C621" s="266" t="str">
        <f>IFERROR(__xludf.DUMMYFUNCTION("""COMPUTED_VALUE"""),"KYAI KONTONG")</f>
        <v>KYAI KONTONG</v>
      </c>
      <c r="D621" s="186">
        <f>IFERROR(__xludf.DUMMYFUNCTION("""COMPUTED_VALUE"""),4.0)</f>
        <v>4</v>
      </c>
    </row>
    <row r="622">
      <c r="A622" s="178" t="str">
        <f>IFERROR(__xludf.DUMMYFUNCTION("""COMPUTED_VALUE"""),"ITBISA-7SEGMENT-ANODE-RED-2.30-1BIT")</f>
        <v>ITBISA-7SEGMENT-ANODE-RED-2.30-1BIT</v>
      </c>
      <c r="B622" s="266">
        <f>IFERROR(__xludf.DUMMYFUNCTION("""COMPUTED_VALUE"""),45541.0)</f>
        <v>45541</v>
      </c>
      <c r="C622" s="266" t="str">
        <f>IFERROR(__xludf.DUMMYFUNCTION("""COMPUTED_VALUE"""),"KYAI KONTONG")</f>
        <v>KYAI KONTONG</v>
      </c>
      <c r="D622" s="186">
        <f>IFERROR(__xludf.DUMMYFUNCTION("""COMPUTED_VALUE"""),40.0)</f>
        <v>40</v>
      </c>
    </row>
    <row r="623">
      <c r="A623" s="178" t="str">
        <f>IFERROR(__xludf.DUMMYFUNCTION("""COMPUTED_VALUE"""),"ITBISA-7SEGMENT-ANODE-RED-2.30-1BIT")</f>
        <v>ITBISA-7SEGMENT-ANODE-RED-2.30-1BIT</v>
      </c>
      <c r="B623" s="266">
        <f>IFERROR(__xludf.DUMMYFUNCTION("""COMPUTED_VALUE"""),45547.0)</f>
        <v>45547</v>
      </c>
      <c r="C623" s="266" t="str">
        <f>IFERROR(__xludf.DUMMYFUNCTION("""COMPUTED_VALUE"""),"KERTASARI CIAMIS")</f>
        <v>KERTASARI CIAMIS</v>
      </c>
      <c r="D623" s="186">
        <f>IFERROR(__xludf.DUMMYFUNCTION("""COMPUTED_VALUE"""),4.0)</f>
        <v>4</v>
      </c>
    </row>
    <row r="624">
      <c r="A624" s="178" t="str">
        <f>IFERROR(__xludf.DUMMYFUNCTION("""COMPUTED_VALUE"""),"ITBISA-7SEGMENT-ANODE-RED-2.30-1BIT")</f>
        <v>ITBISA-7SEGMENT-ANODE-RED-2.30-1BIT</v>
      </c>
      <c r="B624" s="266">
        <f>IFERROR(__xludf.DUMMYFUNCTION("""COMPUTED_VALUE"""),45559.0)</f>
        <v>45559</v>
      </c>
      <c r="C624" s="266" t="str">
        <f>IFERROR(__xludf.DUMMYFUNCTION("""COMPUTED_VALUE"""),"KERTASARI CIAMIS")</f>
        <v>KERTASARI CIAMIS</v>
      </c>
      <c r="D624" s="186">
        <f>IFERROR(__xludf.DUMMYFUNCTION("""COMPUTED_VALUE"""),5.0)</f>
        <v>5</v>
      </c>
    </row>
    <row r="625">
      <c r="A625" s="178" t="str">
        <f>IFERROR(__xludf.DUMMYFUNCTION("""COMPUTED_VALUE"""),"ITBISA-7SEGMENT-ANODE-RED-2.30-1BIT")</f>
        <v>ITBISA-7SEGMENT-ANODE-RED-2.30-1BIT</v>
      </c>
      <c r="B625" s="266">
        <f>IFERROR(__xludf.DUMMYFUNCTION("""COMPUTED_VALUE"""),45563.0)</f>
        <v>45563</v>
      </c>
      <c r="C625" s="266" t="str">
        <f>IFERROR(__xludf.DUMMYFUNCTION("""COMPUTED_VALUE"""),"KERTASARI CIAMIS")</f>
        <v>KERTASARI CIAMIS</v>
      </c>
      <c r="D625" s="186">
        <f>IFERROR(__xludf.DUMMYFUNCTION("""COMPUTED_VALUE"""),4.0)</f>
        <v>4</v>
      </c>
    </row>
    <row r="626">
      <c r="A626" s="178" t="str">
        <f>IFERROR(__xludf.DUMMYFUNCTION("""COMPUTED_VALUE"""),"ITBISA-7SEGMENT-ANODE-RED-2.30-1BIT")</f>
        <v>ITBISA-7SEGMENT-ANODE-RED-2.30-1BIT</v>
      </c>
      <c r="B626" s="266">
        <f>IFERROR(__xludf.DUMMYFUNCTION("""COMPUTED_VALUE"""),45565.0)</f>
        <v>45565</v>
      </c>
      <c r="C626" s="266" t="str">
        <f>IFERROR(__xludf.DUMMYFUNCTION("""COMPUTED_VALUE"""),"KERTASARI CIAMIS")</f>
        <v>KERTASARI CIAMIS</v>
      </c>
      <c r="D626" s="186">
        <f>IFERROR(__xludf.DUMMYFUNCTION("""COMPUTED_VALUE"""),5.0)</f>
        <v>5</v>
      </c>
    </row>
    <row r="627">
      <c r="A627" s="178" t="str">
        <f>IFERROR(__xludf.DUMMYFUNCTION("""COMPUTED_VALUE"""),"ITBISA-7SEGMENT-ANODE-RED-2.30-1BIT")</f>
        <v>ITBISA-7SEGMENT-ANODE-RED-2.30-1BIT</v>
      </c>
      <c r="B627" s="266">
        <f>IFERROR(__xludf.DUMMYFUNCTION("""COMPUTED_VALUE"""),45565.0)</f>
        <v>45565</v>
      </c>
      <c r="C627" s="266" t="str">
        <f>IFERROR(__xludf.DUMMYFUNCTION("""COMPUTED_VALUE"""),"KERTASARI CIAMIS")</f>
        <v>KERTASARI CIAMIS</v>
      </c>
      <c r="D627" s="186">
        <f>IFERROR(__xludf.DUMMYFUNCTION("""COMPUTED_VALUE"""),6.0)</f>
        <v>6</v>
      </c>
    </row>
    <row r="628">
      <c r="A628" s="178" t="str">
        <f>IFERROR(__xludf.DUMMYFUNCTION("""COMPUTED_VALUE"""),"ITBISA-7SEGMENT-ANODE-RED-2.30-1BIT")</f>
        <v>ITBISA-7SEGMENT-ANODE-RED-2.30-1BIT</v>
      </c>
      <c r="B628" s="266">
        <f>IFERROR(__xludf.DUMMYFUNCTION("""COMPUTED_VALUE"""),45578.0)</f>
        <v>45578</v>
      </c>
      <c r="C628" s="266" t="str">
        <f>IFERROR(__xludf.DUMMYFUNCTION("""COMPUTED_VALUE"""),"KYAI KONTONG")</f>
        <v>KYAI KONTONG</v>
      </c>
      <c r="D628" s="186">
        <f>IFERROR(__xludf.DUMMYFUNCTION("""COMPUTED_VALUE"""),4.0)</f>
        <v>4</v>
      </c>
    </row>
    <row r="629">
      <c r="A629" s="178" t="str">
        <f>IFERROR(__xludf.DUMMYFUNCTION("""COMPUTED_VALUE"""),"ITBISA-7SEGMENT-ANODE-RED-2.30-1BIT")</f>
        <v>ITBISA-7SEGMENT-ANODE-RED-2.30-1BIT</v>
      </c>
      <c r="B629" s="266">
        <f>IFERROR(__xludf.DUMMYFUNCTION("""COMPUTED_VALUE"""),45583.0)</f>
        <v>45583</v>
      </c>
      <c r="C629" s="266" t="str">
        <f>IFERROR(__xludf.DUMMYFUNCTION("""COMPUTED_VALUE"""),"KERTASARI CIAMIS")</f>
        <v>KERTASARI CIAMIS</v>
      </c>
      <c r="D629" s="186">
        <f>IFERROR(__xludf.DUMMYFUNCTION("""COMPUTED_VALUE"""),4.0)</f>
        <v>4</v>
      </c>
    </row>
    <row r="630">
      <c r="A630" s="178" t="str">
        <f>IFERROR(__xludf.DUMMYFUNCTION("""COMPUTED_VALUE"""),"ITBISA-7SEGMENT-ANODE-RED-2.30-1BIT")</f>
        <v>ITBISA-7SEGMENT-ANODE-RED-2.30-1BIT</v>
      </c>
      <c r="B630" s="266">
        <f>IFERROR(__xludf.DUMMYFUNCTION("""COMPUTED_VALUE"""),45611.0)</f>
        <v>45611</v>
      </c>
      <c r="C630" s="266" t="str">
        <f>IFERROR(__xludf.DUMMYFUNCTION("""COMPUTED_VALUE"""),"KERTASARI CIAMIS")</f>
        <v>KERTASARI CIAMIS</v>
      </c>
      <c r="D630" s="186">
        <f>IFERROR(__xludf.DUMMYFUNCTION("""COMPUTED_VALUE"""),2.0)</f>
        <v>2</v>
      </c>
    </row>
    <row r="631">
      <c r="A631" s="178" t="str">
        <f>IFERROR(__xludf.DUMMYFUNCTION("""COMPUTED_VALUE"""),"ITBISA-7SEGMENT-ANODE-RED-2.30-1BIT")</f>
        <v>ITBISA-7SEGMENT-ANODE-RED-2.30-1BIT</v>
      </c>
      <c r="B631" s="266">
        <f>IFERROR(__xludf.DUMMYFUNCTION("""COMPUTED_VALUE"""),45625.0)</f>
        <v>45625</v>
      </c>
      <c r="C631" s="266" t="str">
        <f>IFERROR(__xludf.DUMMYFUNCTION("""COMPUTED_VALUE"""),"KERTASARI CIAMIS")</f>
        <v>KERTASARI CIAMIS</v>
      </c>
      <c r="D631" s="186">
        <f>IFERROR(__xludf.DUMMYFUNCTION("""COMPUTED_VALUE"""),10.0)</f>
        <v>10</v>
      </c>
    </row>
    <row r="632">
      <c r="A632" s="178" t="str">
        <f>IFERROR(__xludf.DUMMYFUNCTION("""COMPUTED_VALUE"""),"ITBISA-7SEGMENT-ANODE-RED-2.30-1BIT")</f>
        <v>ITBISA-7SEGMENT-ANODE-RED-2.30-1BIT</v>
      </c>
      <c r="B632" s="266">
        <f>IFERROR(__xludf.DUMMYFUNCTION("""COMPUTED_VALUE"""),45659.0)</f>
        <v>45659</v>
      </c>
      <c r="C632" s="266" t="str">
        <f>IFERROR(__xludf.DUMMYFUNCTION("""COMPUTED_VALUE"""),"KERTASARI CIAMIS")</f>
        <v>KERTASARI CIAMIS</v>
      </c>
      <c r="D632" s="186">
        <f>IFERROR(__xludf.DUMMYFUNCTION("""COMPUTED_VALUE"""),4.0)</f>
        <v>4</v>
      </c>
    </row>
    <row r="633">
      <c r="A633" s="178" t="str">
        <f>IFERROR(__xludf.DUMMYFUNCTION("""COMPUTED_VALUE"""),"ITBISA-7SEGMENT-ANODE-RED-2.30-1BIT")</f>
        <v>ITBISA-7SEGMENT-ANODE-RED-2.30-1BIT</v>
      </c>
      <c r="B633" s="266">
        <f>IFERROR(__xludf.DUMMYFUNCTION("""COMPUTED_VALUE"""),45660.0)</f>
        <v>45660</v>
      </c>
      <c r="C633" s="266" t="str">
        <f>IFERROR(__xludf.DUMMYFUNCTION("""COMPUTED_VALUE"""),"KERTASARI CIAMIS")</f>
        <v>KERTASARI CIAMIS</v>
      </c>
      <c r="D633" s="186">
        <f>IFERROR(__xludf.DUMMYFUNCTION("""COMPUTED_VALUE"""),5.0)</f>
        <v>5</v>
      </c>
    </row>
    <row r="634">
      <c r="A634" s="178" t="str">
        <f>IFERROR(__xludf.DUMMYFUNCTION("""COMPUTED_VALUE"""),"ITBISA-7SEGMENT-ANODE-RED-2.30-1BIT")</f>
        <v>ITBISA-7SEGMENT-ANODE-RED-2.30-1BIT</v>
      </c>
      <c r="B634" s="266">
        <f>IFERROR(__xludf.DUMMYFUNCTION("""COMPUTED_VALUE"""),45677.0)</f>
        <v>45677</v>
      </c>
      <c r="C634" s="266" t="str">
        <f>IFERROR(__xludf.DUMMYFUNCTION("""COMPUTED_VALUE"""),"KERTASARI CIAMIS")</f>
        <v>KERTASARI CIAMIS</v>
      </c>
      <c r="D634" s="186">
        <f>IFERROR(__xludf.DUMMYFUNCTION("""COMPUTED_VALUE"""),4.0)</f>
        <v>4</v>
      </c>
    </row>
    <row r="635">
      <c r="A635" s="178" t="str">
        <f>IFERROR(__xludf.DUMMYFUNCTION("""COMPUTED_VALUE"""),"ITBISA-7SEGMENT-ANODE-RED-2.30-1BIT")</f>
        <v>ITBISA-7SEGMENT-ANODE-RED-2.30-1BIT</v>
      </c>
      <c r="B635" s="266">
        <f>IFERROR(__xludf.DUMMYFUNCTION("""COMPUTED_VALUE"""),45682.0)</f>
        <v>45682</v>
      </c>
      <c r="C635" s="266" t="str">
        <f>IFERROR(__xludf.DUMMYFUNCTION("""COMPUTED_VALUE"""),"KYAI KONTONG")</f>
        <v>KYAI KONTONG</v>
      </c>
      <c r="D635" s="186">
        <f>IFERROR(__xludf.DUMMYFUNCTION("""COMPUTED_VALUE"""),0.0)</f>
        <v>0</v>
      </c>
    </row>
    <row r="636">
      <c r="A636" s="178" t="str">
        <f>IFERROR(__xludf.DUMMYFUNCTION("""COMPUTED_VALUE"""),"ITBISA-7SEGMENT-ANODE-RED-2.30-1BIT")</f>
        <v>ITBISA-7SEGMENT-ANODE-RED-2.30-1BIT</v>
      </c>
      <c r="B636" s="266">
        <f>IFERROR(__xludf.DUMMYFUNCTION("""COMPUTED_VALUE"""),45686.0)</f>
        <v>45686</v>
      </c>
      <c r="C636" s="266" t="str">
        <f>IFERROR(__xludf.DUMMYFUNCTION("""COMPUTED_VALUE"""),"KERTASARI CIAMIS")</f>
        <v>KERTASARI CIAMIS</v>
      </c>
      <c r="D636" s="186">
        <f>IFERROR(__xludf.DUMMYFUNCTION("""COMPUTED_VALUE"""),24.0)</f>
        <v>24</v>
      </c>
    </row>
    <row r="637">
      <c r="A637" s="178" t="str">
        <f>IFERROR(__xludf.DUMMYFUNCTION("""COMPUTED_VALUE"""),"ITBISA-7SEGMENT-ANODE-RED-2.30-1BIT")</f>
        <v>ITBISA-7SEGMENT-ANODE-RED-2.30-1BIT</v>
      </c>
      <c r="B637" s="266">
        <f>IFERROR(__xludf.DUMMYFUNCTION("""COMPUTED_VALUE"""),45692.0)</f>
        <v>45692</v>
      </c>
      <c r="C637" s="266" t="str">
        <f>IFERROR(__xludf.DUMMYFUNCTION("""COMPUTED_VALUE"""),"KERTASARI CIAMIS")</f>
        <v>KERTASARI CIAMIS</v>
      </c>
      <c r="D637" s="186">
        <f>IFERROR(__xludf.DUMMYFUNCTION("""COMPUTED_VALUE"""),58.0)</f>
        <v>58</v>
      </c>
    </row>
    <row r="638">
      <c r="A638" s="178" t="str">
        <f>IFERROR(__xludf.DUMMYFUNCTION("""COMPUTED_VALUE"""),"ITBISA-7SEGMENT-ANODE-RED-2.30-1BIT")</f>
        <v>ITBISA-7SEGMENT-ANODE-RED-2.30-1BIT</v>
      </c>
      <c r="B638" s="266">
        <f>IFERROR(__xludf.DUMMYFUNCTION("""COMPUTED_VALUE"""),45715.0)</f>
        <v>45715</v>
      </c>
      <c r="C638" s="266" t="str">
        <f>IFERROR(__xludf.DUMMYFUNCTION("""COMPUTED_VALUE"""),"KERTASARI CIAMIS")</f>
        <v>KERTASARI CIAMIS</v>
      </c>
      <c r="D638" s="186">
        <f>IFERROR(__xludf.DUMMYFUNCTION("""COMPUTED_VALUE"""),3.0)</f>
        <v>3</v>
      </c>
    </row>
    <row r="639">
      <c r="A639" s="178" t="str">
        <f>IFERROR(__xludf.DUMMYFUNCTION("""COMPUTED_VALUE"""),"ITBISA-7SEGMENT-CATHODE-RED-0.56-1BIT")</f>
        <v>ITBISA-7SEGMENT-CATHODE-RED-0.56-1BIT</v>
      </c>
      <c r="B639" s="266">
        <f>IFERROR(__xludf.DUMMYFUNCTION("""COMPUTED_VALUE"""),43479.0)</f>
        <v>43479</v>
      </c>
      <c r="C639" s="266" t="str">
        <f>IFERROR(__xludf.DUMMYFUNCTION("""COMPUTED_VALUE"""),"AVRG ITB")</f>
        <v>AVRG ITB</v>
      </c>
      <c r="D639" s="186">
        <f>IFERROR(__xludf.DUMMYFUNCTION("""COMPUTED_VALUE"""),100.0)</f>
        <v>100</v>
      </c>
    </row>
    <row r="640">
      <c r="A640" s="178" t="str">
        <f>IFERROR(__xludf.DUMMYFUNCTION("""COMPUTED_VALUE"""),"ITBISA-7SEGMENT-CATHODE-RED-0.56-1BIT")</f>
        <v>ITBISA-7SEGMENT-CATHODE-RED-0.56-1BIT</v>
      </c>
      <c r="B640" s="266">
        <f>IFERROR(__xludf.DUMMYFUNCTION("""COMPUTED_VALUE"""),43480.0)</f>
        <v>43480</v>
      </c>
      <c r="C640" s="266" t="str">
        <f>IFERROR(__xludf.DUMMYFUNCTION("""COMPUTED_VALUE"""),"AVRG ITB")</f>
        <v>AVRG ITB</v>
      </c>
      <c r="D640" s="186">
        <f>IFERROR(__xludf.DUMMYFUNCTION("""COMPUTED_VALUE"""),20.0)</f>
        <v>20</v>
      </c>
    </row>
    <row r="641">
      <c r="A641" s="178" t="str">
        <f>IFERROR(__xludf.DUMMYFUNCTION("""COMPUTED_VALUE"""),"ITBISA-7SEGMENT-CATHODE-RED-0.56-1BIT")</f>
        <v>ITBISA-7SEGMENT-CATHODE-RED-0.56-1BIT</v>
      </c>
      <c r="B641" s="266">
        <f>IFERROR(__xludf.DUMMYFUNCTION("""COMPUTED_VALUE"""),43484.0)</f>
        <v>43484</v>
      </c>
      <c r="C641" s="266" t="str">
        <f>IFERROR(__xludf.DUMMYFUNCTION("""COMPUTED_VALUE"""),"AVRG ITB")</f>
        <v>AVRG ITB</v>
      </c>
      <c r="D641" s="186">
        <f>IFERROR(__xludf.DUMMYFUNCTION("""COMPUTED_VALUE"""),20.0)</f>
        <v>20</v>
      </c>
    </row>
    <row r="642">
      <c r="A642" s="178" t="str">
        <f>IFERROR(__xludf.DUMMYFUNCTION("""COMPUTED_VALUE"""),"ITBISA-7SEGMENT-CATHODE-RED-0.56-1BIT")</f>
        <v>ITBISA-7SEGMENT-CATHODE-RED-0.56-1BIT</v>
      </c>
      <c r="B642" s="266">
        <f>IFERROR(__xludf.DUMMYFUNCTION("""COMPUTED_VALUE"""),43501.0)</f>
        <v>43501</v>
      </c>
      <c r="C642" s="266" t="str">
        <f>IFERROR(__xludf.DUMMYFUNCTION("""COMPUTED_VALUE"""),"AVRG ITB")</f>
        <v>AVRG ITB</v>
      </c>
      <c r="D642" s="186">
        <f>IFERROR(__xludf.DUMMYFUNCTION("""COMPUTED_VALUE"""),10.0)</f>
        <v>10</v>
      </c>
    </row>
    <row r="643">
      <c r="A643" s="178" t="str">
        <f>IFERROR(__xludf.DUMMYFUNCTION("""COMPUTED_VALUE"""),"ITBISA-7SEGMENT-CATHODE-RED-0.56-1BIT")</f>
        <v>ITBISA-7SEGMENT-CATHODE-RED-0.56-1BIT</v>
      </c>
      <c r="B643" s="266">
        <f>IFERROR(__xludf.DUMMYFUNCTION("""COMPUTED_VALUE"""),43501.0)</f>
        <v>43501</v>
      </c>
      <c r="C643" s="266" t="str">
        <f>IFERROR(__xludf.DUMMYFUNCTION("""COMPUTED_VALUE"""),"AVRG ITB")</f>
        <v>AVRG ITB</v>
      </c>
      <c r="D643" s="186">
        <f>IFERROR(__xludf.DUMMYFUNCTION("""COMPUTED_VALUE"""),10.0)</f>
        <v>10</v>
      </c>
    </row>
    <row r="644">
      <c r="A644" s="178" t="str">
        <f>IFERROR(__xludf.DUMMYFUNCTION("""COMPUTED_VALUE"""),"ITBISA-7SEGMENT-CATHODE-RED-0.56-1BIT")</f>
        <v>ITBISA-7SEGMENT-CATHODE-RED-0.56-1BIT</v>
      </c>
      <c r="B644" s="266">
        <f>IFERROR(__xludf.DUMMYFUNCTION("""COMPUTED_VALUE"""),43508.0)</f>
        <v>43508</v>
      </c>
      <c r="C644" s="266" t="str">
        <f>IFERROR(__xludf.DUMMYFUNCTION("""COMPUTED_VALUE"""),"AVRG ITB")</f>
        <v>AVRG ITB</v>
      </c>
      <c r="D644" s="186">
        <f>IFERROR(__xludf.DUMMYFUNCTION("""COMPUTED_VALUE"""),10.0)</f>
        <v>10</v>
      </c>
    </row>
    <row r="645">
      <c r="A645" s="178" t="str">
        <f>IFERROR(__xludf.DUMMYFUNCTION("""COMPUTED_VALUE"""),"ITBISA-7SEGMENT-CATHODE-RED-0.56-1BIT")</f>
        <v>ITBISA-7SEGMENT-CATHODE-RED-0.56-1BIT</v>
      </c>
      <c r="B645" s="266">
        <f>IFERROR(__xludf.DUMMYFUNCTION("""COMPUTED_VALUE"""),43521.0)</f>
        <v>43521</v>
      </c>
      <c r="C645" s="266" t="str">
        <f>IFERROR(__xludf.DUMMYFUNCTION("""COMPUTED_VALUE"""),"AVRG ITB")</f>
        <v>AVRG ITB</v>
      </c>
      <c r="D645" s="186">
        <f>IFERROR(__xludf.DUMMYFUNCTION("""COMPUTED_VALUE"""),50.0)</f>
        <v>50</v>
      </c>
    </row>
    <row r="646">
      <c r="A646" s="178" t="str">
        <f>IFERROR(__xludf.DUMMYFUNCTION("""COMPUTED_VALUE"""),"ITBISA-7SEGMENT-CATHODE-RED-0.56-1BIT")</f>
        <v>ITBISA-7SEGMENT-CATHODE-RED-0.56-1BIT</v>
      </c>
      <c r="B646" s="266">
        <f>IFERROR(__xludf.DUMMYFUNCTION("""COMPUTED_VALUE"""),43523.0)</f>
        <v>43523</v>
      </c>
      <c r="C646" s="266" t="str">
        <f>IFERROR(__xludf.DUMMYFUNCTION("""COMPUTED_VALUE"""),"AVRG ITB")</f>
        <v>AVRG ITB</v>
      </c>
      <c r="D646" s="186">
        <f>IFERROR(__xludf.DUMMYFUNCTION("""COMPUTED_VALUE"""),5.0)</f>
        <v>5</v>
      </c>
    </row>
    <row r="647">
      <c r="A647" s="178" t="str">
        <f>IFERROR(__xludf.DUMMYFUNCTION("""COMPUTED_VALUE"""),"ITBISA-7SEGMENT-CATHODE-RED-0.56-1BIT")</f>
        <v>ITBISA-7SEGMENT-CATHODE-RED-0.56-1BIT</v>
      </c>
      <c r="B647" s="266">
        <f>IFERROR(__xludf.DUMMYFUNCTION("""COMPUTED_VALUE"""),43526.0)</f>
        <v>43526</v>
      </c>
      <c r="C647" s="266" t="str">
        <f>IFERROR(__xludf.DUMMYFUNCTION("""COMPUTED_VALUE"""),"AVRG ITB")</f>
        <v>AVRG ITB</v>
      </c>
      <c r="D647" s="186">
        <f>IFERROR(__xludf.DUMMYFUNCTION("""COMPUTED_VALUE"""),45.0)</f>
        <v>45</v>
      </c>
    </row>
    <row r="648">
      <c r="A648" s="178" t="str">
        <f>IFERROR(__xludf.DUMMYFUNCTION("""COMPUTED_VALUE"""),"ITBISA-7SEGMENT-CATHODE-RED-0.56-1BIT")</f>
        <v>ITBISA-7SEGMENT-CATHODE-RED-0.56-1BIT</v>
      </c>
      <c r="B648" s="266">
        <f>IFERROR(__xludf.DUMMYFUNCTION("""COMPUTED_VALUE"""),43533.0)</f>
        <v>43533</v>
      </c>
      <c r="C648" s="266" t="str">
        <f>IFERROR(__xludf.DUMMYFUNCTION("""COMPUTED_VALUE"""),"AVRG ITB")</f>
        <v>AVRG ITB</v>
      </c>
      <c r="D648" s="186">
        <f>IFERROR(__xludf.DUMMYFUNCTION("""COMPUTED_VALUE"""),15.0)</f>
        <v>15</v>
      </c>
    </row>
    <row r="649">
      <c r="A649" s="178" t="str">
        <f>IFERROR(__xludf.DUMMYFUNCTION("""COMPUTED_VALUE"""),"ITBISA-7SEGMENT-CATHODE-RED-0.56-1BIT")</f>
        <v>ITBISA-7SEGMENT-CATHODE-RED-0.56-1BIT</v>
      </c>
      <c r="B649" s="266">
        <f>IFERROR(__xludf.DUMMYFUNCTION("""COMPUTED_VALUE"""),43560.0)</f>
        <v>43560</v>
      </c>
      <c r="C649" s="266" t="str">
        <f>IFERROR(__xludf.DUMMYFUNCTION("""COMPUTED_VALUE"""),"AVRG ITB")</f>
        <v>AVRG ITB</v>
      </c>
      <c r="D649" s="186">
        <f>IFERROR(__xludf.DUMMYFUNCTION("""COMPUTED_VALUE"""),120.0)</f>
        <v>120</v>
      </c>
    </row>
    <row r="650">
      <c r="A650" s="178" t="str">
        <f>IFERROR(__xludf.DUMMYFUNCTION("""COMPUTED_VALUE"""),"ITBISA-7SEGMENT-CATHODE-RED-0.56-1BIT")</f>
        <v>ITBISA-7SEGMENT-CATHODE-RED-0.56-1BIT</v>
      </c>
      <c r="B650" s="266">
        <f>IFERROR(__xludf.DUMMYFUNCTION("""COMPUTED_VALUE"""),43566.0)</f>
        <v>43566</v>
      </c>
      <c r="C650" s="266" t="str">
        <f>IFERROR(__xludf.DUMMYFUNCTION("""COMPUTED_VALUE"""),"AVRG ITB")</f>
        <v>AVRG ITB</v>
      </c>
      <c r="D650" s="186">
        <f>IFERROR(__xludf.DUMMYFUNCTION("""COMPUTED_VALUE"""),105.0)</f>
        <v>105</v>
      </c>
    </row>
    <row r="651">
      <c r="A651" s="178" t="str">
        <f>IFERROR(__xludf.DUMMYFUNCTION("""COMPUTED_VALUE"""),"ITBISA-7SEGMENT-CATHODE-RED-0.56-1BIT")</f>
        <v>ITBISA-7SEGMENT-CATHODE-RED-0.56-1BIT</v>
      </c>
      <c r="B651" s="266">
        <f>IFERROR(__xludf.DUMMYFUNCTION("""COMPUTED_VALUE"""),43571.0)</f>
        <v>43571</v>
      </c>
      <c r="C651" s="266" t="str">
        <f>IFERROR(__xludf.DUMMYFUNCTION("""COMPUTED_VALUE"""),"AVRG ITB")</f>
        <v>AVRG ITB</v>
      </c>
      <c r="D651" s="186">
        <f>IFERROR(__xludf.DUMMYFUNCTION("""COMPUTED_VALUE"""),85.0)</f>
        <v>85</v>
      </c>
    </row>
    <row r="652">
      <c r="A652" s="178" t="str">
        <f>IFERROR(__xludf.DUMMYFUNCTION("""COMPUTED_VALUE"""),"ITBISA-7SEGMENT-CATHODE-RED-0.56-1BIT")</f>
        <v>ITBISA-7SEGMENT-CATHODE-RED-0.56-1BIT</v>
      </c>
      <c r="B652" s="266">
        <f>IFERROR(__xludf.DUMMYFUNCTION("""COMPUTED_VALUE"""),43581.0)</f>
        <v>43581</v>
      </c>
      <c r="C652" s="266" t="str">
        <f>IFERROR(__xludf.DUMMYFUNCTION("""COMPUTED_VALUE"""),"AVRG ITB")</f>
        <v>AVRG ITB</v>
      </c>
      <c r="D652" s="186">
        <f>IFERROR(__xludf.DUMMYFUNCTION("""COMPUTED_VALUE"""),50.0)</f>
        <v>50</v>
      </c>
    </row>
    <row r="653">
      <c r="A653" s="178" t="str">
        <f>IFERROR(__xludf.DUMMYFUNCTION("""COMPUTED_VALUE"""),"ITBISA-7SEGMENT-CATHODE-RED-0.56-1BIT")</f>
        <v>ITBISA-7SEGMENT-CATHODE-RED-0.56-1BIT</v>
      </c>
      <c r="B653" s="266">
        <f>IFERROR(__xludf.DUMMYFUNCTION("""COMPUTED_VALUE"""),43581.0)</f>
        <v>43581</v>
      </c>
      <c r="C653" s="266" t="str">
        <f>IFERROR(__xludf.DUMMYFUNCTION("""COMPUTED_VALUE"""),"AVRG ITB")</f>
        <v>AVRG ITB</v>
      </c>
      <c r="D653" s="186">
        <f>IFERROR(__xludf.DUMMYFUNCTION("""COMPUTED_VALUE"""),55.0)</f>
        <v>55</v>
      </c>
    </row>
    <row r="654">
      <c r="A654" s="178" t="str">
        <f>IFERROR(__xludf.DUMMYFUNCTION("""COMPUTED_VALUE"""),"ITBISA-7SEGMENT-CATHODE-RED-0.56-1BIT")</f>
        <v>ITBISA-7SEGMENT-CATHODE-RED-0.56-1BIT</v>
      </c>
      <c r="B654" s="266">
        <f>IFERROR(__xludf.DUMMYFUNCTION("""COMPUTED_VALUE"""),43581.0)</f>
        <v>43581</v>
      </c>
      <c r="C654" s="266" t="str">
        <f>IFERROR(__xludf.DUMMYFUNCTION("""COMPUTED_VALUE"""),"AVRG ITB")</f>
        <v>AVRG ITB</v>
      </c>
      <c r="D654" s="186">
        <f>IFERROR(__xludf.DUMMYFUNCTION("""COMPUTED_VALUE"""),100.0)</f>
        <v>100</v>
      </c>
    </row>
    <row r="655">
      <c r="A655" s="178" t="str">
        <f>IFERROR(__xludf.DUMMYFUNCTION("""COMPUTED_VALUE"""),"ITBISA-7SEGMENT-CATHODE-RED-0.56-1BIT")</f>
        <v>ITBISA-7SEGMENT-CATHODE-RED-0.56-1BIT</v>
      </c>
      <c r="B655" s="266">
        <f>IFERROR(__xludf.DUMMYFUNCTION("""COMPUTED_VALUE"""),43592.0)</f>
        <v>43592</v>
      </c>
      <c r="C655" s="266" t="str">
        <f>IFERROR(__xludf.DUMMYFUNCTION("""COMPUTED_VALUE"""),"AVRG ITB")</f>
        <v>AVRG ITB</v>
      </c>
      <c r="D655" s="186">
        <f>IFERROR(__xludf.DUMMYFUNCTION("""COMPUTED_VALUE"""),100.0)</f>
        <v>100</v>
      </c>
    </row>
    <row r="656">
      <c r="A656" s="178" t="str">
        <f>IFERROR(__xludf.DUMMYFUNCTION("""COMPUTED_VALUE"""),"ITBISA-7SEGMENT-CATHODE-RED-0.56-1BIT")</f>
        <v>ITBISA-7SEGMENT-CATHODE-RED-0.56-1BIT</v>
      </c>
      <c r="B656" s="266">
        <f>IFERROR(__xludf.DUMMYFUNCTION("""COMPUTED_VALUE"""),43629.0)</f>
        <v>43629</v>
      </c>
      <c r="C656" s="266" t="str">
        <f>IFERROR(__xludf.DUMMYFUNCTION("""COMPUTED_VALUE"""),"RUMAH MUZAKKI")</f>
        <v>RUMAH MUZAKKI</v>
      </c>
      <c r="D656" s="186">
        <f>IFERROR(__xludf.DUMMYFUNCTION("""COMPUTED_VALUE"""),100.0)</f>
        <v>100</v>
      </c>
    </row>
    <row r="657">
      <c r="A657" s="178" t="str">
        <f>IFERROR(__xludf.DUMMYFUNCTION("""COMPUTED_VALUE"""),"ITBISA-7SEGMENT-CATHODE-RED-0.56-1BIT")</f>
        <v>ITBISA-7SEGMENT-CATHODE-RED-0.56-1BIT</v>
      </c>
      <c r="B657" s="266">
        <f>IFERROR(__xludf.DUMMYFUNCTION("""COMPUTED_VALUE"""),43631.0)</f>
        <v>43631</v>
      </c>
      <c r="C657" s="266" t="str">
        <f>IFERROR(__xludf.DUMMYFUNCTION("""COMPUTED_VALUE"""),"RUMAH MUZAKKI")</f>
        <v>RUMAH MUZAKKI</v>
      </c>
      <c r="D657" s="186">
        <f>IFERROR(__xludf.DUMMYFUNCTION("""COMPUTED_VALUE"""),108.0)</f>
        <v>108</v>
      </c>
    </row>
    <row r="658">
      <c r="A658" s="178" t="str">
        <f>IFERROR(__xludf.DUMMYFUNCTION("""COMPUTED_VALUE"""),"ITBISA-7SEGMENT-CATHODE-RED-0.56-1BIT")</f>
        <v>ITBISA-7SEGMENT-CATHODE-RED-0.56-1BIT</v>
      </c>
      <c r="B658" s="266">
        <f>IFERROR(__xludf.DUMMYFUNCTION("""COMPUTED_VALUE"""),43641.0)</f>
        <v>43641</v>
      </c>
      <c r="C658" s="266" t="str">
        <f>IFERROR(__xludf.DUMMYFUNCTION("""COMPUTED_VALUE"""),"RUMAH MUZAKKI")</f>
        <v>RUMAH MUZAKKI</v>
      </c>
      <c r="D658" s="186">
        <f>IFERROR(__xludf.DUMMYFUNCTION("""COMPUTED_VALUE"""),7.0)</f>
        <v>7</v>
      </c>
    </row>
    <row r="659">
      <c r="A659" s="178" t="str">
        <f>IFERROR(__xludf.DUMMYFUNCTION("""COMPUTED_VALUE"""),"ITBISA-7SEGMENT-CATHODE-RED-0.56-1BIT")</f>
        <v>ITBISA-7SEGMENT-CATHODE-RED-0.56-1BIT</v>
      </c>
      <c r="B659" s="266">
        <f>IFERROR(__xludf.DUMMYFUNCTION("""COMPUTED_VALUE"""),43649.0)</f>
        <v>43649</v>
      </c>
      <c r="C659" s="266" t="str">
        <f>IFERROR(__xludf.DUMMYFUNCTION("""COMPUTED_VALUE"""),"RUMAH MUZAKKI")</f>
        <v>RUMAH MUZAKKI</v>
      </c>
      <c r="D659" s="186">
        <f>IFERROR(__xludf.DUMMYFUNCTION("""COMPUTED_VALUE"""),100.0)</f>
        <v>100</v>
      </c>
    </row>
    <row r="660">
      <c r="A660" s="178" t="str">
        <f>IFERROR(__xludf.DUMMYFUNCTION("""COMPUTED_VALUE"""),"ITBISA-7SEGMENT-CATHODE-RED-0.56-1BIT")</f>
        <v>ITBISA-7SEGMENT-CATHODE-RED-0.56-1BIT</v>
      </c>
      <c r="B660" s="266">
        <f>IFERROR(__xludf.DUMMYFUNCTION("""COMPUTED_VALUE"""),43726.0)</f>
        <v>43726</v>
      </c>
      <c r="C660" s="266" t="str">
        <f>IFERROR(__xludf.DUMMYFUNCTION("""COMPUTED_VALUE"""),"RUMAH MUZAKKI")</f>
        <v>RUMAH MUZAKKI</v>
      </c>
      <c r="D660" s="186">
        <f>IFERROR(__xludf.DUMMYFUNCTION("""COMPUTED_VALUE"""),130.0)</f>
        <v>130</v>
      </c>
    </row>
    <row r="661">
      <c r="A661" s="178" t="str">
        <f>IFERROR(__xludf.DUMMYFUNCTION("""COMPUTED_VALUE"""),"ITBISA-7SEGMENT-CATHODE-RED-0.56-1BIT")</f>
        <v>ITBISA-7SEGMENT-CATHODE-RED-0.56-1BIT</v>
      </c>
      <c r="B661" s="266">
        <f>IFERROR(__xludf.DUMMYFUNCTION("""COMPUTED_VALUE"""),43732.0)</f>
        <v>43732</v>
      </c>
      <c r="C661" s="266" t="str">
        <f>IFERROR(__xludf.DUMMYFUNCTION("""COMPUTED_VALUE"""),"RUMAH MUZAKKI")</f>
        <v>RUMAH MUZAKKI</v>
      </c>
      <c r="D661" s="186">
        <f>IFERROR(__xludf.DUMMYFUNCTION("""COMPUTED_VALUE"""),2.0)</f>
        <v>2</v>
      </c>
    </row>
    <row r="662">
      <c r="A662" s="178" t="str">
        <f>IFERROR(__xludf.DUMMYFUNCTION("""COMPUTED_VALUE"""),"ITBISA-7SEGMENT-CATHODE-RED-0.56-1BIT")</f>
        <v>ITBISA-7SEGMENT-CATHODE-RED-0.56-1BIT</v>
      </c>
      <c r="B662" s="266">
        <f>IFERROR(__xludf.DUMMYFUNCTION("""COMPUTED_VALUE"""),43733.0)</f>
        <v>43733</v>
      </c>
      <c r="C662" s="266" t="str">
        <f>IFERROR(__xludf.DUMMYFUNCTION("""COMPUTED_VALUE"""),"RUMAH MUZAKKI")</f>
        <v>RUMAH MUZAKKI</v>
      </c>
      <c r="D662" s="186">
        <f>IFERROR(__xludf.DUMMYFUNCTION("""COMPUTED_VALUE"""),1.0)</f>
        <v>1</v>
      </c>
    </row>
    <row r="663">
      <c r="A663" s="178" t="str">
        <f>IFERROR(__xludf.DUMMYFUNCTION("""COMPUTED_VALUE"""),"ITBISA-7SEGMENT-CATHODE-RED-0.56-1BIT")</f>
        <v>ITBISA-7SEGMENT-CATHODE-RED-0.56-1BIT</v>
      </c>
      <c r="B663" s="266">
        <f>IFERROR(__xludf.DUMMYFUNCTION("""COMPUTED_VALUE"""),43750.0)</f>
        <v>43750</v>
      </c>
      <c r="C663" s="266" t="str">
        <f>IFERROR(__xludf.DUMMYFUNCTION("""COMPUTED_VALUE"""),"RUMAH MUZAKKI")</f>
        <v>RUMAH MUZAKKI</v>
      </c>
      <c r="D663" s="186">
        <f>IFERROR(__xludf.DUMMYFUNCTION("""COMPUTED_VALUE"""),48.0)</f>
        <v>48</v>
      </c>
    </row>
    <row r="664">
      <c r="A664" s="178" t="str">
        <f>IFERROR(__xludf.DUMMYFUNCTION("""COMPUTED_VALUE"""),"ITBISA-7SEGMENT-CATHODE-RED-0.56-1BIT")</f>
        <v>ITBISA-7SEGMENT-CATHODE-RED-0.56-1BIT</v>
      </c>
      <c r="B664" s="266">
        <f>IFERROR(__xludf.DUMMYFUNCTION("""COMPUTED_VALUE"""),43752.0)</f>
        <v>43752</v>
      </c>
      <c r="C664" s="266" t="str">
        <f>IFERROR(__xludf.DUMMYFUNCTION("""COMPUTED_VALUE"""),"RUMAH MUZAKKI")</f>
        <v>RUMAH MUZAKKI</v>
      </c>
      <c r="D664" s="186">
        <f>IFERROR(__xludf.DUMMYFUNCTION("""COMPUTED_VALUE"""),4.0)</f>
        <v>4</v>
      </c>
    </row>
    <row r="665">
      <c r="A665" s="178" t="str">
        <f>IFERROR(__xludf.DUMMYFUNCTION("""COMPUTED_VALUE"""),"ITBISA-7SEGMENT-CATHODE-RED-0.56-1BIT")</f>
        <v>ITBISA-7SEGMENT-CATHODE-RED-0.56-1BIT</v>
      </c>
      <c r="B665" s="266">
        <f>IFERROR(__xludf.DUMMYFUNCTION("""COMPUTED_VALUE"""),43753.0)</f>
        <v>43753</v>
      </c>
      <c r="C665" s="266" t="str">
        <f>IFERROR(__xludf.DUMMYFUNCTION("""COMPUTED_VALUE"""),"RUMAH MUZAKKI")</f>
        <v>RUMAH MUZAKKI</v>
      </c>
      <c r="D665" s="186">
        <f>IFERROR(__xludf.DUMMYFUNCTION("""COMPUTED_VALUE"""),100.0)</f>
        <v>100</v>
      </c>
    </row>
    <row r="666">
      <c r="A666" s="178" t="str">
        <f>IFERROR(__xludf.DUMMYFUNCTION("""COMPUTED_VALUE"""),"ITBISA-7SEGMENT-CATHODE-RED-0.56-1BIT")</f>
        <v>ITBISA-7SEGMENT-CATHODE-RED-0.56-1BIT</v>
      </c>
      <c r="B666" s="266">
        <f>IFERROR(__xludf.DUMMYFUNCTION("""COMPUTED_VALUE"""),43759.0)</f>
        <v>43759</v>
      </c>
      <c r="C666" s="266" t="str">
        <f>IFERROR(__xludf.DUMMYFUNCTION("""COMPUTED_VALUE"""),"RUMAH MUZAKKI")</f>
        <v>RUMAH MUZAKKI</v>
      </c>
      <c r="D666" s="186">
        <f>IFERROR(__xludf.DUMMYFUNCTION("""COMPUTED_VALUE"""),5.0)</f>
        <v>5</v>
      </c>
    </row>
    <row r="667">
      <c r="A667" s="178" t="str">
        <f>IFERROR(__xludf.DUMMYFUNCTION("""COMPUTED_VALUE"""),"ITBISA-7SEGMENT-CATHODE-RED-0.56-1BIT")</f>
        <v>ITBISA-7SEGMENT-CATHODE-RED-0.56-1BIT</v>
      </c>
      <c r="B667" s="266">
        <f>IFERROR(__xludf.DUMMYFUNCTION("""COMPUTED_VALUE"""),43759.0)</f>
        <v>43759</v>
      </c>
      <c r="C667" s="266" t="str">
        <f>IFERROR(__xludf.DUMMYFUNCTION("""COMPUTED_VALUE"""),"RUMAH MUZAKKI")</f>
        <v>RUMAH MUZAKKI</v>
      </c>
      <c r="D667" s="186">
        <f>IFERROR(__xludf.DUMMYFUNCTION("""COMPUTED_VALUE"""),100.0)</f>
        <v>100</v>
      </c>
    </row>
    <row r="668">
      <c r="A668" s="178" t="str">
        <f>IFERROR(__xludf.DUMMYFUNCTION("""COMPUTED_VALUE"""),"ITBISA-7SEGMENT-CATHODE-RED-0.56-1BIT")</f>
        <v>ITBISA-7SEGMENT-CATHODE-RED-0.56-1BIT</v>
      </c>
      <c r="B668" s="266">
        <f>IFERROR(__xludf.DUMMYFUNCTION("""COMPUTED_VALUE"""),43770.0)</f>
        <v>43770</v>
      </c>
      <c r="C668" s="266" t="str">
        <f>IFERROR(__xludf.DUMMYFUNCTION("""COMPUTED_VALUE"""),"RUMAH MUZAKKI")</f>
        <v>RUMAH MUZAKKI</v>
      </c>
      <c r="D668" s="186">
        <f>IFERROR(__xludf.DUMMYFUNCTION("""COMPUTED_VALUE"""),24.0)</f>
        <v>24</v>
      </c>
    </row>
    <row r="669">
      <c r="A669" s="178" t="str">
        <f>IFERROR(__xludf.DUMMYFUNCTION("""COMPUTED_VALUE"""),"ITBISA-7SEGMENT-CATHODE-RED-0.56-1BIT")</f>
        <v>ITBISA-7SEGMENT-CATHODE-RED-0.56-1BIT</v>
      </c>
      <c r="B669" s="266">
        <f>IFERROR(__xludf.DUMMYFUNCTION("""COMPUTED_VALUE"""),43782.0)</f>
        <v>43782</v>
      </c>
      <c r="C669" s="266" t="str">
        <f>IFERROR(__xludf.DUMMYFUNCTION("""COMPUTED_VALUE"""),"RUMAH MUZAKKI")</f>
        <v>RUMAH MUZAKKI</v>
      </c>
      <c r="D669" s="186">
        <f>IFERROR(__xludf.DUMMYFUNCTION("""COMPUTED_VALUE"""),10.0)</f>
        <v>10</v>
      </c>
    </row>
    <row r="670">
      <c r="A670" s="178" t="str">
        <f>IFERROR(__xludf.DUMMYFUNCTION("""COMPUTED_VALUE"""),"ITBISA-7SEGMENT-CATHODE-RED-0.56-1BIT")</f>
        <v>ITBISA-7SEGMENT-CATHODE-RED-0.56-1BIT</v>
      </c>
      <c r="B670" s="266">
        <f>IFERROR(__xludf.DUMMYFUNCTION("""COMPUTED_VALUE"""),43788.0)</f>
        <v>43788</v>
      </c>
      <c r="C670" s="266" t="str">
        <f>IFERROR(__xludf.DUMMYFUNCTION("""COMPUTED_VALUE"""),"RUMAH MUZAKKI")</f>
        <v>RUMAH MUZAKKI</v>
      </c>
      <c r="D670" s="186">
        <f>IFERROR(__xludf.DUMMYFUNCTION("""COMPUTED_VALUE"""),3.0)</f>
        <v>3</v>
      </c>
    </row>
    <row r="671">
      <c r="A671" s="178" t="str">
        <f>IFERROR(__xludf.DUMMYFUNCTION("""COMPUTED_VALUE"""),"ITBISA-7SEGMENT-CATHODE-RED-0.56-1BIT")</f>
        <v>ITBISA-7SEGMENT-CATHODE-RED-0.56-1BIT</v>
      </c>
      <c r="B671" s="266">
        <f>IFERROR(__xludf.DUMMYFUNCTION("""COMPUTED_VALUE"""),43788.0)</f>
        <v>43788</v>
      </c>
      <c r="C671" s="266" t="str">
        <f>IFERROR(__xludf.DUMMYFUNCTION("""COMPUTED_VALUE"""),"RUMAH MUZAKKI")</f>
        <v>RUMAH MUZAKKI</v>
      </c>
      <c r="D671" s="186">
        <f>IFERROR(__xludf.DUMMYFUNCTION("""COMPUTED_VALUE"""),8.0)</f>
        <v>8</v>
      </c>
    </row>
    <row r="672">
      <c r="A672" s="178" t="str">
        <f>IFERROR(__xludf.DUMMYFUNCTION("""COMPUTED_VALUE"""),"ITBISA-7SEGMENT-CATHODE-RED-0.56-1BIT")</f>
        <v>ITBISA-7SEGMENT-CATHODE-RED-0.56-1BIT</v>
      </c>
      <c r="B672" s="266">
        <f>IFERROR(__xludf.DUMMYFUNCTION("""COMPUTED_VALUE"""),43798.0)</f>
        <v>43798</v>
      </c>
      <c r="C672" s="266" t="str">
        <f>IFERROR(__xludf.DUMMYFUNCTION("""COMPUTED_VALUE"""),"RUMAH MUZAKKI")</f>
        <v>RUMAH MUZAKKI</v>
      </c>
      <c r="D672" s="186">
        <f>IFERROR(__xludf.DUMMYFUNCTION("""COMPUTED_VALUE"""),12.0)</f>
        <v>12</v>
      </c>
    </row>
    <row r="673">
      <c r="A673" s="178" t="str">
        <f>IFERROR(__xludf.DUMMYFUNCTION("""COMPUTED_VALUE"""),"ITBISA-7SEGMENT-CATHODE-RED-0.56-1BIT")</f>
        <v>ITBISA-7SEGMENT-CATHODE-RED-0.56-1BIT</v>
      </c>
      <c r="B673" s="266">
        <f>IFERROR(__xludf.DUMMYFUNCTION("""COMPUTED_VALUE"""),43803.0)</f>
        <v>43803</v>
      </c>
      <c r="C673" s="266" t="str">
        <f>IFERROR(__xludf.DUMMYFUNCTION("""COMPUTED_VALUE"""),"AVRG ITB")</f>
        <v>AVRG ITB</v>
      </c>
      <c r="D673" s="186">
        <f>IFERROR(__xludf.DUMMYFUNCTION("""COMPUTED_VALUE"""),100.0)</f>
        <v>100</v>
      </c>
    </row>
    <row r="674">
      <c r="A674" s="178" t="str">
        <f>IFERROR(__xludf.DUMMYFUNCTION("""COMPUTED_VALUE"""),"ITBISA-7SEGMENT-CATHODE-RED-0.56-1BIT")</f>
        <v>ITBISA-7SEGMENT-CATHODE-RED-0.56-1BIT</v>
      </c>
      <c r="B674" s="266">
        <f>IFERROR(__xludf.DUMMYFUNCTION("""COMPUTED_VALUE"""),43841.0)</f>
        <v>43841</v>
      </c>
      <c r="C674" s="266" t="str">
        <f>IFERROR(__xludf.DUMMYFUNCTION("""COMPUTED_VALUE"""),"AVRG ITB")</f>
        <v>AVRG ITB</v>
      </c>
      <c r="D674" s="186">
        <f>IFERROR(__xludf.DUMMYFUNCTION("""COMPUTED_VALUE"""),70.0)</f>
        <v>70</v>
      </c>
    </row>
    <row r="675">
      <c r="A675" s="178" t="str">
        <f>IFERROR(__xludf.DUMMYFUNCTION("""COMPUTED_VALUE"""),"ITBISA-7SEGMENT-CATHODE-RED-0.56-1BIT")</f>
        <v>ITBISA-7SEGMENT-CATHODE-RED-0.56-1BIT</v>
      </c>
      <c r="B675" s="266">
        <f>IFERROR(__xludf.DUMMYFUNCTION("""COMPUTED_VALUE"""),43843.0)</f>
        <v>43843</v>
      </c>
      <c r="C675" s="266" t="str">
        <f>IFERROR(__xludf.DUMMYFUNCTION("""COMPUTED_VALUE"""),"AVRG ITB")</f>
        <v>AVRG ITB</v>
      </c>
      <c r="D675" s="186">
        <f>IFERROR(__xludf.DUMMYFUNCTION("""COMPUTED_VALUE"""),10.0)</f>
        <v>10</v>
      </c>
    </row>
    <row r="676">
      <c r="A676" s="178" t="str">
        <f>IFERROR(__xludf.DUMMYFUNCTION("""COMPUTED_VALUE"""),"ITBISA-7SEGMENT-CATHODE-RED-0.56-1BIT")</f>
        <v>ITBISA-7SEGMENT-CATHODE-RED-0.56-1BIT</v>
      </c>
      <c r="B676" s="266">
        <f>IFERROR(__xludf.DUMMYFUNCTION("""COMPUTED_VALUE"""),43877.0)</f>
        <v>43877</v>
      </c>
      <c r="C676" s="266" t="str">
        <f>IFERROR(__xludf.DUMMYFUNCTION("""COMPUTED_VALUE"""),"AVRG ITB")</f>
        <v>AVRG ITB</v>
      </c>
      <c r="D676" s="186">
        <f>IFERROR(__xludf.DUMMYFUNCTION("""COMPUTED_VALUE"""),32.0)</f>
        <v>32</v>
      </c>
    </row>
    <row r="677">
      <c r="A677" s="178" t="str">
        <f>IFERROR(__xludf.DUMMYFUNCTION("""COMPUTED_VALUE"""),"ITBISA-7SEGMENT-CATHODE-RED-0.56-1BIT")</f>
        <v>ITBISA-7SEGMENT-CATHODE-RED-0.56-1BIT</v>
      </c>
      <c r="B677" s="266">
        <f>IFERROR(__xludf.DUMMYFUNCTION("""COMPUTED_VALUE"""),43896.0)</f>
        <v>43896</v>
      </c>
      <c r="C677" s="266" t="str">
        <f>IFERROR(__xludf.DUMMYFUNCTION("""COMPUTED_VALUE"""),"AVRG ITB")</f>
        <v>AVRG ITB</v>
      </c>
      <c r="D677" s="186">
        <f>IFERROR(__xludf.DUMMYFUNCTION("""COMPUTED_VALUE"""),40.0)</f>
        <v>40</v>
      </c>
    </row>
    <row r="678">
      <c r="A678" s="178" t="str">
        <f>IFERROR(__xludf.DUMMYFUNCTION("""COMPUTED_VALUE"""),"ITBISA-7SEGMENT-CATHODE-RED-0.56-1BIT")</f>
        <v>ITBISA-7SEGMENT-CATHODE-RED-0.56-1BIT</v>
      </c>
      <c r="B678" s="266">
        <f>IFERROR(__xludf.DUMMYFUNCTION("""COMPUTED_VALUE"""),43927.0)</f>
        <v>43927</v>
      </c>
      <c r="C678" s="266" t="str">
        <f>IFERROR(__xludf.DUMMYFUNCTION("""COMPUTED_VALUE"""),"KAETOBO RESIDENCE")</f>
        <v>KAETOBO RESIDENCE</v>
      </c>
      <c r="D678" s="186">
        <f>IFERROR(__xludf.DUMMYFUNCTION("""COMPUTED_VALUE"""),200.0)</f>
        <v>200</v>
      </c>
    </row>
    <row r="679">
      <c r="A679" s="178" t="str">
        <f>IFERROR(__xludf.DUMMYFUNCTION("""COMPUTED_VALUE"""),"ITBISA-7SEGMENT-CATHODE-RED-0.56-1BIT")</f>
        <v>ITBISA-7SEGMENT-CATHODE-RED-0.56-1BIT</v>
      </c>
      <c r="B679" s="266">
        <f>IFERROR(__xludf.DUMMYFUNCTION("""COMPUTED_VALUE"""),43929.0)</f>
        <v>43929</v>
      </c>
      <c r="C679" s="266" t="str">
        <f>IFERROR(__xludf.DUMMYFUNCTION("""COMPUTED_VALUE"""),"KAETOBO RESIDENCE")</f>
        <v>KAETOBO RESIDENCE</v>
      </c>
      <c r="D679" s="186">
        <f>IFERROR(__xludf.DUMMYFUNCTION("""COMPUTED_VALUE"""),200.0)</f>
        <v>200</v>
      </c>
    </row>
    <row r="680">
      <c r="A680" s="178" t="str">
        <f>IFERROR(__xludf.DUMMYFUNCTION("""COMPUTED_VALUE"""),"ITBISA-7SEGMENT-CATHODE-RED-0.56-1BIT")</f>
        <v>ITBISA-7SEGMENT-CATHODE-RED-0.56-1BIT</v>
      </c>
      <c r="B680" s="266">
        <f>IFERROR(__xludf.DUMMYFUNCTION("""COMPUTED_VALUE"""),43948.0)</f>
        <v>43948</v>
      </c>
      <c r="C680" s="266" t="str">
        <f>IFERROR(__xludf.DUMMYFUNCTION("""COMPUTED_VALUE"""),"KAETOBO RESIDENCE")</f>
        <v>KAETOBO RESIDENCE</v>
      </c>
      <c r="D680" s="186">
        <f>IFERROR(__xludf.DUMMYFUNCTION("""COMPUTED_VALUE"""),100.0)</f>
        <v>100</v>
      </c>
    </row>
    <row r="681">
      <c r="A681" s="178" t="str">
        <f>IFERROR(__xludf.DUMMYFUNCTION("""COMPUTED_VALUE"""),"ITBISA-7SEGMENT-CATHODE-RED-0.56-1BIT")</f>
        <v>ITBISA-7SEGMENT-CATHODE-RED-0.56-1BIT</v>
      </c>
      <c r="B681" s="266">
        <f>IFERROR(__xludf.DUMMYFUNCTION("""COMPUTED_VALUE"""),43951.0)</f>
        <v>43951</v>
      </c>
      <c r="C681" s="266" t="str">
        <f>IFERROR(__xludf.DUMMYFUNCTION("""COMPUTED_VALUE"""),"KAETOBO RESIDENCE")</f>
        <v>KAETOBO RESIDENCE</v>
      </c>
      <c r="D681" s="186">
        <f>IFERROR(__xludf.DUMMYFUNCTION("""COMPUTED_VALUE"""),30.0)</f>
        <v>30</v>
      </c>
    </row>
    <row r="682">
      <c r="A682" s="178" t="str">
        <f>IFERROR(__xludf.DUMMYFUNCTION("""COMPUTED_VALUE"""),"ITBISA-7SEGMENT-CATHODE-RED-0.56-1BIT")</f>
        <v>ITBISA-7SEGMENT-CATHODE-RED-0.56-1BIT</v>
      </c>
      <c r="B682" s="266">
        <f>IFERROR(__xludf.DUMMYFUNCTION("""COMPUTED_VALUE"""),43976.0)</f>
        <v>43976</v>
      </c>
      <c r="C682" s="266" t="str">
        <f>IFERROR(__xludf.DUMMYFUNCTION("""COMPUTED_VALUE"""),"KAETOBO RESIDENCE")</f>
        <v>KAETOBO RESIDENCE</v>
      </c>
      <c r="D682" s="186">
        <f>IFERROR(__xludf.DUMMYFUNCTION("""COMPUTED_VALUE"""),50.0)</f>
        <v>50</v>
      </c>
    </row>
    <row r="683">
      <c r="A683" s="178" t="str">
        <f>IFERROR(__xludf.DUMMYFUNCTION("""COMPUTED_VALUE"""),"ITBISA-7SEGMENT-CATHODE-RED-0.56-1BIT")</f>
        <v>ITBISA-7SEGMENT-CATHODE-RED-0.56-1BIT</v>
      </c>
      <c r="B683" s="266">
        <f>IFERROR(__xludf.DUMMYFUNCTION("""COMPUTED_VALUE"""),43990.0)</f>
        <v>43990</v>
      </c>
      <c r="C683" s="266" t="str">
        <f>IFERROR(__xludf.DUMMYFUNCTION("""COMPUTED_VALUE"""),"KAETOBO RESIDENCE")</f>
        <v>KAETOBO RESIDENCE</v>
      </c>
      <c r="D683" s="186">
        <f>IFERROR(__xludf.DUMMYFUNCTION("""COMPUTED_VALUE"""),4.0)</f>
        <v>4</v>
      </c>
    </row>
    <row r="684">
      <c r="A684" s="178" t="str">
        <f>IFERROR(__xludf.DUMMYFUNCTION("""COMPUTED_VALUE"""),"ITBISA-7SEGMENT-CATHODE-RED-0.56-1BIT")</f>
        <v>ITBISA-7SEGMENT-CATHODE-RED-0.56-1BIT</v>
      </c>
      <c r="B684" s="266">
        <f>IFERROR(__xludf.DUMMYFUNCTION("""COMPUTED_VALUE"""),44008.0)</f>
        <v>44008</v>
      </c>
      <c r="C684" s="266" t="str">
        <f>IFERROR(__xludf.DUMMYFUNCTION("""COMPUTED_VALUE"""),"KAETOBO RESIDENCE")</f>
        <v>KAETOBO RESIDENCE</v>
      </c>
      <c r="D684" s="186">
        <f>IFERROR(__xludf.DUMMYFUNCTION("""COMPUTED_VALUE"""),8.0)</f>
        <v>8</v>
      </c>
    </row>
    <row r="685">
      <c r="A685" s="178" t="str">
        <f>IFERROR(__xludf.DUMMYFUNCTION("""COMPUTED_VALUE"""),"ITBISA-7SEGMENT-CATHODE-RED-0.56-1BIT")</f>
        <v>ITBISA-7SEGMENT-CATHODE-RED-0.56-1BIT</v>
      </c>
      <c r="B685" s="266">
        <f>IFERROR(__xludf.DUMMYFUNCTION("""COMPUTED_VALUE"""),44008.0)</f>
        <v>44008</v>
      </c>
      <c r="C685" s="266" t="str">
        <f>IFERROR(__xludf.DUMMYFUNCTION("""COMPUTED_VALUE"""),"KAETOBO RESIDENCE")</f>
        <v>KAETOBO RESIDENCE</v>
      </c>
      <c r="D685" s="186">
        <f>IFERROR(__xludf.DUMMYFUNCTION("""COMPUTED_VALUE"""),50.0)</f>
        <v>50</v>
      </c>
    </row>
    <row r="686">
      <c r="A686" s="178" t="str">
        <f>IFERROR(__xludf.DUMMYFUNCTION("""COMPUTED_VALUE"""),"ITBISA-7SEGMENT-CATHODE-RED-0.56-1BIT")</f>
        <v>ITBISA-7SEGMENT-CATHODE-RED-0.56-1BIT</v>
      </c>
      <c r="B686" s="266">
        <f>IFERROR(__xludf.DUMMYFUNCTION("""COMPUTED_VALUE"""),44008.0)</f>
        <v>44008</v>
      </c>
      <c r="C686" s="266" t="str">
        <f>IFERROR(__xludf.DUMMYFUNCTION("""COMPUTED_VALUE"""),"KAETOBO RESIDENCE")</f>
        <v>KAETOBO RESIDENCE</v>
      </c>
      <c r="D686" s="186">
        <f>IFERROR(__xludf.DUMMYFUNCTION("""COMPUTED_VALUE"""),50.0)</f>
        <v>50</v>
      </c>
    </row>
    <row r="687">
      <c r="A687" s="178" t="str">
        <f>IFERROR(__xludf.DUMMYFUNCTION("""COMPUTED_VALUE"""),"ITBISA-7SEGMENT-CATHODE-RED-0.56-1BIT")</f>
        <v>ITBISA-7SEGMENT-CATHODE-RED-0.56-1BIT</v>
      </c>
      <c r="B687" s="266">
        <f>IFERROR(__xludf.DUMMYFUNCTION("""COMPUTED_VALUE"""),44016.0)</f>
        <v>44016</v>
      </c>
      <c r="C687" s="266" t="str">
        <f>IFERROR(__xludf.DUMMYFUNCTION("""COMPUTED_VALUE"""),"KAETOBO RESIDENCE")</f>
        <v>KAETOBO RESIDENCE</v>
      </c>
      <c r="D687" s="186">
        <f>IFERROR(__xludf.DUMMYFUNCTION("""COMPUTED_VALUE"""),17.0)</f>
        <v>17</v>
      </c>
    </row>
    <row r="688">
      <c r="A688" s="178" t="str">
        <f>IFERROR(__xludf.DUMMYFUNCTION("""COMPUTED_VALUE"""),"ITBISA-7SEGMENT-CATHODE-RED-0.56-1BIT")</f>
        <v>ITBISA-7SEGMENT-CATHODE-RED-0.56-1BIT</v>
      </c>
      <c r="B688" s="266">
        <f>IFERROR(__xludf.DUMMYFUNCTION("""COMPUTED_VALUE"""),44022.0)</f>
        <v>44022</v>
      </c>
      <c r="C688" s="266" t="str">
        <f>IFERROR(__xludf.DUMMYFUNCTION("""COMPUTED_VALUE"""),"KAETOBO RESIDENCE")</f>
        <v>KAETOBO RESIDENCE</v>
      </c>
      <c r="D688" s="186">
        <f>IFERROR(__xludf.DUMMYFUNCTION("""COMPUTED_VALUE"""),8.0)</f>
        <v>8</v>
      </c>
    </row>
    <row r="689">
      <c r="A689" s="178" t="str">
        <f>IFERROR(__xludf.DUMMYFUNCTION("""COMPUTED_VALUE"""),"ITBISA-7SEGMENT-CATHODE-RED-0.56-1BIT")</f>
        <v>ITBISA-7SEGMENT-CATHODE-RED-0.56-1BIT</v>
      </c>
      <c r="B689" s="266">
        <f>IFERROR(__xludf.DUMMYFUNCTION("""COMPUTED_VALUE"""),44143.0)</f>
        <v>44143</v>
      </c>
      <c r="C689" s="266" t="str">
        <f>IFERROR(__xludf.DUMMYFUNCTION("""COMPUTED_VALUE"""),"KOST RUMAHUMI")</f>
        <v>KOST RUMAHUMI</v>
      </c>
      <c r="D689" s="186">
        <f>IFERROR(__xludf.DUMMYFUNCTION("""COMPUTED_VALUE"""),83.0)</f>
        <v>83</v>
      </c>
    </row>
    <row r="690">
      <c r="A690" s="178" t="str">
        <f>IFERROR(__xludf.DUMMYFUNCTION("""COMPUTED_VALUE"""),"ITBISA-7SEGMENT-CATHODE-RED-0.56-1BIT")</f>
        <v>ITBISA-7SEGMENT-CATHODE-RED-0.56-1BIT</v>
      </c>
      <c r="B690" s="266">
        <f>IFERROR(__xludf.DUMMYFUNCTION("""COMPUTED_VALUE"""),44148.0)</f>
        <v>44148</v>
      </c>
      <c r="C690" s="266" t="str">
        <f>IFERROR(__xludf.DUMMYFUNCTION("""COMPUTED_VALUE"""),"KOST RUMAHUMI")</f>
        <v>KOST RUMAHUMI</v>
      </c>
      <c r="D690" s="186">
        <f>IFERROR(__xludf.DUMMYFUNCTION("""COMPUTED_VALUE"""),1.0)</f>
        <v>1</v>
      </c>
    </row>
    <row r="691">
      <c r="A691" s="178" t="str">
        <f>IFERROR(__xludf.DUMMYFUNCTION("""COMPUTED_VALUE"""),"ITBISA-7SEGMENT-CATHODE-RED-0.56-1BIT")</f>
        <v>ITBISA-7SEGMENT-CATHODE-RED-0.56-1BIT</v>
      </c>
      <c r="B691" s="266">
        <f>IFERROR(__xludf.DUMMYFUNCTION("""COMPUTED_VALUE"""),44184.0)</f>
        <v>44184</v>
      </c>
      <c r="C691" s="266" t="str">
        <f>IFERROR(__xludf.DUMMYFUNCTION("""COMPUTED_VALUE"""),"KOST RUMAHUMI")</f>
        <v>KOST RUMAHUMI</v>
      </c>
      <c r="D691" s="186">
        <f>IFERROR(__xludf.DUMMYFUNCTION("""COMPUTED_VALUE"""),4.0)</f>
        <v>4</v>
      </c>
    </row>
    <row r="692">
      <c r="A692" s="178" t="str">
        <f>IFERROR(__xludf.DUMMYFUNCTION("""COMPUTED_VALUE"""),"ITBISA-7SEGMENT-CATHODE-RED-0.56-1BIT")</f>
        <v>ITBISA-7SEGMENT-CATHODE-RED-0.56-1BIT</v>
      </c>
      <c r="B692" s="266">
        <f>IFERROR(__xludf.DUMMYFUNCTION("""COMPUTED_VALUE"""),44189.0)</f>
        <v>44189</v>
      </c>
      <c r="C692" s="266" t="str">
        <f>IFERROR(__xludf.DUMMYFUNCTION("""COMPUTED_VALUE"""),"KOST RUMAHUMI")</f>
        <v>KOST RUMAHUMI</v>
      </c>
      <c r="D692" s="186">
        <f>IFERROR(__xludf.DUMMYFUNCTION("""COMPUTED_VALUE"""),3.0)</f>
        <v>3</v>
      </c>
    </row>
    <row r="693">
      <c r="A693" s="178" t="str">
        <f>IFERROR(__xludf.DUMMYFUNCTION("""COMPUTED_VALUE"""),"ITBISA-7SEGMENT-CATHODE-RED-0.56-1BIT")</f>
        <v>ITBISA-7SEGMENT-CATHODE-RED-0.56-1BIT</v>
      </c>
      <c r="B693" s="266">
        <f>IFERROR(__xludf.DUMMYFUNCTION("""COMPUTED_VALUE"""),44214.0)</f>
        <v>44214</v>
      </c>
      <c r="C693" s="266" t="str">
        <f>IFERROR(__xludf.DUMMYFUNCTION("""COMPUTED_VALUE"""),"KOST RUMAHUMI")</f>
        <v>KOST RUMAHUMI</v>
      </c>
      <c r="D693" s="186">
        <f>IFERROR(__xludf.DUMMYFUNCTION("""COMPUTED_VALUE"""),25.0)</f>
        <v>25</v>
      </c>
    </row>
    <row r="694">
      <c r="A694" s="178" t="str">
        <f>IFERROR(__xludf.DUMMYFUNCTION("""COMPUTED_VALUE"""),"ITBISA-7SEGMENT-CATHODE-RED-0.56-1BIT")</f>
        <v>ITBISA-7SEGMENT-CATHODE-RED-0.56-1BIT</v>
      </c>
      <c r="B694" s="266">
        <f>IFERROR(__xludf.DUMMYFUNCTION("""COMPUTED_VALUE"""),44263.0)</f>
        <v>44263</v>
      </c>
      <c r="C694" s="266" t="str">
        <f>IFERROR(__xludf.DUMMYFUNCTION("""COMPUTED_VALUE"""),"KOST RUMAHUMI")</f>
        <v>KOST RUMAHUMI</v>
      </c>
      <c r="D694" s="186">
        <f>IFERROR(__xludf.DUMMYFUNCTION("""COMPUTED_VALUE"""),50.0)</f>
        <v>50</v>
      </c>
    </row>
    <row r="695">
      <c r="A695" s="178" t="str">
        <f>IFERROR(__xludf.DUMMYFUNCTION("""COMPUTED_VALUE"""),"ITBISA-7SEGMENT-CATHODE-RED-0.56-1BIT")</f>
        <v>ITBISA-7SEGMENT-CATHODE-RED-0.56-1BIT</v>
      </c>
      <c r="B695" s="266">
        <f>IFERROR(__xludf.DUMMYFUNCTION("""COMPUTED_VALUE"""),44280.0)</f>
        <v>44280</v>
      </c>
      <c r="C695" s="266" t="str">
        <f>IFERROR(__xludf.DUMMYFUNCTION("""COMPUTED_VALUE"""),"KOST RUMAHUMI")</f>
        <v>KOST RUMAHUMI</v>
      </c>
      <c r="D695" s="186">
        <f>IFERROR(__xludf.DUMMYFUNCTION("""COMPUTED_VALUE"""),5.0)</f>
        <v>5</v>
      </c>
    </row>
    <row r="696">
      <c r="A696" s="178" t="str">
        <f>IFERROR(__xludf.DUMMYFUNCTION("""COMPUTED_VALUE"""),"ITBISA-7SEGMENT-CATHODE-RED-0.56-1BIT")</f>
        <v>ITBISA-7SEGMENT-CATHODE-RED-0.56-1BIT</v>
      </c>
      <c r="B696" s="266">
        <f>IFERROR(__xludf.DUMMYFUNCTION("""COMPUTED_VALUE"""),44318.0)</f>
        <v>44318</v>
      </c>
      <c r="C696" s="266" t="str">
        <f>IFERROR(__xludf.DUMMYFUNCTION("""COMPUTED_VALUE"""),"KOST RUMAHUMI")</f>
        <v>KOST RUMAHUMI</v>
      </c>
      <c r="D696" s="186">
        <f>IFERROR(__xludf.DUMMYFUNCTION("""COMPUTED_VALUE"""),20.0)</f>
        <v>20</v>
      </c>
    </row>
    <row r="697">
      <c r="A697" s="178" t="str">
        <f>IFERROR(__xludf.DUMMYFUNCTION("""COMPUTED_VALUE"""),"ITBISA-7SEGMENT-CATHODE-RED-0.56-1BIT")</f>
        <v>ITBISA-7SEGMENT-CATHODE-RED-0.56-1BIT</v>
      </c>
      <c r="B697" s="266">
        <f>IFERROR(__xludf.DUMMYFUNCTION("""COMPUTED_VALUE"""),44349.0)</f>
        <v>44349</v>
      </c>
      <c r="C697" s="266" t="str">
        <f>IFERROR(__xludf.DUMMYFUNCTION("""COMPUTED_VALUE"""),"KOST RUMAHUMI")</f>
        <v>KOST RUMAHUMI</v>
      </c>
      <c r="D697" s="186">
        <f>IFERROR(__xludf.DUMMYFUNCTION("""COMPUTED_VALUE"""),5.0)</f>
        <v>5</v>
      </c>
    </row>
    <row r="698">
      <c r="A698" s="178" t="str">
        <f>IFERROR(__xludf.DUMMYFUNCTION("""COMPUTED_VALUE"""),"ITBISA-7SEGMENT-CATHODE-RED-0.56-1BIT")</f>
        <v>ITBISA-7SEGMENT-CATHODE-RED-0.56-1BIT</v>
      </c>
      <c r="B698" s="266">
        <f>IFERROR(__xludf.DUMMYFUNCTION("""COMPUTED_VALUE"""),44350.0)</f>
        <v>44350</v>
      </c>
      <c r="C698" s="266" t="str">
        <f>IFERROR(__xludf.DUMMYFUNCTION("""COMPUTED_VALUE"""),"KOST RUMAHUMI")</f>
        <v>KOST RUMAHUMI</v>
      </c>
      <c r="D698" s="186">
        <f>IFERROR(__xludf.DUMMYFUNCTION("""COMPUTED_VALUE"""),5.0)</f>
        <v>5</v>
      </c>
    </row>
    <row r="699">
      <c r="A699" s="178" t="str">
        <f>IFERROR(__xludf.DUMMYFUNCTION("""COMPUTED_VALUE"""),"ITBISA-7SEGMENT-CATHODE-RED-0.56-1BIT")</f>
        <v>ITBISA-7SEGMENT-CATHODE-RED-0.56-1BIT</v>
      </c>
      <c r="B699" s="266">
        <f>IFERROR(__xludf.DUMMYFUNCTION("""COMPUTED_VALUE"""),44356.0)</f>
        <v>44356</v>
      </c>
      <c r="C699" s="266" t="str">
        <f>IFERROR(__xludf.DUMMYFUNCTION("""COMPUTED_VALUE"""),"KOST RUMAHUMI")</f>
        <v>KOST RUMAHUMI</v>
      </c>
      <c r="D699" s="186">
        <f>IFERROR(__xludf.DUMMYFUNCTION("""COMPUTED_VALUE"""),3.0)</f>
        <v>3</v>
      </c>
    </row>
    <row r="700">
      <c r="A700" s="178" t="str">
        <f>IFERROR(__xludf.DUMMYFUNCTION("""COMPUTED_VALUE"""),"ITBISA-7SEGMENT-CATHODE-RED-0.56-1BIT")</f>
        <v>ITBISA-7SEGMENT-CATHODE-RED-0.56-1BIT</v>
      </c>
      <c r="B700" s="266">
        <f>IFERROR(__xludf.DUMMYFUNCTION("""COMPUTED_VALUE"""),44361.0)</f>
        <v>44361</v>
      </c>
      <c r="C700" s="266" t="str">
        <f>IFERROR(__xludf.DUMMYFUNCTION("""COMPUTED_VALUE"""),"KOST RUMAHUMI")</f>
        <v>KOST RUMAHUMI</v>
      </c>
      <c r="D700" s="186">
        <f>IFERROR(__xludf.DUMMYFUNCTION("""COMPUTED_VALUE"""),20.0)</f>
        <v>20</v>
      </c>
    </row>
    <row r="701">
      <c r="A701" s="178" t="str">
        <f>IFERROR(__xludf.DUMMYFUNCTION("""COMPUTED_VALUE"""),"ITBISA-7SEGMENT-CATHODE-RED-0.56-1BIT")</f>
        <v>ITBISA-7SEGMENT-CATHODE-RED-0.56-1BIT</v>
      </c>
      <c r="B701" s="266">
        <f>IFERROR(__xludf.DUMMYFUNCTION("""COMPUTED_VALUE"""),44379.0)</f>
        <v>44379</v>
      </c>
      <c r="C701" s="266" t="str">
        <f>IFERROR(__xludf.DUMMYFUNCTION("""COMPUTED_VALUE"""),"KOST RUMAHUMI")</f>
        <v>KOST RUMAHUMI</v>
      </c>
      <c r="D701" s="186">
        <f>IFERROR(__xludf.DUMMYFUNCTION("""COMPUTED_VALUE"""),10.0)</f>
        <v>10</v>
      </c>
    </row>
    <row r="702">
      <c r="A702" s="178" t="str">
        <f>IFERROR(__xludf.DUMMYFUNCTION("""COMPUTED_VALUE"""),"ITBISA-7SEGMENT-CATHODE-RED-0.56-1BIT")</f>
        <v>ITBISA-7SEGMENT-CATHODE-RED-0.56-1BIT</v>
      </c>
      <c r="B702" s="266">
        <f>IFERROR(__xludf.DUMMYFUNCTION("""COMPUTED_VALUE"""),44386.0)</f>
        <v>44386</v>
      </c>
      <c r="C702" s="266" t="str">
        <f>IFERROR(__xludf.DUMMYFUNCTION("""COMPUTED_VALUE"""),"KOST RUMAHUMI")</f>
        <v>KOST RUMAHUMI</v>
      </c>
      <c r="D702" s="186">
        <f>IFERROR(__xludf.DUMMYFUNCTION("""COMPUTED_VALUE"""),6.0)</f>
        <v>6</v>
      </c>
    </row>
    <row r="703">
      <c r="A703" s="178" t="str">
        <f>IFERROR(__xludf.DUMMYFUNCTION("""COMPUTED_VALUE"""),"ITBISA-7SEGMENT-CATHODE-RED-0.56-1BIT")</f>
        <v>ITBISA-7SEGMENT-CATHODE-RED-0.56-1BIT</v>
      </c>
      <c r="B703" s="266">
        <f>IFERROR(__xludf.DUMMYFUNCTION("""COMPUTED_VALUE"""),44386.0)</f>
        <v>44386</v>
      </c>
      <c r="C703" s="266" t="str">
        <f>IFERROR(__xludf.DUMMYFUNCTION("""COMPUTED_VALUE"""),"KOST RUMAHUMI")</f>
        <v>KOST RUMAHUMI</v>
      </c>
      <c r="D703" s="186">
        <f>IFERROR(__xludf.DUMMYFUNCTION("""COMPUTED_VALUE"""),30.0)</f>
        <v>30</v>
      </c>
    </row>
    <row r="704">
      <c r="A704" s="178" t="str">
        <f>IFERROR(__xludf.DUMMYFUNCTION("""COMPUTED_VALUE"""),"ITBISA-7SEGMENT-CATHODE-RED-0.56-1BIT")</f>
        <v>ITBISA-7SEGMENT-CATHODE-RED-0.56-1BIT</v>
      </c>
      <c r="B704" s="266">
        <f>IFERROR(__xludf.DUMMYFUNCTION("""COMPUTED_VALUE"""),44393.0)</f>
        <v>44393</v>
      </c>
      <c r="C704" s="266" t="str">
        <f>IFERROR(__xludf.DUMMYFUNCTION("""COMPUTED_VALUE"""),"KOST RUMAHUMI")</f>
        <v>KOST RUMAHUMI</v>
      </c>
      <c r="D704" s="186">
        <f>IFERROR(__xludf.DUMMYFUNCTION("""COMPUTED_VALUE"""),1.0)</f>
        <v>1</v>
      </c>
    </row>
    <row r="705">
      <c r="A705" s="178" t="str">
        <f>IFERROR(__xludf.DUMMYFUNCTION("""COMPUTED_VALUE"""),"ITBISA-7SEGMENT-CATHODE-RED-0.56-1BIT")</f>
        <v>ITBISA-7SEGMENT-CATHODE-RED-0.56-1BIT</v>
      </c>
      <c r="B705" s="266">
        <f>IFERROR(__xludf.DUMMYFUNCTION("""COMPUTED_VALUE"""),44818.0)</f>
        <v>44818</v>
      </c>
      <c r="C705" s="266" t="str">
        <f>IFERROR(__xludf.DUMMYFUNCTION("""COMPUTED_VALUE"""),"KYAI KONTONG")</f>
        <v>KYAI KONTONG</v>
      </c>
      <c r="D705" s="186">
        <f>IFERROR(__xludf.DUMMYFUNCTION("""COMPUTED_VALUE"""),7.0)</f>
        <v>7</v>
      </c>
    </row>
    <row r="706">
      <c r="A706" s="178" t="str">
        <f>IFERROR(__xludf.DUMMYFUNCTION("""COMPUTED_VALUE"""),"ITBISA-7SEGMENT-CATHODE-RED-0.56-1BIT")</f>
        <v>ITBISA-7SEGMENT-CATHODE-RED-0.56-1BIT</v>
      </c>
      <c r="B706" s="266">
        <f>IFERROR(__xludf.DUMMYFUNCTION("""COMPUTED_VALUE"""),44818.0)</f>
        <v>44818</v>
      </c>
      <c r="C706" s="266" t="str">
        <f>IFERROR(__xludf.DUMMYFUNCTION("""COMPUTED_VALUE"""),"KYAI KONTONG")</f>
        <v>KYAI KONTONG</v>
      </c>
      <c r="D706" s="186">
        <f>IFERROR(__xludf.DUMMYFUNCTION("""COMPUTED_VALUE"""),8.0)</f>
        <v>8</v>
      </c>
    </row>
    <row r="707">
      <c r="A707" s="178" t="str">
        <f>IFERROR(__xludf.DUMMYFUNCTION("""COMPUTED_VALUE"""),"ITBISA-7SEGMENT-CATHODE-RED-0.56-1BIT")</f>
        <v>ITBISA-7SEGMENT-CATHODE-RED-0.56-1BIT</v>
      </c>
      <c r="B707" s="266">
        <f>IFERROR(__xludf.DUMMYFUNCTION("""COMPUTED_VALUE"""),44828.0)</f>
        <v>44828</v>
      </c>
      <c r="C707" s="266" t="str">
        <f>IFERROR(__xludf.DUMMYFUNCTION("""COMPUTED_VALUE"""),"KYAI KONTONG")</f>
        <v>KYAI KONTONG</v>
      </c>
      <c r="D707" s="186">
        <f>IFERROR(__xludf.DUMMYFUNCTION("""COMPUTED_VALUE"""),5.0)</f>
        <v>5</v>
      </c>
    </row>
    <row r="708">
      <c r="A708" s="178" t="str">
        <f>IFERROR(__xludf.DUMMYFUNCTION("""COMPUTED_VALUE"""),"ITBISA-7SEGMENT-CATHODE-RED-0.56-1BIT")</f>
        <v>ITBISA-7SEGMENT-CATHODE-RED-0.56-1BIT</v>
      </c>
      <c r="B708" s="266">
        <f>IFERROR(__xludf.DUMMYFUNCTION("""COMPUTED_VALUE"""),44829.0)</f>
        <v>44829</v>
      </c>
      <c r="C708" s="266" t="str">
        <f>IFERROR(__xludf.DUMMYFUNCTION("""COMPUTED_VALUE"""),"KYAI KONTONG")</f>
        <v>KYAI KONTONG</v>
      </c>
      <c r="D708" s="186">
        <f>IFERROR(__xludf.DUMMYFUNCTION("""COMPUTED_VALUE"""),13.0)</f>
        <v>13</v>
      </c>
    </row>
    <row r="709">
      <c r="A709" s="178" t="str">
        <f>IFERROR(__xludf.DUMMYFUNCTION("""COMPUTED_VALUE"""),"ITBISA-7SEGMENT-CATHODE-RED-0.56-1BIT")</f>
        <v>ITBISA-7SEGMENT-CATHODE-RED-0.56-1BIT</v>
      </c>
      <c r="B709" s="266">
        <f>IFERROR(__xludf.DUMMYFUNCTION("""COMPUTED_VALUE"""),44835.0)</f>
        <v>44835</v>
      </c>
      <c r="C709" s="266" t="str">
        <f>IFERROR(__xludf.DUMMYFUNCTION("""COMPUTED_VALUE"""),"KYAI KONTONG")</f>
        <v>KYAI KONTONG</v>
      </c>
      <c r="D709" s="186">
        <f>IFERROR(__xludf.DUMMYFUNCTION("""COMPUTED_VALUE"""),100.0)</f>
        <v>100</v>
      </c>
    </row>
    <row r="710">
      <c r="A710" s="178" t="str">
        <f>IFERROR(__xludf.DUMMYFUNCTION("""COMPUTED_VALUE"""),"ITBISA-7SEGMENT-CATHODE-RED-0.56-1BIT")</f>
        <v>ITBISA-7SEGMENT-CATHODE-RED-0.56-1BIT</v>
      </c>
      <c r="B710" s="266">
        <f>IFERROR(__xludf.DUMMYFUNCTION("""COMPUTED_VALUE"""),44846.0)</f>
        <v>44846</v>
      </c>
      <c r="C710" s="266" t="str">
        <f>IFERROR(__xludf.DUMMYFUNCTION("""COMPUTED_VALUE"""),"KYAI KONTONG")</f>
        <v>KYAI KONTONG</v>
      </c>
      <c r="D710" s="186">
        <f>IFERROR(__xludf.DUMMYFUNCTION("""COMPUTED_VALUE"""),50.0)</f>
        <v>50</v>
      </c>
    </row>
    <row r="711">
      <c r="A711" s="178" t="str">
        <f>IFERROR(__xludf.DUMMYFUNCTION("""COMPUTED_VALUE"""),"ITBISA-7SEGMENT-CATHODE-RED-0.56-1BIT")</f>
        <v>ITBISA-7SEGMENT-CATHODE-RED-0.56-1BIT</v>
      </c>
      <c r="B711" s="266">
        <f>IFERROR(__xludf.DUMMYFUNCTION("""COMPUTED_VALUE"""),44860.0)</f>
        <v>44860</v>
      </c>
      <c r="C711" s="266" t="str">
        <f>IFERROR(__xludf.DUMMYFUNCTION("""COMPUTED_VALUE"""),"KYAI KONTONG")</f>
        <v>KYAI KONTONG</v>
      </c>
      <c r="D711" s="186">
        <f>IFERROR(__xludf.DUMMYFUNCTION("""COMPUTED_VALUE"""),20.0)</f>
        <v>20</v>
      </c>
    </row>
    <row r="712">
      <c r="A712" s="178" t="str">
        <f>IFERROR(__xludf.DUMMYFUNCTION("""COMPUTED_VALUE"""),"ITBISA-7SEGMENT-CATHODE-RED-0.56-1BIT")</f>
        <v>ITBISA-7SEGMENT-CATHODE-RED-0.56-1BIT</v>
      </c>
      <c r="B712" s="266">
        <f>IFERROR(__xludf.DUMMYFUNCTION("""COMPUTED_VALUE"""),44868.0)</f>
        <v>44868</v>
      </c>
      <c r="C712" s="266" t="str">
        <f>IFERROR(__xludf.DUMMYFUNCTION("""COMPUTED_VALUE"""),"KYAI KONTONG")</f>
        <v>KYAI KONTONG</v>
      </c>
      <c r="D712" s="186">
        <f>IFERROR(__xludf.DUMMYFUNCTION("""COMPUTED_VALUE"""),100.0)</f>
        <v>100</v>
      </c>
    </row>
    <row r="713">
      <c r="A713" s="178" t="str">
        <f>IFERROR(__xludf.DUMMYFUNCTION("""COMPUTED_VALUE"""),"ITBISA-7SEGMENT-CATHODE-RED-0.56-1BIT")</f>
        <v>ITBISA-7SEGMENT-CATHODE-RED-0.56-1BIT</v>
      </c>
      <c r="B713" s="266">
        <f>IFERROR(__xludf.DUMMYFUNCTION("""COMPUTED_VALUE"""),44890.0)</f>
        <v>44890</v>
      </c>
      <c r="C713" s="266" t="str">
        <f>IFERROR(__xludf.DUMMYFUNCTION("""COMPUTED_VALUE"""),"KYAI KONTONG")</f>
        <v>KYAI KONTONG</v>
      </c>
      <c r="D713" s="186">
        <f>IFERROR(__xludf.DUMMYFUNCTION("""COMPUTED_VALUE"""),10.0)</f>
        <v>10</v>
      </c>
    </row>
    <row r="714">
      <c r="A714" s="178" t="str">
        <f>IFERROR(__xludf.DUMMYFUNCTION("""COMPUTED_VALUE"""),"ITBISA-7SEGMENT-CATHODE-RED-0.56-1BIT")</f>
        <v>ITBISA-7SEGMENT-CATHODE-RED-0.56-1BIT</v>
      </c>
      <c r="B714" s="266">
        <f>IFERROR(__xludf.DUMMYFUNCTION("""COMPUTED_VALUE"""),44895.0)</f>
        <v>44895</v>
      </c>
      <c r="C714" s="266" t="str">
        <f>IFERROR(__xludf.DUMMYFUNCTION("""COMPUTED_VALUE"""),"KYAI KONTONG")</f>
        <v>KYAI KONTONG</v>
      </c>
      <c r="D714" s="186">
        <f>IFERROR(__xludf.DUMMYFUNCTION("""COMPUTED_VALUE"""),15.0)</f>
        <v>15</v>
      </c>
    </row>
    <row r="715">
      <c r="A715" s="178" t="str">
        <f>IFERROR(__xludf.DUMMYFUNCTION("""COMPUTED_VALUE"""),"ITBISA-7SEGMENT-CATHODE-RED-0.56-1BIT")</f>
        <v>ITBISA-7SEGMENT-CATHODE-RED-0.56-1BIT</v>
      </c>
      <c r="B715" s="266">
        <f>IFERROR(__xludf.DUMMYFUNCTION("""COMPUTED_VALUE"""),44897.0)</f>
        <v>44897</v>
      </c>
      <c r="C715" s="266" t="str">
        <f>IFERROR(__xludf.DUMMYFUNCTION("""COMPUTED_VALUE"""),"KYAI KONTONG")</f>
        <v>KYAI KONTONG</v>
      </c>
      <c r="D715" s="186">
        <f>IFERROR(__xludf.DUMMYFUNCTION("""COMPUTED_VALUE"""),18.0)</f>
        <v>18</v>
      </c>
    </row>
    <row r="716">
      <c r="A716" s="178" t="str">
        <f>IFERROR(__xludf.DUMMYFUNCTION("""COMPUTED_VALUE"""),"ITBISA-7SEGMENT-CATHODE-RED-0.56-1BIT")</f>
        <v>ITBISA-7SEGMENT-CATHODE-RED-0.56-1BIT</v>
      </c>
      <c r="B716" s="266">
        <f>IFERROR(__xludf.DUMMYFUNCTION("""COMPUTED_VALUE"""),44903.0)</f>
        <v>44903</v>
      </c>
      <c r="C716" s="266" t="str">
        <f>IFERROR(__xludf.DUMMYFUNCTION("""COMPUTED_VALUE"""),"KYAI KONTONG")</f>
        <v>KYAI KONTONG</v>
      </c>
      <c r="D716" s="186">
        <f>IFERROR(__xludf.DUMMYFUNCTION("""COMPUTED_VALUE"""),25.0)</f>
        <v>25</v>
      </c>
    </row>
    <row r="717">
      <c r="A717" s="178" t="str">
        <f>IFERROR(__xludf.DUMMYFUNCTION("""COMPUTED_VALUE"""),"ITBISA-7SEGMENT-CATHODE-RED-0.56-1BIT")</f>
        <v>ITBISA-7SEGMENT-CATHODE-RED-0.56-1BIT</v>
      </c>
      <c r="B717" s="266">
        <f>IFERROR(__xludf.DUMMYFUNCTION("""COMPUTED_VALUE"""),44905.0)</f>
        <v>44905</v>
      </c>
      <c r="C717" s="266" t="str">
        <f>IFERROR(__xludf.DUMMYFUNCTION("""COMPUTED_VALUE"""),"KYAI KONTONG")</f>
        <v>KYAI KONTONG</v>
      </c>
      <c r="D717" s="186">
        <f>IFERROR(__xludf.DUMMYFUNCTION("""COMPUTED_VALUE"""),6.0)</f>
        <v>6</v>
      </c>
    </row>
    <row r="718">
      <c r="A718" s="178" t="str">
        <f>IFERROR(__xludf.DUMMYFUNCTION("""COMPUTED_VALUE"""),"ITBISA-7SEGMENT-CATHODE-RED-0.56-1BIT")</f>
        <v>ITBISA-7SEGMENT-CATHODE-RED-0.56-1BIT</v>
      </c>
      <c r="B718" s="266">
        <f>IFERROR(__xludf.DUMMYFUNCTION("""COMPUTED_VALUE"""),44909.0)</f>
        <v>44909</v>
      </c>
      <c r="C718" s="266" t="str">
        <f>IFERROR(__xludf.DUMMYFUNCTION("""COMPUTED_VALUE"""),"KYAI KONTONG")</f>
        <v>KYAI KONTONG</v>
      </c>
      <c r="D718" s="186">
        <f>IFERROR(__xludf.DUMMYFUNCTION("""COMPUTED_VALUE"""),100.0)</f>
        <v>100</v>
      </c>
    </row>
    <row r="719">
      <c r="A719" s="178" t="str">
        <f>IFERROR(__xludf.DUMMYFUNCTION("""COMPUTED_VALUE"""),"ITBISA-7SEGMENT-CATHODE-RED-0.56-1BIT")</f>
        <v>ITBISA-7SEGMENT-CATHODE-RED-0.56-1BIT</v>
      </c>
      <c r="B719" s="266">
        <f>IFERROR(__xludf.DUMMYFUNCTION("""COMPUTED_VALUE"""),44913.0)</f>
        <v>44913</v>
      </c>
      <c r="C719" s="266" t="str">
        <f>IFERROR(__xludf.DUMMYFUNCTION("""COMPUTED_VALUE"""),"KYAI KONTONG")</f>
        <v>KYAI KONTONG</v>
      </c>
      <c r="D719" s="186">
        <f>IFERROR(__xludf.DUMMYFUNCTION("""COMPUTED_VALUE"""),2.0)</f>
        <v>2</v>
      </c>
    </row>
    <row r="720">
      <c r="A720" s="178" t="str">
        <f>IFERROR(__xludf.DUMMYFUNCTION("""COMPUTED_VALUE"""),"ITBISA-7SEGMENT-CATHODE-RED-0.56-1BIT")</f>
        <v>ITBISA-7SEGMENT-CATHODE-RED-0.56-1BIT</v>
      </c>
      <c r="B720" s="266">
        <f>IFERROR(__xludf.DUMMYFUNCTION("""COMPUTED_VALUE"""),44914.0)</f>
        <v>44914</v>
      </c>
      <c r="C720" s="266" t="str">
        <f>IFERROR(__xludf.DUMMYFUNCTION("""COMPUTED_VALUE"""),"KYAI KONTONG")</f>
        <v>KYAI KONTONG</v>
      </c>
      <c r="D720" s="186">
        <f>IFERROR(__xludf.DUMMYFUNCTION("""COMPUTED_VALUE"""),1.0)</f>
        <v>1</v>
      </c>
    </row>
    <row r="721">
      <c r="A721" s="178" t="str">
        <f>IFERROR(__xludf.DUMMYFUNCTION("""COMPUTED_VALUE"""),"ITBISA-7SEGMENT-CATHODE-RED-0.56-1BIT")</f>
        <v>ITBISA-7SEGMENT-CATHODE-RED-0.56-1BIT</v>
      </c>
      <c r="B721" s="266">
        <f>IFERROR(__xludf.DUMMYFUNCTION("""COMPUTED_VALUE"""),44915.0)</f>
        <v>44915</v>
      </c>
      <c r="C721" s="266" t="str">
        <f>IFERROR(__xludf.DUMMYFUNCTION("""COMPUTED_VALUE"""),"KYAI KONTONG")</f>
        <v>KYAI KONTONG</v>
      </c>
      <c r="D721" s="186">
        <f>IFERROR(__xludf.DUMMYFUNCTION("""COMPUTED_VALUE"""),8.0)</f>
        <v>8</v>
      </c>
    </row>
    <row r="722">
      <c r="A722" s="178" t="str">
        <f>IFERROR(__xludf.DUMMYFUNCTION("""COMPUTED_VALUE"""),"ITBISA-7SEGMENT-CATHODE-RED-0.56-1BIT")</f>
        <v>ITBISA-7SEGMENT-CATHODE-RED-0.56-1BIT</v>
      </c>
      <c r="B722" s="266">
        <f>IFERROR(__xludf.DUMMYFUNCTION("""COMPUTED_VALUE"""),44926.0)</f>
        <v>44926</v>
      </c>
      <c r="C722" s="266" t="str">
        <f>IFERROR(__xludf.DUMMYFUNCTION("""COMPUTED_VALUE"""),"KYAI KONTONG")</f>
        <v>KYAI KONTONG</v>
      </c>
      <c r="D722" s="186">
        <f>IFERROR(__xludf.DUMMYFUNCTION("""COMPUTED_VALUE"""),16.0)</f>
        <v>16</v>
      </c>
    </row>
    <row r="723">
      <c r="A723" s="178" t="str">
        <f>IFERROR(__xludf.DUMMYFUNCTION("""COMPUTED_VALUE"""),"ITBISA-7SEGMENT-CATHODE-RED-0.56-1BIT")</f>
        <v>ITBISA-7SEGMENT-CATHODE-RED-0.56-1BIT</v>
      </c>
      <c r="B723" s="266">
        <f>IFERROR(__xludf.DUMMYFUNCTION("""COMPUTED_VALUE"""),44926.0)</f>
        <v>44926</v>
      </c>
      <c r="C723" s="266" t="str">
        <f>IFERROR(__xludf.DUMMYFUNCTION("""COMPUTED_VALUE"""),"KYAI KONTONG")</f>
        <v>KYAI KONTONG</v>
      </c>
      <c r="D723" s="186">
        <f>IFERROR(__xludf.DUMMYFUNCTION("""COMPUTED_VALUE"""),150.0)</f>
        <v>150</v>
      </c>
    </row>
    <row r="724">
      <c r="A724" s="178" t="str">
        <f>IFERROR(__xludf.DUMMYFUNCTION("""COMPUTED_VALUE"""),"ITBISA-7SEGMENT-CATHODE-RED-0.56-1BIT")</f>
        <v>ITBISA-7SEGMENT-CATHODE-RED-0.56-1BIT</v>
      </c>
      <c r="B724" s="266">
        <f>IFERROR(__xludf.DUMMYFUNCTION("""COMPUTED_VALUE"""),44933.0)</f>
        <v>44933</v>
      </c>
      <c r="C724" s="266" t="str">
        <f>IFERROR(__xludf.DUMMYFUNCTION("""COMPUTED_VALUE"""),"KYAI KONTONG")</f>
        <v>KYAI KONTONG</v>
      </c>
      <c r="D724" s="186">
        <f>IFERROR(__xludf.DUMMYFUNCTION("""COMPUTED_VALUE"""),150.0)</f>
        <v>150</v>
      </c>
    </row>
    <row r="725">
      <c r="A725" s="178" t="str">
        <f>IFERROR(__xludf.DUMMYFUNCTION("""COMPUTED_VALUE"""),"ITBISA-7SEGMENT-CATHODE-RED-0.56-1BIT")</f>
        <v>ITBISA-7SEGMENT-CATHODE-RED-0.56-1BIT</v>
      </c>
      <c r="B725" s="266">
        <f>IFERROR(__xludf.DUMMYFUNCTION("""COMPUTED_VALUE"""),44943.0)</f>
        <v>44943</v>
      </c>
      <c r="C725" s="266" t="str">
        <f>IFERROR(__xludf.DUMMYFUNCTION("""COMPUTED_VALUE"""),"KYAI KONTONG")</f>
        <v>KYAI KONTONG</v>
      </c>
      <c r="D725" s="186">
        <f>IFERROR(__xludf.DUMMYFUNCTION("""COMPUTED_VALUE"""),150.0)</f>
        <v>150</v>
      </c>
    </row>
    <row r="726">
      <c r="A726" s="178" t="str">
        <f>IFERROR(__xludf.DUMMYFUNCTION("""COMPUTED_VALUE"""),"ITBISA-7SEGMENT-CATHODE-RED-0.56-1BIT")</f>
        <v>ITBISA-7SEGMENT-CATHODE-RED-0.56-1BIT</v>
      </c>
      <c r="B726" s="266">
        <f>IFERROR(__xludf.DUMMYFUNCTION("""COMPUTED_VALUE"""),44972.0)</f>
        <v>44972</v>
      </c>
      <c r="C726" s="266" t="str">
        <f>IFERROR(__xludf.DUMMYFUNCTION("""COMPUTED_VALUE"""),"KYAI KONTONG")</f>
        <v>KYAI KONTONG</v>
      </c>
      <c r="D726" s="186">
        <f>IFERROR(__xludf.DUMMYFUNCTION("""COMPUTED_VALUE"""),74.0)</f>
        <v>74</v>
      </c>
    </row>
    <row r="727">
      <c r="A727" s="178" t="str">
        <f>IFERROR(__xludf.DUMMYFUNCTION("""COMPUTED_VALUE"""),"ITBISA-7SEGMENT-CATHODE-RED-0.56-1BIT")</f>
        <v>ITBISA-7SEGMENT-CATHODE-RED-0.56-1BIT</v>
      </c>
      <c r="B727" s="266">
        <f>IFERROR(__xludf.DUMMYFUNCTION("""COMPUTED_VALUE"""),44973.0)</f>
        <v>44973</v>
      </c>
      <c r="C727" s="266" t="str">
        <f>IFERROR(__xludf.DUMMYFUNCTION("""COMPUTED_VALUE"""),"KYAI KONTONG")</f>
        <v>KYAI KONTONG</v>
      </c>
      <c r="D727" s="186">
        <f>IFERROR(__xludf.DUMMYFUNCTION("""COMPUTED_VALUE"""),15.0)</f>
        <v>15</v>
      </c>
    </row>
    <row r="728">
      <c r="A728" s="178" t="str">
        <f>IFERROR(__xludf.DUMMYFUNCTION("""COMPUTED_VALUE"""),"ITBISA-7SEGMENT-CATHODE-RED-0.56-1BIT")</f>
        <v>ITBISA-7SEGMENT-CATHODE-RED-0.56-1BIT</v>
      </c>
      <c r="B728" s="266">
        <f>IFERROR(__xludf.DUMMYFUNCTION("""COMPUTED_VALUE"""),44974.0)</f>
        <v>44974</v>
      </c>
      <c r="C728" s="266" t="str">
        <f>IFERROR(__xludf.DUMMYFUNCTION("""COMPUTED_VALUE"""),"KYAI KONTONG")</f>
        <v>KYAI KONTONG</v>
      </c>
      <c r="D728" s="186">
        <f>IFERROR(__xludf.DUMMYFUNCTION("""COMPUTED_VALUE"""),25.0)</f>
        <v>25</v>
      </c>
    </row>
    <row r="729">
      <c r="A729" s="178" t="str">
        <f>IFERROR(__xludf.DUMMYFUNCTION("""COMPUTED_VALUE"""),"ITBISA-7SEGMENT-CATHODE-RED-0.56-1BIT")</f>
        <v>ITBISA-7SEGMENT-CATHODE-RED-0.56-1BIT</v>
      </c>
      <c r="B729" s="266">
        <f>IFERROR(__xludf.DUMMYFUNCTION("""COMPUTED_VALUE"""),44979.0)</f>
        <v>44979</v>
      </c>
      <c r="C729" s="266" t="str">
        <f>IFERROR(__xludf.DUMMYFUNCTION("""COMPUTED_VALUE"""),"KYAI KONTONG")</f>
        <v>KYAI KONTONG</v>
      </c>
      <c r="D729" s="186">
        <f>IFERROR(__xludf.DUMMYFUNCTION("""COMPUTED_VALUE"""),150.0)</f>
        <v>150</v>
      </c>
    </row>
    <row r="730">
      <c r="A730" s="178" t="str">
        <f>IFERROR(__xludf.DUMMYFUNCTION("""COMPUTED_VALUE"""),"ITBISA-7SEGMENT-CATHODE-RED-0.56-1BIT")</f>
        <v>ITBISA-7SEGMENT-CATHODE-RED-0.56-1BIT</v>
      </c>
      <c r="B730" s="266">
        <f>IFERROR(__xludf.DUMMYFUNCTION("""COMPUTED_VALUE"""),44982.0)</f>
        <v>44982</v>
      </c>
      <c r="C730" s="266" t="str">
        <f>IFERROR(__xludf.DUMMYFUNCTION("""COMPUTED_VALUE"""),"KYAI KONTONG")</f>
        <v>KYAI KONTONG</v>
      </c>
      <c r="D730" s="186">
        <f>IFERROR(__xludf.DUMMYFUNCTION("""COMPUTED_VALUE"""),4.0)</f>
        <v>4</v>
      </c>
    </row>
    <row r="731">
      <c r="A731" s="178" t="str">
        <f>IFERROR(__xludf.DUMMYFUNCTION("""COMPUTED_VALUE"""),"ITBISA-7SEGMENT-CATHODE-RED-0.56-1BIT")</f>
        <v>ITBISA-7SEGMENT-CATHODE-RED-0.56-1BIT</v>
      </c>
      <c r="B731" s="266">
        <f>IFERROR(__xludf.DUMMYFUNCTION("""COMPUTED_VALUE"""),44988.0)</f>
        <v>44988</v>
      </c>
      <c r="C731" s="266" t="str">
        <f>IFERROR(__xludf.DUMMYFUNCTION("""COMPUTED_VALUE"""),"KYAI KONTONG")</f>
        <v>KYAI KONTONG</v>
      </c>
      <c r="D731" s="186">
        <f>IFERROR(__xludf.DUMMYFUNCTION("""COMPUTED_VALUE"""),16.0)</f>
        <v>16</v>
      </c>
    </row>
    <row r="732">
      <c r="A732" s="178" t="str">
        <f>IFERROR(__xludf.DUMMYFUNCTION("""COMPUTED_VALUE"""),"ITBISA-7SEGMENT-CATHODE-RED-0.56-1BIT")</f>
        <v>ITBISA-7SEGMENT-CATHODE-RED-0.56-1BIT</v>
      </c>
      <c r="B732" s="266">
        <f>IFERROR(__xludf.DUMMYFUNCTION("""COMPUTED_VALUE"""),44988.0)</f>
        <v>44988</v>
      </c>
      <c r="C732" s="266" t="str">
        <f>IFERROR(__xludf.DUMMYFUNCTION("""COMPUTED_VALUE"""),"KYAI KONTONG")</f>
        <v>KYAI KONTONG</v>
      </c>
      <c r="D732" s="186">
        <f>IFERROR(__xludf.DUMMYFUNCTION("""COMPUTED_VALUE"""),30.0)</f>
        <v>30</v>
      </c>
    </row>
    <row r="733">
      <c r="A733" s="178" t="str">
        <f>IFERROR(__xludf.DUMMYFUNCTION("""COMPUTED_VALUE"""),"ITBISA-7SEGMENT-CATHODE-RED-0.56-1BIT")</f>
        <v>ITBISA-7SEGMENT-CATHODE-RED-0.56-1BIT</v>
      </c>
      <c r="B733" s="266">
        <f>IFERROR(__xludf.DUMMYFUNCTION("""COMPUTED_VALUE"""),45003.0)</f>
        <v>45003</v>
      </c>
      <c r="C733" s="266" t="str">
        <f>IFERROR(__xludf.DUMMYFUNCTION("""COMPUTED_VALUE"""),"KYAI KONTONG")</f>
        <v>KYAI KONTONG</v>
      </c>
      <c r="D733" s="186">
        <f>IFERROR(__xludf.DUMMYFUNCTION("""COMPUTED_VALUE"""),2.0)</f>
        <v>2</v>
      </c>
    </row>
    <row r="734">
      <c r="A734" s="178" t="str">
        <f>IFERROR(__xludf.DUMMYFUNCTION("""COMPUTED_VALUE"""),"ITBISA-7SEGMENT-CATHODE-RED-0.56-1BIT")</f>
        <v>ITBISA-7SEGMENT-CATHODE-RED-0.56-1BIT</v>
      </c>
      <c r="B734" s="266">
        <f>IFERROR(__xludf.DUMMYFUNCTION("""COMPUTED_VALUE"""),45006.0)</f>
        <v>45006</v>
      </c>
      <c r="C734" s="266" t="str">
        <f>IFERROR(__xludf.DUMMYFUNCTION("""COMPUTED_VALUE"""),"KYAI KONTONG")</f>
        <v>KYAI KONTONG</v>
      </c>
      <c r="D734" s="186">
        <f>IFERROR(__xludf.DUMMYFUNCTION("""COMPUTED_VALUE"""),150.0)</f>
        <v>150</v>
      </c>
    </row>
    <row r="735">
      <c r="A735" s="178" t="str">
        <f>IFERROR(__xludf.DUMMYFUNCTION("""COMPUTED_VALUE"""),"ITBISA-7SEGMENT-CATHODE-RED-0.56-1BIT")</f>
        <v>ITBISA-7SEGMENT-CATHODE-RED-0.56-1BIT</v>
      </c>
      <c r="B735" s="266">
        <f>IFERROR(__xludf.DUMMYFUNCTION("""COMPUTED_VALUE"""),45009.0)</f>
        <v>45009</v>
      </c>
      <c r="C735" s="266" t="str">
        <f>IFERROR(__xludf.DUMMYFUNCTION("""COMPUTED_VALUE"""),"KYAI KONTONG")</f>
        <v>KYAI KONTONG</v>
      </c>
      <c r="D735" s="186">
        <f>IFERROR(__xludf.DUMMYFUNCTION("""COMPUTED_VALUE"""),6.0)</f>
        <v>6</v>
      </c>
    </row>
    <row r="736">
      <c r="A736" s="178" t="str">
        <f>IFERROR(__xludf.DUMMYFUNCTION("""COMPUTED_VALUE"""),"ITBISA-7SEGMENT-CATHODE-RED-0.56-1BIT")</f>
        <v>ITBISA-7SEGMENT-CATHODE-RED-0.56-1BIT</v>
      </c>
      <c r="B736" s="266">
        <f>IFERROR(__xludf.DUMMYFUNCTION("""COMPUTED_VALUE"""),45010.0)</f>
        <v>45010</v>
      </c>
      <c r="C736" s="266" t="str">
        <f>IFERROR(__xludf.DUMMYFUNCTION("""COMPUTED_VALUE"""),"KYAI KONTONG")</f>
        <v>KYAI KONTONG</v>
      </c>
      <c r="D736" s="186">
        <f>IFERROR(__xludf.DUMMYFUNCTION("""COMPUTED_VALUE"""),3.0)</f>
        <v>3</v>
      </c>
    </row>
    <row r="737">
      <c r="A737" s="178" t="str">
        <f>IFERROR(__xludf.DUMMYFUNCTION("""COMPUTED_VALUE"""),"ITBISA-7SEGMENT-CATHODE-RED-0.56-1BIT")</f>
        <v>ITBISA-7SEGMENT-CATHODE-RED-0.56-1BIT</v>
      </c>
      <c r="B737" s="266">
        <f>IFERROR(__xludf.DUMMYFUNCTION("""COMPUTED_VALUE"""),45014.0)</f>
        <v>45014</v>
      </c>
      <c r="C737" s="266" t="str">
        <f>IFERROR(__xludf.DUMMYFUNCTION("""COMPUTED_VALUE"""),"KERTASARI CIAMIS")</f>
        <v>KERTASARI CIAMIS</v>
      </c>
      <c r="D737" s="186">
        <f>IFERROR(__xludf.DUMMYFUNCTION("""COMPUTED_VALUE"""),20.0)</f>
        <v>20</v>
      </c>
    </row>
    <row r="738">
      <c r="A738" s="178" t="str">
        <f>IFERROR(__xludf.DUMMYFUNCTION("""COMPUTED_VALUE"""),"ITBISA-7SEGMENT-CATHODE-RED-0.56-1BIT")</f>
        <v>ITBISA-7SEGMENT-CATHODE-RED-0.56-1BIT</v>
      </c>
      <c r="B738" s="266">
        <f>IFERROR(__xludf.DUMMYFUNCTION("""COMPUTED_VALUE"""),45018.0)</f>
        <v>45018</v>
      </c>
      <c r="C738" s="266" t="str">
        <f>IFERROR(__xludf.DUMMYFUNCTION("""COMPUTED_VALUE"""),"KYAI KONTONG")</f>
        <v>KYAI KONTONG</v>
      </c>
      <c r="D738" s="186">
        <f>IFERROR(__xludf.DUMMYFUNCTION("""COMPUTED_VALUE"""),10.0)</f>
        <v>10</v>
      </c>
    </row>
    <row r="739">
      <c r="A739" s="178" t="str">
        <f>IFERROR(__xludf.DUMMYFUNCTION("""COMPUTED_VALUE"""),"ITBISA-7SEGMENT-CATHODE-RED-0.56-1BIT")</f>
        <v>ITBISA-7SEGMENT-CATHODE-RED-0.56-1BIT</v>
      </c>
      <c r="B739" s="266">
        <f>IFERROR(__xludf.DUMMYFUNCTION("""COMPUTED_VALUE"""),45020.0)</f>
        <v>45020</v>
      </c>
      <c r="C739" s="266" t="str">
        <f>IFERROR(__xludf.DUMMYFUNCTION("""COMPUTED_VALUE"""),"KYAI KONTONG")</f>
        <v>KYAI KONTONG</v>
      </c>
      <c r="D739" s="186">
        <f>IFERROR(__xludf.DUMMYFUNCTION("""COMPUTED_VALUE"""),3.0)</f>
        <v>3</v>
      </c>
    </row>
    <row r="740">
      <c r="A740" s="178" t="str">
        <f>IFERROR(__xludf.DUMMYFUNCTION("""COMPUTED_VALUE"""),"ITBISA-7SEGMENT-CATHODE-RED-0.56-1BIT")</f>
        <v>ITBISA-7SEGMENT-CATHODE-RED-0.56-1BIT</v>
      </c>
      <c r="B740" s="266">
        <f>IFERROR(__xludf.DUMMYFUNCTION("""COMPUTED_VALUE"""),45027.0)</f>
        <v>45027</v>
      </c>
      <c r="C740" s="266" t="str">
        <f>IFERROR(__xludf.DUMMYFUNCTION("""COMPUTED_VALUE"""),"KYAI KONTONG")</f>
        <v>KYAI KONTONG</v>
      </c>
      <c r="D740" s="186">
        <f>IFERROR(__xludf.DUMMYFUNCTION("""COMPUTED_VALUE"""),5.0)</f>
        <v>5</v>
      </c>
    </row>
    <row r="741">
      <c r="A741" s="178" t="str">
        <f>IFERROR(__xludf.DUMMYFUNCTION("""COMPUTED_VALUE"""),"ITBISA-7SEGMENT-CATHODE-RED-0.56-1BIT")</f>
        <v>ITBISA-7SEGMENT-CATHODE-RED-0.56-1BIT</v>
      </c>
      <c r="B741" s="266">
        <f>IFERROR(__xludf.DUMMYFUNCTION("""COMPUTED_VALUE"""),45030.0)</f>
        <v>45030</v>
      </c>
      <c r="C741" s="266" t="str">
        <f>IFERROR(__xludf.DUMMYFUNCTION("""COMPUTED_VALUE"""),"KYAI KONTONG")</f>
        <v>KYAI KONTONG</v>
      </c>
      <c r="D741" s="186">
        <f>IFERROR(__xludf.DUMMYFUNCTION("""COMPUTED_VALUE"""),17.0)</f>
        <v>17</v>
      </c>
    </row>
    <row r="742">
      <c r="A742" s="178" t="str">
        <f>IFERROR(__xludf.DUMMYFUNCTION("""COMPUTED_VALUE"""),"ITBISA-7SEGMENT-CATHODE-RED-0.56-1BIT")</f>
        <v>ITBISA-7SEGMENT-CATHODE-RED-0.56-1BIT</v>
      </c>
      <c r="B742" s="266">
        <f>IFERROR(__xludf.DUMMYFUNCTION("""COMPUTED_VALUE"""),45050.0)</f>
        <v>45050</v>
      </c>
      <c r="C742" s="266" t="str">
        <f>IFERROR(__xludf.DUMMYFUNCTION("""COMPUTED_VALUE"""),"KERTASARI CIAMIS")</f>
        <v>KERTASARI CIAMIS</v>
      </c>
      <c r="D742" s="186">
        <f>IFERROR(__xludf.DUMMYFUNCTION("""COMPUTED_VALUE"""),4.0)</f>
        <v>4</v>
      </c>
    </row>
    <row r="743">
      <c r="A743" s="178" t="str">
        <f>IFERROR(__xludf.DUMMYFUNCTION("""COMPUTED_VALUE"""),"ITBISA-7SEGMENT-CATHODE-RED-0.56-1BIT")</f>
        <v>ITBISA-7SEGMENT-CATHODE-RED-0.56-1BIT</v>
      </c>
      <c r="B743" s="266">
        <f>IFERROR(__xludf.DUMMYFUNCTION("""COMPUTED_VALUE"""),45055.0)</f>
        <v>45055</v>
      </c>
      <c r="C743" s="266" t="str">
        <f>IFERROR(__xludf.DUMMYFUNCTION("""COMPUTED_VALUE"""),"KYAI KONTONG")</f>
        <v>KYAI KONTONG</v>
      </c>
      <c r="D743" s="186">
        <f>IFERROR(__xludf.DUMMYFUNCTION("""COMPUTED_VALUE"""),25.0)</f>
        <v>25</v>
      </c>
    </row>
    <row r="744">
      <c r="A744" s="178" t="str">
        <f>IFERROR(__xludf.DUMMYFUNCTION("""COMPUTED_VALUE"""),"ITBISA-7SEGMENT-CATHODE-RED-0.56-1BIT")</f>
        <v>ITBISA-7SEGMENT-CATHODE-RED-0.56-1BIT</v>
      </c>
      <c r="B744" s="266">
        <f>IFERROR(__xludf.DUMMYFUNCTION("""COMPUTED_VALUE"""),45061.0)</f>
        <v>45061</v>
      </c>
      <c r="C744" s="266" t="str">
        <f>IFERROR(__xludf.DUMMYFUNCTION("""COMPUTED_VALUE"""),"KYAI KONTONG")</f>
        <v>KYAI KONTONG</v>
      </c>
      <c r="D744" s="186">
        <f>IFERROR(__xludf.DUMMYFUNCTION("""COMPUTED_VALUE"""),2.0)</f>
        <v>2</v>
      </c>
    </row>
    <row r="745">
      <c r="A745" s="178" t="str">
        <f>IFERROR(__xludf.DUMMYFUNCTION("""COMPUTED_VALUE"""),"ITBISA-7SEGMENT-CATHODE-RED-0.56-1BIT")</f>
        <v>ITBISA-7SEGMENT-CATHODE-RED-0.56-1BIT</v>
      </c>
      <c r="B745" s="266">
        <f>IFERROR(__xludf.DUMMYFUNCTION("""COMPUTED_VALUE"""),45061.0)</f>
        <v>45061</v>
      </c>
      <c r="C745" s="266" t="str">
        <f>IFERROR(__xludf.DUMMYFUNCTION("""COMPUTED_VALUE"""),"KYAI KONTONG")</f>
        <v>KYAI KONTONG</v>
      </c>
      <c r="D745" s="186">
        <f>IFERROR(__xludf.DUMMYFUNCTION("""COMPUTED_VALUE"""),30.0)</f>
        <v>30</v>
      </c>
    </row>
    <row r="746">
      <c r="A746" s="178" t="str">
        <f>IFERROR(__xludf.DUMMYFUNCTION("""COMPUTED_VALUE"""),"ITBISA-7SEGMENT-CATHODE-RED-0.56-1BIT")</f>
        <v>ITBISA-7SEGMENT-CATHODE-RED-0.56-1BIT</v>
      </c>
      <c r="B746" s="266">
        <f>IFERROR(__xludf.DUMMYFUNCTION("""COMPUTED_VALUE"""),45062.0)</f>
        <v>45062</v>
      </c>
      <c r="C746" s="266" t="str">
        <f>IFERROR(__xludf.DUMMYFUNCTION("""COMPUTED_VALUE"""),"KYAI KONTONG")</f>
        <v>KYAI KONTONG</v>
      </c>
      <c r="D746" s="186">
        <f>IFERROR(__xludf.DUMMYFUNCTION("""COMPUTED_VALUE"""),4.0)</f>
        <v>4</v>
      </c>
    </row>
    <row r="747">
      <c r="A747" s="178" t="str">
        <f>IFERROR(__xludf.DUMMYFUNCTION("""COMPUTED_VALUE"""),"ITBISA-7SEGMENT-CATHODE-RED-0.56-1BIT")</f>
        <v>ITBISA-7SEGMENT-CATHODE-RED-0.56-1BIT</v>
      </c>
      <c r="B747" s="266">
        <f>IFERROR(__xludf.DUMMYFUNCTION("""COMPUTED_VALUE"""),45063.0)</f>
        <v>45063</v>
      </c>
      <c r="C747" s="266" t="str">
        <f>IFERROR(__xludf.DUMMYFUNCTION("""COMPUTED_VALUE"""),"KYAI KONTONG")</f>
        <v>KYAI KONTONG</v>
      </c>
      <c r="D747" s="186">
        <f>IFERROR(__xludf.DUMMYFUNCTION("""COMPUTED_VALUE"""),4.0)</f>
        <v>4</v>
      </c>
    </row>
    <row r="748">
      <c r="A748" s="178" t="str">
        <f>IFERROR(__xludf.DUMMYFUNCTION("""COMPUTED_VALUE"""),"ITBISA-7SEGMENT-CATHODE-RED-0.56-1BIT")</f>
        <v>ITBISA-7SEGMENT-CATHODE-RED-0.56-1BIT</v>
      </c>
      <c r="B748" s="266">
        <f>IFERROR(__xludf.DUMMYFUNCTION("""COMPUTED_VALUE"""),45065.0)</f>
        <v>45065</v>
      </c>
      <c r="C748" s="266" t="str">
        <f>IFERROR(__xludf.DUMMYFUNCTION("""COMPUTED_VALUE"""),"KYAI KONTONG")</f>
        <v>KYAI KONTONG</v>
      </c>
      <c r="D748" s="186">
        <f>IFERROR(__xludf.DUMMYFUNCTION("""COMPUTED_VALUE"""),2.0)</f>
        <v>2</v>
      </c>
    </row>
    <row r="749">
      <c r="A749" s="178" t="str">
        <f>IFERROR(__xludf.DUMMYFUNCTION("""COMPUTED_VALUE"""),"ITBISA-7SEGMENT-CATHODE-RED-0.56-1BIT")</f>
        <v>ITBISA-7SEGMENT-CATHODE-RED-0.56-1BIT</v>
      </c>
      <c r="B749" s="266">
        <f>IFERROR(__xludf.DUMMYFUNCTION("""COMPUTED_VALUE"""),45065.0)</f>
        <v>45065</v>
      </c>
      <c r="C749" s="266" t="str">
        <f>IFERROR(__xludf.DUMMYFUNCTION("""COMPUTED_VALUE"""),"KYAI KONTONG")</f>
        <v>KYAI KONTONG</v>
      </c>
      <c r="D749" s="186">
        <f>IFERROR(__xludf.DUMMYFUNCTION("""COMPUTED_VALUE"""),50.0)</f>
        <v>50</v>
      </c>
    </row>
    <row r="750">
      <c r="A750" s="178" t="str">
        <f>IFERROR(__xludf.DUMMYFUNCTION("""COMPUTED_VALUE"""),"ITBISA-7SEGMENT-CATHODE-RED-0.56-1BIT")</f>
        <v>ITBISA-7SEGMENT-CATHODE-RED-0.56-1BIT</v>
      </c>
      <c r="B750" s="266">
        <f>IFERROR(__xludf.DUMMYFUNCTION("""COMPUTED_VALUE"""),45075.0)</f>
        <v>45075</v>
      </c>
      <c r="C750" s="266" t="str">
        <f>IFERROR(__xludf.DUMMYFUNCTION("""COMPUTED_VALUE"""),"KYAI KONTONG")</f>
        <v>KYAI KONTONG</v>
      </c>
      <c r="D750" s="186">
        <f>IFERROR(__xludf.DUMMYFUNCTION("""COMPUTED_VALUE"""),25.0)</f>
        <v>25</v>
      </c>
    </row>
    <row r="751">
      <c r="A751" s="178" t="str">
        <f>IFERROR(__xludf.DUMMYFUNCTION("""COMPUTED_VALUE"""),"ITBISA-7SEGMENT-CATHODE-RED-0.56-1BIT")</f>
        <v>ITBISA-7SEGMENT-CATHODE-RED-0.56-1BIT</v>
      </c>
      <c r="B751" s="266">
        <f>IFERROR(__xludf.DUMMYFUNCTION("""COMPUTED_VALUE"""),45088.0)</f>
        <v>45088</v>
      </c>
      <c r="C751" s="266" t="str">
        <f>IFERROR(__xludf.DUMMYFUNCTION("""COMPUTED_VALUE"""),"KYAI KONTONG")</f>
        <v>KYAI KONTONG</v>
      </c>
      <c r="D751" s="186">
        <f>IFERROR(__xludf.DUMMYFUNCTION("""COMPUTED_VALUE"""),2.0)</f>
        <v>2</v>
      </c>
    </row>
    <row r="752">
      <c r="A752" s="178" t="str">
        <f>IFERROR(__xludf.DUMMYFUNCTION("""COMPUTED_VALUE"""),"ITBISA-7SEGMENT-CATHODE-RED-0.56-1BIT")</f>
        <v>ITBISA-7SEGMENT-CATHODE-RED-0.56-1BIT</v>
      </c>
      <c r="B752" s="266">
        <f>IFERROR(__xludf.DUMMYFUNCTION("""COMPUTED_VALUE"""),45092.0)</f>
        <v>45092</v>
      </c>
      <c r="C752" s="266" t="str">
        <f>IFERROR(__xludf.DUMMYFUNCTION("""COMPUTED_VALUE"""),"KERTASARI CIAMIS")</f>
        <v>KERTASARI CIAMIS</v>
      </c>
      <c r="D752" s="186">
        <f>IFERROR(__xludf.DUMMYFUNCTION("""COMPUTED_VALUE"""),20.0)</f>
        <v>20</v>
      </c>
    </row>
    <row r="753">
      <c r="A753" s="178" t="str">
        <f>IFERROR(__xludf.DUMMYFUNCTION("""COMPUTED_VALUE"""),"ITBISA-7SEGMENT-CATHODE-RED-0.56-1BIT")</f>
        <v>ITBISA-7SEGMENT-CATHODE-RED-0.56-1BIT</v>
      </c>
      <c r="B753" s="266">
        <f>IFERROR(__xludf.DUMMYFUNCTION("""COMPUTED_VALUE"""),45092.0)</f>
        <v>45092</v>
      </c>
      <c r="C753" s="266" t="str">
        <f>IFERROR(__xludf.DUMMYFUNCTION("""COMPUTED_VALUE"""),"KYAI KONTONG")</f>
        <v>KYAI KONTONG</v>
      </c>
      <c r="D753" s="186">
        <f>IFERROR(__xludf.DUMMYFUNCTION("""COMPUTED_VALUE"""),1.0)</f>
        <v>1</v>
      </c>
    </row>
    <row r="754">
      <c r="A754" s="178" t="str">
        <f>IFERROR(__xludf.DUMMYFUNCTION("""COMPUTED_VALUE"""),"ITBISA-7SEGMENT-CATHODE-RED-0.56-1BIT")</f>
        <v>ITBISA-7SEGMENT-CATHODE-RED-0.56-1BIT</v>
      </c>
      <c r="B754" s="266">
        <f>IFERROR(__xludf.DUMMYFUNCTION("""COMPUTED_VALUE"""),45096.0)</f>
        <v>45096</v>
      </c>
      <c r="C754" s="266" t="str">
        <f>IFERROR(__xludf.DUMMYFUNCTION("""COMPUTED_VALUE"""),"KYAI KONTONG")</f>
        <v>KYAI KONTONG</v>
      </c>
      <c r="D754" s="186">
        <f>IFERROR(__xludf.DUMMYFUNCTION("""COMPUTED_VALUE"""),10.0)</f>
        <v>10</v>
      </c>
    </row>
    <row r="755">
      <c r="A755" s="178" t="str">
        <f>IFERROR(__xludf.DUMMYFUNCTION("""COMPUTED_VALUE"""),"ITBISA-7SEGMENT-CATHODE-RED-0.56-1BIT")</f>
        <v>ITBISA-7SEGMENT-CATHODE-RED-0.56-1BIT</v>
      </c>
      <c r="B755" s="266">
        <f>IFERROR(__xludf.DUMMYFUNCTION("""COMPUTED_VALUE"""),45099.0)</f>
        <v>45099</v>
      </c>
      <c r="C755" s="266" t="str">
        <f>IFERROR(__xludf.DUMMYFUNCTION("""COMPUTED_VALUE"""),"KYAI KONTONG")</f>
        <v>KYAI KONTONG</v>
      </c>
      <c r="D755" s="186">
        <f>IFERROR(__xludf.DUMMYFUNCTION("""COMPUTED_VALUE"""),10.0)</f>
        <v>10</v>
      </c>
    </row>
    <row r="756">
      <c r="A756" s="178" t="str">
        <f>IFERROR(__xludf.DUMMYFUNCTION("""COMPUTED_VALUE"""),"ITBISA-7SEGMENT-CATHODE-RED-0.56-1BIT")</f>
        <v>ITBISA-7SEGMENT-CATHODE-RED-0.56-1BIT</v>
      </c>
      <c r="B756" s="266">
        <f>IFERROR(__xludf.DUMMYFUNCTION("""COMPUTED_VALUE"""),45102.0)</f>
        <v>45102</v>
      </c>
      <c r="C756" s="266" t="str">
        <f>IFERROR(__xludf.DUMMYFUNCTION("""COMPUTED_VALUE"""),"KYAI KONTONG")</f>
        <v>KYAI KONTONG</v>
      </c>
      <c r="D756" s="186">
        <f>IFERROR(__xludf.DUMMYFUNCTION("""COMPUTED_VALUE"""),10.0)</f>
        <v>10</v>
      </c>
    </row>
    <row r="757">
      <c r="A757" s="178" t="str">
        <f>IFERROR(__xludf.DUMMYFUNCTION("""COMPUTED_VALUE"""),"ITBISA-7SEGMENT-CATHODE-RED-0.56-1BIT")</f>
        <v>ITBISA-7SEGMENT-CATHODE-RED-0.56-1BIT</v>
      </c>
      <c r="B757" s="266">
        <f>IFERROR(__xludf.DUMMYFUNCTION("""COMPUTED_VALUE"""),45103.0)</f>
        <v>45103</v>
      </c>
      <c r="C757" s="266" t="str">
        <f>IFERROR(__xludf.DUMMYFUNCTION("""COMPUTED_VALUE"""),"KYAI KONTONG")</f>
        <v>KYAI KONTONG</v>
      </c>
      <c r="D757" s="186">
        <f>IFERROR(__xludf.DUMMYFUNCTION("""COMPUTED_VALUE"""),150.0)</f>
        <v>150</v>
      </c>
    </row>
    <row r="758">
      <c r="A758" s="178" t="str">
        <f>IFERROR(__xludf.DUMMYFUNCTION("""COMPUTED_VALUE"""),"ITBISA-7SEGMENT-CATHODE-RED-0.56-1BIT")</f>
        <v>ITBISA-7SEGMENT-CATHODE-RED-0.56-1BIT</v>
      </c>
      <c r="B758" s="266">
        <f>IFERROR(__xludf.DUMMYFUNCTION("""COMPUTED_VALUE"""),45105.0)</f>
        <v>45105</v>
      </c>
      <c r="C758" s="266" t="str">
        <f>IFERROR(__xludf.DUMMYFUNCTION("""COMPUTED_VALUE"""),"KYAI KONTONG")</f>
        <v>KYAI KONTONG</v>
      </c>
      <c r="D758" s="186">
        <f>IFERROR(__xludf.DUMMYFUNCTION("""COMPUTED_VALUE"""),3.0)</f>
        <v>3</v>
      </c>
    </row>
    <row r="759">
      <c r="A759" s="178" t="str">
        <f>IFERROR(__xludf.DUMMYFUNCTION("""COMPUTED_VALUE"""),"ITBISA-7SEGMENT-CATHODE-RED-0.56-1BIT")</f>
        <v>ITBISA-7SEGMENT-CATHODE-RED-0.56-1BIT</v>
      </c>
      <c r="B759" s="266">
        <f>IFERROR(__xludf.DUMMYFUNCTION("""COMPUTED_VALUE"""),45107.0)</f>
        <v>45107</v>
      </c>
      <c r="C759" s="266" t="str">
        <f>IFERROR(__xludf.DUMMYFUNCTION("""COMPUTED_VALUE"""),"KYAI KONTONG")</f>
        <v>KYAI KONTONG</v>
      </c>
      <c r="D759" s="186">
        <f>IFERROR(__xludf.DUMMYFUNCTION("""COMPUTED_VALUE"""),25.0)</f>
        <v>25</v>
      </c>
    </row>
    <row r="760">
      <c r="A760" s="178" t="str">
        <f>IFERROR(__xludf.DUMMYFUNCTION("""COMPUTED_VALUE"""),"ITBISA-7SEGMENT-CATHODE-RED-0.56-1BIT")</f>
        <v>ITBISA-7SEGMENT-CATHODE-RED-0.56-1BIT</v>
      </c>
      <c r="B760" s="266">
        <f>IFERROR(__xludf.DUMMYFUNCTION("""COMPUTED_VALUE"""),45109.0)</f>
        <v>45109</v>
      </c>
      <c r="C760" s="266" t="str">
        <f>IFERROR(__xludf.DUMMYFUNCTION("""COMPUTED_VALUE"""),"KYAI KONTONG")</f>
        <v>KYAI KONTONG</v>
      </c>
      <c r="D760" s="186">
        <f>IFERROR(__xludf.DUMMYFUNCTION("""COMPUTED_VALUE"""),10.0)</f>
        <v>10</v>
      </c>
    </row>
    <row r="761">
      <c r="A761" s="178" t="str">
        <f>IFERROR(__xludf.DUMMYFUNCTION("""COMPUTED_VALUE"""),"ITBISA-7SEGMENT-CATHODE-RED-0.56-1BIT")</f>
        <v>ITBISA-7SEGMENT-CATHODE-RED-0.56-1BIT</v>
      </c>
      <c r="B761" s="266">
        <f>IFERROR(__xludf.DUMMYFUNCTION("""COMPUTED_VALUE"""),45109.0)</f>
        <v>45109</v>
      </c>
      <c r="C761" s="266" t="str">
        <f>IFERROR(__xludf.DUMMYFUNCTION("""COMPUTED_VALUE"""),"KYAI KONTONG")</f>
        <v>KYAI KONTONG</v>
      </c>
      <c r="D761" s="186">
        <f>IFERROR(__xludf.DUMMYFUNCTION("""COMPUTED_VALUE"""),10.0)</f>
        <v>10</v>
      </c>
    </row>
    <row r="762">
      <c r="A762" s="178" t="str">
        <f>IFERROR(__xludf.DUMMYFUNCTION("""COMPUTED_VALUE"""),"ITBISA-7SEGMENT-CATHODE-RED-0.56-1BIT")</f>
        <v>ITBISA-7SEGMENT-CATHODE-RED-0.56-1BIT</v>
      </c>
      <c r="B762" s="266">
        <f>IFERROR(__xludf.DUMMYFUNCTION("""COMPUTED_VALUE"""),45109.0)</f>
        <v>45109</v>
      </c>
      <c r="C762" s="266" t="str">
        <f>IFERROR(__xludf.DUMMYFUNCTION("""COMPUTED_VALUE"""),"KYAI KONTONG")</f>
        <v>KYAI KONTONG</v>
      </c>
      <c r="D762" s="186">
        <f>IFERROR(__xludf.DUMMYFUNCTION("""COMPUTED_VALUE"""),20.0)</f>
        <v>20</v>
      </c>
    </row>
    <row r="763">
      <c r="A763" s="178" t="str">
        <f>IFERROR(__xludf.DUMMYFUNCTION("""COMPUTED_VALUE"""),"ITBISA-7SEGMENT-CATHODE-RED-0.56-1BIT")</f>
        <v>ITBISA-7SEGMENT-CATHODE-RED-0.56-1BIT</v>
      </c>
      <c r="B763" s="266">
        <f>IFERROR(__xludf.DUMMYFUNCTION("""COMPUTED_VALUE"""),45112.0)</f>
        <v>45112</v>
      </c>
      <c r="C763" s="266" t="str">
        <f>IFERROR(__xludf.DUMMYFUNCTION("""COMPUTED_VALUE"""),"KYAI KONTONG")</f>
        <v>KYAI KONTONG</v>
      </c>
      <c r="D763" s="186">
        <f>IFERROR(__xludf.DUMMYFUNCTION("""COMPUTED_VALUE"""),100.0)</f>
        <v>100</v>
      </c>
    </row>
    <row r="764">
      <c r="A764" s="178" t="str">
        <f>IFERROR(__xludf.DUMMYFUNCTION("""COMPUTED_VALUE"""),"ITBISA-7SEGMENT-CATHODE-RED-0.56-1BIT")</f>
        <v>ITBISA-7SEGMENT-CATHODE-RED-0.56-1BIT</v>
      </c>
      <c r="B764" s="266">
        <f>IFERROR(__xludf.DUMMYFUNCTION("""COMPUTED_VALUE"""),45114.0)</f>
        <v>45114</v>
      </c>
      <c r="C764" s="266" t="str">
        <f>IFERROR(__xludf.DUMMYFUNCTION("""COMPUTED_VALUE"""),"KYAI KONTONG")</f>
        <v>KYAI KONTONG</v>
      </c>
      <c r="D764" s="186">
        <f>IFERROR(__xludf.DUMMYFUNCTION("""COMPUTED_VALUE"""),7.0)</f>
        <v>7</v>
      </c>
    </row>
    <row r="765">
      <c r="A765" s="178" t="str">
        <f>IFERROR(__xludf.DUMMYFUNCTION("""COMPUTED_VALUE"""),"ITBISA-7SEGMENT-CATHODE-RED-0.56-1BIT")</f>
        <v>ITBISA-7SEGMENT-CATHODE-RED-0.56-1BIT</v>
      </c>
      <c r="B765" s="266">
        <f>IFERROR(__xludf.DUMMYFUNCTION("""COMPUTED_VALUE"""),45114.0)</f>
        <v>45114</v>
      </c>
      <c r="C765" s="266" t="str">
        <f>IFERROR(__xludf.DUMMYFUNCTION("""COMPUTED_VALUE"""),"KYAI KONTONG")</f>
        <v>KYAI KONTONG</v>
      </c>
      <c r="D765" s="186">
        <f>IFERROR(__xludf.DUMMYFUNCTION("""COMPUTED_VALUE"""),20.0)</f>
        <v>20</v>
      </c>
    </row>
    <row r="766">
      <c r="A766" s="178" t="str">
        <f>IFERROR(__xludf.DUMMYFUNCTION("""COMPUTED_VALUE"""),"ITBISA-7SEGMENT-CATHODE-RED-0.56-1BIT")</f>
        <v>ITBISA-7SEGMENT-CATHODE-RED-0.56-1BIT</v>
      </c>
      <c r="B766" s="266">
        <f>IFERROR(__xludf.DUMMYFUNCTION("""COMPUTED_VALUE"""),45116.0)</f>
        <v>45116</v>
      </c>
      <c r="C766" s="266" t="str">
        <f>IFERROR(__xludf.DUMMYFUNCTION("""COMPUTED_VALUE"""),"KYAI KONTONG")</f>
        <v>KYAI KONTONG</v>
      </c>
      <c r="D766" s="186">
        <f>IFERROR(__xludf.DUMMYFUNCTION("""COMPUTED_VALUE"""),30.0)</f>
        <v>30</v>
      </c>
    </row>
    <row r="767">
      <c r="A767" s="178" t="str">
        <f>IFERROR(__xludf.DUMMYFUNCTION("""COMPUTED_VALUE"""),"ITBISA-7SEGMENT-CATHODE-RED-0.56-1BIT")</f>
        <v>ITBISA-7SEGMENT-CATHODE-RED-0.56-1BIT</v>
      </c>
      <c r="B767" s="266">
        <f>IFERROR(__xludf.DUMMYFUNCTION("""COMPUTED_VALUE"""),45116.0)</f>
        <v>45116</v>
      </c>
      <c r="C767" s="266" t="str">
        <f>IFERROR(__xludf.DUMMYFUNCTION("""COMPUTED_VALUE"""),"KYAI KONTONG")</f>
        <v>KYAI KONTONG</v>
      </c>
      <c r="D767" s="186">
        <f>IFERROR(__xludf.DUMMYFUNCTION("""COMPUTED_VALUE"""),50.0)</f>
        <v>50</v>
      </c>
    </row>
    <row r="768">
      <c r="A768" s="178" t="str">
        <f>IFERROR(__xludf.DUMMYFUNCTION("""COMPUTED_VALUE"""),"ITBISA-7SEGMENT-CATHODE-RED-0.56-1BIT")</f>
        <v>ITBISA-7SEGMENT-CATHODE-RED-0.56-1BIT</v>
      </c>
      <c r="B768" s="266">
        <f>IFERROR(__xludf.DUMMYFUNCTION("""COMPUTED_VALUE"""),45120.0)</f>
        <v>45120</v>
      </c>
      <c r="C768" s="266" t="str">
        <f>IFERROR(__xludf.DUMMYFUNCTION("""COMPUTED_VALUE"""),"KYAI KONTONG")</f>
        <v>KYAI KONTONG</v>
      </c>
      <c r="D768" s="186">
        <f>IFERROR(__xludf.DUMMYFUNCTION("""COMPUTED_VALUE"""),50.0)</f>
        <v>50</v>
      </c>
    </row>
    <row r="769">
      <c r="A769" s="178" t="str">
        <f>IFERROR(__xludf.DUMMYFUNCTION("""COMPUTED_VALUE"""),"ITBISA-7SEGMENT-CATHODE-RED-0.56-1BIT")</f>
        <v>ITBISA-7SEGMENT-CATHODE-RED-0.56-1BIT</v>
      </c>
      <c r="B769" s="266">
        <f>IFERROR(__xludf.DUMMYFUNCTION("""COMPUTED_VALUE"""),45122.0)</f>
        <v>45122</v>
      </c>
      <c r="C769" s="266" t="str">
        <f>IFERROR(__xludf.DUMMYFUNCTION("""COMPUTED_VALUE"""),"KYAI KONTONG")</f>
        <v>KYAI KONTONG</v>
      </c>
      <c r="D769" s="186">
        <f>IFERROR(__xludf.DUMMYFUNCTION("""COMPUTED_VALUE"""),6.0)</f>
        <v>6</v>
      </c>
    </row>
    <row r="770">
      <c r="A770" s="178" t="str">
        <f>IFERROR(__xludf.DUMMYFUNCTION("""COMPUTED_VALUE"""),"ITBISA-7SEGMENT-CATHODE-RED-0.56-1BIT")</f>
        <v>ITBISA-7SEGMENT-CATHODE-RED-0.56-1BIT</v>
      </c>
      <c r="B770" s="266">
        <f>IFERROR(__xludf.DUMMYFUNCTION("""COMPUTED_VALUE"""),45123.0)</f>
        <v>45123</v>
      </c>
      <c r="C770" s="266" t="str">
        <f>IFERROR(__xludf.DUMMYFUNCTION("""COMPUTED_VALUE"""),"KYAI KONTONG")</f>
        <v>KYAI KONTONG</v>
      </c>
      <c r="D770" s="186">
        <f>IFERROR(__xludf.DUMMYFUNCTION("""COMPUTED_VALUE"""),1.0)</f>
        <v>1</v>
      </c>
    </row>
    <row r="771">
      <c r="A771" s="178" t="str">
        <f>IFERROR(__xludf.DUMMYFUNCTION("""COMPUTED_VALUE"""),"ITBISA-7SEGMENT-CATHODE-RED-0.56-1BIT")</f>
        <v>ITBISA-7SEGMENT-CATHODE-RED-0.56-1BIT</v>
      </c>
      <c r="B771" s="266">
        <f>IFERROR(__xludf.DUMMYFUNCTION("""COMPUTED_VALUE"""),45124.0)</f>
        <v>45124</v>
      </c>
      <c r="C771" s="266" t="str">
        <f>IFERROR(__xludf.DUMMYFUNCTION("""COMPUTED_VALUE"""),"KYAI KONTONG")</f>
        <v>KYAI KONTONG</v>
      </c>
      <c r="D771" s="186">
        <f>IFERROR(__xludf.DUMMYFUNCTION("""COMPUTED_VALUE"""),2.0)</f>
        <v>2</v>
      </c>
    </row>
    <row r="772">
      <c r="A772" s="178" t="str">
        <f>IFERROR(__xludf.DUMMYFUNCTION("""COMPUTED_VALUE"""),"ITBISA-7SEGMENT-CATHODE-RED-0.56-1BIT")</f>
        <v>ITBISA-7SEGMENT-CATHODE-RED-0.56-1BIT</v>
      </c>
      <c r="B772" s="266">
        <f>IFERROR(__xludf.DUMMYFUNCTION("""COMPUTED_VALUE"""),45125.0)</f>
        <v>45125</v>
      </c>
      <c r="C772" s="266" t="str">
        <f>IFERROR(__xludf.DUMMYFUNCTION("""COMPUTED_VALUE"""),"KYAI KONTONG")</f>
        <v>KYAI KONTONG</v>
      </c>
      <c r="D772" s="186">
        <f>IFERROR(__xludf.DUMMYFUNCTION("""COMPUTED_VALUE"""),6.0)</f>
        <v>6</v>
      </c>
    </row>
    <row r="773">
      <c r="A773" s="178" t="str">
        <f>IFERROR(__xludf.DUMMYFUNCTION("""COMPUTED_VALUE"""),"ITBISA-7SEGMENT-CATHODE-RED-0.56-1BIT")</f>
        <v>ITBISA-7SEGMENT-CATHODE-RED-0.56-1BIT</v>
      </c>
      <c r="B773" s="266">
        <f>IFERROR(__xludf.DUMMYFUNCTION("""COMPUTED_VALUE"""),45125.0)</f>
        <v>45125</v>
      </c>
      <c r="C773" s="266" t="str">
        <f>IFERROR(__xludf.DUMMYFUNCTION("""COMPUTED_VALUE"""),"KYAI KONTONG")</f>
        <v>KYAI KONTONG</v>
      </c>
      <c r="D773" s="186">
        <f>IFERROR(__xludf.DUMMYFUNCTION("""COMPUTED_VALUE"""),54.0)</f>
        <v>54</v>
      </c>
    </row>
    <row r="774">
      <c r="A774" s="178" t="str">
        <f>IFERROR(__xludf.DUMMYFUNCTION("""COMPUTED_VALUE"""),"ITBISA-7SEGMENT-CATHODE-RED-0.56-1BIT")</f>
        <v>ITBISA-7SEGMENT-CATHODE-RED-0.56-1BIT</v>
      </c>
      <c r="B774" s="266">
        <f>IFERROR(__xludf.DUMMYFUNCTION("""COMPUTED_VALUE"""),45132.0)</f>
        <v>45132</v>
      </c>
      <c r="C774" s="266" t="str">
        <f>IFERROR(__xludf.DUMMYFUNCTION("""COMPUTED_VALUE"""),"KYAI KONTONG")</f>
        <v>KYAI KONTONG</v>
      </c>
      <c r="D774" s="186">
        <f>IFERROR(__xludf.DUMMYFUNCTION("""COMPUTED_VALUE"""),4.0)</f>
        <v>4</v>
      </c>
    </row>
    <row r="775">
      <c r="A775" s="178" t="str">
        <f>IFERROR(__xludf.DUMMYFUNCTION("""COMPUTED_VALUE"""),"ITBISA-7SEGMENT-CATHODE-RED-0.56-1BIT")</f>
        <v>ITBISA-7SEGMENT-CATHODE-RED-0.56-1BIT</v>
      </c>
      <c r="B775" s="266">
        <f>IFERROR(__xludf.DUMMYFUNCTION("""COMPUTED_VALUE"""),45162.0)</f>
        <v>45162</v>
      </c>
      <c r="C775" s="266" t="str">
        <f>IFERROR(__xludf.DUMMYFUNCTION("""COMPUTED_VALUE"""),"KYAI KONTONG")</f>
        <v>KYAI KONTONG</v>
      </c>
      <c r="D775" s="186">
        <f>IFERROR(__xludf.DUMMYFUNCTION("""COMPUTED_VALUE"""),10.0)</f>
        <v>10</v>
      </c>
    </row>
    <row r="776">
      <c r="A776" s="178" t="str">
        <f>IFERROR(__xludf.DUMMYFUNCTION("""COMPUTED_VALUE"""),"ITBISA-7SEGMENT-CATHODE-RED-0.56-1BIT")</f>
        <v>ITBISA-7SEGMENT-CATHODE-RED-0.56-1BIT</v>
      </c>
      <c r="B776" s="266">
        <f>IFERROR(__xludf.DUMMYFUNCTION("""COMPUTED_VALUE"""),45163.0)</f>
        <v>45163</v>
      </c>
      <c r="C776" s="266" t="str">
        <f>IFERROR(__xludf.DUMMYFUNCTION("""COMPUTED_VALUE"""),"KYAI KONTONG")</f>
        <v>KYAI KONTONG</v>
      </c>
      <c r="D776" s="186">
        <f>IFERROR(__xludf.DUMMYFUNCTION("""COMPUTED_VALUE"""),20.0)</f>
        <v>20</v>
      </c>
    </row>
    <row r="777">
      <c r="A777" s="178" t="str">
        <f>IFERROR(__xludf.DUMMYFUNCTION("""COMPUTED_VALUE"""),"ITBISA-7SEGMENT-CATHODE-RED-0.56-1BIT")</f>
        <v>ITBISA-7SEGMENT-CATHODE-RED-0.56-1BIT</v>
      </c>
      <c r="B777" s="266">
        <f>IFERROR(__xludf.DUMMYFUNCTION("""COMPUTED_VALUE"""),45164.0)</f>
        <v>45164</v>
      </c>
      <c r="C777" s="266" t="str">
        <f>IFERROR(__xludf.DUMMYFUNCTION("""COMPUTED_VALUE"""),"KYAI KONTONG")</f>
        <v>KYAI KONTONG</v>
      </c>
      <c r="D777" s="186">
        <f>IFERROR(__xludf.DUMMYFUNCTION("""COMPUTED_VALUE"""),100.0)</f>
        <v>100</v>
      </c>
    </row>
    <row r="778">
      <c r="A778" s="178" t="str">
        <f>IFERROR(__xludf.DUMMYFUNCTION("""COMPUTED_VALUE"""),"ITBISA-7SEGMENT-CATHODE-RED-0.56-1BIT")</f>
        <v>ITBISA-7SEGMENT-CATHODE-RED-0.56-1BIT</v>
      </c>
      <c r="B778" s="266">
        <f>IFERROR(__xludf.DUMMYFUNCTION("""COMPUTED_VALUE"""),45166.0)</f>
        <v>45166</v>
      </c>
      <c r="C778" s="266" t="str">
        <f>IFERROR(__xludf.DUMMYFUNCTION("""COMPUTED_VALUE"""),"KYAI KONTONG")</f>
        <v>KYAI KONTONG</v>
      </c>
      <c r="D778" s="186">
        <f>IFERROR(__xludf.DUMMYFUNCTION("""COMPUTED_VALUE"""),1.0)</f>
        <v>1</v>
      </c>
    </row>
    <row r="779">
      <c r="A779" s="178" t="str">
        <f>IFERROR(__xludf.DUMMYFUNCTION("""COMPUTED_VALUE"""),"ITBISA-7SEGMENT-CATHODE-RED-0.56-1BIT")</f>
        <v>ITBISA-7SEGMENT-CATHODE-RED-0.56-1BIT</v>
      </c>
      <c r="B779" s="266">
        <f>IFERROR(__xludf.DUMMYFUNCTION("""COMPUTED_VALUE"""),45169.0)</f>
        <v>45169</v>
      </c>
      <c r="C779" s="266" t="str">
        <f>IFERROR(__xludf.DUMMYFUNCTION("""COMPUTED_VALUE"""),"KYAI KONTONG")</f>
        <v>KYAI KONTONG</v>
      </c>
      <c r="D779" s="186">
        <f>IFERROR(__xludf.DUMMYFUNCTION("""COMPUTED_VALUE"""),3.0)</f>
        <v>3</v>
      </c>
    </row>
    <row r="780">
      <c r="A780" s="178" t="str">
        <f>IFERROR(__xludf.DUMMYFUNCTION("""COMPUTED_VALUE"""),"ITBISA-7SEGMENT-CATHODE-RED-0.56-1BIT")</f>
        <v>ITBISA-7SEGMENT-CATHODE-RED-0.56-1BIT</v>
      </c>
      <c r="B780" s="266">
        <f>IFERROR(__xludf.DUMMYFUNCTION("""COMPUTED_VALUE"""),45169.0)</f>
        <v>45169</v>
      </c>
      <c r="C780" s="266" t="str">
        <f>IFERROR(__xludf.DUMMYFUNCTION("""COMPUTED_VALUE"""),"KYAI KONTONG")</f>
        <v>KYAI KONTONG</v>
      </c>
      <c r="D780" s="186">
        <f>IFERROR(__xludf.DUMMYFUNCTION("""COMPUTED_VALUE"""),100.0)</f>
        <v>100</v>
      </c>
    </row>
    <row r="781">
      <c r="A781" s="178" t="str">
        <f>IFERROR(__xludf.DUMMYFUNCTION("""COMPUTED_VALUE"""),"ITBISA-7SEGMENT-CATHODE-RED-0.56-1BIT")</f>
        <v>ITBISA-7SEGMENT-CATHODE-RED-0.56-1BIT</v>
      </c>
      <c r="B781" s="266">
        <f>IFERROR(__xludf.DUMMYFUNCTION("""COMPUTED_VALUE"""),45174.0)</f>
        <v>45174</v>
      </c>
      <c r="C781" s="266" t="str">
        <f>IFERROR(__xludf.DUMMYFUNCTION("""COMPUTED_VALUE"""),"KYAI KONTONG")</f>
        <v>KYAI KONTONG</v>
      </c>
      <c r="D781" s="186">
        <f>IFERROR(__xludf.DUMMYFUNCTION("""COMPUTED_VALUE"""),3.0)</f>
        <v>3</v>
      </c>
    </row>
    <row r="782">
      <c r="A782" s="178" t="str">
        <f>IFERROR(__xludf.DUMMYFUNCTION("""COMPUTED_VALUE"""),"ITBISA-7SEGMENT-CATHODE-RED-0.56-1BIT")</f>
        <v>ITBISA-7SEGMENT-CATHODE-RED-0.56-1BIT</v>
      </c>
      <c r="B782" s="266">
        <f>IFERROR(__xludf.DUMMYFUNCTION("""COMPUTED_VALUE"""),45176.0)</f>
        <v>45176</v>
      </c>
      <c r="C782" s="266" t="str">
        <f>IFERROR(__xludf.DUMMYFUNCTION("""COMPUTED_VALUE"""),"KYAI KONTONG")</f>
        <v>KYAI KONTONG</v>
      </c>
      <c r="D782" s="186">
        <f>IFERROR(__xludf.DUMMYFUNCTION("""COMPUTED_VALUE"""),17.0)</f>
        <v>17</v>
      </c>
    </row>
    <row r="783">
      <c r="A783" s="178" t="str">
        <f>IFERROR(__xludf.DUMMYFUNCTION("""COMPUTED_VALUE"""),"ITBISA-7SEGMENT-CATHODE-RED-0.56-1BIT")</f>
        <v>ITBISA-7SEGMENT-CATHODE-RED-0.56-1BIT</v>
      </c>
      <c r="B783" s="266">
        <f>IFERROR(__xludf.DUMMYFUNCTION("""COMPUTED_VALUE"""),45177.0)</f>
        <v>45177</v>
      </c>
      <c r="C783" s="266" t="str">
        <f>IFERROR(__xludf.DUMMYFUNCTION("""COMPUTED_VALUE"""),"KERTASARI CIAMIS")</f>
        <v>KERTASARI CIAMIS</v>
      </c>
      <c r="D783" s="186">
        <f>IFERROR(__xludf.DUMMYFUNCTION("""COMPUTED_VALUE"""),30.0)</f>
        <v>30</v>
      </c>
    </row>
    <row r="784">
      <c r="A784" s="178" t="str">
        <f>IFERROR(__xludf.DUMMYFUNCTION("""COMPUTED_VALUE"""),"ITBISA-7SEGMENT-CATHODE-RED-0.56-1BIT")</f>
        <v>ITBISA-7SEGMENT-CATHODE-RED-0.56-1BIT</v>
      </c>
      <c r="B784" s="266">
        <f>IFERROR(__xludf.DUMMYFUNCTION("""COMPUTED_VALUE"""),45177.0)</f>
        <v>45177</v>
      </c>
      <c r="C784" s="266" t="str">
        <f>IFERROR(__xludf.DUMMYFUNCTION("""COMPUTED_VALUE"""),"KYAI KONTONG")</f>
        <v>KYAI KONTONG</v>
      </c>
      <c r="D784" s="186">
        <f>IFERROR(__xludf.DUMMYFUNCTION("""COMPUTED_VALUE"""),30.0)</f>
        <v>30</v>
      </c>
    </row>
    <row r="785">
      <c r="A785" s="178" t="str">
        <f>IFERROR(__xludf.DUMMYFUNCTION("""COMPUTED_VALUE"""),"ITBISA-7SEGMENT-CATHODE-RED-0.56-1BIT")</f>
        <v>ITBISA-7SEGMENT-CATHODE-RED-0.56-1BIT</v>
      </c>
      <c r="B785" s="266">
        <f>IFERROR(__xludf.DUMMYFUNCTION("""COMPUTED_VALUE"""),45178.0)</f>
        <v>45178</v>
      </c>
      <c r="C785" s="266" t="str">
        <f>IFERROR(__xludf.DUMMYFUNCTION("""COMPUTED_VALUE"""),"KYAI KONTONG")</f>
        <v>KYAI KONTONG</v>
      </c>
      <c r="D785" s="186">
        <f>IFERROR(__xludf.DUMMYFUNCTION("""COMPUTED_VALUE"""),750.0)</f>
        <v>750</v>
      </c>
    </row>
    <row r="786">
      <c r="A786" s="178" t="str">
        <f>IFERROR(__xludf.DUMMYFUNCTION("""COMPUTED_VALUE"""),"ITBISA-7SEGMENT-CATHODE-RED-0.56-1BIT")</f>
        <v>ITBISA-7SEGMENT-CATHODE-RED-0.56-1BIT</v>
      </c>
      <c r="B786" s="266">
        <f>IFERROR(__xludf.DUMMYFUNCTION("""COMPUTED_VALUE"""),45179.0)</f>
        <v>45179</v>
      </c>
      <c r="C786" s="266" t="str">
        <f>IFERROR(__xludf.DUMMYFUNCTION("""COMPUTED_VALUE"""),"KYAI KONTONG")</f>
        <v>KYAI KONTONG</v>
      </c>
      <c r="D786" s="186">
        <f>IFERROR(__xludf.DUMMYFUNCTION("""COMPUTED_VALUE"""),6.0)</f>
        <v>6</v>
      </c>
    </row>
    <row r="787">
      <c r="A787" s="178" t="str">
        <f>IFERROR(__xludf.DUMMYFUNCTION("""COMPUTED_VALUE"""),"ITBISA-7SEGMENT-CATHODE-RED-0.56-1BIT")</f>
        <v>ITBISA-7SEGMENT-CATHODE-RED-0.56-1BIT</v>
      </c>
      <c r="B787" s="266">
        <f>IFERROR(__xludf.DUMMYFUNCTION("""COMPUTED_VALUE"""),45180.0)</f>
        <v>45180</v>
      </c>
      <c r="C787" s="266" t="str">
        <f>IFERROR(__xludf.DUMMYFUNCTION("""COMPUTED_VALUE"""),"KYAI KONTONG")</f>
        <v>KYAI KONTONG</v>
      </c>
      <c r="D787" s="186">
        <f>IFERROR(__xludf.DUMMYFUNCTION("""COMPUTED_VALUE"""),50.0)</f>
        <v>50</v>
      </c>
    </row>
    <row r="788">
      <c r="A788" s="178" t="str">
        <f>IFERROR(__xludf.DUMMYFUNCTION("""COMPUTED_VALUE"""),"ITBISA-7SEGMENT-CATHODE-RED-0.56-1BIT")</f>
        <v>ITBISA-7SEGMENT-CATHODE-RED-0.56-1BIT</v>
      </c>
      <c r="B788" s="266">
        <f>IFERROR(__xludf.DUMMYFUNCTION("""COMPUTED_VALUE"""),45182.0)</f>
        <v>45182</v>
      </c>
      <c r="C788" s="266" t="str">
        <f>IFERROR(__xludf.DUMMYFUNCTION("""COMPUTED_VALUE"""),"KYAI KONTONG")</f>
        <v>KYAI KONTONG</v>
      </c>
      <c r="D788" s="186">
        <f>IFERROR(__xludf.DUMMYFUNCTION("""COMPUTED_VALUE"""),2.0)</f>
        <v>2</v>
      </c>
    </row>
    <row r="789">
      <c r="A789" s="178" t="str">
        <f>IFERROR(__xludf.DUMMYFUNCTION("""COMPUTED_VALUE"""),"ITBISA-7SEGMENT-CATHODE-RED-0.56-1BIT")</f>
        <v>ITBISA-7SEGMENT-CATHODE-RED-0.56-1BIT</v>
      </c>
      <c r="B789" s="266">
        <f>IFERROR(__xludf.DUMMYFUNCTION("""COMPUTED_VALUE"""),45182.0)</f>
        <v>45182</v>
      </c>
      <c r="C789" s="266" t="str">
        <f>IFERROR(__xludf.DUMMYFUNCTION("""COMPUTED_VALUE"""),"KYAI KONTONG")</f>
        <v>KYAI KONTONG</v>
      </c>
      <c r="D789" s="186">
        <f>IFERROR(__xludf.DUMMYFUNCTION("""COMPUTED_VALUE"""),10.0)</f>
        <v>10</v>
      </c>
    </row>
    <row r="790">
      <c r="A790" s="178" t="str">
        <f>IFERROR(__xludf.DUMMYFUNCTION("""COMPUTED_VALUE"""),"ITBISA-7SEGMENT-CATHODE-RED-0.56-1BIT")</f>
        <v>ITBISA-7SEGMENT-CATHODE-RED-0.56-1BIT</v>
      </c>
      <c r="B790" s="266">
        <f>IFERROR(__xludf.DUMMYFUNCTION("""COMPUTED_VALUE"""),45188.0)</f>
        <v>45188</v>
      </c>
      <c r="C790" s="266" t="str">
        <f>IFERROR(__xludf.DUMMYFUNCTION("""COMPUTED_VALUE"""),"KYAI KONTONG")</f>
        <v>KYAI KONTONG</v>
      </c>
      <c r="D790" s="186">
        <f>IFERROR(__xludf.DUMMYFUNCTION("""COMPUTED_VALUE"""),2.0)</f>
        <v>2</v>
      </c>
    </row>
    <row r="791">
      <c r="A791" s="178" t="str">
        <f>IFERROR(__xludf.DUMMYFUNCTION("""COMPUTED_VALUE"""),"ITBISA-7SEGMENT-CATHODE-RED-0.56-1BIT")</f>
        <v>ITBISA-7SEGMENT-CATHODE-RED-0.56-1BIT</v>
      </c>
      <c r="B791" s="266">
        <f>IFERROR(__xludf.DUMMYFUNCTION("""COMPUTED_VALUE"""),45188.0)</f>
        <v>45188</v>
      </c>
      <c r="C791" s="266" t="str">
        <f>IFERROR(__xludf.DUMMYFUNCTION("""COMPUTED_VALUE"""),"KYAI KONTONG")</f>
        <v>KYAI KONTONG</v>
      </c>
      <c r="D791" s="186">
        <f>IFERROR(__xludf.DUMMYFUNCTION("""COMPUTED_VALUE"""),10.0)</f>
        <v>10</v>
      </c>
    </row>
    <row r="792">
      <c r="A792" s="178" t="str">
        <f>IFERROR(__xludf.DUMMYFUNCTION("""COMPUTED_VALUE"""),"ITBISA-7SEGMENT-CATHODE-RED-0.56-1BIT")</f>
        <v>ITBISA-7SEGMENT-CATHODE-RED-0.56-1BIT</v>
      </c>
      <c r="B792" s="266">
        <f>IFERROR(__xludf.DUMMYFUNCTION("""COMPUTED_VALUE"""),45189.0)</f>
        <v>45189</v>
      </c>
      <c r="C792" s="266" t="str">
        <f>IFERROR(__xludf.DUMMYFUNCTION("""COMPUTED_VALUE"""),"KYAI KONTONG")</f>
        <v>KYAI KONTONG</v>
      </c>
      <c r="D792" s="186">
        <f>IFERROR(__xludf.DUMMYFUNCTION("""COMPUTED_VALUE"""),10.0)</f>
        <v>10</v>
      </c>
    </row>
    <row r="793">
      <c r="A793" s="178" t="str">
        <f>IFERROR(__xludf.DUMMYFUNCTION("""COMPUTED_VALUE"""),"ITBISA-7SEGMENT-CATHODE-RED-0.56-1BIT")</f>
        <v>ITBISA-7SEGMENT-CATHODE-RED-0.56-1BIT</v>
      </c>
      <c r="B793" s="266">
        <f>IFERROR(__xludf.DUMMYFUNCTION("""COMPUTED_VALUE"""),45190.0)</f>
        <v>45190</v>
      </c>
      <c r="C793" s="266" t="str">
        <f>IFERROR(__xludf.DUMMYFUNCTION("""COMPUTED_VALUE"""),"KYAI KONTONG")</f>
        <v>KYAI KONTONG</v>
      </c>
      <c r="D793" s="186">
        <f>IFERROR(__xludf.DUMMYFUNCTION("""COMPUTED_VALUE"""),2.0)</f>
        <v>2</v>
      </c>
    </row>
    <row r="794">
      <c r="A794" s="178" t="str">
        <f>IFERROR(__xludf.DUMMYFUNCTION("""COMPUTED_VALUE"""),"ITBISA-7SEGMENT-CATHODE-RED-0.56-1BIT")</f>
        <v>ITBISA-7SEGMENT-CATHODE-RED-0.56-1BIT</v>
      </c>
      <c r="B794" s="266">
        <f>IFERROR(__xludf.DUMMYFUNCTION("""COMPUTED_VALUE"""),45192.0)</f>
        <v>45192</v>
      </c>
      <c r="C794" s="266" t="str">
        <f>IFERROR(__xludf.DUMMYFUNCTION("""COMPUTED_VALUE"""),"KYAI KONTONG")</f>
        <v>KYAI KONTONG</v>
      </c>
      <c r="D794" s="186">
        <f>IFERROR(__xludf.DUMMYFUNCTION("""COMPUTED_VALUE"""),2.0)</f>
        <v>2</v>
      </c>
    </row>
    <row r="795">
      <c r="A795" s="178" t="str">
        <f>IFERROR(__xludf.DUMMYFUNCTION("""COMPUTED_VALUE"""),"ITBISA-7SEGMENT-CATHODE-RED-0.56-1BIT")</f>
        <v>ITBISA-7SEGMENT-CATHODE-RED-0.56-1BIT</v>
      </c>
      <c r="B795" s="266">
        <f>IFERROR(__xludf.DUMMYFUNCTION("""COMPUTED_VALUE"""),45192.0)</f>
        <v>45192</v>
      </c>
      <c r="C795" s="266" t="str">
        <f>IFERROR(__xludf.DUMMYFUNCTION("""COMPUTED_VALUE"""),"KYAI KONTONG")</f>
        <v>KYAI KONTONG</v>
      </c>
      <c r="D795" s="186">
        <f>IFERROR(__xludf.DUMMYFUNCTION("""COMPUTED_VALUE"""),100.0)</f>
        <v>100</v>
      </c>
    </row>
    <row r="796">
      <c r="A796" s="178" t="str">
        <f>IFERROR(__xludf.DUMMYFUNCTION("""COMPUTED_VALUE"""),"ITBISA-7SEGMENT-CATHODE-RED-0.56-1BIT")</f>
        <v>ITBISA-7SEGMENT-CATHODE-RED-0.56-1BIT</v>
      </c>
      <c r="B796" s="266">
        <f>IFERROR(__xludf.DUMMYFUNCTION("""COMPUTED_VALUE"""),45194.0)</f>
        <v>45194</v>
      </c>
      <c r="C796" s="266" t="str">
        <f>IFERROR(__xludf.DUMMYFUNCTION("""COMPUTED_VALUE"""),"KYAI KONTONG")</f>
        <v>KYAI KONTONG</v>
      </c>
      <c r="D796" s="186">
        <f>IFERROR(__xludf.DUMMYFUNCTION("""COMPUTED_VALUE"""),2.0)</f>
        <v>2</v>
      </c>
    </row>
    <row r="797">
      <c r="A797" s="178" t="str">
        <f>IFERROR(__xludf.DUMMYFUNCTION("""COMPUTED_VALUE"""),"ITBISA-7SEGMENT-CATHODE-RED-0.56-1BIT")</f>
        <v>ITBISA-7SEGMENT-CATHODE-RED-0.56-1BIT</v>
      </c>
      <c r="B797" s="266">
        <f>IFERROR(__xludf.DUMMYFUNCTION("""COMPUTED_VALUE"""),45194.0)</f>
        <v>45194</v>
      </c>
      <c r="C797" s="266" t="str">
        <f>IFERROR(__xludf.DUMMYFUNCTION("""COMPUTED_VALUE"""),"KYAI KONTONG")</f>
        <v>KYAI KONTONG</v>
      </c>
      <c r="D797" s="186">
        <f>IFERROR(__xludf.DUMMYFUNCTION("""COMPUTED_VALUE"""),50.0)</f>
        <v>50</v>
      </c>
    </row>
    <row r="798">
      <c r="A798" s="178" t="str">
        <f>IFERROR(__xludf.DUMMYFUNCTION("""COMPUTED_VALUE"""),"ITBISA-7SEGMENT-CATHODE-RED-0.56-1BIT")</f>
        <v>ITBISA-7SEGMENT-CATHODE-RED-0.56-1BIT</v>
      </c>
      <c r="B798" s="266">
        <f>IFERROR(__xludf.DUMMYFUNCTION("""COMPUTED_VALUE"""),45197.0)</f>
        <v>45197</v>
      </c>
      <c r="C798" s="266" t="str">
        <f>IFERROR(__xludf.DUMMYFUNCTION("""COMPUTED_VALUE"""),"KYAI KONTONG")</f>
        <v>KYAI KONTONG</v>
      </c>
      <c r="D798" s="186">
        <f>IFERROR(__xludf.DUMMYFUNCTION("""COMPUTED_VALUE"""),1.0)</f>
        <v>1</v>
      </c>
    </row>
    <row r="799">
      <c r="A799" s="178" t="str">
        <f>IFERROR(__xludf.DUMMYFUNCTION("""COMPUTED_VALUE"""),"ITBISA-7SEGMENT-CATHODE-RED-0.56-1BIT")</f>
        <v>ITBISA-7SEGMENT-CATHODE-RED-0.56-1BIT</v>
      </c>
      <c r="B799" s="266">
        <f>IFERROR(__xludf.DUMMYFUNCTION("""COMPUTED_VALUE"""),45204.0)</f>
        <v>45204</v>
      </c>
      <c r="C799" s="266" t="str">
        <f>IFERROR(__xludf.DUMMYFUNCTION("""COMPUTED_VALUE"""),"KYAI KONTONG")</f>
        <v>KYAI KONTONG</v>
      </c>
      <c r="D799" s="186">
        <f>IFERROR(__xludf.DUMMYFUNCTION("""COMPUTED_VALUE"""),30.0)</f>
        <v>30</v>
      </c>
    </row>
    <row r="800">
      <c r="A800" s="178" t="str">
        <f>IFERROR(__xludf.DUMMYFUNCTION("""COMPUTED_VALUE"""),"ITBISA-7SEGMENT-CATHODE-RED-0.56-1BIT")</f>
        <v>ITBISA-7SEGMENT-CATHODE-RED-0.56-1BIT</v>
      </c>
      <c r="B800" s="266">
        <f>IFERROR(__xludf.DUMMYFUNCTION("""COMPUTED_VALUE"""),45209.0)</f>
        <v>45209</v>
      </c>
      <c r="C800" s="266" t="str">
        <f>IFERROR(__xludf.DUMMYFUNCTION("""COMPUTED_VALUE"""),"KYAI KONTONG")</f>
        <v>KYAI KONTONG</v>
      </c>
      <c r="D800" s="186">
        <f>IFERROR(__xludf.DUMMYFUNCTION("""COMPUTED_VALUE"""),2.0)</f>
        <v>2</v>
      </c>
    </row>
    <row r="801">
      <c r="A801" s="178" t="str">
        <f>IFERROR(__xludf.DUMMYFUNCTION("""COMPUTED_VALUE"""),"ITBISA-7SEGMENT-CATHODE-RED-0.56-1BIT")</f>
        <v>ITBISA-7SEGMENT-CATHODE-RED-0.56-1BIT</v>
      </c>
      <c r="B801" s="266">
        <f>IFERROR(__xludf.DUMMYFUNCTION("""COMPUTED_VALUE"""),45209.0)</f>
        <v>45209</v>
      </c>
      <c r="C801" s="266" t="str">
        <f>IFERROR(__xludf.DUMMYFUNCTION("""COMPUTED_VALUE"""),"KYAI KONTONG")</f>
        <v>KYAI KONTONG</v>
      </c>
      <c r="D801" s="186">
        <f>IFERROR(__xludf.DUMMYFUNCTION("""COMPUTED_VALUE"""),50.0)</f>
        <v>50</v>
      </c>
    </row>
    <row r="802">
      <c r="A802" s="178" t="str">
        <f>IFERROR(__xludf.DUMMYFUNCTION("""COMPUTED_VALUE"""),"ITBISA-7SEGMENT-CATHODE-RED-0.56-1BIT")</f>
        <v>ITBISA-7SEGMENT-CATHODE-RED-0.56-1BIT</v>
      </c>
      <c r="B802" s="266">
        <f>IFERROR(__xludf.DUMMYFUNCTION("""COMPUTED_VALUE"""),45210.0)</f>
        <v>45210</v>
      </c>
      <c r="C802" s="266" t="str">
        <f>IFERROR(__xludf.DUMMYFUNCTION("""COMPUTED_VALUE"""),"KYAI KONTONG")</f>
        <v>KYAI KONTONG</v>
      </c>
      <c r="D802" s="186">
        <f>IFERROR(__xludf.DUMMYFUNCTION("""COMPUTED_VALUE"""),1.0)</f>
        <v>1</v>
      </c>
    </row>
    <row r="803">
      <c r="A803" s="178" t="str">
        <f>IFERROR(__xludf.DUMMYFUNCTION("""COMPUTED_VALUE"""),"ITBISA-7SEGMENT-CATHODE-RED-0.56-1BIT")</f>
        <v>ITBISA-7SEGMENT-CATHODE-RED-0.56-1BIT</v>
      </c>
      <c r="B803" s="266">
        <f>IFERROR(__xludf.DUMMYFUNCTION("""COMPUTED_VALUE"""),45210.0)</f>
        <v>45210</v>
      </c>
      <c r="C803" s="266" t="str">
        <f>IFERROR(__xludf.DUMMYFUNCTION("""COMPUTED_VALUE"""),"KYAI KONTONG")</f>
        <v>KYAI KONTONG</v>
      </c>
      <c r="D803" s="186">
        <f>IFERROR(__xludf.DUMMYFUNCTION("""COMPUTED_VALUE"""),4.0)</f>
        <v>4</v>
      </c>
    </row>
    <row r="804">
      <c r="A804" s="178" t="str">
        <f>IFERROR(__xludf.DUMMYFUNCTION("""COMPUTED_VALUE"""),"ITBISA-7SEGMENT-CATHODE-RED-0.56-1BIT")</f>
        <v>ITBISA-7SEGMENT-CATHODE-RED-0.56-1BIT</v>
      </c>
      <c r="B804" s="266">
        <f>IFERROR(__xludf.DUMMYFUNCTION("""COMPUTED_VALUE"""),45212.0)</f>
        <v>45212</v>
      </c>
      <c r="C804" s="266" t="str">
        <f>IFERROR(__xludf.DUMMYFUNCTION("""COMPUTED_VALUE"""),"KYAI KONTONG")</f>
        <v>KYAI KONTONG</v>
      </c>
      <c r="D804" s="186">
        <f>IFERROR(__xludf.DUMMYFUNCTION("""COMPUTED_VALUE"""),2.0)</f>
        <v>2</v>
      </c>
    </row>
    <row r="805">
      <c r="A805" s="178" t="str">
        <f>IFERROR(__xludf.DUMMYFUNCTION("""COMPUTED_VALUE"""),"ITBISA-7SEGMENT-CATHODE-RED-0.56-1BIT")</f>
        <v>ITBISA-7SEGMENT-CATHODE-RED-0.56-1BIT</v>
      </c>
      <c r="B805" s="266">
        <f>IFERROR(__xludf.DUMMYFUNCTION("""COMPUTED_VALUE"""),45213.0)</f>
        <v>45213</v>
      </c>
      <c r="C805" s="266" t="str">
        <f>IFERROR(__xludf.DUMMYFUNCTION("""COMPUTED_VALUE"""),"KYAI KONTONG")</f>
        <v>KYAI KONTONG</v>
      </c>
      <c r="D805" s="186">
        <f>IFERROR(__xludf.DUMMYFUNCTION("""COMPUTED_VALUE"""),30.0)</f>
        <v>30</v>
      </c>
    </row>
    <row r="806">
      <c r="A806" s="178" t="str">
        <f>IFERROR(__xludf.DUMMYFUNCTION("""COMPUTED_VALUE"""),"ITBISA-7SEGMENT-CATHODE-RED-0.56-1BIT")</f>
        <v>ITBISA-7SEGMENT-CATHODE-RED-0.56-1BIT</v>
      </c>
      <c r="B806" s="266">
        <f>IFERROR(__xludf.DUMMYFUNCTION("""COMPUTED_VALUE"""),45216.0)</f>
        <v>45216</v>
      </c>
      <c r="C806" s="266" t="str">
        <f>IFERROR(__xludf.DUMMYFUNCTION("""COMPUTED_VALUE"""),"KYAI KONTONG")</f>
        <v>KYAI KONTONG</v>
      </c>
      <c r="D806" s="186">
        <f>IFERROR(__xludf.DUMMYFUNCTION("""COMPUTED_VALUE"""),7.0)</f>
        <v>7</v>
      </c>
    </row>
    <row r="807">
      <c r="A807" s="178" t="str">
        <f>IFERROR(__xludf.DUMMYFUNCTION("""COMPUTED_VALUE"""),"ITBISA-7SEGMENT-CATHODE-RED-0.56-1BIT")</f>
        <v>ITBISA-7SEGMENT-CATHODE-RED-0.56-1BIT</v>
      </c>
      <c r="B807" s="266">
        <f>IFERROR(__xludf.DUMMYFUNCTION("""COMPUTED_VALUE"""),45217.0)</f>
        <v>45217</v>
      </c>
      <c r="C807" s="266" t="str">
        <f>IFERROR(__xludf.DUMMYFUNCTION("""COMPUTED_VALUE"""),"KYAI KONTONG")</f>
        <v>KYAI KONTONG</v>
      </c>
      <c r="D807" s="186">
        <f>IFERROR(__xludf.DUMMYFUNCTION("""COMPUTED_VALUE"""),1.0)</f>
        <v>1</v>
      </c>
    </row>
    <row r="808">
      <c r="A808" s="178" t="str">
        <f>IFERROR(__xludf.DUMMYFUNCTION("""COMPUTED_VALUE"""),"ITBISA-7SEGMENT-CATHODE-RED-0.56-1BIT")</f>
        <v>ITBISA-7SEGMENT-CATHODE-RED-0.56-1BIT</v>
      </c>
      <c r="B808" s="266">
        <f>IFERROR(__xludf.DUMMYFUNCTION("""COMPUTED_VALUE"""),45222.0)</f>
        <v>45222</v>
      </c>
      <c r="C808" s="266" t="str">
        <f>IFERROR(__xludf.DUMMYFUNCTION("""COMPUTED_VALUE"""),"KYAI KONTONG")</f>
        <v>KYAI KONTONG</v>
      </c>
      <c r="D808" s="186">
        <f>IFERROR(__xludf.DUMMYFUNCTION("""COMPUTED_VALUE"""),6.0)</f>
        <v>6</v>
      </c>
    </row>
    <row r="809">
      <c r="A809" s="178" t="str">
        <f>IFERROR(__xludf.DUMMYFUNCTION("""COMPUTED_VALUE"""),"ITBISA-7SEGMENT-CATHODE-RED-0.56-1BIT")</f>
        <v>ITBISA-7SEGMENT-CATHODE-RED-0.56-1BIT</v>
      </c>
      <c r="B809" s="266">
        <f>IFERROR(__xludf.DUMMYFUNCTION("""COMPUTED_VALUE"""),45225.0)</f>
        <v>45225</v>
      </c>
      <c r="C809" s="266" t="str">
        <f>IFERROR(__xludf.DUMMYFUNCTION("""COMPUTED_VALUE"""),"KYAI KONTONG")</f>
        <v>KYAI KONTONG</v>
      </c>
      <c r="D809" s="186">
        <f>IFERROR(__xludf.DUMMYFUNCTION("""COMPUTED_VALUE"""),10.0)</f>
        <v>10</v>
      </c>
    </row>
    <row r="810">
      <c r="A810" s="178" t="str">
        <f>IFERROR(__xludf.DUMMYFUNCTION("""COMPUTED_VALUE"""),"ITBISA-7SEGMENT-CATHODE-RED-0.56-1BIT")</f>
        <v>ITBISA-7SEGMENT-CATHODE-RED-0.56-1BIT</v>
      </c>
      <c r="B810" s="266">
        <f>IFERROR(__xludf.DUMMYFUNCTION("""COMPUTED_VALUE"""),45225.0)</f>
        <v>45225</v>
      </c>
      <c r="C810" s="266" t="str">
        <f>IFERROR(__xludf.DUMMYFUNCTION("""COMPUTED_VALUE"""),"KYAI KONTONG")</f>
        <v>KYAI KONTONG</v>
      </c>
      <c r="D810" s="186">
        <f>IFERROR(__xludf.DUMMYFUNCTION("""COMPUTED_VALUE"""),10.0)</f>
        <v>10</v>
      </c>
    </row>
    <row r="811">
      <c r="A811" s="178" t="str">
        <f>IFERROR(__xludf.DUMMYFUNCTION("""COMPUTED_VALUE"""),"ITBISA-7SEGMENT-CATHODE-RED-0.56-1BIT")</f>
        <v>ITBISA-7SEGMENT-CATHODE-RED-0.56-1BIT</v>
      </c>
      <c r="B811" s="266">
        <f>IFERROR(__xludf.DUMMYFUNCTION("""COMPUTED_VALUE"""),45228.0)</f>
        <v>45228</v>
      </c>
      <c r="C811" s="266" t="str">
        <f>IFERROR(__xludf.DUMMYFUNCTION("""COMPUTED_VALUE"""),"KYAI KONTONG")</f>
        <v>KYAI KONTONG</v>
      </c>
      <c r="D811" s="186">
        <f>IFERROR(__xludf.DUMMYFUNCTION("""COMPUTED_VALUE"""),1.0)</f>
        <v>1</v>
      </c>
    </row>
    <row r="812">
      <c r="A812" s="178" t="str">
        <f>IFERROR(__xludf.DUMMYFUNCTION("""COMPUTED_VALUE"""),"ITBISA-7SEGMENT-CATHODE-RED-0.56-1BIT")</f>
        <v>ITBISA-7SEGMENT-CATHODE-RED-0.56-1BIT</v>
      </c>
      <c r="B812" s="266">
        <f>IFERROR(__xludf.DUMMYFUNCTION("""COMPUTED_VALUE"""),45229.0)</f>
        <v>45229</v>
      </c>
      <c r="C812" s="266" t="str">
        <f>IFERROR(__xludf.DUMMYFUNCTION("""COMPUTED_VALUE"""),"KYAI KONTONG")</f>
        <v>KYAI KONTONG</v>
      </c>
      <c r="D812" s="186">
        <f>IFERROR(__xludf.DUMMYFUNCTION("""COMPUTED_VALUE"""),2.0)</f>
        <v>2</v>
      </c>
    </row>
    <row r="813">
      <c r="A813" s="178" t="str">
        <f>IFERROR(__xludf.DUMMYFUNCTION("""COMPUTED_VALUE"""),"ITBISA-7SEGMENT-CATHODE-RED-0.56-1BIT")</f>
        <v>ITBISA-7SEGMENT-CATHODE-RED-0.56-1BIT</v>
      </c>
      <c r="B813" s="266">
        <f>IFERROR(__xludf.DUMMYFUNCTION("""COMPUTED_VALUE"""),45230.0)</f>
        <v>45230</v>
      </c>
      <c r="C813" s="266" t="str">
        <f>IFERROR(__xludf.DUMMYFUNCTION("""COMPUTED_VALUE"""),"KYAI KONTONG")</f>
        <v>KYAI KONTONG</v>
      </c>
      <c r="D813" s="186">
        <f>IFERROR(__xludf.DUMMYFUNCTION("""COMPUTED_VALUE"""),5.0)</f>
        <v>5</v>
      </c>
    </row>
    <row r="814">
      <c r="A814" s="178" t="str">
        <f>IFERROR(__xludf.DUMMYFUNCTION("""COMPUTED_VALUE"""),"ITBISA-7SEGMENT-CATHODE-RED-0.56-1BIT")</f>
        <v>ITBISA-7SEGMENT-CATHODE-RED-0.56-1BIT</v>
      </c>
      <c r="B814" s="266">
        <f>IFERROR(__xludf.DUMMYFUNCTION("""COMPUTED_VALUE"""),45231.0)</f>
        <v>45231</v>
      </c>
      <c r="C814" s="266" t="str">
        <f>IFERROR(__xludf.DUMMYFUNCTION("""COMPUTED_VALUE"""),"KERTASARI CIAMIS")</f>
        <v>KERTASARI CIAMIS</v>
      </c>
      <c r="D814" s="186">
        <f>IFERROR(__xludf.DUMMYFUNCTION("""COMPUTED_VALUE"""),50.0)</f>
        <v>50</v>
      </c>
    </row>
    <row r="815">
      <c r="A815" s="178" t="str">
        <f>IFERROR(__xludf.DUMMYFUNCTION("""COMPUTED_VALUE"""),"ITBISA-7SEGMENT-CATHODE-RED-0.56-1BIT")</f>
        <v>ITBISA-7SEGMENT-CATHODE-RED-0.56-1BIT</v>
      </c>
      <c r="B815" s="266">
        <f>IFERROR(__xludf.DUMMYFUNCTION("""COMPUTED_VALUE"""),45231.0)</f>
        <v>45231</v>
      </c>
      <c r="C815" s="266" t="str">
        <f>IFERROR(__xludf.DUMMYFUNCTION("""COMPUTED_VALUE"""),"KERTASARI CIAMIS")</f>
        <v>KERTASARI CIAMIS</v>
      </c>
      <c r="D815" s="186">
        <f>IFERROR(__xludf.DUMMYFUNCTION("""COMPUTED_VALUE"""),100.0)</f>
        <v>100</v>
      </c>
    </row>
    <row r="816">
      <c r="A816" s="178" t="str">
        <f>IFERROR(__xludf.DUMMYFUNCTION("""COMPUTED_VALUE"""),"ITBISA-7SEGMENT-CATHODE-RED-0.56-1BIT")</f>
        <v>ITBISA-7SEGMENT-CATHODE-RED-0.56-1BIT</v>
      </c>
      <c r="B816" s="266">
        <f>IFERROR(__xludf.DUMMYFUNCTION("""COMPUTED_VALUE"""),45235.0)</f>
        <v>45235</v>
      </c>
      <c r="C816" s="266" t="str">
        <f>IFERROR(__xludf.DUMMYFUNCTION("""COMPUTED_VALUE"""),"KERTASARI CIAMIS")</f>
        <v>KERTASARI CIAMIS</v>
      </c>
      <c r="D816" s="186">
        <f>IFERROR(__xludf.DUMMYFUNCTION("""COMPUTED_VALUE"""),100.0)</f>
        <v>100</v>
      </c>
    </row>
    <row r="817">
      <c r="A817" s="178" t="str">
        <f>IFERROR(__xludf.DUMMYFUNCTION("""COMPUTED_VALUE"""),"ITBISA-7SEGMENT-CATHODE-RED-0.56-1BIT")</f>
        <v>ITBISA-7SEGMENT-CATHODE-RED-0.56-1BIT</v>
      </c>
      <c r="B817" s="266">
        <f>IFERROR(__xludf.DUMMYFUNCTION("""COMPUTED_VALUE"""),45235.0)</f>
        <v>45235</v>
      </c>
      <c r="C817" s="266" t="str">
        <f>IFERROR(__xludf.DUMMYFUNCTION("""COMPUTED_VALUE"""),"KYAI KONTONG")</f>
        <v>KYAI KONTONG</v>
      </c>
      <c r="D817" s="186">
        <f>IFERROR(__xludf.DUMMYFUNCTION("""COMPUTED_VALUE"""),4.0)</f>
        <v>4</v>
      </c>
    </row>
    <row r="818">
      <c r="A818" s="178" t="str">
        <f>IFERROR(__xludf.DUMMYFUNCTION("""COMPUTED_VALUE"""),"ITBISA-7SEGMENT-CATHODE-RED-0.56-1BIT")</f>
        <v>ITBISA-7SEGMENT-CATHODE-RED-0.56-1BIT</v>
      </c>
      <c r="B818" s="266">
        <f>IFERROR(__xludf.DUMMYFUNCTION("""COMPUTED_VALUE"""),45236.0)</f>
        <v>45236</v>
      </c>
      <c r="C818" s="266" t="str">
        <f>IFERROR(__xludf.DUMMYFUNCTION("""COMPUTED_VALUE"""),"KYAI KONTONG")</f>
        <v>KYAI KONTONG</v>
      </c>
      <c r="D818" s="186">
        <f>IFERROR(__xludf.DUMMYFUNCTION("""COMPUTED_VALUE"""),200.0)</f>
        <v>200</v>
      </c>
    </row>
    <row r="819">
      <c r="A819" s="178" t="str">
        <f>IFERROR(__xludf.DUMMYFUNCTION("""COMPUTED_VALUE"""),"ITBISA-7SEGMENT-CATHODE-RED-0.56-1BIT")</f>
        <v>ITBISA-7SEGMENT-CATHODE-RED-0.56-1BIT</v>
      </c>
      <c r="B819" s="266">
        <f>IFERROR(__xludf.DUMMYFUNCTION("""COMPUTED_VALUE"""),45238.0)</f>
        <v>45238</v>
      </c>
      <c r="C819" s="266" t="str">
        <f>IFERROR(__xludf.DUMMYFUNCTION("""COMPUTED_VALUE"""),"KERTASARI CIAMIS")</f>
        <v>KERTASARI CIAMIS</v>
      </c>
      <c r="D819" s="186">
        <f>IFERROR(__xludf.DUMMYFUNCTION("""COMPUTED_VALUE"""),40.0)</f>
        <v>40</v>
      </c>
    </row>
    <row r="820">
      <c r="A820" s="178" t="str">
        <f>IFERROR(__xludf.DUMMYFUNCTION("""COMPUTED_VALUE"""),"ITBISA-7SEGMENT-CATHODE-RED-0.56-1BIT")</f>
        <v>ITBISA-7SEGMENT-CATHODE-RED-0.56-1BIT</v>
      </c>
      <c r="B820" s="266">
        <f>IFERROR(__xludf.DUMMYFUNCTION("""COMPUTED_VALUE"""),45238.0)</f>
        <v>45238</v>
      </c>
      <c r="C820" s="266" t="str">
        <f>IFERROR(__xludf.DUMMYFUNCTION("""COMPUTED_VALUE"""),"KERTASARI CIAMIS")</f>
        <v>KERTASARI CIAMIS</v>
      </c>
      <c r="D820" s="186">
        <f>IFERROR(__xludf.DUMMYFUNCTION("""COMPUTED_VALUE"""),100.0)</f>
        <v>100</v>
      </c>
    </row>
    <row r="821">
      <c r="A821" s="178" t="str">
        <f>IFERROR(__xludf.DUMMYFUNCTION("""COMPUTED_VALUE"""),"ITBISA-7SEGMENT-CATHODE-RED-0.56-1BIT")</f>
        <v>ITBISA-7SEGMENT-CATHODE-RED-0.56-1BIT</v>
      </c>
      <c r="B821" s="266">
        <f>IFERROR(__xludf.DUMMYFUNCTION("""COMPUTED_VALUE"""),45238.0)</f>
        <v>45238</v>
      </c>
      <c r="C821" s="266" t="str">
        <f>IFERROR(__xludf.DUMMYFUNCTION("""COMPUTED_VALUE"""),"KYAI KONTONG")</f>
        <v>KYAI KONTONG</v>
      </c>
      <c r="D821" s="186">
        <f>IFERROR(__xludf.DUMMYFUNCTION("""COMPUTED_VALUE"""),15.0)</f>
        <v>15</v>
      </c>
    </row>
    <row r="822">
      <c r="A822" s="178" t="str">
        <f>IFERROR(__xludf.DUMMYFUNCTION("""COMPUTED_VALUE"""),"ITBISA-7SEGMENT-CATHODE-RED-0.56-1BIT")</f>
        <v>ITBISA-7SEGMENT-CATHODE-RED-0.56-1BIT</v>
      </c>
      <c r="B822" s="266">
        <f>IFERROR(__xludf.DUMMYFUNCTION("""COMPUTED_VALUE"""),45240.0)</f>
        <v>45240</v>
      </c>
      <c r="C822" s="266" t="str">
        <f>IFERROR(__xludf.DUMMYFUNCTION("""COMPUTED_VALUE"""),"KYAI KONTONG")</f>
        <v>KYAI KONTONG</v>
      </c>
      <c r="D822" s="186">
        <f>IFERROR(__xludf.DUMMYFUNCTION("""COMPUTED_VALUE"""),8.0)</f>
        <v>8</v>
      </c>
    </row>
    <row r="823">
      <c r="A823" s="178" t="str">
        <f>IFERROR(__xludf.DUMMYFUNCTION("""COMPUTED_VALUE"""),"ITBISA-7SEGMENT-CATHODE-RED-0.56-1BIT")</f>
        <v>ITBISA-7SEGMENT-CATHODE-RED-0.56-1BIT</v>
      </c>
      <c r="B823" s="266">
        <f>IFERROR(__xludf.DUMMYFUNCTION("""COMPUTED_VALUE"""),45241.0)</f>
        <v>45241</v>
      </c>
      <c r="C823" s="266" t="str">
        <f>IFERROR(__xludf.DUMMYFUNCTION("""COMPUTED_VALUE"""),"KYAI KONTONG")</f>
        <v>KYAI KONTONG</v>
      </c>
      <c r="D823" s="186">
        <f>IFERROR(__xludf.DUMMYFUNCTION("""COMPUTED_VALUE"""),5.0)</f>
        <v>5</v>
      </c>
    </row>
    <row r="824">
      <c r="A824" s="178" t="str">
        <f>IFERROR(__xludf.DUMMYFUNCTION("""COMPUTED_VALUE"""),"ITBISA-7SEGMENT-CATHODE-RED-0.56-1BIT")</f>
        <v>ITBISA-7SEGMENT-CATHODE-RED-0.56-1BIT</v>
      </c>
      <c r="B824" s="266">
        <f>IFERROR(__xludf.DUMMYFUNCTION("""COMPUTED_VALUE"""),45241.0)</f>
        <v>45241</v>
      </c>
      <c r="C824" s="266" t="str">
        <f>IFERROR(__xludf.DUMMYFUNCTION("""COMPUTED_VALUE"""),"KYAI KONTONG")</f>
        <v>KYAI KONTONG</v>
      </c>
      <c r="D824" s="186">
        <f>IFERROR(__xludf.DUMMYFUNCTION("""COMPUTED_VALUE"""),150.0)</f>
        <v>150</v>
      </c>
    </row>
    <row r="825">
      <c r="A825" s="178" t="str">
        <f>IFERROR(__xludf.DUMMYFUNCTION("""COMPUTED_VALUE"""),"ITBISA-7SEGMENT-CATHODE-RED-0.56-1BIT")</f>
        <v>ITBISA-7SEGMENT-CATHODE-RED-0.56-1BIT</v>
      </c>
      <c r="B825" s="266">
        <f>IFERROR(__xludf.DUMMYFUNCTION("""COMPUTED_VALUE"""),45242.0)</f>
        <v>45242</v>
      </c>
      <c r="C825" s="266" t="str">
        <f>IFERROR(__xludf.DUMMYFUNCTION("""COMPUTED_VALUE"""),"KERTASARI CIAMIS")</f>
        <v>KERTASARI CIAMIS</v>
      </c>
      <c r="D825" s="186">
        <f>IFERROR(__xludf.DUMMYFUNCTION("""COMPUTED_VALUE"""),5.0)</f>
        <v>5</v>
      </c>
    </row>
    <row r="826">
      <c r="A826" s="178" t="str">
        <f>IFERROR(__xludf.DUMMYFUNCTION("""COMPUTED_VALUE"""),"ITBISA-7SEGMENT-CATHODE-RED-0.56-1BIT")</f>
        <v>ITBISA-7SEGMENT-CATHODE-RED-0.56-1BIT</v>
      </c>
      <c r="B826" s="266">
        <f>IFERROR(__xludf.DUMMYFUNCTION("""COMPUTED_VALUE"""),45244.0)</f>
        <v>45244</v>
      </c>
      <c r="C826" s="266" t="str">
        <f>IFERROR(__xludf.DUMMYFUNCTION("""COMPUTED_VALUE"""),"KERTASARI CIAMIS")</f>
        <v>KERTASARI CIAMIS</v>
      </c>
      <c r="D826" s="186">
        <f>IFERROR(__xludf.DUMMYFUNCTION("""COMPUTED_VALUE"""),8.0)</f>
        <v>8</v>
      </c>
    </row>
    <row r="827">
      <c r="A827" s="178" t="str">
        <f>IFERROR(__xludf.DUMMYFUNCTION("""COMPUTED_VALUE"""),"ITBISA-7SEGMENT-CATHODE-RED-0.56-1BIT")</f>
        <v>ITBISA-7SEGMENT-CATHODE-RED-0.56-1BIT</v>
      </c>
      <c r="B827" s="266">
        <f>IFERROR(__xludf.DUMMYFUNCTION("""COMPUTED_VALUE"""),45248.0)</f>
        <v>45248</v>
      </c>
      <c r="C827" s="266" t="str">
        <f>IFERROR(__xludf.DUMMYFUNCTION("""COMPUTED_VALUE"""),"KYAI KONTONG")</f>
        <v>KYAI KONTONG</v>
      </c>
      <c r="D827" s="186">
        <f>IFERROR(__xludf.DUMMYFUNCTION("""COMPUTED_VALUE"""),1.0)</f>
        <v>1</v>
      </c>
    </row>
    <row r="828">
      <c r="A828" s="178" t="str">
        <f>IFERROR(__xludf.DUMMYFUNCTION("""COMPUTED_VALUE"""),"ITBISA-7SEGMENT-CATHODE-RED-0.56-1BIT")</f>
        <v>ITBISA-7SEGMENT-CATHODE-RED-0.56-1BIT</v>
      </c>
      <c r="B828" s="266">
        <f>IFERROR(__xludf.DUMMYFUNCTION("""COMPUTED_VALUE"""),45252.0)</f>
        <v>45252</v>
      </c>
      <c r="C828" s="266" t="str">
        <f>IFERROR(__xludf.DUMMYFUNCTION("""COMPUTED_VALUE"""),"KYAI KONTONG")</f>
        <v>KYAI KONTONG</v>
      </c>
      <c r="D828" s="186">
        <f>IFERROR(__xludf.DUMMYFUNCTION("""COMPUTED_VALUE"""),430.0)</f>
        <v>430</v>
      </c>
    </row>
    <row r="829">
      <c r="A829" s="178" t="str">
        <f>IFERROR(__xludf.DUMMYFUNCTION("""COMPUTED_VALUE"""),"ITBISA-7SEGMENT-CATHODE-RED-0.56-1BIT")</f>
        <v>ITBISA-7SEGMENT-CATHODE-RED-0.56-1BIT</v>
      </c>
      <c r="B829" s="266">
        <f>IFERROR(__xludf.DUMMYFUNCTION("""COMPUTED_VALUE"""),45253.0)</f>
        <v>45253</v>
      </c>
      <c r="C829" s="266" t="str">
        <f>IFERROR(__xludf.DUMMYFUNCTION("""COMPUTED_VALUE"""),"KYAI KONTONG")</f>
        <v>KYAI KONTONG</v>
      </c>
      <c r="D829" s="186">
        <f>IFERROR(__xludf.DUMMYFUNCTION("""COMPUTED_VALUE"""),60.0)</f>
        <v>60</v>
      </c>
    </row>
    <row r="830">
      <c r="A830" s="178" t="str">
        <f>IFERROR(__xludf.DUMMYFUNCTION("""COMPUTED_VALUE"""),"ITBISA-7SEGMENT-CATHODE-RED-0.56-1BIT")</f>
        <v>ITBISA-7SEGMENT-CATHODE-RED-0.56-1BIT</v>
      </c>
      <c r="B830" s="266">
        <f>IFERROR(__xludf.DUMMYFUNCTION("""COMPUTED_VALUE"""),45257.0)</f>
        <v>45257</v>
      </c>
      <c r="C830" s="266" t="str">
        <f>IFERROR(__xludf.DUMMYFUNCTION("""COMPUTED_VALUE"""),"KYAI KONTONG")</f>
        <v>KYAI KONTONG</v>
      </c>
      <c r="D830" s="186">
        <f>IFERROR(__xludf.DUMMYFUNCTION("""COMPUTED_VALUE"""),50.0)</f>
        <v>50</v>
      </c>
    </row>
    <row r="831">
      <c r="A831" s="178" t="str">
        <f>IFERROR(__xludf.DUMMYFUNCTION("""COMPUTED_VALUE"""),"ITBISA-7SEGMENT-CATHODE-RED-0.56-1BIT")</f>
        <v>ITBISA-7SEGMENT-CATHODE-RED-0.56-1BIT</v>
      </c>
      <c r="B831" s="266">
        <f>IFERROR(__xludf.DUMMYFUNCTION("""COMPUTED_VALUE"""),45263.0)</f>
        <v>45263</v>
      </c>
      <c r="C831" s="266" t="str">
        <f>IFERROR(__xludf.DUMMYFUNCTION("""COMPUTED_VALUE"""),"KYAI KONTONG")</f>
        <v>KYAI KONTONG</v>
      </c>
      <c r="D831" s="186">
        <f>IFERROR(__xludf.DUMMYFUNCTION("""COMPUTED_VALUE"""),1.0)</f>
        <v>1</v>
      </c>
    </row>
    <row r="832">
      <c r="A832" s="178" t="str">
        <f>IFERROR(__xludf.DUMMYFUNCTION("""COMPUTED_VALUE"""),"ITBISA-7SEGMENT-CATHODE-RED-0.56-1BIT")</f>
        <v>ITBISA-7SEGMENT-CATHODE-RED-0.56-1BIT</v>
      </c>
      <c r="B832" s="266">
        <f>IFERROR(__xludf.DUMMYFUNCTION("""COMPUTED_VALUE"""),45265.0)</f>
        <v>45265</v>
      </c>
      <c r="C832" s="266" t="str">
        <f>IFERROR(__xludf.DUMMYFUNCTION("""COMPUTED_VALUE"""),"KERTASARI CIAMIS")</f>
        <v>KERTASARI CIAMIS</v>
      </c>
      <c r="D832" s="186">
        <f>IFERROR(__xludf.DUMMYFUNCTION("""COMPUTED_VALUE"""),50.0)</f>
        <v>50</v>
      </c>
    </row>
    <row r="833">
      <c r="A833" s="178" t="str">
        <f>IFERROR(__xludf.DUMMYFUNCTION("""COMPUTED_VALUE"""),"ITBISA-7SEGMENT-CATHODE-RED-0.56-1BIT")</f>
        <v>ITBISA-7SEGMENT-CATHODE-RED-0.56-1BIT</v>
      </c>
      <c r="B833" s="266">
        <f>IFERROR(__xludf.DUMMYFUNCTION("""COMPUTED_VALUE"""),45268.0)</f>
        <v>45268</v>
      </c>
      <c r="C833" s="266" t="str">
        <f>IFERROR(__xludf.DUMMYFUNCTION("""COMPUTED_VALUE"""),"KERTASARI CIAMIS")</f>
        <v>KERTASARI CIAMIS</v>
      </c>
      <c r="D833" s="186">
        <f>IFERROR(__xludf.DUMMYFUNCTION("""COMPUTED_VALUE"""),8.0)</f>
        <v>8</v>
      </c>
    </row>
    <row r="834">
      <c r="A834" s="178" t="str">
        <f>IFERROR(__xludf.DUMMYFUNCTION("""COMPUTED_VALUE"""),"ITBISA-7SEGMENT-CATHODE-RED-0.56-1BIT")</f>
        <v>ITBISA-7SEGMENT-CATHODE-RED-0.56-1BIT</v>
      </c>
      <c r="B834" s="266">
        <f>IFERROR(__xludf.DUMMYFUNCTION("""COMPUTED_VALUE"""),45271.0)</f>
        <v>45271</v>
      </c>
      <c r="C834" s="266" t="str">
        <f>IFERROR(__xludf.DUMMYFUNCTION("""COMPUTED_VALUE"""),"KYAI KONTONG")</f>
        <v>KYAI KONTONG</v>
      </c>
      <c r="D834" s="186">
        <f>IFERROR(__xludf.DUMMYFUNCTION("""COMPUTED_VALUE"""),12.0)</f>
        <v>12</v>
      </c>
    </row>
    <row r="835">
      <c r="A835" s="178" t="str">
        <f>IFERROR(__xludf.DUMMYFUNCTION("""COMPUTED_VALUE"""),"ITBISA-7SEGMENT-CATHODE-RED-0.56-1BIT")</f>
        <v>ITBISA-7SEGMENT-CATHODE-RED-0.56-1BIT</v>
      </c>
      <c r="B835" s="266">
        <f>IFERROR(__xludf.DUMMYFUNCTION("""COMPUTED_VALUE"""),45271.0)</f>
        <v>45271</v>
      </c>
      <c r="C835" s="266" t="str">
        <f>IFERROR(__xludf.DUMMYFUNCTION("""COMPUTED_VALUE"""),"KYAI KONTONG")</f>
        <v>KYAI KONTONG</v>
      </c>
      <c r="D835" s="186">
        <f>IFERROR(__xludf.DUMMYFUNCTION("""COMPUTED_VALUE"""),25.0)</f>
        <v>25</v>
      </c>
    </row>
    <row r="836">
      <c r="A836" s="178" t="str">
        <f>IFERROR(__xludf.DUMMYFUNCTION("""COMPUTED_VALUE"""),"ITBISA-7SEGMENT-CATHODE-RED-0.56-1BIT")</f>
        <v>ITBISA-7SEGMENT-CATHODE-RED-0.56-1BIT</v>
      </c>
      <c r="B836" s="266">
        <f>IFERROR(__xludf.DUMMYFUNCTION("""COMPUTED_VALUE"""),45274.0)</f>
        <v>45274</v>
      </c>
      <c r="C836" s="266" t="str">
        <f>IFERROR(__xludf.DUMMYFUNCTION("""COMPUTED_VALUE"""),"KYAI KONTONG")</f>
        <v>KYAI KONTONG</v>
      </c>
      <c r="D836" s="186">
        <f>IFERROR(__xludf.DUMMYFUNCTION("""COMPUTED_VALUE"""),5.0)</f>
        <v>5</v>
      </c>
    </row>
    <row r="837">
      <c r="A837" s="178" t="str">
        <f>IFERROR(__xludf.DUMMYFUNCTION("""COMPUTED_VALUE"""),"ITBISA-7SEGMENT-CATHODE-RED-0.56-1BIT")</f>
        <v>ITBISA-7SEGMENT-CATHODE-RED-0.56-1BIT</v>
      </c>
      <c r="B837" s="266">
        <f>IFERROR(__xludf.DUMMYFUNCTION("""COMPUTED_VALUE"""),45274.0)</f>
        <v>45274</v>
      </c>
      <c r="C837" s="266" t="str">
        <f>IFERROR(__xludf.DUMMYFUNCTION("""COMPUTED_VALUE"""),"KYAI KONTONG")</f>
        <v>KYAI KONTONG</v>
      </c>
      <c r="D837" s="186">
        <f>IFERROR(__xludf.DUMMYFUNCTION("""COMPUTED_VALUE"""),10.0)</f>
        <v>10</v>
      </c>
    </row>
    <row r="838">
      <c r="A838" s="178" t="str">
        <f>IFERROR(__xludf.DUMMYFUNCTION("""COMPUTED_VALUE"""),"ITBISA-7SEGMENT-CATHODE-RED-0.56-1BIT")</f>
        <v>ITBISA-7SEGMENT-CATHODE-RED-0.56-1BIT</v>
      </c>
      <c r="B838" s="266">
        <f>IFERROR(__xludf.DUMMYFUNCTION("""COMPUTED_VALUE"""),45286.0)</f>
        <v>45286</v>
      </c>
      <c r="C838" s="266" t="str">
        <f>IFERROR(__xludf.DUMMYFUNCTION("""COMPUTED_VALUE"""),"KERTASARI CIAMIS")</f>
        <v>KERTASARI CIAMIS</v>
      </c>
      <c r="D838" s="186">
        <f>IFERROR(__xludf.DUMMYFUNCTION("""COMPUTED_VALUE"""),10.0)</f>
        <v>10</v>
      </c>
    </row>
    <row r="839">
      <c r="A839" s="178" t="str">
        <f>IFERROR(__xludf.DUMMYFUNCTION("""COMPUTED_VALUE"""),"ITBISA-7SEGMENT-CATHODE-RED-0.56-1BIT")</f>
        <v>ITBISA-7SEGMENT-CATHODE-RED-0.56-1BIT</v>
      </c>
      <c r="B839" s="266">
        <f>IFERROR(__xludf.DUMMYFUNCTION("""COMPUTED_VALUE"""),45291.0)</f>
        <v>45291</v>
      </c>
      <c r="C839" s="266" t="str">
        <f>IFERROR(__xludf.DUMMYFUNCTION("""COMPUTED_VALUE"""),"KYAI KONTONG")</f>
        <v>KYAI KONTONG</v>
      </c>
      <c r="D839" s="186">
        <f>IFERROR(__xludf.DUMMYFUNCTION("""COMPUTED_VALUE"""),100.0)</f>
        <v>100</v>
      </c>
    </row>
    <row r="840">
      <c r="A840" s="178" t="str">
        <f>IFERROR(__xludf.DUMMYFUNCTION("""COMPUTED_VALUE"""),"ITBISA-7SEGMENT-CATHODE-RED-0.56-1BIT")</f>
        <v>ITBISA-7SEGMENT-CATHODE-RED-0.56-1BIT</v>
      </c>
      <c r="B840" s="266">
        <f>IFERROR(__xludf.DUMMYFUNCTION("""COMPUTED_VALUE"""),45292.0)</f>
        <v>45292</v>
      </c>
      <c r="C840" s="266" t="str">
        <f>IFERROR(__xludf.DUMMYFUNCTION("""COMPUTED_VALUE"""),"KERTASARI CIAMIS")</f>
        <v>KERTASARI CIAMIS</v>
      </c>
      <c r="D840" s="186">
        <f>IFERROR(__xludf.DUMMYFUNCTION("""COMPUTED_VALUE"""),4.0)</f>
        <v>4</v>
      </c>
    </row>
    <row r="841">
      <c r="A841" s="178" t="str">
        <f>IFERROR(__xludf.DUMMYFUNCTION("""COMPUTED_VALUE"""),"ITBISA-7SEGMENT-CATHODE-RED-0.56-1BIT")</f>
        <v>ITBISA-7SEGMENT-CATHODE-RED-0.56-1BIT</v>
      </c>
      <c r="B841" s="266">
        <f>IFERROR(__xludf.DUMMYFUNCTION("""COMPUTED_VALUE"""),45292.0)</f>
        <v>45292</v>
      </c>
      <c r="C841" s="266" t="str">
        <f>IFERROR(__xludf.DUMMYFUNCTION("""COMPUTED_VALUE"""),"KYAI KONTONG")</f>
        <v>KYAI KONTONG</v>
      </c>
      <c r="D841" s="186">
        <f>IFERROR(__xludf.DUMMYFUNCTION("""COMPUTED_VALUE"""),1.0)</f>
        <v>1</v>
      </c>
    </row>
    <row r="842">
      <c r="A842" s="178" t="str">
        <f>IFERROR(__xludf.DUMMYFUNCTION("""COMPUTED_VALUE"""),"ITBISA-7SEGMENT-CATHODE-RED-0.56-1BIT")</f>
        <v>ITBISA-7SEGMENT-CATHODE-RED-0.56-1BIT</v>
      </c>
      <c r="B842" s="266">
        <f>IFERROR(__xludf.DUMMYFUNCTION("""COMPUTED_VALUE"""),45293.0)</f>
        <v>45293</v>
      </c>
      <c r="C842" s="266" t="str">
        <f>IFERROR(__xludf.DUMMYFUNCTION("""COMPUTED_VALUE"""),"KYAI KONTONG")</f>
        <v>KYAI KONTONG</v>
      </c>
      <c r="D842" s="186">
        <f>IFERROR(__xludf.DUMMYFUNCTION("""COMPUTED_VALUE"""),1.0)</f>
        <v>1</v>
      </c>
    </row>
    <row r="843">
      <c r="A843" s="178" t="str">
        <f>IFERROR(__xludf.DUMMYFUNCTION("""COMPUTED_VALUE"""),"ITBISA-7SEGMENT-CATHODE-RED-0.56-1BIT")</f>
        <v>ITBISA-7SEGMENT-CATHODE-RED-0.56-1BIT</v>
      </c>
      <c r="B843" s="266">
        <f>IFERROR(__xludf.DUMMYFUNCTION("""COMPUTED_VALUE"""),45295.0)</f>
        <v>45295</v>
      </c>
      <c r="C843" s="266" t="str">
        <f>IFERROR(__xludf.DUMMYFUNCTION("""COMPUTED_VALUE"""),"KERTASARI CIAMIS")</f>
        <v>KERTASARI CIAMIS</v>
      </c>
      <c r="D843" s="186">
        <f>IFERROR(__xludf.DUMMYFUNCTION("""COMPUTED_VALUE"""),4.0)</f>
        <v>4</v>
      </c>
    </row>
    <row r="844">
      <c r="A844" s="178" t="str">
        <f>IFERROR(__xludf.DUMMYFUNCTION("""COMPUTED_VALUE"""),"ITBISA-7SEGMENT-CATHODE-RED-0.56-1BIT")</f>
        <v>ITBISA-7SEGMENT-CATHODE-RED-0.56-1BIT</v>
      </c>
      <c r="B844" s="266">
        <f>IFERROR(__xludf.DUMMYFUNCTION("""COMPUTED_VALUE"""),45306.0)</f>
        <v>45306</v>
      </c>
      <c r="C844" s="266" t="str">
        <f>IFERROR(__xludf.DUMMYFUNCTION("""COMPUTED_VALUE"""),"KERTASARI CIAMIS")</f>
        <v>KERTASARI CIAMIS</v>
      </c>
      <c r="D844" s="186">
        <f>IFERROR(__xludf.DUMMYFUNCTION("""COMPUTED_VALUE"""),50.0)</f>
        <v>50</v>
      </c>
    </row>
    <row r="845">
      <c r="A845" s="178" t="str">
        <f>IFERROR(__xludf.DUMMYFUNCTION("""COMPUTED_VALUE"""),"ITBISA-7SEGMENT-CATHODE-RED-0.56-1BIT")</f>
        <v>ITBISA-7SEGMENT-CATHODE-RED-0.56-1BIT</v>
      </c>
      <c r="B845" s="266">
        <f>IFERROR(__xludf.DUMMYFUNCTION("""COMPUTED_VALUE"""),45306.0)</f>
        <v>45306</v>
      </c>
      <c r="C845" s="266" t="str">
        <f>IFERROR(__xludf.DUMMYFUNCTION("""COMPUTED_VALUE"""),"KERTASARI CIAMIS")</f>
        <v>KERTASARI CIAMIS</v>
      </c>
      <c r="D845" s="186">
        <f>IFERROR(__xludf.DUMMYFUNCTION("""COMPUTED_VALUE"""),100.0)</f>
        <v>100</v>
      </c>
    </row>
    <row r="846">
      <c r="A846" s="178" t="str">
        <f>IFERROR(__xludf.DUMMYFUNCTION("""COMPUTED_VALUE"""),"ITBISA-7SEGMENT-CATHODE-RED-0.56-1BIT")</f>
        <v>ITBISA-7SEGMENT-CATHODE-RED-0.56-1BIT</v>
      </c>
      <c r="B846" s="266">
        <f>IFERROR(__xludf.DUMMYFUNCTION("""COMPUTED_VALUE"""),45308.0)</f>
        <v>45308</v>
      </c>
      <c r="C846" s="266" t="str">
        <f>IFERROR(__xludf.DUMMYFUNCTION("""COMPUTED_VALUE"""),"KERTASARI CIAMIS")</f>
        <v>KERTASARI CIAMIS</v>
      </c>
      <c r="D846" s="186">
        <f>IFERROR(__xludf.DUMMYFUNCTION("""COMPUTED_VALUE"""),20.0)</f>
        <v>20</v>
      </c>
    </row>
    <row r="847">
      <c r="A847" s="178" t="str">
        <f>IFERROR(__xludf.DUMMYFUNCTION("""COMPUTED_VALUE"""),"ITBISA-7SEGMENT-CATHODE-RED-0.56-1BIT")</f>
        <v>ITBISA-7SEGMENT-CATHODE-RED-0.56-1BIT</v>
      </c>
      <c r="B847" s="266">
        <f>IFERROR(__xludf.DUMMYFUNCTION("""COMPUTED_VALUE"""),45312.0)</f>
        <v>45312</v>
      </c>
      <c r="C847" s="266" t="str">
        <f>IFERROR(__xludf.DUMMYFUNCTION("""COMPUTED_VALUE"""),"KERTASARI CIAMIS")</f>
        <v>KERTASARI CIAMIS</v>
      </c>
      <c r="D847" s="186">
        <f>IFERROR(__xludf.DUMMYFUNCTION("""COMPUTED_VALUE"""),1.0)</f>
        <v>1</v>
      </c>
    </row>
    <row r="848">
      <c r="A848" s="178" t="str">
        <f>IFERROR(__xludf.DUMMYFUNCTION("""COMPUTED_VALUE"""),"ITBISA-7SEGMENT-CATHODE-RED-0.56-1BIT")</f>
        <v>ITBISA-7SEGMENT-CATHODE-RED-0.56-1BIT</v>
      </c>
      <c r="B848" s="266">
        <f>IFERROR(__xludf.DUMMYFUNCTION("""COMPUTED_VALUE"""),45316.0)</f>
        <v>45316</v>
      </c>
      <c r="C848" s="266" t="str">
        <f>IFERROR(__xludf.DUMMYFUNCTION("""COMPUTED_VALUE"""),"KERTASARI CIAMIS")</f>
        <v>KERTASARI CIAMIS</v>
      </c>
      <c r="D848" s="186">
        <f>IFERROR(__xludf.DUMMYFUNCTION("""COMPUTED_VALUE"""),20.0)</f>
        <v>20</v>
      </c>
    </row>
    <row r="849">
      <c r="A849" s="178" t="str">
        <f>IFERROR(__xludf.DUMMYFUNCTION("""COMPUTED_VALUE"""),"ITBISA-7SEGMENT-CATHODE-RED-0.56-1BIT")</f>
        <v>ITBISA-7SEGMENT-CATHODE-RED-0.56-1BIT</v>
      </c>
      <c r="B849" s="266">
        <f>IFERROR(__xludf.DUMMYFUNCTION("""COMPUTED_VALUE"""),45322.0)</f>
        <v>45322</v>
      </c>
      <c r="C849" s="266" t="str">
        <f>IFERROR(__xludf.DUMMYFUNCTION("""COMPUTED_VALUE"""),"KYAI KONTONG")</f>
        <v>KYAI KONTONG</v>
      </c>
      <c r="D849" s="186">
        <f>IFERROR(__xludf.DUMMYFUNCTION("""COMPUTED_VALUE"""),40.0)</f>
        <v>40</v>
      </c>
    </row>
    <row r="850">
      <c r="A850" s="178" t="str">
        <f>IFERROR(__xludf.DUMMYFUNCTION("""COMPUTED_VALUE"""),"ITBISA-7SEGMENT-CATHODE-RED-0.56-1BIT")</f>
        <v>ITBISA-7SEGMENT-CATHODE-RED-0.56-1BIT</v>
      </c>
      <c r="B850" s="266">
        <f>IFERROR(__xludf.DUMMYFUNCTION("""COMPUTED_VALUE"""),45324.0)</f>
        <v>45324</v>
      </c>
      <c r="C850" s="266" t="str">
        <f>IFERROR(__xludf.DUMMYFUNCTION("""COMPUTED_VALUE"""),"KERTASARI CIAMIS")</f>
        <v>KERTASARI CIAMIS</v>
      </c>
      <c r="D850" s="186">
        <f>IFERROR(__xludf.DUMMYFUNCTION("""COMPUTED_VALUE"""),3.0)</f>
        <v>3</v>
      </c>
    </row>
    <row r="851">
      <c r="A851" s="178" t="str">
        <f>IFERROR(__xludf.DUMMYFUNCTION("""COMPUTED_VALUE"""),"ITBISA-7SEGMENT-CATHODE-RED-0.56-1BIT")</f>
        <v>ITBISA-7SEGMENT-CATHODE-RED-0.56-1BIT</v>
      </c>
      <c r="B851" s="266">
        <f>IFERROR(__xludf.DUMMYFUNCTION("""COMPUTED_VALUE"""),45327.0)</f>
        <v>45327</v>
      </c>
      <c r="C851" s="266" t="str">
        <f>IFERROR(__xludf.DUMMYFUNCTION("""COMPUTED_VALUE"""),"KERTASARI CIAMIS")</f>
        <v>KERTASARI CIAMIS</v>
      </c>
      <c r="D851" s="186">
        <f>IFERROR(__xludf.DUMMYFUNCTION("""COMPUTED_VALUE"""),10.0)</f>
        <v>10</v>
      </c>
    </row>
    <row r="852">
      <c r="A852" s="178" t="str">
        <f>IFERROR(__xludf.DUMMYFUNCTION("""COMPUTED_VALUE"""),"ITBISA-7SEGMENT-CATHODE-RED-0.56-1BIT")</f>
        <v>ITBISA-7SEGMENT-CATHODE-RED-0.56-1BIT</v>
      </c>
      <c r="B852" s="266">
        <f>IFERROR(__xludf.DUMMYFUNCTION("""COMPUTED_VALUE"""),45328.0)</f>
        <v>45328</v>
      </c>
      <c r="C852" s="266" t="str">
        <f>IFERROR(__xludf.DUMMYFUNCTION("""COMPUTED_VALUE"""),"KERTASARI CIAMIS")</f>
        <v>KERTASARI CIAMIS</v>
      </c>
      <c r="D852" s="186">
        <f>IFERROR(__xludf.DUMMYFUNCTION("""COMPUTED_VALUE"""),50.0)</f>
        <v>50</v>
      </c>
    </row>
    <row r="853">
      <c r="A853" s="178" t="str">
        <f>IFERROR(__xludf.DUMMYFUNCTION("""COMPUTED_VALUE"""),"ITBISA-7SEGMENT-CATHODE-RED-0.56-1BIT")</f>
        <v>ITBISA-7SEGMENT-CATHODE-RED-0.56-1BIT</v>
      </c>
      <c r="B853" s="266">
        <f>IFERROR(__xludf.DUMMYFUNCTION("""COMPUTED_VALUE"""),45339.0)</f>
        <v>45339</v>
      </c>
      <c r="C853" s="266" t="str">
        <f>IFERROR(__xludf.DUMMYFUNCTION("""COMPUTED_VALUE"""),"KERTASARI CIAMIS")</f>
        <v>KERTASARI CIAMIS</v>
      </c>
      <c r="D853" s="186">
        <f>IFERROR(__xludf.DUMMYFUNCTION("""COMPUTED_VALUE"""),4.0)</f>
        <v>4</v>
      </c>
    </row>
    <row r="854">
      <c r="A854" s="178" t="str">
        <f>IFERROR(__xludf.DUMMYFUNCTION("""COMPUTED_VALUE"""),"ITBISA-7SEGMENT-CATHODE-RED-0.56-1BIT")</f>
        <v>ITBISA-7SEGMENT-CATHODE-RED-0.56-1BIT</v>
      </c>
      <c r="B854" s="266">
        <f>IFERROR(__xludf.DUMMYFUNCTION("""COMPUTED_VALUE"""),45341.0)</f>
        <v>45341</v>
      </c>
      <c r="C854" s="266" t="str">
        <f>IFERROR(__xludf.DUMMYFUNCTION("""COMPUTED_VALUE"""),"KERTASARI CIAMIS")</f>
        <v>KERTASARI CIAMIS</v>
      </c>
      <c r="D854" s="186">
        <f>IFERROR(__xludf.DUMMYFUNCTION("""COMPUTED_VALUE"""),25.0)</f>
        <v>25</v>
      </c>
    </row>
    <row r="855">
      <c r="A855" s="178" t="str">
        <f>IFERROR(__xludf.DUMMYFUNCTION("""COMPUTED_VALUE"""),"ITBISA-7SEGMENT-CATHODE-RED-0.56-1BIT")</f>
        <v>ITBISA-7SEGMENT-CATHODE-RED-0.56-1BIT</v>
      </c>
      <c r="B855" s="266">
        <f>IFERROR(__xludf.DUMMYFUNCTION("""COMPUTED_VALUE"""),45349.0)</f>
        <v>45349</v>
      </c>
      <c r="C855" s="266" t="str">
        <f>IFERROR(__xludf.DUMMYFUNCTION("""COMPUTED_VALUE"""),"KERTASARI CIAMIS")</f>
        <v>KERTASARI CIAMIS</v>
      </c>
      <c r="D855" s="186">
        <f>IFERROR(__xludf.DUMMYFUNCTION("""COMPUTED_VALUE"""),5.0)</f>
        <v>5</v>
      </c>
    </row>
    <row r="856">
      <c r="A856" s="178" t="str">
        <f>IFERROR(__xludf.DUMMYFUNCTION("""COMPUTED_VALUE"""),"ITBISA-7SEGMENT-CATHODE-RED-0.56-1BIT")</f>
        <v>ITBISA-7SEGMENT-CATHODE-RED-0.56-1BIT</v>
      </c>
      <c r="B856" s="266">
        <f>IFERROR(__xludf.DUMMYFUNCTION("""COMPUTED_VALUE"""),45351.0)</f>
        <v>45351</v>
      </c>
      <c r="C856" s="266" t="str">
        <f>IFERROR(__xludf.DUMMYFUNCTION("""COMPUTED_VALUE"""),"KERTASARI CIAMIS")</f>
        <v>KERTASARI CIAMIS</v>
      </c>
      <c r="D856" s="186">
        <f>IFERROR(__xludf.DUMMYFUNCTION("""COMPUTED_VALUE"""),10.0)</f>
        <v>10</v>
      </c>
    </row>
    <row r="857">
      <c r="A857" s="178" t="str">
        <f>IFERROR(__xludf.DUMMYFUNCTION("""COMPUTED_VALUE"""),"ITBISA-7SEGMENT-CATHODE-RED-0.56-1BIT")</f>
        <v>ITBISA-7SEGMENT-CATHODE-RED-0.56-1BIT</v>
      </c>
      <c r="B857" s="266">
        <f>IFERROR(__xludf.DUMMYFUNCTION("""COMPUTED_VALUE"""),45353.0)</f>
        <v>45353</v>
      </c>
      <c r="C857" s="266" t="str">
        <f>IFERROR(__xludf.DUMMYFUNCTION("""COMPUTED_VALUE"""),"KYAI KONTONG")</f>
        <v>KYAI KONTONG</v>
      </c>
      <c r="D857" s="186">
        <f>IFERROR(__xludf.DUMMYFUNCTION("""COMPUTED_VALUE"""),5.0)</f>
        <v>5</v>
      </c>
    </row>
    <row r="858">
      <c r="A858" s="178" t="str">
        <f>IFERROR(__xludf.DUMMYFUNCTION("""COMPUTED_VALUE"""),"ITBISA-7SEGMENT-CATHODE-RED-0.56-1BIT")</f>
        <v>ITBISA-7SEGMENT-CATHODE-RED-0.56-1BIT</v>
      </c>
      <c r="B858" s="266">
        <f>IFERROR(__xludf.DUMMYFUNCTION("""COMPUTED_VALUE"""),45354.0)</f>
        <v>45354</v>
      </c>
      <c r="C858" s="266" t="str">
        <f>IFERROR(__xludf.DUMMYFUNCTION("""COMPUTED_VALUE"""),"KERTASARI CIAMIS")</f>
        <v>KERTASARI CIAMIS</v>
      </c>
      <c r="D858" s="186">
        <f>IFERROR(__xludf.DUMMYFUNCTION("""COMPUTED_VALUE"""),1.0)</f>
        <v>1</v>
      </c>
    </row>
    <row r="859">
      <c r="A859" s="178" t="str">
        <f>IFERROR(__xludf.DUMMYFUNCTION("""COMPUTED_VALUE"""),"ITBISA-7SEGMENT-CATHODE-RED-0.56-1BIT")</f>
        <v>ITBISA-7SEGMENT-CATHODE-RED-0.56-1BIT</v>
      </c>
      <c r="B859" s="266">
        <f>IFERROR(__xludf.DUMMYFUNCTION("""COMPUTED_VALUE"""),45356.0)</f>
        <v>45356</v>
      </c>
      <c r="C859" s="266" t="str">
        <f>IFERROR(__xludf.DUMMYFUNCTION("""COMPUTED_VALUE"""),"RANCAEKEK ESTU")</f>
        <v>RANCAEKEK ESTU</v>
      </c>
      <c r="D859" s="186">
        <f>IFERROR(__xludf.DUMMYFUNCTION("""COMPUTED_VALUE"""),200.0)</f>
        <v>200</v>
      </c>
    </row>
    <row r="860">
      <c r="A860" s="178" t="str">
        <f>IFERROR(__xludf.DUMMYFUNCTION("""COMPUTED_VALUE"""),"ITBISA-7SEGMENT-CATHODE-RED-0.56-1BIT")</f>
        <v>ITBISA-7SEGMENT-CATHODE-RED-0.56-1BIT</v>
      </c>
      <c r="B860" s="266">
        <f>IFERROR(__xludf.DUMMYFUNCTION("""COMPUTED_VALUE"""),45372.0)</f>
        <v>45372</v>
      </c>
      <c r="C860" s="266" t="str">
        <f>IFERROR(__xludf.DUMMYFUNCTION("""COMPUTED_VALUE"""),"KERTASARI CIAMIS")</f>
        <v>KERTASARI CIAMIS</v>
      </c>
      <c r="D860" s="186">
        <f>IFERROR(__xludf.DUMMYFUNCTION("""COMPUTED_VALUE"""),300.0)</f>
        <v>300</v>
      </c>
    </row>
    <row r="861">
      <c r="A861" s="178" t="str">
        <f>IFERROR(__xludf.DUMMYFUNCTION("""COMPUTED_VALUE"""),"ITBISA-7SEGMENT-CATHODE-RED-0.56-1BIT")</f>
        <v>ITBISA-7SEGMENT-CATHODE-RED-0.56-1BIT</v>
      </c>
      <c r="B861" s="266">
        <f>IFERROR(__xludf.DUMMYFUNCTION("""COMPUTED_VALUE"""),45377.0)</f>
        <v>45377</v>
      </c>
      <c r="C861" s="266" t="str">
        <f>IFERROR(__xludf.DUMMYFUNCTION("""COMPUTED_VALUE"""),"KYAI KONTONG")</f>
        <v>KYAI KONTONG</v>
      </c>
      <c r="D861" s="186">
        <f>IFERROR(__xludf.DUMMYFUNCTION("""COMPUTED_VALUE"""),100.0)</f>
        <v>100</v>
      </c>
    </row>
    <row r="862">
      <c r="A862" s="178" t="str">
        <f>IFERROR(__xludf.DUMMYFUNCTION("""COMPUTED_VALUE"""),"ITBISA-7SEGMENT-CATHODE-RED-0.56-1BIT")</f>
        <v>ITBISA-7SEGMENT-CATHODE-RED-0.56-1BIT</v>
      </c>
      <c r="B862" s="266">
        <f>IFERROR(__xludf.DUMMYFUNCTION("""COMPUTED_VALUE"""),45377.0)</f>
        <v>45377</v>
      </c>
      <c r="C862" s="266" t="str">
        <f>IFERROR(__xludf.DUMMYFUNCTION("""COMPUTED_VALUE"""),"RANCAEKEK ESTU")</f>
        <v>RANCAEKEK ESTU</v>
      </c>
      <c r="D862" s="186">
        <f>IFERROR(__xludf.DUMMYFUNCTION("""COMPUTED_VALUE"""),50.0)</f>
        <v>50</v>
      </c>
    </row>
    <row r="863">
      <c r="A863" s="178" t="str">
        <f>IFERROR(__xludf.DUMMYFUNCTION("""COMPUTED_VALUE"""),"ITBISA-7SEGMENT-CATHODE-RED-0.56-1BIT")</f>
        <v>ITBISA-7SEGMENT-CATHODE-RED-0.56-1BIT</v>
      </c>
      <c r="B863" s="266">
        <f>IFERROR(__xludf.DUMMYFUNCTION("""COMPUTED_VALUE"""),45378.0)</f>
        <v>45378</v>
      </c>
      <c r="C863" s="266" t="str">
        <f>IFERROR(__xludf.DUMMYFUNCTION("""COMPUTED_VALUE"""),"KYAI KONTONG")</f>
        <v>KYAI KONTONG</v>
      </c>
      <c r="D863" s="186">
        <f>IFERROR(__xludf.DUMMYFUNCTION("""COMPUTED_VALUE"""),50.0)</f>
        <v>50</v>
      </c>
    </row>
    <row r="864">
      <c r="A864" s="178" t="str">
        <f>IFERROR(__xludf.DUMMYFUNCTION("""COMPUTED_VALUE"""),"ITBISA-7SEGMENT-CATHODE-RED-0.56-1BIT")</f>
        <v>ITBISA-7SEGMENT-CATHODE-RED-0.56-1BIT</v>
      </c>
      <c r="B864" s="266">
        <f>IFERROR(__xludf.DUMMYFUNCTION("""COMPUTED_VALUE"""),45379.0)</f>
        <v>45379</v>
      </c>
      <c r="C864" s="266" t="str">
        <f>IFERROR(__xludf.DUMMYFUNCTION("""COMPUTED_VALUE"""),"KERTASARI CIAMIS")</f>
        <v>KERTASARI CIAMIS</v>
      </c>
      <c r="D864" s="186">
        <f>IFERROR(__xludf.DUMMYFUNCTION("""COMPUTED_VALUE"""),31.0)</f>
        <v>31</v>
      </c>
    </row>
    <row r="865">
      <c r="A865" s="178" t="str">
        <f>IFERROR(__xludf.DUMMYFUNCTION("""COMPUTED_VALUE"""),"ITBISA-7SEGMENT-CATHODE-RED-0.56-1BIT")</f>
        <v>ITBISA-7SEGMENT-CATHODE-RED-0.56-1BIT</v>
      </c>
      <c r="B865" s="266">
        <f>IFERROR(__xludf.DUMMYFUNCTION("""COMPUTED_VALUE"""),45382.0)</f>
        <v>45382</v>
      </c>
      <c r="C865" s="266" t="str">
        <f>IFERROR(__xludf.DUMMYFUNCTION("""COMPUTED_VALUE"""),"KERTASARI CIAMIS")</f>
        <v>KERTASARI CIAMIS</v>
      </c>
      <c r="D865" s="186">
        <f>IFERROR(__xludf.DUMMYFUNCTION("""COMPUTED_VALUE"""),5.0)</f>
        <v>5</v>
      </c>
    </row>
    <row r="866">
      <c r="A866" s="178" t="str">
        <f>IFERROR(__xludf.DUMMYFUNCTION("""COMPUTED_VALUE"""),"ITBISA-7SEGMENT-CATHODE-RED-0.56-1BIT")</f>
        <v>ITBISA-7SEGMENT-CATHODE-RED-0.56-1BIT</v>
      </c>
      <c r="B866" s="266">
        <f>IFERROR(__xludf.DUMMYFUNCTION("""COMPUTED_VALUE"""),45383.0)</f>
        <v>45383</v>
      </c>
      <c r="C866" s="266" t="str">
        <f>IFERROR(__xludf.DUMMYFUNCTION("""COMPUTED_VALUE"""),"KERTASARI CIAMIS")</f>
        <v>KERTASARI CIAMIS</v>
      </c>
      <c r="D866" s="186">
        <f>IFERROR(__xludf.DUMMYFUNCTION("""COMPUTED_VALUE"""),5.0)</f>
        <v>5</v>
      </c>
    </row>
    <row r="867">
      <c r="A867" s="178" t="str">
        <f>IFERROR(__xludf.DUMMYFUNCTION("""COMPUTED_VALUE"""),"ITBISA-7SEGMENT-CATHODE-RED-0.56-1BIT")</f>
        <v>ITBISA-7SEGMENT-CATHODE-RED-0.56-1BIT</v>
      </c>
      <c r="B867" s="266">
        <f>IFERROR(__xludf.DUMMYFUNCTION("""COMPUTED_VALUE"""),45388.0)</f>
        <v>45388</v>
      </c>
      <c r="C867" s="266" t="str">
        <f>IFERROR(__xludf.DUMMYFUNCTION("""COMPUTED_VALUE"""),"KERTASARI CIAMIS")</f>
        <v>KERTASARI CIAMIS</v>
      </c>
      <c r="D867" s="186">
        <f>IFERROR(__xludf.DUMMYFUNCTION("""COMPUTED_VALUE"""),3.0)</f>
        <v>3</v>
      </c>
    </row>
    <row r="868">
      <c r="A868" s="178" t="str">
        <f>IFERROR(__xludf.DUMMYFUNCTION("""COMPUTED_VALUE"""),"ITBISA-7SEGMENT-CATHODE-RED-0.56-1BIT")</f>
        <v>ITBISA-7SEGMENT-CATHODE-RED-0.56-1BIT</v>
      </c>
      <c r="B868" s="266">
        <f>IFERROR(__xludf.DUMMYFUNCTION("""COMPUTED_VALUE"""),45391.0)</f>
        <v>45391</v>
      </c>
      <c r="C868" s="266" t="str">
        <f>IFERROR(__xludf.DUMMYFUNCTION("""COMPUTED_VALUE"""),"KERTASARI CIAMIS")</f>
        <v>KERTASARI CIAMIS</v>
      </c>
      <c r="D868" s="186">
        <f>IFERROR(__xludf.DUMMYFUNCTION("""COMPUTED_VALUE"""),8.0)</f>
        <v>8</v>
      </c>
    </row>
    <row r="869">
      <c r="A869" s="178" t="str">
        <f>IFERROR(__xludf.DUMMYFUNCTION("""COMPUTED_VALUE"""),"ITBISA-7SEGMENT-CATHODE-RED-0.56-1BIT")</f>
        <v>ITBISA-7SEGMENT-CATHODE-RED-0.56-1BIT</v>
      </c>
      <c r="B869" s="266">
        <f>IFERROR(__xludf.DUMMYFUNCTION("""COMPUTED_VALUE"""),45397.0)</f>
        <v>45397</v>
      </c>
      <c r="C869" s="266" t="str">
        <f>IFERROR(__xludf.DUMMYFUNCTION("""COMPUTED_VALUE"""),"KERTASARI CIAMIS")</f>
        <v>KERTASARI CIAMIS</v>
      </c>
      <c r="D869" s="186">
        <f>IFERROR(__xludf.DUMMYFUNCTION("""COMPUTED_VALUE"""),5.0)</f>
        <v>5</v>
      </c>
    </row>
    <row r="870">
      <c r="A870" s="178" t="str">
        <f>IFERROR(__xludf.DUMMYFUNCTION("""COMPUTED_VALUE"""),"ITBISA-7SEGMENT-CATHODE-RED-0.56-1BIT")</f>
        <v>ITBISA-7SEGMENT-CATHODE-RED-0.56-1BIT</v>
      </c>
      <c r="B870" s="266">
        <f>IFERROR(__xludf.DUMMYFUNCTION("""COMPUTED_VALUE"""),45401.0)</f>
        <v>45401</v>
      </c>
      <c r="C870" s="266" t="str">
        <f>IFERROR(__xludf.DUMMYFUNCTION("""COMPUTED_VALUE"""),"KERTASARI CIAMIS")</f>
        <v>KERTASARI CIAMIS</v>
      </c>
      <c r="D870" s="186">
        <f>IFERROR(__xludf.DUMMYFUNCTION("""COMPUTED_VALUE"""),17.0)</f>
        <v>17</v>
      </c>
    </row>
    <row r="871">
      <c r="A871" s="178" t="str">
        <f>IFERROR(__xludf.DUMMYFUNCTION("""COMPUTED_VALUE"""),"ITBISA-7SEGMENT-CATHODE-RED-0.56-1BIT")</f>
        <v>ITBISA-7SEGMENT-CATHODE-RED-0.56-1BIT</v>
      </c>
      <c r="B871" s="266">
        <f>IFERROR(__xludf.DUMMYFUNCTION("""COMPUTED_VALUE"""),45411.0)</f>
        <v>45411</v>
      </c>
      <c r="C871" s="266" t="str">
        <f>IFERROR(__xludf.DUMMYFUNCTION("""COMPUTED_VALUE"""),"KYAI KONTONG")</f>
        <v>KYAI KONTONG</v>
      </c>
      <c r="D871" s="186">
        <f>IFERROR(__xludf.DUMMYFUNCTION("""COMPUTED_VALUE"""),100.0)</f>
        <v>100</v>
      </c>
    </row>
    <row r="872">
      <c r="A872" s="178" t="str">
        <f>IFERROR(__xludf.DUMMYFUNCTION("""COMPUTED_VALUE"""),"ITBISA-7SEGMENT-CATHODE-RED-0.56-1BIT")</f>
        <v>ITBISA-7SEGMENT-CATHODE-RED-0.56-1BIT</v>
      </c>
      <c r="B872" s="266">
        <f>IFERROR(__xludf.DUMMYFUNCTION("""COMPUTED_VALUE"""),45412.0)</f>
        <v>45412</v>
      </c>
      <c r="C872" s="266" t="str">
        <f>IFERROR(__xludf.DUMMYFUNCTION("""COMPUTED_VALUE"""),"KERTASARI CIAMIS")</f>
        <v>KERTASARI CIAMIS</v>
      </c>
      <c r="D872" s="186">
        <f>IFERROR(__xludf.DUMMYFUNCTION("""COMPUTED_VALUE"""),30.0)</f>
        <v>30</v>
      </c>
    </row>
    <row r="873">
      <c r="A873" s="178" t="str">
        <f>IFERROR(__xludf.DUMMYFUNCTION("""COMPUTED_VALUE"""),"ITBISA-7SEGMENT-CATHODE-RED-0.56-1BIT")</f>
        <v>ITBISA-7SEGMENT-CATHODE-RED-0.56-1BIT</v>
      </c>
      <c r="B873" s="266">
        <f>IFERROR(__xludf.DUMMYFUNCTION("""COMPUTED_VALUE"""),45417.0)</f>
        <v>45417</v>
      </c>
      <c r="C873" s="266" t="str">
        <f>IFERROR(__xludf.DUMMYFUNCTION("""COMPUTED_VALUE"""),"KYAI KONTONG")</f>
        <v>KYAI KONTONG</v>
      </c>
      <c r="D873" s="186">
        <f>IFERROR(__xludf.DUMMYFUNCTION("""COMPUTED_VALUE"""),5.0)</f>
        <v>5</v>
      </c>
    </row>
    <row r="874">
      <c r="A874" s="178" t="str">
        <f>IFERROR(__xludf.DUMMYFUNCTION("""COMPUTED_VALUE"""),"ITBISA-7SEGMENT-CATHODE-RED-0.56-1BIT")</f>
        <v>ITBISA-7SEGMENT-CATHODE-RED-0.56-1BIT</v>
      </c>
      <c r="B874" s="266">
        <f>IFERROR(__xludf.DUMMYFUNCTION("""COMPUTED_VALUE"""),45421.0)</f>
        <v>45421</v>
      </c>
      <c r="C874" s="266" t="str">
        <f>IFERROR(__xludf.DUMMYFUNCTION("""COMPUTED_VALUE"""),"KERTASARI CIAMIS")</f>
        <v>KERTASARI CIAMIS</v>
      </c>
      <c r="D874" s="186">
        <f>IFERROR(__xludf.DUMMYFUNCTION("""COMPUTED_VALUE"""),5.0)</f>
        <v>5</v>
      </c>
    </row>
    <row r="875">
      <c r="A875" s="178" t="str">
        <f>IFERROR(__xludf.DUMMYFUNCTION("""COMPUTED_VALUE"""),"ITBISA-7SEGMENT-CATHODE-RED-0.56-1BIT")</f>
        <v>ITBISA-7SEGMENT-CATHODE-RED-0.56-1BIT</v>
      </c>
      <c r="B875" s="266">
        <f>IFERROR(__xludf.DUMMYFUNCTION("""COMPUTED_VALUE"""),45430.0)</f>
        <v>45430</v>
      </c>
      <c r="C875" s="266" t="str">
        <f>IFERROR(__xludf.DUMMYFUNCTION("""COMPUTED_VALUE"""),"KERTASARI CIAMIS")</f>
        <v>KERTASARI CIAMIS</v>
      </c>
      <c r="D875" s="186">
        <f>IFERROR(__xludf.DUMMYFUNCTION("""COMPUTED_VALUE"""),50.0)</f>
        <v>50</v>
      </c>
    </row>
    <row r="876">
      <c r="A876" s="178" t="str">
        <f>IFERROR(__xludf.DUMMYFUNCTION("""COMPUTED_VALUE"""),"ITBISA-7SEGMENT-CATHODE-RED-0.56-1BIT")</f>
        <v>ITBISA-7SEGMENT-CATHODE-RED-0.56-1BIT</v>
      </c>
      <c r="B876" s="266">
        <f>IFERROR(__xludf.DUMMYFUNCTION("""COMPUTED_VALUE"""),45439.0)</f>
        <v>45439</v>
      </c>
      <c r="C876" s="266" t="str">
        <f>IFERROR(__xludf.DUMMYFUNCTION("""COMPUTED_VALUE"""),"KYAI KONTONG")</f>
        <v>KYAI KONTONG</v>
      </c>
      <c r="D876" s="186">
        <f>IFERROR(__xludf.DUMMYFUNCTION("""COMPUTED_VALUE"""),3.0)</f>
        <v>3</v>
      </c>
    </row>
    <row r="877">
      <c r="A877" s="178" t="str">
        <f>IFERROR(__xludf.DUMMYFUNCTION("""COMPUTED_VALUE"""),"ITBISA-7SEGMENT-CATHODE-RED-0.56-1BIT")</f>
        <v>ITBISA-7SEGMENT-CATHODE-RED-0.56-1BIT</v>
      </c>
      <c r="B877" s="266">
        <f>IFERROR(__xludf.DUMMYFUNCTION("""COMPUTED_VALUE"""),45439.0)</f>
        <v>45439</v>
      </c>
      <c r="C877" s="266" t="str">
        <f>IFERROR(__xludf.DUMMYFUNCTION("""COMPUTED_VALUE"""),"KYAI KONTONG")</f>
        <v>KYAI KONTONG</v>
      </c>
      <c r="D877" s="186">
        <f>IFERROR(__xludf.DUMMYFUNCTION("""COMPUTED_VALUE"""),6.0)</f>
        <v>6</v>
      </c>
    </row>
    <row r="878">
      <c r="A878" s="178" t="str">
        <f>IFERROR(__xludf.DUMMYFUNCTION("""COMPUTED_VALUE"""),"ITBISA-7SEGMENT-CATHODE-RED-0.56-1BIT")</f>
        <v>ITBISA-7SEGMENT-CATHODE-RED-0.56-1BIT</v>
      </c>
      <c r="B878" s="266">
        <f>IFERROR(__xludf.DUMMYFUNCTION("""COMPUTED_VALUE"""),45440.0)</f>
        <v>45440</v>
      </c>
      <c r="C878" s="266" t="str">
        <f>IFERROR(__xludf.DUMMYFUNCTION("""COMPUTED_VALUE"""),"KYAI KONTONG")</f>
        <v>KYAI KONTONG</v>
      </c>
      <c r="D878" s="186">
        <f>IFERROR(__xludf.DUMMYFUNCTION("""COMPUTED_VALUE"""),300.0)</f>
        <v>300</v>
      </c>
    </row>
    <row r="879">
      <c r="A879" s="178" t="str">
        <f>IFERROR(__xludf.DUMMYFUNCTION("""COMPUTED_VALUE"""),"ITBISA-7SEGMENT-CATHODE-RED-0.56-1BIT")</f>
        <v>ITBISA-7SEGMENT-CATHODE-RED-0.56-1BIT</v>
      </c>
      <c r="B879" s="266">
        <f>IFERROR(__xludf.DUMMYFUNCTION("""COMPUTED_VALUE"""),45444.0)</f>
        <v>45444</v>
      </c>
      <c r="C879" s="266" t="str">
        <f>IFERROR(__xludf.DUMMYFUNCTION("""COMPUTED_VALUE"""),"KERTASARI CIAMIS")</f>
        <v>KERTASARI CIAMIS</v>
      </c>
      <c r="D879" s="186">
        <f>IFERROR(__xludf.DUMMYFUNCTION("""COMPUTED_VALUE"""),5.0)</f>
        <v>5</v>
      </c>
    </row>
    <row r="880">
      <c r="A880" s="178" t="str">
        <f>IFERROR(__xludf.DUMMYFUNCTION("""COMPUTED_VALUE"""),"ITBISA-7SEGMENT-CATHODE-RED-0.56-1BIT")</f>
        <v>ITBISA-7SEGMENT-CATHODE-RED-0.56-1BIT</v>
      </c>
      <c r="B880" s="266">
        <f>IFERROR(__xludf.DUMMYFUNCTION("""COMPUTED_VALUE"""),45448.0)</f>
        <v>45448</v>
      </c>
      <c r="C880" s="266" t="str">
        <f>IFERROR(__xludf.DUMMYFUNCTION("""COMPUTED_VALUE"""),"KERTASARI CIAMIS")</f>
        <v>KERTASARI CIAMIS</v>
      </c>
      <c r="D880" s="186">
        <f>IFERROR(__xludf.DUMMYFUNCTION("""COMPUTED_VALUE"""),5.0)</f>
        <v>5</v>
      </c>
    </row>
    <row r="881">
      <c r="A881" s="178" t="str">
        <f>IFERROR(__xludf.DUMMYFUNCTION("""COMPUTED_VALUE"""),"ITBISA-7SEGMENT-CATHODE-RED-0.56-1BIT")</f>
        <v>ITBISA-7SEGMENT-CATHODE-RED-0.56-1BIT</v>
      </c>
      <c r="B881" s="266">
        <f>IFERROR(__xludf.DUMMYFUNCTION("""COMPUTED_VALUE"""),45448.0)</f>
        <v>45448</v>
      </c>
      <c r="C881" s="266" t="str">
        <f>IFERROR(__xludf.DUMMYFUNCTION("""COMPUTED_VALUE"""),"KYAI KONTONG")</f>
        <v>KYAI KONTONG</v>
      </c>
      <c r="D881" s="186">
        <f>IFERROR(__xludf.DUMMYFUNCTION("""COMPUTED_VALUE"""),6.0)</f>
        <v>6</v>
      </c>
    </row>
    <row r="882">
      <c r="A882" s="178" t="str">
        <f>IFERROR(__xludf.DUMMYFUNCTION("""COMPUTED_VALUE"""),"ITBISA-7SEGMENT-CATHODE-RED-0.56-1BIT")</f>
        <v>ITBISA-7SEGMENT-CATHODE-RED-0.56-1BIT</v>
      </c>
      <c r="B882" s="266">
        <f>IFERROR(__xludf.DUMMYFUNCTION("""COMPUTED_VALUE"""),45449.0)</f>
        <v>45449</v>
      </c>
      <c r="C882" s="266" t="str">
        <f>IFERROR(__xludf.DUMMYFUNCTION("""COMPUTED_VALUE"""),"KERTASARI CIAMIS")</f>
        <v>KERTASARI CIAMIS</v>
      </c>
      <c r="D882" s="186">
        <f>IFERROR(__xludf.DUMMYFUNCTION("""COMPUTED_VALUE"""),1.0)</f>
        <v>1</v>
      </c>
    </row>
    <row r="883">
      <c r="A883" s="178" t="str">
        <f>IFERROR(__xludf.DUMMYFUNCTION("""COMPUTED_VALUE"""),"ITBISA-7SEGMENT-CATHODE-RED-0.56-1BIT")</f>
        <v>ITBISA-7SEGMENT-CATHODE-RED-0.56-1BIT</v>
      </c>
      <c r="B883" s="266">
        <f>IFERROR(__xludf.DUMMYFUNCTION("""COMPUTED_VALUE"""),45450.0)</f>
        <v>45450</v>
      </c>
      <c r="C883" s="266" t="str">
        <f>IFERROR(__xludf.DUMMYFUNCTION("""COMPUTED_VALUE"""),"KYAI KONTONG")</f>
        <v>KYAI KONTONG</v>
      </c>
      <c r="D883" s="186">
        <f>IFERROR(__xludf.DUMMYFUNCTION("""COMPUTED_VALUE"""),69.0)</f>
        <v>69</v>
      </c>
    </row>
    <row r="884">
      <c r="A884" s="178" t="str">
        <f>IFERROR(__xludf.DUMMYFUNCTION("""COMPUTED_VALUE"""),"ITBISA-7SEGMENT-CATHODE-RED-0.56-1BIT")</f>
        <v>ITBISA-7SEGMENT-CATHODE-RED-0.56-1BIT</v>
      </c>
      <c r="B884" s="266">
        <f>IFERROR(__xludf.DUMMYFUNCTION("""COMPUTED_VALUE"""),45451.0)</f>
        <v>45451</v>
      </c>
      <c r="C884" s="266" t="str">
        <f>IFERROR(__xludf.DUMMYFUNCTION("""COMPUTED_VALUE"""),"KERTASARI CIAMIS")</f>
        <v>KERTASARI CIAMIS</v>
      </c>
      <c r="D884" s="186">
        <f>IFERROR(__xludf.DUMMYFUNCTION("""COMPUTED_VALUE"""),150.0)</f>
        <v>150</v>
      </c>
    </row>
    <row r="885">
      <c r="A885" s="178" t="str">
        <f>IFERROR(__xludf.DUMMYFUNCTION("""COMPUTED_VALUE"""),"ITBISA-7SEGMENT-CATHODE-RED-0.56-1BIT")</f>
        <v>ITBISA-7SEGMENT-CATHODE-RED-0.56-1BIT</v>
      </c>
      <c r="B885" s="266">
        <f>IFERROR(__xludf.DUMMYFUNCTION("""COMPUTED_VALUE"""),45453.0)</f>
        <v>45453</v>
      </c>
      <c r="C885" s="266" t="str">
        <f>IFERROR(__xludf.DUMMYFUNCTION("""COMPUTED_VALUE"""),"KERTASARI CIAMIS")</f>
        <v>KERTASARI CIAMIS</v>
      </c>
      <c r="D885" s="186">
        <f>IFERROR(__xludf.DUMMYFUNCTION("""COMPUTED_VALUE"""),50.0)</f>
        <v>50</v>
      </c>
    </row>
    <row r="886">
      <c r="A886" s="178" t="str">
        <f>IFERROR(__xludf.DUMMYFUNCTION("""COMPUTED_VALUE"""),"ITBISA-7SEGMENT-CATHODE-RED-0.56-1BIT")</f>
        <v>ITBISA-7SEGMENT-CATHODE-RED-0.56-1BIT</v>
      </c>
      <c r="B886" s="266">
        <f>IFERROR(__xludf.DUMMYFUNCTION("""COMPUTED_VALUE"""),45453.0)</f>
        <v>45453</v>
      </c>
      <c r="C886" s="266" t="str">
        <f>IFERROR(__xludf.DUMMYFUNCTION("""COMPUTED_VALUE"""),"KYAI KONTONG")</f>
        <v>KYAI KONTONG</v>
      </c>
      <c r="D886" s="186">
        <f>IFERROR(__xludf.DUMMYFUNCTION("""COMPUTED_VALUE"""),1.0)</f>
        <v>1</v>
      </c>
    </row>
    <row r="887">
      <c r="A887" s="178" t="str">
        <f>IFERROR(__xludf.DUMMYFUNCTION("""COMPUTED_VALUE"""),"ITBISA-7SEGMENT-CATHODE-RED-0.56-1BIT")</f>
        <v>ITBISA-7SEGMENT-CATHODE-RED-0.56-1BIT</v>
      </c>
      <c r="B887" s="266">
        <f>IFERROR(__xludf.DUMMYFUNCTION("""COMPUTED_VALUE"""),45456.0)</f>
        <v>45456</v>
      </c>
      <c r="C887" s="266" t="str">
        <f>IFERROR(__xludf.DUMMYFUNCTION("""COMPUTED_VALUE"""),"KERTASARI CIAMIS")</f>
        <v>KERTASARI CIAMIS</v>
      </c>
      <c r="D887" s="186">
        <f>IFERROR(__xludf.DUMMYFUNCTION("""COMPUTED_VALUE"""),50.0)</f>
        <v>50</v>
      </c>
    </row>
    <row r="888">
      <c r="A888" s="178" t="str">
        <f>IFERROR(__xludf.DUMMYFUNCTION("""COMPUTED_VALUE"""),"ITBISA-7SEGMENT-CATHODE-RED-0.56-1BIT")</f>
        <v>ITBISA-7SEGMENT-CATHODE-RED-0.56-1BIT</v>
      </c>
      <c r="B888" s="266">
        <f>IFERROR(__xludf.DUMMYFUNCTION("""COMPUTED_VALUE"""),45458.0)</f>
        <v>45458</v>
      </c>
      <c r="C888" s="266" t="str">
        <f>IFERROR(__xludf.DUMMYFUNCTION("""COMPUTED_VALUE"""),"KERTASARI CIAMIS")</f>
        <v>KERTASARI CIAMIS</v>
      </c>
      <c r="D888" s="186">
        <f>IFERROR(__xludf.DUMMYFUNCTION("""COMPUTED_VALUE"""),30.0)</f>
        <v>30</v>
      </c>
    </row>
    <row r="889">
      <c r="A889" s="178" t="str">
        <f>IFERROR(__xludf.DUMMYFUNCTION("""COMPUTED_VALUE"""),"ITBISA-7SEGMENT-CATHODE-RED-0.56-1BIT")</f>
        <v>ITBISA-7SEGMENT-CATHODE-RED-0.56-1BIT</v>
      </c>
      <c r="B889" s="266">
        <f>IFERROR(__xludf.DUMMYFUNCTION("""COMPUTED_VALUE"""),45460.0)</f>
        <v>45460</v>
      </c>
      <c r="C889" s="266" t="str">
        <f>IFERROR(__xludf.DUMMYFUNCTION("""COMPUTED_VALUE"""),"KYAI KONTONG")</f>
        <v>KYAI KONTONG</v>
      </c>
      <c r="D889" s="186">
        <f>IFERROR(__xludf.DUMMYFUNCTION("""COMPUTED_VALUE"""),15.0)</f>
        <v>15</v>
      </c>
    </row>
    <row r="890">
      <c r="A890" s="178" t="str">
        <f>IFERROR(__xludf.DUMMYFUNCTION("""COMPUTED_VALUE"""),"ITBISA-7SEGMENT-CATHODE-RED-0.56-1BIT")</f>
        <v>ITBISA-7SEGMENT-CATHODE-RED-0.56-1BIT</v>
      </c>
      <c r="B890" s="266">
        <f>IFERROR(__xludf.DUMMYFUNCTION("""COMPUTED_VALUE"""),45462.0)</f>
        <v>45462</v>
      </c>
      <c r="C890" s="266" t="str">
        <f>IFERROR(__xludf.DUMMYFUNCTION("""COMPUTED_VALUE"""),"KYAI KONTONG")</f>
        <v>KYAI KONTONG</v>
      </c>
      <c r="D890" s="186">
        <f>IFERROR(__xludf.DUMMYFUNCTION("""COMPUTED_VALUE"""),6.0)</f>
        <v>6</v>
      </c>
    </row>
    <row r="891">
      <c r="A891" s="178" t="str">
        <f>IFERROR(__xludf.DUMMYFUNCTION("""COMPUTED_VALUE"""),"ITBISA-7SEGMENT-CATHODE-RED-0.56-1BIT")</f>
        <v>ITBISA-7SEGMENT-CATHODE-RED-0.56-1BIT</v>
      </c>
      <c r="B891" s="266">
        <f>IFERROR(__xludf.DUMMYFUNCTION("""COMPUTED_VALUE"""),45462.0)</f>
        <v>45462</v>
      </c>
      <c r="C891" s="266" t="str">
        <f>IFERROR(__xludf.DUMMYFUNCTION("""COMPUTED_VALUE"""),"KYAI KONTONG")</f>
        <v>KYAI KONTONG</v>
      </c>
      <c r="D891" s="186">
        <f>IFERROR(__xludf.DUMMYFUNCTION("""COMPUTED_VALUE"""),10.0)</f>
        <v>10</v>
      </c>
    </row>
    <row r="892">
      <c r="A892" s="178" t="str">
        <f>IFERROR(__xludf.DUMMYFUNCTION("""COMPUTED_VALUE"""),"ITBISA-7SEGMENT-CATHODE-RED-0.56-1BIT")</f>
        <v>ITBISA-7SEGMENT-CATHODE-RED-0.56-1BIT</v>
      </c>
      <c r="B892" s="266">
        <f>IFERROR(__xludf.DUMMYFUNCTION("""COMPUTED_VALUE"""),45468.0)</f>
        <v>45468</v>
      </c>
      <c r="C892" s="266" t="str">
        <f>IFERROR(__xludf.DUMMYFUNCTION("""COMPUTED_VALUE"""),"KERTASARI CIAMIS")</f>
        <v>KERTASARI CIAMIS</v>
      </c>
      <c r="D892" s="186">
        <f>IFERROR(__xludf.DUMMYFUNCTION("""COMPUTED_VALUE"""),100.0)</f>
        <v>100</v>
      </c>
    </row>
    <row r="893">
      <c r="A893" s="178" t="str">
        <f>IFERROR(__xludf.DUMMYFUNCTION("""COMPUTED_VALUE"""),"ITBISA-7SEGMENT-CATHODE-RED-0.56-1BIT")</f>
        <v>ITBISA-7SEGMENT-CATHODE-RED-0.56-1BIT</v>
      </c>
      <c r="B893" s="266">
        <f>IFERROR(__xludf.DUMMYFUNCTION("""COMPUTED_VALUE"""),45469.0)</f>
        <v>45469</v>
      </c>
      <c r="C893" s="266" t="str">
        <f>IFERROR(__xludf.DUMMYFUNCTION("""COMPUTED_VALUE"""),"KYAI KONTONG")</f>
        <v>KYAI KONTONG</v>
      </c>
      <c r="D893" s="186">
        <f>IFERROR(__xludf.DUMMYFUNCTION("""COMPUTED_VALUE"""),25.0)</f>
        <v>25</v>
      </c>
    </row>
    <row r="894">
      <c r="A894" s="178" t="str">
        <f>IFERROR(__xludf.DUMMYFUNCTION("""COMPUTED_VALUE"""),"ITBISA-7SEGMENT-CATHODE-RED-0.56-1BIT")</f>
        <v>ITBISA-7SEGMENT-CATHODE-RED-0.56-1BIT</v>
      </c>
      <c r="B894" s="266">
        <f>IFERROR(__xludf.DUMMYFUNCTION("""COMPUTED_VALUE"""),45473.0)</f>
        <v>45473</v>
      </c>
      <c r="C894" s="266" t="str">
        <f>IFERROR(__xludf.DUMMYFUNCTION("""COMPUTED_VALUE"""),"KYAI KONTONG")</f>
        <v>KYAI KONTONG</v>
      </c>
      <c r="D894" s="186">
        <f>IFERROR(__xludf.DUMMYFUNCTION("""COMPUTED_VALUE"""),5.0)</f>
        <v>5</v>
      </c>
    </row>
    <row r="895">
      <c r="A895" s="178" t="str">
        <f>IFERROR(__xludf.DUMMYFUNCTION("""COMPUTED_VALUE"""),"ITBISA-7SEGMENT-CATHODE-RED-0.56-1BIT")</f>
        <v>ITBISA-7SEGMENT-CATHODE-RED-0.56-1BIT</v>
      </c>
      <c r="B895" s="266">
        <f>IFERROR(__xludf.DUMMYFUNCTION("""COMPUTED_VALUE"""),45482.0)</f>
        <v>45482</v>
      </c>
      <c r="C895" s="266" t="str">
        <f>IFERROR(__xludf.DUMMYFUNCTION("""COMPUTED_VALUE"""),"KYAI KONTONG")</f>
        <v>KYAI KONTONG</v>
      </c>
      <c r="D895" s="186">
        <f>IFERROR(__xludf.DUMMYFUNCTION("""COMPUTED_VALUE"""),5.0)</f>
        <v>5</v>
      </c>
    </row>
    <row r="896">
      <c r="A896" s="178" t="str">
        <f>IFERROR(__xludf.DUMMYFUNCTION("""COMPUTED_VALUE"""),"ITBISA-7SEGMENT-CATHODE-RED-0.56-1BIT")</f>
        <v>ITBISA-7SEGMENT-CATHODE-RED-0.56-1BIT</v>
      </c>
      <c r="B896" s="266">
        <f>IFERROR(__xludf.DUMMYFUNCTION("""COMPUTED_VALUE"""),45512.0)</f>
        <v>45512</v>
      </c>
      <c r="C896" s="266" t="str">
        <f>IFERROR(__xludf.DUMMYFUNCTION("""COMPUTED_VALUE"""),"KYAI KONTONG")</f>
        <v>KYAI KONTONG</v>
      </c>
      <c r="D896" s="186">
        <f>IFERROR(__xludf.DUMMYFUNCTION("""COMPUTED_VALUE"""),10.0)</f>
        <v>10</v>
      </c>
    </row>
    <row r="897">
      <c r="A897" s="178" t="str">
        <f>IFERROR(__xludf.DUMMYFUNCTION("""COMPUTED_VALUE"""),"ITBISA-7SEGMENT-CATHODE-RED-0.56-1BIT")</f>
        <v>ITBISA-7SEGMENT-CATHODE-RED-0.56-1BIT</v>
      </c>
      <c r="B897" s="266">
        <f>IFERROR(__xludf.DUMMYFUNCTION("""COMPUTED_VALUE"""),45516.0)</f>
        <v>45516</v>
      </c>
      <c r="C897" s="266" t="str">
        <f>IFERROR(__xludf.DUMMYFUNCTION("""COMPUTED_VALUE"""),"KYAI KONTONG")</f>
        <v>KYAI KONTONG</v>
      </c>
      <c r="D897" s="186">
        <f>IFERROR(__xludf.DUMMYFUNCTION("""COMPUTED_VALUE"""),100.0)</f>
        <v>100</v>
      </c>
    </row>
    <row r="898">
      <c r="A898" s="178" t="str">
        <f>IFERROR(__xludf.DUMMYFUNCTION("""COMPUTED_VALUE"""),"ITBISA-7SEGMENT-CATHODE-RED-0.56-1BIT")</f>
        <v>ITBISA-7SEGMENT-CATHODE-RED-0.56-1BIT</v>
      </c>
      <c r="B898" s="266">
        <f>IFERROR(__xludf.DUMMYFUNCTION("""COMPUTED_VALUE"""),45523.0)</f>
        <v>45523</v>
      </c>
      <c r="C898" s="266" t="str">
        <f>IFERROR(__xludf.DUMMYFUNCTION("""COMPUTED_VALUE"""),"KERTASARI CIAMIS")</f>
        <v>KERTASARI CIAMIS</v>
      </c>
      <c r="D898" s="186">
        <f>IFERROR(__xludf.DUMMYFUNCTION("""COMPUTED_VALUE"""),10.0)</f>
        <v>10</v>
      </c>
    </row>
    <row r="899">
      <c r="A899" s="178" t="str">
        <f>IFERROR(__xludf.DUMMYFUNCTION("""COMPUTED_VALUE"""),"ITBISA-7SEGMENT-CATHODE-RED-0.56-1BIT")</f>
        <v>ITBISA-7SEGMENT-CATHODE-RED-0.56-1BIT</v>
      </c>
      <c r="B899" s="266">
        <f>IFERROR(__xludf.DUMMYFUNCTION("""COMPUTED_VALUE"""),45523.0)</f>
        <v>45523</v>
      </c>
      <c r="C899" s="266" t="str">
        <f>IFERROR(__xludf.DUMMYFUNCTION("""COMPUTED_VALUE"""),"KYAI KONTONG")</f>
        <v>KYAI KONTONG</v>
      </c>
      <c r="D899" s="186">
        <f>IFERROR(__xludf.DUMMYFUNCTION("""COMPUTED_VALUE"""),300.0)</f>
        <v>300</v>
      </c>
    </row>
    <row r="900">
      <c r="A900" s="178" t="str">
        <f>IFERROR(__xludf.DUMMYFUNCTION("""COMPUTED_VALUE"""),"ITBISA-7SEGMENT-CATHODE-RED-0.56-1BIT")</f>
        <v>ITBISA-7SEGMENT-CATHODE-RED-0.56-1BIT</v>
      </c>
      <c r="B900" s="266">
        <f>IFERROR(__xludf.DUMMYFUNCTION("""COMPUTED_VALUE"""),45532.0)</f>
        <v>45532</v>
      </c>
      <c r="C900" s="266" t="str">
        <f>IFERROR(__xludf.DUMMYFUNCTION("""COMPUTED_VALUE"""),"KYAI KONTONG")</f>
        <v>KYAI KONTONG</v>
      </c>
      <c r="D900" s="186">
        <f>IFERROR(__xludf.DUMMYFUNCTION("""COMPUTED_VALUE"""),20.0)</f>
        <v>20</v>
      </c>
    </row>
    <row r="901">
      <c r="A901" s="178" t="str">
        <f>IFERROR(__xludf.DUMMYFUNCTION("""COMPUTED_VALUE"""),"ITBISA-7SEGMENT-CATHODE-RED-0.56-1BIT")</f>
        <v>ITBISA-7SEGMENT-CATHODE-RED-0.56-1BIT</v>
      </c>
      <c r="B901" s="266">
        <f>IFERROR(__xludf.DUMMYFUNCTION("""COMPUTED_VALUE"""),45534.0)</f>
        <v>45534</v>
      </c>
      <c r="C901" s="266" t="str">
        <f>IFERROR(__xludf.DUMMYFUNCTION("""COMPUTED_VALUE"""),"KERTASARI CIAMIS")</f>
        <v>KERTASARI CIAMIS</v>
      </c>
      <c r="D901" s="186">
        <f>IFERROR(__xludf.DUMMYFUNCTION("""COMPUTED_VALUE"""),44.0)</f>
        <v>44</v>
      </c>
    </row>
    <row r="902">
      <c r="A902" s="178" t="str">
        <f>IFERROR(__xludf.DUMMYFUNCTION("""COMPUTED_VALUE"""),"ITBISA-7SEGMENT-CATHODE-RED-0.56-1BIT")</f>
        <v>ITBISA-7SEGMENT-CATHODE-RED-0.56-1BIT</v>
      </c>
      <c r="B902" s="266">
        <f>IFERROR(__xludf.DUMMYFUNCTION("""COMPUTED_VALUE"""),45539.0)</f>
        <v>45539</v>
      </c>
      <c r="C902" s="266" t="str">
        <f>IFERROR(__xludf.DUMMYFUNCTION("""COMPUTED_VALUE"""),"KERTASARI CIAMIS")</f>
        <v>KERTASARI CIAMIS</v>
      </c>
      <c r="D902" s="186">
        <f>IFERROR(__xludf.DUMMYFUNCTION("""COMPUTED_VALUE"""),1.0)</f>
        <v>1</v>
      </c>
    </row>
    <row r="903">
      <c r="A903" s="178" t="str">
        <f>IFERROR(__xludf.DUMMYFUNCTION("""COMPUTED_VALUE"""),"ITBISA-7SEGMENT-CATHODE-RED-0.56-1BIT")</f>
        <v>ITBISA-7SEGMENT-CATHODE-RED-0.56-1BIT</v>
      </c>
      <c r="B903" s="266">
        <f>IFERROR(__xludf.DUMMYFUNCTION("""COMPUTED_VALUE"""),45554.0)</f>
        <v>45554</v>
      </c>
      <c r="C903" s="266" t="str">
        <f>IFERROR(__xludf.DUMMYFUNCTION("""COMPUTED_VALUE"""),"KERTASARI CIAMIS")</f>
        <v>KERTASARI CIAMIS</v>
      </c>
      <c r="D903" s="186">
        <f>IFERROR(__xludf.DUMMYFUNCTION("""COMPUTED_VALUE"""),100.0)</f>
        <v>100</v>
      </c>
    </row>
    <row r="904">
      <c r="A904" s="178" t="str">
        <f>IFERROR(__xludf.DUMMYFUNCTION("""COMPUTED_VALUE"""),"ITBISA-7SEGMENT-CATHODE-RED-0.56-1BIT")</f>
        <v>ITBISA-7SEGMENT-CATHODE-RED-0.56-1BIT</v>
      </c>
      <c r="B904" s="266">
        <f>IFERROR(__xludf.DUMMYFUNCTION("""COMPUTED_VALUE"""),45579.0)</f>
        <v>45579</v>
      </c>
      <c r="C904" s="266" t="str">
        <f>IFERROR(__xludf.DUMMYFUNCTION("""COMPUTED_VALUE"""),"KYAI KONTONG")</f>
        <v>KYAI KONTONG</v>
      </c>
      <c r="D904" s="186">
        <f>IFERROR(__xludf.DUMMYFUNCTION("""COMPUTED_VALUE"""),100.0)</f>
        <v>100</v>
      </c>
    </row>
    <row r="905">
      <c r="A905" s="178" t="str">
        <f>IFERROR(__xludf.DUMMYFUNCTION("""COMPUTED_VALUE"""),"ITBISA-7SEGMENT-CATHODE-RED-0.56-1BIT")</f>
        <v>ITBISA-7SEGMENT-CATHODE-RED-0.56-1BIT</v>
      </c>
      <c r="B905" s="266">
        <f>IFERROR(__xludf.DUMMYFUNCTION("""COMPUTED_VALUE"""),45595.0)</f>
        <v>45595</v>
      </c>
      <c r="C905" s="266" t="str">
        <f>IFERROR(__xludf.DUMMYFUNCTION("""COMPUTED_VALUE"""),"KERTASARI CIAMIS")</f>
        <v>KERTASARI CIAMIS</v>
      </c>
      <c r="D905" s="186">
        <f>IFERROR(__xludf.DUMMYFUNCTION("""COMPUTED_VALUE"""),20.0)</f>
        <v>20</v>
      </c>
    </row>
    <row r="906">
      <c r="A906" s="178" t="str">
        <f>IFERROR(__xludf.DUMMYFUNCTION("""COMPUTED_VALUE"""),"ITBISA-7SEGMENT-CATHODE-RED-0.56-1BIT")</f>
        <v>ITBISA-7SEGMENT-CATHODE-RED-0.56-1BIT</v>
      </c>
      <c r="B906" s="266">
        <f>IFERROR(__xludf.DUMMYFUNCTION("""COMPUTED_VALUE"""),45609.0)</f>
        <v>45609</v>
      </c>
      <c r="C906" s="266" t="str">
        <f>IFERROR(__xludf.DUMMYFUNCTION("""COMPUTED_VALUE"""),"KYAI KONTONG")</f>
        <v>KYAI KONTONG</v>
      </c>
      <c r="D906" s="186">
        <f>IFERROR(__xludf.DUMMYFUNCTION("""COMPUTED_VALUE"""),10.0)</f>
        <v>10</v>
      </c>
    </row>
    <row r="907">
      <c r="A907" s="178" t="str">
        <f>IFERROR(__xludf.DUMMYFUNCTION("""COMPUTED_VALUE"""),"ITBISA-7SEGMENT-CATHODE-RED-0.56-1BIT")</f>
        <v>ITBISA-7SEGMENT-CATHODE-RED-0.56-1BIT</v>
      </c>
      <c r="B907" s="266">
        <f>IFERROR(__xludf.DUMMYFUNCTION("""COMPUTED_VALUE"""),45611.0)</f>
        <v>45611</v>
      </c>
      <c r="C907" s="266" t="str">
        <f>IFERROR(__xludf.DUMMYFUNCTION("""COMPUTED_VALUE"""),"KYAI KONTONG")</f>
        <v>KYAI KONTONG</v>
      </c>
      <c r="D907" s="186">
        <f>IFERROR(__xludf.DUMMYFUNCTION("""COMPUTED_VALUE"""),100.0)</f>
        <v>100</v>
      </c>
    </row>
    <row r="908">
      <c r="A908" s="178" t="str">
        <f>IFERROR(__xludf.DUMMYFUNCTION("""COMPUTED_VALUE"""),"ITBISA-7SEGMENT-CATHODE-RED-0.56-1BIT")</f>
        <v>ITBISA-7SEGMENT-CATHODE-RED-0.56-1BIT</v>
      </c>
      <c r="B908" s="266">
        <f>IFERROR(__xludf.DUMMYFUNCTION("""COMPUTED_VALUE"""),45614.0)</f>
        <v>45614</v>
      </c>
      <c r="C908" s="266" t="str">
        <f>IFERROR(__xludf.DUMMYFUNCTION("""COMPUTED_VALUE"""),"KYAI KONTONG")</f>
        <v>KYAI KONTONG</v>
      </c>
      <c r="D908" s="186">
        <f>IFERROR(__xludf.DUMMYFUNCTION("""COMPUTED_VALUE"""),100.0)</f>
        <v>100</v>
      </c>
    </row>
    <row r="909">
      <c r="A909" s="178" t="str">
        <f>IFERROR(__xludf.DUMMYFUNCTION("""COMPUTED_VALUE"""),"ITBISA-7SEGMENT-CATHODE-RED-0.56-1BIT")</f>
        <v>ITBISA-7SEGMENT-CATHODE-RED-0.56-1BIT</v>
      </c>
      <c r="B909" s="266">
        <f>IFERROR(__xludf.DUMMYFUNCTION("""COMPUTED_VALUE"""),45619.0)</f>
        <v>45619</v>
      </c>
      <c r="C909" s="266" t="str">
        <f>IFERROR(__xludf.DUMMYFUNCTION("""COMPUTED_VALUE"""),"KYAI KONTONG")</f>
        <v>KYAI KONTONG</v>
      </c>
      <c r="D909" s="186">
        <f>IFERROR(__xludf.DUMMYFUNCTION("""COMPUTED_VALUE"""),100.0)</f>
        <v>100</v>
      </c>
    </row>
    <row r="910">
      <c r="A910" s="178" t="str">
        <f>IFERROR(__xludf.DUMMYFUNCTION("""COMPUTED_VALUE"""),"ITBISA-7SEGMENT-CATHODE-RED-0.56-1BIT")</f>
        <v>ITBISA-7SEGMENT-CATHODE-RED-0.56-1BIT</v>
      </c>
      <c r="B910" s="266">
        <f>IFERROR(__xludf.DUMMYFUNCTION("""COMPUTED_VALUE"""),45622.0)</f>
        <v>45622</v>
      </c>
      <c r="C910" s="266" t="str">
        <f>IFERROR(__xludf.DUMMYFUNCTION("""COMPUTED_VALUE"""),"KYAI KONTONG")</f>
        <v>KYAI KONTONG</v>
      </c>
      <c r="D910" s="186">
        <f>IFERROR(__xludf.DUMMYFUNCTION("""COMPUTED_VALUE"""),10.0)</f>
        <v>10</v>
      </c>
    </row>
    <row r="911">
      <c r="A911" s="178" t="str">
        <f>IFERROR(__xludf.DUMMYFUNCTION("""COMPUTED_VALUE"""),"ITBISA-7SEGMENT-CATHODE-RED-0.56-1BIT")</f>
        <v>ITBISA-7SEGMENT-CATHODE-RED-0.56-1BIT</v>
      </c>
      <c r="B911" s="266">
        <f>IFERROR(__xludf.DUMMYFUNCTION("""COMPUTED_VALUE"""),45629.0)</f>
        <v>45629</v>
      </c>
      <c r="C911" s="266" t="str">
        <f>IFERROR(__xludf.DUMMYFUNCTION("""COMPUTED_VALUE"""),"KYAI KONTONG")</f>
        <v>KYAI KONTONG</v>
      </c>
      <c r="D911" s="186">
        <f>IFERROR(__xludf.DUMMYFUNCTION("""COMPUTED_VALUE"""),20.0)</f>
        <v>20</v>
      </c>
    </row>
    <row r="912">
      <c r="A912" s="178" t="str">
        <f>IFERROR(__xludf.DUMMYFUNCTION("""COMPUTED_VALUE"""),"ITBISA-7SEGMENT-CATHODE-RED-0.56-1BIT")</f>
        <v>ITBISA-7SEGMENT-CATHODE-RED-0.56-1BIT</v>
      </c>
      <c r="B912" s="266">
        <f>IFERROR(__xludf.DUMMYFUNCTION("""COMPUTED_VALUE"""),45630.0)</f>
        <v>45630</v>
      </c>
      <c r="C912" s="266" t="str">
        <f>IFERROR(__xludf.DUMMYFUNCTION("""COMPUTED_VALUE"""),"KYAI KONTONG")</f>
        <v>KYAI KONTONG</v>
      </c>
      <c r="D912" s="186">
        <f>IFERROR(__xludf.DUMMYFUNCTION("""COMPUTED_VALUE"""),20.0)</f>
        <v>20</v>
      </c>
    </row>
    <row r="913">
      <c r="A913" s="178" t="str">
        <f>IFERROR(__xludf.DUMMYFUNCTION("""COMPUTED_VALUE"""),"ITBISA-7SEGMENT-CATHODE-RED-0.56-1BIT")</f>
        <v>ITBISA-7SEGMENT-CATHODE-RED-0.56-1BIT</v>
      </c>
      <c r="B913" s="266">
        <f>IFERROR(__xludf.DUMMYFUNCTION("""COMPUTED_VALUE"""),45631.0)</f>
        <v>45631</v>
      </c>
      <c r="C913" s="266" t="str">
        <f>IFERROR(__xludf.DUMMYFUNCTION("""COMPUTED_VALUE"""),"KYAI KONTONG")</f>
        <v>KYAI KONTONG</v>
      </c>
      <c r="D913" s="186">
        <f>IFERROR(__xludf.DUMMYFUNCTION("""COMPUTED_VALUE"""),10.0)</f>
        <v>10</v>
      </c>
    </row>
    <row r="914">
      <c r="A914" s="178" t="str">
        <f>IFERROR(__xludf.DUMMYFUNCTION("""COMPUTED_VALUE"""),"ITBISA-7SEGMENT-CATHODE-RED-0.56-1BIT")</f>
        <v>ITBISA-7SEGMENT-CATHODE-RED-0.56-1BIT</v>
      </c>
      <c r="B914" s="266">
        <f>IFERROR(__xludf.DUMMYFUNCTION("""COMPUTED_VALUE"""),45635.0)</f>
        <v>45635</v>
      </c>
      <c r="C914" s="266" t="str">
        <f>IFERROR(__xludf.DUMMYFUNCTION("""COMPUTED_VALUE"""),"KYAI KONTONG")</f>
        <v>KYAI KONTONG</v>
      </c>
      <c r="D914" s="186">
        <f>IFERROR(__xludf.DUMMYFUNCTION("""COMPUTED_VALUE"""),10.0)</f>
        <v>10</v>
      </c>
    </row>
    <row r="915">
      <c r="A915" s="178" t="str">
        <f>IFERROR(__xludf.DUMMYFUNCTION("""COMPUTED_VALUE"""),"ITBISA-7SEGMENT-CATHODE-RED-0.56-1BIT")</f>
        <v>ITBISA-7SEGMENT-CATHODE-RED-0.56-1BIT</v>
      </c>
      <c r="B915" s="266">
        <f>IFERROR(__xludf.DUMMYFUNCTION("""COMPUTED_VALUE"""),45638.0)</f>
        <v>45638</v>
      </c>
      <c r="C915" s="266" t="str">
        <f>IFERROR(__xludf.DUMMYFUNCTION("""COMPUTED_VALUE"""),"KERTASARI CIAMIS")</f>
        <v>KERTASARI CIAMIS</v>
      </c>
      <c r="D915" s="186">
        <f>IFERROR(__xludf.DUMMYFUNCTION("""COMPUTED_VALUE"""),100.0)</f>
        <v>100</v>
      </c>
    </row>
    <row r="916">
      <c r="A916" s="178" t="str">
        <f>IFERROR(__xludf.DUMMYFUNCTION("""COMPUTED_VALUE"""),"ITBISA-7SEGMENT-CATHODE-RED-0.56-1BIT")</f>
        <v>ITBISA-7SEGMENT-CATHODE-RED-0.56-1BIT</v>
      </c>
      <c r="B916" s="266">
        <f>IFERROR(__xludf.DUMMYFUNCTION("""COMPUTED_VALUE"""),45638.0)</f>
        <v>45638</v>
      </c>
      <c r="C916" s="266" t="str">
        <f>IFERROR(__xludf.DUMMYFUNCTION("""COMPUTED_VALUE"""),"KYAI KONTONG")</f>
        <v>KYAI KONTONG</v>
      </c>
      <c r="D916" s="186">
        <f>IFERROR(__xludf.DUMMYFUNCTION("""COMPUTED_VALUE"""),10.0)</f>
        <v>10</v>
      </c>
    </row>
    <row r="917">
      <c r="A917" s="178" t="str">
        <f>IFERROR(__xludf.DUMMYFUNCTION("""COMPUTED_VALUE"""),"ITBISA-7SEGMENT-CATHODE-RED-0.56-1BIT")</f>
        <v>ITBISA-7SEGMENT-CATHODE-RED-0.56-1BIT</v>
      </c>
      <c r="B917" s="266">
        <f>IFERROR(__xludf.DUMMYFUNCTION("""COMPUTED_VALUE"""),45641.0)</f>
        <v>45641</v>
      </c>
      <c r="C917" s="266" t="str">
        <f>IFERROR(__xludf.DUMMYFUNCTION("""COMPUTED_VALUE"""),"KYAI KONTONG")</f>
        <v>KYAI KONTONG</v>
      </c>
      <c r="D917" s="186">
        <f>IFERROR(__xludf.DUMMYFUNCTION("""COMPUTED_VALUE"""),10.0)</f>
        <v>10</v>
      </c>
    </row>
    <row r="918">
      <c r="A918" s="178" t="str">
        <f>IFERROR(__xludf.DUMMYFUNCTION("""COMPUTED_VALUE"""),"ITBISA-7SEGMENT-CATHODE-RED-0.56-1BIT")</f>
        <v>ITBISA-7SEGMENT-CATHODE-RED-0.56-1BIT</v>
      </c>
      <c r="B918" s="266">
        <f>IFERROR(__xludf.DUMMYFUNCTION("""COMPUTED_VALUE"""),45641.0)</f>
        <v>45641</v>
      </c>
      <c r="C918" s="266" t="str">
        <f>IFERROR(__xludf.DUMMYFUNCTION("""COMPUTED_VALUE"""),"KYAI KONTONG")</f>
        <v>KYAI KONTONG</v>
      </c>
      <c r="D918" s="186">
        <f>IFERROR(__xludf.DUMMYFUNCTION("""COMPUTED_VALUE"""),10.0)</f>
        <v>10</v>
      </c>
    </row>
    <row r="919">
      <c r="A919" s="178" t="str">
        <f>IFERROR(__xludf.DUMMYFUNCTION("""COMPUTED_VALUE"""),"ITBISA-7SEGMENT-CATHODE-RED-0.56-1BIT")</f>
        <v>ITBISA-7SEGMENT-CATHODE-RED-0.56-1BIT</v>
      </c>
      <c r="B919" s="266">
        <f>IFERROR(__xludf.DUMMYFUNCTION("""COMPUTED_VALUE"""),45643.0)</f>
        <v>45643</v>
      </c>
      <c r="C919" s="266" t="str">
        <f>IFERROR(__xludf.DUMMYFUNCTION("""COMPUTED_VALUE"""),"KERTASARI CIAMIS")</f>
        <v>KERTASARI CIAMIS</v>
      </c>
      <c r="D919" s="186">
        <f>IFERROR(__xludf.DUMMYFUNCTION("""COMPUTED_VALUE"""),50.0)</f>
        <v>50</v>
      </c>
    </row>
    <row r="920">
      <c r="A920" s="178" t="str">
        <f>IFERROR(__xludf.DUMMYFUNCTION("""COMPUTED_VALUE"""),"ITBISA-7SEGMENT-CATHODE-RED-0.56-1BIT")</f>
        <v>ITBISA-7SEGMENT-CATHODE-RED-0.56-1BIT</v>
      </c>
      <c r="B920" s="266">
        <f>IFERROR(__xludf.DUMMYFUNCTION("""COMPUTED_VALUE"""),45645.0)</f>
        <v>45645</v>
      </c>
      <c r="C920" s="266" t="str">
        <f>IFERROR(__xludf.DUMMYFUNCTION("""COMPUTED_VALUE"""),"KYAI KONTONG")</f>
        <v>KYAI KONTONG</v>
      </c>
      <c r="D920" s="186">
        <f>IFERROR(__xludf.DUMMYFUNCTION("""COMPUTED_VALUE"""),3.0)</f>
        <v>3</v>
      </c>
    </row>
    <row r="921">
      <c r="A921" s="178" t="str">
        <f>IFERROR(__xludf.DUMMYFUNCTION("""COMPUTED_VALUE"""),"ITBISA-7SEGMENT-CATHODE-RED-0.56-1BIT")</f>
        <v>ITBISA-7SEGMENT-CATHODE-RED-0.56-1BIT</v>
      </c>
      <c r="B921" s="266">
        <f>IFERROR(__xludf.DUMMYFUNCTION("""COMPUTED_VALUE"""),45645.0)</f>
        <v>45645</v>
      </c>
      <c r="C921" s="266" t="str">
        <f>IFERROR(__xludf.DUMMYFUNCTION("""COMPUTED_VALUE"""),"KYAI KONTONG")</f>
        <v>KYAI KONTONG</v>
      </c>
      <c r="D921" s="186">
        <f>IFERROR(__xludf.DUMMYFUNCTION("""COMPUTED_VALUE"""),10.0)</f>
        <v>10</v>
      </c>
    </row>
    <row r="922">
      <c r="A922" s="178" t="str">
        <f>IFERROR(__xludf.DUMMYFUNCTION("""COMPUTED_VALUE"""),"ITBISA-7SEGMENT-CATHODE-RED-0.56-1BIT")</f>
        <v>ITBISA-7SEGMENT-CATHODE-RED-0.56-1BIT</v>
      </c>
      <c r="B922" s="266">
        <f>IFERROR(__xludf.DUMMYFUNCTION("""COMPUTED_VALUE"""),45650.0)</f>
        <v>45650</v>
      </c>
      <c r="C922" s="266" t="str">
        <f>IFERROR(__xludf.DUMMYFUNCTION("""COMPUTED_VALUE"""),"KERTASARI CIAMIS")</f>
        <v>KERTASARI CIAMIS</v>
      </c>
      <c r="D922" s="186">
        <f>IFERROR(__xludf.DUMMYFUNCTION("""COMPUTED_VALUE"""),10.0)</f>
        <v>10</v>
      </c>
    </row>
    <row r="923">
      <c r="A923" s="178" t="str">
        <f>IFERROR(__xludf.DUMMYFUNCTION("""COMPUTED_VALUE"""),"ITBISA-7SEGMENT-CATHODE-RED-0.56-1BIT")</f>
        <v>ITBISA-7SEGMENT-CATHODE-RED-0.56-1BIT</v>
      </c>
      <c r="B923" s="266">
        <f>IFERROR(__xludf.DUMMYFUNCTION("""COMPUTED_VALUE"""),45656.0)</f>
        <v>45656</v>
      </c>
      <c r="C923" s="266" t="str">
        <f>IFERROR(__xludf.DUMMYFUNCTION("""COMPUTED_VALUE"""),"KERTASARI CIAMIS")</f>
        <v>KERTASARI CIAMIS</v>
      </c>
      <c r="D923" s="186">
        <f>IFERROR(__xludf.DUMMYFUNCTION("""COMPUTED_VALUE"""),10.0)</f>
        <v>10</v>
      </c>
    </row>
    <row r="924">
      <c r="A924" s="178" t="str">
        <f>IFERROR(__xludf.DUMMYFUNCTION("""COMPUTED_VALUE"""),"ITBISA-7SEGMENT-CATHODE-RED-0.56-1BIT")</f>
        <v>ITBISA-7SEGMENT-CATHODE-RED-0.56-1BIT</v>
      </c>
      <c r="B924" s="266">
        <f>IFERROR(__xludf.DUMMYFUNCTION("""COMPUTED_VALUE"""),45663.0)</f>
        <v>45663</v>
      </c>
      <c r="C924" s="266" t="str">
        <f>IFERROR(__xludf.DUMMYFUNCTION("""COMPUTED_VALUE"""),"KYAI KONTONG")</f>
        <v>KYAI KONTONG</v>
      </c>
      <c r="D924" s="186">
        <f>IFERROR(__xludf.DUMMYFUNCTION("""COMPUTED_VALUE"""),12.0)</f>
        <v>12</v>
      </c>
    </row>
    <row r="925">
      <c r="A925" s="178" t="str">
        <f>IFERROR(__xludf.DUMMYFUNCTION("""COMPUTED_VALUE"""),"ITBISA-7SEGMENT-CATHODE-RED-0.56-1BIT")</f>
        <v>ITBISA-7SEGMENT-CATHODE-RED-0.56-1BIT</v>
      </c>
      <c r="B925" s="266">
        <f>IFERROR(__xludf.DUMMYFUNCTION("""COMPUTED_VALUE"""),45664.0)</f>
        <v>45664</v>
      </c>
      <c r="C925" s="266" t="str">
        <f>IFERROR(__xludf.DUMMYFUNCTION("""COMPUTED_VALUE"""),"KYAI KONTONG")</f>
        <v>KYAI KONTONG</v>
      </c>
      <c r="D925" s="186">
        <f>IFERROR(__xludf.DUMMYFUNCTION("""COMPUTED_VALUE"""),10.0)</f>
        <v>10</v>
      </c>
    </row>
    <row r="926">
      <c r="A926" s="178" t="str">
        <f>IFERROR(__xludf.DUMMYFUNCTION("""COMPUTED_VALUE"""),"ITBISA-7SEGMENT-CATHODE-RED-0.56-1BIT")</f>
        <v>ITBISA-7SEGMENT-CATHODE-RED-0.56-1BIT</v>
      </c>
      <c r="B926" s="266">
        <f>IFERROR(__xludf.DUMMYFUNCTION("""COMPUTED_VALUE"""),45668.0)</f>
        <v>45668</v>
      </c>
      <c r="C926" s="266" t="str">
        <f>IFERROR(__xludf.DUMMYFUNCTION("""COMPUTED_VALUE"""),"KYAI KONTONG")</f>
        <v>KYAI KONTONG</v>
      </c>
      <c r="D926" s="186">
        <f>IFERROR(__xludf.DUMMYFUNCTION("""COMPUTED_VALUE"""),42.0)</f>
        <v>42</v>
      </c>
    </row>
    <row r="927">
      <c r="A927" s="178" t="str">
        <f>IFERROR(__xludf.DUMMYFUNCTION("""COMPUTED_VALUE"""),"ITBISA-7SEGMENT-CATHODE-RED-0.56-1BIT")</f>
        <v>ITBISA-7SEGMENT-CATHODE-RED-0.56-1BIT</v>
      </c>
      <c r="B927" s="266">
        <f>IFERROR(__xludf.DUMMYFUNCTION("""COMPUTED_VALUE"""),45674.0)</f>
        <v>45674</v>
      </c>
      <c r="C927" s="266" t="str">
        <f>IFERROR(__xludf.DUMMYFUNCTION("""COMPUTED_VALUE"""),"KYAI KONTONG")</f>
        <v>KYAI KONTONG</v>
      </c>
      <c r="D927" s="186">
        <f>IFERROR(__xludf.DUMMYFUNCTION("""COMPUTED_VALUE"""),10.0)</f>
        <v>10</v>
      </c>
    </row>
    <row r="928">
      <c r="A928" s="178" t="str">
        <f>IFERROR(__xludf.DUMMYFUNCTION("""COMPUTED_VALUE"""),"ITBISA-7SEGMENT-CATHODE-RED-0.56-1BIT")</f>
        <v>ITBISA-7SEGMENT-CATHODE-RED-0.56-1BIT</v>
      </c>
      <c r="B928" s="266">
        <f>IFERROR(__xludf.DUMMYFUNCTION("""COMPUTED_VALUE"""),45677.0)</f>
        <v>45677</v>
      </c>
      <c r="C928" s="266" t="str">
        <f>IFERROR(__xludf.DUMMYFUNCTION("""COMPUTED_VALUE"""),"KYAI KONTONG")</f>
        <v>KYAI KONTONG</v>
      </c>
      <c r="D928" s="186">
        <f>IFERROR(__xludf.DUMMYFUNCTION("""COMPUTED_VALUE"""),1.0)</f>
        <v>1</v>
      </c>
    </row>
    <row r="929">
      <c r="A929" s="178" t="str">
        <f>IFERROR(__xludf.DUMMYFUNCTION("""COMPUTED_VALUE"""),"ITBISA-7SEGMENT-CATHODE-RED-0.56-1BIT")</f>
        <v>ITBISA-7SEGMENT-CATHODE-RED-0.56-1BIT</v>
      </c>
      <c r="B929" s="266">
        <f>IFERROR(__xludf.DUMMYFUNCTION("""COMPUTED_VALUE"""),45682.0)</f>
        <v>45682</v>
      </c>
      <c r="C929" s="266" t="str">
        <f>IFERROR(__xludf.DUMMYFUNCTION("""COMPUTED_VALUE"""),"KYAI KONTONG")</f>
        <v>KYAI KONTONG</v>
      </c>
      <c r="D929" s="186">
        <f>IFERROR(__xludf.DUMMYFUNCTION("""COMPUTED_VALUE"""),1.0)</f>
        <v>1</v>
      </c>
    </row>
    <row r="930">
      <c r="A930" s="178" t="str">
        <f>IFERROR(__xludf.DUMMYFUNCTION("""COMPUTED_VALUE"""),"ITBISA-7SEGMENT-CATHODE-RED-0.56-1BIT")</f>
        <v>ITBISA-7SEGMENT-CATHODE-RED-0.56-1BIT</v>
      </c>
      <c r="B930" s="266">
        <f>IFERROR(__xludf.DUMMYFUNCTION("""COMPUTED_VALUE"""),45682.0)</f>
        <v>45682</v>
      </c>
      <c r="C930" s="266" t="str">
        <f>IFERROR(__xludf.DUMMYFUNCTION("""COMPUTED_VALUE"""),"KYAI KONTONG")</f>
        <v>KYAI KONTONG</v>
      </c>
      <c r="D930" s="186">
        <f>IFERROR(__xludf.DUMMYFUNCTION("""COMPUTED_VALUE"""),12.0)</f>
        <v>12</v>
      </c>
    </row>
    <row r="931">
      <c r="A931" s="178" t="str">
        <f>IFERROR(__xludf.DUMMYFUNCTION("""COMPUTED_VALUE"""),"ITBISA-7SEGMENT-CATHODE-RED-0.56-1BIT")</f>
        <v>ITBISA-7SEGMENT-CATHODE-RED-0.56-1BIT</v>
      </c>
      <c r="B931" s="266">
        <f>IFERROR(__xludf.DUMMYFUNCTION("""COMPUTED_VALUE"""),45682.0)</f>
        <v>45682</v>
      </c>
      <c r="C931" s="266" t="str">
        <f>IFERROR(__xludf.DUMMYFUNCTION("""COMPUTED_VALUE"""),"KYAI KONTONG")</f>
        <v>KYAI KONTONG</v>
      </c>
      <c r="D931" s="186">
        <f>IFERROR(__xludf.DUMMYFUNCTION("""COMPUTED_VALUE"""),280.0)</f>
        <v>280</v>
      </c>
    </row>
    <row r="932">
      <c r="A932" s="178" t="str">
        <f>IFERROR(__xludf.DUMMYFUNCTION("""COMPUTED_VALUE"""),"ITBISA-7SEGMENT-CATHODE-RED-0.56-1BIT")</f>
        <v>ITBISA-7SEGMENT-CATHODE-RED-0.56-1BIT</v>
      </c>
      <c r="B932" s="266">
        <f>IFERROR(__xludf.DUMMYFUNCTION("""COMPUTED_VALUE"""),45688.0)</f>
        <v>45688</v>
      </c>
      <c r="C932" s="266" t="str">
        <f>IFERROR(__xludf.DUMMYFUNCTION("""COMPUTED_VALUE"""),"KERTASARI CIAMIS")</f>
        <v>KERTASARI CIAMIS</v>
      </c>
      <c r="D932" s="186">
        <f>IFERROR(__xludf.DUMMYFUNCTION("""COMPUTED_VALUE"""),92.0)</f>
        <v>92</v>
      </c>
    </row>
    <row r="933">
      <c r="A933" s="178" t="str">
        <f>IFERROR(__xludf.DUMMYFUNCTION("""COMPUTED_VALUE"""),"ITBISA-7SEGMENT-CATHODE-RED-0.56-1BIT")</f>
        <v>ITBISA-7SEGMENT-CATHODE-RED-0.56-1BIT</v>
      </c>
      <c r="B933" s="266">
        <f>IFERROR(__xludf.DUMMYFUNCTION("""COMPUTED_VALUE"""),45692.0)</f>
        <v>45692</v>
      </c>
      <c r="C933" s="266" t="str">
        <f>IFERROR(__xludf.DUMMYFUNCTION("""COMPUTED_VALUE"""),"KERTASARI CIAMIS")</f>
        <v>KERTASARI CIAMIS</v>
      </c>
      <c r="D933" s="186">
        <f>IFERROR(__xludf.DUMMYFUNCTION("""COMPUTED_VALUE"""),20.0)</f>
        <v>20</v>
      </c>
    </row>
    <row r="934">
      <c r="A934" s="178" t="str">
        <f>IFERROR(__xludf.DUMMYFUNCTION("""COMPUTED_VALUE"""),"ITBISA-7SEGMENT-CATHODE-RED-0.56-1BIT")</f>
        <v>ITBISA-7SEGMENT-CATHODE-RED-0.56-1BIT</v>
      </c>
      <c r="B934" s="266">
        <f>IFERROR(__xludf.DUMMYFUNCTION("""COMPUTED_VALUE"""),45693.0)</f>
        <v>45693</v>
      </c>
      <c r="C934" s="266" t="str">
        <f>IFERROR(__xludf.DUMMYFUNCTION("""COMPUTED_VALUE"""),"KERTASARI CIAMIS")</f>
        <v>KERTASARI CIAMIS</v>
      </c>
      <c r="D934" s="186">
        <f>IFERROR(__xludf.DUMMYFUNCTION("""COMPUTED_VALUE"""),50.0)</f>
        <v>50</v>
      </c>
    </row>
    <row r="935">
      <c r="A935" s="178" t="str">
        <f>IFERROR(__xludf.DUMMYFUNCTION("""COMPUTED_VALUE"""),"ITBISA-7SEGMENT-CATHODE-RED-0.56-1BIT")</f>
        <v>ITBISA-7SEGMENT-CATHODE-RED-0.56-1BIT</v>
      </c>
      <c r="B935" s="266">
        <f>IFERROR(__xludf.DUMMYFUNCTION("""COMPUTED_VALUE"""),45693.0)</f>
        <v>45693</v>
      </c>
      <c r="C935" s="266" t="str">
        <f>IFERROR(__xludf.DUMMYFUNCTION("""COMPUTED_VALUE"""),"KYAI KONTONG")</f>
        <v>KYAI KONTONG</v>
      </c>
      <c r="D935" s="186">
        <f>IFERROR(__xludf.DUMMYFUNCTION("""COMPUTED_VALUE"""),10.0)</f>
        <v>10</v>
      </c>
    </row>
    <row r="936">
      <c r="A936" s="178" t="str">
        <f>IFERROR(__xludf.DUMMYFUNCTION("""COMPUTED_VALUE"""),"ITBISA-7SEGMENT-CATHODE-RED-0.56-1BIT")</f>
        <v>ITBISA-7SEGMENT-CATHODE-RED-0.56-1BIT</v>
      </c>
      <c r="B936" s="266">
        <f>IFERROR(__xludf.DUMMYFUNCTION("""COMPUTED_VALUE"""),45694.0)</f>
        <v>45694</v>
      </c>
      <c r="C936" s="266" t="str">
        <f>IFERROR(__xludf.DUMMYFUNCTION("""COMPUTED_VALUE"""),"KYAI KONTONG")</f>
        <v>KYAI KONTONG</v>
      </c>
      <c r="D936" s="186">
        <f>IFERROR(__xludf.DUMMYFUNCTION("""COMPUTED_VALUE"""),25.0)</f>
        <v>25</v>
      </c>
    </row>
    <row r="937">
      <c r="A937" s="178" t="str">
        <f>IFERROR(__xludf.DUMMYFUNCTION("""COMPUTED_VALUE"""),"ITBISA-7SEGMENT-CATHODE-RED-0.56-1BIT")</f>
        <v>ITBISA-7SEGMENT-CATHODE-RED-0.56-1BIT</v>
      </c>
      <c r="B937" s="266">
        <f>IFERROR(__xludf.DUMMYFUNCTION("""COMPUTED_VALUE"""),45695.0)</f>
        <v>45695</v>
      </c>
      <c r="C937" s="266" t="str">
        <f>IFERROR(__xludf.DUMMYFUNCTION("""COMPUTED_VALUE"""),"KYAI KONTONG")</f>
        <v>KYAI KONTONG</v>
      </c>
      <c r="D937" s="186">
        <f>IFERROR(__xludf.DUMMYFUNCTION("""COMPUTED_VALUE"""),10.0)</f>
        <v>10</v>
      </c>
    </row>
    <row r="938">
      <c r="A938" s="178" t="str">
        <f>IFERROR(__xludf.DUMMYFUNCTION("""COMPUTED_VALUE"""),"ITBISA-7SEGMENT-CATHODE-RED-0.56-1BIT")</f>
        <v>ITBISA-7SEGMENT-CATHODE-RED-0.56-1BIT</v>
      </c>
      <c r="B938" s="266">
        <f>IFERROR(__xludf.DUMMYFUNCTION("""COMPUTED_VALUE"""),45698.0)</f>
        <v>45698</v>
      </c>
      <c r="C938" s="266" t="str">
        <f>IFERROR(__xludf.DUMMYFUNCTION("""COMPUTED_VALUE"""),"KYAI KONTONG")</f>
        <v>KYAI KONTONG</v>
      </c>
      <c r="D938" s="186">
        <f>IFERROR(__xludf.DUMMYFUNCTION("""COMPUTED_VALUE"""),100.0)</f>
        <v>100</v>
      </c>
    </row>
    <row r="939">
      <c r="A939" s="178" t="str">
        <f>IFERROR(__xludf.DUMMYFUNCTION("""COMPUTED_VALUE"""),"ITBISA-7SEGMENT-CATHODE-RED-0.56-1BIT")</f>
        <v>ITBISA-7SEGMENT-CATHODE-RED-0.56-1BIT</v>
      </c>
      <c r="B939" s="266">
        <f>IFERROR(__xludf.DUMMYFUNCTION("""COMPUTED_VALUE"""),45700.0)</f>
        <v>45700</v>
      </c>
      <c r="C939" s="266" t="str">
        <f>IFERROR(__xludf.DUMMYFUNCTION("""COMPUTED_VALUE"""),"KERTASARI CIAMIS")</f>
        <v>KERTASARI CIAMIS</v>
      </c>
      <c r="D939" s="186">
        <f>IFERROR(__xludf.DUMMYFUNCTION("""COMPUTED_VALUE"""),150.0)</f>
        <v>150</v>
      </c>
    </row>
    <row r="940">
      <c r="A940" s="178" t="str">
        <f>IFERROR(__xludf.DUMMYFUNCTION("""COMPUTED_VALUE"""),"ITBISA-7SEGMENT-CATHODE-RED-0.56-1BIT")</f>
        <v>ITBISA-7SEGMENT-CATHODE-RED-0.56-1BIT</v>
      </c>
      <c r="B940" s="266">
        <f>IFERROR(__xludf.DUMMYFUNCTION("""COMPUTED_VALUE"""),45700.0)</f>
        <v>45700</v>
      </c>
      <c r="C940" s="266" t="str">
        <f>IFERROR(__xludf.DUMMYFUNCTION("""COMPUTED_VALUE"""),"KYAI KONTONG")</f>
        <v>KYAI KONTONG</v>
      </c>
      <c r="D940" s="186">
        <f>IFERROR(__xludf.DUMMYFUNCTION("""COMPUTED_VALUE"""),10.0)</f>
        <v>10</v>
      </c>
    </row>
    <row r="941">
      <c r="A941" s="178" t="str">
        <f>IFERROR(__xludf.DUMMYFUNCTION("""COMPUTED_VALUE"""),"ITBISA-7SEGMENT-CATHODE-RED-0.56-1BIT")</f>
        <v>ITBISA-7SEGMENT-CATHODE-RED-0.56-1BIT</v>
      </c>
      <c r="B941" s="266">
        <f>IFERROR(__xludf.DUMMYFUNCTION("""COMPUTED_VALUE"""),45700.0)</f>
        <v>45700</v>
      </c>
      <c r="C941" s="266" t="str">
        <f>IFERROR(__xludf.DUMMYFUNCTION("""COMPUTED_VALUE"""),"KYAI KONTONG")</f>
        <v>KYAI KONTONG</v>
      </c>
      <c r="D941" s="186">
        <f>IFERROR(__xludf.DUMMYFUNCTION("""COMPUTED_VALUE"""),100.0)</f>
        <v>100</v>
      </c>
    </row>
    <row r="942">
      <c r="A942" s="178" t="str">
        <f>IFERROR(__xludf.DUMMYFUNCTION("""COMPUTED_VALUE"""),"ITBISA-7SEGMENT-CATHODE-RED-0.56-1BIT")</f>
        <v>ITBISA-7SEGMENT-CATHODE-RED-0.56-1BIT</v>
      </c>
      <c r="B942" s="266">
        <f>IFERROR(__xludf.DUMMYFUNCTION("""COMPUTED_VALUE"""),45703.0)</f>
        <v>45703</v>
      </c>
      <c r="C942" s="266" t="str">
        <f>IFERROR(__xludf.DUMMYFUNCTION("""COMPUTED_VALUE"""),"KERTASARI CIAMIS")</f>
        <v>KERTASARI CIAMIS</v>
      </c>
      <c r="D942" s="186">
        <f>IFERROR(__xludf.DUMMYFUNCTION("""COMPUTED_VALUE"""),25.0)</f>
        <v>25</v>
      </c>
    </row>
    <row r="943">
      <c r="A943" s="178" t="str">
        <f>IFERROR(__xludf.DUMMYFUNCTION("""COMPUTED_VALUE"""),"ITBISA-7SEGMENT-CATHODE-RED-0.56-1BIT")</f>
        <v>ITBISA-7SEGMENT-CATHODE-RED-0.56-1BIT</v>
      </c>
      <c r="B943" s="266">
        <f>IFERROR(__xludf.DUMMYFUNCTION("""COMPUTED_VALUE"""),45703.0)</f>
        <v>45703</v>
      </c>
      <c r="C943" s="266" t="str">
        <f>IFERROR(__xludf.DUMMYFUNCTION("""COMPUTED_VALUE"""),"KYAI KONTONG")</f>
        <v>KYAI KONTONG</v>
      </c>
      <c r="D943" s="186">
        <f>IFERROR(__xludf.DUMMYFUNCTION("""COMPUTED_VALUE"""),15.0)</f>
        <v>15</v>
      </c>
    </row>
    <row r="944">
      <c r="A944" s="178" t="str">
        <f>IFERROR(__xludf.DUMMYFUNCTION("""COMPUTED_VALUE"""),"ITBISA-7SEGMENT-CATHODE-RED-0.56-1BIT")</f>
        <v>ITBISA-7SEGMENT-CATHODE-RED-0.56-1BIT</v>
      </c>
      <c r="B944" s="266">
        <f>IFERROR(__xludf.DUMMYFUNCTION("""COMPUTED_VALUE"""),45704.0)</f>
        <v>45704</v>
      </c>
      <c r="C944" s="266" t="str">
        <f>IFERROR(__xludf.DUMMYFUNCTION("""COMPUTED_VALUE"""),"KERTASARI CIAMIS")</f>
        <v>KERTASARI CIAMIS</v>
      </c>
      <c r="D944" s="186">
        <f>IFERROR(__xludf.DUMMYFUNCTION("""COMPUTED_VALUE"""),20.0)</f>
        <v>20</v>
      </c>
    </row>
    <row r="945">
      <c r="A945" s="178" t="str">
        <f>IFERROR(__xludf.DUMMYFUNCTION("""COMPUTED_VALUE"""),"ITBISA-7SEGMENT-CATHODE-RED-0.56-1BIT")</f>
        <v>ITBISA-7SEGMENT-CATHODE-RED-0.56-1BIT</v>
      </c>
      <c r="B945" s="266">
        <f>IFERROR(__xludf.DUMMYFUNCTION("""COMPUTED_VALUE"""),45705.0)</f>
        <v>45705</v>
      </c>
      <c r="C945" s="266" t="str">
        <f>IFERROR(__xludf.DUMMYFUNCTION("""COMPUTED_VALUE"""),"KYAI KONTONG")</f>
        <v>KYAI KONTONG</v>
      </c>
      <c r="D945" s="186">
        <f>IFERROR(__xludf.DUMMYFUNCTION("""COMPUTED_VALUE"""),10.0)</f>
        <v>10</v>
      </c>
    </row>
    <row r="946">
      <c r="A946" s="178" t="str">
        <f>IFERROR(__xludf.DUMMYFUNCTION("""COMPUTED_VALUE"""),"ITBISA-7SEGMENT-CATHODE-RED-0.56-1BIT")</f>
        <v>ITBISA-7SEGMENT-CATHODE-RED-0.56-1BIT</v>
      </c>
      <c r="B946" s="266">
        <f>IFERROR(__xludf.DUMMYFUNCTION("""COMPUTED_VALUE"""),45710.0)</f>
        <v>45710</v>
      </c>
      <c r="C946" s="266" t="str">
        <f>IFERROR(__xludf.DUMMYFUNCTION("""COMPUTED_VALUE"""),"KYAI KONTONG")</f>
        <v>KYAI KONTONG</v>
      </c>
      <c r="D946" s="186">
        <f>IFERROR(__xludf.DUMMYFUNCTION("""COMPUTED_VALUE"""),10.0)</f>
        <v>10</v>
      </c>
    </row>
    <row r="947">
      <c r="A947" s="178" t="str">
        <f>IFERROR(__xludf.DUMMYFUNCTION("""COMPUTED_VALUE"""),"ITBISA-7SEGMENT-CATHODE-RED-0.56-1BIT")</f>
        <v>ITBISA-7SEGMENT-CATHODE-RED-0.56-1BIT</v>
      </c>
      <c r="B947" s="266">
        <f>IFERROR(__xludf.DUMMYFUNCTION("""COMPUTED_VALUE"""),45712.0)</f>
        <v>45712</v>
      </c>
      <c r="C947" s="266" t="str">
        <f>IFERROR(__xludf.DUMMYFUNCTION("""COMPUTED_VALUE"""),"KYAI KONTONG")</f>
        <v>KYAI KONTONG</v>
      </c>
      <c r="D947" s="186">
        <f>IFERROR(__xludf.DUMMYFUNCTION("""COMPUTED_VALUE"""),10.0)</f>
        <v>10</v>
      </c>
    </row>
    <row r="948">
      <c r="A948" s="178" t="str">
        <f>IFERROR(__xludf.DUMMYFUNCTION("""COMPUTED_VALUE"""),"ITBISA-7SEGMENT-CATHODE-RED-0.56-1BIT")</f>
        <v>ITBISA-7SEGMENT-CATHODE-RED-0.56-1BIT</v>
      </c>
      <c r="B948" s="266">
        <f>IFERROR(__xludf.DUMMYFUNCTION("""COMPUTED_VALUE"""),45713.0)</f>
        <v>45713</v>
      </c>
      <c r="C948" s="266" t="str">
        <f>IFERROR(__xludf.DUMMYFUNCTION("""COMPUTED_VALUE"""),"KERTASARI CIAMIS")</f>
        <v>KERTASARI CIAMIS</v>
      </c>
      <c r="D948" s="186">
        <f>IFERROR(__xludf.DUMMYFUNCTION("""COMPUTED_VALUE"""),50.0)</f>
        <v>50</v>
      </c>
    </row>
    <row r="949">
      <c r="A949" s="178" t="str">
        <f>IFERROR(__xludf.DUMMYFUNCTION("""COMPUTED_VALUE"""),"ITBISA-7SEGMENT-CATHODE-RED-0.56-1BIT")</f>
        <v>ITBISA-7SEGMENT-CATHODE-RED-0.56-1BIT</v>
      </c>
      <c r="B949" s="266">
        <f>IFERROR(__xludf.DUMMYFUNCTION("""COMPUTED_VALUE"""),45715.0)</f>
        <v>45715</v>
      </c>
      <c r="C949" s="266" t="str">
        <f>IFERROR(__xludf.DUMMYFUNCTION("""COMPUTED_VALUE"""),"KERTASARI CIAMIS")</f>
        <v>KERTASARI CIAMIS</v>
      </c>
      <c r="D949" s="186">
        <f>IFERROR(__xludf.DUMMYFUNCTION("""COMPUTED_VALUE"""),40.0)</f>
        <v>40</v>
      </c>
    </row>
    <row r="950">
      <c r="A950" s="178" t="str">
        <f>IFERROR(__xludf.DUMMYFUNCTION("""COMPUTED_VALUE"""),"ITBISA-7SEGMENT-CATHODE-RED-0.56-1BIT")</f>
        <v>ITBISA-7SEGMENT-CATHODE-RED-0.56-1BIT</v>
      </c>
      <c r="B950" s="266">
        <f>IFERROR(__xludf.DUMMYFUNCTION("""COMPUTED_VALUE"""),45719.0)</f>
        <v>45719</v>
      </c>
      <c r="C950" s="266" t="str">
        <f>IFERROR(__xludf.DUMMYFUNCTION("""COMPUTED_VALUE"""),"KYAI KONTONG")</f>
        <v>KYAI KONTONG</v>
      </c>
      <c r="D950" s="186">
        <f>IFERROR(__xludf.DUMMYFUNCTION("""COMPUTED_VALUE"""),40.0)</f>
        <v>40</v>
      </c>
    </row>
    <row r="951">
      <c r="A951" s="178" t="str">
        <f>IFERROR(__xludf.DUMMYFUNCTION("""COMPUTED_VALUE"""),"ITBISA-7SEGMENT-CATHODE-RED-0.56-1BIT")</f>
        <v>ITBISA-7SEGMENT-CATHODE-RED-0.56-1BIT</v>
      </c>
      <c r="B951" s="266">
        <f>IFERROR(__xludf.DUMMYFUNCTION("""COMPUTED_VALUE"""),45720.0)</f>
        <v>45720</v>
      </c>
      <c r="C951" s="266" t="str">
        <f>IFERROR(__xludf.DUMMYFUNCTION("""COMPUTED_VALUE"""),"KERTASARI CIAMIS")</f>
        <v>KERTASARI CIAMIS</v>
      </c>
      <c r="D951" s="186">
        <f>IFERROR(__xludf.DUMMYFUNCTION("""COMPUTED_VALUE"""),40.0)</f>
        <v>40</v>
      </c>
    </row>
    <row r="952">
      <c r="A952" s="178" t="str">
        <f>IFERROR(__xludf.DUMMYFUNCTION("""COMPUTED_VALUE"""),"ITBISA-7SEGMENT-CATHODE-RED-0.56-1BIT")</f>
        <v>ITBISA-7SEGMENT-CATHODE-RED-0.56-1BIT</v>
      </c>
      <c r="B952" s="266">
        <f>IFERROR(__xludf.DUMMYFUNCTION("""COMPUTED_VALUE"""),45720.0)</f>
        <v>45720</v>
      </c>
      <c r="C952" s="266" t="str">
        <f>IFERROR(__xludf.DUMMYFUNCTION("""COMPUTED_VALUE"""),"KYAI KONTONG")</f>
        <v>KYAI KONTONG</v>
      </c>
      <c r="D952" s="186">
        <f>IFERROR(__xludf.DUMMYFUNCTION("""COMPUTED_VALUE"""),15.0)</f>
        <v>15</v>
      </c>
    </row>
    <row r="953">
      <c r="A953" s="178" t="str">
        <f>IFERROR(__xludf.DUMMYFUNCTION("""COMPUTED_VALUE"""),"ITBISA-7SEGMENT-CATHODE-RED-0.56-1BIT")</f>
        <v>ITBISA-7SEGMENT-CATHODE-RED-0.56-1BIT</v>
      </c>
      <c r="B953" s="266">
        <f>IFERROR(__xludf.DUMMYFUNCTION("""COMPUTED_VALUE"""),45725.0)</f>
        <v>45725</v>
      </c>
      <c r="C953" s="266" t="str">
        <f>IFERROR(__xludf.DUMMYFUNCTION("""COMPUTED_VALUE"""),"KERTASARI CIAMIS")</f>
        <v>KERTASARI CIAMIS</v>
      </c>
      <c r="D953" s="186">
        <f>IFERROR(__xludf.DUMMYFUNCTION("""COMPUTED_VALUE"""),15.0)</f>
        <v>15</v>
      </c>
    </row>
    <row r="954">
      <c r="A954" s="178" t="str">
        <f>IFERROR(__xludf.DUMMYFUNCTION("""COMPUTED_VALUE"""),"ITBISA-7SEGMENT-CATHODE-RED-0.56-1BIT")</f>
        <v>ITBISA-7SEGMENT-CATHODE-RED-0.56-1BIT</v>
      </c>
      <c r="B954" s="266">
        <f>IFERROR(__xludf.DUMMYFUNCTION("""COMPUTED_VALUE"""),45726.0)</f>
        <v>45726</v>
      </c>
      <c r="C954" s="266" t="str">
        <f>IFERROR(__xludf.DUMMYFUNCTION("""COMPUTED_VALUE"""),"KYAI KONTONG")</f>
        <v>KYAI KONTONG</v>
      </c>
      <c r="D954" s="186">
        <f>IFERROR(__xludf.DUMMYFUNCTION("""COMPUTED_VALUE"""),20.0)</f>
        <v>20</v>
      </c>
    </row>
    <row r="955">
      <c r="A955" s="178" t="str">
        <f>IFERROR(__xludf.DUMMYFUNCTION("""COMPUTED_VALUE"""),"ITBISA-7SEGMENT-CATHODE-RED-0.56-1BIT")</f>
        <v>ITBISA-7SEGMENT-CATHODE-RED-0.56-1BIT</v>
      </c>
      <c r="B955" s="266">
        <f>IFERROR(__xludf.DUMMYFUNCTION("""COMPUTED_VALUE"""),45727.0)</f>
        <v>45727</v>
      </c>
      <c r="C955" s="266" t="str">
        <f>IFERROR(__xludf.DUMMYFUNCTION("""COMPUTED_VALUE"""),"KERTASARI CIAMIS")</f>
        <v>KERTASARI CIAMIS</v>
      </c>
      <c r="D955" s="186">
        <f>IFERROR(__xludf.DUMMYFUNCTION("""COMPUTED_VALUE"""),50.0)</f>
        <v>50</v>
      </c>
    </row>
    <row r="956">
      <c r="A956" s="178" t="str">
        <f>IFERROR(__xludf.DUMMYFUNCTION("""COMPUTED_VALUE"""),"ITBISA-7SEGMENT-CATHODE-RED-0.56-1BIT")</f>
        <v>ITBISA-7SEGMENT-CATHODE-RED-0.56-1BIT</v>
      </c>
      <c r="B956" s="266">
        <f>IFERROR(__xludf.DUMMYFUNCTION("""COMPUTED_VALUE"""),45729.0)</f>
        <v>45729</v>
      </c>
      <c r="C956" s="266" t="str">
        <f>IFERROR(__xludf.DUMMYFUNCTION("""COMPUTED_VALUE"""),"KYAI KONTONG")</f>
        <v>KYAI KONTONG</v>
      </c>
      <c r="D956" s="186">
        <f>IFERROR(__xludf.DUMMYFUNCTION("""COMPUTED_VALUE"""),10.0)</f>
        <v>10</v>
      </c>
    </row>
    <row r="957">
      <c r="A957" s="178" t="str">
        <f>IFERROR(__xludf.DUMMYFUNCTION("""COMPUTED_VALUE"""),"ITBISA-7SEGMENT-CATHODE-RED-0.56-1BIT")</f>
        <v>ITBISA-7SEGMENT-CATHODE-RED-0.56-1BIT</v>
      </c>
      <c r="B957" s="266">
        <f>IFERROR(__xludf.DUMMYFUNCTION("""COMPUTED_VALUE"""),45733.0)</f>
        <v>45733</v>
      </c>
      <c r="C957" s="266" t="str">
        <f>IFERROR(__xludf.DUMMYFUNCTION("""COMPUTED_VALUE"""),"KERTASARI CIAMIS")</f>
        <v>KERTASARI CIAMIS</v>
      </c>
      <c r="D957" s="186">
        <f>IFERROR(__xludf.DUMMYFUNCTION("""COMPUTED_VALUE"""),100.0)</f>
        <v>100</v>
      </c>
    </row>
    <row r="958">
      <c r="A958" s="178" t="str">
        <f>IFERROR(__xludf.DUMMYFUNCTION("""COMPUTED_VALUE"""),"ITBISA-7SEGMENT-CATHODE-RED-0.56-1BIT")</f>
        <v>ITBISA-7SEGMENT-CATHODE-RED-0.56-1BIT</v>
      </c>
      <c r="B958" s="266">
        <f>IFERROR(__xludf.DUMMYFUNCTION("""COMPUTED_VALUE"""),45743.0)</f>
        <v>45743</v>
      </c>
      <c r="C958" s="266" t="str">
        <f>IFERROR(__xludf.DUMMYFUNCTION("""COMPUTED_VALUE"""),"KERTASARI CIAMIS")</f>
        <v>KERTASARI CIAMIS</v>
      </c>
      <c r="D958" s="186">
        <f>IFERROR(__xludf.DUMMYFUNCTION("""COMPUTED_VALUE"""),10.0)</f>
        <v>10</v>
      </c>
    </row>
    <row r="959">
      <c r="A959" s="178" t="str">
        <f>IFERROR(__xludf.DUMMYFUNCTION("""COMPUTED_VALUE"""),"ITBISA-7SEGMENT-CATHODE-RED-0.56-1BIT")</f>
        <v>ITBISA-7SEGMENT-CATHODE-RED-0.56-1BIT</v>
      </c>
      <c r="B959" s="266">
        <f>IFERROR(__xludf.DUMMYFUNCTION("""COMPUTED_VALUE"""),45750.0)</f>
        <v>45750</v>
      </c>
      <c r="C959" s="266" t="str">
        <f>IFERROR(__xludf.DUMMYFUNCTION("""COMPUTED_VALUE"""),"KERTASARI CIAMIS")</f>
        <v>KERTASARI CIAMIS</v>
      </c>
      <c r="D959" s="186">
        <f>IFERROR(__xludf.DUMMYFUNCTION("""COMPUTED_VALUE"""),10.0)</f>
        <v>10</v>
      </c>
    </row>
    <row r="960">
      <c r="A960" s="178" t="str">
        <f>IFERROR(__xludf.DUMMYFUNCTION("""COMPUTED_VALUE"""),"ITBISA-7SEGMENT-CATHODE-RED-0.56-1BIT")</f>
        <v>ITBISA-7SEGMENT-CATHODE-RED-0.56-1BIT</v>
      </c>
      <c r="B960" s="266">
        <f>IFERROR(__xludf.DUMMYFUNCTION("""COMPUTED_VALUE"""),45752.0)</f>
        <v>45752</v>
      </c>
      <c r="C960" s="266" t="str">
        <f>IFERROR(__xludf.DUMMYFUNCTION("""COMPUTED_VALUE"""),"KERTASARI CIAMIS")</f>
        <v>KERTASARI CIAMIS</v>
      </c>
      <c r="D960" s="186">
        <f>IFERROR(__xludf.DUMMYFUNCTION("""COMPUTED_VALUE"""),10.0)</f>
        <v>10</v>
      </c>
    </row>
    <row r="961">
      <c r="A961" s="178" t="str">
        <f>IFERROR(__xludf.DUMMYFUNCTION("""COMPUTED_VALUE"""),"ITBISA-7SEGMENT-CATHODE-RED-0.56-1BIT")</f>
        <v>ITBISA-7SEGMENT-CATHODE-RED-0.56-1BIT</v>
      </c>
      <c r="B961" s="266">
        <f>IFERROR(__xludf.DUMMYFUNCTION("""COMPUTED_VALUE"""),45753.0)</f>
        <v>45753</v>
      </c>
      <c r="C961" s="266" t="str">
        <f>IFERROR(__xludf.DUMMYFUNCTION("""COMPUTED_VALUE"""),"KERTASARI CIAMIS")</f>
        <v>KERTASARI CIAMIS</v>
      </c>
      <c r="D961" s="186">
        <f>IFERROR(__xludf.DUMMYFUNCTION("""COMPUTED_VALUE"""),10.0)</f>
        <v>10</v>
      </c>
    </row>
    <row r="962">
      <c r="A962" s="178" t="str">
        <f>IFERROR(__xludf.DUMMYFUNCTION("""COMPUTED_VALUE"""),"ITBISA-7SEGMENT-CATHODE-RED-0.56-1BIT")</f>
        <v>ITBISA-7SEGMENT-CATHODE-RED-0.56-1BIT</v>
      </c>
      <c r="B962" s="266">
        <f>IFERROR(__xludf.DUMMYFUNCTION("""COMPUTED_VALUE"""),45758.0)</f>
        <v>45758</v>
      </c>
      <c r="C962" s="266" t="str">
        <f>IFERROR(__xludf.DUMMYFUNCTION("""COMPUTED_VALUE"""),"KERTASARI CIAMIS")</f>
        <v>KERTASARI CIAMIS</v>
      </c>
      <c r="D962" s="186">
        <f>IFERROR(__xludf.DUMMYFUNCTION("""COMPUTED_VALUE"""),5.0)</f>
        <v>5</v>
      </c>
    </row>
    <row r="963">
      <c r="A963" s="178" t="str">
        <f>IFERROR(__xludf.DUMMYFUNCTION("""COMPUTED_VALUE"""),"ITBISA-7SEGMENT-CATHODE-RED-0.56-1BIT")</f>
        <v>ITBISA-7SEGMENT-CATHODE-RED-0.56-1BIT</v>
      </c>
      <c r="B963" s="266">
        <f>IFERROR(__xludf.DUMMYFUNCTION("""COMPUTED_VALUE"""),45770.0)</f>
        <v>45770</v>
      </c>
      <c r="C963" s="266" t="str">
        <f>IFERROR(__xludf.DUMMYFUNCTION("""COMPUTED_VALUE"""),"KERTASARI CIAMIS")</f>
        <v>KERTASARI CIAMIS</v>
      </c>
      <c r="D963" s="186">
        <f>IFERROR(__xludf.DUMMYFUNCTION("""COMPUTED_VALUE"""),100.0)</f>
        <v>100</v>
      </c>
    </row>
    <row r="964">
      <c r="A964" s="178" t="str">
        <f>IFERROR(__xludf.DUMMYFUNCTION("""COMPUTED_VALUE"""),"ITBISA-7SEGMENT-CATHODE-RED-0.56-1BIT")</f>
        <v>ITBISA-7SEGMENT-CATHODE-RED-0.56-1BIT</v>
      </c>
      <c r="B964" s="266">
        <f>IFERROR(__xludf.DUMMYFUNCTION("""COMPUTED_VALUE"""),45771.0)</f>
        <v>45771</v>
      </c>
      <c r="C964" s="266" t="str">
        <f>IFERROR(__xludf.DUMMYFUNCTION("""COMPUTED_VALUE"""),"KERTASARI CIAMIS")</f>
        <v>KERTASARI CIAMIS</v>
      </c>
      <c r="D964" s="186">
        <f>IFERROR(__xludf.DUMMYFUNCTION("""COMPUTED_VALUE"""),30.0)</f>
        <v>30</v>
      </c>
    </row>
    <row r="965">
      <c r="A965" s="178" t="str">
        <f>IFERROR(__xludf.DUMMYFUNCTION("""COMPUTED_VALUE"""),"ITBISA-7SEGMENT-CATHODE-RED-0.56-1BIT")</f>
        <v>ITBISA-7SEGMENT-CATHODE-RED-0.56-1BIT</v>
      </c>
      <c r="B965" s="266">
        <f>IFERROR(__xludf.DUMMYFUNCTION("""COMPUTED_VALUE"""),45772.0)</f>
        <v>45772</v>
      </c>
      <c r="C965" s="266" t="str">
        <f>IFERROR(__xludf.DUMMYFUNCTION("""COMPUTED_VALUE"""),"KYAI KONTONG")</f>
        <v>KYAI KONTONG</v>
      </c>
      <c r="D965" s="186">
        <f>IFERROR(__xludf.DUMMYFUNCTION("""COMPUTED_VALUE"""),20.0)</f>
        <v>20</v>
      </c>
    </row>
    <row r="966">
      <c r="A966" s="178" t="str">
        <f>IFERROR(__xludf.DUMMYFUNCTION("""COMPUTED_VALUE"""),"ITBISA-7SEGMENT-CATHODE-RED-0.56-1BIT")</f>
        <v>ITBISA-7SEGMENT-CATHODE-RED-0.56-1BIT</v>
      </c>
      <c r="B966" s="266">
        <f>IFERROR(__xludf.DUMMYFUNCTION("""COMPUTED_VALUE"""),45786.0)</f>
        <v>45786</v>
      </c>
      <c r="C966" s="266" t="str">
        <f>IFERROR(__xludf.DUMMYFUNCTION("""COMPUTED_VALUE"""),"KERTASARI CIAMIS")</f>
        <v>KERTASARI CIAMIS</v>
      </c>
      <c r="D966" s="186">
        <f>IFERROR(__xludf.DUMMYFUNCTION("""COMPUTED_VALUE"""),10.0)</f>
        <v>10</v>
      </c>
    </row>
    <row r="967">
      <c r="A967" s="178" t="str">
        <f>IFERROR(__xludf.DUMMYFUNCTION("""COMPUTED_VALUE"""),"ITBISA-7SEGMENT-CATHODE-RED-0.56-1BIT")</f>
        <v>ITBISA-7SEGMENT-CATHODE-RED-0.56-1BIT</v>
      </c>
      <c r="B967" s="266">
        <f>IFERROR(__xludf.DUMMYFUNCTION("""COMPUTED_VALUE"""),45790.0)</f>
        <v>45790</v>
      </c>
      <c r="C967" s="266" t="str">
        <f>IFERROR(__xludf.DUMMYFUNCTION("""COMPUTED_VALUE"""),"KERTASARI CIAMIS")</f>
        <v>KERTASARI CIAMIS</v>
      </c>
      <c r="D967" s="186">
        <f>IFERROR(__xludf.DUMMYFUNCTION("""COMPUTED_VALUE"""),10.0)</f>
        <v>10</v>
      </c>
    </row>
    <row r="968">
      <c r="A968" s="178" t="str">
        <f>IFERROR(__xludf.DUMMYFUNCTION("""COMPUTED_VALUE"""),"ITBISA-7SEGMENT-CATHODE-RED-0.56-1BIT")</f>
        <v>ITBISA-7SEGMENT-CATHODE-RED-0.56-1BIT</v>
      </c>
      <c r="B968" s="266">
        <f>IFERROR(__xludf.DUMMYFUNCTION("""COMPUTED_VALUE"""),45798.0)</f>
        <v>45798</v>
      </c>
      <c r="C968" s="266" t="str">
        <f>IFERROR(__xludf.DUMMYFUNCTION("""COMPUTED_VALUE"""),"KERTASARI CIAMIS")</f>
        <v>KERTASARI CIAMIS</v>
      </c>
      <c r="D968" s="186">
        <f>IFERROR(__xludf.DUMMYFUNCTION("""COMPUTED_VALUE"""),15.0)</f>
        <v>15</v>
      </c>
    </row>
    <row r="969">
      <c r="A969" s="178" t="str">
        <f>IFERROR(__xludf.DUMMYFUNCTION("""COMPUTED_VALUE"""),"ITBISA-7SEGMENT-CATHODE-RED-0.56-1BIT")</f>
        <v>ITBISA-7SEGMENT-CATHODE-RED-0.56-1BIT</v>
      </c>
      <c r="B969" s="266">
        <f>IFERROR(__xludf.DUMMYFUNCTION("""COMPUTED_VALUE"""),45798.0)</f>
        <v>45798</v>
      </c>
      <c r="C969" s="266" t="str">
        <f>IFERROR(__xludf.DUMMYFUNCTION("""COMPUTED_VALUE"""),"KERTASARI CIAMIS")</f>
        <v>KERTASARI CIAMIS</v>
      </c>
      <c r="D969" s="186">
        <f>IFERROR(__xludf.DUMMYFUNCTION("""COMPUTED_VALUE"""),100.0)</f>
        <v>100</v>
      </c>
    </row>
    <row r="970">
      <c r="A970" s="178" t="str">
        <f>IFERROR(__xludf.DUMMYFUNCTION("""COMPUTED_VALUE"""),"ITBISA-7SEGMENT-CATHODE-RED-0.56-1BIT")</f>
        <v>ITBISA-7SEGMENT-CATHODE-RED-0.56-1BIT</v>
      </c>
      <c r="B970" s="266">
        <f>IFERROR(__xludf.DUMMYFUNCTION("""COMPUTED_VALUE"""),45806.0)</f>
        <v>45806</v>
      </c>
      <c r="C970" s="266" t="str">
        <f>IFERROR(__xludf.DUMMYFUNCTION("""COMPUTED_VALUE"""),"KERTASARI CIAMIS")</f>
        <v>KERTASARI CIAMIS</v>
      </c>
      <c r="D970" s="186">
        <f>IFERROR(__xludf.DUMMYFUNCTION("""COMPUTED_VALUE"""),20.0)</f>
        <v>20</v>
      </c>
    </row>
    <row r="971">
      <c r="A971" s="178" t="str">
        <f>IFERROR(__xludf.DUMMYFUNCTION("""COMPUTED_VALUE"""),"ITBISA-7SEGMENT-CATHODE-RED-0.56-1BIT")</f>
        <v>ITBISA-7SEGMENT-CATHODE-RED-0.56-1BIT</v>
      </c>
      <c r="B971" s="266">
        <f>IFERROR(__xludf.DUMMYFUNCTION("""COMPUTED_VALUE"""),45807.0)</f>
        <v>45807</v>
      </c>
      <c r="C971" s="266" t="str">
        <f>IFERROR(__xludf.DUMMYFUNCTION("""COMPUTED_VALUE"""),"KERTASARI CIAMIS")</f>
        <v>KERTASARI CIAMIS</v>
      </c>
      <c r="D971" s="186">
        <f>IFERROR(__xludf.DUMMYFUNCTION("""COMPUTED_VALUE"""),300.0)</f>
        <v>300</v>
      </c>
    </row>
    <row r="972">
      <c r="A972" s="178" t="str">
        <f>IFERROR(__xludf.DUMMYFUNCTION("""COMPUTED_VALUE"""),"ITBISA-7SEGMENT-CATHODE-RED-0.56-1BIT")</f>
        <v>ITBISA-7SEGMENT-CATHODE-RED-0.56-1BIT</v>
      </c>
      <c r="B972" s="266">
        <f>IFERROR(__xludf.DUMMYFUNCTION("""COMPUTED_VALUE"""),45809.0)</f>
        <v>45809</v>
      </c>
      <c r="C972" s="266" t="str">
        <f>IFERROR(__xludf.DUMMYFUNCTION("""COMPUTED_VALUE"""),"KERTASARI CIAMIS")</f>
        <v>KERTASARI CIAMIS</v>
      </c>
      <c r="D972" s="186">
        <f>IFERROR(__xludf.DUMMYFUNCTION("""COMPUTED_VALUE"""),10.0)</f>
        <v>10</v>
      </c>
    </row>
    <row r="973">
      <c r="A973" s="178" t="str">
        <f>IFERROR(__xludf.DUMMYFUNCTION("""COMPUTED_VALUE"""),"ITBISA-7SEGMENT-CATHODE-RED-0.56-1BIT")</f>
        <v>ITBISA-7SEGMENT-CATHODE-RED-0.56-1BIT</v>
      </c>
      <c r="B973" s="266">
        <f>IFERROR(__xludf.DUMMYFUNCTION("""COMPUTED_VALUE"""),45814.0)</f>
        <v>45814</v>
      </c>
      <c r="C973" s="266" t="str">
        <f>IFERROR(__xludf.DUMMYFUNCTION("""COMPUTED_VALUE"""),"KERTASARI CIAMIS")</f>
        <v>KERTASARI CIAMIS</v>
      </c>
      <c r="D973" s="186">
        <f>IFERROR(__xludf.DUMMYFUNCTION("""COMPUTED_VALUE"""),50.0)</f>
        <v>50</v>
      </c>
    </row>
    <row r="974">
      <c r="A974" s="178" t="str">
        <f>IFERROR(__xludf.DUMMYFUNCTION("""COMPUTED_VALUE"""),"ITBISA-7SEGMENT-CATHODE-RED-0.56-1BIT")</f>
        <v>ITBISA-7SEGMENT-CATHODE-RED-0.56-1BIT</v>
      </c>
      <c r="B974" s="266">
        <f>IFERROR(__xludf.DUMMYFUNCTION("""COMPUTED_VALUE"""),45815.0)</f>
        <v>45815</v>
      </c>
      <c r="C974" s="266" t="str">
        <f>IFERROR(__xludf.DUMMYFUNCTION("""COMPUTED_VALUE"""),"KERTASARI CIAMIS")</f>
        <v>KERTASARI CIAMIS</v>
      </c>
      <c r="D974" s="186">
        <f>IFERROR(__xludf.DUMMYFUNCTION("""COMPUTED_VALUE"""),3.0)</f>
        <v>3</v>
      </c>
    </row>
    <row r="975">
      <c r="A975" s="178" t="str">
        <f>IFERROR(__xludf.DUMMYFUNCTION("""COMPUTED_VALUE"""),"ITBISA-7SEGMENT-CATHODE-RED-0.56-1BIT")</f>
        <v>ITBISA-7SEGMENT-CATHODE-RED-0.56-1BIT</v>
      </c>
      <c r="B975" s="266">
        <f>IFERROR(__xludf.DUMMYFUNCTION("""COMPUTED_VALUE"""),45821.0)</f>
        <v>45821</v>
      </c>
      <c r="C975" s="266" t="str">
        <f>IFERROR(__xludf.DUMMYFUNCTION("""COMPUTED_VALUE"""),"KYAI KONTONG")</f>
        <v>KYAI KONTONG</v>
      </c>
      <c r="D975" s="186">
        <f>IFERROR(__xludf.DUMMYFUNCTION("""COMPUTED_VALUE"""),2.0)</f>
        <v>2</v>
      </c>
    </row>
    <row r="976">
      <c r="A976" s="178" t="str">
        <f>IFERROR(__xludf.DUMMYFUNCTION("""COMPUTED_VALUE"""),"ITBISA-7SEGMENT-CATHODE-RED-0.56-1BIT")</f>
        <v>ITBISA-7SEGMENT-CATHODE-RED-0.56-1BIT</v>
      </c>
      <c r="B976" s="266">
        <f>IFERROR(__xludf.DUMMYFUNCTION("""COMPUTED_VALUE"""),45824.0)</f>
        <v>45824</v>
      </c>
      <c r="C976" s="266" t="str">
        <f>IFERROR(__xludf.DUMMYFUNCTION("""COMPUTED_VALUE"""),"KERTASARI CIAMIS")</f>
        <v>KERTASARI CIAMIS</v>
      </c>
      <c r="D976" s="186">
        <f>IFERROR(__xludf.DUMMYFUNCTION("""COMPUTED_VALUE"""),50.0)</f>
        <v>50</v>
      </c>
    </row>
    <row r="977">
      <c r="A977" s="178" t="str">
        <f>IFERROR(__xludf.DUMMYFUNCTION("""COMPUTED_VALUE"""),"ITBISA-7SEGMENT-CATHODE-RED-0.56-1BIT")</f>
        <v>ITBISA-7SEGMENT-CATHODE-RED-0.56-1BIT</v>
      </c>
      <c r="B977" s="266">
        <f>IFERROR(__xludf.DUMMYFUNCTION("""COMPUTED_VALUE"""),45825.0)</f>
        <v>45825</v>
      </c>
      <c r="C977" s="266" t="str">
        <f>IFERROR(__xludf.DUMMYFUNCTION("""COMPUTED_VALUE"""),"KERTASARI CIAMIS")</f>
        <v>KERTASARI CIAMIS</v>
      </c>
      <c r="D977" s="186">
        <f>IFERROR(__xludf.DUMMYFUNCTION("""COMPUTED_VALUE"""),100.0)</f>
        <v>100</v>
      </c>
    </row>
    <row r="978">
      <c r="A978" s="178" t="str">
        <f>IFERROR(__xludf.DUMMYFUNCTION("""COMPUTED_VALUE"""),"ITBISA-7SEGMENT-CATHODE-RED-0.56-1BIT")</f>
        <v>ITBISA-7SEGMENT-CATHODE-RED-0.56-1BIT</v>
      </c>
      <c r="B978" s="266">
        <f>IFERROR(__xludf.DUMMYFUNCTION("""COMPUTED_VALUE"""),45834.0)</f>
        <v>45834</v>
      </c>
      <c r="C978" s="266" t="str">
        <f>IFERROR(__xludf.DUMMYFUNCTION("""COMPUTED_VALUE"""),"KERTASARI CIAMIS")</f>
        <v>KERTASARI CIAMIS</v>
      </c>
      <c r="D978" s="186">
        <f>IFERROR(__xludf.DUMMYFUNCTION("""COMPUTED_VALUE"""),10.0)</f>
        <v>10</v>
      </c>
    </row>
    <row r="979">
      <c r="A979" s="178" t="str">
        <f>IFERROR(__xludf.DUMMYFUNCTION("""COMPUTED_VALUE"""),"ITBISA-7SEGMENT-CATHODE-RED-0.56-1BIT")</f>
        <v>ITBISA-7SEGMENT-CATHODE-RED-0.56-1BIT</v>
      </c>
      <c r="B979" s="266">
        <f>IFERROR(__xludf.DUMMYFUNCTION("""COMPUTED_VALUE"""),45838.0)</f>
        <v>45838</v>
      </c>
      <c r="C979" s="266" t="str">
        <f>IFERROR(__xludf.DUMMYFUNCTION("""COMPUTED_VALUE"""),"KERTASARI CIAMIS")</f>
        <v>KERTASARI CIAMIS</v>
      </c>
      <c r="D979" s="186">
        <f>IFERROR(__xludf.DUMMYFUNCTION("""COMPUTED_VALUE"""),2.0)</f>
        <v>2</v>
      </c>
    </row>
    <row r="980">
      <c r="A980" s="178" t="str">
        <f>IFERROR(__xludf.DUMMYFUNCTION("""COMPUTED_VALUE"""),"ITBISA-7SEGMENT-CATHODE-RED-0.56-1BIT")</f>
        <v>ITBISA-7SEGMENT-CATHODE-RED-0.56-1BIT</v>
      </c>
      <c r="B980" s="266">
        <f>IFERROR(__xludf.DUMMYFUNCTION("""COMPUTED_VALUE"""),45840.0)</f>
        <v>45840</v>
      </c>
      <c r="C980" s="266" t="str">
        <f>IFERROR(__xludf.DUMMYFUNCTION("""COMPUTED_VALUE"""),"KERTASARI CIAMIS")</f>
        <v>KERTASARI CIAMIS</v>
      </c>
      <c r="D980" s="186">
        <f>IFERROR(__xludf.DUMMYFUNCTION("""COMPUTED_VALUE"""),100.0)</f>
        <v>100</v>
      </c>
    </row>
    <row r="981">
      <c r="A981" s="178" t="str">
        <f>IFERROR(__xludf.DUMMYFUNCTION("""COMPUTED_VALUE"""),"ITBISA-7SEGMENT-CATHODE-RED-0.56-1BIT")</f>
        <v>ITBISA-7SEGMENT-CATHODE-RED-0.56-1BIT</v>
      </c>
      <c r="B981" s="266">
        <f>IFERROR(__xludf.DUMMYFUNCTION("""COMPUTED_VALUE"""),45844.0)</f>
        <v>45844</v>
      </c>
      <c r="C981" s="266" t="str">
        <f>IFERROR(__xludf.DUMMYFUNCTION("""COMPUTED_VALUE"""),"KERTASARI CIAMIS")</f>
        <v>KERTASARI CIAMIS</v>
      </c>
      <c r="D981" s="186">
        <f>IFERROR(__xludf.DUMMYFUNCTION("""COMPUTED_VALUE"""),30.0)</f>
        <v>30</v>
      </c>
    </row>
    <row r="982">
      <c r="A982" s="178" t="str">
        <f>IFERROR(__xludf.DUMMYFUNCTION("""COMPUTED_VALUE"""),"ITBISA-7SEGMENT-CATHODE-RED-0.56-1BIT")</f>
        <v>ITBISA-7SEGMENT-CATHODE-RED-0.56-1BIT</v>
      </c>
      <c r="B982" s="266">
        <f>IFERROR(__xludf.DUMMYFUNCTION("""COMPUTED_VALUE"""),45869.0)</f>
        <v>45869</v>
      </c>
      <c r="C982" s="266" t="str">
        <f>IFERROR(__xludf.DUMMYFUNCTION("""COMPUTED_VALUE"""),"KERTASARI CIAMIS")</f>
        <v>KERTASARI CIAMIS</v>
      </c>
      <c r="D982" s="186">
        <f>IFERROR(__xludf.DUMMYFUNCTION("""COMPUTED_VALUE"""),10.0)</f>
        <v>10</v>
      </c>
    </row>
    <row r="983">
      <c r="A983" s="178" t="str">
        <f>IFERROR(__xludf.DUMMYFUNCTION("""COMPUTED_VALUE"""),"ITBISA-7SEGMENT-CATHODE-RED-0.56-1BIT")</f>
        <v>ITBISA-7SEGMENT-CATHODE-RED-0.56-1BIT</v>
      </c>
      <c r="B983" s="266">
        <f>IFERROR(__xludf.DUMMYFUNCTION("""COMPUTED_VALUE"""),45878.0)</f>
        <v>45878</v>
      </c>
      <c r="C983" s="266" t="str">
        <f>IFERROR(__xludf.DUMMYFUNCTION("""COMPUTED_VALUE"""),"KERTASARI CIAMIS")</f>
        <v>KERTASARI CIAMIS</v>
      </c>
      <c r="D983" s="186">
        <f>IFERROR(__xludf.DUMMYFUNCTION("""COMPUTED_VALUE"""),10.0)</f>
        <v>10</v>
      </c>
    </row>
    <row r="984">
      <c r="A984" s="178" t="str">
        <f>IFERROR(__xludf.DUMMYFUNCTION("""COMPUTED_VALUE"""),"ITBISA-7SEGMENT-CATHODE-RED-0.56-1BIT")</f>
        <v>ITBISA-7SEGMENT-CATHODE-RED-0.56-1BIT</v>
      </c>
      <c r="B984" s="266">
        <f>IFERROR(__xludf.DUMMYFUNCTION("""COMPUTED_VALUE"""),45880.0)</f>
        <v>45880</v>
      </c>
      <c r="C984" s="266" t="str">
        <f>IFERROR(__xludf.DUMMYFUNCTION("""COMPUTED_VALUE"""),"KERTASARI CIAMIS")</f>
        <v>KERTASARI CIAMIS</v>
      </c>
      <c r="D984" s="186">
        <f>IFERROR(__xludf.DUMMYFUNCTION("""COMPUTED_VALUE"""),100.0)</f>
        <v>100</v>
      </c>
    </row>
    <row r="985">
      <c r="A985" s="178" t="str">
        <f>IFERROR(__xludf.DUMMYFUNCTION("""COMPUTED_VALUE"""),"ITBISA-7SEGMENT-CATHODE-RED-0.56-1BIT")</f>
        <v>ITBISA-7SEGMENT-CATHODE-RED-0.56-1BIT</v>
      </c>
      <c r="B985" s="266">
        <f>IFERROR(__xludf.DUMMYFUNCTION("""COMPUTED_VALUE"""),45883.0)</f>
        <v>45883</v>
      </c>
      <c r="C985" s="266" t="str">
        <f>IFERROR(__xludf.DUMMYFUNCTION("""COMPUTED_VALUE"""),"KERTASARI CIAMIS")</f>
        <v>KERTASARI CIAMIS</v>
      </c>
      <c r="D985" s="186">
        <f>IFERROR(__xludf.DUMMYFUNCTION("""COMPUTED_VALUE"""),10.0)</f>
        <v>10</v>
      </c>
    </row>
    <row r="986">
      <c r="A986" s="178" t="str">
        <f>IFERROR(__xludf.DUMMYFUNCTION("""COMPUTED_VALUE"""),"ITBISA-7SEGMENT-CATHODE-RED-0.56-1BIT")</f>
        <v>ITBISA-7SEGMENT-CATHODE-RED-0.56-1BIT</v>
      </c>
      <c r="B986" s="266">
        <f>IFERROR(__xludf.DUMMYFUNCTION("""COMPUTED_VALUE"""),45887.0)</f>
        <v>45887</v>
      </c>
      <c r="C986" s="266" t="str">
        <f>IFERROR(__xludf.DUMMYFUNCTION("""COMPUTED_VALUE"""),"KERTASARI CIAMIS")</f>
        <v>KERTASARI CIAMIS</v>
      </c>
      <c r="D986" s="186">
        <f>IFERROR(__xludf.DUMMYFUNCTION("""COMPUTED_VALUE"""),4.0)</f>
        <v>4</v>
      </c>
    </row>
    <row r="987">
      <c r="A987" s="178" t="str">
        <f>IFERROR(__xludf.DUMMYFUNCTION("""COMPUTED_VALUE"""),"ITBISA-7SEGMENT-CATHODE-RED-0.56-1BIT")</f>
        <v>ITBISA-7SEGMENT-CATHODE-RED-0.56-1BIT</v>
      </c>
      <c r="B987" s="266">
        <f>IFERROR(__xludf.DUMMYFUNCTION("""COMPUTED_VALUE"""),45887.0)</f>
        <v>45887</v>
      </c>
      <c r="C987" s="266" t="str">
        <f>IFERROR(__xludf.DUMMYFUNCTION("""COMPUTED_VALUE"""),"KERTASARI CIAMIS")</f>
        <v>KERTASARI CIAMIS</v>
      </c>
      <c r="D987" s="186">
        <f>IFERROR(__xludf.DUMMYFUNCTION("""COMPUTED_VALUE"""),90.0)</f>
        <v>90</v>
      </c>
    </row>
    <row r="988">
      <c r="A988" s="178" t="str">
        <f>IFERROR(__xludf.DUMMYFUNCTION("""COMPUTED_VALUE"""),"ITBISA-7SEGMENT-CATHODE-RED-0.56-1BIT")</f>
        <v>ITBISA-7SEGMENT-CATHODE-RED-0.56-1BIT</v>
      </c>
      <c r="B988" s="266">
        <f>IFERROR(__xludf.DUMMYFUNCTION("""COMPUTED_VALUE"""),45888.0)</f>
        <v>45888</v>
      </c>
      <c r="C988" s="266" t="str">
        <f>IFERROR(__xludf.DUMMYFUNCTION("""COMPUTED_VALUE"""),"KERTASARI CIAMIS")</f>
        <v>KERTASARI CIAMIS</v>
      </c>
      <c r="D988" s="186">
        <f>IFERROR(__xludf.DUMMYFUNCTION("""COMPUTED_VALUE"""),2.0)</f>
        <v>2</v>
      </c>
    </row>
    <row r="989">
      <c r="A989" s="178" t="str">
        <f>IFERROR(__xludf.DUMMYFUNCTION("""COMPUTED_VALUE"""),"ITBISA-7SEGMENT-CATHODE-RED-0.56-1BIT")</f>
        <v>ITBISA-7SEGMENT-CATHODE-RED-0.56-1BIT</v>
      </c>
      <c r="B989" s="266">
        <f>IFERROR(__xludf.DUMMYFUNCTION("""COMPUTED_VALUE"""),45896.0)</f>
        <v>45896</v>
      </c>
      <c r="C989" s="266" t="str">
        <f>IFERROR(__xludf.DUMMYFUNCTION("""COMPUTED_VALUE"""),"KERTASARI CIAMIS")</f>
        <v>KERTASARI CIAMIS</v>
      </c>
      <c r="D989" s="186">
        <f>IFERROR(__xludf.DUMMYFUNCTION("""COMPUTED_VALUE"""),5.0)</f>
        <v>5</v>
      </c>
    </row>
    <row r="990">
      <c r="A990" s="178" t="str">
        <f>IFERROR(__xludf.DUMMYFUNCTION("""COMPUTED_VALUE"""),"ITBISA-7SEGMENT-CATHODE-RED-0.56-1BIT")</f>
        <v>ITBISA-7SEGMENT-CATHODE-RED-0.56-1BIT</v>
      </c>
      <c r="B990" s="266">
        <f>IFERROR(__xludf.DUMMYFUNCTION("""COMPUTED_VALUE"""),45900.0)</f>
        <v>45900</v>
      </c>
      <c r="C990" s="266" t="str">
        <f>IFERROR(__xludf.DUMMYFUNCTION("""COMPUTED_VALUE"""),"KERTASARI CIAMIS")</f>
        <v>KERTASARI CIAMIS</v>
      </c>
      <c r="D990" s="186">
        <f>IFERROR(__xludf.DUMMYFUNCTION("""COMPUTED_VALUE"""),2.0)</f>
        <v>2</v>
      </c>
    </row>
    <row r="991">
      <c r="A991" s="178" t="str">
        <f>IFERROR(__xludf.DUMMYFUNCTION("""COMPUTED_VALUE"""),"ITBISA-7SEGMENT-CATHODE-RED-0.56-1BIT")</f>
        <v>ITBISA-7SEGMENT-CATHODE-RED-0.56-1BIT</v>
      </c>
      <c r="B991" s="266">
        <f>IFERROR(__xludf.DUMMYFUNCTION("""COMPUTED_VALUE"""),45901.0)</f>
        <v>45901</v>
      </c>
      <c r="C991" s="266" t="str">
        <f>IFERROR(__xludf.DUMMYFUNCTION("""COMPUTED_VALUE"""),"KERTASARI CIAMIS")</f>
        <v>KERTASARI CIAMIS</v>
      </c>
      <c r="D991" s="186">
        <f>IFERROR(__xludf.DUMMYFUNCTION("""COMPUTED_VALUE"""),12.0)</f>
        <v>12</v>
      </c>
    </row>
    <row r="992">
      <c r="A992" s="178" t="str">
        <f>IFERROR(__xludf.DUMMYFUNCTION("""COMPUTED_VALUE"""),"ITBISA-7SEGMENT-CATHODE-RED-0.56-1BIT")</f>
        <v>ITBISA-7SEGMENT-CATHODE-RED-0.56-1BIT</v>
      </c>
      <c r="B992" s="266">
        <f>IFERROR(__xludf.DUMMYFUNCTION("""COMPUTED_VALUE"""),45905.0)</f>
        <v>45905</v>
      </c>
      <c r="C992" s="266" t="str">
        <f>IFERROR(__xludf.DUMMYFUNCTION("""COMPUTED_VALUE"""),"KERTASARI CIAMIS")</f>
        <v>KERTASARI CIAMIS</v>
      </c>
      <c r="D992" s="186">
        <f>IFERROR(__xludf.DUMMYFUNCTION("""COMPUTED_VALUE"""),50.0)</f>
        <v>50</v>
      </c>
    </row>
    <row r="993">
      <c r="A993" s="178" t="str">
        <f>IFERROR(__xludf.DUMMYFUNCTION("""COMPUTED_VALUE"""),"ITBISA-7SEGMENT-CATHODE-RED-0.56-1BIT")</f>
        <v>ITBISA-7SEGMENT-CATHODE-RED-0.56-1BIT</v>
      </c>
      <c r="B993" s="266">
        <f>IFERROR(__xludf.DUMMYFUNCTION("""COMPUTED_VALUE"""),45906.0)</f>
        <v>45906</v>
      </c>
      <c r="C993" s="266" t="str">
        <f>IFERROR(__xludf.DUMMYFUNCTION("""COMPUTED_VALUE"""),"KERTASARI CIAMIS")</f>
        <v>KERTASARI CIAMIS</v>
      </c>
      <c r="D993" s="186">
        <f>IFERROR(__xludf.DUMMYFUNCTION("""COMPUTED_VALUE"""),8.0)</f>
        <v>8</v>
      </c>
    </row>
    <row r="994">
      <c r="A994" s="178" t="str">
        <f>IFERROR(__xludf.DUMMYFUNCTION("""COMPUTED_VALUE"""),"ITBISA-7SEGMENT-CATHODE-RED-0.56-1BIT")</f>
        <v>ITBISA-7SEGMENT-CATHODE-RED-0.56-1BIT</v>
      </c>
      <c r="B994" s="266">
        <f>IFERROR(__xludf.DUMMYFUNCTION("""COMPUTED_VALUE"""),45908.0)</f>
        <v>45908</v>
      </c>
      <c r="C994" s="266" t="str">
        <f>IFERROR(__xludf.DUMMYFUNCTION("""COMPUTED_VALUE"""),"KERTASARI CIAMIS")</f>
        <v>KERTASARI CIAMIS</v>
      </c>
      <c r="D994" s="186">
        <f>IFERROR(__xludf.DUMMYFUNCTION("""COMPUTED_VALUE"""),4.0)</f>
        <v>4</v>
      </c>
    </row>
    <row r="995">
      <c r="A995" s="178" t="str">
        <f>IFERROR(__xludf.DUMMYFUNCTION("""COMPUTED_VALUE"""),"ITBISA-7SEGMENT-CATHODE-RED-0.56-1BIT")</f>
        <v>ITBISA-7SEGMENT-CATHODE-RED-0.56-1BIT</v>
      </c>
      <c r="B995" s="266">
        <f>IFERROR(__xludf.DUMMYFUNCTION("""COMPUTED_VALUE"""),45909.0)</f>
        <v>45909</v>
      </c>
      <c r="C995" s="266" t="str">
        <f>IFERROR(__xludf.DUMMYFUNCTION("""COMPUTED_VALUE"""),"KYAI KONTONG")</f>
        <v>KYAI KONTONG</v>
      </c>
      <c r="D995" s="186">
        <f>IFERROR(__xludf.DUMMYFUNCTION("""COMPUTED_VALUE"""),6.0)</f>
        <v>6</v>
      </c>
    </row>
    <row r="996">
      <c r="A996" s="178" t="str">
        <f>IFERROR(__xludf.DUMMYFUNCTION("""COMPUTED_VALUE"""),"ITBISA-7SEGMENT-CATHODE-RED-0.56-1BIT")</f>
        <v>ITBISA-7SEGMENT-CATHODE-RED-0.56-1BIT</v>
      </c>
      <c r="B996" s="266">
        <f>IFERROR(__xludf.DUMMYFUNCTION("""COMPUTED_VALUE"""),45910.0)</f>
        <v>45910</v>
      </c>
      <c r="C996" s="266" t="str">
        <f>IFERROR(__xludf.DUMMYFUNCTION("""COMPUTED_VALUE"""),"KERTASARI CIAMIS")</f>
        <v>KERTASARI CIAMIS</v>
      </c>
      <c r="D996" s="186">
        <f>IFERROR(__xludf.DUMMYFUNCTION("""COMPUTED_VALUE"""),2.0)</f>
        <v>2</v>
      </c>
    </row>
    <row r="997">
      <c r="A997" s="178" t="str">
        <f>IFERROR(__xludf.DUMMYFUNCTION("""COMPUTED_VALUE"""),"ITBISA-7SEGMENT-CATHODE-RED-0.56-1BIT")</f>
        <v>ITBISA-7SEGMENT-CATHODE-RED-0.56-1BIT</v>
      </c>
      <c r="B997" s="266">
        <f>IFERROR(__xludf.DUMMYFUNCTION("""COMPUTED_VALUE"""),45912.0)</f>
        <v>45912</v>
      </c>
      <c r="C997" s="266" t="str">
        <f>IFERROR(__xludf.DUMMYFUNCTION("""COMPUTED_VALUE"""),"KERTASARI CIAMIS")</f>
        <v>KERTASARI CIAMIS</v>
      </c>
      <c r="D997" s="186">
        <f>IFERROR(__xludf.DUMMYFUNCTION("""COMPUTED_VALUE"""),100.0)</f>
        <v>100</v>
      </c>
    </row>
    <row r="998">
      <c r="A998" s="178" t="str">
        <f>IFERROR(__xludf.DUMMYFUNCTION("""COMPUTED_VALUE"""),"ITBISA-7SEGMENT-CATHODE-RED-0.56-1BIT")</f>
        <v>ITBISA-7SEGMENT-CATHODE-RED-0.56-1BIT</v>
      </c>
      <c r="B998" s="266">
        <f>IFERROR(__xludf.DUMMYFUNCTION("""COMPUTED_VALUE"""),45917.0)</f>
        <v>45917</v>
      </c>
      <c r="C998" s="266" t="str">
        <f>IFERROR(__xludf.DUMMYFUNCTION("""COMPUTED_VALUE"""),"KERTASARI CIAMIS")</f>
        <v>KERTASARI CIAMIS</v>
      </c>
      <c r="D998" s="186">
        <f>IFERROR(__xludf.DUMMYFUNCTION("""COMPUTED_VALUE"""),5.0)</f>
        <v>5</v>
      </c>
    </row>
    <row r="999">
      <c r="A999" s="178" t="str">
        <f>IFERROR(__xludf.DUMMYFUNCTION("""COMPUTED_VALUE"""),"ITBISA-7SEGMENT-CATHODE-RED-0.56-1BIT")</f>
        <v>ITBISA-7SEGMENT-CATHODE-RED-0.56-1BIT</v>
      </c>
      <c r="B999" s="266">
        <f>IFERROR(__xludf.DUMMYFUNCTION("""COMPUTED_VALUE"""),45917.0)</f>
        <v>45917</v>
      </c>
      <c r="C999" s="266" t="str">
        <f>IFERROR(__xludf.DUMMYFUNCTION("""COMPUTED_VALUE"""),"KERTASARI CIAMIS")</f>
        <v>KERTASARI CIAMIS</v>
      </c>
      <c r="D999" s="186">
        <f>IFERROR(__xludf.DUMMYFUNCTION("""COMPUTED_VALUE"""),100.0)</f>
        <v>100</v>
      </c>
    </row>
    <row r="1000">
      <c r="A1000" s="178" t="str">
        <f>IFERROR(__xludf.DUMMYFUNCTION("""COMPUTED_VALUE"""),"ITBISA-7SEGMENT-CATHODE-RED-0.56-1BIT")</f>
        <v>ITBISA-7SEGMENT-CATHODE-RED-0.56-1BIT</v>
      </c>
      <c r="B1000" s="266">
        <f>IFERROR(__xludf.DUMMYFUNCTION("""COMPUTED_VALUE"""),45917.0)</f>
        <v>45917</v>
      </c>
      <c r="C1000" s="266" t="str">
        <f>IFERROR(__xludf.DUMMYFUNCTION("""COMPUTED_VALUE"""),"KERTASARI CIAMIS")</f>
        <v>KERTASARI CIAMIS</v>
      </c>
      <c r="D1000" s="186">
        <f>IFERROR(__xludf.DUMMYFUNCTION("""COMPUTED_VALUE"""),100.0)</f>
        <v>100</v>
      </c>
    </row>
    <row r="1001">
      <c r="A1001" s="178" t="str">
        <f>IFERROR(__xludf.DUMMYFUNCTION("""COMPUTED_VALUE"""),"ITBISA-7SEGMENT-CATHODE-RED-0.56-1BIT")</f>
        <v>ITBISA-7SEGMENT-CATHODE-RED-0.56-1BIT</v>
      </c>
      <c r="B1001" s="266">
        <f>IFERROR(__xludf.DUMMYFUNCTION("""COMPUTED_VALUE"""),45918.0)</f>
        <v>45918</v>
      </c>
      <c r="C1001" s="266" t="str">
        <f>IFERROR(__xludf.DUMMYFUNCTION("""COMPUTED_VALUE"""),"KERTASARI CIAMIS")</f>
        <v>KERTASARI CIAMIS</v>
      </c>
      <c r="D1001" s="186">
        <f>IFERROR(__xludf.DUMMYFUNCTION("""COMPUTED_VALUE"""),5.0)</f>
        <v>5</v>
      </c>
    </row>
    <row r="1002">
      <c r="A1002" s="178" t="str">
        <f>IFERROR(__xludf.DUMMYFUNCTION("""COMPUTED_VALUE"""),"ITBISA-7SEGMENT-CATHODE-RED-0.56-1BIT")</f>
        <v>ITBISA-7SEGMENT-CATHODE-RED-0.56-1BIT</v>
      </c>
      <c r="B1002" s="266">
        <f>IFERROR(__xludf.DUMMYFUNCTION("""COMPUTED_VALUE"""),45929.0)</f>
        <v>45929</v>
      </c>
      <c r="C1002" s="266" t="str">
        <f>IFERROR(__xludf.DUMMYFUNCTION("""COMPUTED_VALUE"""),"KYAI KONTONG")</f>
        <v>KYAI KONTONG</v>
      </c>
      <c r="D1002" s="186">
        <f>IFERROR(__xludf.DUMMYFUNCTION("""COMPUTED_VALUE"""),5.0)</f>
        <v>5</v>
      </c>
    </row>
    <row r="1003">
      <c r="A1003" s="178" t="str">
        <f>IFERROR(__xludf.DUMMYFUNCTION("""COMPUTED_VALUE"""),"ITBISA-7SEGMENT-CATHODE-RED-0.56-1BIT")</f>
        <v>ITBISA-7SEGMENT-CATHODE-RED-0.56-1BIT</v>
      </c>
      <c r="B1003" s="266">
        <f>IFERROR(__xludf.DUMMYFUNCTION("""COMPUTED_VALUE"""),45934.0)</f>
        <v>45934</v>
      </c>
      <c r="C1003" s="266" t="str">
        <f>IFERROR(__xludf.DUMMYFUNCTION("""COMPUTED_VALUE"""),"KERTASARI CIAMIS")</f>
        <v>KERTASARI CIAMIS</v>
      </c>
      <c r="D1003" s="186">
        <f>IFERROR(__xludf.DUMMYFUNCTION("""COMPUTED_VALUE"""),15.0)</f>
        <v>15</v>
      </c>
    </row>
    <row r="1004">
      <c r="A1004" s="178" t="str">
        <f>IFERROR(__xludf.DUMMYFUNCTION("""COMPUTED_VALUE"""),"ITBISA-7SEGMENT-CATHODE-RED-0.56-1BIT")</f>
        <v>ITBISA-7SEGMENT-CATHODE-RED-0.56-1BIT</v>
      </c>
      <c r="B1004" s="266">
        <f>IFERROR(__xludf.DUMMYFUNCTION("""COMPUTED_VALUE"""),45936.0)</f>
        <v>45936</v>
      </c>
      <c r="C1004" s="266" t="str">
        <f>IFERROR(__xludf.DUMMYFUNCTION("""COMPUTED_VALUE"""),"KERTASARI CIAMIS")</f>
        <v>KERTASARI CIAMIS</v>
      </c>
      <c r="D1004" s="186">
        <f>IFERROR(__xludf.DUMMYFUNCTION("""COMPUTED_VALUE"""),2.0)</f>
        <v>2</v>
      </c>
    </row>
    <row r="1005">
      <c r="A1005" s="178" t="str">
        <f>IFERROR(__xludf.DUMMYFUNCTION("""COMPUTED_VALUE"""),"ITBISA-7SEGMENT-CATHODE-RED-0.56-1BIT")</f>
        <v>ITBISA-7SEGMENT-CATHODE-RED-0.56-1BIT</v>
      </c>
      <c r="B1005" s="266">
        <f>IFERROR(__xludf.DUMMYFUNCTION("""COMPUTED_VALUE"""),45938.0)</f>
        <v>45938</v>
      </c>
      <c r="C1005" s="266" t="str">
        <f>IFERROR(__xludf.DUMMYFUNCTION("""COMPUTED_VALUE"""),"KERTASARI CIAMIS")</f>
        <v>KERTASARI CIAMIS</v>
      </c>
      <c r="D1005" s="186">
        <f>IFERROR(__xludf.DUMMYFUNCTION("""COMPUTED_VALUE"""),10.0)</f>
        <v>10</v>
      </c>
    </row>
    <row r="1006">
      <c r="A1006" s="178" t="str">
        <f>IFERROR(__xludf.DUMMYFUNCTION("""COMPUTED_VALUE"""),"ITBISA-7SEGMENT-CATHODE-RED-0.56-1BIT")</f>
        <v>ITBISA-7SEGMENT-CATHODE-RED-0.56-1BIT</v>
      </c>
      <c r="B1006" s="266">
        <f>IFERROR(__xludf.DUMMYFUNCTION("""COMPUTED_VALUE"""),45939.0)</f>
        <v>45939</v>
      </c>
      <c r="C1006" s="266" t="str">
        <f>IFERROR(__xludf.DUMMYFUNCTION("""COMPUTED_VALUE"""),"KERTASARI CIAMIS")</f>
        <v>KERTASARI CIAMIS</v>
      </c>
      <c r="D1006" s="186">
        <f>IFERROR(__xludf.DUMMYFUNCTION("""COMPUTED_VALUE"""),330.0)</f>
        <v>330</v>
      </c>
    </row>
    <row r="1007">
      <c r="A1007" s="178" t="str">
        <f>IFERROR(__xludf.DUMMYFUNCTION("""COMPUTED_VALUE"""),"ITBISA-7SEGMENT-CATHODE-RED-0.56-1BIT")</f>
        <v>ITBISA-7SEGMENT-CATHODE-RED-0.56-1BIT</v>
      </c>
      <c r="B1007" s="266">
        <f>IFERROR(__xludf.DUMMYFUNCTION("""COMPUTED_VALUE"""),45939.0)</f>
        <v>45939</v>
      </c>
      <c r="C1007" s="266" t="str">
        <f>IFERROR(__xludf.DUMMYFUNCTION("""COMPUTED_VALUE"""),"KYAI KONTONG")</f>
        <v>KYAI KONTONG</v>
      </c>
      <c r="D1007" s="186">
        <f>IFERROR(__xludf.DUMMYFUNCTION("""COMPUTED_VALUE"""),5.0)</f>
        <v>5</v>
      </c>
    </row>
    <row r="1008">
      <c r="A1008" s="178" t="str">
        <f>IFERROR(__xludf.DUMMYFUNCTION("""COMPUTED_VALUE"""),"ITBISA-7SEGMENT-CATHODE-RED-0.56-1BIT")</f>
        <v>ITBISA-7SEGMENT-CATHODE-RED-0.56-1BIT</v>
      </c>
      <c r="B1008" s="266">
        <f>IFERROR(__xludf.DUMMYFUNCTION("""COMPUTED_VALUE"""),45939.0)</f>
        <v>45939</v>
      </c>
      <c r="C1008" s="266" t="str">
        <f>IFERROR(__xludf.DUMMYFUNCTION("""COMPUTED_VALUE"""),"KYAI KONTONG")</f>
        <v>KYAI KONTONG</v>
      </c>
      <c r="D1008" s="186">
        <f>IFERROR(__xludf.DUMMYFUNCTION("""COMPUTED_VALUE"""),100.0)</f>
        <v>100</v>
      </c>
    </row>
    <row r="1009">
      <c r="A1009" s="178" t="str">
        <f>IFERROR(__xludf.DUMMYFUNCTION("""COMPUTED_VALUE"""),"ITBISA-7SEGMENT-CATHODE-RED-0.56-1BIT")</f>
        <v>ITBISA-7SEGMENT-CATHODE-RED-0.56-1BIT</v>
      </c>
      <c r="B1009" s="266">
        <f>IFERROR(__xludf.DUMMYFUNCTION("""COMPUTED_VALUE"""),45942.0)</f>
        <v>45942</v>
      </c>
      <c r="C1009" s="266" t="str">
        <f>IFERROR(__xludf.DUMMYFUNCTION("""COMPUTED_VALUE"""),"KYAI KONTONG")</f>
        <v>KYAI KONTONG</v>
      </c>
      <c r="D1009" s="186">
        <f>IFERROR(__xludf.DUMMYFUNCTION("""COMPUTED_VALUE"""),5.0)</f>
        <v>5</v>
      </c>
    </row>
    <row r="1010">
      <c r="A1010" s="178" t="str">
        <f>IFERROR(__xludf.DUMMYFUNCTION("""COMPUTED_VALUE"""),"ITBISA-7SEGMENT-CATHODE-RED-0.56-1BIT")</f>
        <v>ITBISA-7SEGMENT-CATHODE-RED-0.56-1BIT</v>
      </c>
      <c r="B1010" s="266">
        <f>IFERROR(__xludf.DUMMYFUNCTION("""COMPUTED_VALUE"""),45946.0)</f>
        <v>45946</v>
      </c>
      <c r="C1010" s="266" t="str">
        <f>IFERROR(__xludf.DUMMYFUNCTION("""COMPUTED_VALUE"""),"KYAI KONTONG")</f>
        <v>KYAI KONTONG</v>
      </c>
      <c r="D1010" s="186">
        <f>IFERROR(__xludf.DUMMYFUNCTION("""COMPUTED_VALUE"""),10.0)</f>
        <v>10</v>
      </c>
    </row>
    <row r="1011">
      <c r="A1011" s="178" t="str">
        <f>IFERROR(__xludf.DUMMYFUNCTION("""COMPUTED_VALUE"""),"ITBISA-7SEGMENT-CATHODE-RED-0.56-1BIT")</f>
        <v>ITBISA-7SEGMENT-CATHODE-RED-0.56-1BIT</v>
      </c>
      <c r="B1011" s="266">
        <f>IFERROR(__xludf.DUMMYFUNCTION("""COMPUTED_VALUE"""),45947.0)</f>
        <v>45947</v>
      </c>
      <c r="C1011" s="266" t="str">
        <f>IFERROR(__xludf.DUMMYFUNCTION("""COMPUTED_VALUE"""),"KYAI KONTONG")</f>
        <v>KYAI KONTONG</v>
      </c>
      <c r="D1011" s="186">
        <f>IFERROR(__xludf.DUMMYFUNCTION("""COMPUTED_VALUE"""),50.0)</f>
        <v>50</v>
      </c>
    </row>
    <row r="1012">
      <c r="A1012" s="178" t="str">
        <f>IFERROR(__xludf.DUMMYFUNCTION("""COMPUTED_VALUE"""),"ITBISA-7SEGMENT-CATHODE-RED-0.56-1BIT")</f>
        <v>ITBISA-7SEGMENT-CATHODE-RED-0.56-1BIT</v>
      </c>
      <c r="B1012" s="266">
        <f>IFERROR(__xludf.DUMMYFUNCTION("""COMPUTED_VALUE"""),45949.0)</f>
        <v>45949</v>
      </c>
      <c r="C1012" s="266" t="str">
        <f>IFERROR(__xludf.DUMMYFUNCTION("""COMPUTED_VALUE"""),"KYAI KONTONG")</f>
        <v>KYAI KONTONG</v>
      </c>
      <c r="D1012" s="186">
        <f>IFERROR(__xludf.DUMMYFUNCTION("""COMPUTED_VALUE"""),5.0)</f>
        <v>5</v>
      </c>
    </row>
    <row r="1013">
      <c r="A1013" s="178" t="str">
        <f>IFERROR(__xludf.DUMMYFUNCTION("""COMPUTED_VALUE"""),"ITBISA-7SEGMENT-CATHODE-RED-0.56-1BIT")</f>
        <v>ITBISA-7SEGMENT-CATHODE-RED-0.56-1BIT</v>
      </c>
      <c r="B1013" s="266">
        <f>IFERROR(__xludf.DUMMYFUNCTION("""COMPUTED_VALUE"""),45950.0)</f>
        <v>45950</v>
      </c>
      <c r="C1013" s="266" t="str">
        <f>IFERROR(__xludf.DUMMYFUNCTION("""COMPUTED_VALUE"""),"KERTASARI CIAMIS")</f>
        <v>KERTASARI CIAMIS</v>
      </c>
      <c r="D1013" s="186">
        <f>IFERROR(__xludf.DUMMYFUNCTION("""COMPUTED_VALUE"""),5.0)</f>
        <v>5</v>
      </c>
    </row>
    <row r="1014">
      <c r="A1014" s="178" t="str">
        <f>IFERROR(__xludf.DUMMYFUNCTION("""COMPUTED_VALUE"""),"ITBISA-7SEGMENT-CATHODE-RED-0.56-1BIT")</f>
        <v>ITBISA-7SEGMENT-CATHODE-RED-0.56-1BIT</v>
      </c>
      <c r="B1014" s="266">
        <f>IFERROR(__xludf.DUMMYFUNCTION("""COMPUTED_VALUE"""),45952.0)</f>
        <v>45952</v>
      </c>
      <c r="C1014" s="266" t="str">
        <f>IFERROR(__xludf.DUMMYFUNCTION("""COMPUTED_VALUE"""),"KYAI KONTONG")</f>
        <v>KYAI KONTONG</v>
      </c>
      <c r="D1014" s="186">
        <f>IFERROR(__xludf.DUMMYFUNCTION("""COMPUTED_VALUE"""),5.0)</f>
        <v>5</v>
      </c>
    </row>
    <row r="1015">
      <c r="A1015" s="178" t="str">
        <f>IFERROR(__xludf.DUMMYFUNCTION("""COMPUTED_VALUE"""),"ITBISA-7SEGMENT-CATHODE-RED-0.56-1BIT")</f>
        <v>ITBISA-7SEGMENT-CATHODE-RED-0.56-1BIT</v>
      </c>
      <c r="B1015" s="266">
        <f>IFERROR(__xludf.DUMMYFUNCTION("""COMPUTED_VALUE"""),45952.0)</f>
        <v>45952</v>
      </c>
      <c r="C1015" s="266" t="str">
        <f>IFERROR(__xludf.DUMMYFUNCTION("""COMPUTED_VALUE"""),"KYAI KONTONG")</f>
        <v>KYAI KONTONG</v>
      </c>
      <c r="D1015" s="186">
        <f>IFERROR(__xludf.DUMMYFUNCTION("""COMPUTED_VALUE"""),5.0)</f>
        <v>5</v>
      </c>
    </row>
    <row r="1016">
      <c r="A1016" s="178" t="str">
        <f>IFERROR(__xludf.DUMMYFUNCTION("""COMPUTED_VALUE"""),"ITBISA-7SEGMENT-CATHODE-RED-0.56-1BIT")</f>
        <v>ITBISA-7SEGMENT-CATHODE-RED-0.56-1BIT</v>
      </c>
      <c r="B1016" s="266">
        <f>IFERROR(__xludf.DUMMYFUNCTION("""COMPUTED_VALUE"""),45952.0)</f>
        <v>45952</v>
      </c>
      <c r="C1016" s="266" t="str">
        <f>IFERROR(__xludf.DUMMYFUNCTION("""COMPUTED_VALUE"""),"KYAI KONTONG")</f>
        <v>KYAI KONTONG</v>
      </c>
      <c r="D1016" s="186">
        <f>IFERROR(__xludf.DUMMYFUNCTION("""COMPUTED_VALUE"""),5.0)</f>
        <v>5</v>
      </c>
    </row>
    <row r="1017">
      <c r="A1017" s="178" t="str">
        <f>IFERROR(__xludf.DUMMYFUNCTION("""COMPUTED_VALUE"""),"ITBISA-7SEGMENT-CATHODE-RED-0.56-1BIT")</f>
        <v>ITBISA-7SEGMENT-CATHODE-RED-0.56-1BIT</v>
      </c>
      <c r="B1017" s="266">
        <f>IFERROR(__xludf.DUMMYFUNCTION("""COMPUTED_VALUE"""),45953.0)</f>
        <v>45953</v>
      </c>
      <c r="C1017" s="266" t="str">
        <f>IFERROR(__xludf.DUMMYFUNCTION("""COMPUTED_VALUE"""),"KYAI KONTONG")</f>
        <v>KYAI KONTONG</v>
      </c>
      <c r="D1017" s="186">
        <f>IFERROR(__xludf.DUMMYFUNCTION("""COMPUTED_VALUE"""),10.0)</f>
        <v>10</v>
      </c>
    </row>
    <row r="1018">
      <c r="A1018" s="178" t="str">
        <f>IFERROR(__xludf.DUMMYFUNCTION("""COMPUTED_VALUE"""),"ITBISA-7SEGMENT-CATHODE-RED-0.56-1BIT")</f>
        <v>ITBISA-7SEGMENT-CATHODE-RED-0.56-1BIT</v>
      </c>
      <c r="B1018" s="266">
        <f>IFERROR(__xludf.DUMMYFUNCTION("""COMPUTED_VALUE"""),45954.0)</f>
        <v>45954</v>
      </c>
      <c r="C1018" s="266" t="str">
        <f>IFERROR(__xludf.DUMMYFUNCTION("""COMPUTED_VALUE"""),"KYAI KONTONG")</f>
        <v>KYAI KONTONG</v>
      </c>
      <c r="D1018" s="186">
        <f>IFERROR(__xludf.DUMMYFUNCTION("""COMPUTED_VALUE"""),5.0)</f>
        <v>5</v>
      </c>
    </row>
    <row r="1019">
      <c r="A1019" s="178" t="str">
        <f>IFERROR(__xludf.DUMMYFUNCTION("""COMPUTED_VALUE"""),"ITBISA-7SEGMENT-CATHODE-RED-0.56-1BIT")</f>
        <v>ITBISA-7SEGMENT-CATHODE-RED-0.56-1BIT</v>
      </c>
      <c r="B1019" s="266">
        <f>IFERROR(__xludf.DUMMYFUNCTION("""COMPUTED_VALUE"""),45957.0)</f>
        <v>45957</v>
      </c>
      <c r="C1019" s="266" t="str">
        <f>IFERROR(__xludf.DUMMYFUNCTION("""COMPUTED_VALUE"""),"KERTASARI CIAMIS")</f>
        <v>KERTASARI CIAMIS</v>
      </c>
      <c r="D1019" s="186">
        <f>IFERROR(__xludf.DUMMYFUNCTION("""COMPUTED_VALUE"""),5.0)</f>
        <v>5</v>
      </c>
    </row>
    <row r="1020">
      <c r="A1020" s="178" t="str">
        <f>IFERROR(__xludf.DUMMYFUNCTION("""COMPUTED_VALUE"""),"ITBISA-7SEGMENT-CATHODE-RED-0.56-1BIT")</f>
        <v>ITBISA-7SEGMENT-CATHODE-RED-0.56-1BIT</v>
      </c>
      <c r="B1020" s="266">
        <f>IFERROR(__xludf.DUMMYFUNCTION("""COMPUTED_VALUE"""),45958.0)</f>
        <v>45958</v>
      </c>
      <c r="C1020" s="266" t="str">
        <f>IFERROR(__xludf.DUMMYFUNCTION("""COMPUTED_VALUE"""),"KYAI KONTONG")</f>
        <v>KYAI KONTONG</v>
      </c>
      <c r="D1020" s="186">
        <f>IFERROR(__xludf.DUMMYFUNCTION("""COMPUTED_VALUE"""),10.0)</f>
        <v>10</v>
      </c>
    </row>
    <row r="1021">
      <c r="A1021" s="178" t="str">
        <f>IFERROR(__xludf.DUMMYFUNCTION("""COMPUTED_VALUE"""),"ITBISA-7SEGMENT-CATHODE-RED-0.56-1BIT")</f>
        <v>ITBISA-7SEGMENT-CATHODE-RED-0.56-1BIT</v>
      </c>
      <c r="B1021" s="266">
        <f>IFERROR(__xludf.DUMMYFUNCTION("""COMPUTED_VALUE"""),45958.0)</f>
        <v>45958</v>
      </c>
      <c r="C1021" s="266" t="str">
        <f>IFERROR(__xludf.DUMMYFUNCTION("""COMPUTED_VALUE"""),"KYAI KONTONG")</f>
        <v>KYAI KONTONG</v>
      </c>
      <c r="D1021" s="186">
        <f>IFERROR(__xludf.DUMMYFUNCTION("""COMPUTED_VALUE"""),15.0)</f>
        <v>15</v>
      </c>
    </row>
    <row r="1022">
      <c r="A1022" s="178" t="str">
        <f>IFERROR(__xludf.DUMMYFUNCTION("""COMPUTED_VALUE"""),"ITBISA-7SEGMENT-CATHODE-RED-0.56-1BIT")</f>
        <v>ITBISA-7SEGMENT-CATHODE-RED-0.56-1BIT</v>
      </c>
      <c r="B1022" s="266">
        <f>IFERROR(__xludf.DUMMYFUNCTION("""COMPUTED_VALUE"""),45961.0)</f>
        <v>45961</v>
      </c>
      <c r="C1022" s="266" t="str">
        <f>IFERROR(__xludf.DUMMYFUNCTION("""COMPUTED_VALUE"""),"KERTASARI CIAMIS")</f>
        <v>KERTASARI CIAMIS</v>
      </c>
      <c r="D1022" s="186">
        <f>IFERROR(__xludf.DUMMYFUNCTION("""COMPUTED_VALUE"""),5.0)</f>
        <v>5</v>
      </c>
    </row>
    <row r="1023">
      <c r="A1023" s="178" t="str">
        <f>IFERROR(__xludf.DUMMYFUNCTION("""COMPUTED_VALUE"""),"ITBISA-7SEGMENT-CATHODE-RED-0.56-1BIT")</f>
        <v>ITBISA-7SEGMENT-CATHODE-RED-0.56-1BIT</v>
      </c>
      <c r="B1023" s="266">
        <f>IFERROR(__xludf.DUMMYFUNCTION("""COMPUTED_VALUE"""),45962.0)</f>
        <v>45962</v>
      </c>
      <c r="C1023" s="266" t="str">
        <f>IFERROR(__xludf.DUMMYFUNCTION("""COMPUTED_VALUE"""),"KERTASARI CIAMIS")</f>
        <v>KERTASARI CIAMIS</v>
      </c>
      <c r="D1023" s="186">
        <f>IFERROR(__xludf.DUMMYFUNCTION("""COMPUTED_VALUE"""),50.0)</f>
        <v>50</v>
      </c>
    </row>
    <row r="1024">
      <c r="A1024" s="178" t="str">
        <f>IFERROR(__xludf.DUMMYFUNCTION("""COMPUTED_VALUE"""),"ITBISA-7SEGMENT-CATHODE-RED-0.56-1BIT")</f>
        <v>ITBISA-7SEGMENT-CATHODE-RED-0.56-1BIT</v>
      </c>
      <c r="B1024" s="266">
        <f>IFERROR(__xludf.DUMMYFUNCTION("""COMPUTED_VALUE"""),45962.0)</f>
        <v>45962</v>
      </c>
      <c r="C1024" s="266" t="str">
        <f>IFERROR(__xludf.DUMMYFUNCTION("""COMPUTED_VALUE"""),"KYAI KONTONG")</f>
        <v>KYAI KONTONG</v>
      </c>
      <c r="D1024" s="186">
        <f>IFERROR(__xludf.DUMMYFUNCTION("""COMPUTED_VALUE"""),6.0)</f>
        <v>6</v>
      </c>
    </row>
    <row r="1025">
      <c r="A1025" s="178" t="str">
        <f>IFERROR(__xludf.DUMMYFUNCTION("""COMPUTED_VALUE"""),"ITBISA-7SEGMENT-CATHODE-RED-0.56-1BIT")</f>
        <v>ITBISA-7SEGMENT-CATHODE-RED-0.56-1BIT</v>
      </c>
      <c r="B1025" s="266">
        <f>IFERROR(__xludf.DUMMYFUNCTION("""COMPUTED_VALUE"""),45963.0)</f>
        <v>45963</v>
      </c>
      <c r="C1025" s="266" t="str">
        <f>IFERROR(__xludf.DUMMYFUNCTION("""COMPUTED_VALUE"""),"KYAI KONTONG")</f>
        <v>KYAI KONTONG</v>
      </c>
      <c r="D1025" s="186">
        <f>IFERROR(__xludf.DUMMYFUNCTION("""COMPUTED_VALUE"""),5.0)</f>
        <v>5</v>
      </c>
    </row>
    <row r="1026">
      <c r="A1026" s="178" t="str">
        <f>IFERROR(__xludf.DUMMYFUNCTION("""COMPUTED_VALUE"""),"ITBISA-7SEGMENT-CATHODE-RED-0.56-1BIT")</f>
        <v>ITBISA-7SEGMENT-CATHODE-RED-0.56-1BIT</v>
      </c>
      <c r="B1026" s="266">
        <f>IFERROR(__xludf.DUMMYFUNCTION("""COMPUTED_VALUE"""),45963.0)</f>
        <v>45963</v>
      </c>
      <c r="C1026" s="266" t="str">
        <f>IFERROR(__xludf.DUMMYFUNCTION("""COMPUTED_VALUE"""),"KYAI KONTONG")</f>
        <v>KYAI KONTONG</v>
      </c>
      <c r="D1026" s="186">
        <f>IFERROR(__xludf.DUMMYFUNCTION("""COMPUTED_VALUE"""),5.0)</f>
        <v>5</v>
      </c>
    </row>
    <row r="1027">
      <c r="A1027" s="178" t="str">
        <f>IFERROR(__xludf.DUMMYFUNCTION("""COMPUTED_VALUE"""),"ITBISA-7SEGMENT-CATHODE-RED-0.56-1BIT")</f>
        <v>ITBISA-7SEGMENT-CATHODE-RED-0.56-1BIT</v>
      </c>
      <c r="B1027" s="266">
        <f>IFERROR(__xludf.DUMMYFUNCTION("""COMPUTED_VALUE"""),45964.0)</f>
        <v>45964</v>
      </c>
      <c r="C1027" s="266" t="str">
        <f>IFERROR(__xludf.DUMMYFUNCTION("""COMPUTED_VALUE"""),"KYAI KONTONG")</f>
        <v>KYAI KONTONG</v>
      </c>
      <c r="D1027" s="186">
        <f>IFERROR(__xludf.DUMMYFUNCTION("""COMPUTED_VALUE"""),1.0)</f>
        <v>1</v>
      </c>
    </row>
    <row r="1028">
      <c r="A1028" s="178" t="str">
        <f>IFERROR(__xludf.DUMMYFUNCTION("""COMPUTED_VALUE"""),"ITBISA-7SEGMENT-CATHODE-RED-0.56-1BIT")</f>
        <v>ITBISA-7SEGMENT-CATHODE-RED-0.56-1BIT</v>
      </c>
      <c r="B1028" s="266">
        <f>IFERROR(__xludf.DUMMYFUNCTION("""COMPUTED_VALUE"""),45964.0)</f>
        <v>45964</v>
      </c>
      <c r="C1028" s="266" t="str">
        <f>IFERROR(__xludf.DUMMYFUNCTION("""COMPUTED_VALUE"""),"KYAI KONTONG")</f>
        <v>KYAI KONTONG</v>
      </c>
      <c r="D1028" s="186">
        <f>IFERROR(__xludf.DUMMYFUNCTION("""COMPUTED_VALUE"""),2.0)</f>
        <v>2</v>
      </c>
    </row>
    <row r="1029">
      <c r="A1029" s="178" t="str">
        <f>IFERROR(__xludf.DUMMYFUNCTION("""COMPUTED_VALUE"""),"ITBISA-7SEGMENT-CATHODE-RED-0.56-1BIT")</f>
        <v>ITBISA-7SEGMENT-CATHODE-RED-0.56-1BIT</v>
      </c>
      <c r="B1029" s="266">
        <f>IFERROR(__xludf.DUMMYFUNCTION("""COMPUTED_VALUE"""),45965.0)</f>
        <v>45965</v>
      </c>
      <c r="C1029" s="266" t="str">
        <f>IFERROR(__xludf.DUMMYFUNCTION("""COMPUTED_VALUE"""),"KYAI KONTONG")</f>
        <v>KYAI KONTONG</v>
      </c>
      <c r="D1029" s="186">
        <f>IFERROR(__xludf.DUMMYFUNCTION("""COMPUTED_VALUE"""),5.0)</f>
        <v>5</v>
      </c>
    </row>
    <row r="1030">
      <c r="A1030" s="178" t="str">
        <f>IFERROR(__xludf.DUMMYFUNCTION("""COMPUTED_VALUE"""),"ITBISA-7SEGMENT-CATHODE-RED-0.56-1BIT")</f>
        <v>ITBISA-7SEGMENT-CATHODE-RED-0.56-1BIT</v>
      </c>
      <c r="B1030" s="266">
        <f>IFERROR(__xludf.DUMMYFUNCTION("""COMPUTED_VALUE"""),45966.0)</f>
        <v>45966</v>
      </c>
      <c r="C1030" s="266" t="str">
        <f>IFERROR(__xludf.DUMMYFUNCTION("""COMPUTED_VALUE"""),"KYAI KONTONG")</f>
        <v>KYAI KONTONG</v>
      </c>
      <c r="D1030" s="186">
        <f>IFERROR(__xludf.DUMMYFUNCTION("""COMPUTED_VALUE"""),5.0)</f>
        <v>5</v>
      </c>
    </row>
    <row r="1031">
      <c r="A1031" s="178" t="str">
        <f>IFERROR(__xludf.DUMMYFUNCTION("""COMPUTED_VALUE"""),"ITBISA-7SEGMENT-CATHODE-RED-0.56-1BIT")</f>
        <v>ITBISA-7SEGMENT-CATHODE-RED-0.56-1BIT</v>
      </c>
      <c r="B1031" s="266">
        <f>IFERROR(__xludf.DUMMYFUNCTION("""COMPUTED_VALUE"""),45967.0)</f>
        <v>45967</v>
      </c>
      <c r="C1031" s="266" t="str">
        <f>IFERROR(__xludf.DUMMYFUNCTION("""COMPUTED_VALUE"""),"KYAI KONTONG")</f>
        <v>KYAI KONTONG</v>
      </c>
      <c r="D1031" s="186">
        <f>IFERROR(__xludf.DUMMYFUNCTION("""COMPUTED_VALUE"""),5.0)</f>
        <v>5</v>
      </c>
    </row>
    <row r="1032">
      <c r="A1032" s="178" t="str">
        <f>IFERROR(__xludf.DUMMYFUNCTION("""COMPUTED_VALUE"""),"ITBISA-7SEGMENT-CATHODE-RED-0.56-1BIT")</f>
        <v>ITBISA-7SEGMENT-CATHODE-RED-0.56-1BIT</v>
      </c>
      <c r="B1032" s="266">
        <f>IFERROR(__xludf.DUMMYFUNCTION("""COMPUTED_VALUE"""),45971.0)</f>
        <v>45971</v>
      </c>
      <c r="C1032" s="266" t="str">
        <f>IFERROR(__xludf.DUMMYFUNCTION("""COMPUTED_VALUE"""),"KERTASARI CIAMIS")</f>
        <v>KERTASARI CIAMIS</v>
      </c>
      <c r="D1032" s="186">
        <f>IFERROR(__xludf.DUMMYFUNCTION("""COMPUTED_VALUE"""),165.0)</f>
        <v>165</v>
      </c>
    </row>
    <row r="1033">
      <c r="A1033" s="178" t="str">
        <f>IFERROR(__xludf.DUMMYFUNCTION("""COMPUTED_VALUE"""),"ITBISA-7SEGMENT-CATHODE-RED-0.56-1BIT")</f>
        <v>ITBISA-7SEGMENT-CATHODE-RED-0.56-1BIT</v>
      </c>
      <c r="B1033" s="266">
        <f>IFERROR(__xludf.DUMMYFUNCTION("""COMPUTED_VALUE"""),45971.0)</f>
        <v>45971</v>
      </c>
      <c r="C1033" s="266" t="str">
        <f>IFERROR(__xludf.DUMMYFUNCTION("""COMPUTED_VALUE"""),"KYAI KONTONG")</f>
        <v>KYAI KONTONG</v>
      </c>
      <c r="D1033" s="186">
        <f>IFERROR(__xludf.DUMMYFUNCTION("""COMPUTED_VALUE"""),5.0)</f>
        <v>5</v>
      </c>
    </row>
    <row r="1034">
      <c r="A1034" s="178" t="str">
        <f>IFERROR(__xludf.DUMMYFUNCTION("""COMPUTED_VALUE"""),"ITBISA-7SEGMENT-CATHODE-RED-0.56-1BIT")</f>
        <v>ITBISA-7SEGMENT-CATHODE-RED-0.56-1BIT</v>
      </c>
      <c r="B1034" s="266">
        <f>IFERROR(__xludf.DUMMYFUNCTION("""COMPUTED_VALUE"""),45971.0)</f>
        <v>45971</v>
      </c>
      <c r="C1034" s="266" t="str">
        <f>IFERROR(__xludf.DUMMYFUNCTION("""COMPUTED_VALUE"""),"KYAI KONTONG")</f>
        <v>KYAI KONTONG</v>
      </c>
      <c r="D1034" s="186">
        <f>IFERROR(__xludf.DUMMYFUNCTION("""COMPUTED_VALUE"""),5.0)</f>
        <v>5</v>
      </c>
    </row>
    <row r="1035">
      <c r="A1035" s="178" t="str">
        <f>IFERROR(__xludf.DUMMYFUNCTION("""COMPUTED_VALUE"""),"ITBISA-7SEGMENT-CATHODE-RED-0.56-1BIT")</f>
        <v>ITBISA-7SEGMENT-CATHODE-RED-0.56-1BIT</v>
      </c>
      <c r="B1035" s="266">
        <f>IFERROR(__xludf.DUMMYFUNCTION("""COMPUTED_VALUE"""),45971.0)</f>
        <v>45971</v>
      </c>
      <c r="C1035" s="266" t="str">
        <f>IFERROR(__xludf.DUMMYFUNCTION("""COMPUTED_VALUE"""),"KYAI KONTONG")</f>
        <v>KYAI KONTONG</v>
      </c>
      <c r="D1035" s="186">
        <f>IFERROR(__xludf.DUMMYFUNCTION("""COMPUTED_VALUE"""),16.0)</f>
        <v>16</v>
      </c>
    </row>
    <row r="1036">
      <c r="A1036" s="178" t="str">
        <f>IFERROR(__xludf.DUMMYFUNCTION("""COMPUTED_VALUE"""),"ITBISA-7SEGMENT-CATHODE-RED-0.56-1BIT")</f>
        <v>ITBISA-7SEGMENT-CATHODE-RED-0.56-1BIT</v>
      </c>
      <c r="B1036" s="266">
        <f>IFERROR(__xludf.DUMMYFUNCTION("""COMPUTED_VALUE"""),45972.0)</f>
        <v>45972</v>
      </c>
      <c r="C1036" s="266" t="str">
        <f>IFERROR(__xludf.DUMMYFUNCTION("""COMPUTED_VALUE"""),"KYAI KONTONG")</f>
        <v>KYAI KONTONG</v>
      </c>
      <c r="D1036" s="186">
        <f>IFERROR(__xludf.DUMMYFUNCTION("""COMPUTED_VALUE"""),5.0)</f>
        <v>5</v>
      </c>
    </row>
    <row r="1037">
      <c r="A1037" s="178" t="str">
        <f>IFERROR(__xludf.DUMMYFUNCTION("""COMPUTED_VALUE"""),"ITBISA-7SEGMENT-CATHODE-RED-0.56-1BIT")</f>
        <v>ITBISA-7SEGMENT-CATHODE-RED-0.56-1BIT</v>
      </c>
      <c r="B1037" s="266">
        <f>IFERROR(__xludf.DUMMYFUNCTION("""COMPUTED_VALUE"""),45972.0)</f>
        <v>45972</v>
      </c>
      <c r="C1037" s="266" t="str">
        <f>IFERROR(__xludf.DUMMYFUNCTION("""COMPUTED_VALUE"""),"KYAI KONTONG")</f>
        <v>KYAI KONTONG</v>
      </c>
      <c r="D1037" s="186">
        <f>IFERROR(__xludf.DUMMYFUNCTION("""COMPUTED_VALUE"""),15.0)</f>
        <v>15</v>
      </c>
    </row>
    <row r="1038">
      <c r="A1038" s="178" t="str">
        <f>IFERROR(__xludf.DUMMYFUNCTION("""COMPUTED_VALUE"""),"ITBISA-7SEGMENT-CATHODE-RED-0.56-1BIT")</f>
        <v>ITBISA-7SEGMENT-CATHODE-RED-0.56-1BIT</v>
      </c>
      <c r="B1038" s="266">
        <f>IFERROR(__xludf.DUMMYFUNCTION("""COMPUTED_VALUE"""),45973.0)</f>
        <v>45973</v>
      </c>
      <c r="C1038" s="266" t="str">
        <f>IFERROR(__xludf.DUMMYFUNCTION("""COMPUTED_VALUE"""),"KERTASARI CIAMIS")</f>
        <v>KERTASARI CIAMIS</v>
      </c>
      <c r="D1038" s="186">
        <f>IFERROR(__xludf.DUMMYFUNCTION("""COMPUTED_VALUE"""),10.0)</f>
        <v>10</v>
      </c>
    </row>
    <row r="1039">
      <c r="A1039" s="178" t="str">
        <f>IFERROR(__xludf.DUMMYFUNCTION("""COMPUTED_VALUE"""),"ITBISA-7SEGMENT-CATHODE-RED-0.56-1BIT")</f>
        <v>ITBISA-7SEGMENT-CATHODE-RED-0.56-1BIT</v>
      </c>
      <c r="B1039" s="266">
        <f>IFERROR(__xludf.DUMMYFUNCTION("""COMPUTED_VALUE"""),45974.0)</f>
        <v>45974</v>
      </c>
      <c r="C1039" s="266" t="str">
        <f>IFERROR(__xludf.DUMMYFUNCTION("""COMPUTED_VALUE"""),"KYAI KONTONG")</f>
        <v>KYAI KONTONG</v>
      </c>
      <c r="D1039" s="186">
        <f>IFERROR(__xludf.DUMMYFUNCTION("""COMPUTED_VALUE"""),10.0)</f>
        <v>10</v>
      </c>
    </row>
    <row r="1040">
      <c r="A1040" s="178" t="str">
        <f>IFERROR(__xludf.DUMMYFUNCTION("""COMPUTED_VALUE"""),"ITBISA-7SEGMENT-CATHODE-RED-0.56-1BIT")</f>
        <v>ITBISA-7SEGMENT-CATHODE-RED-0.56-1BIT</v>
      </c>
      <c r="B1040" s="266">
        <f>IFERROR(__xludf.DUMMYFUNCTION("""COMPUTED_VALUE"""),45975.0)</f>
        <v>45975</v>
      </c>
      <c r="C1040" s="266" t="str">
        <f>IFERROR(__xludf.DUMMYFUNCTION("""COMPUTED_VALUE"""),"KYAI KONTONG")</f>
        <v>KYAI KONTONG</v>
      </c>
      <c r="D1040" s="186">
        <f>IFERROR(__xludf.DUMMYFUNCTION("""COMPUTED_VALUE"""),6.0)</f>
        <v>6</v>
      </c>
    </row>
    <row r="1041">
      <c r="A1041" s="178" t="str">
        <f>IFERROR(__xludf.DUMMYFUNCTION("""COMPUTED_VALUE"""),"ITBISA-7SEGMENT-CATHODE-RED-0.56-1BIT")</f>
        <v>ITBISA-7SEGMENT-CATHODE-RED-0.56-1BIT</v>
      </c>
      <c r="B1041" s="266">
        <f>IFERROR(__xludf.DUMMYFUNCTION("""COMPUTED_VALUE"""),45977.0)</f>
        <v>45977</v>
      </c>
      <c r="C1041" s="266" t="str">
        <f>IFERROR(__xludf.DUMMYFUNCTION("""COMPUTED_VALUE"""),"KERTASARI CIAMIS")</f>
        <v>KERTASARI CIAMIS</v>
      </c>
      <c r="D1041" s="186">
        <f>IFERROR(__xludf.DUMMYFUNCTION("""COMPUTED_VALUE"""),50.0)</f>
        <v>50</v>
      </c>
    </row>
    <row r="1042">
      <c r="A1042" s="178" t="str">
        <f>IFERROR(__xludf.DUMMYFUNCTION("""COMPUTED_VALUE"""),"ITBISA-7SEGMENT-CATHODE-RED-0.56-1BIT")</f>
        <v>ITBISA-7SEGMENT-CATHODE-RED-0.56-1BIT</v>
      </c>
      <c r="B1042" s="266">
        <f>IFERROR(__xludf.DUMMYFUNCTION("""COMPUTED_VALUE"""),45984.0)</f>
        <v>45984</v>
      </c>
      <c r="C1042" s="266" t="str">
        <f>IFERROR(__xludf.DUMMYFUNCTION("""COMPUTED_VALUE"""),"KERTASARI CIAMIS")</f>
        <v>KERTASARI CIAMIS</v>
      </c>
      <c r="D1042" s="186">
        <f>IFERROR(__xludf.DUMMYFUNCTION("""COMPUTED_VALUE"""),10.0)</f>
        <v>10</v>
      </c>
    </row>
    <row r="1043">
      <c r="A1043" s="178" t="str">
        <f>IFERROR(__xludf.DUMMYFUNCTION("""COMPUTED_VALUE"""),"ITBISA-7SEGMENT-CATHODE-RED-0.56-1BIT")</f>
        <v>ITBISA-7SEGMENT-CATHODE-RED-0.56-1BIT</v>
      </c>
      <c r="B1043" s="266">
        <f>IFERROR(__xludf.DUMMYFUNCTION("""COMPUTED_VALUE"""),45986.0)</f>
        <v>45986</v>
      </c>
      <c r="C1043" s="266" t="str">
        <f>IFERROR(__xludf.DUMMYFUNCTION("""COMPUTED_VALUE"""),"KERTASARI CIAMIS")</f>
        <v>KERTASARI CIAMIS</v>
      </c>
      <c r="D1043" s="186">
        <f>IFERROR(__xludf.DUMMYFUNCTION("""COMPUTED_VALUE"""),100.0)</f>
        <v>100</v>
      </c>
    </row>
    <row r="1044">
      <c r="A1044" s="178" t="str">
        <f>IFERROR(__xludf.DUMMYFUNCTION("""COMPUTED_VALUE"""),"ITBISA-7SEGMENT-CATHODE-RED-0.56-1BIT")</f>
        <v>ITBISA-7SEGMENT-CATHODE-RED-0.56-1BIT</v>
      </c>
      <c r="B1044" s="266">
        <f>IFERROR(__xludf.DUMMYFUNCTION("""COMPUTED_VALUE"""),45987.0)</f>
        <v>45987</v>
      </c>
      <c r="C1044" s="266" t="str">
        <f>IFERROR(__xludf.DUMMYFUNCTION("""COMPUTED_VALUE"""),"KERTASARI CIAMIS")</f>
        <v>KERTASARI CIAMIS</v>
      </c>
      <c r="D1044" s="186">
        <f>IFERROR(__xludf.DUMMYFUNCTION("""COMPUTED_VALUE"""),20.0)</f>
        <v>20</v>
      </c>
    </row>
    <row r="1045">
      <c r="A1045" s="178" t="str">
        <f>IFERROR(__xludf.DUMMYFUNCTION("""COMPUTED_VALUE"""),"ITBISA-7SEGMENT-CATHODE-RED-0.56-1BIT")</f>
        <v>ITBISA-7SEGMENT-CATHODE-RED-0.56-1BIT</v>
      </c>
      <c r="B1045" s="266">
        <f>IFERROR(__xludf.DUMMYFUNCTION("""COMPUTED_VALUE"""),45988.0)</f>
        <v>45988</v>
      </c>
      <c r="C1045" s="266" t="str">
        <f>IFERROR(__xludf.DUMMYFUNCTION("""COMPUTED_VALUE"""),"KERTASARI CIAMIS")</f>
        <v>KERTASARI CIAMIS</v>
      </c>
      <c r="D1045" s="186">
        <f>IFERROR(__xludf.DUMMYFUNCTION("""COMPUTED_VALUE"""),5.0)</f>
        <v>5</v>
      </c>
    </row>
    <row r="1046">
      <c r="A1046" s="178" t="str">
        <f>IFERROR(__xludf.DUMMYFUNCTION("""COMPUTED_VALUE"""),"ITBISA-7SEGMENT-CATHODE-RED-0.56-1BIT")</f>
        <v>ITBISA-7SEGMENT-CATHODE-RED-0.56-1BIT</v>
      </c>
      <c r="B1046" s="266">
        <f>IFERROR(__xludf.DUMMYFUNCTION("""COMPUTED_VALUE"""),45989.0)</f>
        <v>45989</v>
      </c>
      <c r="C1046" s="266" t="str">
        <f>IFERROR(__xludf.DUMMYFUNCTION("""COMPUTED_VALUE"""),"KERTASARI CIAMIS")</f>
        <v>KERTASARI CIAMIS</v>
      </c>
      <c r="D1046" s="186">
        <f>IFERROR(__xludf.DUMMYFUNCTION("""COMPUTED_VALUE"""),50.0)</f>
        <v>50</v>
      </c>
    </row>
    <row r="1047">
      <c r="A1047" s="178" t="str">
        <f>IFERROR(__xludf.DUMMYFUNCTION("""COMPUTED_VALUE"""),"ITBISA-7SEGMENT-CATHODE-RED-0.56-1BIT")</f>
        <v>ITBISA-7SEGMENT-CATHODE-RED-0.56-1BIT</v>
      </c>
      <c r="B1047" s="266">
        <f>IFERROR(__xludf.DUMMYFUNCTION("""COMPUTED_VALUE"""),45996.0)</f>
        <v>45996</v>
      </c>
      <c r="C1047" s="266" t="str">
        <f>IFERROR(__xludf.DUMMYFUNCTION("""COMPUTED_VALUE"""),"KERTASARI CIAMIS")</f>
        <v>KERTASARI CIAMIS</v>
      </c>
      <c r="D1047" s="186">
        <f>IFERROR(__xludf.DUMMYFUNCTION("""COMPUTED_VALUE"""),6.0)</f>
        <v>6</v>
      </c>
    </row>
    <row r="1048">
      <c r="A1048" s="178" t="str">
        <f>IFERROR(__xludf.DUMMYFUNCTION("""COMPUTED_VALUE"""),"ITBISA-7SEGMENT-CATHODE-RED-0.56-1BIT")</f>
        <v>ITBISA-7SEGMENT-CATHODE-RED-0.56-1BIT</v>
      </c>
      <c r="B1048" s="266">
        <f>IFERROR(__xludf.DUMMYFUNCTION("""COMPUTED_VALUE"""),45998.0)</f>
        <v>45998</v>
      </c>
      <c r="C1048" s="266" t="str">
        <f>IFERROR(__xludf.DUMMYFUNCTION("""COMPUTED_VALUE"""),"KYAI KONTONG")</f>
        <v>KYAI KONTONG</v>
      </c>
      <c r="D1048" s="186">
        <f>IFERROR(__xludf.DUMMYFUNCTION("""COMPUTED_VALUE"""),8.0)</f>
        <v>8</v>
      </c>
    </row>
    <row r="1049">
      <c r="A1049" s="178" t="str">
        <f>IFERROR(__xludf.DUMMYFUNCTION("""COMPUTED_VALUE"""),"ITBISA-7SEGMENT-CATHODE-RED-0.56-1BIT")</f>
        <v>ITBISA-7SEGMENT-CATHODE-RED-0.56-1BIT</v>
      </c>
      <c r="B1049" s="266">
        <f>IFERROR(__xludf.DUMMYFUNCTION("""COMPUTED_VALUE"""),46003.0)</f>
        <v>46003</v>
      </c>
      <c r="C1049" s="266" t="str">
        <f>IFERROR(__xludf.DUMMYFUNCTION("""COMPUTED_VALUE"""),"KYAI KONTONG")</f>
        <v>KYAI KONTONG</v>
      </c>
      <c r="D1049" s="186">
        <f>IFERROR(__xludf.DUMMYFUNCTION("""COMPUTED_VALUE"""),7.0)</f>
        <v>7</v>
      </c>
    </row>
    <row r="1050">
      <c r="A1050" s="178" t="str">
        <f>IFERROR(__xludf.DUMMYFUNCTION("""COMPUTED_VALUE"""),"ITBISA-7SEGMENT-CATHODE-RED-0.56-1BIT")</f>
        <v>ITBISA-7SEGMENT-CATHODE-RED-0.56-1BIT</v>
      </c>
      <c r="B1050" s="266">
        <f>IFERROR(__xludf.DUMMYFUNCTION("""COMPUTED_VALUE"""),46003.0)</f>
        <v>46003</v>
      </c>
      <c r="C1050" s="266" t="str">
        <f>IFERROR(__xludf.DUMMYFUNCTION("""COMPUTED_VALUE"""),"KYAI KONTONG")</f>
        <v>KYAI KONTONG</v>
      </c>
      <c r="D1050" s="186">
        <f>IFERROR(__xludf.DUMMYFUNCTION("""COMPUTED_VALUE"""),20.0)</f>
        <v>20</v>
      </c>
    </row>
    <row r="1051">
      <c r="A1051" s="178" t="str">
        <f>IFERROR(__xludf.DUMMYFUNCTION("""COMPUTED_VALUE"""),"ITBISA-7SEGMENT-CATHODE-RED-0.56-1BIT")</f>
        <v>ITBISA-7SEGMENT-CATHODE-RED-0.56-1BIT</v>
      </c>
      <c r="B1051" s="266">
        <f>IFERROR(__xludf.DUMMYFUNCTION("""COMPUTED_VALUE"""),46005.0)</f>
        <v>46005</v>
      </c>
      <c r="C1051" s="266" t="str">
        <f>IFERROR(__xludf.DUMMYFUNCTION("""COMPUTED_VALUE"""),"KYAI KONTONG")</f>
        <v>KYAI KONTONG</v>
      </c>
      <c r="D1051" s="186">
        <f>IFERROR(__xludf.DUMMYFUNCTION("""COMPUTED_VALUE"""),5.0)</f>
        <v>5</v>
      </c>
    </row>
    <row r="1052">
      <c r="A1052" s="178" t="str">
        <f>IFERROR(__xludf.DUMMYFUNCTION("""COMPUTED_VALUE"""),"ITBISA-7SEGMENT-CATHODE-RED-0.56-1BIT")</f>
        <v>ITBISA-7SEGMENT-CATHODE-RED-0.56-1BIT</v>
      </c>
      <c r="B1052" s="266">
        <f>IFERROR(__xludf.DUMMYFUNCTION("""COMPUTED_VALUE"""),46007.0)</f>
        <v>46007</v>
      </c>
      <c r="C1052" s="266" t="str">
        <f>IFERROR(__xludf.DUMMYFUNCTION("""COMPUTED_VALUE"""),"KERTASARI CIAMIS")</f>
        <v>KERTASARI CIAMIS</v>
      </c>
      <c r="D1052" s="186">
        <f>IFERROR(__xludf.DUMMYFUNCTION("""COMPUTED_VALUE"""),6.0)</f>
        <v>6</v>
      </c>
    </row>
    <row r="1053">
      <c r="A1053" s="178" t="str">
        <f>IFERROR(__xludf.DUMMYFUNCTION("""COMPUTED_VALUE"""),"ITBISA-7SEGMENT-CATHODE-RED-0.56-1BIT")</f>
        <v>ITBISA-7SEGMENT-CATHODE-RED-0.56-1BIT</v>
      </c>
      <c r="B1053" s="266">
        <f>IFERROR(__xludf.DUMMYFUNCTION("""COMPUTED_VALUE"""),46013.0)</f>
        <v>46013</v>
      </c>
      <c r="C1053" s="266" t="str">
        <f>IFERROR(__xludf.DUMMYFUNCTION("""COMPUTED_VALUE"""),"KERTASARI CIAMIS")</f>
        <v>KERTASARI CIAMIS</v>
      </c>
      <c r="D1053" s="186">
        <f>IFERROR(__xludf.DUMMYFUNCTION("""COMPUTED_VALUE"""),5.0)</f>
        <v>5</v>
      </c>
    </row>
    <row r="1054">
      <c r="A1054" s="178" t="str">
        <f>IFERROR(__xludf.DUMMYFUNCTION("""COMPUTED_VALUE"""),"ITBISA-7SEGMENT-CATHODE-RED-0.56-1BIT")</f>
        <v>ITBISA-7SEGMENT-CATHODE-RED-0.56-1BIT</v>
      </c>
      <c r="B1054" s="266">
        <f>IFERROR(__xludf.DUMMYFUNCTION("""COMPUTED_VALUE"""),46014.0)</f>
        <v>46014</v>
      </c>
      <c r="C1054" s="266" t="str">
        <f>IFERROR(__xludf.DUMMYFUNCTION("""COMPUTED_VALUE"""),"KERTASARI CIAMIS")</f>
        <v>KERTASARI CIAMIS</v>
      </c>
      <c r="D1054" s="186">
        <f>IFERROR(__xludf.DUMMYFUNCTION("""COMPUTED_VALUE"""),50.0)</f>
        <v>50</v>
      </c>
    </row>
    <row r="1055">
      <c r="A1055" s="178" t="str">
        <f>IFERROR(__xludf.DUMMYFUNCTION("""COMPUTED_VALUE"""),"ITBISA-7SEGMENT-CATHODE-RED-0.56-1BIT")</f>
        <v>ITBISA-7SEGMENT-CATHODE-RED-0.56-1BIT</v>
      </c>
      <c r="B1055" s="266">
        <f>IFERROR(__xludf.DUMMYFUNCTION("""COMPUTED_VALUE"""),46015.0)</f>
        <v>46015</v>
      </c>
      <c r="C1055" s="266" t="str">
        <f>IFERROR(__xludf.DUMMYFUNCTION("""COMPUTED_VALUE"""),"KYAI KONTONG")</f>
        <v>KYAI KONTONG</v>
      </c>
      <c r="D1055" s="186">
        <f>IFERROR(__xludf.DUMMYFUNCTION("""COMPUTED_VALUE"""),6.0)</f>
        <v>6</v>
      </c>
    </row>
    <row r="1056">
      <c r="A1056" s="178" t="str">
        <f>IFERROR(__xludf.DUMMYFUNCTION("""COMPUTED_VALUE"""),"ITBISA-7SEGMENT-CATHODE-RED-0.56-1BIT")</f>
        <v>ITBISA-7SEGMENT-CATHODE-RED-0.56-1BIT</v>
      </c>
      <c r="B1056" s="266">
        <f>IFERROR(__xludf.DUMMYFUNCTION("""COMPUTED_VALUE"""),46020.0)</f>
        <v>46020</v>
      </c>
      <c r="C1056" s="266" t="str">
        <f>IFERROR(__xludf.DUMMYFUNCTION("""COMPUTED_VALUE"""),"KYAI KONTONG")</f>
        <v>KYAI KONTONG</v>
      </c>
      <c r="D1056" s="186">
        <f>IFERROR(__xludf.DUMMYFUNCTION("""COMPUTED_VALUE"""),5.0)</f>
        <v>5</v>
      </c>
    </row>
    <row r="1057">
      <c r="A1057" s="178" t="str">
        <f>IFERROR(__xludf.DUMMYFUNCTION("""COMPUTED_VALUE"""),"ITBISA-7SEGMENT-CATHODE-RED-1.20-1BIT")</f>
        <v>ITBISA-7SEGMENT-CATHODE-RED-1.20-1BIT</v>
      </c>
      <c r="B1057" s="266">
        <f>IFERROR(__xludf.DUMMYFUNCTION("""COMPUTED_VALUE"""),45105.0)</f>
        <v>45105</v>
      </c>
      <c r="C1057" s="266" t="str">
        <f>IFERROR(__xludf.DUMMYFUNCTION("""COMPUTED_VALUE"""),"KYAI KONTONG")</f>
        <v>KYAI KONTONG</v>
      </c>
      <c r="D1057" s="186">
        <f>IFERROR(__xludf.DUMMYFUNCTION("""COMPUTED_VALUE"""),5.0)</f>
        <v>5</v>
      </c>
    </row>
    <row r="1058">
      <c r="A1058" s="178" t="str">
        <f>IFERROR(__xludf.DUMMYFUNCTION("""COMPUTED_VALUE"""),"ITBISA-7SEGMENT-CATHODE-RED-1.20-1BIT")</f>
        <v>ITBISA-7SEGMENT-CATHODE-RED-1.20-1BIT</v>
      </c>
      <c r="B1058" s="266">
        <f>IFERROR(__xludf.DUMMYFUNCTION("""COMPUTED_VALUE"""),45118.0)</f>
        <v>45118</v>
      </c>
      <c r="C1058" s="266" t="str">
        <f>IFERROR(__xludf.DUMMYFUNCTION("""COMPUTED_VALUE"""),"KYAI KONTONG")</f>
        <v>KYAI KONTONG</v>
      </c>
      <c r="D1058" s="186">
        <f>IFERROR(__xludf.DUMMYFUNCTION("""COMPUTED_VALUE"""),10.0)</f>
        <v>10</v>
      </c>
    </row>
    <row r="1059">
      <c r="A1059" s="178" t="str">
        <f>IFERROR(__xludf.DUMMYFUNCTION("""COMPUTED_VALUE"""),"ITBISA-7SEGMENT-CATHODE-RED-1.20-1BIT")</f>
        <v>ITBISA-7SEGMENT-CATHODE-RED-1.20-1BIT</v>
      </c>
      <c r="B1059" s="266">
        <f>IFERROR(__xludf.DUMMYFUNCTION("""COMPUTED_VALUE"""),45124.0)</f>
        <v>45124</v>
      </c>
      <c r="C1059" s="266" t="str">
        <f>IFERROR(__xludf.DUMMYFUNCTION("""COMPUTED_VALUE"""),"KYAI KONTONG")</f>
        <v>KYAI KONTONG</v>
      </c>
      <c r="D1059" s="186">
        <f>IFERROR(__xludf.DUMMYFUNCTION("""COMPUTED_VALUE"""),1.0)</f>
        <v>1</v>
      </c>
    </row>
    <row r="1060">
      <c r="A1060" s="178" t="str">
        <f>IFERROR(__xludf.DUMMYFUNCTION("""COMPUTED_VALUE"""),"ITBISA-7SEGMENT-CATHODE-RED-1.20-1BIT")</f>
        <v>ITBISA-7SEGMENT-CATHODE-RED-1.20-1BIT</v>
      </c>
      <c r="B1060" s="266">
        <f>IFERROR(__xludf.DUMMYFUNCTION("""COMPUTED_VALUE"""),45124.0)</f>
        <v>45124</v>
      </c>
      <c r="C1060" s="266" t="str">
        <f>IFERROR(__xludf.DUMMYFUNCTION("""COMPUTED_VALUE"""),"KYAI KONTONG")</f>
        <v>KYAI KONTONG</v>
      </c>
      <c r="D1060" s="186">
        <f>IFERROR(__xludf.DUMMYFUNCTION("""COMPUTED_VALUE"""),500.0)</f>
        <v>500</v>
      </c>
    </row>
    <row r="1061">
      <c r="A1061" s="178" t="str">
        <f>IFERROR(__xludf.DUMMYFUNCTION("""COMPUTED_VALUE"""),"ITBISA-7SEGMENT-CATHODE-RED-1.20-1BIT")</f>
        <v>ITBISA-7SEGMENT-CATHODE-RED-1.20-1BIT</v>
      </c>
      <c r="B1061" s="266">
        <f>IFERROR(__xludf.DUMMYFUNCTION("""COMPUTED_VALUE"""),45141.0)</f>
        <v>45141</v>
      </c>
      <c r="C1061" s="266" t="str">
        <f>IFERROR(__xludf.DUMMYFUNCTION("""COMPUTED_VALUE"""),"KYAI KONTONG")</f>
        <v>KYAI KONTONG</v>
      </c>
      <c r="D1061" s="186">
        <f>IFERROR(__xludf.DUMMYFUNCTION("""COMPUTED_VALUE"""),4.0)</f>
        <v>4</v>
      </c>
    </row>
    <row r="1062">
      <c r="A1062" s="178" t="str">
        <f>IFERROR(__xludf.DUMMYFUNCTION("""COMPUTED_VALUE"""),"ITBISA-7SEGMENT-CATHODE-RED-1.20-1BIT")</f>
        <v>ITBISA-7SEGMENT-CATHODE-RED-1.20-1BIT</v>
      </c>
      <c r="B1062" s="266">
        <f>IFERROR(__xludf.DUMMYFUNCTION("""COMPUTED_VALUE"""),45141.0)</f>
        <v>45141</v>
      </c>
      <c r="C1062" s="266" t="str">
        <f>IFERROR(__xludf.DUMMYFUNCTION("""COMPUTED_VALUE"""),"KYAI KONTONG")</f>
        <v>KYAI KONTONG</v>
      </c>
      <c r="D1062" s="186">
        <f>IFERROR(__xludf.DUMMYFUNCTION("""COMPUTED_VALUE"""),30.0)</f>
        <v>30</v>
      </c>
    </row>
    <row r="1063">
      <c r="A1063" s="178" t="str">
        <f>IFERROR(__xludf.DUMMYFUNCTION("""COMPUTED_VALUE"""),"ITBISA-7SEGMENT-CATHODE-RED-1.20-1BIT")</f>
        <v>ITBISA-7SEGMENT-CATHODE-RED-1.20-1BIT</v>
      </c>
      <c r="B1063" s="266">
        <f>IFERROR(__xludf.DUMMYFUNCTION("""COMPUTED_VALUE"""),45166.0)</f>
        <v>45166</v>
      </c>
      <c r="C1063" s="266" t="str">
        <f>IFERROR(__xludf.DUMMYFUNCTION("""COMPUTED_VALUE"""),"KYAI KONTONG")</f>
        <v>KYAI KONTONG</v>
      </c>
      <c r="D1063" s="186">
        <f>IFERROR(__xludf.DUMMYFUNCTION("""COMPUTED_VALUE"""),2.0)</f>
        <v>2</v>
      </c>
    </row>
    <row r="1064">
      <c r="A1064" s="178" t="str">
        <f>IFERROR(__xludf.DUMMYFUNCTION("""COMPUTED_VALUE"""),"ITBISA-7SEGMENT-CATHODE-RED-1.20-1BIT")</f>
        <v>ITBISA-7SEGMENT-CATHODE-RED-1.20-1BIT</v>
      </c>
      <c r="B1064" s="266">
        <f>IFERROR(__xludf.DUMMYFUNCTION("""COMPUTED_VALUE"""),45172.0)</f>
        <v>45172</v>
      </c>
      <c r="C1064" s="266" t="str">
        <f>IFERROR(__xludf.DUMMYFUNCTION("""COMPUTED_VALUE"""),"KYAI KONTONG")</f>
        <v>KYAI KONTONG</v>
      </c>
      <c r="D1064" s="186">
        <f>IFERROR(__xludf.DUMMYFUNCTION("""COMPUTED_VALUE"""),10.0)</f>
        <v>10</v>
      </c>
    </row>
    <row r="1065">
      <c r="A1065" s="178" t="str">
        <f>IFERROR(__xludf.DUMMYFUNCTION("""COMPUTED_VALUE"""),"ITBISA-7SEGMENT-CATHODE-RED-1.20-1BIT")</f>
        <v>ITBISA-7SEGMENT-CATHODE-RED-1.20-1BIT</v>
      </c>
      <c r="B1065" s="266">
        <f>IFERROR(__xludf.DUMMYFUNCTION("""COMPUTED_VALUE"""),45174.0)</f>
        <v>45174</v>
      </c>
      <c r="C1065" s="266" t="str">
        <f>IFERROR(__xludf.DUMMYFUNCTION("""COMPUTED_VALUE"""),"KYAI KONTONG")</f>
        <v>KYAI KONTONG</v>
      </c>
      <c r="D1065" s="186">
        <f>IFERROR(__xludf.DUMMYFUNCTION("""COMPUTED_VALUE"""),30.0)</f>
        <v>30</v>
      </c>
    </row>
    <row r="1066">
      <c r="A1066" s="178" t="str">
        <f>IFERROR(__xludf.DUMMYFUNCTION("""COMPUTED_VALUE"""),"ITBISA-7SEGMENT-CATHODE-RED-1.20-1BIT")</f>
        <v>ITBISA-7SEGMENT-CATHODE-RED-1.20-1BIT</v>
      </c>
      <c r="B1066" s="266">
        <f>IFERROR(__xludf.DUMMYFUNCTION("""COMPUTED_VALUE"""),45179.0)</f>
        <v>45179</v>
      </c>
      <c r="C1066" s="266" t="str">
        <f>IFERROR(__xludf.DUMMYFUNCTION("""COMPUTED_VALUE"""),"KYAI KONTONG")</f>
        <v>KYAI KONTONG</v>
      </c>
      <c r="D1066" s="186">
        <f>IFERROR(__xludf.DUMMYFUNCTION("""COMPUTED_VALUE"""),6.0)</f>
        <v>6</v>
      </c>
    </row>
    <row r="1067">
      <c r="A1067" s="178" t="str">
        <f>IFERROR(__xludf.DUMMYFUNCTION("""COMPUTED_VALUE"""),"ITBISA-7SEGMENT-CATHODE-RED-1.20-1BIT")</f>
        <v>ITBISA-7SEGMENT-CATHODE-RED-1.20-1BIT</v>
      </c>
      <c r="B1067" s="266">
        <f>IFERROR(__xludf.DUMMYFUNCTION("""COMPUTED_VALUE"""),45182.0)</f>
        <v>45182</v>
      </c>
      <c r="C1067" s="266" t="str">
        <f>IFERROR(__xludf.DUMMYFUNCTION("""COMPUTED_VALUE"""),"KYAI KONTONG")</f>
        <v>KYAI KONTONG</v>
      </c>
      <c r="D1067" s="186">
        <f>IFERROR(__xludf.DUMMYFUNCTION("""COMPUTED_VALUE"""),1.0)</f>
        <v>1</v>
      </c>
    </row>
    <row r="1068">
      <c r="A1068" s="178" t="str">
        <f>IFERROR(__xludf.DUMMYFUNCTION("""COMPUTED_VALUE"""),"ITBISA-7SEGMENT-CATHODE-RED-1.20-1BIT")</f>
        <v>ITBISA-7SEGMENT-CATHODE-RED-1.20-1BIT</v>
      </c>
      <c r="B1068" s="266">
        <f>IFERROR(__xludf.DUMMYFUNCTION("""COMPUTED_VALUE"""),45191.0)</f>
        <v>45191</v>
      </c>
      <c r="C1068" s="266" t="str">
        <f>IFERROR(__xludf.DUMMYFUNCTION("""COMPUTED_VALUE"""),"KYAI KONTONG")</f>
        <v>KYAI KONTONG</v>
      </c>
      <c r="D1068" s="186">
        <f>IFERROR(__xludf.DUMMYFUNCTION("""COMPUTED_VALUE"""),1.0)</f>
        <v>1</v>
      </c>
    </row>
    <row r="1069">
      <c r="A1069" s="178" t="str">
        <f>IFERROR(__xludf.DUMMYFUNCTION("""COMPUTED_VALUE"""),"ITBISA-7SEGMENT-CATHODE-RED-1.20-1BIT")</f>
        <v>ITBISA-7SEGMENT-CATHODE-RED-1.20-1BIT</v>
      </c>
      <c r="B1069" s="266">
        <f>IFERROR(__xludf.DUMMYFUNCTION("""COMPUTED_VALUE"""),45200.0)</f>
        <v>45200</v>
      </c>
      <c r="C1069" s="266" t="str">
        <f>IFERROR(__xludf.DUMMYFUNCTION("""COMPUTED_VALUE"""),"KYAI KONTONG")</f>
        <v>KYAI KONTONG</v>
      </c>
      <c r="D1069" s="186">
        <f>IFERROR(__xludf.DUMMYFUNCTION("""COMPUTED_VALUE"""),20.0)</f>
        <v>20</v>
      </c>
    </row>
    <row r="1070">
      <c r="A1070" s="178" t="str">
        <f>IFERROR(__xludf.DUMMYFUNCTION("""COMPUTED_VALUE"""),"ITBISA-7SEGMENT-CATHODE-RED-1.20-1BIT")</f>
        <v>ITBISA-7SEGMENT-CATHODE-RED-1.20-1BIT</v>
      </c>
      <c r="B1070" s="266">
        <f>IFERROR(__xludf.DUMMYFUNCTION("""COMPUTED_VALUE"""),45204.0)</f>
        <v>45204</v>
      </c>
      <c r="C1070" s="266" t="str">
        <f>IFERROR(__xludf.DUMMYFUNCTION("""COMPUTED_VALUE"""),"KYAI KONTONG")</f>
        <v>KYAI KONTONG</v>
      </c>
      <c r="D1070" s="186">
        <f>IFERROR(__xludf.DUMMYFUNCTION("""COMPUTED_VALUE"""),10.0)</f>
        <v>10</v>
      </c>
    </row>
    <row r="1071">
      <c r="A1071" s="178" t="str">
        <f>IFERROR(__xludf.DUMMYFUNCTION("""COMPUTED_VALUE"""),"ITBISA-7SEGMENT-CATHODE-RED-1.20-1BIT")</f>
        <v>ITBISA-7SEGMENT-CATHODE-RED-1.20-1BIT</v>
      </c>
      <c r="B1071" s="266">
        <f>IFERROR(__xludf.DUMMYFUNCTION("""COMPUTED_VALUE"""),45205.0)</f>
        <v>45205</v>
      </c>
      <c r="C1071" s="266" t="str">
        <f>IFERROR(__xludf.DUMMYFUNCTION("""COMPUTED_VALUE"""),"KYAI KONTONG")</f>
        <v>KYAI KONTONG</v>
      </c>
      <c r="D1071" s="186">
        <f>IFERROR(__xludf.DUMMYFUNCTION("""COMPUTED_VALUE"""),15.0)</f>
        <v>15</v>
      </c>
    </row>
    <row r="1072">
      <c r="A1072" s="178" t="str">
        <f>IFERROR(__xludf.DUMMYFUNCTION("""COMPUTED_VALUE"""),"ITBISA-7SEGMENT-CATHODE-RED-1.20-1BIT")</f>
        <v>ITBISA-7SEGMENT-CATHODE-RED-1.20-1BIT</v>
      </c>
      <c r="B1072" s="266">
        <f>IFERROR(__xludf.DUMMYFUNCTION("""COMPUTED_VALUE"""),45210.0)</f>
        <v>45210</v>
      </c>
      <c r="C1072" s="266" t="str">
        <f>IFERROR(__xludf.DUMMYFUNCTION("""COMPUTED_VALUE"""),"KYAI KONTONG")</f>
        <v>KYAI KONTONG</v>
      </c>
      <c r="D1072" s="186">
        <f>IFERROR(__xludf.DUMMYFUNCTION("""COMPUTED_VALUE"""),6.0)</f>
        <v>6</v>
      </c>
    </row>
    <row r="1073">
      <c r="A1073" s="178" t="str">
        <f>IFERROR(__xludf.DUMMYFUNCTION("""COMPUTED_VALUE"""),"ITBISA-7SEGMENT-CATHODE-RED-1.20-1BIT")</f>
        <v>ITBISA-7SEGMENT-CATHODE-RED-1.20-1BIT</v>
      </c>
      <c r="B1073" s="266">
        <f>IFERROR(__xludf.DUMMYFUNCTION("""COMPUTED_VALUE"""),45211.0)</f>
        <v>45211</v>
      </c>
      <c r="C1073" s="266" t="str">
        <f>IFERROR(__xludf.DUMMYFUNCTION("""COMPUTED_VALUE"""),"KYAI KONTONG")</f>
        <v>KYAI KONTONG</v>
      </c>
      <c r="D1073" s="186">
        <f>IFERROR(__xludf.DUMMYFUNCTION("""COMPUTED_VALUE"""),2.0)</f>
        <v>2</v>
      </c>
    </row>
    <row r="1074">
      <c r="A1074" s="178" t="str">
        <f>IFERROR(__xludf.DUMMYFUNCTION("""COMPUTED_VALUE"""),"ITBISA-7SEGMENT-CATHODE-RED-1.20-1BIT")</f>
        <v>ITBISA-7SEGMENT-CATHODE-RED-1.20-1BIT</v>
      </c>
      <c r="B1074" s="266">
        <f>IFERROR(__xludf.DUMMYFUNCTION("""COMPUTED_VALUE"""),45212.0)</f>
        <v>45212</v>
      </c>
      <c r="C1074" s="266" t="str">
        <f>IFERROR(__xludf.DUMMYFUNCTION("""COMPUTED_VALUE"""),"KYAI KONTONG")</f>
        <v>KYAI KONTONG</v>
      </c>
      <c r="D1074" s="186">
        <f>IFERROR(__xludf.DUMMYFUNCTION("""COMPUTED_VALUE"""),2.0)</f>
        <v>2</v>
      </c>
    </row>
    <row r="1075">
      <c r="A1075" s="178" t="str">
        <f>IFERROR(__xludf.DUMMYFUNCTION("""COMPUTED_VALUE"""),"ITBISA-7SEGMENT-CATHODE-RED-1.20-1BIT")</f>
        <v>ITBISA-7SEGMENT-CATHODE-RED-1.20-1BIT</v>
      </c>
      <c r="B1075" s="266">
        <f>IFERROR(__xludf.DUMMYFUNCTION("""COMPUTED_VALUE"""),45215.0)</f>
        <v>45215</v>
      </c>
      <c r="C1075" s="266" t="str">
        <f>IFERROR(__xludf.DUMMYFUNCTION("""COMPUTED_VALUE"""),"KYAI KONTONG")</f>
        <v>KYAI KONTONG</v>
      </c>
      <c r="D1075" s="186">
        <f>IFERROR(__xludf.DUMMYFUNCTION("""COMPUTED_VALUE"""),34.0)</f>
        <v>34</v>
      </c>
    </row>
    <row r="1076">
      <c r="A1076" s="178" t="str">
        <f>IFERROR(__xludf.DUMMYFUNCTION("""COMPUTED_VALUE"""),"ITBISA-7SEGMENT-CATHODE-RED-1.20-1BIT")</f>
        <v>ITBISA-7SEGMENT-CATHODE-RED-1.20-1BIT</v>
      </c>
      <c r="B1076" s="266">
        <f>IFERROR(__xludf.DUMMYFUNCTION("""COMPUTED_VALUE"""),45217.0)</f>
        <v>45217</v>
      </c>
      <c r="C1076" s="266" t="str">
        <f>IFERROR(__xludf.DUMMYFUNCTION("""COMPUTED_VALUE"""),"KYAI KONTONG")</f>
        <v>KYAI KONTONG</v>
      </c>
      <c r="D1076" s="186">
        <f>IFERROR(__xludf.DUMMYFUNCTION("""COMPUTED_VALUE"""),1.0)</f>
        <v>1</v>
      </c>
    </row>
    <row r="1077">
      <c r="A1077" s="178" t="str">
        <f>IFERROR(__xludf.DUMMYFUNCTION("""COMPUTED_VALUE"""),"ITBISA-7SEGMENT-CATHODE-RED-1.20-1BIT")</f>
        <v>ITBISA-7SEGMENT-CATHODE-RED-1.20-1BIT</v>
      </c>
      <c r="B1077" s="266">
        <f>IFERROR(__xludf.DUMMYFUNCTION("""COMPUTED_VALUE"""),45224.0)</f>
        <v>45224</v>
      </c>
      <c r="C1077" s="266" t="str">
        <f>IFERROR(__xludf.DUMMYFUNCTION("""COMPUTED_VALUE"""),"KYAI KONTONG")</f>
        <v>KYAI KONTONG</v>
      </c>
      <c r="D1077" s="186">
        <f>IFERROR(__xludf.DUMMYFUNCTION("""COMPUTED_VALUE"""),100.0)</f>
        <v>100</v>
      </c>
    </row>
    <row r="1078">
      <c r="A1078" s="178" t="str">
        <f>IFERROR(__xludf.DUMMYFUNCTION("""COMPUTED_VALUE"""),"ITBISA-7SEGMENT-CATHODE-RED-1.20-1BIT")</f>
        <v>ITBISA-7SEGMENT-CATHODE-RED-1.20-1BIT</v>
      </c>
      <c r="B1078" s="266">
        <f>IFERROR(__xludf.DUMMYFUNCTION("""COMPUTED_VALUE"""),45237.0)</f>
        <v>45237</v>
      </c>
      <c r="C1078" s="266" t="str">
        <f>IFERROR(__xludf.DUMMYFUNCTION("""COMPUTED_VALUE"""),"KYAI KONTONG")</f>
        <v>KYAI KONTONG</v>
      </c>
      <c r="D1078" s="186">
        <f>IFERROR(__xludf.DUMMYFUNCTION("""COMPUTED_VALUE"""),15.0)</f>
        <v>15</v>
      </c>
    </row>
    <row r="1079">
      <c r="A1079" s="178" t="str">
        <f>IFERROR(__xludf.DUMMYFUNCTION("""COMPUTED_VALUE"""),"ITBISA-7SEGMENT-CATHODE-RED-1.20-1BIT")</f>
        <v>ITBISA-7SEGMENT-CATHODE-RED-1.20-1BIT</v>
      </c>
      <c r="B1079" s="266">
        <f>IFERROR(__xludf.DUMMYFUNCTION("""COMPUTED_VALUE"""),45243.0)</f>
        <v>45243</v>
      </c>
      <c r="C1079" s="266" t="str">
        <f>IFERROR(__xludf.DUMMYFUNCTION("""COMPUTED_VALUE"""),"KYAI KONTONG")</f>
        <v>KYAI KONTONG</v>
      </c>
      <c r="D1079" s="186">
        <f>IFERROR(__xludf.DUMMYFUNCTION("""COMPUTED_VALUE"""),45.0)</f>
        <v>45</v>
      </c>
    </row>
    <row r="1080">
      <c r="A1080" s="178" t="str">
        <f>IFERROR(__xludf.DUMMYFUNCTION("""COMPUTED_VALUE"""),"ITBISA-7SEGMENT-CATHODE-RED-1.20-1BIT")</f>
        <v>ITBISA-7SEGMENT-CATHODE-RED-1.20-1BIT</v>
      </c>
      <c r="B1080" s="266">
        <f>IFERROR(__xludf.DUMMYFUNCTION("""COMPUTED_VALUE"""),45244.0)</f>
        <v>45244</v>
      </c>
      <c r="C1080" s="266" t="str">
        <f>IFERROR(__xludf.DUMMYFUNCTION("""COMPUTED_VALUE"""),"KYAI KONTONG")</f>
        <v>KYAI KONTONG</v>
      </c>
      <c r="D1080" s="186">
        <f>IFERROR(__xludf.DUMMYFUNCTION("""COMPUTED_VALUE"""),2.0)</f>
        <v>2</v>
      </c>
    </row>
    <row r="1081">
      <c r="A1081" s="178" t="str">
        <f>IFERROR(__xludf.DUMMYFUNCTION("""COMPUTED_VALUE"""),"ITBISA-7SEGMENT-CATHODE-RED-1.20-1BIT")</f>
        <v>ITBISA-7SEGMENT-CATHODE-RED-1.20-1BIT</v>
      </c>
      <c r="B1081" s="266">
        <f>IFERROR(__xludf.DUMMYFUNCTION("""COMPUTED_VALUE"""),45245.0)</f>
        <v>45245</v>
      </c>
      <c r="C1081" s="266" t="str">
        <f>IFERROR(__xludf.DUMMYFUNCTION("""COMPUTED_VALUE"""),"KYAI KONTONG")</f>
        <v>KYAI KONTONG</v>
      </c>
      <c r="D1081" s="186">
        <f>IFERROR(__xludf.DUMMYFUNCTION("""COMPUTED_VALUE"""),225.0)</f>
        <v>225</v>
      </c>
    </row>
    <row r="1082">
      <c r="A1082" s="178" t="str">
        <f>IFERROR(__xludf.DUMMYFUNCTION("""COMPUTED_VALUE"""),"ITBISA-7SEGMENT-CATHODE-RED-1.20-1BIT")</f>
        <v>ITBISA-7SEGMENT-CATHODE-RED-1.20-1BIT</v>
      </c>
      <c r="B1082" s="266">
        <f>IFERROR(__xludf.DUMMYFUNCTION("""COMPUTED_VALUE"""),45252.0)</f>
        <v>45252</v>
      </c>
      <c r="C1082" s="266" t="str">
        <f>IFERROR(__xludf.DUMMYFUNCTION("""COMPUTED_VALUE"""),"KYAI KONTONG")</f>
        <v>KYAI KONTONG</v>
      </c>
      <c r="D1082" s="186">
        <f>IFERROR(__xludf.DUMMYFUNCTION("""COMPUTED_VALUE"""),15.0)</f>
        <v>15</v>
      </c>
    </row>
    <row r="1083">
      <c r="A1083" s="178" t="str">
        <f>IFERROR(__xludf.DUMMYFUNCTION("""COMPUTED_VALUE"""),"ITBISA-7SEGMENT-CATHODE-RED-1.20-1BIT")</f>
        <v>ITBISA-7SEGMENT-CATHODE-RED-1.20-1BIT</v>
      </c>
      <c r="B1083" s="266">
        <f>IFERROR(__xludf.DUMMYFUNCTION("""COMPUTED_VALUE"""),45274.0)</f>
        <v>45274</v>
      </c>
      <c r="C1083" s="266" t="str">
        <f>IFERROR(__xludf.DUMMYFUNCTION("""COMPUTED_VALUE"""),"KERTASARI CIAMIS")</f>
        <v>KERTASARI CIAMIS</v>
      </c>
      <c r="D1083" s="186">
        <f>IFERROR(__xludf.DUMMYFUNCTION("""COMPUTED_VALUE"""),123.0)</f>
        <v>123</v>
      </c>
    </row>
    <row r="1084">
      <c r="A1084" s="178" t="str">
        <f>IFERROR(__xludf.DUMMYFUNCTION("""COMPUTED_VALUE"""),"ITBISA-7SEGMENT-CATHODE-RED-1.20-1BIT")</f>
        <v>ITBISA-7SEGMENT-CATHODE-RED-1.20-1BIT</v>
      </c>
      <c r="B1084" s="266">
        <f>IFERROR(__xludf.DUMMYFUNCTION("""COMPUTED_VALUE"""),45276.0)</f>
        <v>45276</v>
      </c>
      <c r="C1084" s="266" t="str">
        <f>IFERROR(__xludf.DUMMYFUNCTION("""COMPUTED_VALUE"""),"KYAI KONTONG")</f>
        <v>KYAI KONTONG</v>
      </c>
      <c r="D1084" s="186">
        <f>IFERROR(__xludf.DUMMYFUNCTION("""COMPUTED_VALUE"""),4.0)</f>
        <v>4</v>
      </c>
    </row>
    <row r="1085">
      <c r="A1085" s="178" t="str">
        <f>IFERROR(__xludf.DUMMYFUNCTION("""COMPUTED_VALUE"""),"ITBISA-7SEGMENT-CATHODE-RED-1.20-1BIT")</f>
        <v>ITBISA-7SEGMENT-CATHODE-RED-1.20-1BIT</v>
      </c>
      <c r="B1085" s="266">
        <f>IFERROR(__xludf.DUMMYFUNCTION("""COMPUTED_VALUE"""),45278.0)</f>
        <v>45278</v>
      </c>
      <c r="C1085" s="266" t="str">
        <f>IFERROR(__xludf.DUMMYFUNCTION("""COMPUTED_VALUE"""),"KYAI KONTONG")</f>
        <v>KYAI KONTONG</v>
      </c>
      <c r="D1085" s="186">
        <f>IFERROR(__xludf.DUMMYFUNCTION("""COMPUTED_VALUE"""),4.0)</f>
        <v>4</v>
      </c>
    </row>
    <row r="1086">
      <c r="A1086" s="178" t="str">
        <f>IFERROR(__xludf.DUMMYFUNCTION("""COMPUTED_VALUE"""),"ITBISA-7SEGMENT-CATHODE-RED-1.20-1BIT")</f>
        <v>ITBISA-7SEGMENT-CATHODE-RED-1.20-1BIT</v>
      </c>
      <c r="B1086" s="266">
        <f>IFERROR(__xludf.DUMMYFUNCTION("""COMPUTED_VALUE"""),45281.0)</f>
        <v>45281</v>
      </c>
      <c r="C1086" s="266" t="str">
        <f>IFERROR(__xludf.DUMMYFUNCTION("""COMPUTED_VALUE"""),"KYAI KONTONG")</f>
        <v>KYAI KONTONG</v>
      </c>
      <c r="D1086" s="186">
        <f>IFERROR(__xludf.DUMMYFUNCTION("""COMPUTED_VALUE"""),50.0)</f>
        <v>50</v>
      </c>
    </row>
    <row r="1087">
      <c r="A1087" s="178" t="str">
        <f>IFERROR(__xludf.DUMMYFUNCTION("""COMPUTED_VALUE"""),"ITBISA-7SEGMENT-CATHODE-RED-1.20-1BIT")</f>
        <v>ITBISA-7SEGMENT-CATHODE-RED-1.20-1BIT</v>
      </c>
      <c r="B1087" s="266">
        <f>IFERROR(__xludf.DUMMYFUNCTION("""COMPUTED_VALUE"""),45285.0)</f>
        <v>45285</v>
      </c>
      <c r="C1087" s="266" t="str">
        <f>IFERROR(__xludf.DUMMYFUNCTION("""COMPUTED_VALUE"""),"KYAI KONTONG")</f>
        <v>KYAI KONTONG</v>
      </c>
      <c r="D1087" s="186">
        <f>IFERROR(__xludf.DUMMYFUNCTION("""COMPUTED_VALUE"""),2.0)</f>
        <v>2</v>
      </c>
    </row>
    <row r="1088">
      <c r="A1088" s="178" t="str">
        <f>IFERROR(__xludf.DUMMYFUNCTION("""COMPUTED_VALUE"""),"ITBISA-7SEGMENT-CATHODE-RED-1.20-1BIT")</f>
        <v>ITBISA-7SEGMENT-CATHODE-RED-1.20-1BIT</v>
      </c>
      <c r="B1088" s="266">
        <f>IFERROR(__xludf.DUMMYFUNCTION("""COMPUTED_VALUE"""),45294.0)</f>
        <v>45294</v>
      </c>
      <c r="C1088" s="266" t="str">
        <f>IFERROR(__xludf.DUMMYFUNCTION("""COMPUTED_VALUE"""),"KERTASARI CIAMIS")</f>
        <v>KERTASARI CIAMIS</v>
      </c>
      <c r="D1088" s="186">
        <f>IFERROR(__xludf.DUMMYFUNCTION("""COMPUTED_VALUE"""),75.0)</f>
        <v>75</v>
      </c>
    </row>
    <row r="1089">
      <c r="A1089" s="178" t="str">
        <f>IFERROR(__xludf.DUMMYFUNCTION("""COMPUTED_VALUE"""),"ITBISA-7SEGMENT-CATHODE-RED-1.20-1BIT")</f>
        <v>ITBISA-7SEGMENT-CATHODE-RED-1.20-1BIT</v>
      </c>
      <c r="B1089" s="266">
        <f>IFERROR(__xludf.DUMMYFUNCTION("""COMPUTED_VALUE"""),45301.0)</f>
        <v>45301</v>
      </c>
      <c r="C1089" s="266" t="str">
        <f>IFERROR(__xludf.DUMMYFUNCTION("""COMPUTED_VALUE"""),"KYAI KONTONG")</f>
        <v>KYAI KONTONG</v>
      </c>
      <c r="D1089" s="186">
        <f>IFERROR(__xludf.DUMMYFUNCTION("""COMPUTED_VALUE"""),3.0)</f>
        <v>3</v>
      </c>
    </row>
    <row r="1090">
      <c r="A1090" s="178" t="str">
        <f>IFERROR(__xludf.DUMMYFUNCTION("""COMPUTED_VALUE"""),"ITBISA-7SEGMENT-CATHODE-RED-1.20-1BIT")</f>
        <v>ITBISA-7SEGMENT-CATHODE-RED-1.20-1BIT</v>
      </c>
      <c r="B1090" s="266">
        <f>IFERROR(__xludf.DUMMYFUNCTION("""COMPUTED_VALUE"""),45324.0)</f>
        <v>45324</v>
      </c>
      <c r="C1090" s="266" t="str">
        <f>IFERROR(__xludf.DUMMYFUNCTION("""COMPUTED_VALUE"""),"KERTASARI CIAMIS")</f>
        <v>KERTASARI CIAMIS</v>
      </c>
      <c r="D1090" s="186">
        <f>IFERROR(__xludf.DUMMYFUNCTION("""COMPUTED_VALUE"""),2.0)</f>
        <v>2</v>
      </c>
    </row>
    <row r="1091">
      <c r="A1091" s="178" t="str">
        <f>IFERROR(__xludf.DUMMYFUNCTION("""COMPUTED_VALUE"""),"ITBISA-7SEGMENT-CATHODE-RED-1.20-1BIT")</f>
        <v>ITBISA-7SEGMENT-CATHODE-RED-1.20-1BIT</v>
      </c>
      <c r="B1091" s="266">
        <f>IFERROR(__xludf.DUMMYFUNCTION("""COMPUTED_VALUE"""),45330.0)</f>
        <v>45330</v>
      </c>
      <c r="C1091" s="266" t="str">
        <f>IFERROR(__xludf.DUMMYFUNCTION("""COMPUTED_VALUE"""),"KERTASARI CIAMIS")</f>
        <v>KERTASARI CIAMIS</v>
      </c>
      <c r="D1091" s="186">
        <f>IFERROR(__xludf.DUMMYFUNCTION("""COMPUTED_VALUE"""),5.0)</f>
        <v>5</v>
      </c>
    </row>
    <row r="1092">
      <c r="A1092" s="178" t="str">
        <f>IFERROR(__xludf.DUMMYFUNCTION("""COMPUTED_VALUE"""),"ITBISA-7SEGMENT-CATHODE-RED-1.20-1BIT")</f>
        <v>ITBISA-7SEGMENT-CATHODE-RED-1.20-1BIT</v>
      </c>
      <c r="B1092" s="266">
        <f>IFERROR(__xludf.DUMMYFUNCTION("""COMPUTED_VALUE"""),45331.0)</f>
        <v>45331</v>
      </c>
      <c r="C1092" s="266" t="str">
        <f>IFERROR(__xludf.DUMMYFUNCTION("""COMPUTED_VALUE"""),"KERTASARI CIAMIS")</f>
        <v>KERTASARI CIAMIS</v>
      </c>
      <c r="D1092" s="186">
        <f>IFERROR(__xludf.DUMMYFUNCTION("""COMPUTED_VALUE"""),1.0)</f>
        <v>1</v>
      </c>
    </row>
    <row r="1093">
      <c r="A1093" s="178" t="str">
        <f>IFERROR(__xludf.DUMMYFUNCTION("""COMPUTED_VALUE"""),"ITBISA-7SEGMENT-CATHODE-RED-1.20-1BIT")</f>
        <v>ITBISA-7SEGMENT-CATHODE-RED-1.20-1BIT</v>
      </c>
      <c r="B1093" s="266">
        <f>IFERROR(__xludf.DUMMYFUNCTION("""COMPUTED_VALUE"""),45337.0)</f>
        <v>45337</v>
      </c>
      <c r="C1093" s="266" t="str">
        <f>IFERROR(__xludf.DUMMYFUNCTION("""COMPUTED_VALUE"""),"KERTASARI CIAMIS")</f>
        <v>KERTASARI CIAMIS</v>
      </c>
      <c r="D1093" s="186">
        <f>IFERROR(__xludf.DUMMYFUNCTION("""COMPUTED_VALUE"""),1.0)</f>
        <v>1</v>
      </c>
    </row>
    <row r="1094">
      <c r="A1094" s="178" t="str">
        <f>IFERROR(__xludf.DUMMYFUNCTION("""COMPUTED_VALUE"""),"ITBISA-7SEGMENT-CATHODE-RED-1.20-1BIT")</f>
        <v>ITBISA-7SEGMENT-CATHODE-RED-1.20-1BIT</v>
      </c>
      <c r="B1094" s="266">
        <f>IFERROR(__xludf.DUMMYFUNCTION("""COMPUTED_VALUE"""),45349.0)</f>
        <v>45349</v>
      </c>
      <c r="C1094" s="266" t="str">
        <f>IFERROR(__xludf.DUMMYFUNCTION("""COMPUTED_VALUE"""),"KERTASARI CIAMIS")</f>
        <v>KERTASARI CIAMIS</v>
      </c>
      <c r="D1094" s="186">
        <f>IFERROR(__xludf.DUMMYFUNCTION("""COMPUTED_VALUE"""),5.0)</f>
        <v>5</v>
      </c>
    </row>
    <row r="1095">
      <c r="A1095" s="178" t="str">
        <f>IFERROR(__xludf.DUMMYFUNCTION("""COMPUTED_VALUE"""),"ITBISA-7SEGMENT-CATHODE-RED-1.20-1BIT")</f>
        <v>ITBISA-7SEGMENT-CATHODE-RED-1.20-1BIT</v>
      </c>
      <c r="B1095" s="266">
        <f>IFERROR(__xludf.DUMMYFUNCTION("""COMPUTED_VALUE"""),45357.0)</f>
        <v>45357</v>
      </c>
      <c r="C1095" s="266" t="str">
        <f>IFERROR(__xludf.DUMMYFUNCTION("""COMPUTED_VALUE"""),"KYAI KONTONG")</f>
        <v>KYAI KONTONG</v>
      </c>
      <c r="D1095" s="186">
        <f>IFERROR(__xludf.DUMMYFUNCTION("""COMPUTED_VALUE"""),6.0)</f>
        <v>6</v>
      </c>
    </row>
    <row r="1096">
      <c r="A1096" s="178" t="str">
        <f>IFERROR(__xludf.DUMMYFUNCTION("""COMPUTED_VALUE"""),"ITBISA-7SEGMENT-CATHODE-RED-1.20-1BIT")</f>
        <v>ITBISA-7SEGMENT-CATHODE-RED-1.20-1BIT</v>
      </c>
      <c r="B1096" s="266">
        <f>IFERROR(__xludf.DUMMYFUNCTION("""COMPUTED_VALUE"""),45368.0)</f>
        <v>45368</v>
      </c>
      <c r="C1096" s="266" t="str">
        <f>IFERROR(__xludf.DUMMYFUNCTION("""COMPUTED_VALUE"""),"KYAI KONTONG")</f>
        <v>KYAI KONTONG</v>
      </c>
      <c r="D1096" s="186">
        <f>IFERROR(__xludf.DUMMYFUNCTION("""COMPUTED_VALUE"""),30.0)</f>
        <v>30</v>
      </c>
    </row>
    <row r="1097">
      <c r="A1097" s="178" t="str">
        <f>IFERROR(__xludf.DUMMYFUNCTION("""COMPUTED_VALUE"""),"ITBISA-7SEGMENT-CATHODE-RED-1.20-1BIT")</f>
        <v>ITBISA-7SEGMENT-CATHODE-RED-1.20-1BIT</v>
      </c>
      <c r="B1097" s="266">
        <f>IFERROR(__xludf.DUMMYFUNCTION("""COMPUTED_VALUE"""),45369.0)</f>
        <v>45369</v>
      </c>
      <c r="C1097" s="266" t="str">
        <f>IFERROR(__xludf.DUMMYFUNCTION("""COMPUTED_VALUE"""),"KYAI KONTONG")</f>
        <v>KYAI KONTONG</v>
      </c>
      <c r="D1097" s="186">
        <f>IFERROR(__xludf.DUMMYFUNCTION("""COMPUTED_VALUE"""),8.0)</f>
        <v>8</v>
      </c>
    </row>
    <row r="1098">
      <c r="A1098" s="178" t="str">
        <f>IFERROR(__xludf.DUMMYFUNCTION("""COMPUTED_VALUE"""),"ITBISA-7SEGMENT-CATHODE-RED-1.20-1BIT")</f>
        <v>ITBISA-7SEGMENT-CATHODE-RED-1.20-1BIT</v>
      </c>
      <c r="B1098" s="266">
        <f>IFERROR(__xludf.DUMMYFUNCTION("""COMPUTED_VALUE"""),45373.0)</f>
        <v>45373</v>
      </c>
      <c r="C1098" s="266" t="str">
        <f>IFERROR(__xludf.DUMMYFUNCTION("""COMPUTED_VALUE"""),"KERTASARI CIAMIS")</f>
        <v>KERTASARI CIAMIS</v>
      </c>
      <c r="D1098" s="186">
        <f>IFERROR(__xludf.DUMMYFUNCTION("""COMPUTED_VALUE"""),8.0)</f>
        <v>8</v>
      </c>
    </row>
    <row r="1099">
      <c r="A1099" s="178" t="str">
        <f>IFERROR(__xludf.DUMMYFUNCTION("""COMPUTED_VALUE"""),"ITBISA-7SEGMENT-CATHODE-RED-1.20-1BIT")</f>
        <v>ITBISA-7SEGMENT-CATHODE-RED-1.20-1BIT</v>
      </c>
      <c r="B1099" s="266">
        <f>IFERROR(__xludf.DUMMYFUNCTION("""COMPUTED_VALUE"""),45378.0)</f>
        <v>45378</v>
      </c>
      <c r="C1099" s="266" t="str">
        <f>IFERROR(__xludf.DUMMYFUNCTION("""COMPUTED_VALUE"""),"KERTASARI CIAMIS")</f>
        <v>KERTASARI CIAMIS</v>
      </c>
      <c r="D1099" s="186">
        <f>IFERROR(__xludf.DUMMYFUNCTION("""COMPUTED_VALUE"""),10.0)</f>
        <v>10</v>
      </c>
    </row>
    <row r="1100">
      <c r="A1100" s="178" t="str">
        <f>IFERROR(__xludf.DUMMYFUNCTION("""COMPUTED_VALUE"""),"ITBISA-7SEGMENT-CATHODE-RED-1.20-1BIT")</f>
        <v>ITBISA-7SEGMENT-CATHODE-RED-1.20-1BIT</v>
      </c>
      <c r="B1100" s="266">
        <f>IFERROR(__xludf.DUMMYFUNCTION("""COMPUTED_VALUE"""),45380.0)</f>
        <v>45380</v>
      </c>
      <c r="C1100" s="266" t="str">
        <f>IFERROR(__xludf.DUMMYFUNCTION("""COMPUTED_VALUE"""),"KERTASARI CIAMIS")</f>
        <v>KERTASARI CIAMIS</v>
      </c>
      <c r="D1100" s="186">
        <f>IFERROR(__xludf.DUMMYFUNCTION("""COMPUTED_VALUE"""),15.0)</f>
        <v>15</v>
      </c>
    </row>
    <row r="1101">
      <c r="A1101" s="178" t="str">
        <f>IFERROR(__xludf.DUMMYFUNCTION("""COMPUTED_VALUE"""),"ITBISA-7SEGMENT-CATHODE-RED-1.20-1BIT")</f>
        <v>ITBISA-7SEGMENT-CATHODE-RED-1.20-1BIT</v>
      </c>
      <c r="B1101" s="266">
        <f>IFERROR(__xludf.DUMMYFUNCTION("""COMPUTED_VALUE"""),45405.0)</f>
        <v>45405</v>
      </c>
      <c r="C1101" s="266" t="str">
        <f>IFERROR(__xludf.DUMMYFUNCTION("""COMPUTED_VALUE"""),"KYAI KONTONG")</f>
        <v>KYAI KONTONG</v>
      </c>
      <c r="D1101" s="186">
        <f>IFERROR(__xludf.DUMMYFUNCTION("""COMPUTED_VALUE"""),8.0)</f>
        <v>8</v>
      </c>
    </row>
    <row r="1102">
      <c r="A1102" s="178" t="str">
        <f>IFERROR(__xludf.DUMMYFUNCTION("""COMPUTED_VALUE"""),"ITBISA-7SEGMENT-CATHODE-RED-1.20-1BIT")</f>
        <v>ITBISA-7SEGMENT-CATHODE-RED-1.20-1BIT</v>
      </c>
      <c r="B1102" s="266">
        <f>IFERROR(__xludf.DUMMYFUNCTION("""COMPUTED_VALUE"""),45407.0)</f>
        <v>45407</v>
      </c>
      <c r="C1102" s="266" t="str">
        <f>IFERROR(__xludf.DUMMYFUNCTION("""COMPUTED_VALUE"""),"KERTASARI CIAMIS")</f>
        <v>KERTASARI CIAMIS</v>
      </c>
      <c r="D1102" s="186">
        <f>IFERROR(__xludf.DUMMYFUNCTION("""COMPUTED_VALUE"""),4.0)</f>
        <v>4</v>
      </c>
    </row>
    <row r="1103">
      <c r="A1103" s="178" t="str">
        <f>IFERROR(__xludf.DUMMYFUNCTION("""COMPUTED_VALUE"""),"ITBISA-7SEGMENT-CATHODE-RED-1.20-1BIT")</f>
        <v>ITBISA-7SEGMENT-CATHODE-RED-1.20-1BIT</v>
      </c>
      <c r="B1103" s="266">
        <f>IFERROR(__xludf.DUMMYFUNCTION("""COMPUTED_VALUE"""),45413.0)</f>
        <v>45413</v>
      </c>
      <c r="C1103" s="266" t="str">
        <f>IFERROR(__xludf.DUMMYFUNCTION("""COMPUTED_VALUE"""),"KYAI KONTONG")</f>
        <v>KYAI KONTONG</v>
      </c>
      <c r="D1103" s="186">
        <f>IFERROR(__xludf.DUMMYFUNCTION("""COMPUTED_VALUE"""),4.0)</f>
        <v>4</v>
      </c>
    </row>
    <row r="1104">
      <c r="A1104" s="178" t="str">
        <f>IFERROR(__xludf.DUMMYFUNCTION("""COMPUTED_VALUE"""),"ITBISA-7SEGMENT-CATHODE-RED-1.20-1BIT")</f>
        <v>ITBISA-7SEGMENT-CATHODE-RED-1.20-1BIT</v>
      </c>
      <c r="B1104" s="266">
        <f>IFERROR(__xludf.DUMMYFUNCTION("""COMPUTED_VALUE"""),45416.0)</f>
        <v>45416</v>
      </c>
      <c r="C1104" s="266" t="str">
        <f>IFERROR(__xludf.DUMMYFUNCTION("""COMPUTED_VALUE"""),"KYAI KONTONG")</f>
        <v>KYAI KONTONG</v>
      </c>
      <c r="D1104" s="186">
        <f>IFERROR(__xludf.DUMMYFUNCTION("""COMPUTED_VALUE"""),8.0)</f>
        <v>8</v>
      </c>
    </row>
    <row r="1105">
      <c r="A1105" s="178" t="str">
        <f>IFERROR(__xludf.DUMMYFUNCTION("""COMPUTED_VALUE"""),"ITBISA-7SEGMENT-CATHODE-RED-1.20-1BIT")</f>
        <v>ITBISA-7SEGMENT-CATHODE-RED-1.20-1BIT</v>
      </c>
      <c r="B1105" s="266">
        <f>IFERROR(__xludf.DUMMYFUNCTION("""COMPUTED_VALUE"""),45420.0)</f>
        <v>45420</v>
      </c>
      <c r="C1105" s="266" t="str">
        <f>IFERROR(__xludf.DUMMYFUNCTION("""COMPUTED_VALUE"""),"KYAI KONTONG")</f>
        <v>KYAI KONTONG</v>
      </c>
      <c r="D1105" s="186">
        <f>IFERROR(__xludf.DUMMYFUNCTION("""COMPUTED_VALUE"""),10.0)</f>
        <v>10</v>
      </c>
    </row>
    <row r="1106">
      <c r="A1106" s="178" t="str">
        <f>IFERROR(__xludf.DUMMYFUNCTION("""COMPUTED_VALUE"""),"ITBISA-7SEGMENT-CATHODE-RED-1.20-1BIT")</f>
        <v>ITBISA-7SEGMENT-CATHODE-RED-1.20-1BIT</v>
      </c>
      <c r="B1106" s="266">
        <f>IFERROR(__xludf.DUMMYFUNCTION("""COMPUTED_VALUE"""),45432.0)</f>
        <v>45432</v>
      </c>
      <c r="C1106" s="266" t="str">
        <f>IFERROR(__xludf.DUMMYFUNCTION("""COMPUTED_VALUE"""),"KYAI KONTONG")</f>
        <v>KYAI KONTONG</v>
      </c>
      <c r="D1106" s="186">
        <f>IFERROR(__xludf.DUMMYFUNCTION("""COMPUTED_VALUE"""),15.0)</f>
        <v>15</v>
      </c>
    </row>
    <row r="1107">
      <c r="A1107" s="178" t="str">
        <f>IFERROR(__xludf.DUMMYFUNCTION("""COMPUTED_VALUE"""),"ITBISA-7SEGMENT-CATHODE-RED-1.20-1BIT")</f>
        <v>ITBISA-7SEGMENT-CATHODE-RED-1.20-1BIT</v>
      </c>
      <c r="B1107" s="266">
        <f>IFERROR(__xludf.DUMMYFUNCTION("""COMPUTED_VALUE"""),45438.0)</f>
        <v>45438</v>
      </c>
      <c r="C1107" s="266" t="str">
        <f>IFERROR(__xludf.DUMMYFUNCTION("""COMPUTED_VALUE"""),"KERTASARI CIAMIS")</f>
        <v>KERTASARI CIAMIS</v>
      </c>
      <c r="D1107" s="186">
        <f>IFERROR(__xludf.DUMMYFUNCTION("""COMPUTED_VALUE"""),4.0)</f>
        <v>4</v>
      </c>
    </row>
    <row r="1108">
      <c r="A1108" s="178" t="str">
        <f>IFERROR(__xludf.DUMMYFUNCTION("""COMPUTED_VALUE"""),"ITBISA-7SEGMENT-CATHODE-RED-1.20-1BIT")</f>
        <v>ITBISA-7SEGMENT-CATHODE-RED-1.20-1BIT</v>
      </c>
      <c r="B1108" s="266">
        <f>IFERROR(__xludf.DUMMYFUNCTION("""COMPUTED_VALUE"""),45448.0)</f>
        <v>45448</v>
      </c>
      <c r="C1108" s="266" t="str">
        <f>IFERROR(__xludf.DUMMYFUNCTION("""COMPUTED_VALUE"""),"KYAI KONTONG")</f>
        <v>KYAI KONTONG</v>
      </c>
      <c r="D1108" s="186">
        <f>IFERROR(__xludf.DUMMYFUNCTION("""COMPUTED_VALUE"""),6.0)</f>
        <v>6</v>
      </c>
    </row>
    <row r="1109">
      <c r="A1109" s="178" t="str">
        <f>IFERROR(__xludf.DUMMYFUNCTION("""COMPUTED_VALUE"""),"ITBISA-7SEGMENT-CATHODE-RED-1.20-1BIT")</f>
        <v>ITBISA-7SEGMENT-CATHODE-RED-1.20-1BIT</v>
      </c>
      <c r="B1109" s="266">
        <f>IFERROR(__xludf.DUMMYFUNCTION("""COMPUTED_VALUE"""),45457.0)</f>
        <v>45457</v>
      </c>
      <c r="C1109" s="266" t="str">
        <f>IFERROR(__xludf.DUMMYFUNCTION("""COMPUTED_VALUE"""),"KERTASARI CIAMIS")</f>
        <v>KERTASARI CIAMIS</v>
      </c>
      <c r="D1109" s="186">
        <f>IFERROR(__xludf.DUMMYFUNCTION("""COMPUTED_VALUE"""),6.0)</f>
        <v>6</v>
      </c>
    </row>
    <row r="1110">
      <c r="A1110" s="178" t="str">
        <f>IFERROR(__xludf.DUMMYFUNCTION("""COMPUTED_VALUE"""),"ITBISA-7SEGMENT-CATHODE-RED-1.20-1BIT")</f>
        <v>ITBISA-7SEGMENT-CATHODE-RED-1.20-1BIT</v>
      </c>
      <c r="B1110" s="266">
        <f>IFERROR(__xludf.DUMMYFUNCTION("""COMPUTED_VALUE"""),45458.0)</f>
        <v>45458</v>
      </c>
      <c r="C1110" s="266" t="str">
        <f>IFERROR(__xludf.DUMMYFUNCTION("""COMPUTED_VALUE"""),"KERTASARI CIAMIS")</f>
        <v>KERTASARI CIAMIS</v>
      </c>
      <c r="D1110" s="186">
        <f>IFERROR(__xludf.DUMMYFUNCTION("""COMPUTED_VALUE"""),25.0)</f>
        <v>25</v>
      </c>
    </row>
    <row r="1111">
      <c r="A1111" s="178" t="str">
        <f>IFERROR(__xludf.DUMMYFUNCTION("""COMPUTED_VALUE"""),"ITBISA-7SEGMENT-CATHODE-RED-1.20-1BIT")</f>
        <v>ITBISA-7SEGMENT-CATHODE-RED-1.20-1BIT</v>
      </c>
      <c r="B1111" s="266">
        <f>IFERROR(__xludf.DUMMYFUNCTION("""COMPUTED_VALUE"""),45462.0)</f>
        <v>45462</v>
      </c>
      <c r="C1111" s="266" t="str">
        <f>IFERROR(__xludf.DUMMYFUNCTION("""COMPUTED_VALUE"""),"KERTASARI CIAMIS")</f>
        <v>KERTASARI CIAMIS</v>
      </c>
      <c r="D1111" s="186">
        <f>IFERROR(__xludf.DUMMYFUNCTION("""COMPUTED_VALUE"""),20.0)</f>
        <v>20</v>
      </c>
    </row>
    <row r="1112">
      <c r="A1112" s="178" t="str">
        <f>IFERROR(__xludf.DUMMYFUNCTION("""COMPUTED_VALUE"""),"ITBISA-7SEGMENT-CATHODE-RED-1.20-1BIT")</f>
        <v>ITBISA-7SEGMENT-CATHODE-RED-1.20-1BIT</v>
      </c>
      <c r="B1112" s="266">
        <f>IFERROR(__xludf.DUMMYFUNCTION("""COMPUTED_VALUE"""),45469.0)</f>
        <v>45469</v>
      </c>
      <c r="C1112" s="266" t="str">
        <f>IFERROR(__xludf.DUMMYFUNCTION("""COMPUTED_VALUE"""),"KYAI KONTONG")</f>
        <v>KYAI KONTONG</v>
      </c>
      <c r="D1112" s="186">
        <f>IFERROR(__xludf.DUMMYFUNCTION("""COMPUTED_VALUE"""),25.0)</f>
        <v>25</v>
      </c>
    </row>
    <row r="1113">
      <c r="A1113" s="178" t="str">
        <f>IFERROR(__xludf.DUMMYFUNCTION("""COMPUTED_VALUE"""),"ITBISA-7SEGMENT-CATHODE-RED-1.20-1BIT")</f>
        <v>ITBISA-7SEGMENT-CATHODE-RED-1.20-1BIT</v>
      </c>
      <c r="B1113" s="266">
        <f>IFERROR(__xludf.DUMMYFUNCTION("""COMPUTED_VALUE"""),45512.0)</f>
        <v>45512</v>
      </c>
      <c r="C1113" s="266" t="str">
        <f>IFERROR(__xludf.DUMMYFUNCTION("""COMPUTED_VALUE"""),"KERTASARI CIAMIS")</f>
        <v>KERTASARI CIAMIS</v>
      </c>
      <c r="D1113" s="186">
        <f>IFERROR(__xludf.DUMMYFUNCTION("""COMPUTED_VALUE"""),30.0)</f>
        <v>30</v>
      </c>
    </row>
    <row r="1114">
      <c r="A1114" s="178" t="str">
        <f>IFERROR(__xludf.DUMMYFUNCTION("""COMPUTED_VALUE"""),"ITBISA-7SEGMENT-CATHODE-RED-1.20-1BIT")</f>
        <v>ITBISA-7SEGMENT-CATHODE-RED-1.20-1BIT</v>
      </c>
      <c r="B1114" s="266">
        <f>IFERROR(__xludf.DUMMYFUNCTION("""COMPUTED_VALUE"""),45512.0)</f>
        <v>45512</v>
      </c>
      <c r="C1114" s="266" t="str">
        <f>IFERROR(__xludf.DUMMYFUNCTION("""COMPUTED_VALUE"""),"KYAI KONTONG")</f>
        <v>KYAI KONTONG</v>
      </c>
      <c r="D1114" s="186">
        <f>IFERROR(__xludf.DUMMYFUNCTION("""COMPUTED_VALUE"""),15.0)</f>
        <v>15</v>
      </c>
    </row>
    <row r="1115">
      <c r="A1115" s="178" t="str">
        <f>IFERROR(__xludf.DUMMYFUNCTION("""COMPUTED_VALUE"""),"ITBISA-7SEGMENT-CATHODE-RED-1.20-1BIT")</f>
        <v>ITBISA-7SEGMENT-CATHODE-RED-1.20-1BIT</v>
      </c>
      <c r="B1115" s="266">
        <f>IFERROR(__xludf.DUMMYFUNCTION("""COMPUTED_VALUE"""),45540.0)</f>
        <v>45540</v>
      </c>
      <c r="C1115" s="266" t="str">
        <f>IFERROR(__xludf.DUMMYFUNCTION("""COMPUTED_VALUE"""),"KERTASARI CIAMIS")</f>
        <v>KERTASARI CIAMIS</v>
      </c>
      <c r="D1115" s="186">
        <f>IFERROR(__xludf.DUMMYFUNCTION("""COMPUTED_VALUE"""),8.0)</f>
        <v>8</v>
      </c>
    </row>
    <row r="1116">
      <c r="A1116" s="178" t="str">
        <f>IFERROR(__xludf.DUMMYFUNCTION("""COMPUTED_VALUE"""),"ITBISA-7SEGMENT-CATHODE-RED-1.20-1BIT")</f>
        <v>ITBISA-7SEGMENT-CATHODE-RED-1.20-1BIT</v>
      </c>
      <c r="B1116" s="266">
        <f>IFERROR(__xludf.DUMMYFUNCTION("""COMPUTED_VALUE"""),45587.0)</f>
        <v>45587</v>
      </c>
      <c r="C1116" s="266" t="str">
        <f>IFERROR(__xludf.DUMMYFUNCTION("""COMPUTED_VALUE"""),"KERTASARI CIAMIS")</f>
        <v>KERTASARI CIAMIS</v>
      </c>
      <c r="D1116" s="186">
        <f>IFERROR(__xludf.DUMMYFUNCTION("""COMPUTED_VALUE"""),1.0)</f>
        <v>1</v>
      </c>
    </row>
    <row r="1117">
      <c r="A1117" s="178" t="str">
        <f>IFERROR(__xludf.DUMMYFUNCTION("""COMPUTED_VALUE"""),"ITBISA-7SEGMENT-CATHODE-RED-1.20-1BIT")</f>
        <v>ITBISA-7SEGMENT-CATHODE-RED-1.20-1BIT</v>
      </c>
      <c r="B1117" s="266">
        <f>IFERROR(__xludf.DUMMYFUNCTION("""COMPUTED_VALUE"""),45602.0)</f>
        <v>45602</v>
      </c>
      <c r="C1117" s="266" t="str">
        <f>IFERROR(__xludf.DUMMYFUNCTION("""COMPUTED_VALUE"""),"KYAI KONTONG")</f>
        <v>KYAI KONTONG</v>
      </c>
      <c r="D1117" s="186">
        <f>IFERROR(__xludf.DUMMYFUNCTION("""COMPUTED_VALUE"""),4.0)</f>
        <v>4</v>
      </c>
    </row>
    <row r="1118">
      <c r="A1118" s="178" t="str">
        <f>IFERROR(__xludf.DUMMYFUNCTION("""COMPUTED_VALUE"""),"ITBISA-7SEGMENT-CATHODE-RED-1.20-1BIT")</f>
        <v>ITBISA-7SEGMENT-CATHODE-RED-1.20-1BIT</v>
      </c>
      <c r="B1118" s="266">
        <f>IFERROR(__xludf.DUMMYFUNCTION("""COMPUTED_VALUE"""),45603.0)</f>
        <v>45603</v>
      </c>
      <c r="C1118" s="266" t="str">
        <f>IFERROR(__xludf.DUMMYFUNCTION("""COMPUTED_VALUE"""),"KERTASARI CIAMIS")</f>
        <v>KERTASARI CIAMIS</v>
      </c>
      <c r="D1118" s="186">
        <f>IFERROR(__xludf.DUMMYFUNCTION("""COMPUTED_VALUE"""),150.0)</f>
        <v>150</v>
      </c>
    </row>
    <row r="1119">
      <c r="A1119" s="178" t="str">
        <f>IFERROR(__xludf.DUMMYFUNCTION("""COMPUTED_VALUE"""),"ITBISA-7SEGMENT-CATHODE-RED-1.20-1BIT")</f>
        <v>ITBISA-7SEGMENT-CATHODE-RED-1.20-1BIT</v>
      </c>
      <c r="B1119" s="266">
        <f>IFERROR(__xludf.DUMMYFUNCTION("""COMPUTED_VALUE"""),45607.0)</f>
        <v>45607</v>
      </c>
      <c r="C1119" s="266" t="str">
        <f>IFERROR(__xludf.DUMMYFUNCTION("""COMPUTED_VALUE"""),"KYAI KONTONG")</f>
        <v>KYAI KONTONG</v>
      </c>
      <c r="D1119" s="186">
        <f>IFERROR(__xludf.DUMMYFUNCTION("""COMPUTED_VALUE"""),15.0)</f>
        <v>15</v>
      </c>
    </row>
    <row r="1120">
      <c r="A1120" s="178" t="str">
        <f>IFERROR(__xludf.DUMMYFUNCTION("""COMPUTED_VALUE"""),"ITBISA-7SEGMENT-CATHODE-RED-1.20-1BIT")</f>
        <v>ITBISA-7SEGMENT-CATHODE-RED-1.20-1BIT</v>
      </c>
      <c r="B1120" s="266">
        <f>IFERROR(__xludf.DUMMYFUNCTION("""COMPUTED_VALUE"""),45614.0)</f>
        <v>45614</v>
      </c>
      <c r="C1120" s="266" t="str">
        <f>IFERROR(__xludf.DUMMYFUNCTION("""COMPUTED_VALUE"""),"KYAI KONTONG")</f>
        <v>KYAI KONTONG</v>
      </c>
      <c r="D1120" s="186">
        <f>IFERROR(__xludf.DUMMYFUNCTION("""COMPUTED_VALUE"""),150.0)</f>
        <v>150</v>
      </c>
    </row>
    <row r="1121">
      <c r="A1121" s="178" t="str">
        <f>IFERROR(__xludf.DUMMYFUNCTION("""COMPUTED_VALUE"""),"ITBISA-7SEGMENT-CATHODE-RED-1.20-1BIT")</f>
        <v>ITBISA-7SEGMENT-CATHODE-RED-1.20-1BIT</v>
      </c>
      <c r="B1121" s="266">
        <f>IFERROR(__xludf.DUMMYFUNCTION("""COMPUTED_VALUE"""),45616.0)</f>
        <v>45616</v>
      </c>
      <c r="C1121" s="266" t="str">
        <f>IFERROR(__xludf.DUMMYFUNCTION("""COMPUTED_VALUE"""),"KERTASARI CIAMIS")</f>
        <v>KERTASARI CIAMIS</v>
      </c>
      <c r="D1121" s="186">
        <f>IFERROR(__xludf.DUMMYFUNCTION("""COMPUTED_VALUE"""),20.0)</f>
        <v>20</v>
      </c>
    </row>
    <row r="1122">
      <c r="A1122" s="178" t="str">
        <f>IFERROR(__xludf.DUMMYFUNCTION("""COMPUTED_VALUE"""),"ITBISA-7SEGMENT-CATHODE-RED-1.20-1BIT")</f>
        <v>ITBISA-7SEGMENT-CATHODE-RED-1.20-1BIT</v>
      </c>
      <c r="B1122" s="266">
        <f>IFERROR(__xludf.DUMMYFUNCTION("""COMPUTED_VALUE"""),45617.0)</f>
        <v>45617</v>
      </c>
      <c r="C1122" s="266" t="str">
        <f>IFERROR(__xludf.DUMMYFUNCTION("""COMPUTED_VALUE"""),"KERTASARI CIAMIS")</f>
        <v>KERTASARI CIAMIS</v>
      </c>
      <c r="D1122" s="186">
        <f>IFERROR(__xludf.DUMMYFUNCTION("""COMPUTED_VALUE"""),3.0)</f>
        <v>3</v>
      </c>
    </row>
    <row r="1123">
      <c r="A1123" s="178" t="str">
        <f>IFERROR(__xludf.DUMMYFUNCTION("""COMPUTED_VALUE"""),"ITBISA-7SEGMENT-CATHODE-RED-1.20-1BIT")</f>
        <v>ITBISA-7SEGMENT-CATHODE-RED-1.20-1BIT</v>
      </c>
      <c r="B1123" s="266">
        <f>IFERROR(__xludf.DUMMYFUNCTION("""COMPUTED_VALUE"""),45622.0)</f>
        <v>45622</v>
      </c>
      <c r="C1123" s="266" t="str">
        <f>IFERROR(__xludf.DUMMYFUNCTION("""COMPUTED_VALUE"""),"KYAI KONTONG")</f>
        <v>KYAI KONTONG</v>
      </c>
      <c r="D1123" s="186">
        <f>IFERROR(__xludf.DUMMYFUNCTION("""COMPUTED_VALUE"""),15.0)</f>
        <v>15</v>
      </c>
    </row>
    <row r="1124">
      <c r="A1124" s="178" t="str">
        <f>IFERROR(__xludf.DUMMYFUNCTION("""COMPUTED_VALUE"""),"ITBISA-7SEGMENT-CATHODE-RED-1.20-1BIT")</f>
        <v>ITBISA-7SEGMENT-CATHODE-RED-1.20-1BIT</v>
      </c>
      <c r="B1124" s="266">
        <f>IFERROR(__xludf.DUMMYFUNCTION("""COMPUTED_VALUE"""),45630.0)</f>
        <v>45630</v>
      </c>
      <c r="C1124" s="266" t="str">
        <f>IFERROR(__xludf.DUMMYFUNCTION("""COMPUTED_VALUE"""),"KYAI KONTONG")</f>
        <v>KYAI KONTONG</v>
      </c>
      <c r="D1124" s="186">
        <f>IFERROR(__xludf.DUMMYFUNCTION("""COMPUTED_VALUE"""),7.0)</f>
        <v>7</v>
      </c>
    </row>
    <row r="1125">
      <c r="A1125" s="178" t="str">
        <f>IFERROR(__xludf.DUMMYFUNCTION("""COMPUTED_VALUE"""),"ITBISA-7SEGMENT-CATHODE-RED-1.20-1BIT")</f>
        <v>ITBISA-7SEGMENT-CATHODE-RED-1.20-1BIT</v>
      </c>
      <c r="B1125" s="266">
        <f>IFERROR(__xludf.DUMMYFUNCTION("""COMPUTED_VALUE"""),45647.0)</f>
        <v>45647</v>
      </c>
      <c r="C1125" s="266" t="str">
        <f>IFERROR(__xludf.DUMMYFUNCTION("""COMPUTED_VALUE"""),"KYAI KONTONG")</f>
        <v>KYAI KONTONG</v>
      </c>
      <c r="D1125" s="186">
        <f>IFERROR(__xludf.DUMMYFUNCTION("""COMPUTED_VALUE"""),6.0)</f>
        <v>6</v>
      </c>
    </row>
    <row r="1126">
      <c r="A1126" s="178" t="str">
        <f>IFERROR(__xludf.DUMMYFUNCTION("""COMPUTED_VALUE"""),"ITBISA-7SEGMENT-CATHODE-RED-1.20-1BIT")</f>
        <v>ITBISA-7SEGMENT-CATHODE-RED-1.20-1BIT</v>
      </c>
      <c r="B1126" s="266">
        <f>IFERROR(__xludf.DUMMYFUNCTION("""COMPUTED_VALUE"""),45672.0)</f>
        <v>45672</v>
      </c>
      <c r="C1126" s="266" t="str">
        <f>IFERROR(__xludf.DUMMYFUNCTION("""COMPUTED_VALUE"""),"KYAI KONTONG")</f>
        <v>KYAI KONTONG</v>
      </c>
      <c r="D1126" s="186">
        <f>IFERROR(__xludf.DUMMYFUNCTION("""COMPUTED_VALUE"""),10.0)</f>
        <v>10</v>
      </c>
    </row>
    <row r="1127">
      <c r="A1127" s="178" t="str">
        <f>IFERROR(__xludf.DUMMYFUNCTION("""COMPUTED_VALUE"""),"ITBISA-7SEGMENT-CATHODE-RED-1.20-1BIT")</f>
        <v>ITBISA-7SEGMENT-CATHODE-RED-1.20-1BIT</v>
      </c>
      <c r="B1127" s="266">
        <f>IFERROR(__xludf.DUMMYFUNCTION("""COMPUTED_VALUE"""),45674.0)</f>
        <v>45674</v>
      </c>
      <c r="C1127" s="266" t="str">
        <f>IFERROR(__xludf.DUMMYFUNCTION("""COMPUTED_VALUE"""),"KYAI KONTONG")</f>
        <v>KYAI KONTONG</v>
      </c>
      <c r="D1127" s="186">
        <f>IFERROR(__xludf.DUMMYFUNCTION("""COMPUTED_VALUE"""),10.0)</f>
        <v>10</v>
      </c>
    </row>
    <row r="1128">
      <c r="A1128" s="178" t="str">
        <f>IFERROR(__xludf.DUMMYFUNCTION("""COMPUTED_VALUE"""),"ITBISA-7SEGMENT-CATHODE-RED-1.20-1BIT")</f>
        <v>ITBISA-7SEGMENT-CATHODE-RED-1.20-1BIT</v>
      </c>
      <c r="B1128" s="266">
        <f>IFERROR(__xludf.DUMMYFUNCTION("""COMPUTED_VALUE"""),45682.0)</f>
        <v>45682</v>
      </c>
      <c r="C1128" s="266" t="str">
        <f>IFERROR(__xludf.DUMMYFUNCTION("""COMPUTED_VALUE"""),"KYAI KONTONG")</f>
        <v>KYAI KONTONG</v>
      </c>
      <c r="D1128" s="186">
        <f>IFERROR(__xludf.DUMMYFUNCTION("""COMPUTED_VALUE"""),1.0)</f>
        <v>1</v>
      </c>
    </row>
    <row r="1129">
      <c r="A1129" s="178" t="str">
        <f>IFERROR(__xludf.DUMMYFUNCTION("""COMPUTED_VALUE"""),"ITBISA-7SEGMENT-CATHODE-RED-1.20-1BIT")</f>
        <v>ITBISA-7SEGMENT-CATHODE-RED-1.20-1BIT</v>
      </c>
      <c r="B1129" s="266">
        <f>IFERROR(__xludf.DUMMYFUNCTION("""COMPUTED_VALUE"""),45693.0)</f>
        <v>45693</v>
      </c>
      <c r="C1129" s="266" t="str">
        <f>IFERROR(__xludf.DUMMYFUNCTION("""COMPUTED_VALUE"""),"KERTASARI CIAMIS")</f>
        <v>KERTASARI CIAMIS</v>
      </c>
      <c r="D1129" s="186">
        <f>IFERROR(__xludf.DUMMYFUNCTION("""COMPUTED_VALUE"""),15.0)</f>
        <v>15</v>
      </c>
    </row>
    <row r="1130">
      <c r="A1130" s="178" t="str">
        <f>IFERROR(__xludf.DUMMYFUNCTION("""COMPUTED_VALUE"""),"ITBISA-7SEGMENT-CATHODE-RED-1.20-1BIT")</f>
        <v>ITBISA-7SEGMENT-CATHODE-RED-1.20-1BIT</v>
      </c>
      <c r="B1130" s="266">
        <f>IFERROR(__xludf.DUMMYFUNCTION("""COMPUTED_VALUE"""),45710.0)</f>
        <v>45710</v>
      </c>
      <c r="C1130" s="266" t="str">
        <f>IFERROR(__xludf.DUMMYFUNCTION("""COMPUTED_VALUE"""),"KYAI KONTONG")</f>
        <v>KYAI KONTONG</v>
      </c>
      <c r="D1130" s="186">
        <f>IFERROR(__xludf.DUMMYFUNCTION("""COMPUTED_VALUE"""),6.0)</f>
        <v>6</v>
      </c>
    </row>
    <row r="1131">
      <c r="A1131" s="178" t="str">
        <f>IFERROR(__xludf.DUMMYFUNCTION("""COMPUTED_VALUE"""),"ITBISA-7SEGMENT-CATHODE-RED-1.20-1BIT")</f>
        <v>ITBISA-7SEGMENT-CATHODE-RED-1.20-1BIT</v>
      </c>
      <c r="B1131" s="266">
        <f>IFERROR(__xludf.DUMMYFUNCTION("""COMPUTED_VALUE"""),45722.0)</f>
        <v>45722</v>
      </c>
      <c r="C1131" s="266" t="str">
        <f>IFERROR(__xludf.DUMMYFUNCTION("""COMPUTED_VALUE"""),"KYAI KONTONG")</f>
        <v>KYAI KONTONG</v>
      </c>
      <c r="D1131" s="186">
        <f>IFERROR(__xludf.DUMMYFUNCTION("""COMPUTED_VALUE"""),2.0)</f>
        <v>2</v>
      </c>
    </row>
    <row r="1132">
      <c r="A1132" s="178" t="str">
        <f>IFERROR(__xludf.DUMMYFUNCTION("""COMPUTED_VALUE"""),"ITBISA-7SEGMENT-CATHODE-RED-1.20-1BIT")</f>
        <v>ITBISA-7SEGMENT-CATHODE-RED-1.20-1BIT</v>
      </c>
      <c r="B1132" s="266">
        <f>IFERROR(__xludf.DUMMYFUNCTION("""COMPUTED_VALUE"""),45740.0)</f>
        <v>45740</v>
      </c>
      <c r="C1132" s="266" t="str">
        <f>IFERROR(__xludf.DUMMYFUNCTION("""COMPUTED_VALUE"""),"KERTASARI CIAMIS")</f>
        <v>KERTASARI CIAMIS</v>
      </c>
      <c r="D1132" s="186">
        <f>IFERROR(__xludf.DUMMYFUNCTION("""COMPUTED_VALUE"""),6.0)</f>
        <v>6</v>
      </c>
    </row>
    <row r="1133">
      <c r="A1133" s="178" t="str">
        <f>IFERROR(__xludf.DUMMYFUNCTION("""COMPUTED_VALUE"""),"ITBISA-7SEGMENT-CATHODE-RED-1.20-1BIT")</f>
        <v>ITBISA-7SEGMENT-CATHODE-RED-1.20-1BIT</v>
      </c>
      <c r="B1133" s="266">
        <f>IFERROR(__xludf.DUMMYFUNCTION("""COMPUTED_VALUE"""),45769.0)</f>
        <v>45769</v>
      </c>
      <c r="C1133" s="266" t="str">
        <f>IFERROR(__xludf.DUMMYFUNCTION("""COMPUTED_VALUE"""),"KERTASARI CIAMIS")</f>
        <v>KERTASARI CIAMIS</v>
      </c>
      <c r="D1133" s="186">
        <f>IFERROR(__xludf.DUMMYFUNCTION("""COMPUTED_VALUE"""),1.0)</f>
        <v>1</v>
      </c>
    </row>
    <row r="1134">
      <c r="A1134" s="178" t="str">
        <f>IFERROR(__xludf.DUMMYFUNCTION("""COMPUTED_VALUE"""),"ITBISA-7SEGMENT-CATHODE-RED-1.20-1BIT")</f>
        <v>ITBISA-7SEGMENT-CATHODE-RED-1.20-1BIT</v>
      </c>
      <c r="B1134" s="266">
        <f>IFERROR(__xludf.DUMMYFUNCTION("""COMPUTED_VALUE"""),45771.0)</f>
        <v>45771</v>
      </c>
      <c r="C1134" s="266" t="str">
        <f>IFERROR(__xludf.DUMMYFUNCTION("""COMPUTED_VALUE"""),"KERTASARI CIAMIS")</f>
        <v>KERTASARI CIAMIS</v>
      </c>
      <c r="D1134" s="186">
        <f>IFERROR(__xludf.DUMMYFUNCTION("""COMPUTED_VALUE"""),6.0)</f>
        <v>6</v>
      </c>
    </row>
    <row r="1135">
      <c r="A1135" s="178" t="str">
        <f>IFERROR(__xludf.DUMMYFUNCTION("""COMPUTED_VALUE"""),"ITBISA-7SEGMENT-CATHODE-RED-1.20-1BIT")</f>
        <v>ITBISA-7SEGMENT-CATHODE-RED-1.20-1BIT</v>
      </c>
      <c r="B1135" s="266">
        <f>IFERROR(__xludf.DUMMYFUNCTION("""COMPUTED_VALUE"""),45782.0)</f>
        <v>45782</v>
      </c>
      <c r="C1135" s="266" t="str">
        <f>IFERROR(__xludf.DUMMYFUNCTION("""COMPUTED_VALUE"""),"KERTASARI CIAMIS")</f>
        <v>KERTASARI CIAMIS</v>
      </c>
      <c r="D1135" s="186">
        <f>IFERROR(__xludf.DUMMYFUNCTION("""COMPUTED_VALUE"""),6.0)</f>
        <v>6</v>
      </c>
    </row>
    <row r="1136">
      <c r="A1136" s="178" t="str">
        <f>IFERROR(__xludf.DUMMYFUNCTION("""COMPUTED_VALUE"""),"ITBISA-7SEGMENT-CATHODE-RED-1.20-1BIT")</f>
        <v>ITBISA-7SEGMENT-CATHODE-RED-1.20-1BIT</v>
      </c>
      <c r="B1136" s="266">
        <f>IFERROR(__xludf.DUMMYFUNCTION("""COMPUTED_VALUE"""),45786.0)</f>
        <v>45786</v>
      </c>
      <c r="C1136" s="266" t="str">
        <f>IFERROR(__xludf.DUMMYFUNCTION("""COMPUTED_VALUE"""),"KERTASARI CIAMIS")</f>
        <v>KERTASARI CIAMIS</v>
      </c>
      <c r="D1136" s="186">
        <f>IFERROR(__xludf.DUMMYFUNCTION("""COMPUTED_VALUE"""),8.0)</f>
        <v>8</v>
      </c>
    </row>
    <row r="1137">
      <c r="A1137" s="178" t="str">
        <f>IFERROR(__xludf.DUMMYFUNCTION("""COMPUTED_VALUE"""),"ITBISA-7SEGMENT-CATHODE-RED-1.20-1BIT")</f>
        <v>ITBISA-7SEGMENT-CATHODE-RED-1.20-1BIT</v>
      </c>
      <c r="B1137" s="266">
        <f>IFERROR(__xludf.DUMMYFUNCTION("""COMPUTED_VALUE"""),45798.0)</f>
        <v>45798</v>
      </c>
      <c r="C1137" s="266" t="str">
        <f>IFERROR(__xludf.DUMMYFUNCTION("""COMPUTED_VALUE"""),"KERTASARI CIAMIS")</f>
        <v>KERTASARI CIAMIS</v>
      </c>
      <c r="D1137" s="186">
        <f>IFERROR(__xludf.DUMMYFUNCTION("""COMPUTED_VALUE"""),4.0)</f>
        <v>4</v>
      </c>
    </row>
    <row r="1138">
      <c r="A1138" s="178" t="str">
        <f>IFERROR(__xludf.DUMMYFUNCTION("""COMPUTED_VALUE"""),"ITBISA-7SEGMENT-CATHODE-RED-1.20-1BIT")</f>
        <v>ITBISA-7SEGMENT-CATHODE-RED-1.20-1BIT</v>
      </c>
      <c r="B1138" s="266">
        <f>IFERROR(__xludf.DUMMYFUNCTION("""COMPUTED_VALUE"""),45803.0)</f>
        <v>45803</v>
      </c>
      <c r="C1138" s="266" t="str">
        <f>IFERROR(__xludf.DUMMYFUNCTION("""COMPUTED_VALUE"""),"KERTASARI CIAMIS")</f>
        <v>KERTASARI CIAMIS</v>
      </c>
      <c r="D1138" s="186">
        <f>IFERROR(__xludf.DUMMYFUNCTION("""COMPUTED_VALUE"""),12.0)</f>
        <v>12</v>
      </c>
    </row>
    <row r="1139">
      <c r="A1139" s="178" t="str">
        <f>IFERROR(__xludf.DUMMYFUNCTION("""COMPUTED_VALUE"""),"ITBISA-7SEGMENT-CATHODE-RED-1.20-1BIT")</f>
        <v>ITBISA-7SEGMENT-CATHODE-RED-1.20-1BIT</v>
      </c>
      <c r="B1139" s="266">
        <f>IFERROR(__xludf.DUMMYFUNCTION("""COMPUTED_VALUE"""),45805.0)</f>
        <v>45805</v>
      </c>
      <c r="C1139" s="266" t="str">
        <f>IFERROR(__xludf.DUMMYFUNCTION("""COMPUTED_VALUE"""),"KYAI KONTONG")</f>
        <v>KYAI KONTONG</v>
      </c>
      <c r="D1139" s="186">
        <f>IFERROR(__xludf.DUMMYFUNCTION("""COMPUTED_VALUE"""),3.0)</f>
        <v>3</v>
      </c>
    </row>
    <row r="1140">
      <c r="A1140" s="178" t="str">
        <f>IFERROR(__xludf.DUMMYFUNCTION("""COMPUTED_VALUE"""),"ITBISA-7SEGMENT-CATHODE-RED-1.20-1BIT")</f>
        <v>ITBISA-7SEGMENT-CATHODE-RED-1.20-1BIT</v>
      </c>
      <c r="B1140" s="266">
        <f>IFERROR(__xludf.DUMMYFUNCTION("""COMPUTED_VALUE"""),45807.0)</f>
        <v>45807</v>
      </c>
      <c r="C1140" s="266" t="str">
        <f>IFERROR(__xludf.DUMMYFUNCTION("""COMPUTED_VALUE"""),"KERTASARI CIAMIS")</f>
        <v>KERTASARI CIAMIS</v>
      </c>
      <c r="D1140" s="186">
        <f>IFERROR(__xludf.DUMMYFUNCTION("""COMPUTED_VALUE"""),10.0)</f>
        <v>10</v>
      </c>
    </row>
    <row r="1141">
      <c r="A1141" s="178" t="str">
        <f>IFERROR(__xludf.DUMMYFUNCTION("""COMPUTED_VALUE"""),"ITBISA-7SEGMENT-CATHODE-RED-1.20-1BIT")</f>
        <v>ITBISA-7SEGMENT-CATHODE-RED-1.20-1BIT</v>
      </c>
      <c r="B1141" s="266">
        <f>IFERROR(__xludf.DUMMYFUNCTION("""COMPUTED_VALUE"""),45808.0)</f>
        <v>45808</v>
      </c>
      <c r="C1141" s="266" t="str">
        <f>IFERROR(__xludf.DUMMYFUNCTION("""COMPUTED_VALUE"""),"KERTASARI CIAMIS")</f>
        <v>KERTASARI CIAMIS</v>
      </c>
      <c r="D1141" s="186">
        <f>IFERROR(__xludf.DUMMYFUNCTION("""COMPUTED_VALUE"""),1.0)</f>
        <v>1</v>
      </c>
    </row>
    <row r="1142">
      <c r="A1142" s="178" t="str">
        <f>IFERROR(__xludf.DUMMYFUNCTION("""COMPUTED_VALUE"""),"ITBISA-7SEGMENT-CATHODE-RED-1.20-1BIT")</f>
        <v>ITBISA-7SEGMENT-CATHODE-RED-1.20-1BIT</v>
      </c>
      <c r="B1142" s="266">
        <f>IFERROR(__xludf.DUMMYFUNCTION("""COMPUTED_VALUE"""),45831.0)</f>
        <v>45831</v>
      </c>
      <c r="C1142" s="266" t="str">
        <f>IFERROR(__xludf.DUMMYFUNCTION("""COMPUTED_VALUE"""),"KERTASARI CIAMIS")</f>
        <v>KERTASARI CIAMIS</v>
      </c>
      <c r="D1142" s="186">
        <f>IFERROR(__xludf.DUMMYFUNCTION("""COMPUTED_VALUE"""),20.0)</f>
        <v>20</v>
      </c>
    </row>
    <row r="1143">
      <c r="A1143" s="178" t="str">
        <f>IFERROR(__xludf.DUMMYFUNCTION("""COMPUTED_VALUE"""),"ITBISA-7SEGMENT-CATHODE-RED-1.20-1BIT")</f>
        <v>ITBISA-7SEGMENT-CATHODE-RED-1.20-1BIT</v>
      </c>
      <c r="B1143" s="266">
        <f>IFERROR(__xludf.DUMMYFUNCTION("""COMPUTED_VALUE"""),45844.0)</f>
        <v>45844</v>
      </c>
      <c r="C1143" s="266" t="str">
        <f>IFERROR(__xludf.DUMMYFUNCTION("""COMPUTED_VALUE"""),"KYAI KONTONG")</f>
        <v>KYAI KONTONG</v>
      </c>
      <c r="D1143" s="186">
        <f>IFERROR(__xludf.DUMMYFUNCTION("""COMPUTED_VALUE"""),2.0)</f>
        <v>2</v>
      </c>
    </row>
    <row r="1144">
      <c r="A1144" s="178" t="str">
        <f>IFERROR(__xludf.DUMMYFUNCTION("""COMPUTED_VALUE"""),"ITBISA-7SEGMENT-CATHODE-RED-1.20-1BIT")</f>
        <v>ITBISA-7SEGMENT-CATHODE-RED-1.20-1BIT</v>
      </c>
      <c r="B1144" s="266">
        <f>IFERROR(__xludf.DUMMYFUNCTION("""COMPUTED_VALUE"""),45844.0)</f>
        <v>45844</v>
      </c>
      <c r="C1144" s="266" t="str">
        <f>IFERROR(__xludf.DUMMYFUNCTION("""COMPUTED_VALUE"""),"KYAI KONTONG")</f>
        <v>KYAI KONTONG</v>
      </c>
      <c r="D1144" s="186">
        <f>IFERROR(__xludf.DUMMYFUNCTION("""COMPUTED_VALUE"""),2.0)</f>
        <v>2</v>
      </c>
    </row>
    <row r="1145">
      <c r="A1145" s="178" t="str">
        <f>IFERROR(__xludf.DUMMYFUNCTION("""COMPUTED_VALUE"""),"ITBISA-7SEGMENT-CATHODE-RED-1.20-1BIT")</f>
        <v>ITBISA-7SEGMENT-CATHODE-RED-1.20-1BIT</v>
      </c>
      <c r="B1145" s="266">
        <f>IFERROR(__xludf.DUMMYFUNCTION("""COMPUTED_VALUE"""),45844.0)</f>
        <v>45844</v>
      </c>
      <c r="C1145" s="266" t="str">
        <f>IFERROR(__xludf.DUMMYFUNCTION("""COMPUTED_VALUE"""),"KYAI KONTONG")</f>
        <v>KYAI KONTONG</v>
      </c>
      <c r="D1145" s="186">
        <f>IFERROR(__xludf.DUMMYFUNCTION("""COMPUTED_VALUE"""),2.0)</f>
        <v>2</v>
      </c>
    </row>
    <row r="1146">
      <c r="A1146" s="178" t="str">
        <f>IFERROR(__xludf.DUMMYFUNCTION("""COMPUTED_VALUE"""),"ITBISA-7SEGMENT-CATHODE-RED-1.20-1BIT")</f>
        <v>ITBISA-7SEGMENT-CATHODE-RED-1.20-1BIT</v>
      </c>
      <c r="B1146" s="266">
        <f>IFERROR(__xludf.DUMMYFUNCTION("""COMPUTED_VALUE"""),45849.0)</f>
        <v>45849</v>
      </c>
      <c r="C1146" s="266" t="str">
        <f>IFERROR(__xludf.DUMMYFUNCTION("""COMPUTED_VALUE"""),"KERTASARI CIAMIS")</f>
        <v>KERTASARI CIAMIS</v>
      </c>
      <c r="D1146" s="186">
        <f>IFERROR(__xludf.DUMMYFUNCTION("""COMPUTED_VALUE"""),4.0)</f>
        <v>4</v>
      </c>
    </row>
    <row r="1147">
      <c r="A1147" s="178" t="str">
        <f>IFERROR(__xludf.DUMMYFUNCTION("""COMPUTED_VALUE"""),"ITBISA-7SEGMENT-CATHODE-RED-1.20-1BIT")</f>
        <v>ITBISA-7SEGMENT-CATHODE-RED-1.20-1BIT</v>
      </c>
      <c r="B1147" s="266">
        <f>IFERROR(__xludf.DUMMYFUNCTION("""COMPUTED_VALUE"""),45856.0)</f>
        <v>45856</v>
      </c>
      <c r="C1147" s="266" t="str">
        <f>IFERROR(__xludf.DUMMYFUNCTION("""COMPUTED_VALUE"""),"KYAI KONTONG")</f>
        <v>KYAI KONTONG</v>
      </c>
      <c r="D1147" s="186">
        <f>IFERROR(__xludf.DUMMYFUNCTION("""COMPUTED_VALUE"""),5.0)</f>
        <v>5</v>
      </c>
    </row>
    <row r="1148">
      <c r="A1148" s="178" t="str">
        <f>IFERROR(__xludf.DUMMYFUNCTION("""COMPUTED_VALUE"""),"ITBISA-7SEGMENT-CATHODE-RED-1.20-1BIT")</f>
        <v>ITBISA-7SEGMENT-CATHODE-RED-1.20-1BIT</v>
      </c>
      <c r="B1148" s="266">
        <f>IFERROR(__xludf.DUMMYFUNCTION("""COMPUTED_VALUE"""),45869.0)</f>
        <v>45869</v>
      </c>
      <c r="C1148" s="266" t="str">
        <f>IFERROR(__xludf.DUMMYFUNCTION("""COMPUTED_VALUE"""),"KYAI KONTONG")</f>
        <v>KYAI KONTONG</v>
      </c>
      <c r="D1148" s="186">
        <f>IFERROR(__xludf.DUMMYFUNCTION("""COMPUTED_VALUE"""),20.0)</f>
        <v>20</v>
      </c>
    </row>
    <row r="1149">
      <c r="A1149" s="178" t="str">
        <f>IFERROR(__xludf.DUMMYFUNCTION("""COMPUTED_VALUE"""),"ITBISA-7SEGMENT-CATHODE-RED-1.20-1BIT")</f>
        <v>ITBISA-7SEGMENT-CATHODE-RED-1.20-1BIT</v>
      </c>
      <c r="B1149" s="266">
        <f>IFERROR(__xludf.DUMMYFUNCTION("""COMPUTED_VALUE"""),45904.0)</f>
        <v>45904</v>
      </c>
      <c r="C1149" s="266" t="str">
        <f>IFERROR(__xludf.DUMMYFUNCTION("""COMPUTED_VALUE"""),"KYAI KONTONG")</f>
        <v>KYAI KONTONG</v>
      </c>
      <c r="D1149" s="186">
        <f>IFERROR(__xludf.DUMMYFUNCTION("""COMPUTED_VALUE"""),40.0)</f>
        <v>40</v>
      </c>
    </row>
    <row r="1150">
      <c r="A1150" s="178" t="str">
        <f>IFERROR(__xludf.DUMMYFUNCTION("""COMPUTED_VALUE"""),"ITBISA-7SEGMENT-CATHODE-RED-1.20-1BIT")</f>
        <v>ITBISA-7SEGMENT-CATHODE-RED-1.20-1BIT</v>
      </c>
      <c r="B1150" s="266">
        <f>IFERROR(__xludf.DUMMYFUNCTION("""COMPUTED_VALUE"""),45927.0)</f>
        <v>45927</v>
      </c>
      <c r="C1150" s="266" t="str">
        <f>IFERROR(__xludf.DUMMYFUNCTION("""COMPUTED_VALUE"""),"KYAI KONTONG")</f>
        <v>KYAI KONTONG</v>
      </c>
      <c r="D1150" s="186">
        <f>IFERROR(__xludf.DUMMYFUNCTION("""COMPUTED_VALUE"""),60.0)</f>
        <v>60</v>
      </c>
    </row>
    <row r="1151">
      <c r="A1151" s="178" t="str">
        <f>IFERROR(__xludf.DUMMYFUNCTION("""COMPUTED_VALUE"""),"ITBISA-7SEGMENT-CATHODE-RED-1.20-1BIT")</f>
        <v>ITBISA-7SEGMENT-CATHODE-RED-1.20-1BIT</v>
      </c>
      <c r="B1151" s="266">
        <f>IFERROR(__xludf.DUMMYFUNCTION("""COMPUTED_VALUE"""),45936.0)</f>
        <v>45936</v>
      </c>
      <c r="C1151" s="266" t="str">
        <f>IFERROR(__xludf.DUMMYFUNCTION("""COMPUTED_VALUE"""),"KYAI KONTONG")</f>
        <v>KYAI KONTONG</v>
      </c>
      <c r="D1151" s="186">
        <f>IFERROR(__xludf.DUMMYFUNCTION("""COMPUTED_VALUE"""),10.0)</f>
        <v>10</v>
      </c>
    </row>
    <row r="1152">
      <c r="A1152" s="178" t="str">
        <f>IFERROR(__xludf.DUMMYFUNCTION("""COMPUTED_VALUE"""),"ITBISA-7SEGMENT-CATHODE-RED-1.20-1BIT")</f>
        <v>ITBISA-7SEGMENT-CATHODE-RED-1.20-1BIT</v>
      </c>
      <c r="B1152" s="266">
        <f>IFERROR(__xludf.DUMMYFUNCTION("""COMPUTED_VALUE"""),45947.0)</f>
        <v>45947</v>
      </c>
      <c r="C1152" s="266" t="str">
        <f>IFERROR(__xludf.DUMMYFUNCTION("""COMPUTED_VALUE"""),"KERTASARI CIAMIS")</f>
        <v>KERTASARI CIAMIS</v>
      </c>
      <c r="D1152" s="186">
        <f>IFERROR(__xludf.DUMMYFUNCTION("""COMPUTED_VALUE"""),50.0)</f>
        <v>50</v>
      </c>
    </row>
    <row r="1153">
      <c r="A1153" s="178" t="str">
        <f>IFERROR(__xludf.DUMMYFUNCTION("""COMPUTED_VALUE"""),"ITBISA-7SEGMENT-CATHODE-RED-1.20-1BIT")</f>
        <v>ITBISA-7SEGMENT-CATHODE-RED-1.20-1BIT</v>
      </c>
      <c r="B1153" s="266">
        <f>IFERROR(__xludf.DUMMYFUNCTION("""COMPUTED_VALUE"""),45950.0)</f>
        <v>45950</v>
      </c>
      <c r="C1153" s="266" t="str">
        <f>IFERROR(__xludf.DUMMYFUNCTION("""COMPUTED_VALUE"""),"KYAI KONTONG")</f>
        <v>KYAI KONTONG</v>
      </c>
      <c r="D1153" s="186">
        <f>IFERROR(__xludf.DUMMYFUNCTION("""COMPUTED_VALUE"""),10.0)</f>
        <v>10</v>
      </c>
    </row>
    <row r="1154">
      <c r="A1154" s="178" t="str">
        <f>IFERROR(__xludf.DUMMYFUNCTION("""COMPUTED_VALUE"""),"ITBISA-7SEGMENT-CATHODE-RED-1.20-1BIT")</f>
        <v>ITBISA-7SEGMENT-CATHODE-RED-1.20-1BIT</v>
      </c>
      <c r="B1154" s="266">
        <f>IFERROR(__xludf.DUMMYFUNCTION("""COMPUTED_VALUE"""),45951.0)</f>
        <v>45951</v>
      </c>
      <c r="C1154" s="266" t="str">
        <f>IFERROR(__xludf.DUMMYFUNCTION("""COMPUTED_VALUE"""),"KERTASARI CIAMIS")</f>
        <v>KERTASARI CIAMIS</v>
      </c>
      <c r="D1154" s="186">
        <f>IFERROR(__xludf.DUMMYFUNCTION("""COMPUTED_VALUE"""),3.0)</f>
        <v>3</v>
      </c>
    </row>
    <row r="1155">
      <c r="A1155" s="178" t="str">
        <f>IFERROR(__xludf.DUMMYFUNCTION("""COMPUTED_VALUE"""),"ITBISA-7SEGMENT-CATHODE-RED-1.20-1BIT")</f>
        <v>ITBISA-7SEGMENT-CATHODE-RED-1.20-1BIT</v>
      </c>
      <c r="B1155" s="266">
        <f>IFERROR(__xludf.DUMMYFUNCTION("""COMPUTED_VALUE"""),45952.0)</f>
        <v>45952</v>
      </c>
      <c r="C1155" s="266" t="str">
        <f>IFERROR(__xludf.DUMMYFUNCTION("""COMPUTED_VALUE"""),"KYAI KONTONG")</f>
        <v>KYAI KONTONG</v>
      </c>
      <c r="D1155" s="186">
        <f>IFERROR(__xludf.DUMMYFUNCTION("""COMPUTED_VALUE"""),2.0)</f>
        <v>2</v>
      </c>
    </row>
    <row r="1156">
      <c r="A1156" s="178" t="str">
        <f>IFERROR(__xludf.DUMMYFUNCTION("""COMPUTED_VALUE"""),"ITBISA-7SEGMENT-CATHODE-RED-1.20-1BIT")</f>
        <v>ITBISA-7SEGMENT-CATHODE-RED-1.20-1BIT</v>
      </c>
      <c r="B1156" s="266">
        <f>IFERROR(__xludf.DUMMYFUNCTION("""COMPUTED_VALUE"""),45952.0)</f>
        <v>45952</v>
      </c>
      <c r="C1156" s="266" t="str">
        <f>IFERROR(__xludf.DUMMYFUNCTION("""COMPUTED_VALUE"""),"KYAI KONTONG")</f>
        <v>KYAI KONTONG</v>
      </c>
      <c r="D1156" s="186">
        <f>IFERROR(__xludf.DUMMYFUNCTION("""COMPUTED_VALUE"""),6.0)</f>
        <v>6</v>
      </c>
    </row>
    <row r="1157">
      <c r="A1157" s="178" t="str">
        <f>IFERROR(__xludf.DUMMYFUNCTION("""COMPUTED_VALUE"""),"ITBISA-7SEGMENT-CATHODE-RED-1.20-1BIT")</f>
        <v>ITBISA-7SEGMENT-CATHODE-RED-1.20-1BIT</v>
      </c>
      <c r="B1157" s="266">
        <f>IFERROR(__xludf.DUMMYFUNCTION("""COMPUTED_VALUE"""),45954.0)</f>
        <v>45954</v>
      </c>
      <c r="C1157" s="266" t="str">
        <f>IFERROR(__xludf.DUMMYFUNCTION("""COMPUTED_VALUE"""),"KYAI KONTONG")</f>
        <v>KYAI KONTONG</v>
      </c>
      <c r="D1157" s="186">
        <f>IFERROR(__xludf.DUMMYFUNCTION("""COMPUTED_VALUE"""),1.0)</f>
        <v>1</v>
      </c>
    </row>
    <row r="1158">
      <c r="A1158" s="178" t="str">
        <f>IFERROR(__xludf.DUMMYFUNCTION("""COMPUTED_VALUE"""),"ITBISA-7SEGMENT-CATHODE-RED-1.20-1BIT")</f>
        <v>ITBISA-7SEGMENT-CATHODE-RED-1.20-1BIT</v>
      </c>
      <c r="B1158" s="266">
        <f>IFERROR(__xludf.DUMMYFUNCTION("""COMPUTED_VALUE"""),45956.0)</f>
        <v>45956</v>
      </c>
      <c r="C1158" s="266" t="str">
        <f>IFERROR(__xludf.DUMMYFUNCTION("""COMPUTED_VALUE"""),"KERTASARI CIAMIS")</f>
        <v>KERTASARI CIAMIS</v>
      </c>
      <c r="D1158" s="186">
        <f>IFERROR(__xludf.DUMMYFUNCTION("""COMPUTED_VALUE"""),10.0)</f>
        <v>10</v>
      </c>
    </row>
    <row r="1159">
      <c r="A1159" s="178" t="str">
        <f>IFERROR(__xludf.DUMMYFUNCTION("""COMPUTED_VALUE"""),"ITBISA-7SEGMENT-CATHODE-RED-1.20-1BIT")</f>
        <v>ITBISA-7SEGMENT-CATHODE-RED-1.20-1BIT</v>
      </c>
      <c r="B1159" s="266">
        <f>IFERROR(__xludf.DUMMYFUNCTION("""COMPUTED_VALUE"""),45957.0)</f>
        <v>45957</v>
      </c>
      <c r="C1159" s="266" t="str">
        <f>IFERROR(__xludf.DUMMYFUNCTION("""COMPUTED_VALUE"""),"KYAI KONTONG")</f>
        <v>KYAI KONTONG</v>
      </c>
      <c r="D1159" s="186">
        <f>IFERROR(__xludf.DUMMYFUNCTION("""COMPUTED_VALUE"""),1.0)</f>
        <v>1</v>
      </c>
    </row>
    <row r="1160">
      <c r="A1160" s="178" t="str">
        <f>IFERROR(__xludf.DUMMYFUNCTION("""COMPUTED_VALUE"""),"ITBISA-7SEGMENT-CATHODE-RED-1.20-1BIT")</f>
        <v>ITBISA-7SEGMENT-CATHODE-RED-1.20-1BIT</v>
      </c>
      <c r="B1160" s="266">
        <f>IFERROR(__xludf.DUMMYFUNCTION("""COMPUTED_VALUE"""),45958.0)</f>
        <v>45958</v>
      </c>
      <c r="C1160" s="266" t="str">
        <f>IFERROR(__xludf.DUMMYFUNCTION("""COMPUTED_VALUE"""),"KYAI KONTONG")</f>
        <v>KYAI KONTONG</v>
      </c>
      <c r="D1160" s="186">
        <f>IFERROR(__xludf.DUMMYFUNCTION("""COMPUTED_VALUE"""),20.0)</f>
        <v>20</v>
      </c>
    </row>
    <row r="1161">
      <c r="A1161" s="178" t="str">
        <f>IFERROR(__xludf.DUMMYFUNCTION("""COMPUTED_VALUE"""),"ITBISA-7SEGMENT-CATHODE-RED-1.20-1BIT")</f>
        <v>ITBISA-7SEGMENT-CATHODE-RED-1.20-1BIT</v>
      </c>
      <c r="B1161" s="266">
        <f>IFERROR(__xludf.DUMMYFUNCTION("""COMPUTED_VALUE"""),45959.0)</f>
        <v>45959</v>
      </c>
      <c r="C1161" s="266" t="str">
        <f>IFERROR(__xludf.DUMMYFUNCTION("""COMPUTED_VALUE"""),"KERTASARI CIAMIS")</f>
        <v>KERTASARI CIAMIS</v>
      </c>
      <c r="D1161" s="186">
        <f>IFERROR(__xludf.DUMMYFUNCTION("""COMPUTED_VALUE"""),15.0)</f>
        <v>15</v>
      </c>
    </row>
    <row r="1162">
      <c r="A1162" s="178" t="str">
        <f>IFERROR(__xludf.DUMMYFUNCTION("""COMPUTED_VALUE"""),"ITBISA-7SEGMENT-CATHODE-RED-1.20-1BIT")</f>
        <v>ITBISA-7SEGMENT-CATHODE-RED-1.20-1BIT</v>
      </c>
      <c r="B1162" s="266">
        <f>IFERROR(__xludf.DUMMYFUNCTION("""COMPUTED_VALUE"""),45960.0)</f>
        <v>45960</v>
      </c>
      <c r="C1162" s="266" t="str">
        <f>IFERROR(__xludf.DUMMYFUNCTION("""COMPUTED_VALUE"""),"KYAI KONTONG")</f>
        <v>KYAI KONTONG</v>
      </c>
      <c r="D1162" s="186">
        <f>IFERROR(__xludf.DUMMYFUNCTION("""COMPUTED_VALUE"""),10.0)</f>
        <v>10</v>
      </c>
    </row>
    <row r="1163">
      <c r="A1163" s="178" t="str">
        <f>IFERROR(__xludf.DUMMYFUNCTION("""COMPUTED_VALUE"""),"ITBISA-7SEGMENT-CATHODE-RED-1.20-1BIT")</f>
        <v>ITBISA-7SEGMENT-CATHODE-RED-1.20-1BIT</v>
      </c>
      <c r="B1163" s="266">
        <f>IFERROR(__xludf.DUMMYFUNCTION("""COMPUTED_VALUE"""),45963.0)</f>
        <v>45963</v>
      </c>
      <c r="C1163" s="266" t="str">
        <f>IFERROR(__xludf.DUMMYFUNCTION("""COMPUTED_VALUE"""),"KYAI KONTONG")</f>
        <v>KYAI KONTONG</v>
      </c>
      <c r="D1163" s="186">
        <f>IFERROR(__xludf.DUMMYFUNCTION("""COMPUTED_VALUE"""),1.0)</f>
        <v>1</v>
      </c>
    </row>
    <row r="1164">
      <c r="A1164" s="178" t="str">
        <f>IFERROR(__xludf.DUMMYFUNCTION("""COMPUTED_VALUE"""),"ITBISA-7SEGMENT-CATHODE-RED-1.20-1BIT")</f>
        <v>ITBISA-7SEGMENT-CATHODE-RED-1.20-1BIT</v>
      </c>
      <c r="B1164" s="266">
        <f>IFERROR(__xludf.DUMMYFUNCTION("""COMPUTED_VALUE"""),45963.0)</f>
        <v>45963</v>
      </c>
      <c r="C1164" s="266" t="str">
        <f>IFERROR(__xludf.DUMMYFUNCTION("""COMPUTED_VALUE"""),"KYAI KONTONG")</f>
        <v>KYAI KONTONG</v>
      </c>
      <c r="D1164" s="186">
        <f>IFERROR(__xludf.DUMMYFUNCTION("""COMPUTED_VALUE"""),6.0)</f>
        <v>6</v>
      </c>
    </row>
    <row r="1165">
      <c r="A1165" s="178" t="str">
        <f>IFERROR(__xludf.DUMMYFUNCTION("""COMPUTED_VALUE"""),"ITBISA-7SEGMENT-CATHODE-RED-1.20-1BIT")</f>
        <v>ITBISA-7SEGMENT-CATHODE-RED-1.20-1BIT</v>
      </c>
      <c r="B1165" s="266">
        <f>IFERROR(__xludf.DUMMYFUNCTION("""COMPUTED_VALUE"""),45966.0)</f>
        <v>45966</v>
      </c>
      <c r="C1165" s="266" t="str">
        <f>IFERROR(__xludf.DUMMYFUNCTION("""COMPUTED_VALUE"""),"KYAI KONTONG")</f>
        <v>KYAI KONTONG</v>
      </c>
      <c r="D1165" s="186">
        <f>IFERROR(__xludf.DUMMYFUNCTION("""COMPUTED_VALUE"""),2.0)</f>
        <v>2</v>
      </c>
    </row>
    <row r="1166">
      <c r="A1166" s="178" t="str">
        <f>IFERROR(__xludf.DUMMYFUNCTION("""COMPUTED_VALUE"""),"ITBISA-7SEGMENT-CATHODE-RED-1.20-1BIT")</f>
        <v>ITBISA-7SEGMENT-CATHODE-RED-1.20-1BIT</v>
      </c>
      <c r="B1166" s="266">
        <f>IFERROR(__xludf.DUMMYFUNCTION("""COMPUTED_VALUE"""),45968.0)</f>
        <v>45968</v>
      </c>
      <c r="C1166" s="266" t="str">
        <f>IFERROR(__xludf.DUMMYFUNCTION("""COMPUTED_VALUE"""),"KERTASARI CIAMIS")</f>
        <v>KERTASARI CIAMIS</v>
      </c>
      <c r="D1166" s="186">
        <f>IFERROR(__xludf.DUMMYFUNCTION("""COMPUTED_VALUE"""),16.0)</f>
        <v>16</v>
      </c>
    </row>
    <row r="1167">
      <c r="A1167" s="178" t="str">
        <f>IFERROR(__xludf.DUMMYFUNCTION("""COMPUTED_VALUE"""),"ITBISA-7SEGMENT-CATHODE-RED-1.20-1BIT")</f>
        <v>ITBISA-7SEGMENT-CATHODE-RED-1.20-1BIT</v>
      </c>
      <c r="B1167" s="266">
        <f>IFERROR(__xludf.DUMMYFUNCTION("""COMPUTED_VALUE"""),45969.0)</f>
        <v>45969</v>
      </c>
      <c r="C1167" s="266" t="str">
        <f>IFERROR(__xludf.DUMMYFUNCTION("""COMPUTED_VALUE"""),"KERTASARI CIAMIS")</f>
        <v>KERTASARI CIAMIS</v>
      </c>
      <c r="D1167" s="186">
        <f>IFERROR(__xludf.DUMMYFUNCTION("""COMPUTED_VALUE"""),15.0)</f>
        <v>15</v>
      </c>
    </row>
    <row r="1168">
      <c r="A1168" s="178" t="str">
        <f>IFERROR(__xludf.DUMMYFUNCTION("""COMPUTED_VALUE"""),"ITBISA-7SEGMENT-CATHODE-RED-1.20-1BIT")</f>
        <v>ITBISA-7SEGMENT-CATHODE-RED-1.20-1BIT</v>
      </c>
      <c r="B1168" s="266">
        <f>IFERROR(__xludf.DUMMYFUNCTION("""COMPUTED_VALUE"""),45972.0)</f>
        <v>45972</v>
      </c>
      <c r="C1168" s="266" t="str">
        <f>IFERROR(__xludf.DUMMYFUNCTION("""COMPUTED_VALUE"""),"KYAI KONTONG")</f>
        <v>KYAI KONTONG</v>
      </c>
      <c r="D1168" s="186">
        <f>IFERROR(__xludf.DUMMYFUNCTION("""COMPUTED_VALUE"""),3.0)</f>
        <v>3</v>
      </c>
    </row>
    <row r="1169">
      <c r="A1169" s="178" t="str">
        <f>IFERROR(__xludf.DUMMYFUNCTION("""COMPUTED_VALUE"""),"ITBISA-7SEGMENT-CATHODE-RED-1.20-1BIT")</f>
        <v>ITBISA-7SEGMENT-CATHODE-RED-1.20-1BIT</v>
      </c>
      <c r="B1169" s="266">
        <f>IFERROR(__xludf.DUMMYFUNCTION("""COMPUTED_VALUE"""),45973.0)</f>
        <v>45973</v>
      </c>
      <c r="C1169" s="266" t="str">
        <f>IFERROR(__xludf.DUMMYFUNCTION("""COMPUTED_VALUE"""),"KERTASARI CIAMIS")</f>
        <v>KERTASARI CIAMIS</v>
      </c>
      <c r="D1169" s="186">
        <f>IFERROR(__xludf.DUMMYFUNCTION("""COMPUTED_VALUE"""),5.0)</f>
        <v>5</v>
      </c>
    </row>
    <row r="1170">
      <c r="A1170" s="178" t="str">
        <f>IFERROR(__xludf.DUMMYFUNCTION("""COMPUTED_VALUE"""),"ITBISA-7SEGMENT-CATHODE-RED-1.20-1BIT")</f>
        <v>ITBISA-7SEGMENT-CATHODE-RED-1.20-1BIT</v>
      </c>
      <c r="B1170" s="266">
        <f>IFERROR(__xludf.DUMMYFUNCTION("""COMPUTED_VALUE"""),45979.0)</f>
        <v>45979</v>
      </c>
      <c r="C1170" s="266" t="str">
        <f>IFERROR(__xludf.DUMMYFUNCTION("""COMPUTED_VALUE"""),"KYAI KONTONG")</f>
        <v>KYAI KONTONG</v>
      </c>
      <c r="D1170" s="186">
        <f>IFERROR(__xludf.DUMMYFUNCTION("""COMPUTED_VALUE"""),1.0)</f>
        <v>1</v>
      </c>
    </row>
    <row r="1171">
      <c r="A1171" s="178" t="str">
        <f>IFERROR(__xludf.DUMMYFUNCTION("""COMPUTED_VALUE"""),"ITBISA-7SEGMENT-CATHODE-RED-1.20-1BIT")</f>
        <v>ITBISA-7SEGMENT-CATHODE-RED-1.20-1BIT</v>
      </c>
      <c r="B1171" s="266">
        <f>IFERROR(__xludf.DUMMYFUNCTION("""COMPUTED_VALUE"""),45979.0)</f>
        <v>45979</v>
      </c>
      <c r="C1171" s="266" t="str">
        <f>IFERROR(__xludf.DUMMYFUNCTION("""COMPUTED_VALUE"""),"KYAI KONTONG")</f>
        <v>KYAI KONTONG</v>
      </c>
      <c r="D1171" s="186">
        <f>IFERROR(__xludf.DUMMYFUNCTION("""COMPUTED_VALUE"""),2.0)</f>
        <v>2</v>
      </c>
    </row>
    <row r="1172">
      <c r="A1172" s="178" t="str">
        <f>IFERROR(__xludf.DUMMYFUNCTION("""COMPUTED_VALUE"""),"ITBISA-7SEGMENT-CATHODE-RED-1.20-1BIT")</f>
        <v>ITBISA-7SEGMENT-CATHODE-RED-1.20-1BIT</v>
      </c>
      <c r="B1172" s="266">
        <f>IFERROR(__xludf.DUMMYFUNCTION("""COMPUTED_VALUE"""),45980.0)</f>
        <v>45980</v>
      </c>
      <c r="C1172" s="266" t="str">
        <f>IFERROR(__xludf.DUMMYFUNCTION("""COMPUTED_VALUE"""),"KERTASARI CIAMIS")</f>
        <v>KERTASARI CIAMIS</v>
      </c>
      <c r="D1172" s="186">
        <f>IFERROR(__xludf.DUMMYFUNCTION("""COMPUTED_VALUE"""),24.0)</f>
        <v>24</v>
      </c>
    </row>
    <row r="1173">
      <c r="A1173" s="178" t="str">
        <f>IFERROR(__xludf.DUMMYFUNCTION("""COMPUTED_VALUE"""),"ITBISA-7SEGMENT-CATHODE-RED-1.20-1BIT")</f>
        <v>ITBISA-7SEGMENT-CATHODE-RED-1.20-1BIT</v>
      </c>
      <c r="B1173" s="266">
        <f>IFERROR(__xludf.DUMMYFUNCTION("""COMPUTED_VALUE"""),45980.0)</f>
        <v>45980</v>
      </c>
      <c r="C1173" s="266" t="str">
        <f>IFERROR(__xludf.DUMMYFUNCTION("""COMPUTED_VALUE"""),"KYAI KONTONG")</f>
        <v>KYAI KONTONG</v>
      </c>
      <c r="D1173" s="186">
        <f>IFERROR(__xludf.DUMMYFUNCTION("""COMPUTED_VALUE"""),30.0)</f>
        <v>30</v>
      </c>
    </row>
    <row r="1174">
      <c r="A1174" s="178" t="str">
        <f>IFERROR(__xludf.DUMMYFUNCTION("""COMPUTED_VALUE"""),"ITBISA-7SEGMENT-CATHODE-RED-1.20-1BIT")</f>
        <v>ITBISA-7SEGMENT-CATHODE-RED-1.20-1BIT</v>
      </c>
      <c r="B1174" s="266">
        <f>IFERROR(__xludf.DUMMYFUNCTION("""COMPUTED_VALUE"""),45980.0)</f>
        <v>45980</v>
      </c>
      <c r="C1174" s="266" t="str">
        <f>IFERROR(__xludf.DUMMYFUNCTION("""COMPUTED_VALUE"""),"KYAI KONTONG")</f>
        <v>KYAI KONTONG</v>
      </c>
      <c r="D1174" s="186">
        <f>IFERROR(__xludf.DUMMYFUNCTION("""COMPUTED_VALUE"""),60.0)</f>
        <v>60</v>
      </c>
    </row>
    <row r="1175">
      <c r="A1175" s="178" t="str">
        <f>IFERROR(__xludf.DUMMYFUNCTION("""COMPUTED_VALUE"""),"ITBISA-7SEGMENT-CATHODE-RED-1.20-1BIT")</f>
        <v>ITBISA-7SEGMENT-CATHODE-RED-1.20-1BIT</v>
      </c>
      <c r="B1175" s="266">
        <f>IFERROR(__xludf.DUMMYFUNCTION("""COMPUTED_VALUE"""),45984.0)</f>
        <v>45984</v>
      </c>
      <c r="C1175" s="266" t="str">
        <f>IFERROR(__xludf.DUMMYFUNCTION("""COMPUTED_VALUE"""),"KERTASARI CIAMIS")</f>
        <v>KERTASARI CIAMIS</v>
      </c>
      <c r="D1175" s="186">
        <f>IFERROR(__xludf.DUMMYFUNCTION("""COMPUTED_VALUE"""),5.0)</f>
        <v>5</v>
      </c>
    </row>
    <row r="1176">
      <c r="A1176" s="178" t="str">
        <f>IFERROR(__xludf.DUMMYFUNCTION("""COMPUTED_VALUE"""),"ITBISA-7SEGMENT-CATHODE-RED-1.20-1BIT")</f>
        <v>ITBISA-7SEGMENT-CATHODE-RED-1.20-1BIT</v>
      </c>
      <c r="B1176" s="266">
        <f>IFERROR(__xludf.DUMMYFUNCTION("""COMPUTED_VALUE"""),45987.0)</f>
        <v>45987</v>
      </c>
      <c r="C1176" s="266" t="str">
        <f>IFERROR(__xludf.DUMMYFUNCTION("""COMPUTED_VALUE"""),"KERTASARI CIAMIS")</f>
        <v>KERTASARI CIAMIS</v>
      </c>
      <c r="D1176" s="186">
        <f>IFERROR(__xludf.DUMMYFUNCTION("""COMPUTED_VALUE"""),30.0)</f>
        <v>30</v>
      </c>
    </row>
    <row r="1177">
      <c r="A1177" s="178" t="str">
        <f>IFERROR(__xludf.DUMMYFUNCTION("""COMPUTED_VALUE"""),"ITBISA-7SEGMENT-CATHODE-RED-1.20-1BIT")</f>
        <v>ITBISA-7SEGMENT-CATHODE-RED-1.20-1BIT</v>
      </c>
      <c r="B1177" s="266">
        <f>IFERROR(__xludf.DUMMYFUNCTION("""COMPUTED_VALUE"""),45992.0)</f>
        <v>45992</v>
      </c>
      <c r="C1177" s="266" t="str">
        <f>IFERROR(__xludf.DUMMYFUNCTION("""COMPUTED_VALUE"""),"KYAI KONTONG")</f>
        <v>KYAI KONTONG</v>
      </c>
      <c r="D1177" s="186">
        <f>IFERROR(__xludf.DUMMYFUNCTION("""COMPUTED_VALUE"""),5.0)</f>
        <v>5</v>
      </c>
    </row>
    <row r="1178">
      <c r="A1178" s="178" t="str">
        <f>IFERROR(__xludf.DUMMYFUNCTION("""COMPUTED_VALUE"""),"ITBISA-7SEGMENT-CATHODE-RED-1.20-1BIT")</f>
        <v>ITBISA-7SEGMENT-CATHODE-RED-1.20-1BIT</v>
      </c>
      <c r="B1178" s="266">
        <f>IFERROR(__xludf.DUMMYFUNCTION("""COMPUTED_VALUE"""),45994.0)</f>
        <v>45994</v>
      </c>
      <c r="C1178" s="266" t="str">
        <f>IFERROR(__xludf.DUMMYFUNCTION("""COMPUTED_VALUE"""),"KYAI KONTONG")</f>
        <v>KYAI KONTONG</v>
      </c>
      <c r="D1178" s="186">
        <f>IFERROR(__xludf.DUMMYFUNCTION("""COMPUTED_VALUE"""),3.0)</f>
        <v>3</v>
      </c>
    </row>
    <row r="1179">
      <c r="A1179" s="178" t="str">
        <f>IFERROR(__xludf.DUMMYFUNCTION("""COMPUTED_VALUE"""),"ITBISA-7SEGMENT-CATHODE-RED-1.20-1BIT")</f>
        <v>ITBISA-7SEGMENT-CATHODE-RED-1.20-1BIT</v>
      </c>
      <c r="B1179" s="266">
        <f>IFERROR(__xludf.DUMMYFUNCTION("""COMPUTED_VALUE"""),45994.0)</f>
        <v>45994</v>
      </c>
      <c r="C1179" s="266" t="str">
        <f>IFERROR(__xludf.DUMMYFUNCTION("""COMPUTED_VALUE"""),"KYAI KONTONG")</f>
        <v>KYAI KONTONG</v>
      </c>
      <c r="D1179" s="186">
        <f>IFERROR(__xludf.DUMMYFUNCTION("""COMPUTED_VALUE"""),15.0)</f>
        <v>15</v>
      </c>
    </row>
    <row r="1180">
      <c r="A1180" s="178" t="str">
        <f>IFERROR(__xludf.DUMMYFUNCTION("""COMPUTED_VALUE"""),"ITBISA-7SEGMENT-CATHODE-RED-1.20-1BIT")</f>
        <v>ITBISA-7SEGMENT-CATHODE-RED-1.20-1BIT</v>
      </c>
      <c r="B1180" s="266">
        <f>IFERROR(__xludf.DUMMYFUNCTION("""COMPUTED_VALUE"""),45995.0)</f>
        <v>45995</v>
      </c>
      <c r="C1180" s="266" t="str">
        <f>IFERROR(__xludf.DUMMYFUNCTION("""COMPUTED_VALUE"""),"KERTASARI CIAMIS")</f>
        <v>KERTASARI CIAMIS</v>
      </c>
      <c r="D1180" s="186">
        <f>IFERROR(__xludf.DUMMYFUNCTION("""COMPUTED_VALUE"""),7.0)</f>
        <v>7</v>
      </c>
    </row>
    <row r="1181">
      <c r="A1181" s="178" t="str">
        <f>IFERROR(__xludf.DUMMYFUNCTION("""COMPUTED_VALUE"""),"ITBISA-7SEGMENT-CATHODE-RED-1.20-1BIT")</f>
        <v>ITBISA-7SEGMENT-CATHODE-RED-1.20-1BIT</v>
      </c>
      <c r="B1181" s="266">
        <f>IFERROR(__xludf.DUMMYFUNCTION("""COMPUTED_VALUE"""),45996.0)</f>
        <v>45996</v>
      </c>
      <c r="C1181" s="266" t="str">
        <f>IFERROR(__xludf.DUMMYFUNCTION("""COMPUTED_VALUE"""),"KERTASARI CIAMIS")</f>
        <v>KERTASARI CIAMIS</v>
      </c>
      <c r="D1181" s="186">
        <f>IFERROR(__xludf.DUMMYFUNCTION("""COMPUTED_VALUE"""),10.0)</f>
        <v>10</v>
      </c>
    </row>
    <row r="1182">
      <c r="A1182" s="178" t="str">
        <f>IFERROR(__xludf.DUMMYFUNCTION("""COMPUTED_VALUE"""),"ITBISA-7SEGMENT-CATHODE-RED-1.20-1BIT")</f>
        <v>ITBISA-7SEGMENT-CATHODE-RED-1.20-1BIT</v>
      </c>
      <c r="B1182" s="266">
        <f>IFERROR(__xludf.DUMMYFUNCTION("""COMPUTED_VALUE"""),45996.0)</f>
        <v>45996</v>
      </c>
      <c r="C1182" s="266" t="str">
        <f>IFERROR(__xludf.DUMMYFUNCTION("""COMPUTED_VALUE"""),"KYAI KONTONG")</f>
        <v>KYAI KONTONG</v>
      </c>
      <c r="D1182" s="186">
        <f>IFERROR(__xludf.DUMMYFUNCTION("""COMPUTED_VALUE"""),2.0)</f>
        <v>2</v>
      </c>
    </row>
    <row r="1183">
      <c r="A1183" s="178" t="str">
        <f>IFERROR(__xludf.DUMMYFUNCTION("""COMPUTED_VALUE"""),"ITBISA-7SEGMENT-CATHODE-RED-1.20-1BIT")</f>
        <v>ITBISA-7SEGMENT-CATHODE-RED-1.20-1BIT</v>
      </c>
      <c r="B1183" s="266">
        <f>IFERROR(__xludf.DUMMYFUNCTION("""COMPUTED_VALUE"""),46000.0)</f>
        <v>46000</v>
      </c>
      <c r="C1183" s="266" t="str">
        <f>IFERROR(__xludf.DUMMYFUNCTION("""COMPUTED_VALUE"""),"KERTASARI CIAMIS")</f>
        <v>KERTASARI CIAMIS</v>
      </c>
      <c r="D1183" s="186">
        <f>IFERROR(__xludf.DUMMYFUNCTION("""COMPUTED_VALUE"""),4.0)</f>
        <v>4</v>
      </c>
    </row>
    <row r="1184">
      <c r="A1184" s="178" t="str">
        <f>IFERROR(__xludf.DUMMYFUNCTION("""COMPUTED_VALUE"""),"ITBISA-7SEGMENT-CATHODE-RED-2.30-1BIT")</f>
        <v>ITBISA-7SEGMENT-CATHODE-RED-2.30-1BIT</v>
      </c>
      <c r="B1184" s="266">
        <f>IFERROR(__xludf.DUMMYFUNCTION("""COMPUTED_VALUE"""),45349.0)</f>
        <v>45349</v>
      </c>
      <c r="C1184" s="266" t="str">
        <f>IFERROR(__xludf.DUMMYFUNCTION("""COMPUTED_VALUE"""),"KYAI KONTONG")</f>
        <v>KYAI KONTONG</v>
      </c>
      <c r="D1184" s="186">
        <f>IFERROR(__xludf.DUMMYFUNCTION("""COMPUTED_VALUE"""),3.0)</f>
        <v>3</v>
      </c>
    </row>
    <row r="1185">
      <c r="A1185" s="178" t="str">
        <f>IFERROR(__xludf.DUMMYFUNCTION("""COMPUTED_VALUE"""),"ITBISA-7SEGMENT-CATHODE-RED-2.30-1BIT")</f>
        <v>ITBISA-7SEGMENT-CATHODE-RED-2.30-1BIT</v>
      </c>
      <c r="B1185" s="266">
        <f>IFERROR(__xludf.DUMMYFUNCTION("""COMPUTED_VALUE"""),45413.0)</f>
        <v>45413</v>
      </c>
      <c r="C1185" s="266" t="str">
        <f>IFERROR(__xludf.DUMMYFUNCTION("""COMPUTED_VALUE"""),"KYAI KONTONG")</f>
        <v>KYAI KONTONG</v>
      </c>
      <c r="D1185" s="186">
        <f>IFERROR(__xludf.DUMMYFUNCTION("""COMPUTED_VALUE"""),2.0)</f>
        <v>2</v>
      </c>
    </row>
    <row r="1186">
      <c r="A1186" s="178" t="str">
        <f>IFERROR(__xludf.DUMMYFUNCTION("""COMPUTED_VALUE"""),"ITBISA-7SEGMENT-CATHODE-RED-2.30-1BIT")</f>
        <v>ITBISA-7SEGMENT-CATHODE-RED-2.30-1BIT</v>
      </c>
      <c r="B1186" s="266">
        <f>IFERROR(__xludf.DUMMYFUNCTION("""COMPUTED_VALUE"""),45421.0)</f>
        <v>45421</v>
      </c>
      <c r="C1186" s="266" t="str">
        <f>IFERROR(__xludf.DUMMYFUNCTION("""COMPUTED_VALUE"""),"KYAI KONTONG")</f>
        <v>KYAI KONTONG</v>
      </c>
      <c r="D1186" s="186">
        <f>IFERROR(__xludf.DUMMYFUNCTION("""COMPUTED_VALUE"""),14.0)</f>
        <v>14</v>
      </c>
    </row>
    <row r="1187">
      <c r="A1187" s="178" t="str">
        <f>IFERROR(__xludf.DUMMYFUNCTION("""COMPUTED_VALUE"""),"ITBISA-7SEGMENT-CATHODE-RED-2.30-1BIT")</f>
        <v>ITBISA-7SEGMENT-CATHODE-RED-2.30-1BIT</v>
      </c>
      <c r="B1187" s="266">
        <f>IFERROR(__xludf.DUMMYFUNCTION("""COMPUTED_VALUE"""),45433.0)</f>
        <v>45433</v>
      </c>
      <c r="C1187" s="266" t="str">
        <f>IFERROR(__xludf.DUMMYFUNCTION("""COMPUTED_VALUE"""),"KYAI KONTONG")</f>
        <v>KYAI KONTONG</v>
      </c>
      <c r="D1187" s="186">
        <f>IFERROR(__xludf.DUMMYFUNCTION("""COMPUTED_VALUE"""),1.0)</f>
        <v>1</v>
      </c>
    </row>
    <row r="1188">
      <c r="A1188" s="178" t="str">
        <f>IFERROR(__xludf.DUMMYFUNCTION("""COMPUTED_VALUE"""),"ITBISA-7SEGMENT-CATHODE-RED-2.30-1BIT")</f>
        <v>ITBISA-7SEGMENT-CATHODE-RED-2.30-1BIT</v>
      </c>
      <c r="B1188" s="266">
        <f>IFERROR(__xludf.DUMMYFUNCTION("""COMPUTED_VALUE"""),45436.0)</f>
        <v>45436</v>
      </c>
      <c r="C1188" s="266" t="str">
        <f>IFERROR(__xludf.DUMMYFUNCTION("""COMPUTED_VALUE"""),"KYAI KONTONG")</f>
        <v>KYAI KONTONG</v>
      </c>
      <c r="D1188" s="186">
        <f>IFERROR(__xludf.DUMMYFUNCTION("""COMPUTED_VALUE"""),3.0)</f>
        <v>3</v>
      </c>
    </row>
    <row r="1189">
      <c r="A1189" s="178" t="str">
        <f>IFERROR(__xludf.DUMMYFUNCTION("""COMPUTED_VALUE"""),"ITBISA-7SEGMENT-CATHODE-RED-2.30-1BIT")</f>
        <v>ITBISA-7SEGMENT-CATHODE-RED-2.30-1BIT</v>
      </c>
      <c r="B1189" s="266">
        <f>IFERROR(__xludf.DUMMYFUNCTION("""COMPUTED_VALUE"""),45444.0)</f>
        <v>45444</v>
      </c>
      <c r="C1189" s="266" t="str">
        <f>IFERROR(__xludf.DUMMYFUNCTION("""COMPUTED_VALUE"""),"KYAI KONTONG")</f>
        <v>KYAI KONTONG</v>
      </c>
      <c r="D1189" s="186">
        <f>IFERROR(__xludf.DUMMYFUNCTION("""COMPUTED_VALUE"""),2.0)</f>
        <v>2</v>
      </c>
    </row>
    <row r="1190">
      <c r="A1190" s="178" t="str">
        <f>IFERROR(__xludf.DUMMYFUNCTION("""COMPUTED_VALUE"""),"ITBISA-7SEGMENT-CATHODE-RED-2.30-1BIT")</f>
        <v>ITBISA-7SEGMENT-CATHODE-RED-2.30-1BIT</v>
      </c>
      <c r="B1190" s="266">
        <f>IFERROR(__xludf.DUMMYFUNCTION("""COMPUTED_VALUE"""),45446.0)</f>
        <v>45446</v>
      </c>
      <c r="C1190" s="266" t="str">
        <f>IFERROR(__xludf.DUMMYFUNCTION("""COMPUTED_VALUE"""),"KERTASARI CIAMIS")</f>
        <v>KERTASARI CIAMIS</v>
      </c>
      <c r="D1190" s="186">
        <f>IFERROR(__xludf.DUMMYFUNCTION("""COMPUTED_VALUE"""),1.0)</f>
        <v>1</v>
      </c>
    </row>
    <row r="1191">
      <c r="A1191" s="178" t="str">
        <f>IFERROR(__xludf.DUMMYFUNCTION("""COMPUTED_VALUE"""),"ITBISA-7SEGMENT-CATHODE-RED-2.30-1BIT")</f>
        <v>ITBISA-7SEGMENT-CATHODE-RED-2.30-1BIT</v>
      </c>
      <c r="B1191" s="266">
        <f>IFERROR(__xludf.DUMMYFUNCTION("""COMPUTED_VALUE"""),45446.0)</f>
        <v>45446</v>
      </c>
      <c r="C1191" s="266" t="str">
        <f>IFERROR(__xludf.DUMMYFUNCTION("""COMPUTED_VALUE"""),"KYAI KONTONG")</f>
        <v>KYAI KONTONG</v>
      </c>
      <c r="D1191" s="186">
        <f>IFERROR(__xludf.DUMMYFUNCTION("""COMPUTED_VALUE"""),4.0)</f>
        <v>4</v>
      </c>
    </row>
    <row r="1192">
      <c r="A1192" s="178" t="str">
        <f>IFERROR(__xludf.DUMMYFUNCTION("""COMPUTED_VALUE"""),"ITBISA-7SEGMENT-CATHODE-RED-2.30-1BIT")</f>
        <v>ITBISA-7SEGMENT-CATHODE-RED-2.30-1BIT</v>
      </c>
      <c r="B1192" s="266">
        <f>IFERROR(__xludf.DUMMYFUNCTION("""COMPUTED_VALUE"""),45449.0)</f>
        <v>45449</v>
      </c>
      <c r="C1192" s="266" t="str">
        <f>IFERROR(__xludf.DUMMYFUNCTION("""COMPUTED_VALUE"""),"KYAI KONTONG")</f>
        <v>KYAI KONTONG</v>
      </c>
      <c r="D1192" s="186">
        <f>IFERROR(__xludf.DUMMYFUNCTION("""COMPUTED_VALUE"""),10.0)</f>
        <v>10</v>
      </c>
    </row>
    <row r="1193">
      <c r="A1193" s="178" t="str">
        <f>IFERROR(__xludf.DUMMYFUNCTION("""COMPUTED_VALUE"""),"ITBISA-7SEGMENT-CATHODE-RED-2.30-1BIT")</f>
        <v>ITBISA-7SEGMENT-CATHODE-RED-2.30-1BIT</v>
      </c>
      <c r="B1193" s="266">
        <f>IFERROR(__xludf.DUMMYFUNCTION("""COMPUTED_VALUE"""),45452.0)</f>
        <v>45452</v>
      </c>
      <c r="C1193" s="266" t="str">
        <f>IFERROR(__xludf.DUMMYFUNCTION("""COMPUTED_VALUE"""),"KYAI KONTONG")</f>
        <v>KYAI KONTONG</v>
      </c>
      <c r="D1193" s="186">
        <f>IFERROR(__xludf.DUMMYFUNCTION("""COMPUTED_VALUE"""),4.0)</f>
        <v>4</v>
      </c>
    </row>
    <row r="1194">
      <c r="A1194" s="178" t="str">
        <f>IFERROR(__xludf.DUMMYFUNCTION("""COMPUTED_VALUE"""),"ITBISA-7SEGMENT-CATHODE-RED-2.30-1BIT")</f>
        <v>ITBISA-7SEGMENT-CATHODE-RED-2.30-1BIT</v>
      </c>
      <c r="B1194" s="266">
        <f>IFERROR(__xludf.DUMMYFUNCTION("""COMPUTED_VALUE"""),45461.0)</f>
        <v>45461</v>
      </c>
      <c r="C1194" s="266" t="str">
        <f>IFERROR(__xludf.DUMMYFUNCTION("""COMPUTED_VALUE"""),"KYAI KONTONG")</f>
        <v>KYAI KONTONG</v>
      </c>
      <c r="D1194" s="186">
        <f>IFERROR(__xludf.DUMMYFUNCTION("""COMPUTED_VALUE"""),2.0)</f>
        <v>2</v>
      </c>
    </row>
    <row r="1195">
      <c r="A1195" s="178" t="str">
        <f>IFERROR(__xludf.DUMMYFUNCTION("""COMPUTED_VALUE"""),"ITBISA-7SEGMENT-CATHODE-RED-2.30-1BIT")</f>
        <v>ITBISA-7SEGMENT-CATHODE-RED-2.30-1BIT</v>
      </c>
      <c r="B1195" s="266">
        <f>IFERROR(__xludf.DUMMYFUNCTION("""COMPUTED_VALUE"""),45470.0)</f>
        <v>45470</v>
      </c>
      <c r="C1195" s="266" t="str">
        <f>IFERROR(__xludf.DUMMYFUNCTION("""COMPUTED_VALUE"""),"KERTASARI CIAMIS")</f>
        <v>KERTASARI CIAMIS</v>
      </c>
      <c r="D1195" s="186">
        <f>IFERROR(__xludf.DUMMYFUNCTION("""COMPUTED_VALUE"""),1.0)</f>
        <v>1</v>
      </c>
    </row>
    <row r="1196">
      <c r="A1196" s="178" t="str">
        <f>IFERROR(__xludf.DUMMYFUNCTION("""COMPUTED_VALUE"""),"ITBISA-7SEGMENT-CATHODE-RED-2.30-1BIT")</f>
        <v>ITBISA-7SEGMENT-CATHODE-RED-2.30-1BIT</v>
      </c>
      <c r="B1196" s="266">
        <f>IFERROR(__xludf.DUMMYFUNCTION("""COMPUTED_VALUE"""),45474.0)</f>
        <v>45474</v>
      </c>
      <c r="C1196" s="266" t="str">
        <f>IFERROR(__xludf.DUMMYFUNCTION("""COMPUTED_VALUE"""),"KYAI KONTONG")</f>
        <v>KYAI KONTONG</v>
      </c>
      <c r="D1196" s="186">
        <f>IFERROR(__xludf.DUMMYFUNCTION("""COMPUTED_VALUE"""),3.0)</f>
        <v>3</v>
      </c>
    </row>
    <row r="1197">
      <c r="A1197" s="178" t="str">
        <f>IFERROR(__xludf.DUMMYFUNCTION("""COMPUTED_VALUE"""),"ITBISA-7SEGMENT-CATHODE-RED-2.30-1BIT")</f>
        <v>ITBISA-7SEGMENT-CATHODE-RED-2.30-1BIT</v>
      </c>
      <c r="B1197" s="266">
        <f>IFERROR(__xludf.DUMMYFUNCTION("""COMPUTED_VALUE"""),45475.0)</f>
        <v>45475</v>
      </c>
      <c r="C1197" s="266" t="str">
        <f>IFERROR(__xludf.DUMMYFUNCTION("""COMPUTED_VALUE"""),"KYAI KONTONG")</f>
        <v>KYAI KONTONG</v>
      </c>
      <c r="D1197" s="186">
        <f>IFERROR(__xludf.DUMMYFUNCTION("""COMPUTED_VALUE"""),6.0)</f>
        <v>6</v>
      </c>
    </row>
    <row r="1198">
      <c r="A1198" s="178" t="str">
        <f>IFERROR(__xludf.DUMMYFUNCTION("""COMPUTED_VALUE"""),"ITBISA-7SEGMENT-CATHODE-RED-2.30-1BIT")</f>
        <v>ITBISA-7SEGMENT-CATHODE-RED-2.30-1BIT</v>
      </c>
      <c r="B1198" s="266">
        <f>IFERROR(__xludf.DUMMYFUNCTION("""COMPUTED_VALUE"""),45480.0)</f>
        <v>45480</v>
      </c>
      <c r="C1198" s="266" t="str">
        <f>IFERROR(__xludf.DUMMYFUNCTION("""COMPUTED_VALUE"""),"KERTASARI CIAMIS")</f>
        <v>KERTASARI CIAMIS</v>
      </c>
      <c r="D1198" s="186">
        <f>IFERROR(__xludf.DUMMYFUNCTION("""COMPUTED_VALUE"""),1.0)</f>
        <v>1</v>
      </c>
    </row>
    <row r="1199">
      <c r="A1199" s="178" t="str">
        <f>IFERROR(__xludf.DUMMYFUNCTION("""COMPUTED_VALUE"""),"ITBISA-7SEGMENT-CATHODE-RED-2.30-1BIT")</f>
        <v>ITBISA-7SEGMENT-CATHODE-RED-2.30-1BIT</v>
      </c>
      <c r="B1199" s="266">
        <f>IFERROR(__xludf.DUMMYFUNCTION("""COMPUTED_VALUE"""),45481.0)</f>
        <v>45481</v>
      </c>
      <c r="C1199" s="266" t="str">
        <f>IFERROR(__xludf.DUMMYFUNCTION("""COMPUTED_VALUE"""),"KYAI KONTONG")</f>
        <v>KYAI KONTONG</v>
      </c>
      <c r="D1199" s="186">
        <f>IFERROR(__xludf.DUMMYFUNCTION("""COMPUTED_VALUE"""),4.0)</f>
        <v>4</v>
      </c>
    </row>
    <row r="1200">
      <c r="A1200" s="178" t="str">
        <f>IFERROR(__xludf.DUMMYFUNCTION("""COMPUTED_VALUE"""),"ITBISA-7SEGMENT-CATHODE-RED-2.30-1BIT")</f>
        <v>ITBISA-7SEGMENT-CATHODE-RED-2.30-1BIT</v>
      </c>
      <c r="B1200" s="266">
        <f>IFERROR(__xludf.DUMMYFUNCTION("""COMPUTED_VALUE"""),45483.0)</f>
        <v>45483</v>
      </c>
      <c r="C1200" s="266" t="str">
        <f>IFERROR(__xludf.DUMMYFUNCTION("""COMPUTED_VALUE"""),"KYAI KONTONG")</f>
        <v>KYAI KONTONG</v>
      </c>
      <c r="D1200" s="186">
        <f>IFERROR(__xludf.DUMMYFUNCTION("""COMPUTED_VALUE"""),1.0)</f>
        <v>1</v>
      </c>
    </row>
    <row r="1201">
      <c r="A1201" s="178" t="str">
        <f>IFERROR(__xludf.DUMMYFUNCTION("""COMPUTED_VALUE"""),"ITBISA-7SEGMENT-CATHODE-RED-2.30-1BIT")</f>
        <v>ITBISA-7SEGMENT-CATHODE-RED-2.30-1BIT</v>
      </c>
      <c r="B1201" s="266">
        <f>IFERROR(__xludf.DUMMYFUNCTION("""COMPUTED_VALUE"""),45483.0)</f>
        <v>45483</v>
      </c>
      <c r="C1201" s="266" t="str">
        <f>IFERROR(__xludf.DUMMYFUNCTION("""COMPUTED_VALUE"""),"KYAI KONTONG")</f>
        <v>KYAI KONTONG</v>
      </c>
      <c r="D1201" s="186">
        <f>IFERROR(__xludf.DUMMYFUNCTION("""COMPUTED_VALUE"""),5.0)</f>
        <v>5</v>
      </c>
    </row>
    <row r="1202">
      <c r="A1202" s="178" t="str">
        <f>IFERROR(__xludf.DUMMYFUNCTION("""COMPUTED_VALUE"""),"ITBISA-7SEGMENT-CATHODE-RED-2.30-1BIT")</f>
        <v>ITBISA-7SEGMENT-CATHODE-RED-2.30-1BIT</v>
      </c>
      <c r="B1202" s="266">
        <f>IFERROR(__xludf.DUMMYFUNCTION("""COMPUTED_VALUE"""),45484.0)</f>
        <v>45484</v>
      </c>
      <c r="C1202" s="266" t="str">
        <f>IFERROR(__xludf.DUMMYFUNCTION("""COMPUTED_VALUE"""),"KYAI KONTONG")</f>
        <v>KYAI KONTONG</v>
      </c>
      <c r="D1202" s="186">
        <f>IFERROR(__xludf.DUMMYFUNCTION("""COMPUTED_VALUE"""),11.0)</f>
        <v>11</v>
      </c>
    </row>
    <row r="1203">
      <c r="A1203" s="178" t="str">
        <f>IFERROR(__xludf.DUMMYFUNCTION("""COMPUTED_VALUE"""),"ITBISA-7SEGMENT-CATHODE-RED-2.30-1BIT")</f>
        <v>ITBISA-7SEGMENT-CATHODE-RED-2.30-1BIT</v>
      </c>
      <c r="B1203" s="266">
        <f>IFERROR(__xludf.DUMMYFUNCTION("""COMPUTED_VALUE"""),45488.0)</f>
        <v>45488</v>
      </c>
      <c r="C1203" s="266" t="str">
        <f>IFERROR(__xludf.DUMMYFUNCTION("""COMPUTED_VALUE"""),"KYAI KONTONG")</f>
        <v>KYAI KONTONG</v>
      </c>
      <c r="D1203" s="186">
        <f>IFERROR(__xludf.DUMMYFUNCTION("""COMPUTED_VALUE"""),50.0)</f>
        <v>50</v>
      </c>
    </row>
    <row r="1204">
      <c r="A1204" s="178" t="str">
        <f>IFERROR(__xludf.DUMMYFUNCTION("""COMPUTED_VALUE"""),"ITBISA-7SEGMENT-CATHODE-RED-2.30-1BIT")</f>
        <v>ITBISA-7SEGMENT-CATHODE-RED-2.30-1BIT</v>
      </c>
      <c r="B1204" s="266">
        <f>IFERROR(__xludf.DUMMYFUNCTION("""COMPUTED_VALUE"""),45494.0)</f>
        <v>45494</v>
      </c>
      <c r="C1204" s="266" t="str">
        <f>IFERROR(__xludf.DUMMYFUNCTION("""COMPUTED_VALUE"""),"KERTASARI CIAMIS")</f>
        <v>KERTASARI CIAMIS</v>
      </c>
      <c r="D1204" s="186">
        <f>IFERROR(__xludf.DUMMYFUNCTION("""COMPUTED_VALUE"""),4.0)</f>
        <v>4</v>
      </c>
    </row>
    <row r="1205">
      <c r="A1205" s="178" t="str">
        <f>IFERROR(__xludf.DUMMYFUNCTION("""COMPUTED_VALUE"""),"ITBISA-7SEGMENT-CATHODE-RED-2.30-1BIT")</f>
        <v>ITBISA-7SEGMENT-CATHODE-RED-2.30-1BIT</v>
      </c>
      <c r="B1205" s="266">
        <f>IFERROR(__xludf.DUMMYFUNCTION("""COMPUTED_VALUE"""),45497.0)</f>
        <v>45497</v>
      </c>
      <c r="C1205" s="266" t="str">
        <f>IFERROR(__xludf.DUMMYFUNCTION("""COMPUTED_VALUE"""),"KERTASARI CIAMIS")</f>
        <v>KERTASARI CIAMIS</v>
      </c>
      <c r="D1205" s="186">
        <f>IFERROR(__xludf.DUMMYFUNCTION("""COMPUTED_VALUE"""),20.0)</f>
        <v>20</v>
      </c>
    </row>
    <row r="1206">
      <c r="A1206" s="178" t="str">
        <f>IFERROR(__xludf.DUMMYFUNCTION("""COMPUTED_VALUE"""),"ITBISA-7SEGMENT-CATHODE-RED-2.30-1BIT")</f>
        <v>ITBISA-7SEGMENT-CATHODE-RED-2.30-1BIT</v>
      </c>
      <c r="B1206" s="266">
        <f>IFERROR(__xludf.DUMMYFUNCTION("""COMPUTED_VALUE"""),45506.0)</f>
        <v>45506</v>
      </c>
      <c r="C1206" s="266" t="str">
        <f>IFERROR(__xludf.DUMMYFUNCTION("""COMPUTED_VALUE"""),"KYAI KONTONG")</f>
        <v>KYAI KONTONG</v>
      </c>
      <c r="D1206" s="186">
        <f>IFERROR(__xludf.DUMMYFUNCTION("""COMPUTED_VALUE"""),2.0)</f>
        <v>2</v>
      </c>
    </row>
    <row r="1207">
      <c r="A1207" s="178" t="str">
        <f>IFERROR(__xludf.DUMMYFUNCTION("""COMPUTED_VALUE"""),"ITBISA-7SEGMENT-CATHODE-RED-2.30-1BIT")</f>
        <v>ITBISA-7SEGMENT-CATHODE-RED-2.30-1BIT</v>
      </c>
      <c r="B1207" s="266">
        <f>IFERROR(__xludf.DUMMYFUNCTION("""COMPUTED_VALUE"""),45510.0)</f>
        <v>45510</v>
      </c>
      <c r="C1207" s="266" t="str">
        <f>IFERROR(__xludf.DUMMYFUNCTION("""COMPUTED_VALUE"""),"KYAI KONTONG")</f>
        <v>KYAI KONTONG</v>
      </c>
      <c r="D1207" s="186">
        <f>IFERROR(__xludf.DUMMYFUNCTION("""COMPUTED_VALUE"""),2.0)</f>
        <v>2</v>
      </c>
    </row>
    <row r="1208">
      <c r="A1208" s="178" t="str">
        <f>IFERROR(__xludf.DUMMYFUNCTION("""COMPUTED_VALUE"""),"ITBISA-7SEGMENT-CATHODE-RED-2.30-1BIT")</f>
        <v>ITBISA-7SEGMENT-CATHODE-RED-2.30-1BIT</v>
      </c>
      <c r="B1208" s="266">
        <f>IFERROR(__xludf.DUMMYFUNCTION("""COMPUTED_VALUE"""),45539.0)</f>
        <v>45539</v>
      </c>
      <c r="C1208" s="266" t="str">
        <f>IFERROR(__xludf.DUMMYFUNCTION("""COMPUTED_VALUE"""),"KYAI KONTONG")</f>
        <v>KYAI KONTONG</v>
      </c>
      <c r="D1208" s="186">
        <f>IFERROR(__xludf.DUMMYFUNCTION("""COMPUTED_VALUE"""),4.0)</f>
        <v>4</v>
      </c>
    </row>
    <row r="1209">
      <c r="A1209" s="178" t="str">
        <f>IFERROR(__xludf.DUMMYFUNCTION("""COMPUTED_VALUE"""),"ITBISA-7SEGMENT-CATHODE-RED-2.30-1BIT")</f>
        <v>ITBISA-7SEGMENT-CATHODE-RED-2.30-1BIT</v>
      </c>
      <c r="B1209" s="266">
        <f>IFERROR(__xludf.DUMMYFUNCTION("""COMPUTED_VALUE"""),45580.0)</f>
        <v>45580</v>
      </c>
      <c r="C1209" s="266" t="str">
        <f>IFERROR(__xludf.DUMMYFUNCTION("""COMPUTED_VALUE"""),"KYAI KONTONG")</f>
        <v>KYAI KONTONG</v>
      </c>
      <c r="D1209" s="186">
        <f>IFERROR(__xludf.DUMMYFUNCTION("""COMPUTED_VALUE"""),5.0)</f>
        <v>5</v>
      </c>
    </row>
    <row r="1210">
      <c r="A1210" s="178" t="str">
        <f>IFERROR(__xludf.DUMMYFUNCTION("""COMPUTED_VALUE"""),"ITBISA-7SEGMENT-CATHODE-RED-2.30-1BIT")</f>
        <v>ITBISA-7SEGMENT-CATHODE-RED-2.30-1BIT</v>
      </c>
      <c r="B1210" s="266">
        <f>IFERROR(__xludf.DUMMYFUNCTION("""COMPUTED_VALUE"""),45590.0)</f>
        <v>45590</v>
      </c>
      <c r="C1210" s="266" t="str">
        <f>IFERROR(__xludf.DUMMYFUNCTION("""COMPUTED_VALUE"""),"KERTASARI CIAMIS")</f>
        <v>KERTASARI CIAMIS</v>
      </c>
      <c r="D1210" s="186">
        <f>IFERROR(__xludf.DUMMYFUNCTION("""COMPUTED_VALUE"""),5.0)</f>
        <v>5</v>
      </c>
    </row>
    <row r="1211">
      <c r="A1211" s="178" t="str">
        <f>IFERROR(__xludf.DUMMYFUNCTION("""COMPUTED_VALUE"""),"ITBISA-7SEGMENT-CATHODE-RED-2.30-1BIT")</f>
        <v>ITBISA-7SEGMENT-CATHODE-RED-2.30-1BIT</v>
      </c>
      <c r="B1211" s="266">
        <f>IFERROR(__xludf.DUMMYFUNCTION("""COMPUTED_VALUE"""),45619.0)</f>
        <v>45619</v>
      </c>
      <c r="C1211" s="266" t="str">
        <f>IFERROR(__xludf.DUMMYFUNCTION("""COMPUTED_VALUE"""),"KYAI KONTONG")</f>
        <v>KYAI KONTONG</v>
      </c>
      <c r="D1211" s="186">
        <f>IFERROR(__xludf.DUMMYFUNCTION("""COMPUTED_VALUE"""),6.0)</f>
        <v>6</v>
      </c>
    </row>
    <row r="1212">
      <c r="A1212" s="178" t="str">
        <f>IFERROR(__xludf.DUMMYFUNCTION("""COMPUTED_VALUE"""),"ITBISA-7SEGMENT-CATHODE-RED-2.30-1BIT")</f>
        <v>ITBISA-7SEGMENT-CATHODE-RED-2.30-1BIT</v>
      </c>
      <c r="B1212" s="266">
        <f>IFERROR(__xludf.DUMMYFUNCTION("""COMPUTED_VALUE"""),45621.0)</f>
        <v>45621</v>
      </c>
      <c r="C1212" s="266" t="str">
        <f>IFERROR(__xludf.DUMMYFUNCTION("""COMPUTED_VALUE"""),"KYAI KONTONG")</f>
        <v>KYAI KONTONG</v>
      </c>
      <c r="D1212" s="186">
        <f>IFERROR(__xludf.DUMMYFUNCTION("""COMPUTED_VALUE"""),4.0)</f>
        <v>4</v>
      </c>
    </row>
    <row r="1213">
      <c r="A1213" s="178" t="str">
        <f>IFERROR(__xludf.DUMMYFUNCTION("""COMPUTED_VALUE"""),"ITBISA-7SEGMENT-CATHODE-RED-2.30-1BIT")</f>
        <v>ITBISA-7SEGMENT-CATHODE-RED-2.30-1BIT</v>
      </c>
      <c r="B1213" s="266">
        <f>IFERROR(__xludf.DUMMYFUNCTION("""COMPUTED_VALUE"""),45682.0)</f>
        <v>45682</v>
      </c>
      <c r="C1213" s="266" t="str">
        <f>IFERROR(__xludf.DUMMYFUNCTION("""COMPUTED_VALUE"""),"KYAI KONTONG")</f>
        <v>KYAI KONTONG</v>
      </c>
      <c r="D1213" s="186">
        <f>IFERROR(__xludf.DUMMYFUNCTION("""COMPUTED_VALUE"""),1.0)</f>
        <v>1</v>
      </c>
    </row>
    <row r="1214">
      <c r="A1214" s="178" t="str">
        <f>IFERROR(__xludf.DUMMYFUNCTION("""COMPUTED_VALUE"""),"ITBISA-7SEGMENT-CATHODE-RED-2.30-1BIT")</f>
        <v>ITBISA-7SEGMENT-CATHODE-RED-2.30-1BIT</v>
      </c>
      <c r="B1214" s="266">
        <f>IFERROR(__xludf.DUMMYFUNCTION("""COMPUTED_VALUE"""),45685.0)</f>
        <v>45685</v>
      </c>
      <c r="C1214" s="266" t="str">
        <f>IFERROR(__xludf.DUMMYFUNCTION("""COMPUTED_VALUE"""),"KYAI KONTONG")</f>
        <v>KYAI KONTONG</v>
      </c>
      <c r="D1214" s="186">
        <f>IFERROR(__xludf.DUMMYFUNCTION("""COMPUTED_VALUE"""),4.0)</f>
        <v>4</v>
      </c>
    </row>
    <row r="1215">
      <c r="A1215" s="178" t="str">
        <f>IFERROR(__xludf.DUMMYFUNCTION("""COMPUTED_VALUE"""),"ITBISA-7SEGMENT-CATHODE-RED-2.30-1BIT")</f>
        <v>ITBISA-7SEGMENT-CATHODE-RED-2.30-1BIT</v>
      </c>
      <c r="B1215" s="266">
        <f>IFERROR(__xludf.DUMMYFUNCTION("""COMPUTED_VALUE"""),45698.0)</f>
        <v>45698</v>
      </c>
      <c r="C1215" s="266" t="str">
        <f>IFERROR(__xludf.DUMMYFUNCTION("""COMPUTED_VALUE"""),"KYAI KONTONG")</f>
        <v>KYAI KONTONG</v>
      </c>
      <c r="D1215" s="186">
        <f>IFERROR(__xludf.DUMMYFUNCTION("""COMPUTED_VALUE"""),2.0)</f>
        <v>2</v>
      </c>
    </row>
    <row r="1216">
      <c r="A1216" s="178" t="str">
        <f>IFERROR(__xludf.DUMMYFUNCTION("""COMPUTED_VALUE"""),"ITBISA-7SEGMENT-CATHODE-RED-2.30-1BIT")</f>
        <v>ITBISA-7SEGMENT-CATHODE-RED-2.30-1BIT</v>
      </c>
      <c r="B1216" s="266">
        <f>IFERROR(__xludf.DUMMYFUNCTION("""COMPUTED_VALUE"""),45712.0)</f>
        <v>45712</v>
      </c>
      <c r="C1216" s="266" t="str">
        <f>IFERROR(__xludf.DUMMYFUNCTION("""COMPUTED_VALUE"""),"KYAI KONTONG")</f>
        <v>KYAI KONTONG</v>
      </c>
      <c r="D1216" s="186">
        <f>IFERROR(__xludf.DUMMYFUNCTION("""COMPUTED_VALUE"""),6.0)</f>
        <v>6</v>
      </c>
    </row>
    <row r="1217">
      <c r="A1217" s="178" t="str">
        <f>IFERROR(__xludf.DUMMYFUNCTION("""COMPUTED_VALUE"""),"ITBISA-7SEGMENT-CATHODE-RED-2.30-1BIT")</f>
        <v>ITBISA-7SEGMENT-CATHODE-RED-2.30-1BIT</v>
      </c>
      <c r="B1217" s="266">
        <f>IFERROR(__xludf.DUMMYFUNCTION("""COMPUTED_VALUE"""),45722.0)</f>
        <v>45722</v>
      </c>
      <c r="C1217" s="266" t="str">
        <f>IFERROR(__xludf.DUMMYFUNCTION("""COMPUTED_VALUE"""),"KERTASARI CIAMIS")</f>
        <v>KERTASARI CIAMIS</v>
      </c>
      <c r="D1217" s="186">
        <f>IFERROR(__xludf.DUMMYFUNCTION("""COMPUTED_VALUE"""),5.0)</f>
        <v>5</v>
      </c>
    </row>
    <row r="1218">
      <c r="A1218" s="178" t="str">
        <f>IFERROR(__xludf.DUMMYFUNCTION("""COMPUTED_VALUE"""),"ITBISA-7SEGMENT-CATHODE-RED-2.30-1BIT")</f>
        <v>ITBISA-7SEGMENT-CATHODE-RED-2.30-1BIT</v>
      </c>
      <c r="B1218" s="266">
        <f>IFERROR(__xludf.DUMMYFUNCTION("""COMPUTED_VALUE"""),45732.0)</f>
        <v>45732</v>
      </c>
      <c r="C1218" s="266" t="str">
        <f>IFERROR(__xludf.DUMMYFUNCTION("""COMPUTED_VALUE"""),"KERTASARI CIAMIS")</f>
        <v>KERTASARI CIAMIS</v>
      </c>
      <c r="D1218" s="186">
        <f>IFERROR(__xludf.DUMMYFUNCTION("""COMPUTED_VALUE"""),2.0)</f>
        <v>2</v>
      </c>
    </row>
    <row r="1219">
      <c r="A1219" s="178" t="str">
        <f>IFERROR(__xludf.DUMMYFUNCTION("""COMPUTED_VALUE"""),"ITBISA-7SEGMENT-CATHODE-RED-2.30-1BIT")</f>
        <v>ITBISA-7SEGMENT-CATHODE-RED-2.30-1BIT</v>
      </c>
      <c r="B1219" s="266">
        <f>IFERROR(__xludf.DUMMYFUNCTION("""COMPUTED_VALUE"""),45753.0)</f>
        <v>45753</v>
      </c>
      <c r="C1219" s="266" t="str">
        <f>IFERROR(__xludf.DUMMYFUNCTION("""COMPUTED_VALUE"""),"KERTASARI CIAMIS")</f>
        <v>KERTASARI CIAMIS</v>
      </c>
      <c r="D1219" s="186">
        <f>IFERROR(__xludf.DUMMYFUNCTION("""COMPUTED_VALUE"""),5.0)</f>
        <v>5</v>
      </c>
    </row>
    <row r="1220">
      <c r="A1220" s="178" t="str">
        <f>IFERROR(__xludf.DUMMYFUNCTION("""COMPUTED_VALUE"""),"ITBISA-7SEGMENT-CATHODE-RED-2.30-1BIT")</f>
        <v>ITBISA-7SEGMENT-CATHODE-RED-2.30-1BIT</v>
      </c>
      <c r="B1220" s="266">
        <f>IFERROR(__xludf.DUMMYFUNCTION("""COMPUTED_VALUE"""),45771.0)</f>
        <v>45771</v>
      </c>
      <c r="C1220" s="266" t="str">
        <f>IFERROR(__xludf.DUMMYFUNCTION("""COMPUTED_VALUE"""),"KERTASARI CIAMIS")</f>
        <v>KERTASARI CIAMIS</v>
      </c>
      <c r="D1220" s="186">
        <f>IFERROR(__xludf.DUMMYFUNCTION("""COMPUTED_VALUE"""),6.0)</f>
        <v>6</v>
      </c>
    </row>
    <row r="1221">
      <c r="A1221" s="178" t="str">
        <f>IFERROR(__xludf.DUMMYFUNCTION("""COMPUTED_VALUE"""),"ITBISA-7SEGMENT-CATHODE-RED-2.30-1BIT")</f>
        <v>ITBISA-7SEGMENT-CATHODE-RED-2.30-1BIT</v>
      </c>
      <c r="B1221" s="266">
        <f>IFERROR(__xludf.DUMMYFUNCTION("""COMPUTED_VALUE"""),45771.0)</f>
        <v>45771</v>
      </c>
      <c r="C1221" s="266" t="str">
        <f>IFERROR(__xludf.DUMMYFUNCTION("""COMPUTED_VALUE"""),"KYAI KONTONG")</f>
        <v>KYAI KONTONG</v>
      </c>
      <c r="D1221" s="186">
        <f>IFERROR(__xludf.DUMMYFUNCTION("""COMPUTED_VALUE"""),30.0)</f>
        <v>30</v>
      </c>
    </row>
    <row r="1222">
      <c r="A1222" s="178" t="str">
        <f>IFERROR(__xludf.DUMMYFUNCTION("""COMPUTED_VALUE"""),"ITBISA-7SEGMENT-CATHODE-RED-2.30-1BIT")</f>
        <v>ITBISA-7SEGMENT-CATHODE-RED-2.30-1BIT</v>
      </c>
      <c r="B1222" s="266">
        <f>IFERROR(__xludf.DUMMYFUNCTION("""COMPUTED_VALUE"""),45779.0)</f>
        <v>45779</v>
      </c>
      <c r="C1222" s="266" t="str">
        <f>IFERROR(__xludf.DUMMYFUNCTION("""COMPUTED_VALUE"""),"KYAI KONTONG")</f>
        <v>KYAI KONTONG</v>
      </c>
      <c r="D1222" s="186">
        <f>IFERROR(__xludf.DUMMYFUNCTION("""COMPUTED_VALUE"""),4.0)</f>
        <v>4</v>
      </c>
    </row>
    <row r="1223">
      <c r="A1223" s="178" t="str">
        <f>IFERROR(__xludf.DUMMYFUNCTION("""COMPUTED_VALUE"""),"ITBISA-7SEGMENT-CATHODE-RED-2.30-1BIT")</f>
        <v>ITBISA-7SEGMENT-CATHODE-RED-2.30-1BIT</v>
      </c>
      <c r="B1223" s="266">
        <f>IFERROR(__xludf.DUMMYFUNCTION("""COMPUTED_VALUE"""),45785.0)</f>
        <v>45785</v>
      </c>
      <c r="C1223" s="266" t="str">
        <f>IFERROR(__xludf.DUMMYFUNCTION("""COMPUTED_VALUE"""),"KYAI KONTONG")</f>
        <v>KYAI KONTONG</v>
      </c>
      <c r="D1223" s="186">
        <f>IFERROR(__xludf.DUMMYFUNCTION("""COMPUTED_VALUE"""),2.0)</f>
        <v>2</v>
      </c>
    </row>
    <row r="1224">
      <c r="A1224" s="178" t="str">
        <f>IFERROR(__xludf.DUMMYFUNCTION("""COMPUTED_VALUE"""),"ITBISA-7SEGMENT-CATHODE-RED-2.30-1BIT")</f>
        <v>ITBISA-7SEGMENT-CATHODE-RED-2.30-1BIT</v>
      </c>
      <c r="B1224" s="266">
        <f>IFERROR(__xludf.DUMMYFUNCTION("""COMPUTED_VALUE"""),45785.0)</f>
        <v>45785</v>
      </c>
      <c r="C1224" s="266" t="str">
        <f>IFERROR(__xludf.DUMMYFUNCTION("""COMPUTED_VALUE"""),"KYAI KONTONG")</f>
        <v>KYAI KONTONG</v>
      </c>
      <c r="D1224" s="186">
        <f>IFERROR(__xludf.DUMMYFUNCTION("""COMPUTED_VALUE"""),2.0)</f>
        <v>2</v>
      </c>
    </row>
    <row r="1225">
      <c r="A1225" s="178" t="str">
        <f>IFERROR(__xludf.DUMMYFUNCTION("""COMPUTED_VALUE"""),"ITBISA-7SEGMENT-CATHODE-RED-2.30-1BIT")</f>
        <v>ITBISA-7SEGMENT-CATHODE-RED-2.30-1BIT</v>
      </c>
      <c r="B1225" s="266">
        <f>IFERROR(__xludf.DUMMYFUNCTION("""COMPUTED_VALUE"""),45785.0)</f>
        <v>45785</v>
      </c>
      <c r="C1225" s="266" t="str">
        <f>IFERROR(__xludf.DUMMYFUNCTION("""COMPUTED_VALUE"""),"KYAI KONTONG")</f>
        <v>KYAI KONTONG</v>
      </c>
      <c r="D1225" s="186">
        <f>IFERROR(__xludf.DUMMYFUNCTION("""COMPUTED_VALUE"""),2.0)</f>
        <v>2</v>
      </c>
    </row>
    <row r="1226">
      <c r="A1226" s="178" t="str">
        <f>IFERROR(__xludf.DUMMYFUNCTION("""COMPUTED_VALUE"""),"ITBISA-7SEGMENT-CATHODE-RED-2.30-1BIT")</f>
        <v>ITBISA-7SEGMENT-CATHODE-RED-2.30-1BIT</v>
      </c>
      <c r="B1226" s="266">
        <f>IFERROR(__xludf.DUMMYFUNCTION("""COMPUTED_VALUE"""),45785.0)</f>
        <v>45785</v>
      </c>
      <c r="C1226" s="266" t="str">
        <f>IFERROR(__xludf.DUMMYFUNCTION("""COMPUTED_VALUE"""),"KYAI KONTONG")</f>
        <v>KYAI KONTONG</v>
      </c>
      <c r="D1226" s="186">
        <f>IFERROR(__xludf.DUMMYFUNCTION("""COMPUTED_VALUE"""),2.0)</f>
        <v>2</v>
      </c>
    </row>
    <row r="1227">
      <c r="A1227" s="178" t="str">
        <f>IFERROR(__xludf.DUMMYFUNCTION("""COMPUTED_VALUE"""),"ITBISA-7SEGMENT-CATHODE-RED-2.30-1BIT")</f>
        <v>ITBISA-7SEGMENT-CATHODE-RED-2.30-1BIT</v>
      </c>
      <c r="B1227" s="266">
        <f>IFERROR(__xludf.DUMMYFUNCTION("""COMPUTED_VALUE"""),45786.0)</f>
        <v>45786</v>
      </c>
      <c r="C1227" s="266" t="str">
        <f>IFERROR(__xludf.DUMMYFUNCTION("""COMPUTED_VALUE"""),"KERTASARI CIAMIS")</f>
        <v>KERTASARI CIAMIS</v>
      </c>
      <c r="D1227" s="186">
        <f>IFERROR(__xludf.DUMMYFUNCTION("""COMPUTED_VALUE"""),8.0)</f>
        <v>8</v>
      </c>
    </row>
    <row r="1228">
      <c r="A1228" s="178" t="str">
        <f>IFERROR(__xludf.DUMMYFUNCTION("""COMPUTED_VALUE"""),"ITBISA-7SEGMENT-CATHODE-RED-2.30-1BIT")</f>
        <v>ITBISA-7SEGMENT-CATHODE-RED-2.30-1BIT</v>
      </c>
      <c r="B1228" s="266">
        <f>IFERROR(__xludf.DUMMYFUNCTION("""COMPUTED_VALUE"""),45797.0)</f>
        <v>45797</v>
      </c>
      <c r="C1228" s="266" t="str">
        <f>IFERROR(__xludf.DUMMYFUNCTION("""COMPUTED_VALUE"""),"KYAI KONTONG")</f>
        <v>KYAI KONTONG</v>
      </c>
      <c r="D1228" s="186">
        <f>IFERROR(__xludf.DUMMYFUNCTION("""COMPUTED_VALUE"""),2.0)</f>
        <v>2</v>
      </c>
    </row>
    <row r="1229">
      <c r="A1229" s="178" t="str">
        <f>IFERROR(__xludf.DUMMYFUNCTION("""COMPUTED_VALUE"""),"ITBISA-7SEGMENT-CATHODE-RED-2.30-1BIT")</f>
        <v>ITBISA-7SEGMENT-CATHODE-RED-2.30-1BIT</v>
      </c>
      <c r="B1229" s="266">
        <f>IFERROR(__xludf.DUMMYFUNCTION("""COMPUTED_VALUE"""),45832.0)</f>
        <v>45832</v>
      </c>
      <c r="C1229" s="266" t="str">
        <f>IFERROR(__xludf.DUMMYFUNCTION("""COMPUTED_VALUE"""),"KYAI KONTONG")</f>
        <v>KYAI KONTONG</v>
      </c>
      <c r="D1229" s="186">
        <f>IFERROR(__xludf.DUMMYFUNCTION("""COMPUTED_VALUE"""),2.0)</f>
        <v>2</v>
      </c>
    </row>
    <row r="1230">
      <c r="A1230" s="178" t="str">
        <f>IFERROR(__xludf.DUMMYFUNCTION("""COMPUTED_VALUE"""),"ITBISA-7SEGMENT-CATHODE-RED-2.30-1BIT")</f>
        <v>ITBISA-7SEGMENT-CATHODE-RED-2.30-1BIT</v>
      </c>
      <c r="B1230" s="266">
        <f>IFERROR(__xludf.DUMMYFUNCTION("""COMPUTED_VALUE"""),45832.0)</f>
        <v>45832</v>
      </c>
      <c r="C1230" s="266" t="str">
        <f>IFERROR(__xludf.DUMMYFUNCTION("""COMPUTED_VALUE"""),"KYAI KONTONG")</f>
        <v>KYAI KONTONG</v>
      </c>
      <c r="D1230" s="186">
        <f>IFERROR(__xludf.DUMMYFUNCTION("""COMPUTED_VALUE"""),2.0)</f>
        <v>2</v>
      </c>
    </row>
    <row r="1231">
      <c r="A1231" s="178" t="str">
        <f>IFERROR(__xludf.DUMMYFUNCTION("""COMPUTED_VALUE"""),"ITBISA-7SEGMENT-CATHODE-RED-2.30-1BIT")</f>
        <v>ITBISA-7SEGMENT-CATHODE-RED-2.30-1BIT</v>
      </c>
      <c r="B1231" s="266">
        <f>IFERROR(__xludf.DUMMYFUNCTION("""COMPUTED_VALUE"""),45832.0)</f>
        <v>45832</v>
      </c>
      <c r="C1231" s="266" t="str">
        <f>IFERROR(__xludf.DUMMYFUNCTION("""COMPUTED_VALUE"""),"KYAI KONTONG")</f>
        <v>KYAI KONTONG</v>
      </c>
      <c r="D1231" s="186">
        <f>IFERROR(__xludf.DUMMYFUNCTION("""COMPUTED_VALUE"""),2.0)</f>
        <v>2</v>
      </c>
    </row>
    <row r="1232">
      <c r="A1232" s="178" t="str">
        <f>IFERROR(__xludf.DUMMYFUNCTION("""COMPUTED_VALUE"""),"ITBISA-7SEGMENT-CATHODE-RED-2.30-1BIT")</f>
        <v>ITBISA-7SEGMENT-CATHODE-RED-2.30-1BIT</v>
      </c>
      <c r="B1232" s="266">
        <f>IFERROR(__xludf.DUMMYFUNCTION("""COMPUTED_VALUE"""),45838.0)</f>
        <v>45838</v>
      </c>
      <c r="C1232" s="266" t="str">
        <f>IFERROR(__xludf.DUMMYFUNCTION("""COMPUTED_VALUE"""),"KERTASARI CIAMIS")</f>
        <v>KERTASARI CIAMIS</v>
      </c>
      <c r="D1232" s="186">
        <f>IFERROR(__xludf.DUMMYFUNCTION("""COMPUTED_VALUE"""),4.0)</f>
        <v>4</v>
      </c>
    </row>
    <row r="1233">
      <c r="A1233" s="178" t="str">
        <f>IFERROR(__xludf.DUMMYFUNCTION("""COMPUTED_VALUE"""),"ITBISA-7SEGMENT-CATHODE-RED-2.30-1BIT")</f>
        <v>ITBISA-7SEGMENT-CATHODE-RED-2.30-1BIT</v>
      </c>
      <c r="B1233" s="266">
        <f>IFERROR(__xludf.DUMMYFUNCTION("""COMPUTED_VALUE"""),45842.0)</f>
        <v>45842</v>
      </c>
      <c r="C1233" s="266" t="str">
        <f>IFERROR(__xludf.DUMMYFUNCTION("""COMPUTED_VALUE"""),"KERTASARI CIAMIS")</f>
        <v>KERTASARI CIAMIS</v>
      </c>
      <c r="D1233" s="186">
        <f>IFERROR(__xludf.DUMMYFUNCTION("""COMPUTED_VALUE"""),4.0)</f>
        <v>4</v>
      </c>
    </row>
    <row r="1234">
      <c r="A1234" s="178" t="str">
        <f>IFERROR(__xludf.DUMMYFUNCTION("""COMPUTED_VALUE"""),"ITBISA-7SEGMENT-CATHODE-RED-2.30-1BIT")</f>
        <v>ITBISA-7SEGMENT-CATHODE-RED-2.30-1BIT</v>
      </c>
      <c r="B1234" s="266">
        <f>IFERROR(__xludf.DUMMYFUNCTION("""COMPUTED_VALUE"""),45848.0)</f>
        <v>45848</v>
      </c>
      <c r="C1234" s="266" t="str">
        <f>IFERROR(__xludf.DUMMYFUNCTION("""COMPUTED_VALUE"""),"KYAI KONTONG")</f>
        <v>KYAI KONTONG</v>
      </c>
      <c r="D1234" s="186">
        <f>IFERROR(__xludf.DUMMYFUNCTION("""COMPUTED_VALUE"""),4.0)</f>
        <v>4</v>
      </c>
    </row>
    <row r="1235">
      <c r="A1235" s="178" t="str">
        <f>IFERROR(__xludf.DUMMYFUNCTION("""COMPUTED_VALUE"""),"ITBISA-7SEGMENT-CATHODE-RED-2.30-1BIT")</f>
        <v>ITBISA-7SEGMENT-CATHODE-RED-2.30-1BIT</v>
      </c>
      <c r="B1235" s="266">
        <f>IFERROR(__xludf.DUMMYFUNCTION("""COMPUTED_VALUE"""),45849.0)</f>
        <v>45849</v>
      </c>
      <c r="C1235" s="266" t="str">
        <f>IFERROR(__xludf.DUMMYFUNCTION("""COMPUTED_VALUE"""),"KERTASARI CIAMIS")</f>
        <v>KERTASARI CIAMIS</v>
      </c>
      <c r="D1235" s="186">
        <f>IFERROR(__xludf.DUMMYFUNCTION("""COMPUTED_VALUE"""),4.0)</f>
        <v>4</v>
      </c>
    </row>
    <row r="1236">
      <c r="A1236" s="178" t="str">
        <f>IFERROR(__xludf.DUMMYFUNCTION("""COMPUTED_VALUE"""),"ITBISA-7SEGMENT-CATHODE-RED-2.30-1BIT")</f>
        <v>ITBISA-7SEGMENT-CATHODE-RED-2.30-1BIT</v>
      </c>
      <c r="B1236" s="266">
        <f>IFERROR(__xludf.DUMMYFUNCTION("""COMPUTED_VALUE"""),45853.0)</f>
        <v>45853</v>
      </c>
      <c r="C1236" s="266" t="str">
        <f>IFERROR(__xludf.DUMMYFUNCTION("""COMPUTED_VALUE"""),"KERTASARI CIAMIS")</f>
        <v>KERTASARI CIAMIS</v>
      </c>
      <c r="D1236" s="186">
        <f>IFERROR(__xludf.DUMMYFUNCTION("""COMPUTED_VALUE"""),2.0)</f>
        <v>2</v>
      </c>
    </row>
    <row r="1237">
      <c r="A1237" s="178" t="str">
        <f>IFERROR(__xludf.DUMMYFUNCTION("""COMPUTED_VALUE"""),"ITBISA-7SEGMENT-CATHODE-RED-2.30-1BIT")</f>
        <v>ITBISA-7SEGMENT-CATHODE-RED-2.30-1BIT</v>
      </c>
      <c r="B1237" s="266">
        <f>IFERROR(__xludf.DUMMYFUNCTION("""COMPUTED_VALUE"""),45864.0)</f>
        <v>45864</v>
      </c>
      <c r="C1237" s="266" t="str">
        <f>IFERROR(__xludf.DUMMYFUNCTION("""COMPUTED_VALUE"""),"KERTASARI CIAMIS")</f>
        <v>KERTASARI CIAMIS</v>
      </c>
      <c r="D1237" s="186">
        <f>IFERROR(__xludf.DUMMYFUNCTION("""COMPUTED_VALUE"""),10.0)</f>
        <v>10</v>
      </c>
    </row>
    <row r="1238">
      <c r="A1238" s="178" t="str">
        <f>IFERROR(__xludf.DUMMYFUNCTION("""COMPUTED_VALUE"""),"ITBISA-7SEGMENT-CATHODE-RED-2.30-1BIT")</f>
        <v>ITBISA-7SEGMENT-CATHODE-RED-2.30-1BIT</v>
      </c>
      <c r="B1238" s="266">
        <f>IFERROR(__xludf.DUMMYFUNCTION("""COMPUTED_VALUE"""),45864.0)</f>
        <v>45864</v>
      </c>
      <c r="C1238" s="266" t="str">
        <f>IFERROR(__xludf.DUMMYFUNCTION("""COMPUTED_VALUE"""),"KYAI KONTONG")</f>
        <v>KYAI KONTONG</v>
      </c>
      <c r="D1238" s="186">
        <f>IFERROR(__xludf.DUMMYFUNCTION("""COMPUTED_VALUE"""),3.0)</f>
        <v>3</v>
      </c>
    </row>
    <row r="1239">
      <c r="A1239" s="178" t="str">
        <f>IFERROR(__xludf.DUMMYFUNCTION("""COMPUTED_VALUE"""),"ITBISA-7SEGMENT-CATHODE-RED-2.30-1BIT")</f>
        <v>ITBISA-7SEGMENT-CATHODE-RED-2.30-1BIT</v>
      </c>
      <c r="B1239" s="266">
        <f>IFERROR(__xludf.DUMMYFUNCTION("""COMPUTED_VALUE"""),45874.0)</f>
        <v>45874</v>
      </c>
      <c r="C1239" s="266" t="str">
        <f>IFERROR(__xludf.DUMMYFUNCTION("""COMPUTED_VALUE"""),"KERTASARI CIAMIS")</f>
        <v>KERTASARI CIAMIS</v>
      </c>
      <c r="D1239" s="186">
        <f>IFERROR(__xludf.DUMMYFUNCTION("""COMPUTED_VALUE"""),8.0)</f>
        <v>8</v>
      </c>
    </row>
    <row r="1240">
      <c r="A1240" s="178" t="str">
        <f>IFERROR(__xludf.DUMMYFUNCTION("""COMPUTED_VALUE"""),"ITBISA-7SEGMENT-CATHODE-RED-2.30-1BIT")</f>
        <v>ITBISA-7SEGMENT-CATHODE-RED-2.30-1BIT</v>
      </c>
      <c r="B1240" s="266">
        <f>IFERROR(__xludf.DUMMYFUNCTION("""COMPUTED_VALUE"""),45881.0)</f>
        <v>45881</v>
      </c>
      <c r="C1240" s="266" t="str">
        <f>IFERROR(__xludf.DUMMYFUNCTION("""COMPUTED_VALUE"""),"KERTASARI CIAMIS")</f>
        <v>KERTASARI CIAMIS</v>
      </c>
      <c r="D1240" s="186">
        <f>IFERROR(__xludf.DUMMYFUNCTION("""COMPUTED_VALUE"""),6.0)</f>
        <v>6</v>
      </c>
    </row>
    <row r="1241">
      <c r="A1241" s="178" t="str">
        <f>IFERROR(__xludf.DUMMYFUNCTION("""COMPUTED_VALUE"""),"ITBISA-7SEGMENT-CATHODE-RED-2.30-1BIT")</f>
        <v>ITBISA-7SEGMENT-CATHODE-RED-2.30-1BIT</v>
      </c>
      <c r="B1241" s="266">
        <f>IFERROR(__xludf.DUMMYFUNCTION("""COMPUTED_VALUE"""),45881.0)</f>
        <v>45881</v>
      </c>
      <c r="C1241" s="266" t="str">
        <f>IFERROR(__xludf.DUMMYFUNCTION("""COMPUTED_VALUE"""),"KYAI KONTONG")</f>
        <v>KYAI KONTONG</v>
      </c>
      <c r="D1241" s="186">
        <f>IFERROR(__xludf.DUMMYFUNCTION("""COMPUTED_VALUE"""),1.0)</f>
        <v>1</v>
      </c>
    </row>
    <row r="1242">
      <c r="A1242" s="178" t="str">
        <f>IFERROR(__xludf.DUMMYFUNCTION("""COMPUTED_VALUE"""),"ITBISA-7SEGMENT-CATHODE-RED-2.30-1BIT")</f>
        <v>ITBISA-7SEGMENT-CATHODE-RED-2.30-1BIT</v>
      </c>
      <c r="B1242" s="266">
        <f>IFERROR(__xludf.DUMMYFUNCTION("""COMPUTED_VALUE"""),45888.0)</f>
        <v>45888</v>
      </c>
      <c r="C1242" s="266" t="str">
        <f>IFERROR(__xludf.DUMMYFUNCTION("""COMPUTED_VALUE"""),"KYAI KONTONG")</f>
        <v>KYAI KONTONG</v>
      </c>
      <c r="D1242" s="186">
        <f>IFERROR(__xludf.DUMMYFUNCTION("""COMPUTED_VALUE"""),3.0)</f>
        <v>3</v>
      </c>
    </row>
    <row r="1243">
      <c r="A1243" s="178" t="str">
        <f>IFERROR(__xludf.DUMMYFUNCTION("""COMPUTED_VALUE"""),"ITBISA-7SEGMENT-CATHODE-RED-2.30-1BIT")</f>
        <v>ITBISA-7SEGMENT-CATHODE-RED-2.30-1BIT</v>
      </c>
      <c r="B1243" s="266">
        <f>IFERROR(__xludf.DUMMYFUNCTION("""COMPUTED_VALUE"""),45888.0)</f>
        <v>45888</v>
      </c>
      <c r="C1243" s="266" t="str">
        <f>IFERROR(__xludf.DUMMYFUNCTION("""COMPUTED_VALUE"""),"KYAI KONTONG")</f>
        <v>KYAI KONTONG</v>
      </c>
      <c r="D1243" s="186">
        <f>IFERROR(__xludf.DUMMYFUNCTION("""COMPUTED_VALUE"""),14.0)</f>
        <v>14</v>
      </c>
    </row>
    <row r="1244">
      <c r="A1244" s="178" t="str">
        <f>IFERROR(__xludf.DUMMYFUNCTION("""COMPUTED_VALUE"""),"ITBISA-7SEGMENT-CATHODE-RED-2.30-1BIT")</f>
        <v>ITBISA-7SEGMENT-CATHODE-RED-2.30-1BIT</v>
      </c>
      <c r="B1244" s="266">
        <f>IFERROR(__xludf.DUMMYFUNCTION("""COMPUTED_VALUE"""),45892.0)</f>
        <v>45892</v>
      </c>
      <c r="C1244" s="266" t="str">
        <f>IFERROR(__xludf.DUMMYFUNCTION("""COMPUTED_VALUE"""),"KYAI KONTONG")</f>
        <v>KYAI KONTONG</v>
      </c>
      <c r="D1244" s="186">
        <f>IFERROR(__xludf.DUMMYFUNCTION("""COMPUTED_VALUE"""),4.0)</f>
        <v>4</v>
      </c>
    </row>
    <row r="1245">
      <c r="A1245" s="178" t="str">
        <f>IFERROR(__xludf.DUMMYFUNCTION("""COMPUTED_VALUE"""),"ITBISA-7SEGMENT-CATHODE-RED-2.30-1BIT")</f>
        <v>ITBISA-7SEGMENT-CATHODE-RED-2.30-1BIT</v>
      </c>
      <c r="B1245" s="266">
        <f>IFERROR(__xludf.DUMMYFUNCTION("""COMPUTED_VALUE"""),45901.0)</f>
        <v>45901</v>
      </c>
      <c r="C1245" s="266" t="str">
        <f>IFERROR(__xludf.DUMMYFUNCTION("""COMPUTED_VALUE"""),"KYAI KONTONG")</f>
        <v>KYAI KONTONG</v>
      </c>
      <c r="D1245" s="186">
        <f>IFERROR(__xludf.DUMMYFUNCTION("""COMPUTED_VALUE"""),2.0)</f>
        <v>2</v>
      </c>
    </row>
    <row r="1246">
      <c r="A1246" s="178" t="str">
        <f>IFERROR(__xludf.DUMMYFUNCTION("""COMPUTED_VALUE"""),"ITBISA-7SEGMENT-CATHODE-RED-2.30-1BIT")</f>
        <v>ITBISA-7SEGMENT-CATHODE-RED-2.30-1BIT</v>
      </c>
      <c r="B1246" s="266">
        <f>IFERROR(__xludf.DUMMYFUNCTION("""COMPUTED_VALUE"""),45924.0)</f>
        <v>45924</v>
      </c>
      <c r="C1246" s="266" t="str">
        <f>IFERROR(__xludf.DUMMYFUNCTION("""COMPUTED_VALUE"""),"KERTASARI CIAMIS")</f>
        <v>KERTASARI CIAMIS</v>
      </c>
      <c r="D1246" s="186">
        <f>IFERROR(__xludf.DUMMYFUNCTION("""COMPUTED_VALUE"""),6.0)</f>
        <v>6</v>
      </c>
    </row>
    <row r="1247">
      <c r="A1247" s="178" t="str">
        <f>IFERROR(__xludf.DUMMYFUNCTION("""COMPUTED_VALUE"""),"ITBISA-7SEGMENT-CATHODE-RED-2.30-1BIT")</f>
        <v>ITBISA-7SEGMENT-CATHODE-RED-2.30-1BIT</v>
      </c>
      <c r="B1247" s="266">
        <f>IFERROR(__xludf.DUMMYFUNCTION("""COMPUTED_VALUE"""),45949.0)</f>
        <v>45949</v>
      </c>
      <c r="C1247" s="266" t="str">
        <f>IFERROR(__xludf.DUMMYFUNCTION("""COMPUTED_VALUE"""),"KYAI KONTONG")</f>
        <v>KYAI KONTONG</v>
      </c>
      <c r="D1247" s="186">
        <f>IFERROR(__xludf.DUMMYFUNCTION("""COMPUTED_VALUE"""),4.0)</f>
        <v>4</v>
      </c>
    </row>
    <row r="1248">
      <c r="A1248" s="178" t="str">
        <f>IFERROR(__xludf.DUMMYFUNCTION("""COMPUTED_VALUE"""),"ITBISA-7SEGMENT-CATHODE-RED-2.30-1BIT")</f>
        <v>ITBISA-7SEGMENT-CATHODE-RED-2.30-1BIT</v>
      </c>
      <c r="B1248" s="266">
        <f>IFERROR(__xludf.DUMMYFUNCTION("""COMPUTED_VALUE"""),45958.0)</f>
        <v>45958</v>
      </c>
      <c r="C1248" s="266" t="str">
        <f>IFERROR(__xludf.DUMMYFUNCTION("""COMPUTED_VALUE"""),"KYAI KONTONG")</f>
        <v>KYAI KONTONG</v>
      </c>
      <c r="D1248" s="186">
        <f>IFERROR(__xludf.DUMMYFUNCTION("""COMPUTED_VALUE"""),12.0)</f>
        <v>12</v>
      </c>
    </row>
    <row r="1249">
      <c r="A1249" s="178" t="str">
        <f>IFERROR(__xludf.DUMMYFUNCTION("""COMPUTED_VALUE"""),"ITBISA-7SEGMENT-CATHODE-RED-2.30-1BIT")</f>
        <v>ITBISA-7SEGMENT-CATHODE-RED-2.30-1BIT</v>
      </c>
      <c r="B1249" s="266">
        <f>IFERROR(__xludf.DUMMYFUNCTION("""COMPUTED_VALUE"""),45963.0)</f>
        <v>45963</v>
      </c>
      <c r="C1249" s="266" t="str">
        <f>IFERROR(__xludf.DUMMYFUNCTION("""COMPUTED_VALUE"""),"KYAI KONTONG")</f>
        <v>KYAI KONTONG</v>
      </c>
      <c r="D1249" s="186">
        <f>IFERROR(__xludf.DUMMYFUNCTION("""COMPUTED_VALUE"""),1.0)</f>
        <v>1</v>
      </c>
    </row>
    <row r="1250">
      <c r="A1250" s="178" t="str">
        <f>IFERROR(__xludf.DUMMYFUNCTION("""COMPUTED_VALUE"""),"ITBISA-7SEGMENT-CATHODE-RED-2.30-1BIT")</f>
        <v>ITBISA-7SEGMENT-CATHODE-RED-2.30-1BIT</v>
      </c>
      <c r="B1250" s="266">
        <f>IFERROR(__xludf.DUMMYFUNCTION("""COMPUTED_VALUE"""),45965.0)</f>
        <v>45965</v>
      </c>
      <c r="C1250" s="266" t="str">
        <f>IFERROR(__xludf.DUMMYFUNCTION("""COMPUTED_VALUE"""),"KYAI KONTONG")</f>
        <v>KYAI KONTONG</v>
      </c>
      <c r="D1250" s="186">
        <f>IFERROR(__xludf.DUMMYFUNCTION("""COMPUTED_VALUE"""),3.0)</f>
        <v>3</v>
      </c>
    </row>
    <row r="1251">
      <c r="A1251" s="178" t="str">
        <f>IFERROR(__xludf.DUMMYFUNCTION("""COMPUTED_VALUE"""),"ITBISA-7SEGMENT-CATHODE-RED-2.30-1BIT")</f>
        <v>ITBISA-7SEGMENT-CATHODE-RED-2.30-1BIT</v>
      </c>
      <c r="B1251" s="266">
        <f>IFERROR(__xludf.DUMMYFUNCTION("""COMPUTED_VALUE"""),45980.0)</f>
        <v>45980</v>
      </c>
      <c r="C1251" s="266" t="str">
        <f>IFERROR(__xludf.DUMMYFUNCTION("""COMPUTED_VALUE"""),"KYAI KONTONG")</f>
        <v>KYAI KONTONG</v>
      </c>
      <c r="D1251" s="186">
        <f>IFERROR(__xludf.DUMMYFUNCTION("""COMPUTED_VALUE"""),4.0)</f>
        <v>4</v>
      </c>
    </row>
    <row r="1252">
      <c r="A1252" s="178" t="str">
        <f>IFERROR(__xludf.DUMMYFUNCTION("""COMPUTED_VALUE"""),"ITBISA-7SEGMENT-CATHODE-RED-2.30-1BIT")</f>
        <v>ITBISA-7SEGMENT-CATHODE-RED-2.30-1BIT</v>
      </c>
      <c r="B1252" s="266">
        <f>IFERROR(__xludf.DUMMYFUNCTION("""COMPUTED_VALUE"""),45996.0)</f>
        <v>45996</v>
      </c>
      <c r="C1252" s="266" t="str">
        <f>IFERROR(__xludf.DUMMYFUNCTION("""COMPUTED_VALUE"""),"KYAI KONTONG")</f>
        <v>KYAI KONTONG</v>
      </c>
      <c r="D1252" s="186">
        <f>IFERROR(__xludf.DUMMYFUNCTION("""COMPUTED_VALUE"""),3.0)</f>
        <v>3</v>
      </c>
    </row>
    <row r="1253">
      <c r="A1253" s="178" t="str">
        <f>IFERROR(__xludf.DUMMYFUNCTION("""COMPUTED_VALUE"""),"ITBISA-7SEGMENT-CATHODE-RED-2.30-1BIT")</f>
        <v>ITBISA-7SEGMENT-CATHODE-RED-2.30-1BIT</v>
      </c>
      <c r="B1253" s="266">
        <f>IFERROR(__xludf.DUMMYFUNCTION("""COMPUTED_VALUE"""),46014.0)</f>
        <v>46014</v>
      </c>
      <c r="C1253" s="266" t="str">
        <f>IFERROR(__xludf.DUMMYFUNCTION("""COMPUTED_VALUE"""),"KYAI KONTONG")</f>
        <v>KYAI KONTONG</v>
      </c>
      <c r="D1253" s="186">
        <f>IFERROR(__xludf.DUMMYFUNCTION("""COMPUTED_VALUE"""),2.0)</f>
        <v>2</v>
      </c>
    </row>
    <row r="1254">
      <c r="A1254" s="178" t="str">
        <f>IFERROR(__xludf.DUMMYFUNCTION("""COMPUTED_VALUE"""),"ITBISA-7SEGMENT-CATHODE-RED-2.30-1BIT")</f>
        <v>ITBISA-7SEGMENT-CATHODE-RED-2.30-1BIT</v>
      </c>
      <c r="B1254" s="266">
        <f>IFERROR(__xludf.DUMMYFUNCTION("""COMPUTED_VALUE"""),46015.0)</f>
        <v>46015</v>
      </c>
      <c r="C1254" s="266" t="str">
        <f>IFERROR(__xludf.DUMMYFUNCTION("""COMPUTED_VALUE"""),"KYAI KONTONG")</f>
        <v>KYAI KONTONG</v>
      </c>
      <c r="D1254" s="186">
        <f>IFERROR(__xludf.DUMMYFUNCTION("""COMPUTED_VALUE"""),4.0)</f>
        <v>4</v>
      </c>
    </row>
    <row r="1255">
      <c r="A1255" s="178" t="str">
        <f>IFERROR(__xludf.DUMMYFUNCTION("""COMPUTED_VALUE"""),"ITBISA-7SEGMENT-CATHODE-RED-2.30-1BIT")</f>
        <v>ITBISA-7SEGMENT-CATHODE-RED-2.30-1BIT</v>
      </c>
      <c r="B1255" s="266">
        <f>IFERROR(__xludf.DUMMYFUNCTION("""COMPUTED_VALUE"""),46022.0)</f>
        <v>46022</v>
      </c>
      <c r="C1255" s="266" t="str">
        <f>IFERROR(__xludf.DUMMYFUNCTION("""COMPUTED_VALUE"""),"KYAI KONTONG")</f>
        <v>KYAI KONTONG</v>
      </c>
      <c r="D1255" s="186">
        <f>IFERROR(__xludf.DUMMYFUNCTION("""COMPUTED_VALUE"""),4.0)</f>
        <v>4</v>
      </c>
    </row>
    <row r="1256">
      <c r="A1256" s="178" t="str">
        <f>IFERROR(__xludf.DUMMYFUNCTION("""COMPUTED_VALUE"""),"ITBISA-ABC-BATERAI-9V-POWER")</f>
        <v>ITBISA-ABC-BATERAI-9V-POWER</v>
      </c>
      <c r="B1256" s="266">
        <f>IFERROR(__xludf.DUMMYFUNCTION("""COMPUTED_VALUE"""),45102.0)</f>
        <v>45102</v>
      </c>
      <c r="C1256" s="266" t="str">
        <f>IFERROR(__xludf.DUMMYFUNCTION("""COMPUTED_VALUE"""),"KYAI KONTONG")</f>
        <v>KYAI KONTONG</v>
      </c>
      <c r="D1256" s="186">
        <f>IFERROR(__xludf.DUMMYFUNCTION("""COMPUTED_VALUE"""),5.0)</f>
        <v>5</v>
      </c>
    </row>
    <row r="1257">
      <c r="A1257" s="178" t="str">
        <f>IFERROR(__xludf.DUMMYFUNCTION("""COMPUTED_VALUE"""),"ITBISA-ABC-BATERAI-9V-POWER")</f>
        <v>ITBISA-ABC-BATERAI-9V-POWER</v>
      </c>
      <c r="B1257" s="266">
        <f>IFERROR(__xludf.DUMMYFUNCTION("""COMPUTED_VALUE"""),45103.0)</f>
        <v>45103</v>
      </c>
      <c r="C1257" s="266" t="str">
        <f>IFERROR(__xludf.DUMMYFUNCTION("""COMPUTED_VALUE"""),"KYAI KONTONG")</f>
        <v>KYAI KONTONG</v>
      </c>
      <c r="D1257" s="186">
        <f>IFERROR(__xludf.DUMMYFUNCTION("""COMPUTED_VALUE"""),1.0)</f>
        <v>1</v>
      </c>
    </row>
    <row r="1258">
      <c r="A1258" s="178" t="str">
        <f>IFERROR(__xludf.DUMMYFUNCTION("""COMPUTED_VALUE"""),"ITBISA-ABC-BATERAI-9V-POWER")</f>
        <v>ITBISA-ABC-BATERAI-9V-POWER</v>
      </c>
      <c r="B1258" s="266">
        <f>IFERROR(__xludf.DUMMYFUNCTION("""COMPUTED_VALUE"""),45185.0)</f>
        <v>45185</v>
      </c>
      <c r="C1258" s="266" t="str">
        <f>IFERROR(__xludf.DUMMYFUNCTION("""COMPUTED_VALUE"""),"KYAI KONTONG")</f>
        <v>KYAI KONTONG</v>
      </c>
      <c r="D1258" s="186">
        <f>IFERROR(__xludf.DUMMYFUNCTION("""COMPUTED_VALUE"""),4.0)</f>
        <v>4</v>
      </c>
    </row>
    <row r="1259">
      <c r="A1259" s="178" t="str">
        <f>IFERROR(__xludf.DUMMYFUNCTION("""COMPUTED_VALUE"""),"ITBISA-ABC-BATERAI-9V-POWER")</f>
        <v>ITBISA-ABC-BATERAI-9V-POWER</v>
      </c>
      <c r="B1259" s="266">
        <f>IFERROR(__xludf.DUMMYFUNCTION("""COMPUTED_VALUE"""),45189.0)</f>
        <v>45189</v>
      </c>
      <c r="C1259" s="266" t="str">
        <f>IFERROR(__xludf.DUMMYFUNCTION("""COMPUTED_VALUE"""),"KYAI KONTONG")</f>
        <v>KYAI KONTONG</v>
      </c>
      <c r="D1259" s="186">
        <f>IFERROR(__xludf.DUMMYFUNCTION("""COMPUTED_VALUE"""),1.0)</f>
        <v>1</v>
      </c>
    </row>
    <row r="1260">
      <c r="A1260" s="178" t="str">
        <f>IFERROR(__xludf.DUMMYFUNCTION("""COMPUTED_VALUE"""),"ITBISA-ABC-BATERAI-9V-POWER")</f>
        <v>ITBISA-ABC-BATERAI-9V-POWER</v>
      </c>
      <c r="B1260" s="266">
        <f>IFERROR(__xludf.DUMMYFUNCTION("""COMPUTED_VALUE"""),45206.0)</f>
        <v>45206</v>
      </c>
      <c r="C1260" s="266" t="str">
        <f>IFERROR(__xludf.DUMMYFUNCTION("""COMPUTED_VALUE"""),"KYAI KONTONG")</f>
        <v>KYAI KONTONG</v>
      </c>
      <c r="D1260" s="186">
        <f>IFERROR(__xludf.DUMMYFUNCTION("""COMPUTED_VALUE"""),1.0)</f>
        <v>1</v>
      </c>
    </row>
    <row r="1261">
      <c r="A1261" s="178" t="str">
        <f>IFERROR(__xludf.DUMMYFUNCTION("""COMPUTED_VALUE"""),"ITBISA-ABC-BATERAI-9V-POWER")</f>
        <v>ITBISA-ABC-BATERAI-9V-POWER</v>
      </c>
      <c r="B1261" s="266">
        <f>IFERROR(__xludf.DUMMYFUNCTION("""COMPUTED_VALUE"""),45218.0)</f>
        <v>45218</v>
      </c>
      <c r="C1261" s="266" t="str">
        <f>IFERROR(__xludf.DUMMYFUNCTION("""COMPUTED_VALUE"""),"KYAI KONTONG")</f>
        <v>KYAI KONTONG</v>
      </c>
      <c r="D1261" s="186">
        <f>IFERROR(__xludf.DUMMYFUNCTION("""COMPUTED_VALUE"""),17.0)</f>
        <v>17</v>
      </c>
    </row>
    <row r="1262">
      <c r="A1262" s="178" t="str">
        <f>IFERROR(__xludf.DUMMYFUNCTION("""COMPUTED_VALUE"""),"ITBISA-ABC-BATERAI-9V-POWER")</f>
        <v>ITBISA-ABC-BATERAI-9V-POWER</v>
      </c>
      <c r="B1262" s="266">
        <f>IFERROR(__xludf.DUMMYFUNCTION("""COMPUTED_VALUE"""),45226.0)</f>
        <v>45226</v>
      </c>
      <c r="C1262" s="266" t="str">
        <f>IFERROR(__xludf.DUMMYFUNCTION("""COMPUTED_VALUE"""),"KYAI KONTONG")</f>
        <v>KYAI KONTONG</v>
      </c>
      <c r="D1262" s="186">
        <f>IFERROR(__xludf.DUMMYFUNCTION("""COMPUTED_VALUE"""),2.0)</f>
        <v>2</v>
      </c>
    </row>
    <row r="1263">
      <c r="A1263" s="178" t="str">
        <f>IFERROR(__xludf.DUMMYFUNCTION("""COMPUTED_VALUE"""),"ITBISA-ABC-BATERAI-9V-POWER")</f>
        <v>ITBISA-ABC-BATERAI-9V-POWER</v>
      </c>
      <c r="B1263" s="266">
        <f>IFERROR(__xludf.DUMMYFUNCTION("""COMPUTED_VALUE"""),45231.0)</f>
        <v>45231</v>
      </c>
      <c r="C1263" s="266" t="str">
        <f>IFERROR(__xludf.DUMMYFUNCTION("""COMPUTED_VALUE"""),"KYAI KONTONG")</f>
        <v>KYAI KONTONG</v>
      </c>
      <c r="D1263" s="186">
        <f>IFERROR(__xludf.DUMMYFUNCTION("""COMPUTED_VALUE"""),2.0)</f>
        <v>2</v>
      </c>
    </row>
    <row r="1264">
      <c r="A1264" s="178" t="str">
        <f>IFERROR(__xludf.DUMMYFUNCTION("""COMPUTED_VALUE"""),"ITBISA-ABC-BATERAI-9V-POWER")</f>
        <v>ITBISA-ABC-BATERAI-9V-POWER</v>
      </c>
      <c r="B1264" s="266">
        <f>IFERROR(__xludf.DUMMYFUNCTION("""COMPUTED_VALUE"""),45260.0)</f>
        <v>45260</v>
      </c>
      <c r="C1264" s="266" t="str">
        <f>IFERROR(__xludf.DUMMYFUNCTION("""COMPUTED_VALUE"""),"KERTASARI CIAMIS")</f>
        <v>KERTASARI CIAMIS</v>
      </c>
      <c r="D1264" s="186">
        <f>IFERROR(__xludf.DUMMYFUNCTION("""COMPUTED_VALUE"""),1.0)</f>
        <v>1</v>
      </c>
    </row>
    <row r="1265">
      <c r="A1265" s="178" t="str">
        <f>IFERROR(__xludf.DUMMYFUNCTION("""COMPUTED_VALUE"""),"ITBISA-ABC-BATERAI-9V-POWER")</f>
        <v>ITBISA-ABC-BATERAI-9V-POWER</v>
      </c>
      <c r="B1265" s="266">
        <f>IFERROR(__xludf.DUMMYFUNCTION("""COMPUTED_VALUE"""),45262.0)</f>
        <v>45262</v>
      </c>
      <c r="C1265" s="266" t="str">
        <f>IFERROR(__xludf.DUMMYFUNCTION("""COMPUTED_VALUE"""),"KERTASARI CIAMIS")</f>
        <v>KERTASARI CIAMIS</v>
      </c>
      <c r="D1265" s="186">
        <f>IFERROR(__xludf.DUMMYFUNCTION("""COMPUTED_VALUE"""),2.0)</f>
        <v>2</v>
      </c>
    </row>
    <row r="1266">
      <c r="A1266" s="178" t="str">
        <f>IFERROR(__xludf.DUMMYFUNCTION("""COMPUTED_VALUE"""),"ITBISA-ABC-BATERAI-9V-POWER")</f>
        <v>ITBISA-ABC-BATERAI-9V-POWER</v>
      </c>
      <c r="B1266" s="266">
        <f>IFERROR(__xludf.DUMMYFUNCTION("""COMPUTED_VALUE"""),45269.0)</f>
        <v>45269</v>
      </c>
      <c r="C1266" s="266" t="str">
        <f>IFERROR(__xludf.DUMMYFUNCTION("""COMPUTED_VALUE"""),"KERTASARI CIAMIS")</f>
        <v>KERTASARI CIAMIS</v>
      </c>
      <c r="D1266" s="186">
        <f>IFERROR(__xludf.DUMMYFUNCTION("""COMPUTED_VALUE"""),2.0)</f>
        <v>2</v>
      </c>
    </row>
    <row r="1267">
      <c r="A1267" s="178" t="str">
        <f>IFERROR(__xludf.DUMMYFUNCTION("""COMPUTED_VALUE"""),"ITBISA-ABC-BATERAI-9V-POWER")</f>
        <v>ITBISA-ABC-BATERAI-9V-POWER</v>
      </c>
      <c r="B1267" s="266">
        <f>IFERROR(__xludf.DUMMYFUNCTION("""COMPUTED_VALUE"""),45272.0)</f>
        <v>45272</v>
      </c>
      <c r="C1267" s="266" t="str">
        <f>IFERROR(__xludf.DUMMYFUNCTION("""COMPUTED_VALUE"""),"KERTASARI CIAMIS")</f>
        <v>KERTASARI CIAMIS</v>
      </c>
      <c r="D1267" s="186">
        <f>IFERROR(__xludf.DUMMYFUNCTION("""COMPUTED_VALUE"""),2.0)</f>
        <v>2</v>
      </c>
    </row>
    <row r="1268">
      <c r="A1268" s="178" t="str">
        <f>IFERROR(__xludf.DUMMYFUNCTION("""COMPUTED_VALUE"""),"ITBISA-ABC-BATERAI-9V-POWER")</f>
        <v>ITBISA-ABC-BATERAI-9V-POWER</v>
      </c>
      <c r="B1268" s="266">
        <f>IFERROR(__xludf.DUMMYFUNCTION("""COMPUTED_VALUE"""),45274.0)</f>
        <v>45274</v>
      </c>
      <c r="C1268" s="266" t="str">
        <f>IFERROR(__xludf.DUMMYFUNCTION("""COMPUTED_VALUE"""),"KYAI KONTONG")</f>
        <v>KYAI KONTONG</v>
      </c>
      <c r="D1268" s="186">
        <f>IFERROR(__xludf.DUMMYFUNCTION("""COMPUTED_VALUE"""),2.0)</f>
        <v>2</v>
      </c>
    </row>
    <row r="1269">
      <c r="A1269" s="178" t="str">
        <f>IFERROR(__xludf.DUMMYFUNCTION("""COMPUTED_VALUE"""),"ITBISA-ABC-BATERAI-9V-POWER")</f>
        <v>ITBISA-ABC-BATERAI-9V-POWER</v>
      </c>
      <c r="B1269" s="266">
        <f>IFERROR(__xludf.DUMMYFUNCTION("""COMPUTED_VALUE"""),45279.0)</f>
        <v>45279</v>
      </c>
      <c r="C1269" s="266" t="str">
        <f>IFERROR(__xludf.DUMMYFUNCTION("""COMPUTED_VALUE"""),"KYAI KONTONG")</f>
        <v>KYAI KONTONG</v>
      </c>
      <c r="D1269" s="186">
        <f>IFERROR(__xludf.DUMMYFUNCTION("""COMPUTED_VALUE"""),2.0)</f>
        <v>2</v>
      </c>
    </row>
    <row r="1270">
      <c r="A1270" s="178" t="str">
        <f>IFERROR(__xludf.DUMMYFUNCTION("""COMPUTED_VALUE"""),"ITBISA-ABC-BATERAI-9V-POWER")</f>
        <v>ITBISA-ABC-BATERAI-9V-POWER</v>
      </c>
      <c r="B1270" s="266">
        <f>IFERROR(__xludf.DUMMYFUNCTION("""COMPUTED_VALUE"""),45316.0)</f>
        <v>45316</v>
      </c>
      <c r="C1270" s="266" t="str">
        <f>IFERROR(__xludf.DUMMYFUNCTION("""COMPUTED_VALUE"""),"KERTASARI CIAMIS")</f>
        <v>KERTASARI CIAMIS</v>
      </c>
      <c r="D1270" s="186">
        <f>IFERROR(__xludf.DUMMYFUNCTION("""COMPUTED_VALUE"""),1.0)</f>
        <v>1</v>
      </c>
    </row>
    <row r="1271">
      <c r="A1271" s="178" t="str">
        <f>IFERROR(__xludf.DUMMYFUNCTION("""COMPUTED_VALUE"""),"ITBISA-ABC-BATERAI-9V-POWER")</f>
        <v>ITBISA-ABC-BATERAI-9V-POWER</v>
      </c>
      <c r="B1271" s="266">
        <f>IFERROR(__xludf.DUMMYFUNCTION("""COMPUTED_VALUE"""),45359.0)</f>
        <v>45359</v>
      </c>
      <c r="C1271" s="266" t="str">
        <f>IFERROR(__xludf.DUMMYFUNCTION("""COMPUTED_VALUE"""),"KYAI KONTONG")</f>
        <v>KYAI KONTONG</v>
      </c>
      <c r="D1271" s="186">
        <f>IFERROR(__xludf.DUMMYFUNCTION("""COMPUTED_VALUE"""),1.0)</f>
        <v>1</v>
      </c>
    </row>
    <row r="1272">
      <c r="A1272" s="178" t="str">
        <f>IFERROR(__xludf.DUMMYFUNCTION("""COMPUTED_VALUE"""),"ITBISA-ABC-BATERAI-9V-POWER")</f>
        <v>ITBISA-ABC-BATERAI-9V-POWER</v>
      </c>
      <c r="B1272" s="266">
        <f>IFERROR(__xludf.DUMMYFUNCTION("""COMPUTED_VALUE"""),45392.0)</f>
        <v>45392</v>
      </c>
      <c r="C1272" s="266" t="str">
        <f>IFERROR(__xludf.DUMMYFUNCTION("""COMPUTED_VALUE"""),"KERTASARI CIAMIS")</f>
        <v>KERTASARI CIAMIS</v>
      </c>
      <c r="D1272" s="186">
        <f>IFERROR(__xludf.DUMMYFUNCTION("""COMPUTED_VALUE"""),1.0)</f>
        <v>1</v>
      </c>
    </row>
    <row r="1273">
      <c r="A1273" s="178" t="str">
        <f>IFERROR(__xludf.DUMMYFUNCTION("""COMPUTED_VALUE"""),"ITBISA-ABC-BATERAI-9V-POWER")</f>
        <v>ITBISA-ABC-BATERAI-9V-POWER</v>
      </c>
      <c r="B1273" s="266">
        <f>IFERROR(__xludf.DUMMYFUNCTION("""COMPUTED_VALUE"""),45398.0)</f>
        <v>45398</v>
      </c>
      <c r="C1273" s="266" t="str">
        <f>IFERROR(__xludf.DUMMYFUNCTION("""COMPUTED_VALUE"""),"KERTASARI CIAMIS")</f>
        <v>KERTASARI CIAMIS</v>
      </c>
      <c r="D1273" s="186">
        <f>IFERROR(__xludf.DUMMYFUNCTION("""COMPUTED_VALUE"""),1.0)</f>
        <v>1</v>
      </c>
    </row>
    <row r="1274">
      <c r="A1274" s="178" t="str">
        <f>IFERROR(__xludf.DUMMYFUNCTION("""COMPUTED_VALUE"""),"ITBISA-ABC-BATERAI-9V-POWER")</f>
        <v>ITBISA-ABC-BATERAI-9V-POWER</v>
      </c>
      <c r="B1274" s="266">
        <f>IFERROR(__xludf.DUMMYFUNCTION("""COMPUTED_VALUE"""),45400.0)</f>
        <v>45400</v>
      </c>
      <c r="C1274" s="266" t="str">
        <f>IFERROR(__xludf.DUMMYFUNCTION("""COMPUTED_VALUE"""),"KYAI KONTONG")</f>
        <v>KYAI KONTONG</v>
      </c>
      <c r="D1274" s="186">
        <f>IFERROR(__xludf.DUMMYFUNCTION("""COMPUTED_VALUE"""),1.0)</f>
        <v>1</v>
      </c>
    </row>
    <row r="1275">
      <c r="A1275" s="178" t="str">
        <f>IFERROR(__xludf.DUMMYFUNCTION("""COMPUTED_VALUE"""),"ITBISA-ABC-BATERAI-9V-POWER")</f>
        <v>ITBISA-ABC-BATERAI-9V-POWER</v>
      </c>
      <c r="B1275" s="266">
        <f>IFERROR(__xludf.DUMMYFUNCTION("""COMPUTED_VALUE"""),45404.0)</f>
        <v>45404</v>
      </c>
      <c r="C1275" s="266" t="str">
        <f>IFERROR(__xludf.DUMMYFUNCTION("""COMPUTED_VALUE"""),"KYAI KONTONG")</f>
        <v>KYAI KONTONG</v>
      </c>
      <c r="D1275" s="186">
        <f>IFERROR(__xludf.DUMMYFUNCTION("""COMPUTED_VALUE"""),4.0)</f>
        <v>4</v>
      </c>
    </row>
    <row r="1276">
      <c r="A1276" s="178" t="str">
        <f>IFERROR(__xludf.DUMMYFUNCTION("""COMPUTED_VALUE"""),"ITBISA-ABC-BATERAI-9V-POWER")</f>
        <v>ITBISA-ABC-BATERAI-9V-POWER</v>
      </c>
      <c r="B1276" s="266">
        <f>IFERROR(__xludf.DUMMYFUNCTION("""COMPUTED_VALUE"""),45405.0)</f>
        <v>45405</v>
      </c>
      <c r="C1276" s="266" t="str">
        <f>IFERROR(__xludf.DUMMYFUNCTION("""COMPUTED_VALUE"""),"KERTASARI CIAMIS")</f>
        <v>KERTASARI CIAMIS</v>
      </c>
      <c r="D1276" s="186">
        <f>IFERROR(__xludf.DUMMYFUNCTION("""COMPUTED_VALUE"""),1.0)</f>
        <v>1</v>
      </c>
    </row>
    <row r="1277">
      <c r="A1277" s="178" t="str">
        <f>IFERROR(__xludf.DUMMYFUNCTION("""COMPUTED_VALUE"""),"ITBISA-ABC-BATERAI-9V-POWER")</f>
        <v>ITBISA-ABC-BATERAI-9V-POWER</v>
      </c>
      <c r="B1277" s="266">
        <f>IFERROR(__xludf.DUMMYFUNCTION("""COMPUTED_VALUE"""),45416.0)</f>
        <v>45416</v>
      </c>
      <c r="C1277" s="266" t="str">
        <f>IFERROR(__xludf.DUMMYFUNCTION("""COMPUTED_VALUE"""),"KYAI KONTONG")</f>
        <v>KYAI KONTONG</v>
      </c>
      <c r="D1277" s="186">
        <f>IFERROR(__xludf.DUMMYFUNCTION("""COMPUTED_VALUE"""),3.0)</f>
        <v>3</v>
      </c>
    </row>
    <row r="1278">
      <c r="A1278" s="178" t="str">
        <f>IFERROR(__xludf.DUMMYFUNCTION("""COMPUTED_VALUE"""),"ITBISA-ABC-BATERAI-9V-POWER")</f>
        <v>ITBISA-ABC-BATERAI-9V-POWER</v>
      </c>
      <c r="B1278" s="266">
        <f>IFERROR(__xludf.DUMMYFUNCTION("""COMPUTED_VALUE"""),45419.0)</f>
        <v>45419</v>
      </c>
      <c r="C1278" s="266" t="str">
        <f>IFERROR(__xludf.DUMMYFUNCTION("""COMPUTED_VALUE"""),"KERTASARI CIAMIS")</f>
        <v>KERTASARI CIAMIS</v>
      </c>
      <c r="D1278" s="186">
        <f>IFERROR(__xludf.DUMMYFUNCTION("""COMPUTED_VALUE"""),5.0)</f>
        <v>5</v>
      </c>
    </row>
    <row r="1279">
      <c r="A1279" s="178" t="str">
        <f>IFERROR(__xludf.DUMMYFUNCTION("""COMPUTED_VALUE"""),"ITBISA-ABC-BATERAI-9V-POWER")</f>
        <v>ITBISA-ABC-BATERAI-9V-POWER</v>
      </c>
      <c r="B1279" s="266">
        <f>IFERROR(__xludf.DUMMYFUNCTION("""COMPUTED_VALUE"""),45433.0)</f>
        <v>45433</v>
      </c>
      <c r="C1279" s="266" t="str">
        <f>IFERROR(__xludf.DUMMYFUNCTION("""COMPUTED_VALUE"""),"KYAI KONTONG")</f>
        <v>KYAI KONTONG</v>
      </c>
      <c r="D1279" s="186">
        <f>IFERROR(__xludf.DUMMYFUNCTION("""COMPUTED_VALUE"""),1.0)</f>
        <v>1</v>
      </c>
    </row>
    <row r="1280">
      <c r="A1280" s="178" t="str">
        <f>IFERROR(__xludf.DUMMYFUNCTION("""COMPUTED_VALUE"""),"ITBISA-ABC-BATERAI-9V-POWER")</f>
        <v>ITBISA-ABC-BATERAI-9V-POWER</v>
      </c>
      <c r="B1280" s="266">
        <f>IFERROR(__xludf.DUMMYFUNCTION("""COMPUTED_VALUE"""),45441.0)</f>
        <v>45441</v>
      </c>
      <c r="C1280" s="266" t="str">
        <f>IFERROR(__xludf.DUMMYFUNCTION("""COMPUTED_VALUE"""),"KERTASARI CIAMIS")</f>
        <v>KERTASARI CIAMIS</v>
      </c>
      <c r="D1280" s="186">
        <f>IFERROR(__xludf.DUMMYFUNCTION("""COMPUTED_VALUE"""),5.0)</f>
        <v>5</v>
      </c>
    </row>
    <row r="1281">
      <c r="A1281" s="178" t="str">
        <f>IFERROR(__xludf.DUMMYFUNCTION("""COMPUTED_VALUE"""),"ITBISA-ABC-BATERAI-9V-POWER")</f>
        <v>ITBISA-ABC-BATERAI-9V-POWER</v>
      </c>
      <c r="B1281" s="266">
        <f>IFERROR(__xludf.DUMMYFUNCTION("""COMPUTED_VALUE"""),45443.0)</f>
        <v>45443</v>
      </c>
      <c r="C1281" s="266" t="str">
        <f>IFERROR(__xludf.DUMMYFUNCTION("""COMPUTED_VALUE"""),"KYAI KONTONG")</f>
        <v>KYAI KONTONG</v>
      </c>
      <c r="D1281" s="186">
        <f>IFERROR(__xludf.DUMMYFUNCTION("""COMPUTED_VALUE"""),1.0)</f>
        <v>1</v>
      </c>
    </row>
    <row r="1282">
      <c r="A1282" s="178" t="str">
        <f>IFERROR(__xludf.DUMMYFUNCTION("""COMPUTED_VALUE"""),"ITBISA-ABC-BATERAI-9V-POWER")</f>
        <v>ITBISA-ABC-BATERAI-9V-POWER</v>
      </c>
      <c r="B1282" s="266">
        <f>IFERROR(__xludf.DUMMYFUNCTION("""COMPUTED_VALUE"""),45445.0)</f>
        <v>45445</v>
      </c>
      <c r="C1282" s="266" t="str">
        <f>IFERROR(__xludf.DUMMYFUNCTION("""COMPUTED_VALUE"""),"KERTASARI CIAMIS")</f>
        <v>KERTASARI CIAMIS</v>
      </c>
      <c r="D1282" s="186">
        <f>IFERROR(__xludf.DUMMYFUNCTION("""COMPUTED_VALUE"""),1.0)</f>
        <v>1</v>
      </c>
    </row>
    <row r="1283">
      <c r="A1283" s="178" t="str">
        <f>IFERROR(__xludf.DUMMYFUNCTION("""COMPUTED_VALUE"""),"ITBISA-ABC-BATERAI-9V-POWER")</f>
        <v>ITBISA-ABC-BATERAI-9V-POWER</v>
      </c>
      <c r="B1283" s="266">
        <f>IFERROR(__xludf.DUMMYFUNCTION("""COMPUTED_VALUE"""),45447.0)</f>
        <v>45447</v>
      </c>
      <c r="C1283" s="266" t="str">
        <f>IFERROR(__xludf.DUMMYFUNCTION("""COMPUTED_VALUE"""),"KERTASARI CIAMIS")</f>
        <v>KERTASARI CIAMIS</v>
      </c>
      <c r="D1283" s="186">
        <f>IFERROR(__xludf.DUMMYFUNCTION("""COMPUTED_VALUE"""),3.0)</f>
        <v>3</v>
      </c>
    </row>
    <row r="1284">
      <c r="A1284" s="178" t="str">
        <f>IFERROR(__xludf.DUMMYFUNCTION("""COMPUTED_VALUE"""),"ITBISA-ABC-BATERAI-9V-POWER")</f>
        <v>ITBISA-ABC-BATERAI-9V-POWER</v>
      </c>
      <c r="B1284" s="266">
        <f>IFERROR(__xludf.DUMMYFUNCTION("""COMPUTED_VALUE"""),45484.0)</f>
        <v>45484</v>
      </c>
      <c r="C1284" s="266" t="str">
        <f>IFERROR(__xludf.DUMMYFUNCTION("""COMPUTED_VALUE"""),"KERTASARI CIAMIS")</f>
        <v>KERTASARI CIAMIS</v>
      </c>
      <c r="D1284" s="186">
        <f>IFERROR(__xludf.DUMMYFUNCTION("""COMPUTED_VALUE"""),2.0)</f>
        <v>2</v>
      </c>
    </row>
    <row r="1285">
      <c r="A1285" s="178" t="str">
        <f>IFERROR(__xludf.DUMMYFUNCTION("""COMPUTED_VALUE"""),"ITBISA-ABC-BATERAI-9V-POWER")</f>
        <v>ITBISA-ABC-BATERAI-9V-POWER</v>
      </c>
      <c r="B1285" s="266">
        <f>IFERROR(__xludf.DUMMYFUNCTION("""COMPUTED_VALUE"""),45497.0)</f>
        <v>45497</v>
      </c>
      <c r="C1285" s="266" t="str">
        <f>IFERROR(__xludf.DUMMYFUNCTION("""COMPUTED_VALUE"""),"KYAI KONTONG")</f>
        <v>KYAI KONTONG</v>
      </c>
      <c r="D1285" s="186">
        <f>IFERROR(__xludf.DUMMYFUNCTION("""COMPUTED_VALUE"""),2.0)</f>
        <v>2</v>
      </c>
    </row>
    <row r="1286">
      <c r="A1286" s="178" t="str">
        <f>IFERROR(__xludf.DUMMYFUNCTION("""COMPUTED_VALUE"""),"ITBISA-ABC-BATERAI-9V-POWER")</f>
        <v>ITBISA-ABC-BATERAI-9V-POWER</v>
      </c>
      <c r="B1286" s="266">
        <f>IFERROR(__xludf.DUMMYFUNCTION("""COMPUTED_VALUE"""),45504.0)</f>
        <v>45504</v>
      </c>
      <c r="C1286" s="266" t="str">
        <f>IFERROR(__xludf.DUMMYFUNCTION("""COMPUTED_VALUE"""),"KYAI KONTONG")</f>
        <v>KYAI KONTONG</v>
      </c>
      <c r="D1286" s="186">
        <f>IFERROR(__xludf.DUMMYFUNCTION("""COMPUTED_VALUE"""),2.0)</f>
        <v>2</v>
      </c>
    </row>
    <row r="1287">
      <c r="A1287" s="178" t="str">
        <f>IFERROR(__xludf.DUMMYFUNCTION("""COMPUTED_VALUE"""),"ITBISA-ABC-BATERAI-9V-POWER")</f>
        <v>ITBISA-ABC-BATERAI-9V-POWER</v>
      </c>
      <c r="B1287" s="266">
        <f>IFERROR(__xludf.DUMMYFUNCTION("""COMPUTED_VALUE"""),45526.0)</f>
        <v>45526</v>
      </c>
      <c r="C1287" s="266" t="str">
        <f>IFERROR(__xludf.DUMMYFUNCTION("""COMPUTED_VALUE"""),"KYAI KONTONG")</f>
        <v>KYAI KONTONG</v>
      </c>
      <c r="D1287" s="186">
        <f>IFERROR(__xludf.DUMMYFUNCTION("""COMPUTED_VALUE"""),4.0)</f>
        <v>4</v>
      </c>
    </row>
    <row r="1288">
      <c r="A1288" s="178" t="str">
        <f>IFERROR(__xludf.DUMMYFUNCTION("""COMPUTED_VALUE"""),"ITBISA-ABC-BATERAI-9V-POWER")</f>
        <v>ITBISA-ABC-BATERAI-9V-POWER</v>
      </c>
      <c r="B1288" s="266">
        <f>IFERROR(__xludf.DUMMYFUNCTION("""COMPUTED_VALUE"""),45528.0)</f>
        <v>45528</v>
      </c>
      <c r="C1288" s="266" t="str">
        <f>IFERROR(__xludf.DUMMYFUNCTION("""COMPUTED_VALUE"""),"KYAI KONTONG")</f>
        <v>KYAI KONTONG</v>
      </c>
      <c r="D1288" s="186">
        <f>IFERROR(__xludf.DUMMYFUNCTION("""COMPUTED_VALUE"""),2.0)</f>
        <v>2</v>
      </c>
    </row>
    <row r="1289">
      <c r="A1289" s="178" t="str">
        <f>IFERROR(__xludf.DUMMYFUNCTION("""COMPUTED_VALUE"""),"ITBISA-ABC-BATERAI-9V-POWER")</f>
        <v>ITBISA-ABC-BATERAI-9V-POWER</v>
      </c>
      <c r="B1289" s="266">
        <f>IFERROR(__xludf.DUMMYFUNCTION("""COMPUTED_VALUE"""),45532.0)</f>
        <v>45532</v>
      </c>
      <c r="C1289" s="266" t="str">
        <f>IFERROR(__xludf.DUMMYFUNCTION("""COMPUTED_VALUE"""),"KERTASARI CIAMIS")</f>
        <v>KERTASARI CIAMIS</v>
      </c>
      <c r="D1289" s="186">
        <f>IFERROR(__xludf.DUMMYFUNCTION("""COMPUTED_VALUE"""),1.0)</f>
        <v>1</v>
      </c>
    </row>
    <row r="1290">
      <c r="A1290" s="178" t="str">
        <f>IFERROR(__xludf.DUMMYFUNCTION("""COMPUTED_VALUE"""),"ITBISA-ABC-BATERAI-9V-POWER")</f>
        <v>ITBISA-ABC-BATERAI-9V-POWER</v>
      </c>
      <c r="B1290" s="266">
        <f>IFERROR(__xludf.DUMMYFUNCTION("""COMPUTED_VALUE"""),45540.0)</f>
        <v>45540</v>
      </c>
      <c r="C1290" s="266" t="str">
        <f>IFERROR(__xludf.DUMMYFUNCTION("""COMPUTED_VALUE"""),"KYAI KONTONG")</f>
        <v>KYAI KONTONG</v>
      </c>
      <c r="D1290" s="186">
        <f>IFERROR(__xludf.DUMMYFUNCTION("""COMPUTED_VALUE"""),1.0)</f>
        <v>1</v>
      </c>
    </row>
    <row r="1291">
      <c r="A1291" s="178" t="str">
        <f>IFERROR(__xludf.DUMMYFUNCTION("""COMPUTED_VALUE"""),"ITBISA-ABC-BATERAI-9V-POWER")</f>
        <v>ITBISA-ABC-BATERAI-9V-POWER</v>
      </c>
      <c r="B1291" s="266">
        <f>IFERROR(__xludf.DUMMYFUNCTION("""COMPUTED_VALUE"""),45568.0)</f>
        <v>45568</v>
      </c>
      <c r="C1291" s="266" t="str">
        <f>IFERROR(__xludf.DUMMYFUNCTION("""COMPUTED_VALUE"""),"KYAI KONTONG")</f>
        <v>KYAI KONTONG</v>
      </c>
      <c r="D1291" s="186">
        <f>IFERROR(__xludf.DUMMYFUNCTION("""COMPUTED_VALUE"""),5.0)</f>
        <v>5</v>
      </c>
    </row>
    <row r="1292">
      <c r="A1292" s="178" t="str">
        <f>IFERROR(__xludf.DUMMYFUNCTION("""COMPUTED_VALUE"""),"ITBISA-ABC-BATERAI-9V-POWER")</f>
        <v>ITBISA-ABC-BATERAI-9V-POWER</v>
      </c>
      <c r="B1292" s="266">
        <f>IFERROR(__xludf.DUMMYFUNCTION("""COMPUTED_VALUE"""),45572.0)</f>
        <v>45572</v>
      </c>
      <c r="C1292" s="266" t="str">
        <f>IFERROR(__xludf.DUMMYFUNCTION("""COMPUTED_VALUE"""),"KYAI KONTONG")</f>
        <v>KYAI KONTONG</v>
      </c>
      <c r="D1292" s="186">
        <f>IFERROR(__xludf.DUMMYFUNCTION("""COMPUTED_VALUE"""),2.0)</f>
        <v>2</v>
      </c>
    </row>
    <row r="1293">
      <c r="A1293" s="178" t="str">
        <f>IFERROR(__xludf.DUMMYFUNCTION("""COMPUTED_VALUE"""),"ITBISA-ABC-BATERAI-9V-POWER")</f>
        <v>ITBISA-ABC-BATERAI-9V-POWER</v>
      </c>
      <c r="B1293" s="266">
        <f>IFERROR(__xludf.DUMMYFUNCTION("""COMPUTED_VALUE"""),45583.0)</f>
        <v>45583</v>
      </c>
      <c r="C1293" s="266" t="str">
        <f>IFERROR(__xludf.DUMMYFUNCTION("""COMPUTED_VALUE"""),"KYAI KONTONG")</f>
        <v>KYAI KONTONG</v>
      </c>
      <c r="D1293" s="186">
        <f>IFERROR(__xludf.DUMMYFUNCTION("""COMPUTED_VALUE"""),2.0)</f>
        <v>2</v>
      </c>
    </row>
    <row r="1294">
      <c r="A1294" s="178" t="str">
        <f>IFERROR(__xludf.DUMMYFUNCTION("""COMPUTED_VALUE"""),"ITBISA-ABC-BATERAI-9V-POWER")</f>
        <v>ITBISA-ABC-BATERAI-9V-POWER</v>
      </c>
      <c r="B1294" s="266">
        <f>IFERROR(__xludf.DUMMYFUNCTION("""COMPUTED_VALUE"""),45586.0)</f>
        <v>45586</v>
      </c>
      <c r="C1294" s="266" t="str">
        <f>IFERROR(__xludf.DUMMYFUNCTION("""COMPUTED_VALUE"""),"KERTASARI CIAMIS")</f>
        <v>KERTASARI CIAMIS</v>
      </c>
      <c r="D1294" s="186">
        <f>IFERROR(__xludf.DUMMYFUNCTION("""COMPUTED_VALUE"""),8.0)</f>
        <v>8</v>
      </c>
    </row>
    <row r="1295">
      <c r="A1295" s="178" t="str">
        <f>IFERROR(__xludf.DUMMYFUNCTION("""COMPUTED_VALUE"""),"ITBISA-ABC-BATERAI-9V-POWER")</f>
        <v>ITBISA-ABC-BATERAI-9V-POWER</v>
      </c>
      <c r="B1295" s="266">
        <f>IFERROR(__xludf.DUMMYFUNCTION("""COMPUTED_VALUE"""),45641.0)</f>
        <v>45641</v>
      </c>
      <c r="C1295" s="266" t="str">
        <f>IFERROR(__xludf.DUMMYFUNCTION("""COMPUTED_VALUE"""),"KYAI KONTONG")</f>
        <v>KYAI KONTONG</v>
      </c>
      <c r="D1295" s="186">
        <f>IFERROR(__xludf.DUMMYFUNCTION("""COMPUTED_VALUE"""),1.0)</f>
        <v>1</v>
      </c>
    </row>
    <row r="1296">
      <c r="A1296" s="178" t="str">
        <f>IFERROR(__xludf.DUMMYFUNCTION("""COMPUTED_VALUE"""),"ITBISA-ABC-BATERAI-9V-POWER")</f>
        <v>ITBISA-ABC-BATERAI-9V-POWER</v>
      </c>
      <c r="B1296" s="266">
        <f>IFERROR(__xludf.DUMMYFUNCTION("""COMPUTED_VALUE"""),45648.0)</f>
        <v>45648</v>
      </c>
      <c r="C1296" s="266" t="str">
        <f>IFERROR(__xludf.DUMMYFUNCTION("""COMPUTED_VALUE"""),"KYAI KONTONG")</f>
        <v>KYAI KONTONG</v>
      </c>
      <c r="D1296" s="186">
        <f>IFERROR(__xludf.DUMMYFUNCTION("""COMPUTED_VALUE"""),1.0)</f>
        <v>1</v>
      </c>
    </row>
    <row r="1297">
      <c r="A1297" s="178" t="str">
        <f>IFERROR(__xludf.DUMMYFUNCTION("""COMPUTED_VALUE"""),"ITBISA-ABC-BATERAI-9V-POWER")</f>
        <v>ITBISA-ABC-BATERAI-9V-POWER</v>
      </c>
      <c r="B1297" s="266">
        <f>IFERROR(__xludf.DUMMYFUNCTION("""COMPUTED_VALUE"""),45667.0)</f>
        <v>45667</v>
      </c>
      <c r="C1297" s="266" t="str">
        <f>IFERROR(__xludf.DUMMYFUNCTION("""COMPUTED_VALUE"""),"KYAI KONTONG")</f>
        <v>KYAI KONTONG</v>
      </c>
      <c r="D1297" s="186">
        <f>IFERROR(__xludf.DUMMYFUNCTION("""COMPUTED_VALUE"""),2.0)</f>
        <v>2</v>
      </c>
    </row>
    <row r="1298">
      <c r="A1298" s="178" t="str">
        <f>IFERROR(__xludf.DUMMYFUNCTION("""COMPUTED_VALUE"""),"ITBISA-ABC-BATERAI-9V-POWER")</f>
        <v>ITBISA-ABC-BATERAI-9V-POWER</v>
      </c>
      <c r="B1298" s="266">
        <f>IFERROR(__xludf.DUMMYFUNCTION("""COMPUTED_VALUE"""),45729.0)</f>
        <v>45729</v>
      </c>
      <c r="C1298" s="266" t="str">
        <f>IFERROR(__xludf.DUMMYFUNCTION("""COMPUTED_VALUE"""),"KYAI KONTONG")</f>
        <v>KYAI KONTONG</v>
      </c>
      <c r="D1298" s="186">
        <f>IFERROR(__xludf.DUMMYFUNCTION("""COMPUTED_VALUE"""),1.0)</f>
        <v>1</v>
      </c>
    </row>
    <row r="1299">
      <c r="A1299" s="178" t="str">
        <f>IFERROR(__xludf.DUMMYFUNCTION("""COMPUTED_VALUE"""),"ITBISA-ABC-BATERAI-9V-POWER")</f>
        <v>ITBISA-ABC-BATERAI-9V-POWER</v>
      </c>
      <c r="B1299" s="266">
        <f>IFERROR(__xludf.DUMMYFUNCTION("""COMPUTED_VALUE"""),45762.0)</f>
        <v>45762</v>
      </c>
      <c r="C1299" s="266" t="str">
        <f>IFERROR(__xludf.DUMMYFUNCTION("""COMPUTED_VALUE"""),"KERTASARI CIAMIS")</f>
        <v>KERTASARI CIAMIS</v>
      </c>
      <c r="D1299" s="186">
        <f>IFERROR(__xludf.DUMMYFUNCTION("""COMPUTED_VALUE"""),1.0)</f>
        <v>1</v>
      </c>
    </row>
    <row r="1300">
      <c r="A1300" s="178" t="str">
        <f>IFERROR(__xludf.DUMMYFUNCTION("""COMPUTED_VALUE"""),"ITBISA-ABC-BATERAI-9V-POWER")</f>
        <v>ITBISA-ABC-BATERAI-9V-POWER</v>
      </c>
      <c r="B1300" s="266">
        <f>IFERROR(__xludf.DUMMYFUNCTION("""COMPUTED_VALUE"""),45772.0)</f>
        <v>45772</v>
      </c>
      <c r="C1300" s="266" t="str">
        <f>IFERROR(__xludf.DUMMYFUNCTION("""COMPUTED_VALUE"""),"KYAI KONTONG")</f>
        <v>KYAI KONTONG</v>
      </c>
      <c r="D1300" s="186">
        <f>IFERROR(__xludf.DUMMYFUNCTION("""COMPUTED_VALUE"""),6.0)</f>
        <v>6</v>
      </c>
    </row>
    <row r="1301">
      <c r="A1301" s="178" t="str">
        <f>IFERROR(__xludf.DUMMYFUNCTION("""COMPUTED_VALUE"""),"ITBISA-ABC-BATERAI-9V-POWER")</f>
        <v>ITBISA-ABC-BATERAI-9V-POWER</v>
      </c>
      <c r="B1301" s="266">
        <f>IFERROR(__xludf.DUMMYFUNCTION("""COMPUTED_VALUE"""),45783.0)</f>
        <v>45783</v>
      </c>
      <c r="C1301" s="266" t="str">
        <f>IFERROR(__xludf.DUMMYFUNCTION("""COMPUTED_VALUE"""),"KYAI KONTONG")</f>
        <v>KYAI KONTONG</v>
      </c>
      <c r="D1301" s="186">
        <f>IFERROR(__xludf.DUMMYFUNCTION("""COMPUTED_VALUE"""),2.0)</f>
        <v>2</v>
      </c>
    </row>
    <row r="1302">
      <c r="A1302" s="178" t="str">
        <f>IFERROR(__xludf.DUMMYFUNCTION("""COMPUTED_VALUE"""),"ITBISA-ABC-BATERAI-9V-POWER")</f>
        <v>ITBISA-ABC-BATERAI-9V-POWER</v>
      </c>
      <c r="B1302" s="266">
        <f>IFERROR(__xludf.DUMMYFUNCTION("""COMPUTED_VALUE"""),45792.0)</f>
        <v>45792</v>
      </c>
      <c r="C1302" s="266" t="str">
        <f>IFERROR(__xludf.DUMMYFUNCTION("""COMPUTED_VALUE"""),"KYAI KONTONG")</f>
        <v>KYAI KONTONG</v>
      </c>
      <c r="D1302" s="186">
        <f>IFERROR(__xludf.DUMMYFUNCTION("""COMPUTED_VALUE"""),1.0)</f>
        <v>1</v>
      </c>
    </row>
    <row r="1303">
      <c r="A1303" s="178" t="str">
        <f>IFERROR(__xludf.DUMMYFUNCTION("""COMPUTED_VALUE"""),"ITBISA-ABC-BATERAI-9V-POWER")</f>
        <v>ITBISA-ABC-BATERAI-9V-POWER</v>
      </c>
      <c r="B1303" s="266">
        <f>IFERROR(__xludf.DUMMYFUNCTION("""COMPUTED_VALUE"""),45794.0)</f>
        <v>45794</v>
      </c>
      <c r="C1303" s="266" t="str">
        <f>IFERROR(__xludf.DUMMYFUNCTION("""COMPUTED_VALUE"""),"KYAI KONTONG")</f>
        <v>KYAI KONTONG</v>
      </c>
      <c r="D1303" s="186">
        <f>IFERROR(__xludf.DUMMYFUNCTION("""COMPUTED_VALUE"""),1.0)</f>
        <v>1</v>
      </c>
    </row>
    <row r="1304">
      <c r="A1304" s="178" t="str">
        <f>IFERROR(__xludf.DUMMYFUNCTION("""COMPUTED_VALUE"""),"ITBISA-ABC-BATERAI-9V-POWER")</f>
        <v>ITBISA-ABC-BATERAI-9V-POWER</v>
      </c>
      <c r="B1304" s="266">
        <f>IFERROR(__xludf.DUMMYFUNCTION("""COMPUTED_VALUE"""),45849.0)</f>
        <v>45849</v>
      </c>
      <c r="C1304" s="266" t="str">
        <f>IFERROR(__xludf.DUMMYFUNCTION("""COMPUTED_VALUE"""),"KYAI KONTONG")</f>
        <v>KYAI KONTONG</v>
      </c>
      <c r="D1304" s="186">
        <f>IFERROR(__xludf.DUMMYFUNCTION("""COMPUTED_VALUE"""),2.0)</f>
        <v>2</v>
      </c>
    </row>
    <row r="1305">
      <c r="A1305" s="178" t="str">
        <f>IFERROR(__xludf.DUMMYFUNCTION("""COMPUTED_VALUE"""),"ITBISA-ABC-BATERAI-9V-POWER")</f>
        <v>ITBISA-ABC-BATERAI-9V-POWER</v>
      </c>
      <c r="B1305" s="266">
        <f>IFERROR(__xludf.DUMMYFUNCTION("""COMPUTED_VALUE"""),45864.0)</f>
        <v>45864</v>
      </c>
      <c r="C1305" s="266" t="str">
        <f>IFERROR(__xludf.DUMMYFUNCTION("""COMPUTED_VALUE"""),"KYAI KONTONG")</f>
        <v>KYAI KONTONG</v>
      </c>
      <c r="D1305" s="186">
        <f>IFERROR(__xludf.DUMMYFUNCTION("""COMPUTED_VALUE"""),1.0)</f>
        <v>1</v>
      </c>
    </row>
    <row r="1306">
      <c r="A1306" s="178" t="str">
        <f>IFERROR(__xludf.DUMMYFUNCTION("""COMPUTED_VALUE"""),"ITBISA-ABC-BATERAI-9V-POWER")</f>
        <v>ITBISA-ABC-BATERAI-9V-POWER</v>
      </c>
      <c r="B1306" s="266">
        <f>IFERROR(__xludf.DUMMYFUNCTION("""COMPUTED_VALUE"""),45890.0)</f>
        <v>45890</v>
      </c>
      <c r="C1306" s="266" t="str">
        <f>IFERROR(__xludf.DUMMYFUNCTION("""COMPUTED_VALUE"""),"KYAI KONTONG")</f>
        <v>KYAI KONTONG</v>
      </c>
      <c r="D1306" s="186">
        <f>IFERROR(__xludf.DUMMYFUNCTION("""COMPUTED_VALUE"""),3.0)</f>
        <v>3</v>
      </c>
    </row>
    <row r="1307">
      <c r="A1307" s="178" t="str">
        <f>IFERROR(__xludf.DUMMYFUNCTION("""COMPUTED_VALUE"""),"ITBISA-ABC-BATERAI-9V-POWER")</f>
        <v>ITBISA-ABC-BATERAI-9V-POWER</v>
      </c>
      <c r="B1307" s="266">
        <f>IFERROR(__xludf.DUMMYFUNCTION("""COMPUTED_VALUE"""),45943.0)</f>
        <v>45943</v>
      </c>
      <c r="C1307" s="266" t="str">
        <f>IFERROR(__xludf.DUMMYFUNCTION("""COMPUTED_VALUE"""),"KYAI KONTONG")</f>
        <v>KYAI KONTONG</v>
      </c>
      <c r="D1307" s="186">
        <f>IFERROR(__xludf.DUMMYFUNCTION("""COMPUTED_VALUE"""),1.0)</f>
        <v>1</v>
      </c>
    </row>
    <row r="1308">
      <c r="A1308" s="178" t="str">
        <f>IFERROR(__xludf.DUMMYFUNCTION("""COMPUTED_VALUE"""),"ITBISA-ABC-BATERAI-9V-POWER")</f>
        <v>ITBISA-ABC-BATERAI-9V-POWER</v>
      </c>
      <c r="B1308" s="266">
        <f>IFERROR(__xludf.DUMMYFUNCTION("""COMPUTED_VALUE"""),45962.0)</f>
        <v>45962</v>
      </c>
      <c r="C1308" s="266" t="str">
        <f>IFERROR(__xludf.DUMMYFUNCTION("""COMPUTED_VALUE"""),"KYAI KONTONG")</f>
        <v>KYAI KONTONG</v>
      </c>
      <c r="D1308" s="186">
        <f>IFERROR(__xludf.DUMMYFUNCTION("""COMPUTED_VALUE"""),2.0)</f>
        <v>2</v>
      </c>
    </row>
    <row r="1309">
      <c r="A1309" s="178" t="str">
        <f>IFERROR(__xludf.DUMMYFUNCTION("""COMPUTED_VALUE"""),"ITBISA-ABC-BATERAI-9V-POWER")</f>
        <v>ITBISA-ABC-BATERAI-9V-POWER</v>
      </c>
      <c r="B1309" s="266">
        <f>IFERROR(__xludf.DUMMYFUNCTION("""COMPUTED_VALUE"""),45976.0)</f>
        <v>45976</v>
      </c>
      <c r="C1309" s="266" t="str">
        <f>IFERROR(__xludf.DUMMYFUNCTION("""COMPUTED_VALUE"""),"KYAI KONTONG")</f>
        <v>KYAI KONTONG</v>
      </c>
      <c r="D1309" s="186">
        <f>IFERROR(__xludf.DUMMYFUNCTION("""COMPUTED_VALUE"""),1.0)</f>
        <v>1</v>
      </c>
    </row>
    <row r="1310">
      <c r="A1310" s="178" t="str">
        <f>IFERROR(__xludf.DUMMYFUNCTION("""COMPUTED_VALUE"""),"ITBISA-ABC-BATERAI-9V-POWER")</f>
        <v>ITBISA-ABC-BATERAI-9V-POWER</v>
      </c>
      <c r="B1310" s="266">
        <f>IFERROR(__xludf.DUMMYFUNCTION("""COMPUTED_VALUE"""),45982.0)</f>
        <v>45982</v>
      </c>
      <c r="C1310" s="266" t="str">
        <f>IFERROR(__xludf.DUMMYFUNCTION("""COMPUTED_VALUE"""),"KERTASARI CIAMIS")</f>
        <v>KERTASARI CIAMIS</v>
      </c>
      <c r="D1310" s="186">
        <f>IFERROR(__xludf.DUMMYFUNCTION("""COMPUTED_VALUE"""),2.0)</f>
        <v>2</v>
      </c>
    </row>
    <row r="1311">
      <c r="A1311" s="178" t="str">
        <f>IFERROR(__xludf.DUMMYFUNCTION("""COMPUTED_VALUE"""),"ITBISA-ABC-BATERAI-9V-POWER")</f>
        <v>ITBISA-ABC-BATERAI-9V-POWER</v>
      </c>
      <c r="B1311" s="266">
        <f>IFERROR(__xludf.DUMMYFUNCTION("""COMPUTED_VALUE"""),45984.0)</f>
        <v>45984</v>
      </c>
      <c r="C1311" s="266" t="str">
        <f>IFERROR(__xludf.DUMMYFUNCTION("""COMPUTED_VALUE"""),"KERTASARI CIAMIS")</f>
        <v>KERTASARI CIAMIS</v>
      </c>
      <c r="D1311" s="186">
        <f>IFERROR(__xludf.DUMMYFUNCTION("""COMPUTED_VALUE"""),1.0)</f>
        <v>1</v>
      </c>
    </row>
    <row r="1312">
      <c r="A1312" s="178" t="str">
        <f>IFERROR(__xludf.DUMMYFUNCTION("""COMPUTED_VALUE"""),"ITBISA-ABC-BATERAI-9V-POWER")</f>
        <v>ITBISA-ABC-BATERAI-9V-POWER</v>
      </c>
      <c r="B1312" s="266">
        <f>IFERROR(__xludf.DUMMYFUNCTION("""COMPUTED_VALUE"""),46002.0)</f>
        <v>46002</v>
      </c>
      <c r="C1312" s="266" t="str">
        <f>IFERROR(__xludf.DUMMYFUNCTION("""COMPUTED_VALUE"""),"KYAI KONTONG")</f>
        <v>KYAI KONTONG</v>
      </c>
      <c r="D1312" s="186">
        <f>IFERROR(__xludf.DUMMYFUNCTION("""COMPUTED_VALUE"""),1.0)</f>
        <v>1</v>
      </c>
    </row>
    <row r="1313">
      <c r="A1313" s="178" t="str">
        <f>IFERROR(__xludf.DUMMYFUNCTION("""COMPUTED_VALUE"""),"ITBISA-ABC-BATERAI-9V-POWER")</f>
        <v>ITBISA-ABC-BATERAI-9V-POWER</v>
      </c>
      <c r="B1313" s="266">
        <f>IFERROR(__xludf.DUMMYFUNCTION("""COMPUTED_VALUE"""),46019.0)</f>
        <v>46019</v>
      </c>
      <c r="C1313" s="266" t="str">
        <f>IFERROR(__xludf.DUMMYFUNCTION("""COMPUTED_VALUE"""),"KYAI KONTONG")</f>
        <v>KYAI KONTONG</v>
      </c>
      <c r="D1313" s="186">
        <f>IFERROR(__xludf.DUMMYFUNCTION("""COMPUTED_VALUE"""),1.0)</f>
        <v>1</v>
      </c>
    </row>
    <row r="1314">
      <c r="A1314" s="178" t="str">
        <f>IFERROR(__xludf.DUMMYFUNCTION("""COMPUTED_VALUE"""),"ITBISA-ABC-BATERAI-9V-POWER")</f>
        <v>ITBISA-ABC-BATERAI-9V-POWER</v>
      </c>
      <c r="B1314" s="266">
        <f>IFERROR(__xludf.DUMMYFUNCTION("""COMPUTED_VALUE"""),46019.0)</f>
        <v>46019</v>
      </c>
      <c r="C1314" s="266" t="str">
        <f>IFERROR(__xludf.DUMMYFUNCTION("""COMPUTED_VALUE"""),"KYAI KONTONG")</f>
        <v>KYAI KONTONG</v>
      </c>
      <c r="D1314" s="186">
        <f>IFERROR(__xludf.DUMMYFUNCTION("""COMPUTED_VALUE"""),1.0)</f>
        <v>1</v>
      </c>
    </row>
    <row r="1315">
      <c r="A1315" s="178" t="str">
        <f>IFERROR(__xludf.DUMMYFUNCTION("""COMPUTED_VALUE"""),"ITBISA-ABC-BATERAI-AA-ALKALINE")</f>
        <v>ITBISA-ABC-BATERAI-AA-ALKALINE</v>
      </c>
      <c r="B1315" s="266">
        <f>IFERROR(__xludf.DUMMYFUNCTION("""COMPUTED_VALUE"""),45097.0)</f>
        <v>45097</v>
      </c>
      <c r="C1315" s="266" t="str">
        <f>IFERROR(__xludf.DUMMYFUNCTION("""COMPUTED_VALUE"""),"KYAI KONTONG")</f>
        <v>KYAI KONTONG</v>
      </c>
      <c r="D1315" s="186">
        <f>IFERROR(__xludf.DUMMYFUNCTION("""COMPUTED_VALUE"""),12.0)</f>
        <v>12</v>
      </c>
    </row>
    <row r="1316">
      <c r="A1316" s="178" t="str">
        <f>IFERROR(__xludf.DUMMYFUNCTION("""COMPUTED_VALUE"""),"ITBISA-ABC-BATERAI-AA-ALKALINE")</f>
        <v>ITBISA-ABC-BATERAI-AA-ALKALINE</v>
      </c>
      <c r="B1316" s="266">
        <f>IFERROR(__xludf.DUMMYFUNCTION("""COMPUTED_VALUE"""),45103.0)</f>
        <v>45103</v>
      </c>
      <c r="C1316" s="266" t="str">
        <f>IFERROR(__xludf.DUMMYFUNCTION("""COMPUTED_VALUE"""),"KYAI KONTONG")</f>
        <v>KYAI KONTONG</v>
      </c>
      <c r="D1316" s="186">
        <f>IFERROR(__xludf.DUMMYFUNCTION("""COMPUTED_VALUE"""),1.0)</f>
        <v>1</v>
      </c>
    </row>
    <row r="1317">
      <c r="A1317" s="178" t="str">
        <f>IFERROR(__xludf.DUMMYFUNCTION("""COMPUTED_VALUE"""),"ITBISA-ABC-BATERAI-AA-ALKALINE")</f>
        <v>ITBISA-ABC-BATERAI-AA-ALKALINE</v>
      </c>
      <c r="B1317" s="266">
        <f>IFERROR(__xludf.DUMMYFUNCTION("""COMPUTED_VALUE"""),45103.0)</f>
        <v>45103</v>
      </c>
      <c r="C1317" s="266" t="str">
        <f>IFERROR(__xludf.DUMMYFUNCTION("""COMPUTED_VALUE"""),"KYAI KONTONG")</f>
        <v>KYAI KONTONG</v>
      </c>
      <c r="D1317" s="186">
        <f>IFERROR(__xludf.DUMMYFUNCTION("""COMPUTED_VALUE"""),2.0)</f>
        <v>2</v>
      </c>
    </row>
    <row r="1318">
      <c r="A1318" s="178" t="str">
        <f>IFERROR(__xludf.DUMMYFUNCTION("""COMPUTED_VALUE"""),"ITBISA-ABC-BATERAI-AA-ALKALINE")</f>
        <v>ITBISA-ABC-BATERAI-AA-ALKALINE</v>
      </c>
      <c r="B1318" s="266">
        <f>IFERROR(__xludf.DUMMYFUNCTION("""COMPUTED_VALUE"""),45114.0)</f>
        <v>45114</v>
      </c>
      <c r="C1318" s="266" t="str">
        <f>IFERROR(__xludf.DUMMYFUNCTION("""COMPUTED_VALUE"""),"KYAI KONTONG")</f>
        <v>KYAI KONTONG</v>
      </c>
      <c r="D1318" s="186">
        <f>IFERROR(__xludf.DUMMYFUNCTION("""COMPUTED_VALUE"""),1.0)</f>
        <v>1</v>
      </c>
    </row>
    <row r="1319">
      <c r="A1319" s="178" t="str">
        <f>IFERROR(__xludf.DUMMYFUNCTION("""COMPUTED_VALUE"""),"ITBISA-ABC-BATERAI-AA-ALKALINE")</f>
        <v>ITBISA-ABC-BATERAI-AA-ALKALINE</v>
      </c>
      <c r="B1319" s="266">
        <f>IFERROR(__xludf.DUMMYFUNCTION("""COMPUTED_VALUE"""),45121.0)</f>
        <v>45121</v>
      </c>
      <c r="C1319" s="266" t="str">
        <f>IFERROR(__xludf.DUMMYFUNCTION("""COMPUTED_VALUE"""),"KYAI KONTONG")</f>
        <v>KYAI KONTONG</v>
      </c>
      <c r="D1319" s="186">
        <f>IFERROR(__xludf.DUMMYFUNCTION("""COMPUTED_VALUE"""),2.0)</f>
        <v>2</v>
      </c>
    </row>
    <row r="1320">
      <c r="A1320" s="178" t="str">
        <f>IFERROR(__xludf.DUMMYFUNCTION("""COMPUTED_VALUE"""),"ITBISA-ABC-BATERAI-AA-ALKALINE")</f>
        <v>ITBISA-ABC-BATERAI-AA-ALKALINE</v>
      </c>
      <c r="B1320" s="266">
        <f>IFERROR(__xludf.DUMMYFUNCTION("""COMPUTED_VALUE"""),45126.0)</f>
        <v>45126</v>
      </c>
      <c r="C1320" s="266" t="str">
        <f>IFERROR(__xludf.DUMMYFUNCTION("""COMPUTED_VALUE"""),"KYAI KONTONG")</f>
        <v>KYAI KONTONG</v>
      </c>
      <c r="D1320" s="186">
        <f>IFERROR(__xludf.DUMMYFUNCTION("""COMPUTED_VALUE"""),2.0)</f>
        <v>2</v>
      </c>
    </row>
    <row r="1321">
      <c r="A1321" s="178" t="str">
        <f>IFERROR(__xludf.DUMMYFUNCTION("""COMPUTED_VALUE"""),"ITBISA-ABC-BATERAI-AA-ALKALINE")</f>
        <v>ITBISA-ABC-BATERAI-AA-ALKALINE</v>
      </c>
      <c r="B1321" s="266">
        <f>IFERROR(__xludf.DUMMYFUNCTION("""COMPUTED_VALUE"""),45126.0)</f>
        <v>45126</v>
      </c>
      <c r="C1321" s="266" t="str">
        <f>IFERROR(__xludf.DUMMYFUNCTION("""COMPUTED_VALUE"""),"KYAI KONTONG")</f>
        <v>KYAI KONTONG</v>
      </c>
      <c r="D1321" s="186">
        <f>IFERROR(__xludf.DUMMYFUNCTION("""COMPUTED_VALUE"""),3.0)</f>
        <v>3</v>
      </c>
    </row>
    <row r="1322">
      <c r="A1322" s="178" t="str">
        <f>IFERROR(__xludf.DUMMYFUNCTION("""COMPUTED_VALUE"""),"ITBISA-ABC-BATERAI-AA-ALKALINE")</f>
        <v>ITBISA-ABC-BATERAI-AA-ALKALINE</v>
      </c>
      <c r="B1322" s="266">
        <f>IFERROR(__xludf.DUMMYFUNCTION("""COMPUTED_VALUE"""),45127.0)</f>
        <v>45127</v>
      </c>
      <c r="C1322" s="266" t="str">
        <f>IFERROR(__xludf.DUMMYFUNCTION("""COMPUTED_VALUE"""),"KYAI KONTONG")</f>
        <v>KYAI KONTONG</v>
      </c>
      <c r="D1322" s="186">
        <f>IFERROR(__xludf.DUMMYFUNCTION("""COMPUTED_VALUE"""),1.0)</f>
        <v>1</v>
      </c>
    </row>
    <row r="1323">
      <c r="A1323" s="178" t="str">
        <f>IFERROR(__xludf.DUMMYFUNCTION("""COMPUTED_VALUE"""),"ITBISA-ABC-BATERAI-AA-ALKALINE")</f>
        <v>ITBISA-ABC-BATERAI-AA-ALKALINE</v>
      </c>
      <c r="B1323" s="266">
        <f>IFERROR(__xludf.DUMMYFUNCTION("""COMPUTED_VALUE"""),45132.0)</f>
        <v>45132</v>
      </c>
      <c r="C1323" s="266" t="str">
        <f>IFERROR(__xludf.DUMMYFUNCTION("""COMPUTED_VALUE"""),"KYAI KONTONG")</f>
        <v>KYAI KONTONG</v>
      </c>
      <c r="D1323" s="186">
        <f>IFERROR(__xludf.DUMMYFUNCTION("""COMPUTED_VALUE"""),2.0)</f>
        <v>2</v>
      </c>
    </row>
    <row r="1324">
      <c r="A1324" s="178" t="str">
        <f>IFERROR(__xludf.DUMMYFUNCTION("""COMPUTED_VALUE"""),"ITBISA-ABC-BATERAI-AA-ALKALINE")</f>
        <v>ITBISA-ABC-BATERAI-AA-ALKALINE</v>
      </c>
      <c r="B1324" s="266">
        <f>IFERROR(__xludf.DUMMYFUNCTION("""COMPUTED_VALUE"""),45140.0)</f>
        <v>45140</v>
      </c>
      <c r="C1324" s="266" t="str">
        <f>IFERROR(__xludf.DUMMYFUNCTION("""COMPUTED_VALUE"""),"KYAI KONTONG")</f>
        <v>KYAI KONTONG</v>
      </c>
      <c r="D1324" s="186">
        <f>IFERROR(__xludf.DUMMYFUNCTION("""COMPUTED_VALUE"""),2.0)</f>
        <v>2</v>
      </c>
    </row>
    <row r="1325">
      <c r="A1325" s="178" t="str">
        <f>IFERROR(__xludf.DUMMYFUNCTION("""COMPUTED_VALUE"""),"ITBISA-ABC-BATERAI-AA-ALKALINE")</f>
        <v>ITBISA-ABC-BATERAI-AA-ALKALINE</v>
      </c>
      <c r="B1325" s="266">
        <f>IFERROR(__xludf.DUMMYFUNCTION("""COMPUTED_VALUE"""),45162.0)</f>
        <v>45162</v>
      </c>
      <c r="C1325" s="266" t="str">
        <f>IFERROR(__xludf.DUMMYFUNCTION("""COMPUTED_VALUE"""),"KYAI KONTONG")</f>
        <v>KYAI KONTONG</v>
      </c>
      <c r="D1325" s="186">
        <f>IFERROR(__xludf.DUMMYFUNCTION("""COMPUTED_VALUE"""),2.0)</f>
        <v>2</v>
      </c>
    </row>
    <row r="1326">
      <c r="A1326" s="178" t="str">
        <f>IFERROR(__xludf.DUMMYFUNCTION("""COMPUTED_VALUE"""),"ITBISA-ABC-BATERAI-AA-ALKALINE")</f>
        <v>ITBISA-ABC-BATERAI-AA-ALKALINE</v>
      </c>
      <c r="B1326" s="266">
        <f>IFERROR(__xludf.DUMMYFUNCTION("""COMPUTED_VALUE"""),45165.0)</f>
        <v>45165</v>
      </c>
      <c r="C1326" s="266" t="str">
        <f>IFERROR(__xludf.DUMMYFUNCTION("""COMPUTED_VALUE"""),"KYAI KONTONG")</f>
        <v>KYAI KONTONG</v>
      </c>
      <c r="D1326" s="186">
        <f>IFERROR(__xludf.DUMMYFUNCTION("""COMPUTED_VALUE"""),2.0)</f>
        <v>2</v>
      </c>
    </row>
    <row r="1327">
      <c r="A1327" s="178" t="str">
        <f>IFERROR(__xludf.DUMMYFUNCTION("""COMPUTED_VALUE"""),"ITBISA-ABC-BATERAI-AA-ALKALINE")</f>
        <v>ITBISA-ABC-BATERAI-AA-ALKALINE</v>
      </c>
      <c r="B1327" s="266">
        <f>IFERROR(__xludf.DUMMYFUNCTION("""COMPUTED_VALUE"""),45166.0)</f>
        <v>45166</v>
      </c>
      <c r="C1327" s="266" t="str">
        <f>IFERROR(__xludf.DUMMYFUNCTION("""COMPUTED_VALUE"""),"KYAI KONTONG")</f>
        <v>KYAI KONTONG</v>
      </c>
      <c r="D1327" s="186">
        <f>IFERROR(__xludf.DUMMYFUNCTION("""COMPUTED_VALUE"""),1.0)</f>
        <v>1</v>
      </c>
    </row>
    <row r="1328">
      <c r="A1328" s="178" t="str">
        <f>IFERROR(__xludf.DUMMYFUNCTION("""COMPUTED_VALUE"""),"ITBISA-ABC-BATERAI-AA-ALKALINE")</f>
        <v>ITBISA-ABC-BATERAI-AA-ALKALINE</v>
      </c>
      <c r="B1328" s="266">
        <f>IFERROR(__xludf.DUMMYFUNCTION("""COMPUTED_VALUE"""),45166.0)</f>
        <v>45166</v>
      </c>
      <c r="C1328" s="266" t="str">
        <f>IFERROR(__xludf.DUMMYFUNCTION("""COMPUTED_VALUE"""),"KYAI KONTONG")</f>
        <v>KYAI KONTONG</v>
      </c>
      <c r="D1328" s="186">
        <f>IFERROR(__xludf.DUMMYFUNCTION("""COMPUTED_VALUE"""),4.0)</f>
        <v>4</v>
      </c>
    </row>
    <row r="1329">
      <c r="A1329" s="178" t="str">
        <f>IFERROR(__xludf.DUMMYFUNCTION("""COMPUTED_VALUE"""),"ITBISA-ABC-BATERAI-AA-ALKALINE")</f>
        <v>ITBISA-ABC-BATERAI-AA-ALKALINE</v>
      </c>
      <c r="B1329" s="266">
        <f>IFERROR(__xludf.DUMMYFUNCTION("""COMPUTED_VALUE"""),45168.0)</f>
        <v>45168</v>
      </c>
      <c r="C1329" s="266" t="str">
        <f>IFERROR(__xludf.DUMMYFUNCTION("""COMPUTED_VALUE"""),"KYAI KONTONG")</f>
        <v>KYAI KONTONG</v>
      </c>
      <c r="D1329" s="186">
        <f>IFERROR(__xludf.DUMMYFUNCTION("""COMPUTED_VALUE"""),1.0)</f>
        <v>1</v>
      </c>
    </row>
    <row r="1330">
      <c r="A1330" s="178" t="str">
        <f>IFERROR(__xludf.DUMMYFUNCTION("""COMPUTED_VALUE"""),"ITBISA-ABC-BATERAI-AA-ALKALINE")</f>
        <v>ITBISA-ABC-BATERAI-AA-ALKALINE</v>
      </c>
      <c r="B1330" s="266">
        <f>IFERROR(__xludf.DUMMYFUNCTION("""COMPUTED_VALUE"""),45173.0)</f>
        <v>45173</v>
      </c>
      <c r="C1330" s="266" t="str">
        <f>IFERROR(__xludf.DUMMYFUNCTION("""COMPUTED_VALUE"""),"KYAI KONTONG")</f>
        <v>KYAI KONTONG</v>
      </c>
      <c r="D1330" s="186">
        <f>IFERROR(__xludf.DUMMYFUNCTION("""COMPUTED_VALUE"""),1.0)</f>
        <v>1</v>
      </c>
    </row>
    <row r="1331">
      <c r="A1331" s="178" t="str">
        <f>IFERROR(__xludf.DUMMYFUNCTION("""COMPUTED_VALUE"""),"ITBISA-ABC-BATERAI-AA-ALKALINE")</f>
        <v>ITBISA-ABC-BATERAI-AA-ALKALINE</v>
      </c>
      <c r="B1331" s="266">
        <f>IFERROR(__xludf.DUMMYFUNCTION("""COMPUTED_VALUE"""),45173.0)</f>
        <v>45173</v>
      </c>
      <c r="C1331" s="266" t="str">
        <f>IFERROR(__xludf.DUMMYFUNCTION("""COMPUTED_VALUE"""),"KYAI KONTONG")</f>
        <v>KYAI KONTONG</v>
      </c>
      <c r="D1331" s="186">
        <f>IFERROR(__xludf.DUMMYFUNCTION("""COMPUTED_VALUE"""),1.0)</f>
        <v>1</v>
      </c>
    </row>
    <row r="1332">
      <c r="A1332" s="178" t="str">
        <f>IFERROR(__xludf.DUMMYFUNCTION("""COMPUTED_VALUE"""),"ITBISA-ABC-BATERAI-AA-ALKALINE")</f>
        <v>ITBISA-ABC-BATERAI-AA-ALKALINE</v>
      </c>
      <c r="B1332" s="266">
        <f>IFERROR(__xludf.DUMMYFUNCTION("""COMPUTED_VALUE"""),45174.0)</f>
        <v>45174</v>
      </c>
      <c r="C1332" s="266" t="str">
        <f>IFERROR(__xludf.DUMMYFUNCTION("""COMPUTED_VALUE"""),"KYAI KONTONG")</f>
        <v>KYAI KONTONG</v>
      </c>
      <c r="D1332" s="186">
        <f>IFERROR(__xludf.DUMMYFUNCTION("""COMPUTED_VALUE"""),4.0)</f>
        <v>4</v>
      </c>
    </row>
    <row r="1333">
      <c r="A1333" s="178" t="str">
        <f>IFERROR(__xludf.DUMMYFUNCTION("""COMPUTED_VALUE"""),"ITBISA-ABC-BATERAI-AA-ALKALINE")</f>
        <v>ITBISA-ABC-BATERAI-AA-ALKALINE</v>
      </c>
      <c r="B1333" s="266">
        <f>IFERROR(__xludf.DUMMYFUNCTION("""COMPUTED_VALUE"""),45174.0)</f>
        <v>45174</v>
      </c>
      <c r="C1333" s="266" t="str">
        <f>IFERROR(__xludf.DUMMYFUNCTION("""COMPUTED_VALUE"""),"KYAI KONTONG")</f>
        <v>KYAI KONTONG</v>
      </c>
      <c r="D1333" s="186">
        <f>IFERROR(__xludf.DUMMYFUNCTION("""COMPUTED_VALUE"""),12.0)</f>
        <v>12</v>
      </c>
    </row>
    <row r="1334">
      <c r="A1334" s="178" t="str">
        <f>IFERROR(__xludf.DUMMYFUNCTION("""COMPUTED_VALUE"""),"ITBISA-ABC-BATERAI-AA-ALKALINE")</f>
        <v>ITBISA-ABC-BATERAI-AA-ALKALINE</v>
      </c>
      <c r="B1334" s="266">
        <f>IFERROR(__xludf.DUMMYFUNCTION("""COMPUTED_VALUE"""),45177.0)</f>
        <v>45177</v>
      </c>
      <c r="C1334" s="266" t="str">
        <f>IFERROR(__xludf.DUMMYFUNCTION("""COMPUTED_VALUE"""),"KYAI KONTONG")</f>
        <v>KYAI KONTONG</v>
      </c>
      <c r="D1334" s="186">
        <f>IFERROR(__xludf.DUMMYFUNCTION("""COMPUTED_VALUE"""),2.0)</f>
        <v>2</v>
      </c>
    </row>
    <row r="1335">
      <c r="A1335" s="178" t="str">
        <f>IFERROR(__xludf.DUMMYFUNCTION("""COMPUTED_VALUE"""),"ITBISA-ABC-BATERAI-AA-ALKALINE")</f>
        <v>ITBISA-ABC-BATERAI-AA-ALKALINE</v>
      </c>
      <c r="B1335" s="266">
        <f>IFERROR(__xludf.DUMMYFUNCTION("""COMPUTED_VALUE"""),45178.0)</f>
        <v>45178</v>
      </c>
      <c r="C1335" s="266" t="str">
        <f>IFERROR(__xludf.DUMMYFUNCTION("""COMPUTED_VALUE"""),"KYAI KONTONG")</f>
        <v>KYAI KONTONG</v>
      </c>
      <c r="D1335" s="186">
        <f>IFERROR(__xludf.DUMMYFUNCTION("""COMPUTED_VALUE"""),2.0)</f>
        <v>2</v>
      </c>
    </row>
    <row r="1336">
      <c r="A1336" s="178" t="str">
        <f>IFERROR(__xludf.DUMMYFUNCTION("""COMPUTED_VALUE"""),"ITBISA-ABC-BATERAI-AA-ALKALINE")</f>
        <v>ITBISA-ABC-BATERAI-AA-ALKALINE</v>
      </c>
      <c r="B1336" s="266">
        <f>IFERROR(__xludf.DUMMYFUNCTION("""COMPUTED_VALUE"""),45180.0)</f>
        <v>45180</v>
      </c>
      <c r="C1336" s="266" t="str">
        <f>IFERROR(__xludf.DUMMYFUNCTION("""COMPUTED_VALUE"""),"KYAI KONTONG")</f>
        <v>KYAI KONTONG</v>
      </c>
      <c r="D1336" s="186">
        <f>IFERROR(__xludf.DUMMYFUNCTION("""COMPUTED_VALUE"""),3.0)</f>
        <v>3</v>
      </c>
    </row>
    <row r="1337">
      <c r="A1337" s="178" t="str">
        <f>IFERROR(__xludf.DUMMYFUNCTION("""COMPUTED_VALUE"""),"ITBISA-ABC-BATERAI-AA-ALKALINE")</f>
        <v>ITBISA-ABC-BATERAI-AA-ALKALINE</v>
      </c>
      <c r="B1337" s="266">
        <f>IFERROR(__xludf.DUMMYFUNCTION("""COMPUTED_VALUE"""),45189.0)</f>
        <v>45189</v>
      </c>
      <c r="C1337" s="266" t="str">
        <f>IFERROR(__xludf.DUMMYFUNCTION("""COMPUTED_VALUE"""),"KYAI KONTONG")</f>
        <v>KYAI KONTONG</v>
      </c>
      <c r="D1337" s="186">
        <f>IFERROR(__xludf.DUMMYFUNCTION("""COMPUTED_VALUE"""),1.0)</f>
        <v>1</v>
      </c>
    </row>
    <row r="1338">
      <c r="A1338" s="178" t="str">
        <f>IFERROR(__xludf.DUMMYFUNCTION("""COMPUTED_VALUE"""),"ITBISA-ABC-BATERAI-AA-ALKALINE")</f>
        <v>ITBISA-ABC-BATERAI-AA-ALKALINE</v>
      </c>
      <c r="B1338" s="266">
        <f>IFERROR(__xludf.DUMMYFUNCTION("""COMPUTED_VALUE"""),45190.0)</f>
        <v>45190</v>
      </c>
      <c r="C1338" s="266" t="str">
        <f>IFERROR(__xludf.DUMMYFUNCTION("""COMPUTED_VALUE"""),"KYAI KONTONG")</f>
        <v>KYAI KONTONG</v>
      </c>
      <c r="D1338" s="186">
        <f>IFERROR(__xludf.DUMMYFUNCTION("""COMPUTED_VALUE"""),6.0)</f>
        <v>6</v>
      </c>
    </row>
    <row r="1339">
      <c r="A1339" s="178" t="str">
        <f>IFERROR(__xludf.DUMMYFUNCTION("""COMPUTED_VALUE"""),"ITBISA-ABC-BATERAI-AA-ALKALINE")</f>
        <v>ITBISA-ABC-BATERAI-AA-ALKALINE</v>
      </c>
      <c r="B1339" s="266">
        <f>IFERROR(__xludf.DUMMYFUNCTION("""COMPUTED_VALUE"""),45191.0)</f>
        <v>45191</v>
      </c>
      <c r="C1339" s="266" t="str">
        <f>IFERROR(__xludf.DUMMYFUNCTION("""COMPUTED_VALUE"""),"KYAI KONTONG")</f>
        <v>KYAI KONTONG</v>
      </c>
      <c r="D1339" s="186">
        <f>IFERROR(__xludf.DUMMYFUNCTION("""COMPUTED_VALUE"""),1.0)</f>
        <v>1</v>
      </c>
    </row>
    <row r="1340">
      <c r="A1340" s="178" t="str">
        <f>IFERROR(__xludf.DUMMYFUNCTION("""COMPUTED_VALUE"""),"ITBISA-ABC-BATERAI-AA-ALKALINE")</f>
        <v>ITBISA-ABC-BATERAI-AA-ALKALINE</v>
      </c>
      <c r="B1340" s="266">
        <f>IFERROR(__xludf.DUMMYFUNCTION("""COMPUTED_VALUE"""),45194.0)</f>
        <v>45194</v>
      </c>
      <c r="C1340" s="266" t="str">
        <f>IFERROR(__xludf.DUMMYFUNCTION("""COMPUTED_VALUE"""),"KYAI KONTONG")</f>
        <v>KYAI KONTONG</v>
      </c>
      <c r="D1340" s="186">
        <f>IFERROR(__xludf.DUMMYFUNCTION("""COMPUTED_VALUE"""),4.0)</f>
        <v>4</v>
      </c>
    </row>
    <row r="1341">
      <c r="A1341" s="178" t="str">
        <f>IFERROR(__xludf.DUMMYFUNCTION("""COMPUTED_VALUE"""),"ITBISA-ABC-BATERAI-AA-ALKALINE")</f>
        <v>ITBISA-ABC-BATERAI-AA-ALKALINE</v>
      </c>
      <c r="B1341" s="266">
        <f>IFERROR(__xludf.DUMMYFUNCTION("""COMPUTED_VALUE"""),45198.0)</f>
        <v>45198</v>
      </c>
      <c r="C1341" s="266" t="str">
        <f>IFERROR(__xludf.DUMMYFUNCTION("""COMPUTED_VALUE"""),"KYAI KONTONG")</f>
        <v>KYAI KONTONG</v>
      </c>
      <c r="D1341" s="186">
        <f>IFERROR(__xludf.DUMMYFUNCTION("""COMPUTED_VALUE"""),6.0)</f>
        <v>6</v>
      </c>
    </row>
    <row r="1342">
      <c r="A1342" s="178" t="str">
        <f>IFERROR(__xludf.DUMMYFUNCTION("""COMPUTED_VALUE"""),"ITBISA-ABC-BATERAI-AA-ALKALINE")</f>
        <v>ITBISA-ABC-BATERAI-AA-ALKALINE</v>
      </c>
      <c r="B1342" s="266">
        <f>IFERROR(__xludf.DUMMYFUNCTION("""COMPUTED_VALUE"""),45200.0)</f>
        <v>45200</v>
      </c>
      <c r="C1342" s="266" t="str">
        <f>IFERROR(__xludf.DUMMYFUNCTION("""COMPUTED_VALUE"""),"KYAI KONTONG")</f>
        <v>KYAI KONTONG</v>
      </c>
      <c r="D1342" s="186">
        <f>IFERROR(__xludf.DUMMYFUNCTION("""COMPUTED_VALUE"""),1.0)</f>
        <v>1</v>
      </c>
    </row>
    <row r="1343">
      <c r="A1343" s="178" t="str">
        <f>IFERROR(__xludf.DUMMYFUNCTION("""COMPUTED_VALUE"""),"ITBISA-ABC-BATERAI-AA-ALKALINE")</f>
        <v>ITBISA-ABC-BATERAI-AA-ALKALINE</v>
      </c>
      <c r="B1343" s="266">
        <f>IFERROR(__xludf.DUMMYFUNCTION("""COMPUTED_VALUE"""),45203.0)</f>
        <v>45203</v>
      </c>
      <c r="C1343" s="266" t="str">
        <f>IFERROR(__xludf.DUMMYFUNCTION("""COMPUTED_VALUE"""),"KYAI KONTONG")</f>
        <v>KYAI KONTONG</v>
      </c>
      <c r="D1343" s="186">
        <f>IFERROR(__xludf.DUMMYFUNCTION("""COMPUTED_VALUE"""),2.0)</f>
        <v>2</v>
      </c>
    </row>
    <row r="1344">
      <c r="A1344" s="178" t="str">
        <f>IFERROR(__xludf.DUMMYFUNCTION("""COMPUTED_VALUE"""),"ITBISA-ABC-BATERAI-AA-ALKALINE")</f>
        <v>ITBISA-ABC-BATERAI-AA-ALKALINE</v>
      </c>
      <c r="B1344" s="266">
        <f>IFERROR(__xludf.DUMMYFUNCTION("""COMPUTED_VALUE"""),45211.0)</f>
        <v>45211</v>
      </c>
      <c r="C1344" s="266" t="str">
        <f>IFERROR(__xludf.DUMMYFUNCTION("""COMPUTED_VALUE"""),"KYAI KONTONG")</f>
        <v>KYAI KONTONG</v>
      </c>
      <c r="D1344" s="186">
        <f>IFERROR(__xludf.DUMMYFUNCTION("""COMPUTED_VALUE"""),6.0)</f>
        <v>6</v>
      </c>
    </row>
    <row r="1345">
      <c r="A1345" s="178" t="str">
        <f>IFERROR(__xludf.DUMMYFUNCTION("""COMPUTED_VALUE"""),"ITBISA-ABC-BATERAI-AA-ALKALINE")</f>
        <v>ITBISA-ABC-BATERAI-AA-ALKALINE</v>
      </c>
      <c r="B1345" s="266">
        <f>IFERROR(__xludf.DUMMYFUNCTION("""COMPUTED_VALUE"""),45215.0)</f>
        <v>45215</v>
      </c>
      <c r="C1345" s="266" t="str">
        <f>IFERROR(__xludf.DUMMYFUNCTION("""COMPUTED_VALUE"""),"KYAI KONTONG")</f>
        <v>KYAI KONTONG</v>
      </c>
      <c r="D1345" s="186">
        <f>IFERROR(__xludf.DUMMYFUNCTION("""COMPUTED_VALUE"""),2.0)</f>
        <v>2</v>
      </c>
    </row>
    <row r="1346">
      <c r="A1346" s="178" t="str">
        <f>IFERROR(__xludf.DUMMYFUNCTION("""COMPUTED_VALUE"""),"ITBISA-ABC-BATERAI-AA-ALKALINE")</f>
        <v>ITBISA-ABC-BATERAI-AA-ALKALINE</v>
      </c>
      <c r="B1346" s="266">
        <f>IFERROR(__xludf.DUMMYFUNCTION("""COMPUTED_VALUE"""),45220.0)</f>
        <v>45220</v>
      </c>
      <c r="C1346" s="266" t="str">
        <f>IFERROR(__xludf.DUMMYFUNCTION("""COMPUTED_VALUE"""),"KYAI KONTONG")</f>
        <v>KYAI KONTONG</v>
      </c>
      <c r="D1346" s="186">
        <f>IFERROR(__xludf.DUMMYFUNCTION("""COMPUTED_VALUE"""),7.0)</f>
        <v>7</v>
      </c>
    </row>
    <row r="1347">
      <c r="A1347" s="178" t="str">
        <f>IFERROR(__xludf.DUMMYFUNCTION("""COMPUTED_VALUE"""),"ITBISA-ABC-BATERAI-AA-ALKALINE")</f>
        <v>ITBISA-ABC-BATERAI-AA-ALKALINE</v>
      </c>
      <c r="B1347" s="266">
        <f>IFERROR(__xludf.DUMMYFUNCTION("""COMPUTED_VALUE"""),45225.0)</f>
        <v>45225</v>
      </c>
      <c r="C1347" s="266" t="str">
        <f>IFERROR(__xludf.DUMMYFUNCTION("""COMPUTED_VALUE"""),"KYAI KONTONG")</f>
        <v>KYAI KONTONG</v>
      </c>
      <c r="D1347" s="186">
        <f>IFERROR(__xludf.DUMMYFUNCTION("""COMPUTED_VALUE"""),1.0)</f>
        <v>1</v>
      </c>
    </row>
    <row r="1348">
      <c r="A1348" s="178" t="str">
        <f>IFERROR(__xludf.DUMMYFUNCTION("""COMPUTED_VALUE"""),"ITBISA-ABC-BATERAI-AA-ALKALINE")</f>
        <v>ITBISA-ABC-BATERAI-AA-ALKALINE</v>
      </c>
      <c r="B1348" s="266">
        <f>IFERROR(__xludf.DUMMYFUNCTION("""COMPUTED_VALUE"""),45226.0)</f>
        <v>45226</v>
      </c>
      <c r="C1348" s="266" t="str">
        <f>IFERROR(__xludf.DUMMYFUNCTION("""COMPUTED_VALUE"""),"KYAI KONTONG")</f>
        <v>KYAI KONTONG</v>
      </c>
      <c r="D1348" s="186">
        <f>IFERROR(__xludf.DUMMYFUNCTION("""COMPUTED_VALUE"""),2.0)</f>
        <v>2</v>
      </c>
    </row>
    <row r="1349">
      <c r="A1349" s="178" t="str">
        <f>IFERROR(__xludf.DUMMYFUNCTION("""COMPUTED_VALUE"""),"ITBISA-ABC-BATERAI-AA-ALKALINE")</f>
        <v>ITBISA-ABC-BATERAI-AA-ALKALINE</v>
      </c>
      <c r="B1349" s="266">
        <f>IFERROR(__xludf.DUMMYFUNCTION("""COMPUTED_VALUE"""),45231.0)</f>
        <v>45231</v>
      </c>
      <c r="C1349" s="266" t="str">
        <f>IFERROR(__xludf.DUMMYFUNCTION("""COMPUTED_VALUE"""),"KYAI KONTONG")</f>
        <v>KYAI KONTONG</v>
      </c>
      <c r="D1349" s="186">
        <f>IFERROR(__xludf.DUMMYFUNCTION("""COMPUTED_VALUE"""),12.0)</f>
        <v>12</v>
      </c>
    </row>
    <row r="1350">
      <c r="A1350" s="178" t="str">
        <f>IFERROR(__xludf.DUMMYFUNCTION("""COMPUTED_VALUE"""),"ITBISA-ABC-BATERAI-AA-ALKALINE")</f>
        <v>ITBISA-ABC-BATERAI-AA-ALKALINE</v>
      </c>
      <c r="B1350" s="266">
        <f>IFERROR(__xludf.DUMMYFUNCTION("""COMPUTED_VALUE"""),45231.0)</f>
        <v>45231</v>
      </c>
      <c r="C1350" s="266" t="str">
        <f>IFERROR(__xludf.DUMMYFUNCTION("""COMPUTED_VALUE"""),"KYAI KONTONG")</f>
        <v>KYAI KONTONG</v>
      </c>
      <c r="D1350" s="186">
        <f>IFERROR(__xludf.DUMMYFUNCTION("""COMPUTED_VALUE"""),12.0)</f>
        <v>12</v>
      </c>
    </row>
    <row r="1351">
      <c r="A1351" s="178" t="str">
        <f>IFERROR(__xludf.DUMMYFUNCTION("""COMPUTED_VALUE"""),"ITBISA-ABC-BATERAI-AA-ALKALINE")</f>
        <v>ITBISA-ABC-BATERAI-AA-ALKALINE</v>
      </c>
      <c r="B1351" s="266">
        <f>IFERROR(__xludf.DUMMYFUNCTION("""COMPUTED_VALUE"""),45233.0)</f>
        <v>45233</v>
      </c>
      <c r="C1351" s="266" t="str">
        <f>IFERROR(__xludf.DUMMYFUNCTION("""COMPUTED_VALUE"""),"KYAI KONTONG")</f>
        <v>KYAI KONTONG</v>
      </c>
      <c r="D1351" s="186">
        <f>IFERROR(__xludf.DUMMYFUNCTION("""COMPUTED_VALUE"""),2.0)</f>
        <v>2</v>
      </c>
    </row>
    <row r="1352">
      <c r="A1352" s="178" t="str">
        <f>IFERROR(__xludf.DUMMYFUNCTION("""COMPUTED_VALUE"""),"ITBISA-ABC-BATERAI-AA-ALKALINE")</f>
        <v>ITBISA-ABC-BATERAI-AA-ALKALINE</v>
      </c>
      <c r="B1352" s="266">
        <f>IFERROR(__xludf.DUMMYFUNCTION("""COMPUTED_VALUE"""),45233.0)</f>
        <v>45233</v>
      </c>
      <c r="C1352" s="266" t="str">
        <f>IFERROR(__xludf.DUMMYFUNCTION("""COMPUTED_VALUE"""),"KYAI KONTONG")</f>
        <v>KYAI KONTONG</v>
      </c>
      <c r="D1352" s="186">
        <f>IFERROR(__xludf.DUMMYFUNCTION("""COMPUTED_VALUE"""),12.0)</f>
        <v>12</v>
      </c>
    </row>
    <row r="1353">
      <c r="A1353" s="178" t="str">
        <f>IFERROR(__xludf.DUMMYFUNCTION("""COMPUTED_VALUE"""),"ITBISA-ABC-BATERAI-AA-ALKALINE")</f>
        <v>ITBISA-ABC-BATERAI-AA-ALKALINE</v>
      </c>
      <c r="B1353" s="266">
        <f>IFERROR(__xludf.DUMMYFUNCTION("""COMPUTED_VALUE"""),45236.0)</f>
        <v>45236</v>
      </c>
      <c r="C1353" s="266" t="str">
        <f>IFERROR(__xludf.DUMMYFUNCTION("""COMPUTED_VALUE"""),"KYAI KONTONG")</f>
        <v>KYAI KONTONG</v>
      </c>
      <c r="D1353" s="186">
        <f>IFERROR(__xludf.DUMMYFUNCTION("""COMPUTED_VALUE"""),6.0)</f>
        <v>6</v>
      </c>
    </row>
    <row r="1354">
      <c r="A1354" s="178" t="str">
        <f>IFERROR(__xludf.DUMMYFUNCTION("""COMPUTED_VALUE"""),"ITBISA-ABC-BATERAI-AA-ALKALINE")</f>
        <v>ITBISA-ABC-BATERAI-AA-ALKALINE</v>
      </c>
      <c r="B1354" s="266">
        <f>IFERROR(__xludf.DUMMYFUNCTION("""COMPUTED_VALUE"""),45236.0)</f>
        <v>45236</v>
      </c>
      <c r="C1354" s="266" t="str">
        <f>IFERROR(__xludf.DUMMYFUNCTION("""COMPUTED_VALUE"""),"KYAI KONTONG")</f>
        <v>KYAI KONTONG</v>
      </c>
      <c r="D1354" s="186">
        <f>IFERROR(__xludf.DUMMYFUNCTION("""COMPUTED_VALUE"""),6.0)</f>
        <v>6</v>
      </c>
    </row>
    <row r="1355">
      <c r="A1355" s="178" t="str">
        <f>IFERROR(__xludf.DUMMYFUNCTION("""COMPUTED_VALUE"""),"ITBISA-ABC-BATERAI-AA-ALKALINE")</f>
        <v>ITBISA-ABC-BATERAI-AA-ALKALINE</v>
      </c>
      <c r="B1355" s="266">
        <f>IFERROR(__xludf.DUMMYFUNCTION("""COMPUTED_VALUE"""),45237.0)</f>
        <v>45237</v>
      </c>
      <c r="C1355" s="266" t="str">
        <f>IFERROR(__xludf.DUMMYFUNCTION("""COMPUTED_VALUE"""),"KYAI KONTONG")</f>
        <v>KYAI KONTONG</v>
      </c>
      <c r="D1355" s="186">
        <f>IFERROR(__xludf.DUMMYFUNCTION("""COMPUTED_VALUE"""),1.0)</f>
        <v>1</v>
      </c>
    </row>
    <row r="1356">
      <c r="A1356" s="178" t="str">
        <f>IFERROR(__xludf.DUMMYFUNCTION("""COMPUTED_VALUE"""),"ITBISA-ABC-BATERAI-AA-ALKALINE")</f>
        <v>ITBISA-ABC-BATERAI-AA-ALKALINE</v>
      </c>
      <c r="B1356" s="266">
        <f>IFERROR(__xludf.DUMMYFUNCTION("""COMPUTED_VALUE"""),45240.0)</f>
        <v>45240</v>
      </c>
      <c r="C1356" s="266" t="str">
        <f>IFERROR(__xludf.DUMMYFUNCTION("""COMPUTED_VALUE"""),"KYAI KONTONG")</f>
        <v>KYAI KONTONG</v>
      </c>
      <c r="D1356" s="186">
        <f>IFERROR(__xludf.DUMMYFUNCTION("""COMPUTED_VALUE"""),18.0)</f>
        <v>18</v>
      </c>
    </row>
    <row r="1357">
      <c r="A1357" s="178" t="str">
        <f>IFERROR(__xludf.DUMMYFUNCTION("""COMPUTED_VALUE"""),"ITBISA-ABC-BATERAI-AA-ALKALINE")</f>
        <v>ITBISA-ABC-BATERAI-AA-ALKALINE</v>
      </c>
      <c r="B1357" s="266">
        <f>IFERROR(__xludf.DUMMYFUNCTION("""COMPUTED_VALUE"""),45242.0)</f>
        <v>45242</v>
      </c>
      <c r="C1357" s="266" t="str">
        <f>IFERROR(__xludf.DUMMYFUNCTION("""COMPUTED_VALUE"""),"KYAI KONTONG")</f>
        <v>KYAI KONTONG</v>
      </c>
      <c r="D1357" s="186">
        <f>IFERROR(__xludf.DUMMYFUNCTION("""COMPUTED_VALUE"""),2.0)</f>
        <v>2</v>
      </c>
    </row>
    <row r="1358">
      <c r="A1358" s="178" t="str">
        <f>IFERROR(__xludf.DUMMYFUNCTION("""COMPUTED_VALUE"""),"ITBISA-ABC-BATERAI-AA-ALKALINE")</f>
        <v>ITBISA-ABC-BATERAI-AA-ALKALINE</v>
      </c>
      <c r="B1358" s="266">
        <f>IFERROR(__xludf.DUMMYFUNCTION("""COMPUTED_VALUE"""),45242.0)</f>
        <v>45242</v>
      </c>
      <c r="C1358" s="266" t="str">
        <f>IFERROR(__xludf.DUMMYFUNCTION("""COMPUTED_VALUE"""),"KYAI KONTONG")</f>
        <v>KYAI KONTONG</v>
      </c>
      <c r="D1358" s="186">
        <f>IFERROR(__xludf.DUMMYFUNCTION("""COMPUTED_VALUE"""),6.0)</f>
        <v>6</v>
      </c>
    </row>
    <row r="1359">
      <c r="A1359" s="178" t="str">
        <f>IFERROR(__xludf.DUMMYFUNCTION("""COMPUTED_VALUE"""),"ITBISA-ABC-BATERAI-AA-ALKALINE")</f>
        <v>ITBISA-ABC-BATERAI-AA-ALKALINE</v>
      </c>
      <c r="B1359" s="266">
        <f>IFERROR(__xludf.DUMMYFUNCTION("""COMPUTED_VALUE"""),45242.0)</f>
        <v>45242</v>
      </c>
      <c r="C1359" s="266" t="str">
        <f>IFERROR(__xludf.DUMMYFUNCTION("""COMPUTED_VALUE"""),"KYAI KONTONG")</f>
        <v>KYAI KONTONG</v>
      </c>
      <c r="D1359" s="186">
        <f>IFERROR(__xludf.DUMMYFUNCTION("""COMPUTED_VALUE"""),30.0)</f>
        <v>30</v>
      </c>
    </row>
    <row r="1360">
      <c r="A1360" s="178" t="str">
        <f>IFERROR(__xludf.DUMMYFUNCTION("""COMPUTED_VALUE"""),"ITBISA-ABC-BATERAI-AA-ALKALINE")</f>
        <v>ITBISA-ABC-BATERAI-AA-ALKALINE</v>
      </c>
      <c r="B1360" s="266">
        <f>IFERROR(__xludf.DUMMYFUNCTION("""COMPUTED_VALUE"""),45249.0)</f>
        <v>45249</v>
      </c>
      <c r="C1360" s="266" t="str">
        <f>IFERROR(__xludf.DUMMYFUNCTION("""COMPUTED_VALUE"""),"KYAI KONTONG")</f>
        <v>KYAI KONTONG</v>
      </c>
      <c r="D1360" s="186">
        <f>IFERROR(__xludf.DUMMYFUNCTION("""COMPUTED_VALUE"""),2.0)</f>
        <v>2</v>
      </c>
    </row>
    <row r="1361">
      <c r="A1361" s="178" t="str">
        <f>IFERROR(__xludf.DUMMYFUNCTION("""COMPUTED_VALUE"""),"ITBISA-ABC-BATERAI-AA-ALKALINE")</f>
        <v>ITBISA-ABC-BATERAI-AA-ALKALINE</v>
      </c>
      <c r="B1361" s="266">
        <f>IFERROR(__xludf.DUMMYFUNCTION("""COMPUTED_VALUE"""),45255.0)</f>
        <v>45255</v>
      </c>
      <c r="C1361" s="266" t="str">
        <f>IFERROR(__xludf.DUMMYFUNCTION("""COMPUTED_VALUE"""),"KYAI KONTONG")</f>
        <v>KYAI KONTONG</v>
      </c>
      <c r="D1361" s="186">
        <f>IFERROR(__xludf.DUMMYFUNCTION("""COMPUTED_VALUE"""),2.0)</f>
        <v>2</v>
      </c>
    </row>
    <row r="1362">
      <c r="A1362" s="178" t="str">
        <f>IFERROR(__xludf.DUMMYFUNCTION("""COMPUTED_VALUE"""),"ITBISA-ABC-BATERAI-AA-ALKALINE")</f>
        <v>ITBISA-ABC-BATERAI-AA-ALKALINE</v>
      </c>
      <c r="B1362" s="266">
        <f>IFERROR(__xludf.DUMMYFUNCTION("""COMPUTED_VALUE"""),45259.0)</f>
        <v>45259</v>
      </c>
      <c r="C1362" s="266" t="str">
        <f>IFERROR(__xludf.DUMMYFUNCTION("""COMPUTED_VALUE"""),"KYAI KONTONG")</f>
        <v>KYAI KONTONG</v>
      </c>
      <c r="D1362" s="186">
        <f>IFERROR(__xludf.DUMMYFUNCTION("""COMPUTED_VALUE"""),6.0)</f>
        <v>6</v>
      </c>
    </row>
    <row r="1363">
      <c r="A1363" s="178" t="str">
        <f>IFERROR(__xludf.DUMMYFUNCTION("""COMPUTED_VALUE"""),"ITBISA-ABC-BATERAI-AA-ALKALINE")</f>
        <v>ITBISA-ABC-BATERAI-AA-ALKALINE</v>
      </c>
      <c r="B1363" s="266">
        <f>IFERROR(__xludf.DUMMYFUNCTION("""COMPUTED_VALUE"""),45259.0)</f>
        <v>45259</v>
      </c>
      <c r="C1363" s="266" t="str">
        <f>IFERROR(__xludf.DUMMYFUNCTION("""COMPUTED_VALUE"""),"KYAI KONTONG")</f>
        <v>KYAI KONTONG</v>
      </c>
      <c r="D1363" s="186">
        <f>IFERROR(__xludf.DUMMYFUNCTION("""COMPUTED_VALUE"""),6.0)</f>
        <v>6</v>
      </c>
    </row>
    <row r="1364">
      <c r="A1364" s="178" t="str">
        <f>IFERROR(__xludf.DUMMYFUNCTION("""COMPUTED_VALUE"""),"ITBISA-ABC-BATERAI-AA-ALKALINE")</f>
        <v>ITBISA-ABC-BATERAI-AA-ALKALINE</v>
      </c>
      <c r="B1364" s="266">
        <f>IFERROR(__xludf.DUMMYFUNCTION("""COMPUTED_VALUE"""),45264.0)</f>
        <v>45264</v>
      </c>
      <c r="C1364" s="266" t="str">
        <f>IFERROR(__xludf.DUMMYFUNCTION("""COMPUTED_VALUE"""),"KERTASARI CIAMIS")</f>
        <v>KERTASARI CIAMIS</v>
      </c>
      <c r="D1364" s="186">
        <f>IFERROR(__xludf.DUMMYFUNCTION("""COMPUTED_VALUE"""),6.0)</f>
        <v>6</v>
      </c>
    </row>
    <row r="1365">
      <c r="A1365" s="178" t="str">
        <f>IFERROR(__xludf.DUMMYFUNCTION("""COMPUTED_VALUE"""),"ITBISA-ABC-BATERAI-AA-ALKALINE")</f>
        <v>ITBISA-ABC-BATERAI-AA-ALKALINE</v>
      </c>
      <c r="B1365" s="266">
        <f>IFERROR(__xludf.DUMMYFUNCTION("""COMPUTED_VALUE"""),45264.0)</f>
        <v>45264</v>
      </c>
      <c r="C1365" s="266" t="str">
        <f>IFERROR(__xludf.DUMMYFUNCTION("""COMPUTED_VALUE"""),"KERTASARI CIAMIS")</f>
        <v>KERTASARI CIAMIS</v>
      </c>
      <c r="D1365" s="186">
        <f>IFERROR(__xludf.DUMMYFUNCTION("""COMPUTED_VALUE"""),6.0)</f>
        <v>6</v>
      </c>
    </row>
    <row r="1366">
      <c r="A1366" s="178" t="str">
        <f>IFERROR(__xludf.DUMMYFUNCTION("""COMPUTED_VALUE"""),"ITBISA-ABC-BATERAI-AA-ALKALINE")</f>
        <v>ITBISA-ABC-BATERAI-AA-ALKALINE</v>
      </c>
      <c r="B1366" s="266">
        <f>IFERROR(__xludf.DUMMYFUNCTION("""COMPUTED_VALUE"""),45267.0)</f>
        <v>45267</v>
      </c>
      <c r="C1366" s="266" t="str">
        <f>IFERROR(__xludf.DUMMYFUNCTION("""COMPUTED_VALUE"""),"KERTASARI CIAMIS")</f>
        <v>KERTASARI CIAMIS</v>
      </c>
      <c r="D1366" s="186">
        <f>IFERROR(__xludf.DUMMYFUNCTION("""COMPUTED_VALUE"""),12.0)</f>
        <v>12</v>
      </c>
    </row>
    <row r="1367">
      <c r="A1367" s="178" t="str">
        <f>IFERROR(__xludf.DUMMYFUNCTION("""COMPUTED_VALUE"""),"ITBISA-ABC-BATERAI-AA-ALKALINE")</f>
        <v>ITBISA-ABC-BATERAI-AA-ALKALINE</v>
      </c>
      <c r="B1367" s="266">
        <f>IFERROR(__xludf.DUMMYFUNCTION("""COMPUTED_VALUE"""),45272.0)</f>
        <v>45272</v>
      </c>
      <c r="C1367" s="266" t="str">
        <f>IFERROR(__xludf.DUMMYFUNCTION("""COMPUTED_VALUE"""),"KYAI KONTONG")</f>
        <v>KYAI KONTONG</v>
      </c>
      <c r="D1367" s="186">
        <f>IFERROR(__xludf.DUMMYFUNCTION("""COMPUTED_VALUE"""),18.0)</f>
        <v>18</v>
      </c>
    </row>
    <row r="1368">
      <c r="A1368" s="178" t="str">
        <f>IFERROR(__xludf.DUMMYFUNCTION("""COMPUTED_VALUE"""),"ITBISA-ABC-BATERAI-AA-ALKALINE")</f>
        <v>ITBISA-ABC-BATERAI-AA-ALKALINE</v>
      </c>
      <c r="B1368" s="266">
        <f>IFERROR(__xludf.DUMMYFUNCTION("""COMPUTED_VALUE"""),45273.0)</f>
        <v>45273</v>
      </c>
      <c r="C1368" s="266" t="str">
        <f>IFERROR(__xludf.DUMMYFUNCTION("""COMPUTED_VALUE"""),"KERTASARI CIAMIS")</f>
        <v>KERTASARI CIAMIS</v>
      </c>
      <c r="D1368" s="186">
        <f>IFERROR(__xludf.DUMMYFUNCTION("""COMPUTED_VALUE"""),6.0)</f>
        <v>6</v>
      </c>
    </row>
    <row r="1369">
      <c r="A1369" s="178" t="str">
        <f>IFERROR(__xludf.DUMMYFUNCTION("""COMPUTED_VALUE"""),"ITBISA-ABC-BATERAI-AA-ALKALINE")</f>
        <v>ITBISA-ABC-BATERAI-AA-ALKALINE</v>
      </c>
      <c r="B1369" s="266">
        <f>IFERROR(__xludf.DUMMYFUNCTION("""COMPUTED_VALUE"""),45275.0)</f>
        <v>45275</v>
      </c>
      <c r="C1369" s="266" t="str">
        <f>IFERROR(__xludf.DUMMYFUNCTION("""COMPUTED_VALUE"""),"KERTASARI CIAMIS")</f>
        <v>KERTASARI CIAMIS</v>
      </c>
      <c r="D1369" s="186">
        <f>IFERROR(__xludf.DUMMYFUNCTION("""COMPUTED_VALUE"""),12.0)</f>
        <v>12</v>
      </c>
    </row>
    <row r="1370">
      <c r="A1370" s="178" t="str">
        <f>IFERROR(__xludf.DUMMYFUNCTION("""COMPUTED_VALUE"""),"ITBISA-ABC-BATERAI-AA-ALKALINE")</f>
        <v>ITBISA-ABC-BATERAI-AA-ALKALINE</v>
      </c>
      <c r="B1370" s="266">
        <f>IFERROR(__xludf.DUMMYFUNCTION("""COMPUTED_VALUE"""),45277.0)</f>
        <v>45277</v>
      </c>
      <c r="C1370" s="266" t="str">
        <f>IFERROR(__xludf.DUMMYFUNCTION("""COMPUTED_VALUE"""),"KERTASARI CIAMIS")</f>
        <v>KERTASARI CIAMIS</v>
      </c>
      <c r="D1370" s="186">
        <f>IFERROR(__xludf.DUMMYFUNCTION("""COMPUTED_VALUE"""),6.0)</f>
        <v>6</v>
      </c>
    </row>
    <row r="1371">
      <c r="A1371" s="178" t="str">
        <f>IFERROR(__xludf.DUMMYFUNCTION("""COMPUTED_VALUE"""),"ITBISA-ABC-BATERAI-AA-ALKALINE")</f>
        <v>ITBISA-ABC-BATERAI-AA-ALKALINE</v>
      </c>
      <c r="B1371" s="266">
        <f>IFERROR(__xludf.DUMMYFUNCTION("""COMPUTED_VALUE"""),45279.0)</f>
        <v>45279</v>
      </c>
      <c r="C1371" s="266" t="str">
        <f>IFERROR(__xludf.DUMMYFUNCTION("""COMPUTED_VALUE"""),"KYAI KONTONG")</f>
        <v>KYAI KONTONG</v>
      </c>
      <c r="D1371" s="186">
        <f>IFERROR(__xludf.DUMMYFUNCTION("""COMPUTED_VALUE"""),6.0)</f>
        <v>6</v>
      </c>
    </row>
    <row r="1372">
      <c r="A1372" s="178" t="str">
        <f>IFERROR(__xludf.DUMMYFUNCTION("""COMPUTED_VALUE"""),"ITBISA-ABC-BATERAI-AA-ALKALINE")</f>
        <v>ITBISA-ABC-BATERAI-AA-ALKALINE</v>
      </c>
      <c r="B1372" s="266">
        <f>IFERROR(__xludf.DUMMYFUNCTION("""COMPUTED_VALUE"""),45279.0)</f>
        <v>45279</v>
      </c>
      <c r="C1372" s="266" t="str">
        <f>IFERROR(__xludf.DUMMYFUNCTION("""COMPUTED_VALUE"""),"KYAI KONTONG")</f>
        <v>KYAI KONTONG</v>
      </c>
      <c r="D1372" s="186">
        <f>IFERROR(__xludf.DUMMYFUNCTION("""COMPUTED_VALUE"""),12.0)</f>
        <v>12</v>
      </c>
    </row>
    <row r="1373">
      <c r="A1373" s="178" t="str">
        <f>IFERROR(__xludf.DUMMYFUNCTION("""COMPUTED_VALUE"""),"ITBISA-ABC-BATERAI-AA-ALKALINE")</f>
        <v>ITBISA-ABC-BATERAI-AA-ALKALINE</v>
      </c>
      <c r="B1373" s="266">
        <f>IFERROR(__xludf.DUMMYFUNCTION("""COMPUTED_VALUE"""),45281.0)</f>
        <v>45281</v>
      </c>
      <c r="C1373" s="266" t="str">
        <f>IFERROR(__xludf.DUMMYFUNCTION("""COMPUTED_VALUE"""),"KERTASARI CIAMIS")</f>
        <v>KERTASARI CIAMIS</v>
      </c>
      <c r="D1373" s="186">
        <f>IFERROR(__xludf.DUMMYFUNCTION("""COMPUTED_VALUE"""),12.0)</f>
        <v>12</v>
      </c>
    </row>
    <row r="1374">
      <c r="A1374" s="178" t="str">
        <f>IFERROR(__xludf.DUMMYFUNCTION("""COMPUTED_VALUE"""),"ITBISA-ABC-BATERAI-AA-ALKALINE")</f>
        <v>ITBISA-ABC-BATERAI-AA-ALKALINE</v>
      </c>
      <c r="B1374" s="266">
        <f>IFERROR(__xludf.DUMMYFUNCTION("""COMPUTED_VALUE"""),45281.0)</f>
        <v>45281</v>
      </c>
      <c r="C1374" s="266" t="str">
        <f>IFERROR(__xludf.DUMMYFUNCTION("""COMPUTED_VALUE"""),"KYAI KONTONG")</f>
        <v>KYAI KONTONG</v>
      </c>
      <c r="D1374" s="186">
        <f>IFERROR(__xludf.DUMMYFUNCTION("""COMPUTED_VALUE"""),1.0)</f>
        <v>1</v>
      </c>
    </row>
    <row r="1375">
      <c r="A1375" s="178" t="str">
        <f>IFERROR(__xludf.DUMMYFUNCTION("""COMPUTED_VALUE"""),"ITBISA-ABC-BATERAI-AA-ALKALINE")</f>
        <v>ITBISA-ABC-BATERAI-AA-ALKALINE</v>
      </c>
      <c r="B1375" s="266">
        <f>IFERROR(__xludf.DUMMYFUNCTION("""COMPUTED_VALUE"""),45285.0)</f>
        <v>45285</v>
      </c>
      <c r="C1375" s="266" t="str">
        <f>IFERROR(__xludf.DUMMYFUNCTION("""COMPUTED_VALUE"""),"KERTASARI CIAMIS")</f>
        <v>KERTASARI CIAMIS</v>
      </c>
      <c r="D1375" s="186">
        <f>IFERROR(__xludf.DUMMYFUNCTION("""COMPUTED_VALUE"""),12.0)</f>
        <v>12</v>
      </c>
    </row>
    <row r="1376">
      <c r="A1376" s="178" t="str">
        <f>IFERROR(__xludf.DUMMYFUNCTION("""COMPUTED_VALUE"""),"ITBISA-ABC-BATERAI-AA-ALKALINE")</f>
        <v>ITBISA-ABC-BATERAI-AA-ALKALINE</v>
      </c>
      <c r="B1376" s="266">
        <f>IFERROR(__xludf.DUMMYFUNCTION("""COMPUTED_VALUE"""),45288.0)</f>
        <v>45288</v>
      </c>
      <c r="C1376" s="266" t="str">
        <f>IFERROR(__xludf.DUMMYFUNCTION("""COMPUTED_VALUE"""),"KERTASARI CIAMIS")</f>
        <v>KERTASARI CIAMIS</v>
      </c>
      <c r="D1376" s="186">
        <f>IFERROR(__xludf.DUMMYFUNCTION("""COMPUTED_VALUE"""),6.0)</f>
        <v>6</v>
      </c>
    </row>
    <row r="1377">
      <c r="A1377" s="178" t="str">
        <f>IFERROR(__xludf.DUMMYFUNCTION("""COMPUTED_VALUE"""),"ITBISA-ABC-BATERAI-AA-ALKALINE")</f>
        <v>ITBISA-ABC-BATERAI-AA-ALKALINE</v>
      </c>
      <c r="B1377" s="266">
        <f>IFERROR(__xludf.DUMMYFUNCTION("""COMPUTED_VALUE"""),45289.0)</f>
        <v>45289</v>
      </c>
      <c r="C1377" s="266" t="str">
        <f>IFERROR(__xludf.DUMMYFUNCTION("""COMPUTED_VALUE"""),"KYAI KONTONG")</f>
        <v>KYAI KONTONG</v>
      </c>
      <c r="D1377" s="186">
        <f>IFERROR(__xludf.DUMMYFUNCTION("""COMPUTED_VALUE"""),12.0)</f>
        <v>12</v>
      </c>
    </row>
    <row r="1378">
      <c r="A1378" s="178" t="str">
        <f>IFERROR(__xludf.DUMMYFUNCTION("""COMPUTED_VALUE"""),"ITBISA-ABC-BATERAI-AA-ALKALINE")</f>
        <v>ITBISA-ABC-BATERAI-AA-ALKALINE</v>
      </c>
      <c r="B1378" s="266">
        <f>IFERROR(__xludf.DUMMYFUNCTION("""COMPUTED_VALUE"""),45292.0)</f>
        <v>45292</v>
      </c>
      <c r="C1378" s="266" t="str">
        <f>IFERROR(__xludf.DUMMYFUNCTION("""COMPUTED_VALUE"""),"KERTASARI CIAMIS")</f>
        <v>KERTASARI CIAMIS</v>
      </c>
      <c r="D1378" s="186">
        <f>IFERROR(__xludf.DUMMYFUNCTION("""COMPUTED_VALUE"""),6.0)</f>
        <v>6</v>
      </c>
    </row>
    <row r="1379">
      <c r="A1379" s="178" t="str">
        <f>IFERROR(__xludf.DUMMYFUNCTION("""COMPUTED_VALUE"""),"ITBISA-ABC-BATERAI-AA-ALKALINE")</f>
        <v>ITBISA-ABC-BATERAI-AA-ALKALINE</v>
      </c>
      <c r="B1379" s="266">
        <f>IFERROR(__xludf.DUMMYFUNCTION("""COMPUTED_VALUE"""),45292.0)</f>
        <v>45292</v>
      </c>
      <c r="C1379" s="266" t="str">
        <f>IFERROR(__xludf.DUMMYFUNCTION("""COMPUTED_VALUE"""),"KERTASARI CIAMIS")</f>
        <v>KERTASARI CIAMIS</v>
      </c>
      <c r="D1379" s="186">
        <f>IFERROR(__xludf.DUMMYFUNCTION("""COMPUTED_VALUE"""),6.0)</f>
        <v>6</v>
      </c>
    </row>
    <row r="1380">
      <c r="A1380" s="178" t="str">
        <f>IFERROR(__xludf.DUMMYFUNCTION("""COMPUTED_VALUE"""),"ITBISA-ABC-BATERAI-AA-ALKALINE")</f>
        <v>ITBISA-ABC-BATERAI-AA-ALKALINE</v>
      </c>
      <c r="B1380" s="266">
        <f>IFERROR(__xludf.DUMMYFUNCTION("""COMPUTED_VALUE"""),45304.0)</f>
        <v>45304</v>
      </c>
      <c r="C1380" s="266" t="str">
        <f>IFERROR(__xludf.DUMMYFUNCTION("""COMPUTED_VALUE"""),"KERTASARI CIAMIS")</f>
        <v>KERTASARI CIAMIS</v>
      </c>
      <c r="D1380" s="186">
        <f>IFERROR(__xludf.DUMMYFUNCTION("""COMPUTED_VALUE"""),6.0)</f>
        <v>6</v>
      </c>
    </row>
    <row r="1381">
      <c r="A1381" s="178" t="str">
        <f>IFERROR(__xludf.DUMMYFUNCTION("""COMPUTED_VALUE"""),"ITBISA-ABC-BATERAI-AA-ALKALINE")</f>
        <v>ITBISA-ABC-BATERAI-AA-ALKALINE</v>
      </c>
      <c r="B1381" s="266">
        <f>IFERROR(__xludf.DUMMYFUNCTION("""COMPUTED_VALUE"""),45306.0)</f>
        <v>45306</v>
      </c>
      <c r="C1381" s="266" t="str">
        <f>IFERROR(__xludf.DUMMYFUNCTION("""COMPUTED_VALUE"""),"KERTASARI CIAMIS")</f>
        <v>KERTASARI CIAMIS</v>
      </c>
      <c r="D1381" s="186">
        <f>IFERROR(__xludf.DUMMYFUNCTION("""COMPUTED_VALUE"""),6.0)</f>
        <v>6</v>
      </c>
    </row>
    <row r="1382">
      <c r="A1382" s="178" t="str">
        <f>IFERROR(__xludf.DUMMYFUNCTION("""COMPUTED_VALUE"""),"ITBISA-ABC-BATERAI-AA-ALKALINE")</f>
        <v>ITBISA-ABC-BATERAI-AA-ALKALINE</v>
      </c>
      <c r="B1382" s="266">
        <f>IFERROR(__xludf.DUMMYFUNCTION("""COMPUTED_VALUE"""),45308.0)</f>
        <v>45308</v>
      </c>
      <c r="C1382" s="266" t="str">
        <f>IFERROR(__xludf.DUMMYFUNCTION("""COMPUTED_VALUE"""),"KERTASARI CIAMIS")</f>
        <v>KERTASARI CIAMIS</v>
      </c>
      <c r="D1382" s="186">
        <f>IFERROR(__xludf.DUMMYFUNCTION("""COMPUTED_VALUE"""),12.0)</f>
        <v>12</v>
      </c>
    </row>
    <row r="1383">
      <c r="A1383" s="178" t="str">
        <f>IFERROR(__xludf.DUMMYFUNCTION("""COMPUTED_VALUE"""),"ITBISA-ABC-BATERAI-AA-ALKALINE")</f>
        <v>ITBISA-ABC-BATERAI-AA-ALKALINE</v>
      </c>
      <c r="B1383" s="266">
        <f>IFERROR(__xludf.DUMMYFUNCTION("""COMPUTED_VALUE"""),45319.0)</f>
        <v>45319</v>
      </c>
      <c r="C1383" s="266" t="str">
        <f>IFERROR(__xludf.DUMMYFUNCTION("""COMPUTED_VALUE"""),"KERTASARI CIAMIS")</f>
        <v>KERTASARI CIAMIS</v>
      </c>
      <c r="D1383" s="186">
        <f>IFERROR(__xludf.DUMMYFUNCTION("""COMPUTED_VALUE"""),18.0)</f>
        <v>18</v>
      </c>
    </row>
    <row r="1384">
      <c r="A1384" s="178" t="str">
        <f>IFERROR(__xludf.DUMMYFUNCTION("""COMPUTED_VALUE"""),"ITBISA-ABC-BATERAI-AA-ALKALINE")</f>
        <v>ITBISA-ABC-BATERAI-AA-ALKALINE</v>
      </c>
      <c r="B1384" s="266">
        <f>IFERROR(__xludf.DUMMYFUNCTION("""COMPUTED_VALUE"""),45325.0)</f>
        <v>45325</v>
      </c>
      <c r="C1384" s="266" t="str">
        <f>IFERROR(__xludf.DUMMYFUNCTION("""COMPUTED_VALUE"""),"KERTASARI CIAMIS")</f>
        <v>KERTASARI CIAMIS</v>
      </c>
      <c r="D1384" s="186">
        <f>IFERROR(__xludf.DUMMYFUNCTION("""COMPUTED_VALUE"""),6.0)</f>
        <v>6</v>
      </c>
    </row>
    <row r="1385">
      <c r="A1385" s="178" t="str">
        <f>IFERROR(__xludf.DUMMYFUNCTION("""COMPUTED_VALUE"""),"ITBISA-ABC-BATERAI-AA-ALKALINE")</f>
        <v>ITBISA-ABC-BATERAI-AA-ALKALINE</v>
      </c>
      <c r="B1385" s="266">
        <f>IFERROR(__xludf.DUMMYFUNCTION("""COMPUTED_VALUE"""),45333.0)</f>
        <v>45333</v>
      </c>
      <c r="C1385" s="266" t="str">
        <f>IFERROR(__xludf.DUMMYFUNCTION("""COMPUTED_VALUE"""),"KERTASARI CIAMIS")</f>
        <v>KERTASARI CIAMIS</v>
      </c>
      <c r="D1385" s="186">
        <f>IFERROR(__xludf.DUMMYFUNCTION("""COMPUTED_VALUE"""),6.0)</f>
        <v>6</v>
      </c>
    </row>
    <row r="1386">
      <c r="A1386" s="178" t="str">
        <f>IFERROR(__xludf.DUMMYFUNCTION("""COMPUTED_VALUE"""),"ITBISA-ABC-BATERAI-AA-ALKALINE")</f>
        <v>ITBISA-ABC-BATERAI-AA-ALKALINE</v>
      </c>
      <c r="B1386" s="266">
        <f>IFERROR(__xludf.DUMMYFUNCTION("""COMPUTED_VALUE"""),45334.0)</f>
        <v>45334</v>
      </c>
      <c r="C1386" s="266" t="str">
        <f>IFERROR(__xludf.DUMMYFUNCTION("""COMPUTED_VALUE"""),"KERTASARI CIAMIS")</f>
        <v>KERTASARI CIAMIS</v>
      </c>
      <c r="D1386" s="186">
        <f>IFERROR(__xludf.DUMMYFUNCTION("""COMPUTED_VALUE"""),6.0)</f>
        <v>6</v>
      </c>
    </row>
    <row r="1387">
      <c r="A1387" s="178" t="str">
        <f>IFERROR(__xludf.DUMMYFUNCTION("""COMPUTED_VALUE"""),"ITBISA-ABC-BATERAI-AA-ALKALINE")</f>
        <v>ITBISA-ABC-BATERAI-AA-ALKALINE</v>
      </c>
      <c r="B1387" s="266">
        <f>IFERROR(__xludf.DUMMYFUNCTION("""COMPUTED_VALUE"""),45337.0)</f>
        <v>45337</v>
      </c>
      <c r="C1387" s="266" t="str">
        <f>IFERROR(__xludf.DUMMYFUNCTION("""COMPUTED_VALUE"""),"KYAI KONTONG")</f>
        <v>KYAI KONTONG</v>
      </c>
      <c r="D1387" s="186">
        <f>IFERROR(__xludf.DUMMYFUNCTION("""COMPUTED_VALUE"""),1.0)</f>
        <v>1</v>
      </c>
    </row>
    <row r="1388">
      <c r="A1388" s="178" t="str">
        <f>IFERROR(__xludf.DUMMYFUNCTION("""COMPUTED_VALUE"""),"ITBISA-ABC-BATERAI-AA-ALKALINE")</f>
        <v>ITBISA-ABC-BATERAI-AA-ALKALINE</v>
      </c>
      <c r="B1388" s="266">
        <f>IFERROR(__xludf.DUMMYFUNCTION("""COMPUTED_VALUE"""),45337.0)</f>
        <v>45337</v>
      </c>
      <c r="C1388" s="266" t="str">
        <f>IFERROR(__xludf.DUMMYFUNCTION("""COMPUTED_VALUE"""),"KYAI KONTONG")</f>
        <v>KYAI KONTONG</v>
      </c>
      <c r="D1388" s="186">
        <f>IFERROR(__xludf.DUMMYFUNCTION("""COMPUTED_VALUE"""),60.0)</f>
        <v>60</v>
      </c>
    </row>
    <row r="1389">
      <c r="A1389" s="178" t="str">
        <f>IFERROR(__xludf.DUMMYFUNCTION("""COMPUTED_VALUE"""),"ITBISA-ABC-BATERAI-AA-ALKALINE")</f>
        <v>ITBISA-ABC-BATERAI-AA-ALKALINE</v>
      </c>
      <c r="B1389" s="266">
        <f>IFERROR(__xludf.DUMMYFUNCTION("""COMPUTED_VALUE"""),45348.0)</f>
        <v>45348</v>
      </c>
      <c r="C1389" s="266" t="str">
        <f>IFERROR(__xludf.DUMMYFUNCTION("""COMPUTED_VALUE"""),"KERTASARI CIAMIS")</f>
        <v>KERTASARI CIAMIS</v>
      </c>
      <c r="D1389" s="186">
        <f>IFERROR(__xludf.DUMMYFUNCTION("""COMPUTED_VALUE"""),102.0)</f>
        <v>102</v>
      </c>
    </row>
    <row r="1390">
      <c r="A1390" s="178" t="str">
        <f>IFERROR(__xludf.DUMMYFUNCTION("""COMPUTED_VALUE"""),"ITBISA-ABC-BATERAI-AA-ALKALINE")</f>
        <v>ITBISA-ABC-BATERAI-AA-ALKALINE</v>
      </c>
      <c r="B1390" s="266">
        <f>IFERROR(__xludf.DUMMYFUNCTION("""COMPUTED_VALUE"""),45349.0)</f>
        <v>45349</v>
      </c>
      <c r="C1390" s="266" t="str">
        <f>IFERROR(__xludf.DUMMYFUNCTION("""COMPUTED_VALUE"""),"KERTASARI CIAMIS")</f>
        <v>KERTASARI CIAMIS</v>
      </c>
      <c r="D1390" s="186">
        <f>IFERROR(__xludf.DUMMYFUNCTION("""COMPUTED_VALUE"""),6.0)</f>
        <v>6</v>
      </c>
    </row>
    <row r="1391">
      <c r="A1391" s="178" t="str">
        <f>IFERROR(__xludf.DUMMYFUNCTION("""COMPUTED_VALUE"""),"ITBISA-ABC-BATERAI-AA-ALKALINE")</f>
        <v>ITBISA-ABC-BATERAI-AA-ALKALINE</v>
      </c>
      <c r="B1391" s="266">
        <f>IFERROR(__xludf.DUMMYFUNCTION("""COMPUTED_VALUE"""),45350.0)</f>
        <v>45350</v>
      </c>
      <c r="C1391" s="266" t="str">
        <f>IFERROR(__xludf.DUMMYFUNCTION("""COMPUTED_VALUE"""),"KERTASARI CIAMIS")</f>
        <v>KERTASARI CIAMIS</v>
      </c>
      <c r="D1391" s="186">
        <f>IFERROR(__xludf.DUMMYFUNCTION("""COMPUTED_VALUE"""),6.0)</f>
        <v>6</v>
      </c>
    </row>
    <row r="1392">
      <c r="A1392" s="178" t="str">
        <f>IFERROR(__xludf.DUMMYFUNCTION("""COMPUTED_VALUE"""),"ITBISA-ABC-BATERAI-AA-ALKALINE")</f>
        <v>ITBISA-ABC-BATERAI-AA-ALKALINE</v>
      </c>
      <c r="B1392" s="266">
        <f>IFERROR(__xludf.DUMMYFUNCTION("""COMPUTED_VALUE"""),45354.0)</f>
        <v>45354</v>
      </c>
      <c r="C1392" s="266" t="str">
        <f>IFERROR(__xludf.DUMMYFUNCTION("""COMPUTED_VALUE"""),"KYAI KONTONG")</f>
        <v>KYAI KONTONG</v>
      </c>
      <c r="D1392" s="186">
        <f>IFERROR(__xludf.DUMMYFUNCTION("""COMPUTED_VALUE"""),2.0)</f>
        <v>2</v>
      </c>
    </row>
    <row r="1393">
      <c r="A1393" s="178" t="str">
        <f>IFERROR(__xludf.DUMMYFUNCTION("""COMPUTED_VALUE"""),"ITBISA-ABC-BATERAI-AA-ALKALINE")</f>
        <v>ITBISA-ABC-BATERAI-AA-ALKALINE</v>
      </c>
      <c r="B1393" s="266">
        <f>IFERROR(__xludf.DUMMYFUNCTION("""COMPUTED_VALUE"""),45355.0)</f>
        <v>45355</v>
      </c>
      <c r="C1393" s="266" t="str">
        <f>IFERROR(__xludf.DUMMYFUNCTION("""COMPUTED_VALUE"""),"KERTASARI CIAMIS")</f>
        <v>KERTASARI CIAMIS</v>
      </c>
      <c r="D1393" s="186">
        <f>IFERROR(__xludf.DUMMYFUNCTION("""COMPUTED_VALUE"""),24.0)</f>
        <v>24</v>
      </c>
    </row>
    <row r="1394">
      <c r="A1394" s="178" t="str">
        <f>IFERROR(__xludf.DUMMYFUNCTION("""COMPUTED_VALUE"""),"ITBISA-ABC-BATERAI-AA-ALKALINE")</f>
        <v>ITBISA-ABC-BATERAI-AA-ALKALINE</v>
      </c>
      <c r="B1394" s="266">
        <f>IFERROR(__xludf.DUMMYFUNCTION("""COMPUTED_VALUE"""),45359.0)</f>
        <v>45359</v>
      </c>
      <c r="C1394" s="266" t="str">
        <f>IFERROR(__xludf.DUMMYFUNCTION("""COMPUTED_VALUE"""),"KYAI KONTONG")</f>
        <v>KYAI KONTONG</v>
      </c>
      <c r="D1394" s="186">
        <f>IFERROR(__xludf.DUMMYFUNCTION("""COMPUTED_VALUE"""),6.0)</f>
        <v>6</v>
      </c>
    </row>
    <row r="1395">
      <c r="A1395" s="178" t="str">
        <f>IFERROR(__xludf.DUMMYFUNCTION("""COMPUTED_VALUE"""),"ITBISA-ABC-BATERAI-AA-ALKALINE")</f>
        <v>ITBISA-ABC-BATERAI-AA-ALKALINE</v>
      </c>
      <c r="B1395" s="266">
        <f>IFERROR(__xludf.DUMMYFUNCTION("""COMPUTED_VALUE"""),45359.0)</f>
        <v>45359</v>
      </c>
      <c r="C1395" s="266" t="str">
        <f>IFERROR(__xludf.DUMMYFUNCTION("""COMPUTED_VALUE"""),"KYAI KONTONG")</f>
        <v>KYAI KONTONG</v>
      </c>
      <c r="D1395" s="186">
        <f>IFERROR(__xludf.DUMMYFUNCTION("""COMPUTED_VALUE"""),6.0)</f>
        <v>6</v>
      </c>
    </row>
    <row r="1396">
      <c r="A1396" s="178" t="str">
        <f>IFERROR(__xludf.DUMMYFUNCTION("""COMPUTED_VALUE"""),"ITBISA-ABC-BATERAI-AA-ALKALINE")</f>
        <v>ITBISA-ABC-BATERAI-AA-ALKALINE</v>
      </c>
      <c r="B1396" s="266">
        <f>IFERROR(__xludf.DUMMYFUNCTION("""COMPUTED_VALUE"""),45370.0)</f>
        <v>45370</v>
      </c>
      <c r="C1396" s="266" t="str">
        <f>IFERROR(__xludf.DUMMYFUNCTION("""COMPUTED_VALUE"""),"KERTASARI CIAMIS")</f>
        <v>KERTASARI CIAMIS</v>
      </c>
      <c r="D1396" s="186">
        <f>IFERROR(__xludf.DUMMYFUNCTION("""COMPUTED_VALUE"""),12.0)</f>
        <v>12</v>
      </c>
    </row>
    <row r="1397">
      <c r="A1397" s="178" t="str">
        <f>IFERROR(__xludf.DUMMYFUNCTION("""COMPUTED_VALUE"""),"ITBISA-ABC-BATERAI-AA-ALKALINE")</f>
        <v>ITBISA-ABC-BATERAI-AA-ALKALINE</v>
      </c>
      <c r="B1397" s="266">
        <f>IFERROR(__xludf.DUMMYFUNCTION("""COMPUTED_VALUE"""),45371.0)</f>
        <v>45371</v>
      </c>
      <c r="C1397" s="266" t="str">
        <f>IFERROR(__xludf.DUMMYFUNCTION("""COMPUTED_VALUE"""),"KERTASARI CIAMIS")</f>
        <v>KERTASARI CIAMIS</v>
      </c>
      <c r="D1397" s="186">
        <f>IFERROR(__xludf.DUMMYFUNCTION("""COMPUTED_VALUE"""),6.0)</f>
        <v>6</v>
      </c>
    </row>
    <row r="1398">
      <c r="A1398" s="178" t="str">
        <f>IFERROR(__xludf.DUMMYFUNCTION("""COMPUTED_VALUE"""),"ITBISA-ABC-BATERAI-AA-ALKALINE")</f>
        <v>ITBISA-ABC-BATERAI-AA-ALKALINE</v>
      </c>
      <c r="B1398" s="266">
        <f>IFERROR(__xludf.DUMMYFUNCTION("""COMPUTED_VALUE"""),45372.0)</f>
        <v>45372</v>
      </c>
      <c r="C1398" s="266" t="str">
        <f>IFERROR(__xludf.DUMMYFUNCTION("""COMPUTED_VALUE"""),"KYAI KONTONG")</f>
        <v>KYAI KONTONG</v>
      </c>
      <c r="D1398" s="186">
        <f>IFERROR(__xludf.DUMMYFUNCTION("""COMPUTED_VALUE"""),6.0)</f>
        <v>6</v>
      </c>
    </row>
    <row r="1399">
      <c r="A1399" s="178" t="str">
        <f>IFERROR(__xludf.DUMMYFUNCTION("""COMPUTED_VALUE"""),"ITBISA-ABC-BATERAI-AA-ALKALINE")</f>
        <v>ITBISA-ABC-BATERAI-AA-ALKALINE</v>
      </c>
      <c r="B1399" s="266">
        <f>IFERROR(__xludf.DUMMYFUNCTION("""COMPUTED_VALUE"""),45373.0)</f>
        <v>45373</v>
      </c>
      <c r="C1399" s="266" t="str">
        <f>IFERROR(__xludf.DUMMYFUNCTION("""COMPUTED_VALUE"""),"KERTASARI CIAMIS")</f>
        <v>KERTASARI CIAMIS</v>
      </c>
      <c r="D1399" s="186">
        <f>IFERROR(__xludf.DUMMYFUNCTION("""COMPUTED_VALUE"""),12.0)</f>
        <v>12</v>
      </c>
    </row>
    <row r="1400">
      <c r="A1400" s="178" t="str">
        <f>IFERROR(__xludf.DUMMYFUNCTION("""COMPUTED_VALUE"""),"ITBISA-ABC-BATERAI-AA-ALKALINE")</f>
        <v>ITBISA-ABC-BATERAI-AA-ALKALINE</v>
      </c>
      <c r="B1400" s="266">
        <f>IFERROR(__xludf.DUMMYFUNCTION("""COMPUTED_VALUE"""),45375.0)</f>
        <v>45375</v>
      </c>
      <c r="C1400" s="266" t="str">
        <f>IFERROR(__xludf.DUMMYFUNCTION("""COMPUTED_VALUE"""),"KYAI KONTONG")</f>
        <v>KYAI KONTONG</v>
      </c>
      <c r="D1400" s="186">
        <f>IFERROR(__xludf.DUMMYFUNCTION("""COMPUTED_VALUE"""),36.0)</f>
        <v>36</v>
      </c>
    </row>
    <row r="1401">
      <c r="A1401" s="178" t="str">
        <f>IFERROR(__xludf.DUMMYFUNCTION("""COMPUTED_VALUE"""),"ITBISA-ABC-BATERAI-AA-ALKALINE")</f>
        <v>ITBISA-ABC-BATERAI-AA-ALKALINE</v>
      </c>
      <c r="B1401" s="266">
        <f>IFERROR(__xludf.DUMMYFUNCTION("""COMPUTED_VALUE"""),45375.0)</f>
        <v>45375</v>
      </c>
      <c r="C1401" s="266" t="str">
        <f>IFERROR(__xludf.DUMMYFUNCTION("""COMPUTED_VALUE"""),"KYAI KONTONG")</f>
        <v>KYAI KONTONG</v>
      </c>
      <c r="D1401" s="186">
        <f>IFERROR(__xludf.DUMMYFUNCTION("""COMPUTED_VALUE"""),180.0)</f>
        <v>180</v>
      </c>
    </row>
    <row r="1402">
      <c r="A1402" s="178" t="str">
        <f>IFERROR(__xludf.DUMMYFUNCTION("""COMPUTED_VALUE"""),"ITBISA-ABC-BATERAI-AA-ALKALINE")</f>
        <v>ITBISA-ABC-BATERAI-AA-ALKALINE</v>
      </c>
      <c r="B1402" s="266">
        <f>IFERROR(__xludf.DUMMYFUNCTION("""COMPUTED_VALUE"""),45376.0)</f>
        <v>45376</v>
      </c>
      <c r="C1402" s="266" t="str">
        <f>IFERROR(__xludf.DUMMYFUNCTION("""COMPUTED_VALUE"""),"KYAI KONTONG")</f>
        <v>KYAI KONTONG</v>
      </c>
      <c r="D1402" s="186">
        <f>IFERROR(__xludf.DUMMYFUNCTION("""COMPUTED_VALUE"""),6.0)</f>
        <v>6</v>
      </c>
    </row>
    <row r="1403">
      <c r="A1403" s="178" t="str">
        <f>IFERROR(__xludf.DUMMYFUNCTION("""COMPUTED_VALUE"""),"ITBISA-ABC-BATERAI-AA-ALKALINE")</f>
        <v>ITBISA-ABC-BATERAI-AA-ALKALINE</v>
      </c>
      <c r="B1403" s="266">
        <f>IFERROR(__xludf.DUMMYFUNCTION("""COMPUTED_VALUE"""),45377.0)</f>
        <v>45377</v>
      </c>
      <c r="C1403" s="266" t="str">
        <f>IFERROR(__xludf.DUMMYFUNCTION("""COMPUTED_VALUE"""),"KERTASARI CIAMIS")</f>
        <v>KERTASARI CIAMIS</v>
      </c>
      <c r="D1403" s="186">
        <f>IFERROR(__xludf.DUMMYFUNCTION("""COMPUTED_VALUE"""),1.0)</f>
        <v>1</v>
      </c>
    </row>
    <row r="1404">
      <c r="A1404" s="178" t="str">
        <f>IFERROR(__xludf.DUMMYFUNCTION("""COMPUTED_VALUE"""),"ITBISA-ABC-BATERAI-AA-ALKALINE")</f>
        <v>ITBISA-ABC-BATERAI-AA-ALKALINE</v>
      </c>
      <c r="B1404" s="266">
        <f>IFERROR(__xludf.DUMMYFUNCTION("""COMPUTED_VALUE"""),45378.0)</f>
        <v>45378</v>
      </c>
      <c r="C1404" s="266" t="str">
        <f>IFERROR(__xludf.DUMMYFUNCTION("""COMPUTED_VALUE"""),"KYAI KONTONG")</f>
        <v>KYAI KONTONG</v>
      </c>
      <c r="D1404" s="186">
        <f>IFERROR(__xludf.DUMMYFUNCTION("""COMPUTED_VALUE"""),12.0)</f>
        <v>12</v>
      </c>
    </row>
    <row r="1405">
      <c r="A1405" s="178" t="str">
        <f>IFERROR(__xludf.DUMMYFUNCTION("""COMPUTED_VALUE"""),"ITBISA-ABC-BATERAI-AA-ALKALINE")</f>
        <v>ITBISA-ABC-BATERAI-AA-ALKALINE</v>
      </c>
      <c r="B1405" s="266">
        <f>IFERROR(__xludf.DUMMYFUNCTION("""COMPUTED_VALUE"""),45380.0)</f>
        <v>45380</v>
      </c>
      <c r="C1405" s="266" t="str">
        <f>IFERROR(__xludf.DUMMYFUNCTION("""COMPUTED_VALUE"""),"KERTASARI CIAMIS")</f>
        <v>KERTASARI CIAMIS</v>
      </c>
      <c r="D1405" s="186">
        <f>IFERROR(__xludf.DUMMYFUNCTION("""COMPUTED_VALUE"""),1.0)</f>
        <v>1</v>
      </c>
    </row>
    <row r="1406">
      <c r="A1406" s="178" t="str">
        <f>IFERROR(__xludf.DUMMYFUNCTION("""COMPUTED_VALUE"""),"ITBISA-ABC-BATERAI-AA-ALKALINE")</f>
        <v>ITBISA-ABC-BATERAI-AA-ALKALINE</v>
      </c>
      <c r="B1406" s="266">
        <f>IFERROR(__xludf.DUMMYFUNCTION("""COMPUTED_VALUE"""),45383.0)</f>
        <v>45383</v>
      </c>
      <c r="C1406" s="266" t="str">
        <f>IFERROR(__xludf.DUMMYFUNCTION("""COMPUTED_VALUE"""),"KERTASARI CIAMIS")</f>
        <v>KERTASARI CIAMIS</v>
      </c>
      <c r="D1406" s="186">
        <f>IFERROR(__xludf.DUMMYFUNCTION("""COMPUTED_VALUE"""),18.0)</f>
        <v>18</v>
      </c>
    </row>
    <row r="1407">
      <c r="A1407" s="178" t="str">
        <f>IFERROR(__xludf.DUMMYFUNCTION("""COMPUTED_VALUE"""),"ITBISA-ABC-BATERAI-AA-ALKALINE")</f>
        <v>ITBISA-ABC-BATERAI-AA-ALKALINE</v>
      </c>
      <c r="B1407" s="266">
        <f>IFERROR(__xludf.DUMMYFUNCTION("""COMPUTED_VALUE"""),45383.0)</f>
        <v>45383</v>
      </c>
      <c r="C1407" s="266" t="str">
        <f>IFERROR(__xludf.DUMMYFUNCTION("""COMPUTED_VALUE"""),"KYAI KONTONG")</f>
        <v>KYAI KONTONG</v>
      </c>
      <c r="D1407" s="186">
        <f>IFERROR(__xludf.DUMMYFUNCTION("""COMPUTED_VALUE"""),12.0)</f>
        <v>12</v>
      </c>
    </row>
    <row r="1408">
      <c r="A1408" s="178" t="str">
        <f>IFERROR(__xludf.DUMMYFUNCTION("""COMPUTED_VALUE"""),"ITBISA-ABC-BATERAI-AA-ALKALINE")</f>
        <v>ITBISA-ABC-BATERAI-AA-ALKALINE</v>
      </c>
      <c r="B1408" s="266">
        <f>IFERROR(__xludf.DUMMYFUNCTION("""COMPUTED_VALUE"""),45384.0)</f>
        <v>45384</v>
      </c>
      <c r="C1408" s="266" t="str">
        <f>IFERROR(__xludf.DUMMYFUNCTION("""COMPUTED_VALUE"""),"KERTASARI CIAMIS")</f>
        <v>KERTASARI CIAMIS</v>
      </c>
      <c r="D1408" s="186">
        <f>IFERROR(__xludf.DUMMYFUNCTION("""COMPUTED_VALUE"""),6.0)</f>
        <v>6</v>
      </c>
    </row>
    <row r="1409">
      <c r="A1409" s="178" t="str">
        <f>IFERROR(__xludf.DUMMYFUNCTION("""COMPUTED_VALUE"""),"ITBISA-ABC-BATERAI-AA-ALKALINE")</f>
        <v>ITBISA-ABC-BATERAI-AA-ALKALINE</v>
      </c>
      <c r="B1409" s="266">
        <f>IFERROR(__xludf.DUMMYFUNCTION("""COMPUTED_VALUE"""),45384.0)</f>
        <v>45384</v>
      </c>
      <c r="C1409" s="266" t="str">
        <f>IFERROR(__xludf.DUMMYFUNCTION("""COMPUTED_VALUE"""),"KYAI KONTONG")</f>
        <v>KYAI KONTONG</v>
      </c>
      <c r="D1409" s="186">
        <f>IFERROR(__xludf.DUMMYFUNCTION("""COMPUTED_VALUE"""),2.0)</f>
        <v>2</v>
      </c>
    </row>
    <row r="1410">
      <c r="A1410" s="178" t="str">
        <f>IFERROR(__xludf.DUMMYFUNCTION("""COMPUTED_VALUE"""),"ITBISA-ABC-BATERAI-AA-ALKALINE")</f>
        <v>ITBISA-ABC-BATERAI-AA-ALKALINE</v>
      </c>
      <c r="B1410" s="266">
        <f>IFERROR(__xludf.DUMMYFUNCTION("""COMPUTED_VALUE"""),45386.0)</f>
        <v>45386</v>
      </c>
      <c r="C1410" s="266" t="str">
        <f>IFERROR(__xludf.DUMMYFUNCTION("""COMPUTED_VALUE"""),"KYAI KONTONG")</f>
        <v>KYAI KONTONG</v>
      </c>
      <c r="D1410" s="186">
        <f>IFERROR(__xludf.DUMMYFUNCTION("""COMPUTED_VALUE"""),12.0)</f>
        <v>12</v>
      </c>
    </row>
    <row r="1411">
      <c r="A1411" s="178" t="str">
        <f>IFERROR(__xludf.DUMMYFUNCTION("""COMPUTED_VALUE"""),"ITBISA-ABC-BATERAI-AA-ALKALINE")</f>
        <v>ITBISA-ABC-BATERAI-AA-ALKALINE</v>
      </c>
      <c r="B1411" s="266">
        <f>IFERROR(__xludf.DUMMYFUNCTION("""COMPUTED_VALUE"""),45389.0)</f>
        <v>45389</v>
      </c>
      <c r="C1411" s="266" t="str">
        <f>IFERROR(__xludf.DUMMYFUNCTION("""COMPUTED_VALUE"""),"KYAI KONTONG")</f>
        <v>KYAI KONTONG</v>
      </c>
      <c r="D1411" s="186">
        <f>IFERROR(__xludf.DUMMYFUNCTION("""COMPUTED_VALUE"""),6.0)</f>
        <v>6</v>
      </c>
    </row>
    <row r="1412">
      <c r="A1412" s="178" t="str">
        <f>IFERROR(__xludf.DUMMYFUNCTION("""COMPUTED_VALUE"""),"ITBISA-ABC-BATERAI-AA-ALKALINE")</f>
        <v>ITBISA-ABC-BATERAI-AA-ALKALINE</v>
      </c>
      <c r="B1412" s="266">
        <f>IFERROR(__xludf.DUMMYFUNCTION("""COMPUTED_VALUE"""),45396.0)</f>
        <v>45396</v>
      </c>
      <c r="C1412" s="266" t="str">
        <f>IFERROR(__xludf.DUMMYFUNCTION("""COMPUTED_VALUE"""),"KERTASARI CIAMIS")</f>
        <v>KERTASARI CIAMIS</v>
      </c>
      <c r="D1412" s="186">
        <f>IFERROR(__xludf.DUMMYFUNCTION("""COMPUTED_VALUE"""),18.0)</f>
        <v>18</v>
      </c>
    </row>
    <row r="1413">
      <c r="A1413" s="178" t="str">
        <f>IFERROR(__xludf.DUMMYFUNCTION("""COMPUTED_VALUE"""),"ITBISA-ABC-BATERAI-AA-ALKALINE")</f>
        <v>ITBISA-ABC-BATERAI-AA-ALKALINE</v>
      </c>
      <c r="B1413" s="266">
        <f>IFERROR(__xludf.DUMMYFUNCTION("""COMPUTED_VALUE"""),45403.0)</f>
        <v>45403</v>
      </c>
      <c r="C1413" s="266" t="str">
        <f>IFERROR(__xludf.DUMMYFUNCTION("""COMPUTED_VALUE"""),"KERTASARI CIAMIS")</f>
        <v>KERTASARI CIAMIS</v>
      </c>
      <c r="D1413" s="186">
        <f>IFERROR(__xludf.DUMMYFUNCTION("""COMPUTED_VALUE"""),6.0)</f>
        <v>6</v>
      </c>
    </row>
    <row r="1414">
      <c r="A1414" s="178" t="str">
        <f>IFERROR(__xludf.DUMMYFUNCTION("""COMPUTED_VALUE"""),"ITBISA-ABC-BATERAI-AA-ALKALINE")</f>
        <v>ITBISA-ABC-BATERAI-AA-ALKALINE</v>
      </c>
      <c r="B1414" s="266">
        <f>IFERROR(__xludf.DUMMYFUNCTION("""COMPUTED_VALUE"""),45404.0)</f>
        <v>45404</v>
      </c>
      <c r="C1414" s="266" t="str">
        <f>IFERROR(__xludf.DUMMYFUNCTION("""COMPUTED_VALUE"""),"KYAI KONTONG")</f>
        <v>KYAI KONTONG</v>
      </c>
      <c r="D1414" s="186">
        <f>IFERROR(__xludf.DUMMYFUNCTION("""COMPUTED_VALUE"""),6.0)</f>
        <v>6</v>
      </c>
    </row>
    <row r="1415">
      <c r="A1415" s="178" t="str">
        <f>IFERROR(__xludf.DUMMYFUNCTION("""COMPUTED_VALUE"""),"ITBISA-ABC-BATERAI-AA-ALKALINE")</f>
        <v>ITBISA-ABC-BATERAI-AA-ALKALINE</v>
      </c>
      <c r="B1415" s="266">
        <f>IFERROR(__xludf.DUMMYFUNCTION("""COMPUTED_VALUE"""),45408.0)</f>
        <v>45408</v>
      </c>
      <c r="C1415" s="266" t="str">
        <f>IFERROR(__xludf.DUMMYFUNCTION("""COMPUTED_VALUE"""),"KYAI KONTONG")</f>
        <v>KYAI KONTONG</v>
      </c>
      <c r="D1415" s="186">
        <f>IFERROR(__xludf.DUMMYFUNCTION("""COMPUTED_VALUE"""),12.0)</f>
        <v>12</v>
      </c>
    </row>
    <row r="1416">
      <c r="A1416" s="178" t="str">
        <f>IFERROR(__xludf.DUMMYFUNCTION("""COMPUTED_VALUE"""),"ITBISA-ABC-BATERAI-AA-ALKALINE")</f>
        <v>ITBISA-ABC-BATERAI-AA-ALKALINE</v>
      </c>
      <c r="B1416" s="266">
        <f>IFERROR(__xludf.DUMMYFUNCTION("""COMPUTED_VALUE"""),45411.0)</f>
        <v>45411</v>
      </c>
      <c r="C1416" s="266" t="str">
        <f>IFERROR(__xludf.DUMMYFUNCTION("""COMPUTED_VALUE"""),"KERTASARI CIAMIS")</f>
        <v>KERTASARI CIAMIS</v>
      </c>
      <c r="D1416" s="186">
        <f>IFERROR(__xludf.DUMMYFUNCTION("""COMPUTED_VALUE"""),6.0)</f>
        <v>6</v>
      </c>
    </row>
    <row r="1417">
      <c r="A1417" s="178" t="str">
        <f>IFERROR(__xludf.DUMMYFUNCTION("""COMPUTED_VALUE"""),"ITBISA-ABC-BATERAI-AA-ALKALINE")</f>
        <v>ITBISA-ABC-BATERAI-AA-ALKALINE</v>
      </c>
      <c r="B1417" s="266">
        <f>IFERROR(__xludf.DUMMYFUNCTION("""COMPUTED_VALUE"""),45412.0)</f>
        <v>45412</v>
      </c>
      <c r="C1417" s="266" t="str">
        <f>IFERROR(__xludf.DUMMYFUNCTION("""COMPUTED_VALUE"""),"KYAI KONTONG")</f>
        <v>KYAI KONTONG</v>
      </c>
      <c r="D1417" s="186">
        <f>IFERROR(__xludf.DUMMYFUNCTION("""COMPUTED_VALUE"""),36.0)</f>
        <v>36</v>
      </c>
    </row>
    <row r="1418">
      <c r="A1418" s="178" t="str">
        <f>IFERROR(__xludf.DUMMYFUNCTION("""COMPUTED_VALUE"""),"ITBISA-ABC-BATERAI-AA-ALKALINE")</f>
        <v>ITBISA-ABC-BATERAI-AA-ALKALINE</v>
      </c>
      <c r="B1418" s="266">
        <f>IFERROR(__xludf.DUMMYFUNCTION("""COMPUTED_VALUE"""),45414.0)</f>
        <v>45414</v>
      </c>
      <c r="C1418" s="266" t="str">
        <f>IFERROR(__xludf.DUMMYFUNCTION("""COMPUTED_VALUE"""),"KYAI KONTONG")</f>
        <v>KYAI KONTONG</v>
      </c>
      <c r="D1418" s="186">
        <f>IFERROR(__xludf.DUMMYFUNCTION("""COMPUTED_VALUE"""),18.0)</f>
        <v>18</v>
      </c>
    </row>
    <row r="1419">
      <c r="A1419" s="178" t="str">
        <f>IFERROR(__xludf.DUMMYFUNCTION("""COMPUTED_VALUE"""),"ITBISA-ABC-BATERAI-AA-ALKALINE")</f>
        <v>ITBISA-ABC-BATERAI-AA-ALKALINE</v>
      </c>
      <c r="B1419" s="266">
        <f>IFERROR(__xludf.DUMMYFUNCTION("""COMPUTED_VALUE"""),45417.0)</f>
        <v>45417</v>
      </c>
      <c r="C1419" s="266" t="str">
        <f>IFERROR(__xludf.DUMMYFUNCTION("""COMPUTED_VALUE"""),"KERTASARI CIAMIS")</f>
        <v>KERTASARI CIAMIS</v>
      </c>
      <c r="D1419" s="186">
        <f>IFERROR(__xludf.DUMMYFUNCTION("""COMPUTED_VALUE"""),6.0)</f>
        <v>6</v>
      </c>
    </row>
    <row r="1420">
      <c r="A1420" s="178" t="str">
        <f>IFERROR(__xludf.DUMMYFUNCTION("""COMPUTED_VALUE"""),"ITBISA-ABC-BATERAI-AA-ALKALINE")</f>
        <v>ITBISA-ABC-BATERAI-AA-ALKALINE</v>
      </c>
      <c r="B1420" s="266">
        <f>IFERROR(__xludf.DUMMYFUNCTION("""COMPUTED_VALUE"""),45418.0)</f>
        <v>45418</v>
      </c>
      <c r="C1420" s="266" t="str">
        <f>IFERROR(__xludf.DUMMYFUNCTION("""COMPUTED_VALUE"""),"KERTASARI CIAMIS")</f>
        <v>KERTASARI CIAMIS</v>
      </c>
      <c r="D1420" s="186">
        <f>IFERROR(__xludf.DUMMYFUNCTION("""COMPUTED_VALUE"""),12.0)</f>
        <v>12</v>
      </c>
    </row>
    <row r="1421">
      <c r="A1421" s="178" t="str">
        <f>IFERROR(__xludf.DUMMYFUNCTION("""COMPUTED_VALUE"""),"ITBISA-ABC-BATERAI-AA-ALKALINE")</f>
        <v>ITBISA-ABC-BATERAI-AA-ALKALINE</v>
      </c>
      <c r="B1421" s="266">
        <f>IFERROR(__xludf.DUMMYFUNCTION("""COMPUTED_VALUE"""),45418.0)</f>
        <v>45418</v>
      </c>
      <c r="C1421" s="266" t="str">
        <f>IFERROR(__xludf.DUMMYFUNCTION("""COMPUTED_VALUE"""),"KERTASARI CIAMIS")</f>
        <v>KERTASARI CIAMIS</v>
      </c>
      <c r="D1421" s="186">
        <f>IFERROR(__xludf.DUMMYFUNCTION("""COMPUTED_VALUE"""),18.0)</f>
        <v>18</v>
      </c>
    </row>
    <row r="1422">
      <c r="A1422" s="178" t="str">
        <f>IFERROR(__xludf.DUMMYFUNCTION("""COMPUTED_VALUE"""),"ITBISA-ABC-BATERAI-AA-ALKALINE")</f>
        <v>ITBISA-ABC-BATERAI-AA-ALKALINE</v>
      </c>
      <c r="B1422" s="266">
        <f>IFERROR(__xludf.DUMMYFUNCTION("""COMPUTED_VALUE"""),45419.0)</f>
        <v>45419</v>
      </c>
      <c r="C1422" s="266" t="str">
        <f>IFERROR(__xludf.DUMMYFUNCTION("""COMPUTED_VALUE"""),"KERTASARI CIAMIS")</f>
        <v>KERTASARI CIAMIS</v>
      </c>
      <c r="D1422" s="186">
        <f>IFERROR(__xludf.DUMMYFUNCTION("""COMPUTED_VALUE"""),6.0)</f>
        <v>6</v>
      </c>
    </row>
    <row r="1423">
      <c r="A1423" s="178" t="str">
        <f>IFERROR(__xludf.DUMMYFUNCTION("""COMPUTED_VALUE"""),"ITBISA-ABC-BATERAI-AA-ALKALINE")</f>
        <v>ITBISA-ABC-BATERAI-AA-ALKALINE</v>
      </c>
      <c r="B1423" s="266">
        <f>IFERROR(__xludf.DUMMYFUNCTION("""COMPUTED_VALUE"""),45419.0)</f>
        <v>45419</v>
      </c>
      <c r="C1423" s="266" t="str">
        <f>IFERROR(__xludf.DUMMYFUNCTION("""COMPUTED_VALUE"""),"KYAI KONTONG")</f>
        <v>KYAI KONTONG</v>
      </c>
      <c r="D1423" s="186">
        <f>IFERROR(__xludf.DUMMYFUNCTION("""COMPUTED_VALUE"""),6.0)</f>
        <v>6</v>
      </c>
    </row>
    <row r="1424">
      <c r="A1424" s="178" t="str">
        <f>IFERROR(__xludf.DUMMYFUNCTION("""COMPUTED_VALUE"""),"ITBISA-ABC-BATERAI-AA-ALKALINE")</f>
        <v>ITBISA-ABC-BATERAI-AA-ALKALINE</v>
      </c>
      <c r="B1424" s="266">
        <f>IFERROR(__xludf.DUMMYFUNCTION("""COMPUTED_VALUE"""),45421.0)</f>
        <v>45421</v>
      </c>
      <c r="C1424" s="266" t="str">
        <f>IFERROR(__xludf.DUMMYFUNCTION("""COMPUTED_VALUE"""),"KYAI KONTONG")</f>
        <v>KYAI KONTONG</v>
      </c>
      <c r="D1424" s="186">
        <f>IFERROR(__xludf.DUMMYFUNCTION("""COMPUTED_VALUE"""),12.0)</f>
        <v>12</v>
      </c>
    </row>
    <row r="1425">
      <c r="A1425" s="178" t="str">
        <f>IFERROR(__xludf.DUMMYFUNCTION("""COMPUTED_VALUE"""),"ITBISA-ABC-BATERAI-AA-ALKALINE")</f>
        <v>ITBISA-ABC-BATERAI-AA-ALKALINE</v>
      </c>
      <c r="B1425" s="266">
        <f>IFERROR(__xludf.DUMMYFUNCTION("""COMPUTED_VALUE"""),45424.0)</f>
        <v>45424</v>
      </c>
      <c r="C1425" s="266" t="str">
        <f>IFERROR(__xludf.DUMMYFUNCTION("""COMPUTED_VALUE"""),"KERTASARI CIAMIS")</f>
        <v>KERTASARI CIAMIS</v>
      </c>
      <c r="D1425" s="186">
        <f>IFERROR(__xludf.DUMMYFUNCTION("""COMPUTED_VALUE"""),6.0)</f>
        <v>6</v>
      </c>
    </row>
    <row r="1426">
      <c r="A1426" s="178" t="str">
        <f>IFERROR(__xludf.DUMMYFUNCTION("""COMPUTED_VALUE"""),"ITBISA-ABC-BATERAI-AA-ALKALINE")</f>
        <v>ITBISA-ABC-BATERAI-AA-ALKALINE</v>
      </c>
      <c r="B1426" s="266">
        <f>IFERROR(__xludf.DUMMYFUNCTION("""COMPUTED_VALUE"""),45424.0)</f>
        <v>45424</v>
      </c>
      <c r="C1426" s="266" t="str">
        <f>IFERROR(__xludf.DUMMYFUNCTION("""COMPUTED_VALUE"""),"KYAI KONTONG")</f>
        <v>KYAI KONTONG</v>
      </c>
      <c r="D1426" s="186">
        <f>IFERROR(__xludf.DUMMYFUNCTION("""COMPUTED_VALUE"""),6.0)</f>
        <v>6</v>
      </c>
    </row>
    <row r="1427">
      <c r="A1427" s="178" t="str">
        <f>IFERROR(__xludf.DUMMYFUNCTION("""COMPUTED_VALUE"""),"ITBISA-ABC-BATERAI-AA-ALKALINE")</f>
        <v>ITBISA-ABC-BATERAI-AA-ALKALINE</v>
      </c>
      <c r="B1427" s="266">
        <f>IFERROR(__xludf.DUMMYFUNCTION("""COMPUTED_VALUE"""),45425.0)</f>
        <v>45425</v>
      </c>
      <c r="C1427" s="266" t="str">
        <f>IFERROR(__xludf.DUMMYFUNCTION("""COMPUTED_VALUE"""),"KYAI KONTONG")</f>
        <v>KYAI KONTONG</v>
      </c>
      <c r="D1427" s="186">
        <f>IFERROR(__xludf.DUMMYFUNCTION("""COMPUTED_VALUE"""),6.0)</f>
        <v>6</v>
      </c>
    </row>
    <row r="1428">
      <c r="A1428" s="178" t="str">
        <f>IFERROR(__xludf.DUMMYFUNCTION("""COMPUTED_VALUE"""),"ITBISA-ABC-BATERAI-AA-ALKALINE")</f>
        <v>ITBISA-ABC-BATERAI-AA-ALKALINE</v>
      </c>
      <c r="B1428" s="266">
        <f>IFERROR(__xludf.DUMMYFUNCTION("""COMPUTED_VALUE"""),45426.0)</f>
        <v>45426</v>
      </c>
      <c r="C1428" s="266" t="str">
        <f>IFERROR(__xludf.DUMMYFUNCTION("""COMPUTED_VALUE"""),"KYAI KONTONG")</f>
        <v>KYAI KONTONG</v>
      </c>
      <c r="D1428" s="186">
        <f>IFERROR(__xludf.DUMMYFUNCTION("""COMPUTED_VALUE"""),18.0)</f>
        <v>18</v>
      </c>
    </row>
    <row r="1429">
      <c r="A1429" s="178" t="str">
        <f>IFERROR(__xludf.DUMMYFUNCTION("""COMPUTED_VALUE"""),"ITBISA-ABC-BATERAI-AA-ALKALINE")</f>
        <v>ITBISA-ABC-BATERAI-AA-ALKALINE</v>
      </c>
      <c r="B1429" s="266">
        <f>IFERROR(__xludf.DUMMYFUNCTION("""COMPUTED_VALUE"""),45429.0)</f>
        <v>45429</v>
      </c>
      <c r="C1429" s="266" t="str">
        <f>IFERROR(__xludf.DUMMYFUNCTION("""COMPUTED_VALUE"""),"KERTASARI CIAMIS")</f>
        <v>KERTASARI CIAMIS</v>
      </c>
      <c r="D1429" s="186">
        <f>IFERROR(__xludf.DUMMYFUNCTION("""COMPUTED_VALUE"""),12.0)</f>
        <v>12</v>
      </c>
    </row>
    <row r="1430">
      <c r="A1430" s="178" t="str">
        <f>IFERROR(__xludf.DUMMYFUNCTION("""COMPUTED_VALUE"""),"ITBISA-ABC-BATERAI-AA-ALKALINE")</f>
        <v>ITBISA-ABC-BATERAI-AA-ALKALINE</v>
      </c>
      <c r="B1430" s="266">
        <f>IFERROR(__xludf.DUMMYFUNCTION("""COMPUTED_VALUE"""),45432.0)</f>
        <v>45432</v>
      </c>
      <c r="C1430" s="266" t="str">
        <f>IFERROR(__xludf.DUMMYFUNCTION("""COMPUTED_VALUE"""),"KERTASARI CIAMIS")</f>
        <v>KERTASARI CIAMIS</v>
      </c>
      <c r="D1430" s="186">
        <f>IFERROR(__xludf.DUMMYFUNCTION("""COMPUTED_VALUE"""),12.0)</f>
        <v>12</v>
      </c>
    </row>
    <row r="1431">
      <c r="A1431" s="178" t="str">
        <f>IFERROR(__xludf.DUMMYFUNCTION("""COMPUTED_VALUE"""),"ITBISA-ABC-BATERAI-AA-ALKALINE")</f>
        <v>ITBISA-ABC-BATERAI-AA-ALKALINE</v>
      </c>
      <c r="B1431" s="266">
        <f>IFERROR(__xludf.DUMMYFUNCTION("""COMPUTED_VALUE"""),45432.0)</f>
        <v>45432</v>
      </c>
      <c r="C1431" s="266" t="str">
        <f>IFERROR(__xludf.DUMMYFUNCTION("""COMPUTED_VALUE"""),"KYAI KONTONG")</f>
        <v>KYAI KONTONG</v>
      </c>
      <c r="D1431" s="186">
        <f>IFERROR(__xludf.DUMMYFUNCTION("""COMPUTED_VALUE"""),6.0)</f>
        <v>6</v>
      </c>
    </row>
    <row r="1432">
      <c r="A1432" s="178" t="str">
        <f>IFERROR(__xludf.DUMMYFUNCTION("""COMPUTED_VALUE"""),"ITBISA-ABC-BATERAI-AA-ALKALINE")</f>
        <v>ITBISA-ABC-BATERAI-AA-ALKALINE</v>
      </c>
      <c r="B1432" s="266">
        <f>IFERROR(__xludf.DUMMYFUNCTION("""COMPUTED_VALUE"""),45433.0)</f>
        <v>45433</v>
      </c>
      <c r="C1432" s="266" t="str">
        <f>IFERROR(__xludf.DUMMYFUNCTION("""COMPUTED_VALUE"""),"KERTASARI CIAMIS")</f>
        <v>KERTASARI CIAMIS</v>
      </c>
      <c r="D1432" s="186">
        <f>IFERROR(__xludf.DUMMYFUNCTION("""COMPUTED_VALUE"""),6.0)</f>
        <v>6</v>
      </c>
    </row>
    <row r="1433">
      <c r="A1433" s="178" t="str">
        <f>IFERROR(__xludf.DUMMYFUNCTION("""COMPUTED_VALUE"""),"ITBISA-ABC-BATERAI-AA-ALKALINE")</f>
        <v>ITBISA-ABC-BATERAI-AA-ALKALINE</v>
      </c>
      <c r="B1433" s="266">
        <f>IFERROR(__xludf.DUMMYFUNCTION("""COMPUTED_VALUE"""),45434.0)</f>
        <v>45434</v>
      </c>
      <c r="C1433" s="266" t="str">
        <f>IFERROR(__xludf.DUMMYFUNCTION("""COMPUTED_VALUE"""),"KERTASARI CIAMIS")</f>
        <v>KERTASARI CIAMIS</v>
      </c>
      <c r="D1433" s="186">
        <f>IFERROR(__xludf.DUMMYFUNCTION("""COMPUTED_VALUE"""),18.0)</f>
        <v>18</v>
      </c>
    </row>
    <row r="1434">
      <c r="A1434" s="178" t="str">
        <f>IFERROR(__xludf.DUMMYFUNCTION("""COMPUTED_VALUE"""),"ITBISA-ABC-BATERAI-AA-ALKALINE")</f>
        <v>ITBISA-ABC-BATERAI-AA-ALKALINE</v>
      </c>
      <c r="B1434" s="266">
        <f>IFERROR(__xludf.DUMMYFUNCTION("""COMPUTED_VALUE"""),45434.0)</f>
        <v>45434</v>
      </c>
      <c r="C1434" s="266" t="str">
        <f>IFERROR(__xludf.DUMMYFUNCTION("""COMPUTED_VALUE"""),"KYAI KONTONG")</f>
        <v>KYAI KONTONG</v>
      </c>
      <c r="D1434" s="186">
        <f>IFERROR(__xludf.DUMMYFUNCTION("""COMPUTED_VALUE"""),24.0)</f>
        <v>24</v>
      </c>
    </row>
    <row r="1435">
      <c r="A1435" s="178" t="str">
        <f>IFERROR(__xludf.DUMMYFUNCTION("""COMPUTED_VALUE"""),"ITBISA-ABC-BATERAI-AA-ALKALINE")</f>
        <v>ITBISA-ABC-BATERAI-AA-ALKALINE</v>
      </c>
      <c r="B1435" s="266">
        <f>IFERROR(__xludf.DUMMYFUNCTION("""COMPUTED_VALUE"""),45435.0)</f>
        <v>45435</v>
      </c>
      <c r="C1435" s="266" t="str">
        <f>IFERROR(__xludf.DUMMYFUNCTION("""COMPUTED_VALUE"""),"KYAI KONTONG")</f>
        <v>KYAI KONTONG</v>
      </c>
      <c r="D1435" s="186">
        <f>IFERROR(__xludf.DUMMYFUNCTION("""COMPUTED_VALUE"""),18.0)</f>
        <v>18</v>
      </c>
    </row>
    <row r="1436">
      <c r="A1436" s="178" t="str">
        <f>IFERROR(__xludf.DUMMYFUNCTION("""COMPUTED_VALUE"""),"ITBISA-ABC-BATERAI-AA-ALKALINE")</f>
        <v>ITBISA-ABC-BATERAI-AA-ALKALINE</v>
      </c>
      <c r="B1436" s="266">
        <f>IFERROR(__xludf.DUMMYFUNCTION("""COMPUTED_VALUE"""),45437.0)</f>
        <v>45437</v>
      </c>
      <c r="C1436" s="266" t="str">
        <f>IFERROR(__xludf.DUMMYFUNCTION("""COMPUTED_VALUE"""),"KERTASARI CIAMIS")</f>
        <v>KERTASARI CIAMIS</v>
      </c>
      <c r="D1436" s="186">
        <f>IFERROR(__xludf.DUMMYFUNCTION("""COMPUTED_VALUE"""),6.0)</f>
        <v>6</v>
      </c>
    </row>
    <row r="1437">
      <c r="A1437" s="178" t="str">
        <f>IFERROR(__xludf.DUMMYFUNCTION("""COMPUTED_VALUE"""),"ITBISA-ABC-BATERAI-AA-ALKALINE")</f>
        <v>ITBISA-ABC-BATERAI-AA-ALKALINE</v>
      </c>
      <c r="B1437" s="266">
        <f>IFERROR(__xludf.DUMMYFUNCTION("""COMPUTED_VALUE"""),45437.0)</f>
        <v>45437</v>
      </c>
      <c r="C1437" s="266" t="str">
        <f>IFERROR(__xludf.DUMMYFUNCTION("""COMPUTED_VALUE"""),"KYAI KONTONG")</f>
        <v>KYAI KONTONG</v>
      </c>
      <c r="D1437" s="186">
        <f>IFERROR(__xludf.DUMMYFUNCTION("""COMPUTED_VALUE"""),12.0)</f>
        <v>12</v>
      </c>
    </row>
    <row r="1438">
      <c r="A1438" s="178" t="str">
        <f>IFERROR(__xludf.DUMMYFUNCTION("""COMPUTED_VALUE"""),"ITBISA-ABC-BATERAI-AA-ALKALINE")</f>
        <v>ITBISA-ABC-BATERAI-AA-ALKALINE</v>
      </c>
      <c r="B1438" s="266">
        <f>IFERROR(__xludf.DUMMYFUNCTION("""COMPUTED_VALUE"""),45437.0)</f>
        <v>45437</v>
      </c>
      <c r="C1438" s="266" t="str">
        <f>IFERROR(__xludf.DUMMYFUNCTION("""COMPUTED_VALUE"""),"KYAI KONTONG")</f>
        <v>KYAI KONTONG</v>
      </c>
      <c r="D1438" s="186">
        <f>IFERROR(__xludf.DUMMYFUNCTION("""COMPUTED_VALUE"""),30.0)</f>
        <v>30</v>
      </c>
    </row>
    <row r="1439">
      <c r="A1439" s="178" t="str">
        <f>IFERROR(__xludf.DUMMYFUNCTION("""COMPUTED_VALUE"""),"ITBISA-ABC-BATERAI-AA-ALKALINE")</f>
        <v>ITBISA-ABC-BATERAI-AA-ALKALINE</v>
      </c>
      <c r="B1439" s="266">
        <f>IFERROR(__xludf.DUMMYFUNCTION("""COMPUTED_VALUE"""),45438.0)</f>
        <v>45438</v>
      </c>
      <c r="C1439" s="266" t="str">
        <f>IFERROR(__xludf.DUMMYFUNCTION("""COMPUTED_VALUE"""),"KYAI KONTONG")</f>
        <v>KYAI KONTONG</v>
      </c>
      <c r="D1439" s="186">
        <f>IFERROR(__xludf.DUMMYFUNCTION("""COMPUTED_VALUE"""),6.0)</f>
        <v>6</v>
      </c>
    </row>
    <row r="1440">
      <c r="A1440" s="178" t="str">
        <f>IFERROR(__xludf.DUMMYFUNCTION("""COMPUTED_VALUE"""),"ITBISA-ABC-BATERAI-AA-ALKALINE")</f>
        <v>ITBISA-ABC-BATERAI-AA-ALKALINE</v>
      </c>
      <c r="B1440" s="266">
        <f>IFERROR(__xludf.DUMMYFUNCTION("""COMPUTED_VALUE"""),45439.0)</f>
        <v>45439</v>
      </c>
      <c r="C1440" s="266" t="str">
        <f>IFERROR(__xludf.DUMMYFUNCTION("""COMPUTED_VALUE"""),"KERTASARI CIAMIS")</f>
        <v>KERTASARI CIAMIS</v>
      </c>
      <c r="D1440" s="186">
        <f>IFERROR(__xludf.DUMMYFUNCTION("""COMPUTED_VALUE"""),6.0)</f>
        <v>6</v>
      </c>
    </row>
    <row r="1441">
      <c r="A1441" s="178" t="str">
        <f>IFERROR(__xludf.DUMMYFUNCTION("""COMPUTED_VALUE"""),"ITBISA-ABC-BATERAI-AA-ALKALINE")</f>
        <v>ITBISA-ABC-BATERAI-AA-ALKALINE</v>
      </c>
      <c r="B1441" s="266">
        <f>IFERROR(__xludf.DUMMYFUNCTION("""COMPUTED_VALUE"""),45439.0)</f>
        <v>45439</v>
      </c>
      <c r="C1441" s="266" t="str">
        <f>IFERROR(__xludf.DUMMYFUNCTION("""COMPUTED_VALUE"""),"KYAI KONTONG")</f>
        <v>KYAI KONTONG</v>
      </c>
      <c r="D1441" s="186">
        <f>IFERROR(__xludf.DUMMYFUNCTION("""COMPUTED_VALUE"""),6.0)</f>
        <v>6</v>
      </c>
    </row>
    <row r="1442">
      <c r="A1442" s="178" t="str">
        <f>IFERROR(__xludf.DUMMYFUNCTION("""COMPUTED_VALUE"""),"ITBISA-ABC-BATERAI-AA-ALKALINE")</f>
        <v>ITBISA-ABC-BATERAI-AA-ALKALINE</v>
      </c>
      <c r="B1442" s="266">
        <f>IFERROR(__xludf.DUMMYFUNCTION("""COMPUTED_VALUE"""),45440.0)</f>
        <v>45440</v>
      </c>
      <c r="C1442" s="266" t="str">
        <f>IFERROR(__xludf.DUMMYFUNCTION("""COMPUTED_VALUE"""),"KYAI KONTONG")</f>
        <v>KYAI KONTONG</v>
      </c>
      <c r="D1442" s="186">
        <f>IFERROR(__xludf.DUMMYFUNCTION("""COMPUTED_VALUE"""),6.0)</f>
        <v>6</v>
      </c>
    </row>
    <row r="1443">
      <c r="A1443" s="178" t="str">
        <f>IFERROR(__xludf.DUMMYFUNCTION("""COMPUTED_VALUE"""),"ITBISA-ABC-BATERAI-AA-ALKALINE")</f>
        <v>ITBISA-ABC-BATERAI-AA-ALKALINE</v>
      </c>
      <c r="B1443" s="266">
        <f>IFERROR(__xludf.DUMMYFUNCTION("""COMPUTED_VALUE"""),45440.0)</f>
        <v>45440</v>
      </c>
      <c r="C1443" s="266" t="str">
        <f>IFERROR(__xludf.DUMMYFUNCTION("""COMPUTED_VALUE"""),"KYAI KONTONG")</f>
        <v>KYAI KONTONG</v>
      </c>
      <c r="D1443" s="186">
        <f>IFERROR(__xludf.DUMMYFUNCTION("""COMPUTED_VALUE"""),378.0)</f>
        <v>378</v>
      </c>
    </row>
    <row r="1444">
      <c r="A1444" s="178" t="str">
        <f>IFERROR(__xludf.DUMMYFUNCTION("""COMPUTED_VALUE"""),"ITBISA-ABC-BATERAI-AA-ALKALINE")</f>
        <v>ITBISA-ABC-BATERAI-AA-ALKALINE</v>
      </c>
      <c r="B1444" s="266">
        <f>IFERROR(__xludf.DUMMYFUNCTION("""COMPUTED_VALUE"""),45441.0)</f>
        <v>45441</v>
      </c>
      <c r="C1444" s="266" t="str">
        <f>IFERROR(__xludf.DUMMYFUNCTION("""COMPUTED_VALUE"""),"KYAI KONTONG")</f>
        <v>KYAI KONTONG</v>
      </c>
      <c r="D1444" s="186">
        <f>IFERROR(__xludf.DUMMYFUNCTION("""COMPUTED_VALUE"""),6.0)</f>
        <v>6</v>
      </c>
    </row>
    <row r="1445">
      <c r="A1445" s="178" t="str">
        <f>IFERROR(__xludf.DUMMYFUNCTION("""COMPUTED_VALUE"""),"ITBISA-ABC-BATERAI-AA-ALKALINE")</f>
        <v>ITBISA-ABC-BATERAI-AA-ALKALINE</v>
      </c>
      <c r="B1445" s="266">
        <f>IFERROR(__xludf.DUMMYFUNCTION("""COMPUTED_VALUE"""),45441.0)</f>
        <v>45441</v>
      </c>
      <c r="C1445" s="266" t="str">
        <f>IFERROR(__xludf.DUMMYFUNCTION("""COMPUTED_VALUE"""),"KYAI KONTONG")</f>
        <v>KYAI KONTONG</v>
      </c>
      <c r="D1445" s="186">
        <f>IFERROR(__xludf.DUMMYFUNCTION("""COMPUTED_VALUE"""),120.0)</f>
        <v>120</v>
      </c>
    </row>
    <row r="1446">
      <c r="A1446" s="178" t="str">
        <f>IFERROR(__xludf.DUMMYFUNCTION("""COMPUTED_VALUE"""),"ITBISA-ABC-BATERAI-AA-ALKALINE")</f>
        <v>ITBISA-ABC-BATERAI-AA-ALKALINE</v>
      </c>
      <c r="B1446" s="266">
        <f>IFERROR(__xludf.DUMMYFUNCTION("""COMPUTED_VALUE"""),45441.0)</f>
        <v>45441</v>
      </c>
      <c r="C1446" s="266" t="str">
        <f>IFERROR(__xludf.DUMMYFUNCTION("""COMPUTED_VALUE"""),"KYAI KONTONG")</f>
        <v>KYAI KONTONG</v>
      </c>
      <c r="D1446" s="186">
        <f>IFERROR(__xludf.DUMMYFUNCTION("""COMPUTED_VALUE"""),1500.0)</f>
        <v>1500</v>
      </c>
    </row>
    <row r="1447">
      <c r="A1447" s="178" t="str">
        <f>IFERROR(__xludf.DUMMYFUNCTION("""COMPUTED_VALUE"""),"ITBISA-ABC-BATERAI-AA-ALKALINE")</f>
        <v>ITBISA-ABC-BATERAI-AA-ALKALINE</v>
      </c>
      <c r="B1447" s="266">
        <f>IFERROR(__xludf.DUMMYFUNCTION("""COMPUTED_VALUE"""),45444.0)</f>
        <v>45444</v>
      </c>
      <c r="C1447" s="266" t="str">
        <f>IFERROR(__xludf.DUMMYFUNCTION("""COMPUTED_VALUE"""),"KYAI KONTONG")</f>
        <v>KYAI KONTONG</v>
      </c>
      <c r="D1447" s="186">
        <f>IFERROR(__xludf.DUMMYFUNCTION("""COMPUTED_VALUE"""),6.0)</f>
        <v>6</v>
      </c>
    </row>
    <row r="1448">
      <c r="A1448" s="178" t="str">
        <f>IFERROR(__xludf.DUMMYFUNCTION("""COMPUTED_VALUE"""),"ITBISA-ABC-BATERAI-AA-ALKALINE")</f>
        <v>ITBISA-ABC-BATERAI-AA-ALKALINE</v>
      </c>
      <c r="B1448" s="266">
        <f>IFERROR(__xludf.DUMMYFUNCTION("""COMPUTED_VALUE"""),45447.0)</f>
        <v>45447</v>
      </c>
      <c r="C1448" s="266" t="str">
        <f>IFERROR(__xludf.DUMMYFUNCTION("""COMPUTED_VALUE"""),"KERTASARI CIAMIS")</f>
        <v>KERTASARI CIAMIS</v>
      </c>
      <c r="D1448" s="186">
        <f>IFERROR(__xludf.DUMMYFUNCTION("""COMPUTED_VALUE"""),3.0)</f>
        <v>3</v>
      </c>
    </row>
    <row r="1449">
      <c r="A1449" s="178" t="str">
        <f>IFERROR(__xludf.DUMMYFUNCTION("""COMPUTED_VALUE"""),"ITBISA-ABC-BATERAI-AA-ALKALINE")</f>
        <v>ITBISA-ABC-BATERAI-AA-ALKALINE</v>
      </c>
      <c r="B1449" s="266">
        <f>IFERROR(__xludf.DUMMYFUNCTION("""COMPUTED_VALUE"""),45447.0)</f>
        <v>45447</v>
      </c>
      <c r="C1449" s="266" t="str">
        <f>IFERROR(__xludf.DUMMYFUNCTION("""COMPUTED_VALUE"""),"KERTASARI CIAMIS")</f>
        <v>KERTASARI CIAMIS</v>
      </c>
      <c r="D1449" s="186">
        <f>IFERROR(__xludf.DUMMYFUNCTION("""COMPUTED_VALUE"""),6.0)</f>
        <v>6</v>
      </c>
    </row>
    <row r="1450">
      <c r="A1450" s="178" t="str">
        <f>IFERROR(__xludf.DUMMYFUNCTION("""COMPUTED_VALUE"""),"ITBISA-ABC-BATERAI-AA-ALKALINE")</f>
        <v>ITBISA-ABC-BATERAI-AA-ALKALINE</v>
      </c>
      <c r="B1450" s="266">
        <f>IFERROR(__xludf.DUMMYFUNCTION("""COMPUTED_VALUE"""),45447.0)</f>
        <v>45447</v>
      </c>
      <c r="C1450" s="266" t="str">
        <f>IFERROR(__xludf.DUMMYFUNCTION("""COMPUTED_VALUE"""),"KYAI KONTONG")</f>
        <v>KYAI KONTONG</v>
      </c>
      <c r="D1450" s="186">
        <f>IFERROR(__xludf.DUMMYFUNCTION("""COMPUTED_VALUE"""),1.0)</f>
        <v>1</v>
      </c>
    </row>
    <row r="1451">
      <c r="A1451" s="178" t="str">
        <f>IFERROR(__xludf.DUMMYFUNCTION("""COMPUTED_VALUE"""),"ITBISA-ABC-BATERAI-AA-ALKALINE")</f>
        <v>ITBISA-ABC-BATERAI-AA-ALKALINE</v>
      </c>
      <c r="B1451" s="266">
        <f>IFERROR(__xludf.DUMMYFUNCTION("""COMPUTED_VALUE"""),45447.0)</f>
        <v>45447</v>
      </c>
      <c r="C1451" s="266" t="str">
        <f>IFERROR(__xludf.DUMMYFUNCTION("""COMPUTED_VALUE"""),"KYAI KONTONG")</f>
        <v>KYAI KONTONG</v>
      </c>
      <c r="D1451" s="186">
        <f>IFERROR(__xludf.DUMMYFUNCTION("""COMPUTED_VALUE"""),12.0)</f>
        <v>12</v>
      </c>
    </row>
    <row r="1452">
      <c r="A1452" s="178" t="str">
        <f>IFERROR(__xludf.DUMMYFUNCTION("""COMPUTED_VALUE"""),"ITBISA-ABC-BATERAI-AA-ALKALINE")</f>
        <v>ITBISA-ABC-BATERAI-AA-ALKALINE</v>
      </c>
      <c r="B1452" s="266">
        <f>IFERROR(__xludf.DUMMYFUNCTION("""COMPUTED_VALUE"""),45449.0)</f>
        <v>45449</v>
      </c>
      <c r="C1452" s="266" t="str">
        <f>IFERROR(__xludf.DUMMYFUNCTION("""COMPUTED_VALUE"""),"KYAI KONTONG")</f>
        <v>KYAI KONTONG</v>
      </c>
      <c r="D1452" s="186">
        <f>IFERROR(__xludf.DUMMYFUNCTION("""COMPUTED_VALUE"""),2.0)</f>
        <v>2</v>
      </c>
    </row>
    <row r="1453">
      <c r="A1453" s="178" t="str">
        <f>IFERROR(__xludf.DUMMYFUNCTION("""COMPUTED_VALUE"""),"ITBISA-ABC-BATERAI-AA-ALKALINE")</f>
        <v>ITBISA-ABC-BATERAI-AA-ALKALINE</v>
      </c>
      <c r="B1453" s="266">
        <f>IFERROR(__xludf.DUMMYFUNCTION("""COMPUTED_VALUE"""),45449.0)</f>
        <v>45449</v>
      </c>
      <c r="C1453" s="266" t="str">
        <f>IFERROR(__xludf.DUMMYFUNCTION("""COMPUTED_VALUE"""),"KYAI KONTONG")</f>
        <v>KYAI KONTONG</v>
      </c>
      <c r="D1453" s="186">
        <f>IFERROR(__xludf.DUMMYFUNCTION("""COMPUTED_VALUE"""),6.0)</f>
        <v>6</v>
      </c>
    </row>
    <row r="1454">
      <c r="A1454" s="178" t="str">
        <f>IFERROR(__xludf.DUMMYFUNCTION("""COMPUTED_VALUE"""),"ITBISA-ABC-BATERAI-AA-ALKALINE")</f>
        <v>ITBISA-ABC-BATERAI-AA-ALKALINE</v>
      </c>
      <c r="B1454" s="266">
        <f>IFERROR(__xludf.DUMMYFUNCTION("""COMPUTED_VALUE"""),45449.0)</f>
        <v>45449</v>
      </c>
      <c r="C1454" s="266" t="str">
        <f>IFERROR(__xludf.DUMMYFUNCTION("""COMPUTED_VALUE"""),"KYAI KONTONG")</f>
        <v>KYAI KONTONG</v>
      </c>
      <c r="D1454" s="186">
        <f>IFERROR(__xludf.DUMMYFUNCTION("""COMPUTED_VALUE"""),12.0)</f>
        <v>12</v>
      </c>
    </row>
    <row r="1455">
      <c r="A1455" s="178" t="str">
        <f>IFERROR(__xludf.DUMMYFUNCTION("""COMPUTED_VALUE"""),"ITBISA-ABC-BATERAI-AA-ALKALINE")</f>
        <v>ITBISA-ABC-BATERAI-AA-ALKALINE</v>
      </c>
      <c r="B1455" s="266">
        <f>IFERROR(__xludf.DUMMYFUNCTION("""COMPUTED_VALUE"""),45449.0)</f>
        <v>45449</v>
      </c>
      <c r="C1455" s="266" t="str">
        <f>IFERROR(__xludf.DUMMYFUNCTION("""COMPUTED_VALUE"""),"KYAI KONTONG")</f>
        <v>KYAI KONTONG</v>
      </c>
      <c r="D1455" s="186">
        <f>IFERROR(__xludf.DUMMYFUNCTION("""COMPUTED_VALUE"""),12.0)</f>
        <v>12</v>
      </c>
    </row>
    <row r="1456">
      <c r="A1456" s="178" t="str">
        <f>IFERROR(__xludf.DUMMYFUNCTION("""COMPUTED_VALUE"""),"ITBISA-ABC-BATERAI-AA-ALKALINE")</f>
        <v>ITBISA-ABC-BATERAI-AA-ALKALINE</v>
      </c>
      <c r="B1456" s="266">
        <f>IFERROR(__xludf.DUMMYFUNCTION("""COMPUTED_VALUE"""),45450.0)</f>
        <v>45450</v>
      </c>
      <c r="C1456" s="266" t="str">
        <f>IFERROR(__xludf.DUMMYFUNCTION("""COMPUTED_VALUE"""),"KYAI KONTONG")</f>
        <v>KYAI KONTONG</v>
      </c>
      <c r="D1456" s="186">
        <f>IFERROR(__xludf.DUMMYFUNCTION("""COMPUTED_VALUE"""),6.0)</f>
        <v>6</v>
      </c>
    </row>
    <row r="1457">
      <c r="A1457" s="178" t="str">
        <f>IFERROR(__xludf.DUMMYFUNCTION("""COMPUTED_VALUE"""),"ITBISA-ABC-BATERAI-AA-ALKALINE")</f>
        <v>ITBISA-ABC-BATERAI-AA-ALKALINE</v>
      </c>
      <c r="B1457" s="266">
        <f>IFERROR(__xludf.DUMMYFUNCTION("""COMPUTED_VALUE"""),45450.0)</f>
        <v>45450</v>
      </c>
      <c r="C1457" s="266" t="str">
        <f>IFERROR(__xludf.DUMMYFUNCTION("""COMPUTED_VALUE"""),"KYAI KONTONG")</f>
        <v>KYAI KONTONG</v>
      </c>
      <c r="D1457" s="186">
        <f>IFERROR(__xludf.DUMMYFUNCTION("""COMPUTED_VALUE"""),6.0)</f>
        <v>6</v>
      </c>
    </row>
    <row r="1458">
      <c r="A1458" s="178" t="str">
        <f>IFERROR(__xludf.DUMMYFUNCTION("""COMPUTED_VALUE"""),"ITBISA-ABC-BATERAI-AA-ALKALINE")</f>
        <v>ITBISA-ABC-BATERAI-AA-ALKALINE</v>
      </c>
      <c r="B1458" s="266">
        <f>IFERROR(__xludf.DUMMYFUNCTION("""COMPUTED_VALUE"""),45451.0)</f>
        <v>45451</v>
      </c>
      <c r="C1458" s="266" t="str">
        <f>IFERROR(__xludf.DUMMYFUNCTION("""COMPUTED_VALUE"""),"KYAI KONTONG")</f>
        <v>KYAI KONTONG</v>
      </c>
      <c r="D1458" s="186">
        <f>IFERROR(__xludf.DUMMYFUNCTION("""COMPUTED_VALUE"""),48.0)</f>
        <v>48</v>
      </c>
    </row>
    <row r="1459">
      <c r="A1459" s="178" t="str">
        <f>IFERROR(__xludf.DUMMYFUNCTION("""COMPUTED_VALUE"""),"ITBISA-ABC-BATERAI-AA-ALKALINE")</f>
        <v>ITBISA-ABC-BATERAI-AA-ALKALINE</v>
      </c>
      <c r="B1459" s="266">
        <f>IFERROR(__xludf.DUMMYFUNCTION("""COMPUTED_VALUE"""),45452.0)</f>
        <v>45452</v>
      </c>
      <c r="C1459" s="266" t="str">
        <f>IFERROR(__xludf.DUMMYFUNCTION("""COMPUTED_VALUE"""),"KYAI KONTONG")</f>
        <v>KYAI KONTONG</v>
      </c>
      <c r="D1459" s="186">
        <f>IFERROR(__xludf.DUMMYFUNCTION("""COMPUTED_VALUE"""),8.0)</f>
        <v>8</v>
      </c>
    </row>
    <row r="1460">
      <c r="A1460" s="178" t="str">
        <f>IFERROR(__xludf.DUMMYFUNCTION("""COMPUTED_VALUE"""),"ITBISA-ABC-BATERAI-AA-ALKALINE")</f>
        <v>ITBISA-ABC-BATERAI-AA-ALKALINE</v>
      </c>
      <c r="B1460" s="266">
        <f>IFERROR(__xludf.DUMMYFUNCTION("""COMPUTED_VALUE"""),45453.0)</f>
        <v>45453</v>
      </c>
      <c r="C1460" s="266" t="str">
        <f>IFERROR(__xludf.DUMMYFUNCTION("""COMPUTED_VALUE"""),"KYAI KONTONG")</f>
        <v>KYAI KONTONG</v>
      </c>
      <c r="D1460" s="186">
        <f>IFERROR(__xludf.DUMMYFUNCTION("""COMPUTED_VALUE"""),12.0)</f>
        <v>12</v>
      </c>
    </row>
    <row r="1461">
      <c r="A1461" s="178" t="str">
        <f>IFERROR(__xludf.DUMMYFUNCTION("""COMPUTED_VALUE"""),"ITBISA-ABC-BATERAI-AA-ALKALINE")</f>
        <v>ITBISA-ABC-BATERAI-AA-ALKALINE</v>
      </c>
      <c r="B1461" s="266">
        <f>IFERROR(__xludf.DUMMYFUNCTION("""COMPUTED_VALUE"""),45454.0)</f>
        <v>45454</v>
      </c>
      <c r="C1461" s="266" t="str">
        <f>IFERROR(__xludf.DUMMYFUNCTION("""COMPUTED_VALUE"""),"KYAI KONTONG")</f>
        <v>KYAI KONTONG</v>
      </c>
      <c r="D1461" s="186">
        <f>IFERROR(__xludf.DUMMYFUNCTION("""COMPUTED_VALUE"""),30.0)</f>
        <v>30</v>
      </c>
    </row>
    <row r="1462">
      <c r="A1462" s="178" t="str">
        <f>IFERROR(__xludf.DUMMYFUNCTION("""COMPUTED_VALUE"""),"ITBISA-ABC-BATERAI-AA-ALKALINE")</f>
        <v>ITBISA-ABC-BATERAI-AA-ALKALINE</v>
      </c>
      <c r="B1462" s="266">
        <f>IFERROR(__xludf.DUMMYFUNCTION("""COMPUTED_VALUE"""),45455.0)</f>
        <v>45455</v>
      </c>
      <c r="C1462" s="266" t="str">
        <f>IFERROR(__xludf.DUMMYFUNCTION("""COMPUTED_VALUE"""),"KYAI KONTONG")</f>
        <v>KYAI KONTONG</v>
      </c>
      <c r="D1462" s="186">
        <f>IFERROR(__xludf.DUMMYFUNCTION("""COMPUTED_VALUE"""),8.0)</f>
        <v>8</v>
      </c>
    </row>
    <row r="1463">
      <c r="A1463" s="178" t="str">
        <f>IFERROR(__xludf.DUMMYFUNCTION("""COMPUTED_VALUE"""),"ITBISA-ABC-BATERAI-AA-ALKALINE")</f>
        <v>ITBISA-ABC-BATERAI-AA-ALKALINE</v>
      </c>
      <c r="B1463" s="266">
        <f>IFERROR(__xludf.DUMMYFUNCTION("""COMPUTED_VALUE"""),45456.0)</f>
        <v>45456</v>
      </c>
      <c r="C1463" s="266" t="str">
        <f>IFERROR(__xludf.DUMMYFUNCTION("""COMPUTED_VALUE"""),"KERTASARI CIAMIS")</f>
        <v>KERTASARI CIAMIS</v>
      </c>
      <c r="D1463" s="186">
        <f>IFERROR(__xludf.DUMMYFUNCTION("""COMPUTED_VALUE"""),6.0)</f>
        <v>6</v>
      </c>
    </row>
    <row r="1464">
      <c r="A1464" s="178" t="str">
        <f>IFERROR(__xludf.DUMMYFUNCTION("""COMPUTED_VALUE"""),"ITBISA-ABC-BATERAI-AA-ALKALINE")</f>
        <v>ITBISA-ABC-BATERAI-AA-ALKALINE</v>
      </c>
      <c r="B1464" s="266">
        <f>IFERROR(__xludf.DUMMYFUNCTION("""COMPUTED_VALUE"""),45460.0)</f>
        <v>45460</v>
      </c>
      <c r="C1464" s="266" t="str">
        <f>IFERROR(__xludf.DUMMYFUNCTION("""COMPUTED_VALUE"""),"KYAI KONTONG")</f>
        <v>KYAI KONTONG</v>
      </c>
      <c r="D1464" s="186">
        <f>IFERROR(__xludf.DUMMYFUNCTION("""COMPUTED_VALUE"""),6.0)</f>
        <v>6</v>
      </c>
    </row>
    <row r="1465">
      <c r="A1465" s="178" t="str">
        <f>IFERROR(__xludf.DUMMYFUNCTION("""COMPUTED_VALUE"""),"ITBISA-ABC-BATERAI-AA-ALKALINE")</f>
        <v>ITBISA-ABC-BATERAI-AA-ALKALINE</v>
      </c>
      <c r="B1465" s="266">
        <f>IFERROR(__xludf.DUMMYFUNCTION("""COMPUTED_VALUE"""),45460.0)</f>
        <v>45460</v>
      </c>
      <c r="C1465" s="266" t="str">
        <f>IFERROR(__xludf.DUMMYFUNCTION("""COMPUTED_VALUE"""),"KYAI KONTONG")</f>
        <v>KYAI KONTONG</v>
      </c>
      <c r="D1465" s="186">
        <f>IFERROR(__xludf.DUMMYFUNCTION("""COMPUTED_VALUE"""),30.0)</f>
        <v>30</v>
      </c>
    </row>
    <row r="1466">
      <c r="A1466" s="178" t="str">
        <f>IFERROR(__xludf.DUMMYFUNCTION("""COMPUTED_VALUE"""),"ITBISA-ABC-BATERAI-AA-ALKALINE")</f>
        <v>ITBISA-ABC-BATERAI-AA-ALKALINE</v>
      </c>
      <c r="B1466" s="266">
        <f>IFERROR(__xludf.DUMMYFUNCTION("""COMPUTED_VALUE"""),45461.0)</f>
        <v>45461</v>
      </c>
      <c r="C1466" s="266" t="str">
        <f>IFERROR(__xludf.DUMMYFUNCTION("""COMPUTED_VALUE"""),"KYAI KONTONG")</f>
        <v>KYAI KONTONG</v>
      </c>
      <c r="D1466" s="186">
        <f>IFERROR(__xludf.DUMMYFUNCTION("""COMPUTED_VALUE"""),2.0)</f>
        <v>2</v>
      </c>
    </row>
    <row r="1467">
      <c r="A1467" s="178" t="str">
        <f>IFERROR(__xludf.DUMMYFUNCTION("""COMPUTED_VALUE"""),"ITBISA-ABC-BATERAI-AA-ALKALINE")</f>
        <v>ITBISA-ABC-BATERAI-AA-ALKALINE</v>
      </c>
      <c r="B1467" s="266">
        <f>IFERROR(__xludf.DUMMYFUNCTION("""COMPUTED_VALUE"""),45461.0)</f>
        <v>45461</v>
      </c>
      <c r="C1467" s="266" t="str">
        <f>IFERROR(__xludf.DUMMYFUNCTION("""COMPUTED_VALUE"""),"KYAI KONTONG")</f>
        <v>KYAI KONTONG</v>
      </c>
      <c r="D1467" s="186">
        <f>IFERROR(__xludf.DUMMYFUNCTION("""COMPUTED_VALUE"""),6.0)</f>
        <v>6</v>
      </c>
    </row>
    <row r="1468">
      <c r="A1468" s="178" t="str">
        <f>IFERROR(__xludf.DUMMYFUNCTION("""COMPUTED_VALUE"""),"ITBISA-ABC-BATERAI-AA-ALKALINE")</f>
        <v>ITBISA-ABC-BATERAI-AA-ALKALINE</v>
      </c>
      <c r="B1468" s="266">
        <f>IFERROR(__xludf.DUMMYFUNCTION("""COMPUTED_VALUE"""),45461.0)</f>
        <v>45461</v>
      </c>
      <c r="C1468" s="266" t="str">
        <f>IFERROR(__xludf.DUMMYFUNCTION("""COMPUTED_VALUE"""),"KYAI KONTONG")</f>
        <v>KYAI KONTONG</v>
      </c>
      <c r="D1468" s="186">
        <f>IFERROR(__xludf.DUMMYFUNCTION("""COMPUTED_VALUE"""),16.0)</f>
        <v>16</v>
      </c>
    </row>
    <row r="1469">
      <c r="A1469" s="178" t="str">
        <f>IFERROR(__xludf.DUMMYFUNCTION("""COMPUTED_VALUE"""),"ITBISA-ABC-BATERAI-AA-ALKALINE")</f>
        <v>ITBISA-ABC-BATERAI-AA-ALKALINE</v>
      </c>
      <c r="B1469" s="266">
        <f>IFERROR(__xludf.DUMMYFUNCTION("""COMPUTED_VALUE"""),45462.0)</f>
        <v>45462</v>
      </c>
      <c r="C1469" s="266" t="str">
        <f>IFERROR(__xludf.DUMMYFUNCTION("""COMPUTED_VALUE"""),"KYAI KONTONG")</f>
        <v>KYAI KONTONG</v>
      </c>
      <c r="D1469" s="186">
        <f>IFERROR(__xludf.DUMMYFUNCTION("""COMPUTED_VALUE"""),6.0)</f>
        <v>6</v>
      </c>
    </row>
    <row r="1470">
      <c r="A1470" s="178" t="str">
        <f>IFERROR(__xludf.DUMMYFUNCTION("""COMPUTED_VALUE"""),"ITBISA-ABC-BATERAI-AA-ALKALINE")</f>
        <v>ITBISA-ABC-BATERAI-AA-ALKALINE</v>
      </c>
      <c r="B1470" s="266">
        <f>IFERROR(__xludf.DUMMYFUNCTION("""COMPUTED_VALUE"""),45463.0)</f>
        <v>45463</v>
      </c>
      <c r="C1470" s="266" t="str">
        <f>IFERROR(__xludf.DUMMYFUNCTION("""COMPUTED_VALUE"""),"KYAI KONTONG")</f>
        <v>KYAI KONTONG</v>
      </c>
      <c r="D1470" s="186">
        <f>IFERROR(__xludf.DUMMYFUNCTION("""COMPUTED_VALUE"""),8.0)</f>
        <v>8</v>
      </c>
    </row>
    <row r="1471">
      <c r="A1471" s="178" t="str">
        <f>IFERROR(__xludf.DUMMYFUNCTION("""COMPUTED_VALUE"""),"ITBISA-ABC-BATERAI-AA-ALKALINE")</f>
        <v>ITBISA-ABC-BATERAI-AA-ALKALINE</v>
      </c>
      <c r="B1471" s="266">
        <f>IFERROR(__xludf.DUMMYFUNCTION("""COMPUTED_VALUE"""),45464.0)</f>
        <v>45464</v>
      </c>
      <c r="C1471" s="266" t="str">
        <f>IFERROR(__xludf.DUMMYFUNCTION("""COMPUTED_VALUE"""),"KYAI KONTONG")</f>
        <v>KYAI KONTONG</v>
      </c>
      <c r="D1471" s="186">
        <f>IFERROR(__xludf.DUMMYFUNCTION("""COMPUTED_VALUE"""),6.0)</f>
        <v>6</v>
      </c>
    </row>
    <row r="1472">
      <c r="A1472" s="178" t="str">
        <f>IFERROR(__xludf.DUMMYFUNCTION("""COMPUTED_VALUE"""),"ITBISA-ABC-BATERAI-AA-ALKALINE")</f>
        <v>ITBISA-ABC-BATERAI-AA-ALKALINE</v>
      </c>
      <c r="B1472" s="266">
        <f>IFERROR(__xludf.DUMMYFUNCTION("""COMPUTED_VALUE"""),45465.0)</f>
        <v>45465</v>
      </c>
      <c r="C1472" s="266" t="str">
        <f>IFERROR(__xludf.DUMMYFUNCTION("""COMPUTED_VALUE"""),"KYAI KONTONG")</f>
        <v>KYAI KONTONG</v>
      </c>
      <c r="D1472" s="186">
        <f>IFERROR(__xludf.DUMMYFUNCTION("""COMPUTED_VALUE"""),6.0)</f>
        <v>6</v>
      </c>
    </row>
    <row r="1473">
      <c r="A1473" s="178" t="str">
        <f>IFERROR(__xludf.DUMMYFUNCTION("""COMPUTED_VALUE"""),"ITBISA-ABC-BATERAI-AA-ALKALINE")</f>
        <v>ITBISA-ABC-BATERAI-AA-ALKALINE</v>
      </c>
      <c r="B1473" s="266">
        <f>IFERROR(__xludf.DUMMYFUNCTION("""COMPUTED_VALUE"""),45467.0)</f>
        <v>45467</v>
      </c>
      <c r="C1473" s="266" t="str">
        <f>IFERROR(__xludf.DUMMYFUNCTION("""COMPUTED_VALUE"""),"KYAI KONTONG")</f>
        <v>KYAI KONTONG</v>
      </c>
      <c r="D1473" s="186">
        <f>IFERROR(__xludf.DUMMYFUNCTION("""COMPUTED_VALUE"""),16.0)</f>
        <v>16</v>
      </c>
    </row>
    <row r="1474">
      <c r="A1474" s="178" t="str">
        <f>IFERROR(__xludf.DUMMYFUNCTION("""COMPUTED_VALUE"""),"ITBISA-ABC-BATERAI-AA-ALKALINE")</f>
        <v>ITBISA-ABC-BATERAI-AA-ALKALINE</v>
      </c>
      <c r="B1474" s="266">
        <f>IFERROR(__xludf.DUMMYFUNCTION("""COMPUTED_VALUE"""),45468.0)</f>
        <v>45468</v>
      </c>
      <c r="C1474" s="266" t="str">
        <f>IFERROR(__xludf.DUMMYFUNCTION("""COMPUTED_VALUE"""),"KERTASARI CIAMIS")</f>
        <v>KERTASARI CIAMIS</v>
      </c>
      <c r="D1474" s="186">
        <f>IFERROR(__xludf.DUMMYFUNCTION("""COMPUTED_VALUE"""),6.0)</f>
        <v>6</v>
      </c>
    </row>
    <row r="1475">
      <c r="A1475" s="178" t="str">
        <f>IFERROR(__xludf.DUMMYFUNCTION("""COMPUTED_VALUE"""),"ITBISA-ABC-BATERAI-AA-ALKALINE")</f>
        <v>ITBISA-ABC-BATERAI-AA-ALKALINE</v>
      </c>
      <c r="B1475" s="266">
        <f>IFERROR(__xludf.DUMMYFUNCTION("""COMPUTED_VALUE"""),45468.0)</f>
        <v>45468</v>
      </c>
      <c r="C1475" s="266" t="str">
        <f>IFERROR(__xludf.DUMMYFUNCTION("""COMPUTED_VALUE"""),"KERTASARI CIAMIS")</f>
        <v>KERTASARI CIAMIS</v>
      </c>
      <c r="D1475" s="186">
        <f>IFERROR(__xludf.DUMMYFUNCTION("""COMPUTED_VALUE"""),6.0)</f>
        <v>6</v>
      </c>
    </row>
    <row r="1476">
      <c r="A1476" s="178" t="str">
        <f>IFERROR(__xludf.DUMMYFUNCTION("""COMPUTED_VALUE"""),"ITBISA-ABC-BATERAI-AA-ALKALINE")</f>
        <v>ITBISA-ABC-BATERAI-AA-ALKALINE</v>
      </c>
      <c r="B1476" s="266">
        <f>IFERROR(__xludf.DUMMYFUNCTION("""COMPUTED_VALUE"""),45468.0)</f>
        <v>45468</v>
      </c>
      <c r="C1476" s="266" t="str">
        <f>IFERROR(__xludf.DUMMYFUNCTION("""COMPUTED_VALUE"""),"KYAI KONTONG")</f>
        <v>KYAI KONTONG</v>
      </c>
      <c r="D1476" s="186">
        <f>IFERROR(__xludf.DUMMYFUNCTION("""COMPUTED_VALUE"""),8.0)</f>
        <v>8</v>
      </c>
    </row>
    <row r="1477">
      <c r="A1477" s="178" t="str">
        <f>IFERROR(__xludf.DUMMYFUNCTION("""COMPUTED_VALUE"""),"ITBISA-ABC-BATERAI-AA-ALKALINE")</f>
        <v>ITBISA-ABC-BATERAI-AA-ALKALINE</v>
      </c>
      <c r="B1477" s="266">
        <f>IFERROR(__xludf.DUMMYFUNCTION("""COMPUTED_VALUE"""),45468.0)</f>
        <v>45468</v>
      </c>
      <c r="C1477" s="266" t="str">
        <f>IFERROR(__xludf.DUMMYFUNCTION("""COMPUTED_VALUE"""),"KYAI KONTONG")</f>
        <v>KYAI KONTONG</v>
      </c>
      <c r="D1477" s="186">
        <f>IFERROR(__xludf.DUMMYFUNCTION("""COMPUTED_VALUE"""),12.0)</f>
        <v>12</v>
      </c>
    </row>
    <row r="1478">
      <c r="A1478" s="178" t="str">
        <f>IFERROR(__xludf.DUMMYFUNCTION("""COMPUTED_VALUE"""),"ITBISA-ABC-BATERAI-AA-ALKALINE")</f>
        <v>ITBISA-ABC-BATERAI-AA-ALKALINE</v>
      </c>
      <c r="B1478" s="266">
        <f>IFERROR(__xludf.DUMMYFUNCTION("""COMPUTED_VALUE"""),45468.0)</f>
        <v>45468</v>
      </c>
      <c r="C1478" s="266" t="str">
        <f>IFERROR(__xludf.DUMMYFUNCTION("""COMPUTED_VALUE"""),"KYAI KONTONG")</f>
        <v>KYAI KONTONG</v>
      </c>
      <c r="D1478" s="186">
        <f>IFERROR(__xludf.DUMMYFUNCTION("""COMPUTED_VALUE"""),16.0)</f>
        <v>16</v>
      </c>
    </row>
    <row r="1479">
      <c r="A1479" s="178" t="str">
        <f>IFERROR(__xludf.DUMMYFUNCTION("""COMPUTED_VALUE"""),"ITBISA-ABC-BATERAI-AA-ALKALINE")</f>
        <v>ITBISA-ABC-BATERAI-AA-ALKALINE</v>
      </c>
      <c r="B1479" s="266">
        <f>IFERROR(__xludf.DUMMYFUNCTION("""COMPUTED_VALUE"""),45469.0)</f>
        <v>45469</v>
      </c>
      <c r="C1479" s="266" t="str">
        <f>IFERROR(__xludf.DUMMYFUNCTION("""COMPUTED_VALUE"""),"KERTASARI CIAMIS")</f>
        <v>KERTASARI CIAMIS</v>
      </c>
      <c r="D1479" s="186">
        <f>IFERROR(__xludf.DUMMYFUNCTION("""COMPUTED_VALUE"""),12.0)</f>
        <v>12</v>
      </c>
    </row>
    <row r="1480">
      <c r="A1480" s="178" t="str">
        <f>IFERROR(__xludf.DUMMYFUNCTION("""COMPUTED_VALUE"""),"ITBISA-ABC-BATERAI-AA-ALKALINE")</f>
        <v>ITBISA-ABC-BATERAI-AA-ALKALINE</v>
      </c>
      <c r="B1480" s="266">
        <f>IFERROR(__xludf.DUMMYFUNCTION("""COMPUTED_VALUE"""),45470.0)</f>
        <v>45470</v>
      </c>
      <c r="C1480" s="266" t="str">
        <f>IFERROR(__xludf.DUMMYFUNCTION("""COMPUTED_VALUE"""),"KERTASARI CIAMIS")</f>
        <v>KERTASARI CIAMIS</v>
      </c>
      <c r="D1480" s="186">
        <f>IFERROR(__xludf.DUMMYFUNCTION("""COMPUTED_VALUE"""),6.0)</f>
        <v>6</v>
      </c>
    </row>
    <row r="1481">
      <c r="A1481" s="178" t="str">
        <f>IFERROR(__xludf.DUMMYFUNCTION("""COMPUTED_VALUE"""),"ITBISA-ABC-BATERAI-AA-ALKALINE")</f>
        <v>ITBISA-ABC-BATERAI-AA-ALKALINE</v>
      </c>
      <c r="B1481" s="266">
        <f>IFERROR(__xludf.DUMMYFUNCTION("""COMPUTED_VALUE"""),45471.0)</f>
        <v>45471</v>
      </c>
      <c r="C1481" s="266" t="str">
        <f>IFERROR(__xludf.DUMMYFUNCTION("""COMPUTED_VALUE"""),"KERTASARI CIAMIS")</f>
        <v>KERTASARI CIAMIS</v>
      </c>
      <c r="D1481" s="186">
        <f>IFERROR(__xludf.DUMMYFUNCTION("""COMPUTED_VALUE"""),54.0)</f>
        <v>54</v>
      </c>
    </row>
    <row r="1482">
      <c r="A1482" s="178" t="str">
        <f>IFERROR(__xludf.DUMMYFUNCTION("""COMPUTED_VALUE"""),"ITBISA-ABC-BATERAI-AA-ALKALINE")</f>
        <v>ITBISA-ABC-BATERAI-AA-ALKALINE</v>
      </c>
      <c r="B1482" s="266">
        <f>IFERROR(__xludf.DUMMYFUNCTION("""COMPUTED_VALUE"""),45471.0)</f>
        <v>45471</v>
      </c>
      <c r="C1482" s="266" t="str">
        <f>IFERROR(__xludf.DUMMYFUNCTION("""COMPUTED_VALUE"""),"KYAI KONTONG")</f>
        <v>KYAI KONTONG</v>
      </c>
      <c r="D1482" s="186">
        <f>IFERROR(__xludf.DUMMYFUNCTION("""COMPUTED_VALUE"""),8.0)</f>
        <v>8</v>
      </c>
    </row>
    <row r="1483">
      <c r="A1483" s="178" t="str">
        <f>IFERROR(__xludf.DUMMYFUNCTION("""COMPUTED_VALUE"""),"ITBISA-ABC-BATERAI-AA-ALKALINE")</f>
        <v>ITBISA-ABC-BATERAI-AA-ALKALINE</v>
      </c>
      <c r="B1483" s="266">
        <f>IFERROR(__xludf.DUMMYFUNCTION("""COMPUTED_VALUE"""),45473.0)</f>
        <v>45473</v>
      </c>
      <c r="C1483" s="266" t="str">
        <f>IFERROR(__xludf.DUMMYFUNCTION("""COMPUTED_VALUE"""),"KYAI KONTONG")</f>
        <v>KYAI KONTONG</v>
      </c>
      <c r="D1483" s="186">
        <f>IFERROR(__xludf.DUMMYFUNCTION("""COMPUTED_VALUE"""),8.0)</f>
        <v>8</v>
      </c>
    </row>
    <row r="1484">
      <c r="A1484" s="178" t="str">
        <f>IFERROR(__xludf.DUMMYFUNCTION("""COMPUTED_VALUE"""),"ITBISA-ABC-BATERAI-AA-ALKALINE")</f>
        <v>ITBISA-ABC-BATERAI-AA-ALKALINE</v>
      </c>
      <c r="B1484" s="266">
        <f>IFERROR(__xludf.DUMMYFUNCTION("""COMPUTED_VALUE"""),45473.0)</f>
        <v>45473</v>
      </c>
      <c r="C1484" s="266" t="str">
        <f>IFERROR(__xludf.DUMMYFUNCTION("""COMPUTED_VALUE"""),"KYAI KONTONG")</f>
        <v>KYAI KONTONG</v>
      </c>
      <c r="D1484" s="186">
        <f>IFERROR(__xludf.DUMMYFUNCTION("""COMPUTED_VALUE"""),8.0)</f>
        <v>8</v>
      </c>
    </row>
    <row r="1485">
      <c r="A1485" s="178" t="str">
        <f>IFERROR(__xludf.DUMMYFUNCTION("""COMPUTED_VALUE"""),"ITBISA-ABC-BATERAI-AA-ALKALINE")</f>
        <v>ITBISA-ABC-BATERAI-AA-ALKALINE</v>
      </c>
      <c r="B1485" s="266">
        <f>IFERROR(__xludf.DUMMYFUNCTION("""COMPUTED_VALUE"""),45474.0)</f>
        <v>45474</v>
      </c>
      <c r="C1485" s="266" t="str">
        <f>IFERROR(__xludf.DUMMYFUNCTION("""COMPUTED_VALUE"""),"KYAI KONTONG")</f>
        <v>KYAI KONTONG</v>
      </c>
      <c r="D1485" s="186">
        <f>IFERROR(__xludf.DUMMYFUNCTION("""COMPUTED_VALUE"""),8.0)</f>
        <v>8</v>
      </c>
    </row>
    <row r="1486">
      <c r="A1486" s="178" t="str">
        <f>IFERROR(__xludf.DUMMYFUNCTION("""COMPUTED_VALUE"""),"ITBISA-ABC-BATERAI-AA-ALKALINE")</f>
        <v>ITBISA-ABC-BATERAI-AA-ALKALINE</v>
      </c>
      <c r="B1486" s="266">
        <f>IFERROR(__xludf.DUMMYFUNCTION("""COMPUTED_VALUE"""),45474.0)</f>
        <v>45474</v>
      </c>
      <c r="C1486" s="266" t="str">
        <f>IFERROR(__xludf.DUMMYFUNCTION("""COMPUTED_VALUE"""),"KYAI KONTONG")</f>
        <v>KYAI KONTONG</v>
      </c>
      <c r="D1486" s="186">
        <f>IFERROR(__xludf.DUMMYFUNCTION("""COMPUTED_VALUE"""),30.0)</f>
        <v>30</v>
      </c>
    </row>
    <row r="1487">
      <c r="A1487" s="178" t="str">
        <f>IFERROR(__xludf.DUMMYFUNCTION("""COMPUTED_VALUE"""),"ITBISA-ABC-BATERAI-AA-ALKALINE")</f>
        <v>ITBISA-ABC-BATERAI-AA-ALKALINE</v>
      </c>
      <c r="B1487" s="266">
        <f>IFERROR(__xludf.DUMMYFUNCTION("""COMPUTED_VALUE"""),45475.0)</f>
        <v>45475</v>
      </c>
      <c r="C1487" s="266" t="str">
        <f>IFERROR(__xludf.DUMMYFUNCTION("""COMPUTED_VALUE"""),"KYAI KONTONG")</f>
        <v>KYAI KONTONG</v>
      </c>
      <c r="D1487" s="186">
        <f>IFERROR(__xludf.DUMMYFUNCTION("""COMPUTED_VALUE"""),16.0)</f>
        <v>16</v>
      </c>
    </row>
    <row r="1488">
      <c r="A1488" s="178" t="str">
        <f>IFERROR(__xludf.DUMMYFUNCTION("""COMPUTED_VALUE"""),"ITBISA-ABC-BATERAI-AA-ALKALINE")</f>
        <v>ITBISA-ABC-BATERAI-AA-ALKALINE</v>
      </c>
      <c r="B1488" s="266">
        <f>IFERROR(__xludf.DUMMYFUNCTION("""COMPUTED_VALUE"""),45476.0)</f>
        <v>45476</v>
      </c>
      <c r="C1488" s="266" t="str">
        <f>IFERROR(__xludf.DUMMYFUNCTION("""COMPUTED_VALUE"""),"KYAI KONTONG")</f>
        <v>KYAI KONTONG</v>
      </c>
      <c r="D1488" s="186">
        <f>IFERROR(__xludf.DUMMYFUNCTION("""COMPUTED_VALUE"""),8.0)</f>
        <v>8</v>
      </c>
    </row>
    <row r="1489">
      <c r="A1489" s="178" t="str">
        <f>IFERROR(__xludf.DUMMYFUNCTION("""COMPUTED_VALUE"""),"ITBISA-ABC-BATERAI-AA-ALKALINE")</f>
        <v>ITBISA-ABC-BATERAI-AA-ALKALINE</v>
      </c>
      <c r="B1489" s="266">
        <f>IFERROR(__xludf.DUMMYFUNCTION("""COMPUTED_VALUE"""),45476.0)</f>
        <v>45476</v>
      </c>
      <c r="C1489" s="266" t="str">
        <f>IFERROR(__xludf.DUMMYFUNCTION("""COMPUTED_VALUE"""),"KYAI KONTONG")</f>
        <v>KYAI KONTONG</v>
      </c>
      <c r="D1489" s="186">
        <f>IFERROR(__xludf.DUMMYFUNCTION("""COMPUTED_VALUE"""),8.0)</f>
        <v>8</v>
      </c>
    </row>
    <row r="1490">
      <c r="A1490" s="178" t="str">
        <f>IFERROR(__xludf.DUMMYFUNCTION("""COMPUTED_VALUE"""),"ITBISA-ABC-BATERAI-AA-ALKALINE")</f>
        <v>ITBISA-ABC-BATERAI-AA-ALKALINE</v>
      </c>
      <c r="B1490" s="266">
        <f>IFERROR(__xludf.DUMMYFUNCTION("""COMPUTED_VALUE"""),45476.0)</f>
        <v>45476</v>
      </c>
      <c r="C1490" s="266" t="str">
        <f>IFERROR(__xludf.DUMMYFUNCTION("""COMPUTED_VALUE"""),"KYAI KONTONG")</f>
        <v>KYAI KONTONG</v>
      </c>
      <c r="D1490" s="186">
        <f>IFERROR(__xludf.DUMMYFUNCTION("""COMPUTED_VALUE"""),24.0)</f>
        <v>24</v>
      </c>
    </row>
    <row r="1491">
      <c r="A1491" s="178" t="str">
        <f>IFERROR(__xludf.DUMMYFUNCTION("""COMPUTED_VALUE"""),"ITBISA-ABC-BATERAI-AA-ALKALINE")</f>
        <v>ITBISA-ABC-BATERAI-AA-ALKALINE</v>
      </c>
      <c r="B1491" s="266">
        <f>IFERROR(__xludf.DUMMYFUNCTION("""COMPUTED_VALUE"""),45477.0)</f>
        <v>45477</v>
      </c>
      <c r="C1491" s="266" t="str">
        <f>IFERROR(__xludf.DUMMYFUNCTION("""COMPUTED_VALUE"""),"KYAI KONTONG")</f>
        <v>KYAI KONTONG</v>
      </c>
      <c r="D1491" s="186">
        <f>IFERROR(__xludf.DUMMYFUNCTION("""COMPUTED_VALUE"""),6.0)</f>
        <v>6</v>
      </c>
    </row>
    <row r="1492">
      <c r="A1492" s="178" t="str">
        <f>IFERROR(__xludf.DUMMYFUNCTION("""COMPUTED_VALUE"""),"ITBISA-ABC-BATERAI-AA-ALKALINE")</f>
        <v>ITBISA-ABC-BATERAI-AA-ALKALINE</v>
      </c>
      <c r="B1492" s="266">
        <f>IFERROR(__xludf.DUMMYFUNCTION("""COMPUTED_VALUE"""),45477.0)</f>
        <v>45477</v>
      </c>
      <c r="C1492" s="266" t="str">
        <f>IFERROR(__xludf.DUMMYFUNCTION("""COMPUTED_VALUE"""),"KYAI KONTONG")</f>
        <v>KYAI KONTONG</v>
      </c>
      <c r="D1492" s="186">
        <f>IFERROR(__xludf.DUMMYFUNCTION("""COMPUTED_VALUE"""),16.0)</f>
        <v>16</v>
      </c>
    </row>
    <row r="1493">
      <c r="A1493" s="178" t="str">
        <f>IFERROR(__xludf.DUMMYFUNCTION("""COMPUTED_VALUE"""),"ITBISA-ABC-BATERAI-AA-ALKALINE")</f>
        <v>ITBISA-ABC-BATERAI-AA-ALKALINE</v>
      </c>
      <c r="B1493" s="266">
        <f>IFERROR(__xludf.DUMMYFUNCTION("""COMPUTED_VALUE"""),45478.0)</f>
        <v>45478</v>
      </c>
      <c r="C1493" s="266" t="str">
        <f>IFERROR(__xludf.DUMMYFUNCTION("""COMPUTED_VALUE"""),"KYAI KONTONG")</f>
        <v>KYAI KONTONG</v>
      </c>
      <c r="D1493" s="186">
        <f>IFERROR(__xludf.DUMMYFUNCTION("""COMPUTED_VALUE"""),8.0)</f>
        <v>8</v>
      </c>
    </row>
    <row r="1494">
      <c r="A1494" s="178" t="str">
        <f>IFERROR(__xludf.DUMMYFUNCTION("""COMPUTED_VALUE"""),"ITBISA-ABC-BATERAI-AA-ALKALINE")</f>
        <v>ITBISA-ABC-BATERAI-AA-ALKALINE</v>
      </c>
      <c r="B1494" s="266">
        <f>IFERROR(__xludf.DUMMYFUNCTION("""COMPUTED_VALUE"""),45478.0)</f>
        <v>45478</v>
      </c>
      <c r="C1494" s="266" t="str">
        <f>IFERROR(__xludf.DUMMYFUNCTION("""COMPUTED_VALUE"""),"KYAI KONTONG")</f>
        <v>KYAI KONTONG</v>
      </c>
      <c r="D1494" s="186">
        <f>IFERROR(__xludf.DUMMYFUNCTION("""COMPUTED_VALUE"""),30.0)</f>
        <v>30</v>
      </c>
    </row>
    <row r="1495">
      <c r="A1495" s="178" t="str">
        <f>IFERROR(__xludf.DUMMYFUNCTION("""COMPUTED_VALUE"""),"ITBISA-ABC-BATERAI-AA-ALKALINE")</f>
        <v>ITBISA-ABC-BATERAI-AA-ALKALINE</v>
      </c>
      <c r="B1495" s="266">
        <f>IFERROR(__xludf.DUMMYFUNCTION("""COMPUTED_VALUE"""),45478.0)</f>
        <v>45478</v>
      </c>
      <c r="C1495" s="266" t="str">
        <f>IFERROR(__xludf.DUMMYFUNCTION("""COMPUTED_VALUE"""),"KYAI KONTONG")</f>
        <v>KYAI KONTONG</v>
      </c>
      <c r="D1495" s="186">
        <f>IFERROR(__xludf.DUMMYFUNCTION("""COMPUTED_VALUE"""),32.0)</f>
        <v>32</v>
      </c>
    </row>
    <row r="1496">
      <c r="A1496" s="178" t="str">
        <f>IFERROR(__xludf.DUMMYFUNCTION("""COMPUTED_VALUE"""),"ITBISA-ABC-BATERAI-AA-ALKALINE")</f>
        <v>ITBISA-ABC-BATERAI-AA-ALKALINE</v>
      </c>
      <c r="B1496" s="266">
        <f>IFERROR(__xludf.DUMMYFUNCTION("""COMPUTED_VALUE"""),45480.0)</f>
        <v>45480</v>
      </c>
      <c r="C1496" s="266" t="str">
        <f>IFERROR(__xludf.DUMMYFUNCTION("""COMPUTED_VALUE"""),"KYAI KONTONG")</f>
        <v>KYAI KONTONG</v>
      </c>
      <c r="D1496" s="186">
        <f>IFERROR(__xludf.DUMMYFUNCTION("""COMPUTED_VALUE"""),8.0)</f>
        <v>8</v>
      </c>
    </row>
    <row r="1497">
      <c r="A1497" s="178" t="str">
        <f>IFERROR(__xludf.DUMMYFUNCTION("""COMPUTED_VALUE"""),"ITBISA-ABC-BATERAI-AA-ALKALINE")</f>
        <v>ITBISA-ABC-BATERAI-AA-ALKALINE</v>
      </c>
      <c r="B1497" s="266">
        <f>IFERROR(__xludf.DUMMYFUNCTION("""COMPUTED_VALUE"""),45480.0)</f>
        <v>45480</v>
      </c>
      <c r="C1497" s="266" t="str">
        <f>IFERROR(__xludf.DUMMYFUNCTION("""COMPUTED_VALUE"""),"KYAI KONTONG")</f>
        <v>KYAI KONTONG</v>
      </c>
      <c r="D1497" s="186">
        <f>IFERROR(__xludf.DUMMYFUNCTION("""COMPUTED_VALUE"""),8.0)</f>
        <v>8</v>
      </c>
    </row>
    <row r="1498">
      <c r="A1498" s="178" t="str">
        <f>IFERROR(__xludf.DUMMYFUNCTION("""COMPUTED_VALUE"""),"ITBISA-ABC-BATERAI-AA-ALKALINE")</f>
        <v>ITBISA-ABC-BATERAI-AA-ALKALINE</v>
      </c>
      <c r="B1498" s="266">
        <f>IFERROR(__xludf.DUMMYFUNCTION("""COMPUTED_VALUE"""),45480.0)</f>
        <v>45480</v>
      </c>
      <c r="C1498" s="266" t="str">
        <f>IFERROR(__xludf.DUMMYFUNCTION("""COMPUTED_VALUE"""),"KYAI KONTONG")</f>
        <v>KYAI KONTONG</v>
      </c>
      <c r="D1498" s="186">
        <f>IFERROR(__xludf.DUMMYFUNCTION("""COMPUTED_VALUE"""),8.0)</f>
        <v>8</v>
      </c>
    </row>
    <row r="1499">
      <c r="A1499" s="178" t="str">
        <f>IFERROR(__xludf.DUMMYFUNCTION("""COMPUTED_VALUE"""),"ITBISA-ABC-BATERAI-AA-ALKALINE")</f>
        <v>ITBISA-ABC-BATERAI-AA-ALKALINE</v>
      </c>
      <c r="B1499" s="266">
        <f>IFERROR(__xludf.DUMMYFUNCTION("""COMPUTED_VALUE"""),45480.0)</f>
        <v>45480</v>
      </c>
      <c r="C1499" s="266" t="str">
        <f>IFERROR(__xludf.DUMMYFUNCTION("""COMPUTED_VALUE"""),"KYAI KONTONG")</f>
        <v>KYAI KONTONG</v>
      </c>
      <c r="D1499" s="186">
        <f>IFERROR(__xludf.DUMMYFUNCTION("""COMPUTED_VALUE"""),8.0)</f>
        <v>8</v>
      </c>
    </row>
    <row r="1500">
      <c r="A1500" s="178" t="str">
        <f>IFERROR(__xludf.DUMMYFUNCTION("""COMPUTED_VALUE"""),"ITBISA-ABC-BATERAI-AA-ALKALINE")</f>
        <v>ITBISA-ABC-BATERAI-AA-ALKALINE</v>
      </c>
      <c r="B1500" s="266">
        <f>IFERROR(__xludf.DUMMYFUNCTION("""COMPUTED_VALUE"""),45480.0)</f>
        <v>45480</v>
      </c>
      <c r="C1500" s="266" t="str">
        <f>IFERROR(__xludf.DUMMYFUNCTION("""COMPUTED_VALUE"""),"KYAI KONTONG")</f>
        <v>KYAI KONTONG</v>
      </c>
      <c r="D1500" s="186">
        <f>IFERROR(__xludf.DUMMYFUNCTION("""COMPUTED_VALUE"""),8.0)</f>
        <v>8</v>
      </c>
    </row>
    <row r="1501">
      <c r="A1501" s="178" t="str">
        <f>IFERROR(__xludf.DUMMYFUNCTION("""COMPUTED_VALUE"""),"ITBISA-ABC-BATERAI-AA-ALKALINE")</f>
        <v>ITBISA-ABC-BATERAI-AA-ALKALINE</v>
      </c>
      <c r="B1501" s="266">
        <f>IFERROR(__xludf.DUMMYFUNCTION("""COMPUTED_VALUE"""),45480.0)</f>
        <v>45480</v>
      </c>
      <c r="C1501" s="266" t="str">
        <f>IFERROR(__xludf.DUMMYFUNCTION("""COMPUTED_VALUE"""),"KYAI KONTONG")</f>
        <v>KYAI KONTONG</v>
      </c>
      <c r="D1501" s="186">
        <f>IFERROR(__xludf.DUMMYFUNCTION("""COMPUTED_VALUE"""),16.0)</f>
        <v>16</v>
      </c>
    </row>
    <row r="1502">
      <c r="A1502" s="178" t="str">
        <f>IFERROR(__xludf.DUMMYFUNCTION("""COMPUTED_VALUE"""),"ITBISA-ABC-BATERAI-AA-ALKALINE")</f>
        <v>ITBISA-ABC-BATERAI-AA-ALKALINE</v>
      </c>
      <c r="B1502" s="266">
        <f>IFERROR(__xludf.DUMMYFUNCTION("""COMPUTED_VALUE"""),45480.0)</f>
        <v>45480</v>
      </c>
      <c r="C1502" s="266" t="str">
        <f>IFERROR(__xludf.DUMMYFUNCTION("""COMPUTED_VALUE"""),"KYAI KONTONG")</f>
        <v>KYAI KONTONG</v>
      </c>
      <c r="D1502" s="186">
        <f>IFERROR(__xludf.DUMMYFUNCTION("""COMPUTED_VALUE"""),16.0)</f>
        <v>16</v>
      </c>
    </row>
    <row r="1503">
      <c r="A1503" s="178" t="str">
        <f>IFERROR(__xludf.DUMMYFUNCTION("""COMPUTED_VALUE"""),"ITBISA-ABC-BATERAI-AA-ALKALINE")</f>
        <v>ITBISA-ABC-BATERAI-AA-ALKALINE</v>
      </c>
      <c r="B1503" s="266">
        <f>IFERROR(__xludf.DUMMYFUNCTION("""COMPUTED_VALUE"""),45480.0)</f>
        <v>45480</v>
      </c>
      <c r="C1503" s="266" t="str">
        <f>IFERROR(__xludf.DUMMYFUNCTION("""COMPUTED_VALUE"""),"KYAI KONTONG")</f>
        <v>KYAI KONTONG</v>
      </c>
      <c r="D1503" s="186">
        <f>IFERROR(__xludf.DUMMYFUNCTION("""COMPUTED_VALUE"""),16.0)</f>
        <v>16</v>
      </c>
    </row>
    <row r="1504">
      <c r="A1504" s="178" t="str">
        <f>IFERROR(__xludf.DUMMYFUNCTION("""COMPUTED_VALUE"""),"ITBISA-ABC-BATERAI-AA-ALKALINE")</f>
        <v>ITBISA-ABC-BATERAI-AA-ALKALINE</v>
      </c>
      <c r="B1504" s="266">
        <f>IFERROR(__xludf.DUMMYFUNCTION("""COMPUTED_VALUE"""),45481.0)</f>
        <v>45481</v>
      </c>
      <c r="C1504" s="266" t="str">
        <f>IFERROR(__xludf.DUMMYFUNCTION("""COMPUTED_VALUE"""),"KYAI KONTONG")</f>
        <v>KYAI KONTONG</v>
      </c>
      <c r="D1504" s="186">
        <f>IFERROR(__xludf.DUMMYFUNCTION("""COMPUTED_VALUE"""),6.0)</f>
        <v>6</v>
      </c>
    </row>
    <row r="1505">
      <c r="A1505" s="178" t="str">
        <f>IFERROR(__xludf.DUMMYFUNCTION("""COMPUTED_VALUE"""),"ITBISA-ABC-BATERAI-AA-ALKALINE")</f>
        <v>ITBISA-ABC-BATERAI-AA-ALKALINE</v>
      </c>
      <c r="B1505" s="266">
        <f>IFERROR(__xludf.DUMMYFUNCTION("""COMPUTED_VALUE"""),45481.0)</f>
        <v>45481</v>
      </c>
      <c r="C1505" s="266" t="str">
        <f>IFERROR(__xludf.DUMMYFUNCTION("""COMPUTED_VALUE"""),"KYAI KONTONG")</f>
        <v>KYAI KONTONG</v>
      </c>
      <c r="D1505" s="186">
        <f>IFERROR(__xludf.DUMMYFUNCTION("""COMPUTED_VALUE"""),8.0)</f>
        <v>8</v>
      </c>
    </row>
    <row r="1506">
      <c r="A1506" s="178" t="str">
        <f>IFERROR(__xludf.DUMMYFUNCTION("""COMPUTED_VALUE"""),"ITBISA-ABC-BATERAI-AA-ALKALINE")</f>
        <v>ITBISA-ABC-BATERAI-AA-ALKALINE</v>
      </c>
      <c r="B1506" s="266">
        <f>IFERROR(__xludf.DUMMYFUNCTION("""COMPUTED_VALUE"""),45482.0)</f>
        <v>45482</v>
      </c>
      <c r="C1506" s="266" t="str">
        <f>IFERROR(__xludf.DUMMYFUNCTION("""COMPUTED_VALUE"""),"KYAI KONTONG")</f>
        <v>KYAI KONTONG</v>
      </c>
      <c r="D1506" s="186">
        <f>IFERROR(__xludf.DUMMYFUNCTION("""COMPUTED_VALUE"""),4.0)</f>
        <v>4</v>
      </c>
    </row>
    <row r="1507">
      <c r="A1507" s="178" t="str">
        <f>IFERROR(__xludf.DUMMYFUNCTION("""COMPUTED_VALUE"""),"ITBISA-ABC-BATERAI-AA-ALKALINE")</f>
        <v>ITBISA-ABC-BATERAI-AA-ALKALINE</v>
      </c>
      <c r="B1507" s="266">
        <f>IFERROR(__xludf.DUMMYFUNCTION("""COMPUTED_VALUE"""),45483.0)</f>
        <v>45483</v>
      </c>
      <c r="C1507" s="266" t="str">
        <f>IFERROR(__xludf.DUMMYFUNCTION("""COMPUTED_VALUE"""),"KERTASARI CIAMIS")</f>
        <v>KERTASARI CIAMIS</v>
      </c>
      <c r="D1507" s="186">
        <f>IFERROR(__xludf.DUMMYFUNCTION("""COMPUTED_VALUE"""),72.0)</f>
        <v>72</v>
      </c>
    </row>
    <row r="1508">
      <c r="A1508" s="178" t="str">
        <f>IFERROR(__xludf.DUMMYFUNCTION("""COMPUTED_VALUE"""),"ITBISA-ABC-BATERAI-AA-ALKALINE")</f>
        <v>ITBISA-ABC-BATERAI-AA-ALKALINE</v>
      </c>
      <c r="B1508" s="266">
        <f>IFERROR(__xludf.DUMMYFUNCTION("""COMPUTED_VALUE"""),45483.0)</f>
        <v>45483</v>
      </c>
      <c r="C1508" s="266" t="str">
        <f>IFERROR(__xludf.DUMMYFUNCTION("""COMPUTED_VALUE"""),"KYAI KONTONG")</f>
        <v>KYAI KONTONG</v>
      </c>
      <c r="D1508" s="186">
        <f>IFERROR(__xludf.DUMMYFUNCTION("""COMPUTED_VALUE"""),30.0)</f>
        <v>30</v>
      </c>
    </row>
    <row r="1509">
      <c r="A1509" s="178" t="str">
        <f>IFERROR(__xludf.DUMMYFUNCTION("""COMPUTED_VALUE"""),"ITBISA-ABC-BATERAI-AA-ALKALINE")</f>
        <v>ITBISA-ABC-BATERAI-AA-ALKALINE</v>
      </c>
      <c r="B1509" s="266">
        <f>IFERROR(__xludf.DUMMYFUNCTION("""COMPUTED_VALUE"""),45485.0)</f>
        <v>45485</v>
      </c>
      <c r="C1509" s="266" t="str">
        <f>IFERROR(__xludf.DUMMYFUNCTION("""COMPUTED_VALUE"""),"KYAI KONTONG")</f>
        <v>KYAI KONTONG</v>
      </c>
      <c r="D1509" s="186">
        <f>IFERROR(__xludf.DUMMYFUNCTION("""COMPUTED_VALUE"""),8.0)</f>
        <v>8</v>
      </c>
    </row>
    <row r="1510">
      <c r="A1510" s="178" t="str">
        <f>IFERROR(__xludf.DUMMYFUNCTION("""COMPUTED_VALUE"""),"ITBISA-ABC-BATERAI-AA-ALKALINE")</f>
        <v>ITBISA-ABC-BATERAI-AA-ALKALINE</v>
      </c>
      <c r="B1510" s="266">
        <f>IFERROR(__xludf.DUMMYFUNCTION("""COMPUTED_VALUE"""),45486.0)</f>
        <v>45486</v>
      </c>
      <c r="C1510" s="266" t="str">
        <f>IFERROR(__xludf.DUMMYFUNCTION("""COMPUTED_VALUE"""),"KERTASARI CIAMIS")</f>
        <v>KERTASARI CIAMIS</v>
      </c>
      <c r="D1510" s="186">
        <f>IFERROR(__xludf.DUMMYFUNCTION("""COMPUTED_VALUE"""),8.0)</f>
        <v>8</v>
      </c>
    </row>
    <row r="1511">
      <c r="A1511" s="178" t="str">
        <f>IFERROR(__xludf.DUMMYFUNCTION("""COMPUTED_VALUE"""),"ITBISA-ABC-BATERAI-AA-ALKALINE")</f>
        <v>ITBISA-ABC-BATERAI-AA-ALKALINE</v>
      </c>
      <c r="B1511" s="266">
        <f>IFERROR(__xludf.DUMMYFUNCTION("""COMPUTED_VALUE"""),45486.0)</f>
        <v>45486</v>
      </c>
      <c r="C1511" s="266" t="str">
        <f>IFERROR(__xludf.DUMMYFUNCTION("""COMPUTED_VALUE"""),"KERTASARI CIAMIS")</f>
        <v>KERTASARI CIAMIS</v>
      </c>
      <c r="D1511" s="186">
        <f>IFERROR(__xludf.DUMMYFUNCTION("""COMPUTED_VALUE"""),24.0)</f>
        <v>24</v>
      </c>
    </row>
    <row r="1512">
      <c r="A1512" s="178" t="str">
        <f>IFERROR(__xludf.DUMMYFUNCTION("""COMPUTED_VALUE"""),"ITBISA-ABC-BATERAI-AA-ALKALINE")</f>
        <v>ITBISA-ABC-BATERAI-AA-ALKALINE</v>
      </c>
      <c r="B1512" s="266">
        <f>IFERROR(__xludf.DUMMYFUNCTION("""COMPUTED_VALUE"""),45487.0)</f>
        <v>45487</v>
      </c>
      <c r="C1512" s="266" t="str">
        <f>IFERROR(__xludf.DUMMYFUNCTION("""COMPUTED_VALUE"""),"KYAI KONTONG")</f>
        <v>KYAI KONTONG</v>
      </c>
      <c r="D1512" s="186">
        <f>IFERROR(__xludf.DUMMYFUNCTION("""COMPUTED_VALUE"""),8.0)</f>
        <v>8</v>
      </c>
    </row>
    <row r="1513">
      <c r="A1513" s="178" t="str">
        <f>IFERROR(__xludf.DUMMYFUNCTION("""COMPUTED_VALUE"""),"ITBISA-ABC-BATERAI-AA-ALKALINE")</f>
        <v>ITBISA-ABC-BATERAI-AA-ALKALINE</v>
      </c>
      <c r="B1513" s="266">
        <f>IFERROR(__xludf.DUMMYFUNCTION("""COMPUTED_VALUE"""),45488.0)</f>
        <v>45488</v>
      </c>
      <c r="C1513" s="266" t="str">
        <f>IFERROR(__xludf.DUMMYFUNCTION("""COMPUTED_VALUE"""),"KYAI KONTONG")</f>
        <v>KYAI KONTONG</v>
      </c>
      <c r="D1513" s="186">
        <f>IFERROR(__xludf.DUMMYFUNCTION("""COMPUTED_VALUE"""),8.0)</f>
        <v>8</v>
      </c>
    </row>
    <row r="1514">
      <c r="A1514" s="178" t="str">
        <f>IFERROR(__xludf.DUMMYFUNCTION("""COMPUTED_VALUE"""),"ITBISA-ABC-BATERAI-AA-ALKALINE")</f>
        <v>ITBISA-ABC-BATERAI-AA-ALKALINE</v>
      </c>
      <c r="B1514" s="266">
        <f>IFERROR(__xludf.DUMMYFUNCTION("""COMPUTED_VALUE"""),45488.0)</f>
        <v>45488</v>
      </c>
      <c r="C1514" s="266" t="str">
        <f>IFERROR(__xludf.DUMMYFUNCTION("""COMPUTED_VALUE"""),"KYAI KONTONG")</f>
        <v>KYAI KONTONG</v>
      </c>
      <c r="D1514" s="186">
        <f>IFERROR(__xludf.DUMMYFUNCTION("""COMPUTED_VALUE"""),8.0)</f>
        <v>8</v>
      </c>
    </row>
    <row r="1515">
      <c r="A1515" s="178" t="str">
        <f>IFERROR(__xludf.DUMMYFUNCTION("""COMPUTED_VALUE"""),"ITBISA-ABC-BATERAI-AA-ALKALINE")</f>
        <v>ITBISA-ABC-BATERAI-AA-ALKALINE</v>
      </c>
      <c r="B1515" s="266">
        <f>IFERROR(__xludf.DUMMYFUNCTION("""COMPUTED_VALUE"""),45489.0)</f>
        <v>45489</v>
      </c>
      <c r="C1515" s="266" t="str">
        <f>IFERROR(__xludf.DUMMYFUNCTION("""COMPUTED_VALUE"""),"KYAI KONTONG")</f>
        <v>KYAI KONTONG</v>
      </c>
      <c r="D1515" s="186">
        <f>IFERROR(__xludf.DUMMYFUNCTION("""COMPUTED_VALUE"""),6.0)</f>
        <v>6</v>
      </c>
    </row>
    <row r="1516">
      <c r="A1516" s="178" t="str">
        <f>IFERROR(__xludf.DUMMYFUNCTION("""COMPUTED_VALUE"""),"ITBISA-ABC-BATERAI-AA-ALKALINE")</f>
        <v>ITBISA-ABC-BATERAI-AA-ALKALINE</v>
      </c>
      <c r="B1516" s="266">
        <f>IFERROR(__xludf.DUMMYFUNCTION("""COMPUTED_VALUE"""),45489.0)</f>
        <v>45489</v>
      </c>
      <c r="C1516" s="266" t="str">
        <f>IFERROR(__xludf.DUMMYFUNCTION("""COMPUTED_VALUE"""),"KYAI KONTONG")</f>
        <v>KYAI KONTONG</v>
      </c>
      <c r="D1516" s="186">
        <f>IFERROR(__xludf.DUMMYFUNCTION("""COMPUTED_VALUE"""),8.0)</f>
        <v>8</v>
      </c>
    </row>
    <row r="1517">
      <c r="A1517" s="178" t="str">
        <f>IFERROR(__xludf.DUMMYFUNCTION("""COMPUTED_VALUE"""),"ITBISA-ABC-BATERAI-AA-ALKALINE")</f>
        <v>ITBISA-ABC-BATERAI-AA-ALKALINE</v>
      </c>
      <c r="B1517" s="266">
        <f>IFERROR(__xludf.DUMMYFUNCTION("""COMPUTED_VALUE"""),45489.0)</f>
        <v>45489</v>
      </c>
      <c r="C1517" s="266" t="str">
        <f>IFERROR(__xludf.DUMMYFUNCTION("""COMPUTED_VALUE"""),"KYAI KONTONG")</f>
        <v>KYAI KONTONG</v>
      </c>
      <c r="D1517" s="186">
        <f>IFERROR(__xludf.DUMMYFUNCTION("""COMPUTED_VALUE"""),8.0)</f>
        <v>8</v>
      </c>
    </row>
    <row r="1518">
      <c r="A1518" s="178" t="str">
        <f>IFERROR(__xludf.DUMMYFUNCTION("""COMPUTED_VALUE"""),"ITBISA-ABC-BATERAI-AA-ALKALINE")</f>
        <v>ITBISA-ABC-BATERAI-AA-ALKALINE</v>
      </c>
      <c r="B1518" s="266">
        <f>IFERROR(__xludf.DUMMYFUNCTION("""COMPUTED_VALUE"""),45489.0)</f>
        <v>45489</v>
      </c>
      <c r="C1518" s="266" t="str">
        <f>IFERROR(__xludf.DUMMYFUNCTION("""COMPUTED_VALUE"""),"KYAI KONTONG")</f>
        <v>KYAI KONTONG</v>
      </c>
      <c r="D1518" s="186">
        <f>IFERROR(__xludf.DUMMYFUNCTION("""COMPUTED_VALUE"""),8.0)</f>
        <v>8</v>
      </c>
    </row>
    <row r="1519">
      <c r="A1519" s="178" t="str">
        <f>IFERROR(__xludf.DUMMYFUNCTION("""COMPUTED_VALUE"""),"ITBISA-ABC-BATERAI-AA-ALKALINE")</f>
        <v>ITBISA-ABC-BATERAI-AA-ALKALINE</v>
      </c>
      <c r="B1519" s="266">
        <f>IFERROR(__xludf.DUMMYFUNCTION("""COMPUTED_VALUE"""),45489.0)</f>
        <v>45489</v>
      </c>
      <c r="C1519" s="266" t="str">
        <f>IFERROR(__xludf.DUMMYFUNCTION("""COMPUTED_VALUE"""),"KYAI KONTONG")</f>
        <v>KYAI KONTONG</v>
      </c>
      <c r="D1519" s="186">
        <f>IFERROR(__xludf.DUMMYFUNCTION("""COMPUTED_VALUE"""),8.0)</f>
        <v>8</v>
      </c>
    </row>
    <row r="1520">
      <c r="A1520" s="178" t="str">
        <f>IFERROR(__xludf.DUMMYFUNCTION("""COMPUTED_VALUE"""),"ITBISA-ABC-BATERAI-AA-ALKALINE")</f>
        <v>ITBISA-ABC-BATERAI-AA-ALKALINE</v>
      </c>
      <c r="B1520" s="266">
        <f>IFERROR(__xludf.DUMMYFUNCTION("""COMPUTED_VALUE"""),45489.0)</f>
        <v>45489</v>
      </c>
      <c r="C1520" s="266" t="str">
        <f>IFERROR(__xludf.DUMMYFUNCTION("""COMPUTED_VALUE"""),"KYAI KONTONG")</f>
        <v>KYAI KONTONG</v>
      </c>
      <c r="D1520" s="186">
        <f>IFERROR(__xludf.DUMMYFUNCTION("""COMPUTED_VALUE"""),16.0)</f>
        <v>16</v>
      </c>
    </row>
    <row r="1521">
      <c r="A1521" s="178" t="str">
        <f>IFERROR(__xludf.DUMMYFUNCTION("""COMPUTED_VALUE"""),"ITBISA-ABC-BATERAI-AA-ALKALINE")</f>
        <v>ITBISA-ABC-BATERAI-AA-ALKALINE</v>
      </c>
      <c r="B1521" s="266">
        <f>IFERROR(__xludf.DUMMYFUNCTION("""COMPUTED_VALUE"""),45490.0)</f>
        <v>45490</v>
      </c>
      <c r="C1521" s="266" t="str">
        <f>IFERROR(__xludf.DUMMYFUNCTION("""COMPUTED_VALUE"""),"KYAI KONTONG")</f>
        <v>KYAI KONTONG</v>
      </c>
      <c r="D1521" s="186">
        <f>IFERROR(__xludf.DUMMYFUNCTION("""COMPUTED_VALUE"""),6.0)</f>
        <v>6</v>
      </c>
    </row>
    <row r="1522">
      <c r="A1522" s="178" t="str">
        <f>IFERROR(__xludf.DUMMYFUNCTION("""COMPUTED_VALUE"""),"ITBISA-ABC-BATERAI-AA-ALKALINE")</f>
        <v>ITBISA-ABC-BATERAI-AA-ALKALINE</v>
      </c>
      <c r="B1522" s="266">
        <f>IFERROR(__xludf.DUMMYFUNCTION("""COMPUTED_VALUE"""),45490.0)</f>
        <v>45490</v>
      </c>
      <c r="C1522" s="266" t="str">
        <f>IFERROR(__xludf.DUMMYFUNCTION("""COMPUTED_VALUE"""),"KYAI KONTONG")</f>
        <v>KYAI KONTONG</v>
      </c>
      <c r="D1522" s="186">
        <f>IFERROR(__xludf.DUMMYFUNCTION("""COMPUTED_VALUE"""),8.0)</f>
        <v>8</v>
      </c>
    </row>
    <row r="1523">
      <c r="A1523" s="178" t="str">
        <f>IFERROR(__xludf.DUMMYFUNCTION("""COMPUTED_VALUE"""),"ITBISA-ABC-BATERAI-AA-ALKALINE")</f>
        <v>ITBISA-ABC-BATERAI-AA-ALKALINE</v>
      </c>
      <c r="B1523" s="266">
        <f>IFERROR(__xludf.DUMMYFUNCTION("""COMPUTED_VALUE"""),45490.0)</f>
        <v>45490</v>
      </c>
      <c r="C1523" s="266" t="str">
        <f>IFERROR(__xludf.DUMMYFUNCTION("""COMPUTED_VALUE"""),"KYAI KONTONG")</f>
        <v>KYAI KONTONG</v>
      </c>
      <c r="D1523" s="186">
        <f>IFERROR(__xludf.DUMMYFUNCTION("""COMPUTED_VALUE"""),8.0)</f>
        <v>8</v>
      </c>
    </row>
    <row r="1524">
      <c r="A1524" s="178" t="str">
        <f>IFERROR(__xludf.DUMMYFUNCTION("""COMPUTED_VALUE"""),"ITBISA-ABC-BATERAI-AA-ALKALINE")</f>
        <v>ITBISA-ABC-BATERAI-AA-ALKALINE</v>
      </c>
      <c r="B1524" s="266">
        <f>IFERROR(__xludf.DUMMYFUNCTION("""COMPUTED_VALUE"""),45491.0)</f>
        <v>45491</v>
      </c>
      <c r="C1524" s="266" t="str">
        <f>IFERROR(__xludf.DUMMYFUNCTION("""COMPUTED_VALUE"""),"KYAI KONTONG")</f>
        <v>KYAI KONTONG</v>
      </c>
      <c r="D1524" s="186">
        <f>IFERROR(__xludf.DUMMYFUNCTION("""COMPUTED_VALUE"""),6.0)</f>
        <v>6</v>
      </c>
    </row>
    <row r="1525">
      <c r="A1525" s="178" t="str">
        <f>IFERROR(__xludf.DUMMYFUNCTION("""COMPUTED_VALUE"""),"ITBISA-ABC-BATERAI-AA-ALKALINE")</f>
        <v>ITBISA-ABC-BATERAI-AA-ALKALINE</v>
      </c>
      <c r="B1525" s="266">
        <f>IFERROR(__xludf.DUMMYFUNCTION("""COMPUTED_VALUE"""),45491.0)</f>
        <v>45491</v>
      </c>
      <c r="C1525" s="266" t="str">
        <f>IFERROR(__xludf.DUMMYFUNCTION("""COMPUTED_VALUE"""),"KYAI KONTONG")</f>
        <v>KYAI KONTONG</v>
      </c>
      <c r="D1525" s="186">
        <f>IFERROR(__xludf.DUMMYFUNCTION("""COMPUTED_VALUE"""),12.0)</f>
        <v>12</v>
      </c>
    </row>
    <row r="1526">
      <c r="A1526" s="178" t="str">
        <f>IFERROR(__xludf.DUMMYFUNCTION("""COMPUTED_VALUE"""),"ITBISA-ABC-BATERAI-AA-ALKALINE")</f>
        <v>ITBISA-ABC-BATERAI-AA-ALKALINE</v>
      </c>
      <c r="B1526" s="266">
        <f>IFERROR(__xludf.DUMMYFUNCTION("""COMPUTED_VALUE"""),45492.0)</f>
        <v>45492</v>
      </c>
      <c r="C1526" s="266" t="str">
        <f>IFERROR(__xludf.DUMMYFUNCTION("""COMPUTED_VALUE"""),"KYAI KONTONG")</f>
        <v>KYAI KONTONG</v>
      </c>
      <c r="D1526" s="186">
        <f>IFERROR(__xludf.DUMMYFUNCTION("""COMPUTED_VALUE"""),8.0)</f>
        <v>8</v>
      </c>
    </row>
    <row r="1527">
      <c r="A1527" s="178" t="str">
        <f>IFERROR(__xludf.DUMMYFUNCTION("""COMPUTED_VALUE"""),"ITBISA-ABC-BATERAI-AA-ALKALINE")</f>
        <v>ITBISA-ABC-BATERAI-AA-ALKALINE</v>
      </c>
      <c r="B1527" s="266">
        <f>IFERROR(__xludf.DUMMYFUNCTION("""COMPUTED_VALUE"""),45493.0)</f>
        <v>45493</v>
      </c>
      <c r="C1527" s="266" t="str">
        <f>IFERROR(__xludf.DUMMYFUNCTION("""COMPUTED_VALUE"""),"KERTASARI CIAMIS")</f>
        <v>KERTASARI CIAMIS</v>
      </c>
      <c r="D1527" s="186">
        <f>IFERROR(__xludf.DUMMYFUNCTION("""COMPUTED_VALUE"""),30.0)</f>
        <v>30</v>
      </c>
    </row>
    <row r="1528">
      <c r="A1528" s="178" t="str">
        <f>IFERROR(__xludf.DUMMYFUNCTION("""COMPUTED_VALUE"""),"ITBISA-ABC-BATERAI-AA-ALKALINE")</f>
        <v>ITBISA-ABC-BATERAI-AA-ALKALINE</v>
      </c>
      <c r="B1528" s="266">
        <f>IFERROR(__xludf.DUMMYFUNCTION("""COMPUTED_VALUE"""),45494.0)</f>
        <v>45494</v>
      </c>
      <c r="C1528" s="266" t="str">
        <f>IFERROR(__xludf.DUMMYFUNCTION("""COMPUTED_VALUE"""),"KERTASARI CIAMIS")</f>
        <v>KERTASARI CIAMIS</v>
      </c>
      <c r="D1528" s="186">
        <f>IFERROR(__xludf.DUMMYFUNCTION("""COMPUTED_VALUE"""),18.0)</f>
        <v>18</v>
      </c>
    </row>
    <row r="1529">
      <c r="A1529" s="178" t="str">
        <f>IFERROR(__xludf.DUMMYFUNCTION("""COMPUTED_VALUE"""),"ITBISA-ABC-BATERAI-AA-ALKALINE")</f>
        <v>ITBISA-ABC-BATERAI-AA-ALKALINE</v>
      </c>
      <c r="B1529" s="266">
        <f>IFERROR(__xludf.DUMMYFUNCTION("""COMPUTED_VALUE"""),45494.0)</f>
        <v>45494</v>
      </c>
      <c r="C1529" s="266" t="str">
        <f>IFERROR(__xludf.DUMMYFUNCTION("""COMPUTED_VALUE"""),"KYAI KONTONG")</f>
        <v>KYAI KONTONG</v>
      </c>
      <c r="D1529" s="186">
        <f>IFERROR(__xludf.DUMMYFUNCTION("""COMPUTED_VALUE"""),8.0)</f>
        <v>8</v>
      </c>
    </row>
    <row r="1530">
      <c r="A1530" s="178" t="str">
        <f>IFERROR(__xludf.DUMMYFUNCTION("""COMPUTED_VALUE"""),"ITBISA-ABC-BATERAI-AA-ALKALINE")</f>
        <v>ITBISA-ABC-BATERAI-AA-ALKALINE</v>
      </c>
      <c r="B1530" s="266">
        <f>IFERROR(__xludf.DUMMYFUNCTION("""COMPUTED_VALUE"""),45494.0)</f>
        <v>45494</v>
      </c>
      <c r="C1530" s="266" t="str">
        <f>IFERROR(__xludf.DUMMYFUNCTION("""COMPUTED_VALUE"""),"KYAI KONTONG")</f>
        <v>KYAI KONTONG</v>
      </c>
      <c r="D1530" s="186">
        <f>IFERROR(__xludf.DUMMYFUNCTION("""COMPUTED_VALUE"""),48.0)</f>
        <v>48</v>
      </c>
    </row>
    <row r="1531">
      <c r="A1531" s="178" t="str">
        <f>IFERROR(__xludf.DUMMYFUNCTION("""COMPUTED_VALUE"""),"ITBISA-ABC-BATERAI-AA-ALKALINE")</f>
        <v>ITBISA-ABC-BATERAI-AA-ALKALINE</v>
      </c>
      <c r="B1531" s="266">
        <f>IFERROR(__xludf.DUMMYFUNCTION("""COMPUTED_VALUE"""),45495.0)</f>
        <v>45495</v>
      </c>
      <c r="C1531" s="266" t="str">
        <f>IFERROR(__xludf.DUMMYFUNCTION("""COMPUTED_VALUE"""),"KERTASARI CIAMIS")</f>
        <v>KERTASARI CIAMIS</v>
      </c>
      <c r="D1531" s="186">
        <f>IFERROR(__xludf.DUMMYFUNCTION("""COMPUTED_VALUE"""),6.0)</f>
        <v>6</v>
      </c>
    </row>
    <row r="1532">
      <c r="A1532" s="178" t="str">
        <f>IFERROR(__xludf.DUMMYFUNCTION("""COMPUTED_VALUE"""),"ITBISA-ABC-BATERAI-AA-ALKALINE")</f>
        <v>ITBISA-ABC-BATERAI-AA-ALKALINE</v>
      </c>
      <c r="B1532" s="266">
        <f>IFERROR(__xludf.DUMMYFUNCTION("""COMPUTED_VALUE"""),45496.0)</f>
        <v>45496</v>
      </c>
      <c r="C1532" s="266" t="str">
        <f>IFERROR(__xludf.DUMMYFUNCTION("""COMPUTED_VALUE"""),"KERTASARI CIAMIS")</f>
        <v>KERTASARI CIAMIS</v>
      </c>
      <c r="D1532" s="186">
        <f>IFERROR(__xludf.DUMMYFUNCTION("""COMPUTED_VALUE"""),12.0)</f>
        <v>12</v>
      </c>
    </row>
    <row r="1533">
      <c r="A1533" s="178" t="str">
        <f>IFERROR(__xludf.DUMMYFUNCTION("""COMPUTED_VALUE"""),"ITBISA-ABC-BATERAI-AA-ALKALINE")</f>
        <v>ITBISA-ABC-BATERAI-AA-ALKALINE</v>
      </c>
      <c r="B1533" s="266">
        <f>IFERROR(__xludf.DUMMYFUNCTION("""COMPUTED_VALUE"""),45497.0)</f>
        <v>45497</v>
      </c>
      <c r="C1533" s="266" t="str">
        <f>IFERROR(__xludf.DUMMYFUNCTION("""COMPUTED_VALUE"""),"KERTASARI CIAMIS")</f>
        <v>KERTASARI CIAMIS</v>
      </c>
      <c r="D1533" s="186">
        <f>IFERROR(__xludf.DUMMYFUNCTION("""COMPUTED_VALUE"""),12.0)</f>
        <v>12</v>
      </c>
    </row>
    <row r="1534">
      <c r="A1534" s="178" t="str">
        <f>IFERROR(__xludf.DUMMYFUNCTION("""COMPUTED_VALUE"""),"ITBISA-ABC-BATERAI-AA-ALKALINE")</f>
        <v>ITBISA-ABC-BATERAI-AA-ALKALINE</v>
      </c>
      <c r="B1534" s="266">
        <f>IFERROR(__xludf.DUMMYFUNCTION("""COMPUTED_VALUE"""),45497.0)</f>
        <v>45497</v>
      </c>
      <c r="C1534" s="266" t="str">
        <f>IFERROR(__xludf.DUMMYFUNCTION("""COMPUTED_VALUE"""),"KERTASARI CIAMIS")</f>
        <v>KERTASARI CIAMIS</v>
      </c>
      <c r="D1534" s="186">
        <f>IFERROR(__xludf.DUMMYFUNCTION("""COMPUTED_VALUE"""),30.0)</f>
        <v>30</v>
      </c>
    </row>
    <row r="1535">
      <c r="A1535" s="178" t="str">
        <f>IFERROR(__xludf.DUMMYFUNCTION("""COMPUTED_VALUE"""),"ITBISA-ABC-BATERAI-AA-ALKALINE")</f>
        <v>ITBISA-ABC-BATERAI-AA-ALKALINE</v>
      </c>
      <c r="B1535" s="266">
        <f>IFERROR(__xludf.DUMMYFUNCTION("""COMPUTED_VALUE"""),45497.0)</f>
        <v>45497</v>
      </c>
      <c r="C1535" s="266" t="str">
        <f>IFERROR(__xludf.DUMMYFUNCTION("""COMPUTED_VALUE"""),"KYAI KONTONG")</f>
        <v>KYAI KONTONG</v>
      </c>
      <c r="D1535" s="186">
        <f>IFERROR(__xludf.DUMMYFUNCTION("""COMPUTED_VALUE"""),8.0)</f>
        <v>8</v>
      </c>
    </row>
    <row r="1536">
      <c r="A1536" s="178" t="str">
        <f>IFERROR(__xludf.DUMMYFUNCTION("""COMPUTED_VALUE"""),"ITBISA-ABC-BATERAI-AA-ALKALINE")</f>
        <v>ITBISA-ABC-BATERAI-AA-ALKALINE</v>
      </c>
      <c r="B1536" s="266">
        <f>IFERROR(__xludf.DUMMYFUNCTION("""COMPUTED_VALUE"""),45497.0)</f>
        <v>45497</v>
      </c>
      <c r="C1536" s="266" t="str">
        <f>IFERROR(__xludf.DUMMYFUNCTION("""COMPUTED_VALUE"""),"KYAI KONTONG")</f>
        <v>KYAI KONTONG</v>
      </c>
      <c r="D1536" s="186">
        <f>IFERROR(__xludf.DUMMYFUNCTION("""COMPUTED_VALUE"""),8.0)</f>
        <v>8</v>
      </c>
    </row>
    <row r="1537">
      <c r="A1537" s="178" t="str">
        <f>IFERROR(__xludf.DUMMYFUNCTION("""COMPUTED_VALUE"""),"ITBISA-ABC-BATERAI-AA-ALKALINE")</f>
        <v>ITBISA-ABC-BATERAI-AA-ALKALINE</v>
      </c>
      <c r="B1537" s="266">
        <f>IFERROR(__xludf.DUMMYFUNCTION("""COMPUTED_VALUE"""),45498.0)</f>
        <v>45498</v>
      </c>
      <c r="C1537" s="266" t="str">
        <f>IFERROR(__xludf.DUMMYFUNCTION("""COMPUTED_VALUE"""),"KERTASARI CIAMIS")</f>
        <v>KERTASARI CIAMIS</v>
      </c>
      <c r="D1537" s="186">
        <f>IFERROR(__xludf.DUMMYFUNCTION("""COMPUTED_VALUE"""),6.0)</f>
        <v>6</v>
      </c>
    </row>
    <row r="1538">
      <c r="A1538" s="178" t="str">
        <f>IFERROR(__xludf.DUMMYFUNCTION("""COMPUTED_VALUE"""),"ITBISA-ABC-BATERAI-AA-ALKALINE")</f>
        <v>ITBISA-ABC-BATERAI-AA-ALKALINE</v>
      </c>
      <c r="B1538" s="266">
        <f>IFERROR(__xludf.DUMMYFUNCTION("""COMPUTED_VALUE"""),45498.0)</f>
        <v>45498</v>
      </c>
      <c r="C1538" s="266" t="str">
        <f>IFERROR(__xludf.DUMMYFUNCTION("""COMPUTED_VALUE"""),"KERTASARI CIAMIS")</f>
        <v>KERTASARI CIAMIS</v>
      </c>
      <c r="D1538" s="186">
        <f>IFERROR(__xludf.DUMMYFUNCTION("""COMPUTED_VALUE"""),6.0)</f>
        <v>6</v>
      </c>
    </row>
    <row r="1539">
      <c r="A1539" s="178" t="str">
        <f>IFERROR(__xludf.DUMMYFUNCTION("""COMPUTED_VALUE"""),"ITBISA-ABC-BATERAI-AA-ALKALINE")</f>
        <v>ITBISA-ABC-BATERAI-AA-ALKALINE</v>
      </c>
      <c r="B1539" s="266">
        <f>IFERROR(__xludf.DUMMYFUNCTION("""COMPUTED_VALUE"""),45500.0)</f>
        <v>45500</v>
      </c>
      <c r="C1539" s="266" t="str">
        <f>IFERROR(__xludf.DUMMYFUNCTION("""COMPUTED_VALUE"""),"KYAI KONTONG")</f>
        <v>KYAI KONTONG</v>
      </c>
      <c r="D1539" s="186">
        <f>IFERROR(__xludf.DUMMYFUNCTION("""COMPUTED_VALUE"""),8.0)</f>
        <v>8</v>
      </c>
    </row>
    <row r="1540">
      <c r="A1540" s="178" t="str">
        <f>IFERROR(__xludf.DUMMYFUNCTION("""COMPUTED_VALUE"""),"ITBISA-ABC-BATERAI-AA-ALKALINE")</f>
        <v>ITBISA-ABC-BATERAI-AA-ALKALINE</v>
      </c>
      <c r="B1540" s="266">
        <f>IFERROR(__xludf.DUMMYFUNCTION("""COMPUTED_VALUE"""),45500.0)</f>
        <v>45500</v>
      </c>
      <c r="C1540" s="266" t="str">
        <f>IFERROR(__xludf.DUMMYFUNCTION("""COMPUTED_VALUE"""),"KYAI KONTONG")</f>
        <v>KYAI KONTONG</v>
      </c>
      <c r="D1540" s="186">
        <f>IFERROR(__xludf.DUMMYFUNCTION("""COMPUTED_VALUE"""),8.0)</f>
        <v>8</v>
      </c>
    </row>
    <row r="1541">
      <c r="A1541" s="178" t="str">
        <f>IFERROR(__xludf.DUMMYFUNCTION("""COMPUTED_VALUE"""),"ITBISA-ABC-BATERAI-AA-ALKALINE")</f>
        <v>ITBISA-ABC-BATERAI-AA-ALKALINE</v>
      </c>
      <c r="B1541" s="266">
        <f>IFERROR(__xludf.DUMMYFUNCTION("""COMPUTED_VALUE"""),45500.0)</f>
        <v>45500</v>
      </c>
      <c r="C1541" s="266" t="str">
        <f>IFERROR(__xludf.DUMMYFUNCTION("""COMPUTED_VALUE"""),"KYAI KONTONG")</f>
        <v>KYAI KONTONG</v>
      </c>
      <c r="D1541" s="186">
        <f>IFERROR(__xludf.DUMMYFUNCTION("""COMPUTED_VALUE"""),16.0)</f>
        <v>16</v>
      </c>
    </row>
    <row r="1542">
      <c r="A1542" s="178" t="str">
        <f>IFERROR(__xludf.DUMMYFUNCTION("""COMPUTED_VALUE"""),"ITBISA-ABC-BATERAI-AA-ALKALINE")</f>
        <v>ITBISA-ABC-BATERAI-AA-ALKALINE</v>
      </c>
      <c r="B1542" s="266">
        <f>IFERROR(__xludf.DUMMYFUNCTION("""COMPUTED_VALUE"""),45501.0)</f>
        <v>45501</v>
      </c>
      <c r="C1542" s="266" t="str">
        <f>IFERROR(__xludf.DUMMYFUNCTION("""COMPUTED_VALUE"""),"KYAI KONTONG")</f>
        <v>KYAI KONTONG</v>
      </c>
      <c r="D1542" s="186">
        <f>IFERROR(__xludf.DUMMYFUNCTION("""COMPUTED_VALUE"""),8.0)</f>
        <v>8</v>
      </c>
    </row>
    <row r="1543">
      <c r="A1543" s="178" t="str">
        <f>IFERROR(__xludf.DUMMYFUNCTION("""COMPUTED_VALUE"""),"ITBISA-ABC-BATERAI-AA-ALKALINE")</f>
        <v>ITBISA-ABC-BATERAI-AA-ALKALINE</v>
      </c>
      <c r="B1543" s="266">
        <f>IFERROR(__xludf.DUMMYFUNCTION("""COMPUTED_VALUE"""),45502.0)</f>
        <v>45502</v>
      </c>
      <c r="C1543" s="266" t="str">
        <f>IFERROR(__xludf.DUMMYFUNCTION("""COMPUTED_VALUE"""),"KYAI KONTONG")</f>
        <v>KYAI KONTONG</v>
      </c>
      <c r="D1543" s="186">
        <f>IFERROR(__xludf.DUMMYFUNCTION("""COMPUTED_VALUE"""),8.0)</f>
        <v>8</v>
      </c>
    </row>
    <row r="1544">
      <c r="A1544" s="178" t="str">
        <f>IFERROR(__xludf.DUMMYFUNCTION("""COMPUTED_VALUE"""),"ITBISA-ABC-BATERAI-AA-ALKALINE")</f>
        <v>ITBISA-ABC-BATERAI-AA-ALKALINE</v>
      </c>
      <c r="B1544" s="266">
        <f>IFERROR(__xludf.DUMMYFUNCTION("""COMPUTED_VALUE"""),45502.0)</f>
        <v>45502</v>
      </c>
      <c r="C1544" s="266" t="str">
        <f>IFERROR(__xludf.DUMMYFUNCTION("""COMPUTED_VALUE"""),"KYAI KONTONG")</f>
        <v>KYAI KONTONG</v>
      </c>
      <c r="D1544" s="186">
        <f>IFERROR(__xludf.DUMMYFUNCTION("""COMPUTED_VALUE"""),24.0)</f>
        <v>24</v>
      </c>
    </row>
    <row r="1545">
      <c r="A1545" s="178" t="str">
        <f>IFERROR(__xludf.DUMMYFUNCTION("""COMPUTED_VALUE"""),"ITBISA-ABC-BATERAI-AA-ALKALINE")</f>
        <v>ITBISA-ABC-BATERAI-AA-ALKALINE</v>
      </c>
      <c r="B1545" s="266">
        <f>IFERROR(__xludf.DUMMYFUNCTION("""COMPUTED_VALUE"""),45503.0)</f>
        <v>45503</v>
      </c>
      <c r="C1545" s="266" t="str">
        <f>IFERROR(__xludf.DUMMYFUNCTION("""COMPUTED_VALUE"""),"KYAI KONTONG")</f>
        <v>KYAI KONTONG</v>
      </c>
      <c r="D1545" s="186">
        <f>IFERROR(__xludf.DUMMYFUNCTION("""COMPUTED_VALUE"""),8.0)</f>
        <v>8</v>
      </c>
    </row>
    <row r="1546">
      <c r="A1546" s="178" t="str">
        <f>IFERROR(__xludf.DUMMYFUNCTION("""COMPUTED_VALUE"""),"ITBISA-ABC-BATERAI-AA-ALKALINE")</f>
        <v>ITBISA-ABC-BATERAI-AA-ALKALINE</v>
      </c>
      <c r="B1546" s="266">
        <f>IFERROR(__xludf.DUMMYFUNCTION("""COMPUTED_VALUE"""),45503.0)</f>
        <v>45503</v>
      </c>
      <c r="C1546" s="266" t="str">
        <f>IFERROR(__xludf.DUMMYFUNCTION("""COMPUTED_VALUE"""),"KYAI KONTONG")</f>
        <v>KYAI KONTONG</v>
      </c>
      <c r="D1546" s="186">
        <f>IFERROR(__xludf.DUMMYFUNCTION("""COMPUTED_VALUE"""),32.0)</f>
        <v>32</v>
      </c>
    </row>
    <row r="1547">
      <c r="A1547" s="178" t="str">
        <f>IFERROR(__xludf.DUMMYFUNCTION("""COMPUTED_VALUE"""),"ITBISA-ABC-BATERAI-AA-ALKALINE")</f>
        <v>ITBISA-ABC-BATERAI-AA-ALKALINE</v>
      </c>
      <c r="B1547" s="266">
        <f>IFERROR(__xludf.DUMMYFUNCTION("""COMPUTED_VALUE"""),45504.0)</f>
        <v>45504</v>
      </c>
      <c r="C1547" s="266" t="str">
        <f>IFERROR(__xludf.DUMMYFUNCTION("""COMPUTED_VALUE"""),"KYAI KONTONG")</f>
        <v>KYAI KONTONG</v>
      </c>
      <c r="D1547" s="186">
        <f>IFERROR(__xludf.DUMMYFUNCTION("""COMPUTED_VALUE"""),2.0)</f>
        <v>2</v>
      </c>
    </row>
    <row r="1548">
      <c r="A1548" s="178" t="str">
        <f>IFERROR(__xludf.DUMMYFUNCTION("""COMPUTED_VALUE"""),"ITBISA-ABC-BATERAI-AA-ALKALINE")</f>
        <v>ITBISA-ABC-BATERAI-AA-ALKALINE</v>
      </c>
      <c r="B1548" s="266">
        <f>IFERROR(__xludf.DUMMYFUNCTION("""COMPUTED_VALUE"""),45505.0)</f>
        <v>45505</v>
      </c>
      <c r="C1548" s="266" t="str">
        <f>IFERROR(__xludf.DUMMYFUNCTION("""COMPUTED_VALUE"""),"KYAI KONTONG")</f>
        <v>KYAI KONTONG</v>
      </c>
      <c r="D1548" s="186">
        <f>IFERROR(__xludf.DUMMYFUNCTION("""COMPUTED_VALUE"""),1.0)</f>
        <v>1</v>
      </c>
    </row>
    <row r="1549">
      <c r="A1549" s="178" t="str">
        <f>IFERROR(__xludf.DUMMYFUNCTION("""COMPUTED_VALUE"""),"ITBISA-ABC-BATERAI-AA-ALKALINE")</f>
        <v>ITBISA-ABC-BATERAI-AA-ALKALINE</v>
      </c>
      <c r="B1549" s="266">
        <f>IFERROR(__xludf.DUMMYFUNCTION("""COMPUTED_VALUE"""),45505.0)</f>
        <v>45505</v>
      </c>
      <c r="C1549" s="266" t="str">
        <f>IFERROR(__xludf.DUMMYFUNCTION("""COMPUTED_VALUE"""),"KYAI KONTONG")</f>
        <v>KYAI KONTONG</v>
      </c>
      <c r="D1549" s="186">
        <f>IFERROR(__xludf.DUMMYFUNCTION("""COMPUTED_VALUE"""),6.0)</f>
        <v>6</v>
      </c>
    </row>
    <row r="1550">
      <c r="A1550" s="178" t="str">
        <f>IFERROR(__xludf.DUMMYFUNCTION("""COMPUTED_VALUE"""),"ITBISA-ABC-BATERAI-AA-ALKALINE")</f>
        <v>ITBISA-ABC-BATERAI-AA-ALKALINE</v>
      </c>
      <c r="B1550" s="266">
        <f>IFERROR(__xludf.DUMMYFUNCTION("""COMPUTED_VALUE"""),45505.0)</f>
        <v>45505</v>
      </c>
      <c r="C1550" s="266" t="str">
        <f>IFERROR(__xludf.DUMMYFUNCTION("""COMPUTED_VALUE"""),"KYAI KONTONG")</f>
        <v>KYAI KONTONG</v>
      </c>
      <c r="D1550" s="186">
        <f>IFERROR(__xludf.DUMMYFUNCTION("""COMPUTED_VALUE"""),8.0)</f>
        <v>8</v>
      </c>
    </row>
    <row r="1551">
      <c r="A1551" s="178" t="str">
        <f>IFERROR(__xludf.DUMMYFUNCTION("""COMPUTED_VALUE"""),"ITBISA-ABC-BATERAI-AA-ALKALINE")</f>
        <v>ITBISA-ABC-BATERAI-AA-ALKALINE</v>
      </c>
      <c r="B1551" s="266">
        <f>IFERROR(__xludf.DUMMYFUNCTION("""COMPUTED_VALUE"""),45506.0)</f>
        <v>45506</v>
      </c>
      <c r="C1551" s="266" t="str">
        <f>IFERROR(__xludf.DUMMYFUNCTION("""COMPUTED_VALUE"""),"KYAI KONTONG")</f>
        <v>KYAI KONTONG</v>
      </c>
      <c r="D1551" s="186">
        <f>IFERROR(__xludf.DUMMYFUNCTION("""COMPUTED_VALUE"""),8.0)</f>
        <v>8</v>
      </c>
    </row>
    <row r="1552">
      <c r="A1552" s="178" t="str">
        <f>IFERROR(__xludf.DUMMYFUNCTION("""COMPUTED_VALUE"""),"ITBISA-ABC-BATERAI-AA-ALKALINE")</f>
        <v>ITBISA-ABC-BATERAI-AA-ALKALINE</v>
      </c>
      <c r="B1552" s="266">
        <f>IFERROR(__xludf.DUMMYFUNCTION("""COMPUTED_VALUE"""),45508.0)</f>
        <v>45508</v>
      </c>
      <c r="C1552" s="266" t="str">
        <f>IFERROR(__xludf.DUMMYFUNCTION("""COMPUTED_VALUE"""),"KERTASARI CIAMIS")</f>
        <v>KERTASARI CIAMIS</v>
      </c>
      <c r="D1552" s="186">
        <f>IFERROR(__xludf.DUMMYFUNCTION("""COMPUTED_VALUE"""),6.0)</f>
        <v>6</v>
      </c>
    </row>
    <row r="1553">
      <c r="A1553" s="178" t="str">
        <f>IFERROR(__xludf.DUMMYFUNCTION("""COMPUTED_VALUE"""),"ITBISA-ABC-BATERAI-AA-ALKALINE")</f>
        <v>ITBISA-ABC-BATERAI-AA-ALKALINE</v>
      </c>
      <c r="B1553" s="266">
        <f>IFERROR(__xludf.DUMMYFUNCTION("""COMPUTED_VALUE"""),45508.0)</f>
        <v>45508</v>
      </c>
      <c r="C1553" s="266" t="str">
        <f>IFERROR(__xludf.DUMMYFUNCTION("""COMPUTED_VALUE"""),"KERTASARI CIAMIS")</f>
        <v>KERTASARI CIAMIS</v>
      </c>
      <c r="D1553" s="186">
        <f>IFERROR(__xludf.DUMMYFUNCTION("""COMPUTED_VALUE"""),12.0)</f>
        <v>12</v>
      </c>
    </row>
    <row r="1554">
      <c r="A1554" s="178" t="str">
        <f>IFERROR(__xludf.DUMMYFUNCTION("""COMPUTED_VALUE"""),"ITBISA-ABC-BATERAI-AA-ALKALINE")</f>
        <v>ITBISA-ABC-BATERAI-AA-ALKALINE</v>
      </c>
      <c r="B1554" s="266">
        <f>IFERROR(__xludf.DUMMYFUNCTION("""COMPUTED_VALUE"""),45508.0)</f>
        <v>45508</v>
      </c>
      <c r="C1554" s="266" t="str">
        <f>IFERROR(__xludf.DUMMYFUNCTION("""COMPUTED_VALUE"""),"KYAI KONTONG")</f>
        <v>KYAI KONTONG</v>
      </c>
      <c r="D1554" s="186">
        <f>IFERROR(__xludf.DUMMYFUNCTION("""COMPUTED_VALUE"""),8.0)</f>
        <v>8</v>
      </c>
    </row>
    <row r="1555">
      <c r="A1555" s="178" t="str">
        <f>IFERROR(__xludf.DUMMYFUNCTION("""COMPUTED_VALUE"""),"ITBISA-ABC-BATERAI-AA-ALKALINE")</f>
        <v>ITBISA-ABC-BATERAI-AA-ALKALINE</v>
      </c>
      <c r="B1555" s="266">
        <f>IFERROR(__xludf.DUMMYFUNCTION("""COMPUTED_VALUE"""),45509.0)</f>
        <v>45509</v>
      </c>
      <c r="C1555" s="266" t="str">
        <f>IFERROR(__xludf.DUMMYFUNCTION("""COMPUTED_VALUE"""),"KYAI KONTONG")</f>
        <v>KYAI KONTONG</v>
      </c>
      <c r="D1555" s="186">
        <f>IFERROR(__xludf.DUMMYFUNCTION("""COMPUTED_VALUE"""),6.0)</f>
        <v>6</v>
      </c>
    </row>
    <row r="1556">
      <c r="A1556" s="178" t="str">
        <f>IFERROR(__xludf.DUMMYFUNCTION("""COMPUTED_VALUE"""),"ITBISA-ABC-BATERAI-AA-ALKALINE")</f>
        <v>ITBISA-ABC-BATERAI-AA-ALKALINE</v>
      </c>
      <c r="B1556" s="266">
        <f>IFERROR(__xludf.DUMMYFUNCTION("""COMPUTED_VALUE"""),45509.0)</f>
        <v>45509</v>
      </c>
      <c r="C1556" s="266" t="str">
        <f>IFERROR(__xludf.DUMMYFUNCTION("""COMPUTED_VALUE"""),"KYAI KONTONG")</f>
        <v>KYAI KONTONG</v>
      </c>
      <c r="D1556" s="186">
        <f>IFERROR(__xludf.DUMMYFUNCTION("""COMPUTED_VALUE"""),24.0)</f>
        <v>24</v>
      </c>
    </row>
    <row r="1557">
      <c r="A1557" s="178" t="str">
        <f>IFERROR(__xludf.DUMMYFUNCTION("""COMPUTED_VALUE"""),"ITBISA-ABC-BATERAI-AA-ALKALINE")</f>
        <v>ITBISA-ABC-BATERAI-AA-ALKALINE</v>
      </c>
      <c r="B1557" s="266">
        <f>IFERROR(__xludf.DUMMYFUNCTION("""COMPUTED_VALUE"""),45510.0)</f>
        <v>45510</v>
      </c>
      <c r="C1557" s="266" t="str">
        <f>IFERROR(__xludf.DUMMYFUNCTION("""COMPUTED_VALUE"""),"KYAI KONTONG")</f>
        <v>KYAI KONTONG</v>
      </c>
      <c r="D1557" s="186">
        <f>IFERROR(__xludf.DUMMYFUNCTION("""COMPUTED_VALUE"""),6.0)</f>
        <v>6</v>
      </c>
    </row>
    <row r="1558">
      <c r="A1558" s="178" t="str">
        <f>IFERROR(__xludf.DUMMYFUNCTION("""COMPUTED_VALUE"""),"ITBISA-ABC-BATERAI-AA-ALKALINE")</f>
        <v>ITBISA-ABC-BATERAI-AA-ALKALINE</v>
      </c>
      <c r="B1558" s="266">
        <f>IFERROR(__xludf.DUMMYFUNCTION("""COMPUTED_VALUE"""),45510.0)</f>
        <v>45510</v>
      </c>
      <c r="C1558" s="266" t="str">
        <f>IFERROR(__xludf.DUMMYFUNCTION("""COMPUTED_VALUE"""),"KYAI KONTONG")</f>
        <v>KYAI KONTONG</v>
      </c>
      <c r="D1558" s="186">
        <f>IFERROR(__xludf.DUMMYFUNCTION("""COMPUTED_VALUE"""),8.0)</f>
        <v>8</v>
      </c>
    </row>
    <row r="1559">
      <c r="A1559" s="178" t="str">
        <f>IFERROR(__xludf.DUMMYFUNCTION("""COMPUTED_VALUE"""),"ITBISA-ABC-BATERAI-AA-ALKALINE")</f>
        <v>ITBISA-ABC-BATERAI-AA-ALKALINE</v>
      </c>
      <c r="B1559" s="266">
        <f>IFERROR(__xludf.DUMMYFUNCTION("""COMPUTED_VALUE"""),45512.0)</f>
        <v>45512</v>
      </c>
      <c r="C1559" s="266" t="str">
        <f>IFERROR(__xludf.DUMMYFUNCTION("""COMPUTED_VALUE"""),"KYAI KONTONG")</f>
        <v>KYAI KONTONG</v>
      </c>
      <c r="D1559" s="186">
        <f>IFERROR(__xludf.DUMMYFUNCTION("""COMPUTED_VALUE"""),8.0)</f>
        <v>8</v>
      </c>
    </row>
    <row r="1560">
      <c r="A1560" s="178" t="str">
        <f>IFERROR(__xludf.DUMMYFUNCTION("""COMPUTED_VALUE"""),"ITBISA-ABC-BATERAI-AA-ALKALINE")</f>
        <v>ITBISA-ABC-BATERAI-AA-ALKALINE</v>
      </c>
      <c r="B1560" s="266">
        <f>IFERROR(__xludf.DUMMYFUNCTION("""COMPUTED_VALUE"""),45512.0)</f>
        <v>45512</v>
      </c>
      <c r="C1560" s="266" t="str">
        <f>IFERROR(__xludf.DUMMYFUNCTION("""COMPUTED_VALUE"""),"KYAI KONTONG")</f>
        <v>KYAI KONTONG</v>
      </c>
      <c r="D1560" s="186">
        <f>IFERROR(__xludf.DUMMYFUNCTION("""COMPUTED_VALUE"""),8.0)</f>
        <v>8</v>
      </c>
    </row>
    <row r="1561">
      <c r="A1561" s="178" t="str">
        <f>IFERROR(__xludf.DUMMYFUNCTION("""COMPUTED_VALUE"""),"ITBISA-ABC-BATERAI-AA-ALKALINE")</f>
        <v>ITBISA-ABC-BATERAI-AA-ALKALINE</v>
      </c>
      <c r="B1561" s="266">
        <f>IFERROR(__xludf.DUMMYFUNCTION("""COMPUTED_VALUE"""),45512.0)</f>
        <v>45512</v>
      </c>
      <c r="C1561" s="266" t="str">
        <f>IFERROR(__xludf.DUMMYFUNCTION("""COMPUTED_VALUE"""),"KYAI KONTONG")</f>
        <v>KYAI KONTONG</v>
      </c>
      <c r="D1561" s="186">
        <f>IFERROR(__xludf.DUMMYFUNCTION("""COMPUTED_VALUE"""),16.0)</f>
        <v>16</v>
      </c>
    </row>
    <row r="1562">
      <c r="A1562" s="178" t="str">
        <f>IFERROR(__xludf.DUMMYFUNCTION("""COMPUTED_VALUE"""),"ITBISA-ABC-BATERAI-AA-ALKALINE")</f>
        <v>ITBISA-ABC-BATERAI-AA-ALKALINE</v>
      </c>
      <c r="B1562" s="266">
        <f>IFERROR(__xludf.DUMMYFUNCTION("""COMPUTED_VALUE"""),45512.0)</f>
        <v>45512</v>
      </c>
      <c r="C1562" s="266" t="str">
        <f>IFERROR(__xludf.DUMMYFUNCTION("""COMPUTED_VALUE"""),"KYAI KONTONG")</f>
        <v>KYAI KONTONG</v>
      </c>
      <c r="D1562" s="186">
        <f>IFERROR(__xludf.DUMMYFUNCTION("""COMPUTED_VALUE"""),40.0)</f>
        <v>40</v>
      </c>
    </row>
    <row r="1563">
      <c r="A1563" s="178" t="str">
        <f>IFERROR(__xludf.DUMMYFUNCTION("""COMPUTED_VALUE"""),"ITBISA-ABC-BATERAI-AA-ALKALINE")</f>
        <v>ITBISA-ABC-BATERAI-AA-ALKALINE</v>
      </c>
      <c r="B1563" s="266">
        <f>IFERROR(__xludf.DUMMYFUNCTION("""COMPUTED_VALUE"""),45512.0)</f>
        <v>45512</v>
      </c>
      <c r="C1563" s="266" t="str">
        <f>IFERROR(__xludf.DUMMYFUNCTION("""COMPUTED_VALUE"""),"KYAI KONTONG")</f>
        <v>KYAI KONTONG</v>
      </c>
      <c r="D1563" s="186">
        <f>IFERROR(__xludf.DUMMYFUNCTION("""COMPUTED_VALUE"""),276.0)</f>
        <v>276</v>
      </c>
    </row>
    <row r="1564">
      <c r="A1564" s="178" t="str">
        <f>IFERROR(__xludf.DUMMYFUNCTION("""COMPUTED_VALUE"""),"ITBISA-ABC-BATERAI-AA-ALKALINE")</f>
        <v>ITBISA-ABC-BATERAI-AA-ALKALINE</v>
      </c>
      <c r="B1564" s="266">
        <f>IFERROR(__xludf.DUMMYFUNCTION("""COMPUTED_VALUE"""),45514.0)</f>
        <v>45514</v>
      </c>
      <c r="C1564" s="266" t="str">
        <f>IFERROR(__xludf.DUMMYFUNCTION("""COMPUTED_VALUE"""),"KYAI KONTONG")</f>
        <v>KYAI KONTONG</v>
      </c>
      <c r="D1564" s="186">
        <f>IFERROR(__xludf.DUMMYFUNCTION("""COMPUTED_VALUE"""),16.0)</f>
        <v>16</v>
      </c>
    </row>
    <row r="1565">
      <c r="A1565" s="178" t="str">
        <f>IFERROR(__xludf.DUMMYFUNCTION("""COMPUTED_VALUE"""),"ITBISA-ABC-BATERAI-AA-ALKALINE")</f>
        <v>ITBISA-ABC-BATERAI-AA-ALKALINE</v>
      </c>
      <c r="B1565" s="266">
        <f>IFERROR(__xludf.DUMMYFUNCTION("""COMPUTED_VALUE"""),45519.0)</f>
        <v>45519</v>
      </c>
      <c r="C1565" s="266" t="str">
        <f>IFERROR(__xludf.DUMMYFUNCTION("""COMPUTED_VALUE"""),"KYAI KONTONG")</f>
        <v>KYAI KONTONG</v>
      </c>
      <c r="D1565" s="186">
        <f>IFERROR(__xludf.DUMMYFUNCTION("""COMPUTED_VALUE"""),20.0)</f>
        <v>20</v>
      </c>
    </row>
    <row r="1566">
      <c r="A1566" s="178" t="str">
        <f>IFERROR(__xludf.DUMMYFUNCTION("""COMPUTED_VALUE"""),"ITBISA-ABC-BATERAI-AA-ALKALINE")</f>
        <v>ITBISA-ABC-BATERAI-AA-ALKALINE</v>
      </c>
      <c r="B1566" s="266">
        <f>IFERROR(__xludf.DUMMYFUNCTION("""COMPUTED_VALUE"""),45521.0)</f>
        <v>45521</v>
      </c>
      <c r="C1566" s="266" t="str">
        <f>IFERROR(__xludf.DUMMYFUNCTION("""COMPUTED_VALUE"""),"KYAI KONTONG")</f>
        <v>KYAI KONTONG</v>
      </c>
      <c r="D1566" s="186">
        <f>IFERROR(__xludf.DUMMYFUNCTION("""COMPUTED_VALUE"""),5.0)</f>
        <v>5</v>
      </c>
    </row>
    <row r="1567">
      <c r="A1567" s="178" t="str">
        <f>IFERROR(__xludf.DUMMYFUNCTION("""COMPUTED_VALUE"""),"ITBISA-ABC-BATERAI-AA-ALKALINE")</f>
        <v>ITBISA-ABC-BATERAI-AA-ALKALINE</v>
      </c>
      <c r="B1567" s="266">
        <f>IFERROR(__xludf.DUMMYFUNCTION("""COMPUTED_VALUE"""),45523.0)</f>
        <v>45523</v>
      </c>
      <c r="C1567" s="266" t="str">
        <f>IFERROR(__xludf.DUMMYFUNCTION("""COMPUTED_VALUE"""),"KYAI KONTONG")</f>
        <v>KYAI KONTONG</v>
      </c>
      <c r="D1567" s="186">
        <f>IFERROR(__xludf.DUMMYFUNCTION("""COMPUTED_VALUE"""),16.0)</f>
        <v>16</v>
      </c>
    </row>
    <row r="1568">
      <c r="A1568" s="178" t="str">
        <f>IFERROR(__xludf.DUMMYFUNCTION("""COMPUTED_VALUE"""),"ITBISA-ABC-BATERAI-AA-ALKALINE")</f>
        <v>ITBISA-ABC-BATERAI-AA-ALKALINE</v>
      </c>
      <c r="B1568" s="266">
        <f>IFERROR(__xludf.DUMMYFUNCTION("""COMPUTED_VALUE"""),45525.0)</f>
        <v>45525</v>
      </c>
      <c r="C1568" s="266" t="str">
        <f>IFERROR(__xludf.DUMMYFUNCTION("""COMPUTED_VALUE"""),"KYAI KONTONG")</f>
        <v>KYAI KONTONG</v>
      </c>
      <c r="D1568" s="186">
        <f>IFERROR(__xludf.DUMMYFUNCTION("""COMPUTED_VALUE"""),24.0)</f>
        <v>24</v>
      </c>
    </row>
    <row r="1569">
      <c r="A1569" s="178" t="str">
        <f>IFERROR(__xludf.DUMMYFUNCTION("""COMPUTED_VALUE"""),"ITBISA-ABC-BATERAI-AA-ALKALINE")</f>
        <v>ITBISA-ABC-BATERAI-AA-ALKALINE</v>
      </c>
      <c r="B1569" s="266">
        <f>IFERROR(__xludf.DUMMYFUNCTION("""COMPUTED_VALUE"""),45526.0)</f>
        <v>45526</v>
      </c>
      <c r="C1569" s="266" t="str">
        <f>IFERROR(__xludf.DUMMYFUNCTION("""COMPUTED_VALUE"""),"KYAI KONTONG")</f>
        <v>KYAI KONTONG</v>
      </c>
      <c r="D1569" s="186">
        <f>IFERROR(__xludf.DUMMYFUNCTION("""COMPUTED_VALUE"""),8.0)</f>
        <v>8</v>
      </c>
    </row>
    <row r="1570">
      <c r="A1570" s="178" t="str">
        <f>IFERROR(__xludf.DUMMYFUNCTION("""COMPUTED_VALUE"""),"ITBISA-ABC-BATERAI-AA-ALKALINE")</f>
        <v>ITBISA-ABC-BATERAI-AA-ALKALINE</v>
      </c>
      <c r="B1570" s="266">
        <f>IFERROR(__xludf.DUMMYFUNCTION("""COMPUTED_VALUE"""),45528.0)</f>
        <v>45528</v>
      </c>
      <c r="C1570" s="266" t="str">
        <f>IFERROR(__xludf.DUMMYFUNCTION("""COMPUTED_VALUE"""),"KYAI KONTONG")</f>
        <v>KYAI KONTONG</v>
      </c>
      <c r="D1570" s="186">
        <f>IFERROR(__xludf.DUMMYFUNCTION("""COMPUTED_VALUE"""),24.0)</f>
        <v>24</v>
      </c>
    </row>
    <row r="1571">
      <c r="A1571" s="178" t="str">
        <f>IFERROR(__xludf.DUMMYFUNCTION("""COMPUTED_VALUE"""),"ITBISA-ABC-BATERAI-AA-ALKALINE")</f>
        <v>ITBISA-ABC-BATERAI-AA-ALKALINE</v>
      </c>
      <c r="B1571" s="266">
        <f>IFERROR(__xludf.DUMMYFUNCTION("""COMPUTED_VALUE"""),45532.0)</f>
        <v>45532</v>
      </c>
      <c r="C1571" s="266" t="str">
        <f>IFERROR(__xludf.DUMMYFUNCTION("""COMPUTED_VALUE"""),"KERTASARI CIAMIS")</f>
        <v>KERTASARI CIAMIS</v>
      </c>
      <c r="D1571" s="186">
        <f>IFERROR(__xludf.DUMMYFUNCTION("""COMPUTED_VALUE"""),2.0)</f>
        <v>2</v>
      </c>
    </row>
    <row r="1572">
      <c r="A1572" s="178" t="str">
        <f>IFERROR(__xludf.DUMMYFUNCTION("""COMPUTED_VALUE"""),"ITBISA-ABC-BATERAI-AA-ALKALINE")</f>
        <v>ITBISA-ABC-BATERAI-AA-ALKALINE</v>
      </c>
      <c r="B1572" s="266">
        <f>IFERROR(__xludf.DUMMYFUNCTION("""COMPUTED_VALUE"""),45542.0)</f>
        <v>45542</v>
      </c>
      <c r="C1572" s="266" t="str">
        <f>IFERROR(__xludf.DUMMYFUNCTION("""COMPUTED_VALUE"""),"KYAI KONTONG")</f>
        <v>KYAI KONTONG</v>
      </c>
      <c r="D1572" s="186">
        <f>IFERROR(__xludf.DUMMYFUNCTION("""COMPUTED_VALUE"""),8.0)</f>
        <v>8</v>
      </c>
    </row>
    <row r="1573">
      <c r="A1573" s="178" t="str">
        <f>IFERROR(__xludf.DUMMYFUNCTION("""COMPUTED_VALUE"""),"ITBISA-ABC-BATERAI-AA-ALKALINE")</f>
        <v>ITBISA-ABC-BATERAI-AA-ALKALINE</v>
      </c>
      <c r="B1573" s="266">
        <f>IFERROR(__xludf.DUMMYFUNCTION("""COMPUTED_VALUE"""),45543.0)</f>
        <v>45543</v>
      </c>
      <c r="C1573" s="266" t="str">
        <f>IFERROR(__xludf.DUMMYFUNCTION("""COMPUTED_VALUE"""),"KYAI KONTONG")</f>
        <v>KYAI KONTONG</v>
      </c>
      <c r="D1573" s="186">
        <f>IFERROR(__xludf.DUMMYFUNCTION("""COMPUTED_VALUE"""),8.0)</f>
        <v>8</v>
      </c>
    </row>
    <row r="1574">
      <c r="A1574" s="178" t="str">
        <f>IFERROR(__xludf.DUMMYFUNCTION("""COMPUTED_VALUE"""),"ITBISA-ABC-BATERAI-AA-ALKALINE")</f>
        <v>ITBISA-ABC-BATERAI-AA-ALKALINE</v>
      </c>
      <c r="B1574" s="266">
        <f>IFERROR(__xludf.DUMMYFUNCTION("""COMPUTED_VALUE"""),45545.0)</f>
        <v>45545</v>
      </c>
      <c r="C1574" s="266" t="str">
        <f>IFERROR(__xludf.DUMMYFUNCTION("""COMPUTED_VALUE"""),"KYAI KONTONG")</f>
        <v>KYAI KONTONG</v>
      </c>
      <c r="D1574" s="186">
        <f>IFERROR(__xludf.DUMMYFUNCTION("""COMPUTED_VALUE"""),18.0)</f>
        <v>18</v>
      </c>
    </row>
    <row r="1575">
      <c r="A1575" s="178" t="str">
        <f>IFERROR(__xludf.DUMMYFUNCTION("""COMPUTED_VALUE"""),"ITBISA-ABC-BATERAI-AA-ALKALINE")</f>
        <v>ITBISA-ABC-BATERAI-AA-ALKALINE</v>
      </c>
      <c r="B1575" s="266">
        <f>IFERROR(__xludf.DUMMYFUNCTION("""COMPUTED_VALUE"""),45547.0)</f>
        <v>45547</v>
      </c>
      <c r="C1575" s="266" t="str">
        <f>IFERROR(__xludf.DUMMYFUNCTION("""COMPUTED_VALUE"""),"KERTASARI CIAMIS")</f>
        <v>KERTASARI CIAMIS</v>
      </c>
      <c r="D1575" s="186">
        <f>IFERROR(__xludf.DUMMYFUNCTION("""COMPUTED_VALUE"""),6.0)</f>
        <v>6</v>
      </c>
    </row>
    <row r="1576">
      <c r="A1576" s="178" t="str">
        <f>IFERROR(__xludf.DUMMYFUNCTION("""COMPUTED_VALUE"""),"ITBISA-ABC-BATERAI-AA-ALKALINE")</f>
        <v>ITBISA-ABC-BATERAI-AA-ALKALINE</v>
      </c>
      <c r="B1576" s="266">
        <f>IFERROR(__xludf.DUMMYFUNCTION("""COMPUTED_VALUE"""),45550.0)</f>
        <v>45550</v>
      </c>
      <c r="C1576" s="266" t="str">
        <f>IFERROR(__xludf.DUMMYFUNCTION("""COMPUTED_VALUE"""),"KYAI KONTONG")</f>
        <v>KYAI KONTONG</v>
      </c>
      <c r="D1576" s="186">
        <f>IFERROR(__xludf.DUMMYFUNCTION("""COMPUTED_VALUE"""),3.0)</f>
        <v>3</v>
      </c>
    </row>
    <row r="1577">
      <c r="A1577" s="178" t="str">
        <f>IFERROR(__xludf.DUMMYFUNCTION("""COMPUTED_VALUE"""),"ITBISA-ABC-BATERAI-AA-ALKALINE")</f>
        <v>ITBISA-ABC-BATERAI-AA-ALKALINE</v>
      </c>
      <c r="B1577" s="266">
        <f>IFERROR(__xludf.DUMMYFUNCTION("""COMPUTED_VALUE"""),45566.0)</f>
        <v>45566</v>
      </c>
      <c r="C1577" s="266" t="str">
        <f>IFERROR(__xludf.DUMMYFUNCTION("""COMPUTED_VALUE"""),"KERTASARI CIAMIS")</f>
        <v>KERTASARI CIAMIS</v>
      </c>
      <c r="D1577" s="186">
        <f>IFERROR(__xludf.DUMMYFUNCTION("""COMPUTED_VALUE"""),50.0)</f>
        <v>50</v>
      </c>
    </row>
    <row r="1578">
      <c r="A1578" s="178" t="str">
        <f>IFERROR(__xludf.DUMMYFUNCTION("""COMPUTED_VALUE"""),"ITBISA-ABC-BATERAI-AA-ALKALINE")</f>
        <v>ITBISA-ABC-BATERAI-AA-ALKALINE</v>
      </c>
      <c r="B1578" s="266">
        <f>IFERROR(__xludf.DUMMYFUNCTION("""COMPUTED_VALUE"""),45567.0)</f>
        <v>45567</v>
      </c>
      <c r="C1578" s="266" t="str">
        <f>IFERROR(__xludf.DUMMYFUNCTION("""COMPUTED_VALUE"""),"KYAI KONTONG")</f>
        <v>KYAI KONTONG</v>
      </c>
      <c r="D1578" s="186">
        <f>IFERROR(__xludf.DUMMYFUNCTION("""COMPUTED_VALUE"""),50.0)</f>
        <v>50</v>
      </c>
    </row>
    <row r="1579">
      <c r="A1579" s="178" t="str">
        <f>IFERROR(__xludf.DUMMYFUNCTION("""COMPUTED_VALUE"""),"ITBISA-ABC-BATERAI-AA-ALKALINE")</f>
        <v>ITBISA-ABC-BATERAI-AA-ALKALINE</v>
      </c>
      <c r="B1579" s="266">
        <f>IFERROR(__xludf.DUMMYFUNCTION("""COMPUTED_VALUE"""),45572.0)</f>
        <v>45572</v>
      </c>
      <c r="C1579" s="266" t="str">
        <f>IFERROR(__xludf.DUMMYFUNCTION("""COMPUTED_VALUE"""),"KYAI KONTONG")</f>
        <v>KYAI KONTONG</v>
      </c>
      <c r="D1579" s="186">
        <f>IFERROR(__xludf.DUMMYFUNCTION("""COMPUTED_VALUE"""),6.0)</f>
        <v>6</v>
      </c>
    </row>
    <row r="1580">
      <c r="A1580" s="178" t="str">
        <f>IFERROR(__xludf.DUMMYFUNCTION("""COMPUTED_VALUE"""),"ITBISA-ABC-BATERAI-AA-ALKALINE")</f>
        <v>ITBISA-ABC-BATERAI-AA-ALKALINE</v>
      </c>
      <c r="B1580" s="266">
        <f>IFERROR(__xludf.DUMMYFUNCTION("""COMPUTED_VALUE"""),45576.0)</f>
        <v>45576</v>
      </c>
      <c r="C1580" s="266" t="str">
        <f>IFERROR(__xludf.DUMMYFUNCTION("""COMPUTED_VALUE"""),"KYAI KONTONG")</f>
        <v>KYAI KONTONG</v>
      </c>
      <c r="D1580" s="186">
        <f>IFERROR(__xludf.DUMMYFUNCTION("""COMPUTED_VALUE"""),6.0)</f>
        <v>6</v>
      </c>
    </row>
    <row r="1581">
      <c r="A1581" s="178" t="str">
        <f>IFERROR(__xludf.DUMMYFUNCTION("""COMPUTED_VALUE"""),"ITBISA-ABC-BATERAI-AA-ALKALINE")</f>
        <v>ITBISA-ABC-BATERAI-AA-ALKALINE</v>
      </c>
      <c r="B1581" s="266">
        <f>IFERROR(__xludf.DUMMYFUNCTION("""COMPUTED_VALUE"""),45577.0)</f>
        <v>45577</v>
      </c>
      <c r="C1581" s="266" t="str">
        <f>IFERROR(__xludf.DUMMYFUNCTION("""COMPUTED_VALUE"""),"KYAI KONTONG")</f>
        <v>KYAI KONTONG</v>
      </c>
      <c r="D1581" s="186">
        <f>IFERROR(__xludf.DUMMYFUNCTION("""COMPUTED_VALUE"""),12.0)</f>
        <v>12</v>
      </c>
    </row>
    <row r="1582">
      <c r="A1582" s="178" t="str">
        <f>IFERROR(__xludf.DUMMYFUNCTION("""COMPUTED_VALUE"""),"ITBISA-ABC-BATERAI-AA-ALKALINE")</f>
        <v>ITBISA-ABC-BATERAI-AA-ALKALINE</v>
      </c>
      <c r="B1582" s="266">
        <f>IFERROR(__xludf.DUMMYFUNCTION("""COMPUTED_VALUE"""),45579.0)</f>
        <v>45579</v>
      </c>
      <c r="C1582" s="266" t="str">
        <f>IFERROR(__xludf.DUMMYFUNCTION("""COMPUTED_VALUE"""),"KYAI KONTONG")</f>
        <v>KYAI KONTONG</v>
      </c>
      <c r="D1582" s="186">
        <f>IFERROR(__xludf.DUMMYFUNCTION("""COMPUTED_VALUE"""),2.0)</f>
        <v>2</v>
      </c>
    </row>
    <row r="1583">
      <c r="A1583" s="178" t="str">
        <f>IFERROR(__xludf.DUMMYFUNCTION("""COMPUTED_VALUE"""),"ITBISA-ABC-BATERAI-AA-ALKALINE")</f>
        <v>ITBISA-ABC-BATERAI-AA-ALKALINE</v>
      </c>
      <c r="B1583" s="266">
        <f>IFERROR(__xludf.DUMMYFUNCTION("""COMPUTED_VALUE"""),45579.0)</f>
        <v>45579</v>
      </c>
      <c r="C1583" s="266" t="str">
        <f>IFERROR(__xludf.DUMMYFUNCTION("""COMPUTED_VALUE"""),"KYAI KONTONG")</f>
        <v>KYAI KONTONG</v>
      </c>
      <c r="D1583" s="186">
        <f>IFERROR(__xludf.DUMMYFUNCTION("""COMPUTED_VALUE"""),230.0)</f>
        <v>230</v>
      </c>
    </row>
    <row r="1584">
      <c r="A1584" s="178" t="str">
        <f>IFERROR(__xludf.DUMMYFUNCTION("""COMPUTED_VALUE"""),"ITBISA-ABC-BATERAI-AA-ALKALINE")</f>
        <v>ITBISA-ABC-BATERAI-AA-ALKALINE</v>
      </c>
      <c r="B1584" s="266">
        <f>IFERROR(__xludf.DUMMYFUNCTION("""COMPUTED_VALUE"""),45583.0)</f>
        <v>45583</v>
      </c>
      <c r="C1584" s="266" t="str">
        <f>IFERROR(__xludf.DUMMYFUNCTION("""COMPUTED_VALUE"""),"KYAI KONTONG")</f>
        <v>KYAI KONTONG</v>
      </c>
      <c r="D1584" s="186">
        <f>IFERROR(__xludf.DUMMYFUNCTION("""COMPUTED_VALUE"""),12.0)</f>
        <v>12</v>
      </c>
    </row>
    <row r="1585">
      <c r="A1585" s="178" t="str">
        <f>IFERROR(__xludf.DUMMYFUNCTION("""COMPUTED_VALUE"""),"ITBISA-ABC-BATERAI-AA-ALKALINE")</f>
        <v>ITBISA-ABC-BATERAI-AA-ALKALINE</v>
      </c>
      <c r="B1585" s="266">
        <f>IFERROR(__xludf.DUMMYFUNCTION("""COMPUTED_VALUE"""),45584.0)</f>
        <v>45584</v>
      </c>
      <c r="C1585" s="266" t="str">
        <f>IFERROR(__xludf.DUMMYFUNCTION("""COMPUTED_VALUE"""),"KYAI KONTONG")</f>
        <v>KYAI KONTONG</v>
      </c>
      <c r="D1585" s="186">
        <f>IFERROR(__xludf.DUMMYFUNCTION("""COMPUTED_VALUE"""),288.0)</f>
        <v>288</v>
      </c>
    </row>
    <row r="1586">
      <c r="A1586" s="178" t="str">
        <f>IFERROR(__xludf.DUMMYFUNCTION("""COMPUTED_VALUE"""),"ITBISA-ABC-BATERAI-AA-ALKALINE")</f>
        <v>ITBISA-ABC-BATERAI-AA-ALKALINE</v>
      </c>
      <c r="B1586" s="266">
        <f>IFERROR(__xludf.DUMMYFUNCTION("""COMPUTED_VALUE"""),45586.0)</f>
        <v>45586</v>
      </c>
      <c r="C1586" s="266" t="str">
        <f>IFERROR(__xludf.DUMMYFUNCTION("""COMPUTED_VALUE"""),"KERTASARI CIAMIS")</f>
        <v>KERTASARI CIAMIS</v>
      </c>
      <c r="D1586" s="186">
        <f>IFERROR(__xludf.DUMMYFUNCTION("""COMPUTED_VALUE"""),6.0)</f>
        <v>6</v>
      </c>
    </row>
    <row r="1587">
      <c r="A1587" s="178" t="str">
        <f>IFERROR(__xludf.DUMMYFUNCTION("""COMPUTED_VALUE"""),"ITBISA-ABC-BATERAI-AA-ALKALINE")</f>
        <v>ITBISA-ABC-BATERAI-AA-ALKALINE</v>
      </c>
      <c r="B1587" s="266">
        <f>IFERROR(__xludf.DUMMYFUNCTION("""COMPUTED_VALUE"""),45587.0)</f>
        <v>45587</v>
      </c>
      <c r="C1587" s="266" t="str">
        <f>IFERROR(__xludf.DUMMYFUNCTION("""COMPUTED_VALUE"""),"KERTASARI CIAMIS")</f>
        <v>KERTASARI CIAMIS</v>
      </c>
      <c r="D1587" s="186">
        <f>IFERROR(__xludf.DUMMYFUNCTION("""COMPUTED_VALUE"""),6.0)</f>
        <v>6</v>
      </c>
    </row>
    <row r="1588">
      <c r="A1588" s="178" t="str">
        <f>IFERROR(__xludf.DUMMYFUNCTION("""COMPUTED_VALUE"""),"ITBISA-ABC-BATERAI-AA-ALKALINE")</f>
        <v>ITBISA-ABC-BATERAI-AA-ALKALINE</v>
      </c>
      <c r="B1588" s="266">
        <f>IFERROR(__xludf.DUMMYFUNCTION("""COMPUTED_VALUE"""),45591.0)</f>
        <v>45591</v>
      </c>
      <c r="C1588" s="266" t="str">
        <f>IFERROR(__xludf.DUMMYFUNCTION("""COMPUTED_VALUE"""),"KERTASARI CIAMIS")</f>
        <v>KERTASARI CIAMIS</v>
      </c>
      <c r="D1588" s="186">
        <f>IFERROR(__xludf.DUMMYFUNCTION("""COMPUTED_VALUE"""),6.0)</f>
        <v>6</v>
      </c>
    </row>
    <row r="1589">
      <c r="A1589" s="178" t="str">
        <f>IFERROR(__xludf.DUMMYFUNCTION("""COMPUTED_VALUE"""),"ITBISA-ABC-BATERAI-AA-ALKALINE")</f>
        <v>ITBISA-ABC-BATERAI-AA-ALKALINE</v>
      </c>
      <c r="B1589" s="266">
        <f>IFERROR(__xludf.DUMMYFUNCTION("""COMPUTED_VALUE"""),45591.0)</f>
        <v>45591</v>
      </c>
      <c r="C1589" s="266" t="str">
        <f>IFERROR(__xludf.DUMMYFUNCTION("""COMPUTED_VALUE"""),"KERTASARI CIAMIS")</f>
        <v>KERTASARI CIAMIS</v>
      </c>
      <c r="D1589" s="186">
        <f>IFERROR(__xludf.DUMMYFUNCTION("""COMPUTED_VALUE"""),6.0)</f>
        <v>6</v>
      </c>
    </row>
    <row r="1590">
      <c r="A1590" s="178" t="str">
        <f>IFERROR(__xludf.DUMMYFUNCTION("""COMPUTED_VALUE"""),"ITBISA-ABC-BATERAI-AA-ALKALINE")</f>
        <v>ITBISA-ABC-BATERAI-AA-ALKALINE</v>
      </c>
      <c r="B1590" s="266">
        <f>IFERROR(__xludf.DUMMYFUNCTION("""COMPUTED_VALUE"""),45591.0)</f>
        <v>45591</v>
      </c>
      <c r="C1590" s="266" t="str">
        <f>IFERROR(__xludf.DUMMYFUNCTION("""COMPUTED_VALUE"""),"KYAI KONTONG")</f>
        <v>KYAI KONTONG</v>
      </c>
      <c r="D1590" s="186">
        <f>IFERROR(__xludf.DUMMYFUNCTION("""COMPUTED_VALUE"""),24.0)</f>
        <v>24</v>
      </c>
    </row>
    <row r="1591">
      <c r="A1591" s="178" t="str">
        <f>IFERROR(__xludf.DUMMYFUNCTION("""COMPUTED_VALUE"""),"ITBISA-ABC-BATERAI-AA-ALKALINE")</f>
        <v>ITBISA-ABC-BATERAI-AA-ALKALINE</v>
      </c>
      <c r="B1591" s="266">
        <f>IFERROR(__xludf.DUMMYFUNCTION("""COMPUTED_VALUE"""),45594.0)</f>
        <v>45594</v>
      </c>
      <c r="C1591" s="266" t="str">
        <f>IFERROR(__xludf.DUMMYFUNCTION("""COMPUTED_VALUE"""),"KERTASARI CIAMIS")</f>
        <v>KERTASARI CIAMIS</v>
      </c>
      <c r="D1591" s="186">
        <f>IFERROR(__xludf.DUMMYFUNCTION("""COMPUTED_VALUE"""),12.0)</f>
        <v>12</v>
      </c>
    </row>
    <row r="1592">
      <c r="A1592" s="178" t="str">
        <f>IFERROR(__xludf.DUMMYFUNCTION("""COMPUTED_VALUE"""),"ITBISA-ABC-BATERAI-AA-ALKALINE")</f>
        <v>ITBISA-ABC-BATERAI-AA-ALKALINE</v>
      </c>
      <c r="B1592" s="266">
        <f>IFERROR(__xludf.DUMMYFUNCTION("""COMPUTED_VALUE"""),45594.0)</f>
        <v>45594</v>
      </c>
      <c r="C1592" s="266" t="str">
        <f>IFERROR(__xludf.DUMMYFUNCTION("""COMPUTED_VALUE"""),"KERTASARI CIAMIS")</f>
        <v>KERTASARI CIAMIS</v>
      </c>
      <c r="D1592" s="186">
        <f>IFERROR(__xludf.DUMMYFUNCTION("""COMPUTED_VALUE"""),30.0)</f>
        <v>30</v>
      </c>
    </row>
    <row r="1593">
      <c r="A1593" s="178" t="str">
        <f>IFERROR(__xludf.DUMMYFUNCTION("""COMPUTED_VALUE"""),"ITBISA-ABC-BATERAI-AA-ALKALINE")</f>
        <v>ITBISA-ABC-BATERAI-AA-ALKALINE</v>
      </c>
      <c r="B1593" s="266">
        <f>IFERROR(__xludf.DUMMYFUNCTION("""COMPUTED_VALUE"""),45596.0)</f>
        <v>45596</v>
      </c>
      <c r="C1593" s="266" t="str">
        <f>IFERROR(__xludf.DUMMYFUNCTION("""COMPUTED_VALUE"""),"KERTASARI CIAMIS")</f>
        <v>KERTASARI CIAMIS</v>
      </c>
      <c r="D1593" s="186">
        <f>IFERROR(__xludf.DUMMYFUNCTION("""COMPUTED_VALUE"""),6.0)</f>
        <v>6</v>
      </c>
    </row>
    <row r="1594">
      <c r="A1594" s="178" t="str">
        <f>IFERROR(__xludf.DUMMYFUNCTION("""COMPUTED_VALUE"""),"ITBISA-ABC-BATERAI-AA-ALKALINE")</f>
        <v>ITBISA-ABC-BATERAI-AA-ALKALINE</v>
      </c>
      <c r="B1594" s="266">
        <f>IFERROR(__xludf.DUMMYFUNCTION("""COMPUTED_VALUE"""),45596.0)</f>
        <v>45596</v>
      </c>
      <c r="C1594" s="266" t="str">
        <f>IFERROR(__xludf.DUMMYFUNCTION("""COMPUTED_VALUE"""),"KYAI KONTONG")</f>
        <v>KYAI KONTONG</v>
      </c>
      <c r="D1594" s="186">
        <f>IFERROR(__xludf.DUMMYFUNCTION("""COMPUTED_VALUE"""),8.0)</f>
        <v>8</v>
      </c>
    </row>
    <row r="1595">
      <c r="A1595" s="178" t="str">
        <f>IFERROR(__xludf.DUMMYFUNCTION("""COMPUTED_VALUE"""),"ITBISA-ABC-BATERAI-AA-ALKALINE")</f>
        <v>ITBISA-ABC-BATERAI-AA-ALKALINE</v>
      </c>
      <c r="B1595" s="266">
        <f>IFERROR(__xludf.DUMMYFUNCTION("""COMPUTED_VALUE"""),45599.0)</f>
        <v>45599</v>
      </c>
      <c r="C1595" s="266" t="str">
        <f>IFERROR(__xludf.DUMMYFUNCTION("""COMPUTED_VALUE"""),"KERTASARI CIAMIS")</f>
        <v>KERTASARI CIAMIS</v>
      </c>
      <c r="D1595" s="186">
        <f>IFERROR(__xludf.DUMMYFUNCTION("""COMPUTED_VALUE"""),12.0)</f>
        <v>12</v>
      </c>
    </row>
    <row r="1596">
      <c r="A1596" s="178" t="str">
        <f>IFERROR(__xludf.DUMMYFUNCTION("""COMPUTED_VALUE"""),"ITBISA-ABC-BATERAI-AA-ALKALINE")</f>
        <v>ITBISA-ABC-BATERAI-AA-ALKALINE</v>
      </c>
      <c r="B1596" s="266">
        <f>IFERROR(__xludf.DUMMYFUNCTION("""COMPUTED_VALUE"""),45601.0)</f>
        <v>45601</v>
      </c>
      <c r="C1596" s="266" t="str">
        <f>IFERROR(__xludf.DUMMYFUNCTION("""COMPUTED_VALUE"""),"KERTASARI CIAMIS")</f>
        <v>KERTASARI CIAMIS</v>
      </c>
      <c r="D1596" s="186">
        <f>IFERROR(__xludf.DUMMYFUNCTION("""COMPUTED_VALUE"""),12.0)</f>
        <v>12</v>
      </c>
    </row>
    <row r="1597">
      <c r="A1597" s="178" t="str">
        <f>IFERROR(__xludf.DUMMYFUNCTION("""COMPUTED_VALUE"""),"ITBISA-ABC-BATERAI-AA-ALKALINE")</f>
        <v>ITBISA-ABC-BATERAI-AA-ALKALINE</v>
      </c>
      <c r="B1597" s="266">
        <f>IFERROR(__xludf.DUMMYFUNCTION("""COMPUTED_VALUE"""),45607.0)</f>
        <v>45607</v>
      </c>
      <c r="C1597" s="266" t="str">
        <f>IFERROR(__xludf.DUMMYFUNCTION("""COMPUTED_VALUE"""),"KYAI KONTONG")</f>
        <v>KYAI KONTONG</v>
      </c>
      <c r="D1597" s="186">
        <f>IFERROR(__xludf.DUMMYFUNCTION("""COMPUTED_VALUE"""),8.0)</f>
        <v>8</v>
      </c>
    </row>
    <row r="1598">
      <c r="A1598" s="178" t="str">
        <f>IFERROR(__xludf.DUMMYFUNCTION("""COMPUTED_VALUE"""),"ITBISA-ABC-BATERAI-AA-ALKALINE")</f>
        <v>ITBISA-ABC-BATERAI-AA-ALKALINE</v>
      </c>
      <c r="B1598" s="266">
        <f>IFERROR(__xludf.DUMMYFUNCTION("""COMPUTED_VALUE"""),45609.0)</f>
        <v>45609</v>
      </c>
      <c r="C1598" s="266" t="str">
        <f>IFERROR(__xludf.DUMMYFUNCTION("""COMPUTED_VALUE"""),"KYAI KONTONG")</f>
        <v>KYAI KONTONG</v>
      </c>
      <c r="D1598" s="186">
        <f>IFERROR(__xludf.DUMMYFUNCTION("""COMPUTED_VALUE"""),2.0)</f>
        <v>2</v>
      </c>
    </row>
    <row r="1599">
      <c r="A1599" s="178" t="str">
        <f>IFERROR(__xludf.DUMMYFUNCTION("""COMPUTED_VALUE"""),"ITBISA-ABC-BATERAI-AA-ALKALINE")</f>
        <v>ITBISA-ABC-BATERAI-AA-ALKALINE</v>
      </c>
      <c r="B1599" s="266">
        <f>IFERROR(__xludf.DUMMYFUNCTION("""COMPUTED_VALUE"""),45616.0)</f>
        <v>45616</v>
      </c>
      <c r="C1599" s="266" t="str">
        <f>IFERROR(__xludf.DUMMYFUNCTION("""COMPUTED_VALUE"""),"KYAI KONTONG")</f>
        <v>KYAI KONTONG</v>
      </c>
      <c r="D1599" s="186">
        <f>IFERROR(__xludf.DUMMYFUNCTION("""COMPUTED_VALUE"""),60.0)</f>
        <v>60</v>
      </c>
    </row>
    <row r="1600">
      <c r="A1600" s="178" t="str">
        <f>IFERROR(__xludf.DUMMYFUNCTION("""COMPUTED_VALUE"""),"ITBISA-ABC-BATERAI-AA-ALKALINE")</f>
        <v>ITBISA-ABC-BATERAI-AA-ALKALINE</v>
      </c>
      <c r="B1600" s="266">
        <f>IFERROR(__xludf.DUMMYFUNCTION("""COMPUTED_VALUE"""),45621.0)</f>
        <v>45621</v>
      </c>
      <c r="C1600" s="266" t="str">
        <f>IFERROR(__xludf.DUMMYFUNCTION("""COMPUTED_VALUE"""),"KERTASARI CIAMIS")</f>
        <v>KERTASARI CIAMIS</v>
      </c>
      <c r="D1600" s="186">
        <f>IFERROR(__xludf.DUMMYFUNCTION("""COMPUTED_VALUE"""),6.0)</f>
        <v>6</v>
      </c>
    </row>
    <row r="1601">
      <c r="A1601" s="178" t="str">
        <f>IFERROR(__xludf.DUMMYFUNCTION("""COMPUTED_VALUE"""),"ITBISA-ABC-BATERAI-AA-ALKALINE")</f>
        <v>ITBISA-ABC-BATERAI-AA-ALKALINE</v>
      </c>
      <c r="B1601" s="266">
        <f>IFERROR(__xludf.DUMMYFUNCTION("""COMPUTED_VALUE"""),45621.0)</f>
        <v>45621</v>
      </c>
      <c r="C1601" s="266" t="str">
        <f>IFERROR(__xludf.DUMMYFUNCTION("""COMPUTED_VALUE"""),"KYAI KONTONG")</f>
        <v>KYAI KONTONG</v>
      </c>
      <c r="D1601" s="186">
        <f>IFERROR(__xludf.DUMMYFUNCTION("""COMPUTED_VALUE"""),3.0)</f>
        <v>3</v>
      </c>
    </row>
    <row r="1602">
      <c r="A1602" s="178" t="str">
        <f>IFERROR(__xludf.DUMMYFUNCTION("""COMPUTED_VALUE"""),"ITBISA-ABC-BATERAI-AA-ALKALINE")</f>
        <v>ITBISA-ABC-BATERAI-AA-ALKALINE</v>
      </c>
      <c r="B1602" s="266">
        <f>IFERROR(__xludf.DUMMYFUNCTION("""COMPUTED_VALUE"""),45625.0)</f>
        <v>45625</v>
      </c>
      <c r="C1602" s="266" t="str">
        <f>IFERROR(__xludf.DUMMYFUNCTION("""COMPUTED_VALUE"""),"KERTASARI CIAMIS")</f>
        <v>KERTASARI CIAMIS</v>
      </c>
      <c r="D1602" s="186">
        <f>IFERROR(__xludf.DUMMYFUNCTION("""COMPUTED_VALUE"""),24.0)</f>
        <v>24</v>
      </c>
    </row>
    <row r="1603">
      <c r="A1603" s="178" t="str">
        <f>IFERROR(__xludf.DUMMYFUNCTION("""COMPUTED_VALUE"""),"ITBISA-ABC-BATERAI-AA-ALKALINE")</f>
        <v>ITBISA-ABC-BATERAI-AA-ALKALINE</v>
      </c>
      <c r="B1603" s="266">
        <f>IFERROR(__xludf.DUMMYFUNCTION("""COMPUTED_VALUE"""),45626.0)</f>
        <v>45626</v>
      </c>
      <c r="C1603" s="266" t="str">
        <f>IFERROR(__xludf.DUMMYFUNCTION("""COMPUTED_VALUE"""),"KYAI KONTONG")</f>
        <v>KYAI KONTONG</v>
      </c>
      <c r="D1603" s="186">
        <f>IFERROR(__xludf.DUMMYFUNCTION("""COMPUTED_VALUE"""),8.0)</f>
        <v>8</v>
      </c>
    </row>
    <row r="1604">
      <c r="A1604" s="178" t="str">
        <f>IFERROR(__xludf.DUMMYFUNCTION("""COMPUTED_VALUE"""),"ITBISA-ABC-BATERAI-AA-ALKALINE")</f>
        <v>ITBISA-ABC-BATERAI-AA-ALKALINE</v>
      </c>
      <c r="B1604" s="266">
        <f>IFERROR(__xludf.DUMMYFUNCTION("""COMPUTED_VALUE"""),45630.0)</f>
        <v>45630</v>
      </c>
      <c r="C1604" s="266" t="str">
        <f>IFERROR(__xludf.DUMMYFUNCTION("""COMPUTED_VALUE"""),"KERTASARI CIAMIS")</f>
        <v>KERTASARI CIAMIS</v>
      </c>
      <c r="D1604" s="186">
        <f>IFERROR(__xludf.DUMMYFUNCTION("""COMPUTED_VALUE"""),18.0)</f>
        <v>18</v>
      </c>
    </row>
    <row r="1605">
      <c r="A1605" s="178" t="str">
        <f>IFERROR(__xludf.DUMMYFUNCTION("""COMPUTED_VALUE"""),"ITBISA-ABC-BATERAI-AA-ALKALINE")</f>
        <v>ITBISA-ABC-BATERAI-AA-ALKALINE</v>
      </c>
      <c r="B1605" s="266">
        <f>IFERROR(__xludf.DUMMYFUNCTION("""COMPUTED_VALUE"""),45633.0)</f>
        <v>45633</v>
      </c>
      <c r="C1605" s="266" t="str">
        <f>IFERROR(__xludf.DUMMYFUNCTION("""COMPUTED_VALUE"""),"KYAI KONTONG")</f>
        <v>KYAI KONTONG</v>
      </c>
      <c r="D1605" s="186">
        <f>IFERROR(__xludf.DUMMYFUNCTION("""COMPUTED_VALUE"""),8.0)</f>
        <v>8</v>
      </c>
    </row>
    <row r="1606">
      <c r="A1606" s="178" t="str">
        <f>IFERROR(__xludf.DUMMYFUNCTION("""COMPUTED_VALUE"""),"ITBISA-ABC-BATERAI-AA-ALKALINE")</f>
        <v>ITBISA-ABC-BATERAI-AA-ALKALINE</v>
      </c>
      <c r="B1606" s="266">
        <f>IFERROR(__xludf.DUMMYFUNCTION("""COMPUTED_VALUE"""),45634.0)</f>
        <v>45634</v>
      </c>
      <c r="C1606" s="266" t="str">
        <f>IFERROR(__xludf.DUMMYFUNCTION("""COMPUTED_VALUE"""),"KYAI KONTONG")</f>
        <v>KYAI KONTONG</v>
      </c>
      <c r="D1606" s="186">
        <f>IFERROR(__xludf.DUMMYFUNCTION("""COMPUTED_VALUE"""),8.0)</f>
        <v>8</v>
      </c>
    </row>
    <row r="1607">
      <c r="A1607" s="178" t="str">
        <f>IFERROR(__xludf.DUMMYFUNCTION("""COMPUTED_VALUE"""),"ITBISA-ABC-BATERAI-AA-ALKALINE")</f>
        <v>ITBISA-ABC-BATERAI-AA-ALKALINE</v>
      </c>
      <c r="B1607" s="266">
        <f>IFERROR(__xludf.DUMMYFUNCTION("""COMPUTED_VALUE"""),45636.0)</f>
        <v>45636</v>
      </c>
      <c r="C1607" s="266" t="str">
        <f>IFERROR(__xludf.DUMMYFUNCTION("""COMPUTED_VALUE"""),"KERTASARI CIAMIS")</f>
        <v>KERTASARI CIAMIS</v>
      </c>
      <c r="D1607" s="186">
        <f>IFERROR(__xludf.DUMMYFUNCTION("""COMPUTED_VALUE"""),12.0)</f>
        <v>12</v>
      </c>
    </row>
    <row r="1608">
      <c r="A1608" s="178" t="str">
        <f>IFERROR(__xludf.DUMMYFUNCTION("""COMPUTED_VALUE"""),"ITBISA-ABC-BATERAI-AA-ALKALINE")</f>
        <v>ITBISA-ABC-BATERAI-AA-ALKALINE</v>
      </c>
      <c r="B1608" s="266">
        <f>IFERROR(__xludf.DUMMYFUNCTION("""COMPUTED_VALUE"""),45638.0)</f>
        <v>45638</v>
      </c>
      <c r="C1608" s="266" t="str">
        <f>IFERROR(__xludf.DUMMYFUNCTION("""COMPUTED_VALUE"""),"KYAI KONTONG")</f>
        <v>KYAI KONTONG</v>
      </c>
      <c r="D1608" s="186">
        <f>IFERROR(__xludf.DUMMYFUNCTION("""COMPUTED_VALUE"""),8.0)</f>
        <v>8</v>
      </c>
    </row>
    <row r="1609">
      <c r="A1609" s="178" t="str">
        <f>IFERROR(__xludf.DUMMYFUNCTION("""COMPUTED_VALUE"""),"ITBISA-ABC-BATERAI-AA-ALKALINE")</f>
        <v>ITBISA-ABC-BATERAI-AA-ALKALINE</v>
      </c>
      <c r="B1609" s="266">
        <f>IFERROR(__xludf.DUMMYFUNCTION("""COMPUTED_VALUE"""),45640.0)</f>
        <v>45640</v>
      </c>
      <c r="C1609" s="266" t="str">
        <f>IFERROR(__xludf.DUMMYFUNCTION("""COMPUTED_VALUE"""),"KERTASARI CIAMIS")</f>
        <v>KERTASARI CIAMIS</v>
      </c>
      <c r="D1609" s="186">
        <f>IFERROR(__xludf.DUMMYFUNCTION("""COMPUTED_VALUE"""),12.0)</f>
        <v>12</v>
      </c>
    </row>
    <row r="1610">
      <c r="A1610" s="178" t="str">
        <f>IFERROR(__xludf.DUMMYFUNCTION("""COMPUTED_VALUE"""),"ITBISA-ABC-BATERAI-AA-ALKALINE")</f>
        <v>ITBISA-ABC-BATERAI-AA-ALKALINE</v>
      </c>
      <c r="B1610" s="266">
        <f>IFERROR(__xludf.DUMMYFUNCTION("""COMPUTED_VALUE"""),45643.0)</f>
        <v>45643</v>
      </c>
      <c r="C1610" s="266" t="str">
        <f>IFERROR(__xludf.DUMMYFUNCTION("""COMPUTED_VALUE"""),"KERTASARI CIAMIS")</f>
        <v>KERTASARI CIAMIS</v>
      </c>
      <c r="D1610" s="186">
        <f>IFERROR(__xludf.DUMMYFUNCTION("""COMPUTED_VALUE"""),6.0)</f>
        <v>6</v>
      </c>
    </row>
    <row r="1611">
      <c r="A1611" s="178" t="str">
        <f>IFERROR(__xludf.DUMMYFUNCTION("""COMPUTED_VALUE"""),"ITBISA-ABC-BATERAI-AA-ALKALINE")</f>
        <v>ITBISA-ABC-BATERAI-AA-ALKALINE</v>
      </c>
      <c r="B1611" s="266">
        <f>IFERROR(__xludf.DUMMYFUNCTION("""COMPUTED_VALUE"""),45650.0)</f>
        <v>45650</v>
      </c>
      <c r="C1611" s="266" t="str">
        <f>IFERROR(__xludf.DUMMYFUNCTION("""COMPUTED_VALUE"""),"KYAI KONTONG")</f>
        <v>KYAI KONTONG</v>
      </c>
      <c r="D1611" s="186">
        <f>IFERROR(__xludf.DUMMYFUNCTION("""COMPUTED_VALUE"""),6.0)</f>
        <v>6</v>
      </c>
    </row>
    <row r="1612">
      <c r="A1612" s="178" t="str">
        <f>IFERROR(__xludf.DUMMYFUNCTION("""COMPUTED_VALUE"""),"ITBISA-ABC-BATERAI-AA-ALKALINE")</f>
        <v>ITBISA-ABC-BATERAI-AA-ALKALINE</v>
      </c>
      <c r="B1612" s="266">
        <f>IFERROR(__xludf.DUMMYFUNCTION("""COMPUTED_VALUE"""),45655.0)</f>
        <v>45655</v>
      </c>
      <c r="C1612" s="266" t="str">
        <f>IFERROR(__xludf.DUMMYFUNCTION("""COMPUTED_VALUE"""),"KYAI KONTONG")</f>
        <v>KYAI KONTONG</v>
      </c>
      <c r="D1612" s="186">
        <f>IFERROR(__xludf.DUMMYFUNCTION("""COMPUTED_VALUE"""),6.0)</f>
        <v>6</v>
      </c>
    </row>
    <row r="1613">
      <c r="A1613" s="178" t="str">
        <f>IFERROR(__xludf.DUMMYFUNCTION("""COMPUTED_VALUE"""),"ITBISA-ABC-BATERAI-AA-ALKALINE")</f>
        <v>ITBISA-ABC-BATERAI-AA-ALKALINE</v>
      </c>
      <c r="B1613" s="266">
        <f>IFERROR(__xludf.DUMMYFUNCTION("""COMPUTED_VALUE"""),45658.0)</f>
        <v>45658</v>
      </c>
      <c r="C1613" s="266" t="str">
        <f>IFERROR(__xludf.DUMMYFUNCTION("""COMPUTED_VALUE"""),"KYAI KONTONG")</f>
        <v>KYAI KONTONG</v>
      </c>
      <c r="D1613" s="186">
        <f>IFERROR(__xludf.DUMMYFUNCTION("""COMPUTED_VALUE"""),18.0)</f>
        <v>18</v>
      </c>
    </row>
    <row r="1614">
      <c r="A1614" s="178" t="str">
        <f>IFERROR(__xludf.DUMMYFUNCTION("""COMPUTED_VALUE"""),"ITBISA-ABC-BATERAI-AA-ALKALINE")</f>
        <v>ITBISA-ABC-BATERAI-AA-ALKALINE</v>
      </c>
      <c r="B1614" s="266">
        <f>IFERROR(__xludf.DUMMYFUNCTION("""COMPUTED_VALUE"""),45659.0)</f>
        <v>45659</v>
      </c>
      <c r="C1614" s="266" t="str">
        <f>IFERROR(__xludf.DUMMYFUNCTION("""COMPUTED_VALUE"""),"KYAI KONTONG")</f>
        <v>KYAI KONTONG</v>
      </c>
      <c r="D1614" s="186">
        <f>IFERROR(__xludf.DUMMYFUNCTION("""COMPUTED_VALUE"""),1.0)</f>
        <v>1</v>
      </c>
    </row>
    <row r="1615">
      <c r="A1615" s="178" t="str">
        <f>IFERROR(__xludf.DUMMYFUNCTION("""COMPUTED_VALUE"""),"ITBISA-ABC-BATERAI-AA-ALKALINE")</f>
        <v>ITBISA-ABC-BATERAI-AA-ALKALINE</v>
      </c>
      <c r="B1615" s="266">
        <f>IFERROR(__xludf.DUMMYFUNCTION("""COMPUTED_VALUE"""),45659.0)</f>
        <v>45659</v>
      </c>
      <c r="C1615" s="266" t="str">
        <f>IFERROR(__xludf.DUMMYFUNCTION("""COMPUTED_VALUE"""),"KYAI KONTONG")</f>
        <v>KYAI KONTONG</v>
      </c>
      <c r="D1615" s="186">
        <f>IFERROR(__xludf.DUMMYFUNCTION("""COMPUTED_VALUE"""),6.0)</f>
        <v>6</v>
      </c>
    </row>
    <row r="1616">
      <c r="A1616" s="178" t="str">
        <f>IFERROR(__xludf.DUMMYFUNCTION("""COMPUTED_VALUE"""),"ITBISA-ABC-BATERAI-AA-ALKALINE")</f>
        <v>ITBISA-ABC-BATERAI-AA-ALKALINE</v>
      </c>
      <c r="B1616" s="266">
        <f>IFERROR(__xludf.DUMMYFUNCTION("""COMPUTED_VALUE"""),45660.0)</f>
        <v>45660</v>
      </c>
      <c r="C1616" s="266" t="str">
        <f>IFERROR(__xludf.DUMMYFUNCTION("""COMPUTED_VALUE"""),"KYAI KONTONG")</f>
        <v>KYAI KONTONG</v>
      </c>
      <c r="D1616" s="186">
        <f>IFERROR(__xludf.DUMMYFUNCTION("""COMPUTED_VALUE"""),2.0)</f>
        <v>2</v>
      </c>
    </row>
    <row r="1617">
      <c r="A1617" s="178" t="str">
        <f>IFERROR(__xludf.DUMMYFUNCTION("""COMPUTED_VALUE"""),"ITBISA-ABC-BATERAI-AA-ALKALINE")</f>
        <v>ITBISA-ABC-BATERAI-AA-ALKALINE</v>
      </c>
      <c r="B1617" s="266">
        <f>IFERROR(__xludf.DUMMYFUNCTION("""COMPUTED_VALUE"""),45664.0)</f>
        <v>45664</v>
      </c>
      <c r="C1617" s="266" t="str">
        <f>IFERROR(__xludf.DUMMYFUNCTION("""COMPUTED_VALUE"""),"KERTASARI CIAMIS")</f>
        <v>KERTASARI CIAMIS</v>
      </c>
      <c r="D1617" s="186">
        <f>IFERROR(__xludf.DUMMYFUNCTION("""COMPUTED_VALUE"""),6.0)</f>
        <v>6</v>
      </c>
    </row>
    <row r="1618">
      <c r="A1618" s="178" t="str">
        <f>IFERROR(__xludf.DUMMYFUNCTION("""COMPUTED_VALUE"""),"ITBISA-ABC-BATERAI-AA-ALKALINE")</f>
        <v>ITBISA-ABC-BATERAI-AA-ALKALINE</v>
      </c>
      <c r="B1618" s="266">
        <f>IFERROR(__xludf.DUMMYFUNCTION("""COMPUTED_VALUE"""),45664.0)</f>
        <v>45664</v>
      </c>
      <c r="C1618" s="266" t="str">
        <f>IFERROR(__xludf.DUMMYFUNCTION("""COMPUTED_VALUE"""),"KYAI KONTONG")</f>
        <v>KYAI KONTONG</v>
      </c>
      <c r="D1618" s="186">
        <f>IFERROR(__xludf.DUMMYFUNCTION("""COMPUTED_VALUE"""),8.0)</f>
        <v>8</v>
      </c>
    </row>
    <row r="1619">
      <c r="A1619" s="178" t="str">
        <f>IFERROR(__xludf.DUMMYFUNCTION("""COMPUTED_VALUE"""),"ITBISA-ABC-BATERAI-AA-ALKALINE")</f>
        <v>ITBISA-ABC-BATERAI-AA-ALKALINE</v>
      </c>
      <c r="B1619" s="266">
        <f>IFERROR(__xludf.DUMMYFUNCTION("""COMPUTED_VALUE"""),45665.0)</f>
        <v>45665</v>
      </c>
      <c r="C1619" s="266" t="str">
        <f>IFERROR(__xludf.DUMMYFUNCTION("""COMPUTED_VALUE"""),"KERTASARI CIAMIS")</f>
        <v>KERTASARI CIAMIS</v>
      </c>
      <c r="D1619" s="186">
        <f>IFERROR(__xludf.DUMMYFUNCTION("""COMPUTED_VALUE"""),30.0)</f>
        <v>30</v>
      </c>
    </row>
    <row r="1620">
      <c r="A1620" s="178" t="str">
        <f>IFERROR(__xludf.DUMMYFUNCTION("""COMPUTED_VALUE"""),"ITBISA-ABC-BATERAI-AA-ALKALINE")</f>
        <v>ITBISA-ABC-BATERAI-AA-ALKALINE</v>
      </c>
      <c r="B1620" s="266">
        <f>IFERROR(__xludf.DUMMYFUNCTION("""COMPUTED_VALUE"""),45666.0)</f>
        <v>45666</v>
      </c>
      <c r="C1620" s="266" t="str">
        <f>IFERROR(__xludf.DUMMYFUNCTION("""COMPUTED_VALUE"""),"KYAI KONTONG")</f>
        <v>KYAI KONTONG</v>
      </c>
      <c r="D1620" s="186">
        <f>IFERROR(__xludf.DUMMYFUNCTION("""COMPUTED_VALUE"""),4.0)</f>
        <v>4</v>
      </c>
    </row>
    <row r="1621">
      <c r="A1621" s="178" t="str">
        <f>IFERROR(__xludf.DUMMYFUNCTION("""COMPUTED_VALUE"""),"ITBISA-ABC-BATERAI-AA-ALKALINE")</f>
        <v>ITBISA-ABC-BATERAI-AA-ALKALINE</v>
      </c>
      <c r="B1621" s="266">
        <f>IFERROR(__xludf.DUMMYFUNCTION("""COMPUTED_VALUE"""),45666.0)</f>
        <v>45666</v>
      </c>
      <c r="C1621" s="266" t="str">
        <f>IFERROR(__xludf.DUMMYFUNCTION("""COMPUTED_VALUE"""),"KYAI KONTONG")</f>
        <v>KYAI KONTONG</v>
      </c>
      <c r="D1621" s="186">
        <f>IFERROR(__xludf.DUMMYFUNCTION("""COMPUTED_VALUE"""),8.0)</f>
        <v>8</v>
      </c>
    </row>
    <row r="1622">
      <c r="A1622" s="178" t="str">
        <f>IFERROR(__xludf.DUMMYFUNCTION("""COMPUTED_VALUE"""),"ITBISA-ABC-BATERAI-AA-ALKALINE")</f>
        <v>ITBISA-ABC-BATERAI-AA-ALKALINE</v>
      </c>
      <c r="B1622" s="266">
        <f>IFERROR(__xludf.DUMMYFUNCTION("""COMPUTED_VALUE"""),45668.0)</f>
        <v>45668</v>
      </c>
      <c r="C1622" s="266" t="str">
        <f>IFERROR(__xludf.DUMMYFUNCTION("""COMPUTED_VALUE"""),"KYAI KONTONG")</f>
        <v>KYAI KONTONG</v>
      </c>
      <c r="D1622" s="186">
        <f>IFERROR(__xludf.DUMMYFUNCTION("""COMPUTED_VALUE"""),6.0)</f>
        <v>6</v>
      </c>
    </row>
    <row r="1623">
      <c r="A1623" s="178" t="str">
        <f>IFERROR(__xludf.DUMMYFUNCTION("""COMPUTED_VALUE"""),"ITBISA-ABC-BATERAI-AA-ALKALINE")</f>
        <v>ITBISA-ABC-BATERAI-AA-ALKALINE</v>
      </c>
      <c r="B1623" s="266">
        <f>IFERROR(__xludf.DUMMYFUNCTION("""COMPUTED_VALUE"""),45668.0)</f>
        <v>45668</v>
      </c>
      <c r="C1623" s="266" t="str">
        <f>IFERROR(__xludf.DUMMYFUNCTION("""COMPUTED_VALUE"""),"KYAI KONTONG")</f>
        <v>KYAI KONTONG</v>
      </c>
      <c r="D1623" s="186">
        <f>IFERROR(__xludf.DUMMYFUNCTION("""COMPUTED_VALUE"""),8.0)</f>
        <v>8</v>
      </c>
    </row>
    <row r="1624">
      <c r="A1624" s="178" t="str">
        <f>IFERROR(__xludf.DUMMYFUNCTION("""COMPUTED_VALUE"""),"ITBISA-ABC-BATERAI-AA-ALKALINE")</f>
        <v>ITBISA-ABC-BATERAI-AA-ALKALINE</v>
      </c>
      <c r="B1624" s="266">
        <f>IFERROR(__xludf.DUMMYFUNCTION("""COMPUTED_VALUE"""),45670.0)</f>
        <v>45670</v>
      </c>
      <c r="C1624" s="266" t="str">
        <f>IFERROR(__xludf.DUMMYFUNCTION("""COMPUTED_VALUE"""),"KYAI KONTONG")</f>
        <v>KYAI KONTONG</v>
      </c>
      <c r="D1624" s="186">
        <f>IFERROR(__xludf.DUMMYFUNCTION("""COMPUTED_VALUE"""),102.0)</f>
        <v>102</v>
      </c>
    </row>
    <row r="1625">
      <c r="A1625" s="178" t="str">
        <f>IFERROR(__xludf.DUMMYFUNCTION("""COMPUTED_VALUE"""),"ITBISA-ABC-BATERAI-AA-ALKALINE")</f>
        <v>ITBISA-ABC-BATERAI-AA-ALKALINE</v>
      </c>
      <c r="B1625" s="266">
        <f>IFERROR(__xludf.DUMMYFUNCTION("""COMPUTED_VALUE"""),45674.0)</f>
        <v>45674</v>
      </c>
      <c r="C1625" s="266" t="str">
        <f>IFERROR(__xludf.DUMMYFUNCTION("""COMPUTED_VALUE"""),"KYAI KONTONG")</f>
        <v>KYAI KONTONG</v>
      </c>
      <c r="D1625" s="186">
        <f>IFERROR(__xludf.DUMMYFUNCTION("""COMPUTED_VALUE"""),24.0)</f>
        <v>24</v>
      </c>
    </row>
    <row r="1626">
      <c r="A1626" s="178" t="str">
        <f>IFERROR(__xludf.DUMMYFUNCTION("""COMPUTED_VALUE"""),"ITBISA-ABC-BATERAI-AA-ALKALINE")</f>
        <v>ITBISA-ABC-BATERAI-AA-ALKALINE</v>
      </c>
      <c r="B1626" s="266">
        <f>IFERROR(__xludf.DUMMYFUNCTION("""COMPUTED_VALUE"""),45675.0)</f>
        <v>45675</v>
      </c>
      <c r="C1626" s="266" t="str">
        <f>IFERROR(__xludf.DUMMYFUNCTION("""COMPUTED_VALUE"""),"KYAI KONTONG")</f>
        <v>KYAI KONTONG</v>
      </c>
      <c r="D1626" s="186">
        <f>IFERROR(__xludf.DUMMYFUNCTION("""COMPUTED_VALUE"""),8.0)</f>
        <v>8</v>
      </c>
    </row>
    <row r="1627">
      <c r="A1627" s="178" t="str">
        <f>IFERROR(__xludf.DUMMYFUNCTION("""COMPUTED_VALUE"""),"ITBISA-ABC-BATERAI-AA-ALKALINE")</f>
        <v>ITBISA-ABC-BATERAI-AA-ALKALINE</v>
      </c>
      <c r="B1627" s="266">
        <f>IFERROR(__xludf.DUMMYFUNCTION("""COMPUTED_VALUE"""),45678.0)</f>
        <v>45678</v>
      </c>
      <c r="C1627" s="266" t="str">
        <f>IFERROR(__xludf.DUMMYFUNCTION("""COMPUTED_VALUE"""),"KYAI KONTONG")</f>
        <v>KYAI KONTONG</v>
      </c>
      <c r="D1627" s="186">
        <f>IFERROR(__xludf.DUMMYFUNCTION("""COMPUTED_VALUE"""),8.0)</f>
        <v>8</v>
      </c>
    </row>
    <row r="1628">
      <c r="A1628" s="178" t="str">
        <f>IFERROR(__xludf.DUMMYFUNCTION("""COMPUTED_VALUE"""),"ITBISA-ABC-BATERAI-AA-ALKALINE")</f>
        <v>ITBISA-ABC-BATERAI-AA-ALKALINE</v>
      </c>
      <c r="B1628" s="266">
        <f>IFERROR(__xludf.DUMMYFUNCTION("""COMPUTED_VALUE"""),45683.0)</f>
        <v>45683</v>
      </c>
      <c r="C1628" s="266" t="str">
        <f>IFERROR(__xludf.DUMMYFUNCTION("""COMPUTED_VALUE"""),"KYAI KONTONG")</f>
        <v>KYAI KONTONG</v>
      </c>
      <c r="D1628" s="186">
        <f>IFERROR(__xludf.DUMMYFUNCTION("""COMPUTED_VALUE"""),2.0)</f>
        <v>2</v>
      </c>
    </row>
    <row r="1629">
      <c r="A1629" s="178" t="str">
        <f>IFERROR(__xludf.DUMMYFUNCTION("""COMPUTED_VALUE"""),"ITBISA-ABC-BATERAI-AA-ALKALINE")</f>
        <v>ITBISA-ABC-BATERAI-AA-ALKALINE</v>
      </c>
      <c r="B1629" s="266">
        <f>IFERROR(__xludf.DUMMYFUNCTION("""COMPUTED_VALUE"""),45689.0)</f>
        <v>45689</v>
      </c>
      <c r="C1629" s="266" t="str">
        <f>IFERROR(__xludf.DUMMYFUNCTION("""COMPUTED_VALUE"""),"KERTASARI CIAMIS")</f>
        <v>KERTASARI CIAMIS</v>
      </c>
      <c r="D1629" s="186">
        <f>IFERROR(__xludf.DUMMYFUNCTION("""COMPUTED_VALUE"""),30.0)</f>
        <v>30</v>
      </c>
    </row>
    <row r="1630">
      <c r="A1630" s="178" t="str">
        <f>IFERROR(__xludf.DUMMYFUNCTION("""COMPUTED_VALUE"""),"ITBISA-ABC-BATERAI-AA-ALKALINE")</f>
        <v>ITBISA-ABC-BATERAI-AA-ALKALINE</v>
      </c>
      <c r="B1630" s="266">
        <f>IFERROR(__xludf.DUMMYFUNCTION("""COMPUTED_VALUE"""),45690.0)</f>
        <v>45690</v>
      </c>
      <c r="C1630" s="266" t="str">
        <f>IFERROR(__xludf.DUMMYFUNCTION("""COMPUTED_VALUE"""),"KYAI KONTONG")</f>
        <v>KYAI KONTONG</v>
      </c>
      <c r="D1630" s="186">
        <f>IFERROR(__xludf.DUMMYFUNCTION("""COMPUTED_VALUE"""),6.0)</f>
        <v>6</v>
      </c>
    </row>
    <row r="1631">
      <c r="A1631" s="178" t="str">
        <f>IFERROR(__xludf.DUMMYFUNCTION("""COMPUTED_VALUE"""),"ITBISA-ABC-BATERAI-AA-ALKALINE")</f>
        <v>ITBISA-ABC-BATERAI-AA-ALKALINE</v>
      </c>
      <c r="B1631" s="266">
        <f>IFERROR(__xludf.DUMMYFUNCTION("""COMPUTED_VALUE"""),45693.0)</f>
        <v>45693</v>
      </c>
      <c r="C1631" s="266" t="str">
        <f>IFERROR(__xludf.DUMMYFUNCTION("""COMPUTED_VALUE"""),"KYAI KONTONG")</f>
        <v>KYAI KONTONG</v>
      </c>
      <c r="D1631" s="186">
        <f>IFERROR(__xludf.DUMMYFUNCTION("""COMPUTED_VALUE"""),6.0)</f>
        <v>6</v>
      </c>
    </row>
    <row r="1632">
      <c r="A1632" s="178" t="str">
        <f>IFERROR(__xludf.DUMMYFUNCTION("""COMPUTED_VALUE"""),"ITBISA-ABC-BATERAI-AA-ALKALINE")</f>
        <v>ITBISA-ABC-BATERAI-AA-ALKALINE</v>
      </c>
      <c r="B1632" s="266">
        <f>IFERROR(__xludf.DUMMYFUNCTION("""COMPUTED_VALUE"""),45696.0)</f>
        <v>45696</v>
      </c>
      <c r="C1632" s="266" t="str">
        <f>IFERROR(__xludf.DUMMYFUNCTION("""COMPUTED_VALUE"""),"KYAI KONTONG")</f>
        <v>KYAI KONTONG</v>
      </c>
      <c r="D1632" s="186">
        <f>IFERROR(__xludf.DUMMYFUNCTION("""COMPUTED_VALUE"""),18.0)</f>
        <v>18</v>
      </c>
    </row>
    <row r="1633">
      <c r="A1633" s="178" t="str">
        <f>IFERROR(__xludf.DUMMYFUNCTION("""COMPUTED_VALUE"""),"ITBISA-ABC-BATERAI-AA-ALKALINE")</f>
        <v>ITBISA-ABC-BATERAI-AA-ALKALINE</v>
      </c>
      <c r="B1633" s="266">
        <f>IFERROR(__xludf.DUMMYFUNCTION("""COMPUTED_VALUE"""),45697.0)</f>
        <v>45697</v>
      </c>
      <c r="C1633" s="266" t="str">
        <f>IFERROR(__xludf.DUMMYFUNCTION("""COMPUTED_VALUE"""),"KERTASARI CIAMIS")</f>
        <v>KERTASARI CIAMIS</v>
      </c>
      <c r="D1633" s="186">
        <f>IFERROR(__xludf.DUMMYFUNCTION("""COMPUTED_VALUE"""),18.0)</f>
        <v>18</v>
      </c>
    </row>
    <row r="1634">
      <c r="A1634" s="178" t="str">
        <f>IFERROR(__xludf.DUMMYFUNCTION("""COMPUTED_VALUE"""),"ITBISA-ABC-BATERAI-AA-ALKALINE")</f>
        <v>ITBISA-ABC-BATERAI-AA-ALKALINE</v>
      </c>
      <c r="B1634" s="266">
        <f>IFERROR(__xludf.DUMMYFUNCTION("""COMPUTED_VALUE"""),45700.0)</f>
        <v>45700</v>
      </c>
      <c r="C1634" s="266" t="str">
        <f>IFERROR(__xludf.DUMMYFUNCTION("""COMPUTED_VALUE"""),"KERTASARI CIAMIS")</f>
        <v>KERTASARI CIAMIS</v>
      </c>
      <c r="D1634" s="186">
        <f>IFERROR(__xludf.DUMMYFUNCTION("""COMPUTED_VALUE"""),6.0)</f>
        <v>6</v>
      </c>
    </row>
    <row r="1635">
      <c r="A1635" s="178" t="str">
        <f>IFERROR(__xludf.DUMMYFUNCTION("""COMPUTED_VALUE"""),"ITBISA-ABC-BATERAI-AA-ALKALINE")</f>
        <v>ITBISA-ABC-BATERAI-AA-ALKALINE</v>
      </c>
      <c r="B1635" s="266">
        <f>IFERROR(__xludf.DUMMYFUNCTION("""COMPUTED_VALUE"""),45701.0)</f>
        <v>45701</v>
      </c>
      <c r="C1635" s="266" t="str">
        <f>IFERROR(__xludf.DUMMYFUNCTION("""COMPUTED_VALUE"""),"KYAI KONTONG")</f>
        <v>KYAI KONTONG</v>
      </c>
      <c r="D1635" s="186">
        <f>IFERROR(__xludf.DUMMYFUNCTION("""COMPUTED_VALUE"""),216.0)</f>
        <v>216</v>
      </c>
    </row>
    <row r="1636">
      <c r="A1636" s="178" t="str">
        <f>IFERROR(__xludf.DUMMYFUNCTION("""COMPUTED_VALUE"""),"ITBISA-ABC-BATERAI-AA-ALKALINE")</f>
        <v>ITBISA-ABC-BATERAI-AA-ALKALINE</v>
      </c>
      <c r="B1636" s="266">
        <f>IFERROR(__xludf.DUMMYFUNCTION("""COMPUTED_VALUE"""),45704.0)</f>
        <v>45704</v>
      </c>
      <c r="C1636" s="266" t="str">
        <f>IFERROR(__xludf.DUMMYFUNCTION("""COMPUTED_VALUE"""),"KYAI KONTONG")</f>
        <v>KYAI KONTONG</v>
      </c>
      <c r="D1636" s="186">
        <f>IFERROR(__xludf.DUMMYFUNCTION("""COMPUTED_VALUE"""),6.0)</f>
        <v>6</v>
      </c>
    </row>
    <row r="1637">
      <c r="A1637" s="178" t="str">
        <f>IFERROR(__xludf.DUMMYFUNCTION("""COMPUTED_VALUE"""),"ITBISA-ABC-BATERAI-AA-ALKALINE")</f>
        <v>ITBISA-ABC-BATERAI-AA-ALKALINE</v>
      </c>
      <c r="B1637" s="266">
        <f>IFERROR(__xludf.DUMMYFUNCTION("""COMPUTED_VALUE"""),45706.0)</f>
        <v>45706</v>
      </c>
      <c r="C1637" s="266" t="str">
        <f>IFERROR(__xludf.DUMMYFUNCTION("""COMPUTED_VALUE"""),"KERTASARI CIAMIS")</f>
        <v>KERTASARI CIAMIS</v>
      </c>
      <c r="D1637" s="186">
        <f>IFERROR(__xludf.DUMMYFUNCTION("""COMPUTED_VALUE"""),6.0)</f>
        <v>6</v>
      </c>
    </row>
    <row r="1638">
      <c r="A1638" s="178" t="str">
        <f>IFERROR(__xludf.DUMMYFUNCTION("""COMPUTED_VALUE"""),"ITBISA-ABC-BATERAI-AA-ALKALINE")</f>
        <v>ITBISA-ABC-BATERAI-AA-ALKALINE</v>
      </c>
      <c r="B1638" s="266">
        <f>IFERROR(__xludf.DUMMYFUNCTION("""COMPUTED_VALUE"""),45711.0)</f>
        <v>45711</v>
      </c>
      <c r="C1638" s="266" t="str">
        <f>IFERROR(__xludf.DUMMYFUNCTION("""COMPUTED_VALUE"""),"KYAI KONTONG")</f>
        <v>KYAI KONTONG</v>
      </c>
      <c r="D1638" s="186">
        <f>IFERROR(__xludf.DUMMYFUNCTION("""COMPUTED_VALUE"""),6.0)</f>
        <v>6</v>
      </c>
    </row>
    <row r="1639">
      <c r="A1639" s="178" t="str">
        <f>IFERROR(__xludf.DUMMYFUNCTION("""COMPUTED_VALUE"""),"ITBISA-ABC-BATERAI-AA-ALKALINE")</f>
        <v>ITBISA-ABC-BATERAI-AA-ALKALINE</v>
      </c>
      <c r="B1639" s="266">
        <f>IFERROR(__xludf.DUMMYFUNCTION("""COMPUTED_VALUE"""),45718.0)</f>
        <v>45718</v>
      </c>
      <c r="C1639" s="266" t="str">
        <f>IFERROR(__xludf.DUMMYFUNCTION("""COMPUTED_VALUE"""),"KERTASARI CIAMIS")</f>
        <v>KERTASARI CIAMIS</v>
      </c>
      <c r="D1639" s="186">
        <f>IFERROR(__xludf.DUMMYFUNCTION("""COMPUTED_VALUE"""),12.0)</f>
        <v>12</v>
      </c>
    </row>
    <row r="1640">
      <c r="A1640" s="178" t="str">
        <f>IFERROR(__xludf.DUMMYFUNCTION("""COMPUTED_VALUE"""),"ITBISA-ABC-BATERAI-AA-ALKALINE")</f>
        <v>ITBISA-ABC-BATERAI-AA-ALKALINE</v>
      </c>
      <c r="B1640" s="266">
        <f>IFERROR(__xludf.DUMMYFUNCTION("""COMPUTED_VALUE"""),45720.0)</f>
        <v>45720</v>
      </c>
      <c r="C1640" s="266" t="str">
        <f>IFERROR(__xludf.DUMMYFUNCTION("""COMPUTED_VALUE"""),"KYAI KONTONG")</f>
        <v>KYAI KONTONG</v>
      </c>
      <c r="D1640" s="186">
        <f>IFERROR(__xludf.DUMMYFUNCTION("""COMPUTED_VALUE"""),2.0)</f>
        <v>2</v>
      </c>
    </row>
    <row r="1641">
      <c r="A1641" s="178" t="str">
        <f>IFERROR(__xludf.DUMMYFUNCTION("""COMPUTED_VALUE"""),"ITBISA-ABC-BATERAI-AA-ALKALINE")</f>
        <v>ITBISA-ABC-BATERAI-AA-ALKALINE</v>
      </c>
      <c r="B1641" s="266">
        <f>IFERROR(__xludf.DUMMYFUNCTION("""COMPUTED_VALUE"""),45721.0)</f>
        <v>45721</v>
      </c>
      <c r="C1641" s="266" t="str">
        <f>IFERROR(__xludf.DUMMYFUNCTION("""COMPUTED_VALUE"""),"KERTASARI CIAMIS")</f>
        <v>KERTASARI CIAMIS</v>
      </c>
      <c r="D1641" s="186">
        <f>IFERROR(__xludf.DUMMYFUNCTION("""COMPUTED_VALUE"""),6.0)</f>
        <v>6</v>
      </c>
    </row>
    <row r="1642">
      <c r="A1642" s="178" t="str">
        <f>IFERROR(__xludf.DUMMYFUNCTION("""COMPUTED_VALUE"""),"ITBISA-ABC-BATERAI-AA-ALKALINE")</f>
        <v>ITBISA-ABC-BATERAI-AA-ALKALINE</v>
      </c>
      <c r="B1642" s="266">
        <f>IFERROR(__xludf.DUMMYFUNCTION("""COMPUTED_VALUE"""),45723.0)</f>
        <v>45723</v>
      </c>
      <c r="C1642" s="266" t="str">
        <f>IFERROR(__xludf.DUMMYFUNCTION("""COMPUTED_VALUE"""),"KERTASARI CIAMIS")</f>
        <v>KERTASARI CIAMIS</v>
      </c>
      <c r="D1642" s="186">
        <f>IFERROR(__xludf.DUMMYFUNCTION("""COMPUTED_VALUE"""),8.0)</f>
        <v>8</v>
      </c>
    </row>
    <row r="1643">
      <c r="A1643" s="178" t="str">
        <f>IFERROR(__xludf.DUMMYFUNCTION("""COMPUTED_VALUE"""),"ITBISA-ABC-BATERAI-AA-ALKALINE")</f>
        <v>ITBISA-ABC-BATERAI-AA-ALKALINE</v>
      </c>
      <c r="B1643" s="266">
        <f>IFERROR(__xludf.DUMMYFUNCTION("""COMPUTED_VALUE"""),45724.0)</f>
        <v>45724</v>
      </c>
      <c r="C1643" s="266" t="str">
        <f>IFERROR(__xludf.DUMMYFUNCTION("""COMPUTED_VALUE"""),"KYAI KONTONG")</f>
        <v>KYAI KONTONG</v>
      </c>
      <c r="D1643" s="186">
        <f>IFERROR(__xludf.DUMMYFUNCTION("""COMPUTED_VALUE"""),2.0)</f>
        <v>2</v>
      </c>
    </row>
    <row r="1644">
      <c r="A1644" s="178" t="str">
        <f>IFERROR(__xludf.DUMMYFUNCTION("""COMPUTED_VALUE"""),"ITBISA-ABC-BATERAI-AA-ALKALINE")</f>
        <v>ITBISA-ABC-BATERAI-AA-ALKALINE</v>
      </c>
      <c r="B1644" s="266">
        <f>IFERROR(__xludf.DUMMYFUNCTION("""COMPUTED_VALUE"""),45729.0)</f>
        <v>45729</v>
      </c>
      <c r="C1644" s="266" t="str">
        <f>IFERROR(__xludf.DUMMYFUNCTION("""COMPUTED_VALUE"""),"KERTASARI CIAMIS")</f>
        <v>KERTASARI CIAMIS</v>
      </c>
      <c r="D1644" s="186">
        <f>IFERROR(__xludf.DUMMYFUNCTION("""COMPUTED_VALUE"""),48.0)</f>
        <v>48</v>
      </c>
    </row>
    <row r="1645">
      <c r="A1645" s="178" t="str">
        <f>IFERROR(__xludf.DUMMYFUNCTION("""COMPUTED_VALUE"""),"ITBISA-ABC-BATERAI-AA-ALKALINE")</f>
        <v>ITBISA-ABC-BATERAI-AA-ALKALINE</v>
      </c>
      <c r="B1645" s="266">
        <f>IFERROR(__xludf.DUMMYFUNCTION("""COMPUTED_VALUE"""),45729.0)</f>
        <v>45729</v>
      </c>
      <c r="C1645" s="266" t="str">
        <f>IFERROR(__xludf.DUMMYFUNCTION("""COMPUTED_VALUE"""),"KERTASARI CIAMIS")</f>
        <v>KERTASARI CIAMIS</v>
      </c>
      <c r="D1645" s="186">
        <f>IFERROR(__xludf.DUMMYFUNCTION("""COMPUTED_VALUE"""),84.0)</f>
        <v>84</v>
      </c>
    </row>
    <row r="1646">
      <c r="A1646" s="178" t="str">
        <f>IFERROR(__xludf.DUMMYFUNCTION("""COMPUTED_VALUE"""),"ITBISA-ABC-BATERAI-AA-ALKALINE")</f>
        <v>ITBISA-ABC-BATERAI-AA-ALKALINE</v>
      </c>
      <c r="B1646" s="266">
        <f>IFERROR(__xludf.DUMMYFUNCTION("""COMPUTED_VALUE"""),45730.0)</f>
        <v>45730</v>
      </c>
      <c r="C1646" s="266" t="str">
        <f>IFERROR(__xludf.DUMMYFUNCTION("""COMPUTED_VALUE"""),"KERTASARI CIAMIS")</f>
        <v>KERTASARI CIAMIS</v>
      </c>
      <c r="D1646" s="186">
        <f>IFERROR(__xludf.DUMMYFUNCTION("""COMPUTED_VALUE"""),6.0)</f>
        <v>6</v>
      </c>
    </row>
    <row r="1647">
      <c r="A1647" s="178" t="str">
        <f>IFERROR(__xludf.DUMMYFUNCTION("""COMPUTED_VALUE"""),"ITBISA-ABC-BATERAI-AA-ALKALINE")</f>
        <v>ITBISA-ABC-BATERAI-AA-ALKALINE</v>
      </c>
      <c r="B1647" s="266">
        <f>IFERROR(__xludf.DUMMYFUNCTION("""COMPUTED_VALUE"""),45733.0)</f>
        <v>45733</v>
      </c>
      <c r="C1647" s="266" t="str">
        <f>IFERROR(__xludf.DUMMYFUNCTION("""COMPUTED_VALUE"""),"KYAI KONTONG")</f>
        <v>KYAI KONTONG</v>
      </c>
      <c r="D1647" s="186">
        <f>IFERROR(__xludf.DUMMYFUNCTION("""COMPUTED_VALUE"""),8.0)</f>
        <v>8</v>
      </c>
    </row>
    <row r="1648">
      <c r="A1648" s="178" t="str">
        <f>IFERROR(__xludf.DUMMYFUNCTION("""COMPUTED_VALUE"""),"ITBISA-ABC-BATERAI-AA-ALKALINE")</f>
        <v>ITBISA-ABC-BATERAI-AA-ALKALINE</v>
      </c>
      <c r="B1648" s="266">
        <f>IFERROR(__xludf.DUMMYFUNCTION("""COMPUTED_VALUE"""),45737.0)</f>
        <v>45737</v>
      </c>
      <c r="C1648" s="266" t="str">
        <f>IFERROR(__xludf.DUMMYFUNCTION("""COMPUTED_VALUE"""),"KERTASARI CIAMIS")</f>
        <v>KERTASARI CIAMIS</v>
      </c>
      <c r="D1648" s="186">
        <f>IFERROR(__xludf.DUMMYFUNCTION("""COMPUTED_VALUE"""),24.0)</f>
        <v>24</v>
      </c>
    </row>
    <row r="1649">
      <c r="A1649" s="178" t="str">
        <f>IFERROR(__xludf.DUMMYFUNCTION("""COMPUTED_VALUE"""),"ITBISA-ABC-BATERAI-AA-ALKALINE")</f>
        <v>ITBISA-ABC-BATERAI-AA-ALKALINE</v>
      </c>
      <c r="B1649" s="266">
        <f>IFERROR(__xludf.DUMMYFUNCTION("""COMPUTED_VALUE"""),45751.0)</f>
        <v>45751</v>
      </c>
      <c r="C1649" s="266" t="str">
        <f>IFERROR(__xludf.DUMMYFUNCTION("""COMPUTED_VALUE"""),"KERTASARI CIAMIS")</f>
        <v>KERTASARI CIAMIS</v>
      </c>
      <c r="D1649" s="186">
        <f>IFERROR(__xludf.DUMMYFUNCTION("""COMPUTED_VALUE"""),2.0)</f>
        <v>2</v>
      </c>
    </row>
    <row r="1650">
      <c r="A1650" s="178" t="str">
        <f>IFERROR(__xludf.DUMMYFUNCTION("""COMPUTED_VALUE"""),"ITBISA-ABC-BATERAI-AA-ALKALINE")</f>
        <v>ITBISA-ABC-BATERAI-AA-ALKALINE</v>
      </c>
      <c r="B1650" s="266">
        <f>IFERROR(__xludf.DUMMYFUNCTION("""COMPUTED_VALUE"""),45751.0)</f>
        <v>45751</v>
      </c>
      <c r="C1650" s="266" t="str">
        <f>IFERROR(__xludf.DUMMYFUNCTION("""COMPUTED_VALUE"""),"KERTASARI CIAMIS")</f>
        <v>KERTASARI CIAMIS</v>
      </c>
      <c r="D1650" s="186">
        <f>IFERROR(__xludf.DUMMYFUNCTION("""COMPUTED_VALUE"""),6.0)</f>
        <v>6</v>
      </c>
    </row>
    <row r="1651">
      <c r="A1651" s="178" t="str">
        <f>IFERROR(__xludf.DUMMYFUNCTION("""COMPUTED_VALUE"""),"ITBISA-ABC-BATERAI-AA-ALKALINE")</f>
        <v>ITBISA-ABC-BATERAI-AA-ALKALINE</v>
      </c>
      <c r="B1651" s="266">
        <f>IFERROR(__xludf.DUMMYFUNCTION("""COMPUTED_VALUE"""),45756.0)</f>
        <v>45756</v>
      </c>
      <c r="C1651" s="266" t="str">
        <f>IFERROR(__xludf.DUMMYFUNCTION("""COMPUTED_VALUE"""),"KERTASARI CIAMIS")</f>
        <v>KERTASARI CIAMIS</v>
      </c>
      <c r="D1651" s="186">
        <f>IFERROR(__xludf.DUMMYFUNCTION("""COMPUTED_VALUE"""),6.0)</f>
        <v>6</v>
      </c>
    </row>
    <row r="1652">
      <c r="A1652" s="178" t="str">
        <f>IFERROR(__xludf.DUMMYFUNCTION("""COMPUTED_VALUE"""),"ITBISA-ABC-BATERAI-AA-ALKALINE")</f>
        <v>ITBISA-ABC-BATERAI-AA-ALKALINE</v>
      </c>
      <c r="B1652" s="266">
        <f>IFERROR(__xludf.DUMMYFUNCTION("""COMPUTED_VALUE"""),45760.0)</f>
        <v>45760</v>
      </c>
      <c r="C1652" s="266" t="str">
        <f>IFERROR(__xludf.DUMMYFUNCTION("""COMPUTED_VALUE"""),"KERTASARI CIAMIS")</f>
        <v>KERTASARI CIAMIS</v>
      </c>
      <c r="D1652" s="186">
        <f>IFERROR(__xludf.DUMMYFUNCTION("""COMPUTED_VALUE"""),2.0)</f>
        <v>2</v>
      </c>
    </row>
    <row r="1653">
      <c r="A1653" s="178" t="str">
        <f>IFERROR(__xludf.DUMMYFUNCTION("""COMPUTED_VALUE"""),"ITBISA-ABC-BATERAI-AA-ALKALINE")</f>
        <v>ITBISA-ABC-BATERAI-AA-ALKALINE</v>
      </c>
      <c r="B1653" s="266">
        <f>IFERROR(__xludf.DUMMYFUNCTION("""COMPUTED_VALUE"""),45770.0)</f>
        <v>45770</v>
      </c>
      <c r="C1653" s="266" t="str">
        <f>IFERROR(__xludf.DUMMYFUNCTION("""COMPUTED_VALUE"""),"KYAI KONTONG")</f>
        <v>KYAI KONTONG</v>
      </c>
      <c r="D1653" s="186">
        <f>IFERROR(__xludf.DUMMYFUNCTION("""COMPUTED_VALUE"""),24.0)</f>
        <v>24</v>
      </c>
    </row>
    <row r="1654">
      <c r="A1654" s="178" t="str">
        <f>IFERROR(__xludf.DUMMYFUNCTION("""COMPUTED_VALUE"""),"ITBISA-ABC-BATERAI-AA-ALKALINE")</f>
        <v>ITBISA-ABC-BATERAI-AA-ALKALINE</v>
      </c>
      <c r="B1654" s="266">
        <f>IFERROR(__xludf.DUMMYFUNCTION("""COMPUTED_VALUE"""),45776.0)</f>
        <v>45776</v>
      </c>
      <c r="C1654" s="266" t="str">
        <f>IFERROR(__xludf.DUMMYFUNCTION("""COMPUTED_VALUE"""),"KYAI KONTONG")</f>
        <v>KYAI KONTONG</v>
      </c>
      <c r="D1654" s="186">
        <f>IFERROR(__xludf.DUMMYFUNCTION("""COMPUTED_VALUE"""),24.0)</f>
        <v>24</v>
      </c>
    </row>
    <row r="1655">
      <c r="A1655" s="178" t="str">
        <f>IFERROR(__xludf.DUMMYFUNCTION("""COMPUTED_VALUE"""),"ITBISA-ABC-BATERAI-AA-ALKALINE")</f>
        <v>ITBISA-ABC-BATERAI-AA-ALKALINE</v>
      </c>
      <c r="B1655" s="266">
        <f>IFERROR(__xludf.DUMMYFUNCTION("""COMPUTED_VALUE"""),45780.0)</f>
        <v>45780</v>
      </c>
      <c r="C1655" s="266" t="str">
        <f>IFERROR(__xludf.DUMMYFUNCTION("""COMPUTED_VALUE"""),"KYAI KONTONG")</f>
        <v>KYAI KONTONG</v>
      </c>
      <c r="D1655" s="186">
        <f>IFERROR(__xludf.DUMMYFUNCTION("""COMPUTED_VALUE"""),16.0)</f>
        <v>16</v>
      </c>
    </row>
    <row r="1656">
      <c r="A1656" s="178" t="str">
        <f>IFERROR(__xludf.DUMMYFUNCTION("""COMPUTED_VALUE"""),"ITBISA-ABC-BATERAI-AA-ALKALINE")</f>
        <v>ITBISA-ABC-BATERAI-AA-ALKALINE</v>
      </c>
      <c r="B1656" s="266">
        <f>IFERROR(__xludf.DUMMYFUNCTION("""COMPUTED_VALUE"""),45783.0)</f>
        <v>45783</v>
      </c>
      <c r="C1656" s="266" t="str">
        <f>IFERROR(__xludf.DUMMYFUNCTION("""COMPUTED_VALUE"""),"KYAI KONTONG")</f>
        <v>KYAI KONTONG</v>
      </c>
      <c r="D1656" s="186">
        <f>IFERROR(__xludf.DUMMYFUNCTION("""COMPUTED_VALUE"""),1.0)</f>
        <v>1</v>
      </c>
    </row>
    <row r="1657">
      <c r="A1657" s="178" t="str">
        <f>IFERROR(__xludf.DUMMYFUNCTION("""COMPUTED_VALUE"""),"ITBISA-ABC-BATERAI-AA-ALKALINE")</f>
        <v>ITBISA-ABC-BATERAI-AA-ALKALINE</v>
      </c>
      <c r="B1657" s="266">
        <f>IFERROR(__xludf.DUMMYFUNCTION("""COMPUTED_VALUE"""),45783.0)</f>
        <v>45783</v>
      </c>
      <c r="C1657" s="266" t="str">
        <f>IFERROR(__xludf.DUMMYFUNCTION("""COMPUTED_VALUE"""),"KYAI KONTONG")</f>
        <v>KYAI KONTONG</v>
      </c>
      <c r="D1657" s="186">
        <f>IFERROR(__xludf.DUMMYFUNCTION("""COMPUTED_VALUE"""),40.0)</f>
        <v>40</v>
      </c>
    </row>
    <row r="1658">
      <c r="A1658" s="178" t="str">
        <f>IFERROR(__xludf.DUMMYFUNCTION("""COMPUTED_VALUE"""),"ITBISA-ABC-BATERAI-AA-ALKALINE")</f>
        <v>ITBISA-ABC-BATERAI-AA-ALKALINE</v>
      </c>
      <c r="B1658" s="266">
        <f>IFERROR(__xludf.DUMMYFUNCTION("""COMPUTED_VALUE"""),45789.0)</f>
        <v>45789</v>
      </c>
      <c r="C1658" s="266" t="str">
        <f>IFERROR(__xludf.DUMMYFUNCTION("""COMPUTED_VALUE"""),"KERTASARI CIAMIS")</f>
        <v>KERTASARI CIAMIS</v>
      </c>
      <c r="D1658" s="186">
        <f>IFERROR(__xludf.DUMMYFUNCTION("""COMPUTED_VALUE"""),6.0)</f>
        <v>6</v>
      </c>
    </row>
    <row r="1659">
      <c r="A1659" s="178" t="str">
        <f>IFERROR(__xludf.DUMMYFUNCTION("""COMPUTED_VALUE"""),"ITBISA-ABC-BATERAI-AA-ALKALINE")</f>
        <v>ITBISA-ABC-BATERAI-AA-ALKALINE</v>
      </c>
      <c r="B1659" s="266">
        <f>IFERROR(__xludf.DUMMYFUNCTION("""COMPUTED_VALUE"""),45789.0)</f>
        <v>45789</v>
      </c>
      <c r="C1659" s="266" t="str">
        <f>IFERROR(__xludf.DUMMYFUNCTION("""COMPUTED_VALUE"""),"KERTASARI CIAMIS")</f>
        <v>KERTASARI CIAMIS</v>
      </c>
      <c r="D1659" s="186">
        <f>IFERROR(__xludf.DUMMYFUNCTION("""COMPUTED_VALUE"""),6.0)</f>
        <v>6</v>
      </c>
    </row>
    <row r="1660">
      <c r="A1660" s="178" t="str">
        <f>IFERROR(__xludf.DUMMYFUNCTION("""COMPUTED_VALUE"""),"ITBISA-ABC-BATERAI-AA-ALKALINE")</f>
        <v>ITBISA-ABC-BATERAI-AA-ALKALINE</v>
      </c>
      <c r="B1660" s="266">
        <f>IFERROR(__xludf.DUMMYFUNCTION("""COMPUTED_VALUE"""),45790.0)</f>
        <v>45790</v>
      </c>
      <c r="C1660" s="266" t="str">
        <f>IFERROR(__xludf.DUMMYFUNCTION("""COMPUTED_VALUE"""),"KYAI KONTONG")</f>
        <v>KYAI KONTONG</v>
      </c>
      <c r="D1660" s="186">
        <f>IFERROR(__xludf.DUMMYFUNCTION("""COMPUTED_VALUE"""),1.0)</f>
        <v>1</v>
      </c>
    </row>
    <row r="1661">
      <c r="A1661" s="178" t="str">
        <f>IFERROR(__xludf.DUMMYFUNCTION("""COMPUTED_VALUE"""),"ITBISA-ABC-BATERAI-AA-ALKALINE")</f>
        <v>ITBISA-ABC-BATERAI-AA-ALKALINE</v>
      </c>
      <c r="B1661" s="266">
        <f>IFERROR(__xludf.DUMMYFUNCTION("""COMPUTED_VALUE"""),45790.0)</f>
        <v>45790</v>
      </c>
      <c r="C1661" s="266" t="str">
        <f>IFERROR(__xludf.DUMMYFUNCTION("""COMPUTED_VALUE"""),"KYAI KONTONG")</f>
        <v>KYAI KONTONG</v>
      </c>
      <c r="D1661" s="186">
        <f>IFERROR(__xludf.DUMMYFUNCTION("""COMPUTED_VALUE"""),16.0)</f>
        <v>16</v>
      </c>
    </row>
    <row r="1662">
      <c r="A1662" s="178" t="str">
        <f>IFERROR(__xludf.DUMMYFUNCTION("""COMPUTED_VALUE"""),"ITBISA-ABC-BATERAI-AA-ALKALINE")</f>
        <v>ITBISA-ABC-BATERAI-AA-ALKALINE</v>
      </c>
      <c r="B1662" s="266">
        <f>IFERROR(__xludf.DUMMYFUNCTION("""COMPUTED_VALUE"""),45792.0)</f>
        <v>45792</v>
      </c>
      <c r="C1662" s="266" t="str">
        <f>IFERROR(__xludf.DUMMYFUNCTION("""COMPUTED_VALUE"""),"KYAI KONTONG")</f>
        <v>KYAI KONTONG</v>
      </c>
      <c r="D1662" s="186">
        <f>IFERROR(__xludf.DUMMYFUNCTION("""COMPUTED_VALUE"""),4.0)</f>
        <v>4</v>
      </c>
    </row>
    <row r="1663">
      <c r="A1663" s="178" t="str">
        <f>IFERROR(__xludf.DUMMYFUNCTION("""COMPUTED_VALUE"""),"ITBISA-ABC-BATERAI-AA-ALKALINE")</f>
        <v>ITBISA-ABC-BATERAI-AA-ALKALINE</v>
      </c>
      <c r="B1663" s="266">
        <f>IFERROR(__xludf.DUMMYFUNCTION("""COMPUTED_VALUE"""),45793.0)</f>
        <v>45793</v>
      </c>
      <c r="C1663" s="266" t="str">
        <f>IFERROR(__xludf.DUMMYFUNCTION("""COMPUTED_VALUE"""),"KYAI KONTONG")</f>
        <v>KYAI KONTONG</v>
      </c>
      <c r="D1663" s="186">
        <f>IFERROR(__xludf.DUMMYFUNCTION("""COMPUTED_VALUE"""),12.0)</f>
        <v>12</v>
      </c>
    </row>
    <row r="1664">
      <c r="A1664" s="178" t="str">
        <f>IFERROR(__xludf.DUMMYFUNCTION("""COMPUTED_VALUE"""),"ITBISA-ABC-BATERAI-AA-ALKALINE")</f>
        <v>ITBISA-ABC-BATERAI-AA-ALKALINE</v>
      </c>
      <c r="B1664" s="266">
        <f>IFERROR(__xludf.DUMMYFUNCTION("""COMPUTED_VALUE"""),45795.0)</f>
        <v>45795</v>
      </c>
      <c r="C1664" s="266" t="str">
        <f>IFERROR(__xludf.DUMMYFUNCTION("""COMPUTED_VALUE"""),"KYAI KONTONG")</f>
        <v>KYAI KONTONG</v>
      </c>
      <c r="D1664" s="186">
        <f>IFERROR(__xludf.DUMMYFUNCTION("""COMPUTED_VALUE"""),1.0)</f>
        <v>1</v>
      </c>
    </row>
    <row r="1665">
      <c r="A1665" s="178" t="str">
        <f>IFERROR(__xludf.DUMMYFUNCTION("""COMPUTED_VALUE"""),"ITBISA-ABC-BATERAI-AA-ALKALINE")</f>
        <v>ITBISA-ABC-BATERAI-AA-ALKALINE</v>
      </c>
      <c r="B1665" s="266">
        <f>IFERROR(__xludf.DUMMYFUNCTION("""COMPUTED_VALUE"""),45803.0)</f>
        <v>45803</v>
      </c>
      <c r="C1665" s="266" t="str">
        <f>IFERROR(__xludf.DUMMYFUNCTION("""COMPUTED_VALUE"""),"KYAI KONTONG")</f>
        <v>KYAI KONTONG</v>
      </c>
      <c r="D1665" s="186">
        <f>IFERROR(__xludf.DUMMYFUNCTION("""COMPUTED_VALUE"""),6.0)</f>
        <v>6</v>
      </c>
    </row>
    <row r="1666">
      <c r="A1666" s="178" t="str">
        <f>IFERROR(__xludf.DUMMYFUNCTION("""COMPUTED_VALUE"""),"ITBISA-ABC-BATERAI-AA-ALKALINE")</f>
        <v>ITBISA-ABC-BATERAI-AA-ALKALINE</v>
      </c>
      <c r="B1666" s="266">
        <f>IFERROR(__xludf.DUMMYFUNCTION("""COMPUTED_VALUE"""),45810.0)</f>
        <v>45810</v>
      </c>
      <c r="C1666" s="266" t="str">
        <f>IFERROR(__xludf.DUMMYFUNCTION("""COMPUTED_VALUE"""),"KYAI KONTONG")</f>
        <v>KYAI KONTONG</v>
      </c>
      <c r="D1666" s="186">
        <f>IFERROR(__xludf.DUMMYFUNCTION("""COMPUTED_VALUE"""),18.0)</f>
        <v>18</v>
      </c>
    </row>
    <row r="1667">
      <c r="A1667" s="178" t="str">
        <f>IFERROR(__xludf.DUMMYFUNCTION("""COMPUTED_VALUE"""),"ITBISA-ABC-BATERAI-AA-ALKALINE")</f>
        <v>ITBISA-ABC-BATERAI-AA-ALKALINE</v>
      </c>
      <c r="B1667" s="266">
        <f>IFERROR(__xludf.DUMMYFUNCTION("""COMPUTED_VALUE"""),45816.0)</f>
        <v>45816</v>
      </c>
      <c r="C1667" s="266" t="str">
        <f>IFERROR(__xludf.DUMMYFUNCTION("""COMPUTED_VALUE"""),"KYAI KONTONG")</f>
        <v>KYAI KONTONG</v>
      </c>
      <c r="D1667" s="186">
        <f>IFERROR(__xludf.DUMMYFUNCTION("""COMPUTED_VALUE"""),2.0)</f>
        <v>2</v>
      </c>
    </row>
    <row r="1668">
      <c r="A1668" s="178" t="str">
        <f>IFERROR(__xludf.DUMMYFUNCTION("""COMPUTED_VALUE"""),"ITBISA-ABC-BATERAI-AA-ALKALINE")</f>
        <v>ITBISA-ABC-BATERAI-AA-ALKALINE</v>
      </c>
      <c r="B1668" s="266">
        <f>IFERROR(__xludf.DUMMYFUNCTION("""COMPUTED_VALUE"""),45822.0)</f>
        <v>45822</v>
      </c>
      <c r="C1668" s="266" t="str">
        <f>IFERROR(__xludf.DUMMYFUNCTION("""COMPUTED_VALUE"""),"KYAI KONTONG")</f>
        <v>KYAI KONTONG</v>
      </c>
      <c r="D1668" s="186">
        <f>IFERROR(__xludf.DUMMYFUNCTION("""COMPUTED_VALUE"""),1.0)</f>
        <v>1</v>
      </c>
    </row>
    <row r="1669">
      <c r="A1669" s="178" t="str">
        <f>IFERROR(__xludf.DUMMYFUNCTION("""COMPUTED_VALUE"""),"ITBISA-ABC-BATERAI-AA-ALKALINE")</f>
        <v>ITBISA-ABC-BATERAI-AA-ALKALINE</v>
      </c>
      <c r="B1669" s="266">
        <f>IFERROR(__xludf.DUMMYFUNCTION("""COMPUTED_VALUE"""),45824.0)</f>
        <v>45824</v>
      </c>
      <c r="C1669" s="266" t="str">
        <f>IFERROR(__xludf.DUMMYFUNCTION("""COMPUTED_VALUE"""),"KYAI KONTONG")</f>
        <v>KYAI KONTONG</v>
      </c>
      <c r="D1669" s="186">
        <f>IFERROR(__xludf.DUMMYFUNCTION("""COMPUTED_VALUE"""),12.0)</f>
        <v>12</v>
      </c>
    </row>
    <row r="1670">
      <c r="A1670" s="178" t="str">
        <f>IFERROR(__xludf.DUMMYFUNCTION("""COMPUTED_VALUE"""),"ITBISA-ABC-BATERAI-AA-ALKALINE")</f>
        <v>ITBISA-ABC-BATERAI-AA-ALKALINE</v>
      </c>
      <c r="B1670" s="266">
        <f>IFERROR(__xludf.DUMMYFUNCTION("""COMPUTED_VALUE"""),45828.0)</f>
        <v>45828</v>
      </c>
      <c r="C1670" s="266" t="str">
        <f>IFERROR(__xludf.DUMMYFUNCTION("""COMPUTED_VALUE"""),"KYAI KONTONG")</f>
        <v>KYAI KONTONG</v>
      </c>
      <c r="D1670" s="186">
        <f>IFERROR(__xludf.DUMMYFUNCTION("""COMPUTED_VALUE"""),2.0)</f>
        <v>2</v>
      </c>
    </row>
    <row r="1671">
      <c r="A1671" s="178" t="str">
        <f>IFERROR(__xludf.DUMMYFUNCTION("""COMPUTED_VALUE"""),"ITBISA-ABC-BATERAI-AA-ALKALINE")</f>
        <v>ITBISA-ABC-BATERAI-AA-ALKALINE</v>
      </c>
      <c r="B1671" s="266">
        <f>IFERROR(__xludf.DUMMYFUNCTION("""COMPUTED_VALUE"""),45833.0)</f>
        <v>45833</v>
      </c>
      <c r="C1671" s="266" t="str">
        <f>IFERROR(__xludf.DUMMYFUNCTION("""COMPUTED_VALUE"""),"KYAI KONTONG")</f>
        <v>KYAI KONTONG</v>
      </c>
      <c r="D1671" s="186">
        <f>IFERROR(__xludf.DUMMYFUNCTION("""COMPUTED_VALUE"""),1.0)</f>
        <v>1</v>
      </c>
    </row>
    <row r="1672">
      <c r="A1672" s="178" t="str">
        <f>IFERROR(__xludf.DUMMYFUNCTION("""COMPUTED_VALUE"""),"ITBISA-ABC-BATERAI-AA-ALKALINE")</f>
        <v>ITBISA-ABC-BATERAI-AA-ALKALINE</v>
      </c>
      <c r="B1672" s="266">
        <f>IFERROR(__xludf.DUMMYFUNCTION("""COMPUTED_VALUE"""),45845.0)</f>
        <v>45845</v>
      </c>
      <c r="C1672" s="266" t="str">
        <f>IFERROR(__xludf.DUMMYFUNCTION("""COMPUTED_VALUE"""),"KYAI KONTONG")</f>
        <v>KYAI KONTONG</v>
      </c>
      <c r="D1672" s="186">
        <f>IFERROR(__xludf.DUMMYFUNCTION("""COMPUTED_VALUE"""),1.0)</f>
        <v>1</v>
      </c>
    </row>
    <row r="1673">
      <c r="A1673" s="178" t="str">
        <f>IFERROR(__xludf.DUMMYFUNCTION("""COMPUTED_VALUE"""),"ITBISA-ABC-BATERAI-AA-ALKALINE")</f>
        <v>ITBISA-ABC-BATERAI-AA-ALKALINE</v>
      </c>
      <c r="B1673" s="266">
        <f>IFERROR(__xludf.DUMMYFUNCTION("""COMPUTED_VALUE"""),45845.0)</f>
        <v>45845</v>
      </c>
      <c r="C1673" s="266" t="str">
        <f>IFERROR(__xludf.DUMMYFUNCTION("""COMPUTED_VALUE"""),"KYAI KONTONG")</f>
        <v>KYAI KONTONG</v>
      </c>
      <c r="D1673" s="186">
        <f>IFERROR(__xludf.DUMMYFUNCTION("""COMPUTED_VALUE"""),3.0)</f>
        <v>3</v>
      </c>
    </row>
    <row r="1674">
      <c r="A1674" s="178" t="str">
        <f>IFERROR(__xludf.DUMMYFUNCTION("""COMPUTED_VALUE"""),"ITBISA-ABC-BATERAI-AA-ALKALINE")</f>
        <v>ITBISA-ABC-BATERAI-AA-ALKALINE</v>
      </c>
      <c r="B1674" s="266">
        <f>IFERROR(__xludf.DUMMYFUNCTION("""COMPUTED_VALUE"""),45848.0)</f>
        <v>45848</v>
      </c>
      <c r="C1674" s="266" t="str">
        <f>IFERROR(__xludf.DUMMYFUNCTION("""COMPUTED_VALUE"""),"KYAI KONTONG")</f>
        <v>KYAI KONTONG</v>
      </c>
      <c r="D1674" s="186">
        <f>IFERROR(__xludf.DUMMYFUNCTION("""COMPUTED_VALUE"""),16.0)</f>
        <v>16</v>
      </c>
    </row>
    <row r="1675">
      <c r="A1675" s="178" t="str">
        <f>IFERROR(__xludf.DUMMYFUNCTION("""COMPUTED_VALUE"""),"ITBISA-ABC-BATERAI-AA-ALKALINE")</f>
        <v>ITBISA-ABC-BATERAI-AA-ALKALINE</v>
      </c>
      <c r="B1675" s="266">
        <f>IFERROR(__xludf.DUMMYFUNCTION("""COMPUTED_VALUE"""),45851.0)</f>
        <v>45851</v>
      </c>
      <c r="C1675" s="266" t="str">
        <f>IFERROR(__xludf.DUMMYFUNCTION("""COMPUTED_VALUE"""),"KERTASARI CIAMIS")</f>
        <v>KERTASARI CIAMIS</v>
      </c>
      <c r="D1675" s="186">
        <f>IFERROR(__xludf.DUMMYFUNCTION("""COMPUTED_VALUE"""),1.0)</f>
        <v>1</v>
      </c>
    </row>
    <row r="1676">
      <c r="A1676" s="178" t="str">
        <f>IFERROR(__xludf.DUMMYFUNCTION("""COMPUTED_VALUE"""),"ITBISA-ABC-BATERAI-AA-ALKALINE")</f>
        <v>ITBISA-ABC-BATERAI-AA-ALKALINE</v>
      </c>
      <c r="B1676" s="266">
        <f>IFERROR(__xludf.DUMMYFUNCTION("""COMPUTED_VALUE"""),45851.0)</f>
        <v>45851</v>
      </c>
      <c r="C1676" s="266" t="str">
        <f>IFERROR(__xludf.DUMMYFUNCTION("""COMPUTED_VALUE"""),"KYAI KONTONG")</f>
        <v>KYAI KONTONG</v>
      </c>
      <c r="D1676" s="186">
        <f>IFERROR(__xludf.DUMMYFUNCTION("""COMPUTED_VALUE"""),3.0)</f>
        <v>3</v>
      </c>
    </row>
    <row r="1677">
      <c r="A1677" s="178" t="str">
        <f>IFERROR(__xludf.DUMMYFUNCTION("""COMPUTED_VALUE"""),"ITBISA-ABC-BATERAI-AA-ALKALINE")</f>
        <v>ITBISA-ABC-BATERAI-AA-ALKALINE</v>
      </c>
      <c r="B1677" s="266">
        <f>IFERROR(__xludf.DUMMYFUNCTION("""COMPUTED_VALUE"""),45855.0)</f>
        <v>45855</v>
      </c>
      <c r="C1677" s="266" t="str">
        <f>IFERROR(__xludf.DUMMYFUNCTION("""COMPUTED_VALUE"""),"KYAI KONTONG")</f>
        <v>KYAI KONTONG</v>
      </c>
      <c r="D1677" s="186">
        <f>IFERROR(__xludf.DUMMYFUNCTION("""COMPUTED_VALUE"""),2.0)</f>
        <v>2</v>
      </c>
    </row>
    <row r="1678">
      <c r="A1678" s="178" t="str">
        <f>IFERROR(__xludf.DUMMYFUNCTION("""COMPUTED_VALUE"""),"ITBISA-ABC-BATERAI-AA-ALKALINE")</f>
        <v>ITBISA-ABC-BATERAI-AA-ALKALINE</v>
      </c>
      <c r="B1678" s="266">
        <f>IFERROR(__xludf.DUMMYFUNCTION("""COMPUTED_VALUE"""),45855.0)</f>
        <v>45855</v>
      </c>
      <c r="C1678" s="266" t="str">
        <f>IFERROR(__xludf.DUMMYFUNCTION("""COMPUTED_VALUE"""),"KYAI KONTONG")</f>
        <v>KYAI KONTONG</v>
      </c>
      <c r="D1678" s="186">
        <f>IFERROR(__xludf.DUMMYFUNCTION("""COMPUTED_VALUE"""),8.0)</f>
        <v>8</v>
      </c>
    </row>
    <row r="1679">
      <c r="A1679" s="178" t="str">
        <f>IFERROR(__xludf.DUMMYFUNCTION("""COMPUTED_VALUE"""),"ITBISA-ABC-BATERAI-AA-ALKALINE")</f>
        <v>ITBISA-ABC-BATERAI-AA-ALKALINE</v>
      </c>
      <c r="B1679" s="266">
        <f>IFERROR(__xludf.DUMMYFUNCTION("""COMPUTED_VALUE"""),45860.0)</f>
        <v>45860</v>
      </c>
      <c r="C1679" s="266" t="str">
        <f>IFERROR(__xludf.DUMMYFUNCTION("""COMPUTED_VALUE"""),"KYAI KONTONG")</f>
        <v>KYAI KONTONG</v>
      </c>
      <c r="D1679" s="186">
        <f>IFERROR(__xludf.DUMMYFUNCTION("""COMPUTED_VALUE"""),2.0)</f>
        <v>2</v>
      </c>
    </row>
    <row r="1680">
      <c r="A1680" s="178" t="str">
        <f>IFERROR(__xludf.DUMMYFUNCTION("""COMPUTED_VALUE"""),"ITBISA-ABC-BATERAI-AA-ALKALINE")</f>
        <v>ITBISA-ABC-BATERAI-AA-ALKALINE</v>
      </c>
      <c r="B1680" s="266">
        <f>IFERROR(__xludf.DUMMYFUNCTION("""COMPUTED_VALUE"""),45861.0)</f>
        <v>45861</v>
      </c>
      <c r="C1680" s="266" t="str">
        <f>IFERROR(__xludf.DUMMYFUNCTION("""COMPUTED_VALUE"""),"KERTASARI CIAMIS")</f>
        <v>KERTASARI CIAMIS</v>
      </c>
      <c r="D1680" s="186">
        <f>IFERROR(__xludf.DUMMYFUNCTION("""COMPUTED_VALUE"""),6.0)</f>
        <v>6</v>
      </c>
    </row>
    <row r="1681">
      <c r="A1681" s="178" t="str">
        <f>IFERROR(__xludf.DUMMYFUNCTION("""COMPUTED_VALUE"""),"ITBISA-ABC-BATERAI-AA-ALKALINE")</f>
        <v>ITBISA-ABC-BATERAI-AA-ALKALINE</v>
      </c>
      <c r="B1681" s="266">
        <f>IFERROR(__xludf.DUMMYFUNCTION("""COMPUTED_VALUE"""),45865.0)</f>
        <v>45865</v>
      </c>
      <c r="C1681" s="266" t="str">
        <f>IFERROR(__xludf.DUMMYFUNCTION("""COMPUTED_VALUE"""),"KYAI KONTONG")</f>
        <v>KYAI KONTONG</v>
      </c>
      <c r="D1681" s="186">
        <f>IFERROR(__xludf.DUMMYFUNCTION("""COMPUTED_VALUE"""),3.0)</f>
        <v>3</v>
      </c>
    </row>
    <row r="1682">
      <c r="A1682" s="178" t="str">
        <f>IFERROR(__xludf.DUMMYFUNCTION("""COMPUTED_VALUE"""),"ITBISA-ABC-BATERAI-AA-ALKALINE")</f>
        <v>ITBISA-ABC-BATERAI-AA-ALKALINE</v>
      </c>
      <c r="B1682" s="266">
        <f>IFERROR(__xludf.DUMMYFUNCTION("""COMPUTED_VALUE"""),45866.0)</f>
        <v>45866</v>
      </c>
      <c r="C1682" s="266" t="str">
        <f>IFERROR(__xludf.DUMMYFUNCTION("""COMPUTED_VALUE"""),"KYAI KONTONG")</f>
        <v>KYAI KONTONG</v>
      </c>
      <c r="D1682" s="186">
        <f>IFERROR(__xludf.DUMMYFUNCTION("""COMPUTED_VALUE"""),2.0)</f>
        <v>2</v>
      </c>
    </row>
    <row r="1683">
      <c r="A1683" s="178" t="str">
        <f>IFERROR(__xludf.DUMMYFUNCTION("""COMPUTED_VALUE"""),"ITBISA-ABC-BATERAI-AA-ALKALINE")</f>
        <v>ITBISA-ABC-BATERAI-AA-ALKALINE</v>
      </c>
      <c r="B1683" s="266">
        <f>IFERROR(__xludf.DUMMYFUNCTION("""COMPUTED_VALUE"""),45869.0)</f>
        <v>45869</v>
      </c>
      <c r="C1683" s="266" t="str">
        <f>IFERROR(__xludf.DUMMYFUNCTION("""COMPUTED_VALUE"""),"KYAI KONTONG")</f>
        <v>KYAI KONTONG</v>
      </c>
      <c r="D1683" s="186">
        <f>IFERROR(__xludf.DUMMYFUNCTION("""COMPUTED_VALUE"""),1.0)</f>
        <v>1</v>
      </c>
    </row>
    <row r="1684">
      <c r="A1684" s="178" t="str">
        <f>IFERROR(__xludf.DUMMYFUNCTION("""COMPUTED_VALUE"""),"ITBISA-ABC-BATERAI-AA-ALKALINE")</f>
        <v>ITBISA-ABC-BATERAI-AA-ALKALINE</v>
      </c>
      <c r="B1684" s="266">
        <f>IFERROR(__xludf.DUMMYFUNCTION("""COMPUTED_VALUE"""),45869.0)</f>
        <v>45869</v>
      </c>
      <c r="C1684" s="266" t="str">
        <f>IFERROR(__xludf.DUMMYFUNCTION("""COMPUTED_VALUE"""),"KYAI KONTONG")</f>
        <v>KYAI KONTONG</v>
      </c>
      <c r="D1684" s="186">
        <f>IFERROR(__xludf.DUMMYFUNCTION("""COMPUTED_VALUE"""),8.0)</f>
        <v>8</v>
      </c>
    </row>
    <row r="1685">
      <c r="A1685" s="178" t="str">
        <f>IFERROR(__xludf.DUMMYFUNCTION("""COMPUTED_VALUE"""),"ITBISA-ABC-BATERAI-AA-ALKALINE")</f>
        <v>ITBISA-ABC-BATERAI-AA-ALKALINE</v>
      </c>
      <c r="B1685" s="266">
        <f>IFERROR(__xludf.DUMMYFUNCTION("""COMPUTED_VALUE"""),45870.0)</f>
        <v>45870</v>
      </c>
      <c r="C1685" s="266" t="str">
        <f>IFERROR(__xludf.DUMMYFUNCTION("""COMPUTED_VALUE"""),"KERTASARI CIAMIS")</f>
        <v>KERTASARI CIAMIS</v>
      </c>
      <c r="D1685" s="186">
        <f>IFERROR(__xludf.DUMMYFUNCTION("""COMPUTED_VALUE"""),2.0)</f>
        <v>2</v>
      </c>
    </row>
    <row r="1686">
      <c r="A1686" s="178" t="str">
        <f>IFERROR(__xludf.DUMMYFUNCTION("""COMPUTED_VALUE"""),"ITBISA-ABC-BATERAI-AA-ALKALINE")</f>
        <v>ITBISA-ABC-BATERAI-AA-ALKALINE</v>
      </c>
      <c r="B1686" s="266">
        <f>IFERROR(__xludf.DUMMYFUNCTION("""COMPUTED_VALUE"""),45870.0)</f>
        <v>45870</v>
      </c>
      <c r="C1686" s="266" t="str">
        <f>IFERROR(__xludf.DUMMYFUNCTION("""COMPUTED_VALUE"""),"KYAI KONTONG")</f>
        <v>KYAI KONTONG</v>
      </c>
      <c r="D1686" s="186">
        <f>IFERROR(__xludf.DUMMYFUNCTION("""COMPUTED_VALUE"""),1.0)</f>
        <v>1</v>
      </c>
    </row>
    <row r="1687">
      <c r="A1687" s="178" t="str">
        <f>IFERROR(__xludf.DUMMYFUNCTION("""COMPUTED_VALUE"""),"ITBISA-ABC-BATERAI-AA-ALKALINE")</f>
        <v>ITBISA-ABC-BATERAI-AA-ALKALINE</v>
      </c>
      <c r="B1687" s="266">
        <f>IFERROR(__xludf.DUMMYFUNCTION("""COMPUTED_VALUE"""),45870.0)</f>
        <v>45870</v>
      </c>
      <c r="C1687" s="266" t="str">
        <f>IFERROR(__xludf.DUMMYFUNCTION("""COMPUTED_VALUE"""),"KYAI KONTONG")</f>
        <v>KYAI KONTONG</v>
      </c>
      <c r="D1687" s="186">
        <f>IFERROR(__xludf.DUMMYFUNCTION("""COMPUTED_VALUE"""),2.0)</f>
        <v>2</v>
      </c>
    </row>
    <row r="1688">
      <c r="A1688" s="178" t="str">
        <f>IFERROR(__xludf.DUMMYFUNCTION("""COMPUTED_VALUE"""),"ITBISA-ABC-BATERAI-AA-ALKALINE")</f>
        <v>ITBISA-ABC-BATERAI-AA-ALKALINE</v>
      </c>
      <c r="B1688" s="266">
        <f>IFERROR(__xludf.DUMMYFUNCTION("""COMPUTED_VALUE"""),45875.0)</f>
        <v>45875</v>
      </c>
      <c r="C1688" s="266" t="str">
        <f>IFERROR(__xludf.DUMMYFUNCTION("""COMPUTED_VALUE"""),"KERTASARI CIAMIS")</f>
        <v>KERTASARI CIAMIS</v>
      </c>
      <c r="D1688" s="186">
        <f>IFERROR(__xludf.DUMMYFUNCTION("""COMPUTED_VALUE"""),2.0)</f>
        <v>2</v>
      </c>
    </row>
    <row r="1689">
      <c r="A1689" s="178" t="str">
        <f>IFERROR(__xludf.DUMMYFUNCTION("""COMPUTED_VALUE"""),"ITBISA-ABC-BATERAI-AA-ALKALINE")</f>
        <v>ITBISA-ABC-BATERAI-AA-ALKALINE</v>
      </c>
      <c r="B1689" s="266">
        <f>IFERROR(__xludf.DUMMYFUNCTION("""COMPUTED_VALUE"""),45877.0)</f>
        <v>45877</v>
      </c>
      <c r="C1689" s="266" t="str">
        <f>IFERROR(__xludf.DUMMYFUNCTION("""COMPUTED_VALUE"""),"KERTASARI CIAMIS")</f>
        <v>KERTASARI CIAMIS</v>
      </c>
      <c r="D1689" s="186">
        <f>IFERROR(__xludf.DUMMYFUNCTION("""COMPUTED_VALUE"""),12.0)</f>
        <v>12</v>
      </c>
    </row>
    <row r="1690">
      <c r="A1690" s="178" t="str">
        <f>IFERROR(__xludf.DUMMYFUNCTION("""COMPUTED_VALUE"""),"ITBISA-ABC-BATERAI-AA-ALKALINE")</f>
        <v>ITBISA-ABC-BATERAI-AA-ALKALINE</v>
      </c>
      <c r="B1690" s="266">
        <f>IFERROR(__xludf.DUMMYFUNCTION("""COMPUTED_VALUE"""),45877.0)</f>
        <v>45877</v>
      </c>
      <c r="C1690" s="266" t="str">
        <f>IFERROR(__xludf.DUMMYFUNCTION("""COMPUTED_VALUE"""),"KERTASARI CIAMIS")</f>
        <v>KERTASARI CIAMIS</v>
      </c>
      <c r="D1690" s="186">
        <f>IFERROR(__xludf.DUMMYFUNCTION("""COMPUTED_VALUE"""),18.0)</f>
        <v>18</v>
      </c>
    </row>
    <row r="1691">
      <c r="A1691" s="178" t="str">
        <f>IFERROR(__xludf.DUMMYFUNCTION("""COMPUTED_VALUE"""),"ITBISA-ABC-BATERAI-AA-ALKALINE")</f>
        <v>ITBISA-ABC-BATERAI-AA-ALKALINE</v>
      </c>
      <c r="B1691" s="266">
        <f>IFERROR(__xludf.DUMMYFUNCTION("""COMPUTED_VALUE"""),45877.0)</f>
        <v>45877</v>
      </c>
      <c r="C1691" s="266" t="str">
        <f>IFERROR(__xludf.DUMMYFUNCTION("""COMPUTED_VALUE"""),"KYAI KONTONG")</f>
        <v>KYAI KONTONG</v>
      </c>
      <c r="D1691" s="186">
        <f>IFERROR(__xludf.DUMMYFUNCTION("""COMPUTED_VALUE"""),1.0)</f>
        <v>1</v>
      </c>
    </row>
    <row r="1692">
      <c r="A1692" s="178" t="str">
        <f>IFERROR(__xludf.DUMMYFUNCTION("""COMPUTED_VALUE"""),"ITBISA-ABC-BATERAI-AA-ALKALINE")</f>
        <v>ITBISA-ABC-BATERAI-AA-ALKALINE</v>
      </c>
      <c r="B1692" s="266">
        <f>IFERROR(__xludf.DUMMYFUNCTION("""COMPUTED_VALUE"""),45879.0)</f>
        <v>45879</v>
      </c>
      <c r="C1692" s="266" t="str">
        <f>IFERROR(__xludf.DUMMYFUNCTION("""COMPUTED_VALUE"""),"KERTASARI CIAMIS")</f>
        <v>KERTASARI CIAMIS</v>
      </c>
      <c r="D1692" s="186">
        <f>IFERROR(__xludf.DUMMYFUNCTION("""COMPUTED_VALUE"""),6.0)</f>
        <v>6</v>
      </c>
    </row>
    <row r="1693">
      <c r="A1693" s="178" t="str">
        <f>IFERROR(__xludf.DUMMYFUNCTION("""COMPUTED_VALUE"""),"ITBISA-ABC-BATERAI-AA-ALKALINE")</f>
        <v>ITBISA-ABC-BATERAI-AA-ALKALINE</v>
      </c>
      <c r="B1693" s="266">
        <f>IFERROR(__xludf.DUMMYFUNCTION("""COMPUTED_VALUE"""),45879.0)</f>
        <v>45879</v>
      </c>
      <c r="C1693" s="266" t="str">
        <f>IFERROR(__xludf.DUMMYFUNCTION("""COMPUTED_VALUE"""),"KYAI KONTONG")</f>
        <v>KYAI KONTONG</v>
      </c>
      <c r="D1693" s="186">
        <f>IFERROR(__xludf.DUMMYFUNCTION("""COMPUTED_VALUE"""),2.0)</f>
        <v>2</v>
      </c>
    </row>
    <row r="1694">
      <c r="A1694" s="178" t="str">
        <f>IFERROR(__xludf.DUMMYFUNCTION("""COMPUTED_VALUE"""),"ITBISA-ABC-BATERAI-AA-ALKALINE")</f>
        <v>ITBISA-ABC-BATERAI-AA-ALKALINE</v>
      </c>
      <c r="B1694" s="266">
        <f>IFERROR(__xludf.DUMMYFUNCTION("""COMPUTED_VALUE"""),45884.0)</f>
        <v>45884</v>
      </c>
      <c r="C1694" s="266" t="str">
        <f>IFERROR(__xludf.DUMMYFUNCTION("""COMPUTED_VALUE"""),"KYAI KONTONG")</f>
        <v>KYAI KONTONG</v>
      </c>
      <c r="D1694" s="186">
        <f>IFERROR(__xludf.DUMMYFUNCTION("""COMPUTED_VALUE"""),1.0)</f>
        <v>1</v>
      </c>
    </row>
    <row r="1695">
      <c r="A1695" s="178" t="str">
        <f>IFERROR(__xludf.DUMMYFUNCTION("""COMPUTED_VALUE"""),"ITBISA-ABC-BATERAI-AA-ALKALINE")</f>
        <v>ITBISA-ABC-BATERAI-AA-ALKALINE</v>
      </c>
      <c r="B1695" s="266">
        <f>IFERROR(__xludf.DUMMYFUNCTION("""COMPUTED_VALUE"""),45890.0)</f>
        <v>45890</v>
      </c>
      <c r="C1695" s="266" t="str">
        <f>IFERROR(__xludf.DUMMYFUNCTION("""COMPUTED_VALUE"""),"KYAI KONTONG")</f>
        <v>KYAI KONTONG</v>
      </c>
      <c r="D1695" s="186">
        <f>IFERROR(__xludf.DUMMYFUNCTION("""COMPUTED_VALUE"""),24.0)</f>
        <v>24</v>
      </c>
    </row>
    <row r="1696">
      <c r="A1696" s="178" t="str">
        <f>IFERROR(__xludf.DUMMYFUNCTION("""COMPUTED_VALUE"""),"ITBISA-ABC-BATERAI-AA-ALKALINE")</f>
        <v>ITBISA-ABC-BATERAI-AA-ALKALINE</v>
      </c>
      <c r="B1696" s="266">
        <f>IFERROR(__xludf.DUMMYFUNCTION("""COMPUTED_VALUE"""),45896.0)</f>
        <v>45896</v>
      </c>
      <c r="C1696" s="266" t="str">
        <f>IFERROR(__xludf.DUMMYFUNCTION("""COMPUTED_VALUE"""),"KYAI KONTONG")</f>
        <v>KYAI KONTONG</v>
      </c>
      <c r="D1696" s="186">
        <f>IFERROR(__xludf.DUMMYFUNCTION("""COMPUTED_VALUE"""),1.0)</f>
        <v>1</v>
      </c>
    </row>
    <row r="1697">
      <c r="A1697" s="178" t="str">
        <f>IFERROR(__xludf.DUMMYFUNCTION("""COMPUTED_VALUE"""),"ITBISA-ABC-BATERAI-AA-ALKALINE")</f>
        <v>ITBISA-ABC-BATERAI-AA-ALKALINE</v>
      </c>
      <c r="B1697" s="266">
        <f>IFERROR(__xludf.DUMMYFUNCTION("""COMPUTED_VALUE"""),45898.0)</f>
        <v>45898</v>
      </c>
      <c r="C1697" s="266" t="str">
        <f>IFERROR(__xludf.DUMMYFUNCTION("""COMPUTED_VALUE"""),"KYAI KONTONG")</f>
        <v>KYAI KONTONG</v>
      </c>
      <c r="D1697" s="186">
        <f>IFERROR(__xludf.DUMMYFUNCTION("""COMPUTED_VALUE"""),8.0)</f>
        <v>8</v>
      </c>
    </row>
    <row r="1698">
      <c r="A1698" s="178" t="str">
        <f>IFERROR(__xludf.DUMMYFUNCTION("""COMPUTED_VALUE"""),"ITBISA-ABC-BATERAI-AA-ALKALINE")</f>
        <v>ITBISA-ABC-BATERAI-AA-ALKALINE</v>
      </c>
      <c r="B1698" s="266">
        <f>IFERROR(__xludf.DUMMYFUNCTION("""COMPUTED_VALUE"""),45904.0)</f>
        <v>45904</v>
      </c>
      <c r="C1698" s="266" t="str">
        <f>IFERROR(__xludf.DUMMYFUNCTION("""COMPUTED_VALUE"""),"KYAI KONTONG")</f>
        <v>KYAI KONTONG</v>
      </c>
      <c r="D1698" s="186">
        <f>IFERROR(__xludf.DUMMYFUNCTION("""COMPUTED_VALUE"""),3.0)</f>
        <v>3</v>
      </c>
    </row>
    <row r="1699">
      <c r="A1699" s="178" t="str">
        <f>IFERROR(__xludf.DUMMYFUNCTION("""COMPUTED_VALUE"""),"ITBISA-ABC-BATERAI-AA-ALKALINE")</f>
        <v>ITBISA-ABC-BATERAI-AA-ALKALINE</v>
      </c>
      <c r="B1699" s="266">
        <f>IFERROR(__xludf.DUMMYFUNCTION("""COMPUTED_VALUE"""),45909.0)</f>
        <v>45909</v>
      </c>
      <c r="C1699" s="266" t="str">
        <f>IFERROR(__xludf.DUMMYFUNCTION("""COMPUTED_VALUE"""),"KYAI KONTONG")</f>
        <v>KYAI KONTONG</v>
      </c>
      <c r="D1699" s="186">
        <f>IFERROR(__xludf.DUMMYFUNCTION("""COMPUTED_VALUE"""),4.0)</f>
        <v>4</v>
      </c>
    </row>
    <row r="1700">
      <c r="A1700" s="178" t="str">
        <f>IFERROR(__xludf.DUMMYFUNCTION("""COMPUTED_VALUE"""),"ITBISA-ABC-BATERAI-AA-ALKALINE")</f>
        <v>ITBISA-ABC-BATERAI-AA-ALKALINE</v>
      </c>
      <c r="B1700" s="266">
        <f>IFERROR(__xludf.DUMMYFUNCTION("""COMPUTED_VALUE"""),45910.0)</f>
        <v>45910</v>
      </c>
      <c r="C1700" s="266" t="str">
        <f>IFERROR(__xludf.DUMMYFUNCTION("""COMPUTED_VALUE"""),"KYAI KONTONG")</f>
        <v>KYAI KONTONG</v>
      </c>
      <c r="D1700" s="186">
        <f>IFERROR(__xludf.DUMMYFUNCTION("""COMPUTED_VALUE"""),2.0)</f>
        <v>2</v>
      </c>
    </row>
    <row r="1701">
      <c r="A1701" s="178" t="str">
        <f>IFERROR(__xludf.DUMMYFUNCTION("""COMPUTED_VALUE"""),"ITBISA-ABC-BATERAI-AA-ALKALINE")</f>
        <v>ITBISA-ABC-BATERAI-AA-ALKALINE</v>
      </c>
      <c r="B1701" s="266">
        <f>IFERROR(__xludf.DUMMYFUNCTION("""COMPUTED_VALUE"""),45911.0)</f>
        <v>45911</v>
      </c>
      <c r="C1701" s="266" t="str">
        <f>IFERROR(__xludf.DUMMYFUNCTION("""COMPUTED_VALUE"""),"KYAI KONTONG")</f>
        <v>KYAI KONTONG</v>
      </c>
      <c r="D1701" s="186">
        <f>IFERROR(__xludf.DUMMYFUNCTION("""COMPUTED_VALUE"""),8.0)</f>
        <v>8</v>
      </c>
    </row>
    <row r="1702">
      <c r="A1702" s="178" t="str">
        <f>IFERROR(__xludf.DUMMYFUNCTION("""COMPUTED_VALUE"""),"ITBISA-ABC-BATERAI-AA-ALKALINE")</f>
        <v>ITBISA-ABC-BATERAI-AA-ALKALINE</v>
      </c>
      <c r="B1702" s="266">
        <f>IFERROR(__xludf.DUMMYFUNCTION("""COMPUTED_VALUE"""),45913.0)</f>
        <v>45913</v>
      </c>
      <c r="C1702" s="266" t="str">
        <f>IFERROR(__xludf.DUMMYFUNCTION("""COMPUTED_VALUE"""),"KYAI KONTONG")</f>
        <v>KYAI KONTONG</v>
      </c>
      <c r="D1702" s="186">
        <f>IFERROR(__xludf.DUMMYFUNCTION("""COMPUTED_VALUE"""),1.0)</f>
        <v>1</v>
      </c>
    </row>
    <row r="1703">
      <c r="A1703" s="178" t="str">
        <f>IFERROR(__xludf.DUMMYFUNCTION("""COMPUTED_VALUE"""),"ITBISA-ABC-BATERAI-AA-ALKALINE")</f>
        <v>ITBISA-ABC-BATERAI-AA-ALKALINE</v>
      </c>
      <c r="B1703" s="266">
        <f>IFERROR(__xludf.DUMMYFUNCTION("""COMPUTED_VALUE"""),45913.0)</f>
        <v>45913</v>
      </c>
      <c r="C1703" s="266" t="str">
        <f>IFERROR(__xludf.DUMMYFUNCTION("""COMPUTED_VALUE"""),"KYAI KONTONG")</f>
        <v>KYAI KONTONG</v>
      </c>
      <c r="D1703" s="186">
        <f>IFERROR(__xludf.DUMMYFUNCTION("""COMPUTED_VALUE"""),4.0)</f>
        <v>4</v>
      </c>
    </row>
    <row r="1704">
      <c r="A1704" s="178" t="str">
        <f>IFERROR(__xludf.DUMMYFUNCTION("""COMPUTED_VALUE"""),"ITBISA-ABC-BATERAI-AA-ALKALINE")</f>
        <v>ITBISA-ABC-BATERAI-AA-ALKALINE</v>
      </c>
      <c r="B1704" s="266">
        <f>IFERROR(__xludf.DUMMYFUNCTION("""COMPUTED_VALUE"""),45914.0)</f>
        <v>45914</v>
      </c>
      <c r="C1704" s="266" t="str">
        <f>IFERROR(__xludf.DUMMYFUNCTION("""COMPUTED_VALUE"""),"KYAI KONTONG")</f>
        <v>KYAI KONTONG</v>
      </c>
      <c r="D1704" s="186">
        <f>IFERROR(__xludf.DUMMYFUNCTION("""COMPUTED_VALUE"""),1.0)</f>
        <v>1</v>
      </c>
    </row>
    <row r="1705">
      <c r="A1705" s="178" t="str">
        <f>IFERROR(__xludf.DUMMYFUNCTION("""COMPUTED_VALUE"""),"ITBISA-ABC-BATERAI-AA-ALKALINE")</f>
        <v>ITBISA-ABC-BATERAI-AA-ALKALINE</v>
      </c>
      <c r="B1705" s="266">
        <f>IFERROR(__xludf.DUMMYFUNCTION("""COMPUTED_VALUE"""),45914.0)</f>
        <v>45914</v>
      </c>
      <c r="C1705" s="266" t="str">
        <f>IFERROR(__xludf.DUMMYFUNCTION("""COMPUTED_VALUE"""),"KYAI KONTONG")</f>
        <v>KYAI KONTONG</v>
      </c>
      <c r="D1705" s="186">
        <f>IFERROR(__xludf.DUMMYFUNCTION("""COMPUTED_VALUE"""),2.0)</f>
        <v>2</v>
      </c>
    </row>
    <row r="1706">
      <c r="A1706" s="178" t="str">
        <f>IFERROR(__xludf.DUMMYFUNCTION("""COMPUTED_VALUE"""),"ITBISA-ABC-BATERAI-AA-ALKALINE")</f>
        <v>ITBISA-ABC-BATERAI-AA-ALKALINE</v>
      </c>
      <c r="B1706" s="266">
        <f>IFERROR(__xludf.DUMMYFUNCTION("""COMPUTED_VALUE"""),45914.0)</f>
        <v>45914</v>
      </c>
      <c r="C1706" s="266" t="str">
        <f>IFERROR(__xludf.DUMMYFUNCTION("""COMPUTED_VALUE"""),"KYAI KONTONG")</f>
        <v>KYAI KONTONG</v>
      </c>
      <c r="D1706" s="186">
        <f>IFERROR(__xludf.DUMMYFUNCTION("""COMPUTED_VALUE"""),3.0)</f>
        <v>3</v>
      </c>
    </row>
    <row r="1707">
      <c r="A1707" s="178" t="str">
        <f>IFERROR(__xludf.DUMMYFUNCTION("""COMPUTED_VALUE"""),"ITBISA-ABC-BATERAI-AA-ALKALINE")</f>
        <v>ITBISA-ABC-BATERAI-AA-ALKALINE</v>
      </c>
      <c r="B1707" s="266">
        <f>IFERROR(__xludf.DUMMYFUNCTION("""COMPUTED_VALUE"""),45917.0)</f>
        <v>45917</v>
      </c>
      <c r="C1707" s="266" t="str">
        <f>IFERROR(__xludf.DUMMYFUNCTION("""COMPUTED_VALUE"""),"KERTASARI CIAMIS")</f>
        <v>KERTASARI CIAMIS</v>
      </c>
      <c r="D1707" s="186">
        <f>IFERROR(__xludf.DUMMYFUNCTION("""COMPUTED_VALUE"""),4.0)</f>
        <v>4</v>
      </c>
    </row>
    <row r="1708">
      <c r="A1708" s="178" t="str">
        <f>IFERROR(__xludf.DUMMYFUNCTION("""COMPUTED_VALUE"""),"ITBISA-ABC-BATERAI-AA-ALKALINE")</f>
        <v>ITBISA-ABC-BATERAI-AA-ALKALINE</v>
      </c>
      <c r="B1708" s="266">
        <f>IFERROR(__xludf.DUMMYFUNCTION("""COMPUTED_VALUE"""),45917.0)</f>
        <v>45917</v>
      </c>
      <c r="C1708" s="266" t="str">
        <f>IFERROR(__xludf.DUMMYFUNCTION("""COMPUTED_VALUE"""),"KYAI KONTONG")</f>
        <v>KYAI KONTONG</v>
      </c>
      <c r="D1708" s="186">
        <f>IFERROR(__xludf.DUMMYFUNCTION("""COMPUTED_VALUE"""),1.0)</f>
        <v>1</v>
      </c>
    </row>
    <row r="1709">
      <c r="A1709" s="178" t="str">
        <f>IFERROR(__xludf.DUMMYFUNCTION("""COMPUTED_VALUE"""),"ITBISA-ABC-BATERAI-AA-ALKALINE")</f>
        <v>ITBISA-ABC-BATERAI-AA-ALKALINE</v>
      </c>
      <c r="B1709" s="266">
        <f>IFERROR(__xludf.DUMMYFUNCTION("""COMPUTED_VALUE"""),45920.0)</f>
        <v>45920</v>
      </c>
      <c r="C1709" s="266" t="str">
        <f>IFERROR(__xludf.DUMMYFUNCTION("""COMPUTED_VALUE"""),"KYAI KONTONG")</f>
        <v>KYAI KONTONG</v>
      </c>
      <c r="D1709" s="186">
        <f>IFERROR(__xludf.DUMMYFUNCTION("""COMPUTED_VALUE"""),2.0)</f>
        <v>2</v>
      </c>
    </row>
    <row r="1710">
      <c r="A1710" s="178" t="str">
        <f>IFERROR(__xludf.DUMMYFUNCTION("""COMPUTED_VALUE"""),"ITBISA-ABC-BATERAI-AA-ALKALINE")</f>
        <v>ITBISA-ABC-BATERAI-AA-ALKALINE</v>
      </c>
      <c r="B1710" s="266">
        <f>IFERROR(__xludf.DUMMYFUNCTION("""COMPUTED_VALUE"""),45920.0)</f>
        <v>45920</v>
      </c>
      <c r="C1710" s="266" t="str">
        <f>IFERROR(__xludf.DUMMYFUNCTION("""COMPUTED_VALUE"""),"KYAI KONTONG")</f>
        <v>KYAI KONTONG</v>
      </c>
      <c r="D1710" s="186">
        <f>IFERROR(__xludf.DUMMYFUNCTION("""COMPUTED_VALUE"""),3.0)</f>
        <v>3</v>
      </c>
    </row>
    <row r="1711">
      <c r="A1711" s="178" t="str">
        <f>IFERROR(__xludf.DUMMYFUNCTION("""COMPUTED_VALUE"""),"ITBISA-ABC-BATERAI-AA-ALKALINE")</f>
        <v>ITBISA-ABC-BATERAI-AA-ALKALINE</v>
      </c>
      <c r="B1711" s="266">
        <f>IFERROR(__xludf.DUMMYFUNCTION("""COMPUTED_VALUE"""),45922.0)</f>
        <v>45922</v>
      </c>
      <c r="C1711" s="266" t="str">
        <f>IFERROR(__xludf.DUMMYFUNCTION("""COMPUTED_VALUE"""),"KERTASARI CIAMIS")</f>
        <v>KERTASARI CIAMIS</v>
      </c>
      <c r="D1711" s="186">
        <f>IFERROR(__xludf.DUMMYFUNCTION("""COMPUTED_VALUE"""),4.0)</f>
        <v>4</v>
      </c>
    </row>
    <row r="1712">
      <c r="A1712" s="178" t="str">
        <f>IFERROR(__xludf.DUMMYFUNCTION("""COMPUTED_VALUE"""),"ITBISA-ABC-BATERAI-AA-ALKALINE")</f>
        <v>ITBISA-ABC-BATERAI-AA-ALKALINE</v>
      </c>
      <c r="B1712" s="266">
        <f>IFERROR(__xludf.DUMMYFUNCTION("""COMPUTED_VALUE"""),45922.0)</f>
        <v>45922</v>
      </c>
      <c r="C1712" s="266" t="str">
        <f>IFERROR(__xludf.DUMMYFUNCTION("""COMPUTED_VALUE"""),"KYAI KONTONG")</f>
        <v>KYAI KONTONG</v>
      </c>
      <c r="D1712" s="186">
        <f>IFERROR(__xludf.DUMMYFUNCTION("""COMPUTED_VALUE"""),2.0)</f>
        <v>2</v>
      </c>
    </row>
    <row r="1713">
      <c r="A1713" s="178" t="str">
        <f>IFERROR(__xludf.DUMMYFUNCTION("""COMPUTED_VALUE"""),"ITBISA-ABC-BATERAI-AA-ALKALINE")</f>
        <v>ITBISA-ABC-BATERAI-AA-ALKALINE</v>
      </c>
      <c r="B1713" s="266">
        <f>IFERROR(__xludf.DUMMYFUNCTION("""COMPUTED_VALUE"""),45923.0)</f>
        <v>45923</v>
      </c>
      <c r="C1713" s="266" t="str">
        <f>IFERROR(__xludf.DUMMYFUNCTION("""COMPUTED_VALUE"""),"KYAI KONTONG")</f>
        <v>KYAI KONTONG</v>
      </c>
      <c r="D1713" s="186">
        <f>IFERROR(__xludf.DUMMYFUNCTION("""COMPUTED_VALUE"""),2.0)</f>
        <v>2</v>
      </c>
    </row>
    <row r="1714">
      <c r="A1714" s="178" t="str">
        <f>IFERROR(__xludf.DUMMYFUNCTION("""COMPUTED_VALUE"""),"ITBISA-ABC-BATERAI-AA-ALKALINE")</f>
        <v>ITBISA-ABC-BATERAI-AA-ALKALINE</v>
      </c>
      <c r="B1714" s="266">
        <f>IFERROR(__xludf.DUMMYFUNCTION("""COMPUTED_VALUE"""),45924.0)</f>
        <v>45924</v>
      </c>
      <c r="C1714" s="266" t="str">
        <f>IFERROR(__xludf.DUMMYFUNCTION("""COMPUTED_VALUE"""),"KERTASARI CIAMIS")</f>
        <v>KERTASARI CIAMIS</v>
      </c>
      <c r="D1714" s="186">
        <f>IFERROR(__xludf.DUMMYFUNCTION("""COMPUTED_VALUE"""),6.0)</f>
        <v>6</v>
      </c>
    </row>
    <row r="1715">
      <c r="A1715" s="178" t="str">
        <f>IFERROR(__xludf.DUMMYFUNCTION("""COMPUTED_VALUE"""),"ITBISA-ABC-BATERAI-AA-ALKALINE")</f>
        <v>ITBISA-ABC-BATERAI-AA-ALKALINE</v>
      </c>
      <c r="B1715" s="266">
        <f>IFERROR(__xludf.DUMMYFUNCTION("""COMPUTED_VALUE"""),45928.0)</f>
        <v>45928</v>
      </c>
      <c r="C1715" s="266" t="str">
        <f>IFERROR(__xludf.DUMMYFUNCTION("""COMPUTED_VALUE"""),"KYAI KONTONG")</f>
        <v>KYAI KONTONG</v>
      </c>
      <c r="D1715" s="186">
        <f>IFERROR(__xludf.DUMMYFUNCTION("""COMPUTED_VALUE"""),2.0)</f>
        <v>2</v>
      </c>
    </row>
    <row r="1716">
      <c r="A1716" s="178" t="str">
        <f>IFERROR(__xludf.DUMMYFUNCTION("""COMPUTED_VALUE"""),"ITBISA-ABC-BATERAI-AA-ALKALINE")</f>
        <v>ITBISA-ABC-BATERAI-AA-ALKALINE</v>
      </c>
      <c r="B1716" s="266">
        <f>IFERROR(__xludf.DUMMYFUNCTION("""COMPUTED_VALUE"""),45929.0)</f>
        <v>45929</v>
      </c>
      <c r="C1716" s="266" t="str">
        <f>IFERROR(__xludf.DUMMYFUNCTION("""COMPUTED_VALUE"""),"KERTASARI CIAMIS")</f>
        <v>KERTASARI CIAMIS</v>
      </c>
      <c r="D1716" s="186">
        <f>IFERROR(__xludf.DUMMYFUNCTION("""COMPUTED_VALUE"""),1.0)</f>
        <v>1</v>
      </c>
    </row>
    <row r="1717">
      <c r="A1717" s="178" t="str">
        <f>IFERROR(__xludf.DUMMYFUNCTION("""COMPUTED_VALUE"""),"ITBISA-ABC-BATERAI-AA-ALKALINE")</f>
        <v>ITBISA-ABC-BATERAI-AA-ALKALINE</v>
      </c>
      <c r="B1717" s="266">
        <f>IFERROR(__xludf.DUMMYFUNCTION("""COMPUTED_VALUE"""),45929.0)</f>
        <v>45929</v>
      </c>
      <c r="C1717" s="266" t="str">
        <f>IFERROR(__xludf.DUMMYFUNCTION("""COMPUTED_VALUE"""),"KERTASARI CIAMIS")</f>
        <v>KERTASARI CIAMIS</v>
      </c>
      <c r="D1717" s="186">
        <f>IFERROR(__xludf.DUMMYFUNCTION("""COMPUTED_VALUE"""),4.0)</f>
        <v>4</v>
      </c>
    </row>
    <row r="1718">
      <c r="A1718" s="178" t="str">
        <f>IFERROR(__xludf.DUMMYFUNCTION("""COMPUTED_VALUE"""),"ITBISA-ABC-BATERAI-AA-ALKALINE")</f>
        <v>ITBISA-ABC-BATERAI-AA-ALKALINE</v>
      </c>
      <c r="B1718" s="266">
        <f>IFERROR(__xludf.DUMMYFUNCTION("""COMPUTED_VALUE"""),45929.0)</f>
        <v>45929</v>
      </c>
      <c r="C1718" s="266" t="str">
        <f>IFERROR(__xludf.DUMMYFUNCTION("""COMPUTED_VALUE"""),"KERTASARI CIAMIS")</f>
        <v>KERTASARI CIAMIS</v>
      </c>
      <c r="D1718" s="186">
        <f>IFERROR(__xludf.DUMMYFUNCTION("""COMPUTED_VALUE"""),6.0)</f>
        <v>6</v>
      </c>
    </row>
    <row r="1719">
      <c r="A1719" s="178" t="str">
        <f>IFERROR(__xludf.DUMMYFUNCTION("""COMPUTED_VALUE"""),"ITBISA-ABC-BATERAI-AA-ALKALINE")</f>
        <v>ITBISA-ABC-BATERAI-AA-ALKALINE</v>
      </c>
      <c r="B1719" s="266">
        <f>IFERROR(__xludf.DUMMYFUNCTION("""COMPUTED_VALUE"""),45929.0)</f>
        <v>45929</v>
      </c>
      <c r="C1719" s="266" t="str">
        <f>IFERROR(__xludf.DUMMYFUNCTION("""COMPUTED_VALUE"""),"KERTASARI CIAMIS")</f>
        <v>KERTASARI CIAMIS</v>
      </c>
      <c r="D1719" s="186">
        <f>IFERROR(__xludf.DUMMYFUNCTION("""COMPUTED_VALUE"""),6.0)</f>
        <v>6</v>
      </c>
    </row>
    <row r="1720">
      <c r="A1720" s="178" t="str">
        <f>IFERROR(__xludf.DUMMYFUNCTION("""COMPUTED_VALUE"""),"ITBISA-ABC-BATERAI-AA-ALKALINE")</f>
        <v>ITBISA-ABC-BATERAI-AA-ALKALINE</v>
      </c>
      <c r="B1720" s="266">
        <f>IFERROR(__xludf.DUMMYFUNCTION("""COMPUTED_VALUE"""),45929.0)</f>
        <v>45929</v>
      </c>
      <c r="C1720" s="266" t="str">
        <f>IFERROR(__xludf.DUMMYFUNCTION("""COMPUTED_VALUE"""),"KYAI KONTONG")</f>
        <v>KYAI KONTONG</v>
      </c>
      <c r="D1720" s="186">
        <f>IFERROR(__xludf.DUMMYFUNCTION("""COMPUTED_VALUE"""),1.0)</f>
        <v>1</v>
      </c>
    </row>
    <row r="1721">
      <c r="A1721" s="178" t="str">
        <f>IFERROR(__xludf.DUMMYFUNCTION("""COMPUTED_VALUE"""),"ITBISA-ABC-BATERAI-AA-ALKALINE")</f>
        <v>ITBISA-ABC-BATERAI-AA-ALKALINE</v>
      </c>
      <c r="B1721" s="266">
        <f>IFERROR(__xludf.DUMMYFUNCTION("""COMPUTED_VALUE"""),45930.0)</f>
        <v>45930</v>
      </c>
      <c r="C1721" s="266" t="str">
        <f>IFERROR(__xludf.DUMMYFUNCTION("""COMPUTED_VALUE"""),"KERTASARI CIAMIS")</f>
        <v>KERTASARI CIAMIS</v>
      </c>
      <c r="D1721" s="186">
        <f>IFERROR(__xludf.DUMMYFUNCTION("""COMPUTED_VALUE"""),2.0)</f>
        <v>2</v>
      </c>
    </row>
    <row r="1722">
      <c r="A1722" s="178" t="str">
        <f>IFERROR(__xludf.DUMMYFUNCTION("""COMPUTED_VALUE"""),"ITBISA-ABC-BATERAI-AA-ALKALINE")</f>
        <v>ITBISA-ABC-BATERAI-AA-ALKALINE</v>
      </c>
      <c r="B1722" s="266">
        <f>IFERROR(__xludf.DUMMYFUNCTION("""COMPUTED_VALUE"""),45930.0)</f>
        <v>45930</v>
      </c>
      <c r="C1722" s="266" t="str">
        <f>IFERROR(__xludf.DUMMYFUNCTION("""COMPUTED_VALUE"""),"KERTASARI CIAMIS")</f>
        <v>KERTASARI CIAMIS</v>
      </c>
      <c r="D1722" s="186">
        <f>IFERROR(__xludf.DUMMYFUNCTION("""COMPUTED_VALUE"""),2.0)</f>
        <v>2</v>
      </c>
    </row>
    <row r="1723">
      <c r="A1723" s="178" t="str">
        <f>IFERROR(__xludf.DUMMYFUNCTION("""COMPUTED_VALUE"""),"ITBISA-ABC-BATERAI-AA-ALKALINE")</f>
        <v>ITBISA-ABC-BATERAI-AA-ALKALINE</v>
      </c>
      <c r="B1723" s="266">
        <f>IFERROR(__xludf.DUMMYFUNCTION("""COMPUTED_VALUE"""),45931.0)</f>
        <v>45931</v>
      </c>
      <c r="C1723" s="266" t="str">
        <f>IFERROR(__xludf.DUMMYFUNCTION("""COMPUTED_VALUE"""),"KYAI KONTONG")</f>
        <v>KYAI KONTONG</v>
      </c>
      <c r="D1723" s="186">
        <f>IFERROR(__xludf.DUMMYFUNCTION("""COMPUTED_VALUE"""),16.0)</f>
        <v>16</v>
      </c>
    </row>
    <row r="1724">
      <c r="A1724" s="178" t="str">
        <f>IFERROR(__xludf.DUMMYFUNCTION("""COMPUTED_VALUE"""),"ITBISA-ABC-BATERAI-AA-ALKALINE")</f>
        <v>ITBISA-ABC-BATERAI-AA-ALKALINE</v>
      </c>
      <c r="B1724" s="266">
        <f>IFERROR(__xludf.DUMMYFUNCTION("""COMPUTED_VALUE"""),45932.0)</f>
        <v>45932</v>
      </c>
      <c r="C1724" s="266" t="str">
        <f>IFERROR(__xludf.DUMMYFUNCTION("""COMPUTED_VALUE"""),"KYAI KONTONG")</f>
        <v>KYAI KONTONG</v>
      </c>
      <c r="D1724" s="186">
        <f>IFERROR(__xludf.DUMMYFUNCTION("""COMPUTED_VALUE"""),4.0)</f>
        <v>4</v>
      </c>
    </row>
    <row r="1725">
      <c r="A1725" s="178" t="str">
        <f>IFERROR(__xludf.DUMMYFUNCTION("""COMPUTED_VALUE"""),"ITBISA-ABC-BATERAI-AA-ALKALINE")</f>
        <v>ITBISA-ABC-BATERAI-AA-ALKALINE</v>
      </c>
      <c r="B1725" s="266">
        <f>IFERROR(__xludf.DUMMYFUNCTION("""COMPUTED_VALUE"""),45933.0)</f>
        <v>45933</v>
      </c>
      <c r="C1725" s="266" t="str">
        <f>IFERROR(__xludf.DUMMYFUNCTION("""COMPUTED_VALUE"""),"KYAI KONTONG")</f>
        <v>KYAI KONTONG</v>
      </c>
      <c r="D1725" s="186">
        <f>IFERROR(__xludf.DUMMYFUNCTION("""COMPUTED_VALUE"""),2.0)</f>
        <v>2</v>
      </c>
    </row>
    <row r="1726">
      <c r="A1726" s="178" t="str">
        <f>IFERROR(__xludf.DUMMYFUNCTION("""COMPUTED_VALUE"""),"ITBISA-ABC-BATERAI-AA-ALKALINE")</f>
        <v>ITBISA-ABC-BATERAI-AA-ALKALINE</v>
      </c>
      <c r="B1726" s="266">
        <f>IFERROR(__xludf.DUMMYFUNCTION("""COMPUTED_VALUE"""),45934.0)</f>
        <v>45934</v>
      </c>
      <c r="C1726" s="266" t="str">
        <f>IFERROR(__xludf.DUMMYFUNCTION("""COMPUTED_VALUE"""),"KYAI KONTONG")</f>
        <v>KYAI KONTONG</v>
      </c>
      <c r="D1726" s="186">
        <f>IFERROR(__xludf.DUMMYFUNCTION("""COMPUTED_VALUE"""),1.0)</f>
        <v>1</v>
      </c>
    </row>
    <row r="1727">
      <c r="A1727" s="178" t="str">
        <f>IFERROR(__xludf.DUMMYFUNCTION("""COMPUTED_VALUE"""),"ITBISA-ABC-BATERAI-AA-ALKALINE")</f>
        <v>ITBISA-ABC-BATERAI-AA-ALKALINE</v>
      </c>
      <c r="B1727" s="266">
        <f>IFERROR(__xludf.DUMMYFUNCTION("""COMPUTED_VALUE"""),45934.0)</f>
        <v>45934</v>
      </c>
      <c r="C1727" s="266" t="str">
        <f>IFERROR(__xludf.DUMMYFUNCTION("""COMPUTED_VALUE"""),"KYAI KONTONG")</f>
        <v>KYAI KONTONG</v>
      </c>
      <c r="D1727" s="186">
        <f>IFERROR(__xludf.DUMMYFUNCTION("""COMPUTED_VALUE"""),2.0)</f>
        <v>2</v>
      </c>
    </row>
    <row r="1728">
      <c r="A1728" s="178" t="str">
        <f>IFERROR(__xludf.DUMMYFUNCTION("""COMPUTED_VALUE"""),"ITBISA-ABC-BATERAI-AA-ALKALINE")</f>
        <v>ITBISA-ABC-BATERAI-AA-ALKALINE</v>
      </c>
      <c r="B1728" s="266">
        <f>IFERROR(__xludf.DUMMYFUNCTION("""COMPUTED_VALUE"""),45934.0)</f>
        <v>45934</v>
      </c>
      <c r="C1728" s="266" t="str">
        <f>IFERROR(__xludf.DUMMYFUNCTION("""COMPUTED_VALUE"""),"KYAI KONTONG")</f>
        <v>KYAI KONTONG</v>
      </c>
      <c r="D1728" s="186">
        <f>IFERROR(__xludf.DUMMYFUNCTION("""COMPUTED_VALUE"""),3.0)</f>
        <v>3</v>
      </c>
    </row>
    <row r="1729">
      <c r="A1729" s="178" t="str">
        <f>IFERROR(__xludf.DUMMYFUNCTION("""COMPUTED_VALUE"""),"ITBISA-ABC-BATERAI-AA-ALKALINE")</f>
        <v>ITBISA-ABC-BATERAI-AA-ALKALINE</v>
      </c>
      <c r="B1729" s="266">
        <f>IFERROR(__xludf.DUMMYFUNCTION("""COMPUTED_VALUE"""),45935.0)</f>
        <v>45935</v>
      </c>
      <c r="C1729" s="266" t="str">
        <f>IFERROR(__xludf.DUMMYFUNCTION("""COMPUTED_VALUE"""),"KYAI KONTONG")</f>
        <v>KYAI KONTONG</v>
      </c>
      <c r="D1729" s="186">
        <f>IFERROR(__xludf.DUMMYFUNCTION("""COMPUTED_VALUE"""),6.0)</f>
        <v>6</v>
      </c>
    </row>
    <row r="1730">
      <c r="A1730" s="178" t="str">
        <f>IFERROR(__xludf.DUMMYFUNCTION("""COMPUTED_VALUE"""),"ITBISA-ABC-BATERAI-AA-ALKALINE")</f>
        <v>ITBISA-ABC-BATERAI-AA-ALKALINE</v>
      </c>
      <c r="B1730" s="266">
        <f>IFERROR(__xludf.DUMMYFUNCTION("""COMPUTED_VALUE"""),45936.0)</f>
        <v>45936</v>
      </c>
      <c r="C1730" s="266" t="str">
        <f>IFERROR(__xludf.DUMMYFUNCTION("""COMPUTED_VALUE"""),"KYAI KONTONG")</f>
        <v>KYAI KONTONG</v>
      </c>
      <c r="D1730" s="186">
        <f>IFERROR(__xludf.DUMMYFUNCTION("""COMPUTED_VALUE"""),1.0)</f>
        <v>1</v>
      </c>
    </row>
    <row r="1731">
      <c r="A1731" s="178" t="str">
        <f>IFERROR(__xludf.DUMMYFUNCTION("""COMPUTED_VALUE"""),"ITBISA-ABC-BATERAI-AA-ALKALINE")</f>
        <v>ITBISA-ABC-BATERAI-AA-ALKALINE</v>
      </c>
      <c r="B1731" s="266">
        <f>IFERROR(__xludf.DUMMYFUNCTION("""COMPUTED_VALUE"""),45936.0)</f>
        <v>45936</v>
      </c>
      <c r="C1731" s="266" t="str">
        <f>IFERROR(__xludf.DUMMYFUNCTION("""COMPUTED_VALUE"""),"KYAI KONTONG")</f>
        <v>KYAI KONTONG</v>
      </c>
      <c r="D1731" s="186">
        <f>IFERROR(__xludf.DUMMYFUNCTION("""COMPUTED_VALUE"""),2.0)</f>
        <v>2</v>
      </c>
    </row>
    <row r="1732">
      <c r="A1732" s="178" t="str">
        <f>IFERROR(__xludf.DUMMYFUNCTION("""COMPUTED_VALUE"""),"ITBISA-ABC-BATERAI-AA-ALKALINE")</f>
        <v>ITBISA-ABC-BATERAI-AA-ALKALINE</v>
      </c>
      <c r="B1732" s="266">
        <f>IFERROR(__xludf.DUMMYFUNCTION("""COMPUTED_VALUE"""),45937.0)</f>
        <v>45937</v>
      </c>
      <c r="C1732" s="266" t="str">
        <f>IFERROR(__xludf.DUMMYFUNCTION("""COMPUTED_VALUE"""),"KYAI KONTONG")</f>
        <v>KYAI KONTONG</v>
      </c>
      <c r="D1732" s="186">
        <f>IFERROR(__xludf.DUMMYFUNCTION("""COMPUTED_VALUE"""),2.0)</f>
        <v>2</v>
      </c>
    </row>
    <row r="1733">
      <c r="A1733" s="178" t="str">
        <f>IFERROR(__xludf.DUMMYFUNCTION("""COMPUTED_VALUE"""),"ITBISA-ABC-BATERAI-AA-ALKALINE")</f>
        <v>ITBISA-ABC-BATERAI-AA-ALKALINE</v>
      </c>
      <c r="B1733" s="266">
        <f>IFERROR(__xludf.DUMMYFUNCTION("""COMPUTED_VALUE"""),45937.0)</f>
        <v>45937</v>
      </c>
      <c r="C1733" s="266" t="str">
        <f>IFERROR(__xludf.DUMMYFUNCTION("""COMPUTED_VALUE"""),"KYAI KONTONG")</f>
        <v>KYAI KONTONG</v>
      </c>
      <c r="D1733" s="186">
        <f>IFERROR(__xludf.DUMMYFUNCTION("""COMPUTED_VALUE"""),3.0)</f>
        <v>3</v>
      </c>
    </row>
    <row r="1734">
      <c r="A1734" s="178" t="str">
        <f>IFERROR(__xludf.DUMMYFUNCTION("""COMPUTED_VALUE"""),"ITBISA-ABC-BATERAI-AA-ALKALINE")</f>
        <v>ITBISA-ABC-BATERAI-AA-ALKALINE</v>
      </c>
      <c r="B1734" s="266">
        <f>IFERROR(__xludf.DUMMYFUNCTION("""COMPUTED_VALUE"""),45938.0)</f>
        <v>45938</v>
      </c>
      <c r="C1734" s="266" t="str">
        <f>IFERROR(__xludf.DUMMYFUNCTION("""COMPUTED_VALUE"""),"KYAI KONTONG")</f>
        <v>KYAI KONTONG</v>
      </c>
      <c r="D1734" s="186">
        <f>IFERROR(__xludf.DUMMYFUNCTION("""COMPUTED_VALUE"""),2.0)</f>
        <v>2</v>
      </c>
    </row>
    <row r="1735">
      <c r="A1735" s="178" t="str">
        <f>IFERROR(__xludf.DUMMYFUNCTION("""COMPUTED_VALUE"""),"ITBISA-ABC-BATERAI-AA-ALKALINE")</f>
        <v>ITBISA-ABC-BATERAI-AA-ALKALINE</v>
      </c>
      <c r="B1735" s="266">
        <f>IFERROR(__xludf.DUMMYFUNCTION("""COMPUTED_VALUE"""),45939.0)</f>
        <v>45939</v>
      </c>
      <c r="C1735" s="266" t="str">
        <f>IFERROR(__xludf.DUMMYFUNCTION("""COMPUTED_VALUE"""),"KYAI KONTONG")</f>
        <v>KYAI KONTONG</v>
      </c>
      <c r="D1735" s="186">
        <f>IFERROR(__xludf.DUMMYFUNCTION("""COMPUTED_VALUE"""),2.0)</f>
        <v>2</v>
      </c>
    </row>
    <row r="1736">
      <c r="A1736" s="178" t="str">
        <f>IFERROR(__xludf.DUMMYFUNCTION("""COMPUTED_VALUE"""),"ITBISA-ABC-BATERAI-AA-ALKALINE")</f>
        <v>ITBISA-ABC-BATERAI-AA-ALKALINE</v>
      </c>
      <c r="B1736" s="266">
        <f>IFERROR(__xludf.DUMMYFUNCTION("""COMPUTED_VALUE"""),45939.0)</f>
        <v>45939</v>
      </c>
      <c r="C1736" s="266" t="str">
        <f>IFERROR(__xludf.DUMMYFUNCTION("""COMPUTED_VALUE"""),"KYAI KONTONG")</f>
        <v>KYAI KONTONG</v>
      </c>
      <c r="D1736" s="186">
        <f>IFERROR(__xludf.DUMMYFUNCTION("""COMPUTED_VALUE"""),2.0)</f>
        <v>2</v>
      </c>
    </row>
    <row r="1737">
      <c r="A1737" s="178" t="str">
        <f>IFERROR(__xludf.DUMMYFUNCTION("""COMPUTED_VALUE"""),"ITBISA-ABC-BATERAI-AA-ALKALINE")</f>
        <v>ITBISA-ABC-BATERAI-AA-ALKALINE</v>
      </c>
      <c r="B1737" s="266">
        <f>IFERROR(__xludf.DUMMYFUNCTION("""COMPUTED_VALUE"""),45940.0)</f>
        <v>45940</v>
      </c>
      <c r="C1737" s="266" t="str">
        <f>IFERROR(__xludf.DUMMYFUNCTION("""COMPUTED_VALUE"""),"KYAI KONTONG")</f>
        <v>KYAI KONTONG</v>
      </c>
      <c r="D1737" s="186">
        <f>IFERROR(__xludf.DUMMYFUNCTION("""COMPUTED_VALUE"""),1.0)</f>
        <v>1</v>
      </c>
    </row>
    <row r="1738">
      <c r="A1738" s="178" t="str">
        <f>IFERROR(__xludf.DUMMYFUNCTION("""COMPUTED_VALUE"""),"ITBISA-ABC-BATERAI-AA-ALKALINE")</f>
        <v>ITBISA-ABC-BATERAI-AA-ALKALINE</v>
      </c>
      <c r="B1738" s="266">
        <f>IFERROR(__xludf.DUMMYFUNCTION("""COMPUTED_VALUE"""),45940.0)</f>
        <v>45940</v>
      </c>
      <c r="C1738" s="266" t="str">
        <f>IFERROR(__xludf.DUMMYFUNCTION("""COMPUTED_VALUE"""),"KYAI KONTONG")</f>
        <v>KYAI KONTONG</v>
      </c>
      <c r="D1738" s="186">
        <f>IFERROR(__xludf.DUMMYFUNCTION("""COMPUTED_VALUE"""),1.0)</f>
        <v>1</v>
      </c>
    </row>
    <row r="1739">
      <c r="A1739" s="178" t="str">
        <f>IFERROR(__xludf.DUMMYFUNCTION("""COMPUTED_VALUE"""),"ITBISA-ABC-BATERAI-AA-ALKALINE")</f>
        <v>ITBISA-ABC-BATERAI-AA-ALKALINE</v>
      </c>
      <c r="B1739" s="266">
        <f>IFERROR(__xludf.DUMMYFUNCTION("""COMPUTED_VALUE"""),45940.0)</f>
        <v>45940</v>
      </c>
      <c r="C1739" s="266" t="str">
        <f>IFERROR(__xludf.DUMMYFUNCTION("""COMPUTED_VALUE"""),"KYAI KONTONG")</f>
        <v>KYAI KONTONG</v>
      </c>
      <c r="D1739" s="186">
        <f>IFERROR(__xludf.DUMMYFUNCTION("""COMPUTED_VALUE"""),2.0)</f>
        <v>2</v>
      </c>
    </row>
    <row r="1740">
      <c r="A1740" s="178" t="str">
        <f>IFERROR(__xludf.DUMMYFUNCTION("""COMPUTED_VALUE"""),"ITBISA-ABC-BATERAI-AA-ALKALINE")</f>
        <v>ITBISA-ABC-BATERAI-AA-ALKALINE</v>
      </c>
      <c r="B1740" s="266">
        <f>IFERROR(__xludf.DUMMYFUNCTION("""COMPUTED_VALUE"""),45941.0)</f>
        <v>45941</v>
      </c>
      <c r="C1740" s="266" t="str">
        <f>IFERROR(__xludf.DUMMYFUNCTION("""COMPUTED_VALUE"""),"KYAI KONTONG")</f>
        <v>KYAI KONTONG</v>
      </c>
      <c r="D1740" s="186">
        <f>IFERROR(__xludf.DUMMYFUNCTION("""COMPUTED_VALUE"""),2.0)</f>
        <v>2</v>
      </c>
    </row>
    <row r="1741">
      <c r="A1741" s="178" t="str">
        <f>IFERROR(__xludf.DUMMYFUNCTION("""COMPUTED_VALUE"""),"ITBISA-ABC-BATERAI-AA-ALKALINE")</f>
        <v>ITBISA-ABC-BATERAI-AA-ALKALINE</v>
      </c>
      <c r="B1741" s="266">
        <f>IFERROR(__xludf.DUMMYFUNCTION("""COMPUTED_VALUE"""),45942.0)</f>
        <v>45942</v>
      </c>
      <c r="C1741" s="266" t="str">
        <f>IFERROR(__xludf.DUMMYFUNCTION("""COMPUTED_VALUE"""),"KYAI KONTONG")</f>
        <v>KYAI KONTONG</v>
      </c>
      <c r="D1741" s="186">
        <f>IFERROR(__xludf.DUMMYFUNCTION("""COMPUTED_VALUE"""),1.0)</f>
        <v>1</v>
      </c>
    </row>
    <row r="1742">
      <c r="A1742" s="178" t="str">
        <f>IFERROR(__xludf.DUMMYFUNCTION("""COMPUTED_VALUE"""),"ITBISA-ABC-BATERAI-AA-ALKALINE")</f>
        <v>ITBISA-ABC-BATERAI-AA-ALKALINE</v>
      </c>
      <c r="B1742" s="266">
        <f>IFERROR(__xludf.DUMMYFUNCTION("""COMPUTED_VALUE"""),45942.0)</f>
        <v>45942</v>
      </c>
      <c r="C1742" s="266" t="str">
        <f>IFERROR(__xludf.DUMMYFUNCTION("""COMPUTED_VALUE"""),"KYAI KONTONG")</f>
        <v>KYAI KONTONG</v>
      </c>
      <c r="D1742" s="186">
        <f>IFERROR(__xludf.DUMMYFUNCTION("""COMPUTED_VALUE"""),1.0)</f>
        <v>1</v>
      </c>
    </row>
    <row r="1743">
      <c r="A1743" s="178" t="str">
        <f>IFERROR(__xludf.DUMMYFUNCTION("""COMPUTED_VALUE"""),"ITBISA-ABC-BATERAI-AA-ALKALINE")</f>
        <v>ITBISA-ABC-BATERAI-AA-ALKALINE</v>
      </c>
      <c r="B1743" s="266">
        <f>IFERROR(__xludf.DUMMYFUNCTION("""COMPUTED_VALUE"""),45942.0)</f>
        <v>45942</v>
      </c>
      <c r="C1743" s="266" t="str">
        <f>IFERROR(__xludf.DUMMYFUNCTION("""COMPUTED_VALUE"""),"KYAI KONTONG")</f>
        <v>KYAI KONTONG</v>
      </c>
      <c r="D1743" s="186">
        <f>IFERROR(__xludf.DUMMYFUNCTION("""COMPUTED_VALUE"""),3.0)</f>
        <v>3</v>
      </c>
    </row>
    <row r="1744">
      <c r="A1744" s="178" t="str">
        <f>IFERROR(__xludf.DUMMYFUNCTION("""COMPUTED_VALUE"""),"ITBISA-ABC-BATERAI-AA-ALKALINE")</f>
        <v>ITBISA-ABC-BATERAI-AA-ALKALINE</v>
      </c>
      <c r="B1744" s="266">
        <f>IFERROR(__xludf.DUMMYFUNCTION("""COMPUTED_VALUE"""),45942.0)</f>
        <v>45942</v>
      </c>
      <c r="C1744" s="266" t="str">
        <f>IFERROR(__xludf.DUMMYFUNCTION("""COMPUTED_VALUE"""),"KYAI KONTONG")</f>
        <v>KYAI KONTONG</v>
      </c>
      <c r="D1744" s="186">
        <f>IFERROR(__xludf.DUMMYFUNCTION("""COMPUTED_VALUE"""),8.0)</f>
        <v>8</v>
      </c>
    </row>
    <row r="1745">
      <c r="A1745" s="178" t="str">
        <f>IFERROR(__xludf.DUMMYFUNCTION("""COMPUTED_VALUE"""),"ITBISA-ABC-BATERAI-AA-ALKALINE")</f>
        <v>ITBISA-ABC-BATERAI-AA-ALKALINE</v>
      </c>
      <c r="B1745" s="266">
        <f>IFERROR(__xludf.DUMMYFUNCTION("""COMPUTED_VALUE"""),45943.0)</f>
        <v>45943</v>
      </c>
      <c r="C1745" s="266" t="str">
        <f>IFERROR(__xludf.DUMMYFUNCTION("""COMPUTED_VALUE"""),"KYAI KONTONG")</f>
        <v>KYAI KONTONG</v>
      </c>
      <c r="D1745" s="186">
        <f>IFERROR(__xludf.DUMMYFUNCTION("""COMPUTED_VALUE"""),2.0)</f>
        <v>2</v>
      </c>
    </row>
    <row r="1746">
      <c r="A1746" s="178" t="str">
        <f>IFERROR(__xludf.DUMMYFUNCTION("""COMPUTED_VALUE"""),"ITBISA-ABC-BATERAI-AA-ALKALINE")</f>
        <v>ITBISA-ABC-BATERAI-AA-ALKALINE</v>
      </c>
      <c r="B1746" s="266">
        <f>IFERROR(__xludf.DUMMYFUNCTION("""COMPUTED_VALUE"""),45944.0)</f>
        <v>45944</v>
      </c>
      <c r="C1746" s="266" t="str">
        <f>IFERROR(__xludf.DUMMYFUNCTION("""COMPUTED_VALUE"""),"KERTASARI CIAMIS")</f>
        <v>KERTASARI CIAMIS</v>
      </c>
      <c r="D1746" s="186">
        <f>IFERROR(__xludf.DUMMYFUNCTION("""COMPUTED_VALUE"""),8.0)</f>
        <v>8</v>
      </c>
    </row>
    <row r="1747">
      <c r="A1747" s="178" t="str">
        <f>IFERROR(__xludf.DUMMYFUNCTION("""COMPUTED_VALUE"""),"ITBISA-ABC-BATERAI-AA-ALKALINE")</f>
        <v>ITBISA-ABC-BATERAI-AA-ALKALINE</v>
      </c>
      <c r="B1747" s="266">
        <f>IFERROR(__xludf.DUMMYFUNCTION("""COMPUTED_VALUE"""),45944.0)</f>
        <v>45944</v>
      </c>
      <c r="C1747" s="266" t="str">
        <f>IFERROR(__xludf.DUMMYFUNCTION("""COMPUTED_VALUE"""),"KYAI KONTONG")</f>
        <v>KYAI KONTONG</v>
      </c>
      <c r="D1747" s="186">
        <f>IFERROR(__xludf.DUMMYFUNCTION("""COMPUTED_VALUE"""),1.0)</f>
        <v>1</v>
      </c>
    </row>
    <row r="1748">
      <c r="A1748" s="178" t="str">
        <f>IFERROR(__xludf.DUMMYFUNCTION("""COMPUTED_VALUE"""),"ITBISA-ABC-BATERAI-AA-ALKALINE")</f>
        <v>ITBISA-ABC-BATERAI-AA-ALKALINE</v>
      </c>
      <c r="B1748" s="266">
        <f>IFERROR(__xludf.DUMMYFUNCTION("""COMPUTED_VALUE"""),45944.0)</f>
        <v>45944</v>
      </c>
      <c r="C1748" s="266" t="str">
        <f>IFERROR(__xludf.DUMMYFUNCTION("""COMPUTED_VALUE"""),"KYAI KONTONG")</f>
        <v>KYAI KONTONG</v>
      </c>
      <c r="D1748" s="186">
        <f>IFERROR(__xludf.DUMMYFUNCTION("""COMPUTED_VALUE"""),3.0)</f>
        <v>3</v>
      </c>
    </row>
    <row r="1749">
      <c r="A1749" s="178" t="str">
        <f>IFERROR(__xludf.DUMMYFUNCTION("""COMPUTED_VALUE"""),"ITBISA-ABC-BATERAI-AA-ALKALINE")</f>
        <v>ITBISA-ABC-BATERAI-AA-ALKALINE</v>
      </c>
      <c r="B1749" s="266">
        <f>IFERROR(__xludf.DUMMYFUNCTION("""COMPUTED_VALUE"""),45944.0)</f>
        <v>45944</v>
      </c>
      <c r="C1749" s="266" t="str">
        <f>IFERROR(__xludf.DUMMYFUNCTION("""COMPUTED_VALUE"""),"KYAI KONTONG")</f>
        <v>KYAI KONTONG</v>
      </c>
      <c r="D1749" s="186">
        <f>IFERROR(__xludf.DUMMYFUNCTION("""COMPUTED_VALUE"""),4.0)</f>
        <v>4</v>
      </c>
    </row>
    <row r="1750">
      <c r="A1750" s="178" t="str">
        <f>IFERROR(__xludf.DUMMYFUNCTION("""COMPUTED_VALUE"""),"ITBISA-ABC-BATERAI-AA-ALKALINE")</f>
        <v>ITBISA-ABC-BATERAI-AA-ALKALINE</v>
      </c>
      <c r="B1750" s="266">
        <f>IFERROR(__xludf.DUMMYFUNCTION("""COMPUTED_VALUE"""),45945.0)</f>
        <v>45945</v>
      </c>
      <c r="C1750" s="266" t="str">
        <f>IFERROR(__xludf.DUMMYFUNCTION("""COMPUTED_VALUE"""),"KYAI KONTONG")</f>
        <v>KYAI KONTONG</v>
      </c>
      <c r="D1750" s="186">
        <f>IFERROR(__xludf.DUMMYFUNCTION("""COMPUTED_VALUE"""),1.0)</f>
        <v>1</v>
      </c>
    </row>
    <row r="1751">
      <c r="A1751" s="178" t="str">
        <f>IFERROR(__xludf.DUMMYFUNCTION("""COMPUTED_VALUE"""),"ITBISA-ABC-BATERAI-AA-ALKALINE")</f>
        <v>ITBISA-ABC-BATERAI-AA-ALKALINE</v>
      </c>
      <c r="B1751" s="266">
        <f>IFERROR(__xludf.DUMMYFUNCTION("""COMPUTED_VALUE"""),45945.0)</f>
        <v>45945</v>
      </c>
      <c r="C1751" s="266" t="str">
        <f>IFERROR(__xludf.DUMMYFUNCTION("""COMPUTED_VALUE"""),"KYAI KONTONG")</f>
        <v>KYAI KONTONG</v>
      </c>
      <c r="D1751" s="186">
        <f>IFERROR(__xludf.DUMMYFUNCTION("""COMPUTED_VALUE"""),1.0)</f>
        <v>1</v>
      </c>
    </row>
    <row r="1752">
      <c r="A1752" s="178" t="str">
        <f>IFERROR(__xludf.DUMMYFUNCTION("""COMPUTED_VALUE"""),"ITBISA-ABC-BATERAI-AA-ALKALINE")</f>
        <v>ITBISA-ABC-BATERAI-AA-ALKALINE</v>
      </c>
      <c r="B1752" s="266">
        <f>IFERROR(__xludf.DUMMYFUNCTION("""COMPUTED_VALUE"""),45945.0)</f>
        <v>45945</v>
      </c>
      <c r="C1752" s="266" t="str">
        <f>IFERROR(__xludf.DUMMYFUNCTION("""COMPUTED_VALUE"""),"KYAI KONTONG")</f>
        <v>KYAI KONTONG</v>
      </c>
      <c r="D1752" s="186">
        <f>IFERROR(__xludf.DUMMYFUNCTION("""COMPUTED_VALUE"""),1.0)</f>
        <v>1</v>
      </c>
    </row>
    <row r="1753">
      <c r="A1753" s="178" t="str">
        <f>IFERROR(__xludf.DUMMYFUNCTION("""COMPUTED_VALUE"""),"ITBISA-ABC-BATERAI-AA-ALKALINE")</f>
        <v>ITBISA-ABC-BATERAI-AA-ALKALINE</v>
      </c>
      <c r="B1753" s="266">
        <f>IFERROR(__xludf.DUMMYFUNCTION("""COMPUTED_VALUE"""),45945.0)</f>
        <v>45945</v>
      </c>
      <c r="C1753" s="266" t="str">
        <f>IFERROR(__xludf.DUMMYFUNCTION("""COMPUTED_VALUE"""),"KYAI KONTONG")</f>
        <v>KYAI KONTONG</v>
      </c>
      <c r="D1753" s="186">
        <f>IFERROR(__xludf.DUMMYFUNCTION("""COMPUTED_VALUE"""),2.0)</f>
        <v>2</v>
      </c>
    </row>
    <row r="1754">
      <c r="A1754" s="178" t="str">
        <f>IFERROR(__xludf.DUMMYFUNCTION("""COMPUTED_VALUE"""),"ITBISA-ABC-BATERAI-AA-ALKALINE")</f>
        <v>ITBISA-ABC-BATERAI-AA-ALKALINE</v>
      </c>
      <c r="B1754" s="266">
        <f>IFERROR(__xludf.DUMMYFUNCTION("""COMPUTED_VALUE"""),45946.0)</f>
        <v>45946</v>
      </c>
      <c r="C1754" s="266" t="str">
        <f>IFERROR(__xludf.DUMMYFUNCTION("""COMPUTED_VALUE"""),"KYAI KONTONG")</f>
        <v>KYAI KONTONG</v>
      </c>
      <c r="D1754" s="186">
        <f>IFERROR(__xludf.DUMMYFUNCTION("""COMPUTED_VALUE"""),1.0)</f>
        <v>1</v>
      </c>
    </row>
    <row r="1755">
      <c r="A1755" s="178" t="str">
        <f>IFERROR(__xludf.DUMMYFUNCTION("""COMPUTED_VALUE"""),"ITBISA-ABC-BATERAI-AA-ALKALINE")</f>
        <v>ITBISA-ABC-BATERAI-AA-ALKALINE</v>
      </c>
      <c r="B1755" s="266">
        <f>IFERROR(__xludf.DUMMYFUNCTION("""COMPUTED_VALUE"""),45946.0)</f>
        <v>45946</v>
      </c>
      <c r="C1755" s="266" t="str">
        <f>IFERROR(__xludf.DUMMYFUNCTION("""COMPUTED_VALUE"""),"KYAI KONTONG")</f>
        <v>KYAI KONTONG</v>
      </c>
      <c r="D1755" s="186">
        <f>IFERROR(__xludf.DUMMYFUNCTION("""COMPUTED_VALUE"""),1.0)</f>
        <v>1</v>
      </c>
    </row>
    <row r="1756">
      <c r="A1756" s="178" t="str">
        <f>IFERROR(__xludf.DUMMYFUNCTION("""COMPUTED_VALUE"""),"ITBISA-ABC-BATERAI-AA-ALKALINE")</f>
        <v>ITBISA-ABC-BATERAI-AA-ALKALINE</v>
      </c>
      <c r="B1756" s="266">
        <f>IFERROR(__xludf.DUMMYFUNCTION("""COMPUTED_VALUE"""),45946.0)</f>
        <v>45946</v>
      </c>
      <c r="C1756" s="266" t="str">
        <f>IFERROR(__xludf.DUMMYFUNCTION("""COMPUTED_VALUE"""),"KYAI KONTONG")</f>
        <v>KYAI KONTONG</v>
      </c>
      <c r="D1756" s="186">
        <f>IFERROR(__xludf.DUMMYFUNCTION("""COMPUTED_VALUE"""),1.0)</f>
        <v>1</v>
      </c>
    </row>
    <row r="1757">
      <c r="A1757" s="178" t="str">
        <f>IFERROR(__xludf.DUMMYFUNCTION("""COMPUTED_VALUE"""),"ITBISA-ABC-BATERAI-AA-ALKALINE")</f>
        <v>ITBISA-ABC-BATERAI-AA-ALKALINE</v>
      </c>
      <c r="B1757" s="266">
        <f>IFERROR(__xludf.DUMMYFUNCTION("""COMPUTED_VALUE"""),45946.0)</f>
        <v>45946</v>
      </c>
      <c r="C1757" s="266" t="str">
        <f>IFERROR(__xludf.DUMMYFUNCTION("""COMPUTED_VALUE"""),"KYAI KONTONG")</f>
        <v>KYAI KONTONG</v>
      </c>
      <c r="D1757" s="186">
        <f>IFERROR(__xludf.DUMMYFUNCTION("""COMPUTED_VALUE"""),2.0)</f>
        <v>2</v>
      </c>
    </row>
    <row r="1758">
      <c r="A1758" s="178" t="str">
        <f>IFERROR(__xludf.DUMMYFUNCTION("""COMPUTED_VALUE"""),"ITBISA-ABC-BATERAI-AA-ALKALINE")</f>
        <v>ITBISA-ABC-BATERAI-AA-ALKALINE</v>
      </c>
      <c r="B1758" s="266">
        <f>IFERROR(__xludf.DUMMYFUNCTION("""COMPUTED_VALUE"""),45946.0)</f>
        <v>45946</v>
      </c>
      <c r="C1758" s="266" t="str">
        <f>IFERROR(__xludf.DUMMYFUNCTION("""COMPUTED_VALUE"""),"KYAI KONTONG")</f>
        <v>KYAI KONTONG</v>
      </c>
      <c r="D1758" s="186">
        <f>IFERROR(__xludf.DUMMYFUNCTION("""COMPUTED_VALUE"""),2.0)</f>
        <v>2</v>
      </c>
    </row>
    <row r="1759">
      <c r="A1759" s="178" t="str">
        <f>IFERROR(__xludf.DUMMYFUNCTION("""COMPUTED_VALUE"""),"ITBISA-ABC-BATERAI-AA-ALKALINE")</f>
        <v>ITBISA-ABC-BATERAI-AA-ALKALINE</v>
      </c>
      <c r="B1759" s="266">
        <f>IFERROR(__xludf.DUMMYFUNCTION("""COMPUTED_VALUE"""),45946.0)</f>
        <v>45946</v>
      </c>
      <c r="C1759" s="266" t="str">
        <f>IFERROR(__xludf.DUMMYFUNCTION("""COMPUTED_VALUE"""),"KYAI KONTONG")</f>
        <v>KYAI KONTONG</v>
      </c>
      <c r="D1759" s="186">
        <f>IFERROR(__xludf.DUMMYFUNCTION("""COMPUTED_VALUE"""),2.0)</f>
        <v>2</v>
      </c>
    </row>
    <row r="1760">
      <c r="A1760" s="178" t="str">
        <f>IFERROR(__xludf.DUMMYFUNCTION("""COMPUTED_VALUE"""),"ITBISA-ABC-BATERAI-AA-ALKALINE")</f>
        <v>ITBISA-ABC-BATERAI-AA-ALKALINE</v>
      </c>
      <c r="B1760" s="266">
        <f>IFERROR(__xludf.DUMMYFUNCTION("""COMPUTED_VALUE"""),45946.0)</f>
        <v>45946</v>
      </c>
      <c r="C1760" s="266" t="str">
        <f>IFERROR(__xludf.DUMMYFUNCTION("""COMPUTED_VALUE"""),"KYAI KONTONG")</f>
        <v>KYAI KONTONG</v>
      </c>
      <c r="D1760" s="186">
        <f>IFERROR(__xludf.DUMMYFUNCTION("""COMPUTED_VALUE"""),2.0)</f>
        <v>2</v>
      </c>
    </row>
    <row r="1761">
      <c r="A1761" s="178" t="str">
        <f>IFERROR(__xludf.DUMMYFUNCTION("""COMPUTED_VALUE"""),"ITBISA-ABC-BATERAI-AA-ALKALINE")</f>
        <v>ITBISA-ABC-BATERAI-AA-ALKALINE</v>
      </c>
      <c r="B1761" s="266">
        <f>IFERROR(__xludf.DUMMYFUNCTION("""COMPUTED_VALUE"""),45946.0)</f>
        <v>45946</v>
      </c>
      <c r="C1761" s="266" t="str">
        <f>IFERROR(__xludf.DUMMYFUNCTION("""COMPUTED_VALUE"""),"KYAI KONTONG")</f>
        <v>KYAI KONTONG</v>
      </c>
      <c r="D1761" s="186">
        <f>IFERROR(__xludf.DUMMYFUNCTION("""COMPUTED_VALUE"""),2.0)</f>
        <v>2</v>
      </c>
    </row>
    <row r="1762">
      <c r="A1762" s="178" t="str">
        <f>IFERROR(__xludf.DUMMYFUNCTION("""COMPUTED_VALUE"""),"ITBISA-ABC-BATERAI-AA-ALKALINE")</f>
        <v>ITBISA-ABC-BATERAI-AA-ALKALINE</v>
      </c>
      <c r="B1762" s="266">
        <f>IFERROR(__xludf.DUMMYFUNCTION("""COMPUTED_VALUE"""),45946.0)</f>
        <v>45946</v>
      </c>
      <c r="C1762" s="266" t="str">
        <f>IFERROR(__xludf.DUMMYFUNCTION("""COMPUTED_VALUE"""),"KYAI KONTONG")</f>
        <v>KYAI KONTONG</v>
      </c>
      <c r="D1762" s="186">
        <f>IFERROR(__xludf.DUMMYFUNCTION("""COMPUTED_VALUE"""),2.0)</f>
        <v>2</v>
      </c>
    </row>
    <row r="1763">
      <c r="A1763" s="178" t="str">
        <f>IFERROR(__xludf.DUMMYFUNCTION("""COMPUTED_VALUE"""),"ITBISA-ABC-BATERAI-AA-ALKALINE")</f>
        <v>ITBISA-ABC-BATERAI-AA-ALKALINE</v>
      </c>
      <c r="B1763" s="266">
        <f>IFERROR(__xludf.DUMMYFUNCTION("""COMPUTED_VALUE"""),45946.0)</f>
        <v>45946</v>
      </c>
      <c r="C1763" s="266" t="str">
        <f>IFERROR(__xludf.DUMMYFUNCTION("""COMPUTED_VALUE"""),"KYAI KONTONG")</f>
        <v>KYAI KONTONG</v>
      </c>
      <c r="D1763" s="186">
        <f>IFERROR(__xludf.DUMMYFUNCTION("""COMPUTED_VALUE"""),3.0)</f>
        <v>3</v>
      </c>
    </row>
    <row r="1764">
      <c r="A1764" s="178" t="str">
        <f>IFERROR(__xludf.DUMMYFUNCTION("""COMPUTED_VALUE"""),"ITBISA-ABC-BATERAI-AA-ALKALINE")</f>
        <v>ITBISA-ABC-BATERAI-AA-ALKALINE</v>
      </c>
      <c r="B1764" s="266">
        <f>IFERROR(__xludf.DUMMYFUNCTION("""COMPUTED_VALUE"""),45946.0)</f>
        <v>45946</v>
      </c>
      <c r="C1764" s="266" t="str">
        <f>IFERROR(__xludf.DUMMYFUNCTION("""COMPUTED_VALUE"""),"KYAI KONTONG")</f>
        <v>KYAI KONTONG</v>
      </c>
      <c r="D1764" s="186">
        <f>IFERROR(__xludf.DUMMYFUNCTION("""COMPUTED_VALUE"""),6.0)</f>
        <v>6</v>
      </c>
    </row>
    <row r="1765">
      <c r="A1765" s="178" t="str">
        <f>IFERROR(__xludf.DUMMYFUNCTION("""COMPUTED_VALUE"""),"ITBISA-ABC-BATERAI-AA-ALKALINE")</f>
        <v>ITBISA-ABC-BATERAI-AA-ALKALINE</v>
      </c>
      <c r="B1765" s="266">
        <f>IFERROR(__xludf.DUMMYFUNCTION("""COMPUTED_VALUE"""),45946.0)</f>
        <v>45946</v>
      </c>
      <c r="C1765" s="266" t="str">
        <f>IFERROR(__xludf.DUMMYFUNCTION("""COMPUTED_VALUE"""),"KYAI KONTONG")</f>
        <v>KYAI KONTONG</v>
      </c>
      <c r="D1765" s="186">
        <f>IFERROR(__xludf.DUMMYFUNCTION("""COMPUTED_VALUE"""),8.0)</f>
        <v>8</v>
      </c>
    </row>
    <row r="1766">
      <c r="A1766" s="178" t="str">
        <f>IFERROR(__xludf.DUMMYFUNCTION("""COMPUTED_VALUE"""),"ITBISA-ABC-BATERAI-AA-ALKALINE")</f>
        <v>ITBISA-ABC-BATERAI-AA-ALKALINE</v>
      </c>
      <c r="B1766" s="266">
        <f>IFERROR(__xludf.DUMMYFUNCTION("""COMPUTED_VALUE"""),45947.0)</f>
        <v>45947</v>
      </c>
      <c r="C1766" s="266" t="str">
        <f>IFERROR(__xludf.DUMMYFUNCTION("""COMPUTED_VALUE"""),"KYAI KONTONG")</f>
        <v>KYAI KONTONG</v>
      </c>
      <c r="D1766" s="186">
        <f>IFERROR(__xludf.DUMMYFUNCTION("""COMPUTED_VALUE"""),1.0)</f>
        <v>1</v>
      </c>
    </row>
    <row r="1767">
      <c r="A1767" s="178" t="str">
        <f>IFERROR(__xludf.DUMMYFUNCTION("""COMPUTED_VALUE"""),"ITBISA-ABC-BATERAI-AA-ALKALINE")</f>
        <v>ITBISA-ABC-BATERAI-AA-ALKALINE</v>
      </c>
      <c r="B1767" s="266">
        <f>IFERROR(__xludf.DUMMYFUNCTION("""COMPUTED_VALUE"""),45947.0)</f>
        <v>45947</v>
      </c>
      <c r="C1767" s="266" t="str">
        <f>IFERROR(__xludf.DUMMYFUNCTION("""COMPUTED_VALUE"""),"KYAI KONTONG")</f>
        <v>KYAI KONTONG</v>
      </c>
      <c r="D1767" s="186">
        <f>IFERROR(__xludf.DUMMYFUNCTION("""COMPUTED_VALUE"""),10.0)</f>
        <v>10</v>
      </c>
    </row>
    <row r="1768">
      <c r="A1768" s="178" t="str">
        <f>IFERROR(__xludf.DUMMYFUNCTION("""COMPUTED_VALUE"""),"ITBISA-ABC-BATERAI-AA-ALKALINE")</f>
        <v>ITBISA-ABC-BATERAI-AA-ALKALINE</v>
      </c>
      <c r="B1768" s="266">
        <f>IFERROR(__xludf.DUMMYFUNCTION("""COMPUTED_VALUE"""),45948.0)</f>
        <v>45948</v>
      </c>
      <c r="C1768" s="266" t="str">
        <f>IFERROR(__xludf.DUMMYFUNCTION("""COMPUTED_VALUE"""),"KYAI KONTONG")</f>
        <v>KYAI KONTONG</v>
      </c>
      <c r="D1768" s="186">
        <f>IFERROR(__xludf.DUMMYFUNCTION("""COMPUTED_VALUE"""),2.0)</f>
        <v>2</v>
      </c>
    </row>
    <row r="1769">
      <c r="A1769" s="178" t="str">
        <f>IFERROR(__xludf.DUMMYFUNCTION("""COMPUTED_VALUE"""),"ITBISA-ABC-BATERAI-AA-ALKALINE")</f>
        <v>ITBISA-ABC-BATERAI-AA-ALKALINE</v>
      </c>
      <c r="B1769" s="266">
        <f>IFERROR(__xludf.DUMMYFUNCTION("""COMPUTED_VALUE"""),45948.0)</f>
        <v>45948</v>
      </c>
      <c r="C1769" s="266" t="str">
        <f>IFERROR(__xludf.DUMMYFUNCTION("""COMPUTED_VALUE"""),"KYAI KONTONG")</f>
        <v>KYAI KONTONG</v>
      </c>
      <c r="D1769" s="186">
        <f>IFERROR(__xludf.DUMMYFUNCTION("""COMPUTED_VALUE"""),2.0)</f>
        <v>2</v>
      </c>
    </row>
    <row r="1770">
      <c r="A1770" s="178" t="str">
        <f>IFERROR(__xludf.DUMMYFUNCTION("""COMPUTED_VALUE"""),"ITBISA-ABC-BATERAI-AA-ALKALINE")</f>
        <v>ITBISA-ABC-BATERAI-AA-ALKALINE</v>
      </c>
      <c r="B1770" s="266">
        <f>IFERROR(__xludf.DUMMYFUNCTION("""COMPUTED_VALUE"""),45948.0)</f>
        <v>45948</v>
      </c>
      <c r="C1770" s="266" t="str">
        <f>IFERROR(__xludf.DUMMYFUNCTION("""COMPUTED_VALUE"""),"KYAI KONTONG")</f>
        <v>KYAI KONTONG</v>
      </c>
      <c r="D1770" s="186">
        <f>IFERROR(__xludf.DUMMYFUNCTION("""COMPUTED_VALUE"""),2.0)</f>
        <v>2</v>
      </c>
    </row>
    <row r="1771">
      <c r="A1771" s="178" t="str">
        <f>IFERROR(__xludf.DUMMYFUNCTION("""COMPUTED_VALUE"""),"ITBISA-ABC-BATERAI-AA-ALKALINE")</f>
        <v>ITBISA-ABC-BATERAI-AA-ALKALINE</v>
      </c>
      <c r="B1771" s="266">
        <f>IFERROR(__xludf.DUMMYFUNCTION("""COMPUTED_VALUE"""),45948.0)</f>
        <v>45948</v>
      </c>
      <c r="C1771" s="266" t="str">
        <f>IFERROR(__xludf.DUMMYFUNCTION("""COMPUTED_VALUE"""),"KYAI KONTONG")</f>
        <v>KYAI KONTONG</v>
      </c>
      <c r="D1771" s="186">
        <f>IFERROR(__xludf.DUMMYFUNCTION("""COMPUTED_VALUE"""),2.0)</f>
        <v>2</v>
      </c>
    </row>
    <row r="1772">
      <c r="A1772" s="178" t="str">
        <f>IFERROR(__xludf.DUMMYFUNCTION("""COMPUTED_VALUE"""),"ITBISA-ABC-BATERAI-AA-ALKALINE")</f>
        <v>ITBISA-ABC-BATERAI-AA-ALKALINE</v>
      </c>
      <c r="B1772" s="266">
        <f>IFERROR(__xludf.DUMMYFUNCTION("""COMPUTED_VALUE"""),45948.0)</f>
        <v>45948</v>
      </c>
      <c r="C1772" s="266" t="str">
        <f>IFERROR(__xludf.DUMMYFUNCTION("""COMPUTED_VALUE"""),"KYAI KONTONG")</f>
        <v>KYAI KONTONG</v>
      </c>
      <c r="D1772" s="186">
        <f>IFERROR(__xludf.DUMMYFUNCTION("""COMPUTED_VALUE"""),2.0)</f>
        <v>2</v>
      </c>
    </row>
    <row r="1773">
      <c r="A1773" s="178" t="str">
        <f>IFERROR(__xludf.DUMMYFUNCTION("""COMPUTED_VALUE"""),"ITBISA-ABC-BATERAI-AA-ALKALINE")</f>
        <v>ITBISA-ABC-BATERAI-AA-ALKALINE</v>
      </c>
      <c r="B1773" s="266">
        <f>IFERROR(__xludf.DUMMYFUNCTION("""COMPUTED_VALUE"""),45949.0)</f>
        <v>45949</v>
      </c>
      <c r="C1773" s="266" t="str">
        <f>IFERROR(__xludf.DUMMYFUNCTION("""COMPUTED_VALUE"""),"KYAI KONTONG")</f>
        <v>KYAI KONTONG</v>
      </c>
      <c r="D1773" s="186">
        <f>IFERROR(__xludf.DUMMYFUNCTION("""COMPUTED_VALUE"""),1.0)</f>
        <v>1</v>
      </c>
    </row>
    <row r="1774">
      <c r="A1774" s="178" t="str">
        <f>IFERROR(__xludf.DUMMYFUNCTION("""COMPUTED_VALUE"""),"ITBISA-ABC-BATERAI-AA-ALKALINE")</f>
        <v>ITBISA-ABC-BATERAI-AA-ALKALINE</v>
      </c>
      <c r="B1774" s="266">
        <f>IFERROR(__xludf.DUMMYFUNCTION("""COMPUTED_VALUE"""),45949.0)</f>
        <v>45949</v>
      </c>
      <c r="C1774" s="266" t="str">
        <f>IFERROR(__xludf.DUMMYFUNCTION("""COMPUTED_VALUE"""),"KYAI KONTONG")</f>
        <v>KYAI KONTONG</v>
      </c>
      <c r="D1774" s="186">
        <f>IFERROR(__xludf.DUMMYFUNCTION("""COMPUTED_VALUE"""),2.0)</f>
        <v>2</v>
      </c>
    </row>
    <row r="1775">
      <c r="A1775" s="178" t="str">
        <f>IFERROR(__xludf.DUMMYFUNCTION("""COMPUTED_VALUE"""),"ITBISA-ABC-BATERAI-AA-ALKALINE")</f>
        <v>ITBISA-ABC-BATERAI-AA-ALKALINE</v>
      </c>
      <c r="B1775" s="266">
        <f>IFERROR(__xludf.DUMMYFUNCTION("""COMPUTED_VALUE"""),45949.0)</f>
        <v>45949</v>
      </c>
      <c r="C1775" s="266" t="str">
        <f>IFERROR(__xludf.DUMMYFUNCTION("""COMPUTED_VALUE"""),"KYAI KONTONG")</f>
        <v>KYAI KONTONG</v>
      </c>
      <c r="D1775" s="186">
        <f>IFERROR(__xludf.DUMMYFUNCTION("""COMPUTED_VALUE"""),2.0)</f>
        <v>2</v>
      </c>
    </row>
    <row r="1776">
      <c r="A1776" s="178" t="str">
        <f>IFERROR(__xludf.DUMMYFUNCTION("""COMPUTED_VALUE"""),"ITBISA-ABC-BATERAI-AA-ALKALINE")</f>
        <v>ITBISA-ABC-BATERAI-AA-ALKALINE</v>
      </c>
      <c r="B1776" s="266">
        <f>IFERROR(__xludf.DUMMYFUNCTION("""COMPUTED_VALUE"""),45949.0)</f>
        <v>45949</v>
      </c>
      <c r="C1776" s="266" t="str">
        <f>IFERROR(__xludf.DUMMYFUNCTION("""COMPUTED_VALUE"""),"KYAI KONTONG")</f>
        <v>KYAI KONTONG</v>
      </c>
      <c r="D1776" s="186">
        <f>IFERROR(__xludf.DUMMYFUNCTION("""COMPUTED_VALUE"""),3.0)</f>
        <v>3</v>
      </c>
    </row>
    <row r="1777">
      <c r="A1777" s="178" t="str">
        <f>IFERROR(__xludf.DUMMYFUNCTION("""COMPUTED_VALUE"""),"ITBISA-ABC-BATERAI-AA-ALKALINE")</f>
        <v>ITBISA-ABC-BATERAI-AA-ALKALINE</v>
      </c>
      <c r="B1777" s="266">
        <f>IFERROR(__xludf.DUMMYFUNCTION("""COMPUTED_VALUE"""),45950.0)</f>
        <v>45950</v>
      </c>
      <c r="C1777" s="266" t="str">
        <f>IFERROR(__xludf.DUMMYFUNCTION("""COMPUTED_VALUE"""),"KYAI KONTONG")</f>
        <v>KYAI KONTONG</v>
      </c>
      <c r="D1777" s="186">
        <f>IFERROR(__xludf.DUMMYFUNCTION("""COMPUTED_VALUE"""),1.0)</f>
        <v>1</v>
      </c>
    </row>
    <row r="1778">
      <c r="A1778" s="178" t="str">
        <f>IFERROR(__xludf.DUMMYFUNCTION("""COMPUTED_VALUE"""),"ITBISA-ABC-BATERAI-AA-ALKALINE")</f>
        <v>ITBISA-ABC-BATERAI-AA-ALKALINE</v>
      </c>
      <c r="B1778" s="266">
        <f>IFERROR(__xludf.DUMMYFUNCTION("""COMPUTED_VALUE"""),45950.0)</f>
        <v>45950</v>
      </c>
      <c r="C1778" s="266" t="str">
        <f>IFERROR(__xludf.DUMMYFUNCTION("""COMPUTED_VALUE"""),"KYAI KONTONG")</f>
        <v>KYAI KONTONG</v>
      </c>
      <c r="D1778" s="186">
        <f>IFERROR(__xludf.DUMMYFUNCTION("""COMPUTED_VALUE"""),2.0)</f>
        <v>2</v>
      </c>
    </row>
    <row r="1779">
      <c r="A1779" s="178" t="str">
        <f>IFERROR(__xludf.DUMMYFUNCTION("""COMPUTED_VALUE"""),"ITBISA-ABC-BATERAI-AA-ALKALINE")</f>
        <v>ITBISA-ABC-BATERAI-AA-ALKALINE</v>
      </c>
      <c r="B1779" s="266">
        <f>IFERROR(__xludf.DUMMYFUNCTION("""COMPUTED_VALUE"""),45950.0)</f>
        <v>45950</v>
      </c>
      <c r="C1779" s="266" t="str">
        <f>IFERROR(__xludf.DUMMYFUNCTION("""COMPUTED_VALUE"""),"KYAI KONTONG")</f>
        <v>KYAI KONTONG</v>
      </c>
      <c r="D1779" s="186">
        <f>IFERROR(__xludf.DUMMYFUNCTION("""COMPUTED_VALUE"""),2.0)</f>
        <v>2</v>
      </c>
    </row>
    <row r="1780">
      <c r="A1780" s="178" t="str">
        <f>IFERROR(__xludf.DUMMYFUNCTION("""COMPUTED_VALUE"""),"ITBISA-ABC-BATERAI-AA-ALKALINE")</f>
        <v>ITBISA-ABC-BATERAI-AA-ALKALINE</v>
      </c>
      <c r="B1780" s="266">
        <f>IFERROR(__xludf.DUMMYFUNCTION("""COMPUTED_VALUE"""),45950.0)</f>
        <v>45950</v>
      </c>
      <c r="C1780" s="266" t="str">
        <f>IFERROR(__xludf.DUMMYFUNCTION("""COMPUTED_VALUE"""),"KYAI KONTONG")</f>
        <v>KYAI KONTONG</v>
      </c>
      <c r="D1780" s="186">
        <f>IFERROR(__xludf.DUMMYFUNCTION("""COMPUTED_VALUE"""),2.0)</f>
        <v>2</v>
      </c>
    </row>
    <row r="1781">
      <c r="A1781" s="178" t="str">
        <f>IFERROR(__xludf.DUMMYFUNCTION("""COMPUTED_VALUE"""),"ITBISA-ABC-BATERAI-AA-ALKALINE")</f>
        <v>ITBISA-ABC-BATERAI-AA-ALKALINE</v>
      </c>
      <c r="B1781" s="266">
        <f>IFERROR(__xludf.DUMMYFUNCTION("""COMPUTED_VALUE"""),45950.0)</f>
        <v>45950</v>
      </c>
      <c r="C1781" s="266" t="str">
        <f>IFERROR(__xludf.DUMMYFUNCTION("""COMPUTED_VALUE"""),"KYAI KONTONG")</f>
        <v>KYAI KONTONG</v>
      </c>
      <c r="D1781" s="186">
        <f>IFERROR(__xludf.DUMMYFUNCTION("""COMPUTED_VALUE"""),2.0)</f>
        <v>2</v>
      </c>
    </row>
    <row r="1782">
      <c r="A1782" s="178" t="str">
        <f>IFERROR(__xludf.DUMMYFUNCTION("""COMPUTED_VALUE"""),"ITBISA-ABC-BATERAI-AA-ALKALINE")</f>
        <v>ITBISA-ABC-BATERAI-AA-ALKALINE</v>
      </c>
      <c r="B1782" s="266">
        <f>IFERROR(__xludf.DUMMYFUNCTION("""COMPUTED_VALUE"""),45950.0)</f>
        <v>45950</v>
      </c>
      <c r="C1782" s="266" t="str">
        <f>IFERROR(__xludf.DUMMYFUNCTION("""COMPUTED_VALUE"""),"KYAI KONTONG")</f>
        <v>KYAI KONTONG</v>
      </c>
      <c r="D1782" s="186">
        <f>IFERROR(__xludf.DUMMYFUNCTION("""COMPUTED_VALUE"""),2.0)</f>
        <v>2</v>
      </c>
    </row>
    <row r="1783">
      <c r="A1783" s="178" t="str">
        <f>IFERROR(__xludf.DUMMYFUNCTION("""COMPUTED_VALUE"""),"ITBISA-ABC-BATERAI-AA-ALKALINE")</f>
        <v>ITBISA-ABC-BATERAI-AA-ALKALINE</v>
      </c>
      <c r="B1783" s="266">
        <f>IFERROR(__xludf.DUMMYFUNCTION("""COMPUTED_VALUE"""),45950.0)</f>
        <v>45950</v>
      </c>
      <c r="C1783" s="266" t="str">
        <f>IFERROR(__xludf.DUMMYFUNCTION("""COMPUTED_VALUE"""),"KYAI KONTONG")</f>
        <v>KYAI KONTONG</v>
      </c>
      <c r="D1783" s="186">
        <f>IFERROR(__xludf.DUMMYFUNCTION("""COMPUTED_VALUE"""),4.0)</f>
        <v>4</v>
      </c>
    </row>
    <row r="1784">
      <c r="A1784" s="178" t="str">
        <f>IFERROR(__xludf.DUMMYFUNCTION("""COMPUTED_VALUE"""),"ITBISA-ABC-BATERAI-AA-ALKALINE")</f>
        <v>ITBISA-ABC-BATERAI-AA-ALKALINE</v>
      </c>
      <c r="B1784" s="266">
        <f>IFERROR(__xludf.DUMMYFUNCTION("""COMPUTED_VALUE"""),45950.0)</f>
        <v>45950</v>
      </c>
      <c r="C1784" s="266" t="str">
        <f>IFERROR(__xludf.DUMMYFUNCTION("""COMPUTED_VALUE"""),"KYAI KONTONG")</f>
        <v>KYAI KONTONG</v>
      </c>
      <c r="D1784" s="186">
        <f>IFERROR(__xludf.DUMMYFUNCTION("""COMPUTED_VALUE"""),12.0)</f>
        <v>12</v>
      </c>
    </row>
    <row r="1785">
      <c r="A1785" s="178" t="str">
        <f>IFERROR(__xludf.DUMMYFUNCTION("""COMPUTED_VALUE"""),"ITBISA-ABC-BATERAI-AA-ALKALINE")</f>
        <v>ITBISA-ABC-BATERAI-AA-ALKALINE</v>
      </c>
      <c r="B1785" s="266">
        <f>IFERROR(__xludf.DUMMYFUNCTION("""COMPUTED_VALUE"""),45951.0)</f>
        <v>45951</v>
      </c>
      <c r="C1785" s="266" t="str">
        <f>IFERROR(__xludf.DUMMYFUNCTION("""COMPUTED_VALUE"""),"KYAI KONTONG")</f>
        <v>KYAI KONTONG</v>
      </c>
      <c r="D1785" s="186">
        <f>IFERROR(__xludf.DUMMYFUNCTION("""COMPUTED_VALUE"""),1.0)</f>
        <v>1</v>
      </c>
    </row>
    <row r="1786">
      <c r="A1786" s="178" t="str">
        <f>IFERROR(__xludf.DUMMYFUNCTION("""COMPUTED_VALUE"""),"ITBISA-ABC-BATERAI-AA-ALKALINE")</f>
        <v>ITBISA-ABC-BATERAI-AA-ALKALINE</v>
      </c>
      <c r="B1786" s="266">
        <f>IFERROR(__xludf.DUMMYFUNCTION("""COMPUTED_VALUE"""),45951.0)</f>
        <v>45951</v>
      </c>
      <c r="C1786" s="266" t="str">
        <f>IFERROR(__xludf.DUMMYFUNCTION("""COMPUTED_VALUE"""),"KYAI KONTONG")</f>
        <v>KYAI KONTONG</v>
      </c>
      <c r="D1786" s="186">
        <f>IFERROR(__xludf.DUMMYFUNCTION("""COMPUTED_VALUE"""),2.0)</f>
        <v>2</v>
      </c>
    </row>
    <row r="1787">
      <c r="A1787" s="178" t="str">
        <f>IFERROR(__xludf.DUMMYFUNCTION("""COMPUTED_VALUE"""),"ITBISA-ABC-BATERAI-AA-ALKALINE")</f>
        <v>ITBISA-ABC-BATERAI-AA-ALKALINE</v>
      </c>
      <c r="B1787" s="266">
        <f>IFERROR(__xludf.DUMMYFUNCTION("""COMPUTED_VALUE"""),45951.0)</f>
        <v>45951</v>
      </c>
      <c r="C1787" s="266" t="str">
        <f>IFERROR(__xludf.DUMMYFUNCTION("""COMPUTED_VALUE"""),"KYAI KONTONG")</f>
        <v>KYAI KONTONG</v>
      </c>
      <c r="D1787" s="186">
        <f>IFERROR(__xludf.DUMMYFUNCTION("""COMPUTED_VALUE"""),2.0)</f>
        <v>2</v>
      </c>
    </row>
    <row r="1788">
      <c r="A1788" s="178" t="str">
        <f>IFERROR(__xludf.DUMMYFUNCTION("""COMPUTED_VALUE"""),"ITBISA-ABC-BATERAI-AA-ALKALINE")</f>
        <v>ITBISA-ABC-BATERAI-AA-ALKALINE</v>
      </c>
      <c r="B1788" s="266">
        <f>IFERROR(__xludf.DUMMYFUNCTION("""COMPUTED_VALUE"""),45951.0)</f>
        <v>45951</v>
      </c>
      <c r="C1788" s="266" t="str">
        <f>IFERROR(__xludf.DUMMYFUNCTION("""COMPUTED_VALUE"""),"KYAI KONTONG")</f>
        <v>KYAI KONTONG</v>
      </c>
      <c r="D1788" s="186">
        <f>IFERROR(__xludf.DUMMYFUNCTION("""COMPUTED_VALUE"""),2.0)</f>
        <v>2</v>
      </c>
    </row>
    <row r="1789">
      <c r="A1789" s="178" t="str">
        <f>IFERROR(__xludf.DUMMYFUNCTION("""COMPUTED_VALUE"""),"ITBISA-ABC-BATERAI-AA-ALKALINE")</f>
        <v>ITBISA-ABC-BATERAI-AA-ALKALINE</v>
      </c>
      <c r="B1789" s="266">
        <f>IFERROR(__xludf.DUMMYFUNCTION("""COMPUTED_VALUE"""),45951.0)</f>
        <v>45951</v>
      </c>
      <c r="C1789" s="266" t="str">
        <f>IFERROR(__xludf.DUMMYFUNCTION("""COMPUTED_VALUE"""),"KYAI KONTONG")</f>
        <v>KYAI KONTONG</v>
      </c>
      <c r="D1789" s="186">
        <f>IFERROR(__xludf.DUMMYFUNCTION("""COMPUTED_VALUE"""),2.0)</f>
        <v>2</v>
      </c>
    </row>
    <row r="1790">
      <c r="A1790" s="178" t="str">
        <f>IFERROR(__xludf.DUMMYFUNCTION("""COMPUTED_VALUE"""),"ITBISA-ABC-BATERAI-AA-ALKALINE")</f>
        <v>ITBISA-ABC-BATERAI-AA-ALKALINE</v>
      </c>
      <c r="B1790" s="266">
        <f>IFERROR(__xludf.DUMMYFUNCTION("""COMPUTED_VALUE"""),45951.0)</f>
        <v>45951</v>
      </c>
      <c r="C1790" s="266" t="str">
        <f>IFERROR(__xludf.DUMMYFUNCTION("""COMPUTED_VALUE"""),"KYAI KONTONG")</f>
        <v>KYAI KONTONG</v>
      </c>
      <c r="D1790" s="186">
        <f>IFERROR(__xludf.DUMMYFUNCTION("""COMPUTED_VALUE"""),2.0)</f>
        <v>2</v>
      </c>
    </row>
    <row r="1791">
      <c r="A1791" s="178" t="str">
        <f>IFERROR(__xludf.DUMMYFUNCTION("""COMPUTED_VALUE"""),"ITBISA-ABC-BATERAI-AA-ALKALINE")</f>
        <v>ITBISA-ABC-BATERAI-AA-ALKALINE</v>
      </c>
      <c r="B1791" s="266">
        <f>IFERROR(__xludf.DUMMYFUNCTION("""COMPUTED_VALUE"""),45951.0)</f>
        <v>45951</v>
      </c>
      <c r="C1791" s="266" t="str">
        <f>IFERROR(__xludf.DUMMYFUNCTION("""COMPUTED_VALUE"""),"KYAI KONTONG")</f>
        <v>KYAI KONTONG</v>
      </c>
      <c r="D1791" s="186">
        <f>IFERROR(__xludf.DUMMYFUNCTION("""COMPUTED_VALUE"""),6.0)</f>
        <v>6</v>
      </c>
    </row>
    <row r="1792">
      <c r="A1792" s="178" t="str">
        <f>IFERROR(__xludf.DUMMYFUNCTION("""COMPUTED_VALUE"""),"ITBISA-ABC-BATERAI-AA-ALKALINE")</f>
        <v>ITBISA-ABC-BATERAI-AA-ALKALINE</v>
      </c>
      <c r="B1792" s="266">
        <f>IFERROR(__xludf.DUMMYFUNCTION("""COMPUTED_VALUE"""),45952.0)</f>
        <v>45952</v>
      </c>
      <c r="C1792" s="266" t="str">
        <f>IFERROR(__xludf.DUMMYFUNCTION("""COMPUTED_VALUE"""),"KYAI KONTONG")</f>
        <v>KYAI KONTONG</v>
      </c>
      <c r="D1792" s="186">
        <f>IFERROR(__xludf.DUMMYFUNCTION("""COMPUTED_VALUE"""),1.0)</f>
        <v>1</v>
      </c>
    </row>
    <row r="1793">
      <c r="A1793" s="178" t="str">
        <f>IFERROR(__xludf.DUMMYFUNCTION("""COMPUTED_VALUE"""),"ITBISA-ABC-BATERAI-AA-ALKALINE")</f>
        <v>ITBISA-ABC-BATERAI-AA-ALKALINE</v>
      </c>
      <c r="B1793" s="266">
        <f>IFERROR(__xludf.DUMMYFUNCTION("""COMPUTED_VALUE"""),45952.0)</f>
        <v>45952</v>
      </c>
      <c r="C1793" s="266" t="str">
        <f>IFERROR(__xludf.DUMMYFUNCTION("""COMPUTED_VALUE"""),"KYAI KONTONG")</f>
        <v>KYAI KONTONG</v>
      </c>
      <c r="D1793" s="186">
        <f>IFERROR(__xludf.DUMMYFUNCTION("""COMPUTED_VALUE"""),1.0)</f>
        <v>1</v>
      </c>
    </row>
    <row r="1794">
      <c r="A1794" s="178" t="str">
        <f>IFERROR(__xludf.DUMMYFUNCTION("""COMPUTED_VALUE"""),"ITBISA-ABC-BATERAI-AA-ALKALINE")</f>
        <v>ITBISA-ABC-BATERAI-AA-ALKALINE</v>
      </c>
      <c r="B1794" s="266">
        <f>IFERROR(__xludf.DUMMYFUNCTION("""COMPUTED_VALUE"""),45952.0)</f>
        <v>45952</v>
      </c>
      <c r="C1794" s="266" t="str">
        <f>IFERROR(__xludf.DUMMYFUNCTION("""COMPUTED_VALUE"""),"KYAI KONTONG")</f>
        <v>KYAI KONTONG</v>
      </c>
      <c r="D1794" s="186">
        <f>IFERROR(__xludf.DUMMYFUNCTION("""COMPUTED_VALUE"""),1.0)</f>
        <v>1</v>
      </c>
    </row>
    <row r="1795">
      <c r="A1795" s="178" t="str">
        <f>IFERROR(__xludf.DUMMYFUNCTION("""COMPUTED_VALUE"""),"ITBISA-ABC-BATERAI-AA-ALKALINE")</f>
        <v>ITBISA-ABC-BATERAI-AA-ALKALINE</v>
      </c>
      <c r="B1795" s="266">
        <f>IFERROR(__xludf.DUMMYFUNCTION("""COMPUTED_VALUE"""),45952.0)</f>
        <v>45952</v>
      </c>
      <c r="C1795" s="266" t="str">
        <f>IFERROR(__xludf.DUMMYFUNCTION("""COMPUTED_VALUE"""),"KYAI KONTONG")</f>
        <v>KYAI KONTONG</v>
      </c>
      <c r="D1795" s="186">
        <f>IFERROR(__xludf.DUMMYFUNCTION("""COMPUTED_VALUE"""),2.0)</f>
        <v>2</v>
      </c>
    </row>
    <row r="1796">
      <c r="A1796" s="178" t="str">
        <f>IFERROR(__xludf.DUMMYFUNCTION("""COMPUTED_VALUE"""),"ITBISA-ABC-BATERAI-AA-ALKALINE")</f>
        <v>ITBISA-ABC-BATERAI-AA-ALKALINE</v>
      </c>
      <c r="B1796" s="266">
        <f>IFERROR(__xludf.DUMMYFUNCTION("""COMPUTED_VALUE"""),45952.0)</f>
        <v>45952</v>
      </c>
      <c r="C1796" s="266" t="str">
        <f>IFERROR(__xludf.DUMMYFUNCTION("""COMPUTED_VALUE"""),"KYAI KONTONG")</f>
        <v>KYAI KONTONG</v>
      </c>
      <c r="D1796" s="186">
        <f>IFERROR(__xludf.DUMMYFUNCTION("""COMPUTED_VALUE"""),2.0)</f>
        <v>2</v>
      </c>
    </row>
    <row r="1797">
      <c r="A1797" s="178" t="str">
        <f>IFERROR(__xludf.DUMMYFUNCTION("""COMPUTED_VALUE"""),"ITBISA-ABC-BATERAI-AA-ALKALINE")</f>
        <v>ITBISA-ABC-BATERAI-AA-ALKALINE</v>
      </c>
      <c r="B1797" s="266">
        <f>IFERROR(__xludf.DUMMYFUNCTION("""COMPUTED_VALUE"""),45952.0)</f>
        <v>45952</v>
      </c>
      <c r="C1797" s="266" t="str">
        <f>IFERROR(__xludf.DUMMYFUNCTION("""COMPUTED_VALUE"""),"KYAI KONTONG")</f>
        <v>KYAI KONTONG</v>
      </c>
      <c r="D1797" s="186">
        <f>IFERROR(__xludf.DUMMYFUNCTION("""COMPUTED_VALUE"""),2.0)</f>
        <v>2</v>
      </c>
    </row>
    <row r="1798">
      <c r="A1798" s="178" t="str">
        <f>IFERROR(__xludf.DUMMYFUNCTION("""COMPUTED_VALUE"""),"ITBISA-ABC-BATERAI-AA-ALKALINE")</f>
        <v>ITBISA-ABC-BATERAI-AA-ALKALINE</v>
      </c>
      <c r="B1798" s="266">
        <f>IFERROR(__xludf.DUMMYFUNCTION("""COMPUTED_VALUE"""),45953.0)</f>
        <v>45953</v>
      </c>
      <c r="C1798" s="266" t="str">
        <f>IFERROR(__xludf.DUMMYFUNCTION("""COMPUTED_VALUE"""),"KERTASARI CIAMIS")</f>
        <v>KERTASARI CIAMIS</v>
      </c>
      <c r="D1798" s="186">
        <f>IFERROR(__xludf.DUMMYFUNCTION("""COMPUTED_VALUE"""),1.0)</f>
        <v>1</v>
      </c>
    </row>
    <row r="1799">
      <c r="A1799" s="178" t="str">
        <f>IFERROR(__xludf.DUMMYFUNCTION("""COMPUTED_VALUE"""),"ITBISA-ABC-BATERAI-AA-ALKALINE")</f>
        <v>ITBISA-ABC-BATERAI-AA-ALKALINE</v>
      </c>
      <c r="B1799" s="266">
        <f>IFERROR(__xludf.DUMMYFUNCTION("""COMPUTED_VALUE"""),45953.0)</f>
        <v>45953</v>
      </c>
      <c r="C1799" s="266" t="str">
        <f>IFERROR(__xludf.DUMMYFUNCTION("""COMPUTED_VALUE"""),"KYAI KONTONG")</f>
        <v>KYAI KONTONG</v>
      </c>
      <c r="D1799" s="186">
        <f>IFERROR(__xludf.DUMMYFUNCTION("""COMPUTED_VALUE"""),1.0)</f>
        <v>1</v>
      </c>
    </row>
    <row r="1800">
      <c r="A1800" s="178" t="str">
        <f>IFERROR(__xludf.DUMMYFUNCTION("""COMPUTED_VALUE"""),"ITBISA-ABC-BATERAI-AA-ALKALINE")</f>
        <v>ITBISA-ABC-BATERAI-AA-ALKALINE</v>
      </c>
      <c r="B1800" s="266">
        <f>IFERROR(__xludf.DUMMYFUNCTION("""COMPUTED_VALUE"""),45953.0)</f>
        <v>45953</v>
      </c>
      <c r="C1800" s="266" t="str">
        <f>IFERROR(__xludf.DUMMYFUNCTION("""COMPUTED_VALUE"""),"KYAI KONTONG")</f>
        <v>KYAI KONTONG</v>
      </c>
      <c r="D1800" s="186">
        <f>IFERROR(__xludf.DUMMYFUNCTION("""COMPUTED_VALUE"""),2.0)</f>
        <v>2</v>
      </c>
    </row>
    <row r="1801">
      <c r="A1801" s="178" t="str">
        <f>IFERROR(__xludf.DUMMYFUNCTION("""COMPUTED_VALUE"""),"ITBISA-ABC-BATERAI-AA-ALKALINE")</f>
        <v>ITBISA-ABC-BATERAI-AA-ALKALINE</v>
      </c>
      <c r="B1801" s="266">
        <f>IFERROR(__xludf.DUMMYFUNCTION("""COMPUTED_VALUE"""),45954.0)</f>
        <v>45954</v>
      </c>
      <c r="C1801" s="266" t="str">
        <f>IFERROR(__xludf.DUMMYFUNCTION("""COMPUTED_VALUE"""),"KYAI KONTONG")</f>
        <v>KYAI KONTONG</v>
      </c>
      <c r="D1801" s="186">
        <f>IFERROR(__xludf.DUMMYFUNCTION("""COMPUTED_VALUE"""),1.0)</f>
        <v>1</v>
      </c>
    </row>
    <row r="1802">
      <c r="A1802" s="178" t="str">
        <f>IFERROR(__xludf.DUMMYFUNCTION("""COMPUTED_VALUE"""),"ITBISA-ABC-BATERAI-AA-ALKALINE")</f>
        <v>ITBISA-ABC-BATERAI-AA-ALKALINE</v>
      </c>
      <c r="B1802" s="266">
        <f>IFERROR(__xludf.DUMMYFUNCTION("""COMPUTED_VALUE"""),45954.0)</f>
        <v>45954</v>
      </c>
      <c r="C1802" s="266" t="str">
        <f>IFERROR(__xludf.DUMMYFUNCTION("""COMPUTED_VALUE"""),"KYAI KONTONG")</f>
        <v>KYAI KONTONG</v>
      </c>
      <c r="D1802" s="186">
        <f>IFERROR(__xludf.DUMMYFUNCTION("""COMPUTED_VALUE"""),2.0)</f>
        <v>2</v>
      </c>
    </row>
    <row r="1803">
      <c r="A1803" s="178" t="str">
        <f>IFERROR(__xludf.DUMMYFUNCTION("""COMPUTED_VALUE"""),"ITBISA-ABC-BATERAI-AA-ALKALINE")</f>
        <v>ITBISA-ABC-BATERAI-AA-ALKALINE</v>
      </c>
      <c r="B1803" s="266">
        <f>IFERROR(__xludf.DUMMYFUNCTION("""COMPUTED_VALUE"""),45954.0)</f>
        <v>45954</v>
      </c>
      <c r="C1803" s="266" t="str">
        <f>IFERROR(__xludf.DUMMYFUNCTION("""COMPUTED_VALUE"""),"KYAI KONTONG")</f>
        <v>KYAI KONTONG</v>
      </c>
      <c r="D1803" s="186">
        <f>IFERROR(__xludf.DUMMYFUNCTION("""COMPUTED_VALUE"""),2.0)</f>
        <v>2</v>
      </c>
    </row>
    <row r="1804">
      <c r="A1804" s="178" t="str">
        <f>IFERROR(__xludf.DUMMYFUNCTION("""COMPUTED_VALUE"""),"ITBISA-ABC-BATERAI-AA-ALKALINE")</f>
        <v>ITBISA-ABC-BATERAI-AA-ALKALINE</v>
      </c>
      <c r="B1804" s="266">
        <f>IFERROR(__xludf.DUMMYFUNCTION("""COMPUTED_VALUE"""),45954.0)</f>
        <v>45954</v>
      </c>
      <c r="C1804" s="266" t="str">
        <f>IFERROR(__xludf.DUMMYFUNCTION("""COMPUTED_VALUE"""),"KYAI KONTONG")</f>
        <v>KYAI KONTONG</v>
      </c>
      <c r="D1804" s="186">
        <f>IFERROR(__xludf.DUMMYFUNCTION("""COMPUTED_VALUE"""),4.0)</f>
        <v>4</v>
      </c>
    </row>
    <row r="1805">
      <c r="A1805" s="178" t="str">
        <f>IFERROR(__xludf.DUMMYFUNCTION("""COMPUTED_VALUE"""),"ITBISA-ABC-BATERAI-AA-ALKALINE")</f>
        <v>ITBISA-ABC-BATERAI-AA-ALKALINE</v>
      </c>
      <c r="B1805" s="266">
        <f>IFERROR(__xludf.DUMMYFUNCTION("""COMPUTED_VALUE"""),45955.0)</f>
        <v>45955</v>
      </c>
      <c r="C1805" s="266" t="str">
        <f>IFERROR(__xludf.DUMMYFUNCTION("""COMPUTED_VALUE"""),"KYAI KONTONG")</f>
        <v>KYAI KONTONG</v>
      </c>
      <c r="D1805" s="186">
        <f>IFERROR(__xludf.DUMMYFUNCTION("""COMPUTED_VALUE"""),1.0)</f>
        <v>1</v>
      </c>
    </row>
    <row r="1806">
      <c r="A1806" s="178" t="str">
        <f>IFERROR(__xludf.DUMMYFUNCTION("""COMPUTED_VALUE"""),"ITBISA-ABC-BATERAI-AA-ALKALINE")</f>
        <v>ITBISA-ABC-BATERAI-AA-ALKALINE</v>
      </c>
      <c r="B1806" s="266">
        <f>IFERROR(__xludf.DUMMYFUNCTION("""COMPUTED_VALUE"""),45955.0)</f>
        <v>45955</v>
      </c>
      <c r="C1806" s="266" t="str">
        <f>IFERROR(__xludf.DUMMYFUNCTION("""COMPUTED_VALUE"""),"KYAI KONTONG")</f>
        <v>KYAI KONTONG</v>
      </c>
      <c r="D1806" s="186">
        <f>IFERROR(__xludf.DUMMYFUNCTION("""COMPUTED_VALUE"""),1.0)</f>
        <v>1</v>
      </c>
    </row>
    <row r="1807">
      <c r="A1807" s="178" t="str">
        <f>IFERROR(__xludf.DUMMYFUNCTION("""COMPUTED_VALUE"""),"ITBISA-ABC-BATERAI-AA-ALKALINE")</f>
        <v>ITBISA-ABC-BATERAI-AA-ALKALINE</v>
      </c>
      <c r="B1807" s="266">
        <f>IFERROR(__xludf.DUMMYFUNCTION("""COMPUTED_VALUE"""),45955.0)</f>
        <v>45955</v>
      </c>
      <c r="C1807" s="266" t="str">
        <f>IFERROR(__xludf.DUMMYFUNCTION("""COMPUTED_VALUE"""),"KYAI KONTONG")</f>
        <v>KYAI KONTONG</v>
      </c>
      <c r="D1807" s="186">
        <f>IFERROR(__xludf.DUMMYFUNCTION("""COMPUTED_VALUE"""),2.0)</f>
        <v>2</v>
      </c>
    </row>
    <row r="1808">
      <c r="A1808" s="178" t="str">
        <f>IFERROR(__xludf.DUMMYFUNCTION("""COMPUTED_VALUE"""),"ITBISA-ABC-BATERAI-AA-ALKALINE")</f>
        <v>ITBISA-ABC-BATERAI-AA-ALKALINE</v>
      </c>
      <c r="B1808" s="266">
        <f>IFERROR(__xludf.DUMMYFUNCTION("""COMPUTED_VALUE"""),45955.0)</f>
        <v>45955</v>
      </c>
      <c r="C1808" s="266" t="str">
        <f>IFERROR(__xludf.DUMMYFUNCTION("""COMPUTED_VALUE"""),"KYAI KONTONG")</f>
        <v>KYAI KONTONG</v>
      </c>
      <c r="D1808" s="186">
        <f>IFERROR(__xludf.DUMMYFUNCTION("""COMPUTED_VALUE"""),2.0)</f>
        <v>2</v>
      </c>
    </row>
    <row r="1809">
      <c r="A1809" s="178" t="str">
        <f>IFERROR(__xludf.DUMMYFUNCTION("""COMPUTED_VALUE"""),"ITBISA-ABC-BATERAI-AA-ALKALINE")</f>
        <v>ITBISA-ABC-BATERAI-AA-ALKALINE</v>
      </c>
      <c r="B1809" s="266">
        <f>IFERROR(__xludf.DUMMYFUNCTION("""COMPUTED_VALUE"""),45955.0)</f>
        <v>45955</v>
      </c>
      <c r="C1809" s="266" t="str">
        <f>IFERROR(__xludf.DUMMYFUNCTION("""COMPUTED_VALUE"""),"KYAI KONTONG")</f>
        <v>KYAI KONTONG</v>
      </c>
      <c r="D1809" s="186">
        <f>IFERROR(__xludf.DUMMYFUNCTION("""COMPUTED_VALUE"""),2.0)</f>
        <v>2</v>
      </c>
    </row>
    <row r="1810">
      <c r="A1810" s="178" t="str">
        <f>IFERROR(__xludf.DUMMYFUNCTION("""COMPUTED_VALUE"""),"ITBISA-ABC-BATERAI-AA-ALKALINE")</f>
        <v>ITBISA-ABC-BATERAI-AA-ALKALINE</v>
      </c>
      <c r="B1810" s="266">
        <f>IFERROR(__xludf.DUMMYFUNCTION("""COMPUTED_VALUE"""),45955.0)</f>
        <v>45955</v>
      </c>
      <c r="C1810" s="266" t="str">
        <f>IFERROR(__xludf.DUMMYFUNCTION("""COMPUTED_VALUE"""),"KYAI KONTONG")</f>
        <v>KYAI KONTONG</v>
      </c>
      <c r="D1810" s="186">
        <f>IFERROR(__xludf.DUMMYFUNCTION("""COMPUTED_VALUE"""),2.0)</f>
        <v>2</v>
      </c>
    </row>
    <row r="1811">
      <c r="A1811" s="178" t="str">
        <f>IFERROR(__xludf.DUMMYFUNCTION("""COMPUTED_VALUE"""),"ITBISA-ABC-BATERAI-AA-ALKALINE")</f>
        <v>ITBISA-ABC-BATERAI-AA-ALKALINE</v>
      </c>
      <c r="B1811" s="266">
        <f>IFERROR(__xludf.DUMMYFUNCTION("""COMPUTED_VALUE"""),45955.0)</f>
        <v>45955</v>
      </c>
      <c r="C1811" s="266" t="str">
        <f>IFERROR(__xludf.DUMMYFUNCTION("""COMPUTED_VALUE"""),"KYAI KONTONG")</f>
        <v>KYAI KONTONG</v>
      </c>
      <c r="D1811" s="186">
        <f>IFERROR(__xludf.DUMMYFUNCTION("""COMPUTED_VALUE"""),2.0)</f>
        <v>2</v>
      </c>
    </row>
    <row r="1812">
      <c r="A1812" s="178" t="str">
        <f>IFERROR(__xludf.DUMMYFUNCTION("""COMPUTED_VALUE"""),"ITBISA-ABC-BATERAI-AA-ALKALINE")</f>
        <v>ITBISA-ABC-BATERAI-AA-ALKALINE</v>
      </c>
      <c r="B1812" s="266">
        <f>IFERROR(__xludf.DUMMYFUNCTION("""COMPUTED_VALUE"""),45955.0)</f>
        <v>45955</v>
      </c>
      <c r="C1812" s="266" t="str">
        <f>IFERROR(__xludf.DUMMYFUNCTION("""COMPUTED_VALUE"""),"KYAI KONTONG")</f>
        <v>KYAI KONTONG</v>
      </c>
      <c r="D1812" s="186">
        <f>IFERROR(__xludf.DUMMYFUNCTION("""COMPUTED_VALUE"""),2.0)</f>
        <v>2</v>
      </c>
    </row>
    <row r="1813">
      <c r="A1813" s="178" t="str">
        <f>IFERROR(__xludf.DUMMYFUNCTION("""COMPUTED_VALUE"""),"ITBISA-ABC-BATERAI-AA-ALKALINE")</f>
        <v>ITBISA-ABC-BATERAI-AA-ALKALINE</v>
      </c>
      <c r="B1813" s="266">
        <f>IFERROR(__xludf.DUMMYFUNCTION("""COMPUTED_VALUE"""),45955.0)</f>
        <v>45955</v>
      </c>
      <c r="C1813" s="266" t="str">
        <f>IFERROR(__xludf.DUMMYFUNCTION("""COMPUTED_VALUE"""),"KYAI KONTONG")</f>
        <v>KYAI KONTONG</v>
      </c>
      <c r="D1813" s="186">
        <f>IFERROR(__xludf.DUMMYFUNCTION("""COMPUTED_VALUE"""),2.0)</f>
        <v>2</v>
      </c>
    </row>
    <row r="1814">
      <c r="A1814" s="178" t="str">
        <f>IFERROR(__xludf.DUMMYFUNCTION("""COMPUTED_VALUE"""),"ITBISA-ABC-BATERAI-AA-ALKALINE")</f>
        <v>ITBISA-ABC-BATERAI-AA-ALKALINE</v>
      </c>
      <c r="B1814" s="266">
        <f>IFERROR(__xludf.DUMMYFUNCTION("""COMPUTED_VALUE"""),45955.0)</f>
        <v>45955</v>
      </c>
      <c r="C1814" s="266" t="str">
        <f>IFERROR(__xludf.DUMMYFUNCTION("""COMPUTED_VALUE"""),"KYAI KONTONG")</f>
        <v>KYAI KONTONG</v>
      </c>
      <c r="D1814" s="186">
        <f>IFERROR(__xludf.DUMMYFUNCTION("""COMPUTED_VALUE"""),2.0)</f>
        <v>2</v>
      </c>
    </row>
    <row r="1815">
      <c r="A1815" s="178" t="str">
        <f>IFERROR(__xludf.DUMMYFUNCTION("""COMPUTED_VALUE"""),"ITBISA-ABC-BATERAI-AA-ALKALINE")</f>
        <v>ITBISA-ABC-BATERAI-AA-ALKALINE</v>
      </c>
      <c r="B1815" s="266">
        <f>IFERROR(__xludf.DUMMYFUNCTION("""COMPUTED_VALUE"""),45955.0)</f>
        <v>45955</v>
      </c>
      <c r="C1815" s="266" t="str">
        <f>IFERROR(__xludf.DUMMYFUNCTION("""COMPUTED_VALUE"""),"KYAI KONTONG")</f>
        <v>KYAI KONTONG</v>
      </c>
      <c r="D1815" s="186">
        <f>IFERROR(__xludf.DUMMYFUNCTION("""COMPUTED_VALUE"""),2.0)</f>
        <v>2</v>
      </c>
    </row>
    <row r="1816">
      <c r="A1816" s="178" t="str">
        <f>IFERROR(__xludf.DUMMYFUNCTION("""COMPUTED_VALUE"""),"ITBISA-ABC-BATERAI-AA-ALKALINE")</f>
        <v>ITBISA-ABC-BATERAI-AA-ALKALINE</v>
      </c>
      <c r="B1816" s="266">
        <f>IFERROR(__xludf.DUMMYFUNCTION("""COMPUTED_VALUE"""),45955.0)</f>
        <v>45955</v>
      </c>
      <c r="C1816" s="266" t="str">
        <f>IFERROR(__xludf.DUMMYFUNCTION("""COMPUTED_VALUE"""),"KYAI KONTONG")</f>
        <v>KYAI KONTONG</v>
      </c>
      <c r="D1816" s="186">
        <f>IFERROR(__xludf.DUMMYFUNCTION("""COMPUTED_VALUE"""),2.0)</f>
        <v>2</v>
      </c>
    </row>
    <row r="1817">
      <c r="A1817" s="178" t="str">
        <f>IFERROR(__xludf.DUMMYFUNCTION("""COMPUTED_VALUE"""),"ITBISA-ABC-BATERAI-AA-ALKALINE")</f>
        <v>ITBISA-ABC-BATERAI-AA-ALKALINE</v>
      </c>
      <c r="B1817" s="266">
        <f>IFERROR(__xludf.DUMMYFUNCTION("""COMPUTED_VALUE"""),45955.0)</f>
        <v>45955</v>
      </c>
      <c r="C1817" s="266" t="str">
        <f>IFERROR(__xludf.DUMMYFUNCTION("""COMPUTED_VALUE"""),"KYAI KONTONG")</f>
        <v>KYAI KONTONG</v>
      </c>
      <c r="D1817" s="186">
        <f>IFERROR(__xludf.DUMMYFUNCTION("""COMPUTED_VALUE"""),4.0)</f>
        <v>4</v>
      </c>
    </row>
    <row r="1818">
      <c r="A1818" s="178" t="str">
        <f>IFERROR(__xludf.DUMMYFUNCTION("""COMPUTED_VALUE"""),"ITBISA-ABC-BATERAI-AA-ALKALINE")</f>
        <v>ITBISA-ABC-BATERAI-AA-ALKALINE</v>
      </c>
      <c r="B1818" s="266">
        <f>IFERROR(__xludf.DUMMYFUNCTION("""COMPUTED_VALUE"""),45955.0)</f>
        <v>45955</v>
      </c>
      <c r="C1818" s="266" t="str">
        <f>IFERROR(__xludf.DUMMYFUNCTION("""COMPUTED_VALUE"""),"KYAI KONTONG")</f>
        <v>KYAI KONTONG</v>
      </c>
      <c r="D1818" s="186">
        <f>IFERROR(__xludf.DUMMYFUNCTION("""COMPUTED_VALUE"""),5.0)</f>
        <v>5</v>
      </c>
    </row>
    <row r="1819">
      <c r="A1819" s="178" t="str">
        <f>IFERROR(__xludf.DUMMYFUNCTION("""COMPUTED_VALUE"""),"ITBISA-ABC-BATERAI-AA-ALKALINE")</f>
        <v>ITBISA-ABC-BATERAI-AA-ALKALINE</v>
      </c>
      <c r="B1819" s="266">
        <f>IFERROR(__xludf.DUMMYFUNCTION("""COMPUTED_VALUE"""),45956.0)</f>
        <v>45956</v>
      </c>
      <c r="C1819" s="266" t="str">
        <f>IFERROR(__xludf.DUMMYFUNCTION("""COMPUTED_VALUE"""),"KERTASARI CIAMIS")</f>
        <v>KERTASARI CIAMIS</v>
      </c>
      <c r="D1819" s="186">
        <f>IFERROR(__xludf.DUMMYFUNCTION("""COMPUTED_VALUE"""),4.0)</f>
        <v>4</v>
      </c>
    </row>
    <row r="1820">
      <c r="A1820" s="178" t="str">
        <f>IFERROR(__xludf.DUMMYFUNCTION("""COMPUTED_VALUE"""),"ITBISA-ABC-BATERAI-AA-ALKALINE")</f>
        <v>ITBISA-ABC-BATERAI-AA-ALKALINE</v>
      </c>
      <c r="B1820" s="266">
        <f>IFERROR(__xludf.DUMMYFUNCTION("""COMPUTED_VALUE"""),45956.0)</f>
        <v>45956</v>
      </c>
      <c r="C1820" s="266" t="str">
        <f>IFERROR(__xludf.DUMMYFUNCTION("""COMPUTED_VALUE"""),"KYAI KONTONG")</f>
        <v>KYAI KONTONG</v>
      </c>
      <c r="D1820" s="186">
        <f>IFERROR(__xludf.DUMMYFUNCTION("""COMPUTED_VALUE"""),1.0)</f>
        <v>1</v>
      </c>
    </row>
    <row r="1821">
      <c r="A1821" s="178" t="str">
        <f>IFERROR(__xludf.DUMMYFUNCTION("""COMPUTED_VALUE"""),"ITBISA-ABC-BATERAI-AA-ALKALINE")</f>
        <v>ITBISA-ABC-BATERAI-AA-ALKALINE</v>
      </c>
      <c r="B1821" s="266">
        <f>IFERROR(__xludf.DUMMYFUNCTION("""COMPUTED_VALUE"""),45956.0)</f>
        <v>45956</v>
      </c>
      <c r="C1821" s="266" t="str">
        <f>IFERROR(__xludf.DUMMYFUNCTION("""COMPUTED_VALUE"""),"KYAI KONTONG")</f>
        <v>KYAI KONTONG</v>
      </c>
      <c r="D1821" s="186">
        <f>IFERROR(__xludf.DUMMYFUNCTION("""COMPUTED_VALUE"""),1.0)</f>
        <v>1</v>
      </c>
    </row>
    <row r="1822">
      <c r="A1822" s="178" t="str">
        <f>IFERROR(__xludf.DUMMYFUNCTION("""COMPUTED_VALUE"""),"ITBISA-ABC-BATERAI-AA-ALKALINE")</f>
        <v>ITBISA-ABC-BATERAI-AA-ALKALINE</v>
      </c>
      <c r="B1822" s="266">
        <f>IFERROR(__xludf.DUMMYFUNCTION("""COMPUTED_VALUE"""),45956.0)</f>
        <v>45956</v>
      </c>
      <c r="C1822" s="266" t="str">
        <f>IFERROR(__xludf.DUMMYFUNCTION("""COMPUTED_VALUE"""),"KYAI KONTONG")</f>
        <v>KYAI KONTONG</v>
      </c>
      <c r="D1822" s="186">
        <f>IFERROR(__xludf.DUMMYFUNCTION("""COMPUTED_VALUE"""),2.0)</f>
        <v>2</v>
      </c>
    </row>
    <row r="1823">
      <c r="A1823" s="178" t="str">
        <f>IFERROR(__xludf.DUMMYFUNCTION("""COMPUTED_VALUE"""),"ITBISA-ABC-BATERAI-AA-ALKALINE")</f>
        <v>ITBISA-ABC-BATERAI-AA-ALKALINE</v>
      </c>
      <c r="B1823" s="266">
        <f>IFERROR(__xludf.DUMMYFUNCTION("""COMPUTED_VALUE"""),45956.0)</f>
        <v>45956</v>
      </c>
      <c r="C1823" s="266" t="str">
        <f>IFERROR(__xludf.DUMMYFUNCTION("""COMPUTED_VALUE"""),"KYAI KONTONG")</f>
        <v>KYAI KONTONG</v>
      </c>
      <c r="D1823" s="186">
        <f>IFERROR(__xludf.DUMMYFUNCTION("""COMPUTED_VALUE"""),2.0)</f>
        <v>2</v>
      </c>
    </row>
    <row r="1824">
      <c r="A1824" s="178" t="str">
        <f>IFERROR(__xludf.DUMMYFUNCTION("""COMPUTED_VALUE"""),"ITBISA-ABC-BATERAI-AA-ALKALINE")</f>
        <v>ITBISA-ABC-BATERAI-AA-ALKALINE</v>
      </c>
      <c r="B1824" s="266">
        <f>IFERROR(__xludf.DUMMYFUNCTION("""COMPUTED_VALUE"""),45956.0)</f>
        <v>45956</v>
      </c>
      <c r="C1824" s="266" t="str">
        <f>IFERROR(__xludf.DUMMYFUNCTION("""COMPUTED_VALUE"""),"KYAI KONTONG")</f>
        <v>KYAI KONTONG</v>
      </c>
      <c r="D1824" s="186">
        <f>IFERROR(__xludf.DUMMYFUNCTION("""COMPUTED_VALUE"""),3.0)</f>
        <v>3</v>
      </c>
    </row>
    <row r="1825">
      <c r="A1825" s="178" t="str">
        <f>IFERROR(__xludf.DUMMYFUNCTION("""COMPUTED_VALUE"""),"ITBISA-ABC-BATERAI-AA-ALKALINE")</f>
        <v>ITBISA-ABC-BATERAI-AA-ALKALINE</v>
      </c>
      <c r="B1825" s="266">
        <f>IFERROR(__xludf.DUMMYFUNCTION("""COMPUTED_VALUE"""),45957.0)</f>
        <v>45957</v>
      </c>
      <c r="C1825" s="266" t="str">
        <f>IFERROR(__xludf.DUMMYFUNCTION("""COMPUTED_VALUE"""),"KYAI KONTONG")</f>
        <v>KYAI KONTONG</v>
      </c>
      <c r="D1825" s="186">
        <f>IFERROR(__xludf.DUMMYFUNCTION("""COMPUTED_VALUE"""),2.0)</f>
        <v>2</v>
      </c>
    </row>
    <row r="1826">
      <c r="A1826" s="178" t="str">
        <f>IFERROR(__xludf.DUMMYFUNCTION("""COMPUTED_VALUE"""),"ITBISA-ABC-BATERAI-AA-ALKALINE")</f>
        <v>ITBISA-ABC-BATERAI-AA-ALKALINE</v>
      </c>
      <c r="B1826" s="266">
        <f>IFERROR(__xludf.DUMMYFUNCTION("""COMPUTED_VALUE"""),45957.0)</f>
        <v>45957</v>
      </c>
      <c r="C1826" s="266" t="str">
        <f>IFERROR(__xludf.DUMMYFUNCTION("""COMPUTED_VALUE"""),"KYAI KONTONG")</f>
        <v>KYAI KONTONG</v>
      </c>
      <c r="D1826" s="186">
        <f>IFERROR(__xludf.DUMMYFUNCTION("""COMPUTED_VALUE"""),2.0)</f>
        <v>2</v>
      </c>
    </row>
    <row r="1827">
      <c r="A1827" s="178" t="str">
        <f>IFERROR(__xludf.DUMMYFUNCTION("""COMPUTED_VALUE"""),"ITBISA-ABC-BATERAI-AA-ALKALINE")</f>
        <v>ITBISA-ABC-BATERAI-AA-ALKALINE</v>
      </c>
      <c r="B1827" s="266">
        <f>IFERROR(__xludf.DUMMYFUNCTION("""COMPUTED_VALUE"""),45957.0)</f>
        <v>45957</v>
      </c>
      <c r="C1827" s="266" t="str">
        <f>IFERROR(__xludf.DUMMYFUNCTION("""COMPUTED_VALUE"""),"KYAI KONTONG")</f>
        <v>KYAI KONTONG</v>
      </c>
      <c r="D1827" s="186">
        <f>IFERROR(__xludf.DUMMYFUNCTION("""COMPUTED_VALUE"""),6.0)</f>
        <v>6</v>
      </c>
    </row>
    <row r="1828">
      <c r="A1828" s="178" t="str">
        <f>IFERROR(__xludf.DUMMYFUNCTION("""COMPUTED_VALUE"""),"ITBISA-ABC-BATERAI-AA-ALKALINE")</f>
        <v>ITBISA-ABC-BATERAI-AA-ALKALINE</v>
      </c>
      <c r="B1828" s="266">
        <f>IFERROR(__xludf.DUMMYFUNCTION("""COMPUTED_VALUE"""),45958.0)</f>
        <v>45958</v>
      </c>
      <c r="C1828" s="266" t="str">
        <f>IFERROR(__xludf.DUMMYFUNCTION("""COMPUTED_VALUE"""),"KYAI KONTONG")</f>
        <v>KYAI KONTONG</v>
      </c>
      <c r="D1828" s="186">
        <f>IFERROR(__xludf.DUMMYFUNCTION("""COMPUTED_VALUE"""),16.0)</f>
        <v>16</v>
      </c>
    </row>
    <row r="1829">
      <c r="A1829" s="178" t="str">
        <f>IFERROR(__xludf.DUMMYFUNCTION("""COMPUTED_VALUE"""),"ITBISA-ABC-BATERAI-AA-ALKALINE")</f>
        <v>ITBISA-ABC-BATERAI-AA-ALKALINE</v>
      </c>
      <c r="B1829" s="266">
        <f>IFERROR(__xludf.DUMMYFUNCTION("""COMPUTED_VALUE"""),45959.0)</f>
        <v>45959</v>
      </c>
      <c r="C1829" s="266" t="str">
        <f>IFERROR(__xludf.DUMMYFUNCTION("""COMPUTED_VALUE"""),"KYAI KONTONG")</f>
        <v>KYAI KONTONG</v>
      </c>
      <c r="D1829" s="186">
        <f>IFERROR(__xludf.DUMMYFUNCTION("""COMPUTED_VALUE"""),1.0)</f>
        <v>1</v>
      </c>
    </row>
    <row r="1830">
      <c r="A1830" s="178" t="str">
        <f>IFERROR(__xludf.DUMMYFUNCTION("""COMPUTED_VALUE"""),"ITBISA-ABC-BATERAI-AA-ALKALINE")</f>
        <v>ITBISA-ABC-BATERAI-AA-ALKALINE</v>
      </c>
      <c r="B1830" s="266">
        <f>IFERROR(__xludf.DUMMYFUNCTION("""COMPUTED_VALUE"""),45959.0)</f>
        <v>45959</v>
      </c>
      <c r="C1830" s="266" t="str">
        <f>IFERROR(__xludf.DUMMYFUNCTION("""COMPUTED_VALUE"""),"KYAI KONTONG")</f>
        <v>KYAI KONTONG</v>
      </c>
      <c r="D1830" s="186">
        <f>IFERROR(__xludf.DUMMYFUNCTION("""COMPUTED_VALUE"""),1.0)</f>
        <v>1</v>
      </c>
    </row>
    <row r="1831">
      <c r="A1831" s="178" t="str">
        <f>IFERROR(__xludf.DUMMYFUNCTION("""COMPUTED_VALUE"""),"ITBISA-ABC-BATERAI-AA-ALKALINE")</f>
        <v>ITBISA-ABC-BATERAI-AA-ALKALINE</v>
      </c>
      <c r="B1831" s="266">
        <f>IFERROR(__xludf.DUMMYFUNCTION("""COMPUTED_VALUE"""),45959.0)</f>
        <v>45959</v>
      </c>
      <c r="C1831" s="266" t="str">
        <f>IFERROR(__xludf.DUMMYFUNCTION("""COMPUTED_VALUE"""),"KYAI KONTONG")</f>
        <v>KYAI KONTONG</v>
      </c>
      <c r="D1831" s="186">
        <f>IFERROR(__xludf.DUMMYFUNCTION("""COMPUTED_VALUE"""),1.0)</f>
        <v>1</v>
      </c>
    </row>
    <row r="1832">
      <c r="A1832" s="178" t="str">
        <f>IFERROR(__xludf.DUMMYFUNCTION("""COMPUTED_VALUE"""),"ITBISA-ABC-BATERAI-AA-ALKALINE")</f>
        <v>ITBISA-ABC-BATERAI-AA-ALKALINE</v>
      </c>
      <c r="B1832" s="266">
        <f>IFERROR(__xludf.DUMMYFUNCTION("""COMPUTED_VALUE"""),45959.0)</f>
        <v>45959</v>
      </c>
      <c r="C1832" s="266" t="str">
        <f>IFERROR(__xludf.DUMMYFUNCTION("""COMPUTED_VALUE"""),"KYAI KONTONG")</f>
        <v>KYAI KONTONG</v>
      </c>
      <c r="D1832" s="186">
        <f>IFERROR(__xludf.DUMMYFUNCTION("""COMPUTED_VALUE"""),1.0)</f>
        <v>1</v>
      </c>
    </row>
    <row r="1833">
      <c r="A1833" s="178" t="str">
        <f>IFERROR(__xludf.DUMMYFUNCTION("""COMPUTED_VALUE"""),"ITBISA-ABC-BATERAI-AA-ALKALINE")</f>
        <v>ITBISA-ABC-BATERAI-AA-ALKALINE</v>
      </c>
      <c r="B1833" s="266">
        <f>IFERROR(__xludf.DUMMYFUNCTION("""COMPUTED_VALUE"""),45959.0)</f>
        <v>45959</v>
      </c>
      <c r="C1833" s="266" t="str">
        <f>IFERROR(__xludf.DUMMYFUNCTION("""COMPUTED_VALUE"""),"KYAI KONTONG")</f>
        <v>KYAI KONTONG</v>
      </c>
      <c r="D1833" s="186">
        <f>IFERROR(__xludf.DUMMYFUNCTION("""COMPUTED_VALUE"""),2.0)</f>
        <v>2</v>
      </c>
    </row>
    <row r="1834">
      <c r="A1834" s="178" t="str">
        <f>IFERROR(__xludf.DUMMYFUNCTION("""COMPUTED_VALUE"""),"ITBISA-ABC-BATERAI-AA-ALKALINE")</f>
        <v>ITBISA-ABC-BATERAI-AA-ALKALINE</v>
      </c>
      <c r="B1834" s="266">
        <f>IFERROR(__xludf.DUMMYFUNCTION("""COMPUTED_VALUE"""),45959.0)</f>
        <v>45959</v>
      </c>
      <c r="C1834" s="266" t="str">
        <f>IFERROR(__xludf.DUMMYFUNCTION("""COMPUTED_VALUE"""),"KYAI KONTONG")</f>
        <v>KYAI KONTONG</v>
      </c>
      <c r="D1834" s="186">
        <f>IFERROR(__xludf.DUMMYFUNCTION("""COMPUTED_VALUE"""),2.0)</f>
        <v>2</v>
      </c>
    </row>
    <row r="1835">
      <c r="A1835" s="178" t="str">
        <f>IFERROR(__xludf.DUMMYFUNCTION("""COMPUTED_VALUE"""),"ITBISA-ABC-BATERAI-AA-ALKALINE")</f>
        <v>ITBISA-ABC-BATERAI-AA-ALKALINE</v>
      </c>
      <c r="B1835" s="266">
        <f>IFERROR(__xludf.DUMMYFUNCTION("""COMPUTED_VALUE"""),45960.0)</f>
        <v>45960</v>
      </c>
      <c r="C1835" s="266" t="str">
        <f>IFERROR(__xludf.DUMMYFUNCTION("""COMPUTED_VALUE"""),"KERTASARI CIAMIS")</f>
        <v>KERTASARI CIAMIS</v>
      </c>
      <c r="D1835" s="186">
        <f>IFERROR(__xludf.DUMMYFUNCTION("""COMPUTED_VALUE"""),2.0)</f>
        <v>2</v>
      </c>
    </row>
    <row r="1836">
      <c r="A1836" s="178" t="str">
        <f>IFERROR(__xludf.DUMMYFUNCTION("""COMPUTED_VALUE"""),"ITBISA-ABC-BATERAI-AA-ALKALINE")</f>
        <v>ITBISA-ABC-BATERAI-AA-ALKALINE</v>
      </c>
      <c r="B1836" s="266">
        <f>IFERROR(__xludf.DUMMYFUNCTION("""COMPUTED_VALUE"""),45960.0)</f>
        <v>45960</v>
      </c>
      <c r="C1836" s="266" t="str">
        <f>IFERROR(__xludf.DUMMYFUNCTION("""COMPUTED_VALUE"""),"KYAI KONTONG")</f>
        <v>KYAI KONTONG</v>
      </c>
      <c r="D1836" s="186">
        <f>IFERROR(__xludf.DUMMYFUNCTION("""COMPUTED_VALUE"""),1.0)</f>
        <v>1</v>
      </c>
    </row>
    <row r="1837">
      <c r="A1837" s="178" t="str">
        <f>IFERROR(__xludf.DUMMYFUNCTION("""COMPUTED_VALUE"""),"ITBISA-ABC-BATERAI-AA-ALKALINE")</f>
        <v>ITBISA-ABC-BATERAI-AA-ALKALINE</v>
      </c>
      <c r="B1837" s="266">
        <f>IFERROR(__xludf.DUMMYFUNCTION("""COMPUTED_VALUE"""),45960.0)</f>
        <v>45960</v>
      </c>
      <c r="C1837" s="266" t="str">
        <f>IFERROR(__xludf.DUMMYFUNCTION("""COMPUTED_VALUE"""),"KYAI KONTONG")</f>
        <v>KYAI KONTONG</v>
      </c>
      <c r="D1837" s="186">
        <f>IFERROR(__xludf.DUMMYFUNCTION("""COMPUTED_VALUE"""),1.0)</f>
        <v>1</v>
      </c>
    </row>
    <row r="1838">
      <c r="A1838" s="178" t="str">
        <f>IFERROR(__xludf.DUMMYFUNCTION("""COMPUTED_VALUE"""),"ITBISA-ABC-BATERAI-AA-ALKALINE")</f>
        <v>ITBISA-ABC-BATERAI-AA-ALKALINE</v>
      </c>
      <c r="B1838" s="266">
        <f>IFERROR(__xludf.DUMMYFUNCTION("""COMPUTED_VALUE"""),45960.0)</f>
        <v>45960</v>
      </c>
      <c r="C1838" s="266" t="str">
        <f>IFERROR(__xludf.DUMMYFUNCTION("""COMPUTED_VALUE"""),"KYAI KONTONG")</f>
        <v>KYAI KONTONG</v>
      </c>
      <c r="D1838" s="186">
        <f>IFERROR(__xludf.DUMMYFUNCTION("""COMPUTED_VALUE"""),1.0)</f>
        <v>1</v>
      </c>
    </row>
    <row r="1839">
      <c r="A1839" s="178" t="str">
        <f>IFERROR(__xludf.DUMMYFUNCTION("""COMPUTED_VALUE"""),"ITBISA-ABC-BATERAI-AA-ALKALINE")</f>
        <v>ITBISA-ABC-BATERAI-AA-ALKALINE</v>
      </c>
      <c r="B1839" s="266">
        <f>IFERROR(__xludf.DUMMYFUNCTION("""COMPUTED_VALUE"""),45960.0)</f>
        <v>45960</v>
      </c>
      <c r="C1839" s="266" t="str">
        <f>IFERROR(__xludf.DUMMYFUNCTION("""COMPUTED_VALUE"""),"KYAI KONTONG")</f>
        <v>KYAI KONTONG</v>
      </c>
      <c r="D1839" s="186">
        <f>IFERROR(__xludf.DUMMYFUNCTION("""COMPUTED_VALUE"""),2.0)</f>
        <v>2</v>
      </c>
    </row>
    <row r="1840">
      <c r="A1840" s="178" t="str">
        <f>IFERROR(__xludf.DUMMYFUNCTION("""COMPUTED_VALUE"""),"ITBISA-ABC-BATERAI-AA-ALKALINE")</f>
        <v>ITBISA-ABC-BATERAI-AA-ALKALINE</v>
      </c>
      <c r="B1840" s="266">
        <f>IFERROR(__xludf.DUMMYFUNCTION("""COMPUTED_VALUE"""),45960.0)</f>
        <v>45960</v>
      </c>
      <c r="C1840" s="266" t="str">
        <f>IFERROR(__xludf.DUMMYFUNCTION("""COMPUTED_VALUE"""),"KYAI KONTONG")</f>
        <v>KYAI KONTONG</v>
      </c>
      <c r="D1840" s="186">
        <f>IFERROR(__xludf.DUMMYFUNCTION("""COMPUTED_VALUE"""),2.0)</f>
        <v>2</v>
      </c>
    </row>
    <row r="1841">
      <c r="A1841" s="178" t="str">
        <f>IFERROR(__xludf.DUMMYFUNCTION("""COMPUTED_VALUE"""),"ITBISA-ABC-BATERAI-AA-ALKALINE")</f>
        <v>ITBISA-ABC-BATERAI-AA-ALKALINE</v>
      </c>
      <c r="B1841" s="266">
        <f>IFERROR(__xludf.DUMMYFUNCTION("""COMPUTED_VALUE"""),45960.0)</f>
        <v>45960</v>
      </c>
      <c r="C1841" s="266" t="str">
        <f>IFERROR(__xludf.DUMMYFUNCTION("""COMPUTED_VALUE"""),"KYAI KONTONG")</f>
        <v>KYAI KONTONG</v>
      </c>
      <c r="D1841" s="186">
        <f>IFERROR(__xludf.DUMMYFUNCTION("""COMPUTED_VALUE"""),2.0)</f>
        <v>2</v>
      </c>
    </row>
    <row r="1842">
      <c r="A1842" s="178" t="str">
        <f>IFERROR(__xludf.DUMMYFUNCTION("""COMPUTED_VALUE"""),"ITBISA-ABC-BATERAI-AA-ALKALINE")</f>
        <v>ITBISA-ABC-BATERAI-AA-ALKALINE</v>
      </c>
      <c r="B1842" s="266">
        <f>IFERROR(__xludf.DUMMYFUNCTION("""COMPUTED_VALUE"""),45960.0)</f>
        <v>45960</v>
      </c>
      <c r="C1842" s="266" t="str">
        <f>IFERROR(__xludf.DUMMYFUNCTION("""COMPUTED_VALUE"""),"KYAI KONTONG")</f>
        <v>KYAI KONTONG</v>
      </c>
      <c r="D1842" s="186">
        <f>IFERROR(__xludf.DUMMYFUNCTION("""COMPUTED_VALUE"""),4.0)</f>
        <v>4</v>
      </c>
    </row>
    <row r="1843">
      <c r="A1843" s="178" t="str">
        <f>IFERROR(__xludf.DUMMYFUNCTION("""COMPUTED_VALUE"""),"ITBISA-ABC-BATERAI-AA-ALKALINE")</f>
        <v>ITBISA-ABC-BATERAI-AA-ALKALINE</v>
      </c>
      <c r="B1843" s="266">
        <f>IFERROR(__xludf.DUMMYFUNCTION("""COMPUTED_VALUE"""),45960.0)</f>
        <v>45960</v>
      </c>
      <c r="C1843" s="266" t="str">
        <f>IFERROR(__xludf.DUMMYFUNCTION("""COMPUTED_VALUE"""),"KYAI KONTONG")</f>
        <v>KYAI KONTONG</v>
      </c>
      <c r="D1843" s="186">
        <f>IFERROR(__xludf.DUMMYFUNCTION("""COMPUTED_VALUE"""),16.0)</f>
        <v>16</v>
      </c>
    </row>
    <row r="1844">
      <c r="A1844" s="178" t="str">
        <f>IFERROR(__xludf.DUMMYFUNCTION("""COMPUTED_VALUE"""),"ITBISA-ABC-BATERAI-AA-ALKALINE")</f>
        <v>ITBISA-ABC-BATERAI-AA-ALKALINE</v>
      </c>
      <c r="B1844" s="266">
        <f>IFERROR(__xludf.DUMMYFUNCTION("""COMPUTED_VALUE"""),45961.0)</f>
        <v>45961</v>
      </c>
      <c r="C1844" s="266" t="str">
        <f>IFERROR(__xludf.DUMMYFUNCTION("""COMPUTED_VALUE"""),"KYAI KONTONG")</f>
        <v>KYAI KONTONG</v>
      </c>
      <c r="D1844" s="186">
        <f>IFERROR(__xludf.DUMMYFUNCTION("""COMPUTED_VALUE"""),1.0)</f>
        <v>1</v>
      </c>
    </row>
    <row r="1845">
      <c r="A1845" s="178" t="str">
        <f>IFERROR(__xludf.DUMMYFUNCTION("""COMPUTED_VALUE"""),"ITBISA-ABC-BATERAI-AA-ALKALINE")</f>
        <v>ITBISA-ABC-BATERAI-AA-ALKALINE</v>
      </c>
      <c r="B1845" s="266">
        <f>IFERROR(__xludf.DUMMYFUNCTION("""COMPUTED_VALUE"""),45961.0)</f>
        <v>45961</v>
      </c>
      <c r="C1845" s="266" t="str">
        <f>IFERROR(__xludf.DUMMYFUNCTION("""COMPUTED_VALUE"""),"KYAI KONTONG")</f>
        <v>KYAI KONTONG</v>
      </c>
      <c r="D1845" s="186">
        <f>IFERROR(__xludf.DUMMYFUNCTION("""COMPUTED_VALUE"""),2.0)</f>
        <v>2</v>
      </c>
    </row>
    <row r="1846">
      <c r="A1846" s="178" t="str">
        <f>IFERROR(__xludf.DUMMYFUNCTION("""COMPUTED_VALUE"""),"ITBISA-ABC-BATERAI-AA-ALKALINE")</f>
        <v>ITBISA-ABC-BATERAI-AA-ALKALINE</v>
      </c>
      <c r="B1846" s="266">
        <f>IFERROR(__xludf.DUMMYFUNCTION("""COMPUTED_VALUE"""),45961.0)</f>
        <v>45961</v>
      </c>
      <c r="C1846" s="266" t="str">
        <f>IFERROR(__xludf.DUMMYFUNCTION("""COMPUTED_VALUE"""),"KYAI KONTONG")</f>
        <v>KYAI KONTONG</v>
      </c>
      <c r="D1846" s="186">
        <f>IFERROR(__xludf.DUMMYFUNCTION("""COMPUTED_VALUE"""),2.0)</f>
        <v>2</v>
      </c>
    </row>
    <row r="1847">
      <c r="A1847" s="178" t="str">
        <f>IFERROR(__xludf.DUMMYFUNCTION("""COMPUTED_VALUE"""),"ITBISA-ABC-BATERAI-AA-ALKALINE")</f>
        <v>ITBISA-ABC-BATERAI-AA-ALKALINE</v>
      </c>
      <c r="B1847" s="266">
        <f>IFERROR(__xludf.DUMMYFUNCTION("""COMPUTED_VALUE"""),45961.0)</f>
        <v>45961</v>
      </c>
      <c r="C1847" s="266" t="str">
        <f>IFERROR(__xludf.DUMMYFUNCTION("""COMPUTED_VALUE"""),"KYAI KONTONG")</f>
        <v>KYAI KONTONG</v>
      </c>
      <c r="D1847" s="186">
        <f>IFERROR(__xludf.DUMMYFUNCTION("""COMPUTED_VALUE"""),18.0)</f>
        <v>18</v>
      </c>
    </row>
    <row r="1848">
      <c r="A1848" s="178" t="str">
        <f>IFERROR(__xludf.DUMMYFUNCTION("""COMPUTED_VALUE"""),"ITBISA-ABC-BATERAI-AA-ALKALINE")</f>
        <v>ITBISA-ABC-BATERAI-AA-ALKALINE</v>
      </c>
      <c r="B1848" s="266">
        <f>IFERROR(__xludf.DUMMYFUNCTION("""COMPUTED_VALUE"""),45962.0)</f>
        <v>45962</v>
      </c>
      <c r="C1848" s="266" t="str">
        <f>IFERROR(__xludf.DUMMYFUNCTION("""COMPUTED_VALUE"""),"KYAI KONTONG")</f>
        <v>KYAI KONTONG</v>
      </c>
      <c r="D1848" s="186">
        <f>IFERROR(__xludf.DUMMYFUNCTION("""COMPUTED_VALUE"""),1.0)</f>
        <v>1</v>
      </c>
    </row>
    <row r="1849">
      <c r="A1849" s="178" t="str">
        <f>IFERROR(__xludf.DUMMYFUNCTION("""COMPUTED_VALUE"""),"ITBISA-ABC-BATERAI-AA-ALKALINE")</f>
        <v>ITBISA-ABC-BATERAI-AA-ALKALINE</v>
      </c>
      <c r="B1849" s="266">
        <f>IFERROR(__xludf.DUMMYFUNCTION("""COMPUTED_VALUE"""),45962.0)</f>
        <v>45962</v>
      </c>
      <c r="C1849" s="266" t="str">
        <f>IFERROR(__xludf.DUMMYFUNCTION("""COMPUTED_VALUE"""),"KYAI KONTONG")</f>
        <v>KYAI KONTONG</v>
      </c>
      <c r="D1849" s="186">
        <f>IFERROR(__xludf.DUMMYFUNCTION("""COMPUTED_VALUE"""),1.0)</f>
        <v>1</v>
      </c>
    </row>
    <row r="1850">
      <c r="A1850" s="178" t="str">
        <f>IFERROR(__xludf.DUMMYFUNCTION("""COMPUTED_VALUE"""),"ITBISA-ABC-BATERAI-AA-ALKALINE")</f>
        <v>ITBISA-ABC-BATERAI-AA-ALKALINE</v>
      </c>
      <c r="B1850" s="266">
        <f>IFERROR(__xludf.DUMMYFUNCTION("""COMPUTED_VALUE"""),45962.0)</f>
        <v>45962</v>
      </c>
      <c r="C1850" s="266" t="str">
        <f>IFERROR(__xludf.DUMMYFUNCTION("""COMPUTED_VALUE"""),"KYAI KONTONG")</f>
        <v>KYAI KONTONG</v>
      </c>
      <c r="D1850" s="186">
        <f>IFERROR(__xludf.DUMMYFUNCTION("""COMPUTED_VALUE"""),2.0)</f>
        <v>2</v>
      </c>
    </row>
    <row r="1851">
      <c r="A1851" s="178" t="str">
        <f>IFERROR(__xludf.DUMMYFUNCTION("""COMPUTED_VALUE"""),"ITBISA-ABC-BATERAI-AA-ALKALINE")</f>
        <v>ITBISA-ABC-BATERAI-AA-ALKALINE</v>
      </c>
      <c r="B1851" s="266">
        <f>IFERROR(__xludf.DUMMYFUNCTION("""COMPUTED_VALUE"""),45962.0)</f>
        <v>45962</v>
      </c>
      <c r="C1851" s="266" t="str">
        <f>IFERROR(__xludf.DUMMYFUNCTION("""COMPUTED_VALUE"""),"KYAI KONTONG")</f>
        <v>KYAI KONTONG</v>
      </c>
      <c r="D1851" s="186">
        <f>IFERROR(__xludf.DUMMYFUNCTION("""COMPUTED_VALUE"""),4.0)</f>
        <v>4</v>
      </c>
    </row>
    <row r="1852">
      <c r="A1852" s="178" t="str">
        <f>IFERROR(__xludf.DUMMYFUNCTION("""COMPUTED_VALUE"""),"ITBISA-ABC-BATERAI-AA-ALKALINE")</f>
        <v>ITBISA-ABC-BATERAI-AA-ALKALINE</v>
      </c>
      <c r="B1852" s="266">
        <f>IFERROR(__xludf.DUMMYFUNCTION("""COMPUTED_VALUE"""),45962.0)</f>
        <v>45962</v>
      </c>
      <c r="C1852" s="266" t="str">
        <f>IFERROR(__xludf.DUMMYFUNCTION("""COMPUTED_VALUE"""),"KYAI KONTONG")</f>
        <v>KYAI KONTONG</v>
      </c>
      <c r="D1852" s="186">
        <f>IFERROR(__xludf.DUMMYFUNCTION("""COMPUTED_VALUE"""),10.0)</f>
        <v>10</v>
      </c>
    </row>
    <row r="1853">
      <c r="A1853" s="178" t="str">
        <f>IFERROR(__xludf.DUMMYFUNCTION("""COMPUTED_VALUE"""),"ITBISA-ABC-BATERAI-AA-ALKALINE")</f>
        <v>ITBISA-ABC-BATERAI-AA-ALKALINE</v>
      </c>
      <c r="B1853" s="266">
        <f>IFERROR(__xludf.DUMMYFUNCTION("""COMPUTED_VALUE"""),45963.0)</f>
        <v>45963</v>
      </c>
      <c r="C1853" s="266" t="str">
        <f>IFERROR(__xludf.DUMMYFUNCTION("""COMPUTED_VALUE"""),"KERTASARI CIAMIS")</f>
        <v>KERTASARI CIAMIS</v>
      </c>
      <c r="D1853" s="186">
        <f>IFERROR(__xludf.DUMMYFUNCTION("""COMPUTED_VALUE"""),2.0)</f>
        <v>2</v>
      </c>
    </row>
    <row r="1854">
      <c r="A1854" s="178" t="str">
        <f>IFERROR(__xludf.DUMMYFUNCTION("""COMPUTED_VALUE"""),"ITBISA-ABC-BATERAI-AA-ALKALINE")</f>
        <v>ITBISA-ABC-BATERAI-AA-ALKALINE</v>
      </c>
      <c r="B1854" s="266">
        <f>IFERROR(__xludf.DUMMYFUNCTION("""COMPUTED_VALUE"""),45963.0)</f>
        <v>45963</v>
      </c>
      <c r="C1854" s="266" t="str">
        <f>IFERROR(__xludf.DUMMYFUNCTION("""COMPUTED_VALUE"""),"KYAI KONTONG")</f>
        <v>KYAI KONTONG</v>
      </c>
      <c r="D1854" s="186">
        <f>IFERROR(__xludf.DUMMYFUNCTION("""COMPUTED_VALUE"""),1.0)</f>
        <v>1</v>
      </c>
    </row>
    <row r="1855">
      <c r="A1855" s="178" t="str">
        <f>IFERROR(__xludf.DUMMYFUNCTION("""COMPUTED_VALUE"""),"ITBISA-ABC-BATERAI-AA-ALKALINE")</f>
        <v>ITBISA-ABC-BATERAI-AA-ALKALINE</v>
      </c>
      <c r="B1855" s="266">
        <f>IFERROR(__xludf.DUMMYFUNCTION("""COMPUTED_VALUE"""),45963.0)</f>
        <v>45963</v>
      </c>
      <c r="C1855" s="266" t="str">
        <f>IFERROR(__xludf.DUMMYFUNCTION("""COMPUTED_VALUE"""),"KYAI KONTONG")</f>
        <v>KYAI KONTONG</v>
      </c>
      <c r="D1855" s="186">
        <f>IFERROR(__xludf.DUMMYFUNCTION("""COMPUTED_VALUE"""),1.0)</f>
        <v>1</v>
      </c>
    </row>
    <row r="1856">
      <c r="A1856" s="178" t="str">
        <f>IFERROR(__xludf.DUMMYFUNCTION("""COMPUTED_VALUE"""),"ITBISA-ABC-BATERAI-AA-ALKALINE")</f>
        <v>ITBISA-ABC-BATERAI-AA-ALKALINE</v>
      </c>
      <c r="B1856" s="266">
        <f>IFERROR(__xludf.DUMMYFUNCTION("""COMPUTED_VALUE"""),45963.0)</f>
        <v>45963</v>
      </c>
      <c r="C1856" s="266" t="str">
        <f>IFERROR(__xludf.DUMMYFUNCTION("""COMPUTED_VALUE"""),"KYAI KONTONG")</f>
        <v>KYAI KONTONG</v>
      </c>
      <c r="D1856" s="186">
        <f>IFERROR(__xludf.DUMMYFUNCTION("""COMPUTED_VALUE"""),2.0)</f>
        <v>2</v>
      </c>
    </row>
    <row r="1857">
      <c r="A1857" s="178" t="str">
        <f>IFERROR(__xludf.DUMMYFUNCTION("""COMPUTED_VALUE"""),"ITBISA-ABC-BATERAI-AA-ALKALINE")</f>
        <v>ITBISA-ABC-BATERAI-AA-ALKALINE</v>
      </c>
      <c r="B1857" s="266">
        <f>IFERROR(__xludf.DUMMYFUNCTION("""COMPUTED_VALUE"""),45963.0)</f>
        <v>45963</v>
      </c>
      <c r="C1857" s="266" t="str">
        <f>IFERROR(__xludf.DUMMYFUNCTION("""COMPUTED_VALUE"""),"KYAI KONTONG")</f>
        <v>KYAI KONTONG</v>
      </c>
      <c r="D1857" s="186">
        <f>IFERROR(__xludf.DUMMYFUNCTION("""COMPUTED_VALUE"""),2.0)</f>
        <v>2</v>
      </c>
    </row>
    <row r="1858">
      <c r="A1858" s="178" t="str">
        <f>IFERROR(__xludf.DUMMYFUNCTION("""COMPUTED_VALUE"""),"ITBISA-ABC-BATERAI-AA-ALKALINE")</f>
        <v>ITBISA-ABC-BATERAI-AA-ALKALINE</v>
      </c>
      <c r="B1858" s="266">
        <f>IFERROR(__xludf.DUMMYFUNCTION("""COMPUTED_VALUE"""),45964.0)</f>
        <v>45964</v>
      </c>
      <c r="C1858" s="266" t="str">
        <f>IFERROR(__xludf.DUMMYFUNCTION("""COMPUTED_VALUE"""),"KYAI KONTONG")</f>
        <v>KYAI KONTONG</v>
      </c>
      <c r="D1858" s="186">
        <f>IFERROR(__xludf.DUMMYFUNCTION("""COMPUTED_VALUE"""),1.0)</f>
        <v>1</v>
      </c>
    </row>
    <row r="1859">
      <c r="A1859" s="178" t="str">
        <f>IFERROR(__xludf.DUMMYFUNCTION("""COMPUTED_VALUE"""),"ITBISA-ABC-BATERAI-AA-ALKALINE")</f>
        <v>ITBISA-ABC-BATERAI-AA-ALKALINE</v>
      </c>
      <c r="B1859" s="266">
        <f>IFERROR(__xludf.DUMMYFUNCTION("""COMPUTED_VALUE"""),45964.0)</f>
        <v>45964</v>
      </c>
      <c r="C1859" s="266" t="str">
        <f>IFERROR(__xludf.DUMMYFUNCTION("""COMPUTED_VALUE"""),"KYAI KONTONG")</f>
        <v>KYAI KONTONG</v>
      </c>
      <c r="D1859" s="186">
        <f>IFERROR(__xludf.DUMMYFUNCTION("""COMPUTED_VALUE"""),2.0)</f>
        <v>2</v>
      </c>
    </row>
    <row r="1860">
      <c r="A1860" s="178" t="str">
        <f>IFERROR(__xludf.DUMMYFUNCTION("""COMPUTED_VALUE"""),"ITBISA-ABC-BATERAI-AA-ALKALINE")</f>
        <v>ITBISA-ABC-BATERAI-AA-ALKALINE</v>
      </c>
      <c r="B1860" s="266">
        <f>IFERROR(__xludf.DUMMYFUNCTION("""COMPUTED_VALUE"""),45964.0)</f>
        <v>45964</v>
      </c>
      <c r="C1860" s="266" t="str">
        <f>IFERROR(__xludf.DUMMYFUNCTION("""COMPUTED_VALUE"""),"KYAI KONTONG")</f>
        <v>KYAI KONTONG</v>
      </c>
      <c r="D1860" s="186">
        <f>IFERROR(__xludf.DUMMYFUNCTION("""COMPUTED_VALUE"""),2.0)</f>
        <v>2</v>
      </c>
    </row>
    <row r="1861">
      <c r="A1861" s="178" t="str">
        <f>IFERROR(__xludf.DUMMYFUNCTION("""COMPUTED_VALUE"""),"ITBISA-ABC-BATERAI-AA-ALKALINE")</f>
        <v>ITBISA-ABC-BATERAI-AA-ALKALINE</v>
      </c>
      <c r="B1861" s="266">
        <f>IFERROR(__xludf.DUMMYFUNCTION("""COMPUTED_VALUE"""),45964.0)</f>
        <v>45964</v>
      </c>
      <c r="C1861" s="266" t="str">
        <f>IFERROR(__xludf.DUMMYFUNCTION("""COMPUTED_VALUE"""),"KYAI KONTONG")</f>
        <v>KYAI KONTONG</v>
      </c>
      <c r="D1861" s="186">
        <f>IFERROR(__xludf.DUMMYFUNCTION("""COMPUTED_VALUE"""),2.0)</f>
        <v>2</v>
      </c>
    </row>
    <row r="1862">
      <c r="A1862" s="178" t="str">
        <f>IFERROR(__xludf.DUMMYFUNCTION("""COMPUTED_VALUE"""),"ITBISA-ABC-BATERAI-AA-ALKALINE")</f>
        <v>ITBISA-ABC-BATERAI-AA-ALKALINE</v>
      </c>
      <c r="B1862" s="266">
        <f>IFERROR(__xludf.DUMMYFUNCTION("""COMPUTED_VALUE"""),45965.0)</f>
        <v>45965</v>
      </c>
      <c r="C1862" s="266" t="str">
        <f>IFERROR(__xludf.DUMMYFUNCTION("""COMPUTED_VALUE"""),"KYAI KONTONG")</f>
        <v>KYAI KONTONG</v>
      </c>
      <c r="D1862" s="186">
        <f>IFERROR(__xludf.DUMMYFUNCTION("""COMPUTED_VALUE"""),1.0)</f>
        <v>1</v>
      </c>
    </row>
    <row r="1863">
      <c r="A1863" s="178" t="str">
        <f>IFERROR(__xludf.DUMMYFUNCTION("""COMPUTED_VALUE"""),"ITBISA-ABC-BATERAI-AA-ALKALINE")</f>
        <v>ITBISA-ABC-BATERAI-AA-ALKALINE</v>
      </c>
      <c r="B1863" s="266">
        <f>IFERROR(__xludf.DUMMYFUNCTION("""COMPUTED_VALUE"""),45965.0)</f>
        <v>45965</v>
      </c>
      <c r="C1863" s="266" t="str">
        <f>IFERROR(__xludf.DUMMYFUNCTION("""COMPUTED_VALUE"""),"KYAI KONTONG")</f>
        <v>KYAI KONTONG</v>
      </c>
      <c r="D1863" s="186">
        <f>IFERROR(__xludf.DUMMYFUNCTION("""COMPUTED_VALUE"""),1.0)</f>
        <v>1</v>
      </c>
    </row>
    <row r="1864">
      <c r="A1864" s="178" t="str">
        <f>IFERROR(__xludf.DUMMYFUNCTION("""COMPUTED_VALUE"""),"ITBISA-ABC-BATERAI-AA-ALKALINE")</f>
        <v>ITBISA-ABC-BATERAI-AA-ALKALINE</v>
      </c>
      <c r="B1864" s="266">
        <f>IFERROR(__xludf.DUMMYFUNCTION("""COMPUTED_VALUE"""),45965.0)</f>
        <v>45965</v>
      </c>
      <c r="C1864" s="266" t="str">
        <f>IFERROR(__xludf.DUMMYFUNCTION("""COMPUTED_VALUE"""),"KYAI KONTONG")</f>
        <v>KYAI KONTONG</v>
      </c>
      <c r="D1864" s="186">
        <f>IFERROR(__xludf.DUMMYFUNCTION("""COMPUTED_VALUE"""),2.0)</f>
        <v>2</v>
      </c>
    </row>
    <row r="1865">
      <c r="A1865" s="178" t="str">
        <f>IFERROR(__xludf.DUMMYFUNCTION("""COMPUTED_VALUE"""),"ITBISA-ABC-BATERAI-AA-ALKALINE")</f>
        <v>ITBISA-ABC-BATERAI-AA-ALKALINE</v>
      </c>
      <c r="B1865" s="266">
        <f>IFERROR(__xludf.DUMMYFUNCTION("""COMPUTED_VALUE"""),45965.0)</f>
        <v>45965</v>
      </c>
      <c r="C1865" s="266" t="str">
        <f>IFERROR(__xludf.DUMMYFUNCTION("""COMPUTED_VALUE"""),"KYAI KONTONG")</f>
        <v>KYAI KONTONG</v>
      </c>
      <c r="D1865" s="186">
        <f>IFERROR(__xludf.DUMMYFUNCTION("""COMPUTED_VALUE"""),4.0)</f>
        <v>4</v>
      </c>
    </row>
    <row r="1866">
      <c r="A1866" s="178" t="str">
        <f>IFERROR(__xludf.DUMMYFUNCTION("""COMPUTED_VALUE"""),"ITBISA-ABC-BATERAI-AA-ALKALINE")</f>
        <v>ITBISA-ABC-BATERAI-AA-ALKALINE</v>
      </c>
      <c r="B1866" s="266">
        <f>IFERROR(__xludf.DUMMYFUNCTION("""COMPUTED_VALUE"""),45966.0)</f>
        <v>45966</v>
      </c>
      <c r="C1866" s="266" t="str">
        <f>IFERROR(__xludf.DUMMYFUNCTION("""COMPUTED_VALUE"""),"KYAI KONTONG")</f>
        <v>KYAI KONTONG</v>
      </c>
      <c r="D1866" s="186">
        <f>IFERROR(__xludf.DUMMYFUNCTION("""COMPUTED_VALUE"""),2.0)</f>
        <v>2</v>
      </c>
    </row>
    <row r="1867">
      <c r="A1867" s="178" t="str">
        <f>IFERROR(__xludf.DUMMYFUNCTION("""COMPUTED_VALUE"""),"ITBISA-ABC-BATERAI-AA-ALKALINE")</f>
        <v>ITBISA-ABC-BATERAI-AA-ALKALINE</v>
      </c>
      <c r="B1867" s="266">
        <f>IFERROR(__xludf.DUMMYFUNCTION("""COMPUTED_VALUE"""),45966.0)</f>
        <v>45966</v>
      </c>
      <c r="C1867" s="266" t="str">
        <f>IFERROR(__xludf.DUMMYFUNCTION("""COMPUTED_VALUE"""),"KYAI KONTONG")</f>
        <v>KYAI KONTONG</v>
      </c>
      <c r="D1867" s="186">
        <f>IFERROR(__xludf.DUMMYFUNCTION("""COMPUTED_VALUE"""),2.0)</f>
        <v>2</v>
      </c>
    </row>
    <row r="1868">
      <c r="A1868" s="178" t="str">
        <f>IFERROR(__xludf.DUMMYFUNCTION("""COMPUTED_VALUE"""),"ITBISA-ABC-BATERAI-AA-ALKALINE")</f>
        <v>ITBISA-ABC-BATERAI-AA-ALKALINE</v>
      </c>
      <c r="B1868" s="266">
        <f>IFERROR(__xludf.DUMMYFUNCTION("""COMPUTED_VALUE"""),45966.0)</f>
        <v>45966</v>
      </c>
      <c r="C1868" s="266" t="str">
        <f>IFERROR(__xludf.DUMMYFUNCTION("""COMPUTED_VALUE"""),"KYAI KONTONG")</f>
        <v>KYAI KONTONG</v>
      </c>
      <c r="D1868" s="186">
        <f>IFERROR(__xludf.DUMMYFUNCTION("""COMPUTED_VALUE"""),3.0)</f>
        <v>3</v>
      </c>
    </row>
    <row r="1869">
      <c r="A1869" s="178" t="str">
        <f>IFERROR(__xludf.DUMMYFUNCTION("""COMPUTED_VALUE"""),"ITBISA-ABC-BATERAI-AA-ALKALINE")</f>
        <v>ITBISA-ABC-BATERAI-AA-ALKALINE</v>
      </c>
      <c r="B1869" s="266">
        <f>IFERROR(__xludf.DUMMYFUNCTION("""COMPUTED_VALUE"""),45967.0)</f>
        <v>45967</v>
      </c>
      <c r="C1869" s="266" t="str">
        <f>IFERROR(__xludf.DUMMYFUNCTION("""COMPUTED_VALUE"""),"KYAI KONTONG")</f>
        <v>KYAI KONTONG</v>
      </c>
      <c r="D1869" s="186">
        <f>IFERROR(__xludf.DUMMYFUNCTION("""COMPUTED_VALUE"""),1.0)</f>
        <v>1</v>
      </c>
    </row>
    <row r="1870">
      <c r="A1870" s="178" t="str">
        <f>IFERROR(__xludf.DUMMYFUNCTION("""COMPUTED_VALUE"""),"ITBISA-ABC-BATERAI-AA-ALKALINE")</f>
        <v>ITBISA-ABC-BATERAI-AA-ALKALINE</v>
      </c>
      <c r="B1870" s="266">
        <f>IFERROR(__xludf.DUMMYFUNCTION("""COMPUTED_VALUE"""),45967.0)</f>
        <v>45967</v>
      </c>
      <c r="C1870" s="266" t="str">
        <f>IFERROR(__xludf.DUMMYFUNCTION("""COMPUTED_VALUE"""),"KYAI KONTONG")</f>
        <v>KYAI KONTONG</v>
      </c>
      <c r="D1870" s="186">
        <f>IFERROR(__xludf.DUMMYFUNCTION("""COMPUTED_VALUE"""),1.0)</f>
        <v>1</v>
      </c>
    </row>
    <row r="1871">
      <c r="A1871" s="178" t="str">
        <f>IFERROR(__xludf.DUMMYFUNCTION("""COMPUTED_VALUE"""),"ITBISA-ABC-BATERAI-AA-ALKALINE")</f>
        <v>ITBISA-ABC-BATERAI-AA-ALKALINE</v>
      </c>
      <c r="B1871" s="266">
        <f>IFERROR(__xludf.DUMMYFUNCTION("""COMPUTED_VALUE"""),45967.0)</f>
        <v>45967</v>
      </c>
      <c r="C1871" s="266" t="str">
        <f>IFERROR(__xludf.DUMMYFUNCTION("""COMPUTED_VALUE"""),"KYAI KONTONG")</f>
        <v>KYAI KONTONG</v>
      </c>
      <c r="D1871" s="186">
        <f>IFERROR(__xludf.DUMMYFUNCTION("""COMPUTED_VALUE"""),2.0)</f>
        <v>2</v>
      </c>
    </row>
    <row r="1872">
      <c r="A1872" s="178" t="str">
        <f>IFERROR(__xludf.DUMMYFUNCTION("""COMPUTED_VALUE"""),"ITBISA-ABC-BATERAI-AA-ALKALINE")</f>
        <v>ITBISA-ABC-BATERAI-AA-ALKALINE</v>
      </c>
      <c r="B1872" s="266">
        <f>IFERROR(__xludf.DUMMYFUNCTION("""COMPUTED_VALUE"""),45968.0)</f>
        <v>45968</v>
      </c>
      <c r="C1872" s="266" t="str">
        <f>IFERROR(__xludf.DUMMYFUNCTION("""COMPUTED_VALUE"""),"KYAI KONTONG")</f>
        <v>KYAI KONTONG</v>
      </c>
      <c r="D1872" s="186">
        <f>IFERROR(__xludf.DUMMYFUNCTION("""COMPUTED_VALUE"""),1.0)</f>
        <v>1</v>
      </c>
    </row>
    <row r="1873">
      <c r="A1873" s="178" t="str">
        <f>IFERROR(__xludf.DUMMYFUNCTION("""COMPUTED_VALUE"""),"ITBISA-ABC-BATERAI-AA-ALKALINE")</f>
        <v>ITBISA-ABC-BATERAI-AA-ALKALINE</v>
      </c>
      <c r="B1873" s="266">
        <f>IFERROR(__xludf.DUMMYFUNCTION("""COMPUTED_VALUE"""),45969.0)</f>
        <v>45969</v>
      </c>
      <c r="C1873" s="266" t="str">
        <f>IFERROR(__xludf.DUMMYFUNCTION("""COMPUTED_VALUE"""),"KYAI KONTONG")</f>
        <v>KYAI KONTONG</v>
      </c>
      <c r="D1873" s="186">
        <f>IFERROR(__xludf.DUMMYFUNCTION("""COMPUTED_VALUE"""),1.0)</f>
        <v>1</v>
      </c>
    </row>
    <row r="1874">
      <c r="A1874" s="178" t="str">
        <f>IFERROR(__xludf.DUMMYFUNCTION("""COMPUTED_VALUE"""),"ITBISA-ABC-BATERAI-AA-ALKALINE")</f>
        <v>ITBISA-ABC-BATERAI-AA-ALKALINE</v>
      </c>
      <c r="B1874" s="266">
        <f>IFERROR(__xludf.DUMMYFUNCTION("""COMPUTED_VALUE"""),45969.0)</f>
        <v>45969</v>
      </c>
      <c r="C1874" s="266" t="str">
        <f>IFERROR(__xludf.DUMMYFUNCTION("""COMPUTED_VALUE"""),"KYAI KONTONG")</f>
        <v>KYAI KONTONG</v>
      </c>
      <c r="D1874" s="186">
        <f>IFERROR(__xludf.DUMMYFUNCTION("""COMPUTED_VALUE"""),2.0)</f>
        <v>2</v>
      </c>
    </row>
    <row r="1875">
      <c r="A1875" s="178" t="str">
        <f>IFERROR(__xludf.DUMMYFUNCTION("""COMPUTED_VALUE"""),"ITBISA-ABC-BATERAI-AA-ALKALINE")</f>
        <v>ITBISA-ABC-BATERAI-AA-ALKALINE</v>
      </c>
      <c r="B1875" s="266">
        <f>IFERROR(__xludf.DUMMYFUNCTION("""COMPUTED_VALUE"""),45969.0)</f>
        <v>45969</v>
      </c>
      <c r="C1875" s="266" t="str">
        <f>IFERROR(__xludf.DUMMYFUNCTION("""COMPUTED_VALUE"""),"KYAI KONTONG")</f>
        <v>KYAI KONTONG</v>
      </c>
      <c r="D1875" s="186">
        <f>IFERROR(__xludf.DUMMYFUNCTION("""COMPUTED_VALUE"""),2.0)</f>
        <v>2</v>
      </c>
    </row>
    <row r="1876">
      <c r="A1876" s="178" t="str">
        <f>IFERROR(__xludf.DUMMYFUNCTION("""COMPUTED_VALUE"""),"ITBISA-ABC-BATERAI-AA-ALKALINE")</f>
        <v>ITBISA-ABC-BATERAI-AA-ALKALINE</v>
      </c>
      <c r="B1876" s="266">
        <f>IFERROR(__xludf.DUMMYFUNCTION("""COMPUTED_VALUE"""),45969.0)</f>
        <v>45969</v>
      </c>
      <c r="C1876" s="266" t="str">
        <f>IFERROR(__xludf.DUMMYFUNCTION("""COMPUTED_VALUE"""),"KYAI KONTONG")</f>
        <v>KYAI KONTONG</v>
      </c>
      <c r="D1876" s="186">
        <f>IFERROR(__xludf.DUMMYFUNCTION("""COMPUTED_VALUE"""),3.0)</f>
        <v>3</v>
      </c>
    </row>
    <row r="1877">
      <c r="A1877" s="178" t="str">
        <f>IFERROR(__xludf.DUMMYFUNCTION("""COMPUTED_VALUE"""),"ITBISA-ABC-BATERAI-AA-ALKALINE")</f>
        <v>ITBISA-ABC-BATERAI-AA-ALKALINE</v>
      </c>
      <c r="B1877" s="266">
        <f>IFERROR(__xludf.DUMMYFUNCTION("""COMPUTED_VALUE"""),45969.0)</f>
        <v>45969</v>
      </c>
      <c r="C1877" s="266" t="str">
        <f>IFERROR(__xludf.DUMMYFUNCTION("""COMPUTED_VALUE"""),"KYAI KONTONG")</f>
        <v>KYAI KONTONG</v>
      </c>
      <c r="D1877" s="186">
        <f>IFERROR(__xludf.DUMMYFUNCTION("""COMPUTED_VALUE"""),5.0)</f>
        <v>5</v>
      </c>
    </row>
    <row r="1878">
      <c r="A1878" s="178" t="str">
        <f>IFERROR(__xludf.DUMMYFUNCTION("""COMPUTED_VALUE"""),"ITBISA-ABC-BATERAI-AA-ALKALINE")</f>
        <v>ITBISA-ABC-BATERAI-AA-ALKALINE</v>
      </c>
      <c r="B1878" s="266">
        <f>IFERROR(__xludf.DUMMYFUNCTION("""COMPUTED_VALUE"""),45970.0)</f>
        <v>45970</v>
      </c>
      <c r="C1878" s="266" t="str">
        <f>IFERROR(__xludf.DUMMYFUNCTION("""COMPUTED_VALUE"""),"KYAI KONTONG")</f>
        <v>KYAI KONTONG</v>
      </c>
      <c r="D1878" s="186">
        <f>IFERROR(__xludf.DUMMYFUNCTION("""COMPUTED_VALUE"""),2.0)</f>
        <v>2</v>
      </c>
    </row>
    <row r="1879">
      <c r="A1879" s="178" t="str">
        <f>IFERROR(__xludf.DUMMYFUNCTION("""COMPUTED_VALUE"""),"ITBISA-ABC-BATERAI-AA-ALKALINE")</f>
        <v>ITBISA-ABC-BATERAI-AA-ALKALINE</v>
      </c>
      <c r="B1879" s="266">
        <f>IFERROR(__xludf.DUMMYFUNCTION("""COMPUTED_VALUE"""),45970.0)</f>
        <v>45970</v>
      </c>
      <c r="C1879" s="266" t="str">
        <f>IFERROR(__xludf.DUMMYFUNCTION("""COMPUTED_VALUE"""),"KYAI KONTONG")</f>
        <v>KYAI KONTONG</v>
      </c>
      <c r="D1879" s="186">
        <f>IFERROR(__xludf.DUMMYFUNCTION("""COMPUTED_VALUE"""),2.0)</f>
        <v>2</v>
      </c>
    </row>
    <row r="1880">
      <c r="A1880" s="178" t="str">
        <f>IFERROR(__xludf.DUMMYFUNCTION("""COMPUTED_VALUE"""),"ITBISA-ABC-BATERAI-AA-ALKALINE")</f>
        <v>ITBISA-ABC-BATERAI-AA-ALKALINE</v>
      </c>
      <c r="B1880" s="266">
        <f>IFERROR(__xludf.DUMMYFUNCTION("""COMPUTED_VALUE"""),45970.0)</f>
        <v>45970</v>
      </c>
      <c r="C1880" s="266" t="str">
        <f>IFERROR(__xludf.DUMMYFUNCTION("""COMPUTED_VALUE"""),"KYAI KONTONG")</f>
        <v>KYAI KONTONG</v>
      </c>
      <c r="D1880" s="186">
        <f>IFERROR(__xludf.DUMMYFUNCTION("""COMPUTED_VALUE"""),2.0)</f>
        <v>2</v>
      </c>
    </row>
    <row r="1881">
      <c r="A1881" s="178" t="str">
        <f>IFERROR(__xludf.DUMMYFUNCTION("""COMPUTED_VALUE"""),"ITBISA-ABC-BATERAI-AA-ALKALINE")</f>
        <v>ITBISA-ABC-BATERAI-AA-ALKALINE</v>
      </c>
      <c r="B1881" s="266">
        <f>IFERROR(__xludf.DUMMYFUNCTION("""COMPUTED_VALUE"""),45970.0)</f>
        <v>45970</v>
      </c>
      <c r="C1881" s="266" t="str">
        <f>IFERROR(__xludf.DUMMYFUNCTION("""COMPUTED_VALUE"""),"KYAI KONTONG")</f>
        <v>KYAI KONTONG</v>
      </c>
      <c r="D1881" s="186">
        <f>IFERROR(__xludf.DUMMYFUNCTION("""COMPUTED_VALUE"""),4.0)</f>
        <v>4</v>
      </c>
    </row>
    <row r="1882">
      <c r="A1882" s="178" t="str">
        <f>IFERROR(__xludf.DUMMYFUNCTION("""COMPUTED_VALUE"""),"ITBISA-ABC-BATERAI-AA-ALKALINE")</f>
        <v>ITBISA-ABC-BATERAI-AA-ALKALINE</v>
      </c>
      <c r="B1882" s="266">
        <f>IFERROR(__xludf.DUMMYFUNCTION("""COMPUTED_VALUE"""),45970.0)</f>
        <v>45970</v>
      </c>
      <c r="C1882" s="266" t="str">
        <f>IFERROR(__xludf.DUMMYFUNCTION("""COMPUTED_VALUE"""),"KYAI KONTONG")</f>
        <v>KYAI KONTONG</v>
      </c>
      <c r="D1882" s="186">
        <f>IFERROR(__xludf.DUMMYFUNCTION("""COMPUTED_VALUE"""),5.0)</f>
        <v>5</v>
      </c>
    </row>
    <row r="1883">
      <c r="A1883" s="178" t="str">
        <f>IFERROR(__xludf.DUMMYFUNCTION("""COMPUTED_VALUE"""),"ITBISA-ABC-BATERAI-AA-ALKALINE")</f>
        <v>ITBISA-ABC-BATERAI-AA-ALKALINE</v>
      </c>
      <c r="B1883" s="266">
        <f>IFERROR(__xludf.DUMMYFUNCTION("""COMPUTED_VALUE"""),45971.0)</f>
        <v>45971</v>
      </c>
      <c r="C1883" s="266" t="str">
        <f>IFERROR(__xludf.DUMMYFUNCTION("""COMPUTED_VALUE"""),"KYAI KONTONG")</f>
        <v>KYAI KONTONG</v>
      </c>
      <c r="D1883" s="186">
        <f>IFERROR(__xludf.DUMMYFUNCTION("""COMPUTED_VALUE"""),1.0)</f>
        <v>1</v>
      </c>
    </row>
    <row r="1884">
      <c r="A1884" s="178" t="str">
        <f>IFERROR(__xludf.DUMMYFUNCTION("""COMPUTED_VALUE"""),"ITBISA-ABC-BATERAI-AA-ALKALINE")</f>
        <v>ITBISA-ABC-BATERAI-AA-ALKALINE</v>
      </c>
      <c r="B1884" s="266">
        <f>IFERROR(__xludf.DUMMYFUNCTION("""COMPUTED_VALUE"""),45972.0)</f>
        <v>45972</v>
      </c>
      <c r="C1884" s="266" t="str">
        <f>IFERROR(__xludf.DUMMYFUNCTION("""COMPUTED_VALUE"""),"KERTASARI CIAMIS")</f>
        <v>KERTASARI CIAMIS</v>
      </c>
      <c r="D1884" s="186">
        <f>IFERROR(__xludf.DUMMYFUNCTION("""COMPUTED_VALUE"""),6.0)</f>
        <v>6</v>
      </c>
    </row>
    <row r="1885">
      <c r="A1885" s="178" t="str">
        <f>IFERROR(__xludf.DUMMYFUNCTION("""COMPUTED_VALUE"""),"ITBISA-ABC-BATERAI-AA-ALKALINE")</f>
        <v>ITBISA-ABC-BATERAI-AA-ALKALINE</v>
      </c>
      <c r="B1885" s="266">
        <f>IFERROR(__xludf.DUMMYFUNCTION("""COMPUTED_VALUE"""),45972.0)</f>
        <v>45972</v>
      </c>
      <c r="C1885" s="266" t="str">
        <f>IFERROR(__xludf.DUMMYFUNCTION("""COMPUTED_VALUE"""),"KYAI KONTONG")</f>
        <v>KYAI KONTONG</v>
      </c>
      <c r="D1885" s="186">
        <f>IFERROR(__xludf.DUMMYFUNCTION("""COMPUTED_VALUE"""),1.0)</f>
        <v>1</v>
      </c>
    </row>
    <row r="1886">
      <c r="A1886" s="178" t="str">
        <f>IFERROR(__xludf.DUMMYFUNCTION("""COMPUTED_VALUE"""),"ITBISA-ABC-BATERAI-AA-ALKALINE")</f>
        <v>ITBISA-ABC-BATERAI-AA-ALKALINE</v>
      </c>
      <c r="B1886" s="266">
        <f>IFERROR(__xludf.DUMMYFUNCTION("""COMPUTED_VALUE"""),45972.0)</f>
        <v>45972</v>
      </c>
      <c r="C1886" s="266" t="str">
        <f>IFERROR(__xludf.DUMMYFUNCTION("""COMPUTED_VALUE"""),"KYAI KONTONG")</f>
        <v>KYAI KONTONG</v>
      </c>
      <c r="D1886" s="186">
        <f>IFERROR(__xludf.DUMMYFUNCTION("""COMPUTED_VALUE"""),1.0)</f>
        <v>1</v>
      </c>
    </row>
    <row r="1887">
      <c r="A1887" s="178" t="str">
        <f>IFERROR(__xludf.DUMMYFUNCTION("""COMPUTED_VALUE"""),"ITBISA-ABC-BATERAI-AA-ALKALINE")</f>
        <v>ITBISA-ABC-BATERAI-AA-ALKALINE</v>
      </c>
      <c r="B1887" s="266">
        <f>IFERROR(__xludf.DUMMYFUNCTION("""COMPUTED_VALUE"""),45972.0)</f>
        <v>45972</v>
      </c>
      <c r="C1887" s="266" t="str">
        <f>IFERROR(__xludf.DUMMYFUNCTION("""COMPUTED_VALUE"""),"KYAI KONTONG")</f>
        <v>KYAI KONTONG</v>
      </c>
      <c r="D1887" s="186">
        <f>IFERROR(__xludf.DUMMYFUNCTION("""COMPUTED_VALUE"""),1.0)</f>
        <v>1</v>
      </c>
    </row>
    <row r="1888">
      <c r="A1888" s="178" t="str">
        <f>IFERROR(__xludf.DUMMYFUNCTION("""COMPUTED_VALUE"""),"ITBISA-ABC-BATERAI-AA-ALKALINE")</f>
        <v>ITBISA-ABC-BATERAI-AA-ALKALINE</v>
      </c>
      <c r="B1888" s="266">
        <f>IFERROR(__xludf.DUMMYFUNCTION("""COMPUTED_VALUE"""),45972.0)</f>
        <v>45972</v>
      </c>
      <c r="C1888" s="266" t="str">
        <f>IFERROR(__xludf.DUMMYFUNCTION("""COMPUTED_VALUE"""),"KYAI KONTONG")</f>
        <v>KYAI KONTONG</v>
      </c>
      <c r="D1888" s="186">
        <f>IFERROR(__xludf.DUMMYFUNCTION("""COMPUTED_VALUE"""),2.0)</f>
        <v>2</v>
      </c>
    </row>
    <row r="1889">
      <c r="A1889" s="178" t="str">
        <f>IFERROR(__xludf.DUMMYFUNCTION("""COMPUTED_VALUE"""),"ITBISA-ABC-BATERAI-AA-ALKALINE")</f>
        <v>ITBISA-ABC-BATERAI-AA-ALKALINE</v>
      </c>
      <c r="B1889" s="266">
        <f>IFERROR(__xludf.DUMMYFUNCTION("""COMPUTED_VALUE"""),45972.0)</f>
        <v>45972</v>
      </c>
      <c r="C1889" s="266" t="str">
        <f>IFERROR(__xludf.DUMMYFUNCTION("""COMPUTED_VALUE"""),"KYAI KONTONG")</f>
        <v>KYAI KONTONG</v>
      </c>
      <c r="D1889" s="186">
        <f>IFERROR(__xludf.DUMMYFUNCTION("""COMPUTED_VALUE"""),2.0)</f>
        <v>2</v>
      </c>
    </row>
    <row r="1890">
      <c r="A1890" s="178" t="str">
        <f>IFERROR(__xludf.DUMMYFUNCTION("""COMPUTED_VALUE"""),"ITBISA-ABC-BATERAI-AA-ALKALINE")</f>
        <v>ITBISA-ABC-BATERAI-AA-ALKALINE</v>
      </c>
      <c r="B1890" s="266">
        <f>IFERROR(__xludf.DUMMYFUNCTION("""COMPUTED_VALUE"""),45972.0)</f>
        <v>45972</v>
      </c>
      <c r="C1890" s="266" t="str">
        <f>IFERROR(__xludf.DUMMYFUNCTION("""COMPUTED_VALUE"""),"KYAI KONTONG")</f>
        <v>KYAI KONTONG</v>
      </c>
      <c r="D1890" s="186">
        <f>IFERROR(__xludf.DUMMYFUNCTION("""COMPUTED_VALUE"""),2.0)</f>
        <v>2</v>
      </c>
    </row>
    <row r="1891">
      <c r="A1891" s="178" t="str">
        <f>IFERROR(__xludf.DUMMYFUNCTION("""COMPUTED_VALUE"""),"ITBISA-ABC-BATERAI-AA-ALKALINE")</f>
        <v>ITBISA-ABC-BATERAI-AA-ALKALINE</v>
      </c>
      <c r="B1891" s="266">
        <f>IFERROR(__xludf.DUMMYFUNCTION("""COMPUTED_VALUE"""),45972.0)</f>
        <v>45972</v>
      </c>
      <c r="C1891" s="266" t="str">
        <f>IFERROR(__xludf.DUMMYFUNCTION("""COMPUTED_VALUE"""),"KYAI KONTONG")</f>
        <v>KYAI KONTONG</v>
      </c>
      <c r="D1891" s="186">
        <f>IFERROR(__xludf.DUMMYFUNCTION("""COMPUTED_VALUE"""),2.0)</f>
        <v>2</v>
      </c>
    </row>
    <row r="1892">
      <c r="A1892" s="178" t="str">
        <f>IFERROR(__xludf.DUMMYFUNCTION("""COMPUTED_VALUE"""),"ITBISA-ABC-BATERAI-AA-ALKALINE")</f>
        <v>ITBISA-ABC-BATERAI-AA-ALKALINE</v>
      </c>
      <c r="B1892" s="266">
        <f>IFERROR(__xludf.DUMMYFUNCTION("""COMPUTED_VALUE"""),45973.0)</f>
        <v>45973</v>
      </c>
      <c r="C1892" s="266" t="str">
        <f>IFERROR(__xludf.DUMMYFUNCTION("""COMPUTED_VALUE"""),"KYAI KONTONG")</f>
        <v>KYAI KONTONG</v>
      </c>
      <c r="D1892" s="186">
        <f>IFERROR(__xludf.DUMMYFUNCTION("""COMPUTED_VALUE"""),1.0)</f>
        <v>1</v>
      </c>
    </row>
    <row r="1893">
      <c r="A1893" s="178" t="str">
        <f>IFERROR(__xludf.DUMMYFUNCTION("""COMPUTED_VALUE"""),"ITBISA-ABC-BATERAI-AA-ALKALINE")</f>
        <v>ITBISA-ABC-BATERAI-AA-ALKALINE</v>
      </c>
      <c r="B1893" s="266">
        <f>IFERROR(__xludf.DUMMYFUNCTION("""COMPUTED_VALUE"""),45973.0)</f>
        <v>45973</v>
      </c>
      <c r="C1893" s="266" t="str">
        <f>IFERROR(__xludf.DUMMYFUNCTION("""COMPUTED_VALUE"""),"KYAI KONTONG")</f>
        <v>KYAI KONTONG</v>
      </c>
      <c r="D1893" s="186">
        <f>IFERROR(__xludf.DUMMYFUNCTION("""COMPUTED_VALUE"""),2.0)</f>
        <v>2</v>
      </c>
    </row>
    <row r="1894">
      <c r="A1894" s="178" t="str">
        <f>IFERROR(__xludf.DUMMYFUNCTION("""COMPUTED_VALUE"""),"ITBISA-ABC-BATERAI-AA-ALKALINE")</f>
        <v>ITBISA-ABC-BATERAI-AA-ALKALINE</v>
      </c>
      <c r="B1894" s="266">
        <f>IFERROR(__xludf.DUMMYFUNCTION("""COMPUTED_VALUE"""),45973.0)</f>
        <v>45973</v>
      </c>
      <c r="C1894" s="266" t="str">
        <f>IFERROR(__xludf.DUMMYFUNCTION("""COMPUTED_VALUE"""),"KYAI KONTONG")</f>
        <v>KYAI KONTONG</v>
      </c>
      <c r="D1894" s="186">
        <f>IFERROR(__xludf.DUMMYFUNCTION("""COMPUTED_VALUE"""),2.0)</f>
        <v>2</v>
      </c>
    </row>
    <row r="1895">
      <c r="A1895" s="178" t="str">
        <f>IFERROR(__xludf.DUMMYFUNCTION("""COMPUTED_VALUE"""),"ITBISA-ABC-BATERAI-AA-ALKALINE")</f>
        <v>ITBISA-ABC-BATERAI-AA-ALKALINE</v>
      </c>
      <c r="B1895" s="266">
        <f>IFERROR(__xludf.DUMMYFUNCTION("""COMPUTED_VALUE"""),45974.0)</f>
        <v>45974</v>
      </c>
      <c r="C1895" s="266" t="str">
        <f>IFERROR(__xludf.DUMMYFUNCTION("""COMPUTED_VALUE"""),"KYAI KONTONG")</f>
        <v>KYAI KONTONG</v>
      </c>
      <c r="D1895" s="186">
        <f>IFERROR(__xludf.DUMMYFUNCTION("""COMPUTED_VALUE"""),1.0)</f>
        <v>1</v>
      </c>
    </row>
    <row r="1896">
      <c r="A1896" s="178" t="str">
        <f>IFERROR(__xludf.DUMMYFUNCTION("""COMPUTED_VALUE"""),"ITBISA-ABC-BATERAI-AA-ALKALINE")</f>
        <v>ITBISA-ABC-BATERAI-AA-ALKALINE</v>
      </c>
      <c r="B1896" s="266">
        <f>IFERROR(__xludf.DUMMYFUNCTION("""COMPUTED_VALUE"""),45974.0)</f>
        <v>45974</v>
      </c>
      <c r="C1896" s="266" t="str">
        <f>IFERROR(__xludf.DUMMYFUNCTION("""COMPUTED_VALUE"""),"KYAI KONTONG")</f>
        <v>KYAI KONTONG</v>
      </c>
      <c r="D1896" s="186">
        <f>IFERROR(__xludf.DUMMYFUNCTION("""COMPUTED_VALUE"""),4.0)</f>
        <v>4</v>
      </c>
    </row>
    <row r="1897">
      <c r="A1897" s="178" t="str">
        <f>IFERROR(__xludf.DUMMYFUNCTION("""COMPUTED_VALUE"""),"ITBISA-ABC-BATERAI-AA-ALKALINE")</f>
        <v>ITBISA-ABC-BATERAI-AA-ALKALINE</v>
      </c>
      <c r="B1897" s="266">
        <f>IFERROR(__xludf.DUMMYFUNCTION("""COMPUTED_VALUE"""),45975.0)</f>
        <v>45975</v>
      </c>
      <c r="C1897" s="266" t="str">
        <f>IFERROR(__xludf.DUMMYFUNCTION("""COMPUTED_VALUE"""),"KYAI KONTONG")</f>
        <v>KYAI KONTONG</v>
      </c>
      <c r="D1897" s="186">
        <f>IFERROR(__xludf.DUMMYFUNCTION("""COMPUTED_VALUE"""),1.0)</f>
        <v>1</v>
      </c>
    </row>
    <row r="1898">
      <c r="A1898" s="178" t="str">
        <f>IFERROR(__xludf.DUMMYFUNCTION("""COMPUTED_VALUE"""),"ITBISA-ABC-BATERAI-AA-ALKALINE")</f>
        <v>ITBISA-ABC-BATERAI-AA-ALKALINE</v>
      </c>
      <c r="B1898" s="266">
        <f>IFERROR(__xludf.DUMMYFUNCTION("""COMPUTED_VALUE"""),45975.0)</f>
        <v>45975</v>
      </c>
      <c r="C1898" s="266" t="str">
        <f>IFERROR(__xludf.DUMMYFUNCTION("""COMPUTED_VALUE"""),"KYAI KONTONG")</f>
        <v>KYAI KONTONG</v>
      </c>
      <c r="D1898" s="186">
        <f>IFERROR(__xludf.DUMMYFUNCTION("""COMPUTED_VALUE"""),2.0)</f>
        <v>2</v>
      </c>
    </row>
    <row r="1899">
      <c r="A1899" s="178" t="str">
        <f>IFERROR(__xludf.DUMMYFUNCTION("""COMPUTED_VALUE"""),"ITBISA-ABC-BATERAI-AA-ALKALINE")</f>
        <v>ITBISA-ABC-BATERAI-AA-ALKALINE</v>
      </c>
      <c r="B1899" s="266">
        <f>IFERROR(__xludf.DUMMYFUNCTION("""COMPUTED_VALUE"""),45975.0)</f>
        <v>45975</v>
      </c>
      <c r="C1899" s="266" t="str">
        <f>IFERROR(__xludf.DUMMYFUNCTION("""COMPUTED_VALUE"""),"KYAI KONTONG")</f>
        <v>KYAI KONTONG</v>
      </c>
      <c r="D1899" s="186">
        <f>IFERROR(__xludf.DUMMYFUNCTION("""COMPUTED_VALUE"""),2.0)</f>
        <v>2</v>
      </c>
    </row>
    <row r="1900">
      <c r="A1900" s="178" t="str">
        <f>IFERROR(__xludf.DUMMYFUNCTION("""COMPUTED_VALUE"""),"ITBISA-ABC-BATERAI-AA-ALKALINE")</f>
        <v>ITBISA-ABC-BATERAI-AA-ALKALINE</v>
      </c>
      <c r="B1900" s="266">
        <f>IFERROR(__xludf.DUMMYFUNCTION("""COMPUTED_VALUE"""),45975.0)</f>
        <v>45975</v>
      </c>
      <c r="C1900" s="266" t="str">
        <f>IFERROR(__xludf.DUMMYFUNCTION("""COMPUTED_VALUE"""),"KYAI KONTONG")</f>
        <v>KYAI KONTONG</v>
      </c>
      <c r="D1900" s="186">
        <f>IFERROR(__xludf.DUMMYFUNCTION("""COMPUTED_VALUE"""),4.0)</f>
        <v>4</v>
      </c>
    </row>
    <row r="1901">
      <c r="A1901" s="178" t="str">
        <f>IFERROR(__xludf.DUMMYFUNCTION("""COMPUTED_VALUE"""),"ITBISA-ABC-BATERAI-AA-ALKALINE")</f>
        <v>ITBISA-ABC-BATERAI-AA-ALKALINE</v>
      </c>
      <c r="B1901" s="266">
        <f>IFERROR(__xludf.DUMMYFUNCTION("""COMPUTED_VALUE"""),45975.0)</f>
        <v>45975</v>
      </c>
      <c r="C1901" s="266" t="str">
        <f>IFERROR(__xludf.DUMMYFUNCTION("""COMPUTED_VALUE"""),"KYAI KONTONG")</f>
        <v>KYAI KONTONG</v>
      </c>
      <c r="D1901" s="186">
        <f>IFERROR(__xludf.DUMMYFUNCTION("""COMPUTED_VALUE"""),12.0)</f>
        <v>12</v>
      </c>
    </row>
    <row r="1902">
      <c r="A1902" s="178" t="str">
        <f>IFERROR(__xludf.DUMMYFUNCTION("""COMPUTED_VALUE"""),"ITBISA-ABC-BATERAI-AA-ALKALINE")</f>
        <v>ITBISA-ABC-BATERAI-AA-ALKALINE</v>
      </c>
      <c r="B1902" s="266">
        <f>IFERROR(__xludf.DUMMYFUNCTION("""COMPUTED_VALUE"""),45976.0)</f>
        <v>45976</v>
      </c>
      <c r="C1902" s="266" t="str">
        <f>IFERROR(__xludf.DUMMYFUNCTION("""COMPUTED_VALUE"""),"KYAI KONTONG")</f>
        <v>KYAI KONTONG</v>
      </c>
      <c r="D1902" s="186">
        <f>IFERROR(__xludf.DUMMYFUNCTION("""COMPUTED_VALUE"""),1.0)</f>
        <v>1</v>
      </c>
    </row>
    <row r="1903">
      <c r="A1903" s="178" t="str">
        <f>IFERROR(__xludf.DUMMYFUNCTION("""COMPUTED_VALUE"""),"ITBISA-ABC-BATERAI-AA-ALKALINE")</f>
        <v>ITBISA-ABC-BATERAI-AA-ALKALINE</v>
      </c>
      <c r="B1903" s="266">
        <f>IFERROR(__xludf.DUMMYFUNCTION("""COMPUTED_VALUE"""),45976.0)</f>
        <v>45976</v>
      </c>
      <c r="C1903" s="266" t="str">
        <f>IFERROR(__xludf.DUMMYFUNCTION("""COMPUTED_VALUE"""),"KYAI KONTONG")</f>
        <v>KYAI KONTONG</v>
      </c>
      <c r="D1903" s="186">
        <f>IFERROR(__xludf.DUMMYFUNCTION("""COMPUTED_VALUE"""),2.0)</f>
        <v>2</v>
      </c>
    </row>
    <row r="1904">
      <c r="A1904" s="178" t="str">
        <f>IFERROR(__xludf.DUMMYFUNCTION("""COMPUTED_VALUE"""),"ITBISA-ABC-BATERAI-AA-ALKALINE")</f>
        <v>ITBISA-ABC-BATERAI-AA-ALKALINE</v>
      </c>
      <c r="B1904" s="266">
        <f>IFERROR(__xludf.DUMMYFUNCTION("""COMPUTED_VALUE"""),45976.0)</f>
        <v>45976</v>
      </c>
      <c r="C1904" s="266" t="str">
        <f>IFERROR(__xludf.DUMMYFUNCTION("""COMPUTED_VALUE"""),"KYAI KONTONG")</f>
        <v>KYAI KONTONG</v>
      </c>
      <c r="D1904" s="186">
        <f>IFERROR(__xludf.DUMMYFUNCTION("""COMPUTED_VALUE"""),2.0)</f>
        <v>2</v>
      </c>
    </row>
    <row r="1905">
      <c r="A1905" s="178" t="str">
        <f>IFERROR(__xludf.DUMMYFUNCTION("""COMPUTED_VALUE"""),"ITBISA-ABC-BATERAI-AA-ALKALINE")</f>
        <v>ITBISA-ABC-BATERAI-AA-ALKALINE</v>
      </c>
      <c r="B1905" s="266">
        <f>IFERROR(__xludf.DUMMYFUNCTION("""COMPUTED_VALUE"""),45976.0)</f>
        <v>45976</v>
      </c>
      <c r="C1905" s="266" t="str">
        <f>IFERROR(__xludf.DUMMYFUNCTION("""COMPUTED_VALUE"""),"KYAI KONTONG")</f>
        <v>KYAI KONTONG</v>
      </c>
      <c r="D1905" s="186">
        <f>IFERROR(__xludf.DUMMYFUNCTION("""COMPUTED_VALUE"""),56.0)</f>
        <v>56</v>
      </c>
    </row>
    <row r="1906">
      <c r="A1906" s="178" t="str">
        <f>IFERROR(__xludf.DUMMYFUNCTION("""COMPUTED_VALUE"""),"ITBISA-ABC-BATERAI-AA-ALKALINE")</f>
        <v>ITBISA-ABC-BATERAI-AA-ALKALINE</v>
      </c>
      <c r="B1906" s="266">
        <f>IFERROR(__xludf.DUMMYFUNCTION("""COMPUTED_VALUE"""),45977.0)</f>
        <v>45977</v>
      </c>
      <c r="C1906" s="266" t="str">
        <f>IFERROR(__xludf.DUMMYFUNCTION("""COMPUTED_VALUE"""),"KYAI KONTONG")</f>
        <v>KYAI KONTONG</v>
      </c>
      <c r="D1906" s="186">
        <f>IFERROR(__xludf.DUMMYFUNCTION("""COMPUTED_VALUE"""),1.0)</f>
        <v>1</v>
      </c>
    </row>
    <row r="1907">
      <c r="A1907" s="178" t="str">
        <f>IFERROR(__xludf.DUMMYFUNCTION("""COMPUTED_VALUE"""),"ITBISA-ABC-BATERAI-AA-ALKALINE")</f>
        <v>ITBISA-ABC-BATERAI-AA-ALKALINE</v>
      </c>
      <c r="B1907" s="266">
        <f>IFERROR(__xludf.DUMMYFUNCTION("""COMPUTED_VALUE"""),45977.0)</f>
        <v>45977</v>
      </c>
      <c r="C1907" s="266" t="str">
        <f>IFERROR(__xludf.DUMMYFUNCTION("""COMPUTED_VALUE"""),"KYAI KONTONG")</f>
        <v>KYAI KONTONG</v>
      </c>
      <c r="D1907" s="186">
        <f>IFERROR(__xludf.DUMMYFUNCTION("""COMPUTED_VALUE"""),2.0)</f>
        <v>2</v>
      </c>
    </row>
    <row r="1908">
      <c r="A1908" s="178" t="str">
        <f>IFERROR(__xludf.DUMMYFUNCTION("""COMPUTED_VALUE"""),"ITBISA-ABC-BATERAI-AA-ALKALINE")</f>
        <v>ITBISA-ABC-BATERAI-AA-ALKALINE</v>
      </c>
      <c r="B1908" s="266">
        <f>IFERROR(__xludf.DUMMYFUNCTION("""COMPUTED_VALUE"""),45977.0)</f>
        <v>45977</v>
      </c>
      <c r="C1908" s="266" t="str">
        <f>IFERROR(__xludf.DUMMYFUNCTION("""COMPUTED_VALUE"""),"KYAI KONTONG")</f>
        <v>KYAI KONTONG</v>
      </c>
      <c r="D1908" s="186">
        <f>IFERROR(__xludf.DUMMYFUNCTION("""COMPUTED_VALUE"""),2.0)</f>
        <v>2</v>
      </c>
    </row>
    <row r="1909">
      <c r="A1909" s="178" t="str">
        <f>IFERROR(__xludf.DUMMYFUNCTION("""COMPUTED_VALUE"""),"ITBISA-ABC-BATERAI-AA-ALKALINE")</f>
        <v>ITBISA-ABC-BATERAI-AA-ALKALINE</v>
      </c>
      <c r="B1909" s="266">
        <f>IFERROR(__xludf.DUMMYFUNCTION("""COMPUTED_VALUE"""),45977.0)</f>
        <v>45977</v>
      </c>
      <c r="C1909" s="266" t="str">
        <f>IFERROR(__xludf.DUMMYFUNCTION("""COMPUTED_VALUE"""),"KYAI KONTONG")</f>
        <v>KYAI KONTONG</v>
      </c>
      <c r="D1909" s="186">
        <f>IFERROR(__xludf.DUMMYFUNCTION("""COMPUTED_VALUE"""),2.0)</f>
        <v>2</v>
      </c>
    </row>
    <row r="1910">
      <c r="A1910" s="178" t="str">
        <f>IFERROR(__xludf.DUMMYFUNCTION("""COMPUTED_VALUE"""),"ITBISA-ABC-BATERAI-AA-ALKALINE")</f>
        <v>ITBISA-ABC-BATERAI-AA-ALKALINE</v>
      </c>
      <c r="B1910" s="266">
        <f>IFERROR(__xludf.DUMMYFUNCTION("""COMPUTED_VALUE"""),45977.0)</f>
        <v>45977</v>
      </c>
      <c r="C1910" s="266" t="str">
        <f>IFERROR(__xludf.DUMMYFUNCTION("""COMPUTED_VALUE"""),"KYAI KONTONG")</f>
        <v>KYAI KONTONG</v>
      </c>
      <c r="D1910" s="186">
        <f>IFERROR(__xludf.DUMMYFUNCTION("""COMPUTED_VALUE"""),2.0)</f>
        <v>2</v>
      </c>
    </row>
    <row r="1911">
      <c r="A1911" s="178" t="str">
        <f>IFERROR(__xludf.DUMMYFUNCTION("""COMPUTED_VALUE"""),"ITBISA-ABC-BATERAI-AA-ALKALINE")</f>
        <v>ITBISA-ABC-BATERAI-AA-ALKALINE</v>
      </c>
      <c r="B1911" s="266">
        <f>IFERROR(__xludf.DUMMYFUNCTION("""COMPUTED_VALUE"""),45978.0)</f>
        <v>45978</v>
      </c>
      <c r="C1911" s="266" t="str">
        <f>IFERROR(__xludf.DUMMYFUNCTION("""COMPUTED_VALUE"""),"KERTASARI CIAMIS")</f>
        <v>KERTASARI CIAMIS</v>
      </c>
      <c r="D1911" s="186">
        <f>IFERROR(__xludf.DUMMYFUNCTION("""COMPUTED_VALUE"""),1.0)</f>
        <v>1</v>
      </c>
    </row>
    <row r="1912">
      <c r="A1912" s="178" t="str">
        <f>IFERROR(__xludf.DUMMYFUNCTION("""COMPUTED_VALUE"""),"ITBISA-ABC-BATERAI-AA-ALKALINE")</f>
        <v>ITBISA-ABC-BATERAI-AA-ALKALINE</v>
      </c>
      <c r="B1912" s="266">
        <f>IFERROR(__xludf.DUMMYFUNCTION("""COMPUTED_VALUE"""),45978.0)</f>
        <v>45978</v>
      </c>
      <c r="C1912" s="266" t="str">
        <f>IFERROR(__xludf.DUMMYFUNCTION("""COMPUTED_VALUE"""),"KERTASARI CIAMIS")</f>
        <v>KERTASARI CIAMIS</v>
      </c>
      <c r="D1912" s="186">
        <f>IFERROR(__xludf.DUMMYFUNCTION("""COMPUTED_VALUE"""),2.0)</f>
        <v>2</v>
      </c>
    </row>
    <row r="1913">
      <c r="A1913" s="178" t="str">
        <f>IFERROR(__xludf.DUMMYFUNCTION("""COMPUTED_VALUE"""),"ITBISA-ABC-BATERAI-AA-ALKALINE")</f>
        <v>ITBISA-ABC-BATERAI-AA-ALKALINE</v>
      </c>
      <c r="B1913" s="266">
        <f>IFERROR(__xludf.DUMMYFUNCTION("""COMPUTED_VALUE"""),45978.0)</f>
        <v>45978</v>
      </c>
      <c r="C1913" s="266" t="str">
        <f>IFERROR(__xludf.DUMMYFUNCTION("""COMPUTED_VALUE"""),"KYAI KONTONG")</f>
        <v>KYAI KONTONG</v>
      </c>
      <c r="D1913" s="186">
        <f>IFERROR(__xludf.DUMMYFUNCTION("""COMPUTED_VALUE"""),1.0)</f>
        <v>1</v>
      </c>
    </row>
    <row r="1914">
      <c r="A1914" s="178" t="str">
        <f>IFERROR(__xludf.DUMMYFUNCTION("""COMPUTED_VALUE"""),"ITBISA-ABC-BATERAI-AA-ALKALINE")</f>
        <v>ITBISA-ABC-BATERAI-AA-ALKALINE</v>
      </c>
      <c r="B1914" s="266">
        <f>IFERROR(__xludf.DUMMYFUNCTION("""COMPUTED_VALUE"""),45978.0)</f>
        <v>45978</v>
      </c>
      <c r="C1914" s="266" t="str">
        <f>IFERROR(__xludf.DUMMYFUNCTION("""COMPUTED_VALUE"""),"KYAI KONTONG")</f>
        <v>KYAI KONTONG</v>
      </c>
      <c r="D1914" s="186">
        <f>IFERROR(__xludf.DUMMYFUNCTION("""COMPUTED_VALUE"""),1.0)</f>
        <v>1</v>
      </c>
    </row>
    <row r="1915">
      <c r="A1915" s="178" t="str">
        <f>IFERROR(__xludf.DUMMYFUNCTION("""COMPUTED_VALUE"""),"ITBISA-ABC-BATERAI-AA-ALKALINE")</f>
        <v>ITBISA-ABC-BATERAI-AA-ALKALINE</v>
      </c>
      <c r="B1915" s="266">
        <f>IFERROR(__xludf.DUMMYFUNCTION("""COMPUTED_VALUE"""),45978.0)</f>
        <v>45978</v>
      </c>
      <c r="C1915" s="266" t="str">
        <f>IFERROR(__xludf.DUMMYFUNCTION("""COMPUTED_VALUE"""),"KYAI KONTONG")</f>
        <v>KYAI KONTONG</v>
      </c>
      <c r="D1915" s="186">
        <f>IFERROR(__xludf.DUMMYFUNCTION("""COMPUTED_VALUE"""),2.0)</f>
        <v>2</v>
      </c>
    </row>
    <row r="1916">
      <c r="A1916" s="178" t="str">
        <f>IFERROR(__xludf.DUMMYFUNCTION("""COMPUTED_VALUE"""),"ITBISA-ABC-BATERAI-AA-ALKALINE")</f>
        <v>ITBISA-ABC-BATERAI-AA-ALKALINE</v>
      </c>
      <c r="B1916" s="266">
        <f>IFERROR(__xludf.DUMMYFUNCTION("""COMPUTED_VALUE"""),45978.0)</f>
        <v>45978</v>
      </c>
      <c r="C1916" s="266" t="str">
        <f>IFERROR(__xludf.DUMMYFUNCTION("""COMPUTED_VALUE"""),"KYAI KONTONG")</f>
        <v>KYAI KONTONG</v>
      </c>
      <c r="D1916" s="186">
        <f>IFERROR(__xludf.DUMMYFUNCTION("""COMPUTED_VALUE"""),2.0)</f>
        <v>2</v>
      </c>
    </row>
    <row r="1917">
      <c r="A1917" s="178" t="str">
        <f>IFERROR(__xludf.DUMMYFUNCTION("""COMPUTED_VALUE"""),"ITBISA-ABC-BATERAI-AA-ALKALINE")</f>
        <v>ITBISA-ABC-BATERAI-AA-ALKALINE</v>
      </c>
      <c r="B1917" s="266">
        <f>IFERROR(__xludf.DUMMYFUNCTION("""COMPUTED_VALUE"""),45978.0)</f>
        <v>45978</v>
      </c>
      <c r="C1917" s="266" t="str">
        <f>IFERROR(__xludf.DUMMYFUNCTION("""COMPUTED_VALUE"""),"KYAI KONTONG")</f>
        <v>KYAI KONTONG</v>
      </c>
      <c r="D1917" s="186">
        <f>IFERROR(__xludf.DUMMYFUNCTION("""COMPUTED_VALUE"""),2.0)</f>
        <v>2</v>
      </c>
    </row>
    <row r="1918">
      <c r="A1918" s="178" t="str">
        <f>IFERROR(__xludf.DUMMYFUNCTION("""COMPUTED_VALUE"""),"ITBISA-ABC-BATERAI-AA-ALKALINE")</f>
        <v>ITBISA-ABC-BATERAI-AA-ALKALINE</v>
      </c>
      <c r="B1918" s="266">
        <f>IFERROR(__xludf.DUMMYFUNCTION("""COMPUTED_VALUE"""),45978.0)</f>
        <v>45978</v>
      </c>
      <c r="C1918" s="266" t="str">
        <f>IFERROR(__xludf.DUMMYFUNCTION("""COMPUTED_VALUE"""),"KYAI KONTONG")</f>
        <v>KYAI KONTONG</v>
      </c>
      <c r="D1918" s="186">
        <f>IFERROR(__xludf.DUMMYFUNCTION("""COMPUTED_VALUE"""),2.0)</f>
        <v>2</v>
      </c>
    </row>
    <row r="1919">
      <c r="A1919" s="178" t="str">
        <f>IFERROR(__xludf.DUMMYFUNCTION("""COMPUTED_VALUE"""),"ITBISA-ABC-BATERAI-AA-ALKALINE")</f>
        <v>ITBISA-ABC-BATERAI-AA-ALKALINE</v>
      </c>
      <c r="B1919" s="266">
        <f>IFERROR(__xludf.DUMMYFUNCTION("""COMPUTED_VALUE"""),45978.0)</f>
        <v>45978</v>
      </c>
      <c r="C1919" s="266" t="str">
        <f>IFERROR(__xludf.DUMMYFUNCTION("""COMPUTED_VALUE"""),"KYAI KONTONG")</f>
        <v>KYAI KONTONG</v>
      </c>
      <c r="D1919" s="186">
        <f>IFERROR(__xludf.DUMMYFUNCTION("""COMPUTED_VALUE"""),2.0)</f>
        <v>2</v>
      </c>
    </row>
    <row r="1920">
      <c r="A1920" s="178" t="str">
        <f>IFERROR(__xludf.DUMMYFUNCTION("""COMPUTED_VALUE"""),"ITBISA-ABC-BATERAI-AA-ALKALINE")</f>
        <v>ITBISA-ABC-BATERAI-AA-ALKALINE</v>
      </c>
      <c r="B1920" s="266">
        <f>IFERROR(__xludf.DUMMYFUNCTION("""COMPUTED_VALUE"""),45978.0)</f>
        <v>45978</v>
      </c>
      <c r="C1920" s="266" t="str">
        <f>IFERROR(__xludf.DUMMYFUNCTION("""COMPUTED_VALUE"""),"KYAI KONTONG")</f>
        <v>KYAI KONTONG</v>
      </c>
      <c r="D1920" s="186">
        <f>IFERROR(__xludf.DUMMYFUNCTION("""COMPUTED_VALUE"""),5.0)</f>
        <v>5</v>
      </c>
    </row>
    <row r="1921">
      <c r="A1921" s="178" t="str">
        <f>IFERROR(__xludf.DUMMYFUNCTION("""COMPUTED_VALUE"""),"ITBISA-ABC-BATERAI-AA-ALKALINE")</f>
        <v>ITBISA-ABC-BATERAI-AA-ALKALINE</v>
      </c>
      <c r="B1921" s="266">
        <f>IFERROR(__xludf.DUMMYFUNCTION("""COMPUTED_VALUE"""),45979.0)</f>
        <v>45979</v>
      </c>
      <c r="C1921" s="266" t="str">
        <f>IFERROR(__xludf.DUMMYFUNCTION("""COMPUTED_VALUE"""),"KERTASARI CIAMIS")</f>
        <v>KERTASARI CIAMIS</v>
      </c>
      <c r="D1921" s="186">
        <f>IFERROR(__xludf.DUMMYFUNCTION("""COMPUTED_VALUE"""),6.0)</f>
        <v>6</v>
      </c>
    </row>
    <row r="1922">
      <c r="A1922" s="178" t="str">
        <f>IFERROR(__xludf.DUMMYFUNCTION("""COMPUTED_VALUE"""),"ITBISA-ABC-BATERAI-AA-ALKALINE")</f>
        <v>ITBISA-ABC-BATERAI-AA-ALKALINE</v>
      </c>
      <c r="B1922" s="266">
        <f>IFERROR(__xludf.DUMMYFUNCTION("""COMPUTED_VALUE"""),45979.0)</f>
        <v>45979</v>
      </c>
      <c r="C1922" s="266" t="str">
        <f>IFERROR(__xludf.DUMMYFUNCTION("""COMPUTED_VALUE"""),"KYAI KONTONG")</f>
        <v>KYAI KONTONG</v>
      </c>
      <c r="D1922" s="186">
        <f>IFERROR(__xludf.DUMMYFUNCTION("""COMPUTED_VALUE"""),2.0)</f>
        <v>2</v>
      </c>
    </row>
    <row r="1923">
      <c r="A1923" s="178" t="str">
        <f>IFERROR(__xludf.DUMMYFUNCTION("""COMPUTED_VALUE"""),"ITBISA-ABC-BATERAI-AA-ALKALINE")</f>
        <v>ITBISA-ABC-BATERAI-AA-ALKALINE</v>
      </c>
      <c r="B1923" s="266">
        <f>IFERROR(__xludf.DUMMYFUNCTION("""COMPUTED_VALUE"""),45979.0)</f>
        <v>45979</v>
      </c>
      <c r="C1923" s="266" t="str">
        <f>IFERROR(__xludf.DUMMYFUNCTION("""COMPUTED_VALUE"""),"KYAI KONTONG")</f>
        <v>KYAI KONTONG</v>
      </c>
      <c r="D1923" s="186">
        <f>IFERROR(__xludf.DUMMYFUNCTION("""COMPUTED_VALUE"""),2.0)</f>
        <v>2</v>
      </c>
    </row>
    <row r="1924">
      <c r="A1924" s="178" t="str">
        <f>IFERROR(__xludf.DUMMYFUNCTION("""COMPUTED_VALUE"""),"ITBISA-ABC-BATERAI-AA-ALKALINE")</f>
        <v>ITBISA-ABC-BATERAI-AA-ALKALINE</v>
      </c>
      <c r="B1924" s="266">
        <f>IFERROR(__xludf.DUMMYFUNCTION("""COMPUTED_VALUE"""),45980.0)</f>
        <v>45980</v>
      </c>
      <c r="C1924" s="266" t="str">
        <f>IFERROR(__xludf.DUMMYFUNCTION("""COMPUTED_VALUE"""),"KYAI KONTONG")</f>
        <v>KYAI KONTONG</v>
      </c>
      <c r="D1924" s="186">
        <f>IFERROR(__xludf.DUMMYFUNCTION("""COMPUTED_VALUE"""),1.0)</f>
        <v>1</v>
      </c>
    </row>
    <row r="1925">
      <c r="A1925" s="178" t="str">
        <f>IFERROR(__xludf.DUMMYFUNCTION("""COMPUTED_VALUE"""),"ITBISA-ABC-BATERAI-AA-ALKALINE")</f>
        <v>ITBISA-ABC-BATERAI-AA-ALKALINE</v>
      </c>
      <c r="B1925" s="266">
        <f>IFERROR(__xludf.DUMMYFUNCTION("""COMPUTED_VALUE"""),45980.0)</f>
        <v>45980</v>
      </c>
      <c r="C1925" s="266" t="str">
        <f>IFERROR(__xludf.DUMMYFUNCTION("""COMPUTED_VALUE"""),"KYAI KONTONG")</f>
        <v>KYAI KONTONG</v>
      </c>
      <c r="D1925" s="186">
        <f>IFERROR(__xludf.DUMMYFUNCTION("""COMPUTED_VALUE"""),1.0)</f>
        <v>1</v>
      </c>
    </row>
    <row r="1926">
      <c r="A1926" s="178" t="str">
        <f>IFERROR(__xludf.DUMMYFUNCTION("""COMPUTED_VALUE"""),"ITBISA-ABC-BATERAI-AA-ALKALINE")</f>
        <v>ITBISA-ABC-BATERAI-AA-ALKALINE</v>
      </c>
      <c r="B1926" s="266">
        <f>IFERROR(__xludf.DUMMYFUNCTION("""COMPUTED_VALUE"""),45980.0)</f>
        <v>45980</v>
      </c>
      <c r="C1926" s="266" t="str">
        <f>IFERROR(__xludf.DUMMYFUNCTION("""COMPUTED_VALUE"""),"KYAI KONTONG")</f>
        <v>KYAI KONTONG</v>
      </c>
      <c r="D1926" s="186">
        <f>IFERROR(__xludf.DUMMYFUNCTION("""COMPUTED_VALUE"""),2.0)</f>
        <v>2</v>
      </c>
    </row>
    <row r="1927">
      <c r="A1927" s="178" t="str">
        <f>IFERROR(__xludf.DUMMYFUNCTION("""COMPUTED_VALUE"""),"ITBISA-ABC-BATERAI-AA-ALKALINE")</f>
        <v>ITBISA-ABC-BATERAI-AA-ALKALINE</v>
      </c>
      <c r="B1927" s="266">
        <f>IFERROR(__xludf.DUMMYFUNCTION("""COMPUTED_VALUE"""),45981.0)</f>
        <v>45981</v>
      </c>
      <c r="C1927" s="266" t="str">
        <f>IFERROR(__xludf.DUMMYFUNCTION("""COMPUTED_VALUE"""),"KERTASARI CIAMIS")</f>
        <v>KERTASARI CIAMIS</v>
      </c>
      <c r="D1927" s="186">
        <f>IFERROR(__xludf.DUMMYFUNCTION("""COMPUTED_VALUE"""),1.0)</f>
        <v>1</v>
      </c>
    </row>
    <row r="1928">
      <c r="A1928" s="178" t="str">
        <f>IFERROR(__xludf.DUMMYFUNCTION("""COMPUTED_VALUE"""),"ITBISA-ABC-BATERAI-AA-ALKALINE")</f>
        <v>ITBISA-ABC-BATERAI-AA-ALKALINE</v>
      </c>
      <c r="B1928" s="266">
        <f>IFERROR(__xludf.DUMMYFUNCTION("""COMPUTED_VALUE"""),45981.0)</f>
        <v>45981</v>
      </c>
      <c r="C1928" s="266" t="str">
        <f>IFERROR(__xludf.DUMMYFUNCTION("""COMPUTED_VALUE"""),"KERTASARI CIAMIS")</f>
        <v>KERTASARI CIAMIS</v>
      </c>
      <c r="D1928" s="186">
        <f>IFERROR(__xludf.DUMMYFUNCTION("""COMPUTED_VALUE"""),1.0)</f>
        <v>1</v>
      </c>
    </row>
    <row r="1929">
      <c r="A1929" s="178" t="str">
        <f>IFERROR(__xludf.DUMMYFUNCTION("""COMPUTED_VALUE"""),"ITBISA-ABC-BATERAI-AA-ALKALINE")</f>
        <v>ITBISA-ABC-BATERAI-AA-ALKALINE</v>
      </c>
      <c r="B1929" s="266">
        <f>IFERROR(__xludf.DUMMYFUNCTION("""COMPUTED_VALUE"""),45981.0)</f>
        <v>45981</v>
      </c>
      <c r="C1929" s="266" t="str">
        <f>IFERROR(__xludf.DUMMYFUNCTION("""COMPUTED_VALUE"""),"KERTASARI CIAMIS")</f>
        <v>KERTASARI CIAMIS</v>
      </c>
      <c r="D1929" s="186">
        <f>IFERROR(__xludf.DUMMYFUNCTION("""COMPUTED_VALUE"""),5.0)</f>
        <v>5</v>
      </c>
    </row>
    <row r="1930">
      <c r="A1930" s="178" t="str">
        <f>IFERROR(__xludf.DUMMYFUNCTION("""COMPUTED_VALUE"""),"ITBISA-ABC-BATERAI-AA-ALKALINE")</f>
        <v>ITBISA-ABC-BATERAI-AA-ALKALINE</v>
      </c>
      <c r="B1930" s="266">
        <f>IFERROR(__xludf.DUMMYFUNCTION("""COMPUTED_VALUE"""),45982.0)</f>
        <v>45982</v>
      </c>
      <c r="C1930" s="266" t="str">
        <f>IFERROR(__xludf.DUMMYFUNCTION("""COMPUTED_VALUE"""),"KERTASARI CIAMIS")</f>
        <v>KERTASARI CIAMIS</v>
      </c>
      <c r="D1930" s="186">
        <f>IFERROR(__xludf.DUMMYFUNCTION("""COMPUTED_VALUE"""),2.0)</f>
        <v>2</v>
      </c>
    </row>
    <row r="1931">
      <c r="A1931" s="178" t="str">
        <f>IFERROR(__xludf.DUMMYFUNCTION("""COMPUTED_VALUE"""),"ITBISA-ABC-BATERAI-AA-ALKALINE")</f>
        <v>ITBISA-ABC-BATERAI-AA-ALKALINE</v>
      </c>
      <c r="B1931" s="266">
        <f>IFERROR(__xludf.DUMMYFUNCTION("""COMPUTED_VALUE"""),45982.0)</f>
        <v>45982</v>
      </c>
      <c r="C1931" s="266" t="str">
        <f>IFERROR(__xludf.DUMMYFUNCTION("""COMPUTED_VALUE"""),"KERTASARI CIAMIS")</f>
        <v>KERTASARI CIAMIS</v>
      </c>
      <c r="D1931" s="186">
        <f>IFERROR(__xludf.DUMMYFUNCTION("""COMPUTED_VALUE"""),18.0)</f>
        <v>18</v>
      </c>
    </row>
    <row r="1932">
      <c r="A1932" s="178" t="str">
        <f>IFERROR(__xludf.DUMMYFUNCTION("""COMPUTED_VALUE"""),"ITBISA-ABC-BATERAI-AA-ALKALINE")</f>
        <v>ITBISA-ABC-BATERAI-AA-ALKALINE</v>
      </c>
      <c r="B1932" s="266">
        <f>IFERROR(__xludf.DUMMYFUNCTION("""COMPUTED_VALUE"""),45983.0)</f>
        <v>45983</v>
      </c>
      <c r="C1932" s="266" t="str">
        <f>IFERROR(__xludf.DUMMYFUNCTION("""COMPUTED_VALUE"""),"KERTASARI CIAMIS")</f>
        <v>KERTASARI CIAMIS</v>
      </c>
      <c r="D1932" s="186">
        <f>IFERROR(__xludf.DUMMYFUNCTION("""COMPUTED_VALUE"""),2.0)</f>
        <v>2</v>
      </c>
    </row>
    <row r="1933">
      <c r="A1933" s="178" t="str">
        <f>IFERROR(__xludf.DUMMYFUNCTION("""COMPUTED_VALUE"""),"ITBISA-ABC-BATERAI-AA-ALKALINE")</f>
        <v>ITBISA-ABC-BATERAI-AA-ALKALINE</v>
      </c>
      <c r="B1933" s="266">
        <f>IFERROR(__xludf.DUMMYFUNCTION("""COMPUTED_VALUE"""),45984.0)</f>
        <v>45984</v>
      </c>
      <c r="C1933" s="266" t="str">
        <f>IFERROR(__xludf.DUMMYFUNCTION("""COMPUTED_VALUE"""),"KERTASARI CIAMIS")</f>
        <v>KERTASARI CIAMIS</v>
      </c>
      <c r="D1933" s="186">
        <f>IFERROR(__xludf.DUMMYFUNCTION("""COMPUTED_VALUE"""),2.0)</f>
        <v>2</v>
      </c>
    </row>
    <row r="1934">
      <c r="A1934" s="178" t="str">
        <f>IFERROR(__xludf.DUMMYFUNCTION("""COMPUTED_VALUE"""),"ITBISA-ABC-BATERAI-AA-ALKALINE")</f>
        <v>ITBISA-ABC-BATERAI-AA-ALKALINE</v>
      </c>
      <c r="B1934" s="266">
        <f>IFERROR(__xludf.DUMMYFUNCTION("""COMPUTED_VALUE"""),45984.0)</f>
        <v>45984</v>
      </c>
      <c r="C1934" s="266" t="str">
        <f>IFERROR(__xludf.DUMMYFUNCTION("""COMPUTED_VALUE"""),"KERTASARI CIAMIS")</f>
        <v>KERTASARI CIAMIS</v>
      </c>
      <c r="D1934" s="186">
        <f>IFERROR(__xludf.DUMMYFUNCTION("""COMPUTED_VALUE"""),3.0)</f>
        <v>3</v>
      </c>
    </row>
    <row r="1935">
      <c r="A1935" s="178" t="str">
        <f>IFERROR(__xludf.DUMMYFUNCTION("""COMPUTED_VALUE"""),"ITBISA-ABC-BATERAI-AA-ALKALINE")</f>
        <v>ITBISA-ABC-BATERAI-AA-ALKALINE</v>
      </c>
      <c r="B1935" s="266">
        <f>IFERROR(__xludf.DUMMYFUNCTION("""COMPUTED_VALUE"""),45985.0)</f>
        <v>45985</v>
      </c>
      <c r="C1935" s="266" t="str">
        <f>IFERROR(__xludf.DUMMYFUNCTION("""COMPUTED_VALUE"""),"KERTASARI CIAMIS")</f>
        <v>KERTASARI CIAMIS</v>
      </c>
      <c r="D1935" s="186">
        <f>IFERROR(__xludf.DUMMYFUNCTION("""COMPUTED_VALUE"""),1.0)</f>
        <v>1</v>
      </c>
    </row>
    <row r="1936">
      <c r="A1936" s="178" t="str">
        <f>IFERROR(__xludf.DUMMYFUNCTION("""COMPUTED_VALUE"""),"ITBISA-ABC-BATERAI-AA-ALKALINE")</f>
        <v>ITBISA-ABC-BATERAI-AA-ALKALINE</v>
      </c>
      <c r="B1936" s="266">
        <f>IFERROR(__xludf.DUMMYFUNCTION("""COMPUTED_VALUE"""),45986.0)</f>
        <v>45986</v>
      </c>
      <c r="C1936" s="266" t="str">
        <f>IFERROR(__xludf.DUMMYFUNCTION("""COMPUTED_VALUE"""),"KERTASARI CIAMIS")</f>
        <v>KERTASARI CIAMIS</v>
      </c>
      <c r="D1936" s="186">
        <f>IFERROR(__xludf.DUMMYFUNCTION("""COMPUTED_VALUE"""),2.0)</f>
        <v>2</v>
      </c>
    </row>
    <row r="1937">
      <c r="A1937" s="178" t="str">
        <f>IFERROR(__xludf.DUMMYFUNCTION("""COMPUTED_VALUE"""),"ITBISA-ABC-BATERAI-AA-ALKALINE")</f>
        <v>ITBISA-ABC-BATERAI-AA-ALKALINE</v>
      </c>
      <c r="B1937" s="266">
        <f>IFERROR(__xludf.DUMMYFUNCTION("""COMPUTED_VALUE"""),45986.0)</f>
        <v>45986</v>
      </c>
      <c r="C1937" s="266" t="str">
        <f>IFERROR(__xludf.DUMMYFUNCTION("""COMPUTED_VALUE"""),"KERTASARI CIAMIS")</f>
        <v>KERTASARI CIAMIS</v>
      </c>
      <c r="D1937" s="186">
        <f>IFERROR(__xludf.DUMMYFUNCTION("""COMPUTED_VALUE"""),2.0)</f>
        <v>2</v>
      </c>
    </row>
    <row r="1938">
      <c r="A1938" s="178" t="str">
        <f>IFERROR(__xludf.DUMMYFUNCTION("""COMPUTED_VALUE"""),"ITBISA-ABC-BATERAI-AA-ALKALINE")</f>
        <v>ITBISA-ABC-BATERAI-AA-ALKALINE</v>
      </c>
      <c r="B1938" s="266">
        <f>IFERROR(__xludf.DUMMYFUNCTION("""COMPUTED_VALUE"""),45986.0)</f>
        <v>45986</v>
      </c>
      <c r="C1938" s="266" t="str">
        <f>IFERROR(__xludf.DUMMYFUNCTION("""COMPUTED_VALUE"""),"KERTASARI CIAMIS")</f>
        <v>KERTASARI CIAMIS</v>
      </c>
      <c r="D1938" s="186">
        <f>IFERROR(__xludf.DUMMYFUNCTION("""COMPUTED_VALUE"""),24.0)</f>
        <v>24</v>
      </c>
    </row>
    <row r="1939">
      <c r="A1939" s="178" t="str">
        <f>IFERROR(__xludf.DUMMYFUNCTION("""COMPUTED_VALUE"""),"ITBISA-ABC-BATERAI-AA-ALKALINE")</f>
        <v>ITBISA-ABC-BATERAI-AA-ALKALINE</v>
      </c>
      <c r="B1939" s="266">
        <f>IFERROR(__xludf.DUMMYFUNCTION("""COMPUTED_VALUE"""),45987.0)</f>
        <v>45987</v>
      </c>
      <c r="C1939" s="266" t="str">
        <f>IFERROR(__xludf.DUMMYFUNCTION("""COMPUTED_VALUE"""),"KERTASARI CIAMIS")</f>
        <v>KERTASARI CIAMIS</v>
      </c>
      <c r="D1939" s="186">
        <f>IFERROR(__xludf.DUMMYFUNCTION("""COMPUTED_VALUE"""),1.0)</f>
        <v>1</v>
      </c>
    </row>
    <row r="1940">
      <c r="A1940" s="178" t="str">
        <f>IFERROR(__xludf.DUMMYFUNCTION("""COMPUTED_VALUE"""),"ITBISA-ABC-BATERAI-AA-ALKALINE")</f>
        <v>ITBISA-ABC-BATERAI-AA-ALKALINE</v>
      </c>
      <c r="B1940" s="266">
        <f>IFERROR(__xludf.DUMMYFUNCTION("""COMPUTED_VALUE"""),45988.0)</f>
        <v>45988</v>
      </c>
      <c r="C1940" s="266" t="str">
        <f>IFERROR(__xludf.DUMMYFUNCTION("""COMPUTED_VALUE"""),"KERTASARI CIAMIS")</f>
        <v>KERTASARI CIAMIS</v>
      </c>
      <c r="D1940" s="186">
        <f>IFERROR(__xludf.DUMMYFUNCTION("""COMPUTED_VALUE"""),2.0)</f>
        <v>2</v>
      </c>
    </row>
    <row r="1941">
      <c r="A1941" s="178" t="str">
        <f>IFERROR(__xludf.DUMMYFUNCTION("""COMPUTED_VALUE"""),"ITBISA-ABC-BATERAI-AA-ALKALINE")</f>
        <v>ITBISA-ABC-BATERAI-AA-ALKALINE</v>
      </c>
      <c r="B1941" s="266">
        <f>IFERROR(__xludf.DUMMYFUNCTION("""COMPUTED_VALUE"""),45988.0)</f>
        <v>45988</v>
      </c>
      <c r="C1941" s="266" t="str">
        <f>IFERROR(__xludf.DUMMYFUNCTION("""COMPUTED_VALUE"""),"KERTASARI CIAMIS")</f>
        <v>KERTASARI CIAMIS</v>
      </c>
      <c r="D1941" s="186">
        <f>IFERROR(__xludf.DUMMYFUNCTION("""COMPUTED_VALUE"""),6.0)</f>
        <v>6</v>
      </c>
    </row>
    <row r="1942">
      <c r="A1942" s="178" t="str">
        <f>IFERROR(__xludf.DUMMYFUNCTION("""COMPUTED_VALUE"""),"ITBISA-ABC-BATERAI-AA-ALKALINE")</f>
        <v>ITBISA-ABC-BATERAI-AA-ALKALINE</v>
      </c>
      <c r="B1942" s="266">
        <f>IFERROR(__xludf.DUMMYFUNCTION("""COMPUTED_VALUE"""),45989.0)</f>
        <v>45989</v>
      </c>
      <c r="C1942" s="266" t="str">
        <f>IFERROR(__xludf.DUMMYFUNCTION("""COMPUTED_VALUE"""),"KERTASARI CIAMIS")</f>
        <v>KERTASARI CIAMIS</v>
      </c>
      <c r="D1942" s="186">
        <f>IFERROR(__xludf.DUMMYFUNCTION("""COMPUTED_VALUE"""),2.0)</f>
        <v>2</v>
      </c>
    </row>
    <row r="1943">
      <c r="A1943" s="178" t="str">
        <f>IFERROR(__xludf.DUMMYFUNCTION("""COMPUTED_VALUE"""),"ITBISA-ABC-BATERAI-AA-ALKALINE")</f>
        <v>ITBISA-ABC-BATERAI-AA-ALKALINE</v>
      </c>
      <c r="B1943" s="266">
        <f>IFERROR(__xludf.DUMMYFUNCTION("""COMPUTED_VALUE"""),45989.0)</f>
        <v>45989</v>
      </c>
      <c r="C1943" s="266" t="str">
        <f>IFERROR(__xludf.DUMMYFUNCTION("""COMPUTED_VALUE"""),"KERTASARI CIAMIS")</f>
        <v>KERTASARI CIAMIS</v>
      </c>
      <c r="D1943" s="186">
        <f>IFERROR(__xludf.DUMMYFUNCTION("""COMPUTED_VALUE"""),2.0)</f>
        <v>2</v>
      </c>
    </row>
    <row r="1944">
      <c r="A1944" s="178" t="str">
        <f>IFERROR(__xludf.DUMMYFUNCTION("""COMPUTED_VALUE"""),"ITBISA-ABC-BATERAI-AA-ALKALINE")</f>
        <v>ITBISA-ABC-BATERAI-AA-ALKALINE</v>
      </c>
      <c r="B1944" s="266">
        <f>IFERROR(__xludf.DUMMYFUNCTION("""COMPUTED_VALUE"""),45990.0)</f>
        <v>45990</v>
      </c>
      <c r="C1944" s="266" t="str">
        <f>IFERROR(__xludf.DUMMYFUNCTION("""COMPUTED_VALUE"""),"KYAI KONTONG")</f>
        <v>KYAI KONTONG</v>
      </c>
      <c r="D1944" s="186">
        <f>IFERROR(__xludf.DUMMYFUNCTION("""COMPUTED_VALUE"""),2.0)</f>
        <v>2</v>
      </c>
    </row>
    <row r="1945">
      <c r="A1945" s="178" t="str">
        <f>IFERROR(__xludf.DUMMYFUNCTION("""COMPUTED_VALUE"""),"ITBISA-ABC-BATERAI-AA-ALKALINE")</f>
        <v>ITBISA-ABC-BATERAI-AA-ALKALINE</v>
      </c>
      <c r="B1945" s="266">
        <f>IFERROR(__xludf.DUMMYFUNCTION("""COMPUTED_VALUE"""),45990.0)</f>
        <v>45990</v>
      </c>
      <c r="C1945" s="266" t="str">
        <f>IFERROR(__xludf.DUMMYFUNCTION("""COMPUTED_VALUE"""),"KYAI KONTONG")</f>
        <v>KYAI KONTONG</v>
      </c>
      <c r="D1945" s="186">
        <f>IFERROR(__xludf.DUMMYFUNCTION("""COMPUTED_VALUE"""),2.0)</f>
        <v>2</v>
      </c>
    </row>
    <row r="1946">
      <c r="A1946" s="178" t="str">
        <f>IFERROR(__xludf.DUMMYFUNCTION("""COMPUTED_VALUE"""),"ITBISA-ABC-BATERAI-AA-ALKALINE")</f>
        <v>ITBISA-ABC-BATERAI-AA-ALKALINE</v>
      </c>
      <c r="B1946" s="266">
        <f>IFERROR(__xludf.DUMMYFUNCTION("""COMPUTED_VALUE"""),45990.0)</f>
        <v>45990</v>
      </c>
      <c r="C1946" s="266" t="str">
        <f>IFERROR(__xludf.DUMMYFUNCTION("""COMPUTED_VALUE"""),"KYAI KONTONG")</f>
        <v>KYAI KONTONG</v>
      </c>
      <c r="D1946" s="186">
        <f>IFERROR(__xludf.DUMMYFUNCTION("""COMPUTED_VALUE"""),2.0)</f>
        <v>2</v>
      </c>
    </row>
    <row r="1947">
      <c r="A1947" s="178" t="str">
        <f>IFERROR(__xludf.DUMMYFUNCTION("""COMPUTED_VALUE"""),"ITBISA-ABC-BATERAI-AA-ALKALINE")</f>
        <v>ITBISA-ABC-BATERAI-AA-ALKALINE</v>
      </c>
      <c r="B1947" s="266">
        <f>IFERROR(__xludf.DUMMYFUNCTION("""COMPUTED_VALUE"""),45991.0)</f>
        <v>45991</v>
      </c>
      <c r="C1947" s="266" t="str">
        <f>IFERROR(__xludf.DUMMYFUNCTION("""COMPUTED_VALUE"""),"KYAI KONTONG")</f>
        <v>KYAI KONTONG</v>
      </c>
      <c r="D1947" s="186">
        <f>IFERROR(__xludf.DUMMYFUNCTION("""COMPUTED_VALUE"""),2.0)</f>
        <v>2</v>
      </c>
    </row>
    <row r="1948">
      <c r="A1948" s="178" t="str">
        <f>IFERROR(__xludf.DUMMYFUNCTION("""COMPUTED_VALUE"""),"ITBISA-ABC-BATERAI-AA-ALKALINE")</f>
        <v>ITBISA-ABC-BATERAI-AA-ALKALINE</v>
      </c>
      <c r="B1948" s="266">
        <f>IFERROR(__xludf.DUMMYFUNCTION("""COMPUTED_VALUE"""),45991.0)</f>
        <v>45991</v>
      </c>
      <c r="C1948" s="266" t="str">
        <f>IFERROR(__xludf.DUMMYFUNCTION("""COMPUTED_VALUE"""),"KYAI KONTONG")</f>
        <v>KYAI KONTONG</v>
      </c>
      <c r="D1948" s="186">
        <f>IFERROR(__xludf.DUMMYFUNCTION("""COMPUTED_VALUE"""),2.0)</f>
        <v>2</v>
      </c>
    </row>
    <row r="1949">
      <c r="A1949" s="178" t="str">
        <f>IFERROR(__xludf.DUMMYFUNCTION("""COMPUTED_VALUE"""),"ITBISA-ABC-BATERAI-AA-ALKALINE")</f>
        <v>ITBISA-ABC-BATERAI-AA-ALKALINE</v>
      </c>
      <c r="B1949" s="266">
        <f>IFERROR(__xludf.DUMMYFUNCTION("""COMPUTED_VALUE"""),45991.0)</f>
        <v>45991</v>
      </c>
      <c r="C1949" s="266" t="str">
        <f>IFERROR(__xludf.DUMMYFUNCTION("""COMPUTED_VALUE"""),"KYAI KONTONG")</f>
        <v>KYAI KONTONG</v>
      </c>
      <c r="D1949" s="186">
        <f>IFERROR(__xludf.DUMMYFUNCTION("""COMPUTED_VALUE"""),6.0)</f>
        <v>6</v>
      </c>
    </row>
    <row r="1950">
      <c r="A1950" s="178" t="str">
        <f>IFERROR(__xludf.DUMMYFUNCTION("""COMPUTED_VALUE"""),"ITBISA-ABC-BATERAI-AA-ALKALINE")</f>
        <v>ITBISA-ABC-BATERAI-AA-ALKALINE</v>
      </c>
      <c r="B1950" s="266">
        <f>IFERROR(__xludf.DUMMYFUNCTION("""COMPUTED_VALUE"""),45992.0)</f>
        <v>45992</v>
      </c>
      <c r="C1950" s="266" t="str">
        <f>IFERROR(__xludf.DUMMYFUNCTION("""COMPUTED_VALUE"""),"KYAI KONTONG")</f>
        <v>KYAI KONTONG</v>
      </c>
      <c r="D1950" s="186">
        <f>IFERROR(__xludf.DUMMYFUNCTION("""COMPUTED_VALUE"""),2.0)</f>
        <v>2</v>
      </c>
    </row>
    <row r="1951">
      <c r="A1951" s="178" t="str">
        <f>IFERROR(__xludf.DUMMYFUNCTION("""COMPUTED_VALUE"""),"ITBISA-ABC-BATERAI-AA-ALKALINE")</f>
        <v>ITBISA-ABC-BATERAI-AA-ALKALINE</v>
      </c>
      <c r="B1951" s="266">
        <f>IFERROR(__xludf.DUMMYFUNCTION("""COMPUTED_VALUE"""),45994.0)</f>
        <v>45994</v>
      </c>
      <c r="C1951" s="266" t="str">
        <f>IFERROR(__xludf.DUMMYFUNCTION("""COMPUTED_VALUE"""),"KYAI KONTONG")</f>
        <v>KYAI KONTONG</v>
      </c>
      <c r="D1951" s="186">
        <f>IFERROR(__xludf.DUMMYFUNCTION("""COMPUTED_VALUE"""),3.0)</f>
        <v>3</v>
      </c>
    </row>
    <row r="1952">
      <c r="A1952" s="178" t="str">
        <f>IFERROR(__xludf.DUMMYFUNCTION("""COMPUTED_VALUE"""),"ITBISA-ABC-BATERAI-AA-ALKALINE")</f>
        <v>ITBISA-ABC-BATERAI-AA-ALKALINE</v>
      </c>
      <c r="B1952" s="266">
        <f>IFERROR(__xludf.DUMMYFUNCTION("""COMPUTED_VALUE"""),45995.0)</f>
        <v>45995</v>
      </c>
      <c r="C1952" s="266" t="str">
        <f>IFERROR(__xludf.DUMMYFUNCTION("""COMPUTED_VALUE"""),"KERTASARI CIAMIS")</f>
        <v>KERTASARI CIAMIS</v>
      </c>
      <c r="D1952" s="186">
        <f>IFERROR(__xludf.DUMMYFUNCTION("""COMPUTED_VALUE"""),2.0)</f>
        <v>2</v>
      </c>
    </row>
    <row r="1953">
      <c r="A1953" s="178" t="str">
        <f>IFERROR(__xludf.DUMMYFUNCTION("""COMPUTED_VALUE"""),"ITBISA-ABC-BATERAI-AA-ALKALINE")</f>
        <v>ITBISA-ABC-BATERAI-AA-ALKALINE</v>
      </c>
      <c r="B1953" s="266">
        <f>IFERROR(__xludf.DUMMYFUNCTION("""COMPUTED_VALUE"""),45995.0)</f>
        <v>45995</v>
      </c>
      <c r="C1953" s="266" t="str">
        <f>IFERROR(__xludf.DUMMYFUNCTION("""COMPUTED_VALUE"""),"KERTASARI CIAMIS")</f>
        <v>KERTASARI CIAMIS</v>
      </c>
      <c r="D1953" s="186">
        <f>IFERROR(__xludf.DUMMYFUNCTION("""COMPUTED_VALUE"""),6.0)</f>
        <v>6</v>
      </c>
    </row>
    <row r="1954">
      <c r="A1954" s="178" t="str">
        <f>IFERROR(__xludf.DUMMYFUNCTION("""COMPUTED_VALUE"""),"ITBISA-ABC-BATERAI-AA-ALKALINE")</f>
        <v>ITBISA-ABC-BATERAI-AA-ALKALINE</v>
      </c>
      <c r="B1954" s="266">
        <f>IFERROR(__xludf.DUMMYFUNCTION("""COMPUTED_VALUE"""),45995.0)</f>
        <v>45995</v>
      </c>
      <c r="C1954" s="266" t="str">
        <f>IFERROR(__xludf.DUMMYFUNCTION("""COMPUTED_VALUE"""),"KYAI KONTONG")</f>
        <v>KYAI KONTONG</v>
      </c>
      <c r="D1954" s="186">
        <f>IFERROR(__xludf.DUMMYFUNCTION("""COMPUTED_VALUE"""),2.0)</f>
        <v>2</v>
      </c>
    </row>
    <row r="1955">
      <c r="A1955" s="178" t="str">
        <f>IFERROR(__xludf.DUMMYFUNCTION("""COMPUTED_VALUE"""),"ITBISA-ABC-BATERAI-AA-ALKALINE")</f>
        <v>ITBISA-ABC-BATERAI-AA-ALKALINE</v>
      </c>
      <c r="B1955" s="266">
        <f>IFERROR(__xludf.DUMMYFUNCTION("""COMPUTED_VALUE"""),45995.0)</f>
        <v>45995</v>
      </c>
      <c r="C1955" s="266" t="str">
        <f>IFERROR(__xludf.DUMMYFUNCTION("""COMPUTED_VALUE"""),"KYAI KONTONG")</f>
        <v>KYAI KONTONG</v>
      </c>
      <c r="D1955" s="186">
        <f>IFERROR(__xludf.DUMMYFUNCTION("""COMPUTED_VALUE"""),6.0)</f>
        <v>6</v>
      </c>
    </row>
    <row r="1956">
      <c r="A1956" s="178" t="str">
        <f>IFERROR(__xludf.DUMMYFUNCTION("""COMPUTED_VALUE"""),"ITBISA-ABC-BATERAI-AA-ALKALINE")</f>
        <v>ITBISA-ABC-BATERAI-AA-ALKALINE</v>
      </c>
      <c r="B1956" s="266">
        <f>IFERROR(__xludf.DUMMYFUNCTION("""COMPUTED_VALUE"""),45996.0)</f>
        <v>45996</v>
      </c>
      <c r="C1956" s="266" t="str">
        <f>IFERROR(__xludf.DUMMYFUNCTION("""COMPUTED_VALUE"""),"KERTASARI CIAMIS")</f>
        <v>KERTASARI CIAMIS</v>
      </c>
      <c r="D1956" s="186">
        <f>IFERROR(__xludf.DUMMYFUNCTION("""COMPUTED_VALUE"""),1.0)</f>
        <v>1</v>
      </c>
    </row>
    <row r="1957">
      <c r="A1957" s="178" t="str">
        <f>IFERROR(__xludf.DUMMYFUNCTION("""COMPUTED_VALUE"""),"ITBISA-ABC-BATERAI-AA-ALKALINE")</f>
        <v>ITBISA-ABC-BATERAI-AA-ALKALINE</v>
      </c>
      <c r="B1957" s="266">
        <f>IFERROR(__xludf.DUMMYFUNCTION("""COMPUTED_VALUE"""),45996.0)</f>
        <v>45996</v>
      </c>
      <c r="C1957" s="266" t="str">
        <f>IFERROR(__xludf.DUMMYFUNCTION("""COMPUTED_VALUE"""),"KERTASARI CIAMIS")</f>
        <v>KERTASARI CIAMIS</v>
      </c>
      <c r="D1957" s="186">
        <f>IFERROR(__xludf.DUMMYFUNCTION("""COMPUTED_VALUE"""),6.0)</f>
        <v>6</v>
      </c>
    </row>
    <row r="1958">
      <c r="A1958" s="178" t="str">
        <f>IFERROR(__xludf.DUMMYFUNCTION("""COMPUTED_VALUE"""),"ITBISA-ABC-BATERAI-AA-ALKALINE")</f>
        <v>ITBISA-ABC-BATERAI-AA-ALKALINE</v>
      </c>
      <c r="B1958" s="266">
        <f>IFERROR(__xludf.DUMMYFUNCTION("""COMPUTED_VALUE"""),45996.0)</f>
        <v>45996</v>
      </c>
      <c r="C1958" s="266" t="str">
        <f>IFERROR(__xludf.DUMMYFUNCTION("""COMPUTED_VALUE"""),"KYAI KONTONG")</f>
        <v>KYAI KONTONG</v>
      </c>
      <c r="D1958" s="186">
        <f>IFERROR(__xludf.DUMMYFUNCTION("""COMPUTED_VALUE"""),2.0)</f>
        <v>2</v>
      </c>
    </row>
    <row r="1959">
      <c r="A1959" s="178" t="str">
        <f>IFERROR(__xludf.DUMMYFUNCTION("""COMPUTED_VALUE"""),"ITBISA-ABC-BATERAI-AA-ALKALINE")</f>
        <v>ITBISA-ABC-BATERAI-AA-ALKALINE</v>
      </c>
      <c r="B1959" s="266">
        <f>IFERROR(__xludf.DUMMYFUNCTION("""COMPUTED_VALUE"""),45997.0)</f>
        <v>45997</v>
      </c>
      <c r="C1959" s="266" t="str">
        <f>IFERROR(__xludf.DUMMYFUNCTION("""COMPUTED_VALUE"""),"KERTASARI CIAMIS")</f>
        <v>KERTASARI CIAMIS</v>
      </c>
      <c r="D1959" s="186">
        <f>IFERROR(__xludf.DUMMYFUNCTION("""COMPUTED_VALUE"""),2.0)</f>
        <v>2</v>
      </c>
    </row>
    <row r="1960">
      <c r="A1960" s="178" t="str">
        <f>IFERROR(__xludf.DUMMYFUNCTION("""COMPUTED_VALUE"""),"ITBISA-ABC-BATERAI-AA-ALKALINE")</f>
        <v>ITBISA-ABC-BATERAI-AA-ALKALINE</v>
      </c>
      <c r="B1960" s="266">
        <f>IFERROR(__xludf.DUMMYFUNCTION("""COMPUTED_VALUE"""),45997.0)</f>
        <v>45997</v>
      </c>
      <c r="C1960" s="266" t="str">
        <f>IFERROR(__xludf.DUMMYFUNCTION("""COMPUTED_VALUE"""),"KERTASARI CIAMIS")</f>
        <v>KERTASARI CIAMIS</v>
      </c>
      <c r="D1960" s="186">
        <f>IFERROR(__xludf.DUMMYFUNCTION("""COMPUTED_VALUE"""),2.0)</f>
        <v>2</v>
      </c>
    </row>
    <row r="1961">
      <c r="A1961" s="178" t="str">
        <f>IFERROR(__xludf.DUMMYFUNCTION("""COMPUTED_VALUE"""),"ITBISA-ABC-BATERAI-AA-ALKALINE")</f>
        <v>ITBISA-ABC-BATERAI-AA-ALKALINE</v>
      </c>
      <c r="B1961" s="266">
        <f>IFERROR(__xludf.DUMMYFUNCTION("""COMPUTED_VALUE"""),45997.0)</f>
        <v>45997</v>
      </c>
      <c r="C1961" s="266" t="str">
        <f>IFERROR(__xludf.DUMMYFUNCTION("""COMPUTED_VALUE"""),"KYAI KONTONG")</f>
        <v>KYAI KONTONG</v>
      </c>
      <c r="D1961" s="186">
        <f>IFERROR(__xludf.DUMMYFUNCTION("""COMPUTED_VALUE"""),2.0)</f>
        <v>2</v>
      </c>
    </row>
    <row r="1962">
      <c r="A1962" s="178" t="str">
        <f>IFERROR(__xludf.DUMMYFUNCTION("""COMPUTED_VALUE"""),"ITBISA-ABC-BATERAI-AA-ALKALINE")</f>
        <v>ITBISA-ABC-BATERAI-AA-ALKALINE</v>
      </c>
      <c r="B1962" s="266">
        <f>IFERROR(__xludf.DUMMYFUNCTION("""COMPUTED_VALUE"""),45998.0)</f>
        <v>45998</v>
      </c>
      <c r="C1962" s="266" t="str">
        <f>IFERROR(__xludf.DUMMYFUNCTION("""COMPUTED_VALUE"""),"KERTASARI CIAMIS")</f>
        <v>KERTASARI CIAMIS</v>
      </c>
      <c r="D1962" s="186">
        <f>IFERROR(__xludf.DUMMYFUNCTION("""COMPUTED_VALUE"""),2.0)</f>
        <v>2</v>
      </c>
    </row>
    <row r="1963">
      <c r="A1963" s="178" t="str">
        <f>IFERROR(__xludf.DUMMYFUNCTION("""COMPUTED_VALUE"""),"ITBISA-ABC-BATERAI-AA-ALKALINE")</f>
        <v>ITBISA-ABC-BATERAI-AA-ALKALINE</v>
      </c>
      <c r="B1963" s="266">
        <f>IFERROR(__xludf.DUMMYFUNCTION("""COMPUTED_VALUE"""),45999.0)</f>
        <v>45999</v>
      </c>
      <c r="C1963" s="266" t="str">
        <f>IFERROR(__xludf.DUMMYFUNCTION("""COMPUTED_VALUE"""),"KERTASARI CIAMIS")</f>
        <v>KERTASARI CIAMIS</v>
      </c>
      <c r="D1963" s="186">
        <f>IFERROR(__xludf.DUMMYFUNCTION("""COMPUTED_VALUE"""),3.0)</f>
        <v>3</v>
      </c>
    </row>
    <row r="1964">
      <c r="A1964" s="178" t="str">
        <f>IFERROR(__xludf.DUMMYFUNCTION("""COMPUTED_VALUE"""),"ITBISA-ABC-BATERAI-AA-ALKALINE")</f>
        <v>ITBISA-ABC-BATERAI-AA-ALKALINE</v>
      </c>
      <c r="B1964" s="266">
        <f>IFERROR(__xludf.DUMMYFUNCTION("""COMPUTED_VALUE"""),45999.0)</f>
        <v>45999</v>
      </c>
      <c r="C1964" s="266" t="str">
        <f>IFERROR(__xludf.DUMMYFUNCTION("""COMPUTED_VALUE"""),"KYAI KONTONG")</f>
        <v>KYAI KONTONG</v>
      </c>
      <c r="D1964" s="186">
        <f>IFERROR(__xludf.DUMMYFUNCTION("""COMPUTED_VALUE"""),1.0)</f>
        <v>1</v>
      </c>
    </row>
    <row r="1965">
      <c r="A1965" s="178" t="str">
        <f>IFERROR(__xludf.DUMMYFUNCTION("""COMPUTED_VALUE"""),"ITBISA-ABC-BATERAI-AA-ALKALINE")</f>
        <v>ITBISA-ABC-BATERAI-AA-ALKALINE</v>
      </c>
      <c r="B1965" s="266">
        <f>IFERROR(__xludf.DUMMYFUNCTION("""COMPUTED_VALUE"""),45999.0)</f>
        <v>45999</v>
      </c>
      <c r="C1965" s="266" t="str">
        <f>IFERROR(__xludf.DUMMYFUNCTION("""COMPUTED_VALUE"""),"KYAI KONTONG")</f>
        <v>KYAI KONTONG</v>
      </c>
      <c r="D1965" s="186">
        <f>IFERROR(__xludf.DUMMYFUNCTION("""COMPUTED_VALUE"""),1.0)</f>
        <v>1</v>
      </c>
    </row>
    <row r="1966">
      <c r="A1966" s="178" t="str">
        <f>IFERROR(__xludf.DUMMYFUNCTION("""COMPUTED_VALUE"""),"ITBISA-ABC-BATERAI-AA-ALKALINE")</f>
        <v>ITBISA-ABC-BATERAI-AA-ALKALINE</v>
      </c>
      <c r="B1966" s="266">
        <f>IFERROR(__xludf.DUMMYFUNCTION("""COMPUTED_VALUE"""),46001.0)</f>
        <v>46001</v>
      </c>
      <c r="C1966" s="266" t="str">
        <f>IFERROR(__xludf.DUMMYFUNCTION("""COMPUTED_VALUE"""),"KERTASARI CIAMIS")</f>
        <v>KERTASARI CIAMIS</v>
      </c>
      <c r="D1966" s="186">
        <f>IFERROR(__xludf.DUMMYFUNCTION("""COMPUTED_VALUE"""),4.0)</f>
        <v>4</v>
      </c>
    </row>
    <row r="1967">
      <c r="A1967" s="178" t="str">
        <f>IFERROR(__xludf.DUMMYFUNCTION("""COMPUTED_VALUE"""),"ITBISA-ABC-BATERAI-AA-ALKALINE")</f>
        <v>ITBISA-ABC-BATERAI-AA-ALKALINE</v>
      </c>
      <c r="B1967" s="266">
        <f>IFERROR(__xludf.DUMMYFUNCTION("""COMPUTED_VALUE"""),46003.0)</f>
        <v>46003</v>
      </c>
      <c r="C1967" s="266" t="str">
        <f>IFERROR(__xludf.DUMMYFUNCTION("""COMPUTED_VALUE"""),"KYAI KONTONG")</f>
        <v>KYAI KONTONG</v>
      </c>
      <c r="D1967" s="186">
        <f>IFERROR(__xludf.DUMMYFUNCTION("""COMPUTED_VALUE"""),1.0)</f>
        <v>1</v>
      </c>
    </row>
    <row r="1968">
      <c r="A1968" s="178" t="str">
        <f>IFERROR(__xludf.DUMMYFUNCTION("""COMPUTED_VALUE"""),"ITBISA-ABC-BATERAI-AA-ALKALINE")</f>
        <v>ITBISA-ABC-BATERAI-AA-ALKALINE</v>
      </c>
      <c r="B1968" s="266">
        <f>IFERROR(__xludf.DUMMYFUNCTION("""COMPUTED_VALUE"""),46003.0)</f>
        <v>46003</v>
      </c>
      <c r="C1968" s="266" t="str">
        <f>IFERROR(__xludf.DUMMYFUNCTION("""COMPUTED_VALUE"""),"KYAI KONTONG")</f>
        <v>KYAI KONTONG</v>
      </c>
      <c r="D1968" s="186">
        <f>IFERROR(__xludf.DUMMYFUNCTION("""COMPUTED_VALUE"""),2.0)</f>
        <v>2</v>
      </c>
    </row>
    <row r="1969">
      <c r="A1969" s="178" t="str">
        <f>IFERROR(__xludf.DUMMYFUNCTION("""COMPUTED_VALUE"""),"ITBISA-ABC-BATERAI-AA-ALKALINE")</f>
        <v>ITBISA-ABC-BATERAI-AA-ALKALINE</v>
      </c>
      <c r="B1969" s="266">
        <f>IFERROR(__xludf.DUMMYFUNCTION("""COMPUTED_VALUE"""),46003.0)</f>
        <v>46003</v>
      </c>
      <c r="C1969" s="266" t="str">
        <f>IFERROR(__xludf.DUMMYFUNCTION("""COMPUTED_VALUE"""),"KYAI KONTONG")</f>
        <v>KYAI KONTONG</v>
      </c>
      <c r="D1969" s="186">
        <f>IFERROR(__xludf.DUMMYFUNCTION("""COMPUTED_VALUE"""),2.0)</f>
        <v>2</v>
      </c>
    </row>
    <row r="1970">
      <c r="A1970" s="178" t="str">
        <f>IFERROR(__xludf.DUMMYFUNCTION("""COMPUTED_VALUE"""),"ITBISA-ABC-BATERAI-AA-ALKALINE")</f>
        <v>ITBISA-ABC-BATERAI-AA-ALKALINE</v>
      </c>
      <c r="B1970" s="266">
        <f>IFERROR(__xludf.DUMMYFUNCTION("""COMPUTED_VALUE"""),46003.0)</f>
        <v>46003</v>
      </c>
      <c r="C1970" s="266" t="str">
        <f>IFERROR(__xludf.DUMMYFUNCTION("""COMPUTED_VALUE"""),"KYAI KONTONG")</f>
        <v>KYAI KONTONG</v>
      </c>
      <c r="D1970" s="186">
        <f>IFERROR(__xludf.DUMMYFUNCTION("""COMPUTED_VALUE"""),2.0)</f>
        <v>2</v>
      </c>
    </row>
    <row r="1971">
      <c r="A1971" s="178" t="str">
        <f>IFERROR(__xludf.DUMMYFUNCTION("""COMPUTED_VALUE"""),"ITBISA-ABC-BATERAI-AA-ALKALINE")</f>
        <v>ITBISA-ABC-BATERAI-AA-ALKALINE</v>
      </c>
      <c r="B1971" s="266">
        <f>IFERROR(__xludf.DUMMYFUNCTION("""COMPUTED_VALUE"""),46003.0)</f>
        <v>46003</v>
      </c>
      <c r="C1971" s="266" t="str">
        <f>IFERROR(__xludf.DUMMYFUNCTION("""COMPUTED_VALUE"""),"KYAI KONTONG")</f>
        <v>KYAI KONTONG</v>
      </c>
      <c r="D1971" s="186">
        <f>IFERROR(__xludf.DUMMYFUNCTION("""COMPUTED_VALUE"""),3.0)</f>
        <v>3</v>
      </c>
    </row>
    <row r="1972">
      <c r="A1972" s="178" t="str">
        <f>IFERROR(__xludf.DUMMYFUNCTION("""COMPUTED_VALUE"""),"ITBISA-ABC-BATERAI-AA-ALKALINE")</f>
        <v>ITBISA-ABC-BATERAI-AA-ALKALINE</v>
      </c>
      <c r="B1972" s="266">
        <f>IFERROR(__xludf.DUMMYFUNCTION("""COMPUTED_VALUE"""),46003.0)</f>
        <v>46003</v>
      </c>
      <c r="C1972" s="266" t="str">
        <f>IFERROR(__xludf.DUMMYFUNCTION("""COMPUTED_VALUE"""),"KYAI KONTONG")</f>
        <v>KYAI KONTONG</v>
      </c>
      <c r="D1972" s="186">
        <f>IFERROR(__xludf.DUMMYFUNCTION("""COMPUTED_VALUE"""),5.0)</f>
        <v>5</v>
      </c>
    </row>
    <row r="1973">
      <c r="A1973" s="178" t="str">
        <f>IFERROR(__xludf.DUMMYFUNCTION("""COMPUTED_VALUE"""),"ITBISA-ABC-BATERAI-AA-ALKALINE")</f>
        <v>ITBISA-ABC-BATERAI-AA-ALKALINE</v>
      </c>
      <c r="B1973" s="266">
        <f>IFERROR(__xludf.DUMMYFUNCTION("""COMPUTED_VALUE"""),46004.0)</f>
        <v>46004</v>
      </c>
      <c r="C1973" s="266" t="str">
        <f>IFERROR(__xludf.DUMMYFUNCTION("""COMPUTED_VALUE"""),"KYAI KONTONG")</f>
        <v>KYAI KONTONG</v>
      </c>
      <c r="D1973" s="186">
        <f>IFERROR(__xludf.DUMMYFUNCTION("""COMPUTED_VALUE"""),1.0)</f>
        <v>1</v>
      </c>
    </row>
    <row r="1974">
      <c r="A1974" s="178" t="str">
        <f>IFERROR(__xludf.DUMMYFUNCTION("""COMPUTED_VALUE"""),"ITBISA-ABC-BATERAI-AA-ALKALINE")</f>
        <v>ITBISA-ABC-BATERAI-AA-ALKALINE</v>
      </c>
      <c r="B1974" s="266">
        <f>IFERROR(__xludf.DUMMYFUNCTION("""COMPUTED_VALUE"""),46004.0)</f>
        <v>46004</v>
      </c>
      <c r="C1974" s="266" t="str">
        <f>IFERROR(__xludf.DUMMYFUNCTION("""COMPUTED_VALUE"""),"KYAI KONTONG")</f>
        <v>KYAI KONTONG</v>
      </c>
      <c r="D1974" s="186">
        <f>IFERROR(__xludf.DUMMYFUNCTION("""COMPUTED_VALUE"""),1.0)</f>
        <v>1</v>
      </c>
    </row>
    <row r="1975">
      <c r="A1975" s="178" t="str">
        <f>IFERROR(__xludf.DUMMYFUNCTION("""COMPUTED_VALUE"""),"ITBISA-ABC-BATERAI-AA-ALKALINE")</f>
        <v>ITBISA-ABC-BATERAI-AA-ALKALINE</v>
      </c>
      <c r="B1975" s="266">
        <f>IFERROR(__xludf.DUMMYFUNCTION("""COMPUTED_VALUE"""),46004.0)</f>
        <v>46004</v>
      </c>
      <c r="C1975" s="266" t="str">
        <f>IFERROR(__xludf.DUMMYFUNCTION("""COMPUTED_VALUE"""),"KYAI KONTONG")</f>
        <v>KYAI KONTONG</v>
      </c>
      <c r="D1975" s="186">
        <f>IFERROR(__xludf.DUMMYFUNCTION("""COMPUTED_VALUE"""),1.0)</f>
        <v>1</v>
      </c>
    </row>
    <row r="1976">
      <c r="A1976" s="178" t="str">
        <f>IFERROR(__xludf.DUMMYFUNCTION("""COMPUTED_VALUE"""),"ITBISA-ABC-BATERAI-AA-ALKALINE")</f>
        <v>ITBISA-ABC-BATERAI-AA-ALKALINE</v>
      </c>
      <c r="B1976" s="266">
        <f>IFERROR(__xludf.DUMMYFUNCTION("""COMPUTED_VALUE"""),46004.0)</f>
        <v>46004</v>
      </c>
      <c r="C1976" s="266" t="str">
        <f>IFERROR(__xludf.DUMMYFUNCTION("""COMPUTED_VALUE"""),"KYAI KONTONG")</f>
        <v>KYAI KONTONG</v>
      </c>
      <c r="D1976" s="186">
        <f>IFERROR(__xludf.DUMMYFUNCTION("""COMPUTED_VALUE"""),2.0)</f>
        <v>2</v>
      </c>
    </row>
    <row r="1977">
      <c r="A1977" s="178" t="str">
        <f>IFERROR(__xludf.DUMMYFUNCTION("""COMPUTED_VALUE"""),"ITBISA-ABC-BATERAI-AA-ALKALINE")</f>
        <v>ITBISA-ABC-BATERAI-AA-ALKALINE</v>
      </c>
      <c r="B1977" s="266">
        <f>IFERROR(__xludf.DUMMYFUNCTION("""COMPUTED_VALUE"""),46005.0)</f>
        <v>46005</v>
      </c>
      <c r="C1977" s="266" t="str">
        <f>IFERROR(__xludf.DUMMYFUNCTION("""COMPUTED_VALUE"""),"KYAI KONTONG")</f>
        <v>KYAI KONTONG</v>
      </c>
      <c r="D1977" s="186">
        <f>IFERROR(__xludf.DUMMYFUNCTION("""COMPUTED_VALUE"""),1.0)</f>
        <v>1</v>
      </c>
    </row>
    <row r="1978">
      <c r="A1978" s="178" t="str">
        <f>IFERROR(__xludf.DUMMYFUNCTION("""COMPUTED_VALUE"""),"ITBISA-ABC-BATERAI-AA-ALKALINE")</f>
        <v>ITBISA-ABC-BATERAI-AA-ALKALINE</v>
      </c>
      <c r="B1978" s="266">
        <f>IFERROR(__xludf.DUMMYFUNCTION("""COMPUTED_VALUE"""),46005.0)</f>
        <v>46005</v>
      </c>
      <c r="C1978" s="266" t="str">
        <f>IFERROR(__xludf.DUMMYFUNCTION("""COMPUTED_VALUE"""),"KYAI KONTONG")</f>
        <v>KYAI KONTONG</v>
      </c>
      <c r="D1978" s="186">
        <f>IFERROR(__xludf.DUMMYFUNCTION("""COMPUTED_VALUE"""),1.0)</f>
        <v>1</v>
      </c>
    </row>
    <row r="1979">
      <c r="A1979" s="178" t="str">
        <f>IFERROR(__xludf.DUMMYFUNCTION("""COMPUTED_VALUE"""),"ITBISA-ABC-BATERAI-AA-ALKALINE")</f>
        <v>ITBISA-ABC-BATERAI-AA-ALKALINE</v>
      </c>
      <c r="B1979" s="266">
        <f>IFERROR(__xludf.DUMMYFUNCTION("""COMPUTED_VALUE"""),46005.0)</f>
        <v>46005</v>
      </c>
      <c r="C1979" s="266" t="str">
        <f>IFERROR(__xludf.DUMMYFUNCTION("""COMPUTED_VALUE"""),"KYAI KONTONG")</f>
        <v>KYAI KONTONG</v>
      </c>
      <c r="D1979" s="186">
        <f>IFERROR(__xludf.DUMMYFUNCTION("""COMPUTED_VALUE"""),2.0)</f>
        <v>2</v>
      </c>
    </row>
    <row r="1980">
      <c r="A1980" s="178" t="str">
        <f>IFERROR(__xludf.DUMMYFUNCTION("""COMPUTED_VALUE"""),"ITBISA-ABC-BATERAI-AA-ALKALINE")</f>
        <v>ITBISA-ABC-BATERAI-AA-ALKALINE</v>
      </c>
      <c r="B1980" s="266">
        <f>IFERROR(__xludf.DUMMYFUNCTION("""COMPUTED_VALUE"""),46005.0)</f>
        <v>46005</v>
      </c>
      <c r="C1980" s="266" t="str">
        <f>IFERROR(__xludf.DUMMYFUNCTION("""COMPUTED_VALUE"""),"KYAI KONTONG")</f>
        <v>KYAI KONTONG</v>
      </c>
      <c r="D1980" s="186">
        <f>IFERROR(__xludf.DUMMYFUNCTION("""COMPUTED_VALUE"""),2.0)</f>
        <v>2</v>
      </c>
    </row>
    <row r="1981">
      <c r="A1981" s="178" t="str">
        <f>IFERROR(__xludf.DUMMYFUNCTION("""COMPUTED_VALUE"""),"ITBISA-ABC-BATERAI-AA-ALKALINE")</f>
        <v>ITBISA-ABC-BATERAI-AA-ALKALINE</v>
      </c>
      <c r="B1981" s="266">
        <f>IFERROR(__xludf.DUMMYFUNCTION("""COMPUTED_VALUE"""),46006.0)</f>
        <v>46006</v>
      </c>
      <c r="C1981" s="266" t="str">
        <f>IFERROR(__xludf.DUMMYFUNCTION("""COMPUTED_VALUE"""),"KYAI KONTONG")</f>
        <v>KYAI KONTONG</v>
      </c>
      <c r="D1981" s="186">
        <f>IFERROR(__xludf.DUMMYFUNCTION("""COMPUTED_VALUE"""),1.0)</f>
        <v>1</v>
      </c>
    </row>
    <row r="1982">
      <c r="A1982" s="178" t="str">
        <f>IFERROR(__xludf.DUMMYFUNCTION("""COMPUTED_VALUE"""),"ITBISA-ABC-BATERAI-AA-ALKALINE")</f>
        <v>ITBISA-ABC-BATERAI-AA-ALKALINE</v>
      </c>
      <c r="B1982" s="266">
        <f>IFERROR(__xludf.DUMMYFUNCTION("""COMPUTED_VALUE"""),46006.0)</f>
        <v>46006</v>
      </c>
      <c r="C1982" s="266" t="str">
        <f>IFERROR(__xludf.DUMMYFUNCTION("""COMPUTED_VALUE"""),"KYAI KONTONG")</f>
        <v>KYAI KONTONG</v>
      </c>
      <c r="D1982" s="186">
        <f>IFERROR(__xludf.DUMMYFUNCTION("""COMPUTED_VALUE"""),1.0)</f>
        <v>1</v>
      </c>
    </row>
    <row r="1983">
      <c r="A1983" s="178" t="str">
        <f>IFERROR(__xludf.DUMMYFUNCTION("""COMPUTED_VALUE"""),"ITBISA-ABC-BATERAI-AA-ALKALINE")</f>
        <v>ITBISA-ABC-BATERAI-AA-ALKALINE</v>
      </c>
      <c r="B1983" s="266">
        <f>IFERROR(__xludf.DUMMYFUNCTION("""COMPUTED_VALUE"""),46006.0)</f>
        <v>46006</v>
      </c>
      <c r="C1983" s="266" t="str">
        <f>IFERROR(__xludf.DUMMYFUNCTION("""COMPUTED_VALUE"""),"KYAI KONTONG")</f>
        <v>KYAI KONTONG</v>
      </c>
      <c r="D1983" s="186">
        <f>IFERROR(__xludf.DUMMYFUNCTION("""COMPUTED_VALUE"""),2.0)</f>
        <v>2</v>
      </c>
    </row>
    <row r="1984">
      <c r="A1984" s="178" t="str">
        <f>IFERROR(__xludf.DUMMYFUNCTION("""COMPUTED_VALUE"""),"ITBISA-ABC-BATERAI-AA-ALKALINE")</f>
        <v>ITBISA-ABC-BATERAI-AA-ALKALINE</v>
      </c>
      <c r="B1984" s="266">
        <f>IFERROR(__xludf.DUMMYFUNCTION("""COMPUTED_VALUE"""),46006.0)</f>
        <v>46006</v>
      </c>
      <c r="C1984" s="266" t="str">
        <f>IFERROR(__xludf.DUMMYFUNCTION("""COMPUTED_VALUE"""),"KYAI KONTONG")</f>
        <v>KYAI KONTONG</v>
      </c>
      <c r="D1984" s="186">
        <f>IFERROR(__xludf.DUMMYFUNCTION("""COMPUTED_VALUE"""),2.0)</f>
        <v>2</v>
      </c>
    </row>
    <row r="1985">
      <c r="A1985" s="178" t="str">
        <f>IFERROR(__xludf.DUMMYFUNCTION("""COMPUTED_VALUE"""),"ITBISA-ABC-BATERAI-AA-ALKALINE")</f>
        <v>ITBISA-ABC-BATERAI-AA-ALKALINE</v>
      </c>
      <c r="B1985" s="266">
        <f>IFERROR(__xludf.DUMMYFUNCTION("""COMPUTED_VALUE"""),46006.0)</f>
        <v>46006</v>
      </c>
      <c r="C1985" s="266" t="str">
        <f>IFERROR(__xludf.DUMMYFUNCTION("""COMPUTED_VALUE"""),"KYAI KONTONG")</f>
        <v>KYAI KONTONG</v>
      </c>
      <c r="D1985" s="186">
        <f>IFERROR(__xludf.DUMMYFUNCTION("""COMPUTED_VALUE"""),3.0)</f>
        <v>3</v>
      </c>
    </row>
    <row r="1986">
      <c r="A1986" s="178" t="str">
        <f>IFERROR(__xludf.DUMMYFUNCTION("""COMPUTED_VALUE"""),"ITBISA-ABC-BATERAI-AA-ALKALINE")</f>
        <v>ITBISA-ABC-BATERAI-AA-ALKALINE</v>
      </c>
      <c r="B1986" s="266">
        <f>IFERROR(__xludf.DUMMYFUNCTION("""COMPUTED_VALUE"""),46007.0)</f>
        <v>46007</v>
      </c>
      <c r="C1986" s="266" t="str">
        <f>IFERROR(__xludf.DUMMYFUNCTION("""COMPUTED_VALUE"""),"KERTASARI CIAMIS")</f>
        <v>KERTASARI CIAMIS</v>
      </c>
      <c r="D1986" s="186">
        <f>IFERROR(__xludf.DUMMYFUNCTION("""COMPUTED_VALUE"""),1.0)</f>
        <v>1</v>
      </c>
    </row>
    <row r="1987">
      <c r="A1987" s="178" t="str">
        <f>IFERROR(__xludf.DUMMYFUNCTION("""COMPUTED_VALUE"""),"ITBISA-ABC-BATERAI-AA-ALKALINE")</f>
        <v>ITBISA-ABC-BATERAI-AA-ALKALINE</v>
      </c>
      <c r="B1987" s="266">
        <f>IFERROR(__xludf.DUMMYFUNCTION("""COMPUTED_VALUE"""),46007.0)</f>
        <v>46007</v>
      </c>
      <c r="C1987" s="266" t="str">
        <f>IFERROR(__xludf.DUMMYFUNCTION("""COMPUTED_VALUE"""),"KERTASARI CIAMIS")</f>
        <v>KERTASARI CIAMIS</v>
      </c>
      <c r="D1987" s="186">
        <f>IFERROR(__xludf.DUMMYFUNCTION("""COMPUTED_VALUE"""),1.0)</f>
        <v>1</v>
      </c>
    </row>
    <row r="1988">
      <c r="A1988" s="178" t="str">
        <f>IFERROR(__xludf.DUMMYFUNCTION("""COMPUTED_VALUE"""),"ITBISA-ABC-BATERAI-AA-ALKALINE")</f>
        <v>ITBISA-ABC-BATERAI-AA-ALKALINE</v>
      </c>
      <c r="B1988" s="266">
        <f>IFERROR(__xludf.DUMMYFUNCTION("""COMPUTED_VALUE"""),46007.0)</f>
        <v>46007</v>
      </c>
      <c r="C1988" s="266" t="str">
        <f>IFERROR(__xludf.DUMMYFUNCTION("""COMPUTED_VALUE"""),"KERTASARI CIAMIS")</f>
        <v>KERTASARI CIAMIS</v>
      </c>
      <c r="D1988" s="186">
        <f>IFERROR(__xludf.DUMMYFUNCTION("""COMPUTED_VALUE"""),2.0)</f>
        <v>2</v>
      </c>
    </row>
    <row r="1989">
      <c r="A1989" s="178" t="str">
        <f>IFERROR(__xludf.DUMMYFUNCTION("""COMPUTED_VALUE"""),"ITBISA-ABC-BATERAI-AA-ALKALINE")</f>
        <v>ITBISA-ABC-BATERAI-AA-ALKALINE</v>
      </c>
      <c r="B1989" s="266">
        <f>IFERROR(__xludf.DUMMYFUNCTION("""COMPUTED_VALUE"""),46007.0)</f>
        <v>46007</v>
      </c>
      <c r="C1989" s="266" t="str">
        <f>IFERROR(__xludf.DUMMYFUNCTION("""COMPUTED_VALUE"""),"KERTASARI CIAMIS")</f>
        <v>KERTASARI CIAMIS</v>
      </c>
      <c r="D1989" s="186">
        <f>IFERROR(__xludf.DUMMYFUNCTION("""COMPUTED_VALUE"""),2.0)</f>
        <v>2</v>
      </c>
    </row>
    <row r="1990">
      <c r="A1990" s="178" t="str">
        <f>IFERROR(__xludf.DUMMYFUNCTION("""COMPUTED_VALUE"""),"ITBISA-ABC-BATERAI-AA-ALKALINE")</f>
        <v>ITBISA-ABC-BATERAI-AA-ALKALINE</v>
      </c>
      <c r="B1990" s="266">
        <f>IFERROR(__xludf.DUMMYFUNCTION("""COMPUTED_VALUE"""),46007.0)</f>
        <v>46007</v>
      </c>
      <c r="C1990" s="266" t="str">
        <f>IFERROR(__xludf.DUMMYFUNCTION("""COMPUTED_VALUE"""),"KERTASARI CIAMIS")</f>
        <v>KERTASARI CIAMIS</v>
      </c>
      <c r="D1990" s="186">
        <f>IFERROR(__xludf.DUMMYFUNCTION("""COMPUTED_VALUE"""),4.0)</f>
        <v>4</v>
      </c>
    </row>
    <row r="1991">
      <c r="A1991" s="178" t="str">
        <f>IFERROR(__xludf.DUMMYFUNCTION("""COMPUTED_VALUE"""),"ITBISA-ABC-BATERAI-AA-ALKALINE")</f>
        <v>ITBISA-ABC-BATERAI-AA-ALKALINE</v>
      </c>
      <c r="B1991" s="266">
        <f>IFERROR(__xludf.DUMMYFUNCTION("""COMPUTED_VALUE"""),46007.0)</f>
        <v>46007</v>
      </c>
      <c r="C1991" s="266" t="str">
        <f>IFERROR(__xludf.DUMMYFUNCTION("""COMPUTED_VALUE"""),"KERTASARI CIAMIS")</f>
        <v>KERTASARI CIAMIS</v>
      </c>
      <c r="D1991" s="186">
        <f>IFERROR(__xludf.DUMMYFUNCTION("""COMPUTED_VALUE"""),6.0)</f>
        <v>6</v>
      </c>
    </row>
    <row r="1992">
      <c r="A1992" s="178" t="str">
        <f>IFERROR(__xludf.DUMMYFUNCTION("""COMPUTED_VALUE"""),"ITBISA-ABC-BATERAI-AA-ALKALINE")</f>
        <v>ITBISA-ABC-BATERAI-AA-ALKALINE</v>
      </c>
      <c r="B1992" s="266">
        <f>IFERROR(__xludf.DUMMYFUNCTION("""COMPUTED_VALUE"""),46007.0)</f>
        <v>46007</v>
      </c>
      <c r="C1992" s="266" t="str">
        <f>IFERROR(__xludf.DUMMYFUNCTION("""COMPUTED_VALUE"""),"KYAI KONTONG")</f>
        <v>KYAI KONTONG</v>
      </c>
      <c r="D1992" s="186">
        <f>IFERROR(__xludf.DUMMYFUNCTION("""COMPUTED_VALUE"""),2.0)</f>
        <v>2</v>
      </c>
    </row>
    <row r="1993">
      <c r="A1993" s="178" t="str">
        <f>IFERROR(__xludf.DUMMYFUNCTION("""COMPUTED_VALUE"""),"ITBISA-ABC-BATERAI-AA-ALKALINE")</f>
        <v>ITBISA-ABC-BATERAI-AA-ALKALINE</v>
      </c>
      <c r="B1993" s="266">
        <f>IFERROR(__xludf.DUMMYFUNCTION("""COMPUTED_VALUE"""),46007.0)</f>
        <v>46007</v>
      </c>
      <c r="C1993" s="266" t="str">
        <f>IFERROR(__xludf.DUMMYFUNCTION("""COMPUTED_VALUE"""),"KYAI KONTONG")</f>
        <v>KYAI KONTONG</v>
      </c>
      <c r="D1993" s="186">
        <f>IFERROR(__xludf.DUMMYFUNCTION("""COMPUTED_VALUE"""),2.0)</f>
        <v>2</v>
      </c>
    </row>
    <row r="1994">
      <c r="A1994" s="178" t="str">
        <f>IFERROR(__xludf.DUMMYFUNCTION("""COMPUTED_VALUE"""),"ITBISA-ABC-BATERAI-AA-ALKALINE")</f>
        <v>ITBISA-ABC-BATERAI-AA-ALKALINE</v>
      </c>
      <c r="B1994" s="266">
        <f>IFERROR(__xludf.DUMMYFUNCTION("""COMPUTED_VALUE"""),46007.0)</f>
        <v>46007</v>
      </c>
      <c r="C1994" s="266" t="str">
        <f>IFERROR(__xludf.DUMMYFUNCTION("""COMPUTED_VALUE"""),"KYAI KONTONG")</f>
        <v>KYAI KONTONG</v>
      </c>
      <c r="D1994" s="186">
        <f>IFERROR(__xludf.DUMMYFUNCTION("""COMPUTED_VALUE"""),3.0)</f>
        <v>3</v>
      </c>
    </row>
    <row r="1995">
      <c r="A1995" s="178" t="str">
        <f>IFERROR(__xludf.DUMMYFUNCTION("""COMPUTED_VALUE"""),"ITBISA-ABC-BATERAI-AA-ALKALINE")</f>
        <v>ITBISA-ABC-BATERAI-AA-ALKALINE</v>
      </c>
      <c r="B1995" s="266">
        <f>IFERROR(__xludf.DUMMYFUNCTION("""COMPUTED_VALUE"""),46009.0)</f>
        <v>46009</v>
      </c>
      <c r="C1995" s="266" t="str">
        <f>IFERROR(__xludf.DUMMYFUNCTION("""COMPUTED_VALUE"""),"KYAI KONTONG")</f>
        <v>KYAI KONTONG</v>
      </c>
      <c r="D1995" s="186">
        <f>IFERROR(__xludf.DUMMYFUNCTION("""COMPUTED_VALUE"""),1.0)</f>
        <v>1</v>
      </c>
    </row>
    <row r="1996">
      <c r="A1996" s="178" t="str">
        <f>IFERROR(__xludf.DUMMYFUNCTION("""COMPUTED_VALUE"""),"ITBISA-ABC-BATERAI-AA-ALKALINE")</f>
        <v>ITBISA-ABC-BATERAI-AA-ALKALINE</v>
      </c>
      <c r="B1996" s="266">
        <f>IFERROR(__xludf.DUMMYFUNCTION("""COMPUTED_VALUE"""),46009.0)</f>
        <v>46009</v>
      </c>
      <c r="C1996" s="266" t="str">
        <f>IFERROR(__xludf.DUMMYFUNCTION("""COMPUTED_VALUE"""),"KYAI KONTONG")</f>
        <v>KYAI KONTONG</v>
      </c>
      <c r="D1996" s="186">
        <f>IFERROR(__xludf.DUMMYFUNCTION("""COMPUTED_VALUE"""),2.0)</f>
        <v>2</v>
      </c>
    </row>
    <row r="1997">
      <c r="A1997" s="178" t="str">
        <f>IFERROR(__xludf.DUMMYFUNCTION("""COMPUTED_VALUE"""),"ITBISA-ABC-BATERAI-AA-ALKALINE")</f>
        <v>ITBISA-ABC-BATERAI-AA-ALKALINE</v>
      </c>
      <c r="B1997" s="266">
        <f>IFERROR(__xludf.DUMMYFUNCTION("""COMPUTED_VALUE"""),46010.0)</f>
        <v>46010</v>
      </c>
      <c r="C1997" s="266" t="str">
        <f>IFERROR(__xludf.DUMMYFUNCTION("""COMPUTED_VALUE"""),"KYAI KONTONG")</f>
        <v>KYAI KONTONG</v>
      </c>
      <c r="D1997" s="186">
        <f>IFERROR(__xludf.DUMMYFUNCTION("""COMPUTED_VALUE"""),2.0)</f>
        <v>2</v>
      </c>
    </row>
    <row r="1998">
      <c r="A1998" s="178" t="str">
        <f>IFERROR(__xludf.DUMMYFUNCTION("""COMPUTED_VALUE"""),"ITBISA-ABC-BATERAI-AA-ALKALINE")</f>
        <v>ITBISA-ABC-BATERAI-AA-ALKALINE</v>
      </c>
      <c r="B1998" s="266">
        <f>IFERROR(__xludf.DUMMYFUNCTION("""COMPUTED_VALUE"""),46012.0)</f>
        <v>46012</v>
      </c>
      <c r="C1998" s="266" t="str">
        <f>IFERROR(__xludf.DUMMYFUNCTION("""COMPUTED_VALUE"""),"KYAI KONTONG")</f>
        <v>KYAI KONTONG</v>
      </c>
      <c r="D1998" s="186">
        <f>IFERROR(__xludf.DUMMYFUNCTION("""COMPUTED_VALUE"""),2.0)</f>
        <v>2</v>
      </c>
    </row>
    <row r="1999">
      <c r="A1999" s="178" t="str">
        <f>IFERROR(__xludf.DUMMYFUNCTION("""COMPUTED_VALUE"""),"ITBISA-ABC-BATERAI-AA-ALKALINE")</f>
        <v>ITBISA-ABC-BATERAI-AA-ALKALINE</v>
      </c>
      <c r="B1999" s="266">
        <f>IFERROR(__xludf.DUMMYFUNCTION("""COMPUTED_VALUE"""),46012.0)</f>
        <v>46012</v>
      </c>
      <c r="C1999" s="266" t="str">
        <f>IFERROR(__xludf.DUMMYFUNCTION("""COMPUTED_VALUE"""),"KYAI KONTONG")</f>
        <v>KYAI KONTONG</v>
      </c>
      <c r="D1999" s="186">
        <f>IFERROR(__xludf.DUMMYFUNCTION("""COMPUTED_VALUE"""),2.0)</f>
        <v>2</v>
      </c>
    </row>
    <row r="2000">
      <c r="A2000" s="178" t="str">
        <f>IFERROR(__xludf.DUMMYFUNCTION("""COMPUTED_VALUE"""),"ITBISA-ABC-BATERAI-AA-ALKALINE")</f>
        <v>ITBISA-ABC-BATERAI-AA-ALKALINE</v>
      </c>
      <c r="B2000" s="266">
        <f>IFERROR(__xludf.DUMMYFUNCTION("""COMPUTED_VALUE"""),46013.0)</f>
        <v>46013</v>
      </c>
      <c r="C2000" s="266" t="str">
        <f>IFERROR(__xludf.DUMMYFUNCTION("""COMPUTED_VALUE"""),"KERTASARI CIAMIS")</f>
        <v>KERTASARI CIAMIS</v>
      </c>
      <c r="D2000" s="186">
        <f>IFERROR(__xludf.DUMMYFUNCTION("""COMPUTED_VALUE"""),2.0)</f>
        <v>2</v>
      </c>
    </row>
    <row r="2001">
      <c r="A2001" s="178" t="str">
        <f>IFERROR(__xludf.DUMMYFUNCTION("""COMPUTED_VALUE"""),"ITBISA-ABC-BATERAI-AA-ALKALINE")</f>
        <v>ITBISA-ABC-BATERAI-AA-ALKALINE</v>
      </c>
      <c r="B2001" s="266">
        <f>IFERROR(__xludf.DUMMYFUNCTION("""COMPUTED_VALUE"""),46015.0)</f>
        <v>46015</v>
      </c>
      <c r="C2001" s="266" t="str">
        <f>IFERROR(__xludf.DUMMYFUNCTION("""COMPUTED_VALUE"""),"KERTASARI CIAMIS")</f>
        <v>KERTASARI CIAMIS</v>
      </c>
      <c r="D2001" s="186">
        <f>IFERROR(__xludf.DUMMYFUNCTION("""COMPUTED_VALUE"""),1.0)</f>
        <v>1</v>
      </c>
    </row>
    <row r="2002">
      <c r="A2002" s="178" t="str">
        <f>IFERROR(__xludf.DUMMYFUNCTION("""COMPUTED_VALUE"""),"ITBISA-ABC-BATERAI-AA-ALKALINE")</f>
        <v>ITBISA-ABC-BATERAI-AA-ALKALINE</v>
      </c>
      <c r="B2002" s="266">
        <f>IFERROR(__xludf.DUMMYFUNCTION("""COMPUTED_VALUE"""),46016.0)</f>
        <v>46016</v>
      </c>
      <c r="C2002" s="266" t="str">
        <f>IFERROR(__xludf.DUMMYFUNCTION("""COMPUTED_VALUE"""),"KERTASARI CIAMIS")</f>
        <v>KERTASARI CIAMIS</v>
      </c>
      <c r="D2002" s="186">
        <f>IFERROR(__xludf.DUMMYFUNCTION("""COMPUTED_VALUE"""),1.0)</f>
        <v>1</v>
      </c>
    </row>
    <row r="2003">
      <c r="A2003" s="178" t="str">
        <f>IFERROR(__xludf.DUMMYFUNCTION("""COMPUTED_VALUE"""),"ITBISA-ABC-BATERAI-AA-ALKALINE")</f>
        <v>ITBISA-ABC-BATERAI-AA-ALKALINE</v>
      </c>
      <c r="B2003" s="266">
        <f>IFERROR(__xludf.DUMMYFUNCTION("""COMPUTED_VALUE"""),46016.0)</f>
        <v>46016</v>
      </c>
      <c r="C2003" s="266" t="str">
        <f>IFERROR(__xludf.DUMMYFUNCTION("""COMPUTED_VALUE"""),"KERTASARI CIAMIS")</f>
        <v>KERTASARI CIAMIS</v>
      </c>
      <c r="D2003" s="186">
        <f>IFERROR(__xludf.DUMMYFUNCTION("""COMPUTED_VALUE"""),2.0)</f>
        <v>2</v>
      </c>
    </row>
    <row r="2004">
      <c r="A2004" s="178" t="str">
        <f>IFERROR(__xludf.DUMMYFUNCTION("""COMPUTED_VALUE"""),"ITBISA-ABC-BATERAI-AA-ALKALINE")</f>
        <v>ITBISA-ABC-BATERAI-AA-ALKALINE</v>
      </c>
      <c r="B2004" s="266">
        <f>IFERROR(__xludf.DUMMYFUNCTION("""COMPUTED_VALUE"""),46016.0)</f>
        <v>46016</v>
      </c>
      <c r="C2004" s="266" t="str">
        <f>IFERROR(__xludf.DUMMYFUNCTION("""COMPUTED_VALUE"""),"KERTASARI CIAMIS")</f>
        <v>KERTASARI CIAMIS</v>
      </c>
      <c r="D2004" s="186">
        <f>IFERROR(__xludf.DUMMYFUNCTION("""COMPUTED_VALUE"""),2.0)</f>
        <v>2</v>
      </c>
    </row>
    <row r="2005">
      <c r="A2005" s="178" t="str">
        <f>IFERROR(__xludf.DUMMYFUNCTION("""COMPUTED_VALUE"""),"ITBISA-ABC-BATERAI-AA-ALKALINE")</f>
        <v>ITBISA-ABC-BATERAI-AA-ALKALINE</v>
      </c>
      <c r="B2005" s="266">
        <f>IFERROR(__xludf.DUMMYFUNCTION("""COMPUTED_VALUE"""),46016.0)</f>
        <v>46016</v>
      </c>
      <c r="C2005" s="266" t="str">
        <f>IFERROR(__xludf.DUMMYFUNCTION("""COMPUTED_VALUE"""),"KERTASARI CIAMIS")</f>
        <v>KERTASARI CIAMIS</v>
      </c>
      <c r="D2005" s="186">
        <f>IFERROR(__xludf.DUMMYFUNCTION("""COMPUTED_VALUE"""),2.0)</f>
        <v>2</v>
      </c>
    </row>
    <row r="2006">
      <c r="A2006" s="178" t="str">
        <f>IFERROR(__xludf.DUMMYFUNCTION("""COMPUTED_VALUE"""),"ITBISA-ABC-BATERAI-AA-ALKALINE")</f>
        <v>ITBISA-ABC-BATERAI-AA-ALKALINE</v>
      </c>
      <c r="B2006" s="266">
        <f>IFERROR(__xludf.DUMMYFUNCTION("""COMPUTED_VALUE"""),46016.0)</f>
        <v>46016</v>
      </c>
      <c r="C2006" s="266" t="str">
        <f>IFERROR(__xludf.DUMMYFUNCTION("""COMPUTED_VALUE"""),"KYAI KONTONG")</f>
        <v>KYAI KONTONG</v>
      </c>
      <c r="D2006" s="186">
        <f>IFERROR(__xludf.DUMMYFUNCTION("""COMPUTED_VALUE"""),1.0)</f>
        <v>1</v>
      </c>
    </row>
    <row r="2007">
      <c r="A2007" s="178" t="str">
        <f>IFERROR(__xludf.DUMMYFUNCTION("""COMPUTED_VALUE"""),"ITBISA-ABC-BATERAI-AA-ALKALINE")</f>
        <v>ITBISA-ABC-BATERAI-AA-ALKALINE</v>
      </c>
      <c r="B2007" s="266">
        <f>IFERROR(__xludf.DUMMYFUNCTION("""COMPUTED_VALUE"""),46016.0)</f>
        <v>46016</v>
      </c>
      <c r="C2007" s="266" t="str">
        <f>IFERROR(__xludf.DUMMYFUNCTION("""COMPUTED_VALUE"""),"KYAI KONTONG")</f>
        <v>KYAI KONTONG</v>
      </c>
      <c r="D2007" s="186">
        <f>IFERROR(__xludf.DUMMYFUNCTION("""COMPUTED_VALUE"""),2.0)</f>
        <v>2</v>
      </c>
    </row>
    <row r="2008">
      <c r="A2008" s="178" t="str">
        <f>IFERROR(__xludf.DUMMYFUNCTION("""COMPUTED_VALUE"""),"ITBISA-ABC-BATERAI-AA-ALKALINE")</f>
        <v>ITBISA-ABC-BATERAI-AA-ALKALINE</v>
      </c>
      <c r="B2008" s="266">
        <f>IFERROR(__xludf.DUMMYFUNCTION("""COMPUTED_VALUE"""),46016.0)</f>
        <v>46016</v>
      </c>
      <c r="C2008" s="266" t="str">
        <f>IFERROR(__xludf.DUMMYFUNCTION("""COMPUTED_VALUE"""),"KYAI KONTONG")</f>
        <v>KYAI KONTONG</v>
      </c>
      <c r="D2008" s="186">
        <f>IFERROR(__xludf.DUMMYFUNCTION("""COMPUTED_VALUE"""),2.0)</f>
        <v>2</v>
      </c>
    </row>
    <row r="2009">
      <c r="A2009" s="178" t="str">
        <f>IFERROR(__xludf.DUMMYFUNCTION("""COMPUTED_VALUE"""),"ITBISA-ABC-BATERAI-AA-ALKALINE")</f>
        <v>ITBISA-ABC-BATERAI-AA-ALKALINE</v>
      </c>
      <c r="B2009" s="266">
        <f>IFERROR(__xludf.DUMMYFUNCTION("""COMPUTED_VALUE"""),46018.0)</f>
        <v>46018</v>
      </c>
      <c r="C2009" s="266" t="str">
        <f>IFERROR(__xludf.DUMMYFUNCTION("""COMPUTED_VALUE"""),"KYAI KONTONG")</f>
        <v>KYAI KONTONG</v>
      </c>
      <c r="D2009" s="186">
        <f>IFERROR(__xludf.DUMMYFUNCTION("""COMPUTED_VALUE"""),1.0)</f>
        <v>1</v>
      </c>
    </row>
    <row r="2010">
      <c r="A2010" s="178" t="str">
        <f>IFERROR(__xludf.DUMMYFUNCTION("""COMPUTED_VALUE"""),"ITBISA-ABC-BATERAI-AA-ALKALINE")</f>
        <v>ITBISA-ABC-BATERAI-AA-ALKALINE</v>
      </c>
      <c r="B2010" s="266">
        <f>IFERROR(__xludf.DUMMYFUNCTION("""COMPUTED_VALUE"""),46019.0)</f>
        <v>46019</v>
      </c>
      <c r="C2010" s="266" t="str">
        <f>IFERROR(__xludf.DUMMYFUNCTION("""COMPUTED_VALUE"""),"KYAI KONTONG")</f>
        <v>KYAI KONTONG</v>
      </c>
      <c r="D2010" s="186">
        <f>IFERROR(__xludf.DUMMYFUNCTION("""COMPUTED_VALUE"""),2.0)</f>
        <v>2</v>
      </c>
    </row>
    <row r="2011">
      <c r="A2011" s="178" t="str">
        <f>IFERROR(__xludf.DUMMYFUNCTION("""COMPUTED_VALUE"""),"ITBISA-ABC-BATERAI-AA-ALKALINE")</f>
        <v>ITBISA-ABC-BATERAI-AA-ALKALINE</v>
      </c>
      <c r="B2011" s="266">
        <f>IFERROR(__xludf.DUMMYFUNCTION("""COMPUTED_VALUE"""),46020.0)</f>
        <v>46020</v>
      </c>
      <c r="C2011" s="266" t="str">
        <f>IFERROR(__xludf.DUMMYFUNCTION("""COMPUTED_VALUE"""),"KYAI KONTONG")</f>
        <v>KYAI KONTONG</v>
      </c>
      <c r="D2011" s="186">
        <f>IFERROR(__xludf.DUMMYFUNCTION("""COMPUTED_VALUE"""),1.0)</f>
        <v>1</v>
      </c>
    </row>
    <row r="2012">
      <c r="A2012" s="178" t="str">
        <f>IFERROR(__xludf.DUMMYFUNCTION("""COMPUTED_VALUE"""),"ITBISA-ABC-BATERAI-AA-ALKALINE")</f>
        <v>ITBISA-ABC-BATERAI-AA-ALKALINE</v>
      </c>
      <c r="B2012" s="266">
        <f>IFERROR(__xludf.DUMMYFUNCTION("""COMPUTED_VALUE"""),46020.0)</f>
        <v>46020</v>
      </c>
      <c r="C2012" s="266" t="str">
        <f>IFERROR(__xludf.DUMMYFUNCTION("""COMPUTED_VALUE"""),"KYAI KONTONG")</f>
        <v>KYAI KONTONG</v>
      </c>
      <c r="D2012" s="186">
        <f>IFERROR(__xludf.DUMMYFUNCTION("""COMPUTED_VALUE"""),2.0)</f>
        <v>2</v>
      </c>
    </row>
    <row r="2013">
      <c r="A2013" s="178" t="str">
        <f>IFERROR(__xludf.DUMMYFUNCTION("""COMPUTED_VALUE"""),"ITBISA-ABC-BATERAI-AA-ALKALINE")</f>
        <v>ITBISA-ABC-BATERAI-AA-ALKALINE</v>
      </c>
      <c r="B2013" s="266">
        <f>IFERROR(__xludf.DUMMYFUNCTION("""COMPUTED_VALUE"""),46021.0)</f>
        <v>46021</v>
      </c>
      <c r="C2013" s="266" t="str">
        <f>IFERROR(__xludf.DUMMYFUNCTION("""COMPUTED_VALUE"""),"KYAI KONTONG")</f>
        <v>KYAI KONTONG</v>
      </c>
      <c r="D2013" s="186">
        <f>IFERROR(__xludf.DUMMYFUNCTION("""COMPUTED_VALUE"""),1.0)</f>
        <v>1</v>
      </c>
    </row>
    <row r="2014">
      <c r="A2014" s="178" t="str">
        <f>IFERROR(__xludf.DUMMYFUNCTION("""COMPUTED_VALUE"""),"ITBISA-ABC-BATERAI-AA-ALKALINE")</f>
        <v>ITBISA-ABC-BATERAI-AA-ALKALINE</v>
      </c>
      <c r="B2014" s="266">
        <f>IFERROR(__xludf.DUMMYFUNCTION("""COMPUTED_VALUE"""),46021.0)</f>
        <v>46021</v>
      </c>
      <c r="C2014" s="266" t="str">
        <f>IFERROR(__xludf.DUMMYFUNCTION("""COMPUTED_VALUE"""),"KYAI KONTONG")</f>
        <v>KYAI KONTONG</v>
      </c>
      <c r="D2014" s="186">
        <f>IFERROR(__xludf.DUMMYFUNCTION("""COMPUTED_VALUE"""),2.0)</f>
        <v>2</v>
      </c>
    </row>
    <row r="2015">
      <c r="A2015" s="178" t="str">
        <f>IFERROR(__xludf.DUMMYFUNCTION("""COMPUTED_VALUE"""),"ITBISA-ABC-BATERAI-AA-ALKALINE")</f>
        <v>ITBISA-ABC-BATERAI-AA-ALKALINE</v>
      </c>
      <c r="B2015" s="266">
        <f>IFERROR(__xludf.DUMMYFUNCTION("""COMPUTED_VALUE"""),46021.0)</f>
        <v>46021</v>
      </c>
      <c r="C2015" s="266" t="str">
        <f>IFERROR(__xludf.DUMMYFUNCTION("""COMPUTED_VALUE"""),"KYAI KONTONG")</f>
        <v>KYAI KONTONG</v>
      </c>
      <c r="D2015" s="186">
        <f>IFERROR(__xludf.DUMMYFUNCTION("""COMPUTED_VALUE"""),4.0)</f>
        <v>4</v>
      </c>
    </row>
    <row r="2016">
      <c r="A2016" s="178" t="str">
        <f>IFERROR(__xludf.DUMMYFUNCTION("""COMPUTED_VALUE"""),"ITBISA-ABC-BATERAI-AA-ALKALINE")</f>
        <v>ITBISA-ABC-BATERAI-AA-ALKALINE</v>
      </c>
      <c r="B2016" s="266">
        <f>IFERROR(__xludf.DUMMYFUNCTION("""COMPUTED_VALUE"""),46021.0)</f>
        <v>46021</v>
      </c>
      <c r="C2016" s="266" t="str">
        <f>IFERROR(__xludf.DUMMYFUNCTION("""COMPUTED_VALUE"""),"KYAI KONTONG")</f>
        <v>KYAI KONTONG</v>
      </c>
      <c r="D2016" s="186">
        <f>IFERROR(__xludf.DUMMYFUNCTION("""COMPUTED_VALUE"""),6.0)</f>
        <v>6</v>
      </c>
    </row>
    <row r="2017">
      <c r="A2017" s="178" t="str">
        <f>IFERROR(__xludf.DUMMYFUNCTION("""COMPUTED_VALUE"""),"ITBISA-ABC-BATERAI-AA-ALKALINE")</f>
        <v>ITBISA-ABC-BATERAI-AA-ALKALINE</v>
      </c>
      <c r="B2017" s="266">
        <f>IFERROR(__xludf.DUMMYFUNCTION("""COMPUTED_VALUE"""),46021.0)</f>
        <v>46021</v>
      </c>
      <c r="C2017" s="266" t="str">
        <f>IFERROR(__xludf.DUMMYFUNCTION("""COMPUTED_VALUE"""),"KYAI KONTONG")</f>
        <v>KYAI KONTONG</v>
      </c>
      <c r="D2017" s="186">
        <f>IFERROR(__xludf.DUMMYFUNCTION("""COMPUTED_VALUE"""),6.0)</f>
        <v>6</v>
      </c>
    </row>
    <row r="2018">
      <c r="A2018" s="178" t="str">
        <f>IFERROR(__xludf.DUMMYFUNCTION("""COMPUTED_VALUE"""),"ITBISA-ABC-BATERAI-AA-ALKALINE")</f>
        <v>ITBISA-ABC-BATERAI-AA-ALKALINE</v>
      </c>
      <c r="B2018" s="266">
        <f>IFERROR(__xludf.DUMMYFUNCTION("""COMPUTED_VALUE"""),46022.0)</f>
        <v>46022</v>
      </c>
      <c r="C2018" s="266" t="str">
        <f>IFERROR(__xludf.DUMMYFUNCTION("""COMPUTED_VALUE"""),"KYAI KONTONG")</f>
        <v>KYAI KONTONG</v>
      </c>
      <c r="D2018" s="186">
        <f>IFERROR(__xludf.DUMMYFUNCTION("""COMPUTED_VALUE"""),1.0)</f>
        <v>1</v>
      </c>
    </row>
    <row r="2019">
      <c r="A2019" s="178" t="str">
        <f>IFERROR(__xludf.DUMMYFUNCTION("""COMPUTED_VALUE"""),"ITBISA-ABC-BATERAI-AAA-ALKALINE")</f>
        <v>ITBISA-ABC-BATERAI-AAA-ALKALINE</v>
      </c>
      <c r="B2019" s="266">
        <f>IFERROR(__xludf.DUMMYFUNCTION("""COMPUTED_VALUE"""),45155.0)</f>
        <v>45155</v>
      </c>
      <c r="C2019" s="266" t="str">
        <f>IFERROR(__xludf.DUMMYFUNCTION("""COMPUTED_VALUE"""),"KYAI KONTONG")</f>
        <v>KYAI KONTONG</v>
      </c>
      <c r="D2019" s="186">
        <f>IFERROR(__xludf.DUMMYFUNCTION("""COMPUTED_VALUE"""),18.0)</f>
        <v>18</v>
      </c>
    </row>
    <row r="2020">
      <c r="A2020" s="178" t="str">
        <f>IFERROR(__xludf.DUMMYFUNCTION("""COMPUTED_VALUE"""),"ITBISA-ABC-BATERAI-AAA-ALKALINE")</f>
        <v>ITBISA-ABC-BATERAI-AAA-ALKALINE</v>
      </c>
      <c r="B2020" s="266">
        <f>IFERROR(__xludf.DUMMYFUNCTION("""COMPUTED_VALUE"""),45164.0)</f>
        <v>45164</v>
      </c>
      <c r="C2020" s="266" t="str">
        <f>IFERROR(__xludf.DUMMYFUNCTION("""COMPUTED_VALUE"""),"KYAI KONTONG")</f>
        <v>KYAI KONTONG</v>
      </c>
      <c r="D2020" s="186">
        <f>IFERROR(__xludf.DUMMYFUNCTION("""COMPUTED_VALUE"""),1.0)</f>
        <v>1</v>
      </c>
    </row>
    <row r="2021">
      <c r="A2021" s="178" t="str">
        <f>IFERROR(__xludf.DUMMYFUNCTION("""COMPUTED_VALUE"""),"ITBISA-ABC-BATERAI-AAA-ALKALINE")</f>
        <v>ITBISA-ABC-BATERAI-AAA-ALKALINE</v>
      </c>
      <c r="B2021" s="266">
        <f>IFERROR(__xludf.DUMMYFUNCTION("""COMPUTED_VALUE"""),45173.0)</f>
        <v>45173</v>
      </c>
      <c r="C2021" s="266" t="str">
        <f>IFERROR(__xludf.DUMMYFUNCTION("""COMPUTED_VALUE"""),"KYAI KONTONG")</f>
        <v>KYAI KONTONG</v>
      </c>
      <c r="D2021" s="186">
        <f>IFERROR(__xludf.DUMMYFUNCTION("""COMPUTED_VALUE"""),1.0)</f>
        <v>1</v>
      </c>
    </row>
    <row r="2022">
      <c r="A2022" s="178" t="str">
        <f>IFERROR(__xludf.DUMMYFUNCTION("""COMPUTED_VALUE"""),"ITBISA-ABC-BATERAI-AAA-ALKALINE")</f>
        <v>ITBISA-ABC-BATERAI-AAA-ALKALINE</v>
      </c>
      <c r="B2022" s="266">
        <f>IFERROR(__xludf.DUMMYFUNCTION("""COMPUTED_VALUE"""),45177.0)</f>
        <v>45177</v>
      </c>
      <c r="C2022" s="266" t="str">
        <f>IFERROR(__xludf.DUMMYFUNCTION("""COMPUTED_VALUE"""),"KYAI KONTONG")</f>
        <v>KYAI KONTONG</v>
      </c>
      <c r="D2022" s="186">
        <f>IFERROR(__xludf.DUMMYFUNCTION("""COMPUTED_VALUE"""),2.0)</f>
        <v>2</v>
      </c>
    </row>
    <row r="2023">
      <c r="A2023" s="178" t="str">
        <f>IFERROR(__xludf.DUMMYFUNCTION("""COMPUTED_VALUE"""),"ITBISA-ABC-BATERAI-AAA-ALKALINE")</f>
        <v>ITBISA-ABC-BATERAI-AAA-ALKALINE</v>
      </c>
      <c r="B2023" s="266">
        <f>IFERROR(__xludf.DUMMYFUNCTION("""COMPUTED_VALUE"""),45178.0)</f>
        <v>45178</v>
      </c>
      <c r="C2023" s="266" t="str">
        <f>IFERROR(__xludf.DUMMYFUNCTION("""COMPUTED_VALUE"""),"KYAI KONTONG")</f>
        <v>KYAI KONTONG</v>
      </c>
      <c r="D2023" s="186">
        <f>IFERROR(__xludf.DUMMYFUNCTION("""COMPUTED_VALUE"""),2.0)</f>
        <v>2</v>
      </c>
    </row>
    <row r="2024">
      <c r="A2024" s="178" t="str">
        <f>IFERROR(__xludf.DUMMYFUNCTION("""COMPUTED_VALUE"""),"ITBISA-ABC-BATERAI-AAA-ALKALINE")</f>
        <v>ITBISA-ABC-BATERAI-AAA-ALKALINE</v>
      </c>
      <c r="B2024" s="266">
        <f>IFERROR(__xludf.DUMMYFUNCTION("""COMPUTED_VALUE"""),45190.0)</f>
        <v>45190</v>
      </c>
      <c r="C2024" s="266" t="str">
        <f>IFERROR(__xludf.DUMMYFUNCTION("""COMPUTED_VALUE"""),"KYAI KONTONG")</f>
        <v>KYAI KONTONG</v>
      </c>
      <c r="D2024" s="186">
        <f>IFERROR(__xludf.DUMMYFUNCTION("""COMPUTED_VALUE"""),6.0)</f>
        <v>6</v>
      </c>
    </row>
    <row r="2025">
      <c r="A2025" s="178" t="str">
        <f>IFERROR(__xludf.DUMMYFUNCTION("""COMPUTED_VALUE"""),"ITBISA-ABC-BATERAI-AAA-ALKALINE")</f>
        <v>ITBISA-ABC-BATERAI-AAA-ALKALINE</v>
      </c>
      <c r="B2025" s="266">
        <f>IFERROR(__xludf.DUMMYFUNCTION("""COMPUTED_VALUE"""),45192.0)</f>
        <v>45192</v>
      </c>
      <c r="C2025" s="266" t="str">
        <f>IFERROR(__xludf.DUMMYFUNCTION("""COMPUTED_VALUE"""),"KYAI KONTONG")</f>
        <v>KYAI KONTONG</v>
      </c>
      <c r="D2025" s="186">
        <f>IFERROR(__xludf.DUMMYFUNCTION("""COMPUTED_VALUE"""),2.0)</f>
        <v>2</v>
      </c>
    </row>
    <row r="2026">
      <c r="A2026" s="178" t="str">
        <f>IFERROR(__xludf.DUMMYFUNCTION("""COMPUTED_VALUE"""),"ITBISA-ABC-BATERAI-AAA-ALKALINE")</f>
        <v>ITBISA-ABC-BATERAI-AAA-ALKALINE</v>
      </c>
      <c r="B2026" s="266">
        <f>IFERROR(__xludf.DUMMYFUNCTION("""COMPUTED_VALUE"""),45198.0)</f>
        <v>45198</v>
      </c>
      <c r="C2026" s="266" t="str">
        <f>IFERROR(__xludf.DUMMYFUNCTION("""COMPUTED_VALUE"""),"KYAI KONTONG")</f>
        <v>KYAI KONTONG</v>
      </c>
      <c r="D2026" s="186">
        <f>IFERROR(__xludf.DUMMYFUNCTION("""COMPUTED_VALUE"""),6.0)</f>
        <v>6</v>
      </c>
    </row>
    <row r="2027">
      <c r="A2027" s="178" t="str">
        <f>IFERROR(__xludf.DUMMYFUNCTION("""COMPUTED_VALUE"""),"ITBISA-ABC-BATERAI-AAA-ALKALINE")</f>
        <v>ITBISA-ABC-BATERAI-AAA-ALKALINE</v>
      </c>
      <c r="B2027" s="266">
        <f>IFERROR(__xludf.DUMMYFUNCTION("""COMPUTED_VALUE"""),45210.0)</f>
        <v>45210</v>
      </c>
      <c r="C2027" s="266" t="str">
        <f>IFERROR(__xludf.DUMMYFUNCTION("""COMPUTED_VALUE"""),"KYAI KONTONG")</f>
        <v>KYAI KONTONG</v>
      </c>
      <c r="D2027" s="186">
        <f>IFERROR(__xludf.DUMMYFUNCTION("""COMPUTED_VALUE"""),2.0)</f>
        <v>2</v>
      </c>
    </row>
    <row r="2028">
      <c r="A2028" s="178" t="str">
        <f>IFERROR(__xludf.DUMMYFUNCTION("""COMPUTED_VALUE"""),"ITBISA-ABC-BATERAI-AAA-ALKALINE")</f>
        <v>ITBISA-ABC-BATERAI-AAA-ALKALINE</v>
      </c>
      <c r="B2028" s="266">
        <f>IFERROR(__xludf.DUMMYFUNCTION("""COMPUTED_VALUE"""),45218.0)</f>
        <v>45218</v>
      </c>
      <c r="C2028" s="266" t="str">
        <f>IFERROR(__xludf.DUMMYFUNCTION("""COMPUTED_VALUE"""),"KYAI KONTONG")</f>
        <v>KYAI KONTONG</v>
      </c>
      <c r="D2028" s="186">
        <f>IFERROR(__xludf.DUMMYFUNCTION("""COMPUTED_VALUE"""),12.0)</f>
        <v>12</v>
      </c>
    </row>
    <row r="2029">
      <c r="A2029" s="178" t="str">
        <f>IFERROR(__xludf.DUMMYFUNCTION("""COMPUTED_VALUE"""),"ITBISA-ABC-BATERAI-AAA-ALKALINE")</f>
        <v>ITBISA-ABC-BATERAI-AAA-ALKALINE</v>
      </c>
      <c r="B2029" s="266">
        <f>IFERROR(__xludf.DUMMYFUNCTION("""COMPUTED_VALUE"""),45231.0)</f>
        <v>45231</v>
      </c>
      <c r="C2029" s="266" t="str">
        <f>IFERROR(__xludf.DUMMYFUNCTION("""COMPUTED_VALUE"""),"KYAI KONTONG")</f>
        <v>KYAI KONTONG</v>
      </c>
      <c r="D2029" s="186">
        <f>IFERROR(__xludf.DUMMYFUNCTION("""COMPUTED_VALUE"""),6.0)</f>
        <v>6</v>
      </c>
    </row>
    <row r="2030">
      <c r="A2030" s="178" t="str">
        <f>IFERROR(__xludf.DUMMYFUNCTION("""COMPUTED_VALUE"""),"ITBISA-ABC-BATERAI-AAA-ALKALINE")</f>
        <v>ITBISA-ABC-BATERAI-AAA-ALKALINE</v>
      </c>
      <c r="B2030" s="266">
        <f>IFERROR(__xludf.DUMMYFUNCTION("""COMPUTED_VALUE"""),45232.0)</f>
        <v>45232</v>
      </c>
      <c r="C2030" s="266" t="str">
        <f>IFERROR(__xludf.DUMMYFUNCTION("""COMPUTED_VALUE"""),"KYAI KONTONG")</f>
        <v>KYAI KONTONG</v>
      </c>
      <c r="D2030" s="186">
        <f>IFERROR(__xludf.DUMMYFUNCTION("""COMPUTED_VALUE"""),18.0)</f>
        <v>18</v>
      </c>
    </row>
    <row r="2031">
      <c r="A2031" s="178" t="str">
        <f>IFERROR(__xludf.DUMMYFUNCTION("""COMPUTED_VALUE"""),"ITBISA-ABC-BATERAI-AAA-ALKALINE")</f>
        <v>ITBISA-ABC-BATERAI-AAA-ALKALINE</v>
      </c>
      <c r="B2031" s="266">
        <f>IFERROR(__xludf.DUMMYFUNCTION("""COMPUTED_VALUE"""),45233.0)</f>
        <v>45233</v>
      </c>
      <c r="C2031" s="266" t="str">
        <f>IFERROR(__xludf.DUMMYFUNCTION("""COMPUTED_VALUE"""),"KYAI KONTONG")</f>
        <v>KYAI KONTONG</v>
      </c>
      <c r="D2031" s="186">
        <f>IFERROR(__xludf.DUMMYFUNCTION("""COMPUTED_VALUE"""),2.0)</f>
        <v>2</v>
      </c>
    </row>
    <row r="2032">
      <c r="A2032" s="178" t="str">
        <f>IFERROR(__xludf.DUMMYFUNCTION("""COMPUTED_VALUE"""),"ITBISA-ABC-BATERAI-AAA-ALKALINE")</f>
        <v>ITBISA-ABC-BATERAI-AAA-ALKALINE</v>
      </c>
      <c r="B2032" s="266">
        <f>IFERROR(__xludf.DUMMYFUNCTION("""COMPUTED_VALUE"""),45233.0)</f>
        <v>45233</v>
      </c>
      <c r="C2032" s="266" t="str">
        <f>IFERROR(__xludf.DUMMYFUNCTION("""COMPUTED_VALUE"""),"KYAI KONTONG")</f>
        <v>KYAI KONTONG</v>
      </c>
      <c r="D2032" s="186">
        <f>IFERROR(__xludf.DUMMYFUNCTION("""COMPUTED_VALUE"""),12.0)</f>
        <v>12</v>
      </c>
    </row>
    <row r="2033">
      <c r="A2033" s="178" t="str">
        <f>IFERROR(__xludf.DUMMYFUNCTION("""COMPUTED_VALUE"""),"ITBISA-ABC-BATERAI-AAA-ALKALINE")</f>
        <v>ITBISA-ABC-BATERAI-AAA-ALKALINE</v>
      </c>
      <c r="B2033" s="266">
        <f>IFERROR(__xludf.DUMMYFUNCTION("""COMPUTED_VALUE"""),45233.0)</f>
        <v>45233</v>
      </c>
      <c r="C2033" s="266" t="str">
        <f>IFERROR(__xludf.DUMMYFUNCTION("""COMPUTED_VALUE"""),"KYAI KONTONG")</f>
        <v>KYAI KONTONG</v>
      </c>
      <c r="D2033" s="186">
        <f>IFERROR(__xludf.DUMMYFUNCTION("""COMPUTED_VALUE"""),12.0)</f>
        <v>12</v>
      </c>
    </row>
    <row r="2034">
      <c r="A2034" s="178" t="str">
        <f>IFERROR(__xludf.DUMMYFUNCTION("""COMPUTED_VALUE"""),"ITBISA-ABC-BATERAI-AAA-ALKALINE")</f>
        <v>ITBISA-ABC-BATERAI-AAA-ALKALINE</v>
      </c>
      <c r="B2034" s="266">
        <f>IFERROR(__xludf.DUMMYFUNCTION("""COMPUTED_VALUE"""),45235.0)</f>
        <v>45235</v>
      </c>
      <c r="C2034" s="266" t="str">
        <f>IFERROR(__xludf.DUMMYFUNCTION("""COMPUTED_VALUE"""),"KYAI KONTONG")</f>
        <v>KYAI KONTONG</v>
      </c>
      <c r="D2034" s="186">
        <f>IFERROR(__xludf.DUMMYFUNCTION("""COMPUTED_VALUE"""),6.0)</f>
        <v>6</v>
      </c>
    </row>
    <row r="2035">
      <c r="A2035" s="178" t="str">
        <f>IFERROR(__xludf.DUMMYFUNCTION("""COMPUTED_VALUE"""),"ITBISA-ABC-BATERAI-AAA-ALKALINE")</f>
        <v>ITBISA-ABC-BATERAI-AAA-ALKALINE</v>
      </c>
      <c r="B2035" s="266">
        <f>IFERROR(__xludf.DUMMYFUNCTION("""COMPUTED_VALUE"""),45236.0)</f>
        <v>45236</v>
      </c>
      <c r="C2035" s="266" t="str">
        <f>IFERROR(__xludf.DUMMYFUNCTION("""COMPUTED_VALUE"""),"KYAI KONTONG")</f>
        <v>KYAI KONTONG</v>
      </c>
      <c r="D2035" s="186">
        <f>IFERROR(__xludf.DUMMYFUNCTION("""COMPUTED_VALUE"""),6.0)</f>
        <v>6</v>
      </c>
    </row>
    <row r="2036">
      <c r="A2036" s="178" t="str">
        <f>IFERROR(__xludf.DUMMYFUNCTION("""COMPUTED_VALUE"""),"ITBISA-ABC-BATERAI-AAA-ALKALINE")</f>
        <v>ITBISA-ABC-BATERAI-AAA-ALKALINE</v>
      </c>
      <c r="B2036" s="266">
        <f>IFERROR(__xludf.DUMMYFUNCTION("""COMPUTED_VALUE"""),45242.0)</f>
        <v>45242</v>
      </c>
      <c r="C2036" s="266" t="str">
        <f>IFERROR(__xludf.DUMMYFUNCTION("""COMPUTED_VALUE"""),"KYAI KONTONG")</f>
        <v>KYAI KONTONG</v>
      </c>
      <c r="D2036" s="186">
        <f>IFERROR(__xludf.DUMMYFUNCTION("""COMPUTED_VALUE"""),2.0)</f>
        <v>2</v>
      </c>
    </row>
    <row r="2037">
      <c r="A2037" s="178" t="str">
        <f>IFERROR(__xludf.DUMMYFUNCTION("""COMPUTED_VALUE"""),"ITBISA-ABC-BATERAI-AAA-ALKALINE")</f>
        <v>ITBISA-ABC-BATERAI-AAA-ALKALINE</v>
      </c>
      <c r="B2037" s="266">
        <f>IFERROR(__xludf.DUMMYFUNCTION("""COMPUTED_VALUE"""),45242.0)</f>
        <v>45242</v>
      </c>
      <c r="C2037" s="266" t="str">
        <f>IFERROR(__xludf.DUMMYFUNCTION("""COMPUTED_VALUE"""),"KYAI KONTONG")</f>
        <v>KYAI KONTONG</v>
      </c>
      <c r="D2037" s="186">
        <f>IFERROR(__xludf.DUMMYFUNCTION("""COMPUTED_VALUE"""),6.0)</f>
        <v>6</v>
      </c>
    </row>
    <row r="2038">
      <c r="A2038" s="178" t="str">
        <f>IFERROR(__xludf.DUMMYFUNCTION("""COMPUTED_VALUE"""),"ITBISA-ABC-BATERAI-AAA-ALKALINE")</f>
        <v>ITBISA-ABC-BATERAI-AAA-ALKALINE</v>
      </c>
      <c r="B2038" s="266">
        <f>IFERROR(__xludf.DUMMYFUNCTION("""COMPUTED_VALUE"""),45242.0)</f>
        <v>45242</v>
      </c>
      <c r="C2038" s="266" t="str">
        <f>IFERROR(__xludf.DUMMYFUNCTION("""COMPUTED_VALUE"""),"KYAI KONTONG")</f>
        <v>KYAI KONTONG</v>
      </c>
      <c r="D2038" s="186">
        <f>IFERROR(__xludf.DUMMYFUNCTION("""COMPUTED_VALUE"""),30.0)</f>
        <v>30</v>
      </c>
    </row>
    <row r="2039">
      <c r="A2039" s="178" t="str">
        <f>IFERROR(__xludf.DUMMYFUNCTION("""COMPUTED_VALUE"""),"ITBISA-ABC-BATERAI-AAA-ALKALINE")</f>
        <v>ITBISA-ABC-BATERAI-AAA-ALKALINE</v>
      </c>
      <c r="B2039" s="266">
        <f>IFERROR(__xludf.DUMMYFUNCTION("""COMPUTED_VALUE"""),45250.0)</f>
        <v>45250</v>
      </c>
      <c r="C2039" s="266" t="str">
        <f>IFERROR(__xludf.DUMMYFUNCTION("""COMPUTED_VALUE"""),"KYAI KONTONG")</f>
        <v>KYAI KONTONG</v>
      </c>
      <c r="D2039" s="186">
        <f>IFERROR(__xludf.DUMMYFUNCTION("""COMPUTED_VALUE"""),1.0)</f>
        <v>1</v>
      </c>
    </row>
    <row r="2040">
      <c r="A2040" s="178" t="str">
        <f>IFERROR(__xludf.DUMMYFUNCTION("""COMPUTED_VALUE"""),"ITBISA-ABC-BATERAI-AAA-ALKALINE")</f>
        <v>ITBISA-ABC-BATERAI-AAA-ALKALINE</v>
      </c>
      <c r="B2040" s="266">
        <f>IFERROR(__xludf.DUMMYFUNCTION("""COMPUTED_VALUE"""),45253.0)</f>
        <v>45253</v>
      </c>
      <c r="C2040" s="266" t="str">
        <f>IFERROR(__xludf.DUMMYFUNCTION("""COMPUTED_VALUE"""),"KERTASARI CIAMIS")</f>
        <v>KERTASARI CIAMIS</v>
      </c>
      <c r="D2040" s="186">
        <f>IFERROR(__xludf.DUMMYFUNCTION("""COMPUTED_VALUE"""),24.0)</f>
        <v>24</v>
      </c>
    </row>
    <row r="2041">
      <c r="A2041" s="178" t="str">
        <f>IFERROR(__xludf.DUMMYFUNCTION("""COMPUTED_VALUE"""),"ITBISA-ABC-BATERAI-AAA-ALKALINE")</f>
        <v>ITBISA-ABC-BATERAI-AAA-ALKALINE</v>
      </c>
      <c r="B2041" s="266">
        <f>IFERROR(__xludf.DUMMYFUNCTION("""COMPUTED_VALUE"""),45259.0)</f>
        <v>45259</v>
      </c>
      <c r="C2041" s="266" t="str">
        <f>IFERROR(__xludf.DUMMYFUNCTION("""COMPUTED_VALUE"""),"KYAI KONTONG")</f>
        <v>KYAI KONTONG</v>
      </c>
      <c r="D2041" s="186">
        <f>IFERROR(__xludf.DUMMYFUNCTION("""COMPUTED_VALUE"""),6.0)</f>
        <v>6</v>
      </c>
    </row>
    <row r="2042">
      <c r="A2042" s="178" t="str">
        <f>IFERROR(__xludf.DUMMYFUNCTION("""COMPUTED_VALUE"""),"ITBISA-ABC-BATERAI-AAA-ALKALINE")</f>
        <v>ITBISA-ABC-BATERAI-AAA-ALKALINE</v>
      </c>
      <c r="B2042" s="266">
        <f>IFERROR(__xludf.DUMMYFUNCTION("""COMPUTED_VALUE"""),45259.0)</f>
        <v>45259</v>
      </c>
      <c r="C2042" s="266" t="str">
        <f>IFERROR(__xludf.DUMMYFUNCTION("""COMPUTED_VALUE"""),"KYAI KONTONG")</f>
        <v>KYAI KONTONG</v>
      </c>
      <c r="D2042" s="186">
        <f>IFERROR(__xludf.DUMMYFUNCTION("""COMPUTED_VALUE"""),12.0)</f>
        <v>12</v>
      </c>
    </row>
    <row r="2043">
      <c r="A2043" s="178" t="str">
        <f>IFERROR(__xludf.DUMMYFUNCTION("""COMPUTED_VALUE"""),"ITBISA-ABC-BATERAI-AAA-ALKALINE")</f>
        <v>ITBISA-ABC-BATERAI-AAA-ALKALINE</v>
      </c>
      <c r="B2043" s="266">
        <f>IFERROR(__xludf.DUMMYFUNCTION("""COMPUTED_VALUE"""),45264.0)</f>
        <v>45264</v>
      </c>
      <c r="C2043" s="266" t="str">
        <f>IFERROR(__xludf.DUMMYFUNCTION("""COMPUTED_VALUE"""),"KERTASARI CIAMIS")</f>
        <v>KERTASARI CIAMIS</v>
      </c>
      <c r="D2043" s="186">
        <f>IFERROR(__xludf.DUMMYFUNCTION("""COMPUTED_VALUE"""),6.0)</f>
        <v>6</v>
      </c>
    </row>
    <row r="2044">
      <c r="A2044" s="178" t="str">
        <f>IFERROR(__xludf.DUMMYFUNCTION("""COMPUTED_VALUE"""),"ITBISA-ABC-BATERAI-AAA-ALKALINE")</f>
        <v>ITBISA-ABC-BATERAI-AAA-ALKALINE</v>
      </c>
      <c r="B2044" s="266">
        <f>IFERROR(__xludf.DUMMYFUNCTION("""COMPUTED_VALUE"""),45267.0)</f>
        <v>45267</v>
      </c>
      <c r="C2044" s="266" t="str">
        <f>IFERROR(__xludf.DUMMYFUNCTION("""COMPUTED_VALUE"""),"KERTASARI CIAMIS")</f>
        <v>KERTASARI CIAMIS</v>
      </c>
      <c r="D2044" s="186">
        <f>IFERROR(__xludf.DUMMYFUNCTION("""COMPUTED_VALUE"""),12.0)</f>
        <v>12</v>
      </c>
    </row>
    <row r="2045">
      <c r="A2045" s="178" t="str">
        <f>IFERROR(__xludf.DUMMYFUNCTION("""COMPUTED_VALUE"""),"ITBISA-ABC-BATERAI-AAA-ALKALINE")</f>
        <v>ITBISA-ABC-BATERAI-AAA-ALKALINE</v>
      </c>
      <c r="B2045" s="266">
        <f>IFERROR(__xludf.DUMMYFUNCTION("""COMPUTED_VALUE"""),45267.0)</f>
        <v>45267</v>
      </c>
      <c r="C2045" s="266" t="str">
        <f>IFERROR(__xludf.DUMMYFUNCTION("""COMPUTED_VALUE"""),"KERTASARI CIAMIS")</f>
        <v>KERTASARI CIAMIS</v>
      </c>
      <c r="D2045" s="186">
        <f>IFERROR(__xludf.DUMMYFUNCTION("""COMPUTED_VALUE"""),12.0)</f>
        <v>12</v>
      </c>
    </row>
    <row r="2046">
      <c r="A2046" s="178" t="str">
        <f>IFERROR(__xludf.DUMMYFUNCTION("""COMPUTED_VALUE"""),"ITBISA-ABC-BATERAI-AAA-ALKALINE")</f>
        <v>ITBISA-ABC-BATERAI-AAA-ALKALINE</v>
      </c>
      <c r="B2046" s="266">
        <f>IFERROR(__xludf.DUMMYFUNCTION("""COMPUTED_VALUE"""),45268.0)</f>
        <v>45268</v>
      </c>
      <c r="C2046" s="266" t="str">
        <f>IFERROR(__xludf.DUMMYFUNCTION("""COMPUTED_VALUE"""),"KERTASARI CIAMIS")</f>
        <v>KERTASARI CIAMIS</v>
      </c>
      <c r="D2046" s="186">
        <f>IFERROR(__xludf.DUMMYFUNCTION("""COMPUTED_VALUE"""),6.0)</f>
        <v>6</v>
      </c>
    </row>
    <row r="2047">
      <c r="A2047" s="178" t="str">
        <f>IFERROR(__xludf.DUMMYFUNCTION("""COMPUTED_VALUE"""),"ITBISA-ABC-BATERAI-AAA-ALKALINE")</f>
        <v>ITBISA-ABC-BATERAI-AAA-ALKALINE</v>
      </c>
      <c r="B2047" s="266">
        <f>IFERROR(__xludf.DUMMYFUNCTION("""COMPUTED_VALUE"""),45276.0)</f>
        <v>45276</v>
      </c>
      <c r="C2047" s="266" t="str">
        <f>IFERROR(__xludf.DUMMYFUNCTION("""COMPUTED_VALUE"""),"KYAI KONTONG")</f>
        <v>KYAI KONTONG</v>
      </c>
      <c r="D2047" s="186">
        <f>IFERROR(__xludf.DUMMYFUNCTION("""COMPUTED_VALUE"""),42.0)</f>
        <v>42</v>
      </c>
    </row>
    <row r="2048">
      <c r="A2048" s="178" t="str">
        <f>IFERROR(__xludf.DUMMYFUNCTION("""COMPUTED_VALUE"""),"ITBISA-ABC-BATERAI-AAA-ALKALINE")</f>
        <v>ITBISA-ABC-BATERAI-AAA-ALKALINE</v>
      </c>
      <c r="B2048" s="266">
        <f>IFERROR(__xludf.DUMMYFUNCTION("""COMPUTED_VALUE"""),45277.0)</f>
        <v>45277</v>
      </c>
      <c r="C2048" s="266" t="str">
        <f>IFERROR(__xludf.DUMMYFUNCTION("""COMPUTED_VALUE"""),"KERTASARI CIAMIS")</f>
        <v>KERTASARI CIAMIS</v>
      </c>
      <c r="D2048" s="186">
        <f>IFERROR(__xludf.DUMMYFUNCTION("""COMPUTED_VALUE"""),6.0)</f>
        <v>6</v>
      </c>
    </row>
    <row r="2049">
      <c r="A2049" s="178" t="str">
        <f>IFERROR(__xludf.DUMMYFUNCTION("""COMPUTED_VALUE"""),"ITBISA-ABC-BATERAI-AAA-ALKALINE")</f>
        <v>ITBISA-ABC-BATERAI-AAA-ALKALINE</v>
      </c>
      <c r="B2049" s="266">
        <f>IFERROR(__xludf.DUMMYFUNCTION("""COMPUTED_VALUE"""),45285.0)</f>
        <v>45285</v>
      </c>
      <c r="C2049" s="266" t="str">
        <f>IFERROR(__xludf.DUMMYFUNCTION("""COMPUTED_VALUE"""),"KERTASARI CIAMIS")</f>
        <v>KERTASARI CIAMIS</v>
      </c>
      <c r="D2049" s="186">
        <f>IFERROR(__xludf.DUMMYFUNCTION("""COMPUTED_VALUE"""),12.0)</f>
        <v>12</v>
      </c>
    </row>
    <row r="2050">
      <c r="A2050" s="178" t="str">
        <f>IFERROR(__xludf.DUMMYFUNCTION("""COMPUTED_VALUE"""),"ITBISA-ABC-BATERAI-AAA-ALKALINE")</f>
        <v>ITBISA-ABC-BATERAI-AAA-ALKALINE</v>
      </c>
      <c r="B2050" s="266">
        <f>IFERROR(__xludf.DUMMYFUNCTION("""COMPUTED_VALUE"""),45285.0)</f>
        <v>45285</v>
      </c>
      <c r="C2050" s="266" t="str">
        <f>IFERROR(__xludf.DUMMYFUNCTION("""COMPUTED_VALUE"""),"KYAI KONTONG")</f>
        <v>KYAI KONTONG</v>
      </c>
      <c r="D2050" s="186">
        <f>IFERROR(__xludf.DUMMYFUNCTION("""COMPUTED_VALUE"""),6.0)</f>
        <v>6</v>
      </c>
    </row>
    <row r="2051">
      <c r="A2051" s="178" t="str">
        <f>IFERROR(__xludf.DUMMYFUNCTION("""COMPUTED_VALUE"""),"ITBISA-ABC-BATERAI-AAA-ALKALINE")</f>
        <v>ITBISA-ABC-BATERAI-AAA-ALKALINE</v>
      </c>
      <c r="B2051" s="266">
        <f>IFERROR(__xludf.DUMMYFUNCTION("""COMPUTED_VALUE"""),45288.0)</f>
        <v>45288</v>
      </c>
      <c r="C2051" s="266" t="str">
        <f>IFERROR(__xludf.DUMMYFUNCTION("""COMPUTED_VALUE"""),"KERTASARI CIAMIS")</f>
        <v>KERTASARI CIAMIS</v>
      </c>
      <c r="D2051" s="186">
        <f>IFERROR(__xludf.DUMMYFUNCTION("""COMPUTED_VALUE"""),12.0)</f>
        <v>12</v>
      </c>
    </row>
    <row r="2052">
      <c r="A2052" s="178" t="str">
        <f>IFERROR(__xludf.DUMMYFUNCTION("""COMPUTED_VALUE"""),"ITBISA-ABC-BATERAI-AAA-ALKALINE")</f>
        <v>ITBISA-ABC-BATERAI-AAA-ALKALINE</v>
      </c>
      <c r="B2052" s="266">
        <f>IFERROR(__xludf.DUMMYFUNCTION("""COMPUTED_VALUE"""),45288.0)</f>
        <v>45288</v>
      </c>
      <c r="C2052" s="266" t="str">
        <f>IFERROR(__xludf.DUMMYFUNCTION("""COMPUTED_VALUE"""),"KERTASARI CIAMIS")</f>
        <v>KERTASARI CIAMIS</v>
      </c>
      <c r="D2052" s="186">
        <f>IFERROR(__xludf.DUMMYFUNCTION("""COMPUTED_VALUE"""),18.0)</f>
        <v>18</v>
      </c>
    </row>
    <row r="2053">
      <c r="A2053" s="178" t="str">
        <f>IFERROR(__xludf.DUMMYFUNCTION("""COMPUTED_VALUE"""),"ITBISA-ABC-BATERAI-AAA-ALKALINE")</f>
        <v>ITBISA-ABC-BATERAI-AAA-ALKALINE</v>
      </c>
      <c r="B2053" s="266">
        <f>IFERROR(__xludf.DUMMYFUNCTION("""COMPUTED_VALUE"""),45288.0)</f>
        <v>45288</v>
      </c>
      <c r="C2053" s="266" t="str">
        <f>IFERROR(__xludf.DUMMYFUNCTION("""COMPUTED_VALUE"""),"KYAI KONTONG")</f>
        <v>KYAI KONTONG</v>
      </c>
      <c r="D2053" s="186">
        <f>IFERROR(__xludf.DUMMYFUNCTION("""COMPUTED_VALUE"""),12.0)</f>
        <v>12</v>
      </c>
    </row>
    <row r="2054">
      <c r="A2054" s="178" t="str">
        <f>IFERROR(__xludf.DUMMYFUNCTION("""COMPUTED_VALUE"""),"ITBISA-ABC-BATERAI-AAA-ALKALINE")</f>
        <v>ITBISA-ABC-BATERAI-AAA-ALKALINE</v>
      </c>
      <c r="B2054" s="266">
        <f>IFERROR(__xludf.DUMMYFUNCTION("""COMPUTED_VALUE"""),45289.0)</f>
        <v>45289</v>
      </c>
      <c r="C2054" s="266" t="str">
        <f>IFERROR(__xludf.DUMMYFUNCTION("""COMPUTED_VALUE"""),"KYAI KONTONG")</f>
        <v>KYAI KONTONG</v>
      </c>
      <c r="D2054" s="186">
        <f>IFERROR(__xludf.DUMMYFUNCTION("""COMPUTED_VALUE"""),12.0)</f>
        <v>12</v>
      </c>
    </row>
    <row r="2055">
      <c r="A2055" s="178" t="str">
        <f>IFERROR(__xludf.DUMMYFUNCTION("""COMPUTED_VALUE"""),"ITBISA-ABC-BATERAI-AAA-ALKALINE")</f>
        <v>ITBISA-ABC-BATERAI-AAA-ALKALINE</v>
      </c>
      <c r="B2055" s="266">
        <f>IFERROR(__xludf.DUMMYFUNCTION("""COMPUTED_VALUE"""),45292.0)</f>
        <v>45292</v>
      </c>
      <c r="C2055" s="266" t="str">
        <f>IFERROR(__xludf.DUMMYFUNCTION("""COMPUTED_VALUE"""),"KERTASARI CIAMIS")</f>
        <v>KERTASARI CIAMIS</v>
      </c>
      <c r="D2055" s="186">
        <f>IFERROR(__xludf.DUMMYFUNCTION("""COMPUTED_VALUE"""),6.0)</f>
        <v>6</v>
      </c>
    </row>
    <row r="2056">
      <c r="A2056" s="178" t="str">
        <f>IFERROR(__xludf.DUMMYFUNCTION("""COMPUTED_VALUE"""),"ITBISA-ABC-BATERAI-AAA-ALKALINE")</f>
        <v>ITBISA-ABC-BATERAI-AAA-ALKALINE</v>
      </c>
      <c r="B2056" s="266">
        <f>IFERROR(__xludf.DUMMYFUNCTION("""COMPUTED_VALUE"""),45297.0)</f>
        <v>45297</v>
      </c>
      <c r="C2056" s="266" t="str">
        <f>IFERROR(__xludf.DUMMYFUNCTION("""COMPUTED_VALUE"""),"KERTASARI CIAMIS")</f>
        <v>KERTASARI CIAMIS</v>
      </c>
      <c r="D2056" s="186">
        <f>IFERROR(__xludf.DUMMYFUNCTION("""COMPUTED_VALUE"""),6.0)</f>
        <v>6</v>
      </c>
    </row>
    <row r="2057">
      <c r="A2057" s="178" t="str">
        <f>IFERROR(__xludf.DUMMYFUNCTION("""COMPUTED_VALUE"""),"ITBISA-ABC-BATERAI-AAA-ALKALINE")</f>
        <v>ITBISA-ABC-BATERAI-AAA-ALKALINE</v>
      </c>
      <c r="B2057" s="266">
        <f>IFERROR(__xludf.DUMMYFUNCTION("""COMPUTED_VALUE"""),45297.0)</f>
        <v>45297</v>
      </c>
      <c r="C2057" s="266" t="str">
        <f>IFERROR(__xludf.DUMMYFUNCTION("""COMPUTED_VALUE"""),"KERTASARI CIAMIS")</f>
        <v>KERTASARI CIAMIS</v>
      </c>
      <c r="D2057" s="186">
        <f>IFERROR(__xludf.DUMMYFUNCTION("""COMPUTED_VALUE"""),60.0)</f>
        <v>60</v>
      </c>
    </row>
    <row r="2058">
      <c r="A2058" s="178" t="str">
        <f>IFERROR(__xludf.DUMMYFUNCTION("""COMPUTED_VALUE"""),"ITBISA-ABC-BATERAI-AAA-ALKALINE")</f>
        <v>ITBISA-ABC-BATERAI-AAA-ALKALINE</v>
      </c>
      <c r="B2058" s="266">
        <f>IFERROR(__xludf.DUMMYFUNCTION("""COMPUTED_VALUE"""),45300.0)</f>
        <v>45300</v>
      </c>
      <c r="C2058" s="266" t="str">
        <f>IFERROR(__xludf.DUMMYFUNCTION("""COMPUTED_VALUE"""),"KERTASARI CIAMIS")</f>
        <v>KERTASARI CIAMIS</v>
      </c>
      <c r="D2058" s="186">
        <f>IFERROR(__xludf.DUMMYFUNCTION("""COMPUTED_VALUE"""),6.0)</f>
        <v>6</v>
      </c>
    </row>
    <row r="2059">
      <c r="A2059" s="178" t="str">
        <f>IFERROR(__xludf.DUMMYFUNCTION("""COMPUTED_VALUE"""),"ITBISA-ABC-BATERAI-AAA-ALKALINE")</f>
        <v>ITBISA-ABC-BATERAI-AAA-ALKALINE</v>
      </c>
      <c r="B2059" s="266">
        <f>IFERROR(__xludf.DUMMYFUNCTION("""COMPUTED_VALUE"""),45304.0)</f>
        <v>45304</v>
      </c>
      <c r="C2059" s="266" t="str">
        <f>IFERROR(__xludf.DUMMYFUNCTION("""COMPUTED_VALUE"""),"KERTASARI CIAMIS")</f>
        <v>KERTASARI CIAMIS</v>
      </c>
      <c r="D2059" s="186">
        <f>IFERROR(__xludf.DUMMYFUNCTION("""COMPUTED_VALUE"""),6.0)</f>
        <v>6</v>
      </c>
    </row>
    <row r="2060">
      <c r="A2060" s="178" t="str">
        <f>IFERROR(__xludf.DUMMYFUNCTION("""COMPUTED_VALUE"""),"ITBISA-ABC-BATERAI-AAA-ALKALINE")</f>
        <v>ITBISA-ABC-BATERAI-AAA-ALKALINE</v>
      </c>
      <c r="B2060" s="266">
        <f>IFERROR(__xludf.DUMMYFUNCTION("""COMPUTED_VALUE"""),45306.0)</f>
        <v>45306</v>
      </c>
      <c r="C2060" s="266" t="str">
        <f>IFERROR(__xludf.DUMMYFUNCTION("""COMPUTED_VALUE"""),"KERTASARI CIAMIS")</f>
        <v>KERTASARI CIAMIS</v>
      </c>
      <c r="D2060" s="186">
        <f>IFERROR(__xludf.DUMMYFUNCTION("""COMPUTED_VALUE"""),12.0)</f>
        <v>12</v>
      </c>
    </row>
    <row r="2061">
      <c r="A2061" s="178" t="str">
        <f>IFERROR(__xludf.DUMMYFUNCTION("""COMPUTED_VALUE"""),"ITBISA-ABC-BATERAI-AAA-ALKALINE")</f>
        <v>ITBISA-ABC-BATERAI-AAA-ALKALINE</v>
      </c>
      <c r="B2061" s="266">
        <f>IFERROR(__xludf.DUMMYFUNCTION("""COMPUTED_VALUE"""),45308.0)</f>
        <v>45308</v>
      </c>
      <c r="C2061" s="266" t="str">
        <f>IFERROR(__xludf.DUMMYFUNCTION("""COMPUTED_VALUE"""),"KERTASARI CIAMIS")</f>
        <v>KERTASARI CIAMIS</v>
      </c>
      <c r="D2061" s="186">
        <f>IFERROR(__xludf.DUMMYFUNCTION("""COMPUTED_VALUE"""),6.0)</f>
        <v>6</v>
      </c>
    </row>
    <row r="2062">
      <c r="A2062" s="178" t="str">
        <f>IFERROR(__xludf.DUMMYFUNCTION("""COMPUTED_VALUE"""),"ITBISA-ABC-BATERAI-AAA-ALKALINE")</f>
        <v>ITBISA-ABC-BATERAI-AAA-ALKALINE</v>
      </c>
      <c r="B2062" s="266">
        <f>IFERROR(__xludf.DUMMYFUNCTION("""COMPUTED_VALUE"""),45308.0)</f>
        <v>45308</v>
      </c>
      <c r="C2062" s="266" t="str">
        <f>IFERROR(__xludf.DUMMYFUNCTION("""COMPUTED_VALUE"""),"KERTASARI CIAMIS")</f>
        <v>KERTASARI CIAMIS</v>
      </c>
      <c r="D2062" s="186">
        <f>IFERROR(__xludf.DUMMYFUNCTION("""COMPUTED_VALUE"""),24.0)</f>
        <v>24</v>
      </c>
    </row>
    <row r="2063">
      <c r="A2063" s="178" t="str">
        <f>IFERROR(__xludf.DUMMYFUNCTION("""COMPUTED_VALUE"""),"ITBISA-ABC-BATERAI-AAA-ALKALINE")</f>
        <v>ITBISA-ABC-BATERAI-AAA-ALKALINE</v>
      </c>
      <c r="B2063" s="266">
        <f>IFERROR(__xludf.DUMMYFUNCTION("""COMPUTED_VALUE"""),45320.0)</f>
        <v>45320</v>
      </c>
      <c r="C2063" s="266" t="str">
        <f>IFERROR(__xludf.DUMMYFUNCTION("""COMPUTED_VALUE"""),"KYAI KONTONG")</f>
        <v>KYAI KONTONG</v>
      </c>
      <c r="D2063" s="186">
        <f>IFERROR(__xludf.DUMMYFUNCTION("""COMPUTED_VALUE"""),90.0)</f>
        <v>90</v>
      </c>
    </row>
    <row r="2064">
      <c r="A2064" s="178" t="str">
        <f>IFERROR(__xludf.DUMMYFUNCTION("""COMPUTED_VALUE"""),"ITBISA-ABC-BATERAI-AAA-ALKALINE")</f>
        <v>ITBISA-ABC-BATERAI-AAA-ALKALINE</v>
      </c>
      <c r="B2064" s="266">
        <f>IFERROR(__xludf.DUMMYFUNCTION("""COMPUTED_VALUE"""),45321.0)</f>
        <v>45321</v>
      </c>
      <c r="C2064" s="266" t="str">
        <f>IFERROR(__xludf.DUMMYFUNCTION("""COMPUTED_VALUE"""),"KERTASARI CIAMIS")</f>
        <v>KERTASARI CIAMIS</v>
      </c>
      <c r="D2064" s="186">
        <f>IFERROR(__xludf.DUMMYFUNCTION("""COMPUTED_VALUE"""),6.0)</f>
        <v>6</v>
      </c>
    </row>
    <row r="2065">
      <c r="A2065" s="178" t="str">
        <f>IFERROR(__xludf.DUMMYFUNCTION("""COMPUTED_VALUE"""),"ITBISA-ABC-BATERAI-AAA-ALKALINE")</f>
        <v>ITBISA-ABC-BATERAI-AAA-ALKALINE</v>
      </c>
      <c r="B2065" s="266">
        <f>IFERROR(__xludf.DUMMYFUNCTION("""COMPUTED_VALUE"""),45321.0)</f>
        <v>45321</v>
      </c>
      <c r="C2065" s="266" t="str">
        <f>IFERROR(__xludf.DUMMYFUNCTION("""COMPUTED_VALUE"""),"KYAI KONTONG")</f>
        <v>KYAI KONTONG</v>
      </c>
      <c r="D2065" s="186">
        <f>IFERROR(__xludf.DUMMYFUNCTION("""COMPUTED_VALUE"""),18.0)</f>
        <v>18</v>
      </c>
    </row>
    <row r="2066">
      <c r="A2066" s="178" t="str">
        <f>IFERROR(__xludf.DUMMYFUNCTION("""COMPUTED_VALUE"""),"ITBISA-ABC-BATERAI-AAA-ALKALINE")</f>
        <v>ITBISA-ABC-BATERAI-AAA-ALKALINE</v>
      </c>
      <c r="B2066" s="266">
        <f>IFERROR(__xludf.DUMMYFUNCTION("""COMPUTED_VALUE"""),45327.0)</f>
        <v>45327</v>
      </c>
      <c r="C2066" s="266" t="str">
        <f>IFERROR(__xludf.DUMMYFUNCTION("""COMPUTED_VALUE"""),"KERTASARI CIAMIS")</f>
        <v>KERTASARI CIAMIS</v>
      </c>
      <c r="D2066" s="186">
        <f>IFERROR(__xludf.DUMMYFUNCTION("""COMPUTED_VALUE"""),24.0)</f>
        <v>24</v>
      </c>
    </row>
    <row r="2067">
      <c r="A2067" s="178" t="str">
        <f>IFERROR(__xludf.DUMMYFUNCTION("""COMPUTED_VALUE"""),"ITBISA-ABC-BATERAI-AAA-ALKALINE")</f>
        <v>ITBISA-ABC-BATERAI-AAA-ALKALINE</v>
      </c>
      <c r="B2067" s="266">
        <f>IFERROR(__xludf.DUMMYFUNCTION("""COMPUTED_VALUE"""),45329.0)</f>
        <v>45329</v>
      </c>
      <c r="C2067" s="266" t="str">
        <f>IFERROR(__xludf.DUMMYFUNCTION("""COMPUTED_VALUE"""),"KERTASARI CIAMIS")</f>
        <v>KERTASARI CIAMIS</v>
      </c>
      <c r="D2067" s="186">
        <f>IFERROR(__xludf.DUMMYFUNCTION("""COMPUTED_VALUE"""),12.0)</f>
        <v>12</v>
      </c>
    </row>
    <row r="2068">
      <c r="A2068" s="178" t="str">
        <f>IFERROR(__xludf.DUMMYFUNCTION("""COMPUTED_VALUE"""),"ITBISA-ABC-BATERAI-AAA-ALKALINE")</f>
        <v>ITBISA-ABC-BATERAI-AAA-ALKALINE</v>
      </c>
      <c r="B2068" s="266">
        <f>IFERROR(__xludf.DUMMYFUNCTION("""COMPUTED_VALUE"""),45331.0)</f>
        <v>45331</v>
      </c>
      <c r="C2068" s="266" t="str">
        <f>IFERROR(__xludf.DUMMYFUNCTION("""COMPUTED_VALUE"""),"KERTASARI CIAMIS")</f>
        <v>KERTASARI CIAMIS</v>
      </c>
      <c r="D2068" s="186">
        <f>IFERROR(__xludf.DUMMYFUNCTION("""COMPUTED_VALUE"""),12.0)</f>
        <v>12</v>
      </c>
    </row>
    <row r="2069">
      <c r="A2069" s="178" t="str">
        <f>IFERROR(__xludf.DUMMYFUNCTION("""COMPUTED_VALUE"""),"ITBISA-ABC-BATERAI-AAA-ALKALINE")</f>
        <v>ITBISA-ABC-BATERAI-AAA-ALKALINE</v>
      </c>
      <c r="B2069" s="266">
        <f>IFERROR(__xludf.DUMMYFUNCTION("""COMPUTED_VALUE"""),45333.0)</f>
        <v>45333</v>
      </c>
      <c r="C2069" s="266" t="str">
        <f>IFERROR(__xludf.DUMMYFUNCTION("""COMPUTED_VALUE"""),"KERTASARI CIAMIS")</f>
        <v>KERTASARI CIAMIS</v>
      </c>
      <c r="D2069" s="186">
        <f>IFERROR(__xludf.DUMMYFUNCTION("""COMPUTED_VALUE"""),6.0)</f>
        <v>6</v>
      </c>
    </row>
    <row r="2070">
      <c r="A2070" s="178" t="str">
        <f>IFERROR(__xludf.DUMMYFUNCTION("""COMPUTED_VALUE"""),"ITBISA-ABC-BATERAI-AAA-ALKALINE")</f>
        <v>ITBISA-ABC-BATERAI-AAA-ALKALINE</v>
      </c>
      <c r="B2070" s="266">
        <f>IFERROR(__xludf.DUMMYFUNCTION("""COMPUTED_VALUE"""),45346.0)</f>
        <v>45346</v>
      </c>
      <c r="C2070" s="266" t="str">
        <f>IFERROR(__xludf.DUMMYFUNCTION("""COMPUTED_VALUE"""),"KERTASARI CIAMIS")</f>
        <v>KERTASARI CIAMIS</v>
      </c>
      <c r="D2070" s="186">
        <f>IFERROR(__xludf.DUMMYFUNCTION("""COMPUTED_VALUE"""),6.0)</f>
        <v>6</v>
      </c>
    </row>
    <row r="2071">
      <c r="A2071" s="178" t="str">
        <f>IFERROR(__xludf.DUMMYFUNCTION("""COMPUTED_VALUE"""),"ITBISA-ABC-BATERAI-AAA-ALKALINE")</f>
        <v>ITBISA-ABC-BATERAI-AAA-ALKALINE</v>
      </c>
      <c r="B2071" s="266">
        <f>IFERROR(__xludf.DUMMYFUNCTION("""COMPUTED_VALUE"""),45348.0)</f>
        <v>45348</v>
      </c>
      <c r="C2071" s="266" t="str">
        <f>IFERROR(__xludf.DUMMYFUNCTION("""COMPUTED_VALUE"""),"KERTASARI CIAMIS")</f>
        <v>KERTASARI CIAMIS</v>
      </c>
      <c r="D2071" s="186">
        <f>IFERROR(__xludf.DUMMYFUNCTION("""COMPUTED_VALUE"""),102.0)</f>
        <v>102</v>
      </c>
    </row>
    <row r="2072">
      <c r="A2072" s="178" t="str">
        <f>IFERROR(__xludf.DUMMYFUNCTION("""COMPUTED_VALUE"""),"ITBISA-ABC-BATERAI-AAA-ALKALINE")</f>
        <v>ITBISA-ABC-BATERAI-AAA-ALKALINE</v>
      </c>
      <c r="B2072" s="266">
        <f>IFERROR(__xludf.DUMMYFUNCTION("""COMPUTED_VALUE"""),45348.0)</f>
        <v>45348</v>
      </c>
      <c r="C2072" s="266" t="str">
        <f>IFERROR(__xludf.DUMMYFUNCTION("""COMPUTED_VALUE"""),"KYAI KONTONG")</f>
        <v>KYAI KONTONG</v>
      </c>
      <c r="D2072" s="186">
        <f>IFERROR(__xludf.DUMMYFUNCTION("""COMPUTED_VALUE"""),198.0)</f>
        <v>198</v>
      </c>
    </row>
    <row r="2073">
      <c r="A2073" s="178" t="str">
        <f>IFERROR(__xludf.DUMMYFUNCTION("""COMPUTED_VALUE"""),"ITBISA-ABC-BATERAI-AAA-ALKALINE")</f>
        <v>ITBISA-ABC-BATERAI-AAA-ALKALINE</v>
      </c>
      <c r="B2073" s="266">
        <f>IFERROR(__xludf.DUMMYFUNCTION("""COMPUTED_VALUE"""),45350.0)</f>
        <v>45350</v>
      </c>
      <c r="C2073" s="266" t="str">
        <f>IFERROR(__xludf.DUMMYFUNCTION("""COMPUTED_VALUE"""),"KERTASARI CIAMIS")</f>
        <v>KERTASARI CIAMIS</v>
      </c>
      <c r="D2073" s="186">
        <f>IFERROR(__xludf.DUMMYFUNCTION("""COMPUTED_VALUE"""),6.0)</f>
        <v>6</v>
      </c>
    </row>
    <row r="2074">
      <c r="A2074" s="178" t="str">
        <f>IFERROR(__xludf.DUMMYFUNCTION("""COMPUTED_VALUE"""),"ITBISA-ABC-BATERAI-AAA-ALKALINE")</f>
        <v>ITBISA-ABC-BATERAI-AAA-ALKALINE</v>
      </c>
      <c r="B2074" s="266">
        <f>IFERROR(__xludf.DUMMYFUNCTION("""COMPUTED_VALUE"""),45350.0)</f>
        <v>45350</v>
      </c>
      <c r="C2074" s="266" t="str">
        <f>IFERROR(__xludf.DUMMYFUNCTION("""COMPUTED_VALUE"""),"KERTASARI CIAMIS")</f>
        <v>KERTASARI CIAMIS</v>
      </c>
      <c r="D2074" s="186">
        <f>IFERROR(__xludf.DUMMYFUNCTION("""COMPUTED_VALUE"""),12.0)</f>
        <v>12</v>
      </c>
    </row>
    <row r="2075">
      <c r="A2075" s="178" t="str">
        <f>IFERROR(__xludf.DUMMYFUNCTION("""COMPUTED_VALUE"""),"ITBISA-ABC-BATERAI-AAA-ALKALINE")</f>
        <v>ITBISA-ABC-BATERAI-AAA-ALKALINE</v>
      </c>
      <c r="B2075" s="266">
        <f>IFERROR(__xludf.DUMMYFUNCTION("""COMPUTED_VALUE"""),45351.0)</f>
        <v>45351</v>
      </c>
      <c r="C2075" s="266" t="str">
        <f>IFERROR(__xludf.DUMMYFUNCTION("""COMPUTED_VALUE"""),"KERTASARI CIAMIS")</f>
        <v>KERTASARI CIAMIS</v>
      </c>
      <c r="D2075" s="186">
        <f>IFERROR(__xludf.DUMMYFUNCTION("""COMPUTED_VALUE"""),6.0)</f>
        <v>6</v>
      </c>
    </row>
    <row r="2076">
      <c r="A2076" s="178" t="str">
        <f>IFERROR(__xludf.DUMMYFUNCTION("""COMPUTED_VALUE"""),"ITBISA-ABC-BATERAI-AAA-ALKALINE")</f>
        <v>ITBISA-ABC-BATERAI-AAA-ALKALINE</v>
      </c>
      <c r="B2076" s="266">
        <f>IFERROR(__xludf.DUMMYFUNCTION("""COMPUTED_VALUE"""),45358.0)</f>
        <v>45358</v>
      </c>
      <c r="C2076" s="266" t="str">
        <f>IFERROR(__xludf.DUMMYFUNCTION("""COMPUTED_VALUE"""),"KERTASARI CIAMIS")</f>
        <v>KERTASARI CIAMIS</v>
      </c>
      <c r="D2076" s="186">
        <f>IFERROR(__xludf.DUMMYFUNCTION("""COMPUTED_VALUE"""),30.0)</f>
        <v>30</v>
      </c>
    </row>
    <row r="2077">
      <c r="A2077" s="178" t="str">
        <f>IFERROR(__xludf.DUMMYFUNCTION("""COMPUTED_VALUE"""),"ITBISA-ABC-BATERAI-AAA-ALKALINE")</f>
        <v>ITBISA-ABC-BATERAI-AAA-ALKALINE</v>
      </c>
      <c r="B2077" s="266">
        <f>IFERROR(__xludf.DUMMYFUNCTION("""COMPUTED_VALUE"""),45359.0)</f>
        <v>45359</v>
      </c>
      <c r="C2077" s="266" t="str">
        <f>IFERROR(__xludf.DUMMYFUNCTION("""COMPUTED_VALUE"""),"KERTASARI CIAMIS")</f>
        <v>KERTASARI CIAMIS</v>
      </c>
      <c r="D2077" s="186">
        <f>IFERROR(__xludf.DUMMYFUNCTION("""COMPUTED_VALUE"""),12.0)</f>
        <v>12</v>
      </c>
    </row>
    <row r="2078">
      <c r="A2078" s="178" t="str">
        <f>IFERROR(__xludf.DUMMYFUNCTION("""COMPUTED_VALUE"""),"ITBISA-ABC-BATERAI-AAA-ALKALINE")</f>
        <v>ITBISA-ABC-BATERAI-AAA-ALKALINE</v>
      </c>
      <c r="B2078" s="266">
        <f>IFERROR(__xludf.DUMMYFUNCTION("""COMPUTED_VALUE"""),45359.0)</f>
        <v>45359</v>
      </c>
      <c r="C2078" s="266" t="str">
        <f>IFERROR(__xludf.DUMMYFUNCTION("""COMPUTED_VALUE"""),"KYAI KONTONG")</f>
        <v>KYAI KONTONG</v>
      </c>
      <c r="D2078" s="186">
        <f>IFERROR(__xludf.DUMMYFUNCTION("""COMPUTED_VALUE"""),12.0)</f>
        <v>12</v>
      </c>
    </row>
    <row r="2079">
      <c r="A2079" s="178" t="str">
        <f>IFERROR(__xludf.DUMMYFUNCTION("""COMPUTED_VALUE"""),"ITBISA-ABC-BATERAI-AAA-ALKALINE")</f>
        <v>ITBISA-ABC-BATERAI-AAA-ALKALINE</v>
      </c>
      <c r="B2079" s="266">
        <f>IFERROR(__xludf.DUMMYFUNCTION("""COMPUTED_VALUE"""),45364.0)</f>
        <v>45364</v>
      </c>
      <c r="C2079" s="266" t="str">
        <f>IFERROR(__xludf.DUMMYFUNCTION("""COMPUTED_VALUE"""),"KYAI KONTONG")</f>
        <v>KYAI KONTONG</v>
      </c>
      <c r="D2079" s="186">
        <f>IFERROR(__xludf.DUMMYFUNCTION("""COMPUTED_VALUE"""),6.0)</f>
        <v>6</v>
      </c>
    </row>
    <row r="2080">
      <c r="A2080" s="178" t="str">
        <f>IFERROR(__xludf.DUMMYFUNCTION("""COMPUTED_VALUE"""),"ITBISA-ABC-BATERAI-AAA-ALKALINE")</f>
        <v>ITBISA-ABC-BATERAI-AAA-ALKALINE</v>
      </c>
      <c r="B2080" s="266">
        <f>IFERROR(__xludf.DUMMYFUNCTION("""COMPUTED_VALUE"""),45367.0)</f>
        <v>45367</v>
      </c>
      <c r="C2080" s="266" t="str">
        <f>IFERROR(__xludf.DUMMYFUNCTION("""COMPUTED_VALUE"""),"KYAI KONTONG")</f>
        <v>KYAI KONTONG</v>
      </c>
      <c r="D2080" s="186">
        <f>IFERROR(__xludf.DUMMYFUNCTION("""COMPUTED_VALUE"""),24.0)</f>
        <v>24</v>
      </c>
    </row>
    <row r="2081">
      <c r="A2081" s="178" t="str">
        <f>IFERROR(__xludf.DUMMYFUNCTION("""COMPUTED_VALUE"""),"ITBISA-ABC-BATERAI-AAA-ALKALINE")</f>
        <v>ITBISA-ABC-BATERAI-AAA-ALKALINE</v>
      </c>
      <c r="B2081" s="266">
        <f>IFERROR(__xludf.DUMMYFUNCTION("""COMPUTED_VALUE"""),45370.0)</f>
        <v>45370</v>
      </c>
      <c r="C2081" s="266" t="str">
        <f>IFERROR(__xludf.DUMMYFUNCTION("""COMPUTED_VALUE"""),"KERTASARI CIAMIS")</f>
        <v>KERTASARI CIAMIS</v>
      </c>
      <c r="D2081" s="186">
        <f>IFERROR(__xludf.DUMMYFUNCTION("""COMPUTED_VALUE"""),12.0)</f>
        <v>12</v>
      </c>
    </row>
    <row r="2082">
      <c r="A2082" s="178" t="str">
        <f>IFERROR(__xludf.DUMMYFUNCTION("""COMPUTED_VALUE"""),"ITBISA-ABC-BATERAI-AAA-ALKALINE")</f>
        <v>ITBISA-ABC-BATERAI-AAA-ALKALINE</v>
      </c>
      <c r="B2082" s="266">
        <f>IFERROR(__xludf.DUMMYFUNCTION("""COMPUTED_VALUE"""),45371.0)</f>
        <v>45371</v>
      </c>
      <c r="C2082" s="266" t="str">
        <f>IFERROR(__xludf.DUMMYFUNCTION("""COMPUTED_VALUE"""),"KERTASARI CIAMIS")</f>
        <v>KERTASARI CIAMIS</v>
      </c>
      <c r="D2082" s="186">
        <f>IFERROR(__xludf.DUMMYFUNCTION("""COMPUTED_VALUE"""),6.0)</f>
        <v>6</v>
      </c>
    </row>
    <row r="2083">
      <c r="A2083" s="178" t="str">
        <f>IFERROR(__xludf.DUMMYFUNCTION("""COMPUTED_VALUE"""),"ITBISA-ABC-BATERAI-AAA-ALKALINE")</f>
        <v>ITBISA-ABC-BATERAI-AAA-ALKALINE</v>
      </c>
      <c r="B2083" s="266">
        <f>IFERROR(__xludf.DUMMYFUNCTION("""COMPUTED_VALUE"""),45375.0)</f>
        <v>45375</v>
      </c>
      <c r="C2083" s="266" t="str">
        <f>IFERROR(__xludf.DUMMYFUNCTION("""COMPUTED_VALUE"""),"KERTASARI CIAMIS")</f>
        <v>KERTASARI CIAMIS</v>
      </c>
      <c r="D2083" s="186">
        <f>IFERROR(__xludf.DUMMYFUNCTION("""COMPUTED_VALUE"""),12.0)</f>
        <v>12</v>
      </c>
    </row>
    <row r="2084">
      <c r="A2084" s="178" t="str">
        <f>IFERROR(__xludf.DUMMYFUNCTION("""COMPUTED_VALUE"""),"ITBISA-ABC-BATERAI-AAA-ALKALINE")</f>
        <v>ITBISA-ABC-BATERAI-AAA-ALKALINE</v>
      </c>
      <c r="B2084" s="266">
        <f>IFERROR(__xludf.DUMMYFUNCTION("""COMPUTED_VALUE"""),45377.0)</f>
        <v>45377</v>
      </c>
      <c r="C2084" s="266" t="str">
        <f>IFERROR(__xludf.DUMMYFUNCTION("""COMPUTED_VALUE"""),"KYAI KONTONG")</f>
        <v>KYAI KONTONG</v>
      </c>
      <c r="D2084" s="186">
        <f>IFERROR(__xludf.DUMMYFUNCTION("""COMPUTED_VALUE"""),2.0)</f>
        <v>2</v>
      </c>
    </row>
    <row r="2085">
      <c r="A2085" s="178" t="str">
        <f>IFERROR(__xludf.DUMMYFUNCTION("""COMPUTED_VALUE"""),"ITBISA-ABC-BATERAI-AAA-ALKALINE")</f>
        <v>ITBISA-ABC-BATERAI-AAA-ALKALINE</v>
      </c>
      <c r="B2085" s="266">
        <f>IFERROR(__xludf.DUMMYFUNCTION("""COMPUTED_VALUE"""),45378.0)</f>
        <v>45378</v>
      </c>
      <c r="C2085" s="266" t="str">
        <f>IFERROR(__xludf.DUMMYFUNCTION("""COMPUTED_VALUE"""),"KYAI KONTONG")</f>
        <v>KYAI KONTONG</v>
      </c>
      <c r="D2085" s="186">
        <f>IFERROR(__xludf.DUMMYFUNCTION("""COMPUTED_VALUE"""),6.0)</f>
        <v>6</v>
      </c>
    </row>
    <row r="2086">
      <c r="A2086" s="178" t="str">
        <f>IFERROR(__xludf.DUMMYFUNCTION("""COMPUTED_VALUE"""),"ITBISA-ABC-BATERAI-AAA-ALKALINE")</f>
        <v>ITBISA-ABC-BATERAI-AAA-ALKALINE</v>
      </c>
      <c r="B2086" s="266">
        <f>IFERROR(__xludf.DUMMYFUNCTION("""COMPUTED_VALUE"""),45383.0)</f>
        <v>45383</v>
      </c>
      <c r="C2086" s="266" t="str">
        <f>IFERROR(__xludf.DUMMYFUNCTION("""COMPUTED_VALUE"""),"KERTASARI CIAMIS")</f>
        <v>KERTASARI CIAMIS</v>
      </c>
      <c r="D2086" s="186">
        <f>IFERROR(__xludf.DUMMYFUNCTION("""COMPUTED_VALUE"""),6.0)</f>
        <v>6</v>
      </c>
    </row>
    <row r="2087">
      <c r="A2087" s="178" t="str">
        <f>IFERROR(__xludf.DUMMYFUNCTION("""COMPUTED_VALUE"""),"ITBISA-ABC-BATERAI-AAA-ALKALINE")</f>
        <v>ITBISA-ABC-BATERAI-AAA-ALKALINE</v>
      </c>
      <c r="B2087" s="266">
        <f>IFERROR(__xludf.DUMMYFUNCTION("""COMPUTED_VALUE"""),45383.0)</f>
        <v>45383</v>
      </c>
      <c r="C2087" s="266" t="str">
        <f>IFERROR(__xludf.DUMMYFUNCTION("""COMPUTED_VALUE"""),"KYAI KONTONG")</f>
        <v>KYAI KONTONG</v>
      </c>
      <c r="D2087" s="186">
        <f>IFERROR(__xludf.DUMMYFUNCTION("""COMPUTED_VALUE"""),12.0)</f>
        <v>12</v>
      </c>
    </row>
    <row r="2088">
      <c r="A2088" s="178" t="str">
        <f>IFERROR(__xludf.DUMMYFUNCTION("""COMPUTED_VALUE"""),"ITBISA-ABC-BATERAI-AAA-ALKALINE")</f>
        <v>ITBISA-ABC-BATERAI-AAA-ALKALINE</v>
      </c>
      <c r="B2088" s="266">
        <f>IFERROR(__xludf.DUMMYFUNCTION("""COMPUTED_VALUE"""),45384.0)</f>
        <v>45384</v>
      </c>
      <c r="C2088" s="266" t="str">
        <f>IFERROR(__xludf.DUMMYFUNCTION("""COMPUTED_VALUE"""),"KYAI KONTONG")</f>
        <v>KYAI KONTONG</v>
      </c>
      <c r="D2088" s="186">
        <f>IFERROR(__xludf.DUMMYFUNCTION("""COMPUTED_VALUE"""),12.0)</f>
        <v>12</v>
      </c>
    </row>
    <row r="2089">
      <c r="A2089" s="178" t="str">
        <f>IFERROR(__xludf.DUMMYFUNCTION("""COMPUTED_VALUE"""),"ITBISA-ABC-BATERAI-AAA-ALKALINE")</f>
        <v>ITBISA-ABC-BATERAI-AAA-ALKALINE</v>
      </c>
      <c r="B2089" s="266">
        <f>IFERROR(__xludf.DUMMYFUNCTION("""COMPUTED_VALUE"""),45386.0)</f>
        <v>45386</v>
      </c>
      <c r="C2089" s="266" t="str">
        <f>IFERROR(__xludf.DUMMYFUNCTION("""COMPUTED_VALUE"""),"KERTASARI CIAMIS")</f>
        <v>KERTASARI CIAMIS</v>
      </c>
      <c r="D2089" s="186">
        <f>IFERROR(__xludf.DUMMYFUNCTION("""COMPUTED_VALUE"""),6.0)</f>
        <v>6</v>
      </c>
    </row>
    <row r="2090">
      <c r="A2090" s="178" t="str">
        <f>IFERROR(__xludf.DUMMYFUNCTION("""COMPUTED_VALUE"""),"ITBISA-ABC-BATERAI-AAA-ALKALINE")</f>
        <v>ITBISA-ABC-BATERAI-AAA-ALKALINE</v>
      </c>
      <c r="B2090" s="266">
        <f>IFERROR(__xludf.DUMMYFUNCTION("""COMPUTED_VALUE"""),45388.0)</f>
        <v>45388</v>
      </c>
      <c r="C2090" s="266" t="str">
        <f>IFERROR(__xludf.DUMMYFUNCTION("""COMPUTED_VALUE"""),"KYAI KONTONG")</f>
        <v>KYAI KONTONG</v>
      </c>
      <c r="D2090" s="186">
        <f>IFERROR(__xludf.DUMMYFUNCTION("""COMPUTED_VALUE"""),24.0)</f>
        <v>24</v>
      </c>
    </row>
    <row r="2091">
      <c r="A2091" s="178" t="str">
        <f>IFERROR(__xludf.DUMMYFUNCTION("""COMPUTED_VALUE"""),"ITBISA-ABC-BATERAI-AAA-ALKALINE")</f>
        <v>ITBISA-ABC-BATERAI-AAA-ALKALINE</v>
      </c>
      <c r="B2091" s="266">
        <f>IFERROR(__xludf.DUMMYFUNCTION("""COMPUTED_VALUE"""),45389.0)</f>
        <v>45389</v>
      </c>
      <c r="C2091" s="266" t="str">
        <f>IFERROR(__xludf.DUMMYFUNCTION("""COMPUTED_VALUE"""),"KYAI KONTONG")</f>
        <v>KYAI KONTONG</v>
      </c>
      <c r="D2091" s="186">
        <f>IFERROR(__xludf.DUMMYFUNCTION("""COMPUTED_VALUE"""),6.0)</f>
        <v>6</v>
      </c>
    </row>
    <row r="2092">
      <c r="A2092" s="178" t="str">
        <f>IFERROR(__xludf.DUMMYFUNCTION("""COMPUTED_VALUE"""),"ITBISA-ABC-BATERAI-AAA-ALKALINE")</f>
        <v>ITBISA-ABC-BATERAI-AAA-ALKALINE</v>
      </c>
      <c r="B2092" s="266">
        <f>IFERROR(__xludf.DUMMYFUNCTION("""COMPUTED_VALUE"""),45390.0)</f>
        <v>45390</v>
      </c>
      <c r="C2092" s="266" t="str">
        <f>IFERROR(__xludf.DUMMYFUNCTION("""COMPUTED_VALUE"""),"KERTASARI CIAMIS")</f>
        <v>KERTASARI CIAMIS</v>
      </c>
      <c r="D2092" s="186">
        <f>IFERROR(__xludf.DUMMYFUNCTION("""COMPUTED_VALUE"""),1.0)</f>
        <v>1</v>
      </c>
    </row>
    <row r="2093">
      <c r="A2093" s="178" t="str">
        <f>IFERROR(__xludf.DUMMYFUNCTION("""COMPUTED_VALUE"""),"ITBISA-ABC-BATERAI-AAA-ALKALINE")</f>
        <v>ITBISA-ABC-BATERAI-AAA-ALKALINE</v>
      </c>
      <c r="B2093" s="266">
        <f>IFERROR(__xludf.DUMMYFUNCTION("""COMPUTED_VALUE"""),45393.0)</f>
        <v>45393</v>
      </c>
      <c r="C2093" s="266" t="str">
        <f>IFERROR(__xludf.DUMMYFUNCTION("""COMPUTED_VALUE"""),"KERTASARI CIAMIS")</f>
        <v>KERTASARI CIAMIS</v>
      </c>
      <c r="D2093" s="186">
        <f>IFERROR(__xludf.DUMMYFUNCTION("""COMPUTED_VALUE"""),6.0)</f>
        <v>6</v>
      </c>
    </row>
    <row r="2094">
      <c r="A2094" s="178" t="str">
        <f>IFERROR(__xludf.DUMMYFUNCTION("""COMPUTED_VALUE"""),"ITBISA-ABC-BATERAI-AAA-ALKALINE")</f>
        <v>ITBISA-ABC-BATERAI-AAA-ALKALINE</v>
      </c>
      <c r="B2094" s="266">
        <f>IFERROR(__xludf.DUMMYFUNCTION("""COMPUTED_VALUE"""),45394.0)</f>
        <v>45394</v>
      </c>
      <c r="C2094" s="266" t="str">
        <f>IFERROR(__xludf.DUMMYFUNCTION("""COMPUTED_VALUE"""),"KERTASARI CIAMIS")</f>
        <v>KERTASARI CIAMIS</v>
      </c>
      <c r="D2094" s="186">
        <f>IFERROR(__xludf.DUMMYFUNCTION("""COMPUTED_VALUE"""),12.0)</f>
        <v>12</v>
      </c>
    </row>
    <row r="2095">
      <c r="A2095" s="178" t="str">
        <f>IFERROR(__xludf.DUMMYFUNCTION("""COMPUTED_VALUE"""),"ITBISA-ABC-BATERAI-AAA-ALKALINE")</f>
        <v>ITBISA-ABC-BATERAI-AAA-ALKALINE</v>
      </c>
      <c r="B2095" s="266">
        <f>IFERROR(__xludf.DUMMYFUNCTION("""COMPUTED_VALUE"""),45396.0)</f>
        <v>45396</v>
      </c>
      <c r="C2095" s="266" t="str">
        <f>IFERROR(__xludf.DUMMYFUNCTION("""COMPUTED_VALUE"""),"KERTASARI CIAMIS")</f>
        <v>KERTASARI CIAMIS</v>
      </c>
      <c r="D2095" s="186">
        <f>IFERROR(__xludf.DUMMYFUNCTION("""COMPUTED_VALUE"""),2.0)</f>
        <v>2</v>
      </c>
    </row>
    <row r="2096">
      <c r="A2096" s="178" t="str">
        <f>IFERROR(__xludf.DUMMYFUNCTION("""COMPUTED_VALUE"""),"ITBISA-ABC-BATERAI-AAA-ALKALINE")</f>
        <v>ITBISA-ABC-BATERAI-AAA-ALKALINE</v>
      </c>
      <c r="B2096" s="266">
        <f>IFERROR(__xludf.DUMMYFUNCTION("""COMPUTED_VALUE"""),45396.0)</f>
        <v>45396</v>
      </c>
      <c r="C2096" s="266" t="str">
        <f>IFERROR(__xludf.DUMMYFUNCTION("""COMPUTED_VALUE"""),"KERTASARI CIAMIS")</f>
        <v>KERTASARI CIAMIS</v>
      </c>
      <c r="D2096" s="186">
        <f>IFERROR(__xludf.DUMMYFUNCTION("""COMPUTED_VALUE"""),18.0)</f>
        <v>18</v>
      </c>
    </row>
    <row r="2097">
      <c r="A2097" s="178" t="str">
        <f>IFERROR(__xludf.DUMMYFUNCTION("""COMPUTED_VALUE"""),"ITBISA-ABC-BATERAI-AAA-ALKALINE")</f>
        <v>ITBISA-ABC-BATERAI-AAA-ALKALINE</v>
      </c>
      <c r="B2097" s="266">
        <f>IFERROR(__xludf.DUMMYFUNCTION("""COMPUTED_VALUE"""),45397.0)</f>
        <v>45397</v>
      </c>
      <c r="C2097" s="266" t="str">
        <f>IFERROR(__xludf.DUMMYFUNCTION("""COMPUTED_VALUE"""),"KERTASARI CIAMIS")</f>
        <v>KERTASARI CIAMIS</v>
      </c>
      <c r="D2097" s="186">
        <f>IFERROR(__xludf.DUMMYFUNCTION("""COMPUTED_VALUE"""),1.0)</f>
        <v>1</v>
      </c>
    </row>
    <row r="2098">
      <c r="A2098" s="178" t="str">
        <f>IFERROR(__xludf.DUMMYFUNCTION("""COMPUTED_VALUE"""),"ITBISA-ABC-BATERAI-AAA-ALKALINE")</f>
        <v>ITBISA-ABC-BATERAI-AAA-ALKALINE</v>
      </c>
      <c r="B2098" s="266">
        <f>IFERROR(__xludf.DUMMYFUNCTION("""COMPUTED_VALUE"""),45397.0)</f>
        <v>45397</v>
      </c>
      <c r="C2098" s="266" t="str">
        <f>IFERROR(__xludf.DUMMYFUNCTION("""COMPUTED_VALUE"""),"KERTASARI CIAMIS")</f>
        <v>KERTASARI CIAMIS</v>
      </c>
      <c r="D2098" s="186">
        <f>IFERROR(__xludf.DUMMYFUNCTION("""COMPUTED_VALUE"""),6.0)</f>
        <v>6</v>
      </c>
    </row>
    <row r="2099">
      <c r="A2099" s="178" t="str">
        <f>IFERROR(__xludf.DUMMYFUNCTION("""COMPUTED_VALUE"""),"ITBISA-ABC-BATERAI-AAA-ALKALINE")</f>
        <v>ITBISA-ABC-BATERAI-AAA-ALKALINE</v>
      </c>
      <c r="B2099" s="266">
        <f>IFERROR(__xludf.DUMMYFUNCTION("""COMPUTED_VALUE"""),45398.0)</f>
        <v>45398</v>
      </c>
      <c r="C2099" s="266" t="str">
        <f>IFERROR(__xludf.DUMMYFUNCTION("""COMPUTED_VALUE"""),"KYAI KONTONG")</f>
        <v>KYAI KONTONG</v>
      </c>
      <c r="D2099" s="186">
        <f>IFERROR(__xludf.DUMMYFUNCTION("""COMPUTED_VALUE"""),6.0)</f>
        <v>6</v>
      </c>
    </row>
    <row r="2100">
      <c r="A2100" s="178" t="str">
        <f>IFERROR(__xludf.DUMMYFUNCTION("""COMPUTED_VALUE"""),"ITBISA-ABC-BATERAI-AAA-ALKALINE")</f>
        <v>ITBISA-ABC-BATERAI-AAA-ALKALINE</v>
      </c>
      <c r="B2100" s="266">
        <f>IFERROR(__xludf.DUMMYFUNCTION("""COMPUTED_VALUE"""),45399.0)</f>
        <v>45399</v>
      </c>
      <c r="C2100" s="266" t="str">
        <f>IFERROR(__xludf.DUMMYFUNCTION("""COMPUTED_VALUE"""),"KYAI KONTONG")</f>
        <v>KYAI KONTONG</v>
      </c>
      <c r="D2100" s="186">
        <f>IFERROR(__xludf.DUMMYFUNCTION("""COMPUTED_VALUE"""),12.0)</f>
        <v>12</v>
      </c>
    </row>
    <row r="2101">
      <c r="A2101" s="178" t="str">
        <f>IFERROR(__xludf.DUMMYFUNCTION("""COMPUTED_VALUE"""),"ITBISA-ABC-BATERAI-AAA-ALKALINE")</f>
        <v>ITBISA-ABC-BATERAI-AAA-ALKALINE</v>
      </c>
      <c r="B2101" s="266">
        <f>IFERROR(__xludf.DUMMYFUNCTION("""COMPUTED_VALUE"""),45400.0)</f>
        <v>45400</v>
      </c>
      <c r="C2101" s="266" t="str">
        <f>IFERROR(__xludf.DUMMYFUNCTION("""COMPUTED_VALUE"""),"KERTASARI CIAMIS")</f>
        <v>KERTASARI CIAMIS</v>
      </c>
      <c r="D2101" s="186">
        <f>IFERROR(__xludf.DUMMYFUNCTION("""COMPUTED_VALUE"""),6.0)</f>
        <v>6</v>
      </c>
    </row>
    <row r="2102">
      <c r="A2102" s="178" t="str">
        <f>IFERROR(__xludf.DUMMYFUNCTION("""COMPUTED_VALUE"""),"ITBISA-ABC-BATERAI-AAA-ALKALINE")</f>
        <v>ITBISA-ABC-BATERAI-AAA-ALKALINE</v>
      </c>
      <c r="B2102" s="266">
        <f>IFERROR(__xludf.DUMMYFUNCTION("""COMPUTED_VALUE"""),45400.0)</f>
        <v>45400</v>
      </c>
      <c r="C2102" s="266" t="str">
        <f>IFERROR(__xludf.DUMMYFUNCTION("""COMPUTED_VALUE"""),"KYAI KONTONG")</f>
        <v>KYAI KONTONG</v>
      </c>
      <c r="D2102" s="186">
        <f>IFERROR(__xludf.DUMMYFUNCTION("""COMPUTED_VALUE"""),4.0)</f>
        <v>4</v>
      </c>
    </row>
    <row r="2103">
      <c r="A2103" s="178" t="str">
        <f>IFERROR(__xludf.DUMMYFUNCTION("""COMPUTED_VALUE"""),"ITBISA-ABC-BATERAI-AAA-ALKALINE")</f>
        <v>ITBISA-ABC-BATERAI-AAA-ALKALINE</v>
      </c>
      <c r="B2103" s="266">
        <f>IFERROR(__xludf.DUMMYFUNCTION("""COMPUTED_VALUE"""),45403.0)</f>
        <v>45403</v>
      </c>
      <c r="C2103" s="266" t="str">
        <f>IFERROR(__xludf.DUMMYFUNCTION("""COMPUTED_VALUE"""),"KERTASARI CIAMIS")</f>
        <v>KERTASARI CIAMIS</v>
      </c>
      <c r="D2103" s="186">
        <f>IFERROR(__xludf.DUMMYFUNCTION("""COMPUTED_VALUE"""),6.0)</f>
        <v>6</v>
      </c>
    </row>
    <row r="2104">
      <c r="A2104" s="178" t="str">
        <f>IFERROR(__xludf.DUMMYFUNCTION("""COMPUTED_VALUE"""),"ITBISA-ABC-BATERAI-AAA-ALKALINE")</f>
        <v>ITBISA-ABC-BATERAI-AAA-ALKALINE</v>
      </c>
      <c r="B2104" s="266">
        <f>IFERROR(__xludf.DUMMYFUNCTION("""COMPUTED_VALUE"""),45403.0)</f>
        <v>45403</v>
      </c>
      <c r="C2104" s="266" t="str">
        <f>IFERROR(__xludf.DUMMYFUNCTION("""COMPUTED_VALUE"""),"KERTASARI CIAMIS")</f>
        <v>KERTASARI CIAMIS</v>
      </c>
      <c r="D2104" s="186">
        <f>IFERROR(__xludf.DUMMYFUNCTION("""COMPUTED_VALUE"""),12.0)</f>
        <v>12</v>
      </c>
    </row>
    <row r="2105">
      <c r="A2105" s="178" t="str">
        <f>IFERROR(__xludf.DUMMYFUNCTION("""COMPUTED_VALUE"""),"ITBISA-ABC-BATERAI-AAA-ALKALINE")</f>
        <v>ITBISA-ABC-BATERAI-AAA-ALKALINE</v>
      </c>
      <c r="B2105" s="266">
        <f>IFERROR(__xludf.DUMMYFUNCTION("""COMPUTED_VALUE"""),45404.0)</f>
        <v>45404</v>
      </c>
      <c r="C2105" s="266" t="str">
        <f>IFERROR(__xludf.DUMMYFUNCTION("""COMPUTED_VALUE"""),"KYAI KONTONG")</f>
        <v>KYAI KONTONG</v>
      </c>
      <c r="D2105" s="186">
        <f>IFERROR(__xludf.DUMMYFUNCTION("""COMPUTED_VALUE"""),6.0)</f>
        <v>6</v>
      </c>
    </row>
    <row r="2106">
      <c r="A2106" s="178" t="str">
        <f>IFERROR(__xludf.DUMMYFUNCTION("""COMPUTED_VALUE"""),"ITBISA-ABC-BATERAI-AAA-ALKALINE")</f>
        <v>ITBISA-ABC-BATERAI-AAA-ALKALINE</v>
      </c>
      <c r="B2106" s="266">
        <f>IFERROR(__xludf.DUMMYFUNCTION("""COMPUTED_VALUE"""),45404.0)</f>
        <v>45404</v>
      </c>
      <c r="C2106" s="266" t="str">
        <f>IFERROR(__xludf.DUMMYFUNCTION("""COMPUTED_VALUE"""),"KYAI KONTONG")</f>
        <v>KYAI KONTONG</v>
      </c>
      <c r="D2106" s="186">
        <f>IFERROR(__xludf.DUMMYFUNCTION("""COMPUTED_VALUE"""),6.0)</f>
        <v>6</v>
      </c>
    </row>
    <row r="2107">
      <c r="A2107" s="178" t="str">
        <f>IFERROR(__xludf.DUMMYFUNCTION("""COMPUTED_VALUE"""),"ITBISA-ABC-BATERAI-AAA-ALKALINE")</f>
        <v>ITBISA-ABC-BATERAI-AAA-ALKALINE</v>
      </c>
      <c r="B2107" s="266">
        <f>IFERROR(__xludf.DUMMYFUNCTION("""COMPUTED_VALUE"""),45405.0)</f>
        <v>45405</v>
      </c>
      <c r="C2107" s="266" t="str">
        <f>IFERROR(__xludf.DUMMYFUNCTION("""COMPUTED_VALUE"""),"KERTASARI CIAMIS")</f>
        <v>KERTASARI CIAMIS</v>
      </c>
      <c r="D2107" s="186">
        <f>IFERROR(__xludf.DUMMYFUNCTION("""COMPUTED_VALUE"""),6.0)</f>
        <v>6</v>
      </c>
    </row>
    <row r="2108">
      <c r="A2108" s="178" t="str">
        <f>IFERROR(__xludf.DUMMYFUNCTION("""COMPUTED_VALUE"""),"ITBISA-ABC-BATERAI-AAA-ALKALINE")</f>
        <v>ITBISA-ABC-BATERAI-AAA-ALKALINE</v>
      </c>
      <c r="B2108" s="266">
        <f>IFERROR(__xludf.DUMMYFUNCTION("""COMPUTED_VALUE"""),45407.0)</f>
        <v>45407</v>
      </c>
      <c r="C2108" s="266" t="str">
        <f>IFERROR(__xludf.DUMMYFUNCTION("""COMPUTED_VALUE"""),"KYAI KONTONG")</f>
        <v>KYAI KONTONG</v>
      </c>
      <c r="D2108" s="186">
        <f>IFERROR(__xludf.DUMMYFUNCTION("""COMPUTED_VALUE"""),12.0)</f>
        <v>12</v>
      </c>
    </row>
    <row r="2109">
      <c r="A2109" s="178" t="str">
        <f>IFERROR(__xludf.DUMMYFUNCTION("""COMPUTED_VALUE"""),"ITBISA-ABC-BATERAI-AAA-ALKALINE")</f>
        <v>ITBISA-ABC-BATERAI-AAA-ALKALINE</v>
      </c>
      <c r="B2109" s="266">
        <f>IFERROR(__xludf.DUMMYFUNCTION("""COMPUTED_VALUE"""),45411.0)</f>
        <v>45411</v>
      </c>
      <c r="C2109" s="266" t="str">
        <f>IFERROR(__xludf.DUMMYFUNCTION("""COMPUTED_VALUE"""),"KERTASARI CIAMIS")</f>
        <v>KERTASARI CIAMIS</v>
      </c>
      <c r="D2109" s="186">
        <f>IFERROR(__xludf.DUMMYFUNCTION("""COMPUTED_VALUE"""),2.0)</f>
        <v>2</v>
      </c>
    </row>
    <row r="2110">
      <c r="A2110" s="178" t="str">
        <f>IFERROR(__xludf.DUMMYFUNCTION("""COMPUTED_VALUE"""),"ITBISA-ABC-BATERAI-AAA-ALKALINE")</f>
        <v>ITBISA-ABC-BATERAI-AAA-ALKALINE</v>
      </c>
      <c r="B2110" s="266">
        <f>IFERROR(__xludf.DUMMYFUNCTION("""COMPUTED_VALUE"""),45412.0)</f>
        <v>45412</v>
      </c>
      <c r="C2110" s="266" t="str">
        <f>IFERROR(__xludf.DUMMYFUNCTION("""COMPUTED_VALUE"""),"KERTASARI CIAMIS")</f>
        <v>KERTASARI CIAMIS</v>
      </c>
      <c r="D2110" s="186">
        <f>IFERROR(__xludf.DUMMYFUNCTION("""COMPUTED_VALUE"""),6.0)</f>
        <v>6</v>
      </c>
    </row>
    <row r="2111">
      <c r="A2111" s="178" t="str">
        <f>IFERROR(__xludf.DUMMYFUNCTION("""COMPUTED_VALUE"""),"ITBISA-ABC-BATERAI-AAA-ALKALINE")</f>
        <v>ITBISA-ABC-BATERAI-AAA-ALKALINE</v>
      </c>
      <c r="B2111" s="266">
        <f>IFERROR(__xludf.DUMMYFUNCTION("""COMPUTED_VALUE"""),45412.0)</f>
        <v>45412</v>
      </c>
      <c r="C2111" s="266" t="str">
        <f>IFERROR(__xludf.DUMMYFUNCTION("""COMPUTED_VALUE"""),"KYAI KONTONG")</f>
        <v>KYAI KONTONG</v>
      </c>
      <c r="D2111" s="186">
        <f>IFERROR(__xludf.DUMMYFUNCTION("""COMPUTED_VALUE"""),36.0)</f>
        <v>36</v>
      </c>
    </row>
    <row r="2112">
      <c r="A2112" s="178" t="str">
        <f>IFERROR(__xludf.DUMMYFUNCTION("""COMPUTED_VALUE"""),"ITBISA-ABC-BATERAI-AAA-ALKALINE")</f>
        <v>ITBISA-ABC-BATERAI-AAA-ALKALINE</v>
      </c>
      <c r="B2112" s="266">
        <f>IFERROR(__xludf.DUMMYFUNCTION("""COMPUTED_VALUE"""),45414.0)</f>
        <v>45414</v>
      </c>
      <c r="C2112" s="266" t="str">
        <f>IFERROR(__xludf.DUMMYFUNCTION("""COMPUTED_VALUE"""),"KYAI KONTONG")</f>
        <v>KYAI KONTONG</v>
      </c>
      <c r="D2112" s="186">
        <f>IFERROR(__xludf.DUMMYFUNCTION("""COMPUTED_VALUE"""),6.0)</f>
        <v>6</v>
      </c>
    </row>
    <row r="2113">
      <c r="A2113" s="178" t="str">
        <f>IFERROR(__xludf.DUMMYFUNCTION("""COMPUTED_VALUE"""),"ITBISA-ABC-BATERAI-AAA-ALKALINE")</f>
        <v>ITBISA-ABC-BATERAI-AAA-ALKALINE</v>
      </c>
      <c r="B2113" s="266">
        <f>IFERROR(__xludf.DUMMYFUNCTION("""COMPUTED_VALUE"""),45414.0)</f>
        <v>45414</v>
      </c>
      <c r="C2113" s="266" t="str">
        <f>IFERROR(__xludf.DUMMYFUNCTION("""COMPUTED_VALUE"""),"KYAI KONTONG")</f>
        <v>KYAI KONTONG</v>
      </c>
      <c r="D2113" s="186">
        <f>IFERROR(__xludf.DUMMYFUNCTION("""COMPUTED_VALUE"""),12.0)</f>
        <v>12</v>
      </c>
    </row>
    <row r="2114">
      <c r="A2114" s="178" t="str">
        <f>IFERROR(__xludf.DUMMYFUNCTION("""COMPUTED_VALUE"""),"ITBISA-ABC-BATERAI-AAA-ALKALINE")</f>
        <v>ITBISA-ABC-BATERAI-AAA-ALKALINE</v>
      </c>
      <c r="B2114" s="266">
        <f>IFERROR(__xludf.DUMMYFUNCTION("""COMPUTED_VALUE"""),45417.0)</f>
        <v>45417</v>
      </c>
      <c r="C2114" s="266" t="str">
        <f>IFERROR(__xludf.DUMMYFUNCTION("""COMPUTED_VALUE"""),"KERTASARI CIAMIS")</f>
        <v>KERTASARI CIAMIS</v>
      </c>
      <c r="D2114" s="186">
        <f>IFERROR(__xludf.DUMMYFUNCTION("""COMPUTED_VALUE"""),6.0)</f>
        <v>6</v>
      </c>
    </row>
    <row r="2115">
      <c r="A2115" s="178" t="str">
        <f>IFERROR(__xludf.DUMMYFUNCTION("""COMPUTED_VALUE"""),"ITBISA-ABC-BATERAI-AAA-ALKALINE")</f>
        <v>ITBISA-ABC-BATERAI-AAA-ALKALINE</v>
      </c>
      <c r="B2115" s="266">
        <f>IFERROR(__xludf.DUMMYFUNCTION("""COMPUTED_VALUE"""),45417.0)</f>
        <v>45417</v>
      </c>
      <c r="C2115" s="266" t="str">
        <f>IFERROR(__xludf.DUMMYFUNCTION("""COMPUTED_VALUE"""),"KERTASARI CIAMIS")</f>
        <v>KERTASARI CIAMIS</v>
      </c>
      <c r="D2115" s="186">
        <f>IFERROR(__xludf.DUMMYFUNCTION("""COMPUTED_VALUE"""),6.0)</f>
        <v>6</v>
      </c>
    </row>
    <row r="2116">
      <c r="A2116" s="178" t="str">
        <f>IFERROR(__xludf.DUMMYFUNCTION("""COMPUTED_VALUE"""),"ITBISA-ABC-BATERAI-AAA-ALKALINE")</f>
        <v>ITBISA-ABC-BATERAI-AAA-ALKALINE</v>
      </c>
      <c r="B2116" s="266">
        <f>IFERROR(__xludf.DUMMYFUNCTION("""COMPUTED_VALUE"""),45417.0)</f>
        <v>45417</v>
      </c>
      <c r="C2116" s="266" t="str">
        <f>IFERROR(__xludf.DUMMYFUNCTION("""COMPUTED_VALUE"""),"KYAI KONTONG")</f>
        <v>KYAI KONTONG</v>
      </c>
      <c r="D2116" s="186">
        <f>IFERROR(__xludf.DUMMYFUNCTION("""COMPUTED_VALUE"""),1.0)</f>
        <v>1</v>
      </c>
    </row>
    <row r="2117">
      <c r="A2117" s="178" t="str">
        <f>IFERROR(__xludf.DUMMYFUNCTION("""COMPUTED_VALUE"""),"ITBISA-ABC-BATERAI-AAA-ALKALINE")</f>
        <v>ITBISA-ABC-BATERAI-AAA-ALKALINE</v>
      </c>
      <c r="B2117" s="266">
        <f>IFERROR(__xludf.DUMMYFUNCTION("""COMPUTED_VALUE"""),45418.0)</f>
        <v>45418</v>
      </c>
      <c r="C2117" s="266" t="str">
        <f>IFERROR(__xludf.DUMMYFUNCTION("""COMPUTED_VALUE"""),"KERTASARI CIAMIS")</f>
        <v>KERTASARI CIAMIS</v>
      </c>
      <c r="D2117" s="186">
        <f>IFERROR(__xludf.DUMMYFUNCTION("""COMPUTED_VALUE"""),18.0)</f>
        <v>18</v>
      </c>
    </row>
    <row r="2118">
      <c r="A2118" s="178" t="str">
        <f>IFERROR(__xludf.DUMMYFUNCTION("""COMPUTED_VALUE"""),"ITBISA-ABC-BATERAI-AAA-ALKALINE")</f>
        <v>ITBISA-ABC-BATERAI-AAA-ALKALINE</v>
      </c>
      <c r="B2118" s="266">
        <f>IFERROR(__xludf.DUMMYFUNCTION("""COMPUTED_VALUE"""),45418.0)</f>
        <v>45418</v>
      </c>
      <c r="C2118" s="266" t="str">
        <f>IFERROR(__xludf.DUMMYFUNCTION("""COMPUTED_VALUE"""),"KERTASARI CIAMIS")</f>
        <v>KERTASARI CIAMIS</v>
      </c>
      <c r="D2118" s="186">
        <f>IFERROR(__xludf.DUMMYFUNCTION("""COMPUTED_VALUE"""),24.0)</f>
        <v>24</v>
      </c>
    </row>
    <row r="2119">
      <c r="A2119" s="178" t="str">
        <f>IFERROR(__xludf.DUMMYFUNCTION("""COMPUTED_VALUE"""),"ITBISA-ABC-BATERAI-AAA-ALKALINE")</f>
        <v>ITBISA-ABC-BATERAI-AAA-ALKALINE</v>
      </c>
      <c r="B2119" s="266">
        <f>IFERROR(__xludf.DUMMYFUNCTION("""COMPUTED_VALUE"""),45419.0)</f>
        <v>45419</v>
      </c>
      <c r="C2119" s="266" t="str">
        <f>IFERROR(__xludf.DUMMYFUNCTION("""COMPUTED_VALUE"""),"KERTASARI CIAMIS")</f>
        <v>KERTASARI CIAMIS</v>
      </c>
      <c r="D2119" s="186">
        <f>IFERROR(__xludf.DUMMYFUNCTION("""COMPUTED_VALUE"""),6.0)</f>
        <v>6</v>
      </c>
    </row>
    <row r="2120">
      <c r="A2120" s="178" t="str">
        <f>IFERROR(__xludf.DUMMYFUNCTION("""COMPUTED_VALUE"""),"ITBISA-ABC-BATERAI-AAA-ALKALINE")</f>
        <v>ITBISA-ABC-BATERAI-AAA-ALKALINE</v>
      </c>
      <c r="B2120" s="266">
        <f>IFERROR(__xludf.DUMMYFUNCTION("""COMPUTED_VALUE"""),45419.0)</f>
        <v>45419</v>
      </c>
      <c r="C2120" s="266" t="str">
        <f>IFERROR(__xludf.DUMMYFUNCTION("""COMPUTED_VALUE"""),"KYAI KONTONG")</f>
        <v>KYAI KONTONG</v>
      </c>
      <c r="D2120" s="186">
        <f>IFERROR(__xludf.DUMMYFUNCTION("""COMPUTED_VALUE"""),6.0)</f>
        <v>6</v>
      </c>
    </row>
    <row r="2121">
      <c r="A2121" s="178" t="str">
        <f>IFERROR(__xludf.DUMMYFUNCTION("""COMPUTED_VALUE"""),"ITBISA-ABC-BATERAI-AAA-ALKALINE")</f>
        <v>ITBISA-ABC-BATERAI-AAA-ALKALINE</v>
      </c>
      <c r="B2121" s="266">
        <f>IFERROR(__xludf.DUMMYFUNCTION("""COMPUTED_VALUE"""),45420.0)</f>
        <v>45420</v>
      </c>
      <c r="C2121" s="266" t="str">
        <f>IFERROR(__xludf.DUMMYFUNCTION("""COMPUTED_VALUE"""),"KERTASARI CIAMIS")</f>
        <v>KERTASARI CIAMIS</v>
      </c>
      <c r="D2121" s="186">
        <f>IFERROR(__xludf.DUMMYFUNCTION("""COMPUTED_VALUE"""),12.0)</f>
        <v>12</v>
      </c>
    </row>
    <row r="2122">
      <c r="A2122" s="178" t="str">
        <f>IFERROR(__xludf.DUMMYFUNCTION("""COMPUTED_VALUE"""),"ITBISA-ABC-BATERAI-AAA-ALKALINE")</f>
        <v>ITBISA-ABC-BATERAI-AAA-ALKALINE</v>
      </c>
      <c r="B2122" s="266">
        <f>IFERROR(__xludf.DUMMYFUNCTION("""COMPUTED_VALUE"""),45421.0)</f>
        <v>45421</v>
      </c>
      <c r="C2122" s="266" t="str">
        <f>IFERROR(__xludf.DUMMYFUNCTION("""COMPUTED_VALUE"""),"KERTASARI CIAMIS")</f>
        <v>KERTASARI CIAMIS</v>
      </c>
      <c r="D2122" s="186">
        <f>IFERROR(__xludf.DUMMYFUNCTION("""COMPUTED_VALUE"""),6.0)</f>
        <v>6</v>
      </c>
    </row>
    <row r="2123">
      <c r="A2123" s="178" t="str">
        <f>IFERROR(__xludf.DUMMYFUNCTION("""COMPUTED_VALUE"""),"ITBISA-ABC-BATERAI-AAA-ALKALINE")</f>
        <v>ITBISA-ABC-BATERAI-AAA-ALKALINE</v>
      </c>
      <c r="B2123" s="266">
        <f>IFERROR(__xludf.DUMMYFUNCTION("""COMPUTED_VALUE"""),45422.0)</f>
        <v>45422</v>
      </c>
      <c r="C2123" s="266" t="str">
        <f>IFERROR(__xludf.DUMMYFUNCTION("""COMPUTED_VALUE"""),"KYAI KONTONG")</f>
        <v>KYAI KONTONG</v>
      </c>
      <c r="D2123" s="186">
        <f>IFERROR(__xludf.DUMMYFUNCTION("""COMPUTED_VALUE"""),1.0)</f>
        <v>1</v>
      </c>
    </row>
    <row r="2124">
      <c r="A2124" s="178" t="str">
        <f>IFERROR(__xludf.DUMMYFUNCTION("""COMPUTED_VALUE"""),"ITBISA-ABC-BATERAI-AAA-ALKALINE")</f>
        <v>ITBISA-ABC-BATERAI-AAA-ALKALINE</v>
      </c>
      <c r="B2124" s="266">
        <f>IFERROR(__xludf.DUMMYFUNCTION("""COMPUTED_VALUE"""),45422.0)</f>
        <v>45422</v>
      </c>
      <c r="C2124" s="266" t="str">
        <f>IFERROR(__xludf.DUMMYFUNCTION("""COMPUTED_VALUE"""),"KYAI KONTONG")</f>
        <v>KYAI KONTONG</v>
      </c>
      <c r="D2124" s="186">
        <f>IFERROR(__xludf.DUMMYFUNCTION("""COMPUTED_VALUE"""),6.0)</f>
        <v>6</v>
      </c>
    </row>
    <row r="2125">
      <c r="A2125" s="178" t="str">
        <f>IFERROR(__xludf.DUMMYFUNCTION("""COMPUTED_VALUE"""),"ITBISA-ABC-BATERAI-AAA-ALKALINE")</f>
        <v>ITBISA-ABC-BATERAI-AAA-ALKALINE</v>
      </c>
      <c r="B2125" s="266">
        <f>IFERROR(__xludf.DUMMYFUNCTION("""COMPUTED_VALUE"""),45422.0)</f>
        <v>45422</v>
      </c>
      <c r="C2125" s="266" t="str">
        <f>IFERROR(__xludf.DUMMYFUNCTION("""COMPUTED_VALUE"""),"KYAI KONTONG")</f>
        <v>KYAI KONTONG</v>
      </c>
      <c r="D2125" s="186">
        <f>IFERROR(__xludf.DUMMYFUNCTION("""COMPUTED_VALUE"""),6.0)</f>
        <v>6</v>
      </c>
    </row>
    <row r="2126">
      <c r="A2126" s="178" t="str">
        <f>IFERROR(__xludf.DUMMYFUNCTION("""COMPUTED_VALUE"""),"ITBISA-ABC-BATERAI-AAA-ALKALINE")</f>
        <v>ITBISA-ABC-BATERAI-AAA-ALKALINE</v>
      </c>
      <c r="B2126" s="266">
        <f>IFERROR(__xludf.DUMMYFUNCTION("""COMPUTED_VALUE"""),45422.0)</f>
        <v>45422</v>
      </c>
      <c r="C2126" s="266" t="str">
        <f>IFERROR(__xludf.DUMMYFUNCTION("""COMPUTED_VALUE"""),"KYAI KONTONG")</f>
        <v>KYAI KONTONG</v>
      </c>
      <c r="D2126" s="186">
        <f>IFERROR(__xludf.DUMMYFUNCTION("""COMPUTED_VALUE"""),36.0)</f>
        <v>36</v>
      </c>
    </row>
    <row r="2127">
      <c r="A2127" s="178" t="str">
        <f>IFERROR(__xludf.DUMMYFUNCTION("""COMPUTED_VALUE"""),"ITBISA-ABC-BATERAI-AAA-ALKALINE")</f>
        <v>ITBISA-ABC-BATERAI-AAA-ALKALINE</v>
      </c>
      <c r="B2127" s="266">
        <f>IFERROR(__xludf.DUMMYFUNCTION("""COMPUTED_VALUE"""),45424.0)</f>
        <v>45424</v>
      </c>
      <c r="C2127" s="266" t="str">
        <f>IFERROR(__xludf.DUMMYFUNCTION("""COMPUTED_VALUE"""),"KYAI KONTONG")</f>
        <v>KYAI KONTONG</v>
      </c>
      <c r="D2127" s="186">
        <f>IFERROR(__xludf.DUMMYFUNCTION("""COMPUTED_VALUE"""),6.0)</f>
        <v>6</v>
      </c>
    </row>
    <row r="2128">
      <c r="A2128" s="178" t="str">
        <f>IFERROR(__xludf.DUMMYFUNCTION("""COMPUTED_VALUE"""),"ITBISA-ABC-BATERAI-AAA-ALKALINE")</f>
        <v>ITBISA-ABC-BATERAI-AAA-ALKALINE</v>
      </c>
      <c r="B2128" s="266">
        <f>IFERROR(__xludf.DUMMYFUNCTION("""COMPUTED_VALUE"""),45424.0)</f>
        <v>45424</v>
      </c>
      <c r="C2128" s="266" t="str">
        <f>IFERROR(__xludf.DUMMYFUNCTION("""COMPUTED_VALUE"""),"KYAI KONTONG")</f>
        <v>KYAI KONTONG</v>
      </c>
      <c r="D2128" s="186">
        <f>IFERROR(__xludf.DUMMYFUNCTION("""COMPUTED_VALUE"""),12.0)</f>
        <v>12</v>
      </c>
    </row>
    <row r="2129">
      <c r="A2129" s="178" t="str">
        <f>IFERROR(__xludf.DUMMYFUNCTION("""COMPUTED_VALUE"""),"ITBISA-ABC-BATERAI-AAA-ALKALINE")</f>
        <v>ITBISA-ABC-BATERAI-AAA-ALKALINE</v>
      </c>
      <c r="B2129" s="266">
        <f>IFERROR(__xludf.DUMMYFUNCTION("""COMPUTED_VALUE"""),45426.0)</f>
        <v>45426</v>
      </c>
      <c r="C2129" s="266" t="str">
        <f>IFERROR(__xludf.DUMMYFUNCTION("""COMPUTED_VALUE"""),"KERTASARI CIAMIS")</f>
        <v>KERTASARI CIAMIS</v>
      </c>
      <c r="D2129" s="186">
        <f>IFERROR(__xludf.DUMMYFUNCTION("""COMPUTED_VALUE"""),30.0)</f>
        <v>30</v>
      </c>
    </row>
    <row r="2130">
      <c r="A2130" s="178" t="str">
        <f>IFERROR(__xludf.DUMMYFUNCTION("""COMPUTED_VALUE"""),"ITBISA-ABC-BATERAI-AAA-ALKALINE")</f>
        <v>ITBISA-ABC-BATERAI-AAA-ALKALINE</v>
      </c>
      <c r="B2130" s="266">
        <f>IFERROR(__xludf.DUMMYFUNCTION("""COMPUTED_VALUE"""),45426.0)</f>
        <v>45426</v>
      </c>
      <c r="C2130" s="266" t="str">
        <f>IFERROR(__xludf.DUMMYFUNCTION("""COMPUTED_VALUE"""),"KYAI KONTONG")</f>
        <v>KYAI KONTONG</v>
      </c>
      <c r="D2130" s="186">
        <f>IFERROR(__xludf.DUMMYFUNCTION("""COMPUTED_VALUE"""),6.0)</f>
        <v>6</v>
      </c>
    </row>
    <row r="2131">
      <c r="A2131" s="178" t="str">
        <f>IFERROR(__xludf.DUMMYFUNCTION("""COMPUTED_VALUE"""),"ITBISA-ABC-BATERAI-AAA-ALKALINE")</f>
        <v>ITBISA-ABC-BATERAI-AAA-ALKALINE</v>
      </c>
      <c r="B2131" s="266">
        <f>IFERROR(__xludf.DUMMYFUNCTION("""COMPUTED_VALUE"""),45426.0)</f>
        <v>45426</v>
      </c>
      <c r="C2131" s="266" t="str">
        <f>IFERROR(__xludf.DUMMYFUNCTION("""COMPUTED_VALUE"""),"KYAI KONTONG")</f>
        <v>KYAI KONTONG</v>
      </c>
      <c r="D2131" s="186">
        <f>IFERROR(__xludf.DUMMYFUNCTION("""COMPUTED_VALUE"""),6.0)</f>
        <v>6</v>
      </c>
    </row>
    <row r="2132">
      <c r="A2132" s="178" t="str">
        <f>IFERROR(__xludf.DUMMYFUNCTION("""COMPUTED_VALUE"""),"ITBISA-ABC-BATERAI-AAA-ALKALINE")</f>
        <v>ITBISA-ABC-BATERAI-AAA-ALKALINE</v>
      </c>
      <c r="B2132" s="266">
        <f>IFERROR(__xludf.DUMMYFUNCTION("""COMPUTED_VALUE"""),45429.0)</f>
        <v>45429</v>
      </c>
      <c r="C2132" s="266" t="str">
        <f>IFERROR(__xludf.DUMMYFUNCTION("""COMPUTED_VALUE"""),"KERTASARI CIAMIS")</f>
        <v>KERTASARI CIAMIS</v>
      </c>
      <c r="D2132" s="186">
        <f>IFERROR(__xludf.DUMMYFUNCTION("""COMPUTED_VALUE"""),12.0)</f>
        <v>12</v>
      </c>
    </row>
    <row r="2133">
      <c r="A2133" s="178" t="str">
        <f>IFERROR(__xludf.DUMMYFUNCTION("""COMPUTED_VALUE"""),"ITBISA-ABC-BATERAI-AAA-ALKALINE")</f>
        <v>ITBISA-ABC-BATERAI-AAA-ALKALINE</v>
      </c>
      <c r="B2133" s="266">
        <f>IFERROR(__xludf.DUMMYFUNCTION("""COMPUTED_VALUE"""),45429.0)</f>
        <v>45429</v>
      </c>
      <c r="C2133" s="266" t="str">
        <f>IFERROR(__xludf.DUMMYFUNCTION("""COMPUTED_VALUE"""),"KYAI KONTONG")</f>
        <v>KYAI KONTONG</v>
      </c>
      <c r="D2133" s="186">
        <f>IFERROR(__xludf.DUMMYFUNCTION("""COMPUTED_VALUE"""),1.0)</f>
        <v>1</v>
      </c>
    </row>
    <row r="2134">
      <c r="A2134" s="178" t="str">
        <f>IFERROR(__xludf.DUMMYFUNCTION("""COMPUTED_VALUE"""),"ITBISA-ABC-BATERAI-AAA-ALKALINE")</f>
        <v>ITBISA-ABC-BATERAI-AAA-ALKALINE</v>
      </c>
      <c r="B2134" s="266">
        <f>IFERROR(__xludf.DUMMYFUNCTION("""COMPUTED_VALUE"""),45429.0)</f>
        <v>45429</v>
      </c>
      <c r="C2134" s="266" t="str">
        <f>IFERROR(__xludf.DUMMYFUNCTION("""COMPUTED_VALUE"""),"KYAI KONTONG")</f>
        <v>KYAI KONTONG</v>
      </c>
      <c r="D2134" s="186">
        <f>IFERROR(__xludf.DUMMYFUNCTION("""COMPUTED_VALUE"""),6.0)</f>
        <v>6</v>
      </c>
    </row>
    <row r="2135">
      <c r="A2135" s="178" t="str">
        <f>IFERROR(__xludf.DUMMYFUNCTION("""COMPUTED_VALUE"""),"ITBISA-ABC-BATERAI-AAA-ALKALINE")</f>
        <v>ITBISA-ABC-BATERAI-AAA-ALKALINE</v>
      </c>
      <c r="B2135" s="266">
        <f>IFERROR(__xludf.DUMMYFUNCTION("""COMPUTED_VALUE"""),45430.0)</f>
        <v>45430</v>
      </c>
      <c r="C2135" s="266" t="str">
        <f>IFERROR(__xludf.DUMMYFUNCTION("""COMPUTED_VALUE"""),"KERTASARI CIAMIS")</f>
        <v>KERTASARI CIAMIS</v>
      </c>
      <c r="D2135" s="186">
        <f>IFERROR(__xludf.DUMMYFUNCTION("""COMPUTED_VALUE"""),6.0)</f>
        <v>6</v>
      </c>
    </row>
    <row r="2136">
      <c r="A2136" s="178" t="str">
        <f>IFERROR(__xludf.DUMMYFUNCTION("""COMPUTED_VALUE"""),"ITBISA-ABC-BATERAI-AAA-ALKALINE")</f>
        <v>ITBISA-ABC-BATERAI-AAA-ALKALINE</v>
      </c>
      <c r="B2136" s="266">
        <f>IFERROR(__xludf.DUMMYFUNCTION("""COMPUTED_VALUE"""),45430.0)</f>
        <v>45430</v>
      </c>
      <c r="C2136" s="266" t="str">
        <f>IFERROR(__xludf.DUMMYFUNCTION("""COMPUTED_VALUE"""),"KYAI KONTONG")</f>
        <v>KYAI KONTONG</v>
      </c>
      <c r="D2136" s="186">
        <f>IFERROR(__xludf.DUMMYFUNCTION("""COMPUTED_VALUE"""),4.0)</f>
        <v>4</v>
      </c>
    </row>
    <row r="2137">
      <c r="A2137" s="178" t="str">
        <f>IFERROR(__xludf.DUMMYFUNCTION("""COMPUTED_VALUE"""),"ITBISA-ABC-BATERAI-AAA-ALKALINE")</f>
        <v>ITBISA-ABC-BATERAI-AAA-ALKALINE</v>
      </c>
      <c r="B2137" s="266">
        <f>IFERROR(__xludf.DUMMYFUNCTION("""COMPUTED_VALUE"""),45431.0)</f>
        <v>45431</v>
      </c>
      <c r="C2137" s="266" t="str">
        <f>IFERROR(__xludf.DUMMYFUNCTION("""COMPUTED_VALUE"""),"KYAI KONTONG")</f>
        <v>KYAI KONTONG</v>
      </c>
      <c r="D2137" s="186">
        <f>IFERROR(__xludf.DUMMYFUNCTION("""COMPUTED_VALUE"""),1.0)</f>
        <v>1</v>
      </c>
    </row>
    <row r="2138">
      <c r="A2138" s="178" t="str">
        <f>IFERROR(__xludf.DUMMYFUNCTION("""COMPUTED_VALUE"""),"ITBISA-ABC-BATERAI-AAA-ALKALINE")</f>
        <v>ITBISA-ABC-BATERAI-AAA-ALKALINE</v>
      </c>
      <c r="B2138" s="266">
        <f>IFERROR(__xludf.DUMMYFUNCTION("""COMPUTED_VALUE"""),45432.0)</f>
        <v>45432</v>
      </c>
      <c r="C2138" s="266" t="str">
        <f>IFERROR(__xludf.DUMMYFUNCTION("""COMPUTED_VALUE"""),"KYAI KONTONG")</f>
        <v>KYAI KONTONG</v>
      </c>
      <c r="D2138" s="186">
        <f>IFERROR(__xludf.DUMMYFUNCTION("""COMPUTED_VALUE"""),6.0)</f>
        <v>6</v>
      </c>
    </row>
    <row r="2139">
      <c r="A2139" s="178" t="str">
        <f>IFERROR(__xludf.DUMMYFUNCTION("""COMPUTED_VALUE"""),"ITBISA-ABC-BATERAI-AAA-ALKALINE")</f>
        <v>ITBISA-ABC-BATERAI-AAA-ALKALINE</v>
      </c>
      <c r="B2139" s="266">
        <f>IFERROR(__xludf.DUMMYFUNCTION("""COMPUTED_VALUE"""),45433.0)</f>
        <v>45433</v>
      </c>
      <c r="C2139" s="266" t="str">
        <f>IFERROR(__xludf.DUMMYFUNCTION("""COMPUTED_VALUE"""),"KERTASARI CIAMIS")</f>
        <v>KERTASARI CIAMIS</v>
      </c>
      <c r="D2139" s="186">
        <f>IFERROR(__xludf.DUMMYFUNCTION("""COMPUTED_VALUE"""),18.0)</f>
        <v>18</v>
      </c>
    </row>
    <row r="2140">
      <c r="A2140" s="178" t="str">
        <f>IFERROR(__xludf.DUMMYFUNCTION("""COMPUTED_VALUE"""),"ITBISA-ABC-BATERAI-AAA-ALKALINE")</f>
        <v>ITBISA-ABC-BATERAI-AAA-ALKALINE</v>
      </c>
      <c r="B2140" s="266">
        <f>IFERROR(__xludf.DUMMYFUNCTION("""COMPUTED_VALUE"""),45434.0)</f>
        <v>45434</v>
      </c>
      <c r="C2140" s="266" t="str">
        <f>IFERROR(__xludf.DUMMYFUNCTION("""COMPUTED_VALUE"""),"KERTASARI CIAMIS")</f>
        <v>KERTASARI CIAMIS</v>
      </c>
      <c r="D2140" s="186">
        <f>IFERROR(__xludf.DUMMYFUNCTION("""COMPUTED_VALUE"""),18.0)</f>
        <v>18</v>
      </c>
    </row>
    <row r="2141">
      <c r="A2141" s="178" t="str">
        <f>IFERROR(__xludf.DUMMYFUNCTION("""COMPUTED_VALUE"""),"ITBISA-ABC-BATERAI-AAA-ALKALINE")</f>
        <v>ITBISA-ABC-BATERAI-AAA-ALKALINE</v>
      </c>
      <c r="B2141" s="266">
        <f>IFERROR(__xludf.DUMMYFUNCTION("""COMPUTED_VALUE"""),45434.0)</f>
        <v>45434</v>
      </c>
      <c r="C2141" s="266" t="str">
        <f>IFERROR(__xludf.DUMMYFUNCTION("""COMPUTED_VALUE"""),"KYAI KONTONG")</f>
        <v>KYAI KONTONG</v>
      </c>
      <c r="D2141" s="186">
        <f>IFERROR(__xludf.DUMMYFUNCTION("""COMPUTED_VALUE"""),6.0)</f>
        <v>6</v>
      </c>
    </row>
    <row r="2142">
      <c r="A2142" s="178" t="str">
        <f>IFERROR(__xludf.DUMMYFUNCTION("""COMPUTED_VALUE"""),"ITBISA-ABC-BATERAI-AAA-ALKALINE")</f>
        <v>ITBISA-ABC-BATERAI-AAA-ALKALINE</v>
      </c>
      <c r="B2142" s="266">
        <f>IFERROR(__xludf.DUMMYFUNCTION("""COMPUTED_VALUE"""),45434.0)</f>
        <v>45434</v>
      </c>
      <c r="C2142" s="266" t="str">
        <f>IFERROR(__xludf.DUMMYFUNCTION("""COMPUTED_VALUE"""),"KYAI KONTONG")</f>
        <v>KYAI KONTONG</v>
      </c>
      <c r="D2142" s="186">
        <f>IFERROR(__xludf.DUMMYFUNCTION("""COMPUTED_VALUE"""),6.0)</f>
        <v>6</v>
      </c>
    </row>
    <row r="2143">
      <c r="A2143" s="178" t="str">
        <f>IFERROR(__xludf.DUMMYFUNCTION("""COMPUTED_VALUE"""),"ITBISA-ABC-BATERAI-AAA-ALKALINE")</f>
        <v>ITBISA-ABC-BATERAI-AAA-ALKALINE</v>
      </c>
      <c r="B2143" s="266">
        <f>IFERROR(__xludf.DUMMYFUNCTION("""COMPUTED_VALUE"""),45435.0)</f>
        <v>45435</v>
      </c>
      <c r="C2143" s="266" t="str">
        <f>IFERROR(__xludf.DUMMYFUNCTION("""COMPUTED_VALUE"""),"KYAI KONTONG")</f>
        <v>KYAI KONTONG</v>
      </c>
      <c r="D2143" s="186">
        <f>IFERROR(__xludf.DUMMYFUNCTION("""COMPUTED_VALUE"""),18.0)</f>
        <v>18</v>
      </c>
    </row>
    <row r="2144">
      <c r="A2144" s="178" t="str">
        <f>IFERROR(__xludf.DUMMYFUNCTION("""COMPUTED_VALUE"""),"ITBISA-ABC-BATERAI-AAA-ALKALINE")</f>
        <v>ITBISA-ABC-BATERAI-AAA-ALKALINE</v>
      </c>
      <c r="B2144" s="266">
        <f>IFERROR(__xludf.DUMMYFUNCTION("""COMPUTED_VALUE"""),45436.0)</f>
        <v>45436</v>
      </c>
      <c r="C2144" s="266" t="str">
        <f>IFERROR(__xludf.DUMMYFUNCTION("""COMPUTED_VALUE"""),"KYAI KONTONG")</f>
        <v>KYAI KONTONG</v>
      </c>
      <c r="D2144" s="186">
        <f>IFERROR(__xludf.DUMMYFUNCTION("""COMPUTED_VALUE"""),1.0)</f>
        <v>1</v>
      </c>
    </row>
    <row r="2145">
      <c r="A2145" s="178" t="str">
        <f>IFERROR(__xludf.DUMMYFUNCTION("""COMPUTED_VALUE"""),"ITBISA-ABC-BATERAI-AAA-ALKALINE")</f>
        <v>ITBISA-ABC-BATERAI-AAA-ALKALINE</v>
      </c>
      <c r="B2145" s="266">
        <f>IFERROR(__xludf.DUMMYFUNCTION("""COMPUTED_VALUE"""),45436.0)</f>
        <v>45436</v>
      </c>
      <c r="C2145" s="266" t="str">
        <f>IFERROR(__xludf.DUMMYFUNCTION("""COMPUTED_VALUE"""),"KYAI KONTONG")</f>
        <v>KYAI KONTONG</v>
      </c>
      <c r="D2145" s="186">
        <f>IFERROR(__xludf.DUMMYFUNCTION("""COMPUTED_VALUE"""),6.0)</f>
        <v>6</v>
      </c>
    </row>
    <row r="2146">
      <c r="A2146" s="178" t="str">
        <f>IFERROR(__xludf.DUMMYFUNCTION("""COMPUTED_VALUE"""),"ITBISA-ABC-BATERAI-AAA-ALKALINE")</f>
        <v>ITBISA-ABC-BATERAI-AAA-ALKALINE</v>
      </c>
      <c r="B2146" s="266">
        <f>IFERROR(__xludf.DUMMYFUNCTION("""COMPUTED_VALUE"""),45437.0)</f>
        <v>45437</v>
      </c>
      <c r="C2146" s="266" t="str">
        <f>IFERROR(__xludf.DUMMYFUNCTION("""COMPUTED_VALUE"""),"KERTASARI CIAMIS")</f>
        <v>KERTASARI CIAMIS</v>
      </c>
      <c r="D2146" s="186">
        <f>IFERROR(__xludf.DUMMYFUNCTION("""COMPUTED_VALUE"""),6.0)</f>
        <v>6</v>
      </c>
    </row>
    <row r="2147">
      <c r="A2147" s="178" t="str">
        <f>IFERROR(__xludf.DUMMYFUNCTION("""COMPUTED_VALUE"""),"ITBISA-ABC-BATERAI-AAA-ALKALINE")</f>
        <v>ITBISA-ABC-BATERAI-AAA-ALKALINE</v>
      </c>
      <c r="B2147" s="266">
        <f>IFERROR(__xludf.DUMMYFUNCTION("""COMPUTED_VALUE"""),45437.0)</f>
        <v>45437</v>
      </c>
      <c r="C2147" s="266" t="str">
        <f>IFERROR(__xludf.DUMMYFUNCTION("""COMPUTED_VALUE"""),"KYAI KONTONG")</f>
        <v>KYAI KONTONG</v>
      </c>
      <c r="D2147" s="186">
        <f>IFERROR(__xludf.DUMMYFUNCTION("""COMPUTED_VALUE"""),12.0)</f>
        <v>12</v>
      </c>
    </row>
    <row r="2148">
      <c r="A2148" s="178" t="str">
        <f>IFERROR(__xludf.DUMMYFUNCTION("""COMPUTED_VALUE"""),"ITBISA-ABC-BATERAI-AAA-ALKALINE")</f>
        <v>ITBISA-ABC-BATERAI-AAA-ALKALINE</v>
      </c>
      <c r="B2148" s="266">
        <f>IFERROR(__xludf.DUMMYFUNCTION("""COMPUTED_VALUE"""),45439.0)</f>
        <v>45439</v>
      </c>
      <c r="C2148" s="266" t="str">
        <f>IFERROR(__xludf.DUMMYFUNCTION("""COMPUTED_VALUE"""),"KYAI KONTONG")</f>
        <v>KYAI KONTONG</v>
      </c>
      <c r="D2148" s="186">
        <f>IFERROR(__xludf.DUMMYFUNCTION("""COMPUTED_VALUE"""),6.0)</f>
        <v>6</v>
      </c>
    </row>
    <row r="2149">
      <c r="A2149" s="178" t="str">
        <f>IFERROR(__xludf.DUMMYFUNCTION("""COMPUTED_VALUE"""),"ITBISA-ABC-BATERAI-AAA-ALKALINE")</f>
        <v>ITBISA-ABC-BATERAI-AAA-ALKALINE</v>
      </c>
      <c r="B2149" s="266">
        <f>IFERROR(__xludf.DUMMYFUNCTION("""COMPUTED_VALUE"""),45440.0)</f>
        <v>45440</v>
      </c>
      <c r="C2149" s="266" t="str">
        <f>IFERROR(__xludf.DUMMYFUNCTION("""COMPUTED_VALUE"""),"KERTASARI CIAMIS")</f>
        <v>KERTASARI CIAMIS</v>
      </c>
      <c r="D2149" s="186">
        <f>IFERROR(__xludf.DUMMYFUNCTION("""COMPUTED_VALUE"""),378.0)</f>
        <v>378</v>
      </c>
    </row>
    <row r="2150">
      <c r="A2150" s="178" t="str">
        <f>IFERROR(__xludf.DUMMYFUNCTION("""COMPUTED_VALUE"""),"ITBISA-ABC-BATERAI-AAA-ALKALINE")</f>
        <v>ITBISA-ABC-BATERAI-AAA-ALKALINE</v>
      </c>
      <c r="B2150" s="266">
        <f>IFERROR(__xludf.DUMMYFUNCTION("""COMPUTED_VALUE"""),45441.0)</f>
        <v>45441</v>
      </c>
      <c r="C2150" s="266" t="str">
        <f>IFERROR(__xludf.DUMMYFUNCTION("""COMPUTED_VALUE"""),"KYAI KONTONG")</f>
        <v>KYAI KONTONG</v>
      </c>
      <c r="D2150" s="186">
        <f>IFERROR(__xludf.DUMMYFUNCTION("""COMPUTED_VALUE"""),60.0)</f>
        <v>60</v>
      </c>
    </row>
    <row r="2151">
      <c r="A2151" s="178" t="str">
        <f>IFERROR(__xludf.DUMMYFUNCTION("""COMPUTED_VALUE"""),"ITBISA-ABC-BATERAI-AAA-ALKALINE")</f>
        <v>ITBISA-ABC-BATERAI-AAA-ALKALINE</v>
      </c>
      <c r="B2151" s="266">
        <f>IFERROR(__xludf.DUMMYFUNCTION("""COMPUTED_VALUE"""),45444.0)</f>
        <v>45444</v>
      </c>
      <c r="C2151" s="266" t="str">
        <f>IFERROR(__xludf.DUMMYFUNCTION("""COMPUTED_VALUE"""),"KYAI KONTONG")</f>
        <v>KYAI KONTONG</v>
      </c>
      <c r="D2151" s="186">
        <f>IFERROR(__xludf.DUMMYFUNCTION("""COMPUTED_VALUE"""),12.0)</f>
        <v>12</v>
      </c>
    </row>
    <row r="2152">
      <c r="A2152" s="178" t="str">
        <f>IFERROR(__xludf.DUMMYFUNCTION("""COMPUTED_VALUE"""),"ITBISA-ABC-BATERAI-AAA-ALKALINE")</f>
        <v>ITBISA-ABC-BATERAI-AAA-ALKALINE</v>
      </c>
      <c r="B2152" s="266">
        <f>IFERROR(__xludf.DUMMYFUNCTION("""COMPUTED_VALUE"""),45446.0)</f>
        <v>45446</v>
      </c>
      <c r="C2152" s="266" t="str">
        <f>IFERROR(__xludf.DUMMYFUNCTION("""COMPUTED_VALUE"""),"KERTASARI CIAMIS")</f>
        <v>KERTASARI CIAMIS</v>
      </c>
      <c r="D2152" s="186">
        <f>IFERROR(__xludf.DUMMYFUNCTION("""COMPUTED_VALUE"""),3.0)</f>
        <v>3</v>
      </c>
    </row>
    <row r="2153">
      <c r="A2153" s="178" t="str">
        <f>IFERROR(__xludf.DUMMYFUNCTION("""COMPUTED_VALUE"""),"ITBISA-ABC-BATERAI-AAA-ALKALINE")</f>
        <v>ITBISA-ABC-BATERAI-AAA-ALKALINE</v>
      </c>
      <c r="B2153" s="266">
        <f>IFERROR(__xludf.DUMMYFUNCTION("""COMPUTED_VALUE"""),45447.0)</f>
        <v>45447</v>
      </c>
      <c r="C2153" s="266" t="str">
        <f>IFERROR(__xludf.DUMMYFUNCTION("""COMPUTED_VALUE"""),"KERTASARI CIAMIS")</f>
        <v>KERTASARI CIAMIS</v>
      </c>
      <c r="D2153" s="186">
        <f>IFERROR(__xludf.DUMMYFUNCTION("""COMPUTED_VALUE"""),6.0)</f>
        <v>6</v>
      </c>
    </row>
    <row r="2154">
      <c r="A2154" s="178" t="str">
        <f>IFERROR(__xludf.DUMMYFUNCTION("""COMPUTED_VALUE"""),"ITBISA-ABC-BATERAI-AAA-ALKALINE")</f>
        <v>ITBISA-ABC-BATERAI-AAA-ALKALINE</v>
      </c>
      <c r="B2154" s="266">
        <f>IFERROR(__xludf.DUMMYFUNCTION("""COMPUTED_VALUE"""),45447.0)</f>
        <v>45447</v>
      </c>
      <c r="C2154" s="266" t="str">
        <f>IFERROR(__xludf.DUMMYFUNCTION("""COMPUTED_VALUE"""),"KERTASARI CIAMIS")</f>
        <v>KERTASARI CIAMIS</v>
      </c>
      <c r="D2154" s="186">
        <f>IFERROR(__xludf.DUMMYFUNCTION("""COMPUTED_VALUE"""),72.0)</f>
        <v>72</v>
      </c>
    </row>
    <row r="2155">
      <c r="A2155" s="178" t="str">
        <f>IFERROR(__xludf.DUMMYFUNCTION("""COMPUTED_VALUE"""),"ITBISA-ABC-BATERAI-AAA-ALKALINE")</f>
        <v>ITBISA-ABC-BATERAI-AAA-ALKALINE</v>
      </c>
      <c r="B2155" s="266">
        <f>IFERROR(__xludf.DUMMYFUNCTION("""COMPUTED_VALUE"""),45448.0)</f>
        <v>45448</v>
      </c>
      <c r="C2155" s="266" t="str">
        <f>IFERROR(__xludf.DUMMYFUNCTION("""COMPUTED_VALUE"""),"KYAI KONTONG")</f>
        <v>KYAI KONTONG</v>
      </c>
      <c r="D2155" s="186">
        <f>IFERROR(__xludf.DUMMYFUNCTION("""COMPUTED_VALUE"""),6.0)</f>
        <v>6</v>
      </c>
    </row>
    <row r="2156">
      <c r="A2156" s="178" t="str">
        <f>IFERROR(__xludf.DUMMYFUNCTION("""COMPUTED_VALUE"""),"ITBISA-ABC-BATERAI-AAA-ALKALINE")</f>
        <v>ITBISA-ABC-BATERAI-AAA-ALKALINE</v>
      </c>
      <c r="B2156" s="266">
        <f>IFERROR(__xludf.DUMMYFUNCTION("""COMPUTED_VALUE"""),45449.0)</f>
        <v>45449</v>
      </c>
      <c r="C2156" s="266" t="str">
        <f>IFERROR(__xludf.DUMMYFUNCTION("""COMPUTED_VALUE"""),"KERTASARI CIAMIS")</f>
        <v>KERTASARI CIAMIS</v>
      </c>
      <c r="D2156" s="186">
        <f>IFERROR(__xludf.DUMMYFUNCTION("""COMPUTED_VALUE"""),156.0)</f>
        <v>156</v>
      </c>
    </row>
    <row r="2157">
      <c r="A2157" s="178" t="str">
        <f>IFERROR(__xludf.DUMMYFUNCTION("""COMPUTED_VALUE"""),"ITBISA-ABC-BATERAI-AAA-ALKALINE")</f>
        <v>ITBISA-ABC-BATERAI-AAA-ALKALINE</v>
      </c>
      <c r="B2157" s="266">
        <f>IFERROR(__xludf.DUMMYFUNCTION("""COMPUTED_VALUE"""),45449.0)</f>
        <v>45449</v>
      </c>
      <c r="C2157" s="266" t="str">
        <f>IFERROR(__xludf.DUMMYFUNCTION("""COMPUTED_VALUE"""),"KYAI KONTONG")</f>
        <v>KYAI KONTONG</v>
      </c>
      <c r="D2157" s="186">
        <f>IFERROR(__xludf.DUMMYFUNCTION("""COMPUTED_VALUE"""),3.0)</f>
        <v>3</v>
      </c>
    </row>
    <row r="2158">
      <c r="A2158" s="178" t="str">
        <f>IFERROR(__xludf.DUMMYFUNCTION("""COMPUTED_VALUE"""),"ITBISA-ABC-BATERAI-AAA-ALKALINE")</f>
        <v>ITBISA-ABC-BATERAI-AAA-ALKALINE</v>
      </c>
      <c r="B2158" s="266">
        <f>IFERROR(__xludf.DUMMYFUNCTION("""COMPUTED_VALUE"""),45449.0)</f>
        <v>45449</v>
      </c>
      <c r="C2158" s="266" t="str">
        <f>IFERROR(__xludf.DUMMYFUNCTION("""COMPUTED_VALUE"""),"KYAI KONTONG")</f>
        <v>KYAI KONTONG</v>
      </c>
      <c r="D2158" s="186">
        <f>IFERROR(__xludf.DUMMYFUNCTION("""COMPUTED_VALUE"""),6.0)</f>
        <v>6</v>
      </c>
    </row>
    <row r="2159">
      <c r="A2159" s="178" t="str">
        <f>IFERROR(__xludf.DUMMYFUNCTION("""COMPUTED_VALUE"""),"ITBISA-ABC-BATERAI-AAA-ALKALINE")</f>
        <v>ITBISA-ABC-BATERAI-AAA-ALKALINE</v>
      </c>
      <c r="B2159" s="266">
        <f>IFERROR(__xludf.DUMMYFUNCTION("""COMPUTED_VALUE"""),45450.0)</f>
        <v>45450</v>
      </c>
      <c r="C2159" s="266" t="str">
        <f>IFERROR(__xludf.DUMMYFUNCTION("""COMPUTED_VALUE"""),"KYAI KONTONG")</f>
        <v>KYAI KONTONG</v>
      </c>
      <c r="D2159" s="186">
        <f>IFERROR(__xludf.DUMMYFUNCTION("""COMPUTED_VALUE"""),6.0)</f>
        <v>6</v>
      </c>
    </row>
    <row r="2160">
      <c r="A2160" s="178" t="str">
        <f>IFERROR(__xludf.DUMMYFUNCTION("""COMPUTED_VALUE"""),"ITBISA-ABC-BATERAI-AAA-ALKALINE")</f>
        <v>ITBISA-ABC-BATERAI-AAA-ALKALINE</v>
      </c>
      <c r="B2160" s="266">
        <f>IFERROR(__xludf.DUMMYFUNCTION("""COMPUTED_VALUE"""),45452.0)</f>
        <v>45452</v>
      </c>
      <c r="C2160" s="266" t="str">
        <f>IFERROR(__xludf.DUMMYFUNCTION("""COMPUTED_VALUE"""),"KERTASARI CIAMIS")</f>
        <v>KERTASARI CIAMIS</v>
      </c>
      <c r="D2160" s="186">
        <f>IFERROR(__xludf.DUMMYFUNCTION("""COMPUTED_VALUE"""),6.0)</f>
        <v>6</v>
      </c>
    </row>
    <row r="2161">
      <c r="A2161" s="178" t="str">
        <f>IFERROR(__xludf.DUMMYFUNCTION("""COMPUTED_VALUE"""),"ITBISA-ABC-BATERAI-AAA-ALKALINE")</f>
        <v>ITBISA-ABC-BATERAI-AAA-ALKALINE</v>
      </c>
      <c r="B2161" s="266">
        <f>IFERROR(__xludf.DUMMYFUNCTION("""COMPUTED_VALUE"""),45452.0)</f>
        <v>45452</v>
      </c>
      <c r="C2161" s="266" t="str">
        <f>IFERROR(__xludf.DUMMYFUNCTION("""COMPUTED_VALUE"""),"KYAI KONTONG")</f>
        <v>KYAI KONTONG</v>
      </c>
      <c r="D2161" s="186">
        <f>IFERROR(__xludf.DUMMYFUNCTION("""COMPUTED_VALUE"""),8.0)</f>
        <v>8</v>
      </c>
    </row>
    <row r="2162">
      <c r="A2162" s="178" t="str">
        <f>IFERROR(__xludf.DUMMYFUNCTION("""COMPUTED_VALUE"""),"ITBISA-ABC-BATERAI-AAA-ALKALINE")</f>
        <v>ITBISA-ABC-BATERAI-AAA-ALKALINE</v>
      </c>
      <c r="B2162" s="266">
        <f>IFERROR(__xludf.DUMMYFUNCTION("""COMPUTED_VALUE"""),45454.0)</f>
        <v>45454</v>
      </c>
      <c r="C2162" s="266" t="str">
        <f>IFERROR(__xludf.DUMMYFUNCTION("""COMPUTED_VALUE"""),"KERTASARI CIAMIS")</f>
        <v>KERTASARI CIAMIS</v>
      </c>
      <c r="D2162" s="186">
        <f>IFERROR(__xludf.DUMMYFUNCTION("""COMPUTED_VALUE"""),6.0)</f>
        <v>6</v>
      </c>
    </row>
    <row r="2163">
      <c r="A2163" s="178" t="str">
        <f>IFERROR(__xludf.DUMMYFUNCTION("""COMPUTED_VALUE"""),"ITBISA-ABC-BATERAI-AAA-ALKALINE")</f>
        <v>ITBISA-ABC-BATERAI-AAA-ALKALINE</v>
      </c>
      <c r="B2163" s="266">
        <f>IFERROR(__xludf.DUMMYFUNCTION("""COMPUTED_VALUE"""),45454.0)</f>
        <v>45454</v>
      </c>
      <c r="C2163" s="266" t="str">
        <f>IFERROR(__xludf.DUMMYFUNCTION("""COMPUTED_VALUE"""),"KYAI KONTONG")</f>
        <v>KYAI KONTONG</v>
      </c>
      <c r="D2163" s="186">
        <f>IFERROR(__xludf.DUMMYFUNCTION("""COMPUTED_VALUE"""),6.0)</f>
        <v>6</v>
      </c>
    </row>
    <row r="2164">
      <c r="A2164" s="178" t="str">
        <f>IFERROR(__xludf.DUMMYFUNCTION("""COMPUTED_VALUE"""),"ITBISA-ABC-BATERAI-AAA-ALKALINE")</f>
        <v>ITBISA-ABC-BATERAI-AAA-ALKALINE</v>
      </c>
      <c r="B2164" s="266">
        <f>IFERROR(__xludf.DUMMYFUNCTION("""COMPUTED_VALUE"""),45455.0)</f>
        <v>45455</v>
      </c>
      <c r="C2164" s="266" t="str">
        <f>IFERROR(__xludf.DUMMYFUNCTION("""COMPUTED_VALUE"""),"KYAI KONTONG")</f>
        <v>KYAI KONTONG</v>
      </c>
      <c r="D2164" s="186">
        <f>IFERROR(__xludf.DUMMYFUNCTION("""COMPUTED_VALUE"""),8.0)</f>
        <v>8</v>
      </c>
    </row>
    <row r="2165">
      <c r="A2165" s="178" t="str">
        <f>IFERROR(__xludf.DUMMYFUNCTION("""COMPUTED_VALUE"""),"ITBISA-ABC-BATERAI-AAA-ALKALINE")</f>
        <v>ITBISA-ABC-BATERAI-AAA-ALKALINE</v>
      </c>
      <c r="B2165" s="266">
        <f>IFERROR(__xludf.DUMMYFUNCTION("""COMPUTED_VALUE"""),45456.0)</f>
        <v>45456</v>
      </c>
      <c r="C2165" s="266" t="str">
        <f>IFERROR(__xludf.DUMMYFUNCTION("""COMPUTED_VALUE"""),"KERTASARI CIAMIS")</f>
        <v>KERTASARI CIAMIS</v>
      </c>
      <c r="D2165" s="186">
        <f>IFERROR(__xludf.DUMMYFUNCTION("""COMPUTED_VALUE"""),1.0)</f>
        <v>1</v>
      </c>
    </row>
    <row r="2166">
      <c r="A2166" s="178" t="str">
        <f>IFERROR(__xludf.DUMMYFUNCTION("""COMPUTED_VALUE"""),"ITBISA-ABC-BATERAI-AAA-ALKALINE")</f>
        <v>ITBISA-ABC-BATERAI-AAA-ALKALINE</v>
      </c>
      <c r="B2166" s="266">
        <f>IFERROR(__xludf.DUMMYFUNCTION("""COMPUTED_VALUE"""),45457.0)</f>
        <v>45457</v>
      </c>
      <c r="C2166" s="266" t="str">
        <f>IFERROR(__xludf.DUMMYFUNCTION("""COMPUTED_VALUE"""),"KYAI KONTONG")</f>
        <v>KYAI KONTONG</v>
      </c>
      <c r="D2166" s="186">
        <f>IFERROR(__xludf.DUMMYFUNCTION("""COMPUTED_VALUE"""),6.0)</f>
        <v>6</v>
      </c>
    </row>
    <row r="2167">
      <c r="A2167" s="178" t="str">
        <f>IFERROR(__xludf.DUMMYFUNCTION("""COMPUTED_VALUE"""),"ITBISA-ABC-BATERAI-AAA-ALKALINE")</f>
        <v>ITBISA-ABC-BATERAI-AAA-ALKALINE</v>
      </c>
      <c r="B2167" s="266">
        <f>IFERROR(__xludf.DUMMYFUNCTION("""COMPUTED_VALUE"""),45460.0)</f>
        <v>45460</v>
      </c>
      <c r="C2167" s="266" t="str">
        <f>IFERROR(__xludf.DUMMYFUNCTION("""COMPUTED_VALUE"""),"KYAI KONTONG")</f>
        <v>KYAI KONTONG</v>
      </c>
      <c r="D2167" s="186">
        <f>IFERROR(__xludf.DUMMYFUNCTION("""COMPUTED_VALUE"""),42.0)</f>
        <v>42</v>
      </c>
    </row>
    <row r="2168">
      <c r="A2168" s="178" t="str">
        <f>IFERROR(__xludf.DUMMYFUNCTION("""COMPUTED_VALUE"""),"ITBISA-ABC-BATERAI-AAA-ALKALINE")</f>
        <v>ITBISA-ABC-BATERAI-AAA-ALKALINE</v>
      </c>
      <c r="B2168" s="266">
        <f>IFERROR(__xludf.DUMMYFUNCTION("""COMPUTED_VALUE"""),45461.0)</f>
        <v>45461</v>
      </c>
      <c r="C2168" s="266" t="str">
        <f>IFERROR(__xludf.DUMMYFUNCTION("""COMPUTED_VALUE"""),"KYAI KONTONG")</f>
        <v>KYAI KONTONG</v>
      </c>
      <c r="D2168" s="186">
        <f>IFERROR(__xludf.DUMMYFUNCTION("""COMPUTED_VALUE"""),6.0)</f>
        <v>6</v>
      </c>
    </row>
    <row r="2169">
      <c r="A2169" s="178" t="str">
        <f>IFERROR(__xludf.DUMMYFUNCTION("""COMPUTED_VALUE"""),"ITBISA-ABC-BATERAI-AAA-ALKALINE")</f>
        <v>ITBISA-ABC-BATERAI-AAA-ALKALINE</v>
      </c>
      <c r="B2169" s="266">
        <f>IFERROR(__xludf.DUMMYFUNCTION("""COMPUTED_VALUE"""),45461.0)</f>
        <v>45461</v>
      </c>
      <c r="C2169" s="266" t="str">
        <f>IFERROR(__xludf.DUMMYFUNCTION("""COMPUTED_VALUE"""),"KYAI KONTONG")</f>
        <v>KYAI KONTONG</v>
      </c>
      <c r="D2169" s="186">
        <f>IFERROR(__xludf.DUMMYFUNCTION("""COMPUTED_VALUE"""),6.0)</f>
        <v>6</v>
      </c>
    </row>
    <row r="2170">
      <c r="A2170" s="178" t="str">
        <f>IFERROR(__xludf.DUMMYFUNCTION("""COMPUTED_VALUE"""),"ITBISA-ABC-BATERAI-AAA-ALKALINE")</f>
        <v>ITBISA-ABC-BATERAI-AAA-ALKALINE</v>
      </c>
      <c r="B2170" s="266">
        <f>IFERROR(__xludf.DUMMYFUNCTION("""COMPUTED_VALUE"""),45462.0)</f>
        <v>45462</v>
      </c>
      <c r="C2170" s="266" t="str">
        <f>IFERROR(__xludf.DUMMYFUNCTION("""COMPUTED_VALUE"""),"KYAI KONTONG")</f>
        <v>KYAI KONTONG</v>
      </c>
      <c r="D2170" s="186">
        <f>IFERROR(__xludf.DUMMYFUNCTION("""COMPUTED_VALUE"""),8.0)</f>
        <v>8</v>
      </c>
    </row>
    <row r="2171">
      <c r="A2171" s="178" t="str">
        <f>IFERROR(__xludf.DUMMYFUNCTION("""COMPUTED_VALUE"""),"ITBISA-ABC-BATERAI-AAA-ALKALINE")</f>
        <v>ITBISA-ABC-BATERAI-AAA-ALKALINE</v>
      </c>
      <c r="B2171" s="266">
        <f>IFERROR(__xludf.DUMMYFUNCTION("""COMPUTED_VALUE"""),45463.0)</f>
        <v>45463</v>
      </c>
      <c r="C2171" s="266" t="str">
        <f>IFERROR(__xludf.DUMMYFUNCTION("""COMPUTED_VALUE"""),"KYAI KONTONG")</f>
        <v>KYAI KONTONG</v>
      </c>
      <c r="D2171" s="186">
        <f>IFERROR(__xludf.DUMMYFUNCTION("""COMPUTED_VALUE"""),16.0)</f>
        <v>16</v>
      </c>
    </row>
    <row r="2172">
      <c r="A2172" s="178" t="str">
        <f>IFERROR(__xludf.DUMMYFUNCTION("""COMPUTED_VALUE"""),"ITBISA-ABC-BATERAI-AAA-ALKALINE")</f>
        <v>ITBISA-ABC-BATERAI-AAA-ALKALINE</v>
      </c>
      <c r="B2172" s="266">
        <f>IFERROR(__xludf.DUMMYFUNCTION("""COMPUTED_VALUE"""),45467.0)</f>
        <v>45467</v>
      </c>
      <c r="C2172" s="266" t="str">
        <f>IFERROR(__xludf.DUMMYFUNCTION("""COMPUTED_VALUE"""),"KYAI KONTONG")</f>
        <v>KYAI KONTONG</v>
      </c>
      <c r="D2172" s="186">
        <f>IFERROR(__xludf.DUMMYFUNCTION("""COMPUTED_VALUE"""),8.0)</f>
        <v>8</v>
      </c>
    </row>
    <row r="2173">
      <c r="A2173" s="178" t="str">
        <f>IFERROR(__xludf.DUMMYFUNCTION("""COMPUTED_VALUE"""),"ITBISA-ABC-BATERAI-AAA-ALKALINE")</f>
        <v>ITBISA-ABC-BATERAI-AAA-ALKALINE</v>
      </c>
      <c r="B2173" s="266">
        <f>IFERROR(__xludf.DUMMYFUNCTION("""COMPUTED_VALUE"""),45468.0)</f>
        <v>45468</v>
      </c>
      <c r="C2173" s="266" t="str">
        <f>IFERROR(__xludf.DUMMYFUNCTION("""COMPUTED_VALUE"""),"KERTASARI CIAMIS")</f>
        <v>KERTASARI CIAMIS</v>
      </c>
      <c r="D2173" s="186">
        <f>IFERROR(__xludf.DUMMYFUNCTION("""COMPUTED_VALUE"""),6.0)</f>
        <v>6</v>
      </c>
    </row>
    <row r="2174">
      <c r="A2174" s="178" t="str">
        <f>IFERROR(__xludf.DUMMYFUNCTION("""COMPUTED_VALUE"""),"ITBISA-ABC-BATERAI-AAA-ALKALINE")</f>
        <v>ITBISA-ABC-BATERAI-AAA-ALKALINE</v>
      </c>
      <c r="B2174" s="266">
        <f>IFERROR(__xludf.DUMMYFUNCTION("""COMPUTED_VALUE"""),45468.0)</f>
        <v>45468</v>
      </c>
      <c r="C2174" s="266" t="str">
        <f>IFERROR(__xludf.DUMMYFUNCTION("""COMPUTED_VALUE"""),"KERTASARI CIAMIS")</f>
        <v>KERTASARI CIAMIS</v>
      </c>
      <c r="D2174" s="186">
        <f>IFERROR(__xludf.DUMMYFUNCTION("""COMPUTED_VALUE"""),6.0)</f>
        <v>6</v>
      </c>
    </row>
    <row r="2175">
      <c r="A2175" s="178" t="str">
        <f>IFERROR(__xludf.DUMMYFUNCTION("""COMPUTED_VALUE"""),"ITBISA-ABC-BATERAI-AAA-ALKALINE")</f>
        <v>ITBISA-ABC-BATERAI-AAA-ALKALINE</v>
      </c>
      <c r="B2175" s="266">
        <f>IFERROR(__xludf.DUMMYFUNCTION("""COMPUTED_VALUE"""),45468.0)</f>
        <v>45468</v>
      </c>
      <c r="C2175" s="266" t="str">
        <f>IFERROR(__xludf.DUMMYFUNCTION("""COMPUTED_VALUE"""),"KYAI KONTONG")</f>
        <v>KYAI KONTONG</v>
      </c>
      <c r="D2175" s="186">
        <f>IFERROR(__xludf.DUMMYFUNCTION("""COMPUTED_VALUE"""),6.0)</f>
        <v>6</v>
      </c>
    </row>
    <row r="2176">
      <c r="A2176" s="178" t="str">
        <f>IFERROR(__xludf.DUMMYFUNCTION("""COMPUTED_VALUE"""),"ITBISA-ABC-BATERAI-AAA-ALKALINE")</f>
        <v>ITBISA-ABC-BATERAI-AAA-ALKALINE</v>
      </c>
      <c r="B2176" s="266">
        <f>IFERROR(__xludf.DUMMYFUNCTION("""COMPUTED_VALUE"""),45470.0)</f>
        <v>45470</v>
      </c>
      <c r="C2176" s="266" t="str">
        <f>IFERROR(__xludf.DUMMYFUNCTION("""COMPUTED_VALUE"""),"KYAI KONTONG")</f>
        <v>KYAI KONTONG</v>
      </c>
      <c r="D2176" s="186">
        <f>IFERROR(__xludf.DUMMYFUNCTION("""COMPUTED_VALUE"""),8.0)</f>
        <v>8</v>
      </c>
    </row>
    <row r="2177">
      <c r="A2177" s="178" t="str">
        <f>IFERROR(__xludf.DUMMYFUNCTION("""COMPUTED_VALUE"""),"ITBISA-ABC-BATERAI-AAA-ALKALINE")</f>
        <v>ITBISA-ABC-BATERAI-AAA-ALKALINE</v>
      </c>
      <c r="B2177" s="266">
        <f>IFERROR(__xludf.DUMMYFUNCTION("""COMPUTED_VALUE"""),45471.0)</f>
        <v>45471</v>
      </c>
      <c r="C2177" s="266" t="str">
        <f>IFERROR(__xludf.DUMMYFUNCTION("""COMPUTED_VALUE"""),"KERTASARI CIAMIS")</f>
        <v>KERTASARI CIAMIS</v>
      </c>
      <c r="D2177" s="186">
        <f>IFERROR(__xludf.DUMMYFUNCTION("""COMPUTED_VALUE"""),36.0)</f>
        <v>36</v>
      </c>
    </row>
    <row r="2178">
      <c r="A2178" s="178" t="str">
        <f>IFERROR(__xludf.DUMMYFUNCTION("""COMPUTED_VALUE"""),"ITBISA-ABC-BATERAI-AAA-ALKALINE")</f>
        <v>ITBISA-ABC-BATERAI-AAA-ALKALINE</v>
      </c>
      <c r="B2178" s="266">
        <f>IFERROR(__xludf.DUMMYFUNCTION("""COMPUTED_VALUE"""),45472.0)</f>
        <v>45472</v>
      </c>
      <c r="C2178" s="266" t="str">
        <f>IFERROR(__xludf.DUMMYFUNCTION("""COMPUTED_VALUE"""),"KERTASARI CIAMIS")</f>
        <v>KERTASARI CIAMIS</v>
      </c>
      <c r="D2178" s="186">
        <f>IFERROR(__xludf.DUMMYFUNCTION("""COMPUTED_VALUE"""),2.0)</f>
        <v>2</v>
      </c>
    </row>
    <row r="2179">
      <c r="A2179" s="178" t="str">
        <f>IFERROR(__xludf.DUMMYFUNCTION("""COMPUTED_VALUE"""),"ITBISA-ABC-BATERAI-AAA-ALKALINE")</f>
        <v>ITBISA-ABC-BATERAI-AAA-ALKALINE</v>
      </c>
      <c r="B2179" s="266">
        <f>IFERROR(__xludf.DUMMYFUNCTION("""COMPUTED_VALUE"""),45472.0)</f>
        <v>45472</v>
      </c>
      <c r="C2179" s="266" t="str">
        <f>IFERROR(__xludf.DUMMYFUNCTION("""COMPUTED_VALUE"""),"KERTASARI CIAMIS")</f>
        <v>KERTASARI CIAMIS</v>
      </c>
      <c r="D2179" s="186">
        <f>IFERROR(__xludf.DUMMYFUNCTION("""COMPUTED_VALUE"""),24.0)</f>
        <v>24</v>
      </c>
    </row>
    <row r="2180">
      <c r="A2180" s="178" t="str">
        <f>IFERROR(__xludf.DUMMYFUNCTION("""COMPUTED_VALUE"""),"ITBISA-ABC-BATERAI-AAA-ALKALINE")</f>
        <v>ITBISA-ABC-BATERAI-AAA-ALKALINE</v>
      </c>
      <c r="B2180" s="266">
        <f>IFERROR(__xludf.DUMMYFUNCTION("""COMPUTED_VALUE"""),45472.0)</f>
        <v>45472</v>
      </c>
      <c r="C2180" s="266" t="str">
        <f>IFERROR(__xludf.DUMMYFUNCTION("""COMPUTED_VALUE"""),"KERTASARI CIAMIS")</f>
        <v>KERTASARI CIAMIS</v>
      </c>
      <c r="D2180" s="186">
        <f>IFERROR(__xludf.DUMMYFUNCTION("""COMPUTED_VALUE"""),48.0)</f>
        <v>48</v>
      </c>
    </row>
    <row r="2181">
      <c r="A2181" s="178" t="str">
        <f>IFERROR(__xludf.DUMMYFUNCTION("""COMPUTED_VALUE"""),"ITBISA-ABC-BATERAI-AAA-ALKALINE")</f>
        <v>ITBISA-ABC-BATERAI-AAA-ALKALINE</v>
      </c>
      <c r="B2181" s="266">
        <f>IFERROR(__xludf.DUMMYFUNCTION("""COMPUTED_VALUE"""),45473.0)</f>
        <v>45473</v>
      </c>
      <c r="C2181" s="266" t="str">
        <f>IFERROR(__xludf.DUMMYFUNCTION("""COMPUTED_VALUE"""),"KYAI KONTONG")</f>
        <v>KYAI KONTONG</v>
      </c>
      <c r="D2181" s="186">
        <f>IFERROR(__xludf.DUMMYFUNCTION("""COMPUTED_VALUE"""),6.0)</f>
        <v>6</v>
      </c>
    </row>
    <row r="2182">
      <c r="A2182" s="178" t="str">
        <f>IFERROR(__xludf.DUMMYFUNCTION("""COMPUTED_VALUE"""),"ITBISA-ABC-BATERAI-AAA-ALKALINE")</f>
        <v>ITBISA-ABC-BATERAI-AAA-ALKALINE</v>
      </c>
      <c r="B2182" s="266">
        <f>IFERROR(__xludf.DUMMYFUNCTION("""COMPUTED_VALUE"""),45474.0)</f>
        <v>45474</v>
      </c>
      <c r="C2182" s="266" t="str">
        <f>IFERROR(__xludf.DUMMYFUNCTION("""COMPUTED_VALUE"""),"KYAI KONTONG")</f>
        <v>KYAI KONTONG</v>
      </c>
      <c r="D2182" s="186">
        <f>IFERROR(__xludf.DUMMYFUNCTION("""COMPUTED_VALUE"""),6.0)</f>
        <v>6</v>
      </c>
    </row>
    <row r="2183">
      <c r="A2183" s="178" t="str">
        <f>IFERROR(__xludf.DUMMYFUNCTION("""COMPUTED_VALUE"""),"ITBISA-ABC-BATERAI-AAA-ALKALINE")</f>
        <v>ITBISA-ABC-BATERAI-AAA-ALKALINE</v>
      </c>
      <c r="B2183" s="266">
        <f>IFERROR(__xludf.DUMMYFUNCTION("""COMPUTED_VALUE"""),45474.0)</f>
        <v>45474</v>
      </c>
      <c r="C2183" s="266" t="str">
        <f>IFERROR(__xludf.DUMMYFUNCTION("""COMPUTED_VALUE"""),"KYAI KONTONG")</f>
        <v>KYAI KONTONG</v>
      </c>
      <c r="D2183" s="186">
        <f>IFERROR(__xludf.DUMMYFUNCTION("""COMPUTED_VALUE"""),12.0)</f>
        <v>12</v>
      </c>
    </row>
    <row r="2184">
      <c r="A2184" s="178" t="str">
        <f>IFERROR(__xludf.DUMMYFUNCTION("""COMPUTED_VALUE"""),"ITBISA-ABC-BATERAI-AAA-ALKALINE")</f>
        <v>ITBISA-ABC-BATERAI-AAA-ALKALINE</v>
      </c>
      <c r="B2184" s="266">
        <f>IFERROR(__xludf.DUMMYFUNCTION("""COMPUTED_VALUE"""),45474.0)</f>
        <v>45474</v>
      </c>
      <c r="C2184" s="266" t="str">
        <f>IFERROR(__xludf.DUMMYFUNCTION("""COMPUTED_VALUE"""),"KYAI KONTONG")</f>
        <v>KYAI KONTONG</v>
      </c>
      <c r="D2184" s="186">
        <f>IFERROR(__xludf.DUMMYFUNCTION("""COMPUTED_VALUE"""),18.0)</f>
        <v>18</v>
      </c>
    </row>
    <row r="2185">
      <c r="A2185" s="178" t="str">
        <f>IFERROR(__xludf.DUMMYFUNCTION("""COMPUTED_VALUE"""),"ITBISA-ABC-BATERAI-AAA-ALKALINE")</f>
        <v>ITBISA-ABC-BATERAI-AAA-ALKALINE</v>
      </c>
      <c r="B2185" s="266">
        <f>IFERROR(__xludf.DUMMYFUNCTION("""COMPUTED_VALUE"""),45476.0)</f>
        <v>45476</v>
      </c>
      <c r="C2185" s="266" t="str">
        <f>IFERROR(__xludf.DUMMYFUNCTION("""COMPUTED_VALUE"""),"KYAI KONTONG")</f>
        <v>KYAI KONTONG</v>
      </c>
      <c r="D2185" s="186">
        <f>IFERROR(__xludf.DUMMYFUNCTION("""COMPUTED_VALUE"""),8.0)</f>
        <v>8</v>
      </c>
    </row>
    <row r="2186">
      <c r="A2186" s="178" t="str">
        <f>IFERROR(__xludf.DUMMYFUNCTION("""COMPUTED_VALUE"""),"ITBISA-ABC-BATERAI-AAA-ALKALINE")</f>
        <v>ITBISA-ABC-BATERAI-AAA-ALKALINE</v>
      </c>
      <c r="B2186" s="266">
        <f>IFERROR(__xludf.DUMMYFUNCTION("""COMPUTED_VALUE"""),45476.0)</f>
        <v>45476</v>
      </c>
      <c r="C2186" s="266" t="str">
        <f>IFERROR(__xludf.DUMMYFUNCTION("""COMPUTED_VALUE"""),"KYAI KONTONG")</f>
        <v>KYAI KONTONG</v>
      </c>
      <c r="D2186" s="186">
        <f>IFERROR(__xludf.DUMMYFUNCTION("""COMPUTED_VALUE"""),24.0)</f>
        <v>24</v>
      </c>
    </row>
    <row r="2187">
      <c r="A2187" s="178" t="str">
        <f>IFERROR(__xludf.DUMMYFUNCTION("""COMPUTED_VALUE"""),"ITBISA-ABC-BATERAI-AAA-ALKALINE")</f>
        <v>ITBISA-ABC-BATERAI-AAA-ALKALINE</v>
      </c>
      <c r="B2187" s="266">
        <f>IFERROR(__xludf.DUMMYFUNCTION("""COMPUTED_VALUE"""),45480.0)</f>
        <v>45480</v>
      </c>
      <c r="C2187" s="266" t="str">
        <f>IFERROR(__xludf.DUMMYFUNCTION("""COMPUTED_VALUE"""),"KYAI KONTONG")</f>
        <v>KYAI KONTONG</v>
      </c>
      <c r="D2187" s="186">
        <f>IFERROR(__xludf.DUMMYFUNCTION("""COMPUTED_VALUE"""),8.0)</f>
        <v>8</v>
      </c>
    </row>
    <row r="2188">
      <c r="A2188" s="178" t="str">
        <f>IFERROR(__xludf.DUMMYFUNCTION("""COMPUTED_VALUE"""),"ITBISA-ABC-BATERAI-AAA-ALKALINE")</f>
        <v>ITBISA-ABC-BATERAI-AAA-ALKALINE</v>
      </c>
      <c r="B2188" s="266">
        <f>IFERROR(__xludf.DUMMYFUNCTION("""COMPUTED_VALUE"""),45481.0)</f>
        <v>45481</v>
      </c>
      <c r="C2188" s="266" t="str">
        <f>IFERROR(__xludf.DUMMYFUNCTION("""COMPUTED_VALUE"""),"KYAI KONTONG")</f>
        <v>KYAI KONTONG</v>
      </c>
      <c r="D2188" s="186">
        <f>IFERROR(__xludf.DUMMYFUNCTION("""COMPUTED_VALUE"""),6.0)</f>
        <v>6</v>
      </c>
    </row>
    <row r="2189">
      <c r="A2189" s="178" t="str">
        <f>IFERROR(__xludf.DUMMYFUNCTION("""COMPUTED_VALUE"""),"ITBISA-ABC-BATERAI-AAA-ALKALINE")</f>
        <v>ITBISA-ABC-BATERAI-AAA-ALKALINE</v>
      </c>
      <c r="B2189" s="266">
        <f>IFERROR(__xludf.DUMMYFUNCTION("""COMPUTED_VALUE"""),45481.0)</f>
        <v>45481</v>
      </c>
      <c r="C2189" s="266" t="str">
        <f>IFERROR(__xludf.DUMMYFUNCTION("""COMPUTED_VALUE"""),"KYAI KONTONG")</f>
        <v>KYAI KONTONG</v>
      </c>
      <c r="D2189" s="186">
        <f>IFERROR(__xludf.DUMMYFUNCTION("""COMPUTED_VALUE"""),16.0)</f>
        <v>16</v>
      </c>
    </row>
    <row r="2190">
      <c r="A2190" s="178" t="str">
        <f>IFERROR(__xludf.DUMMYFUNCTION("""COMPUTED_VALUE"""),"ITBISA-ABC-BATERAI-AAA-ALKALINE")</f>
        <v>ITBISA-ABC-BATERAI-AAA-ALKALINE</v>
      </c>
      <c r="B2190" s="266">
        <f>IFERROR(__xludf.DUMMYFUNCTION("""COMPUTED_VALUE"""),45482.0)</f>
        <v>45482</v>
      </c>
      <c r="C2190" s="266" t="str">
        <f>IFERROR(__xludf.DUMMYFUNCTION("""COMPUTED_VALUE"""),"KYAI KONTONG")</f>
        <v>KYAI KONTONG</v>
      </c>
      <c r="D2190" s="186">
        <f>IFERROR(__xludf.DUMMYFUNCTION("""COMPUTED_VALUE"""),4.0)</f>
        <v>4</v>
      </c>
    </row>
    <row r="2191">
      <c r="A2191" s="178" t="str">
        <f>IFERROR(__xludf.DUMMYFUNCTION("""COMPUTED_VALUE"""),"ITBISA-ABC-BATERAI-AAA-ALKALINE")</f>
        <v>ITBISA-ABC-BATERAI-AAA-ALKALINE</v>
      </c>
      <c r="B2191" s="266">
        <f>IFERROR(__xludf.DUMMYFUNCTION("""COMPUTED_VALUE"""),45483.0)</f>
        <v>45483</v>
      </c>
      <c r="C2191" s="266" t="str">
        <f>IFERROR(__xludf.DUMMYFUNCTION("""COMPUTED_VALUE"""),"KERTASARI CIAMIS")</f>
        <v>KERTASARI CIAMIS</v>
      </c>
      <c r="D2191" s="186">
        <f>IFERROR(__xludf.DUMMYFUNCTION("""COMPUTED_VALUE"""),48.0)</f>
        <v>48</v>
      </c>
    </row>
    <row r="2192">
      <c r="A2192" s="178" t="str">
        <f>IFERROR(__xludf.DUMMYFUNCTION("""COMPUTED_VALUE"""),"ITBISA-ABC-BATERAI-AAA-ALKALINE")</f>
        <v>ITBISA-ABC-BATERAI-AAA-ALKALINE</v>
      </c>
      <c r="B2192" s="266">
        <f>IFERROR(__xludf.DUMMYFUNCTION("""COMPUTED_VALUE"""),45483.0)</f>
        <v>45483</v>
      </c>
      <c r="C2192" s="266" t="str">
        <f>IFERROR(__xludf.DUMMYFUNCTION("""COMPUTED_VALUE"""),"KYAI KONTONG")</f>
        <v>KYAI KONTONG</v>
      </c>
      <c r="D2192" s="186">
        <f>IFERROR(__xludf.DUMMYFUNCTION("""COMPUTED_VALUE"""),40.0)</f>
        <v>40</v>
      </c>
    </row>
    <row r="2193">
      <c r="A2193" s="178" t="str">
        <f>IFERROR(__xludf.DUMMYFUNCTION("""COMPUTED_VALUE"""),"ITBISA-ABC-BATERAI-AAA-ALKALINE")</f>
        <v>ITBISA-ABC-BATERAI-AAA-ALKALINE</v>
      </c>
      <c r="B2193" s="266">
        <f>IFERROR(__xludf.DUMMYFUNCTION("""COMPUTED_VALUE"""),45484.0)</f>
        <v>45484</v>
      </c>
      <c r="C2193" s="266" t="str">
        <f>IFERROR(__xludf.DUMMYFUNCTION("""COMPUTED_VALUE"""),"KYAI KONTONG")</f>
        <v>KYAI KONTONG</v>
      </c>
      <c r="D2193" s="186">
        <f>IFERROR(__xludf.DUMMYFUNCTION("""COMPUTED_VALUE"""),8.0)</f>
        <v>8</v>
      </c>
    </row>
    <row r="2194">
      <c r="A2194" s="178" t="str">
        <f>IFERROR(__xludf.DUMMYFUNCTION("""COMPUTED_VALUE"""),"ITBISA-ABC-BATERAI-AAA-ALKALINE")</f>
        <v>ITBISA-ABC-BATERAI-AAA-ALKALINE</v>
      </c>
      <c r="B2194" s="266">
        <f>IFERROR(__xludf.DUMMYFUNCTION("""COMPUTED_VALUE"""),45484.0)</f>
        <v>45484</v>
      </c>
      <c r="C2194" s="266" t="str">
        <f>IFERROR(__xludf.DUMMYFUNCTION("""COMPUTED_VALUE"""),"KYAI KONTONG")</f>
        <v>KYAI KONTONG</v>
      </c>
      <c r="D2194" s="186">
        <f>IFERROR(__xludf.DUMMYFUNCTION("""COMPUTED_VALUE"""),32.0)</f>
        <v>32</v>
      </c>
    </row>
    <row r="2195">
      <c r="A2195" s="178" t="str">
        <f>IFERROR(__xludf.DUMMYFUNCTION("""COMPUTED_VALUE"""),"ITBISA-ABC-BATERAI-AAA-ALKALINE")</f>
        <v>ITBISA-ABC-BATERAI-AAA-ALKALINE</v>
      </c>
      <c r="B2195" s="266">
        <f>IFERROR(__xludf.DUMMYFUNCTION("""COMPUTED_VALUE"""),45486.0)</f>
        <v>45486</v>
      </c>
      <c r="C2195" s="266" t="str">
        <f>IFERROR(__xludf.DUMMYFUNCTION("""COMPUTED_VALUE"""),"KERTASARI CIAMIS")</f>
        <v>KERTASARI CIAMIS</v>
      </c>
      <c r="D2195" s="186">
        <f>IFERROR(__xludf.DUMMYFUNCTION("""COMPUTED_VALUE"""),8.0)</f>
        <v>8</v>
      </c>
    </row>
    <row r="2196">
      <c r="A2196" s="178" t="str">
        <f>IFERROR(__xludf.DUMMYFUNCTION("""COMPUTED_VALUE"""),"ITBISA-ABC-BATERAI-AAA-ALKALINE")</f>
        <v>ITBISA-ABC-BATERAI-AAA-ALKALINE</v>
      </c>
      <c r="B2196" s="266">
        <f>IFERROR(__xludf.DUMMYFUNCTION("""COMPUTED_VALUE"""),45486.0)</f>
        <v>45486</v>
      </c>
      <c r="C2196" s="266" t="str">
        <f>IFERROR(__xludf.DUMMYFUNCTION("""COMPUTED_VALUE"""),"KERTASARI CIAMIS")</f>
        <v>KERTASARI CIAMIS</v>
      </c>
      <c r="D2196" s="186">
        <f>IFERROR(__xludf.DUMMYFUNCTION("""COMPUTED_VALUE"""),24.0)</f>
        <v>24</v>
      </c>
    </row>
    <row r="2197">
      <c r="A2197" s="178" t="str">
        <f>IFERROR(__xludf.DUMMYFUNCTION("""COMPUTED_VALUE"""),"ITBISA-ABC-BATERAI-AAA-ALKALINE")</f>
        <v>ITBISA-ABC-BATERAI-AAA-ALKALINE</v>
      </c>
      <c r="B2197" s="266">
        <f>IFERROR(__xludf.DUMMYFUNCTION("""COMPUTED_VALUE"""),45488.0)</f>
        <v>45488</v>
      </c>
      <c r="C2197" s="266" t="str">
        <f>IFERROR(__xludf.DUMMYFUNCTION("""COMPUTED_VALUE"""),"KERTASARI CIAMIS")</f>
        <v>KERTASARI CIAMIS</v>
      </c>
      <c r="D2197" s="186">
        <f>IFERROR(__xludf.DUMMYFUNCTION("""COMPUTED_VALUE"""),6.0)</f>
        <v>6</v>
      </c>
    </row>
    <row r="2198">
      <c r="A2198" s="178" t="str">
        <f>IFERROR(__xludf.DUMMYFUNCTION("""COMPUTED_VALUE"""),"ITBISA-ABC-BATERAI-AAA-ALKALINE")</f>
        <v>ITBISA-ABC-BATERAI-AAA-ALKALINE</v>
      </c>
      <c r="B2198" s="266">
        <f>IFERROR(__xludf.DUMMYFUNCTION("""COMPUTED_VALUE"""),45488.0)</f>
        <v>45488</v>
      </c>
      <c r="C2198" s="266" t="str">
        <f>IFERROR(__xludf.DUMMYFUNCTION("""COMPUTED_VALUE"""),"KYAI KONTONG")</f>
        <v>KYAI KONTONG</v>
      </c>
      <c r="D2198" s="186">
        <f>IFERROR(__xludf.DUMMYFUNCTION("""COMPUTED_VALUE"""),2.0)</f>
        <v>2</v>
      </c>
    </row>
    <row r="2199">
      <c r="A2199" s="178" t="str">
        <f>IFERROR(__xludf.DUMMYFUNCTION("""COMPUTED_VALUE"""),"ITBISA-ABC-BATERAI-AAA-ALKALINE")</f>
        <v>ITBISA-ABC-BATERAI-AAA-ALKALINE</v>
      </c>
      <c r="B2199" s="266">
        <f>IFERROR(__xludf.DUMMYFUNCTION("""COMPUTED_VALUE"""),45488.0)</f>
        <v>45488</v>
      </c>
      <c r="C2199" s="266" t="str">
        <f>IFERROR(__xludf.DUMMYFUNCTION("""COMPUTED_VALUE"""),"KYAI KONTONG")</f>
        <v>KYAI KONTONG</v>
      </c>
      <c r="D2199" s="186">
        <f>IFERROR(__xludf.DUMMYFUNCTION("""COMPUTED_VALUE"""),8.0)</f>
        <v>8</v>
      </c>
    </row>
    <row r="2200">
      <c r="A2200" s="178" t="str">
        <f>IFERROR(__xludf.DUMMYFUNCTION("""COMPUTED_VALUE"""),"ITBISA-ABC-BATERAI-AAA-ALKALINE")</f>
        <v>ITBISA-ABC-BATERAI-AAA-ALKALINE</v>
      </c>
      <c r="B2200" s="266">
        <f>IFERROR(__xludf.DUMMYFUNCTION("""COMPUTED_VALUE"""),45488.0)</f>
        <v>45488</v>
      </c>
      <c r="C2200" s="266" t="str">
        <f>IFERROR(__xludf.DUMMYFUNCTION("""COMPUTED_VALUE"""),"KYAI KONTONG")</f>
        <v>KYAI KONTONG</v>
      </c>
      <c r="D2200" s="186">
        <f>IFERROR(__xludf.DUMMYFUNCTION("""COMPUTED_VALUE"""),8.0)</f>
        <v>8</v>
      </c>
    </row>
    <row r="2201">
      <c r="A2201" s="178" t="str">
        <f>IFERROR(__xludf.DUMMYFUNCTION("""COMPUTED_VALUE"""),"ITBISA-ABC-BATERAI-AAA-ALKALINE")</f>
        <v>ITBISA-ABC-BATERAI-AAA-ALKALINE</v>
      </c>
      <c r="B2201" s="266">
        <f>IFERROR(__xludf.DUMMYFUNCTION("""COMPUTED_VALUE"""),45489.0)</f>
        <v>45489</v>
      </c>
      <c r="C2201" s="266" t="str">
        <f>IFERROR(__xludf.DUMMYFUNCTION("""COMPUTED_VALUE"""),"KYAI KONTONG")</f>
        <v>KYAI KONTONG</v>
      </c>
      <c r="D2201" s="186">
        <f>IFERROR(__xludf.DUMMYFUNCTION("""COMPUTED_VALUE"""),8.0)</f>
        <v>8</v>
      </c>
    </row>
    <row r="2202">
      <c r="A2202" s="178" t="str">
        <f>IFERROR(__xludf.DUMMYFUNCTION("""COMPUTED_VALUE"""),"ITBISA-ABC-BATERAI-AAA-ALKALINE")</f>
        <v>ITBISA-ABC-BATERAI-AAA-ALKALINE</v>
      </c>
      <c r="B2202" s="266">
        <f>IFERROR(__xludf.DUMMYFUNCTION("""COMPUTED_VALUE"""),45489.0)</f>
        <v>45489</v>
      </c>
      <c r="C2202" s="266" t="str">
        <f>IFERROR(__xludf.DUMMYFUNCTION("""COMPUTED_VALUE"""),"KYAI KONTONG")</f>
        <v>KYAI KONTONG</v>
      </c>
      <c r="D2202" s="186">
        <f>IFERROR(__xludf.DUMMYFUNCTION("""COMPUTED_VALUE"""),8.0)</f>
        <v>8</v>
      </c>
    </row>
    <row r="2203">
      <c r="A2203" s="178" t="str">
        <f>IFERROR(__xludf.DUMMYFUNCTION("""COMPUTED_VALUE"""),"ITBISA-ABC-BATERAI-AAA-ALKALINE")</f>
        <v>ITBISA-ABC-BATERAI-AAA-ALKALINE</v>
      </c>
      <c r="B2203" s="266">
        <f>IFERROR(__xludf.DUMMYFUNCTION("""COMPUTED_VALUE"""),45491.0)</f>
        <v>45491</v>
      </c>
      <c r="C2203" s="266" t="str">
        <f>IFERROR(__xludf.DUMMYFUNCTION("""COMPUTED_VALUE"""),"KERTASARI CIAMIS")</f>
        <v>KERTASARI CIAMIS</v>
      </c>
      <c r="D2203" s="186">
        <f>IFERROR(__xludf.DUMMYFUNCTION("""COMPUTED_VALUE"""),6.0)</f>
        <v>6</v>
      </c>
    </row>
    <row r="2204">
      <c r="A2204" s="178" t="str">
        <f>IFERROR(__xludf.DUMMYFUNCTION("""COMPUTED_VALUE"""),"ITBISA-ABC-BATERAI-AAA-ALKALINE")</f>
        <v>ITBISA-ABC-BATERAI-AAA-ALKALINE</v>
      </c>
      <c r="B2204" s="266">
        <f>IFERROR(__xludf.DUMMYFUNCTION("""COMPUTED_VALUE"""),45491.0)</f>
        <v>45491</v>
      </c>
      <c r="C2204" s="266" t="str">
        <f>IFERROR(__xludf.DUMMYFUNCTION("""COMPUTED_VALUE"""),"KYAI KONTONG")</f>
        <v>KYAI KONTONG</v>
      </c>
      <c r="D2204" s="186">
        <f>IFERROR(__xludf.DUMMYFUNCTION("""COMPUTED_VALUE"""),6.0)</f>
        <v>6</v>
      </c>
    </row>
    <row r="2205">
      <c r="A2205" s="178" t="str">
        <f>IFERROR(__xludf.DUMMYFUNCTION("""COMPUTED_VALUE"""),"ITBISA-ABC-BATERAI-AAA-ALKALINE")</f>
        <v>ITBISA-ABC-BATERAI-AAA-ALKALINE</v>
      </c>
      <c r="B2205" s="266">
        <f>IFERROR(__xludf.DUMMYFUNCTION("""COMPUTED_VALUE"""),45491.0)</f>
        <v>45491</v>
      </c>
      <c r="C2205" s="266" t="str">
        <f>IFERROR(__xludf.DUMMYFUNCTION("""COMPUTED_VALUE"""),"KYAI KONTONG")</f>
        <v>KYAI KONTONG</v>
      </c>
      <c r="D2205" s="186">
        <f>IFERROR(__xludf.DUMMYFUNCTION("""COMPUTED_VALUE"""),8.0)</f>
        <v>8</v>
      </c>
    </row>
    <row r="2206">
      <c r="A2206" s="178" t="str">
        <f>IFERROR(__xludf.DUMMYFUNCTION("""COMPUTED_VALUE"""),"ITBISA-ABC-BATERAI-AAA-ALKALINE")</f>
        <v>ITBISA-ABC-BATERAI-AAA-ALKALINE</v>
      </c>
      <c r="B2206" s="266">
        <f>IFERROR(__xludf.DUMMYFUNCTION("""COMPUTED_VALUE"""),45493.0)</f>
        <v>45493</v>
      </c>
      <c r="C2206" s="266" t="str">
        <f>IFERROR(__xludf.DUMMYFUNCTION("""COMPUTED_VALUE"""),"KERTASARI CIAMIS")</f>
        <v>KERTASARI CIAMIS</v>
      </c>
      <c r="D2206" s="186">
        <f>IFERROR(__xludf.DUMMYFUNCTION("""COMPUTED_VALUE"""),12.0)</f>
        <v>12</v>
      </c>
    </row>
    <row r="2207">
      <c r="A2207" s="178" t="str">
        <f>IFERROR(__xludf.DUMMYFUNCTION("""COMPUTED_VALUE"""),"ITBISA-ABC-BATERAI-AAA-ALKALINE")</f>
        <v>ITBISA-ABC-BATERAI-AAA-ALKALINE</v>
      </c>
      <c r="B2207" s="266">
        <f>IFERROR(__xludf.DUMMYFUNCTION("""COMPUTED_VALUE"""),45493.0)</f>
        <v>45493</v>
      </c>
      <c r="C2207" s="266" t="str">
        <f>IFERROR(__xludf.DUMMYFUNCTION("""COMPUTED_VALUE"""),"KERTASARI CIAMIS")</f>
        <v>KERTASARI CIAMIS</v>
      </c>
      <c r="D2207" s="186">
        <f>IFERROR(__xludf.DUMMYFUNCTION("""COMPUTED_VALUE"""),60.0)</f>
        <v>60</v>
      </c>
    </row>
    <row r="2208">
      <c r="A2208" s="178" t="str">
        <f>IFERROR(__xludf.DUMMYFUNCTION("""COMPUTED_VALUE"""),"ITBISA-ABC-BATERAI-AAA-ALKALINE")</f>
        <v>ITBISA-ABC-BATERAI-AAA-ALKALINE</v>
      </c>
      <c r="B2208" s="266">
        <f>IFERROR(__xludf.DUMMYFUNCTION("""COMPUTED_VALUE"""),45493.0)</f>
        <v>45493</v>
      </c>
      <c r="C2208" s="266" t="str">
        <f>IFERROR(__xludf.DUMMYFUNCTION("""COMPUTED_VALUE"""),"KYAI KONTONG")</f>
        <v>KYAI KONTONG</v>
      </c>
      <c r="D2208" s="186">
        <f>IFERROR(__xludf.DUMMYFUNCTION("""COMPUTED_VALUE"""),8.0)</f>
        <v>8</v>
      </c>
    </row>
    <row r="2209">
      <c r="A2209" s="178" t="str">
        <f>IFERROR(__xludf.DUMMYFUNCTION("""COMPUTED_VALUE"""),"ITBISA-ABC-BATERAI-AAA-ALKALINE")</f>
        <v>ITBISA-ABC-BATERAI-AAA-ALKALINE</v>
      </c>
      <c r="B2209" s="266">
        <f>IFERROR(__xludf.DUMMYFUNCTION("""COMPUTED_VALUE"""),45494.0)</f>
        <v>45494</v>
      </c>
      <c r="C2209" s="266" t="str">
        <f>IFERROR(__xludf.DUMMYFUNCTION("""COMPUTED_VALUE"""),"KERTASARI CIAMIS")</f>
        <v>KERTASARI CIAMIS</v>
      </c>
      <c r="D2209" s="186">
        <f>IFERROR(__xludf.DUMMYFUNCTION("""COMPUTED_VALUE"""),12.0)</f>
        <v>12</v>
      </c>
    </row>
    <row r="2210">
      <c r="A2210" s="178" t="str">
        <f>IFERROR(__xludf.DUMMYFUNCTION("""COMPUTED_VALUE"""),"ITBISA-ABC-BATERAI-AAA-ALKALINE")</f>
        <v>ITBISA-ABC-BATERAI-AAA-ALKALINE</v>
      </c>
      <c r="B2210" s="266">
        <f>IFERROR(__xludf.DUMMYFUNCTION("""COMPUTED_VALUE"""),45495.0)</f>
        <v>45495</v>
      </c>
      <c r="C2210" s="266" t="str">
        <f>IFERROR(__xludf.DUMMYFUNCTION("""COMPUTED_VALUE"""),"KERTASARI CIAMIS")</f>
        <v>KERTASARI CIAMIS</v>
      </c>
      <c r="D2210" s="186">
        <f>IFERROR(__xludf.DUMMYFUNCTION("""COMPUTED_VALUE"""),6.0)</f>
        <v>6</v>
      </c>
    </row>
    <row r="2211">
      <c r="A2211" s="178" t="str">
        <f>IFERROR(__xludf.DUMMYFUNCTION("""COMPUTED_VALUE"""),"ITBISA-ABC-BATERAI-AAA-ALKALINE")</f>
        <v>ITBISA-ABC-BATERAI-AAA-ALKALINE</v>
      </c>
      <c r="B2211" s="266">
        <f>IFERROR(__xludf.DUMMYFUNCTION("""COMPUTED_VALUE"""),45497.0)</f>
        <v>45497</v>
      </c>
      <c r="C2211" s="266" t="str">
        <f>IFERROR(__xludf.DUMMYFUNCTION("""COMPUTED_VALUE"""),"KERTASARI CIAMIS")</f>
        <v>KERTASARI CIAMIS</v>
      </c>
      <c r="D2211" s="186">
        <f>IFERROR(__xludf.DUMMYFUNCTION("""COMPUTED_VALUE"""),6.0)</f>
        <v>6</v>
      </c>
    </row>
    <row r="2212">
      <c r="A2212" s="178" t="str">
        <f>IFERROR(__xludf.DUMMYFUNCTION("""COMPUTED_VALUE"""),"ITBISA-ABC-BATERAI-AAA-ALKALINE")</f>
        <v>ITBISA-ABC-BATERAI-AAA-ALKALINE</v>
      </c>
      <c r="B2212" s="266">
        <f>IFERROR(__xludf.DUMMYFUNCTION("""COMPUTED_VALUE"""),45498.0)</f>
        <v>45498</v>
      </c>
      <c r="C2212" s="266" t="str">
        <f>IFERROR(__xludf.DUMMYFUNCTION("""COMPUTED_VALUE"""),"KERTASARI CIAMIS")</f>
        <v>KERTASARI CIAMIS</v>
      </c>
      <c r="D2212" s="186">
        <f>IFERROR(__xludf.DUMMYFUNCTION("""COMPUTED_VALUE"""),6.0)</f>
        <v>6</v>
      </c>
    </row>
    <row r="2213">
      <c r="A2213" s="178" t="str">
        <f>IFERROR(__xludf.DUMMYFUNCTION("""COMPUTED_VALUE"""),"ITBISA-ABC-BATERAI-AAA-ALKALINE")</f>
        <v>ITBISA-ABC-BATERAI-AAA-ALKALINE</v>
      </c>
      <c r="B2213" s="266">
        <f>IFERROR(__xludf.DUMMYFUNCTION("""COMPUTED_VALUE"""),45499.0)</f>
        <v>45499</v>
      </c>
      <c r="C2213" s="266" t="str">
        <f>IFERROR(__xludf.DUMMYFUNCTION("""COMPUTED_VALUE"""),"KERTASARI CIAMIS")</f>
        <v>KERTASARI CIAMIS</v>
      </c>
      <c r="D2213" s="186">
        <f>IFERROR(__xludf.DUMMYFUNCTION("""COMPUTED_VALUE"""),3.0)</f>
        <v>3</v>
      </c>
    </row>
    <row r="2214">
      <c r="A2214" s="178" t="str">
        <f>IFERROR(__xludf.DUMMYFUNCTION("""COMPUTED_VALUE"""),"ITBISA-ABC-BATERAI-AAA-ALKALINE")</f>
        <v>ITBISA-ABC-BATERAI-AAA-ALKALINE</v>
      </c>
      <c r="B2214" s="266">
        <f>IFERROR(__xludf.DUMMYFUNCTION("""COMPUTED_VALUE"""),45499.0)</f>
        <v>45499</v>
      </c>
      <c r="C2214" s="266" t="str">
        <f>IFERROR(__xludf.DUMMYFUNCTION("""COMPUTED_VALUE"""),"KYAI KONTONG")</f>
        <v>KYAI KONTONG</v>
      </c>
      <c r="D2214" s="186">
        <f>IFERROR(__xludf.DUMMYFUNCTION("""COMPUTED_VALUE"""),4.0)</f>
        <v>4</v>
      </c>
    </row>
    <row r="2215">
      <c r="A2215" s="178" t="str">
        <f>IFERROR(__xludf.DUMMYFUNCTION("""COMPUTED_VALUE"""),"ITBISA-ABC-BATERAI-AAA-ALKALINE")</f>
        <v>ITBISA-ABC-BATERAI-AAA-ALKALINE</v>
      </c>
      <c r="B2215" s="266">
        <f>IFERROR(__xludf.DUMMYFUNCTION("""COMPUTED_VALUE"""),45499.0)</f>
        <v>45499</v>
      </c>
      <c r="C2215" s="266" t="str">
        <f>IFERROR(__xludf.DUMMYFUNCTION("""COMPUTED_VALUE"""),"KYAI KONTONG")</f>
        <v>KYAI KONTONG</v>
      </c>
      <c r="D2215" s="186">
        <f>IFERROR(__xludf.DUMMYFUNCTION("""COMPUTED_VALUE"""),8.0)</f>
        <v>8</v>
      </c>
    </row>
    <row r="2216">
      <c r="A2216" s="178" t="str">
        <f>IFERROR(__xludf.DUMMYFUNCTION("""COMPUTED_VALUE"""),"ITBISA-ABC-BATERAI-AAA-ALKALINE")</f>
        <v>ITBISA-ABC-BATERAI-AAA-ALKALINE</v>
      </c>
      <c r="B2216" s="266">
        <f>IFERROR(__xludf.DUMMYFUNCTION("""COMPUTED_VALUE"""),45499.0)</f>
        <v>45499</v>
      </c>
      <c r="C2216" s="266" t="str">
        <f>IFERROR(__xludf.DUMMYFUNCTION("""COMPUTED_VALUE"""),"KYAI KONTONG")</f>
        <v>KYAI KONTONG</v>
      </c>
      <c r="D2216" s="186">
        <f>IFERROR(__xludf.DUMMYFUNCTION("""COMPUTED_VALUE"""),8.0)</f>
        <v>8</v>
      </c>
    </row>
    <row r="2217">
      <c r="A2217" s="178" t="str">
        <f>IFERROR(__xludf.DUMMYFUNCTION("""COMPUTED_VALUE"""),"ITBISA-ABC-BATERAI-AAA-ALKALINE")</f>
        <v>ITBISA-ABC-BATERAI-AAA-ALKALINE</v>
      </c>
      <c r="B2217" s="266">
        <f>IFERROR(__xludf.DUMMYFUNCTION("""COMPUTED_VALUE"""),45500.0)</f>
        <v>45500</v>
      </c>
      <c r="C2217" s="266" t="str">
        <f>IFERROR(__xludf.DUMMYFUNCTION("""COMPUTED_VALUE"""),"KYAI KONTONG")</f>
        <v>KYAI KONTONG</v>
      </c>
      <c r="D2217" s="186">
        <f>IFERROR(__xludf.DUMMYFUNCTION("""COMPUTED_VALUE"""),16.0)</f>
        <v>16</v>
      </c>
    </row>
    <row r="2218">
      <c r="A2218" s="178" t="str">
        <f>IFERROR(__xludf.DUMMYFUNCTION("""COMPUTED_VALUE"""),"ITBISA-ABC-BATERAI-AAA-ALKALINE")</f>
        <v>ITBISA-ABC-BATERAI-AAA-ALKALINE</v>
      </c>
      <c r="B2218" s="266">
        <f>IFERROR(__xludf.DUMMYFUNCTION("""COMPUTED_VALUE"""),45502.0)</f>
        <v>45502</v>
      </c>
      <c r="C2218" s="266" t="str">
        <f>IFERROR(__xludf.DUMMYFUNCTION("""COMPUTED_VALUE"""),"KYAI KONTONG")</f>
        <v>KYAI KONTONG</v>
      </c>
      <c r="D2218" s="186">
        <f>IFERROR(__xludf.DUMMYFUNCTION("""COMPUTED_VALUE"""),8.0)</f>
        <v>8</v>
      </c>
    </row>
    <row r="2219">
      <c r="A2219" s="178" t="str">
        <f>IFERROR(__xludf.DUMMYFUNCTION("""COMPUTED_VALUE"""),"ITBISA-ABC-BATERAI-AAA-ALKALINE")</f>
        <v>ITBISA-ABC-BATERAI-AAA-ALKALINE</v>
      </c>
      <c r="B2219" s="266">
        <f>IFERROR(__xludf.DUMMYFUNCTION("""COMPUTED_VALUE"""),45504.0)</f>
        <v>45504</v>
      </c>
      <c r="C2219" s="266" t="str">
        <f>IFERROR(__xludf.DUMMYFUNCTION("""COMPUTED_VALUE"""),"KERTASARI CIAMIS")</f>
        <v>KERTASARI CIAMIS</v>
      </c>
      <c r="D2219" s="186">
        <f>IFERROR(__xludf.DUMMYFUNCTION("""COMPUTED_VALUE"""),6.0)</f>
        <v>6</v>
      </c>
    </row>
    <row r="2220">
      <c r="A2220" s="178" t="str">
        <f>IFERROR(__xludf.DUMMYFUNCTION("""COMPUTED_VALUE"""),"ITBISA-ABC-BATERAI-AAA-ALKALINE")</f>
        <v>ITBISA-ABC-BATERAI-AAA-ALKALINE</v>
      </c>
      <c r="B2220" s="266">
        <f>IFERROR(__xludf.DUMMYFUNCTION("""COMPUTED_VALUE"""),45504.0)</f>
        <v>45504</v>
      </c>
      <c r="C2220" s="266" t="str">
        <f>IFERROR(__xludf.DUMMYFUNCTION("""COMPUTED_VALUE"""),"KYAI KONTONG")</f>
        <v>KYAI KONTONG</v>
      </c>
      <c r="D2220" s="186">
        <f>IFERROR(__xludf.DUMMYFUNCTION("""COMPUTED_VALUE"""),12.0)</f>
        <v>12</v>
      </c>
    </row>
    <row r="2221">
      <c r="A2221" s="178" t="str">
        <f>IFERROR(__xludf.DUMMYFUNCTION("""COMPUTED_VALUE"""),"ITBISA-ABC-BATERAI-AAA-ALKALINE")</f>
        <v>ITBISA-ABC-BATERAI-AAA-ALKALINE</v>
      </c>
      <c r="B2221" s="266">
        <f>IFERROR(__xludf.DUMMYFUNCTION("""COMPUTED_VALUE"""),45504.0)</f>
        <v>45504</v>
      </c>
      <c r="C2221" s="266" t="str">
        <f>IFERROR(__xludf.DUMMYFUNCTION("""COMPUTED_VALUE"""),"KYAI KONTONG")</f>
        <v>KYAI KONTONG</v>
      </c>
      <c r="D2221" s="186">
        <f>IFERROR(__xludf.DUMMYFUNCTION("""COMPUTED_VALUE"""),24.0)</f>
        <v>24</v>
      </c>
    </row>
    <row r="2222">
      <c r="A2222" s="178" t="str">
        <f>IFERROR(__xludf.DUMMYFUNCTION("""COMPUTED_VALUE"""),"ITBISA-ABC-BATERAI-AAA-ALKALINE")</f>
        <v>ITBISA-ABC-BATERAI-AAA-ALKALINE</v>
      </c>
      <c r="B2222" s="266">
        <f>IFERROR(__xludf.DUMMYFUNCTION("""COMPUTED_VALUE"""),45505.0)</f>
        <v>45505</v>
      </c>
      <c r="C2222" s="266" t="str">
        <f>IFERROR(__xludf.DUMMYFUNCTION("""COMPUTED_VALUE"""),"KYAI KONTONG")</f>
        <v>KYAI KONTONG</v>
      </c>
      <c r="D2222" s="186">
        <f>IFERROR(__xludf.DUMMYFUNCTION("""COMPUTED_VALUE"""),8.0)</f>
        <v>8</v>
      </c>
    </row>
    <row r="2223">
      <c r="A2223" s="178" t="str">
        <f>IFERROR(__xludf.DUMMYFUNCTION("""COMPUTED_VALUE"""),"ITBISA-ABC-BATERAI-AAA-ALKALINE")</f>
        <v>ITBISA-ABC-BATERAI-AAA-ALKALINE</v>
      </c>
      <c r="B2223" s="266">
        <f>IFERROR(__xludf.DUMMYFUNCTION("""COMPUTED_VALUE"""),45506.0)</f>
        <v>45506</v>
      </c>
      <c r="C2223" s="266" t="str">
        <f>IFERROR(__xludf.DUMMYFUNCTION("""COMPUTED_VALUE"""),"KYAI KONTONG")</f>
        <v>KYAI KONTONG</v>
      </c>
      <c r="D2223" s="186">
        <f>IFERROR(__xludf.DUMMYFUNCTION("""COMPUTED_VALUE"""),8.0)</f>
        <v>8</v>
      </c>
    </row>
    <row r="2224">
      <c r="A2224" s="178" t="str">
        <f>IFERROR(__xludf.DUMMYFUNCTION("""COMPUTED_VALUE"""),"ITBISA-ABC-BATERAI-AAA-ALKALINE")</f>
        <v>ITBISA-ABC-BATERAI-AAA-ALKALINE</v>
      </c>
      <c r="B2224" s="266">
        <f>IFERROR(__xludf.DUMMYFUNCTION("""COMPUTED_VALUE"""),45508.0)</f>
        <v>45508</v>
      </c>
      <c r="C2224" s="266" t="str">
        <f>IFERROR(__xludf.DUMMYFUNCTION("""COMPUTED_VALUE"""),"KYAI KONTONG")</f>
        <v>KYAI KONTONG</v>
      </c>
      <c r="D2224" s="186">
        <f>IFERROR(__xludf.DUMMYFUNCTION("""COMPUTED_VALUE"""),8.0)</f>
        <v>8</v>
      </c>
    </row>
    <row r="2225">
      <c r="A2225" s="178" t="str">
        <f>IFERROR(__xludf.DUMMYFUNCTION("""COMPUTED_VALUE"""),"ITBISA-ABC-BATERAI-AAA-ALKALINE")</f>
        <v>ITBISA-ABC-BATERAI-AAA-ALKALINE</v>
      </c>
      <c r="B2225" s="266">
        <f>IFERROR(__xludf.DUMMYFUNCTION("""COMPUTED_VALUE"""),45508.0)</f>
        <v>45508</v>
      </c>
      <c r="C2225" s="266" t="str">
        <f>IFERROR(__xludf.DUMMYFUNCTION("""COMPUTED_VALUE"""),"KYAI KONTONG")</f>
        <v>KYAI KONTONG</v>
      </c>
      <c r="D2225" s="186">
        <f>IFERROR(__xludf.DUMMYFUNCTION("""COMPUTED_VALUE"""),8.0)</f>
        <v>8</v>
      </c>
    </row>
    <row r="2226">
      <c r="A2226" s="178" t="str">
        <f>IFERROR(__xludf.DUMMYFUNCTION("""COMPUTED_VALUE"""),"ITBISA-ABC-BATERAI-AAA-ALKALINE")</f>
        <v>ITBISA-ABC-BATERAI-AAA-ALKALINE</v>
      </c>
      <c r="B2226" s="266">
        <f>IFERROR(__xludf.DUMMYFUNCTION("""COMPUTED_VALUE"""),45509.0)</f>
        <v>45509</v>
      </c>
      <c r="C2226" s="266" t="str">
        <f>IFERROR(__xludf.DUMMYFUNCTION("""COMPUTED_VALUE"""),"KYAI KONTONG")</f>
        <v>KYAI KONTONG</v>
      </c>
      <c r="D2226" s="186">
        <f>IFERROR(__xludf.DUMMYFUNCTION("""COMPUTED_VALUE"""),8.0)</f>
        <v>8</v>
      </c>
    </row>
    <row r="2227">
      <c r="A2227" s="178" t="str">
        <f>IFERROR(__xludf.DUMMYFUNCTION("""COMPUTED_VALUE"""),"ITBISA-ABC-BATERAI-AAA-ALKALINE")</f>
        <v>ITBISA-ABC-BATERAI-AAA-ALKALINE</v>
      </c>
      <c r="B2227" s="266">
        <f>IFERROR(__xludf.DUMMYFUNCTION("""COMPUTED_VALUE"""),45509.0)</f>
        <v>45509</v>
      </c>
      <c r="C2227" s="266" t="str">
        <f>IFERROR(__xludf.DUMMYFUNCTION("""COMPUTED_VALUE"""),"KYAI KONTONG")</f>
        <v>KYAI KONTONG</v>
      </c>
      <c r="D2227" s="186">
        <f>IFERROR(__xludf.DUMMYFUNCTION("""COMPUTED_VALUE"""),12.0)</f>
        <v>12</v>
      </c>
    </row>
    <row r="2228">
      <c r="A2228" s="178" t="str">
        <f>IFERROR(__xludf.DUMMYFUNCTION("""COMPUTED_VALUE"""),"ITBISA-ABC-BATERAI-AAA-ALKALINE")</f>
        <v>ITBISA-ABC-BATERAI-AAA-ALKALINE</v>
      </c>
      <c r="B2228" s="266">
        <f>IFERROR(__xludf.DUMMYFUNCTION("""COMPUTED_VALUE"""),45512.0)</f>
        <v>45512</v>
      </c>
      <c r="C2228" s="266" t="str">
        <f>IFERROR(__xludf.DUMMYFUNCTION("""COMPUTED_VALUE"""),"KERTASARI CIAMIS")</f>
        <v>KERTASARI CIAMIS</v>
      </c>
      <c r="D2228" s="186">
        <f>IFERROR(__xludf.DUMMYFUNCTION("""COMPUTED_VALUE"""),60.0)</f>
        <v>60</v>
      </c>
    </row>
    <row r="2229">
      <c r="A2229" s="178" t="str">
        <f>IFERROR(__xludf.DUMMYFUNCTION("""COMPUTED_VALUE"""),"ITBISA-ABC-BATERAI-AAA-ALKALINE")</f>
        <v>ITBISA-ABC-BATERAI-AAA-ALKALINE</v>
      </c>
      <c r="B2229" s="266">
        <f>IFERROR(__xludf.DUMMYFUNCTION("""COMPUTED_VALUE"""),45512.0)</f>
        <v>45512</v>
      </c>
      <c r="C2229" s="266" t="str">
        <f>IFERROR(__xludf.DUMMYFUNCTION("""COMPUTED_VALUE"""),"KYAI KONTONG")</f>
        <v>KYAI KONTONG</v>
      </c>
      <c r="D2229" s="186">
        <f>IFERROR(__xludf.DUMMYFUNCTION("""COMPUTED_VALUE"""),6.0)</f>
        <v>6</v>
      </c>
    </row>
    <row r="2230">
      <c r="A2230" s="178" t="str">
        <f>IFERROR(__xludf.DUMMYFUNCTION("""COMPUTED_VALUE"""),"ITBISA-ABC-BATERAI-AAA-ALKALINE")</f>
        <v>ITBISA-ABC-BATERAI-AAA-ALKALINE</v>
      </c>
      <c r="B2230" s="266">
        <f>IFERROR(__xludf.DUMMYFUNCTION("""COMPUTED_VALUE"""),45512.0)</f>
        <v>45512</v>
      </c>
      <c r="C2230" s="266" t="str">
        <f>IFERROR(__xludf.DUMMYFUNCTION("""COMPUTED_VALUE"""),"KYAI KONTONG")</f>
        <v>KYAI KONTONG</v>
      </c>
      <c r="D2230" s="186">
        <f>IFERROR(__xludf.DUMMYFUNCTION("""COMPUTED_VALUE"""),8.0)</f>
        <v>8</v>
      </c>
    </row>
    <row r="2231">
      <c r="A2231" s="178" t="str">
        <f>IFERROR(__xludf.DUMMYFUNCTION("""COMPUTED_VALUE"""),"ITBISA-ABC-BATERAI-AAA-ALKALINE")</f>
        <v>ITBISA-ABC-BATERAI-AAA-ALKALINE</v>
      </c>
      <c r="B2231" s="266">
        <f>IFERROR(__xludf.DUMMYFUNCTION("""COMPUTED_VALUE"""),45512.0)</f>
        <v>45512</v>
      </c>
      <c r="C2231" s="266" t="str">
        <f>IFERROR(__xludf.DUMMYFUNCTION("""COMPUTED_VALUE"""),"KYAI KONTONG")</f>
        <v>KYAI KONTONG</v>
      </c>
      <c r="D2231" s="186">
        <f>IFERROR(__xludf.DUMMYFUNCTION("""COMPUTED_VALUE"""),276.0)</f>
        <v>276</v>
      </c>
    </row>
    <row r="2232">
      <c r="A2232" s="178" t="str">
        <f>IFERROR(__xludf.DUMMYFUNCTION("""COMPUTED_VALUE"""),"ITBISA-ABC-BATERAI-AAA-ALKALINE")</f>
        <v>ITBISA-ABC-BATERAI-AAA-ALKALINE</v>
      </c>
      <c r="B2232" s="266">
        <f>IFERROR(__xludf.DUMMYFUNCTION("""COMPUTED_VALUE"""),45513.0)</f>
        <v>45513</v>
      </c>
      <c r="C2232" s="266" t="str">
        <f>IFERROR(__xludf.DUMMYFUNCTION("""COMPUTED_VALUE"""),"KYAI KONTONG")</f>
        <v>KYAI KONTONG</v>
      </c>
      <c r="D2232" s="186">
        <f>IFERROR(__xludf.DUMMYFUNCTION("""COMPUTED_VALUE"""),8.0)</f>
        <v>8</v>
      </c>
    </row>
    <row r="2233">
      <c r="A2233" s="178" t="str">
        <f>IFERROR(__xludf.DUMMYFUNCTION("""COMPUTED_VALUE"""),"ITBISA-ABC-BATERAI-AAA-ALKALINE")</f>
        <v>ITBISA-ABC-BATERAI-AAA-ALKALINE</v>
      </c>
      <c r="B2233" s="266">
        <f>IFERROR(__xludf.DUMMYFUNCTION("""COMPUTED_VALUE"""),45513.0)</f>
        <v>45513</v>
      </c>
      <c r="C2233" s="266" t="str">
        <f>IFERROR(__xludf.DUMMYFUNCTION("""COMPUTED_VALUE"""),"KYAI KONTONG")</f>
        <v>KYAI KONTONG</v>
      </c>
      <c r="D2233" s="186">
        <f>IFERROR(__xludf.DUMMYFUNCTION("""COMPUTED_VALUE"""),8.0)</f>
        <v>8</v>
      </c>
    </row>
    <row r="2234">
      <c r="A2234" s="178" t="str">
        <f>IFERROR(__xludf.DUMMYFUNCTION("""COMPUTED_VALUE"""),"ITBISA-ABC-BATERAI-AAA-ALKALINE")</f>
        <v>ITBISA-ABC-BATERAI-AAA-ALKALINE</v>
      </c>
      <c r="B2234" s="266">
        <f>IFERROR(__xludf.DUMMYFUNCTION("""COMPUTED_VALUE"""),45514.0)</f>
        <v>45514</v>
      </c>
      <c r="C2234" s="266" t="str">
        <f>IFERROR(__xludf.DUMMYFUNCTION("""COMPUTED_VALUE"""),"KYAI KONTONG")</f>
        <v>KYAI KONTONG</v>
      </c>
      <c r="D2234" s="186">
        <f>IFERROR(__xludf.DUMMYFUNCTION("""COMPUTED_VALUE"""),16.0)</f>
        <v>16</v>
      </c>
    </row>
    <row r="2235">
      <c r="A2235" s="178" t="str">
        <f>IFERROR(__xludf.DUMMYFUNCTION("""COMPUTED_VALUE"""),"ITBISA-ABC-BATERAI-AAA-ALKALINE")</f>
        <v>ITBISA-ABC-BATERAI-AAA-ALKALINE</v>
      </c>
      <c r="B2235" s="266">
        <f>IFERROR(__xludf.DUMMYFUNCTION("""COMPUTED_VALUE"""),45514.0)</f>
        <v>45514</v>
      </c>
      <c r="C2235" s="266" t="str">
        <f>IFERROR(__xludf.DUMMYFUNCTION("""COMPUTED_VALUE"""),"KYAI KONTONG")</f>
        <v>KYAI KONTONG</v>
      </c>
      <c r="D2235" s="186">
        <f>IFERROR(__xludf.DUMMYFUNCTION("""COMPUTED_VALUE"""),16.0)</f>
        <v>16</v>
      </c>
    </row>
    <row r="2236">
      <c r="A2236" s="178" t="str">
        <f>IFERROR(__xludf.DUMMYFUNCTION("""COMPUTED_VALUE"""),"ITBISA-ABC-BATERAI-AAA-ALKALINE")</f>
        <v>ITBISA-ABC-BATERAI-AAA-ALKALINE</v>
      </c>
      <c r="B2236" s="266">
        <f>IFERROR(__xludf.DUMMYFUNCTION("""COMPUTED_VALUE"""),45519.0)</f>
        <v>45519</v>
      </c>
      <c r="C2236" s="266" t="str">
        <f>IFERROR(__xludf.DUMMYFUNCTION("""COMPUTED_VALUE"""),"KYAI KONTONG")</f>
        <v>KYAI KONTONG</v>
      </c>
      <c r="D2236" s="186">
        <f>IFERROR(__xludf.DUMMYFUNCTION("""COMPUTED_VALUE"""),10.0)</f>
        <v>10</v>
      </c>
    </row>
    <row r="2237">
      <c r="A2237" s="178" t="str">
        <f>IFERROR(__xludf.DUMMYFUNCTION("""COMPUTED_VALUE"""),"ITBISA-ABC-BATERAI-AAA-ALKALINE")</f>
        <v>ITBISA-ABC-BATERAI-AAA-ALKALINE</v>
      </c>
      <c r="B2237" s="266">
        <f>IFERROR(__xludf.DUMMYFUNCTION("""COMPUTED_VALUE"""),45525.0)</f>
        <v>45525</v>
      </c>
      <c r="C2237" s="266" t="str">
        <f>IFERROR(__xludf.DUMMYFUNCTION("""COMPUTED_VALUE"""),"KYAI KONTONG")</f>
        <v>KYAI KONTONG</v>
      </c>
      <c r="D2237" s="186">
        <f>IFERROR(__xludf.DUMMYFUNCTION("""COMPUTED_VALUE"""),24.0)</f>
        <v>24</v>
      </c>
    </row>
    <row r="2238">
      <c r="A2238" s="178" t="str">
        <f>IFERROR(__xludf.DUMMYFUNCTION("""COMPUTED_VALUE"""),"ITBISA-ABC-BATERAI-AAA-ALKALINE")</f>
        <v>ITBISA-ABC-BATERAI-AAA-ALKALINE</v>
      </c>
      <c r="B2238" s="266">
        <f>IFERROR(__xludf.DUMMYFUNCTION("""COMPUTED_VALUE"""),45526.0)</f>
        <v>45526</v>
      </c>
      <c r="C2238" s="266" t="str">
        <f>IFERROR(__xludf.DUMMYFUNCTION("""COMPUTED_VALUE"""),"KYAI KONTONG")</f>
        <v>KYAI KONTONG</v>
      </c>
      <c r="D2238" s="186">
        <f>IFERROR(__xludf.DUMMYFUNCTION("""COMPUTED_VALUE"""),16.0)</f>
        <v>16</v>
      </c>
    </row>
    <row r="2239">
      <c r="A2239" s="178" t="str">
        <f>IFERROR(__xludf.DUMMYFUNCTION("""COMPUTED_VALUE"""),"ITBISA-ABC-BATERAI-AAA-ALKALINE")</f>
        <v>ITBISA-ABC-BATERAI-AAA-ALKALINE</v>
      </c>
      <c r="B2239" s="266">
        <f>IFERROR(__xludf.DUMMYFUNCTION("""COMPUTED_VALUE"""),45528.0)</f>
        <v>45528</v>
      </c>
      <c r="C2239" s="266" t="str">
        <f>IFERROR(__xludf.DUMMYFUNCTION("""COMPUTED_VALUE"""),"KYAI KONTONG")</f>
        <v>KYAI KONTONG</v>
      </c>
      <c r="D2239" s="186">
        <f>IFERROR(__xludf.DUMMYFUNCTION("""COMPUTED_VALUE"""),16.0)</f>
        <v>16</v>
      </c>
    </row>
    <row r="2240">
      <c r="A2240" s="178" t="str">
        <f>IFERROR(__xludf.DUMMYFUNCTION("""COMPUTED_VALUE"""),"ITBISA-ABC-BATERAI-AAA-ALKALINE")</f>
        <v>ITBISA-ABC-BATERAI-AAA-ALKALINE</v>
      </c>
      <c r="B2240" s="266">
        <f>IFERROR(__xludf.DUMMYFUNCTION("""COMPUTED_VALUE"""),45532.0)</f>
        <v>45532</v>
      </c>
      <c r="C2240" s="266" t="str">
        <f>IFERROR(__xludf.DUMMYFUNCTION("""COMPUTED_VALUE"""),"KYAI KONTONG")</f>
        <v>KYAI KONTONG</v>
      </c>
      <c r="D2240" s="186">
        <f>IFERROR(__xludf.DUMMYFUNCTION("""COMPUTED_VALUE"""),8.0)</f>
        <v>8</v>
      </c>
    </row>
    <row r="2241">
      <c r="A2241" s="178" t="str">
        <f>IFERROR(__xludf.DUMMYFUNCTION("""COMPUTED_VALUE"""),"ITBISA-ABC-BATERAI-AAA-ALKALINE")</f>
        <v>ITBISA-ABC-BATERAI-AAA-ALKALINE</v>
      </c>
      <c r="B2241" s="266">
        <f>IFERROR(__xludf.DUMMYFUNCTION("""COMPUTED_VALUE"""),45535.0)</f>
        <v>45535</v>
      </c>
      <c r="C2241" s="266" t="str">
        <f>IFERROR(__xludf.DUMMYFUNCTION("""COMPUTED_VALUE"""),"KYAI KONTONG")</f>
        <v>KYAI KONTONG</v>
      </c>
      <c r="D2241" s="186">
        <f>IFERROR(__xludf.DUMMYFUNCTION("""COMPUTED_VALUE"""),8.0)</f>
        <v>8</v>
      </c>
    </row>
    <row r="2242">
      <c r="A2242" s="178" t="str">
        <f>IFERROR(__xludf.DUMMYFUNCTION("""COMPUTED_VALUE"""),"ITBISA-ABC-BATERAI-AAA-ALKALINE")</f>
        <v>ITBISA-ABC-BATERAI-AAA-ALKALINE</v>
      </c>
      <c r="B2242" s="266">
        <f>IFERROR(__xludf.DUMMYFUNCTION("""COMPUTED_VALUE"""),45538.0)</f>
        <v>45538</v>
      </c>
      <c r="C2242" s="266" t="str">
        <f>IFERROR(__xludf.DUMMYFUNCTION("""COMPUTED_VALUE"""),"KYAI KONTONG")</f>
        <v>KYAI KONTONG</v>
      </c>
      <c r="D2242" s="186">
        <f>IFERROR(__xludf.DUMMYFUNCTION("""COMPUTED_VALUE"""),8.0)</f>
        <v>8</v>
      </c>
    </row>
    <row r="2243">
      <c r="A2243" s="178" t="str">
        <f>IFERROR(__xludf.DUMMYFUNCTION("""COMPUTED_VALUE"""),"ITBISA-ABC-BATERAI-AAA-ALKALINE")</f>
        <v>ITBISA-ABC-BATERAI-AAA-ALKALINE</v>
      </c>
      <c r="B2243" s="266">
        <f>IFERROR(__xludf.DUMMYFUNCTION("""COMPUTED_VALUE"""),45543.0)</f>
        <v>45543</v>
      </c>
      <c r="C2243" s="266" t="str">
        <f>IFERROR(__xludf.DUMMYFUNCTION("""COMPUTED_VALUE"""),"KYAI KONTONG")</f>
        <v>KYAI KONTONG</v>
      </c>
      <c r="D2243" s="186">
        <f>IFERROR(__xludf.DUMMYFUNCTION("""COMPUTED_VALUE"""),8.0)</f>
        <v>8</v>
      </c>
    </row>
    <row r="2244">
      <c r="A2244" s="178" t="str">
        <f>IFERROR(__xludf.DUMMYFUNCTION("""COMPUTED_VALUE"""),"ITBISA-ABC-BATERAI-AAA-ALKALINE")</f>
        <v>ITBISA-ABC-BATERAI-AAA-ALKALINE</v>
      </c>
      <c r="B2244" s="266">
        <f>IFERROR(__xludf.DUMMYFUNCTION("""COMPUTED_VALUE"""),45545.0)</f>
        <v>45545</v>
      </c>
      <c r="C2244" s="266" t="str">
        <f>IFERROR(__xludf.DUMMYFUNCTION("""COMPUTED_VALUE"""),"KYAI KONTONG")</f>
        <v>KYAI KONTONG</v>
      </c>
      <c r="D2244" s="186">
        <f>IFERROR(__xludf.DUMMYFUNCTION("""COMPUTED_VALUE"""),8.0)</f>
        <v>8</v>
      </c>
    </row>
    <row r="2245">
      <c r="A2245" s="178" t="str">
        <f>IFERROR(__xludf.DUMMYFUNCTION("""COMPUTED_VALUE"""),"ITBISA-ABC-BATERAI-AAA-ALKALINE")</f>
        <v>ITBISA-ABC-BATERAI-AAA-ALKALINE</v>
      </c>
      <c r="B2245" s="266">
        <f>IFERROR(__xludf.DUMMYFUNCTION("""COMPUTED_VALUE"""),45552.0)</f>
        <v>45552</v>
      </c>
      <c r="C2245" s="266" t="str">
        <f>IFERROR(__xludf.DUMMYFUNCTION("""COMPUTED_VALUE"""),"KERTASARI CIAMIS")</f>
        <v>KERTASARI CIAMIS</v>
      </c>
      <c r="D2245" s="186">
        <f>IFERROR(__xludf.DUMMYFUNCTION("""COMPUTED_VALUE"""),7.0)</f>
        <v>7</v>
      </c>
    </row>
    <row r="2246">
      <c r="A2246" s="178" t="str">
        <f>IFERROR(__xludf.DUMMYFUNCTION("""COMPUTED_VALUE"""),"ITBISA-ABC-BATERAI-AAA-ALKALINE")</f>
        <v>ITBISA-ABC-BATERAI-AAA-ALKALINE</v>
      </c>
      <c r="B2246" s="266">
        <f>IFERROR(__xludf.DUMMYFUNCTION("""COMPUTED_VALUE"""),45561.0)</f>
        <v>45561</v>
      </c>
      <c r="C2246" s="266" t="str">
        <f>IFERROR(__xludf.DUMMYFUNCTION("""COMPUTED_VALUE"""),"KERTASARI CIAMIS")</f>
        <v>KERTASARI CIAMIS</v>
      </c>
      <c r="D2246" s="186">
        <f>IFERROR(__xludf.DUMMYFUNCTION("""COMPUTED_VALUE"""),2.0)</f>
        <v>2</v>
      </c>
    </row>
    <row r="2247">
      <c r="A2247" s="178" t="str">
        <f>IFERROR(__xludf.DUMMYFUNCTION("""COMPUTED_VALUE"""),"ITBISA-ABC-BATERAI-AAA-ALKALINE")</f>
        <v>ITBISA-ABC-BATERAI-AAA-ALKALINE</v>
      </c>
      <c r="B2247" s="266">
        <f>IFERROR(__xludf.DUMMYFUNCTION("""COMPUTED_VALUE"""),45563.0)</f>
        <v>45563</v>
      </c>
      <c r="C2247" s="266" t="str">
        <f>IFERROR(__xludf.DUMMYFUNCTION("""COMPUTED_VALUE"""),"KYAI KONTONG")</f>
        <v>KYAI KONTONG</v>
      </c>
      <c r="D2247" s="186">
        <f>IFERROR(__xludf.DUMMYFUNCTION("""COMPUTED_VALUE"""),8.0)</f>
        <v>8</v>
      </c>
    </row>
    <row r="2248">
      <c r="A2248" s="178" t="str">
        <f>IFERROR(__xludf.DUMMYFUNCTION("""COMPUTED_VALUE"""),"ITBISA-ABC-BATERAI-AAA-ALKALINE")</f>
        <v>ITBISA-ABC-BATERAI-AAA-ALKALINE</v>
      </c>
      <c r="B2248" s="266">
        <f>IFERROR(__xludf.DUMMYFUNCTION("""COMPUTED_VALUE"""),45572.0)</f>
        <v>45572</v>
      </c>
      <c r="C2248" s="266" t="str">
        <f>IFERROR(__xludf.DUMMYFUNCTION("""COMPUTED_VALUE"""),"KYAI KONTONG")</f>
        <v>KYAI KONTONG</v>
      </c>
      <c r="D2248" s="186">
        <f>IFERROR(__xludf.DUMMYFUNCTION("""COMPUTED_VALUE"""),24.0)</f>
        <v>24</v>
      </c>
    </row>
    <row r="2249">
      <c r="A2249" s="178" t="str">
        <f>IFERROR(__xludf.DUMMYFUNCTION("""COMPUTED_VALUE"""),"ITBISA-ABC-BATERAI-AAA-ALKALINE")</f>
        <v>ITBISA-ABC-BATERAI-AAA-ALKALINE</v>
      </c>
      <c r="B2249" s="266">
        <f>IFERROR(__xludf.DUMMYFUNCTION("""COMPUTED_VALUE"""),45576.0)</f>
        <v>45576</v>
      </c>
      <c r="C2249" s="266" t="str">
        <f>IFERROR(__xludf.DUMMYFUNCTION("""COMPUTED_VALUE"""),"KYAI KONTONG")</f>
        <v>KYAI KONTONG</v>
      </c>
      <c r="D2249" s="186">
        <f>IFERROR(__xludf.DUMMYFUNCTION("""COMPUTED_VALUE"""),8.0)</f>
        <v>8</v>
      </c>
    </row>
    <row r="2250">
      <c r="A2250" s="178" t="str">
        <f>IFERROR(__xludf.DUMMYFUNCTION("""COMPUTED_VALUE"""),"ITBISA-ABC-BATERAI-AAA-ALKALINE")</f>
        <v>ITBISA-ABC-BATERAI-AAA-ALKALINE</v>
      </c>
      <c r="B2250" s="266">
        <f>IFERROR(__xludf.DUMMYFUNCTION("""COMPUTED_VALUE"""),45576.0)</f>
        <v>45576</v>
      </c>
      <c r="C2250" s="266" t="str">
        <f>IFERROR(__xludf.DUMMYFUNCTION("""COMPUTED_VALUE"""),"KYAI KONTONG")</f>
        <v>KYAI KONTONG</v>
      </c>
      <c r="D2250" s="186">
        <f>IFERROR(__xludf.DUMMYFUNCTION("""COMPUTED_VALUE"""),8.0)</f>
        <v>8</v>
      </c>
    </row>
    <row r="2251">
      <c r="A2251" s="178" t="str">
        <f>IFERROR(__xludf.DUMMYFUNCTION("""COMPUTED_VALUE"""),"ITBISA-ABC-BATERAI-AAA-ALKALINE")</f>
        <v>ITBISA-ABC-BATERAI-AAA-ALKALINE</v>
      </c>
      <c r="B2251" s="266">
        <f>IFERROR(__xludf.DUMMYFUNCTION("""COMPUTED_VALUE"""),45579.0)</f>
        <v>45579</v>
      </c>
      <c r="C2251" s="266" t="str">
        <f>IFERROR(__xludf.DUMMYFUNCTION("""COMPUTED_VALUE"""),"KYAI KONTONG")</f>
        <v>KYAI KONTONG</v>
      </c>
      <c r="D2251" s="186">
        <f>IFERROR(__xludf.DUMMYFUNCTION("""COMPUTED_VALUE"""),214.0)</f>
        <v>214</v>
      </c>
    </row>
    <row r="2252">
      <c r="A2252" s="178" t="str">
        <f>IFERROR(__xludf.DUMMYFUNCTION("""COMPUTED_VALUE"""),"ITBISA-ABC-BATERAI-AAA-ALKALINE")</f>
        <v>ITBISA-ABC-BATERAI-AAA-ALKALINE</v>
      </c>
      <c r="B2252" s="266">
        <f>IFERROR(__xludf.DUMMYFUNCTION("""COMPUTED_VALUE"""),45586.0)</f>
        <v>45586</v>
      </c>
      <c r="C2252" s="266" t="str">
        <f>IFERROR(__xludf.DUMMYFUNCTION("""COMPUTED_VALUE"""),"KERTASARI CIAMIS")</f>
        <v>KERTASARI CIAMIS</v>
      </c>
      <c r="D2252" s="186">
        <f>IFERROR(__xludf.DUMMYFUNCTION("""COMPUTED_VALUE"""),6.0)</f>
        <v>6</v>
      </c>
    </row>
    <row r="2253">
      <c r="A2253" s="178" t="str">
        <f>IFERROR(__xludf.DUMMYFUNCTION("""COMPUTED_VALUE"""),"ITBISA-ABC-BATERAI-AAA-ALKALINE")</f>
        <v>ITBISA-ABC-BATERAI-AAA-ALKALINE</v>
      </c>
      <c r="B2253" s="266">
        <f>IFERROR(__xludf.DUMMYFUNCTION("""COMPUTED_VALUE"""),45607.0)</f>
        <v>45607</v>
      </c>
      <c r="C2253" s="266" t="str">
        <f>IFERROR(__xludf.DUMMYFUNCTION("""COMPUTED_VALUE"""),"KYAI KONTONG")</f>
        <v>KYAI KONTONG</v>
      </c>
      <c r="D2253" s="186">
        <f>IFERROR(__xludf.DUMMYFUNCTION("""COMPUTED_VALUE"""),6.0)</f>
        <v>6</v>
      </c>
    </row>
    <row r="2254">
      <c r="A2254" s="178" t="str">
        <f>IFERROR(__xludf.DUMMYFUNCTION("""COMPUTED_VALUE"""),"ITBISA-ABC-BATERAI-AAA-ALKALINE")</f>
        <v>ITBISA-ABC-BATERAI-AAA-ALKALINE</v>
      </c>
      <c r="B2254" s="266">
        <f>IFERROR(__xludf.DUMMYFUNCTION("""COMPUTED_VALUE"""),45616.0)</f>
        <v>45616</v>
      </c>
      <c r="C2254" s="266" t="str">
        <f>IFERROR(__xludf.DUMMYFUNCTION("""COMPUTED_VALUE"""),"KYAI KONTONG")</f>
        <v>KYAI KONTONG</v>
      </c>
      <c r="D2254" s="186">
        <f>IFERROR(__xludf.DUMMYFUNCTION("""COMPUTED_VALUE"""),60.0)</f>
        <v>60</v>
      </c>
    </row>
    <row r="2255">
      <c r="A2255" s="178" t="str">
        <f>IFERROR(__xludf.DUMMYFUNCTION("""COMPUTED_VALUE"""),"ITBISA-ABC-BATERAI-AAA-ALKALINE")</f>
        <v>ITBISA-ABC-BATERAI-AAA-ALKALINE</v>
      </c>
      <c r="B2255" s="266">
        <f>IFERROR(__xludf.DUMMYFUNCTION("""COMPUTED_VALUE"""),45622.0)</f>
        <v>45622</v>
      </c>
      <c r="C2255" s="266" t="str">
        <f>IFERROR(__xludf.DUMMYFUNCTION("""COMPUTED_VALUE"""),"KERTASARI CIAMIS")</f>
        <v>KERTASARI CIAMIS</v>
      </c>
      <c r="D2255" s="186">
        <f>IFERROR(__xludf.DUMMYFUNCTION("""COMPUTED_VALUE"""),24.0)</f>
        <v>24</v>
      </c>
    </row>
    <row r="2256">
      <c r="A2256" s="178" t="str">
        <f>IFERROR(__xludf.DUMMYFUNCTION("""COMPUTED_VALUE"""),"ITBISA-ABC-BATERAI-AAA-ALKALINE")</f>
        <v>ITBISA-ABC-BATERAI-AAA-ALKALINE</v>
      </c>
      <c r="B2256" s="266">
        <f>IFERROR(__xludf.DUMMYFUNCTION("""COMPUTED_VALUE"""),45630.0)</f>
        <v>45630</v>
      </c>
      <c r="C2256" s="266" t="str">
        <f>IFERROR(__xludf.DUMMYFUNCTION("""COMPUTED_VALUE"""),"KERTASARI CIAMIS")</f>
        <v>KERTASARI CIAMIS</v>
      </c>
      <c r="D2256" s="186">
        <f>IFERROR(__xludf.DUMMYFUNCTION("""COMPUTED_VALUE"""),16.0)</f>
        <v>16</v>
      </c>
    </row>
    <row r="2257">
      <c r="A2257" s="178" t="str">
        <f>IFERROR(__xludf.DUMMYFUNCTION("""COMPUTED_VALUE"""),"ITBISA-ABC-BATERAI-AAA-ALKALINE")</f>
        <v>ITBISA-ABC-BATERAI-AAA-ALKALINE</v>
      </c>
      <c r="B2257" s="266">
        <f>IFERROR(__xludf.DUMMYFUNCTION("""COMPUTED_VALUE"""),45632.0)</f>
        <v>45632</v>
      </c>
      <c r="C2257" s="266" t="str">
        <f>IFERROR(__xludf.DUMMYFUNCTION("""COMPUTED_VALUE"""),"KERTASARI CIAMIS")</f>
        <v>KERTASARI CIAMIS</v>
      </c>
      <c r="D2257" s="186">
        <f>IFERROR(__xludf.DUMMYFUNCTION("""COMPUTED_VALUE"""),6.0)</f>
        <v>6</v>
      </c>
    </row>
    <row r="2258">
      <c r="A2258" s="178" t="str">
        <f>IFERROR(__xludf.DUMMYFUNCTION("""COMPUTED_VALUE"""),"ITBISA-ABC-BATERAI-AAA-ALKALINE")</f>
        <v>ITBISA-ABC-BATERAI-AAA-ALKALINE</v>
      </c>
      <c r="B2258" s="266">
        <f>IFERROR(__xludf.DUMMYFUNCTION("""COMPUTED_VALUE"""),45639.0)</f>
        <v>45639</v>
      </c>
      <c r="C2258" s="266" t="str">
        <f>IFERROR(__xludf.DUMMYFUNCTION("""COMPUTED_VALUE"""),"KYAI KONTONG")</f>
        <v>KYAI KONTONG</v>
      </c>
      <c r="D2258" s="186">
        <f>IFERROR(__xludf.DUMMYFUNCTION("""COMPUTED_VALUE"""),12.0)</f>
        <v>12</v>
      </c>
    </row>
    <row r="2259">
      <c r="A2259" s="178" t="str">
        <f>IFERROR(__xludf.DUMMYFUNCTION("""COMPUTED_VALUE"""),"ITBISA-ABC-BATERAI-AAA-ALKALINE")</f>
        <v>ITBISA-ABC-BATERAI-AAA-ALKALINE</v>
      </c>
      <c r="B2259" s="266">
        <f>IFERROR(__xludf.DUMMYFUNCTION("""COMPUTED_VALUE"""),45639.0)</f>
        <v>45639</v>
      </c>
      <c r="C2259" s="266" t="str">
        <f>IFERROR(__xludf.DUMMYFUNCTION("""COMPUTED_VALUE"""),"KYAI KONTONG")</f>
        <v>KYAI KONTONG</v>
      </c>
      <c r="D2259" s="186">
        <f>IFERROR(__xludf.DUMMYFUNCTION("""COMPUTED_VALUE"""),500.0)</f>
        <v>500</v>
      </c>
    </row>
    <row r="2260">
      <c r="A2260" s="178" t="str">
        <f>IFERROR(__xludf.DUMMYFUNCTION("""COMPUTED_VALUE"""),"ITBISA-ABC-BATERAI-AAA-ALKALINE")</f>
        <v>ITBISA-ABC-BATERAI-AAA-ALKALINE</v>
      </c>
      <c r="B2260" s="266">
        <f>IFERROR(__xludf.DUMMYFUNCTION("""COMPUTED_VALUE"""),45646.0)</f>
        <v>45646</v>
      </c>
      <c r="C2260" s="266" t="str">
        <f>IFERROR(__xludf.DUMMYFUNCTION("""COMPUTED_VALUE"""),"KERTASARI CIAMIS")</f>
        <v>KERTASARI CIAMIS</v>
      </c>
      <c r="D2260" s="186">
        <f>IFERROR(__xludf.DUMMYFUNCTION("""COMPUTED_VALUE"""),6.0)</f>
        <v>6</v>
      </c>
    </row>
    <row r="2261">
      <c r="A2261" s="178" t="str">
        <f>IFERROR(__xludf.DUMMYFUNCTION("""COMPUTED_VALUE"""),"ITBISA-ABC-BATERAI-AAA-ALKALINE")</f>
        <v>ITBISA-ABC-BATERAI-AAA-ALKALINE</v>
      </c>
      <c r="B2261" s="266">
        <f>IFERROR(__xludf.DUMMYFUNCTION("""COMPUTED_VALUE"""),45647.0)</f>
        <v>45647</v>
      </c>
      <c r="C2261" s="266" t="str">
        <f>IFERROR(__xludf.DUMMYFUNCTION("""COMPUTED_VALUE"""),"KERTASARI CIAMIS")</f>
        <v>KERTASARI CIAMIS</v>
      </c>
      <c r="D2261" s="186">
        <f>IFERROR(__xludf.DUMMYFUNCTION("""COMPUTED_VALUE"""),12.0)</f>
        <v>12</v>
      </c>
    </row>
    <row r="2262">
      <c r="A2262" s="178" t="str">
        <f>IFERROR(__xludf.DUMMYFUNCTION("""COMPUTED_VALUE"""),"ITBISA-ABC-BATERAI-AAA-ALKALINE")</f>
        <v>ITBISA-ABC-BATERAI-AAA-ALKALINE</v>
      </c>
      <c r="B2262" s="266">
        <f>IFERROR(__xludf.DUMMYFUNCTION("""COMPUTED_VALUE"""),45650.0)</f>
        <v>45650</v>
      </c>
      <c r="C2262" s="266" t="str">
        <f>IFERROR(__xludf.DUMMYFUNCTION("""COMPUTED_VALUE"""),"KYAI KONTONG")</f>
        <v>KYAI KONTONG</v>
      </c>
      <c r="D2262" s="186">
        <f>IFERROR(__xludf.DUMMYFUNCTION("""COMPUTED_VALUE"""),8.0)</f>
        <v>8</v>
      </c>
    </row>
    <row r="2263">
      <c r="A2263" s="178" t="str">
        <f>IFERROR(__xludf.DUMMYFUNCTION("""COMPUTED_VALUE"""),"ITBISA-ABC-BATERAI-AAA-ALKALINE")</f>
        <v>ITBISA-ABC-BATERAI-AAA-ALKALINE</v>
      </c>
      <c r="B2263" s="266">
        <f>IFERROR(__xludf.DUMMYFUNCTION("""COMPUTED_VALUE"""),45651.0)</f>
        <v>45651</v>
      </c>
      <c r="C2263" s="266" t="str">
        <f>IFERROR(__xludf.DUMMYFUNCTION("""COMPUTED_VALUE"""),"KYAI KONTONG")</f>
        <v>KYAI KONTONG</v>
      </c>
      <c r="D2263" s="186">
        <f>IFERROR(__xludf.DUMMYFUNCTION("""COMPUTED_VALUE"""),8.0)</f>
        <v>8</v>
      </c>
    </row>
    <row r="2264">
      <c r="A2264" s="178" t="str">
        <f>IFERROR(__xludf.DUMMYFUNCTION("""COMPUTED_VALUE"""),"ITBISA-ABC-BATERAI-AAA-ALKALINE")</f>
        <v>ITBISA-ABC-BATERAI-AAA-ALKALINE</v>
      </c>
      <c r="B2264" s="266">
        <f>IFERROR(__xludf.DUMMYFUNCTION("""COMPUTED_VALUE"""),45654.0)</f>
        <v>45654</v>
      </c>
      <c r="C2264" s="266" t="str">
        <f>IFERROR(__xludf.DUMMYFUNCTION("""COMPUTED_VALUE"""),"KYAI KONTONG")</f>
        <v>KYAI KONTONG</v>
      </c>
      <c r="D2264" s="186">
        <f>IFERROR(__xludf.DUMMYFUNCTION("""COMPUTED_VALUE"""),8.0)</f>
        <v>8</v>
      </c>
    </row>
    <row r="2265">
      <c r="A2265" s="178" t="str">
        <f>IFERROR(__xludf.DUMMYFUNCTION("""COMPUTED_VALUE"""),"ITBISA-ABC-BATERAI-AAA-ALKALINE")</f>
        <v>ITBISA-ABC-BATERAI-AAA-ALKALINE</v>
      </c>
      <c r="B2265" s="266">
        <f>IFERROR(__xludf.DUMMYFUNCTION("""COMPUTED_VALUE"""),45658.0)</f>
        <v>45658</v>
      </c>
      <c r="C2265" s="266" t="str">
        <f>IFERROR(__xludf.DUMMYFUNCTION("""COMPUTED_VALUE"""),"KYAI KONTONG")</f>
        <v>KYAI KONTONG</v>
      </c>
      <c r="D2265" s="186">
        <f>IFERROR(__xludf.DUMMYFUNCTION("""COMPUTED_VALUE"""),12.0)</f>
        <v>12</v>
      </c>
    </row>
    <row r="2266">
      <c r="A2266" s="178" t="str">
        <f>IFERROR(__xludf.DUMMYFUNCTION("""COMPUTED_VALUE"""),"ITBISA-ABC-BATERAI-AAA-ALKALINE")</f>
        <v>ITBISA-ABC-BATERAI-AAA-ALKALINE</v>
      </c>
      <c r="B2266" s="266">
        <f>IFERROR(__xludf.DUMMYFUNCTION("""COMPUTED_VALUE"""),45662.0)</f>
        <v>45662</v>
      </c>
      <c r="C2266" s="266" t="str">
        <f>IFERROR(__xludf.DUMMYFUNCTION("""COMPUTED_VALUE"""),"KYAI KONTONG")</f>
        <v>KYAI KONTONG</v>
      </c>
      <c r="D2266" s="186">
        <f>IFERROR(__xludf.DUMMYFUNCTION("""COMPUTED_VALUE"""),8.0)</f>
        <v>8</v>
      </c>
    </row>
    <row r="2267">
      <c r="A2267" s="178" t="str">
        <f>IFERROR(__xludf.DUMMYFUNCTION("""COMPUTED_VALUE"""),"ITBISA-ABC-BATERAI-AAA-ALKALINE")</f>
        <v>ITBISA-ABC-BATERAI-AAA-ALKALINE</v>
      </c>
      <c r="B2267" s="266">
        <f>IFERROR(__xludf.DUMMYFUNCTION("""COMPUTED_VALUE"""),45664.0)</f>
        <v>45664</v>
      </c>
      <c r="C2267" s="266" t="str">
        <f>IFERROR(__xludf.DUMMYFUNCTION("""COMPUTED_VALUE"""),"KERTASARI CIAMIS")</f>
        <v>KERTASARI CIAMIS</v>
      </c>
      <c r="D2267" s="186">
        <f>IFERROR(__xludf.DUMMYFUNCTION("""COMPUTED_VALUE"""),6.0)</f>
        <v>6</v>
      </c>
    </row>
    <row r="2268">
      <c r="A2268" s="178" t="str">
        <f>IFERROR(__xludf.DUMMYFUNCTION("""COMPUTED_VALUE"""),"ITBISA-ABC-BATERAI-AAA-ALKALINE")</f>
        <v>ITBISA-ABC-BATERAI-AAA-ALKALINE</v>
      </c>
      <c r="B2268" s="266">
        <f>IFERROR(__xludf.DUMMYFUNCTION("""COMPUTED_VALUE"""),45666.0)</f>
        <v>45666</v>
      </c>
      <c r="C2268" s="266" t="str">
        <f>IFERROR(__xludf.DUMMYFUNCTION("""COMPUTED_VALUE"""),"KYAI KONTONG")</f>
        <v>KYAI KONTONG</v>
      </c>
      <c r="D2268" s="186">
        <f>IFERROR(__xludf.DUMMYFUNCTION("""COMPUTED_VALUE"""),2.0)</f>
        <v>2</v>
      </c>
    </row>
    <row r="2269">
      <c r="A2269" s="178" t="str">
        <f>IFERROR(__xludf.DUMMYFUNCTION("""COMPUTED_VALUE"""),"ITBISA-ABC-BATERAI-AAA-ALKALINE")</f>
        <v>ITBISA-ABC-BATERAI-AAA-ALKALINE</v>
      </c>
      <c r="B2269" s="266">
        <f>IFERROR(__xludf.DUMMYFUNCTION("""COMPUTED_VALUE"""),45666.0)</f>
        <v>45666</v>
      </c>
      <c r="C2269" s="266" t="str">
        <f>IFERROR(__xludf.DUMMYFUNCTION("""COMPUTED_VALUE"""),"KYAI KONTONG")</f>
        <v>KYAI KONTONG</v>
      </c>
      <c r="D2269" s="186">
        <f>IFERROR(__xludf.DUMMYFUNCTION("""COMPUTED_VALUE"""),8.0)</f>
        <v>8</v>
      </c>
    </row>
    <row r="2270">
      <c r="A2270" s="178" t="str">
        <f>IFERROR(__xludf.DUMMYFUNCTION("""COMPUTED_VALUE"""),"ITBISA-ABC-BATERAI-AAA-ALKALINE")</f>
        <v>ITBISA-ABC-BATERAI-AAA-ALKALINE</v>
      </c>
      <c r="B2270" s="266">
        <f>IFERROR(__xludf.DUMMYFUNCTION("""COMPUTED_VALUE"""),45667.0)</f>
        <v>45667</v>
      </c>
      <c r="C2270" s="266" t="str">
        <f>IFERROR(__xludf.DUMMYFUNCTION("""COMPUTED_VALUE"""),"KYAI KONTONG")</f>
        <v>KYAI KONTONG</v>
      </c>
      <c r="D2270" s="186">
        <f>IFERROR(__xludf.DUMMYFUNCTION("""COMPUTED_VALUE"""),2.0)</f>
        <v>2</v>
      </c>
    </row>
    <row r="2271">
      <c r="A2271" s="178" t="str">
        <f>IFERROR(__xludf.DUMMYFUNCTION("""COMPUTED_VALUE"""),"ITBISA-ABC-BATERAI-AAA-ALKALINE")</f>
        <v>ITBISA-ABC-BATERAI-AAA-ALKALINE</v>
      </c>
      <c r="B2271" s="266">
        <f>IFERROR(__xludf.DUMMYFUNCTION("""COMPUTED_VALUE"""),45669.0)</f>
        <v>45669</v>
      </c>
      <c r="C2271" s="266" t="str">
        <f>IFERROR(__xludf.DUMMYFUNCTION("""COMPUTED_VALUE"""),"KYAI KONTONG")</f>
        <v>KYAI KONTONG</v>
      </c>
      <c r="D2271" s="186">
        <f>IFERROR(__xludf.DUMMYFUNCTION("""COMPUTED_VALUE"""),6.0)</f>
        <v>6</v>
      </c>
    </row>
    <row r="2272">
      <c r="A2272" s="178" t="str">
        <f>IFERROR(__xludf.DUMMYFUNCTION("""COMPUTED_VALUE"""),"ITBISA-ABC-BATERAI-AAA-ALKALINE")</f>
        <v>ITBISA-ABC-BATERAI-AAA-ALKALINE</v>
      </c>
      <c r="B2272" s="266">
        <f>IFERROR(__xludf.DUMMYFUNCTION("""COMPUTED_VALUE"""),45669.0)</f>
        <v>45669</v>
      </c>
      <c r="C2272" s="266" t="str">
        <f>IFERROR(__xludf.DUMMYFUNCTION("""COMPUTED_VALUE"""),"KYAI KONTONG")</f>
        <v>KYAI KONTONG</v>
      </c>
      <c r="D2272" s="186">
        <f>IFERROR(__xludf.DUMMYFUNCTION("""COMPUTED_VALUE"""),8.0)</f>
        <v>8</v>
      </c>
    </row>
    <row r="2273">
      <c r="A2273" s="178" t="str">
        <f>IFERROR(__xludf.DUMMYFUNCTION("""COMPUTED_VALUE"""),"ITBISA-ABC-BATERAI-AAA-ALKALINE")</f>
        <v>ITBISA-ABC-BATERAI-AAA-ALKALINE</v>
      </c>
      <c r="B2273" s="266">
        <f>IFERROR(__xludf.DUMMYFUNCTION("""COMPUTED_VALUE"""),45676.0)</f>
        <v>45676</v>
      </c>
      <c r="C2273" s="266" t="str">
        <f>IFERROR(__xludf.DUMMYFUNCTION("""COMPUTED_VALUE"""),"KYAI KONTONG")</f>
        <v>KYAI KONTONG</v>
      </c>
      <c r="D2273" s="186">
        <f>IFERROR(__xludf.DUMMYFUNCTION("""COMPUTED_VALUE"""),6.0)</f>
        <v>6</v>
      </c>
    </row>
    <row r="2274">
      <c r="A2274" s="178" t="str">
        <f>IFERROR(__xludf.DUMMYFUNCTION("""COMPUTED_VALUE"""),"ITBISA-ABC-BATERAI-AAA-ALKALINE")</f>
        <v>ITBISA-ABC-BATERAI-AAA-ALKALINE</v>
      </c>
      <c r="B2274" s="266">
        <f>IFERROR(__xludf.DUMMYFUNCTION("""COMPUTED_VALUE"""),45677.0)</f>
        <v>45677</v>
      </c>
      <c r="C2274" s="266" t="str">
        <f>IFERROR(__xludf.DUMMYFUNCTION("""COMPUTED_VALUE"""),"KERTASARI CIAMIS")</f>
        <v>KERTASARI CIAMIS</v>
      </c>
      <c r="D2274" s="186">
        <f>IFERROR(__xludf.DUMMYFUNCTION("""COMPUTED_VALUE"""),12.0)</f>
        <v>12</v>
      </c>
    </row>
    <row r="2275">
      <c r="A2275" s="178" t="str">
        <f>IFERROR(__xludf.DUMMYFUNCTION("""COMPUTED_VALUE"""),"ITBISA-ABC-BATERAI-AAA-ALKALINE")</f>
        <v>ITBISA-ABC-BATERAI-AAA-ALKALINE</v>
      </c>
      <c r="B2275" s="266">
        <f>IFERROR(__xludf.DUMMYFUNCTION("""COMPUTED_VALUE"""),45678.0)</f>
        <v>45678</v>
      </c>
      <c r="C2275" s="266" t="str">
        <f>IFERROR(__xludf.DUMMYFUNCTION("""COMPUTED_VALUE"""),"KYAI KONTONG")</f>
        <v>KYAI KONTONG</v>
      </c>
      <c r="D2275" s="186">
        <f>IFERROR(__xludf.DUMMYFUNCTION("""COMPUTED_VALUE"""),8.0)</f>
        <v>8</v>
      </c>
    </row>
    <row r="2276">
      <c r="A2276" s="178" t="str">
        <f>IFERROR(__xludf.DUMMYFUNCTION("""COMPUTED_VALUE"""),"ITBISA-ABC-BATERAI-AAA-ALKALINE")</f>
        <v>ITBISA-ABC-BATERAI-AAA-ALKALINE</v>
      </c>
      <c r="B2276" s="266">
        <f>IFERROR(__xludf.DUMMYFUNCTION("""COMPUTED_VALUE"""),45683.0)</f>
        <v>45683</v>
      </c>
      <c r="C2276" s="266" t="str">
        <f>IFERROR(__xludf.DUMMYFUNCTION("""COMPUTED_VALUE"""),"KYAI KONTONG")</f>
        <v>KYAI KONTONG</v>
      </c>
      <c r="D2276" s="186">
        <f>IFERROR(__xludf.DUMMYFUNCTION("""COMPUTED_VALUE"""),2.0)</f>
        <v>2</v>
      </c>
    </row>
    <row r="2277">
      <c r="A2277" s="178" t="str">
        <f>IFERROR(__xludf.DUMMYFUNCTION("""COMPUTED_VALUE"""),"ITBISA-ABC-BATERAI-AAA-ALKALINE")</f>
        <v>ITBISA-ABC-BATERAI-AAA-ALKALINE</v>
      </c>
      <c r="B2277" s="266">
        <f>IFERROR(__xludf.DUMMYFUNCTION("""COMPUTED_VALUE"""),45686.0)</f>
        <v>45686</v>
      </c>
      <c r="C2277" s="266" t="str">
        <f>IFERROR(__xludf.DUMMYFUNCTION("""COMPUTED_VALUE"""),"KYAI KONTONG")</f>
        <v>KYAI KONTONG</v>
      </c>
      <c r="D2277" s="186">
        <f>IFERROR(__xludf.DUMMYFUNCTION("""COMPUTED_VALUE"""),2.0)</f>
        <v>2</v>
      </c>
    </row>
    <row r="2278">
      <c r="A2278" s="178" t="str">
        <f>IFERROR(__xludf.DUMMYFUNCTION("""COMPUTED_VALUE"""),"ITBISA-ABC-BATERAI-AAA-ALKALINE")</f>
        <v>ITBISA-ABC-BATERAI-AAA-ALKALINE</v>
      </c>
      <c r="B2278" s="266">
        <f>IFERROR(__xludf.DUMMYFUNCTION("""COMPUTED_VALUE"""),45689.0)</f>
        <v>45689</v>
      </c>
      <c r="C2278" s="266" t="str">
        <f>IFERROR(__xludf.DUMMYFUNCTION("""COMPUTED_VALUE"""),"KYAI KONTONG")</f>
        <v>KYAI KONTONG</v>
      </c>
      <c r="D2278" s="186">
        <f>IFERROR(__xludf.DUMMYFUNCTION("""COMPUTED_VALUE"""),4.0)</f>
        <v>4</v>
      </c>
    </row>
    <row r="2279">
      <c r="A2279" s="178" t="str">
        <f>IFERROR(__xludf.DUMMYFUNCTION("""COMPUTED_VALUE"""),"ITBISA-ABC-BATERAI-AAA-ALKALINE")</f>
        <v>ITBISA-ABC-BATERAI-AAA-ALKALINE</v>
      </c>
      <c r="B2279" s="266">
        <f>IFERROR(__xludf.DUMMYFUNCTION("""COMPUTED_VALUE"""),45692.0)</f>
        <v>45692</v>
      </c>
      <c r="C2279" s="266" t="str">
        <f>IFERROR(__xludf.DUMMYFUNCTION("""COMPUTED_VALUE"""),"KERTASARI CIAMIS")</f>
        <v>KERTASARI CIAMIS</v>
      </c>
      <c r="D2279" s="186">
        <f>IFERROR(__xludf.DUMMYFUNCTION("""COMPUTED_VALUE"""),6.0)</f>
        <v>6</v>
      </c>
    </row>
    <row r="2280">
      <c r="A2280" s="178" t="str">
        <f>IFERROR(__xludf.DUMMYFUNCTION("""COMPUTED_VALUE"""),"ITBISA-ABC-BATERAI-AAA-ALKALINE")</f>
        <v>ITBISA-ABC-BATERAI-AAA-ALKALINE</v>
      </c>
      <c r="B2280" s="266">
        <f>IFERROR(__xludf.DUMMYFUNCTION("""COMPUTED_VALUE"""),45693.0)</f>
        <v>45693</v>
      </c>
      <c r="C2280" s="266" t="str">
        <f>IFERROR(__xludf.DUMMYFUNCTION("""COMPUTED_VALUE"""),"KYAI KONTONG")</f>
        <v>KYAI KONTONG</v>
      </c>
      <c r="D2280" s="186">
        <f>IFERROR(__xludf.DUMMYFUNCTION("""COMPUTED_VALUE"""),2.0)</f>
        <v>2</v>
      </c>
    </row>
    <row r="2281">
      <c r="A2281" s="178" t="str">
        <f>IFERROR(__xludf.DUMMYFUNCTION("""COMPUTED_VALUE"""),"ITBISA-ABC-BATERAI-AAA-ALKALINE")</f>
        <v>ITBISA-ABC-BATERAI-AAA-ALKALINE</v>
      </c>
      <c r="B2281" s="266">
        <f>IFERROR(__xludf.DUMMYFUNCTION("""COMPUTED_VALUE"""),45694.0)</f>
        <v>45694</v>
      </c>
      <c r="C2281" s="266" t="str">
        <f>IFERROR(__xludf.DUMMYFUNCTION("""COMPUTED_VALUE"""),"KERTASARI CIAMIS")</f>
        <v>KERTASARI CIAMIS</v>
      </c>
      <c r="D2281" s="186">
        <f>IFERROR(__xludf.DUMMYFUNCTION("""COMPUTED_VALUE"""),16.0)</f>
        <v>16</v>
      </c>
    </row>
    <row r="2282">
      <c r="A2282" s="178" t="str">
        <f>IFERROR(__xludf.DUMMYFUNCTION("""COMPUTED_VALUE"""),"ITBISA-ABC-BATERAI-AAA-ALKALINE")</f>
        <v>ITBISA-ABC-BATERAI-AAA-ALKALINE</v>
      </c>
      <c r="B2282" s="266">
        <f>IFERROR(__xludf.DUMMYFUNCTION("""COMPUTED_VALUE"""),45696.0)</f>
        <v>45696</v>
      </c>
      <c r="C2282" s="266" t="str">
        <f>IFERROR(__xludf.DUMMYFUNCTION("""COMPUTED_VALUE"""),"KYAI KONTONG")</f>
        <v>KYAI KONTONG</v>
      </c>
      <c r="D2282" s="186">
        <f>IFERROR(__xludf.DUMMYFUNCTION("""COMPUTED_VALUE"""),6.0)</f>
        <v>6</v>
      </c>
    </row>
    <row r="2283">
      <c r="A2283" s="178" t="str">
        <f>IFERROR(__xludf.DUMMYFUNCTION("""COMPUTED_VALUE"""),"ITBISA-ABC-BATERAI-AAA-ALKALINE")</f>
        <v>ITBISA-ABC-BATERAI-AAA-ALKALINE</v>
      </c>
      <c r="B2283" s="266">
        <f>IFERROR(__xludf.DUMMYFUNCTION("""COMPUTED_VALUE"""),45696.0)</f>
        <v>45696</v>
      </c>
      <c r="C2283" s="266" t="str">
        <f>IFERROR(__xludf.DUMMYFUNCTION("""COMPUTED_VALUE"""),"KYAI KONTONG")</f>
        <v>KYAI KONTONG</v>
      </c>
      <c r="D2283" s="186">
        <f>IFERROR(__xludf.DUMMYFUNCTION("""COMPUTED_VALUE"""),12.0)</f>
        <v>12</v>
      </c>
    </row>
    <row r="2284">
      <c r="A2284" s="178" t="str">
        <f>IFERROR(__xludf.DUMMYFUNCTION("""COMPUTED_VALUE"""),"ITBISA-ABC-BATERAI-AAA-ALKALINE")</f>
        <v>ITBISA-ABC-BATERAI-AAA-ALKALINE</v>
      </c>
      <c r="B2284" s="266">
        <f>IFERROR(__xludf.DUMMYFUNCTION("""COMPUTED_VALUE"""),45697.0)</f>
        <v>45697</v>
      </c>
      <c r="C2284" s="266" t="str">
        <f>IFERROR(__xludf.DUMMYFUNCTION("""COMPUTED_VALUE"""),"KERTASARI CIAMIS")</f>
        <v>KERTASARI CIAMIS</v>
      </c>
      <c r="D2284" s="186">
        <f>IFERROR(__xludf.DUMMYFUNCTION("""COMPUTED_VALUE"""),4.0)</f>
        <v>4</v>
      </c>
    </row>
    <row r="2285">
      <c r="A2285" s="178" t="str">
        <f>IFERROR(__xludf.DUMMYFUNCTION("""COMPUTED_VALUE"""),"ITBISA-ABC-BATERAI-AAA-ALKALINE")</f>
        <v>ITBISA-ABC-BATERAI-AAA-ALKALINE</v>
      </c>
      <c r="B2285" s="266">
        <f>IFERROR(__xludf.DUMMYFUNCTION("""COMPUTED_VALUE"""),45700.0)</f>
        <v>45700</v>
      </c>
      <c r="C2285" s="266" t="str">
        <f>IFERROR(__xludf.DUMMYFUNCTION("""COMPUTED_VALUE"""),"KERTASARI CIAMIS")</f>
        <v>KERTASARI CIAMIS</v>
      </c>
      <c r="D2285" s="186">
        <f>IFERROR(__xludf.DUMMYFUNCTION("""COMPUTED_VALUE"""),12.0)</f>
        <v>12</v>
      </c>
    </row>
    <row r="2286">
      <c r="A2286" s="178" t="str">
        <f>IFERROR(__xludf.DUMMYFUNCTION("""COMPUTED_VALUE"""),"ITBISA-ABC-BATERAI-AAA-ALKALINE")</f>
        <v>ITBISA-ABC-BATERAI-AAA-ALKALINE</v>
      </c>
      <c r="B2286" s="266">
        <f>IFERROR(__xludf.DUMMYFUNCTION("""COMPUTED_VALUE"""),45701.0)</f>
        <v>45701</v>
      </c>
      <c r="C2286" s="266" t="str">
        <f>IFERROR(__xludf.DUMMYFUNCTION("""COMPUTED_VALUE"""),"KYAI KONTONG")</f>
        <v>KYAI KONTONG</v>
      </c>
      <c r="D2286" s="186">
        <f>IFERROR(__xludf.DUMMYFUNCTION("""COMPUTED_VALUE"""),144.0)</f>
        <v>144</v>
      </c>
    </row>
    <row r="2287">
      <c r="A2287" s="178" t="str">
        <f>IFERROR(__xludf.DUMMYFUNCTION("""COMPUTED_VALUE"""),"ITBISA-ABC-BATERAI-AAA-ALKALINE")</f>
        <v>ITBISA-ABC-BATERAI-AAA-ALKALINE</v>
      </c>
      <c r="B2287" s="266">
        <f>IFERROR(__xludf.DUMMYFUNCTION("""COMPUTED_VALUE"""),45704.0)</f>
        <v>45704</v>
      </c>
      <c r="C2287" s="266" t="str">
        <f>IFERROR(__xludf.DUMMYFUNCTION("""COMPUTED_VALUE"""),"KYAI KONTONG")</f>
        <v>KYAI KONTONG</v>
      </c>
      <c r="D2287" s="186">
        <f>IFERROR(__xludf.DUMMYFUNCTION("""COMPUTED_VALUE"""),6.0)</f>
        <v>6</v>
      </c>
    </row>
    <row r="2288">
      <c r="A2288" s="178" t="str">
        <f>IFERROR(__xludf.DUMMYFUNCTION("""COMPUTED_VALUE"""),"ITBISA-ABC-BATERAI-AAA-ALKALINE")</f>
        <v>ITBISA-ABC-BATERAI-AAA-ALKALINE</v>
      </c>
      <c r="B2288" s="266">
        <f>IFERROR(__xludf.DUMMYFUNCTION("""COMPUTED_VALUE"""),45705.0)</f>
        <v>45705</v>
      </c>
      <c r="C2288" s="266" t="str">
        <f>IFERROR(__xludf.DUMMYFUNCTION("""COMPUTED_VALUE"""),"KYAI KONTONG")</f>
        <v>KYAI KONTONG</v>
      </c>
      <c r="D2288" s="186">
        <f>IFERROR(__xludf.DUMMYFUNCTION("""COMPUTED_VALUE"""),16.0)</f>
        <v>16</v>
      </c>
    </row>
    <row r="2289">
      <c r="A2289" s="178" t="str">
        <f>IFERROR(__xludf.DUMMYFUNCTION("""COMPUTED_VALUE"""),"ITBISA-ABC-BATERAI-AAA-ALKALINE")</f>
        <v>ITBISA-ABC-BATERAI-AAA-ALKALINE</v>
      </c>
      <c r="B2289" s="266">
        <f>IFERROR(__xludf.DUMMYFUNCTION("""COMPUTED_VALUE"""),45706.0)</f>
        <v>45706</v>
      </c>
      <c r="C2289" s="266" t="str">
        <f>IFERROR(__xludf.DUMMYFUNCTION("""COMPUTED_VALUE"""),"KERTASARI CIAMIS")</f>
        <v>KERTASARI CIAMIS</v>
      </c>
      <c r="D2289" s="186">
        <f>IFERROR(__xludf.DUMMYFUNCTION("""COMPUTED_VALUE"""),6.0)</f>
        <v>6</v>
      </c>
    </row>
    <row r="2290">
      <c r="A2290" s="178" t="str">
        <f>IFERROR(__xludf.DUMMYFUNCTION("""COMPUTED_VALUE"""),"ITBISA-ABC-BATERAI-AAA-ALKALINE")</f>
        <v>ITBISA-ABC-BATERAI-AAA-ALKALINE</v>
      </c>
      <c r="B2290" s="266">
        <f>IFERROR(__xludf.DUMMYFUNCTION("""COMPUTED_VALUE"""),45706.0)</f>
        <v>45706</v>
      </c>
      <c r="C2290" s="266" t="str">
        <f>IFERROR(__xludf.DUMMYFUNCTION("""COMPUTED_VALUE"""),"KERTASARI CIAMIS")</f>
        <v>KERTASARI CIAMIS</v>
      </c>
      <c r="D2290" s="186">
        <f>IFERROR(__xludf.DUMMYFUNCTION("""COMPUTED_VALUE"""),12.0)</f>
        <v>12</v>
      </c>
    </row>
    <row r="2291">
      <c r="A2291" s="178" t="str">
        <f>IFERROR(__xludf.DUMMYFUNCTION("""COMPUTED_VALUE"""),"ITBISA-ABC-BATERAI-AAA-ALKALINE")</f>
        <v>ITBISA-ABC-BATERAI-AAA-ALKALINE</v>
      </c>
      <c r="B2291" s="266">
        <f>IFERROR(__xludf.DUMMYFUNCTION("""COMPUTED_VALUE"""),45710.0)</f>
        <v>45710</v>
      </c>
      <c r="C2291" s="266" t="str">
        <f>IFERROR(__xludf.DUMMYFUNCTION("""COMPUTED_VALUE"""),"KYAI KONTONG")</f>
        <v>KYAI KONTONG</v>
      </c>
      <c r="D2291" s="186">
        <f>IFERROR(__xludf.DUMMYFUNCTION("""COMPUTED_VALUE"""),2.0)</f>
        <v>2</v>
      </c>
    </row>
    <row r="2292">
      <c r="A2292" s="178" t="str">
        <f>IFERROR(__xludf.DUMMYFUNCTION("""COMPUTED_VALUE"""),"ITBISA-ABC-BATERAI-AAA-ALKALINE")</f>
        <v>ITBISA-ABC-BATERAI-AAA-ALKALINE</v>
      </c>
      <c r="B2292" s="266">
        <f>IFERROR(__xludf.DUMMYFUNCTION("""COMPUTED_VALUE"""),45713.0)</f>
        <v>45713</v>
      </c>
      <c r="C2292" s="266" t="str">
        <f>IFERROR(__xludf.DUMMYFUNCTION("""COMPUTED_VALUE"""),"KERTASARI CIAMIS")</f>
        <v>KERTASARI CIAMIS</v>
      </c>
      <c r="D2292" s="186">
        <f>IFERROR(__xludf.DUMMYFUNCTION("""COMPUTED_VALUE"""),6.0)</f>
        <v>6</v>
      </c>
    </row>
    <row r="2293">
      <c r="A2293" s="178" t="str">
        <f>IFERROR(__xludf.DUMMYFUNCTION("""COMPUTED_VALUE"""),"ITBISA-ABC-BATERAI-AAA-ALKALINE")</f>
        <v>ITBISA-ABC-BATERAI-AAA-ALKALINE</v>
      </c>
      <c r="B2293" s="266">
        <f>IFERROR(__xludf.DUMMYFUNCTION("""COMPUTED_VALUE"""),45715.0)</f>
        <v>45715</v>
      </c>
      <c r="C2293" s="266" t="str">
        <f>IFERROR(__xludf.DUMMYFUNCTION("""COMPUTED_VALUE"""),"KYAI KONTONG")</f>
        <v>KYAI KONTONG</v>
      </c>
      <c r="D2293" s="186">
        <f>IFERROR(__xludf.DUMMYFUNCTION("""COMPUTED_VALUE"""),12.0)</f>
        <v>12</v>
      </c>
    </row>
    <row r="2294">
      <c r="A2294" s="178" t="str">
        <f>IFERROR(__xludf.DUMMYFUNCTION("""COMPUTED_VALUE"""),"ITBISA-ABC-BATERAI-AAA-ALKALINE")</f>
        <v>ITBISA-ABC-BATERAI-AAA-ALKALINE</v>
      </c>
      <c r="B2294" s="266">
        <f>IFERROR(__xludf.DUMMYFUNCTION("""COMPUTED_VALUE"""),45717.0)</f>
        <v>45717</v>
      </c>
      <c r="C2294" s="266" t="str">
        <f>IFERROR(__xludf.DUMMYFUNCTION("""COMPUTED_VALUE"""),"KERTASARI CIAMIS")</f>
        <v>KERTASARI CIAMIS</v>
      </c>
      <c r="D2294" s="186">
        <f>IFERROR(__xludf.DUMMYFUNCTION("""COMPUTED_VALUE"""),6.0)</f>
        <v>6</v>
      </c>
    </row>
    <row r="2295">
      <c r="A2295" s="178" t="str">
        <f>IFERROR(__xludf.DUMMYFUNCTION("""COMPUTED_VALUE"""),"ITBISA-ABC-BATERAI-AAA-ALKALINE")</f>
        <v>ITBISA-ABC-BATERAI-AAA-ALKALINE</v>
      </c>
      <c r="B2295" s="266">
        <f>IFERROR(__xludf.DUMMYFUNCTION("""COMPUTED_VALUE"""),45721.0)</f>
        <v>45721</v>
      </c>
      <c r="C2295" s="266" t="str">
        <f>IFERROR(__xludf.DUMMYFUNCTION("""COMPUTED_VALUE"""),"KERTASARI CIAMIS")</f>
        <v>KERTASARI CIAMIS</v>
      </c>
      <c r="D2295" s="186">
        <f>IFERROR(__xludf.DUMMYFUNCTION("""COMPUTED_VALUE"""),6.0)</f>
        <v>6</v>
      </c>
    </row>
    <row r="2296">
      <c r="A2296" s="178" t="str">
        <f>IFERROR(__xludf.DUMMYFUNCTION("""COMPUTED_VALUE"""),"ITBISA-ABC-BATERAI-AAA-ALKALINE")</f>
        <v>ITBISA-ABC-BATERAI-AAA-ALKALINE</v>
      </c>
      <c r="B2296" s="266">
        <f>IFERROR(__xludf.DUMMYFUNCTION("""COMPUTED_VALUE"""),45733.0)</f>
        <v>45733</v>
      </c>
      <c r="C2296" s="266" t="str">
        <f>IFERROR(__xludf.DUMMYFUNCTION("""COMPUTED_VALUE"""),"KYAI KONTONG")</f>
        <v>KYAI KONTONG</v>
      </c>
      <c r="D2296" s="186">
        <f>IFERROR(__xludf.DUMMYFUNCTION("""COMPUTED_VALUE"""),8.0)</f>
        <v>8</v>
      </c>
    </row>
    <row r="2297">
      <c r="A2297" s="178" t="str">
        <f>IFERROR(__xludf.DUMMYFUNCTION("""COMPUTED_VALUE"""),"ITBISA-ABC-BATERAI-AAA-ALKALINE")</f>
        <v>ITBISA-ABC-BATERAI-AAA-ALKALINE</v>
      </c>
      <c r="B2297" s="266">
        <f>IFERROR(__xludf.DUMMYFUNCTION("""COMPUTED_VALUE"""),45795.0)</f>
        <v>45795</v>
      </c>
      <c r="C2297" s="266" t="str">
        <f>IFERROR(__xludf.DUMMYFUNCTION("""COMPUTED_VALUE"""),"KYAI KONTONG")</f>
        <v>KYAI KONTONG</v>
      </c>
      <c r="D2297" s="186">
        <f>IFERROR(__xludf.DUMMYFUNCTION("""COMPUTED_VALUE"""),2.0)</f>
        <v>2</v>
      </c>
    </row>
    <row r="2298">
      <c r="A2298" s="178" t="str">
        <f>IFERROR(__xludf.DUMMYFUNCTION("""COMPUTED_VALUE"""),"ITBISA-ABC-BATERAI-AAA-ALKALINE")</f>
        <v>ITBISA-ABC-BATERAI-AAA-ALKALINE</v>
      </c>
      <c r="B2298" s="266">
        <f>IFERROR(__xludf.DUMMYFUNCTION("""COMPUTED_VALUE"""),45802.0)</f>
        <v>45802</v>
      </c>
      <c r="C2298" s="266" t="str">
        <f>IFERROR(__xludf.DUMMYFUNCTION("""COMPUTED_VALUE"""),"KYAI KONTONG")</f>
        <v>KYAI KONTONG</v>
      </c>
      <c r="D2298" s="186">
        <f>IFERROR(__xludf.DUMMYFUNCTION("""COMPUTED_VALUE"""),16.0)</f>
        <v>16</v>
      </c>
    </row>
    <row r="2299">
      <c r="A2299" s="178" t="str">
        <f>IFERROR(__xludf.DUMMYFUNCTION("""COMPUTED_VALUE"""),"ITBISA-ABC-BATERAI-AAA-ALKALINE")</f>
        <v>ITBISA-ABC-BATERAI-AAA-ALKALINE</v>
      </c>
      <c r="B2299" s="266">
        <f>IFERROR(__xludf.DUMMYFUNCTION("""COMPUTED_VALUE"""),45803.0)</f>
        <v>45803</v>
      </c>
      <c r="C2299" s="266" t="str">
        <f>IFERROR(__xludf.DUMMYFUNCTION("""COMPUTED_VALUE"""),"KYAI KONTONG")</f>
        <v>KYAI KONTONG</v>
      </c>
      <c r="D2299" s="186">
        <f>IFERROR(__xludf.DUMMYFUNCTION("""COMPUTED_VALUE"""),6.0)</f>
        <v>6</v>
      </c>
    </row>
    <row r="2300">
      <c r="A2300" s="178" t="str">
        <f>IFERROR(__xludf.DUMMYFUNCTION("""COMPUTED_VALUE"""),"ITBISA-ABC-BATERAI-AAA-ALKALINE")</f>
        <v>ITBISA-ABC-BATERAI-AAA-ALKALINE</v>
      </c>
      <c r="B2300" s="266">
        <f>IFERROR(__xludf.DUMMYFUNCTION("""COMPUTED_VALUE"""),45805.0)</f>
        <v>45805</v>
      </c>
      <c r="C2300" s="266" t="str">
        <f>IFERROR(__xludf.DUMMYFUNCTION("""COMPUTED_VALUE"""),"KYAI KONTONG")</f>
        <v>KYAI KONTONG</v>
      </c>
      <c r="D2300" s="186">
        <f>IFERROR(__xludf.DUMMYFUNCTION("""COMPUTED_VALUE"""),2.0)</f>
        <v>2</v>
      </c>
    </row>
    <row r="2301">
      <c r="A2301" s="178" t="str">
        <f>IFERROR(__xludf.DUMMYFUNCTION("""COMPUTED_VALUE"""),"ITBISA-ABC-BATERAI-AAA-ALKALINE")</f>
        <v>ITBISA-ABC-BATERAI-AAA-ALKALINE</v>
      </c>
      <c r="B2301" s="266">
        <f>IFERROR(__xludf.DUMMYFUNCTION("""COMPUTED_VALUE"""),45806.0)</f>
        <v>45806</v>
      </c>
      <c r="C2301" s="266" t="str">
        <f>IFERROR(__xludf.DUMMYFUNCTION("""COMPUTED_VALUE"""),"KYAI KONTONG")</f>
        <v>KYAI KONTONG</v>
      </c>
      <c r="D2301" s="186">
        <f>IFERROR(__xludf.DUMMYFUNCTION("""COMPUTED_VALUE"""),6.0)</f>
        <v>6</v>
      </c>
    </row>
    <row r="2302">
      <c r="A2302" s="178" t="str">
        <f>IFERROR(__xludf.DUMMYFUNCTION("""COMPUTED_VALUE"""),"ITBISA-ABC-BATERAI-AAA-ALKALINE")</f>
        <v>ITBISA-ABC-BATERAI-AAA-ALKALINE</v>
      </c>
      <c r="B2302" s="266">
        <f>IFERROR(__xludf.DUMMYFUNCTION("""COMPUTED_VALUE"""),45820.0)</f>
        <v>45820</v>
      </c>
      <c r="C2302" s="266" t="str">
        <f>IFERROR(__xludf.DUMMYFUNCTION("""COMPUTED_VALUE"""),"KYAI KONTONG")</f>
        <v>KYAI KONTONG</v>
      </c>
      <c r="D2302" s="186">
        <f>IFERROR(__xludf.DUMMYFUNCTION("""COMPUTED_VALUE"""),6.0)</f>
        <v>6</v>
      </c>
    </row>
    <row r="2303">
      <c r="A2303" s="178" t="str">
        <f>IFERROR(__xludf.DUMMYFUNCTION("""COMPUTED_VALUE"""),"ITBISA-ABC-BATERAI-AAA-ALKALINE")</f>
        <v>ITBISA-ABC-BATERAI-AAA-ALKALINE</v>
      </c>
      <c r="B2303" s="266">
        <f>IFERROR(__xludf.DUMMYFUNCTION("""COMPUTED_VALUE"""),45849.0)</f>
        <v>45849</v>
      </c>
      <c r="C2303" s="266" t="str">
        <f>IFERROR(__xludf.DUMMYFUNCTION("""COMPUTED_VALUE"""),"KYAI KONTONG")</f>
        <v>KYAI KONTONG</v>
      </c>
      <c r="D2303" s="186">
        <f>IFERROR(__xludf.DUMMYFUNCTION("""COMPUTED_VALUE"""),36.0)</f>
        <v>36</v>
      </c>
    </row>
    <row r="2304">
      <c r="A2304" s="178" t="str">
        <f>IFERROR(__xludf.DUMMYFUNCTION("""COMPUTED_VALUE"""),"ITBISA-ABC-BATERAI-AAA-ALKALINE")</f>
        <v>ITBISA-ABC-BATERAI-AAA-ALKALINE</v>
      </c>
      <c r="B2304" s="266">
        <f>IFERROR(__xludf.DUMMYFUNCTION("""COMPUTED_VALUE"""),45853.0)</f>
        <v>45853</v>
      </c>
      <c r="C2304" s="266" t="str">
        <f>IFERROR(__xludf.DUMMYFUNCTION("""COMPUTED_VALUE"""),"KERTASARI CIAMIS")</f>
        <v>KERTASARI CIAMIS</v>
      </c>
      <c r="D2304" s="186">
        <f>IFERROR(__xludf.DUMMYFUNCTION("""COMPUTED_VALUE"""),6.0)</f>
        <v>6</v>
      </c>
    </row>
    <row r="2305">
      <c r="A2305" s="178" t="str">
        <f>IFERROR(__xludf.DUMMYFUNCTION("""COMPUTED_VALUE"""),"ITBISA-ABC-BATERAI-AAA-ALKALINE")</f>
        <v>ITBISA-ABC-BATERAI-AAA-ALKALINE</v>
      </c>
      <c r="B2305" s="266">
        <f>IFERROR(__xludf.DUMMYFUNCTION("""COMPUTED_VALUE"""),45875.0)</f>
        <v>45875</v>
      </c>
      <c r="C2305" s="266" t="str">
        <f>IFERROR(__xludf.DUMMYFUNCTION("""COMPUTED_VALUE"""),"KERTASARI CIAMIS")</f>
        <v>KERTASARI CIAMIS</v>
      </c>
      <c r="D2305" s="186">
        <f>IFERROR(__xludf.DUMMYFUNCTION("""COMPUTED_VALUE"""),2.0)</f>
        <v>2</v>
      </c>
    </row>
    <row r="2306">
      <c r="A2306" s="178" t="str">
        <f>IFERROR(__xludf.DUMMYFUNCTION("""COMPUTED_VALUE"""),"ITBISA-ABC-BATERAI-AAA-ALKALINE")</f>
        <v>ITBISA-ABC-BATERAI-AAA-ALKALINE</v>
      </c>
      <c r="B2306" s="266">
        <f>IFERROR(__xludf.DUMMYFUNCTION("""COMPUTED_VALUE"""),45875.0)</f>
        <v>45875</v>
      </c>
      <c r="C2306" s="266" t="str">
        <f>IFERROR(__xludf.DUMMYFUNCTION("""COMPUTED_VALUE"""),"KERTASARI CIAMIS")</f>
        <v>KERTASARI CIAMIS</v>
      </c>
      <c r="D2306" s="186">
        <f>IFERROR(__xludf.DUMMYFUNCTION("""COMPUTED_VALUE"""),2.0)</f>
        <v>2</v>
      </c>
    </row>
    <row r="2307">
      <c r="A2307" s="178" t="str">
        <f>IFERROR(__xludf.DUMMYFUNCTION("""COMPUTED_VALUE"""),"ITBISA-ABC-BATERAI-AAA-ALKALINE")</f>
        <v>ITBISA-ABC-BATERAI-AAA-ALKALINE</v>
      </c>
      <c r="B2307" s="266">
        <f>IFERROR(__xludf.DUMMYFUNCTION("""COMPUTED_VALUE"""),45877.0)</f>
        <v>45877</v>
      </c>
      <c r="C2307" s="266" t="str">
        <f>IFERROR(__xludf.DUMMYFUNCTION("""COMPUTED_VALUE"""),"KYAI KONTONG")</f>
        <v>KYAI KONTONG</v>
      </c>
      <c r="D2307" s="186">
        <f>IFERROR(__xludf.DUMMYFUNCTION("""COMPUTED_VALUE"""),1.0)</f>
        <v>1</v>
      </c>
    </row>
    <row r="2308">
      <c r="A2308" s="178" t="str">
        <f>IFERROR(__xludf.DUMMYFUNCTION("""COMPUTED_VALUE"""),"ITBISA-ABC-BATERAI-AAA-ALKALINE")</f>
        <v>ITBISA-ABC-BATERAI-AAA-ALKALINE</v>
      </c>
      <c r="B2308" s="266">
        <f>IFERROR(__xludf.DUMMYFUNCTION("""COMPUTED_VALUE"""),45879.0)</f>
        <v>45879</v>
      </c>
      <c r="C2308" s="266" t="str">
        <f>IFERROR(__xludf.DUMMYFUNCTION("""COMPUTED_VALUE"""),"KERTASARI CIAMIS")</f>
        <v>KERTASARI CIAMIS</v>
      </c>
      <c r="D2308" s="186">
        <f>IFERROR(__xludf.DUMMYFUNCTION("""COMPUTED_VALUE"""),6.0)</f>
        <v>6</v>
      </c>
    </row>
    <row r="2309">
      <c r="A2309" s="178" t="str">
        <f>IFERROR(__xludf.DUMMYFUNCTION("""COMPUTED_VALUE"""),"ITBISA-ABC-BATERAI-AAA-ALKALINE")</f>
        <v>ITBISA-ABC-BATERAI-AAA-ALKALINE</v>
      </c>
      <c r="B2309" s="266">
        <f>IFERROR(__xludf.DUMMYFUNCTION("""COMPUTED_VALUE"""),45879.0)</f>
        <v>45879</v>
      </c>
      <c r="C2309" s="266" t="str">
        <f>IFERROR(__xludf.DUMMYFUNCTION("""COMPUTED_VALUE"""),"KYAI KONTONG")</f>
        <v>KYAI KONTONG</v>
      </c>
      <c r="D2309" s="186">
        <f>IFERROR(__xludf.DUMMYFUNCTION("""COMPUTED_VALUE"""),6.0)</f>
        <v>6</v>
      </c>
    </row>
    <row r="2310">
      <c r="A2310" s="178" t="str">
        <f>IFERROR(__xludf.DUMMYFUNCTION("""COMPUTED_VALUE"""),"ITBISA-ABC-BATERAI-AAA-ALKALINE")</f>
        <v>ITBISA-ABC-BATERAI-AAA-ALKALINE</v>
      </c>
      <c r="B2310" s="266">
        <f>IFERROR(__xludf.DUMMYFUNCTION("""COMPUTED_VALUE"""),45881.0)</f>
        <v>45881</v>
      </c>
      <c r="C2310" s="266" t="str">
        <f>IFERROR(__xludf.DUMMYFUNCTION("""COMPUTED_VALUE"""),"KYAI KONTONG")</f>
        <v>KYAI KONTONG</v>
      </c>
      <c r="D2310" s="186">
        <f>IFERROR(__xludf.DUMMYFUNCTION("""COMPUTED_VALUE"""),2.0)</f>
        <v>2</v>
      </c>
    </row>
    <row r="2311">
      <c r="A2311" s="178" t="str">
        <f>IFERROR(__xludf.DUMMYFUNCTION("""COMPUTED_VALUE"""),"ITBISA-ABC-BATERAI-AAA-ALKALINE")</f>
        <v>ITBISA-ABC-BATERAI-AAA-ALKALINE</v>
      </c>
      <c r="B2311" s="266">
        <f>IFERROR(__xludf.DUMMYFUNCTION("""COMPUTED_VALUE"""),45885.0)</f>
        <v>45885</v>
      </c>
      <c r="C2311" s="266" t="str">
        <f>IFERROR(__xludf.DUMMYFUNCTION("""COMPUTED_VALUE"""),"KYAI KONTONG")</f>
        <v>KYAI KONTONG</v>
      </c>
      <c r="D2311" s="186">
        <f>IFERROR(__xludf.DUMMYFUNCTION("""COMPUTED_VALUE"""),12.0)</f>
        <v>12</v>
      </c>
    </row>
    <row r="2312">
      <c r="A2312" s="178" t="str">
        <f>IFERROR(__xludf.DUMMYFUNCTION("""COMPUTED_VALUE"""),"ITBISA-ABC-BATERAI-AAA-ALKALINE")</f>
        <v>ITBISA-ABC-BATERAI-AAA-ALKALINE</v>
      </c>
      <c r="B2312" s="266">
        <f>IFERROR(__xludf.DUMMYFUNCTION("""COMPUTED_VALUE"""),45896.0)</f>
        <v>45896</v>
      </c>
      <c r="C2312" s="266" t="str">
        <f>IFERROR(__xludf.DUMMYFUNCTION("""COMPUTED_VALUE"""),"KERTASARI CIAMIS")</f>
        <v>KERTASARI CIAMIS</v>
      </c>
      <c r="D2312" s="186">
        <f>IFERROR(__xludf.DUMMYFUNCTION("""COMPUTED_VALUE"""),6.0)</f>
        <v>6</v>
      </c>
    </row>
    <row r="2313">
      <c r="A2313" s="178" t="str">
        <f>IFERROR(__xludf.DUMMYFUNCTION("""COMPUTED_VALUE"""),"ITBISA-ABC-BATERAI-AAA-ALKALINE")</f>
        <v>ITBISA-ABC-BATERAI-AAA-ALKALINE</v>
      </c>
      <c r="B2313" s="266">
        <f>IFERROR(__xludf.DUMMYFUNCTION("""COMPUTED_VALUE"""),45906.0)</f>
        <v>45906</v>
      </c>
      <c r="C2313" s="266" t="str">
        <f>IFERROR(__xludf.DUMMYFUNCTION("""COMPUTED_VALUE"""),"KERTASARI CIAMIS")</f>
        <v>KERTASARI CIAMIS</v>
      </c>
      <c r="D2313" s="186">
        <f>IFERROR(__xludf.DUMMYFUNCTION("""COMPUTED_VALUE"""),6.0)</f>
        <v>6</v>
      </c>
    </row>
    <row r="2314">
      <c r="A2314" s="178" t="str">
        <f>IFERROR(__xludf.DUMMYFUNCTION("""COMPUTED_VALUE"""),"ITBISA-ABC-BATERAI-AAA-ALKALINE")</f>
        <v>ITBISA-ABC-BATERAI-AAA-ALKALINE</v>
      </c>
      <c r="B2314" s="266">
        <f>IFERROR(__xludf.DUMMYFUNCTION("""COMPUTED_VALUE"""),45906.0)</f>
        <v>45906</v>
      </c>
      <c r="C2314" s="266" t="str">
        <f>IFERROR(__xludf.DUMMYFUNCTION("""COMPUTED_VALUE"""),"KYAI KONTONG")</f>
        <v>KYAI KONTONG</v>
      </c>
      <c r="D2314" s="186">
        <f>IFERROR(__xludf.DUMMYFUNCTION("""COMPUTED_VALUE"""),2.0)</f>
        <v>2</v>
      </c>
    </row>
    <row r="2315">
      <c r="A2315" s="178" t="str">
        <f>IFERROR(__xludf.DUMMYFUNCTION("""COMPUTED_VALUE"""),"ITBISA-ABC-BATERAI-AAA-ALKALINE")</f>
        <v>ITBISA-ABC-BATERAI-AAA-ALKALINE</v>
      </c>
      <c r="B2315" s="266">
        <f>IFERROR(__xludf.DUMMYFUNCTION("""COMPUTED_VALUE"""),45909.0)</f>
        <v>45909</v>
      </c>
      <c r="C2315" s="266" t="str">
        <f>IFERROR(__xludf.DUMMYFUNCTION("""COMPUTED_VALUE"""),"KYAI KONTONG")</f>
        <v>KYAI KONTONG</v>
      </c>
      <c r="D2315" s="186">
        <f>IFERROR(__xludf.DUMMYFUNCTION("""COMPUTED_VALUE"""),2.0)</f>
        <v>2</v>
      </c>
    </row>
    <row r="2316">
      <c r="A2316" s="178" t="str">
        <f>IFERROR(__xludf.DUMMYFUNCTION("""COMPUTED_VALUE"""),"ITBISA-ABC-BATERAI-AAA-ALKALINE")</f>
        <v>ITBISA-ABC-BATERAI-AAA-ALKALINE</v>
      </c>
      <c r="B2316" s="266">
        <f>IFERROR(__xludf.DUMMYFUNCTION("""COMPUTED_VALUE"""),45910.0)</f>
        <v>45910</v>
      </c>
      <c r="C2316" s="266" t="str">
        <f>IFERROR(__xludf.DUMMYFUNCTION("""COMPUTED_VALUE"""),"KYAI KONTONG")</f>
        <v>KYAI KONTONG</v>
      </c>
      <c r="D2316" s="186">
        <f>IFERROR(__xludf.DUMMYFUNCTION("""COMPUTED_VALUE"""),1.0)</f>
        <v>1</v>
      </c>
    </row>
    <row r="2317">
      <c r="A2317" s="178" t="str">
        <f>IFERROR(__xludf.DUMMYFUNCTION("""COMPUTED_VALUE"""),"ITBISA-ABC-BATERAI-AAA-ALKALINE")</f>
        <v>ITBISA-ABC-BATERAI-AAA-ALKALINE</v>
      </c>
      <c r="B2317" s="266">
        <f>IFERROR(__xludf.DUMMYFUNCTION("""COMPUTED_VALUE"""),45913.0)</f>
        <v>45913</v>
      </c>
      <c r="C2317" s="266" t="str">
        <f>IFERROR(__xludf.DUMMYFUNCTION("""COMPUTED_VALUE"""),"KERTASARI CIAMIS")</f>
        <v>KERTASARI CIAMIS</v>
      </c>
      <c r="D2317" s="186">
        <f>IFERROR(__xludf.DUMMYFUNCTION("""COMPUTED_VALUE"""),8.0)</f>
        <v>8</v>
      </c>
    </row>
    <row r="2318">
      <c r="A2318" s="178" t="str">
        <f>IFERROR(__xludf.DUMMYFUNCTION("""COMPUTED_VALUE"""),"ITBISA-ABC-BATERAI-AAA-ALKALINE")</f>
        <v>ITBISA-ABC-BATERAI-AAA-ALKALINE</v>
      </c>
      <c r="B2318" s="266">
        <f>IFERROR(__xludf.DUMMYFUNCTION("""COMPUTED_VALUE"""),45917.0)</f>
        <v>45917</v>
      </c>
      <c r="C2318" s="266" t="str">
        <f>IFERROR(__xludf.DUMMYFUNCTION("""COMPUTED_VALUE"""),"KYAI KONTONG")</f>
        <v>KYAI KONTONG</v>
      </c>
      <c r="D2318" s="186">
        <f>IFERROR(__xludf.DUMMYFUNCTION("""COMPUTED_VALUE"""),2.0)</f>
        <v>2</v>
      </c>
    </row>
    <row r="2319">
      <c r="A2319" s="178" t="str">
        <f>IFERROR(__xludf.DUMMYFUNCTION("""COMPUTED_VALUE"""),"ITBISA-ABC-BATERAI-AAA-ALKALINE")</f>
        <v>ITBISA-ABC-BATERAI-AAA-ALKALINE</v>
      </c>
      <c r="B2319" s="266">
        <f>IFERROR(__xludf.DUMMYFUNCTION("""COMPUTED_VALUE"""),45922.0)</f>
        <v>45922</v>
      </c>
      <c r="C2319" s="266" t="str">
        <f>IFERROR(__xludf.DUMMYFUNCTION("""COMPUTED_VALUE"""),"KERTASARI CIAMIS")</f>
        <v>KERTASARI CIAMIS</v>
      </c>
      <c r="D2319" s="186">
        <f>IFERROR(__xludf.DUMMYFUNCTION("""COMPUTED_VALUE"""),4.0)</f>
        <v>4</v>
      </c>
    </row>
    <row r="2320">
      <c r="A2320" s="178" t="str">
        <f>IFERROR(__xludf.DUMMYFUNCTION("""COMPUTED_VALUE"""),"ITBISA-ABC-BATERAI-AAA-ALKALINE")</f>
        <v>ITBISA-ABC-BATERAI-AAA-ALKALINE</v>
      </c>
      <c r="B2320" s="266">
        <f>IFERROR(__xludf.DUMMYFUNCTION("""COMPUTED_VALUE"""),45922.0)</f>
        <v>45922</v>
      </c>
      <c r="C2320" s="266" t="str">
        <f>IFERROR(__xludf.DUMMYFUNCTION("""COMPUTED_VALUE"""),"KYAI KONTONG")</f>
        <v>KYAI KONTONG</v>
      </c>
      <c r="D2320" s="186">
        <f>IFERROR(__xludf.DUMMYFUNCTION("""COMPUTED_VALUE"""),36.0)</f>
        <v>36</v>
      </c>
    </row>
    <row r="2321">
      <c r="A2321" s="178" t="str">
        <f>IFERROR(__xludf.DUMMYFUNCTION("""COMPUTED_VALUE"""),"ITBISA-ABC-BATERAI-AAA-ALKALINE")</f>
        <v>ITBISA-ABC-BATERAI-AAA-ALKALINE</v>
      </c>
      <c r="B2321" s="266">
        <f>IFERROR(__xludf.DUMMYFUNCTION("""COMPUTED_VALUE"""),45923.0)</f>
        <v>45923</v>
      </c>
      <c r="C2321" s="266" t="str">
        <f>IFERROR(__xludf.DUMMYFUNCTION("""COMPUTED_VALUE"""),"KERTASARI CIAMIS")</f>
        <v>KERTASARI CIAMIS</v>
      </c>
      <c r="D2321" s="186">
        <f>IFERROR(__xludf.DUMMYFUNCTION("""COMPUTED_VALUE"""),8.0)</f>
        <v>8</v>
      </c>
    </row>
    <row r="2322">
      <c r="A2322" s="178" t="str">
        <f>IFERROR(__xludf.DUMMYFUNCTION("""COMPUTED_VALUE"""),"ITBISA-ABC-BATERAI-AAA-ALKALINE")</f>
        <v>ITBISA-ABC-BATERAI-AAA-ALKALINE</v>
      </c>
      <c r="B2322" s="266">
        <f>IFERROR(__xludf.DUMMYFUNCTION("""COMPUTED_VALUE"""),45923.0)</f>
        <v>45923</v>
      </c>
      <c r="C2322" s="266" t="str">
        <f>IFERROR(__xludf.DUMMYFUNCTION("""COMPUTED_VALUE"""),"KYAI KONTONG")</f>
        <v>KYAI KONTONG</v>
      </c>
      <c r="D2322" s="186">
        <f>IFERROR(__xludf.DUMMYFUNCTION("""COMPUTED_VALUE"""),2.0)</f>
        <v>2</v>
      </c>
    </row>
    <row r="2323">
      <c r="A2323" s="178" t="str">
        <f>IFERROR(__xludf.DUMMYFUNCTION("""COMPUTED_VALUE"""),"ITBISA-ABC-BATERAI-AAA-ALKALINE")</f>
        <v>ITBISA-ABC-BATERAI-AAA-ALKALINE</v>
      </c>
      <c r="B2323" s="266">
        <f>IFERROR(__xludf.DUMMYFUNCTION("""COMPUTED_VALUE"""),45925.0)</f>
        <v>45925</v>
      </c>
      <c r="C2323" s="266" t="str">
        <f>IFERROR(__xludf.DUMMYFUNCTION("""COMPUTED_VALUE"""),"KYAI KONTONG")</f>
        <v>KYAI KONTONG</v>
      </c>
      <c r="D2323" s="186">
        <f>IFERROR(__xludf.DUMMYFUNCTION("""COMPUTED_VALUE"""),12.0)</f>
        <v>12</v>
      </c>
    </row>
    <row r="2324">
      <c r="A2324" s="178" t="str">
        <f>IFERROR(__xludf.DUMMYFUNCTION("""COMPUTED_VALUE"""),"ITBISA-ABC-BATERAI-AAA-ALKALINE")</f>
        <v>ITBISA-ABC-BATERAI-AAA-ALKALINE</v>
      </c>
      <c r="B2324" s="266">
        <f>IFERROR(__xludf.DUMMYFUNCTION("""COMPUTED_VALUE"""),45927.0)</f>
        <v>45927</v>
      </c>
      <c r="C2324" s="266" t="str">
        <f>IFERROR(__xludf.DUMMYFUNCTION("""COMPUTED_VALUE"""),"KYAI KONTONG")</f>
        <v>KYAI KONTONG</v>
      </c>
      <c r="D2324" s="186">
        <f>IFERROR(__xludf.DUMMYFUNCTION("""COMPUTED_VALUE"""),6.0)</f>
        <v>6</v>
      </c>
    </row>
    <row r="2325">
      <c r="A2325" s="178" t="str">
        <f>IFERROR(__xludf.DUMMYFUNCTION("""COMPUTED_VALUE"""),"ITBISA-ABC-BATERAI-AAA-ALKALINE")</f>
        <v>ITBISA-ABC-BATERAI-AAA-ALKALINE</v>
      </c>
      <c r="B2325" s="266">
        <f>IFERROR(__xludf.DUMMYFUNCTION("""COMPUTED_VALUE"""),45929.0)</f>
        <v>45929</v>
      </c>
      <c r="C2325" s="266" t="str">
        <f>IFERROR(__xludf.DUMMYFUNCTION("""COMPUTED_VALUE"""),"KERTASARI CIAMIS")</f>
        <v>KERTASARI CIAMIS</v>
      </c>
      <c r="D2325" s="186">
        <f>IFERROR(__xludf.DUMMYFUNCTION("""COMPUTED_VALUE"""),2.0)</f>
        <v>2</v>
      </c>
    </row>
    <row r="2326">
      <c r="A2326" s="178" t="str">
        <f>IFERROR(__xludf.DUMMYFUNCTION("""COMPUTED_VALUE"""),"ITBISA-ABC-BATERAI-AAA-ALKALINE")</f>
        <v>ITBISA-ABC-BATERAI-AAA-ALKALINE</v>
      </c>
      <c r="B2326" s="266">
        <f>IFERROR(__xludf.DUMMYFUNCTION("""COMPUTED_VALUE"""),45929.0)</f>
        <v>45929</v>
      </c>
      <c r="C2326" s="266" t="str">
        <f>IFERROR(__xludf.DUMMYFUNCTION("""COMPUTED_VALUE"""),"KYAI KONTONG")</f>
        <v>KYAI KONTONG</v>
      </c>
      <c r="D2326" s="186">
        <f>IFERROR(__xludf.DUMMYFUNCTION("""COMPUTED_VALUE"""),4.0)</f>
        <v>4</v>
      </c>
    </row>
    <row r="2327">
      <c r="A2327" s="178" t="str">
        <f>IFERROR(__xludf.DUMMYFUNCTION("""COMPUTED_VALUE"""),"ITBISA-ABC-BATERAI-AAA-ALKALINE")</f>
        <v>ITBISA-ABC-BATERAI-AAA-ALKALINE</v>
      </c>
      <c r="B2327" s="266">
        <f>IFERROR(__xludf.DUMMYFUNCTION("""COMPUTED_VALUE"""),45930.0)</f>
        <v>45930</v>
      </c>
      <c r="C2327" s="266" t="str">
        <f>IFERROR(__xludf.DUMMYFUNCTION("""COMPUTED_VALUE"""),"KERTASARI CIAMIS")</f>
        <v>KERTASARI CIAMIS</v>
      </c>
      <c r="D2327" s="186">
        <f>IFERROR(__xludf.DUMMYFUNCTION("""COMPUTED_VALUE"""),2.0)</f>
        <v>2</v>
      </c>
    </row>
    <row r="2328">
      <c r="A2328" s="178" t="str">
        <f>IFERROR(__xludf.DUMMYFUNCTION("""COMPUTED_VALUE"""),"ITBISA-ABC-BATERAI-AAA-ALKALINE")</f>
        <v>ITBISA-ABC-BATERAI-AAA-ALKALINE</v>
      </c>
      <c r="B2328" s="266">
        <f>IFERROR(__xludf.DUMMYFUNCTION("""COMPUTED_VALUE"""),45931.0)</f>
        <v>45931</v>
      </c>
      <c r="C2328" s="266" t="str">
        <f>IFERROR(__xludf.DUMMYFUNCTION("""COMPUTED_VALUE"""),"KYAI KONTONG")</f>
        <v>KYAI KONTONG</v>
      </c>
      <c r="D2328" s="186">
        <f>IFERROR(__xludf.DUMMYFUNCTION("""COMPUTED_VALUE"""),16.0)</f>
        <v>16</v>
      </c>
    </row>
    <row r="2329">
      <c r="A2329" s="178" t="str">
        <f>IFERROR(__xludf.DUMMYFUNCTION("""COMPUTED_VALUE"""),"ITBISA-ABC-BATERAI-AAA-ALKALINE")</f>
        <v>ITBISA-ABC-BATERAI-AAA-ALKALINE</v>
      </c>
      <c r="B2329" s="266">
        <f>IFERROR(__xludf.DUMMYFUNCTION("""COMPUTED_VALUE"""),45932.0)</f>
        <v>45932</v>
      </c>
      <c r="C2329" s="266" t="str">
        <f>IFERROR(__xludf.DUMMYFUNCTION("""COMPUTED_VALUE"""),"KYAI KONTONG")</f>
        <v>KYAI KONTONG</v>
      </c>
      <c r="D2329" s="186">
        <f>IFERROR(__xludf.DUMMYFUNCTION("""COMPUTED_VALUE"""),1.0)</f>
        <v>1</v>
      </c>
    </row>
    <row r="2330">
      <c r="A2330" s="178" t="str">
        <f>IFERROR(__xludf.DUMMYFUNCTION("""COMPUTED_VALUE"""),"ITBISA-ABC-BATERAI-AAA-ALKALINE")</f>
        <v>ITBISA-ABC-BATERAI-AAA-ALKALINE</v>
      </c>
      <c r="B2330" s="266">
        <f>IFERROR(__xludf.DUMMYFUNCTION("""COMPUTED_VALUE"""),45933.0)</f>
        <v>45933</v>
      </c>
      <c r="C2330" s="266" t="str">
        <f>IFERROR(__xludf.DUMMYFUNCTION("""COMPUTED_VALUE"""),"KYAI KONTONG")</f>
        <v>KYAI KONTONG</v>
      </c>
      <c r="D2330" s="186">
        <f>IFERROR(__xludf.DUMMYFUNCTION("""COMPUTED_VALUE"""),2.0)</f>
        <v>2</v>
      </c>
    </row>
    <row r="2331">
      <c r="A2331" s="178" t="str">
        <f>IFERROR(__xludf.DUMMYFUNCTION("""COMPUTED_VALUE"""),"ITBISA-ABC-BATERAI-AAA-ALKALINE")</f>
        <v>ITBISA-ABC-BATERAI-AAA-ALKALINE</v>
      </c>
      <c r="B2331" s="266">
        <f>IFERROR(__xludf.DUMMYFUNCTION("""COMPUTED_VALUE"""),45940.0)</f>
        <v>45940</v>
      </c>
      <c r="C2331" s="266" t="str">
        <f>IFERROR(__xludf.DUMMYFUNCTION("""COMPUTED_VALUE"""),"KYAI KONTONG")</f>
        <v>KYAI KONTONG</v>
      </c>
      <c r="D2331" s="186">
        <f>IFERROR(__xludf.DUMMYFUNCTION("""COMPUTED_VALUE"""),2.0)</f>
        <v>2</v>
      </c>
    </row>
    <row r="2332">
      <c r="A2332" s="178" t="str">
        <f>IFERROR(__xludf.DUMMYFUNCTION("""COMPUTED_VALUE"""),"ITBISA-ABC-BATERAI-AAA-ALKALINE")</f>
        <v>ITBISA-ABC-BATERAI-AAA-ALKALINE</v>
      </c>
      <c r="B2332" s="266">
        <f>IFERROR(__xludf.DUMMYFUNCTION("""COMPUTED_VALUE"""),45940.0)</f>
        <v>45940</v>
      </c>
      <c r="C2332" s="266" t="str">
        <f>IFERROR(__xludf.DUMMYFUNCTION("""COMPUTED_VALUE"""),"KYAI KONTONG")</f>
        <v>KYAI KONTONG</v>
      </c>
      <c r="D2332" s="186">
        <f>IFERROR(__xludf.DUMMYFUNCTION("""COMPUTED_VALUE"""),6.0)</f>
        <v>6</v>
      </c>
    </row>
    <row r="2333">
      <c r="A2333" s="178" t="str">
        <f>IFERROR(__xludf.DUMMYFUNCTION("""COMPUTED_VALUE"""),"ITBISA-ABC-BATERAI-AAA-ALKALINE")</f>
        <v>ITBISA-ABC-BATERAI-AAA-ALKALINE</v>
      </c>
      <c r="B2333" s="266">
        <f>IFERROR(__xludf.DUMMYFUNCTION("""COMPUTED_VALUE"""),45941.0)</f>
        <v>45941</v>
      </c>
      <c r="C2333" s="266" t="str">
        <f>IFERROR(__xludf.DUMMYFUNCTION("""COMPUTED_VALUE"""),"KYAI KONTONG")</f>
        <v>KYAI KONTONG</v>
      </c>
      <c r="D2333" s="186">
        <f>IFERROR(__xludf.DUMMYFUNCTION("""COMPUTED_VALUE"""),2.0)</f>
        <v>2</v>
      </c>
    </row>
    <row r="2334">
      <c r="A2334" s="178" t="str">
        <f>IFERROR(__xludf.DUMMYFUNCTION("""COMPUTED_VALUE"""),"ITBISA-ABC-BATERAI-AAA-ALKALINE")</f>
        <v>ITBISA-ABC-BATERAI-AAA-ALKALINE</v>
      </c>
      <c r="B2334" s="266">
        <f>IFERROR(__xludf.DUMMYFUNCTION("""COMPUTED_VALUE"""),45946.0)</f>
        <v>45946</v>
      </c>
      <c r="C2334" s="266" t="str">
        <f>IFERROR(__xludf.DUMMYFUNCTION("""COMPUTED_VALUE"""),"KYAI KONTONG")</f>
        <v>KYAI KONTONG</v>
      </c>
      <c r="D2334" s="186">
        <f>IFERROR(__xludf.DUMMYFUNCTION("""COMPUTED_VALUE"""),3.0)</f>
        <v>3</v>
      </c>
    </row>
    <row r="2335">
      <c r="A2335" s="178" t="str">
        <f>IFERROR(__xludf.DUMMYFUNCTION("""COMPUTED_VALUE"""),"ITBISA-ABC-BATERAI-AAA-ALKALINE")</f>
        <v>ITBISA-ABC-BATERAI-AAA-ALKALINE</v>
      </c>
      <c r="B2335" s="266">
        <f>IFERROR(__xludf.DUMMYFUNCTION("""COMPUTED_VALUE"""),45946.0)</f>
        <v>45946</v>
      </c>
      <c r="C2335" s="266" t="str">
        <f>IFERROR(__xludf.DUMMYFUNCTION("""COMPUTED_VALUE"""),"KYAI KONTONG")</f>
        <v>KYAI KONTONG</v>
      </c>
      <c r="D2335" s="186">
        <f>IFERROR(__xludf.DUMMYFUNCTION("""COMPUTED_VALUE"""),6.0)</f>
        <v>6</v>
      </c>
    </row>
    <row r="2336">
      <c r="A2336" s="178" t="str">
        <f>IFERROR(__xludf.DUMMYFUNCTION("""COMPUTED_VALUE"""),"ITBISA-ABC-BATERAI-AAA-ALKALINE")</f>
        <v>ITBISA-ABC-BATERAI-AAA-ALKALINE</v>
      </c>
      <c r="B2336" s="266">
        <f>IFERROR(__xludf.DUMMYFUNCTION("""COMPUTED_VALUE"""),45950.0)</f>
        <v>45950</v>
      </c>
      <c r="C2336" s="266" t="str">
        <f>IFERROR(__xludf.DUMMYFUNCTION("""COMPUTED_VALUE"""),"KYAI KONTONG")</f>
        <v>KYAI KONTONG</v>
      </c>
      <c r="D2336" s="186">
        <f>IFERROR(__xludf.DUMMYFUNCTION("""COMPUTED_VALUE"""),6.0)</f>
        <v>6</v>
      </c>
    </row>
    <row r="2337">
      <c r="A2337" s="178" t="str">
        <f>IFERROR(__xludf.DUMMYFUNCTION("""COMPUTED_VALUE"""),"ITBISA-ABC-BATERAI-AAA-ALKALINE")</f>
        <v>ITBISA-ABC-BATERAI-AAA-ALKALINE</v>
      </c>
      <c r="B2337" s="266">
        <f>IFERROR(__xludf.DUMMYFUNCTION("""COMPUTED_VALUE"""),45950.0)</f>
        <v>45950</v>
      </c>
      <c r="C2337" s="266" t="str">
        <f>IFERROR(__xludf.DUMMYFUNCTION("""COMPUTED_VALUE"""),"KYAI KONTONG")</f>
        <v>KYAI KONTONG</v>
      </c>
      <c r="D2337" s="186">
        <f>IFERROR(__xludf.DUMMYFUNCTION("""COMPUTED_VALUE"""),6.0)</f>
        <v>6</v>
      </c>
    </row>
    <row r="2338">
      <c r="A2338" s="178" t="str">
        <f>IFERROR(__xludf.DUMMYFUNCTION("""COMPUTED_VALUE"""),"ITBISA-ABC-BATERAI-AAA-ALKALINE")</f>
        <v>ITBISA-ABC-BATERAI-AAA-ALKALINE</v>
      </c>
      <c r="B2338" s="266">
        <f>IFERROR(__xludf.DUMMYFUNCTION("""COMPUTED_VALUE"""),45950.0)</f>
        <v>45950</v>
      </c>
      <c r="C2338" s="266" t="str">
        <f>IFERROR(__xludf.DUMMYFUNCTION("""COMPUTED_VALUE"""),"KYAI KONTONG")</f>
        <v>KYAI KONTONG</v>
      </c>
      <c r="D2338" s="186">
        <f>IFERROR(__xludf.DUMMYFUNCTION("""COMPUTED_VALUE"""),8.0)</f>
        <v>8</v>
      </c>
    </row>
    <row r="2339">
      <c r="A2339" s="178" t="str">
        <f>IFERROR(__xludf.DUMMYFUNCTION("""COMPUTED_VALUE"""),"ITBISA-ABC-BATERAI-AAA-ALKALINE")</f>
        <v>ITBISA-ABC-BATERAI-AAA-ALKALINE</v>
      </c>
      <c r="B2339" s="266">
        <f>IFERROR(__xludf.DUMMYFUNCTION("""COMPUTED_VALUE"""),45954.0)</f>
        <v>45954</v>
      </c>
      <c r="C2339" s="266" t="str">
        <f>IFERROR(__xludf.DUMMYFUNCTION("""COMPUTED_VALUE"""),"KYAI KONTONG")</f>
        <v>KYAI KONTONG</v>
      </c>
      <c r="D2339" s="186">
        <f>IFERROR(__xludf.DUMMYFUNCTION("""COMPUTED_VALUE"""),1.0)</f>
        <v>1</v>
      </c>
    </row>
    <row r="2340">
      <c r="A2340" s="178" t="str">
        <f>IFERROR(__xludf.DUMMYFUNCTION("""COMPUTED_VALUE"""),"ITBISA-ABC-BATERAI-AAA-ALKALINE")</f>
        <v>ITBISA-ABC-BATERAI-AAA-ALKALINE</v>
      </c>
      <c r="B2340" s="266">
        <f>IFERROR(__xludf.DUMMYFUNCTION("""COMPUTED_VALUE"""),45954.0)</f>
        <v>45954</v>
      </c>
      <c r="C2340" s="266" t="str">
        <f>IFERROR(__xludf.DUMMYFUNCTION("""COMPUTED_VALUE"""),"KYAI KONTONG")</f>
        <v>KYAI KONTONG</v>
      </c>
      <c r="D2340" s="186">
        <f>IFERROR(__xludf.DUMMYFUNCTION("""COMPUTED_VALUE"""),6.0)</f>
        <v>6</v>
      </c>
    </row>
    <row r="2341">
      <c r="A2341" s="178" t="str">
        <f>IFERROR(__xludf.DUMMYFUNCTION("""COMPUTED_VALUE"""),"ITBISA-ABC-BATERAI-AAA-ALKALINE")</f>
        <v>ITBISA-ABC-BATERAI-AAA-ALKALINE</v>
      </c>
      <c r="B2341" s="266">
        <f>IFERROR(__xludf.DUMMYFUNCTION("""COMPUTED_VALUE"""),45955.0)</f>
        <v>45955</v>
      </c>
      <c r="C2341" s="266" t="str">
        <f>IFERROR(__xludf.DUMMYFUNCTION("""COMPUTED_VALUE"""),"KYAI KONTONG")</f>
        <v>KYAI KONTONG</v>
      </c>
      <c r="D2341" s="186">
        <f>IFERROR(__xludf.DUMMYFUNCTION("""COMPUTED_VALUE"""),1.0)</f>
        <v>1</v>
      </c>
    </row>
    <row r="2342">
      <c r="A2342" s="178" t="str">
        <f>IFERROR(__xludf.DUMMYFUNCTION("""COMPUTED_VALUE"""),"ITBISA-ABC-BATERAI-AAA-ALKALINE")</f>
        <v>ITBISA-ABC-BATERAI-AAA-ALKALINE</v>
      </c>
      <c r="B2342" s="266">
        <f>IFERROR(__xludf.DUMMYFUNCTION("""COMPUTED_VALUE"""),45955.0)</f>
        <v>45955</v>
      </c>
      <c r="C2342" s="266" t="str">
        <f>IFERROR(__xludf.DUMMYFUNCTION("""COMPUTED_VALUE"""),"KYAI KONTONG")</f>
        <v>KYAI KONTONG</v>
      </c>
      <c r="D2342" s="186">
        <f>IFERROR(__xludf.DUMMYFUNCTION("""COMPUTED_VALUE"""),2.0)</f>
        <v>2</v>
      </c>
    </row>
    <row r="2343">
      <c r="A2343" s="178" t="str">
        <f>IFERROR(__xludf.DUMMYFUNCTION("""COMPUTED_VALUE"""),"ITBISA-ABC-BATERAI-AAA-ALKALINE")</f>
        <v>ITBISA-ABC-BATERAI-AAA-ALKALINE</v>
      </c>
      <c r="B2343" s="266">
        <f>IFERROR(__xludf.DUMMYFUNCTION("""COMPUTED_VALUE"""),45955.0)</f>
        <v>45955</v>
      </c>
      <c r="C2343" s="266" t="str">
        <f>IFERROR(__xludf.DUMMYFUNCTION("""COMPUTED_VALUE"""),"KYAI KONTONG")</f>
        <v>KYAI KONTONG</v>
      </c>
      <c r="D2343" s="186">
        <f>IFERROR(__xludf.DUMMYFUNCTION("""COMPUTED_VALUE"""),2.0)</f>
        <v>2</v>
      </c>
    </row>
    <row r="2344">
      <c r="A2344" s="178" t="str">
        <f>IFERROR(__xludf.DUMMYFUNCTION("""COMPUTED_VALUE"""),"ITBISA-ABC-BATERAI-AAA-ALKALINE")</f>
        <v>ITBISA-ABC-BATERAI-AAA-ALKALINE</v>
      </c>
      <c r="B2344" s="266">
        <f>IFERROR(__xludf.DUMMYFUNCTION("""COMPUTED_VALUE"""),45955.0)</f>
        <v>45955</v>
      </c>
      <c r="C2344" s="266" t="str">
        <f>IFERROR(__xludf.DUMMYFUNCTION("""COMPUTED_VALUE"""),"KYAI KONTONG")</f>
        <v>KYAI KONTONG</v>
      </c>
      <c r="D2344" s="186">
        <f>IFERROR(__xludf.DUMMYFUNCTION("""COMPUTED_VALUE"""),2.0)</f>
        <v>2</v>
      </c>
    </row>
    <row r="2345">
      <c r="A2345" s="178" t="str">
        <f>IFERROR(__xludf.DUMMYFUNCTION("""COMPUTED_VALUE"""),"ITBISA-ABC-BATERAI-AAA-ALKALINE")</f>
        <v>ITBISA-ABC-BATERAI-AAA-ALKALINE</v>
      </c>
      <c r="B2345" s="266">
        <f>IFERROR(__xludf.DUMMYFUNCTION("""COMPUTED_VALUE"""),45957.0)</f>
        <v>45957</v>
      </c>
      <c r="C2345" s="266" t="str">
        <f>IFERROR(__xludf.DUMMYFUNCTION("""COMPUTED_VALUE"""),"KYAI KONTONG")</f>
        <v>KYAI KONTONG</v>
      </c>
      <c r="D2345" s="186">
        <f>IFERROR(__xludf.DUMMYFUNCTION("""COMPUTED_VALUE"""),3.0)</f>
        <v>3</v>
      </c>
    </row>
    <row r="2346">
      <c r="A2346" s="178" t="str">
        <f>IFERROR(__xludf.DUMMYFUNCTION("""COMPUTED_VALUE"""),"ITBISA-ABC-BATERAI-AAA-ALKALINE")</f>
        <v>ITBISA-ABC-BATERAI-AAA-ALKALINE</v>
      </c>
      <c r="B2346" s="266">
        <f>IFERROR(__xludf.DUMMYFUNCTION("""COMPUTED_VALUE"""),45958.0)</f>
        <v>45958</v>
      </c>
      <c r="C2346" s="266" t="str">
        <f>IFERROR(__xludf.DUMMYFUNCTION("""COMPUTED_VALUE"""),"KYAI KONTONG")</f>
        <v>KYAI KONTONG</v>
      </c>
      <c r="D2346" s="186">
        <f>IFERROR(__xludf.DUMMYFUNCTION("""COMPUTED_VALUE"""),6.0)</f>
        <v>6</v>
      </c>
    </row>
    <row r="2347">
      <c r="A2347" s="178" t="str">
        <f>IFERROR(__xludf.DUMMYFUNCTION("""COMPUTED_VALUE"""),"ITBISA-ABC-BATERAI-AAA-ALKALINE")</f>
        <v>ITBISA-ABC-BATERAI-AAA-ALKALINE</v>
      </c>
      <c r="B2347" s="266">
        <f>IFERROR(__xludf.DUMMYFUNCTION("""COMPUTED_VALUE"""),45961.0)</f>
        <v>45961</v>
      </c>
      <c r="C2347" s="266" t="str">
        <f>IFERROR(__xludf.DUMMYFUNCTION("""COMPUTED_VALUE"""),"KYAI KONTONG")</f>
        <v>KYAI KONTONG</v>
      </c>
      <c r="D2347" s="186">
        <f>IFERROR(__xludf.DUMMYFUNCTION("""COMPUTED_VALUE"""),2.0)</f>
        <v>2</v>
      </c>
    </row>
    <row r="2348">
      <c r="A2348" s="178" t="str">
        <f>IFERROR(__xludf.DUMMYFUNCTION("""COMPUTED_VALUE"""),"ITBISA-ABC-BATERAI-AAA-ALKALINE")</f>
        <v>ITBISA-ABC-BATERAI-AAA-ALKALINE</v>
      </c>
      <c r="B2348" s="266">
        <f>IFERROR(__xludf.DUMMYFUNCTION("""COMPUTED_VALUE"""),45961.0)</f>
        <v>45961</v>
      </c>
      <c r="C2348" s="266" t="str">
        <f>IFERROR(__xludf.DUMMYFUNCTION("""COMPUTED_VALUE"""),"KYAI KONTONG")</f>
        <v>KYAI KONTONG</v>
      </c>
      <c r="D2348" s="186">
        <f>IFERROR(__xludf.DUMMYFUNCTION("""COMPUTED_VALUE"""),2.0)</f>
        <v>2</v>
      </c>
    </row>
    <row r="2349">
      <c r="A2349" s="178" t="str">
        <f>IFERROR(__xludf.DUMMYFUNCTION("""COMPUTED_VALUE"""),"ITBISA-ABC-BATERAI-AAA-ALKALINE")</f>
        <v>ITBISA-ABC-BATERAI-AAA-ALKALINE</v>
      </c>
      <c r="B2349" s="266">
        <f>IFERROR(__xludf.DUMMYFUNCTION("""COMPUTED_VALUE"""),45961.0)</f>
        <v>45961</v>
      </c>
      <c r="C2349" s="266" t="str">
        <f>IFERROR(__xludf.DUMMYFUNCTION("""COMPUTED_VALUE"""),"KYAI KONTONG")</f>
        <v>KYAI KONTONG</v>
      </c>
      <c r="D2349" s="186">
        <f>IFERROR(__xludf.DUMMYFUNCTION("""COMPUTED_VALUE"""),6.0)</f>
        <v>6</v>
      </c>
    </row>
    <row r="2350">
      <c r="A2350" s="178" t="str">
        <f>IFERROR(__xludf.DUMMYFUNCTION("""COMPUTED_VALUE"""),"ITBISA-ABC-BATERAI-AAA-ALKALINE")</f>
        <v>ITBISA-ABC-BATERAI-AAA-ALKALINE</v>
      </c>
      <c r="B2350" s="266">
        <f>IFERROR(__xludf.DUMMYFUNCTION("""COMPUTED_VALUE"""),45964.0)</f>
        <v>45964</v>
      </c>
      <c r="C2350" s="266" t="str">
        <f>IFERROR(__xludf.DUMMYFUNCTION("""COMPUTED_VALUE"""),"KERTASARI CIAMIS")</f>
        <v>KERTASARI CIAMIS</v>
      </c>
      <c r="D2350" s="186">
        <f>IFERROR(__xludf.DUMMYFUNCTION("""COMPUTED_VALUE"""),12.0)</f>
        <v>12</v>
      </c>
    </row>
    <row r="2351">
      <c r="A2351" s="178" t="str">
        <f>IFERROR(__xludf.DUMMYFUNCTION("""COMPUTED_VALUE"""),"ITBISA-ABC-BATERAI-AAA-ALKALINE")</f>
        <v>ITBISA-ABC-BATERAI-AAA-ALKALINE</v>
      </c>
      <c r="B2351" s="266">
        <f>IFERROR(__xludf.DUMMYFUNCTION("""COMPUTED_VALUE"""),45973.0)</f>
        <v>45973</v>
      </c>
      <c r="C2351" s="266" t="str">
        <f>IFERROR(__xludf.DUMMYFUNCTION("""COMPUTED_VALUE"""),"KYAI KONTONG")</f>
        <v>KYAI KONTONG</v>
      </c>
      <c r="D2351" s="186">
        <f>IFERROR(__xludf.DUMMYFUNCTION("""COMPUTED_VALUE"""),1.0)</f>
        <v>1</v>
      </c>
    </row>
    <row r="2352">
      <c r="A2352" s="178" t="str">
        <f>IFERROR(__xludf.DUMMYFUNCTION("""COMPUTED_VALUE"""),"ITBISA-ABC-BATERAI-AAA-ALKALINE")</f>
        <v>ITBISA-ABC-BATERAI-AAA-ALKALINE</v>
      </c>
      <c r="B2352" s="266">
        <f>IFERROR(__xludf.DUMMYFUNCTION("""COMPUTED_VALUE"""),45974.0)</f>
        <v>45974</v>
      </c>
      <c r="C2352" s="266" t="str">
        <f>IFERROR(__xludf.DUMMYFUNCTION("""COMPUTED_VALUE"""),"KYAI KONTONG")</f>
        <v>KYAI KONTONG</v>
      </c>
      <c r="D2352" s="186">
        <f>IFERROR(__xludf.DUMMYFUNCTION("""COMPUTED_VALUE"""),1.0)</f>
        <v>1</v>
      </c>
    </row>
    <row r="2353">
      <c r="A2353" s="178" t="str">
        <f>IFERROR(__xludf.DUMMYFUNCTION("""COMPUTED_VALUE"""),"ITBISA-ABC-BATERAI-AAA-ALKALINE")</f>
        <v>ITBISA-ABC-BATERAI-AAA-ALKALINE</v>
      </c>
      <c r="B2353" s="266">
        <f>IFERROR(__xludf.DUMMYFUNCTION("""COMPUTED_VALUE"""),45979.0)</f>
        <v>45979</v>
      </c>
      <c r="C2353" s="266" t="str">
        <f>IFERROR(__xludf.DUMMYFUNCTION("""COMPUTED_VALUE"""),"KYAI KONTONG")</f>
        <v>KYAI KONTONG</v>
      </c>
      <c r="D2353" s="186">
        <f>IFERROR(__xludf.DUMMYFUNCTION("""COMPUTED_VALUE"""),6.0)</f>
        <v>6</v>
      </c>
    </row>
    <row r="2354">
      <c r="A2354" s="178" t="str">
        <f>IFERROR(__xludf.DUMMYFUNCTION("""COMPUTED_VALUE"""),"ITBISA-ABC-BATERAI-AAA-ALKALINE")</f>
        <v>ITBISA-ABC-BATERAI-AAA-ALKALINE</v>
      </c>
      <c r="B2354" s="266">
        <f>IFERROR(__xludf.DUMMYFUNCTION("""COMPUTED_VALUE"""),45983.0)</f>
        <v>45983</v>
      </c>
      <c r="C2354" s="266" t="str">
        <f>IFERROR(__xludf.DUMMYFUNCTION("""COMPUTED_VALUE"""),"KERTASARI CIAMIS")</f>
        <v>KERTASARI CIAMIS</v>
      </c>
      <c r="D2354" s="186">
        <f>IFERROR(__xludf.DUMMYFUNCTION("""COMPUTED_VALUE"""),12.0)</f>
        <v>12</v>
      </c>
    </row>
    <row r="2355">
      <c r="A2355" s="178" t="str">
        <f>IFERROR(__xludf.DUMMYFUNCTION("""COMPUTED_VALUE"""),"ITBISA-ABC-BATERAI-AAA-ALKALINE")</f>
        <v>ITBISA-ABC-BATERAI-AAA-ALKALINE</v>
      </c>
      <c r="B2355" s="266">
        <f>IFERROR(__xludf.DUMMYFUNCTION("""COMPUTED_VALUE"""),45983.0)</f>
        <v>45983</v>
      </c>
      <c r="C2355" s="266" t="str">
        <f>IFERROR(__xludf.DUMMYFUNCTION("""COMPUTED_VALUE"""),"KERTASARI CIAMIS")</f>
        <v>KERTASARI CIAMIS</v>
      </c>
      <c r="D2355" s="186">
        <f>IFERROR(__xludf.DUMMYFUNCTION("""COMPUTED_VALUE"""),30.0)</f>
        <v>30</v>
      </c>
    </row>
    <row r="2356">
      <c r="A2356" s="178" t="str">
        <f>IFERROR(__xludf.DUMMYFUNCTION("""COMPUTED_VALUE"""),"ITBISA-ABC-BATERAI-AAA-ALKALINE")</f>
        <v>ITBISA-ABC-BATERAI-AAA-ALKALINE</v>
      </c>
      <c r="B2356" s="266">
        <f>IFERROR(__xludf.DUMMYFUNCTION("""COMPUTED_VALUE"""),45984.0)</f>
        <v>45984</v>
      </c>
      <c r="C2356" s="266" t="str">
        <f>IFERROR(__xludf.DUMMYFUNCTION("""COMPUTED_VALUE"""),"KERTASARI CIAMIS")</f>
        <v>KERTASARI CIAMIS</v>
      </c>
      <c r="D2356" s="186">
        <f>IFERROR(__xludf.DUMMYFUNCTION("""COMPUTED_VALUE"""),3.0)</f>
        <v>3</v>
      </c>
    </row>
    <row r="2357">
      <c r="A2357" s="178" t="str">
        <f>IFERROR(__xludf.DUMMYFUNCTION("""COMPUTED_VALUE"""),"ITBISA-ABC-BATERAI-AAA-ALKALINE")</f>
        <v>ITBISA-ABC-BATERAI-AAA-ALKALINE</v>
      </c>
      <c r="B2357" s="266">
        <f>IFERROR(__xludf.DUMMYFUNCTION("""COMPUTED_VALUE"""),45988.0)</f>
        <v>45988</v>
      </c>
      <c r="C2357" s="266" t="str">
        <f>IFERROR(__xludf.DUMMYFUNCTION("""COMPUTED_VALUE"""),"KERTASARI CIAMIS")</f>
        <v>KERTASARI CIAMIS</v>
      </c>
      <c r="D2357" s="186">
        <f>IFERROR(__xludf.DUMMYFUNCTION("""COMPUTED_VALUE"""),2.0)</f>
        <v>2</v>
      </c>
    </row>
    <row r="2358">
      <c r="A2358" s="178" t="str">
        <f>IFERROR(__xludf.DUMMYFUNCTION("""COMPUTED_VALUE"""),"ITBISA-ABC-BATERAI-AAA-ALKALINE")</f>
        <v>ITBISA-ABC-BATERAI-AAA-ALKALINE</v>
      </c>
      <c r="B2358" s="266">
        <f>IFERROR(__xludf.DUMMYFUNCTION("""COMPUTED_VALUE"""),45989.0)</f>
        <v>45989</v>
      </c>
      <c r="C2358" s="266" t="str">
        <f>IFERROR(__xludf.DUMMYFUNCTION("""COMPUTED_VALUE"""),"KERTASARI CIAMIS")</f>
        <v>KERTASARI CIAMIS</v>
      </c>
      <c r="D2358" s="186">
        <f>IFERROR(__xludf.DUMMYFUNCTION("""COMPUTED_VALUE"""),6.0)</f>
        <v>6</v>
      </c>
    </row>
    <row r="2359">
      <c r="A2359" s="178" t="str">
        <f>IFERROR(__xludf.DUMMYFUNCTION("""COMPUTED_VALUE"""),"ITBISA-ABC-BATERAI-AAA-ALKALINE")</f>
        <v>ITBISA-ABC-BATERAI-AAA-ALKALINE</v>
      </c>
      <c r="B2359" s="266">
        <f>IFERROR(__xludf.DUMMYFUNCTION("""COMPUTED_VALUE"""),45993.0)</f>
        <v>45993</v>
      </c>
      <c r="C2359" s="266" t="str">
        <f>IFERROR(__xludf.DUMMYFUNCTION("""COMPUTED_VALUE"""),"KYAI KONTONG")</f>
        <v>KYAI KONTONG</v>
      </c>
      <c r="D2359" s="186">
        <f>IFERROR(__xludf.DUMMYFUNCTION("""COMPUTED_VALUE"""),2.0)</f>
        <v>2</v>
      </c>
    </row>
    <row r="2360">
      <c r="A2360" s="178" t="str">
        <f>IFERROR(__xludf.DUMMYFUNCTION("""COMPUTED_VALUE"""),"ITBISA-ABC-BATERAI-AAA-ALKALINE")</f>
        <v>ITBISA-ABC-BATERAI-AAA-ALKALINE</v>
      </c>
      <c r="B2360" s="266">
        <f>IFERROR(__xludf.DUMMYFUNCTION("""COMPUTED_VALUE"""),45993.0)</f>
        <v>45993</v>
      </c>
      <c r="C2360" s="266" t="str">
        <f>IFERROR(__xludf.DUMMYFUNCTION("""COMPUTED_VALUE"""),"KYAI KONTONG")</f>
        <v>KYAI KONTONG</v>
      </c>
      <c r="D2360" s="186">
        <f>IFERROR(__xludf.DUMMYFUNCTION("""COMPUTED_VALUE"""),2.0)</f>
        <v>2</v>
      </c>
    </row>
    <row r="2361">
      <c r="A2361" s="178" t="str">
        <f>IFERROR(__xludf.DUMMYFUNCTION("""COMPUTED_VALUE"""),"ITBISA-ABC-BATERAI-AAA-ALKALINE")</f>
        <v>ITBISA-ABC-BATERAI-AAA-ALKALINE</v>
      </c>
      <c r="B2361" s="266">
        <f>IFERROR(__xludf.DUMMYFUNCTION("""COMPUTED_VALUE"""),45993.0)</f>
        <v>45993</v>
      </c>
      <c r="C2361" s="266" t="str">
        <f>IFERROR(__xludf.DUMMYFUNCTION("""COMPUTED_VALUE"""),"KYAI KONTONG")</f>
        <v>KYAI KONTONG</v>
      </c>
      <c r="D2361" s="186">
        <f>IFERROR(__xludf.DUMMYFUNCTION("""COMPUTED_VALUE"""),2.0)</f>
        <v>2</v>
      </c>
    </row>
    <row r="2362">
      <c r="A2362" s="178" t="str">
        <f>IFERROR(__xludf.DUMMYFUNCTION("""COMPUTED_VALUE"""),"ITBISA-ABC-BATERAI-AAA-ALKALINE")</f>
        <v>ITBISA-ABC-BATERAI-AAA-ALKALINE</v>
      </c>
      <c r="B2362" s="266">
        <f>IFERROR(__xludf.DUMMYFUNCTION("""COMPUTED_VALUE"""),45994.0)</f>
        <v>45994</v>
      </c>
      <c r="C2362" s="266" t="str">
        <f>IFERROR(__xludf.DUMMYFUNCTION("""COMPUTED_VALUE"""),"KYAI KONTONG")</f>
        <v>KYAI KONTONG</v>
      </c>
      <c r="D2362" s="186">
        <f>IFERROR(__xludf.DUMMYFUNCTION("""COMPUTED_VALUE"""),12.0)</f>
        <v>12</v>
      </c>
    </row>
    <row r="2363">
      <c r="A2363" s="178" t="str">
        <f>IFERROR(__xludf.DUMMYFUNCTION("""COMPUTED_VALUE"""),"ITBISA-ABC-BATERAI-AAA-ALKALINE")</f>
        <v>ITBISA-ABC-BATERAI-AAA-ALKALINE</v>
      </c>
      <c r="B2363" s="266">
        <f>IFERROR(__xludf.DUMMYFUNCTION("""COMPUTED_VALUE"""),45996.0)</f>
        <v>45996</v>
      </c>
      <c r="C2363" s="266" t="str">
        <f>IFERROR(__xludf.DUMMYFUNCTION("""COMPUTED_VALUE"""),"KYAI KONTONG")</f>
        <v>KYAI KONTONG</v>
      </c>
      <c r="D2363" s="186">
        <f>IFERROR(__xludf.DUMMYFUNCTION("""COMPUTED_VALUE"""),240.0)</f>
        <v>240</v>
      </c>
    </row>
    <row r="2364">
      <c r="A2364" s="178" t="str">
        <f>IFERROR(__xludf.DUMMYFUNCTION("""COMPUTED_VALUE"""),"ITBISA-ABC-BATERAI-AAA-ALKALINE")</f>
        <v>ITBISA-ABC-BATERAI-AAA-ALKALINE</v>
      </c>
      <c r="B2364" s="266">
        <f>IFERROR(__xludf.DUMMYFUNCTION("""COMPUTED_VALUE"""),46001.0)</f>
        <v>46001</v>
      </c>
      <c r="C2364" s="266" t="str">
        <f>IFERROR(__xludf.DUMMYFUNCTION("""COMPUTED_VALUE"""),"KERTASARI CIAMIS")</f>
        <v>KERTASARI CIAMIS</v>
      </c>
      <c r="D2364" s="186">
        <f>IFERROR(__xludf.DUMMYFUNCTION("""COMPUTED_VALUE"""),2.0)</f>
        <v>2</v>
      </c>
    </row>
    <row r="2365">
      <c r="A2365" s="178" t="str">
        <f>IFERROR(__xludf.DUMMYFUNCTION("""COMPUTED_VALUE"""),"ITBISA-ABC-BATERAI-AAA-ALKALINE")</f>
        <v>ITBISA-ABC-BATERAI-AAA-ALKALINE</v>
      </c>
      <c r="B2365" s="266">
        <f>IFERROR(__xludf.DUMMYFUNCTION("""COMPUTED_VALUE"""),46004.0)</f>
        <v>46004</v>
      </c>
      <c r="C2365" s="266" t="str">
        <f>IFERROR(__xludf.DUMMYFUNCTION("""COMPUTED_VALUE"""),"KYAI KONTONG")</f>
        <v>KYAI KONTONG</v>
      </c>
      <c r="D2365" s="186">
        <f>IFERROR(__xludf.DUMMYFUNCTION("""COMPUTED_VALUE"""),2.0)</f>
        <v>2</v>
      </c>
    </row>
    <row r="2366">
      <c r="A2366" s="178" t="str">
        <f>IFERROR(__xludf.DUMMYFUNCTION("""COMPUTED_VALUE"""),"ITBISA-ABC-BATERAI-AAA-ALKALINE")</f>
        <v>ITBISA-ABC-BATERAI-AAA-ALKALINE</v>
      </c>
      <c r="B2366" s="266">
        <f>IFERROR(__xludf.DUMMYFUNCTION("""COMPUTED_VALUE"""),46005.0)</f>
        <v>46005</v>
      </c>
      <c r="C2366" s="266" t="str">
        <f>IFERROR(__xludf.DUMMYFUNCTION("""COMPUTED_VALUE"""),"KERTASARI CIAMIS")</f>
        <v>KERTASARI CIAMIS</v>
      </c>
      <c r="D2366" s="186">
        <f>IFERROR(__xludf.DUMMYFUNCTION("""COMPUTED_VALUE"""),8.0)</f>
        <v>8</v>
      </c>
    </row>
    <row r="2367">
      <c r="A2367" s="178" t="str">
        <f>IFERROR(__xludf.DUMMYFUNCTION("""COMPUTED_VALUE"""),"ITBISA-ABC-BATERAI-AAA-ALKALINE")</f>
        <v>ITBISA-ABC-BATERAI-AAA-ALKALINE</v>
      </c>
      <c r="B2367" s="266">
        <f>IFERROR(__xludf.DUMMYFUNCTION("""COMPUTED_VALUE"""),46007.0)</f>
        <v>46007</v>
      </c>
      <c r="C2367" s="266" t="str">
        <f>IFERROR(__xludf.DUMMYFUNCTION("""COMPUTED_VALUE"""),"KERTASARI CIAMIS")</f>
        <v>KERTASARI CIAMIS</v>
      </c>
      <c r="D2367" s="186">
        <f>IFERROR(__xludf.DUMMYFUNCTION("""COMPUTED_VALUE"""),2.0)</f>
        <v>2</v>
      </c>
    </row>
    <row r="2368">
      <c r="A2368" s="178" t="str">
        <f>IFERROR(__xludf.DUMMYFUNCTION("""COMPUTED_VALUE"""),"ITBISA-ABC-BATERAI-AAA-ALKALINE")</f>
        <v>ITBISA-ABC-BATERAI-AAA-ALKALINE</v>
      </c>
      <c r="B2368" s="266">
        <f>IFERROR(__xludf.DUMMYFUNCTION("""COMPUTED_VALUE"""),46007.0)</f>
        <v>46007</v>
      </c>
      <c r="C2368" s="266" t="str">
        <f>IFERROR(__xludf.DUMMYFUNCTION("""COMPUTED_VALUE"""),"KERTASARI CIAMIS")</f>
        <v>KERTASARI CIAMIS</v>
      </c>
      <c r="D2368" s="186">
        <f>IFERROR(__xludf.DUMMYFUNCTION("""COMPUTED_VALUE"""),6.0)</f>
        <v>6</v>
      </c>
    </row>
    <row r="2369">
      <c r="A2369" s="178" t="str">
        <f>IFERROR(__xludf.DUMMYFUNCTION("""COMPUTED_VALUE"""),"ITBISA-ABC-BATERAI-AAA-ALKALINE")</f>
        <v>ITBISA-ABC-BATERAI-AAA-ALKALINE</v>
      </c>
      <c r="B2369" s="266">
        <f>IFERROR(__xludf.DUMMYFUNCTION("""COMPUTED_VALUE"""),46012.0)</f>
        <v>46012</v>
      </c>
      <c r="C2369" s="266" t="str">
        <f>IFERROR(__xludf.DUMMYFUNCTION("""COMPUTED_VALUE"""),"KYAI KONTONG")</f>
        <v>KYAI KONTONG</v>
      </c>
      <c r="D2369" s="186">
        <f>IFERROR(__xludf.DUMMYFUNCTION("""COMPUTED_VALUE"""),3.0)</f>
        <v>3</v>
      </c>
    </row>
    <row r="2370">
      <c r="A2370" s="178" t="str">
        <f>IFERROR(__xludf.DUMMYFUNCTION("""COMPUTED_VALUE"""),"ITBISA-ABC-BATERAI-AAA-ALKALINE")</f>
        <v>ITBISA-ABC-BATERAI-AAA-ALKALINE</v>
      </c>
      <c r="B2370" s="266">
        <f>IFERROR(__xludf.DUMMYFUNCTION("""COMPUTED_VALUE"""),46015.0)</f>
        <v>46015</v>
      </c>
      <c r="C2370" s="266" t="str">
        <f>IFERROR(__xludf.DUMMYFUNCTION("""COMPUTED_VALUE"""),"KERTASARI CIAMIS")</f>
        <v>KERTASARI CIAMIS</v>
      </c>
      <c r="D2370" s="186">
        <f>IFERROR(__xludf.DUMMYFUNCTION("""COMPUTED_VALUE"""),1.0)</f>
        <v>1</v>
      </c>
    </row>
    <row r="2371">
      <c r="A2371" s="178" t="str">
        <f>IFERROR(__xludf.DUMMYFUNCTION("""COMPUTED_VALUE"""),"ITBISA-ABC-BATERAI-AAA-ALKALINE")</f>
        <v>ITBISA-ABC-BATERAI-AAA-ALKALINE</v>
      </c>
      <c r="B2371" s="266">
        <f>IFERROR(__xludf.DUMMYFUNCTION("""COMPUTED_VALUE"""),46019.0)</f>
        <v>46019</v>
      </c>
      <c r="C2371" s="266" t="str">
        <f>IFERROR(__xludf.DUMMYFUNCTION("""COMPUTED_VALUE"""),"KYAI KONTONG")</f>
        <v>KYAI KONTONG</v>
      </c>
      <c r="D2371" s="186">
        <f>IFERROR(__xludf.DUMMYFUNCTION("""COMPUTED_VALUE"""),2.0)</f>
        <v>2</v>
      </c>
    </row>
    <row r="2372">
      <c r="A2372" s="178" t="str">
        <f>IFERROR(__xludf.DUMMYFUNCTION("""COMPUTED_VALUE"""),"ITBISA-ABC-BATERAI-AAA-ALKALINE")</f>
        <v>ITBISA-ABC-BATERAI-AAA-ALKALINE</v>
      </c>
      <c r="B2372" s="266">
        <f>IFERROR(__xludf.DUMMYFUNCTION("""COMPUTED_VALUE"""),46020.0)</f>
        <v>46020</v>
      </c>
      <c r="C2372" s="266" t="str">
        <f>IFERROR(__xludf.DUMMYFUNCTION("""COMPUTED_VALUE"""),"KYAI KONTONG")</f>
        <v>KYAI KONTONG</v>
      </c>
      <c r="D2372" s="186">
        <f>IFERROR(__xludf.DUMMYFUNCTION("""COMPUTED_VALUE"""),2.0)</f>
        <v>2</v>
      </c>
    </row>
    <row r="2373">
      <c r="A2373" s="178" t="str">
        <f>IFERROR(__xludf.DUMMYFUNCTION("""COMPUTED_VALUE"""),"ITBISA-ABC-BATERAI-D-BIRU")</f>
        <v>ITBISA-ABC-BATERAI-D-BIRU</v>
      </c>
      <c r="B2373" s="266">
        <f>IFERROR(__xludf.DUMMYFUNCTION("""COMPUTED_VALUE"""),43362.0)</f>
        <v>43362</v>
      </c>
      <c r="C2373" s="266" t="str">
        <f>IFERROR(__xludf.DUMMYFUNCTION("""COMPUTED_VALUE"""),"AVRG ITB")</f>
        <v>AVRG ITB</v>
      </c>
      <c r="D2373" s="186">
        <f>IFERROR(__xludf.DUMMYFUNCTION("""COMPUTED_VALUE"""),60.0)</f>
        <v>60</v>
      </c>
    </row>
    <row r="2374">
      <c r="A2374" s="178" t="str">
        <f>IFERROR(__xludf.DUMMYFUNCTION("""COMPUTED_VALUE"""),"ITBISA-ABC-BATERAI-D-POWER")</f>
        <v>ITBISA-ABC-BATERAI-D-POWER</v>
      </c>
      <c r="B2374" s="266">
        <f>IFERROR(__xludf.DUMMYFUNCTION("""COMPUTED_VALUE"""),43365.0)</f>
        <v>43365</v>
      </c>
      <c r="C2374" s="266" t="str">
        <f>IFERROR(__xludf.DUMMYFUNCTION("""COMPUTED_VALUE"""),"AVRG ITB")</f>
        <v>AVRG ITB</v>
      </c>
      <c r="D2374" s="186">
        <f>IFERROR(__xludf.DUMMYFUNCTION("""COMPUTED_VALUE"""),2.0)</f>
        <v>2</v>
      </c>
    </row>
    <row r="2375">
      <c r="A2375" s="178" t="str">
        <f>IFERROR(__xludf.DUMMYFUNCTION("""COMPUTED_VALUE"""),"ITBISA-ABC-BATERAI-D-POWER")</f>
        <v>ITBISA-ABC-BATERAI-D-POWER</v>
      </c>
      <c r="B2375" s="266">
        <f>IFERROR(__xludf.DUMMYFUNCTION("""COMPUTED_VALUE"""),43369.0)</f>
        <v>43369</v>
      </c>
      <c r="C2375" s="266" t="str">
        <f>IFERROR(__xludf.DUMMYFUNCTION("""COMPUTED_VALUE"""),"AVRG ITB")</f>
        <v>AVRG ITB</v>
      </c>
      <c r="D2375" s="186">
        <f>IFERROR(__xludf.DUMMYFUNCTION("""COMPUTED_VALUE"""),13.0)</f>
        <v>13</v>
      </c>
    </row>
    <row r="2376">
      <c r="A2376" s="178" t="str">
        <f>IFERROR(__xludf.DUMMYFUNCTION("""COMPUTED_VALUE"""),"ITBISA-ABC-BATERAI-D-POWER")</f>
        <v>ITBISA-ABC-BATERAI-D-POWER</v>
      </c>
      <c r="B2376" s="266">
        <f>IFERROR(__xludf.DUMMYFUNCTION("""COMPUTED_VALUE"""),43466.0)</f>
        <v>43466</v>
      </c>
      <c r="C2376" s="266" t="str">
        <f>IFERROR(__xludf.DUMMYFUNCTION("""COMPUTED_VALUE"""),"AVRG ITB")</f>
        <v>AVRG ITB</v>
      </c>
      <c r="D2376" s="186">
        <f>IFERROR(__xludf.DUMMYFUNCTION("""COMPUTED_VALUE"""),2.0)</f>
        <v>2</v>
      </c>
    </row>
    <row r="2377">
      <c r="A2377" s="178" t="str">
        <f>IFERROR(__xludf.DUMMYFUNCTION("""COMPUTED_VALUE"""),"ITBISA-ABC-BATERAI-D-POWER")</f>
        <v>ITBISA-ABC-BATERAI-D-POWER</v>
      </c>
      <c r="B2377" s="266">
        <f>IFERROR(__xludf.DUMMYFUNCTION("""COMPUTED_VALUE"""),43476.0)</f>
        <v>43476</v>
      </c>
      <c r="C2377" s="266" t="str">
        <f>IFERROR(__xludf.DUMMYFUNCTION("""COMPUTED_VALUE"""),"AVRG ITB")</f>
        <v>AVRG ITB</v>
      </c>
      <c r="D2377" s="186">
        <f>IFERROR(__xludf.DUMMYFUNCTION("""COMPUTED_VALUE"""),10.0)</f>
        <v>10</v>
      </c>
    </row>
    <row r="2378">
      <c r="A2378" s="178" t="str">
        <f>IFERROR(__xludf.DUMMYFUNCTION("""COMPUTED_VALUE"""),"ITBISA-ABC-BATERAI-D-POWER")</f>
        <v>ITBISA-ABC-BATERAI-D-POWER</v>
      </c>
      <c r="B2378" s="266">
        <f>IFERROR(__xludf.DUMMYFUNCTION("""COMPUTED_VALUE"""),43497.0)</f>
        <v>43497</v>
      </c>
      <c r="C2378" s="266" t="str">
        <f>IFERROR(__xludf.DUMMYFUNCTION("""COMPUTED_VALUE"""),"AVRG ITB")</f>
        <v>AVRG ITB</v>
      </c>
      <c r="D2378" s="186">
        <f>IFERROR(__xludf.DUMMYFUNCTION("""COMPUTED_VALUE"""),8.0)</f>
        <v>8</v>
      </c>
    </row>
    <row r="2379">
      <c r="A2379" s="178" t="str">
        <f>IFERROR(__xludf.DUMMYFUNCTION("""COMPUTED_VALUE"""),"ITBISA-ABC-BATERAI-D-POWER")</f>
        <v>ITBISA-ABC-BATERAI-D-POWER</v>
      </c>
      <c r="B2379" s="266">
        <f>IFERROR(__xludf.DUMMYFUNCTION("""COMPUTED_VALUE"""),43517.0)</f>
        <v>43517</v>
      </c>
      <c r="C2379" s="266" t="str">
        <f>IFERROR(__xludf.DUMMYFUNCTION("""COMPUTED_VALUE"""),"AVRG ITB")</f>
        <v>AVRG ITB</v>
      </c>
      <c r="D2379" s="186">
        <f>IFERROR(__xludf.DUMMYFUNCTION("""COMPUTED_VALUE"""),2.0)</f>
        <v>2</v>
      </c>
    </row>
    <row r="2380">
      <c r="A2380" s="178" t="str">
        <f>IFERROR(__xludf.DUMMYFUNCTION("""COMPUTED_VALUE"""),"ITBISA-ABC-BATERAI-D-POWER")</f>
        <v>ITBISA-ABC-BATERAI-D-POWER</v>
      </c>
      <c r="B2380" s="266">
        <f>IFERROR(__xludf.DUMMYFUNCTION("""COMPUTED_VALUE"""),43532.0)</f>
        <v>43532</v>
      </c>
      <c r="C2380" s="266" t="str">
        <f>IFERROR(__xludf.DUMMYFUNCTION("""COMPUTED_VALUE"""),"AVRG ITB")</f>
        <v>AVRG ITB</v>
      </c>
      <c r="D2380" s="186">
        <f>IFERROR(__xludf.DUMMYFUNCTION("""COMPUTED_VALUE"""),2.0)</f>
        <v>2</v>
      </c>
    </row>
    <row r="2381">
      <c r="A2381" s="178" t="str">
        <f>IFERROR(__xludf.DUMMYFUNCTION("""COMPUTED_VALUE"""),"ITBISA-ABC-BATERAI-D-POWER")</f>
        <v>ITBISA-ABC-BATERAI-D-POWER</v>
      </c>
      <c r="B2381" s="266">
        <f>IFERROR(__xludf.DUMMYFUNCTION("""COMPUTED_VALUE"""),43533.0)</f>
        <v>43533</v>
      </c>
      <c r="C2381" s="266" t="str">
        <f>IFERROR(__xludf.DUMMYFUNCTION("""COMPUTED_VALUE"""),"AVRG ITB")</f>
        <v>AVRG ITB</v>
      </c>
      <c r="D2381" s="186">
        <f>IFERROR(__xludf.DUMMYFUNCTION("""COMPUTED_VALUE"""),2.0)</f>
        <v>2</v>
      </c>
    </row>
    <row r="2382">
      <c r="A2382" s="178" t="str">
        <f>IFERROR(__xludf.DUMMYFUNCTION("""COMPUTED_VALUE"""),"ITBISA-ABC-BATERAI-D-POWER")</f>
        <v>ITBISA-ABC-BATERAI-D-POWER</v>
      </c>
      <c r="B2382" s="266">
        <f>IFERROR(__xludf.DUMMYFUNCTION("""COMPUTED_VALUE"""),43544.0)</f>
        <v>43544</v>
      </c>
      <c r="C2382" s="266" t="str">
        <f>IFERROR(__xludf.DUMMYFUNCTION("""COMPUTED_VALUE"""),"AVRG ITB")</f>
        <v>AVRG ITB</v>
      </c>
      <c r="D2382" s="186">
        <f>IFERROR(__xludf.DUMMYFUNCTION("""COMPUTED_VALUE"""),1.0)</f>
        <v>1</v>
      </c>
    </row>
    <row r="2383">
      <c r="A2383" s="178" t="str">
        <f>IFERROR(__xludf.DUMMYFUNCTION("""COMPUTED_VALUE"""),"ITBISA-ABC-BATERAI-D-POWER")</f>
        <v>ITBISA-ABC-BATERAI-D-POWER</v>
      </c>
      <c r="B2383" s="266">
        <f>IFERROR(__xludf.DUMMYFUNCTION("""COMPUTED_VALUE"""),43544.0)</f>
        <v>43544</v>
      </c>
      <c r="C2383" s="266" t="str">
        <f>IFERROR(__xludf.DUMMYFUNCTION("""COMPUTED_VALUE"""),"AVRG ITB")</f>
        <v>AVRG ITB</v>
      </c>
      <c r="D2383" s="186">
        <f>IFERROR(__xludf.DUMMYFUNCTION("""COMPUTED_VALUE"""),1.0)</f>
        <v>1</v>
      </c>
    </row>
    <row r="2384">
      <c r="A2384" s="178" t="str">
        <f>IFERROR(__xludf.DUMMYFUNCTION("""COMPUTED_VALUE"""),"ITBISA-ABC-BATERAI-D-POWER")</f>
        <v>ITBISA-ABC-BATERAI-D-POWER</v>
      </c>
      <c r="B2384" s="266">
        <f>IFERROR(__xludf.DUMMYFUNCTION("""COMPUTED_VALUE"""),43545.0)</f>
        <v>43545</v>
      </c>
      <c r="C2384" s="266" t="str">
        <f>IFERROR(__xludf.DUMMYFUNCTION("""COMPUTED_VALUE"""),"AVRG ITB")</f>
        <v>AVRG ITB</v>
      </c>
      <c r="D2384" s="186">
        <f>IFERROR(__xludf.DUMMYFUNCTION("""COMPUTED_VALUE"""),5.0)</f>
        <v>5</v>
      </c>
    </row>
    <row r="2385">
      <c r="A2385" s="178" t="str">
        <f>IFERROR(__xludf.DUMMYFUNCTION("""COMPUTED_VALUE"""),"ITBISA-ABC-BATERAI-D-POWER")</f>
        <v>ITBISA-ABC-BATERAI-D-POWER</v>
      </c>
      <c r="B2385" s="266">
        <f>IFERROR(__xludf.DUMMYFUNCTION("""COMPUTED_VALUE"""),43560.0)</f>
        <v>43560</v>
      </c>
      <c r="C2385" s="266" t="str">
        <f>IFERROR(__xludf.DUMMYFUNCTION("""COMPUTED_VALUE"""),"AVRG ITB")</f>
        <v>AVRG ITB</v>
      </c>
      <c r="D2385" s="186">
        <f>IFERROR(__xludf.DUMMYFUNCTION("""COMPUTED_VALUE"""),8.0)</f>
        <v>8</v>
      </c>
    </row>
    <row r="2386">
      <c r="A2386" s="178" t="str">
        <f>IFERROR(__xludf.DUMMYFUNCTION("""COMPUTED_VALUE"""),"ITBISA-ABC-BATERAI-D-POWER")</f>
        <v>ITBISA-ABC-BATERAI-D-POWER</v>
      </c>
      <c r="B2386" s="266">
        <f>IFERROR(__xludf.DUMMYFUNCTION("""COMPUTED_VALUE"""),43579.0)</f>
        <v>43579</v>
      </c>
      <c r="C2386" s="266" t="str">
        <f>IFERROR(__xludf.DUMMYFUNCTION("""COMPUTED_VALUE"""),"AVRG ITB")</f>
        <v>AVRG ITB</v>
      </c>
      <c r="D2386" s="186">
        <f>IFERROR(__xludf.DUMMYFUNCTION("""COMPUTED_VALUE"""),6.0)</f>
        <v>6</v>
      </c>
    </row>
    <row r="2387">
      <c r="A2387" s="178" t="str">
        <f>IFERROR(__xludf.DUMMYFUNCTION("""COMPUTED_VALUE"""),"ITBISA-ABC-BATERAI-D-POWER")</f>
        <v>ITBISA-ABC-BATERAI-D-POWER</v>
      </c>
      <c r="B2387" s="266">
        <f>IFERROR(__xludf.DUMMYFUNCTION("""COMPUTED_VALUE"""),43583.0)</f>
        <v>43583</v>
      </c>
      <c r="C2387" s="266" t="str">
        <f>IFERROR(__xludf.DUMMYFUNCTION("""COMPUTED_VALUE"""),"AVRG ITB")</f>
        <v>AVRG ITB</v>
      </c>
      <c r="D2387" s="186">
        <f>IFERROR(__xludf.DUMMYFUNCTION("""COMPUTED_VALUE"""),2.0)</f>
        <v>2</v>
      </c>
    </row>
    <row r="2388">
      <c r="A2388" s="178" t="str">
        <f>IFERROR(__xludf.DUMMYFUNCTION("""COMPUTED_VALUE"""),"ITBISA-ABC-BATERAI-D-POWER")</f>
        <v>ITBISA-ABC-BATERAI-D-POWER</v>
      </c>
      <c r="B2388" s="266">
        <f>IFERROR(__xludf.DUMMYFUNCTION("""COMPUTED_VALUE"""),43594.0)</f>
        <v>43594</v>
      </c>
      <c r="C2388" s="266" t="str">
        <f>IFERROR(__xludf.DUMMYFUNCTION("""COMPUTED_VALUE"""),"AVRG ITB")</f>
        <v>AVRG ITB</v>
      </c>
      <c r="D2388" s="186">
        <f>IFERROR(__xludf.DUMMYFUNCTION("""COMPUTED_VALUE"""),3.0)</f>
        <v>3</v>
      </c>
    </row>
    <row r="2389">
      <c r="A2389" s="178" t="str">
        <f>IFERROR(__xludf.DUMMYFUNCTION("""COMPUTED_VALUE"""),"ITBISA-ABC-BATERAI-D-POWER")</f>
        <v>ITBISA-ABC-BATERAI-D-POWER</v>
      </c>
      <c r="B2389" s="266">
        <f>IFERROR(__xludf.DUMMYFUNCTION("""COMPUTED_VALUE"""),43605.0)</f>
        <v>43605</v>
      </c>
      <c r="C2389" s="266" t="str">
        <f>IFERROR(__xludf.DUMMYFUNCTION("""COMPUTED_VALUE"""),"RUMAH MUZAKKI")</f>
        <v>RUMAH MUZAKKI</v>
      </c>
      <c r="D2389" s="186">
        <f>IFERROR(__xludf.DUMMYFUNCTION("""COMPUTED_VALUE"""),9.0)</f>
        <v>9</v>
      </c>
    </row>
    <row r="2390">
      <c r="A2390" s="178" t="str">
        <f>IFERROR(__xludf.DUMMYFUNCTION("""COMPUTED_VALUE"""),"ITBISA-ABC-BATERAI-D-POWER")</f>
        <v>ITBISA-ABC-BATERAI-D-POWER</v>
      </c>
      <c r="B2390" s="266">
        <f>IFERROR(__xludf.DUMMYFUNCTION("""COMPUTED_VALUE"""),43610.0)</f>
        <v>43610</v>
      </c>
      <c r="C2390" s="266" t="str">
        <f>IFERROR(__xludf.DUMMYFUNCTION("""COMPUTED_VALUE"""),"RUMAH MUZAKKI")</f>
        <v>RUMAH MUZAKKI</v>
      </c>
      <c r="D2390" s="186">
        <f>IFERROR(__xludf.DUMMYFUNCTION("""COMPUTED_VALUE"""),8.0)</f>
        <v>8</v>
      </c>
    </row>
    <row r="2391">
      <c r="A2391" s="178" t="str">
        <f>IFERROR(__xludf.DUMMYFUNCTION("""COMPUTED_VALUE"""),"ITBISA-ABC-BATERAI-D-POWER")</f>
        <v>ITBISA-ABC-BATERAI-D-POWER</v>
      </c>
      <c r="B2391" s="266">
        <f>IFERROR(__xludf.DUMMYFUNCTION("""COMPUTED_VALUE"""),43644.0)</f>
        <v>43644</v>
      </c>
      <c r="C2391" s="266" t="str">
        <f>IFERROR(__xludf.DUMMYFUNCTION("""COMPUTED_VALUE"""),"AVRG ITB")</f>
        <v>AVRG ITB</v>
      </c>
      <c r="D2391" s="186">
        <f>IFERROR(__xludf.DUMMYFUNCTION("""COMPUTED_VALUE"""),2.0)</f>
        <v>2</v>
      </c>
    </row>
    <row r="2392">
      <c r="A2392" s="178" t="str">
        <f>IFERROR(__xludf.DUMMYFUNCTION("""COMPUTED_VALUE"""),"ITBISA-ABC-BATERAI-D-POWER")</f>
        <v>ITBISA-ABC-BATERAI-D-POWER</v>
      </c>
      <c r="B2392" s="266">
        <f>IFERROR(__xludf.DUMMYFUNCTION("""COMPUTED_VALUE"""),43652.0)</f>
        <v>43652</v>
      </c>
      <c r="C2392" s="266" t="str">
        <f>IFERROR(__xludf.DUMMYFUNCTION("""COMPUTED_VALUE"""),"RUMAH MUZAKKI")</f>
        <v>RUMAH MUZAKKI</v>
      </c>
      <c r="D2392" s="186">
        <f>IFERROR(__xludf.DUMMYFUNCTION("""COMPUTED_VALUE"""),40.0)</f>
        <v>40</v>
      </c>
    </row>
    <row r="2393">
      <c r="A2393" s="178" t="str">
        <f>IFERROR(__xludf.DUMMYFUNCTION("""COMPUTED_VALUE"""),"ITBISA-ABC-BATERAI-D-POWER")</f>
        <v>ITBISA-ABC-BATERAI-D-POWER</v>
      </c>
      <c r="B2393" s="266">
        <f>IFERROR(__xludf.DUMMYFUNCTION("""COMPUTED_VALUE"""),43688.0)</f>
        <v>43688</v>
      </c>
      <c r="C2393" s="266" t="str">
        <f>IFERROR(__xludf.DUMMYFUNCTION("""COMPUTED_VALUE"""),"RUMAH MUZAKKI")</f>
        <v>RUMAH MUZAKKI</v>
      </c>
      <c r="D2393" s="186">
        <f>IFERROR(__xludf.DUMMYFUNCTION("""COMPUTED_VALUE"""),4.0)</f>
        <v>4</v>
      </c>
    </row>
    <row r="2394">
      <c r="A2394" s="178" t="str">
        <f>IFERROR(__xludf.DUMMYFUNCTION("""COMPUTED_VALUE"""),"ITBISA-ABC-BATERAI-D-POWER")</f>
        <v>ITBISA-ABC-BATERAI-D-POWER</v>
      </c>
      <c r="B2394" s="266">
        <f>IFERROR(__xludf.DUMMYFUNCTION("""COMPUTED_VALUE"""),43732.0)</f>
        <v>43732</v>
      </c>
      <c r="C2394" s="266" t="str">
        <f>IFERROR(__xludf.DUMMYFUNCTION("""COMPUTED_VALUE"""),"RUMAH MUZAKKI")</f>
        <v>RUMAH MUZAKKI</v>
      </c>
      <c r="D2394" s="186">
        <f>IFERROR(__xludf.DUMMYFUNCTION("""COMPUTED_VALUE"""),1.0)</f>
        <v>1</v>
      </c>
    </row>
    <row r="2395">
      <c r="A2395" s="178" t="str">
        <f>IFERROR(__xludf.DUMMYFUNCTION("""COMPUTED_VALUE"""),"ITBISA-ABC-BATERAI-D-POWER")</f>
        <v>ITBISA-ABC-BATERAI-D-POWER</v>
      </c>
      <c r="B2395" s="266">
        <f>IFERROR(__xludf.DUMMYFUNCTION("""COMPUTED_VALUE"""),43733.0)</f>
        <v>43733</v>
      </c>
      <c r="C2395" s="266" t="str">
        <f>IFERROR(__xludf.DUMMYFUNCTION("""COMPUTED_VALUE"""),"RUMAH MUZAKKI")</f>
        <v>RUMAH MUZAKKI</v>
      </c>
      <c r="D2395" s="186">
        <f>IFERROR(__xludf.DUMMYFUNCTION("""COMPUTED_VALUE"""),1.0)</f>
        <v>1</v>
      </c>
    </row>
    <row r="2396">
      <c r="A2396" s="178" t="str">
        <f>IFERROR(__xludf.DUMMYFUNCTION("""COMPUTED_VALUE"""),"ITBISA-ABC-BATERAI-D-POWER")</f>
        <v>ITBISA-ABC-BATERAI-D-POWER</v>
      </c>
      <c r="B2396" s="266">
        <f>IFERROR(__xludf.DUMMYFUNCTION("""COMPUTED_VALUE"""),43734.0)</f>
        <v>43734</v>
      </c>
      <c r="C2396" s="266" t="str">
        <f>IFERROR(__xludf.DUMMYFUNCTION("""COMPUTED_VALUE"""),"RUMAH MUZAKKI")</f>
        <v>RUMAH MUZAKKI</v>
      </c>
      <c r="D2396" s="186">
        <f>IFERROR(__xludf.DUMMYFUNCTION("""COMPUTED_VALUE"""),1.0)</f>
        <v>1</v>
      </c>
    </row>
    <row r="2397">
      <c r="A2397" s="178" t="str">
        <f>IFERROR(__xludf.DUMMYFUNCTION("""COMPUTED_VALUE"""),"ITBISA-ABC-BATERAI-D-POWER")</f>
        <v>ITBISA-ABC-BATERAI-D-POWER</v>
      </c>
      <c r="B2397" s="266">
        <f>IFERROR(__xludf.DUMMYFUNCTION("""COMPUTED_VALUE"""),43751.0)</f>
        <v>43751</v>
      </c>
      <c r="C2397" s="266" t="str">
        <f>IFERROR(__xludf.DUMMYFUNCTION("""COMPUTED_VALUE"""),"RUMAH MUZAKKI")</f>
        <v>RUMAH MUZAKKI</v>
      </c>
      <c r="D2397" s="186">
        <f>IFERROR(__xludf.DUMMYFUNCTION("""COMPUTED_VALUE"""),8.0)</f>
        <v>8</v>
      </c>
    </row>
    <row r="2398">
      <c r="A2398" s="178" t="str">
        <f>IFERROR(__xludf.DUMMYFUNCTION("""COMPUTED_VALUE"""),"ITBISA-ABC-BATERAI-D-POWER")</f>
        <v>ITBISA-ABC-BATERAI-D-POWER</v>
      </c>
      <c r="B2398" s="266">
        <f>IFERROR(__xludf.DUMMYFUNCTION("""COMPUTED_VALUE"""),43997.0)</f>
        <v>43997</v>
      </c>
      <c r="C2398" s="266" t="str">
        <f>IFERROR(__xludf.DUMMYFUNCTION("""COMPUTED_VALUE"""),"KAETOBO RESIDENCE")</f>
        <v>KAETOBO RESIDENCE</v>
      </c>
      <c r="D2398" s="186">
        <f>IFERROR(__xludf.DUMMYFUNCTION("""COMPUTED_VALUE"""),10.0)</f>
        <v>10</v>
      </c>
    </row>
    <row r="2399">
      <c r="A2399" s="178" t="str">
        <f>IFERROR(__xludf.DUMMYFUNCTION("""COMPUTED_VALUE"""),"ITBISA-ABC-BATERAI-D-POWER")</f>
        <v>ITBISA-ABC-BATERAI-D-POWER</v>
      </c>
      <c r="B2399" s="266">
        <f>IFERROR(__xludf.DUMMYFUNCTION("""COMPUTED_VALUE"""),44003.0)</f>
        <v>44003</v>
      </c>
      <c r="C2399" s="266" t="str">
        <f>IFERROR(__xludf.DUMMYFUNCTION("""COMPUTED_VALUE"""),"KAETOBO RESIDENCE")</f>
        <v>KAETOBO RESIDENCE</v>
      </c>
      <c r="D2399" s="186">
        <f>IFERROR(__xludf.DUMMYFUNCTION("""COMPUTED_VALUE"""),3.0)</f>
        <v>3</v>
      </c>
    </row>
    <row r="2400">
      <c r="A2400" s="178" t="str">
        <f>IFERROR(__xludf.DUMMYFUNCTION("""COMPUTED_VALUE"""),"ITBISA-ABC-BATERAI-D-POWER")</f>
        <v>ITBISA-ABC-BATERAI-D-POWER</v>
      </c>
      <c r="B2400" s="266">
        <f>IFERROR(__xludf.DUMMYFUNCTION("""COMPUTED_VALUE"""),44008.0)</f>
        <v>44008</v>
      </c>
      <c r="C2400" s="266" t="str">
        <f>IFERROR(__xludf.DUMMYFUNCTION("""COMPUTED_VALUE"""),"KAETOBO RESIDENCE")</f>
        <v>KAETOBO RESIDENCE</v>
      </c>
      <c r="D2400" s="186">
        <f>IFERROR(__xludf.DUMMYFUNCTION("""COMPUTED_VALUE"""),5.0)</f>
        <v>5</v>
      </c>
    </row>
    <row r="2401">
      <c r="A2401" s="178" t="str">
        <f>IFERROR(__xludf.DUMMYFUNCTION("""COMPUTED_VALUE"""),"ITBISA-ABC-BATERAI-D-POWER")</f>
        <v>ITBISA-ABC-BATERAI-D-POWER</v>
      </c>
      <c r="B2401" s="266">
        <f>IFERROR(__xludf.DUMMYFUNCTION("""COMPUTED_VALUE"""),44017.0)</f>
        <v>44017</v>
      </c>
      <c r="C2401" s="266" t="str">
        <f>IFERROR(__xludf.DUMMYFUNCTION("""COMPUTED_VALUE"""),"KAETOBO RESIDENCE")</f>
        <v>KAETOBO RESIDENCE</v>
      </c>
      <c r="D2401" s="186">
        <f>IFERROR(__xludf.DUMMYFUNCTION("""COMPUTED_VALUE"""),6.0)</f>
        <v>6</v>
      </c>
    </row>
    <row r="2402">
      <c r="A2402" s="178" t="str">
        <f>IFERROR(__xludf.DUMMYFUNCTION("""COMPUTED_VALUE"""),"ITBISA-ABC-BATERAI-D-POWER")</f>
        <v>ITBISA-ABC-BATERAI-D-POWER</v>
      </c>
      <c r="B2402" s="266">
        <f>IFERROR(__xludf.DUMMYFUNCTION("""COMPUTED_VALUE"""),44019.0)</f>
        <v>44019</v>
      </c>
      <c r="C2402" s="266" t="str">
        <f>IFERROR(__xludf.DUMMYFUNCTION("""COMPUTED_VALUE"""),"KAETOBO RESIDENCE")</f>
        <v>KAETOBO RESIDENCE</v>
      </c>
      <c r="D2402" s="186">
        <f>IFERROR(__xludf.DUMMYFUNCTION("""COMPUTED_VALUE"""),10.0)</f>
        <v>10</v>
      </c>
    </row>
    <row r="2403">
      <c r="A2403" s="178" t="str">
        <f>IFERROR(__xludf.DUMMYFUNCTION("""COMPUTED_VALUE"""),"ITBISA-ABC-BATERAI-D-POWER")</f>
        <v>ITBISA-ABC-BATERAI-D-POWER</v>
      </c>
      <c r="B2403" s="266">
        <f>IFERROR(__xludf.DUMMYFUNCTION("""COMPUTED_VALUE"""),44033.0)</f>
        <v>44033</v>
      </c>
      <c r="C2403" s="266" t="str">
        <f>IFERROR(__xludf.DUMMYFUNCTION("""COMPUTED_VALUE"""),"KAETOBO RESIDENCE")</f>
        <v>KAETOBO RESIDENCE</v>
      </c>
      <c r="D2403" s="186">
        <f>IFERROR(__xludf.DUMMYFUNCTION("""COMPUTED_VALUE"""),4.0)</f>
        <v>4</v>
      </c>
    </row>
    <row r="2404">
      <c r="A2404" s="178" t="str">
        <f>IFERROR(__xludf.DUMMYFUNCTION("""COMPUTED_VALUE"""),"ITBISA-ABC-BATERAI-D-POWER")</f>
        <v>ITBISA-ABC-BATERAI-D-POWER</v>
      </c>
      <c r="B2404" s="266">
        <f>IFERROR(__xludf.DUMMYFUNCTION("""COMPUTED_VALUE"""),44036.0)</f>
        <v>44036</v>
      </c>
      <c r="C2404" s="266" t="str">
        <f>IFERROR(__xludf.DUMMYFUNCTION("""COMPUTED_VALUE"""),"KAETOBO RESIDENCE")</f>
        <v>KAETOBO RESIDENCE</v>
      </c>
      <c r="D2404" s="186">
        <f>IFERROR(__xludf.DUMMYFUNCTION("""COMPUTED_VALUE"""),4.0)</f>
        <v>4</v>
      </c>
    </row>
    <row r="2405">
      <c r="A2405" s="178" t="str">
        <f>IFERROR(__xludf.DUMMYFUNCTION("""COMPUTED_VALUE"""),"ITBISA-ABC-BATERAI-D-POWER")</f>
        <v>ITBISA-ABC-BATERAI-D-POWER</v>
      </c>
      <c r="B2405" s="266">
        <f>IFERROR(__xludf.DUMMYFUNCTION("""COMPUTED_VALUE"""),44071.0)</f>
        <v>44071</v>
      </c>
      <c r="C2405" s="266" t="str">
        <f>IFERROR(__xludf.DUMMYFUNCTION("""COMPUTED_VALUE"""),"KOST SRITUNGGAL")</f>
        <v>KOST SRITUNGGAL</v>
      </c>
      <c r="D2405" s="186">
        <f>IFERROR(__xludf.DUMMYFUNCTION("""COMPUTED_VALUE"""),2.0)</f>
        <v>2</v>
      </c>
    </row>
    <row r="2406">
      <c r="A2406" s="178" t="str">
        <f>IFERROR(__xludf.DUMMYFUNCTION("""COMPUTED_VALUE"""),"ITBISA-ABC-BATERAI-D-POWER")</f>
        <v>ITBISA-ABC-BATERAI-D-POWER</v>
      </c>
      <c r="B2406" s="266">
        <f>IFERROR(__xludf.DUMMYFUNCTION("""COMPUTED_VALUE"""),44074.0)</f>
        <v>44074</v>
      </c>
      <c r="C2406" s="266" t="str">
        <f>IFERROR(__xludf.DUMMYFUNCTION("""COMPUTED_VALUE"""),"KOST SRITUNGGAL")</f>
        <v>KOST SRITUNGGAL</v>
      </c>
      <c r="D2406" s="186">
        <f>IFERROR(__xludf.DUMMYFUNCTION("""COMPUTED_VALUE"""),7.0)</f>
        <v>7</v>
      </c>
    </row>
    <row r="2407">
      <c r="A2407" s="178" t="str">
        <f>IFERROR(__xludf.DUMMYFUNCTION("""COMPUTED_VALUE"""),"ITBISA-ABC-BATERAI-D-POWER")</f>
        <v>ITBISA-ABC-BATERAI-D-POWER</v>
      </c>
      <c r="B2407" s="266">
        <f>IFERROR(__xludf.DUMMYFUNCTION("""COMPUTED_VALUE"""),44077.0)</f>
        <v>44077</v>
      </c>
      <c r="C2407" s="266" t="str">
        <f>IFERROR(__xludf.DUMMYFUNCTION("""COMPUTED_VALUE"""),"KOST SRITUNGGAL")</f>
        <v>KOST SRITUNGGAL</v>
      </c>
      <c r="D2407" s="186">
        <f>IFERROR(__xludf.DUMMYFUNCTION("""COMPUTED_VALUE"""),13.0)</f>
        <v>13</v>
      </c>
    </row>
    <row r="2408">
      <c r="A2408" s="178" t="str">
        <f>IFERROR(__xludf.DUMMYFUNCTION("""COMPUTED_VALUE"""),"ITBISA-ABC-BATERAI-D-POWER")</f>
        <v>ITBISA-ABC-BATERAI-D-POWER</v>
      </c>
      <c r="B2408" s="266">
        <f>IFERROR(__xludf.DUMMYFUNCTION("""COMPUTED_VALUE"""),44186.0)</f>
        <v>44186</v>
      </c>
      <c r="C2408" s="266" t="str">
        <f>IFERROR(__xludf.DUMMYFUNCTION("""COMPUTED_VALUE"""),"KOST RUMAHUMI")</f>
        <v>KOST RUMAHUMI</v>
      </c>
      <c r="D2408" s="186">
        <f>IFERROR(__xludf.DUMMYFUNCTION("""COMPUTED_VALUE"""),12.0)</f>
        <v>12</v>
      </c>
    </row>
    <row r="2409">
      <c r="A2409" s="178" t="str">
        <f>IFERROR(__xludf.DUMMYFUNCTION("""COMPUTED_VALUE"""),"ITBISA-ABC-BATERAI-D-POWER")</f>
        <v>ITBISA-ABC-BATERAI-D-POWER</v>
      </c>
      <c r="B2409" s="266">
        <f>IFERROR(__xludf.DUMMYFUNCTION("""COMPUTED_VALUE"""),44213.0)</f>
        <v>44213</v>
      </c>
      <c r="C2409" s="266" t="str">
        <f>IFERROR(__xludf.DUMMYFUNCTION("""COMPUTED_VALUE"""),"KOST RUMAHUMI")</f>
        <v>KOST RUMAHUMI</v>
      </c>
      <c r="D2409" s="186">
        <f>IFERROR(__xludf.DUMMYFUNCTION("""COMPUTED_VALUE"""),4.0)</f>
        <v>4</v>
      </c>
    </row>
    <row r="2410">
      <c r="A2410" s="178" t="str">
        <f>IFERROR(__xludf.DUMMYFUNCTION("""COMPUTED_VALUE"""),"ITBISA-ABC-BATERAI-D-POWER")</f>
        <v>ITBISA-ABC-BATERAI-D-POWER</v>
      </c>
      <c r="B2410" s="266">
        <f>IFERROR(__xludf.DUMMYFUNCTION("""COMPUTED_VALUE"""),44219.0)</f>
        <v>44219</v>
      </c>
      <c r="C2410" s="266" t="str">
        <f>IFERROR(__xludf.DUMMYFUNCTION("""COMPUTED_VALUE"""),"KOST RUMAHUMI")</f>
        <v>KOST RUMAHUMI</v>
      </c>
      <c r="D2410" s="186">
        <f>IFERROR(__xludf.DUMMYFUNCTION("""COMPUTED_VALUE"""),22.0)</f>
        <v>22</v>
      </c>
    </row>
    <row r="2411">
      <c r="A2411" s="178" t="str">
        <f>IFERROR(__xludf.DUMMYFUNCTION("""COMPUTED_VALUE"""),"ITBISA-ABC-BATERAI-D-POWER")</f>
        <v>ITBISA-ABC-BATERAI-D-POWER</v>
      </c>
      <c r="B2411" s="266">
        <f>IFERROR(__xludf.DUMMYFUNCTION("""COMPUTED_VALUE"""),44228.0)</f>
        <v>44228</v>
      </c>
      <c r="C2411" s="266" t="str">
        <f>IFERROR(__xludf.DUMMYFUNCTION("""COMPUTED_VALUE"""),"KOST RUMAHUMI")</f>
        <v>KOST RUMAHUMI</v>
      </c>
      <c r="D2411" s="186">
        <f>IFERROR(__xludf.DUMMYFUNCTION("""COMPUTED_VALUE"""),2.0)</f>
        <v>2</v>
      </c>
    </row>
    <row r="2412">
      <c r="A2412" s="178" t="str">
        <f>IFERROR(__xludf.DUMMYFUNCTION("""COMPUTED_VALUE"""),"ITBISA-ABC-BATERAI-D-POWER")</f>
        <v>ITBISA-ABC-BATERAI-D-POWER</v>
      </c>
      <c r="B2412" s="266">
        <f>IFERROR(__xludf.DUMMYFUNCTION("""COMPUTED_VALUE"""),44228.0)</f>
        <v>44228</v>
      </c>
      <c r="C2412" s="266" t="str">
        <f>IFERROR(__xludf.DUMMYFUNCTION("""COMPUTED_VALUE"""),"KOST RUMAHUMI")</f>
        <v>KOST RUMAHUMI</v>
      </c>
      <c r="D2412" s="186">
        <f>IFERROR(__xludf.DUMMYFUNCTION("""COMPUTED_VALUE"""),10.0)</f>
        <v>10</v>
      </c>
    </row>
    <row r="2413">
      <c r="A2413" s="178" t="str">
        <f>IFERROR(__xludf.DUMMYFUNCTION("""COMPUTED_VALUE"""),"ITBISA-ABC-BATERAI-D-POWER")</f>
        <v>ITBISA-ABC-BATERAI-D-POWER</v>
      </c>
      <c r="B2413" s="266">
        <f>IFERROR(__xludf.DUMMYFUNCTION("""COMPUTED_VALUE"""),44240.0)</f>
        <v>44240</v>
      </c>
      <c r="C2413" s="266" t="str">
        <f>IFERROR(__xludf.DUMMYFUNCTION("""COMPUTED_VALUE"""),"KOST RUMAHUMI")</f>
        <v>KOST RUMAHUMI</v>
      </c>
      <c r="D2413" s="186">
        <f>IFERROR(__xludf.DUMMYFUNCTION("""COMPUTED_VALUE"""),2.0)</f>
        <v>2</v>
      </c>
    </row>
    <row r="2414">
      <c r="A2414" s="178" t="str">
        <f>IFERROR(__xludf.DUMMYFUNCTION("""COMPUTED_VALUE"""),"ITBISA-ABC-BATERAI-D-POWER")</f>
        <v>ITBISA-ABC-BATERAI-D-POWER</v>
      </c>
      <c r="B2414" s="266">
        <f>IFERROR(__xludf.DUMMYFUNCTION("""COMPUTED_VALUE"""),44243.0)</f>
        <v>44243</v>
      </c>
      <c r="C2414" s="266" t="str">
        <f>IFERROR(__xludf.DUMMYFUNCTION("""COMPUTED_VALUE"""),"KOST RUMAHUMI")</f>
        <v>KOST RUMAHUMI</v>
      </c>
      <c r="D2414" s="186">
        <f>IFERROR(__xludf.DUMMYFUNCTION("""COMPUTED_VALUE"""),10.0)</f>
        <v>10</v>
      </c>
    </row>
    <row r="2415">
      <c r="A2415" s="178" t="str">
        <f>IFERROR(__xludf.DUMMYFUNCTION("""COMPUTED_VALUE"""),"ITBISA-ABC-BATERAI-D-POWER")</f>
        <v>ITBISA-ABC-BATERAI-D-POWER</v>
      </c>
      <c r="B2415" s="266">
        <f>IFERROR(__xludf.DUMMYFUNCTION("""COMPUTED_VALUE"""),44244.0)</f>
        <v>44244</v>
      </c>
      <c r="C2415" s="266" t="str">
        <f>IFERROR(__xludf.DUMMYFUNCTION("""COMPUTED_VALUE"""),"KOST RUMAHUMI")</f>
        <v>KOST RUMAHUMI</v>
      </c>
      <c r="D2415" s="186">
        <f>IFERROR(__xludf.DUMMYFUNCTION("""COMPUTED_VALUE"""),10.0)</f>
        <v>10</v>
      </c>
    </row>
    <row r="2416">
      <c r="A2416" s="178" t="str">
        <f>IFERROR(__xludf.DUMMYFUNCTION("""COMPUTED_VALUE"""),"ITBISA-ABC-BATERAI-D-POWER")</f>
        <v>ITBISA-ABC-BATERAI-D-POWER</v>
      </c>
      <c r="B2416" s="266">
        <f>IFERROR(__xludf.DUMMYFUNCTION("""COMPUTED_VALUE"""),44245.0)</f>
        <v>44245</v>
      </c>
      <c r="C2416" s="266" t="str">
        <f>IFERROR(__xludf.DUMMYFUNCTION("""COMPUTED_VALUE"""),"KOST RUMAHUMI")</f>
        <v>KOST RUMAHUMI</v>
      </c>
      <c r="D2416" s="186">
        <f>IFERROR(__xludf.DUMMYFUNCTION("""COMPUTED_VALUE"""),10.0)</f>
        <v>10</v>
      </c>
    </row>
    <row r="2417">
      <c r="A2417" s="178" t="str">
        <f>IFERROR(__xludf.DUMMYFUNCTION("""COMPUTED_VALUE"""),"ITBISA-ABC-BATERAI-D-POWER")</f>
        <v>ITBISA-ABC-BATERAI-D-POWER</v>
      </c>
      <c r="B2417" s="266">
        <f>IFERROR(__xludf.DUMMYFUNCTION("""COMPUTED_VALUE"""),44249.0)</f>
        <v>44249</v>
      </c>
      <c r="C2417" s="266" t="str">
        <f>IFERROR(__xludf.DUMMYFUNCTION("""COMPUTED_VALUE"""),"KOST RUMAHUMI")</f>
        <v>KOST RUMAHUMI</v>
      </c>
      <c r="D2417" s="186">
        <f>IFERROR(__xludf.DUMMYFUNCTION("""COMPUTED_VALUE"""),10.0)</f>
        <v>10</v>
      </c>
    </row>
    <row r="2418">
      <c r="A2418" s="178" t="str">
        <f>IFERROR(__xludf.DUMMYFUNCTION("""COMPUTED_VALUE"""),"ITBISA-ABC-BATERAI-D-POWER")</f>
        <v>ITBISA-ABC-BATERAI-D-POWER</v>
      </c>
      <c r="B2418" s="266">
        <f>IFERROR(__xludf.DUMMYFUNCTION("""COMPUTED_VALUE"""),44252.0)</f>
        <v>44252</v>
      </c>
      <c r="C2418" s="266" t="str">
        <f>IFERROR(__xludf.DUMMYFUNCTION("""COMPUTED_VALUE"""),"KOST RUMAHUMI")</f>
        <v>KOST RUMAHUMI</v>
      </c>
      <c r="D2418" s="186">
        <f>IFERROR(__xludf.DUMMYFUNCTION("""COMPUTED_VALUE"""),2.0)</f>
        <v>2</v>
      </c>
    </row>
    <row r="2419">
      <c r="A2419" s="178" t="str">
        <f>IFERROR(__xludf.DUMMYFUNCTION("""COMPUTED_VALUE"""),"ITBISA-ABC-BATERAI-D-POWER")</f>
        <v>ITBISA-ABC-BATERAI-D-POWER</v>
      </c>
      <c r="B2419" s="266">
        <f>IFERROR(__xludf.DUMMYFUNCTION("""COMPUTED_VALUE"""),44846.0)</f>
        <v>44846</v>
      </c>
      <c r="C2419" s="266" t="str">
        <f>IFERROR(__xludf.DUMMYFUNCTION("""COMPUTED_VALUE"""),"KYAI KONTONG")</f>
        <v>KYAI KONTONG</v>
      </c>
      <c r="D2419" s="186">
        <f>IFERROR(__xludf.DUMMYFUNCTION("""COMPUTED_VALUE"""),2.0)</f>
        <v>2</v>
      </c>
    </row>
    <row r="2420">
      <c r="A2420" s="178" t="str">
        <f>IFERROR(__xludf.DUMMYFUNCTION("""COMPUTED_VALUE"""),"ITBISA-ABC-BATERAI-D-POWER")</f>
        <v>ITBISA-ABC-BATERAI-D-POWER</v>
      </c>
      <c r="B2420" s="266">
        <f>IFERROR(__xludf.DUMMYFUNCTION("""COMPUTED_VALUE"""),44847.0)</f>
        <v>44847</v>
      </c>
      <c r="C2420" s="266" t="str">
        <f>IFERROR(__xludf.DUMMYFUNCTION("""COMPUTED_VALUE"""),"KYAI KONTONG")</f>
        <v>KYAI KONTONG</v>
      </c>
      <c r="D2420" s="186">
        <f>IFERROR(__xludf.DUMMYFUNCTION("""COMPUTED_VALUE"""),6.0)</f>
        <v>6</v>
      </c>
    </row>
    <row r="2421">
      <c r="A2421" s="178" t="str">
        <f>IFERROR(__xludf.DUMMYFUNCTION("""COMPUTED_VALUE"""),"ITBISA-ABC-BATERAI-D-POWER")</f>
        <v>ITBISA-ABC-BATERAI-D-POWER</v>
      </c>
      <c r="B2421" s="266">
        <f>IFERROR(__xludf.DUMMYFUNCTION("""COMPUTED_VALUE"""),44862.0)</f>
        <v>44862</v>
      </c>
      <c r="C2421" s="266" t="str">
        <f>IFERROR(__xludf.DUMMYFUNCTION("""COMPUTED_VALUE"""),"KYAI KONTONG")</f>
        <v>KYAI KONTONG</v>
      </c>
      <c r="D2421" s="186">
        <f>IFERROR(__xludf.DUMMYFUNCTION("""COMPUTED_VALUE"""),2.0)</f>
        <v>2</v>
      </c>
    </row>
    <row r="2422">
      <c r="A2422" s="178" t="str">
        <f>IFERROR(__xludf.DUMMYFUNCTION("""COMPUTED_VALUE"""),"ITBISA-ABC-BATERAI-D-POWER")</f>
        <v>ITBISA-ABC-BATERAI-D-POWER</v>
      </c>
      <c r="B2422" s="266">
        <f>IFERROR(__xludf.DUMMYFUNCTION("""COMPUTED_VALUE"""),44872.0)</f>
        <v>44872</v>
      </c>
      <c r="C2422" s="266" t="str">
        <f>IFERROR(__xludf.DUMMYFUNCTION("""COMPUTED_VALUE"""),"KYAI KONTONG")</f>
        <v>KYAI KONTONG</v>
      </c>
      <c r="D2422" s="186">
        <f>IFERROR(__xludf.DUMMYFUNCTION("""COMPUTED_VALUE"""),2.0)</f>
        <v>2</v>
      </c>
    </row>
    <row r="2423">
      <c r="A2423" s="178" t="str">
        <f>IFERROR(__xludf.DUMMYFUNCTION("""COMPUTED_VALUE"""),"ITBISA-ABC-BATERAI-D-POWER")</f>
        <v>ITBISA-ABC-BATERAI-D-POWER</v>
      </c>
      <c r="B2423" s="266">
        <f>IFERROR(__xludf.DUMMYFUNCTION("""COMPUTED_VALUE"""),44894.0)</f>
        <v>44894</v>
      </c>
      <c r="C2423" s="266" t="str">
        <f>IFERROR(__xludf.DUMMYFUNCTION("""COMPUTED_VALUE"""),"KYAI KONTONG")</f>
        <v>KYAI KONTONG</v>
      </c>
      <c r="D2423" s="186">
        <f>IFERROR(__xludf.DUMMYFUNCTION("""COMPUTED_VALUE"""),12.0)</f>
        <v>12</v>
      </c>
    </row>
    <row r="2424">
      <c r="A2424" s="178" t="str">
        <f>IFERROR(__xludf.DUMMYFUNCTION("""COMPUTED_VALUE"""),"ITBISA-ABC-BATERAI-D-POWER")</f>
        <v>ITBISA-ABC-BATERAI-D-POWER</v>
      </c>
      <c r="B2424" s="266">
        <f>IFERROR(__xludf.DUMMYFUNCTION("""COMPUTED_VALUE"""),44901.0)</f>
        <v>44901</v>
      </c>
      <c r="C2424" s="266" t="str">
        <f>IFERROR(__xludf.DUMMYFUNCTION("""COMPUTED_VALUE"""),"KYAI KONTONG")</f>
        <v>KYAI KONTONG</v>
      </c>
      <c r="D2424" s="186">
        <f>IFERROR(__xludf.DUMMYFUNCTION("""COMPUTED_VALUE"""),1.0)</f>
        <v>1</v>
      </c>
    </row>
    <row r="2425">
      <c r="A2425" s="178" t="str">
        <f>IFERROR(__xludf.DUMMYFUNCTION("""COMPUTED_VALUE"""),"ITBISA-ABC-BATERAI-D-POWER")</f>
        <v>ITBISA-ABC-BATERAI-D-POWER</v>
      </c>
      <c r="B2425" s="266">
        <f>IFERROR(__xludf.DUMMYFUNCTION("""COMPUTED_VALUE"""),44901.0)</f>
        <v>44901</v>
      </c>
      <c r="C2425" s="266" t="str">
        <f>IFERROR(__xludf.DUMMYFUNCTION("""COMPUTED_VALUE"""),"KYAI KONTONG")</f>
        <v>KYAI KONTONG</v>
      </c>
      <c r="D2425" s="186">
        <f>IFERROR(__xludf.DUMMYFUNCTION("""COMPUTED_VALUE"""),1.0)</f>
        <v>1</v>
      </c>
    </row>
    <row r="2426">
      <c r="A2426" s="178" t="str">
        <f>IFERROR(__xludf.DUMMYFUNCTION("""COMPUTED_VALUE"""),"ITBISA-ABC-BATERAI-D-POWER")</f>
        <v>ITBISA-ABC-BATERAI-D-POWER</v>
      </c>
      <c r="B2426" s="266">
        <f>IFERROR(__xludf.DUMMYFUNCTION("""COMPUTED_VALUE"""),44902.0)</f>
        <v>44902</v>
      </c>
      <c r="C2426" s="266" t="str">
        <f>IFERROR(__xludf.DUMMYFUNCTION("""COMPUTED_VALUE"""),"KYAI KONTONG")</f>
        <v>KYAI KONTONG</v>
      </c>
      <c r="D2426" s="186">
        <f>IFERROR(__xludf.DUMMYFUNCTION("""COMPUTED_VALUE"""),1.0)</f>
        <v>1</v>
      </c>
    </row>
    <row r="2427">
      <c r="A2427" s="178" t="str">
        <f>IFERROR(__xludf.DUMMYFUNCTION("""COMPUTED_VALUE"""),"ITBISA-ABC-BATERAI-D-POWER")</f>
        <v>ITBISA-ABC-BATERAI-D-POWER</v>
      </c>
      <c r="B2427" s="266">
        <f>IFERROR(__xludf.DUMMYFUNCTION("""COMPUTED_VALUE"""),44902.0)</f>
        <v>44902</v>
      </c>
      <c r="C2427" s="266" t="str">
        <f>IFERROR(__xludf.DUMMYFUNCTION("""COMPUTED_VALUE"""),"KYAI KONTONG")</f>
        <v>KYAI KONTONG</v>
      </c>
      <c r="D2427" s="186">
        <f>IFERROR(__xludf.DUMMYFUNCTION("""COMPUTED_VALUE"""),1.0)</f>
        <v>1</v>
      </c>
    </row>
    <row r="2428">
      <c r="A2428" s="178" t="str">
        <f>IFERROR(__xludf.DUMMYFUNCTION("""COMPUTED_VALUE"""),"ITBISA-ABC-BATERAI-D-POWER")</f>
        <v>ITBISA-ABC-BATERAI-D-POWER</v>
      </c>
      <c r="B2428" s="266">
        <f>IFERROR(__xludf.DUMMYFUNCTION("""COMPUTED_VALUE"""),44902.0)</f>
        <v>44902</v>
      </c>
      <c r="C2428" s="266" t="str">
        <f>IFERROR(__xludf.DUMMYFUNCTION("""COMPUTED_VALUE"""),"KYAI KONTONG")</f>
        <v>KYAI KONTONG</v>
      </c>
      <c r="D2428" s="186">
        <f>IFERROR(__xludf.DUMMYFUNCTION("""COMPUTED_VALUE"""),6.0)</f>
        <v>6</v>
      </c>
    </row>
    <row r="2429">
      <c r="A2429" s="178" t="str">
        <f>IFERROR(__xludf.DUMMYFUNCTION("""COMPUTED_VALUE"""),"ITBISA-ABC-BATERAI-D-POWER")</f>
        <v>ITBISA-ABC-BATERAI-D-POWER</v>
      </c>
      <c r="B2429" s="266">
        <f>IFERROR(__xludf.DUMMYFUNCTION("""COMPUTED_VALUE"""),44903.0)</f>
        <v>44903</v>
      </c>
      <c r="C2429" s="266" t="str">
        <f>IFERROR(__xludf.DUMMYFUNCTION("""COMPUTED_VALUE"""),"KYAI KONTONG")</f>
        <v>KYAI KONTONG</v>
      </c>
      <c r="D2429" s="186">
        <f>IFERROR(__xludf.DUMMYFUNCTION("""COMPUTED_VALUE"""),2.0)</f>
        <v>2</v>
      </c>
    </row>
    <row r="2430">
      <c r="A2430" s="178" t="str">
        <f>IFERROR(__xludf.DUMMYFUNCTION("""COMPUTED_VALUE"""),"ITBISA-ABC-BATERAI-D-POWER")</f>
        <v>ITBISA-ABC-BATERAI-D-POWER</v>
      </c>
      <c r="B2430" s="266">
        <f>IFERROR(__xludf.DUMMYFUNCTION("""COMPUTED_VALUE"""),44903.0)</f>
        <v>44903</v>
      </c>
      <c r="C2430" s="266" t="str">
        <f>IFERROR(__xludf.DUMMYFUNCTION("""COMPUTED_VALUE"""),"KYAI KONTONG")</f>
        <v>KYAI KONTONG</v>
      </c>
      <c r="D2430" s="186">
        <f>IFERROR(__xludf.DUMMYFUNCTION("""COMPUTED_VALUE"""),4.0)</f>
        <v>4</v>
      </c>
    </row>
    <row r="2431">
      <c r="A2431" s="178" t="str">
        <f>IFERROR(__xludf.DUMMYFUNCTION("""COMPUTED_VALUE"""),"ITBISA-ABC-BATERAI-D-POWER")</f>
        <v>ITBISA-ABC-BATERAI-D-POWER</v>
      </c>
      <c r="B2431" s="266">
        <f>IFERROR(__xludf.DUMMYFUNCTION("""COMPUTED_VALUE"""),44903.0)</f>
        <v>44903</v>
      </c>
      <c r="C2431" s="266" t="str">
        <f>IFERROR(__xludf.DUMMYFUNCTION("""COMPUTED_VALUE"""),"KYAI KONTONG")</f>
        <v>KYAI KONTONG</v>
      </c>
      <c r="D2431" s="186">
        <f>IFERROR(__xludf.DUMMYFUNCTION("""COMPUTED_VALUE"""),6.0)</f>
        <v>6</v>
      </c>
    </row>
    <row r="2432">
      <c r="A2432" s="178" t="str">
        <f>IFERROR(__xludf.DUMMYFUNCTION("""COMPUTED_VALUE"""),"ITBISA-ABC-BATERAI-D-POWER")</f>
        <v>ITBISA-ABC-BATERAI-D-POWER</v>
      </c>
      <c r="B2432" s="266">
        <f>IFERROR(__xludf.DUMMYFUNCTION("""COMPUTED_VALUE"""),44903.0)</f>
        <v>44903</v>
      </c>
      <c r="C2432" s="266" t="str">
        <f>IFERROR(__xludf.DUMMYFUNCTION("""COMPUTED_VALUE"""),"KYAI KONTONG")</f>
        <v>KYAI KONTONG</v>
      </c>
      <c r="D2432" s="186">
        <f>IFERROR(__xludf.DUMMYFUNCTION("""COMPUTED_VALUE"""),8.0)</f>
        <v>8</v>
      </c>
    </row>
    <row r="2433">
      <c r="A2433" s="178" t="str">
        <f>IFERROR(__xludf.DUMMYFUNCTION("""COMPUTED_VALUE"""),"ITBISA-ABC-BATERAI-D-POWER")</f>
        <v>ITBISA-ABC-BATERAI-D-POWER</v>
      </c>
      <c r="B2433" s="266">
        <f>IFERROR(__xludf.DUMMYFUNCTION("""COMPUTED_VALUE"""),44904.0)</f>
        <v>44904</v>
      </c>
      <c r="C2433" s="266" t="str">
        <f>IFERROR(__xludf.DUMMYFUNCTION("""COMPUTED_VALUE"""),"KYAI KONTONG")</f>
        <v>KYAI KONTONG</v>
      </c>
      <c r="D2433" s="186">
        <f>IFERROR(__xludf.DUMMYFUNCTION("""COMPUTED_VALUE"""),2.0)</f>
        <v>2</v>
      </c>
    </row>
    <row r="2434">
      <c r="A2434" s="178" t="str">
        <f>IFERROR(__xludf.DUMMYFUNCTION("""COMPUTED_VALUE"""),"ITBISA-ABC-BATERAI-D-POWER")</f>
        <v>ITBISA-ABC-BATERAI-D-POWER</v>
      </c>
      <c r="B2434" s="266">
        <f>IFERROR(__xludf.DUMMYFUNCTION("""COMPUTED_VALUE"""),44904.0)</f>
        <v>44904</v>
      </c>
      <c r="C2434" s="266" t="str">
        <f>IFERROR(__xludf.DUMMYFUNCTION("""COMPUTED_VALUE"""),"KYAI KONTONG")</f>
        <v>KYAI KONTONG</v>
      </c>
      <c r="D2434" s="186">
        <f>IFERROR(__xludf.DUMMYFUNCTION("""COMPUTED_VALUE"""),2.0)</f>
        <v>2</v>
      </c>
    </row>
    <row r="2435">
      <c r="A2435" s="178" t="str">
        <f>IFERROR(__xludf.DUMMYFUNCTION("""COMPUTED_VALUE"""),"ITBISA-ABC-BATERAI-D-POWER")</f>
        <v>ITBISA-ABC-BATERAI-D-POWER</v>
      </c>
      <c r="B2435" s="266">
        <f>IFERROR(__xludf.DUMMYFUNCTION("""COMPUTED_VALUE"""),44907.0)</f>
        <v>44907</v>
      </c>
      <c r="C2435" s="266" t="str">
        <f>IFERROR(__xludf.DUMMYFUNCTION("""COMPUTED_VALUE"""),"KYAI KONTONG")</f>
        <v>KYAI KONTONG</v>
      </c>
      <c r="D2435" s="186">
        <f>IFERROR(__xludf.DUMMYFUNCTION("""COMPUTED_VALUE"""),2.0)</f>
        <v>2</v>
      </c>
    </row>
    <row r="2436">
      <c r="A2436" s="178" t="str">
        <f>IFERROR(__xludf.DUMMYFUNCTION("""COMPUTED_VALUE"""),"ITBISA-ABC-BATERAI-D-POWER")</f>
        <v>ITBISA-ABC-BATERAI-D-POWER</v>
      </c>
      <c r="B2436" s="266">
        <f>IFERROR(__xludf.DUMMYFUNCTION("""COMPUTED_VALUE"""),44907.0)</f>
        <v>44907</v>
      </c>
      <c r="C2436" s="266" t="str">
        <f>IFERROR(__xludf.DUMMYFUNCTION("""COMPUTED_VALUE"""),"KYAI KONTONG")</f>
        <v>KYAI KONTONG</v>
      </c>
      <c r="D2436" s="186">
        <f>IFERROR(__xludf.DUMMYFUNCTION("""COMPUTED_VALUE"""),2.0)</f>
        <v>2</v>
      </c>
    </row>
    <row r="2437">
      <c r="A2437" s="178" t="str">
        <f>IFERROR(__xludf.DUMMYFUNCTION("""COMPUTED_VALUE"""),"ITBISA-ABC-BATERAI-D-POWER")</f>
        <v>ITBISA-ABC-BATERAI-D-POWER</v>
      </c>
      <c r="B2437" s="266">
        <f>IFERROR(__xludf.DUMMYFUNCTION("""COMPUTED_VALUE"""),44907.0)</f>
        <v>44907</v>
      </c>
      <c r="C2437" s="266" t="str">
        <f>IFERROR(__xludf.DUMMYFUNCTION("""COMPUTED_VALUE"""),"KYAI KONTONG")</f>
        <v>KYAI KONTONG</v>
      </c>
      <c r="D2437" s="186">
        <f>IFERROR(__xludf.DUMMYFUNCTION("""COMPUTED_VALUE"""),4.0)</f>
        <v>4</v>
      </c>
    </row>
    <row r="2438">
      <c r="A2438" s="178" t="str">
        <f>IFERROR(__xludf.DUMMYFUNCTION("""COMPUTED_VALUE"""),"ITBISA-ABC-BATERAI-D-POWER")</f>
        <v>ITBISA-ABC-BATERAI-D-POWER</v>
      </c>
      <c r="B2438" s="266">
        <f>IFERROR(__xludf.DUMMYFUNCTION("""COMPUTED_VALUE"""),44910.0)</f>
        <v>44910</v>
      </c>
      <c r="C2438" s="266" t="str">
        <f>IFERROR(__xludf.DUMMYFUNCTION("""COMPUTED_VALUE"""),"KYAI KONTONG")</f>
        <v>KYAI KONTONG</v>
      </c>
      <c r="D2438" s="186">
        <f>IFERROR(__xludf.DUMMYFUNCTION("""COMPUTED_VALUE"""),2.0)</f>
        <v>2</v>
      </c>
    </row>
    <row r="2439">
      <c r="A2439" s="178" t="str">
        <f>IFERROR(__xludf.DUMMYFUNCTION("""COMPUTED_VALUE"""),"ITBISA-ABC-BATERAI-D-POWER")</f>
        <v>ITBISA-ABC-BATERAI-D-POWER</v>
      </c>
      <c r="B2439" s="266">
        <f>IFERROR(__xludf.DUMMYFUNCTION("""COMPUTED_VALUE"""),44912.0)</f>
        <v>44912</v>
      </c>
      <c r="C2439" s="266" t="str">
        <f>IFERROR(__xludf.DUMMYFUNCTION("""COMPUTED_VALUE"""),"KYAI KONTONG")</f>
        <v>KYAI KONTONG</v>
      </c>
      <c r="D2439" s="186">
        <f>IFERROR(__xludf.DUMMYFUNCTION("""COMPUTED_VALUE"""),5.0)</f>
        <v>5</v>
      </c>
    </row>
    <row r="2440">
      <c r="A2440" s="178" t="str">
        <f>IFERROR(__xludf.DUMMYFUNCTION("""COMPUTED_VALUE"""),"ITBISA-ABC-BATERAI-D-POWER")</f>
        <v>ITBISA-ABC-BATERAI-D-POWER</v>
      </c>
      <c r="B2440" s="266">
        <f>IFERROR(__xludf.DUMMYFUNCTION("""COMPUTED_VALUE"""),44912.0)</f>
        <v>44912</v>
      </c>
      <c r="C2440" s="266" t="str">
        <f>IFERROR(__xludf.DUMMYFUNCTION("""COMPUTED_VALUE"""),"KYAI KONTONG")</f>
        <v>KYAI KONTONG</v>
      </c>
      <c r="D2440" s="186">
        <f>IFERROR(__xludf.DUMMYFUNCTION("""COMPUTED_VALUE"""),8.0)</f>
        <v>8</v>
      </c>
    </row>
    <row r="2441">
      <c r="A2441" s="178" t="str">
        <f>IFERROR(__xludf.DUMMYFUNCTION("""COMPUTED_VALUE"""),"ITBISA-ABC-BATERAI-D-POWER")</f>
        <v>ITBISA-ABC-BATERAI-D-POWER</v>
      </c>
      <c r="B2441" s="266">
        <f>IFERROR(__xludf.DUMMYFUNCTION("""COMPUTED_VALUE"""),44917.0)</f>
        <v>44917</v>
      </c>
      <c r="C2441" s="266" t="str">
        <f>IFERROR(__xludf.DUMMYFUNCTION("""COMPUTED_VALUE"""),"KYAI KONTONG")</f>
        <v>KYAI KONTONG</v>
      </c>
      <c r="D2441" s="186">
        <f>IFERROR(__xludf.DUMMYFUNCTION("""COMPUTED_VALUE"""),2.0)</f>
        <v>2</v>
      </c>
    </row>
    <row r="2442">
      <c r="A2442" s="178" t="str">
        <f>IFERROR(__xludf.DUMMYFUNCTION("""COMPUTED_VALUE"""),"ITBISA-ABC-BATERAI-D-POWER")</f>
        <v>ITBISA-ABC-BATERAI-D-POWER</v>
      </c>
      <c r="B2442" s="266">
        <f>IFERROR(__xludf.DUMMYFUNCTION("""COMPUTED_VALUE"""),44918.0)</f>
        <v>44918</v>
      </c>
      <c r="C2442" s="266" t="str">
        <f>IFERROR(__xludf.DUMMYFUNCTION("""COMPUTED_VALUE"""),"KYAI KONTONG")</f>
        <v>KYAI KONTONG</v>
      </c>
      <c r="D2442" s="186">
        <f>IFERROR(__xludf.DUMMYFUNCTION("""COMPUTED_VALUE"""),2.0)</f>
        <v>2</v>
      </c>
    </row>
    <row r="2443">
      <c r="A2443" s="178" t="str">
        <f>IFERROR(__xludf.DUMMYFUNCTION("""COMPUTED_VALUE"""),"ITBISA-ABC-BATERAI-D-POWER")</f>
        <v>ITBISA-ABC-BATERAI-D-POWER</v>
      </c>
      <c r="B2443" s="266">
        <f>IFERROR(__xludf.DUMMYFUNCTION("""COMPUTED_VALUE"""),44929.0)</f>
        <v>44929</v>
      </c>
      <c r="C2443" s="266" t="str">
        <f>IFERROR(__xludf.DUMMYFUNCTION("""COMPUTED_VALUE"""),"KYAI KONTONG")</f>
        <v>KYAI KONTONG</v>
      </c>
      <c r="D2443" s="186">
        <f>IFERROR(__xludf.DUMMYFUNCTION("""COMPUTED_VALUE"""),2.0)</f>
        <v>2</v>
      </c>
    </row>
    <row r="2444">
      <c r="A2444" s="178" t="str">
        <f>IFERROR(__xludf.DUMMYFUNCTION("""COMPUTED_VALUE"""),"ITBISA-ABC-BATERAI-D-POWER")</f>
        <v>ITBISA-ABC-BATERAI-D-POWER</v>
      </c>
      <c r="B2444" s="266">
        <f>IFERROR(__xludf.DUMMYFUNCTION("""COMPUTED_VALUE"""),44938.0)</f>
        <v>44938</v>
      </c>
      <c r="C2444" s="266" t="str">
        <f>IFERROR(__xludf.DUMMYFUNCTION("""COMPUTED_VALUE"""),"KYAI KONTONG")</f>
        <v>KYAI KONTONG</v>
      </c>
      <c r="D2444" s="186">
        <f>IFERROR(__xludf.DUMMYFUNCTION("""COMPUTED_VALUE"""),2.0)</f>
        <v>2</v>
      </c>
    </row>
    <row r="2445">
      <c r="A2445" s="178" t="str">
        <f>IFERROR(__xludf.DUMMYFUNCTION("""COMPUTED_VALUE"""),"ITBISA-ABC-BATERAI-D-POWER")</f>
        <v>ITBISA-ABC-BATERAI-D-POWER</v>
      </c>
      <c r="B2445" s="266">
        <f>IFERROR(__xludf.DUMMYFUNCTION("""COMPUTED_VALUE"""),44951.0)</f>
        <v>44951</v>
      </c>
      <c r="C2445" s="266" t="str">
        <f>IFERROR(__xludf.DUMMYFUNCTION("""COMPUTED_VALUE"""),"KYAI KONTONG")</f>
        <v>KYAI KONTONG</v>
      </c>
      <c r="D2445" s="186">
        <f>IFERROR(__xludf.DUMMYFUNCTION("""COMPUTED_VALUE"""),6.0)</f>
        <v>6</v>
      </c>
    </row>
    <row r="2446">
      <c r="A2446" s="178" t="str">
        <f>IFERROR(__xludf.DUMMYFUNCTION("""COMPUTED_VALUE"""),"ITBISA-ABC-BATERAI-D-POWER")</f>
        <v>ITBISA-ABC-BATERAI-D-POWER</v>
      </c>
      <c r="B2446" s="266">
        <f>IFERROR(__xludf.DUMMYFUNCTION("""COMPUTED_VALUE"""),44952.0)</f>
        <v>44952</v>
      </c>
      <c r="C2446" s="266" t="str">
        <f>IFERROR(__xludf.DUMMYFUNCTION("""COMPUTED_VALUE"""),"KYAI KONTONG")</f>
        <v>KYAI KONTONG</v>
      </c>
      <c r="D2446" s="186">
        <f>IFERROR(__xludf.DUMMYFUNCTION("""COMPUTED_VALUE"""),6.0)</f>
        <v>6</v>
      </c>
    </row>
    <row r="2447">
      <c r="A2447" s="178" t="str">
        <f>IFERROR(__xludf.DUMMYFUNCTION("""COMPUTED_VALUE"""),"ITBISA-ABC-BATERAI-D-POWER")</f>
        <v>ITBISA-ABC-BATERAI-D-POWER</v>
      </c>
      <c r="B2447" s="266">
        <f>IFERROR(__xludf.DUMMYFUNCTION("""COMPUTED_VALUE"""),44954.0)</f>
        <v>44954</v>
      </c>
      <c r="C2447" s="266" t="str">
        <f>IFERROR(__xludf.DUMMYFUNCTION("""COMPUTED_VALUE"""),"KYAI KONTONG")</f>
        <v>KYAI KONTONG</v>
      </c>
      <c r="D2447" s="186">
        <f>IFERROR(__xludf.DUMMYFUNCTION("""COMPUTED_VALUE"""),4.0)</f>
        <v>4</v>
      </c>
    </row>
    <row r="2448">
      <c r="A2448" s="178" t="str">
        <f>IFERROR(__xludf.DUMMYFUNCTION("""COMPUTED_VALUE"""),"ITBISA-ABC-BATERAI-D-POWER")</f>
        <v>ITBISA-ABC-BATERAI-D-POWER</v>
      </c>
      <c r="B2448" s="266">
        <f>IFERROR(__xludf.DUMMYFUNCTION("""COMPUTED_VALUE"""),44956.0)</f>
        <v>44956</v>
      </c>
      <c r="C2448" s="266" t="str">
        <f>IFERROR(__xludf.DUMMYFUNCTION("""COMPUTED_VALUE"""),"KYAI KONTONG")</f>
        <v>KYAI KONTONG</v>
      </c>
      <c r="D2448" s="186">
        <f>IFERROR(__xludf.DUMMYFUNCTION("""COMPUTED_VALUE"""),2.0)</f>
        <v>2</v>
      </c>
    </row>
    <row r="2449">
      <c r="A2449" s="178" t="str">
        <f>IFERROR(__xludf.DUMMYFUNCTION("""COMPUTED_VALUE"""),"ITBISA-ABC-BATERAI-D-POWER")</f>
        <v>ITBISA-ABC-BATERAI-D-POWER</v>
      </c>
      <c r="B2449" s="266">
        <f>IFERROR(__xludf.DUMMYFUNCTION("""COMPUTED_VALUE"""),44957.0)</f>
        <v>44957</v>
      </c>
      <c r="C2449" s="266" t="str">
        <f>IFERROR(__xludf.DUMMYFUNCTION("""COMPUTED_VALUE"""),"KYAI KONTONG")</f>
        <v>KYAI KONTONG</v>
      </c>
      <c r="D2449" s="186">
        <f>IFERROR(__xludf.DUMMYFUNCTION("""COMPUTED_VALUE"""),2.0)</f>
        <v>2</v>
      </c>
    </row>
    <row r="2450">
      <c r="A2450" s="178" t="str">
        <f>IFERROR(__xludf.DUMMYFUNCTION("""COMPUTED_VALUE"""),"ITBISA-ABC-BATERAI-D-POWER")</f>
        <v>ITBISA-ABC-BATERAI-D-POWER</v>
      </c>
      <c r="B2450" s="266">
        <f>IFERROR(__xludf.DUMMYFUNCTION("""COMPUTED_VALUE"""),44958.0)</f>
        <v>44958</v>
      </c>
      <c r="C2450" s="266" t="str">
        <f>IFERROR(__xludf.DUMMYFUNCTION("""COMPUTED_VALUE"""),"KYAI KONTONG")</f>
        <v>KYAI KONTONG</v>
      </c>
      <c r="D2450" s="186">
        <f>IFERROR(__xludf.DUMMYFUNCTION("""COMPUTED_VALUE"""),2.0)</f>
        <v>2</v>
      </c>
    </row>
    <row r="2451">
      <c r="A2451" s="178" t="str">
        <f>IFERROR(__xludf.DUMMYFUNCTION("""COMPUTED_VALUE"""),"ITBISA-ABC-BATERAI-D-POWER")</f>
        <v>ITBISA-ABC-BATERAI-D-POWER</v>
      </c>
      <c r="B2451" s="266">
        <f>IFERROR(__xludf.DUMMYFUNCTION("""COMPUTED_VALUE"""),44959.0)</f>
        <v>44959</v>
      </c>
      <c r="C2451" s="266" t="str">
        <f>IFERROR(__xludf.DUMMYFUNCTION("""COMPUTED_VALUE"""),"KYAI KONTONG")</f>
        <v>KYAI KONTONG</v>
      </c>
      <c r="D2451" s="186">
        <f>IFERROR(__xludf.DUMMYFUNCTION("""COMPUTED_VALUE"""),2.0)</f>
        <v>2</v>
      </c>
    </row>
    <row r="2452">
      <c r="A2452" s="178" t="str">
        <f>IFERROR(__xludf.DUMMYFUNCTION("""COMPUTED_VALUE"""),"ITBISA-ABC-BATERAI-D-POWER")</f>
        <v>ITBISA-ABC-BATERAI-D-POWER</v>
      </c>
      <c r="B2452" s="266">
        <f>IFERROR(__xludf.DUMMYFUNCTION("""COMPUTED_VALUE"""),44964.0)</f>
        <v>44964</v>
      </c>
      <c r="C2452" s="266" t="str">
        <f>IFERROR(__xludf.DUMMYFUNCTION("""COMPUTED_VALUE"""),"KYAI KONTONG")</f>
        <v>KYAI KONTONG</v>
      </c>
      <c r="D2452" s="186">
        <f>IFERROR(__xludf.DUMMYFUNCTION("""COMPUTED_VALUE"""),2.0)</f>
        <v>2</v>
      </c>
    </row>
    <row r="2453">
      <c r="A2453" s="178" t="str">
        <f>IFERROR(__xludf.DUMMYFUNCTION("""COMPUTED_VALUE"""),"ITBISA-ABC-BATERAI-D-POWER")</f>
        <v>ITBISA-ABC-BATERAI-D-POWER</v>
      </c>
      <c r="B2453" s="266">
        <f>IFERROR(__xludf.DUMMYFUNCTION("""COMPUTED_VALUE"""),44969.0)</f>
        <v>44969</v>
      </c>
      <c r="C2453" s="266" t="str">
        <f>IFERROR(__xludf.DUMMYFUNCTION("""COMPUTED_VALUE"""),"KYAI KONTONG")</f>
        <v>KYAI KONTONG</v>
      </c>
      <c r="D2453" s="186">
        <f>IFERROR(__xludf.DUMMYFUNCTION("""COMPUTED_VALUE"""),10.0)</f>
        <v>10</v>
      </c>
    </row>
    <row r="2454">
      <c r="A2454" s="178" t="str">
        <f>IFERROR(__xludf.DUMMYFUNCTION("""COMPUTED_VALUE"""),"ITBISA-ABC-BATERAI-D-POWER")</f>
        <v>ITBISA-ABC-BATERAI-D-POWER</v>
      </c>
      <c r="B2454" s="266">
        <f>IFERROR(__xludf.DUMMYFUNCTION("""COMPUTED_VALUE"""),44970.0)</f>
        <v>44970</v>
      </c>
      <c r="C2454" s="266" t="str">
        <f>IFERROR(__xludf.DUMMYFUNCTION("""COMPUTED_VALUE"""),"KYAI KONTONG")</f>
        <v>KYAI KONTONG</v>
      </c>
      <c r="D2454" s="186">
        <f>IFERROR(__xludf.DUMMYFUNCTION("""COMPUTED_VALUE"""),6.0)</f>
        <v>6</v>
      </c>
    </row>
    <row r="2455">
      <c r="A2455" s="178" t="str">
        <f>IFERROR(__xludf.DUMMYFUNCTION("""COMPUTED_VALUE"""),"ITBISA-ABC-BATERAI-D-POWER")</f>
        <v>ITBISA-ABC-BATERAI-D-POWER</v>
      </c>
      <c r="B2455" s="266">
        <f>IFERROR(__xludf.DUMMYFUNCTION("""COMPUTED_VALUE"""),44970.0)</f>
        <v>44970</v>
      </c>
      <c r="C2455" s="266" t="str">
        <f>IFERROR(__xludf.DUMMYFUNCTION("""COMPUTED_VALUE"""),"KYAI KONTONG")</f>
        <v>KYAI KONTONG</v>
      </c>
      <c r="D2455" s="186">
        <f>IFERROR(__xludf.DUMMYFUNCTION("""COMPUTED_VALUE"""),11.0)</f>
        <v>11</v>
      </c>
    </row>
    <row r="2456">
      <c r="A2456" s="178" t="str">
        <f>IFERROR(__xludf.DUMMYFUNCTION("""COMPUTED_VALUE"""),"ITBISA-ABC-BATERAI-D-POWER")</f>
        <v>ITBISA-ABC-BATERAI-D-POWER</v>
      </c>
      <c r="B2456" s="266">
        <f>IFERROR(__xludf.DUMMYFUNCTION("""COMPUTED_VALUE"""),44970.0)</f>
        <v>44970</v>
      </c>
      <c r="C2456" s="266" t="str">
        <f>IFERROR(__xludf.DUMMYFUNCTION("""COMPUTED_VALUE"""),"KYAI KONTONG")</f>
        <v>KYAI KONTONG</v>
      </c>
      <c r="D2456" s="186">
        <f>IFERROR(__xludf.DUMMYFUNCTION("""COMPUTED_VALUE"""),12.0)</f>
        <v>12</v>
      </c>
    </row>
    <row r="2457">
      <c r="A2457" s="178" t="str">
        <f>IFERROR(__xludf.DUMMYFUNCTION("""COMPUTED_VALUE"""),"ITBISA-ABC-BATERAI-D-POWER")</f>
        <v>ITBISA-ABC-BATERAI-D-POWER</v>
      </c>
      <c r="B2457" s="266">
        <f>IFERROR(__xludf.DUMMYFUNCTION("""COMPUTED_VALUE"""),44972.0)</f>
        <v>44972</v>
      </c>
      <c r="C2457" s="266" t="str">
        <f>IFERROR(__xludf.DUMMYFUNCTION("""COMPUTED_VALUE"""),"KYAI KONTONG")</f>
        <v>KYAI KONTONG</v>
      </c>
      <c r="D2457" s="186">
        <f>IFERROR(__xludf.DUMMYFUNCTION("""COMPUTED_VALUE"""),2.0)</f>
        <v>2</v>
      </c>
    </row>
    <row r="2458">
      <c r="A2458" s="178" t="str">
        <f>IFERROR(__xludf.DUMMYFUNCTION("""COMPUTED_VALUE"""),"ITBISA-ABC-BATERAI-D-POWER")</f>
        <v>ITBISA-ABC-BATERAI-D-POWER</v>
      </c>
      <c r="B2458" s="266">
        <f>IFERROR(__xludf.DUMMYFUNCTION("""COMPUTED_VALUE"""),44979.0)</f>
        <v>44979</v>
      </c>
      <c r="C2458" s="266" t="str">
        <f>IFERROR(__xludf.DUMMYFUNCTION("""COMPUTED_VALUE"""),"KYAI KONTONG")</f>
        <v>KYAI KONTONG</v>
      </c>
      <c r="D2458" s="186">
        <f>IFERROR(__xludf.DUMMYFUNCTION("""COMPUTED_VALUE"""),2.0)</f>
        <v>2</v>
      </c>
    </row>
    <row r="2459">
      <c r="A2459" s="178" t="str">
        <f>IFERROR(__xludf.DUMMYFUNCTION("""COMPUTED_VALUE"""),"ITBISA-ABC-BATERAI-D-POWER")</f>
        <v>ITBISA-ABC-BATERAI-D-POWER</v>
      </c>
      <c r="B2459" s="266">
        <f>IFERROR(__xludf.DUMMYFUNCTION("""COMPUTED_VALUE"""),44986.0)</f>
        <v>44986</v>
      </c>
      <c r="C2459" s="266" t="str">
        <f>IFERROR(__xludf.DUMMYFUNCTION("""COMPUTED_VALUE"""),"KYAI KONTONG")</f>
        <v>KYAI KONTONG</v>
      </c>
      <c r="D2459" s="186">
        <f>IFERROR(__xludf.DUMMYFUNCTION("""COMPUTED_VALUE"""),2.0)</f>
        <v>2</v>
      </c>
    </row>
    <row r="2460">
      <c r="A2460" s="178" t="str">
        <f>IFERROR(__xludf.DUMMYFUNCTION("""COMPUTED_VALUE"""),"ITBISA-ABC-BATERAI-D-POWER")</f>
        <v>ITBISA-ABC-BATERAI-D-POWER</v>
      </c>
      <c r="B2460" s="266">
        <f>IFERROR(__xludf.DUMMYFUNCTION("""COMPUTED_VALUE"""),44988.0)</f>
        <v>44988</v>
      </c>
      <c r="C2460" s="266" t="str">
        <f>IFERROR(__xludf.DUMMYFUNCTION("""COMPUTED_VALUE"""),"KYAI KONTONG")</f>
        <v>KYAI KONTONG</v>
      </c>
      <c r="D2460" s="186">
        <f>IFERROR(__xludf.DUMMYFUNCTION("""COMPUTED_VALUE"""),2.0)</f>
        <v>2</v>
      </c>
    </row>
    <row r="2461">
      <c r="A2461" s="178" t="str">
        <f>IFERROR(__xludf.DUMMYFUNCTION("""COMPUTED_VALUE"""),"ITBISA-ABC-BATERAI-D-POWER")</f>
        <v>ITBISA-ABC-BATERAI-D-POWER</v>
      </c>
      <c r="B2461" s="266">
        <f>IFERROR(__xludf.DUMMYFUNCTION("""COMPUTED_VALUE"""),44996.0)</f>
        <v>44996</v>
      </c>
      <c r="C2461" s="266" t="str">
        <f>IFERROR(__xludf.DUMMYFUNCTION("""COMPUTED_VALUE"""),"RUMAH MUZAKKI")</f>
        <v>RUMAH MUZAKKI</v>
      </c>
      <c r="D2461" s="186">
        <f>IFERROR(__xludf.DUMMYFUNCTION("""COMPUTED_VALUE"""),2.0)</f>
        <v>2</v>
      </c>
    </row>
    <row r="2462">
      <c r="A2462" s="178" t="str">
        <f>IFERROR(__xludf.DUMMYFUNCTION("""COMPUTED_VALUE"""),"ITBISA-ABC-BATERAI-D-POWER")</f>
        <v>ITBISA-ABC-BATERAI-D-POWER</v>
      </c>
      <c r="B2462" s="266">
        <f>IFERROR(__xludf.DUMMYFUNCTION("""COMPUTED_VALUE"""),44997.0)</f>
        <v>44997</v>
      </c>
      <c r="C2462" s="266" t="str">
        <f>IFERROR(__xludf.DUMMYFUNCTION("""COMPUTED_VALUE"""),"KYAI KONTONG")</f>
        <v>KYAI KONTONG</v>
      </c>
      <c r="D2462" s="186">
        <f>IFERROR(__xludf.DUMMYFUNCTION("""COMPUTED_VALUE"""),2.0)</f>
        <v>2</v>
      </c>
    </row>
    <row r="2463">
      <c r="A2463" s="178" t="str">
        <f>IFERROR(__xludf.DUMMYFUNCTION("""COMPUTED_VALUE"""),"ITBISA-ABC-BATERAI-D-POWER")</f>
        <v>ITBISA-ABC-BATERAI-D-POWER</v>
      </c>
      <c r="B2463" s="266">
        <f>IFERROR(__xludf.DUMMYFUNCTION("""COMPUTED_VALUE"""),45000.0)</f>
        <v>45000</v>
      </c>
      <c r="C2463" s="266" t="str">
        <f>IFERROR(__xludf.DUMMYFUNCTION("""COMPUTED_VALUE"""),"KYAI KONTONG")</f>
        <v>KYAI KONTONG</v>
      </c>
      <c r="D2463" s="186">
        <f>IFERROR(__xludf.DUMMYFUNCTION("""COMPUTED_VALUE"""),6.0)</f>
        <v>6</v>
      </c>
    </row>
    <row r="2464">
      <c r="A2464" s="178" t="str">
        <f>IFERROR(__xludf.DUMMYFUNCTION("""COMPUTED_VALUE"""),"ITBISA-ABC-BATERAI-D-POWER")</f>
        <v>ITBISA-ABC-BATERAI-D-POWER</v>
      </c>
      <c r="B2464" s="266">
        <f>IFERROR(__xludf.DUMMYFUNCTION("""COMPUTED_VALUE"""),45008.0)</f>
        <v>45008</v>
      </c>
      <c r="C2464" s="266" t="str">
        <f>IFERROR(__xludf.DUMMYFUNCTION("""COMPUTED_VALUE"""),"KYAI KONTONG")</f>
        <v>KYAI KONTONG</v>
      </c>
      <c r="D2464" s="186">
        <f>IFERROR(__xludf.DUMMYFUNCTION("""COMPUTED_VALUE"""),1.0)</f>
        <v>1</v>
      </c>
    </row>
    <row r="2465">
      <c r="A2465" s="178" t="str">
        <f>IFERROR(__xludf.DUMMYFUNCTION("""COMPUTED_VALUE"""),"ITBISA-ABC-BATERAI-D-POWER")</f>
        <v>ITBISA-ABC-BATERAI-D-POWER</v>
      </c>
      <c r="B2465" s="266">
        <f>IFERROR(__xludf.DUMMYFUNCTION("""COMPUTED_VALUE"""),45016.0)</f>
        <v>45016</v>
      </c>
      <c r="C2465" s="266" t="str">
        <f>IFERROR(__xludf.DUMMYFUNCTION("""COMPUTED_VALUE"""),"KYAI KONTONG")</f>
        <v>KYAI KONTONG</v>
      </c>
      <c r="D2465" s="186">
        <f>IFERROR(__xludf.DUMMYFUNCTION("""COMPUTED_VALUE"""),10.0)</f>
        <v>10</v>
      </c>
    </row>
    <row r="2466">
      <c r="A2466" s="178" t="str">
        <f>IFERROR(__xludf.DUMMYFUNCTION("""COMPUTED_VALUE"""),"ITBISA-ABC-BATERAI-D-POWER")</f>
        <v>ITBISA-ABC-BATERAI-D-POWER</v>
      </c>
      <c r="B2466" s="266">
        <f>IFERROR(__xludf.DUMMYFUNCTION("""COMPUTED_VALUE"""),45031.0)</f>
        <v>45031</v>
      </c>
      <c r="C2466" s="266" t="str">
        <f>IFERROR(__xludf.DUMMYFUNCTION("""COMPUTED_VALUE"""),"KYAI KONTONG")</f>
        <v>KYAI KONTONG</v>
      </c>
      <c r="D2466" s="186">
        <f>IFERROR(__xludf.DUMMYFUNCTION("""COMPUTED_VALUE"""),6.0)</f>
        <v>6</v>
      </c>
    </row>
    <row r="2467">
      <c r="A2467" s="178" t="str">
        <f>IFERROR(__xludf.DUMMYFUNCTION("""COMPUTED_VALUE"""),"ITBISA-ABC-BATERAI-D-POWER")</f>
        <v>ITBISA-ABC-BATERAI-D-POWER</v>
      </c>
      <c r="B2467" s="266">
        <f>IFERROR(__xludf.DUMMYFUNCTION("""COMPUTED_VALUE"""),45054.0)</f>
        <v>45054</v>
      </c>
      <c r="C2467" s="266" t="str">
        <f>IFERROR(__xludf.DUMMYFUNCTION("""COMPUTED_VALUE"""),"KYAI KONTONG")</f>
        <v>KYAI KONTONG</v>
      </c>
      <c r="D2467" s="186">
        <f>IFERROR(__xludf.DUMMYFUNCTION("""COMPUTED_VALUE"""),20.0)</f>
        <v>20</v>
      </c>
    </row>
    <row r="2468">
      <c r="A2468" s="178" t="str">
        <f>IFERROR(__xludf.DUMMYFUNCTION("""COMPUTED_VALUE"""),"ITBISA-ABC-BATERAI-D-POWER")</f>
        <v>ITBISA-ABC-BATERAI-D-POWER</v>
      </c>
      <c r="B2468" s="266">
        <f>IFERROR(__xludf.DUMMYFUNCTION("""COMPUTED_VALUE"""),45056.0)</f>
        <v>45056</v>
      </c>
      <c r="C2468" s="266" t="str">
        <f>IFERROR(__xludf.DUMMYFUNCTION("""COMPUTED_VALUE"""),"KYAI KONTONG")</f>
        <v>KYAI KONTONG</v>
      </c>
      <c r="D2468" s="186">
        <f>IFERROR(__xludf.DUMMYFUNCTION("""COMPUTED_VALUE"""),2.0)</f>
        <v>2</v>
      </c>
    </row>
    <row r="2469">
      <c r="A2469" s="178" t="str">
        <f>IFERROR(__xludf.DUMMYFUNCTION("""COMPUTED_VALUE"""),"ITBISA-ABC-BATERAI-D-POWER")</f>
        <v>ITBISA-ABC-BATERAI-D-POWER</v>
      </c>
      <c r="B2469" s="266">
        <f>IFERROR(__xludf.DUMMYFUNCTION("""COMPUTED_VALUE"""),45057.0)</f>
        <v>45057</v>
      </c>
      <c r="C2469" s="266" t="str">
        <f>IFERROR(__xludf.DUMMYFUNCTION("""COMPUTED_VALUE"""),"KYAI KONTONG")</f>
        <v>KYAI KONTONG</v>
      </c>
      <c r="D2469" s="186">
        <f>IFERROR(__xludf.DUMMYFUNCTION("""COMPUTED_VALUE"""),48.0)</f>
        <v>48</v>
      </c>
    </row>
    <row r="2470">
      <c r="A2470" s="178" t="str">
        <f>IFERROR(__xludf.DUMMYFUNCTION("""COMPUTED_VALUE"""),"ITBISA-ABC-BATERAI-D-POWER")</f>
        <v>ITBISA-ABC-BATERAI-D-POWER</v>
      </c>
      <c r="B2470" s="266">
        <f>IFERROR(__xludf.DUMMYFUNCTION("""COMPUTED_VALUE"""),45084.0)</f>
        <v>45084</v>
      </c>
      <c r="C2470" s="266" t="str">
        <f>IFERROR(__xludf.DUMMYFUNCTION("""COMPUTED_VALUE"""),"KYAI KONTONG")</f>
        <v>KYAI KONTONG</v>
      </c>
      <c r="D2470" s="186">
        <f>IFERROR(__xludf.DUMMYFUNCTION("""COMPUTED_VALUE"""),3.0)</f>
        <v>3</v>
      </c>
    </row>
    <row r="2471">
      <c r="A2471" s="178" t="str">
        <f>IFERROR(__xludf.DUMMYFUNCTION("""COMPUTED_VALUE"""),"ITBISA-ABC-BATERAI-D-POWER")</f>
        <v>ITBISA-ABC-BATERAI-D-POWER</v>
      </c>
      <c r="B2471" s="266">
        <f>IFERROR(__xludf.DUMMYFUNCTION("""COMPUTED_VALUE"""),45084.0)</f>
        <v>45084</v>
      </c>
      <c r="C2471" s="266" t="str">
        <f>IFERROR(__xludf.DUMMYFUNCTION("""COMPUTED_VALUE"""),"KYAI KONTONG")</f>
        <v>KYAI KONTONG</v>
      </c>
      <c r="D2471" s="186">
        <f>IFERROR(__xludf.DUMMYFUNCTION("""COMPUTED_VALUE"""),6.0)</f>
        <v>6</v>
      </c>
    </row>
    <row r="2472">
      <c r="A2472" s="178" t="str">
        <f>IFERROR(__xludf.DUMMYFUNCTION("""COMPUTED_VALUE"""),"ITBISA-ABC-BATERAI-D-POWER")</f>
        <v>ITBISA-ABC-BATERAI-D-POWER</v>
      </c>
      <c r="B2472" s="266">
        <f>IFERROR(__xludf.DUMMYFUNCTION("""COMPUTED_VALUE"""),45084.0)</f>
        <v>45084</v>
      </c>
      <c r="C2472" s="266" t="str">
        <f>IFERROR(__xludf.DUMMYFUNCTION("""COMPUTED_VALUE"""),"KYAI KONTONG")</f>
        <v>KYAI KONTONG</v>
      </c>
      <c r="D2472" s="186">
        <f>IFERROR(__xludf.DUMMYFUNCTION("""COMPUTED_VALUE"""),6.0)</f>
        <v>6</v>
      </c>
    </row>
    <row r="2473">
      <c r="A2473" s="178" t="str">
        <f>IFERROR(__xludf.DUMMYFUNCTION("""COMPUTED_VALUE"""),"ITBISA-ABC-BATERAI-D-POWER")</f>
        <v>ITBISA-ABC-BATERAI-D-POWER</v>
      </c>
      <c r="B2473" s="266">
        <f>IFERROR(__xludf.DUMMYFUNCTION("""COMPUTED_VALUE"""),45084.0)</f>
        <v>45084</v>
      </c>
      <c r="C2473" s="266" t="str">
        <f>IFERROR(__xludf.DUMMYFUNCTION("""COMPUTED_VALUE"""),"KYAI KONTONG")</f>
        <v>KYAI KONTONG</v>
      </c>
      <c r="D2473" s="186">
        <f>IFERROR(__xludf.DUMMYFUNCTION("""COMPUTED_VALUE"""),50.0)</f>
        <v>50</v>
      </c>
    </row>
    <row r="2474">
      <c r="A2474" s="178" t="str">
        <f>IFERROR(__xludf.DUMMYFUNCTION("""COMPUTED_VALUE"""),"ITBISA-ABC-BATERAI-D-POWER")</f>
        <v>ITBISA-ABC-BATERAI-D-POWER</v>
      </c>
      <c r="B2474" s="266">
        <f>IFERROR(__xludf.DUMMYFUNCTION("""COMPUTED_VALUE"""),45087.0)</f>
        <v>45087</v>
      </c>
      <c r="C2474" s="266" t="str">
        <f>IFERROR(__xludf.DUMMYFUNCTION("""COMPUTED_VALUE"""),"KYAI KONTONG")</f>
        <v>KYAI KONTONG</v>
      </c>
      <c r="D2474" s="186">
        <f>IFERROR(__xludf.DUMMYFUNCTION("""COMPUTED_VALUE"""),2.0)</f>
        <v>2</v>
      </c>
    </row>
    <row r="2475">
      <c r="A2475" s="178" t="str">
        <f>IFERROR(__xludf.DUMMYFUNCTION("""COMPUTED_VALUE"""),"ITBISA-ABC-BATERAI-D-POWER")</f>
        <v>ITBISA-ABC-BATERAI-D-POWER</v>
      </c>
      <c r="B2475" s="266">
        <f>IFERROR(__xludf.DUMMYFUNCTION("""COMPUTED_VALUE"""),45087.0)</f>
        <v>45087</v>
      </c>
      <c r="C2475" s="266" t="str">
        <f>IFERROR(__xludf.DUMMYFUNCTION("""COMPUTED_VALUE"""),"KYAI KONTONG")</f>
        <v>KYAI KONTONG</v>
      </c>
      <c r="D2475" s="186">
        <f>IFERROR(__xludf.DUMMYFUNCTION("""COMPUTED_VALUE"""),6.0)</f>
        <v>6</v>
      </c>
    </row>
    <row r="2476">
      <c r="A2476" s="178" t="str">
        <f>IFERROR(__xludf.DUMMYFUNCTION("""COMPUTED_VALUE"""),"ITBISA-ABC-BATERAI-D-POWER")</f>
        <v>ITBISA-ABC-BATERAI-D-POWER</v>
      </c>
      <c r="B2476" s="266">
        <f>IFERROR(__xludf.DUMMYFUNCTION("""COMPUTED_VALUE"""),45089.0)</f>
        <v>45089</v>
      </c>
      <c r="C2476" s="266" t="str">
        <f>IFERROR(__xludf.DUMMYFUNCTION("""COMPUTED_VALUE"""),"KYAI KONTONG")</f>
        <v>KYAI KONTONG</v>
      </c>
      <c r="D2476" s="186">
        <f>IFERROR(__xludf.DUMMYFUNCTION("""COMPUTED_VALUE"""),6.0)</f>
        <v>6</v>
      </c>
    </row>
    <row r="2477">
      <c r="A2477" s="178" t="str">
        <f>IFERROR(__xludf.DUMMYFUNCTION("""COMPUTED_VALUE"""),"ITBISA-ABC-BATERAI-D-POWER")</f>
        <v>ITBISA-ABC-BATERAI-D-POWER</v>
      </c>
      <c r="B2477" s="266">
        <f>IFERROR(__xludf.DUMMYFUNCTION("""COMPUTED_VALUE"""),45089.0)</f>
        <v>45089</v>
      </c>
      <c r="C2477" s="266" t="str">
        <f>IFERROR(__xludf.DUMMYFUNCTION("""COMPUTED_VALUE"""),"KYAI KONTONG")</f>
        <v>KYAI KONTONG</v>
      </c>
      <c r="D2477" s="186">
        <f>IFERROR(__xludf.DUMMYFUNCTION("""COMPUTED_VALUE"""),10.0)</f>
        <v>10</v>
      </c>
    </row>
    <row r="2478">
      <c r="A2478" s="178" t="str">
        <f>IFERROR(__xludf.DUMMYFUNCTION("""COMPUTED_VALUE"""),"ITBISA-ABC-BATERAI-D-POWER")</f>
        <v>ITBISA-ABC-BATERAI-D-POWER</v>
      </c>
      <c r="B2478" s="266">
        <f>IFERROR(__xludf.DUMMYFUNCTION("""COMPUTED_VALUE"""),45092.0)</f>
        <v>45092</v>
      </c>
      <c r="C2478" s="266" t="str">
        <f>IFERROR(__xludf.DUMMYFUNCTION("""COMPUTED_VALUE"""),"KYAI KONTONG")</f>
        <v>KYAI KONTONG</v>
      </c>
      <c r="D2478" s="186">
        <f>IFERROR(__xludf.DUMMYFUNCTION("""COMPUTED_VALUE"""),1.0)</f>
        <v>1</v>
      </c>
    </row>
    <row r="2479">
      <c r="A2479" s="178" t="str">
        <f>IFERROR(__xludf.DUMMYFUNCTION("""COMPUTED_VALUE"""),"ITBISA-ABC-BATERAI-D-POWER")</f>
        <v>ITBISA-ABC-BATERAI-D-POWER</v>
      </c>
      <c r="B2479" s="266">
        <f>IFERROR(__xludf.DUMMYFUNCTION("""COMPUTED_VALUE"""),45094.0)</f>
        <v>45094</v>
      </c>
      <c r="C2479" s="266" t="str">
        <f>IFERROR(__xludf.DUMMYFUNCTION("""COMPUTED_VALUE"""),"KYAI KONTONG")</f>
        <v>KYAI KONTONG</v>
      </c>
      <c r="D2479" s="186">
        <f>IFERROR(__xludf.DUMMYFUNCTION("""COMPUTED_VALUE"""),8.0)</f>
        <v>8</v>
      </c>
    </row>
    <row r="2480">
      <c r="A2480" s="178" t="str">
        <f>IFERROR(__xludf.DUMMYFUNCTION("""COMPUTED_VALUE"""),"ITBISA-ABC-BATERAI-D-POWER")</f>
        <v>ITBISA-ABC-BATERAI-D-POWER</v>
      </c>
      <c r="B2480" s="266">
        <f>IFERROR(__xludf.DUMMYFUNCTION("""COMPUTED_VALUE"""),45096.0)</f>
        <v>45096</v>
      </c>
      <c r="C2480" s="266" t="str">
        <f>IFERROR(__xludf.DUMMYFUNCTION("""COMPUTED_VALUE"""),"KYAI KONTONG")</f>
        <v>KYAI KONTONG</v>
      </c>
      <c r="D2480" s="186">
        <f>IFERROR(__xludf.DUMMYFUNCTION("""COMPUTED_VALUE"""),4.0)</f>
        <v>4</v>
      </c>
    </row>
    <row r="2481">
      <c r="A2481" s="178" t="str">
        <f>IFERROR(__xludf.DUMMYFUNCTION("""COMPUTED_VALUE"""),"ITBISA-ABC-BATERAI-D-POWER")</f>
        <v>ITBISA-ABC-BATERAI-D-POWER</v>
      </c>
      <c r="B2481" s="266">
        <f>IFERROR(__xludf.DUMMYFUNCTION("""COMPUTED_VALUE"""),45098.0)</f>
        <v>45098</v>
      </c>
      <c r="C2481" s="266" t="str">
        <f>IFERROR(__xludf.DUMMYFUNCTION("""COMPUTED_VALUE"""),"KYAI KONTONG")</f>
        <v>KYAI KONTONG</v>
      </c>
      <c r="D2481" s="186">
        <f>IFERROR(__xludf.DUMMYFUNCTION("""COMPUTED_VALUE"""),8.0)</f>
        <v>8</v>
      </c>
    </row>
    <row r="2482">
      <c r="A2482" s="178" t="str">
        <f>IFERROR(__xludf.DUMMYFUNCTION("""COMPUTED_VALUE"""),"ITBISA-ABC-BATERAI-D-POWER")</f>
        <v>ITBISA-ABC-BATERAI-D-POWER</v>
      </c>
      <c r="B2482" s="266">
        <f>IFERROR(__xludf.DUMMYFUNCTION("""COMPUTED_VALUE"""),45103.0)</f>
        <v>45103</v>
      </c>
      <c r="C2482" s="266" t="str">
        <f>IFERROR(__xludf.DUMMYFUNCTION("""COMPUTED_VALUE"""),"KYAI KONTONG")</f>
        <v>KYAI KONTONG</v>
      </c>
      <c r="D2482" s="186">
        <f>IFERROR(__xludf.DUMMYFUNCTION("""COMPUTED_VALUE"""),20.0)</f>
        <v>20</v>
      </c>
    </row>
    <row r="2483">
      <c r="A2483" s="178" t="str">
        <f>IFERROR(__xludf.DUMMYFUNCTION("""COMPUTED_VALUE"""),"ITBISA-ABC-BATERAI-D-POWER")</f>
        <v>ITBISA-ABC-BATERAI-D-POWER</v>
      </c>
      <c r="B2483" s="266">
        <f>IFERROR(__xludf.DUMMYFUNCTION("""COMPUTED_VALUE"""),45104.0)</f>
        <v>45104</v>
      </c>
      <c r="C2483" s="266" t="str">
        <f>IFERROR(__xludf.DUMMYFUNCTION("""COMPUTED_VALUE"""),"KYAI KONTONG")</f>
        <v>KYAI KONTONG</v>
      </c>
      <c r="D2483" s="186">
        <f>IFERROR(__xludf.DUMMYFUNCTION("""COMPUTED_VALUE"""),10.0)</f>
        <v>10</v>
      </c>
    </row>
    <row r="2484">
      <c r="A2484" s="178" t="str">
        <f>IFERROR(__xludf.DUMMYFUNCTION("""COMPUTED_VALUE"""),"ITBISA-ABC-BATERAI-D-POWER")</f>
        <v>ITBISA-ABC-BATERAI-D-POWER</v>
      </c>
      <c r="B2484" s="266">
        <f>IFERROR(__xludf.DUMMYFUNCTION("""COMPUTED_VALUE"""),45106.0)</f>
        <v>45106</v>
      </c>
      <c r="C2484" s="266" t="str">
        <f>IFERROR(__xludf.DUMMYFUNCTION("""COMPUTED_VALUE"""),"KYAI KONTONG")</f>
        <v>KYAI KONTONG</v>
      </c>
      <c r="D2484" s="186">
        <f>IFERROR(__xludf.DUMMYFUNCTION("""COMPUTED_VALUE"""),4.0)</f>
        <v>4</v>
      </c>
    </row>
    <row r="2485">
      <c r="A2485" s="178" t="str">
        <f>IFERROR(__xludf.DUMMYFUNCTION("""COMPUTED_VALUE"""),"ITBISA-ABC-BATERAI-D-POWER")</f>
        <v>ITBISA-ABC-BATERAI-D-POWER</v>
      </c>
      <c r="B2485" s="266">
        <f>IFERROR(__xludf.DUMMYFUNCTION("""COMPUTED_VALUE"""),45106.0)</f>
        <v>45106</v>
      </c>
      <c r="C2485" s="266" t="str">
        <f>IFERROR(__xludf.DUMMYFUNCTION("""COMPUTED_VALUE"""),"KYAI KONTONG")</f>
        <v>KYAI KONTONG</v>
      </c>
      <c r="D2485" s="186">
        <f>IFERROR(__xludf.DUMMYFUNCTION("""COMPUTED_VALUE"""),8.0)</f>
        <v>8</v>
      </c>
    </row>
    <row r="2486">
      <c r="A2486" s="178" t="str">
        <f>IFERROR(__xludf.DUMMYFUNCTION("""COMPUTED_VALUE"""),"ITBISA-ABC-BATERAI-D-POWER")</f>
        <v>ITBISA-ABC-BATERAI-D-POWER</v>
      </c>
      <c r="B2486" s="266">
        <f>IFERROR(__xludf.DUMMYFUNCTION("""COMPUTED_VALUE"""),45111.0)</f>
        <v>45111</v>
      </c>
      <c r="C2486" s="266" t="str">
        <f>IFERROR(__xludf.DUMMYFUNCTION("""COMPUTED_VALUE"""),"KYAI KONTONG")</f>
        <v>KYAI KONTONG</v>
      </c>
      <c r="D2486" s="186">
        <f>IFERROR(__xludf.DUMMYFUNCTION("""COMPUTED_VALUE"""),5.0)</f>
        <v>5</v>
      </c>
    </row>
    <row r="2487">
      <c r="A2487" s="178" t="str">
        <f>IFERROR(__xludf.DUMMYFUNCTION("""COMPUTED_VALUE"""),"ITBISA-ABC-BATERAI-D-POWER")</f>
        <v>ITBISA-ABC-BATERAI-D-POWER</v>
      </c>
      <c r="B2487" s="266">
        <f>IFERROR(__xludf.DUMMYFUNCTION("""COMPUTED_VALUE"""),45115.0)</f>
        <v>45115</v>
      </c>
      <c r="C2487" s="266" t="str">
        <f>IFERROR(__xludf.DUMMYFUNCTION("""COMPUTED_VALUE"""),"KYAI KONTONG")</f>
        <v>KYAI KONTONG</v>
      </c>
      <c r="D2487" s="186">
        <f>IFERROR(__xludf.DUMMYFUNCTION("""COMPUTED_VALUE"""),2.0)</f>
        <v>2</v>
      </c>
    </row>
    <row r="2488">
      <c r="A2488" s="178" t="str">
        <f>IFERROR(__xludf.DUMMYFUNCTION("""COMPUTED_VALUE"""),"ITBISA-ABC-BATERAI-D-POWER")</f>
        <v>ITBISA-ABC-BATERAI-D-POWER</v>
      </c>
      <c r="B2488" s="266">
        <f>IFERROR(__xludf.DUMMYFUNCTION("""COMPUTED_VALUE"""),45117.0)</f>
        <v>45117</v>
      </c>
      <c r="C2488" s="266" t="str">
        <f>IFERROR(__xludf.DUMMYFUNCTION("""COMPUTED_VALUE"""),"KYAI KONTONG")</f>
        <v>KYAI KONTONG</v>
      </c>
      <c r="D2488" s="186">
        <f>IFERROR(__xludf.DUMMYFUNCTION("""COMPUTED_VALUE"""),3.0)</f>
        <v>3</v>
      </c>
    </row>
    <row r="2489">
      <c r="A2489" s="178" t="str">
        <f>IFERROR(__xludf.DUMMYFUNCTION("""COMPUTED_VALUE"""),"ITBISA-ABC-BATERAI-D-POWER")</f>
        <v>ITBISA-ABC-BATERAI-D-POWER</v>
      </c>
      <c r="B2489" s="266">
        <f>IFERROR(__xludf.DUMMYFUNCTION("""COMPUTED_VALUE"""),45121.0)</f>
        <v>45121</v>
      </c>
      <c r="C2489" s="266" t="str">
        <f>IFERROR(__xludf.DUMMYFUNCTION("""COMPUTED_VALUE"""),"KYAI KONTONG")</f>
        <v>KYAI KONTONG</v>
      </c>
      <c r="D2489" s="186">
        <f>IFERROR(__xludf.DUMMYFUNCTION("""COMPUTED_VALUE"""),4.0)</f>
        <v>4</v>
      </c>
    </row>
    <row r="2490">
      <c r="A2490" s="178" t="str">
        <f>IFERROR(__xludf.DUMMYFUNCTION("""COMPUTED_VALUE"""),"ITBISA-ABC-BATERAI-D-POWER")</f>
        <v>ITBISA-ABC-BATERAI-D-POWER</v>
      </c>
      <c r="B2490" s="266">
        <f>IFERROR(__xludf.DUMMYFUNCTION("""COMPUTED_VALUE"""),45121.0)</f>
        <v>45121</v>
      </c>
      <c r="C2490" s="266" t="str">
        <f>IFERROR(__xludf.DUMMYFUNCTION("""COMPUTED_VALUE"""),"KYAI KONTONG")</f>
        <v>KYAI KONTONG</v>
      </c>
      <c r="D2490" s="186">
        <f>IFERROR(__xludf.DUMMYFUNCTION("""COMPUTED_VALUE"""),16.0)</f>
        <v>16</v>
      </c>
    </row>
    <row r="2491">
      <c r="A2491" s="178" t="str">
        <f>IFERROR(__xludf.DUMMYFUNCTION("""COMPUTED_VALUE"""),"ITBISA-ABC-BATERAI-D-POWER")</f>
        <v>ITBISA-ABC-BATERAI-D-POWER</v>
      </c>
      <c r="B2491" s="266">
        <f>IFERROR(__xludf.DUMMYFUNCTION("""COMPUTED_VALUE"""),45127.0)</f>
        <v>45127</v>
      </c>
      <c r="C2491" s="266" t="str">
        <f>IFERROR(__xludf.DUMMYFUNCTION("""COMPUTED_VALUE"""),"KYAI KONTONG")</f>
        <v>KYAI KONTONG</v>
      </c>
      <c r="D2491" s="186">
        <f>IFERROR(__xludf.DUMMYFUNCTION("""COMPUTED_VALUE"""),2.0)</f>
        <v>2</v>
      </c>
    </row>
    <row r="2492">
      <c r="A2492" s="178" t="str">
        <f>IFERROR(__xludf.DUMMYFUNCTION("""COMPUTED_VALUE"""),"ITBISA-ABC-BATERAI-D-POWER")</f>
        <v>ITBISA-ABC-BATERAI-D-POWER</v>
      </c>
      <c r="B2492" s="266">
        <f>IFERROR(__xludf.DUMMYFUNCTION("""COMPUTED_VALUE"""),45127.0)</f>
        <v>45127</v>
      </c>
      <c r="C2492" s="266" t="str">
        <f>IFERROR(__xludf.DUMMYFUNCTION("""COMPUTED_VALUE"""),"KYAI KONTONG")</f>
        <v>KYAI KONTONG</v>
      </c>
      <c r="D2492" s="186">
        <f>IFERROR(__xludf.DUMMYFUNCTION("""COMPUTED_VALUE"""),3.0)</f>
        <v>3</v>
      </c>
    </row>
    <row r="2493">
      <c r="A2493" s="178" t="str">
        <f>IFERROR(__xludf.DUMMYFUNCTION("""COMPUTED_VALUE"""),"ITBISA-ABC-BATERAI-D-POWER")</f>
        <v>ITBISA-ABC-BATERAI-D-POWER</v>
      </c>
      <c r="B2493" s="266">
        <f>IFERROR(__xludf.DUMMYFUNCTION("""COMPUTED_VALUE"""),45127.0)</f>
        <v>45127</v>
      </c>
      <c r="C2493" s="266" t="str">
        <f>IFERROR(__xludf.DUMMYFUNCTION("""COMPUTED_VALUE"""),"KYAI KONTONG")</f>
        <v>KYAI KONTONG</v>
      </c>
      <c r="D2493" s="186">
        <f>IFERROR(__xludf.DUMMYFUNCTION("""COMPUTED_VALUE"""),4.0)</f>
        <v>4</v>
      </c>
    </row>
    <row r="2494">
      <c r="A2494" s="178" t="str">
        <f>IFERROR(__xludf.DUMMYFUNCTION("""COMPUTED_VALUE"""),"ITBISA-ABC-BATERAI-D-POWER")</f>
        <v>ITBISA-ABC-BATERAI-D-POWER</v>
      </c>
      <c r="B2494" s="266">
        <f>IFERROR(__xludf.DUMMYFUNCTION("""COMPUTED_VALUE"""),45130.0)</f>
        <v>45130</v>
      </c>
      <c r="C2494" s="266" t="str">
        <f>IFERROR(__xludf.DUMMYFUNCTION("""COMPUTED_VALUE"""),"KYAI KONTONG")</f>
        <v>KYAI KONTONG</v>
      </c>
      <c r="D2494" s="186">
        <f>IFERROR(__xludf.DUMMYFUNCTION("""COMPUTED_VALUE"""),6.0)</f>
        <v>6</v>
      </c>
    </row>
    <row r="2495">
      <c r="A2495" s="178" t="str">
        <f>IFERROR(__xludf.DUMMYFUNCTION("""COMPUTED_VALUE"""),"ITBISA-ABC-BATERAI-D-POWER")</f>
        <v>ITBISA-ABC-BATERAI-D-POWER</v>
      </c>
      <c r="B2495" s="266">
        <f>IFERROR(__xludf.DUMMYFUNCTION("""COMPUTED_VALUE"""),45140.0)</f>
        <v>45140</v>
      </c>
      <c r="C2495" s="266" t="str">
        <f>IFERROR(__xludf.DUMMYFUNCTION("""COMPUTED_VALUE"""),"KYAI KONTONG")</f>
        <v>KYAI KONTONG</v>
      </c>
      <c r="D2495" s="186">
        <f>IFERROR(__xludf.DUMMYFUNCTION("""COMPUTED_VALUE"""),4.0)</f>
        <v>4</v>
      </c>
    </row>
    <row r="2496">
      <c r="A2496" s="178" t="str">
        <f>IFERROR(__xludf.DUMMYFUNCTION("""COMPUTED_VALUE"""),"ITBISA-ABC-BATERAI-D-POWER")</f>
        <v>ITBISA-ABC-BATERAI-D-POWER</v>
      </c>
      <c r="B2496" s="266">
        <f>IFERROR(__xludf.DUMMYFUNCTION("""COMPUTED_VALUE"""),45154.0)</f>
        <v>45154</v>
      </c>
      <c r="C2496" s="266" t="str">
        <f>IFERROR(__xludf.DUMMYFUNCTION("""COMPUTED_VALUE"""),"KYAI KONTONG")</f>
        <v>KYAI KONTONG</v>
      </c>
      <c r="D2496" s="186">
        <f>IFERROR(__xludf.DUMMYFUNCTION("""COMPUTED_VALUE"""),5.0)</f>
        <v>5</v>
      </c>
    </row>
    <row r="2497">
      <c r="A2497" s="178" t="str">
        <f>IFERROR(__xludf.DUMMYFUNCTION("""COMPUTED_VALUE"""),"ITBISA-ABC-BATERAI-D-POWER")</f>
        <v>ITBISA-ABC-BATERAI-D-POWER</v>
      </c>
      <c r="B2497" s="266">
        <f>IFERROR(__xludf.DUMMYFUNCTION("""COMPUTED_VALUE"""),45158.0)</f>
        <v>45158</v>
      </c>
      <c r="C2497" s="266" t="str">
        <f>IFERROR(__xludf.DUMMYFUNCTION("""COMPUTED_VALUE"""),"KYAI KONTONG")</f>
        <v>KYAI KONTONG</v>
      </c>
      <c r="D2497" s="186">
        <f>IFERROR(__xludf.DUMMYFUNCTION("""COMPUTED_VALUE"""),40.0)</f>
        <v>40</v>
      </c>
    </row>
    <row r="2498">
      <c r="A2498" s="178" t="str">
        <f>IFERROR(__xludf.DUMMYFUNCTION("""COMPUTED_VALUE"""),"ITBISA-ABC-BATERAI-D-POWER")</f>
        <v>ITBISA-ABC-BATERAI-D-POWER</v>
      </c>
      <c r="B2498" s="266">
        <f>IFERROR(__xludf.DUMMYFUNCTION("""COMPUTED_VALUE"""),45159.0)</f>
        <v>45159</v>
      </c>
      <c r="C2498" s="266" t="str">
        <f>IFERROR(__xludf.DUMMYFUNCTION("""COMPUTED_VALUE"""),"KYAI KONTONG")</f>
        <v>KYAI KONTONG</v>
      </c>
      <c r="D2498" s="186">
        <f>IFERROR(__xludf.DUMMYFUNCTION("""COMPUTED_VALUE"""),2.0)</f>
        <v>2</v>
      </c>
    </row>
    <row r="2499">
      <c r="A2499" s="178" t="str">
        <f>IFERROR(__xludf.DUMMYFUNCTION("""COMPUTED_VALUE"""),"ITBISA-ABC-BATERAI-D-POWER")</f>
        <v>ITBISA-ABC-BATERAI-D-POWER</v>
      </c>
      <c r="B2499" s="266">
        <f>IFERROR(__xludf.DUMMYFUNCTION("""COMPUTED_VALUE"""),45162.0)</f>
        <v>45162</v>
      </c>
      <c r="C2499" s="266" t="str">
        <f>IFERROR(__xludf.DUMMYFUNCTION("""COMPUTED_VALUE"""),"KYAI KONTONG")</f>
        <v>KYAI KONTONG</v>
      </c>
      <c r="D2499" s="186">
        <f>IFERROR(__xludf.DUMMYFUNCTION("""COMPUTED_VALUE"""),4.0)</f>
        <v>4</v>
      </c>
    </row>
    <row r="2500">
      <c r="A2500" s="178" t="str">
        <f>IFERROR(__xludf.DUMMYFUNCTION("""COMPUTED_VALUE"""),"ITBISA-ABC-BATERAI-D-POWER")</f>
        <v>ITBISA-ABC-BATERAI-D-POWER</v>
      </c>
      <c r="B2500" s="266">
        <f>IFERROR(__xludf.DUMMYFUNCTION("""COMPUTED_VALUE"""),45164.0)</f>
        <v>45164</v>
      </c>
      <c r="C2500" s="266" t="str">
        <f>IFERROR(__xludf.DUMMYFUNCTION("""COMPUTED_VALUE"""),"KYAI KONTONG")</f>
        <v>KYAI KONTONG</v>
      </c>
      <c r="D2500" s="186">
        <f>IFERROR(__xludf.DUMMYFUNCTION("""COMPUTED_VALUE"""),1.0)</f>
        <v>1</v>
      </c>
    </row>
    <row r="2501">
      <c r="A2501" s="178" t="str">
        <f>IFERROR(__xludf.DUMMYFUNCTION("""COMPUTED_VALUE"""),"ITBISA-ABC-BATERAI-D-POWER")</f>
        <v>ITBISA-ABC-BATERAI-D-POWER</v>
      </c>
      <c r="B2501" s="266">
        <f>IFERROR(__xludf.DUMMYFUNCTION("""COMPUTED_VALUE"""),45166.0)</f>
        <v>45166</v>
      </c>
      <c r="C2501" s="266" t="str">
        <f>IFERROR(__xludf.DUMMYFUNCTION("""COMPUTED_VALUE"""),"KYAI KONTONG")</f>
        <v>KYAI KONTONG</v>
      </c>
      <c r="D2501" s="186">
        <f>IFERROR(__xludf.DUMMYFUNCTION("""COMPUTED_VALUE"""),2.0)</f>
        <v>2</v>
      </c>
    </row>
    <row r="2502">
      <c r="A2502" s="178" t="str">
        <f>IFERROR(__xludf.DUMMYFUNCTION("""COMPUTED_VALUE"""),"ITBISA-ABC-BATERAI-D-POWER")</f>
        <v>ITBISA-ABC-BATERAI-D-POWER</v>
      </c>
      <c r="B2502" s="266">
        <f>IFERROR(__xludf.DUMMYFUNCTION("""COMPUTED_VALUE"""),45169.0)</f>
        <v>45169</v>
      </c>
      <c r="C2502" s="266" t="str">
        <f>IFERROR(__xludf.DUMMYFUNCTION("""COMPUTED_VALUE"""),"KYAI KONTONG")</f>
        <v>KYAI KONTONG</v>
      </c>
      <c r="D2502" s="186">
        <f>IFERROR(__xludf.DUMMYFUNCTION("""COMPUTED_VALUE"""),3.0)</f>
        <v>3</v>
      </c>
    </row>
    <row r="2503">
      <c r="A2503" s="178" t="str">
        <f>IFERROR(__xludf.DUMMYFUNCTION("""COMPUTED_VALUE"""),"ITBISA-ABC-BATERAI-D-POWER")</f>
        <v>ITBISA-ABC-BATERAI-D-POWER</v>
      </c>
      <c r="B2503" s="266">
        <f>IFERROR(__xludf.DUMMYFUNCTION("""COMPUTED_VALUE"""),45176.0)</f>
        <v>45176</v>
      </c>
      <c r="C2503" s="266" t="str">
        <f>IFERROR(__xludf.DUMMYFUNCTION("""COMPUTED_VALUE"""),"KYAI KONTONG")</f>
        <v>KYAI KONTONG</v>
      </c>
      <c r="D2503" s="186">
        <f>IFERROR(__xludf.DUMMYFUNCTION("""COMPUTED_VALUE"""),3.0)</f>
        <v>3</v>
      </c>
    </row>
    <row r="2504">
      <c r="A2504" s="178" t="str">
        <f>IFERROR(__xludf.DUMMYFUNCTION("""COMPUTED_VALUE"""),"ITBISA-ABC-BATERAI-D-POWER")</f>
        <v>ITBISA-ABC-BATERAI-D-POWER</v>
      </c>
      <c r="B2504" s="266">
        <f>IFERROR(__xludf.DUMMYFUNCTION("""COMPUTED_VALUE"""),45189.0)</f>
        <v>45189</v>
      </c>
      <c r="C2504" s="266" t="str">
        <f>IFERROR(__xludf.DUMMYFUNCTION("""COMPUTED_VALUE"""),"KYAI KONTONG")</f>
        <v>KYAI KONTONG</v>
      </c>
      <c r="D2504" s="186">
        <f>IFERROR(__xludf.DUMMYFUNCTION("""COMPUTED_VALUE"""),1.0)</f>
        <v>1</v>
      </c>
    </row>
    <row r="2505">
      <c r="A2505" s="178" t="str">
        <f>IFERROR(__xludf.DUMMYFUNCTION("""COMPUTED_VALUE"""),"ITBISA-ABC-BATERAI-D-POWER")</f>
        <v>ITBISA-ABC-BATERAI-D-POWER</v>
      </c>
      <c r="B2505" s="266">
        <f>IFERROR(__xludf.DUMMYFUNCTION("""COMPUTED_VALUE"""),45190.0)</f>
        <v>45190</v>
      </c>
      <c r="C2505" s="266" t="str">
        <f>IFERROR(__xludf.DUMMYFUNCTION("""COMPUTED_VALUE"""),"KYAI KONTONG")</f>
        <v>KYAI KONTONG</v>
      </c>
      <c r="D2505" s="186">
        <f>IFERROR(__xludf.DUMMYFUNCTION("""COMPUTED_VALUE"""),1.0)</f>
        <v>1</v>
      </c>
    </row>
    <row r="2506">
      <c r="A2506" s="178" t="str">
        <f>IFERROR(__xludf.DUMMYFUNCTION("""COMPUTED_VALUE"""),"ITBISA-ABC-BATERAI-D-POWER")</f>
        <v>ITBISA-ABC-BATERAI-D-POWER</v>
      </c>
      <c r="B2506" s="266">
        <f>IFERROR(__xludf.DUMMYFUNCTION("""COMPUTED_VALUE"""),45197.0)</f>
        <v>45197</v>
      </c>
      <c r="C2506" s="266" t="str">
        <f>IFERROR(__xludf.DUMMYFUNCTION("""COMPUTED_VALUE"""),"KYAI KONTONG")</f>
        <v>KYAI KONTONG</v>
      </c>
      <c r="D2506" s="186">
        <f>IFERROR(__xludf.DUMMYFUNCTION("""COMPUTED_VALUE"""),1.0)</f>
        <v>1</v>
      </c>
    </row>
    <row r="2507">
      <c r="A2507" s="178" t="str">
        <f>IFERROR(__xludf.DUMMYFUNCTION("""COMPUTED_VALUE"""),"ITBISA-ABC-BATERAI-D-POWER")</f>
        <v>ITBISA-ABC-BATERAI-D-POWER</v>
      </c>
      <c r="B2507" s="266">
        <f>IFERROR(__xludf.DUMMYFUNCTION("""COMPUTED_VALUE"""),45204.0)</f>
        <v>45204</v>
      </c>
      <c r="C2507" s="266" t="str">
        <f>IFERROR(__xludf.DUMMYFUNCTION("""COMPUTED_VALUE"""),"KYAI KONTONG")</f>
        <v>KYAI KONTONG</v>
      </c>
      <c r="D2507" s="186">
        <f>IFERROR(__xludf.DUMMYFUNCTION("""COMPUTED_VALUE"""),1.0)</f>
        <v>1</v>
      </c>
    </row>
    <row r="2508">
      <c r="A2508" s="178" t="str">
        <f>IFERROR(__xludf.DUMMYFUNCTION("""COMPUTED_VALUE"""),"ITBISA-ABC-BATERAI-D-POWER")</f>
        <v>ITBISA-ABC-BATERAI-D-POWER</v>
      </c>
      <c r="B2508" s="266">
        <f>IFERROR(__xludf.DUMMYFUNCTION("""COMPUTED_VALUE"""),45206.0)</f>
        <v>45206</v>
      </c>
      <c r="C2508" s="266" t="str">
        <f>IFERROR(__xludf.DUMMYFUNCTION("""COMPUTED_VALUE"""),"KYAI KONTONG")</f>
        <v>KYAI KONTONG</v>
      </c>
      <c r="D2508" s="186">
        <f>IFERROR(__xludf.DUMMYFUNCTION("""COMPUTED_VALUE"""),4.0)</f>
        <v>4</v>
      </c>
    </row>
    <row r="2509">
      <c r="A2509" s="178" t="str">
        <f>IFERROR(__xludf.DUMMYFUNCTION("""COMPUTED_VALUE"""),"ITBISA-ABC-BATERAI-D-POWER")</f>
        <v>ITBISA-ABC-BATERAI-D-POWER</v>
      </c>
      <c r="B2509" s="266">
        <f>IFERROR(__xludf.DUMMYFUNCTION("""COMPUTED_VALUE"""),45215.0)</f>
        <v>45215</v>
      </c>
      <c r="C2509" s="266" t="str">
        <f>IFERROR(__xludf.DUMMYFUNCTION("""COMPUTED_VALUE"""),"KYAI KONTONG")</f>
        <v>KYAI KONTONG</v>
      </c>
      <c r="D2509" s="186">
        <f>IFERROR(__xludf.DUMMYFUNCTION("""COMPUTED_VALUE"""),15.0)</f>
        <v>15</v>
      </c>
    </row>
    <row r="2510">
      <c r="A2510" s="178" t="str">
        <f>IFERROR(__xludf.DUMMYFUNCTION("""COMPUTED_VALUE"""),"ITBISA-ABC-BATERAI-D-POWER")</f>
        <v>ITBISA-ABC-BATERAI-D-POWER</v>
      </c>
      <c r="B2510" s="266">
        <f>IFERROR(__xludf.DUMMYFUNCTION("""COMPUTED_VALUE"""),45220.0)</f>
        <v>45220</v>
      </c>
      <c r="C2510" s="266" t="str">
        <f>IFERROR(__xludf.DUMMYFUNCTION("""COMPUTED_VALUE"""),"KYAI KONTONG")</f>
        <v>KYAI KONTONG</v>
      </c>
      <c r="D2510" s="186">
        <f>IFERROR(__xludf.DUMMYFUNCTION("""COMPUTED_VALUE"""),2.0)</f>
        <v>2</v>
      </c>
    </row>
    <row r="2511">
      <c r="A2511" s="178" t="str">
        <f>IFERROR(__xludf.DUMMYFUNCTION("""COMPUTED_VALUE"""),"ITBISA-ABC-BATERAI-D-POWER")</f>
        <v>ITBISA-ABC-BATERAI-D-POWER</v>
      </c>
      <c r="B2511" s="266">
        <f>IFERROR(__xludf.DUMMYFUNCTION("""COMPUTED_VALUE"""),45227.0)</f>
        <v>45227</v>
      </c>
      <c r="C2511" s="266" t="str">
        <f>IFERROR(__xludf.DUMMYFUNCTION("""COMPUTED_VALUE"""),"KYAI KONTONG")</f>
        <v>KYAI KONTONG</v>
      </c>
      <c r="D2511" s="186">
        <f>IFERROR(__xludf.DUMMYFUNCTION("""COMPUTED_VALUE"""),2.0)</f>
        <v>2</v>
      </c>
    </row>
    <row r="2512">
      <c r="A2512" s="178" t="str">
        <f>IFERROR(__xludf.DUMMYFUNCTION("""COMPUTED_VALUE"""),"ITBISA-ABC-BATERAI-D-POWER")</f>
        <v>ITBISA-ABC-BATERAI-D-POWER</v>
      </c>
      <c r="B2512" s="266">
        <f>IFERROR(__xludf.DUMMYFUNCTION("""COMPUTED_VALUE"""),45233.0)</f>
        <v>45233</v>
      </c>
      <c r="C2512" s="266" t="str">
        <f>IFERROR(__xludf.DUMMYFUNCTION("""COMPUTED_VALUE"""),"KYAI KONTONG")</f>
        <v>KYAI KONTONG</v>
      </c>
      <c r="D2512" s="186">
        <f>IFERROR(__xludf.DUMMYFUNCTION("""COMPUTED_VALUE"""),4.0)</f>
        <v>4</v>
      </c>
    </row>
    <row r="2513">
      <c r="A2513" s="178" t="str">
        <f>IFERROR(__xludf.DUMMYFUNCTION("""COMPUTED_VALUE"""),"ITBISA-ABC-BATERAI-D-POWER")</f>
        <v>ITBISA-ABC-BATERAI-D-POWER</v>
      </c>
      <c r="B2513" s="266">
        <f>IFERROR(__xludf.DUMMYFUNCTION("""COMPUTED_VALUE"""),45236.0)</f>
        <v>45236</v>
      </c>
      <c r="C2513" s="266" t="str">
        <f>IFERROR(__xludf.DUMMYFUNCTION("""COMPUTED_VALUE"""),"KYAI KONTONG")</f>
        <v>KYAI KONTONG</v>
      </c>
      <c r="D2513" s="186">
        <f>IFERROR(__xludf.DUMMYFUNCTION("""COMPUTED_VALUE"""),6.0)</f>
        <v>6</v>
      </c>
    </row>
    <row r="2514">
      <c r="A2514" s="178" t="str">
        <f>IFERROR(__xludf.DUMMYFUNCTION("""COMPUTED_VALUE"""),"ITBISA-ABC-BATERAI-D-POWER")</f>
        <v>ITBISA-ABC-BATERAI-D-POWER</v>
      </c>
      <c r="B2514" s="266">
        <f>IFERROR(__xludf.DUMMYFUNCTION("""COMPUTED_VALUE"""),45237.0)</f>
        <v>45237</v>
      </c>
      <c r="C2514" s="266" t="str">
        <f>IFERROR(__xludf.DUMMYFUNCTION("""COMPUTED_VALUE"""),"KYAI KONTONG")</f>
        <v>KYAI KONTONG</v>
      </c>
      <c r="D2514" s="186">
        <f>IFERROR(__xludf.DUMMYFUNCTION("""COMPUTED_VALUE"""),3.0)</f>
        <v>3</v>
      </c>
    </row>
    <row r="2515">
      <c r="A2515" s="178" t="str">
        <f>IFERROR(__xludf.DUMMYFUNCTION("""COMPUTED_VALUE"""),"ITBISA-ABC-BATERAI-D-POWER")</f>
        <v>ITBISA-ABC-BATERAI-D-POWER</v>
      </c>
      <c r="B2515" s="266">
        <f>IFERROR(__xludf.DUMMYFUNCTION("""COMPUTED_VALUE"""),45238.0)</f>
        <v>45238</v>
      </c>
      <c r="C2515" s="266" t="str">
        <f>IFERROR(__xludf.DUMMYFUNCTION("""COMPUTED_VALUE"""),"KYAI KONTONG")</f>
        <v>KYAI KONTONG</v>
      </c>
      <c r="D2515" s="186">
        <f>IFERROR(__xludf.DUMMYFUNCTION("""COMPUTED_VALUE"""),8.0)</f>
        <v>8</v>
      </c>
    </row>
    <row r="2516">
      <c r="A2516" s="178" t="str">
        <f>IFERROR(__xludf.DUMMYFUNCTION("""COMPUTED_VALUE"""),"ITBISA-ABC-BATERAI-D-POWER")</f>
        <v>ITBISA-ABC-BATERAI-D-POWER</v>
      </c>
      <c r="B2516" s="266">
        <f>IFERROR(__xludf.DUMMYFUNCTION("""COMPUTED_VALUE"""),45241.0)</f>
        <v>45241</v>
      </c>
      <c r="C2516" s="266" t="str">
        <f>IFERROR(__xludf.DUMMYFUNCTION("""COMPUTED_VALUE"""),"KYAI KONTONG")</f>
        <v>KYAI KONTONG</v>
      </c>
      <c r="D2516" s="186">
        <f>IFERROR(__xludf.DUMMYFUNCTION("""COMPUTED_VALUE"""),2.0)</f>
        <v>2</v>
      </c>
    </row>
    <row r="2517">
      <c r="A2517" s="178" t="str">
        <f>IFERROR(__xludf.DUMMYFUNCTION("""COMPUTED_VALUE"""),"ITBISA-ABC-BATERAI-D-POWER")</f>
        <v>ITBISA-ABC-BATERAI-D-POWER</v>
      </c>
      <c r="B2517" s="266">
        <f>IFERROR(__xludf.DUMMYFUNCTION("""COMPUTED_VALUE"""),45244.0)</f>
        <v>45244</v>
      </c>
      <c r="C2517" s="266" t="str">
        <f>IFERROR(__xludf.DUMMYFUNCTION("""COMPUTED_VALUE"""),"KYAI KONTONG")</f>
        <v>KYAI KONTONG</v>
      </c>
      <c r="D2517" s="186">
        <f>IFERROR(__xludf.DUMMYFUNCTION("""COMPUTED_VALUE"""),4.0)</f>
        <v>4</v>
      </c>
    </row>
    <row r="2518">
      <c r="A2518" s="178" t="str">
        <f>IFERROR(__xludf.DUMMYFUNCTION("""COMPUTED_VALUE"""),"ITBISA-ABC-BATERAI-D-POWER")</f>
        <v>ITBISA-ABC-BATERAI-D-POWER</v>
      </c>
      <c r="B2518" s="266">
        <f>IFERROR(__xludf.DUMMYFUNCTION("""COMPUTED_VALUE"""),45250.0)</f>
        <v>45250</v>
      </c>
      <c r="C2518" s="266" t="str">
        <f>IFERROR(__xludf.DUMMYFUNCTION("""COMPUTED_VALUE"""),"KYAI KONTONG")</f>
        <v>KYAI KONTONG</v>
      </c>
      <c r="D2518" s="186">
        <f>IFERROR(__xludf.DUMMYFUNCTION("""COMPUTED_VALUE"""),1.0)</f>
        <v>1</v>
      </c>
    </row>
    <row r="2519">
      <c r="A2519" s="178" t="str">
        <f>IFERROR(__xludf.DUMMYFUNCTION("""COMPUTED_VALUE"""),"ITBISA-ABC-BATERAI-D-POWER")</f>
        <v>ITBISA-ABC-BATERAI-D-POWER</v>
      </c>
      <c r="B2519" s="266">
        <f>IFERROR(__xludf.DUMMYFUNCTION("""COMPUTED_VALUE"""),45251.0)</f>
        <v>45251</v>
      </c>
      <c r="C2519" s="266" t="str">
        <f>IFERROR(__xludf.DUMMYFUNCTION("""COMPUTED_VALUE"""),"KYAI KONTONG")</f>
        <v>KYAI KONTONG</v>
      </c>
      <c r="D2519" s="186">
        <f>IFERROR(__xludf.DUMMYFUNCTION("""COMPUTED_VALUE"""),1.0)</f>
        <v>1</v>
      </c>
    </row>
    <row r="2520">
      <c r="A2520" s="178" t="str">
        <f>IFERROR(__xludf.DUMMYFUNCTION("""COMPUTED_VALUE"""),"ITBISA-ABC-BATERAI-D-POWER")</f>
        <v>ITBISA-ABC-BATERAI-D-POWER</v>
      </c>
      <c r="B2520" s="266">
        <f>IFERROR(__xludf.DUMMYFUNCTION("""COMPUTED_VALUE"""),45252.0)</f>
        <v>45252</v>
      </c>
      <c r="C2520" s="266" t="str">
        <f>IFERROR(__xludf.DUMMYFUNCTION("""COMPUTED_VALUE"""),"KYAI KONTONG")</f>
        <v>KYAI KONTONG</v>
      </c>
      <c r="D2520" s="186">
        <f>IFERROR(__xludf.DUMMYFUNCTION("""COMPUTED_VALUE"""),6.0)</f>
        <v>6</v>
      </c>
    </row>
    <row r="2521">
      <c r="A2521" s="178" t="str">
        <f>IFERROR(__xludf.DUMMYFUNCTION("""COMPUTED_VALUE"""),"ITBISA-ABC-BATERAI-D-POWER")</f>
        <v>ITBISA-ABC-BATERAI-D-POWER</v>
      </c>
      <c r="B2521" s="266">
        <f>IFERROR(__xludf.DUMMYFUNCTION("""COMPUTED_VALUE"""),45261.0)</f>
        <v>45261</v>
      </c>
      <c r="C2521" s="266" t="str">
        <f>IFERROR(__xludf.DUMMYFUNCTION("""COMPUTED_VALUE"""),"KYAI KONTONG")</f>
        <v>KYAI KONTONG</v>
      </c>
      <c r="D2521" s="186">
        <f>IFERROR(__xludf.DUMMYFUNCTION("""COMPUTED_VALUE"""),2.0)</f>
        <v>2</v>
      </c>
    </row>
    <row r="2522">
      <c r="A2522" s="178" t="str">
        <f>IFERROR(__xludf.DUMMYFUNCTION("""COMPUTED_VALUE"""),"ITBISA-ABC-BATERAI-D-POWER")</f>
        <v>ITBISA-ABC-BATERAI-D-POWER</v>
      </c>
      <c r="B2522" s="266">
        <f>IFERROR(__xludf.DUMMYFUNCTION("""COMPUTED_VALUE"""),45267.0)</f>
        <v>45267</v>
      </c>
      <c r="C2522" s="266" t="str">
        <f>IFERROR(__xludf.DUMMYFUNCTION("""COMPUTED_VALUE"""),"KYAI KONTONG")</f>
        <v>KYAI KONTONG</v>
      </c>
      <c r="D2522" s="186">
        <f>IFERROR(__xludf.DUMMYFUNCTION("""COMPUTED_VALUE"""),8.0)</f>
        <v>8</v>
      </c>
    </row>
    <row r="2523">
      <c r="A2523" s="178" t="str">
        <f>IFERROR(__xludf.DUMMYFUNCTION("""COMPUTED_VALUE"""),"ITBISA-ABC-BATERAI-D-POWER")</f>
        <v>ITBISA-ABC-BATERAI-D-POWER</v>
      </c>
      <c r="B2523" s="266">
        <f>IFERROR(__xludf.DUMMYFUNCTION("""COMPUTED_VALUE"""),45274.0)</f>
        <v>45274</v>
      </c>
      <c r="C2523" s="266" t="str">
        <f>IFERROR(__xludf.DUMMYFUNCTION("""COMPUTED_VALUE"""),"KYAI KONTONG")</f>
        <v>KYAI KONTONG</v>
      </c>
      <c r="D2523" s="186">
        <f>IFERROR(__xludf.DUMMYFUNCTION("""COMPUTED_VALUE"""),2.0)</f>
        <v>2</v>
      </c>
    </row>
    <row r="2524">
      <c r="A2524" s="178" t="str">
        <f>IFERROR(__xludf.DUMMYFUNCTION("""COMPUTED_VALUE"""),"ITBISA-ABC-BATERAI-D-POWER")</f>
        <v>ITBISA-ABC-BATERAI-D-POWER</v>
      </c>
      <c r="B2524" s="266">
        <f>IFERROR(__xludf.DUMMYFUNCTION("""COMPUTED_VALUE"""),45291.0)</f>
        <v>45291</v>
      </c>
      <c r="C2524" s="266" t="str">
        <f>IFERROR(__xludf.DUMMYFUNCTION("""COMPUTED_VALUE"""),"KYAI KONTONG")</f>
        <v>KYAI KONTONG</v>
      </c>
      <c r="D2524" s="186">
        <f>IFERROR(__xludf.DUMMYFUNCTION("""COMPUTED_VALUE"""),10.0)</f>
        <v>10</v>
      </c>
    </row>
    <row r="2525">
      <c r="A2525" s="178" t="str">
        <f>IFERROR(__xludf.DUMMYFUNCTION("""COMPUTED_VALUE"""),"ITBISA-ABC-BATERAI-D-POWER")</f>
        <v>ITBISA-ABC-BATERAI-D-POWER</v>
      </c>
      <c r="B2525" s="266">
        <f>IFERROR(__xludf.DUMMYFUNCTION("""COMPUTED_VALUE"""),45293.0)</f>
        <v>45293</v>
      </c>
      <c r="C2525" s="266" t="str">
        <f>IFERROR(__xludf.DUMMYFUNCTION("""COMPUTED_VALUE"""),"KYAI KONTONG")</f>
        <v>KYAI KONTONG</v>
      </c>
      <c r="D2525" s="186">
        <f>IFERROR(__xludf.DUMMYFUNCTION("""COMPUTED_VALUE"""),8.0)</f>
        <v>8</v>
      </c>
    </row>
    <row r="2526">
      <c r="A2526" s="178" t="str">
        <f>IFERROR(__xludf.DUMMYFUNCTION("""COMPUTED_VALUE"""),"ITBISA-ABC-BATERAI-D-POWER")</f>
        <v>ITBISA-ABC-BATERAI-D-POWER</v>
      </c>
      <c r="B2526" s="266">
        <f>IFERROR(__xludf.DUMMYFUNCTION("""COMPUTED_VALUE"""),45322.0)</f>
        <v>45322</v>
      </c>
      <c r="C2526" s="266" t="str">
        <f>IFERROR(__xludf.DUMMYFUNCTION("""COMPUTED_VALUE"""),"KYAI KONTONG")</f>
        <v>KYAI KONTONG</v>
      </c>
      <c r="D2526" s="186">
        <f>IFERROR(__xludf.DUMMYFUNCTION("""COMPUTED_VALUE"""),2.0)</f>
        <v>2</v>
      </c>
    </row>
    <row r="2527">
      <c r="A2527" s="178" t="str">
        <f>IFERROR(__xludf.DUMMYFUNCTION("""COMPUTED_VALUE"""),"ITBISA-ABC-BATERAI-D-POWER")</f>
        <v>ITBISA-ABC-BATERAI-D-POWER</v>
      </c>
      <c r="B2527" s="266">
        <f>IFERROR(__xludf.DUMMYFUNCTION("""COMPUTED_VALUE"""),45333.0)</f>
        <v>45333</v>
      </c>
      <c r="C2527" s="266" t="str">
        <f>IFERROR(__xludf.DUMMYFUNCTION("""COMPUTED_VALUE"""),"KYAI KONTONG")</f>
        <v>KYAI KONTONG</v>
      </c>
      <c r="D2527" s="186">
        <f>IFERROR(__xludf.DUMMYFUNCTION("""COMPUTED_VALUE"""),2.0)</f>
        <v>2</v>
      </c>
    </row>
    <row r="2528">
      <c r="A2528" s="178" t="str">
        <f>IFERROR(__xludf.DUMMYFUNCTION("""COMPUTED_VALUE"""),"ITBISA-ABC-BATERAI-D-POWER")</f>
        <v>ITBISA-ABC-BATERAI-D-POWER</v>
      </c>
      <c r="B2528" s="266">
        <f>IFERROR(__xludf.DUMMYFUNCTION("""COMPUTED_VALUE"""),45354.0)</f>
        <v>45354</v>
      </c>
      <c r="C2528" s="266" t="str">
        <f>IFERROR(__xludf.DUMMYFUNCTION("""COMPUTED_VALUE"""),"KYAI KONTONG")</f>
        <v>KYAI KONTONG</v>
      </c>
      <c r="D2528" s="186">
        <f>IFERROR(__xludf.DUMMYFUNCTION("""COMPUTED_VALUE"""),2.0)</f>
        <v>2</v>
      </c>
    </row>
    <row r="2529">
      <c r="A2529" s="178" t="str">
        <f>IFERROR(__xludf.DUMMYFUNCTION("""COMPUTED_VALUE"""),"ITBISA-ABC-BATERAI-D-POWER")</f>
        <v>ITBISA-ABC-BATERAI-D-POWER</v>
      </c>
      <c r="B2529" s="266">
        <f>IFERROR(__xludf.DUMMYFUNCTION("""COMPUTED_VALUE"""),45359.0)</f>
        <v>45359</v>
      </c>
      <c r="C2529" s="266" t="str">
        <f>IFERROR(__xludf.DUMMYFUNCTION("""COMPUTED_VALUE"""),"KYAI KONTONG")</f>
        <v>KYAI KONTONG</v>
      </c>
      <c r="D2529" s="186">
        <f>IFERROR(__xludf.DUMMYFUNCTION("""COMPUTED_VALUE"""),4.0)</f>
        <v>4</v>
      </c>
    </row>
    <row r="2530">
      <c r="A2530" s="178" t="str">
        <f>IFERROR(__xludf.DUMMYFUNCTION("""COMPUTED_VALUE"""),"ITBISA-ABC-BATERAI-D-POWER")</f>
        <v>ITBISA-ABC-BATERAI-D-POWER</v>
      </c>
      <c r="B2530" s="266">
        <f>IFERROR(__xludf.DUMMYFUNCTION("""COMPUTED_VALUE"""),45364.0)</f>
        <v>45364</v>
      </c>
      <c r="C2530" s="266" t="str">
        <f>IFERROR(__xludf.DUMMYFUNCTION("""COMPUTED_VALUE"""),"RANCAEKEK ESTU")</f>
        <v>RANCAEKEK ESTU</v>
      </c>
      <c r="D2530" s="186">
        <f>IFERROR(__xludf.DUMMYFUNCTION("""COMPUTED_VALUE"""),8.0)</f>
        <v>8</v>
      </c>
    </row>
    <row r="2531">
      <c r="A2531" s="178" t="str">
        <f>IFERROR(__xludf.DUMMYFUNCTION("""COMPUTED_VALUE"""),"ITBISA-ABC-BATERAI-D-POWER")</f>
        <v>ITBISA-ABC-BATERAI-D-POWER</v>
      </c>
      <c r="B2531" s="266">
        <f>IFERROR(__xludf.DUMMYFUNCTION("""COMPUTED_VALUE"""),45367.0)</f>
        <v>45367</v>
      </c>
      <c r="C2531" s="266" t="str">
        <f>IFERROR(__xludf.DUMMYFUNCTION("""COMPUTED_VALUE"""),"RANCAEKEK ESTU")</f>
        <v>RANCAEKEK ESTU</v>
      </c>
      <c r="D2531" s="186">
        <f>IFERROR(__xludf.DUMMYFUNCTION("""COMPUTED_VALUE"""),4.0)</f>
        <v>4</v>
      </c>
    </row>
    <row r="2532">
      <c r="A2532" s="178" t="str">
        <f>IFERROR(__xludf.DUMMYFUNCTION("""COMPUTED_VALUE"""),"ITBISA-ABC-BATERAI-D-POWER")</f>
        <v>ITBISA-ABC-BATERAI-D-POWER</v>
      </c>
      <c r="B2532" s="266">
        <f>IFERROR(__xludf.DUMMYFUNCTION("""COMPUTED_VALUE"""),45370.0)</f>
        <v>45370</v>
      </c>
      <c r="C2532" s="266" t="str">
        <f>IFERROR(__xludf.DUMMYFUNCTION("""COMPUTED_VALUE"""),"RANCAEKEK ESTU")</f>
        <v>RANCAEKEK ESTU</v>
      </c>
      <c r="D2532" s="186">
        <f>IFERROR(__xludf.DUMMYFUNCTION("""COMPUTED_VALUE"""),10.0)</f>
        <v>10</v>
      </c>
    </row>
    <row r="2533">
      <c r="A2533" s="178" t="str">
        <f>IFERROR(__xludf.DUMMYFUNCTION("""COMPUTED_VALUE"""),"ITBISA-ABC-BATERAI-D-POWER")</f>
        <v>ITBISA-ABC-BATERAI-D-POWER</v>
      </c>
      <c r="B2533" s="266">
        <f>IFERROR(__xludf.DUMMYFUNCTION("""COMPUTED_VALUE"""),45375.0)</f>
        <v>45375</v>
      </c>
      <c r="C2533" s="266" t="str">
        <f>IFERROR(__xludf.DUMMYFUNCTION("""COMPUTED_VALUE"""),"KYAI KONTONG")</f>
        <v>KYAI KONTONG</v>
      </c>
      <c r="D2533" s="186">
        <f>IFERROR(__xludf.DUMMYFUNCTION("""COMPUTED_VALUE"""),4.0)</f>
        <v>4</v>
      </c>
    </row>
    <row r="2534">
      <c r="A2534" s="178" t="str">
        <f>IFERROR(__xludf.DUMMYFUNCTION("""COMPUTED_VALUE"""),"ITBISA-ABC-BATERAI-D-POWER")</f>
        <v>ITBISA-ABC-BATERAI-D-POWER</v>
      </c>
      <c r="B2534" s="266">
        <f>IFERROR(__xludf.DUMMYFUNCTION("""COMPUTED_VALUE"""),45375.0)</f>
        <v>45375</v>
      </c>
      <c r="C2534" s="266" t="str">
        <f>IFERROR(__xludf.DUMMYFUNCTION("""COMPUTED_VALUE"""),"KYAI KONTONG")</f>
        <v>KYAI KONTONG</v>
      </c>
      <c r="D2534" s="186">
        <f>IFERROR(__xludf.DUMMYFUNCTION("""COMPUTED_VALUE"""),10.0)</f>
        <v>10</v>
      </c>
    </row>
    <row r="2535">
      <c r="A2535" s="178" t="str">
        <f>IFERROR(__xludf.DUMMYFUNCTION("""COMPUTED_VALUE"""),"ITBISA-ABC-BATERAI-D-POWER")</f>
        <v>ITBISA-ABC-BATERAI-D-POWER</v>
      </c>
      <c r="B2535" s="266">
        <f>IFERROR(__xludf.DUMMYFUNCTION("""COMPUTED_VALUE"""),45376.0)</f>
        <v>45376</v>
      </c>
      <c r="C2535" s="266" t="str">
        <f>IFERROR(__xludf.DUMMYFUNCTION("""COMPUTED_VALUE"""),"KYAI KONTONG")</f>
        <v>KYAI KONTONG</v>
      </c>
      <c r="D2535" s="186">
        <f>IFERROR(__xludf.DUMMYFUNCTION("""COMPUTED_VALUE"""),4.0)</f>
        <v>4</v>
      </c>
    </row>
    <row r="2536">
      <c r="A2536" s="178" t="str">
        <f>IFERROR(__xludf.DUMMYFUNCTION("""COMPUTED_VALUE"""),"ITBISA-ABC-BATERAI-D-POWER")</f>
        <v>ITBISA-ABC-BATERAI-D-POWER</v>
      </c>
      <c r="B2536" s="266">
        <f>IFERROR(__xludf.DUMMYFUNCTION("""COMPUTED_VALUE"""),45386.0)</f>
        <v>45386</v>
      </c>
      <c r="C2536" s="266" t="str">
        <f>IFERROR(__xludf.DUMMYFUNCTION("""COMPUTED_VALUE"""),"KYAI KONTONG")</f>
        <v>KYAI KONTONG</v>
      </c>
      <c r="D2536" s="186">
        <f>IFERROR(__xludf.DUMMYFUNCTION("""COMPUTED_VALUE"""),10.0)</f>
        <v>10</v>
      </c>
    </row>
    <row r="2537">
      <c r="A2537" s="178" t="str">
        <f>IFERROR(__xludf.DUMMYFUNCTION("""COMPUTED_VALUE"""),"ITBISA-ABC-BATERAI-D-POWER")</f>
        <v>ITBISA-ABC-BATERAI-D-POWER</v>
      </c>
      <c r="B2537" s="266">
        <f>IFERROR(__xludf.DUMMYFUNCTION("""COMPUTED_VALUE"""),45386.0)</f>
        <v>45386</v>
      </c>
      <c r="C2537" s="266" t="str">
        <f>IFERROR(__xludf.DUMMYFUNCTION("""COMPUTED_VALUE"""),"KYAI KONTONG")</f>
        <v>KYAI KONTONG</v>
      </c>
      <c r="D2537" s="186">
        <f>IFERROR(__xludf.DUMMYFUNCTION("""COMPUTED_VALUE"""),10.0)</f>
        <v>10</v>
      </c>
    </row>
    <row r="2538">
      <c r="A2538" s="178" t="str">
        <f>IFERROR(__xludf.DUMMYFUNCTION("""COMPUTED_VALUE"""),"ITBISA-ABC-BATERAI-D-POWER")</f>
        <v>ITBISA-ABC-BATERAI-D-POWER</v>
      </c>
      <c r="B2538" s="266">
        <f>IFERROR(__xludf.DUMMYFUNCTION("""COMPUTED_VALUE"""),45398.0)</f>
        <v>45398</v>
      </c>
      <c r="C2538" s="266" t="str">
        <f>IFERROR(__xludf.DUMMYFUNCTION("""COMPUTED_VALUE"""),"KYAI KONTONG")</f>
        <v>KYAI KONTONG</v>
      </c>
      <c r="D2538" s="186">
        <f>IFERROR(__xludf.DUMMYFUNCTION("""COMPUTED_VALUE"""),2.0)</f>
        <v>2</v>
      </c>
    </row>
    <row r="2539">
      <c r="A2539" s="178" t="str">
        <f>IFERROR(__xludf.DUMMYFUNCTION("""COMPUTED_VALUE"""),"ITBISA-ABC-BATERAI-D-POWER")</f>
        <v>ITBISA-ABC-BATERAI-D-POWER</v>
      </c>
      <c r="B2539" s="266">
        <f>IFERROR(__xludf.DUMMYFUNCTION("""COMPUTED_VALUE"""),45400.0)</f>
        <v>45400</v>
      </c>
      <c r="C2539" s="266" t="str">
        <f>IFERROR(__xludf.DUMMYFUNCTION("""COMPUTED_VALUE"""),"KYAI KONTONG")</f>
        <v>KYAI KONTONG</v>
      </c>
      <c r="D2539" s="186">
        <f>IFERROR(__xludf.DUMMYFUNCTION("""COMPUTED_VALUE"""),10.0)</f>
        <v>10</v>
      </c>
    </row>
    <row r="2540">
      <c r="A2540" s="178" t="str">
        <f>IFERROR(__xludf.DUMMYFUNCTION("""COMPUTED_VALUE"""),"ITBISA-ABC-BATERAI-D-POWER")</f>
        <v>ITBISA-ABC-BATERAI-D-POWER</v>
      </c>
      <c r="B2540" s="266">
        <f>IFERROR(__xludf.DUMMYFUNCTION("""COMPUTED_VALUE"""),45401.0)</f>
        <v>45401</v>
      </c>
      <c r="C2540" s="266" t="str">
        <f>IFERROR(__xludf.DUMMYFUNCTION("""COMPUTED_VALUE"""),"KYAI KONTONG")</f>
        <v>KYAI KONTONG</v>
      </c>
      <c r="D2540" s="186">
        <f>IFERROR(__xludf.DUMMYFUNCTION("""COMPUTED_VALUE"""),2.0)</f>
        <v>2</v>
      </c>
    </row>
    <row r="2541">
      <c r="A2541" s="178" t="str">
        <f>IFERROR(__xludf.DUMMYFUNCTION("""COMPUTED_VALUE"""),"ITBISA-ABC-BATERAI-D-POWER")</f>
        <v>ITBISA-ABC-BATERAI-D-POWER</v>
      </c>
      <c r="B2541" s="266">
        <f>IFERROR(__xludf.DUMMYFUNCTION("""COMPUTED_VALUE"""),45402.0)</f>
        <v>45402</v>
      </c>
      <c r="C2541" s="266" t="str">
        <f>IFERROR(__xludf.DUMMYFUNCTION("""COMPUTED_VALUE"""),"KYAI KONTONG")</f>
        <v>KYAI KONTONG</v>
      </c>
      <c r="D2541" s="186">
        <f>IFERROR(__xludf.DUMMYFUNCTION("""COMPUTED_VALUE"""),3.0)</f>
        <v>3</v>
      </c>
    </row>
    <row r="2542">
      <c r="A2542" s="178" t="str">
        <f>IFERROR(__xludf.DUMMYFUNCTION("""COMPUTED_VALUE"""),"ITBISA-ABC-BATERAI-D-POWER")</f>
        <v>ITBISA-ABC-BATERAI-D-POWER</v>
      </c>
      <c r="B2542" s="266">
        <f>IFERROR(__xludf.DUMMYFUNCTION("""COMPUTED_VALUE"""),45404.0)</f>
        <v>45404</v>
      </c>
      <c r="C2542" s="266" t="str">
        <f>IFERROR(__xludf.DUMMYFUNCTION("""COMPUTED_VALUE"""),"RANCAEKEK ESTU")</f>
        <v>RANCAEKEK ESTU</v>
      </c>
      <c r="D2542" s="186">
        <f>IFERROR(__xludf.DUMMYFUNCTION("""COMPUTED_VALUE"""),3.0)</f>
        <v>3</v>
      </c>
    </row>
    <row r="2543">
      <c r="A2543" s="178" t="str">
        <f>IFERROR(__xludf.DUMMYFUNCTION("""COMPUTED_VALUE"""),"ITBISA-ABC-BATERAI-D-POWER")</f>
        <v>ITBISA-ABC-BATERAI-D-POWER</v>
      </c>
      <c r="B2543" s="266">
        <f>IFERROR(__xludf.DUMMYFUNCTION("""COMPUTED_VALUE"""),45405.0)</f>
        <v>45405</v>
      </c>
      <c r="C2543" s="266" t="str">
        <f>IFERROR(__xludf.DUMMYFUNCTION("""COMPUTED_VALUE"""),"RANCAEKEK ESTU")</f>
        <v>RANCAEKEK ESTU</v>
      </c>
      <c r="D2543" s="186">
        <f>IFERROR(__xludf.DUMMYFUNCTION("""COMPUTED_VALUE"""),8.0)</f>
        <v>8</v>
      </c>
    </row>
    <row r="2544">
      <c r="A2544" s="178" t="str">
        <f>IFERROR(__xludf.DUMMYFUNCTION("""COMPUTED_VALUE"""),"ITBISA-ABC-BATERAI-D-POWER")</f>
        <v>ITBISA-ABC-BATERAI-D-POWER</v>
      </c>
      <c r="B2544" s="266">
        <f>IFERROR(__xludf.DUMMYFUNCTION("""COMPUTED_VALUE"""),45406.0)</f>
        <v>45406</v>
      </c>
      <c r="C2544" s="266" t="str">
        <f>IFERROR(__xludf.DUMMYFUNCTION("""COMPUTED_VALUE"""),"RANCAEKEK ESTU")</f>
        <v>RANCAEKEK ESTU</v>
      </c>
      <c r="D2544" s="186">
        <f>IFERROR(__xludf.DUMMYFUNCTION("""COMPUTED_VALUE"""),10.0)</f>
        <v>10</v>
      </c>
    </row>
    <row r="2545">
      <c r="A2545" s="178" t="str">
        <f>IFERROR(__xludf.DUMMYFUNCTION("""COMPUTED_VALUE"""),"ITBISA-ABC-BATERAI-D-POWER")</f>
        <v>ITBISA-ABC-BATERAI-D-POWER</v>
      </c>
      <c r="B2545" s="266">
        <f>IFERROR(__xludf.DUMMYFUNCTION("""COMPUTED_VALUE"""),45410.0)</f>
        <v>45410</v>
      </c>
      <c r="C2545" s="266" t="str">
        <f>IFERROR(__xludf.DUMMYFUNCTION("""COMPUTED_VALUE"""),"RANCAEKEK ESTU")</f>
        <v>RANCAEKEK ESTU</v>
      </c>
      <c r="D2545" s="186">
        <f>IFERROR(__xludf.DUMMYFUNCTION("""COMPUTED_VALUE"""),5.0)</f>
        <v>5</v>
      </c>
    </row>
    <row r="2546">
      <c r="A2546" s="178" t="str">
        <f>IFERROR(__xludf.DUMMYFUNCTION("""COMPUTED_VALUE"""),"ITBISA-ABC-BATERAI-D-POWER")</f>
        <v>ITBISA-ABC-BATERAI-D-POWER</v>
      </c>
      <c r="B2546" s="266">
        <f>IFERROR(__xludf.DUMMYFUNCTION("""COMPUTED_VALUE"""),45411.0)</f>
        <v>45411</v>
      </c>
      <c r="C2546" s="266" t="str">
        <f>IFERROR(__xludf.DUMMYFUNCTION("""COMPUTED_VALUE"""),"KYAI KONTONG")</f>
        <v>KYAI KONTONG</v>
      </c>
      <c r="D2546" s="186">
        <f>IFERROR(__xludf.DUMMYFUNCTION("""COMPUTED_VALUE"""),1.0)</f>
        <v>1</v>
      </c>
    </row>
    <row r="2547">
      <c r="A2547" s="178" t="str">
        <f>IFERROR(__xludf.DUMMYFUNCTION("""COMPUTED_VALUE"""),"ITBISA-ABC-BATERAI-D-POWER")</f>
        <v>ITBISA-ABC-BATERAI-D-POWER</v>
      </c>
      <c r="B2547" s="266">
        <f>IFERROR(__xludf.DUMMYFUNCTION("""COMPUTED_VALUE"""),45411.0)</f>
        <v>45411</v>
      </c>
      <c r="C2547" s="266" t="str">
        <f>IFERROR(__xludf.DUMMYFUNCTION("""COMPUTED_VALUE"""),"KYAI KONTONG")</f>
        <v>KYAI KONTONG</v>
      </c>
      <c r="D2547" s="186">
        <f>IFERROR(__xludf.DUMMYFUNCTION("""COMPUTED_VALUE"""),2.0)</f>
        <v>2</v>
      </c>
    </row>
    <row r="2548">
      <c r="A2548" s="178" t="str">
        <f>IFERROR(__xludf.DUMMYFUNCTION("""COMPUTED_VALUE"""),"ITBISA-ABC-BATERAI-D-POWER")</f>
        <v>ITBISA-ABC-BATERAI-D-POWER</v>
      </c>
      <c r="B2548" s="266">
        <f>IFERROR(__xludf.DUMMYFUNCTION("""COMPUTED_VALUE"""),45412.0)</f>
        <v>45412</v>
      </c>
      <c r="C2548" s="266" t="str">
        <f>IFERROR(__xludf.DUMMYFUNCTION("""COMPUTED_VALUE"""),"KYAI KONTONG")</f>
        <v>KYAI KONTONG</v>
      </c>
      <c r="D2548" s="186">
        <f>IFERROR(__xludf.DUMMYFUNCTION("""COMPUTED_VALUE"""),1.0)</f>
        <v>1</v>
      </c>
    </row>
    <row r="2549">
      <c r="A2549" s="178" t="str">
        <f>IFERROR(__xludf.DUMMYFUNCTION("""COMPUTED_VALUE"""),"ITBISA-ABC-BATERAI-D-POWER")</f>
        <v>ITBISA-ABC-BATERAI-D-POWER</v>
      </c>
      <c r="B2549" s="266">
        <f>IFERROR(__xludf.DUMMYFUNCTION("""COMPUTED_VALUE"""),45412.0)</f>
        <v>45412</v>
      </c>
      <c r="C2549" s="266" t="str">
        <f>IFERROR(__xludf.DUMMYFUNCTION("""COMPUTED_VALUE"""),"KYAI KONTONG")</f>
        <v>KYAI KONTONG</v>
      </c>
      <c r="D2549" s="186">
        <f>IFERROR(__xludf.DUMMYFUNCTION("""COMPUTED_VALUE"""),6.0)</f>
        <v>6</v>
      </c>
    </row>
    <row r="2550">
      <c r="A2550" s="178" t="str">
        <f>IFERROR(__xludf.DUMMYFUNCTION("""COMPUTED_VALUE"""),"ITBISA-ABC-BATERAI-D-POWER")</f>
        <v>ITBISA-ABC-BATERAI-D-POWER</v>
      </c>
      <c r="B2550" s="266">
        <f>IFERROR(__xludf.DUMMYFUNCTION("""COMPUTED_VALUE"""),45419.0)</f>
        <v>45419</v>
      </c>
      <c r="C2550" s="266" t="str">
        <f>IFERROR(__xludf.DUMMYFUNCTION("""COMPUTED_VALUE"""),"KERTASARI CIAMIS")</f>
        <v>KERTASARI CIAMIS</v>
      </c>
      <c r="D2550" s="186">
        <f>IFERROR(__xludf.DUMMYFUNCTION("""COMPUTED_VALUE"""),2.0)</f>
        <v>2</v>
      </c>
    </row>
    <row r="2551">
      <c r="A2551" s="178" t="str">
        <f>IFERROR(__xludf.DUMMYFUNCTION("""COMPUTED_VALUE"""),"ITBISA-ABC-BATERAI-D-POWER")</f>
        <v>ITBISA-ABC-BATERAI-D-POWER</v>
      </c>
      <c r="B2551" s="266">
        <f>IFERROR(__xludf.DUMMYFUNCTION("""COMPUTED_VALUE"""),45424.0)</f>
        <v>45424</v>
      </c>
      <c r="C2551" s="266" t="str">
        <f>IFERROR(__xludf.DUMMYFUNCTION("""COMPUTED_VALUE"""),"KERTASARI CIAMIS")</f>
        <v>KERTASARI CIAMIS</v>
      </c>
      <c r="D2551" s="186">
        <f>IFERROR(__xludf.DUMMYFUNCTION("""COMPUTED_VALUE"""),2.0)</f>
        <v>2</v>
      </c>
    </row>
    <row r="2552">
      <c r="A2552" s="178" t="str">
        <f>IFERROR(__xludf.DUMMYFUNCTION("""COMPUTED_VALUE"""),"ITBISA-ABC-BATERAI-D-POWER")</f>
        <v>ITBISA-ABC-BATERAI-D-POWER</v>
      </c>
      <c r="B2552" s="266">
        <f>IFERROR(__xludf.DUMMYFUNCTION("""COMPUTED_VALUE"""),45427.0)</f>
        <v>45427</v>
      </c>
      <c r="C2552" s="266" t="str">
        <f>IFERROR(__xludf.DUMMYFUNCTION("""COMPUTED_VALUE"""),"KERTASARI CIAMIS")</f>
        <v>KERTASARI CIAMIS</v>
      </c>
      <c r="D2552" s="186">
        <f>IFERROR(__xludf.DUMMYFUNCTION("""COMPUTED_VALUE"""),2.0)</f>
        <v>2</v>
      </c>
    </row>
    <row r="2553">
      <c r="A2553" s="178" t="str">
        <f>IFERROR(__xludf.DUMMYFUNCTION("""COMPUTED_VALUE"""),"ITBISA-ABC-BATERAI-D-POWER")</f>
        <v>ITBISA-ABC-BATERAI-D-POWER</v>
      </c>
      <c r="B2553" s="266">
        <f>IFERROR(__xludf.DUMMYFUNCTION("""COMPUTED_VALUE"""),45436.0)</f>
        <v>45436</v>
      </c>
      <c r="C2553" s="266" t="str">
        <f>IFERROR(__xludf.DUMMYFUNCTION("""COMPUTED_VALUE"""),"KYAI KONTONG")</f>
        <v>KYAI KONTONG</v>
      </c>
      <c r="D2553" s="186">
        <f>IFERROR(__xludf.DUMMYFUNCTION("""COMPUTED_VALUE"""),2.0)</f>
        <v>2</v>
      </c>
    </row>
    <row r="2554">
      <c r="A2554" s="178" t="str">
        <f>IFERROR(__xludf.DUMMYFUNCTION("""COMPUTED_VALUE"""),"ITBISA-ABC-BATERAI-D-POWER")</f>
        <v>ITBISA-ABC-BATERAI-D-POWER</v>
      </c>
      <c r="B2554" s="266">
        <f>IFERROR(__xludf.DUMMYFUNCTION("""COMPUTED_VALUE"""),45441.0)</f>
        <v>45441</v>
      </c>
      <c r="C2554" s="266" t="str">
        <f>IFERROR(__xludf.DUMMYFUNCTION("""COMPUTED_VALUE"""),"KYAI KONTONG")</f>
        <v>KYAI KONTONG</v>
      </c>
      <c r="D2554" s="186">
        <f>IFERROR(__xludf.DUMMYFUNCTION("""COMPUTED_VALUE"""),8.0)</f>
        <v>8</v>
      </c>
    </row>
    <row r="2555">
      <c r="A2555" s="178" t="str">
        <f>IFERROR(__xludf.DUMMYFUNCTION("""COMPUTED_VALUE"""),"ITBISA-ABC-BATERAI-D-POWER")</f>
        <v>ITBISA-ABC-BATERAI-D-POWER</v>
      </c>
      <c r="B2555" s="266">
        <f>IFERROR(__xludf.DUMMYFUNCTION("""COMPUTED_VALUE"""),45449.0)</f>
        <v>45449</v>
      </c>
      <c r="C2555" s="266" t="str">
        <f>IFERROR(__xludf.DUMMYFUNCTION("""COMPUTED_VALUE"""),"KYAI KONTONG")</f>
        <v>KYAI KONTONG</v>
      </c>
      <c r="D2555" s="186">
        <f>IFERROR(__xludf.DUMMYFUNCTION("""COMPUTED_VALUE"""),2.0)</f>
        <v>2</v>
      </c>
    </row>
    <row r="2556">
      <c r="A2556" s="178" t="str">
        <f>IFERROR(__xludf.DUMMYFUNCTION("""COMPUTED_VALUE"""),"ITBISA-ABC-BATERAI-D-POWER")</f>
        <v>ITBISA-ABC-BATERAI-D-POWER</v>
      </c>
      <c r="B2556" s="266">
        <f>IFERROR(__xludf.DUMMYFUNCTION("""COMPUTED_VALUE"""),45453.0)</f>
        <v>45453</v>
      </c>
      <c r="C2556" s="266" t="str">
        <f>IFERROR(__xludf.DUMMYFUNCTION("""COMPUTED_VALUE"""),"KERTASARI CIAMIS")</f>
        <v>KERTASARI CIAMIS</v>
      </c>
      <c r="D2556" s="186">
        <f>IFERROR(__xludf.DUMMYFUNCTION("""COMPUTED_VALUE"""),2.0)</f>
        <v>2</v>
      </c>
    </row>
    <row r="2557">
      <c r="A2557" s="178" t="str">
        <f>IFERROR(__xludf.DUMMYFUNCTION("""COMPUTED_VALUE"""),"ITBISA-ABC-BATERAI-D-POWER")</f>
        <v>ITBISA-ABC-BATERAI-D-POWER</v>
      </c>
      <c r="B2557" s="266">
        <f>IFERROR(__xludf.DUMMYFUNCTION("""COMPUTED_VALUE"""),45453.0)</f>
        <v>45453</v>
      </c>
      <c r="C2557" s="266" t="str">
        <f>IFERROR(__xludf.DUMMYFUNCTION("""COMPUTED_VALUE"""),"KYAI KONTONG")</f>
        <v>KYAI KONTONG</v>
      </c>
      <c r="D2557" s="186">
        <f>IFERROR(__xludf.DUMMYFUNCTION("""COMPUTED_VALUE"""),16.0)</f>
        <v>16</v>
      </c>
    </row>
    <row r="2558">
      <c r="A2558" s="178" t="str">
        <f>IFERROR(__xludf.DUMMYFUNCTION("""COMPUTED_VALUE"""),"ITBISA-ABC-BATERAI-D-POWER")</f>
        <v>ITBISA-ABC-BATERAI-D-POWER</v>
      </c>
      <c r="B2558" s="266">
        <f>IFERROR(__xludf.DUMMYFUNCTION("""COMPUTED_VALUE"""),45455.0)</f>
        <v>45455</v>
      </c>
      <c r="C2558" s="266" t="str">
        <f>IFERROR(__xludf.DUMMYFUNCTION("""COMPUTED_VALUE"""),"KYAI KONTONG")</f>
        <v>KYAI KONTONG</v>
      </c>
      <c r="D2558" s="186">
        <f>IFERROR(__xludf.DUMMYFUNCTION("""COMPUTED_VALUE"""),3.0)</f>
        <v>3</v>
      </c>
    </row>
    <row r="2559">
      <c r="A2559" s="178" t="str">
        <f>IFERROR(__xludf.DUMMYFUNCTION("""COMPUTED_VALUE"""),"ITBISA-ABC-BATERAI-D-POWER")</f>
        <v>ITBISA-ABC-BATERAI-D-POWER</v>
      </c>
      <c r="B2559" s="266">
        <f>IFERROR(__xludf.DUMMYFUNCTION("""COMPUTED_VALUE"""),45457.0)</f>
        <v>45457</v>
      </c>
      <c r="C2559" s="266" t="str">
        <f>IFERROR(__xludf.DUMMYFUNCTION("""COMPUTED_VALUE"""),"KYAI KONTONG")</f>
        <v>KYAI KONTONG</v>
      </c>
      <c r="D2559" s="186">
        <f>IFERROR(__xludf.DUMMYFUNCTION("""COMPUTED_VALUE"""),2.0)</f>
        <v>2</v>
      </c>
    </row>
    <row r="2560">
      <c r="A2560" s="178" t="str">
        <f>IFERROR(__xludf.DUMMYFUNCTION("""COMPUTED_VALUE"""),"ITBISA-ABC-BATERAI-D-POWER")</f>
        <v>ITBISA-ABC-BATERAI-D-POWER</v>
      </c>
      <c r="B2560" s="266">
        <f>IFERROR(__xludf.DUMMYFUNCTION("""COMPUTED_VALUE"""),45459.0)</f>
        <v>45459</v>
      </c>
      <c r="C2560" s="266" t="str">
        <f>IFERROR(__xludf.DUMMYFUNCTION("""COMPUTED_VALUE"""),"KERTASARI CIAMIS")</f>
        <v>KERTASARI CIAMIS</v>
      </c>
      <c r="D2560" s="186">
        <f>IFERROR(__xludf.DUMMYFUNCTION("""COMPUTED_VALUE"""),0.0)</f>
        <v>0</v>
      </c>
    </row>
    <row r="2561">
      <c r="A2561" s="178" t="str">
        <f>IFERROR(__xludf.DUMMYFUNCTION("""COMPUTED_VALUE"""),"ITBISA-ABC-BATERAI-D-POWER")</f>
        <v>ITBISA-ABC-BATERAI-D-POWER</v>
      </c>
      <c r="B2561" s="266">
        <f>IFERROR(__xludf.DUMMYFUNCTION("""COMPUTED_VALUE"""),45460.0)</f>
        <v>45460</v>
      </c>
      <c r="C2561" s="266" t="str">
        <f>IFERROR(__xludf.DUMMYFUNCTION("""COMPUTED_VALUE"""),"KYAI KONTONG")</f>
        <v>KYAI KONTONG</v>
      </c>
      <c r="D2561" s="186">
        <f>IFERROR(__xludf.DUMMYFUNCTION("""COMPUTED_VALUE"""),2.0)</f>
        <v>2</v>
      </c>
    </row>
    <row r="2562">
      <c r="A2562" s="178" t="str">
        <f>IFERROR(__xludf.DUMMYFUNCTION("""COMPUTED_VALUE"""),"ITBISA-ABC-BATERAI-D-POWER")</f>
        <v>ITBISA-ABC-BATERAI-D-POWER</v>
      </c>
      <c r="B2562" s="266">
        <f>IFERROR(__xludf.DUMMYFUNCTION("""COMPUTED_VALUE"""),45460.0)</f>
        <v>45460</v>
      </c>
      <c r="C2562" s="266" t="str">
        <f>IFERROR(__xludf.DUMMYFUNCTION("""COMPUTED_VALUE"""),"KYAI KONTONG")</f>
        <v>KYAI KONTONG</v>
      </c>
      <c r="D2562" s="186">
        <f>IFERROR(__xludf.DUMMYFUNCTION("""COMPUTED_VALUE"""),10.0)</f>
        <v>10</v>
      </c>
    </row>
    <row r="2563">
      <c r="A2563" s="178" t="str">
        <f>IFERROR(__xludf.DUMMYFUNCTION("""COMPUTED_VALUE"""),"ITBISA-ABC-BATERAI-D-POWER")</f>
        <v>ITBISA-ABC-BATERAI-D-POWER</v>
      </c>
      <c r="B2563" s="266">
        <f>IFERROR(__xludf.DUMMYFUNCTION("""COMPUTED_VALUE"""),45466.0)</f>
        <v>45466</v>
      </c>
      <c r="C2563" s="266" t="str">
        <f>IFERROR(__xludf.DUMMYFUNCTION("""COMPUTED_VALUE"""),"KERTASARI CIAMIS")</f>
        <v>KERTASARI CIAMIS</v>
      </c>
      <c r="D2563" s="186">
        <f>IFERROR(__xludf.DUMMYFUNCTION("""COMPUTED_VALUE"""),8.0)</f>
        <v>8</v>
      </c>
    </row>
    <row r="2564">
      <c r="A2564" s="178" t="str">
        <f>IFERROR(__xludf.DUMMYFUNCTION("""COMPUTED_VALUE"""),"ITBISA-ABC-BATERAI-D-POWER")</f>
        <v>ITBISA-ABC-BATERAI-D-POWER</v>
      </c>
      <c r="B2564" s="266">
        <f>IFERROR(__xludf.DUMMYFUNCTION("""COMPUTED_VALUE"""),45469.0)</f>
        <v>45469</v>
      </c>
      <c r="C2564" s="266" t="str">
        <f>IFERROR(__xludf.DUMMYFUNCTION("""COMPUTED_VALUE"""),"KERTASARI CIAMIS")</f>
        <v>KERTASARI CIAMIS</v>
      </c>
      <c r="D2564" s="186">
        <f>IFERROR(__xludf.DUMMYFUNCTION("""COMPUTED_VALUE"""),1.0)</f>
        <v>1</v>
      </c>
    </row>
    <row r="2565">
      <c r="A2565" s="178" t="str">
        <f>IFERROR(__xludf.DUMMYFUNCTION("""COMPUTED_VALUE"""),"ITBISA-ABC-BATERAI-D-POWER")</f>
        <v>ITBISA-ABC-BATERAI-D-POWER</v>
      </c>
      <c r="B2565" s="266">
        <f>IFERROR(__xludf.DUMMYFUNCTION("""COMPUTED_VALUE"""),45469.0)</f>
        <v>45469</v>
      </c>
      <c r="C2565" s="266" t="str">
        <f>IFERROR(__xludf.DUMMYFUNCTION("""COMPUTED_VALUE"""),"KYAI KONTONG")</f>
        <v>KYAI KONTONG</v>
      </c>
      <c r="D2565" s="186">
        <f>IFERROR(__xludf.DUMMYFUNCTION("""COMPUTED_VALUE"""),6.0)</f>
        <v>6</v>
      </c>
    </row>
    <row r="2566">
      <c r="A2566" s="178" t="str">
        <f>IFERROR(__xludf.DUMMYFUNCTION("""COMPUTED_VALUE"""),"ITBISA-ABC-BATERAI-D-POWER")</f>
        <v>ITBISA-ABC-BATERAI-D-POWER</v>
      </c>
      <c r="B2566" s="266">
        <f>IFERROR(__xludf.DUMMYFUNCTION("""COMPUTED_VALUE"""),45470.0)</f>
        <v>45470</v>
      </c>
      <c r="C2566" s="266" t="str">
        <f>IFERROR(__xludf.DUMMYFUNCTION("""COMPUTED_VALUE"""),"KERTASARI CIAMIS")</f>
        <v>KERTASARI CIAMIS</v>
      </c>
      <c r="D2566" s="186">
        <f>IFERROR(__xludf.DUMMYFUNCTION("""COMPUTED_VALUE"""),1.0)</f>
        <v>1</v>
      </c>
    </row>
    <row r="2567">
      <c r="A2567" s="178" t="str">
        <f>IFERROR(__xludf.DUMMYFUNCTION("""COMPUTED_VALUE"""),"ITBISA-ABC-BATERAI-D-POWER")</f>
        <v>ITBISA-ABC-BATERAI-D-POWER</v>
      </c>
      <c r="B2567" s="266">
        <f>IFERROR(__xludf.DUMMYFUNCTION("""COMPUTED_VALUE"""),45474.0)</f>
        <v>45474</v>
      </c>
      <c r="C2567" s="266" t="str">
        <f>IFERROR(__xludf.DUMMYFUNCTION("""COMPUTED_VALUE"""),"KYAI KONTONG")</f>
        <v>KYAI KONTONG</v>
      </c>
      <c r="D2567" s="186">
        <f>IFERROR(__xludf.DUMMYFUNCTION("""COMPUTED_VALUE"""),1.0)</f>
        <v>1</v>
      </c>
    </row>
    <row r="2568">
      <c r="A2568" s="178" t="str">
        <f>IFERROR(__xludf.DUMMYFUNCTION("""COMPUTED_VALUE"""),"ITBISA-ABC-BATERAI-D-POWER")</f>
        <v>ITBISA-ABC-BATERAI-D-POWER</v>
      </c>
      <c r="B2568" s="266">
        <f>IFERROR(__xludf.DUMMYFUNCTION("""COMPUTED_VALUE"""),45474.0)</f>
        <v>45474</v>
      </c>
      <c r="C2568" s="266" t="str">
        <f>IFERROR(__xludf.DUMMYFUNCTION("""COMPUTED_VALUE"""),"KYAI KONTONG")</f>
        <v>KYAI KONTONG</v>
      </c>
      <c r="D2568" s="186">
        <f>IFERROR(__xludf.DUMMYFUNCTION("""COMPUTED_VALUE"""),6.0)</f>
        <v>6</v>
      </c>
    </row>
    <row r="2569">
      <c r="A2569" s="178" t="str">
        <f>IFERROR(__xludf.DUMMYFUNCTION("""COMPUTED_VALUE"""),"ITBISA-ABC-BATERAI-D-POWER")</f>
        <v>ITBISA-ABC-BATERAI-D-POWER</v>
      </c>
      <c r="B2569" s="266">
        <f>IFERROR(__xludf.DUMMYFUNCTION("""COMPUTED_VALUE"""),45477.0)</f>
        <v>45477</v>
      </c>
      <c r="C2569" s="266" t="str">
        <f>IFERROR(__xludf.DUMMYFUNCTION("""COMPUTED_VALUE"""),"KYAI KONTONG")</f>
        <v>KYAI KONTONG</v>
      </c>
      <c r="D2569" s="186">
        <f>IFERROR(__xludf.DUMMYFUNCTION("""COMPUTED_VALUE"""),2.0)</f>
        <v>2</v>
      </c>
    </row>
    <row r="2570">
      <c r="A2570" s="178" t="str">
        <f>IFERROR(__xludf.DUMMYFUNCTION("""COMPUTED_VALUE"""),"ITBISA-ABC-BATERAI-D-POWER")</f>
        <v>ITBISA-ABC-BATERAI-D-POWER</v>
      </c>
      <c r="B2570" s="266">
        <f>IFERROR(__xludf.DUMMYFUNCTION("""COMPUTED_VALUE"""),45478.0)</f>
        <v>45478</v>
      </c>
      <c r="C2570" s="266" t="str">
        <f>IFERROR(__xludf.DUMMYFUNCTION("""COMPUTED_VALUE"""),"KYAI KONTONG")</f>
        <v>KYAI KONTONG</v>
      </c>
      <c r="D2570" s="186">
        <f>IFERROR(__xludf.DUMMYFUNCTION("""COMPUTED_VALUE"""),80.0)</f>
        <v>80</v>
      </c>
    </row>
    <row r="2571">
      <c r="A2571" s="178" t="str">
        <f>IFERROR(__xludf.DUMMYFUNCTION("""COMPUTED_VALUE"""),"ITBISA-ABC-BATERAI-D-POWER")</f>
        <v>ITBISA-ABC-BATERAI-D-POWER</v>
      </c>
      <c r="B2571" s="266">
        <f>IFERROR(__xludf.DUMMYFUNCTION("""COMPUTED_VALUE"""),45480.0)</f>
        <v>45480</v>
      </c>
      <c r="C2571" s="266" t="str">
        <f>IFERROR(__xludf.DUMMYFUNCTION("""COMPUTED_VALUE"""),"KERTASARI CIAMIS")</f>
        <v>KERTASARI CIAMIS</v>
      </c>
      <c r="D2571" s="186">
        <f>IFERROR(__xludf.DUMMYFUNCTION("""COMPUTED_VALUE"""),1.0)</f>
        <v>1</v>
      </c>
    </row>
    <row r="2572">
      <c r="A2572" s="178" t="str">
        <f>IFERROR(__xludf.DUMMYFUNCTION("""COMPUTED_VALUE"""),"ITBISA-ABC-BATERAI-D-POWER")</f>
        <v>ITBISA-ABC-BATERAI-D-POWER</v>
      </c>
      <c r="B2572" s="266">
        <f>IFERROR(__xludf.DUMMYFUNCTION("""COMPUTED_VALUE"""),45480.0)</f>
        <v>45480</v>
      </c>
      <c r="C2572" s="266" t="str">
        <f>IFERROR(__xludf.DUMMYFUNCTION("""COMPUTED_VALUE"""),"KERTASARI CIAMIS")</f>
        <v>KERTASARI CIAMIS</v>
      </c>
      <c r="D2572" s="186">
        <f>IFERROR(__xludf.DUMMYFUNCTION("""COMPUTED_VALUE"""),4.0)</f>
        <v>4</v>
      </c>
    </row>
    <row r="2573">
      <c r="A2573" s="178" t="str">
        <f>IFERROR(__xludf.DUMMYFUNCTION("""COMPUTED_VALUE"""),"ITBISA-ABC-BATERAI-D-POWER")</f>
        <v>ITBISA-ABC-BATERAI-D-POWER</v>
      </c>
      <c r="B2573" s="266">
        <f>IFERROR(__xludf.DUMMYFUNCTION("""COMPUTED_VALUE"""),45480.0)</f>
        <v>45480</v>
      </c>
      <c r="C2573" s="266" t="str">
        <f>IFERROR(__xludf.DUMMYFUNCTION("""COMPUTED_VALUE"""),"KYAI KONTONG")</f>
        <v>KYAI KONTONG</v>
      </c>
      <c r="D2573" s="186">
        <f>IFERROR(__xludf.DUMMYFUNCTION("""COMPUTED_VALUE"""),2.0)</f>
        <v>2</v>
      </c>
    </row>
    <row r="2574">
      <c r="A2574" s="178" t="str">
        <f>IFERROR(__xludf.DUMMYFUNCTION("""COMPUTED_VALUE"""),"ITBISA-ABC-BATERAI-D-POWER")</f>
        <v>ITBISA-ABC-BATERAI-D-POWER</v>
      </c>
      <c r="B2574" s="266">
        <f>IFERROR(__xludf.DUMMYFUNCTION("""COMPUTED_VALUE"""),45481.0)</f>
        <v>45481</v>
      </c>
      <c r="C2574" s="266" t="str">
        <f>IFERROR(__xludf.DUMMYFUNCTION("""COMPUTED_VALUE"""),"KYAI KONTONG")</f>
        <v>KYAI KONTONG</v>
      </c>
      <c r="D2574" s="186">
        <f>IFERROR(__xludf.DUMMYFUNCTION("""COMPUTED_VALUE"""),1.0)</f>
        <v>1</v>
      </c>
    </row>
    <row r="2575">
      <c r="A2575" s="178" t="str">
        <f>IFERROR(__xludf.DUMMYFUNCTION("""COMPUTED_VALUE"""),"ITBISA-ABC-BATERAI-D-POWER")</f>
        <v>ITBISA-ABC-BATERAI-D-POWER</v>
      </c>
      <c r="B2575" s="266">
        <f>IFERROR(__xludf.DUMMYFUNCTION("""COMPUTED_VALUE"""),45482.0)</f>
        <v>45482</v>
      </c>
      <c r="C2575" s="266" t="str">
        <f>IFERROR(__xludf.DUMMYFUNCTION("""COMPUTED_VALUE"""),"KERTASARI CIAMIS")</f>
        <v>KERTASARI CIAMIS</v>
      </c>
      <c r="D2575" s="186">
        <f>IFERROR(__xludf.DUMMYFUNCTION("""COMPUTED_VALUE"""),4.0)</f>
        <v>4</v>
      </c>
    </row>
    <row r="2576">
      <c r="A2576" s="178" t="str">
        <f>IFERROR(__xludf.DUMMYFUNCTION("""COMPUTED_VALUE"""),"ITBISA-ABC-BATERAI-D-POWER")</f>
        <v>ITBISA-ABC-BATERAI-D-POWER</v>
      </c>
      <c r="B2576" s="266">
        <f>IFERROR(__xludf.DUMMYFUNCTION("""COMPUTED_VALUE"""),45482.0)</f>
        <v>45482</v>
      </c>
      <c r="C2576" s="266" t="str">
        <f>IFERROR(__xludf.DUMMYFUNCTION("""COMPUTED_VALUE"""),"KYAI KONTONG")</f>
        <v>KYAI KONTONG</v>
      </c>
      <c r="D2576" s="186">
        <f>IFERROR(__xludf.DUMMYFUNCTION("""COMPUTED_VALUE"""),4.0)</f>
        <v>4</v>
      </c>
    </row>
    <row r="2577">
      <c r="A2577" s="178" t="str">
        <f>IFERROR(__xludf.DUMMYFUNCTION("""COMPUTED_VALUE"""),"ITBISA-ABC-BATERAI-D-POWER")</f>
        <v>ITBISA-ABC-BATERAI-D-POWER</v>
      </c>
      <c r="B2577" s="266">
        <f>IFERROR(__xludf.DUMMYFUNCTION("""COMPUTED_VALUE"""),45484.0)</f>
        <v>45484</v>
      </c>
      <c r="C2577" s="266" t="str">
        <f>IFERROR(__xludf.DUMMYFUNCTION("""COMPUTED_VALUE"""),"KYAI KONTONG")</f>
        <v>KYAI KONTONG</v>
      </c>
      <c r="D2577" s="186">
        <f>IFERROR(__xludf.DUMMYFUNCTION("""COMPUTED_VALUE"""),4.0)</f>
        <v>4</v>
      </c>
    </row>
    <row r="2578">
      <c r="A2578" s="178" t="str">
        <f>IFERROR(__xludf.DUMMYFUNCTION("""COMPUTED_VALUE"""),"ITBISA-ABC-BATERAI-D-POWER")</f>
        <v>ITBISA-ABC-BATERAI-D-POWER</v>
      </c>
      <c r="B2578" s="266">
        <f>IFERROR(__xludf.DUMMYFUNCTION("""COMPUTED_VALUE"""),45486.0)</f>
        <v>45486</v>
      </c>
      <c r="C2578" s="266" t="str">
        <f>IFERROR(__xludf.DUMMYFUNCTION("""COMPUTED_VALUE"""),"KYAI KONTONG")</f>
        <v>KYAI KONTONG</v>
      </c>
      <c r="D2578" s="186">
        <f>IFERROR(__xludf.DUMMYFUNCTION("""COMPUTED_VALUE"""),4.0)</f>
        <v>4</v>
      </c>
    </row>
    <row r="2579">
      <c r="A2579" s="178" t="str">
        <f>IFERROR(__xludf.DUMMYFUNCTION("""COMPUTED_VALUE"""),"ITBISA-ABC-BATERAI-D-POWER")</f>
        <v>ITBISA-ABC-BATERAI-D-POWER</v>
      </c>
      <c r="B2579" s="266">
        <f>IFERROR(__xludf.DUMMYFUNCTION("""COMPUTED_VALUE"""),45494.0)</f>
        <v>45494</v>
      </c>
      <c r="C2579" s="266" t="str">
        <f>IFERROR(__xludf.DUMMYFUNCTION("""COMPUTED_VALUE"""),"KYAI KONTONG")</f>
        <v>KYAI KONTONG</v>
      </c>
      <c r="D2579" s="186">
        <f>IFERROR(__xludf.DUMMYFUNCTION("""COMPUTED_VALUE"""),2.0)</f>
        <v>2</v>
      </c>
    </row>
    <row r="2580">
      <c r="A2580" s="178" t="str">
        <f>IFERROR(__xludf.DUMMYFUNCTION("""COMPUTED_VALUE"""),"ITBISA-ABC-BATERAI-D-POWER")</f>
        <v>ITBISA-ABC-BATERAI-D-POWER</v>
      </c>
      <c r="B2580" s="266">
        <f>IFERROR(__xludf.DUMMYFUNCTION("""COMPUTED_VALUE"""),45496.0)</f>
        <v>45496</v>
      </c>
      <c r="C2580" s="266" t="str">
        <f>IFERROR(__xludf.DUMMYFUNCTION("""COMPUTED_VALUE"""),"KYAI KONTONG")</f>
        <v>KYAI KONTONG</v>
      </c>
      <c r="D2580" s="186">
        <f>IFERROR(__xludf.DUMMYFUNCTION("""COMPUTED_VALUE"""),24.0)</f>
        <v>24</v>
      </c>
    </row>
    <row r="2581">
      <c r="A2581" s="178" t="str">
        <f>IFERROR(__xludf.DUMMYFUNCTION("""COMPUTED_VALUE"""),"ITBISA-ABC-BATERAI-D-POWER")</f>
        <v>ITBISA-ABC-BATERAI-D-POWER</v>
      </c>
      <c r="B2581" s="266">
        <f>IFERROR(__xludf.DUMMYFUNCTION("""COMPUTED_VALUE"""),45497.0)</f>
        <v>45497</v>
      </c>
      <c r="C2581" s="266" t="str">
        <f>IFERROR(__xludf.DUMMYFUNCTION("""COMPUTED_VALUE"""),"KYAI KONTONG")</f>
        <v>KYAI KONTONG</v>
      </c>
      <c r="D2581" s="186">
        <f>IFERROR(__xludf.DUMMYFUNCTION("""COMPUTED_VALUE"""),8.0)</f>
        <v>8</v>
      </c>
    </row>
    <row r="2582">
      <c r="A2582" s="178" t="str">
        <f>IFERROR(__xludf.DUMMYFUNCTION("""COMPUTED_VALUE"""),"ITBISA-ABC-BATERAI-D-POWER")</f>
        <v>ITBISA-ABC-BATERAI-D-POWER</v>
      </c>
      <c r="B2582" s="266">
        <f>IFERROR(__xludf.DUMMYFUNCTION("""COMPUTED_VALUE"""),45841.0)</f>
        <v>45841</v>
      </c>
      <c r="C2582" s="266" t="str">
        <f>IFERROR(__xludf.DUMMYFUNCTION("""COMPUTED_VALUE"""),"KYAI KONTONG")</f>
        <v>KYAI KONTONG</v>
      </c>
      <c r="D2582" s="186">
        <f>IFERROR(__xludf.DUMMYFUNCTION("""COMPUTED_VALUE"""),1.0)</f>
        <v>1</v>
      </c>
    </row>
    <row r="2583">
      <c r="A2583" s="178" t="str">
        <f>IFERROR(__xludf.DUMMYFUNCTION("""COMPUTED_VALUE"""),"ITBISA-ABC-SENTER-LED-ALKALINE")</f>
        <v>ITBISA-ABC-SENTER-LED-ALKALINE</v>
      </c>
      <c r="B2583" s="266">
        <f>IFERROR(__xludf.DUMMYFUNCTION("""COMPUTED_VALUE"""),45252.0)</f>
        <v>45252</v>
      </c>
      <c r="C2583" s="266" t="str">
        <f>IFERROR(__xludf.DUMMYFUNCTION("""COMPUTED_VALUE"""),"KYAI KONTONG")</f>
        <v>KYAI KONTONG</v>
      </c>
      <c r="D2583" s="186">
        <f>IFERROR(__xludf.DUMMYFUNCTION("""COMPUTED_VALUE"""),1.0)</f>
        <v>1</v>
      </c>
    </row>
    <row r="2584">
      <c r="A2584" s="178" t="str">
        <f>IFERROR(__xludf.DUMMYFUNCTION("""COMPUTED_VALUE"""),"ITBISA-ABC-SENTER-LED-ALKALINE")</f>
        <v>ITBISA-ABC-SENTER-LED-ALKALINE</v>
      </c>
      <c r="B2584" s="266">
        <f>IFERROR(__xludf.DUMMYFUNCTION("""COMPUTED_VALUE"""),45355.0)</f>
        <v>45355</v>
      </c>
      <c r="C2584" s="266" t="str">
        <f>IFERROR(__xludf.DUMMYFUNCTION("""COMPUTED_VALUE"""),"KYAI KONTONG")</f>
        <v>KYAI KONTONG</v>
      </c>
      <c r="D2584" s="186">
        <f>IFERROR(__xludf.DUMMYFUNCTION("""COMPUTED_VALUE"""),1.0)</f>
        <v>1</v>
      </c>
    </row>
    <row r="2585">
      <c r="A2585" s="178" t="str">
        <f>IFERROR(__xludf.DUMMYFUNCTION("""COMPUTED_VALUE"""),"ITBISA-ARDUINO-UNO-R3-328P-SMD")</f>
        <v>ITBISA-ARDUINO-UNO-R3-328P-SMD</v>
      </c>
      <c r="B2585" s="266">
        <f>IFERROR(__xludf.DUMMYFUNCTION("""COMPUTED_VALUE"""),43543.0)</f>
        <v>43543</v>
      </c>
      <c r="C2585" s="266" t="str">
        <f>IFERROR(__xludf.DUMMYFUNCTION("""COMPUTED_VALUE"""),"AVRG ITB")</f>
        <v>AVRG ITB</v>
      </c>
      <c r="D2585" s="186">
        <f>IFERROR(__xludf.DUMMYFUNCTION("""COMPUTED_VALUE"""),1.0)</f>
        <v>1</v>
      </c>
    </row>
    <row r="2586">
      <c r="A2586" s="178" t="str">
        <f>IFERROR(__xludf.DUMMYFUNCTION("""COMPUTED_VALUE"""),"ITBISA-ARDUINO-UNO-R3-328P-SMD")</f>
        <v>ITBISA-ARDUINO-UNO-R3-328P-SMD</v>
      </c>
      <c r="B2586" s="266">
        <f>IFERROR(__xludf.DUMMYFUNCTION("""COMPUTED_VALUE"""),43543.0)</f>
        <v>43543</v>
      </c>
      <c r="C2586" s="266" t="str">
        <f>IFERROR(__xludf.DUMMYFUNCTION("""COMPUTED_VALUE"""),"AVRG ITB")</f>
        <v>AVRG ITB</v>
      </c>
      <c r="D2586" s="186">
        <f>IFERROR(__xludf.DUMMYFUNCTION("""COMPUTED_VALUE"""),2.0)</f>
        <v>2</v>
      </c>
    </row>
    <row r="2587">
      <c r="A2587" s="178" t="str">
        <f>IFERROR(__xludf.DUMMYFUNCTION("""COMPUTED_VALUE"""),"ITBISA-ARDUINO-UNO-R3-328P-SMD")</f>
        <v>ITBISA-ARDUINO-UNO-R3-328P-SMD</v>
      </c>
      <c r="B2587" s="266">
        <f>IFERROR(__xludf.DUMMYFUNCTION("""COMPUTED_VALUE"""),43593.0)</f>
        <v>43593</v>
      </c>
      <c r="C2587" s="266" t="str">
        <f>IFERROR(__xludf.DUMMYFUNCTION("""COMPUTED_VALUE"""),"AVRG ITB")</f>
        <v>AVRG ITB</v>
      </c>
      <c r="D2587" s="186">
        <f>IFERROR(__xludf.DUMMYFUNCTION("""COMPUTED_VALUE"""),1.0)</f>
        <v>1</v>
      </c>
    </row>
    <row r="2588">
      <c r="A2588" s="178" t="str">
        <f>IFERROR(__xludf.DUMMYFUNCTION("""COMPUTED_VALUE"""),"ITBISA-ARDUINO-UNO-R3-328P-SMD")</f>
        <v>ITBISA-ARDUINO-UNO-R3-328P-SMD</v>
      </c>
      <c r="B2588" s="266">
        <f>IFERROR(__xludf.DUMMYFUNCTION("""COMPUTED_VALUE"""),43593.0)</f>
        <v>43593</v>
      </c>
      <c r="C2588" s="266" t="str">
        <f>IFERROR(__xludf.DUMMYFUNCTION("""COMPUTED_VALUE"""),"AVRG ITB")</f>
        <v>AVRG ITB</v>
      </c>
      <c r="D2588" s="186">
        <f>IFERROR(__xludf.DUMMYFUNCTION("""COMPUTED_VALUE"""),1.0)</f>
        <v>1</v>
      </c>
    </row>
    <row r="2589">
      <c r="A2589" s="178" t="str">
        <f>IFERROR(__xludf.DUMMYFUNCTION("""COMPUTED_VALUE"""),"ITBISA-ARDUINO-UNO-R3-328P-SMD")</f>
        <v>ITBISA-ARDUINO-UNO-R3-328P-SMD</v>
      </c>
      <c r="B2589" s="266">
        <f>IFERROR(__xludf.DUMMYFUNCTION("""COMPUTED_VALUE"""),43593.0)</f>
        <v>43593</v>
      </c>
      <c r="C2589" s="266" t="str">
        <f>IFERROR(__xludf.DUMMYFUNCTION("""COMPUTED_VALUE"""),"AVRG ITB")</f>
        <v>AVRG ITB</v>
      </c>
      <c r="D2589" s="186">
        <f>IFERROR(__xludf.DUMMYFUNCTION("""COMPUTED_VALUE"""),1.0)</f>
        <v>1</v>
      </c>
    </row>
    <row r="2590">
      <c r="A2590" s="178" t="str">
        <f>IFERROR(__xludf.DUMMYFUNCTION("""COMPUTED_VALUE"""),"ITBISA-ARDUINO-UNO-R3-328P-SMD")</f>
        <v>ITBISA-ARDUINO-UNO-R3-328P-SMD</v>
      </c>
      <c r="B2590" s="266">
        <f>IFERROR(__xludf.DUMMYFUNCTION("""COMPUTED_VALUE"""),43593.0)</f>
        <v>43593</v>
      </c>
      <c r="C2590" s="266" t="str">
        <f>IFERROR(__xludf.DUMMYFUNCTION("""COMPUTED_VALUE"""),"AVRG ITB")</f>
        <v>AVRG ITB</v>
      </c>
      <c r="D2590" s="186">
        <f>IFERROR(__xludf.DUMMYFUNCTION("""COMPUTED_VALUE"""),1.0)</f>
        <v>1</v>
      </c>
    </row>
    <row r="2591">
      <c r="A2591" s="178" t="str">
        <f>IFERROR(__xludf.DUMMYFUNCTION("""COMPUTED_VALUE"""),"ITBISA-ARDUINO-UNO-R3-328P-SMD")</f>
        <v>ITBISA-ARDUINO-UNO-R3-328P-SMD</v>
      </c>
      <c r="B2591" s="266">
        <f>IFERROR(__xludf.DUMMYFUNCTION("""COMPUTED_VALUE"""),43599.0)</f>
        <v>43599</v>
      </c>
      <c r="C2591" s="266" t="str">
        <f>IFERROR(__xludf.DUMMYFUNCTION("""COMPUTED_VALUE"""),"AVRG ITB")</f>
        <v>AVRG ITB</v>
      </c>
      <c r="D2591" s="186">
        <f>IFERROR(__xludf.DUMMYFUNCTION("""COMPUTED_VALUE"""),1.0)</f>
        <v>1</v>
      </c>
    </row>
    <row r="2592">
      <c r="A2592" s="178" t="str">
        <f>IFERROR(__xludf.DUMMYFUNCTION("""COMPUTED_VALUE"""),"ITBISA-ARDUINO-UNO-R3-328P-SMD")</f>
        <v>ITBISA-ARDUINO-UNO-R3-328P-SMD</v>
      </c>
      <c r="B2592" s="266">
        <f>IFERROR(__xludf.DUMMYFUNCTION("""COMPUTED_VALUE"""),43644.0)</f>
        <v>43644</v>
      </c>
      <c r="C2592" s="266" t="str">
        <f>IFERROR(__xludf.DUMMYFUNCTION("""COMPUTED_VALUE"""),"RUMAH MUZAKKI")</f>
        <v>RUMAH MUZAKKI</v>
      </c>
      <c r="D2592" s="186">
        <f>IFERROR(__xludf.DUMMYFUNCTION("""COMPUTED_VALUE"""),1.0)</f>
        <v>1</v>
      </c>
    </row>
    <row r="2593">
      <c r="A2593" s="178" t="str">
        <f>IFERROR(__xludf.DUMMYFUNCTION("""COMPUTED_VALUE"""),"ITBISA-ARDUINO-UNO-R3-328P-SMD")</f>
        <v>ITBISA-ARDUINO-UNO-R3-328P-SMD</v>
      </c>
      <c r="B2593" s="266">
        <f>IFERROR(__xludf.DUMMYFUNCTION("""COMPUTED_VALUE"""),43720.0)</f>
        <v>43720</v>
      </c>
      <c r="C2593" s="266" t="str">
        <f>IFERROR(__xludf.DUMMYFUNCTION("""COMPUTED_VALUE"""),"RUMAH MUZAKKI")</f>
        <v>RUMAH MUZAKKI</v>
      </c>
      <c r="D2593" s="186">
        <f>IFERROR(__xludf.DUMMYFUNCTION("""COMPUTED_VALUE"""),1.0)</f>
        <v>1</v>
      </c>
    </row>
    <row r="2594">
      <c r="A2594" s="178" t="str">
        <f>IFERROR(__xludf.DUMMYFUNCTION("""COMPUTED_VALUE"""),"ITBISA-ARDUINO-UNO-R3-328P-SMD")</f>
        <v>ITBISA-ARDUINO-UNO-R3-328P-SMD</v>
      </c>
      <c r="B2594" s="266">
        <f>IFERROR(__xludf.DUMMYFUNCTION("""COMPUTED_VALUE"""),43732.0)</f>
        <v>43732</v>
      </c>
      <c r="C2594" s="266" t="str">
        <f>IFERROR(__xludf.DUMMYFUNCTION("""COMPUTED_VALUE"""),"RUMAH MUZAKKI")</f>
        <v>RUMAH MUZAKKI</v>
      </c>
      <c r="D2594" s="186">
        <f>IFERROR(__xludf.DUMMYFUNCTION("""COMPUTED_VALUE"""),1.0)</f>
        <v>1</v>
      </c>
    </row>
    <row r="2595">
      <c r="A2595" s="178" t="str">
        <f>IFERROR(__xludf.DUMMYFUNCTION("""COMPUTED_VALUE"""),"ITBISA-ARDUINO-UNO-R3-328P-SMD")</f>
        <v>ITBISA-ARDUINO-UNO-R3-328P-SMD</v>
      </c>
      <c r="B2595" s="266">
        <f>IFERROR(__xludf.DUMMYFUNCTION("""COMPUTED_VALUE"""),43732.0)</f>
        <v>43732</v>
      </c>
      <c r="C2595" s="266" t="str">
        <f>IFERROR(__xludf.DUMMYFUNCTION("""COMPUTED_VALUE"""),"RUMAH MUZAKKI")</f>
        <v>RUMAH MUZAKKI</v>
      </c>
      <c r="D2595" s="186">
        <f>IFERROR(__xludf.DUMMYFUNCTION("""COMPUTED_VALUE"""),1.0)</f>
        <v>1</v>
      </c>
    </row>
    <row r="2596">
      <c r="A2596" s="178" t="str">
        <f>IFERROR(__xludf.DUMMYFUNCTION("""COMPUTED_VALUE"""),"ITBISA-ARDUINO-UNO-R3-328P-SMD")</f>
        <v>ITBISA-ARDUINO-UNO-R3-328P-SMD</v>
      </c>
      <c r="B2596" s="266">
        <f>IFERROR(__xludf.DUMMYFUNCTION("""COMPUTED_VALUE"""),43733.0)</f>
        <v>43733</v>
      </c>
      <c r="C2596" s="266" t="str">
        <f>IFERROR(__xludf.DUMMYFUNCTION("""COMPUTED_VALUE"""),"RUMAH MUZAKKI")</f>
        <v>RUMAH MUZAKKI</v>
      </c>
      <c r="D2596" s="186">
        <f>IFERROR(__xludf.DUMMYFUNCTION("""COMPUTED_VALUE"""),1.0)</f>
        <v>1</v>
      </c>
    </row>
    <row r="2597">
      <c r="A2597" s="178" t="str">
        <f>IFERROR(__xludf.DUMMYFUNCTION("""COMPUTED_VALUE"""),"ITBISA-ARDUINO-UNO-R3-328P-SMD")</f>
        <v>ITBISA-ARDUINO-UNO-R3-328P-SMD</v>
      </c>
      <c r="B2597" s="266">
        <f>IFERROR(__xludf.DUMMYFUNCTION("""COMPUTED_VALUE"""),43733.0)</f>
        <v>43733</v>
      </c>
      <c r="C2597" s="266" t="str">
        <f>IFERROR(__xludf.DUMMYFUNCTION("""COMPUTED_VALUE"""),"RUMAH MUZAKKI")</f>
        <v>RUMAH MUZAKKI</v>
      </c>
      <c r="D2597" s="186">
        <f>IFERROR(__xludf.DUMMYFUNCTION("""COMPUTED_VALUE"""),1.0)</f>
        <v>1</v>
      </c>
    </row>
    <row r="2598">
      <c r="A2598" s="178" t="str">
        <f>IFERROR(__xludf.DUMMYFUNCTION("""COMPUTED_VALUE"""),"ITBISA-ARDUINO-UNO-R3-328P-SMD")</f>
        <v>ITBISA-ARDUINO-UNO-R3-328P-SMD</v>
      </c>
      <c r="B2598" s="266">
        <f>IFERROR(__xludf.DUMMYFUNCTION("""COMPUTED_VALUE"""),43978.0)</f>
        <v>43978</v>
      </c>
      <c r="C2598" s="266" t="str">
        <f>IFERROR(__xludf.DUMMYFUNCTION("""COMPUTED_VALUE"""),"KAETOBO RESIDENCE")</f>
        <v>KAETOBO RESIDENCE</v>
      </c>
      <c r="D2598" s="186">
        <f>IFERROR(__xludf.DUMMYFUNCTION("""COMPUTED_VALUE"""),8.0)</f>
        <v>8</v>
      </c>
    </row>
    <row r="2599">
      <c r="A2599" s="178" t="str">
        <f>IFERROR(__xludf.DUMMYFUNCTION("""COMPUTED_VALUE"""),"ITBISA-ARDUINO-UNO-R3-328P-SMD")</f>
        <v>ITBISA-ARDUINO-UNO-R3-328P-SMD</v>
      </c>
      <c r="B2599" s="266">
        <f>IFERROR(__xludf.DUMMYFUNCTION("""COMPUTED_VALUE"""),45160.0)</f>
        <v>45160</v>
      </c>
      <c r="C2599" s="266" t="str">
        <f>IFERROR(__xludf.DUMMYFUNCTION("""COMPUTED_VALUE"""),"KYAI KONTONG")</f>
        <v>KYAI KONTONG</v>
      </c>
      <c r="D2599" s="186">
        <f>IFERROR(__xludf.DUMMYFUNCTION("""COMPUTED_VALUE"""),1.0)</f>
        <v>1</v>
      </c>
    </row>
    <row r="2600">
      <c r="A2600" s="178" t="str">
        <f>IFERROR(__xludf.DUMMYFUNCTION("""COMPUTED_VALUE"""),"ITBISA-ARDUINO-UNO-R3-328P-SMD")</f>
        <v>ITBISA-ARDUINO-UNO-R3-328P-SMD</v>
      </c>
      <c r="B2600" s="266">
        <f>IFERROR(__xludf.DUMMYFUNCTION("""COMPUTED_VALUE"""),45166.0)</f>
        <v>45166</v>
      </c>
      <c r="C2600" s="266" t="str">
        <f>IFERROR(__xludf.DUMMYFUNCTION("""COMPUTED_VALUE"""),"KYAI KONTONG")</f>
        <v>KYAI KONTONG</v>
      </c>
      <c r="D2600" s="186">
        <f>IFERROR(__xludf.DUMMYFUNCTION("""COMPUTED_VALUE"""),20.0)</f>
        <v>20</v>
      </c>
    </row>
    <row r="2601">
      <c r="A2601" s="178" t="str">
        <f>IFERROR(__xludf.DUMMYFUNCTION("""COMPUTED_VALUE"""),"ITBISA-ARDUINO-UNO-R3-328P-SMD")</f>
        <v>ITBISA-ARDUINO-UNO-R3-328P-SMD</v>
      </c>
      <c r="B2601" s="266">
        <f>IFERROR(__xludf.DUMMYFUNCTION("""COMPUTED_VALUE"""),45169.0)</f>
        <v>45169</v>
      </c>
      <c r="C2601" s="266" t="str">
        <f>IFERROR(__xludf.DUMMYFUNCTION("""COMPUTED_VALUE"""),"KYAI KONTONG")</f>
        <v>KYAI KONTONG</v>
      </c>
      <c r="D2601" s="186">
        <f>IFERROR(__xludf.DUMMYFUNCTION("""COMPUTED_VALUE"""),40.0)</f>
        <v>40</v>
      </c>
    </row>
    <row r="2602">
      <c r="A2602" s="178" t="str">
        <f>IFERROR(__xludf.DUMMYFUNCTION("""COMPUTED_VALUE"""),"ITBISA-ARDUINO-UNO-R3-328P-SMD")</f>
        <v>ITBISA-ARDUINO-UNO-R3-328P-SMD</v>
      </c>
      <c r="B2602" s="266">
        <f>IFERROR(__xludf.DUMMYFUNCTION("""COMPUTED_VALUE"""),45175.0)</f>
        <v>45175</v>
      </c>
      <c r="C2602" s="266" t="str">
        <f>IFERROR(__xludf.DUMMYFUNCTION("""COMPUTED_VALUE"""),"KYAI KONTONG")</f>
        <v>KYAI KONTONG</v>
      </c>
      <c r="D2602" s="186">
        <f>IFERROR(__xludf.DUMMYFUNCTION("""COMPUTED_VALUE"""),1.0)</f>
        <v>1</v>
      </c>
    </row>
    <row r="2603">
      <c r="A2603" s="178" t="str">
        <f>IFERROR(__xludf.DUMMYFUNCTION("""COMPUTED_VALUE"""),"ITBISA-ARDUINO-UNO-R3-328P-SMD")</f>
        <v>ITBISA-ARDUINO-UNO-R3-328P-SMD</v>
      </c>
      <c r="B2603" s="266">
        <f>IFERROR(__xludf.DUMMYFUNCTION("""COMPUTED_VALUE"""),45176.0)</f>
        <v>45176</v>
      </c>
      <c r="C2603" s="266" t="str">
        <f>IFERROR(__xludf.DUMMYFUNCTION("""COMPUTED_VALUE"""),"KYAI KONTONG")</f>
        <v>KYAI KONTONG</v>
      </c>
      <c r="D2603" s="186">
        <f>IFERROR(__xludf.DUMMYFUNCTION("""COMPUTED_VALUE"""),10.0)</f>
        <v>10</v>
      </c>
    </row>
    <row r="2604">
      <c r="A2604" s="178" t="str">
        <f>IFERROR(__xludf.DUMMYFUNCTION("""COMPUTED_VALUE"""),"ITBISA-ARDUINO-UNO-R3-328P-SMD")</f>
        <v>ITBISA-ARDUINO-UNO-R3-328P-SMD</v>
      </c>
      <c r="B2604" s="266">
        <f>IFERROR(__xludf.DUMMYFUNCTION("""COMPUTED_VALUE"""),45177.0)</f>
        <v>45177</v>
      </c>
      <c r="C2604" s="266" t="str">
        <f>IFERROR(__xludf.DUMMYFUNCTION("""COMPUTED_VALUE"""),"KYAI KONTONG")</f>
        <v>KYAI KONTONG</v>
      </c>
      <c r="D2604" s="186">
        <f>IFERROR(__xludf.DUMMYFUNCTION("""COMPUTED_VALUE"""),20.0)</f>
        <v>20</v>
      </c>
    </row>
    <row r="2605">
      <c r="A2605" s="178" t="str">
        <f>IFERROR(__xludf.DUMMYFUNCTION("""COMPUTED_VALUE"""),"ITBISA-ARDUINO-UNO-R3-328P-SMD")</f>
        <v>ITBISA-ARDUINO-UNO-R3-328P-SMD</v>
      </c>
      <c r="B2605" s="266">
        <f>IFERROR(__xludf.DUMMYFUNCTION("""COMPUTED_VALUE"""),45182.0)</f>
        <v>45182</v>
      </c>
      <c r="C2605" s="266" t="str">
        <f>IFERROR(__xludf.DUMMYFUNCTION("""COMPUTED_VALUE"""),"KYAI KONTONG")</f>
        <v>KYAI KONTONG</v>
      </c>
      <c r="D2605" s="186">
        <f>IFERROR(__xludf.DUMMYFUNCTION("""COMPUTED_VALUE"""),1.0)</f>
        <v>1</v>
      </c>
    </row>
    <row r="2606">
      <c r="A2606" s="178" t="str">
        <f>IFERROR(__xludf.DUMMYFUNCTION("""COMPUTED_VALUE"""),"ITBISA-ARDUINO-UNO-R3-328P-SMD")</f>
        <v>ITBISA-ARDUINO-UNO-R3-328P-SMD</v>
      </c>
      <c r="B2606" s="266">
        <f>IFERROR(__xludf.DUMMYFUNCTION("""COMPUTED_VALUE"""),45188.0)</f>
        <v>45188</v>
      </c>
      <c r="C2606" s="266" t="str">
        <f>IFERROR(__xludf.DUMMYFUNCTION("""COMPUTED_VALUE"""),"KYAI KONTONG")</f>
        <v>KYAI KONTONG</v>
      </c>
      <c r="D2606" s="186">
        <f>IFERROR(__xludf.DUMMYFUNCTION("""COMPUTED_VALUE"""),20.0)</f>
        <v>20</v>
      </c>
    </row>
    <row r="2607">
      <c r="A2607" s="178" t="str">
        <f>IFERROR(__xludf.DUMMYFUNCTION("""COMPUTED_VALUE"""),"ITBISA-ARDUINO-UNO-R3-328P-SMD")</f>
        <v>ITBISA-ARDUINO-UNO-R3-328P-SMD</v>
      </c>
      <c r="B2607" s="266">
        <f>IFERROR(__xludf.DUMMYFUNCTION("""COMPUTED_VALUE"""),45194.0)</f>
        <v>45194</v>
      </c>
      <c r="C2607" s="266" t="str">
        <f>IFERROR(__xludf.DUMMYFUNCTION("""COMPUTED_VALUE"""),"KYAI KONTONG")</f>
        <v>KYAI KONTONG</v>
      </c>
      <c r="D2607" s="186">
        <f>IFERROR(__xludf.DUMMYFUNCTION("""COMPUTED_VALUE"""),16.0)</f>
        <v>16</v>
      </c>
    </row>
    <row r="2608">
      <c r="A2608" s="178" t="str">
        <f>IFERROR(__xludf.DUMMYFUNCTION("""COMPUTED_VALUE"""),"ITBISA-ARDUINO-UNO-R3-328P-SMD")</f>
        <v>ITBISA-ARDUINO-UNO-R3-328P-SMD</v>
      </c>
      <c r="B2608" s="266">
        <f>IFERROR(__xludf.DUMMYFUNCTION("""COMPUTED_VALUE"""),45198.0)</f>
        <v>45198</v>
      </c>
      <c r="C2608" s="266" t="str">
        <f>IFERROR(__xludf.DUMMYFUNCTION("""COMPUTED_VALUE"""),"KYAI KONTONG")</f>
        <v>KYAI KONTONG</v>
      </c>
      <c r="D2608" s="186">
        <f>IFERROR(__xludf.DUMMYFUNCTION("""COMPUTED_VALUE"""),2.0)</f>
        <v>2</v>
      </c>
    </row>
    <row r="2609">
      <c r="A2609" s="178" t="str">
        <f>IFERROR(__xludf.DUMMYFUNCTION("""COMPUTED_VALUE"""),"ITBISA-ARDUINO-UNO-R3-328P-SMD")</f>
        <v>ITBISA-ARDUINO-UNO-R3-328P-SMD</v>
      </c>
      <c r="B2609" s="266">
        <f>IFERROR(__xludf.DUMMYFUNCTION("""COMPUTED_VALUE"""),45200.0)</f>
        <v>45200</v>
      </c>
      <c r="C2609" s="266" t="str">
        <f>IFERROR(__xludf.DUMMYFUNCTION("""COMPUTED_VALUE"""),"KYAI KONTONG")</f>
        <v>KYAI KONTONG</v>
      </c>
      <c r="D2609" s="186">
        <f>IFERROR(__xludf.DUMMYFUNCTION("""COMPUTED_VALUE"""),1.0)</f>
        <v>1</v>
      </c>
    </row>
    <row r="2610">
      <c r="A2610" s="178" t="str">
        <f>IFERROR(__xludf.DUMMYFUNCTION("""COMPUTED_VALUE"""),"ITBISA-ARDUINO-UNO-R3-328P-SMD")</f>
        <v>ITBISA-ARDUINO-UNO-R3-328P-SMD</v>
      </c>
      <c r="B2610" s="266">
        <f>IFERROR(__xludf.DUMMYFUNCTION("""COMPUTED_VALUE"""),45201.0)</f>
        <v>45201</v>
      </c>
      <c r="C2610" s="266" t="str">
        <f>IFERROR(__xludf.DUMMYFUNCTION("""COMPUTED_VALUE"""),"KYAI KONTONG")</f>
        <v>KYAI KONTONG</v>
      </c>
      <c r="D2610" s="186">
        <f>IFERROR(__xludf.DUMMYFUNCTION("""COMPUTED_VALUE"""),1.0)</f>
        <v>1</v>
      </c>
    </row>
    <row r="2611">
      <c r="A2611" s="178" t="str">
        <f>IFERROR(__xludf.DUMMYFUNCTION("""COMPUTED_VALUE"""),"ITBISA-ARDUINO-UNO-R3-328P-SMD")</f>
        <v>ITBISA-ARDUINO-UNO-R3-328P-SMD</v>
      </c>
      <c r="B2611" s="266">
        <f>IFERROR(__xludf.DUMMYFUNCTION("""COMPUTED_VALUE"""),45205.0)</f>
        <v>45205</v>
      </c>
      <c r="C2611" s="266" t="str">
        <f>IFERROR(__xludf.DUMMYFUNCTION("""COMPUTED_VALUE"""),"KYAI KONTONG")</f>
        <v>KYAI KONTONG</v>
      </c>
      <c r="D2611" s="186">
        <f>IFERROR(__xludf.DUMMYFUNCTION("""COMPUTED_VALUE"""),3.0)</f>
        <v>3</v>
      </c>
    </row>
    <row r="2612">
      <c r="A2612" s="178" t="str">
        <f>IFERROR(__xludf.DUMMYFUNCTION("""COMPUTED_VALUE"""),"ITBISA-ARDUINO-UNO-R3-328P-SMD")</f>
        <v>ITBISA-ARDUINO-UNO-R3-328P-SMD</v>
      </c>
      <c r="B2612" s="266">
        <f>IFERROR(__xludf.DUMMYFUNCTION("""COMPUTED_VALUE"""),45216.0)</f>
        <v>45216</v>
      </c>
      <c r="C2612" s="266" t="str">
        <f>IFERROR(__xludf.DUMMYFUNCTION("""COMPUTED_VALUE"""),"KYAI KONTONG")</f>
        <v>KYAI KONTONG</v>
      </c>
      <c r="D2612" s="186">
        <f>IFERROR(__xludf.DUMMYFUNCTION("""COMPUTED_VALUE"""),1.0)</f>
        <v>1</v>
      </c>
    </row>
    <row r="2613">
      <c r="A2613" s="178" t="str">
        <f>IFERROR(__xludf.DUMMYFUNCTION("""COMPUTED_VALUE"""),"ITBISA-ARDUINO-UNO-R3-328P-SMD")</f>
        <v>ITBISA-ARDUINO-UNO-R3-328P-SMD</v>
      </c>
      <c r="B2613" s="266">
        <f>IFERROR(__xludf.DUMMYFUNCTION("""COMPUTED_VALUE"""),45247.0)</f>
        <v>45247</v>
      </c>
      <c r="C2613" s="266" t="str">
        <f>IFERROR(__xludf.DUMMYFUNCTION("""COMPUTED_VALUE"""),"KYAI KONTONG")</f>
        <v>KYAI KONTONG</v>
      </c>
      <c r="D2613" s="186">
        <f>IFERROR(__xludf.DUMMYFUNCTION("""COMPUTED_VALUE"""),1.0)</f>
        <v>1</v>
      </c>
    </row>
    <row r="2614">
      <c r="A2614" s="178" t="str">
        <f>IFERROR(__xludf.DUMMYFUNCTION("""COMPUTED_VALUE"""),"ITBISA-ARDUINO-UNO-R3-328P-SMD")</f>
        <v>ITBISA-ARDUINO-UNO-R3-328P-SMD</v>
      </c>
      <c r="B2614" s="266">
        <f>IFERROR(__xludf.DUMMYFUNCTION("""COMPUTED_VALUE"""),45255.0)</f>
        <v>45255</v>
      </c>
      <c r="C2614" s="266" t="str">
        <f>IFERROR(__xludf.DUMMYFUNCTION("""COMPUTED_VALUE"""),"KYAI KONTONG")</f>
        <v>KYAI KONTONG</v>
      </c>
      <c r="D2614" s="186">
        <f>IFERROR(__xludf.DUMMYFUNCTION("""COMPUTED_VALUE"""),1.0)</f>
        <v>1</v>
      </c>
    </row>
    <row r="2615">
      <c r="A2615" s="178" t="str">
        <f>IFERROR(__xludf.DUMMYFUNCTION("""COMPUTED_VALUE"""),"ITBISA-ARDUINO-UNO-R3-328P-SMD")</f>
        <v>ITBISA-ARDUINO-UNO-R3-328P-SMD</v>
      </c>
      <c r="B2615" s="266">
        <f>IFERROR(__xludf.DUMMYFUNCTION("""COMPUTED_VALUE"""),45255.0)</f>
        <v>45255</v>
      </c>
      <c r="C2615" s="266" t="str">
        <f>IFERROR(__xludf.DUMMYFUNCTION("""COMPUTED_VALUE"""),"KYAI KONTONG")</f>
        <v>KYAI KONTONG</v>
      </c>
      <c r="D2615" s="186">
        <f>IFERROR(__xludf.DUMMYFUNCTION("""COMPUTED_VALUE"""),25.0)</f>
        <v>25</v>
      </c>
    </row>
    <row r="2616">
      <c r="A2616" s="178" t="str">
        <f>IFERROR(__xludf.DUMMYFUNCTION("""COMPUTED_VALUE"""),"ITBISA-ARDUINO-UNO-R3-328P-SMD")</f>
        <v>ITBISA-ARDUINO-UNO-R3-328P-SMD</v>
      </c>
      <c r="B2616" s="266">
        <f>IFERROR(__xludf.DUMMYFUNCTION("""COMPUTED_VALUE"""),45264.0)</f>
        <v>45264</v>
      </c>
      <c r="C2616" s="266" t="str">
        <f>IFERROR(__xludf.DUMMYFUNCTION("""COMPUTED_VALUE"""),"KYAI KONTONG")</f>
        <v>KYAI KONTONG</v>
      </c>
      <c r="D2616" s="186">
        <f>IFERROR(__xludf.DUMMYFUNCTION("""COMPUTED_VALUE"""),1.0)</f>
        <v>1</v>
      </c>
    </row>
    <row r="2617">
      <c r="A2617" s="178" t="str">
        <f>IFERROR(__xludf.DUMMYFUNCTION("""COMPUTED_VALUE"""),"ITBISA-ARDUINO-UNO-R3-328P-SMD")</f>
        <v>ITBISA-ARDUINO-UNO-R3-328P-SMD</v>
      </c>
      <c r="B2617" s="266">
        <f>IFERROR(__xludf.DUMMYFUNCTION("""COMPUTED_VALUE"""),45265.0)</f>
        <v>45265</v>
      </c>
      <c r="C2617" s="266" t="str">
        <f>IFERROR(__xludf.DUMMYFUNCTION("""COMPUTED_VALUE"""),"KYAI KONTONG")</f>
        <v>KYAI KONTONG</v>
      </c>
      <c r="D2617" s="186">
        <f>IFERROR(__xludf.DUMMYFUNCTION("""COMPUTED_VALUE"""),2.0)</f>
        <v>2</v>
      </c>
    </row>
    <row r="2618">
      <c r="A2618" s="178" t="str">
        <f>IFERROR(__xludf.DUMMYFUNCTION("""COMPUTED_VALUE"""),"ITBISA-ARDUINO-UNO-R3-328P-SMD")</f>
        <v>ITBISA-ARDUINO-UNO-R3-328P-SMD</v>
      </c>
      <c r="B2618" s="266">
        <f>IFERROR(__xludf.DUMMYFUNCTION("""COMPUTED_VALUE"""),45272.0)</f>
        <v>45272</v>
      </c>
      <c r="C2618" s="266" t="str">
        <f>IFERROR(__xludf.DUMMYFUNCTION("""COMPUTED_VALUE"""),"KYAI KONTONG")</f>
        <v>KYAI KONTONG</v>
      </c>
      <c r="D2618" s="186">
        <f>IFERROR(__xludf.DUMMYFUNCTION("""COMPUTED_VALUE"""),1.0)</f>
        <v>1</v>
      </c>
    </row>
    <row r="2619">
      <c r="A2619" s="178" t="str">
        <f>IFERROR(__xludf.DUMMYFUNCTION("""COMPUTED_VALUE"""),"ITBISA-ARDUINO-UNO-R3-328P-SMD")</f>
        <v>ITBISA-ARDUINO-UNO-R3-328P-SMD</v>
      </c>
      <c r="B2619" s="266">
        <f>IFERROR(__xludf.DUMMYFUNCTION("""COMPUTED_VALUE"""),45272.0)</f>
        <v>45272</v>
      </c>
      <c r="C2619" s="266" t="str">
        <f>IFERROR(__xludf.DUMMYFUNCTION("""COMPUTED_VALUE"""),"KYAI KONTONG")</f>
        <v>KYAI KONTONG</v>
      </c>
      <c r="D2619" s="186">
        <f>IFERROR(__xludf.DUMMYFUNCTION("""COMPUTED_VALUE"""),50.0)</f>
        <v>50</v>
      </c>
    </row>
    <row r="2620">
      <c r="A2620" s="178" t="str">
        <f>IFERROR(__xludf.DUMMYFUNCTION("""COMPUTED_VALUE"""),"ITBISA-ARDUINO-UNO-R3-328P-SMD")</f>
        <v>ITBISA-ARDUINO-UNO-R3-328P-SMD</v>
      </c>
      <c r="B2620" s="266">
        <f>IFERROR(__xludf.DUMMYFUNCTION("""COMPUTED_VALUE"""),45276.0)</f>
        <v>45276</v>
      </c>
      <c r="C2620" s="266" t="str">
        <f>IFERROR(__xludf.DUMMYFUNCTION("""COMPUTED_VALUE"""),"KYAI KONTONG")</f>
        <v>KYAI KONTONG</v>
      </c>
      <c r="D2620" s="186">
        <f>IFERROR(__xludf.DUMMYFUNCTION("""COMPUTED_VALUE"""),1.0)</f>
        <v>1</v>
      </c>
    </row>
    <row r="2621">
      <c r="A2621" s="178" t="str">
        <f>IFERROR(__xludf.DUMMYFUNCTION("""COMPUTED_VALUE"""),"ITBISA-ARDUINO-UNO-R3-328P-SMD")</f>
        <v>ITBISA-ARDUINO-UNO-R3-328P-SMD</v>
      </c>
      <c r="B2621" s="266">
        <f>IFERROR(__xludf.DUMMYFUNCTION("""COMPUTED_VALUE"""),45280.0)</f>
        <v>45280</v>
      </c>
      <c r="C2621" s="266" t="str">
        <f>IFERROR(__xludf.DUMMYFUNCTION("""COMPUTED_VALUE"""),"KYAI KONTONG")</f>
        <v>KYAI KONTONG</v>
      </c>
      <c r="D2621" s="186">
        <f>IFERROR(__xludf.DUMMYFUNCTION("""COMPUTED_VALUE"""),1.0)</f>
        <v>1</v>
      </c>
    </row>
    <row r="2622">
      <c r="A2622" s="178" t="str">
        <f>IFERROR(__xludf.DUMMYFUNCTION("""COMPUTED_VALUE"""),"ITBISA-ARDUINO-UNO-R3-328P-SMD")</f>
        <v>ITBISA-ARDUINO-UNO-R3-328P-SMD</v>
      </c>
      <c r="B2622" s="266">
        <f>IFERROR(__xludf.DUMMYFUNCTION("""COMPUTED_VALUE"""),45289.0)</f>
        <v>45289</v>
      </c>
      <c r="C2622" s="266" t="str">
        <f>IFERROR(__xludf.DUMMYFUNCTION("""COMPUTED_VALUE"""),"KYAI KONTONG")</f>
        <v>KYAI KONTONG</v>
      </c>
      <c r="D2622" s="186">
        <f>IFERROR(__xludf.DUMMYFUNCTION("""COMPUTED_VALUE"""),25.0)</f>
        <v>25</v>
      </c>
    </row>
    <row r="2623">
      <c r="A2623" s="178" t="str">
        <f>IFERROR(__xludf.DUMMYFUNCTION("""COMPUTED_VALUE"""),"ITBISA-ARDUINO-UNO-R3-328P-SMD")</f>
        <v>ITBISA-ARDUINO-UNO-R3-328P-SMD</v>
      </c>
      <c r="B2623" s="266">
        <f>IFERROR(__xludf.DUMMYFUNCTION("""COMPUTED_VALUE"""),45292.0)</f>
        <v>45292</v>
      </c>
      <c r="C2623" s="266" t="str">
        <f>IFERROR(__xludf.DUMMYFUNCTION("""COMPUTED_VALUE"""),"KYAI KONTONG")</f>
        <v>KYAI KONTONG</v>
      </c>
      <c r="D2623" s="186">
        <f>IFERROR(__xludf.DUMMYFUNCTION("""COMPUTED_VALUE"""),4.0)</f>
        <v>4</v>
      </c>
    </row>
    <row r="2624">
      <c r="A2624" s="178" t="str">
        <f>IFERROR(__xludf.DUMMYFUNCTION("""COMPUTED_VALUE"""),"ITBISA-ARDUINO-UNO-R3-328P-SMD")</f>
        <v>ITBISA-ARDUINO-UNO-R3-328P-SMD</v>
      </c>
      <c r="B2624" s="266">
        <f>IFERROR(__xludf.DUMMYFUNCTION("""COMPUTED_VALUE"""),45294.0)</f>
        <v>45294</v>
      </c>
      <c r="C2624" s="266" t="str">
        <f>IFERROR(__xludf.DUMMYFUNCTION("""COMPUTED_VALUE"""),"KYAI KONTONG")</f>
        <v>KYAI KONTONG</v>
      </c>
      <c r="D2624" s="186">
        <f>IFERROR(__xludf.DUMMYFUNCTION("""COMPUTED_VALUE"""),50.0)</f>
        <v>50</v>
      </c>
    </row>
    <row r="2625">
      <c r="A2625" s="178" t="str">
        <f>IFERROR(__xludf.DUMMYFUNCTION("""COMPUTED_VALUE"""),"ITBISA-ARDUINO-UNO-R3-328P-SMD")</f>
        <v>ITBISA-ARDUINO-UNO-R3-328P-SMD</v>
      </c>
      <c r="B2625" s="266">
        <f>IFERROR(__xludf.DUMMYFUNCTION("""COMPUTED_VALUE"""),45301.0)</f>
        <v>45301</v>
      </c>
      <c r="C2625" s="266" t="str">
        <f>IFERROR(__xludf.DUMMYFUNCTION("""COMPUTED_VALUE"""),"KYAI KONTONG")</f>
        <v>KYAI KONTONG</v>
      </c>
      <c r="D2625" s="186">
        <f>IFERROR(__xludf.DUMMYFUNCTION("""COMPUTED_VALUE"""),1.0)</f>
        <v>1</v>
      </c>
    </row>
    <row r="2626">
      <c r="A2626" s="178" t="str">
        <f>IFERROR(__xludf.DUMMYFUNCTION("""COMPUTED_VALUE"""),"ITBISA-ARDUINO-UNO-R3-328P-SMD")</f>
        <v>ITBISA-ARDUINO-UNO-R3-328P-SMD</v>
      </c>
      <c r="B2626" s="266">
        <f>IFERROR(__xludf.DUMMYFUNCTION("""COMPUTED_VALUE"""),45306.0)</f>
        <v>45306</v>
      </c>
      <c r="C2626" s="266" t="str">
        <f>IFERROR(__xludf.DUMMYFUNCTION("""COMPUTED_VALUE"""),"KERTASARI CIAMIS")</f>
        <v>KERTASARI CIAMIS</v>
      </c>
      <c r="D2626" s="186">
        <f>IFERROR(__xludf.DUMMYFUNCTION("""COMPUTED_VALUE"""),2.0)</f>
        <v>2</v>
      </c>
    </row>
    <row r="2627">
      <c r="A2627" s="178" t="str">
        <f>IFERROR(__xludf.DUMMYFUNCTION("""COMPUTED_VALUE"""),"ITBISA-ARDUINO-UNO-R3-328P-SMD")</f>
        <v>ITBISA-ARDUINO-UNO-R3-328P-SMD</v>
      </c>
      <c r="B2627" s="266">
        <f>IFERROR(__xludf.DUMMYFUNCTION("""COMPUTED_VALUE"""),45306.0)</f>
        <v>45306</v>
      </c>
      <c r="C2627" s="266" t="str">
        <f>IFERROR(__xludf.DUMMYFUNCTION("""COMPUTED_VALUE"""),"KYAI KONTONG")</f>
        <v>KYAI KONTONG</v>
      </c>
      <c r="D2627" s="186">
        <f>IFERROR(__xludf.DUMMYFUNCTION("""COMPUTED_VALUE"""),2.0)</f>
        <v>2</v>
      </c>
    </row>
    <row r="2628">
      <c r="A2628" s="178" t="str">
        <f>IFERROR(__xludf.DUMMYFUNCTION("""COMPUTED_VALUE"""),"ITBISA-ARDUINO-UNO-R3-328P-SMD")</f>
        <v>ITBISA-ARDUINO-UNO-R3-328P-SMD</v>
      </c>
      <c r="B2628" s="266">
        <f>IFERROR(__xludf.DUMMYFUNCTION("""COMPUTED_VALUE"""),45308.0)</f>
        <v>45308</v>
      </c>
      <c r="C2628" s="266" t="str">
        <f>IFERROR(__xludf.DUMMYFUNCTION("""COMPUTED_VALUE"""),"KYAI KONTONG")</f>
        <v>KYAI KONTONG</v>
      </c>
      <c r="D2628" s="186">
        <f>IFERROR(__xludf.DUMMYFUNCTION("""COMPUTED_VALUE"""),1.0)</f>
        <v>1</v>
      </c>
    </row>
    <row r="2629">
      <c r="A2629" s="178" t="str">
        <f>IFERROR(__xludf.DUMMYFUNCTION("""COMPUTED_VALUE"""),"ITBISA-ARDUINO-UNO-R3-328P-SMD")</f>
        <v>ITBISA-ARDUINO-UNO-R3-328P-SMD</v>
      </c>
      <c r="B2629" s="266">
        <f>IFERROR(__xludf.DUMMYFUNCTION("""COMPUTED_VALUE"""),45322.0)</f>
        <v>45322</v>
      </c>
      <c r="C2629" s="266" t="str">
        <f>IFERROR(__xludf.DUMMYFUNCTION("""COMPUTED_VALUE"""),"KYAI KONTONG")</f>
        <v>KYAI KONTONG</v>
      </c>
      <c r="D2629" s="186">
        <f>IFERROR(__xludf.DUMMYFUNCTION("""COMPUTED_VALUE"""),20.0)</f>
        <v>20</v>
      </c>
    </row>
    <row r="2630">
      <c r="A2630" s="178" t="str">
        <f>IFERROR(__xludf.DUMMYFUNCTION("""COMPUTED_VALUE"""),"ITBISA-ARDUINO-UNO-R3-328P-SMD")</f>
        <v>ITBISA-ARDUINO-UNO-R3-328P-SMD</v>
      </c>
      <c r="B2630" s="266">
        <f>IFERROR(__xludf.DUMMYFUNCTION("""COMPUTED_VALUE"""),45325.0)</f>
        <v>45325</v>
      </c>
      <c r="C2630" s="266" t="str">
        <f>IFERROR(__xludf.DUMMYFUNCTION("""COMPUTED_VALUE"""),"KERTASARI CIAMIS")</f>
        <v>KERTASARI CIAMIS</v>
      </c>
      <c r="D2630" s="186">
        <f>IFERROR(__xludf.DUMMYFUNCTION("""COMPUTED_VALUE"""),1.0)</f>
        <v>1</v>
      </c>
    </row>
    <row r="2631">
      <c r="A2631" s="178" t="str">
        <f>IFERROR(__xludf.DUMMYFUNCTION("""COMPUTED_VALUE"""),"ITBISA-ARDUINO-UNO-R3-328P-SMD")</f>
        <v>ITBISA-ARDUINO-UNO-R3-328P-SMD</v>
      </c>
      <c r="B2631" s="266">
        <f>IFERROR(__xludf.DUMMYFUNCTION("""COMPUTED_VALUE"""),45334.0)</f>
        <v>45334</v>
      </c>
      <c r="C2631" s="266" t="str">
        <f>IFERROR(__xludf.DUMMYFUNCTION("""COMPUTED_VALUE"""),"KYAI KONTONG")</f>
        <v>KYAI KONTONG</v>
      </c>
      <c r="D2631" s="186">
        <f>IFERROR(__xludf.DUMMYFUNCTION("""COMPUTED_VALUE"""),10.0)</f>
        <v>10</v>
      </c>
    </row>
    <row r="2632">
      <c r="A2632" s="178" t="str">
        <f>IFERROR(__xludf.DUMMYFUNCTION("""COMPUTED_VALUE"""),"ITBISA-ARDUINO-UNO-R3-328P-SMD")</f>
        <v>ITBISA-ARDUINO-UNO-R3-328P-SMD</v>
      </c>
      <c r="B2632" s="266">
        <f>IFERROR(__xludf.DUMMYFUNCTION("""COMPUTED_VALUE"""),45341.0)</f>
        <v>45341</v>
      </c>
      <c r="C2632" s="266" t="str">
        <f>IFERROR(__xludf.DUMMYFUNCTION("""COMPUTED_VALUE"""),"KERTASARI CIAMIS")</f>
        <v>KERTASARI CIAMIS</v>
      </c>
      <c r="D2632" s="186">
        <f>IFERROR(__xludf.DUMMYFUNCTION("""COMPUTED_VALUE"""),1.0)</f>
        <v>1</v>
      </c>
    </row>
    <row r="2633">
      <c r="A2633" s="178" t="str">
        <f>IFERROR(__xludf.DUMMYFUNCTION("""COMPUTED_VALUE"""),"ITBISA-ARDUINO-UNO-R3-328P-SMD")</f>
        <v>ITBISA-ARDUINO-UNO-R3-328P-SMD</v>
      </c>
      <c r="B2633" s="266">
        <f>IFERROR(__xludf.DUMMYFUNCTION("""COMPUTED_VALUE"""),45343.0)</f>
        <v>45343</v>
      </c>
      <c r="C2633" s="266" t="str">
        <f>IFERROR(__xludf.DUMMYFUNCTION("""COMPUTED_VALUE"""),"KERTASARI CIAMIS")</f>
        <v>KERTASARI CIAMIS</v>
      </c>
      <c r="D2633" s="186">
        <f>IFERROR(__xludf.DUMMYFUNCTION("""COMPUTED_VALUE"""),5.0)</f>
        <v>5</v>
      </c>
    </row>
    <row r="2634">
      <c r="A2634" s="178" t="str">
        <f>IFERROR(__xludf.DUMMYFUNCTION("""COMPUTED_VALUE"""),"ITBISA-ARDUINO-UNO-R3-328P-SMD")</f>
        <v>ITBISA-ARDUINO-UNO-R3-328P-SMD</v>
      </c>
      <c r="B2634" s="266">
        <f>IFERROR(__xludf.DUMMYFUNCTION("""COMPUTED_VALUE"""),45343.0)</f>
        <v>45343</v>
      </c>
      <c r="C2634" s="266" t="str">
        <f>IFERROR(__xludf.DUMMYFUNCTION("""COMPUTED_VALUE"""),"KERTASARI CIAMIS")</f>
        <v>KERTASARI CIAMIS</v>
      </c>
      <c r="D2634" s="186">
        <f>IFERROR(__xludf.DUMMYFUNCTION("""COMPUTED_VALUE"""),5.0)</f>
        <v>5</v>
      </c>
    </row>
    <row r="2635">
      <c r="A2635" s="178" t="str">
        <f>IFERROR(__xludf.DUMMYFUNCTION("""COMPUTED_VALUE"""),"ITBISA-ARDUINO-UNO-R3-328P-SMD")</f>
        <v>ITBISA-ARDUINO-UNO-R3-328P-SMD</v>
      </c>
      <c r="B2635" s="266">
        <f>IFERROR(__xludf.DUMMYFUNCTION("""COMPUTED_VALUE"""),45347.0)</f>
        <v>45347</v>
      </c>
      <c r="C2635" s="266" t="str">
        <f>IFERROR(__xludf.DUMMYFUNCTION("""COMPUTED_VALUE"""),"RANCAEKEK ESTU")</f>
        <v>RANCAEKEK ESTU</v>
      </c>
      <c r="D2635" s="186">
        <f>IFERROR(__xludf.DUMMYFUNCTION("""COMPUTED_VALUE"""),1.0)</f>
        <v>1</v>
      </c>
    </row>
    <row r="2636">
      <c r="A2636" s="178" t="str">
        <f>IFERROR(__xludf.DUMMYFUNCTION("""COMPUTED_VALUE"""),"ITBISA-ARDUINO-UNO-R3-328P-SMD")</f>
        <v>ITBISA-ARDUINO-UNO-R3-328P-SMD</v>
      </c>
      <c r="B2636" s="266">
        <f>IFERROR(__xludf.DUMMYFUNCTION("""COMPUTED_VALUE"""),45348.0)</f>
        <v>45348</v>
      </c>
      <c r="C2636" s="266" t="str">
        <f>IFERROR(__xludf.DUMMYFUNCTION("""COMPUTED_VALUE"""),"KYAI KONTONG")</f>
        <v>KYAI KONTONG</v>
      </c>
      <c r="D2636" s="186">
        <f>IFERROR(__xludf.DUMMYFUNCTION("""COMPUTED_VALUE"""),1.0)</f>
        <v>1</v>
      </c>
    </row>
    <row r="2637">
      <c r="A2637" s="178" t="str">
        <f>IFERROR(__xludf.DUMMYFUNCTION("""COMPUTED_VALUE"""),"ITBISA-ARDUINO-UNO-R3-328P-SMD")</f>
        <v>ITBISA-ARDUINO-UNO-R3-328P-SMD</v>
      </c>
      <c r="B2637" s="266">
        <f>IFERROR(__xludf.DUMMYFUNCTION("""COMPUTED_VALUE"""),45348.0)</f>
        <v>45348</v>
      </c>
      <c r="C2637" s="266" t="str">
        <f>IFERROR(__xludf.DUMMYFUNCTION("""COMPUTED_VALUE"""),"KYAI KONTONG")</f>
        <v>KYAI KONTONG</v>
      </c>
      <c r="D2637" s="186">
        <f>IFERROR(__xludf.DUMMYFUNCTION("""COMPUTED_VALUE"""),1.0)</f>
        <v>1</v>
      </c>
    </row>
    <row r="2638">
      <c r="A2638" s="178" t="str">
        <f>IFERROR(__xludf.DUMMYFUNCTION("""COMPUTED_VALUE"""),"ITBISA-ARDUINO-UNO-R3-328P-SMD")</f>
        <v>ITBISA-ARDUINO-UNO-R3-328P-SMD</v>
      </c>
      <c r="B2638" s="266">
        <f>IFERROR(__xludf.DUMMYFUNCTION("""COMPUTED_VALUE"""),45349.0)</f>
        <v>45349</v>
      </c>
      <c r="C2638" s="266" t="str">
        <f>IFERROR(__xludf.DUMMYFUNCTION("""COMPUTED_VALUE"""),"RANCAEKEK ESTU")</f>
        <v>RANCAEKEK ESTU</v>
      </c>
      <c r="D2638" s="186">
        <f>IFERROR(__xludf.DUMMYFUNCTION("""COMPUTED_VALUE"""),4.0)</f>
        <v>4</v>
      </c>
    </row>
    <row r="2639">
      <c r="A2639" s="178" t="str">
        <f>IFERROR(__xludf.DUMMYFUNCTION("""COMPUTED_VALUE"""),"ITBISA-ARDUINO-UNO-R3-328P-SMD")</f>
        <v>ITBISA-ARDUINO-UNO-R3-328P-SMD</v>
      </c>
      <c r="B2639" s="266">
        <f>IFERROR(__xludf.DUMMYFUNCTION("""COMPUTED_VALUE"""),45351.0)</f>
        <v>45351</v>
      </c>
      <c r="C2639" s="266" t="str">
        <f>IFERROR(__xludf.DUMMYFUNCTION("""COMPUTED_VALUE"""),"KERTASARI CIAMIS")</f>
        <v>KERTASARI CIAMIS</v>
      </c>
      <c r="D2639" s="186">
        <f>IFERROR(__xludf.DUMMYFUNCTION("""COMPUTED_VALUE"""),1.0)</f>
        <v>1</v>
      </c>
    </row>
    <row r="2640">
      <c r="A2640" s="178" t="str">
        <f>IFERROR(__xludf.DUMMYFUNCTION("""COMPUTED_VALUE"""),"ITBISA-ARDUINO-UNO-R3-328P-SMD")</f>
        <v>ITBISA-ARDUINO-UNO-R3-328P-SMD</v>
      </c>
      <c r="B2640" s="266">
        <f>IFERROR(__xludf.DUMMYFUNCTION("""COMPUTED_VALUE"""),45352.0)</f>
        <v>45352</v>
      </c>
      <c r="C2640" s="266" t="str">
        <f>IFERROR(__xludf.DUMMYFUNCTION("""COMPUTED_VALUE"""),"RANCAEKEK ESTU")</f>
        <v>RANCAEKEK ESTU</v>
      </c>
      <c r="D2640" s="186">
        <f>IFERROR(__xludf.DUMMYFUNCTION("""COMPUTED_VALUE"""),3.0)</f>
        <v>3</v>
      </c>
    </row>
    <row r="2641">
      <c r="A2641" s="178" t="str">
        <f>IFERROR(__xludf.DUMMYFUNCTION("""COMPUTED_VALUE"""),"ITBISA-ARDUINO-UNO-R3-328P-SMD")</f>
        <v>ITBISA-ARDUINO-UNO-R3-328P-SMD</v>
      </c>
      <c r="B2641" s="266">
        <f>IFERROR(__xludf.DUMMYFUNCTION("""COMPUTED_VALUE"""),45355.0)</f>
        <v>45355</v>
      </c>
      <c r="C2641" s="266" t="str">
        <f>IFERROR(__xludf.DUMMYFUNCTION("""COMPUTED_VALUE"""),"KERTASARI CIAMIS")</f>
        <v>KERTASARI CIAMIS</v>
      </c>
      <c r="D2641" s="186">
        <f>IFERROR(__xludf.DUMMYFUNCTION("""COMPUTED_VALUE"""),1.0)</f>
        <v>1</v>
      </c>
    </row>
    <row r="2642">
      <c r="A2642" s="178" t="str">
        <f>IFERROR(__xludf.DUMMYFUNCTION("""COMPUTED_VALUE"""),"ITBISA-ARDUINO-UNO-R3-328P-SMD")</f>
        <v>ITBISA-ARDUINO-UNO-R3-328P-SMD</v>
      </c>
      <c r="B2642" s="266">
        <f>IFERROR(__xludf.DUMMYFUNCTION("""COMPUTED_VALUE"""),45361.0)</f>
        <v>45361</v>
      </c>
      <c r="C2642" s="266" t="str">
        <f>IFERROR(__xludf.DUMMYFUNCTION("""COMPUTED_VALUE"""),"KERTASARI CIAMIS")</f>
        <v>KERTASARI CIAMIS</v>
      </c>
      <c r="D2642" s="186">
        <f>IFERROR(__xludf.DUMMYFUNCTION("""COMPUTED_VALUE"""),10.0)</f>
        <v>10</v>
      </c>
    </row>
    <row r="2643">
      <c r="A2643" s="178" t="str">
        <f>IFERROR(__xludf.DUMMYFUNCTION("""COMPUTED_VALUE"""),"ITBISA-ARDUINO-UNO-R3-328P-SMD")</f>
        <v>ITBISA-ARDUINO-UNO-R3-328P-SMD</v>
      </c>
      <c r="B2643" s="266">
        <f>IFERROR(__xludf.DUMMYFUNCTION("""COMPUTED_VALUE"""),45366.0)</f>
        <v>45366</v>
      </c>
      <c r="C2643" s="266" t="str">
        <f>IFERROR(__xludf.DUMMYFUNCTION("""COMPUTED_VALUE"""),"KERTASARI CIAMIS")</f>
        <v>KERTASARI CIAMIS</v>
      </c>
      <c r="D2643" s="186">
        <f>IFERROR(__xludf.DUMMYFUNCTION("""COMPUTED_VALUE"""),10.0)</f>
        <v>10</v>
      </c>
    </row>
    <row r="2644">
      <c r="A2644" s="178" t="str">
        <f>IFERROR(__xludf.DUMMYFUNCTION("""COMPUTED_VALUE"""),"ITBISA-ARDUINO-UNO-R3-328P-SMD")</f>
        <v>ITBISA-ARDUINO-UNO-R3-328P-SMD</v>
      </c>
      <c r="B2644" s="266">
        <f>IFERROR(__xludf.DUMMYFUNCTION("""COMPUTED_VALUE"""),45367.0)</f>
        <v>45367</v>
      </c>
      <c r="C2644" s="266" t="str">
        <f>IFERROR(__xludf.DUMMYFUNCTION("""COMPUTED_VALUE"""),"KYAI KONTONG")</f>
        <v>KYAI KONTONG</v>
      </c>
      <c r="D2644" s="186">
        <f>IFERROR(__xludf.DUMMYFUNCTION("""COMPUTED_VALUE"""),1.0)</f>
        <v>1</v>
      </c>
    </row>
    <row r="2645">
      <c r="A2645" s="178" t="str">
        <f>IFERROR(__xludf.DUMMYFUNCTION("""COMPUTED_VALUE"""),"ITBISA-ARDUINO-UNO-R3-328P-SMD")</f>
        <v>ITBISA-ARDUINO-UNO-R3-328P-SMD</v>
      </c>
      <c r="B2645" s="266">
        <f>IFERROR(__xludf.DUMMYFUNCTION("""COMPUTED_VALUE"""),45368.0)</f>
        <v>45368</v>
      </c>
      <c r="C2645" s="266" t="str">
        <f>IFERROR(__xludf.DUMMYFUNCTION("""COMPUTED_VALUE"""),"KYAI KONTONG")</f>
        <v>KYAI KONTONG</v>
      </c>
      <c r="D2645" s="186">
        <f>IFERROR(__xludf.DUMMYFUNCTION("""COMPUTED_VALUE"""),1.0)</f>
        <v>1</v>
      </c>
    </row>
    <row r="2646">
      <c r="A2646" s="178" t="str">
        <f>IFERROR(__xludf.DUMMYFUNCTION("""COMPUTED_VALUE"""),"ITBISA-ARDUINO-UNO-R3-328P-SMD")</f>
        <v>ITBISA-ARDUINO-UNO-R3-328P-SMD</v>
      </c>
      <c r="B2646" s="266">
        <f>IFERROR(__xludf.DUMMYFUNCTION("""COMPUTED_VALUE"""),45368.0)</f>
        <v>45368</v>
      </c>
      <c r="C2646" s="266" t="str">
        <f>IFERROR(__xludf.DUMMYFUNCTION("""COMPUTED_VALUE"""),"RANCAEKEK ESTU")</f>
        <v>RANCAEKEK ESTU</v>
      </c>
      <c r="D2646" s="186">
        <f>IFERROR(__xludf.DUMMYFUNCTION("""COMPUTED_VALUE"""),1.0)</f>
        <v>1</v>
      </c>
    </row>
    <row r="2647">
      <c r="A2647" s="178" t="str">
        <f>IFERROR(__xludf.DUMMYFUNCTION("""COMPUTED_VALUE"""),"ITBISA-ARDUINO-UNO-R3-328P-SMD")</f>
        <v>ITBISA-ARDUINO-UNO-R3-328P-SMD</v>
      </c>
      <c r="B2647" s="266">
        <f>IFERROR(__xludf.DUMMYFUNCTION("""COMPUTED_VALUE"""),45369.0)</f>
        <v>45369</v>
      </c>
      <c r="C2647" s="266" t="str">
        <f>IFERROR(__xludf.DUMMYFUNCTION("""COMPUTED_VALUE"""),"RANCAEKEK ESTU")</f>
        <v>RANCAEKEK ESTU</v>
      </c>
      <c r="D2647" s="186">
        <f>IFERROR(__xludf.DUMMYFUNCTION("""COMPUTED_VALUE"""),1.0)</f>
        <v>1</v>
      </c>
    </row>
    <row r="2648">
      <c r="A2648" s="178" t="str">
        <f>IFERROR(__xludf.DUMMYFUNCTION("""COMPUTED_VALUE"""),"ITBISA-ARDUINO-UNO-R3-328P-SMD")</f>
        <v>ITBISA-ARDUINO-UNO-R3-328P-SMD</v>
      </c>
      <c r="B2648" s="266">
        <f>IFERROR(__xludf.DUMMYFUNCTION("""COMPUTED_VALUE"""),45369.0)</f>
        <v>45369</v>
      </c>
      <c r="C2648" s="266" t="str">
        <f>IFERROR(__xludf.DUMMYFUNCTION("""COMPUTED_VALUE"""),"RANCAEKEK ESTU")</f>
        <v>RANCAEKEK ESTU</v>
      </c>
      <c r="D2648" s="186">
        <f>IFERROR(__xludf.DUMMYFUNCTION("""COMPUTED_VALUE"""),1.0)</f>
        <v>1</v>
      </c>
    </row>
    <row r="2649">
      <c r="A2649" s="178" t="str">
        <f>IFERROR(__xludf.DUMMYFUNCTION("""COMPUTED_VALUE"""),"ITBISA-ARDUINO-UNO-R3-328P-SMD")</f>
        <v>ITBISA-ARDUINO-UNO-R3-328P-SMD</v>
      </c>
      <c r="B2649" s="266">
        <f>IFERROR(__xludf.DUMMYFUNCTION("""COMPUTED_VALUE"""),45370.0)</f>
        <v>45370</v>
      </c>
      <c r="C2649" s="266" t="str">
        <f>IFERROR(__xludf.DUMMYFUNCTION("""COMPUTED_VALUE"""),"KERTASARI CIAMIS")</f>
        <v>KERTASARI CIAMIS</v>
      </c>
      <c r="D2649" s="186">
        <f>IFERROR(__xludf.DUMMYFUNCTION("""COMPUTED_VALUE"""),2.0)</f>
        <v>2</v>
      </c>
    </row>
    <row r="2650">
      <c r="A2650" s="178" t="str">
        <f>IFERROR(__xludf.DUMMYFUNCTION("""COMPUTED_VALUE"""),"ITBISA-ARDUINO-UNO-R3-328P-SMD")</f>
        <v>ITBISA-ARDUINO-UNO-R3-328P-SMD</v>
      </c>
      <c r="B2650" s="266">
        <f>IFERROR(__xludf.DUMMYFUNCTION("""COMPUTED_VALUE"""),45371.0)</f>
        <v>45371</v>
      </c>
      <c r="C2650" s="266" t="str">
        <f>IFERROR(__xludf.DUMMYFUNCTION("""COMPUTED_VALUE"""),"KYAI KONTONG")</f>
        <v>KYAI KONTONG</v>
      </c>
      <c r="D2650" s="186">
        <f>IFERROR(__xludf.DUMMYFUNCTION("""COMPUTED_VALUE"""),1.0)</f>
        <v>1</v>
      </c>
    </row>
    <row r="2651">
      <c r="A2651" s="178" t="str">
        <f>IFERROR(__xludf.DUMMYFUNCTION("""COMPUTED_VALUE"""),"ITBISA-ARDUINO-UNO-R3-328P-SMD")</f>
        <v>ITBISA-ARDUINO-UNO-R3-328P-SMD</v>
      </c>
      <c r="B2651" s="266">
        <f>IFERROR(__xludf.DUMMYFUNCTION("""COMPUTED_VALUE"""),45372.0)</f>
        <v>45372</v>
      </c>
      <c r="C2651" s="266" t="str">
        <f>IFERROR(__xludf.DUMMYFUNCTION("""COMPUTED_VALUE"""),"KERTASARI CIAMIS")</f>
        <v>KERTASARI CIAMIS</v>
      </c>
      <c r="D2651" s="186">
        <f>IFERROR(__xludf.DUMMYFUNCTION("""COMPUTED_VALUE"""),5.0)</f>
        <v>5</v>
      </c>
    </row>
    <row r="2652">
      <c r="A2652" s="178" t="str">
        <f>IFERROR(__xludf.DUMMYFUNCTION("""COMPUTED_VALUE"""),"ITBISA-ARDUINO-UNO-R3-328P-SMD")</f>
        <v>ITBISA-ARDUINO-UNO-R3-328P-SMD</v>
      </c>
      <c r="B2652" s="266">
        <f>IFERROR(__xludf.DUMMYFUNCTION("""COMPUTED_VALUE"""),45373.0)</f>
        <v>45373</v>
      </c>
      <c r="C2652" s="266" t="str">
        <f>IFERROR(__xludf.DUMMYFUNCTION("""COMPUTED_VALUE"""),"KERTASARI CIAMIS")</f>
        <v>KERTASARI CIAMIS</v>
      </c>
      <c r="D2652" s="186">
        <f>IFERROR(__xludf.DUMMYFUNCTION("""COMPUTED_VALUE"""),1.0)</f>
        <v>1</v>
      </c>
    </row>
    <row r="2653">
      <c r="A2653" s="178" t="str">
        <f>IFERROR(__xludf.DUMMYFUNCTION("""COMPUTED_VALUE"""),"ITBISA-ARDUINO-UNO-R3-328P-SMD")</f>
        <v>ITBISA-ARDUINO-UNO-R3-328P-SMD</v>
      </c>
      <c r="B2653" s="266">
        <f>IFERROR(__xludf.DUMMYFUNCTION("""COMPUTED_VALUE"""),45377.0)</f>
        <v>45377</v>
      </c>
      <c r="C2653" s="266" t="str">
        <f>IFERROR(__xludf.DUMMYFUNCTION("""COMPUTED_VALUE"""),"KYAI KONTONG")</f>
        <v>KYAI KONTONG</v>
      </c>
      <c r="D2653" s="186">
        <f>IFERROR(__xludf.DUMMYFUNCTION("""COMPUTED_VALUE"""),1.0)</f>
        <v>1</v>
      </c>
    </row>
    <row r="2654">
      <c r="A2654" s="178" t="str">
        <f>IFERROR(__xludf.DUMMYFUNCTION("""COMPUTED_VALUE"""),"ITBISA-ARDUINO-UNO-R3-328P-SMD")</f>
        <v>ITBISA-ARDUINO-UNO-R3-328P-SMD</v>
      </c>
      <c r="B2654" s="266">
        <f>IFERROR(__xludf.DUMMYFUNCTION("""COMPUTED_VALUE"""),45381.0)</f>
        <v>45381</v>
      </c>
      <c r="C2654" s="266" t="str">
        <f>IFERROR(__xludf.DUMMYFUNCTION("""COMPUTED_VALUE"""),"KYAI KONTONG")</f>
        <v>KYAI KONTONG</v>
      </c>
      <c r="D2654" s="186">
        <f>IFERROR(__xludf.DUMMYFUNCTION("""COMPUTED_VALUE"""),1.0)</f>
        <v>1</v>
      </c>
    </row>
    <row r="2655">
      <c r="A2655" s="178" t="str">
        <f>IFERROR(__xludf.DUMMYFUNCTION("""COMPUTED_VALUE"""),"ITBISA-ARDUINO-UNO-R3-328P-SMD")</f>
        <v>ITBISA-ARDUINO-UNO-R3-328P-SMD</v>
      </c>
      <c r="B2655" s="266">
        <f>IFERROR(__xludf.DUMMYFUNCTION("""COMPUTED_VALUE"""),45381.0)</f>
        <v>45381</v>
      </c>
      <c r="C2655" s="266" t="str">
        <f>IFERROR(__xludf.DUMMYFUNCTION("""COMPUTED_VALUE"""),"KYAI KONTONG")</f>
        <v>KYAI KONTONG</v>
      </c>
      <c r="D2655" s="186">
        <f>IFERROR(__xludf.DUMMYFUNCTION("""COMPUTED_VALUE"""),1.0)</f>
        <v>1</v>
      </c>
    </row>
    <row r="2656">
      <c r="A2656" s="178" t="str">
        <f>IFERROR(__xludf.DUMMYFUNCTION("""COMPUTED_VALUE"""),"ITBISA-ARDUINO-UNO-R3-328P-SMD")</f>
        <v>ITBISA-ARDUINO-UNO-R3-328P-SMD</v>
      </c>
      <c r="B2656" s="266">
        <f>IFERROR(__xludf.DUMMYFUNCTION("""COMPUTED_VALUE"""),45384.0)</f>
        <v>45384</v>
      </c>
      <c r="C2656" s="266" t="str">
        <f>IFERROR(__xludf.DUMMYFUNCTION("""COMPUTED_VALUE"""),"KERTASARI CIAMIS")</f>
        <v>KERTASARI CIAMIS</v>
      </c>
      <c r="D2656" s="186">
        <f>IFERROR(__xludf.DUMMYFUNCTION("""COMPUTED_VALUE"""),1.0)</f>
        <v>1</v>
      </c>
    </row>
    <row r="2657">
      <c r="A2657" s="178" t="str">
        <f>IFERROR(__xludf.DUMMYFUNCTION("""COMPUTED_VALUE"""),"ITBISA-ARDUINO-UNO-R3-328P-SMD")</f>
        <v>ITBISA-ARDUINO-UNO-R3-328P-SMD</v>
      </c>
      <c r="B2657" s="266">
        <f>IFERROR(__xludf.DUMMYFUNCTION("""COMPUTED_VALUE"""),45385.0)</f>
        <v>45385</v>
      </c>
      <c r="C2657" s="266" t="str">
        <f>IFERROR(__xludf.DUMMYFUNCTION("""COMPUTED_VALUE"""),"KERTASARI CIAMIS")</f>
        <v>KERTASARI CIAMIS</v>
      </c>
      <c r="D2657" s="186">
        <f>IFERROR(__xludf.DUMMYFUNCTION("""COMPUTED_VALUE"""),3.0)</f>
        <v>3</v>
      </c>
    </row>
    <row r="2658">
      <c r="A2658" s="178" t="str">
        <f>IFERROR(__xludf.DUMMYFUNCTION("""COMPUTED_VALUE"""),"ITBISA-ARDUINO-UNO-R3-328P-SMD")</f>
        <v>ITBISA-ARDUINO-UNO-R3-328P-SMD</v>
      </c>
      <c r="B2658" s="266">
        <f>IFERROR(__xludf.DUMMYFUNCTION("""COMPUTED_VALUE"""),45387.0)</f>
        <v>45387</v>
      </c>
      <c r="C2658" s="266" t="str">
        <f>IFERROR(__xludf.DUMMYFUNCTION("""COMPUTED_VALUE"""),"KERTASARI CIAMIS")</f>
        <v>KERTASARI CIAMIS</v>
      </c>
      <c r="D2658" s="186">
        <f>IFERROR(__xludf.DUMMYFUNCTION("""COMPUTED_VALUE"""),1.0)</f>
        <v>1</v>
      </c>
    </row>
    <row r="2659">
      <c r="A2659" s="178" t="str">
        <f>IFERROR(__xludf.DUMMYFUNCTION("""COMPUTED_VALUE"""),"ITBISA-ARDUINO-UNO-R3-328P-SMD")</f>
        <v>ITBISA-ARDUINO-UNO-R3-328P-SMD</v>
      </c>
      <c r="B2659" s="266">
        <f>IFERROR(__xludf.DUMMYFUNCTION("""COMPUTED_VALUE"""),45387.0)</f>
        <v>45387</v>
      </c>
      <c r="C2659" s="266" t="str">
        <f>IFERROR(__xludf.DUMMYFUNCTION("""COMPUTED_VALUE"""),"KERTASARI CIAMIS")</f>
        <v>KERTASARI CIAMIS</v>
      </c>
      <c r="D2659" s="186">
        <f>IFERROR(__xludf.DUMMYFUNCTION("""COMPUTED_VALUE"""),1.0)</f>
        <v>1</v>
      </c>
    </row>
    <row r="2660">
      <c r="A2660" s="178" t="str">
        <f>IFERROR(__xludf.DUMMYFUNCTION("""COMPUTED_VALUE"""),"ITBISA-ARDUINO-UNO-R3-328P-SMD")</f>
        <v>ITBISA-ARDUINO-UNO-R3-328P-SMD</v>
      </c>
      <c r="B2660" s="266">
        <f>IFERROR(__xludf.DUMMYFUNCTION("""COMPUTED_VALUE"""),45387.0)</f>
        <v>45387</v>
      </c>
      <c r="C2660" s="266" t="str">
        <f>IFERROR(__xludf.DUMMYFUNCTION("""COMPUTED_VALUE"""),"KERTASARI CIAMIS")</f>
        <v>KERTASARI CIAMIS</v>
      </c>
      <c r="D2660" s="186">
        <f>IFERROR(__xludf.DUMMYFUNCTION("""COMPUTED_VALUE"""),20.0)</f>
        <v>20</v>
      </c>
    </row>
    <row r="2661">
      <c r="A2661" s="178" t="str">
        <f>IFERROR(__xludf.DUMMYFUNCTION("""COMPUTED_VALUE"""),"ITBISA-ARDUINO-UNO-R3-328P-SMD")</f>
        <v>ITBISA-ARDUINO-UNO-R3-328P-SMD</v>
      </c>
      <c r="B2661" s="266">
        <f>IFERROR(__xludf.DUMMYFUNCTION("""COMPUTED_VALUE"""),45387.0)</f>
        <v>45387</v>
      </c>
      <c r="C2661" s="266" t="str">
        <f>IFERROR(__xludf.DUMMYFUNCTION("""COMPUTED_VALUE"""),"KYAI KONTONG")</f>
        <v>KYAI KONTONG</v>
      </c>
      <c r="D2661" s="186">
        <f>IFERROR(__xludf.DUMMYFUNCTION("""COMPUTED_VALUE"""),1.0)</f>
        <v>1</v>
      </c>
    </row>
    <row r="2662">
      <c r="A2662" s="178" t="str">
        <f>IFERROR(__xludf.DUMMYFUNCTION("""COMPUTED_VALUE"""),"ITBISA-ARDUINO-UNO-R3-328P-SMD")</f>
        <v>ITBISA-ARDUINO-UNO-R3-328P-SMD</v>
      </c>
      <c r="B2662" s="266">
        <f>IFERROR(__xludf.DUMMYFUNCTION("""COMPUTED_VALUE"""),45388.0)</f>
        <v>45388</v>
      </c>
      <c r="C2662" s="266" t="str">
        <f>IFERROR(__xludf.DUMMYFUNCTION("""COMPUTED_VALUE"""),"KERTASARI CIAMIS")</f>
        <v>KERTASARI CIAMIS</v>
      </c>
      <c r="D2662" s="186">
        <f>IFERROR(__xludf.DUMMYFUNCTION("""COMPUTED_VALUE"""),1.0)</f>
        <v>1</v>
      </c>
    </row>
    <row r="2663">
      <c r="A2663" s="178" t="str">
        <f>IFERROR(__xludf.DUMMYFUNCTION("""COMPUTED_VALUE"""),"ITBISA-ARDUINO-UNO-R3-328P-SMD")</f>
        <v>ITBISA-ARDUINO-UNO-R3-328P-SMD</v>
      </c>
      <c r="B2663" s="266">
        <f>IFERROR(__xludf.DUMMYFUNCTION("""COMPUTED_VALUE"""),45389.0)</f>
        <v>45389</v>
      </c>
      <c r="C2663" s="266" t="str">
        <f>IFERROR(__xludf.DUMMYFUNCTION("""COMPUTED_VALUE"""),"KERTASARI CIAMIS")</f>
        <v>KERTASARI CIAMIS</v>
      </c>
      <c r="D2663" s="186">
        <f>IFERROR(__xludf.DUMMYFUNCTION("""COMPUTED_VALUE"""),1.0)</f>
        <v>1</v>
      </c>
    </row>
    <row r="2664">
      <c r="A2664" s="178" t="str">
        <f>IFERROR(__xludf.DUMMYFUNCTION("""COMPUTED_VALUE"""),"ITBISA-ARDUINO-UNO-R3-328P-SMD")</f>
        <v>ITBISA-ARDUINO-UNO-R3-328P-SMD</v>
      </c>
      <c r="B2664" s="266">
        <f>IFERROR(__xludf.DUMMYFUNCTION("""COMPUTED_VALUE"""),45389.0)</f>
        <v>45389</v>
      </c>
      <c r="C2664" s="266" t="str">
        <f>IFERROR(__xludf.DUMMYFUNCTION("""COMPUTED_VALUE"""),"KYAI KONTONG")</f>
        <v>KYAI KONTONG</v>
      </c>
      <c r="D2664" s="186">
        <f>IFERROR(__xludf.DUMMYFUNCTION("""COMPUTED_VALUE"""),10.0)</f>
        <v>10</v>
      </c>
    </row>
    <row r="2665">
      <c r="A2665" s="178" t="str">
        <f>IFERROR(__xludf.DUMMYFUNCTION("""COMPUTED_VALUE"""),"ITBISA-ARDUINO-UNO-R3-328P-SMD")</f>
        <v>ITBISA-ARDUINO-UNO-R3-328P-SMD</v>
      </c>
      <c r="B2665" s="266">
        <f>IFERROR(__xludf.DUMMYFUNCTION("""COMPUTED_VALUE"""),45390.0)</f>
        <v>45390</v>
      </c>
      <c r="C2665" s="266" t="str">
        <f>IFERROR(__xludf.DUMMYFUNCTION("""COMPUTED_VALUE"""),"KYAI KONTONG")</f>
        <v>KYAI KONTONG</v>
      </c>
      <c r="D2665" s="186">
        <f>IFERROR(__xludf.DUMMYFUNCTION("""COMPUTED_VALUE"""),1.0)</f>
        <v>1</v>
      </c>
    </row>
    <row r="2666">
      <c r="A2666" s="178" t="str">
        <f>IFERROR(__xludf.DUMMYFUNCTION("""COMPUTED_VALUE"""),"ITBISA-ARDUINO-UNO-R3-328P-SMD")</f>
        <v>ITBISA-ARDUINO-UNO-R3-328P-SMD</v>
      </c>
      <c r="B2666" s="266">
        <f>IFERROR(__xludf.DUMMYFUNCTION("""COMPUTED_VALUE"""),45391.0)</f>
        <v>45391</v>
      </c>
      <c r="C2666" s="266" t="str">
        <f>IFERROR(__xludf.DUMMYFUNCTION("""COMPUTED_VALUE"""),"KERTASARI CIAMIS")</f>
        <v>KERTASARI CIAMIS</v>
      </c>
      <c r="D2666" s="186">
        <f>IFERROR(__xludf.DUMMYFUNCTION("""COMPUTED_VALUE"""),1.0)</f>
        <v>1</v>
      </c>
    </row>
    <row r="2667">
      <c r="A2667" s="178" t="str">
        <f>IFERROR(__xludf.DUMMYFUNCTION("""COMPUTED_VALUE"""),"ITBISA-ARDUINO-UNO-R3-328P-SMD")</f>
        <v>ITBISA-ARDUINO-UNO-R3-328P-SMD</v>
      </c>
      <c r="B2667" s="266">
        <f>IFERROR(__xludf.DUMMYFUNCTION("""COMPUTED_VALUE"""),45391.0)</f>
        <v>45391</v>
      </c>
      <c r="C2667" s="266" t="str">
        <f>IFERROR(__xludf.DUMMYFUNCTION("""COMPUTED_VALUE"""),"KYAI KONTONG")</f>
        <v>KYAI KONTONG</v>
      </c>
      <c r="D2667" s="186">
        <f>IFERROR(__xludf.DUMMYFUNCTION("""COMPUTED_VALUE"""),1.0)</f>
        <v>1</v>
      </c>
    </row>
    <row r="2668">
      <c r="A2668" s="178" t="str">
        <f>IFERROR(__xludf.DUMMYFUNCTION("""COMPUTED_VALUE"""),"ITBISA-ARDUINO-UNO-R3-328P-SMD")</f>
        <v>ITBISA-ARDUINO-UNO-R3-328P-SMD</v>
      </c>
      <c r="B2668" s="266">
        <f>IFERROR(__xludf.DUMMYFUNCTION("""COMPUTED_VALUE"""),45392.0)</f>
        <v>45392</v>
      </c>
      <c r="C2668" s="266" t="str">
        <f>IFERROR(__xludf.DUMMYFUNCTION("""COMPUTED_VALUE"""),"KERTASARI CIAMIS")</f>
        <v>KERTASARI CIAMIS</v>
      </c>
      <c r="D2668" s="186">
        <f>IFERROR(__xludf.DUMMYFUNCTION("""COMPUTED_VALUE"""),1.0)</f>
        <v>1</v>
      </c>
    </row>
    <row r="2669">
      <c r="A2669" s="178" t="str">
        <f>IFERROR(__xludf.DUMMYFUNCTION("""COMPUTED_VALUE"""),"ITBISA-ARDUINO-UNO-R3-328P-SMD")</f>
        <v>ITBISA-ARDUINO-UNO-R3-328P-SMD</v>
      </c>
      <c r="B2669" s="266">
        <f>IFERROR(__xludf.DUMMYFUNCTION("""COMPUTED_VALUE"""),45393.0)</f>
        <v>45393</v>
      </c>
      <c r="C2669" s="266" t="str">
        <f>IFERROR(__xludf.DUMMYFUNCTION("""COMPUTED_VALUE"""),"KERTASARI CIAMIS")</f>
        <v>KERTASARI CIAMIS</v>
      </c>
      <c r="D2669" s="186">
        <f>IFERROR(__xludf.DUMMYFUNCTION("""COMPUTED_VALUE"""),2.0)</f>
        <v>2</v>
      </c>
    </row>
    <row r="2670">
      <c r="A2670" s="178" t="str">
        <f>IFERROR(__xludf.DUMMYFUNCTION("""COMPUTED_VALUE"""),"ITBISA-ARDUINO-UNO-R3-328P-SMD")</f>
        <v>ITBISA-ARDUINO-UNO-R3-328P-SMD</v>
      </c>
      <c r="B2670" s="266">
        <f>IFERROR(__xludf.DUMMYFUNCTION("""COMPUTED_VALUE"""),45394.0)</f>
        <v>45394</v>
      </c>
      <c r="C2670" s="266" t="str">
        <f>IFERROR(__xludf.DUMMYFUNCTION("""COMPUTED_VALUE"""),"KERTASARI CIAMIS")</f>
        <v>KERTASARI CIAMIS</v>
      </c>
      <c r="D2670" s="186">
        <f>IFERROR(__xludf.DUMMYFUNCTION("""COMPUTED_VALUE"""),1.0)</f>
        <v>1</v>
      </c>
    </row>
    <row r="2671">
      <c r="A2671" s="178" t="str">
        <f>IFERROR(__xludf.DUMMYFUNCTION("""COMPUTED_VALUE"""),"ITBISA-ARDUINO-UNO-R3-328P-SMD")</f>
        <v>ITBISA-ARDUINO-UNO-R3-328P-SMD</v>
      </c>
      <c r="B2671" s="266">
        <f>IFERROR(__xludf.DUMMYFUNCTION("""COMPUTED_VALUE"""),45394.0)</f>
        <v>45394</v>
      </c>
      <c r="C2671" s="266" t="str">
        <f>IFERROR(__xludf.DUMMYFUNCTION("""COMPUTED_VALUE"""),"KERTASARI CIAMIS")</f>
        <v>KERTASARI CIAMIS</v>
      </c>
      <c r="D2671" s="186">
        <f>IFERROR(__xludf.DUMMYFUNCTION("""COMPUTED_VALUE"""),1.0)</f>
        <v>1</v>
      </c>
    </row>
    <row r="2672">
      <c r="A2672" s="178" t="str">
        <f>IFERROR(__xludf.DUMMYFUNCTION("""COMPUTED_VALUE"""),"ITBISA-ARDUINO-UNO-R3-328P-SMD")</f>
        <v>ITBISA-ARDUINO-UNO-R3-328P-SMD</v>
      </c>
      <c r="B2672" s="266">
        <f>IFERROR(__xludf.DUMMYFUNCTION("""COMPUTED_VALUE"""),45394.0)</f>
        <v>45394</v>
      </c>
      <c r="C2672" s="266" t="str">
        <f>IFERROR(__xludf.DUMMYFUNCTION("""COMPUTED_VALUE"""),"KERTASARI CIAMIS")</f>
        <v>KERTASARI CIAMIS</v>
      </c>
      <c r="D2672" s="186">
        <f>IFERROR(__xludf.DUMMYFUNCTION("""COMPUTED_VALUE"""),1.0)</f>
        <v>1</v>
      </c>
    </row>
    <row r="2673">
      <c r="A2673" s="178" t="str">
        <f>IFERROR(__xludf.DUMMYFUNCTION("""COMPUTED_VALUE"""),"ITBISA-ARDUINO-UNO-R3-328P-SMD")</f>
        <v>ITBISA-ARDUINO-UNO-R3-328P-SMD</v>
      </c>
      <c r="B2673" s="266">
        <f>IFERROR(__xludf.DUMMYFUNCTION("""COMPUTED_VALUE"""),45394.0)</f>
        <v>45394</v>
      </c>
      <c r="C2673" s="266" t="str">
        <f>IFERROR(__xludf.DUMMYFUNCTION("""COMPUTED_VALUE"""),"KERTASARI CIAMIS")</f>
        <v>KERTASARI CIAMIS</v>
      </c>
      <c r="D2673" s="186">
        <f>IFERROR(__xludf.DUMMYFUNCTION("""COMPUTED_VALUE"""),1.0)</f>
        <v>1</v>
      </c>
    </row>
    <row r="2674">
      <c r="A2674" s="178" t="str">
        <f>IFERROR(__xludf.DUMMYFUNCTION("""COMPUTED_VALUE"""),"ITBISA-ARDUINO-UNO-R3-328P-SMD")</f>
        <v>ITBISA-ARDUINO-UNO-R3-328P-SMD</v>
      </c>
      <c r="B2674" s="266">
        <f>IFERROR(__xludf.DUMMYFUNCTION("""COMPUTED_VALUE"""),45397.0)</f>
        <v>45397</v>
      </c>
      <c r="C2674" s="266" t="str">
        <f>IFERROR(__xludf.DUMMYFUNCTION("""COMPUTED_VALUE"""),"KERTASARI CIAMIS")</f>
        <v>KERTASARI CIAMIS</v>
      </c>
      <c r="D2674" s="186">
        <f>IFERROR(__xludf.DUMMYFUNCTION("""COMPUTED_VALUE"""),1.0)</f>
        <v>1</v>
      </c>
    </row>
    <row r="2675">
      <c r="A2675" s="178" t="str">
        <f>IFERROR(__xludf.DUMMYFUNCTION("""COMPUTED_VALUE"""),"ITBISA-ARDUINO-UNO-R3-328P-SMD")</f>
        <v>ITBISA-ARDUINO-UNO-R3-328P-SMD</v>
      </c>
      <c r="B2675" s="266">
        <f>IFERROR(__xludf.DUMMYFUNCTION("""COMPUTED_VALUE"""),45401.0)</f>
        <v>45401</v>
      </c>
      <c r="C2675" s="266" t="str">
        <f>IFERROR(__xludf.DUMMYFUNCTION("""COMPUTED_VALUE"""),"KERTASARI CIAMIS")</f>
        <v>KERTASARI CIAMIS</v>
      </c>
      <c r="D2675" s="186">
        <f>IFERROR(__xludf.DUMMYFUNCTION("""COMPUTED_VALUE"""),10.0)</f>
        <v>10</v>
      </c>
    </row>
    <row r="2676">
      <c r="A2676" s="178" t="str">
        <f>IFERROR(__xludf.DUMMYFUNCTION("""COMPUTED_VALUE"""),"ITBISA-ARDUINO-UNO-R3-328P-SMD")</f>
        <v>ITBISA-ARDUINO-UNO-R3-328P-SMD</v>
      </c>
      <c r="B2676" s="266">
        <f>IFERROR(__xludf.DUMMYFUNCTION("""COMPUTED_VALUE"""),45406.0)</f>
        <v>45406</v>
      </c>
      <c r="C2676" s="266" t="str">
        <f>IFERROR(__xludf.DUMMYFUNCTION("""COMPUTED_VALUE"""),"KERTASARI CIAMIS")</f>
        <v>KERTASARI CIAMIS</v>
      </c>
      <c r="D2676" s="186">
        <f>IFERROR(__xludf.DUMMYFUNCTION("""COMPUTED_VALUE"""),1.0)</f>
        <v>1</v>
      </c>
    </row>
    <row r="2677">
      <c r="A2677" s="178" t="str">
        <f>IFERROR(__xludf.DUMMYFUNCTION("""COMPUTED_VALUE"""),"ITBISA-ARDUINO-UNO-R3-328P-SMD")</f>
        <v>ITBISA-ARDUINO-UNO-R3-328P-SMD</v>
      </c>
      <c r="B2677" s="266">
        <f>IFERROR(__xludf.DUMMYFUNCTION("""COMPUTED_VALUE"""),45406.0)</f>
        <v>45406</v>
      </c>
      <c r="C2677" s="266" t="str">
        <f>IFERROR(__xludf.DUMMYFUNCTION("""COMPUTED_VALUE"""),"KYAI KONTONG")</f>
        <v>KYAI KONTONG</v>
      </c>
      <c r="D2677" s="186">
        <f>IFERROR(__xludf.DUMMYFUNCTION("""COMPUTED_VALUE"""),1.0)</f>
        <v>1</v>
      </c>
    </row>
    <row r="2678">
      <c r="A2678" s="178" t="str">
        <f>IFERROR(__xludf.DUMMYFUNCTION("""COMPUTED_VALUE"""),"ITBISA-ARDUINO-UNO-R3-328P-SMD")</f>
        <v>ITBISA-ARDUINO-UNO-R3-328P-SMD</v>
      </c>
      <c r="B2678" s="266">
        <f>IFERROR(__xludf.DUMMYFUNCTION("""COMPUTED_VALUE"""),45406.0)</f>
        <v>45406</v>
      </c>
      <c r="C2678" s="266" t="str">
        <f>IFERROR(__xludf.DUMMYFUNCTION("""COMPUTED_VALUE"""),"KYAI KONTONG")</f>
        <v>KYAI KONTONG</v>
      </c>
      <c r="D2678" s="186">
        <f>IFERROR(__xludf.DUMMYFUNCTION("""COMPUTED_VALUE"""),5.0)</f>
        <v>5</v>
      </c>
    </row>
    <row r="2679">
      <c r="A2679" s="178" t="str">
        <f>IFERROR(__xludf.DUMMYFUNCTION("""COMPUTED_VALUE"""),"ITBISA-ARDUINO-UNO-R3-328P-SMD")</f>
        <v>ITBISA-ARDUINO-UNO-R3-328P-SMD</v>
      </c>
      <c r="B2679" s="266">
        <f>IFERROR(__xludf.DUMMYFUNCTION("""COMPUTED_VALUE"""),45407.0)</f>
        <v>45407</v>
      </c>
      <c r="C2679" s="266" t="str">
        <f>IFERROR(__xludf.DUMMYFUNCTION("""COMPUTED_VALUE"""),"KERTASARI CIAMIS")</f>
        <v>KERTASARI CIAMIS</v>
      </c>
      <c r="D2679" s="186">
        <f>IFERROR(__xludf.DUMMYFUNCTION("""COMPUTED_VALUE"""),10.0)</f>
        <v>10</v>
      </c>
    </row>
    <row r="2680">
      <c r="A2680" s="178" t="str">
        <f>IFERROR(__xludf.DUMMYFUNCTION("""COMPUTED_VALUE"""),"ITBISA-ARDUINO-UNO-R3-328P-SMD")</f>
        <v>ITBISA-ARDUINO-UNO-R3-328P-SMD</v>
      </c>
      <c r="B2680" s="266">
        <f>IFERROR(__xludf.DUMMYFUNCTION("""COMPUTED_VALUE"""),45407.0)</f>
        <v>45407</v>
      </c>
      <c r="C2680" s="266" t="str">
        <f>IFERROR(__xludf.DUMMYFUNCTION("""COMPUTED_VALUE"""),"KYAI KONTONG")</f>
        <v>KYAI KONTONG</v>
      </c>
      <c r="D2680" s="186">
        <f>IFERROR(__xludf.DUMMYFUNCTION("""COMPUTED_VALUE"""),3.0)</f>
        <v>3</v>
      </c>
    </row>
    <row r="2681">
      <c r="A2681" s="178" t="str">
        <f>IFERROR(__xludf.DUMMYFUNCTION("""COMPUTED_VALUE"""),"ITBISA-ARDUINO-UNO-R3-328P-SMD")</f>
        <v>ITBISA-ARDUINO-UNO-R3-328P-SMD</v>
      </c>
      <c r="B2681" s="266">
        <f>IFERROR(__xludf.DUMMYFUNCTION("""COMPUTED_VALUE"""),45409.0)</f>
        <v>45409</v>
      </c>
      <c r="C2681" s="266" t="str">
        <f>IFERROR(__xludf.DUMMYFUNCTION("""COMPUTED_VALUE"""),"KYAI KONTONG")</f>
        <v>KYAI KONTONG</v>
      </c>
      <c r="D2681" s="186">
        <f>IFERROR(__xludf.DUMMYFUNCTION("""COMPUTED_VALUE"""),4.0)</f>
        <v>4</v>
      </c>
    </row>
    <row r="2682">
      <c r="A2682" s="178" t="str">
        <f>IFERROR(__xludf.DUMMYFUNCTION("""COMPUTED_VALUE"""),"ITBISA-ARDUINO-UNO-R3-328P-SMD")</f>
        <v>ITBISA-ARDUINO-UNO-R3-328P-SMD</v>
      </c>
      <c r="B2682" s="266">
        <f>IFERROR(__xludf.DUMMYFUNCTION("""COMPUTED_VALUE"""),45412.0)</f>
        <v>45412</v>
      </c>
      <c r="C2682" s="266" t="str">
        <f>IFERROR(__xludf.DUMMYFUNCTION("""COMPUTED_VALUE"""),"KERTASARI CIAMIS")</f>
        <v>KERTASARI CIAMIS</v>
      </c>
      <c r="D2682" s="186">
        <f>IFERROR(__xludf.DUMMYFUNCTION("""COMPUTED_VALUE"""),1.0)</f>
        <v>1</v>
      </c>
    </row>
    <row r="2683">
      <c r="A2683" s="178" t="str">
        <f>IFERROR(__xludf.DUMMYFUNCTION("""COMPUTED_VALUE"""),"ITBISA-ARDUINO-UNO-R3-328P-SMD")</f>
        <v>ITBISA-ARDUINO-UNO-R3-328P-SMD</v>
      </c>
      <c r="B2683" s="266">
        <f>IFERROR(__xludf.DUMMYFUNCTION("""COMPUTED_VALUE"""),45412.0)</f>
        <v>45412</v>
      </c>
      <c r="C2683" s="266" t="str">
        <f>IFERROR(__xludf.DUMMYFUNCTION("""COMPUTED_VALUE"""),"KERTASARI CIAMIS")</f>
        <v>KERTASARI CIAMIS</v>
      </c>
      <c r="D2683" s="186">
        <f>IFERROR(__xludf.DUMMYFUNCTION("""COMPUTED_VALUE"""),10.0)</f>
        <v>10</v>
      </c>
    </row>
    <row r="2684">
      <c r="A2684" s="178" t="str">
        <f>IFERROR(__xludf.DUMMYFUNCTION("""COMPUTED_VALUE"""),"ITBISA-ARDUINO-UNO-R3-328P-SMD")</f>
        <v>ITBISA-ARDUINO-UNO-R3-328P-SMD</v>
      </c>
      <c r="B2684" s="266">
        <f>IFERROR(__xludf.DUMMYFUNCTION("""COMPUTED_VALUE"""),45419.0)</f>
        <v>45419</v>
      </c>
      <c r="C2684" s="266" t="str">
        <f>IFERROR(__xludf.DUMMYFUNCTION("""COMPUTED_VALUE"""),"KYAI KONTONG")</f>
        <v>KYAI KONTONG</v>
      </c>
      <c r="D2684" s="186">
        <f>IFERROR(__xludf.DUMMYFUNCTION("""COMPUTED_VALUE"""),2.0)</f>
        <v>2</v>
      </c>
    </row>
    <row r="2685">
      <c r="A2685" s="178" t="str">
        <f>IFERROR(__xludf.DUMMYFUNCTION("""COMPUTED_VALUE"""),"ITBISA-ARDUINO-UNO-R3-328P-SMD")</f>
        <v>ITBISA-ARDUINO-UNO-R3-328P-SMD</v>
      </c>
      <c r="B2685" s="266">
        <f>IFERROR(__xludf.DUMMYFUNCTION("""COMPUTED_VALUE"""),45423.0)</f>
        <v>45423</v>
      </c>
      <c r="C2685" s="266" t="str">
        <f>IFERROR(__xludf.DUMMYFUNCTION("""COMPUTED_VALUE"""),"KYAI KONTONG")</f>
        <v>KYAI KONTONG</v>
      </c>
      <c r="D2685" s="186">
        <f>IFERROR(__xludf.DUMMYFUNCTION("""COMPUTED_VALUE"""),1.0)</f>
        <v>1</v>
      </c>
    </row>
    <row r="2686">
      <c r="A2686" s="178" t="str">
        <f>IFERROR(__xludf.DUMMYFUNCTION("""COMPUTED_VALUE"""),"ITBISA-ARDUINO-UNO-R3-328P-SMD")</f>
        <v>ITBISA-ARDUINO-UNO-R3-328P-SMD</v>
      </c>
      <c r="B2686" s="266">
        <f>IFERROR(__xludf.DUMMYFUNCTION("""COMPUTED_VALUE"""),45424.0)</f>
        <v>45424</v>
      </c>
      <c r="C2686" s="266" t="str">
        <f>IFERROR(__xludf.DUMMYFUNCTION("""COMPUTED_VALUE"""),"KYAI KONTONG")</f>
        <v>KYAI KONTONG</v>
      </c>
      <c r="D2686" s="186">
        <f>IFERROR(__xludf.DUMMYFUNCTION("""COMPUTED_VALUE"""),1.0)</f>
        <v>1</v>
      </c>
    </row>
    <row r="2687">
      <c r="A2687" s="178" t="str">
        <f>IFERROR(__xludf.DUMMYFUNCTION("""COMPUTED_VALUE"""),"ITBISA-ARDUINO-UNO-R3-328P-SMD")</f>
        <v>ITBISA-ARDUINO-UNO-R3-328P-SMD</v>
      </c>
      <c r="B2687" s="266">
        <f>IFERROR(__xludf.DUMMYFUNCTION("""COMPUTED_VALUE"""),45428.0)</f>
        <v>45428</v>
      </c>
      <c r="C2687" s="266" t="str">
        <f>IFERROR(__xludf.DUMMYFUNCTION("""COMPUTED_VALUE"""),"KYAI KONTONG")</f>
        <v>KYAI KONTONG</v>
      </c>
      <c r="D2687" s="186">
        <f>IFERROR(__xludf.DUMMYFUNCTION("""COMPUTED_VALUE"""),1.0)</f>
        <v>1</v>
      </c>
    </row>
    <row r="2688">
      <c r="A2688" s="178" t="str">
        <f>IFERROR(__xludf.DUMMYFUNCTION("""COMPUTED_VALUE"""),"ITBISA-ARDUINO-UNO-R3-328P-SMD")</f>
        <v>ITBISA-ARDUINO-UNO-R3-328P-SMD</v>
      </c>
      <c r="B2688" s="266">
        <f>IFERROR(__xludf.DUMMYFUNCTION("""COMPUTED_VALUE"""),45429.0)</f>
        <v>45429</v>
      </c>
      <c r="C2688" s="266" t="str">
        <f>IFERROR(__xludf.DUMMYFUNCTION("""COMPUTED_VALUE"""),"KYAI KONTONG")</f>
        <v>KYAI KONTONG</v>
      </c>
      <c r="D2688" s="186">
        <f>IFERROR(__xludf.DUMMYFUNCTION("""COMPUTED_VALUE"""),6.0)</f>
        <v>6</v>
      </c>
    </row>
    <row r="2689">
      <c r="A2689" s="178" t="str">
        <f>IFERROR(__xludf.DUMMYFUNCTION("""COMPUTED_VALUE"""),"ITBISA-ARDUINO-UNO-R3-328P-SMD")</f>
        <v>ITBISA-ARDUINO-UNO-R3-328P-SMD</v>
      </c>
      <c r="B2689" s="266">
        <f>IFERROR(__xludf.DUMMYFUNCTION("""COMPUTED_VALUE"""),45431.0)</f>
        <v>45431</v>
      </c>
      <c r="C2689" s="266" t="str">
        <f>IFERROR(__xludf.DUMMYFUNCTION("""COMPUTED_VALUE"""),"KERTASARI CIAMIS")</f>
        <v>KERTASARI CIAMIS</v>
      </c>
      <c r="D2689" s="186">
        <f>IFERROR(__xludf.DUMMYFUNCTION("""COMPUTED_VALUE"""),1.0)</f>
        <v>1</v>
      </c>
    </row>
    <row r="2690">
      <c r="A2690" s="178" t="str">
        <f>IFERROR(__xludf.DUMMYFUNCTION("""COMPUTED_VALUE"""),"ITBISA-ARDUINO-UNO-R3-328P-SMD")</f>
        <v>ITBISA-ARDUINO-UNO-R3-328P-SMD</v>
      </c>
      <c r="B2690" s="266">
        <f>IFERROR(__xludf.DUMMYFUNCTION("""COMPUTED_VALUE"""),45433.0)</f>
        <v>45433</v>
      </c>
      <c r="C2690" s="266" t="str">
        <f>IFERROR(__xludf.DUMMYFUNCTION("""COMPUTED_VALUE"""),"KYAI KONTONG")</f>
        <v>KYAI KONTONG</v>
      </c>
      <c r="D2690" s="186">
        <f>IFERROR(__xludf.DUMMYFUNCTION("""COMPUTED_VALUE"""),1.0)</f>
        <v>1</v>
      </c>
    </row>
    <row r="2691">
      <c r="A2691" s="178" t="str">
        <f>IFERROR(__xludf.DUMMYFUNCTION("""COMPUTED_VALUE"""),"ITBISA-ARDUINO-UNO-R3-328P-SMD")</f>
        <v>ITBISA-ARDUINO-UNO-R3-328P-SMD</v>
      </c>
      <c r="B2691" s="266">
        <f>IFERROR(__xludf.DUMMYFUNCTION("""COMPUTED_VALUE"""),45435.0)</f>
        <v>45435</v>
      </c>
      <c r="C2691" s="266" t="str">
        <f>IFERROR(__xludf.DUMMYFUNCTION("""COMPUTED_VALUE"""),"KYAI KONTONG")</f>
        <v>KYAI KONTONG</v>
      </c>
      <c r="D2691" s="186">
        <f>IFERROR(__xludf.DUMMYFUNCTION("""COMPUTED_VALUE"""),1.0)</f>
        <v>1</v>
      </c>
    </row>
    <row r="2692">
      <c r="A2692" s="178" t="str">
        <f>IFERROR(__xludf.DUMMYFUNCTION("""COMPUTED_VALUE"""),"ITBISA-ARDUINO-UNO-R3-328P-SMD")</f>
        <v>ITBISA-ARDUINO-UNO-R3-328P-SMD</v>
      </c>
      <c r="B2692" s="266">
        <f>IFERROR(__xludf.DUMMYFUNCTION("""COMPUTED_VALUE"""),45437.0)</f>
        <v>45437</v>
      </c>
      <c r="C2692" s="266" t="str">
        <f>IFERROR(__xludf.DUMMYFUNCTION("""COMPUTED_VALUE"""),"KERTASARI CIAMIS")</f>
        <v>KERTASARI CIAMIS</v>
      </c>
      <c r="D2692" s="186">
        <f>IFERROR(__xludf.DUMMYFUNCTION("""COMPUTED_VALUE"""),1.0)</f>
        <v>1</v>
      </c>
    </row>
    <row r="2693">
      <c r="A2693" s="178" t="str">
        <f>IFERROR(__xludf.DUMMYFUNCTION("""COMPUTED_VALUE"""),"ITBISA-ARDUINO-UNO-R3-328P-SMD")</f>
        <v>ITBISA-ARDUINO-UNO-R3-328P-SMD</v>
      </c>
      <c r="B2693" s="266">
        <f>IFERROR(__xludf.DUMMYFUNCTION("""COMPUTED_VALUE"""),45437.0)</f>
        <v>45437</v>
      </c>
      <c r="C2693" s="266" t="str">
        <f>IFERROR(__xludf.DUMMYFUNCTION("""COMPUTED_VALUE"""),"KERTASARI CIAMIS")</f>
        <v>KERTASARI CIAMIS</v>
      </c>
      <c r="D2693" s="186">
        <f>IFERROR(__xludf.DUMMYFUNCTION("""COMPUTED_VALUE"""),10.0)</f>
        <v>10</v>
      </c>
    </row>
    <row r="2694">
      <c r="A2694" s="178" t="str">
        <f>IFERROR(__xludf.DUMMYFUNCTION("""COMPUTED_VALUE"""),"ITBISA-ARDUINO-UNO-R3-328P-SMD")</f>
        <v>ITBISA-ARDUINO-UNO-R3-328P-SMD</v>
      </c>
      <c r="B2694" s="266">
        <f>IFERROR(__xludf.DUMMYFUNCTION("""COMPUTED_VALUE"""),45438.0)</f>
        <v>45438</v>
      </c>
      <c r="C2694" s="266" t="str">
        <f>IFERROR(__xludf.DUMMYFUNCTION("""COMPUTED_VALUE"""),"KYAI KONTONG")</f>
        <v>KYAI KONTONG</v>
      </c>
      <c r="D2694" s="186">
        <f>IFERROR(__xludf.DUMMYFUNCTION("""COMPUTED_VALUE"""),1.0)</f>
        <v>1</v>
      </c>
    </row>
    <row r="2695">
      <c r="A2695" s="178" t="str">
        <f>IFERROR(__xludf.DUMMYFUNCTION("""COMPUTED_VALUE"""),"ITBISA-ARDUINO-UNO-R3-328P-SMD")</f>
        <v>ITBISA-ARDUINO-UNO-R3-328P-SMD</v>
      </c>
      <c r="B2695" s="266">
        <f>IFERROR(__xludf.DUMMYFUNCTION("""COMPUTED_VALUE"""),45439.0)</f>
        <v>45439</v>
      </c>
      <c r="C2695" s="266" t="str">
        <f>IFERROR(__xludf.DUMMYFUNCTION("""COMPUTED_VALUE"""),"KERTASARI CIAMIS")</f>
        <v>KERTASARI CIAMIS</v>
      </c>
      <c r="D2695" s="186">
        <f>IFERROR(__xludf.DUMMYFUNCTION("""COMPUTED_VALUE"""),1.0)</f>
        <v>1</v>
      </c>
    </row>
    <row r="2696">
      <c r="A2696" s="178" t="str">
        <f>IFERROR(__xludf.DUMMYFUNCTION("""COMPUTED_VALUE"""),"ITBISA-ARDUINO-UNO-R3-328P-SMD")</f>
        <v>ITBISA-ARDUINO-UNO-R3-328P-SMD</v>
      </c>
      <c r="B2696" s="266">
        <f>IFERROR(__xludf.DUMMYFUNCTION("""COMPUTED_VALUE"""),45439.0)</f>
        <v>45439</v>
      </c>
      <c r="C2696" s="266" t="str">
        <f>IFERROR(__xludf.DUMMYFUNCTION("""COMPUTED_VALUE"""),"KERTASARI CIAMIS")</f>
        <v>KERTASARI CIAMIS</v>
      </c>
      <c r="D2696" s="186">
        <f>IFERROR(__xludf.DUMMYFUNCTION("""COMPUTED_VALUE"""),2.0)</f>
        <v>2</v>
      </c>
    </row>
    <row r="2697">
      <c r="A2697" s="178" t="str">
        <f>IFERROR(__xludf.DUMMYFUNCTION("""COMPUTED_VALUE"""),"ITBISA-ARDUINO-UNO-R3-328P-SMD")</f>
        <v>ITBISA-ARDUINO-UNO-R3-328P-SMD</v>
      </c>
      <c r="B2697" s="266">
        <f>IFERROR(__xludf.DUMMYFUNCTION("""COMPUTED_VALUE"""),45443.0)</f>
        <v>45443</v>
      </c>
      <c r="C2697" s="266" t="str">
        <f>IFERROR(__xludf.DUMMYFUNCTION("""COMPUTED_VALUE"""),"KYAI KONTONG")</f>
        <v>KYAI KONTONG</v>
      </c>
      <c r="D2697" s="186">
        <f>IFERROR(__xludf.DUMMYFUNCTION("""COMPUTED_VALUE"""),1.0)</f>
        <v>1</v>
      </c>
    </row>
    <row r="2698">
      <c r="A2698" s="178" t="str">
        <f>IFERROR(__xludf.DUMMYFUNCTION("""COMPUTED_VALUE"""),"ITBISA-ARDUINO-UNO-R3-328P-SMD")</f>
        <v>ITBISA-ARDUINO-UNO-R3-328P-SMD</v>
      </c>
      <c r="B2698" s="266">
        <f>IFERROR(__xludf.DUMMYFUNCTION("""COMPUTED_VALUE"""),45446.0)</f>
        <v>45446</v>
      </c>
      <c r="C2698" s="266" t="str">
        <f>IFERROR(__xludf.DUMMYFUNCTION("""COMPUTED_VALUE"""),"KERTASARI CIAMIS")</f>
        <v>KERTASARI CIAMIS</v>
      </c>
      <c r="D2698" s="186">
        <f>IFERROR(__xludf.DUMMYFUNCTION("""COMPUTED_VALUE"""),1.0)</f>
        <v>1</v>
      </c>
    </row>
    <row r="2699">
      <c r="A2699" s="178" t="str">
        <f>IFERROR(__xludf.DUMMYFUNCTION("""COMPUTED_VALUE"""),"ITBISA-ARDUINO-UNO-R3-328P-SMD")</f>
        <v>ITBISA-ARDUINO-UNO-R3-328P-SMD</v>
      </c>
      <c r="B2699" s="266">
        <f>IFERROR(__xludf.DUMMYFUNCTION("""COMPUTED_VALUE"""),45446.0)</f>
        <v>45446</v>
      </c>
      <c r="C2699" s="266" t="str">
        <f>IFERROR(__xludf.DUMMYFUNCTION("""COMPUTED_VALUE"""),"KERTASARI CIAMIS")</f>
        <v>KERTASARI CIAMIS</v>
      </c>
      <c r="D2699" s="186">
        <f>IFERROR(__xludf.DUMMYFUNCTION("""COMPUTED_VALUE"""),1.0)</f>
        <v>1</v>
      </c>
    </row>
    <row r="2700">
      <c r="A2700" s="178" t="str">
        <f>IFERROR(__xludf.DUMMYFUNCTION("""COMPUTED_VALUE"""),"ITBISA-ARDUINO-UNO-R3-328P-SMD")</f>
        <v>ITBISA-ARDUINO-UNO-R3-328P-SMD</v>
      </c>
      <c r="B2700" s="266">
        <f>IFERROR(__xludf.DUMMYFUNCTION("""COMPUTED_VALUE"""),45446.0)</f>
        <v>45446</v>
      </c>
      <c r="C2700" s="266" t="str">
        <f>IFERROR(__xludf.DUMMYFUNCTION("""COMPUTED_VALUE"""),"KYAI KONTONG")</f>
        <v>KYAI KONTONG</v>
      </c>
      <c r="D2700" s="186">
        <f>IFERROR(__xludf.DUMMYFUNCTION("""COMPUTED_VALUE"""),2.0)</f>
        <v>2</v>
      </c>
    </row>
    <row r="2701">
      <c r="A2701" s="178" t="str">
        <f>IFERROR(__xludf.DUMMYFUNCTION("""COMPUTED_VALUE"""),"ITBISA-ARDUINO-UNO-R3-328P-SMD")</f>
        <v>ITBISA-ARDUINO-UNO-R3-328P-SMD</v>
      </c>
      <c r="B2701" s="266">
        <f>IFERROR(__xludf.DUMMYFUNCTION("""COMPUTED_VALUE"""),45449.0)</f>
        <v>45449</v>
      </c>
      <c r="C2701" s="266" t="str">
        <f>IFERROR(__xludf.DUMMYFUNCTION("""COMPUTED_VALUE"""),"KERTASARI CIAMIS")</f>
        <v>KERTASARI CIAMIS</v>
      </c>
      <c r="D2701" s="186">
        <f>IFERROR(__xludf.DUMMYFUNCTION("""COMPUTED_VALUE"""),1.0)</f>
        <v>1</v>
      </c>
    </row>
    <row r="2702">
      <c r="A2702" s="178" t="str">
        <f>IFERROR(__xludf.DUMMYFUNCTION("""COMPUTED_VALUE"""),"ITBISA-ARDUINO-UNO-R3-328P-SMD")</f>
        <v>ITBISA-ARDUINO-UNO-R3-328P-SMD</v>
      </c>
      <c r="B2702" s="266">
        <f>IFERROR(__xludf.DUMMYFUNCTION("""COMPUTED_VALUE"""),45450.0)</f>
        <v>45450</v>
      </c>
      <c r="C2702" s="266" t="str">
        <f>IFERROR(__xludf.DUMMYFUNCTION("""COMPUTED_VALUE"""),"KERTASARI CIAMIS")</f>
        <v>KERTASARI CIAMIS</v>
      </c>
      <c r="D2702" s="186">
        <f>IFERROR(__xludf.DUMMYFUNCTION("""COMPUTED_VALUE"""),1.0)</f>
        <v>1</v>
      </c>
    </row>
    <row r="2703">
      <c r="A2703" s="178" t="str">
        <f>IFERROR(__xludf.DUMMYFUNCTION("""COMPUTED_VALUE"""),"ITBISA-ARDUINO-UNO-R3-328P-SMD")</f>
        <v>ITBISA-ARDUINO-UNO-R3-328P-SMD</v>
      </c>
      <c r="B2703" s="266">
        <f>IFERROR(__xludf.DUMMYFUNCTION("""COMPUTED_VALUE"""),45450.0)</f>
        <v>45450</v>
      </c>
      <c r="C2703" s="266" t="str">
        <f>IFERROR(__xludf.DUMMYFUNCTION("""COMPUTED_VALUE"""),"KYAI KONTONG")</f>
        <v>KYAI KONTONG</v>
      </c>
      <c r="D2703" s="186">
        <f>IFERROR(__xludf.DUMMYFUNCTION("""COMPUTED_VALUE"""),2.0)</f>
        <v>2</v>
      </c>
    </row>
    <row r="2704">
      <c r="A2704" s="178" t="str">
        <f>IFERROR(__xludf.DUMMYFUNCTION("""COMPUTED_VALUE"""),"ITBISA-ARDUINO-UNO-R3-328P-SMD")</f>
        <v>ITBISA-ARDUINO-UNO-R3-328P-SMD</v>
      </c>
      <c r="B2704" s="266">
        <f>IFERROR(__xludf.DUMMYFUNCTION("""COMPUTED_VALUE"""),45452.0)</f>
        <v>45452</v>
      </c>
      <c r="C2704" s="266" t="str">
        <f>IFERROR(__xludf.DUMMYFUNCTION("""COMPUTED_VALUE"""),"KYAI KONTONG")</f>
        <v>KYAI KONTONG</v>
      </c>
      <c r="D2704" s="186">
        <f>IFERROR(__xludf.DUMMYFUNCTION("""COMPUTED_VALUE"""),1.0)</f>
        <v>1</v>
      </c>
    </row>
    <row r="2705">
      <c r="A2705" s="178" t="str">
        <f>IFERROR(__xludf.DUMMYFUNCTION("""COMPUTED_VALUE"""),"ITBISA-ARDUINO-UNO-R3-328P-SMD")</f>
        <v>ITBISA-ARDUINO-UNO-R3-328P-SMD</v>
      </c>
      <c r="B2705" s="266">
        <f>IFERROR(__xludf.DUMMYFUNCTION("""COMPUTED_VALUE"""),45453.0)</f>
        <v>45453</v>
      </c>
      <c r="C2705" s="266" t="str">
        <f>IFERROR(__xludf.DUMMYFUNCTION("""COMPUTED_VALUE"""),"KYAI KONTONG")</f>
        <v>KYAI KONTONG</v>
      </c>
      <c r="D2705" s="186">
        <f>IFERROR(__xludf.DUMMYFUNCTION("""COMPUTED_VALUE"""),1.0)</f>
        <v>1</v>
      </c>
    </row>
    <row r="2706">
      <c r="A2706" s="178" t="str">
        <f>IFERROR(__xludf.DUMMYFUNCTION("""COMPUTED_VALUE"""),"ITBISA-ARDUINO-UNO-R3-328P-SMD")</f>
        <v>ITBISA-ARDUINO-UNO-R3-328P-SMD</v>
      </c>
      <c r="B2706" s="266">
        <f>IFERROR(__xludf.DUMMYFUNCTION("""COMPUTED_VALUE"""),45456.0)</f>
        <v>45456</v>
      </c>
      <c r="C2706" s="266" t="str">
        <f>IFERROR(__xludf.DUMMYFUNCTION("""COMPUTED_VALUE"""),"KYAI KONTONG")</f>
        <v>KYAI KONTONG</v>
      </c>
      <c r="D2706" s="186">
        <f>IFERROR(__xludf.DUMMYFUNCTION("""COMPUTED_VALUE"""),1.0)</f>
        <v>1</v>
      </c>
    </row>
    <row r="2707">
      <c r="A2707" s="178" t="str">
        <f>IFERROR(__xludf.DUMMYFUNCTION("""COMPUTED_VALUE"""),"ITBISA-ARDUINO-UNO-R3-328P-SMD")</f>
        <v>ITBISA-ARDUINO-UNO-R3-328P-SMD</v>
      </c>
      <c r="B2707" s="266">
        <f>IFERROR(__xludf.DUMMYFUNCTION("""COMPUTED_VALUE"""),45457.0)</f>
        <v>45457</v>
      </c>
      <c r="C2707" s="266" t="str">
        <f>IFERROR(__xludf.DUMMYFUNCTION("""COMPUTED_VALUE"""),"KERTASARI CIAMIS")</f>
        <v>KERTASARI CIAMIS</v>
      </c>
      <c r="D2707" s="186">
        <f>IFERROR(__xludf.DUMMYFUNCTION("""COMPUTED_VALUE"""),1.0)</f>
        <v>1</v>
      </c>
    </row>
    <row r="2708">
      <c r="A2708" s="178" t="str">
        <f>IFERROR(__xludf.DUMMYFUNCTION("""COMPUTED_VALUE"""),"ITBISA-ARDUINO-UNO-R3-328P-SMD")</f>
        <v>ITBISA-ARDUINO-UNO-R3-328P-SMD</v>
      </c>
      <c r="B2708" s="266">
        <f>IFERROR(__xludf.DUMMYFUNCTION("""COMPUTED_VALUE"""),45460.0)</f>
        <v>45460</v>
      </c>
      <c r="C2708" s="266" t="str">
        <f>IFERROR(__xludf.DUMMYFUNCTION("""COMPUTED_VALUE"""),"KYAI KONTONG")</f>
        <v>KYAI KONTONG</v>
      </c>
      <c r="D2708" s="186">
        <f>IFERROR(__xludf.DUMMYFUNCTION("""COMPUTED_VALUE"""),1.0)</f>
        <v>1</v>
      </c>
    </row>
    <row r="2709">
      <c r="A2709" s="178" t="str">
        <f>IFERROR(__xludf.DUMMYFUNCTION("""COMPUTED_VALUE"""),"ITBISA-ARDUINO-UNO-R3-328P-SMD")</f>
        <v>ITBISA-ARDUINO-UNO-R3-328P-SMD</v>
      </c>
      <c r="B2709" s="266">
        <f>IFERROR(__xludf.DUMMYFUNCTION("""COMPUTED_VALUE"""),45463.0)</f>
        <v>45463</v>
      </c>
      <c r="C2709" s="266" t="str">
        <f>IFERROR(__xludf.DUMMYFUNCTION("""COMPUTED_VALUE"""),"KYAI KONTONG")</f>
        <v>KYAI KONTONG</v>
      </c>
      <c r="D2709" s="186">
        <f>IFERROR(__xludf.DUMMYFUNCTION("""COMPUTED_VALUE"""),1.0)</f>
        <v>1</v>
      </c>
    </row>
    <row r="2710">
      <c r="A2710" s="178" t="str">
        <f>IFERROR(__xludf.DUMMYFUNCTION("""COMPUTED_VALUE"""),"ITBISA-ARDUINO-UNO-R3-328P-SMD")</f>
        <v>ITBISA-ARDUINO-UNO-R3-328P-SMD</v>
      </c>
      <c r="B2710" s="266">
        <f>IFERROR(__xludf.DUMMYFUNCTION("""COMPUTED_VALUE"""),45463.0)</f>
        <v>45463</v>
      </c>
      <c r="C2710" s="266" t="str">
        <f>IFERROR(__xludf.DUMMYFUNCTION("""COMPUTED_VALUE"""),"KYAI KONTONG")</f>
        <v>KYAI KONTONG</v>
      </c>
      <c r="D2710" s="186">
        <f>IFERROR(__xludf.DUMMYFUNCTION("""COMPUTED_VALUE"""),1.0)</f>
        <v>1</v>
      </c>
    </row>
    <row r="2711">
      <c r="A2711" s="178" t="str">
        <f>IFERROR(__xludf.DUMMYFUNCTION("""COMPUTED_VALUE"""),"ITBISA-ARDUINO-UNO-R3-328P-SMD")</f>
        <v>ITBISA-ARDUINO-UNO-R3-328P-SMD</v>
      </c>
      <c r="B2711" s="266">
        <f>IFERROR(__xludf.DUMMYFUNCTION("""COMPUTED_VALUE"""),45463.0)</f>
        <v>45463</v>
      </c>
      <c r="C2711" s="266" t="str">
        <f>IFERROR(__xludf.DUMMYFUNCTION("""COMPUTED_VALUE"""),"KYAI KONTONG")</f>
        <v>KYAI KONTONG</v>
      </c>
      <c r="D2711" s="186">
        <f>IFERROR(__xludf.DUMMYFUNCTION("""COMPUTED_VALUE"""),2.0)</f>
        <v>2</v>
      </c>
    </row>
    <row r="2712">
      <c r="A2712" s="178" t="str">
        <f>IFERROR(__xludf.DUMMYFUNCTION("""COMPUTED_VALUE"""),"ITBISA-ARDUINO-UNO-R3-328P-SMD")</f>
        <v>ITBISA-ARDUINO-UNO-R3-328P-SMD</v>
      </c>
      <c r="B2712" s="266">
        <f>IFERROR(__xludf.DUMMYFUNCTION("""COMPUTED_VALUE"""),45465.0)</f>
        <v>45465</v>
      </c>
      <c r="C2712" s="266" t="str">
        <f>IFERROR(__xludf.DUMMYFUNCTION("""COMPUTED_VALUE"""),"KERTASARI CIAMIS")</f>
        <v>KERTASARI CIAMIS</v>
      </c>
      <c r="D2712" s="186">
        <f>IFERROR(__xludf.DUMMYFUNCTION("""COMPUTED_VALUE"""),3.0)</f>
        <v>3</v>
      </c>
    </row>
    <row r="2713">
      <c r="A2713" s="178" t="str">
        <f>IFERROR(__xludf.DUMMYFUNCTION("""COMPUTED_VALUE"""),"ITBISA-ARDUINO-UNO-R3-328P-SMD")</f>
        <v>ITBISA-ARDUINO-UNO-R3-328P-SMD</v>
      </c>
      <c r="B2713" s="266">
        <f>IFERROR(__xludf.DUMMYFUNCTION("""COMPUTED_VALUE"""),45467.0)</f>
        <v>45467</v>
      </c>
      <c r="C2713" s="266" t="str">
        <f>IFERROR(__xludf.DUMMYFUNCTION("""COMPUTED_VALUE"""),"KERTASARI CIAMIS")</f>
        <v>KERTASARI CIAMIS</v>
      </c>
      <c r="D2713" s="186">
        <f>IFERROR(__xludf.DUMMYFUNCTION("""COMPUTED_VALUE"""),1.0)</f>
        <v>1</v>
      </c>
    </row>
    <row r="2714">
      <c r="A2714" s="178" t="str">
        <f>IFERROR(__xludf.DUMMYFUNCTION("""COMPUTED_VALUE"""),"ITBISA-ARDUINO-UNO-R3-328P-SMD")</f>
        <v>ITBISA-ARDUINO-UNO-R3-328P-SMD</v>
      </c>
      <c r="B2714" s="266">
        <f>IFERROR(__xludf.DUMMYFUNCTION("""COMPUTED_VALUE"""),45469.0)</f>
        <v>45469</v>
      </c>
      <c r="C2714" s="266" t="str">
        <f>IFERROR(__xludf.DUMMYFUNCTION("""COMPUTED_VALUE"""),"KERTASARI CIAMIS")</f>
        <v>KERTASARI CIAMIS</v>
      </c>
      <c r="D2714" s="186">
        <f>IFERROR(__xludf.DUMMYFUNCTION("""COMPUTED_VALUE"""),1.0)</f>
        <v>1</v>
      </c>
    </row>
    <row r="2715">
      <c r="A2715" s="178" t="str">
        <f>IFERROR(__xludf.DUMMYFUNCTION("""COMPUTED_VALUE"""),"ITBISA-ARDUINO-UNO-R3-328P-SMD")</f>
        <v>ITBISA-ARDUINO-UNO-R3-328P-SMD</v>
      </c>
      <c r="B2715" s="266">
        <f>IFERROR(__xludf.DUMMYFUNCTION("""COMPUTED_VALUE"""),45472.0)</f>
        <v>45472</v>
      </c>
      <c r="C2715" s="266" t="str">
        <f>IFERROR(__xludf.DUMMYFUNCTION("""COMPUTED_VALUE"""),"KERTASARI CIAMIS")</f>
        <v>KERTASARI CIAMIS</v>
      </c>
      <c r="D2715" s="186">
        <f>IFERROR(__xludf.DUMMYFUNCTION("""COMPUTED_VALUE"""),10.0)</f>
        <v>10</v>
      </c>
    </row>
    <row r="2716">
      <c r="A2716" s="178" t="str">
        <f>IFERROR(__xludf.DUMMYFUNCTION("""COMPUTED_VALUE"""),"ITBISA-ARDUINO-UNO-R3-328P-SMD")</f>
        <v>ITBISA-ARDUINO-UNO-R3-328P-SMD</v>
      </c>
      <c r="B2716" s="266">
        <f>IFERROR(__xludf.DUMMYFUNCTION("""COMPUTED_VALUE"""),45475.0)</f>
        <v>45475</v>
      </c>
      <c r="C2716" s="266" t="str">
        <f>IFERROR(__xludf.DUMMYFUNCTION("""COMPUTED_VALUE"""),"KYAI KONTONG")</f>
        <v>KYAI KONTONG</v>
      </c>
      <c r="D2716" s="186">
        <f>IFERROR(__xludf.DUMMYFUNCTION("""COMPUTED_VALUE"""),1.0)</f>
        <v>1</v>
      </c>
    </row>
    <row r="2717">
      <c r="A2717" s="178" t="str">
        <f>IFERROR(__xludf.DUMMYFUNCTION("""COMPUTED_VALUE"""),"ITBISA-ARDUINO-UNO-R3-328P-SMD")</f>
        <v>ITBISA-ARDUINO-UNO-R3-328P-SMD</v>
      </c>
      <c r="B2717" s="266">
        <f>IFERROR(__xludf.DUMMYFUNCTION("""COMPUTED_VALUE"""),45477.0)</f>
        <v>45477</v>
      </c>
      <c r="C2717" s="266" t="str">
        <f>IFERROR(__xludf.DUMMYFUNCTION("""COMPUTED_VALUE"""),"KYAI KONTONG")</f>
        <v>KYAI KONTONG</v>
      </c>
      <c r="D2717" s="186">
        <f>IFERROR(__xludf.DUMMYFUNCTION("""COMPUTED_VALUE"""),2.0)</f>
        <v>2</v>
      </c>
    </row>
    <row r="2718">
      <c r="A2718" s="178" t="str">
        <f>IFERROR(__xludf.DUMMYFUNCTION("""COMPUTED_VALUE"""),"ITBISA-ARDUINO-UNO-R3-328P-SMD")</f>
        <v>ITBISA-ARDUINO-UNO-R3-328P-SMD</v>
      </c>
      <c r="B2718" s="266">
        <f>IFERROR(__xludf.DUMMYFUNCTION("""COMPUTED_VALUE"""),45477.0)</f>
        <v>45477</v>
      </c>
      <c r="C2718" s="266" t="str">
        <f>IFERROR(__xludf.DUMMYFUNCTION("""COMPUTED_VALUE"""),"KYAI KONTONG")</f>
        <v>KYAI KONTONG</v>
      </c>
      <c r="D2718" s="186">
        <f>IFERROR(__xludf.DUMMYFUNCTION("""COMPUTED_VALUE"""),10.0)</f>
        <v>10</v>
      </c>
    </row>
    <row r="2719">
      <c r="A2719" s="178" t="str">
        <f>IFERROR(__xludf.DUMMYFUNCTION("""COMPUTED_VALUE"""),"ITBISA-ARDUINO-UNO-R3-328P-SMD")</f>
        <v>ITBISA-ARDUINO-UNO-R3-328P-SMD</v>
      </c>
      <c r="B2719" s="266">
        <f>IFERROR(__xludf.DUMMYFUNCTION("""COMPUTED_VALUE"""),45480.0)</f>
        <v>45480</v>
      </c>
      <c r="C2719" s="266" t="str">
        <f>IFERROR(__xludf.DUMMYFUNCTION("""COMPUTED_VALUE"""),"KYAI KONTONG")</f>
        <v>KYAI KONTONG</v>
      </c>
      <c r="D2719" s="186">
        <f>IFERROR(__xludf.DUMMYFUNCTION("""COMPUTED_VALUE"""),1.0)</f>
        <v>1</v>
      </c>
    </row>
    <row r="2720">
      <c r="A2720" s="178" t="str">
        <f>IFERROR(__xludf.DUMMYFUNCTION("""COMPUTED_VALUE"""),"ITBISA-ARDUINO-UNO-R3-328P-SMD")</f>
        <v>ITBISA-ARDUINO-UNO-R3-328P-SMD</v>
      </c>
      <c r="B2720" s="266">
        <f>IFERROR(__xludf.DUMMYFUNCTION("""COMPUTED_VALUE"""),45484.0)</f>
        <v>45484</v>
      </c>
      <c r="C2720" s="266" t="str">
        <f>IFERROR(__xludf.DUMMYFUNCTION("""COMPUTED_VALUE"""),"KYAI KONTONG")</f>
        <v>KYAI KONTONG</v>
      </c>
      <c r="D2720" s="186">
        <f>IFERROR(__xludf.DUMMYFUNCTION("""COMPUTED_VALUE"""),9.0)</f>
        <v>9</v>
      </c>
    </row>
    <row r="2721">
      <c r="A2721" s="178" t="str">
        <f>IFERROR(__xludf.DUMMYFUNCTION("""COMPUTED_VALUE"""),"ITBISA-ARDUINO-UNO-R3-328P-SMD")</f>
        <v>ITBISA-ARDUINO-UNO-R3-328P-SMD</v>
      </c>
      <c r="B2721" s="266">
        <f>IFERROR(__xludf.DUMMYFUNCTION("""COMPUTED_VALUE"""),45485.0)</f>
        <v>45485</v>
      </c>
      <c r="C2721" s="266" t="str">
        <f>IFERROR(__xludf.DUMMYFUNCTION("""COMPUTED_VALUE"""),"KERTASARI CIAMIS")</f>
        <v>KERTASARI CIAMIS</v>
      </c>
      <c r="D2721" s="186">
        <f>IFERROR(__xludf.DUMMYFUNCTION("""COMPUTED_VALUE"""),1.0)</f>
        <v>1</v>
      </c>
    </row>
    <row r="2722">
      <c r="A2722" s="178" t="str">
        <f>IFERROR(__xludf.DUMMYFUNCTION("""COMPUTED_VALUE"""),"ITBISA-ARDUINO-UNO-R3-328P-SMD")</f>
        <v>ITBISA-ARDUINO-UNO-R3-328P-SMD</v>
      </c>
      <c r="B2722" s="266">
        <f>IFERROR(__xludf.DUMMYFUNCTION("""COMPUTED_VALUE"""),45486.0)</f>
        <v>45486</v>
      </c>
      <c r="C2722" s="266" t="str">
        <f>IFERROR(__xludf.DUMMYFUNCTION("""COMPUTED_VALUE"""),"KYAI KONTONG")</f>
        <v>KYAI KONTONG</v>
      </c>
      <c r="D2722" s="186">
        <f>IFERROR(__xludf.DUMMYFUNCTION("""COMPUTED_VALUE"""),1.0)</f>
        <v>1</v>
      </c>
    </row>
    <row r="2723">
      <c r="A2723" s="178" t="str">
        <f>IFERROR(__xludf.DUMMYFUNCTION("""COMPUTED_VALUE"""),"ITBISA-ARDUINO-UNO-R3-328P-SMD")</f>
        <v>ITBISA-ARDUINO-UNO-R3-328P-SMD</v>
      </c>
      <c r="B2723" s="266">
        <f>IFERROR(__xludf.DUMMYFUNCTION("""COMPUTED_VALUE"""),45486.0)</f>
        <v>45486</v>
      </c>
      <c r="C2723" s="266" t="str">
        <f>IFERROR(__xludf.DUMMYFUNCTION("""COMPUTED_VALUE"""),"KYAI KONTONG")</f>
        <v>KYAI KONTONG</v>
      </c>
      <c r="D2723" s="186">
        <f>IFERROR(__xludf.DUMMYFUNCTION("""COMPUTED_VALUE"""),1.0)</f>
        <v>1</v>
      </c>
    </row>
    <row r="2724">
      <c r="A2724" s="178" t="str">
        <f>IFERROR(__xludf.DUMMYFUNCTION("""COMPUTED_VALUE"""),"ITBISA-ARDUINO-UNO-R3-328P-SMD")</f>
        <v>ITBISA-ARDUINO-UNO-R3-328P-SMD</v>
      </c>
      <c r="B2724" s="266">
        <f>IFERROR(__xludf.DUMMYFUNCTION("""COMPUTED_VALUE"""),45490.0)</f>
        <v>45490</v>
      </c>
      <c r="C2724" s="266" t="str">
        <f>IFERROR(__xludf.DUMMYFUNCTION("""COMPUTED_VALUE"""),"KERTASARI CIAMIS")</f>
        <v>KERTASARI CIAMIS</v>
      </c>
      <c r="D2724" s="186">
        <f>IFERROR(__xludf.DUMMYFUNCTION("""COMPUTED_VALUE"""),10.0)</f>
        <v>10</v>
      </c>
    </row>
    <row r="2725">
      <c r="A2725" s="178" t="str">
        <f>IFERROR(__xludf.DUMMYFUNCTION("""COMPUTED_VALUE"""),"ITBISA-ARDUINO-UNO-R3-328P-SMD")</f>
        <v>ITBISA-ARDUINO-UNO-R3-328P-SMD</v>
      </c>
      <c r="B2725" s="266">
        <f>IFERROR(__xludf.DUMMYFUNCTION("""COMPUTED_VALUE"""),45491.0)</f>
        <v>45491</v>
      </c>
      <c r="C2725" s="266" t="str">
        <f>IFERROR(__xludf.DUMMYFUNCTION("""COMPUTED_VALUE"""),"KYAI KONTONG")</f>
        <v>KYAI KONTONG</v>
      </c>
      <c r="D2725" s="186">
        <f>IFERROR(__xludf.DUMMYFUNCTION("""COMPUTED_VALUE"""),35.0)</f>
        <v>35</v>
      </c>
    </row>
    <row r="2726">
      <c r="A2726" s="178" t="str">
        <f>IFERROR(__xludf.DUMMYFUNCTION("""COMPUTED_VALUE"""),"ITBISA-ARDUINO-UNO-R3-328P-SMD")</f>
        <v>ITBISA-ARDUINO-UNO-R3-328P-SMD</v>
      </c>
      <c r="B2726" s="266">
        <f>IFERROR(__xludf.DUMMYFUNCTION("""COMPUTED_VALUE"""),45491.0)</f>
        <v>45491</v>
      </c>
      <c r="C2726" s="266" t="str">
        <f>IFERROR(__xludf.DUMMYFUNCTION("""COMPUTED_VALUE"""),"KYAI KONTONG")</f>
        <v>KYAI KONTONG</v>
      </c>
      <c r="D2726" s="186">
        <f>IFERROR(__xludf.DUMMYFUNCTION("""COMPUTED_VALUE"""),40.0)</f>
        <v>40</v>
      </c>
    </row>
    <row r="2727">
      <c r="A2727" s="178" t="str">
        <f>IFERROR(__xludf.DUMMYFUNCTION("""COMPUTED_VALUE"""),"ITBISA-ARDUINO-UNO-R3-328P-SMD")</f>
        <v>ITBISA-ARDUINO-UNO-R3-328P-SMD</v>
      </c>
      <c r="B2727" s="266">
        <f>IFERROR(__xludf.DUMMYFUNCTION("""COMPUTED_VALUE"""),45492.0)</f>
        <v>45492</v>
      </c>
      <c r="C2727" s="266" t="str">
        <f>IFERROR(__xludf.DUMMYFUNCTION("""COMPUTED_VALUE"""),"KERTASARI CIAMIS")</f>
        <v>KERTASARI CIAMIS</v>
      </c>
      <c r="D2727" s="186">
        <f>IFERROR(__xludf.DUMMYFUNCTION("""COMPUTED_VALUE"""),1.0)</f>
        <v>1</v>
      </c>
    </row>
    <row r="2728">
      <c r="A2728" s="178" t="str">
        <f>IFERROR(__xludf.DUMMYFUNCTION("""COMPUTED_VALUE"""),"ITBISA-ARDUINO-UNO-R3-328P-SMD")</f>
        <v>ITBISA-ARDUINO-UNO-R3-328P-SMD</v>
      </c>
      <c r="B2728" s="266">
        <f>IFERROR(__xludf.DUMMYFUNCTION("""COMPUTED_VALUE"""),45495.0)</f>
        <v>45495</v>
      </c>
      <c r="C2728" s="266" t="str">
        <f>IFERROR(__xludf.DUMMYFUNCTION("""COMPUTED_VALUE"""),"KERTASARI CIAMIS")</f>
        <v>KERTASARI CIAMIS</v>
      </c>
      <c r="D2728" s="186">
        <f>IFERROR(__xludf.DUMMYFUNCTION("""COMPUTED_VALUE"""),1.0)</f>
        <v>1</v>
      </c>
    </row>
    <row r="2729">
      <c r="A2729" s="178" t="str">
        <f>IFERROR(__xludf.DUMMYFUNCTION("""COMPUTED_VALUE"""),"ITBISA-ARDUINO-UNO-R3-328P-SMD")</f>
        <v>ITBISA-ARDUINO-UNO-R3-328P-SMD</v>
      </c>
      <c r="B2729" s="266">
        <f>IFERROR(__xludf.DUMMYFUNCTION("""COMPUTED_VALUE"""),45495.0)</f>
        <v>45495</v>
      </c>
      <c r="C2729" s="266" t="str">
        <f>IFERROR(__xludf.DUMMYFUNCTION("""COMPUTED_VALUE"""),"KERTASARI CIAMIS")</f>
        <v>KERTASARI CIAMIS</v>
      </c>
      <c r="D2729" s="186">
        <f>IFERROR(__xludf.DUMMYFUNCTION("""COMPUTED_VALUE"""),1.0)</f>
        <v>1</v>
      </c>
    </row>
    <row r="2730">
      <c r="A2730" s="178" t="str">
        <f>IFERROR(__xludf.DUMMYFUNCTION("""COMPUTED_VALUE"""),"ITBISA-ARDUINO-UNO-R3-328P-SMD")</f>
        <v>ITBISA-ARDUINO-UNO-R3-328P-SMD</v>
      </c>
      <c r="B2730" s="266">
        <f>IFERROR(__xludf.DUMMYFUNCTION("""COMPUTED_VALUE"""),45495.0)</f>
        <v>45495</v>
      </c>
      <c r="C2730" s="266" t="str">
        <f>IFERROR(__xludf.DUMMYFUNCTION("""COMPUTED_VALUE"""),"KERTASARI CIAMIS")</f>
        <v>KERTASARI CIAMIS</v>
      </c>
      <c r="D2730" s="186">
        <f>IFERROR(__xludf.DUMMYFUNCTION("""COMPUTED_VALUE"""),2.0)</f>
        <v>2</v>
      </c>
    </row>
    <row r="2731">
      <c r="A2731" s="178" t="str">
        <f>IFERROR(__xludf.DUMMYFUNCTION("""COMPUTED_VALUE"""),"ITBISA-ARDUINO-UNO-R3-328P-SMD")</f>
        <v>ITBISA-ARDUINO-UNO-R3-328P-SMD</v>
      </c>
      <c r="B2731" s="266">
        <f>IFERROR(__xludf.DUMMYFUNCTION("""COMPUTED_VALUE"""),45496.0)</f>
        <v>45496</v>
      </c>
      <c r="C2731" s="266" t="str">
        <f>IFERROR(__xludf.DUMMYFUNCTION("""COMPUTED_VALUE"""),"KYAI KONTONG")</f>
        <v>KYAI KONTONG</v>
      </c>
      <c r="D2731" s="186">
        <f>IFERROR(__xludf.DUMMYFUNCTION("""COMPUTED_VALUE"""),1.0)</f>
        <v>1</v>
      </c>
    </row>
    <row r="2732">
      <c r="A2732" s="178" t="str">
        <f>IFERROR(__xludf.DUMMYFUNCTION("""COMPUTED_VALUE"""),"ITBISA-ARDUINO-UNO-R3-328P-SMD")</f>
        <v>ITBISA-ARDUINO-UNO-R3-328P-SMD</v>
      </c>
      <c r="B2732" s="266">
        <f>IFERROR(__xludf.DUMMYFUNCTION("""COMPUTED_VALUE"""),45498.0)</f>
        <v>45498</v>
      </c>
      <c r="C2732" s="266" t="str">
        <f>IFERROR(__xludf.DUMMYFUNCTION("""COMPUTED_VALUE"""),"KERTASARI CIAMIS")</f>
        <v>KERTASARI CIAMIS</v>
      </c>
      <c r="D2732" s="186">
        <f>IFERROR(__xludf.DUMMYFUNCTION("""COMPUTED_VALUE"""),1.0)</f>
        <v>1</v>
      </c>
    </row>
    <row r="2733">
      <c r="A2733" s="178" t="str">
        <f>IFERROR(__xludf.DUMMYFUNCTION("""COMPUTED_VALUE"""),"ITBISA-ARDUINO-UNO-R3-328P-SMD")</f>
        <v>ITBISA-ARDUINO-UNO-R3-328P-SMD</v>
      </c>
      <c r="B2733" s="266">
        <f>IFERROR(__xludf.DUMMYFUNCTION("""COMPUTED_VALUE"""),45499.0)</f>
        <v>45499</v>
      </c>
      <c r="C2733" s="266" t="str">
        <f>IFERROR(__xludf.DUMMYFUNCTION("""COMPUTED_VALUE"""),"KYAI KONTONG")</f>
        <v>KYAI KONTONG</v>
      </c>
      <c r="D2733" s="186">
        <f>IFERROR(__xludf.DUMMYFUNCTION("""COMPUTED_VALUE"""),1.0)</f>
        <v>1</v>
      </c>
    </row>
    <row r="2734">
      <c r="A2734" s="178" t="str">
        <f>IFERROR(__xludf.DUMMYFUNCTION("""COMPUTED_VALUE"""),"ITBISA-ARDUINO-UNO-R3-328P-SMD")</f>
        <v>ITBISA-ARDUINO-UNO-R3-328P-SMD</v>
      </c>
      <c r="B2734" s="266">
        <f>IFERROR(__xludf.DUMMYFUNCTION("""COMPUTED_VALUE"""),45500.0)</f>
        <v>45500</v>
      </c>
      <c r="C2734" s="266" t="str">
        <f>IFERROR(__xludf.DUMMYFUNCTION("""COMPUTED_VALUE"""),"KERTASARI CIAMIS")</f>
        <v>KERTASARI CIAMIS</v>
      </c>
      <c r="D2734" s="186">
        <f>IFERROR(__xludf.DUMMYFUNCTION("""COMPUTED_VALUE"""),1.0)</f>
        <v>1</v>
      </c>
    </row>
    <row r="2735">
      <c r="A2735" s="178" t="str">
        <f>IFERROR(__xludf.DUMMYFUNCTION("""COMPUTED_VALUE"""),"ITBISA-ARDUINO-UNO-R3-328P-SMD")</f>
        <v>ITBISA-ARDUINO-UNO-R3-328P-SMD</v>
      </c>
      <c r="B2735" s="266">
        <f>IFERROR(__xludf.DUMMYFUNCTION("""COMPUTED_VALUE"""),45500.0)</f>
        <v>45500</v>
      </c>
      <c r="C2735" s="266" t="str">
        <f>IFERROR(__xludf.DUMMYFUNCTION("""COMPUTED_VALUE"""),"KYAI KONTONG")</f>
        <v>KYAI KONTONG</v>
      </c>
      <c r="D2735" s="186">
        <f>IFERROR(__xludf.DUMMYFUNCTION("""COMPUTED_VALUE"""),1.0)</f>
        <v>1</v>
      </c>
    </row>
    <row r="2736">
      <c r="A2736" s="178" t="str">
        <f>IFERROR(__xludf.DUMMYFUNCTION("""COMPUTED_VALUE"""),"ITBISA-ARDUINO-UNO-R3-328P-SMD")</f>
        <v>ITBISA-ARDUINO-UNO-R3-328P-SMD</v>
      </c>
      <c r="B2736" s="266">
        <f>IFERROR(__xludf.DUMMYFUNCTION("""COMPUTED_VALUE"""),45500.0)</f>
        <v>45500</v>
      </c>
      <c r="C2736" s="266" t="str">
        <f>IFERROR(__xludf.DUMMYFUNCTION("""COMPUTED_VALUE"""),"KYAI KONTONG")</f>
        <v>KYAI KONTONG</v>
      </c>
      <c r="D2736" s="186">
        <f>IFERROR(__xludf.DUMMYFUNCTION("""COMPUTED_VALUE"""),1.0)</f>
        <v>1</v>
      </c>
    </row>
    <row r="2737">
      <c r="A2737" s="178" t="str">
        <f>IFERROR(__xludf.DUMMYFUNCTION("""COMPUTED_VALUE"""),"ITBISA-ARDUINO-UNO-R3-328P-SMD")</f>
        <v>ITBISA-ARDUINO-UNO-R3-328P-SMD</v>
      </c>
      <c r="B2737" s="266">
        <f>IFERROR(__xludf.DUMMYFUNCTION("""COMPUTED_VALUE"""),45500.0)</f>
        <v>45500</v>
      </c>
      <c r="C2737" s="266" t="str">
        <f>IFERROR(__xludf.DUMMYFUNCTION("""COMPUTED_VALUE"""),"KYAI KONTONG")</f>
        <v>KYAI KONTONG</v>
      </c>
      <c r="D2737" s="186">
        <f>IFERROR(__xludf.DUMMYFUNCTION("""COMPUTED_VALUE"""),12.0)</f>
        <v>12</v>
      </c>
    </row>
    <row r="2738">
      <c r="A2738" s="178" t="str">
        <f>IFERROR(__xludf.DUMMYFUNCTION("""COMPUTED_VALUE"""),"ITBISA-ARDUINO-UNO-R3-328P-SMD")</f>
        <v>ITBISA-ARDUINO-UNO-R3-328P-SMD</v>
      </c>
      <c r="B2738" s="266">
        <f>IFERROR(__xludf.DUMMYFUNCTION("""COMPUTED_VALUE"""),45500.0)</f>
        <v>45500</v>
      </c>
      <c r="C2738" s="266" t="str">
        <f>IFERROR(__xludf.DUMMYFUNCTION("""COMPUTED_VALUE"""),"KYAI KONTONG")</f>
        <v>KYAI KONTONG</v>
      </c>
      <c r="D2738" s="186">
        <f>IFERROR(__xludf.DUMMYFUNCTION("""COMPUTED_VALUE"""),30.0)</f>
        <v>30</v>
      </c>
    </row>
    <row r="2739">
      <c r="A2739" s="178" t="str">
        <f>IFERROR(__xludf.DUMMYFUNCTION("""COMPUTED_VALUE"""),"ITBISA-ARDUINO-UNO-R3-328P-SMD")</f>
        <v>ITBISA-ARDUINO-UNO-R3-328P-SMD</v>
      </c>
      <c r="B2739" s="266">
        <f>IFERROR(__xludf.DUMMYFUNCTION("""COMPUTED_VALUE"""),45501.0)</f>
        <v>45501</v>
      </c>
      <c r="C2739" s="266" t="str">
        <f>IFERROR(__xludf.DUMMYFUNCTION("""COMPUTED_VALUE"""),"KERTASARI CIAMIS")</f>
        <v>KERTASARI CIAMIS</v>
      </c>
      <c r="D2739" s="186">
        <f>IFERROR(__xludf.DUMMYFUNCTION("""COMPUTED_VALUE"""),1.0)</f>
        <v>1</v>
      </c>
    </row>
    <row r="2740">
      <c r="A2740" s="178" t="str">
        <f>IFERROR(__xludf.DUMMYFUNCTION("""COMPUTED_VALUE"""),"ITBISA-ARDUINO-UNO-R3-328P-SMD")</f>
        <v>ITBISA-ARDUINO-UNO-R3-328P-SMD</v>
      </c>
      <c r="B2740" s="266">
        <f>IFERROR(__xludf.DUMMYFUNCTION("""COMPUTED_VALUE"""),45501.0)</f>
        <v>45501</v>
      </c>
      <c r="C2740" s="266" t="str">
        <f>IFERROR(__xludf.DUMMYFUNCTION("""COMPUTED_VALUE"""),"KERTASARI CIAMIS")</f>
        <v>KERTASARI CIAMIS</v>
      </c>
      <c r="D2740" s="186">
        <f>IFERROR(__xludf.DUMMYFUNCTION("""COMPUTED_VALUE"""),2.0)</f>
        <v>2</v>
      </c>
    </row>
    <row r="2741">
      <c r="A2741" s="178" t="str">
        <f>IFERROR(__xludf.DUMMYFUNCTION("""COMPUTED_VALUE"""),"ITBISA-ARDUINO-UNO-R3-328P-SMD")</f>
        <v>ITBISA-ARDUINO-UNO-R3-328P-SMD</v>
      </c>
      <c r="B2741" s="266">
        <f>IFERROR(__xludf.DUMMYFUNCTION("""COMPUTED_VALUE"""),45501.0)</f>
        <v>45501</v>
      </c>
      <c r="C2741" s="266" t="str">
        <f>IFERROR(__xludf.DUMMYFUNCTION("""COMPUTED_VALUE"""),"KERTASARI CIAMIS")</f>
        <v>KERTASARI CIAMIS</v>
      </c>
      <c r="D2741" s="186">
        <f>IFERROR(__xludf.DUMMYFUNCTION("""COMPUTED_VALUE"""),2.0)</f>
        <v>2</v>
      </c>
    </row>
    <row r="2742">
      <c r="A2742" s="178" t="str">
        <f>IFERROR(__xludf.DUMMYFUNCTION("""COMPUTED_VALUE"""),"ITBISA-ARDUINO-UNO-R3-328P-SMD")</f>
        <v>ITBISA-ARDUINO-UNO-R3-328P-SMD</v>
      </c>
      <c r="B2742" s="266">
        <f>IFERROR(__xludf.DUMMYFUNCTION("""COMPUTED_VALUE"""),45502.0)</f>
        <v>45502</v>
      </c>
      <c r="C2742" s="266" t="str">
        <f>IFERROR(__xludf.DUMMYFUNCTION("""COMPUTED_VALUE"""),"KERTASARI CIAMIS")</f>
        <v>KERTASARI CIAMIS</v>
      </c>
      <c r="D2742" s="186">
        <f>IFERROR(__xludf.DUMMYFUNCTION("""COMPUTED_VALUE"""),1.0)</f>
        <v>1</v>
      </c>
    </row>
    <row r="2743">
      <c r="A2743" s="178" t="str">
        <f>IFERROR(__xludf.DUMMYFUNCTION("""COMPUTED_VALUE"""),"ITBISA-ARDUINO-UNO-R3-328P-SMD")</f>
        <v>ITBISA-ARDUINO-UNO-R3-328P-SMD</v>
      </c>
      <c r="B2743" s="266">
        <f>IFERROR(__xludf.DUMMYFUNCTION("""COMPUTED_VALUE"""),45503.0)</f>
        <v>45503</v>
      </c>
      <c r="C2743" s="266" t="str">
        <f>IFERROR(__xludf.DUMMYFUNCTION("""COMPUTED_VALUE"""),"KERTASARI CIAMIS")</f>
        <v>KERTASARI CIAMIS</v>
      </c>
      <c r="D2743" s="186">
        <f>IFERROR(__xludf.DUMMYFUNCTION("""COMPUTED_VALUE"""),1.0)</f>
        <v>1</v>
      </c>
    </row>
    <row r="2744">
      <c r="A2744" s="178" t="str">
        <f>IFERROR(__xludf.DUMMYFUNCTION("""COMPUTED_VALUE"""),"ITBISA-ARDUINO-UNO-R3-328P-SMD")</f>
        <v>ITBISA-ARDUINO-UNO-R3-328P-SMD</v>
      </c>
      <c r="B2744" s="266">
        <f>IFERROR(__xludf.DUMMYFUNCTION("""COMPUTED_VALUE"""),45504.0)</f>
        <v>45504</v>
      </c>
      <c r="C2744" s="266" t="str">
        <f>IFERROR(__xludf.DUMMYFUNCTION("""COMPUTED_VALUE"""),"KERTASARI CIAMIS")</f>
        <v>KERTASARI CIAMIS</v>
      </c>
      <c r="D2744" s="186">
        <f>IFERROR(__xludf.DUMMYFUNCTION("""COMPUTED_VALUE"""),2.0)</f>
        <v>2</v>
      </c>
    </row>
    <row r="2745">
      <c r="A2745" s="178" t="str">
        <f>IFERROR(__xludf.DUMMYFUNCTION("""COMPUTED_VALUE"""),"ITBISA-ARDUINO-UNO-R3-328P-SMD")</f>
        <v>ITBISA-ARDUINO-UNO-R3-328P-SMD</v>
      </c>
      <c r="B2745" s="266">
        <f>IFERROR(__xludf.DUMMYFUNCTION("""COMPUTED_VALUE"""),45505.0)</f>
        <v>45505</v>
      </c>
      <c r="C2745" s="266" t="str">
        <f>IFERROR(__xludf.DUMMYFUNCTION("""COMPUTED_VALUE"""),"KERTASARI CIAMIS")</f>
        <v>KERTASARI CIAMIS</v>
      </c>
      <c r="D2745" s="186">
        <f>IFERROR(__xludf.DUMMYFUNCTION("""COMPUTED_VALUE"""),40.0)</f>
        <v>40</v>
      </c>
    </row>
    <row r="2746">
      <c r="A2746" s="178" t="str">
        <f>IFERROR(__xludf.DUMMYFUNCTION("""COMPUTED_VALUE"""),"ITBISA-ARDUINO-UNO-R3-328P-SMD")</f>
        <v>ITBISA-ARDUINO-UNO-R3-328P-SMD</v>
      </c>
      <c r="B2746" s="266">
        <f>IFERROR(__xludf.DUMMYFUNCTION("""COMPUTED_VALUE"""),45505.0)</f>
        <v>45505</v>
      </c>
      <c r="C2746" s="266" t="str">
        <f>IFERROR(__xludf.DUMMYFUNCTION("""COMPUTED_VALUE"""),"KYAI KONTONG")</f>
        <v>KYAI KONTONG</v>
      </c>
      <c r="D2746" s="186">
        <f>IFERROR(__xludf.DUMMYFUNCTION("""COMPUTED_VALUE"""),50.0)</f>
        <v>50</v>
      </c>
    </row>
    <row r="2747">
      <c r="A2747" s="178" t="str">
        <f>IFERROR(__xludf.DUMMYFUNCTION("""COMPUTED_VALUE"""),"ITBISA-ARDUINO-UNO-R3-328P-SMD")</f>
        <v>ITBISA-ARDUINO-UNO-R3-328P-SMD</v>
      </c>
      <c r="B2747" s="266">
        <f>IFERROR(__xludf.DUMMYFUNCTION("""COMPUTED_VALUE"""),45507.0)</f>
        <v>45507</v>
      </c>
      <c r="C2747" s="266" t="str">
        <f>IFERROR(__xludf.DUMMYFUNCTION("""COMPUTED_VALUE"""),"KYAI KONTONG")</f>
        <v>KYAI KONTONG</v>
      </c>
      <c r="D2747" s="186">
        <f>IFERROR(__xludf.DUMMYFUNCTION("""COMPUTED_VALUE"""),2.0)</f>
        <v>2</v>
      </c>
    </row>
    <row r="2748">
      <c r="A2748" s="178" t="str">
        <f>IFERROR(__xludf.DUMMYFUNCTION("""COMPUTED_VALUE"""),"ITBISA-ARDUINO-UNO-R3-328P-SMD")</f>
        <v>ITBISA-ARDUINO-UNO-R3-328P-SMD</v>
      </c>
      <c r="B2748" s="266">
        <f>IFERROR(__xludf.DUMMYFUNCTION("""COMPUTED_VALUE"""),45509.0)</f>
        <v>45509</v>
      </c>
      <c r="C2748" s="266" t="str">
        <f>IFERROR(__xludf.DUMMYFUNCTION("""COMPUTED_VALUE"""),"KYAI KONTONG")</f>
        <v>KYAI KONTONG</v>
      </c>
      <c r="D2748" s="186">
        <f>IFERROR(__xludf.DUMMYFUNCTION("""COMPUTED_VALUE"""),4.0)</f>
        <v>4</v>
      </c>
    </row>
    <row r="2749">
      <c r="A2749" s="178" t="str">
        <f>IFERROR(__xludf.DUMMYFUNCTION("""COMPUTED_VALUE"""),"ITBISA-ARDUINO-UNO-R3-328P-SMD")</f>
        <v>ITBISA-ARDUINO-UNO-R3-328P-SMD</v>
      </c>
      <c r="B2749" s="266">
        <f>IFERROR(__xludf.DUMMYFUNCTION("""COMPUTED_VALUE"""),45510.0)</f>
        <v>45510</v>
      </c>
      <c r="C2749" s="266" t="str">
        <f>IFERROR(__xludf.DUMMYFUNCTION("""COMPUTED_VALUE"""),"KYAI KONTONG")</f>
        <v>KYAI KONTONG</v>
      </c>
      <c r="D2749" s="186">
        <f>IFERROR(__xludf.DUMMYFUNCTION("""COMPUTED_VALUE"""),1.0)</f>
        <v>1</v>
      </c>
    </row>
    <row r="2750">
      <c r="A2750" s="178" t="str">
        <f>IFERROR(__xludf.DUMMYFUNCTION("""COMPUTED_VALUE"""),"ITBISA-ARDUINO-UNO-R3-328P-SMD")</f>
        <v>ITBISA-ARDUINO-UNO-R3-328P-SMD</v>
      </c>
      <c r="B2750" s="266">
        <f>IFERROR(__xludf.DUMMYFUNCTION("""COMPUTED_VALUE"""),45512.0)</f>
        <v>45512</v>
      </c>
      <c r="C2750" s="266" t="str">
        <f>IFERROR(__xludf.DUMMYFUNCTION("""COMPUTED_VALUE"""),"KYAI KONTONG")</f>
        <v>KYAI KONTONG</v>
      </c>
      <c r="D2750" s="186">
        <f>IFERROR(__xludf.DUMMYFUNCTION("""COMPUTED_VALUE"""),1.0)</f>
        <v>1</v>
      </c>
    </row>
    <row r="2751">
      <c r="A2751" s="178" t="str">
        <f>IFERROR(__xludf.DUMMYFUNCTION("""COMPUTED_VALUE"""),"ITBISA-ARDUINO-UNO-R3-328P-SMD")</f>
        <v>ITBISA-ARDUINO-UNO-R3-328P-SMD</v>
      </c>
      <c r="B2751" s="266">
        <f>IFERROR(__xludf.DUMMYFUNCTION("""COMPUTED_VALUE"""),45512.0)</f>
        <v>45512</v>
      </c>
      <c r="C2751" s="266" t="str">
        <f>IFERROR(__xludf.DUMMYFUNCTION("""COMPUTED_VALUE"""),"KYAI KONTONG")</f>
        <v>KYAI KONTONG</v>
      </c>
      <c r="D2751" s="186">
        <f>IFERROR(__xludf.DUMMYFUNCTION("""COMPUTED_VALUE"""),1.0)</f>
        <v>1</v>
      </c>
    </row>
    <row r="2752">
      <c r="A2752" s="178" t="str">
        <f>IFERROR(__xludf.DUMMYFUNCTION("""COMPUTED_VALUE"""),"ITBISA-ARDUINO-UNO-R3-328P-SMD")</f>
        <v>ITBISA-ARDUINO-UNO-R3-328P-SMD</v>
      </c>
      <c r="B2752" s="266">
        <f>IFERROR(__xludf.DUMMYFUNCTION("""COMPUTED_VALUE"""),45515.0)</f>
        <v>45515</v>
      </c>
      <c r="C2752" s="266" t="str">
        <f>IFERROR(__xludf.DUMMYFUNCTION("""COMPUTED_VALUE"""),"KYAI KONTONG")</f>
        <v>KYAI KONTONG</v>
      </c>
      <c r="D2752" s="186">
        <f>IFERROR(__xludf.DUMMYFUNCTION("""COMPUTED_VALUE"""),1.0)</f>
        <v>1</v>
      </c>
    </row>
    <row r="2753">
      <c r="A2753" s="178" t="str">
        <f>IFERROR(__xludf.DUMMYFUNCTION("""COMPUTED_VALUE"""),"ITBISA-ARDUINO-UNO-R3-328P-SMD")</f>
        <v>ITBISA-ARDUINO-UNO-R3-328P-SMD</v>
      </c>
      <c r="B2753" s="266">
        <f>IFERROR(__xludf.DUMMYFUNCTION("""COMPUTED_VALUE"""),45515.0)</f>
        <v>45515</v>
      </c>
      <c r="C2753" s="266" t="str">
        <f>IFERROR(__xludf.DUMMYFUNCTION("""COMPUTED_VALUE"""),"KYAI KONTONG")</f>
        <v>KYAI KONTONG</v>
      </c>
      <c r="D2753" s="186">
        <f>IFERROR(__xludf.DUMMYFUNCTION("""COMPUTED_VALUE"""),1.0)</f>
        <v>1</v>
      </c>
    </row>
    <row r="2754">
      <c r="A2754" s="178" t="str">
        <f>IFERROR(__xludf.DUMMYFUNCTION("""COMPUTED_VALUE"""),"ITBISA-ARDUINO-UNO-R3-328P-SMD")</f>
        <v>ITBISA-ARDUINO-UNO-R3-328P-SMD</v>
      </c>
      <c r="B2754" s="266">
        <f>IFERROR(__xludf.DUMMYFUNCTION("""COMPUTED_VALUE"""),45516.0)</f>
        <v>45516</v>
      </c>
      <c r="C2754" s="266" t="str">
        <f>IFERROR(__xludf.DUMMYFUNCTION("""COMPUTED_VALUE"""),"KYAI KONTONG")</f>
        <v>KYAI KONTONG</v>
      </c>
      <c r="D2754" s="186">
        <f>IFERROR(__xludf.DUMMYFUNCTION("""COMPUTED_VALUE"""),1.0)</f>
        <v>1</v>
      </c>
    </row>
    <row r="2755">
      <c r="A2755" s="178" t="str">
        <f>IFERROR(__xludf.DUMMYFUNCTION("""COMPUTED_VALUE"""),"ITBISA-ARDUINO-UNO-R3-328P-SMD")</f>
        <v>ITBISA-ARDUINO-UNO-R3-328P-SMD</v>
      </c>
      <c r="B2755" s="266">
        <f>IFERROR(__xludf.DUMMYFUNCTION("""COMPUTED_VALUE"""),45517.0)</f>
        <v>45517</v>
      </c>
      <c r="C2755" s="266" t="str">
        <f>IFERROR(__xludf.DUMMYFUNCTION("""COMPUTED_VALUE"""),"KYAI KONTONG")</f>
        <v>KYAI KONTONG</v>
      </c>
      <c r="D2755" s="186">
        <f>IFERROR(__xludf.DUMMYFUNCTION("""COMPUTED_VALUE"""),2.0)</f>
        <v>2</v>
      </c>
    </row>
    <row r="2756">
      <c r="A2756" s="178" t="str">
        <f>IFERROR(__xludf.DUMMYFUNCTION("""COMPUTED_VALUE"""),"ITBISA-ARDUINO-UNO-R3-328P-SMD")</f>
        <v>ITBISA-ARDUINO-UNO-R3-328P-SMD</v>
      </c>
      <c r="B2756" s="266">
        <f>IFERROR(__xludf.DUMMYFUNCTION("""COMPUTED_VALUE"""),45517.0)</f>
        <v>45517</v>
      </c>
      <c r="C2756" s="266" t="str">
        <f>IFERROR(__xludf.DUMMYFUNCTION("""COMPUTED_VALUE"""),"KYAI KONTONG")</f>
        <v>KYAI KONTONG</v>
      </c>
      <c r="D2756" s="186">
        <f>IFERROR(__xludf.DUMMYFUNCTION("""COMPUTED_VALUE"""),20.0)</f>
        <v>20</v>
      </c>
    </row>
    <row r="2757">
      <c r="A2757" s="178" t="str">
        <f>IFERROR(__xludf.DUMMYFUNCTION("""COMPUTED_VALUE"""),"ITBISA-ARDUINO-UNO-R3-328P-SMD")</f>
        <v>ITBISA-ARDUINO-UNO-R3-328P-SMD</v>
      </c>
      <c r="B2757" s="266">
        <f>IFERROR(__xludf.DUMMYFUNCTION("""COMPUTED_VALUE"""),45518.0)</f>
        <v>45518</v>
      </c>
      <c r="C2757" s="266" t="str">
        <f>IFERROR(__xludf.DUMMYFUNCTION("""COMPUTED_VALUE"""),"KYAI KONTONG")</f>
        <v>KYAI KONTONG</v>
      </c>
      <c r="D2757" s="186">
        <f>IFERROR(__xludf.DUMMYFUNCTION("""COMPUTED_VALUE"""),1.0)</f>
        <v>1</v>
      </c>
    </row>
    <row r="2758">
      <c r="A2758" s="178" t="str">
        <f>IFERROR(__xludf.DUMMYFUNCTION("""COMPUTED_VALUE"""),"ITBISA-ARDUINO-UNO-R3-328P-SMD")</f>
        <v>ITBISA-ARDUINO-UNO-R3-328P-SMD</v>
      </c>
      <c r="B2758" s="266">
        <f>IFERROR(__xludf.DUMMYFUNCTION("""COMPUTED_VALUE"""),45518.0)</f>
        <v>45518</v>
      </c>
      <c r="C2758" s="266" t="str">
        <f>IFERROR(__xludf.DUMMYFUNCTION("""COMPUTED_VALUE"""),"KYAI KONTONG")</f>
        <v>KYAI KONTONG</v>
      </c>
      <c r="D2758" s="186">
        <f>IFERROR(__xludf.DUMMYFUNCTION("""COMPUTED_VALUE"""),1.0)</f>
        <v>1</v>
      </c>
    </row>
    <row r="2759">
      <c r="A2759" s="178" t="str">
        <f>IFERROR(__xludf.DUMMYFUNCTION("""COMPUTED_VALUE"""),"ITBISA-ARDUINO-UNO-R3-328P-SMD")</f>
        <v>ITBISA-ARDUINO-UNO-R3-328P-SMD</v>
      </c>
      <c r="B2759" s="266">
        <f>IFERROR(__xludf.DUMMYFUNCTION("""COMPUTED_VALUE"""),45518.0)</f>
        <v>45518</v>
      </c>
      <c r="C2759" s="266" t="str">
        <f>IFERROR(__xludf.DUMMYFUNCTION("""COMPUTED_VALUE"""),"KYAI KONTONG")</f>
        <v>KYAI KONTONG</v>
      </c>
      <c r="D2759" s="186">
        <f>IFERROR(__xludf.DUMMYFUNCTION("""COMPUTED_VALUE"""),1.0)</f>
        <v>1</v>
      </c>
    </row>
    <row r="2760">
      <c r="A2760" s="178" t="str">
        <f>IFERROR(__xludf.DUMMYFUNCTION("""COMPUTED_VALUE"""),"ITBISA-ARDUINO-UNO-R3-328P-SMD")</f>
        <v>ITBISA-ARDUINO-UNO-R3-328P-SMD</v>
      </c>
      <c r="B2760" s="266">
        <f>IFERROR(__xludf.DUMMYFUNCTION("""COMPUTED_VALUE"""),45518.0)</f>
        <v>45518</v>
      </c>
      <c r="C2760" s="266" t="str">
        <f>IFERROR(__xludf.DUMMYFUNCTION("""COMPUTED_VALUE"""),"KYAI KONTONG")</f>
        <v>KYAI KONTONG</v>
      </c>
      <c r="D2760" s="186">
        <f>IFERROR(__xludf.DUMMYFUNCTION("""COMPUTED_VALUE"""),6.0)</f>
        <v>6</v>
      </c>
    </row>
    <row r="2761">
      <c r="A2761" s="178" t="str">
        <f>IFERROR(__xludf.DUMMYFUNCTION("""COMPUTED_VALUE"""),"ITBISA-ARDUINO-UNO-R3-328P-SMD")</f>
        <v>ITBISA-ARDUINO-UNO-R3-328P-SMD</v>
      </c>
      <c r="B2761" s="266">
        <f>IFERROR(__xludf.DUMMYFUNCTION("""COMPUTED_VALUE"""),45521.0)</f>
        <v>45521</v>
      </c>
      <c r="C2761" s="266" t="str">
        <f>IFERROR(__xludf.DUMMYFUNCTION("""COMPUTED_VALUE"""),"KYAI KONTONG")</f>
        <v>KYAI KONTONG</v>
      </c>
      <c r="D2761" s="186">
        <f>IFERROR(__xludf.DUMMYFUNCTION("""COMPUTED_VALUE"""),1.0)</f>
        <v>1</v>
      </c>
    </row>
    <row r="2762">
      <c r="A2762" s="178" t="str">
        <f>IFERROR(__xludf.DUMMYFUNCTION("""COMPUTED_VALUE"""),"ITBISA-ARDUINO-UNO-R3-328P-SMD")</f>
        <v>ITBISA-ARDUINO-UNO-R3-328P-SMD</v>
      </c>
      <c r="B2762" s="266">
        <f>IFERROR(__xludf.DUMMYFUNCTION("""COMPUTED_VALUE"""),45522.0)</f>
        <v>45522</v>
      </c>
      <c r="C2762" s="266" t="str">
        <f>IFERROR(__xludf.DUMMYFUNCTION("""COMPUTED_VALUE"""),"KYAI KONTONG")</f>
        <v>KYAI KONTONG</v>
      </c>
      <c r="D2762" s="186">
        <f>IFERROR(__xludf.DUMMYFUNCTION("""COMPUTED_VALUE"""),1.0)</f>
        <v>1</v>
      </c>
    </row>
    <row r="2763">
      <c r="A2763" s="178" t="str">
        <f>IFERROR(__xludf.DUMMYFUNCTION("""COMPUTED_VALUE"""),"ITBISA-ARDUINO-UNO-R3-328P-SMD")</f>
        <v>ITBISA-ARDUINO-UNO-R3-328P-SMD</v>
      </c>
      <c r="B2763" s="266">
        <f>IFERROR(__xludf.DUMMYFUNCTION("""COMPUTED_VALUE"""),45523.0)</f>
        <v>45523</v>
      </c>
      <c r="C2763" s="266" t="str">
        <f>IFERROR(__xludf.DUMMYFUNCTION("""COMPUTED_VALUE"""),"KYAI KONTONG")</f>
        <v>KYAI KONTONG</v>
      </c>
      <c r="D2763" s="186">
        <f>IFERROR(__xludf.DUMMYFUNCTION("""COMPUTED_VALUE"""),2.0)</f>
        <v>2</v>
      </c>
    </row>
    <row r="2764">
      <c r="A2764" s="178" t="str">
        <f>IFERROR(__xludf.DUMMYFUNCTION("""COMPUTED_VALUE"""),"ITBISA-ARDUINO-UNO-R3-328P-SMD")</f>
        <v>ITBISA-ARDUINO-UNO-R3-328P-SMD</v>
      </c>
      <c r="B2764" s="266">
        <f>IFERROR(__xludf.DUMMYFUNCTION("""COMPUTED_VALUE"""),45523.0)</f>
        <v>45523</v>
      </c>
      <c r="C2764" s="266" t="str">
        <f>IFERROR(__xludf.DUMMYFUNCTION("""COMPUTED_VALUE"""),"KYAI KONTONG")</f>
        <v>KYAI KONTONG</v>
      </c>
      <c r="D2764" s="186">
        <f>IFERROR(__xludf.DUMMYFUNCTION("""COMPUTED_VALUE"""),5.0)</f>
        <v>5</v>
      </c>
    </row>
    <row r="2765">
      <c r="A2765" s="178" t="str">
        <f>IFERROR(__xludf.DUMMYFUNCTION("""COMPUTED_VALUE"""),"ITBISA-ARDUINO-UNO-R3-328P-SMD")</f>
        <v>ITBISA-ARDUINO-UNO-R3-328P-SMD</v>
      </c>
      <c r="B2765" s="266">
        <f>IFERROR(__xludf.DUMMYFUNCTION("""COMPUTED_VALUE"""),45524.0)</f>
        <v>45524</v>
      </c>
      <c r="C2765" s="266" t="str">
        <f>IFERROR(__xludf.DUMMYFUNCTION("""COMPUTED_VALUE"""),"KYAI KONTONG")</f>
        <v>KYAI KONTONG</v>
      </c>
      <c r="D2765" s="186">
        <f>IFERROR(__xludf.DUMMYFUNCTION("""COMPUTED_VALUE"""),14.0)</f>
        <v>14</v>
      </c>
    </row>
    <row r="2766">
      <c r="A2766" s="178" t="str">
        <f>IFERROR(__xludf.DUMMYFUNCTION("""COMPUTED_VALUE"""),"ITBISA-ARDUINO-UNO-R3-328P-SMD")</f>
        <v>ITBISA-ARDUINO-UNO-R3-328P-SMD</v>
      </c>
      <c r="B2766" s="266">
        <f>IFERROR(__xludf.DUMMYFUNCTION("""COMPUTED_VALUE"""),45526.0)</f>
        <v>45526</v>
      </c>
      <c r="C2766" s="266" t="str">
        <f>IFERROR(__xludf.DUMMYFUNCTION("""COMPUTED_VALUE"""),"KYAI KONTONG")</f>
        <v>KYAI KONTONG</v>
      </c>
      <c r="D2766" s="186">
        <f>IFERROR(__xludf.DUMMYFUNCTION("""COMPUTED_VALUE"""),1.0)</f>
        <v>1</v>
      </c>
    </row>
    <row r="2767">
      <c r="A2767" s="178" t="str">
        <f>IFERROR(__xludf.DUMMYFUNCTION("""COMPUTED_VALUE"""),"ITBISA-ARDUINO-UNO-R3-328P-SMD")</f>
        <v>ITBISA-ARDUINO-UNO-R3-328P-SMD</v>
      </c>
      <c r="B2767" s="266">
        <f>IFERROR(__xludf.DUMMYFUNCTION("""COMPUTED_VALUE"""),45531.0)</f>
        <v>45531</v>
      </c>
      <c r="C2767" s="266" t="str">
        <f>IFERROR(__xludf.DUMMYFUNCTION("""COMPUTED_VALUE"""),"KYAI KONTONG")</f>
        <v>KYAI KONTONG</v>
      </c>
      <c r="D2767" s="186">
        <f>IFERROR(__xludf.DUMMYFUNCTION("""COMPUTED_VALUE"""),1.0)</f>
        <v>1</v>
      </c>
    </row>
    <row r="2768">
      <c r="A2768" s="178" t="str">
        <f>IFERROR(__xludf.DUMMYFUNCTION("""COMPUTED_VALUE"""),"ITBISA-ARDUINO-UNO-R3-328P-SMD")</f>
        <v>ITBISA-ARDUINO-UNO-R3-328P-SMD</v>
      </c>
      <c r="B2768" s="266">
        <f>IFERROR(__xludf.DUMMYFUNCTION("""COMPUTED_VALUE"""),45534.0)</f>
        <v>45534</v>
      </c>
      <c r="C2768" s="266" t="str">
        <f>IFERROR(__xludf.DUMMYFUNCTION("""COMPUTED_VALUE"""),"KYAI KONTONG")</f>
        <v>KYAI KONTONG</v>
      </c>
      <c r="D2768" s="186">
        <f>IFERROR(__xludf.DUMMYFUNCTION("""COMPUTED_VALUE"""),1.0)</f>
        <v>1</v>
      </c>
    </row>
    <row r="2769">
      <c r="A2769" s="178" t="str">
        <f>IFERROR(__xludf.DUMMYFUNCTION("""COMPUTED_VALUE"""),"ITBISA-ARDUINO-UNO-R3-328P-SMD")</f>
        <v>ITBISA-ARDUINO-UNO-R3-328P-SMD</v>
      </c>
      <c r="B2769" s="266">
        <f>IFERROR(__xludf.DUMMYFUNCTION("""COMPUTED_VALUE"""),45538.0)</f>
        <v>45538</v>
      </c>
      <c r="C2769" s="266" t="str">
        <f>IFERROR(__xludf.DUMMYFUNCTION("""COMPUTED_VALUE"""),"KERTASARI CIAMIS")</f>
        <v>KERTASARI CIAMIS</v>
      </c>
      <c r="D2769" s="186">
        <f>IFERROR(__xludf.DUMMYFUNCTION("""COMPUTED_VALUE"""),1.0)</f>
        <v>1</v>
      </c>
    </row>
    <row r="2770">
      <c r="A2770" s="178" t="str">
        <f>IFERROR(__xludf.DUMMYFUNCTION("""COMPUTED_VALUE"""),"ITBISA-ARDUINO-UNO-R3-328P-SMD")</f>
        <v>ITBISA-ARDUINO-UNO-R3-328P-SMD</v>
      </c>
      <c r="B2770" s="266">
        <f>IFERROR(__xludf.DUMMYFUNCTION("""COMPUTED_VALUE"""),45544.0)</f>
        <v>45544</v>
      </c>
      <c r="C2770" s="266" t="str">
        <f>IFERROR(__xludf.DUMMYFUNCTION("""COMPUTED_VALUE"""),"KYAI KONTONG")</f>
        <v>KYAI KONTONG</v>
      </c>
      <c r="D2770" s="186">
        <f>IFERROR(__xludf.DUMMYFUNCTION("""COMPUTED_VALUE"""),1.0)</f>
        <v>1</v>
      </c>
    </row>
    <row r="2771">
      <c r="A2771" s="178" t="str">
        <f>IFERROR(__xludf.DUMMYFUNCTION("""COMPUTED_VALUE"""),"ITBISA-ARDUINO-UNO-R3-328P-SMD")</f>
        <v>ITBISA-ARDUINO-UNO-R3-328P-SMD</v>
      </c>
      <c r="B2771" s="266">
        <f>IFERROR(__xludf.DUMMYFUNCTION("""COMPUTED_VALUE"""),45550.0)</f>
        <v>45550</v>
      </c>
      <c r="C2771" s="266" t="str">
        <f>IFERROR(__xludf.DUMMYFUNCTION("""COMPUTED_VALUE"""),"KYAI KONTONG")</f>
        <v>KYAI KONTONG</v>
      </c>
      <c r="D2771" s="186">
        <f>IFERROR(__xludf.DUMMYFUNCTION("""COMPUTED_VALUE"""),1.0)</f>
        <v>1</v>
      </c>
    </row>
    <row r="2772">
      <c r="A2772" s="178" t="str">
        <f>IFERROR(__xludf.DUMMYFUNCTION("""COMPUTED_VALUE"""),"ITBISA-ARDUINO-UNO-R3-328P-SMD")</f>
        <v>ITBISA-ARDUINO-UNO-R3-328P-SMD</v>
      </c>
      <c r="B2772" s="266">
        <f>IFERROR(__xludf.DUMMYFUNCTION("""COMPUTED_VALUE"""),45558.0)</f>
        <v>45558</v>
      </c>
      <c r="C2772" s="266" t="str">
        <f>IFERROR(__xludf.DUMMYFUNCTION("""COMPUTED_VALUE"""),"KYAI KONTONG")</f>
        <v>KYAI KONTONG</v>
      </c>
      <c r="D2772" s="186">
        <f>IFERROR(__xludf.DUMMYFUNCTION("""COMPUTED_VALUE"""),1.0)</f>
        <v>1</v>
      </c>
    </row>
    <row r="2773">
      <c r="A2773" s="178" t="str">
        <f>IFERROR(__xludf.DUMMYFUNCTION("""COMPUTED_VALUE"""),"ITBISA-ARDUINO-UNO-R3-328P-SMD")</f>
        <v>ITBISA-ARDUINO-UNO-R3-328P-SMD</v>
      </c>
      <c r="B2773" s="266">
        <f>IFERROR(__xludf.DUMMYFUNCTION("""COMPUTED_VALUE"""),45559.0)</f>
        <v>45559</v>
      </c>
      <c r="C2773" s="266" t="str">
        <f>IFERROR(__xludf.DUMMYFUNCTION("""COMPUTED_VALUE"""),"KYAI KONTONG")</f>
        <v>KYAI KONTONG</v>
      </c>
      <c r="D2773" s="186">
        <f>IFERROR(__xludf.DUMMYFUNCTION("""COMPUTED_VALUE"""),1.0)</f>
        <v>1</v>
      </c>
    </row>
    <row r="2774">
      <c r="A2774" s="178" t="str">
        <f>IFERROR(__xludf.DUMMYFUNCTION("""COMPUTED_VALUE"""),"ITBISA-ARDUINO-UNO-R3-328P-SMD")</f>
        <v>ITBISA-ARDUINO-UNO-R3-328P-SMD</v>
      </c>
      <c r="B2774" s="266">
        <f>IFERROR(__xludf.DUMMYFUNCTION("""COMPUTED_VALUE"""),45564.0)</f>
        <v>45564</v>
      </c>
      <c r="C2774" s="266" t="str">
        <f>IFERROR(__xludf.DUMMYFUNCTION("""COMPUTED_VALUE"""),"KERTASARI CIAMIS")</f>
        <v>KERTASARI CIAMIS</v>
      </c>
      <c r="D2774" s="186">
        <f>IFERROR(__xludf.DUMMYFUNCTION("""COMPUTED_VALUE"""),5.0)</f>
        <v>5</v>
      </c>
    </row>
    <row r="2775">
      <c r="A2775" s="178" t="str">
        <f>IFERROR(__xludf.DUMMYFUNCTION("""COMPUTED_VALUE"""),"ITBISA-ARDUINO-UNO-R3-328P-SMD")</f>
        <v>ITBISA-ARDUINO-UNO-R3-328P-SMD</v>
      </c>
      <c r="B2775" s="266">
        <f>IFERROR(__xludf.DUMMYFUNCTION("""COMPUTED_VALUE"""),45573.0)</f>
        <v>45573</v>
      </c>
      <c r="C2775" s="266" t="str">
        <f>IFERROR(__xludf.DUMMYFUNCTION("""COMPUTED_VALUE"""),"KYAI KONTONG")</f>
        <v>KYAI KONTONG</v>
      </c>
      <c r="D2775" s="186">
        <f>IFERROR(__xludf.DUMMYFUNCTION("""COMPUTED_VALUE"""),1.0)</f>
        <v>1</v>
      </c>
    </row>
    <row r="2776">
      <c r="A2776" s="178" t="str">
        <f>IFERROR(__xludf.DUMMYFUNCTION("""COMPUTED_VALUE"""),"ITBISA-ARDUINO-UNO-R3-328P-SMD")</f>
        <v>ITBISA-ARDUINO-UNO-R3-328P-SMD</v>
      </c>
      <c r="B2776" s="266">
        <f>IFERROR(__xludf.DUMMYFUNCTION("""COMPUTED_VALUE"""),45575.0)</f>
        <v>45575</v>
      </c>
      <c r="C2776" s="266" t="str">
        <f>IFERROR(__xludf.DUMMYFUNCTION("""COMPUTED_VALUE"""),"KYAI KONTONG")</f>
        <v>KYAI KONTONG</v>
      </c>
      <c r="D2776" s="186">
        <f>IFERROR(__xludf.DUMMYFUNCTION("""COMPUTED_VALUE"""),1.0)</f>
        <v>1</v>
      </c>
    </row>
    <row r="2777">
      <c r="A2777" s="178" t="str">
        <f>IFERROR(__xludf.DUMMYFUNCTION("""COMPUTED_VALUE"""),"ITBISA-ARDUINO-UNO-R3-328P-SMD")</f>
        <v>ITBISA-ARDUINO-UNO-R3-328P-SMD</v>
      </c>
      <c r="B2777" s="266">
        <f>IFERROR(__xludf.DUMMYFUNCTION("""COMPUTED_VALUE"""),45579.0)</f>
        <v>45579</v>
      </c>
      <c r="C2777" s="266" t="str">
        <f>IFERROR(__xludf.DUMMYFUNCTION("""COMPUTED_VALUE"""),"KYAI KONTONG")</f>
        <v>KYAI KONTONG</v>
      </c>
      <c r="D2777" s="186">
        <f>IFERROR(__xludf.DUMMYFUNCTION("""COMPUTED_VALUE"""),1.0)</f>
        <v>1</v>
      </c>
    </row>
    <row r="2778">
      <c r="A2778" s="178" t="str">
        <f>IFERROR(__xludf.DUMMYFUNCTION("""COMPUTED_VALUE"""),"ITBISA-ARDUINO-UNO-R3-328P-SMD")</f>
        <v>ITBISA-ARDUINO-UNO-R3-328P-SMD</v>
      </c>
      <c r="B2778" s="266">
        <f>IFERROR(__xludf.DUMMYFUNCTION("""COMPUTED_VALUE"""),45603.0)</f>
        <v>45603</v>
      </c>
      <c r="C2778" s="266" t="str">
        <f>IFERROR(__xludf.DUMMYFUNCTION("""COMPUTED_VALUE"""),"KERTASARI CIAMIS")</f>
        <v>KERTASARI CIAMIS</v>
      </c>
      <c r="D2778" s="186">
        <f>IFERROR(__xludf.DUMMYFUNCTION("""COMPUTED_VALUE"""),1.0)</f>
        <v>1</v>
      </c>
    </row>
    <row r="2779">
      <c r="A2779" s="178" t="str">
        <f>IFERROR(__xludf.DUMMYFUNCTION("""COMPUTED_VALUE"""),"ITBISA-ARDUINO-UNO-R3-328P-SMD")</f>
        <v>ITBISA-ARDUINO-UNO-R3-328P-SMD</v>
      </c>
      <c r="B2779" s="266">
        <f>IFERROR(__xludf.DUMMYFUNCTION("""COMPUTED_VALUE"""),45607.0)</f>
        <v>45607</v>
      </c>
      <c r="C2779" s="266" t="str">
        <f>IFERROR(__xludf.DUMMYFUNCTION("""COMPUTED_VALUE"""),"KERTASARI CIAMIS")</f>
        <v>KERTASARI CIAMIS</v>
      </c>
      <c r="D2779" s="186">
        <f>IFERROR(__xludf.DUMMYFUNCTION("""COMPUTED_VALUE"""),1.0)</f>
        <v>1</v>
      </c>
    </row>
    <row r="2780">
      <c r="A2780" s="178" t="str">
        <f>IFERROR(__xludf.DUMMYFUNCTION("""COMPUTED_VALUE"""),"ITBISA-ARDUINO-UNO-R3-328P-SMD")</f>
        <v>ITBISA-ARDUINO-UNO-R3-328P-SMD</v>
      </c>
      <c r="B2780" s="266">
        <f>IFERROR(__xludf.DUMMYFUNCTION("""COMPUTED_VALUE"""),45607.0)</f>
        <v>45607</v>
      </c>
      <c r="C2780" s="266" t="str">
        <f>IFERROR(__xludf.DUMMYFUNCTION("""COMPUTED_VALUE"""),"KERTASARI CIAMIS")</f>
        <v>KERTASARI CIAMIS</v>
      </c>
      <c r="D2780" s="186">
        <f>IFERROR(__xludf.DUMMYFUNCTION("""COMPUTED_VALUE"""),1.0)</f>
        <v>1</v>
      </c>
    </row>
    <row r="2781">
      <c r="A2781" s="178" t="str">
        <f>IFERROR(__xludf.DUMMYFUNCTION("""COMPUTED_VALUE"""),"ITBISA-ARDUINO-UNO-R3-328P-SMD")</f>
        <v>ITBISA-ARDUINO-UNO-R3-328P-SMD</v>
      </c>
      <c r="B2781" s="266">
        <f>IFERROR(__xludf.DUMMYFUNCTION("""COMPUTED_VALUE"""),45607.0)</f>
        <v>45607</v>
      </c>
      <c r="C2781" s="266" t="str">
        <f>IFERROR(__xludf.DUMMYFUNCTION("""COMPUTED_VALUE"""),"KYAI KONTONG")</f>
        <v>KYAI KONTONG</v>
      </c>
      <c r="D2781" s="186">
        <f>IFERROR(__xludf.DUMMYFUNCTION("""COMPUTED_VALUE"""),1.0)</f>
        <v>1</v>
      </c>
    </row>
    <row r="2782">
      <c r="A2782" s="178" t="str">
        <f>IFERROR(__xludf.DUMMYFUNCTION("""COMPUTED_VALUE"""),"ITBISA-ARDUINO-UNO-R3-328P-SMD")</f>
        <v>ITBISA-ARDUINO-UNO-R3-328P-SMD</v>
      </c>
      <c r="B2782" s="266">
        <f>IFERROR(__xludf.DUMMYFUNCTION("""COMPUTED_VALUE"""),45607.0)</f>
        <v>45607</v>
      </c>
      <c r="C2782" s="266" t="str">
        <f>IFERROR(__xludf.DUMMYFUNCTION("""COMPUTED_VALUE"""),"KYAI KONTONG")</f>
        <v>KYAI KONTONG</v>
      </c>
      <c r="D2782" s="186">
        <f>IFERROR(__xludf.DUMMYFUNCTION("""COMPUTED_VALUE"""),1.0)</f>
        <v>1</v>
      </c>
    </row>
    <row r="2783">
      <c r="A2783" s="178" t="str">
        <f>IFERROR(__xludf.DUMMYFUNCTION("""COMPUTED_VALUE"""),"ITBISA-ARDUINO-UNO-R3-328P-SMD")</f>
        <v>ITBISA-ARDUINO-UNO-R3-328P-SMD</v>
      </c>
      <c r="B2783" s="266">
        <f>IFERROR(__xludf.DUMMYFUNCTION("""COMPUTED_VALUE"""),45610.0)</f>
        <v>45610</v>
      </c>
      <c r="C2783" s="266" t="str">
        <f>IFERROR(__xludf.DUMMYFUNCTION("""COMPUTED_VALUE"""),"KYAI KONTONG")</f>
        <v>KYAI KONTONG</v>
      </c>
      <c r="D2783" s="186">
        <f>IFERROR(__xludf.DUMMYFUNCTION("""COMPUTED_VALUE"""),1.0)</f>
        <v>1</v>
      </c>
    </row>
    <row r="2784">
      <c r="A2784" s="178" t="str">
        <f>IFERROR(__xludf.DUMMYFUNCTION("""COMPUTED_VALUE"""),"ITBISA-ARDUINO-UNO-R3-328P-SMD")</f>
        <v>ITBISA-ARDUINO-UNO-R3-328P-SMD</v>
      </c>
      <c r="B2784" s="266">
        <f>IFERROR(__xludf.DUMMYFUNCTION("""COMPUTED_VALUE"""),45611.0)</f>
        <v>45611</v>
      </c>
      <c r="C2784" s="266" t="str">
        <f>IFERROR(__xludf.DUMMYFUNCTION("""COMPUTED_VALUE"""),"KYAI KONTONG")</f>
        <v>KYAI KONTONG</v>
      </c>
      <c r="D2784" s="186">
        <f>IFERROR(__xludf.DUMMYFUNCTION("""COMPUTED_VALUE"""),1.0)</f>
        <v>1</v>
      </c>
    </row>
    <row r="2785">
      <c r="A2785" s="178" t="str">
        <f>IFERROR(__xludf.DUMMYFUNCTION("""COMPUTED_VALUE"""),"ITBISA-ARDUINO-UNO-R3-328P-SMD")</f>
        <v>ITBISA-ARDUINO-UNO-R3-328P-SMD</v>
      </c>
      <c r="B2785" s="266">
        <f>IFERROR(__xludf.DUMMYFUNCTION("""COMPUTED_VALUE"""),45614.0)</f>
        <v>45614</v>
      </c>
      <c r="C2785" s="266" t="str">
        <f>IFERROR(__xludf.DUMMYFUNCTION("""COMPUTED_VALUE"""),"KERTASARI CIAMIS")</f>
        <v>KERTASARI CIAMIS</v>
      </c>
      <c r="D2785" s="186">
        <f>IFERROR(__xludf.DUMMYFUNCTION("""COMPUTED_VALUE"""),1.0)</f>
        <v>1</v>
      </c>
    </row>
    <row r="2786">
      <c r="A2786" s="178" t="str">
        <f>IFERROR(__xludf.DUMMYFUNCTION("""COMPUTED_VALUE"""),"ITBISA-ARDUINO-UNO-R3-328P-SMD")</f>
        <v>ITBISA-ARDUINO-UNO-R3-328P-SMD</v>
      </c>
      <c r="B2786" s="266">
        <f>IFERROR(__xludf.DUMMYFUNCTION("""COMPUTED_VALUE"""),45616.0)</f>
        <v>45616</v>
      </c>
      <c r="C2786" s="266" t="str">
        <f>IFERROR(__xludf.DUMMYFUNCTION("""COMPUTED_VALUE"""),"KYAI KONTONG")</f>
        <v>KYAI KONTONG</v>
      </c>
      <c r="D2786" s="186">
        <f>IFERROR(__xludf.DUMMYFUNCTION("""COMPUTED_VALUE"""),1.0)</f>
        <v>1</v>
      </c>
    </row>
    <row r="2787">
      <c r="A2787" s="178" t="str">
        <f>IFERROR(__xludf.DUMMYFUNCTION("""COMPUTED_VALUE"""),"ITBISA-ARDUINO-UNO-R3-328P-SMD")</f>
        <v>ITBISA-ARDUINO-UNO-R3-328P-SMD</v>
      </c>
      <c r="B2787" s="266">
        <f>IFERROR(__xludf.DUMMYFUNCTION("""COMPUTED_VALUE"""),45616.0)</f>
        <v>45616</v>
      </c>
      <c r="C2787" s="266" t="str">
        <f>IFERROR(__xludf.DUMMYFUNCTION("""COMPUTED_VALUE"""),"KYAI KONTONG")</f>
        <v>KYAI KONTONG</v>
      </c>
      <c r="D2787" s="186">
        <f>IFERROR(__xludf.DUMMYFUNCTION("""COMPUTED_VALUE"""),4.0)</f>
        <v>4</v>
      </c>
    </row>
    <row r="2788">
      <c r="A2788" s="178" t="str">
        <f>IFERROR(__xludf.DUMMYFUNCTION("""COMPUTED_VALUE"""),"ITBISA-ARDUINO-UNO-R3-328P-SMD")</f>
        <v>ITBISA-ARDUINO-UNO-R3-328P-SMD</v>
      </c>
      <c r="B2788" s="266">
        <f>IFERROR(__xludf.DUMMYFUNCTION("""COMPUTED_VALUE"""),45617.0)</f>
        <v>45617</v>
      </c>
      <c r="C2788" s="266" t="str">
        <f>IFERROR(__xludf.DUMMYFUNCTION("""COMPUTED_VALUE"""),"KERTASARI CIAMIS")</f>
        <v>KERTASARI CIAMIS</v>
      </c>
      <c r="D2788" s="186">
        <f>IFERROR(__xludf.DUMMYFUNCTION("""COMPUTED_VALUE"""),6.0)</f>
        <v>6</v>
      </c>
    </row>
    <row r="2789">
      <c r="A2789" s="178" t="str">
        <f>IFERROR(__xludf.DUMMYFUNCTION("""COMPUTED_VALUE"""),"ITBISA-ARDUINO-UNO-R3-328P-SMD")</f>
        <v>ITBISA-ARDUINO-UNO-R3-328P-SMD</v>
      </c>
      <c r="B2789" s="266">
        <f>IFERROR(__xludf.DUMMYFUNCTION("""COMPUTED_VALUE"""),45619.0)</f>
        <v>45619</v>
      </c>
      <c r="C2789" s="266" t="str">
        <f>IFERROR(__xludf.DUMMYFUNCTION("""COMPUTED_VALUE"""),"KERTASARI CIAMIS")</f>
        <v>KERTASARI CIAMIS</v>
      </c>
      <c r="D2789" s="186">
        <f>IFERROR(__xludf.DUMMYFUNCTION("""COMPUTED_VALUE"""),1.0)</f>
        <v>1</v>
      </c>
    </row>
    <row r="2790">
      <c r="A2790" s="178" t="str">
        <f>IFERROR(__xludf.DUMMYFUNCTION("""COMPUTED_VALUE"""),"ITBISA-ARDUINO-UNO-R3-328P-SMD")</f>
        <v>ITBISA-ARDUINO-UNO-R3-328P-SMD</v>
      </c>
      <c r="B2790" s="266">
        <f>IFERROR(__xludf.DUMMYFUNCTION("""COMPUTED_VALUE"""),45619.0)</f>
        <v>45619</v>
      </c>
      <c r="C2790" s="266" t="str">
        <f>IFERROR(__xludf.DUMMYFUNCTION("""COMPUTED_VALUE"""),"KYAI KONTONG")</f>
        <v>KYAI KONTONG</v>
      </c>
      <c r="D2790" s="186">
        <f>IFERROR(__xludf.DUMMYFUNCTION("""COMPUTED_VALUE"""),1.0)</f>
        <v>1</v>
      </c>
    </row>
    <row r="2791">
      <c r="A2791" s="178" t="str">
        <f>IFERROR(__xludf.DUMMYFUNCTION("""COMPUTED_VALUE"""),"ITBISA-ARDUINO-UNO-R3-328P-SMD")</f>
        <v>ITBISA-ARDUINO-UNO-R3-328P-SMD</v>
      </c>
      <c r="B2791" s="266">
        <f>IFERROR(__xludf.DUMMYFUNCTION("""COMPUTED_VALUE"""),45620.0)</f>
        <v>45620</v>
      </c>
      <c r="C2791" s="266" t="str">
        <f>IFERROR(__xludf.DUMMYFUNCTION("""COMPUTED_VALUE"""),"KERTASARI CIAMIS")</f>
        <v>KERTASARI CIAMIS</v>
      </c>
      <c r="D2791" s="186">
        <f>IFERROR(__xludf.DUMMYFUNCTION("""COMPUTED_VALUE"""),1.0)</f>
        <v>1</v>
      </c>
    </row>
    <row r="2792">
      <c r="A2792" s="178" t="str">
        <f>IFERROR(__xludf.DUMMYFUNCTION("""COMPUTED_VALUE"""),"ITBISA-ARDUINO-UNO-R3-328P-SMD")</f>
        <v>ITBISA-ARDUINO-UNO-R3-328P-SMD</v>
      </c>
      <c r="B2792" s="266">
        <f>IFERROR(__xludf.DUMMYFUNCTION("""COMPUTED_VALUE"""),45621.0)</f>
        <v>45621</v>
      </c>
      <c r="C2792" s="266" t="str">
        <f>IFERROR(__xludf.DUMMYFUNCTION("""COMPUTED_VALUE"""),"KYAI KONTONG")</f>
        <v>KYAI KONTONG</v>
      </c>
      <c r="D2792" s="186">
        <f>IFERROR(__xludf.DUMMYFUNCTION("""COMPUTED_VALUE"""),1.0)</f>
        <v>1</v>
      </c>
    </row>
    <row r="2793">
      <c r="A2793" s="178" t="str">
        <f>IFERROR(__xludf.DUMMYFUNCTION("""COMPUTED_VALUE"""),"ITBISA-ARDUINO-UNO-R3-328P-SMD")</f>
        <v>ITBISA-ARDUINO-UNO-R3-328P-SMD</v>
      </c>
      <c r="B2793" s="266">
        <f>IFERROR(__xludf.DUMMYFUNCTION("""COMPUTED_VALUE"""),45621.0)</f>
        <v>45621</v>
      </c>
      <c r="C2793" s="266" t="str">
        <f>IFERROR(__xludf.DUMMYFUNCTION("""COMPUTED_VALUE"""),"KYAI KONTONG")</f>
        <v>KYAI KONTONG</v>
      </c>
      <c r="D2793" s="186">
        <f>IFERROR(__xludf.DUMMYFUNCTION("""COMPUTED_VALUE"""),1.0)</f>
        <v>1</v>
      </c>
    </row>
    <row r="2794">
      <c r="A2794" s="178" t="str">
        <f>IFERROR(__xludf.DUMMYFUNCTION("""COMPUTED_VALUE"""),"ITBISA-ARDUINO-UNO-R3-328P-SMD")</f>
        <v>ITBISA-ARDUINO-UNO-R3-328P-SMD</v>
      </c>
      <c r="B2794" s="266">
        <f>IFERROR(__xludf.DUMMYFUNCTION("""COMPUTED_VALUE"""),45621.0)</f>
        <v>45621</v>
      </c>
      <c r="C2794" s="266" t="str">
        <f>IFERROR(__xludf.DUMMYFUNCTION("""COMPUTED_VALUE"""),"KYAI KONTONG")</f>
        <v>KYAI KONTONG</v>
      </c>
      <c r="D2794" s="186">
        <f>IFERROR(__xludf.DUMMYFUNCTION("""COMPUTED_VALUE"""),10.0)</f>
        <v>10</v>
      </c>
    </row>
    <row r="2795">
      <c r="A2795" s="178" t="str">
        <f>IFERROR(__xludf.DUMMYFUNCTION("""COMPUTED_VALUE"""),"ITBISA-ARDUINO-UNO-R3-328P-SMD")</f>
        <v>ITBISA-ARDUINO-UNO-R3-328P-SMD</v>
      </c>
      <c r="B2795" s="266">
        <f>IFERROR(__xludf.DUMMYFUNCTION("""COMPUTED_VALUE"""),45622.0)</f>
        <v>45622</v>
      </c>
      <c r="C2795" s="266" t="str">
        <f>IFERROR(__xludf.DUMMYFUNCTION("""COMPUTED_VALUE"""),"KYAI KONTONG")</f>
        <v>KYAI KONTONG</v>
      </c>
      <c r="D2795" s="186">
        <f>IFERROR(__xludf.DUMMYFUNCTION("""COMPUTED_VALUE"""),1.0)</f>
        <v>1</v>
      </c>
    </row>
    <row r="2796">
      <c r="A2796" s="178" t="str">
        <f>IFERROR(__xludf.DUMMYFUNCTION("""COMPUTED_VALUE"""),"ITBISA-ARDUINO-UNO-R3-328P-SMD")</f>
        <v>ITBISA-ARDUINO-UNO-R3-328P-SMD</v>
      </c>
      <c r="B2796" s="266">
        <f>IFERROR(__xludf.DUMMYFUNCTION("""COMPUTED_VALUE"""),45622.0)</f>
        <v>45622</v>
      </c>
      <c r="C2796" s="266" t="str">
        <f>IFERROR(__xludf.DUMMYFUNCTION("""COMPUTED_VALUE"""),"KYAI KONTONG")</f>
        <v>KYAI KONTONG</v>
      </c>
      <c r="D2796" s="186">
        <f>IFERROR(__xludf.DUMMYFUNCTION("""COMPUTED_VALUE"""),1.0)</f>
        <v>1</v>
      </c>
    </row>
    <row r="2797">
      <c r="A2797" s="178" t="str">
        <f>IFERROR(__xludf.DUMMYFUNCTION("""COMPUTED_VALUE"""),"ITBISA-ARDUINO-UNO-R3-328P-SMD")</f>
        <v>ITBISA-ARDUINO-UNO-R3-328P-SMD</v>
      </c>
      <c r="B2797" s="266">
        <f>IFERROR(__xludf.DUMMYFUNCTION("""COMPUTED_VALUE"""),45622.0)</f>
        <v>45622</v>
      </c>
      <c r="C2797" s="266" t="str">
        <f>IFERROR(__xludf.DUMMYFUNCTION("""COMPUTED_VALUE"""),"KYAI KONTONG")</f>
        <v>KYAI KONTONG</v>
      </c>
      <c r="D2797" s="186">
        <f>IFERROR(__xludf.DUMMYFUNCTION("""COMPUTED_VALUE"""),1.0)</f>
        <v>1</v>
      </c>
    </row>
    <row r="2798">
      <c r="A2798" s="178" t="str">
        <f>IFERROR(__xludf.DUMMYFUNCTION("""COMPUTED_VALUE"""),"ITBISA-ARDUINO-UNO-R3-328P-SMD")</f>
        <v>ITBISA-ARDUINO-UNO-R3-328P-SMD</v>
      </c>
      <c r="B2798" s="266">
        <f>IFERROR(__xludf.DUMMYFUNCTION("""COMPUTED_VALUE"""),45623.0)</f>
        <v>45623</v>
      </c>
      <c r="C2798" s="266" t="str">
        <f>IFERROR(__xludf.DUMMYFUNCTION("""COMPUTED_VALUE"""),"KYAI KONTONG")</f>
        <v>KYAI KONTONG</v>
      </c>
      <c r="D2798" s="186">
        <f>IFERROR(__xludf.DUMMYFUNCTION("""COMPUTED_VALUE"""),1.0)</f>
        <v>1</v>
      </c>
    </row>
    <row r="2799">
      <c r="A2799" s="178" t="str">
        <f>IFERROR(__xludf.DUMMYFUNCTION("""COMPUTED_VALUE"""),"ITBISA-ARDUINO-UNO-R3-328P-SMD")</f>
        <v>ITBISA-ARDUINO-UNO-R3-328P-SMD</v>
      </c>
      <c r="B2799" s="266">
        <f>IFERROR(__xludf.DUMMYFUNCTION("""COMPUTED_VALUE"""),45623.0)</f>
        <v>45623</v>
      </c>
      <c r="C2799" s="266" t="str">
        <f>IFERROR(__xludf.DUMMYFUNCTION("""COMPUTED_VALUE"""),"KYAI KONTONG")</f>
        <v>KYAI KONTONG</v>
      </c>
      <c r="D2799" s="186">
        <f>IFERROR(__xludf.DUMMYFUNCTION("""COMPUTED_VALUE"""),1.0)</f>
        <v>1</v>
      </c>
    </row>
    <row r="2800">
      <c r="A2800" s="178" t="str">
        <f>IFERROR(__xludf.DUMMYFUNCTION("""COMPUTED_VALUE"""),"ITBISA-ARDUINO-UNO-R3-328P-SMD")</f>
        <v>ITBISA-ARDUINO-UNO-R3-328P-SMD</v>
      </c>
      <c r="B2800" s="266">
        <f>IFERROR(__xludf.DUMMYFUNCTION("""COMPUTED_VALUE"""),45624.0)</f>
        <v>45624</v>
      </c>
      <c r="C2800" s="266" t="str">
        <f>IFERROR(__xludf.DUMMYFUNCTION("""COMPUTED_VALUE"""),"KYAI KONTONG")</f>
        <v>KYAI KONTONG</v>
      </c>
      <c r="D2800" s="186">
        <f>IFERROR(__xludf.DUMMYFUNCTION("""COMPUTED_VALUE"""),1.0)</f>
        <v>1</v>
      </c>
    </row>
    <row r="2801">
      <c r="A2801" s="178" t="str">
        <f>IFERROR(__xludf.DUMMYFUNCTION("""COMPUTED_VALUE"""),"ITBISA-ARDUINO-UNO-R3-328P-SMD")</f>
        <v>ITBISA-ARDUINO-UNO-R3-328P-SMD</v>
      </c>
      <c r="B2801" s="266">
        <f>IFERROR(__xludf.DUMMYFUNCTION("""COMPUTED_VALUE"""),45628.0)</f>
        <v>45628</v>
      </c>
      <c r="C2801" s="266" t="str">
        <f>IFERROR(__xludf.DUMMYFUNCTION("""COMPUTED_VALUE"""),"KYAI KONTONG")</f>
        <v>KYAI KONTONG</v>
      </c>
      <c r="D2801" s="186">
        <f>IFERROR(__xludf.DUMMYFUNCTION("""COMPUTED_VALUE"""),1.0)</f>
        <v>1</v>
      </c>
    </row>
    <row r="2802">
      <c r="A2802" s="178" t="str">
        <f>IFERROR(__xludf.DUMMYFUNCTION("""COMPUTED_VALUE"""),"ITBISA-ARDUINO-UNO-R3-328P-SMD")</f>
        <v>ITBISA-ARDUINO-UNO-R3-328P-SMD</v>
      </c>
      <c r="B2802" s="266">
        <f>IFERROR(__xludf.DUMMYFUNCTION("""COMPUTED_VALUE"""),45629.0)</f>
        <v>45629</v>
      </c>
      <c r="C2802" s="266" t="str">
        <f>IFERROR(__xludf.DUMMYFUNCTION("""COMPUTED_VALUE"""),"KYAI KONTONG")</f>
        <v>KYAI KONTONG</v>
      </c>
      <c r="D2802" s="186">
        <f>IFERROR(__xludf.DUMMYFUNCTION("""COMPUTED_VALUE"""),1.0)</f>
        <v>1</v>
      </c>
    </row>
    <row r="2803">
      <c r="A2803" s="178" t="str">
        <f>IFERROR(__xludf.DUMMYFUNCTION("""COMPUTED_VALUE"""),"ITBISA-ARDUINO-UNO-R3-328P-SMD")</f>
        <v>ITBISA-ARDUINO-UNO-R3-328P-SMD</v>
      </c>
      <c r="B2803" s="266">
        <f>IFERROR(__xludf.DUMMYFUNCTION("""COMPUTED_VALUE"""),45630.0)</f>
        <v>45630</v>
      </c>
      <c r="C2803" s="266" t="str">
        <f>IFERROR(__xludf.DUMMYFUNCTION("""COMPUTED_VALUE"""),"KYAI KONTONG")</f>
        <v>KYAI KONTONG</v>
      </c>
      <c r="D2803" s="186">
        <f>IFERROR(__xludf.DUMMYFUNCTION("""COMPUTED_VALUE"""),1.0)</f>
        <v>1</v>
      </c>
    </row>
    <row r="2804">
      <c r="A2804" s="178" t="str">
        <f>IFERROR(__xludf.DUMMYFUNCTION("""COMPUTED_VALUE"""),"ITBISA-ARDUINO-UNO-R3-328P-SMD")</f>
        <v>ITBISA-ARDUINO-UNO-R3-328P-SMD</v>
      </c>
      <c r="B2804" s="266">
        <f>IFERROR(__xludf.DUMMYFUNCTION("""COMPUTED_VALUE"""),45636.0)</f>
        <v>45636</v>
      </c>
      <c r="C2804" s="266" t="str">
        <f>IFERROR(__xludf.DUMMYFUNCTION("""COMPUTED_VALUE"""),"KYAI KONTONG")</f>
        <v>KYAI KONTONG</v>
      </c>
      <c r="D2804" s="186">
        <f>IFERROR(__xludf.DUMMYFUNCTION("""COMPUTED_VALUE"""),2.0)</f>
        <v>2</v>
      </c>
    </row>
    <row r="2805">
      <c r="A2805" s="178" t="str">
        <f>IFERROR(__xludf.DUMMYFUNCTION("""COMPUTED_VALUE"""),"ITBISA-ARDUINO-UNO-R3-328P-SMD")</f>
        <v>ITBISA-ARDUINO-UNO-R3-328P-SMD</v>
      </c>
      <c r="B2805" s="266">
        <f>IFERROR(__xludf.DUMMYFUNCTION("""COMPUTED_VALUE"""),45638.0)</f>
        <v>45638</v>
      </c>
      <c r="C2805" s="266" t="str">
        <f>IFERROR(__xludf.DUMMYFUNCTION("""COMPUTED_VALUE"""),"KYAI KONTONG")</f>
        <v>KYAI KONTONG</v>
      </c>
      <c r="D2805" s="186">
        <f>IFERROR(__xludf.DUMMYFUNCTION("""COMPUTED_VALUE"""),1.0)</f>
        <v>1</v>
      </c>
    </row>
    <row r="2806">
      <c r="A2806" s="178" t="str">
        <f>IFERROR(__xludf.DUMMYFUNCTION("""COMPUTED_VALUE"""),"ITBISA-ARDUINO-UNO-R3-328P-SMD")</f>
        <v>ITBISA-ARDUINO-UNO-R3-328P-SMD</v>
      </c>
      <c r="B2806" s="266">
        <f>IFERROR(__xludf.DUMMYFUNCTION("""COMPUTED_VALUE"""),45638.0)</f>
        <v>45638</v>
      </c>
      <c r="C2806" s="266" t="str">
        <f>IFERROR(__xludf.DUMMYFUNCTION("""COMPUTED_VALUE"""),"KYAI KONTONG")</f>
        <v>KYAI KONTONG</v>
      </c>
      <c r="D2806" s="186">
        <f>IFERROR(__xludf.DUMMYFUNCTION("""COMPUTED_VALUE"""),6.0)</f>
        <v>6</v>
      </c>
    </row>
    <row r="2807">
      <c r="A2807" s="178" t="str">
        <f>IFERROR(__xludf.DUMMYFUNCTION("""COMPUTED_VALUE"""),"ITBISA-ARDUINO-UNO-R3-328P-SMD")</f>
        <v>ITBISA-ARDUINO-UNO-R3-328P-SMD</v>
      </c>
      <c r="B2807" s="266">
        <f>IFERROR(__xludf.DUMMYFUNCTION("""COMPUTED_VALUE"""),45645.0)</f>
        <v>45645</v>
      </c>
      <c r="C2807" s="266" t="str">
        <f>IFERROR(__xludf.DUMMYFUNCTION("""COMPUTED_VALUE"""),"KYAI KONTONG")</f>
        <v>KYAI KONTONG</v>
      </c>
      <c r="D2807" s="186">
        <f>IFERROR(__xludf.DUMMYFUNCTION("""COMPUTED_VALUE"""),1.0)</f>
        <v>1</v>
      </c>
    </row>
    <row r="2808">
      <c r="A2808" s="178" t="str">
        <f>IFERROR(__xludf.DUMMYFUNCTION("""COMPUTED_VALUE"""),"ITBISA-ARDUINO-UNO-R3-328P-SMD")</f>
        <v>ITBISA-ARDUINO-UNO-R3-328P-SMD</v>
      </c>
      <c r="B2808" s="266">
        <f>IFERROR(__xludf.DUMMYFUNCTION("""COMPUTED_VALUE"""),45653.0)</f>
        <v>45653</v>
      </c>
      <c r="C2808" s="266" t="str">
        <f>IFERROR(__xludf.DUMMYFUNCTION("""COMPUTED_VALUE"""),"KYAI KONTONG")</f>
        <v>KYAI KONTONG</v>
      </c>
      <c r="D2808" s="186">
        <f>IFERROR(__xludf.DUMMYFUNCTION("""COMPUTED_VALUE"""),1.0)</f>
        <v>1</v>
      </c>
    </row>
    <row r="2809">
      <c r="A2809" s="178" t="str">
        <f>IFERROR(__xludf.DUMMYFUNCTION("""COMPUTED_VALUE"""),"ITBISA-ARDUINO-UNO-R3-328P-SMD")</f>
        <v>ITBISA-ARDUINO-UNO-R3-328P-SMD</v>
      </c>
      <c r="B2809" s="266">
        <f>IFERROR(__xludf.DUMMYFUNCTION("""COMPUTED_VALUE"""),45656.0)</f>
        <v>45656</v>
      </c>
      <c r="C2809" s="266" t="str">
        <f>IFERROR(__xludf.DUMMYFUNCTION("""COMPUTED_VALUE"""),"KYAI KONTONG")</f>
        <v>KYAI KONTONG</v>
      </c>
      <c r="D2809" s="186">
        <f>IFERROR(__xludf.DUMMYFUNCTION("""COMPUTED_VALUE"""),1.0)</f>
        <v>1</v>
      </c>
    </row>
    <row r="2810">
      <c r="A2810" s="178" t="str">
        <f>IFERROR(__xludf.DUMMYFUNCTION("""COMPUTED_VALUE"""),"ITBISA-ARDUINO-UNO-R3-328P-SMD")</f>
        <v>ITBISA-ARDUINO-UNO-R3-328P-SMD</v>
      </c>
      <c r="B2810" s="266">
        <f>IFERROR(__xludf.DUMMYFUNCTION("""COMPUTED_VALUE"""),45664.0)</f>
        <v>45664</v>
      </c>
      <c r="C2810" s="266" t="str">
        <f>IFERROR(__xludf.DUMMYFUNCTION("""COMPUTED_VALUE"""),"KERTASARI CIAMIS")</f>
        <v>KERTASARI CIAMIS</v>
      </c>
      <c r="D2810" s="186">
        <f>IFERROR(__xludf.DUMMYFUNCTION("""COMPUTED_VALUE"""),1.0)</f>
        <v>1</v>
      </c>
    </row>
    <row r="2811">
      <c r="A2811" s="178" t="str">
        <f>IFERROR(__xludf.DUMMYFUNCTION("""COMPUTED_VALUE"""),"ITBISA-ARDUINO-UNO-R3-328P-SMD")</f>
        <v>ITBISA-ARDUINO-UNO-R3-328P-SMD</v>
      </c>
      <c r="B2811" s="266">
        <f>IFERROR(__xludf.DUMMYFUNCTION("""COMPUTED_VALUE"""),45666.0)</f>
        <v>45666</v>
      </c>
      <c r="C2811" s="266" t="str">
        <f>IFERROR(__xludf.DUMMYFUNCTION("""COMPUTED_VALUE"""),"KYAI KONTONG")</f>
        <v>KYAI KONTONG</v>
      </c>
      <c r="D2811" s="186">
        <f>IFERROR(__xludf.DUMMYFUNCTION("""COMPUTED_VALUE"""),1.0)</f>
        <v>1</v>
      </c>
    </row>
    <row r="2812">
      <c r="A2812" s="178" t="str">
        <f>IFERROR(__xludf.DUMMYFUNCTION("""COMPUTED_VALUE"""),"ITBISA-ARDUINO-UNO-R3-328P-SMD")</f>
        <v>ITBISA-ARDUINO-UNO-R3-328P-SMD</v>
      </c>
      <c r="B2812" s="266">
        <f>IFERROR(__xludf.DUMMYFUNCTION("""COMPUTED_VALUE"""),45669.0)</f>
        <v>45669</v>
      </c>
      <c r="C2812" s="266" t="str">
        <f>IFERROR(__xludf.DUMMYFUNCTION("""COMPUTED_VALUE"""),"KERTASARI CIAMIS")</f>
        <v>KERTASARI CIAMIS</v>
      </c>
      <c r="D2812" s="186">
        <f>IFERROR(__xludf.DUMMYFUNCTION("""COMPUTED_VALUE"""),1.0)</f>
        <v>1</v>
      </c>
    </row>
    <row r="2813">
      <c r="A2813" s="178" t="str">
        <f>IFERROR(__xludf.DUMMYFUNCTION("""COMPUTED_VALUE"""),"ITBISA-ARDUINO-UNO-R3-328P-SMD")</f>
        <v>ITBISA-ARDUINO-UNO-R3-328P-SMD</v>
      </c>
      <c r="B2813" s="266">
        <f>IFERROR(__xludf.DUMMYFUNCTION("""COMPUTED_VALUE"""),45689.0)</f>
        <v>45689</v>
      </c>
      <c r="C2813" s="266" t="str">
        <f>IFERROR(__xludf.DUMMYFUNCTION("""COMPUTED_VALUE"""),"KYAI KONTONG")</f>
        <v>KYAI KONTONG</v>
      </c>
      <c r="D2813" s="186">
        <f>IFERROR(__xludf.DUMMYFUNCTION("""COMPUTED_VALUE"""),1.0)</f>
        <v>1</v>
      </c>
    </row>
    <row r="2814">
      <c r="A2814" s="178" t="str">
        <f>IFERROR(__xludf.DUMMYFUNCTION("""COMPUTED_VALUE"""),"ITBISA-ARDUINO-UNO-R3-328P-SMD")</f>
        <v>ITBISA-ARDUINO-UNO-R3-328P-SMD</v>
      </c>
      <c r="B2814" s="266">
        <f>IFERROR(__xludf.DUMMYFUNCTION("""COMPUTED_VALUE"""),45695.0)</f>
        <v>45695</v>
      </c>
      <c r="C2814" s="266" t="str">
        <f>IFERROR(__xludf.DUMMYFUNCTION("""COMPUTED_VALUE"""),"KERTASARI CIAMIS")</f>
        <v>KERTASARI CIAMIS</v>
      </c>
      <c r="D2814" s="186">
        <f>IFERROR(__xludf.DUMMYFUNCTION("""COMPUTED_VALUE"""),1.0)</f>
        <v>1</v>
      </c>
    </row>
    <row r="2815">
      <c r="A2815" s="178" t="str">
        <f>IFERROR(__xludf.DUMMYFUNCTION("""COMPUTED_VALUE"""),"ITBISA-ARDUINO-UNO-R3-328P-SMD")</f>
        <v>ITBISA-ARDUINO-UNO-R3-328P-SMD</v>
      </c>
      <c r="B2815" s="266">
        <f>IFERROR(__xludf.DUMMYFUNCTION("""COMPUTED_VALUE"""),45697.0)</f>
        <v>45697</v>
      </c>
      <c r="C2815" s="266" t="str">
        <f>IFERROR(__xludf.DUMMYFUNCTION("""COMPUTED_VALUE"""),"KYAI KONTONG")</f>
        <v>KYAI KONTONG</v>
      </c>
      <c r="D2815" s="186">
        <f>IFERROR(__xludf.DUMMYFUNCTION("""COMPUTED_VALUE"""),1.0)</f>
        <v>1</v>
      </c>
    </row>
    <row r="2816">
      <c r="A2816" s="178" t="str">
        <f>IFERROR(__xludf.DUMMYFUNCTION("""COMPUTED_VALUE"""),"ITBISA-ARDUINO-UNO-R3-328P-SMD")</f>
        <v>ITBISA-ARDUINO-UNO-R3-328P-SMD</v>
      </c>
      <c r="B2816" s="266">
        <f>IFERROR(__xludf.DUMMYFUNCTION("""COMPUTED_VALUE"""),45713.0)</f>
        <v>45713</v>
      </c>
      <c r="C2816" s="266" t="str">
        <f>IFERROR(__xludf.DUMMYFUNCTION("""COMPUTED_VALUE"""),"KYAI KONTONG")</f>
        <v>KYAI KONTONG</v>
      </c>
      <c r="D2816" s="186">
        <f>IFERROR(__xludf.DUMMYFUNCTION("""COMPUTED_VALUE"""),1.0)</f>
        <v>1</v>
      </c>
    </row>
    <row r="2817">
      <c r="A2817" s="178" t="str">
        <f>IFERROR(__xludf.DUMMYFUNCTION("""COMPUTED_VALUE"""),"ITBISA-ARDUINO-UNO-R3-328P-SMD")</f>
        <v>ITBISA-ARDUINO-UNO-R3-328P-SMD</v>
      </c>
      <c r="B2817" s="266">
        <f>IFERROR(__xludf.DUMMYFUNCTION("""COMPUTED_VALUE"""),45714.0)</f>
        <v>45714</v>
      </c>
      <c r="C2817" s="266" t="str">
        <f>IFERROR(__xludf.DUMMYFUNCTION("""COMPUTED_VALUE"""),"KERTASARI CIAMIS")</f>
        <v>KERTASARI CIAMIS</v>
      </c>
      <c r="D2817" s="186">
        <f>IFERROR(__xludf.DUMMYFUNCTION("""COMPUTED_VALUE"""),1.0)</f>
        <v>1</v>
      </c>
    </row>
    <row r="2818">
      <c r="A2818" s="178" t="str">
        <f>IFERROR(__xludf.DUMMYFUNCTION("""COMPUTED_VALUE"""),"ITBISA-ARDUINO-UNO-R3-328P-SMD")</f>
        <v>ITBISA-ARDUINO-UNO-R3-328P-SMD</v>
      </c>
      <c r="B2818" s="266">
        <f>IFERROR(__xludf.DUMMYFUNCTION("""COMPUTED_VALUE"""),45723.0)</f>
        <v>45723</v>
      </c>
      <c r="C2818" s="266" t="str">
        <f>IFERROR(__xludf.DUMMYFUNCTION("""COMPUTED_VALUE"""),"KERTASARI CIAMIS")</f>
        <v>KERTASARI CIAMIS</v>
      </c>
      <c r="D2818" s="186">
        <f>IFERROR(__xludf.DUMMYFUNCTION("""COMPUTED_VALUE"""),1.0)</f>
        <v>1</v>
      </c>
    </row>
    <row r="2819">
      <c r="A2819" s="178" t="str">
        <f>IFERROR(__xludf.DUMMYFUNCTION("""COMPUTED_VALUE"""),"ITBISA-ARDUINO-UNO-R3-328P-SMD")</f>
        <v>ITBISA-ARDUINO-UNO-R3-328P-SMD</v>
      </c>
      <c r="B2819" s="266">
        <f>IFERROR(__xludf.DUMMYFUNCTION("""COMPUTED_VALUE"""),45749.0)</f>
        <v>45749</v>
      </c>
      <c r="C2819" s="266" t="str">
        <f>IFERROR(__xludf.DUMMYFUNCTION("""COMPUTED_VALUE"""),"KERTASARI CIAMIS")</f>
        <v>KERTASARI CIAMIS</v>
      </c>
      <c r="D2819" s="186">
        <f>IFERROR(__xludf.DUMMYFUNCTION("""COMPUTED_VALUE"""),2.0)</f>
        <v>2</v>
      </c>
    </row>
    <row r="2820">
      <c r="A2820" s="178" t="str">
        <f>IFERROR(__xludf.DUMMYFUNCTION("""COMPUTED_VALUE"""),"ITBISA-ARDUINO-UNO-R3-328P-SMD")</f>
        <v>ITBISA-ARDUINO-UNO-R3-328P-SMD</v>
      </c>
      <c r="B2820" s="266">
        <f>IFERROR(__xludf.DUMMYFUNCTION("""COMPUTED_VALUE"""),45771.0)</f>
        <v>45771</v>
      </c>
      <c r="C2820" s="266" t="str">
        <f>IFERROR(__xludf.DUMMYFUNCTION("""COMPUTED_VALUE"""),"KERTASARI CIAMIS")</f>
        <v>KERTASARI CIAMIS</v>
      </c>
      <c r="D2820" s="186">
        <f>IFERROR(__xludf.DUMMYFUNCTION("""COMPUTED_VALUE"""),1.0)</f>
        <v>1</v>
      </c>
    </row>
    <row r="2821">
      <c r="A2821" s="178" t="str">
        <f>IFERROR(__xludf.DUMMYFUNCTION("""COMPUTED_VALUE"""),"ITBISA-ARDUINO-UNO-R3-328P-SMD")</f>
        <v>ITBISA-ARDUINO-UNO-R3-328P-SMD</v>
      </c>
      <c r="B2821" s="266">
        <f>IFERROR(__xludf.DUMMYFUNCTION("""COMPUTED_VALUE"""),45774.0)</f>
        <v>45774</v>
      </c>
      <c r="C2821" s="266" t="str">
        <f>IFERROR(__xludf.DUMMYFUNCTION("""COMPUTED_VALUE"""),"KYAI KONTONG")</f>
        <v>KYAI KONTONG</v>
      </c>
      <c r="D2821" s="186">
        <f>IFERROR(__xludf.DUMMYFUNCTION("""COMPUTED_VALUE"""),4.0)</f>
        <v>4</v>
      </c>
    </row>
    <row r="2822">
      <c r="A2822" s="178" t="str">
        <f>IFERROR(__xludf.DUMMYFUNCTION("""COMPUTED_VALUE"""),"ITBISA-ARDUINO-UNO-R3-328P-SMD")</f>
        <v>ITBISA-ARDUINO-UNO-R3-328P-SMD</v>
      </c>
      <c r="B2822" s="266">
        <f>IFERROR(__xludf.DUMMYFUNCTION("""COMPUTED_VALUE"""),45788.0)</f>
        <v>45788</v>
      </c>
      <c r="C2822" s="266" t="str">
        <f>IFERROR(__xludf.DUMMYFUNCTION("""COMPUTED_VALUE"""),"KYAI KONTONG")</f>
        <v>KYAI KONTONG</v>
      </c>
      <c r="D2822" s="186">
        <f>IFERROR(__xludf.DUMMYFUNCTION("""COMPUTED_VALUE"""),30.0)</f>
        <v>30</v>
      </c>
    </row>
    <row r="2823">
      <c r="A2823" s="178" t="str">
        <f>IFERROR(__xludf.DUMMYFUNCTION("""COMPUTED_VALUE"""),"ITBISA-ARDUINO-UNO-R3-328P-SMD")</f>
        <v>ITBISA-ARDUINO-UNO-R3-328P-SMD</v>
      </c>
      <c r="B2823" s="266">
        <f>IFERROR(__xludf.DUMMYFUNCTION("""COMPUTED_VALUE"""),45799.0)</f>
        <v>45799</v>
      </c>
      <c r="C2823" s="266" t="str">
        <f>IFERROR(__xludf.DUMMYFUNCTION("""COMPUTED_VALUE"""),"KYAI KONTONG")</f>
        <v>KYAI KONTONG</v>
      </c>
      <c r="D2823" s="186">
        <f>IFERROR(__xludf.DUMMYFUNCTION("""COMPUTED_VALUE"""),6.0)</f>
        <v>6</v>
      </c>
    </row>
    <row r="2824">
      <c r="A2824" s="178" t="str">
        <f>IFERROR(__xludf.DUMMYFUNCTION("""COMPUTED_VALUE"""),"ITBISA-ARDUINO-UNO-R3-328P-SMD")</f>
        <v>ITBISA-ARDUINO-UNO-R3-328P-SMD</v>
      </c>
      <c r="B2824" s="266">
        <f>IFERROR(__xludf.DUMMYFUNCTION("""COMPUTED_VALUE"""),45805.0)</f>
        <v>45805</v>
      </c>
      <c r="C2824" s="266" t="str">
        <f>IFERROR(__xludf.DUMMYFUNCTION("""COMPUTED_VALUE"""),"KYAI KONTONG")</f>
        <v>KYAI KONTONG</v>
      </c>
      <c r="D2824" s="186">
        <f>IFERROR(__xludf.DUMMYFUNCTION("""COMPUTED_VALUE"""),6.0)</f>
        <v>6</v>
      </c>
    </row>
    <row r="2825">
      <c r="A2825" s="178" t="str">
        <f>IFERROR(__xludf.DUMMYFUNCTION("""COMPUTED_VALUE"""),"ITBISA-ARDUINO-UNO-R3-328P-SMD")</f>
        <v>ITBISA-ARDUINO-UNO-R3-328P-SMD</v>
      </c>
      <c r="B2825" s="266">
        <f>IFERROR(__xludf.DUMMYFUNCTION("""COMPUTED_VALUE"""),45828.0)</f>
        <v>45828</v>
      </c>
      <c r="C2825" s="266" t="str">
        <f>IFERROR(__xludf.DUMMYFUNCTION("""COMPUTED_VALUE"""),"KYAI KONTONG")</f>
        <v>KYAI KONTONG</v>
      </c>
      <c r="D2825" s="186">
        <f>IFERROR(__xludf.DUMMYFUNCTION("""COMPUTED_VALUE"""),1.0)</f>
        <v>1</v>
      </c>
    </row>
    <row r="2826">
      <c r="A2826" s="178" t="str">
        <f>IFERROR(__xludf.DUMMYFUNCTION("""COMPUTED_VALUE"""),"ITBISA-ARDUINO-UNO-R3-328P-SMD")</f>
        <v>ITBISA-ARDUINO-UNO-R3-328P-SMD</v>
      </c>
      <c r="B2826" s="266">
        <f>IFERROR(__xludf.DUMMYFUNCTION("""COMPUTED_VALUE"""),45834.0)</f>
        <v>45834</v>
      </c>
      <c r="C2826" s="266" t="str">
        <f>IFERROR(__xludf.DUMMYFUNCTION("""COMPUTED_VALUE"""),"KYAI KONTONG")</f>
        <v>KYAI KONTONG</v>
      </c>
      <c r="D2826" s="186">
        <f>IFERROR(__xludf.DUMMYFUNCTION("""COMPUTED_VALUE"""),2.0)</f>
        <v>2</v>
      </c>
    </row>
    <row r="2827">
      <c r="A2827" s="178" t="str">
        <f>IFERROR(__xludf.DUMMYFUNCTION("""COMPUTED_VALUE"""),"ITBISA-ARDUINO-UNO-R3-328P-SMD")</f>
        <v>ITBISA-ARDUINO-UNO-R3-328P-SMD</v>
      </c>
      <c r="B2827" s="266">
        <f>IFERROR(__xludf.DUMMYFUNCTION("""COMPUTED_VALUE"""),45870.0)</f>
        <v>45870</v>
      </c>
      <c r="C2827" s="266" t="str">
        <f>IFERROR(__xludf.DUMMYFUNCTION("""COMPUTED_VALUE"""),"KERTASARI CIAMIS")</f>
        <v>KERTASARI CIAMIS</v>
      </c>
      <c r="D2827" s="186">
        <f>IFERROR(__xludf.DUMMYFUNCTION("""COMPUTED_VALUE"""),4.0)</f>
        <v>4</v>
      </c>
    </row>
    <row r="2828">
      <c r="A2828" s="178" t="str">
        <f>IFERROR(__xludf.DUMMYFUNCTION("""COMPUTED_VALUE"""),"ITBISA-ARDUINO-UNO-R3-328P-SMD")</f>
        <v>ITBISA-ARDUINO-UNO-R3-328P-SMD</v>
      </c>
      <c r="B2828" s="266">
        <f>IFERROR(__xludf.DUMMYFUNCTION("""COMPUTED_VALUE"""),45874.0)</f>
        <v>45874</v>
      </c>
      <c r="C2828" s="266" t="str">
        <f>IFERROR(__xludf.DUMMYFUNCTION("""COMPUTED_VALUE"""),"KERTASARI CIAMIS")</f>
        <v>KERTASARI CIAMIS</v>
      </c>
      <c r="D2828" s="186">
        <f>IFERROR(__xludf.DUMMYFUNCTION("""COMPUTED_VALUE"""),1.0)</f>
        <v>1</v>
      </c>
    </row>
    <row r="2829">
      <c r="A2829" s="178" t="str">
        <f>IFERROR(__xludf.DUMMYFUNCTION("""COMPUTED_VALUE"""),"ITBISA-ARDUINO-UNO-R3-328P-SMD")</f>
        <v>ITBISA-ARDUINO-UNO-R3-328P-SMD</v>
      </c>
      <c r="B2829" s="266">
        <f>IFERROR(__xludf.DUMMYFUNCTION("""COMPUTED_VALUE"""),45878.0)</f>
        <v>45878</v>
      </c>
      <c r="C2829" s="266" t="str">
        <f>IFERROR(__xludf.DUMMYFUNCTION("""COMPUTED_VALUE"""),"KERTASARI CIAMIS")</f>
        <v>KERTASARI CIAMIS</v>
      </c>
      <c r="D2829" s="186">
        <f>IFERROR(__xludf.DUMMYFUNCTION("""COMPUTED_VALUE"""),7.0)</f>
        <v>7</v>
      </c>
    </row>
    <row r="2830">
      <c r="A2830" s="178" t="str">
        <f>IFERROR(__xludf.DUMMYFUNCTION("""COMPUTED_VALUE"""),"ITBISA-ARDUINO-UNO-R3-328P-SMD")</f>
        <v>ITBISA-ARDUINO-UNO-R3-328P-SMD</v>
      </c>
      <c r="B2830" s="266">
        <f>IFERROR(__xludf.DUMMYFUNCTION("""COMPUTED_VALUE"""),45893.0)</f>
        <v>45893</v>
      </c>
      <c r="C2830" s="266" t="str">
        <f>IFERROR(__xludf.DUMMYFUNCTION("""COMPUTED_VALUE"""),"KYAI KONTONG")</f>
        <v>KYAI KONTONG</v>
      </c>
      <c r="D2830" s="186">
        <f>IFERROR(__xludf.DUMMYFUNCTION("""COMPUTED_VALUE"""),3.0)</f>
        <v>3</v>
      </c>
    </row>
    <row r="2831">
      <c r="A2831" s="178" t="str">
        <f>IFERROR(__xludf.DUMMYFUNCTION("""COMPUTED_VALUE"""),"ITBISA-ARDUINO-UNO-R3-328P-SMD")</f>
        <v>ITBISA-ARDUINO-UNO-R3-328P-SMD</v>
      </c>
      <c r="B2831" s="266">
        <f>IFERROR(__xludf.DUMMYFUNCTION("""COMPUTED_VALUE"""),45897.0)</f>
        <v>45897</v>
      </c>
      <c r="C2831" s="266" t="str">
        <f>IFERROR(__xludf.DUMMYFUNCTION("""COMPUTED_VALUE"""),"KYAI KONTONG")</f>
        <v>KYAI KONTONG</v>
      </c>
      <c r="D2831" s="186">
        <f>IFERROR(__xludf.DUMMYFUNCTION("""COMPUTED_VALUE"""),2.0)</f>
        <v>2</v>
      </c>
    </row>
    <row r="2832">
      <c r="A2832" s="178" t="str">
        <f>IFERROR(__xludf.DUMMYFUNCTION("""COMPUTED_VALUE"""),"ITBISA-ARDUINO-UNO-R3-328P-SMD")</f>
        <v>ITBISA-ARDUINO-UNO-R3-328P-SMD</v>
      </c>
      <c r="B2832" s="266">
        <f>IFERROR(__xludf.DUMMYFUNCTION("""COMPUTED_VALUE"""),45904.0)</f>
        <v>45904</v>
      </c>
      <c r="C2832" s="266" t="str">
        <f>IFERROR(__xludf.DUMMYFUNCTION("""COMPUTED_VALUE"""),"KERTASARI CIAMIS")</f>
        <v>KERTASARI CIAMIS</v>
      </c>
      <c r="D2832" s="186">
        <f>IFERROR(__xludf.DUMMYFUNCTION("""COMPUTED_VALUE"""),1.0)</f>
        <v>1</v>
      </c>
    </row>
    <row r="2833">
      <c r="A2833" s="178" t="str">
        <f>IFERROR(__xludf.DUMMYFUNCTION("""COMPUTED_VALUE"""),"ITBISA-ARDUINO-UNO-R3-328P-SMD")</f>
        <v>ITBISA-ARDUINO-UNO-R3-328P-SMD</v>
      </c>
      <c r="B2833" s="266">
        <f>IFERROR(__xludf.DUMMYFUNCTION("""COMPUTED_VALUE"""),45912.0)</f>
        <v>45912</v>
      </c>
      <c r="C2833" s="266" t="str">
        <f>IFERROR(__xludf.DUMMYFUNCTION("""COMPUTED_VALUE"""),"KYAI KONTONG")</f>
        <v>KYAI KONTONG</v>
      </c>
      <c r="D2833" s="186">
        <f>IFERROR(__xludf.DUMMYFUNCTION("""COMPUTED_VALUE"""),1.0)</f>
        <v>1</v>
      </c>
    </row>
    <row r="2834">
      <c r="A2834" s="178" t="str">
        <f>IFERROR(__xludf.DUMMYFUNCTION("""COMPUTED_VALUE"""),"ITBISA-ARDUINO-UNO-R3-328P-SMD")</f>
        <v>ITBISA-ARDUINO-UNO-R3-328P-SMD</v>
      </c>
      <c r="B2834" s="266">
        <f>IFERROR(__xludf.DUMMYFUNCTION("""COMPUTED_VALUE"""),45912.0)</f>
        <v>45912</v>
      </c>
      <c r="C2834" s="266" t="str">
        <f>IFERROR(__xludf.DUMMYFUNCTION("""COMPUTED_VALUE"""),"KYAI KONTONG")</f>
        <v>KYAI KONTONG</v>
      </c>
      <c r="D2834" s="186">
        <f>IFERROR(__xludf.DUMMYFUNCTION("""COMPUTED_VALUE"""),1.0)</f>
        <v>1</v>
      </c>
    </row>
    <row r="2835">
      <c r="A2835" s="178" t="str">
        <f>IFERROR(__xludf.DUMMYFUNCTION("""COMPUTED_VALUE"""),"ITBISA-ARDUINO-UNO-R3-328P-SMD")</f>
        <v>ITBISA-ARDUINO-UNO-R3-328P-SMD</v>
      </c>
      <c r="B2835" s="266">
        <f>IFERROR(__xludf.DUMMYFUNCTION("""COMPUTED_VALUE"""),45932.0)</f>
        <v>45932</v>
      </c>
      <c r="C2835" s="266" t="str">
        <f>IFERROR(__xludf.DUMMYFUNCTION("""COMPUTED_VALUE"""),"KYAI KONTONG")</f>
        <v>KYAI KONTONG</v>
      </c>
      <c r="D2835" s="186">
        <f>IFERROR(__xludf.DUMMYFUNCTION("""COMPUTED_VALUE"""),1.0)</f>
        <v>1</v>
      </c>
    </row>
    <row r="2836">
      <c r="A2836" s="178" t="str">
        <f>IFERROR(__xludf.DUMMYFUNCTION("""COMPUTED_VALUE"""),"ITBISA-ARDUINO-UNO-R3-328P-SMD")</f>
        <v>ITBISA-ARDUINO-UNO-R3-328P-SMD</v>
      </c>
      <c r="B2836" s="266">
        <f>IFERROR(__xludf.DUMMYFUNCTION("""COMPUTED_VALUE"""),45932.0)</f>
        <v>45932</v>
      </c>
      <c r="C2836" s="266" t="str">
        <f>IFERROR(__xludf.DUMMYFUNCTION("""COMPUTED_VALUE"""),"KYAI KONTONG")</f>
        <v>KYAI KONTONG</v>
      </c>
      <c r="D2836" s="186">
        <f>IFERROR(__xludf.DUMMYFUNCTION("""COMPUTED_VALUE"""),5.0)</f>
        <v>5</v>
      </c>
    </row>
    <row r="2837">
      <c r="A2837" s="178" t="str">
        <f>IFERROR(__xludf.DUMMYFUNCTION("""COMPUTED_VALUE"""),"ITBISA-ARDUINO-UNO-R3-328P-SMD")</f>
        <v>ITBISA-ARDUINO-UNO-R3-328P-SMD</v>
      </c>
      <c r="B2837" s="266">
        <f>IFERROR(__xludf.DUMMYFUNCTION("""COMPUTED_VALUE"""),45939.0)</f>
        <v>45939</v>
      </c>
      <c r="C2837" s="266" t="str">
        <f>IFERROR(__xludf.DUMMYFUNCTION("""COMPUTED_VALUE"""),"KYAI KONTONG")</f>
        <v>KYAI KONTONG</v>
      </c>
      <c r="D2837" s="186">
        <f>IFERROR(__xludf.DUMMYFUNCTION("""COMPUTED_VALUE"""),1.0)</f>
        <v>1</v>
      </c>
    </row>
    <row r="2838">
      <c r="A2838" s="178" t="str">
        <f>IFERROR(__xludf.DUMMYFUNCTION("""COMPUTED_VALUE"""),"ITBISA-ARDUINO-UNO-R3-328P-SMD")</f>
        <v>ITBISA-ARDUINO-UNO-R3-328P-SMD</v>
      </c>
      <c r="B2838" s="266">
        <f>IFERROR(__xludf.DUMMYFUNCTION("""COMPUTED_VALUE"""),45944.0)</f>
        <v>45944</v>
      </c>
      <c r="C2838" s="266" t="str">
        <f>IFERROR(__xludf.DUMMYFUNCTION("""COMPUTED_VALUE"""),"KYAI KONTONG")</f>
        <v>KYAI KONTONG</v>
      </c>
      <c r="D2838" s="186">
        <f>IFERROR(__xludf.DUMMYFUNCTION("""COMPUTED_VALUE"""),1.0)</f>
        <v>1</v>
      </c>
    </row>
    <row r="2839">
      <c r="A2839" s="178" t="str">
        <f>IFERROR(__xludf.DUMMYFUNCTION("""COMPUTED_VALUE"""),"ITBISA-ARDUINO-UNO-R3-328P-SMD")</f>
        <v>ITBISA-ARDUINO-UNO-R3-328P-SMD</v>
      </c>
      <c r="B2839" s="266">
        <f>IFERROR(__xludf.DUMMYFUNCTION("""COMPUTED_VALUE"""),45948.0)</f>
        <v>45948</v>
      </c>
      <c r="C2839" s="266" t="str">
        <f>IFERROR(__xludf.DUMMYFUNCTION("""COMPUTED_VALUE"""),"KYAI KONTONG")</f>
        <v>KYAI KONTONG</v>
      </c>
      <c r="D2839" s="186">
        <f>IFERROR(__xludf.DUMMYFUNCTION("""COMPUTED_VALUE"""),6.0)</f>
        <v>6</v>
      </c>
    </row>
    <row r="2840">
      <c r="A2840" s="178" t="str">
        <f>IFERROR(__xludf.DUMMYFUNCTION("""COMPUTED_VALUE"""),"ITBISA-ARDUINO-UNO-R3-328P-SMD")</f>
        <v>ITBISA-ARDUINO-UNO-R3-328P-SMD</v>
      </c>
      <c r="B2840" s="266">
        <f>IFERROR(__xludf.DUMMYFUNCTION("""COMPUTED_VALUE"""),45952.0)</f>
        <v>45952</v>
      </c>
      <c r="C2840" s="266" t="str">
        <f>IFERROR(__xludf.DUMMYFUNCTION("""COMPUTED_VALUE"""),"KYAI KONTONG")</f>
        <v>KYAI KONTONG</v>
      </c>
      <c r="D2840" s="186">
        <f>IFERROR(__xludf.DUMMYFUNCTION("""COMPUTED_VALUE"""),1.0)</f>
        <v>1</v>
      </c>
    </row>
    <row r="2841">
      <c r="A2841" s="178" t="str">
        <f>IFERROR(__xludf.DUMMYFUNCTION("""COMPUTED_VALUE"""),"ITBISA-ARDUINO-UNO-R3-328P-SMD")</f>
        <v>ITBISA-ARDUINO-UNO-R3-328P-SMD</v>
      </c>
      <c r="B2841" s="266">
        <f>IFERROR(__xludf.DUMMYFUNCTION("""COMPUTED_VALUE"""),45956.0)</f>
        <v>45956</v>
      </c>
      <c r="C2841" s="266" t="str">
        <f>IFERROR(__xludf.DUMMYFUNCTION("""COMPUTED_VALUE"""),"KYAI KONTONG")</f>
        <v>KYAI KONTONG</v>
      </c>
      <c r="D2841" s="186">
        <f>IFERROR(__xludf.DUMMYFUNCTION("""COMPUTED_VALUE"""),1.0)</f>
        <v>1</v>
      </c>
    </row>
    <row r="2842">
      <c r="A2842" s="178" t="str">
        <f>IFERROR(__xludf.DUMMYFUNCTION("""COMPUTED_VALUE"""),"ITBISA-ARDUINO-UNO-R3-328P-SMD")</f>
        <v>ITBISA-ARDUINO-UNO-R3-328P-SMD</v>
      </c>
      <c r="B2842" s="266">
        <f>IFERROR(__xludf.DUMMYFUNCTION("""COMPUTED_VALUE"""),45957.0)</f>
        <v>45957</v>
      </c>
      <c r="C2842" s="266" t="str">
        <f>IFERROR(__xludf.DUMMYFUNCTION("""COMPUTED_VALUE"""),"KYAI KONTONG")</f>
        <v>KYAI KONTONG</v>
      </c>
      <c r="D2842" s="186">
        <f>IFERROR(__xludf.DUMMYFUNCTION("""COMPUTED_VALUE"""),2.0)</f>
        <v>2</v>
      </c>
    </row>
    <row r="2843">
      <c r="A2843" s="178" t="str">
        <f>IFERROR(__xludf.DUMMYFUNCTION("""COMPUTED_VALUE"""),"ITBISA-ARDUINO-UNO-R3-328P-SMD")</f>
        <v>ITBISA-ARDUINO-UNO-R3-328P-SMD</v>
      </c>
      <c r="B2843" s="266">
        <f>IFERROR(__xludf.DUMMYFUNCTION("""COMPUTED_VALUE"""),45957.0)</f>
        <v>45957</v>
      </c>
      <c r="C2843" s="266" t="str">
        <f>IFERROR(__xludf.DUMMYFUNCTION("""COMPUTED_VALUE"""),"KYAI KONTONG")</f>
        <v>KYAI KONTONG</v>
      </c>
      <c r="D2843" s="186">
        <f>IFERROR(__xludf.DUMMYFUNCTION("""COMPUTED_VALUE"""),2.0)</f>
        <v>2</v>
      </c>
    </row>
    <row r="2844">
      <c r="A2844" s="178" t="str">
        <f>IFERROR(__xludf.DUMMYFUNCTION("""COMPUTED_VALUE"""),"ITBISA-ARDUINO-UNO-R3-328P-SMD")</f>
        <v>ITBISA-ARDUINO-UNO-R3-328P-SMD</v>
      </c>
      <c r="B2844" s="266">
        <f>IFERROR(__xludf.DUMMYFUNCTION("""COMPUTED_VALUE"""),45960.0)</f>
        <v>45960</v>
      </c>
      <c r="C2844" s="266" t="str">
        <f>IFERROR(__xludf.DUMMYFUNCTION("""COMPUTED_VALUE"""),"KYAI KONTONG")</f>
        <v>KYAI KONTONG</v>
      </c>
      <c r="D2844" s="186">
        <f>IFERROR(__xludf.DUMMYFUNCTION("""COMPUTED_VALUE"""),1.0)</f>
        <v>1</v>
      </c>
    </row>
    <row r="2845">
      <c r="A2845" s="178" t="str">
        <f>IFERROR(__xludf.DUMMYFUNCTION("""COMPUTED_VALUE"""),"ITBISA-ARDUINO-UNO-R3-328P-SMD")</f>
        <v>ITBISA-ARDUINO-UNO-R3-328P-SMD</v>
      </c>
      <c r="B2845" s="266">
        <f>IFERROR(__xludf.DUMMYFUNCTION("""COMPUTED_VALUE"""),45969.0)</f>
        <v>45969</v>
      </c>
      <c r="C2845" s="266" t="str">
        <f>IFERROR(__xludf.DUMMYFUNCTION("""COMPUTED_VALUE"""),"KYAI KONTONG")</f>
        <v>KYAI KONTONG</v>
      </c>
      <c r="D2845" s="186">
        <f>IFERROR(__xludf.DUMMYFUNCTION("""COMPUTED_VALUE"""),1.0)</f>
        <v>1</v>
      </c>
    </row>
    <row r="2846">
      <c r="A2846" s="178" t="str">
        <f>IFERROR(__xludf.DUMMYFUNCTION("""COMPUTED_VALUE"""),"ITBISA-ARDUINO-UNO-R3-328P-SMD")</f>
        <v>ITBISA-ARDUINO-UNO-R3-328P-SMD</v>
      </c>
      <c r="B2846" s="266">
        <f>IFERROR(__xludf.DUMMYFUNCTION("""COMPUTED_VALUE"""),45970.0)</f>
        <v>45970</v>
      </c>
      <c r="C2846" s="266" t="str">
        <f>IFERROR(__xludf.DUMMYFUNCTION("""COMPUTED_VALUE"""),"KYAI KONTONG")</f>
        <v>KYAI KONTONG</v>
      </c>
      <c r="D2846" s="186">
        <f>IFERROR(__xludf.DUMMYFUNCTION("""COMPUTED_VALUE"""),1.0)</f>
        <v>1</v>
      </c>
    </row>
    <row r="2847">
      <c r="A2847" s="178" t="str">
        <f>IFERROR(__xludf.DUMMYFUNCTION("""COMPUTED_VALUE"""),"ITBISA-ARDUINO-UNO-R3-328P-SMD")</f>
        <v>ITBISA-ARDUINO-UNO-R3-328P-SMD</v>
      </c>
      <c r="B2847" s="266">
        <f>IFERROR(__xludf.DUMMYFUNCTION("""COMPUTED_VALUE"""),45971.0)</f>
        <v>45971</v>
      </c>
      <c r="C2847" s="266" t="str">
        <f>IFERROR(__xludf.DUMMYFUNCTION("""COMPUTED_VALUE"""),"KYAI KONTONG")</f>
        <v>KYAI KONTONG</v>
      </c>
      <c r="D2847" s="186">
        <f>IFERROR(__xludf.DUMMYFUNCTION("""COMPUTED_VALUE"""),1.0)</f>
        <v>1</v>
      </c>
    </row>
    <row r="2848">
      <c r="A2848" s="178" t="str">
        <f>IFERROR(__xludf.DUMMYFUNCTION("""COMPUTED_VALUE"""),"ITBISA-ARDUINO-UNO-R3-328P-SMD")</f>
        <v>ITBISA-ARDUINO-UNO-R3-328P-SMD</v>
      </c>
      <c r="B2848" s="266">
        <f>IFERROR(__xludf.DUMMYFUNCTION("""COMPUTED_VALUE"""),45974.0)</f>
        <v>45974</v>
      </c>
      <c r="C2848" s="266" t="str">
        <f>IFERROR(__xludf.DUMMYFUNCTION("""COMPUTED_VALUE"""),"KYAI KONTONG")</f>
        <v>KYAI KONTONG</v>
      </c>
      <c r="D2848" s="186">
        <f>IFERROR(__xludf.DUMMYFUNCTION("""COMPUTED_VALUE"""),1.0)</f>
        <v>1</v>
      </c>
    </row>
    <row r="2849">
      <c r="A2849" s="178" t="str">
        <f>IFERROR(__xludf.DUMMYFUNCTION("""COMPUTED_VALUE"""),"ITBISA-ARDUINO-UNO-R3-328P-SMD")</f>
        <v>ITBISA-ARDUINO-UNO-R3-328P-SMD</v>
      </c>
      <c r="B2849" s="266">
        <f>IFERROR(__xludf.DUMMYFUNCTION("""COMPUTED_VALUE"""),45975.0)</f>
        <v>45975</v>
      </c>
      <c r="C2849" s="266" t="str">
        <f>IFERROR(__xludf.DUMMYFUNCTION("""COMPUTED_VALUE"""),"KYAI KONTONG")</f>
        <v>KYAI KONTONG</v>
      </c>
      <c r="D2849" s="186">
        <f>IFERROR(__xludf.DUMMYFUNCTION("""COMPUTED_VALUE"""),1.0)</f>
        <v>1</v>
      </c>
    </row>
    <row r="2850">
      <c r="A2850" s="178" t="str">
        <f>IFERROR(__xludf.DUMMYFUNCTION("""COMPUTED_VALUE"""),"ITBISA-ARDUINO-UNO-R3-328P-SMD")</f>
        <v>ITBISA-ARDUINO-UNO-R3-328P-SMD</v>
      </c>
      <c r="B2850" s="266">
        <f>IFERROR(__xludf.DUMMYFUNCTION("""COMPUTED_VALUE"""),45992.0)</f>
        <v>45992</v>
      </c>
      <c r="C2850" s="266" t="str">
        <f>IFERROR(__xludf.DUMMYFUNCTION("""COMPUTED_VALUE"""),"KYAI KONTONG")</f>
        <v>KYAI KONTONG</v>
      </c>
      <c r="D2850" s="186">
        <f>IFERROR(__xludf.DUMMYFUNCTION("""COMPUTED_VALUE"""),1.0)</f>
        <v>1</v>
      </c>
    </row>
    <row r="2851">
      <c r="A2851" s="178" t="str">
        <f>IFERROR(__xludf.DUMMYFUNCTION("""COMPUTED_VALUE"""),"ITBISA-ARDUINO-UNO-R3-328P-SMD")</f>
        <v>ITBISA-ARDUINO-UNO-R3-328P-SMD</v>
      </c>
      <c r="B2851" s="266">
        <f>IFERROR(__xludf.DUMMYFUNCTION("""COMPUTED_VALUE"""),45997.0)</f>
        <v>45997</v>
      </c>
      <c r="C2851" s="266" t="str">
        <f>IFERROR(__xludf.DUMMYFUNCTION("""COMPUTED_VALUE"""),"KYAI KONTONG")</f>
        <v>KYAI KONTONG</v>
      </c>
      <c r="D2851" s="186">
        <f>IFERROR(__xludf.DUMMYFUNCTION("""COMPUTED_VALUE"""),5.0)</f>
        <v>5</v>
      </c>
    </row>
    <row r="2852">
      <c r="A2852" s="178" t="str">
        <f>IFERROR(__xludf.DUMMYFUNCTION("""COMPUTED_VALUE"""),"ITBISA-ARDUINO-UNO-R3-CLONE-CABLE30CM")</f>
        <v>ITBISA-ARDUINO-UNO-R3-CLONE-CABLE30CM</v>
      </c>
      <c r="B2852" s="266">
        <f>IFERROR(__xludf.DUMMYFUNCTION("""COMPUTED_VALUE"""),45200.0)</f>
        <v>45200</v>
      </c>
      <c r="C2852" s="266" t="str">
        <f>IFERROR(__xludf.DUMMYFUNCTION("""COMPUTED_VALUE"""),"KYAI KONTONG")</f>
        <v>KYAI KONTONG</v>
      </c>
      <c r="D2852" s="186">
        <f>IFERROR(__xludf.DUMMYFUNCTION("""COMPUTED_VALUE"""),1.0)</f>
        <v>1</v>
      </c>
    </row>
    <row r="2853">
      <c r="A2853" s="178" t="str">
        <f>IFERROR(__xludf.DUMMYFUNCTION("""COMPUTED_VALUE"""),"ITBISA-BLUETOOTH-MODULE-HC05")</f>
        <v>ITBISA-BLUETOOTH-MODULE-HC05</v>
      </c>
      <c r="B2853" s="266">
        <f>IFERROR(__xludf.DUMMYFUNCTION("""COMPUTED_VALUE"""),45350.0)</f>
        <v>45350</v>
      </c>
      <c r="C2853" s="266" t="str">
        <f>IFERROR(__xludf.DUMMYFUNCTION("""COMPUTED_VALUE"""),"KYAI KONTONG")</f>
        <v>KYAI KONTONG</v>
      </c>
      <c r="D2853" s="186">
        <f>IFERROR(__xludf.DUMMYFUNCTION("""COMPUTED_VALUE"""),1.0)</f>
        <v>1</v>
      </c>
    </row>
    <row r="2854">
      <c r="A2854" s="178" t="str">
        <f>IFERROR(__xludf.DUMMYFUNCTION("""COMPUTED_VALUE"""),"ITBISA-BLUETOOTH-MODULE-HC05")</f>
        <v>ITBISA-BLUETOOTH-MODULE-HC05</v>
      </c>
      <c r="B2854" s="266">
        <f>IFERROR(__xludf.DUMMYFUNCTION("""COMPUTED_VALUE"""),45355.0)</f>
        <v>45355</v>
      </c>
      <c r="C2854" s="266" t="str">
        <f>IFERROR(__xludf.DUMMYFUNCTION("""COMPUTED_VALUE"""),"KYAI KONTONG")</f>
        <v>KYAI KONTONG</v>
      </c>
      <c r="D2854" s="186">
        <f>IFERROR(__xludf.DUMMYFUNCTION("""COMPUTED_VALUE"""),10.0)</f>
        <v>10</v>
      </c>
    </row>
    <row r="2855">
      <c r="A2855" s="178" t="str">
        <f>IFERROR(__xludf.DUMMYFUNCTION("""COMPUTED_VALUE"""),"ITBISA-BLUETOOTH-MODULE-HC05")</f>
        <v>ITBISA-BLUETOOTH-MODULE-HC05</v>
      </c>
      <c r="B2855" s="266">
        <f>IFERROR(__xludf.DUMMYFUNCTION("""COMPUTED_VALUE"""),45364.0)</f>
        <v>45364</v>
      </c>
      <c r="C2855" s="266" t="str">
        <f>IFERROR(__xludf.DUMMYFUNCTION("""COMPUTED_VALUE"""),"KYAI KONTONG")</f>
        <v>KYAI KONTONG</v>
      </c>
      <c r="D2855" s="186">
        <f>IFERROR(__xludf.DUMMYFUNCTION("""COMPUTED_VALUE"""),14.0)</f>
        <v>14</v>
      </c>
    </row>
    <row r="2856">
      <c r="A2856" s="178" t="str">
        <f>IFERROR(__xludf.DUMMYFUNCTION("""COMPUTED_VALUE"""),"ITBISA-BLUETOOTH-MODULE-HC05")</f>
        <v>ITBISA-BLUETOOTH-MODULE-HC05</v>
      </c>
      <c r="B2856" s="266">
        <f>IFERROR(__xludf.DUMMYFUNCTION("""COMPUTED_VALUE"""),45365.0)</f>
        <v>45365</v>
      </c>
      <c r="C2856" s="266" t="str">
        <f>IFERROR(__xludf.DUMMYFUNCTION("""COMPUTED_VALUE"""),"KYAI KONTONG")</f>
        <v>KYAI KONTONG</v>
      </c>
      <c r="D2856" s="186">
        <f>IFERROR(__xludf.DUMMYFUNCTION("""COMPUTED_VALUE"""),4.0)</f>
        <v>4</v>
      </c>
    </row>
    <row r="2857">
      <c r="A2857" s="178" t="str">
        <f>IFERROR(__xludf.DUMMYFUNCTION("""COMPUTED_VALUE"""),"ITBISA-BLUETOOTH-MODULE-HC05")</f>
        <v>ITBISA-BLUETOOTH-MODULE-HC05</v>
      </c>
      <c r="B2857" s="266">
        <f>IFERROR(__xludf.DUMMYFUNCTION("""COMPUTED_VALUE"""),45374.0)</f>
        <v>45374</v>
      </c>
      <c r="C2857" s="266" t="str">
        <f>IFERROR(__xludf.DUMMYFUNCTION("""COMPUTED_VALUE"""),"KERTASARI CIAMIS")</f>
        <v>KERTASARI CIAMIS</v>
      </c>
      <c r="D2857" s="186">
        <f>IFERROR(__xludf.DUMMYFUNCTION("""COMPUTED_VALUE"""),10.0)</f>
        <v>10</v>
      </c>
    </row>
    <row r="2858">
      <c r="A2858" s="178" t="str">
        <f>IFERROR(__xludf.DUMMYFUNCTION("""COMPUTED_VALUE"""),"ITBISA-BLUETOOTH-MODULE-HC05")</f>
        <v>ITBISA-BLUETOOTH-MODULE-HC05</v>
      </c>
      <c r="B2858" s="266">
        <f>IFERROR(__xludf.DUMMYFUNCTION("""COMPUTED_VALUE"""),45376.0)</f>
        <v>45376</v>
      </c>
      <c r="C2858" s="266" t="str">
        <f>IFERROR(__xludf.DUMMYFUNCTION("""COMPUTED_VALUE"""),"KERTASARI CIAMIS")</f>
        <v>KERTASARI CIAMIS</v>
      </c>
      <c r="D2858" s="186">
        <f>IFERROR(__xludf.DUMMYFUNCTION("""COMPUTED_VALUE"""),10.0)</f>
        <v>10</v>
      </c>
    </row>
    <row r="2859">
      <c r="A2859" s="178" t="str">
        <f>IFERROR(__xludf.DUMMYFUNCTION("""COMPUTED_VALUE"""),"ITBISA-BLUETOOTH-MODULE-HC05")</f>
        <v>ITBISA-BLUETOOTH-MODULE-HC05</v>
      </c>
      <c r="B2859" s="266">
        <f>IFERROR(__xludf.DUMMYFUNCTION("""COMPUTED_VALUE"""),45378.0)</f>
        <v>45378</v>
      </c>
      <c r="C2859" s="266" t="str">
        <f>IFERROR(__xludf.DUMMYFUNCTION("""COMPUTED_VALUE"""),"KERTASARI CIAMIS")</f>
        <v>KERTASARI CIAMIS</v>
      </c>
      <c r="D2859" s="186">
        <f>IFERROR(__xludf.DUMMYFUNCTION("""COMPUTED_VALUE"""),4.0)</f>
        <v>4</v>
      </c>
    </row>
    <row r="2860">
      <c r="A2860" s="178" t="str">
        <f>IFERROR(__xludf.DUMMYFUNCTION("""COMPUTED_VALUE"""),"ITBISA-BLUETOOTH-MODULE-HC05")</f>
        <v>ITBISA-BLUETOOTH-MODULE-HC05</v>
      </c>
      <c r="B2860" s="266">
        <f>IFERROR(__xludf.DUMMYFUNCTION("""COMPUTED_VALUE"""),45384.0)</f>
        <v>45384</v>
      </c>
      <c r="C2860" s="266" t="str">
        <f>IFERROR(__xludf.DUMMYFUNCTION("""COMPUTED_VALUE"""),"KERTASARI CIAMIS")</f>
        <v>KERTASARI CIAMIS</v>
      </c>
      <c r="D2860" s="186">
        <f>IFERROR(__xludf.DUMMYFUNCTION("""COMPUTED_VALUE"""),2.0)</f>
        <v>2</v>
      </c>
    </row>
    <row r="2861">
      <c r="A2861" s="178" t="str">
        <f>IFERROR(__xludf.DUMMYFUNCTION("""COMPUTED_VALUE"""),"ITBISA-BLUETOOTH-MODULE-HC05")</f>
        <v>ITBISA-BLUETOOTH-MODULE-HC05</v>
      </c>
      <c r="B2861" s="266">
        <f>IFERROR(__xludf.DUMMYFUNCTION("""COMPUTED_VALUE"""),45386.0)</f>
        <v>45386</v>
      </c>
      <c r="C2861" s="266" t="str">
        <f>IFERROR(__xludf.DUMMYFUNCTION("""COMPUTED_VALUE"""),"KYAI KONTONG")</f>
        <v>KYAI KONTONG</v>
      </c>
      <c r="D2861" s="186">
        <f>IFERROR(__xludf.DUMMYFUNCTION("""COMPUTED_VALUE"""),20.0)</f>
        <v>20</v>
      </c>
    </row>
    <row r="2862">
      <c r="A2862" s="178" t="str">
        <f>IFERROR(__xludf.DUMMYFUNCTION("""COMPUTED_VALUE"""),"ITBISA-BLUETOOTH-MODULE-HC05")</f>
        <v>ITBISA-BLUETOOTH-MODULE-HC05</v>
      </c>
      <c r="B2862" s="266">
        <f>IFERROR(__xludf.DUMMYFUNCTION("""COMPUTED_VALUE"""),45387.0)</f>
        <v>45387</v>
      </c>
      <c r="C2862" s="266" t="str">
        <f>IFERROR(__xludf.DUMMYFUNCTION("""COMPUTED_VALUE"""),"KERTASARI CIAMIS")</f>
        <v>KERTASARI CIAMIS</v>
      </c>
      <c r="D2862" s="186">
        <f>IFERROR(__xludf.DUMMYFUNCTION("""COMPUTED_VALUE"""),2.0)</f>
        <v>2</v>
      </c>
    </row>
    <row r="2863">
      <c r="A2863" s="178" t="str">
        <f>IFERROR(__xludf.DUMMYFUNCTION("""COMPUTED_VALUE"""),"ITBISA-BLUETOOTH-MODULE-HC05")</f>
        <v>ITBISA-BLUETOOTH-MODULE-HC05</v>
      </c>
      <c r="B2863" s="266">
        <f>IFERROR(__xludf.DUMMYFUNCTION("""COMPUTED_VALUE"""),45388.0)</f>
        <v>45388</v>
      </c>
      <c r="C2863" s="266" t="str">
        <f>IFERROR(__xludf.DUMMYFUNCTION("""COMPUTED_VALUE"""),"KERTASARI CIAMIS")</f>
        <v>KERTASARI CIAMIS</v>
      </c>
      <c r="D2863" s="186">
        <f>IFERROR(__xludf.DUMMYFUNCTION("""COMPUTED_VALUE"""),1.0)</f>
        <v>1</v>
      </c>
    </row>
    <row r="2864">
      <c r="A2864" s="178" t="str">
        <f>IFERROR(__xludf.DUMMYFUNCTION("""COMPUTED_VALUE"""),"ITBISA-BLUETOOTH-MODULE-HC05")</f>
        <v>ITBISA-BLUETOOTH-MODULE-HC05</v>
      </c>
      <c r="B2864" s="266">
        <f>IFERROR(__xludf.DUMMYFUNCTION("""COMPUTED_VALUE"""),45392.0)</f>
        <v>45392</v>
      </c>
      <c r="C2864" s="266" t="str">
        <f>IFERROR(__xludf.DUMMYFUNCTION("""COMPUTED_VALUE"""),"KERTASARI CIAMIS")</f>
        <v>KERTASARI CIAMIS</v>
      </c>
      <c r="D2864" s="186">
        <f>IFERROR(__xludf.DUMMYFUNCTION("""COMPUTED_VALUE"""),1.0)</f>
        <v>1</v>
      </c>
    </row>
    <row r="2865">
      <c r="A2865" s="178" t="str">
        <f>IFERROR(__xludf.DUMMYFUNCTION("""COMPUTED_VALUE"""),"ITBISA-BLUETOOTH-MODULE-HC05")</f>
        <v>ITBISA-BLUETOOTH-MODULE-HC05</v>
      </c>
      <c r="B2865" s="266">
        <f>IFERROR(__xludf.DUMMYFUNCTION("""COMPUTED_VALUE"""),45400.0)</f>
        <v>45400</v>
      </c>
      <c r="C2865" s="266" t="str">
        <f>IFERROR(__xludf.DUMMYFUNCTION("""COMPUTED_VALUE"""),"KERTASARI CIAMIS")</f>
        <v>KERTASARI CIAMIS</v>
      </c>
      <c r="D2865" s="186">
        <f>IFERROR(__xludf.DUMMYFUNCTION("""COMPUTED_VALUE"""),20.0)</f>
        <v>20</v>
      </c>
    </row>
    <row r="2866">
      <c r="A2866" s="178" t="str">
        <f>IFERROR(__xludf.DUMMYFUNCTION("""COMPUTED_VALUE"""),"ITBISA-BLUETOOTH-MODULE-HC05")</f>
        <v>ITBISA-BLUETOOTH-MODULE-HC05</v>
      </c>
      <c r="B2866" s="266">
        <f>IFERROR(__xludf.DUMMYFUNCTION("""COMPUTED_VALUE"""),45404.0)</f>
        <v>45404</v>
      </c>
      <c r="C2866" s="266" t="str">
        <f>IFERROR(__xludf.DUMMYFUNCTION("""COMPUTED_VALUE"""),"KERTASARI CIAMIS")</f>
        <v>KERTASARI CIAMIS</v>
      </c>
      <c r="D2866" s="186">
        <f>IFERROR(__xludf.DUMMYFUNCTION("""COMPUTED_VALUE"""),5.0)</f>
        <v>5</v>
      </c>
    </row>
    <row r="2867">
      <c r="A2867" s="178" t="str">
        <f>IFERROR(__xludf.DUMMYFUNCTION("""COMPUTED_VALUE"""),"ITBISA-BLUETOOTH-MODULE-HC05")</f>
        <v>ITBISA-BLUETOOTH-MODULE-HC05</v>
      </c>
      <c r="B2867" s="266">
        <f>IFERROR(__xludf.DUMMYFUNCTION("""COMPUTED_VALUE"""),45417.0)</f>
        <v>45417</v>
      </c>
      <c r="C2867" s="266" t="str">
        <f>IFERROR(__xludf.DUMMYFUNCTION("""COMPUTED_VALUE"""),"KERTASARI CIAMIS")</f>
        <v>KERTASARI CIAMIS</v>
      </c>
      <c r="D2867" s="186">
        <f>IFERROR(__xludf.DUMMYFUNCTION("""COMPUTED_VALUE"""),10.0)</f>
        <v>10</v>
      </c>
    </row>
    <row r="2868">
      <c r="A2868" s="178" t="str">
        <f>IFERROR(__xludf.DUMMYFUNCTION("""COMPUTED_VALUE"""),"ITBISA-BLUETOOTH-MODULE-HC05")</f>
        <v>ITBISA-BLUETOOTH-MODULE-HC05</v>
      </c>
      <c r="B2868" s="266">
        <f>IFERROR(__xludf.DUMMYFUNCTION("""COMPUTED_VALUE"""),45422.0)</f>
        <v>45422</v>
      </c>
      <c r="C2868" s="266" t="str">
        <f>IFERROR(__xludf.DUMMYFUNCTION("""COMPUTED_VALUE"""),"KYAI KONTONG")</f>
        <v>KYAI KONTONG</v>
      </c>
      <c r="D2868" s="186">
        <f>IFERROR(__xludf.DUMMYFUNCTION("""COMPUTED_VALUE"""),1.0)</f>
        <v>1</v>
      </c>
    </row>
    <row r="2869">
      <c r="A2869" s="178" t="str">
        <f>IFERROR(__xludf.DUMMYFUNCTION("""COMPUTED_VALUE"""),"ITBISA-BLUETOOTH-MODULE-HC05")</f>
        <v>ITBISA-BLUETOOTH-MODULE-HC05</v>
      </c>
      <c r="B2869" s="266">
        <f>IFERROR(__xludf.DUMMYFUNCTION("""COMPUTED_VALUE"""),45426.0)</f>
        <v>45426</v>
      </c>
      <c r="C2869" s="266" t="str">
        <f>IFERROR(__xludf.DUMMYFUNCTION("""COMPUTED_VALUE"""),"KYAI KONTONG")</f>
        <v>KYAI KONTONG</v>
      </c>
      <c r="D2869" s="186">
        <f>IFERROR(__xludf.DUMMYFUNCTION("""COMPUTED_VALUE"""),2.0)</f>
        <v>2</v>
      </c>
    </row>
    <row r="2870">
      <c r="A2870" s="178" t="str">
        <f>IFERROR(__xludf.DUMMYFUNCTION("""COMPUTED_VALUE"""),"ITBISA-BLUETOOTH-MODULE-HC05")</f>
        <v>ITBISA-BLUETOOTH-MODULE-HC05</v>
      </c>
      <c r="B2870" s="266">
        <f>IFERROR(__xludf.DUMMYFUNCTION("""COMPUTED_VALUE"""),45427.0)</f>
        <v>45427</v>
      </c>
      <c r="C2870" s="266" t="str">
        <f>IFERROR(__xludf.DUMMYFUNCTION("""COMPUTED_VALUE"""),"KERTASARI CIAMIS")</f>
        <v>KERTASARI CIAMIS</v>
      </c>
      <c r="D2870" s="186">
        <f>IFERROR(__xludf.DUMMYFUNCTION("""COMPUTED_VALUE"""),10.0)</f>
        <v>10</v>
      </c>
    </row>
    <row r="2871">
      <c r="A2871" s="178" t="str">
        <f>IFERROR(__xludf.DUMMYFUNCTION("""COMPUTED_VALUE"""),"ITBISA-BLUETOOTH-MODULE-HC05")</f>
        <v>ITBISA-BLUETOOTH-MODULE-HC05</v>
      </c>
      <c r="B2871" s="266">
        <f>IFERROR(__xludf.DUMMYFUNCTION("""COMPUTED_VALUE"""),45429.0)</f>
        <v>45429</v>
      </c>
      <c r="C2871" s="266" t="str">
        <f>IFERROR(__xludf.DUMMYFUNCTION("""COMPUTED_VALUE"""),"KYAI KONTONG")</f>
        <v>KYAI KONTONG</v>
      </c>
      <c r="D2871" s="186">
        <f>IFERROR(__xludf.DUMMYFUNCTION("""COMPUTED_VALUE"""),1.0)</f>
        <v>1</v>
      </c>
    </row>
    <row r="2872">
      <c r="A2872" s="178" t="str">
        <f>IFERROR(__xludf.DUMMYFUNCTION("""COMPUTED_VALUE"""),"ITBISA-BLUETOOTH-MODULE-HC05")</f>
        <v>ITBISA-BLUETOOTH-MODULE-HC05</v>
      </c>
      <c r="B2872" s="266">
        <f>IFERROR(__xludf.DUMMYFUNCTION("""COMPUTED_VALUE"""),45432.0)</f>
        <v>45432</v>
      </c>
      <c r="C2872" s="266" t="str">
        <f>IFERROR(__xludf.DUMMYFUNCTION("""COMPUTED_VALUE"""),"KYAI KONTONG")</f>
        <v>KYAI KONTONG</v>
      </c>
      <c r="D2872" s="186">
        <f>IFERROR(__xludf.DUMMYFUNCTION("""COMPUTED_VALUE"""),1.0)</f>
        <v>1</v>
      </c>
    </row>
    <row r="2873">
      <c r="A2873" s="178" t="str">
        <f>IFERROR(__xludf.DUMMYFUNCTION("""COMPUTED_VALUE"""),"ITBISA-BLUETOOTH-MODULE-HC05")</f>
        <v>ITBISA-BLUETOOTH-MODULE-HC05</v>
      </c>
      <c r="B2873" s="266">
        <f>IFERROR(__xludf.DUMMYFUNCTION("""COMPUTED_VALUE"""),45437.0)</f>
        <v>45437</v>
      </c>
      <c r="C2873" s="266" t="str">
        <f>IFERROR(__xludf.DUMMYFUNCTION("""COMPUTED_VALUE"""),"KERTASARI CIAMIS")</f>
        <v>KERTASARI CIAMIS</v>
      </c>
      <c r="D2873" s="186">
        <f>IFERROR(__xludf.DUMMYFUNCTION("""COMPUTED_VALUE"""),10.0)</f>
        <v>10</v>
      </c>
    </row>
    <row r="2874">
      <c r="A2874" s="178" t="str">
        <f>IFERROR(__xludf.DUMMYFUNCTION("""COMPUTED_VALUE"""),"ITBISA-BLUETOOTH-MODULE-HC05")</f>
        <v>ITBISA-BLUETOOTH-MODULE-HC05</v>
      </c>
      <c r="B2874" s="266">
        <f>IFERROR(__xludf.DUMMYFUNCTION("""COMPUTED_VALUE"""),45437.0)</f>
        <v>45437</v>
      </c>
      <c r="C2874" s="266" t="str">
        <f>IFERROR(__xludf.DUMMYFUNCTION("""COMPUTED_VALUE"""),"KERTASARI CIAMIS")</f>
        <v>KERTASARI CIAMIS</v>
      </c>
      <c r="D2874" s="186">
        <f>IFERROR(__xludf.DUMMYFUNCTION("""COMPUTED_VALUE"""),10.0)</f>
        <v>10</v>
      </c>
    </row>
    <row r="2875">
      <c r="A2875" s="178" t="str">
        <f>IFERROR(__xludf.DUMMYFUNCTION("""COMPUTED_VALUE"""),"ITBISA-BLUETOOTH-MODULE-HC05")</f>
        <v>ITBISA-BLUETOOTH-MODULE-HC05</v>
      </c>
      <c r="B2875" s="266">
        <f>IFERROR(__xludf.DUMMYFUNCTION("""COMPUTED_VALUE"""),45446.0)</f>
        <v>45446</v>
      </c>
      <c r="C2875" s="266" t="str">
        <f>IFERROR(__xludf.DUMMYFUNCTION("""COMPUTED_VALUE"""),"KERTASARI CIAMIS")</f>
        <v>KERTASARI CIAMIS</v>
      </c>
      <c r="D2875" s="186">
        <f>IFERROR(__xludf.DUMMYFUNCTION("""COMPUTED_VALUE"""),1.0)</f>
        <v>1</v>
      </c>
    </row>
    <row r="2876">
      <c r="A2876" s="178" t="str">
        <f>IFERROR(__xludf.DUMMYFUNCTION("""COMPUTED_VALUE"""),"ITBISA-BLUETOOTH-MODULE-HC05")</f>
        <v>ITBISA-BLUETOOTH-MODULE-HC05</v>
      </c>
      <c r="B2876" s="266">
        <f>IFERROR(__xludf.DUMMYFUNCTION("""COMPUTED_VALUE"""),45446.0)</f>
        <v>45446</v>
      </c>
      <c r="C2876" s="266" t="str">
        <f>IFERROR(__xludf.DUMMYFUNCTION("""COMPUTED_VALUE"""),"KYAI KONTONG")</f>
        <v>KYAI KONTONG</v>
      </c>
      <c r="D2876" s="186">
        <f>IFERROR(__xludf.DUMMYFUNCTION("""COMPUTED_VALUE"""),1.0)</f>
        <v>1</v>
      </c>
    </row>
    <row r="2877">
      <c r="A2877" s="178" t="str">
        <f>IFERROR(__xludf.DUMMYFUNCTION("""COMPUTED_VALUE"""),"ITBISA-BLUETOOTH-MODULE-HC05")</f>
        <v>ITBISA-BLUETOOTH-MODULE-HC05</v>
      </c>
      <c r="B2877" s="266">
        <f>IFERROR(__xludf.DUMMYFUNCTION("""COMPUTED_VALUE"""),45449.0)</f>
        <v>45449</v>
      </c>
      <c r="C2877" s="266" t="str">
        <f>IFERROR(__xludf.DUMMYFUNCTION("""COMPUTED_VALUE"""),"KERTASARI CIAMIS")</f>
        <v>KERTASARI CIAMIS</v>
      </c>
      <c r="D2877" s="186">
        <f>IFERROR(__xludf.DUMMYFUNCTION("""COMPUTED_VALUE"""),10.0)</f>
        <v>10</v>
      </c>
    </row>
    <row r="2878">
      <c r="A2878" s="178" t="str">
        <f>IFERROR(__xludf.DUMMYFUNCTION("""COMPUTED_VALUE"""),"ITBISA-BLUETOOTH-MODULE-HC05")</f>
        <v>ITBISA-BLUETOOTH-MODULE-HC05</v>
      </c>
      <c r="B2878" s="266">
        <f>IFERROR(__xludf.DUMMYFUNCTION("""COMPUTED_VALUE"""),45452.0)</f>
        <v>45452</v>
      </c>
      <c r="C2878" s="266" t="str">
        <f>IFERROR(__xludf.DUMMYFUNCTION("""COMPUTED_VALUE"""),"KYAI KONTONG")</f>
        <v>KYAI KONTONG</v>
      </c>
      <c r="D2878" s="186">
        <f>IFERROR(__xludf.DUMMYFUNCTION("""COMPUTED_VALUE"""),1.0)</f>
        <v>1</v>
      </c>
    </row>
    <row r="2879">
      <c r="A2879" s="178" t="str">
        <f>IFERROR(__xludf.DUMMYFUNCTION("""COMPUTED_VALUE"""),"ITBISA-BLUETOOTH-MODULE-HC05")</f>
        <v>ITBISA-BLUETOOTH-MODULE-HC05</v>
      </c>
      <c r="B2879" s="266">
        <f>IFERROR(__xludf.DUMMYFUNCTION("""COMPUTED_VALUE"""),45469.0)</f>
        <v>45469</v>
      </c>
      <c r="C2879" s="266" t="str">
        <f>IFERROR(__xludf.DUMMYFUNCTION("""COMPUTED_VALUE"""),"KERTASARI CIAMIS")</f>
        <v>KERTASARI CIAMIS</v>
      </c>
      <c r="D2879" s="186">
        <f>IFERROR(__xludf.DUMMYFUNCTION("""COMPUTED_VALUE"""),2.0)</f>
        <v>2</v>
      </c>
    </row>
    <row r="2880">
      <c r="A2880" s="178" t="str">
        <f>IFERROR(__xludf.DUMMYFUNCTION("""COMPUTED_VALUE"""),"ITBISA-BLUETOOTH-MODULE-HC05")</f>
        <v>ITBISA-BLUETOOTH-MODULE-HC05</v>
      </c>
      <c r="B2880" s="266">
        <f>IFERROR(__xludf.DUMMYFUNCTION("""COMPUTED_VALUE"""),45471.0)</f>
        <v>45471</v>
      </c>
      <c r="C2880" s="266" t="str">
        <f>IFERROR(__xludf.DUMMYFUNCTION("""COMPUTED_VALUE"""),"KERTASARI CIAMIS")</f>
        <v>KERTASARI CIAMIS</v>
      </c>
      <c r="D2880" s="186">
        <f>IFERROR(__xludf.DUMMYFUNCTION("""COMPUTED_VALUE"""),10.0)</f>
        <v>10</v>
      </c>
    </row>
    <row r="2881">
      <c r="A2881" s="178" t="str">
        <f>IFERROR(__xludf.DUMMYFUNCTION("""COMPUTED_VALUE"""),"ITBISA-BLUETOOTH-MODULE-HC05")</f>
        <v>ITBISA-BLUETOOTH-MODULE-HC05</v>
      </c>
      <c r="B2881" s="266">
        <f>IFERROR(__xludf.DUMMYFUNCTION("""COMPUTED_VALUE"""),45473.0)</f>
        <v>45473</v>
      </c>
      <c r="C2881" s="266" t="str">
        <f>IFERROR(__xludf.DUMMYFUNCTION("""COMPUTED_VALUE"""),"KYAI KONTONG")</f>
        <v>KYAI KONTONG</v>
      </c>
      <c r="D2881" s="186">
        <f>IFERROR(__xludf.DUMMYFUNCTION("""COMPUTED_VALUE"""),10.0)</f>
        <v>10</v>
      </c>
    </row>
    <row r="2882">
      <c r="A2882" s="178" t="str">
        <f>IFERROR(__xludf.DUMMYFUNCTION("""COMPUTED_VALUE"""),"ITBISA-BLUETOOTH-MODULE-HC05")</f>
        <v>ITBISA-BLUETOOTH-MODULE-HC05</v>
      </c>
      <c r="B2882" s="266">
        <f>IFERROR(__xludf.DUMMYFUNCTION("""COMPUTED_VALUE"""),45477.0)</f>
        <v>45477</v>
      </c>
      <c r="C2882" s="266" t="str">
        <f>IFERROR(__xludf.DUMMYFUNCTION("""COMPUTED_VALUE"""),"KYAI KONTONG")</f>
        <v>KYAI KONTONG</v>
      </c>
      <c r="D2882" s="186">
        <f>IFERROR(__xludf.DUMMYFUNCTION("""COMPUTED_VALUE"""),250.0)</f>
        <v>250</v>
      </c>
    </row>
    <row r="2883">
      <c r="A2883" s="178" t="str">
        <f>IFERROR(__xludf.DUMMYFUNCTION("""COMPUTED_VALUE"""),"ITBISA-BLUETOOTH-MODULE-HC05")</f>
        <v>ITBISA-BLUETOOTH-MODULE-HC05</v>
      </c>
      <c r="B2883" s="266">
        <f>IFERROR(__xludf.DUMMYFUNCTION("""COMPUTED_VALUE"""),45482.0)</f>
        <v>45482</v>
      </c>
      <c r="C2883" s="266" t="str">
        <f>IFERROR(__xludf.DUMMYFUNCTION("""COMPUTED_VALUE"""),"KYAI KONTONG")</f>
        <v>KYAI KONTONG</v>
      </c>
      <c r="D2883" s="186">
        <f>IFERROR(__xludf.DUMMYFUNCTION("""COMPUTED_VALUE"""),14.0)</f>
        <v>14</v>
      </c>
    </row>
    <row r="2884">
      <c r="A2884" s="178" t="str">
        <f>IFERROR(__xludf.DUMMYFUNCTION("""COMPUTED_VALUE"""),"ITBISA-BLUETOOTH-MODULE-HC05")</f>
        <v>ITBISA-BLUETOOTH-MODULE-HC05</v>
      </c>
      <c r="B2884" s="266">
        <f>IFERROR(__xludf.DUMMYFUNCTION("""COMPUTED_VALUE"""),45484.0)</f>
        <v>45484</v>
      </c>
      <c r="C2884" s="266" t="str">
        <f>IFERROR(__xludf.DUMMYFUNCTION("""COMPUTED_VALUE"""),"KERTASARI CIAMIS")</f>
        <v>KERTASARI CIAMIS</v>
      </c>
      <c r="D2884" s="186">
        <f>IFERROR(__xludf.DUMMYFUNCTION("""COMPUTED_VALUE"""),1.0)</f>
        <v>1</v>
      </c>
    </row>
    <row r="2885">
      <c r="A2885" s="178" t="str">
        <f>IFERROR(__xludf.DUMMYFUNCTION("""COMPUTED_VALUE"""),"ITBISA-BLUETOOTH-MODULE-HC05")</f>
        <v>ITBISA-BLUETOOTH-MODULE-HC05</v>
      </c>
      <c r="B2885" s="266">
        <f>IFERROR(__xludf.DUMMYFUNCTION("""COMPUTED_VALUE"""),45501.0)</f>
        <v>45501</v>
      </c>
      <c r="C2885" s="266" t="str">
        <f>IFERROR(__xludf.DUMMYFUNCTION("""COMPUTED_VALUE"""),"KYAI KONTONG")</f>
        <v>KYAI KONTONG</v>
      </c>
      <c r="D2885" s="186">
        <f>IFERROR(__xludf.DUMMYFUNCTION("""COMPUTED_VALUE"""),1.0)</f>
        <v>1</v>
      </c>
    </row>
    <row r="2886">
      <c r="A2886" s="178" t="str">
        <f>IFERROR(__xludf.DUMMYFUNCTION("""COMPUTED_VALUE"""),"ITBISA-BLUETOOTH-MODULE-HC05")</f>
        <v>ITBISA-BLUETOOTH-MODULE-HC05</v>
      </c>
      <c r="B2886" s="266">
        <f>IFERROR(__xludf.DUMMYFUNCTION("""COMPUTED_VALUE"""),45509.0)</f>
        <v>45509</v>
      </c>
      <c r="C2886" s="266" t="str">
        <f>IFERROR(__xludf.DUMMYFUNCTION("""COMPUTED_VALUE"""),"KERTASARI CIAMIS")</f>
        <v>KERTASARI CIAMIS</v>
      </c>
      <c r="D2886" s="186">
        <f>IFERROR(__xludf.DUMMYFUNCTION("""COMPUTED_VALUE"""),1.0)</f>
        <v>1</v>
      </c>
    </row>
    <row r="2887">
      <c r="A2887" s="178" t="str">
        <f>IFERROR(__xludf.DUMMYFUNCTION("""COMPUTED_VALUE"""),"ITBISA-BLUETOOTH-MODULE-HC05")</f>
        <v>ITBISA-BLUETOOTH-MODULE-HC05</v>
      </c>
      <c r="B2887" s="266">
        <f>IFERROR(__xludf.DUMMYFUNCTION("""COMPUTED_VALUE"""),45510.0)</f>
        <v>45510</v>
      </c>
      <c r="C2887" s="266" t="str">
        <f>IFERROR(__xludf.DUMMYFUNCTION("""COMPUTED_VALUE"""),"KYAI KONTONG")</f>
        <v>KYAI KONTONG</v>
      </c>
      <c r="D2887" s="186">
        <f>IFERROR(__xludf.DUMMYFUNCTION("""COMPUTED_VALUE"""),1.0)</f>
        <v>1</v>
      </c>
    </row>
    <row r="2888">
      <c r="A2888" s="178" t="str">
        <f>IFERROR(__xludf.DUMMYFUNCTION("""COMPUTED_VALUE"""),"ITBISA-BLUETOOTH-MODULE-HC05")</f>
        <v>ITBISA-BLUETOOTH-MODULE-HC05</v>
      </c>
      <c r="B2888" s="266">
        <f>IFERROR(__xludf.DUMMYFUNCTION("""COMPUTED_VALUE"""),45520.0)</f>
        <v>45520</v>
      </c>
      <c r="C2888" s="266" t="str">
        <f>IFERROR(__xludf.DUMMYFUNCTION("""COMPUTED_VALUE"""),"KERTASARI CIAMIS")</f>
        <v>KERTASARI CIAMIS</v>
      </c>
      <c r="D2888" s="186">
        <f>IFERROR(__xludf.DUMMYFUNCTION("""COMPUTED_VALUE"""),15.0)</f>
        <v>15</v>
      </c>
    </row>
    <row r="2889">
      <c r="A2889" s="178" t="str">
        <f>IFERROR(__xludf.DUMMYFUNCTION("""COMPUTED_VALUE"""),"ITBISA-BLUETOOTH-MODULE-HC05")</f>
        <v>ITBISA-BLUETOOTH-MODULE-HC05</v>
      </c>
      <c r="B2889" s="266">
        <f>IFERROR(__xludf.DUMMYFUNCTION("""COMPUTED_VALUE"""),45522.0)</f>
        <v>45522</v>
      </c>
      <c r="C2889" s="266" t="str">
        <f>IFERROR(__xludf.DUMMYFUNCTION("""COMPUTED_VALUE"""),"KERTASARI CIAMIS")</f>
        <v>KERTASARI CIAMIS</v>
      </c>
      <c r="D2889" s="186">
        <f>IFERROR(__xludf.DUMMYFUNCTION("""COMPUTED_VALUE"""),1.0)</f>
        <v>1</v>
      </c>
    </row>
    <row r="2890">
      <c r="A2890" s="178" t="str">
        <f>IFERROR(__xludf.DUMMYFUNCTION("""COMPUTED_VALUE"""),"ITBISA-BLUETOOTH-MODULE-HC05")</f>
        <v>ITBISA-BLUETOOTH-MODULE-HC05</v>
      </c>
      <c r="B2890" s="266">
        <f>IFERROR(__xludf.DUMMYFUNCTION("""COMPUTED_VALUE"""),45546.0)</f>
        <v>45546</v>
      </c>
      <c r="C2890" s="266" t="str">
        <f>IFERROR(__xludf.DUMMYFUNCTION("""COMPUTED_VALUE"""),"KERTASARI CIAMIS")</f>
        <v>KERTASARI CIAMIS</v>
      </c>
      <c r="D2890" s="186">
        <f>IFERROR(__xludf.DUMMYFUNCTION("""COMPUTED_VALUE"""),1.0)</f>
        <v>1</v>
      </c>
    </row>
    <row r="2891">
      <c r="A2891" s="178" t="str">
        <f>IFERROR(__xludf.DUMMYFUNCTION("""COMPUTED_VALUE"""),"ITBISA-BLUETOOTH-MODULE-HC05")</f>
        <v>ITBISA-BLUETOOTH-MODULE-HC05</v>
      </c>
      <c r="B2891" s="266">
        <f>IFERROR(__xludf.DUMMYFUNCTION("""COMPUTED_VALUE"""),45552.0)</f>
        <v>45552</v>
      </c>
      <c r="C2891" s="266" t="str">
        <f>IFERROR(__xludf.DUMMYFUNCTION("""COMPUTED_VALUE"""),"KERTASARI CIAMIS")</f>
        <v>KERTASARI CIAMIS</v>
      </c>
      <c r="D2891" s="186">
        <f>IFERROR(__xludf.DUMMYFUNCTION("""COMPUTED_VALUE"""),1.0)</f>
        <v>1</v>
      </c>
    </row>
    <row r="2892">
      <c r="A2892" s="178" t="str">
        <f>IFERROR(__xludf.DUMMYFUNCTION("""COMPUTED_VALUE"""),"ITBISA-BLUETOOTH-MODULE-HC05")</f>
        <v>ITBISA-BLUETOOTH-MODULE-HC05</v>
      </c>
      <c r="B2892" s="266">
        <f>IFERROR(__xludf.DUMMYFUNCTION("""COMPUTED_VALUE"""),45563.0)</f>
        <v>45563</v>
      </c>
      <c r="C2892" s="266" t="str">
        <f>IFERROR(__xludf.DUMMYFUNCTION("""COMPUTED_VALUE"""),"KERTASARI CIAMIS")</f>
        <v>KERTASARI CIAMIS</v>
      </c>
      <c r="D2892" s="186">
        <f>IFERROR(__xludf.DUMMYFUNCTION("""COMPUTED_VALUE"""),1.0)</f>
        <v>1</v>
      </c>
    </row>
    <row r="2893">
      <c r="A2893" s="178" t="str">
        <f>IFERROR(__xludf.DUMMYFUNCTION("""COMPUTED_VALUE"""),"ITBISA-BLUETOOTH-MODULE-HC05")</f>
        <v>ITBISA-BLUETOOTH-MODULE-HC05</v>
      </c>
      <c r="B2893" s="266">
        <f>IFERROR(__xludf.DUMMYFUNCTION("""COMPUTED_VALUE"""),45575.0)</f>
        <v>45575</v>
      </c>
      <c r="C2893" s="266" t="str">
        <f>IFERROR(__xludf.DUMMYFUNCTION("""COMPUTED_VALUE"""),"KYAI KONTONG")</f>
        <v>KYAI KONTONG</v>
      </c>
      <c r="D2893" s="186">
        <f>IFERROR(__xludf.DUMMYFUNCTION("""COMPUTED_VALUE"""),1.0)</f>
        <v>1</v>
      </c>
    </row>
    <row r="2894">
      <c r="A2894" s="178" t="str">
        <f>IFERROR(__xludf.DUMMYFUNCTION("""COMPUTED_VALUE"""),"ITBISA-BLUETOOTH-MODULE-HC05")</f>
        <v>ITBISA-BLUETOOTH-MODULE-HC05</v>
      </c>
      <c r="B2894" s="266">
        <f>IFERROR(__xludf.DUMMYFUNCTION("""COMPUTED_VALUE"""),45577.0)</f>
        <v>45577</v>
      </c>
      <c r="C2894" s="266" t="str">
        <f>IFERROR(__xludf.DUMMYFUNCTION("""COMPUTED_VALUE"""),"KYAI KONTONG")</f>
        <v>KYAI KONTONG</v>
      </c>
      <c r="D2894" s="186">
        <f>IFERROR(__xludf.DUMMYFUNCTION("""COMPUTED_VALUE"""),1.0)</f>
        <v>1</v>
      </c>
    </row>
    <row r="2895">
      <c r="A2895" s="178" t="str">
        <f>IFERROR(__xludf.DUMMYFUNCTION("""COMPUTED_VALUE"""),"ITBISA-BLUETOOTH-MODULE-HC05")</f>
        <v>ITBISA-BLUETOOTH-MODULE-HC05</v>
      </c>
      <c r="B2895" s="266">
        <f>IFERROR(__xludf.DUMMYFUNCTION("""COMPUTED_VALUE"""),45580.0)</f>
        <v>45580</v>
      </c>
      <c r="C2895" s="266" t="str">
        <f>IFERROR(__xludf.DUMMYFUNCTION("""COMPUTED_VALUE"""),"KYAI KONTONG")</f>
        <v>KYAI KONTONG</v>
      </c>
      <c r="D2895" s="186">
        <f>IFERROR(__xludf.DUMMYFUNCTION("""COMPUTED_VALUE"""),1.0)</f>
        <v>1</v>
      </c>
    </row>
    <row r="2896">
      <c r="A2896" s="178" t="str">
        <f>IFERROR(__xludf.DUMMYFUNCTION("""COMPUTED_VALUE"""),"ITBISA-BLUETOOTH-MODULE-HC05")</f>
        <v>ITBISA-BLUETOOTH-MODULE-HC05</v>
      </c>
      <c r="B2896" s="266">
        <f>IFERROR(__xludf.DUMMYFUNCTION("""COMPUTED_VALUE"""),45581.0)</f>
        <v>45581</v>
      </c>
      <c r="C2896" s="266" t="str">
        <f>IFERROR(__xludf.DUMMYFUNCTION("""COMPUTED_VALUE"""),"KYAI KONTONG")</f>
        <v>KYAI KONTONG</v>
      </c>
      <c r="D2896" s="186">
        <f>IFERROR(__xludf.DUMMYFUNCTION("""COMPUTED_VALUE"""),1.0)</f>
        <v>1</v>
      </c>
    </row>
    <row r="2897">
      <c r="A2897" s="178" t="str">
        <f>IFERROR(__xludf.DUMMYFUNCTION("""COMPUTED_VALUE"""),"ITBISA-BLUETOOTH-MODULE-HC05")</f>
        <v>ITBISA-BLUETOOTH-MODULE-HC05</v>
      </c>
      <c r="B2897" s="266">
        <f>IFERROR(__xludf.DUMMYFUNCTION("""COMPUTED_VALUE"""),45598.0)</f>
        <v>45598</v>
      </c>
      <c r="C2897" s="266" t="str">
        <f>IFERROR(__xludf.DUMMYFUNCTION("""COMPUTED_VALUE"""),"KERTASARI CIAMIS")</f>
        <v>KERTASARI CIAMIS</v>
      </c>
      <c r="D2897" s="186">
        <f>IFERROR(__xludf.DUMMYFUNCTION("""COMPUTED_VALUE"""),1.0)</f>
        <v>1</v>
      </c>
    </row>
    <row r="2898">
      <c r="A2898" s="178" t="str">
        <f>IFERROR(__xludf.DUMMYFUNCTION("""COMPUTED_VALUE"""),"ITBISA-BLUETOOTH-MODULE-HC05")</f>
        <v>ITBISA-BLUETOOTH-MODULE-HC05</v>
      </c>
      <c r="B2898" s="266">
        <f>IFERROR(__xludf.DUMMYFUNCTION("""COMPUTED_VALUE"""),45599.0)</f>
        <v>45599</v>
      </c>
      <c r="C2898" s="266" t="str">
        <f>IFERROR(__xludf.DUMMYFUNCTION("""COMPUTED_VALUE"""),"KERTASARI CIAMIS")</f>
        <v>KERTASARI CIAMIS</v>
      </c>
      <c r="D2898" s="186">
        <f>IFERROR(__xludf.DUMMYFUNCTION("""COMPUTED_VALUE"""),1.0)</f>
        <v>1</v>
      </c>
    </row>
    <row r="2899">
      <c r="A2899" s="178" t="str">
        <f>IFERROR(__xludf.DUMMYFUNCTION("""COMPUTED_VALUE"""),"ITBISA-BLUETOOTH-MODULE-HC05")</f>
        <v>ITBISA-BLUETOOTH-MODULE-HC05</v>
      </c>
      <c r="B2899" s="266">
        <f>IFERROR(__xludf.DUMMYFUNCTION("""COMPUTED_VALUE"""),45603.0)</f>
        <v>45603</v>
      </c>
      <c r="C2899" s="266" t="str">
        <f>IFERROR(__xludf.DUMMYFUNCTION("""COMPUTED_VALUE"""),"KERTASARI CIAMIS")</f>
        <v>KERTASARI CIAMIS</v>
      </c>
      <c r="D2899" s="186">
        <f>IFERROR(__xludf.DUMMYFUNCTION("""COMPUTED_VALUE"""),2.0)</f>
        <v>2</v>
      </c>
    </row>
    <row r="2900">
      <c r="A2900" s="178" t="str">
        <f>IFERROR(__xludf.DUMMYFUNCTION("""COMPUTED_VALUE"""),"ITBISA-BLUETOOTH-MODULE-HC05")</f>
        <v>ITBISA-BLUETOOTH-MODULE-HC05</v>
      </c>
      <c r="B2900" s="266">
        <f>IFERROR(__xludf.DUMMYFUNCTION("""COMPUTED_VALUE"""),45604.0)</f>
        <v>45604</v>
      </c>
      <c r="C2900" s="266" t="str">
        <f>IFERROR(__xludf.DUMMYFUNCTION("""COMPUTED_VALUE"""),"KYAI KONTONG")</f>
        <v>KYAI KONTONG</v>
      </c>
      <c r="D2900" s="186">
        <f>IFERROR(__xludf.DUMMYFUNCTION("""COMPUTED_VALUE"""),1.0)</f>
        <v>1</v>
      </c>
    </row>
    <row r="2901">
      <c r="A2901" s="178" t="str">
        <f>IFERROR(__xludf.DUMMYFUNCTION("""COMPUTED_VALUE"""),"ITBISA-BLUETOOTH-MODULE-HC05")</f>
        <v>ITBISA-BLUETOOTH-MODULE-HC05</v>
      </c>
      <c r="B2901" s="266">
        <f>IFERROR(__xludf.DUMMYFUNCTION("""COMPUTED_VALUE"""),45616.0)</f>
        <v>45616</v>
      </c>
      <c r="C2901" s="266" t="str">
        <f>IFERROR(__xludf.DUMMYFUNCTION("""COMPUTED_VALUE"""),"KYAI KONTONG")</f>
        <v>KYAI KONTONG</v>
      </c>
      <c r="D2901" s="186">
        <f>IFERROR(__xludf.DUMMYFUNCTION("""COMPUTED_VALUE"""),1.0)</f>
        <v>1</v>
      </c>
    </row>
    <row r="2902">
      <c r="A2902" s="178" t="str">
        <f>IFERROR(__xludf.DUMMYFUNCTION("""COMPUTED_VALUE"""),"ITBISA-BLUETOOTH-MODULE-HC05")</f>
        <v>ITBISA-BLUETOOTH-MODULE-HC05</v>
      </c>
      <c r="B2902" s="266">
        <f>IFERROR(__xludf.DUMMYFUNCTION("""COMPUTED_VALUE"""),45623.0)</f>
        <v>45623</v>
      </c>
      <c r="C2902" s="266" t="str">
        <f>IFERROR(__xludf.DUMMYFUNCTION("""COMPUTED_VALUE"""),"KYAI KONTONG")</f>
        <v>KYAI KONTONG</v>
      </c>
      <c r="D2902" s="186">
        <f>IFERROR(__xludf.DUMMYFUNCTION("""COMPUTED_VALUE"""),1.0)</f>
        <v>1</v>
      </c>
    </row>
    <row r="2903">
      <c r="A2903" s="178" t="str">
        <f>IFERROR(__xludf.DUMMYFUNCTION("""COMPUTED_VALUE"""),"ITBISA-BLUETOOTH-MODULE-HC05")</f>
        <v>ITBISA-BLUETOOTH-MODULE-HC05</v>
      </c>
      <c r="B2903" s="266">
        <f>IFERROR(__xludf.DUMMYFUNCTION("""COMPUTED_VALUE"""),45630.0)</f>
        <v>45630</v>
      </c>
      <c r="C2903" s="266" t="str">
        <f>IFERROR(__xludf.DUMMYFUNCTION("""COMPUTED_VALUE"""),"KERTASARI CIAMIS")</f>
        <v>KERTASARI CIAMIS</v>
      </c>
      <c r="D2903" s="186">
        <f>IFERROR(__xludf.DUMMYFUNCTION("""COMPUTED_VALUE"""),3.0)</f>
        <v>3</v>
      </c>
    </row>
    <row r="2904">
      <c r="A2904" s="178" t="str">
        <f>IFERROR(__xludf.DUMMYFUNCTION("""COMPUTED_VALUE"""),"ITBISA-BLUETOOTH-MODULE-HC05")</f>
        <v>ITBISA-BLUETOOTH-MODULE-HC05</v>
      </c>
      <c r="B2904" s="266">
        <f>IFERROR(__xludf.DUMMYFUNCTION("""COMPUTED_VALUE"""),45634.0)</f>
        <v>45634</v>
      </c>
      <c r="C2904" s="266" t="str">
        <f>IFERROR(__xludf.DUMMYFUNCTION("""COMPUTED_VALUE"""),"KYAI KONTONG")</f>
        <v>KYAI KONTONG</v>
      </c>
      <c r="D2904" s="186">
        <f>IFERROR(__xludf.DUMMYFUNCTION("""COMPUTED_VALUE"""),1.0)</f>
        <v>1</v>
      </c>
    </row>
    <row r="2905">
      <c r="A2905" s="178" t="str">
        <f>IFERROR(__xludf.DUMMYFUNCTION("""COMPUTED_VALUE"""),"ITBISA-BLUETOOTH-MODULE-HC05")</f>
        <v>ITBISA-BLUETOOTH-MODULE-HC05</v>
      </c>
      <c r="B2905" s="266">
        <f>IFERROR(__xludf.DUMMYFUNCTION("""COMPUTED_VALUE"""),45645.0)</f>
        <v>45645</v>
      </c>
      <c r="C2905" s="266" t="str">
        <f>IFERROR(__xludf.DUMMYFUNCTION("""COMPUTED_VALUE"""),"KERTASARI CIAMIS")</f>
        <v>KERTASARI CIAMIS</v>
      </c>
      <c r="D2905" s="186">
        <f>IFERROR(__xludf.DUMMYFUNCTION("""COMPUTED_VALUE"""),40.0)</f>
        <v>40</v>
      </c>
    </row>
    <row r="2906">
      <c r="A2906" s="178" t="str">
        <f>IFERROR(__xludf.DUMMYFUNCTION("""COMPUTED_VALUE"""),"ITBISA-BLUETOOTH-MODULE-HC05")</f>
        <v>ITBISA-BLUETOOTH-MODULE-HC05</v>
      </c>
      <c r="B2906" s="266">
        <f>IFERROR(__xludf.DUMMYFUNCTION("""COMPUTED_VALUE"""),45659.0)</f>
        <v>45659</v>
      </c>
      <c r="C2906" s="266" t="str">
        <f>IFERROR(__xludf.DUMMYFUNCTION("""COMPUTED_VALUE"""),"KERTASARI CIAMIS")</f>
        <v>KERTASARI CIAMIS</v>
      </c>
      <c r="D2906" s="186">
        <f>IFERROR(__xludf.DUMMYFUNCTION("""COMPUTED_VALUE"""),2.0)</f>
        <v>2</v>
      </c>
    </row>
    <row r="2907">
      <c r="A2907" s="178" t="str">
        <f>IFERROR(__xludf.DUMMYFUNCTION("""COMPUTED_VALUE"""),"ITBISA-BLUETOOTH-MODULE-HC05")</f>
        <v>ITBISA-BLUETOOTH-MODULE-HC05</v>
      </c>
      <c r="B2907" s="266">
        <f>IFERROR(__xludf.DUMMYFUNCTION("""COMPUTED_VALUE"""),45667.0)</f>
        <v>45667</v>
      </c>
      <c r="C2907" s="266" t="str">
        <f>IFERROR(__xludf.DUMMYFUNCTION("""COMPUTED_VALUE"""),"KYAI KONTONG")</f>
        <v>KYAI KONTONG</v>
      </c>
      <c r="D2907" s="186">
        <f>IFERROR(__xludf.DUMMYFUNCTION("""COMPUTED_VALUE"""),1.0)</f>
        <v>1</v>
      </c>
    </row>
    <row r="2908">
      <c r="A2908" s="178" t="str">
        <f>IFERROR(__xludf.DUMMYFUNCTION("""COMPUTED_VALUE"""),"ITBISA-BLUETOOTH-MODULE-HC05")</f>
        <v>ITBISA-BLUETOOTH-MODULE-HC05</v>
      </c>
      <c r="B2908" s="266">
        <f>IFERROR(__xludf.DUMMYFUNCTION("""COMPUTED_VALUE"""),45670.0)</f>
        <v>45670</v>
      </c>
      <c r="C2908" s="266" t="str">
        <f>IFERROR(__xludf.DUMMYFUNCTION("""COMPUTED_VALUE"""),"KERTASARI CIAMIS")</f>
        <v>KERTASARI CIAMIS</v>
      </c>
      <c r="D2908" s="186">
        <f>IFERROR(__xludf.DUMMYFUNCTION("""COMPUTED_VALUE"""),3.0)</f>
        <v>3</v>
      </c>
    </row>
    <row r="2909">
      <c r="A2909" s="178" t="str">
        <f>IFERROR(__xludf.DUMMYFUNCTION("""COMPUTED_VALUE"""),"ITBISA-BLUETOOTH-MODULE-HC05")</f>
        <v>ITBISA-BLUETOOTH-MODULE-HC05</v>
      </c>
      <c r="B2909" s="266">
        <f>IFERROR(__xludf.DUMMYFUNCTION("""COMPUTED_VALUE"""),45674.0)</f>
        <v>45674</v>
      </c>
      <c r="C2909" s="266" t="str">
        <f>IFERROR(__xludf.DUMMYFUNCTION("""COMPUTED_VALUE"""),"KYAI KONTONG")</f>
        <v>KYAI KONTONG</v>
      </c>
      <c r="D2909" s="186">
        <f>IFERROR(__xludf.DUMMYFUNCTION("""COMPUTED_VALUE"""),0.0)</f>
        <v>0</v>
      </c>
    </row>
    <row r="2910">
      <c r="A2910" s="178" t="str">
        <f>IFERROR(__xludf.DUMMYFUNCTION("""COMPUTED_VALUE"""),"ITBISA-BLUETOOTH-MODULE-HC05")</f>
        <v>ITBISA-BLUETOOTH-MODULE-HC05</v>
      </c>
      <c r="B2910" s="266">
        <f>IFERROR(__xludf.DUMMYFUNCTION("""COMPUTED_VALUE"""),45676.0)</f>
        <v>45676</v>
      </c>
      <c r="C2910" s="266" t="str">
        <f>IFERROR(__xludf.DUMMYFUNCTION("""COMPUTED_VALUE"""),"KERTASARI CIAMIS")</f>
        <v>KERTASARI CIAMIS</v>
      </c>
      <c r="D2910" s="186">
        <f>IFERROR(__xludf.DUMMYFUNCTION("""COMPUTED_VALUE"""),5.0)</f>
        <v>5</v>
      </c>
    </row>
    <row r="2911">
      <c r="A2911" s="178" t="str">
        <f>IFERROR(__xludf.DUMMYFUNCTION("""COMPUTED_VALUE"""),"ITBISA-BLUETOOTH-MODULE-HC05")</f>
        <v>ITBISA-BLUETOOTH-MODULE-HC05</v>
      </c>
      <c r="B2911" s="266">
        <f>IFERROR(__xludf.DUMMYFUNCTION("""COMPUTED_VALUE"""),45677.0)</f>
        <v>45677</v>
      </c>
      <c r="C2911" s="266" t="str">
        <f>IFERROR(__xludf.DUMMYFUNCTION("""COMPUTED_VALUE"""),"KERTASARI CIAMIS")</f>
        <v>KERTASARI CIAMIS</v>
      </c>
      <c r="D2911" s="186">
        <f>IFERROR(__xludf.DUMMYFUNCTION("""COMPUTED_VALUE"""),5.0)</f>
        <v>5</v>
      </c>
    </row>
    <row r="2912">
      <c r="A2912" s="178" t="str">
        <f>IFERROR(__xludf.DUMMYFUNCTION("""COMPUTED_VALUE"""),"ITBISA-BLUETOOTH-MODULE-HC05")</f>
        <v>ITBISA-BLUETOOTH-MODULE-HC05</v>
      </c>
      <c r="B2912" s="266">
        <f>IFERROR(__xludf.DUMMYFUNCTION("""COMPUTED_VALUE"""),45680.0)</f>
        <v>45680</v>
      </c>
      <c r="C2912" s="266" t="str">
        <f>IFERROR(__xludf.DUMMYFUNCTION("""COMPUTED_VALUE"""),"KERTASARI CIAMIS")</f>
        <v>KERTASARI CIAMIS</v>
      </c>
      <c r="D2912" s="186">
        <f>IFERROR(__xludf.DUMMYFUNCTION("""COMPUTED_VALUE"""),5.0)</f>
        <v>5</v>
      </c>
    </row>
    <row r="2913">
      <c r="A2913" s="178" t="str">
        <f>IFERROR(__xludf.DUMMYFUNCTION("""COMPUTED_VALUE"""),"ITBISA-BLUETOOTH-MODULE-HC05")</f>
        <v>ITBISA-BLUETOOTH-MODULE-HC05</v>
      </c>
      <c r="B2913" s="266">
        <f>IFERROR(__xludf.DUMMYFUNCTION("""COMPUTED_VALUE"""),45686.0)</f>
        <v>45686</v>
      </c>
      <c r="C2913" s="266" t="str">
        <f>IFERROR(__xludf.DUMMYFUNCTION("""COMPUTED_VALUE"""),"KERTASARI CIAMIS")</f>
        <v>KERTASARI CIAMIS</v>
      </c>
      <c r="D2913" s="186">
        <f>IFERROR(__xludf.DUMMYFUNCTION("""COMPUTED_VALUE"""),5.0)</f>
        <v>5</v>
      </c>
    </row>
    <row r="2914">
      <c r="A2914" s="178" t="str">
        <f>IFERROR(__xludf.DUMMYFUNCTION("""COMPUTED_VALUE"""),"ITBISA-BLUETOOTH-MODULE-HC05")</f>
        <v>ITBISA-BLUETOOTH-MODULE-HC05</v>
      </c>
      <c r="B2914" s="266">
        <f>IFERROR(__xludf.DUMMYFUNCTION("""COMPUTED_VALUE"""),45695.0)</f>
        <v>45695</v>
      </c>
      <c r="C2914" s="266" t="str">
        <f>IFERROR(__xludf.DUMMYFUNCTION("""COMPUTED_VALUE"""),"KYAI KONTONG")</f>
        <v>KYAI KONTONG</v>
      </c>
      <c r="D2914" s="186">
        <f>IFERROR(__xludf.DUMMYFUNCTION("""COMPUTED_VALUE"""),1.0)</f>
        <v>1</v>
      </c>
    </row>
    <row r="2915">
      <c r="A2915" s="178" t="str">
        <f>IFERROR(__xludf.DUMMYFUNCTION("""COMPUTED_VALUE"""),"ITBISA-BLUETOOTH-MODULE-HC05")</f>
        <v>ITBISA-BLUETOOTH-MODULE-HC05</v>
      </c>
      <c r="B2915" s="266">
        <f>IFERROR(__xludf.DUMMYFUNCTION("""COMPUTED_VALUE"""),45699.0)</f>
        <v>45699</v>
      </c>
      <c r="C2915" s="266" t="str">
        <f>IFERROR(__xludf.DUMMYFUNCTION("""COMPUTED_VALUE"""),"KERTASARI CIAMIS")</f>
        <v>KERTASARI CIAMIS</v>
      </c>
      <c r="D2915" s="186">
        <f>IFERROR(__xludf.DUMMYFUNCTION("""COMPUTED_VALUE"""),1.0)</f>
        <v>1</v>
      </c>
    </row>
    <row r="2916">
      <c r="A2916" s="178" t="str">
        <f>IFERROR(__xludf.DUMMYFUNCTION("""COMPUTED_VALUE"""),"ITBISA-BLUETOOTH-MODULE-HC05")</f>
        <v>ITBISA-BLUETOOTH-MODULE-HC05</v>
      </c>
      <c r="B2916" s="266">
        <f>IFERROR(__xludf.DUMMYFUNCTION("""COMPUTED_VALUE"""),45791.0)</f>
        <v>45791</v>
      </c>
      <c r="C2916" s="266" t="str">
        <f>IFERROR(__xludf.DUMMYFUNCTION("""COMPUTED_VALUE"""),"KYAI KONTONG")</f>
        <v>KYAI KONTONG</v>
      </c>
      <c r="D2916" s="186">
        <f>IFERROR(__xludf.DUMMYFUNCTION("""COMPUTED_VALUE"""),1.0)</f>
        <v>1</v>
      </c>
    </row>
    <row r="2917">
      <c r="A2917" s="178" t="str">
        <f>IFERROR(__xludf.DUMMYFUNCTION("""COMPUTED_VALUE"""),"ITBISA-BLUETOOTH-MODULE-HC05")</f>
        <v>ITBISA-BLUETOOTH-MODULE-HC05</v>
      </c>
      <c r="B2917" s="266">
        <f>IFERROR(__xludf.DUMMYFUNCTION("""COMPUTED_VALUE"""),45792.0)</f>
        <v>45792</v>
      </c>
      <c r="C2917" s="266" t="str">
        <f>IFERROR(__xludf.DUMMYFUNCTION("""COMPUTED_VALUE"""),"KYAI KONTONG")</f>
        <v>KYAI KONTONG</v>
      </c>
      <c r="D2917" s="186">
        <f>IFERROR(__xludf.DUMMYFUNCTION("""COMPUTED_VALUE"""),1.0)</f>
        <v>1</v>
      </c>
    </row>
    <row r="2918">
      <c r="A2918" s="178" t="str">
        <f>IFERROR(__xludf.DUMMYFUNCTION("""COMPUTED_VALUE"""),"ITBISA-BLUETOOTH-MODULE-HC05")</f>
        <v>ITBISA-BLUETOOTH-MODULE-HC05</v>
      </c>
      <c r="B2918" s="266">
        <f>IFERROR(__xludf.DUMMYFUNCTION("""COMPUTED_VALUE"""),45825.0)</f>
        <v>45825</v>
      </c>
      <c r="C2918" s="266" t="str">
        <f>IFERROR(__xludf.DUMMYFUNCTION("""COMPUTED_VALUE"""),"KYAI KONTONG")</f>
        <v>KYAI KONTONG</v>
      </c>
      <c r="D2918" s="186">
        <f>IFERROR(__xludf.DUMMYFUNCTION("""COMPUTED_VALUE"""),2.0)</f>
        <v>2</v>
      </c>
    </row>
    <row r="2919">
      <c r="A2919" s="178" t="str">
        <f>IFERROR(__xludf.DUMMYFUNCTION("""COMPUTED_VALUE"""),"ITBISA-BLUETOOTH-MODULE-HC05")</f>
        <v>ITBISA-BLUETOOTH-MODULE-HC05</v>
      </c>
      <c r="B2919" s="266">
        <f>IFERROR(__xludf.DUMMYFUNCTION("""COMPUTED_VALUE"""),45828.0)</f>
        <v>45828</v>
      </c>
      <c r="C2919" s="266" t="str">
        <f>IFERROR(__xludf.DUMMYFUNCTION("""COMPUTED_VALUE"""),"KYAI KONTONG")</f>
        <v>KYAI KONTONG</v>
      </c>
      <c r="D2919" s="186">
        <f>IFERROR(__xludf.DUMMYFUNCTION("""COMPUTED_VALUE"""),1.0)</f>
        <v>1</v>
      </c>
    </row>
    <row r="2920">
      <c r="A2920" s="178" t="str">
        <f>IFERROR(__xludf.DUMMYFUNCTION("""COMPUTED_VALUE"""),"ITBISA-BLUETOOTH-MODULE-HC05")</f>
        <v>ITBISA-BLUETOOTH-MODULE-HC05</v>
      </c>
      <c r="B2920" s="266">
        <f>IFERROR(__xludf.DUMMYFUNCTION("""COMPUTED_VALUE"""),45834.0)</f>
        <v>45834</v>
      </c>
      <c r="C2920" s="266" t="str">
        <f>IFERROR(__xludf.DUMMYFUNCTION("""COMPUTED_VALUE"""),"KYAI KONTONG")</f>
        <v>KYAI KONTONG</v>
      </c>
      <c r="D2920" s="186">
        <f>IFERROR(__xludf.DUMMYFUNCTION("""COMPUTED_VALUE"""),2.0)</f>
        <v>2</v>
      </c>
    </row>
    <row r="2921">
      <c r="A2921" s="178" t="str">
        <f>IFERROR(__xludf.DUMMYFUNCTION("""COMPUTED_VALUE"""),"ITBISA-BLUETOOTH-MODULE-HC05")</f>
        <v>ITBISA-BLUETOOTH-MODULE-HC05</v>
      </c>
      <c r="B2921" s="266">
        <f>IFERROR(__xludf.DUMMYFUNCTION("""COMPUTED_VALUE"""),45836.0)</f>
        <v>45836</v>
      </c>
      <c r="C2921" s="266" t="str">
        <f>IFERROR(__xludf.DUMMYFUNCTION("""COMPUTED_VALUE"""),"KYAI KONTONG")</f>
        <v>KYAI KONTONG</v>
      </c>
      <c r="D2921" s="186">
        <f>IFERROR(__xludf.DUMMYFUNCTION("""COMPUTED_VALUE"""),12.0)</f>
        <v>12</v>
      </c>
    </row>
    <row r="2922">
      <c r="A2922" s="178" t="str">
        <f>IFERROR(__xludf.DUMMYFUNCTION("""COMPUTED_VALUE"""),"ITBISA-BLUETOOTH-MODULE-HC05")</f>
        <v>ITBISA-BLUETOOTH-MODULE-HC05</v>
      </c>
      <c r="B2922" s="266">
        <f>IFERROR(__xludf.DUMMYFUNCTION("""COMPUTED_VALUE"""),45855.0)</f>
        <v>45855</v>
      </c>
      <c r="C2922" s="266" t="str">
        <f>IFERROR(__xludf.DUMMYFUNCTION("""COMPUTED_VALUE"""),"KYAI KONTONG")</f>
        <v>KYAI KONTONG</v>
      </c>
      <c r="D2922" s="186">
        <f>IFERROR(__xludf.DUMMYFUNCTION("""COMPUTED_VALUE"""),1.0)</f>
        <v>1</v>
      </c>
    </row>
    <row r="2923">
      <c r="A2923" s="178" t="str">
        <f>IFERROR(__xludf.DUMMYFUNCTION("""COMPUTED_VALUE"""),"ITBISA-BLUETOOTH-MODULE-HC05")</f>
        <v>ITBISA-BLUETOOTH-MODULE-HC05</v>
      </c>
      <c r="B2923" s="266">
        <f>IFERROR(__xludf.DUMMYFUNCTION("""COMPUTED_VALUE"""),45855.0)</f>
        <v>45855</v>
      </c>
      <c r="C2923" s="266" t="str">
        <f>IFERROR(__xludf.DUMMYFUNCTION("""COMPUTED_VALUE"""),"KYAI KONTONG")</f>
        <v>KYAI KONTONG</v>
      </c>
      <c r="D2923" s="186">
        <f>IFERROR(__xludf.DUMMYFUNCTION("""COMPUTED_VALUE"""),1.0)</f>
        <v>1</v>
      </c>
    </row>
    <row r="2924">
      <c r="A2924" s="178" t="str">
        <f>IFERROR(__xludf.DUMMYFUNCTION("""COMPUTED_VALUE"""),"ITBISA-BLUETOOTH-MODULE-HC05")</f>
        <v>ITBISA-BLUETOOTH-MODULE-HC05</v>
      </c>
      <c r="B2924" s="266">
        <f>IFERROR(__xludf.DUMMYFUNCTION("""COMPUTED_VALUE"""),45858.0)</f>
        <v>45858</v>
      </c>
      <c r="C2924" s="266" t="str">
        <f>IFERROR(__xludf.DUMMYFUNCTION("""COMPUTED_VALUE"""),"KYAI KONTONG")</f>
        <v>KYAI KONTONG</v>
      </c>
      <c r="D2924" s="186">
        <f>IFERROR(__xludf.DUMMYFUNCTION("""COMPUTED_VALUE"""),1.0)</f>
        <v>1</v>
      </c>
    </row>
    <row r="2925">
      <c r="A2925" s="178" t="str">
        <f>IFERROR(__xludf.DUMMYFUNCTION("""COMPUTED_VALUE"""),"ITBISA-BLUETOOTH-MODULE-HC05")</f>
        <v>ITBISA-BLUETOOTH-MODULE-HC05</v>
      </c>
      <c r="B2925" s="266">
        <f>IFERROR(__xludf.DUMMYFUNCTION("""COMPUTED_VALUE"""),45953.0)</f>
        <v>45953</v>
      </c>
      <c r="C2925" s="266" t="str">
        <f>IFERROR(__xludf.DUMMYFUNCTION("""COMPUTED_VALUE"""),"KYAI KONTONG")</f>
        <v>KYAI KONTONG</v>
      </c>
      <c r="D2925" s="186">
        <f>IFERROR(__xludf.DUMMYFUNCTION("""COMPUTED_VALUE"""),12.0)</f>
        <v>12</v>
      </c>
    </row>
    <row r="2926">
      <c r="A2926" s="178" t="str">
        <f>IFERROR(__xludf.DUMMYFUNCTION("""COMPUTED_VALUE"""),"ITBISA-BLUETOOTH-MODULE-HC05")</f>
        <v>ITBISA-BLUETOOTH-MODULE-HC05</v>
      </c>
      <c r="B2926" s="266">
        <f>IFERROR(__xludf.DUMMYFUNCTION("""COMPUTED_VALUE"""),45969.0)</f>
        <v>45969</v>
      </c>
      <c r="C2926" s="266" t="str">
        <f>IFERROR(__xludf.DUMMYFUNCTION("""COMPUTED_VALUE"""),"KYAI KONTONG")</f>
        <v>KYAI KONTONG</v>
      </c>
      <c r="D2926" s="186">
        <f>IFERROR(__xludf.DUMMYFUNCTION("""COMPUTED_VALUE"""),1.0)</f>
        <v>1</v>
      </c>
    </row>
    <row r="2927">
      <c r="A2927" s="178" t="str">
        <f>IFERROR(__xludf.DUMMYFUNCTION("""COMPUTED_VALUE"""),"ITBISA-BLUETOOTH-MODULE-HC05")</f>
        <v>ITBISA-BLUETOOTH-MODULE-HC05</v>
      </c>
      <c r="B2927" s="266">
        <f>IFERROR(__xludf.DUMMYFUNCTION("""COMPUTED_VALUE"""),45989.0)</f>
        <v>45989</v>
      </c>
      <c r="C2927" s="266" t="str">
        <f>IFERROR(__xludf.DUMMYFUNCTION("""COMPUTED_VALUE"""),"KERTASARI CIAMIS")</f>
        <v>KERTASARI CIAMIS</v>
      </c>
      <c r="D2927" s="186">
        <f>IFERROR(__xludf.DUMMYFUNCTION("""COMPUTED_VALUE"""),5.0)</f>
        <v>5</v>
      </c>
    </row>
    <row r="2928">
      <c r="A2928" s="178" t="str">
        <f>IFERROR(__xludf.DUMMYFUNCTION("""COMPUTED_VALUE"""),"ITBISA-BLUETOOTH-MODULE-HC05")</f>
        <v>ITBISA-BLUETOOTH-MODULE-HC05</v>
      </c>
      <c r="B2928" s="266">
        <f>IFERROR(__xludf.DUMMYFUNCTION("""COMPUTED_VALUE"""),45992.0)</f>
        <v>45992</v>
      </c>
      <c r="C2928" s="266" t="str">
        <f>IFERROR(__xludf.DUMMYFUNCTION("""COMPUTED_VALUE"""),"KYAI KONTONG")</f>
        <v>KYAI KONTONG</v>
      </c>
      <c r="D2928" s="186">
        <f>IFERROR(__xludf.DUMMYFUNCTION("""COMPUTED_VALUE"""),1.0)</f>
        <v>1</v>
      </c>
    </row>
    <row r="2929">
      <c r="A2929" s="178" t="str">
        <f>IFERROR(__xludf.DUMMYFUNCTION("""COMPUTED_VALUE"""),"ITBISA-BLUETOOTH-MODULE-HC05")</f>
        <v>ITBISA-BLUETOOTH-MODULE-HC05</v>
      </c>
      <c r="B2929" s="266">
        <f>IFERROR(__xludf.DUMMYFUNCTION("""COMPUTED_VALUE"""),46007.0)</f>
        <v>46007</v>
      </c>
      <c r="C2929" s="266" t="str">
        <f>IFERROR(__xludf.DUMMYFUNCTION("""COMPUTED_VALUE"""),"KYAI KONTONG")</f>
        <v>KYAI KONTONG</v>
      </c>
      <c r="D2929" s="186">
        <f>IFERROR(__xludf.DUMMYFUNCTION("""COMPUTED_VALUE"""),5.0)</f>
        <v>5</v>
      </c>
    </row>
    <row r="2930">
      <c r="A2930" s="178" t="str">
        <f>IFERROR(__xludf.DUMMYFUNCTION("""COMPUTED_VALUE"""),"ITBISA-BLUETOOTH-MODULE-HC05")</f>
        <v>ITBISA-BLUETOOTH-MODULE-HC05</v>
      </c>
      <c r="B2930" s="266">
        <f>IFERROR(__xludf.DUMMYFUNCTION("""COMPUTED_VALUE"""),46011.0)</f>
        <v>46011</v>
      </c>
      <c r="C2930" s="266" t="str">
        <f>IFERROR(__xludf.DUMMYFUNCTION("""COMPUTED_VALUE"""),"KYAI KONTONG")</f>
        <v>KYAI KONTONG</v>
      </c>
      <c r="D2930" s="186">
        <f>IFERROR(__xludf.DUMMYFUNCTION("""COMPUTED_VALUE"""),1.0)</f>
        <v>1</v>
      </c>
    </row>
    <row r="2931">
      <c r="A2931" s="178" t="str">
        <f>IFERROR(__xludf.DUMMYFUNCTION("""COMPUTED_VALUE"""),"ITBISA-BREADBOARD-830HOLE-MB102")</f>
        <v>ITBISA-BREADBOARD-830HOLE-MB102</v>
      </c>
      <c r="B2931" s="266">
        <f>IFERROR(__xludf.DUMMYFUNCTION("""COMPUTED_VALUE"""),45343.0)</f>
        <v>45343</v>
      </c>
      <c r="C2931" s="266" t="str">
        <f>IFERROR(__xludf.DUMMYFUNCTION("""COMPUTED_VALUE"""),"KERTASARI CIAMIS")</f>
        <v>KERTASARI CIAMIS</v>
      </c>
      <c r="D2931" s="186">
        <f>IFERROR(__xludf.DUMMYFUNCTION("""COMPUTED_VALUE"""),1.0)</f>
        <v>1</v>
      </c>
    </row>
    <row r="2932">
      <c r="A2932" s="178" t="str">
        <f>IFERROR(__xludf.DUMMYFUNCTION("""COMPUTED_VALUE"""),"ITBISA-BREADBOARD-830HOLE-MB102")</f>
        <v>ITBISA-BREADBOARD-830HOLE-MB102</v>
      </c>
      <c r="B2932" s="266">
        <f>IFERROR(__xludf.DUMMYFUNCTION("""COMPUTED_VALUE"""),45343.0)</f>
        <v>45343</v>
      </c>
      <c r="C2932" s="266" t="str">
        <f>IFERROR(__xludf.DUMMYFUNCTION("""COMPUTED_VALUE"""),"KERTASARI CIAMIS")</f>
        <v>KERTASARI CIAMIS</v>
      </c>
      <c r="D2932" s="186">
        <f>IFERROR(__xludf.DUMMYFUNCTION("""COMPUTED_VALUE"""),10.0)</f>
        <v>10</v>
      </c>
    </row>
    <row r="2933">
      <c r="A2933" s="178" t="str">
        <f>IFERROR(__xludf.DUMMYFUNCTION("""COMPUTED_VALUE"""),"ITBISA-BREADBOARD-830HOLE-MB102")</f>
        <v>ITBISA-BREADBOARD-830HOLE-MB102</v>
      </c>
      <c r="B2933" s="266">
        <f>IFERROR(__xludf.DUMMYFUNCTION("""COMPUTED_VALUE"""),45349.0)</f>
        <v>45349</v>
      </c>
      <c r="C2933" s="266" t="str">
        <f>IFERROR(__xludf.DUMMYFUNCTION("""COMPUTED_VALUE"""),"KERTASARI CIAMIS")</f>
        <v>KERTASARI CIAMIS</v>
      </c>
      <c r="D2933" s="186">
        <f>IFERROR(__xludf.DUMMYFUNCTION("""COMPUTED_VALUE"""),1.0)</f>
        <v>1</v>
      </c>
    </row>
    <row r="2934">
      <c r="A2934" s="178" t="str">
        <f>IFERROR(__xludf.DUMMYFUNCTION("""COMPUTED_VALUE"""),"ITBISA-BREADBOARD-830HOLE-MB102")</f>
        <v>ITBISA-BREADBOARD-830HOLE-MB102</v>
      </c>
      <c r="B2934" s="266">
        <f>IFERROR(__xludf.DUMMYFUNCTION("""COMPUTED_VALUE"""),45351.0)</f>
        <v>45351</v>
      </c>
      <c r="C2934" s="266" t="str">
        <f>IFERROR(__xludf.DUMMYFUNCTION("""COMPUTED_VALUE"""),"KERTASARI CIAMIS")</f>
        <v>KERTASARI CIAMIS</v>
      </c>
      <c r="D2934" s="186">
        <f>IFERROR(__xludf.DUMMYFUNCTION("""COMPUTED_VALUE"""),1.0)</f>
        <v>1</v>
      </c>
    </row>
    <row r="2935">
      <c r="A2935" s="178" t="str">
        <f>IFERROR(__xludf.DUMMYFUNCTION("""COMPUTED_VALUE"""),"ITBISA-BREADBOARD-830HOLE-MB102")</f>
        <v>ITBISA-BREADBOARD-830HOLE-MB102</v>
      </c>
      <c r="B2935" s="266">
        <f>IFERROR(__xludf.DUMMYFUNCTION("""COMPUTED_VALUE"""),45353.0)</f>
        <v>45353</v>
      </c>
      <c r="C2935" s="266" t="str">
        <f>IFERROR(__xludf.DUMMYFUNCTION("""COMPUTED_VALUE"""),"RANCAEKEK ESTU")</f>
        <v>RANCAEKEK ESTU</v>
      </c>
      <c r="D2935" s="186">
        <f>IFERROR(__xludf.DUMMYFUNCTION("""COMPUTED_VALUE"""),2.0)</f>
        <v>2</v>
      </c>
    </row>
    <row r="2936">
      <c r="A2936" s="178" t="str">
        <f>IFERROR(__xludf.DUMMYFUNCTION("""COMPUTED_VALUE"""),"ITBISA-BREADBOARD-830HOLE-MB102")</f>
        <v>ITBISA-BREADBOARD-830HOLE-MB102</v>
      </c>
      <c r="B2936" s="266">
        <f>IFERROR(__xludf.DUMMYFUNCTION("""COMPUTED_VALUE"""),45354.0)</f>
        <v>45354</v>
      </c>
      <c r="C2936" s="266" t="str">
        <f>IFERROR(__xludf.DUMMYFUNCTION("""COMPUTED_VALUE"""),"KERTASARI CIAMIS")</f>
        <v>KERTASARI CIAMIS</v>
      </c>
      <c r="D2936" s="186">
        <f>IFERROR(__xludf.DUMMYFUNCTION("""COMPUTED_VALUE"""),1.0)</f>
        <v>1</v>
      </c>
    </row>
    <row r="2937">
      <c r="A2937" s="178" t="str">
        <f>IFERROR(__xludf.DUMMYFUNCTION("""COMPUTED_VALUE"""),"ITBISA-BREADBOARD-830HOLE-MB102")</f>
        <v>ITBISA-BREADBOARD-830HOLE-MB102</v>
      </c>
      <c r="B2937" s="266">
        <f>IFERROR(__xludf.DUMMYFUNCTION("""COMPUTED_VALUE"""),45354.0)</f>
        <v>45354</v>
      </c>
      <c r="C2937" s="266" t="str">
        <f>IFERROR(__xludf.DUMMYFUNCTION("""COMPUTED_VALUE"""),"RANCAEKEK ESTU")</f>
        <v>RANCAEKEK ESTU</v>
      </c>
      <c r="D2937" s="186">
        <f>IFERROR(__xludf.DUMMYFUNCTION("""COMPUTED_VALUE"""),5.0)</f>
        <v>5</v>
      </c>
    </row>
    <row r="2938">
      <c r="A2938" s="178" t="str">
        <f>IFERROR(__xludf.DUMMYFUNCTION("""COMPUTED_VALUE"""),"ITBISA-BREADBOARD-830HOLE-MB102")</f>
        <v>ITBISA-BREADBOARD-830HOLE-MB102</v>
      </c>
      <c r="B2938" s="266">
        <f>IFERROR(__xludf.DUMMYFUNCTION("""COMPUTED_VALUE"""),45355.0)</f>
        <v>45355</v>
      </c>
      <c r="C2938" s="266" t="str">
        <f>IFERROR(__xludf.DUMMYFUNCTION("""COMPUTED_VALUE"""),"RANCAEKEK ESTU")</f>
        <v>RANCAEKEK ESTU</v>
      </c>
      <c r="D2938" s="186">
        <f>IFERROR(__xludf.DUMMYFUNCTION("""COMPUTED_VALUE"""),1.0)</f>
        <v>1</v>
      </c>
    </row>
    <row r="2939">
      <c r="A2939" s="178" t="str">
        <f>IFERROR(__xludf.DUMMYFUNCTION("""COMPUTED_VALUE"""),"ITBISA-BREADBOARD-830HOLE-MB102")</f>
        <v>ITBISA-BREADBOARD-830HOLE-MB102</v>
      </c>
      <c r="B2939" s="266">
        <f>IFERROR(__xludf.DUMMYFUNCTION("""COMPUTED_VALUE"""),45358.0)</f>
        <v>45358</v>
      </c>
      <c r="C2939" s="266" t="str">
        <f>IFERROR(__xludf.DUMMYFUNCTION("""COMPUTED_VALUE"""),"RANCAEKEK ESTU")</f>
        <v>RANCAEKEK ESTU</v>
      </c>
      <c r="D2939" s="186">
        <f>IFERROR(__xludf.DUMMYFUNCTION("""COMPUTED_VALUE"""),2.0)</f>
        <v>2</v>
      </c>
    </row>
    <row r="2940">
      <c r="A2940" s="178" t="str">
        <f>IFERROR(__xludf.DUMMYFUNCTION("""COMPUTED_VALUE"""),"ITBISA-BREADBOARD-830HOLE-MB102")</f>
        <v>ITBISA-BREADBOARD-830HOLE-MB102</v>
      </c>
      <c r="B2940" s="266">
        <f>IFERROR(__xludf.DUMMYFUNCTION("""COMPUTED_VALUE"""),45359.0)</f>
        <v>45359</v>
      </c>
      <c r="C2940" s="266" t="str">
        <f>IFERROR(__xludf.DUMMYFUNCTION("""COMPUTED_VALUE"""),"RANCAEKEK ESTU")</f>
        <v>RANCAEKEK ESTU</v>
      </c>
      <c r="D2940" s="186">
        <f>IFERROR(__xludf.DUMMYFUNCTION("""COMPUTED_VALUE"""),1.0)</f>
        <v>1</v>
      </c>
    </row>
    <row r="2941">
      <c r="A2941" s="178" t="str">
        <f>IFERROR(__xludf.DUMMYFUNCTION("""COMPUTED_VALUE"""),"ITBISA-BREADBOARD-830HOLE-MB102")</f>
        <v>ITBISA-BREADBOARD-830HOLE-MB102</v>
      </c>
      <c r="B2941" s="266">
        <f>IFERROR(__xludf.DUMMYFUNCTION("""COMPUTED_VALUE"""),45362.0)</f>
        <v>45362</v>
      </c>
      <c r="C2941" s="266" t="str">
        <f>IFERROR(__xludf.DUMMYFUNCTION("""COMPUTED_VALUE"""),"KERTASARI CIAMIS")</f>
        <v>KERTASARI CIAMIS</v>
      </c>
      <c r="D2941" s="186">
        <f>IFERROR(__xludf.DUMMYFUNCTION("""COMPUTED_VALUE"""),1.0)</f>
        <v>1</v>
      </c>
    </row>
    <row r="2942">
      <c r="A2942" s="178" t="str">
        <f>IFERROR(__xludf.DUMMYFUNCTION("""COMPUTED_VALUE"""),"ITBISA-BREADBOARD-830HOLE-MB102")</f>
        <v>ITBISA-BREADBOARD-830HOLE-MB102</v>
      </c>
      <c r="B2942" s="266">
        <f>IFERROR(__xludf.DUMMYFUNCTION("""COMPUTED_VALUE"""),45368.0)</f>
        <v>45368</v>
      </c>
      <c r="C2942" s="266" t="str">
        <f>IFERROR(__xludf.DUMMYFUNCTION("""COMPUTED_VALUE"""),"RANCAEKEK ESTU")</f>
        <v>RANCAEKEK ESTU</v>
      </c>
      <c r="D2942" s="186">
        <f>IFERROR(__xludf.DUMMYFUNCTION("""COMPUTED_VALUE"""),1.0)</f>
        <v>1</v>
      </c>
    </row>
    <row r="2943">
      <c r="A2943" s="178" t="str">
        <f>IFERROR(__xludf.DUMMYFUNCTION("""COMPUTED_VALUE"""),"ITBISA-BREADBOARD-830HOLE-MB102")</f>
        <v>ITBISA-BREADBOARD-830HOLE-MB102</v>
      </c>
      <c r="B2943" s="266">
        <f>IFERROR(__xludf.DUMMYFUNCTION("""COMPUTED_VALUE"""),45369.0)</f>
        <v>45369</v>
      </c>
      <c r="C2943" s="266" t="str">
        <f>IFERROR(__xludf.DUMMYFUNCTION("""COMPUTED_VALUE"""),"KERTASARI CIAMIS")</f>
        <v>KERTASARI CIAMIS</v>
      </c>
      <c r="D2943" s="186">
        <f>IFERROR(__xludf.DUMMYFUNCTION("""COMPUTED_VALUE"""),2.0)</f>
        <v>2</v>
      </c>
    </row>
    <row r="2944">
      <c r="A2944" s="178" t="str">
        <f>IFERROR(__xludf.DUMMYFUNCTION("""COMPUTED_VALUE"""),"ITBISA-BREADBOARD-830HOLE-MB102")</f>
        <v>ITBISA-BREADBOARD-830HOLE-MB102</v>
      </c>
      <c r="B2944" s="266">
        <f>IFERROR(__xludf.DUMMYFUNCTION("""COMPUTED_VALUE"""),45369.0)</f>
        <v>45369</v>
      </c>
      <c r="C2944" s="266" t="str">
        <f>IFERROR(__xludf.DUMMYFUNCTION("""COMPUTED_VALUE"""),"RANCAEKEK ESTU")</f>
        <v>RANCAEKEK ESTU</v>
      </c>
      <c r="D2944" s="186">
        <f>IFERROR(__xludf.DUMMYFUNCTION("""COMPUTED_VALUE"""),1.0)</f>
        <v>1</v>
      </c>
    </row>
    <row r="2945">
      <c r="A2945" s="178" t="str">
        <f>IFERROR(__xludf.DUMMYFUNCTION("""COMPUTED_VALUE"""),"ITBISA-BREADBOARD-830HOLE-MB102")</f>
        <v>ITBISA-BREADBOARD-830HOLE-MB102</v>
      </c>
      <c r="B2945" s="266">
        <f>IFERROR(__xludf.DUMMYFUNCTION("""COMPUTED_VALUE"""),45370.0)</f>
        <v>45370</v>
      </c>
      <c r="C2945" s="266" t="str">
        <f>IFERROR(__xludf.DUMMYFUNCTION("""COMPUTED_VALUE"""),"KERTASARI CIAMIS")</f>
        <v>KERTASARI CIAMIS</v>
      </c>
      <c r="D2945" s="186">
        <f>IFERROR(__xludf.DUMMYFUNCTION("""COMPUTED_VALUE"""),1.0)</f>
        <v>1</v>
      </c>
    </row>
    <row r="2946">
      <c r="A2946" s="178" t="str">
        <f>IFERROR(__xludf.DUMMYFUNCTION("""COMPUTED_VALUE"""),"ITBISA-BREADBOARD-830HOLE-MB102")</f>
        <v>ITBISA-BREADBOARD-830HOLE-MB102</v>
      </c>
      <c r="B2946" s="266">
        <f>IFERROR(__xludf.DUMMYFUNCTION("""COMPUTED_VALUE"""),45370.0)</f>
        <v>45370</v>
      </c>
      <c r="C2946" s="266" t="str">
        <f>IFERROR(__xludf.DUMMYFUNCTION("""COMPUTED_VALUE"""),"RANCAEKEK ESTU")</f>
        <v>RANCAEKEK ESTU</v>
      </c>
      <c r="D2946" s="186">
        <f>IFERROR(__xludf.DUMMYFUNCTION("""COMPUTED_VALUE"""),25.0)</f>
        <v>25</v>
      </c>
    </row>
    <row r="2947">
      <c r="A2947" s="178" t="str">
        <f>IFERROR(__xludf.DUMMYFUNCTION("""COMPUTED_VALUE"""),"ITBISA-BREADBOARD-830HOLE-MB102")</f>
        <v>ITBISA-BREADBOARD-830HOLE-MB102</v>
      </c>
      <c r="B2947" s="266">
        <f>IFERROR(__xludf.DUMMYFUNCTION("""COMPUTED_VALUE"""),45375.0)</f>
        <v>45375</v>
      </c>
      <c r="C2947" s="266" t="str">
        <f>IFERROR(__xludf.DUMMYFUNCTION("""COMPUTED_VALUE"""),"KERTASARI CIAMIS")</f>
        <v>KERTASARI CIAMIS</v>
      </c>
      <c r="D2947" s="186">
        <f>IFERROR(__xludf.DUMMYFUNCTION("""COMPUTED_VALUE"""),1.0)</f>
        <v>1</v>
      </c>
    </row>
    <row r="2948">
      <c r="A2948" s="178" t="str">
        <f>IFERROR(__xludf.DUMMYFUNCTION("""COMPUTED_VALUE"""),"ITBISA-BREADBOARD-830HOLE-MB102")</f>
        <v>ITBISA-BREADBOARD-830HOLE-MB102</v>
      </c>
      <c r="B2948" s="266">
        <f>IFERROR(__xludf.DUMMYFUNCTION("""COMPUTED_VALUE"""),45376.0)</f>
        <v>45376</v>
      </c>
      <c r="C2948" s="266" t="str">
        <f>IFERROR(__xludf.DUMMYFUNCTION("""COMPUTED_VALUE"""),"KERTASARI CIAMIS")</f>
        <v>KERTASARI CIAMIS</v>
      </c>
      <c r="D2948" s="186">
        <f>IFERROR(__xludf.DUMMYFUNCTION("""COMPUTED_VALUE"""),1.0)</f>
        <v>1</v>
      </c>
    </row>
    <row r="2949">
      <c r="A2949" s="178" t="str">
        <f>IFERROR(__xludf.DUMMYFUNCTION("""COMPUTED_VALUE"""),"ITBISA-BREADBOARD-830HOLE-MB102")</f>
        <v>ITBISA-BREADBOARD-830HOLE-MB102</v>
      </c>
      <c r="B2949" s="266">
        <f>IFERROR(__xludf.DUMMYFUNCTION("""COMPUTED_VALUE"""),45380.0)</f>
        <v>45380</v>
      </c>
      <c r="C2949" s="266" t="str">
        <f>IFERROR(__xludf.DUMMYFUNCTION("""COMPUTED_VALUE"""),"KERTASARI CIAMIS")</f>
        <v>KERTASARI CIAMIS</v>
      </c>
      <c r="D2949" s="186">
        <f>IFERROR(__xludf.DUMMYFUNCTION("""COMPUTED_VALUE"""),1.0)</f>
        <v>1</v>
      </c>
    </row>
    <row r="2950">
      <c r="A2950" s="178" t="str">
        <f>IFERROR(__xludf.DUMMYFUNCTION("""COMPUTED_VALUE"""),"ITBISA-BREADBOARD-830HOLE-MB102")</f>
        <v>ITBISA-BREADBOARD-830HOLE-MB102</v>
      </c>
      <c r="B2950" s="266">
        <f>IFERROR(__xludf.DUMMYFUNCTION("""COMPUTED_VALUE"""),45384.0)</f>
        <v>45384</v>
      </c>
      <c r="C2950" s="266" t="str">
        <f>IFERROR(__xludf.DUMMYFUNCTION("""COMPUTED_VALUE"""),"KERTASARI CIAMIS")</f>
        <v>KERTASARI CIAMIS</v>
      </c>
      <c r="D2950" s="186">
        <f>IFERROR(__xludf.DUMMYFUNCTION("""COMPUTED_VALUE"""),1.0)</f>
        <v>1</v>
      </c>
    </row>
    <row r="2951">
      <c r="A2951" s="178" t="str">
        <f>IFERROR(__xludf.DUMMYFUNCTION("""COMPUTED_VALUE"""),"ITBISA-BREADBOARD-830HOLE-MB102")</f>
        <v>ITBISA-BREADBOARD-830HOLE-MB102</v>
      </c>
      <c r="B2951" s="266">
        <f>IFERROR(__xludf.DUMMYFUNCTION("""COMPUTED_VALUE"""),45384.0)</f>
        <v>45384</v>
      </c>
      <c r="C2951" s="266" t="str">
        <f>IFERROR(__xludf.DUMMYFUNCTION("""COMPUTED_VALUE"""),"KERTASARI CIAMIS")</f>
        <v>KERTASARI CIAMIS</v>
      </c>
      <c r="D2951" s="186">
        <f>IFERROR(__xludf.DUMMYFUNCTION("""COMPUTED_VALUE"""),6.0)</f>
        <v>6</v>
      </c>
    </row>
    <row r="2952">
      <c r="A2952" s="178" t="str">
        <f>IFERROR(__xludf.DUMMYFUNCTION("""COMPUTED_VALUE"""),"ITBISA-BREADBOARD-830HOLE-MB102")</f>
        <v>ITBISA-BREADBOARD-830HOLE-MB102</v>
      </c>
      <c r="B2952" s="266">
        <f>IFERROR(__xludf.DUMMYFUNCTION("""COMPUTED_VALUE"""),45388.0)</f>
        <v>45388</v>
      </c>
      <c r="C2952" s="266" t="str">
        <f>IFERROR(__xludf.DUMMYFUNCTION("""COMPUTED_VALUE"""),"KERTASARI CIAMIS")</f>
        <v>KERTASARI CIAMIS</v>
      </c>
      <c r="D2952" s="186">
        <f>IFERROR(__xludf.DUMMYFUNCTION("""COMPUTED_VALUE"""),1.0)</f>
        <v>1</v>
      </c>
    </row>
    <row r="2953">
      <c r="A2953" s="178" t="str">
        <f>IFERROR(__xludf.DUMMYFUNCTION("""COMPUTED_VALUE"""),"ITBISA-BREADBOARD-830HOLE-MB102")</f>
        <v>ITBISA-BREADBOARD-830HOLE-MB102</v>
      </c>
      <c r="B2953" s="266">
        <f>IFERROR(__xludf.DUMMYFUNCTION("""COMPUTED_VALUE"""),45389.0)</f>
        <v>45389</v>
      </c>
      <c r="C2953" s="266" t="str">
        <f>IFERROR(__xludf.DUMMYFUNCTION("""COMPUTED_VALUE"""),"KERTASARI CIAMIS")</f>
        <v>KERTASARI CIAMIS</v>
      </c>
      <c r="D2953" s="186">
        <f>IFERROR(__xludf.DUMMYFUNCTION("""COMPUTED_VALUE"""),1.0)</f>
        <v>1</v>
      </c>
    </row>
    <row r="2954">
      <c r="A2954" s="178" t="str">
        <f>IFERROR(__xludf.DUMMYFUNCTION("""COMPUTED_VALUE"""),"ITBISA-BREADBOARD-830HOLE-MB102")</f>
        <v>ITBISA-BREADBOARD-830HOLE-MB102</v>
      </c>
      <c r="B2954" s="266">
        <f>IFERROR(__xludf.DUMMYFUNCTION("""COMPUTED_VALUE"""),45390.0)</f>
        <v>45390</v>
      </c>
      <c r="C2954" s="266" t="str">
        <f>IFERROR(__xludf.DUMMYFUNCTION("""COMPUTED_VALUE"""),"KERTASARI CIAMIS")</f>
        <v>KERTASARI CIAMIS</v>
      </c>
      <c r="D2954" s="186">
        <f>IFERROR(__xludf.DUMMYFUNCTION("""COMPUTED_VALUE"""),2.0)</f>
        <v>2</v>
      </c>
    </row>
    <row r="2955">
      <c r="A2955" s="178" t="str">
        <f>IFERROR(__xludf.DUMMYFUNCTION("""COMPUTED_VALUE"""),"ITBISA-BREADBOARD-830HOLE-MB102")</f>
        <v>ITBISA-BREADBOARD-830HOLE-MB102</v>
      </c>
      <c r="B2955" s="266">
        <f>IFERROR(__xludf.DUMMYFUNCTION("""COMPUTED_VALUE"""),45390.0)</f>
        <v>45390</v>
      </c>
      <c r="C2955" s="266" t="str">
        <f>IFERROR(__xludf.DUMMYFUNCTION("""COMPUTED_VALUE"""),"KERTASARI CIAMIS")</f>
        <v>KERTASARI CIAMIS</v>
      </c>
      <c r="D2955" s="186">
        <f>IFERROR(__xludf.DUMMYFUNCTION("""COMPUTED_VALUE"""),3.0)</f>
        <v>3</v>
      </c>
    </row>
    <row r="2956">
      <c r="A2956" s="178" t="str">
        <f>IFERROR(__xludf.DUMMYFUNCTION("""COMPUTED_VALUE"""),"ITBISA-BREADBOARD-830HOLE-MB102")</f>
        <v>ITBISA-BREADBOARD-830HOLE-MB102</v>
      </c>
      <c r="B2956" s="266">
        <f>IFERROR(__xludf.DUMMYFUNCTION("""COMPUTED_VALUE"""),45391.0)</f>
        <v>45391</v>
      </c>
      <c r="C2956" s="266" t="str">
        <f>IFERROR(__xludf.DUMMYFUNCTION("""COMPUTED_VALUE"""),"KERTASARI CIAMIS")</f>
        <v>KERTASARI CIAMIS</v>
      </c>
      <c r="D2956" s="186">
        <f>IFERROR(__xludf.DUMMYFUNCTION("""COMPUTED_VALUE"""),1.0)</f>
        <v>1</v>
      </c>
    </row>
    <row r="2957">
      <c r="A2957" s="178" t="str">
        <f>IFERROR(__xludf.DUMMYFUNCTION("""COMPUTED_VALUE"""),"ITBISA-BREADBOARD-830HOLE-MB102")</f>
        <v>ITBISA-BREADBOARD-830HOLE-MB102</v>
      </c>
      <c r="B2957" s="266">
        <f>IFERROR(__xludf.DUMMYFUNCTION("""COMPUTED_VALUE"""),45393.0)</f>
        <v>45393</v>
      </c>
      <c r="C2957" s="266" t="str">
        <f>IFERROR(__xludf.DUMMYFUNCTION("""COMPUTED_VALUE"""),"KERTASARI CIAMIS")</f>
        <v>KERTASARI CIAMIS</v>
      </c>
      <c r="D2957" s="186">
        <f>IFERROR(__xludf.DUMMYFUNCTION("""COMPUTED_VALUE"""),2.0)</f>
        <v>2</v>
      </c>
    </row>
    <row r="2958">
      <c r="A2958" s="178" t="str">
        <f>IFERROR(__xludf.DUMMYFUNCTION("""COMPUTED_VALUE"""),"ITBISA-BREADBOARD-830HOLE-MB102")</f>
        <v>ITBISA-BREADBOARD-830HOLE-MB102</v>
      </c>
      <c r="B2958" s="266">
        <f>IFERROR(__xludf.DUMMYFUNCTION("""COMPUTED_VALUE"""),45394.0)</f>
        <v>45394</v>
      </c>
      <c r="C2958" s="266" t="str">
        <f>IFERROR(__xludf.DUMMYFUNCTION("""COMPUTED_VALUE"""),"KERTASARI CIAMIS")</f>
        <v>KERTASARI CIAMIS</v>
      </c>
      <c r="D2958" s="186">
        <f>IFERROR(__xludf.DUMMYFUNCTION("""COMPUTED_VALUE"""),1.0)</f>
        <v>1</v>
      </c>
    </row>
    <row r="2959">
      <c r="A2959" s="178" t="str">
        <f>IFERROR(__xludf.DUMMYFUNCTION("""COMPUTED_VALUE"""),"ITBISA-BREADBOARD-830HOLE-MB102")</f>
        <v>ITBISA-BREADBOARD-830HOLE-MB102</v>
      </c>
      <c r="B2959" s="266">
        <f>IFERROR(__xludf.DUMMYFUNCTION("""COMPUTED_VALUE"""),45400.0)</f>
        <v>45400</v>
      </c>
      <c r="C2959" s="266" t="str">
        <f>IFERROR(__xludf.DUMMYFUNCTION("""COMPUTED_VALUE"""),"KERTASARI CIAMIS")</f>
        <v>KERTASARI CIAMIS</v>
      </c>
      <c r="D2959" s="186">
        <f>IFERROR(__xludf.DUMMYFUNCTION("""COMPUTED_VALUE"""),1.0)</f>
        <v>1</v>
      </c>
    </row>
    <row r="2960">
      <c r="A2960" s="178" t="str">
        <f>IFERROR(__xludf.DUMMYFUNCTION("""COMPUTED_VALUE"""),"ITBISA-BREADBOARD-830HOLE-MB102")</f>
        <v>ITBISA-BREADBOARD-830HOLE-MB102</v>
      </c>
      <c r="B2960" s="266">
        <f>IFERROR(__xludf.DUMMYFUNCTION("""COMPUTED_VALUE"""),45403.0)</f>
        <v>45403</v>
      </c>
      <c r="C2960" s="266" t="str">
        <f>IFERROR(__xludf.DUMMYFUNCTION("""COMPUTED_VALUE"""),"KERTASARI CIAMIS")</f>
        <v>KERTASARI CIAMIS</v>
      </c>
      <c r="D2960" s="186">
        <f>IFERROR(__xludf.DUMMYFUNCTION("""COMPUTED_VALUE"""),25.0)</f>
        <v>25</v>
      </c>
    </row>
    <row r="2961">
      <c r="A2961" s="178" t="str">
        <f>IFERROR(__xludf.DUMMYFUNCTION("""COMPUTED_VALUE"""),"ITBISA-BREADBOARD-830HOLE-MB102")</f>
        <v>ITBISA-BREADBOARD-830HOLE-MB102</v>
      </c>
      <c r="B2961" s="266">
        <f>IFERROR(__xludf.DUMMYFUNCTION("""COMPUTED_VALUE"""),45404.0)</f>
        <v>45404</v>
      </c>
      <c r="C2961" s="266" t="str">
        <f>IFERROR(__xludf.DUMMYFUNCTION("""COMPUTED_VALUE"""),"KERTASARI CIAMIS")</f>
        <v>KERTASARI CIAMIS</v>
      </c>
      <c r="D2961" s="186">
        <f>IFERROR(__xludf.DUMMYFUNCTION("""COMPUTED_VALUE"""),1.0)</f>
        <v>1</v>
      </c>
    </row>
    <row r="2962">
      <c r="A2962" s="178" t="str">
        <f>IFERROR(__xludf.DUMMYFUNCTION("""COMPUTED_VALUE"""),"ITBISA-BREADBOARD-830HOLE-MB102")</f>
        <v>ITBISA-BREADBOARD-830HOLE-MB102</v>
      </c>
      <c r="B2962" s="266">
        <f>IFERROR(__xludf.DUMMYFUNCTION("""COMPUTED_VALUE"""),45406.0)</f>
        <v>45406</v>
      </c>
      <c r="C2962" s="266" t="str">
        <f>IFERROR(__xludf.DUMMYFUNCTION("""COMPUTED_VALUE"""),"KERTASARI CIAMIS")</f>
        <v>KERTASARI CIAMIS</v>
      </c>
      <c r="D2962" s="186">
        <f>IFERROR(__xludf.DUMMYFUNCTION("""COMPUTED_VALUE"""),8.0)</f>
        <v>8</v>
      </c>
    </row>
    <row r="2963">
      <c r="A2963" s="178" t="str">
        <f>IFERROR(__xludf.DUMMYFUNCTION("""COMPUTED_VALUE"""),"ITBISA-BREADBOARD-830HOLE-MB102")</f>
        <v>ITBISA-BREADBOARD-830HOLE-MB102</v>
      </c>
      <c r="B2963" s="266">
        <f>IFERROR(__xludf.DUMMYFUNCTION("""COMPUTED_VALUE"""),45406.0)</f>
        <v>45406</v>
      </c>
      <c r="C2963" s="266" t="str">
        <f>IFERROR(__xludf.DUMMYFUNCTION("""COMPUTED_VALUE"""),"KYAI KONTONG")</f>
        <v>KYAI KONTONG</v>
      </c>
      <c r="D2963" s="186">
        <f>IFERROR(__xludf.DUMMYFUNCTION("""COMPUTED_VALUE"""),1.0)</f>
        <v>1</v>
      </c>
    </row>
    <row r="2964">
      <c r="A2964" s="178" t="str">
        <f>IFERROR(__xludf.DUMMYFUNCTION("""COMPUTED_VALUE"""),"ITBISA-BREADBOARD-830HOLE-MB102")</f>
        <v>ITBISA-BREADBOARD-830HOLE-MB102</v>
      </c>
      <c r="B2964" s="266">
        <f>IFERROR(__xludf.DUMMYFUNCTION("""COMPUTED_VALUE"""),45407.0)</f>
        <v>45407</v>
      </c>
      <c r="C2964" s="266" t="str">
        <f>IFERROR(__xludf.DUMMYFUNCTION("""COMPUTED_VALUE"""),"KERTASARI CIAMIS")</f>
        <v>KERTASARI CIAMIS</v>
      </c>
      <c r="D2964" s="186">
        <f>IFERROR(__xludf.DUMMYFUNCTION("""COMPUTED_VALUE"""),1.0)</f>
        <v>1</v>
      </c>
    </row>
    <row r="2965">
      <c r="A2965" s="178" t="str">
        <f>IFERROR(__xludf.DUMMYFUNCTION("""COMPUTED_VALUE"""),"ITBISA-BREADBOARD-830HOLE-MB102")</f>
        <v>ITBISA-BREADBOARD-830HOLE-MB102</v>
      </c>
      <c r="B2965" s="266">
        <f>IFERROR(__xludf.DUMMYFUNCTION("""COMPUTED_VALUE"""),45407.0)</f>
        <v>45407</v>
      </c>
      <c r="C2965" s="266" t="str">
        <f>IFERROR(__xludf.DUMMYFUNCTION("""COMPUTED_VALUE"""),"KERTASARI CIAMIS")</f>
        <v>KERTASARI CIAMIS</v>
      </c>
      <c r="D2965" s="186">
        <f>IFERROR(__xludf.DUMMYFUNCTION("""COMPUTED_VALUE"""),3.0)</f>
        <v>3</v>
      </c>
    </row>
    <row r="2966">
      <c r="A2966" s="178" t="str">
        <f>IFERROR(__xludf.DUMMYFUNCTION("""COMPUTED_VALUE"""),"ITBISA-BREADBOARD-830HOLE-MB102")</f>
        <v>ITBISA-BREADBOARD-830HOLE-MB102</v>
      </c>
      <c r="B2966" s="266">
        <f>IFERROR(__xludf.DUMMYFUNCTION("""COMPUTED_VALUE"""),45407.0)</f>
        <v>45407</v>
      </c>
      <c r="C2966" s="266" t="str">
        <f>IFERROR(__xludf.DUMMYFUNCTION("""COMPUTED_VALUE"""),"KERTASARI CIAMIS")</f>
        <v>KERTASARI CIAMIS</v>
      </c>
      <c r="D2966" s="186">
        <f>IFERROR(__xludf.DUMMYFUNCTION("""COMPUTED_VALUE"""),4.0)</f>
        <v>4</v>
      </c>
    </row>
    <row r="2967">
      <c r="A2967" s="178" t="str">
        <f>IFERROR(__xludf.DUMMYFUNCTION("""COMPUTED_VALUE"""),"ITBISA-BREADBOARD-830HOLE-MB102")</f>
        <v>ITBISA-BREADBOARD-830HOLE-MB102</v>
      </c>
      <c r="B2967" s="266">
        <f>IFERROR(__xludf.DUMMYFUNCTION("""COMPUTED_VALUE"""),45411.0)</f>
        <v>45411</v>
      </c>
      <c r="C2967" s="266" t="str">
        <f>IFERROR(__xludf.DUMMYFUNCTION("""COMPUTED_VALUE"""),"KERTASARI CIAMIS")</f>
        <v>KERTASARI CIAMIS</v>
      </c>
      <c r="D2967" s="186">
        <f>IFERROR(__xludf.DUMMYFUNCTION("""COMPUTED_VALUE"""),1.0)</f>
        <v>1</v>
      </c>
    </row>
    <row r="2968">
      <c r="A2968" s="178" t="str">
        <f>IFERROR(__xludf.DUMMYFUNCTION("""COMPUTED_VALUE"""),"ITBISA-BREADBOARD-830HOLE-MB102")</f>
        <v>ITBISA-BREADBOARD-830HOLE-MB102</v>
      </c>
      <c r="B2968" s="266">
        <f>IFERROR(__xludf.DUMMYFUNCTION("""COMPUTED_VALUE"""),45415.0)</f>
        <v>45415</v>
      </c>
      <c r="C2968" s="266" t="str">
        <f>IFERROR(__xludf.DUMMYFUNCTION("""COMPUTED_VALUE"""),"KYAI KONTONG")</f>
        <v>KYAI KONTONG</v>
      </c>
      <c r="D2968" s="186">
        <f>IFERROR(__xludf.DUMMYFUNCTION("""COMPUTED_VALUE"""),1.0)</f>
        <v>1</v>
      </c>
    </row>
    <row r="2969">
      <c r="A2969" s="178" t="str">
        <f>IFERROR(__xludf.DUMMYFUNCTION("""COMPUTED_VALUE"""),"ITBISA-BREADBOARD-830HOLE-MB102")</f>
        <v>ITBISA-BREADBOARD-830HOLE-MB102</v>
      </c>
      <c r="B2969" s="266">
        <f>IFERROR(__xludf.DUMMYFUNCTION("""COMPUTED_VALUE"""),45420.0)</f>
        <v>45420</v>
      </c>
      <c r="C2969" s="266" t="str">
        <f>IFERROR(__xludf.DUMMYFUNCTION("""COMPUTED_VALUE"""),"KERTASARI CIAMIS")</f>
        <v>KERTASARI CIAMIS</v>
      </c>
      <c r="D2969" s="186">
        <f>IFERROR(__xludf.DUMMYFUNCTION("""COMPUTED_VALUE"""),1.0)</f>
        <v>1</v>
      </c>
    </row>
    <row r="2970">
      <c r="A2970" s="178" t="str">
        <f>IFERROR(__xludf.DUMMYFUNCTION("""COMPUTED_VALUE"""),"ITBISA-BREADBOARD-830HOLE-MB102")</f>
        <v>ITBISA-BREADBOARD-830HOLE-MB102</v>
      </c>
      <c r="B2970" s="266">
        <f>IFERROR(__xludf.DUMMYFUNCTION("""COMPUTED_VALUE"""),45421.0)</f>
        <v>45421</v>
      </c>
      <c r="C2970" s="266" t="str">
        <f>IFERROR(__xludf.DUMMYFUNCTION("""COMPUTED_VALUE"""),"KERTASARI CIAMIS")</f>
        <v>KERTASARI CIAMIS</v>
      </c>
      <c r="D2970" s="186">
        <f>IFERROR(__xludf.DUMMYFUNCTION("""COMPUTED_VALUE"""),3.0)</f>
        <v>3</v>
      </c>
    </row>
    <row r="2971">
      <c r="A2971" s="178" t="str">
        <f>IFERROR(__xludf.DUMMYFUNCTION("""COMPUTED_VALUE"""),"ITBISA-BREADBOARD-830HOLE-MB102")</f>
        <v>ITBISA-BREADBOARD-830HOLE-MB102</v>
      </c>
      <c r="B2971" s="266">
        <f>IFERROR(__xludf.DUMMYFUNCTION("""COMPUTED_VALUE"""),45422.0)</f>
        <v>45422</v>
      </c>
      <c r="C2971" s="266" t="str">
        <f>IFERROR(__xludf.DUMMYFUNCTION("""COMPUTED_VALUE"""),"KYAI KONTONG")</f>
        <v>KYAI KONTONG</v>
      </c>
      <c r="D2971" s="186">
        <f>IFERROR(__xludf.DUMMYFUNCTION("""COMPUTED_VALUE"""),10.0)</f>
        <v>10</v>
      </c>
    </row>
    <row r="2972">
      <c r="A2972" s="178" t="str">
        <f>IFERROR(__xludf.DUMMYFUNCTION("""COMPUTED_VALUE"""),"ITBISA-BREADBOARD-830HOLE-MB102")</f>
        <v>ITBISA-BREADBOARD-830HOLE-MB102</v>
      </c>
      <c r="B2972" s="266">
        <f>IFERROR(__xludf.DUMMYFUNCTION("""COMPUTED_VALUE"""),45424.0)</f>
        <v>45424</v>
      </c>
      <c r="C2972" s="266" t="str">
        <f>IFERROR(__xludf.DUMMYFUNCTION("""COMPUTED_VALUE"""),"KYAI KONTONG")</f>
        <v>KYAI KONTONG</v>
      </c>
      <c r="D2972" s="186">
        <f>IFERROR(__xludf.DUMMYFUNCTION("""COMPUTED_VALUE"""),2.0)</f>
        <v>2</v>
      </c>
    </row>
    <row r="2973">
      <c r="A2973" s="178" t="str">
        <f>IFERROR(__xludf.DUMMYFUNCTION("""COMPUTED_VALUE"""),"ITBISA-BREADBOARD-830HOLE-MB102")</f>
        <v>ITBISA-BREADBOARD-830HOLE-MB102</v>
      </c>
      <c r="B2973" s="266">
        <f>IFERROR(__xludf.DUMMYFUNCTION("""COMPUTED_VALUE"""),45427.0)</f>
        <v>45427</v>
      </c>
      <c r="C2973" s="266" t="str">
        <f>IFERROR(__xludf.DUMMYFUNCTION("""COMPUTED_VALUE"""),"KYAI KONTONG")</f>
        <v>KYAI KONTONG</v>
      </c>
      <c r="D2973" s="186">
        <f>IFERROR(__xludf.DUMMYFUNCTION("""COMPUTED_VALUE"""),2.0)</f>
        <v>2</v>
      </c>
    </row>
    <row r="2974">
      <c r="A2974" s="178" t="str">
        <f>IFERROR(__xludf.DUMMYFUNCTION("""COMPUTED_VALUE"""),"ITBISA-BREADBOARD-830HOLE-MB102")</f>
        <v>ITBISA-BREADBOARD-830HOLE-MB102</v>
      </c>
      <c r="B2974" s="266">
        <f>IFERROR(__xludf.DUMMYFUNCTION("""COMPUTED_VALUE"""),45430.0)</f>
        <v>45430</v>
      </c>
      <c r="C2974" s="266" t="str">
        <f>IFERROR(__xludf.DUMMYFUNCTION("""COMPUTED_VALUE"""),"KYAI KONTONG")</f>
        <v>KYAI KONTONG</v>
      </c>
      <c r="D2974" s="186">
        <f>IFERROR(__xludf.DUMMYFUNCTION("""COMPUTED_VALUE"""),1.0)</f>
        <v>1</v>
      </c>
    </row>
    <row r="2975">
      <c r="A2975" s="178" t="str">
        <f>IFERROR(__xludf.DUMMYFUNCTION("""COMPUTED_VALUE"""),"ITBISA-BREADBOARD-830HOLE-MB102")</f>
        <v>ITBISA-BREADBOARD-830HOLE-MB102</v>
      </c>
      <c r="B2975" s="266">
        <f>IFERROR(__xludf.DUMMYFUNCTION("""COMPUTED_VALUE"""),45432.0)</f>
        <v>45432</v>
      </c>
      <c r="C2975" s="266" t="str">
        <f>IFERROR(__xludf.DUMMYFUNCTION("""COMPUTED_VALUE"""),"KYAI KONTONG")</f>
        <v>KYAI KONTONG</v>
      </c>
      <c r="D2975" s="186">
        <f>IFERROR(__xludf.DUMMYFUNCTION("""COMPUTED_VALUE"""),1.0)</f>
        <v>1</v>
      </c>
    </row>
    <row r="2976">
      <c r="A2976" s="178" t="str">
        <f>IFERROR(__xludf.DUMMYFUNCTION("""COMPUTED_VALUE"""),"ITBISA-BREADBOARD-830HOLE-MB102")</f>
        <v>ITBISA-BREADBOARD-830HOLE-MB102</v>
      </c>
      <c r="B2976" s="266">
        <f>IFERROR(__xludf.DUMMYFUNCTION("""COMPUTED_VALUE"""),45432.0)</f>
        <v>45432</v>
      </c>
      <c r="C2976" s="266" t="str">
        <f>IFERROR(__xludf.DUMMYFUNCTION("""COMPUTED_VALUE"""),"KYAI KONTONG")</f>
        <v>KYAI KONTONG</v>
      </c>
      <c r="D2976" s="186">
        <f>IFERROR(__xludf.DUMMYFUNCTION("""COMPUTED_VALUE"""),4.0)</f>
        <v>4</v>
      </c>
    </row>
    <row r="2977">
      <c r="A2977" s="178" t="str">
        <f>IFERROR(__xludf.DUMMYFUNCTION("""COMPUTED_VALUE"""),"ITBISA-BREADBOARD-830HOLE-MB102")</f>
        <v>ITBISA-BREADBOARD-830HOLE-MB102</v>
      </c>
      <c r="B2977" s="266">
        <f>IFERROR(__xludf.DUMMYFUNCTION("""COMPUTED_VALUE"""),45439.0)</f>
        <v>45439</v>
      </c>
      <c r="C2977" s="266" t="str">
        <f>IFERROR(__xludf.DUMMYFUNCTION("""COMPUTED_VALUE"""),"KYAI KONTONG")</f>
        <v>KYAI KONTONG</v>
      </c>
      <c r="D2977" s="186">
        <f>IFERROR(__xludf.DUMMYFUNCTION("""COMPUTED_VALUE"""),1.0)</f>
        <v>1</v>
      </c>
    </row>
    <row r="2978">
      <c r="A2978" s="178" t="str">
        <f>IFERROR(__xludf.DUMMYFUNCTION("""COMPUTED_VALUE"""),"ITBISA-BREADBOARD-830HOLE-MB102")</f>
        <v>ITBISA-BREADBOARD-830HOLE-MB102</v>
      </c>
      <c r="B2978" s="266">
        <f>IFERROR(__xludf.DUMMYFUNCTION("""COMPUTED_VALUE"""),45440.0)</f>
        <v>45440</v>
      </c>
      <c r="C2978" s="266" t="str">
        <f>IFERROR(__xludf.DUMMYFUNCTION("""COMPUTED_VALUE"""),"KYAI KONTONG")</f>
        <v>KYAI KONTONG</v>
      </c>
      <c r="D2978" s="186">
        <f>IFERROR(__xludf.DUMMYFUNCTION("""COMPUTED_VALUE"""),1.0)</f>
        <v>1</v>
      </c>
    </row>
    <row r="2979">
      <c r="A2979" s="178" t="str">
        <f>IFERROR(__xludf.DUMMYFUNCTION("""COMPUTED_VALUE"""),"ITBISA-BREADBOARD-830HOLE-MB102")</f>
        <v>ITBISA-BREADBOARD-830HOLE-MB102</v>
      </c>
      <c r="B2979" s="266">
        <f>IFERROR(__xludf.DUMMYFUNCTION("""COMPUTED_VALUE"""),45440.0)</f>
        <v>45440</v>
      </c>
      <c r="C2979" s="266" t="str">
        <f>IFERROR(__xludf.DUMMYFUNCTION("""COMPUTED_VALUE"""),"KYAI KONTONG")</f>
        <v>KYAI KONTONG</v>
      </c>
      <c r="D2979" s="186">
        <f>IFERROR(__xludf.DUMMYFUNCTION("""COMPUTED_VALUE"""),10.0)</f>
        <v>10</v>
      </c>
    </row>
    <row r="2980">
      <c r="A2980" s="178" t="str">
        <f>IFERROR(__xludf.DUMMYFUNCTION("""COMPUTED_VALUE"""),"ITBISA-BREADBOARD-830HOLE-MB102")</f>
        <v>ITBISA-BREADBOARD-830HOLE-MB102</v>
      </c>
      <c r="B2980" s="266">
        <f>IFERROR(__xludf.DUMMYFUNCTION("""COMPUTED_VALUE"""),45443.0)</f>
        <v>45443</v>
      </c>
      <c r="C2980" s="266" t="str">
        <f>IFERROR(__xludf.DUMMYFUNCTION("""COMPUTED_VALUE"""),"KYAI KONTONG")</f>
        <v>KYAI KONTONG</v>
      </c>
      <c r="D2980" s="186">
        <f>IFERROR(__xludf.DUMMYFUNCTION("""COMPUTED_VALUE"""),1.0)</f>
        <v>1</v>
      </c>
    </row>
    <row r="2981">
      <c r="A2981" s="178" t="str">
        <f>IFERROR(__xludf.DUMMYFUNCTION("""COMPUTED_VALUE"""),"ITBISA-BREADBOARD-830HOLE-MB102")</f>
        <v>ITBISA-BREADBOARD-830HOLE-MB102</v>
      </c>
      <c r="B2981" s="266">
        <f>IFERROR(__xludf.DUMMYFUNCTION("""COMPUTED_VALUE"""),45443.0)</f>
        <v>45443</v>
      </c>
      <c r="C2981" s="266" t="str">
        <f>IFERROR(__xludf.DUMMYFUNCTION("""COMPUTED_VALUE"""),"KYAI KONTONG")</f>
        <v>KYAI KONTONG</v>
      </c>
      <c r="D2981" s="186">
        <f>IFERROR(__xludf.DUMMYFUNCTION("""COMPUTED_VALUE"""),20.0)</f>
        <v>20</v>
      </c>
    </row>
    <row r="2982">
      <c r="A2982" s="178" t="str">
        <f>IFERROR(__xludf.DUMMYFUNCTION("""COMPUTED_VALUE"""),"ITBISA-BREADBOARD-830HOLE-MB102")</f>
        <v>ITBISA-BREADBOARD-830HOLE-MB102</v>
      </c>
      <c r="B2982" s="266">
        <f>IFERROR(__xludf.DUMMYFUNCTION("""COMPUTED_VALUE"""),45444.0)</f>
        <v>45444</v>
      </c>
      <c r="C2982" s="266" t="str">
        <f>IFERROR(__xludf.DUMMYFUNCTION("""COMPUTED_VALUE"""),"KYAI KONTONG")</f>
        <v>KYAI KONTONG</v>
      </c>
      <c r="D2982" s="186">
        <f>IFERROR(__xludf.DUMMYFUNCTION("""COMPUTED_VALUE"""),8.0)</f>
        <v>8</v>
      </c>
    </row>
    <row r="2983">
      <c r="A2983" s="178" t="str">
        <f>IFERROR(__xludf.DUMMYFUNCTION("""COMPUTED_VALUE"""),"ITBISA-BREADBOARD-830HOLE-MB102")</f>
        <v>ITBISA-BREADBOARD-830HOLE-MB102</v>
      </c>
      <c r="B2983" s="266">
        <f>IFERROR(__xludf.DUMMYFUNCTION("""COMPUTED_VALUE"""),45447.0)</f>
        <v>45447</v>
      </c>
      <c r="C2983" s="266" t="str">
        <f>IFERROR(__xludf.DUMMYFUNCTION("""COMPUTED_VALUE"""),"KERTASARI CIAMIS")</f>
        <v>KERTASARI CIAMIS</v>
      </c>
      <c r="D2983" s="186">
        <f>IFERROR(__xludf.DUMMYFUNCTION("""COMPUTED_VALUE"""),1.0)</f>
        <v>1</v>
      </c>
    </row>
    <row r="2984">
      <c r="A2984" s="178" t="str">
        <f>IFERROR(__xludf.DUMMYFUNCTION("""COMPUTED_VALUE"""),"ITBISA-BREADBOARD-830HOLE-MB102")</f>
        <v>ITBISA-BREADBOARD-830HOLE-MB102</v>
      </c>
      <c r="B2984" s="266">
        <f>IFERROR(__xludf.DUMMYFUNCTION("""COMPUTED_VALUE"""),45447.0)</f>
        <v>45447</v>
      </c>
      <c r="C2984" s="266" t="str">
        <f>IFERROR(__xludf.DUMMYFUNCTION("""COMPUTED_VALUE"""),"KERTASARI CIAMIS")</f>
        <v>KERTASARI CIAMIS</v>
      </c>
      <c r="D2984" s="186">
        <f>IFERROR(__xludf.DUMMYFUNCTION("""COMPUTED_VALUE"""),10.0)</f>
        <v>10</v>
      </c>
    </row>
    <row r="2985">
      <c r="A2985" s="178" t="str">
        <f>IFERROR(__xludf.DUMMYFUNCTION("""COMPUTED_VALUE"""),"ITBISA-BREADBOARD-830HOLE-MB102")</f>
        <v>ITBISA-BREADBOARD-830HOLE-MB102</v>
      </c>
      <c r="B2985" s="266">
        <f>IFERROR(__xludf.DUMMYFUNCTION("""COMPUTED_VALUE"""),45448.0)</f>
        <v>45448</v>
      </c>
      <c r="C2985" s="266" t="str">
        <f>IFERROR(__xludf.DUMMYFUNCTION("""COMPUTED_VALUE"""),"KYAI KONTONG")</f>
        <v>KYAI KONTONG</v>
      </c>
      <c r="D2985" s="186">
        <f>IFERROR(__xludf.DUMMYFUNCTION("""COMPUTED_VALUE"""),1.0)</f>
        <v>1</v>
      </c>
    </row>
    <row r="2986">
      <c r="A2986" s="178" t="str">
        <f>IFERROR(__xludf.DUMMYFUNCTION("""COMPUTED_VALUE"""),"ITBISA-BREADBOARD-830HOLE-MB102")</f>
        <v>ITBISA-BREADBOARD-830HOLE-MB102</v>
      </c>
      <c r="B2986" s="266">
        <f>IFERROR(__xludf.DUMMYFUNCTION("""COMPUTED_VALUE"""),45448.0)</f>
        <v>45448</v>
      </c>
      <c r="C2986" s="266" t="str">
        <f>IFERROR(__xludf.DUMMYFUNCTION("""COMPUTED_VALUE"""),"KYAI KONTONG")</f>
        <v>KYAI KONTONG</v>
      </c>
      <c r="D2986" s="186">
        <f>IFERROR(__xludf.DUMMYFUNCTION("""COMPUTED_VALUE"""),2.0)</f>
        <v>2</v>
      </c>
    </row>
    <row r="2987">
      <c r="A2987" s="178" t="str">
        <f>IFERROR(__xludf.DUMMYFUNCTION("""COMPUTED_VALUE"""),"ITBISA-BREADBOARD-830HOLE-MB102")</f>
        <v>ITBISA-BREADBOARD-830HOLE-MB102</v>
      </c>
      <c r="B2987" s="266">
        <f>IFERROR(__xludf.DUMMYFUNCTION("""COMPUTED_VALUE"""),45450.0)</f>
        <v>45450</v>
      </c>
      <c r="C2987" s="266" t="str">
        <f>IFERROR(__xludf.DUMMYFUNCTION("""COMPUTED_VALUE"""),"KERTASARI CIAMIS")</f>
        <v>KERTASARI CIAMIS</v>
      </c>
      <c r="D2987" s="186">
        <f>IFERROR(__xludf.DUMMYFUNCTION("""COMPUTED_VALUE"""),4.0)</f>
        <v>4</v>
      </c>
    </row>
    <row r="2988">
      <c r="A2988" s="178" t="str">
        <f>IFERROR(__xludf.DUMMYFUNCTION("""COMPUTED_VALUE"""),"ITBISA-BREADBOARD-830HOLE-MB102")</f>
        <v>ITBISA-BREADBOARD-830HOLE-MB102</v>
      </c>
      <c r="B2988" s="266">
        <f>IFERROR(__xludf.DUMMYFUNCTION("""COMPUTED_VALUE"""),45452.0)</f>
        <v>45452</v>
      </c>
      <c r="C2988" s="266" t="str">
        <f>IFERROR(__xludf.DUMMYFUNCTION("""COMPUTED_VALUE"""),"KYAI KONTONG")</f>
        <v>KYAI KONTONG</v>
      </c>
      <c r="D2988" s="186">
        <f>IFERROR(__xludf.DUMMYFUNCTION("""COMPUTED_VALUE"""),1.0)</f>
        <v>1</v>
      </c>
    </row>
    <row r="2989">
      <c r="A2989" s="178" t="str">
        <f>IFERROR(__xludf.DUMMYFUNCTION("""COMPUTED_VALUE"""),"ITBISA-BREADBOARD-830HOLE-MB102")</f>
        <v>ITBISA-BREADBOARD-830HOLE-MB102</v>
      </c>
      <c r="B2989" s="266">
        <f>IFERROR(__xludf.DUMMYFUNCTION("""COMPUTED_VALUE"""),45453.0)</f>
        <v>45453</v>
      </c>
      <c r="C2989" s="266" t="str">
        <f>IFERROR(__xludf.DUMMYFUNCTION("""COMPUTED_VALUE"""),"KERTASARI CIAMIS")</f>
        <v>KERTASARI CIAMIS</v>
      </c>
      <c r="D2989" s="186">
        <f>IFERROR(__xludf.DUMMYFUNCTION("""COMPUTED_VALUE"""),10.0)</f>
        <v>10</v>
      </c>
    </row>
    <row r="2990">
      <c r="A2990" s="178" t="str">
        <f>IFERROR(__xludf.DUMMYFUNCTION("""COMPUTED_VALUE"""),"ITBISA-BREADBOARD-830HOLE-MB102")</f>
        <v>ITBISA-BREADBOARD-830HOLE-MB102</v>
      </c>
      <c r="B2990" s="266">
        <f>IFERROR(__xludf.DUMMYFUNCTION("""COMPUTED_VALUE"""),45453.0)</f>
        <v>45453</v>
      </c>
      <c r="C2990" s="266" t="str">
        <f>IFERROR(__xludf.DUMMYFUNCTION("""COMPUTED_VALUE"""),"KYAI KONTONG")</f>
        <v>KYAI KONTONG</v>
      </c>
      <c r="D2990" s="186">
        <f>IFERROR(__xludf.DUMMYFUNCTION("""COMPUTED_VALUE"""),1.0)</f>
        <v>1</v>
      </c>
    </row>
    <row r="2991">
      <c r="A2991" s="178" t="str">
        <f>IFERROR(__xludf.DUMMYFUNCTION("""COMPUTED_VALUE"""),"ITBISA-BREADBOARD-830HOLE-MB102")</f>
        <v>ITBISA-BREADBOARD-830HOLE-MB102</v>
      </c>
      <c r="B2991" s="266">
        <f>IFERROR(__xludf.DUMMYFUNCTION("""COMPUTED_VALUE"""),45455.0)</f>
        <v>45455</v>
      </c>
      <c r="C2991" s="266" t="str">
        <f>IFERROR(__xludf.DUMMYFUNCTION("""COMPUTED_VALUE"""),"KYAI KONTONG")</f>
        <v>KYAI KONTONG</v>
      </c>
      <c r="D2991" s="186">
        <f>IFERROR(__xludf.DUMMYFUNCTION("""COMPUTED_VALUE"""),1.0)</f>
        <v>1</v>
      </c>
    </row>
    <row r="2992">
      <c r="A2992" s="178" t="str">
        <f>IFERROR(__xludf.DUMMYFUNCTION("""COMPUTED_VALUE"""),"ITBISA-BREADBOARD-830HOLE-MB102")</f>
        <v>ITBISA-BREADBOARD-830HOLE-MB102</v>
      </c>
      <c r="B2992" s="266">
        <f>IFERROR(__xludf.DUMMYFUNCTION("""COMPUTED_VALUE"""),45457.0)</f>
        <v>45457</v>
      </c>
      <c r="C2992" s="266" t="str">
        <f>IFERROR(__xludf.DUMMYFUNCTION("""COMPUTED_VALUE"""),"KERTASARI CIAMIS")</f>
        <v>KERTASARI CIAMIS</v>
      </c>
      <c r="D2992" s="186">
        <f>IFERROR(__xludf.DUMMYFUNCTION("""COMPUTED_VALUE"""),1.0)</f>
        <v>1</v>
      </c>
    </row>
    <row r="2993">
      <c r="A2993" s="178" t="str">
        <f>IFERROR(__xludf.DUMMYFUNCTION("""COMPUTED_VALUE"""),"ITBISA-BREADBOARD-830HOLE-MB102")</f>
        <v>ITBISA-BREADBOARD-830HOLE-MB102</v>
      </c>
      <c r="B2993" s="266">
        <f>IFERROR(__xludf.DUMMYFUNCTION("""COMPUTED_VALUE"""),45460.0)</f>
        <v>45460</v>
      </c>
      <c r="C2993" s="266" t="str">
        <f>IFERROR(__xludf.DUMMYFUNCTION("""COMPUTED_VALUE"""),"KYAI KONTONG")</f>
        <v>KYAI KONTONG</v>
      </c>
      <c r="D2993" s="186">
        <f>IFERROR(__xludf.DUMMYFUNCTION("""COMPUTED_VALUE"""),1.0)</f>
        <v>1</v>
      </c>
    </row>
    <row r="2994">
      <c r="A2994" s="178" t="str">
        <f>IFERROR(__xludf.DUMMYFUNCTION("""COMPUTED_VALUE"""),"ITBISA-BREADBOARD-830HOLE-MB102")</f>
        <v>ITBISA-BREADBOARD-830HOLE-MB102</v>
      </c>
      <c r="B2994" s="266">
        <f>IFERROR(__xludf.DUMMYFUNCTION("""COMPUTED_VALUE"""),45461.0)</f>
        <v>45461</v>
      </c>
      <c r="C2994" s="266" t="str">
        <f>IFERROR(__xludf.DUMMYFUNCTION("""COMPUTED_VALUE"""),"KYAI KONTONG")</f>
        <v>KYAI KONTONG</v>
      </c>
      <c r="D2994" s="186">
        <f>IFERROR(__xludf.DUMMYFUNCTION("""COMPUTED_VALUE"""),1.0)</f>
        <v>1</v>
      </c>
    </row>
    <row r="2995">
      <c r="A2995" s="178" t="str">
        <f>IFERROR(__xludf.DUMMYFUNCTION("""COMPUTED_VALUE"""),"ITBISA-BREADBOARD-830HOLE-MB102")</f>
        <v>ITBISA-BREADBOARD-830HOLE-MB102</v>
      </c>
      <c r="B2995" s="266">
        <f>IFERROR(__xludf.DUMMYFUNCTION("""COMPUTED_VALUE"""),45462.0)</f>
        <v>45462</v>
      </c>
      <c r="C2995" s="266" t="str">
        <f>IFERROR(__xludf.DUMMYFUNCTION("""COMPUTED_VALUE"""),"KYAI KONTONG")</f>
        <v>KYAI KONTONG</v>
      </c>
      <c r="D2995" s="186">
        <f>IFERROR(__xludf.DUMMYFUNCTION("""COMPUTED_VALUE"""),2.0)</f>
        <v>2</v>
      </c>
    </row>
    <row r="2996">
      <c r="A2996" s="178" t="str">
        <f>IFERROR(__xludf.DUMMYFUNCTION("""COMPUTED_VALUE"""),"ITBISA-BREADBOARD-830HOLE-MB102")</f>
        <v>ITBISA-BREADBOARD-830HOLE-MB102</v>
      </c>
      <c r="B2996" s="266">
        <f>IFERROR(__xludf.DUMMYFUNCTION("""COMPUTED_VALUE"""),45463.0)</f>
        <v>45463</v>
      </c>
      <c r="C2996" s="266" t="str">
        <f>IFERROR(__xludf.DUMMYFUNCTION("""COMPUTED_VALUE"""),"KERTASARI CIAMIS")</f>
        <v>KERTASARI CIAMIS</v>
      </c>
      <c r="D2996" s="186">
        <f>IFERROR(__xludf.DUMMYFUNCTION("""COMPUTED_VALUE"""),2.0)</f>
        <v>2</v>
      </c>
    </row>
    <row r="2997">
      <c r="A2997" s="178" t="str">
        <f>IFERROR(__xludf.DUMMYFUNCTION("""COMPUTED_VALUE"""),"ITBISA-BREADBOARD-830HOLE-MB102")</f>
        <v>ITBISA-BREADBOARD-830HOLE-MB102</v>
      </c>
      <c r="B2997" s="266">
        <f>IFERROR(__xludf.DUMMYFUNCTION("""COMPUTED_VALUE"""),45464.0)</f>
        <v>45464</v>
      </c>
      <c r="C2997" s="266" t="str">
        <f>IFERROR(__xludf.DUMMYFUNCTION("""COMPUTED_VALUE"""),"KYAI KONTONG")</f>
        <v>KYAI KONTONG</v>
      </c>
      <c r="D2997" s="186">
        <f>IFERROR(__xludf.DUMMYFUNCTION("""COMPUTED_VALUE"""),1.0)</f>
        <v>1</v>
      </c>
    </row>
    <row r="2998">
      <c r="A2998" s="178" t="str">
        <f>IFERROR(__xludf.DUMMYFUNCTION("""COMPUTED_VALUE"""),"ITBISA-BREADBOARD-830HOLE-MB102")</f>
        <v>ITBISA-BREADBOARD-830HOLE-MB102</v>
      </c>
      <c r="B2998" s="266">
        <f>IFERROR(__xludf.DUMMYFUNCTION("""COMPUTED_VALUE"""),45468.0)</f>
        <v>45468</v>
      </c>
      <c r="C2998" s="266" t="str">
        <f>IFERROR(__xludf.DUMMYFUNCTION("""COMPUTED_VALUE"""),"KERTASARI CIAMIS")</f>
        <v>KERTASARI CIAMIS</v>
      </c>
      <c r="D2998" s="186">
        <f>IFERROR(__xludf.DUMMYFUNCTION("""COMPUTED_VALUE"""),2.0)</f>
        <v>2</v>
      </c>
    </row>
    <row r="2999">
      <c r="A2999" s="178" t="str">
        <f>IFERROR(__xludf.DUMMYFUNCTION("""COMPUTED_VALUE"""),"ITBISA-BREADBOARD-830HOLE-MB102")</f>
        <v>ITBISA-BREADBOARD-830HOLE-MB102</v>
      </c>
      <c r="B2999" s="266">
        <f>IFERROR(__xludf.DUMMYFUNCTION("""COMPUTED_VALUE"""),45469.0)</f>
        <v>45469</v>
      </c>
      <c r="C2999" s="266" t="str">
        <f>IFERROR(__xludf.DUMMYFUNCTION("""COMPUTED_VALUE"""),"KYAI KONTONG")</f>
        <v>KYAI KONTONG</v>
      </c>
      <c r="D2999" s="186">
        <f>IFERROR(__xludf.DUMMYFUNCTION("""COMPUTED_VALUE"""),5.0)</f>
        <v>5</v>
      </c>
    </row>
    <row r="3000">
      <c r="A3000" s="178" t="str">
        <f>IFERROR(__xludf.DUMMYFUNCTION("""COMPUTED_VALUE"""),"ITBISA-BREADBOARD-830HOLE-MB102")</f>
        <v>ITBISA-BREADBOARD-830HOLE-MB102</v>
      </c>
      <c r="B3000" s="266">
        <f>IFERROR(__xludf.DUMMYFUNCTION("""COMPUTED_VALUE"""),45473.0)</f>
        <v>45473</v>
      </c>
      <c r="C3000" s="266" t="str">
        <f>IFERROR(__xludf.DUMMYFUNCTION("""COMPUTED_VALUE"""),"KYAI KONTONG")</f>
        <v>KYAI KONTONG</v>
      </c>
      <c r="D3000" s="186">
        <f>IFERROR(__xludf.DUMMYFUNCTION("""COMPUTED_VALUE"""),2.0)</f>
        <v>2</v>
      </c>
    </row>
    <row r="3001">
      <c r="A3001" s="178" t="str">
        <f>IFERROR(__xludf.DUMMYFUNCTION("""COMPUTED_VALUE"""),"ITBISA-BREADBOARD-830HOLE-MB102")</f>
        <v>ITBISA-BREADBOARD-830HOLE-MB102</v>
      </c>
      <c r="B3001" s="266">
        <f>IFERROR(__xludf.DUMMYFUNCTION("""COMPUTED_VALUE"""),45474.0)</f>
        <v>45474</v>
      </c>
      <c r="C3001" s="266" t="str">
        <f>IFERROR(__xludf.DUMMYFUNCTION("""COMPUTED_VALUE"""),"KYAI KONTONG")</f>
        <v>KYAI KONTONG</v>
      </c>
      <c r="D3001" s="186">
        <f>IFERROR(__xludf.DUMMYFUNCTION("""COMPUTED_VALUE"""),3.0)</f>
        <v>3</v>
      </c>
    </row>
    <row r="3002">
      <c r="A3002" s="178" t="str">
        <f>IFERROR(__xludf.DUMMYFUNCTION("""COMPUTED_VALUE"""),"ITBISA-BREADBOARD-830HOLE-MB102")</f>
        <v>ITBISA-BREADBOARD-830HOLE-MB102</v>
      </c>
      <c r="B3002" s="266">
        <f>IFERROR(__xludf.DUMMYFUNCTION("""COMPUTED_VALUE"""),45475.0)</f>
        <v>45475</v>
      </c>
      <c r="C3002" s="266" t="str">
        <f>IFERROR(__xludf.DUMMYFUNCTION("""COMPUTED_VALUE"""),"KYAI KONTONG")</f>
        <v>KYAI KONTONG</v>
      </c>
      <c r="D3002" s="186">
        <f>IFERROR(__xludf.DUMMYFUNCTION("""COMPUTED_VALUE"""),1.0)</f>
        <v>1</v>
      </c>
    </row>
    <row r="3003">
      <c r="A3003" s="178" t="str">
        <f>IFERROR(__xludf.DUMMYFUNCTION("""COMPUTED_VALUE"""),"ITBISA-BREADBOARD-830HOLE-MB102")</f>
        <v>ITBISA-BREADBOARD-830HOLE-MB102</v>
      </c>
      <c r="B3003" s="266">
        <f>IFERROR(__xludf.DUMMYFUNCTION("""COMPUTED_VALUE"""),45477.0)</f>
        <v>45477</v>
      </c>
      <c r="C3003" s="266" t="str">
        <f>IFERROR(__xludf.DUMMYFUNCTION("""COMPUTED_VALUE"""),"KYAI KONTONG")</f>
        <v>KYAI KONTONG</v>
      </c>
      <c r="D3003" s="186">
        <f>IFERROR(__xludf.DUMMYFUNCTION("""COMPUTED_VALUE"""),1.0)</f>
        <v>1</v>
      </c>
    </row>
    <row r="3004">
      <c r="A3004" s="178" t="str">
        <f>IFERROR(__xludf.DUMMYFUNCTION("""COMPUTED_VALUE"""),"ITBISA-BREADBOARD-830HOLE-MB102")</f>
        <v>ITBISA-BREADBOARD-830HOLE-MB102</v>
      </c>
      <c r="B3004" s="266">
        <f>IFERROR(__xludf.DUMMYFUNCTION("""COMPUTED_VALUE"""),45479.0)</f>
        <v>45479</v>
      </c>
      <c r="C3004" s="266" t="str">
        <f>IFERROR(__xludf.DUMMYFUNCTION("""COMPUTED_VALUE"""),"KYAI KONTONG")</f>
        <v>KYAI KONTONG</v>
      </c>
      <c r="D3004" s="186">
        <f>IFERROR(__xludf.DUMMYFUNCTION("""COMPUTED_VALUE"""),1.0)</f>
        <v>1</v>
      </c>
    </row>
    <row r="3005">
      <c r="A3005" s="178" t="str">
        <f>IFERROR(__xludf.DUMMYFUNCTION("""COMPUTED_VALUE"""),"ITBISA-BREADBOARD-830HOLE-MB102")</f>
        <v>ITBISA-BREADBOARD-830HOLE-MB102</v>
      </c>
      <c r="B3005" s="266">
        <f>IFERROR(__xludf.DUMMYFUNCTION("""COMPUTED_VALUE"""),45480.0)</f>
        <v>45480</v>
      </c>
      <c r="C3005" s="266" t="str">
        <f>IFERROR(__xludf.DUMMYFUNCTION("""COMPUTED_VALUE"""),"KERTASARI CIAMIS")</f>
        <v>KERTASARI CIAMIS</v>
      </c>
      <c r="D3005" s="186">
        <f>IFERROR(__xludf.DUMMYFUNCTION("""COMPUTED_VALUE"""),1.0)</f>
        <v>1</v>
      </c>
    </row>
    <row r="3006">
      <c r="A3006" s="178" t="str">
        <f>IFERROR(__xludf.DUMMYFUNCTION("""COMPUTED_VALUE"""),"ITBISA-BREADBOARD-830HOLE-MB102")</f>
        <v>ITBISA-BREADBOARD-830HOLE-MB102</v>
      </c>
      <c r="B3006" s="266">
        <f>IFERROR(__xludf.DUMMYFUNCTION("""COMPUTED_VALUE"""),45484.0)</f>
        <v>45484</v>
      </c>
      <c r="C3006" s="266" t="str">
        <f>IFERROR(__xludf.DUMMYFUNCTION("""COMPUTED_VALUE"""),"KYAI KONTONG")</f>
        <v>KYAI KONTONG</v>
      </c>
      <c r="D3006" s="186">
        <f>IFERROR(__xludf.DUMMYFUNCTION("""COMPUTED_VALUE"""),1.0)</f>
        <v>1</v>
      </c>
    </row>
    <row r="3007">
      <c r="A3007" s="178" t="str">
        <f>IFERROR(__xludf.DUMMYFUNCTION("""COMPUTED_VALUE"""),"ITBISA-BREADBOARD-830HOLE-MB102")</f>
        <v>ITBISA-BREADBOARD-830HOLE-MB102</v>
      </c>
      <c r="B3007" s="266">
        <f>IFERROR(__xludf.DUMMYFUNCTION("""COMPUTED_VALUE"""),45487.0)</f>
        <v>45487</v>
      </c>
      <c r="C3007" s="266" t="str">
        <f>IFERROR(__xludf.DUMMYFUNCTION("""COMPUTED_VALUE"""),"KERTASARI CIAMIS")</f>
        <v>KERTASARI CIAMIS</v>
      </c>
      <c r="D3007" s="186">
        <f>IFERROR(__xludf.DUMMYFUNCTION("""COMPUTED_VALUE"""),1.0)</f>
        <v>1</v>
      </c>
    </row>
    <row r="3008">
      <c r="A3008" s="178" t="str">
        <f>IFERROR(__xludf.DUMMYFUNCTION("""COMPUTED_VALUE"""),"ITBISA-BREADBOARD-830HOLE-MB102")</f>
        <v>ITBISA-BREADBOARD-830HOLE-MB102</v>
      </c>
      <c r="B3008" s="266">
        <f>IFERROR(__xludf.DUMMYFUNCTION("""COMPUTED_VALUE"""),45488.0)</f>
        <v>45488</v>
      </c>
      <c r="C3008" s="266" t="str">
        <f>IFERROR(__xludf.DUMMYFUNCTION("""COMPUTED_VALUE"""),"KERTASARI CIAMIS")</f>
        <v>KERTASARI CIAMIS</v>
      </c>
      <c r="D3008" s="186">
        <f>IFERROR(__xludf.DUMMYFUNCTION("""COMPUTED_VALUE"""),2.0)</f>
        <v>2</v>
      </c>
    </row>
    <row r="3009">
      <c r="A3009" s="178" t="str">
        <f>IFERROR(__xludf.DUMMYFUNCTION("""COMPUTED_VALUE"""),"ITBISA-BREADBOARD-830HOLE-MB102")</f>
        <v>ITBISA-BREADBOARD-830HOLE-MB102</v>
      </c>
      <c r="B3009" s="266">
        <f>IFERROR(__xludf.DUMMYFUNCTION("""COMPUTED_VALUE"""),45492.0)</f>
        <v>45492</v>
      </c>
      <c r="C3009" s="266" t="str">
        <f>IFERROR(__xludf.DUMMYFUNCTION("""COMPUTED_VALUE"""),"KYAI KONTONG")</f>
        <v>KYAI KONTONG</v>
      </c>
      <c r="D3009" s="186">
        <f>IFERROR(__xludf.DUMMYFUNCTION("""COMPUTED_VALUE"""),1.0)</f>
        <v>1</v>
      </c>
    </row>
    <row r="3010">
      <c r="A3010" s="178" t="str">
        <f>IFERROR(__xludf.DUMMYFUNCTION("""COMPUTED_VALUE"""),"ITBISA-BREADBOARD-830HOLE-MB102")</f>
        <v>ITBISA-BREADBOARD-830HOLE-MB102</v>
      </c>
      <c r="B3010" s="266">
        <f>IFERROR(__xludf.DUMMYFUNCTION("""COMPUTED_VALUE"""),45496.0)</f>
        <v>45496</v>
      </c>
      <c r="C3010" s="266" t="str">
        <f>IFERROR(__xludf.DUMMYFUNCTION("""COMPUTED_VALUE"""),"KYAI KONTONG")</f>
        <v>KYAI KONTONG</v>
      </c>
      <c r="D3010" s="186">
        <f>IFERROR(__xludf.DUMMYFUNCTION("""COMPUTED_VALUE"""),1.0)</f>
        <v>1</v>
      </c>
    </row>
    <row r="3011">
      <c r="A3011" s="178" t="str">
        <f>IFERROR(__xludf.DUMMYFUNCTION("""COMPUTED_VALUE"""),"ITBISA-BREADBOARD-830HOLE-MB102")</f>
        <v>ITBISA-BREADBOARD-830HOLE-MB102</v>
      </c>
      <c r="B3011" s="266">
        <f>IFERROR(__xludf.DUMMYFUNCTION("""COMPUTED_VALUE"""),45497.0)</f>
        <v>45497</v>
      </c>
      <c r="C3011" s="266" t="str">
        <f>IFERROR(__xludf.DUMMYFUNCTION("""COMPUTED_VALUE"""),"KYAI KONTONG")</f>
        <v>KYAI KONTONG</v>
      </c>
      <c r="D3011" s="186">
        <f>IFERROR(__xludf.DUMMYFUNCTION("""COMPUTED_VALUE"""),3.0)</f>
        <v>3</v>
      </c>
    </row>
    <row r="3012">
      <c r="A3012" s="178" t="str">
        <f>IFERROR(__xludf.DUMMYFUNCTION("""COMPUTED_VALUE"""),"ITBISA-BREADBOARD-830HOLE-MB102")</f>
        <v>ITBISA-BREADBOARD-830HOLE-MB102</v>
      </c>
      <c r="B3012" s="266">
        <f>IFERROR(__xludf.DUMMYFUNCTION("""COMPUTED_VALUE"""),45501.0)</f>
        <v>45501</v>
      </c>
      <c r="C3012" s="266" t="str">
        <f>IFERROR(__xludf.DUMMYFUNCTION("""COMPUTED_VALUE"""),"KERTASARI CIAMIS")</f>
        <v>KERTASARI CIAMIS</v>
      </c>
      <c r="D3012" s="186">
        <f>IFERROR(__xludf.DUMMYFUNCTION("""COMPUTED_VALUE"""),2.0)</f>
        <v>2</v>
      </c>
    </row>
    <row r="3013">
      <c r="A3013" s="178" t="str">
        <f>IFERROR(__xludf.DUMMYFUNCTION("""COMPUTED_VALUE"""),"ITBISA-BREADBOARD-830HOLE-MB102")</f>
        <v>ITBISA-BREADBOARD-830HOLE-MB102</v>
      </c>
      <c r="B3013" s="266">
        <f>IFERROR(__xludf.DUMMYFUNCTION("""COMPUTED_VALUE"""),45501.0)</f>
        <v>45501</v>
      </c>
      <c r="C3013" s="266" t="str">
        <f>IFERROR(__xludf.DUMMYFUNCTION("""COMPUTED_VALUE"""),"KYAI KONTONG")</f>
        <v>KYAI KONTONG</v>
      </c>
      <c r="D3013" s="186">
        <f>IFERROR(__xludf.DUMMYFUNCTION("""COMPUTED_VALUE"""),2.0)</f>
        <v>2</v>
      </c>
    </row>
    <row r="3014">
      <c r="A3014" s="178" t="str">
        <f>IFERROR(__xludf.DUMMYFUNCTION("""COMPUTED_VALUE"""),"ITBISA-BREADBOARD-830HOLE-MB102")</f>
        <v>ITBISA-BREADBOARD-830HOLE-MB102</v>
      </c>
      <c r="B3014" s="266">
        <f>IFERROR(__xludf.DUMMYFUNCTION("""COMPUTED_VALUE"""),45505.0)</f>
        <v>45505</v>
      </c>
      <c r="C3014" s="266" t="str">
        <f>IFERROR(__xludf.DUMMYFUNCTION("""COMPUTED_VALUE"""),"KERTASARI CIAMIS")</f>
        <v>KERTASARI CIAMIS</v>
      </c>
      <c r="D3014" s="186">
        <f>IFERROR(__xludf.DUMMYFUNCTION("""COMPUTED_VALUE"""),10.0)</f>
        <v>10</v>
      </c>
    </row>
    <row r="3015">
      <c r="A3015" s="178" t="str">
        <f>IFERROR(__xludf.DUMMYFUNCTION("""COMPUTED_VALUE"""),"ITBISA-BREADBOARD-830HOLE-MB102")</f>
        <v>ITBISA-BREADBOARD-830HOLE-MB102</v>
      </c>
      <c r="B3015" s="266">
        <f>IFERROR(__xludf.DUMMYFUNCTION("""COMPUTED_VALUE"""),45506.0)</f>
        <v>45506</v>
      </c>
      <c r="C3015" s="266" t="str">
        <f>IFERROR(__xludf.DUMMYFUNCTION("""COMPUTED_VALUE"""),"KYAI KONTONG")</f>
        <v>KYAI KONTONG</v>
      </c>
      <c r="D3015" s="186">
        <f>IFERROR(__xludf.DUMMYFUNCTION("""COMPUTED_VALUE"""),1.0)</f>
        <v>1</v>
      </c>
    </row>
    <row r="3016">
      <c r="A3016" s="178" t="str">
        <f>IFERROR(__xludf.DUMMYFUNCTION("""COMPUTED_VALUE"""),"ITBISA-BREADBOARD-830HOLE-MB102")</f>
        <v>ITBISA-BREADBOARD-830HOLE-MB102</v>
      </c>
      <c r="B3016" s="266">
        <f>IFERROR(__xludf.DUMMYFUNCTION("""COMPUTED_VALUE"""),45508.0)</f>
        <v>45508</v>
      </c>
      <c r="C3016" s="266" t="str">
        <f>IFERROR(__xludf.DUMMYFUNCTION("""COMPUTED_VALUE"""),"KERTASARI CIAMIS")</f>
        <v>KERTASARI CIAMIS</v>
      </c>
      <c r="D3016" s="186">
        <f>IFERROR(__xludf.DUMMYFUNCTION("""COMPUTED_VALUE"""),3.0)</f>
        <v>3</v>
      </c>
    </row>
    <row r="3017">
      <c r="A3017" s="178" t="str">
        <f>IFERROR(__xludf.DUMMYFUNCTION("""COMPUTED_VALUE"""),"ITBISA-BREADBOARD-830HOLE-MB102")</f>
        <v>ITBISA-BREADBOARD-830HOLE-MB102</v>
      </c>
      <c r="B3017" s="266">
        <f>IFERROR(__xludf.DUMMYFUNCTION("""COMPUTED_VALUE"""),45509.0)</f>
        <v>45509</v>
      </c>
      <c r="C3017" s="266" t="str">
        <f>IFERROR(__xludf.DUMMYFUNCTION("""COMPUTED_VALUE"""),"KYAI KONTONG")</f>
        <v>KYAI KONTONG</v>
      </c>
      <c r="D3017" s="186">
        <f>IFERROR(__xludf.DUMMYFUNCTION("""COMPUTED_VALUE"""),2.0)</f>
        <v>2</v>
      </c>
    </row>
    <row r="3018">
      <c r="A3018" s="178" t="str">
        <f>IFERROR(__xludf.DUMMYFUNCTION("""COMPUTED_VALUE"""),"ITBISA-BREADBOARD-830HOLE-MB102")</f>
        <v>ITBISA-BREADBOARD-830HOLE-MB102</v>
      </c>
      <c r="B3018" s="266">
        <f>IFERROR(__xludf.DUMMYFUNCTION("""COMPUTED_VALUE"""),45509.0)</f>
        <v>45509</v>
      </c>
      <c r="C3018" s="266" t="str">
        <f>IFERROR(__xludf.DUMMYFUNCTION("""COMPUTED_VALUE"""),"KYAI KONTONG")</f>
        <v>KYAI KONTONG</v>
      </c>
      <c r="D3018" s="186">
        <f>IFERROR(__xludf.DUMMYFUNCTION("""COMPUTED_VALUE"""),4.0)</f>
        <v>4</v>
      </c>
    </row>
    <row r="3019">
      <c r="A3019" s="178" t="str">
        <f>IFERROR(__xludf.DUMMYFUNCTION("""COMPUTED_VALUE"""),"ITBISA-BREADBOARD-830HOLE-MB102")</f>
        <v>ITBISA-BREADBOARD-830HOLE-MB102</v>
      </c>
      <c r="B3019" s="266">
        <f>IFERROR(__xludf.DUMMYFUNCTION("""COMPUTED_VALUE"""),45510.0)</f>
        <v>45510</v>
      </c>
      <c r="C3019" s="266" t="str">
        <f>IFERROR(__xludf.DUMMYFUNCTION("""COMPUTED_VALUE"""),"KYAI KONTONG")</f>
        <v>KYAI KONTONG</v>
      </c>
      <c r="D3019" s="186">
        <f>IFERROR(__xludf.DUMMYFUNCTION("""COMPUTED_VALUE"""),1.0)</f>
        <v>1</v>
      </c>
    </row>
    <row r="3020">
      <c r="A3020" s="178" t="str">
        <f>IFERROR(__xludf.DUMMYFUNCTION("""COMPUTED_VALUE"""),"ITBISA-BREADBOARD-830HOLE-MB102")</f>
        <v>ITBISA-BREADBOARD-830HOLE-MB102</v>
      </c>
      <c r="B3020" s="266">
        <f>IFERROR(__xludf.DUMMYFUNCTION("""COMPUTED_VALUE"""),45510.0)</f>
        <v>45510</v>
      </c>
      <c r="C3020" s="266" t="str">
        <f>IFERROR(__xludf.DUMMYFUNCTION("""COMPUTED_VALUE"""),"KYAI KONTONG")</f>
        <v>KYAI KONTONG</v>
      </c>
      <c r="D3020" s="186">
        <f>IFERROR(__xludf.DUMMYFUNCTION("""COMPUTED_VALUE"""),1.0)</f>
        <v>1</v>
      </c>
    </row>
    <row r="3021">
      <c r="A3021" s="178" t="str">
        <f>IFERROR(__xludf.DUMMYFUNCTION("""COMPUTED_VALUE"""),"ITBISA-BREADBOARD-830HOLE-MB102")</f>
        <v>ITBISA-BREADBOARD-830HOLE-MB102</v>
      </c>
      <c r="B3021" s="266">
        <f>IFERROR(__xludf.DUMMYFUNCTION("""COMPUTED_VALUE"""),45513.0)</f>
        <v>45513</v>
      </c>
      <c r="C3021" s="266" t="str">
        <f>IFERROR(__xludf.DUMMYFUNCTION("""COMPUTED_VALUE"""),"KERTASARI CIAMIS")</f>
        <v>KERTASARI CIAMIS</v>
      </c>
      <c r="D3021" s="186">
        <f>IFERROR(__xludf.DUMMYFUNCTION("""COMPUTED_VALUE"""),1.0)</f>
        <v>1</v>
      </c>
    </row>
    <row r="3022">
      <c r="A3022" s="178" t="str">
        <f>IFERROR(__xludf.DUMMYFUNCTION("""COMPUTED_VALUE"""),"ITBISA-BREADBOARD-830HOLE-MB102")</f>
        <v>ITBISA-BREADBOARD-830HOLE-MB102</v>
      </c>
      <c r="B3022" s="266">
        <f>IFERROR(__xludf.DUMMYFUNCTION("""COMPUTED_VALUE"""),45513.0)</f>
        <v>45513</v>
      </c>
      <c r="C3022" s="266" t="str">
        <f>IFERROR(__xludf.DUMMYFUNCTION("""COMPUTED_VALUE"""),"KERTASARI CIAMIS")</f>
        <v>KERTASARI CIAMIS</v>
      </c>
      <c r="D3022" s="186">
        <f>IFERROR(__xludf.DUMMYFUNCTION("""COMPUTED_VALUE"""),1.0)</f>
        <v>1</v>
      </c>
    </row>
    <row r="3023">
      <c r="A3023" s="178" t="str">
        <f>IFERROR(__xludf.DUMMYFUNCTION("""COMPUTED_VALUE"""),"ITBISA-BREADBOARD-830HOLE-MB102")</f>
        <v>ITBISA-BREADBOARD-830HOLE-MB102</v>
      </c>
      <c r="B3023" s="266">
        <f>IFERROR(__xludf.DUMMYFUNCTION("""COMPUTED_VALUE"""),45513.0)</f>
        <v>45513</v>
      </c>
      <c r="C3023" s="266" t="str">
        <f>IFERROR(__xludf.DUMMYFUNCTION("""COMPUTED_VALUE"""),"KYAI KONTONG")</f>
        <v>KYAI KONTONG</v>
      </c>
      <c r="D3023" s="186">
        <f>IFERROR(__xludf.DUMMYFUNCTION("""COMPUTED_VALUE"""),1.0)</f>
        <v>1</v>
      </c>
    </row>
    <row r="3024">
      <c r="A3024" s="178" t="str">
        <f>IFERROR(__xludf.DUMMYFUNCTION("""COMPUTED_VALUE"""),"ITBISA-BREADBOARD-830HOLE-MB102")</f>
        <v>ITBISA-BREADBOARD-830HOLE-MB102</v>
      </c>
      <c r="B3024" s="266">
        <f>IFERROR(__xludf.DUMMYFUNCTION("""COMPUTED_VALUE"""),45513.0)</f>
        <v>45513</v>
      </c>
      <c r="C3024" s="266" t="str">
        <f>IFERROR(__xludf.DUMMYFUNCTION("""COMPUTED_VALUE"""),"KYAI KONTONG")</f>
        <v>KYAI KONTONG</v>
      </c>
      <c r="D3024" s="186">
        <f>IFERROR(__xludf.DUMMYFUNCTION("""COMPUTED_VALUE"""),1.0)</f>
        <v>1</v>
      </c>
    </row>
    <row r="3025">
      <c r="A3025" s="178" t="str">
        <f>IFERROR(__xludf.DUMMYFUNCTION("""COMPUTED_VALUE"""),"ITBISA-BREADBOARD-830HOLE-MB102")</f>
        <v>ITBISA-BREADBOARD-830HOLE-MB102</v>
      </c>
      <c r="B3025" s="266">
        <f>IFERROR(__xludf.DUMMYFUNCTION("""COMPUTED_VALUE"""),45515.0)</f>
        <v>45515</v>
      </c>
      <c r="C3025" s="266" t="str">
        <f>IFERROR(__xludf.DUMMYFUNCTION("""COMPUTED_VALUE"""),"KYAI KONTONG")</f>
        <v>KYAI KONTONG</v>
      </c>
      <c r="D3025" s="186">
        <f>IFERROR(__xludf.DUMMYFUNCTION("""COMPUTED_VALUE"""),1.0)</f>
        <v>1</v>
      </c>
    </row>
    <row r="3026">
      <c r="A3026" s="178" t="str">
        <f>IFERROR(__xludf.DUMMYFUNCTION("""COMPUTED_VALUE"""),"ITBISA-BREADBOARD-830HOLE-MB102")</f>
        <v>ITBISA-BREADBOARD-830HOLE-MB102</v>
      </c>
      <c r="B3026" s="266">
        <f>IFERROR(__xludf.DUMMYFUNCTION("""COMPUTED_VALUE"""),45516.0)</f>
        <v>45516</v>
      </c>
      <c r="C3026" s="266" t="str">
        <f>IFERROR(__xludf.DUMMYFUNCTION("""COMPUTED_VALUE"""),"KYAI KONTONG")</f>
        <v>KYAI KONTONG</v>
      </c>
      <c r="D3026" s="186">
        <f>IFERROR(__xludf.DUMMYFUNCTION("""COMPUTED_VALUE"""),1.0)</f>
        <v>1</v>
      </c>
    </row>
    <row r="3027">
      <c r="A3027" s="178" t="str">
        <f>IFERROR(__xludf.DUMMYFUNCTION("""COMPUTED_VALUE"""),"ITBISA-BREADBOARD-830HOLE-MB102")</f>
        <v>ITBISA-BREADBOARD-830HOLE-MB102</v>
      </c>
      <c r="B3027" s="266">
        <f>IFERROR(__xludf.DUMMYFUNCTION("""COMPUTED_VALUE"""),45517.0)</f>
        <v>45517</v>
      </c>
      <c r="C3027" s="266" t="str">
        <f>IFERROR(__xludf.DUMMYFUNCTION("""COMPUTED_VALUE"""),"KERTASARI CIAMIS")</f>
        <v>KERTASARI CIAMIS</v>
      </c>
      <c r="D3027" s="186">
        <f>IFERROR(__xludf.DUMMYFUNCTION("""COMPUTED_VALUE"""),1.0)</f>
        <v>1</v>
      </c>
    </row>
    <row r="3028">
      <c r="A3028" s="178" t="str">
        <f>IFERROR(__xludf.DUMMYFUNCTION("""COMPUTED_VALUE"""),"ITBISA-BREADBOARD-830HOLE-MB102")</f>
        <v>ITBISA-BREADBOARD-830HOLE-MB102</v>
      </c>
      <c r="B3028" s="266">
        <f>IFERROR(__xludf.DUMMYFUNCTION("""COMPUTED_VALUE"""),45518.0)</f>
        <v>45518</v>
      </c>
      <c r="C3028" s="266" t="str">
        <f>IFERROR(__xludf.DUMMYFUNCTION("""COMPUTED_VALUE"""),"KYAI KONTONG")</f>
        <v>KYAI KONTONG</v>
      </c>
      <c r="D3028" s="186">
        <f>IFERROR(__xludf.DUMMYFUNCTION("""COMPUTED_VALUE"""),1.0)</f>
        <v>1</v>
      </c>
    </row>
    <row r="3029">
      <c r="A3029" s="178" t="str">
        <f>IFERROR(__xludf.DUMMYFUNCTION("""COMPUTED_VALUE"""),"ITBISA-BREADBOARD-830HOLE-MB102")</f>
        <v>ITBISA-BREADBOARD-830HOLE-MB102</v>
      </c>
      <c r="B3029" s="266">
        <f>IFERROR(__xludf.DUMMYFUNCTION("""COMPUTED_VALUE"""),45519.0)</f>
        <v>45519</v>
      </c>
      <c r="C3029" s="266" t="str">
        <f>IFERROR(__xludf.DUMMYFUNCTION("""COMPUTED_VALUE"""),"KYAI KONTONG")</f>
        <v>KYAI KONTONG</v>
      </c>
      <c r="D3029" s="186">
        <f>IFERROR(__xludf.DUMMYFUNCTION("""COMPUTED_VALUE"""),2.0)</f>
        <v>2</v>
      </c>
    </row>
    <row r="3030">
      <c r="A3030" s="178" t="str">
        <f>IFERROR(__xludf.DUMMYFUNCTION("""COMPUTED_VALUE"""),"ITBISA-BREADBOARD-830HOLE-MB102")</f>
        <v>ITBISA-BREADBOARD-830HOLE-MB102</v>
      </c>
      <c r="B3030" s="266">
        <f>IFERROR(__xludf.DUMMYFUNCTION("""COMPUTED_VALUE"""),45522.0)</f>
        <v>45522</v>
      </c>
      <c r="C3030" s="266" t="str">
        <f>IFERROR(__xludf.DUMMYFUNCTION("""COMPUTED_VALUE"""),"KYAI KONTONG")</f>
        <v>KYAI KONTONG</v>
      </c>
      <c r="D3030" s="186">
        <f>IFERROR(__xludf.DUMMYFUNCTION("""COMPUTED_VALUE"""),1.0)</f>
        <v>1</v>
      </c>
    </row>
    <row r="3031">
      <c r="A3031" s="178" t="str">
        <f>IFERROR(__xludf.DUMMYFUNCTION("""COMPUTED_VALUE"""),"ITBISA-BREADBOARD-830HOLE-MB102")</f>
        <v>ITBISA-BREADBOARD-830HOLE-MB102</v>
      </c>
      <c r="B3031" s="266">
        <f>IFERROR(__xludf.DUMMYFUNCTION("""COMPUTED_VALUE"""),45522.0)</f>
        <v>45522</v>
      </c>
      <c r="C3031" s="266" t="str">
        <f>IFERROR(__xludf.DUMMYFUNCTION("""COMPUTED_VALUE"""),"KYAI KONTONG")</f>
        <v>KYAI KONTONG</v>
      </c>
      <c r="D3031" s="186">
        <f>IFERROR(__xludf.DUMMYFUNCTION("""COMPUTED_VALUE"""),1.0)</f>
        <v>1</v>
      </c>
    </row>
    <row r="3032">
      <c r="A3032" s="178" t="str">
        <f>IFERROR(__xludf.DUMMYFUNCTION("""COMPUTED_VALUE"""),"ITBISA-BREADBOARD-830HOLE-MB102")</f>
        <v>ITBISA-BREADBOARD-830HOLE-MB102</v>
      </c>
      <c r="B3032" s="266">
        <f>IFERROR(__xludf.DUMMYFUNCTION("""COMPUTED_VALUE"""),45522.0)</f>
        <v>45522</v>
      </c>
      <c r="C3032" s="266" t="str">
        <f>IFERROR(__xludf.DUMMYFUNCTION("""COMPUTED_VALUE"""),"KYAI KONTONG")</f>
        <v>KYAI KONTONG</v>
      </c>
      <c r="D3032" s="186">
        <f>IFERROR(__xludf.DUMMYFUNCTION("""COMPUTED_VALUE"""),2.0)</f>
        <v>2</v>
      </c>
    </row>
    <row r="3033">
      <c r="A3033" s="178" t="str">
        <f>IFERROR(__xludf.DUMMYFUNCTION("""COMPUTED_VALUE"""),"ITBISA-BREADBOARD-830HOLE-MB102")</f>
        <v>ITBISA-BREADBOARD-830HOLE-MB102</v>
      </c>
      <c r="B3033" s="266">
        <f>IFERROR(__xludf.DUMMYFUNCTION("""COMPUTED_VALUE"""),45523.0)</f>
        <v>45523</v>
      </c>
      <c r="C3033" s="266" t="str">
        <f>IFERROR(__xludf.DUMMYFUNCTION("""COMPUTED_VALUE"""),"KYAI KONTONG")</f>
        <v>KYAI KONTONG</v>
      </c>
      <c r="D3033" s="186">
        <f>IFERROR(__xludf.DUMMYFUNCTION("""COMPUTED_VALUE"""),5.0)</f>
        <v>5</v>
      </c>
    </row>
    <row r="3034">
      <c r="A3034" s="178" t="str">
        <f>IFERROR(__xludf.DUMMYFUNCTION("""COMPUTED_VALUE"""),"ITBISA-BREADBOARD-830HOLE-MB102")</f>
        <v>ITBISA-BREADBOARD-830HOLE-MB102</v>
      </c>
      <c r="B3034" s="266">
        <f>IFERROR(__xludf.DUMMYFUNCTION("""COMPUTED_VALUE"""),45524.0)</f>
        <v>45524</v>
      </c>
      <c r="C3034" s="266" t="str">
        <f>IFERROR(__xludf.DUMMYFUNCTION("""COMPUTED_VALUE"""),"KERTASARI CIAMIS")</f>
        <v>KERTASARI CIAMIS</v>
      </c>
      <c r="D3034" s="186">
        <f>IFERROR(__xludf.DUMMYFUNCTION("""COMPUTED_VALUE"""),2.0)</f>
        <v>2</v>
      </c>
    </row>
    <row r="3035">
      <c r="A3035" s="178" t="str">
        <f>IFERROR(__xludf.DUMMYFUNCTION("""COMPUTED_VALUE"""),"ITBISA-BREADBOARD-830HOLE-MB102")</f>
        <v>ITBISA-BREADBOARD-830HOLE-MB102</v>
      </c>
      <c r="B3035" s="266">
        <f>IFERROR(__xludf.DUMMYFUNCTION("""COMPUTED_VALUE"""),45525.0)</f>
        <v>45525</v>
      </c>
      <c r="C3035" s="266" t="str">
        <f>IFERROR(__xludf.DUMMYFUNCTION("""COMPUTED_VALUE"""),"KERTASARI CIAMIS")</f>
        <v>KERTASARI CIAMIS</v>
      </c>
      <c r="D3035" s="186">
        <f>IFERROR(__xludf.DUMMYFUNCTION("""COMPUTED_VALUE"""),5.0)</f>
        <v>5</v>
      </c>
    </row>
    <row r="3036">
      <c r="A3036" s="178" t="str">
        <f>IFERROR(__xludf.DUMMYFUNCTION("""COMPUTED_VALUE"""),"ITBISA-BREADBOARD-830HOLE-MB102")</f>
        <v>ITBISA-BREADBOARD-830HOLE-MB102</v>
      </c>
      <c r="B3036" s="266">
        <f>IFERROR(__xludf.DUMMYFUNCTION("""COMPUTED_VALUE"""),45525.0)</f>
        <v>45525</v>
      </c>
      <c r="C3036" s="266" t="str">
        <f>IFERROR(__xludf.DUMMYFUNCTION("""COMPUTED_VALUE"""),"KERTASARI CIAMIS")</f>
        <v>KERTASARI CIAMIS</v>
      </c>
      <c r="D3036" s="186">
        <f>IFERROR(__xludf.DUMMYFUNCTION("""COMPUTED_VALUE"""),5.0)</f>
        <v>5</v>
      </c>
    </row>
    <row r="3037">
      <c r="A3037" s="178" t="str">
        <f>IFERROR(__xludf.DUMMYFUNCTION("""COMPUTED_VALUE"""),"ITBISA-BREADBOARD-830HOLE-MB102")</f>
        <v>ITBISA-BREADBOARD-830HOLE-MB102</v>
      </c>
      <c r="B3037" s="266">
        <f>IFERROR(__xludf.DUMMYFUNCTION("""COMPUTED_VALUE"""),45526.0)</f>
        <v>45526</v>
      </c>
      <c r="C3037" s="266" t="str">
        <f>IFERROR(__xludf.DUMMYFUNCTION("""COMPUTED_VALUE"""),"KERTASARI CIAMIS")</f>
        <v>KERTASARI CIAMIS</v>
      </c>
      <c r="D3037" s="186">
        <f>IFERROR(__xludf.DUMMYFUNCTION("""COMPUTED_VALUE"""),2.0)</f>
        <v>2</v>
      </c>
    </row>
    <row r="3038">
      <c r="A3038" s="178" t="str">
        <f>IFERROR(__xludf.DUMMYFUNCTION("""COMPUTED_VALUE"""),"ITBISA-BREADBOARD-830HOLE-MB102")</f>
        <v>ITBISA-BREADBOARD-830HOLE-MB102</v>
      </c>
      <c r="B3038" s="266">
        <f>IFERROR(__xludf.DUMMYFUNCTION("""COMPUTED_VALUE"""),45526.0)</f>
        <v>45526</v>
      </c>
      <c r="C3038" s="266" t="str">
        <f>IFERROR(__xludf.DUMMYFUNCTION("""COMPUTED_VALUE"""),"KYAI KONTONG")</f>
        <v>KYAI KONTONG</v>
      </c>
      <c r="D3038" s="186">
        <f>IFERROR(__xludf.DUMMYFUNCTION("""COMPUTED_VALUE"""),37.0)</f>
        <v>37</v>
      </c>
    </row>
    <row r="3039">
      <c r="A3039" s="178" t="str">
        <f>IFERROR(__xludf.DUMMYFUNCTION("""COMPUTED_VALUE"""),"ITBISA-BREADBOARD-830HOLE-MB102")</f>
        <v>ITBISA-BREADBOARD-830HOLE-MB102</v>
      </c>
      <c r="B3039" s="266">
        <f>IFERROR(__xludf.DUMMYFUNCTION("""COMPUTED_VALUE"""),45527.0)</f>
        <v>45527</v>
      </c>
      <c r="C3039" s="266" t="str">
        <f>IFERROR(__xludf.DUMMYFUNCTION("""COMPUTED_VALUE"""),"KERTASARI CIAMIS")</f>
        <v>KERTASARI CIAMIS</v>
      </c>
      <c r="D3039" s="186">
        <f>IFERROR(__xludf.DUMMYFUNCTION("""COMPUTED_VALUE"""),1.0)</f>
        <v>1</v>
      </c>
    </row>
    <row r="3040">
      <c r="A3040" s="178" t="str">
        <f>IFERROR(__xludf.DUMMYFUNCTION("""COMPUTED_VALUE"""),"ITBISA-BREADBOARD-830HOLE-MB102")</f>
        <v>ITBISA-BREADBOARD-830HOLE-MB102</v>
      </c>
      <c r="B3040" s="266">
        <f>IFERROR(__xludf.DUMMYFUNCTION("""COMPUTED_VALUE"""),45528.0)</f>
        <v>45528</v>
      </c>
      <c r="C3040" s="266" t="str">
        <f>IFERROR(__xludf.DUMMYFUNCTION("""COMPUTED_VALUE"""),"KERTASARI CIAMIS")</f>
        <v>KERTASARI CIAMIS</v>
      </c>
      <c r="D3040" s="186">
        <f>IFERROR(__xludf.DUMMYFUNCTION("""COMPUTED_VALUE"""),3.0)</f>
        <v>3</v>
      </c>
    </row>
    <row r="3041">
      <c r="A3041" s="178" t="str">
        <f>IFERROR(__xludf.DUMMYFUNCTION("""COMPUTED_VALUE"""),"ITBISA-BREADBOARD-830HOLE-MB102")</f>
        <v>ITBISA-BREADBOARD-830HOLE-MB102</v>
      </c>
      <c r="B3041" s="266">
        <f>IFERROR(__xludf.DUMMYFUNCTION("""COMPUTED_VALUE"""),45531.0)</f>
        <v>45531</v>
      </c>
      <c r="C3041" s="266" t="str">
        <f>IFERROR(__xludf.DUMMYFUNCTION("""COMPUTED_VALUE"""),"KYAI KONTONG")</f>
        <v>KYAI KONTONG</v>
      </c>
      <c r="D3041" s="186">
        <f>IFERROR(__xludf.DUMMYFUNCTION("""COMPUTED_VALUE"""),4.0)</f>
        <v>4</v>
      </c>
    </row>
    <row r="3042">
      <c r="A3042" s="178" t="str">
        <f>IFERROR(__xludf.DUMMYFUNCTION("""COMPUTED_VALUE"""),"ITBISA-BREADBOARD-830HOLE-MB102")</f>
        <v>ITBISA-BREADBOARD-830HOLE-MB102</v>
      </c>
      <c r="B3042" s="266">
        <f>IFERROR(__xludf.DUMMYFUNCTION("""COMPUTED_VALUE"""),45536.0)</f>
        <v>45536</v>
      </c>
      <c r="C3042" s="266" t="str">
        <f>IFERROR(__xludf.DUMMYFUNCTION("""COMPUTED_VALUE"""),"KERTASARI CIAMIS")</f>
        <v>KERTASARI CIAMIS</v>
      </c>
      <c r="D3042" s="186">
        <f>IFERROR(__xludf.DUMMYFUNCTION("""COMPUTED_VALUE"""),1.0)</f>
        <v>1</v>
      </c>
    </row>
    <row r="3043">
      <c r="A3043" s="178" t="str">
        <f>IFERROR(__xludf.DUMMYFUNCTION("""COMPUTED_VALUE"""),"ITBISA-BREADBOARD-830HOLE-MB102")</f>
        <v>ITBISA-BREADBOARD-830HOLE-MB102</v>
      </c>
      <c r="B3043" s="266">
        <f>IFERROR(__xludf.DUMMYFUNCTION("""COMPUTED_VALUE"""),45536.0)</f>
        <v>45536</v>
      </c>
      <c r="C3043" s="266" t="str">
        <f>IFERROR(__xludf.DUMMYFUNCTION("""COMPUTED_VALUE"""),"KERTASARI CIAMIS")</f>
        <v>KERTASARI CIAMIS</v>
      </c>
      <c r="D3043" s="186">
        <f>IFERROR(__xludf.DUMMYFUNCTION("""COMPUTED_VALUE"""),2.0)</f>
        <v>2</v>
      </c>
    </row>
    <row r="3044">
      <c r="A3044" s="178" t="str">
        <f>IFERROR(__xludf.DUMMYFUNCTION("""COMPUTED_VALUE"""),"ITBISA-BREADBOARD-830HOLE-MB102")</f>
        <v>ITBISA-BREADBOARD-830HOLE-MB102</v>
      </c>
      <c r="B3044" s="266">
        <f>IFERROR(__xludf.DUMMYFUNCTION("""COMPUTED_VALUE"""),45539.0)</f>
        <v>45539</v>
      </c>
      <c r="C3044" s="266" t="str">
        <f>IFERROR(__xludf.DUMMYFUNCTION("""COMPUTED_VALUE"""),"KERTASARI CIAMIS")</f>
        <v>KERTASARI CIAMIS</v>
      </c>
      <c r="D3044" s="186">
        <f>IFERROR(__xludf.DUMMYFUNCTION("""COMPUTED_VALUE"""),1.0)</f>
        <v>1</v>
      </c>
    </row>
    <row r="3045">
      <c r="A3045" s="178" t="str">
        <f>IFERROR(__xludf.DUMMYFUNCTION("""COMPUTED_VALUE"""),"ITBISA-BREADBOARD-830HOLE-MB102")</f>
        <v>ITBISA-BREADBOARD-830HOLE-MB102</v>
      </c>
      <c r="B3045" s="266">
        <f>IFERROR(__xludf.DUMMYFUNCTION("""COMPUTED_VALUE"""),45539.0)</f>
        <v>45539</v>
      </c>
      <c r="C3045" s="266" t="str">
        <f>IFERROR(__xludf.DUMMYFUNCTION("""COMPUTED_VALUE"""),"KERTASARI CIAMIS")</f>
        <v>KERTASARI CIAMIS</v>
      </c>
      <c r="D3045" s="186">
        <f>IFERROR(__xludf.DUMMYFUNCTION("""COMPUTED_VALUE"""),1.0)</f>
        <v>1</v>
      </c>
    </row>
    <row r="3046">
      <c r="A3046" s="178" t="str">
        <f>IFERROR(__xludf.DUMMYFUNCTION("""COMPUTED_VALUE"""),"ITBISA-BREADBOARD-830HOLE-MB102")</f>
        <v>ITBISA-BREADBOARD-830HOLE-MB102</v>
      </c>
      <c r="B3046" s="266">
        <f>IFERROR(__xludf.DUMMYFUNCTION("""COMPUTED_VALUE"""),45539.0)</f>
        <v>45539</v>
      </c>
      <c r="C3046" s="266" t="str">
        <f>IFERROR(__xludf.DUMMYFUNCTION("""COMPUTED_VALUE"""),"KYAI KONTONG")</f>
        <v>KYAI KONTONG</v>
      </c>
      <c r="D3046" s="186">
        <f>IFERROR(__xludf.DUMMYFUNCTION("""COMPUTED_VALUE"""),10.0)</f>
        <v>10</v>
      </c>
    </row>
    <row r="3047">
      <c r="A3047" s="178" t="str">
        <f>IFERROR(__xludf.DUMMYFUNCTION("""COMPUTED_VALUE"""),"ITBISA-BREADBOARD-830HOLE-MB102")</f>
        <v>ITBISA-BREADBOARD-830HOLE-MB102</v>
      </c>
      <c r="B3047" s="266">
        <f>IFERROR(__xludf.DUMMYFUNCTION("""COMPUTED_VALUE"""),45541.0)</f>
        <v>45541</v>
      </c>
      <c r="C3047" s="266" t="str">
        <f>IFERROR(__xludf.DUMMYFUNCTION("""COMPUTED_VALUE"""),"KERTASARI CIAMIS")</f>
        <v>KERTASARI CIAMIS</v>
      </c>
      <c r="D3047" s="186">
        <f>IFERROR(__xludf.DUMMYFUNCTION("""COMPUTED_VALUE"""),1.0)</f>
        <v>1</v>
      </c>
    </row>
    <row r="3048">
      <c r="A3048" s="178" t="str">
        <f>IFERROR(__xludf.DUMMYFUNCTION("""COMPUTED_VALUE"""),"ITBISA-BREADBOARD-830HOLE-MB102")</f>
        <v>ITBISA-BREADBOARD-830HOLE-MB102</v>
      </c>
      <c r="B3048" s="266">
        <f>IFERROR(__xludf.DUMMYFUNCTION("""COMPUTED_VALUE"""),45542.0)</f>
        <v>45542</v>
      </c>
      <c r="C3048" s="266" t="str">
        <f>IFERROR(__xludf.DUMMYFUNCTION("""COMPUTED_VALUE"""),"KERTASARI CIAMIS")</f>
        <v>KERTASARI CIAMIS</v>
      </c>
      <c r="D3048" s="186">
        <f>IFERROR(__xludf.DUMMYFUNCTION("""COMPUTED_VALUE"""),1.0)</f>
        <v>1</v>
      </c>
    </row>
    <row r="3049">
      <c r="A3049" s="178" t="str">
        <f>IFERROR(__xludf.DUMMYFUNCTION("""COMPUTED_VALUE"""),"ITBISA-BREADBOARD-830HOLE-MB102")</f>
        <v>ITBISA-BREADBOARD-830HOLE-MB102</v>
      </c>
      <c r="B3049" s="266">
        <f>IFERROR(__xludf.DUMMYFUNCTION("""COMPUTED_VALUE"""),45542.0)</f>
        <v>45542</v>
      </c>
      <c r="C3049" s="266" t="str">
        <f>IFERROR(__xludf.DUMMYFUNCTION("""COMPUTED_VALUE"""),"KERTASARI CIAMIS")</f>
        <v>KERTASARI CIAMIS</v>
      </c>
      <c r="D3049" s="186">
        <f>IFERROR(__xludf.DUMMYFUNCTION("""COMPUTED_VALUE"""),10.0)</f>
        <v>10</v>
      </c>
    </row>
    <row r="3050">
      <c r="A3050" s="178" t="str">
        <f>IFERROR(__xludf.DUMMYFUNCTION("""COMPUTED_VALUE"""),"ITBISA-BREADBOARD-830HOLE-MB102")</f>
        <v>ITBISA-BREADBOARD-830HOLE-MB102</v>
      </c>
      <c r="B3050" s="266">
        <f>IFERROR(__xludf.DUMMYFUNCTION("""COMPUTED_VALUE"""),45544.0)</f>
        <v>45544</v>
      </c>
      <c r="C3050" s="266" t="str">
        <f>IFERROR(__xludf.DUMMYFUNCTION("""COMPUTED_VALUE"""),"KERTASARI CIAMIS")</f>
        <v>KERTASARI CIAMIS</v>
      </c>
      <c r="D3050" s="186">
        <f>IFERROR(__xludf.DUMMYFUNCTION("""COMPUTED_VALUE"""),1.0)</f>
        <v>1</v>
      </c>
    </row>
    <row r="3051">
      <c r="A3051" s="178" t="str">
        <f>IFERROR(__xludf.DUMMYFUNCTION("""COMPUTED_VALUE"""),"ITBISA-BREADBOARD-830HOLE-MB102")</f>
        <v>ITBISA-BREADBOARD-830HOLE-MB102</v>
      </c>
      <c r="B3051" s="266">
        <f>IFERROR(__xludf.DUMMYFUNCTION("""COMPUTED_VALUE"""),45546.0)</f>
        <v>45546</v>
      </c>
      <c r="C3051" s="266" t="str">
        <f>IFERROR(__xludf.DUMMYFUNCTION("""COMPUTED_VALUE"""),"KERTASARI CIAMIS")</f>
        <v>KERTASARI CIAMIS</v>
      </c>
      <c r="D3051" s="186">
        <f>IFERROR(__xludf.DUMMYFUNCTION("""COMPUTED_VALUE"""),2.0)</f>
        <v>2</v>
      </c>
    </row>
    <row r="3052">
      <c r="A3052" s="178" t="str">
        <f>IFERROR(__xludf.DUMMYFUNCTION("""COMPUTED_VALUE"""),"ITBISA-BREADBOARD-830HOLE-MB102")</f>
        <v>ITBISA-BREADBOARD-830HOLE-MB102</v>
      </c>
      <c r="B3052" s="266">
        <f>IFERROR(__xludf.DUMMYFUNCTION("""COMPUTED_VALUE"""),45552.0)</f>
        <v>45552</v>
      </c>
      <c r="C3052" s="266" t="str">
        <f>IFERROR(__xludf.DUMMYFUNCTION("""COMPUTED_VALUE"""),"KERTASARI CIAMIS")</f>
        <v>KERTASARI CIAMIS</v>
      </c>
      <c r="D3052" s="186">
        <f>IFERROR(__xludf.DUMMYFUNCTION("""COMPUTED_VALUE"""),7.0)</f>
        <v>7</v>
      </c>
    </row>
    <row r="3053">
      <c r="A3053" s="178" t="str">
        <f>IFERROR(__xludf.DUMMYFUNCTION("""COMPUTED_VALUE"""),"ITBISA-BREADBOARD-830HOLE-MB102")</f>
        <v>ITBISA-BREADBOARD-830HOLE-MB102</v>
      </c>
      <c r="B3053" s="266">
        <f>IFERROR(__xludf.DUMMYFUNCTION("""COMPUTED_VALUE"""),45554.0)</f>
        <v>45554</v>
      </c>
      <c r="C3053" s="266" t="str">
        <f>IFERROR(__xludf.DUMMYFUNCTION("""COMPUTED_VALUE"""),"KERTASARI CIAMIS")</f>
        <v>KERTASARI CIAMIS</v>
      </c>
      <c r="D3053" s="186">
        <f>IFERROR(__xludf.DUMMYFUNCTION("""COMPUTED_VALUE"""),10.0)</f>
        <v>10</v>
      </c>
    </row>
    <row r="3054">
      <c r="A3054" s="178" t="str">
        <f>IFERROR(__xludf.DUMMYFUNCTION("""COMPUTED_VALUE"""),"ITBISA-BREADBOARD-830HOLE-MB102")</f>
        <v>ITBISA-BREADBOARD-830HOLE-MB102</v>
      </c>
      <c r="B3054" s="266">
        <f>IFERROR(__xludf.DUMMYFUNCTION("""COMPUTED_VALUE"""),45562.0)</f>
        <v>45562</v>
      </c>
      <c r="C3054" s="266" t="str">
        <f>IFERROR(__xludf.DUMMYFUNCTION("""COMPUTED_VALUE"""),"KERTASARI CIAMIS")</f>
        <v>KERTASARI CIAMIS</v>
      </c>
      <c r="D3054" s="186">
        <f>IFERROR(__xludf.DUMMYFUNCTION("""COMPUTED_VALUE"""),1.0)</f>
        <v>1</v>
      </c>
    </row>
    <row r="3055">
      <c r="A3055" s="178" t="str">
        <f>IFERROR(__xludf.DUMMYFUNCTION("""COMPUTED_VALUE"""),"ITBISA-BREADBOARD-830HOLE-MB102")</f>
        <v>ITBISA-BREADBOARD-830HOLE-MB102</v>
      </c>
      <c r="B3055" s="266">
        <f>IFERROR(__xludf.DUMMYFUNCTION("""COMPUTED_VALUE"""),45565.0)</f>
        <v>45565</v>
      </c>
      <c r="C3055" s="266" t="str">
        <f>IFERROR(__xludf.DUMMYFUNCTION("""COMPUTED_VALUE"""),"KERTASARI CIAMIS")</f>
        <v>KERTASARI CIAMIS</v>
      </c>
      <c r="D3055" s="186">
        <f>IFERROR(__xludf.DUMMYFUNCTION("""COMPUTED_VALUE"""),15.0)</f>
        <v>15</v>
      </c>
    </row>
    <row r="3056">
      <c r="A3056" s="178" t="str">
        <f>IFERROR(__xludf.DUMMYFUNCTION("""COMPUTED_VALUE"""),"ITBISA-BREADBOARD-830HOLE-MB102")</f>
        <v>ITBISA-BREADBOARD-830HOLE-MB102</v>
      </c>
      <c r="B3056" s="266">
        <f>IFERROR(__xludf.DUMMYFUNCTION("""COMPUTED_VALUE"""),45566.0)</f>
        <v>45566</v>
      </c>
      <c r="C3056" s="266" t="str">
        <f>IFERROR(__xludf.DUMMYFUNCTION("""COMPUTED_VALUE"""),"KERTASARI CIAMIS")</f>
        <v>KERTASARI CIAMIS</v>
      </c>
      <c r="D3056" s="186">
        <f>IFERROR(__xludf.DUMMYFUNCTION("""COMPUTED_VALUE"""),1.0)</f>
        <v>1</v>
      </c>
    </row>
    <row r="3057">
      <c r="A3057" s="178" t="str">
        <f>IFERROR(__xludf.DUMMYFUNCTION("""COMPUTED_VALUE"""),"ITBISA-BREADBOARD-830HOLE-MB102")</f>
        <v>ITBISA-BREADBOARD-830HOLE-MB102</v>
      </c>
      <c r="B3057" s="266">
        <f>IFERROR(__xludf.DUMMYFUNCTION("""COMPUTED_VALUE"""),45575.0)</f>
        <v>45575</v>
      </c>
      <c r="C3057" s="266" t="str">
        <f>IFERROR(__xludf.DUMMYFUNCTION("""COMPUTED_VALUE"""),"KYAI KONTONG")</f>
        <v>KYAI KONTONG</v>
      </c>
      <c r="D3057" s="186">
        <f>IFERROR(__xludf.DUMMYFUNCTION("""COMPUTED_VALUE"""),1.0)</f>
        <v>1</v>
      </c>
    </row>
    <row r="3058">
      <c r="A3058" s="178" t="str">
        <f>IFERROR(__xludf.DUMMYFUNCTION("""COMPUTED_VALUE"""),"ITBISA-BREADBOARD-830HOLE-MB102")</f>
        <v>ITBISA-BREADBOARD-830HOLE-MB102</v>
      </c>
      <c r="B3058" s="266">
        <f>IFERROR(__xludf.DUMMYFUNCTION("""COMPUTED_VALUE"""),45603.0)</f>
        <v>45603</v>
      </c>
      <c r="C3058" s="266" t="str">
        <f>IFERROR(__xludf.DUMMYFUNCTION("""COMPUTED_VALUE"""),"KERTASARI CIAMIS")</f>
        <v>KERTASARI CIAMIS</v>
      </c>
      <c r="D3058" s="186">
        <f>IFERROR(__xludf.DUMMYFUNCTION("""COMPUTED_VALUE"""),1.0)</f>
        <v>1</v>
      </c>
    </row>
    <row r="3059">
      <c r="A3059" s="178" t="str">
        <f>IFERROR(__xludf.DUMMYFUNCTION("""COMPUTED_VALUE"""),"ITBISA-BREADBOARD-830HOLE-MB102")</f>
        <v>ITBISA-BREADBOARD-830HOLE-MB102</v>
      </c>
      <c r="B3059" s="266">
        <f>IFERROR(__xludf.DUMMYFUNCTION("""COMPUTED_VALUE"""),45614.0)</f>
        <v>45614</v>
      </c>
      <c r="C3059" s="266" t="str">
        <f>IFERROR(__xludf.DUMMYFUNCTION("""COMPUTED_VALUE"""),"KERTASARI CIAMIS")</f>
        <v>KERTASARI CIAMIS</v>
      </c>
      <c r="D3059" s="186">
        <f>IFERROR(__xludf.DUMMYFUNCTION("""COMPUTED_VALUE"""),1.0)</f>
        <v>1</v>
      </c>
    </row>
    <row r="3060">
      <c r="A3060" s="178" t="str">
        <f>IFERROR(__xludf.DUMMYFUNCTION("""COMPUTED_VALUE"""),"ITBISA-BREADBOARD-830HOLE-MB102")</f>
        <v>ITBISA-BREADBOARD-830HOLE-MB102</v>
      </c>
      <c r="B3060" s="266">
        <f>IFERROR(__xludf.DUMMYFUNCTION("""COMPUTED_VALUE"""),45624.0)</f>
        <v>45624</v>
      </c>
      <c r="C3060" s="266" t="str">
        <f>IFERROR(__xludf.DUMMYFUNCTION("""COMPUTED_VALUE"""),"KYAI KONTONG")</f>
        <v>KYAI KONTONG</v>
      </c>
      <c r="D3060" s="186">
        <f>IFERROR(__xludf.DUMMYFUNCTION("""COMPUTED_VALUE"""),1.0)</f>
        <v>1</v>
      </c>
    </row>
    <row r="3061">
      <c r="A3061" s="178" t="str">
        <f>IFERROR(__xludf.DUMMYFUNCTION("""COMPUTED_VALUE"""),"ITBISA-BREADBOARD-830HOLE-MB102")</f>
        <v>ITBISA-BREADBOARD-830HOLE-MB102</v>
      </c>
      <c r="B3061" s="266">
        <f>IFERROR(__xludf.DUMMYFUNCTION("""COMPUTED_VALUE"""),45635.0)</f>
        <v>45635</v>
      </c>
      <c r="C3061" s="266" t="str">
        <f>IFERROR(__xludf.DUMMYFUNCTION("""COMPUTED_VALUE"""),"KYAI KONTONG")</f>
        <v>KYAI KONTONG</v>
      </c>
      <c r="D3061" s="186">
        <f>IFERROR(__xludf.DUMMYFUNCTION("""COMPUTED_VALUE"""),1.0)</f>
        <v>1</v>
      </c>
    </row>
    <row r="3062">
      <c r="A3062" s="178" t="str">
        <f>IFERROR(__xludf.DUMMYFUNCTION("""COMPUTED_VALUE"""),"ITBISA-BREADBOARD-830HOLE-MB102")</f>
        <v>ITBISA-BREADBOARD-830HOLE-MB102</v>
      </c>
      <c r="B3062" s="266">
        <f>IFERROR(__xludf.DUMMYFUNCTION("""COMPUTED_VALUE"""),45641.0)</f>
        <v>45641</v>
      </c>
      <c r="C3062" s="266" t="str">
        <f>IFERROR(__xludf.DUMMYFUNCTION("""COMPUTED_VALUE"""),"KYAI KONTONG")</f>
        <v>KYAI KONTONG</v>
      </c>
      <c r="D3062" s="186">
        <f>IFERROR(__xludf.DUMMYFUNCTION("""COMPUTED_VALUE"""),1.0)</f>
        <v>1</v>
      </c>
    </row>
    <row r="3063">
      <c r="A3063" s="178" t="str">
        <f>IFERROR(__xludf.DUMMYFUNCTION("""COMPUTED_VALUE"""),"ITBISA-BREADBOARD-830HOLE-MB102")</f>
        <v>ITBISA-BREADBOARD-830HOLE-MB102</v>
      </c>
      <c r="B3063" s="266">
        <f>IFERROR(__xludf.DUMMYFUNCTION("""COMPUTED_VALUE"""),45641.0)</f>
        <v>45641</v>
      </c>
      <c r="C3063" s="266" t="str">
        <f>IFERROR(__xludf.DUMMYFUNCTION("""COMPUTED_VALUE"""),"KYAI KONTONG")</f>
        <v>KYAI KONTONG</v>
      </c>
      <c r="D3063" s="186">
        <f>IFERROR(__xludf.DUMMYFUNCTION("""COMPUTED_VALUE"""),4.0)</f>
        <v>4</v>
      </c>
    </row>
    <row r="3064">
      <c r="A3064" s="178" t="str">
        <f>IFERROR(__xludf.DUMMYFUNCTION("""COMPUTED_VALUE"""),"ITBISA-BREADBOARD-830HOLE-MB102")</f>
        <v>ITBISA-BREADBOARD-830HOLE-MB102</v>
      </c>
      <c r="B3064" s="266">
        <f>IFERROR(__xludf.DUMMYFUNCTION("""COMPUTED_VALUE"""),45643.0)</f>
        <v>45643</v>
      </c>
      <c r="C3064" s="266" t="str">
        <f>IFERROR(__xludf.DUMMYFUNCTION("""COMPUTED_VALUE"""),"KYAI KONTONG")</f>
        <v>KYAI KONTONG</v>
      </c>
      <c r="D3064" s="186">
        <f>IFERROR(__xludf.DUMMYFUNCTION("""COMPUTED_VALUE"""),10.0)</f>
        <v>10</v>
      </c>
    </row>
    <row r="3065">
      <c r="A3065" s="178" t="str">
        <f>IFERROR(__xludf.DUMMYFUNCTION("""COMPUTED_VALUE"""),"ITBISA-BREADBOARD-830HOLE-MB102")</f>
        <v>ITBISA-BREADBOARD-830HOLE-MB102</v>
      </c>
      <c r="B3065" s="266">
        <f>IFERROR(__xludf.DUMMYFUNCTION("""COMPUTED_VALUE"""),45645.0)</f>
        <v>45645</v>
      </c>
      <c r="C3065" s="266" t="str">
        <f>IFERROR(__xludf.DUMMYFUNCTION("""COMPUTED_VALUE"""),"KYAI KONTONG")</f>
        <v>KYAI KONTONG</v>
      </c>
      <c r="D3065" s="186">
        <f>IFERROR(__xludf.DUMMYFUNCTION("""COMPUTED_VALUE"""),1.0)</f>
        <v>1</v>
      </c>
    </row>
    <row r="3066">
      <c r="A3066" s="178" t="str">
        <f>IFERROR(__xludf.DUMMYFUNCTION("""COMPUTED_VALUE"""),"ITBISA-BREADBOARD-830HOLE-MB102")</f>
        <v>ITBISA-BREADBOARD-830HOLE-MB102</v>
      </c>
      <c r="B3066" s="266">
        <f>IFERROR(__xludf.DUMMYFUNCTION("""COMPUTED_VALUE"""),45653.0)</f>
        <v>45653</v>
      </c>
      <c r="C3066" s="266" t="str">
        <f>IFERROR(__xludf.DUMMYFUNCTION("""COMPUTED_VALUE"""),"KYAI KONTONG")</f>
        <v>KYAI KONTONG</v>
      </c>
      <c r="D3066" s="186">
        <f>IFERROR(__xludf.DUMMYFUNCTION("""COMPUTED_VALUE"""),1.0)</f>
        <v>1</v>
      </c>
    </row>
    <row r="3067">
      <c r="A3067" s="178" t="str">
        <f>IFERROR(__xludf.DUMMYFUNCTION("""COMPUTED_VALUE"""),"ITBISA-BREADBOARD-830HOLE-MB102")</f>
        <v>ITBISA-BREADBOARD-830HOLE-MB102</v>
      </c>
      <c r="B3067" s="266">
        <f>IFERROR(__xludf.DUMMYFUNCTION("""COMPUTED_VALUE"""),45656.0)</f>
        <v>45656</v>
      </c>
      <c r="C3067" s="266" t="str">
        <f>IFERROR(__xludf.DUMMYFUNCTION("""COMPUTED_VALUE"""),"KYAI KONTONG")</f>
        <v>KYAI KONTONG</v>
      </c>
      <c r="D3067" s="186">
        <f>IFERROR(__xludf.DUMMYFUNCTION("""COMPUTED_VALUE"""),1.0)</f>
        <v>1</v>
      </c>
    </row>
    <row r="3068">
      <c r="A3068" s="178" t="str">
        <f>IFERROR(__xludf.DUMMYFUNCTION("""COMPUTED_VALUE"""),"ITBISA-BREADBOARD-830HOLE-MB102")</f>
        <v>ITBISA-BREADBOARD-830HOLE-MB102</v>
      </c>
      <c r="B3068" s="266">
        <f>IFERROR(__xludf.DUMMYFUNCTION("""COMPUTED_VALUE"""),45674.0)</f>
        <v>45674</v>
      </c>
      <c r="C3068" s="266" t="str">
        <f>IFERROR(__xludf.DUMMYFUNCTION("""COMPUTED_VALUE"""),"KYAI KONTONG")</f>
        <v>KYAI KONTONG</v>
      </c>
      <c r="D3068" s="186">
        <f>IFERROR(__xludf.DUMMYFUNCTION("""COMPUTED_VALUE"""),1.0)</f>
        <v>1</v>
      </c>
    </row>
    <row r="3069">
      <c r="A3069" s="178" t="str">
        <f>IFERROR(__xludf.DUMMYFUNCTION("""COMPUTED_VALUE"""),"ITBISA-BREADBOARD-830HOLE-MB102")</f>
        <v>ITBISA-BREADBOARD-830HOLE-MB102</v>
      </c>
      <c r="B3069" s="266">
        <f>IFERROR(__xludf.DUMMYFUNCTION("""COMPUTED_VALUE"""),45677.0)</f>
        <v>45677</v>
      </c>
      <c r="C3069" s="266" t="str">
        <f>IFERROR(__xludf.DUMMYFUNCTION("""COMPUTED_VALUE"""),"KYAI KONTONG")</f>
        <v>KYAI KONTONG</v>
      </c>
      <c r="D3069" s="186">
        <f>IFERROR(__xludf.DUMMYFUNCTION("""COMPUTED_VALUE"""),1.0)</f>
        <v>1</v>
      </c>
    </row>
    <row r="3070">
      <c r="A3070" s="178" t="str">
        <f>IFERROR(__xludf.DUMMYFUNCTION("""COMPUTED_VALUE"""),"ITBISA-BREADBOARD-830HOLE-MB102")</f>
        <v>ITBISA-BREADBOARD-830HOLE-MB102</v>
      </c>
      <c r="B3070" s="266">
        <f>IFERROR(__xludf.DUMMYFUNCTION("""COMPUTED_VALUE"""),45694.0)</f>
        <v>45694</v>
      </c>
      <c r="C3070" s="266" t="str">
        <f>IFERROR(__xludf.DUMMYFUNCTION("""COMPUTED_VALUE"""),"KYAI KONTONG")</f>
        <v>KYAI KONTONG</v>
      </c>
      <c r="D3070" s="186">
        <f>IFERROR(__xludf.DUMMYFUNCTION("""COMPUTED_VALUE"""),1.0)</f>
        <v>1</v>
      </c>
    </row>
    <row r="3071">
      <c r="A3071" s="178" t="str">
        <f>IFERROR(__xludf.DUMMYFUNCTION("""COMPUTED_VALUE"""),"ITBISA-BREADBOARD-830HOLE-MB102")</f>
        <v>ITBISA-BREADBOARD-830HOLE-MB102</v>
      </c>
      <c r="B3071" s="266">
        <f>IFERROR(__xludf.DUMMYFUNCTION("""COMPUTED_VALUE"""),45695.0)</f>
        <v>45695</v>
      </c>
      <c r="C3071" s="266" t="str">
        <f>IFERROR(__xludf.DUMMYFUNCTION("""COMPUTED_VALUE"""),"KERTASARI CIAMIS")</f>
        <v>KERTASARI CIAMIS</v>
      </c>
      <c r="D3071" s="186">
        <f>IFERROR(__xludf.DUMMYFUNCTION("""COMPUTED_VALUE"""),1.0)</f>
        <v>1</v>
      </c>
    </row>
    <row r="3072">
      <c r="A3072" s="178" t="str">
        <f>IFERROR(__xludf.DUMMYFUNCTION("""COMPUTED_VALUE"""),"ITBISA-BREADBOARD-830HOLE-MB102")</f>
        <v>ITBISA-BREADBOARD-830HOLE-MB102</v>
      </c>
      <c r="B3072" s="266">
        <f>IFERROR(__xludf.DUMMYFUNCTION("""COMPUTED_VALUE"""),45698.0)</f>
        <v>45698</v>
      </c>
      <c r="C3072" s="266" t="str">
        <f>IFERROR(__xludf.DUMMYFUNCTION("""COMPUTED_VALUE"""),"KERTASARI CIAMIS")</f>
        <v>KERTASARI CIAMIS</v>
      </c>
      <c r="D3072" s="186">
        <f>IFERROR(__xludf.DUMMYFUNCTION("""COMPUTED_VALUE"""),1.0)</f>
        <v>1</v>
      </c>
    </row>
    <row r="3073">
      <c r="A3073" s="178" t="str">
        <f>IFERROR(__xludf.DUMMYFUNCTION("""COMPUTED_VALUE"""),"ITBISA-BREADBOARD-830HOLE-MB102")</f>
        <v>ITBISA-BREADBOARD-830HOLE-MB102</v>
      </c>
      <c r="B3073" s="266">
        <f>IFERROR(__xludf.DUMMYFUNCTION("""COMPUTED_VALUE"""),45724.0)</f>
        <v>45724</v>
      </c>
      <c r="C3073" s="266" t="str">
        <f>IFERROR(__xludf.DUMMYFUNCTION("""COMPUTED_VALUE"""),"KERTASARI CIAMIS")</f>
        <v>KERTASARI CIAMIS</v>
      </c>
      <c r="D3073" s="186">
        <f>IFERROR(__xludf.DUMMYFUNCTION("""COMPUTED_VALUE"""),1.0)</f>
        <v>1</v>
      </c>
    </row>
    <row r="3074">
      <c r="A3074" s="178" t="str">
        <f>IFERROR(__xludf.DUMMYFUNCTION("""COMPUTED_VALUE"""),"ITBISA-BREADBOARD-830HOLE-MB102")</f>
        <v>ITBISA-BREADBOARD-830HOLE-MB102</v>
      </c>
      <c r="B3074" s="266">
        <f>IFERROR(__xludf.DUMMYFUNCTION("""COMPUTED_VALUE"""),45728.0)</f>
        <v>45728</v>
      </c>
      <c r="C3074" s="266" t="str">
        <f>IFERROR(__xludf.DUMMYFUNCTION("""COMPUTED_VALUE"""),"KERTASARI CIAMIS")</f>
        <v>KERTASARI CIAMIS</v>
      </c>
      <c r="D3074" s="186">
        <f>IFERROR(__xludf.DUMMYFUNCTION("""COMPUTED_VALUE"""),2.0)</f>
        <v>2</v>
      </c>
    </row>
    <row r="3075">
      <c r="A3075" s="178" t="str">
        <f>IFERROR(__xludf.DUMMYFUNCTION("""COMPUTED_VALUE"""),"ITBISA-BREADBOARD-830HOLE-MB102")</f>
        <v>ITBISA-BREADBOARD-830HOLE-MB102</v>
      </c>
      <c r="B3075" s="266">
        <f>IFERROR(__xludf.DUMMYFUNCTION("""COMPUTED_VALUE"""),45742.0)</f>
        <v>45742</v>
      </c>
      <c r="C3075" s="266" t="str">
        <f>IFERROR(__xludf.DUMMYFUNCTION("""COMPUTED_VALUE"""),"KERTASARI CIAMIS")</f>
        <v>KERTASARI CIAMIS</v>
      </c>
      <c r="D3075" s="186">
        <f>IFERROR(__xludf.DUMMYFUNCTION("""COMPUTED_VALUE"""),10.0)</f>
        <v>10</v>
      </c>
    </row>
    <row r="3076">
      <c r="A3076" s="178" t="str">
        <f>IFERROR(__xludf.DUMMYFUNCTION("""COMPUTED_VALUE"""),"ITBISA-BREADBOARD-830HOLE-MB102")</f>
        <v>ITBISA-BREADBOARD-830HOLE-MB102</v>
      </c>
      <c r="B3076" s="266">
        <f>IFERROR(__xludf.DUMMYFUNCTION("""COMPUTED_VALUE"""),45769.0)</f>
        <v>45769</v>
      </c>
      <c r="C3076" s="266" t="str">
        <f>IFERROR(__xludf.DUMMYFUNCTION("""COMPUTED_VALUE"""),"KERTASARI CIAMIS")</f>
        <v>KERTASARI CIAMIS</v>
      </c>
      <c r="D3076" s="186">
        <f>IFERROR(__xludf.DUMMYFUNCTION("""COMPUTED_VALUE"""),1.0)</f>
        <v>1</v>
      </c>
    </row>
    <row r="3077">
      <c r="A3077" s="178" t="str">
        <f>IFERROR(__xludf.DUMMYFUNCTION("""COMPUTED_VALUE"""),"ITBISA-BREADBOARD-830HOLE-MB102")</f>
        <v>ITBISA-BREADBOARD-830HOLE-MB102</v>
      </c>
      <c r="B3077" s="266">
        <f>IFERROR(__xludf.DUMMYFUNCTION("""COMPUTED_VALUE"""),45775.0)</f>
        <v>45775</v>
      </c>
      <c r="C3077" s="266" t="str">
        <f>IFERROR(__xludf.DUMMYFUNCTION("""COMPUTED_VALUE"""),"KERTASARI CIAMIS")</f>
        <v>KERTASARI CIAMIS</v>
      </c>
      <c r="D3077" s="186">
        <f>IFERROR(__xludf.DUMMYFUNCTION("""COMPUTED_VALUE"""),1.0)</f>
        <v>1</v>
      </c>
    </row>
    <row r="3078">
      <c r="A3078" s="178" t="str">
        <f>IFERROR(__xludf.DUMMYFUNCTION("""COMPUTED_VALUE"""),"ITBISA-BREADBOARD-830HOLE-MB102")</f>
        <v>ITBISA-BREADBOARD-830HOLE-MB102</v>
      </c>
      <c r="B3078" s="266">
        <f>IFERROR(__xludf.DUMMYFUNCTION("""COMPUTED_VALUE"""),45775.0)</f>
        <v>45775</v>
      </c>
      <c r="C3078" s="266" t="str">
        <f>IFERROR(__xludf.DUMMYFUNCTION("""COMPUTED_VALUE"""),"KYAI KONTONG")</f>
        <v>KYAI KONTONG</v>
      </c>
      <c r="D3078" s="186">
        <f>IFERROR(__xludf.DUMMYFUNCTION("""COMPUTED_VALUE"""),1.0)</f>
        <v>1</v>
      </c>
    </row>
    <row r="3079">
      <c r="A3079" s="178" t="str">
        <f>IFERROR(__xludf.DUMMYFUNCTION("""COMPUTED_VALUE"""),"ITBISA-BREADBOARD-830HOLE-MB102")</f>
        <v>ITBISA-BREADBOARD-830HOLE-MB102</v>
      </c>
      <c r="B3079" s="266">
        <f>IFERROR(__xludf.DUMMYFUNCTION("""COMPUTED_VALUE"""),45775.0)</f>
        <v>45775</v>
      </c>
      <c r="C3079" s="266" t="str">
        <f>IFERROR(__xludf.DUMMYFUNCTION("""COMPUTED_VALUE"""),"KYAI KONTONG")</f>
        <v>KYAI KONTONG</v>
      </c>
      <c r="D3079" s="186">
        <f>IFERROR(__xludf.DUMMYFUNCTION("""COMPUTED_VALUE"""),2.0)</f>
        <v>2</v>
      </c>
    </row>
    <row r="3080">
      <c r="A3080" s="178" t="str">
        <f>IFERROR(__xludf.DUMMYFUNCTION("""COMPUTED_VALUE"""),"ITBISA-BREADBOARD-830HOLE-MB102")</f>
        <v>ITBISA-BREADBOARD-830HOLE-MB102</v>
      </c>
      <c r="B3080" s="266">
        <f>IFERROR(__xludf.DUMMYFUNCTION("""COMPUTED_VALUE"""),45777.0)</f>
        <v>45777</v>
      </c>
      <c r="C3080" s="266" t="str">
        <f>IFERROR(__xludf.DUMMYFUNCTION("""COMPUTED_VALUE"""),"KERTASARI CIAMIS")</f>
        <v>KERTASARI CIAMIS</v>
      </c>
      <c r="D3080" s="186">
        <f>IFERROR(__xludf.DUMMYFUNCTION("""COMPUTED_VALUE"""),1.0)</f>
        <v>1</v>
      </c>
    </row>
    <row r="3081">
      <c r="A3081" s="178" t="str">
        <f>IFERROR(__xludf.DUMMYFUNCTION("""COMPUTED_VALUE"""),"ITBISA-BREADBOARD-830HOLE-MB102")</f>
        <v>ITBISA-BREADBOARD-830HOLE-MB102</v>
      </c>
      <c r="B3081" s="266">
        <f>IFERROR(__xludf.DUMMYFUNCTION("""COMPUTED_VALUE"""),45779.0)</f>
        <v>45779</v>
      </c>
      <c r="C3081" s="266" t="str">
        <f>IFERROR(__xludf.DUMMYFUNCTION("""COMPUTED_VALUE"""),"KYAI KONTONG")</f>
        <v>KYAI KONTONG</v>
      </c>
      <c r="D3081" s="186">
        <f>IFERROR(__xludf.DUMMYFUNCTION("""COMPUTED_VALUE"""),1.0)</f>
        <v>1</v>
      </c>
    </row>
    <row r="3082">
      <c r="A3082" s="178" t="str">
        <f>IFERROR(__xludf.DUMMYFUNCTION("""COMPUTED_VALUE"""),"ITBISA-BREADBOARD-830HOLE-MB102")</f>
        <v>ITBISA-BREADBOARD-830HOLE-MB102</v>
      </c>
      <c r="B3082" s="266">
        <f>IFERROR(__xludf.DUMMYFUNCTION("""COMPUTED_VALUE"""),45783.0)</f>
        <v>45783</v>
      </c>
      <c r="C3082" s="266" t="str">
        <f>IFERROR(__xludf.DUMMYFUNCTION("""COMPUTED_VALUE"""),"KERTASARI CIAMIS")</f>
        <v>KERTASARI CIAMIS</v>
      </c>
      <c r="D3082" s="186">
        <f>IFERROR(__xludf.DUMMYFUNCTION("""COMPUTED_VALUE"""),1.0)</f>
        <v>1</v>
      </c>
    </row>
    <row r="3083">
      <c r="A3083" s="178" t="str">
        <f>IFERROR(__xludf.DUMMYFUNCTION("""COMPUTED_VALUE"""),"ITBISA-BREADBOARD-830HOLE-MB102")</f>
        <v>ITBISA-BREADBOARD-830HOLE-MB102</v>
      </c>
      <c r="B3083" s="266">
        <f>IFERROR(__xludf.DUMMYFUNCTION("""COMPUTED_VALUE"""),45790.0)</f>
        <v>45790</v>
      </c>
      <c r="C3083" s="266" t="str">
        <f>IFERROR(__xludf.DUMMYFUNCTION("""COMPUTED_VALUE"""),"KERTASARI CIAMIS")</f>
        <v>KERTASARI CIAMIS</v>
      </c>
      <c r="D3083" s="186">
        <f>IFERROR(__xludf.DUMMYFUNCTION("""COMPUTED_VALUE"""),2.0)</f>
        <v>2</v>
      </c>
    </row>
    <row r="3084">
      <c r="A3084" s="178" t="str">
        <f>IFERROR(__xludf.DUMMYFUNCTION("""COMPUTED_VALUE"""),"ITBISA-BREADBOARD-830HOLE-MB102")</f>
        <v>ITBISA-BREADBOARD-830HOLE-MB102</v>
      </c>
      <c r="B3084" s="266">
        <f>IFERROR(__xludf.DUMMYFUNCTION("""COMPUTED_VALUE"""),45810.0)</f>
        <v>45810</v>
      </c>
      <c r="C3084" s="266" t="str">
        <f>IFERROR(__xludf.DUMMYFUNCTION("""COMPUTED_VALUE"""),"KYAI KONTONG")</f>
        <v>KYAI KONTONG</v>
      </c>
      <c r="D3084" s="186">
        <f>IFERROR(__xludf.DUMMYFUNCTION("""COMPUTED_VALUE"""),1.0)</f>
        <v>1</v>
      </c>
    </row>
    <row r="3085">
      <c r="A3085" s="178" t="str">
        <f>IFERROR(__xludf.DUMMYFUNCTION("""COMPUTED_VALUE"""),"ITBISA-BREADBOARD-830HOLE-MB102")</f>
        <v>ITBISA-BREADBOARD-830HOLE-MB102</v>
      </c>
      <c r="B3085" s="266">
        <f>IFERROR(__xludf.DUMMYFUNCTION("""COMPUTED_VALUE"""),45814.0)</f>
        <v>45814</v>
      </c>
      <c r="C3085" s="266" t="str">
        <f>IFERROR(__xludf.DUMMYFUNCTION("""COMPUTED_VALUE"""),"KYAI KONTONG")</f>
        <v>KYAI KONTONG</v>
      </c>
      <c r="D3085" s="186">
        <f>IFERROR(__xludf.DUMMYFUNCTION("""COMPUTED_VALUE"""),1.0)</f>
        <v>1</v>
      </c>
    </row>
    <row r="3086">
      <c r="A3086" s="178" t="str">
        <f>IFERROR(__xludf.DUMMYFUNCTION("""COMPUTED_VALUE"""),"ITBISA-BREADBOARD-830HOLE-MB102")</f>
        <v>ITBISA-BREADBOARD-830HOLE-MB102</v>
      </c>
      <c r="B3086" s="266">
        <f>IFERROR(__xludf.DUMMYFUNCTION("""COMPUTED_VALUE"""),45849.0)</f>
        <v>45849</v>
      </c>
      <c r="C3086" s="266" t="str">
        <f>IFERROR(__xludf.DUMMYFUNCTION("""COMPUTED_VALUE"""),"KYAI KONTONG")</f>
        <v>KYAI KONTONG</v>
      </c>
      <c r="D3086" s="186">
        <f>IFERROR(__xludf.DUMMYFUNCTION("""COMPUTED_VALUE"""),2.0)</f>
        <v>2</v>
      </c>
    </row>
    <row r="3087">
      <c r="A3087" s="178" t="str">
        <f>IFERROR(__xludf.DUMMYFUNCTION("""COMPUTED_VALUE"""),"ITBISA-BREADBOARD-830HOLE-MB102")</f>
        <v>ITBISA-BREADBOARD-830HOLE-MB102</v>
      </c>
      <c r="B3087" s="266">
        <f>IFERROR(__xludf.DUMMYFUNCTION("""COMPUTED_VALUE"""),45874.0)</f>
        <v>45874</v>
      </c>
      <c r="C3087" s="266" t="str">
        <f>IFERROR(__xludf.DUMMYFUNCTION("""COMPUTED_VALUE"""),"KERTASARI CIAMIS")</f>
        <v>KERTASARI CIAMIS</v>
      </c>
      <c r="D3087" s="186">
        <f>IFERROR(__xludf.DUMMYFUNCTION("""COMPUTED_VALUE"""),1.0)</f>
        <v>1</v>
      </c>
    </row>
    <row r="3088">
      <c r="A3088" s="178" t="str">
        <f>IFERROR(__xludf.DUMMYFUNCTION("""COMPUTED_VALUE"""),"ITBISA-BREADBOARD-830HOLE-MB102")</f>
        <v>ITBISA-BREADBOARD-830HOLE-MB102</v>
      </c>
      <c r="B3088" s="266">
        <f>IFERROR(__xludf.DUMMYFUNCTION("""COMPUTED_VALUE"""),45877.0)</f>
        <v>45877</v>
      </c>
      <c r="C3088" s="266" t="str">
        <f>IFERROR(__xludf.DUMMYFUNCTION("""COMPUTED_VALUE"""),"KYAI KONTONG")</f>
        <v>KYAI KONTONG</v>
      </c>
      <c r="D3088" s="186">
        <f>IFERROR(__xludf.DUMMYFUNCTION("""COMPUTED_VALUE"""),1.0)</f>
        <v>1</v>
      </c>
    </row>
    <row r="3089">
      <c r="A3089" s="178" t="str">
        <f>IFERROR(__xludf.DUMMYFUNCTION("""COMPUTED_VALUE"""),"ITBISA-BREADBOARD-830HOLE-MB102")</f>
        <v>ITBISA-BREADBOARD-830HOLE-MB102</v>
      </c>
      <c r="B3089" s="266">
        <f>IFERROR(__xludf.DUMMYFUNCTION("""COMPUTED_VALUE"""),45881.0)</f>
        <v>45881</v>
      </c>
      <c r="C3089" s="266" t="str">
        <f>IFERROR(__xludf.DUMMYFUNCTION("""COMPUTED_VALUE"""),"KYAI KONTONG")</f>
        <v>KYAI KONTONG</v>
      </c>
      <c r="D3089" s="186">
        <f>IFERROR(__xludf.DUMMYFUNCTION("""COMPUTED_VALUE"""),6.0)</f>
        <v>6</v>
      </c>
    </row>
    <row r="3090">
      <c r="A3090" s="178" t="str">
        <f>IFERROR(__xludf.DUMMYFUNCTION("""COMPUTED_VALUE"""),"ITBISA-BREADBOARD-830HOLE-MB102")</f>
        <v>ITBISA-BREADBOARD-830HOLE-MB102</v>
      </c>
      <c r="B3090" s="266">
        <f>IFERROR(__xludf.DUMMYFUNCTION("""COMPUTED_VALUE"""),45900.0)</f>
        <v>45900</v>
      </c>
      <c r="C3090" s="266" t="str">
        <f>IFERROR(__xludf.DUMMYFUNCTION("""COMPUTED_VALUE"""),"KERTASARI CIAMIS")</f>
        <v>KERTASARI CIAMIS</v>
      </c>
      <c r="D3090" s="186">
        <f>IFERROR(__xludf.DUMMYFUNCTION("""COMPUTED_VALUE"""),1.0)</f>
        <v>1</v>
      </c>
    </row>
    <row r="3091">
      <c r="A3091" s="178" t="str">
        <f>IFERROR(__xludf.DUMMYFUNCTION("""COMPUTED_VALUE"""),"ITBISA-BREADBOARD-830HOLE-MB102")</f>
        <v>ITBISA-BREADBOARD-830HOLE-MB102</v>
      </c>
      <c r="B3091" s="266">
        <f>IFERROR(__xludf.DUMMYFUNCTION("""COMPUTED_VALUE"""),45936.0)</f>
        <v>45936</v>
      </c>
      <c r="C3091" s="266" t="str">
        <f>IFERROR(__xludf.DUMMYFUNCTION("""COMPUTED_VALUE"""),"KERTASARI CIAMIS")</f>
        <v>KERTASARI CIAMIS</v>
      </c>
      <c r="D3091" s="186">
        <f>IFERROR(__xludf.DUMMYFUNCTION("""COMPUTED_VALUE"""),1.0)</f>
        <v>1</v>
      </c>
    </row>
    <row r="3092">
      <c r="A3092" s="178" t="str">
        <f>IFERROR(__xludf.DUMMYFUNCTION("""COMPUTED_VALUE"""),"ITBISA-BREADBOARD-830HOLE-MB102")</f>
        <v>ITBISA-BREADBOARD-830HOLE-MB102</v>
      </c>
      <c r="B3092" s="266">
        <f>IFERROR(__xludf.DUMMYFUNCTION("""COMPUTED_VALUE"""),45939.0)</f>
        <v>45939</v>
      </c>
      <c r="C3092" s="266" t="str">
        <f>IFERROR(__xludf.DUMMYFUNCTION("""COMPUTED_VALUE"""),"KERTASARI CIAMIS")</f>
        <v>KERTASARI CIAMIS</v>
      </c>
      <c r="D3092" s="186">
        <f>IFERROR(__xludf.DUMMYFUNCTION("""COMPUTED_VALUE"""),2.0)</f>
        <v>2</v>
      </c>
    </row>
    <row r="3093">
      <c r="A3093" s="178" t="str">
        <f>IFERROR(__xludf.DUMMYFUNCTION("""COMPUTED_VALUE"""),"ITBISA-BREADBOARD-830HOLE-MB102")</f>
        <v>ITBISA-BREADBOARD-830HOLE-MB102</v>
      </c>
      <c r="B3093" s="266">
        <f>IFERROR(__xludf.DUMMYFUNCTION("""COMPUTED_VALUE"""),45940.0)</f>
        <v>45940</v>
      </c>
      <c r="C3093" s="266" t="str">
        <f>IFERROR(__xludf.DUMMYFUNCTION("""COMPUTED_VALUE"""),"KERTASARI CIAMIS")</f>
        <v>KERTASARI CIAMIS</v>
      </c>
      <c r="D3093" s="186">
        <f>IFERROR(__xludf.DUMMYFUNCTION("""COMPUTED_VALUE"""),1.0)</f>
        <v>1</v>
      </c>
    </row>
    <row r="3094">
      <c r="A3094" s="178" t="str">
        <f>IFERROR(__xludf.DUMMYFUNCTION("""COMPUTED_VALUE"""),"ITBISA-BREADBOARD-830HOLE-MB102")</f>
        <v>ITBISA-BREADBOARD-830HOLE-MB102</v>
      </c>
      <c r="B3094" s="266">
        <f>IFERROR(__xludf.DUMMYFUNCTION("""COMPUTED_VALUE"""),45948.0)</f>
        <v>45948</v>
      </c>
      <c r="C3094" s="266" t="str">
        <f>IFERROR(__xludf.DUMMYFUNCTION("""COMPUTED_VALUE"""),"KYAI KONTONG")</f>
        <v>KYAI KONTONG</v>
      </c>
      <c r="D3094" s="186">
        <f>IFERROR(__xludf.DUMMYFUNCTION("""COMPUTED_VALUE"""),1.0)</f>
        <v>1</v>
      </c>
    </row>
    <row r="3095">
      <c r="A3095" s="178" t="str">
        <f>IFERROR(__xludf.DUMMYFUNCTION("""COMPUTED_VALUE"""),"ITBISA-BREADBOARD-830HOLE-MB102")</f>
        <v>ITBISA-BREADBOARD-830HOLE-MB102</v>
      </c>
      <c r="B3095" s="266">
        <f>IFERROR(__xludf.DUMMYFUNCTION("""COMPUTED_VALUE"""),45964.0)</f>
        <v>45964</v>
      </c>
      <c r="C3095" s="266" t="str">
        <f>IFERROR(__xludf.DUMMYFUNCTION("""COMPUTED_VALUE"""),"KYAI KONTONG")</f>
        <v>KYAI KONTONG</v>
      </c>
      <c r="D3095" s="186">
        <f>IFERROR(__xludf.DUMMYFUNCTION("""COMPUTED_VALUE"""),1.0)</f>
        <v>1</v>
      </c>
    </row>
    <row r="3096">
      <c r="A3096" s="178" t="str">
        <f>IFERROR(__xludf.DUMMYFUNCTION("""COMPUTED_VALUE"""),"ITBISA-BREADBOARD-830HOLE-MB102")</f>
        <v>ITBISA-BREADBOARD-830HOLE-MB102</v>
      </c>
      <c r="B3096" s="266">
        <f>IFERROR(__xludf.DUMMYFUNCTION("""COMPUTED_VALUE"""),45968.0)</f>
        <v>45968</v>
      </c>
      <c r="C3096" s="266" t="str">
        <f>IFERROR(__xludf.DUMMYFUNCTION("""COMPUTED_VALUE"""),"KYAI KONTONG")</f>
        <v>KYAI KONTONG</v>
      </c>
      <c r="D3096" s="186">
        <f>IFERROR(__xludf.DUMMYFUNCTION("""COMPUTED_VALUE"""),1.0)</f>
        <v>1</v>
      </c>
    </row>
    <row r="3097">
      <c r="A3097" s="178" t="str">
        <f>IFERROR(__xludf.DUMMYFUNCTION("""COMPUTED_VALUE"""),"ITBISA-BREADBOARD-830HOLE-MB102")</f>
        <v>ITBISA-BREADBOARD-830HOLE-MB102</v>
      </c>
      <c r="B3097" s="266">
        <f>IFERROR(__xludf.DUMMYFUNCTION("""COMPUTED_VALUE"""),45970.0)</f>
        <v>45970</v>
      </c>
      <c r="C3097" s="266" t="str">
        <f>IFERROR(__xludf.DUMMYFUNCTION("""COMPUTED_VALUE"""),"KERTASARI CIAMIS")</f>
        <v>KERTASARI CIAMIS</v>
      </c>
      <c r="D3097" s="186">
        <f>IFERROR(__xludf.DUMMYFUNCTION("""COMPUTED_VALUE"""),1.0)</f>
        <v>1</v>
      </c>
    </row>
    <row r="3098">
      <c r="A3098" s="178" t="str">
        <f>IFERROR(__xludf.DUMMYFUNCTION("""COMPUTED_VALUE"""),"ITBISA-BREADBOARD-830HOLE-MB102")</f>
        <v>ITBISA-BREADBOARD-830HOLE-MB102</v>
      </c>
      <c r="B3098" s="266">
        <f>IFERROR(__xludf.DUMMYFUNCTION("""COMPUTED_VALUE"""),45975.0)</f>
        <v>45975</v>
      </c>
      <c r="C3098" s="266" t="str">
        <f>IFERROR(__xludf.DUMMYFUNCTION("""COMPUTED_VALUE"""),"KYAI KONTONG")</f>
        <v>KYAI KONTONG</v>
      </c>
      <c r="D3098" s="186">
        <f>IFERROR(__xludf.DUMMYFUNCTION("""COMPUTED_VALUE"""),1.0)</f>
        <v>1</v>
      </c>
    </row>
    <row r="3099">
      <c r="A3099" s="178" t="str">
        <f>IFERROR(__xludf.DUMMYFUNCTION("""COMPUTED_VALUE"""),"ITBISA-BREADBOARD-830HOLE-MB102")</f>
        <v>ITBISA-BREADBOARD-830HOLE-MB102</v>
      </c>
      <c r="B3099" s="266">
        <f>IFERROR(__xludf.DUMMYFUNCTION("""COMPUTED_VALUE"""),45978.0)</f>
        <v>45978</v>
      </c>
      <c r="C3099" s="266" t="str">
        <f>IFERROR(__xludf.DUMMYFUNCTION("""COMPUTED_VALUE"""),"KYAI KONTONG")</f>
        <v>KYAI KONTONG</v>
      </c>
      <c r="D3099" s="186">
        <f>IFERROR(__xludf.DUMMYFUNCTION("""COMPUTED_VALUE"""),1.0)</f>
        <v>1</v>
      </c>
    </row>
    <row r="3100">
      <c r="A3100" s="178" t="str">
        <f>IFERROR(__xludf.DUMMYFUNCTION("""COMPUTED_VALUE"""),"ITBISA-BREADBOARD-830HOLE-MB102")</f>
        <v>ITBISA-BREADBOARD-830HOLE-MB102</v>
      </c>
      <c r="B3100" s="266">
        <f>IFERROR(__xludf.DUMMYFUNCTION("""COMPUTED_VALUE"""),45979.0)</f>
        <v>45979</v>
      </c>
      <c r="C3100" s="266" t="str">
        <f>IFERROR(__xludf.DUMMYFUNCTION("""COMPUTED_VALUE"""),"KERTASARI CIAMIS")</f>
        <v>KERTASARI CIAMIS</v>
      </c>
      <c r="D3100" s="186">
        <f>IFERROR(__xludf.DUMMYFUNCTION("""COMPUTED_VALUE"""),2.0)</f>
        <v>2</v>
      </c>
    </row>
    <row r="3101">
      <c r="A3101" s="178" t="str">
        <f>IFERROR(__xludf.DUMMYFUNCTION("""COMPUTED_VALUE"""),"ITBISA-BREADBOARD-830HOLE-MB102")</f>
        <v>ITBISA-BREADBOARD-830HOLE-MB102</v>
      </c>
      <c r="B3101" s="266">
        <f>IFERROR(__xludf.DUMMYFUNCTION("""COMPUTED_VALUE"""),45982.0)</f>
        <v>45982</v>
      </c>
      <c r="C3101" s="266" t="str">
        <f>IFERROR(__xludf.DUMMYFUNCTION("""COMPUTED_VALUE"""),"KERTASARI CIAMIS")</f>
        <v>KERTASARI CIAMIS</v>
      </c>
      <c r="D3101" s="186">
        <f>IFERROR(__xludf.DUMMYFUNCTION("""COMPUTED_VALUE"""),2.0)</f>
        <v>2</v>
      </c>
    </row>
    <row r="3102">
      <c r="A3102" s="178" t="str">
        <f>IFERROR(__xludf.DUMMYFUNCTION("""COMPUTED_VALUE"""),"ITBISA-BREADBOARD-830HOLE-MB102")</f>
        <v>ITBISA-BREADBOARD-830HOLE-MB102</v>
      </c>
      <c r="B3102" s="266">
        <f>IFERROR(__xludf.DUMMYFUNCTION("""COMPUTED_VALUE"""),45983.0)</f>
        <v>45983</v>
      </c>
      <c r="C3102" s="266" t="str">
        <f>IFERROR(__xludf.DUMMYFUNCTION("""COMPUTED_VALUE"""),"KERTASARI CIAMIS")</f>
        <v>KERTASARI CIAMIS</v>
      </c>
      <c r="D3102" s="186">
        <f>IFERROR(__xludf.DUMMYFUNCTION("""COMPUTED_VALUE"""),1.0)</f>
        <v>1</v>
      </c>
    </row>
    <row r="3103">
      <c r="A3103" s="178" t="str">
        <f>IFERROR(__xludf.DUMMYFUNCTION("""COMPUTED_VALUE"""),"ITBISA-BREADBOARD-830HOLE-MB102")</f>
        <v>ITBISA-BREADBOARD-830HOLE-MB102</v>
      </c>
      <c r="B3103" s="266">
        <f>IFERROR(__xludf.DUMMYFUNCTION("""COMPUTED_VALUE"""),45986.0)</f>
        <v>45986</v>
      </c>
      <c r="C3103" s="266" t="str">
        <f>IFERROR(__xludf.DUMMYFUNCTION("""COMPUTED_VALUE"""),"KERTASARI CIAMIS")</f>
        <v>KERTASARI CIAMIS</v>
      </c>
      <c r="D3103" s="186">
        <f>IFERROR(__xludf.DUMMYFUNCTION("""COMPUTED_VALUE"""),1.0)</f>
        <v>1</v>
      </c>
    </row>
    <row r="3104">
      <c r="A3104" s="178" t="str">
        <f>IFERROR(__xludf.DUMMYFUNCTION("""COMPUTED_VALUE"""),"ITBISA-BREADBOARD-830HOLE-MB102")</f>
        <v>ITBISA-BREADBOARD-830HOLE-MB102</v>
      </c>
      <c r="B3104" s="266">
        <f>IFERROR(__xludf.DUMMYFUNCTION("""COMPUTED_VALUE"""),45988.0)</f>
        <v>45988</v>
      </c>
      <c r="C3104" s="266" t="str">
        <f>IFERROR(__xludf.DUMMYFUNCTION("""COMPUTED_VALUE"""),"KERTASARI CIAMIS")</f>
        <v>KERTASARI CIAMIS</v>
      </c>
      <c r="D3104" s="186">
        <f>IFERROR(__xludf.DUMMYFUNCTION("""COMPUTED_VALUE"""),1.0)</f>
        <v>1</v>
      </c>
    </row>
    <row r="3105">
      <c r="A3105" s="178" t="str">
        <f>IFERROR(__xludf.DUMMYFUNCTION("""COMPUTED_VALUE"""),"ITBISA-BREADBOARD-830HOLE-MB102")</f>
        <v>ITBISA-BREADBOARD-830HOLE-MB102</v>
      </c>
      <c r="B3105" s="266">
        <f>IFERROR(__xludf.DUMMYFUNCTION("""COMPUTED_VALUE"""),45994.0)</f>
        <v>45994</v>
      </c>
      <c r="C3105" s="266" t="str">
        <f>IFERROR(__xludf.DUMMYFUNCTION("""COMPUTED_VALUE"""),"KERTASARI CIAMIS")</f>
        <v>KERTASARI CIAMIS</v>
      </c>
      <c r="D3105" s="186">
        <f>IFERROR(__xludf.DUMMYFUNCTION("""COMPUTED_VALUE"""),1.0)</f>
        <v>1</v>
      </c>
    </row>
    <row r="3106">
      <c r="A3106" s="178" t="str">
        <f>IFERROR(__xludf.DUMMYFUNCTION("""COMPUTED_VALUE"""),"ITBISA-BREADBOARD-830HOLE-MB102")</f>
        <v>ITBISA-BREADBOARD-830HOLE-MB102</v>
      </c>
      <c r="B3106" s="266">
        <f>IFERROR(__xludf.DUMMYFUNCTION("""COMPUTED_VALUE"""),45994.0)</f>
        <v>45994</v>
      </c>
      <c r="C3106" s="266" t="str">
        <f>IFERROR(__xludf.DUMMYFUNCTION("""COMPUTED_VALUE"""),"KYAI KONTONG")</f>
        <v>KYAI KONTONG</v>
      </c>
      <c r="D3106" s="186">
        <f>IFERROR(__xludf.DUMMYFUNCTION("""COMPUTED_VALUE"""),6.0)</f>
        <v>6</v>
      </c>
    </row>
    <row r="3107">
      <c r="A3107" s="178" t="str">
        <f>IFERROR(__xludf.DUMMYFUNCTION("""COMPUTED_VALUE"""),"ITBISA-BREADBOARD-830HOLE-MB102")</f>
        <v>ITBISA-BREADBOARD-830HOLE-MB102</v>
      </c>
      <c r="B3107" s="266">
        <f>IFERROR(__xludf.DUMMYFUNCTION("""COMPUTED_VALUE"""),45995.0)</f>
        <v>45995</v>
      </c>
      <c r="C3107" s="266" t="str">
        <f>IFERROR(__xludf.DUMMYFUNCTION("""COMPUTED_VALUE"""),"KERTASARI CIAMIS")</f>
        <v>KERTASARI CIAMIS</v>
      </c>
      <c r="D3107" s="186">
        <f>IFERROR(__xludf.DUMMYFUNCTION("""COMPUTED_VALUE"""),1.0)</f>
        <v>1</v>
      </c>
    </row>
    <row r="3108">
      <c r="A3108" s="178" t="str">
        <f>IFERROR(__xludf.DUMMYFUNCTION("""COMPUTED_VALUE"""),"ITBISA-BREADBOARD-830HOLE-MB102")</f>
        <v>ITBISA-BREADBOARD-830HOLE-MB102</v>
      </c>
      <c r="B3108" s="266">
        <f>IFERROR(__xludf.DUMMYFUNCTION("""COMPUTED_VALUE"""),45995.0)</f>
        <v>45995</v>
      </c>
      <c r="C3108" s="266" t="str">
        <f>IFERROR(__xludf.DUMMYFUNCTION("""COMPUTED_VALUE"""),"KYAI KONTONG")</f>
        <v>KYAI KONTONG</v>
      </c>
      <c r="D3108" s="186">
        <f>IFERROR(__xludf.DUMMYFUNCTION("""COMPUTED_VALUE"""),10.0)</f>
        <v>10</v>
      </c>
    </row>
    <row r="3109">
      <c r="A3109" s="178" t="str">
        <f>IFERROR(__xludf.DUMMYFUNCTION("""COMPUTED_VALUE"""),"ITBISA-BREADBOARD-830HOLE-MB102")</f>
        <v>ITBISA-BREADBOARD-830HOLE-MB102</v>
      </c>
      <c r="B3109" s="266">
        <f>IFERROR(__xludf.DUMMYFUNCTION("""COMPUTED_VALUE"""),45996.0)</f>
        <v>45996</v>
      </c>
      <c r="C3109" s="266" t="str">
        <f>IFERROR(__xludf.DUMMYFUNCTION("""COMPUTED_VALUE"""),"KYAI KONTONG")</f>
        <v>KYAI KONTONG</v>
      </c>
      <c r="D3109" s="186">
        <f>IFERROR(__xludf.DUMMYFUNCTION("""COMPUTED_VALUE"""),1.0)</f>
        <v>1</v>
      </c>
    </row>
    <row r="3110">
      <c r="A3110" s="178" t="str">
        <f>IFERROR(__xludf.DUMMYFUNCTION("""COMPUTED_VALUE"""),"ITBISA-BREADBOARD-830HOLE-MB102")</f>
        <v>ITBISA-BREADBOARD-830HOLE-MB102</v>
      </c>
      <c r="B3110" s="266">
        <f>IFERROR(__xludf.DUMMYFUNCTION("""COMPUTED_VALUE"""),46010.0)</f>
        <v>46010</v>
      </c>
      <c r="C3110" s="266" t="str">
        <f>IFERROR(__xludf.DUMMYFUNCTION("""COMPUTED_VALUE"""),"KYAI KONTONG")</f>
        <v>KYAI KONTONG</v>
      </c>
      <c r="D3110" s="186">
        <f>IFERROR(__xludf.DUMMYFUNCTION("""COMPUTED_VALUE"""),1.0)</f>
        <v>1</v>
      </c>
    </row>
    <row r="3111">
      <c r="A3111" s="178" t="str">
        <f>IFERROR(__xludf.DUMMYFUNCTION("""COMPUTED_VALUE"""),"ITBISA-BREADBOARD-830HOLE-MB102")</f>
        <v>ITBISA-BREADBOARD-830HOLE-MB102</v>
      </c>
      <c r="B3111" s="266">
        <f>IFERROR(__xludf.DUMMYFUNCTION("""COMPUTED_VALUE"""),46014.0)</f>
        <v>46014</v>
      </c>
      <c r="C3111" s="266" t="str">
        <f>IFERROR(__xludf.DUMMYFUNCTION("""COMPUTED_VALUE"""),"KYAI KONTONG")</f>
        <v>KYAI KONTONG</v>
      </c>
      <c r="D3111" s="186">
        <f>IFERROR(__xludf.DUMMYFUNCTION("""COMPUTED_VALUE"""),10.0)</f>
        <v>10</v>
      </c>
    </row>
    <row r="3112">
      <c r="A3112" s="178" t="str">
        <f>IFERROR(__xludf.DUMMYFUNCTION("""COMPUTED_VALUE"""),"ITBISA-BREADBOARD-830HOLE-MB102")</f>
        <v>ITBISA-BREADBOARD-830HOLE-MB102</v>
      </c>
      <c r="B3112" s="266">
        <f>IFERROR(__xludf.DUMMYFUNCTION("""COMPUTED_VALUE"""),46015.0)</f>
        <v>46015</v>
      </c>
      <c r="C3112" s="266" t="str">
        <f>IFERROR(__xludf.DUMMYFUNCTION("""COMPUTED_VALUE"""),"KERTASARI CIAMIS")</f>
        <v>KERTASARI CIAMIS</v>
      </c>
      <c r="D3112" s="186">
        <f>IFERROR(__xludf.DUMMYFUNCTION("""COMPUTED_VALUE"""),1.0)</f>
        <v>1</v>
      </c>
    </row>
    <row r="3113">
      <c r="A3113" s="178" t="str">
        <f>IFERROR(__xludf.DUMMYFUNCTION("""COMPUTED_VALUE"""),"ITBISA-BUBBLE-WRAP")</f>
        <v>ITBISA-BUBBLE-WRAP</v>
      </c>
      <c r="B3113" s="266">
        <f>IFERROR(__xludf.DUMMYFUNCTION("""COMPUTED_VALUE"""),45912.0)</f>
        <v>45912</v>
      </c>
      <c r="C3113" s="266" t="str">
        <f>IFERROR(__xludf.DUMMYFUNCTION("""COMPUTED_VALUE"""),"KYAI KONTONG")</f>
        <v>KYAI KONTONG</v>
      </c>
      <c r="D3113" s="186">
        <f>IFERROR(__xludf.DUMMYFUNCTION("""COMPUTED_VALUE"""),1.0)</f>
        <v>1</v>
      </c>
    </row>
    <row r="3114">
      <c r="A3114" s="178" t="str">
        <f>IFERROR(__xludf.DUMMYFUNCTION("""COMPUTED_VALUE"""),"ITBISA-BUBBLE-WRAP")</f>
        <v>ITBISA-BUBBLE-WRAP</v>
      </c>
      <c r="B3114" s="266">
        <f>IFERROR(__xludf.DUMMYFUNCTION("""COMPUTED_VALUE"""),45932.0)</f>
        <v>45932</v>
      </c>
      <c r="C3114" s="266" t="str">
        <f>IFERROR(__xludf.DUMMYFUNCTION("""COMPUTED_VALUE"""),"KERTASARI CIAMIS")</f>
        <v>KERTASARI CIAMIS</v>
      </c>
      <c r="D3114" s="186">
        <f>IFERROR(__xludf.DUMMYFUNCTION("""COMPUTED_VALUE"""),1.0)</f>
        <v>1</v>
      </c>
    </row>
    <row r="3115">
      <c r="A3115" s="178" t="str">
        <f>IFERROR(__xludf.DUMMYFUNCTION("""COMPUTED_VALUE"""),"ITBISA-BUBBLE-WRAP")</f>
        <v>ITBISA-BUBBLE-WRAP</v>
      </c>
      <c r="B3115" s="266">
        <f>IFERROR(__xludf.DUMMYFUNCTION("""COMPUTED_VALUE"""),45936.0)</f>
        <v>45936</v>
      </c>
      <c r="C3115" s="266" t="str">
        <f>IFERROR(__xludf.DUMMYFUNCTION("""COMPUTED_VALUE"""),"KERTASARI CIAMIS")</f>
        <v>KERTASARI CIAMIS</v>
      </c>
      <c r="D3115" s="186">
        <f>IFERROR(__xludf.DUMMYFUNCTION("""COMPUTED_VALUE"""),1.0)</f>
        <v>1</v>
      </c>
    </row>
    <row r="3116">
      <c r="A3116" s="178" t="str">
        <f>IFERROR(__xludf.DUMMYFUNCTION("""COMPUTED_VALUE"""),"ITBISA-BUBBLE-WRAP")</f>
        <v>ITBISA-BUBBLE-WRAP</v>
      </c>
      <c r="B3116" s="266">
        <f>IFERROR(__xludf.DUMMYFUNCTION("""COMPUTED_VALUE"""),45957.0)</f>
        <v>45957</v>
      </c>
      <c r="C3116" s="266" t="str">
        <f>IFERROR(__xludf.DUMMYFUNCTION("""COMPUTED_VALUE"""),"KYAI KONTONG")</f>
        <v>KYAI KONTONG</v>
      </c>
      <c r="D3116" s="186">
        <f>IFERROR(__xludf.DUMMYFUNCTION("""COMPUTED_VALUE"""),1.0)</f>
        <v>1</v>
      </c>
    </row>
    <row r="3117">
      <c r="A3117" s="178" t="str">
        <f>IFERROR(__xludf.DUMMYFUNCTION("""COMPUTED_VALUE"""),"ITBISA-BUBBLE-WRAP")</f>
        <v>ITBISA-BUBBLE-WRAP</v>
      </c>
      <c r="B3117" s="266">
        <f>IFERROR(__xludf.DUMMYFUNCTION("""COMPUTED_VALUE"""),45977.0)</f>
        <v>45977</v>
      </c>
      <c r="C3117" s="266" t="str">
        <f>IFERROR(__xludf.DUMMYFUNCTION("""COMPUTED_VALUE"""),"KERTASARI CIAMIS")</f>
        <v>KERTASARI CIAMIS</v>
      </c>
      <c r="D3117" s="186">
        <f>IFERROR(__xludf.DUMMYFUNCTION("""COMPUTED_VALUE"""),1.0)</f>
        <v>1</v>
      </c>
    </row>
    <row r="3118">
      <c r="A3118" s="178" t="str">
        <f>IFERROR(__xludf.DUMMYFUNCTION("""COMPUTED_VALUE"""),"ITBISA-BUBBLE-WRAP")</f>
        <v>ITBISA-BUBBLE-WRAP</v>
      </c>
      <c r="B3118" s="266">
        <f>IFERROR(__xludf.DUMMYFUNCTION("""COMPUTED_VALUE"""),45979.0)</f>
        <v>45979</v>
      </c>
      <c r="C3118" s="266" t="str">
        <f>IFERROR(__xludf.DUMMYFUNCTION("""COMPUTED_VALUE"""),"KERTASARI CIAMIS")</f>
        <v>KERTASARI CIAMIS</v>
      </c>
      <c r="D3118" s="186">
        <f>IFERROR(__xludf.DUMMYFUNCTION("""COMPUTED_VALUE"""),1.0)</f>
        <v>1</v>
      </c>
    </row>
    <row r="3119">
      <c r="A3119" s="178" t="str">
        <f>IFERROR(__xludf.DUMMYFUNCTION("""COMPUTED_VALUE"""),"ITBISA-BUBBLE-WRAP")</f>
        <v>ITBISA-BUBBLE-WRAP</v>
      </c>
      <c r="B3119" s="266">
        <f>IFERROR(__xludf.DUMMYFUNCTION("""COMPUTED_VALUE"""),45979.0)</f>
        <v>45979</v>
      </c>
      <c r="C3119" s="266" t="str">
        <f>IFERROR(__xludf.DUMMYFUNCTION("""COMPUTED_VALUE"""),"KERTASARI CIAMIS")</f>
        <v>KERTASARI CIAMIS</v>
      </c>
      <c r="D3119" s="186">
        <f>IFERROR(__xludf.DUMMYFUNCTION("""COMPUTED_VALUE"""),1.0)</f>
        <v>1</v>
      </c>
    </row>
    <row r="3120">
      <c r="A3120" s="178" t="str">
        <f>IFERROR(__xludf.DUMMYFUNCTION("""COMPUTED_VALUE"""),"ITBISA-BUBBLE-WRAP")</f>
        <v>ITBISA-BUBBLE-WRAP</v>
      </c>
      <c r="B3120" s="266">
        <f>IFERROR(__xludf.DUMMYFUNCTION("""COMPUTED_VALUE"""),45979.0)</f>
        <v>45979</v>
      </c>
      <c r="C3120" s="266" t="str">
        <f>IFERROR(__xludf.DUMMYFUNCTION("""COMPUTED_VALUE"""),"KERTASARI CIAMIS")</f>
        <v>KERTASARI CIAMIS</v>
      </c>
      <c r="D3120" s="186">
        <f>IFERROR(__xludf.DUMMYFUNCTION("""COMPUTED_VALUE"""),1.0)</f>
        <v>1</v>
      </c>
    </row>
    <row r="3121">
      <c r="A3121" s="178" t="str">
        <f>IFERROR(__xludf.DUMMYFUNCTION("""COMPUTED_VALUE"""),"ITBISA-BUBBLE-WRAP")</f>
        <v>ITBISA-BUBBLE-WRAP</v>
      </c>
      <c r="B3121" s="266">
        <f>IFERROR(__xludf.DUMMYFUNCTION("""COMPUTED_VALUE"""),45979.0)</f>
        <v>45979</v>
      </c>
      <c r="C3121" s="266" t="str">
        <f>IFERROR(__xludf.DUMMYFUNCTION("""COMPUTED_VALUE"""),"KERTASARI CIAMIS")</f>
        <v>KERTASARI CIAMIS</v>
      </c>
      <c r="D3121" s="186">
        <f>IFERROR(__xludf.DUMMYFUNCTION("""COMPUTED_VALUE"""),3.0)</f>
        <v>3</v>
      </c>
    </row>
    <row r="3122">
      <c r="A3122" s="178" t="str">
        <f>IFERROR(__xludf.DUMMYFUNCTION("""COMPUTED_VALUE"""),"ITBISA-BUBBLE-WRAP")</f>
        <v>ITBISA-BUBBLE-WRAP</v>
      </c>
      <c r="B3122" s="266">
        <f>IFERROR(__xludf.DUMMYFUNCTION("""COMPUTED_VALUE"""),46000.0)</f>
        <v>46000</v>
      </c>
      <c r="C3122" s="266" t="str">
        <f>IFERROR(__xludf.DUMMYFUNCTION("""COMPUTED_VALUE"""),"KERTASARI CIAMIS")</f>
        <v>KERTASARI CIAMIS</v>
      </c>
      <c r="D3122" s="186">
        <f>IFERROR(__xludf.DUMMYFUNCTION("""COMPUTED_VALUE"""),1.0)</f>
        <v>1</v>
      </c>
    </row>
    <row r="3123">
      <c r="A3123" s="178" t="str">
        <f>IFERROR(__xludf.DUMMYFUNCTION("""COMPUTED_VALUE"""),"ITBISA-BUBBLE-WRAP")</f>
        <v>ITBISA-BUBBLE-WRAP</v>
      </c>
      <c r="B3123" s="266">
        <f>IFERROR(__xludf.DUMMYFUNCTION("""COMPUTED_VALUE"""),46000.0)</f>
        <v>46000</v>
      </c>
      <c r="C3123" s="266" t="str">
        <f>IFERROR(__xludf.DUMMYFUNCTION("""COMPUTED_VALUE"""),"KERTASARI CIAMIS")</f>
        <v>KERTASARI CIAMIS</v>
      </c>
      <c r="D3123" s="186">
        <f>IFERROR(__xludf.DUMMYFUNCTION("""COMPUTED_VALUE"""),1.0)</f>
        <v>1</v>
      </c>
    </row>
    <row r="3124">
      <c r="A3124" s="178" t="str">
        <f>IFERROR(__xludf.DUMMYFUNCTION("""COMPUTED_VALUE"""),"ITBISA-BUKAEMAS")</f>
        <v>ITBISA-BUKAEMAS</v>
      </c>
      <c r="B3124" s="266">
        <f>IFERROR(__xludf.DUMMYFUNCTION("""COMPUTED_VALUE"""),43326.0)</f>
        <v>43326</v>
      </c>
      <c r="C3124" s="266" t="str">
        <f>IFERROR(__xludf.DUMMYFUNCTION("""COMPUTED_VALUE"""),"BUKAEMAS FURQONAJIY")</f>
        <v>BUKAEMAS FURQONAJIY</v>
      </c>
      <c r="D3124" s="186">
        <f>IFERROR(__xludf.DUMMYFUNCTION("""COMPUTED_VALUE"""),0.2948)</f>
        <v>0.2948</v>
      </c>
    </row>
    <row r="3125">
      <c r="A3125" s="178" t="str">
        <f>IFERROR(__xludf.DUMMYFUNCTION("""COMPUTED_VALUE"""),"ITBISA-BUKAEMAS")</f>
        <v>ITBISA-BUKAEMAS</v>
      </c>
      <c r="B3125" s="266">
        <f>IFERROR(__xludf.DUMMYFUNCTION("""COMPUTED_VALUE"""),43326.0)</f>
        <v>43326</v>
      </c>
      <c r="C3125" s="266" t="str">
        <f>IFERROR(__xludf.DUMMYFUNCTION("""COMPUTED_VALUE"""),"BUKAEMAS FURQONAJIY")</f>
        <v>BUKAEMAS FURQONAJIY</v>
      </c>
      <c r="D3125" s="186">
        <f>IFERROR(__xludf.DUMMYFUNCTION("""COMPUTED_VALUE"""),0.817099999999999)</f>
        <v>0.8171</v>
      </c>
    </row>
    <row r="3126">
      <c r="A3126" s="178" t="str">
        <f>IFERROR(__xludf.DUMMYFUNCTION("""COMPUTED_VALUE"""),"ITBISA-BUKAEMAS")</f>
        <v>ITBISA-BUKAEMAS</v>
      </c>
      <c r="B3126" s="266">
        <f>IFERROR(__xludf.DUMMYFUNCTION("""COMPUTED_VALUE"""),43326.0)</f>
        <v>43326</v>
      </c>
      <c r="C3126" s="266" t="str">
        <f>IFERROR(__xludf.DUMMYFUNCTION("""COMPUTED_VALUE"""),"BUKAEMAS FURQONAJIY")</f>
        <v>BUKAEMAS FURQONAJIY</v>
      </c>
      <c r="D3126" s="186">
        <f>IFERROR(__xludf.DUMMYFUNCTION("""COMPUTED_VALUE"""),1.999)</f>
        <v>1.999</v>
      </c>
    </row>
    <row r="3127">
      <c r="A3127" s="178" t="str">
        <f>IFERROR(__xludf.DUMMYFUNCTION("""COMPUTED_VALUE"""),"ITBISA-BUKAEMAS")</f>
        <v>ITBISA-BUKAEMAS</v>
      </c>
      <c r="B3127" s="266">
        <f>IFERROR(__xludf.DUMMYFUNCTION("""COMPUTED_VALUE"""),43326.0)</f>
        <v>43326</v>
      </c>
      <c r="C3127" s="266" t="str">
        <f>IFERROR(__xludf.DUMMYFUNCTION("""COMPUTED_VALUE"""),"BUKAEMAS FURQONAJIY")</f>
        <v>BUKAEMAS FURQONAJIY</v>
      </c>
      <c r="D3127" s="186">
        <f>IFERROR(__xludf.DUMMYFUNCTION("""COMPUTED_VALUE"""),2.232)</f>
        <v>2.232</v>
      </c>
    </row>
    <row r="3128">
      <c r="A3128" s="178" t="str">
        <f>IFERROR(__xludf.DUMMYFUNCTION("""COMPUTED_VALUE"""),"ITBISA-BUKAEMAS")</f>
        <v>ITBISA-BUKAEMAS</v>
      </c>
      <c r="B3128" s="266">
        <f>IFERROR(__xludf.DUMMYFUNCTION("""COMPUTED_VALUE"""),43326.0)</f>
        <v>43326</v>
      </c>
      <c r="C3128" s="266" t="str">
        <f>IFERROR(__xludf.DUMMYFUNCTION("""COMPUTED_VALUE"""),"BUKAEMAS ITBISA")</f>
        <v>BUKAEMAS ITBISA</v>
      </c>
      <c r="D3128" s="186">
        <f>IFERROR(__xludf.DUMMYFUNCTION("""COMPUTED_VALUE"""),0.996)</f>
        <v>0.996</v>
      </c>
    </row>
    <row r="3129">
      <c r="A3129" s="178" t="str">
        <f>IFERROR(__xludf.DUMMYFUNCTION("""COMPUTED_VALUE"""),"ITBISA-BUKAREKSA-BAHANA-MES-SYARIAH")</f>
        <v>ITBISA-BUKAREKSA-BAHANA-MES-SYARIAH</v>
      </c>
      <c r="B3129" s="266">
        <f>IFERROR(__xludf.DUMMYFUNCTION("""COMPUTED_VALUE"""),43326.0)</f>
        <v>43326</v>
      </c>
      <c r="C3129" s="266" t="str">
        <f>IFERROR(__xludf.DUMMYFUNCTION("""COMPUTED_VALUE"""),"BUKAREKSA FURQONAJIY")</f>
        <v>BUKAREKSA FURQONAJIY</v>
      </c>
      <c r="D3129" s="186">
        <f>IFERROR(__xludf.DUMMYFUNCTION("""COMPUTED_VALUE"""),807.6022)</f>
        <v>807.6022</v>
      </c>
    </row>
    <row r="3130">
      <c r="A3130" s="178" t="str">
        <f>IFERROR(__xludf.DUMMYFUNCTION("""COMPUTED_VALUE"""),"ITBISA-BUKAREKSA-CIMB-PRINCIPAL-PASAR-UANG")</f>
        <v>ITBISA-BUKAREKSA-CIMB-PRINCIPAL-PASAR-UANG</v>
      </c>
      <c r="B3130" s="266">
        <f>IFERROR(__xludf.DUMMYFUNCTION("""COMPUTED_VALUE"""),43326.0)</f>
        <v>43326</v>
      </c>
      <c r="C3130" s="266" t="str">
        <f>IFERROR(__xludf.DUMMYFUNCTION("""COMPUTED_VALUE"""),"BUKAREKSA FURQONAJIY")</f>
        <v>BUKAREKSA FURQONAJIY</v>
      </c>
      <c r="D3130" s="186">
        <f>IFERROR(__xludf.DUMMYFUNCTION("""COMPUTED_VALUE"""),225.1461)</f>
        <v>225.1461</v>
      </c>
    </row>
    <row r="3131">
      <c r="A3131" s="178" t="str">
        <f>IFERROR(__xludf.DUMMYFUNCTION("""COMPUTED_VALUE"""),"ITBISA-BUKAREKSA-CIMB-PRINCIPAL-PASAR-UANG")</f>
        <v>ITBISA-BUKAREKSA-CIMB-PRINCIPAL-PASAR-UANG</v>
      </c>
      <c r="B3131" s="266">
        <f>IFERROR(__xludf.DUMMYFUNCTION("""COMPUTED_VALUE"""),43326.0)</f>
        <v>43326</v>
      </c>
      <c r="C3131" s="266" t="str">
        <f>IFERROR(__xludf.DUMMYFUNCTION("""COMPUTED_VALUE"""),"BUKAREKSA FURQONAJIY")</f>
        <v>BUKAREKSA FURQONAJIY</v>
      </c>
      <c r="D3131" s="186">
        <f>IFERROR(__xludf.DUMMYFUNCTION("""COMPUTED_VALUE"""),628.7587000000001)</f>
        <v>628.7587</v>
      </c>
    </row>
    <row r="3132">
      <c r="A3132" s="178" t="str">
        <f>IFERROR(__xludf.DUMMYFUNCTION("""COMPUTED_VALUE"""),"ITBISA-BUKAREKSA-MANDIRI-INVESTA-PASAR-UANG")</f>
        <v>ITBISA-BUKAREKSA-MANDIRI-INVESTA-PASAR-UANG</v>
      </c>
      <c r="B3132" s="266">
        <f>IFERROR(__xludf.DUMMYFUNCTION("""COMPUTED_VALUE"""),43326.0)</f>
        <v>43326</v>
      </c>
      <c r="C3132" s="266" t="str">
        <f>IFERROR(__xludf.DUMMYFUNCTION("""COMPUTED_VALUE"""),"BUKAREKSA FURQONAJIY")</f>
        <v>BUKAREKSA FURQONAJIY</v>
      </c>
      <c r="D3132" s="186">
        <f>IFERROR(__xludf.DUMMYFUNCTION("""COMPUTED_VALUE"""),140.7063)</f>
        <v>140.7063</v>
      </c>
    </row>
    <row r="3133">
      <c r="A3133" s="178" t="str">
        <f>IFERROR(__xludf.DUMMYFUNCTION("""COMPUTED_VALUE"""),"ITBISA-BUKAREKSA-SUCORINVEST-SHARIA-EQUITY-FUND")</f>
        <v>ITBISA-BUKAREKSA-SUCORINVEST-SHARIA-EQUITY-FUND</v>
      </c>
      <c r="B3133" s="266">
        <f>IFERROR(__xludf.DUMMYFUNCTION("""COMPUTED_VALUE"""),43326.0)</f>
        <v>43326</v>
      </c>
      <c r="C3133" s="266" t="str">
        <f>IFERROR(__xludf.DUMMYFUNCTION("""COMPUTED_VALUE"""),"BUKAREKSA FURQONAJIY")</f>
        <v>BUKAREKSA FURQONAJIY</v>
      </c>
      <c r="D3133" s="186">
        <f>IFERROR(__xludf.DUMMYFUNCTION("""COMPUTED_VALUE"""),671.75)</f>
        <v>671.75</v>
      </c>
    </row>
    <row r="3134">
      <c r="A3134" s="178" t="str">
        <f>IFERROR(__xludf.DUMMYFUNCTION("""COMPUTED_VALUE"""),"ITBISA-BUKAREKSA-SYARIAH-MANDIRI-PASAR-UANG")</f>
        <v>ITBISA-BUKAREKSA-SYARIAH-MANDIRI-PASAR-UANG</v>
      </c>
      <c r="B3134" s="266">
        <f>IFERROR(__xludf.DUMMYFUNCTION("""COMPUTED_VALUE"""),43326.0)</f>
        <v>43326</v>
      </c>
      <c r="C3134" s="266" t="str">
        <f>IFERROR(__xludf.DUMMYFUNCTION("""COMPUTED_VALUE"""),"BUKAREKSA FURQONAJIY")</f>
        <v>BUKAREKSA FURQONAJIY</v>
      </c>
      <c r="D3134" s="186">
        <f>IFERROR(__xludf.DUMMYFUNCTION("""COMPUTED_VALUE"""),225.6633)</f>
        <v>225.6633</v>
      </c>
    </row>
    <row r="3135">
      <c r="A3135" s="178" t="str">
        <f>IFERROR(__xludf.DUMMYFUNCTION("""COMPUTED_VALUE"""),"ITBISA-BUKAREKSA-SYARIAH-MANDIRI-PASAR-UANG")</f>
        <v>ITBISA-BUKAREKSA-SYARIAH-MANDIRI-PASAR-UANG</v>
      </c>
      <c r="B3135" s="266">
        <f>IFERROR(__xludf.DUMMYFUNCTION("""COMPUTED_VALUE"""),43326.0)</f>
        <v>43326</v>
      </c>
      <c r="C3135" s="266" t="str">
        <f>IFERROR(__xludf.DUMMYFUNCTION("""COMPUTED_VALUE"""),"BUKAREKSA FURQONAJIY")</f>
        <v>BUKAREKSA FURQONAJIY</v>
      </c>
      <c r="D3135" s="186">
        <f>IFERROR(__xludf.DUMMYFUNCTION("""COMPUTED_VALUE"""),286.4902)</f>
        <v>286.4902</v>
      </c>
    </row>
    <row r="3136">
      <c r="A3136" s="178" t="str">
        <f>IFERROR(__xludf.DUMMYFUNCTION("""COMPUTED_VALUE"""),"ITBISA-BUKAREKSA-SYARIAH-MANDIRI-PASAR-UANG")</f>
        <v>ITBISA-BUKAREKSA-SYARIAH-MANDIRI-PASAR-UANG</v>
      </c>
      <c r="B3136" s="266">
        <f>IFERROR(__xludf.DUMMYFUNCTION("""COMPUTED_VALUE"""),43326.0)</f>
        <v>43326</v>
      </c>
      <c r="C3136" s="266" t="str">
        <f>IFERROR(__xludf.DUMMYFUNCTION("""COMPUTED_VALUE"""),"BUKAREKSA FURQONAJIY")</f>
        <v>BUKAREKSA FURQONAJIY</v>
      </c>
      <c r="D3136" s="186">
        <f>IFERROR(__xludf.DUMMYFUNCTION("""COMPUTED_VALUE"""),1175.4778)</f>
        <v>1175.4778</v>
      </c>
    </row>
    <row r="3137">
      <c r="A3137" s="178" t="str">
        <f>IFERROR(__xludf.DUMMYFUNCTION("""COMPUTED_VALUE"""),"ITBISA-BUKAREKSA-SYARIAH-MANDIRI-PASAR-UANG")</f>
        <v>ITBISA-BUKAREKSA-SYARIAH-MANDIRI-PASAR-UANG</v>
      </c>
      <c r="B3137" s="266">
        <f>IFERROR(__xludf.DUMMYFUNCTION("""COMPUTED_VALUE"""),43326.0)</f>
        <v>43326</v>
      </c>
      <c r="C3137" s="266" t="str">
        <f>IFERROR(__xludf.DUMMYFUNCTION("""COMPUTED_VALUE"""),"BUKAREKSA FURQONAJIY")</f>
        <v>BUKAREKSA FURQONAJIY</v>
      </c>
      <c r="D3137" s="186">
        <f>IFERROR(__xludf.DUMMYFUNCTION("""COMPUTED_VALUE"""),1856.3542)</f>
        <v>1856.3542</v>
      </c>
    </row>
    <row r="3138">
      <c r="A3138" s="178" t="str">
        <f>IFERROR(__xludf.DUMMYFUNCTION("""COMPUTED_VALUE"""),"ITBISA-BUZZER-ACTIVE-5V")</f>
        <v>ITBISA-BUZZER-ACTIVE-5V</v>
      </c>
      <c r="B3138" s="266">
        <f>IFERROR(__xludf.DUMMYFUNCTION("""COMPUTED_VALUE"""),45369.0)</f>
        <v>45369</v>
      </c>
      <c r="C3138" s="266" t="str">
        <f>IFERROR(__xludf.DUMMYFUNCTION("""COMPUTED_VALUE"""),"KYAI KONTONG")</f>
        <v>KYAI KONTONG</v>
      </c>
      <c r="D3138" s="186">
        <f>IFERROR(__xludf.DUMMYFUNCTION("""COMPUTED_VALUE"""),10.0)</f>
        <v>10</v>
      </c>
    </row>
    <row r="3139">
      <c r="A3139" s="178" t="str">
        <f>IFERROR(__xludf.DUMMYFUNCTION("""COMPUTED_VALUE"""),"ITBISA-BUZZER-ACTIVE-5V")</f>
        <v>ITBISA-BUZZER-ACTIVE-5V</v>
      </c>
      <c r="B3139" s="266">
        <f>IFERROR(__xludf.DUMMYFUNCTION("""COMPUTED_VALUE"""),45371.0)</f>
        <v>45371</v>
      </c>
      <c r="C3139" s="266" t="str">
        <f>IFERROR(__xludf.DUMMYFUNCTION("""COMPUTED_VALUE"""),"KERTASARI CIAMIS")</f>
        <v>KERTASARI CIAMIS</v>
      </c>
      <c r="D3139" s="186">
        <f>IFERROR(__xludf.DUMMYFUNCTION("""COMPUTED_VALUE"""),20.0)</f>
        <v>20</v>
      </c>
    </row>
    <row r="3140">
      <c r="A3140" s="178" t="str">
        <f>IFERROR(__xludf.DUMMYFUNCTION("""COMPUTED_VALUE"""),"ITBISA-BUZZER-ACTIVE-5V")</f>
        <v>ITBISA-BUZZER-ACTIVE-5V</v>
      </c>
      <c r="B3140" s="266">
        <f>IFERROR(__xludf.DUMMYFUNCTION("""COMPUTED_VALUE"""),45373.0)</f>
        <v>45373</v>
      </c>
      <c r="C3140" s="266" t="str">
        <f>IFERROR(__xludf.DUMMYFUNCTION("""COMPUTED_VALUE"""),"KERTASARI CIAMIS")</f>
        <v>KERTASARI CIAMIS</v>
      </c>
      <c r="D3140" s="186">
        <f>IFERROR(__xludf.DUMMYFUNCTION("""COMPUTED_VALUE"""),50.0)</f>
        <v>50</v>
      </c>
    </row>
    <row r="3141">
      <c r="A3141" s="178" t="str">
        <f>IFERROR(__xludf.DUMMYFUNCTION("""COMPUTED_VALUE"""),"ITBISA-BUZZER-ACTIVE-5V")</f>
        <v>ITBISA-BUZZER-ACTIVE-5V</v>
      </c>
      <c r="B3141" s="266">
        <f>IFERROR(__xludf.DUMMYFUNCTION("""COMPUTED_VALUE"""),45378.0)</f>
        <v>45378</v>
      </c>
      <c r="C3141" s="266" t="str">
        <f>IFERROR(__xludf.DUMMYFUNCTION("""COMPUTED_VALUE"""),"KYAI KONTONG")</f>
        <v>KYAI KONTONG</v>
      </c>
      <c r="D3141" s="186">
        <f>IFERROR(__xludf.DUMMYFUNCTION("""COMPUTED_VALUE"""),50.0)</f>
        <v>50</v>
      </c>
    </row>
    <row r="3142">
      <c r="A3142" s="178" t="str">
        <f>IFERROR(__xludf.DUMMYFUNCTION("""COMPUTED_VALUE"""),"ITBISA-BUZZER-ACTIVE-5V")</f>
        <v>ITBISA-BUZZER-ACTIVE-5V</v>
      </c>
      <c r="B3142" s="266">
        <f>IFERROR(__xludf.DUMMYFUNCTION("""COMPUTED_VALUE"""),45380.0)</f>
        <v>45380</v>
      </c>
      <c r="C3142" s="266" t="str">
        <f>IFERROR(__xludf.DUMMYFUNCTION("""COMPUTED_VALUE"""),"KERTASARI CIAMIS")</f>
        <v>KERTASARI CIAMIS</v>
      </c>
      <c r="D3142" s="186">
        <f>IFERROR(__xludf.DUMMYFUNCTION("""COMPUTED_VALUE"""),2.0)</f>
        <v>2</v>
      </c>
    </row>
    <row r="3143">
      <c r="A3143" s="178" t="str">
        <f>IFERROR(__xludf.DUMMYFUNCTION("""COMPUTED_VALUE"""),"ITBISA-BUZZER-ACTIVE-5V")</f>
        <v>ITBISA-BUZZER-ACTIVE-5V</v>
      </c>
      <c r="B3143" s="266">
        <f>IFERROR(__xludf.DUMMYFUNCTION("""COMPUTED_VALUE"""),45381.0)</f>
        <v>45381</v>
      </c>
      <c r="C3143" s="266" t="str">
        <f>IFERROR(__xludf.DUMMYFUNCTION("""COMPUTED_VALUE"""),"KYAI KONTONG")</f>
        <v>KYAI KONTONG</v>
      </c>
      <c r="D3143" s="186">
        <f>IFERROR(__xludf.DUMMYFUNCTION("""COMPUTED_VALUE"""),10.0)</f>
        <v>10</v>
      </c>
    </row>
    <row r="3144">
      <c r="A3144" s="178" t="str">
        <f>IFERROR(__xludf.DUMMYFUNCTION("""COMPUTED_VALUE"""),"ITBISA-BUZZER-ACTIVE-5V")</f>
        <v>ITBISA-BUZZER-ACTIVE-5V</v>
      </c>
      <c r="B3144" s="266">
        <f>IFERROR(__xludf.DUMMYFUNCTION("""COMPUTED_VALUE"""),45384.0)</f>
        <v>45384</v>
      </c>
      <c r="C3144" s="266" t="str">
        <f>IFERROR(__xludf.DUMMYFUNCTION("""COMPUTED_VALUE"""),"KYAI KONTONG")</f>
        <v>KYAI KONTONG</v>
      </c>
      <c r="D3144" s="186">
        <f>IFERROR(__xludf.DUMMYFUNCTION("""COMPUTED_VALUE"""),1.0)</f>
        <v>1</v>
      </c>
    </row>
    <row r="3145">
      <c r="A3145" s="178" t="str">
        <f>IFERROR(__xludf.DUMMYFUNCTION("""COMPUTED_VALUE"""),"ITBISA-BUZZER-ACTIVE-5V")</f>
        <v>ITBISA-BUZZER-ACTIVE-5V</v>
      </c>
      <c r="B3145" s="266">
        <f>IFERROR(__xludf.DUMMYFUNCTION("""COMPUTED_VALUE"""),45385.0)</f>
        <v>45385</v>
      </c>
      <c r="C3145" s="266" t="str">
        <f>IFERROR(__xludf.DUMMYFUNCTION("""COMPUTED_VALUE"""),"KYAI KONTONG")</f>
        <v>KYAI KONTONG</v>
      </c>
      <c r="D3145" s="186">
        <f>IFERROR(__xludf.DUMMYFUNCTION("""COMPUTED_VALUE"""),10.0)</f>
        <v>10</v>
      </c>
    </row>
    <row r="3146">
      <c r="A3146" s="178" t="str">
        <f>IFERROR(__xludf.DUMMYFUNCTION("""COMPUTED_VALUE"""),"ITBISA-BUZZER-ACTIVE-5V")</f>
        <v>ITBISA-BUZZER-ACTIVE-5V</v>
      </c>
      <c r="B3146" s="266">
        <f>IFERROR(__xludf.DUMMYFUNCTION("""COMPUTED_VALUE"""),45388.0)</f>
        <v>45388</v>
      </c>
      <c r="C3146" s="266" t="str">
        <f>IFERROR(__xludf.DUMMYFUNCTION("""COMPUTED_VALUE"""),"KERTASARI CIAMIS")</f>
        <v>KERTASARI CIAMIS</v>
      </c>
      <c r="D3146" s="186">
        <f>IFERROR(__xludf.DUMMYFUNCTION("""COMPUTED_VALUE"""),1.0)</f>
        <v>1</v>
      </c>
    </row>
    <row r="3147">
      <c r="A3147" s="178" t="str">
        <f>IFERROR(__xludf.DUMMYFUNCTION("""COMPUTED_VALUE"""),"ITBISA-BUZZER-ACTIVE-5V")</f>
        <v>ITBISA-BUZZER-ACTIVE-5V</v>
      </c>
      <c r="B3147" s="266">
        <f>IFERROR(__xludf.DUMMYFUNCTION("""COMPUTED_VALUE"""),45410.0)</f>
        <v>45410</v>
      </c>
      <c r="C3147" s="266" t="str">
        <f>IFERROR(__xludf.DUMMYFUNCTION("""COMPUTED_VALUE"""),"KERTASARI CIAMIS")</f>
        <v>KERTASARI CIAMIS</v>
      </c>
      <c r="D3147" s="186">
        <f>IFERROR(__xludf.DUMMYFUNCTION("""COMPUTED_VALUE"""),20.0)</f>
        <v>20</v>
      </c>
    </row>
    <row r="3148">
      <c r="A3148" s="178" t="str">
        <f>IFERROR(__xludf.DUMMYFUNCTION("""COMPUTED_VALUE"""),"ITBISA-BUZZER-ACTIVE-5V")</f>
        <v>ITBISA-BUZZER-ACTIVE-5V</v>
      </c>
      <c r="B3148" s="266">
        <f>IFERROR(__xludf.DUMMYFUNCTION("""COMPUTED_VALUE"""),45410.0)</f>
        <v>45410</v>
      </c>
      <c r="C3148" s="266" t="str">
        <f>IFERROR(__xludf.DUMMYFUNCTION("""COMPUTED_VALUE"""),"KERTASARI CIAMIS")</f>
        <v>KERTASARI CIAMIS</v>
      </c>
      <c r="D3148" s="186">
        <f>IFERROR(__xludf.DUMMYFUNCTION("""COMPUTED_VALUE"""),40.0)</f>
        <v>40</v>
      </c>
    </row>
    <row r="3149">
      <c r="A3149" s="178" t="str">
        <f>IFERROR(__xludf.DUMMYFUNCTION("""COMPUTED_VALUE"""),"ITBISA-BUZZER-ACTIVE-5V")</f>
        <v>ITBISA-BUZZER-ACTIVE-5V</v>
      </c>
      <c r="B3149" s="266">
        <f>IFERROR(__xludf.DUMMYFUNCTION("""COMPUTED_VALUE"""),45411.0)</f>
        <v>45411</v>
      </c>
      <c r="C3149" s="266" t="str">
        <f>IFERROR(__xludf.DUMMYFUNCTION("""COMPUTED_VALUE"""),"KERTASARI CIAMIS")</f>
        <v>KERTASARI CIAMIS</v>
      </c>
      <c r="D3149" s="186">
        <f>IFERROR(__xludf.DUMMYFUNCTION("""COMPUTED_VALUE"""),1.0)</f>
        <v>1</v>
      </c>
    </row>
    <row r="3150">
      <c r="A3150" s="178" t="str">
        <f>IFERROR(__xludf.DUMMYFUNCTION("""COMPUTED_VALUE"""),"ITBISA-BUZZER-ACTIVE-5V")</f>
        <v>ITBISA-BUZZER-ACTIVE-5V</v>
      </c>
      <c r="B3150" s="266">
        <f>IFERROR(__xludf.DUMMYFUNCTION("""COMPUTED_VALUE"""),45414.0)</f>
        <v>45414</v>
      </c>
      <c r="C3150" s="266" t="str">
        <f>IFERROR(__xludf.DUMMYFUNCTION("""COMPUTED_VALUE"""),"KYAI KONTONG")</f>
        <v>KYAI KONTONG</v>
      </c>
      <c r="D3150" s="186">
        <f>IFERROR(__xludf.DUMMYFUNCTION("""COMPUTED_VALUE"""),21.0)</f>
        <v>21</v>
      </c>
    </row>
    <row r="3151">
      <c r="A3151" s="178" t="str">
        <f>IFERROR(__xludf.DUMMYFUNCTION("""COMPUTED_VALUE"""),"ITBISA-BUZZER-ACTIVE-5V")</f>
        <v>ITBISA-BUZZER-ACTIVE-5V</v>
      </c>
      <c r="B3151" s="266">
        <f>IFERROR(__xludf.DUMMYFUNCTION("""COMPUTED_VALUE"""),45417.0)</f>
        <v>45417</v>
      </c>
      <c r="C3151" s="266" t="str">
        <f>IFERROR(__xludf.DUMMYFUNCTION("""COMPUTED_VALUE"""),"KYAI KONTONG")</f>
        <v>KYAI KONTONG</v>
      </c>
      <c r="D3151" s="186">
        <f>IFERROR(__xludf.DUMMYFUNCTION("""COMPUTED_VALUE"""),2.0)</f>
        <v>2</v>
      </c>
    </row>
    <row r="3152">
      <c r="A3152" s="178" t="str">
        <f>IFERROR(__xludf.DUMMYFUNCTION("""COMPUTED_VALUE"""),"ITBISA-BUZZER-ACTIVE-5V")</f>
        <v>ITBISA-BUZZER-ACTIVE-5V</v>
      </c>
      <c r="B3152" s="266">
        <f>IFERROR(__xludf.DUMMYFUNCTION("""COMPUTED_VALUE"""),45419.0)</f>
        <v>45419</v>
      </c>
      <c r="C3152" s="266" t="str">
        <f>IFERROR(__xludf.DUMMYFUNCTION("""COMPUTED_VALUE"""),"KYAI KONTONG")</f>
        <v>KYAI KONTONG</v>
      </c>
      <c r="D3152" s="186">
        <f>IFERROR(__xludf.DUMMYFUNCTION("""COMPUTED_VALUE"""),5.0)</f>
        <v>5</v>
      </c>
    </row>
    <row r="3153">
      <c r="A3153" s="178" t="str">
        <f>IFERROR(__xludf.DUMMYFUNCTION("""COMPUTED_VALUE"""),"ITBISA-BUZZER-ACTIVE-5V")</f>
        <v>ITBISA-BUZZER-ACTIVE-5V</v>
      </c>
      <c r="B3153" s="266">
        <f>IFERROR(__xludf.DUMMYFUNCTION("""COMPUTED_VALUE"""),45422.0)</f>
        <v>45422</v>
      </c>
      <c r="C3153" s="266" t="str">
        <f>IFERROR(__xludf.DUMMYFUNCTION("""COMPUTED_VALUE"""),"KYAI KONTONG")</f>
        <v>KYAI KONTONG</v>
      </c>
      <c r="D3153" s="186">
        <f>IFERROR(__xludf.DUMMYFUNCTION("""COMPUTED_VALUE"""),5.0)</f>
        <v>5</v>
      </c>
    </row>
    <row r="3154">
      <c r="A3154" s="178" t="str">
        <f>IFERROR(__xludf.DUMMYFUNCTION("""COMPUTED_VALUE"""),"ITBISA-BUZZER-ACTIVE-5V")</f>
        <v>ITBISA-BUZZER-ACTIVE-5V</v>
      </c>
      <c r="B3154" s="266">
        <f>IFERROR(__xludf.DUMMYFUNCTION("""COMPUTED_VALUE"""),45425.0)</f>
        <v>45425</v>
      </c>
      <c r="C3154" s="266" t="str">
        <f>IFERROR(__xludf.DUMMYFUNCTION("""COMPUTED_VALUE"""),"KYAI KONTONG")</f>
        <v>KYAI KONTONG</v>
      </c>
      <c r="D3154" s="186">
        <f>IFERROR(__xludf.DUMMYFUNCTION("""COMPUTED_VALUE"""),5.0)</f>
        <v>5</v>
      </c>
    </row>
    <row r="3155">
      <c r="A3155" s="178" t="str">
        <f>IFERROR(__xludf.DUMMYFUNCTION("""COMPUTED_VALUE"""),"ITBISA-BUZZER-ACTIVE-5V")</f>
        <v>ITBISA-BUZZER-ACTIVE-5V</v>
      </c>
      <c r="B3155" s="266">
        <f>IFERROR(__xludf.DUMMYFUNCTION("""COMPUTED_VALUE"""),45428.0)</f>
        <v>45428</v>
      </c>
      <c r="C3155" s="266" t="str">
        <f>IFERROR(__xludf.DUMMYFUNCTION("""COMPUTED_VALUE"""),"KYAI KONTONG")</f>
        <v>KYAI KONTONG</v>
      </c>
      <c r="D3155" s="186">
        <f>IFERROR(__xludf.DUMMYFUNCTION("""COMPUTED_VALUE"""),1.0)</f>
        <v>1</v>
      </c>
    </row>
    <row r="3156">
      <c r="A3156" s="178" t="str">
        <f>IFERROR(__xludf.DUMMYFUNCTION("""COMPUTED_VALUE"""),"ITBISA-BUZZER-ACTIVE-5V")</f>
        <v>ITBISA-BUZZER-ACTIVE-5V</v>
      </c>
      <c r="B3156" s="266">
        <f>IFERROR(__xludf.DUMMYFUNCTION("""COMPUTED_VALUE"""),45429.0)</f>
        <v>45429</v>
      </c>
      <c r="C3156" s="266" t="str">
        <f>IFERROR(__xludf.DUMMYFUNCTION("""COMPUTED_VALUE"""),"KYAI KONTONG")</f>
        <v>KYAI KONTONG</v>
      </c>
      <c r="D3156" s="186">
        <f>IFERROR(__xludf.DUMMYFUNCTION("""COMPUTED_VALUE"""),6.0)</f>
        <v>6</v>
      </c>
    </row>
    <row r="3157">
      <c r="A3157" s="178" t="str">
        <f>IFERROR(__xludf.DUMMYFUNCTION("""COMPUTED_VALUE"""),"ITBISA-BUZZER-ACTIVE-5V")</f>
        <v>ITBISA-BUZZER-ACTIVE-5V</v>
      </c>
      <c r="B3157" s="266">
        <f>IFERROR(__xludf.DUMMYFUNCTION("""COMPUTED_VALUE"""),45429.0)</f>
        <v>45429</v>
      </c>
      <c r="C3157" s="266" t="str">
        <f>IFERROR(__xludf.DUMMYFUNCTION("""COMPUTED_VALUE"""),"KYAI KONTONG")</f>
        <v>KYAI KONTONG</v>
      </c>
      <c r="D3157" s="186">
        <f>IFERROR(__xludf.DUMMYFUNCTION("""COMPUTED_VALUE"""),50.0)</f>
        <v>50</v>
      </c>
    </row>
    <row r="3158">
      <c r="A3158" s="178" t="str">
        <f>IFERROR(__xludf.DUMMYFUNCTION("""COMPUTED_VALUE"""),"ITBISA-BUZZER-ACTIVE-5V")</f>
        <v>ITBISA-BUZZER-ACTIVE-5V</v>
      </c>
      <c r="B3158" s="266">
        <f>IFERROR(__xludf.DUMMYFUNCTION("""COMPUTED_VALUE"""),45434.0)</f>
        <v>45434</v>
      </c>
      <c r="C3158" s="266" t="str">
        <f>IFERROR(__xludf.DUMMYFUNCTION("""COMPUTED_VALUE"""),"KYAI KONTONG")</f>
        <v>KYAI KONTONG</v>
      </c>
      <c r="D3158" s="186">
        <f>IFERROR(__xludf.DUMMYFUNCTION("""COMPUTED_VALUE"""),10.0)</f>
        <v>10</v>
      </c>
    </row>
    <row r="3159">
      <c r="A3159" s="178" t="str">
        <f>IFERROR(__xludf.DUMMYFUNCTION("""COMPUTED_VALUE"""),"ITBISA-BUZZER-ACTIVE-5V")</f>
        <v>ITBISA-BUZZER-ACTIVE-5V</v>
      </c>
      <c r="B3159" s="266">
        <f>IFERROR(__xludf.DUMMYFUNCTION("""COMPUTED_VALUE"""),45438.0)</f>
        <v>45438</v>
      </c>
      <c r="C3159" s="266" t="str">
        <f>IFERROR(__xludf.DUMMYFUNCTION("""COMPUTED_VALUE"""),"KERTASARI CIAMIS")</f>
        <v>KERTASARI CIAMIS</v>
      </c>
      <c r="D3159" s="186">
        <f>IFERROR(__xludf.DUMMYFUNCTION("""COMPUTED_VALUE"""),10.0)</f>
        <v>10</v>
      </c>
    </row>
    <row r="3160">
      <c r="A3160" s="178" t="str">
        <f>IFERROR(__xludf.DUMMYFUNCTION("""COMPUTED_VALUE"""),"ITBISA-BUZZER-ACTIVE-5V")</f>
        <v>ITBISA-BUZZER-ACTIVE-5V</v>
      </c>
      <c r="B3160" s="266">
        <f>IFERROR(__xludf.DUMMYFUNCTION("""COMPUTED_VALUE"""),45444.0)</f>
        <v>45444</v>
      </c>
      <c r="C3160" s="266" t="str">
        <f>IFERROR(__xludf.DUMMYFUNCTION("""COMPUTED_VALUE"""),"KYAI KONTONG")</f>
        <v>KYAI KONTONG</v>
      </c>
      <c r="D3160" s="186">
        <f>IFERROR(__xludf.DUMMYFUNCTION("""COMPUTED_VALUE"""),56.0)</f>
        <v>56</v>
      </c>
    </row>
    <row r="3161">
      <c r="A3161" s="178" t="str">
        <f>IFERROR(__xludf.DUMMYFUNCTION("""COMPUTED_VALUE"""),"ITBISA-BUZZER-ACTIVE-5V")</f>
        <v>ITBISA-BUZZER-ACTIVE-5V</v>
      </c>
      <c r="B3161" s="266">
        <f>IFERROR(__xludf.DUMMYFUNCTION("""COMPUTED_VALUE"""),45446.0)</f>
        <v>45446</v>
      </c>
      <c r="C3161" s="266" t="str">
        <f>IFERROR(__xludf.DUMMYFUNCTION("""COMPUTED_VALUE"""),"KYAI KONTONG")</f>
        <v>KYAI KONTONG</v>
      </c>
      <c r="D3161" s="186">
        <f>IFERROR(__xludf.DUMMYFUNCTION("""COMPUTED_VALUE"""),10.0)</f>
        <v>10</v>
      </c>
    </row>
    <row r="3162">
      <c r="A3162" s="178" t="str">
        <f>IFERROR(__xludf.DUMMYFUNCTION("""COMPUTED_VALUE"""),"ITBISA-BUZZER-ACTIVE-5V")</f>
        <v>ITBISA-BUZZER-ACTIVE-5V</v>
      </c>
      <c r="B3162" s="266">
        <f>IFERROR(__xludf.DUMMYFUNCTION("""COMPUTED_VALUE"""),45448.0)</f>
        <v>45448</v>
      </c>
      <c r="C3162" s="266" t="str">
        <f>IFERROR(__xludf.DUMMYFUNCTION("""COMPUTED_VALUE"""),"KYAI KONTONG")</f>
        <v>KYAI KONTONG</v>
      </c>
      <c r="D3162" s="186">
        <f>IFERROR(__xludf.DUMMYFUNCTION("""COMPUTED_VALUE"""),20.0)</f>
        <v>20</v>
      </c>
    </row>
    <row r="3163">
      <c r="A3163" s="178" t="str">
        <f>IFERROR(__xludf.DUMMYFUNCTION("""COMPUTED_VALUE"""),"ITBISA-BUZZER-ACTIVE-5V")</f>
        <v>ITBISA-BUZZER-ACTIVE-5V</v>
      </c>
      <c r="B3163" s="266">
        <f>IFERROR(__xludf.DUMMYFUNCTION("""COMPUTED_VALUE"""),45452.0)</f>
        <v>45452</v>
      </c>
      <c r="C3163" s="266" t="str">
        <f>IFERROR(__xludf.DUMMYFUNCTION("""COMPUTED_VALUE"""),"KERTASARI CIAMIS")</f>
        <v>KERTASARI CIAMIS</v>
      </c>
      <c r="D3163" s="186">
        <f>IFERROR(__xludf.DUMMYFUNCTION("""COMPUTED_VALUE"""),50.0)</f>
        <v>50</v>
      </c>
    </row>
    <row r="3164">
      <c r="A3164" s="178" t="str">
        <f>IFERROR(__xludf.DUMMYFUNCTION("""COMPUTED_VALUE"""),"ITBISA-BUZZER-ACTIVE-5V")</f>
        <v>ITBISA-BUZZER-ACTIVE-5V</v>
      </c>
      <c r="B3164" s="266">
        <f>IFERROR(__xludf.DUMMYFUNCTION("""COMPUTED_VALUE"""),45452.0)</f>
        <v>45452</v>
      </c>
      <c r="C3164" s="266" t="str">
        <f>IFERROR(__xludf.DUMMYFUNCTION("""COMPUTED_VALUE"""),"KYAI KONTONG")</f>
        <v>KYAI KONTONG</v>
      </c>
      <c r="D3164" s="186">
        <f>IFERROR(__xludf.DUMMYFUNCTION("""COMPUTED_VALUE"""),5.0)</f>
        <v>5</v>
      </c>
    </row>
    <row r="3165">
      <c r="A3165" s="178" t="str">
        <f>IFERROR(__xludf.DUMMYFUNCTION("""COMPUTED_VALUE"""),"ITBISA-BUZZER-ACTIVE-5V")</f>
        <v>ITBISA-BUZZER-ACTIVE-5V</v>
      </c>
      <c r="B3165" s="266">
        <f>IFERROR(__xludf.DUMMYFUNCTION("""COMPUTED_VALUE"""),45452.0)</f>
        <v>45452</v>
      </c>
      <c r="C3165" s="266" t="str">
        <f>IFERROR(__xludf.DUMMYFUNCTION("""COMPUTED_VALUE"""),"KYAI KONTONG")</f>
        <v>KYAI KONTONG</v>
      </c>
      <c r="D3165" s="186">
        <f>IFERROR(__xludf.DUMMYFUNCTION("""COMPUTED_VALUE"""),5.0)</f>
        <v>5</v>
      </c>
    </row>
    <row r="3166">
      <c r="A3166" s="178" t="str">
        <f>IFERROR(__xludf.DUMMYFUNCTION("""COMPUTED_VALUE"""),"ITBISA-BUZZER-ACTIVE-5V")</f>
        <v>ITBISA-BUZZER-ACTIVE-5V</v>
      </c>
      <c r="B3166" s="266">
        <f>IFERROR(__xludf.DUMMYFUNCTION("""COMPUTED_VALUE"""),45453.0)</f>
        <v>45453</v>
      </c>
      <c r="C3166" s="266" t="str">
        <f>IFERROR(__xludf.DUMMYFUNCTION("""COMPUTED_VALUE"""),"KYAI KONTONG")</f>
        <v>KYAI KONTONG</v>
      </c>
      <c r="D3166" s="186">
        <f>IFERROR(__xludf.DUMMYFUNCTION("""COMPUTED_VALUE"""),1.0)</f>
        <v>1</v>
      </c>
    </row>
    <row r="3167">
      <c r="A3167" s="178" t="str">
        <f>IFERROR(__xludf.DUMMYFUNCTION("""COMPUTED_VALUE"""),"ITBISA-BUZZER-ACTIVE-5V")</f>
        <v>ITBISA-BUZZER-ACTIVE-5V</v>
      </c>
      <c r="B3167" s="266">
        <f>IFERROR(__xludf.DUMMYFUNCTION("""COMPUTED_VALUE"""),45454.0)</f>
        <v>45454</v>
      </c>
      <c r="C3167" s="266" t="str">
        <f>IFERROR(__xludf.DUMMYFUNCTION("""COMPUTED_VALUE"""),"KYAI KONTONG")</f>
        <v>KYAI KONTONG</v>
      </c>
      <c r="D3167" s="186">
        <f>IFERROR(__xludf.DUMMYFUNCTION("""COMPUTED_VALUE"""),50.0)</f>
        <v>50</v>
      </c>
    </row>
    <row r="3168">
      <c r="A3168" s="178" t="str">
        <f>IFERROR(__xludf.DUMMYFUNCTION("""COMPUTED_VALUE"""),"ITBISA-BUZZER-ACTIVE-5V")</f>
        <v>ITBISA-BUZZER-ACTIVE-5V</v>
      </c>
      <c r="B3168" s="266">
        <f>IFERROR(__xludf.DUMMYFUNCTION("""COMPUTED_VALUE"""),45456.0)</f>
        <v>45456</v>
      </c>
      <c r="C3168" s="266" t="str">
        <f>IFERROR(__xludf.DUMMYFUNCTION("""COMPUTED_VALUE"""),"KYAI KONTONG")</f>
        <v>KYAI KONTONG</v>
      </c>
      <c r="D3168" s="186">
        <f>IFERROR(__xludf.DUMMYFUNCTION("""COMPUTED_VALUE"""),5.0)</f>
        <v>5</v>
      </c>
    </row>
    <row r="3169">
      <c r="A3169" s="178" t="str">
        <f>IFERROR(__xludf.DUMMYFUNCTION("""COMPUTED_VALUE"""),"ITBISA-BUZZER-ACTIVE-5V")</f>
        <v>ITBISA-BUZZER-ACTIVE-5V</v>
      </c>
      <c r="B3169" s="266">
        <f>IFERROR(__xludf.DUMMYFUNCTION("""COMPUTED_VALUE"""),45461.0)</f>
        <v>45461</v>
      </c>
      <c r="C3169" s="266" t="str">
        <f>IFERROR(__xludf.DUMMYFUNCTION("""COMPUTED_VALUE"""),"KERTASARI CIAMIS")</f>
        <v>KERTASARI CIAMIS</v>
      </c>
      <c r="D3169" s="186">
        <f>IFERROR(__xludf.DUMMYFUNCTION("""COMPUTED_VALUE"""),5.0)</f>
        <v>5</v>
      </c>
    </row>
    <row r="3170">
      <c r="A3170" s="178" t="str">
        <f>IFERROR(__xludf.DUMMYFUNCTION("""COMPUTED_VALUE"""),"ITBISA-BUZZER-ACTIVE-5V")</f>
        <v>ITBISA-BUZZER-ACTIVE-5V</v>
      </c>
      <c r="B3170" s="266">
        <f>IFERROR(__xludf.DUMMYFUNCTION("""COMPUTED_VALUE"""),45465.0)</f>
        <v>45465</v>
      </c>
      <c r="C3170" s="266" t="str">
        <f>IFERROR(__xludf.DUMMYFUNCTION("""COMPUTED_VALUE"""),"KERTASARI CIAMIS")</f>
        <v>KERTASARI CIAMIS</v>
      </c>
      <c r="D3170" s="186">
        <f>IFERROR(__xludf.DUMMYFUNCTION("""COMPUTED_VALUE"""),6.0)</f>
        <v>6</v>
      </c>
    </row>
    <row r="3171">
      <c r="A3171" s="178" t="str">
        <f>IFERROR(__xludf.DUMMYFUNCTION("""COMPUTED_VALUE"""),"ITBISA-BUZZER-ACTIVE-5V")</f>
        <v>ITBISA-BUZZER-ACTIVE-5V</v>
      </c>
      <c r="B3171" s="266">
        <f>IFERROR(__xludf.DUMMYFUNCTION("""COMPUTED_VALUE"""),45467.0)</f>
        <v>45467</v>
      </c>
      <c r="C3171" s="266" t="str">
        <f>IFERROR(__xludf.DUMMYFUNCTION("""COMPUTED_VALUE"""),"KERTASARI CIAMIS")</f>
        <v>KERTASARI CIAMIS</v>
      </c>
      <c r="D3171" s="186">
        <f>IFERROR(__xludf.DUMMYFUNCTION("""COMPUTED_VALUE"""),2.0)</f>
        <v>2</v>
      </c>
    </row>
    <row r="3172">
      <c r="A3172" s="178" t="str">
        <f>IFERROR(__xludf.DUMMYFUNCTION("""COMPUTED_VALUE"""),"ITBISA-BUZZER-ACTIVE-5V")</f>
        <v>ITBISA-BUZZER-ACTIVE-5V</v>
      </c>
      <c r="B3172" s="266">
        <f>IFERROR(__xludf.DUMMYFUNCTION("""COMPUTED_VALUE"""),45467.0)</f>
        <v>45467</v>
      </c>
      <c r="C3172" s="266" t="str">
        <f>IFERROR(__xludf.DUMMYFUNCTION("""COMPUTED_VALUE"""),"KERTASARI CIAMIS")</f>
        <v>KERTASARI CIAMIS</v>
      </c>
      <c r="D3172" s="186">
        <f>IFERROR(__xludf.DUMMYFUNCTION("""COMPUTED_VALUE"""),2.0)</f>
        <v>2</v>
      </c>
    </row>
    <row r="3173">
      <c r="A3173" s="178" t="str">
        <f>IFERROR(__xludf.DUMMYFUNCTION("""COMPUTED_VALUE"""),"ITBISA-BUZZER-ACTIVE-5V")</f>
        <v>ITBISA-BUZZER-ACTIVE-5V</v>
      </c>
      <c r="B3173" s="266">
        <f>IFERROR(__xludf.DUMMYFUNCTION("""COMPUTED_VALUE"""),45468.0)</f>
        <v>45468</v>
      </c>
      <c r="C3173" s="266" t="str">
        <f>IFERROR(__xludf.DUMMYFUNCTION("""COMPUTED_VALUE"""),"KYAI KONTONG")</f>
        <v>KYAI KONTONG</v>
      </c>
      <c r="D3173" s="186">
        <f>IFERROR(__xludf.DUMMYFUNCTION("""COMPUTED_VALUE"""),5.0)</f>
        <v>5</v>
      </c>
    </row>
    <row r="3174">
      <c r="A3174" s="178" t="str">
        <f>IFERROR(__xludf.DUMMYFUNCTION("""COMPUTED_VALUE"""),"ITBISA-BUZZER-ACTIVE-5V")</f>
        <v>ITBISA-BUZZER-ACTIVE-5V</v>
      </c>
      <c r="B3174" s="266">
        <f>IFERROR(__xludf.DUMMYFUNCTION("""COMPUTED_VALUE"""),45469.0)</f>
        <v>45469</v>
      </c>
      <c r="C3174" s="266" t="str">
        <f>IFERROR(__xludf.DUMMYFUNCTION("""COMPUTED_VALUE"""),"KYAI KONTONG")</f>
        <v>KYAI KONTONG</v>
      </c>
      <c r="D3174" s="186">
        <f>IFERROR(__xludf.DUMMYFUNCTION("""COMPUTED_VALUE"""),10.0)</f>
        <v>10</v>
      </c>
    </row>
    <row r="3175">
      <c r="A3175" s="178" t="str">
        <f>IFERROR(__xludf.DUMMYFUNCTION("""COMPUTED_VALUE"""),"ITBISA-BUZZER-ACTIVE-5V")</f>
        <v>ITBISA-BUZZER-ACTIVE-5V</v>
      </c>
      <c r="B3175" s="266">
        <f>IFERROR(__xludf.DUMMYFUNCTION("""COMPUTED_VALUE"""),45470.0)</f>
        <v>45470</v>
      </c>
      <c r="C3175" s="266" t="str">
        <f>IFERROR(__xludf.DUMMYFUNCTION("""COMPUTED_VALUE"""),"KERTASARI CIAMIS")</f>
        <v>KERTASARI CIAMIS</v>
      </c>
      <c r="D3175" s="186">
        <f>IFERROR(__xludf.DUMMYFUNCTION("""COMPUTED_VALUE"""),5.0)</f>
        <v>5</v>
      </c>
    </row>
    <row r="3176">
      <c r="A3176" s="178" t="str">
        <f>IFERROR(__xludf.DUMMYFUNCTION("""COMPUTED_VALUE"""),"ITBISA-BUZZER-ACTIVE-5V")</f>
        <v>ITBISA-BUZZER-ACTIVE-5V</v>
      </c>
      <c r="B3176" s="266">
        <f>IFERROR(__xludf.DUMMYFUNCTION("""COMPUTED_VALUE"""),45471.0)</f>
        <v>45471</v>
      </c>
      <c r="C3176" s="266" t="str">
        <f>IFERROR(__xludf.DUMMYFUNCTION("""COMPUTED_VALUE"""),"KERTASARI CIAMIS")</f>
        <v>KERTASARI CIAMIS</v>
      </c>
      <c r="D3176" s="186">
        <f>IFERROR(__xludf.DUMMYFUNCTION("""COMPUTED_VALUE"""),11.0)</f>
        <v>11</v>
      </c>
    </row>
    <row r="3177">
      <c r="A3177" s="178" t="str">
        <f>IFERROR(__xludf.DUMMYFUNCTION("""COMPUTED_VALUE"""),"ITBISA-BUZZER-ACTIVE-5V")</f>
        <v>ITBISA-BUZZER-ACTIVE-5V</v>
      </c>
      <c r="B3177" s="266">
        <f>IFERROR(__xludf.DUMMYFUNCTION("""COMPUTED_VALUE"""),45473.0)</f>
        <v>45473</v>
      </c>
      <c r="C3177" s="266" t="str">
        <f>IFERROR(__xludf.DUMMYFUNCTION("""COMPUTED_VALUE"""),"KERTASARI CIAMIS")</f>
        <v>KERTASARI CIAMIS</v>
      </c>
      <c r="D3177" s="186">
        <f>IFERROR(__xludf.DUMMYFUNCTION("""COMPUTED_VALUE"""),20.0)</f>
        <v>20</v>
      </c>
    </row>
    <row r="3178">
      <c r="A3178" s="178" t="str">
        <f>IFERROR(__xludf.DUMMYFUNCTION("""COMPUTED_VALUE"""),"ITBISA-BUZZER-ACTIVE-5V")</f>
        <v>ITBISA-BUZZER-ACTIVE-5V</v>
      </c>
      <c r="B3178" s="266">
        <f>IFERROR(__xludf.DUMMYFUNCTION("""COMPUTED_VALUE"""),45475.0)</f>
        <v>45475</v>
      </c>
      <c r="C3178" s="266" t="str">
        <f>IFERROR(__xludf.DUMMYFUNCTION("""COMPUTED_VALUE"""),"KYAI KONTONG")</f>
        <v>KYAI KONTONG</v>
      </c>
      <c r="D3178" s="186">
        <f>IFERROR(__xludf.DUMMYFUNCTION("""COMPUTED_VALUE"""),10.0)</f>
        <v>10</v>
      </c>
    </row>
    <row r="3179">
      <c r="A3179" s="178" t="str">
        <f>IFERROR(__xludf.DUMMYFUNCTION("""COMPUTED_VALUE"""),"ITBISA-BUZZER-ACTIVE-5V")</f>
        <v>ITBISA-BUZZER-ACTIVE-5V</v>
      </c>
      <c r="B3179" s="266">
        <f>IFERROR(__xludf.DUMMYFUNCTION("""COMPUTED_VALUE"""),45479.0)</f>
        <v>45479</v>
      </c>
      <c r="C3179" s="266" t="str">
        <f>IFERROR(__xludf.DUMMYFUNCTION("""COMPUTED_VALUE"""),"KERTASARI CIAMIS")</f>
        <v>KERTASARI CIAMIS</v>
      </c>
      <c r="D3179" s="186">
        <f>IFERROR(__xludf.DUMMYFUNCTION("""COMPUTED_VALUE"""),10.0)</f>
        <v>10</v>
      </c>
    </row>
    <row r="3180">
      <c r="A3180" s="178" t="str">
        <f>IFERROR(__xludf.DUMMYFUNCTION("""COMPUTED_VALUE"""),"ITBISA-BUZZER-ACTIVE-5V")</f>
        <v>ITBISA-BUZZER-ACTIVE-5V</v>
      </c>
      <c r="B3180" s="266">
        <f>IFERROR(__xludf.DUMMYFUNCTION("""COMPUTED_VALUE"""),45482.0)</f>
        <v>45482</v>
      </c>
      <c r="C3180" s="266" t="str">
        <f>IFERROR(__xludf.DUMMYFUNCTION("""COMPUTED_VALUE"""),"KERTASARI CIAMIS")</f>
        <v>KERTASARI CIAMIS</v>
      </c>
      <c r="D3180" s="186">
        <f>IFERROR(__xludf.DUMMYFUNCTION("""COMPUTED_VALUE"""),50.0)</f>
        <v>50</v>
      </c>
    </row>
    <row r="3181">
      <c r="A3181" s="178" t="str">
        <f>IFERROR(__xludf.DUMMYFUNCTION("""COMPUTED_VALUE"""),"ITBISA-BUZZER-ACTIVE-5V")</f>
        <v>ITBISA-BUZZER-ACTIVE-5V</v>
      </c>
      <c r="B3181" s="266">
        <f>IFERROR(__xludf.DUMMYFUNCTION("""COMPUTED_VALUE"""),45488.0)</f>
        <v>45488</v>
      </c>
      <c r="C3181" s="266" t="str">
        <f>IFERROR(__xludf.DUMMYFUNCTION("""COMPUTED_VALUE"""),"KERTASARI CIAMIS")</f>
        <v>KERTASARI CIAMIS</v>
      </c>
      <c r="D3181" s="186">
        <f>IFERROR(__xludf.DUMMYFUNCTION("""COMPUTED_VALUE"""),20.0)</f>
        <v>20</v>
      </c>
    </row>
    <row r="3182">
      <c r="A3182" s="178" t="str">
        <f>IFERROR(__xludf.DUMMYFUNCTION("""COMPUTED_VALUE"""),"ITBISA-BUZZER-ACTIVE-5V")</f>
        <v>ITBISA-BUZZER-ACTIVE-5V</v>
      </c>
      <c r="B3182" s="266">
        <f>IFERROR(__xludf.DUMMYFUNCTION("""COMPUTED_VALUE"""),45488.0)</f>
        <v>45488</v>
      </c>
      <c r="C3182" s="266" t="str">
        <f>IFERROR(__xludf.DUMMYFUNCTION("""COMPUTED_VALUE"""),"KYAI KONTONG")</f>
        <v>KYAI KONTONG</v>
      </c>
      <c r="D3182" s="186">
        <f>IFERROR(__xludf.DUMMYFUNCTION("""COMPUTED_VALUE"""),10.0)</f>
        <v>10</v>
      </c>
    </row>
    <row r="3183">
      <c r="A3183" s="178" t="str">
        <f>IFERROR(__xludf.DUMMYFUNCTION("""COMPUTED_VALUE"""),"ITBISA-BUZZER-ACTIVE-5V")</f>
        <v>ITBISA-BUZZER-ACTIVE-5V</v>
      </c>
      <c r="B3183" s="266">
        <f>IFERROR(__xludf.DUMMYFUNCTION("""COMPUTED_VALUE"""),45495.0)</f>
        <v>45495</v>
      </c>
      <c r="C3183" s="266" t="str">
        <f>IFERROR(__xludf.DUMMYFUNCTION("""COMPUTED_VALUE"""),"KYAI KONTONG")</f>
        <v>KYAI KONTONG</v>
      </c>
      <c r="D3183" s="186">
        <f>IFERROR(__xludf.DUMMYFUNCTION("""COMPUTED_VALUE"""),10.0)</f>
        <v>10</v>
      </c>
    </row>
    <row r="3184">
      <c r="A3184" s="178" t="str">
        <f>IFERROR(__xludf.DUMMYFUNCTION("""COMPUTED_VALUE"""),"ITBISA-BUZZER-ACTIVE-5V")</f>
        <v>ITBISA-BUZZER-ACTIVE-5V</v>
      </c>
      <c r="B3184" s="266">
        <f>IFERROR(__xludf.DUMMYFUNCTION("""COMPUTED_VALUE"""),45496.0)</f>
        <v>45496</v>
      </c>
      <c r="C3184" s="266" t="str">
        <f>IFERROR(__xludf.DUMMYFUNCTION("""COMPUTED_VALUE"""),"KYAI KONTONG")</f>
        <v>KYAI KONTONG</v>
      </c>
      <c r="D3184" s="186">
        <f>IFERROR(__xludf.DUMMYFUNCTION("""COMPUTED_VALUE"""),10.0)</f>
        <v>10</v>
      </c>
    </row>
    <row r="3185">
      <c r="A3185" s="178" t="str">
        <f>IFERROR(__xludf.DUMMYFUNCTION("""COMPUTED_VALUE"""),"ITBISA-BUZZER-ACTIVE-5V")</f>
        <v>ITBISA-BUZZER-ACTIVE-5V</v>
      </c>
      <c r="B3185" s="266">
        <f>IFERROR(__xludf.DUMMYFUNCTION("""COMPUTED_VALUE"""),45500.0)</f>
        <v>45500</v>
      </c>
      <c r="C3185" s="266" t="str">
        <f>IFERROR(__xludf.DUMMYFUNCTION("""COMPUTED_VALUE"""),"KERTASARI CIAMIS")</f>
        <v>KERTASARI CIAMIS</v>
      </c>
      <c r="D3185" s="186">
        <f>IFERROR(__xludf.DUMMYFUNCTION("""COMPUTED_VALUE"""),1.0)</f>
        <v>1</v>
      </c>
    </row>
    <row r="3186">
      <c r="A3186" s="178" t="str">
        <f>IFERROR(__xludf.DUMMYFUNCTION("""COMPUTED_VALUE"""),"ITBISA-BUZZER-ACTIVE-5V")</f>
        <v>ITBISA-BUZZER-ACTIVE-5V</v>
      </c>
      <c r="B3186" s="266">
        <f>IFERROR(__xludf.DUMMYFUNCTION("""COMPUTED_VALUE"""),45500.0)</f>
        <v>45500</v>
      </c>
      <c r="C3186" s="266" t="str">
        <f>IFERROR(__xludf.DUMMYFUNCTION("""COMPUTED_VALUE"""),"KYAI KONTONG")</f>
        <v>KYAI KONTONG</v>
      </c>
      <c r="D3186" s="186">
        <f>IFERROR(__xludf.DUMMYFUNCTION("""COMPUTED_VALUE"""),12.0)</f>
        <v>12</v>
      </c>
    </row>
    <row r="3187">
      <c r="A3187" s="178" t="str">
        <f>IFERROR(__xludf.DUMMYFUNCTION("""COMPUTED_VALUE"""),"ITBISA-BUZZER-ACTIVE-5V")</f>
        <v>ITBISA-BUZZER-ACTIVE-5V</v>
      </c>
      <c r="B3187" s="266">
        <f>IFERROR(__xludf.DUMMYFUNCTION("""COMPUTED_VALUE"""),45508.0)</f>
        <v>45508</v>
      </c>
      <c r="C3187" s="266" t="str">
        <f>IFERROR(__xludf.DUMMYFUNCTION("""COMPUTED_VALUE"""),"KERTASARI CIAMIS")</f>
        <v>KERTASARI CIAMIS</v>
      </c>
      <c r="D3187" s="186">
        <f>IFERROR(__xludf.DUMMYFUNCTION("""COMPUTED_VALUE"""),10.0)</f>
        <v>10</v>
      </c>
    </row>
    <row r="3188">
      <c r="A3188" s="178" t="str">
        <f>IFERROR(__xludf.DUMMYFUNCTION("""COMPUTED_VALUE"""),"ITBISA-BUZZER-ACTIVE-5V")</f>
        <v>ITBISA-BUZZER-ACTIVE-5V</v>
      </c>
      <c r="B3188" s="266">
        <f>IFERROR(__xludf.DUMMYFUNCTION("""COMPUTED_VALUE"""),45522.0)</f>
        <v>45522</v>
      </c>
      <c r="C3188" s="266" t="str">
        <f>IFERROR(__xludf.DUMMYFUNCTION("""COMPUTED_VALUE"""),"KYAI KONTONG")</f>
        <v>KYAI KONTONG</v>
      </c>
      <c r="D3188" s="186">
        <f>IFERROR(__xludf.DUMMYFUNCTION("""COMPUTED_VALUE"""),1.0)</f>
        <v>1</v>
      </c>
    </row>
    <row r="3189">
      <c r="A3189" s="178" t="str">
        <f>IFERROR(__xludf.DUMMYFUNCTION("""COMPUTED_VALUE"""),"ITBISA-BUZZER-ACTIVE-5V")</f>
        <v>ITBISA-BUZZER-ACTIVE-5V</v>
      </c>
      <c r="B3189" s="266">
        <f>IFERROR(__xludf.DUMMYFUNCTION("""COMPUTED_VALUE"""),45531.0)</f>
        <v>45531</v>
      </c>
      <c r="C3189" s="266" t="str">
        <f>IFERROR(__xludf.DUMMYFUNCTION("""COMPUTED_VALUE"""),"KYAI KONTONG")</f>
        <v>KYAI KONTONG</v>
      </c>
      <c r="D3189" s="186">
        <f>IFERROR(__xludf.DUMMYFUNCTION("""COMPUTED_VALUE"""),10.0)</f>
        <v>10</v>
      </c>
    </row>
    <row r="3190">
      <c r="A3190" s="178" t="str">
        <f>IFERROR(__xludf.DUMMYFUNCTION("""COMPUTED_VALUE"""),"ITBISA-BUZZER-ACTIVE-5V")</f>
        <v>ITBISA-BUZZER-ACTIVE-5V</v>
      </c>
      <c r="B3190" s="266">
        <f>IFERROR(__xludf.DUMMYFUNCTION("""COMPUTED_VALUE"""),45534.0)</f>
        <v>45534</v>
      </c>
      <c r="C3190" s="266" t="str">
        <f>IFERROR(__xludf.DUMMYFUNCTION("""COMPUTED_VALUE"""),"KYAI KONTONG")</f>
        <v>KYAI KONTONG</v>
      </c>
      <c r="D3190" s="186">
        <f>IFERROR(__xludf.DUMMYFUNCTION("""COMPUTED_VALUE"""),10.0)</f>
        <v>10</v>
      </c>
    </row>
    <row r="3191">
      <c r="A3191" s="178" t="str">
        <f>IFERROR(__xludf.DUMMYFUNCTION("""COMPUTED_VALUE"""),"ITBISA-BUZZER-ACTIVE-5V")</f>
        <v>ITBISA-BUZZER-ACTIVE-5V</v>
      </c>
      <c r="B3191" s="266">
        <f>IFERROR(__xludf.DUMMYFUNCTION("""COMPUTED_VALUE"""),45540.0)</f>
        <v>45540</v>
      </c>
      <c r="C3191" s="266" t="str">
        <f>IFERROR(__xludf.DUMMYFUNCTION("""COMPUTED_VALUE"""),"KYAI KONTONG")</f>
        <v>KYAI KONTONG</v>
      </c>
      <c r="D3191" s="186">
        <f>IFERROR(__xludf.DUMMYFUNCTION("""COMPUTED_VALUE"""),40.0)</f>
        <v>40</v>
      </c>
    </row>
    <row r="3192">
      <c r="A3192" s="178" t="str">
        <f>IFERROR(__xludf.DUMMYFUNCTION("""COMPUTED_VALUE"""),"ITBISA-BUZZER-ACTIVE-5V")</f>
        <v>ITBISA-BUZZER-ACTIVE-5V</v>
      </c>
      <c r="B3192" s="266">
        <f>IFERROR(__xludf.DUMMYFUNCTION("""COMPUTED_VALUE"""),45565.0)</f>
        <v>45565</v>
      </c>
      <c r="C3192" s="266" t="str">
        <f>IFERROR(__xludf.DUMMYFUNCTION("""COMPUTED_VALUE"""),"KERTASARI CIAMIS")</f>
        <v>KERTASARI CIAMIS</v>
      </c>
      <c r="D3192" s="186">
        <f>IFERROR(__xludf.DUMMYFUNCTION("""COMPUTED_VALUE"""),2.0)</f>
        <v>2</v>
      </c>
    </row>
    <row r="3193">
      <c r="A3193" s="178" t="str">
        <f>IFERROR(__xludf.DUMMYFUNCTION("""COMPUTED_VALUE"""),"ITBISA-BUZZER-ACTIVE-5V")</f>
        <v>ITBISA-BUZZER-ACTIVE-5V</v>
      </c>
      <c r="B3193" s="266">
        <f>IFERROR(__xludf.DUMMYFUNCTION("""COMPUTED_VALUE"""),45577.0)</f>
        <v>45577</v>
      </c>
      <c r="C3193" s="266" t="str">
        <f>IFERROR(__xludf.DUMMYFUNCTION("""COMPUTED_VALUE"""),"KYAI KONTONG")</f>
        <v>KYAI KONTONG</v>
      </c>
      <c r="D3193" s="186">
        <f>IFERROR(__xludf.DUMMYFUNCTION("""COMPUTED_VALUE"""),10.0)</f>
        <v>10</v>
      </c>
    </row>
    <row r="3194">
      <c r="A3194" s="178" t="str">
        <f>IFERROR(__xludf.DUMMYFUNCTION("""COMPUTED_VALUE"""),"ITBISA-BUZZER-ACTIVE-5V")</f>
        <v>ITBISA-BUZZER-ACTIVE-5V</v>
      </c>
      <c r="B3194" s="266">
        <f>IFERROR(__xludf.DUMMYFUNCTION("""COMPUTED_VALUE"""),45594.0)</f>
        <v>45594</v>
      </c>
      <c r="C3194" s="266" t="str">
        <f>IFERROR(__xludf.DUMMYFUNCTION("""COMPUTED_VALUE"""),"KERTASARI CIAMIS")</f>
        <v>KERTASARI CIAMIS</v>
      </c>
      <c r="D3194" s="186">
        <f>IFERROR(__xludf.DUMMYFUNCTION("""COMPUTED_VALUE"""),42.0)</f>
        <v>42</v>
      </c>
    </row>
    <row r="3195">
      <c r="A3195" s="178" t="str">
        <f>IFERROR(__xludf.DUMMYFUNCTION("""COMPUTED_VALUE"""),"ITBISA-BUZZER-ACTIVE-5V")</f>
        <v>ITBISA-BUZZER-ACTIVE-5V</v>
      </c>
      <c r="B3195" s="266">
        <f>IFERROR(__xludf.DUMMYFUNCTION("""COMPUTED_VALUE"""),45598.0)</f>
        <v>45598</v>
      </c>
      <c r="C3195" s="266" t="str">
        <f>IFERROR(__xludf.DUMMYFUNCTION("""COMPUTED_VALUE"""),"KERTASARI CIAMIS")</f>
        <v>KERTASARI CIAMIS</v>
      </c>
      <c r="D3195" s="186">
        <f>IFERROR(__xludf.DUMMYFUNCTION("""COMPUTED_VALUE"""),0.0)</f>
        <v>0</v>
      </c>
    </row>
    <row r="3196">
      <c r="A3196" s="178" t="str">
        <f>IFERROR(__xludf.DUMMYFUNCTION("""COMPUTED_VALUE"""),"ITBISA-BUZZER-ACTIVE-5V")</f>
        <v>ITBISA-BUZZER-ACTIVE-5V</v>
      </c>
      <c r="B3196" s="266">
        <f>IFERROR(__xludf.DUMMYFUNCTION("""COMPUTED_VALUE"""),45607.0)</f>
        <v>45607</v>
      </c>
      <c r="C3196" s="266" t="str">
        <f>IFERROR(__xludf.DUMMYFUNCTION("""COMPUTED_VALUE"""),"KERTASARI CIAMIS")</f>
        <v>KERTASARI CIAMIS</v>
      </c>
      <c r="D3196" s="186">
        <f>IFERROR(__xludf.DUMMYFUNCTION("""COMPUTED_VALUE"""),2.0)</f>
        <v>2</v>
      </c>
    </row>
    <row r="3197">
      <c r="A3197" s="178" t="str">
        <f>IFERROR(__xludf.DUMMYFUNCTION("""COMPUTED_VALUE"""),"ITBISA-BUZZER-ACTIVE-5V")</f>
        <v>ITBISA-BUZZER-ACTIVE-5V</v>
      </c>
      <c r="B3197" s="266">
        <f>IFERROR(__xludf.DUMMYFUNCTION("""COMPUTED_VALUE"""),45611.0)</f>
        <v>45611</v>
      </c>
      <c r="C3197" s="266" t="str">
        <f>IFERROR(__xludf.DUMMYFUNCTION("""COMPUTED_VALUE"""),"KERTASARI CIAMIS")</f>
        <v>KERTASARI CIAMIS</v>
      </c>
      <c r="D3197" s="186">
        <f>IFERROR(__xludf.DUMMYFUNCTION("""COMPUTED_VALUE"""),5.0)</f>
        <v>5</v>
      </c>
    </row>
    <row r="3198">
      <c r="A3198" s="178" t="str">
        <f>IFERROR(__xludf.DUMMYFUNCTION("""COMPUTED_VALUE"""),"ITBISA-BUZZER-ACTIVE-5V")</f>
        <v>ITBISA-BUZZER-ACTIVE-5V</v>
      </c>
      <c r="B3198" s="266">
        <f>IFERROR(__xludf.DUMMYFUNCTION("""COMPUTED_VALUE"""),45614.0)</f>
        <v>45614</v>
      </c>
      <c r="C3198" s="266" t="str">
        <f>IFERROR(__xludf.DUMMYFUNCTION("""COMPUTED_VALUE"""),"KERTASARI CIAMIS")</f>
        <v>KERTASARI CIAMIS</v>
      </c>
      <c r="D3198" s="186">
        <f>IFERROR(__xludf.DUMMYFUNCTION("""COMPUTED_VALUE"""),10.0)</f>
        <v>10</v>
      </c>
    </row>
    <row r="3199">
      <c r="A3199" s="178" t="str">
        <f>IFERROR(__xludf.DUMMYFUNCTION("""COMPUTED_VALUE"""),"ITBISA-BUZZER-ACTIVE-5V")</f>
        <v>ITBISA-BUZZER-ACTIVE-5V</v>
      </c>
      <c r="B3199" s="266">
        <f>IFERROR(__xludf.DUMMYFUNCTION("""COMPUTED_VALUE"""),45615.0)</f>
        <v>45615</v>
      </c>
      <c r="C3199" s="266" t="str">
        <f>IFERROR(__xludf.DUMMYFUNCTION("""COMPUTED_VALUE"""),"KERTASARI CIAMIS")</f>
        <v>KERTASARI CIAMIS</v>
      </c>
      <c r="D3199" s="186">
        <f>IFERROR(__xludf.DUMMYFUNCTION("""COMPUTED_VALUE"""),5.0)</f>
        <v>5</v>
      </c>
    </row>
    <row r="3200">
      <c r="A3200" s="178" t="str">
        <f>IFERROR(__xludf.DUMMYFUNCTION("""COMPUTED_VALUE"""),"ITBISA-BUZZER-ACTIVE-5V")</f>
        <v>ITBISA-BUZZER-ACTIVE-5V</v>
      </c>
      <c r="B3200" s="266">
        <f>IFERROR(__xludf.DUMMYFUNCTION("""COMPUTED_VALUE"""),45617.0)</f>
        <v>45617</v>
      </c>
      <c r="C3200" s="266" t="str">
        <f>IFERROR(__xludf.DUMMYFUNCTION("""COMPUTED_VALUE"""),"KERTASARI CIAMIS")</f>
        <v>KERTASARI CIAMIS</v>
      </c>
      <c r="D3200" s="186">
        <f>IFERROR(__xludf.DUMMYFUNCTION("""COMPUTED_VALUE"""),10.0)</f>
        <v>10</v>
      </c>
    </row>
    <row r="3201">
      <c r="A3201" s="178" t="str">
        <f>IFERROR(__xludf.DUMMYFUNCTION("""COMPUTED_VALUE"""),"ITBISA-BUZZER-ACTIVE-5V")</f>
        <v>ITBISA-BUZZER-ACTIVE-5V</v>
      </c>
      <c r="B3201" s="266">
        <f>IFERROR(__xludf.DUMMYFUNCTION("""COMPUTED_VALUE"""),45619.0)</f>
        <v>45619</v>
      </c>
      <c r="C3201" s="266" t="str">
        <f>IFERROR(__xludf.DUMMYFUNCTION("""COMPUTED_VALUE"""),"KERTASARI CIAMIS")</f>
        <v>KERTASARI CIAMIS</v>
      </c>
      <c r="D3201" s="186">
        <f>IFERROR(__xludf.DUMMYFUNCTION("""COMPUTED_VALUE"""),1.0)</f>
        <v>1</v>
      </c>
    </row>
    <row r="3202">
      <c r="A3202" s="178" t="str">
        <f>IFERROR(__xludf.DUMMYFUNCTION("""COMPUTED_VALUE"""),"ITBISA-BUZZER-ACTIVE-5V")</f>
        <v>ITBISA-BUZZER-ACTIVE-5V</v>
      </c>
      <c r="B3202" s="266">
        <f>IFERROR(__xludf.DUMMYFUNCTION("""COMPUTED_VALUE"""),45621.0)</f>
        <v>45621</v>
      </c>
      <c r="C3202" s="266" t="str">
        <f>IFERROR(__xludf.DUMMYFUNCTION("""COMPUTED_VALUE"""),"KYAI KONTONG")</f>
        <v>KYAI KONTONG</v>
      </c>
      <c r="D3202" s="186">
        <f>IFERROR(__xludf.DUMMYFUNCTION("""COMPUTED_VALUE"""),10.0)</f>
        <v>10</v>
      </c>
    </row>
    <row r="3203">
      <c r="A3203" s="178" t="str">
        <f>IFERROR(__xludf.DUMMYFUNCTION("""COMPUTED_VALUE"""),"ITBISA-BUZZER-ACTIVE-5V")</f>
        <v>ITBISA-BUZZER-ACTIVE-5V</v>
      </c>
      <c r="B3203" s="266">
        <f>IFERROR(__xludf.DUMMYFUNCTION("""COMPUTED_VALUE"""),45625.0)</f>
        <v>45625</v>
      </c>
      <c r="C3203" s="266" t="str">
        <f>IFERROR(__xludf.DUMMYFUNCTION("""COMPUTED_VALUE"""),"KYAI KONTONG")</f>
        <v>KYAI KONTONG</v>
      </c>
      <c r="D3203" s="186">
        <f>IFERROR(__xludf.DUMMYFUNCTION("""COMPUTED_VALUE"""),10.0)</f>
        <v>10</v>
      </c>
    </row>
    <row r="3204">
      <c r="A3204" s="178" t="str">
        <f>IFERROR(__xludf.DUMMYFUNCTION("""COMPUTED_VALUE"""),"ITBISA-BUZZER-ACTIVE-5V")</f>
        <v>ITBISA-BUZZER-ACTIVE-5V</v>
      </c>
      <c r="B3204" s="266">
        <f>IFERROR(__xludf.DUMMYFUNCTION("""COMPUTED_VALUE"""),45630.0)</f>
        <v>45630</v>
      </c>
      <c r="C3204" s="266" t="str">
        <f>IFERROR(__xludf.DUMMYFUNCTION("""COMPUTED_VALUE"""),"KERTASARI CIAMIS")</f>
        <v>KERTASARI CIAMIS</v>
      </c>
      <c r="D3204" s="186">
        <f>IFERROR(__xludf.DUMMYFUNCTION("""COMPUTED_VALUE"""),10.0)</f>
        <v>10</v>
      </c>
    </row>
    <row r="3205">
      <c r="A3205" s="178" t="str">
        <f>IFERROR(__xludf.DUMMYFUNCTION("""COMPUTED_VALUE"""),"ITBISA-BUZZER-ACTIVE-5V")</f>
        <v>ITBISA-BUZZER-ACTIVE-5V</v>
      </c>
      <c r="B3205" s="266">
        <f>IFERROR(__xludf.DUMMYFUNCTION("""COMPUTED_VALUE"""),45636.0)</f>
        <v>45636</v>
      </c>
      <c r="C3205" s="266" t="str">
        <f>IFERROR(__xludf.DUMMYFUNCTION("""COMPUTED_VALUE"""),"KYAI KONTONG")</f>
        <v>KYAI KONTONG</v>
      </c>
      <c r="D3205" s="186">
        <f>IFERROR(__xludf.DUMMYFUNCTION("""COMPUTED_VALUE"""),10.0)</f>
        <v>10</v>
      </c>
    </row>
    <row r="3206">
      <c r="A3206" s="178" t="str">
        <f>IFERROR(__xludf.DUMMYFUNCTION("""COMPUTED_VALUE"""),"ITBISA-BUZZER-ACTIVE-5V")</f>
        <v>ITBISA-BUZZER-ACTIVE-5V</v>
      </c>
      <c r="B3206" s="266">
        <f>IFERROR(__xludf.DUMMYFUNCTION("""COMPUTED_VALUE"""),45638.0)</f>
        <v>45638</v>
      </c>
      <c r="C3206" s="266" t="str">
        <f>IFERROR(__xludf.DUMMYFUNCTION("""COMPUTED_VALUE"""),"KERTASARI CIAMIS")</f>
        <v>KERTASARI CIAMIS</v>
      </c>
      <c r="D3206" s="186">
        <f>IFERROR(__xludf.DUMMYFUNCTION("""COMPUTED_VALUE"""),50.0)</f>
        <v>50</v>
      </c>
    </row>
    <row r="3207">
      <c r="A3207" s="178" t="str">
        <f>IFERROR(__xludf.DUMMYFUNCTION("""COMPUTED_VALUE"""),"ITBISA-BUZZER-ACTIVE-5V")</f>
        <v>ITBISA-BUZZER-ACTIVE-5V</v>
      </c>
      <c r="B3207" s="266">
        <f>IFERROR(__xludf.DUMMYFUNCTION("""COMPUTED_VALUE"""),45640.0)</f>
        <v>45640</v>
      </c>
      <c r="C3207" s="266" t="str">
        <f>IFERROR(__xludf.DUMMYFUNCTION("""COMPUTED_VALUE"""),"KERTASARI CIAMIS")</f>
        <v>KERTASARI CIAMIS</v>
      </c>
      <c r="D3207" s="186">
        <f>IFERROR(__xludf.DUMMYFUNCTION("""COMPUTED_VALUE"""),200.0)</f>
        <v>200</v>
      </c>
    </row>
    <row r="3208">
      <c r="A3208" s="178" t="str">
        <f>IFERROR(__xludf.DUMMYFUNCTION("""COMPUTED_VALUE"""),"ITBISA-BUZZER-ACTIVE-5V")</f>
        <v>ITBISA-BUZZER-ACTIVE-5V</v>
      </c>
      <c r="B3208" s="266">
        <f>IFERROR(__xludf.DUMMYFUNCTION("""COMPUTED_VALUE"""),45646.0)</f>
        <v>45646</v>
      </c>
      <c r="C3208" s="266" t="str">
        <f>IFERROR(__xludf.DUMMYFUNCTION("""COMPUTED_VALUE"""),"KYAI KONTONG")</f>
        <v>KYAI KONTONG</v>
      </c>
      <c r="D3208" s="186">
        <f>IFERROR(__xludf.DUMMYFUNCTION("""COMPUTED_VALUE"""),100.0)</f>
        <v>100</v>
      </c>
    </row>
    <row r="3209">
      <c r="A3209" s="178" t="str">
        <f>IFERROR(__xludf.DUMMYFUNCTION("""COMPUTED_VALUE"""),"ITBISA-BUZZER-ACTIVE-5V")</f>
        <v>ITBISA-BUZZER-ACTIVE-5V</v>
      </c>
      <c r="B3209" s="266">
        <f>IFERROR(__xludf.DUMMYFUNCTION("""COMPUTED_VALUE"""),45649.0)</f>
        <v>45649</v>
      </c>
      <c r="C3209" s="266" t="str">
        <f>IFERROR(__xludf.DUMMYFUNCTION("""COMPUTED_VALUE"""),"KERTASARI CIAMIS")</f>
        <v>KERTASARI CIAMIS</v>
      </c>
      <c r="D3209" s="186">
        <f>IFERROR(__xludf.DUMMYFUNCTION("""COMPUTED_VALUE"""),100.0)</f>
        <v>100</v>
      </c>
    </row>
    <row r="3210">
      <c r="A3210" s="178" t="str">
        <f>IFERROR(__xludf.DUMMYFUNCTION("""COMPUTED_VALUE"""),"ITBISA-BUZZER-ACTIVE-5V")</f>
        <v>ITBISA-BUZZER-ACTIVE-5V</v>
      </c>
      <c r="B3210" s="266">
        <f>IFERROR(__xludf.DUMMYFUNCTION("""COMPUTED_VALUE"""),45649.0)</f>
        <v>45649</v>
      </c>
      <c r="C3210" s="266" t="str">
        <f>IFERROR(__xludf.DUMMYFUNCTION("""COMPUTED_VALUE"""),"KYAI KONTONG")</f>
        <v>KYAI KONTONG</v>
      </c>
      <c r="D3210" s="186">
        <f>IFERROR(__xludf.DUMMYFUNCTION("""COMPUTED_VALUE"""),510.0)</f>
        <v>510</v>
      </c>
    </row>
    <row r="3211">
      <c r="A3211" s="178" t="str">
        <f>IFERROR(__xludf.DUMMYFUNCTION("""COMPUTED_VALUE"""),"ITBISA-BUZZER-ACTIVE-5V")</f>
        <v>ITBISA-BUZZER-ACTIVE-5V</v>
      </c>
      <c r="B3211" s="266">
        <f>IFERROR(__xludf.DUMMYFUNCTION("""COMPUTED_VALUE"""),45653.0)</f>
        <v>45653</v>
      </c>
      <c r="C3211" s="266" t="str">
        <f>IFERROR(__xludf.DUMMYFUNCTION("""COMPUTED_VALUE"""),"KYAI KONTONG")</f>
        <v>KYAI KONTONG</v>
      </c>
      <c r="D3211" s="186">
        <f>IFERROR(__xludf.DUMMYFUNCTION("""COMPUTED_VALUE"""),10.0)</f>
        <v>10</v>
      </c>
    </row>
    <row r="3212">
      <c r="A3212" s="178" t="str">
        <f>IFERROR(__xludf.DUMMYFUNCTION("""COMPUTED_VALUE"""),"ITBISA-BUZZER-ACTIVE-5V")</f>
        <v>ITBISA-BUZZER-ACTIVE-5V</v>
      </c>
      <c r="B3212" s="266">
        <f>IFERROR(__xludf.DUMMYFUNCTION("""COMPUTED_VALUE"""),45664.0)</f>
        <v>45664</v>
      </c>
      <c r="C3212" s="266" t="str">
        <f>IFERROR(__xludf.DUMMYFUNCTION("""COMPUTED_VALUE"""),"KERTASARI CIAMIS")</f>
        <v>KERTASARI CIAMIS</v>
      </c>
      <c r="D3212" s="186">
        <f>IFERROR(__xludf.DUMMYFUNCTION("""COMPUTED_VALUE"""),250.0)</f>
        <v>250</v>
      </c>
    </row>
    <row r="3213">
      <c r="A3213" s="178" t="str">
        <f>IFERROR(__xludf.DUMMYFUNCTION("""COMPUTED_VALUE"""),"ITBISA-BUZZER-ACTIVE-5V")</f>
        <v>ITBISA-BUZZER-ACTIVE-5V</v>
      </c>
      <c r="B3213" s="266">
        <f>IFERROR(__xludf.DUMMYFUNCTION("""COMPUTED_VALUE"""),45666.0)</f>
        <v>45666</v>
      </c>
      <c r="C3213" s="266" t="str">
        <f>IFERROR(__xludf.DUMMYFUNCTION("""COMPUTED_VALUE"""),"KYAI KONTONG")</f>
        <v>KYAI KONTONG</v>
      </c>
      <c r="D3213" s="186">
        <f>IFERROR(__xludf.DUMMYFUNCTION("""COMPUTED_VALUE"""),20.0)</f>
        <v>20</v>
      </c>
    </row>
    <row r="3214">
      <c r="A3214" s="178" t="str">
        <f>IFERROR(__xludf.DUMMYFUNCTION("""COMPUTED_VALUE"""),"ITBISA-BUZZER-ACTIVE-5V")</f>
        <v>ITBISA-BUZZER-ACTIVE-5V</v>
      </c>
      <c r="B3214" s="266">
        <f>IFERROR(__xludf.DUMMYFUNCTION("""COMPUTED_VALUE"""),45667.0)</f>
        <v>45667</v>
      </c>
      <c r="C3214" s="266" t="str">
        <f>IFERROR(__xludf.DUMMYFUNCTION("""COMPUTED_VALUE"""),"KERTASARI CIAMIS")</f>
        <v>KERTASARI CIAMIS</v>
      </c>
      <c r="D3214" s="186">
        <f>IFERROR(__xludf.DUMMYFUNCTION("""COMPUTED_VALUE"""),10.0)</f>
        <v>10</v>
      </c>
    </row>
    <row r="3215">
      <c r="A3215" s="178" t="str">
        <f>IFERROR(__xludf.DUMMYFUNCTION("""COMPUTED_VALUE"""),"ITBISA-BUZZER-ACTIVE-5V")</f>
        <v>ITBISA-BUZZER-ACTIVE-5V</v>
      </c>
      <c r="B3215" s="266">
        <f>IFERROR(__xludf.DUMMYFUNCTION("""COMPUTED_VALUE"""),45676.0)</f>
        <v>45676</v>
      </c>
      <c r="C3215" s="266" t="str">
        <f>IFERROR(__xludf.DUMMYFUNCTION("""COMPUTED_VALUE"""),"KYAI KONTONG")</f>
        <v>KYAI KONTONG</v>
      </c>
      <c r="D3215" s="186">
        <f>IFERROR(__xludf.DUMMYFUNCTION("""COMPUTED_VALUE"""),2.0)</f>
        <v>2</v>
      </c>
    </row>
    <row r="3216">
      <c r="A3216" s="178" t="str">
        <f>IFERROR(__xludf.DUMMYFUNCTION("""COMPUTED_VALUE"""),"ITBISA-BUZZER-ACTIVE-5V")</f>
        <v>ITBISA-BUZZER-ACTIVE-5V</v>
      </c>
      <c r="B3216" s="266">
        <f>IFERROR(__xludf.DUMMYFUNCTION("""COMPUTED_VALUE"""),45697.0)</f>
        <v>45697</v>
      </c>
      <c r="C3216" s="266" t="str">
        <f>IFERROR(__xludf.DUMMYFUNCTION("""COMPUTED_VALUE"""),"KERTASARI CIAMIS")</f>
        <v>KERTASARI CIAMIS</v>
      </c>
      <c r="D3216" s="186">
        <f>IFERROR(__xludf.DUMMYFUNCTION("""COMPUTED_VALUE"""),2.0)</f>
        <v>2</v>
      </c>
    </row>
    <row r="3217">
      <c r="A3217" s="178" t="str">
        <f>IFERROR(__xludf.DUMMYFUNCTION("""COMPUTED_VALUE"""),"ITBISA-BUZZER-ACTIVE-5V")</f>
        <v>ITBISA-BUZZER-ACTIVE-5V</v>
      </c>
      <c r="B3217" s="266">
        <f>IFERROR(__xludf.DUMMYFUNCTION("""COMPUTED_VALUE"""),45703.0)</f>
        <v>45703</v>
      </c>
      <c r="C3217" s="266" t="str">
        <f>IFERROR(__xludf.DUMMYFUNCTION("""COMPUTED_VALUE"""),"KYAI KONTONG")</f>
        <v>KYAI KONTONG</v>
      </c>
      <c r="D3217" s="186">
        <f>IFERROR(__xludf.DUMMYFUNCTION("""COMPUTED_VALUE"""),12.0)</f>
        <v>12</v>
      </c>
    </row>
    <row r="3218">
      <c r="A3218" s="178" t="str">
        <f>IFERROR(__xludf.DUMMYFUNCTION("""COMPUTED_VALUE"""),"ITBISA-BUZZER-ACTIVE-5V")</f>
        <v>ITBISA-BUZZER-ACTIVE-5V</v>
      </c>
      <c r="B3218" s="266">
        <f>IFERROR(__xludf.DUMMYFUNCTION("""COMPUTED_VALUE"""),45707.0)</f>
        <v>45707</v>
      </c>
      <c r="C3218" s="266" t="str">
        <f>IFERROR(__xludf.DUMMYFUNCTION("""COMPUTED_VALUE"""),"KERTASARI CIAMIS")</f>
        <v>KERTASARI CIAMIS</v>
      </c>
      <c r="D3218" s="186">
        <f>IFERROR(__xludf.DUMMYFUNCTION("""COMPUTED_VALUE"""),10.0)</f>
        <v>10</v>
      </c>
    </row>
    <row r="3219">
      <c r="A3219" s="178" t="str">
        <f>IFERROR(__xludf.DUMMYFUNCTION("""COMPUTED_VALUE"""),"ITBISA-BUZZER-ACTIVE-5V")</f>
        <v>ITBISA-BUZZER-ACTIVE-5V</v>
      </c>
      <c r="B3219" s="266">
        <f>IFERROR(__xludf.DUMMYFUNCTION("""COMPUTED_VALUE"""),45710.0)</f>
        <v>45710</v>
      </c>
      <c r="C3219" s="266" t="str">
        <f>IFERROR(__xludf.DUMMYFUNCTION("""COMPUTED_VALUE"""),"KERTASARI CIAMIS")</f>
        <v>KERTASARI CIAMIS</v>
      </c>
      <c r="D3219" s="186">
        <f>IFERROR(__xludf.DUMMYFUNCTION("""COMPUTED_VALUE"""),20.0)</f>
        <v>20</v>
      </c>
    </row>
    <row r="3220">
      <c r="A3220" s="178" t="str">
        <f>IFERROR(__xludf.DUMMYFUNCTION("""COMPUTED_VALUE"""),"ITBISA-BUZZER-ACTIVE-5V")</f>
        <v>ITBISA-BUZZER-ACTIVE-5V</v>
      </c>
      <c r="B3220" s="266">
        <f>IFERROR(__xludf.DUMMYFUNCTION("""COMPUTED_VALUE"""),45711.0)</f>
        <v>45711</v>
      </c>
      <c r="C3220" s="266" t="str">
        <f>IFERROR(__xludf.DUMMYFUNCTION("""COMPUTED_VALUE"""),"KYAI KONTONG")</f>
        <v>KYAI KONTONG</v>
      </c>
      <c r="D3220" s="186">
        <f>IFERROR(__xludf.DUMMYFUNCTION("""COMPUTED_VALUE"""),20.0)</f>
        <v>20</v>
      </c>
    </row>
    <row r="3221">
      <c r="A3221" s="178" t="str">
        <f>IFERROR(__xludf.DUMMYFUNCTION("""COMPUTED_VALUE"""),"ITBISA-BUZZER-ACTIVE-5V")</f>
        <v>ITBISA-BUZZER-ACTIVE-5V</v>
      </c>
      <c r="B3221" s="266">
        <f>IFERROR(__xludf.DUMMYFUNCTION("""COMPUTED_VALUE"""),45715.0)</f>
        <v>45715</v>
      </c>
      <c r="C3221" s="266" t="str">
        <f>IFERROR(__xludf.DUMMYFUNCTION("""COMPUTED_VALUE"""),"KYAI KONTONG")</f>
        <v>KYAI KONTONG</v>
      </c>
      <c r="D3221" s="186">
        <f>IFERROR(__xludf.DUMMYFUNCTION("""COMPUTED_VALUE"""),100.0)</f>
        <v>100</v>
      </c>
    </row>
    <row r="3222">
      <c r="A3222" s="178" t="str">
        <f>IFERROR(__xludf.DUMMYFUNCTION("""COMPUTED_VALUE"""),"ITBISA-BUZZER-ACTIVE-5V")</f>
        <v>ITBISA-BUZZER-ACTIVE-5V</v>
      </c>
      <c r="B3222" s="266">
        <f>IFERROR(__xludf.DUMMYFUNCTION("""COMPUTED_VALUE"""),45719.0)</f>
        <v>45719</v>
      </c>
      <c r="C3222" s="266" t="str">
        <f>IFERROR(__xludf.DUMMYFUNCTION("""COMPUTED_VALUE"""),"KYAI KONTONG")</f>
        <v>KYAI KONTONG</v>
      </c>
      <c r="D3222" s="186">
        <f>IFERROR(__xludf.DUMMYFUNCTION("""COMPUTED_VALUE"""),70.0)</f>
        <v>70</v>
      </c>
    </row>
    <row r="3223">
      <c r="A3223" s="178" t="str">
        <f>IFERROR(__xludf.DUMMYFUNCTION("""COMPUTED_VALUE"""),"ITBISA-BUZZER-ACTIVE-5V")</f>
        <v>ITBISA-BUZZER-ACTIVE-5V</v>
      </c>
      <c r="B3223" s="266">
        <f>IFERROR(__xludf.DUMMYFUNCTION("""COMPUTED_VALUE"""),45720.0)</f>
        <v>45720</v>
      </c>
      <c r="C3223" s="266" t="str">
        <f>IFERROR(__xludf.DUMMYFUNCTION("""COMPUTED_VALUE"""),"KERTASARI CIAMIS")</f>
        <v>KERTASARI CIAMIS</v>
      </c>
      <c r="D3223" s="186">
        <f>IFERROR(__xludf.DUMMYFUNCTION("""COMPUTED_VALUE"""),20.0)</f>
        <v>20</v>
      </c>
    </row>
    <row r="3224">
      <c r="A3224" s="178" t="str">
        <f>IFERROR(__xludf.DUMMYFUNCTION("""COMPUTED_VALUE"""),"ITBISA-BUZZER-ACTIVE-5V")</f>
        <v>ITBISA-BUZZER-ACTIVE-5V</v>
      </c>
      <c r="B3224" s="266">
        <f>IFERROR(__xludf.DUMMYFUNCTION("""COMPUTED_VALUE"""),45723.0)</f>
        <v>45723</v>
      </c>
      <c r="C3224" s="266" t="str">
        <f>IFERROR(__xludf.DUMMYFUNCTION("""COMPUTED_VALUE"""),"KERTASARI CIAMIS")</f>
        <v>KERTASARI CIAMIS</v>
      </c>
      <c r="D3224" s="186">
        <f>IFERROR(__xludf.DUMMYFUNCTION("""COMPUTED_VALUE"""),10.0)</f>
        <v>10</v>
      </c>
    </row>
    <row r="3225">
      <c r="A3225" s="178" t="str">
        <f>IFERROR(__xludf.DUMMYFUNCTION("""COMPUTED_VALUE"""),"ITBISA-BUZZER-ACTIVE-5V")</f>
        <v>ITBISA-BUZZER-ACTIVE-5V</v>
      </c>
      <c r="B3225" s="266">
        <f>IFERROR(__xludf.DUMMYFUNCTION("""COMPUTED_VALUE"""),45723.0)</f>
        <v>45723</v>
      </c>
      <c r="C3225" s="266" t="str">
        <f>IFERROR(__xludf.DUMMYFUNCTION("""COMPUTED_VALUE"""),"KERTASARI CIAMIS")</f>
        <v>KERTASARI CIAMIS</v>
      </c>
      <c r="D3225" s="186">
        <f>IFERROR(__xludf.DUMMYFUNCTION("""COMPUTED_VALUE"""),10.0)</f>
        <v>10</v>
      </c>
    </row>
    <row r="3226">
      <c r="A3226" s="178" t="str">
        <f>IFERROR(__xludf.DUMMYFUNCTION("""COMPUTED_VALUE"""),"ITBISA-BUZZER-ACTIVE-5V")</f>
        <v>ITBISA-BUZZER-ACTIVE-5V</v>
      </c>
      <c r="B3226" s="266">
        <f>IFERROR(__xludf.DUMMYFUNCTION("""COMPUTED_VALUE"""),45723.0)</f>
        <v>45723</v>
      </c>
      <c r="C3226" s="266" t="str">
        <f>IFERROR(__xludf.DUMMYFUNCTION("""COMPUTED_VALUE"""),"KERTASARI CIAMIS")</f>
        <v>KERTASARI CIAMIS</v>
      </c>
      <c r="D3226" s="186">
        <f>IFERROR(__xludf.DUMMYFUNCTION("""COMPUTED_VALUE"""),10.0)</f>
        <v>10</v>
      </c>
    </row>
    <row r="3227">
      <c r="A3227" s="178" t="str">
        <f>IFERROR(__xludf.DUMMYFUNCTION("""COMPUTED_VALUE"""),"ITBISA-BUZZER-ACTIVE-5V")</f>
        <v>ITBISA-BUZZER-ACTIVE-5V</v>
      </c>
      <c r="B3227" s="266">
        <f>IFERROR(__xludf.DUMMYFUNCTION("""COMPUTED_VALUE"""),45726.0)</f>
        <v>45726</v>
      </c>
      <c r="C3227" s="266" t="str">
        <f>IFERROR(__xludf.DUMMYFUNCTION("""COMPUTED_VALUE"""),"KERTASARI CIAMIS")</f>
        <v>KERTASARI CIAMIS</v>
      </c>
      <c r="D3227" s="186">
        <f>IFERROR(__xludf.DUMMYFUNCTION("""COMPUTED_VALUE"""),10.0)</f>
        <v>10</v>
      </c>
    </row>
    <row r="3228">
      <c r="A3228" s="178" t="str">
        <f>IFERROR(__xludf.DUMMYFUNCTION("""COMPUTED_VALUE"""),"ITBISA-BUZZER-ACTIVE-5V")</f>
        <v>ITBISA-BUZZER-ACTIVE-5V</v>
      </c>
      <c r="B3228" s="266">
        <f>IFERROR(__xludf.DUMMYFUNCTION("""COMPUTED_VALUE"""),45735.0)</f>
        <v>45735</v>
      </c>
      <c r="C3228" s="266" t="str">
        <f>IFERROR(__xludf.DUMMYFUNCTION("""COMPUTED_VALUE"""),"KERTASARI CIAMIS")</f>
        <v>KERTASARI CIAMIS</v>
      </c>
      <c r="D3228" s="186">
        <f>IFERROR(__xludf.DUMMYFUNCTION("""COMPUTED_VALUE"""),20.0)</f>
        <v>20</v>
      </c>
    </row>
    <row r="3229">
      <c r="A3229" s="178" t="str">
        <f>IFERROR(__xludf.DUMMYFUNCTION("""COMPUTED_VALUE"""),"ITBISA-BUZZER-ACTIVE-5V")</f>
        <v>ITBISA-BUZZER-ACTIVE-5V</v>
      </c>
      <c r="B3229" s="266">
        <f>IFERROR(__xludf.DUMMYFUNCTION("""COMPUTED_VALUE"""),45735.0)</f>
        <v>45735</v>
      </c>
      <c r="C3229" s="266" t="str">
        <f>IFERROR(__xludf.DUMMYFUNCTION("""COMPUTED_VALUE"""),"KYAI KONTONG")</f>
        <v>KYAI KONTONG</v>
      </c>
      <c r="D3229" s="186">
        <f>IFERROR(__xludf.DUMMYFUNCTION("""COMPUTED_VALUE"""),10.0)</f>
        <v>10</v>
      </c>
    </row>
    <row r="3230">
      <c r="A3230" s="178" t="str">
        <f>IFERROR(__xludf.DUMMYFUNCTION("""COMPUTED_VALUE"""),"ITBISA-BUZZER-ACTIVE-5V")</f>
        <v>ITBISA-BUZZER-ACTIVE-5V</v>
      </c>
      <c r="B3230" s="266">
        <f>IFERROR(__xludf.DUMMYFUNCTION("""COMPUTED_VALUE"""),45737.0)</f>
        <v>45737</v>
      </c>
      <c r="C3230" s="266" t="str">
        <f>IFERROR(__xludf.DUMMYFUNCTION("""COMPUTED_VALUE"""),"KERTASARI CIAMIS")</f>
        <v>KERTASARI CIAMIS</v>
      </c>
      <c r="D3230" s="186">
        <f>IFERROR(__xludf.DUMMYFUNCTION("""COMPUTED_VALUE"""),100.0)</f>
        <v>100</v>
      </c>
    </row>
    <row r="3231">
      <c r="A3231" s="178" t="str">
        <f>IFERROR(__xludf.DUMMYFUNCTION("""COMPUTED_VALUE"""),"ITBISA-BUZZER-ACTIVE-5V")</f>
        <v>ITBISA-BUZZER-ACTIVE-5V</v>
      </c>
      <c r="B3231" s="266">
        <f>IFERROR(__xludf.DUMMYFUNCTION("""COMPUTED_VALUE"""),45759.0)</f>
        <v>45759</v>
      </c>
      <c r="C3231" s="266" t="str">
        <f>IFERROR(__xludf.DUMMYFUNCTION("""COMPUTED_VALUE"""),"KERTASARI CIAMIS")</f>
        <v>KERTASARI CIAMIS</v>
      </c>
      <c r="D3231" s="186">
        <f>IFERROR(__xludf.DUMMYFUNCTION("""COMPUTED_VALUE"""),1.0)</f>
        <v>1</v>
      </c>
    </row>
    <row r="3232">
      <c r="A3232" s="178" t="str">
        <f>IFERROR(__xludf.DUMMYFUNCTION("""COMPUTED_VALUE"""),"ITBISA-BUZZER-ACTIVE-5V")</f>
        <v>ITBISA-BUZZER-ACTIVE-5V</v>
      </c>
      <c r="B3232" s="266">
        <f>IFERROR(__xludf.DUMMYFUNCTION("""COMPUTED_VALUE"""),45760.0)</f>
        <v>45760</v>
      </c>
      <c r="C3232" s="266" t="str">
        <f>IFERROR(__xludf.DUMMYFUNCTION("""COMPUTED_VALUE"""),"KERTASARI CIAMIS")</f>
        <v>KERTASARI CIAMIS</v>
      </c>
      <c r="D3232" s="186">
        <f>IFERROR(__xludf.DUMMYFUNCTION("""COMPUTED_VALUE"""),20.0)</f>
        <v>20</v>
      </c>
    </row>
    <row r="3233">
      <c r="A3233" s="178" t="str">
        <f>IFERROR(__xludf.DUMMYFUNCTION("""COMPUTED_VALUE"""),"ITBISA-BUZZER-ACTIVE-5V")</f>
        <v>ITBISA-BUZZER-ACTIVE-5V</v>
      </c>
      <c r="B3233" s="266">
        <f>IFERROR(__xludf.DUMMYFUNCTION("""COMPUTED_VALUE"""),45763.0)</f>
        <v>45763</v>
      </c>
      <c r="C3233" s="266" t="str">
        <f>IFERROR(__xludf.DUMMYFUNCTION("""COMPUTED_VALUE"""),"KERTASARI CIAMIS")</f>
        <v>KERTASARI CIAMIS</v>
      </c>
      <c r="D3233" s="186">
        <f>IFERROR(__xludf.DUMMYFUNCTION("""COMPUTED_VALUE"""),20.0)</f>
        <v>20</v>
      </c>
    </row>
    <row r="3234">
      <c r="A3234" s="178" t="str">
        <f>IFERROR(__xludf.DUMMYFUNCTION("""COMPUTED_VALUE"""),"ITBISA-BUZZER-ACTIVE-5V")</f>
        <v>ITBISA-BUZZER-ACTIVE-5V</v>
      </c>
      <c r="B3234" s="266">
        <f>IFERROR(__xludf.DUMMYFUNCTION("""COMPUTED_VALUE"""),45768.0)</f>
        <v>45768</v>
      </c>
      <c r="C3234" s="266" t="str">
        <f>IFERROR(__xludf.DUMMYFUNCTION("""COMPUTED_VALUE"""),"KERTASARI CIAMIS")</f>
        <v>KERTASARI CIAMIS</v>
      </c>
      <c r="D3234" s="186">
        <f>IFERROR(__xludf.DUMMYFUNCTION("""COMPUTED_VALUE"""),10.0)</f>
        <v>10</v>
      </c>
    </row>
    <row r="3235">
      <c r="A3235" s="178" t="str">
        <f>IFERROR(__xludf.DUMMYFUNCTION("""COMPUTED_VALUE"""),"ITBISA-BUZZER-ACTIVE-5V")</f>
        <v>ITBISA-BUZZER-ACTIVE-5V</v>
      </c>
      <c r="B3235" s="266">
        <f>IFERROR(__xludf.DUMMYFUNCTION("""COMPUTED_VALUE"""),45768.0)</f>
        <v>45768</v>
      </c>
      <c r="C3235" s="266" t="str">
        <f>IFERROR(__xludf.DUMMYFUNCTION("""COMPUTED_VALUE"""),"KERTASARI CIAMIS")</f>
        <v>KERTASARI CIAMIS</v>
      </c>
      <c r="D3235" s="186">
        <f>IFERROR(__xludf.DUMMYFUNCTION("""COMPUTED_VALUE"""),20.0)</f>
        <v>20</v>
      </c>
    </row>
    <row r="3236">
      <c r="A3236" s="178" t="str">
        <f>IFERROR(__xludf.DUMMYFUNCTION("""COMPUTED_VALUE"""),"ITBISA-BUZZER-ACTIVE-5V")</f>
        <v>ITBISA-BUZZER-ACTIVE-5V</v>
      </c>
      <c r="B3236" s="266">
        <f>IFERROR(__xludf.DUMMYFUNCTION("""COMPUTED_VALUE"""),45768.0)</f>
        <v>45768</v>
      </c>
      <c r="C3236" s="266" t="str">
        <f>IFERROR(__xludf.DUMMYFUNCTION("""COMPUTED_VALUE"""),"KERTASARI CIAMIS")</f>
        <v>KERTASARI CIAMIS</v>
      </c>
      <c r="D3236" s="186">
        <f>IFERROR(__xludf.DUMMYFUNCTION("""COMPUTED_VALUE"""),1000.0)</f>
        <v>1000</v>
      </c>
    </row>
    <row r="3237">
      <c r="A3237" s="178" t="str">
        <f>IFERROR(__xludf.DUMMYFUNCTION("""COMPUTED_VALUE"""),"ITBISA-BUZZER-ACTIVE-5V")</f>
        <v>ITBISA-BUZZER-ACTIVE-5V</v>
      </c>
      <c r="B3237" s="266">
        <f>IFERROR(__xludf.DUMMYFUNCTION("""COMPUTED_VALUE"""),45769.0)</f>
        <v>45769</v>
      </c>
      <c r="C3237" s="266" t="str">
        <f>IFERROR(__xludf.DUMMYFUNCTION("""COMPUTED_VALUE"""),"KERTASARI CIAMIS")</f>
        <v>KERTASARI CIAMIS</v>
      </c>
      <c r="D3237" s="186">
        <f>IFERROR(__xludf.DUMMYFUNCTION("""COMPUTED_VALUE"""),2.0)</f>
        <v>2</v>
      </c>
    </row>
    <row r="3238">
      <c r="A3238" s="178" t="str">
        <f>IFERROR(__xludf.DUMMYFUNCTION("""COMPUTED_VALUE"""),"ITBISA-BUZZER-ACTIVE-5V")</f>
        <v>ITBISA-BUZZER-ACTIVE-5V</v>
      </c>
      <c r="B3238" s="266">
        <f>IFERROR(__xludf.DUMMYFUNCTION("""COMPUTED_VALUE"""),45776.0)</f>
        <v>45776</v>
      </c>
      <c r="C3238" s="266" t="str">
        <f>IFERROR(__xludf.DUMMYFUNCTION("""COMPUTED_VALUE"""),"KERTASARI CIAMIS")</f>
        <v>KERTASARI CIAMIS</v>
      </c>
      <c r="D3238" s="186">
        <f>IFERROR(__xludf.DUMMYFUNCTION("""COMPUTED_VALUE"""),30.0)</f>
        <v>30</v>
      </c>
    </row>
    <row r="3239">
      <c r="A3239" s="178" t="str">
        <f>IFERROR(__xludf.DUMMYFUNCTION("""COMPUTED_VALUE"""),"ITBISA-BUZZER-ACTIVE-5V")</f>
        <v>ITBISA-BUZZER-ACTIVE-5V</v>
      </c>
      <c r="B3239" s="266">
        <f>IFERROR(__xludf.DUMMYFUNCTION("""COMPUTED_VALUE"""),45783.0)</f>
        <v>45783</v>
      </c>
      <c r="C3239" s="266" t="str">
        <f>IFERROR(__xludf.DUMMYFUNCTION("""COMPUTED_VALUE"""),"KERTASARI CIAMIS")</f>
        <v>KERTASARI CIAMIS</v>
      </c>
      <c r="D3239" s="186">
        <f>IFERROR(__xludf.DUMMYFUNCTION("""COMPUTED_VALUE"""),1.0)</f>
        <v>1</v>
      </c>
    </row>
    <row r="3240">
      <c r="A3240" s="178" t="str">
        <f>IFERROR(__xludf.DUMMYFUNCTION("""COMPUTED_VALUE"""),"ITBISA-BUZZER-ACTIVE-5V")</f>
        <v>ITBISA-BUZZER-ACTIVE-5V</v>
      </c>
      <c r="B3240" s="266">
        <f>IFERROR(__xludf.DUMMYFUNCTION("""COMPUTED_VALUE"""),45785.0)</f>
        <v>45785</v>
      </c>
      <c r="C3240" s="266" t="str">
        <f>IFERROR(__xludf.DUMMYFUNCTION("""COMPUTED_VALUE"""),"KERTASARI CIAMIS")</f>
        <v>KERTASARI CIAMIS</v>
      </c>
      <c r="D3240" s="186">
        <f>IFERROR(__xludf.DUMMYFUNCTION("""COMPUTED_VALUE"""),50.0)</f>
        <v>50</v>
      </c>
    </row>
    <row r="3241">
      <c r="A3241" s="178" t="str">
        <f>IFERROR(__xludf.DUMMYFUNCTION("""COMPUTED_VALUE"""),"ITBISA-BUZZER-ACTIVE-5V")</f>
        <v>ITBISA-BUZZER-ACTIVE-5V</v>
      </c>
      <c r="B3241" s="266">
        <f>IFERROR(__xludf.DUMMYFUNCTION("""COMPUTED_VALUE"""),45786.0)</f>
        <v>45786</v>
      </c>
      <c r="C3241" s="266" t="str">
        <f>IFERROR(__xludf.DUMMYFUNCTION("""COMPUTED_VALUE"""),"KERTASARI CIAMIS")</f>
        <v>KERTASARI CIAMIS</v>
      </c>
      <c r="D3241" s="186">
        <f>IFERROR(__xludf.DUMMYFUNCTION("""COMPUTED_VALUE"""),10.0)</f>
        <v>10</v>
      </c>
    </row>
    <row r="3242">
      <c r="A3242" s="178" t="str">
        <f>IFERROR(__xludf.DUMMYFUNCTION("""COMPUTED_VALUE"""),"ITBISA-BUZZER-ACTIVE-5V")</f>
        <v>ITBISA-BUZZER-ACTIVE-5V</v>
      </c>
      <c r="B3242" s="266">
        <f>IFERROR(__xludf.DUMMYFUNCTION("""COMPUTED_VALUE"""),45786.0)</f>
        <v>45786</v>
      </c>
      <c r="C3242" s="266" t="str">
        <f>IFERROR(__xludf.DUMMYFUNCTION("""COMPUTED_VALUE"""),"KERTASARI CIAMIS")</f>
        <v>KERTASARI CIAMIS</v>
      </c>
      <c r="D3242" s="186">
        <f>IFERROR(__xludf.DUMMYFUNCTION("""COMPUTED_VALUE"""),10.0)</f>
        <v>10</v>
      </c>
    </row>
    <row r="3243">
      <c r="A3243" s="178" t="str">
        <f>IFERROR(__xludf.DUMMYFUNCTION("""COMPUTED_VALUE"""),"ITBISA-BUZZER-ACTIVE-5V")</f>
        <v>ITBISA-BUZZER-ACTIVE-5V</v>
      </c>
      <c r="B3243" s="266">
        <f>IFERROR(__xludf.DUMMYFUNCTION("""COMPUTED_VALUE"""),45793.0)</f>
        <v>45793</v>
      </c>
      <c r="C3243" s="266" t="str">
        <f>IFERROR(__xludf.DUMMYFUNCTION("""COMPUTED_VALUE"""),"KERTASARI CIAMIS")</f>
        <v>KERTASARI CIAMIS</v>
      </c>
      <c r="D3243" s="186">
        <f>IFERROR(__xludf.DUMMYFUNCTION("""COMPUTED_VALUE"""),40.0)</f>
        <v>40</v>
      </c>
    </row>
    <row r="3244">
      <c r="A3244" s="178" t="str">
        <f>IFERROR(__xludf.DUMMYFUNCTION("""COMPUTED_VALUE"""),"ITBISA-BUZZER-ACTIVE-5V")</f>
        <v>ITBISA-BUZZER-ACTIVE-5V</v>
      </c>
      <c r="B3244" s="266">
        <f>IFERROR(__xludf.DUMMYFUNCTION("""COMPUTED_VALUE"""),45794.0)</f>
        <v>45794</v>
      </c>
      <c r="C3244" s="266" t="str">
        <f>IFERROR(__xludf.DUMMYFUNCTION("""COMPUTED_VALUE"""),"KERTASARI CIAMIS")</f>
        <v>KERTASARI CIAMIS</v>
      </c>
      <c r="D3244" s="186">
        <f>IFERROR(__xludf.DUMMYFUNCTION("""COMPUTED_VALUE"""),50.0)</f>
        <v>50</v>
      </c>
    </row>
    <row r="3245">
      <c r="A3245" s="178" t="str">
        <f>IFERROR(__xludf.DUMMYFUNCTION("""COMPUTED_VALUE"""),"ITBISA-BUZZER-ACTIVE-5V")</f>
        <v>ITBISA-BUZZER-ACTIVE-5V</v>
      </c>
      <c r="B3245" s="266">
        <f>IFERROR(__xludf.DUMMYFUNCTION("""COMPUTED_VALUE"""),45803.0)</f>
        <v>45803</v>
      </c>
      <c r="C3245" s="266" t="str">
        <f>IFERROR(__xludf.DUMMYFUNCTION("""COMPUTED_VALUE"""),"KERTASARI CIAMIS")</f>
        <v>KERTASARI CIAMIS</v>
      </c>
      <c r="D3245" s="186">
        <f>IFERROR(__xludf.DUMMYFUNCTION("""COMPUTED_VALUE"""),10.0)</f>
        <v>10</v>
      </c>
    </row>
    <row r="3246">
      <c r="A3246" s="178" t="str">
        <f>IFERROR(__xludf.DUMMYFUNCTION("""COMPUTED_VALUE"""),"ITBISA-BUZZER-ACTIVE-5V")</f>
        <v>ITBISA-BUZZER-ACTIVE-5V</v>
      </c>
      <c r="B3246" s="266">
        <f>IFERROR(__xludf.DUMMYFUNCTION("""COMPUTED_VALUE"""),45808.0)</f>
        <v>45808</v>
      </c>
      <c r="C3246" s="266" t="str">
        <f>IFERROR(__xludf.DUMMYFUNCTION("""COMPUTED_VALUE"""),"KERTASARI CIAMIS")</f>
        <v>KERTASARI CIAMIS</v>
      </c>
      <c r="D3246" s="186">
        <f>IFERROR(__xludf.DUMMYFUNCTION("""COMPUTED_VALUE"""),10.0)</f>
        <v>10</v>
      </c>
    </row>
    <row r="3247">
      <c r="A3247" s="178" t="str">
        <f>IFERROR(__xludf.DUMMYFUNCTION("""COMPUTED_VALUE"""),"ITBISA-BUZZER-ACTIVE-5V")</f>
        <v>ITBISA-BUZZER-ACTIVE-5V</v>
      </c>
      <c r="B3247" s="266">
        <f>IFERROR(__xludf.DUMMYFUNCTION("""COMPUTED_VALUE"""),45808.0)</f>
        <v>45808</v>
      </c>
      <c r="C3247" s="266" t="str">
        <f>IFERROR(__xludf.DUMMYFUNCTION("""COMPUTED_VALUE"""),"KERTASARI CIAMIS")</f>
        <v>KERTASARI CIAMIS</v>
      </c>
      <c r="D3247" s="186">
        <f>IFERROR(__xludf.DUMMYFUNCTION("""COMPUTED_VALUE"""),10.0)</f>
        <v>10</v>
      </c>
    </row>
    <row r="3248">
      <c r="A3248" s="178" t="str">
        <f>IFERROR(__xludf.DUMMYFUNCTION("""COMPUTED_VALUE"""),"ITBISA-BUZZER-ACTIVE-5V")</f>
        <v>ITBISA-BUZZER-ACTIVE-5V</v>
      </c>
      <c r="B3248" s="266">
        <f>IFERROR(__xludf.DUMMYFUNCTION("""COMPUTED_VALUE"""),45808.0)</f>
        <v>45808</v>
      </c>
      <c r="C3248" s="266" t="str">
        <f>IFERROR(__xludf.DUMMYFUNCTION("""COMPUTED_VALUE"""),"KYAI KONTONG")</f>
        <v>KYAI KONTONG</v>
      </c>
      <c r="D3248" s="186">
        <f>IFERROR(__xludf.DUMMYFUNCTION("""COMPUTED_VALUE"""),35.0)</f>
        <v>35</v>
      </c>
    </row>
    <row r="3249">
      <c r="A3249" s="178" t="str">
        <f>IFERROR(__xludf.DUMMYFUNCTION("""COMPUTED_VALUE"""),"ITBISA-BUZZER-ACTIVE-5V")</f>
        <v>ITBISA-BUZZER-ACTIVE-5V</v>
      </c>
      <c r="B3249" s="266">
        <f>IFERROR(__xludf.DUMMYFUNCTION("""COMPUTED_VALUE"""),45814.0)</f>
        <v>45814</v>
      </c>
      <c r="C3249" s="266" t="str">
        <f>IFERROR(__xludf.DUMMYFUNCTION("""COMPUTED_VALUE"""),"KYAI KONTONG")</f>
        <v>KYAI KONTONG</v>
      </c>
      <c r="D3249" s="186">
        <f>IFERROR(__xludf.DUMMYFUNCTION("""COMPUTED_VALUE"""),10.0)</f>
        <v>10</v>
      </c>
    </row>
    <row r="3250">
      <c r="A3250" s="178" t="str">
        <f>IFERROR(__xludf.DUMMYFUNCTION("""COMPUTED_VALUE"""),"ITBISA-BUZZER-ACTIVE-5V")</f>
        <v>ITBISA-BUZZER-ACTIVE-5V</v>
      </c>
      <c r="B3250" s="266">
        <f>IFERROR(__xludf.DUMMYFUNCTION("""COMPUTED_VALUE"""),45820.0)</f>
        <v>45820</v>
      </c>
      <c r="C3250" s="266" t="str">
        <f>IFERROR(__xludf.DUMMYFUNCTION("""COMPUTED_VALUE"""),"KERTASARI CIAMIS")</f>
        <v>KERTASARI CIAMIS</v>
      </c>
      <c r="D3250" s="186">
        <f>IFERROR(__xludf.DUMMYFUNCTION("""COMPUTED_VALUE"""),2.0)</f>
        <v>2</v>
      </c>
    </row>
    <row r="3251">
      <c r="A3251" s="178" t="str">
        <f>IFERROR(__xludf.DUMMYFUNCTION("""COMPUTED_VALUE"""),"ITBISA-BUZZER-ACTIVE-5V")</f>
        <v>ITBISA-BUZZER-ACTIVE-5V</v>
      </c>
      <c r="B3251" s="266">
        <f>IFERROR(__xludf.DUMMYFUNCTION("""COMPUTED_VALUE"""),45825.0)</f>
        <v>45825</v>
      </c>
      <c r="C3251" s="266" t="str">
        <f>IFERROR(__xludf.DUMMYFUNCTION("""COMPUTED_VALUE"""),"KYAI KONTONG")</f>
        <v>KYAI KONTONG</v>
      </c>
      <c r="D3251" s="186">
        <f>IFERROR(__xludf.DUMMYFUNCTION("""COMPUTED_VALUE"""),45.0)</f>
        <v>45</v>
      </c>
    </row>
    <row r="3252">
      <c r="A3252" s="178" t="str">
        <f>IFERROR(__xludf.DUMMYFUNCTION("""COMPUTED_VALUE"""),"ITBISA-BUZZER-ACTIVE-5V")</f>
        <v>ITBISA-BUZZER-ACTIVE-5V</v>
      </c>
      <c r="B3252" s="266">
        <f>IFERROR(__xludf.DUMMYFUNCTION("""COMPUTED_VALUE"""),45836.0)</f>
        <v>45836</v>
      </c>
      <c r="C3252" s="266" t="str">
        <f>IFERROR(__xludf.DUMMYFUNCTION("""COMPUTED_VALUE"""),"KERTASARI CIAMIS")</f>
        <v>KERTASARI CIAMIS</v>
      </c>
      <c r="D3252" s="186">
        <f>IFERROR(__xludf.DUMMYFUNCTION("""COMPUTED_VALUE"""),250.0)</f>
        <v>250</v>
      </c>
    </row>
    <row r="3253">
      <c r="A3253" s="178" t="str">
        <f>IFERROR(__xludf.DUMMYFUNCTION("""COMPUTED_VALUE"""),"ITBISA-BUZZER-ACTIVE-5V")</f>
        <v>ITBISA-BUZZER-ACTIVE-5V</v>
      </c>
      <c r="B3253" s="266">
        <f>IFERROR(__xludf.DUMMYFUNCTION("""COMPUTED_VALUE"""),45845.0)</f>
        <v>45845</v>
      </c>
      <c r="C3253" s="266" t="str">
        <f>IFERROR(__xludf.DUMMYFUNCTION("""COMPUTED_VALUE"""),"KERTASARI CIAMIS")</f>
        <v>KERTASARI CIAMIS</v>
      </c>
      <c r="D3253" s="186">
        <f>IFERROR(__xludf.DUMMYFUNCTION("""COMPUTED_VALUE"""),10.0)</f>
        <v>10</v>
      </c>
    </row>
    <row r="3254">
      <c r="A3254" s="178" t="str">
        <f>IFERROR(__xludf.DUMMYFUNCTION("""COMPUTED_VALUE"""),"ITBISA-BUZZER-ACTIVE-5V")</f>
        <v>ITBISA-BUZZER-ACTIVE-5V</v>
      </c>
      <c r="B3254" s="266">
        <f>IFERROR(__xludf.DUMMYFUNCTION("""COMPUTED_VALUE"""),45855.0)</f>
        <v>45855</v>
      </c>
      <c r="C3254" s="266" t="str">
        <f>IFERROR(__xludf.DUMMYFUNCTION("""COMPUTED_VALUE"""),"KYAI KONTONG")</f>
        <v>KYAI KONTONG</v>
      </c>
      <c r="D3254" s="186">
        <f>IFERROR(__xludf.DUMMYFUNCTION("""COMPUTED_VALUE"""),2.0)</f>
        <v>2</v>
      </c>
    </row>
    <row r="3255">
      <c r="A3255" s="178" t="str">
        <f>IFERROR(__xludf.DUMMYFUNCTION("""COMPUTED_VALUE"""),"ITBISA-BUZZER-ACTIVE-5V")</f>
        <v>ITBISA-BUZZER-ACTIVE-5V</v>
      </c>
      <c r="B3255" s="266">
        <f>IFERROR(__xludf.DUMMYFUNCTION("""COMPUTED_VALUE"""),45864.0)</f>
        <v>45864</v>
      </c>
      <c r="C3255" s="266" t="str">
        <f>IFERROR(__xludf.DUMMYFUNCTION("""COMPUTED_VALUE"""),"KYAI KONTONG")</f>
        <v>KYAI KONTONG</v>
      </c>
      <c r="D3255" s="186">
        <f>IFERROR(__xludf.DUMMYFUNCTION("""COMPUTED_VALUE"""),100.0)</f>
        <v>100</v>
      </c>
    </row>
    <row r="3256">
      <c r="A3256" s="178" t="str">
        <f>IFERROR(__xludf.DUMMYFUNCTION("""COMPUTED_VALUE"""),"ITBISA-BUZZER-ACTIVE-5V")</f>
        <v>ITBISA-BUZZER-ACTIVE-5V</v>
      </c>
      <c r="B3256" s="266">
        <f>IFERROR(__xludf.DUMMYFUNCTION("""COMPUTED_VALUE"""),45869.0)</f>
        <v>45869</v>
      </c>
      <c r="C3256" s="266" t="str">
        <f>IFERROR(__xludf.DUMMYFUNCTION("""COMPUTED_VALUE"""),"KYAI KONTONG")</f>
        <v>KYAI KONTONG</v>
      </c>
      <c r="D3256" s="186">
        <f>IFERROR(__xludf.DUMMYFUNCTION("""COMPUTED_VALUE"""),335.0)</f>
        <v>335</v>
      </c>
    </row>
    <row r="3257">
      <c r="A3257" s="178" t="str">
        <f>IFERROR(__xludf.DUMMYFUNCTION("""COMPUTED_VALUE"""),"ITBISA-BUZZER-ACTIVE-5V")</f>
        <v>ITBISA-BUZZER-ACTIVE-5V</v>
      </c>
      <c r="B3257" s="266">
        <f>IFERROR(__xludf.DUMMYFUNCTION("""COMPUTED_VALUE"""),45874.0)</f>
        <v>45874</v>
      </c>
      <c r="C3257" s="266" t="str">
        <f>IFERROR(__xludf.DUMMYFUNCTION("""COMPUTED_VALUE"""),"KERTASARI CIAMIS")</f>
        <v>KERTASARI CIAMIS</v>
      </c>
      <c r="D3257" s="186">
        <f>IFERROR(__xludf.DUMMYFUNCTION("""COMPUTED_VALUE"""),4.0)</f>
        <v>4</v>
      </c>
    </row>
    <row r="3258">
      <c r="A3258" s="178" t="str">
        <f>IFERROR(__xludf.DUMMYFUNCTION("""COMPUTED_VALUE"""),"ITBISA-BUZZER-ACTIVE-5V")</f>
        <v>ITBISA-BUZZER-ACTIVE-5V</v>
      </c>
      <c r="B3258" s="266">
        <f>IFERROR(__xludf.DUMMYFUNCTION("""COMPUTED_VALUE"""),45895.0)</f>
        <v>45895</v>
      </c>
      <c r="C3258" s="266" t="str">
        <f>IFERROR(__xludf.DUMMYFUNCTION("""COMPUTED_VALUE"""),"KERTASARI CIAMIS")</f>
        <v>KERTASARI CIAMIS</v>
      </c>
      <c r="D3258" s="186">
        <f>IFERROR(__xludf.DUMMYFUNCTION("""COMPUTED_VALUE"""),10.0)</f>
        <v>10</v>
      </c>
    </row>
    <row r="3259">
      <c r="A3259" s="178" t="str">
        <f>IFERROR(__xludf.DUMMYFUNCTION("""COMPUTED_VALUE"""),"ITBISA-BUZZER-ACTIVE-5V")</f>
        <v>ITBISA-BUZZER-ACTIVE-5V</v>
      </c>
      <c r="B3259" s="266">
        <f>IFERROR(__xludf.DUMMYFUNCTION("""COMPUTED_VALUE"""),45928.0)</f>
        <v>45928</v>
      </c>
      <c r="C3259" s="266" t="str">
        <f>IFERROR(__xludf.DUMMYFUNCTION("""COMPUTED_VALUE"""),"KYAI KONTONG")</f>
        <v>KYAI KONTONG</v>
      </c>
      <c r="D3259" s="186">
        <f>IFERROR(__xludf.DUMMYFUNCTION("""COMPUTED_VALUE"""),30.0)</f>
        <v>30</v>
      </c>
    </row>
    <row r="3260">
      <c r="A3260" s="178" t="str">
        <f>IFERROR(__xludf.DUMMYFUNCTION("""COMPUTED_VALUE"""),"ITBISA-BUZZER-ACTIVE-5V")</f>
        <v>ITBISA-BUZZER-ACTIVE-5V</v>
      </c>
      <c r="B3260" s="266">
        <f>IFERROR(__xludf.DUMMYFUNCTION("""COMPUTED_VALUE"""),45938.0)</f>
        <v>45938</v>
      </c>
      <c r="C3260" s="266" t="str">
        <f>IFERROR(__xludf.DUMMYFUNCTION("""COMPUTED_VALUE"""),"KYAI KONTONG")</f>
        <v>KYAI KONTONG</v>
      </c>
      <c r="D3260" s="186">
        <f>IFERROR(__xludf.DUMMYFUNCTION("""COMPUTED_VALUE"""),5.0)</f>
        <v>5</v>
      </c>
    </row>
    <row r="3261">
      <c r="A3261" s="178" t="str">
        <f>IFERROR(__xludf.DUMMYFUNCTION("""COMPUTED_VALUE"""),"ITBISA-BUZZER-ACTIVE-5V")</f>
        <v>ITBISA-BUZZER-ACTIVE-5V</v>
      </c>
      <c r="B3261" s="266">
        <f>IFERROR(__xludf.DUMMYFUNCTION("""COMPUTED_VALUE"""),45942.0)</f>
        <v>45942</v>
      </c>
      <c r="C3261" s="266" t="str">
        <f>IFERROR(__xludf.DUMMYFUNCTION("""COMPUTED_VALUE"""),"KYAI KONTONG")</f>
        <v>KYAI KONTONG</v>
      </c>
      <c r="D3261" s="186">
        <f>IFERROR(__xludf.DUMMYFUNCTION("""COMPUTED_VALUE"""),5.0)</f>
        <v>5</v>
      </c>
    </row>
    <row r="3262">
      <c r="A3262" s="178" t="str">
        <f>IFERROR(__xludf.DUMMYFUNCTION("""COMPUTED_VALUE"""),"ITBISA-BUZZER-ACTIVE-5V")</f>
        <v>ITBISA-BUZZER-ACTIVE-5V</v>
      </c>
      <c r="B3262" s="266">
        <f>IFERROR(__xludf.DUMMYFUNCTION("""COMPUTED_VALUE"""),45943.0)</f>
        <v>45943</v>
      </c>
      <c r="C3262" s="266" t="str">
        <f>IFERROR(__xludf.DUMMYFUNCTION("""COMPUTED_VALUE"""),"KYAI KONTONG")</f>
        <v>KYAI KONTONG</v>
      </c>
      <c r="D3262" s="186">
        <f>IFERROR(__xludf.DUMMYFUNCTION("""COMPUTED_VALUE"""),5.0)</f>
        <v>5</v>
      </c>
    </row>
    <row r="3263">
      <c r="A3263" s="178" t="str">
        <f>IFERROR(__xludf.DUMMYFUNCTION("""COMPUTED_VALUE"""),"ITBISA-BUZZER-ACTIVE-5V")</f>
        <v>ITBISA-BUZZER-ACTIVE-5V</v>
      </c>
      <c r="B3263" s="266">
        <f>IFERROR(__xludf.DUMMYFUNCTION("""COMPUTED_VALUE"""),45943.0)</f>
        <v>45943</v>
      </c>
      <c r="C3263" s="266" t="str">
        <f>IFERROR(__xludf.DUMMYFUNCTION("""COMPUTED_VALUE"""),"KYAI KONTONG")</f>
        <v>KYAI KONTONG</v>
      </c>
      <c r="D3263" s="186">
        <f>IFERROR(__xludf.DUMMYFUNCTION("""COMPUTED_VALUE"""),20.0)</f>
        <v>20</v>
      </c>
    </row>
    <row r="3264">
      <c r="A3264" s="178" t="str">
        <f>IFERROR(__xludf.DUMMYFUNCTION("""COMPUTED_VALUE"""),"ITBISA-BUZZER-ACTIVE-5V")</f>
        <v>ITBISA-BUZZER-ACTIVE-5V</v>
      </c>
      <c r="B3264" s="266">
        <f>IFERROR(__xludf.DUMMYFUNCTION("""COMPUTED_VALUE"""),45944.0)</f>
        <v>45944</v>
      </c>
      <c r="C3264" s="266" t="str">
        <f>IFERROR(__xludf.DUMMYFUNCTION("""COMPUTED_VALUE"""),"KYAI KONTONG")</f>
        <v>KYAI KONTONG</v>
      </c>
      <c r="D3264" s="186">
        <f>IFERROR(__xludf.DUMMYFUNCTION("""COMPUTED_VALUE"""),5.0)</f>
        <v>5</v>
      </c>
    </row>
    <row r="3265">
      <c r="A3265" s="178" t="str">
        <f>IFERROR(__xludf.DUMMYFUNCTION("""COMPUTED_VALUE"""),"ITBISA-BUZZER-ACTIVE-5V")</f>
        <v>ITBISA-BUZZER-ACTIVE-5V</v>
      </c>
      <c r="B3265" s="266">
        <f>IFERROR(__xludf.DUMMYFUNCTION("""COMPUTED_VALUE"""),45948.0)</f>
        <v>45948</v>
      </c>
      <c r="C3265" s="266" t="str">
        <f>IFERROR(__xludf.DUMMYFUNCTION("""COMPUTED_VALUE"""),"KYAI KONTONG")</f>
        <v>KYAI KONTONG</v>
      </c>
      <c r="D3265" s="186">
        <f>IFERROR(__xludf.DUMMYFUNCTION("""COMPUTED_VALUE"""),5.0)</f>
        <v>5</v>
      </c>
    </row>
    <row r="3266">
      <c r="A3266" s="178" t="str">
        <f>IFERROR(__xludf.DUMMYFUNCTION("""COMPUTED_VALUE"""),"ITBISA-BUZZER-ACTIVE-5V")</f>
        <v>ITBISA-BUZZER-ACTIVE-5V</v>
      </c>
      <c r="B3266" s="266">
        <f>IFERROR(__xludf.DUMMYFUNCTION("""COMPUTED_VALUE"""),45955.0)</f>
        <v>45955</v>
      </c>
      <c r="C3266" s="266" t="str">
        <f>IFERROR(__xludf.DUMMYFUNCTION("""COMPUTED_VALUE"""),"KYAI KONTONG")</f>
        <v>KYAI KONTONG</v>
      </c>
      <c r="D3266" s="186">
        <f>IFERROR(__xludf.DUMMYFUNCTION("""COMPUTED_VALUE"""),1.0)</f>
        <v>1</v>
      </c>
    </row>
    <row r="3267">
      <c r="A3267" s="178" t="str">
        <f>IFERROR(__xludf.DUMMYFUNCTION("""COMPUTED_VALUE"""),"ITBISA-BUZZER-ACTIVE-5V")</f>
        <v>ITBISA-BUZZER-ACTIVE-5V</v>
      </c>
      <c r="B3267" s="266">
        <f>IFERROR(__xludf.DUMMYFUNCTION("""COMPUTED_VALUE"""),45957.0)</f>
        <v>45957</v>
      </c>
      <c r="C3267" s="266" t="str">
        <f>IFERROR(__xludf.DUMMYFUNCTION("""COMPUTED_VALUE"""),"KYAI KONTONG")</f>
        <v>KYAI KONTONG</v>
      </c>
      <c r="D3267" s="186">
        <f>IFERROR(__xludf.DUMMYFUNCTION("""COMPUTED_VALUE"""),5.0)</f>
        <v>5</v>
      </c>
    </row>
    <row r="3268">
      <c r="A3268" s="178" t="str">
        <f>IFERROR(__xludf.DUMMYFUNCTION("""COMPUTED_VALUE"""),"ITBISA-BUZZER-ACTIVE-5V")</f>
        <v>ITBISA-BUZZER-ACTIVE-5V</v>
      </c>
      <c r="B3268" s="266">
        <f>IFERROR(__xludf.DUMMYFUNCTION("""COMPUTED_VALUE"""),45960.0)</f>
        <v>45960</v>
      </c>
      <c r="C3268" s="266" t="str">
        <f>IFERROR(__xludf.DUMMYFUNCTION("""COMPUTED_VALUE"""),"KYAI KONTONG")</f>
        <v>KYAI KONTONG</v>
      </c>
      <c r="D3268" s="186">
        <f>IFERROR(__xludf.DUMMYFUNCTION("""COMPUTED_VALUE"""),5.0)</f>
        <v>5</v>
      </c>
    </row>
    <row r="3269">
      <c r="A3269" s="178" t="str">
        <f>IFERROR(__xludf.DUMMYFUNCTION("""COMPUTED_VALUE"""),"ITBISA-BUZZER-ACTIVE-5V")</f>
        <v>ITBISA-BUZZER-ACTIVE-5V</v>
      </c>
      <c r="B3269" s="266">
        <f>IFERROR(__xludf.DUMMYFUNCTION("""COMPUTED_VALUE"""),45966.0)</f>
        <v>45966</v>
      </c>
      <c r="C3269" s="266" t="str">
        <f>IFERROR(__xludf.DUMMYFUNCTION("""COMPUTED_VALUE"""),"KYAI KONTONG")</f>
        <v>KYAI KONTONG</v>
      </c>
      <c r="D3269" s="186">
        <f>IFERROR(__xludf.DUMMYFUNCTION("""COMPUTED_VALUE"""),5.0)</f>
        <v>5</v>
      </c>
    </row>
    <row r="3270">
      <c r="A3270" s="178" t="str">
        <f>IFERROR(__xludf.DUMMYFUNCTION("""COMPUTED_VALUE"""),"ITBISA-BUZZER-ACTIVE-5V")</f>
        <v>ITBISA-BUZZER-ACTIVE-5V</v>
      </c>
      <c r="B3270" s="266">
        <f>IFERROR(__xludf.DUMMYFUNCTION("""COMPUTED_VALUE"""),45972.0)</f>
        <v>45972</v>
      </c>
      <c r="C3270" s="266" t="str">
        <f>IFERROR(__xludf.DUMMYFUNCTION("""COMPUTED_VALUE"""),"KYAI KONTONG")</f>
        <v>KYAI KONTONG</v>
      </c>
      <c r="D3270" s="186">
        <f>IFERROR(__xludf.DUMMYFUNCTION("""COMPUTED_VALUE"""),3.0)</f>
        <v>3</v>
      </c>
    </row>
    <row r="3271">
      <c r="A3271" s="178" t="str">
        <f>IFERROR(__xludf.DUMMYFUNCTION("""COMPUTED_VALUE"""),"ITBISA-BUZZER-ACTIVE-5V")</f>
        <v>ITBISA-BUZZER-ACTIVE-5V</v>
      </c>
      <c r="B3271" s="266">
        <f>IFERROR(__xludf.DUMMYFUNCTION("""COMPUTED_VALUE"""),45975.0)</f>
        <v>45975</v>
      </c>
      <c r="C3271" s="266" t="str">
        <f>IFERROR(__xludf.DUMMYFUNCTION("""COMPUTED_VALUE"""),"KYAI KONTONG")</f>
        <v>KYAI KONTONG</v>
      </c>
      <c r="D3271" s="186">
        <f>IFERROR(__xludf.DUMMYFUNCTION("""COMPUTED_VALUE"""),5.0)</f>
        <v>5</v>
      </c>
    </row>
    <row r="3272">
      <c r="A3272" s="178" t="str">
        <f>IFERROR(__xludf.DUMMYFUNCTION("""COMPUTED_VALUE"""),"ITBISA-BUZZER-ACTIVE-5V")</f>
        <v>ITBISA-BUZZER-ACTIVE-5V</v>
      </c>
      <c r="B3272" s="266">
        <f>IFERROR(__xludf.DUMMYFUNCTION("""COMPUTED_VALUE"""),45980.0)</f>
        <v>45980</v>
      </c>
      <c r="C3272" s="266" t="str">
        <f>IFERROR(__xludf.DUMMYFUNCTION("""COMPUTED_VALUE"""),"KYAI KONTONG")</f>
        <v>KYAI KONTONG</v>
      </c>
      <c r="D3272" s="186">
        <f>IFERROR(__xludf.DUMMYFUNCTION("""COMPUTED_VALUE"""),5.0)</f>
        <v>5</v>
      </c>
    </row>
    <row r="3273">
      <c r="A3273" s="178" t="str">
        <f>IFERROR(__xludf.DUMMYFUNCTION("""COMPUTED_VALUE"""),"ITBISA-BUZZER-ACTIVE-5V")</f>
        <v>ITBISA-BUZZER-ACTIVE-5V</v>
      </c>
      <c r="B3273" s="266">
        <f>IFERROR(__xludf.DUMMYFUNCTION("""COMPUTED_VALUE"""),45987.0)</f>
        <v>45987</v>
      </c>
      <c r="C3273" s="266" t="str">
        <f>IFERROR(__xludf.DUMMYFUNCTION("""COMPUTED_VALUE"""),"KERTASARI CIAMIS")</f>
        <v>KERTASARI CIAMIS</v>
      </c>
      <c r="D3273" s="186">
        <f>IFERROR(__xludf.DUMMYFUNCTION("""COMPUTED_VALUE"""),5.0)</f>
        <v>5</v>
      </c>
    </row>
    <row r="3274">
      <c r="A3274" s="178" t="str">
        <f>IFERROR(__xludf.DUMMYFUNCTION("""COMPUTED_VALUE"""),"ITBISA-BUZZER-ACTIVE-5V")</f>
        <v>ITBISA-BUZZER-ACTIVE-5V</v>
      </c>
      <c r="B3274" s="266">
        <f>IFERROR(__xludf.DUMMYFUNCTION("""COMPUTED_VALUE"""),45995.0)</f>
        <v>45995</v>
      </c>
      <c r="C3274" s="266" t="str">
        <f>IFERROR(__xludf.DUMMYFUNCTION("""COMPUTED_VALUE"""),"KYAI KONTONG")</f>
        <v>KYAI KONTONG</v>
      </c>
      <c r="D3274" s="186">
        <f>IFERROR(__xludf.DUMMYFUNCTION("""COMPUTED_VALUE"""),5.0)</f>
        <v>5</v>
      </c>
    </row>
    <row r="3275">
      <c r="A3275" s="178" t="str">
        <f>IFERROR(__xludf.DUMMYFUNCTION("""COMPUTED_VALUE"""),"ITBISA-BUZZER-ACTIVE-5V")</f>
        <v>ITBISA-BUZZER-ACTIVE-5V</v>
      </c>
      <c r="B3275" s="266">
        <f>IFERROR(__xludf.DUMMYFUNCTION("""COMPUTED_VALUE"""),45996.0)</f>
        <v>45996</v>
      </c>
      <c r="C3275" s="266" t="str">
        <f>IFERROR(__xludf.DUMMYFUNCTION("""COMPUTED_VALUE"""),"KYAI KONTONG")</f>
        <v>KYAI KONTONG</v>
      </c>
      <c r="D3275" s="186">
        <f>IFERROR(__xludf.DUMMYFUNCTION("""COMPUTED_VALUE"""),2.0)</f>
        <v>2</v>
      </c>
    </row>
    <row r="3276">
      <c r="A3276" s="178" t="str">
        <f>IFERROR(__xludf.DUMMYFUNCTION("""COMPUTED_VALUE"""),"ITBISA-BUZZER-ACTIVE-5V")</f>
        <v>ITBISA-BUZZER-ACTIVE-5V</v>
      </c>
      <c r="B3276" s="266">
        <f>IFERROR(__xludf.DUMMYFUNCTION("""COMPUTED_VALUE"""),45996.0)</f>
        <v>45996</v>
      </c>
      <c r="C3276" s="266" t="str">
        <f>IFERROR(__xludf.DUMMYFUNCTION("""COMPUTED_VALUE"""),"KYAI KONTONG")</f>
        <v>KYAI KONTONG</v>
      </c>
      <c r="D3276" s="186">
        <f>IFERROR(__xludf.DUMMYFUNCTION("""COMPUTED_VALUE"""),10.0)</f>
        <v>10</v>
      </c>
    </row>
    <row r="3277">
      <c r="A3277" s="178" t="str">
        <f>IFERROR(__xludf.DUMMYFUNCTION("""COMPUTED_VALUE"""),"ITBISA-BUZZER-ACTIVE-5V")</f>
        <v>ITBISA-BUZZER-ACTIVE-5V</v>
      </c>
      <c r="B3277" s="266">
        <f>IFERROR(__xludf.DUMMYFUNCTION("""COMPUTED_VALUE"""),46002.0)</f>
        <v>46002</v>
      </c>
      <c r="C3277" s="266" t="str">
        <f>IFERROR(__xludf.DUMMYFUNCTION("""COMPUTED_VALUE"""),"KYAI KONTONG")</f>
        <v>KYAI KONTONG</v>
      </c>
      <c r="D3277" s="186">
        <f>IFERROR(__xludf.DUMMYFUNCTION("""COMPUTED_VALUE"""),5.0)</f>
        <v>5</v>
      </c>
    </row>
    <row r="3278">
      <c r="A3278" s="178" t="str">
        <f>IFERROR(__xludf.DUMMYFUNCTION("""COMPUTED_VALUE"""),"ITBISA-BUZZER-ACTIVE-5V")</f>
        <v>ITBISA-BUZZER-ACTIVE-5V</v>
      </c>
      <c r="B3278" s="266">
        <f>IFERROR(__xludf.DUMMYFUNCTION("""COMPUTED_VALUE"""),46006.0)</f>
        <v>46006</v>
      </c>
      <c r="C3278" s="266" t="str">
        <f>IFERROR(__xludf.DUMMYFUNCTION("""COMPUTED_VALUE"""),"KYAI KONTONG")</f>
        <v>KYAI KONTONG</v>
      </c>
      <c r="D3278" s="186">
        <f>IFERROR(__xludf.DUMMYFUNCTION("""COMPUTED_VALUE"""),10.0)</f>
        <v>10</v>
      </c>
    </row>
    <row r="3279">
      <c r="A3279" s="178" t="str">
        <f>IFERROR(__xludf.DUMMYFUNCTION("""COMPUTED_VALUE"""),"ITBISA-BUZZER-ACTIVE-5V")</f>
        <v>ITBISA-BUZZER-ACTIVE-5V</v>
      </c>
      <c r="B3279" s="266">
        <f>IFERROR(__xludf.DUMMYFUNCTION("""COMPUTED_VALUE"""),46008.0)</f>
        <v>46008</v>
      </c>
      <c r="C3279" s="266" t="str">
        <f>IFERROR(__xludf.DUMMYFUNCTION("""COMPUTED_VALUE"""),"KERTASARI CIAMIS")</f>
        <v>KERTASARI CIAMIS</v>
      </c>
      <c r="D3279" s="186">
        <f>IFERROR(__xludf.DUMMYFUNCTION("""COMPUTED_VALUE"""),5.0)</f>
        <v>5</v>
      </c>
    </row>
    <row r="3280">
      <c r="A3280" s="178" t="str">
        <f>IFERROR(__xludf.DUMMYFUNCTION("""COMPUTED_VALUE"""),"ITBISA-BUZZER-ACTIVE-5V")</f>
        <v>ITBISA-BUZZER-ACTIVE-5V</v>
      </c>
      <c r="B3280" s="266">
        <f>IFERROR(__xludf.DUMMYFUNCTION("""COMPUTED_VALUE"""),46009.0)</f>
        <v>46009</v>
      </c>
      <c r="C3280" s="266" t="str">
        <f>IFERROR(__xludf.DUMMYFUNCTION("""COMPUTED_VALUE"""),"KYAI KONTONG")</f>
        <v>KYAI KONTONG</v>
      </c>
      <c r="D3280" s="186">
        <f>IFERROR(__xludf.DUMMYFUNCTION("""COMPUTED_VALUE"""),10.0)</f>
        <v>10</v>
      </c>
    </row>
    <row r="3281">
      <c r="A3281" s="178" t="str">
        <f>IFERROR(__xludf.DUMMYFUNCTION("""COMPUTED_VALUE"""),"ITBISA-BUZZER-ACTIVE-5V")</f>
        <v>ITBISA-BUZZER-ACTIVE-5V</v>
      </c>
      <c r="B3281" s="266">
        <f>IFERROR(__xludf.DUMMYFUNCTION("""COMPUTED_VALUE"""),46010.0)</f>
        <v>46010</v>
      </c>
      <c r="C3281" s="266" t="str">
        <f>IFERROR(__xludf.DUMMYFUNCTION("""COMPUTED_VALUE"""),"KYAI KONTONG")</f>
        <v>KYAI KONTONG</v>
      </c>
      <c r="D3281" s="186">
        <f>IFERROR(__xludf.DUMMYFUNCTION("""COMPUTED_VALUE"""),3.0)</f>
        <v>3</v>
      </c>
    </row>
    <row r="3282">
      <c r="A3282" s="178" t="str">
        <f>IFERROR(__xludf.DUMMYFUNCTION("""COMPUTED_VALUE"""),"ITBISA-BUZZER-ACTIVE-5V")</f>
        <v>ITBISA-BUZZER-ACTIVE-5V</v>
      </c>
      <c r="B3282" s="266">
        <f>IFERROR(__xludf.DUMMYFUNCTION("""COMPUTED_VALUE"""),46015.0)</f>
        <v>46015</v>
      </c>
      <c r="C3282" s="266" t="str">
        <f>IFERROR(__xludf.DUMMYFUNCTION("""COMPUTED_VALUE"""),"KYAI KONTONG")</f>
        <v>KYAI KONTONG</v>
      </c>
      <c r="D3282" s="186">
        <f>IFERROR(__xludf.DUMMYFUNCTION("""COMPUTED_VALUE"""),4.0)</f>
        <v>4</v>
      </c>
    </row>
    <row r="3283">
      <c r="A3283" s="178" t="str">
        <f>IFERROR(__xludf.DUMMYFUNCTION("""COMPUTED_VALUE"""),"ITBISA-BUZZER-ACTIVE-5V")</f>
        <v>ITBISA-BUZZER-ACTIVE-5V</v>
      </c>
      <c r="B3283" s="266">
        <f>IFERROR(__xludf.DUMMYFUNCTION("""COMPUTED_VALUE"""),46016.0)</f>
        <v>46016</v>
      </c>
      <c r="C3283" s="266" t="str">
        <f>IFERROR(__xludf.DUMMYFUNCTION("""COMPUTED_VALUE"""),"KERTASARI CIAMIS")</f>
        <v>KERTASARI CIAMIS</v>
      </c>
      <c r="D3283" s="186">
        <f>IFERROR(__xludf.DUMMYFUNCTION("""COMPUTED_VALUE"""),5.0)</f>
        <v>5</v>
      </c>
    </row>
    <row r="3284">
      <c r="A3284" s="178" t="str">
        <f>IFERROR(__xludf.DUMMYFUNCTION("""COMPUTED_VALUE"""),"ITBISA-BUZZER-ACTIVE-5V")</f>
        <v>ITBISA-BUZZER-ACTIVE-5V</v>
      </c>
      <c r="B3284" s="266">
        <f>IFERROR(__xludf.DUMMYFUNCTION("""COMPUTED_VALUE"""),46019.0)</f>
        <v>46019</v>
      </c>
      <c r="C3284" s="266" t="str">
        <f>IFERROR(__xludf.DUMMYFUNCTION("""COMPUTED_VALUE"""),"KYAI KONTONG")</f>
        <v>KYAI KONTONG</v>
      </c>
      <c r="D3284" s="186">
        <f>IFERROR(__xludf.DUMMYFUNCTION("""COMPUTED_VALUE"""),5.0)</f>
        <v>5</v>
      </c>
    </row>
    <row r="3285">
      <c r="A3285" s="178" t="str">
        <f>IFERROR(__xludf.DUMMYFUNCTION("""COMPUTED_VALUE"""),"ITBISA-CHIP-ESP32-WROOM")</f>
        <v>ITBISA-CHIP-ESP32-WROOM</v>
      </c>
      <c r="B3285" s="266">
        <f>IFERROR(__xludf.DUMMYFUNCTION("""COMPUTED_VALUE"""),45410.0)</f>
        <v>45410</v>
      </c>
      <c r="C3285" s="266" t="str">
        <f>IFERROR(__xludf.DUMMYFUNCTION("""COMPUTED_VALUE"""),"KERTASARI CIAMIS")</f>
        <v>KERTASARI CIAMIS</v>
      </c>
      <c r="D3285" s="186">
        <f>IFERROR(__xludf.DUMMYFUNCTION("""COMPUTED_VALUE"""),23.0)</f>
        <v>23</v>
      </c>
    </row>
    <row r="3286">
      <c r="A3286" s="178" t="str">
        <f>IFERROR(__xludf.DUMMYFUNCTION("""COMPUTED_VALUE"""),"ITBISA-CHIP-ESP32-WROOM")</f>
        <v>ITBISA-CHIP-ESP32-WROOM</v>
      </c>
      <c r="B3286" s="266">
        <f>IFERROR(__xludf.DUMMYFUNCTION("""COMPUTED_VALUE"""),45430.0)</f>
        <v>45430</v>
      </c>
      <c r="C3286" s="266" t="str">
        <f>IFERROR(__xludf.DUMMYFUNCTION("""COMPUTED_VALUE"""),"KERTASARI CIAMIS")</f>
        <v>KERTASARI CIAMIS</v>
      </c>
      <c r="D3286" s="186">
        <f>IFERROR(__xludf.DUMMYFUNCTION("""COMPUTED_VALUE"""),1.0)</f>
        <v>1</v>
      </c>
    </row>
    <row r="3287">
      <c r="A3287" s="178" t="str">
        <f>IFERROR(__xludf.DUMMYFUNCTION("""COMPUTED_VALUE"""),"ITBISA-CHIP-ESP32-WROOM")</f>
        <v>ITBISA-CHIP-ESP32-WROOM</v>
      </c>
      <c r="B3287" s="266">
        <f>IFERROR(__xludf.DUMMYFUNCTION("""COMPUTED_VALUE"""),45477.0)</f>
        <v>45477</v>
      </c>
      <c r="C3287" s="266" t="str">
        <f>IFERROR(__xludf.DUMMYFUNCTION("""COMPUTED_VALUE"""),"KYAI KONTONG")</f>
        <v>KYAI KONTONG</v>
      </c>
      <c r="D3287" s="186">
        <f>IFERROR(__xludf.DUMMYFUNCTION("""COMPUTED_VALUE"""),1.0)</f>
        <v>1</v>
      </c>
    </row>
    <row r="3288">
      <c r="A3288" s="178" t="str">
        <f>IFERROR(__xludf.DUMMYFUNCTION("""COMPUTED_VALUE"""),"ITBISA-CHIP-ESP32-WROOM")</f>
        <v>ITBISA-CHIP-ESP32-WROOM</v>
      </c>
      <c r="B3288" s="266">
        <f>IFERROR(__xludf.DUMMYFUNCTION("""COMPUTED_VALUE"""),45524.0)</f>
        <v>45524</v>
      </c>
      <c r="C3288" s="266" t="str">
        <f>IFERROR(__xludf.DUMMYFUNCTION("""COMPUTED_VALUE"""),"KYAI KONTONG")</f>
        <v>KYAI KONTONG</v>
      </c>
      <c r="D3288" s="186">
        <f>IFERROR(__xludf.DUMMYFUNCTION("""COMPUTED_VALUE"""),3.0)</f>
        <v>3</v>
      </c>
    </row>
    <row r="3289">
      <c r="A3289" s="178" t="str">
        <f>IFERROR(__xludf.DUMMYFUNCTION("""COMPUTED_VALUE"""),"ITBISA-CHIP-ESP32-WROOM")</f>
        <v>ITBISA-CHIP-ESP32-WROOM</v>
      </c>
      <c r="B3289" s="266">
        <f>IFERROR(__xludf.DUMMYFUNCTION("""COMPUTED_VALUE"""),45566.0)</f>
        <v>45566</v>
      </c>
      <c r="C3289" s="266" t="str">
        <f>IFERROR(__xludf.DUMMYFUNCTION("""COMPUTED_VALUE"""),"KERTASARI CIAMIS")</f>
        <v>KERTASARI CIAMIS</v>
      </c>
      <c r="D3289" s="186">
        <f>IFERROR(__xludf.DUMMYFUNCTION("""COMPUTED_VALUE"""),10.0)</f>
        <v>10</v>
      </c>
    </row>
    <row r="3290">
      <c r="A3290" s="178" t="str">
        <f>IFERROR(__xludf.DUMMYFUNCTION("""COMPUTED_VALUE"""),"ITBISA-CHIP-ESP32-WROOM")</f>
        <v>ITBISA-CHIP-ESP32-WROOM</v>
      </c>
      <c r="B3290" s="266">
        <f>IFERROR(__xludf.DUMMYFUNCTION("""COMPUTED_VALUE"""),45598.0)</f>
        <v>45598</v>
      </c>
      <c r="C3290" s="266" t="str">
        <f>IFERROR(__xludf.DUMMYFUNCTION("""COMPUTED_VALUE"""),"KERTASARI CIAMIS")</f>
        <v>KERTASARI CIAMIS</v>
      </c>
      <c r="D3290" s="186">
        <f>IFERROR(__xludf.DUMMYFUNCTION("""COMPUTED_VALUE"""),16.0)</f>
        <v>16</v>
      </c>
    </row>
    <row r="3291">
      <c r="A3291" s="178" t="str">
        <f>IFERROR(__xludf.DUMMYFUNCTION("""COMPUTED_VALUE"""),"ITBISA-CHIP-ESP32-WROOM")</f>
        <v>ITBISA-CHIP-ESP32-WROOM</v>
      </c>
      <c r="B3291" s="266">
        <f>IFERROR(__xludf.DUMMYFUNCTION("""COMPUTED_VALUE"""),45681.0)</f>
        <v>45681</v>
      </c>
      <c r="C3291" s="266" t="str">
        <f>IFERROR(__xludf.DUMMYFUNCTION("""COMPUTED_VALUE"""),"KYAI KONTONG")</f>
        <v>KYAI KONTONG</v>
      </c>
      <c r="D3291" s="186">
        <f>IFERROR(__xludf.DUMMYFUNCTION("""COMPUTED_VALUE"""),10.0)</f>
        <v>10</v>
      </c>
    </row>
    <row r="3292">
      <c r="A3292" s="178" t="str">
        <f>IFERROR(__xludf.DUMMYFUNCTION("""COMPUTED_VALUE"""),"ITBISA-CHIP-ESP32-WROOM")</f>
        <v>ITBISA-CHIP-ESP32-WROOM</v>
      </c>
      <c r="B3292" s="266">
        <f>IFERROR(__xludf.DUMMYFUNCTION("""COMPUTED_VALUE"""),45687.0)</f>
        <v>45687</v>
      </c>
      <c r="C3292" s="266" t="str">
        <f>IFERROR(__xludf.DUMMYFUNCTION("""COMPUTED_VALUE"""),"KYAI KONTONG")</f>
        <v>KYAI KONTONG</v>
      </c>
      <c r="D3292" s="186">
        <f>IFERROR(__xludf.DUMMYFUNCTION("""COMPUTED_VALUE"""),7.0)</f>
        <v>7</v>
      </c>
    </row>
    <row r="3293">
      <c r="A3293" s="178" t="str">
        <f>IFERROR(__xludf.DUMMYFUNCTION("""COMPUTED_VALUE"""),"ITBISA-CHIP-ESP32-WROOM")</f>
        <v>ITBISA-CHIP-ESP32-WROOM</v>
      </c>
      <c r="B3293" s="266">
        <f>IFERROR(__xludf.DUMMYFUNCTION("""COMPUTED_VALUE"""),45719.0)</f>
        <v>45719</v>
      </c>
      <c r="C3293" s="266" t="str">
        <f>IFERROR(__xludf.DUMMYFUNCTION("""COMPUTED_VALUE"""),"KERTASARI CIAMIS")</f>
        <v>KERTASARI CIAMIS</v>
      </c>
      <c r="D3293" s="186">
        <f>IFERROR(__xludf.DUMMYFUNCTION("""COMPUTED_VALUE"""),19.0)</f>
        <v>19</v>
      </c>
    </row>
    <row r="3294">
      <c r="A3294" s="178" t="str">
        <f>IFERROR(__xludf.DUMMYFUNCTION("""COMPUTED_VALUE"""),"ITBISA-CHIP-ESP32-WROOM")</f>
        <v>ITBISA-CHIP-ESP32-WROOM</v>
      </c>
      <c r="B3294" s="266">
        <f>IFERROR(__xludf.DUMMYFUNCTION("""COMPUTED_VALUE"""),45733.0)</f>
        <v>45733</v>
      </c>
      <c r="C3294" s="266" t="str">
        <f>IFERROR(__xludf.DUMMYFUNCTION("""COMPUTED_VALUE"""),"KYAI KONTONG")</f>
        <v>KYAI KONTONG</v>
      </c>
      <c r="D3294" s="186">
        <f>IFERROR(__xludf.DUMMYFUNCTION("""COMPUTED_VALUE"""),7.0)</f>
        <v>7</v>
      </c>
    </row>
    <row r="3295">
      <c r="A3295" s="178" t="str">
        <f>IFERROR(__xludf.DUMMYFUNCTION("""COMPUTED_VALUE"""),"ITBISA-CHIP-ESP32-WROOM")</f>
        <v>ITBISA-CHIP-ESP32-WROOM</v>
      </c>
      <c r="B3295" s="266">
        <f>IFERROR(__xludf.DUMMYFUNCTION("""COMPUTED_VALUE"""),45771.0)</f>
        <v>45771</v>
      </c>
      <c r="C3295" s="266" t="str">
        <f>IFERROR(__xludf.DUMMYFUNCTION("""COMPUTED_VALUE"""),"KYAI KONTONG")</f>
        <v>KYAI KONTONG</v>
      </c>
      <c r="D3295" s="186">
        <f>IFERROR(__xludf.DUMMYFUNCTION("""COMPUTED_VALUE"""),1.0)</f>
        <v>1</v>
      </c>
    </row>
    <row r="3296">
      <c r="A3296" s="178" t="str">
        <f>IFERROR(__xludf.DUMMYFUNCTION("""COMPUTED_VALUE"""),"ITBISA-CHIP-ESP32-WROOM")</f>
        <v>ITBISA-CHIP-ESP32-WROOM</v>
      </c>
      <c r="B3296" s="266">
        <f>IFERROR(__xludf.DUMMYFUNCTION("""COMPUTED_VALUE"""),45784.0)</f>
        <v>45784</v>
      </c>
      <c r="C3296" s="266" t="str">
        <f>IFERROR(__xludf.DUMMYFUNCTION("""COMPUTED_VALUE"""),"KYAI KONTONG")</f>
        <v>KYAI KONTONG</v>
      </c>
      <c r="D3296" s="186">
        <f>IFERROR(__xludf.DUMMYFUNCTION("""COMPUTED_VALUE"""),5.0)</f>
        <v>5</v>
      </c>
    </row>
    <row r="3297">
      <c r="A3297" s="178" t="str">
        <f>IFERROR(__xludf.DUMMYFUNCTION("""COMPUTED_VALUE"""),"ITBISA-CHIP-ESP32-WROOM")</f>
        <v>ITBISA-CHIP-ESP32-WROOM</v>
      </c>
      <c r="B3297" s="266">
        <f>IFERROR(__xludf.DUMMYFUNCTION("""COMPUTED_VALUE"""),45800.0)</f>
        <v>45800</v>
      </c>
      <c r="C3297" s="266" t="str">
        <f>IFERROR(__xludf.DUMMYFUNCTION("""COMPUTED_VALUE"""),"KYAI KONTONG")</f>
        <v>KYAI KONTONG</v>
      </c>
      <c r="D3297" s="186">
        <f>IFERROR(__xludf.DUMMYFUNCTION("""COMPUTED_VALUE"""),4.0)</f>
        <v>4</v>
      </c>
    </row>
    <row r="3298">
      <c r="A3298" s="178" t="str">
        <f>IFERROR(__xludf.DUMMYFUNCTION("""COMPUTED_VALUE"""),"ITBISA-CHIP-ESP32-WROOM")</f>
        <v>ITBISA-CHIP-ESP32-WROOM</v>
      </c>
      <c r="B3298" s="266">
        <f>IFERROR(__xludf.DUMMYFUNCTION("""COMPUTED_VALUE"""),45811.0)</f>
        <v>45811</v>
      </c>
      <c r="C3298" s="266" t="str">
        <f>IFERROR(__xludf.DUMMYFUNCTION("""COMPUTED_VALUE"""),"KYAI KONTONG")</f>
        <v>KYAI KONTONG</v>
      </c>
      <c r="D3298" s="186">
        <f>IFERROR(__xludf.DUMMYFUNCTION("""COMPUTED_VALUE"""),5.0)</f>
        <v>5</v>
      </c>
    </row>
    <row r="3299">
      <c r="A3299" s="178" t="str">
        <f>IFERROR(__xludf.DUMMYFUNCTION("""COMPUTED_VALUE"""),"ITBISA-CHIP-ESP32-WROOM")</f>
        <v>ITBISA-CHIP-ESP32-WROOM</v>
      </c>
      <c r="B3299" s="266">
        <f>IFERROR(__xludf.DUMMYFUNCTION("""COMPUTED_VALUE"""),45830.0)</f>
        <v>45830</v>
      </c>
      <c r="C3299" s="266" t="str">
        <f>IFERROR(__xludf.DUMMYFUNCTION("""COMPUTED_VALUE"""),"KYAI KONTONG")</f>
        <v>KYAI KONTONG</v>
      </c>
      <c r="D3299" s="186">
        <f>IFERROR(__xludf.DUMMYFUNCTION("""COMPUTED_VALUE"""),12.0)</f>
        <v>12</v>
      </c>
    </row>
    <row r="3300">
      <c r="A3300" s="178" t="str">
        <f>IFERROR(__xludf.DUMMYFUNCTION("""COMPUTED_VALUE"""),"ITBISA-CHIP-ESP32-WROOM")</f>
        <v>ITBISA-CHIP-ESP32-WROOM</v>
      </c>
      <c r="B3300" s="266">
        <f>IFERROR(__xludf.DUMMYFUNCTION("""COMPUTED_VALUE"""),45931.0)</f>
        <v>45931</v>
      </c>
      <c r="C3300" s="266" t="str">
        <f>IFERROR(__xludf.DUMMYFUNCTION("""COMPUTED_VALUE"""),"KERTASARI CIAMIS")</f>
        <v>KERTASARI CIAMIS</v>
      </c>
      <c r="D3300" s="186">
        <f>IFERROR(__xludf.DUMMYFUNCTION("""COMPUTED_VALUE"""),25.0)</f>
        <v>25</v>
      </c>
    </row>
    <row r="3301">
      <c r="A3301" s="178" t="str">
        <f>IFERROR(__xludf.DUMMYFUNCTION("""COMPUTED_VALUE"""),"ITBISA-CHIP-ESP32-WROOM")</f>
        <v>ITBISA-CHIP-ESP32-WROOM</v>
      </c>
      <c r="B3301" s="266">
        <f>IFERROR(__xludf.DUMMYFUNCTION("""COMPUTED_VALUE"""),45932.0)</f>
        <v>45932</v>
      </c>
      <c r="C3301" s="266" t="str">
        <f>IFERROR(__xludf.DUMMYFUNCTION("""COMPUTED_VALUE"""),"KERTASARI CIAMIS")</f>
        <v>KERTASARI CIAMIS</v>
      </c>
      <c r="D3301" s="186">
        <f>IFERROR(__xludf.DUMMYFUNCTION("""COMPUTED_VALUE"""),2.0)</f>
        <v>2</v>
      </c>
    </row>
    <row r="3302">
      <c r="A3302" s="178" t="str">
        <f>IFERROR(__xludf.DUMMYFUNCTION("""COMPUTED_VALUE"""),"ITBISA-CHIP-ESP32-WROOM")</f>
        <v>ITBISA-CHIP-ESP32-WROOM</v>
      </c>
      <c r="B3302" s="266">
        <f>IFERROR(__xludf.DUMMYFUNCTION("""COMPUTED_VALUE"""),45934.0)</f>
        <v>45934</v>
      </c>
      <c r="C3302" s="266" t="str">
        <f>IFERROR(__xludf.DUMMYFUNCTION("""COMPUTED_VALUE"""),"KYAI KONTONG")</f>
        <v>KYAI KONTONG</v>
      </c>
      <c r="D3302" s="186">
        <f>IFERROR(__xludf.DUMMYFUNCTION("""COMPUTED_VALUE"""),28.0)</f>
        <v>28</v>
      </c>
    </row>
    <row r="3303">
      <c r="A3303" s="178" t="str">
        <f>IFERROR(__xludf.DUMMYFUNCTION("""COMPUTED_VALUE"""),"ITBISA-CHIP-ESP32-WROOM")</f>
        <v>ITBISA-CHIP-ESP32-WROOM</v>
      </c>
      <c r="B3303" s="266">
        <f>IFERROR(__xludf.DUMMYFUNCTION("""COMPUTED_VALUE"""),45952.0)</f>
        <v>45952</v>
      </c>
      <c r="C3303" s="266" t="str">
        <f>IFERROR(__xludf.DUMMYFUNCTION("""COMPUTED_VALUE"""),"KYAI KONTONG")</f>
        <v>KYAI KONTONG</v>
      </c>
      <c r="D3303" s="186">
        <f>IFERROR(__xludf.DUMMYFUNCTION("""COMPUTED_VALUE"""),1.0)</f>
        <v>1</v>
      </c>
    </row>
    <row r="3304">
      <c r="A3304" s="178" t="str">
        <f>IFERROR(__xludf.DUMMYFUNCTION("""COMPUTED_VALUE"""),"ITBISA-CHIP-ESP32-WROOM")</f>
        <v>ITBISA-CHIP-ESP32-WROOM</v>
      </c>
      <c r="B3304" s="266">
        <f>IFERROR(__xludf.DUMMYFUNCTION("""COMPUTED_VALUE"""),45957.0)</f>
        <v>45957</v>
      </c>
      <c r="C3304" s="266" t="str">
        <f>IFERROR(__xludf.DUMMYFUNCTION("""COMPUTED_VALUE"""),"KYAI KONTONG")</f>
        <v>KYAI KONTONG</v>
      </c>
      <c r="D3304" s="186">
        <f>IFERROR(__xludf.DUMMYFUNCTION("""COMPUTED_VALUE"""),1.0)</f>
        <v>1</v>
      </c>
    </row>
    <row r="3305">
      <c r="A3305" s="178" t="str">
        <f>IFERROR(__xludf.DUMMYFUNCTION("""COMPUTED_VALUE"""),"ITBISA-CHIP-ESP32-WROOM")</f>
        <v>ITBISA-CHIP-ESP32-WROOM</v>
      </c>
      <c r="B3305" s="266">
        <f>IFERROR(__xludf.DUMMYFUNCTION("""COMPUTED_VALUE"""),45997.0)</f>
        <v>45997</v>
      </c>
      <c r="C3305" s="266" t="str">
        <f>IFERROR(__xludf.DUMMYFUNCTION("""COMPUTED_VALUE"""),"KERTASARI CIAMIS")</f>
        <v>KERTASARI CIAMIS</v>
      </c>
      <c r="D3305" s="186">
        <f>IFERROR(__xludf.DUMMYFUNCTION("""COMPUTED_VALUE"""),20.0)</f>
        <v>20</v>
      </c>
    </row>
    <row r="3306">
      <c r="A3306" s="178" t="str">
        <f>IFERROR(__xludf.DUMMYFUNCTION("""COMPUTED_VALUE"""),"ITBISA-CHIP-ESP32-WROOM")</f>
        <v>ITBISA-CHIP-ESP32-WROOM</v>
      </c>
      <c r="B3306" s="266">
        <f>IFERROR(__xludf.DUMMYFUNCTION("""COMPUTED_VALUE"""),46016.0)</f>
        <v>46016</v>
      </c>
      <c r="C3306" s="266" t="str">
        <f>IFERROR(__xludf.DUMMYFUNCTION("""COMPUTED_VALUE"""),"KYAI KONTONG")</f>
        <v>KYAI KONTONG</v>
      </c>
      <c r="D3306" s="186">
        <f>IFERROR(__xludf.DUMMYFUNCTION("""COMPUTED_VALUE"""),9.0)</f>
        <v>9</v>
      </c>
    </row>
    <row r="3307">
      <c r="A3307" s="178" t="str">
        <f>IFERROR(__xludf.DUMMYFUNCTION("""COMPUTED_VALUE"""),"ITBISA-CHIP-ESP8266-ESP12F")</f>
        <v>ITBISA-CHIP-ESP8266-ESP12F</v>
      </c>
      <c r="B3307" s="266">
        <f>IFERROR(__xludf.DUMMYFUNCTION("""COMPUTED_VALUE"""),45373.0)</f>
        <v>45373</v>
      </c>
      <c r="C3307" s="266" t="str">
        <f>IFERROR(__xludf.DUMMYFUNCTION("""COMPUTED_VALUE"""),"KERTASARI CIAMIS")</f>
        <v>KERTASARI CIAMIS</v>
      </c>
      <c r="D3307" s="186">
        <f>IFERROR(__xludf.DUMMYFUNCTION("""COMPUTED_VALUE"""),20.0)</f>
        <v>20</v>
      </c>
    </row>
    <row r="3308">
      <c r="A3308" s="178" t="str">
        <f>IFERROR(__xludf.DUMMYFUNCTION("""COMPUTED_VALUE"""),"ITBISA-CHIP-ESP8266-ESP12F")</f>
        <v>ITBISA-CHIP-ESP8266-ESP12F</v>
      </c>
      <c r="B3308" s="266">
        <f>IFERROR(__xludf.DUMMYFUNCTION("""COMPUTED_VALUE"""),45400.0)</f>
        <v>45400</v>
      </c>
      <c r="C3308" s="266" t="str">
        <f>IFERROR(__xludf.DUMMYFUNCTION("""COMPUTED_VALUE"""),"KERTASARI CIAMIS")</f>
        <v>KERTASARI CIAMIS</v>
      </c>
      <c r="D3308" s="186">
        <f>IFERROR(__xludf.DUMMYFUNCTION("""COMPUTED_VALUE"""),20.0)</f>
        <v>20</v>
      </c>
    </row>
    <row r="3309">
      <c r="A3309" s="178" t="str">
        <f>IFERROR(__xludf.DUMMYFUNCTION("""COMPUTED_VALUE"""),"ITBISA-CHIP-ESP8266-ESP12F")</f>
        <v>ITBISA-CHIP-ESP8266-ESP12F</v>
      </c>
      <c r="B3309" s="266">
        <f>IFERROR(__xludf.DUMMYFUNCTION("""COMPUTED_VALUE"""),45410.0)</f>
        <v>45410</v>
      </c>
      <c r="C3309" s="266" t="str">
        <f>IFERROR(__xludf.DUMMYFUNCTION("""COMPUTED_VALUE"""),"KERTASARI CIAMIS")</f>
        <v>KERTASARI CIAMIS</v>
      </c>
      <c r="D3309" s="186">
        <f>IFERROR(__xludf.DUMMYFUNCTION("""COMPUTED_VALUE"""),12.0)</f>
        <v>12</v>
      </c>
    </row>
    <row r="3310">
      <c r="A3310" s="178" t="str">
        <f>IFERROR(__xludf.DUMMYFUNCTION("""COMPUTED_VALUE"""),"ITBISA-CHIP-ESP8266-ESP12F")</f>
        <v>ITBISA-CHIP-ESP8266-ESP12F</v>
      </c>
      <c r="B3310" s="266">
        <f>IFERROR(__xludf.DUMMYFUNCTION("""COMPUTED_VALUE"""),45452.0)</f>
        <v>45452</v>
      </c>
      <c r="C3310" s="266" t="str">
        <f>IFERROR(__xludf.DUMMYFUNCTION("""COMPUTED_VALUE"""),"KYAI KONTONG")</f>
        <v>KYAI KONTONG</v>
      </c>
      <c r="D3310" s="186">
        <f>IFERROR(__xludf.DUMMYFUNCTION("""COMPUTED_VALUE"""),1.0)</f>
        <v>1</v>
      </c>
    </row>
    <row r="3311">
      <c r="A3311" s="178" t="str">
        <f>IFERROR(__xludf.DUMMYFUNCTION("""COMPUTED_VALUE"""),"ITBISA-CHIP-ESP8266-ESP12F")</f>
        <v>ITBISA-CHIP-ESP8266-ESP12F</v>
      </c>
      <c r="B3311" s="266">
        <f>IFERROR(__xludf.DUMMYFUNCTION("""COMPUTED_VALUE"""),45461.0)</f>
        <v>45461</v>
      </c>
      <c r="C3311" s="266" t="str">
        <f>IFERROR(__xludf.DUMMYFUNCTION("""COMPUTED_VALUE"""),"KYAI KONTONG")</f>
        <v>KYAI KONTONG</v>
      </c>
      <c r="D3311" s="186">
        <f>IFERROR(__xludf.DUMMYFUNCTION("""COMPUTED_VALUE"""),5.0)</f>
        <v>5</v>
      </c>
    </row>
    <row r="3312">
      <c r="A3312" s="178" t="str">
        <f>IFERROR(__xludf.DUMMYFUNCTION("""COMPUTED_VALUE"""),"ITBISA-CHIP-ESP8266-ESP12F")</f>
        <v>ITBISA-CHIP-ESP8266-ESP12F</v>
      </c>
      <c r="B3312" s="266">
        <f>IFERROR(__xludf.DUMMYFUNCTION("""COMPUTED_VALUE"""),45468.0)</f>
        <v>45468</v>
      </c>
      <c r="C3312" s="266" t="str">
        <f>IFERROR(__xludf.DUMMYFUNCTION("""COMPUTED_VALUE"""),"KERTASARI CIAMIS")</f>
        <v>KERTASARI CIAMIS</v>
      </c>
      <c r="D3312" s="186">
        <f>IFERROR(__xludf.DUMMYFUNCTION("""COMPUTED_VALUE"""),1.0)</f>
        <v>1</v>
      </c>
    </row>
    <row r="3313">
      <c r="A3313" s="178" t="str">
        <f>IFERROR(__xludf.DUMMYFUNCTION("""COMPUTED_VALUE"""),"ITBISA-CHIP-ESP8266-ESP12F")</f>
        <v>ITBISA-CHIP-ESP8266-ESP12F</v>
      </c>
      <c r="B3313" s="266">
        <f>IFERROR(__xludf.DUMMYFUNCTION("""COMPUTED_VALUE"""),45478.0)</f>
        <v>45478</v>
      </c>
      <c r="C3313" s="266" t="str">
        <f>IFERROR(__xludf.DUMMYFUNCTION("""COMPUTED_VALUE"""),"KYAI KONTONG")</f>
        <v>KYAI KONTONG</v>
      </c>
      <c r="D3313" s="186">
        <f>IFERROR(__xludf.DUMMYFUNCTION("""COMPUTED_VALUE"""),3.0)</f>
        <v>3</v>
      </c>
    </row>
    <row r="3314">
      <c r="A3314" s="178" t="str">
        <f>IFERROR(__xludf.DUMMYFUNCTION("""COMPUTED_VALUE"""),"ITBISA-CHIP-ESP8266-ESP12F")</f>
        <v>ITBISA-CHIP-ESP8266-ESP12F</v>
      </c>
      <c r="B3314" s="266">
        <f>IFERROR(__xludf.DUMMYFUNCTION("""COMPUTED_VALUE"""),45506.0)</f>
        <v>45506</v>
      </c>
      <c r="C3314" s="266" t="str">
        <f>IFERROR(__xludf.DUMMYFUNCTION("""COMPUTED_VALUE"""),"KYAI KONTONG")</f>
        <v>KYAI KONTONG</v>
      </c>
      <c r="D3314" s="186">
        <f>IFERROR(__xludf.DUMMYFUNCTION("""COMPUTED_VALUE"""),1.0)</f>
        <v>1</v>
      </c>
    </row>
    <row r="3315">
      <c r="A3315" s="178" t="str">
        <f>IFERROR(__xludf.DUMMYFUNCTION("""COMPUTED_VALUE"""),"ITBISA-CHIP-ESP8266-ESP12F")</f>
        <v>ITBISA-CHIP-ESP8266-ESP12F</v>
      </c>
      <c r="B3315" s="266">
        <f>IFERROR(__xludf.DUMMYFUNCTION("""COMPUTED_VALUE"""),45635.0)</f>
        <v>45635</v>
      </c>
      <c r="C3315" s="266" t="str">
        <f>IFERROR(__xludf.DUMMYFUNCTION("""COMPUTED_VALUE"""),"KYAI KONTONG")</f>
        <v>KYAI KONTONG</v>
      </c>
      <c r="D3315" s="186">
        <f>IFERROR(__xludf.DUMMYFUNCTION("""COMPUTED_VALUE"""),15.0)</f>
        <v>15</v>
      </c>
    </row>
    <row r="3316">
      <c r="A3316" s="178" t="str">
        <f>IFERROR(__xludf.DUMMYFUNCTION("""COMPUTED_VALUE"""),"ITBISA-CHIP-ESP8266-ESP12F")</f>
        <v>ITBISA-CHIP-ESP8266-ESP12F</v>
      </c>
      <c r="B3316" s="266">
        <f>IFERROR(__xludf.DUMMYFUNCTION("""COMPUTED_VALUE"""),45684.0)</f>
        <v>45684</v>
      </c>
      <c r="C3316" s="266" t="str">
        <f>IFERROR(__xludf.DUMMYFUNCTION("""COMPUTED_VALUE"""),"KERTASARI CIAMIS")</f>
        <v>KERTASARI CIAMIS</v>
      </c>
      <c r="D3316" s="186">
        <f>IFERROR(__xludf.DUMMYFUNCTION("""COMPUTED_VALUE"""),20.0)</f>
        <v>20</v>
      </c>
    </row>
    <row r="3317">
      <c r="A3317" s="178" t="str">
        <f>IFERROR(__xludf.DUMMYFUNCTION("""COMPUTED_VALUE"""),"ITBISA-CHIP-ESP8266-ESP12F")</f>
        <v>ITBISA-CHIP-ESP8266-ESP12F</v>
      </c>
      <c r="B3317" s="266">
        <f>IFERROR(__xludf.DUMMYFUNCTION("""COMPUTED_VALUE"""),45724.0)</f>
        <v>45724</v>
      </c>
      <c r="C3317" s="266" t="str">
        <f>IFERROR(__xludf.DUMMYFUNCTION("""COMPUTED_VALUE"""),"KERTASARI CIAMIS")</f>
        <v>KERTASARI CIAMIS</v>
      </c>
      <c r="D3317" s="186">
        <f>IFERROR(__xludf.DUMMYFUNCTION("""COMPUTED_VALUE"""),20.0)</f>
        <v>20</v>
      </c>
    </row>
    <row r="3318">
      <c r="A3318" s="178" t="str">
        <f>IFERROR(__xludf.DUMMYFUNCTION("""COMPUTED_VALUE"""),"ITBISA-CHIP-ESP8266-ESP12F")</f>
        <v>ITBISA-CHIP-ESP8266-ESP12F</v>
      </c>
      <c r="B3318" s="266">
        <f>IFERROR(__xludf.DUMMYFUNCTION("""COMPUTED_VALUE"""),45771.0)</f>
        <v>45771</v>
      </c>
      <c r="C3318" s="266" t="str">
        <f>IFERROR(__xludf.DUMMYFUNCTION("""COMPUTED_VALUE"""),"KYAI KONTONG")</f>
        <v>KYAI KONTONG</v>
      </c>
      <c r="D3318" s="186">
        <f>IFERROR(__xludf.DUMMYFUNCTION("""COMPUTED_VALUE"""),8.0)</f>
        <v>8</v>
      </c>
    </row>
    <row r="3319">
      <c r="A3319" s="178" t="str">
        <f>IFERROR(__xludf.DUMMYFUNCTION("""COMPUTED_VALUE"""),"ITBISA-CHIP-ESP8266-ESP12F")</f>
        <v>ITBISA-CHIP-ESP8266-ESP12F</v>
      </c>
      <c r="B3319" s="266">
        <f>IFERROR(__xludf.DUMMYFUNCTION("""COMPUTED_VALUE"""),45831.0)</f>
        <v>45831</v>
      </c>
      <c r="C3319" s="266" t="str">
        <f>IFERROR(__xludf.DUMMYFUNCTION("""COMPUTED_VALUE"""),"KYAI KONTONG")</f>
        <v>KYAI KONTONG</v>
      </c>
      <c r="D3319" s="186">
        <f>IFERROR(__xludf.DUMMYFUNCTION("""COMPUTED_VALUE"""),50.0)</f>
        <v>50</v>
      </c>
    </row>
    <row r="3320">
      <c r="A3320" s="178" t="str">
        <f>IFERROR(__xludf.DUMMYFUNCTION("""COMPUTED_VALUE"""),"ITBISA-CHIP-ESP8266-ESP12F")</f>
        <v>ITBISA-CHIP-ESP8266-ESP12F</v>
      </c>
      <c r="B3320" s="266">
        <f>IFERROR(__xludf.DUMMYFUNCTION("""COMPUTED_VALUE"""),45972.0)</f>
        <v>45972</v>
      </c>
      <c r="C3320" s="266" t="str">
        <f>IFERROR(__xludf.DUMMYFUNCTION("""COMPUTED_VALUE"""),"KYAI KONTONG")</f>
        <v>KYAI KONTONG</v>
      </c>
      <c r="D3320" s="186">
        <f>IFERROR(__xludf.DUMMYFUNCTION("""COMPUTED_VALUE"""),40.0)</f>
        <v>40</v>
      </c>
    </row>
    <row r="3321">
      <c r="A3321" s="178" t="str">
        <f>IFERROR(__xludf.DUMMYFUNCTION("""COMPUTED_VALUE"""),"ITBISA-CHIP-ESP8266-ESP12F")</f>
        <v>ITBISA-CHIP-ESP8266-ESP12F</v>
      </c>
      <c r="B3321" s="266">
        <f>IFERROR(__xludf.DUMMYFUNCTION("""COMPUTED_VALUE"""),45981.0)</f>
        <v>45981</v>
      </c>
      <c r="C3321" s="266" t="str">
        <f>IFERROR(__xludf.DUMMYFUNCTION("""COMPUTED_VALUE"""),"KERTASARI CIAMIS")</f>
        <v>KERTASARI CIAMIS</v>
      </c>
      <c r="D3321" s="186">
        <f>IFERROR(__xludf.DUMMYFUNCTION("""COMPUTED_VALUE"""),1.0)</f>
        <v>1</v>
      </c>
    </row>
    <row r="3322">
      <c r="A3322" s="178" t="str">
        <f>IFERROR(__xludf.DUMMYFUNCTION("""COMPUTED_VALUE"""),"ITBISA-CORSAIR-VENGEANCE-K66")</f>
        <v>ITBISA-CORSAIR-VENGEANCE-K66</v>
      </c>
      <c r="B3322" s="266">
        <f>IFERROR(__xludf.DUMMYFUNCTION("""COMPUTED_VALUE"""),43527.0)</f>
        <v>43527</v>
      </c>
      <c r="C3322" s="266" t="str">
        <f>IFERROR(__xludf.DUMMYFUNCTION("""COMPUTED_VALUE"""),"RUMAH MUZAKKI")</f>
        <v>RUMAH MUZAKKI</v>
      </c>
      <c r="D3322" s="186">
        <f>IFERROR(__xludf.DUMMYFUNCTION("""COMPUTED_VALUE"""),1.0)</f>
        <v>1</v>
      </c>
    </row>
    <row r="3323">
      <c r="A3323" s="178" t="str">
        <f>IFERROR(__xludf.DUMMYFUNCTION("""COMPUTED_VALUE"""),"ITBISA-DC-TO-DC-STEPDOWN-LM2596")</f>
        <v>ITBISA-DC-TO-DC-STEPDOWN-LM2596</v>
      </c>
      <c r="B3323" s="266">
        <f>IFERROR(__xludf.DUMMYFUNCTION("""COMPUTED_VALUE"""),45371.0)</f>
        <v>45371</v>
      </c>
      <c r="C3323" s="266" t="str">
        <f>IFERROR(__xludf.DUMMYFUNCTION("""COMPUTED_VALUE"""),"KERTASARI CIAMIS")</f>
        <v>KERTASARI CIAMIS</v>
      </c>
      <c r="D3323" s="186">
        <f>IFERROR(__xludf.DUMMYFUNCTION("""COMPUTED_VALUE"""),10.0)</f>
        <v>10</v>
      </c>
    </row>
    <row r="3324">
      <c r="A3324" s="178" t="str">
        <f>IFERROR(__xludf.DUMMYFUNCTION("""COMPUTED_VALUE"""),"ITBISA-DC-TO-DC-STEPDOWN-LM2596")</f>
        <v>ITBISA-DC-TO-DC-STEPDOWN-LM2596</v>
      </c>
      <c r="B3324" s="266">
        <f>IFERROR(__xludf.DUMMYFUNCTION("""COMPUTED_VALUE"""),45377.0)</f>
        <v>45377</v>
      </c>
      <c r="C3324" s="266" t="str">
        <f>IFERROR(__xludf.DUMMYFUNCTION("""COMPUTED_VALUE"""),"KERTASARI CIAMIS")</f>
        <v>KERTASARI CIAMIS</v>
      </c>
      <c r="D3324" s="186">
        <f>IFERROR(__xludf.DUMMYFUNCTION("""COMPUTED_VALUE"""),1.0)</f>
        <v>1</v>
      </c>
    </row>
    <row r="3325">
      <c r="A3325" s="178" t="str">
        <f>IFERROR(__xludf.DUMMYFUNCTION("""COMPUTED_VALUE"""),"ITBISA-DC-TO-DC-STEPDOWN-LM2596")</f>
        <v>ITBISA-DC-TO-DC-STEPDOWN-LM2596</v>
      </c>
      <c r="B3325" s="266">
        <f>IFERROR(__xludf.DUMMYFUNCTION("""COMPUTED_VALUE"""),45401.0)</f>
        <v>45401</v>
      </c>
      <c r="C3325" s="266" t="str">
        <f>IFERROR(__xludf.DUMMYFUNCTION("""COMPUTED_VALUE"""),"KERTASARI CIAMIS")</f>
        <v>KERTASARI CIAMIS</v>
      </c>
      <c r="D3325" s="186">
        <f>IFERROR(__xludf.DUMMYFUNCTION("""COMPUTED_VALUE"""),10.0)</f>
        <v>10</v>
      </c>
    </row>
    <row r="3326">
      <c r="A3326" s="178" t="str">
        <f>IFERROR(__xludf.DUMMYFUNCTION("""COMPUTED_VALUE"""),"ITBISA-DC-TO-DC-STEPDOWN-LM2596")</f>
        <v>ITBISA-DC-TO-DC-STEPDOWN-LM2596</v>
      </c>
      <c r="B3326" s="266">
        <f>IFERROR(__xludf.DUMMYFUNCTION("""COMPUTED_VALUE"""),45406.0)</f>
        <v>45406</v>
      </c>
      <c r="C3326" s="266" t="str">
        <f>IFERROR(__xludf.DUMMYFUNCTION("""COMPUTED_VALUE"""),"KERTASARI CIAMIS")</f>
        <v>KERTASARI CIAMIS</v>
      </c>
      <c r="D3326" s="186">
        <f>IFERROR(__xludf.DUMMYFUNCTION("""COMPUTED_VALUE"""),1.0)</f>
        <v>1</v>
      </c>
    </row>
    <row r="3327">
      <c r="A3327" s="178" t="str">
        <f>IFERROR(__xludf.DUMMYFUNCTION("""COMPUTED_VALUE"""),"ITBISA-DC-TO-DC-STEPDOWN-LM2596")</f>
        <v>ITBISA-DC-TO-DC-STEPDOWN-LM2596</v>
      </c>
      <c r="B3327" s="266">
        <f>IFERROR(__xludf.DUMMYFUNCTION("""COMPUTED_VALUE"""),45407.0)</f>
        <v>45407</v>
      </c>
      <c r="C3327" s="266" t="str">
        <f>IFERROR(__xludf.DUMMYFUNCTION("""COMPUTED_VALUE"""),"KERTASARI CIAMIS")</f>
        <v>KERTASARI CIAMIS</v>
      </c>
      <c r="D3327" s="186">
        <f>IFERROR(__xludf.DUMMYFUNCTION("""COMPUTED_VALUE"""),10.0)</f>
        <v>10</v>
      </c>
    </row>
    <row r="3328">
      <c r="A3328" s="178" t="str">
        <f>IFERROR(__xludf.DUMMYFUNCTION("""COMPUTED_VALUE"""),"ITBISA-DC-TO-DC-STEPDOWN-LM2596")</f>
        <v>ITBISA-DC-TO-DC-STEPDOWN-LM2596</v>
      </c>
      <c r="B3328" s="266">
        <f>IFERROR(__xludf.DUMMYFUNCTION("""COMPUTED_VALUE"""),45419.0)</f>
        <v>45419</v>
      </c>
      <c r="C3328" s="266" t="str">
        <f>IFERROR(__xludf.DUMMYFUNCTION("""COMPUTED_VALUE"""),"KERTASARI CIAMIS")</f>
        <v>KERTASARI CIAMIS</v>
      </c>
      <c r="D3328" s="186">
        <f>IFERROR(__xludf.DUMMYFUNCTION("""COMPUTED_VALUE"""),4.0)</f>
        <v>4</v>
      </c>
    </row>
    <row r="3329">
      <c r="A3329" s="178" t="str">
        <f>IFERROR(__xludf.DUMMYFUNCTION("""COMPUTED_VALUE"""),"ITBISA-DC-TO-DC-STEPDOWN-LM2596")</f>
        <v>ITBISA-DC-TO-DC-STEPDOWN-LM2596</v>
      </c>
      <c r="B3329" s="266">
        <f>IFERROR(__xludf.DUMMYFUNCTION("""COMPUTED_VALUE"""),45428.0)</f>
        <v>45428</v>
      </c>
      <c r="C3329" s="266" t="str">
        <f>IFERROR(__xludf.DUMMYFUNCTION("""COMPUTED_VALUE"""),"KERTASARI CIAMIS")</f>
        <v>KERTASARI CIAMIS</v>
      </c>
      <c r="D3329" s="186">
        <f>IFERROR(__xludf.DUMMYFUNCTION("""COMPUTED_VALUE"""),1.0)</f>
        <v>1</v>
      </c>
    </row>
    <row r="3330">
      <c r="A3330" s="178" t="str">
        <f>IFERROR(__xludf.DUMMYFUNCTION("""COMPUTED_VALUE"""),"ITBISA-DC-TO-DC-STEPDOWN-LM2596")</f>
        <v>ITBISA-DC-TO-DC-STEPDOWN-LM2596</v>
      </c>
      <c r="B3330" s="266">
        <f>IFERROR(__xludf.DUMMYFUNCTION("""COMPUTED_VALUE"""),45429.0)</f>
        <v>45429</v>
      </c>
      <c r="C3330" s="266" t="str">
        <f>IFERROR(__xludf.DUMMYFUNCTION("""COMPUTED_VALUE"""),"KERTASARI CIAMIS")</f>
        <v>KERTASARI CIAMIS</v>
      </c>
      <c r="D3330" s="186">
        <f>IFERROR(__xludf.DUMMYFUNCTION("""COMPUTED_VALUE"""),5.0)</f>
        <v>5</v>
      </c>
    </row>
    <row r="3331">
      <c r="A3331" s="178" t="str">
        <f>IFERROR(__xludf.DUMMYFUNCTION("""COMPUTED_VALUE"""),"ITBISA-DC-TO-DC-STEPDOWN-LM2596")</f>
        <v>ITBISA-DC-TO-DC-STEPDOWN-LM2596</v>
      </c>
      <c r="B3331" s="266">
        <f>IFERROR(__xludf.DUMMYFUNCTION("""COMPUTED_VALUE"""),45434.0)</f>
        <v>45434</v>
      </c>
      <c r="C3331" s="266" t="str">
        <f>IFERROR(__xludf.DUMMYFUNCTION("""COMPUTED_VALUE"""),"KERTASARI CIAMIS")</f>
        <v>KERTASARI CIAMIS</v>
      </c>
      <c r="D3331" s="186">
        <f>IFERROR(__xludf.DUMMYFUNCTION("""COMPUTED_VALUE"""),2.0)</f>
        <v>2</v>
      </c>
    </row>
    <row r="3332">
      <c r="A3332" s="178" t="str">
        <f>IFERROR(__xludf.DUMMYFUNCTION("""COMPUTED_VALUE"""),"ITBISA-DC-TO-DC-STEPDOWN-LM2596")</f>
        <v>ITBISA-DC-TO-DC-STEPDOWN-LM2596</v>
      </c>
      <c r="B3332" s="266">
        <f>IFERROR(__xludf.DUMMYFUNCTION("""COMPUTED_VALUE"""),45444.0)</f>
        <v>45444</v>
      </c>
      <c r="C3332" s="266" t="str">
        <f>IFERROR(__xludf.DUMMYFUNCTION("""COMPUTED_VALUE"""),"KYAI KONTONG")</f>
        <v>KYAI KONTONG</v>
      </c>
      <c r="D3332" s="186">
        <f>IFERROR(__xludf.DUMMYFUNCTION("""COMPUTED_VALUE"""),10.0)</f>
        <v>10</v>
      </c>
    </row>
    <row r="3333">
      <c r="A3333" s="178" t="str">
        <f>IFERROR(__xludf.DUMMYFUNCTION("""COMPUTED_VALUE"""),"ITBISA-DC-TO-DC-STEPDOWN-LM2596")</f>
        <v>ITBISA-DC-TO-DC-STEPDOWN-LM2596</v>
      </c>
      <c r="B3333" s="266">
        <f>IFERROR(__xludf.DUMMYFUNCTION("""COMPUTED_VALUE"""),45448.0)</f>
        <v>45448</v>
      </c>
      <c r="C3333" s="266" t="str">
        <f>IFERROR(__xludf.DUMMYFUNCTION("""COMPUTED_VALUE"""),"KYAI KONTONG")</f>
        <v>KYAI KONTONG</v>
      </c>
      <c r="D3333" s="186">
        <f>IFERROR(__xludf.DUMMYFUNCTION("""COMPUTED_VALUE"""),1.0)</f>
        <v>1</v>
      </c>
    </row>
    <row r="3334">
      <c r="A3334" s="178" t="str">
        <f>IFERROR(__xludf.DUMMYFUNCTION("""COMPUTED_VALUE"""),"ITBISA-DC-TO-DC-STEPDOWN-LM2596")</f>
        <v>ITBISA-DC-TO-DC-STEPDOWN-LM2596</v>
      </c>
      <c r="B3334" s="266">
        <f>IFERROR(__xludf.DUMMYFUNCTION("""COMPUTED_VALUE"""),45453.0)</f>
        <v>45453</v>
      </c>
      <c r="C3334" s="266" t="str">
        <f>IFERROR(__xludf.DUMMYFUNCTION("""COMPUTED_VALUE"""),"KERTASARI CIAMIS")</f>
        <v>KERTASARI CIAMIS</v>
      </c>
      <c r="D3334" s="186">
        <f>IFERROR(__xludf.DUMMYFUNCTION("""COMPUTED_VALUE"""),1.0)</f>
        <v>1</v>
      </c>
    </row>
    <row r="3335">
      <c r="A3335" s="178" t="str">
        <f>IFERROR(__xludf.DUMMYFUNCTION("""COMPUTED_VALUE"""),"ITBISA-DC-TO-DC-STEPDOWN-LM2596")</f>
        <v>ITBISA-DC-TO-DC-STEPDOWN-LM2596</v>
      </c>
      <c r="B3335" s="266">
        <f>IFERROR(__xludf.DUMMYFUNCTION("""COMPUTED_VALUE"""),45458.0)</f>
        <v>45458</v>
      </c>
      <c r="C3335" s="266" t="str">
        <f>IFERROR(__xludf.DUMMYFUNCTION("""COMPUTED_VALUE"""),"KERTASARI CIAMIS")</f>
        <v>KERTASARI CIAMIS</v>
      </c>
      <c r="D3335" s="186">
        <f>IFERROR(__xludf.DUMMYFUNCTION("""COMPUTED_VALUE"""),3.0)</f>
        <v>3</v>
      </c>
    </row>
    <row r="3336">
      <c r="A3336" s="178" t="str">
        <f>IFERROR(__xludf.DUMMYFUNCTION("""COMPUTED_VALUE"""),"ITBISA-DC-TO-DC-STEPDOWN-LM2596")</f>
        <v>ITBISA-DC-TO-DC-STEPDOWN-LM2596</v>
      </c>
      <c r="B3336" s="266">
        <f>IFERROR(__xludf.DUMMYFUNCTION("""COMPUTED_VALUE"""),45461.0)</f>
        <v>45461</v>
      </c>
      <c r="C3336" s="266" t="str">
        <f>IFERROR(__xludf.DUMMYFUNCTION("""COMPUTED_VALUE"""),"KERTASARI CIAMIS")</f>
        <v>KERTASARI CIAMIS</v>
      </c>
      <c r="D3336" s="186">
        <f>IFERROR(__xludf.DUMMYFUNCTION("""COMPUTED_VALUE"""),10.0)</f>
        <v>10</v>
      </c>
    </row>
    <row r="3337">
      <c r="A3337" s="178" t="str">
        <f>IFERROR(__xludf.DUMMYFUNCTION("""COMPUTED_VALUE"""),"ITBISA-DC-TO-DC-STEPDOWN-LM2596")</f>
        <v>ITBISA-DC-TO-DC-STEPDOWN-LM2596</v>
      </c>
      <c r="B3337" s="266">
        <f>IFERROR(__xludf.DUMMYFUNCTION("""COMPUTED_VALUE"""),45473.0)</f>
        <v>45473</v>
      </c>
      <c r="C3337" s="266" t="str">
        <f>IFERROR(__xludf.DUMMYFUNCTION("""COMPUTED_VALUE"""),"KERTASARI CIAMIS")</f>
        <v>KERTASARI CIAMIS</v>
      </c>
      <c r="D3337" s="186">
        <f>IFERROR(__xludf.DUMMYFUNCTION("""COMPUTED_VALUE"""),4.0)</f>
        <v>4</v>
      </c>
    </row>
    <row r="3338">
      <c r="A3338" s="178" t="str">
        <f>IFERROR(__xludf.DUMMYFUNCTION("""COMPUTED_VALUE"""),"ITBISA-DC-TO-DC-STEPDOWN-LM2596")</f>
        <v>ITBISA-DC-TO-DC-STEPDOWN-LM2596</v>
      </c>
      <c r="B3338" s="266">
        <f>IFERROR(__xludf.DUMMYFUNCTION("""COMPUTED_VALUE"""),45475.0)</f>
        <v>45475</v>
      </c>
      <c r="C3338" s="266" t="str">
        <f>IFERROR(__xludf.DUMMYFUNCTION("""COMPUTED_VALUE"""),"KYAI KONTONG")</f>
        <v>KYAI KONTONG</v>
      </c>
      <c r="D3338" s="186">
        <f>IFERROR(__xludf.DUMMYFUNCTION("""COMPUTED_VALUE"""),3.0)</f>
        <v>3</v>
      </c>
    </row>
    <row r="3339">
      <c r="A3339" s="178" t="str">
        <f>IFERROR(__xludf.DUMMYFUNCTION("""COMPUTED_VALUE"""),"ITBISA-DC-TO-DC-STEPDOWN-LM2596")</f>
        <v>ITBISA-DC-TO-DC-STEPDOWN-LM2596</v>
      </c>
      <c r="B3339" s="266">
        <f>IFERROR(__xludf.DUMMYFUNCTION("""COMPUTED_VALUE"""),45479.0)</f>
        <v>45479</v>
      </c>
      <c r="C3339" s="266" t="str">
        <f>IFERROR(__xludf.DUMMYFUNCTION("""COMPUTED_VALUE"""),"KERTASARI CIAMIS")</f>
        <v>KERTASARI CIAMIS</v>
      </c>
      <c r="D3339" s="186">
        <f>IFERROR(__xludf.DUMMYFUNCTION("""COMPUTED_VALUE"""),5.0)</f>
        <v>5</v>
      </c>
    </row>
    <row r="3340">
      <c r="A3340" s="178" t="str">
        <f>IFERROR(__xludf.DUMMYFUNCTION("""COMPUTED_VALUE"""),"ITBISA-DC-TO-DC-STEPDOWN-LM2596")</f>
        <v>ITBISA-DC-TO-DC-STEPDOWN-LM2596</v>
      </c>
      <c r="B3340" s="266">
        <f>IFERROR(__xludf.DUMMYFUNCTION("""COMPUTED_VALUE"""),45480.0)</f>
        <v>45480</v>
      </c>
      <c r="C3340" s="266" t="str">
        <f>IFERROR(__xludf.DUMMYFUNCTION("""COMPUTED_VALUE"""),"KYAI KONTONG")</f>
        <v>KYAI KONTONG</v>
      </c>
      <c r="D3340" s="186">
        <f>IFERROR(__xludf.DUMMYFUNCTION("""COMPUTED_VALUE"""),2.0)</f>
        <v>2</v>
      </c>
    </row>
    <row r="3341">
      <c r="A3341" s="178" t="str">
        <f>IFERROR(__xludf.DUMMYFUNCTION("""COMPUTED_VALUE"""),"ITBISA-DC-TO-DC-STEPDOWN-LM2596")</f>
        <v>ITBISA-DC-TO-DC-STEPDOWN-LM2596</v>
      </c>
      <c r="B3341" s="266">
        <f>IFERROR(__xludf.DUMMYFUNCTION("""COMPUTED_VALUE"""),45481.0)</f>
        <v>45481</v>
      </c>
      <c r="C3341" s="266" t="str">
        <f>IFERROR(__xludf.DUMMYFUNCTION("""COMPUTED_VALUE"""),"KERTASARI CIAMIS")</f>
        <v>KERTASARI CIAMIS</v>
      </c>
      <c r="D3341" s="186">
        <f>IFERROR(__xludf.DUMMYFUNCTION("""COMPUTED_VALUE"""),3.0)</f>
        <v>3</v>
      </c>
    </row>
    <row r="3342">
      <c r="A3342" s="178" t="str">
        <f>IFERROR(__xludf.DUMMYFUNCTION("""COMPUTED_VALUE"""),"ITBISA-DC-TO-DC-STEPDOWN-LM2596")</f>
        <v>ITBISA-DC-TO-DC-STEPDOWN-LM2596</v>
      </c>
      <c r="B3342" s="266">
        <f>IFERROR(__xludf.DUMMYFUNCTION("""COMPUTED_VALUE"""),45482.0)</f>
        <v>45482</v>
      </c>
      <c r="C3342" s="266" t="str">
        <f>IFERROR(__xludf.DUMMYFUNCTION("""COMPUTED_VALUE"""),"KYAI KONTONG")</f>
        <v>KYAI KONTONG</v>
      </c>
      <c r="D3342" s="186">
        <f>IFERROR(__xludf.DUMMYFUNCTION("""COMPUTED_VALUE"""),4.0)</f>
        <v>4</v>
      </c>
    </row>
    <row r="3343">
      <c r="A3343" s="178" t="str">
        <f>IFERROR(__xludf.DUMMYFUNCTION("""COMPUTED_VALUE"""),"ITBISA-DC-TO-DC-STEPDOWN-LM2596")</f>
        <v>ITBISA-DC-TO-DC-STEPDOWN-LM2596</v>
      </c>
      <c r="B3343" s="266">
        <f>IFERROR(__xludf.DUMMYFUNCTION("""COMPUTED_VALUE"""),45483.0)</f>
        <v>45483</v>
      </c>
      <c r="C3343" s="266" t="str">
        <f>IFERROR(__xludf.DUMMYFUNCTION("""COMPUTED_VALUE"""),"KYAI KONTONG")</f>
        <v>KYAI KONTONG</v>
      </c>
      <c r="D3343" s="186">
        <f>IFERROR(__xludf.DUMMYFUNCTION("""COMPUTED_VALUE"""),3.0)</f>
        <v>3</v>
      </c>
    </row>
    <row r="3344">
      <c r="A3344" s="178" t="str">
        <f>IFERROR(__xludf.DUMMYFUNCTION("""COMPUTED_VALUE"""),"ITBISA-DC-TO-DC-STEPDOWN-LM2596")</f>
        <v>ITBISA-DC-TO-DC-STEPDOWN-LM2596</v>
      </c>
      <c r="B3344" s="266">
        <f>IFERROR(__xludf.DUMMYFUNCTION("""COMPUTED_VALUE"""),45484.0)</f>
        <v>45484</v>
      </c>
      <c r="C3344" s="266" t="str">
        <f>IFERROR(__xludf.DUMMYFUNCTION("""COMPUTED_VALUE"""),"KYAI KONTONG")</f>
        <v>KYAI KONTONG</v>
      </c>
      <c r="D3344" s="186">
        <f>IFERROR(__xludf.DUMMYFUNCTION("""COMPUTED_VALUE"""),4.0)</f>
        <v>4</v>
      </c>
    </row>
    <row r="3345">
      <c r="A3345" s="178" t="str">
        <f>IFERROR(__xludf.DUMMYFUNCTION("""COMPUTED_VALUE"""),"ITBISA-DC-TO-DC-STEPDOWN-LM2596")</f>
        <v>ITBISA-DC-TO-DC-STEPDOWN-LM2596</v>
      </c>
      <c r="B3345" s="266">
        <f>IFERROR(__xludf.DUMMYFUNCTION("""COMPUTED_VALUE"""),45486.0)</f>
        <v>45486</v>
      </c>
      <c r="C3345" s="266" t="str">
        <f>IFERROR(__xludf.DUMMYFUNCTION("""COMPUTED_VALUE"""),"KERTASARI CIAMIS")</f>
        <v>KERTASARI CIAMIS</v>
      </c>
      <c r="D3345" s="186">
        <f>IFERROR(__xludf.DUMMYFUNCTION("""COMPUTED_VALUE"""),1.0)</f>
        <v>1</v>
      </c>
    </row>
    <row r="3346">
      <c r="A3346" s="178" t="str">
        <f>IFERROR(__xludf.DUMMYFUNCTION("""COMPUTED_VALUE"""),"ITBISA-DC-TO-DC-STEPDOWN-LM2596")</f>
        <v>ITBISA-DC-TO-DC-STEPDOWN-LM2596</v>
      </c>
      <c r="B3346" s="266">
        <f>IFERROR(__xludf.DUMMYFUNCTION("""COMPUTED_VALUE"""),45486.0)</f>
        <v>45486</v>
      </c>
      <c r="C3346" s="266" t="str">
        <f>IFERROR(__xludf.DUMMYFUNCTION("""COMPUTED_VALUE"""),"KERTASARI CIAMIS")</f>
        <v>KERTASARI CIAMIS</v>
      </c>
      <c r="D3346" s="186">
        <f>IFERROR(__xludf.DUMMYFUNCTION("""COMPUTED_VALUE"""),9.0)</f>
        <v>9</v>
      </c>
    </row>
    <row r="3347">
      <c r="A3347" s="178" t="str">
        <f>IFERROR(__xludf.DUMMYFUNCTION("""COMPUTED_VALUE"""),"ITBISA-DC-TO-DC-STEPDOWN-LM2596")</f>
        <v>ITBISA-DC-TO-DC-STEPDOWN-LM2596</v>
      </c>
      <c r="B3347" s="266">
        <f>IFERROR(__xludf.DUMMYFUNCTION("""COMPUTED_VALUE"""),45487.0)</f>
        <v>45487</v>
      </c>
      <c r="C3347" s="266" t="str">
        <f>IFERROR(__xludf.DUMMYFUNCTION("""COMPUTED_VALUE"""),"KERTASARI CIAMIS")</f>
        <v>KERTASARI CIAMIS</v>
      </c>
      <c r="D3347" s="186">
        <f>IFERROR(__xludf.DUMMYFUNCTION("""COMPUTED_VALUE"""),1.0)</f>
        <v>1</v>
      </c>
    </row>
    <row r="3348">
      <c r="A3348" s="178" t="str">
        <f>IFERROR(__xludf.DUMMYFUNCTION("""COMPUTED_VALUE"""),"ITBISA-DC-TO-DC-STEPDOWN-LM2596")</f>
        <v>ITBISA-DC-TO-DC-STEPDOWN-LM2596</v>
      </c>
      <c r="B3348" s="266">
        <f>IFERROR(__xludf.DUMMYFUNCTION("""COMPUTED_VALUE"""),45488.0)</f>
        <v>45488</v>
      </c>
      <c r="C3348" s="266" t="str">
        <f>IFERROR(__xludf.DUMMYFUNCTION("""COMPUTED_VALUE"""),"KERTASARI CIAMIS")</f>
        <v>KERTASARI CIAMIS</v>
      </c>
      <c r="D3348" s="186">
        <f>IFERROR(__xludf.DUMMYFUNCTION("""COMPUTED_VALUE"""),17.0)</f>
        <v>17</v>
      </c>
    </row>
    <row r="3349">
      <c r="A3349" s="178" t="str">
        <f>IFERROR(__xludf.DUMMYFUNCTION("""COMPUTED_VALUE"""),"ITBISA-DC-TO-DC-STEPDOWN-LM2596")</f>
        <v>ITBISA-DC-TO-DC-STEPDOWN-LM2596</v>
      </c>
      <c r="B3349" s="266">
        <f>IFERROR(__xludf.DUMMYFUNCTION("""COMPUTED_VALUE"""),45498.0)</f>
        <v>45498</v>
      </c>
      <c r="C3349" s="266" t="str">
        <f>IFERROR(__xludf.DUMMYFUNCTION("""COMPUTED_VALUE"""),"KERTASARI CIAMIS")</f>
        <v>KERTASARI CIAMIS</v>
      </c>
      <c r="D3349" s="186">
        <f>IFERROR(__xludf.DUMMYFUNCTION("""COMPUTED_VALUE"""),4.0)</f>
        <v>4</v>
      </c>
    </row>
    <row r="3350">
      <c r="A3350" s="178" t="str">
        <f>IFERROR(__xludf.DUMMYFUNCTION("""COMPUTED_VALUE"""),"ITBISA-DC-TO-DC-STEPDOWN-LM2596")</f>
        <v>ITBISA-DC-TO-DC-STEPDOWN-LM2596</v>
      </c>
      <c r="B3350" s="266">
        <f>IFERROR(__xludf.DUMMYFUNCTION("""COMPUTED_VALUE"""),45498.0)</f>
        <v>45498</v>
      </c>
      <c r="C3350" s="266" t="str">
        <f>IFERROR(__xludf.DUMMYFUNCTION("""COMPUTED_VALUE"""),"KYAI KONTONG")</f>
        <v>KYAI KONTONG</v>
      </c>
      <c r="D3350" s="186">
        <f>IFERROR(__xludf.DUMMYFUNCTION("""COMPUTED_VALUE"""),1.0)</f>
        <v>1</v>
      </c>
    </row>
    <row r="3351">
      <c r="A3351" s="178" t="str">
        <f>IFERROR(__xludf.DUMMYFUNCTION("""COMPUTED_VALUE"""),"ITBISA-DC-TO-DC-STEPDOWN-LM2596")</f>
        <v>ITBISA-DC-TO-DC-STEPDOWN-LM2596</v>
      </c>
      <c r="B3351" s="266">
        <f>IFERROR(__xludf.DUMMYFUNCTION("""COMPUTED_VALUE"""),45499.0)</f>
        <v>45499</v>
      </c>
      <c r="C3351" s="266" t="str">
        <f>IFERROR(__xludf.DUMMYFUNCTION("""COMPUTED_VALUE"""),"KYAI KONTONG")</f>
        <v>KYAI KONTONG</v>
      </c>
      <c r="D3351" s="186">
        <f>IFERROR(__xludf.DUMMYFUNCTION("""COMPUTED_VALUE"""),1.0)</f>
        <v>1</v>
      </c>
    </row>
    <row r="3352">
      <c r="A3352" s="178" t="str">
        <f>IFERROR(__xludf.DUMMYFUNCTION("""COMPUTED_VALUE"""),"ITBISA-DC-TO-DC-STEPDOWN-LM2596")</f>
        <v>ITBISA-DC-TO-DC-STEPDOWN-LM2596</v>
      </c>
      <c r="B3352" s="266">
        <f>IFERROR(__xludf.DUMMYFUNCTION("""COMPUTED_VALUE"""),45502.0)</f>
        <v>45502</v>
      </c>
      <c r="C3352" s="266" t="str">
        <f>IFERROR(__xludf.DUMMYFUNCTION("""COMPUTED_VALUE"""),"KYAI KONTONG")</f>
        <v>KYAI KONTONG</v>
      </c>
      <c r="D3352" s="186">
        <f>IFERROR(__xludf.DUMMYFUNCTION("""COMPUTED_VALUE"""),2.0)</f>
        <v>2</v>
      </c>
    </row>
    <row r="3353">
      <c r="A3353" s="178" t="str">
        <f>IFERROR(__xludf.DUMMYFUNCTION("""COMPUTED_VALUE"""),"ITBISA-DC-TO-DC-STEPDOWN-LM2596")</f>
        <v>ITBISA-DC-TO-DC-STEPDOWN-LM2596</v>
      </c>
      <c r="B3353" s="266">
        <f>IFERROR(__xludf.DUMMYFUNCTION("""COMPUTED_VALUE"""),45509.0)</f>
        <v>45509</v>
      </c>
      <c r="C3353" s="266" t="str">
        <f>IFERROR(__xludf.DUMMYFUNCTION("""COMPUTED_VALUE"""),"KYAI KONTONG")</f>
        <v>KYAI KONTONG</v>
      </c>
      <c r="D3353" s="186">
        <f>IFERROR(__xludf.DUMMYFUNCTION("""COMPUTED_VALUE"""),4.0)</f>
        <v>4</v>
      </c>
    </row>
    <row r="3354">
      <c r="A3354" s="178" t="str">
        <f>IFERROR(__xludf.DUMMYFUNCTION("""COMPUTED_VALUE"""),"ITBISA-DC-TO-DC-STEPDOWN-LM2596")</f>
        <v>ITBISA-DC-TO-DC-STEPDOWN-LM2596</v>
      </c>
      <c r="B3354" s="266">
        <f>IFERROR(__xludf.DUMMYFUNCTION("""COMPUTED_VALUE"""),45517.0)</f>
        <v>45517</v>
      </c>
      <c r="C3354" s="266" t="str">
        <f>IFERROR(__xludf.DUMMYFUNCTION("""COMPUTED_VALUE"""),"KERTASARI CIAMIS")</f>
        <v>KERTASARI CIAMIS</v>
      </c>
      <c r="D3354" s="186">
        <f>IFERROR(__xludf.DUMMYFUNCTION("""COMPUTED_VALUE"""),4.0)</f>
        <v>4</v>
      </c>
    </row>
    <row r="3355">
      <c r="A3355" s="178" t="str">
        <f>IFERROR(__xludf.DUMMYFUNCTION("""COMPUTED_VALUE"""),"ITBISA-DC-TO-DC-STEPDOWN-LM2596")</f>
        <v>ITBISA-DC-TO-DC-STEPDOWN-LM2596</v>
      </c>
      <c r="B3355" s="266">
        <f>IFERROR(__xludf.DUMMYFUNCTION("""COMPUTED_VALUE"""),45524.0)</f>
        <v>45524</v>
      </c>
      <c r="C3355" s="266" t="str">
        <f>IFERROR(__xludf.DUMMYFUNCTION("""COMPUTED_VALUE"""),"KYAI KONTONG")</f>
        <v>KYAI KONTONG</v>
      </c>
      <c r="D3355" s="186">
        <f>IFERROR(__xludf.DUMMYFUNCTION("""COMPUTED_VALUE"""),2.0)</f>
        <v>2</v>
      </c>
    </row>
    <row r="3356">
      <c r="A3356" s="178" t="str">
        <f>IFERROR(__xludf.DUMMYFUNCTION("""COMPUTED_VALUE"""),"ITBISA-DC-TO-DC-STEPDOWN-LM2596")</f>
        <v>ITBISA-DC-TO-DC-STEPDOWN-LM2596</v>
      </c>
      <c r="B3356" s="266">
        <f>IFERROR(__xludf.DUMMYFUNCTION("""COMPUTED_VALUE"""),45525.0)</f>
        <v>45525</v>
      </c>
      <c r="C3356" s="266" t="str">
        <f>IFERROR(__xludf.DUMMYFUNCTION("""COMPUTED_VALUE"""),"KYAI KONTONG")</f>
        <v>KYAI KONTONG</v>
      </c>
      <c r="D3356" s="186">
        <f>IFERROR(__xludf.DUMMYFUNCTION("""COMPUTED_VALUE"""),6.0)</f>
        <v>6</v>
      </c>
    </row>
    <row r="3357">
      <c r="A3357" s="178" t="str">
        <f>IFERROR(__xludf.DUMMYFUNCTION("""COMPUTED_VALUE"""),"ITBISA-DC-TO-DC-STEPDOWN-LM2596")</f>
        <v>ITBISA-DC-TO-DC-STEPDOWN-LM2596</v>
      </c>
      <c r="B3357" s="266">
        <f>IFERROR(__xludf.DUMMYFUNCTION("""COMPUTED_VALUE"""),45527.0)</f>
        <v>45527</v>
      </c>
      <c r="C3357" s="266" t="str">
        <f>IFERROR(__xludf.DUMMYFUNCTION("""COMPUTED_VALUE"""),"KYAI KONTONG")</f>
        <v>KYAI KONTONG</v>
      </c>
      <c r="D3357" s="186">
        <f>IFERROR(__xludf.DUMMYFUNCTION("""COMPUTED_VALUE"""),3.0)</f>
        <v>3</v>
      </c>
    </row>
    <row r="3358">
      <c r="A3358" s="178" t="str">
        <f>IFERROR(__xludf.DUMMYFUNCTION("""COMPUTED_VALUE"""),"ITBISA-DC-TO-DC-STEPDOWN-LM2596")</f>
        <v>ITBISA-DC-TO-DC-STEPDOWN-LM2596</v>
      </c>
      <c r="B3358" s="266">
        <f>IFERROR(__xludf.DUMMYFUNCTION("""COMPUTED_VALUE"""),45531.0)</f>
        <v>45531</v>
      </c>
      <c r="C3358" s="266" t="str">
        <f>IFERROR(__xludf.DUMMYFUNCTION("""COMPUTED_VALUE"""),"KYAI KONTONG")</f>
        <v>KYAI KONTONG</v>
      </c>
      <c r="D3358" s="186">
        <f>IFERROR(__xludf.DUMMYFUNCTION("""COMPUTED_VALUE"""),1.0)</f>
        <v>1</v>
      </c>
    </row>
    <row r="3359">
      <c r="A3359" s="178" t="str">
        <f>IFERROR(__xludf.DUMMYFUNCTION("""COMPUTED_VALUE"""),"ITBISA-DC-TO-DC-STEPDOWN-LM2596")</f>
        <v>ITBISA-DC-TO-DC-STEPDOWN-LM2596</v>
      </c>
      <c r="B3359" s="266">
        <f>IFERROR(__xludf.DUMMYFUNCTION("""COMPUTED_VALUE"""),45532.0)</f>
        <v>45532</v>
      </c>
      <c r="C3359" s="266" t="str">
        <f>IFERROR(__xludf.DUMMYFUNCTION("""COMPUTED_VALUE"""),"KYAI KONTONG")</f>
        <v>KYAI KONTONG</v>
      </c>
      <c r="D3359" s="186">
        <f>IFERROR(__xludf.DUMMYFUNCTION("""COMPUTED_VALUE"""),1.0)</f>
        <v>1</v>
      </c>
    </row>
    <row r="3360">
      <c r="A3360" s="178" t="str">
        <f>IFERROR(__xludf.DUMMYFUNCTION("""COMPUTED_VALUE"""),"ITBISA-DC-TO-DC-STEPDOWN-LM2596")</f>
        <v>ITBISA-DC-TO-DC-STEPDOWN-LM2596</v>
      </c>
      <c r="B3360" s="266">
        <f>IFERROR(__xludf.DUMMYFUNCTION("""COMPUTED_VALUE"""),45535.0)</f>
        <v>45535</v>
      </c>
      <c r="C3360" s="266" t="str">
        <f>IFERROR(__xludf.DUMMYFUNCTION("""COMPUTED_VALUE"""),"KERTASARI CIAMIS")</f>
        <v>KERTASARI CIAMIS</v>
      </c>
      <c r="D3360" s="186">
        <f>IFERROR(__xludf.DUMMYFUNCTION("""COMPUTED_VALUE"""),2.0)</f>
        <v>2</v>
      </c>
    </row>
    <row r="3361">
      <c r="A3361" s="178" t="str">
        <f>IFERROR(__xludf.DUMMYFUNCTION("""COMPUTED_VALUE"""),"ITBISA-DC-TO-DC-STEPDOWN-LM2596")</f>
        <v>ITBISA-DC-TO-DC-STEPDOWN-LM2596</v>
      </c>
      <c r="B3361" s="266">
        <f>IFERROR(__xludf.DUMMYFUNCTION("""COMPUTED_VALUE"""),45539.0)</f>
        <v>45539</v>
      </c>
      <c r="C3361" s="266" t="str">
        <f>IFERROR(__xludf.DUMMYFUNCTION("""COMPUTED_VALUE"""),"KYAI KONTONG")</f>
        <v>KYAI KONTONG</v>
      </c>
      <c r="D3361" s="186">
        <f>IFERROR(__xludf.DUMMYFUNCTION("""COMPUTED_VALUE"""),10.0)</f>
        <v>10</v>
      </c>
    </row>
    <row r="3362">
      <c r="A3362" s="178" t="str">
        <f>IFERROR(__xludf.DUMMYFUNCTION("""COMPUTED_VALUE"""),"ITBISA-DC-TO-DC-STEPDOWN-LM2596")</f>
        <v>ITBISA-DC-TO-DC-STEPDOWN-LM2596</v>
      </c>
      <c r="B3362" s="266">
        <f>IFERROR(__xludf.DUMMYFUNCTION("""COMPUTED_VALUE"""),45558.0)</f>
        <v>45558</v>
      </c>
      <c r="C3362" s="266" t="str">
        <f>IFERROR(__xludf.DUMMYFUNCTION("""COMPUTED_VALUE"""),"KYAI KONTONG")</f>
        <v>KYAI KONTONG</v>
      </c>
      <c r="D3362" s="186">
        <f>IFERROR(__xludf.DUMMYFUNCTION("""COMPUTED_VALUE"""),2.0)</f>
        <v>2</v>
      </c>
    </row>
    <row r="3363">
      <c r="A3363" s="178" t="str">
        <f>IFERROR(__xludf.DUMMYFUNCTION("""COMPUTED_VALUE"""),"ITBISA-DC-TO-DC-STEPDOWN-LM2596")</f>
        <v>ITBISA-DC-TO-DC-STEPDOWN-LM2596</v>
      </c>
      <c r="B3363" s="266">
        <f>IFERROR(__xludf.DUMMYFUNCTION("""COMPUTED_VALUE"""),45559.0)</f>
        <v>45559</v>
      </c>
      <c r="C3363" s="266" t="str">
        <f>IFERROR(__xludf.DUMMYFUNCTION("""COMPUTED_VALUE"""),"KERTASARI CIAMIS")</f>
        <v>KERTASARI CIAMIS</v>
      </c>
      <c r="D3363" s="186">
        <f>IFERROR(__xludf.DUMMYFUNCTION("""COMPUTED_VALUE"""),7.0)</f>
        <v>7</v>
      </c>
    </row>
    <row r="3364">
      <c r="A3364" s="178" t="str">
        <f>IFERROR(__xludf.DUMMYFUNCTION("""COMPUTED_VALUE"""),"ITBISA-DC-TO-DC-STEPDOWN-LM2596")</f>
        <v>ITBISA-DC-TO-DC-STEPDOWN-LM2596</v>
      </c>
      <c r="B3364" s="266">
        <f>IFERROR(__xludf.DUMMYFUNCTION("""COMPUTED_VALUE"""),45593.0)</f>
        <v>45593</v>
      </c>
      <c r="C3364" s="266" t="str">
        <f>IFERROR(__xludf.DUMMYFUNCTION("""COMPUTED_VALUE"""),"KERTASARI CIAMIS")</f>
        <v>KERTASARI CIAMIS</v>
      </c>
      <c r="D3364" s="186">
        <f>IFERROR(__xludf.DUMMYFUNCTION("""COMPUTED_VALUE"""),2.0)</f>
        <v>2</v>
      </c>
    </row>
    <row r="3365">
      <c r="A3365" s="178" t="str">
        <f>IFERROR(__xludf.DUMMYFUNCTION("""COMPUTED_VALUE"""),"ITBISA-DC-TO-DC-STEPDOWN-LM2596")</f>
        <v>ITBISA-DC-TO-DC-STEPDOWN-LM2596</v>
      </c>
      <c r="B3365" s="266">
        <f>IFERROR(__xludf.DUMMYFUNCTION("""COMPUTED_VALUE"""),45600.0)</f>
        <v>45600</v>
      </c>
      <c r="C3365" s="266" t="str">
        <f>IFERROR(__xludf.DUMMYFUNCTION("""COMPUTED_VALUE"""),"KERTASARI CIAMIS")</f>
        <v>KERTASARI CIAMIS</v>
      </c>
      <c r="D3365" s="186">
        <f>IFERROR(__xludf.DUMMYFUNCTION("""COMPUTED_VALUE"""),1.0)</f>
        <v>1</v>
      </c>
    </row>
    <row r="3366">
      <c r="A3366" s="178" t="str">
        <f>IFERROR(__xludf.DUMMYFUNCTION("""COMPUTED_VALUE"""),"ITBISA-DC-TO-DC-STEPDOWN-LM2596")</f>
        <v>ITBISA-DC-TO-DC-STEPDOWN-LM2596</v>
      </c>
      <c r="B3366" s="266">
        <f>IFERROR(__xludf.DUMMYFUNCTION("""COMPUTED_VALUE"""),45604.0)</f>
        <v>45604</v>
      </c>
      <c r="C3366" s="266" t="str">
        <f>IFERROR(__xludf.DUMMYFUNCTION("""COMPUTED_VALUE"""),"KYAI KONTONG")</f>
        <v>KYAI KONTONG</v>
      </c>
      <c r="D3366" s="186">
        <f>IFERROR(__xludf.DUMMYFUNCTION("""COMPUTED_VALUE"""),20.0)</f>
        <v>20</v>
      </c>
    </row>
    <row r="3367">
      <c r="A3367" s="178" t="str">
        <f>IFERROR(__xludf.DUMMYFUNCTION("""COMPUTED_VALUE"""),"ITBISA-DC-TO-DC-STEPDOWN-LM2596")</f>
        <v>ITBISA-DC-TO-DC-STEPDOWN-LM2596</v>
      </c>
      <c r="B3367" s="266">
        <f>IFERROR(__xludf.DUMMYFUNCTION("""COMPUTED_VALUE"""),45611.0)</f>
        <v>45611</v>
      </c>
      <c r="C3367" s="266" t="str">
        <f>IFERROR(__xludf.DUMMYFUNCTION("""COMPUTED_VALUE"""),"KERTASARI CIAMIS")</f>
        <v>KERTASARI CIAMIS</v>
      </c>
      <c r="D3367" s="186">
        <f>IFERROR(__xludf.DUMMYFUNCTION("""COMPUTED_VALUE"""),2.0)</f>
        <v>2</v>
      </c>
    </row>
    <row r="3368">
      <c r="A3368" s="178" t="str">
        <f>IFERROR(__xludf.DUMMYFUNCTION("""COMPUTED_VALUE"""),"ITBISA-DC-TO-DC-STEPDOWN-LM2596")</f>
        <v>ITBISA-DC-TO-DC-STEPDOWN-LM2596</v>
      </c>
      <c r="B3368" s="266">
        <f>IFERROR(__xludf.DUMMYFUNCTION("""COMPUTED_VALUE"""),45611.0)</f>
        <v>45611</v>
      </c>
      <c r="C3368" s="266" t="str">
        <f>IFERROR(__xludf.DUMMYFUNCTION("""COMPUTED_VALUE"""),"KYAI KONTONG")</f>
        <v>KYAI KONTONG</v>
      </c>
      <c r="D3368" s="186">
        <f>IFERROR(__xludf.DUMMYFUNCTION("""COMPUTED_VALUE"""),1.0)</f>
        <v>1</v>
      </c>
    </row>
    <row r="3369">
      <c r="A3369" s="178" t="str">
        <f>IFERROR(__xludf.DUMMYFUNCTION("""COMPUTED_VALUE"""),"ITBISA-DC-TO-DC-STEPDOWN-LM2596")</f>
        <v>ITBISA-DC-TO-DC-STEPDOWN-LM2596</v>
      </c>
      <c r="B3369" s="266">
        <f>IFERROR(__xludf.DUMMYFUNCTION("""COMPUTED_VALUE"""),45611.0)</f>
        <v>45611</v>
      </c>
      <c r="C3369" s="266" t="str">
        <f>IFERROR(__xludf.DUMMYFUNCTION("""COMPUTED_VALUE"""),"KYAI KONTONG")</f>
        <v>KYAI KONTONG</v>
      </c>
      <c r="D3369" s="186">
        <f>IFERROR(__xludf.DUMMYFUNCTION("""COMPUTED_VALUE"""),2.0)</f>
        <v>2</v>
      </c>
    </row>
    <row r="3370">
      <c r="A3370" s="178" t="str">
        <f>IFERROR(__xludf.DUMMYFUNCTION("""COMPUTED_VALUE"""),"ITBISA-DC-TO-DC-STEPDOWN-LM2596")</f>
        <v>ITBISA-DC-TO-DC-STEPDOWN-LM2596</v>
      </c>
      <c r="B3370" s="266">
        <f>IFERROR(__xludf.DUMMYFUNCTION("""COMPUTED_VALUE"""),45615.0)</f>
        <v>45615</v>
      </c>
      <c r="C3370" s="266" t="str">
        <f>IFERROR(__xludf.DUMMYFUNCTION("""COMPUTED_VALUE"""),"KERTASARI CIAMIS")</f>
        <v>KERTASARI CIAMIS</v>
      </c>
      <c r="D3370" s="186">
        <f>IFERROR(__xludf.DUMMYFUNCTION("""COMPUTED_VALUE"""),7.0)</f>
        <v>7</v>
      </c>
    </row>
    <row r="3371">
      <c r="A3371" s="178" t="str">
        <f>IFERROR(__xludf.DUMMYFUNCTION("""COMPUTED_VALUE"""),"ITBISA-DC-TO-DC-STEPDOWN-LM2596")</f>
        <v>ITBISA-DC-TO-DC-STEPDOWN-LM2596</v>
      </c>
      <c r="B3371" s="266">
        <f>IFERROR(__xludf.DUMMYFUNCTION("""COMPUTED_VALUE"""),45622.0)</f>
        <v>45622</v>
      </c>
      <c r="C3371" s="266" t="str">
        <f>IFERROR(__xludf.DUMMYFUNCTION("""COMPUTED_VALUE"""),"KYAI KONTONG")</f>
        <v>KYAI KONTONG</v>
      </c>
      <c r="D3371" s="186">
        <f>IFERROR(__xludf.DUMMYFUNCTION("""COMPUTED_VALUE"""),1.0)</f>
        <v>1</v>
      </c>
    </row>
    <row r="3372">
      <c r="A3372" s="178" t="str">
        <f>IFERROR(__xludf.DUMMYFUNCTION("""COMPUTED_VALUE"""),"ITBISA-DC-TO-DC-STEPDOWN-LM2596")</f>
        <v>ITBISA-DC-TO-DC-STEPDOWN-LM2596</v>
      </c>
      <c r="B3372" s="266">
        <f>IFERROR(__xludf.DUMMYFUNCTION("""COMPUTED_VALUE"""),45636.0)</f>
        <v>45636</v>
      </c>
      <c r="C3372" s="266" t="str">
        <f>IFERROR(__xludf.DUMMYFUNCTION("""COMPUTED_VALUE"""),"KYAI KONTONG")</f>
        <v>KYAI KONTONG</v>
      </c>
      <c r="D3372" s="186">
        <f>IFERROR(__xludf.DUMMYFUNCTION("""COMPUTED_VALUE"""),5.0)</f>
        <v>5</v>
      </c>
    </row>
    <row r="3373">
      <c r="A3373" s="178" t="str">
        <f>IFERROR(__xludf.DUMMYFUNCTION("""COMPUTED_VALUE"""),"ITBISA-DC-TO-DC-STEPDOWN-LM2596")</f>
        <v>ITBISA-DC-TO-DC-STEPDOWN-LM2596</v>
      </c>
      <c r="B3373" s="266">
        <f>IFERROR(__xludf.DUMMYFUNCTION("""COMPUTED_VALUE"""),45640.0)</f>
        <v>45640</v>
      </c>
      <c r="C3373" s="266" t="str">
        <f>IFERROR(__xludf.DUMMYFUNCTION("""COMPUTED_VALUE"""),"KERTASARI CIAMIS")</f>
        <v>KERTASARI CIAMIS</v>
      </c>
      <c r="D3373" s="186">
        <f>IFERROR(__xludf.DUMMYFUNCTION("""COMPUTED_VALUE"""),4.0)</f>
        <v>4</v>
      </c>
    </row>
    <row r="3374">
      <c r="A3374" s="178" t="str">
        <f>IFERROR(__xludf.DUMMYFUNCTION("""COMPUTED_VALUE"""),"ITBISA-DC-TO-DC-STEPDOWN-LM2596")</f>
        <v>ITBISA-DC-TO-DC-STEPDOWN-LM2596</v>
      </c>
      <c r="B3374" s="266">
        <f>IFERROR(__xludf.DUMMYFUNCTION("""COMPUTED_VALUE"""),45663.0)</f>
        <v>45663</v>
      </c>
      <c r="C3374" s="266" t="str">
        <f>IFERROR(__xludf.DUMMYFUNCTION("""COMPUTED_VALUE"""),"KERTASARI CIAMIS")</f>
        <v>KERTASARI CIAMIS</v>
      </c>
      <c r="D3374" s="186">
        <f>IFERROR(__xludf.DUMMYFUNCTION("""COMPUTED_VALUE"""),3.0)</f>
        <v>3</v>
      </c>
    </row>
    <row r="3375">
      <c r="A3375" s="178" t="str">
        <f>IFERROR(__xludf.DUMMYFUNCTION("""COMPUTED_VALUE"""),"ITBISA-DC-TO-DC-STEPDOWN-LM2596")</f>
        <v>ITBISA-DC-TO-DC-STEPDOWN-LM2596</v>
      </c>
      <c r="B3375" s="266">
        <f>IFERROR(__xludf.DUMMYFUNCTION("""COMPUTED_VALUE"""),45664.0)</f>
        <v>45664</v>
      </c>
      <c r="C3375" s="266" t="str">
        <f>IFERROR(__xludf.DUMMYFUNCTION("""COMPUTED_VALUE"""),"KERTASARI CIAMIS")</f>
        <v>KERTASARI CIAMIS</v>
      </c>
      <c r="D3375" s="186">
        <f>IFERROR(__xludf.DUMMYFUNCTION("""COMPUTED_VALUE"""),1.0)</f>
        <v>1</v>
      </c>
    </row>
    <row r="3376">
      <c r="A3376" s="178" t="str">
        <f>IFERROR(__xludf.DUMMYFUNCTION("""COMPUTED_VALUE"""),"ITBISA-DC-TO-DC-STEPDOWN-LM2596")</f>
        <v>ITBISA-DC-TO-DC-STEPDOWN-LM2596</v>
      </c>
      <c r="B3376" s="266">
        <f>IFERROR(__xludf.DUMMYFUNCTION("""COMPUTED_VALUE"""),45667.0)</f>
        <v>45667</v>
      </c>
      <c r="C3376" s="266" t="str">
        <f>IFERROR(__xludf.DUMMYFUNCTION("""COMPUTED_VALUE"""),"KERTASARI CIAMIS")</f>
        <v>KERTASARI CIAMIS</v>
      </c>
      <c r="D3376" s="186">
        <f>IFERROR(__xludf.DUMMYFUNCTION("""COMPUTED_VALUE"""),3.0)</f>
        <v>3</v>
      </c>
    </row>
    <row r="3377">
      <c r="A3377" s="178" t="str">
        <f>IFERROR(__xludf.DUMMYFUNCTION("""COMPUTED_VALUE"""),"ITBISA-DC-TO-DC-STEPDOWN-LM2596")</f>
        <v>ITBISA-DC-TO-DC-STEPDOWN-LM2596</v>
      </c>
      <c r="B3377" s="266">
        <f>IFERROR(__xludf.DUMMYFUNCTION("""COMPUTED_VALUE"""),45668.0)</f>
        <v>45668</v>
      </c>
      <c r="C3377" s="266" t="str">
        <f>IFERROR(__xludf.DUMMYFUNCTION("""COMPUTED_VALUE"""),"KYAI KONTONG")</f>
        <v>KYAI KONTONG</v>
      </c>
      <c r="D3377" s="186">
        <f>IFERROR(__xludf.DUMMYFUNCTION("""COMPUTED_VALUE"""),2.0)</f>
        <v>2</v>
      </c>
    </row>
    <row r="3378">
      <c r="A3378" s="178" t="str">
        <f>IFERROR(__xludf.DUMMYFUNCTION("""COMPUTED_VALUE"""),"ITBISA-DC-TO-DC-STEPDOWN-LM2596")</f>
        <v>ITBISA-DC-TO-DC-STEPDOWN-LM2596</v>
      </c>
      <c r="B3378" s="266">
        <f>IFERROR(__xludf.DUMMYFUNCTION("""COMPUTED_VALUE"""),45676.0)</f>
        <v>45676</v>
      </c>
      <c r="C3378" s="266" t="str">
        <f>IFERROR(__xludf.DUMMYFUNCTION("""COMPUTED_VALUE"""),"KERTASARI CIAMIS")</f>
        <v>KERTASARI CIAMIS</v>
      </c>
      <c r="D3378" s="186">
        <f>IFERROR(__xludf.DUMMYFUNCTION("""COMPUTED_VALUE"""),3.0)</f>
        <v>3</v>
      </c>
    </row>
    <row r="3379">
      <c r="A3379" s="178" t="str">
        <f>IFERROR(__xludf.DUMMYFUNCTION("""COMPUTED_VALUE"""),"ITBISA-DC-TO-DC-STEPDOWN-LM2596")</f>
        <v>ITBISA-DC-TO-DC-STEPDOWN-LM2596</v>
      </c>
      <c r="B3379" s="266">
        <f>IFERROR(__xludf.DUMMYFUNCTION("""COMPUTED_VALUE"""),45677.0)</f>
        <v>45677</v>
      </c>
      <c r="C3379" s="266" t="str">
        <f>IFERROR(__xludf.DUMMYFUNCTION("""COMPUTED_VALUE"""),"KERTASARI CIAMIS")</f>
        <v>KERTASARI CIAMIS</v>
      </c>
      <c r="D3379" s="186">
        <f>IFERROR(__xludf.DUMMYFUNCTION("""COMPUTED_VALUE"""),3.0)</f>
        <v>3</v>
      </c>
    </row>
    <row r="3380">
      <c r="A3380" s="178" t="str">
        <f>IFERROR(__xludf.DUMMYFUNCTION("""COMPUTED_VALUE"""),"ITBISA-DC-TO-DC-STEPDOWN-LM2596")</f>
        <v>ITBISA-DC-TO-DC-STEPDOWN-LM2596</v>
      </c>
      <c r="B3380" s="266">
        <f>IFERROR(__xludf.DUMMYFUNCTION("""COMPUTED_VALUE"""),45692.0)</f>
        <v>45692</v>
      </c>
      <c r="C3380" s="266" t="str">
        <f>IFERROR(__xludf.DUMMYFUNCTION("""COMPUTED_VALUE"""),"KYAI KONTONG")</f>
        <v>KYAI KONTONG</v>
      </c>
      <c r="D3380" s="186">
        <f>IFERROR(__xludf.DUMMYFUNCTION("""COMPUTED_VALUE"""),50.0)</f>
        <v>50</v>
      </c>
    </row>
    <row r="3381">
      <c r="A3381" s="178" t="str">
        <f>IFERROR(__xludf.DUMMYFUNCTION("""COMPUTED_VALUE"""),"ITBISA-DC-TO-DC-STEPDOWN-LM2596")</f>
        <v>ITBISA-DC-TO-DC-STEPDOWN-LM2596</v>
      </c>
      <c r="B3381" s="266">
        <f>IFERROR(__xludf.DUMMYFUNCTION("""COMPUTED_VALUE"""),45697.0)</f>
        <v>45697</v>
      </c>
      <c r="C3381" s="266" t="str">
        <f>IFERROR(__xludf.DUMMYFUNCTION("""COMPUTED_VALUE"""),"KERTASARI CIAMIS")</f>
        <v>KERTASARI CIAMIS</v>
      </c>
      <c r="D3381" s="186">
        <f>IFERROR(__xludf.DUMMYFUNCTION("""COMPUTED_VALUE"""),4.0)</f>
        <v>4</v>
      </c>
    </row>
    <row r="3382">
      <c r="A3382" s="178" t="str">
        <f>IFERROR(__xludf.DUMMYFUNCTION("""COMPUTED_VALUE"""),"ITBISA-DC-TO-DC-STEPDOWN-LM2596")</f>
        <v>ITBISA-DC-TO-DC-STEPDOWN-LM2596</v>
      </c>
      <c r="B3382" s="266">
        <f>IFERROR(__xludf.DUMMYFUNCTION("""COMPUTED_VALUE"""),45698.0)</f>
        <v>45698</v>
      </c>
      <c r="C3382" s="266" t="str">
        <f>IFERROR(__xludf.DUMMYFUNCTION("""COMPUTED_VALUE"""),"KYAI KONTONG")</f>
        <v>KYAI KONTONG</v>
      </c>
      <c r="D3382" s="186">
        <f>IFERROR(__xludf.DUMMYFUNCTION("""COMPUTED_VALUE"""),1.0)</f>
        <v>1</v>
      </c>
    </row>
    <row r="3383">
      <c r="A3383" s="178" t="str">
        <f>IFERROR(__xludf.DUMMYFUNCTION("""COMPUTED_VALUE"""),"ITBISA-DC-TO-DC-STEPDOWN-LM2596")</f>
        <v>ITBISA-DC-TO-DC-STEPDOWN-LM2596</v>
      </c>
      <c r="B3383" s="266">
        <f>IFERROR(__xludf.DUMMYFUNCTION("""COMPUTED_VALUE"""),45708.0)</f>
        <v>45708</v>
      </c>
      <c r="C3383" s="266" t="str">
        <f>IFERROR(__xludf.DUMMYFUNCTION("""COMPUTED_VALUE"""),"KYAI KONTONG")</f>
        <v>KYAI KONTONG</v>
      </c>
      <c r="D3383" s="186">
        <f>IFERROR(__xludf.DUMMYFUNCTION("""COMPUTED_VALUE"""),1.0)</f>
        <v>1</v>
      </c>
    </row>
    <row r="3384">
      <c r="A3384" s="178" t="str">
        <f>IFERROR(__xludf.DUMMYFUNCTION("""COMPUTED_VALUE"""),"ITBISA-DC-TO-DC-STEPDOWN-LM2596")</f>
        <v>ITBISA-DC-TO-DC-STEPDOWN-LM2596</v>
      </c>
      <c r="B3384" s="266">
        <f>IFERROR(__xludf.DUMMYFUNCTION("""COMPUTED_VALUE"""),45716.0)</f>
        <v>45716</v>
      </c>
      <c r="C3384" s="266" t="str">
        <f>IFERROR(__xludf.DUMMYFUNCTION("""COMPUTED_VALUE"""),"KYAI KONTONG")</f>
        <v>KYAI KONTONG</v>
      </c>
      <c r="D3384" s="186">
        <f>IFERROR(__xludf.DUMMYFUNCTION("""COMPUTED_VALUE"""),10.0)</f>
        <v>10</v>
      </c>
    </row>
    <row r="3385">
      <c r="A3385" s="178" t="str">
        <f>IFERROR(__xludf.DUMMYFUNCTION("""COMPUTED_VALUE"""),"ITBISA-DC-TO-DC-STEPDOWN-LM2596")</f>
        <v>ITBISA-DC-TO-DC-STEPDOWN-LM2596</v>
      </c>
      <c r="B3385" s="266">
        <f>IFERROR(__xludf.DUMMYFUNCTION("""COMPUTED_VALUE"""),45723.0)</f>
        <v>45723</v>
      </c>
      <c r="C3385" s="266" t="str">
        <f>IFERROR(__xludf.DUMMYFUNCTION("""COMPUTED_VALUE"""),"KERTASARI CIAMIS")</f>
        <v>KERTASARI CIAMIS</v>
      </c>
      <c r="D3385" s="186">
        <f>IFERROR(__xludf.DUMMYFUNCTION("""COMPUTED_VALUE"""),1.0)</f>
        <v>1</v>
      </c>
    </row>
    <row r="3386">
      <c r="A3386" s="178" t="str">
        <f>IFERROR(__xludf.DUMMYFUNCTION("""COMPUTED_VALUE"""),"ITBISA-DC-TO-DC-STEPDOWN-LM2596")</f>
        <v>ITBISA-DC-TO-DC-STEPDOWN-LM2596</v>
      </c>
      <c r="B3386" s="266">
        <f>IFERROR(__xludf.DUMMYFUNCTION("""COMPUTED_VALUE"""),45723.0)</f>
        <v>45723</v>
      </c>
      <c r="C3386" s="266" t="str">
        <f>IFERROR(__xludf.DUMMYFUNCTION("""COMPUTED_VALUE"""),"KERTASARI CIAMIS")</f>
        <v>KERTASARI CIAMIS</v>
      </c>
      <c r="D3386" s="186">
        <f>IFERROR(__xludf.DUMMYFUNCTION("""COMPUTED_VALUE"""),3.0)</f>
        <v>3</v>
      </c>
    </row>
    <row r="3387">
      <c r="A3387" s="178" t="str">
        <f>IFERROR(__xludf.DUMMYFUNCTION("""COMPUTED_VALUE"""),"ITBISA-DC-TO-DC-STEPDOWN-LM2596")</f>
        <v>ITBISA-DC-TO-DC-STEPDOWN-LM2596</v>
      </c>
      <c r="B3387" s="266">
        <f>IFERROR(__xludf.DUMMYFUNCTION("""COMPUTED_VALUE"""),45730.0)</f>
        <v>45730</v>
      </c>
      <c r="C3387" s="266" t="str">
        <f>IFERROR(__xludf.DUMMYFUNCTION("""COMPUTED_VALUE"""),"KERTASARI CIAMIS")</f>
        <v>KERTASARI CIAMIS</v>
      </c>
      <c r="D3387" s="186">
        <f>IFERROR(__xludf.DUMMYFUNCTION("""COMPUTED_VALUE"""),2.0)</f>
        <v>2</v>
      </c>
    </row>
    <row r="3388">
      <c r="A3388" s="178" t="str">
        <f>IFERROR(__xludf.DUMMYFUNCTION("""COMPUTED_VALUE"""),"ITBISA-DC-TO-DC-STEPDOWN-LM2596")</f>
        <v>ITBISA-DC-TO-DC-STEPDOWN-LM2596</v>
      </c>
      <c r="B3388" s="266">
        <f>IFERROR(__xludf.DUMMYFUNCTION("""COMPUTED_VALUE"""),45733.0)</f>
        <v>45733</v>
      </c>
      <c r="C3388" s="266" t="str">
        <f>IFERROR(__xludf.DUMMYFUNCTION("""COMPUTED_VALUE"""),"KYAI KONTONG")</f>
        <v>KYAI KONTONG</v>
      </c>
      <c r="D3388" s="186">
        <f>IFERROR(__xludf.DUMMYFUNCTION("""COMPUTED_VALUE"""),1.0)</f>
        <v>1</v>
      </c>
    </row>
    <row r="3389">
      <c r="A3389" s="178" t="str">
        <f>IFERROR(__xludf.DUMMYFUNCTION("""COMPUTED_VALUE"""),"ITBISA-DC-TO-DC-STEPDOWN-LM2596")</f>
        <v>ITBISA-DC-TO-DC-STEPDOWN-LM2596</v>
      </c>
      <c r="B3389" s="266">
        <f>IFERROR(__xludf.DUMMYFUNCTION("""COMPUTED_VALUE"""),45733.0)</f>
        <v>45733</v>
      </c>
      <c r="C3389" s="266" t="str">
        <f>IFERROR(__xludf.DUMMYFUNCTION("""COMPUTED_VALUE"""),"KYAI KONTONG")</f>
        <v>KYAI KONTONG</v>
      </c>
      <c r="D3389" s="186">
        <f>IFERROR(__xludf.DUMMYFUNCTION("""COMPUTED_VALUE"""),30.0)</f>
        <v>30</v>
      </c>
    </row>
    <row r="3390">
      <c r="A3390" s="178" t="str">
        <f>IFERROR(__xludf.DUMMYFUNCTION("""COMPUTED_VALUE"""),"ITBISA-DC-TO-DC-STEPDOWN-LM2596")</f>
        <v>ITBISA-DC-TO-DC-STEPDOWN-LM2596</v>
      </c>
      <c r="B3390" s="266">
        <f>IFERROR(__xludf.DUMMYFUNCTION("""COMPUTED_VALUE"""),45735.0)</f>
        <v>45735</v>
      </c>
      <c r="C3390" s="266" t="str">
        <f>IFERROR(__xludf.DUMMYFUNCTION("""COMPUTED_VALUE"""),"KYAI KONTONG")</f>
        <v>KYAI KONTONG</v>
      </c>
      <c r="D3390" s="186">
        <f>IFERROR(__xludf.DUMMYFUNCTION("""COMPUTED_VALUE"""),1.0)</f>
        <v>1</v>
      </c>
    </row>
    <row r="3391">
      <c r="A3391" s="178" t="str">
        <f>IFERROR(__xludf.DUMMYFUNCTION("""COMPUTED_VALUE"""),"ITBISA-DC-TO-DC-STEPDOWN-LM2596")</f>
        <v>ITBISA-DC-TO-DC-STEPDOWN-LM2596</v>
      </c>
      <c r="B3391" s="266">
        <f>IFERROR(__xludf.DUMMYFUNCTION("""COMPUTED_VALUE"""),45749.0)</f>
        <v>45749</v>
      </c>
      <c r="C3391" s="266" t="str">
        <f>IFERROR(__xludf.DUMMYFUNCTION("""COMPUTED_VALUE"""),"KERTASARI CIAMIS")</f>
        <v>KERTASARI CIAMIS</v>
      </c>
      <c r="D3391" s="186">
        <f>IFERROR(__xludf.DUMMYFUNCTION("""COMPUTED_VALUE"""),2.0)</f>
        <v>2</v>
      </c>
    </row>
    <row r="3392">
      <c r="A3392" s="178" t="str">
        <f>IFERROR(__xludf.DUMMYFUNCTION("""COMPUTED_VALUE"""),"ITBISA-DC-TO-DC-STEPDOWN-LM2596")</f>
        <v>ITBISA-DC-TO-DC-STEPDOWN-LM2596</v>
      </c>
      <c r="B3392" s="266">
        <f>IFERROR(__xludf.DUMMYFUNCTION("""COMPUTED_VALUE"""),45798.0)</f>
        <v>45798</v>
      </c>
      <c r="C3392" s="266" t="str">
        <f>IFERROR(__xludf.DUMMYFUNCTION("""COMPUTED_VALUE"""),"KERTASARI CIAMIS")</f>
        <v>KERTASARI CIAMIS</v>
      </c>
      <c r="D3392" s="186">
        <f>IFERROR(__xludf.DUMMYFUNCTION("""COMPUTED_VALUE"""),2.0)</f>
        <v>2</v>
      </c>
    </row>
    <row r="3393">
      <c r="A3393" s="178" t="str">
        <f>IFERROR(__xludf.DUMMYFUNCTION("""COMPUTED_VALUE"""),"ITBISA-DC-TO-DC-STEPDOWN-LM2596")</f>
        <v>ITBISA-DC-TO-DC-STEPDOWN-LM2596</v>
      </c>
      <c r="B3393" s="266">
        <f>IFERROR(__xludf.DUMMYFUNCTION("""COMPUTED_VALUE"""),45811.0)</f>
        <v>45811</v>
      </c>
      <c r="C3393" s="266" t="str">
        <f>IFERROR(__xludf.DUMMYFUNCTION("""COMPUTED_VALUE"""),"KERTASARI CIAMIS")</f>
        <v>KERTASARI CIAMIS</v>
      </c>
      <c r="D3393" s="186">
        <f>IFERROR(__xludf.DUMMYFUNCTION("""COMPUTED_VALUE"""),3.0)</f>
        <v>3</v>
      </c>
    </row>
    <row r="3394">
      <c r="A3394" s="178" t="str">
        <f>IFERROR(__xludf.DUMMYFUNCTION("""COMPUTED_VALUE"""),"ITBISA-DC-TO-DC-STEPDOWN-LM2596")</f>
        <v>ITBISA-DC-TO-DC-STEPDOWN-LM2596</v>
      </c>
      <c r="B3394" s="266">
        <f>IFERROR(__xludf.DUMMYFUNCTION("""COMPUTED_VALUE"""),45818.0)</f>
        <v>45818</v>
      </c>
      <c r="C3394" s="266" t="str">
        <f>IFERROR(__xludf.DUMMYFUNCTION("""COMPUTED_VALUE"""),"KERTASARI CIAMIS")</f>
        <v>KERTASARI CIAMIS</v>
      </c>
      <c r="D3394" s="186">
        <f>IFERROR(__xludf.DUMMYFUNCTION("""COMPUTED_VALUE"""),2.0)</f>
        <v>2</v>
      </c>
    </row>
    <row r="3395">
      <c r="A3395" s="178" t="str">
        <f>IFERROR(__xludf.DUMMYFUNCTION("""COMPUTED_VALUE"""),"ITBISA-DC-TO-DC-STEPDOWN-LM2596")</f>
        <v>ITBISA-DC-TO-DC-STEPDOWN-LM2596</v>
      </c>
      <c r="B3395" s="266">
        <f>IFERROR(__xludf.DUMMYFUNCTION("""COMPUTED_VALUE"""),45820.0)</f>
        <v>45820</v>
      </c>
      <c r="C3395" s="266" t="str">
        <f>IFERROR(__xludf.DUMMYFUNCTION("""COMPUTED_VALUE"""),"KERTASARI CIAMIS")</f>
        <v>KERTASARI CIAMIS</v>
      </c>
      <c r="D3395" s="186">
        <f>IFERROR(__xludf.DUMMYFUNCTION("""COMPUTED_VALUE"""),2.0)</f>
        <v>2</v>
      </c>
    </row>
    <row r="3396">
      <c r="A3396" s="178" t="str">
        <f>IFERROR(__xludf.DUMMYFUNCTION("""COMPUTED_VALUE"""),"ITBISA-DC-TO-DC-STEPDOWN-LM2596")</f>
        <v>ITBISA-DC-TO-DC-STEPDOWN-LM2596</v>
      </c>
      <c r="B3396" s="266">
        <f>IFERROR(__xludf.DUMMYFUNCTION("""COMPUTED_VALUE"""),45833.0)</f>
        <v>45833</v>
      </c>
      <c r="C3396" s="266" t="str">
        <f>IFERROR(__xludf.DUMMYFUNCTION("""COMPUTED_VALUE"""),"KERTASARI CIAMIS")</f>
        <v>KERTASARI CIAMIS</v>
      </c>
      <c r="D3396" s="186">
        <f>IFERROR(__xludf.DUMMYFUNCTION("""COMPUTED_VALUE"""),3.0)</f>
        <v>3</v>
      </c>
    </row>
    <row r="3397">
      <c r="A3397" s="178" t="str">
        <f>IFERROR(__xludf.DUMMYFUNCTION("""COMPUTED_VALUE"""),"ITBISA-DC-TO-DC-STEPDOWN-LM2596")</f>
        <v>ITBISA-DC-TO-DC-STEPDOWN-LM2596</v>
      </c>
      <c r="B3397" s="266">
        <f>IFERROR(__xludf.DUMMYFUNCTION("""COMPUTED_VALUE"""),45845.0)</f>
        <v>45845</v>
      </c>
      <c r="C3397" s="266" t="str">
        <f>IFERROR(__xludf.DUMMYFUNCTION("""COMPUTED_VALUE"""),"KERTASARI CIAMIS")</f>
        <v>KERTASARI CIAMIS</v>
      </c>
      <c r="D3397" s="186">
        <f>IFERROR(__xludf.DUMMYFUNCTION("""COMPUTED_VALUE"""),2.0)</f>
        <v>2</v>
      </c>
    </row>
    <row r="3398">
      <c r="A3398" s="178" t="str">
        <f>IFERROR(__xludf.DUMMYFUNCTION("""COMPUTED_VALUE"""),"ITBISA-DC-TO-DC-STEPDOWN-LM2596")</f>
        <v>ITBISA-DC-TO-DC-STEPDOWN-LM2596</v>
      </c>
      <c r="B3398" s="266">
        <f>IFERROR(__xludf.DUMMYFUNCTION("""COMPUTED_VALUE"""),45895.0)</f>
        <v>45895</v>
      </c>
      <c r="C3398" s="266" t="str">
        <f>IFERROR(__xludf.DUMMYFUNCTION("""COMPUTED_VALUE"""),"KERTASARI CIAMIS")</f>
        <v>KERTASARI CIAMIS</v>
      </c>
      <c r="D3398" s="186">
        <f>IFERROR(__xludf.DUMMYFUNCTION("""COMPUTED_VALUE"""),2.0)</f>
        <v>2</v>
      </c>
    </row>
    <row r="3399">
      <c r="A3399" s="178" t="str">
        <f>IFERROR(__xludf.DUMMYFUNCTION("""COMPUTED_VALUE"""),"ITBISA-DC-TO-DC-STEPDOWN-LM2596")</f>
        <v>ITBISA-DC-TO-DC-STEPDOWN-LM2596</v>
      </c>
      <c r="B3399" s="266">
        <f>IFERROR(__xludf.DUMMYFUNCTION("""COMPUTED_VALUE"""),45927.0)</f>
        <v>45927</v>
      </c>
      <c r="C3399" s="266" t="str">
        <f>IFERROR(__xludf.DUMMYFUNCTION("""COMPUTED_VALUE"""),"KYAI KONTONG")</f>
        <v>KYAI KONTONG</v>
      </c>
      <c r="D3399" s="186">
        <f>IFERROR(__xludf.DUMMYFUNCTION("""COMPUTED_VALUE"""),3.0)</f>
        <v>3</v>
      </c>
    </row>
    <row r="3400">
      <c r="A3400" s="178" t="str">
        <f>IFERROR(__xludf.DUMMYFUNCTION("""COMPUTED_VALUE"""),"ITBISA-DC-TO-DC-STEPDOWN-LM2596")</f>
        <v>ITBISA-DC-TO-DC-STEPDOWN-LM2596</v>
      </c>
      <c r="B3400" s="266">
        <f>IFERROR(__xludf.DUMMYFUNCTION("""COMPUTED_VALUE"""),45928.0)</f>
        <v>45928</v>
      </c>
      <c r="C3400" s="266" t="str">
        <f>IFERROR(__xludf.DUMMYFUNCTION("""COMPUTED_VALUE"""),"KYAI KONTONG")</f>
        <v>KYAI KONTONG</v>
      </c>
      <c r="D3400" s="186">
        <f>IFERROR(__xludf.DUMMYFUNCTION("""COMPUTED_VALUE"""),2.0)</f>
        <v>2</v>
      </c>
    </row>
    <row r="3401">
      <c r="A3401" s="178" t="str">
        <f>IFERROR(__xludf.DUMMYFUNCTION("""COMPUTED_VALUE"""),"ITBISA-DC-TO-DC-STEPDOWN-LM2596")</f>
        <v>ITBISA-DC-TO-DC-STEPDOWN-LM2596</v>
      </c>
      <c r="B3401" s="266">
        <f>IFERROR(__xludf.DUMMYFUNCTION("""COMPUTED_VALUE"""),45931.0)</f>
        <v>45931</v>
      </c>
      <c r="C3401" s="266" t="str">
        <f>IFERROR(__xludf.DUMMYFUNCTION("""COMPUTED_VALUE"""),"KYAI KONTONG")</f>
        <v>KYAI KONTONG</v>
      </c>
      <c r="D3401" s="186">
        <f>IFERROR(__xludf.DUMMYFUNCTION("""COMPUTED_VALUE"""),1.0)</f>
        <v>1</v>
      </c>
    </row>
    <row r="3402">
      <c r="A3402" s="178" t="str">
        <f>IFERROR(__xludf.DUMMYFUNCTION("""COMPUTED_VALUE"""),"ITBISA-DC-TO-DC-STEPDOWN-LM2596")</f>
        <v>ITBISA-DC-TO-DC-STEPDOWN-LM2596</v>
      </c>
      <c r="B3402" s="266">
        <f>IFERROR(__xludf.DUMMYFUNCTION("""COMPUTED_VALUE"""),45932.0)</f>
        <v>45932</v>
      </c>
      <c r="C3402" s="266" t="str">
        <f>IFERROR(__xludf.DUMMYFUNCTION("""COMPUTED_VALUE"""),"KYAI KONTONG")</f>
        <v>KYAI KONTONG</v>
      </c>
      <c r="D3402" s="186">
        <f>IFERROR(__xludf.DUMMYFUNCTION("""COMPUTED_VALUE"""),1.0)</f>
        <v>1</v>
      </c>
    </row>
    <row r="3403">
      <c r="A3403" s="178" t="str">
        <f>IFERROR(__xludf.DUMMYFUNCTION("""COMPUTED_VALUE"""),"ITBISA-DC-TO-DC-STEPDOWN-LM2596")</f>
        <v>ITBISA-DC-TO-DC-STEPDOWN-LM2596</v>
      </c>
      <c r="B3403" s="266">
        <f>IFERROR(__xludf.DUMMYFUNCTION("""COMPUTED_VALUE"""),45934.0)</f>
        <v>45934</v>
      </c>
      <c r="C3403" s="266" t="str">
        <f>IFERROR(__xludf.DUMMYFUNCTION("""COMPUTED_VALUE"""),"KYAI KONTONG")</f>
        <v>KYAI KONTONG</v>
      </c>
      <c r="D3403" s="186">
        <f>IFERROR(__xludf.DUMMYFUNCTION("""COMPUTED_VALUE"""),19.0)</f>
        <v>19</v>
      </c>
    </row>
    <row r="3404">
      <c r="A3404" s="178" t="str">
        <f>IFERROR(__xludf.DUMMYFUNCTION("""COMPUTED_VALUE"""),"ITBISA-DC-TO-DC-STEPDOWN-LM2596")</f>
        <v>ITBISA-DC-TO-DC-STEPDOWN-LM2596</v>
      </c>
      <c r="B3404" s="266">
        <f>IFERROR(__xludf.DUMMYFUNCTION("""COMPUTED_VALUE"""),45942.0)</f>
        <v>45942</v>
      </c>
      <c r="C3404" s="266" t="str">
        <f>IFERROR(__xludf.DUMMYFUNCTION("""COMPUTED_VALUE"""),"KYAI KONTONG")</f>
        <v>KYAI KONTONG</v>
      </c>
      <c r="D3404" s="186">
        <f>IFERROR(__xludf.DUMMYFUNCTION("""COMPUTED_VALUE"""),5.0)</f>
        <v>5</v>
      </c>
    </row>
    <row r="3405">
      <c r="A3405" s="178" t="str">
        <f>IFERROR(__xludf.DUMMYFUNCTION("""COMPUTED_VALUE"""),"ITBISA-DC-TO-DC-STEPDOWN-LM2596")</f>
        <v>ITBISA-DC-TO-DC-STEPDOWN-LM2596</v>
      </c>
      <c r="B3405" s="266">
        <f>IFERROR(__xludf.DUMMYFUNCTION("""COMPUTED_VALUE"""),45947.0)</f>
        <v>45947</v>
      </c>
      <c r="C3405" s="266" t="str">
        <f>IFERROR(__xludf.DUMMYFUNCTION("""COMPUTED_VALUE"""),"KERTASARI CIAMIS")</f>
        <v>KERTASARI CIAMIS</v>
      </c>
      <c r="D3405" s="186">
        <f>IFERROR(__xludf.DUMMYFUNCTION("""COMPUTED_VALUE"""),4.0)</f>
        <v>4</v>
      </c>
    </row>
    <row r="3406">
      <c r="A3406" s="178" t="str">
        <f>IFERROR(__xludf.DUMMYFUNCTION("""COMPUTED_VALUE"""),"ITBISA-DC-TO-DC-STEPDOWN-LM2596")</f>
        <v>ITBISA-DC-TO-DC-STEPDOWN-LM2596</v>
      </c>
      <c r="B3406" s="266">
        <f>IFERROR(__xludf.DUMMYFUNCTION("""COMPUTED_VALUE"""),45947.0)</f>
        <v>45947</v>
      </c>
      <c r="C3406" s="266" t="str">
        <f>IFERROR(__xludf.DUMMYFUNCTION("""COMPUTED_VALUE"""),"KERTASARI CIAMIS")</f>
        <v>KERTASARI CIAMIS</v>
      </c>
      <c r="D3406" s="186">
        <f>IFERROR(__xludf.DUMMYFUNCTION("""COMPUTED_VALUE"""),4.0)</f>
        <v>4</v>
      </c>
    </row>
    <row r="3407">
      <c r="A3407" s="178" t="str">
        <f>IFERROR(__xludf.DUMMYFUNCTION("""COMPUTED_VALUE"""),"ITBISA-DC-TO-DC-STEPDOWN-LM2596")</f>
        <v>ITBISA-DC-TO-DC-STEPDOWN-LM2596</v>
      </c>
      <c r="B3407" s="266">
        <f>IFERROR(__xludf.DUMMYFUNCTION("""COMPUTED_VALUE"""),45952.0)</f>
        <v>45952</v>
      </c>
      <c r="C3407" s="266" t="str">
        <f>IFERROR(__xludf.DUMMYFUNCTION("""COMPUTED_VALUE"""),"KYAI KONTONG")</f>
        <v>KYAI KONTONG</v>
      </c>
      <c r="D3407" s="186">
        <f>IFERROR(__xludf.DUMMYFUNCTION("""COMPUTED_VALUE"""),5.0)</f>
        <v>5</v>
      </c>
    </row>
    <row r="3408">
      <c r="A3408" s="178" t="str">
        <f>IFERROR(__xludf.DUMMYFUNCTION("""COMPUTED_VALUE"""),"ITBISA-DC-TO-DC-STEPDOWN-LM2596")</f>
        <v>ITBISA-DC-TO-DC-STEPDOWN-LM2596</v>
      </c>
      <c r="B3408" s="266">
        <f>IFERROR(__xludf.DUMMYFUNCTION("""COMPUTED_VALUE"""),45960.0)</f>
        <v>45960</v>
      </c>
      <c r="C3408" s="266" t="str">
        <f>IFERROR(__xludf.DUMMYFUNCTION("""COMPUTED_VALUE"""),"KERTASARI CIAMIS")</f>
        <v>KERTASARI CIAMIS</v>
      </c>
      <c r="D3408" s="186">
        <f>IFERROR(__xludf.DUMMYFUNCTION("""COMPUTED_VALUE"""),20.0)</f>
        <v>20</v>
      </c>
    </row>
    <row r="3409">
      <c r="A3409" s="178" t="str">
        <f>IFERROR(__xludf.DUMMYFUNCTION("""COMPUTED_VALUE"""),"ITBISA-DC-TO-DC-STEPDOWN-LM2596")</f>
        <v>ITBISA-DC-TO-DC-STEPDOWN-LM2596</v>
      </c>
      <c r="B3409" s="266">
        <f>IFERROR(__xludf.DUMMYFUNCTION("""COMPUTED_VALUE"""),45960.0)</f>
        <v>45960</v>
      </c>
      <c r="C3409" s="266" t="str">
        <f>IFERROR(__xludf.DUMMYFUNCTION("""COMPUTED_VALUE"""),"KYAI KONTONG")</f>
        <v>KYAI KONTONG</v>
      </c>
      <c r="D3409" s="186">
        <f>IFERROR(__xludf.DUMMYFUNCTION("""COMPUTED_VALUE"""),1.0)</f>
        <v>1</v>
      </c>
    </row>
    <row r="3410">
      <c r="A3410" s="178" t="str">
        <f>IFERROR(__xludf.DUMMYFUNCTION("""COMPUTED_VALUE"""),"ITBISA-DC-TO-DC-STEPDOWN-LM2596")</f>
        <v>ITBISA-DC-TO-DC-STEPDOWN-LM2596</v>
      </c>
      <c r="B3410" s="266">
        <f>IFERROR(__xludf.DUMMYFUNCTION("""COMPUTED_VALUE"""),45964.0)</f>
        <v>45964</v>
      </c>
      <c r="C3410" s="266" t="str">
        <f>IFERROR(__xludf.DUMMYFUNCTION("""COMPUTED_VALUE"""),"KERTASARI CIAMIS")</f>
        <v>KERTASARI CIAMIS</v>
      </c>
      <c r="D3410" s="186">
        <f>IFERROR(__xludf.DUMMYFUNCTION("""COMPUTED_VALUE"""),2.0)</f>
        <v>2</v>
      </c>
    </row>
    <row r="3411">
      <c r="A3411" s="178" t="str">
        <f>IFERROR(__xludf.DUMMYFUNCTION("""COMPUTED_VALUE"""),"ITBISA-DC-TO-DC-STEPDOWN-LM2596")</f>
        <v>ITBISA-DC-TO-DC-STEPDOWN-LM2596</v>
      </c>
      <c r="B3411" s="266">
        <f>IFERROR(__xludf.DUMMYFUNCTION("""COMPUTED_VALUE"""),45971.0)</f>
        <v>45971</v>
      </c>
      <c r="C3411" s="266" t="str">
        <f>IFERROR(__xludf.DUMMYFUNCTION("""COMPUTED_VALUE"""),"KYAI KONTONG")</f>
        <v>KYAI KONTONG</v>
      </c>
      <c r="D3411" s="186">
        <f>IFERROR(__xludf.DUMMYFUNCTION("""COMPUTED_VALUE"""),1.0)</f>
        <v>1</v>
      </c>
    </row>
    <row r="3412">
      <c r="A3412" s="178" t="str">
        <f>IFERROR(__xludf.DUMMYFUNCTION("""COMPUTED_VALUE"""),"ITBISA-DC-TO-DC-STEPDOWN-LM2596")</f>
        <v>ITBISA-DC-TO-DC-STEPDOWN-LM2596</v>
      </c>
      <c r="B3412" s="266">
        <f>IFERROR(__xludf.DUMMYFUNCTION("""COMPUTED_VALUE"""),45973.0)</f>
        <v>45973</v>
      </c>
      <c r="C3412" s="266" t="str">
        <f>IFERROR(__xludf.DUMMYFUNCTION("""COMPUTED_VALUE"""),"KYAI KONTONG")</f>
        <v>KYAI KONTONG</v>
      </c>
      <c r="D3412" s="186">
        <f>IFERROR(__xludf.DUMMYFUNCTION("""COMPUTED_VALUE"""),1.0)</f>
        <v>1</v>
      </c>
    </row>
    <row r="3413">
      <c r="A3413" s="178" t="str">
        <f>IFERROR(__xludf.DUMMYFUNCTION("""COMPUTED_VALUE"""),"ITBISA-DC-TO-DC-STEPDOWN-LM2596")</f>
        <v>ITBISA-DC-TO-DC-STEPDOWN-LM2596</v>
      </c>
      <c r="B3413" s="266">
        <f>IFERROR(__xludf.DUMMYFUNCTION("""COMPUTED_VALUE"""),45976.0)</f>
        <v>45976</v>
      </c>
      <c r="C3413" s="266" t="str">
        <f>IFERROR(__xludf.DUMMYFUNCTION("""COMPUTED_VALUE"""),"KYAI KONTONG")</f>
        <v>KYAI KONTONG</v>
      </c>
      <c r="D3413" s="186">
        <f>IFERROR(__xludf.DUMMYFUNCTION("""COMPUTED_VALUE"""),1.0)</f>
        <v>1</v>
      </c>
    </row>
    <row r="3414">
      <c r="A3414" s="178" t="str">
        <f>IFERROR(__xludf.DUMMYFUNCTION("""COMPUTED_VALUE"""),"ITBISA-DC-TO-DC-STEPDOWN-LM2596")</f>
        <v>ITBISA-DC-TO-DC-STEPDOWN-LM2596</v>
      </c>
      <c r="B3414" s="266">
        <f>IFERROR(__xludf.DUMMYFUNCTION("""COMPUTED_VALUE"""),45976.0)</f>
        <v>45976</v>
      </c>
      <c r="C3414" s="266" t="str">
        <f>IFERROR(__xludf.DUMMYFUNCTION("""COMPUTED_VALUE"""),"KYAI KONTONG")</f>
        <v>KYAI KONTONG</v>
      </c>
      <c r="D3414" s="186">
        <f>IFERROR(__xludf.DUMMYFUNCTION("""COMPUTED_VALUE"""),2.0)</f>
        <v>2</v>
      </c>
    </row>
    <row r="3415">
      <c r="A3415" s="178" t="str">
        <f>IFERROR(__xludf.DUMMYFUNCTION("""COMPUTED_VALUE"""),"ITBISA-DC-TO-DC-STEPDOWN-LM2596")</f>
        <v>ITBISA-DC-TO-DC-STEPDOWN-LM2596</v>
      </c>
      <c r="B3415" s="266">
        <f>IFERROR(__xludf.DUMMYFUNCTION("""COMPUTED_VALUE"""),45977.0)</f>
        <v>45977</v>
      </c>
      <c r="C3415" s="266" t="str">
        <f>IFERROR(__xludf.DUMMYFUNCTION("""COMPUTED_VALUE"""),"KYAI KONTONG")</f>
        <v>KYAI KONTONG</v>
      </c>
      <c r="D3415" s="186">
        <f>IFERROR(__xludf.DUMMYFUNCTION("""COMPUTED_VALUE"""),1.0)</f>
        <v>1</v>
      </c>
    </row>
    <row r="3416">
      <c r="A3416" s="178" t="str">
        <f>IFERROR(__xludf.DUMMYFUNCTION("""COMPUTED_VALUE"""),"ITBISA-DC-TO-DC-STEPDOWN-LM2596")</f>
        <v>ITBISA-DC-TO-DC-STEPDOWN-LM2596</v>
      </c>
      <c r="B3416" s="266">
        <f>IFERROR(__xludf.DUMMYFUNCTION("""COMPUTED_VALUE"""),45980.0)</f>
        <v>45980</v>
      </c>
      <c r="C3416" s="266" t="str">
        <f>IFERROR(__xludf.DUMMYFUNCTION("""COMPUTED_VALUE"""),"KYAI KONTONG")</f>
        <v>KYAI KONTONG</v>
      </c>
      <c r="D3416" s="186">
        <f>IFERROR(__xludf.DUMMYFUNCTION("""COMPUTED_VALUE"""),2.0)</f>
        <v>2</v>
      </c>
    </row>
    <row r="3417">
      <c r="A3417" s="178" t="str">
        <f>IFERROR(__xludf.DUMMYFUNCTION("""COMPUTED_VALUE"""),"ITBISA-DC-TO-DC-STEPDOWN-LM2596")</f>
        <v>ITBISA-DC-TO-DC-STEPDOWN-LM2596</v>
      </c>
      <c r="B3417" s="266">
        <f>IFERROR(__xludf.DUMMYFUNCTION("""COMPUTED_VALUE"""),45992.0)</f>
        <v>45992</v>
      </c>
      <c r="C3417" s="266" t="str">
        <f>IFERROR(__xludf.DUMMYFUNCTION("""COMPUTED_VALUE"""),"KYAI KONTONG")</f>
        <v>KYAI KONTONG</v>
      </c>
      <c r="D3417" s="186">
        <f>IFERROR(__xludf.DUMMYFUNCTION("""COMPUTED_VALUE"""),1.0)</f>
        <v>1</v>
      </c>
    </row>
    <row r="3418">
      <c r="A3418" s="178" t="str">
        <f>IFERROR(__xludf.DUMMYFUNCTION("""COMPUTED_VALUE"""),"ITBISA-DC-TO-DC-STEPDOWN-LM2596")</f>
        <v>ITBISA-DC-TO-DC-STEPDOWN-LM2596</v>
      </c>
      <c r="B3418" s="266">
        <f>IFERROR(__xludf.DUMMYFUNCTION("""COMPUTED_VALUE"""),45994.0)</f>
        <v>45994</v>
      </c>
      <c r="C3418" s="266" t="str">
        <f>IFERROR(__xludf.DUMMYFUNCTION("""COMPUTED_VALUE"""),"KYAI KONTONG")</f>
        <v>KYAI KONTONG</v>
      </c>
      <c r="D3418" s="186">
        <f>IFERROR(__xludf.DUMMYFUNCTION("""COMPUTED_VALUE"""),2.0)</f>
        <v>2</v>
      </c>
    </row>
    <row r="3419">
      <c r="A3419" s="178" t="str">
        <f>IFERROR(__xludf.DUMMYFUNCTION("""COMPUTED_VALUE"""),"ITBISA-DC-TO-DC-STEPDOWN-LM2596")</f>
        <v>ITBISA-DC-TO-DC-STEPDOWN-LM2596</v>
      </c>
      <c r="B3419" s="266">
        <f>IFERROR(__xludf.DUMMYFUNCTION("""COMPUTED_VALUE"""),45996.0)</f>
        <v>45996</v>
      </c>
      <c r="C3419" s="266" t="str">
        <f>IFERROR(__xludf.DUMMYFUNCTION("""COMPUTED_VALUE"""),"KYAI KONTONG")</f>
        <v>KYAI KONTONG</v>
      </c>
      <c r="D3419" s="186">
        <f>IFERROR(__xludf.DUMMYFUNCTION("""COMPUTED_VALUE"""),1.0)</f>
        <v>1</v>
      </c>
    </row>
    <row r="3420">
      <c r="A3420" s="178" t="str">
        <f>IFERROR(__xludf.DUMMYFUNCTION("""COMPUTED_VALUE"""),"ITBISA-DC-TO-DC-STEPDOWN-LM2596")</f>
        <v>ITBISA-DC-TO-DC-STEPDOWN-LM2596</v>
      </c>
      <c r="B3420" s="266">
        <f>IFERROR(__xludf.DUMMYFUNCTION("""COMPUTED_VALUE"""),45997.0)</f>
        <v>45997</v>
      </c>
      <c r="C3420" s="266" t="str">
        <f>IFERROR(__xludf.DUMMYFUNCTION("""COMPUTED_VALUE"""),"KERTASARI CIAMIS")</f>
        <v>KERTASARI CIAMIS</v>
      </c>
      <c r="D3420" s="186">
        <f>IFERROR(__xludf.DUMMYFUNCTION("""COMPUTED_VALUE"""),33.0)</f>
        <v>33</v>
      </c>
    </row>
    <row r="3421">
      <c r="A3421" s="178" t="str">
        <f>IFERROR(__xludf.DUMMYFUNCTION("""COMPUTED_VALUE"""),"ITBISA-DC-TO-DC-STEPDOWN-LM2596")</f>
        <v>ITBISA-DC-TO-DC-STEPDOWN-LM2596</v>
      </c>
      <c r="B3421" s="266">
        <f>IFERROR(__xludf.DUMMYFUNCTION("""COMPUTED_VALUE"""),46000.0)</f>
        <v>46000</v>
      </c>
      <c r="C3421" s="266" t="str">
        <f>IFERROR(__xludf.DUMMYFUNCTION("""COMPUTED_VALUE"""),"KYAI KONTONG")</f>
        <v>KYAI KONTONG</v>
      </c>
      <c r="D3421" s="186">
        <f>IFERROR(__xludf.DUMMYFUNCTION("""COMPUTED_VALUE"""),1.0)</f>
        <v>1</v>
      </c>
    </row>
    <row r="3422">
      <c r="A3422" s="178" t="str">
        <f>IFERROR(__xludf.DUMMYFUNCTION("""COMPUTED_VALUE"""),"ITBISA-DC-TO-DC-STEPDOWN-LM2596")</f>
        <v>ITBISA-DC-TO-DC-STEPDOWN-LM2596</v>
      </c>
      <c r="B3422" s="266">
        <f>IFERROR(__xludf.DUMMYFUNCTION("""COMPUTED_VALUE"""),46015.0)</f>
        <v>46015</v>
      </c>
      <c r="C3422" s="266" t="str">
        <f>IFERROR(__xludf.DUMMYFUNCTION("""COMPUTED_VALUE"""),"KYAI KONTONG")</f>
        <v>KYAI KONTONG</v>
      </c>
      <c r="D3422" s="186">
        <f>IFERROR(__xludf.DUMMYFUNCTION("""COMPUTED_VALUE"""),1.0)</f>
        <v>1</v>
      </c>
    </row>
    <row r="3423">
      <c r="A3423" s="178" t="str">
        <f>IFERROR(__xludf.DUMMYFUNCTION("""COMPUTED_VALUE"""),"ITBISA-DC-TO-DC-STEPDOWN-XL4005")</f>
        <v>ITBISA-DC-TO-DC-STEPDOWN-XL4005</v>
      </c>
      <c r="B3423" s="266">
        <f>IFERROR(__xludf.DUMMYFUNCTION("""COMPUTED_VALUE"""),45448.0)</f>
        <v>45448</v>
      </c>
      <c r="C3423" s="266" t="str">
        <f>IFERROR(__xludf.DUMMYFUNCTION("""COMPUTED_VALUE"""),"KYAI KONTONG")</f>
        <v>KYAI KONTONG</v>
      </c>
      <c r="D3423" s="186">
        <f>IFERROR(__xludf.DUMMYFUNCTION("""COMPUTED_VALUE"""),5.0)</f>
        <v>5</v>
      </c>
    </row>
    <row r="3424">
      <c r="A3424" s="178" t="str">
        <f>IFERROR(__xludf.DUMMYFUNCTION("""COMPUTED_VALUE"""),"ITBISA-DC-TO-DC-STEPDOWN-XL4005")</f>
        <v>ITBISA-DC-TO-DC-STEPDOWN-XL4005</v>
      </c>
      <c r="B3424" s="266">
        <f>IFERROR(__xludf.DUMMYFUNCTION("""COMPUTED_VALUE"""),45467.0)</f>
        <v>45467</v>
      </c>
      <c r="C3424" s="266" t="str">
        <f>IFERROR(__xludf.DUMMYFUNCTION("""COMPUTED_VALUE"""),"KYAI KONTONG")</f>
        <v>KYAI KONTONG</v>
      </c>
      <c r="D3424" s="186">
        <f>IFERROR(__xludf.DUMMYFUNCTION("""COMPUTED_VALUE"""),5.0)</f>
        <v>5</v>
      </c>
    </row>
    <row r="3425">
      <c r="A3425" s="178" t="str">
        <f>IFERROR(__xludf.DUMMYFUNCTION("""COMPUTED_VALUE"""),"ITBISA-DC-TO-DC-STEPDOWN-XL4005")</f>
        <v>ITBISA-DC-TO-DC-STEPDOWN-XL4005</v>
      </c>
      <c r="B3425" s="266">
        <f>IFERROR(__xludf.DUMMYFUNCTION("""COMPUTED_VALUE"""),45478.0)</f>
        <v>45478</v>
      </c>
      <c r="C3425" s="266" t="str">
        <f>IFERROR(__xludf.DUMMYFUNCTION("""COMPUTED_VALUE"""),"KYAI KONTONG")</f>
        <v>KYAI KONTONG</v>
      </c>
      <c r="D3425" s="186">
        <f>IFERROR(__xludf.DUMMYFUNCTION("""COMPUTED_VALUE"""),4.0)</f>
        <v>4</v>
      </c>
    </row>
    <row r="3426">
      <c r="A3426" s="178" t="str">
        <f>IFERROR(__xludf.DUMMYFUNCTION("""COMPUTED_VALUE"""),"ITBISA-DC-TO-DC-STEPDOWN-XL4005")</f>
        <v>ITBISA-DC-TO-DC-STEPDOWN-XL4005</v>
      </c>
      <c r="B3426" s="266">
        <f>IFERROR(__xludf.DUMMYFUNCTION("""COMPUTED_VALUE"""),45484.0)</f>
        <v>45484</v>
      </c>
      <c r="C3426" s="266" t="str">
        <f>IFERROR(__xludf.DUMMYFUNCTION("""COMPUTED_VALUE"""),"KYAI KONTONG")</f>
        <v>KYAI KONTONG</v>
      </c>
      <c r="D3426" s="186">
        <f>IFERROR(__xludf.DUMMYFUNCTION("""COMPUTED_VALUE"""),2.0)</f>
        <v>2</v>
      </c>
    </row>
    <row r="3427">
      <c r="A3427" s="178" t="str">
        <f>IFERROR(__xludf.DUMMYFUNCTION("""COMPUTED_VALUE"""),"ITBISA-DC-TO-DC-STEPDOWN-XL4005")</f>
        <v>ITBISA-DC-TO-DC-STEPDOWN-XL4005</v>
      </c>
      <c r="B3427" s="266">
        <f>IFERROR(__xludf.DUMMYFUNCTION("""COMPUTED_VALUE"""),45494.0)</f>
        <v>45494</v>
      </c>
      <c r="C3427" s="266" t="str">
        <f>IFERROR(__xludf.DUMMYFUNCTION("""COMPUTED_VALUE"""),"KERTASARI CIAMIS")</f>
        <v>KERTASARI CIAMIS</v>
      </c>
      <c r="D3427" s="186">
        <f>IFERROR(__xludf.DUMMYFUNCTION("""COMPUTED_VALUE"""),3.0)</f>
        <v>3</v>
      </c>
    </row>
    <row r="3428">
      <c r="A3428" s="178" t="str">
        <f>IFERROR(__xludf.DUMMYFUNCTION("""COMPUTED_VALUE"""),"ITBISA-DC-TO-DC-STEPDOWN-XL4005")</f>
        <v>ITBISA-DC-TO-DC-STEPDOWN-XL4005</v>
      </c>
      <c r="B3428" s="266">
        <f>IFERROR(__xludf.DUMMYFUNCTION("""COMPUTED_VALUE"""),45497.0)</f>
        <v>45497</v>
      </c>
      <c r="C3428" s="266" t="str">
        <f>IFERROR(__xludf.DUMMYFUNCTION("""COMPUTED_VALUE"""),"KYAI KONTONG")</f>
        <v>KYAI KONTONG</v>
      </c>
      <c r="D3428" s="186">
        <f>IFERROR(__xludf.DUMMYFUNCTION("""COMPUTED_VALUE"""),2.0)</f>
        <v>2</v>
      </c>
    </row>
    <row r="3429">
      <c r="A3429" s="178" t="str">
        <f>IFERROR(__xludf.DUMMYFUNCTION("""COMPUTED_VALUE"""),"ITBISA-DC-TO-DC-STEPDOWN-XL4005")</f>
        <v>ITBISA-DC-TO-DC-STEPDOWN-XL4005</v>
      </c>
      <c r="B3429" s="266">
        <f>IFERROR(__xludf.DUMMYFUNCTION("""COMPUTED_VALUE"""),45499.0)</f>
        <v>45499</v>
      </c>
      <c r="C3429" s="266" t="str">
        <f>IFERROR(__xludf.DUMMYFUNCTION("""COMPUTED_VALUE"""),"KYAI KONTONG")</f>
        <v>KYAI KONTONG</v>
      </c>
      <c r="D3429" s="186">
        <f>IFERROR(__xludf.DUMMYFUNCTION("""COMPUTED_VALUE"""),6.0)</f>
        <v>6</v>
      </c>
    </row>
    <row r="3430">
      <c r="A3430" s="178" t="str">
        <f>IFERROR(__xludf.DUMMYFUNCTION("""COMPUTED_VALUE"""),"ITBISA-DC-TO-DC-STEPDOWN-XL4005")</f>
        <v>ITBISA-DC-TO-DC-STEPDOWN-XL4005</v>
      </c>
      <c r="B3430" s="266">
        <f>IFERROR(__xludf.DUMMYFUNCTION("""COMPUTED_VALUE"""),45505.0)</f>
        <v>45505</v>
      </c>
      <c r="C3430" s="266" t="str">
        <f>IFERROR(__xludf.DUMMYFUNCTION("""COMPUTED_VALUE"""),"KYAI KONTONG")</f>
        <v>KYAI KONTONG</v>
      </c>
      <c r="D3430" s="186">
        <f>IFERROR(__xludf.DUMMYFUNCTION("""COMPUTED_VALUE"""),2.0)</f>
        <v>2</v>
      </c>
    </row>
    <row r="3431">
      <c r="A3431" s="178" t="str">
        <f>IFERROR(__xludf.DUMMYFUNCTION("""COMPUTED_VALUE"""),"ITBISA-DC-TO-DC-STEPDOWN-XL4005")</f>
        <v>ITBISA-DC-TO-DC-STEPDOWN-XL4005</v>
      </c>
      <c r="B3431" s="266">
        <f>IFERROR(__xludf.DUMMYFUNCTION("""COMPUTED_VALUE"""),45517.0)</f>
        <v>45517</v>
      </c>
      <c r="C3431" s="266" t="str">
        <f>IFERROR(__xludf.DUMMYFUNCTION("""COMPUTED_VALUE"""),"KERTASARI CIAMIS")</f>
        <v>KERTASARI CIAMIS</v>
      </c>
      <c r="D3431" s="186">
        <f>IFERROR(__xludf.DUMMYFUNCTION("""COMPUTED_VALUE"""),1.0)</f>
        <v>1</v>
      </c>
    </row>
    <row r="3432">
      <c r="A3432" s="178" t="str">
        <f>IFERROR(__xludf.DUMMYFUNCTION("""COMPUTED_VALUE"""),"ITBISA-DC-TO-DC-STEPDOWN-XL4005")</f>
        <v>ITBISA-DC-TO-DC-STEPDOWN-XL4005</v>
      </c>
      <c r="B3432" s="266">
        <f>IFERROR(__xludf.DUMMYFUNCTION("""COMPUTED_VALUE"""),45565.0)</f>
        <v>45565</v>
      </c>
      <c r="C3432" s="266" t="str">
        <f>IFERROR(__xludf.DUMMYFUNCTION("""COMPUTED_VALUE"""),"KYAI KONTONG")</f>
        <v>KYAI KONTONG</v>
      </c>
      <c r="D3432" s="186">
        <f>IFERROR(__xludf.DUMMYFUNCTION("""COMPUTED_VALUE"""),1.0)</f>
        <v>1</v>
      </c>
    </row>
    <row r="3433">
      <c r="A3433" s="178" t="str">
        <f>IFERROR(__xludf.DUMMYFUNCTION("""COMPUTED_VALUE"""),"ITBISA-DC-TO-DC-STEPDOWN-XL4005")</f>
        <v>ITBISA-DC-TO-DC-STEPDOWN-XL4005</v>
      </c>
      <c r="B3433" s="266">
        <f>IFERROR(__xludf.DUMMYFUNCTION("""COMPUTED_VALUE"""),45599.0)</f>
        <v>45599</v>
      </c>
      <c r="C3433" s="266" t="str">
        <f>IFERROR(__xludf.DUMMYFUNCTION("""COMPUTED_VALUE"""),"KERTASARI CIAMIS")</f>
        <v>KERTASARI CIAMIS</v>
      </c>
      <c r="D3433" s="186">
        <f>IFERROR(__xludf.DUMMYFUNCTION("""COMPUTED_VALUE"""),1.0)</f>
        <v>1</v>
      </c>
    </row>
    <row r="3434">
      <c r="A3434" s="178" t="str">
        <f>IFERROR(__xludf.DUMMYFUNCTION("""COMPUTED_VALUE"""),"ITBISA-DC-TO-DC-STEPDOWN-XL4005")</f>
        <v>ITBISA-DC-TO-DC-STEPDOWN-XL4005</v>
      </c>
      <c r="B3434" s="266">
        <f>IFERROR(__xludf.DUMMYFUNCTION("""COMPUTED_VALUE"""),45608.0)</f>
        <v>45608</v>
      </c>
      <c r="C3434" s="266" t="str">
        <f>IFERROR(__xludf.DUMMYFUNCTION("""COMPUTED_VALUE"""),"KYAI KONTONG")</f>
        <v>KYAI KONTONG</v>
      </c>
      <c r="D3434" s="186">
        <f>IFERROR(__xludf.DUMMYFUNCTION("""COMPUTED_VALUE"""),1.0)</f>
        <v>1</v>
      </c>
    </row>
    <row r="3435">
      <c r="A3435" s="178" t="str">
        <f>IFERROR(__xludf.DUMMYFUNCTION("""COMPUTED_VALUE"""),"ITBISA-DC-TO-DC-STEPDOWN-XL4005")</f>
        <v>ITBISA-DC-TO-DC-STEPDOWN-XL4005</v>
      </c>
      <c r="B3435" s="266">
        <f>IFERROR(__xludf.DUMMYFUNCTION("""COMPUTED_VALUE"""),45617.0)</f>
        <v>45617</v>
      </c>
      <c r="C3435" s="266" t="str">
        <f>IFERROR(__xludf.DUMMYFUNCTION("""COMPUTED_VALUE"""),"KYAI KONTONG")</f>
        <v>KYAI KONTONG</v>
      </c>
      <c r="D3435" s="186">
        <f>IFERROR(__xludf.DUMMYFUNCTION("""COMPUTED_VALUE"""),1.0)</f>
        <v>1</v>
      </c>
    </row>
    <row r="3436">
      <c r="A3436" s="178" t="str">
        <f>IFERROR(__xludf.DUMMYFUNCTION("""COMPUTED_VALUE"""),"ITBISA-DC-TO-DC-STEPDOWN-XL4005")</f>
        <v>ITBISA-DC-TO-DC-STEPDOWN-XL4005</v>
      </c>
      <c r="B3436" s="266">
        <f>IFERROR(__xludf.DUMMYFUNCTION("""COMPUTED_VALUE"""),45621.0)</f>
        <v>45621</v>
      </c>
      <c r="C3436" s="266" t="str">
        <f>IFERROR(__xludf.DUMMYFUNCTION("""COMPUTED_VALUE"""),"KYAI KONTONG")</f>
        <v>KYAI KONTONG</v>
      </c>
      <c r="D3436" s="186">
        <f>IFERROR(__xludf.DUMMYFUNCTION("""COMPUTED_VALUE"""),1.0)</f>
        <v>1</v>
      </c>
    </row>
    <row r="3437">
      <c r="A3437" s="178" t="str">
        <f>IFERROR(__xludf.DUMMYFUNCTION("""COMPUTED_VALUE"""),"ITBISA-DC-TO-DC-STEPDOWN-XL4005")</f>
        <v>ITBISA-DC-TO-DC-STEPDOWN-XL4005</v>
      </c>
      <c r="B3437" s="266">
        <f>IFERROR(__xludf.DUMMYFUNCTION("""COMPUTED_VALUE"""),45670.0)</f>
        <v>45670</v>
      </c>
      <c r="C3437" s="266" t="str">
        <f>IFERROR(__xludf.DUMMYFUNCTION("""COMPUTED_VALUE"""),"KYAI KONTONG")</f>
        <v>KYAI KONTONG</v>
      </c>
      <c r="D3437" s="186">
        <f>IFERROR(__xludf.DUMMYFUNCTION("""COMPUTED_VALUE"""),2.0)</f>
        <v>2</v>
      </c>
    </row>
    <row r="3438">
      <c r="A3438" s="178" t="str">
        <f>IFERROR(__xludf.DUMMYFUNCTION("""COMPUTED_VALUE"""),"ITBISA-DC-TO-DC-STEPDOWN-XL4005")</f>
        <v>ITBISA-DC-TO-DC-STEPDOWN-XL4005</v>
      </c>
      <c r="B3438" s="266">
        <f>IFERROR(__xludf.DUMMYFUNCTION("""COMPUTED_VALUE"""),45696.0)</f>
        <v>45696</v>
      </c>
      <c r="C3438" s="266" t="str">
        <f>IFERROR(__xludf.DUMMYFUNCTION("""COMPUTED_VALUE"""),"KERTASARI CIAMIS")</f>
        <v>KERTASARI CIAMIS</v>
      </c>
      <c r="D3438" s="186">
        <f>IFERROR(__xludf.DUMMYFUNCTION("""COMPUTED_VALUE"""),11.0)</f>
        <v>11</v>
      </c>
    </row>
    <row r="3439">
      <c r="A3439" s="178" t="str">
        <f>IFERROR(__xludf.DUMMYFUNCTION("""COMPUTED_VALUE"""),"ITBISA-DC-TO-DC-STEPDOWN-XL4005")</f>
        <v>ITBISA-DC-TO-DC-STEPDOWN-XL4005</v>
      </c>
      <c r="B3439" s="266">
        <f>IFERROR(__xludf.DUMMYFUNCTION("""COMPUTED_VALUE"""),45717.0)</f>
        <v>45717</v>
      </c>
      <c r="C3439" s="266" t="str">
        <f>IFERROR(__xludf.DUMMYFUNCTION("""COMPUTED_VALUE"""),"KYAI KONTONG")</f>
        <v>KYAI KONTONG</v>
      </c>
      <c r="D3439" s="186">
        <f>IFERROR(__xludf.DUMMYFUNCTION("""COMPUTED_VALUE"""),5.0)</f>
        <v>5</v>
      </c>
    </row>
    <row r="3440">
      <c r="A3440" s="178" t="str">
        <f>IFERROR(__xludf.DUMMYFUNCTION("""COMPUTED_VALUE"""),"ITBISA-DC-TO-DC-STEPDOWN-XL4005")</f>
        <v>ITBISA-DC-TO-DC-STEPDOWN-XL4005</v>
      </c>
      <c r="B3440" s="266">
        <f>IFERROR(__xludf.DUMMYFUNCTION("""COMPUTED_VALUE"""),45733.0)</f>
        <v>45733</v>
      </c>
      <c r="C3440" s="266" t="str">
        <f>IFERROR(__xludf.DUMMYFUNCTION("""COMPUTED_VALUE"""),"KERTASARI CIAMIS")</f>
        <v>KERTASARI CIAMIS</v>
      </c>
      <c r="D3440" s="186">
        <f>IFERROR(__xludf.DUMMYFUNCTION("""COMPUTED_VALUE"""),4.0)</f>
        <v>4</v>
      </c>
    </row>
    <row r="3441">
      <c r="A3441" s="178" t="str">
        <f>IFERROR(__xludf.DUMMYFUNCTION("""COMPUTED_VALUE"""),"ITBISA-DC-TO-DC-STEPDOWN-XL4005")</f>
        <v>ITBISA-DC-TO-DC-STEPDOWN-XL4005</v>
      </c>
      <c r="B3441" s="266">
        <f>IFERROR(__xludf.DUMMYFUNCTION("""COMPUTED_VALUE"""),45735.0)</f>
        <v>45735</v>
      </c>
      <c r="C3441" s="266" t="str">
        <f>IFERROR(__xludf.DUMMYFUNCTION("""COMPUTED_VALUE"""),"KERTASARI CIAMIS")</f>
        <v>KERTASARI CIAMIS</v>
      </c>
      <c r="D3441" s="186">
        <f>IFERROR(__xludf.DUMMYFUNCTION("""COMPUTED_VALUE"""),10.0)</f>
        <v>10</v>
      </c>
    </row>
    <row r="3442">
      <c r="A3442" s="178" t="str">
        <f>IFERROR(__xludf.DUMMYFUNCTION("""COMPUTED_VALUE"""),"ITBISA-DC-TO-DC-STEPDOWN-XL4005")</f>
        <v>ITBISA-DC-TO-DC-STEPDOWN-XL4005</v>
      </c>
      <c r="B3442" s="266">
        <f>IFERROR(__xludf.DUMMYFUNCTION("""COMPUTED_VALUE"""),45742.0)</f>
        <v>45742</v>
      </c>
      <c r="C3442" s="266" t="str">
        <f>IFERROR(__xludf.DUMMYFUNCTION("""COMPUTED_VALUE"""),"KERTASARI CIAMIS")</f>
        <v>KERTASARI CIAMIS</v>
      </c>
      <c r="D3442" s="186">
        <f>IFERROR(__xludf.DUMMYFUNCTION("""COMPUTED_VALUE"""),2.0)</f>
        <v>2</v>
      </c>
    </row>
    <row r="3443">
      <c r="A3443" s="178" t="str">
        <f>IFERROR(__xludf.DUMMYFUNCTION("""COMPUTED_VALUE"""),"ITBISA-DC-TO-DC-STEPDOWN-XL4005")</f>
        <v>ITBISA-DC-TO-DC-STEPDOWN-XL4005</v>
      </c>
      <c r="B3443" s="266">
        <f>IFERROR(__xludf.DUMMYFUNCTION("""COMPUTED_VALUE"""),45855.0)</f>
        <v>45855</v>
      </c>
      <c r="C3443" s="266" t="str">
        <f>IFERROR(__xludf.DUMMYFUNCTION("""COMPUTED_VALUE"""),"KYAI KONTONG")</f>
        <v>KYAI KONTONG</v>
      </c>
      <c r="D3443" s="186">
        <f>IFERROR(__xludf.DUMMYFUNCTION("""COMPUTED_VALUE"""),1.0)</f>
        <v>1</v>
      </c>
    </row>
    <row r="3444">
      <c r="A3444" s="178" t="str">
        <f>IFERROR(__xludf.DUMMYFUNCTION("""COMPUTED_VALUE"""),"ITBISA-DC-TO-DC-STEPDOWN-XL4005")</f>
        <v>ITBISA-DC-TO-DC-STEPDOWN-XL4005</v>
      </c>
      <c r="B3444" s="266">
        <f>IFERROR(__xludf.DUMMYFUNCTION("""COMPUTED_VALUE"""),45988.0)</f>
        <v>45988</v>
      </c>
      <c r="C3444" s="266" t="str">
        <f>IFERROR(__xludf.DUMMYFUNCTION("""COMPUTED_VALUE"""),"KYAI KONTONG")</f>
        <v>KYAI KONTONG</v>
      </c>
      <c r="D3444" s="186">
        <f>IFERROR(__xludf.DUMMYFUNCTION("""COMPUTED_VALUE"""),1.0)</f>
        <v>1</v>
      </c>
    </row>
    <row r="3445">
      <c r="A3445" s="178" t="str">
        <f>IFERROR(__xludf.DUMMYFUNCTION("""COMPUTED_VALUE"""),"ITBISA-DC-TO-DC-STEPDOWN-XL4005")</f>
        <v>ITBISA-DC-TO-DC-STEPDOWN-XL4005</v>
      </c>
      <c r="B3445" s="266">
        <f>IFERROR(__xludf.DUMMYFUNCTION("""COMPUTED_VALUE"""),45994.0)</f>
        <v>45994</v>
      </c>
      <c r="C3445" s="266" t="str">
        <f>IFERROR(__xludf.DUMMYFUNCTION("""COMPUTED_VALUE"""),"KYAI KONTONG")</f>
        <v>KYAI KONTONG</v>
      </c>
      <c r="D3445" s="186">
        <f>IFERROR(__xludf.DUMMYFUNCTION("""COMPUTED_VALUE"""),1.0)</f>
        <v>1</v>
      </c>
    </row>
    <row r="3446">
      <c r="A3446" s="178" t="str">
        <f>IFERROR(__xludf.DUMMYFUNCTION("""COMPUTED_VALUE"""),"ITBISA-DC-TO-DC-STEPDOWN-XL4005")</f>
        <v>ITBISA-DC-TO-DC-STEPDOWN-XL4005</v>
      </c>
      <c r="B3446" s="266">
        <f>IFERROR(__xludf.DUMMYFUNCTION("""COMPUTED_VALUE"""),45997.0)</f>
        <v>45997</v>
      </c>
      <c r="C3446" s="266" t="str">
        <f>IFERROR(__xludf.DUMMYFUNCTION("""COMPUTED_VALUE"""),"KYAI KONTONG")</f>
        <v>KYAI KONTONG</v>
      </c>
      <c r="D3446" s="186">
        <f>IFERROR(__xludf.DUMMYFUNCTION("""COMPUTED_VALUE"""),1.0)</f>
        <v>1</v>
      </c>
    </row>
    <row r="3447">
      <c r="A3447" s="178" t="str">
        <f>IFERROR(__xludf.DUMMYFUNCTION("""COMPUTED_VALUE"""),"ITBISA-DC-TO-DC-STEPDOWN-XL4005")</f>
        <v>ITBISA-DC-TO-DC-STEPDOWN-XL4005</v>
      </c>
      <c r="B3447" s="266">
        <f>IFERROR(__xludf.DUMMYFUNCTION("""COMPUTED_VALUE"""),46000.0)</f>
        <v>46000</v>
      </c>
      <c r="C3447" s="266" t="str">
        <f>IFERROR(__xludf.DUMMYFUNCTION("""COMPUTED_VALUE"""),"KERTASARI CIAMIS")</f>
        <v>KERTASARI CIAMIS</v>
      </c>
      <c r="D3447" s="186">
        <f>IFERROR(__xludf.DUMMYFUNCTION("""COMPUTED_VALUE"""),1.0)</f>
        <v>1</v>
      </c>
    </row>
    <row r="3448">
      <c r="A3448" s="178" t="str">
        <f>IFERROR(__xludf.DUMMYFUNCTION("""COMPUTED_VALUE"""),"ITBISA-DC-TO-DC-STEPDOWN-XL4005")</f>
        <v>ITBISA-DC-TO-DC-STEPDOWN-XL4005</v>
      </c>
      <c r="B3448" s="266">
        <f>IFERROR(__xludf.DUMMYFUNCTION("""COMPUTED_VALUE"""),46000.0)</f>
        <v>46000</v>
      </c>
      <c r="C3448" s="266" t="str">
        <f>IFERROR(__xludf.DUMMYFUNCTION("""COMPUTED_VALUE"""),"KYAI KONTONG")</f>
        <v>KYAI KONTONG</v>
      </c>
      <c r="D3448" s="186">
        <f>IFERROR(__xludf.DUMMYFUNCTION("""COMPUTED_VALUE"""),1.0)</f>
        <v>1</v>
      </c>
    </row>
    <row r="3449">
      <c r="A3449" s="178" t="str">
        <f>IFERROR(__xludf.DUMMYFUNCTION("""COMPUTED_VALUE"""),"ITBISA-DC-TO-DC-STEPDOWN-XL4015")</f>
        <v>ITBISA-DC-TO-DC-STEPDOWN-XL4015</v>
      </c>
      <c r="B3449" s="266">
        <f>IFERROR(__xludf.DUMMYFUNCTION("""COMPUTED_VALUE"""),45442.0)</f>
        <v>45442</v>
      </c>
      <c r="C3449" s="266" t="str">
        <f>IFERROR(__xludf.DUMMYFUNCTION("""COMPUTED_VALUE"""),"KYAI KONTONG")</f>
        <v>KYAI KONTONG</v>
      </c>
      <c r="D3449" s="186">
        <f>IFERROR(__xludf.DUMMYFUNCTION("""COMPUTED_VALUE"""),0.0)</f>
        <v>0</v>
      </c>
    </row>
    <row r="3450">
      <c r="A3450" s="178" t="str">
        <f>IFERROR(__xludf.DUMMYFUNCTION("""COMPUTED_VALUE"""),"ITBISA-DC-TO-DC-STEPDOWN-XL4015")</f>
        <v>ITBISA-DC-TO-DC-STEPDOWN-XL4015</v>
      </c>
      <c r="B3450" s="266">
        <f>IFERROR(__xludf.DUMMYFUNCTION("""COMPUTED_VALUE"""),45446.0)</f>
        <v>45446</v>
      </c>
      <c r="C3450" s="266" t="str">
        <f>IFERROR(__xludf.DUMMYFUNCTION("""COMPUTED_VALUE"""),"KYAI KONTONG")</f>
        <v>KYAI KONTONG</v>
      </c>
      <c r="D3450" s="186">
        <f>IFERROR(__xludf.DUMMYFUNCTION("""COMPUTED_VALUE"""),2.0)</f>
        <v>2</v>
      </c>
    </row>
    <row r="3451">
      <c r="A3451" s="178" t="str">
        <f>IFERROR(__xludf.DUMMYFUNCTION("""COMPUTED_VALUE"""),"ITBISA-DC-TO-DC-STEPDOWN-XL4015")</f>
        <v>ITBISA-DC-TO-DC-STEPDOWN-XL4015</v>
      </c>
      <c r="B3451" s="266">
        <f>IFERROR(__xludf.DUMMYFUNCTION("""COMPUTED_VALUE"""),45482.0)</f>
        <v>45482</v>
      </c>
      <c r="C3451" s="266" t="str">
        <f>IFERROR(__xludf.DUMMYFUNCTION("""COMPUTED_VALUE"""),"KYAI KONTONG")</f>
        <v>KYAI KONTONG</v>
      </c>
      <c r="D3451" s="186">
        <f>IFERROR(__xludf.DUMMYFUNCTION("""COMPUTED_VALUE"""),2.0)</f>
        <v>2</v>
      </c>
    </row>
    <row r="3452">
      <c r="A3452" s="178" t="str">
        <f>IFERROR(__xludf.DUMMYFUNCTION("""COMPUTED_VALUE"""),"ITBISA-DC-TO-DC-STEPDOWN-XL4015")</f>
        <v>ITBISA-DC-TO-DC-STEPDOWN-XL4015</v>
      </c>
      <c r="B3452" s="266">
        <f>IFERROR(__xludf.DUMMYFUNCTION("""COMPUTED_VALUE"""),45497.0)</f>
        <v>45497</v>
      </c>
      <c r="C3452" s="266" t="str">
        <f>IFERROR(__xludf.DUMMYFUNCTION("""COMPUTED_VALUE"""),"KYAI KONTONG")</f>
        <v>KYAI KONTONG</v>
      </c>
      <c r="D3452" s="186">
        <f>IFERROR(__xludf.DUMMYFUNCTION("""COMPUTED_VALUE"""),2.0)</f>
        <v>2</v>
      </c>
    </row>
    <row r="3453">
      <c r="A3453" s="178" t="str">
        <f>IFERROR(__xludf.DUMMYFUNCTION("""COMPUTED_VALUE"""),"ITBISA-DC-TO-DC-STEPDOWN-XL4015")</f>
        <v>ITBISA-DC-TO-DC-STEPDOWN-XL4015</v>
      </c>
      <c r="B3453" s="266">
        <f>IFERROR(__xludf.DUMMYFUNCTION("""COMPUTED_VALUE"""),45512.0)</f>
        <v>45512</v>
      </c>
      <c r="C3453" s="266" t="str">
        <f>IFERROR(__xludf.DUMMYFUNCTION("""COMPUTED_VALUE"""),"KYAI KONTONG")</f>
        <v>KYAI KONTONG</v>
      </c>
      <c r="D3453" s="186">
        <f>IFERROR(__xludf.DUMMYFUNCTION("""COMPUTED_VALUE"""),10.0)</f>
        <v>10</v>
      </c>
    </row>
    <row r="3454">
      <c r="A3454" s="178" t="str">
        <f>IFERROR(__xludf.DUMMYFUNCTION("""COMPUTED_VALUE"""),"ITBISA-DC-TO-DC-STEPDOWN-XL4015")</f>
        <v>ITBISA-DC-TO-DC-STEPDOWN-XL4015</v>
      </c>
      <c r="B3454" s="266">
        <f>IFERROR(__xludf.DUMMYFUNCTION("""COMPUTED_VALUE"""),45517.0)</f>
        <v>45517</v>
      </c>
      <c r="C3454" s="266" t="str">
        <f>IFERROR(__xludf.DUMMYFUNCTION("""COMPUTED_VALUE"""),"KERTASARI CIAMIS")</f>
        <v>KERTASARI CIAMIS</v>
      </c>
      <c r="D3454" s="186">
        <f>IFERROR(__xludf.DUMMYFUNCTION("""COMPUTED_VALUE"""),1.0)</f>
        <v>1</v>
      </c>
    </row>
    <row r="3455">
      <c r="A3455" s="178" t="str">
        <f>IFERROR(__xludf.DUMMYFUNCTION("""COMPUTED_VALUE"""),"ITBISA-DC-TO-DC-STEPDOWN-XL4015")</f>
        <v>ITBISA-DC-TO-DC-STEPDOWN-XL4015</v>
      </c>
      <c r="B3455" s="266">
        <f>IFERROR(__xludf.DUMMYFUNCTION("""COMPUTED_VALUE"""),45518.0)</f>
        <v>45518</v>
      </c>
      <c r="C3455" s="266" t="str">
        <f>IFERROR(__xludf.DUMMYFUNCTION("""COMPUTED_VALUE"""),"KYAI KONTONG")</f>
        <v>KYAI KONTONG</v>
      </c>
      <c r="D3455" s="186">
        <f>IFERROR(__xludf.DUMMYFUNCTION("""COMPUTED_VALUE"""),1.0)</f>
        <v>1</v>
      </c>
    </row>
    <row r="3456">
      <c r="A3456" s="178" t="str">
        <f>IFERROR(__xludf.DUMMYFUNCTION("""COMPUTED_VALUE"""),"ITBISA-DC-TO-DC-STEPDOWN-XL4015")</f>
        <v>ITBISA-DC-TO-DC-STEPDOWN-XL4015</v>
      </c>
      <c r="B3456" s="266">
        <f>IFERROR(__xludf.DUMMYFUNCTION("""COMPUTED_VALUE"""),45544.0)</f>
        <v>45544</v>
      </c>
      <c r="C3456" s="266" t="str">
        <f>IFERROR(__xludf.DUMMYFUNCTION("""COMPUTED_VALUE"""),"KERTASARI CIAMIS")</f>
        <v>KERTASARI CIAMIS</v>
      </c>
      <c r="D3456" s="186">
        <f>IFERROR(__xludf.DUMMYFUNCTION("""COMPUTED_VALUE"""),1.0)</f>
        <v>1</v>
      </c>
    </row>
    <row r="3457">
      <c r="A3457" s="178" t="str">
        <f>IFERROR(__xludf.DUMMYFUNCTION("""COMPUTED_VALUE"""),"ITBISA-DC-TO-DC-STEPDOWN-XL4015")</f>
        <v>ITBISA-DC-TO-DC-STEPDOWN-XL4015</v>
      </c>
      <c r="B3457" s="266">
        <f>IFERROR(__xludf.DUMMYFUNCTION("""COMPUTED_VALUE"""),45558.0)</f>
        <v>45558</v>
      </c>
      <c r="C3457" s="266" t="str">
        <f>IFERROR(__xludf.DUMMYFUNCTION("""COMPUTED_VALUE"""),"KYAI KONTONG")</f>
        <v>KYAI KONTONG</v>
      </c>
      <c r="D3457" s="186">
        <f>IFERROR(__xludf.DUMMYFUNCTION("""COMPUTED_VALUE"""),6.0)</f>
        <v>6</v>
      </c>
    </row>
    <row r="3458">
      <c r="A3458" s="178" t="str">
        <f>IFERROR(__xludf.DUMMYFUNCTION("""COMPUTED_VALUE"""),"ITBISA-DC-TO-DC-STEPDOWN-XL4015")</f>
        <v>ITBISA-DC-TO-DC-STEPDOWN-XL4015</v>
      </c>
      <c r="B3458" s="266">
        <f>IFERROR(__xludf.DUMMYFUNCTION("""COMPUTED_VALUE"""),45566.0)</f>
        <v>45566</v>
      </c>
      <c r="C3458" s="266" t="str">
        <f>IFERROR(__xludf.DUMMYFUNCTION("""COMPUTED_VALUE"""),"KERTASARI CIAMIS")</f>
        <v>KERTASARI CIAMIS</v>
      </c>
      <c r="D3458" s="186">
        <f>IFERROR(__xludf.DUMMYFUNCTION("""COMPUTED_VALUE"""),10.0)</f>
        <v>10</v>
      </c>
    </row>
    <row r="3459">
      <c r="A3459" s="178" t="str">
        <f>IFERROR(__xludf.DUMMYFUNCTION("""COMPUTED_VALUE"""),"ITBISA-DC-TO-DC-STEPDOWN-XL4015")</f>
        <v>ITBISA-DC-TO-DC-STEPDOWN-XL4015</v>
      </c>
      <c r="B3459" s="266">
        <f>IFERROR(__xludf.DUMMYFUNCTION("""COMPUTED_VALUE"""),45600.0)</f>
        <v>45600</v>
      </c>
      <c r="C3459" s="266" t="str">
        <f>IFERROR(__xludf.DUMMYFUNCTION("""COMPUTED_VALUE"""),"KERTASARI CIAMIS")</f>
        <v>KERTASARI CIAMIS</v>
      </c>
      <c r="D3459" s="186">
        <f>IFERROR(__xludf.DUMMYFUNCTION("""COMPUTED_VALUE"""),9.0)</f>
        <v>9</v>
      </c>
    </row>
    <row r="3460">
      <c r="A3460" s="178" t="str">
        <f>IFERROR(__xludf.DUMMYFUNCTION("""COMPUTED_VALUE"""),"ITBISA-DC-TO-DC-STEPDOWN-XL4015")</f>
        <v>ITBISA-DC-TO-DC-STEPDOWN-XL4015</v>
      </c>
      <c r="B3460" s="266">
        <f>IFERROR(__xludf.DUMMYFUNCTION("""COMPUTED_VALUE"""),45611.0)</f>
        <v>45611</v>
      </c>
      <c r="C3460" s="266" t="str">
        <f>IFERROR(__xludf.DUMMYFUNCTION("""COMPUTED_VALUE"""),"KYAI KONTONG")</f>
        <v>KYAI KONTONG</v>
      </c>
      <c r="D3460" s="186">
        <f>IFERROR(__xludf.DUMMYFUNCTION("""COMPUTED_VALUE"""),7.0)</f>
        <v>7</v>
      </c>
    </row>
    <row r="3461">
      <c r="A3461" s="178" t="str">
        <f>IFERROR(__xludf.DUMMYFUNCTION("""COMPUTED_VALUE"""),"ITBISA-DC-TO-DC-STEPDOWN-XL4015")</f>
        <v>ITBISA-DC-TO-DC-STEPDOWN-XL4015</v>
      </c>
      <c r="B3461" s="266">
        <f>IFERROR(__xludf.DUMMYFUNCTION("""COMPUTED_VALUE"""),45645.0)</f>
        <v>45645</v>
      </c>
      <c r="C3461" s="266" t="str">
        <f>IFERROR(__xludf.DUMMYFUNCTION("""COMPUTED_VALUE"""),"KYAI KONTONG")</f>
        <v>KYAI KONTONG</v>
      </c>
      <c r="D3461" s="186">
        <f>IFERROR(__xludf.DUMMYFUNCTION("""COMPUTED_VALUE"""),1.0)</f>
        <v>1</v>
      </c>
    </row>
    <row r="3462">
      <c r="A3462" s="178" t="str">
        <f>IFERROR(__xludf.DUMMYFUNCTION("""COMPUTED_VALUE"""),"ITBISA-DC-TO-DC-STEPDOWN-XL4015")</f>
        <v>ITBISA-DC-TO-DC-STEPDOWN-XL4015</v>
      </c>
      <c r="B3462" s="266">
        <f>IFERROR(__xludf.DUMMYFUNCTION("""COMPUTED_VALUE"""),45647.0)</f>
        <v>45647</v>
      </c>
      <c r="C3462" s="266" t="str">
        <f>IFERROR(__xludf.DUMMYFUNCTION("""COMPUTED_VALUE"""),"KYAI KONTONG")</f>
        <v>KYAI KONTONG</v>
      </c>
      <c r="D3462" s="186">
        <f>IFERROR(__xludf.DUMMYFUNCTION("""COMPUTED_VALUE"""),3.0)</f>
        <v>3</v>
      </c>
    </row>
    <row r="3463">
      <c r="A3463" s="178" t="str">
        <f>IFERROR(__xludf.DUMMYFUNCTION("""COMPUTED_VALUE"""),"ITBISA-DC-TO-DC-STEPDOWN-XL4015")</f>
        <v>ITBISA-DC-TO-DC-STEPDOWN-XL4015</v>
      </c>
      <c r="B3463" s="266">
        <f>IFERROR(__xludf.DUMMYFUNCTION("""COMPUTED_VALUE"""),45651.0)</f>
        <v>45651</v>
      </c>
      <c r="C3463" s="266" t="str">
        <f>IFERROR(__xludf.DUMMYFUNCTION("""COMPUTED_VALUE"""),"KYAI KONTONG")</f>
        <v>KYAI KONTONG</v>
      </c>
      <c r="D3463" s="186">
        <f>IFERROR(__xludf.DUMMYFUNCTION("""COMPUTED_VALUE"""),42.0)</f>
        <v>42</v>
      </c>
    </row>
    <row r="3464">
      <c r="A3464" s="178" t="str">
        <f>IFERROR(__xludf.DUMMYFUNCTION("""COMPUTED_VALUE"""),"ITBISA-DC-TO-DC-STEPDOWN-XL4015")</f>
        <v>ITBISA-DC-TO-DC-STEPDOWN-XL4015</v>
      </c>
      <c r="B3464" s="266">
        <f>IFERROR(__xludf.DUMMYFUNCTION("""COMPUTED_VALUE"""),45659.0)</f>
        <v>45659</v>
      </c>
      <c r="C3464" s="266" t="str">
        <f>IFERROR(__xludf.DUMMYFUNCTION("""COMPUTED_VALUE"""),"KYAI KONTONG")</f>
        <v>KYAI KONTONG</v>
      </c>
      <c r="D3464" s="186">
        <f>IFERROR(__xludf.DUMMYFUNCTION("""COMPUTED_VALUE"""),0.0)</f>
        <v>0</v>
      </c>
    </row>
    <row r="3465">
      <c r="A3465" s="178" t="str">
        <f>IFERROR(__xludf.DUMMYFUNCTION("""COMPUTED_VALUE"""),"ITBISA-DC-TO-DC-STEPDOWN-XL4015")</f>
        <v>ITBISA-DC-TO-DC-STEPDOWN-XL4015</v>
      </c>
      <c r="B3465" s="266">
        <f>IFERROR(__xludf.DUMMYFUNCTION("""COMPUTED_VALUE"""),45664.0)</f>
        <v>45664</v>
      </c>
      <c r="C3465" s="266" t="str">
        <f>IFERROR(__xludf.DUMMYFUNCTION("""COMPUTED_VALUE"""),"KERTASARI CIAMIS")</f>
        <v>KERTASARI CIAMIS</v>
      </c>
      <c r="D3465" s="186">
        <f>IFERROR(__xludf.DUMMYFUNCTION("""COMPUTED_VALUE"""),2.0)</f>
        <v>2</v>
      </c>
    </row>
    <row r="3466">
      <c r="A3466" s="178" t="str">
        <f>IFERROR(__xludf.DUMMYFUNCTION("""COMPUTED_VALUE"""),"ITBISA-DC-TO-DC-STEPDOWN-XL4015")</f>
        <v>ITBISA-DC-TO-DC-STEPDOWN-XL4015</v>
      </c>
      <c r="B3466" s="266">
        <f>IFERROR(__xludf.DUMMYFUNCTION("""COMPUTED_VALUE"""),45671.0)</f>
        <v>45671</v>
      </c>
      <c r="C3466" s="266" t="str">
        <f>IFERROR(__xludf.DUMMYFUNCTION("""COMPUTED_VALUE"""),"KYAI KONTONG")</f>
        <v>KYAI KONTONG</v>
      </c>
      <c r="D3466" s="186">
        <f>IFERROR(__xludf.DUMMYFUNCTION("""COMPUTED_VALUE"""),1.0)</f>
        <v>1</v>
      </c>
    </row>
    <row r="3467">
      <c r="A3467" s="178" t="str">
        <f>IFERROR(__xludf.DUMMYFUNCTION("""COMPUTED_VALUE"""),"ITBISA-DC-TO-DC-STEPDOWN-XL4015")</f>
        <v>ITBISA-DC-TO-DC-STEPDOWN-XL4015</v>
      </c>
      <c r="B3467" s="266">
        <f>IFERROR(__xludf.DUMMYFUNCTION("""COMPUTED_VALUE"""),45685.0)</f>
        <v>45685</v>
      </c>
      <c r="C3467" s="266" t="str">
        <f>IFERROR(__xludf.DUMMYFUNCTION("""COMPUTED_VALUE"""),"KYAI KONTONG")</f>
        <v>KYAI KONTONG</v>
      </c>
      <c r="D3467" s="186">
        <f>IFERROR(__xludf.DUMMYFUNCTION("""COMPUTED_VALUE"""),2.0)</f>
        <v>2</v>
      </c>
    </row>
    <row r="3468">
      <c r="A3468" s="178" t="str">
        <f>IFERROR(__xludf.DUMMYFUNCTION("""COMPUTED_VALUE"""),"ITBISA-DC-TO-DC-STEPDOWN-XL4015")</f>
        <v>ITBISA-DC-TO-DC-STEPDOWN-XL4015</v>
      </c>
      <c r="B3468" s="266">
        <f>IFERROR(__xludf.DUMMYFUNCTION("""COMPUTED_VALUE"""),45690.0)</f>
        <v>45690</v>
      </c>
      <c r="C3468" s="266" t="str">
        <f>IFERROR(__xludf.DUMMYFUNCTION("""COMPUTED_VALUE"""),"KYAI KONTONG")</f>
        <v>KYAI KONTONG</v>
      </c>
      <c r="D3468" s="186">
        <f>IFERROR(__xludf.DUMMYFUNCTION("""COMPUTED_VALUE"""),1.0)</f>
        <v>1</v>
      </c>
    </row>
    <row r="3469">
      <c r="A3469" s="178" t="str">
        <f>IFERROR(__xludf.DUMMYFUNCTION("""COMPUTED_VALUE"""),"ITBISA-DC-TO-DC-STEPDOWN-XL4015")</f>
        <v>ITBISA-DC-TO-DC-STEPDOWN-XL4015</v>
      </c>
      <c r="B3469" s="266">
        <f>IFERROR(__xludf.DUMMYFUNCTION("""COMPUTED_VALUE"""),45693.0)</f>
        <v>45693</v>
      </c>
      <c r="C3469" s="266" t="str">
        <f>IFERROR(__xludf.DUMMYFUNCTION("""COMPUTED_VALUE"""),"KERTASARI CIAMIS")</f>
        <v>KERTASARI CIAMIS</v>
      </c>
      <c r="D3469" s="186">
        <f>IFERROR(__xludf.DUMMYFUNCTION("""COMPUTED_VALUE"""),5.0)</f>
        <v>5</v>
      </c>
    </row>
    <row r="3470">
      <c r="A3470" s="178" t="str">
        <f>IFERROR(__xludf.DUMMYFUNCTION("""COMPUTED_VALUE"""),"ITBISA-DC-TO-DC-STEPDOWN-XL4015")</f>
        <v>ITBISA-DC-TO-DC-STEPDOWN-XL4015</v>
      </c>
      <c r="B3470" s="266">
        <f>IFERROR(__xludf.DUMMYFUNCTION("""COMPUTED_VALUE"""),45696.0)</f>
        <v>45696</v>
      </c>
      <c r="C3470" s="266" t="str">
        <f>IFERROR(__xludf.DUMMYFUNCTION("""COMPUTED_VALUE"""),"KERTASARI CIAMIS")</f>
        <v>KERTASARI CIAMIS</v>
      </c>
      <c r="D3470" s="186">
        <f>IFERROR(__xludf.DUMMYFUNCTION("""COMPUTED_VALUE"""),9.0)</f>
        <v>9</v>
      </c>
    </row>
    <row r="3471">
      <c r="A3471" s="178" t="str">
        <f>IFERROR(__xludf.DUMMYFUNCTION("""COMPUTED_VALUE"""),"ITBISA-DC-TO-DC-STEPDOWN-XL4015")</f>
        <v>ITBISA-DC-TO-DC-STEPDOWN-XL4015</v>
      </c>
      <c r="B3471" s="266">
        <f>IFERROR(__xludf.DUMMYFUNCTION("""COMPUTED_VALUE"""),45830.0)</f>
        <v>45830</v>
      </c>
      <c r="C3471" s="266" t="str">
        <f>IFERROR(__xludf.DUMMYFUNCTION("""COMPUTED_VALUE"""),"KYAI KONTONG")</f>
        <v>KYAI KONTONG</v>
      </c>
      <c r="D3471" s="186">
        <f>IFERROR(__xludf.DUMMYFUNCTION("""COMPUTED_VALUE"""),10.0)</f>
        <v>10</v>
      </c>
    </row>
    <row r="3472">
      <c r="A3472" s="178" t="str">
        <f>IFERROR(__xludf.DUMMYFUNCTION("""COMPUTED_VALUE"""),"ITBISA-DC-TO-DC-STEPDOWN-XL4015")</f>
        <v>ITBISA-DC-TO-DC-STEPDOWN-XL4015</v>
      </c>
      <c r="B3472" s="266">
        <f>IFERROR(__xludf.DUMMYFUNCTION("""COMPUTED_VALUE"""),45927.0)</f>
        <v>45927</v>
      </c>
      <c r="C3472" s="266" t="str">
        <f>IFERROR(__xludf.DUMMYFUNCTION("""COMPUTED_VALUE"""),"KYAI KONTONG")</f>
        <v>KYAI KONTONG</v>
      </c>
      <c r="D3472" s="186">
        <f>IFERROR(__xludf.DUMMYFUNCTION("""COMPUTED_VALUE"""),2.0)</f>
        <v>2</v>
      </c>
    </row>
    <row r="3473">
      <c r="A3473" s="178" t="str">
        <f>IFERROR(__xludf.DUMMYFUNCTION("""COMPUTED_VALUE"""),"ITBISA-DC-TO-DC-STEPDOWN-XL4015")</f>
        <v>ITBISA-DC-TO-DC-STEPDOWN-XL4015</v>
      </c>
      <c r="B3473" s="266">
        <f>IFERROR(__xludf.DUMMYFUNCTION("""COMPUTED_VALUE"""),45932.0)</f>
        <v>45932</v>
      </c>
      <c r="C3473" s="266" t="str">
        <f>IFERROR(__xludf.DUMMYFUNCTION("""COMPUTED_VALUE"""),"KERTASARI CIAMIS")</f>
        <v>KERTASARI CIAMIS</v>
      </c>
      <c r="D3473" s="186">
        <f>IFERROR(__xludf.DUMMYFUNCTION("""COMPUTED_VALUE"""),10.0)</f>
        <v>10</v>
      </c>
    </row>
    <row r="3474">
      <c r="A3474" s="178" t="str">
        <f>IFERROR(__xludf.DUMMYFUNCTION("""COMPUTED_VALUE"""),"ITBISA-DC-TO-DC-STEPDOWN-XL4015")</f>
        <v>ITBISA-DC-TO-DC-STEPDOWN-XL4015</v>
      </c>
      <c r="B3474" s="266">
        <f>IFERROR(__xludf.DUMMYFUNCTION("""COMPUTED_VALUE"""),45987.0)</f>
        <v>45987</v>
      </c>
      <c r="C3474" s="266" t="str">
        <f>IFERROR(__xludf.DUMMYFUNCTION("""COMPUTED_VALUE"""),"KERTASARI CIAMIS")</f>
        <v>KERTASARI CIAMIS</v>
      </c>
      <c r="D3474" s="186">
        <f>IFERROR(__xludf.DUMMYFUNCTION("""COMPUTED_VALUE"""),1.0)</f>
        <v>1</v>
      </c>
    </row>
    <row r="3475">
      <c r="A3475" s="178" t="str">
        <f>IFERROR(__xludf.DUMMYFUNCTION("""COMPUTED_VALUE"""),"ITBISA-DC-TO-DC-STEPDOWN-XL4015")</f>
        <v>ITBISA-DC-TO-DC-STEPDOWN-XL4015</v>
      </c>
      <c r="B3475" s="266">
        <f>IFERROR(__xludf.DUMMYFUNCTION("""COMPUTED_VALUE"""),45996.0)</f>
        <v>45996</v>
      </c>
      <c r="C3475" s="266" t="str">
        <f>IFERROR(__xludf.DUMMYFUNCTION("""COMPUTED_VALUE"""),"KYAI KONTONG")</f>
        <v>KYAI KONTONG</v>
      </c>
      <c r="D3475" s="186">
        <f>IFERROR(__xludf.DUMMYFUNCTION("""COMPUTED_VALUE"""),1.0)</f>
        <v>1</v>
      </c>
    </row>
    <row r="3476">
      <c r="A3476" s="178" t="str">
        <f>IFERROR(__xludf.DUMMYFUNCTION("""COMPUTED_VALUE"""),"ITBISA-DC-TO-DC-STEPDOWN-XL4015")</f>
        <v>ITBISA-DC-TO-DC-STEPDOWN-XL4015</v>
      </c>
      <c r="B3476" s="266">
        <f>IFERROR(__xludf.DUMMYFUNCTION("""COMPUTED_VALUE"""),45997.0)</f>
        <v>45997</v>
      </c>
      <c r="C3476" s="266" t="str">
        <f>IFERROR(__xludf.DUMMYFUNCTION("""COMPUTED_VALUE"""),"KYAI KONTONG")</f>
        <v>KYAI KONTONG</v>
      </c>
      <c r="D3476" s="186">
        <f>IFERROR(__xludf.DUMMYFUNCTION("""COMPUTED_VALUE"""),3.0)</f>
        <v>3</v>
      </c>
    </row>
    <row r="3477">
      <c r="A3477" s="178" t="str">
        <f>IFERROR(__xludf.DUMMYFUNCTION("""COMPUTED_VALUE"""),"ITBISA-DC-TO-DC-STEPDOWN-XL4015")</f>
        <v>ITBISA-DC-TO-DC-STEPDOWN-XL4015</v>
      </c>
      <c r="B3477" s="266">
        <f>IFERROR(__xludf.DUMMYFUNCTION("""COMPUTED_VALUE"""),46002.0)</f>
        <v>46002</v>
      </c>
      <c r="C3477" s="266" t="str">
        <f>IFERROR(__xludf.DUMMYFUNCTION("""COMPUTED_VALUE"""),"KERTASARI CIAMIS")</f>
        <v>KERTASARI CIAMIS</v>
      </c>
      <c r="D3477" s="186">
        <f>IFERROR(__xludf.DUMMYFUNCTION("""COMPUTED_VALUE"""),10.0)</f>
        <v>10</v>
      </c>
    </row>
    <row r="3478">
      <c r="A3478" s="178" t="str">
        <f>IFERROR(__xludf.DUMMYFUNCTION("""COMPUTED_VALUE"""),"ITBISA-DC-TO-DC-STEPDOWN-XL4015")</f>
        <v>ITBISA-DC-TO-DC-STEPDOWN-XL4015</v>
      </c>
      <c r="B3478" s="266">
        <f>IFERROR(__xludf.DUMMYFUNCTION("""COMPUTED_VALUE"""),46008.0)</f>
        <v>46008</v>
      </c>
      <c r="C3478" s="266" t="str">
        <f>IFERROR(__xludf.DUMMYFUNCTION("""COMPUTED_VALUE"""),"KERTASARI CIAMIS")</f>
        <v>KERTASARI CIAMIS</v>
      </c>
      <c r="D3478" s="186">
        <f>IFERROR(__xludf.DUMMYFUNCTION("""COMPUTED_VALUE"""),2.0)</f>
        <v>2</v>
      </c>
    </row>
    <row r="3479">
      <c r="A3479" s="178" t="str">
        <f>IFERROR(__xludf.DUMMYFUNCTION("""COMPUTED_VALUE"""),"ITBISA-DC-TO-DC-STEPDOWN-XL4015")</f>
        <v>ITBISA-DC-TO-DC-STEPDOWN-XL4015</v>
      </c>
      <c r="B3479" s="266">
        <f>IFERROR(__xludf.DUMMYFUNCTION("""COMPUTED_VALUE"""),46010.0)</f>
        <v>46010</v>
      </c>
      <c r="C3479" s="266" t="str">
        <f>IFERROR(__xludf.DUMMYFUNCTION("""COMPUTED_VALUE"""),"KYAI KONTONG")</f>
        <v>KYAI KONTONG</v>
      </c>
      <c r="D3479" s="186">
        <f>IFERROR(__xludf.DUMMYFUNCTION("""COMPUTED_VALUE"""),1.0)</f>
        <v>1</v>
      </c>
    </row>
    <row r="3480">
      <c r="A3480" s="178" t="str">
        <f>IFERROR(__xludf.DUMMYFUNCTION("""COMPUTED_VALUE"""),"ITBISA-DC-TO-DC-STEPDOWN-XL4015")</f>
        <v>ITBISA-DC-TO-DC-STEPDOWN-XL4015</v>
      </c>
      <c r="B3480" s="266">
        <f>IFERROR(__xludf.DUMMYFUNCTION("""COMPUTED_VALUE"""),46015.0)</f>
        <v>46015</v>
      </c>
      <c r="C3480" s="266" t="str">
        <f>IFERROR(__xludf.DUMMYFUNCTION("""COMPUTED_VALUE"""),"KERTASARI CIAMIS")</f>
        <v>KERTASARI CIAMIS</v>
      </c>
      <c r="D3480" s="186">
        <f>IFERROR(__xludf.DUMMYFUNCTION("""COMPUTED_VALUE"""),3.0)</f>
        <v>3</v>
      </c>
    </row>
    <row r="3481">
      <c r="A3481" s="178" t="str">
        <f>IFERROR(__xludf.DUMMYFUNCTION("""COMPUTED_VALUE"""),"ITBISA-DC-TO-DC-STEPUP-XL6009")</f>
        <v>ITBISA-DC-TO-DC-STEPUP-XL6009</v>
      </c>
      <c r="B3481" s="266">
        <f>IFERROR(__xludf.DUMMYFUNCTION("""COMPUTED_VALUE"""),45434.0)</f>
        <v>45434</v>
      </c>
      <c r="C3481" s="266" t="str">
        <f>IFERROR(__xludf.DUMMYFUNCTION("""COMPUTED_VALUE"""),"KYAI KONTONG")</f>
        <v>KYAI KONTONG</v>
      </c>
      <c r="D3481" s="186">
        <f>IFERROR(__xludf.DUMMYFUNCTION("""COMPUTED_VALUE"""),1.0)</f>
        <v>1</v>
      </c>
    </row>
    <row r="3482">
      <c r="A3482" s="178" t="str">
        <f>IFERROR(__xludf.DUMMYFUNCTION("""COMPUTED_VALUE"""),"ITBISA-DC-TO-DC-STEPUP-XL6009")</f>
        <v>ITBISA-DC-TO-DC-STEPUP-XL6009</v>
      </c>
      <c r="B3482" s="266">
        <f>IFERROR(__xludf.DUMMYFUNCTION("""COMPUTED_VALUE"""),45460.0)</f>
        <v>45460</v>
      </c>
      <c r="C3482" s="266" t="str">
        <f>IFERROR(__xludf.DUMMYFUNCTION("""COMPUTED_VALUE"""),"KYAI KONTONG")</f>
        <v>KYAI KONTONG</v>
      </c>
      <c r="D3482" s="186">
        <f>IFERROR(__xludf.DUMMYFUNCTION("""COMPUTED_VALUE"""),1.0)</f>
        <v>1</v>
      </c>
    </row>
    <row r="3483">
      <c r="A3483" s="178" t="str">
        <f>IFERROR(__xludf.DUMMYFUNCTION("""COMPUTED_VALUE"""),"ITBISA-DC-TO-DC-STEPUP-XL6009")</f>
        <v>ITBISA-DC-TO-DC-STEPUP-XL6009</v>
      </c>
      <c r="B3483" s="266">
        <f>IFERROR(__xludf.DUMMYFUNCTION("""COMPUTED_VALUE"""),45485.0)</f>
        <v>45485</v>
      </c>
      <c r="C3483" s="266" t="str">
        <f>IFERROR(__xludf.DUMMYFUNCTION("""COMPUTED_VALUE"""),"KYAI KONTONG")</f>
        <v>KYAI KONTONG</v>
      </c>
      <c r="D3483" s="186">
        <f>IFERROR(__xludf.DUMMYFUNCTION("""COMPUTED_VALUE"""),1.0)</f>
        <v>1</v>
      </c>
    </row>
    <row r="3484">
      <c r="A3484" s="178" t="str">
        <f>IFERROR(__xludf.DUMMYFUNCTION("""COMPUTED_VALUE"""),"ITBISA-DC-TO-DC-STEPUP-XL6009")</f>
        <v>ITBISA-DC-TO-DC-STEPUP-XL6009</v>
      </c>
      <c r="B3484" s="266">
        <f>IFERROR(__xludf.DUMMYFUNCTION("""COMPUTED_VALUE"""),45488.0)</f>
        <v>45488</v>
      </c>
      <c r="C3484" s="266" t="str">
        <f>IFERROR(__xludf.DUMMYFUNCTION("""COMPUTED_VALUE"""),"KYAI KONTONG")</f>
        <v>KYAI KONTONG</v>
      </c>
      <c r="D3484" s="186">
        <f>IFERROR(__xludf.DUMMYFUNCTION("""COMPUTED_VALUE"""),1.0)</f>
        <v>1</v>
      </c>
    </row>
    <row r="3485">
      <c r="A3485" s="178" t="str">
        <f>IFERROR(__xludf.DUMMYFUNCTION("""COMPUTED_VALUE"""),"ITBISA-DC-TO-DC-STEPUP-XL6009")</f>
        <v>ITBISA-DC-TO-DC-STEPUP-XL6009</v>
      </c>
      <c r="B3485" s="266">
        <f>IFERROR(__xludf.DUMMYFUNCTION("""COMPUTED_VALUE"""),45505.0)</f>
        <v>45505</v>
      </c>
      <c r="C3485" s="266" t="str">
        <f>IFERROR(__xludf.DUMMYFUNCTION("""COMPUTED_VALUE"""),"KYAI KONTONG")</f>
        <v>KYAI KONTONG</v>
      </c>
      <c r="D3485" s="186">
        <f>IFERROR(__xludf.DUMMYFUNCTION("""COMPUTED_VALUE"""),5.0)</f>
        <v>5</v>
      </c>
    </row>
    <row r="3486">
      <c r="A3486" s="178" t="str">
        <f>IFERROR(__xludf.DUMMYFUNCTION("""COMPUTED_VALUE"""),"ITBISA-DC-TO-DC-STEPUP-XL6009")</f>
        <v>ITBISA-DC-TO-DC-STEPUP-XL6009</v>
      </c>
      <c r="B3486" s="266">
        <f>IFERROR(__xludf.DUMMYFUNCTION("""COMPUTED_VALUE"""),45513.0)</f>
        <v>45513</v>
      </c>
      <c r="C3486" s="266" t="str">
        <f>IFERROR(__xludf.DUMMYFUNCTION("""COMPUTED_VALUE"""),"KERTASARI CIAMIS")</f>
        <v>KERTASARI CIAMIS</v>
      </c>
      <c r="D3486" s="186">
        <f>IFERROR(__xludf.DUMMYFUNCTION("""COMPUTED_VALUE"""),5.0)</f>
        <v>5</v>
      </c>
    </row>
    <row r="3487">
      <c r="A3487" s="178" t="str">
        <f>IFERROR(__xludf.DUMMYFUNCTION("""COMPUTED_VALUE"""),"ITBISA-DC-TO-DC-STEPUP-XL6009")</f>
        <v>ITBISA-DC-TO-DC-STEPUP-XL6009</v>
      </c>
      <c r="B3487" s="266">
        <f>IFERROR(__xludf.DUMMYFUNCTION("""COMPUTED_VALUE"""),45514.0)</f>
        <v>45514</v>
      </c>
      <c r="C3487" s="266" t="str">
        <f>IFERROR(__xludf.DUMMYFUNCTION("""COMPUTED_VALUE"""),"KERTASARI CIAMIS")</f>
        <v>KERTASARI CIAMIS</v>
      </c>
      <c r="D3487" s="186">
        <f>IFERROR(__xludf.DUMMYFUNCTION("""COMPUTED_VALUE"""),7.0)</f>
        <v>7</v>
      </c>
    </row>
    <row r="3488">
      <c r="A3488" s="178" t="str">
        <f>IFERROR(__xludf.DUMMYFUNCTION("""COMPUTED_VALUE"""),"ITBISA-DC-TO-DC-STEPUP-XL6009")</f>
        <v>ITBISA-DC-TO-DC-STEPUP-XL6009</v>
      </c>
      <c r="B3488" s="266">
        <f>IFERROR(__xludf.DUMMYFUNCTION("""COMPUTED_VALUE"""),45517.0)</f>
        <v>45517</v>
      </c>
      <c r="C3488" s="266" t="str">
        <f>IFERROR(__xludf.DUMMYFUNCTION("""COMPUTED_VALUE"""),"KERTASARI CIAMIS")</f>
        <v>KERTASARI CIAMIS</v>
      </c>
      <c r="D3488" s="186">
        <f>IFERROR(__xludf.DUMMYFUNCTION("""COMPUTED_VALUE"""),1.0)</f>
        <v>1</v>
      </c>
    </row>
    <row r="3489">
      <c r="A3489" s="178" t="str">
        <f>IFERROR(__xludf.DUMMYFUNCTION("""COMPUTED_VALUE"""),"ITBISA-DC-TO-DC-STEPUP-XL6009")</f>
        <v>ITBISA-DC-TO-DC-STEPUP-XL6009</v>
      </c>
      <c r="B3489" s="266">
        <f>IFERROR(__xludf.DUMMYFUNCTION("""COMPUTED_VALUE"""),45559.0)</f>
        <v>45559</v>
      </c>
      <c r="C3489" s="266" t="str">
        <f>IFERROR(__xludf.DUMMYFUNCTION("""COMPUTED_VALUE"""),"KERTASARI CIAMIS")</f>
        <v>KERTASARI CIAMIS</v>
      </c>
      <c r="D3489" s="186">
        <f>IFERROR(__xludf.DUMMYFUNCTION("""COMPUTED_VALUE"""),2.0)</f>
        <v>2</v>
      </c>
    </row>
    <row r="3490">
      <c r="A3490" s="178" t="str">
        <f>IFERROR(__xludf.DUMMYFUNCTION("""COMPUTED_VALUE"""),"ITBISA-DC-TO-DC-STEPUP-XL6009")</f>
        <v>ITBISA-DC-TO-DC-STEPUP-XL6009</v>
      </c>
      <c r="B3490" s="266">
        <f>IFERROR(__xludf.DUMMYFUNCTION("""COMPUTED_VALUE"""),45565.0)</f>
        <v>45565</v>
      </c>
      <c r="C3490" s="266" t="str">
        <f>IFERROR(__xludf.DUMMYFUNCTION("""COMPUTED_VALUE"""),"KYAI KONTONG")</f>
        <v>KYAI KONTONG</v>
      </c>
      <c r="D3490" s="186">
        <f>IFERROR(__xludf.DUMMYFUNCTION("""COMPUTED_VALUE"""),2.0)</f>
        <v>2</v>
      </c>
    </row>
    <row r="3491">
      <c r="A3491" s="178" t="str">
        <f>IFERROR(__xludf.DUMMYFUNCTION("""COMPUTED_VALUE"""),"ITBISA-DC-TO-DC-STEPUP-XL6009")</f>
        <v>ITBISA-DC-TO-DC-STEPUP-XL6009</v>
      </c>
      <c r="B3491" s="266">
        <f>IFERROR(__xludf.DUMMYFUNCTION("""COMPUTED_VALUE"""),45569.0)</f>
        <v>45569</v>
      </c>
      <c r="C3491" s="266" t="str">
        <f>IFERROR(__xludf.DUMMYFUNCTION("""COMPUTED_VALUE"""),"KYAI KONTONG")</f>
        <v>KYAI KONTONG</v>
      </c>
      <c r="D3491" s="186">
        <f>IFERROR(__xludf.DUMMYFUNCTION("""COMPUTED_VALUE"""),2.0)</f>
        <v>2</v>
      </c>
    </row>
    <row r="3492">
      <c r="A3492" s="178" t="str">
        <f>IFERROR(__xludf.DUMMYFUNCTION("""COMPUTED_VALUE"""),"ITBISA-DC-TO-DC-STEPUP-XL6009")</f>
        <v>ITBISA-DC-TO-DC-STEPUP-XL6009</v>
      </c>
      <c r="B3492" s="266">
        <f>IFERROR(__xludf.DUMMYFUNCTION("""COMPUTED_VALUE"""),45576.0)</f>
        <v>45576</v>
      </c>
      <c r="C3492" s="266" t="str">
        <f>IFERROR(__xludf.DUMMYFUNCTION("""COMPUTED_VALUE"""),"KYAI KONTONG")</f>
        <v>KYAI KONTONG</v>
      </c>
      <c r="D3492" s="186">
        <f>IFERROR(__xludf.DUMMYFUNCTION("""COMPUTED_VALUE"""),2.0)</f>
        <v>2</v>
      </c>
    </row>
    <row r="3493">
      <c r="A3493" s="178" t="str">
        <f>IFERROR(__xludf.DUMMYFUNCTION("""COMPUTED_VALUE"""),"ITBISA-DC-TO-DC-STEPUP-XL6009")</f>
        <v>ITBISA-DC-TO-DC-STEPUP-XL6009</v>
      </c>
      <c r="B3493" s="266">
        <f>IFERROR(__xludf.DUMMYFUNCTION("""COMPUTED_VALUE"""),45604.0)</f>
        <v>45604</v>
      </c>
      <c r="C3493" s="266" t="str">
        <f>IFERROR(__xludf.DUMMYFUNCTION("""COMPUTED_VALUE"""),"KERTASARI CIAMIS")</f>
        <v>KERTASARI CIAMIS</v>
      </c>
      <c r="D3493" s="186">
        <f>IFERROR(__xludf.DUMMYFUNCTION("""COMPUTED_VALUE"""),3.0)</f>
        <v>3</v>
      </c>
    </row>
    <row r="3494">
      <c r="A3494" s="178" t="str">
        <f>IFERROR(__xludf.DUMMYFUNCTION("""COMPUTED_VALUE"""),"ITBISA-DC-TO-DC-STEPUP-XL6009")</f>
        <v>ITBISA-DC-TO-DC-STEPUP-XL6009</v>
      </c>
      <c r="B3494" s="266">
        <f>IFERROR(__xludf.DUMMYFUNCTION("""COMPUTED_VALUE"""),45611.0)</f>
        <v>45611</v>
      </c>
      <c r="C3494" s="266" t="str">
        <f>IFERROR(__xludf.DUMMYFUNCTION("""COMPUTED_VALUE"""),"KYAI KONTONG")</f>
        <v>KYAI KONTONG</v>
      </c>
      <c r="D3494" s="186">
        <f>IFERROR(__xludf.DUMMYFUNCTION("""COMPUTED_VALUE"""),2.0)</f>
        <v>2</v>
      </c>
    </row>
    <row r="3495">
      <c r="A3495" s="178" t="str">
        <f>IFERROR(__xludf.DUMMYFUNCTION("""COMPUTED_VALUE"""),"ITBISA-DC-TO-DC-STEPUP-XL6009")</f>
        <v>ITBISA-DC-TO-DC-STEPUP-XL6009</v>
      </c>
      <c r="B3495" s="266">
        <f>IFERROR(__xludf.DUMMYFUNCTION("""COMPUTED_VALUE"""),45648.0)</f>
        <v>45648</v>
      </c>
      <c r="C3495" s="266" t="str">
        <f>IFERROR(__xludf.DUMMYFUNCTION("""COMPUTED_VALUE"""),"KYAI KONTONG")</f>
        <v>KYAI KONTONG</v>
      </c>
      <c r="D3495" s="186">
        <f>IFERROR(__xludf.DUMMYFUNCTION("""COMPUTED_VALUE"""),4.0)</f>
        <v>4</v>
      </c>
    </row>
    <row r="3496">
      <c r="A3496" s="178" t="str">
        <f>IFERROR(__xludf.DUMMYFUNCTION("""COMPUTED_VALUE"""),"ITBISA-DC-TO-DC-STEPUP-XL6009")</f>
        <v>ITBISA-DC-TO-DC-STEPUP-XL6009</v>
      </c>
      <c r="B3496" s="266">
        <f>IFERROR(__xludf.DUMMYFUNCTION("""COMPUTED_VALUE"""),45670.0)</f>
        <v>45670</v>
      </c>
      <c r="C3496" s="266" t="str">
        <f>IFERROR(__xludf.DUMMYFUNCTION("""COMPUTED_VALUE"""),"KYAI KONTONG")</f>
        <v>KYAI KONTONG</v>
      </c>
      <c r="D3496" s="186">
        <f>IFERROR(__xludf.DUMMYFUNCTION("""COMPUTED_VALUE"""),5.0)</f>
        <v>5</v>
      </c>
    </row>
    <row r="3497">
      <c r="A3497" s="178" t="str">
        <f>IFERROR(__xludf.DUMMYFUNCTION("""COMPUTED_VALUE"""),"ITBISA-DC-TO-DC-STEPUP-XL6009")</f>
        <v>ITBISA-DC-TO-DC-STEPUP-XL6009</v>
      </c>
      <c r="B3497" s="266">
        <f>IFERROR(__xludf.DUMMYFUNCTION("""COMPUTED_VALUE"""),45676.0)</f>
        <v>45676</v>
      </c>
      <c r="C3497" s="266" t="str">
        <f>IFERROR(__xludf.DUMMYFUNCTION("""COMPUTED_VALUE"""),"KERTASARI CIAMIS")</f>
        <v>KERTASARI CIAMIS</v>
      </c>
      <c r="D3497" s="186">
        <f>IFERROR(__xludf.DUMMYFUNCTION("""COMPUTED_VALUE"""),2.0)</f>
        <v>2</v>
      </c>
    </row>
    <row r="3498">
      <c r="A3498" s="178" t="str">
        <f>IFERROR(__xludf.DUMMYFUNCTION("""COMPUTED_VALUE"""),"ITBISA-DC-TO-DC-STEPUP-XL6009")</f>
        <v>ITBISA-DC-TO-DC-STEPUP-XL6009</v>
      </c>
      <c r="B3498" s="266">
        <f>IFERROR(__xludf.DUMMYFUNCTION("""COMPUTED_VALUE"""),45697.0)</f>
        <v>45697</v>
      </c>
      <c r="C3498" s="266" t="str">
        <f>IFERROR(__xludf.DUMMYFUNCTION("""COMPUTED_VALUE"""),"KERTASARI CIAMIS")</f>
        <v>KERTASARI CIAMIS</v>
      </c>
      <c r="D3498" s="186">
        <f>IFERROR(__xludf.DUMMYFUNCTION("""COMPUTED_VALUE"""),1.0)</f>
        <v>1</v>
      </c>
    </row>
    <row r="3499">
      <c r="A3499" s="178" t="str">
        <f>IFERROR(__xludf.DUMMYFUNCTION("""COMPUTED_VALUE"""),"ITBISA-DC-TO-DC-STEPUP-XL6009")</f>
        <v>ITBISA-DC-TO-DC-STEPUP-XL6009</v>
      </c>
      <c r="B3499" s="266">
        <f>IFERROR(__xludf.DUMMYFUNCTION("""COMPUTED_VALUE"""),45697.0)</f>
        <v>45697</v>
      </c>
      <c r="C3499" s="266" t="str">
        <f>IFERROR(__xludf.DUMMYFUNCTION("""COMPUTED_VALUE"""),"KERTASARI CIAMIS")</f>
        <v>KERTASARI CIAMIS</v>
      </c>
      <c r="D3499" s="186">
        <f>IFERROR(__xludf.DUMMYFUNCTION("""COMPUTED_VALUE"""),2.0)</f>
        <v>2</v>
      </c>
    </row>
    <row r="3500">
      <c r="A3500" s="178" t="str">
        <f>IFERROR(__xludf.DUMMYFUNCTION("""COMPUTED_VALUE"""),"ITBISA-DC-TO-DC-STEPUP-XL6009")</f>
        <v>ITBISA-DC-TO-DC-STEPUP-XL6009</v>
      </c>
      <c r="B3500" s="266">
        <f>IFERROR(__xludf.DUMMYFUNCTION("""COMPUTED_VALUE"""),45723.0)</f>
        <v>45723</v>
      </c>
      <c r="C3500" s="266" t="str">
        <f>IFERROR(__xludf.DUMMYFUNCTION("""COMPUTED_VALUE"""),"KERTASARI CIAMIS")</f>
        <v>KERTASARI CIAMIS</v>
      </c>
      <c r="D3500" s="186">
        <f>IFERROR(__xludf.DUMMYFUNCTION("""COMPUTED_VALUE"""),2.0)</f>
        <v>2</v>
      </c>
    </row>
    <row r="3501">
      <c r="A3501" s="178" t="str">
        <f>IFERROR(__xludf.DUMMYFUNCTION("""COMPUTED_VALUE"""),"ITBISA-DC-TO-DC-STEPUP-XL6009")</f>
        <v>ITBISA-DC-TO-DC-STEPUP-XL6009</v>
      </c>
      <c r="B3501" s="266">
        <f>IFERROR(__xludf.DUMMYFUNCTION("""COMPUTED_VALUE"""),45745.0)</f>
        <v>45745</v>
      </c>
      <c r="C3501" s="266" t="str">
        <f>IFERROR(__xludf.DUMMYFUNCTION("""COMPUTED_VALUE"""),"KERTASARI CIAMIS")</f>
        <v>KERTASARI CIAMIS</v>
      </c>
      <c r="D3501" s="186">
        <f>IFERROR(__xludf.DUMMYFUNCTION("""COMPUTED_VALUE"""),1.0)</f>
        <v>1</v>
      </c>
    </row>
    <row r="3502">
      <c r="A3502" s="178" t="str">
        <f>IFERROR(__xludf.DUMMYFUNCTION("""COMPUTED_VALUE"""),"ITBISA-DC-TO-DC-STEPUP-XL6009")</f>
        <v>ITBISA-DC-TO-DC-STEPUP-XL6009</v>
      </c>
      <c r="B3502" s="266">
        <f>IFERROR(__xludf.DUMMYFUNCTION("""COMPUTED_VALUE"""),45756.0)</f>
        <v>45756</v>
      </c>
      <c r="C3502" s="266" t="str">
        <f>IFERROR(__xludf.DUMMYFUNCTION("""COMPUTED_VALUE"""),"KERTASARI CIAMIS")</f>
        <v>KERTASARI CIAMIS</v>
      </c>
      <c r="D3502" s="186">
        <f>IFERROR(__xludf.DUMMYFUNCTION("""COMPUTED_VALUE"""),1.0)</f>
        <v>1</v>
      </c>
    </row>
    <row r="3503">
      <c r="A3503" s="178" t="str">
        <f>IFERROR(__xludf.DUMMYFUNCTION("""COMPUTED_VALUE"""),"ITBISA-DC-TO-DC-STEPUP-XL6009")</f>
        <v>ITBISA-DC-TO-DC-STEPUP-XL6009</v>
      </c>
      <c r="B3503" s="266">
        <f>IFERROR(__xludf.DUMMYFUNCTION("""COMPUTED_VALUE"""),45806.0)</f>
        <v>45806</v>
      </c>
      <c r="C3503" s="266" t="str">
        <f>IFERROR(__xludf.DUMMYFUNCTION("""COMPUTED_VALUE"""),"KERTASARI CIAMIS")</f>
        <v>KERTASARI CIAMIS</v>
      </c>
      <c r="D3503" s="186">
        <f>IFERROR(__xludf.DUMMYFUNCTION("""COMPUTED_VALUE"""),1.0)</f>
        <v>1</v>
      </c>
    </row>
    <row r="3504">
      <c r="A3504" s="178" t="str">
        <f>IFERROR(__xludf.DUMMYFUNCTION("""COMPUTED_VALUE"""),"ITBISA-DC-TO-DC-STEPUP-XL6009")</f>
        <v>ITBISA-DC-TO-DC-STEPUP-XL6009</v>
      </c>
      <c r="B3504" s="266">
        <f>IFERROR(__xludf.DUMMYFUNCTION("""COMPUTED_VALUE"""),45851.0)</f>
        <v>45851</v>
      </c>
      <c r="C3504" s="266" t="str">
        <f>IFERROR(__xludf.DUMMYFUNCTION("""COMPUTED_VALUE"""),"KERTASARI CIAMIS")</f>
        <v>KERTASARI CIAMIS</v>
      </c>
      <c r="D3504" s="186">
        <f>IFERROR(__xludf.DUMMYFUNCTION("""COMPUTED_VALUE"""),3.0)</f>
        <v>3</v>
      </c>
    </row>
    <row r="3505">
      <c r="A3505" s="178" t="str">
        <f>IFERROR(__xludf.DUMMYFUNCTION("""COMPUTED_VALUE"""),"ITBISA-DC-TO-DC-STEPUP-XL6009")</f>
        <v>ITBISA-DC-TO-DC-STEPUP-XL6009</v>
      </c>
      <c r="B3505" s="266">
        <f>IFERROR(__xludf.DUMMYFUNCTION("""COMPUTED_VALUE"""),45932.0)</f>
        <v>45932</v>
      </c>
      <c r="C3505" s="266" t="str">
        <f>IFERROR(__xludf.DUMMYFUNCTION("""COMPUTED_VALUE"""),"KYAI KONTONG")</f>
        <v>KYAI KONTONG</v>
      </c>
      <c r="D3505" s="186">
        <f>IFERROR(__xludf.DUMMYFUNCTION("""COMPUTED_VALUE"""),1.0)</f>
        <v>1</v>
      </c>
    </row>
    <row r="3506">
      <c r="A3506" s="178" t="str">
        <f>IFERROR(__xludf.DUMMYFUNCTION("""COMPUTED_VALUE"""),"ITBISA-DC-TO-DC-STEPUP-XL6009")</f>
        <v>ITBISA-DC-TO-DC-STEPUP-XL6009</v>
      </c>
      <c r="B3506" s="266">
        <f>IFERROR(__xludf.DUMMYFUNCTION("""COMPUTED_VALUE"""),45940.0)</f>
        <v>45940</v>
      </c>
      <c r="C3506" s="266" t="str">
        <f>IFERROR(__xludf.DUMMYFUNCTION("""COMPUTED_VALUE"""),"KERTASARI CIAMIS")</f>
        <v>KERTASARI CIAMIS</v>
      </c>
      <c r="D3506" s="186">
        <f>IFERROR(__xludf.DUMMYFUNCTION("""COMPUTED_VALUE"""),1.0)</f>
        <v>1</v>
      </c>
    </row>
    <row r="3507">
      <c r="A3507" s="178" t="str">
        <f>IFERROR(__xludf.DUMMYFUNCTION("""COMPUTED_VALUE"""),"ITBISA-DC-TO-DC-STEPUP-XL6009")</f>
        <v>ITBISA-DC-TO-DC-STEPUP-XL6009</v>
      </c>
      <c r="B3507" s="266">
        <f>IFERROR(__xludf.DUMMYFUNCTION("""COMPUTED_VALUE"""),45955.0)</f>
        <v>45955</v>
      </c>
      <c r="C3507" s="266" t="str">
        <f>IFERROR(__xludf.DUMMYFUNCTION("""COMPUTED_VALUE"""),"KYAI KONTONG")</f>
        <v>KYAI KONTONG</v>
      </c>
      <c r="D3507" s="186">
        <f>IFERROR(__xludf.DUMMYFUNCTION("""COMPUTED_VALUE"""),1.0)</f>
        <v>1</v>
      </c>
    </row>
    <row r="3508">
      <c r="A3508" s="178" t="str">
        <f>IFERROR(__xludf.DUMMYFUNCTION("""COMPUTED_VALUE"""),"ITBISA-DC-TO-DC-STEPUP-XL6009")</f>
        <v>ITBISA-DC-TO-DC-STEPUP-XL6009</v>
      </c>
      <c r="B3508" s="266">
        <f>IFERROR(__xludf.DUMMYFUNCTION("""COMPUTED_VALUE"""),45959.0)</f>
        <v>45959</v>
      </c>
      <c r="C3508" s="266" t="str">
        <f>IFERROR(__xludf.DUMMYFUNCTION("""COMPUTED_VALUE"""),"KERTASARI CIAMIS")</f>
        <v>KERTASARI CIAMIS</v>
      </c>
      <c r="D3508" s="186">
        <f>IFERROR(__xludf.DUMMYFUNCTION("""COMPUTED_VALUE"""),1.0)</f>
        <v>1</v>
      </c>
    </row>
    <row r="3509">
      <c r="A3509" s="178" t="str">
        <f>IFERROR(__xludf.DUMMYFUNCTION("""COMPUTED_VALUE"""),"ITBISA-DC-TO-DC-STEPUP-XL6009")</f>
        <v>ITBISA-DC-TO-DC-STEPUP-XL6009</v>
      </c>
      <c r="B3509" s="266">
        <f>IFERROR(__xludf.DUMMYFUNCTION("""COMPUTED_VALUE"""),45962.0)</f>
        <v>45962</v>
      </c>
      <c r="C3509" s="266" t="str">
        <f>IFERROR(__xludf.DUMMYFUNCTION("""COMPUTED_VALUE"""),"KYAI KONTONG")</f>
        <v>KYAI KONTONG</v>
      </c>
      <c r="D3509" s="186">
        <f>IFERROR(__xludf.DUMMYFUNCTION("""COMPUTED_VALUE"""),2.0)</f>
        <v>2</v>
      </c>
    </row>
    <row r="3510">
      <c r="A3510" s="178" t="str">
        <f>IFERROR(__xludf.DUMMYFUNCTION("""COMPUTED_VALUE"""),"ITBISA-DC-TO-DC-STEPUP-XL6009")</f>
        <v>ITBISA-DC-TO-DC-STEPUP-XL6009</v>
      </c>
      <c r="B3510" s="266">
        <f>IFERROR(__xludf.DUMMYFUNCTION("""COMPUTED_VALUE"""),45972.0)</f>
        <v>45972</v>
      </c>
      <c r="C3510" s="266" t="str">
        <f>IFERROR(__xludf.DUMMYFUNCTION("""COMPUTED_VALUE"""),"KYAI KONTONG")</f>
        <v>KYAI KONTONG</v>
      </c>
      <c r="D3510" s="186">
        <f>IFERROR(__xludf.DUMMYFUNCTION("""COMPUTED_VALUE"""),1.0)</f>
        <v>1</v>
      </c>
    </row>
    <row r="3511">
      <c r="A3511" s="178" t="str">
        <f>IFERROR(__xludf.DUMMYFUNCTION("""COMPUTED_VALUE"""),"ITBISA-DC-TO-DC-STEPUP-XL6009")</f>
        <v>ITBISA-DC-TO-DC-STEPUP-XL6009</v>
      </c>
      <c r="B3511" s="266">
        <f>IFERROR(__xludf.DUMMYFUNCTION("""COMPUTED_VALUE"""),45976.0)</f>
        <v>45976</v>
      </c>
      <c r="C3511" s="266" t="str">
        <f>IFERROR(__xludf.DUMMYFUNCTION("""COMPUTED_VALUE"""),"KYAI KONTONG")</f>
        <v>KYAI KONTONG</v>
      </c>
      <c r="D3511" s="186">
        <f>IFERROR(__xludf.DUMMYFUNCTION("""COMPUTED_VALUE"""),1.0)</f>
        <v>1</v>
      </c>
    </row>
    <row r="3512">
      <c r="A3512" s="178" t="str">
        <f>IFERROR(__xludf.DUMMYFUNCTION("""COMPUTED_VALUE"""),"ITBISA-DC-TO-DC-STEPUP-XL6009")</f>
        <v>ITBISA-DC-TO-DC-STEPUP-XL6009</v>
      </c>
      <c r="B3512" s="266">
        <f>IFERROR(__xludf.DUMMYFUNCTION("""COMPUTED_VALUE"""),45977.0)</f>
        <v>45977</v>
      </c>
      <c r="C3512" s="266" t="str">
        <f>IFERROR(__xludf.DUMMYFUNCTION("""COMPUTED_VALUE"""),"KYAI KONTONG")</f>
        <v>KYAI KONTONG</v>
      </c>
      <c r="D3512" s="186">
        <f>IFERROR(__xludf.DUMMYFUNCTION("""COMPUTED_VALUE"""),2.0)</f>
        <v>2</v>
      </c>
    </row>
    <row r="3513">
      <c r="A3513" s="178" t="str">
        <f>IFERROR(__xludf.DUMMYFUNCTION("""COMPUTED_VALUE"""),"ITBISA-DC-TO-DC-STEPUP-XL6009")</f>
        <v>ITBISA-DC-TO-DC-STEPUP-XL6009</v>
      </c>
      <c r="B3513" s="266">
        <f>IFERROR(__xludf.DUMMYFUNCTION("""COMPUTED_VALUE"""),45978.0)</f>
        <v>45978</v>
      </c>
      <c r="C3513" s="266" t="str">
        <f>IFERROR(__xludf.DUMMYFUNCTION("""COMPUTED_VALUE"""),"KYAI KONTONG")</f>
        <v>KYAI KONTONG</v>
      </c>
      <c r="D3513" s="186">
        <f>IFERROR(__xludf.DUMMYFUNCTION("""COMPUTED_VALUE"""),1.0)</f>
        <v>1</v>
      </c>
    </row>
    <row r="3514">
      <c r="A3514" s="178" t="str">
        <f>IFERROR(__xludf.DUMMYFUNCTION("""COMPUTED_VALUE"""),"ITBISA-DC-TO-DC-STEPUP-XL6009")</f>
        <v>ITBISA-DC-TO-DC-STEPUP-XL6009</v>
      </c>
      <c r="B3514" s="266">
        <f>IFERROR(__xludf.DUMMYFUNCTION("""COMPUTED_VALUE"""),45996.0)</f>
        <v>45996</v>
      </c>
      <c r="C3514" s="266" t="str">
        <f>IFERROR(__xludf.DUMMYFUNCTION("""COMPUTED_VALUE"""),"KYAI KONTONG")</f>
        <v>KYAI KONTONG</v>
      </c>
      <c r="D3514" s="186">
        <f>IFERROR(__xludf.DUMMYFUNCTION("""COMPUTED_VALUE"""),1.0)</f>
        <v>1</v>
      </c>
    </row>
    <row r="3515">
      <c r="A3515" s="178" t="str">
        <f>IFERROR(__xludf.DUMMYFUNCTION("""COMPUTED_VALUE"""),"ITBISA-DC-TO-DC-STEPUP-XL6009")</f>
        <v>ITBISA-DC-TO-DC-STEPUP-XL6009</v>
      </c>
      <c r="B3515" s="266">
        <f>IFERROR(__xludf.DUMMYFUNCTION("""COMPUTED_VALUE"""),45998.0)</f>
        <v>45998</v>
      </c>
      <c r="C3515" s="266" t="str">
        <f>IFERROR(__xludf.DUMMYFUNCTION("""COMPUTED_VALUE"""),"KERTASARI CIAMIS")</f>
        <v>KERTASARI CIAMIS</v>
      </c>
      <c r="D3515" s="186">
        <f>IFERROR(__xludf.DUMMYFUNCTION("""COMPUTED_VALUE"""),2.0)</f>
        <v>2</v>
      </c>
    </row>
    <row r="3516">
      <c r="A3516" s="178" t="str">
        <f>IFERROR(__xludf.DUMMYFUNCTION("""COMPUTED_VALUE"""),"ITBISA-DC-TO-DC-STEPUP-XL6009")</f>
        <v>ITBISA-DC-TO-DC-STEPUP-XL6009</v>
      </c>
      <c r="B3516" s="266">
        <f>IFERROR(__xludf.DUMMYFUNCTION("""COMPUTED_VALUE"""),46000.0)</f>
        <v>46000</v>
      </c>
      <c r="C3516" s="266" t="str">
        <f>IFERROR(__xludf.DUMMYFUNCTION("""COMPUTED_VALUE"""),"KYAI KONTONG")</f>
        <v>KYAI KONTONG</v>
      </c>
      <c r="D3516" s="186">
        <f>IFERROR(__xludf.DUMMYFUNCTION("""COMPUTED_VALUE"""),1.0)</f>
        <v>1</v>
      </c>
    </row>
    <row r="3517">
      <c r="A3517" s="178" t="str">
        <f>IFERROR(__xludf.DUMMYFUNCTION("""COMPUTED_VALUE"""),"ITBISA-DC-TO-DC-STEPUP-XL6009")</f>
        <v>ITBISA-DC-TO-DC-STEPUP-XL6009</v>
      </c>
      <c r="B3517" s="266">
        <f>IFERROR(__xludf.DUMMYFUNCTION("""COMPUTED_VALUE"""),46002.0)</f>
        <v>46002</v>
      </c>
      <c r="C3517" s="266" t="str">
        <f>IFERROR(__xludf.DUMMYFUNCTION("""COMPUTED_VALUE"""),"KYAI KONTONG")</f>
        <v>KYAI KONTONG</v>
      </c>
      <c r="D3517" s="186">
        <f>IFERROR(__xludf.DUMMYFUNCTION("""COMPUTED_VALUE"""),1.0)</f>
        <v>1</v>
      </c>
    </row>
    <row r="3518">
      <c r="A3518" s="178" t="str">
        <f>IFERROR(__xludf.DUMMYFUNCTION("""COMPUTED_VALUE"""),"ITBISA-DC-TO-DC-STEPUP-XL6009")</f>
        <v>ITBISA-DC-TO-DC-STEPUP-XL6009</v>
      </c>
      <c r="B3518" s="266">
        <f>IFERROR(__xludf.DUMMYFUNCTION("""COMPUTED_VALUE"""),46008.0)</f>
        <v>46008</v>
      </c>
      <c r="C3518" s="266" t="str">
        <f>IFERROR(__xludf.DUMMYFUNCTION("""COMPUTED_VALUE"""),"KERTASARI CIAMIS")</f>
        <v>KERTASARI CIAMIS</v>
      </c>
      <c r="D3518" s="186">
        <f>IFERROR(__xludf.DUMMYFUNCTION("""COMPUTED_VALUE"""),1.0)</f>
        <v>1</v>
      </c>
    </row>
    <row r="3519">
      <c r="A3519" s="178" t="str">
        <f>IFERROR(__xludf.DUMMYFUNCTION("""COMPUTED_VALUE"""),"ITBISA-DC-TO-DC-STEPUP-XL6009")</f>
        <v>ITBISA-DC-TO-DC-STEPUP-XL6009</v>
      </c>
      <c r="B3519" s="266">
        <f>IFERROR(__xludf.DUMMYFUNCTION("""COMPUTED_VALUE"""),46016.0)</f>
        <v>46016</v>
      </c>
      <c r="C3519" s="266" t="str">
        <f>IFERROR(__xludf.DUMMYFUNCTION("""COMPUTED_VALUE"""),"KYAI KONTONG")</f>
        <v>KYAI KONTONG</v>
      </c>
      <c r="D3519" s="186">
        <f>IFERROR(__xludf.DUMMYFUNCTION("""COMPUTED_VALUE"""),1.0)</f>
        <v>1</v>
      </c>
    </row>
    <row r="3520">
      <c r="A3520" s="178" t="str">
        <f>IFERROR(__xludf.DUMMYFUNCTION("""COMPUTED_VALUE"""),"ITBISA-DC-TO-DC-STEPUP-XL6009")</f>
        <v>ITBISA-DC-TO-DC-STEPUP-XL6009</v>
      </c>
      <c r="B3520" s="266">
        <f>IFERROR(__xludf.DUMMYFUNCTION("""COMPUTED_VALUE"""),46020.0)</f>
        <v>46020</v>
      </c>
      <c r="C3520" s="266" t="str">
        <f>IFERROR(__xludf.DUMMYFUNCTION("""COMPUTED_VALUE"""),"KYAI KONTONG")</f>
        <v>KYAI KONTONG</v>
      </c>
      <c r="D3520" s="186">
        <f>IFERROR(__xludf.DUMMYFUNCTION("""COMPUTED_VALUE"""),1.0)</f>
        <v>1</v>
      </c>
    </row>
    <row r="3521">
      <c r="A3521" s="178" t="str">
        <f>IFERROR(__xludf.DUMMYFUNCTION("""COMPUTED_VALUE"""),"ITBISA-DC-TO-DC-STEPUP-XL6009")</f>
        <v>ITBISA-DC-TO-DC-STEPUP-XL6009</v>
      </c>
      <c r="B3521" s="266">
        <f>IFERROR(__xludf.DUMMYFUNCTION("""COMPUTED_VALUE"""),46022.0)</f>
        <v>46022</v>
      </c>
      <c r="C3521" s="266" t="str">
        <f>IFERROR(__xludf.DUMMYFUNCTION("""COMPUTED_VALUE"""),"KYAI KONTONG")</f>
        <v>KYAI KONTONG</v>
      </c>
      <c r="D3521" s="186">
        <f>IFERROR(__xludf.DUMMYFUNCTION("""COMPUTED_VALUE"""),3.0)</f>
        <v>3</v>
      </c>
    </row>
    <row r="3522">
      <c r="A3522" s="178" t="str">
        <f>IFERROR(__xludf.DUMMYFUNCTION("""COMPUTED_VALUE"""),"ITBISA-EMLOCK-ACM-Y180")</f>
        <v>ITBISA-EMLOCK-ACM-Y180</v>
      </c>
      <c r="B3522" s="266">
        <f>IFERROR(__xludf.DUMMYFUNCTION("""COMPUTED_VALUE"""),43794.0)</f>
        <v>43794</v>
      </c>
      <c r="C3522" s="266" t="str">
        <f>IFERROR(__xludf.DUMMYFUNCTION("""COMPUTED_VALUE"""),"RUMAH MUZAKKI")</f>
        <v>RUMAH MUZAKKI</v>
      </c>
      <c r="D3522" s="186">
        <f>IFERROR(__xludf.DUMMYFUNCTION("""COMPUTED_VALUE"""),1.0)</f>
        <v>1</v>
      </c>
    </row>
    <row r="3523">
      <c r="A3523" s="178" t="str">
        <f>IFERROR(__xludf.DUMMYFUNCTION("""COMPUTED_VALUE"""),"ITBISA-EMLOCK-ACM-Y180")</f>
        <v>ITBISA-EMLOCK-ACM-Y180</v>
      </c>
      <c r="B3523" s="266">
        <f>IFERROR(__xludf.DUMMYFUNCTION("""COMPUTED_VALUE"""),43798.0)</f>
        <v>43798</v>
      </c>
      <c r="C3523" s="266" t="str">
        <f>IFERROR(__xludf.DUMMYFUNCTION("""COMPUTED_VALUE"""),"RUMAH MUZAKKI")</f>
        <v>RUMAH MUZAKKI</v>
      </c>
      <c r="D3523" s="186">
        <f>IFERROR(__xludf.DUMMYFUNCTION("""COMPUTED_VALUE"""),1.0)</f>
        <v>1</v>
      </c>
    </row>
    <row r="3524">
      <c r="A3524" s="178" t="str">
        <f>IFERROR(__xludf.DUMMYFUNCTION("""COMPUTED_VALUE"""),"ITBISA-EPSON-L310")</f>
        <v>ITBISA-EPSON-L310</v>
      </c>
      <c r="B3524" s="266">
        <f>IFERROR(__xludf.DUMMYFUNCTION("""COMPUTED_VALUE"""),43464.0)</f>
        <v>43464</v>
      </c>
      <c r="C3524" s="266" t="str">
        <f>IFERROR(__xludf.DUMMYFUNCTION("""COMPUTED_VALUE"""),"AVRG ITB")</f>
        <v>AVRG ITB</v>
      </c>
      <c r="D3524" s="186">
        <f>IFERROR(__xludf.DUMMYFUNCTION("""COMPUTED_VALUE"""),1.0)</f>
        <v>1</v>
      </c>
    </row>
    <row r="3525">
      <c r="A3525" s="178" t="str">
        <f>IFERROR(__xludf.DUMMYFUNCTION("""COMPUTED_VALUE"""),"ITBISA-I2C-IIC-LCD")</f>
        <v>ITBISA-I2C-IIC-LCD</v>
      </c>
      <c r="B3525" s="266">
        <f>IFERROR(__xludf.DUMMYFUNCTION("""COMPUTED_VALUE"""),45443.0)</f>
        <v>45443</v>
      </c>
      <c r="C3525" s="266" t="str">
        <f>IFERROR(__xludf.DUMMYFUNCTION("""COMPUTED_VALUE"""),"KYAI KONTONG")</f>
        <v>KYAI KONTONG</v>
      </c>
      <c r="D3525" s="186">
        <f>IFERROR(__xludf.DUMMYFUNCTION("""COMPUTED_VALUE"""),1.0)</f>
        <v>1</v>
      </c>
    </row>
    <row r="3526">
      <c r="A3526" s="178" t="str">
        <f>IFERROR(__xludf.DUMMYFUNCTION("""COMPUTED_VALUE"""),"ITBISA-I2C-IIC-LCD")</f>
        <v>ITBISA-I2C-IIC-LCD</v>
      </c>
      <c r="B3526" s="266">
        <f>IFERROR(__xludf.DUMMYFUNCTION("""COMPUTED_VALUE"""),45446.0)</f>
        <v>45446</v>
      </c>
      <c r="C3526" s="266" t="str">
        <f>IFERROR(__xludf.DUMMYFUNCTION("""COMPUTED_VALUE"""),"KYAI KONTONG")</f>
        <v>KYAI KONTONG</v>
      </c>
      <c r="D3526" s="186">
        <f>IFERROR(__xludf.DUMMYFUNCTION("""COMPUTED_VALUE"""),10.0)</f>
        <v>10</v>
      </c>
    </row>
    <row r="3527">
      <c r="A3527" s="178" t="str">
        <f>IFERROR(__xludf.DUMMYFUNCTION("""COMPUTED_VALUE"""),"ITBISA-I2C-IIC-LCD")</f>
        <v>ITBISA-I2C-IIC-LCD</v>
      </c>
      <c r="B3527" s="266">
        <f>IFERROR(__xludf.DUMMYFUNCTION("""COMPUTED_VALUE"""),45448.0)</f>
        <v>45448</v>
      </c>
      <c r="C3527" s="266" t="str">
        <f>IFERROR(__xludf.DUMMYFUNCTION("""COMPUTED_VALUE"""),"KYAI KONTONG")</f>
        <v>KYAI KONTONG</v>
      </c>
      <c r="D3527" s="186">
        <f>IFERROR(__xludf.DUMMYFUNCTION("""COMPUTED_VALUE"""),1.0)</f>
        <v>1</v>
      </c>
    </row>
    <row r="3528">
      <c r="A3528" s="178" t="str">
        <f>IFERROR(__xludf.DUMMYFUNCTION("""COMPUTED_VALUE"""),"ITBISA-I2C-IIC-LCD")</f>
        <v>ITBISA-I2C-IIC-LCD</v>
      </c>
      <c r="B3528" s="266">
        <f>IFERROR(__xludf.DUMMYFUNCTION("""COMPUTED_VALUE"""),45449.0)</f>
        <v>45449</v>
      </c>
      <c r="C3528" s="266" t="str">
        <f>IFERROR(__xludf.DUMMYFUNCTION("""COMPUTED_VALUE"""),"KYAI KONTONG")</f>
        <v>KYAI KONTONG</v>
      </c>
      <c r="D3528" s="186">
        <f>IFERROR(__xludf.DUMMYFUNCTION("""COMPUTED_VALUE"""),23.0)</f>
        <v>23</v>
      </c>
    </row>
    <row r="3529">
      <c r="A3529" s="178" t="str">
        <f>IFERROR(__xludf.DUMMYFUNCTION("""COMPUTED_VALUE"""),"ITBISA-I2C-IIC-LCD")</f>
        <v>ITBISA-I2C-IIC-LCD</v>
      </c>
      <c r="B3529" s="266">
        <f>IFERROR(__xludf.DUMMYFUNCTION("""COMPUTED_VALUE"""),45452.0)</f>
        <v>45452</v>
      </c>
      <c r="C3529" s="266" t="str">
        <f>IFERROR(__xludf.DUMMYFUNCTION("""COMPUTED_VALUE"""),"KYAI KONTONG")</f>
        <v>KYAI KONTONG</v>
      </c>
      <c r="D3529" s="186">
        <f>IFERROR(__xludf.DUMMYFUNCTION("""COMPUTED_VALUE"""),1.0)</f>
        <v>1</v>
      </c>
    </row>
    <row r="3530">
      <c r="A3530" s="178" t="str">
        <f>IFERROR(__xludf.DUMMYFUNCTION("""COMPUTED_VALUE"""),"ITBISA-I2C-IIC-LCD")</f>
        <v>ITBISA-I2C-IIC-LCD</v>
      </c>
      <c r="B3530" s="266">
        <f>IFERROR(__xludf.DUMMYFUNCTION("""COMPUTED_VALUE"""),45452.0)</f>
        <v>45452</v>
      </c>
      <c r="C3530" s="266" t="str">
        <f>IFERROR(__xludf.DUMMYFUNCTION("""COMPUTED_VALUE"""),"KYAI KONTONG")</f>
        <v>KYAI KONTONG</v>
      </c>
      <c r="D3530" s="186">
        <f>IFERROR(__xludf.DUMMYFUNCTION("""COMPUTED_VALUE"""),1.0)</f>
        <v>1</v>
      </c>
    </row>
    <row r="3531">
      <c r="A3531" s="178" t="str">
        <f>IFERROR(__xludf.DUMMYFUNCTION("""COMPUTED_VALUE"""),"ITBISA-I2C-IIC-LCD")</f>
        <v>ITBISA-I2C-IIC-LCD</v>
      </c>
      <c r="B3531" s="266">
        <f>IFERROR(__xludf.DUMMYFUNCTION("""COMPUTED_VALUE"""),45453.0)</f>
        <v>45453</v>
      </c>
      <c r="C3531" s="266" t="str">
        <f>IFERROR(__xludf.DUMMYFUNCTION("""COMPUTED_VALUE"""),"KYAI KONTONG")</f>
        <v>KYAI KONTONG</v>
      </c>
      <c r="D3531" s="186">
        <f>IFERROR(__xludf.DUMMYFUNCTION("""COMPUTED_VALUE"""),1.0)</f>
        <v>1</v>
      </c>
    </row>
    <row r="3532">
      <c r="A3532" s="178" t="str">
        <f>IFERROR(__xludf.DUMMYFUNCTION("""COMPUTED_VALUE"""),"ITBISA-I2C-IIC-LCD")</f>
        <v>ITBISA-I2C-IIC-LCD</v>
      </c>
      <c r="B3532" s="266">
        <f>IFERROR(__xludf.DUMMYFUNCTION("""COMPUTED_VALUE"""),45453.0)</f>
        <v>45453</v>
      </c>
      <c r="C3532" s="266" t="str">
        <f>IFERROR(__xludf.DUMMYFUNCTION("""COMPUTED_VALUE"""),"KYAI KONTONG")</f>
        <v>KYAI KONTONG</v>
      </c>
      <c r="D3532" s="186">
        <f>IFERROR(__xludf.DUMMYFUNCTION("""COMPUTED_VALUE"""),1.0)</f>
        <v>1</v>
      </c>
    </row>
    <row r="3533">
      <c r="A3533" s="178" t="str">
        <f>IFERROR(__xludf.DUMMYFUNCTION("""COMPUTED_VALUE"""),"ITBISA-I2C-IIC-LCD")</f>
        <v>ITBISA-I2C-IIC-LCD</v>
      </c>
      <c r="B3533" s="266">
        <f>IFERROR(__xludf.DUMMYFUNCTION("""COMPUTED_VALUE"""),45460.0)</f>
        <v>45460</v>
      </c>
      <c r="C3533" s="266" t="str">
        <f>IFERROR(__xludf.DUMMYFUNCTION("""COMPUTED_VALUE"""),"KYAI KONTONG")</f>
        <v>KYAI KONTONG</v>
      </c>
      <c r="D3533" s="186">
        <f>IFERROR(__xludf.DUMMYFUNCTION("""COMPUTED_VALUE"""),1.0)</f>
        <v>1</v>
      </c>
    </row>
    <row r="3534">
      <c r="A3534" s="178" t="str">
        <f>IFERROR(__xludf.DUMMYFUNCTION("""COMPUTED_VALUE"""),"ITBISA-I2C-IIC-LCD")</f>
        <v>ITBISA-I2C-IIC-LCD</v>
      </c>
      <c r="B3534" s="266">
        <f>IFERROR(__xludf.DUMMYFUNCTION("""COMPUTED_VALUE"""),45461.0)</f>
        <v>45461</v>
      </c>
      <c r="C3534" s="266" t="str">
        <f>IFERROR(__xludf.DUMMYFUNCTION("""COMPUTED_VALUE"""),"KYAI KONTONG")</f>
        <v>KYAI KONTONG</v>
      </c>
      <c r="D3534" s="186">
        <f>IFERROR(__xludf.DUMMYFUNCTION("""COMPUTED_VALUE"""),10.0)</f>
        <v>10</v>
      </c>
    </row>
    <row r="3535">
      <c r="A3535" s="178" t="str">
        <f>IFERROR(__xludf.DUMMYFUNCTION("""COMPUTED_VALUE"""),"ITBISA-I2C-IIC-LCD")</f>
        <v>ITBISA-I2C-IIC-LCD</v>
      </c>
      <c r="B3535" s="266">
        <f>IFERROR(__xludf.DUMMYFUNCTION("""COMPUTED_VALUE"""),45469.0)</f>
        <v>45469</v>
      </c>
      <c r="C3535" s="266" t="str">
        <f>IFERROR(__xludf.DUMMYFUNCTION("""COMPUTED_VALUE"""),"KYAI KONTONG")</f>
        <v>KYAI KONTONG</v>
      </c>
      <c r="D3535" s="186">
        <f>IFERROR(__xludf.DUMMYFUNCTION("""COMPUTED_VALUE"""),2.0)</f>
        <v>2</v>
      </c>
    </row>
    <row r="3536">
      <c r="A3536" s="178" t="str">
        <f>IFERROR(__xludf.DUMMYFUNCTION("""COMPUTED_VALUE"""),"ITBISA-I2C-IIC-LCD")</f>
        <v>ITBISA-I2C-IIC-LCD</v>
      </c>
      <c r="B3536" s="266">
        <f>IFERROR(__xludf.DUMMYFUNCTION("""COMPUTED_VALUE"""),45473.0)</f>
        <v>45473</v>
      </c>
      <c r="C3536" s="266" t="str">
        <f>IFERROR(__xludf.DUMMYFUNCTION("""COMPUTED_VALUE"""),"KYAI KONTONG")</f>
        <v>KYAI KONTONG</v>
      </c>
      <c r="D3536" s="186">
        <f>IFERROR(__xludf.DUMMYFUNCTION("""COMPUTED_VALUE"""),1.0)</f>
        <v>1</v>
      </c>
    </row>
    <row r="3537">
      <c r="A3537" s="178" t="str">
        <f>IFERROR(__xludf.DUMMYFUNCTION("""COMPUTED_VALUE"""),"ITBISA-I2C-IIC-LCD")</f>
        <v>ITBISA-I2C-IIC-LCD</v>
      </c>
      <c r="B3537" s="266">
        <f>IFERROR(__xludf.DUMMYFUNCTION("""COMPUTED_VALUE"""),45475.0)</f>
        <v>45475</v>
      </c>
      <c r="C3537" s="266" t="str">
        <f>IFERROR(__xludf.DUMMYFUNCTION("""COMPUTED_VALUE"""),"KYAI KONTONG")</f>
        <v>KYAI KONTONG</v>
      </c>
      <c r="D3537" s="186">
        <f>IFERROR(__xludf.DUMMYFUNCTION("""COMPUTED_VALUE"""),1.0)</f>
        <v>1</v>
      </c>
    </row>
    <row r="3538">
      <c r="A3538" s="178" t="str">
        <f>IFERROR(__xludf.DUMMYFUNCTION("""COMPUTED_VALUE"""),"ITBISA-I2C-IIC-LCD")</f>
        <v>ITBISA-I2C-IIC-LCD</v>
      </c>
      <c r="B3538" s="266">
        <f>IFERROR(__xludf.DUMMYFUNCTION("""COMPUTED_VALUE"""),45476.0)</f>
        <v>45476</v>
      </c>
      <c r="C3538" s="266" t="str">
        <f>IFERROR(__xludf.DUMMYFUNCTION("""COMPUTED_VALUE"""),"KYAI KONTONG")</f>
        <v>KYAI KONTONG</v>
      </c>
      <c r="D3538" s="186">
        <f>IFERROR(__xludf.DUMMYFUNCTION("""COMPUTED_VALUE"""),2.0)</f>
        <v>2</v>
      </c>
    </row>
    <row r="3539">
      <c r="A3539" s="178" t="str">
        <f>IFERROR(__xludf.DUMMYFUNCTION("""COMPUTED_VALUE"""),"ITBISA-I2C-IIC-LCD")</f>
        <v>ITBISA-I2C-IIC-LCD</v>
      </c>
      <c r="B3539" s="266">
        <f>IFERROR(__xludf.DUMMYFUNCTION("""COMPUTED_VALUE"""),45477.0)</f>
        <v>45477</v>
      </c>
      <c r="C3539" s="266" t="str">
        <f>IFERROR(__xludf.DUMMYFUNCTION("""COMPUTED_VALUE"""),"KYAI KONTONG")</f>
        <v>KYAI KONTONG</v>
      </c>
      <c r="D3539" s="186">
        <f>IFERROR(__xludf.DUMMYFUNCTION("""COMPUTED_VALUE"""),1.0)</f>
        <v>1</v>
      </c>
    </row>
    <row r="3540">
      <c r="A3540" s="178" t="str">
        <f>IFERROR(__xludf.DUMMYFUNCTION("""COMPUTED_VALUE"""),"ITBISA-I2C-IIC-LCD")</f>
        <v>ITBISA-I2C-IIC-LCD</v>
      </c>
      <c r="B3540" s="266">
        <f>IFERROR(__xludf.DUMMYFUNCTION("""COMPUTED_VALUE"""),45477.0)</f>
        <v>45477</v>
      </c>
      <c r="C3540" s="266" t="str">
        <f>IFERROR(__xludf.DUMMYFUNCTION("""COMPUTED_VALUE"""),"KYAI KONTONG")</f>
        <v>KYAI KONTONG</v>
      </c>
      <c r="D3540" s="186">
        <f>IFERROR(__xludf.DUMMYFUNCTION("""COMPUTED_VALUE"""),2.0)</f>
        <v>2</v>
      </c>
    </row>
    <row r="3541">
      <c r="A3541" s="178" t="str">
        <f>IFERROR(__xludf.DUMMYFUNCTION("""COMPUTED_VALUE"""),"ITBISA-I2C-IIC-LCD")</f>
        <v>ITBISA-I2C-IIC-LCD</v>
      </c>
      <c r="B3541" s="266">
        <f>IFERROR(__xludf.DUMMYFUNCTION("""COMPUTED_VALUE"""),45485.0)</f>
        <v>45485</v>
      </c>
      <c r="C3541" s="266" t="str">
        <f>IFERROR(__xludf.DUMMYFUNCTION("""COMPUTED_VALUE"""),"KYAI KONTONG")</f>
        <v>KYAI KONTONG</v>
      </c>
      <c r="D3541" s="186">
        <f>IFERROR(__xludf.DUMMYFUNCTION("""COMPUTED_VALUE"""),1.0)</f>
        <v>1</v>
      </c>
    </row>
    <row r="3542">
      <c r="A3542" s="178" t="str">
        <f>IFERROR(__xludf.DUMMYFUNCTION("""COMPUTED_VALUE"""),"ITBISA-I2C-IIC-LCD")</f>
        <v>ITBISA-I2C-IIC-LCD</v>
      </c>
      <c r="B3542" s="266">
        <f>IFERROR(__xludf.DUMMYFUNCTION("""COMPUTED_VALUE"""),45488.0)</f>
        <v>45488</v>
      </c>
      <c r="C3542" s="266" t="str">
        <f>IFERROR(__xludf.DUMMYFUNCTION("""COMPUTED_VALUE"""),"KYAI KONTONG")</f>
        <v>KYAI KONTONG</v>
      </c>
      <c r="D3542" s="186">
        <f>IFERROR(__xludf.DUMMYFUNCTION("""COMPUTED_VALUE"""),1.0)</f>
        <v>1</v>
      </c>
    </row>
    <row r="3543">
      <c r="A3543" s="178" t="str">
        <f>IFERROR(__xludf.DUMMYFUNCTION("""COMPUTED_VALUE"""),"ITBISA-I2C-IIC-LCD")</f>
        <v>ITBISA-I2C-IIC-LCD</v>
      </c>
      <c r="B3543" s="266">
        <f>IFERROR(__xludf.DUMMYFUNCTION("""COMPUTED_VALUE"""),45501.0)</f>
        <v>45501</v>
      </c>
      <c r="C3543" s="266" t="str">
        <f>IFERROR(__xludf.DUMMYFUNCTION("""COMPUTED_VALUE"""),"KYAI KONTONG")</f>
        <v>KYAI KONTONG</v>
      </c>
      <c r="D3543" s="186">
        <f>IFERROR(__xludf.DUMMYFUNCTION("""COMPUTED_VALUE"""),1.0)</f>
        <v>1</v>
      </c>
    </row>
    <row r="3544">
      <c r="A3544" s="178" t="str">
        <f>IFERROR(__xludf.DUMMYFUNCTION("""COMPUTED_VALUE"""),"ITBISA-I2C-IIC-LCD")</f>
        <v>ITBISA-I2C-IIC-LCD</v>
      </c>
      <c r="B3544" s="266">
        <f>IFERROR(__xludf.DUMMYFUNCTION("""COMPUTED_VALUE"""),45502.0)</f>
        <v>45502</v>
      </c>
      <c r="C3544" s="266" t="str">
        <f>IFERROR(__xludf.DUMMYFUNCTION("""COMPUTED_VALUE"""),"KYAI KONTONG")</f>
        <v>KYAI KONTONG</v>
      </c>
      <c r="D3544" s="186">
        <f>IFERROR(__xludf.DUMMYFUNCTION("""COMPUTED_VALUE"""),1.0)</f>
        <v>1</v>
      </c>
    </row>
    <row r="3545">
      <c r="A3545" s="178" t="str">
        <f>IFERROR(__xludf.DUMMYFUNCTION("""COMPUTED_VALUE"""),"ITBISA-I2C-IIC-LCD")</f>
        <v>ITBISA-I2C-IIC-LCD</v>
      </c>
      <c r="B3545" s="266">
        <f>IFERROR(__xludf.DUMMYFUNCTION("""COMPUTED_VALUE"""),45505.0)</f>
        <v>45505</v>
      </c>
      <c r="C3545" s="266" t="str">
        <f>IFERROR(__xludf.DUMMYFUNCTION("""COMPUTED_VALUE"""),"KYAI KONTONG")</f>
        <v>KYAI KONTONG</v>
      </c>
      <c r="D3545" s="186">
        <f>IFERROR(__xludf.DUMMYFUNCTION("""COMPUTED_VALUE"""),2.0)</f>
        <v>2</v>
      </c>
    </row>
    <row r="3546">
      <c r="A3546" s="178" t="str">
        <f>IFERROR(__xludf.DUMMYFUNCTION("""COMPUTED_VALUE"""),"ITBISA-I2C-IIC-LCD")</f>
        <v>ITBISA-I2C-IIC-LCD</v>
      </c>
      <c r="B3546" s="266">
        <f>IFERROR(__xludf.DUMMYFUNCTION("""COMPUTED_VALUE"""),45514.0)</f>
        <v>45514</v>
      </c>
      <c r="C3546" s="266" t="str">
        <f>IFERROR(__xludf.DUMMYFUNCTION("""COMPUTED_VALUE"""),"KERTASARI CIAMIS")</f>
        <v>KERTASARI CIAMIS</v>
      </c>
      <c r="D3546" s="186">
        <f>IFERROR(__xludf.DUMMYFUNCTION("""COMPUTED_VALUE"""),35.0)</f>
        <v>35</v>
      </c>
    </row>
    <row r="3547">
      <c r="A3547" s="178" t="str">
        <f>IFERROR(__xludf.DUMMYFUNCTION("""COMPUTED_VALUE"""),"ITBISA-I2C-IIC-LCD")</f>
        <v>ITBISA-I2C-IIC-LCD</v>
      </c>
      <c r="B3547" s="266">
        <f>IFERROR(__xludf.DUMMYFUNCTION("""COMPUTED_VALUE"""),45520.0)</f>
        <v>45520</v>
      </c>
      <c r="C3547" s="266" t="str">
        <f>IFERROR(__xludf.DUMMYFUNCTION("""COMPUTED_VALUE"""),"KERTASARI CIAMIS")</f>
        <v>KERTASARI CIAMIS</v>
      </c>
      <c r="D3547" s="186">
        <f>IFERROR(__xludf.DUMMYFUNCTION("""COMPUTED_VALUE"""),17.0)</f>
        <v>17</v>
      </c>
    </row>
    <row r="3548">
      <c r="A3548" s="178" t="str">
        <f>IFERROR(__xludf.DUMMYFUNCTION("""COMPUTED_VALUE"""),"ITBISA-I2C-IIC-LCD")</f>
        <v>ITBISA-I2C-IIC-LCD</v>
      </c>
      <c r="B3548" s="266">
        <f>IFERROR(__xludf.DUMMYFUNCTION("""COMPUTED_VALUE"""),45532.0)</f>
        <v>45532</v>
      </c>
      <c r="C3548" s="266" t="str">
        <f>IFERROR(__xludf.DUMMYFUNCTION("""COMPUTED_VALUE"""),"KYAI KONTONG")</f>
        <v>KYAI KONTONG</v>
      </c>
      <c r="D3548" s="186">
        <f>IFERROR(__xludf.DUMMYFUNCTION("""COMPUTED_VALUE"""),1.0)</f>
        <v>1</v>
      </c>
    </row>
    <row r="3549">
      <c r="A3549" s="178" t="str">
        <f>IFERROR(__xludf.DUMMYFUNCTION("""COMPUTED_VALUE"""),"ITBISA-I2C-IIC-LCD")</f>
        <v>ITBISA-I2C-IIC-LCD</v>
      </c>
      <c r="B3549" s="266">
        <f>IFERROR(__xludf.DUMMYFUNCTION("""COMPUTED_VALUE"""),45532.0)</f>
        <v>45532</v>
      </c>
      <c r="C3549" s="266" t="str">
        <f>IFERROR(__xludf.DUMMYFUNCTION("""COMPUTED_VALUE"""),"KYAI KONTONG")</f>
        <v>KYAI KONTONG</v>
      </c>
      <c r="D3549" s="186">
        <f>IFERROR(__xludf.DUMMYFUNCTION("""COMPUTED_VALUE"""),3.0)</f>
        <v>3</v>
      </c>
    </row>
    <row r="3550">
      <c r="A3550" s="178" t="str">
        <f>IFERROR(__xludf.DUMMYFUNCTION("""COMPUTED_VALUE"""),"ITBISA-I2C-IIC-LCD")</f>
        <v>ITBISA-I2C-IIC-LCD</v>
      </c>
      <c r="B3550" s="266">
        <f>IFERROR(__xludf.DUMMYFUNCTION("""COMPUTED_VALUE"""),45535.0)</f>
        <v>45535</v>
      </c>
      <c r="C3550" s="266" t="str">
        <f>IFERROR(__xludf.DUMMYFUNCTION("""COMPUTED_VALUE"""),"KYAI KONTONG")</f>
        <v>KYAI KONTONG</v>
      </c>
      <c r="D3550" s="186">
        <f>IFERROR(__xludf.DUMMYFUNCTION("""COMPUTED_VALUE"""),5.0)</f>
        <v>5</v>
      </c>
    </row>
    <row r="3551">
      <c r="A3551" s="178" t="str">
        <f>IFERROR(__xludf.DUMMYFUNCTION("""COMPUTED_VALUE"""),"ITBISA-I2C-IIC-LCD")</f>
        <v>ITBISA-I2C-IIC-LCD</v>
      </c>
      <c r="B3551" s="266">
        <f>IFERROR(__xludf.DUMMYFUNCTION("""COMPUTED_VALUE"""),45547.0)</f>
        <v>45547</v>
      </c>
      <c r="C3551" s="266" t="str">
        <f>IFERROR(__xludf.DUMMYFUNCTION("""COMPUTED_VALUE"""),"KYAI KONTONG")</f>
        <v>KYAI KONTONG</v>
      </c>
      <c r="D3551" s="186">
        <f>IFERROR(__xludf.DUMMYFUNCTION("""COMPUTED_VALUE"""),1.0)</f>
        <v>1</v>
      </c>
    </row>
    <row r="3552">
      <c r="A3552" s="178" t="str">
        <f>IFERROR(__xludf.DUMMYFUNCTION("""COMPUTED_VALUE"""),"ITBISA-I2C-IIC-LCD")</f>
        <v>ITBISA-I2C-IIC-LCD</v>
      </c>
      <c r="B3552" s="266">
        <f>IFERROR(__xludf.DUMMYFUNCTION("""COMPUTED_VALUE"""),45547.0)</f>
        <v>45547</v>
      </c>
      <c r="C3552" s="266" t="str">
        <f>IFERROR(__xludf.DUMMYFUNCTION("""COMPUTED_VALUE"""),"KYAI KONTONG")</f>
        <v>KYAI KONTONG</v>
      </c>
      <c r="D3552" s="186">
        <f>IFERROR(__xludf.DUMMYFUNCTION("""COMPUTED_VALUE"""),5.0)</f>
        <v>5</v>
      </c>
    </row>
    <row r="3553">
      <c r="A3553" s="178" t="str">
        <f>IFERROR(__xludf.DUMMYFUNCTION("""COMPUTED_VALUE"""),"ITBISA-I2C-IIC-LCD")</f>
        <v>ITBISA-I2C-IIC-LCD</v>
      </c>
      <c r="B3553" s="266">
        <f>IFERROR(__xludf.DUMMYFUNCTION("""COMPUTED_VALUE"""),45565.0)</f>
        <v>45565</v>
      </c>
      <c r="C3553" s="266" t="str">
        <f>IFERROR(__xludf.DUMMYFUNCTION("""COMPUTED_VALUE"""),"KYAI KONTONG")</f>
        <v>KYAI KONTONG</v>
      </c>
      <c r="D3553" s="186">
        <f>IFERROR(__xludf.DUMMYFUNCTION("""COMPUTED_VALUE"""),2.0)</f>
        <v>2</v>
      </c>
    </row>
    <row r="3554">
      <c r="A3554" s="178" t="str">
        <f>IFERROR(__xludf.DUMMYFUNCTION("""COMPUTED_VALUE"""),"ITBISA-I2C-IIC-LCD")</f>
        <v>ITBISA-I2C-IIC-LCD</v>
      </c>
      <c r="B3554" s="266">
        <f>IFERROR(__xludf.DUMMYFUNCTION("""COMPUTED_VALUE"""),45568.0)</f>
        <v>45568</v>
      </c>
      <c r="C3554" s="266" t="str">
        <f>IFERROR(__xludf.DUMMYFUNCTION("""COMPUTED_VALUE"""),"KYAI KONTONG")</f>
        <v>KYAI KONTONG</v>
      </c>
      <c r="D3554" s="186">
        <f>IFERROR(__xludf.DUMMYFUNCTION("""COMPUTED_VALUE"""),2.0)</f>
        <v>2</v>
      </c>
    </row>
    <row r="3555">
      <c r="A3555" s="178" t="str">
        <f>IFERROR(__xludf.DUMMYFUNCTION("""COMPUTED_VALUE"""),"ITBISA-I2C-IIC-LCD")</f>
        <v>ITBISA-I2C-IIC-LCD</v>
      </c>
      <c r="B3555" s="266">
        <f>IFERROR(__xludf.DUMMYFUNCTION("""COMPUTED_VALUE"""),45571.0)</f>
        <v>45571</v>
      </c>
      <c r="C3555" s="266" t="str">
        <f>IFERROR(__xludf.DUMMYFUNCTION("""COMPUTED_VALUE"""),"KYAI KONTONG")</f>
        <v>KYAI KONTONG</v>
      </c>
      <c r="D3555" s="186">
        <f>IFERROR(__xludf.DUMMYFUNCTION("""COMPUTED_VALUE"""),4.0)</f>
        <v>4</v>
      </c>
    </row>
    <row r="3556">
      <c r="A3556" s="178" t="str">
        <f>IFERROR(__xludf.DUMMYFUNCTION("""COMPUTED_VALUE"""),"ITBISA-I2C-IIC-LCD")</f>
        <v>ITBISA-I2C-IIC-LCD</v>
      </c>
      <c r="B3556" s="266">
        <f>IFERROR(__xludf.DUMMYFUNCTION("""COMPUTED_VALUE"""),45572.0)</f>
        <v>45572</v>
      </c>
      <c r="C3556" s="266" t="str">
        <f>IFERROR(__xludf.DUMMYFUNCTION("""COMPUTED_VALUE"""),"KYAI KONTONG")</f>
        <v>KYAI KONTONG</v>
      </c>
      <c r="D3556" s="186">
        <f>IFERROR(__xludf.DUMMYFUNCTION("""COMPUTED_VALUE"""),1.0)</f>
        <v>1</v>
      </c>
    </row>
    <row r="3557">
      <c r="A3557" s="178" t="str">
        <f>IFERROR(__xludf.DUMMYFUNCTION("""COMPUTED_VALUE"""),"ITBISA-I2C-IIC-LCD")</f>
        <v>ITBISA-I2C-IIC-LCD</v>
      </c>
      <c r="B3557" s="266">
        <f>IFERROR(__xludf.DUMMYFUNCTION("""COMPUTED_VALUE"""),45575.0)</f>
        <v>45575</v>
      </c>
      <c r="C3557" s="266" t="str">
        <f>IFERROR(__xludf.DUMMYFUNCTION("""COMPUTED_VALUE"""),"KYAI KONTONG")</f>
        <v>KYAI KONTONG</v>
      </c>
      <c r="D3557" s="186">
        <f>IFERROR(__xludf.DUMMYFUNCTION("""COMPUTED_VALUE"""),2.0)</f>
        <v>2</v>
      </c>
    </row>
    <row r="3558">
      <c r="A3558" s="178" t="str">
        <f>IFERROR(__xludf.DUMMYFUNCTION("""COMPUTED_VALUE"""),"ITBISA-I2C-IIC-LCD")</f>
        <v>ITBISA-I2C-IIC-LCD</v>
      </c>
      <c r="B3558" s="266">
        <f>IFERROR(__xludf.DUMMYFUNCTION("""COMPUTED_VALUE"""),45592.0)</f>
        <v>45592</v>
      </c>
      <c r="C3558" s="266" t="str">
        <f>IFERROR(__xludf.DUMMYFUNCTION("""COMPUTED_VALUE"""),"KERTASARI CIAMIS")</f>
        <v>KERTASARI CIAMIS</v>
      </c>
      <c r="D3558" s="186">
        <f>IFERROR(__xludf.DUMMYFUNCTION("""COMPUTED_VALUE"""),1.0)</f>
        <v>1</v>
      </c>
    </row>
    <row r="3559">
      <c r="A3559" s="178" t="str">
        <f>IFERROR(__xludf.DUMMYFUNCTION("""COMPUTED_VALUE"""),"ITBISA-I2C-IIC-LCD")</f>
        <v>ITBISA-I2C-IIC-LCD</v>
      </c>
      <c r="B3559" s="266">
        <f>IFERROR(__xludf.DUMMYFUNCTION("""COMPUTED_VALUE"""),45620.0)</f>
        <v>45620</v>
      </c>
      <c r="C3559" s="266" t="str">
        <f>IFERROR(__xludf.DUMMYFUNCTION("""COMPUTED_VALUE"""),"KYAI KONTONG")</f>
        <v>KYAI KONTONG</v>
      </c>
      <c r="D3559" s="186">
        <f>IFERROR(__xludf.DUMMYFUNCTION("""COMPUTED_VALUE"""),1.0)</f>
        <v>1</v>
      </c>
    </row>
    <row r="3560">
      <c r="A3560" s="178" t="str">
        <f>IFERROR(__xludf.DUMMYFUNCTION("""COMPUTED_VALUE"""),"ITBISA-I2C-IIC-LCD")</f>
        <v>ITBISA-I2C-IIC-LCD</v>
      </c>
      <c r="B3560" s="266">
        <f>IFERROR(__xludf.DUMMYFUNCTION("""COMPUTED_VALUE"""),45621.0)</f>
        <v>45621</v>
      </c>
      <c r="C3560" s="266" t="str">
        <f>IFERROR(__xludf.DUMMYFUNCTION("""COMPUTED_VALUE"""),"KYAI KONTONG")</f>
        <v>KYAI KONTONG</v>
      </c>
      <c r="D3560" s="186">
        <f>IFERROR(__xludf.DUMMYFUNCTION("""COMPUTED_VALUE"""),1.0)</f>
        <v>1</v>
      </c>
    </row>
    <row r="3561">
      <c r="A3561" s="178" t="str">
        <f>IFERROR(__xludf.DUMMYFUNCTION("""COMPUTED_VALUE"""),"ITBISA-I2C-IIC-LCD")</f>
        <v>ITBISA-I2C-IIC-LCD</v>
      </c>
      <c r="B3561" s="266">
        <f>IFERROR(__xludf.DUMMYFUNCTION("""COMPUTED_VALUE"""),45626.0)</f>
        <v>45626</v>
      </c>
      <c r="C3561" s="266" t="str">
        <f>IFERROR(__xludf.DUMMYFUNCTION("""COMPUTED_VALUE"""),"KYAI KONTONG")</f>
        <v>KYAI KONTONG</v>
      </c>
      <c r="D3561" s="186">
        <f>IFERROR(__xludf.DUMMYFUNCTION("""COMPUTED_VALUE"""),1.0)</f>
        <v>1</v>
      </c>
    </row>
    <row r="3562">
      <c r="A3562" s="178" t="str">
        <f>IFERROR(__xludf.DUMMYFUNCTION("""COMPUTED_VALUE"""),"ITBISA-I2C-IIC-LCD")</f>
        <v>ITBISA-I2C-IIC-LCD</v>
      </c>
      <c r="B3562" s="266">
        <f>IFERROR(__xludf.DUMMYFUNCTION("""COMPUTED_VALUE"""),45628.0)</f>
        <v>45628</v>
      </c>
      <c r="C3562" s="266" t="str">
        <f>IFERROR(__xludf.DUMMYFUNCTION("""COMPUTED_VALUE"""),"KYAI KONTONG")</f>
        <v>KYAI KONTONG</v>
      </c>
      <c r="D3562" s="186">
        <f>IFERROR(__xludf.DUMMYFUNCTION("""COMPUTED_VALUE"""),2.0)</f>
        <v>2</v>
      </c>
    </row>
    <row r="3563">
      <c r="A3563" s="178" t="str">
        <f>IFERROR(__xludf.DUMMYFUNCTION("""COMPUTED_VALUE"""),"ITBISA-I2C-IIC-LCD")</f>
        <v>ITBISA-I2C-IIC-LCD</v>
      </c>
      <c r="B3563" s="266">
        <f>IFERROR(__xludf.DUMMYFUNCTION("""COMPUTED_VALUE"""),45636.0)</f>
        <v>45636</v>
      </c>
      <c r="C3563" s="266" t="str">
        <f>IFERROR(__xludf.DUMMYFUNCTION("""COMPUTED_VALUE"""),"KYAI KONTONG")</f>
        <v>KYAI KONTONG</v>
      </c>
      <c r="D3563" s="186">
        <f>IFERROR(__xludf.DUMMYFUNCTION("""COMPUTED_VALUE"""),5.0)</f>
        <v>5</v>
      </c>
    </row>
    <row r="3564">
      <c r="A3564" s="178" t="str">
        <f>IFERROR(__xludf.DUMMYFUNCTION("""COMPUTED_VALUE"""),"ITBISA-I2C-IIC-LCD")</f>
        <v>ITBISA-I2C-IIC-LCD</v>
      </c>
      <c r="B3564" s="266">
        <f>IFERROR(__xludf.DUMMYFUNCTION("""COMPUTED_VALUE"""),45656.0)</f>
        <v>45656</v>
      </c>
      <c r="C3564" s="266" t="str">
        <f>IFERROR(__xludf.DUMMYFUNCTION("""COMPUTED_VALUE"""),"KYAI KONTONG")</f>
        <v>KYAI KONTONG</v>
      </c>
      <c r="D3564" s="186">
        <f>IFERROR(__xludf.DUMMYFUNCTION("""COMPUTED_VALUE"""),1.0)</f>
        <v>1</v>
      </c>
    </row>
    <row r="3565">
      <c r="A3565" s="178" t="str">
        <f>IFERROR(__xludf.DUMMYFUNCTION("""COMPUTED_VALUE"""),"ITBISA-I2C-IIC-LCD")</f>
        <v>ITBISA-I2C-IIC-LCD</v>
      </c>
      <c r="B3565" s="266">
        <f>IFERROR(__xludf.DUMMYFUNCTION("""COMPUTED_VALUE"""),45661.0)</f>
        <v>45661</v>
      </c>
      <c r="C3565" s="266" t="str">
        <f>IFERROR(__xludf.DUMMYFUNCTION("""COMPUTED_VALUE"""),"KYAI KONTONG")</f>
        <v>KYAI KONTONG</v>
      </c>
      <c r="D3565" s="186">
        <f>IFERROR(__xludf.DUMMYFUNCTION("""COMPUTED_VALUE"""),2.0)</f>
        <v>2</v>
      </c>
    </row>
    <row r="3566">
      <c r="A3566" s="178" t="str">
        <f>IFERROR(__xludf.DUMMYFUNCTION("""COMPUTED_VALUE"""),"ITBISA-I2C-IIC-LCD")</f>
        <v>ITBISA-I2C-IIC-LCD</v>
      </c>
      <c r="B3566" s="266">
        <f>IFERROR(__xludf.DUMMYFUNCTION("""COMPUTED_VALUE"""),45680.0)</f>
        <v>45680</v>
      </c>
      <c r="C3566" s="266" t="str">
        <f>IFERROR(__xludf.DUMMYFUNCTION("""COMPUTED_VALUE"""),"KERTASARI CIAMIS")</f>
        <v>KERTASARI CIAMIS</v>
      </c>
      <c r="D3566" s="186">
        <f>IFERROR(__xludf.DUMMYFUNCTION("""COMPUTED_VALUE"""),1.0)</f>
        <v>1</v>
      </c>
    </row>
    <row r="3567">
      <c r="A3567" s="178" t="str">
        <f>IFERROR(__xludf.DUMMYFUNCTION("""COMPUTED_VALUE"""),"ITBISA-I2C-IIC-LCD")</f>
        <v>ITBISA-I2C-IIC-LCD</v>
      </c>
      <c r="B3567" s="266">
        <f>IFERROR(__xludf.DUMMYFUNCTION("""COMPUTED_VALUE"""),45684.0)</f>
        <v>45684</v>
      </c>
      <c r="C3567" s="266" t="str">
        <f>IFERROR(__xludf.DUMMYFUNCTION("""COMPUTED_VALUE"""),"KYAI KONTONG")</f>
        <v>KYAI KONTONG</v>
      </c>
      <c r="D3567" s="186">
        <f>IFERROR(__xludf.DUMMYFUNCTION("""COMPUTED_VALUE"""),1.0)</f>
        <v>1</v>
      </c>
    </row>
    <row r="3568">
      <c r="A3568" s="178" t="str">
        <f>IFERROR(__xludf.DUMMYFUNCTION("""COMPUTED_VALUE"""),"ITBISA-I2C-IIC-LCD")</f>
        <v>ITBISA-I2C-IIC-LCD</v>
      </c>
      <c r="B3568" s="266">
        <f>IFERROR(__xludf.DUMMYFUNCTION("""COMPUTED_VALUE"""),45692.0)</f>
        <v>45692</v>
      </c>
      <c r="C3568" s="266" t="str">
        <f>IFERROR(__xludf.DUMMYFUNCTION("""COMPUTED_VALUE"""),"KYAI KONTONG")</f>
        <v>KYAI KONTONG</v>
      </c>
      <c r="D3568" s="186">
        <f>IFERROR(__xludf.DUMMYFUNCTION("""COMPUTED_VALUE"""),30.0)</f>
        <v>30</v>
      </c>
    </row>
    <row r="3569">
      <c r="A3569" s="178" t="str">
        <f>IFERROR(__xludf.DUMMYFUNCTION("""COMPUTED_VALUE"""),"ITBISA-I2C-IIC-LCD")</f>
        <v>ITBISA-I2C-IIC-LCD</v>
      </c>
      <c r="B3569" s="266">
        <f>IFERROR(__xludf.DUMMYFUNCTION("""COMPUTED_VALUE"""),45698.0)</f>
        <v>45698</v>
      </c>
      <c r="C3569" s="266" t="str">
        <f>IFERROR(__xludf.DUMMYFUNCTION("""COMPUTED_VALUE"""),"KERTASARI CIAMIS")</f>
        <v>KERTASARI CIAMIS</v>
      </c>
      <c r="D3569" s="186">
        <f>IFERROR(__xludf.DUMMYFUNCTION("""COMPUTED_VALUE"""),1.0)</f>
        <v>1</v>
      </c>
    </row>
    <row r="3570">
      <c r="A3570" s="178" t="str">
        <f>IFERROR(__xludf.DUMMYFUNCTION("""COMPUTED_VALUE"""),"ITBISA-I2C-IIC-LCD")</f>
        <v>ITBISA-I2C-IIC-LCD</v>
      </c>
      <c r="B3570" s="266">
        <f>IFERROR(__xludf.DUMMYFUNCTION("""COMPUTED_VALUE"""),45716.0)</f>
        <v>45716</v>
      </c>
      <c r="C3570" s="266" t="str">
        <f>IFERROR(__xludf.DUMMYFUNCTION("""COMPUTED_VALUE"""),"KYAI KONTONG")</f>
        <v>KYAI KONTONG</v>
      </c>
      <c r="D3570" s="186">
        <f>IFERROR(__xludf.DUMMYFUNCTION("""COMPUTED_VALUE"""),5.0)</f>
        <v>5</v>
      </c>
    </row>
    <row r="3571">
      <c r="A3571" s="178" t="str">
        <f>IFERROR(__xludf.DUMMYFUNCTION("""COMPUTED_VALUE"""),"ITBISA-I2C-IIC-LCD")</f>
        <v>ITBISA-I2C-IIC-LCD</v>
      </c>
      <c r="B3571" s="266">
        <f>IFERROR(__xludf.DUMMYFUNCTION("""COMPUTED_VALUE"""),45717.0)</f>
        <v>45717</v>
      </c>
      <c r="C3571" s="266" t="str">
        <f>IFERROR(__xludf.DUMMYFUNCTION("""COMPUTED_VALUE"""),"KERTASARI CIAMIS")</f>
        <v>KERTASARI CIAMIS</v>
      </c>
      <c r="D3571" s="186">
        <f>IFERROR(__xludf.DUMMYFUNCTION("""COMPUTED_VALUE"""),1.0)</f>
        <v>1</v>
      </c>
    </row>
    <row r="3572">
      <c r="A3572" s="178" t="str">
        <f>IFERROR(__xludf.DUMMYFUNCTION("""COMPUTED_VALUE"""),"ITBISA-I2C-IIC-LCD")</f>
        <v>ITBISA-I2C-IIC-LCD</v>
      </c>
      <c r="B3572" s="266">
        <f>IFERROR(__xludf.DUMMYFUNCTION("""COMPUTED_VALUE"""),45718.0)</f>
        <v>45718</v>
      </c>
      <c r="C3572" s="266" t="str">
        <f>IFERROR(__xludf.DUMMYFUNCTION("""COMPUTED_VALUE"""),"KYAI KONTONG")</f>
        <v>KYAI KONTONG</v>
      </c>
      <c r="D3572" s="186">
        <f>IFERROR(__xludf.DUMMYFUNCTION("""COMPUTED_VALUE"""),1.0)</f>
        <v>1</v>
      </c>
    </row>
    <row r="3573">
      <c r="A3573" s="178" t="str">
        <f>IFERROR(__xludf.DUMMYFUNCTION("""COMPUTED_VALUE"""),"ITBISA-I2C-IIC-LCD")</f>
        <v>ITBISA-I2C-IIC-LCD</v>
      </c>
      <c r="B3573" s="266">
        <f>IFERROR(__xludf.DUMMYFUNCTION("""COMPUTED_VALUE"""),45733.0)</f>
        <v>45733</v>
      </c>
      <c r="C3573" s="266" t="str">
        <f>IFERROR(__xludf.DUMMYFUNCTION("""COMPUTED_VALUE"""),"KYAI KONTONG")</f>
        <v>KYAI KONTONG</v>
      </c>
      <c r="D3573" s="186">
        <f>IFERROR(__xludf.DUMMYFUNCTION("""COMPUTED_VALUE"""),5.0)</f>
        <v>5</v>
      </c>
    </row>
    <row r="3574">
      <c r="A3574" s="178" t="str">
        <f>IFERROR(__xludf.DUMMYFUNCTION("""COMPUTED_VALUE"""),"ITBISA-I2C-IIC-LCD")</f>
        <v>ITBISA-I2C-IIC-LCD</v>
      </c>
      <c r="B3574" s="266">
        <f>IFERROR(__xludf.DUMMYFUNCTION("""COMPUTED_VALUE"""),45742.0)</f>
        <v>45742</v>
      </c>
      <c r="C3574" s="266" t="str">
        <f>IFERROR(__xludf.DUMMYFUNCTION("""COMPUTED_VALUE"""),"KERTASARI CIAMIS")</f>
        <v>KERTASARI CIAMIS</v>
      </c>
      <c r="D3574" s="186">
        <f>IFERROR(__xludf.DUMMYFUNCTION("""COMPUTED_VALUE"""),1.0)</f>
        <v>1</v>
      </c>
    </row>
    <row r="3575">
      <c r="A3575" s="178" t="str">
        <f>IFERROR(__xludf.DUMMYFUNCTION("""COMPUTED_VALUE"""),"ITBISA-I2C-IIC-LCD")</f>
        <v>ITBISA-I2C-IIC-LCD</v>
      </c>
      <c r="B3575" s="266">
        <f>IFERROR(__xludf.DUMMYFUNCTION("""COMPUTED_VALUE"""),45773.0)</f>
        <v>45773</v>
      </c>
      <c r="C3575" s="266" t="str">
        <f>IFERROR(__xludf.DUMMYFUNCTION("""COMPUTED_VALUE"""),"KYAI KONTONG")</f>
        <v>KYAI KONTONG</v>
      </c>
      <c r="D3575" s="186">
        <f>IFERROR(__xludf.DUMMYFUNCTION("""COMPUTED_VALUE"""),20.0)</f>
        <v>20</v>
      </c>
    </row>
    <row r="3576">
      <c r="A3576" s="178" t="str">
        <f>IFERROR(__xludf.DUMMYFUNCTION("""COMPUTED_VALUE"""),"ITBISA-I2C-IIC-LCD")</f>
        <v>ITBISA-I2C-IIC-LCD</v>
      </c>
      <c r="B3576" s="266">
        <f>IFERROR(__xludf.DUMMYFUNCTION("""COMPUTED_VALUE"""),45774.0)</f>
        <v>45774</v>
      </c>
      <c r="C3576" s="266" t="str">
        <f>IFERROR(__xludf.DUMMYFUNCTION("""COMPUTED_VALUE"""),"KERTASARI CIAMIS")</f>
        <v>KERTASARI CIAMIS</v>
      </c>
      <c r="D3576" s="186">
        <f>IFERROR(__xludf.DUMMYFUNCTION("""COMPUTED_VALUE"""),1.0)</f>
        <v>1</v>
      </c>
    </row>
    <row r="3577">
      <c r="A3577" s="178" t="str">
        <f>IFERROR(__xludf.DUMMYFUNCTION("""COMPUTED_VALUE"""),"ITBISA-I2C-IIC-LCD")</f>
        <v>ITBISA-I2C-IIC-LCD</v>
      </c>
      <c r="B3577" s="266">
        <f>IFERROR(__xludf.DUMMYFUNCTION("""COMPUTED_VALUE"""),45786.0)</f>
        <v>45786</v>
      </c>
      <c r="C3577" s="266" t="str">
        <f>IFERROR(__xludf.DUMMYFUNCTION("""COMPUTED_VALUE"""),"KERTASARI CIAMIS")</f>
        <v>KERTASARI CIAMIS</v>
      </c>
      <c r="D3577" s="186">
        <f>IFERROR(__xludf.DUMMYFUNCTION("""COMPUTED_VALUE"""),10.0)</f>
        <v>10</v>
      </c>
    </row>
    <row r="3578">
      <c r="A3578" s="178" t="str">
        <f>IFERROR(__xludf.DUMMYFUNCTION("""COMPUTED_VALUE"""),"ITBISA-I2C-IIC-LCD")</f>
        <v>ITBISA-I2C-IIC-LCD</v>
      </c>
      <c r="B3578" s="266">
        <f>IFERROR(__xludf.DUMMYFUNCTION("""COMPUTED_VALUE"""),45818.0)</f>
        <v>45818</v>
      </c>
      <c r="C3578" s="266" t="str">
        <f>IFERROR(__xludf.DUMMYFUNCTION("""COMPUTED_VALUE"""),"KERTASARI CIAMIS")</f>
        <v>KERTASARI CIAMIS</v>
      </c>
      <c r="D3578" s="186">
        <f>IFERROR(__xludf.DUMMYFUNCTION("""COMPUTED_VALUE"""),1.0)</f>
        <v>1</v>
      </c>
    </row>
    <row r="3579">
      <c r="A3579" s="178" t="str">
        <f>IFERROR(__xludf.DUMMYFUNCTION("""COMPUTED_VALUE"""),"ITBISA-I2C-IIC-LCD")</f>
        <v>ITBISA-I2C-IIC-LCD</v>
      </c>
      <c r="B3579" s="266">
        <f>IFERROR(__xludf.DUMMYFUNCTION("""COMPUTED_VALUE"""),45830.0)</f>
        <v>45830</v>
      </c>
      <c r="C3579" s="266" t="str">
        <f>IFERROR(__xludf.DUMMYFUNCTION("""COMPUTED_VALUE"""),"KYAI KONTONG")</f>
        <v>KYAI KONTONG</v>
      </c>
      <c r="D3579" s="186">
        <f>IFERROR(__xludf.DUMMYFUNCTION("""COMPUTED_VALUE"""),3.0)</f>
        <v>3</v>
      </c>
    </row>
    <row r="3580">
      <c r="A3580" s="178" t="str">
        <f>IFERROR(__xludf.DUMMYFUNCTION("""COMPUTED_VALUE"""),"ITBISA-I2C-IIC-LCD")</f>
        <v>ITBISA-I2C-IIC-LCD</v>
      </c>
      <c r="B3580" s="266">
        <f>IFERROR(__xludf.DUMMYFUNCTION("""COMPUTED_VALUE"""),45830.0)</f>
        <v>45830</v>
      </c>
      <c r="C3580" s="266" t="str">
        <f>IFERROR(__xludf.DUMMYFUNCTION("""COMPUTED_VALUE"""),"KYAI KONTONG")</f>
        <v>KYAI KONTONG</v>
      </c>
      <c r="D3580" s="186">
        <f>IFERROR(__xludf.DUMMYFUNCTION("""COMPUTED_VALUE"""),10.0)</f>
        <v>10</v>
      </c>
    </row>
    <row r="3581">
      <c r="A3581" s="178" t="str">
        <f>IFERROR(__xludf.DUMMYFUNCTION("""COMPUTED_VALUE"""),"ITBISA-I2C-IIC-LCD")</f>
        <v>ITBISA-I2C-IIC-LCD</v>
      </c>
      <c r="B3581" s="266">
        <f>IFERROR(__xludf.DUMMYFUNCTION("""COMPUTED_VALUE"""),45861.0)</f>
        <v>45861</v>
      </c>
      <c r="C3581" s="266" t="str">
        <f>IFERROR(__xludf.DUMMYFUNCTION("""COMPUTED_VALUE"""),"KYAI KONTONG")</f>
        <v>KYAI KONTONG</v>
      </c>
      <c r="D3581" s="186">
        <f>IFERROR(__xludf.DUMMYFUNCTION("""COMPUTED_VALUE"""),1.0)</f>
        <v>1</v>
      </c>
    </row>
    <row r="3582">
      <c r="A3582" s="178" t="str">
        <f>IFERROR(__xludf.DUMMYFUNCTION("""COMPUTED_VALUE"""),"ITBISA-I2C-IIC-LCD")</f>
        <v>ITBISA-I2C-IIC-LCD</v>
      </c>
      <c r="B3582" s="266">
        <f>IFERROR(__xludf.DUMMYFUNCTION("""COMPUTED_VALUE"""),45865.0)</f>
        <v>45865</v>
      </c>
      <c r="C3582" s="266" t="str">
        <f>IFERROR(__xludf.DUMMYFUNCTION("""COMPUTED_VALUE"""),"KYAI KONTONG")</f>
        <v>KYAI KONTONG</v>
      </c>
      <c r="D3582" s="186">
        <f>IFERROR(__xludf.DUMMYFUNCTION("""COMPUTED_VALUE"""),1.0)</f>
        <v>1</v>
      </c>
    </row>
    <row r="3583">
      <c r="A3583" s="178" t="str">
        <f>IFERROR(__xludf.DUMMYFUNCTION("""COMPUTED_VALUE"""),"ITBISA-I2C-IIC-LCD")</f>
        <v>ITBISA-I2C-IIC-LCD</v>
      </c>
      <c r="B3583" s="266">
        <f>IFERROR(__xludf.DUMMYFUNCTION("""COMPUTED_VALUE"""),45877.0)</f>
        <v>45877</v>
      </c>
      <c r="C3583" s="266" t="str">
        <f>IFERROR(__xludf.DUMMYFUNCTION("""COMPUTED_VALUE"""),"KYAI KONTONG")</f>
        <v>KYAI KONTONG</v>
      </c>
      <c r="D3583" s="186">
        <f>IFERROR(__xludf.DUMMYFUNCTION("""COMPUTED_VALUE"""),1.0)</f>
        <v>1</v>
      </c>
    </row>
    <row r="3584">
      <c r="A3584" s="178" t="str">
        <f>IFERROR(__xludf.DUMMYFUNCTION("""COMPUTED_VALUE"""),"ITBISA-I2C-IIC-LCD")</f>
        <v>ITBISA-I2C-IIC-LCD</v>
      </c>
      <c r="B3584" s="266">
        <f>IFERROR(__xludf.DUMMYFUNCTION("""COMPUTED_VALUE"""),45878.0)</f>
        <v>45878</v>
      </c>
      <c r="C3584" s="266" t="str">
        <f>IFERROR(__xludf.DUMMYFUNCTION("""COMPUTED_VALUE"""),"KERTASARI CIAMIS")</f>
        <v>KERTASARI CIAMIS</v>
      </c>
      <c r="D3584" s="186">
        <f>IFERROR(__xludf.DUMMYFUNCTION("""COMPUTED_VALUE"""),20.0)</f>
        <v>20</v>
      </c>
    </row>
    <row r="3585">
      <c r="A3585" s="178" t="str">
        <f>IFERROR(__xludf.DUMMYFUNCTION("""COMPUTED_VALUE"""),"ITBISA-I2C-IIC-LCD")</f>
        <v>ITBISA-I2C-IIC-LCD</v>
      </c>
      <c r="B3585" s="266">
        <f>IFERROR(__xludf.DUMMYFUNCTION("""COMPUTED_VALUE"""),45880.0)</f>
        <v>45880</v>
      </c>
      <c r="C3585" s="266" t="str">
        <f>IFERROR(__xludf.DUMMYFUNCTION("""COMPUTED_VALUE"""),"KERTASARI CIAMIS")</f>
        <v>KERTASARI CIAMIS</v>
      </c>
      <c r="D3585" s="186">
        <f>IFERROR(__xludf.DUMMYFUNCTION("""COMPUTED_VALUE"""),1.0)</f>
        <v>1</v>
      </c>
    </row>
    <row r="3586">
      <c r="A3586" s="178" t="str">
        <f>IFERROR(__xludf.DUMMYFUNCTION("""COMPUTED_VALUE"""),"ITBISA-I2C-IIC-LCD")</f>
        <v>ITBISA-I2C-IIC-LCD</v>
      </c>
      <c r="B3586" s="266">
        <f>IFERROR(__xludf.DUMMYFUNCTION("""COMPUTED_VALUE"""),45882.0)</f>
        <v>45882</v>
      </c>
      <c r="C3586" s="266" t="str">
        <f>IFERROR(__xludf.DUMMYFUNCTION("""COMPUTED_VALUE"""),"KYAI KONTONG")</f>
        <v>KYAI KONTONG</v>
      </c>
      <c r="D3586" s="186">
        <f>IFERROR(__xludf.DUMMYFUNCTION("""COMPUTED_VALUE"""),1.0)</f>
        <v>1</v>
      </c>
    </row>
    <row r="3587">
      <c r="A3587" s="178" t="str">
        <f>IFERROR(__xludf.DUMMYFUNCTION("""COMPUTED_VALUE"""),"ITBISA-I2C-IIC-LCD")</f>
        <v>ITBISA-I2C-IIC-LCD</v>
      </c>
      <c r="B3587" s="266">
        <f>IFERROR(__xludf.DUMMYFUNCTION("""COMPUTED_VALUE"""),45900.0)</f>
        <v>45900</v>
      </c>
      <c r="C3587" s="266" t="str">
        <f>IFERROR(__xludf.DUMMYFUNCTION("""COMPUTED_VALUE"""),"KERTASARI CIAMIS")</f>
        <v>KERTASARI CIAMIS</v>
      </c>
      <c r="D3587" s="186">
        <f>IFERROR(__xludf.DUMMYFUNCTION("""COMPUTED_VALUE"""),1.0)</f>
        <v>1</v>
      </c>
    </row>
    <row r="3588">
      <c r="A3588" s="178" t="str">
        <f>IFERROR(__xludf.DUMMYFUNCTION("""COMPUTED_VALUE"""),"ITBISA-I2C-IIC-LCD")</f>
        <v>ITBISA-I2C-IIC-LCD</v>
      </c>
      <c r="B3588" s="266">
        <f>IFERROR(__xludf.DUMMYFUNCTION("""COMPUTED_VALUE"""),45910.0)</f>
        <v>45910</v>
      </c>
      <c r="C3588" s="266" t="str">
        <f>IFERROR(__xludf.DUMMYFUNCTION("""COMPUTED_VALUE"""),"KYAI KONTONG")</f>
        <v>KYAI KONTONG</v>
      </c>
      <c r="D3588" s="186">
        <f>IFERROR(__xludf.DUMMYFUNCTION("""COMPUTED_VALUE"""),1.0)</f>
        <v>1</v>
      </c>
    </row>
    <row r="3589">
      <c r="A3589" s="178" t="str">
        <f>IFERROR(__xludf.DUMMYFUNCTION("""COMPUTED_VALUE"""),"ITBISA-I2C-IIC-LCD")</f>
        <v>ITBISA-I2C-IIC-LCD</v>
      </c>
      <c r="B3589" s="266">
        <f>IFERROR(__xludf.DUMMYFUNCTION("""COMPUTED_VALUE"""),45948.0)</f>
        <v>45948</v>
      </c>
      <c r="C3589" s="266" t="str">
        <f>IFERROR(__xludf.DUMMYFUNCTION("""COMPUTED_VALUE"""),"KYAI KONTONG")</f>
        <v>KYAI KONTONG</v>
      </c>
      <c r="D3589" s="186">
        <f>IFERROR(__xludf.DUMMYFUNCTION("""COMPUTED_VALUE"""),1.0)</f>
        <v>1</v>
      </c>
    </row>
    <row r="3590">
      <c r="A3590" s="178" t="str">
        <f>IFERROR(__xludf.DUMMYFUNCTION("""COMPUTED_VALUE"""),"ITBISA-I2C-IIC-LCD")</f>
        <v>ITBISA-I2C-IIC-LCD</v>
      </c>
      <c r="B3590" s="266">
        <f>IFERROR(__xludf.DUMMYFUNCTION("""COMPUTED_VALUE"""),45950.0)</f>
        <v>45950</v>
      </c>
      <c r="C3590" s="266" t="str">
        <f>IFERROR(__xludf.DUMMYFUNCTION("""COMPUTED_VALUE"""),"KERTASARI CIAMIS")</f>
        <v>KERTASARI CIAMIS</v>
      </c>
      <c r="D3590" s="186">
        <f>IFERROR(__xludf.DUMMYFUNCTION("""COMPUTED_VALUE"""),1.0)</f>
        <v>1</v>
      </c>
    </row>
    <row r="3591">
      <c r="A3591" s="178" t="str">
        <f>IFERROR(__xludf.DUMMYFUNCTION("""COMPUTED_VALUE"""),"ITBISA-I2C-IIC-LCD")</f>
        <v>ITBISA-I2C-IIC-LCD</v>
      </c>
      <c r="B3591" s="266">
        <f>IFERROR(__xludf.DUMMYFUNCTION("""COMPUTED_VALUE"""),45950.0)</f>
        <v>45950</v>
      </c>
      <c r="C3591" s="266" t="str">
        <f>IFERROR(__xludf.DUMMYFUNCTION("""COMPUTED_VALUE"""),"KYAI KONTONG")</f>
        <v>KYAI KONTONG</v>
      </c>
      <c r="D3591" s="186">
        <f>IFERROR(__xludf.DUMMYFUNCTION("""COMPUTED_VALUE"""),1.0)</f>
        <v>1</v>
      </c>
    </row>
    <row r="3592">
      <c r="A3592" s="178" t="str">
        <f>IFERROR(__xludf.DUMMYFUNCTION("""COMPUTED_VALUE"""),"ITBISA-I2C-IIC-LCD")</f>
        <v>ITBISA-I2C-IIC-LCD</v>
      </c>
      <c r="B3592" s="266">
        <f>IFERROR(__xludf.DUMMYFUNCTION("""COMPUTED_VALUE"""),45959.0)</f>
        <v>45959</v>
      </c>
      <c r="C3592" s="266" t="str">
        <f>IFERROR(__xludf.DUMMYFUNCTION("""COMPUTED_VALUE"""),"KYAI KONTONG")</f>
        <v>KYAI KONTONG</v>
      </c>
      <c r="D3592" s="186">
        <f>IFERROR(__xludf.DUMMYFUNCTION("""COMPUTED_VALUE"""),1.0)</f>
        <v>1</v>
      </c>
    </row>
    <row r="3593">
      <c r="A3593" s="178" t="str">
        <f>IFERROR(__xludf.DUMMYFUNCTION("""COMPUTED_VALUE"""),"ITBISA-I2C-IIC-LCD")</f>
        <v>ITBISA-I2C-IIC-LCD</v>
      </c>
      <c r="B3593" s="266">
        <f>IFERROR(__xludf.DUMMYFUNCTION("""COMPUTED_VALUE"""),45967.0)</f>
        <v>45967</v>
      </c>
      <c r="C3593" s="266" t="str">
        <f>IFERROR(__xludf.DUMMYFUNCTION("""COMPUTED_VALUE"""),"KYAI KONTONG")</f>
        <v>KYAI KONTONG</v>
      </c>
      <c r="D3593" s="186">
        <f>IFERROR(__xludf.DUMMYFUNCTION("""COMPUTED_VALUE"""),1.0)</f>
        <v>1</v>
      </c>
    </row>
    <row r="3594">
      <c r="A3594" s="178" t="str">
        <f>IFERROR(__xludf.DUMMYFUNCTION("""COMPUTED_VALUE"""),"ITBISA-I2C-IIC-LCD")</f>
        <v>ITBISA-I2C-IIC-LCD</v>
      </c>
      <c r="B3594" s="266">
        <f>IFERROR(__xludf.DUMMYFUNCTION("""COMPUTED_VALUE"""),45970.0)</f>
        <v>45970</v>
      </c>
      <c r="C3594" s="266" t="str">
        <f>IFERROR(__xludf.DUMMYFUNCTION("""COMPUTED_VALUE"""),"KYAI KONTONG")</f>
        <v>KYAI KONTONG</v>
      </c>
      <c r="D3594" s="186">
        <f>IFERROR(__xludf.DUMMYFUNCTION("""COMPUTED_VALUE"""),1.0)</f>
        <v>1</v>
      </c>
    </row>
    <row r="3595">
      <c r="A3595" s="178" t="str">
        <f>IFERROR(__xludf.DUMMYFUNCTION("""COMPUTED_VALUE"""),"ITBISA-I2C-IIC-LCD")</f>
        <v>ITBISA-I2C-IIC-LCD</v>
      </c>
      <c r="B3595" s="266">
        <f>IFERROR(__xludf.DUMMYFUNCTION("""COMPUTED_VALUE"""),45972.0)</f>
        <v>45972</v>
      </c>
      <c r="C3595" s="266" t="str">
        <f>IFERROR(__xludf.DUMMYFUNCTION("""COMPUTED_VALUE"""),"KERTASARI CIAMIS")</f>
        <v>KERTASARI CIAMIS</v>
      </c>
      <c r="D3595" s="186">
        <f>IFERROR(__xludf.DUMMYFUNCTION("""COMPUTED_VALUE"""),14.0)</f>
        <v>14</v>
      </c>
    </row>
    <row r="3596">
      <c r="A3596" s="178" t="str">
        <f>IFERROR(__xludf.DUMMYFUNCTION("""COMPUTED_VALUE"""),"ITBISA-I2C-IIC-LCD")</f>
        <v>ITBISA-I2C-IIC-LCD</v>
      </c>
      <c r="B3596" s="266">
        <f>IFERROR(__xludf.DUMMYFUNCTION("""COMPUTED_VALUE"""),45974.0)</f>
        <v>45974</v>
      </c>
      <c r="C3596" s="266" t="str">
        <f>IFERROR(__xludf.DUMMYFUNCTION("""COMPUTED_VALUE"""),"KERTASARI CIAMIS")</f>
        <v>KERTASARI CIAMIS</v>
      </c>
      <c r="D3596" s="186">
        <f>IFERROR(__xludf.DUMMYFUNCTION("""COMPUTED_VALUE"""),2.0)</f>
        <v>2</v>
      </c>
    </row>
    <row r="3597">
      <c r="A3597" s="178" t="str">
        <f>IFERROR(__xludf.DUMMYFUNCTION("""COMPUTED_VALUE"""),"ITBISA-I2C-IIC-LCD")</f>
        <v>ITBISA-I2C-IIC-LCD</v>
      </c>
      <c r="B3597" s="266">
        <f>IFERROR(__xludf.DUMMYFUNCTION("""COMPUTED_VALUE"""),45980.0)</f>
        <v>45980</v>
      </c>
      <c r="C3597" s="266" t="str">
        <f>IFERROR(__xludf.DUMMYFUNCTION("""COMPUTED_VALUE"""),"KYAI KONTONG")</f>
        <v>KYAI KONTONG</v>
      </c>
      <c r="D3597" s="186">
        <f>IFERROR(__xludf.DUMMYFUNCTION("""COMPUTED_VALUE"""),1.0)</f>
        <v>1</v>
      </c>
    </row>
    <row r="3598">
      <c r="A3598" s="178" t="str">
        <f>IFERROR(__xludf.DUMMYFUNCTION("""COMPUTED_VALUE"""),"ITBISA-I2C-IIC-LCD")</f>
        <v>ITBISA-I2C-IIC-LCD</v>
      </c>
      <c r="B3598" s="266">
        <f>IFERROR(__xludf.DUMMYFUNCTION("""COMPUTED_VALUE"""),45981.0)</f>
        <v>45981</v>
      </c>
      <c r="C3598" s="266" t="str">
        <f>IFERROR(__xludf.DUMMYFUNCTION("""COMPUTED_VALUE"""),"KERTASARI CIAMIS")</f>
        <v>KERTASARI CIAMIS</v>
      </c>
      <c r="D3598" s="186">
        <f>IFERROR(__xludf.DUMMYFUNCTION("""COMPUTED_VALUE"""),2.0)</f>
        <v>2</v>
      </c>
    </row>
    <row r="3599">
      <c r="A3599" s="178" t="str">
        <f>IFERROR(__xludf.DUMMYFUNCTION("""COMPUTED_VALUE"""),"ITBISA-I2C-IIC-LCD")</f>
        <v>ITBISA-I2C-IIC-LCD</v>
      </c>
      <c r="B3599" s="266">
        <f>IFERROR(__xludf.DUMMYFUNCTION("""COMPUTED_VALUE"""),45993.0)</f>
        <v>45993</v>
      </c>
      <c r="C3599" s="266" t="str">
        <f>IFERROR(__xludf.DUMMYFUNCTION("""COMPUTED_VALUE"""),"KYAI KONTONG")</f>
        <v>KYAI KONTONG</v>
      </c>
      <c r="D3599" s="186">
        <f>IFERROR(__xludf.DUMMYFUNCTION("""COMPUTED_VALUE"""),2.0)</f>
        <v>2</v>
      </c>
    </row>
    <row r="3600">
      <c r="A3600" s="178" t="str">
        <f>IFERROR(__xludf.DUMMYFUNCTION("""COMPUTED_VALUE"""),"ITBISA-I2C-IIC-LCD")</f>
        <v>ITBISA-I2C-IIC-LCD</v>
      </c>
      <c r="B3600" s="266">
        <f>IFERROR(__xludf.DUMMYFUNCTION("""COMPUTED_VALUE"""),45996.0)</f>
        <v>45996</v>
      </c>
      <c r="C3600" s="266" t="str">
        <f>IFERROR(__xludf.DUMMYFUNCTION("""COMPUTED_VALUE"""),"KERTASARI CIAMIS")</f>
        <v>KERTASARI CIAMIS</v>
      </c>
      <c r="D3600" s="186">
        <f>IFERROR(__xludf.DUMMYFUNCTION("""COMPUTED_VALUE"""),1.0)</f>
        <v>1</v>
      </c>
    </row>
    <row r="3601">
      <c r="A3601" s="178" t="str">
        <f>IFERROR(__xludf.DUMMYFUNCTION("""COMPUTED_VALUE"""),"ITBISA-I2C-IIC-LCD")</f>
        <v>ITBISA-I2C-IIC-LCD</v>
      </c>
      <c r="B3601" s="266">
        <f>IFERROR(__xludf.DUMMYFUNCTION("""COMPUTED_VALUE"""),45999.0)</f>
        <v>45999</v>
      </c>
      <c r="C3601" s="266" t="str">
        <f>IFERROR(__xludf.DUMMYFUNCTION("""COMPUTED_VALUE"""),"KYAI KONTONG")</f>
        <v>KYAI KONTONG</v>
      </c>
      <c r="D3601" s="186">
        <f>IFERROR(__xludf.DUMMYFUNCTION("""COMPUTED_VALUE"""),2.0)</f>
        <v>2</v>
      </c>
    </row>
    <row r="3602">
      <c r="A3602" s="178" t="str">
        <f>IFERROR(__xludf.DUMMYFUNCTION("""COMPUTED_VALUE"""),"ITBISA-I2C-IIC-LCD")</f>
        <v>ITBISA-I2C-IIC-LCD</v>
      </c>
      <c r="B3602" s="266">
        <f>IFERROR(__xludf.DUMMYFUNCTION("""COMPUTED_VALUE"""),46000.0)</f>
        <v>46000</v>
      </c>
      <c r="C3602" s="266" t="str">
        <f>IFERROR(__xludf.DUMMYFUNCTION("""COMPUTED_VALUE"""),"KYAI KONTONG")</f>
        <v>KYAI KONTONG</v>
      </c>
      <c r="D3602" s="186">
        <f>IFERROR(__xludf.DUMMYFUNCTION("""COMPUTED_VALUE"""),2.0)</f>
        <v>2</v>
      </c>
    </row>
    <row r="3603">
      <c r="A3603" s="178" t="str">
        <f>IFERROR(__xludf.DUMMYFUNCTION("""COMPUTED_VALUE"""),"ITBISA-I2C-IIC-LCD")</f>
        <v>ITBISA-I2C-IIC-LCD</v>
      </c>
      <c r="B3603" s="266">
        <f>IFERROR(__xludf.DUMMYFUNCTION("""COMPUTED_VALUE"""),46005.0)</f>
        <v>46005</v>
      </c>
      <c r="C3603" s="266" t="str">
        <f>IFERROR(__xludf.DUMMYFUNCTION("""COMPUTED_VALUE"""),"KERTASARI CIAMIS")</f>
        <v>KERTASARI CIAMIS</v>
      </c>
      <c r="D3603" s="186">
        <f>IFERROR(__xludf.DUMMYFUNCTION("""COMPUTED_VALUE"""),11.0)</f>
        <v>11</v>
      </c>
    </row>
    <row r="3604">
      <c r="A3604" s="178" t="str">
        <f>IFERROR(__xludf.DUMMYFUNCTION("""COMPUTED_VALUE"""),"ITBISA-I2C-IIC-LCD")</f>
        <v>ITBISA-I2C-IIC-LCD</v>
      </c>
      <c r="B3604" s="266">
        <f>IFERROR(__xludf.DUMMYFUNCTION("""COMPUTED_VALUE"""),46015.0)</f>
        <v>46015</v>
      </c>
      <c r="C3604" s="266" t="str">
        <f>IFERROR(__xludf.DUMMYFUNCTION("""COMPUTED_VALUE"""),"KYAI KONTONG")</f>
        <v>KYAI KONTONG</v>
      </c>
      <c r="D3604" s="186">
        <f>IFERROR(__xludf.DUMMYFUNCTION("""COMPUTED_VALUE"""),2.0)</f>
        <v>2</v>
      </c>
    </row>
    <row r="3605">
      <c r="A3605" s="178" t="str">
        <f>IFERROR(__xludf.DUMMYFUNCTION("""COMPUTED_VALUE"""),"ITBISA-I2C-IIC-LCD")</f>
        <v>ITBISA-I2C-IIC-LCD</v>
      </c>
      <c r="B3605" s="266">
        <f>IFERROR(__xludf.DUMMYFUNCTION("""COMPUTED_VALUE"""),46017.0)</f>
        <v>46017</v>
      </c>
      <c r="C3605" s="266" t="str">
        <f>IFERROR(__xludf.DUMMYFUNCTION("""COMPUTED_VALUE"""),"KYAI KONTONG")</f>
        <v>KYAI KONTONG</v>
      </c>
      <c r="D3605" s="186">
        <f>IFERROR(__xludf.DUMMYFUNCTION("""COMPUTED_VALUE"""),1.0)</f>
        <v>1</v>
      </c>
    </row>
    <row r="3606">
      <c r="A3606" s="178" t="str">
        <f>IFERROR(__xludf.DUMMYFUNCTION("""COMPUTED_VALUE"""),"ITBISA-I2C-IIC-LCD")</f>
        <v>ITBISA-I2C-IIC-LCD</v>
      </c>
      <c r="B3606" s="266">
        <f>IFERROR(__xludf.DUMMYFUNCTION("""COMPUTED_VALUE"""),46020.0)</f>
        <v>46020</v>
      </c>
      <c r="C3606" s="266" t="str">
        <f>IFERROR(__xludf.DUMMYFUNCTION("""COMPUTED_VALUE"""),"KYAI KONTONG")</f>
        <v>KYAI KONTONG</v>
      </c>
      <c r="D3606" s="186">
        <f>IFERROR(__xludf.DUMMYFUNCTION("""COMPUTED_VALUE"""),1.0)</f>
        <v>1</v>
      </c>
    </row>
    <row r="3607">
      <c r="A3607" s="178" t="str">
        <f>IFERROR(__xludf.DUMMYFUNCTION("""COMPUTED_VALUE"""),"ITBISA-I2C-IIC-LCD")</f>
        <v>ITBISA-I2C-IIC-LCD</v>
      </c>
      <c r="B3607" s="266">
        <f>IFERROR(__xludf.DUMMYFUNCTION("""COMPUTED_VALUE"""),46022.0)</f>
        <v>46022</v>
      </c>
      <c r="C3607" s="266" t="str">
        <f>IFERROR(__xludf.DUMMYFUNCTION("""COMPUTED_VALUE"""),"KYAI KONTONG")</f>
        <v>KYAI KONTONG</v>
      </c>
      <c r="D3607" s="186">
        <f>IFERROR(__xludf.DUMMYFUNCTION("""COMPUTED_VALUE"""),1.0)</f>
        <v>1</v>
      </c>
    </row>
    <row r="3608">
      <c r="A3608" s="178" t="str">
        <f>IFERROR(__xludf.DUMMYFUNCTION("""COMPUTED_VALUE"""),"ITBISA-IC-4N35-DIP6-WHITE")</f>
        <v>ITBISA-IC-4N35-DIP6-WHITE</v>
      </c>
      <c r="B3608" s="266">
        <f>IFERROR(__xludf.DUMMYFUNCTION("""COMPUTED_VALUE"""),44042.0)</f>
        <v>44042</v>
      </c>
      <c r="C3608" s="266" t="str">
        <f>IFERROR(__xludf.DUMMYFUNCTION("""COMPUTED_VALUE"""),"KAETOBO RESIDENCE")</f>
        <v>KAETOBO RESIDENCE</v>
      </c>
      <c r="D3608" s="186">
        <f>IFERROR(__xludf.DUMMYFUNCTION("""COMPUTED_VALUE"""),6.0)</f>
        <v>6</v>
      </c>
    </row>
    <row r="3609">
      <c r="A3609" s="178" t="str">
        <f>IFERROR(__xludf.DUMMYFUNCTION("""COMPUTED_VALUE"""),"ITBISA-IC-4N35-DIP6-WHITE")</f>
        <v>ITBISA-IC-4N35-DIP6-WHITE</v>
      </c>
      <c r="B3609" s="266">
        <f>IFERROR(__xludf.DUMMYFUNCTION("""COMPUTED_VALUE"""),44837.0)</f>
        <v>44837</v>
      </c>
      <c r="C3609" s="266" t="str">
        <f>IFERROR(__xludf.DUMMYFUNCTION("""COMPUTED_VALUE"""),"KYAI KONTONG")</f>
        <v>KYAI KONTONG</v>
      </c>
      <c r="D3609" s="186">
        <f>IFERROR(__xludf.DUMMYFUNCTION("""COMPUTED_VALUE"""),15.0)</f>
        <v>15</v>
      </c>
    </row>
    <row r="3610">
      <c r="A3610" s="178" t="str">
        <f>IFERROR(__xludf.DUMMYFUNCTION("""COMPUTED_VALUE"""),"ITBISA-IC-4N35-DIP6-WHITE")</f>
        <v>ITBISA-IC-4N35-DIP6-WHITE</v>
      </c>
      <c r="B3610" s="266">
        <f>IFERROR(__xludf.DUMMYFUNCTION("""COMPUTED_VALUE"""),44840.0)</f>
        <v>44840</v>
      </c>
      <c r="C3610" s="266" t="str">
        <f>IFERROR(__xludf.DUMMYFUNCTION("""COMPUTED_VALUE"""),"KYAI KONTONG")</f>
        <v>KYAI KONTONG</v>
      </c>
      <c r="D3610" s="186">
        <f>IFERROR(__xludf.DUMMYFUNCTION("""COMPUTED_VALUE"""),10.0)</f>
        <v>10</v>
      </c>
    </row>
    <row r="3611">
      <c r="A3611" s="178" t="str">
        <f>IFERROR(__xludf.DUMMYFUNCTION("""COMPUTED_VALUE"""),"ITBISA-IC-4N35-DIP6-WHITE")</f>
        <v>ITBISA-IC-4N35-DIP6-WHITE</v>
      </c>
      <c r="B3611" s="266">
        <f>IFERROR(__xludf.DUMMYFUNCTION("""COMPUTED_VALUE"""),44905.0)</f>
        <v>44905</v>
      </c>
      <c r="C3611" s="266" t="str">
        <f>IFERROR(__xludf.DUMMYFUNCTION("""COMPUTED_VALUE"""),"KYAI KONTONG")</f>
        <v>KYAI KONTONG</v>
      </c>
      <c r="D3611" s="186">
        <f>IFERROR(__xludf.DUMMYFUNCTION("""COMPUTED_VALUE"""),15.0)</f>
        <v>15</v>
      </c>
    </row>
    <row r="3612">
      <c r="A3612" s="178" t="str">
        <f>IFERROR(__xludf.DUMMYFUNCTION("""COMPUTED_VALUE"""),"ITBISA-IC-4N35-DIP6-WHITE")</f>
        <v>ITBISA-IC-4N35-DIP6-WHITE</v>
      </c>
      <c r="B3612" s="266">
        <f>IFERROR(__xludf.DUMMYFUNCTION("""COMPUTED_VALUE"""),44964.0)</f>
        <v>44964</v>
      </c>
      <c r="C3612" s="266" t="str">
        <f>IFERROR(__xludf.DUMMYFUNCTION("""COMPUTED_VALUE"""),"KYAI KONTONG")</f>
        <v>KYAI KONTONG</v>
      </c>
      <c r="D3612" s="186">
        <f>IFERROR(__xludf.DUMMYFUNCTION("""COMPUTED_VALUE"""),4.0)</f>
        <v>4</v>
      </c>
    </row>
    <row r="3613">
      <c r="A3613" s="178" t="str">
        <f>IFERROR(__xludf.DUMMYFUNCTION("""COMPUTED_VALUE"""),"ITBISA-IC-4N35-DIP6-WHITE")</f>
        <v>ITBISA-IC-4N35-DIP6-WHITE</v>
      </c>
      <c r="B3613" s="266">
        <f>IFERROR(__xludf.DUMMYFUNCTION("""COMPUTED_VALUE"""),45022.0)</f>
        <v>45022</v>
      </c>
      <c r="C3613" s="266" t="str">
        <f>IFERROR(__xludf.DUMMYFUNCTION("""COMPUTED_VALUE"""),"KYAI KONTONG")</f>
        <v>KYAI KONTONG</v>
      </c>
      <c r="D3613" s="186">
        <f>IFERROR(__xludf.DUMMYFUNCTION("""COMPUTED_VALUE"""),2.0)</f>
        <v>2</v>
      </c>
    </row>
    <row r="3614">
      <c r="A3614" s="178" t="str">
        <f>IFERROR(__xludf.DUMMYFUNCTION("""COMPUTED_VALUE"""),"ITBISA-IC-74HC245N-DIP20")</f>
        <v>ITBISA-IC-74HC245N-DIP20</v>
      </c>
      <c r="B3614" s="266">
        <f>IFERROR(__xludf.DUMMYFUNCTION("""COMPUTED_VALUE"""),44927.0)</f>
        <v>44927</v>
      </c>
      <c r="C3614" s="266" t="str">
        <f>IFERROR(__xludf.DUMMYFUNCTION("""COMPUTED_VALUE"""),"KYAI KONTONG")</f>
        <v>KYAI KONTONG</v>
      </c>
      <c r="D3614" s="186">
        <f>IFERROR(__xludf.DUMMYFUNCTION("""COMPUTED_VALUE"""),2.0)</f>
        <v>2</v>
      </c>
    </row>
    <row r="3615">
      <c r="A3615" s="178" t="str">
        <f>IFERROR(__xludf.DUMMYFUNCTION("""COMPUTED_VALUE"""),"ITBISA-IC-74HC245N-DIP20")</f>
        <v>ITBISA-IC-74HC245N-DIP20</v>
      </c>
      <c r="B3615" s="266">
        <f>IFERROR(__xludf.DUMMYFUNCTION("""COMPUTED_VALUE"""),44927.0)</f>
        <v>44927</v>
      </c>
      <c r="C3615" s="266" t="str">
        <f>IFERROR(__xludf.DUMMYFUNCTION("""COMPUTED_VALUE"""),"KYAI KONTONG")</f>
        <v>KYAI KONTONG</v>
      </c>
      <c r="D3615" s="186">
        <f>IFERROR(__xludf.DUMMYFUNCTION("""COMPUTED_VALUE"""),18.0)</f>
        <v>18</v>
      </c>
    </row>
    <row r="3616">
      <c r="A3616" s="178" t="str">
        <f>IFERROR(__xludf.DUMMYFUNCTION("""COMPUTED_VALUE"""),"ITBISA-IC-74HC245N-DIP20")</f>
        <v>ITBISA-IC-74HC245N-DIP20</v>
      </c>
      <c r="B3616" s="266">
        <f>IFERROR(__xludf.DUMMYFUNCTION("""COMPUTED_VALUE"""),44930.0)</f>
        <v>44930</v>
      </c>
      <c r="C3616" s="266" t="str">
        <f>IFERROR(__xludf.DUMMYFUNCTION("""COMPUTED_VALUE"""),"KYAI KONTONG")</f>
        <v>KYAI KONTONG</v>
      </c>
      <c r="D3616" s="186">
        <f>IFERROR(__xludf.DUMMYFUNCTION("""COMPUTED_VALUE"""),16.0)</f>
        <v>16</v>
      </c>
    </row>
    <row r="3617">
      <c r="A3617" s="178" t="str">
        <f>IFERROR(__xludf.DUMMYFUNCTION("""COMPUTED_VALUE"""),"ITBISA-IC-74HC245N-DIP20")</f>
        <v>ITBISA-IC-74HC245N-DIP20</v>
      </c>
      <c r="B3617" s="266">
        <f>IFERROR(__xludf.DUMMYFUNCTION("""COMPUTED_VALUE"""),44932.0)</f>
        <v>44932</v>
      </c>
      <c r="C3617" s="266" t="str">
        <f>IFERROR(__xludf.DUMMYFUNCTION("""COMPUTED_VALUE"""),"KYAI KONTONG")</f>
        <v>KYAI KONTONG</v>
      </c>
      <c r="D3617" s="186">
        <f>IFERROR(__xludf.DUMMYFUNCTION("""COMPUTED_VALUE"""),18.0)</f>
        <v>18</v>
      </c>
    </row>
    <row r="3618">
      <c r="A3618" s="178" t="str">
        <f>IFERROR(__xludf.DUMMYFUNCTION("""COMPUTED_VALUE"""),"ITBISA-IC-74HC245N-DIP20")</f>
        <v>ITBISA-IC-74HC245N-DIP20</v>
      </c>
      <c r="B3618" s="266">
        <f>IFERROR(__xludf.DUMMYFUNCTION("""COMPUTED_VALUE"""),44937.0)</f>
        <v>44937</v>
      </c>
      <c r="C3618" s="266" t="str">
        <f>IFERROR(__xludf.DUMMYFUNCTION("""COMPUTED_VALUE"""),"KYAI KONTONG")</f>
        <v>KYAI KONTONG</v>
      </c>
      <c r="D3618" s="186">
        <f>IFERROR(__xludf.DUMMYFUNCTION("""COMPUTED_VALUE"""),18.0)</f>
        <v>18</v>
      </c>
    </row>
    <row r="3619">
      <c r="A3619" s="178" t="str">
        <f>IFERROR(__xludf.DUMMYFUNCTION("""COMPUTED_VALUE"""),"ITBISA-IC-74HC245N-DIP20")</f>
        <v>ITBISA-IC-74HC245N-DIP20</v>
      </c>
      <c r="B3619" s="266">
        <f>IFERROR(__xludf.DUMMYFUNCTION("""COMPUTED_VALUE"""),44937.0)</f>
        <v>44937</v>
      </c>
      <c r="C3619" s="266" t="str">
        <f>IFERROR(__xludf.DUMMYFUNCTION("""COMPUTED_VALUE"""),"KYAI KONTONG")</f>
        <v>KYAI KONTONG</v>
      </c>
      <c r="D3619" s="186">
        <f>IFERROR(__xludf.DUMMYFUNCTION("""COMPUTED_VALUE"""),36.0)</f>
        <v>36</v>
      </c>
    </row>
    <row r="3620">
      <c r="A3620" s="178" t="str">
        <f>IFERROR(__xludf.DUMMYFUNCTION("""COMPUTED_VALUE"""),"ITBISA-IC-74HC245N-DIP20")</f>
        <v>ITBISA-IC-74HC245N-DIP20</v>
      </c>
      <c r="B3620" s="266">
        <f>IFERROR(__xludf.DUMMYFUNCTION("""COMPUTED_VALUE"""),44942.0)</f>
        <v>44942</v>
      </c>
      <c r="C3620" s="266" t="str">
        <f>IFERROR(__xludf.DUMMYFUNCTION("""COMPUTED_VALUE"""),"KYAI KONTONG")</f>
        <v>KYAI KONTONG</v>
      </c>
      <c r="D3620" s="186">
        <f>IFERROR(__xludf.DUMMYFUNCTION("""COMPUTED_VALUE"""),18.0)</f>
        <v>18</v>
      </c>
    </row>
    <row r="3621">
      <c r="A3621" s="178" t="str">
        <f>IFERROR(__xludf.DUMMYFUNCTION("""COMPUTED_VALUE"""),"ITBISA-IC-74HC245N-DIP20")</f>
        <v>ITBISA-IC-74HC245N-DIP20</v>
      </c>
      <c r="B3621" s="266">
        <f>IFERROR(__xludf.DUMMYFUNCTION("""COMPUTED_VALUE"""),44942.0)</f>
        <v>44942</v>
      </c>
      <c r="C3621" s="266" t="str">
        <f>IFERROR(__xludf.DUMMYFUNCTION("""COMPUTED_VALUE"""),"KYAI KONTONG")</f>
        <v>KYAI KONTONG</v>
      </c>
      <c r="D3621" s="186">
        <f>IFERROR(__xludf.DUMMYFUNCTION("""COMPUTED_VALUE"""),18.0)</f>
        <v>18</v>
      </c>
    </row>
    <row r="3622">
      <c r="A3622" s="178" t="str">
        <f>IFERROR(__xludf.DUMMYFUNCTION("""COMPUTED_VALUE"""),"ITBISA-IC-74HC245N-DIP20")</f>
        <v>ITBISA-IC-74HC245N-DIP20</v>
      </c>
      <c r="B3622" s="266">
        <f>IFERROR(__xludf.DUMMYFUNCTION("""COMPUTED_VALUE"""),44943.0)</f>
        <v>44943</v>
      </c>
      <c r="C3622" s="266" t="str">
        <f>IFERROR(__xludf.DUMMYFUNCTION("""COMPUTED_VALUE"""),"KYAI KONTONG")</f>
        <v>KYAI KONTONG</v>
      </c>
      <c r="D3622" s="186">
        <f>IFERROR(__xludf.DUMMYFUNCTION("""COMPUTED_VALUE"""),18.0)</f>
        <v>18</v>
      </c>
    </row>
    <row r="3623">
      <c r="A3623" s="178" t="str">
        <f>IFERROR(__xludf.DUMMYFUNCTION("""COMPUTED_VALUE"""),"ITBISA-IC-74HC245N-DIP20")</f>
        <v>ITBISA-IC-74HC245N-DIP20</v>
      </c>
      <c r="B3623" s="266">
        <f>IFERROR(__xludf.DUMMYFUNCTION("""COMPUTED_VALUE"""),44946.0)</f>
        <v>44946</v>
      </c>
      <c r="C3623" s="266" t="str">
        <f>IFERROR(__xludf.DUMMYFUNCTION("""COMPUTED_VALUE"""),"KYAI KONTONG")</f>
        <v>KYAI KONTONG</v>
      </c>
      <c r="D3623" s="186">
        <f>IFERROR(__xludf.DUMMYFUNCTION("""COMPUTED_VALUE"""),18.0)</f>
        <v>18</v>
      </c>
    </row>
    <row r="3624">
      <c r="A3624" s="178" t="str">
        <f>IFERROR(__xludf.DUMMYFUNCTION("""COMPUTED_VALUE"""),"ITBISA-IC-74HC245N-DIP20")</f>
        <v>ITBISA-IC-74HC245N-DIP20</v>
      </c>
      <c r="B3624" s="266">
        <f>IFERROR(__xludf.DUMMYFUNCTION("""COMPUTED_VALUE"""),44949.0)</f>
        <v>44949</v>
      </c>
      <c r="C3624" s="266" t="str">
        <f>IFERROR(__xludf.DUMMYFUNCTION("""COMPUTED_VALUE"""),"KYAI KONTONG")</f>
        <v>KYAI KONTONG</v>
      </c>
      <c r="D3624" s="186">
        <f>IFERROR(__xludf.DUMMYFUNCTION("""COMPUTED_VALUE"""),18.0)</f>
        <v>18</v>
      </c>
    </row>
    <row r="3625">
      <c r="A3625" s="178" t="str">
        <f>IFERROR(__xludf.DUMMYFUNCTION("""COMPUTED_VALUE"""),"ITBISA-IC-74HC245N-DIP20")</f>
        <v>ITBISA-IC-74HC245N-DIP20</v>
      </c>
      <c r="B3625" s="266">
        <f>IFERROR(__xludf.DUMMYFUNCTION("""COMPUTED_VALUE"""),44951.0)</f>
        <v>44951</v>
      </c>
      <c r="C3625" s="266" t="str">
        <f>IFERROR(__xludf.DUMMYFUNCTION("""COMPUTED_VALUE"""),"KYAI KONTONG")</f>
        <v>KYAI KONTONG</v>
      </c>
      <c r="D3625" s="186">
        <f>IFERROR(__xludf.DUMMYFUNCTION("""COMPUTED_VALUE"""),5.0)</f>
        <v>5</v>
      </c>
    </row>
    <row r="3626">
      <c r="A3626" s="178" t="str">
        <f>IFERROR(__xludf.DUMMYFUNCTION("""COMPUTED_VALUE"""),"ITBISA-IC-74HC245N-DIP20")</f>
        <v>ITBISA-IC-74HC245N-DIP20</v>
      </c>
      <c r="B3626" s="266">
        <f>IFERROR(__xludf.DUMMYFUNCTION("""COMPUTED_VALUE"""),44951.0)</f>
        <v>44951</v>
      </c>
      <c r="C3626" s="266" t="str">
        <f>IFERROR(__xludf.DUMMYFUNCTION("""COMPUTED_VALUE"""),"KYAI KONTONG")</f>
        <v>KYAI KONTONG</v>
      </c>
      <c r="D3626" s="186">
        <f>IFERROR(__xludf.DUMMYFUNCTION("""COMPUTED_VALUE"""),18.0)</f>
        <v>18</v>
      </c>
    </row>
    <row r="3627">
      <c r="A3627" s="178" t="str">
        <f>IFERROR(__xludf.DUMMYFUNCTION("""COMPUTED_VALUE"""),"ITBISA-IC-74HC245N-DIP20")</f>
        <v>ITBISA-IC-74HC245N-DIP20</v>
      </c>
      <c r="B3627" s="266">
        <f>IFERROR(__xludf.DUMMYFUNCTION("""COMPUTED_VALUE"""),44953.0)</f>
        <v>44953</v>
      </c>
      <c r="C3627" s="266" t="str">
        <f>IFERROR(__xludf.DUMMYFUNCTION("""COMPUTED_VALUE"""),"KYAI KONTONG")</f>
        <v>KYAI KONTONG</v>
      </c>
      <c r="D3627" s="186">
        <f>IFERROR(__xludf.DUMMYFUNCTION("""COMPUTED_VALUE"""),108.0)</f>
        <v>108</v>
      </c>
    </row>
    <row r="3628">
      <c r="A3628" s="178" t="str">
        <f>IFERROR(__xludf.DUMMYFUNCTION("""COMPUTED_VALUE"""),"ITBISA-IC-74HC245N-DIP20")</f>
        <v>ITBISA-IC-74HC245N-DIP20</v>
      </c>
      <c r="B3628" s="266">
        <f>IFERROR(__xludf.DUMMYFUNCTION("""COMPUTED_VALUE"""),44954.0)</f>
        <v>44954</v>
      </c>
      <c r="C3628" s="266" t="str">
        <f>IFERROR(__xludf.DUMMYFUNCTION("""COMPUTED_VALUE"""),"KYAI KONTONG")</f>
        <v>KYAI KONTONG</v>
      </c>
      <c r="D3628" s="186">
        <f>IFERROR(__xludf.DUMMYFUNCTION("""COMPUTED_VALUE"""),54.0)</f>
        <v>54</v>
      </c>
    </row>
    <row r="3629">
      <c r="A3629" s="178" t="str">
        <f>IFERROR(__xludf.DUMMYFUNCTION("""COMPUTED_VALUE"""),"ITBISA-IC-74HC245N-DIP20")</f>
        <v>ITBISA-IC-74HC245N-DIP20</v>
      </c>
      <c r="B3629" s="266">
        <f>IFERROR(__xludf.DUMMYFUNCTION("""COMPUTED_VALUE"""),44955.0)</f>
        <v>44955</v>
      </c>
      <c r="C3629" s="266" t="str">
        <f>IFERROR(__xludf.DUMMYFUNCTION("""COMPUTED_VALUE"""),"KYAI KONTONG")</f>
        <v>KYAI KONTONG</v>
      </c>
      <c r="D3629" s="186">
        <f>IFERROR(__xludf.DUMMYFUNCTION("""COMPUTED_VALUE"""),10.0)</f>
        <v>10</v>
      </c>
    </row>
    <row r="3630">
      <c r="A3630" s="178" t="str">
        <f>IFERROR(__xludf.DUMMYFUNCTION("""COMPUTED_VALUE"""),"ITBISA-IC-74HC245N-DIP20")</f>
        <v>ITBISA-IC-74HC245N-DIP20</v>
      </c>
      <c r="B3630" s="266">
        <f>IFERROR(__xludf.DUMMYFUNCTION("""COMPUTED_VALUE"""),44956.0)</f>
        <v>44956</v>
      </c>
      <c r="C3630" s="266" t="str">
        <f>IFERROR(__xludf.DUMMYFUNCTION("""COMPUTED_VALUE"""),"KYAI KONTONG")</f>
        <v>KYAI KONTONG</v>
      </c>
      <c r="D3630" s="186">
        <f>IFERROR(__xludf.DUMMYFUNCTION("""COMPUTED_VALUE"""),18.0)</f>
        <v>18</v>
      </c>
    </row>
    <row r="3631">
      <c r="A3631" s="178" t="str">
        <f>IFERROR(__xludf.DUMMYFUNCTION("""COMPUTED_VALUE"""),"ITBISA-IC-74HC245N-DIP20")</f>
        <v>ITBISA-IC-74HC245N-DIP20</v>
      </c>
      <c r="B3631" s="266">
        <f>IFERROR(__xludf.DUMMYFUNCTION("""COMPUTED_VALUE"""),44957.0)</f>
        <v>44957</v>
      </c>
      <c r="C3631" s="266" t="str">
        <f>IFERROR(__xludf.DUMMYFUNCTION("""COMPUTED_VALUE"""),"KYAI KONTONG")</f>
        <v>KYAI KONTONG</v>
      </c>
      <c r="D3631" s="186">
        <f>IFERROR(__xludf.DUMMYFUNCTION("""COMPUTED_VALUE"""),18.0)</f>
        <v>18</v>
      </c>
    </row>
    <row r="3632">
      <c r="A3632" s="178" t="str">
        <f>IFERROR(__xludf.DUMMYFUNCTION("""COMPUTED_VALUE"""),"ITBISA-IC-74HC245N-DIP20")</f>
        <v>ITBISA-IC-74HC245N-DIP20</v>
      </c>
      <c r="B3632" s="266">
        <f>IFERROR(__xludf.DUMMYFUNCTION("""COMPUTED_VALUE"""),44960.0)</f>
        <v>44960</v>
      </c>
      <c r="C3632" s="266" t="str">
        <f>IFERROR(__xludf.DUMMYFUNCTION("""COMPUTED_VALUE"""),"KYAI KONTONG")</f>
        <v>KYAI KONTONG</v>
      </c>
      <c r="D3632" s="186">
        <f>IFERROR(__xludf.DUMMYFUNCTION("""COMPUTED_VALUE"""),18.0)</f>
        <v>18</v>
      </c>
    </row>
    <row r="3633">
      <c r="A3633" s="178" t="str">
        <f>IFERROR(__xludf.DUMMYFUNCTION("""COMPUTED_VALUE"""),"ITBISA-IC-74HC245N-DIP20")</f>
        <v>ITBISA-IC-74HC245N-DIP20</v>
      </c>
      <c r="B3633" s="266">
        <f>IFERROR(__xludf.DUMMYFUNCTION("""COMPUTED_VALUE"""),44963.0)</f>
        <v>44963</v>
      </c>
      <c r="C3633" s="266" t="str">
        <f>IFERROR(__xludf.DUMMYFUNCTION("""COMPUTED_VALUE"""),"KYAI KONTONG")</f>
        <v>KYAI KONTONG</v>
      </c>
      <c r="D3633" s="186">
        <f>IFERROR(__xludf.DUMMYFUNCTION("""COMPUTED_VALUE"""),18.0)</f>
        <v>18</v>
      </c>
    </row>
    <row r="3634">
      <c r="A3634" s="178" t="str">
        <f>IFERROR(__xludf.DUMMYFUNCTION("""COMPUTED_VALUE"""),"ITBISA-IC-74HC245N-DIP20")</f>
        <v>ITBISA-IC-74HC245N-DIP20</v>
      </c>
      <c r="B3634" s="266">
        <f>IFERROR(__xludf.DUMMYFUNCTION("""COMPUTED_VALUE"""),44964.0)</f>
        <v>44964</v>
      </c>
      <c r="C3634" s="266" t="str">
        <f>IFERROR(__xludf.DUMMYFUNCTION("""COMPUTED_VALUE"""),"KYAI KONTONG")</f>
        <v>KYAI KONTONG</v>
      </c>
      <c r="D3634" s="186">
        <f>IFERROR(__xludf.DUMMYFUNCTION("""COMPUTED_VALUE"""),2.0)</f>
        <v>2</v>
      </c>
    </row>
    <row r="3635">
      <c r="A3635" s="178" t="str">
        <f>IFERROR(__xludf.DUMMYFUNCTION("""COMPUTED_VALUE"""),"ITBISA-IC-74HC245N-DIP20")</f>
        <v>ITBISA-IC-74HC245N-DIP20</v>
      </c>
      <c r="B3635" s="266">
        <f>IFERROR(__xludf.DUMMYFUNCTION("""COMPUTED_VALUE"""),44965.0)</f>
        <v>44965</v>
      </c>
      <c r="C3635" s="266" t="str">
        <f>IFERROR(__xludf.DUMMYFUNCTION("""COMPUTED_VALUE"""),"KYAI KONTONG")</f>
        <v>KYAI KONTONG</v>
      </c>
      <c r="D3635" s="186">
        <f>IFERROR(__xludf.DUMMYFUNCTION("""COMPUTED_VALUE"""),18.0)</f>
        <v>18</v>
      </c>
    </row>
    <row r="3636">
      <c r="A3636" s="178" t="str">
        <f>IFERROR(__xludf.DUMMYFUNCTION("""COMPUTED_VALUE"""),"ITBISA-IC-74HC245N-DIP20")</f>
        <v>ITBISA-IC-74HC245N-DIP20</v>
      </c>
      <c r="B3636" s="266">
        <f>IFERROR(__xludf.DUMMYFUNCTION("""COMPUTED_VALUE"""),44966.0)</f>
        <v>44966</v>
      </c>
      <c r="C3636" s="266" t="str">
        <f>IFERROR(__xludf.DUMMYFUNCTION("""COMPUTED_VALUE"""),"KYAI KONTONG")</f>
        <v>KYAI KONTONG</v>
      </c>
      <c r="D3636" s="186">
        <f>IFERROR(__xludf.DUMMYFUNCTION("""COMPUTED_VALUE"""),18.0)</f>
        <v>18</v>
      </c>
    </row>
    <row r="3637">
      <c r="A3637" s="178" t="str">
        <f>IFERROR(__xludf.DUMMYFUNCTION("""COMPUTED_VALUE"""),"ITBISA-IC-74HC245N-DIP20")</f>
        <v>ITBISA-IC-74HC245N-DIP20</v>
      </c>
      <c r="B3637" s="266">
        <f>IFERROR(__xludf.DUMMYFUNCTION("""COMPUTED_VALUE"""),44966.0)</f>
        <v>44966</v>
      </c>
      <c r="C3637" s="266" t="str">
        <f>IFERROR(__xludf.DUMMYFUNCTION("""COMPUTED_VALUE"""),"KYAI KONTONG")</f>
        <v>KYAI KONTONG</v>
      </c>
      <c r="D3637" s="186">
        <f>IFERROR(__xludf.DUMMYFUNCTION("""COMPUTED_VALUE"""),30.0)</f>
        <v>30</v>
      </c>
    </row>
    <row r="3638">
      <c r="A3638" s="178" t="str">
        <f>IFERROR(__xludf.DUMMYFUNCTION("""COMPUTED_VALUE"""),"ITBISA-IC-74HC245N-DIP20")</f>
        <v>ITBISA-IC-74HC245N-DIP20</v>
      </c>
      <c r="B3638" s="266">
        <f>IFERROR(__xludf.DUMMYFUNCTION("""COMPUTED_VALUE"""),44968.0)</f>
        <v>44968</v>
      </c>
      <c r="C3638" s="266" t="str">
        <f>IFERROR(__xludf.DUMMYFUNCTION("""COMPUTED_VALUE"""),"KYAI KONTONG")</f>
        <v>KYAI KONTONG</v>
      </c>
      <c r="D3638" s="186">
        <f>IFERROR(__xludf.DUMMYFUNCTION("""COMPUTED_VALUE"""),40.0)</f>
        <v>40</v>
      </c>
    </row>
    <row r="3639">
      <c r="A3639" s="178" t="str">
        <f>IFERROR(__xludf.DUMMYFUNCTION("""COMPUTED_VALUE"""),"ITBISA-IC-74HC245N-DIP20")</f>
        <v>ITBISA-IC-74HC245N-DIP20</v>
      </c>
      <c r="B3639" s="266">
        <f>IFERROR(__xludf.DUMMYFUNCTION("""COMPUTED_VALUE"""),44971.0)</f>
        <v>44971</v>
      </c>
      <c r="C3639" s="266" t="str">
        <f>IFERROR(__xludf.DUMMYFUNCTION("""COMPUTED_VALUE"""),"KYAI KONTONG")</f>
        <v>KYAI KONTONG</v>
      </c>
      <c r="D3639" s="186">
        <f>IFERROR(__xludf.DUMMYFUNCTION("""COMPUTED_VALUE"""),18.0)</f>
        <v>18</v>
      </c>
    </row>
    <row r="3640">
      <c r="A3640" s="178" t="str">
        <f>IFERROR(__xludf.DUMMYFUNCTION("""COMPUTED_VALUE"""),"ITBISA-IC-74HC245N-DIP20")</f>
        <v>ITBISA-IC-74HC245N-DIP20</v>
      </c>
      <c r="B3640" s="266">
        <f>IFERROR(__xludf.DUMMYFUNCTION("""COMPUTED_VALUE"""),44975.0)</f>
        <v>44975</v>
      </c>
      <c r="C3640" s="266" t="str">
        <f>IFERROR(__xludf.DUMMYFUNCTION("""COMPUTED_VALUE"""),"KYAI KONTONG")</f>
        <v>KYAI KONTONG</v>
      </c>
      <c r="D3640" s="186">
        <f>IFERROR(__xludf.DUMMYFUNCTION("""COMPUTED_VALUE"""),10.0)</f>
        <v>10</v>
      </c>
    </row>
    <row r="3641">
      <c r="A3641" s="178" t="str">
        <f>IFERROR(__xludf.DUMMYFUNCTION("""COMPUTED_VALUE"""),"ITBISA-IC-74HC245N-DIP20")</f>
        <v>ITBISA-IC-74HC245N-DIP20</v>
      </c>
      <c r="B3641" s="266">
        <f>IFERROR(__xludf.DUMMYFUNCTION("""COMPUTED_VALUE"""),44975.0)</f>
        <v>44975</v>
      </c>
      <c r="C3641" s="266" t="str">
        <f>IFERROR(__xludf.DUMMYFUNCTION("""COMPUTED_VALUE"""),"KYAI KONTONG")</f>
        <v>KYAI KONTONG</v>
      </c>
      <c r="D3641" s="186">
        <f>IFERROR(__xludf.DUMMYFUNCTION("""COMPUTED_VALUE"""),50.0)</f>
        <v>50</v>
      </c>
    </row>
    <row r="3642">
      <c r="A3642" s="178" t="str">
        <f>IFERROR(__xludf.DUMMYFUNCTION("""COMPUTED_VALUE"""),"ITBISA-IC-74HC245N-DIP20")</f>
        <v>ITBISA-IC-74HC245N-DIP20</v>
      </c>
      <c r="B3642" s="266">
        <f>IFERROR(__xludf.DUMMYFUNCTION("""COMPUTED_VALUE"""),44975.0)</f>
        <v>44975</v>
      </c>
      <c r="C3642" s="266" t="str">
        <f>IFERROR(__xludf.DUMMYFUNCTION("""COMPUTED_VALUE"""),"KYAI KONTONG")</f>
        <v>KYAI KONTONG</v>
      </c>
      <c r="D3642" s="186">
        <f>IFERROR(__xludf.DUMMYFUNCTION("""COMPUTED_VALUE"""),720.0)</f>
        <v>720</v>
      </c>
    </row>
    <row r="3643">
      <c r="A3643" s="178" t="str">
        <f>IFERROR(__xludf.DUMMYFUNCTION("""COMPUTED_VALUE"""),"ITBISA-IC-74HC245N-DIP20")</f>
        <v>ITBISA-IC-74HC245N-DIP20</v>
      </c>
      <c r="B3643" s="266">
        <f>IFERROR(__xludf.DUMMYFUNCTION("""COMPUTED_VALUE"""),44976.0)</f>
        <v>44976</v>
      </c>
      <c r="C3643" s="266" t="str">
        <f>IFERROR(__xludf.DUMMYFUNCTION("""COMPUTED_VALUE"""),"KYAI KONTONG")</f>
        <v>KYAI KONTONG</v>
      </c>
      <c r="D3643" s="186">
        <f>IFERROR(__xludf.DUMMYFUNCTION("""COMPUTED_VALUE"""),2.0)</f>
        <v>2</v>
      </c>
    </row>
    <row r="3644">
      <c r="A3644" s="178" t="str">
        <f>IFERROR(__xludf.DUMMYFUNCTION("""COMPUTED_VALUE"""),"ITBISA-IC-74HC245N-DIP20")</f>
        <v>ITBISA-IC-74HC245N-DIP20</v>
      </c>
      <c r="B3644" s="266">
        <f>IFERROR(__xludf.DUMMYFUNCTION("""COMPUTED_VALUE"""),44977.0)</f>
        <v>44977</v>
      </c>
      <c r="C3644" s="266" t="str">
        <f>IFERROR(__xludf.DUMMYFUNCTION("""COMPUTED_VALUE"""),"KYAI KONTONG")</f>
        <v>KYAI KONTONG</v>
      </c>
      <c r="D3644" s="186">
        <f>IFERROR(__xludf.DUMMYFUNCTION("""COMPUTED_VALUE"""),5.0)</f>
        <v>5</v>
      </c>
    </row>
    <row r="3645">
      <c r="A3645" s="178" t="str">
        <f>IFERROR(__xludf.DUMMYFUNCTION("""COMPUTED_VALUE"""),"ITBISA-IC-74HC245N-DIP20")</f>
        <v>ITBISA-IC-74HC245N-DIP20</v>
      </c>
      <c r="B3645" s="266">
        <f>IFERROR(__xludf.DUMMYFUNCTION("""COMPUTED_VALUE"""),44977.0)</f>
        <v>44977</v>
      </c>
      <c r="C3645" s="266" t="str">
        <f>IFERROR(__xludf.DUMMYFUNCTION("""COMPUTED_VALUE"""),"KYAI KONTONG")</f>
        <v>KYAI KONTONG</v>
      </c>
      <c r="D3645" s="186">
        <f>IFERROR(__xludf.DUMMYFUNCTION("""COMPUTED_VALUE"""),18.0)</f>
        <v>18</v>
      </c>
    </row>
    <row r="3646">
      <c r="A3646" s="178" t="str">
        <f>IFERROR(__xludf.DUMMYFUNCTION("""COMPUTED_VALUE"""),"ITBISA-IC-74HC245N-DIP20")</f>
        <v>ITBISA-IC-74HC245N-DIP20</v>
      </c>
      <c r="B3646" s="266">
        <f>IFERROR(__xludf.DUMMYFUNCTION("""COMPUTED_VALUE"""),44979.0)</f>
        <v>44979</v>
      </c>
      <c r="C3646" s="266" t="str">
        <f>IFERROR(__xludf.DUMMYFUNCTION("""COMPUTED_VALUE"""),"KYAI KONTONG")</f>
        <v>KYAI KONTONG</v>
      </c>
      <c r="D3646" s="186">
        <f>IFERROR(__xludf.DUMMYFUNCTION("""COMPUTED_VALUE"""),18.0)</f>
        <v>18</v>
      </c>
    </row>
    <row r="3647">
      <c r="A3647" s="178" t="str">
        <f>IFERROR(__xludf.DUMMYFUNCTION("""COMPUTED_VALUE"""),"ITBISA-IC-74HC245N-DIP20")</f>
        <v>ITBISA-IC-74HC245N-DIP20</v>
      </c>
      <c r="B3647" s="266">
        <f>IFERROR(__xludf.DUMMYFUNCTION("""COMPUTED_VALUE"""),44981.0)</f>
        <v>44981</v>
      </c>
      <c r="C3647" s="266" t="str">
        <f>IFERROR(__xludf.DUMMYFUNCTION("""COMPUTED_VALUE"""),"KYAI KONTONG")</f>
        <v>KYAI KONTONG</v>
      </c>
      <c r="D3647" s="186">
        <f>IFERROR(__xludf.DUMMYFUNCTION("""COMPUTED_VALUE"""),18.0)</f>
        <v>18</v>
      </c>
    </row>
    <row r="3648">
      <c r="A3648" s="178" t="str">
        <f>IFERROR(__xludf.DUMMYFUNCTION("""COMPUTED_VALUE"""),"ITBISA-IC-74HC245N-DIP20")</f>
        <v>ITBISA-IC-74HC245N-DIP20</v>
      </c>
      <c r="B3648" s="266">
        <f>IFERROR(__xludf.DUMMYFUNCTION("""COMPUTED_VALUE"""),44983.0)</f>
        <v>44983</v>
      </c>
      <c r="C3648" s="266" t="str">
        <f>IFERROR(__xludf.DUMMYFUNCTION("""COMPUTED_VALUE"""),"KYAI KONTONG")</f>
        <v>KYAI KONTONG</v>
      </c>
      <c r="D3648" s="186">
        <f>IFERROR(__xludf.DUMMYFUNCTION("""COMPUTED_VALUE"""),10.0)</f>
        <v>10</v>
      </c>
    </row>
    <row r="3649">
      <c r="A3649" s="178" t="str">
        <f>IFERROR(__xludf.DUMMYFUNCTION("""COMPUTED_VALUE"""),"ITBISA-IC-74HC245N-DIP20")</f>
        <v>ITBISA-IC-74HC245N-DIP20</v>
      </c>
      <c r="B3649" s="266">
        <f>IFERROR(__xludf.DUMMYFUNCTION("""COMPUTED_VALUE"""),44986.0)</f>
        <v>44986</v>
      </c>
      <c r="C3649" s="266" t="str">
        <f>IFERROR(__xludf.DUMMYFUNCTION("""COMPUTED_VALUE"""),"KYAI KONTONG")</f>
        <v>KYAI KONTONG</v>
      </c>
      <c r="D3649" s="186">
        <f>IFERROR(__xludf.DUMMYFUNCTION("""COMPUTED_VALUE"""),18.0)</f>
        <v>18</v>
      </c>
    </row>
    <row r="3650">
      <c r="A3650" s="178" t="str">
        <f>IFERROR(__xludf.DUMMYFUNCTION("""COMPUTED_VALUE"""),"ITBISA-IC-74HC245N-DIP20")</f>
        <v>ITBISA-IC-74HC245N-DIP20</v>
      </c>
      <c r="B3650" s="266">
        <f>IFERROR(__xludf.DUMMYFUNCTION("""COMPUTED_VALUE"""),44987.0)</f>
        <v>44987</v>
      </c>
      <c r="C3650" s="266" t="str">
        <f>IFERROR(__xludf.DUMMYFUNCTION("""COMPUTED_VALUE"""),"KYAI KONTONG")</f>
        <v>KYAI KONTONG</v>
      </c>
      <c r="D3650" s="186">
        <f>IFERROR(__xludf.DUMMYFUNCTION("""COMPUTED_VALUE"""),18.0)</f>
        <v>18</v>
      </c>
    </row>
    <row r="3651">
      <c r="A3651" s="178" t="str">
        <f>IFERROR(__xludf.DUMMYFUNCTION("""COMPUTED_VALUE"""),"ITBISA-IC-74HC245N-DIP20")</f>
        <v>ITBISA-IC-74HC245N-DIP20</v>
      </c>
      <c r="B3651" s="266">
        <f>IFERROR(__xludf.DUMMYFUNCTION("""COMPUTED_VALUE"""),44990.0)</f>
        <v>44990</v>
      </c>
      <c r="C3651" s="266" t="str">
        <f>IFERROR(__xludf.DUMMYFUNCTION("""COMPUTED_VALUE"""),"KYAI KONTONG")</f>
        <v>KYAI KONTONG</v>
      </c>
      <c r="D3651" s="186">
        <f>IFERROR(__xludf.DUMMYFUNCTION("""COMPUTED_VALUE"""),54.0)</f>
        <v>54</v>
      </c>
    </row>
    <row r="3652">
      <c r="A3652" s="178" t="str">
        <f>IFERROR(__xludf.DUMMYFUNCTION("""COMPUTED_VALUE"""),"ITBISA-IC-74HC245N-DIP20")</f>
        <v>ITBISA-IC-74HC245N-DIP20</v>
      </c>
      <c r="B3652" s="266">
        <f>IFERROR(__xludf.DUMMYFUNCTION("""COMPUTED_VALUE"""),44991.0)</f>
        <v>44991</v>
      </c>
      <c r="C3652" s="266" t="str">
        <f>IFERROR(__xludf.DUMMYFUNCTION("""COMPUTED_VALUE"""),"KYAI KONTONG")</f>
        <v>KYAI KONTONG</v>
      </c>
      <c r="D3652" s="186">
        <f>IFERROR(__xludf.DUMMYFUNCTION("""COMPUTED_VALUE"""),30.0)</f>
        <v>30</v>
      </c>
    </row>
    <row r="3653">
      <c r="A3653" s="178" t="str">
        <f>IFERROR(__xludf.DUMMYFUNCTION("""COMPUTED_VALUE"""),"ITBISA-IC-74HC245N-DIP20")</f>
        <v>ITBISA-IC-74HC245N-DIP20</v>
      </c>
      <c r="B3653" s="266">
        <f>IFERROR(__xludf.DUMMYFUNCTION("""COMPUTED_VALUE"""),44993.0)</f>
        <v>44993</v>
      </c>
      <c r="C3653" s="266" t="str">
        <f>IFERROR(__xludf.DUMMYFUNCTION("""COMPUTED_VALUE"""),"KYAI KONTONG")</f>
        <v>KYAI KONTONG</v>
      </c>
      <c r="D3653" s="186">
        <f>IFERROR(__xludf.DUMMYFUNCTION("""COMPUTED_VALUE"""),18.0)</f>
        <v>18</v>
      </c>
    </row>
    <row r="3654">
      <c r="A3654" s="178" t="str">
        <f>IFERROR(__xludf.DUMMYFUNCTION("""COMPUTED_VALUE"""),"ITBISA-IC-74HC245N-DIP20")</f>
        <v>ITBISA-IC-74HC245N-DIP20</v>
      </c>
      <c r="B3654" s="266">
        <f>IFERROR(__xludf.DUMMYFUNCTION("""COMPUTED_VALUE"""),44996.0)</f>
        <v>44996</v>
      </c>
      <c r="C3654" s="266" t="str">
        <f>IFERROR(__xludf.DUMMYFUNCTION("""COMPUTED_VALUE"""),"KYAI KONTONG")</f>
        <v>KYAI KONTONG</v>
      </c>
      <c r="D3654" s="186">
        <f>IFERROR(__xludf.DUMMYFUNCTION("""COMPUTED_VALUE"""),6.0)</f>
        <v>6</v>
      </c>
    </row>
    <row r="3655">
      <c r="A3655" s="178" t="str">
        <f>IFERROR(__xludf.DUMMYFUNCTION("""COMPUTED_VALUE"""),"ITBISA-IC-74HC245N-DIP20")</f>
        <v>ITBISA-IC-74HC245N-DIP20</v>
      </c>
      <c r="B3655" s="266">
        <f>IFERROR(__xludf.DUMMYFUNCTION("""COMPUTED_VALUE"""),44998.0)</f>
        <v>44998</v>
      </c>
      <c r="C3655" s="266" t="str">
        <f>IFERROR(__xludf.DUMMYFUNCTION("""COMPUTED_VALUE"""),"KYAI KONTONG")</f>
        <v>KYAI KONTONG</v>
      </c>
      <c r="D3655" s="186">
        <f>IFERROR(__xludf.DUMMYFUNCTION("""COMPUTED_VALUE"""),36.0)</f>
        <v>36</v>
      </c>
    </row>
    <row r="3656">
      <c r="A3656" s="178" t="str">
        <f>IFERROR(__xludf.DUMMYFUNCTION("""COMPUTED_VALUE"""),"ITBISA-IC-74HC245N-DIP20")</f>
        <v>ITBISA-IC-74HC245N-DIP20</v>
      </c>
      <c r="B3656" s="266">
        <f>IFERROR(__xludf.DUMMYFUNCTION("""COMPUTED_VALUE"""),44999.0)</f>
        <v>44999</v>
      </c>
      <c r="C3656" s="266" t="str">
        <f>IFERROR(__xludf.DUMMYFUNCTION("""COMPUTED_VALUE"""),"KYAI KONTONG")</f>
        <v>KYAI KONTONG</v>
      </c>
      <c r="D3656" s="186">
        <f>IFERROR(__xludf.DUMMYFUNCTION("""COMPUTED_VALUE"""),18.0)</f>
        <v>18</v>
      </c>
    </row>
    <row r="3657">
      <c r="A3657" s="178" t="str">
        <f>IFERROR(__xludf.DUMMYFUNCTION("""COMPUTED_VALUE"""),"ITBISA-IC-74HC245N-DIP20")</f>
        <v>ITBISA-IC-74HC245N-DIP20</v>
      </c>
      <c r="B3657" s="266">
        <f>IFERROR(__xludf.DUMMYFUNCTION("""COMPUTED_VALUE"""),45000.0)</f>
        <v>45000</v>
      </c>
      <c r="C3657" s="266" t="str">
        <f>IFERROR(__xludf.DUMMYFUNCTION("""COMPUTED_VALUE"""),"KYAI KONTONG")</f>
        <v>KYAI KONTONG</v>
      </c>
      <c r="D3657" s="186">
        <f>IFERROR(__xludf.DUMMYFUNCTION("""COMPUTED_VALUE"""),30.0)</f>
        <v>30</v>
      </c>
    </row>
    <row r="3658">
      <c r="A3658" s="178" t="str">
        <f>IFERROR(__xludf.DUMMYFUNCTION("""COMPUTED_VALUE"""),"ITBISA-IC-74HC245N-DIP20")</f>
        <v>ITBISA-IC-74HC245N-DIP20</v>
      </c>
      <c r="B3658" s="266">
        <f>IFERROR(__xludf.DUMMYFUNCTION("""COMPUTED_VALUE"""),45002.0)</f>
        <v>45002</v>
      </c>
      <c r="C3658" s="266" t="str">
        <f>IFERROR(__xludf.DUMMYFUNCTION("""COMPUTED_VALUE"""),"KYAI KONTONG")</f>
        <v>KYAI KONTONG</v>
      </c>
      <c r="D3658" s="186">
        <f>IFERROR(__xludf.DUMMYFUNCTION("""COMPUTED_VALUE"""),18.0)</f>
        <v>18</v>
      </c>
    </row>
    <row r="3659">
      <c r="A3659" s="178" t="str">
        <f>IFERROR(__xludf.DUMMYFUNCTION("""COMPUTED_VALUE"""),"ITBISA-IC-74HC245N-DIP20")</f>
        <v>ITBISA-IC-74HC245N-DIP20</v>
      </c>
      <c r="B3659" s="266">
        <f>IFERROR(__xludf.DUMMYFUNCTION("""COMPUTED_VALUE"""),45005.0)</f>
        <v>45005</v>
      </c>
      <c r="C3659" s="266" t="str">
        <f>IFERROR(__xludf.DUMMYFUNCTION("""COMPUTED_VALUE"""),"KYAI KONTONG")</f>
        <v>KYAI KONTONG</v>
      </c>
      <c r="D3659" s="186">
        <f>IFERROR(__xludf.DUMMYFUNCTION("""COMPUTED_VALUE"""),18.0)</f>
        <v>18</v>
      </c>
    </row>
    <row r="3660">
      <c r="A3660" s="178" t="str">
        <f>IFERROR(__xludf.DUMMYFUNCTION("""COMPUTED_VALUE"""),"ITBISA-IC-74HC245N-DIP20")</f>
        <v>ITBISA-IC-74HC245N-DIP20</v>
      </c>
      <c r="B3660" s="266">
        <f>IFERROR(__xludf.DUMMYFUNCTION("""COMPUTED_VALUE"""),45006.0)</f>
        <v>45006</v>
      </c>
      <c r="C3660" s="266" t="str">
        <f>IFERROR(__xludf.DUMMYFUNCTION("""COMPUTED_VALUE"""),"KYAI KONTONG")</f>
        <v>KYAI KONTONG</v>
      </c>
      <c r="D3660" s="186">
        <f>IFERROR(__xludf.DUMMYFUNCTION("""COMPUTED_VALUE"""),2.0)</f>
        <v>2</v>
      </c>
    </row>
    <row r="3661">
      <c r="A3661" s="178" t="str">
        <f>IFERROR(__xludf.DUMMYFUNCTION("""COMPUTED_VALUE"""),"ITBISA-IC-74HC245N-DIP20")</f>
        <v>ITBISA-IC-74HC245N-DIP20</v>
      </c>
      <c r="B3661" s="266">
        <f>IFERROR(__xludf.DUMMYFUNCTION("""COMPUTED_VALUE"""),45008.0)</f>
        <v>45008</v>
      </c>
      <c r="C3661" s="266" t="str">
        <f>IFERROR(__xludf.DUMMYFUNCTION("""COMPUTED_VALUE"""),"KYAI KONTONG")</f>
        <v>KYAI KONTONG</v>
      </c>
      <c r="D3661" s="186">
        <f>IFERROR(__xludf.DUMMYFUNCTION("""COMPUTED_VALUE"""),4.0)</f>
        <v>4</v>
      </c>
    </row>
    <row r="3662">
      <c r="A3662" s="178" t="str">
        <f>IFERROR(__xludf.DUMMYFUNCTION("""COMPUTED_VALUE"""),"ITBISA-IC-74HC245N-DIP20")</f>
        <v>ITBISA-IC-74HC245N-DIP20</v>
      </c>
      <c r="B3662" s="266">
        <f>IFERROR(__xludf.DUMMYFUNCTION("""COMPUTED_VALUE"""),45008.0)</f>
        <v>45008</v>
      </c>
      <c r="C3662" s="266" t="str">
        <f>IFERROR(__xludf.DUMMYFUNCTION("""COMPUTED_VALUE"""),"KYAI KONTONG")</f>
        <v>KYAI KONTONG</v>
      </c>
      <c r="D3662" s="186">
        <f>IFERROR(__xludf.DUMMYFUNCTION("""COMPUTED_VALUE"""),18.0)</f>
        <v>18</v>
      </c>
    </row>
    <row r="3663">
      <c r="A3663" s="178" t="str">
        <f>IFERROR(__xludf.DUMMYFUNCTION("""COMPUTED_VALUE"""),"ITBISA-IC-74HC245N-DIP20")</f>
        <v>ITBISA-IC-74HC245N-DIP20</v>
      </c>
      <c r="B3663" s="266">
        <f>IFERROR(__xludf.DUMMYFUNCTION("""COMPUTED_VALUE"""),45012.0)</f>
        <v>45012</v>
      </c>
      <c r="C3663" s="266" t="str">
        <f>IFERROR(__xludf.DUMMYFUNCTION("""COMPUTED_VALUE"""),"KYAI KONTONG")</f>
        <v>KYAI KONTONG</v>
      </c>
      <c r="D3663" s="186">
        <f>IFERROR(__xludf.DUMMYFUNCTION("""COMPUTED_VALUE"""),18.0)</f>
        <v>18</v>
      </c>
    </row>
    <row r="3664">
      <c r="A3664" s="178" t="str">
        <f>IFERROR(__xludf.DUMMYFUNCTION("""COMPUTED_VALUE"""),"ITBISA-IC-74HC245N-DIP20")</f>
        <v>ITBISA-IC-74HC245N-DIP20</v>
      </c>
      <c r="B3664" s="266">
        <f>IFERROR(__xludf.DUMMYFUNCTION("""COMPUTED_VALUE"""),45012.0)</f>
        <v>45012</v>
      </c>
      <c r="C3664" s="266" t="str">
        <f>IFERROR(__xludf.DUMMYFUNCTION("""COMPUTED_VALUE"""),"KYAI KONTONG")</f>
        <v>KYAI KONTONG</v>
      </c>
      <c r="D3664" s="186">
        <f>IFERROR(__xludf.DUMMYFUNCTION("""COMPUTED_VALUE"""),18.0)</f>
        <v>18</v>
      </c>
    </row>
    <row r="3665">
      <c r="A3665" s="178" t="str">
        <f>IFERROR(__xludf.DUMMYFUNCTION("""COMPUTED_VALUE"""),"ITBISA-IC-74HC245N-DIP20")</f>
        <v>ITBISA-IC-74HC245N-DIP20</v>
      </c>
      <c r="B3665" s="266">
        <f>IFERROR(__xludf.DUMMYFUNCTION("""COMPUTED_VALUE"""),45014.0)</f>
        <v>45014</v>
      </c>
      <c r="C3665" s="266" t="str">
        <f>IFERROR(__xludf.DUMMYFUNCTION("""COMPUTED_VALUE"""),"KYAI KONTONG")</f>
        <v>KYAI KONTONG</v>
      </c>
      <c r="D3665" s="186">
        <f>IFERROR(__xludf.DUMMYFUNCTION("""COMPUTED_VALUE"""),26.0)</f>
        <v>26</v>
      </c>
    </row>
    <row r="3666">
      <c r="A3666" s="178" t="str">
        <f>IFERROR(__xludf.DUMMYFUNCTION("""COMPUTED_VALUE"""),"ITBISA-IC-74HC245N-DIP20")</f>
        <v>ITBISA-IC-74HC245N-DIP20</v>
      </c>
      <c r="B3666" s="266">
        <f>IFERROR(__xludf.DUMMYFUNCTION("""COMPUTED_VALUE"""),45015.0)</f>
        <v>45015</v>
      </c>
      <c r="C3666" s="266" t="str">
        <f>IFERROR(__xludf.DUMMYFUNCTION("""COMPUTED_VALUE"""),"KYAI KONTONG")</f>
        <v>KYAI KONTONG</v>
      </c>
      <c r="D3666" s="186">
        <f>IFERROR(__xludf.DUMMYFUNCTION("""COMPUTED_VALUE"""),18.0)</f>
        <v>18</v>
      </c>
    </row>
    <row r="3667">
      <c r="A3667" s="178" t="str">
        <f>IFERROR(__xludf.DUMMYFUNCTION("""COMPUTED_VALUE"""),"ITBISA-IC-74HC245N-DIP20")</f>
        <v>ITBISA-IC-74HC245N-DIP20</v>
      </c>
      <c r="B3667" s="266">
        <f>IFERROR(__xludf.DUMMYFUNCTION("""COMPUTED_VALUE"""),45016.0)</f>
        <v>45016</v>
      </c>
      <c r="C3667" s="266" t="str">
        <f>IFERROR(__xludf.DUMMYFUNCTION("""COMPUTED_VALUE"""),"KYAI KONTONG")</f>
        <v>KYAI KONTONG</v>
      </c>
      <c r="D3667" s="186">
        <f>IFERROR(__xludf.DUMMYFUNCTION("""COMPUTED_VALUE"""),2.0)</f>
        <v>2</v>
      </c>
    </row>
    <row r="3668">
      <c r="A3668" s="178" t="str">
        <f>IFERROR(__xludf.DUMMYFUNCTION("""COMPUTED_VALUE"""),"ITBISA-IC-74HC245N-DIP20")</f>
        <v>ITBISA-IC-74HC245N-DIP20</v>
      </c>
      <c r="B3668" s="266">
        <f>IFERROR(__xludf.DUMMYFUNCTION("""COMPUTED_VALUE"""),45016.0)</f>
        <v>45016</v>
      </c>
      <c r="C3668" s="266" t="str">
        <f>IFERROR(__xludf.DUMMYFUNCTION("""COMPUTED_VALUE"""),"KYAI KONTONG")</f>
        <v>KYAI KONTONG</v>
      </c>
      <c r="D3668" s="186">
        <f>IFERROR(__xludf.DUMMYFUNCTION("""COMPUTED_VALUE"""),18.0)</f>
        <v>18</v>
      </c>
    </row>
    <row r="3669">
      <c r="A3669" s="178" t="str">
        <f>IFERROR(__xludf.DUMMYFUNCTION("""COMPUTED_VALUE"""),"ITBISA-IC-74HC245N-DIP20")</f>
        <v>ITBISA-IC-74HC245N-DIP20</v>
      </c>
      <c r="B3669" s="266">
        <f>IFERROR(__xludf.DUMMYFUNCTION("""COMPUTED_VALUE"""),45019.0)</f>
        <v>45019</v>
      </c>
      <c r="C3669" s="266" t="str">
        <f>IFERROR(__xludf.DUMMYFUNCTION("""COMPUTED_VALUE"""),"KYAI KONTONG")</f>
        <v>KYAI KONTONG</v>
      </c>
      <c r="D3669" s="186">
        <f>IFERROR(__xludf.DUMMYFUNCTION("""COMPUTED_VALUE"""),50.0)</f>
        <v>50</v>
      </c>
    </row>
    <row r="3670">
      <c r="A3670" s="178" t="str">
        <f>IFERROR(__xludf.DUMMYFUNCTION("""COMPUTED_VALUE"""),"ITBISA-IC-74HC245N-DIP20")</f>
        <v>ITBISA-IC-74HC245N-DIP20</v>
      </c>
      <c r="B3670" s="266">
        <f>IFERROR(__xludf.DUMMYFUNCTION("""COMPUTED_VALUE"""),45022.0)</f>
        <v>45022</v>
      </c>
      <c r="C3670" s="266" t="str">
        <f>IFERROR(__xludf.DUMMYFUNCTION("""COMPUTED_VALUE"""),"KYAI KONTONG")</f>
        <v>KYAI KONTONG</v>
      </c>
      <c r="D3670" s="186">
        <f>IFERROR(__xludf.DUMMYFUNCTION("""COMPUTED_VALUE"""),18.0)</f>
        <v>18</v>
      </c>
    </row>
    <row r="3671">
      <c r="A3671" s="178" t="str">
        <f>IFERROR(__xludf.DUMMYFUNCTION("""COMPUTED_VALUE"""),"ITBISA-IC-74HC245N-DIP20")</f>
        <v>ITBISA-IC-74HC245N-DIP20</v>
      </c>
      <c r="B3671" s="266">
        <f>IFERROR(__xludf.DUMMYFUNCTION("""COMPUTED_VALUE"""),45023.0)</f>
        <v>45023</v>
      </c>
      <c r="C3671" s="266" t="str">
        <f>IFERROR(__xludf.DUMMYFUNCTION("""COMPUTED_VALUE"""),"KYAI KONTONG")</f>
        <v>KYAI KONTONG</v>
      </c>
      <c r="D3671" s="186">
        <f>IFERROR(__xludf.DUMMYFUNCTION("""COMPUTED_VALUE"""),2.0)</f>
        <v>2</v>
      </c>
    </row>
    <row r="3672">
      <c r="A3672" s="178" t="str">
        <f>IFERROR(__xludf.DUMMYFUNCTION("""COMPUTED_VALUE"""),"ITBISA-IC-74HC245N-DIP20")</f>
        <v>ITBISA-IC-74HC245N-DIP20</v>
      </c>
      <c r="B3672" s="266">
        <f>IFERROR(__xludf.DUMMYFUNCTION("""COMPUTED_VALUE"""),45024.0)</f>
        <v>45024</v>
      </c>
      <c r="C3672" s="266" t="str">
        <f>IFERROR(__xludf.DUMMYFUNCTION("""COMPUTED_VALUE"""),"KYAI KONTONG")</f>
        <v>KYAI KONTONG</v>
      </c>
      <c r="D3672" s="186">
        <f>IFERROR(__xludf.DUMMYFUNCTION("""COMPUTED_VALUE"""),5.0)</f>
        <v>5</v>
      </c>
    </row>
    <row r="3673">
      <c r="A3673" s="178" t="str">
        <f>IFERROR(__xludf.DUMMYFUNCTION("""COMPUTED_VALUE"""),"ITBISA-IC-74HC245N-DIP20")</f>
        <v>ITBISA-IC-74HC245N-DIP20</v>
      </c>
      <c r="B3673" s="266">
        <f>IFERROR(__xludf.DUMMYFUNCTION("""COMPUTED_VALUE"""),45024.0)</f>
        <v>45024</v>
      </c>
      <c r="C3673" s="266" t="str">
        <f>IFERROR(__xludf.DUMMYFUNCTION("""COMPUTED_VALUE"""),"KYAI KONTONG")</f>
        <v>KYAI KONTONG</v>
      </c>
      <c r="D3673" s="186">
        <f>IFERROR(__xludf.DUMMYFUNCTION("""COMPUTED_VALUE"""),10.0)</f>
        <v>10</v>
      </c>
    </row>
    <row r="3674">
      <c r="A3674" s="178" t="str">
        <f>IFERROR(__xludf.DUMMYFUNCTION("""COMPUTED_VALUE"""),"ITBISA-IC-74HC245N-DIP20")</f>
        <v>ITBISA-IC-74HC245N-DIP20</v>
      </c>
      <c r="B3674" s="266">
        <f>IFERROR(__xludf.DUMMYFUNCTION("""COMPUTED_VALUE"""),45026.0)</f>
        <v>45026</v>
      </c>
      <c r="C3674" s="266" t="str">
        <f>IFERROR(__xludf.DUMMYFUNCTION("""COMPUTED_VALUE"""),"KYAI KONTONG")</f>
        <v>KYAI KONTONG</v>
      </c>
      <c r="D3674" s="186">
        <f>IFERROR(__xludf.DUMMYFUNCTION("""COMPUTED_VALUE"""),18.0)</f>
        <v>18</v>
      </c>
    </row>
    <row r="3675">
      <c r="A3675" s="178" t="str">
        <f>IFERROR(__xludf.DUMMYFUNCTION("""COMPUTED_VALUE"""),"ITBISA-IC-74HC245N-DIP20")</f>
        <v>ITBISA-IC-74HC245N-DIP20</v>
      </c>
      <c r="B3675" s="266">
        <f>IFERROR(__xludf.DUMMYFUNCTION("""COMPUTED_VALUE"""),45030.0)</f>
        <v>45030</v>
      </c>
      <c r="C3675" s="266" t="str">
        <f>IFERROR(__xludf.DUMMYFUNCTION("""COMPUTED_VALUE"""),"KYAI KONTONG")</f>
        <v>KYAI KONTONG</v>
      </c>
      <c r="D3675" s="186">
        <f>IFERROR(__xludf.DUMMYFUNCTION("""COMPUTED_VALUE"""),18.0)</f>
        <v>18</v>
      </c>
    </row>
    <row r="3676">
      <c r="A3676" s="178" t="str">
        <f>IFERROR(__xludf.DUMMYFUNCTION("""COMPUTED_VALUE"""),"ITBISA-IC-74HC245N-DIP20")</f>
        <v>ITBISA-IC-74HC245N-DIP20</v>
      </c>
      <c r="B3676" s="266">
        <f>IFERROR(__xludf.DUMMYFUNCTION("""COMPUTED_VALUE"""),45066.0)</f>
        <v>45066</v>
      </c>
      <c r="C3676" s="266" t="str">
        <f>IFERROR(__xludf.DUMMYFUNCTION("""COMPUTED_VALUE"""),"KYAI KONTONG")</f>
        <v>KYAI KONTONG</v>
      </c>
      <c r="D3676" s="186">
        <f>IFERROR(__xludf.DUMMYFUNCTION("""COMPUTED_VALUE"""),5.0)</f>
        <v>5</v>
      </c>
    </row>
    <row r="3677">
      <c r="A3677" s="178" t="str">
        <f>IFERROR(__xludf.DUMMYFUNCTION("""COMPUTED_VALUE"""),"ITBISA-IC-74HC245N-DIP20")</f>
        <v>ITBISA-IC-74HC245N-DIP20</v>
      </c>
      <c r="B3677" s="266">
        <f>IFERROR(__xludf.DUMMYFUNCTION("""COMPUTED_VALUE"""),45069.0)</f>
        <v>45069</v>
      </c>
      <c r="C3677" s="266" t="str">
        <f>IFERROR(__xludf.DUMMYFUNCTION("""COMPUTED_VALUE"""),"KYAI KONTONG")</f>
        <v>KYAI KONTONG</v>
      </c>
      <c r="D3677" s="186">
        <f>IFERROR(__xludf.DUMMYFUNCTION("""COMPUTED_VALUE"""),18.0)</f>
        <v>18</v>
      </c>
    </row>
    <row r="3678">
      <c r="A3678" s="178" t="str">
        <f>IFERROR(__xludf.DUMMYFUNCTION("""COMPUTED_VALUE"""),"ITBISA-IC-74HC245N-DIP20")</f>
        <v>ITBISA-IC-74HC245N-DIP20</v>
      </c>
      <c r="B3678" s="266">
        <f>IFERROR(__xludf.DUMMYFUNCTION("""COMPUTED_VALUE"""),45072.0)</f>
        <v>45072</v>
      </c>
      <c r="C3678" s="266" t="str">
        <f>IFERROR(__xludf.DUMMYFUNCTION("""COMPUTED_VALUE"""),"KYAI KONTONG")</f>
        <v>KYAI KONTONG</v>
      </c>
      <c r="D3678" s="186">
        <f>IFERROR(__xludf.DUMMYFUNCTION("""COMPUTED_VALUE"""),3.0)</f>
        <v>3</v>
      </c>
    </row>
    <row r="3679">
      <c r="A3679" s="178" t="str">
        <f>IFERROR(__xludf.DUMMYFUNCTION("""COMPUTED_VALUE"""),"ITBISA-IC-74HC245N-DIP20")</f>
        <v>ITBISA-IC-74HC245N-DIP20</v>
      </c>
      <c r="B3679" s="266">
        <f>IFERROR(__xludf.DUMMYFUNCTION("""COMPUTED_VALUE"""),45077.0)</f>
        <v>45077</v>
      </c>
      <c r="C3679" s="266" t="str">
        <f>IFERROR(__xludf.DUMMYFUNCTION("""COMPUTED_VALUE"""),"KYAI KONTONG")</f>
        <v>KYAI KONTONG</v>
      </c>
      <c r="D3679" s="186">
        <f>IFERROR(__xludf.DUMMYFUNCTION("""COMPUTED_VALUE"""),3.0)</f>
        <v>3</v>
      </c>
    </row>
    <row r="3680">
      <c r="A3680" s="178" t="str">
        <f>IFERROR(__xludf.DUMMYFUNCTION("""COMPUTED_VALUE"""),"ITBISA-IC-74HC245N-DIP20")</f>
        <v>ITBISA-IC-74HC245N-DIP20</v>
      </c>
      <c r="B3680" s="266">
        <f>IFERROR(__xludf.DUMMYFUNCTION("""COMPUTED_VALUE"""),45079.0)</f>
        <v>45079</v>
      </c>
      <c r="C3680" s="266" t="str">
        <f>IFERROR(__xludf.DUMMYFUNCTION("""COMPUTED_VALUE"""),"KYAI KONTONG")</f>
        <v>KYAI KONTONG</v>
      </c>
      <c r="D3680" s="186">
        <f>IFERROR(__xludf.DUMMYFUNCTION("""COMPUTED_VALUE"""),5.0)</f>
        <v>5</v>
      </c>
    </row>
    <row r="3681">
      <c r="A3681" s="178" t="str">
        <f>IFERROR(__xludf.DUMMYFUNCTION("""COMPUTED_VALUE"""),"ITBISA-IC-74HC245N-DIP20")</f>
        <v>ITBISA-IC-74HC245N-DIP20</v>
      </c>
      <c r="B3681" s="266">
        <f>IFERROR(__xludf.DUMMYFUNCTION("""COMPUTED_VALUE"""),45080.0)</f>
        <v>45080</v>
      </c>
      <c r="C3681" s="266" t="str">
        <f>IFERROR(__xludf.DUMMYFUNCTION("""COMPUTED_VALUE"""),"KYAI KONTONG")</f>
        <v>KYAI KONTONG</v>
      </c>
      <c r="D3681" s="186">
        <f>IFERROR(__xludf.DUMMYFUNCTION("""COMPUTED_VALUE"""),18.0)</f>
        <v>18</v>
      </c>
    </row>
    <row r="3682">
      <c r="A3682" s="178" t="str">
        <f>IFERROR(__xludf.DUMMYFUNCTION("""COMPUTED_VALUE"""),"ITBISA-IC-74HC245N-DIP20")</f>
        <v>ITBISA-IC-74HC245N-DIP20</v>
      </c>
      <c r="B3682" s="266">
        <f>IFERROR(__xludf.DUMMYFUNCTION("""COMPUTED_VALUE"""),45080.0)</f>
        <v>45080</v>
      </c>
      <c r="C3682" s="266" t="str">
        <f>IFERROR(__xludf.DUMMYFUNCTION("""COMPUTED_VALUE"""),"KYAI KONTONG")</f>
        <v>KYAI KONTONG</v>
      </c>
      <c r="D3682" s="186">
        <f>IFERROR(__xludf.DUMMYFUNCTION("""COMPUTED_VALUE"""),60.0)</f>
        <v>60</v>
      </c>
    </row>
    <row r="3683">
      <c r="A3683" s="178" t="str">
        <f>IFERROR(__xludf.DUMMYFUNCTION("""COMPUTED_VALUE"""),"ITBISA-IC-74HC245N-DIP20")</f>
        <v>ITBISA-IC-74HC245N-DIP20</v>
      </c>
      <c r="B3683" s="266">
        <f>IFERROR(__xludf.DUMMYFUNCTION("""COMPUTED_VALUE"""),45081.0)</f>
        <v>45081</v>
      </c>
      <c r="C3683" s="266" t="str">
        <f>IFERROR(__xludf.DUMMYFUNCTION("""COMPUTED_VALUE"""),"KYAI KONTONG")</f>
        <v>KYAI KONTONG</v>
      </c>
      <c r="D3683" s="186">
        <f>IFERROR(__xludf.DUMMYFUNCTION("""COMPUTED_VALUE"""),18.0)</f>
        <v>18</v>
      </c>
    </row>
    <row r="3684">
      <c r="A3684" s="178" t="str">
        <f>IFERROR(__xludf.DUMMYFUNCTION("""COMPUTED_VALUE"""),"ITBISA-IC-74HC245N-DIP20")</f>
        <v>ITBISA-IC-74HC245N-DIP20</v>
      </c>
      <c r="B3684" s="266">
        <f>IFERROR(__xludf.DUMMYFUNCTION("""COMPUTED_VALUE"""),45085.0)</f>
        <v>45085</v>
      </c>
      <c r="C3684" s="266" t="str">
        <f>IFERROR(__xludf.DUMMYFUNCTION("""COMPUTED_VALUE"""),"KYAI KONTONG")</f>
        <v>KYAI KONTONG</v>
      </c>
      <c r="D3684" s="186">
        <f>IFERROR(__xludf.DUMMYFUNCTION("""COMPUTED_VALUE"""),4.0)</f>
        <v>4</v>
      </c>
    </row>
    <row r="3685">
      <c r="A3685" s="178" t="str">
        <f>IFERROR(__xludf.DUMMYFUNCTION("""COMPUTED_VALUE"""),"ITBISA-IC-74HC245N-DIP20")</f>
        <v>ITBISA-IC-74HC245N-DIP20</v>
      </c>
      <c r="B3685" s="266">
        <f>IFERROR(__xludf.DUMMYFUNCTION("""COMPUTED_VALUE"""),45088.0)</f>
        <v>45088</v>
      </c>
      <c r="C3685" s="266" t="str">
        <f>IFERROR(__xludf.DUMMYFUNCTION("""COMPUTED_VALUE"""),"KYAI KONTONG")</f>
        <v>KYAI KONTONG</v>
      </c>
      <c r="D3685" s="186">
        <f>IFERROR(__xludf.DUMMYFUNCTION("""COMPUTED_VALUE"""),36.0)</f>
        <v>36</v>
      </c>
    </row>
    <row r="3686">
      <c r="A3686" s="178" t="str">
        <f>IFERROR(__xludf.DUMMYFUNCTION("""COMPUTED_VALUE"""),"ITBISA-IC-74HC245N-DIP20")</f>
        <v>ITBISA-IC-74HC245N-DIP20</v>
      </c>
      <c r="B3686" s="266">
        <f>IFERROR(__xludf.DUMMYFUNCTION("""COMPUTED_VALUE"""),45089.0)</f>
        <v>45089</v>
      </c>
      <c r="C3686" s="266" t="str">
        <f>IFERROR(__xludf.DUMMYFUNCTION("""COMPUTED_VALUE"""),"KYAI KONTONG")</f>
        <v>KYAI KONTONG</v>
      </c>
      <c r="D3686" s="186">
        <f>IFERROR(__xludf.DUMMYFUNCTION("""COMPUTED_VALUE"""),18.0)</f>
        <v>18</v>
      </c>
    </row>
    <row r="3687">
      <c r="A3687" s="178" t="str">
        <f>IFERROR(__xludf.DUMMYFUNCTION("""COMPUTED_VALUE"""),"ITBISA-IC-74HC245N-DIP20")</f>
        <v>ITBISA-IC-74HC245N-DIP20</v>
      </c>
      <c r="B3687" s="266">
        <f>IFERROR(__xludf.DUMMYFUNCTION("""COMPUTED_VALUE"""),45091.0)</f>
        <v>45091</v>
      </c>
      <c r="C3687" s="266" t="str">
        <f>IFERROR(__xludf.DUMMYFUNCTION("""COMPUTED_VALUE"""),"KYAI KONTONG")</f>
        <v>KYAI KONTONG</v>
      </c>
      <c r="D3687" s="186">
        <f>IFERROR(__xludf.DUMMYFUNCTION("""COMPUTED_VALUE"""),5.0)</f>
        <v>5</v>
      </c>
    </row>
    <row r="3688">
      <c r="A3688" s="178" t="str">
        <f>IFERROR(__xludf.DUMMYFUNCTION("""COMPUTED_VALUE"""),"ITBISA-IC-74HC245N-DIP20")</f>
        <v>ITBISA-IC-74HC245N-DIP20</v>
      </c>
      <c r="B3688" s="266">
        <f>IFERROR(__xludf.DUMMYFUNCTION("""COMPUTED_VALUE"""),45091.0)</f>
        <v>45091</v>
      </c>
      <c r="C3688" s="266" t="str">
        <f>IFERROR(__xludf.DUMMYFUNCTION("""COMPUTED_VALUE"""),"KYAI KONTONG")</f>
        <v>KYAI KONTONG</v>
      </c>
      <c r="D3688" s="186">
        <f>IFERROR(__xludf.DUMMYFUNCTION("""COMPUTED_VALUE"""),10.0)</f>
        <v>10</v>
      </c>
    </row>
    <row r="3689">
      <c r="A3689" s="178" t="str">
        <f>IFERROR(__xludf.DUMMYFUNCTION("""COMPUTED_VALUE"""),"ITBISA-IC-74HC245N-DIP20")</f>
        <v>ITBISA-IC-74HC245N-DIP20</v>
      </c>
      <c r="B3689" s="266">
        <f>IFERROR(__xludf.DUMMYFUNCTION("""COMPUTED_VALUE"""),45094.0)</f>
        <v>45094</v>
      </c>
      <c r="C3689" s="266" t="str">
        <f>IFERROR(__xludf.DUMMYFUNCTION("""COMPUTED_VALUE"""),"KYAI KONTONG")</f>
        <v>KYAI KONTONG</v>
      </c>
      <c r="D3689" s="186">
        <f>IFERROR(__xludf.DUMMYFUNCTION("""COMPUTED_VALUE"""),4.0)</f>
        <v>4</v>
      </c>
    </row>
    <row r="3690">
      <c r="A3690" s="178" t="str">
        <f>IFERROR(__xludf.DUMMYFUNCTION("""COMPUTED_VALUE"""),"ITBISA-IC-74HC245N-DIP20")</f>
        <v>ITBISA-IC-74HC245N-DIP20</v>
      </c>
      <c r="B3690" s="266">
        <f>IFERROR(__xludf.DUMMYFUNCTION("""COMPUTED_VALUE"""),45096.0)</f>
        <v>45096</v>
      </c>
      <c r="C3690" s="266" t="str">
        <f>IFERROR(__xludf.DUMMYFUNCTION("""COMPUTED_VALUE"""),"KYAI KONTONG")</f>
        <v>KYAI KONTONG</v>
      </c>
      <c r="D3690" s="186">
        <f>IFERROR(__xludf.DUMMYFUNCTION("""COMPUTED_VALUE"""),10.0)</f>
        <v>10</v>
      </c>
    </row>
    <row r="3691">
      <c r="A3691" s="178" t="str">
        <f>IFERROR(__xludf.DUMMYFUNCTION("""COMPUTED_VALUE"""),"ITBISA-IC-74HC245N-DIP20")</f>
        <v>ITBISA-IC-74HC245N-DIP20</v>
      </c>
      <c r="B3691" s="266">
        <f>IFERROR(__xludf.DUMMYFUNCTION("""COMPUTED_VALUE"""),45096.0)</f>
        <v>45096</v>
      </c>
      <c r="C3691" s="266" t="str">
        <f>IFERROR(__xludf.DUMMYFUNCTION("""COMPUTED_VALUE"""),"KYAI KONTONG")</f>
        <v>KYAI KONTONG</v>
      </c>
      <c r="D3691" s="186">
        <f>IFERROR(__xludf.DUMMYFUNCTION("""COMPUTED_VALUE"""),12.0)</f>
        <v>12</v>
      </c>
    </row>
    <row r="3692">
      <c r="A3692" s="178" t="str">
        <f>IFERROR(__xludf.DUMMYFUNCTION("""COMPUTED_VALUE"""),"ITBISA-IC-74HC245N-DIP20")</f>
        <v>ITBISA-IC-74HC245N-DIP20</v>
      </c>
      <c r="B3692" s="266">
        <f>IFERROR(__xludf.DUMMYFUNCTION("""COMPUTED_VALUE"""),45097.0)</f>
        <v>45097</v>
      </c>
      <c r="C3692" s="266" t="str">
        <f>IFERROR(__xludf.DUMMYFUNCTION("""COMPUTED_VALUE"""),"KYAI KONTONG")</f>
        <v>KYAI KONTONG</v>
      </c>
      <c r="D3692" s="186">
        <f>IFERROR(__xludf.DUMMYFUNCTION("""COMPUTED_VALUE"""),10.0)</f>
        <v>10</v>
      </c>
    </row>
    <row r="3693">
      <c r="A3693" s="178" t="str">
        <f>IFERROR(__xludf.DUMMYFUNCTION("""COMPUTED_VALUE"""),"ITBISA-IC-74HC245N-DIP20")</f>
        <v>ITBISA-IC-74HC245N-DIP20</v>
      </c>
      <c r="B3693" s="266">
        <f>IFERROR(__xludf.DUMMYFUNCTION("""COMPUTED_VALUE"""),45098.0)</f>
        <v>45098</v>
      </c>
      <c r="C3693" s="266" t="str">
        <f>IFERROR(__xludf.DUMMYFUNCTION("""COMPUTED_VALUE"""),"KERTASARI CIAMIS")</f>
        <v>KERTASARI CIAMIS</v>
      </c>
      <c r="D3693" s="186">
        <f>IFERROR(__xludf.DUMMYFUNCTION("""COMPUTED_VALUE"""),10.0)</f>
        <v>10</v>
      </c>
    </row>
    <row r="3694">
      <c r="A3694" s="178" t="str">
        <f>IFERROR(__xludf.DUMMYFUNCTION("""COMPUTED_VALUE"""),"ITBISA-IC-74HC245N-DIP20")</f>
        <v>ITBISA-IC-74HC245N-DIP20</v>
      </c>
      <c r="B3694" s="266">
        <f>IFERROR(__xludf.DUMMYFUNCTION("""COMPUTED_VALUE"""),45099.0)</f>
        <v>45099</v>
      </c>
      <c r="C3694" s="266" t="str">
        <f>IFERROR(__xludf.DUMMYFUNCTION("""COMPUTED_VALUE"""),"KYAI KONTONG")</f>
        <v>KYAI KONTONG</v>
      </c>
      <c r="D3694" s="186">
        <f>IFERROR(__xludf.DUMMYFUNCTION("""COMPUTED_VALUE"""),20.0)</f>
        <v>20</v>
      </c>
    </row>
    <row r="3695">
      <c r="A3695" s="178" t="str">
        <f>IFERROR(__xludf.DUMMYFUNCTION("""COMPUTED_VALUE"""),"ITBISA-IC-74HC245N-DIP20")</f>
        <v>ITBISA-IC-74HC245N-DIP20</v>
      </c>
      <c r="B3695" s="266">
        <f>IFERROR(__xludf.DUMMYFUNCTION("""COMPUTED_VALUE"""),45100.0)</f>
        <v>45100</v>
      </c>
      <c r="C3695" s="266" t="str">
        <f>IFERROR(__xludf.DUMMYFUNCTION("""COMPUTED_VALUE"""),"KYAI KONTONG")</f>
        <v>KYAI KONTONG</v>
      </c>
      <c r="D3695" s="186">
        <f>IFERROR(__xludf.DUMMYFUNCTION("""COMPUTED_VALUE"""),1.0)</f>
        <v>1</v>
      </c>
    </row>
    <row r="3696">
      <c r="A3696" s="178" t="str">
        <f>IFERROR(__xludf.DUMMYFUNCTION("""COMPUTED_VALUE"""),"ITBISA-IC-74HC245N-DIP20")</f>
        <v>ITBISA-IC-74HC245N-DIP20</v>
      </c>
      <c r="B3696" s="266">
        <f>IFERROR(__xludf.DUMMYFUNCTION("""COMPUTED_VALUE"""),45100.0)</f>
        <v>45100</v>
      </c>
      <c r="C3696" s="266" t="str">
        <f>IFERROR(__xludf.DUMMYFUNCTION("""COMPUTED_VALUE"""),"KYAI KONTONG")</f>
        <v>KYAI KONTONG</v>
      </c>
      <c r="D3696" s="186">
        <f>IFERROR(__xludf.DUMMYFUNCTION("""COMPUTED_VALUE"""),15.0)</f>
        <v>15</v>
      </c>
    </row>
    <row r="3697">
      <c r="A3697" s="178" t="str">
        <f>IFERROR(__xludf.DUMMYFUNCTION("""COMPUTED_VALUE"""),"ITBISA-IC-74HC245N-DIP20")</f>
        <v>ITBISA-IC-74HC245N-DIP20</v>
      </c>
      <c r="B3697" s="266">
        <f>IFERROR(__xludf.DUMMYFUNCTION("""COMPUTED_VALUE"""),45104.0)</f>
        <v>45104</v>
      </c>
      <c r="C3697" s="266" t="str">
        <f>IFERROR(__xludf.DUMMYFUNCTION("""COMPUTED_VALUE"""),"KYAI KONTONG")</f>
        <v>KYAI KONTONG</v>
      </c>
      <c r="D3697" s="186">
        <f>IFERROR(__xludf.DUMMYFUNCTION("""COMPUTED_VALUE"""),11.0)</f>
        <v>11</v>
      </c>
    </row>
    <row r="3698">
      <c r="A3698" s="178" t="str">
        <f>IFERROR(__xludf.DUMMYFUNCTION("""COMPUTED_VALUE"""),"ITBISA-IC-74HC245N-DIP20")</f>
        <v>ITBISA-IC-74HC245N-DIP20</v>
      </c>
      <c r="B3698" s="266">
        <f>IFERROR(__xludf.DUMMYFUNCTION("""COMPUTED_VALUE"""),45104.0)</f>
        <v>45104</v>
      </c>
      <c r="C3698" s="266" t="str">
        <f>IFERROR(__xludf.DUMMYFUNCTION("""COMPUTED_VALUE"""),"KYAI KONTONG")</f>
        <v>KYAI KONTONG</v>
      </c>
      <c r="D3698" s="186">
        <f>IFERROR(__xludf.DUMMYFUNCTION("""COMPUTED_VALUE"""),18.0)</f>
        <v>18</v>
      </c>
    </row>
    <row r="3699">
      <c r="A3699" s="178" t="str">
        <f>IFERROR(__xludf.DUMMYFUNCTION("""COMPUTED_VALUE"""),"ITBISA-IC-74HC245N-DIP20")</f>
        <v>ITBISA-IC-74HC245N-DIP20</v>
      </c>
      <c r="B3699" s="266">
        <f>IFERROR(__xludf.DUMMYFUNCTION("""COMPUTED_VALUE"""),45104.0)</f>
        <v>45104</v>
      </c>
      <c r="C3699" s="266" t="str">
        <f>IFERROR(__xludf.DUMMYFUNCTION("""COMPUTED_VALUE"""),"KYAI KONTONG")</f>
        <v>KYAI KONTONG</v>
      </c>
      <c r="D3699" s="186">
        <f>IFERROR(__xludf.DUMMYFUNCTION("""COMPUTED_VALUE"""),30.0)</f>
        <v>30</v>
      </c>
    </row>
    <row r="3700">
      <c r="A3700" s="178" t="str">
        <f>IFERROR(__xludf.DUMMYFUNCTION("""COMPUTED_VALUE"""),"ITBISA-IC-74HC245N-DIP20")</f>
        <v>ITBISA-IC-74HC245N-DIP20</v>
      </c>
      <c r="B3700" s="266">
        <f>IFERROR(__xludf.DUMMYFUNCTION("""COMPUTED_VALUE"""),45104.0)</f>
        <v>45104</v>
      </c>
      <c r="C3700" s="266" t="str">
        <f>IFERROR(__xludf.DUMMYFUNCTION("""COMPUTED_VALUE"""),"KYAI KONTONG")</f>
        <v>KYAI KONTONG</v>
      </c>
      <c r="D3700" s="186">
        <f>IFERROR(__xludf.DUMMYFUNCTION("""COMPUTED_VALUE"""),180.0)</f>
        <v>180</v>
      </c>
    </row>
    <row r="3701">
      <c r="A3701" s="178" t="str">
        <f>IFERROR(__xludf.DUMMYFUNCTION("""COMPUTED_VALUE"""),"ITBISA-IC-74HC245N-DIP20")</f>
        <v>ITBISA-IC-74HC245N-DIP20</v>
      </c>
      <c r="B3701" s="266">
        <f>IFERROR(__xludf.DUMMYFUNCTION("""COMPUTED_VALUE"""),45107.0)</f>
        <v>45107</v>
      </c>
      <c r="C3701" s="266" t="str">
        <f>IFERROR(__xludf.DUMMYFUNCTION("""COMPUTED_VALUE"""),"KYAI KONTONG")</f>
        <v>KYAI KONTONG</v>
      </c>
      <c r="D3701" s="186">
        <f>IFERROR(__xludf.DUMMYFUNCTION("""COMPUTED_VALUE"""),10.0)</f>
        <v>10</v>
      </c>
    </row>
    <row r="3702">
      <c r="A3702" s="178" t="str">
        <f>IFERROR(__xludf.DUMMYFUNCTION("""COMPUTED_VALUE"""),"ITBISA-IC-74HC245N-DIP20")</f>
        <v>ITBISA-IC-74HC245N-DIP20</v>
      </c>
      <c r="B3702" s="266">
        <f>IFERROR(__xludf.DUMMYFUNCTION("""COMPUTED_VALUE"""),45109.0)</f>
        <v>45109</v>
      </c>
      <c r="C3702" s="266" t="str">
        <f>IFERROR(__xludf.DUMMYFUNCTION("""COMPUTED_VALUE"""),"KYAI KONTONG")</f>
        <v>KYAI KONTONG</v>
      </c>
      <c r="D3702" s="186">
        <f>IFERROR(__xludf.DUMMYFUNCTION("""COMPUTED_VALUE"""),18.0)</f>
        <v>18</v>
      </c>
    </row>
    <row r="3703">
      <c r="A3703" s="178" t="str">
        <f>IFERROR(__xludf.DUMMYFUNCTION("""COMPUTED_VALUE"""),"ITBISA-IC-74HC245N-DIP20")</f>
        <v>ITBISA-IC-74HC245N-DIP20</v>
      </c>
      <c r="B3703" s="266">
        <f>IFERROR(__xludf.DUMMYFUNCTION("""COMPUTED_VALUE"""),45110.0)</f>
        <v>45110</v>
      </c>
      <c r="C3703" s="266" t="str">
        <f>IFERROR(__xludf.DUMMYFUNCTION("""COMPUTED_VALUE"""),"KYAI KONTONG")</f>
        <v>KYAI KONTONG</v>
      </c>
      <c r="D3703" s="186">
        <f>IFERROR(__xludf.DUMMYFUNCTION("""COMPUTED_VALUE"""),5.0)</f>
        <v>5</v>
      </c>
    </row>
    <row r="3704">
      <c r="A3704" s="178" t="str">
        <f>IFERROR(__xludf.DUMMYFUNCTION("""COMPUTED_VALUE"""),"ITBISA-IC-74HC245N-DIP20")</f>
        <v>ITBISA-IC-74HC245N-DIP20</v>
      </c>
      <c r="B3704" s="266">
        <f>IFERROR(__xludf.DUMMYFUNCTION("""COMPUTED_VALUE"""),45110.0)</f>
        <v>45110</v>
      </c>
      <c r="C3704" s="266" t="str">
        <f>IFERROR(__xludf.DUMMYFUNCTION("""COMPUTED_VALUE"""),"KYAI KONTONG")</f>
        <v>KYAI KONTONG</v>
      </c>
      <c r="D3704" s="186">
        <f>IFERROR(__xludf.DUMMYFUNCTION("""COMPUTED_VALUE"""),10.0)</f>
        <v>10</v>
      </c>
    </row>
    <row r="3705">
      <c r="A3705" s="178" t="str">
        <f>IFERROR(__xludf.DUMMYFUNCTION("""COMPUTED_VALUE"""),"ITBISA-IC-74HC245N-DIP20")</f>
        <v>ITBISA-IC-74HC245N-DIP20</v>
      </c>
      <c r="B3705" s="266">
        <f>IFERROR(__xludf.DUMMYFUNCTION("""COMPUTED_VALUE"""),45111.0)</f>
        <v>45111</v>
      </c>
      <c r="C3705" s="266" t="str">
        <f>IFERROR(__xludf.DUMMYFUNCTION("""COMPUTED_VALUE"""),"KYAI KONTONG")</f>
        <v>KYAI KONTONG</v>
      </c>
      <c r="D3705" s="186">
        <f>IFERROR(__xludf.DUMMYFUNCTION("""COMPUTED_VALUE"""),18.0)</f>
        <v>18</v>
      </c>
    </row>
    <row r="3706">
      <c r="A3706" s="178" t="str">
        <f>IFERROR(__xludf.DUMMYFUNCTION("""COMPUTED_VALUE"""),"ITBISA-IC-74HC245N-DIP20")</f>
        <v>ITBISA-IC-74HC245N-DIP20</v>
      </c>
      <c r="B3706" s="266">
        <f>IFERROR(__xludf.DUMMYFUNCTION("""COMPUTED_VALUE"""),45112.0)</f>
        <v>45112</v>
      </c>
      <c r="C3706" s="266" t="str">
        <f>IFERROR(__xludf.DUMMYFUNCTION("""COMPUTED_VALUE"""),"KYAI KONTONG")</f>
        <v>KYAI KONTONG</v>
      </c>
      <c r="D3706" s="186">
        <f>IFERROR(__xludf.DUMMYFUNCTION("""COMPUTED_VALUE"""),18.0)</f>
        <v>18</v>
      </c>
    </row>
    <row r="3707">
      <c r="A3707" s="178" t="str">
        <f>IFERROR(__xludf.DUMMYFUNCTION("""COMPUTED_VALUE"""),"ITBISA-IC-74HC245N-DIP20")</f>
        <v>ITBISA-IC-74HC245N-DIP20</v>
      </c>
      <c r="B3707" s="266">
        <f>IFERROR(__xludf.DUMMYFUNCTION("""COMPUTED_VALUE"""),45114.0)</f>
        <v>45114</v>
      </c>
      <c r="C3707" s="266" t="str">
        <f>IFERROR(__xludf.DUMMYFUNCTION("""COMPUTED_VALUE"""),"KYAI KONTONG")</f>
        <v>KYAI KONTONG</v>
      </c>
      <c r="D3707" s="186">
        <f>IFERROR(__xludf.DUMMYFUNCTION("""COMPUTED_VALUE"""),18.0)</f>
        <v>18</v>
      </c>
    </row>
    <row r="3708">
      <c r="A3708" s="178" t="str">
        <f>IFERROR(__xludf.DUMMYFUNCTION("""COMPUTED_VALUE"""),"ITBISA-IC-74HC245N-DIP20")</f>
        <v>ITBISA-IC-74HC245N-DIP20</v>
      </c>
      <c r="B3708" s="266">
        <f>IFERROR(__xludf.DUMMYFUNCTION("""COMPUTED_VALUE"""),45121.0)</f>
        <v>45121</v>
      </c>
      <c r="C3708" s="266" t="str">
        <f>IFERROR(__xludf.DUMMYFUNCTION("""COMPUTED_VALUE"""),"KYAI KONTONG")</f>
        <v>KYAI KONTONG</v>
      </c>
      <c r="D3708" s="186">
        <f>IFERROR(__xludf.DUMMYFUNCTION("""COMPUTED_VALUE"""),18.0)</f>
        <v>18</v>
      </c>
    </row>
    <row r="3709">
      <c r="A3709" s="178" t="str">
        <f>IFERROR(__xludf.DUMMYFUNCTION("""COMPUTED_VALUE"""),"ITBISA-IC-74HC245N-DIP20")</f>
        <v>ITBISA-IC-74HC245N-DIP20</v>
      </c>
      <c r="B3709" s="266">
        <f>IFERROR(__xludf.DUMMYFUNCTION("""COMPUTED_VALUE"""),45124.0)</f>
        <v>45124</v>
      </c>
      <c r="C3709" s="266" t="str">
        <f>IFERROR(__xludf.DUMMYFUNCTION("""COMPUTED_VALUE"""),"KYAI KONTONG")</f>
        <v>KYAI KONTONG</v>
      </c>
      <c r="D3709" s="186">
        <f>IFERROR(__xludf.DUMMYFUNCTION("""COMPUTED_VALUE"""),10.0)</f>
        <v>10</v>
      </c>
    </row>
    <row r="3710">
      <c r="A3710" s="178" t="str">
        <f>IFERROR(__xludf.DUMMYFUNCTION("""COMPUTED_VALUE"""),"ITBISA-IC-74HC245N-DIP20")</f>
        <v>ITBISA-IC-74HC245N-DIP20</v>
      </c>
      <c r="B3710" s="266">
        <f>IFERROR(__xludf.DUMMYFUNCTION("""COMPUTED_VALUE"""),45124.0)</f>
        <v>45124</v>
      </c>
      <c r="C3710" s="266" t="str">
        <f>IFERROR(__xludf.DUMMYFUNCTION("""COMPUTED_VALUE"""),"KYAI KONTONG")</f>
        <v>KYAI KONTONG</v>
      </c>
      <c r="D3710" s="186">
        <f>IFERROR(__xludf.DUMMYFUNCTION("""COMPUTED_VALUE"""),18.0)</f>
        <v>18</v>
      </c>
    </row>
    <row r="3711">
      <c r="A3711" s="178" t="str">
        <f>IFERROR(__xludf.DUMMYFUNCTION("""COMPUTED_VALUE"""),"ITBISA-IC-74HC245N-DIP20")</f>
        <v>ITBISA-IC-74HC245N-DIP20</v>
      </c>
      <c r="B3711" s="266">
        <f>IFERROR(__xludf.DUMMYFUNCTION("""COMPUTED_VALUE"""),45128.0)</f>
        <v>45128</v>
      </c>
      <c r="C3711" s="266" t="str">
        <f>IFERROR(__xludf.DUMMYFUNCTION("""COMPUTED_VALUE"""),"KYAI KONTONG")</f>
        <v>KYAI KONTONG</v>
      </c>
      <c r="D3711" s="186">
        <f>IFERROR(__xludf.DUMMYFUNCTION("""COMPUTED_VALUE"""),10.0)</f>
        <v>10</v>
      </c>
    </row>
    <row r="3712">
      <c r="A3712" s="178" t="str">
        <f>IFERROR(__xludf.DUMMYFUNCTION("""COMPUTED_VALUE"""),"ITBISA-IC-74HC245N-DIP20")</f>
        <v>ITBISA-IC-74HC245N-DIP20</v>
      </c>
      <c r="B3712" s="266">
        <f>IFERROR(__xludf.DUMMYFUNCTION("""COMPUTED_VALUE"""),45132.0)</f>
        <v>45132</v>
      </c>
      <c r="C3712" s="266" t="str">
        <f>IFERROR(__xludf.DUMMYFUNCTION("""COMPUTED_VALUE"""),"KYAI KONTONG")</f>
        <v>KYAI KONTONG</v>
      </c>
      <c r="D3712" s="186">
        <f>IFERROR(__xludf.DUMMYFUNCTION("""COMPUTED_VALUE"""),18.0)</f>
        <v>18</v>
      </c>
    </row>
    <row r="3713">
      <c r="A3713" s="178" t="str">
        <f>IFERROR(__xludf.DUMMYFUNCTION("""COMPUTED_VALUE"""),"ITBISA-IC-74HC245N-DIP20")</f>
        <v>ITBISA-IC-74HC245N-DIP20</v>
      </c>
      <c r="B3713" s="266">
        <f>IFERROR(__xludf.DUMMYFUNCTION("""COMPUTED_VALUE"""),45139.0)</f>
        <v>45139</v>
      </c>
      <c r="C3713" s="266" t="str">
        <f>IFERROR(__xludf.DUMMYFUNCTION("""COMPUTED_VALUE"""),"KYAI KONTONG")</f>
        <v>KYAI KONTONG</v>
      </c>
      <c r="D3713" s="186">
        <f>IFERROR(__xludf.DUMMYFUNCTION("""COMPUTED_VALUE"""),6.0)</f>
        <v>6</v>
      </c>
    </row>
    <row r="3714">
      <c r="A3714" s="178" t="str">
        <f>IFERROR(__xludf.DUMMYFUNCTION("""COMPUTED_VALUE"""),"ITBISA-IC-74HC245N-DIP20")</f>
        <v>ITBISA-IC-74HC245N-DIP20</v>
      </c>
      <c r="B3714" s="266">
        <f>IFERROR(__xludf.DUMMYFUNCTION("""COMPUTED_VALUE"""),45140.0)</f>
        <v>45140</v>
      </c>
      <c r="C3714" s="266" t="str">
        <f>IFERROR(__xludf.DUMMYFUNCTION("""COMPUTED_VALUE"""),"KYAI KONTONG")</f>
        <v>KYAI KONTONG</v>
      </c>
      <c r="D3714" s="186">
        <f>IFERROR(__xludf.DUMMYFUNCTION("""COMPUTED_VALUE"""),1.0)</f>
        <v>1</v>
      </c>
    </row>
    <row r="3715">
      <c r="A3715" s="178" t="str">
        <f>IFERROR(__xludf.DUMMYFUNCTION("""COMPUTED_VALUE"""),"ITBISA-IC-74HC245N-DIP20")</f>
        <v>ITBISA-IC-74HC245N-DIP20</v>
      </c>
      <c r="B3715" s="266">
        <f>IFERROR(__xludf.DUMMYFUNCTION("""COMPUTED_VALUE"""),45141.0)</f>
        <v>45141</v>
      </c>
      <c r="C3715" s="266" t="str">
        <f>IFERROR(__xludf.DUMMYFUNCTION("""COMPUTED_VALUE"""),"KYAI KONTONG")</f>
        <v>KYAI KONTONG</v>
      </c>
      <c r="D3715" s="186">
        <f>IFERROR(__xludf.DUMMYFUNCTION("""COMPUTED_VALUE"""),18.0)</f>
        <v>18</v>
      </c>
    </row>
    <row r="3716">
      <c r="A3716" s="178" t="str">
        <f>IFERROR(__xludf.DUMMYFUNCTION("""COMPUTED_VALUE"""),"ITBISA-IC-74HC245N-DIP20")</f>
        <v>ITBISA-IC-74HC245N-DIP20</v>
      </c>
      <c r="B3716" s="266">
        <f>IFERROR(__xludf.DUMMYFUNCTION("""COMPUTED_VALUE"""),45152.0)</f>
        <v>45152</v>
      </c>
      <c r="C3716" s="266" t="str">
        <f>IFERROR(__xludf.DUMMYFUNCTION("""COMPUTED_VALUE"""),"KYAI KONTONG")</f>
        <v>KYAI KONTONG</v>
      </c>
      <c r="D3716" s="186">
        <f>IFERROR(__xludf.DUMMYFUNCTION("""COMPUTED_VALUE"""),18.0)</f>
        <v>18</v>
      </c>
    </row>
    <row r="3717">
      <c r="A3717" s="178" t="str">
        <f>IFERROR(__xludf.DUMMYFUNCTION("""COMPUTED_VALUE"""),"ITBISA-IC-74HC245N-DIP20")</f>
        <v>ITBISA-IC-74HC245N-DIP20</v>
      </c>
      <c r="B3717" s="266">
        <f>IFERROR(__xludf.DUMMYFUNCTION("""COMPUTED_VALUE"""),45152.0)</f>
        <v>45152</v>
      </c>
      <c r="C3717" s="266" t="str">
        <f>IFERROR(__xludf.DUMMYFUNCTION("""COMPUTED_VALUE"""),"KYAI KONTONG")</f>
        <v>KYAI KONTONG</v>
      </c>
      <c r="D3717" s="186">
        <f>IFERROR(__xludf.DUMMYFUNCTION("""COMPUTED_VALUE"""),198.0)</f>
        <v>198</v>
      </c>
    </row>
    <row r="3718">
      <c r="A3718" s="178" t="str">
        <f>IFERROR(__xludf.DUMMYFUNCTION("""COMPUTED_VALUE"""),"ITBISA-IC-74HC245N-DIP20")</f>
        <v>ITBISA-IC-74HC245N-DIP20</v>
      </c>
      <c r="B3718" s="266">
        <f>IFERROR(__xludf.DUMMYFUNCTION("""COMPUTED_VALUE"""),45164.0)</f>
        <v>45164</v>
      </c>
      <c r="C3718" s="266" t="str">
        <f>IFERROR(__xludf.DUMMYFUNCTION("""COMPUTED_VALUE"""),"KYAI KONTONG")</f>
        <v>KYAI KONTONG</v>
      </c>
      <c r="D3718" s="186">
        <f>IFERROR(__xludf.DUMMYFUNCTION("""COMPUTED_VALUE"""),18.0)</f>
        <v>18</v>
      </c>
    </row>
    <row r="3719">
      <c r="A3719" s="178" t="str">
        <f>IFERROR(__xludf.DUMMYFUNCTION("""COMPUTED_VALUE"""),"ITBISA-IC-74HC245N-DIP20")</f>
        <v>ITBISA-IC-74HC245N-DIP20</v>
      </c>
      <c r="B3719" s="266">
        <f>IFERROR(__xludf.DUMMYFUNCTION("""COMPUTED_VALUE"""),45166.0)</f>
        <v>45166</v>
      </c>
      <c r="C3719" s="266" t="str">
        <f>IFERROR(__xludf.DUMMYFUNCTION("""COMPUTED_VALUE"""),"KYAI KONTONG")</f>
        <v>KYAI KONTONG</v>
      </c>
      <c r="D3719" s="186">
        <f>IFERROR(__xludf.DUMMYFUNCTION("""COMPUTED_VALUE"""),18.0)</f>
        <v>18</v>
      </c>
    </row>
    <row r="3720">
      <c r="A3720" s="178" t="str">
        <f>IFERROR(__xludf.DUMMYFUNCTION("""COMPUTED_VALUE"""),"ITBISA-IC-74HC245N-DIP20")</f>
        <v>ITBISA-IC-74HC245N-DIP20</v>
      </c>
      <c r="B3720" s="266">
        <f>IFERROR(__xludf.DUMMYFUNCTION("""COMPUTED_VALUE"""),45176.0)</f>
        <v>45176</v>
      </c>
      <c r="C3720" s="266" t="str">
        <f>IFERROR(__xludf.DUMMYFUNCTION("""COMPUTED_VALUE"""),"KYAI KONTONG")</f>
        <v>KYAI KONTONG</v>
      </c>
      <c r="D3720" s="186">
        <f>IFERROR(__xludf.DUMMYFUNCTION("""COMPUTED_VALUE"""),5.0)</f>
        <v>5</v>
      </c>
    </row>
    <row r="3721">
      <c r="A3721" s="178" t="str">
        <f>IFERROR(__xludf.DUMMYFUNCTION("""COMPUTED_VALUE"""),"ITBISA-IC-74HC245N-DIP20")</f>
        <v>ITBISA-IC-74HC245N-DIP20</v>
      </c>
      <c r="B3721" s="266">
        <f>IFERROR(__xludf.DUMMYFUNCTION("""COMPUTED_VALUE"""),45176.0)</f>
        <v>45176</v>
      </c>
      <c r="C3721" s="266" t="str">
        <f>IFERROR(__xludf.DUMMYFUNCTION("""COMPUTED_VALUE"""),"KYAI KONTONG")</f>
        <v>KYAI KONTONG</v>
      </c>
      <c r="D3721" s="186">
        <f>IFERROR(__xludf.DUMMYFUNCTION("""COMPUTED_VALUE"""),5.0)</f>
        <v>5</v>
      </c>
    </row>
    <row r="3722">
      <c r="A3722" s="178" t="str">
        <f>IFERROR(__xludf.DUMMYFUNCTION("""COMPUTED_VALUE"""),"ITBISA-IC-74HC245N-DIP20")</f>
        <v>ITBISA-IC-74HC245N-DIP20</v>
      </c>
      <c r="B3722" s="266">
        <f>IFERROR(__xludf.DUMMYFUNCTION("""COMPUTED_VALUE"""),45178.0)</f>
        <v>45178</v>
      </c>
      <c r="C3722" s="266" t="str">
        <f>IFERROR(__xludf.DUMMYFUNCTION("""COMPUTED_VALUE"""),"KYAI KONTONG")</f>
        <v>KYAI KONTONG</v>
      </c>
      <c r="D3722" s="186">
        <f>IFERROR(__xludf.DUMMYFUNCTION("""COMPUTED_VALUE"""),2.0)</f>
        <v>2</v>
      </c>
    </row>
    <row r="3723">
      <c r="A3723" s="178" t="str">
        <f>IFERROR(__xludf.DUMMYFUNCTION("""COMPUTED_VALUE"""),"ITBISA-IC-74HC245N-DIP20")</f>
        <v>ITBISA-IC-74HC245N-DIP20</v>
      </c>
      <c r="B3723" s="266">
        <f>IFERROR(__xludf.DUMMYFUNCTION("""COMPUTED_VALUE"""),45179.0)</f>
        <v>45179</v>
      </c>
      <c r="C3723" s="266" t="str">
        <f>IFERROR(__xludf.DUMMYFUNCTION("""COMPUTED_VALUE"""),"KYAI KONTONG")</f>
        <v>KYAI KONTONG</v>
      </c>
      <c r="D3723" s="186">
        <f>IFERROR(__xludf.DUMMYFUNCTION("""COMPUTED_VALUE"""),10.0)</f>
        <v>10</v>
      </c>
    </row>
    <row r="3724">
      <c r="A3724" s="178" t="str">
        <f>IFERROR(__xludf.DUMMYFUNCTION("""COMPUTED_VALUE"""),"ITBISA-IC-74HC245N-DIP20")</f>
        <v>ITBISA-IC-74HC245N-DIP20</v>
      </c>
      <c r="B3724" s="266">
        <f>IFERROR(__xludf.DUMMYFUNCTION("""COMPUTED_VALUE"""),45180.0)</f>
        <v>45180</v>
      </c>
      <c r="C3724" s="266" t="str">
        <f>IFERROR(__xludf.DUMMYFUNCTION("""COMPUTED_VALUE"""),"KYAI KONTONG")</f>
        <v>KYAI KONTONG</v>
      </c>
      <c r="D3724" s="186">
        <f>IFERROR(__xludf.DUMMYFUNCTION("""COMPUTED_VALUE"""),20.0)</f>
        <v>20</v>
      </c>
    </row>
    <row r="3725">
      <c r="A3725" s="178" t="str">
        <f>IFERROR(__xludf.DUMMYFUNCTION("""COMPUTED_VALUE"""),"ITBISA-IC-74HC245N-DIP20")</f>
        <v>ITBISA-IC-74HC245N-DIP20</v>
      </c>
      <c r="B3725" s="266">
        <f>IFERROR(__xludf.DUMMYFUNCTION("""COMPUTED_VALUE"""),45189.0)</f>
        <v>45189</v>
      </c>
      <c r="C3725" s="266" t="str">
        <f>IFERROR(__xludf.DUMMYFUNCTION("""COMPUTED_VALUE"""),"KYAI KONTONG")</f>
        <v>KYAI KONTONG</v>
      </c>
      <c r="D3725" s="186">
        <f>IFERROR(__xludf.DUMMYFUNCTION("""COMPUTED_VALUE"""),10.0)</f>
        <v>10</v>
      </c>
    </row>
    <row r="3726">
      <c r="A3726" s="178" t="str">
        <f>IFERROR(__xludf.DUMMYFUNCTION("""COMPUTED_VALUE"""),"ITBISA-IC-74HC245N-DIP20")</f>
        <v>ITBISA-IC-74HC245N-DIP20</v>
      </c>
      <c r="B3726" s="266">
        <f>IFERROR(__xludf.DUMMYFUNCTION("""COMPUTED_VALUE"""),45195.0)</f>
        <v>45195</v>
      </c>
      <c r="C3726" s="266" t="str">
        <f>IFERROR(__xludf.DUMMYFUNCTION("""COMPUTED_VALUE"""),"KYAI KONTONG")</f>
        <v>KYAI KONTONG</v>
      </c>
      <c r="D3726" s="186">
        <f>IFERROR(__xludf.DUMMYFUNCTION("""COMPUTED_VALUE"""),3.0)</f>
        <v>3</v>
      </c>
    </row>
    <row r="3727">
      <c r="A3727" s="178" t="str">
        <f>IFERROR(__xludf.DUMMYFUNCTION("""COMPUTED_VALUE"""),"ITBISA-IC-74HC245N-DIP20")</f>
        <v>ITBISA-IC-74HC245N-DIP20</v>
      </c>
      <c r="B3727" s="266">
        <f>IFERROR(__xludf.DUMMYFUNCTION("""COMPUTED_VALUE"""),45197.0)</f>
        <v>45197</v>
      </c>
      <c r="C3727" s="266" t="str">
        <f>IFERROR(__xludf.DUMMYFUNCTION("""COMPUTED_VALUE"""),"KYAI KONTONG")</f>
        <v>KYAI KONTONG</v>
      </c>
      <c r="D3727" s="186">
        <f>IFERROR(__xludf.DUMMYFUNCTION("""COMPUTED_VALUE"""),100.0)</f>
        <v>100</v>
      </c>
    </row>
    <row r="3728">
      <c r="A3728" s="178" t="str">
        <f>IFERROR(__xludf.DUMMYFUNCTION("""COMPUTED_VALUE"""),"ITBISA-IC-74HC245N-DIP20")</f>
        <v>ITBISA-IC-74HC245N-DIP20</v>
      </c>
      <c r="B3728" s="266">
        <f>IFERROR(__xludf.DUMMYFUNCTION("""COMPUTED_VALUE"""),45206.0)</f>
        <v>45206</v>
      </c>
      <c r="C3728" s="266" t="str">
        <f>IFERROR(__xludf.DUMMYFUNCTION("""COMPUTED_VALUE"""),"KYAI KONTONG")</f>
        <v>KYAI KONTONG</v>
      </c>
      <c r="D3728" s="186">
        <f>IFERROR(__xludf.DUMMYFUNCTION("""COMPUTED_VALUE"""),2.0)</f>
        <v>2</v>
      </c>
    </row>
    <row r="3729">
      <c r="A3729" s="178" t="str">
        <f>IFERROR(__xludf.DUMMYFUNCTION("""COMPUTED_VALUE"""),"ITBISA-IC-74HC245N-DIP20")</f>
        <v>ITBISA-IC-74HC245N-DIP20</v>
      </c>
      <c r="B3729" s="266">
        <f>IFERROR(__xludf.DUMMYFUNCTION("""COMPUTED_VALUE"""),45234.0)</f>
        <v>45234</v>
      </c>
      <c r="C3729" s="266" t="str">
        <f>IFERROR(__xludf.DUMMYFUNCTION("""COMPUTED_VALUE"""),"KYAI KONTONG")</f>
        <v>KYAI KONTONG</v>
      </c>
      <c r="D3729" s="186">
        <f>IFERROR(__xludf.DUMMYFUNCTION("""COMPUTED_VALUE"""),60.0)</f>
        <v>60</v>
      </c>
    </row>
    <row r="3730">
      <c r="A3730" s="178" t="str">
        <f>IFERROR(__xludf.DUMMYFUNCTION("""COMPUTED_VALUE"""),"ITBISA-IC-74HC245N-DIP20")</f>
        <v>ITBISA-IC-74HC245N-DIP20</v>
      </c>
      <c r="B3730" s="266">
        <f>IFERROR(__xludf.DUMMYFUNCTION("""COMPUTED_VALUE"""),45245.0)</f>
        <v>45245</v>
      </c>
      <c r="C3730" s="266" t="str">
        <f>IFERROR(__xludf.DUMMYFUNCTION("""COMPUTED_VALUE"""),"KYAI KONTONG")</f>
        <v>KYAI KONTONG</v>
      </c>
      <c r="D3730" s="186">
        <f>IFERROR(__xludf.DUMMYFUNCTION("""COMPUTED_VALUE"""),2.0)</f>
        <v>2</v>
      </c>
    </row>
    <row r="3731">
      <c r="A3731" s="178" t="str">
        <f>IFERROR(__xludf.DUMMYFUNCTION("""COMPUTED_VALUE"""),"ITBISA-IC-74HC245N-DIP20")</f>
        <v>ITBISA-IC-74HC245N-DIP20</v>
      </c>
      <c r="B3731" s="266">
        <f>IFERROR(__xludf.DUMMYFUNCTION("""COMPUTED_VALUE"""),45246.0)</f>
        <v>45246</v>
      </c>
      <c r="C3731" s="266" t="str">
        <f>IFERROR(__xludf.DUMMYFUNCTION("""COMPUTED_VALUE"""),"KYAI KONTONG")</f>
        <v>KYAI KONTONG</v>
      </c>
      <c r="D3731" s="186">
        <f>IFERROR(__xludf.DUMMYFUNCTION("""COMPUTED_VALUE"""),10.0)</f>
        <v>10</v>
      </c>
    </row>
    <row r="3732">
      <c r="A3732" s="178" t="str">
        <f>IFERROR(__xludf.DUMMYFUNCTION("""COMPUTED_VALUE"""),"ITBISA-IC-74HC245N-DIP20")</f>
        <v>ITBISA-IC-74HC245N-DIP20</v>
      </c>
      <c r="B3732" s="266">
        <f>IFERROR(__xludf.DUMMYFUNCTION("""COMPUTED_VALUE"""),45247.0)</f>
        <v>45247</v>
      </c>
      <c r="C3732" s="266" t="str">
        <f>IFERROR(__xludf.DUMMYFUNCTION("""COMPUTED_VALUE"""),"KYAI KONTONG")</f>
        <v>KYAI KONTONG</v>
      </c>
      <c r="D3732" s="186">
        <f>IFERROR(__xludf.DUMMYFUNCTION("""COMPUTED_VALUE"""),10.0)</f>
        <v>10</v>
      </c>
    </row>
    <row r="3733">
      <c r="A3733" s="178" t="str">
        <f>IFERROR(__xludf.DUMMYFUNCTION("""COMPUTED_VALUE"""),"ITBISA-IC-74HC245N-DIP20")</f>
        <v>ITBISA-IC-74HC245N-DIP20</v>
      </c>
      <c r="B3733" s="266">
        <f>IFERROR(__xludf.DUMMYFUNCTION("""COMPUTED_VALUE"""),45250.0)</f>
        <v>45250</v>
      </c>
      <c r="C3733" s="266" t="str">
        <f>IFERROR(__xludf.DUMMYFUNCTION("""COMPUTED_VALUE"""),"KYAI KONTONG")</f>
        <v>KYAI KONTONG</v>
      </c>
      <c r="D3733" s="186">
        <f>IFERROR(__xludf.DUMMYFUNCTION("""COMPUTED_VALUE"""),15.0)</f>
        <v>15</v>
      </c>
    </row>
    <row r="3734">
      <c r="A3734" s="178" t="str">
        <f>IFERROR(__xludf.DUMMYFUNCTION("""COMPUTED_VALUE"""),"ITBISA-IC-74HC245N-DIP20")</f>
        <v>ITBISA-IC-74HC245N-DIP20</v>
      </c>
      <c r="B3734" s="266">
        <f>IFERROR(__xludf.DUMMYFUNCTION("""COMPUTED_VALUE"""),45251.0)</f>
        <v>45251</v>
      </c>
      <c r="C3734" s="266" t="str">
        <f>IFERROR(__xludf.DUMMYFUNCTION("""COMPUTED_VALUE"""),"KYAI KONTONG")</f>
        <v>KYAI KONTONG</v>
      </c>
      <c r="D3734" s="186">
        <f>IFERROR(__xludf.DUMMYFUNCTION("""COMPUTED_VALUE"""),5.0)</f>
        <v>5</v>
      </c>
    </row>
    <row r="3735">
      <c r="A3735" s="178" t="str">
        <f>IFERROR(__xludf.DUMMYFUNCTION("""COMPUTED_VALUE"""),"ITBISA-IC-74HC245N-DIP20")</f>
        <v>ITBISA-IC-74HC245N-DIP20</v>
      </c>
      <c r="B3735" s="266">
        <f>IFERROR(__xludf.DUMMYFUNCTION("""COMPUTED_VALUE"""),45255.0)</f>
        <v>45255</v>
      </c>
      <c r="C3735" s="266" t="str">
        <f>IFERROR(__xludf.DUMMYFUNCTION("""COMPUTED_VALUE"""),"KYAI KONTONG")</f>
        <v>KYAI KONTONG</v>
      </c>
      <c r="D3735" s="186">
        <f>IFERROR(__xludf.DUMMYFUNCTION("""COMPUTED_VALUE"""),20.0)</f>
        <v>20</v>
      </c>
    </row>
    <row r="3736">
      <c r="A3736" s="178" t="str">
        <f>IFERROR(__xludf.DUMMYFUNCTION("""COMPUTED_VALUE"""),"ITBISA-IC-74HC245N-DIP20")</f>
        <v>ITBISA-IC-74HC245N-DIP20</v>
      </c>
      <c r="B3736" s="266">
        <f>IFERROR(__xludf.DUMMYFUNCTION("""COMPUTED_VALUE"""),45259.0)</f>
        <v>45259</v>
      </c>
      <c r="C3736" s="266" t="str">
        <f>IFERROR(__xludf.DUMMYFUNCTION("""COMPUTED_VALUE"""),"KYAI KONTONG")</f>
        <v>KYAI KONTONG</v>
      </c>
      <c r="D3736" s="186">
        <f>IFERROR(__xludf.DUMMYFUNCTION("""COMPUTED_VALUE"""),20.0)</f>
        <v>20</v>
      </c>
    </row>
    <row r="3737">
      <c r="A3737" s="178" t="str">
        <f>IFERROR(__xludf.DUMMYFUNCTION("""COMPUTED_VALUE"""),"ITBISA-IC-74HC245N-DIP20")</f>
        <v>ITBISA-IC-74HC245N-DIP20</v>
      </c>
      <c r="B3737" s="266">
        <f>IFERROR(__xludf.DUMMYFUNCTION("""COMPUTED_VALUE"""),45280.0)</f>
        <v>45280</v>
      </c>
      <c r="C3737" s="266" t="str">
        <f>IFERROR(__xludf.DUMMYFUNCTION("""COMPUTED_VALUE"""),"KYAI KONTONG")</f>
        <v>KYAI KONTONG</v>
      </c>
      <c r="D3737" s="186">
        <f>IFERROR(__xludf.DUMMYFUNCTION("""COMPUTED_VALUE"""),1.0)</f>
        <v>1</v>
      </c>
    </row>
    <row r="3738">
      <c r="A3738" s="178" t="str">
        <f>IFERROR(__xludf.DUMMYFUNCTION("""COMPUTED_VALUE"""),"ITBISA-IC-74HC245N-DIP20")</f>
        <v>ITBISA-IC-74HC245N-DIP20</v>
      </c>
      <c r="B3738" s="266">
        <f>IFERROR(__xludf.DUMMYFUNCTION("""COMPUTED_VALUE"""),45283.0)</f>
        <v>45283</v>
      </c>
      <c r="C3738" s="266" t="str">
        <f>IFERROR(__xludf.DUMMYFUNCTION("""COMPUTED_VALUE"""),"KYAI KONTONG")</f>
        <v>KYAI KONTONG</v>
      </c>
      <c r="D3738" s="186">
        <f>IFERROR(__xludf.DUMMYFUNCTION("""COMPUTED_VALUE"""),16.0)</f>
        <v>16</v>
      </c>
    </row>
    <row r="3739">
      <c r="A3739" s="178" t="str">
        <f>IFERROR(__xludf.DUMMYFUNCTION("""COMPUTED_VALUE"""),"ITBISA-IC-74HC245N-DIP20")</f>
        <v>ITBISA-IC-74HC245N-DIP20</v>
      </c>
      <c r="B3739" s="266">
        <f>IFERROR(__xludf.DUMMYFUNCTION("""COMPUTED_VALUE"""),45288.0)</f>
        <v>45288</v>
      </c>
      <c r="C3739" s="266" t="str">
        <f>IFERROR(__xludf.DUMMYFUNCTION("""COMPUTED_VALUE"""),"KYAI KONTONG")</f>
        <v>KYAI KONTONG</v>
      </c>
      <c r="D3739" s="186">
        <f>IFERROR(__xludf.DUMMYFUNCTION("""COMPUTED_VALUE"""),15.0)</f>
        <v>15</v>
      </c>
    </row>
    <row r="3740">
      <c r="A3740" s="178" t="str">
        <f>IFERROR(__xludf.DUMMYFUNCTION("""COMPUTED_VALUE"""),"ITBISA-IC-74HC245N-DIP20")</f>
        <v>ITBISA-IC-74HC245N-DIP20</v>
      </c>
      <c r="B3740" s="266">
        <f>IFERROR(__xludf.DUMMYFUNCTION("""COMPUTED_VALUE"""),45288.0)</f>
        <v>45288</v>
      </c>
      <c r="C3740" s="266" t="str">
        <f>IFERROR(__xludf.DUMMYFUNCTION("""COMPUTED_VALUE"""),"KYAI KONTONG")</f>
        <v>KYAI KONTONG</v>
      </c>
      <c r="D3740" s="186">
        <f>IFERROR(__xludf.DUMMYFUNCTION("""COMPUTED_VALUE"""),50.0)</f>
        <v>50</v>
      </c>
    </row>
    <row r="3741">
      <c r="A3741" s="178" t="str">
        <f>IFERROR(__xludf.DUMMYFUNCTION("""COMPUTED_VALUE"""),"ITBISA-IC-74HC245N-DIP20")</f>
        <v>ITBISA-IC-74HC245N-DIP20</v>
      </c>
      <c r="B3741" s="266">
        <f>IFERROR(__xludf.DUMMYFUNCTION("""COMPUTED_VALUE"""),45293.0)</f>
        <v>45293</v>
      </c>
      <c r="C3741" s="266" t="str">
        <f>IFERROR(__xludf.DUMMYFUNCTION("""COMPUTED_VALUE"""),"KYAI KONTONG")</f>
        <v>KYAI KONTONG</v>
      </c>
      <c r="D3741" s="186">
        <f>IFERROR(__xludf.DUMMYFUNCTION("""COMPUTED_VALUE"""),15.0)</f>
        <v>15</v>
      </c>
    </row>
    <row r="3742">
      <c r="A3742" s="178" t="str">
        <f>IFERROR(__xludf.DUMMYFUNCTION("""COMPUTED_VALUE"""),"ITBISA-IC-74HC245N-DIP20")</f>
        <v>ITBISA-IC-74HC245N-DIP20</v>
      </c>
      <c r="B3742" s="266">
        <f>IFERROR(__xludf.DUMMYFUNCTION("""COMPUTED_VALUE"""),45298.0)</f>
        <v>45298</v>
      </c>
      <c r="C3742" s="266" t="str">
        <f>IFERROR(__xludf.DUMMYFUNCTION("""COMPUTED_VALUE"""),"KYAI KONTONG")</f>
        <v>KYAI KONTONG</v>
      </c>
      <c r="D3742" s="186">
        <f>IFERROR(__xludf.DUMMYFUNCTION("""COMPUTED_VALUE"""),5.0)</f>
        <v>5</v>
      </c>
    </row>
    <row r="3743">
      <c r="A3743" s="178" t="str">
        <f>IFERROR(__xludf.DUMMYFUNCTION("""COMPUTED_VALUE"""),"ITBISA-IC-74HC245N-DIP20")</f>
        <v>ITBISA-IC-74HC245N-DIP20</v>
      </c>
      <c r="B3743" s="266">
        <f>IFERROR(__xludf.DUMMYFUNCTION("""COMPUTED_VALUE"""),45299.0)</f>
        <v>45299</v>
      </c>
      <c r="C3743" s="266" t="str">
        <f>IFERROR(__xludf.DUMMYFUNCTION("""COMPUTED_VALUE"""),"KERTASARI CIAMIS")</f>
        <v>KERTASARI CIAMIS</v>
      </c>
      <c r="D3743" s="186">
        <f>IFERROR(__xludf.DUMMYFUNCTION("""COMPUTED_VALUE"""),10.0)</f>
        <v>10</v>
      </c>
    </row>
    <row r="3744">
      <c r="A3744" s="178" t="str">
        <f>IFERROR(__xludf.DUMMYFUNCTION("""COMPUTED_VALUE"""),"ITBISA-IC-74HC245N-DIP20")</f>
        <v>ITBISA-IC-74HC245N-DIP20</v>
      </c>
      <c r="B3744" s="266">
        <f>IFERROR(__xludf.DUMMYFUNCTION("""COMPUTED_VALUE"""),45299.0)</f>
        <v>45299</v>
      </c>
      <c r="C3744" s="266" t="str">
        <f>IFERROR(__xludf.DUMMYFUNCTION("""COMPUTED_VALUE"""),"KYAI KONTONG")</f>
        <v>KYAI KONTONG</v>
      </c>
      <c r="D3744" s="186">
        <f>IFERROR(__xludf.DUMMYFUNCTION("""COMPUTED_VALUE"""),20.0)</f>
        <v>20</v>
      </c>
    </row>
    <row r="3745">
      <c r="A3745" s="178" t="str">
        <f>IFERROR(__xludf.DUMMYFUNCTION("""COMPUTED_VALUE"""),"ITBISA-IC-74HC245N-DIP20")</f>
        <v>ITBISA-IC-74HC245N-DIP20</v>
      </c>
      <c r="B3745" s="266">
        <f>IFERROR(__xludf.DUMMYFUNCTION("""COMPUTED_VALUE"""),45302.0)</f>
        <v>45302</v>
      </c>
      <c r="C3745" s="266" t="str">
        <f>IFERROR(__xludf.DUMMYFUNCTION("""COMPUTED_VALUE"""),"KYAI KONTONG")</f>
        <v>KYAI KONTONG</v>
      </c>
      <c r="D3745" s="186">
        <f>IFERROR(__xludf.DUMMYFUNCTION("""COMPUTED_VALUE"""),20.0)</f>
        <v>20</v>
      </c>
    </row>
    <row r="3746">
      <c r="A3746" s="178" t="str">
        <f>IFERROR(__xludf.DUMMYFUNCTION("""COMPUTED_VALUE"""),"ITBISA-IC-74HC245N-DIP20")</f>
        <v>ITBISA-IC-74HC245N-DIP20</v>
      </c>
      <c r="B3746" s="266">
        <f>IFERROR(__xludf.DUMMYFUNCTION("""COMPUTED_VALUE"""),45307.0)</f>
        <v>45307</v>
      </c>
      <c r="C3746" s="266" t="str">
        <f>IFERROR(__xludf.DUMMYFUNCTION("""COMPUTED_VALUE"""),"KERTASARI CIAMIS")</f>
        <v>KERTASARI CIAMIS</v>
      </c>
      <c r="D3746" s="186">
        <f>IFERROR(__xludf.DUMMYFUNCTION("""COMPUTED_VALUE"""),20.0)</f>
        <v>20</v>
      </c>
    </row>
    <row r="3747">
      <c r="A3747" s="178" t="str">
        <f>IFERROR(__xludf.DUMMYFUNCTION("""COMPUTED_VALUE"""),"ITBISA-IC-74HC245N-DIP20")</f>
        <v>ITBISA-IC-74HC245N-DIP20</v>
      </c>
      <c r="B3747" s="266">
        <f>IFERROR(__xludf.DUMMYFUNCTION("""COMPUTED_VALUE"""),45309.0)</f>
        <v>45309</v>
      </c>
      <c r="C3747" s="266" t="str">
        <f>IFERROR(__xludf.DUMMYFUNCTION("""COMPUTED_VALUE"""),"KERTASARI CIAMIS")</f>
        <v>KERTASARI CIAMIS</v>
      </c>
      <c r="D3747" s="186">
        <f>IFERROR(__xludf.DUMMYFUNCTION("""COMPUTED_VALUE"""),33.0)</f>
        <v>33</v>
      </c>
    </row>
    <row r="3748">
      <c r="A3748" s="178" t="str">
        <f>IFERROR(__xludf.DUMMYFUNCTION("""COMPUTED_VALUE"""),"ITBISA-IC-74HC245N-DIP20")</f>
        <v>ITBISA-IC-74HC245N-DIP20</v>
      </c>
      <c r="B3748" s="266">
        <f>IFERROR(__xludf.DUMMYFUNCTION("""COMPUTED_VALUE"""),45311.0)</f>
        <v>45311</v>
      </c>
      <c r="C3748" s="266" t="str">
        <f>IFERROR(__xludf.DUMMYFUNCTION("""COMPUTED_VALUE"""),"KERTASARI CIAMIS")</f>
        <v>KERTASARI CIAMIS</v>
      </c>
      <c r="D3748" s="186">
        <f>IFERROR(__xludf.DUMMYFUNCTION("""COMPUTED_VALUE"""),20.0)</f>
        <v>20</v>
      </c>
    </row>
    <row r="3749">
      <c r="A3749" s="178" t="str">
        <f>IFERROR(__xludf.DUMMYFUNCTION("""COMPUTED_VALUE"""),"ITBISA-IC-74HC245N-DIP20")</f>
        <v>ITBISA-IC-74HC245N-DIP20</v>
      </c>
      <c r="B3749" s="266">
        <f>IFERROR(__xludf.DUMMYFUNCTION("""COMPUTED_VALUE"""),45317.0)</f>
        <v>45317</v>
      </c>
      <c r="C3749" s="266" t="str">
        <f>IFERROR(__xludf.DUMMYFUNCTION("""COMPUTED_VALUE"""),"RANCAEKEK ESTU")</f>
        <v>RANCAEKEK ESTU</v>
      </c>
      <c r="D3749" s="186">
        <f>IFERROR(__xludf.DUMMYFUNCTION("""COMPUTED_VALUE"""),10.0)</f>
        <v>10</v>
      </c>
    </row>
    <row r="3750">
      <c r="A3750" s="178" t="str">
        <f>IFERROR(__xludf.DUMMYFUNCTION("""COMPUTED_VALUE"""),"ITBISA-IC-74HC245N-DIP20")</f>
        <v>ITBISA-IC-74HC245N-DIP20</v>
      </c>
      <c r="B3750" s="266">
        <f>IFERROR(__xludf.DUMMYFUNCTION("""COMPUTED_VALUE"""),45317.0)</f>
        <v>45317</v>
      </c>
      <c r="C3750" s="266" t="str">
        <f>IFERROR(__xludf.DUMMYFUNCTION("""COMPUTED_VALUE"""),"RANCAEKEK ESTU")</f>
        <v>RANCAEKEK ESTU</v>
      </c>
      <c r="D3750" s="186">
        <f>IFERROR(__xludf.DUMMYFUNCTION("""COMPUTED_VALUE"""),15.0)</f>
        <v>15</v>
      </c>
    </row>
    <row r="3751">
      <c r="A3751" s="178" t="str">
        <f>IFERROR(__xludf.DUMMYFUNCTION("""COMPUTED_VALUE"""),"ITBISA-IC-74HC245N-DIP20")</f>
        <v>ITBISA-IC-74HC245N-DIP20</v>
      </c>
      <c r="B3751" s="266">
        <f>IFERROR(__xludf.DUMMYFUNCTION("""COMPUTED_VALUE"""),45322.0)</f>
        <v>45322</v>
      </c>
      <c r="C3751" s="266" t="str">
        <f>IFERROR(__xludf.DUMMYFUNCTION("""COMPUTED_VALUE"""),"RANCAEKEK ESTU")</f>
        <v>RANCAEKEK ESTU</v>
      </c>
      <c r="D3751" s="186">
        <f>IFERROR(__xludf.DUMMYFUNCTION("""COMPUTED_VALUE"""),50.0)</f>
        <v>50</v>
      </c>
    </row>
    <row r="3752">
      <c r="A3752" s="178" t="str">
        <f>IFERROR(__xludf.DUMMYFUNCTION("""COMPUTED_VALUE"""),"ITBISA-IC-74HC245N-DIP20")</f>
        <v>ITBISA-IC-74HC245N-DIP20</v>
      </c>
      <c r="B3752" s="266">
        <f>IFERROR(__xludf.DUMMYFUNCTION("""COMPUTED_VALUE"""),45323.0)</f>
        <v>45323</v>
      </c>
      <c r="C3752" s="266" t="str">
        <f>IFERROR(__xludf.DUMMYFUNCTION("""COMPUTED_VALUE"""),"KERTASARI CIAMIS")</f>
        <v>KERTASARI CIAMIS</v>
      </c>
      <c r="D3752" s="186">
        <f>IFERROR(__xludf.DUMMYFUNCTION("""COMPUTED_VALUE"""),11.0)</f>
        <v>11</v>
      </c>
    </row>
    <row r="3753">
      <c r="A3753" s="178" t="str">
        <f>IFERROR(__xludf.DUMMYFUNCTION("""COMPUTED_VALUE"""),"ITBISA-IC-74HC245N-DIP20")</f>
        <v>ITBISA-IC-74HC245N-DIP20</v>
      </c>
      <c r="B3753" s="266">
        <f>IFERROR(__xludf.DUMMYFUNCTION("""COMPUTED_VALUE"""),45324.0)</f>
        <v>45324</v>
      </c>
      <c r="C3753" s="266" t="str">
        <f>IFERROR(__xludf.DUMMYFUNCTION("""COMPUTED_VALUE"""),"KERTASARI CIAMIS")</f>
        <v>KERTASARI CIAMIS</v>
      </c>
      <c r="D3753" s="186">
        <f>IFERROR(__xludf.DUMMYFUNCTION("""COMPUTED_VALUE"""),8.0)</f>
        <v>8</v>
      </c>
    </row>
    <row r="3754">
      <c r="A3754" s="178" t="str">
        <f>IFERROR(__xludf.DUMMYFUNCTION("""COMPUTED_VALUE"""),"ITBISA-IC-74HC245N-DIP20")</f>
        <v>ITBISA-IC-74HC245N-DIP20</v>
      </c>
      <c r="B3754" s="266">
        <f>IFERROR(__xludf.DUMMYFUNCTION("""COMPUTED_VALUE"""),45325.0)</f>
        <v>45325</v>
      </c>
      <c r="C3754" s="266" t="str">
        <f>IFERROR(__xludf.DUMMYFUNCTION("""COMPUTED_VALUE"""),"KERTASARI CIAMIS")</f>
        <v>KERTASARI CIAMIS</v>
      </c>
      <c r="D3754" s="186">
        <f>IFERROR(__xludf.DUMMYFUNCTION("""COMPUTED_VALUE"""),5.0)</f>
        <v>5</v>
      </c>
    </row>
    <row r="3755">
      <c r="A3755" s="178" t="str">
        <f>IFERROR(__xludf.DUMMYFUNCTION("""COMPUTED_VALUE"""),"ITBISA-IC-74HC245N-DIP20")</f>
        <v>ITBISA-IC-74HC245N-DIP20</v>
      </c>
      <c r="B3755" s="266">
        <f>IFERROR(__xludf.DUMMYFUNCTION("""COMPUTED_VALUE"""),45325.0)</f>
        <v>45325</v>
      </c>
      <c r="C3755" s="266" t="str">
        <f>IFERROR(__xludf.DUMMYFUNCTION("""COMPUTED_VALUE"""),"KERTASARI CIAMIS")</f>
        <v>KERTASARI CIAMIS</v>
      </c>
      <c r="D3755" s="186">
        <f>IFERROR(__xludf.DUMMYFUNCTION("""COMPUTED_VALUE"""),20.0)</f>
        <v>20</v>
      </c>
    </row>
    <row r="3756">
      <c r="A3756" s="178" t="str">
        <f>IFERROR(__xludf.DUMMYFUNCTION("""COMPUTED_VALUE"""),"ITBISA-IC-74HC245N-DIP20")</f>
        <v>ITBISA-IC-74HC245N-DIP20</v>
      </c>
      <c r="B3756" s="266">
        <f>IFERROR(__xludf.DUMMYFUNCTION("""COMPUTED_VALUE"""),45328.0)</f>
        <v>45328</v>
      </c>
      <c r="C3756" s="266" t="str">
        <f>IFERROR(__xludf.DUMMYFUNCTION("""COMPUTED_VALUE"""),"KERTASARI CIAMIS")</f>
        <v>KERTASARI CIAMIS</v>
      </c>
      <c r="D3756" s="186">
        <f>IFERROR(__xludf.DUMMYFUNCTION("""COMPUTED_VALUE"""),1.0)</f>
        <v>1</v>
      </c>
    </row>
    <row r="3757">
      <c r="A3757" s="178" t="str">
        <f>IFERROR(__xludf.DUMMYFUNCTION("""COMPUTED_VALUE"""),"ITBISA-IC-74HC245N-DIP20")</f>
        <v>ITBISA-IC-74HC245N-DIP20</v>
      </c>
      <c r="B3757" s="266">
        <f>IFERROR(__xludf.DUMMYFUNCTION("""COMPUTED_VALUE"""),45331.0)</f>
        <v>45331</v>
      </c>
      <c r="C3757" s="266" t="str">
        <f>IFERROR(__xludf.DUMMYFUNCTION("""COMPUTED_VALUE"""),"KERTASARI CIAMIS")</f>
        <v>KERTASARI CIAMIS</v>
      </c>
      <c r="D3757" s="186">
        <f>IFERROR(__xludf.DUMMYFUNCTION("""COMPUTED_VALUE"""),270.0)</f>
        <v>270</v>
      </c>
    </row>
    <row r="3758">
      <c r="A3758" s="178" t="str">
        <f>IFERROR(__xludf.DUMMYFUNCTION("""COMPUTED_VALUE"""),"ITBISA-IC-74HC245N-DIP20")</f>
        <v>ITBISA-IC-74HC245N-DIP20</v>
      </c>
      <c r="B3758" s="266">
        <f>IFERROR(__xludf.DUMMYFUNCTION("""COMPUTED_VALUE"""),45332.0)</f>
        <v>45332</v>
      </c>
      <c r="C3758" s="266" t="str">
        <f>IFERROR(__xludf.DUMMYFUNCTION("""COMPUTED_VALUE"""),"KERTASARI CIAMIS")</f>
        <v>KERTASARI CIAMIS</v>
      </c>
      <c r="D3758" s="186">
        <f>IFERROR(__xludf.DUMMYFUNCTION("""COMPUTED_VALUE"""),3.0)</f>
        <v>3</v>
      </c>
    </row>
    <row r="3759">
      <c r="A3759" s="178" t="str">
        <f>IFERROR(__xludf.DUMMYFUNCTION("""COMPUTED_VALUE"""),"ITBISA-IC-74HC245N-DIP20")</f>
        <v>ITBISA-IC-74HC245N-DIP20</v>
      </c>
      <c r="B3759" s="266">
        <f>IFERROR(__xludf.DUMMYFUNCTION("""COMPUTED_VALUE"""),45337.0)</f>
        <v>45337</v>
      </c>
      <c r="C3759" s="266" t="str">
        <f>IFERROR(__xludf.DUMMYFUNCTION("""COMPUTED_VALUE"""),"KERTASARI CIAMIS")</f>
        <v>KERTASARI CIAMIS</v>
      </c>
      <c r="D3759" s="186">
        <f>IFERROR(__xludf.DUMMYFUNCTION("""COMPUTED_VALUE"""),3.0)</f>
        <v>3</v>
      </c>
    </row>
    <row r="3760">
      <c r="A3760" s="178" t="str">
        <f>IFERROR(__xludf.DUMMYFUNCTION("""COMPUTED_VALUE"""),"ITBISA-IC-74HC245N-DIP20")</f>
        <v>ITBISA-IC-74HC245N-DIP20</v>
      </c>
      <c r="B3760" s="266">
        <f>IFERROR(__xludf.DUMMYFUNCTION("""COMPUTED_VALUE"""),45337.0)</f>
        <v>45337</v>
      </c>
      <c r="C3760" s="266" t="str">
        <f>IFERROR(__xludf.DUMMYFUNCTION("""COMPUTED_VALUE"""),"KERTASARI CIAMIS")</f>
        <v>KERTASARI CIAMIS</v>
      </c>
      <c r="D3760" s="186">
        <f>IFERROR(__xludf.DUMMYFUNCTION("""COMPUTED_VALUE"""),6.0)</f>
        <v>6</v>
      </c>
    </row>
    <row r="3761">
      <c r="A3761" s="178" t="str">
        <f>IFERROR(__xludf.DUMMYFUNCTION("""COMPUTED_VALUE"""),"ITBISA-IC-74HC245N-DIP20")</f>
        <v>ITBISA-IC-74HC245N-DIP20</v>
      </c>
      <c r="B3761" s="266">
        <f>IFERROR(__xludf.DUMMYFUNCTION("""COMPUTED_VALUE"""),45338.0)</f>
        <v>45338</v>
      </c>
      <c r="C3761" s="266" t="str">
        <f>IFERROR(__xludf.DUMMYFUNCTION("""COMPUTED_VALUE"""),"KERTASARI CIAMIS")</f>
        <v>KERTASARI CIAMIS</v>
      </c>
      <c r="D3761" s="186">
        <f>IFERROR(__xludf.DUMMYFUNCTION("""COMPUTED_VALUE"""),5.0)</f>
        <v>5</v>
      </c>
    </row>
    <row r="3762">
      <c r="A3762" s="178" t="str">
        <f>IFERROR(__xludf.DUMMYFUNCTION("""COMPUTED_VALUE"""),"ITBISA-IC-74HC245N-DIP20")</f>
        <v>ITBISA-IC-74HC245N-DIP20</v>
      </c>
      <c r="B3762" s="266">
        <f>IFERROR(__xludf.DUMMYFUNCTION("""COMPUTED_VALUE"""),45338.0)</f>
        <v>45338</v>
      </c>
      <c r="C3762" s="266" t="str">
        <f>IFERROR(__xludf.DUMMYFUNCTION("""COMPUTED_VALUE"""),"KERTASARI CIAMIS")</f>
        <v>KERTASARI CIAMIS</v>
      </c>
      <c r="D3762" s="186">
        <f>IFERROR(__xludf.DUMMYFUNCTION("""COMPUTED_VALUE"""),20.0)</f>
        <v>20</v>
      </c>
    </row>
    <row r="3763">
      <c r="A3763" s="178" t="str">
        <f>IFERROR(__xludf.DUMMYFUNCTION("""COMPUTED_VALUE"""),"ITBISA-IC-74HC245N-DIP20")</f>
        <v>ITBISA-IC-74HC245N-DIP20</v>
      </c>
      <c r="B3763" s="266">
        <f>IFERROR(__xludf.DUMMYFUNCTION("""COMPUTED_VALUE"""),45346.0)</f>
        <v>45346</v>
      </c>
      <c r="C3763" s="266" t="str">
        <f>IFERROR(__xludf.DUMMYFUNCTION("""COMPUTED_VALUE"""),"KYAI KONTONG")</f>
        <v>KYAI KONTONG</v>
      </c>
      <c r="D3763" s="186">
        <f>IFERROR(__xludf.DUMMYFUNCTION("""COMPUTED_VALUE"""),9.0)</f>
        <v>9</v>
      </c>
    </row>
    <row r="3764">
      <c r="A3764" s="178" t="str">
        <f>IFERROR(__xludf.DUMMYFUNCTION("""COMPUTED_VALUE"""),"ITBISA-IC-74HC245N-DIP20")</f>
        <v>ITBISA-IC-74HC245N-DIP20</v>
      </c>
      <c r="B3764" s="266">
        <f>IFERROR(__xludf.DUMMYFUNCTION("""COMPUTED_VALUE"""),45346.0)</f>
        <v>45346</v>
      </c>
      <c r="C3764" s="266" t="str">
        <f>IFERROR(__xludf.DUMMYFUNCTION("""COMPUTED_VALUE"""),"RANCAEKEK ESTU")</f>
        <v>RANCAEKEK ESTU</v>
      </c>
      <c r="D3764" s="186">
        <f>IFERROR(__xludf.DUMMYFUNCTION("""COMPUTED_VALUE"""),50.0)</f>
        <v>50</v>
      </c>
    </row>
    <row r="3765">
      <c r="A3765" s="178" t="str">
        <f>IFERROR(__xludf.DUMMYFUNCTION("""COMPUTED_VALUE"""),"ITBISA-IC-74HC245N-DIP20")</f>
        <v>ITBISA-IC-74HC245N-DIP20</v>
      </c>
      <c r="B3765" s="266">
        <f>IFERROR(__xludf.DUMMYFUNCTION("""COMPUTED_VALUE"""),45349.0)</f>
        <v>45349</v>
      </c>
      <c r="C3765" s="266" t="str">
        <f>IFERROR(__xludf.DUMMYFUNCTION("""COMPUTED_VALUE"""),"KERTASARI CIAMIS")</f>
        <v>KERTASARI CIAMIS</v>
      </c>
      <c r="D3765" s="186">
        <f>IFERROR(__xludf.DUMMYFUNCTION("""COMPUTED_VALUE"""),50.0)</f>
        <v>50</v>
      </c>
    </row>
    <row r="3766">
      <c r="A3766" s="178" t="str">
        <f>IFERROR(__xludf.DUMMYFUNCTION("""COMPUTED_VALUE"""),"ITBISA-IC-74HC245N-DIP20")</f>
        <v>ITBISA-IC-74HC245N-DIP20</v>
      </c>
      <c r="B3766" s="266">
        <f>IFERROR(__xludf.DUMMYFUNCTION("""COMPUTED_VALUE"""),45352.0)</f>
        <v>45352</v>
      </c>
      <c r="C3766" s="266" t="str">
        <f>IFERROR(__xludf.DUMMYFUNCTION("""COMPUTED_VALUE"""),"KYAI KONTONG")</f>
        <v>KYAI KONTONG</v>
      </c>
      <c r="D3766" s="186">
        <f>IFERROR(__xludf.DUMMYFUNCTION("""COMPUTED_VALUE"""),20.0)</f>
        <v>20</v>
      </c>
    </row>
    <row r="3767">
      <c r="A3767" s="178" t="str">
        <f>IFERROR(__xludf.DUMMYFUNCTION("""COMPUTED_VALUE"""),"ITBISA-IC-74HC245N-DIP20")</f>
        <v>ITBISA-IC-74HC245N-DIP20</v>
      </c>
      <c r="B3767" s="266">
        <f>IFERROR(__xludf.DUMMYFUNCTION("""COMPUTED_VALUE"""),45357.0)</f>
        <v>45357</v>
      </c>
      <c r="C3767" s="266" t="str">
        <f>IFERROR(__xludf.DUMMYFUNCTION("""COMPUTED_VALUE"""),"KYAI KONTONG")</f>
        <v>KYAI KONTONG</v>
      </c>
      <c r="D3767" s="186">
        <f>IFERROR(__xludf.DUMMYFUNCTION("""COMPUTED_VALUE"""),30.0)</f>
        <v>30</v>
      </c>
    </row>
    <row r="3768">
      <c r="A3768" s="178" t="str">
        <f>IFERROR(__xludf.DUMMYFUNCTION("""COMPUTED_VALUE"""),"ITBISA-IC-74HC245N-DIP20")</f>
        <v>ITBISA-IC-74HC245N-DIP20</v>
      </c>
      <c r="B3768" s="266">
        <f>IFERROR(__xludf.DUMMYFUNCTION("""COMPUTED_VALUE"""),45360.0)</f>
        <v>45360</v>
      </c>
      <c r="C3768" s="266" t="str">
        <f>IFERROR(__xludf.DUMMYFUNCTION("""COMPUTED_VALUE"""),"KERTASARI CIAMIS")</f>
        <v>KERTASARI CIAMIS</v>
      </c>
      <c r="D3768" s="186">
        <f>IFERROR(__xludf.DUMMYFUNCTION("""COMPUTED_VALUE"""),5.0)</f>
        <v>5</v>
      </c>
    </row>
    <row r="3769">
      <c r="A3769" s="178" t="str">
        <f>IFERROR(__xludf.DUMMYFUNCTION("""COMPUTED_VALUE"""),"ITBISA-IC-74HC245N-DIP20")</f>
        <v>ITBISA-IC-74HC245N-DIP20</v>
      </c>
      <c r="B3769" s="266">
        <f>IFERROR(__xludf.DUMMYFUNCTION("""COMPUTED_VALUE"""),45360.0)</f>
        <v>45360</v>
      </c>
      <c r="C3769" s="266" t="str">
        <f>IFERROR(__xludf.DUMMYFUNCTION("""COMPUTED_VALUE"""),"KERTASARI CIAMIS")</f>
        <v>KERTASARI CIAMIS</v>
      </c>
      <c r="D3769" s="186">
        <f>IFERROR(__xludf.DUMMYFUNCTION("""COMPUTED_VALUE"""),45.0)</f>
        <v>45</v>
      </c>
    </row>
    <row r="3770">
      <c r="A3770" s="178" t="str">
        <f>IFERROR(__xludf.DUMMYFUNCTION("""COMPUTED_VALUE"""),"ITBISA-IC-74HC245N-DIP20")</f>
        <v>ITBISA-IC-74HC245N-DIP20</v>
      </c>
      <c r="B3770" s="266">
        <f>IFERROR(__xludf.DUMMYFUNCTION("""COMPUTED_VALUE"""),45365.0)</f>
        <v>45365</v>
      </c>
      <c r="C3770" s="266" t="str">
        <f>IFERROR(__xludf.DUMMYFUNCTION("""COMPUTED_VALUE"""),"KYAI KONTONG")</f>
        <v>KYAI KONTONG</v>
      </c>
      <c r="D3770" s="186">
        <f>IFERROR(__xludf.DUMMYFUNCTION("""COMPUTED_VALUE"""),20.0)</f>
        <v>20</v>
      </c>
    </row>
    <row r="3771">
      <c r="A3771" s="178" t="str">
        <f>IFERROR(__xludf.DUMMYFUNCTION("""COMPUTED_VALUE"""),"ITBISA-IC-74HC245N-DIP20")</f>
        <v>ITBISA-IC-74HC245N-DIP20</v>
      </c>
      <c r="B3771" s="266">
        <f>IFERROR(__xludf.DUMMYFUNCTION("""COMPUTED_VALUE"""),45366.0)</f>
        <v>45366</v>
      </c>
      <c r="C3771" s="266" t="str">
        <f>IFERROR(__xludf.DUMMYFUNCTION("""COMPUTED_VALUE"""),"KYAI KONTONG")</f>
        <v>KYAI KONTONG</v>
      </c>
      <c r="D3771" s="186">
        <f>IFERROR(__xludf.DUMMYFUNCTION("""COMPUTED_VALUE"""),100.0)</f>
        <v>100</v>
      </c>
    </row>
    <row r="3772">
      <c r="A3772" s="178" t="str">
        <f>IFERROR(__xludf.DUMMYFUNCTION("""COMPUTED_VALUE"""),"ITBISA-IC-74HC245N-DIP20")</f>
        <v>ITBISA-IC-74HC245N-DIP20</v>
      </c>
      <c r="B3772" s="266">
        <f>IFERROR(__xludf.DUMMYFUNCTION("""COMPUTED_VALUE"""),45367.0)</f>
        <v>45367</v>
      </c>
      <c r="C3772" s="266" t="str">
        <f>IFERROR(__xludf.DUMMYFUNCTION("""COMPUTED_VALUE"""),"RANCAEKEK ESTU")</f>
        <v>RANCAEKEK ESTU</v>
      </c>
      <c r="D3772" s="186">
        <f>IFERROR(__xludf.DUMMYFUNCTION("""COMPUTED_VALUE"""),50.0)</f>
        <v>50</v>
      </c>
    </row>
    <row r="3773">
      <c r="A3773" s="178" t="str">
        <f>IFERROR(__xludf.DUMMYFUNCTION("""COMPUTED_VALUE"""),"ITBISA-IC-74HC245N-DIP20")</f>
        <v>ITBISA-IC-74HC245N-DIP20</v>
      </c>
      <c r="B3773" s="266">
        <f>IFERROR(__xludf.DUMMYFUNCTION("""COMPUTED_VALUE"""),45368.0)</f>
        <v>45368</v>
      </c>
      <c r="C3773" s="266" t="str">
        <f>IFERROR(__xludf.DUMMYFUNCTION("""COMPUTED_VALUE"""),"RANCAEKEK ESTU")</f>
        <v>RANCAEKEK ESTU</v>
      </c>
      <c r="D3773" s="186">
        <f>IFERROR(__xludf.DUMMYFUNCTION("""COMPUTED_VALUE"""),150.0)</f>
        <v>150</v>
      </c>
    </row>
    <row r="3774">
      <c r="A3774" s="178" t="str">
        <f>IFERROR(__xludf.DUMMYFUNCTION("""COMPUTED_VALUE"""),"ITBISA-IC-74HC245N-DIP20")</f>
        <v>ITBISA-IC-74HC245N-DIP20</v>
      </c>
      <c r="B3774" s="266">
        <f>IFERROR(__xludf.DUMMYFUNCTION("""COMPUTED_VALUE"""),45369.0)</f>
        <v>45369</v>
      </c>
      <c r="C3774" s="266" t="str">
        <f>IFERROR(__xludf.DUMMYFUNCTION("""COMPUTED_VALUE"""),"KYAI KONTONG")</f>
        <v>KYAI KONTONG</v>
      </c>
      <c r="D3774" s="186">
        <f>IFERROR(__xludf.DUMMYFUNCTION("""COMPUTED_VALUE"""),5.0)</f>
        <v>5</v>
      </c>
    </row>
    <row r="3775">
      <c r="A3775" s="178" t="str">
        <f>IFERROR(__xludf.DUMMYFUNCTION("""COMPUTED_VALUE"""),"ITBISA-IC-74HC245N-DIP20")</f>
        <v>ITBISA-IC-74HC245N-DIP20</v>
      </c>
      <c r="B3775" s="266">
        <f>IFERROR(__xludf.DUMMYFUNCTION("""COMPUTED_VALUE"""),45370.0)</f>
        <v>45370</v>
      </c>
      <c r="C3775" s="266" t="str">
        <f>IFERROR(__xludf.DUMMYFUNCTION("""COMPUTED_VALUE"""),"KERTASARI CIAMIS")</f>
        <v>KERTASARI CIAMIS</v>
      </c>
      <c r="D3775" s="186">
        <f>IFERROR(__xludf.DUMMYFUNCTION("""COMPUTED_VALUE"""),10.0)</f>
        <v>10</v>
      </c>
    </row>
    <row r="3776">
      <c r="A3776" s="178" t="str">
        <f>IFERROR(__xludf.DUMMYFUNCTION("""COMPUTED_VALUE"""),"ITBISA-IC-74HC245N-DIP20")</f>
        <v>ITBISA-IC-74HC245N-DIP20</v>
      </c>
      <c r="B3776" s="266">
        <f>IFERROR(__xludf.DUMMYFUNCTION("""COMPUTED_VALUE"""),45371.0)</f>
        <v>45371</v>
      </c>
      <c r="C3776" s="266" t="str">
        <f>IFERROR(__xludf.DUMMYFUNCTION("""COMPUTED_VALUE"""),"KERTASARI CIAMIS")</f>
        <v>KERTASARI CIAMIS</v>
      </c>
      <c r="D3776" s="186">
        <f>IFERROR(__xludf.DUMMYFUNCTION("""COMPUTED_VALUE"""),5.0)</f>
        <v>5</v>
      </c>
    </row>
    <row r="3777">
      <c r="A3777" s="178" t="str">
        <f>IFERROR(__xludf.DUMMYFUNCTION("""COMPUTED_VALUE"""),"ITBISA-IC-74HC245N-DIP20")</f>
        <v>ITBISA-IC-74HC245N-DIP20</v>
      </c>
      <c r="B3777" s="266">
        <f>IFERROR(__xludf.DUMMYFUNCTION("""COMPUTED_VALUE"""),45373.0)</f>
        <v>45373</v>
      </c>
      <c r="C3777" s="266" t="str">
        <f>IFERROR(__xludf.DUMMYFUNCTION("""COMPUTED_VALUE"""),"KERTASARI CIAMIS")</f>
        <v>KERTASARI CIAMIS</v>
      </c>
      <c r="D3777" s="186">
        <f>IFERROR(__xludf.DUMMYFUNCTION("""COMPUTED_VALUE"""),5.0)</f>
        <v>5</v>
      </c>
    </row>
    <row r="3778">
      <c r="A3778" s="178" t="str">
        <f>IFERROR(__xludf.DUMMYFUNCTION("""COMPUTED_VALUE"""),"ITBISA-IC-74HC245N-DIP20")</f>
        <v>ITBISA-IC-74HC245N-DIP20</v>
      </c>
      <c r="B3778" s="266">
        <f>IFERROR(__xludf.DUMMYFUNCTION("""COMPUTED_VALUE"""),45374.0)</f>
        <v>45374</v>
      </c>
      <c r="C3778" s="266" t="str">
        <f>IFERROR(__xludf.DUMMYFUNCTION("""COMPUTED_VALUE"""),"KYAI KONTONG")</f>
        <v>KYAI KONTONG</v>
      </c>
      <c r="D3778" s="186">
        <f>IFERROR(__xludf.DUMMYFUNCTION("""COMPUTED_VALUE"""),10.0)</f>
        <v>10</v>
      </c>
    </row>
    <row r="3779">
      <c r="A3779" s="178" t="str">
        <f>IFERROR(__xludf.DUMMYFUNCTION("""COMPUTED_VALUE"""),"ITBISA-IC-74HC245N-DIP20")</f>
        <v>ITBISA-IC-74HC245N-DIP20</v>
      </c>
      <c r="B3779" s="266">
        <f>IFERROR(__xludf.DUMMYFUNCTION("""COMPUTED_VALUE"""),45375.0)</f>
        <v>45375</v>
      </c>
      <c r="C3779" s="266" t="str">
        <f>IFERROR(__xludf.DUMMYFUNCTION("""COMPUTED_VALUE"""),"KYAI KONTONG")</f>
        <v>KYAI KONTONG</v>
      </c>
      <c r="D3779" s="186">
        <f>IFERROR(__xludf.DUMMYFUNCTION("""COMPUTED_VALUE"""),20.0)</f>
        <v>20</v>
      </c>
    </row>
    <row r="3780">
      <c r="A3780" s="178" t="str">
        <f>IFERROR(__xludf.DUMMYFUNCTION("""COMPUTED_VALUE"""),"ITBISA-IC-74HC245N-DIP20")</f>
        <v>ITBISA-IC-74HC245N-DIP20</v>
      </c>
      <c r="B3780" s="266">
        <f>IFERROR(__xludf.DUMMYFUNCTION("""COMPUTED_VALUE"""),45387.0)</f>
        <v>45387</v>
      </c>
      <c r="C3780" s="266" t="str">
        <f>IFERROR(__xludf.DUMMYFUNCTION("""COMPUTED_VALUE"""),"KYAI KONTONG")</f>
        <v>KYAI KONTONG</v>
      </c>
      <c r="D3780" s="186">
        <f>IFERROR(__xludf.DUMMYFUNCTION("""COMPUTED_VALUE"""),18.0)</f>
        <v>18</v>
      </c>
    </row>
    <row r="3781">
      <c r="A3781" s="178" t="str">
        <f>IFERROR(__xludf.DUMMYFUNCTION("""COMPUTED_VALUE"""),"ITBISA-IC-74HC245N-DIP20")</f>
        <v>ITBISA-IC-74HC245N-DIP20</v>
      </c>
      <c r="B3781" s="266">
        <f>IFERROR(__xludf.DUMMYFUNCTION("""COMPUTED_VALUE"""),45388.0)</f>
        <v>45388</v>
      </c>
      <c r="C3781" s="266" t="str">
        <f>IFERROR(__xludf.DUMMYFUNCTION("""COMPUTED_VALUE"""),"KERTASARI CIAMIS")</f>
        <v>KERTASARI CIAMIS</v>
      </c>
      <c r="D3781" s="186">
        <f>IFERROR(__xludf.DUMMYFUNCTION("""COMPUTED_VALUE"""),50.0)</f>
        <v>50</v>
      </c>
    </row>
    <row r="3782">
      <c r="A3782" s="178" t="str">
        <f>IFERROR(__xludf.DUMMYFUNCTION("""COMPUTED_VALUE"""),"ITBISA-IC-74HC245N-DIP20")</f>
        <v>ITBISA-IC-74HC245N-DIP20</v>
      </c>
      <c r="B3782" s="266">
        <f>IFERROR(__xludf.DUMMYFUNCTION("""COMPUTED_VALUE"""),45397.0)</f>
        <v>45397</v>
      </c>
      <c r="C3782" s="266" t="str">
        <f>IFERROR(__xludf.DUMMYFUNCTION("""COMPUTED_VALUE"""),"KERTASARI CIAMIS")</f>
        <v>KERTASARI CIAMIS</v>
      </c>
      <c r="D3782" s="186">
        <f>IFERROR(__xludf.DUMMYFUNCTION("""COMPUTED_VALUE"""),11.0)</f>
        <v>11</v>
      </c>
    </row>
    <row r="3783">
      <c r="A3783" s="178" t="str">
        <f>IFERROR(__xludf.DUMMYFUNCTION("""COMPUTED_VALUE"""),"ITBISA-IC-74HC245N-DIP20")</f>
        <v>ITBISA-IC-74HC245N-DIP20</v>
      </c>
      <c r="B3783" s="266">
        <f>IFERROR(__xludf.DUMMYFUNCTION("""COMPUTED_VALUE"""),45398.0)</f>
        <v>45398</v>
      </c>
      <c r="C3783" s="266" t="str">
        <f>IFERROR(__xludf.DUMMYFUNCTION("""COMPUTED_VALUE"""),"KYAI KONTONG")</f>
        <v>KYAI KONTONG</v>
      </c>
      <c r="D3783" s="186">
        <f>IFERROR(__xludf.DUMMYFUNCTION("""COMPUTED_VALUE"""),6.0)</f>
        <v>6</v>
      </c>
    </row>
    <row r="3784">
      <c r="A3784" s="178" t="str">
        <f>IFERROR(__xludf.DUMMYFUNCTION("""COMPUTED_VALUE"""),"ITBISA-IC-74HC245N-DIP20")</f>
        <v>ITBISA-IC-74HC245N-DIP20</v>
      </c>
      <c r="B3784" s="266">
        <f>IFERROR(__xludf.DUMMYFUNCTION("""COMPUTED_VALUE"""),45399.0)</f>
        <v>45399</v>
      </c>
      <c r="C3784" s="266" t="str">
        <f>IFERROR(__xludf.DUMMYFUNCTION("""COMPUTED_VALUE"""),"KYAI KONTONG")</f>
        <v>KYAI KONTONG</v>
      </c>
      <c r="D3784" s="186">
        <f>IFERROR(__xludf.DUMMYFUNCTION("""COMPUTED_VALUE"""),36.0)</f>
        <v>36</v>
      </c>
    </row>
    <row r="3785">
      <c r="A3785" s="178" t="str">
        <f>IFERROR(__xludf.DUMMYFUNCTION("""COMPUTED_VALUE"""),"ITBISA-IC-74HC245N-DIP20")</f>
        <v>ITBISA-IC-74HC245N-DIP20</v>
      </c>
      <c r="B3785" s="266">
        <f>IFERROR(__xludf.DUMMYFUNCTION("""COMPUTED_VALUE"""),45400.0)</f>
        <v>45400</v>
      </c>
      <c r="C3785" s="266" t="str">
        <f>IFERROR(__xludf.DUMMYFUNCTION("""COMPUTED_VALUE"""),"KERTASARI CIAMIS")</f>
        <v>KERTASARI CIAMIS</v>
      </c>
      <c r="D3785" s="186">
        <f>IFERROR(__xludf.DUMMYFUNCTION("""COMPUTED_VALUE"""),18.0)</f>
        <v>18</v>
      </c>
    </row>
    <row r="3786">
      <c r="A3786" s="178" t="str">
        <f>IFERROR(__xludf.DUMMYFUNCTION("""COMPUTED_VALUE"""),"ITBISA-IC-74HC245N-DIP20")</f>
        <v>ITBISA-IC-74HC245N-DIP20</v>
      </c>
      <c r="B3786" s="266">
        <f>IFERROR(__xludf.DUMMYFUNCTION("""COMPUTED_VALUE"""),45401.0)</f>
        <v>45401</v>
      </c>
      <c r="C3786" s="266" t="str">
        <f>IFERROR(__xludf.DUMMYFUNCTION("""COMPUTED_VALUE"""),"RANCAEKEK ESTU")</f>
        <v>RANCAEKEK ESTU</v>
      </c>
      <c r="D3786" s="186">
        <f>IFERROR(__xludf.DUMMYFUNCTION("""COMPUTED_VALUE"""),100.0)</f>
        <v>100</v>
      </c>
    </row>
    <row r="3787">
      <c r="A3787" s="178" t="str">
        <f>IFERROR(__xludf.DUMMYFUNCTION("""COMPUTED_VALUE"""),"ITBISA-IC-74HC245N-DIP20")</f>
        <v>ITBISA-IC-74HC245N-DIP20</v>
      </c>
      <c r="B3787" s="266">
        <f>IFERROR(__xludf.DUMMYFUNCTION("""COMPUTED_VALUE"""),45403.0)</f>
        <v>45403</v>
      </c>
      <c r="C3787" s="266" t="str">
        <f>IFERROR(__xludf.DUMMYFUNCTION("""COMPUTED_VALUE"""),"KYAI KONTONG")</f>
        <v>KYAI KONTONG</v>
      </c>
      <c r="D3787" s="186">
        <f>IFERROR(__xludf.DUMMYFUNCTION("""COMPUTED_VALUE"""),30.0)</f>
        <v>30</v>
      </c>
    </row>
    <row r="3788">
      <c r="A3788" s="178" t="str">
        <f>IFERROR(__xludf.DUMMYFUNCTION("""COMPUTED_VALUE"""),"ITBISA-IC-74HC245N-DIP20")</f>
        <v>ITBISA-IC-74HC245N-DIP20</v>
      </c>
      <c r="B3788" s="266">
        <f>IFERROR(__xludf.DUMMYFUNCTION("""COMPUTED_VALUE"""),45404.0)</f>
        <v>45404</v>
      </c>
      <c r="C3788" s="266" t="str">
        <f>IFERROR(__xludf.DUMMYFUNCTION("""COMPUTED_VALUE"""),"KYAI KONTONG")</f>
        <v>KYAI KONTONG</v>
      </c>
      <c r="D3788" s="186">
        <f>IFERROR(__xludf.DUMMYFUNCTION("""COMPUTED_VALUE"""),270.0)</f>
        <v>270</v>
      </c>
    </row>
    <row r="3789">
      <c r="A3789" s="178" t="str">
        <f>IFERROR(__xludf.DUMMYFUNCTION("""COMPUTED_VALUE"""),"ITBISA-IC-74HC245N-DIP20")</f>
        <v>ITBISA-IC-74HC245N-DIP20</v>
      </c>
      <c r="B3789" s="266">
        <f>IFERROR(__xludf.DUMMYFUNCTION("""COMPUTED_VALUE"""),45409.0)</f>
        <v>45409</v>
      </c>
      <c r="C3789" s="266" t="str">
        <f>IFERROR(__xludf.DUMMYFUNCTION("""COMPUTED_VALUE"""),"KYAI KONTONG")</f>
        <v>KYAI KONTONG</v>
      </c>
      <c r="D3789" s="186">
        <f>IFERROR(__xludf.DUMMYFUNCTION("""COMPUTED_VALUE"""),300.0)</f>
        <v>300</v>
      </c>
    </row>
    <row r="3790">
      <c r="A3790" s="178" t="str">
        <f>IFERROR(__xludf.DUMMYFUNCTION("""COMPUTED_VALUE"""),"ITBISA-IC-74HC245N-DIP20")</f>
        <v>ITBISA-IC-74HC245N-DIP20</v>
      </c>
      <c r="B3790" s="266">
        <f>IFERROR(__xludf.DUMMYFUNCTION("""COMPUTED_VALUE"""),45410.0)</f>
        <v>45410</v>
      </c>
      <c r="C3790" s="266" t="str">
        <f>IFERROR(__xludf.DUMMYFUNCTION("""COMPUTED_VALUE"""),"KERTASARI CIAMIS")</f>
        <v>KERTASARI CIAMIS</v>
      </c>
      <c r="D3790" s="186">
        <f>IFERROR(__xludf.DUMMYFUNCTION("""COMPUTED_VALUE"""),30.0)</f>
        <v>30</v>
      </c>
    </row>
    <row r="3791">
      <c r="A3791" s="178" t="str">
        <f>IFERROR(__xludf.DUMMYFUNCTION("""COMPUTED_VALUE"""),"ITBISA-IC-74HC245N-DIP20")</f>
        <v>ITBISA-IC-74HC245N-DIP20</v>
      </c>
      <c r="B3791" s="266">
        <f>IFERROR(__xludf.DUMMYFUNCTION("""COMPUTED_VALUE"""),45411.0)</f>
        <v>45411</v>
      </c>
      <c r="C3791" s="266" t="str">
        <f>IFERROR(__xludf.DUMMYFUNCTION("""COMPUTED_VALUE"""),"KERTASARI CIAMIS")</f>
        <v>KERTASARI CIAMIS</v>
      </c>
      <c r="D3791" s="186">
        <f>IFERROR(__xludf.DUMMYFUNCTION("""COMPUTED_VALUE"""),5.0)</f>
        <v>5</v>
      </c>
    </row>
    <row r="3792">
      <c r="A3792" s="178" t="str">
        <f>IFERROR(__xludf.DUMMYFUNCTION("""COMPUTED_VALUE"""),"ITBISA-IC-74HC245N-DIP20")</f>
        <v>ITBISA-IC-74HC245N-DIP20</v>
      </c>
      <c r="B3792" s="266">
        <f>IFERROR(__xludf.DUMMYFUNCTION("""COMPUTED_VALUE"""),45411.0)</f>
        <v>45411</v>
      </c>
      <c r="C3792" s="266" t="str">
        <f>IFERROR(__xludf.DUMMYFUNCTION("""COMPUTED_VALUE"""),"KERTASARI CIAMIS")</f>
        <v>KERTASARI CIAMIS</v>
      </c>
      <c r="D3792" s="186">
        <f>IFERROR(__xludf.DUMMYFUNCTION("""COMPUTED_VALUE"""),35.0)</f>
        <v>35</v>
      </c>
    </row>
    <row r="3793">
      <c r="A3793" s="178" t="str">
        <f>IFERROR(__xludf.DUMMYFUNCTION("""COMPUTED_VALUE"""),"ITBISA-IC-74HC245N-DIP20")</f>
        <v>ITBISA-IC-74HC245N-DIP20</v>
      </c>
      <c r="B3793" s="266">
        <f>IFERROR(__xludf.DUMMYFUNCTION("""COMPUTED_VALUE"""),45412.0)</f>
        <v>45412</v>
      </c>
      <c r="C3793" s="266" t="str">
        <f>IFERROR(__xludf.DUMMYFUNCTION("""COMPUTED_VALUE"""),"KYAI KONTONG")</f>
        <v>KYAI KONTONG</v>
      </c>
      <c r="D3793" s="186">
        <f>IFERROR(__xludf.DUMMYFUNCTION("""COMPUTED_VALUE"""),50.0)</f>
        <v>50</v>
      </c>
    </row>
    <row r="3794">
      <c r="A3794" s="178" t="str">
        <f>IFERROR(__xludf.DUMMYFUNCTION("""COMPUTED_VALUE"""),"ITBISA-IC-74HC245N-DIP20")</f>
        <v>ITBISA-IC-74HC245N-DIP20</v>
      </c>
      <c r="B3794" s="266">
        <f>IFERROR(__xludf.DUMMYFUNCTION("""COMPUTED_VALUE"""),45417.0)</f>
        <v>45417</v>
      </c>
      <c r="C3794" s="266" t="str">
        <f>IFERROR(__xludf.DUMMYFUNCTION("""COMPUTED_VALUE"""),"KYAI KONTONG")</f>
        <v>KYAI KONTONG</v>
      </c>
      <c r="D3794" s="186">
        <f>IFERROR(__xludf.DUMMYFUNCTION("""COMPUTED_VALUE"""),20.0)</f>
        <v>20</v>
      </c>
    </row>
    <row r="3795">
      <c r="A3795" s="178" t="str">
        <f>IFERROR(__xludf.DUMMYFUNCTION("""COMPUTED_VALUE"""),"ITBISA-IC-74HC245N-DIP20")</f>
        <v>ITBISA-IC-74HC245N-DIP20</v>
      </c>
      <c r="B3795" s="266">
        <f>IFERROR(__xludf.DUMMYFUNCTION("""COMPUTED_VALUE"""),45420.0)</f>
        <v>45420</v>
      </c>
      <c r="C3795" s="266" t="str">
        <f>IFERROR(__xludf.DUMMYFUNCTION("""COMPUTED_VALUE"""),"KYAI KONTONG")</f>
        <v>KYAI KONTONG</v>
      </c>
      <c r="D3795" s="186">
        <f>IFERROR(__xludf.DUMMYFUNCTION("""COMPUTED_VALUE"""),5.0)</f>
        <v>5</v>
      </c>
    </row>
    <row r="3796">
      <c r="A3796" s="178" t="str">
        <f>IFERROR(__xludf.DUMMYFUNCTION("""COMPUTED_VALUE"""),"ITBISA-IC-74HC245N-DIP20")</f>
        <v>ITBISA-IC-74HC245N-DIP20</v>
      </c>
      <c r="B3796" s="266">
        <f>IFERROR(__xludf.DUMMYFUNCTION("""COMPUTED_VALUE"""),45420.0)</f>
        <v>45420</v>
      </c>
      <c r="C3796" s="266" t="str">
        <f>IFERROR(__xludf.DUMMYFUNCTION("""COMPUTED_VALUE"""),"KYAI KONTONG")</f>
        <v>KYAI KONTONG</v>
      </c>
      <c r="D3796" s="186">
        <f>IFERROR(__xludf.DUMMYFUNCTION("""COMPUTED_VALUE"""),20.0)</f>
        <v>20</v>
      </c>
    </row>
    <row r="3797">
      <c r="A3797" s="178" t="str">
        <f>IFERROR(__xludf.DUMMYFUNCTION("""COMPUTED_VALUE"""),"ITBISA-IC-74HC245N-DIP20")</f>
        <v>ITBISA-IC-74HC245N-DIP20</v>
      </c>
      <c r="B3797" s="266">
        <f>IFERROR(__xludf.DUMMYFUNCTION("""COMPUTED_VALUE"""),45421.0)</f>
        <v>45421</v>
      </c>
      <c r="C3797" s="266" t="str">
        <f>IFERROR(__xludf.DUMMYFUNCTION("""COMPUTED_VALUE"""),"KYAI KONTONG")</f>
        <v>KYAI KONTONG</v>
      </c>
      <c r="D3797" s="186">
        <f>IFERROR(__xludf.DUMMYFUNCTION("""COMPUTED_VALUE"""),15.0)</f>
        <v>15</v>
      </c>
    </row>
    <row r="3798">
      <c r="A3798" s="178" t="str">
        <f>IFERROR(__xludf.DUMMYFUNCTION("""COMPUTED_VALUE"""),"ITBISA-IC-74HC245N-DIP20")</f>
        <v>ITBISA-IC-74HC245N-DIP20</v>
      </c>
      <c r="B3798" s="266">
        <f>IFERROR(__xludf.DUMMYFUNCTION("""COMPUTED_VALUE"""),45424.0)</f>
        <v>45424</v>
      </c>
      <c r="C3798" s="266" t="str">
        <f>IFERROR(__xludf.DUMMYFUNCTION("""COMPUTED_VALUE"""),"KYAI KONTONG")</f>
        <v>KYAI KONTONG</v>
      </c>
      <c r="D3798" s="186">
        <f>IFERROR(__xludf.DUMMYFUNCTION("""COMPUTED_VALUE"""),10.0)</f>
        <v>10</v>
      </c>
    </row>
    <row r="3799">
      <c r="A3799" s="178" t="str">
        <f>IFERROR(__xludf.DUMMYFUNCTION("""COMPUTED_VALUE"""),"ITBISA-IC-74HC245N-DIP20")</f>
        <v>ITBISA-IC-74HC245N-DIP20</v>
      </c>
      <c r="B3799" s="266">
        <f>IFERROR(__xludf.DUMMYFUNCTION("""COMPUTED_VALUE"""),45429.0)</f>
        <v>45429</v>
      </c>
      <c r="C3799" s="266" t="str">
        <f>IFERROR(__xludf.DUMMYFUNCTION("""COMPUTED_VALUE"""),"KYAI KONTONG")</f>
        <v>KYAI KONTONG</v>
      </c>
      <c r="D3799" s="186">
        <f>IFERROR(__xludf.DUMMYFUNCTION("""COMPUTED_VALUE"""),100.0)</f>
        <v>100</v>
      </c>
    </row>
    <row r="3800">
      <c r="A3800" s="178" t="str">
        <f>IFERROR(__xludf.DUMMYFUNCTION("""COMPUTED_VALUE"""),"ITBISA-IC-74HC245N-DIP20")</f>
        <v>ITBISA-IC-74HC245N-DIP20</v>
      </c>
      <c r="B3800" s="266">
        <f>IFERROR(__xludf.DUMMYFUNCTION("""COMPUTED_VALUE"""),45432.0)</f>
        <v>45432</v>
      </c>
      <c r="C3800" s="266" t="str">
        <f>IFERROR(__xludf.DUMMYFUNCTION("""COMPUTED_VALUE"""),"KYAI KONTONG")</f>
        <v>KYAI KONTONG</v>
      </c>
      <c r="D3800" s="186">
        <f>IFERROR(__xludf.DUMMYFUNCTION("""COMPUTED_VALUE"""),18.0)</f>
        <v>18</v>
      </c>
    </row>
    <row r="3801">
      <c r="A3801" s="178" t="str">
        <f>IFERROR(__xludf.DUMMYFUNCTION("""COMPUTED_VALUE"""),"ITBISA-IC-74HC245N-DIP20")</f>
        <v>ITBISA-IC-74HC245N-DIP20</v>
      </c>
      <c r="B3801" s="266">
        <f>IFERROR(__xludf.DUMMYFUNCTION("""COMPUTED_VALUE"""),45433.0)</f>
        <v>45433</v>
      </c>
      <c r="C3801" s="266" t="str">
        <f>IFERROR(__xludf.DUMMYFUNCTION("""COMPUTED_VALUE"""),"KYAI KONTONG")</f>
        <v>KYAI KONTONG</v>
      </c>
      <c r="D3801" s="186">
        <f>IFERROR(__xludf.DUMMYFUNCTION("""COMPUTED_VALUE"""),10.0)</f>
        <v>10</v>
      </c>
    </row>
    <row r="3802">
      <c r="A3802" s="178" t="str">
        <f>IFERROR(__xludf.DUMMYFUNCTION("""COMPUTED_VALUE"""),"ITBISA-IC-74HC245N-DIP20")</f>
        <v>ITBISA-IC-74HC245N-DIP20</v>
      </c>
      <c r="B3802" s="266">
        <f>IFERROR(__xludf.DUMMYFUNCTION("""COMPUTED_VALUE"""),45434.0)</f>
        <v>45434</v>
      </c>
      <c r="C3802" s="266" t="str">
        <f>IFERROR(__xludf.DUMMYFUNCTION("""COMPUTED_VALUE"""),"KERTASARI CIAMIS")</f>
        <v>KERTASARI CIAMIS</v>
      </c>
      <c r="D3802" s="186">
        <f>IFERROR(__xludf.DUMMYFUNCTION("""COMPUTED_VALUE"""),10.0)</f>
        <v>10</v>
      </c>
    </row>
    <row r="3803">
      <c r="A3803" s="178" t="str">
        <f>IFERROR(__xludf.DUMMYFUNCTION("""COMPUTED_VALUE"""),"ITBISA-IC-74HC245N-DIP20")</f>
        <v>ITBISA-IC-74HC245N-DIP20</v>
      </c>
      <c r="B3803" s="266">
        <f>IFERROR(__xludf.DUMMYFUNCTION("""COMPUTED_VALUE"""),45434.0)</f>
        <v>45434</v>
      </c>
      <c r="C3803" s="266" t="str">
        <f>IFERROR(__xludf.DUMMYFUNCTION("""COMPUTED_VALUE"""),"KYAI KONTONG")</f>
        <v>KYAI KONTONG</v>
      </c>
      <c r="D3803" s="186">
        <f>IFERROR(__xludf.DUMMYFUNCTION("""COMPUTED_VALUE"""),10.0)</f>
        <v>10</v>
      </c>
    </row>
    <row r="3804">
      <c r="A3804" s="178" t="str">
        <f>IFERROR(__xludf.DUMMYFUNCTION("""COMPUTED_VALUE"""),"ITBISA-IC-74HC245N-DIP20")</f>
        <v>ITBISA-IC-74HC245N-DIP20</v>
      </c>
      <c r="B3804" s="266">
        <f>IFERROR(__xludf.DUMMYFUNCTION("""COMPUTED_VALUE"""),45439.0)</f>
        <v>45439</v>
      </c>
      <c r="C3804" s="266" t="str">
        <f>IFERROR(__xludf.DUMMYFUNCTION("""COMPUTED_VALUE"""),"KYAI KONTONG")</f>
        <v>KYAI KONTONG</v>
      </c>
      <c r="D3804" s="186">
        <f>IFERROR(__xludf.DUMMYFUNCTION("""COMPUTED_VALUE"""),16.0)</f>
        <v>16</v>
      </c>
    </row>
    <row r="3805">
      <c r="A3805" s="178" t="str">
        <f>IFERROR(__xludf.DUMMYFUNCTION("""COMPUTED_VALUE"""),"ITBISA-IC-74HC245N-DIP20")</f>
        <v>ITBISA-IC-74HC245N-DIP20</v>
      </c>
      <c r="B3805" s="266">
        <f>IFERROR(__xludf.DUMMYFUNCTION("""COMPUTED_VALUE"""),45445.0)</f>
        <v>45445</v>
      </c>
      <c r="C3805" s="266" t="str">
        <f>IFERROR(__xludf.DUMMYFUNCTION("""COMPUTED_VALUE"""),"KYAI KONTONG")</f>
        <v>KYAI KONTONG</v>
      </c>
      <c r="D3805" s="186">
        <f>IFERROR(__xludf.DUMMYFUNCTION("""COMPUTED_VALUE"""),20.0)</f>
        <v>20</v>
      </c>
    </row>
    <row r="3806">
      <c r="A3806" s="178" t="str">
        <f>IFERROR(__xludf.DUMMYFUNCTION("""COMPUTED_VALUE"""),"ITBISA-IC-74HC245N-DIP20")</f>
        <v>ITBISA-IC-74HC245N-DIP20</v>
      </c>
      <c r="B3806" s="266">
        <f>IFERROR(__xludf.DUMMYFUNCTION("""COMPUTED_VALUE"""),45446.0)</f>
        <v>45446</v>
      </c>
      <c r="C3806" s="266" t="str">
        <f>IFERROR(__xludf.DUMMYFUNCTION("""COMPUTED_VALUE"""),"KYAI KONTONG")</f>
        <v>KYAI KONTONG</v>
      </c>
      <c r="D3806" s="186">
        <f>IFERROR(__xludf.DUMMYFUNCTION("""COMPUTED_VALUE"""),5.0)</f>
        <v>5</v>
      </c>
    </row>
    <row r="3807">
      <c r="A3807" s="178" t="str">
        <f>IFERROR(__xludf.DUMMYFUNCTION("""COMPUTED_VALUE"""),"ITBISA-IC-74HC245N-DIP20")</f>
        <v>ITBISA-IC-74HC245N-DIP20</v>
      </c>
      <c r="B3807" s="266">
        <f>IFERROR(__xludf.DUMMYFUNCTION("""COMPUTED_VALUE"""),45449.0)</f>
        <v>45449</v>
      </c>
      <c r="C3807" s="266" t="str">
        <f>IFERROR(__xludf.DUMMYFUNCTION("""COMPUTED_VALUE"""),"KERTASARI CIAMIS")</f>
        <v>KERTASARI CIAMIS</v>
      </c>
      <c r="D3807" s="186">
        <f>IFERROR(__xludf.DUMMYFUNCTION("""COMPUTED_VALUE"""),216.0)</f>
        <v>216</v>
      </c>
    </row>
    <row r="3808">
      <c r="A3808" s="178" t="str">
        <f>IFERROR(__xludf.DUMMYFUNCTION("""COMPUTED_VALUE"""),"ITBISA-IC-74HC245N-DIP20")</f>
        <v>ITBISA-IC-74HC245N-DIP20</v>
      </c>
      <c r="B3808" s="266">
        <f>IFERROR(__xludf.DUMMYFUNCTION("""COMPUTED_VALUE"""),45449.0)</f>
        <v>45449</v>
      </c>
      <c r="C3808" s="266" t="str">
        <f>IFERROR(__xludf.DUMMYFUNCTION("""COMPUTED_VALUE"""),"KYAI KONTONG")</f>
        <v>KYAI KONTONG</v>
      </c>
      <c r="D3808" s="186">
        <f>IFERROR(__xludf.DUMMYFUNCTION("""COMPUTED_VALUE"""),400.0)</f>
        <v>400</v>
      </c>
    </row>
    <row r="3809">
      <c r="A3809" s="178" t="str">
        <f>IFERROR(__xludf.DUMMYFUNCTION("""COMPUTED_VALUE"""),"ITBISA-IC-74HC245N-DIP20")</f>
        <v>ITBISA-IC-74HC245N-DIP20</v>
      </c>
      <c r="B3809" s="266">
        <f>IFERROR(__xludf.DUMMYFUNCTION("""COMPUTED_VALUE"""),45451.0)</f>
        <v>45451</v>
      </c>
      <c r="C3809" s="266" t="str">
        <f>IFERROR(__xludf.DUMMYFUNCTION("""COMPUTED_VALUE"""),"KYAI KONTONG")</f>
        <v>KYAI KONTONG</v>
      </c>
      <c r="D3809" s="186">
        <f>IFERROR(__xludf.DUMMYFUNCTION("""COMPUTED_VALUE"""),30.0)</f>
        <v>30</v>
      </c>
    </row>
    <row r="3810">
      <c r="A3810" s="178" t="str">
        <f>IFERROR(__xludf.DUMMYFUNCTION("""COMPUTED_VALUE"""),"ITBISA-IC-74HC245N-DIP20")</f>
        <v>ITBISA-IC-74HC245N-DIP20</v>
      </c>
      <c r="B3810" s="266">
        <f>IFERROR(__xludf.DUMMYFUNCTION("""COMPUTED_VALUE"""),45457.0)</f>
        <v>45457</v>
      </c>
      <c r="C3810" s="266" t="str">
        <f>IFERROR(__xludf.DUMMYFUNCTION("""COMPUTED_VALUE"""),"KYAI KONTONG")</f>
        <v>KYAI KONTONG</v>
      </c>
      <c r="D3810" s="186">
        <f>IFERROR(__xludf.DUMMYFUNCTION("""COMPUTED_VALUE"""),15.0)</f>
        <v>15</v>
      </c>
    </row>
    <row r="3811">
      <c r="A3811" s="178" t="str">
        <f>IFERROR(__xludf.DUMMYFUNCTION("""COMPUTED_VALUE"""),"ITBISA-IC-74HC245N-DIP20")</f>
        <v>ITBISA-IC-74HC245N-DIP20</v>
      </c>
      <c r="B3811" s="266">
        <f>IFERROR(__xludf.DUMMYFUNCTION("""COMPUTED_VALUE"""),45458.0)</f>
        <v>45458</v>
      </c>
      <c r="C3811" s="266" t="str">
        <f>IFERROR(__xludf.DUMMYFUNCTION("""COMPUTED_VALUE"""),"KYAI KONTONG")</f>
        <v>KYAI KONTONG</v>
      </c>
      <c r="D3811" s="186">
        <f>IFERROR(__xludf.DUMMYFUNCTION("""COMPUTED_VALUE"""),10.0)</f>
        <v>10</v>
      </c>
    </row>
    <row r="3812">
      <c r="A3812" s="178" t="str">
        <f>IFERROR(__xludf.DUMMYFUNCTION("""COMPUTED_VALUE"""),"ITBISA-IC-74HC245N-DIP20")</f>
        <v>ITBISA-IC-74HC245N-DIP20</v>
      </c>
      <c r="B3812" s="266">
        <f>IFERROR(__xludf.DUMMYFUNCTION("""COMPUTED_VALUE"""),45458.0)</f>
        <v>45458</v>
      </c>
      <c r="C3812" s="266" t="str">
        <f>IFERROR(__xludf.DUMMYFUNCTION("""COMPUTED_VALUE"""),"KYAI KONTONG")</f>
        <v>KYAI KONTONG</v>
      </c>
      <c r="D3812" s="186">
        <f>IFERROR(__xludf.DUMMYFUNCTION("""COMPUTED_VALUE"""),18.0)</f>
        <v>18</v>
      </c>
    </row>
    <row r="3813">
      <c r="A3813" s="178" t="str">
        <f>IFERROR(__xludf.DUMMYFUNCTION("""COMPUTED_VALUE"""),"ITBISA-IC-74HC245N-DIP20")</f>
        <v>ITBISA-IC-74HC245N-DIP20</v>
      </c>
      <c r="B3813" s="266">
        <f>IFERROR(__xludf.DUMMYFUNCTION("""COMPUTED_VALUE"""),45459.0)</f>
        <v>45459</v>
      </c>
      <c r="C3813" s="266" t="str">
        <f>IFERROR(__xludf.DUMMYFUNCTION("""COMPUTED_VALUE"""),"KYAI KONTONG")</f>
        <v>KYAI KONTONG</v>
      </c>
      <c r="D3813" s="186">
        <f>IFERROR(__xludf.DUMMYFUNCTION("""COMPUTED_VALUE"""),20.0)</f>
        <v>20</v>
      </c>
    </row>
    <row r="3814">
      <c r="A3814" s="178" t="str">
        <f>IFERROR(__xludf.DUMMYFUNCTION("""COMPUTED_VALUE"""),"ITBISA-IC-74HC245N-DIP20")</f>
        <v>ITBISA-IC-74HC245N-DIP20</v>
      </c>
      <c r="B3814" s="266">
        <f>IFERROR(__xludf.DUMMYFUNCTION("""COMPUTED_VALUE"""),45461.0)</f>
        <v>45461</v>
      </c>
      <c r="C3814" s="266" t="str">
        <f>IFERROR(__xludf.DUMMYFUNCTION("""COMPUTED_VALUE"""),"KYAI KONTONG")</f>
        <v>KYAI KONTONG</v>
      </c>
      <c r="D3814" s="186">
        <f>IFERROR(__xludf.DUMMYFUNCTION("""COMPUTED_VALUE"""),5.0)</f>
        <v>5</v>
      </c>
    </row>
    <row r="3815">
      <c r="A3815" s="178" t="str">
        <f>IFERROR(__xludf.DUMMYFUNCTION("""COMPUTED_VALUE"""),"ITBISA-IC-74HC245N-DIP20")</f>
        <v>ITBISA-IC-74HC245N-DIP20</v>
      </c>
      <c r="B3815" s="266">
        <f>IFERROR(__xludf.DUMMYFUNCTION("""COMPUTED_VALUE"""),45468.0)</f>
        <v>45468</v>
      </c>
      <c r="C3815" s="266" t="str">
        <f>IFERROR(__xludf.DUMMYFUNCTION("""COMPUTED_VALUE"""),"KERTASARI CIAMIS")</f>
        <v>KERTASARI CIAMIS</v>
      </c>
      <c r="D3815" s="186">
        <f>IFERROR(__xludf.DUMMYFUNCTION("""COMPUTED_VALUE"""),6.0)</f>
        <v>6</v>
      </c>
    </row>
    <row r="3816">
      <c r="A3816" s="178" t="str">
        <f>IFERROR(__xludf.DUMMYFUNCTION("""COMPUTED_VALUE"""),"ITBISA-IC-74HC245N-DIP20")</f>
        <v>ITBISA-IC-74HC245N-DIP20</v>
      </c>
      <c r="B3816" s="266">
        <f>IFERROR(__xludf.DUMMYFUNCTION("""COMPUTED_VALUE"""),45469.0)</f>
        <v>45469</v>
      </c>
      <c r="C3816" s="266" t="str">
        <f>IFERROR(__xludf.DUMMYFUNCTION("""COMPUTED_VALUE"""),"KERTASARI CIAMIS")</f>
        <v>KERTASARI CIAMIS</v>
      </c>
      <c r="D3816" s="186">
        <f>IFERROR(__xludf.DUMMYFUNCTION("""COMPUTED_VALUE"""),5.0)</f>
        <v>5</v>
      </c>
    </row>
    <row r="3817">
      <c r="A3817" s="178" t="str">
        <f>IFERROR(__xludf.DUMMYFUNCTION("""COMPUTED_VALUE"""),"ITBISA-IC-74HC245N-DIP20")</f>
        <v>ITBISA-IC-74HC245N-DIP20</v>
      </c>
      <c r="B3817" s="266">
        <f>IFERROR(__xludf.DUMMYFUNCTION("""COMPUTED_VALUE"""),45469.0)</f>
        <v>45469</v>
      </c>
      <c r="C3817" s="266" t="str">
        <f>IFERROR(__xludf.DUMMYFUNCTION("""COMPUTED_VALUE"""),"KYAI KONTONG")</f>
        <v>KYAI KONTONG</v>
      </c>
      <c r="D3817" s="186">
        <f>IFERROR(__xludf.DUMMYFUNCTION("""COMPUTED_VALUE"""),50.0)</f>
        <v>50</v>
      </c>
    </row>
    <row r="3818">
      <c r="A3818" s="178" t="str">
        <f>IFERROR(__xludf.DUMMYFUNCTION("""COMPUTED_VALUE"""),"ITBISA-IC-74HC245N-DIP20")</f>
        <v>ITBISA-IC-74HC245N-DIP20</v>
      </c>
      <c r="B3818" s="266">
        <f>IFERROR(__xludf.DUMMYFUNCTION("""COMPUTED_VALUE"""),45470.0)</f>
        <v>45470</v>
      </c>
      <c r="C3818" s="266" t="str">
        <f>IFERROR(__xludf.DUMMYFUNCTION("""COMPUTED_VALUE"""),"KYAI KONTONG")</f>
        <v>KYAI KONTONG</v>
      </c>
      <c r="D3818" s="186">
        <f>IFERROR(__xludf.DUMMYFUNCTION("""COMPUTED_VALUE"""),18.0)</f>
        <v>18</v>
      </c>
    </row>
    <row r="3819">
      <c r="A3819" s="178" t="str">
        <f>IFERROR(__xludf.DUMMYFUNCTION("""COMPUTED_VALUE"""),"ITBISA-IC-74HC245N-DIP20")</f>
        <v>ITBISA-IC-74HC245N-DIP20</v>
      </c>
      <c r="B3819" s="266">
        <f>IFERROR(__xludf.DUMMYFUNCTION("""COMPUTED_VALUE"""),45473.0)</f>
        <v>45473</v>
      </c>
      <c r="C3819" s="266" t="str">
        <f>IFERROR(__xludf.DUMMYFUNCTION("""COMPUTED_VALUE"""),"KERTASARI CIAMIS")</f>
        <v>KERTASARI CIAMIS</v>
      </c>
      <c r="D3819" s="186">
        <f>IFERROR(__xludf.DUMMYFUNCTION("""COMPUTED_VALUE"""),20.0)</f>
        <v>20</v>
      </c>
    </row>
    <row r="3820">
      <c r="A3820" s="178" t="str">
        <f>IFERROR(__xludf.DUMMYFUNCTION("""COMPUTED_VALUE"""),"ITBISA-IC-74HC245N-DIP20")</f>
        <v>ITBISA-IC-74HC245N-DIP20</v>
      </c>
      <c r="B3820" s="266">
        <f>IFERROR(__xludf.DUMMYFUNCTION("""COMPUTED_VALUE"""),45476.0)</f>
        <v>45476</v>
      </c>
      <c r="C3820" s="266" t="str">
        <f>IFERROR(__xludf.DUMMYFUNCTION("""COMPUTED_VALUE"""),"KYAI KONTONG")</f>
        <v>KYAI KONTONG</v>
      </c>
      <c r="D3820" s="186">
        <f>IFERROR(__xludf.DUMMYFUNCTION("""COMPUTED_VALUE"""),10.0)</f>
        <v>10</v>
      </c>
    </row>
    <row r="3821">
      <c r="A3821" s="178" t="str">
        <f>IFERROR(__xludf.DUMMYFUNCTION("""COMPUTED_VALUE"""),"ITBISA-IC-74HC245N-DIP20")</f>
        <v>ITBISA-IC-74HC245N-DIP20</v>
      </c>
      <c r="B3821" s="266">
        <f>IFERROR(__xludf.DUMMYFUNCTION("""COMPUTED_VALUE"""),45477.0)</f>
        <v>45477</v>
      </c>
      <c r="C3821" s="266" t="str">
        <f>IFERROR(__xludf.DUMMYFUNCTION("""COMPUTED_VALUE"""),"KYAI KONTONG")</f>
        <v>KYAI KONTONG</v>
      </c>
      <c r="D3821" s="186">
        <f>IFERROR(__xludf.DUMMYFUNCTION("""COMPUTED_VALUE"""),36.0)</f>
        <v>36</v>
      </c>
    </row>
    <row r="3822">
      <c r="A3822" s="178" t="str">
        <f>IFERROR(__xludf.DUMMYFUNCTION("""COMPUTED_VALUE"""),"ITBISA-IC-74HC245N-DIP20")</f>
        <v>ITBISA-IC-74HC245N-DIP20</v>
      </c>
      <c r="B3822" s="266">
        <f>IFERROR(__xludf.DUMMYFUNCTION("""COMPUTED_VALUE"""),45481.0)</f>
        <v>45481</v>
      </c>
      <c r="C3822" s="266" t="str">
        <f>IFERROR(__xludf.DUMMYFUNCTION("""COMPUTED_VALUE"""),"KYAI KONTONG")</f>
        <v>KYAI KONTONG</v>
      </c>
      <c r="D3822" s="186">
        <f>IFERROR(__xludf.DUMMYFUNCTION("""COMPUTED_VALUE"""),18.0)</f>
        <v>18</v>
      </c>
    </row>
    <row r="3823">
      <c r="A3823" s="178" t="str">
        <f>IFERROR(__xludf.DUMMYFUNCTION("""COMPUTED_VALUE"""),"ITBISA-IC-74HC245N-DIP20")</f>
        <v>ITBISA-IC-74HC245N-DIP20</v>
      </c>
      <c r="B3823" s="266">
        <f>IFERROR(__xludf.DUMMYFUNCTION("""COMPUTED_VALUE"""),45483.0)</f>
        <v>45483</v>
      </c>
      <c r="C3823" s="266" t="str">
        <f>IFERROR(__xludf.DUMMYFUNCTION("""COMPUTED_VALUE"""),"KERTASARI CIAMIS")</f>
        <v>KERTASARI CIAMIS</v>
      </c>
      <c r="D3823" s="186">
        <f>IFERROR(__xludf.DUMMYFUNCTION("""COMPUTED_VALUE"""),35.0)</f>
        <v>35</v>
      </c>
    </row>
    <row r="3824">
      <c r="A3824" s="178" t="str">
        <f>IFERROR(__xludf.DUMMYFUNCTION("""COMPUTED_VALUE"""),"ITBISA-IC-74HC245N-DIP20")</f>
        <v>ITBISA-IC-74HC245N-DIP20</v>
      </c>
      <c r="B3824" s="266">
        <f>IFERROR(__xludf.DUMMYFUNCTION("""COMPUTED_VALUE"""),45485.0)</f>
        <v>45485</v>
      </c>
      <c r="C3824" s="266" t="str">
        <f>IFERROR(__xludf.DUMMYFUNCTION("""COMPUTED_VALUE"""),"KERTASARI CIAMIS")</f>
        <v>KERTASARI CIAMIS</v>
      </c>
      <c r="D3824" s="186">
        <f>IFERROR(__xludf.DUMMYFUNCTION("""COMPUTED_VALUE"""),50.0)</f>
        <v>50</v>
      </c>
    </row>
    <row r="3825">
      <c r="A3825" s="178" t="str">
        <f>IFERROR(__xludf.DUMMYFUNCTION("""COMPUTED_VALUE"""),"ITBISA-IC-74HC245N-DIP20")</f>
        <v>ITBISA-IC-74HC245N-DIP20</v>
      </c>
      <c r="B3825" s="266">
        <f>IFERROR(__xludf.DUMMYFUNCTION("""COMPUTED_VALUE"""),45488.0)</f>
        <v>45488</v>
      </c>
      <c r="C3825" s="266" t="str">
        <f>IFERROR(__xludf.DUMMYFUNCTION("""COMPUTED_VALUE"""),"KERTASARI CIAMIS")</f>
        <v>KERTASARI CIAMIS</v>
      </c>
      <c r="D3825" s="186">
        <f>IFERROR(__xludf.DUMMYFUNCTION("""COMPUTED_VALUE"""),10.0)</f>
        <v>10</v>
      </c>
    </row>
    <row r="3826">
      <c r="A3826" s="178" t="str">
        <f>IFERROR(__xludf.DUMMYFUNCTION("""COMPUTED_VALUE"""),"ITBISA-IC-74HC245N-DIP20")</f>
        <v>ITBISA-IC-74HC245N-DIP20</v>
      </c>
      <c r="B3826" s="266">
        <f>IFERROR(__xludf.DUMMYFUNCTION("""COMPUTED_VALUE"""),45492.0)</f>
        <v>45492</v>
      </c>
      <c r="C3826" s="266" t="str">
        <f>IFERROR(__xludf.DUMMYFUNCTION("""COMPUTED_VALUE"""),"KYAI KONTONG")</f>
        <v>KYAI KONTONG</v>
      </c>
      <c r="D3826" s="186">
        <f>IFERROR(__xludf.DUMMYFUNCTION("""COMPUTED_VALUE"""),10.0)</f>
        <v>10</v>
      </c>
    </row>
    <row r="3827">
      <c r="A3827" s="178" t="str">
        <f>IFERROR(__xludf.DUMMYFUNCTION("""COMPUTED_VALUE"""),"ITBISA-IC-74HC245N-DIP20")</f>
        <v>ITBISA-IC-74HC245N-DIP20</v>
      </c>
      <c r="B3827" s="266">
        <f>IFERROR(__xludf.DUMMYFUNCTION("""COMPUTED_VALUE"""),45498.0)</f>
        <v>45498</v>
      </c>
      <c r="C3827" s="266" t="str">
        <f>IFERROR(__xludf.DUMMYFUNCTION("""COMPUTED_VALUE"""),"KYAI KONTONG")</f>
        <v>KYAI KONTONG</v>
      </c>
      <c r="D3827" s="186">
        <f>IFERROR(__xludf.DUMMYFUNCTION("""COMPUTED_VALUE"""),200.0)</f>
        <v>200</v>
      </c>
    </row>
    <row r="3828">
      <c r="A3828" s="178" t="str">
        <f>IFERROR(__xludf.DUMMYFUNCTION("""COMPUTED_VALUE"""),"ITBISA-IC-74HC245N-DIP20")</f>
        <v>ITBISA-IC-74HC245N-DIP20</v>
      </c>
      <c r="B3828" s="266">
        <f>IFERROR(__xludf.DUMMYFUNCTION("""COMPUTED_VALUE"""),45501.0)</f>
        <v>45501</v>
      </c>
      <c r="C3828" s="266" t="str">
        <f>IFERROR(__xludf.DUMMYFUNCTION("""COMPUTED_VALUE"""),"KYAI KONTONG")</f>
        <v>KYAI KONTONG</v>
      </c>
      <c r="D3828" s="186">
        <f>IFERROR(__xludf.DUMMYFUNCTION("""COMPUTED_VALUE"""),4.0)</f>
        <v>4</v>
      </c>
    </row>
    <row r="3829">
      <c r="A3829" s="178" t="str">
        <f>IFERROR(__xludf.DUMMYFUNCTION("""COMPUTED_VALUE"""),"ITBISA-IC-74HC245N-DIP20")</f>
        <v>ITBISA-IC-74HC245N-DIP20</v>
      </c>
      <c r="B3829" s="266">
        <f>IFERROR(__xludf.DUMMYFUNCTION("""COMPUTED_VALUE"""),45511.0)</f>
        <v>45511</v>
      </c>
      <c r="C3829" s="266" t="str">
        <f>IFERROR(__xludf.DUMMYFUNCTION("""COMPUTED_VALUE"""),"KYAI KONTONG")</f>
        <v>KYAI KONTONG</v>
      </c>
      <c r="D3829" s="186">
        <f>IFERROR(__xludf.DUMMYFUNCTION("""COMPUTED_VALUE"""),20.0)</f>
        <v>20</v>
      </c>
    </row>
    <row r="3830">
      <c r="A3830" s="178" t="str">
        <f>IFERROR(__xludf.DUMMYFUNCTION("""COMPUTED_VALUE"""),"ITBISA-IC-74HC245N-DIP20")</f>
        <v>ITBISA-IC-74HC245N-DIP20</v>
      </c>
      <c r="B3830" s="266">
        <f>IFERROR(__xludf.DUMMYFUNCTION("""COMPUTED_VALUE"""),45513.0)</f>
        <v>45513</v>
      </c>
      <c r="C3830" s="266" t="str">
        <f>IFERROR(__xludf.DUMMYFUNCTION("""COMPUTED_VALUE"""),"KERTASARI CIAMIS")</f>
        <v>KERTASARI CIAMIS</v>
      </c>
      <c r="D3830" s="186">
        <f>IFERROR(__xludf.DUMMYFUNCTION("""COMPUTED_VALUE"""),90.0)</f>
        <v>90</v>
      </c>
    </row>
    <row r="3831">
      <c r="A3831" s="178" t="str">
        <f>IFERROR(__xludf.DUMMYFUNCTION("""COMPUTED_VALUE"""),"ITBISA-IC-74HC245N-DIP20")</f>
        <v>ITBISA-IC-74HC245N-DIP20</v>
      </c>
      <c r="B3831" s="266">
        <f>IFERROR(__xludf.DUMMYFUNCTION("""COMPUTED_VALUE"""),45514.0)</f>
        <v>45514</v>
      </c>
      <c r="C3831" s="266" t="str">
        <f>IFERROR(__xludf.DUMMYFUNCTION("""COMPUTED_VALUE"""),"KERTASARI CIAMIS")</f>
        <v>KERTASARI CIAMIS</v>
      </c>
      <c r="D3831" s="186">
        <f>IFERROR(__xludf.DUMMYFUNCTION("""COMPUTED_VALUE"""),5.0)</f>
        <v>5</v>
      </c>
    </row>
    <row r="3832">
      <c r="A3832" s="178" t="str">
        <f>IFERROR(__xludf.DUMMYFUNCTION("""COMPUTED_VALUE"""),"ITBISA-IC-74HC245N-DIP20")</f>
        <v>ITBISA-IC-74HC245N-DIP20</v>
      </c>
      <c r="B3832" s="266">
        <f>IFERROR(__xludf.DUMMYFUNCTION("""COMPUTED_VALUE"""),45515.0)</f>
        <v>45515</v>
      </c>
      <c r="C3832" s="266" t="str">
        <f>IFERROR(__xludf.DUMMYFUNCTION("""COMPUTED_VALUE"""),"KERTASARI CIAMIS")</f>
        <v>KERTASARI CIAMIS</v>
      </c>
      <c r="D3832" s="186">
        <f>IFERROR(__xludf.DUMMYFUNCTION("""COMPUTED_VALUE"""),20.0)</f>
        <v>20</v>
      </c>
    </row>
    <row r="3833">
      <c r="A3833" s="178" t="str">
        <f>IFERROR(__xludf.DUMMYFUNCTION("""COMPUTED_VALUE"""),"ITBISA-IC-74HC245N-DIP20")</f>
        <v>ITBISA-IC-74HC245N-DIP20</v>
      </c>
      <c r="B3833" s="266">
        <f>IFERROR(__xludf.DUMMYFUNCTION("""COMPUTED_VALUE"""),45519.0)</f>
        <v>45519</v>
      </c>
      <c r="C3833" s="266" t="str">
        <f>IFERROR(__xludf.DUMMYFUNCTION("""COMPUTED_VALUE"""),"KYAI KONTONG")</f>
        <v>KYAI KONTONG</v>
      </c>
      <c r="D3833" s="186">
        <f>IFERROR(__xludf.DUMMYFUNCTION("""COMPUTED_VALUE"""),20.0)</f>
        <v>20</v>
      </c>
    </row>
    <row r="3834">
      <c r="A3834" s="178" t="str">
        <f>IFERROR(__xludf.DUMMYFUNCTION("""COMPUTED_VALUE"""),"ITBISA-IC-74HC245N-DIP20")</f>
        <v>ITBISA-IC-74HC245N-DIP20</v>
      </c>
      <c r="B3834" s="266">
        <f>IFERROR(__xludf.DUMMYFUNCTION("""COMPUTED_VALUE"""),45522.0)</f>
        <v>45522</v>
      </c>
      <c r="C3834" s="266" t="str">
        <f>IFERROR(__xludf.DUMMYFUNCTION("""COMPUTED_VALUE"""),"KERTASARI CIAMIS")</f>
        <v>KERTASARI CIAMIS</v>
      </c>
      <c r="D3834" s="186">
        <f>IFERROR(__xludf.DUMMYFUNCTION("""COMPUTED_VALUE"""),10.0)</f>
        <v>10</v>
      </c>
    </row>
    <row r="3835">
      <c r="A3835" s="178" t="str">
        <f>IFERROR(__xludf.DUMMYFUNCTION("""COMPUTED_VALUE"""),"ITBISA-IC-74HC245N-DIP20")</f>
        <v>ITBISA-IC-74HC245N-DIP20</v>
      </c>
      <c r="B3835" s="266">
        <f>IFERROR(__xludf.DUMMYFUNCTION("""COMPUTED_VALUE"""),45523.0)</f>
        <v>45523</v>
      </c>
      <c r="C3835" s="266" t="str">
        <f>IFERROR(__xludf.DUMMYFUNCTION("""COMPUTED_VALUE"""),"KYAI KONTONG")</f>
        <v>KYAI KONTONG</v>
      </c>
      <c r="D3835" s="186">
        <f>IFERROR(__xludf.DUMMYFUNCTION("""COMPUTED_VALUE"""),30.0)</f>
        <v>30</v>
      </c>
    </row>
    <row r="3836">
      <c r="A3836" s="178" t="str">
        <f>IFERROR(__xludf.DUMMYFUNCTION("""COMPUTED_VALUE"""),"ITBISA-IC-74HC245N-DIP20")</f>
        <v>ITBISA-IC-74HC245N-DIP20</v>
      </c>
      <c r="B3836" s="266">
        <f>IFERROR(__xludf.DUMMYFUNCTION("""COMPUTED_VALUE"""),45526.0)</f>
        <v>45526</v>
      </c>
      <c r="C3836" s="266" t="str">
        <f>IFERROR(__xludf.DUMMYFUNCTION("""COMPUTED_VALUE"""),"KYAI KONTONG")</f>
        <v>KYAI KONTONG</v>
      </c>
      <c r="D3836" s="186">
        <f>IFERROR(__xludf.DUMMYFUNCTION("""COMPUTED_VALUE"""),10.0)</f>
        <v>10</v>
      </c>
    </row>
    <row r="3837">
      <c r="A3837" s="178" t="str">
        <f>IFERROR(__xludf.DUMMYFUNCTION("""COMPUTED_VALUE"""),"ITBISA-IC-74HC245N-DIP20")</f>
        <v>ITBISA-IC-74HC245N-DIP20</v>
      </c>
      <c r="B3837" s="266">
        <f>IFERROR(__xludf.DUMMYFUNCTION("""COMPUTED_VALUE"""),45528.0)</f>
        <v>45528</v>
      </c>
      <c r="C3837" s="266" t="str">
        <f>IFERROR(__xludf.DUMMYFUNCTION("""COMPUTED_VALUE"""),"KYAI KONTONG")</f>
        <v>KYAI KONTONG</v>
      </c>
      <c r="D3837" s="186">
        <f>IFERROR(__xludf.DUMMYFUNCTION("""COMPUTED_VALUE"""),18.0)</f>
        <v>18</v>
      </c>
    </row>
    <row r="3838">
      <c r="A3838" s="178" t="str">
        <f>IFERROR(__xludf.DUMMYFUNCTION("""COMPUTED_VALUE"""),"ITBISA-IC-74HC245N-DIP20")</f>
        <v>ITBISA-IC-74HC245N-DIP20</v>
      </c>
      <c r="B3838" s="266">
        <f>IFERROR(__xludf.DUMMYFUNCTION("""COMPUTED_VALUE"""),45530.0)</f>
        <v>45530</v>
      </c>
      <c r="C3838" s="266" t="str">
        <f>IFERROR(__xludf.DUMMYFUNCTION("""COMPUTED_VALUE"""),"KERTASARI CIAMIS")</f>
        <v>KERTASARI CIAMIS</v>
      </c>
      <c r="D3838" s="186">
        <f>IFERROR(__xludf.DUMMYFUNCTION("""COMPUTED_VALUE"""),30.0)</f>
        <v>30</v>
      </c>
    </row>
    <row r="3839">
      <c r="A3839" s="178" t="str">
        <f>IFERROR(__xludf.DUMMYFUNCTION("""COMPUTED_VALUE"""),"ITBISA-IC-74HC245N-DIP20")</f>
        <v>ITBISA-IC-74HC245N-DIP20</v>
      </c>
      <c r="B3839" s="266">
        <f>IFERROR(__xludf.DUMMYFUNCTION("""COMPUTED_VALUE"""),45533.0)</f>
        <v>45533</v>
      </c>
      <c r="C3839" s="266" t="str">
        <f>IFERROR(__xludf.DUMMYFUNCTION("""COMPUTED_VALUE"""),"KERTASARI CIAMIS")</f>
        <v>KERTASARI CIAMIS</v>
      </c>
      <c r="D3839" s="186">
        <f>IFERROR(__xludf.DUMMYFUNCTION("""COMPUTED_VALUE"""),50.0)</f>
        <v>50</v>
      </c>
    </row>
    <row r="3840">
      <c r="A3840" s="178" t="str">
        <f>IFERROR(__xludf.DUMMYFUNCTION("""COMPUTED_VALUE"""),"ITBISA-IC-74HC245N-DIP20")</f>
        <v>ITBISA-IC-74HC245N-DIP20</v>
      </c>
      <c r="B3840" s="266">
        <f>IFERROR(__xludf.DUMMYFUNCTION("""COMPUTED_VALUE"""),45535.0)</f>
        <v>45535</v>
      </c>
      <c r="C3840" s="266" t="str">
        <f>IFERROR(__xludf.DUMMYFUNCTION("""COMPUTED_VALUE"""),"KERTASARI CIAMIS")</f>
        <v>KERTASARI CIAMIS</v>
      </c>
      <c r="D3840" s="186">
        <f>IFERROR(__xludf.DUMMYFUNCTION("""COMPUTED_VALUE"""),20.0)</f>
        <v>20</v>
      </c>
    </row>
    <row r="3841">
      <c r="A3841" s="178" t="str">
        <f>IFERROR(__xludf.DUMMYFUNCTION("""COMPUTED_VALUE"""),"ITBISA-IC-74HC245N-DIP20")</f>
        <v>ITBISA-IC-74HC245N-DIP20</v>
      </c>
      <c r="B3841" s="266">
        <f>IFERROR(__xludf.DUMMYFUNCTION("""COMPUTED_VALUE"""),45535.0)</f>
        <v>45535</v>
      </c>
      <c r="C3841" s="266" t="str">
        <f>IFERROR(__xludf.DUMMYFUNCTION("""COMPUTED_VALUE"""),"KYAI KONTONG")</f>
        <v>KYAI KONTONG</v>
      </c>
      <c r="D3841" s="186">
        <f>IFERROR(__xludf.DUMMYFUNCTION("""COMPUTED_VALUE"""),10.0)</f>
        <v>10</v>
      </c>
    </row>
    <row r="3842">
      <c r="A3842" s="178" t="str">
        <f>IFERROR(__xludf.DUMMYFUNCTION("""COMPUTED_VALUE"""),"ITBISA-IC-74HC245N-DIP20")</f>
        <v>ITBISA-IC-74HC245N-DIP20</v>
      </c>
      <c r="B3842" s="266">
        <f>IFERROR(__xludf.DUMMYFUNCTION("""COMPUTED_VALUE"""),45551.0)</f>
        <v>45551</v>
      </c>
      <c r="C3842" s="266" t="str">
        <f>IFERROR(__xludf.DUMMYFUNCTION("""COMPUTED_VALUE"""),"KYAI KONTONG")</f>
        <v>KYAI KONTONG</v>
      </c>
      <c r="D3842" s="186">
        <f>IFERROR(__xludf.DUMMYFUNCTION("""COMPUTED_VALUE"""),18.0)</f>
        <v>18</v>
      </c>
    </row>
    <row r="3843">
      <c r="A3843" s="178" t="str">
        <f>IFERROR(__xludf.DUMMYFUNCTION("""COMPUTED_VALUE"""),"ITBISA-IC-74HC245N-DIP20")</f>
        <v>ITBISA-IC-74HC245N-DIP20</v>
      </c>
      <c r="B3843" s="266">
        <f>IFERROR(__xludf.DUMMYFUNCTION("""COMPUTED_VALUE"""),45551.0)</f>
        <v>45551</v>
      </c>
      <c r="C3843" s="266" t="str">
        <f>IFERROR(__xludf.DUMMYFUNCTION("""COMPUTED_VALUE"""),"KYAI KONTONG")</f>
        <v>KYAI KONTONG</v>
      </c>
      <c r="D3843" s="186">
        <f>IFERROR(__xludf.DUMMYFUNCTION("""COMPUTED_VALUE"""),36.0)</f>
        <v>36</v>
      </c>
    </row>
    <row r="3844">
      <c r="A3844" s="178" t="str">
        <f>IFERROR(__xludf.DUMMYFUNCTION("""COMPUTED_VALUE"""),"ITBISA-IC-74HC245N-DIP20")</f>
        <v>ITBISA-IC-74HC245N-DIP20</v>
      </c>
      <c r="B3844" s="266">
        <f>IFERROR(__xludf.DUMMYFUNCTION("""COMPUTED_VALUE"""),45553.0)</f>
        <v>45553</v>
      </c>
      <c r="C3844" s="266" t="str">
        <f>IFERROR(__xludf.DUMMYFUNCTION("""COMPUTED_VALUE"""),"KYAI KONTONG")</f>
        <v>KYAI KONTONG</v>
      </c>
      <c r="D3844" s="186">
        <f>IFERROR(__xludf.DUMMYFUNCTION("""COMPUTED_VALUE"""),10.0)</f>
        <v>10</v>
      </c>
    </row>
    <row r="3845">
      <c r="A3845" s="178" t="str">
        <f>IFERROR(__xludf.DUMMYFUNCTION("""COMPUTED_VALUE"""),"ITBISA-IC-74HC245N-DIP20")</f>
        <v>ITBISA-IC-74HC245N-DIP20</v>
      </c>
      <c r="B3845" s="266">
        <f>IFERROR(__xludf.DUMMYFUNCTION("""COMPUTED_VALUE"""),45553.0)</f>
        <v>45553</v>
      </c>
      <c r="C3845" s="266" t="str">
        <f>IFERROR(__xludf.DUMMYFUNCTION("""COMPUTED_VALUE"""),"KYAI KONTONG")</f>
        <v>KYAI KONTONG</v>
      </c>
      <c r="D3845" s="186">
        <f>IFERROR(__xludf.DUMMYFUNCTION("""COMPUTED_VALUE"""),92.0)</f>
        <v>92</v>
      </c>
    </row>
    <row r="3846">
      <c r="A3846" s="178" t="str">
        <f>IFERROR(__xludf.DUMMYFUNCTION("""COMPUTED_VALUE"""),"ITBISA-IC-74HC245N-DIP20")</f>
        <v>ITBISA-IC-74HC245N-DIP20</v>
      </c>
      <c r="B3846" s="266">
        <f>IFERROR(__xludf.DUMMYFUNCTION("""COMPUTED_VALUE"""),45567.0)</f>
        <v>45567</v>
      </c>
      <c r="C3846" s="266" t="str">
        <f>IFERROR(__xludf.DUMMYFUNCTION("""COMPUTED_VALUE"""),"KYAI KONTONG")</f>
        <v>KYAI KONTONG</v>
      </c>
      <c r="D3846" s="186">
        <f>IFERROR(__xludf.DUMMYFUNCTION("""COMPUTED_VALUE"""),10.0)</f>
        <v>10</v>
      </c>
    </row>
    <row r="3847">
      <c r="A3847" s="178" t="str">
        <f>IFERROR(__xludf.DUMMYFUNCTION("""COMPUTED_VALUE"""),"ITBISA-IC-74HC245N-DIP20")</f>
        <v>ITBISA-IC-74HC245N-DIP20</v>
      </c>
      <c r="B3847" s="266">
        <f>IFERROR(__xludf.DUMMYFUNCTION("""COMPUTED_VALUE"""),45570.0)</f>
        <v>45570</v>
      </c>
      <c r="C3847" s="266" t="str">
        <f>IFERROR(__xludf.DUMMYFUNCTION("""COMPUTED_VALUE"""),"KYAI KONTONG")</f>
        <v>KYAI KONTONG</v>
      </c>
      <c r="D3847" s="186">
        <f>IFERROR(__xludf.DUMMYFUNCTION("""COMPUTED_VALUE"""),20.0)</f>
        <v>20</v>
      </c>
    </row>
    <row r="3848">
      <c r="A3848" s="178" t="str">
        <f>IFERROR(__xludf.DUMMYFUNCTION("""COMPUTED_VALUE"""),"ITBISA-IC-74HC245N-DIP20")</f>
        <v>ITBISA-IC-74HC245N-DIP20</v>
      </c>
      <c r="B3848" s="266">
        <f>IFERROR(__xludf.DUMMYFUNCTION("""COMPUTED_VALUE"""),45577.0)</f>
        <v>45577</v>
      </c>
      <c r="C3848" s="266" t="str">
        <f>IFERROR(__xludf.DUMMYFUNCTION("""COMPUTED_VALUE"""),"KYAI KONTONG")</f>
        <v>KYAI KONTONG</v>
      </c>
      <c r="D3848" s="186">
        <f>IFERROR(__xludf.DUMMYFUNCTION("""COMPUTED_VALUE"""),1.0)</f>
        <v>1</v>
      </c>
    </row>
    <row r="3849">
      <c r="A3849" s="178" t="str">
        <f>IFERROR(__xludf.DUMMYFUNCTION("""COMPUTED_VALUE"""),"ITBISA-IC-74HC245N-DIP20")</f>
        <v>ITBISA-IC-74HC245N-DIP20</v>
      </c>
      <c r="B3849" s="266">
        <f>IFERROR(__xludf.DUMMYFUNCTION("""COMPUTED_VALUE"""),45580.0)</f>
        <v>45580</v>
      </c>
      <c r="C3849" s="266" t="str">
        <f>IFERROR(__xludf.DUMMYFUNCTION("""COMPUTED_VALUE"""),"KYAI KONTONG")</f>
        <v>KYAI KONTONG</v>
      </c>
      <c r="D3849" s="186">
        <f>IFERROR(__xludf.DUMMYFUNCTION("""COMPUTED_VALUE"""),300.0)</f>
        <v>300</v>
      </c>
    </row>
    <row r="3850">
      <c r="A3850" s="178" t="str">
        <f>IFERROR(__xludf.DUMMYFUNCTION("""COMPUTED_VALUE"""),"ITBISA-IC-74HC245N-DIP20")</f>
        <v>ITBISA-IC-74HC245N-DIP20</v>
      </c>
      <c r="B3850" s="266">
        <f>IFERROR(__xludf.DUMMYFUNCTION("""COMPUTED_VALUE"""),45584.0)</f>
        <v>45584</v>
      </c>
      <c r="C3850" s="266" t="str">
        <f>IFERROR(__xludf.DUMMYFUNCTION("""COMPUTED_VALUE"""),"KYAI KONTONG")</f>
        <v>KYAI KONTONG</v>
      </c>
      <c r="D3850" s="186">
        <f>IFERROR(__xludf.DUMMYFUNCTION("""COMPUTED_VALUE"""),10.0)</f>
        <v>10</v>
      </c>
    </row>
    <row r="3851">
      <c r="A3851" s="178" t="str">
        <f>IFERROR(__xludf.DUMMYFUNCTION("""COMPUTED_VALUE"""),"ITBISA-IC-74HC245N-DIP20")</f>
        <v>ITBISA-IC-74HC245N-DIP20</v>
      </c>
      <c r="B3851" s="266">
        <f>IFERROR(__xludf.DUMMYFUNCTION("""COMPUTED_VALUE"""),45588.0)</f>
        <v>45588</v>
      </c>
      <c r="C3851" s="266" t="str">
        <f>IFERROR(__xludf.DUMMYFUNCTION("""COMPUTED_VALUE"""),"KERTASARI CIAMIS")</f>
        <v>KERTASARI CIAMIS</v>
      </c>
      <c r="D3851" s="186">
        <f>IFERROR(__xludf.DUMMYFUNCTION("""COMPUTED_VALUE"""),20.0)</f>
        <v>20</v>
      </c>
    </row>
    <row r="3852">
      <c r="A3852" s="178" t="str">
        <f>IFERROR(__xludf.DUMMYFUNCTION("""COMPUTED_VALUE"""),"ITBISA-IC-74HC245N-DIP20")</f>
        <v>ITBISA-IC-74HC245N-DIP20</v>
      </c>
      <c r="B3852" s="266">
        <f>IFERROR(__xludf.DUMMYFUNCTION("""COMPUTED_VALUE"""),45589.0)</f>
        <v>45589</v>
      </c>
      <c r="C3852" s="266" t="str">
        <f>IFERROR(__xludf.DUMMYFUNCTION("""COMPUTED_VALUE"""),"KERTASARI CIAMIS")</f>
        <v>KERTASARI CIAMIS</v>
      </c>
      <c r="D3852" s="186">
        <f>IFERROR(__xludf.DUMMYFUNCTION("""COMPUTED_VALUE"""),10.0)</f>
        <v>10</v>
      </c>
    </row>
    <row r="3853">
      <c r="A3853" s="178" t="str">
        <f>IFERROR(__xludf.DUMMYFUNCTION("""COMPUTED_VALUE"""),"ITBISA-IC-74HC245N-DIP20")</f>
        <v>ITBISA-IC-74HC245N-DIP20</v>
      </c>
      <c r="B3853" s="266">
        <f>IFERROR(__xludf.DUMMYFUNCTION("""COMPUTED_VALUE"""),45605.0)</f>
        <v>45605</v>
      </c>
      <c r="C3853" s="266" t="str">
        <f>IFERROR(__xludf.DUMMYFUNCTION("""COMPUTED_VALUE"""),"KYAI KONTONG")</f>
        <v>KYAI KONTONG</v>
      </c>
      <c r="D3853" s="186">
        <f>IFERROR(__xludf.DUMMYFUNCTION("""COMPUTED_VALUE"""),20.0)</f>
        <v>20</v>
      </c>
    </row>
    <row r="3854">
      <c r="A3854" s="178" t="str">
        <f>IFERROR(__xludf.DUMMYFUNCTION("""COMPUTED_VALUE"""),"ITBISA-IC-74HC245N-DIP20")</f>
        <v>ITBISA-IC-74HC245N-DIP20</v>
      </c>
      <c r="B3854" s="266">
        <f>IFERROR(__xludf.DUMMYFUNCTION("""COMPUTED_VALUE"""),45614.0)</f>
        <v>45614</v>
      </c>
      <c r="C3854" s="266" t="str">
        <f>IFERROR(__xludf.DUMMYFUNCTION("""COMPUTED_VALUE"""),"KYAI KONTONG")</f>
        <v>KYAI KONTONG</v>
      </c>
      <c r="D3854" s="186">
        <f>IFERROR(__xludf.DUMMYFUNCTION("""COMPUTED_VALUE"""),2.0)</f>
        <v>2</v>
      </c>
    </row>
    <row r="3855">
      <c r="A3855" s="178" t="str">
        <f>IFERROR(__xludf.DUMMYFUNCTION("""COMPUTED_VALUE"""),"ITBISA-IC-74HC245N-DIP20")</f>
        <v>ITBISA-IC-74HC245N-DIP20</v>
      </c>
      <c r="B3855" s="266">
        <f>IFERROR(__xludf.DUMMYFUNCTION("""COMPUTED_VALUE"""),45615.0)</f>
        <v>45615</v>
      </c>
      <c r="C3855" s="266" t="str">
        <f>IFERROR(__xludf.DUMMYFUNCTION("""COMPUTED_VALUE"""),"KYAI KONTONG")</f>
        <v>KYAI KONTONG</v>
      </c>
      <c r="D3855" s="186">
        <f>IFERROR(__xludf.DUMMYFUNCTION("""COMPUTED_VALUE"""),10.0)</f>
        <v>10</v>
      </c>
    </row>
    <row r="3856">
      <c r="A3856" s="178" t="str">
        <f>IFERROR(__xludf.DUMMYFUNCTION("""COMPUTED_VALUE"""),"ITBISA-IC-74HC245N-DIP20")</f>
        <v>ITBISA-IC-74HC245N-DIP20</v>
      </c>
      <c r="B3856" s="266">
        <f>IFERROR(__xludf.DUMMYFUNCTION("""COMPUTED_VALUE"""),45618.0)</f>
        <v>45618</v>
      </c>
      <c r="C3856" s="266" t="str">
        <f>IFERROR(__xludf.DUMMYFUNCTION("""COMPUTED_VALUE"""),"KYAI KONTONG")</f>
        <v>KYAI KONTONG</v>
      </c>
      <c r="D3856" s="186">
        <f>IFERROR(__xludf.DUMMYFUNCTION("""COMPUTED_VALUE"""),18.0)</f>
        <v>18</v>
      </c>
    </row>
    <row r="3857">
      <c r="A3857" s="178" t="str">
        <f>IFERROR(__xludf.DUMMYFUNCTION("""COMPUTED_VALUE"""),"ITBISA-IC-74HC245N-DIP20")</f>
        <v>ITBISA-IC-74HC245N-DIP20</v>
      </c>
      <c r="B3857" s="266">
        <f>IFERROR(__xludf.DUMMYFUNCTION("""COMPUTED_VALUE"""),45619.0)</f>
        <v>45619</v>
      </c>
      <c r="C3857" s="266" t="str">
        <f>IFERROR(__xludf.DUMMYFUNCTION("""COMPUTED_VALUE"""),"KYAI KONTONG")</f>
        <v>KYAI KONTONG</v>
      </c>
      <c r="D3857" s="186">
        <f>IFERROR(__xludf.DUMMYFUNCTION("""COMPUTED_VALUE"""),15.0)</f>
        <v>15</v>
      </c>
    </row>
    <row r="3858">
      <c r="A3858" s="178" t="str">
        <f>IFERROR(__xludf.DUMMYFUNCTION("""COMPUTED_VALUE"""),"ITBISA-IC-74HC245N-DIP20")</f>
        <v>ITBISA-IC-74HC245N-DIP20</v>
      </c>
      <c r="B3858" s="266">
        <f>IFERROR(__xludf.DUMMYFUNCTION("""COMPUTED_VALUE"""),45624.0)</f>
        <v>45624</v>
      </c>
      <c r="C3858" s="266" t="str">
        <f>IFERROR(__xludf.DUMMYFUNCTION("""COMPUTED_VALUE"""),"KYAI KONTONG")</f>
        <v>KYAI KONTONG</v>
      </c>
      <c r="D3858" s="186">
        <f>IFERROR(__xludf.DUMMYFUNCTION("""COMPUTED_VALUE"""),180.0)</f>
        <v>180</v>
      </c>
    </row>
    <row r="3859">
      <c r="A3859" s="178" t="str">
        <f>IFERROR(__xludf.DUMMYFUNCTION("""COMPUTED_VALUE"""),"ITBISA-IC-74HC245N-DIP20")</f>
        <v>ITBISA-IC-74HC245N-DIP20</v>
      </c>
      <c r="B3859" s="266">
        <f>IFERROR(__xludf.DUMMYFUNCTION("""COMPUTED_VALUE"""),45625.0)</f>
        <v>45625</v>
      </c>
      <c r="C3859" s="266" t="str">
        <f>IFERROR(__xludf.DUMMYFUNCTION("""COMPUTED_VALUE"""),"KYAI KONTONG")</f>
        <v>KYAI KONTONG</v>
      </c>
      <c r="D3859" s="186">
        <f>IFERROR(__xludf.DUMMYFUNCTION("""COMPUTED_VALUE"""),18.0)</f>
        <v>18</v>
      </c>
    </row>
    <row r="3860">
      <c r="A3860" s="178" t="str">
        <f>IFERROR(__xludf.DUMMYFUNCTION("""COMPUTED_VALUE"""),"ITBISA-IC-74HC245N-DIP20")</f>
        <v>ITBISA-IC-74HC245N-DIP20</v>
      </c>
      <c r="B3860" s="266">
        <f>IFERROR(__xludf.DUMMYFUNCTION("""COMPUTED_VALUE"""),45626.0)</f>
        <v>45626</v>
      </c>
      <c r="C3860" s="266" t="str">
        <f>IFERROR(__xludf.DUMMYFUNCTION("""COMPUTED_VALUE"""),"KYAI KONTONG")</f>
        <v>KYAI KONTONG</v>
      </c>
      <c r="D3860" s="186">
        <f>IFERROR(__xludf.DUMMYFUNCTION("""COMPUTED_VALUE"""),72.0)</f>
        <v>72</v>
      </c>
    </row>
    <row r="3861">
      <c r="A3861" s="178" t="str">
        <f>IFERROR(__xludf.DUMMYFUNCTION("""COMPUTED_VALUE"""),"ITBISA-IC-74HC245N-DIP20")</f>
        <v>ITBISA-IC-74HC245N-DIP20</v>
      </c>
      <c r="B3861" s="266">
        <f>IFERROR(__xludf.DUMMYFUNCTION("""COMPUTED_VALUE"""),45628.0)</f>
        <v>45628</v>
      </c>
      <c r="C3861" s="266" t="str">
        <f>IFERROR(__xludf.DUMMYFUNCTION("""COMPUTED_VALUE"""),"KYAI KONTONG")</f>
        <v>KYAI KONTONG</v>
      </c>
      <c r="D3861" s="186">
        <f>IFERROR(__xludf.DUMMYFUNCTION("""COMPUTED_VALUE"""),20.0)</f>
        <v>20</v>
      </c>
    </row>
    <row r="3862">
      <c r="A3862" s="178" t="str">
        <f>IFERROR(__xludf.DUMMYFUNCTION("""COMPUTED_VALUE"""),"ITBISA-IC-74HC245N-DIP20")</f>
        <v>ITBISA-IC-74HC245N-DIP20</v>
      </c>
      <c r="B3862" s="266">
        <f>IFERROR(__xludf.DUMMYFUNCTION("""COMPUTED_VALUE"""),45631.0)</f>
        <v>45631</v>
      </c>
      <c r="C3862" s="266" t="str">
        <f>IFERROR(__xludf.DUMMYFUNCTION("""COMPUTED_VALUE"""),"KYAI KONTONG")</f>
        <v>KYAI KONTONG</v>
      </c>
      <c r="D3862" s="186">
        <f>IFERROR(__xludf.DUMMYFUNCTION("""COMPUTED_VALUE"""),10.0)</f>
        <v>10</v>
      </c>
    </row>
    <row r="3863">
      <c r="A3863" s="178" t="str">
        <f>IFERROR(__xludf.DUMMYFUNCTION("""COMPUTED_VALUE"""),"ITBISA-IC-74HC245N-DIP20")</f>
        <v>ITBISA-IC-74HC245N-DIP20</v>
      </c>
      <c r="B3863" s="266">
        <f>IFERROR(__xludf.DUMMYFUNCTION("""COMPUTED_VALUE"""),45650.0)</f>
        <v>45650</v>
      </c>
      <c r="C3863" s="266" t="str">
        <f>IFERROR(__xludf.DUMMYFUNCTION("""COMPUTED_VALUE"""),"KYAI KONTONG")</f>
        <v>KYAI KONTONG</v>
      </c>
      <c r="D3863" s="186">
        <f>IFERROR(__xludf.DUMMYFUNCTION("""COMPUTED_VALUE"""),16.0)</f>
        <v>16</v>
      </c>
    </row>
    <row r="3864">
      <c r="A3864" s="178" t="str">
        <f>IFERROR(__xludf.DUMMYFUNCTION("""COMPUTED_VALUE"""),"ITBISA-IC-74HC245N-DIP20")</f>
        <v>ITBISA-IC-74HC245N-DIP20</v>
      </c>
      <c r="B3864" s="266">
        <f>IFERROR(__xludf.DUMMYFUNCTION("""COMPUTED_VALUE"""),45651.0)</f>
        <v>45651</v>
      </c>
      <c r="C3864" s="266" t="str">
        <f>IFERROR(__xludf.DUMMYFUNCTION("""COMPUTED_VALUE"""),"KERTASARI CIAMIS")</f>
        <v>KERTASARI CIAMIS</v>
      </c>
      <c r="D3864" s="186">
        <f>IFERROR(__xludf.DUMMYFUNCTION("""COMPUTED_VALUE"""),5.0)</f>
        <v>5</v>
      </c>
    </row>
    <row r="3865">
      <c r="A3865" s="178" t="str">
        <f>IFERROR(__xludf.DUMMYFUNCTION("""COMPUTED_VALUE"""),"ITBISA-IC-74HC245N-DIP20")</f>
        <v>ITBISA-IC-74HC245N-DIP20</v>
      </c>
      <c r="B3865" s="266">
        <f>IFERROR(__xludf.DUMMYFUNCTION("""COMPUTED_VALUE"""),45655.0)</f>
        <v>45655</v>
      </c>
      <c r="C3865" s="266" t="str">
        <f>IFERROR(__xludf.DUMMYFUNCTION("""COMPUTED_VALUE"""),"KYAI KONTONG")</f>
        <v>KYAI KONTONG</v>
      </c>
      <c r="D3865" s="186">
        <f>IFERROR(__xludf.DUMMYFUNCTION("""COMPUTED_VALUE"""),15.0)</f>
        <v>15</v>
      </c>
    </row>
    <row r="3866">
      <c r="A3866" s="178" t="str">
        <f>IFERROR(__xludf.DUMMYFUNCTION("""COMPUTED_VALUE"""),"ITBISA-IC-74HC245N-DIP20")</f>
        <v>ITBISA-IC-74HC245N-DIP20</v>
      </c>
      <c r="B3866" s="266">
        <f>IFERROR(__xludf.DUMMYFUNCTION("""COMPUTED_VALUE"""),45660.0)</f>
        <v>45660</v>
      </c>
      <c r="C3866" s="266" t="str">
        <f>IFERROR(__xludf.DUMMYFUNCTION("""COMPUTED_VALUE"""),"KYAI KONTONG")</f>
        <v>KYAI KONTONG</v>
      </c>
      <c r="D3866" s="186">
        <f>IFERROR(__xludf.DUMMYFUNCTION("""COMPUTED_VALUE"""),40.0)</f>
        <v>40</v>
      </c>
    </row>
    <row r="3867">
      <c r="A3867" s="178" t="str">
        <f>IFERROR(__xludf.DUMMYFUNCTION("""COMPUTED_VALUE"""),"ITBISA-IC-74HC245N-DIP20")</f>
        <v>ITBISA-IC-74HC245N-DIP20</v>
      </c>
      <c r="B3867" s="266">
        <f>IFERROR(__xludf.DUMMYFUNCTION("""COMPUTED_VALUE"""),45663.0)</f>
        <v>45663</v>
      </c>
      <c r="C3867" s="266" t="str">
        <f>IFERROR(__xludf.DUMMYFUNCTION("""COMPUTED_VALUE"""),"KERTASARI CIAMIS")</f>
        <v>KERTASARI CIAMIS</v>
      </c>
      <c r="D3867" s="186">
        <f>IFERROR(__xludf.DUMMYFUNCTION("""COMPUTED_VALUE"""),300.0)</f>
        <v>300</v>
      </c>
    </row>
    <row r="3868">
      <c r="A3868" s="178" t="str">
        <f>IFERROR(__xludf.DUMMYFUNCTION("""COMPUTED_VALUE"""),"ITBISA-IC-74HC245N-DIP20")</f>
        <v>ITBISA-IC-74HC245N-DIP20</v>
      </c>
      <c r="B3868" s="266">
        <f>IFERROR(__xludf.DUMMYFUNCTION("""COMPUTED_VALUE"""),45664.0)</f>
        <v>45664</v>
      </c>
      <c r="C3868" s="266" t="str">
        <f>IFERROR(__xludf.DUMMYFUNCTION("""COMPUTED_VALUE"""),"KERTASARI CIAMIS")</f>
        <v>KERTASARI CIAMIS</v>
      </c>
      <c r="D3868" s="186">
        <f>IFERROR(__xludf.DUMMYFUNCTION("""COMPUTED_VALUE"""),2.0)</f>
        <v>2</v>
      </c>
    </row>
    <row r="3869">
      <c r="A3869" s="178" t="str">
        <f>IFERROR(__xludf.DUMMYFUNCTION("""COMPUTED_VALUE"""),"ITBISA-IC-74HC245N-DIP20")</f>
        <v>ITBISA-IC-74HC245N-DIP20</v>
      </c>
      <c r="B3869" s="266">
        <f>IFERROR(__xludf.DUMMYFUNCTION("""COMPUTED_VALUE"""),45666.0)</f>
        <v>45666</v>
      </c>
      <c r="C3869" s="266" t="str">
        <f>IFERROR(__xludf.DUMMYFUNCTION("""COMPUTED_VALUE"""),"KERTASARI CIAMIS")</f>
        <v>KERTASARI CIAMIS</v>
      </c>
      <c r="D3869" s="186">
        <f>IFERROR(__xludf.DUMMYFUNCTION("""COMPUTED_VALUE"""),270.0)</f>
        <v>270</v>
      </c>
    </row>
    <row r="3870">
      <c r="A3870" s="178" t="str">
        <f>IFERROR(__xludf.DUMMYFUNCTION("""COMPUTED_VALUE"""),"ITBISA-IC-74HC245N-DIP20")</f>
        <v>ITBISA-IC-74HC245N-DIP20</v>
      </c>
      <c r="B3870" s="266">
        <f>IFERROR(__xludf.DUMMYFUNCTION("""COMPUTED_VALUE"""),45684.0)</f>
        <v>45684</v>
      </c>
      <c r="C3870" s="266" t="str">
        <f>IFERROR(__xludf.DUMMYFUNCTION("""COMPUTED_VALUE"""),"KERTASARI CIAMIS")</f>
        <v>KERTASARI CIAMIS</v>
      </c>
      <c r="D3870" s="186">
        <f>IFERROR(__xludf.DUMMYFUNCTION("""COMPUTED_VALUE"""),50.0)</f>
        <v>50</v>
      </c>
    </row>
    <row r="3871">
      <c r="A3871" s="178" t="str">
        <f>IFERROR(__xludf.DUMMYFUNCTION("""COMPUTED_VALUE"""),"ITBISA-IC-74HC245N-DIP20")</f>
        <v>ITBISA-IC-74HC245N-DIP20</v>
      </c>
      <c r="B3871" s="266">
        <f>IFERROR(__xludf.DUMMYFUNCTION("""COMPUTED_VALUE"""),45685.0)</f>
        <v>45685</v>
      </c>
      <c r="C3871" s="266" t="str">
        <f>IFERROR(__xludf.DUMMYFUNCTION("""COMPUTED_VALUE"""),"KYAI KONTONG")</f>
        <v>KYAI KONTONG</v>
      </c>
      <c r="D3871" s="186">
        <f>IFERROR(__xludf.DUMMYFUNCTION("""COMPUTED_VALUE"""),10.0)</f>
        <v>10</v>
      </c>
    </row>
    <row r="3872">
      <c r="A3872" s="178" t="str">
        <f>IFERROR(__xludf.DUMMYFUNCTION("""COMPUTED_VALUE"""),"ITBISA-IC-74HC245N-DIP20")</f>
        <v>ITBISA-IC-74HC245N-DIP20</v>
      </c>
      <c r="B3872" s="266">
        <f>IFERROR(__xludf.DUMMYFUNCTION("""COMPUTED_VALUE"""),45686.0)</f>
        <v>45686</v>
      </c>
      <c r="C3872" s="266" t="str">
        <f>IFERROR(__xludf.DUMMYFUNCTION("""COMPUTED_VALUE"""),"KERTASARI CIAMIS")</f>
        <v>KERTASARI CIAMIS</v>
      </c>
      <c r="D3872" s="186">
        <f>IFERROR(__xludf.DUMMYFUNCTION("""COMPUTED_VALUE"""),15.0)</f>
        <v>15</v>
      </c>
    </row>
    <row r="3873">
      <c r="A3873" s="178" t="str">
        <f>IFERROR(__xludf.DUMMYFUNCTION("""COMPUTED_VALUE"""),"ITBISA-IC-74HC245N-DIP20")</f>
        <v>ITBISA-IC-74HC245N-DIP20</v>
      </c>
      <c r="B3873" s="266">
        <f>IFERROR(__xludf.DUMMYFUNCTION("""COMPUTED_VALUE"""),45688.0)</f>
        <v>45688</v>
      </c>
      <c r="C3873" s="266" t="str">
        <f>IFERROR(__xludf.DUMMYFUNCTION("""COMPUTED_VALUE"""),"KYAI KONTONG")</f>
        <v>KYAI KONTONG</v>
      </c>
      <c r="D3873" s="186">
        <f>IFERROR(__xludf.DUMMYFUNCTION("""COMPUTED_VALUE"""),20.0)</f>
        <v>20</v>
      </c>
    </row>
    <row r="3874">
      <c r="A3874" s="178" t="str">
        <f>IFERROR(__xludf.DUMMYFUNCTION("""COMPUTED_VALUE"""),"ITBISA-IC-74HC245N-DIP20")</f>
        <v>ITBISA-IC-74HC245N-DIP20</v>
      </c>
      <c r="B3874" s="266">
        <f>IFERROR(__xludf.DUMMYFUNCTION("""COMPUTED_VALUE"""),45692.0)</f>
        <v>45692</v>
      </c>
      <c r="C3874" s="266" t="str">
        <f>IFERROR(__xludf.DUMMYFUNCTION("""COMPUTED_VALUE"""),"KERTASARI CIAMIS")</f>
        <v>KERTASARI CIAMIS</v>
      </c>
      <c r="D3874" s="186">
        <f>IFERROR(__xludf.DUMMYFUNCTION("""COMPUTED_VALUE"""),100.0)</f>
        <v>100</v>
      </c>
    </row>
    <row r="3875">
      <c r="A3875" s="178" t="str">
        <f>IFERROR(__xludf.DUMMYFUNCTION("""COMPUTED_VALUE"""),"ITBISA-IC-74HC245N-DIP20")</f>
        <v>ITBISA-IC-74HC245N-DIP20</v>
      </c>
      <c r="B3875" s="266">
        <f>IFERROR(__xludf.DUMMYFUNCTION("""COMPUTED_VALUE"""),45694.0)</f>
        <v>45694</v>
      </c>
      <c r="C3875" s="266" t="str">
        <f>IFERROR(__xludf.DUMMYFUNCTION("""COMPUTED_VALUE"""),"KERTASARI CIAMIS")</f>
        <v>KERTASARI CIAMIS</v>
      </c>
      <c r="D3875" s="186">
        <f>IFERROR(__xludf.DUMMYFUNCTION("""COMPUTED_VALUE"""),35.0)</f>
        <v>35</v>
      </c>
    </row>
    <row r="3876">
      <c r="A3876" s="178" t="str">
        <f>IFERROR(__xludf.DUMMYFUNCTION("""COMPUTED_VALUE"""),"ITBISA-IC-74HC245N-DIP20")</f>
        <v>ITBISA-IC-74HC245N-DIP20</v>
      </c>
      <c r="B3876" s="266">
        <f>IFERROR(__xludf.DUMMYFUNCTION("""COMPUTED_VALUE"""),45697.0)</f>
        <v>45697</v>
      </c>
      <c r="C3876" s="266" t="str">
        <f>IFERROR(__xludf.DUMMYFUNCTION("""COMPUTED_VALUE"""),"KERTASARI CIAMIS")</f>
        <v>KERTASARI CIAMIS</v>
      </c>
      <c r="D3876" s="186">
        <f>IFERROR(__xludf.DUMMYFUNCTION("""COMPUTED_VALUE"""),30.0)</f>
        <v>30</v>
      </c>
    </row>
    <row r="3877">
      <c r="A3877" s="178" t="str">
        <f>IFERROR(__xludf.DUMMYFUNCTION("""COMPUTED_VALUE"""),"ITBISA-IC-74HC245N-DIP20")</f>
        <v>ITBISA-IC-74HC245N-DIP20</v>
      </c>
      <c r="B3877" s="266">
        <f>IFERROR(__xludf.DUMMYFUNCTION("""COMPUTED_VALUE"""),45698.0)</f>
        <v>45698</v>
      </c>
      <c r="C3877" s="266" t="str">
        <f>IFERROR(__xludf.DUMMYFUNCTION("""COMPUTED_VALUE"""),"KERTASARI CIAMIS")</f>
        <v>KERTASARI CIAMIS</v>
      </c>
      <c r="D3877" s="186">
        <f>IFERROR(__xludf.DUMMYFUNCTION("""COMPUTED_VALUE"""),15.0)</f>
        <v>15</v>
      </c>
    </row>
    <row r="3878">
      <c r="A3878" s="178" t="str">
        <f>IFERROR(__xludf.DUMMYFUNCTION("""COMPUTED_VALUE"""),"ITBISA-IC-74HC245N-DIP20")</f>
        <v>ITBISA-IC-74HC245N-DIP20</v>
      </c>
      <c r="B3878" s="266">
        <f>IFERROR(__xludf.DUMMYFUNCTION("""COMPUTED_VALUE"""),45699.0)</f>
        <v>45699</v>
      </c>
      <c r="C3878" s="266" t="str">
        <f>IFERROR(__xludf.DUMMYFUNCTION("""COMPUTED_VALUE"""),"KYAI KONTONG")</f>
        <v>KYAI KONTONG</v>
      </c>
      <c r="D3878" s="186">
        <f>IFERROR(__xludf.DUMMYFUNCTION("""COMPUTED_VALUE"""),30.0)</f>
        <v>30</v>
      </c>
    </row>
    <row r="3879">
      <c r="A3879" s="178" t="str">
        <f>IFERROR(__xludf.DUMMYFUNCTION("""COMPUTED_VALUE"""),"ITBISA-IC-74HC245N-DIP20")</f>
        <v>ITBISA-IC-74HC245N-DIP20</v>
      </c>
      <c r="B3879" s="266">
        <f>IFERROR(__xludf.DUMMYFUNCTION("""COMPUTED_VALUE"""),45702.0)</f>
        <v>45702</v>
      </c>
      <c r="C3879" s="266" t="str">
        <f>IFERROR(__xludf.DUMMYFUNCTION("""COMPUTED_VALUE"""),"KYAI KONTONG")</f>
        <v>KYAI KONTONG</v>
      </c>
      <c r="D3879" s="186">
        <f>IFERROR(__xludf.DUMMYFUNCTION("""COMPUTED_VALUE"""),10.0)</f>
        <v>10</v>
      </c>
    </row>
    <row r="3880">
      <c r="A3880" s="178" t="str">
        <f>IFERROR(__xludf.DUMMYFUNCTION("""COMPUTED_VALUE"""),"ITBISA-IC-74HC245N-DIP20")</f>
        <v>ITBISA-IC-74HC245N-DIP20</v>
      </c>
      <c r="B3880" s="266">
        <f>IFERROR(__xludf.DUMMYFUNCTION("""COMPUTED_VALUE"""),45706.0)</f>
        <v>45706</v>
      </c>
      <c r="C3880" s="266" t="str">
        <f>IFERROR(__xludf.DUMMYFUNCTION("""COMPUTED_VALUE"""),"KERTASARI CIAMIS")</f>
        <v>KERTASARI CIAMIS</v>
      </c>
      <c r="D3880" s="186">
        <f>IFERROR(__xludf.DUMMYFUNCTION("""COMPUTED_VALUE"""),300.0)</f>
        <v>300</v>
      </c>
    </row>
    <row r="3881">
      <c r="A3881" s="178" t="str">
        <f>IFERROR(__xludf.DUMMYFUNCTION("""COMPUTED_VALUE"""),"ITBISA-IC-74HC245N-DIP20")</f>
        <v>ITBISA-IC-74HC245N-DIP20</v>
      </c>
      <c r="B3881" s="266">
        <f>IFERROR(__xludf.DUMMYFUNCTION("""COMPUTED_VALUE"""),45707.0)</f>
        <v>45707</v>
      </c>
      <c r="C3881" s="266" t="str">
        <f>IFERROR(__xludf.DUMMYFUNCTION("""COMPUTED_VALUE"""),"KERTASARI CIAMIS")</f>
        <v>KERTASARI CIAMIS</v>
      </c>
      <c r="D3881" s="186">
        <f>IFERROR(__xludf.DUMMYFUNCTION("""COMPUTED_VALUE"""),2.0)</f>
        <v>2</v>
      </c>
    </row>
    <row r="3882">
      <c r="A3882" s="178" t="str">
        <f>IFERROR(__xludf.DUMMYFUNCTION("""COMPUTED_VALUE"""),"ITBISA-IC-74HC245N-DIP20")</f>
        <v>ITBISA-IC-74HC245N-DIP20</v>
      </c>
      <c r="B3882" s="266">
        <f>IFERROR(__xludf.DUMMYFUNCTION("""COMPUTED_VALUE"""),45707.0)</f>
        <v>45707</v>
      </c>
      <c r="C3882" s="266" t="str">
        <f>IFERROR(__xludf.DUMMYFUNCTION("""COMPUTED_VALUE"""),"KERTASARI CIAMIS")</f>
        <v>KERTASARI CIAMIS</v>
      </c>
      <c r="D3882" s="186">
        <f>IFERROR(__xludf.DUMMYFUNCTION("""COMPUTED_VALUE"""),50.0)</f>
        <v>50</v>
      </c>
    </row>
    <row r="3883">
      <c r="A3883" s="178" t="str">
        <f>IFERROR(__xludf.DUMMYFUNCTION("""COMPUTED_VALUE"""),"ITBISA-IC-74HC245N-DIP20")</f>
        <v>ITBISA-IC-74HC245N-DIP20</v>
      </c>
      <c r="B3883" s="266">
        <f>IFERROR(__xludf.DUMMYFUNCTION("""COMPUTED_VALUE"""),45708.0)</f>
        <v>45708</v>
      </c>
      <c r="C3883" s="266" t="str">
        <f>IFERROR(__xludf.DUMMYFUNCTION("""COMPUTED_VALUE"""),"KYAI KONTONG")</f>
        <v>KYAI KONTONG</v>
      </c>
      <c r="D3883" s="186">
        <f>IFERROR(__xludf.DUMMYFUNCTION("""COMPUTED_VALUE"""),10.0)</f>
        <v>10</v>
      </c>
    </row>
    <row r="3884">
      <c r="A3884" s="178" t="str">
        <f>IFERROR(__xludf.DUMMYFUNCTION("""COMPUTED_VALUE"""),"ITBISA-IC-74HC245N-DIP20")</f>
        <v>ITBISA-IC-74HC245N-DIP20</v>
      </c>
      <c r="B3884" s="266">
        <f>IFERROR(__xludf.DUMMYFUNCTION("""COMPUTED_VALUE"""),45708.0)</f>
        <v>45708</v>
      </c>
      <c r="C3884" s="266" t="str">
        <f>IFERROR(__xludf.DUMMYFUNCTION("""COMPUTED_VALUE"""),"KYAI KONTONG")</f>
        <v>KYAI KONTONG</v>
      </c>
      <c r="D3884" s="186">
        <f>IFERROR(__xludf.DUMMYFUNCTION("""COMPUTED_VALUE"""),35.0)</f>
        <v>35</v>
      </c>
    </row>
    <row r="3885">
      <c r="A3885" s="178" t="str">
        <f>IFERROR(__xludf.DUMMYFUNCTION("""COMPUTED_VALUE"""),"ITBISA-IC-74HC245N-DIP20")</f>
        <v>ITBISA-IC-74HC245N-DIP20</v>
      </c>
      <c r="B3885" s="266">
        <f>IFERROR(__xludf.DUMMYFUNCTION("""COMPUTED_VALUE"""),45709.0)</f>
        <v>45709</v>
      </c>
      <c r="C3885" s="266" t="str">
        <f>IFERROR(__xludf.DUMMYFUNCTION("""COMPUTED_VALUE"""),"KYAI KONTONG")</f>
        <v>KYAI KONTONG</v>
      </c>
      <c r="D3885" s="186">
        <f>IFERROR(__xludf.DUMMYFUNCTION("""COMPUTED_VALUE"""),35.0)</f>
        <v>35</v>
      </c>
    </row>
    <row r="3886">
      <c r="A3886" s="178" t="str">
        <f>IFERROR(__xludf.DUMMYFUNCTION("""COMPUTED_VALUE"""),"ITBISA-IC-74HC245N-DIP20")</f>
        <v>ITBISA-IC-74HC245N-DIP20</v>
      </c>
      <c r="B3886" s="266">
        <f>IFERROR(__xludf.DUMMYFUNCTION("""COMPUTED_VALUE"""),45711.0)</f>
        <v>45711</v>
      </c>
      <c r="C3886" s="266" t="str">
        <f>IFERROR(__xludf.DUMMYFUNCTION("""COMPUTED_VALUE"""),"KYAI KONTONG")</f>
        <v>KYAI KONTONG</v>
      </c>
      <c r="D3886" s="186">
        <f>IFERROR(__xludf.DUMMYFUNCTION("""COMPUTED_VALUE"""),10.0)</f>
        <v>10</v>
      </c>
    </row>
    <row r="3887">
      <c r="A3887" s="178" t="str">
        <f>IFERROR(__xludf.DUMMYFUNCTION("""COMPUTED_VALUE"""),"ITBISA-IC-74HC245N-DIP20")</f>
        <v>ITBISA-IC-74HC245N-DIP20</v>
      </c>
      <c r="B3887" s="266">
        <f>IFERROR(__xludf.DUMMYFUNCTION("""COMPUTED_VALUE"""),45712.0)</f>
        <v>45712</v>
      </c>
      <c r="C3887" s="266" t="str">
        <f>IFERROR(__xludf.DUMMYFUNCTION("""COMPUTED_VALUE"""),"KERTASARI CIAMIS")</f>
        <v>KERTASARI CIAMIS</v>
      </c>
      <c r="D3887" s="186">
        <f>IFERROR(__xludf.DUMMYFUNCTION("""COMPUTED_VALUE"""),10.0)</f>
        <v>10</v>
      </c>
    </row>
    <row r="3888">
      <c r="A3888" s="178" t="str">
        <f>IFERROR(__xludf.DUMMYFUNCTION("""COMPUTED_VALUE"""),"ITBISA-IC-74HC245N-DIP20")</f>
        <v>ITBISA-IC-74HC245N-DIP20</v>
      </c>
      <c r="B3888" s="266">
        <f>IFERROR(__xludf.DUMMYFUNCTION("""COMPUTED_VALUE"""),45712.0)</f>
        <v>45712</v>
      </c>
      <c r="C3888" s="266" t="str">
        <f>IFERROR(__xludf.DUMMYFUNCTION("""COMPUTED_VALUE"""),"KYAI KONTONG")</f>
        <v>KYAI KONTONG</v>
      </c>
      <c r="D3888" s="186">
        <f>IFERROR(__xludf.DUMMYFUNCTION("""COMPUTED_VALUE"""),40.0)</f>
        <v>40</v>
      </c>
    </row>
    <row r="3889">
      <c r="A3889" s="178" t="str">
        <f>IFERROR(__xludf.DUMMYFUNCTION("""COMPUTED_VALUE"""),"ITBISA-IC-74HC245N-DIP20")</f>
        <v>ITBISA-IC-74HC245N-DIP20</v>
      </c>
      <c r="B3889" s="266">
        <f>IFERROR(__xludf.DUMMYFUNCTION("""COMPUTED_VALUE"""),45713.0)</f>
        <v>45713</v>
      </c>
      <c r="C3889" s="266" t="str">
        <f>IFERROR(__xludf.DUMMYFUNCTION("""COMPUTED_VALUE"""),"KERTASARI CIAMIS")</f>
        <v>KERTASARI CIAMIS</v>
      </c>
      <c r="D3889" s="186">
        <f>IFERROR(__xludf.DUMMYFUNCTION("""COMPUTED_VALUE"""),50.0)</f>
        <v>50</v>
      </c>
    </row>
    <row r="3890">
      <c r="A3890" s="178" t="str">
        <f>IFERROR(__xludf.DUMMYFUNCTION("""COMPUTED_VALUE"""),"ITBISA-IC-74HC245N-DIP20")</f>
        <v>ITBISA-IC-74HC245N-DIP20</v>
      </c>
      <c r="B3890" s="266">
        <f>IFERROR(__xludf.DUMMYFUNCTION("""COMPUTED_VALUE"""),45713.0)</f>
        <v>45713</v>
      </c>
      <c r="C3890" s="266" t="str">
        <f>IFERROR(__xludf.DUMMYFUNCTION("""COMPUTED_VALUE"""),"KERTASARI CIAMIS")</f>
        <v>KERTASARI CIAMIS</v>
      </c>
      <c r="D3890" s="186">
        <f>IFERROR(__xludf.DUMMYFUNCTION("""COMPUTED_VALUE"""),100.0)</f>
        <v>100</v>
      </c>
    </row>
    <row r="3891">
      <c r="A3891" s="178" t="str">
        <f>IFERROR(__xludf.DUMMYFUNCTION("""COMPUTED_VALUE"""),"ITBISA-IC-74HC245N-DIP20")</f>
        <v>ITBISA-IC-74HC245N-DIP20</v>
      </c>
      <c r="B3891" s="266">
        <f>IFERROR(__xludf.DUMMYFUNCTION("""COMPUTED_VALUE"""),45714.0)</f>
        <v>45714</v>
      </c>
      <c r="C3891" s="266" t="str">
        <f>IFERROR(__xludf.DUMMYFUNCTION("""COMPUTED_VALUE"""),"KERTASARI CIAMIS")</f>
        <v>KERTASARI CIAMIS</v>
      </c>
      <c r="D3891" s="186">
        <f>IFERROR(__xludf.DUMMYFUNCTION("""COMPUTED_VALUE"""),50.0)</f>
        <v>50</v>
      </c>
    </row>
    <row r="3892">
      <c r="A3892" s="178" t="str">
        <f>IFERROR(__xludf.DUMMYFUNCTION("""COMPUTED_VALUE"""),"ITBISA-IC-74HC245N-DIP20")</f>
        <v>ITBISA-IC-74HC245N-DIP20</v>
      </c>
      <c r="B3892" s="266">
        <f>IFERROR(__xludf.DUMMYFUNCTION("""COMPUTED_VALUE"""),45714.0)</f>
        <v>45714</v>
      </c>
      <c r="C3892" s="266" t="str">
        <f>IFERROR(__xludf.DUMMYFUNCTION("""COMPUTED_VALUE"""),"KYAI KONTONG")</f>
        <v>KYAI KONTONG</v>
      </c>
      <c r="D3892" s="186">
        <f>IFERROR(__xludf.DUMMYFUNCTION("""COMPUTED_VALUE"""),10.0)</f>
        <v>10</v>
      </c>
    </row>
    <row r="3893">
      <c r="A3893" s="178" t="str">
        <f>IFERROR(__xludf.DUMMYFUNCTION("""COMPUTED_VALUE"""),"ITBISA-IC-74HC245N-DIP20")</f>
        <v>ITBISA-IC-74HC245N-DIP20</v>
      </c>
      <c r="B3893" s="266">
        <f>IFERROR(__xludf.DUMMYFUNCTION("""COMPUTED_VALUE"""),45715.0)</f>
        <v>45715</v>
      </c>
      <c r="C3893" s="266" t="str">
        <f>IFERROR(__xludf.DUMMYFUNCTION("""COMPUTED_VALUE"""),"KERTASARI CIAMIS")</f>
        <v>KERTASARI CIAMIS</v>
      </c>
      <c r="D3893" s="186">
        <f>IFERROR(__xludf.DUMMYFUNCTION("""COMPUTED_VALUE"""),200.0)</f>
        <v>200</v>
      </c>
    </row>
    <row r="3894">
      <c r="A3894" s="178" t="str">
        <f>IFERROR(__xludf.DUMMYFUNCTION("""COMPUTED_VALUE"""),"ITBISA-IC-74HC245N-DIP20")</f>
        <v>ITBISA-IC-74HC245N-DIP20</v>
      </c>
      <c r="B3894" s="266">
        <f>IFERROR(__xludf.DUMMYFUNCTION("""COMPUTED_VALUE"""),45716.0)</f>
        <v>45716</v>
      </c>
      <c r="C3894" s="266" t="str">
        <f>IFERROR(__xludf.DUMMYFUNCTION("""COMPUTED_VALUE"""),"KYAI KONTONG")</f>
        <v>KYAI KONTONG</v>
      </c>
      <c r="D3894" s="186">
        <f>IFERROR(__xludf.DUMMYFUNCTION("""COMPUTED_VALUE"""),20.0)</f>
        <v>20</v>
      </c>
    </row>
    <row r="3895">
      <c r="A3895" s="178" t="str">
        <f>IFERROR(__xludf.DUMMYFUNCTION("""COMPUTED_VALUE"""),"ITBISA-IC-74HC245N-DIP20")</f>
        <v>ITBISA-IC-74HC245N-DIP20</v>
      </c>
      <c r="B3895" s="266">
        <f>IFERROR(__xludf.DUMMYFUNCTION("""COMPUTED_VALUE"""),45719.0)</f>
        <v>45719</v>
      </c>
      <c r="C3895" s="266" t="str">
        <f>IFERROR(__xludf.DUMMYFUNCTION("""COMPUTED_VALUE"""),"KERTASARI CIAMIS")</f>
        <v>KERTASARI CIAMIS</v>
      </c>
      <c r="D3895" s="186">
        <f>IFERROR(__xludf.DUMMYFUNCTION("""COMPUTED_VALUE"""),20.0)</f>
        <v>20</v>
      </c>
    </row>
    <row r="3896">
      <c r="A3896" s="178" t="str">
        <f>IFERROR(__xludf.DUMMYFUNCTION("""COMPUTED_VALUE"""),"ITBISA-IC-74HC245N-DIP20")</f>
        <v>ITBISA-IC-74HC245N-DIP20</v>
      </c>
      <c r="B3896" s="266">
        <f>IFERROR(__xludf.DUMMYFUNCTION("""COMPUTED_VALUE"""),45726.0)</f>
        <v>45726</v>
      </c>
      <c r="C3896" s="266" t="str">
        <f>IFERROR(__xludf.DUMMYFUNCTION("""COMPUTED_VALUE"""),"KYAI KONTONG")</f>
        <v>KYAI KONTONG</v>
      </c>
      <c r="D3896" s="186">
        <f>IFERROR(__xludf.DUMMYFUNCTION("""COMPUTED_VALUE"""),20.0)</f>
        <v>20</v>
      </c>
    </row>
    <row r="3897">
      <c r="A3897" s="178" t="str">
        <f>IFERROR(__xludf.DUMMYFUNCTION("""COMPUTED_VALUE"""),"ITBISA-IC-74HC245N-DIP20")</f>
        <v>ITBISA-IC-74HC245N-DIP20</v>
      </c>
      <c r="B3897" s="266">
        <f>IFERROR(__xludf.DUMMYFUNCTION("""COMPUTED_VALUE"""),45727.0)</f>
        <v>45727</v>
      </c>
      <c r="C3897" s="266" t="str">
        <f>IFERROR(__xludf.DUMMYFUNCTION("""COMPUTED_VALUE"""),"KERTASARI CIAMIS")</f>
        <v>KERTASARI CIAMIS</v>
      </c>
      <c r="D3897" s="186">
        <f>IFERROR(__xludf.DUMMYFUNCTION("""COMPUTED_VALUE"""),200.0)</f>
        <v>200</v>
      </c>
    </row>
    <row r="3898">
      <c r="A3898" s="178" t="str">
        <f>IFERROR(__xludf.DUMMYFUNCTION("""COMPUTED_VALUE"""),"ITBISA-IC-74HC245N-DIP20")</f>
        <v>ITBISA-IC-74HC245N-DIP20</v>
      </c>
      <c r="B3898" s="266">
        <f>IFERROR(__xludf.DUMMYFUNCTION("""COMPUTED_VALUE"""),45727.0)</f>
        <v>45727</v>
      </c>
      <c r="C3898" s="266" t="str">
        <f>IFERROR(__xludf.DUMMYFUNCTION("""COMPUTED_VALUE"""),"KERTASARI CIAMIS")</f>
        <v>KERTASARI CIAMIS</v>
      </c>
      <c r="D3898" s="186">
        <f>IFERROR(__xludf.DUMMYFUNCTION("""COMPUTED_VALUE"""),270.0)</f>
        <v>270</v>
      </c>
    </row>
    <row r="3899">
      <c r="A3899" s="178" t="str">
        <f>IFERROR(__xludf.DUMMYFUNCTION("""COMPUTED_VALUE"""),"ITBISA-IC-74HC245N-DIP20")</f>
        <v>ITBISA-IC-74HC245N-DIP20</v>
      </c>
      <c r="B3899" s="266">
        <f>IFERROR(__xludf.DUMMYFUNCTION("""COMPUTED_VALUE"""),45729.0)</f>
        <v>45729</v>
      </c>
      <c r="C3899" s="266" t="str">
        <f>IFERROR(__xludf.DUMMYFUNCTION("""COMPUTED_VALUE"""),"KERTASARI CIAMIS")</f>
        <v>KERTASARI CIAMIS</v>
      </c>
      <c r="D3899" s="186">
        <f>IFERROR(__xludf.DUMMYFUNCTION("""COMPUTED_VALUE"""),25.0)</f>
        <v>25</v>
      </c>
    </row>
    <row r="3900">
      <c r="A3900" s="178" t="str">
        <f>IFERROR(__xludf.DUMMYFUNCTION("""COMPUTED_VALUE"""),"ITBISA-IC-74HC245N-DIP20")</f>
        <v>ITBISA-IC-74HC245N-DIP20</v>
      </c>
      <c r="B3900" s="266">
        <f>IFERROR(__xludf.DUMMYFUNCTION("""COMPUTED_VALUE"""),45730.0)</f>
        <v>45730</v>
      </c>
      <c r="C3900" s="266" t="str">
        <f>IFERROR(__xludf.DUMMYFUNCTION("""COMPUTED_VALUE"""),"KERTASARI CIAMIS")</f>
        <v>KERTASARI CIAMIS</v>
      </c>
      <c r="D3900" s="186">
        <f>IFERROR(__xludf.DUMMYFUNCTION("""COMPUTED_VALUE"""),20.0)</f>
        <v>20</v>
      </c>
    </row>
    <row r="3901">
      <c r="A3901" s="178" t="str">
        <f>IFERROR(__xludf.DUMMYFUNCTION("""COMPUTED_VALUE"""),"ITBISA-IC-74HC245N-DIP20")</f>
        <v>ITBISA-IC-74HC245N-DIP20</v>
      </c>
      <c r="B3901" s="266">
        <f>IFERROR(__xludf.DUMMYFUNCTION("""COMPUTED_VALUE"""),45734.0)</f>
        <v>45734</v>
      </c>
      <c r="C3901" s="266" t="str">
        <f>IFERROR(__xludf.DUMMYFUNCTION("""COMPUTED_VALUE"""),"KERTASARI CIAMIS")</f>
        <v>KERTASARI CIAMIS</v>
      </c>
      <c r="D3901" s="186">
        <f>IFERROR(__xludf.DUMMYFUNCTION("""COMPUTED_VALUE"""),180.0)</f>
        <v>180</v>
      </c>
    </row>
    <row r="3902">
      <c r="A3902" s="178" t="str">
        <f>IFERROR(__xludf.DUMMYFUNCTION("""COMPUTED_VALUE"""),"ITBISA-IC-74HC245N-DIP20")</f>
        <v>ITBISA-IC-74HC245N-DIP20</v>
      </c>
      <c r="B3902" s="266">
        <f>IFERROR(__xludf.DUMMYFUNCTION("""COMPUTED_VALUE"""),45735.0)</f>
        <v>45735</v>
      </c>
      <c r="C3902" s="266" t="str">
        <f>IFERROR(__xludf.DUMMYFUNCTION("""COMPUTED_VALUE"""),"KERTASARI CIAMIS")</f>
        <v>KERTASARI CIAMIS</v>
      </c>
      <c r="D3902" s="186">
        <f>IFERROR(__xludf.DUMMYFUNCTION("""COMPUTED_VALUE"""),5.0)</f>
        <v>5</v>
      </c>
    </row>
    <row r="3903">
      <c r="A3903" s="178" t="str">
        <f>IFERROR(__xludf.DUMMYFUNCTION("""COMPUTED_VALUE"""),"ITBISA-IC-74HC245N-DIP20")</f>
        <v>ITBISA-IC-74HC245N-DIP20</v>
      </c>
      <c r="B3903" s="266">
        <f>IFERROR(__xludf.DUMMYFUNCTION("""COMPUTED_VALUE"""),45735.0)</f>
        <v>45735</v>
      </c>
      <c r="C3903" s="266" t="str">
        <f>IFERROR(__xludf.DUMMYFUNCTION("""COMPUTED_VALUE"""),"KERTASARI CIAMIS")</f>
        <v>KERTASARI CIAMIS</v>
      </c>
      <c r="D3903" s="186">
        <f>IFERROR(__xludf.DUMMYFUNCTION("""COMPUTED_VALUE"""),50.0)</f>
        <v>50</v>
      </c>
    </row>
    <row r="3904">
      <c r="A3904" s="178" t="str">
        <f>IFERROR(__xludf.DUMMYFUNCTION("""COMPUTED_VALUE"""),"ITBISA-IC-74HC245N-DIP20")</f>
        <v>ITBISA-IC-74HC245N-DIP20</v>
      </c>
      <c r="B3904" s="266">
        <f>IFERROR(__xludf.DUMMYFUNCTION("""COMPUTED_VALUE"""),45735.0)</f>
        <v>45735</v>
      </c>
      <c r="C3904" s="266" t="str">
        <f>IFERROR(__xludf.DUMMYFUNCTION("""COMPUTED_VALUE"""),"KYAI KONTONG")</f>
        <v>KYAI KONTONG</v>
      </c>
      <c r="D3904" s="186">
        <f>IFERROR(__xludf.DUMMYFUNCTION("""COMPUTED_VALUE"""),10.0)</f>
        <v>10</v>
      </c>
    </row>
    <row r="3905">
      <c r="A3905" s="178" t="str">
        <f>IFERROR(__xludf.DUMMYFUNCTION("""COMPUTED_VALUE"""),"ITBISA-IC-74HC245N-DIP20")</f>
        <v>ITBISA-IC-74HC245N-DIP20</v>
      </c>
      <c r="B3905" s="266">
        <f>IFERROR(__xludf.DUMMYFUNCTION("""COMPUTED_VALUE"""),45737.0)</f>
        <v>45737</v>
      </c>
      <c r="C3905" s="266" t="str">
        <f>IFERROR(__xludf.DUMMYFUNCTION("""COMPUTED_VALUE"""),"KERTASARI CIAMIS")</f>
        <v>KERTASARI CIAMIS</v>
      </c>
      <c r="D3905" s="186">
        <f>IFERROR(__xludf.DUMMYFUNCTION("""COMPUTED_VALUE"""),100.0)</f>
        <v>100</v>
      </c>
    </row>
    <row r="3906">
      <c r="A3906" s="178" t="str">
        <f>IFERROR(__xludf.DUMMYFUNCTION("""COMPUTED_VALUE"""),"ITBISA-IC-74HC245N-DIP20")</f>
        <v>ITBISA-IC-74HC245N-DIP20</v>
      </c>
      <c r="B3906" s="266">
        <f>IFERROR(__xludf.DUMMYFUNCTION("""COMPUTED_VALUE"""),45738.0)</f>
        <v>45738</v>
      </c>
      <c r="C3906" s="266" t="str">
        <f>IFERROR(__xludf.DUMMYFUNCTION("""COMPUTED_VALUE"""),"KERTASARI CIAMIS")</f>
        <v>KERTASARI CIAMIS</v>
      </c>
      <c r="D3906" s="186">
        <f>IFERROR(__xludf.DUMMYFUNCTION("""COMPUTED_VALUE"""),12.0)</f>
        <v>12</v>
      </c>
    </row>
    <row r="3907">
      <c r="A3907" s="178" t="str">
        <f>IFERROR(__xludf.DUMMYFUNCTION("""COMPUTED_VALUE"""),"ITBISA-IC-74HC245N-DIP20")</f>
        <v>ITBISA-IC-74HC245N-DIP20</v>
      </c>
      <c r="B3907" s="266">
        <f>IFERROR(__xludf.DUMMYFUNCTION("""COMPUTED_VALUE"""),45741.0)</f>
        <v>45741</v>
      </c>
      <c r="C3907" s="266" t="str">
        <f>IFERROR(__xludf.DUMMYFUNCTION("""COMPUTED_VALUE"""),"KERTASARI CIAMIS")</f>
        <v>KERTASARI CIAMIS</v>
      </c>
      <c r="D3907" s="186">
        <f>IFERROR(__xludf.DUMMYFUNCTION("""COMPUTED_VALUE"""),20.0)</f>
        <v>20</v>
      </c>
    </row>
    <row r="3908">
      <c r="A3908" s="178" t="str">
        <f>IFERROR(__xludf.DUMMYFUNCTION("""COMPUTED_VALUE"""),"ITBISA-IC-74HC245N-DIP20")</f>
        <v>ITBISA-IC-74HC245N-DIP20</v>
      </c>
      <c r="B3908" s="266">
        <f>IFERROR(__xludf.DUMMYFUNCTION("""COMPUTED_VALUE"""),45747.0)</f>
        <v>45747</v>
      </c>
      <c r="C3908" s="266" t="str">
        <f>IFERROR(__xludf.DUMMYFUNCTION("""COMPUTED_VALUE"""),"KERTASARI CIAMIS")</f>
        <v>KERTASARI CIAMIS</v>
      </c>
      <c r="D3908" s="186">
        <f>IFERROR(__xludf.DUMMYFUNCTION("""COMPUTED_VALUE"""),10.0)</f>
        <v>10</v>
      </c>
    </row>
    <row r="3909">
      <c r="A3909" s="178" t="str">
        <f>IFERROR(__xludf.DUMMYFUNCTION("""COMPUTED_VALUE"""),"ITBISA-IC-74HC245N-DIP20")</f>
        <v>ITBISA-IC-74HC245N-DIP20</v>
      </c>
      <c r="B3909" s="266">
        <f>IFERROR(__xludf.DUMMYFUNCTION("""COMPUTED_VALUE"""),45749.0)</f>
        <v>45749</v>
      </c>
      <c r="C3909" s="266" t="str">
        <f>IFERROR(__xludf.DUMMYFUNCTION("""COMPUTED_VALUE"""),"KERTASARI CIAMIS")</f>
        <v>KERTASARI CIAMIS</v>
      </c>
      <c r="D3909" s="186">
        <f>IFERROR(__xludf.DUMMYFUNCTION("""COMPUTED_VALUE"""),50.0)</f>
        <v>50</v>
      </c>
    </row>
    <row r="3910">
      <c r="A3910" s="178" t="str">
        <f>IFERROR(__xludf.DUMMYFUNCTION("""COMPUTED_VALUE"""),"ITBISA-IC-74HC245N-DIP20")</f>
        <v>ITBISA-IC-74HC245N-DIP20</v>
      </c>
      <c r="B3910" s="266">
        <f>IFERROR(__xludf.DUMMYFUNCTION("""COMPUTED_VALUE"""),45755.0)</f>
        <v>45755</v>
      </c>
      <c r="C3910" s="266" t="str">
        <f>IFERROR(__xludf.DUMMYFUNCTION("""COMPUTED_VALUE"""),"KERTASARI CIAMIS")</f>
        <v>KERTASARI CIAMIS</v>
      </c>
      <c r="D3910" s="186">
        <f>IFERROR(__xludf.DUMMYFUNCTION("""COMPUTED_VALUE"""),10.0)</f>
        <v>10</v>
      </c>
    </row>
    <row r="3911">
      <c r="A3911" s="178" t="str">
        <f>IFERROR(__xludf.DUMMYFUNCTION("""COMPUTED_VALUE"""),"ITBISA-IC-74HC245N-DIP20")</f>
        <v>ITBISA-IC-74HC245N-DIP20</v>
      </c>
      <c r="B3911" s="266">
        <f>IFERROR(__xludf.DUMMYFUNCTION("""COMPUTED_VALUE"""),45757.0)</f>
        <v>45757</v>
      </c>
      <c r="C3911" s="266" t="str">
        <f>IFERROR(__xludf.DUMMYFUNCTION("""COMPUTED_VALUE"""),"KERTASARI CIAMIS")</f>
        <v>KERTASARI CIAMIS</v>
      </c>
      <c r="D3911" s="186">
        <f>IFERROR(__xludf.DUMMYFUNCTION("""COMPUTED_VALUE"""),10.0)</f>
        <v>10</v>
      </c>
    </row>
    <row r="3912">
      <c r="A3912" s="178" t="str">
        <f>IFERROR(__xludf.DUMMYFUNCTION("""COMPUTED_VALUE"""),"ITBISA-IC-74HC245N-DIP20")</f>
        <v>ITBISA-IC-74HC245N-DIP20</v>
      </c>
      <c r="B3912" s="266">
        <f>IFERROR(__xludf.DUMMYFUNCTION("""COMPUTED_VALUE"""),45758.0)</f>
        <v>45758</v>
      </c>
      <c r="C3912" s="266" t="str">
        <f>IFERROR(__xludf.DUMMYFUNCTION("""COMPUTED_VALUE"""),"KERTASARI CIAMIS")</f>
        <v>KERTASARI CIAMIS</v>
      </c>
      <c r="D3912" s="186">
        <f>IFERROR(__xludf.DUMMYFUNCTION("""COMPUTED_VALUE"""),200.0)</f>
        <v>200</v>
      </c>
    </row>
    <row r="3913">
      <c r="A3913" s="178" t="str">
        <f>IFERROR(__xludf.DUMMYFUNCTION("""COMPUTED_VALUE"""),"ITBISA-IC-74HC245N-DIP20")</f>
        <v>ITBISA-IC-74HC245N-DIP20</v>
      </c>
      <c r="B3913" s="266">
        <f>IFERROR(__xludf.DUMMYFUNCTION("""COMPUTED_VALUE"""),45763.0)</f>
        <v>45763</v>
      </c>
      <c r="C3913" s="266" t="str">
        <f>IFERROR(__xludf.DUMMYFUNCTION("""COMPUTED_VALUE"""),"KERTASARI CIAMIS")</f>
        <v>KERTASARI CIAMIS</v>
      </c>
      <c r="D3913" s="186">
        <f>IFERROR(__xludf.DUMMYFUNCTION("""COMPUTED_VALUE"""),100.0)</f>
        <v>100</v>
      </c>
    </row>
    <row r="3914">
      <c r="A3914" s="178" t="str">
        <f>IFERROR(__xludf.DUMMYFUNCTION("""COMPUTED_VALUE"""),"ITBISA-IC-74HC245N-DIP20")</f>
        <v>ITBISA-IC-74HC245N-DIP20</v>
      </c>
      <c r="B3914" s="266">
        <f>IFERROR(__xludf.DUMMYFUNCTION("""COMPUTED_VALUE"""),45767.0)</f>
        <v>45767</v>
      </c>
      <c r="C3914" s="266" t="str">
        <f>IFERROR(__xludf.DUMMYFUNCTION("""COMPUTED_VALUE"""),"KERTASARI CIAMIS")</f>
        <v>KERTASARI CIAMIS</v>
      </c>
      <c r="D3914" s="186">
        <f>IFERROR(__xludf.DUMMYFUNCTION("""COMPUTED_VALUE"""),20.0)</f>
        <v>20</v>
      </c>
    </row>
    <row r="3915">
      <c r="A3915" s="178" t="str">
        <f>IFERROR(__xludf.DUMMYFUNCTION("""COMPUTED_VALUE"""),"ITBISA-IC-74HC245N-DIP20")</f>
        <v>ITBISA-IC-74HC245N-DIP20</v>
      </c>
      <c r="B3915" s="266">
        <f>IFERROR(__xludf.DUMMYFUNCTION("""COMPUTED_VALUE"""),45768.0)</f>
        <v>45768</v>
      </c>
      <c r="C3915" s="266" t="str">
        <f>IFERROR(__xludf.DUMMYFUNCTION("""COMPUTED_VALUE"""),"KERTASARI CIAMIS")</f>
        <v>KERTASARI CIAMIS</v>
      </c>
      <c r="D3915" s="186">
        <f>IFERROR(__xludf.DUMMYFUNCTION("""COMPUTED_VALUE"""),10.0)</f>
        <v>10</v>
      </c>
    </row>
    <row r="3916">
      <c r="A3916" s="178" t="str">
        <f>IFERROR(__xludf.DUMMYFUNCTION("""COMPUTED_VALUE"""),"ITBISA-IC-74HC245N-DIP20")</f>
        <v>ITBISA-IC-74HC245N-DIP20</v>
      </c>
      <c r="B3916" s="266">
        <f>IFERROR(__xludf.DUMMYFUNCTION("""COMPUTED_VALUE"""),45769.0)</f>
        <v>45769</v>
      </c>
      <c r="C3916" s="266" t="str">
        <f>IFERROR(__xludf.DUMMYFUNCTION("""COMPUTED_VALUE"""),"KERTASARI CIAMIS")</f>
        <v>KERTASARI CIAMIS</v>
      </c>
      <c r="D3916" s="186">
        <f>IFERROR(__xludf.DUMMYFUNCTION("""COMPUTED_VALUE"""),10.0)</f>
        <v>10</v>
      </c>
    </row>
    <row r="3917">
      <c r="A3917" s="178" t="str">
        <f>IFERROR(__xludf.DUMMYFUNCTION("""COMPUTED_VALUE"""),"ITBISA-IC-74HC245N-DIP20")</f>
        <v>ITBISA-IC-74HC245N-DIP20</v>
      </c>
      <c r="B3917" s="266">
        <f>IFERROR(__xludf.DUMMYFUNCTION("""COMPUTED_VALUE"""),45776.0)</f>
        <v>45776</v>
      </c>
      <c r="C3917" s="266" t="str">
        <f>IFERROR(__xludf.DUMMYFUNCTION("""COMPUTED_VALUE"""),"KYAI KONTONG")</f>
        <v>KYAI KONTONG</v>
      </c>
      <c r="D3917" s="186">
        <f>IFERROR(__xludf.DUMMYFUNCTION("""COMPUTED_VALUE"""),10.0)</f>
        <v>10</v>
      </c>
    </row>
    <row r="3918">
      <c r="A3918" s="178" t="str">
        <f>IFERROR(__xludf.DUMMYFUNCTION("""COMPUTED_VALUE"""),"ITBISA-IC-74HC245N-DIP20")</f>
        <v>ITBISA-IC-74HC245N-DIP20</v>
      </c>
      <c r="B3918" s="266">
        <f>IFERROR(__xludf.DUMMYFUNCTION("""COMPUTED_VALUE"""),45777.0)</f>
        <v>45777</v>
      </c>
      <c r="C3918" s="266" t="str">
        <f>IFERROR(__xludf.DUMMYFUNCTION("""COMPUTED_VALUE"""),"KERTASARI CIAMIS")</f>
        <v>KERTASARI CIAMIS</v>
      </c>
      <c r="D3918" s="186">
        <f>IFERROR(__xludf.DUMMYFUNCTION("""COMPUTED_VALUE"""),100.0)</f>
        <v>100</v>
      </c>
    </row>
    <row r="3919">
      <c r="A3919" s="178" t="str">
        <f>IFERROR(__xludf.DUMMYFUNCTION("""COMPUTED_VALUE"""),"ITBISA-IC-74HC245N-DIP20")</f>
        <v>ITBISA-IC-74HC245N-DIP20</v>
      </c>
      <c r="B3919" s="266">
        <f>IFERROR(__xludf.DUMMYFUNCTION("""COMPUTED_VALUE"""),45778.0)</f>
        <v>45778</v>
      </c>
      <c r="C3919" s="266" t="str">
        <f>IFERROR(__xludf.DUMMYFUNCTION("""COMPUTED_VALUE"""),"KYAI KONTONG")</f>
        <v>KYAI KONTONG</v>
      </c>
      <c r="D3919" s="186">
        <f>IFERROR(__xludf.DUMMYFUNCTION("""COMPUTED_VALUE"""),10.0)</f>
        <v>10</v>
      </c>
    </row>
    <row r="3920">
      <c r="A3920" s="178" t="str">
        <f>IFERROR(__xludf.DUMMYFUNCTION("""COMPUTED_VALUE"""),"ITBISA-IC-74HC245N-DIP20")</f>
        <v>ITBISA-IC-74HC245N-DIP20</v>
      </c>
      <c r="B3920" s="266">
        <f>IFERROR(__xludf.DUMMYFUNCTION("""COMPUTED_VALUE"""),45783.0)</f>
        <v>45783</v>
      </c>
      <c r="C3920" s="266" t="str">
        <f>IFERROR(__xludf.DUMMYFUNCTION("""COMPUTED_VALUE"""),"KYAI KONTONG")</f>
        <v>KYAI KONTONG</v>
      </c>
      <c r="D3920" s="186">
        <f>IFERROR(__xludf.DUMMYFUNCTION("""COMPUTED_VALUE"""),270.0)</f>
        <v>270</v>
      </c>
    </row>
    <row r="3921">
      <c r="A3921" s="178" t="str">
        <f>IFERROR(__xludf.DUMMYFUNCTION("""COMPUTED_VALUE"""),"ITBISA-IC-74HC245N-DIP20")</f>
        <v>ITBISA-IC-74HC245N-DIP20</v>
      </c>
      <c r="B3921" s="266">
        <f>IFERROR(__xludf.DUMMYFUNCTION("""COMPUTED_VALUE"""),45786.0)</f>
        <v>45786</v>
      </c>
      <c r="C3921" s="266" t="str">
        <f>IFERROR(__xludf.DUMMYFUNCTION("""COMPUTED_VALUE"""),"KERTASARI CIAMIS")</f>
        <v>KERTASARI CIAMIS</v>
      </c>
      <c r="D3921" s="186">
        <f>IFERROR(__xludf.DUMMYFUNCTION("""COMPUTED_VALUE"""),3.0)</f>
        <v>3</v>
      </c>
    </row>
    <row r="3922">
      <c r="A3922" s="178" t="str">
        <f>IFERROR(__xludf.DUMMYFUNCTION("""COMPUTED_VALUE"""),"ITBISA-IC-74HC245N-DIP20")</f>
        <v>ITBISA-IC-74HC245N-DIP20</v>
      </c>
      <c r="B3922" s="266">
        <f>IFERROR(__xludf.DUMMYFUNCTION("""COMPUTED_VALUE"""),45786.0)</f>
        <v>45786</v>
      </c>
      <c r="C3922" s="266" t="str">
        <f>IFERROR(__xludf.DUMMYFUNCTION("""COMPUTED_VALUE"""),"KYAI KONTONG")</f>
        <v>KYAI KONTONG</v>
      </c>
      <c r="D3922" s="186">
        <f>IFERROR(__xludf.DUMMYFUNCTION("""COMPUTED_VALUE"""),100.0)</f>
        <v>100</v>
      </c>
    </row>
    <row r="3923">
      <c r="A3923" s="178" t="str">
        <f>IFERROR(__xludf.DUMMYFUNCTION("""COMPUTED_VALUE"""),"ITBISA-IC-74HC245N-DIP20")</f>
        <v>ITBISA-IC-74HC245N-DIP20</v>
      </c>
      <c r="B3923" s="266">
        <f>IFERROR(__xludf.DUMMYFUNCTION("""COMPUTED_VALUE"""),45786.0)</f>
        <v>45786</v>
      </c>
      <c r="C3923" s="266" t="str">
        <f>IFERROR(__xludf.DUMMYFUNCTION("""COMPUTED_VALUE"""),"KYAI KONTONG")</f>
        <v>KYAI KONTONG</v>
      </c>
      <c r="D3923" s="186">
        <f>IFERROR(__xludf.DUMMYFUNCTION("""COMPUTED_VALUE"""),100.0)</f>
        <v>100</v>
      </c>
    </row>
    <row r="3924">
      <c r="A3924" s="178" t="str">
        <f>IFERROR(__xludf.DUMMYFUNCTION("""COMPUTED_VALUE"""),"ITBISA-IC-74HC245N-DIP20")</f>
        <v>ITBISA-IC-74HC245N-DIP20</v>
      </c>
      <c r="B3924" s="266">
        <f>IFERROR(__xludf.DUMMYFUNCTION("""COMPUTED_VALUE"""),45791.0)</f>
        <v>45791</v>
      </c>
      <c r="C3924" s="266" t="str">
        <f>IFERROR(__xludf.DUMMYFUNCTION("""COMPUTED_VALUE"""),"KYAI KONTONG")</f>
        <v>KYAI KONTONG</v>
      </c>
      <c r="D3924" s="186">
        <f>IFERROR(__xludf.DUMMYFUNCTION("""COMPUTED_VALUE"""),10.0)</f>
        <v>10</v>
      </c>
    </row>
    <row r="3925">
      <c r="A3925" s="178" t="str">
        <f>IFERROR(__xludf.DUMMYFUNCTION("""COMPUTED_VALUE"""),"ITBISA-IC-74HC245N-DIP20")</f>
        <v>ITBISA-IC-74HC245N-DIP20</v>
      </c>
      <c r="B3925" s="266">
        <f>IFERROR(__xludf.DUMMYFUNCTION("""COMPUTED_VALUE"""),45792.0)</f>
        <v>45792</v>
      </c>
      <c r="C3925" s="266" t="str">
        <f>IFERROR(__xludf.DUMMYFUNCTION("""COMPUTED_VALUE"""),"KYAI KONTONG")</f>
        <v>KYAI KONTONG</v>
      </c>
      <c r="D3925" s="186">
        <f>IFERROR(__xludf.DUMMYFUNCTION("""COMPUTED_VALUE"""),1.0)</f>
        <v>1</v>
      </c>
    </row>
    <row r="3926">
      <c r="A3926" s="178" t="str">
        <f>IFERROR(__xludf.DUMMYFUNCTION("""COMPUTED_VALUE"""),"ITBISA-IC-74HC245N-DIP20")</f>
        <v>ITBISA-IC-74HC245N-DIP20</v>
      </c>
      <c r="B3926" s="266">
        <f>IFERROR(__xludf.DUMMYFUNCTION("""COMPUTED_VALUE"""),45797.0)</f>
        <v>45797</v>
      </c>
      <c r="C3926" s="266" t="str">
        <f>IFERROR(__xludf.DUMMYFUNCTION("""COMPUTED_VALUE"""),"KYAI KONTONG")</f>
        <v>KYAI KONTONG</v>
      </c>
      <c r="D3926" s="186">
        <f>IFERROR(__xludf.DUMMYFUNCTION("""COMPUTED_VALUE"""),10.0)</f>
        <v>10</v>
      </c>
    </row>
    <row r="3927">
      <c r="A3927" s="178" t="str">
        <f>IFERROR(__xludf.DUMMYFUNCTION("""COMPUTED_VALUE"""),"ITBISA-IC-74HC245N-DIP20")</f>
        <v>ITBISA-IC-74HC245N-DIP20</v>
      </c>
      <c r="B3927" s="266">
        <f>IFERROR(__xludf.DUMMYFUNCTION("""COMPUTED_VALUE"""),45800.0)</f>
        <v>45800</v>
      </c>
      <c r="C3927" s="266" t="str">
        <f>IFERROR(__xludf.DUMMYFUNCTION("""COMPUTED_VALUE"""),"KYAI KONTONG")</f>
        <v>KYAI KONTONG</v>
      </c>
      <c r="D3927" s="186">
        <f>IFERROR(__xludf.DUMMYFUNCTION("""COMPUTED_VALUE"""),10.0)</f>
        <v>10</v>
      </c>
    </row>
    <row r="3928">
      <c r="A3928" s="178" t="str">
        <f>IFERROR(__xludf.DUMMYFUNCTION("""COMPUTED_VALUE"""),"ITBISA-IC-74HC245N-DIP20")</f>
        <v>ITBISA-IC-74HC245N-DIP20</v>
      </c>
      <c r="B3928" s="266">
        <f>IFERROR(__xludf.DUMMYFUNCTION("""COMPUTED_VALUE"""),45802.0)</f>
        <v>45802</v>
      </c>
      <c r="C3928" s="266" t="str">
        <f>IFERROR(__xludf.DUMMYFUNCTION("""COMPUTED_VALUE"""),"KYAI KONTONG")</f>
        <v>KYAI KONTONG</v>
      </c>
      <c r="D3928" s="186">
        <f>IFERROR(__xludf.DUMMYFUNCTION("""COMPUTED_VALUE"""),20.0)</f>
        <v>20</v>
      </c>
    </row>
    <row r="3929">
      <c r="A3929" s="178" t="str">
        <f>IFERROR(__xludf.DUMMYFUNCTION("""COMPUTED_VALUE"""),"ITBISA-IC-74HC245N-DIP20")</f>
        <v>ITBISA-IC-74HC245N-DIP20</v>
      </c>
      <c r="B3929" s="266">
        <f>IFERROR(__xludf.DUMMYFUNCTION("""COMPUTED_VALUE"""),45808.0)</f>
        <v>45808</v>
      </c>
      <c r="C3929" s="266" t="str">
        <f>IFERROR(__xludf.DUMMYFUNCTION("""COMPUTED_VALUE"""),"KERTASARI CIAMIS")</f>
        <v>KERTASARI CIAMIS</v>
      </c>
      <c r="D3929" s="186">
        <f>IFERROR(__xludf.DUMMYFUNCTION("""COMPUTED_VALUE"""),20.0)</f>
        <v>20</v>
      </c>
    </row>
    <row r="3930">
      <c r="A3930" s="178" t="str">
        <f>IFERROR(__xludf.DUMMYFUNCTION("""COMPUTED_VALUE"""),"ITBISA-IC-74HC245N-DIP20")</f>
        <v>ITBISA-IC-74HC245N-DIP20</v>
      </c>
      <c r="B3930" s="266">
        <f>IFERROR(__xludf.DUMMYFUNCTION("""COMPUTED_VALUE"""),45808.0)</f>
        <v>45808</v>
      </c>
      <c r="C3930" s="266" t="str">
        <f>IFERROR(__xludf.DUMMYFUNCTION("""COMPUTED_VALUE"""),"KYAI KONTONG")</f>
        <v>KYAI KONTONG</v>
      </c>
      <c r="D3930" s="186">
        <f>IFERROR(__xludf.DUMMYFUNCTION("""COMPUTED_VALUE"""),15.0)</f>
        <v>15</v>
      </c>
    </row>
    <row r="3931">
      <c r="A3931" s="178" t="str">
        <f>IFERROR(__xludf.DUMMYFUNCTION("""COMPUTED_VALUE"""),"ITBISA-IC-74HC245N-DIP20")</f>
        <v>ITBISA-IC-74HC245N-DIP20</v>
      </c>
      <c r="B3931" s="266">
        <f>IFERROR(__xludf.DUMMYFUNCTION("""COMPUTED_VALUE"""),45810.0)</f>
        <v>45810</v>
      </c>
      <c r="C3931" s="266" t="str">
        <f>IFERROR(__xludf.DUMMYFUNCTION("""COMPUTED_VALUE"""),"KYAI KONTONG")</f>
        <v>KYAI KONTONG</v>
      </c>
      <c r="D3931" s="186">
        <f>IFERROR(__xludf.DUMMYFUNCTION("""COMPUTED_VALUE"""),2.0)</f>
        <v>2</v>
      </c>
    </row>
    <row r="3932">
      <c r="A3932" s="178" t="str">
        <f>IFERROR(__xludf.DUMMYFUNCTION("""COMPUTED_VALUE"""),"ITBISA-IC-74HC245N-DIP20")</f>
        <v>ITBISA-IC-74HC245N-DIP20</v>
      </c>
      <c r="B3932" s="266">
        <f>IFERROR(__xludf.DUMMYFUNCTION("""COMPUTED_VALUE"""),45815.0)</f>
        <v>45815</v>
      </c>
      <c r="C3932" s="266" t="str">
        <f>IFERROR(__xludf.DUMMYFUNCTION("""COMPUTED_VALUE"""),"KYAI KONTONG")</f>
        <v>KYAI KONTONG</v>
      </c>
      <c r="D3932" s="186">
        <f>IFERROR(__xludf.DUMMYFUNCTION("""COMPUTED_VALUE"""),10.0)</f>
        <v>10</v>
      </c>
    </row>
    <row r="3933">
      <c r="A3933" s="178" t="str">
        <f>IFERROR(__xludf.DUMMYFUNCTION("""COMPUTED_VALUE"""),"ITBISA-IC-74HC245N-DIP20")</f>
        <v>ITBISA-IC-74HC245N-DIP20</v>
      </c>
      <c r="B3933" s="266">
        <f>IFERROR(__xludf.DUMMYFUNCTION("""COMPUTED_VALUE"""),45820.0)</f>
        <v>45820</v>
      </c>
      <c r="C3933" s="266" t="str">
        <f>IFERROR(__xludf.DUMMYFUNCTION("""COMPUTED_VALUE"""),"KYAI KONTONG")</f>
        <v>KYAI KONTONG</v>
      </c>
      <c r="D3933" s="186">
        <f>IFERROR(__xludf.DUMMYFUNCTION("""COMPUTED_VALUE"""),35.0)</f>
        <v>35</v>
      </c>
    </row>
    <row r="3934">
      <c r="A3934" s="178" t="str">
        <f>IFERROR(__xludf.DUMMYFUNCTION("""COMPUTED_VALUE"""),"ITBISA-IC-74HC245N-DIP20")</f>
        <v>ITBISA-IC-74HC245N-DIP20</v>
      </c>
      <c r="B3934" s="266">
        <f>IFERROR(__xludf.DUMMYFUNCTION("""COMPUTED_VALUE"""),45830.0)</f>
        <v>45830</v>
      </c>
      <c r="C3934" s="266" t="str">
        <f>IFERROR(__xludf.DUMMYFUNCTION("""COMPUTED_VALUE"""),"KYAI KONTONG")</f>
        <v>KYAI KONTONG</v>
      </c>
      <c r="D3934" s="186">
        <f>IFERROR(__xludf.DUMMYFUNCTION("""COMPUTED_VALUE"""),54.0)</f>
        <v>54</v>
      </c>
    </row>
    <row r="3935">
      <c r="A3935" s="178" t="str">
        <f>IFERROR(__xludf.DUMMYFUNCTION("""COMPUTED_VALUE"""),"ITBISA-IC-74HC245N-DIP20")</f>
        <v>ITBISA-IC-74HC245N-DIP20</v>
      </c>
      <c r="B3935" s="266">
        <f>IFERROR(__xludf.DUMMYFUNCTION("""COMPUTED_VALUE"""),45831.0)</f>
        <v>45831</v>
      </c>
      <c r="C3935" s="266" t="str">
        <f>IFERROR(__xludf.DUMMYFUNCTION("""COMPUTED_VALUE"""),"KYAI KONTONG")</f>
        <v>KYAI KONTONG</v>
      </c>
      <c r="D3935" s="186">
        <f>IFERROR(__xludf.DUMMYFUNCTION("""COMPUTED_VALUE"""),180.0)</f>
        <v>180</v>
      </c>
    </row>
    <row r="3936">
      <c r="A3936" s="178" t="str">
        <f>IFERROR(__xludf.DUMMYFUNCTION("""COMPUTED_VALUE"""),"ITBISA-IC-74HC245N-DIP20")</f>
        <v>ITBISA-IC-74HC245N-DIP20</v>
      </c>
      <c r="B3936" s="266">
        <f>IFERROR(__xludf.DUMMYFUNCTION("""COMPUTED_VALUE"""),45852.0)</f>
        <v>45852</v>
      </c>
      <c r="C3936" s="266" t="str">
        <f>IFERROR(__xludf.DUMMYFUNCTION("""COMPUTED_VALUE"""),"KYAI KONTONG")</f>
        <v>KYAI KONTONG</v>
      </c>
      <c r="D3936" s="186">
        <f>IFERROR(__xludf.DUMMYFUNCTION("""COMPUTED_VALUE"""),10.0)</f>
        <v>10</v>
      </c>
    </row>
    <row r="3937">
      <c r="A3937" s="178" t="str">
        <f>IFERROR(__xludf.DUMMYFUNCTION("""COMPUTED_VALUE"""),"ITBISA-IC-74HC245N-DIP20")</f>
        <v>ITBISA-IC-74HC245N-DIP20</v>
      </c>
      <c r="B3937" s="266">
        <f>IFERROR(__xludf.DUMMYFUNCTION("""COMPUTED_VALUE"""),45852.0)</f>
        <v>45852</v>
      </c>
      <c r="C3937" s="266" t="str">
        <f>IFERROR(__xludf.DUMMYFUNCTION("""COMPUTED_VALUE"""),"KYAI KONTONG")</f>
        <v>KYAI KONTONG</v>
      </c>
      <c r="D3937" s="186">
        <f>IFERROR(__xludf.DUMMYFUNCTION("""COMPUTED_VALUE"""),72.0)</f>
        <v>72</v>
      </c>
    </row>
    <row r="3938">
      <c r="A3938" s="178" t="str">
        <f>IFERROR(__xludf.DUMMYFUNCTION("""COMPUTED_VALUE"""),"ITBISA-IC-74HC245N-DIP20")</f>
        <v>ITBISA-IC-74HC245N-DIP20</v>
      </c>
      <c r="B3938" s="266">
        <f>IFERROR(__xludf.DUMMYFUNCTION("""COMPUTED_VALUE"""),45855.0)</f>
        <v>45855</v>
      </c>
      <c r="C3938" s="266" t="str">
        <f>IFERROR(__xludf.DUMMYFUNCTION("""COMPUTED_VALUE"""),"KYAI KONTONG")</f>
        <v>KYAI KONTONG</v>
      </c>
      <c r="D3938" s="186">
        <f>IFERROR(__xludf.DUMMYFUNCTION("""COMPUTED_VALUE"""),1.0)</f>
        <v>1</v>
      </c>
    </row>
    <row r="3939">
      <c r="A3939" s="178" t="str">
        <f>IFERROR(__xludf.DUMMYFUNCTION("""COMPUTED_VALUE"""),"ITBISA-IC-74HC245N-DIP20")</f>
        <v>ITBISA-IC-74HC245N-DIP20</v>
      </c>
      <c r="B3939" s="266">
        <f>IFERROR(__xludf.DUMMYFUNCTION("""COMPUTED_VALUE"""),45860.0)</f>
        <v>45860</v>
      </c>
      <c r="C3939" s="266" t="str">
        <f>IFERROR(__xludf.DUMMYFUNCTION("""COMPUTED_VALUE"""),"KYAI KONTONG")</f>
        <v>KYAI KONTONG</v>
      </c>
      <c r="D3939" s="186">
        <f>IFERROR(__xludf.DUMMYFUNCTION("""COMPUTED_VALUE"""),18.0)</f>
        <v>18</v>
      </c>
    </row>
    <row r="3940">
      <c r="A3940" s="178" t="str">
        <f>IFERROR(__xludf.DUMMYFUNCTION("""COMPUTED_VALUE"""),"ITBISA-IC-74HC245N-DIP20")</f>
        <v>ITBISA-IC-74HC245N-DIP20</v>
      </c>
      <c r="B3940" s="266">
        <f>IFERROR(__xludf.DUMMYFUNCTION("""COMPUTED_VALUE"""),45861.0)</f>
        <v>45861</v>
      </c>
      <c r="C3940" s="266" t="str">
        <f>IFERROR(__xludf.DUMMYFUNCTION("""COMPUTED_VALUE"""),"KYAI KONTONG")</f>
        <v>KYAI KONTONG</v>
      </c>
      <c r="D3940" s="186">
        <f>IFERROR(__xludf.DUMMYFUNCTION("""COMPUTED_VALUE"""),15.0)</f>
        <v>15</v>
      </c>
    </row>
    <row r="3941">
      <c r="A3941" s="178" t="str">
        <f>IFERROR(__xludf.DUMMYFUNCTION("""COMPUTED_VALUE"""),"ITBISA-IC-74HC245N-DIP20")</f>
        <v>ITBISA-IC-74HC245N-DIP20</v>
      </c>
      <c r="B3941" s="266">
        <f>IFERROR(__xludf.DUMMYFUNCTION("""COMPUTED_VALUE"""),45863.0)</f>
        <v>45863</v>
      </c>
      <c r="C3941" s="266" t="str">
        <f>IFERROR(__xludf.DUMMYFUNCTION("""COMPUTED_VALUE"""),"KYAI KONTONG")</f>
        <v>KYAI KONTONG</v>
      </c>
      <c r="D3941" s="186">
        <f>IFERROR(__xludf.DUMMYFUNCTION("""COMPUTED_VALUE"""),18.0)</f>
        <v>18</v>
      </c>
    </row>
    <row r="3942">
      <c r="A3942" s="178" t="str">
        <f>IFERROR(__xludf.DUMMYFUNCTION("""COMPUTED_VALUE"""),"ITBISA-IC-74HC245N-DIP20")</f>
        <v>ITBISA-IC-74HC245N-DIP20</v>
      </c>
      <c r="B3942" s="266">
        <f>IFERROR(__xludf.DUMMYFUNCTION("""COMPUTED_VALUE"""),45864.0)</f>
        <v>45864</v>
      </c>
      <c r="C3942" s="266" t="str">
        <f>IFERROR(__xludf.DUMMYFUNCTION("""COMPUTED_VALUE"""),"KYAI KONTONG")</f>
        <v>KYAI KONTONG</v>
      </c>
      <c r="D3942" s="186">
        <f>IFERROR(__xludf.DUMMYFUNCTION("""COMPUTED_VALUE"""),11.0)</f>
        <v>11</v>
      </c>
    </row>
    <row r="3943">
      <c r="A3943" s="178" t="str">
        <f>IFERROR(__xludf.DUMMYFUNCTION("""COMPUTED_VALUE"""),"ITBISA-IC-74HC245N-DIP20")</f>
        <v>ITBISA-IC-74HC245N-DIP20</v>
      </c>
      <c r="B3943" s="266">
        <f>IFERROR(__xludf.DUMMYFUNCTION("""COMPUTED_VALUE"""),45866.0)</f>
        <v>45866</v>
      </c>
      <c r="C3943" s="266" t="str">
        <f>IFERROR(__xludf.DUMMYFUNCTION("""COMPUTED_VALUE"""),"KYAI KONTONG")</f>
        <v>KYAI KONTONG</v>
      </c>
      <c r="D3943" s="186">
        <f>IFERROR(__xludf.DUMMYFUNCTION("""COMPUTED_VALUE"""),30.0)</f>
        <v>30</v>
      </c>
    </row>
    <row r="3944">
      <c r="A3944" s="178" t="str">
        <f>IFERROR(__xludf.DUMMYFUNCTION("""COMPUTED_VALUE"""),"ITBISA-IC-74HC245N-DIP20")</f>
        <v>ITBISA-IC-74HC245N-DIP20</v>
      </c>
      <c r="B3944" s="266">
        <f>IFERROR(__xludf.DUMMYFUNCTION("""COMPUTED_VALUE"""),45868.0)</f>
        <v>45868</v>
      </c>
      <c r="C3944" s="266" t="str">
        <f>IFERROR(__xludf.DUMMYFUNCTION("""COMPUTED_VALUE"""),"KYAI KONTONG")</f>
        <v>KYAI KONTONG</v>
      </c>
      <c r="D3944" s="186">
        <f>IFERROR(__xludf.DUMMYFUNCTION("""COMPUTED_VALUE"""),110.0)</f>
        <v>110</v>
      </c>
    </row>
    <row r="3945">
      <c r="A3945" s="178" t="str">
        <f>IFERROR(__xludf.DUMMYFUNCTION("""COMPUTED_VALUE"""),"ITBISA-IC-74HC245N-DIP20")</f>
        <v>ITBISA-IC-74HC245N-DIP20</v>
      </c>
      <c r="B3945" s="266">
        <f>IFERROR(__xludf.DUMMYFUNCTION("""COMPUTED_VALUE"""),45869.0)</f>
        <v>45869</v>
      </c>
      <c r="C3945" s="266" t="str">
        <f>IFERROR(__xludf.DUMMYFUNCTION("""COMPUTED_VALUE"""),"KYAI KONTONG")</f>
        <v>KYAI KONTONG</v>
      </c>
      <c r="D3945" s="186">
        <f>IFERROR(__xludf.DUMMYFUNCTION("""COMPUTED_VALUE"""),270.0)</f>
        <v>270</v>
      </c>
    </row>
    <row r="3946">
      <c r="A3946" s="178" t="str">
        <f>IFERROR(__xludf.DUMMYFUNCTION("""COMPUTED_VALUE"""),"ITBISA-IC-74HC245N-DIP20")</f>
        <v>ITBISA-IC-74HC245N-DIP20</v>
      </c>
      <c r="B3946" s="266">
        <f>IFERROR(__xludf.DUMMYFUNCTION("""COMPUTED_VALUE"""),45874.0)</f>
        <v>45874</v>
      </c>
      <c r="C3946" s="266" t="str">
        <f>IFERROR(__xludf.DUMMYFUNCTION("""COMPUTED_VALUE"""),"KYAI KONTONG")</f>
        <v>KYAI KONTONG</v>
      </c>
      <c r="D3946" s="186">
        <f>IFERROR(__xludf.DUMMYFUNCTION("""COMPUTED_VALUE"""),36.0)</f>
        <v>36</v>
      </c>
    </row>
    <row r="3947">
      <c r="A3947" s="178" t="str">
        <f>IFERROR(__xludf.DUMMYFUNCTION("""COMPUTED_VALUE"""),"ITBISA-IC-74HC245N-DIP20")</f>
        <v>ITBISA-IC-74HC245N-DIP20</v>
      </c>
      <c r="B3947" s="266">
        <f>IFERROR(__xludf.DUMMYFUNCTION("""COMPUTED_VALUE"""),45876.0)</f>
        <v>45876</v>
      </c>
      <c r="C3947" s="266" t="str">
        <f>IFERROR(__xludf.DUMMYFUNCTION("""COMPUTED_VALUE"""),"KERTASARI CIAMIS")</f>
        <v>KERTASARI CIAMIS</v>
      </c>
      <c r="D3947" s="186">
        <f>IFERROR(__xludf.DUMMYFUNCTION("""COMPUTED_VALUE"""),5.0)</f>
        <v>5</v>
      </c>
    </row>
    <row r="3948">
      <c r="A3948" s="178" t="str">
        <f>IFERROR(__xludf.DUMMYFUNCTION("""COMPUTED_VALUE"""),"ITBISA-IC-74HC245N-DIP20")</f>
        <v>ITBISA-IC-74HC245N-DIP20</v>
      </c>
      <c r="B3948" s="266">
        <f>IFERROR(__xludf.DUMMYFUNCTION("""COMPUTED_VALUE"""),45881.0)</f>
        <v>45881</v>
      </c>
      <c r="C3948" s="266" t="str">
        <f>IFERROR(__xludf.DUMMYFUNCTION("""COMPUTED_VALUE"""),"KYAI KONTONG")</f>
        <v>KYAI KONTONG</v>
      </c>
      <c r="D3948" s="186">
        <f>IFERROR(__xludf.DUMMYFUNCTION("""COMPUTED_VALUE"""),15.0)</f>
        <v>15</v>
      </c>
    </row>
    <row r="3949">
      <c r="A3949" s="178" t="str">
        <f>IFERROR(__xludf.DUMMYFUNCTION("""COMPUTED_VALUE"""),"ITBISA-IC-74HC245N-DIP20")</f>
        <v>ITBISA-IC-74HC245N-DIP20</v>
      </c>
      <c r="B3949" s="266">
        <f>IFERROR(__xludf.DUMMYFUNCTION("""COMPUTED_VALUE"""),45883.0)</f>
        <v>45883</v>
      </c>
      <c r="C3949" s="266" t="str">
        <f>IFERROR(__xludf.DUMMYFUNCTION("""COMPUTED_VALUE"""),"KYAI KONTONG")</f>
        <v>KYAI KONTONG</v>
      </c>
      <c r="D3949" s="186">
        <f>IFERROR(__xludf.DUMMYFUNCTION("""COMPUTED_VALUE"""),19.0)</f>
        <v>19</v>
      </c>
    </row>
    <row r="3950">
      <c r="A3950" s="178" t="str">
        <f>IFERROR(__xludf.DUMMYFUNCTION("""COMPUTED_VALUE"""),"ITBISA-IC-74HC245N-DIP20")</f>
        <v>ITBISA-IC-74HC245N-DIP20</v>
      </c>
      <c r="B3950" s="266">
        <f>IFERROR(__xludf.DUMMYFUNCTION("""COMPUTED_VALUE"""),45885.0)</f>
        <v>45885</v>
      </c>
      <c r="C3950" s="266" t="str">
        <f>IFERROR(__xludf.DUMMYFUNCTION("""COMPUTED_VALUE"""),"KYAI KONTONG")</f>
        <v>KYAI KONTONG</v>
      </c>
      <c r="D3950" s="186">
        <f>IFERROR(__xludf.DUMMYFUNCTION("""COMPUTED_VALUE"""),10.0)</f>
        <v>10</v>
      </c>
    </row>
    <row r="3951">
      <c r="A3951" s="178" t="str">
        <f>IFERROR(__xludf.DUMMYFUNCTION("""COMPUTED_VALUE"""),"ITBISA-IC-74HC245N-DIP20")</f>
        <v>ITBISA-IC-74HC245N-DIP20</v>
      </c>
      <c r="B3951" s="266">
        <f>IFERROR(__xludf.DUMMYFUNCTION("""COMPUTED_VALUE"""),45898.0)</f>
        <v>45898</v>
      </c>
      <c r="C3951" s="266" t="str">
        <f>IFERROR(__xludf.DUMMYFUNCTION("""COMPUTED_VALUE"""),"KYAI KONTONG")</f>
        <v>KYAI KONTONG</v>
      </c>
      <c r="D3951" s="186">
        <f>IFERROR(__xludf.DUMMYFUNCTION("""COMPUTED_VALUE"""),100.0)</f>
        <v>100</v>
      </c>
    </row>
    <row r="3952">
      <c r="A3952" s="178" t="str">
        <f>IFERROR(__xludf.DUMMYFUNCTION("""COMPUTED_VALUE"""),"ITBISA-IC-74HC245N-DIP20")</f>
        <v>ITBISA-IC-74HC245N-DIP20</v>
      </c>
      <c r="B3952" s="266">
        <f>IFERROR(__xludf.DUMMYFUNCTION("""COMPUTED_VALUE"""),45942.0)</f>
        <v>45942</v>
      </c>
      <c r="C3952" s="266" t="str">
        <f>IFERROR(__xludf.DUMMYFUNCTION("""COMPUTED_VALUE"""),"KYAI KONTONG")</f>
        <v>KYAI KONTONG</v>
      </c>
      <c r="D3952" s="186">
        <f>IFERROR(__xludf.DUMMYFUNCTION("""COMPUTED_VALUE"""),4.0)</f>
        <v>4</v>
      </c>
    </row>
    <row r="3953">
      <c r="A3953" s="178" t="str">
        <f>IFERROR(__xludf.DUMMYFUNCTION("""COMPUTED_VALUE"""),"ITBISA-IC-74HC245N-DIP20")</f>
        <v>ITBISA-IC-74HC245N-DIP20</v>
      </c>
      <c r="B3953" s="266">
        <f>IFERROR(__xludf.DUMMYFUNCTION("""COMPUTED_VALUE"""),45950.0)</f>
        <v>45950</v>
      </c>
      <c r="C3953" s="266" t="str">
        <f>IFERROR(__xludf.DUMMYFUNCTION("""COMPUTED_VALUE"""),"KYAI KONTONG")</f>
        <v>KYAI KONTONG</v>
      </c>
      <c r="D3953" s="186">
        <f>IFERROR(__xludf.DUMMYFUNCTION("""COMPUTED_VALUE"""),2.0)</f>
        <v>2</v>
      </c>
    </row>
    <row r="3954">
      <c r="A3954" s="178" t="str">
        <f>IFERROR(__xludf.DUMMYFUNCTION("""COMPUTED_VALUE"""),"ITBISA-IC-74HC245N-DIP20")</f>
        <v>ITBISA-IC-74HC245N-DIP20</v>
      </c>
      <c r="B3954" s="266">
        <f>IFERROR(__xludf.DUMMYFUNCTION("""COMPUTED_VALUE"""),45975.0)</f>
        <v>45975</v>
      </c>
      <c r="C3954" s="266" t="str">
        <f>IFERROR(__xludf.DUMMYFUNCTION("""COMPUTED_VALUE"""),"KYAI KONTONG")</f>
        <v>KYAI KONTONG</v>
      </c>
      <c r="D3954" s="186">
        <f>IFERROR(__xludf.DUMMYFUNCTION("""COMPUTED_VALUE"""),1.0)</f>
        <v>1</v>
      </c>
    </row>
    <row r="3955">
      <c r="A3955" s="178" t="str">
        <f>IFERROR(__xludf.DUMMYFUNCTION("""COMPUTED_VALUE"""),"ITBISA-IC-74HC245N-DIP20")</f>
        <v>ITBISA-IC-74HC245N-DIP20</v>
      </c>
      <c r="B3955" s="266">
        <f>IFERROR(__xludf.DUMMYFUNCTION("""COMPUTED_VALUE"""),45977.0)</f>
        <v>45977</v>
      </c>
      <c r="C3955" s="266" t="str">
        <f>IFERROR(__xludf.DUMMYFUNCTION("""COMPUTED_VALUE"""),"KYAI KONTONG")</f>
        <v>KYAI KONTONG</v>
      </c>
      <c r="D3955" s="186">
        <f>IFERROR(__xludf.DUMMYFUNCTION("""COMPUTED_VALUE"""),2.0)</f>
        <v>2</v>
      </c>
    </row>
    <row r="3956">
      <c r="A3956" s="178" t="str">
        <f>IFERROR(__xludf.DUMMYFUNCTION("""COMPUTED_VALUE"""),"ITBISA-IC-74HC245N-DIP20")</f>
        <v>ITBISA-IC-74HC245N-DIP20</v>
      </c>
      <c r="B3956" s="266">
        <f>IFERROR(__xludf.DUMMYFUNCTION("""COMPUTED_VALUE"""),45979.0)</f>
        <v>45979</v>
      </c>
      <c r="C3956" s="266" t="str">
        <f>IFERROR(__xludf.DUMMYFUNCTION("""COMPUTED_VALUE"""),"KYAI KONTONG")</f>
        <v>KYAI KONTONG</v>
      </c>
      <c r="D3956" s="186">
        <f>IFERROR(__xludf.DUMMYFUNCTION("""COMPUTED_VALUE"""),2.0)</f>
        <v>2</v>
      </c>
    </row>
    <row r="3957">
      <c r="A3957" s="178" t="str">
        <f>IFERROR(__xludf.DUMMYFUNCTION("""COMPUTED_VALUE"""),"ITBISA-IC-74HC595N-DIP16")</f>
        <v>ITBISA-IC-74HC595N-DIP16</v>
      </c>
      <c r="B3957" s="266">
        <f>IFERROR(__xludf.DUMMYFUNCTION("""COMPUTED_VALUE"""),44925.0)</f>
        <v>44925</v>
      </c>
      <c r="C3957" s="266" t="str">
        <f>IFERROR(__xludf.DUMMYFUNCTION("""COMPUTED_VALUE"""),"KYAI KONTONG")</f>
        <v>KYAI KONTONG</v>
      </c>
      <c r="D3957" s="186">
        <f>IFERROR(__xludf.DUMMYFUNCTION("""COMPUTED_VALUE"""),6.0)</f>
        <v>6</v>
      </c>
    </row>
    <row r="3958">
      <c r="A3958" s="178" t="str">
        <f>IFERROR(__xludf.DUMMYFUNCTION("""COMPUTED_VALUE"""),"ITBISA-IC-74HC595N-DIP16")</f>
        <v>ITBISA-IC-74HC595N-DIP16</v>
      </c>
      <c r="B3958" s="266">
        <f>IFERROR(__xludf.DUMMYFUNCTION("""COMPUTED_VALUE"""),44938.0)</f>
        <v>44938</v>
      </c>
      <c r="C3958" s="266" t="str">
        <f>IFERROR(__xludf.DUMMYFUNCTION("""COMPUTED_VALUE"""),"KYAI KONTONG")</f>
        <v>KYAI KONTONG</v>
      </c>
      <c r="D3958" s="186">
        <f>IFERROR(__xludf.DUMMYFUNCTION("""COMPUTED_VALUE"""),10.0)</f>
        <v>10</v>
      </c>
    </row>
    <row r="3959">
      <c r="A3959" s="178" t="str">
        <f>IFERROR(__xludf.DUMMYFUNCTION("""COMPUTED_VALUE"""),"ITBISA-IC-74HC595N-DIP16")</f>
        <v>ITBISA-IC-74HC595N-DIP16</v>
      </c>
      <c r="B3959" s="266">
        <f>IFERROR(__xludf.DUMMYFUNCTION("""COMPUTED_VALUE"""),44938.0)</f>
        <v>44938</v>
      </c>
      <c r="C3959" s="266" t="str">
        <f>IFERROR(__xludf.DUMMYFUNCTION("""COMPUTED_VALUE"""),"KYAI KONTONG")</f>
        <v>KYAI KONTONG</v>
      </c>
      <c r="D3959" s="186">
        <f>IFERROR(__xludf.DUMMYFUNCTION("""COMPUTED_VALUE"""),50.0)</f>
        <v>50</v>
      </c>
    </row>
    <row r="3960">
      <c r="A3960" s="178" t="str">
        <f>IFERROR(__xludf.DUMMYFUNCTION("""COMPUTED_VALUE"""),"ITBISA-IC-74HC595N-DIP16")</f>
        <v>ITBISA-IC-74HC595N-DIP16</v>
      </c>
      <c r="B3960" s="266">
        <f>IFERROR(__xludf.DUMMYFUNCTION("""COMPUTED_VALUE"""),44942.0)</f>
        <v>44942</v>
      </c>
      <c r="C3960" s="266" t="str">
        <f>IFERROR(__xludf.DUMMYFUNCTION("""COMPUTED_VALUE"""),"KYAI KONTONG")</f>
        <v>KYAI KONTONG</v>
      </c>
      <c r="D3960" s="186">
        <f>IFERROR(__xludf.DUMMYFUNCTION("""COMPUTED_VALUE"""),25.0)</f>
        <v>25</v>
      </c>
    </row>
    <row r="3961">
      <c r="A3961" s="178" t="str">
        <f>IFERROR(__xludf.DUMMYFUNCTION("""COMPUTED_VALUE"""),"ITBISA-IC-74HC595N-DIP16")</f>
        <v>ITBISA-IC-74HC595N-DIP16</v>
      </c>
      <c r="B3961" s="266">
        <f>IFERROR(__xludf.DUMMYFUNCTION("""COMPUTED_VALUE"""),44943.0)</f>
        <v>44943</v>
      </c>
      <c r="C3961" s="266" t="str">
        <f>IFERROR(__xludf.DUMMYFUNCTION("""COMPUTED_VALUE"""),"KYAI KONTONG")</f>
        <v>KYAI KONTONG</v>
      </c>
      <c r="D3961" s="186">
        <f>IFERROR(__xludf.DUMMYFUNCTION("""COMPUTED_VALUE"""),25.0)</f>
        <v>25</v>
      </c>
    </row>
    <row r="3962">
      <c r="A3962" s="178" t="str">
        <f>IFERROR(__xludf.DUMMYFUNCTION("""COMPUTED_VALUE"""),"ITBISA-IC-74HC595N-DIP16")</f>
        <v>ITBISA-IC-74HC595N-DIP16</v>
      </c>
      <c r="B3962" s="266">
        <f>IFERROR(__xludf.DUMMYFUNCTION("""COMPUTED_VALUE"""),44945.0)</f>
        <v>44945</v>
      </c>
      <c r="C3962" s="266" t="str">
        <f>IFERROR(__xludf.DUMMYFUNCTION("""COMPUTED_VALUE"""),"KYAI KONTONG")</f>
        <v>KYAI KONTONG</v>
      </c>
      <c r="D3962" s="186">
        <f>IFERROR(__xludf.DUMMYFUNCTION("""COMPUTED_VALUE"""),5.0)</f>
        <v>5</v>
      </c>
    </row>
    <row r="3963">
      <c r="A3963" s="178" t="str">
        <f>IFERROR(__xludf.DUMMYFUNCTION("""COMPUTED_VALUE"""),"ITBISA-IC-74HC595N-DIP16")</f>
        <v>ITBISA-IC-74HC595N-DIP16</v>
      </c>
      <c r="B3963" s="266">
        <f>IFERROR(__xludf.DUMMYFUNCTION("""COMPUTED_VALUE"""),44951.0)</f>
        <v>44951</v>
      </c>
      <c r="C3963" s="266" t="str">
        <f>IFERROR(__xludf.DUMMYFUNCTION("""COMPUTED_VALUE"""),"KYAI KONTONG")</f>
        <v>KYAI KONTONG</v>
      </c>
      <c r="D3963" s="186">
        <f>IFERROR(__xludf.DUMMYFUNCTION("""COMPUTED_VALUE"""),5.0)</f>
        <v>5</v>
      </c>
    </row>
    <row r="3964">
      <c r="A3964" s="178" t="str">
        <f>IFERROR(__xludf.DUMMYFUNCTION("""COMPUTED_VALUE"""),"ITBISA-IC-74HC595N-DIP16")</f>
        <v>ITBISA-IC-74HC595N-DIP16</v>
      </c>
      <c r="B3964" s="266">
        <f>IFERROR(__xludf.DUMMYFUNCTION("""COMPUTED_VALUE"""),44953.0)</f>
        <v>44953</v>
      </c>
      <c r="C3964" s="266" t="str">
        <f>IFERROR(__xludf.DUMMYFUNCTION("""COMPUTED_VALUE"""),"KYAI KONTONG")</f>
        <v>KYAI KONTONG</v>
      </c>
      <c r="D3964" s="186">
        <f>IFERROR(__xludf.DUMMYFUNCTION("""COMPUTED_VALUE"""),5.0)</f>
        <v>5</v>
      </c>
    </row>
    <row r="3965">
      <c r="A3965" s="178" t="str">
        <f>IFERROR(__xludf.DUMMYFUNCTION("""COMPUTED_VALUE"""),"ITBISA-IC-74HC595N-DIP16")</f>
        <v>ITBISA-IC-74HC595N-DIP16</v>
      </c>
      <c r="B3965" s="266">
        <f>IFERROR(__xludf.DUMMYFUNCTION("""COMPUTED_VALUE"""),44953.0)</f>
        <v>44953</v>
      </c>
      <c r="C3965" s="266" t="str">
        <f>IFERROR(__xludf.DUMMYFUNCTION("""COMPUTED_VALUE"""),"KYAI KONTONG")</f>
        <v>KYAI KONTONG</v>
      </c>
      <c r="D3965" s="186">
        <f>IFERROR(__xludf.DUMMYFUNCTION("""COMPUTED_VALUE"""),25.0)</f>
        <v>25</v>
      </c>
    </row>
    <row r="3966">
      <c r="A3966" s="178" t="str">
        <f>IFERROR(__xludf.DUMMYFUNCTION("""COMPUTED_VALUE"""),"ITBISA-IC-74HC595N-DIP16")</f>
        <v>ITBISA-IC-74HC595N-DIP16</v>
      </c>
      <c r="B3966" s="266">
        <f>IFERROR(__xludf.DUMMYFUNCTION("""COMPUTED_VALUE"""),44953.0)</f>
        <v>44953</v>
      </c>
      <c r="C3966" s="266" t="str">
        <f>IFERROR(__xludf.DUMMYFUNCTION("""COMPUTED_VALUE"""),"KYAI KONTONG")</f>
        <v>KYAI KONTONG</v>
      </c>
      <c r="D3966" s="186">
        <f>IFERROR(__xludf.DUMMYFUNCTION("""COMPUTED_VALUE"""),225.0)</f>
        <v>225</v>
      </c>
    </row>
    <row r="3967">
      <c r="A3967" s="178" t="str">
        <f>IFERROR(__xludf.DUMMYFUNCTION("""COMPUTED_VALUE"""),"ITBISA-IC-74HC595N-DIP16")</f>
        <v>ITBISA-IC-74HC595N-DIP16</v>
      </c>
      <c r="B3967" s="266">
        <f>IFERROR(__xludf.DUMMYFUNCTION("""COMPUTED_VALUE"""),44954.0)</f>
        <v>44954</v>
      </c>
      <c r="C3967" s="266" t="str">
        <f>IFERROR(__xludf.DUMMYFUNCTION("""COMPUTED_VALUE"""),"KYAI KONTONG")</f>
        <v>KYAI KONTONG</v>
      </c>
      <c r="D3967" s="186">
        <f>IFERROR(__xludf.DUMMYFUNCTION("""COMPUTED_VALUE"""),50.0)</f>
        <v>50</v>
      </c>
    </row>
    <row r="3968">
      <c r="A3968" s="178" t="str">
        <f>IFERROR(__xludf.DUMMYFUNCTION("""COMPUTED_VALUE"""),"ITBISA-IC-74HC595N-DIP16")</f>
        <v>ITBISA-IC-74HC595N-DIP16</v>
      </c>
      <c r="B3968" s="266">
        <f>IFERROR(__xludf.DUMMYFUNCTION("""COMPUTED_VALUE"""),44957.0)</f>
        <v>44957</v>
      </c>
      <c r="C3968" s="266" t="str">
        <f>IFERROR(__xludf.DUMMYFUNCTION("""COMPUTED_VALUE"""),"KYAI KONTONG")</f>
        <v>KYAI KONTONG</v>
      </c>
      <c r="D3968" s="186">
        <f>IFERROR(__xludf.DUMMYFUNCTION("""COMPUTED_VALUE"""),100.0)</f>
        <v>100</v>
      </c>
    </row>
    <row r="3969">
      <c r="A3969" s="178" t="str">
        <f>IFERROR(__xludf.DUMMYFUNCTION("""COMPUTED_VALUE"""),"ITBISA-IC-74HC595N-DIP16")</f>
        <v>ITBISA-IC-74HC595N-DIP16</v>
      </c>
      <c r="B3969" s="266">
        <f>IFERROR(__xludf.DUMMYFUNCTION("""COMPUTED_VALUE"""),44960.0)</f>
        <v>44960</v>
      </c>
      <c r="C3969" s="266" t="str">
        <f>IFERROR(__xludf.DUMMYFUNCTION("""COMPUTED_VALUE"""),"KYAI KONTONG")</f>
        <v>KYAI KONTONG</v>
      </c>
      <c r="D3969" s="186">
        <f>IFERROR(__xludf.DUMMYFUNCTION("""COMPUTED_VALUE"""),125.0)</f>
        <v>125</v>
      </c>
    </row>
    <row r="3970">
      <c r="A3970" s="178" t="str">
        <f>IFERROR(__xludf.DUMMYFUNCTION("""COMPUTED_VALUE"""),"ITBISA-IC-74HC595N-DIP16")</f>
        <v>ITBISA-IC-74HC595N-DIP16</v>
      </c>
      <c r="B3970" s="266">
        <f>IFERROR(__xludf.DUMMYFUNCTION("""COMPUTED_VALUE"""),44964.0)</f>
        <v>44964</v>
      </c>
      <c r="C3970" s="266" t="str">
        <f>IFERROR(__xludf.DUMMYFUNCTION("""COMPUTED_VALUE"""),"KYAI KONTONG")</f>
        <v>KYAI KONTONG</v>
      </c>
      <c r="D3970" s="186">
        <f>IFERROR(__xludf.DUMMYFUNCTION("""COMPUTED_VALUE"""),2.0)</f>
        <v>2</v>
      </c>
    </row>
    <row r="3971">
      <c r="A3971" s="178" t="str">
        <f>IFERROR(__xludf.DUMMYFUNCTION("""COMPUTED_VALUE"""),"ITBISA-IC-74HC595N-DIP16")</f>
        <v>ITBISA-IC-74HC595N-DIP16</v>
      </c>
      <c r="B3971" s="266">
        <f>IFERROR(__xludf.DUMMYFUNCTION("""COMPUTED_VALUE"""),44964.0)</f>
        <v>44964</v>
      </c>
      <c r="C3971" s="266" t="str">
        <f>IFERROR(__xludf.DUMMYFUNCTION("""COMPUTED_VALUE"""),"KYAI KONTONG")</f>
        <v>KYAI KONTONG</v>
      </c>
      <c r="D3971" s="186">
        <f>IFERROR(__xludf.DUMMYFUNCTION("""COMPUTED_VALUE"""),25.0)</f>
        <v>25</v>
      </c>
    </row>
    <row r="3972">
      <c r="A3972" s="178" t="str">
        <f>IFERROR(__xludf.DUMMYFUNCTION("""COMPUTED_VALUE"""),"ITBISA-IC-74HC595N-DIP16")</f>
        <v>ITBISA-IC-74HC595N-DIP16</v>
      </c>
      <c r="B3972" s="266">
        <f>IFERROR(__xludf.DUMMYFUNCTION("""COMPUTED_VALUE"""),44966.0)</f>
        <v>44966</v>
      </c>
      <c r="C3972" s="266" t="str">
        <f>IFERROR(__xludf.DUMMYFUNCTION("""COMPUTED_VALUE"""),"KYAI KONTONG")</f>
        <v>KYAI KONTONG</v>
      </c>
      <c r="D3972" s="186">
        <f>IFERROR(__xludf.DUMMYFUNCTION("""COMPUTED_VALUE"""),150.0)</f>
        <v>150</v>
      </c>
    </row>
    <row r="3973">
      <c r="A3973" s="178" t="str">
        <f>IFERROR(__xludf.DUMMYFUNCTION("""COMPUTED_VALUE"""),"ITBISA-IC-74HC595N-DIP16")</f>
        <v>ITBISA-IC-74HC595N-DIP16</v>
      </c>
      <c r="B3973" s="266">
        <f>IFERROR(__xludf.DUMMYFUNCTION("""COMPUTED_VALUE"""),44967.0)</f>
        <v>44967</v>
      </c>
      <c r="C3973" s="266" t="str">
        <f>IFERROR(__xludf.DUMMYFUNCTION("""COMPUTED_VALUE"""),"KYAI KONTONG")</f>
        <v>KYAI KONTONG</v>
      </c>
      <c r="D3973" s="186">
        <f>IFERROR(__xludf.DUMMYFUNCTION("""COMPUTED_VALUE"""),10.0)</f>
        <v>10</v>
      </c>
    </row>
    <row r="3974">
      <c r="A3974" s="178" t="str">
        <f>IFERROR(__xludf.DUMMYFUNCTION("""COMPUTED_VALUE"""),"ITBISA-IC-74HC595N-DIP16")</f>
        <v>ITBISA-IC-74HC595N-DIP16</v>
      </c>
      <c r="B3974" s="266">
        <f>IFERROR(__xludf.DUMMYFUNCTION("""COMPUTED_VALUE"""),44974.0)</f>
        <v>44974</v>
      </c>
      <c r="C3974" s="266" t="str">
        <f>IFERROR(__xludf.DUMMYFUNCTION("""COMPUTED_VALUE"""),"KYAI KONTONG")</f>
        <v>KYAI KONTONG</v>
      </c>
      <c r="D3974" s="186">
        <f>IFERROR(__xludf.DUMMYFUNCTION("""COMPUTED_VALUE"""),25.0)</f>
        <v>25</v>
      </c>
    </row>
    <row r="3975">
      <c r="A3975" s="178" t="str">
        <f>IFERROR(__xludf.DUMMYFUNCTION("""COMPUTED_VALUE"""),"ITBISA-IC-74HC595N-DIP16")</f>
        <v>ITBISA-IC-74HC595N-DIP16</v>
      </c>
      <c r="B3975" s="266">
        <f>IFERROR(__xludf.DUMMYFUNCTION("""COMPUTED_VALUE"""),44975.0)</f>
        <v>44975</v>
      </c>
      <c r="C3975" s="266" t="str">
        <f>IFERROR(__xludf.DUMMYFUNCTION("""COMPUTED_VALUE"""),"KYAI KONTONG")</f>
        <v>KYAI KONTONG</v>
      </c>
      <c r="D3975" s="186">
        <f>IFERROR(__xludf.DUMMYFUNCTION("""COMPUTED_VALUE"""),7.0)</f>
        <v>7</v>
      </c>
    </row>
    <row r="3976">
      <c r="A3976" s="178" t="str">
        <f>IFERROR(__xludf.DUMMYFUNCTION("""COMPUTED_VALUE"""),"ITBISA-IC-74HC595N-DIP16")</f>
        <v>ITBISA-IC-74HC595N-DIP16</v>
      </c>
      <c r="B3976" s="266">
        <f>IFERROR(__xludf.DUMMYFUNCTION("""COMPUTED_VALUE"""),44975.0)</f>
        <v>44975</v>
      </c>
      <c r="C3976" s="266" t="str">
        <f>IFERROR(__xludf.DUMMYFUNCTION("""COMPUTED_VALUE"""),"KYAI KONTONG")</f>
        <v>KYAI KONTONG</v>
      </c>
      <c r="D3976" s="186">
        <f>IFERROR(__xludf.DUMMYFUNCTION("""COMPUTED_VALUE"""),10.0)</f>
        <v>10</v>
      </c>
    </row>
    <row r="3977">
      <c r="A3977" s="178" t="str">
        <f>IFERROR(__xludf.DUMMYFUNCTION("""COMPUTED_VALUE"""),"ITBISA-IC-74HC595N-DIP16")</f>
        <v>ITBISA-IC-74HC595N-DIP16</v>
      </c>
      <c r="B3977" s="266">
        <f>IFERROR(__xludf.DUMMYFUNCTION("""COMPUTED_VALUE"""),44975.0)</f>
        <v>44975</v>
      </c>
      <c r="C3977" s="266" t="str">
        <f>IFERROR(__xludf.DUMMYFUNCTION("""COMPUTED_VALUE"""),"KYAI KONTONG")</f>
        <v>KYAI KONTONG</v>
      </c>
      <c r="D3977" s="186">
        <f>IFERROR(__xludf.DUMMYFUNCTION("""COMPUTED_VALUE"""),100.0)</f>
        <v>100</v>
      </c>
    </row>
    <row r="3978">
      <c r="A3978" s="178" t="str">
        <f>IFERROR(__xludf.DUMMYFUNCTION("""COMPUTED_VALUE"""),"ITBISA-IC-74HC595N-DIP16")</f>
        <v>ITBISA-IC-74HC595N-DIP16</v>
      </c>
      <c r="B3978" s="266">
        <f>IFERROR(__xludf.DUMMYFUNCTION("""COMPUTED_VALUE"""),44977.0)</f>
        <v>44977</v>
      </c>
      <c r="C3978" s="266" t="str">
        <f>IFERROR(__xludf.DUMMYFUNCTION("""COMPUTED_VALUE"""),"KYAI KONTONG")</f>
        <v>KYAI KONTONG</v>
      </c>
      <c r="D3978" s="186">
        <f>IFERROR(__xludf.DUMMYFUNCTION("""COMPUTED_VALUE"""),20.0)</f>
        <v>20</v>
      </c>
    </row>
    <row r="3979">
      <c r="A3979" s="178" t="str">
        <f>IFERROR(__xludf.DUMMYFUNCTION("""COMPUTED_VALUE"""),"ITBISA-IC-74HC595N-DIP16")</f>
        <v>ITBISA-IC-74HC595N-DIP16</v>
      </c>
      <c r="B3979" s="266">
        <f>IFERROR(__xludf.DUMMYFUNCTION("""COMPUTED_VALUE"""),44978.0)</f>
        <v>44978</v>
      </c>
      <c r="C3979" s="266" t="str">
        <f>IFERROR(__xludf.DUMMYFUNCTION("""COMPUTED_VALUE"""),"KYAI KONTONG")</f>
        <v>KYAI KONTONG</v>
      </c>
      <c r="D3979" s="186">
        <f>IFERROR(__xludf.DUMMYFUNCTION("""COMPUTED_VALUE"""),250.0)</f>
        <v>250</v>
      </c>
    </row>
    <row r="3980">
      <c r="A3980" s="178" t="str">
        <f>IFERROR(__xludf.DUMMYFUNCTION("""COMPUTED_VALUE"""),"ITBISA-IC-74HC595N-DIP16")</f>
        <v>ITBISA-IC-74HC595N-DIP16</v>
      </c>
      <c r="B3980" s="266">
        <f>IFERROR(__xludf.DUMMYFUNCTION("""COMPUTED_VALUE"""),44983.0)</f>
        <v>44983</v>
      </c>
      <c r="C3980" s="266" t="str">
        <f>IFERROR(__xludf.DUMMYFUNCTION("""COMPUTED_VALUE"""),"KYAI KONTONG")</f>
        <v>KYAI KONTONG</v>
      </c>
      <c r="D3980" s="186">
        <f>IFERROR(__xludf.DUMMYFUNCTION("""COMPUTED_VALUE"""),20.0)</f>
        <v>20</v>
      </c>
    </row>
    <row r="3981">
      <c r="A3981" s="178" t="str">
        <f>IFERROR(__xludf.DUMMYFUNCTION("""COMPUTED_VALUE"""),"ITBISA-IC-74HC595N-DIP16")</f>
        <v>ITBISA-IC-74HC595N-DIP16</v>
      </c>
      <c r="B3981" s="266">
        <f>IFERROR(__xludf.DUMMYFUNCTION("""COMPUTED_VALUE"""),44986.0)</f>
        <v>44986</v>
      </c>
      <c r="C3981" s="266" t="str">
        <f>IFERROR(__xludf.DUMMYFUNCTION("""COMPUTED_VALUE"""),"KYAI KONTONG")</f>
        <v>KYAI KONTONG</v>
      </c>
      <c r="D3981" s="186">
        <f>IFERROR(__xludf.DUMMYFUNCTION("""COMPUTED_VALUE"""),25.0)</f>
        <v>25</v>
      </c>
    </row>
    <row r="3982">
      <c r="A3982" s="178" t="str">
        <f>IFERROR(__xludf.DUMMYFUNCTION("""COMPUTED_VALUE"""),"ITBISA-IC-74HC595N-DIP16")</f>
        <v>ITBISA-IC-74HC595N-DIP16</v>
      </c>
      <c r="B3982" s="266">
        <f>IFERROR(__xludf.DUMMYFUNCTION("""COMPUTED_VALUE"""),44990.0)</f>
        <v>44990</v>
      </c>
      <c r="C3982" s="266" t="str">
        <f>IFERROR(__xludf.DUMMYFUNCTION("""COMPUTED_VALUE"""),"KYAI KONTONG")</f>
        <v>KYAI KONTONG</v>
      </c>
      <c r="D3982" s="186">
        <f>IFERROR(__xludf.DUMMYFUNCTION("""COMPUTED_VALUE"""),30.0)</f>
        <v>30</v>
      </c>
    </row>
    <row r="3983">
      <c r="A3983" s="178" t="str">
        <f>IFERROR(__xludf.DUMMYFUNCTION("""COMPUTED_VALUE"""),"ITBISA-IC-74HC595N-DIP16")</f>
        <v>ITBISA-IC-74HC595N-DIP16</v>
      </c>
      <c r="B3983" s="266">
        <f>IFERROR(__xludf.DUMMYFUNCTION("""COMPUTED_VALUE"""),44998.0)</f>
        <v>44998</v>
      </c>
      <c r="C3983" s="266" t="str">
        <f>IFERROR(__xludf.DUMMYFUNCTION("""COMPUTED_VALUE"""),"KYAI KONTONG")</f>
        <v>KYAI KONTONG</v>
      </c>
      <c r="D3983" s="186">
        <f>IFERROR(__xludf.DUMMYFUNCTION("""COMPUTED_VALUE"""),25.0)</f>
        <v>25</v>
      </c>
    </row>
    <row r="3984">
      <c r="A3984" s="178" t="str">
        <f>IFERROR(__xludf.DUMMYFUNCTION("""COMPUTED_VALUE"""),"ITBISA-IC-74HC595N-DIP16")</f>
        <v>ITBISA-IC-74HC595N-DIP16</v>
      </c>
      <c r="B3984" s="266">
        <f>IFERROR(__xludf.DUMMYFUNCTION("""COMPUTED_VALUE"""),45000.0)</f>
        <v>45000</v>
      </c>
      <c r="C3984" s="266" t="str">
        <f>IFERROR(__xludf.DUMMYFUNCTION("""COMPUTED_VALUE"""),"KYAI KONTONG")</f>
        <v>KYAI KONTONG</v>
      </c>
      <c r="D3984" s="186">
        <f>IFERROR(__xludf.DUMMYFUNCTION("""COMPUTED_VALUE"""),25.0)</f>
        <v>25</v>
      </c>
    </row>
    <row r="3985">
      <c r="A3985" s="178" t="str">
        <f>IFERROR(__xludf.DUMMYFUNCTION("""COMPUTED_VALUE"""),"ITBISA-IC-74HC595N-DIP16")</f>
        <v>ITBISA-IC-74HC595N-DIP16</v>
      </c>
      <c r="B3985" s="266">
        <f>IFERROR(__xludf.DUMMYFUNCTION("""COMPUTED_VALUE"""),45005.0)</f>
        <v>45005</v>
      </c>
      <c r="C3985" s="266" t="str">
        <f>IFERROR(__xludf.DUMMYFUNCTION("""COMPUTED_VALUE"""),"KYAI KONTONG")</f>
        <v>KYAI KONTONG</v>
      </c>
      <c r="D3985" s="186">
        <f>IFERROR(__xludf.DUMMYFUNCTION("""COMPUTED_VALUE"""),10.0)</f>
        <v>10</v>
      </c>
    </row>
    <row r="3986">
      <c r="A3986" s="178" t="str">
        <f>IFERROR(__xludf.DUMMYFUNCTION("""COMPUTED_VALUE"""),"ITBISA-IC-74HC595N-DIP16")</f>
        <v>ITBISA-IC-74HC595N-DIP16</v>
      </c>
      <c r="B3986" s="266">
        <f>IFERROR(__xludf.DUMMYFUNCTION("""COMPUTED_VALUE"""),45010.0)</f>
        <v>45010</v>
      </c>
      <c r="C3986" s="266" t="str">
        <f>IFERROR(__xludf.DUMMYFUNCTION("""COMPUTED_VALUE"""),"KYAI KONTONG")</f>
        <v>KYAI KONTONG</v>
      </c>
      <c r="D3986" s="186">
        <f>IFERROR(__xludf.DUMMYFUNCTION("""COMPUTED_VALUE"""),50.0)</f>
        <v>50</v>
      </c>
    </row>
    <row r="3987">
      <c r="A3987" s="178" t="str">
        <f>IFERROR(__xludf.DUMMYFUNCTION("""COMPUTED_VALUE"""),"ITBISA-IC-74HC595N-DIP16")</f>
        <v>ITBISA-IC-74HC595N-DIP16</v>
      </c>
      <c r="B3987" s="266">
        <f>IFERROR(__xludf.DUMMYFUNCTION("""COMPUTED_VALUE"""),45010.0)</f>
        <v>45010</v>
      </c>
      <c r="C3987" s="266" t="str">
        <f>IFERROR(__xludf.DUMMYFUNCTION("""COMPUTED_VALUE"""),"KYAI KONTONG")</f>
        <v>KYAI KONTONG</v>
      </c>
      <c r="D3987" s="186">
        <f>IFERROR(__xludf.DUMMYFUNCTION("""COMPUTED_VALUE"""),75.0)</f>
        <v>75</v>
      </c>
    </row>
    <row r="3988">
      <c r="A3988" s="178" t="str">
        <f>IFERROR(__xludf.DUMMYFUNCTION("""COMPUTED_VALUE"""),"ITBISA-IC-74HC595N-DIP16")</f>
        <v>ITBISA-IC-74HC595N-DIP16</v>
      </c>
      <c r="B3988" s="266">
        <f>IFERROR(__xludf.DUMMYFUNCTION("""COMPUTED_VALUE"""),45023.0)</f>
        <v>45023</v>
      </c>
      <c r="C3988" s="266" t="str">
        <f>IFERROR(__xludf.DUMMYFUNCTION("""COMPUTED_VALUE"""),"KYAI KONTONG")</f>
        <v>KYAI KONTONG</v>
      </c>
      <c r="D3988" s="186">
        <f>IFERROR(__xludf.DUMMYFUNCTION("""COMPUTED_VALUE"""),15.0)</f>
        <v>15</v>
      </c>
    </row>
    <row r="3989">
      <c r="A3989" s="178" t="str">
        <f>IFERROR(__xludf.DUMMYFUNCTION("""COMPUTED_VALUE"""),"ITBISA-IC-74HC595N-DIP16")</f>
        <v>ITBISA-IC-74HC595N-DIP16</v>
      </c>
      <c r="B3989" s="266">
        <f>IFERROR(__xludf.DUMMYFUNCTION("""COMPUTED_VALUE"""),45025.0)</f>
        <v>45025</v>
      </c>
      <c r="C3989" s="266" t="str">
        <f>IFERROR(__xludf.DUMMYFUNCTION("""COMPUTED_VALUE"""),"KYAI KONTONG")</f>
        <v>KYAI KONTONG</v>
      </c>
      <c r="D3989" s="186">
        <f>IFERROR(__xludf.DUMMYFUNCTION("""COMPUTED_VALUE"""),83.0)</f>
        <v>83</v>
      </c>
    </row>
    <row r="3990">
      <c r="A3990" s="178" t="str">
        <f>IFERROR(__xludf.DUMMYFUNCTION("""COMPUTED_VALUE"""),"ITBISA-IC-74HC595N-DIP16")</f>
        <v>ITBISA-IC-74HC595N-DIP16</v>
      </c>
      <c r="B3990" s="266">
        <f>IFERROR(__xludf.DUMMYFUNCTION("""COMPUTED_VALUE"""),45026.0)</f>
        <v>45026</v>
      </c>
      <c r="C3990" s="266" t="str">
        <f>IFERROR(__xludf.DUMMYFUNCTION("""COMPUTED_VALUE"""),"KYAI KONTONG")</f>
        <v>KYAI KONTONG</v>
      </c>
      <c r="D3990" s="186">
        <f>IFERROR(__xludf.DUMMYFUNCTION("""COMPUTED_VALUE"""),25.0)</f>
        <v>25</v>
      </c>
    </row>
    <row r="3991">
      <c r="A3991" s="178" t="str">
        <f>IFERROR(__xludf.DUMMYFUNCTION("""COMPUTED_VALUE"""),"ITBISA-IC-74HC595N-DIP16")</f>
        <v>ITBISA-IC-74HC595N-DIP16</v>
      </c>
      <c r="B3991" s="266">
        <f>IFERROR(__xludf.DUMMYFUNCTION("""COMPUTED_VALUE"""),45055.0)</f>
        <v>45055</v>
      </c>
      <c r="C3991" s="266" t="str">
        <f>IFERROR(__xludf.DUMMYFUNCTION("""COMPUTED_VALUE"""),"KYAI KONTONG")</f>
        <v>KYAI KONTONG</v>
      </c>
      <c r="D3991" s="186">
        <f>IFERROR(__xludf.DUMMYFUNCTION("""COMPUTED_VALUE"""),100.0)</f>
        <v>100</v>
      </c>
    </row>
    <row r="3992">
      <c r="A3992" s="178" t="str">
        <f>IFERROR(__xludf.DUMMYFUNCTION("""COMPUTED_VALUE"""),"ITBISA-IC-74HC595N-DIP16")</f>
        <v>ITBISA-IC-74HC595N-DIP16</v>
      </c>
      <c r="B3992" s="266">
        <f>IFERROR(__xludf.DUMMYFUNCTION("""COMPUTED_VALUE"""),45060.0)</f>
        <v>45060</v>
      </c>
      <c r="C3992" s="266" t="str">
        <f>IFERROR(__xludf.DUMMYFUNCTION("""COMPUTED_VALUE"""),"KYAI KONTONG")</f>
        <v>KYAI KONTONG</v>
      </c>
      <c r="D3992" s="186">
        <f>IFERROR(__xludf.DUMMYFUNCTION("""COMPUTED_VALUE"""),25.0)</f>
        <v>25</v>
      </c>
    </row>
    <row r="3993">
      <c r="A3993" s="178" t="str">
        <f>IFERROR(__xludf.DUMMYFUNCTION("""COMPUTED_VALUE"""),"ITBISA-IC-74HC595N-DIP16")</f>
        <v>ITBISA-IC-74HC595N-DIP16</v>
      </c>
      <c r="B3993" s="266">
        <f>IFERROR(__xludf.DUMMYFUNCTION("""COMPUTED_VALUE"""),45061.0)</f>
        <v>45061</v>
      </c>
      <c r="C3993" s="266" t="str">
        <f>IFERROR(__xludf.DUMMYFUNCTION("""COMPUTED_VALUE"""),"KYAI KONTONG")</f>
        <v>KYAI KONTONG</v>
      </c>
      <c r="D3993" s="186">
        <f>IFERROR(__xludf.DUMMYFUNCTION("""COMPUTED_VALUE"""),2.0)</f>
        <v>2</v>
      </c>
    </row>
    <row r="3994">
      <c r="A3994" s="178" t="str">
        <f>IFERROR(__xludf.DUMMYFUNCTION("""COMPUTED_VALUE"""),"ITBISA-IC-74HC595N-DIP16")</f>
        <v>ITBISA-IC-74HC595N-DIP16</v>
      </c>
      <c r="B3994" s="266">
        <f>IFERROR(__xludf.DUMMYFUNCTION("""COMPUTED_VALUE"""),45063.0)</f>
        <v>45063</v>
      </c>
      <c r="C3994" s="266" t="str">
        <f>IFERROR(__xludf.DUMMYFUNCTION("""COMPUTED_VALUE"""),"KYAI KONTONG")</f>
        <v>KYAI KONTONG</v>
      </c>
      <c r="D3994" s="186">
        <f>IFERROR(__xludf.DUMMYFUNCTION("""COMPUTED_VALUE"""),11.0)</f>
        <v>11</v>
      </c>
    </row>
    <row r="3995">
      <c r="A3995" s="178" t="str">
        <f>IFERROR(__xludf.DUMMYFUNCTION("""COMPUTED_VALUE"""),"ITBISA-IC-74HC595N-DIP16")</f>
        <v>ITBISA-IC-74HC595N-DIP16</v>
      </c>
      <c r="B3995" s="266">
        <f>IFERROR(__xludf.DUMMYFUNCTION("""COMPUTED_VALUE"""),45065.0)</f>
        <v>45065</v>
      </c>
      <c r="C3995" s="266" t="str">
        <f>IFERROR(__xludf.DUMMYFUNCTION("""COMPUTED_VALUE"""),"KYAI KONTONG")</f>
        <v>KYAI KONTONG</v>
      </c>
      <c r="D3995" s="186">
        <f>IFERROR(__xludf.DUMMYFUNCTION("""COMPUTED_VALUE"""),25.0)</f>
        <v>25</v>
      </c>
    </row>
    <row r="3996">
      <c r="A3996" s="178" t="str">
        <f>IFERROR(__xludf.DUMMYFUNCTION("""COMPUTED_VALUE"""),"ITBISA-IC-74HC595N-DIP16")</f>
        <v>ITBISA-IC-74HC595N-DIP16</v>
      </c>
      <c r="B3996" s="266">
        <f>IFERROR(__xludf.DUMMYFUNCTION("""COMPUTED_VALUE"""),45068.0)</f>
        <v>45068</v>
      </c>
      <c r="C3996" s="266" t="str">
        <f>IFERROR(__xludf.DUMMYFUNCTION("""COMPUTED_VALUE"""),"KYAI KONTONG")</f>
        <v>KYAI KONTONG</v>
      </c>
      <c r="D3996" s="186">
        <f>IFERROR(__xludf.DUMMYFUNCTION("""COMPUTED_VALUE"""),80.0)</f>
        <v>80</v>
      </c>
    </row>
    <row r="3997">
      <c r="A3997" s="178" t="str">
        <f>IFERROR(__xludf.DUMMYFUNCTION("""COMPUTED_VALUE"""),"ITBISA-IC-74HC595N-DIP16")</f>
        <v>ITBISA-IC-74HC595N-DIP16</v>
      </c>
      <c r="B3997" s="266">
        <f>IFERROR(__xludf.DUMMYFUNCTION("""COMPUTED_VALUE"""),45070.0)</f>
        <v>45070</v>
      </c>
      <c r="C3997" s="266" t="str">
        <f>IFERROR(__xludf.DUMMYFUNCTION("""COMPUTED_VALUE"""),"KYAI KONTONG")</f>
        <v>KYAI KONTONG</v>
      </c>
      <c r="D3997" s="186">
        <f>IFERROR(__xludf.DUMMYFUNCTION("""COMPUTED_VALUE"""),8.0)</f>
        <v>8</v>
      </c>
    </row>
    <row r="3998">
      <c r="A3998" s="178" t="str">
        <f>IFERROR(__xludf.DUMMYFUNCTION("""COMPUTED_VALUE"""),"ITBISA-IC-74HC595N-DIP16")</f>
        <v>ITBISA-IC-74HC595N-DIP16</v>
      </c>
      <c r="B3998" s="266">
        <f>IFERROR(__xludf.DUMMYFUNCTION("""COMPUTED_VALUE"""),45071.0)</f>
        <v>45071</v>
      </c>
      <c r="C3998" s="266" t="str">
        <f>IFERROR(__xludf.DUMMYFUNCTION("""COMPUTED_VALUE"""),"KYAI KONTONG")</f>
        <v>KYAI KONTONG</v>
      </c>
      <c r="D3998" s="186">
        <f>IFERROR(__xludf.DUMMYFUNCTION("""COMPUTED_VALUE"""),10.0)</f>
        <v>10</v>
      </c>
    </row>
    <row r="3999">
      <c r="A3999" s="178" t="str">
        <f>IFERROR(__xludf.DUMMYFUNCTION("""COMPUTED_VALUE"""),"ITBISA-IC-74HC595N-DIP16")</f>
        <v>ITBISA-IC-74HC595N-DIP16</v>
      </c>
      <c r="B3999" s="266">
        <f>IFERROR(__xludf.DUMMYFUNCTION("""COMPUTED_VALUE"""),45071.0)</f>
        <v>45071</v>
      </c>
      <c r="C3999" s="266" t="str">
        <f>IFERROR(__xludf.DUMMYFUNCTION("""COMPUTED_VALUE"""),"KYAI KONTONG")</f>
        <v>KYAI KONTONG</v>
      </c>
      <c r="D3999" s="186">
        <f>IFERROR(__xludf.DUMMYFUNCTION("""COMPUTED_VALUE"""),30.0)</f>
        <v>30</v>
      </c>
    </row>
    <row r="4000">
      <c r="A4000" s="178" t="str">
        <f>IFERROR(__xludf.DUMMYFUNCTION("""COMPUTED_VALUE"""),"ITBISA-IC-74HC595N-DIP16")</f>
        <v>ITBISA-IC-74HC595N-DIP16</v>
      </c>
      <c r="B4000" s="266">
        <f>IFERROR(__xludf.DUMMYFUNCTION("""COMPUTED_VALUE"""),45072.0)</f>
        <v>45072</v>
      </c>
      <c r="C4000" s="266" t="str">
        <f>IFERROR(__xludf.DUMMYFUNCTION("""COMPUTED_VALUE"""),"KYAI KONTONG")</f>
        <v>KYAI KONTONG</v>
      </c>
      <c r="D4000" s="186">
        <f>IFERROR(__xludf.DUMMYFUNCTION("""COMPUTED_VALUE"""),25.0)</f>
        <v>25</v>
      </c>
    </row>
    <row r="4001">
      <c r="A4001" s="178" t="str">
        <f>IFERROR(__xludf.DUMMYFUNCTION("""COMPUTED_VALUE"""),"ITBISA-IC-74HC595N-DIP16")</f>
        <v>ITBISA-IC-74HC595N-DIP16</v>
      </c>
      <c r="B4001" s="266">
        <f>IFERROR(__xludf.DUMMYFUNCTION("""COMPUTED_VALUE"""),45077.0)</f>
        <v>45077</v>
      </c>
      <c r="C4001" s="266" t="str">
        <f>IFERROR(__xludf.DUMMYFUNCTION("""COMPUTED_VALUE"""),"KYAI KONTONG")</f>
        <v>KYAI KONTONG</v>
      </c>
      <c r="D4001" s="186">
        <f>IFERROR(__xludf.DUMMYFUNCTION("""COMPUTED_VALUE"""),5.0)</f>
        <v>5</v>
      </c>
    </row>
    <row r="4002">
      <c r="A4002" s="178" t="str">
        <f>IFERROR(__xludf.DUMMYFUNCTION("""COMPUTED_VALUE"""),"ITBISA-IC-74HC595N-DIP16")</f>
        <v>ITBISA-IC-74HC595N-DIP16</v>
      </c>
      <c r="B4002" s="266">
        <f>IFERROR(__xludf.DUMMYFUNCTION("""COMPUTED_VALUE"""),45077.0)</f>
        <v>45077</v>
      </c>
      <c r="C4002" s="266" t="str">
        <f>IFERROR(__xludf.DUMMYFUNCTION("""COMPUTED_VALUE"""),"KYAI KONTONG")</f>
        <v>KYAI KONTONG</v>
      </c>
      <c r="D4002" s="186">
        <f>IFERROR(__xludf.DUMMYFUNCTION("""COMPUTED_VALUE"""),25.0)</f>
        <v>25</v>
      </c>
    </row>
    <row r="4003">
      <c r="A4003" s="178" t="str">
        <f>IFERROR(__xludf.DUMMYFUNCTION("""COMPUTED_VALUE"""),"ITBISA-IC-74HC595N-DIP16")</f>
        <v>ITBISA-IC-74HC595N-DIP16</v>
      </c>
      <c r="B4003" s="266">
        <f>IFERROR(__xludf.DUMMYFUNCTION("""COMPUTED_VALUE"""),45081.0)</f>
        <v>45081</v>
      </c>
      <c r="C4003" s="266" t="str">
        <f>IFERROR(__xludf.DUMMYFUNCTION("""COMPUTED_VALUE"""),"KYAI KONTONG")</f>
        <v>KYAI KONTONG</v>
      </c>
      <c r="D4003" s="186">
        <f>IFERROR(__xludf.DUMMYFUNCTION("""COMPUTED_VALUE"""),10.0)</f>
        <v>10</v>
      </c>
    </row>
    <row r="4004">
      <c r="A4004" s="178" t="str">
        <f>IFERROR(__xludf.DUMMYFUNCTION("""COMPUTED_VALUE"""),"ITBISA-IC-74HC595N-DIP16")</f>
        <v>ITBISA-IC-74HC595N-DIP16</v>
      </c>
      <c r="B4004" s="266">
        <f>IFERROR(__xludf.DUMMYFUNCTION("""COMPUTED_VALUE"""),45081.0)</f>
        <v>45081</v>
      </c>
      <c r="C4004" s="266" t="str">
        <f>IFERROR(__xludf.DUMMYFUNCTION("""COMPUTED_VALUE"""),"KYAI KONTONG")</f>
        <v>KYAI KONTONG</v>
      </c>
      <c r="D4004" s="186">
        <f>IFERROR(__xludf.DUMMYFUNCTION("""COMPUTED_VALUE"""),25.0)</f>
        <v>25</v>
      </c>
    </row>
    <row r="4005">
      <c r="A4005" s="178" t="str">
        <f>IFERROR(__xludf.DUMMYFUNCTION("""COMPUTED_VALUE"""),"ITBISA-IC-74HC595N-DIP16")</f>
        <v>ITBISA-IC-74HC595N-DIP16</v>
      </c>
      <c r="B4005" s="266">
        <f>IFERROR(__xludf.DUMMYFUNCTION("""COMPUTED_VALUE"""),45083.0)</f>
        <v>45083</v>
      </c>
      <c r="C4005" s="266" t="str">
        <f>IFERROR(__xludf.DUMMYFUNCTION("""COMPUTED_VALUE"""),"KYAI KONTONG")</f>
        <v>KYAI KONTONG</v>
      </c>
      <c r="D4005" s="186">
        <f>IFERROR(__xludf.DUMMYFUNCTION("""COMPUTED_VALUE"""),125.0)</f>
        <v>125</v>
      </c>
    </row>
    <row r="4006">
      <c r="A4006" s="178" t="str">
        <f>IFERROR(__xludf.DUMMYFUNCTION("""COMPUTED_VALUE"""),"ITBISA-IC-74HC595N-DIP16")</f>
        <v>ITBISA-IC-74HC595N-DIP16</v>
      </c>
      <c r="B4006" s="266">
        <f>IFERROR(__xludf.DUMMYFUNCTION("""COMPUTED_VALUE"""),45088.0)</f>
        <v>45088</v>
      </c>
      <c r="C4006" s="266" t="str">
        <f>IFERROR(__xludf.DUMMYFUNCTION("""COMPUTED_VALUE"""),"KYAI KONTONG")</f>
        <v>KYAI KONTONG</v>
      </c>
      <c r="D4006" s="186">
        <f>IFERROR(__xludf.DUMMYFUNCTION("""COMPUTED_VALUE"""),175.0)</f>
        <v>175</v>
      </c>
    </row>
    <row r="4007">
      <c r="A4007" s="178" t="str">
        <f>IFERROR(__xludf.DUMMYFUNCTION("""COMPUTED_VALUE"""),"ITBISA-IC-74HC595N-DIP16")</f>
        <v>ITBISA-IC-74HC595N-DIP16</v>
      </c>
      <c r="B4007" s="266">
        <f>IFERROR(__xludf.DUMMYFUNCTION("""COMPUTED_VALUE"""),45089.0)</f>
        <v>45089</v>
      </c>
      <c r="C4007" s="266" t="str">
        <f>IFERROR(__xludf.DUMMYFUNCTION("""COMPUTED_VALUE"""),"KYAI KONTONG")</f>
        <v>KYAI KONTONG</v>
      </c>
      <c r="D4007" s="186">
        <f>IFERROR(__xludf.DUMMYFUNCTION("""COMPUTED_VALUE"""),10.0)</f>
        <v>10</v>
      </c>
    </row>
    <row r="4008">
      <c r="A4008" s="178" t="str">
        <f>IFERROR(__xludf.DUMMYFUNCTION("""COMPUTED_VALUE"""),"ITBISA-IC-74HC595N-DIP16")</f>
        <v>ITBISA-IC-74HC595N-DIP16</v>
      </c>
      <c r="B4008" s="266">
        <f>IFERROR(__xludf.DUMMYFUNCTION("""COMPUTED_VALUE"""),45090.0)</f>
        <v>45090</v>
      </c>
      <c r="C4008" s="266" t="str">
        <f>IFERROR(__xludf.DUMMYFUNCTION("""COMPUTED_VALUE"""),"KYAI KONTONG")</f>
        <v>KYAI KONTONG</v>
      </c>
      <c r="D4008" s="186">
        <f>IFERROR(__xludf.DUMMYFUNCTION("""COMPUTED_VALUE"""),2.0)</f>
        <v>2</v>
      </c>
    </row>
    <row r="4009">
      <c r="A4009" s="178" t="str">
        <f>IFERROR(__xludf.DUMMYFUNCTION("""COMPUTED_VALUE"""),"ITBISA-IC-74HC595N-DIP16")</f>
        <v>ITBISA-IC-74HC595N-DIP16</v>
      </c>
      <c r="B4009" s="266">
        <f>IFERROR(__xludf.DUMMYFUNCTION("""COMPUTED_VALUE"""),45090.0)</f>
        <v>45090</v>
      </c>
      <c r="C4009" s="266" t="str">
        <f>IFERROR(__xludf.DUMMYFUNCTION("""COMPUTED_VALUE"""),"KYAI KONTONG")</f>
        <v>KYAI KONTONG</v>
      </c>
      <c r="D4009" s="186">
        <f>IFERROR(__xludf.DUMMYFUNCTION("""COMPUTED_VALUE"""),500.0)</f>
        <v>500</v>
      </c>
    </row>
    <row r="4010">
      <c r="A4010" s="178" t="str">
        <f>IFERROR(__xludf.DUMMYFUNCTION("""COMPUTED_VALUE"""),"ITBISA-IC-74HC595N-DIP16")</f>
        <v>ITBISA-IC-74HC595N-DIP16</v>
      </c>
      <c r="B4010" s="266">
        <f>IFERROR(__xludf.DUMMYFUNCTION("""COMPUTED_VALUE"""),45096.0)</f>
        <v>45096</v>
      </c>
      <c r="C4010" s="266" t="str">
        <f>IFERROR(__xludf.DUMMYFUNCTION("""COMPUTED_VALUE"""),"KYAI KONTONG")</f>
        <v>KYAI KONTONG</v>
      </c>
      <c r="D4010" s="186">
        <f>IFERROR(__xludf.DUMMYFUNCTION("""COMPUTED_VALUE"""),6.0)</f>
        <v>6</v>
      </c>
    </row>
    <row r="4011">
      <c r="A4011" s="178" t="str">
        <f>IFERROR(__xludf.DUMMYFUNCTION("""COMPUTED_VALUE"""),"ITBISA-IC-74HC595N-DIP16")</f>
        <v>ITBISA-IC-74HC595N-DIP16</v>
      </c>
      <c r="B4011" s="266">
        <f>IFERROR(__xludf.DUMMYFUNCTION("""COMPUTED_VALUE"""),45097.0)</f>
        <v>45097</v>
      </c>
      <c r="C4011" s="266" t="str">
        <f>IFERROR(__xludf.DUMMYFUNCTION("""COMPUTED_VALUE"""),"KYAI KONTONG")</f>
        <v>KYAI KONTONG</v>
      </c>
      <c r="D4011" s="186">
        <f>IFERROR(__xludf.DUMMYFUNCTION("""COMPUTED_VALUE"""),8.0)</f>
        <v>8</v>
      </c>
    </row>
    <row r="4012">
      <c r="A4012" s="178" t="str">
        <f>IFERROR(__xludf.DUMMYFUNCTION("""COMPUTED_VALUE"""),"ITBISA-IC-74HC595N-DIP16")</f>
        <v>ITBISA-IC-74HC595N-DIP16</v>
      </c>
      <c r="B4012" s="266">
        <f>IFERROR(__xludf.DUMMYFUNCTION("""COMPUTED_VALUE"""),45099.0)</f>
        <v>45099</v>
      </c>
      <c r="C4012" s="266" t="str">
        <f>IFERROR(__xludf.DUMMYFUNCTION("""COMPUTED_VALUE"""),"KYAI KONTONG")</f>
        <v>KYAI KONTONG</v>
      </c>
      <c r="D4012" s="186">
        <f>IFERROR(__xludf.DUMMYFUNCTION("""COMPUTED_VALUE"""),20.0)</f>
        <v>20</v>
      </c>
    </row>
    <row r="4013">
      <c r="A4013" s="178" t="str">
        <f>IFERROR(__xludf.DUMMYFUNCTION("""COMPUTED_VALUE"""),"ITBISA-IC-74HC595N-DIP16")</f>
        <v>ITBISA-IC-74HC595N-DIP16</v>
      </c>
      <c r="B4013" s="266">
        <f>IFERROR(__xludf.DUMMYFUNCTION("""COMPUTED_VALUE"""),45100.0)</f>
        <v>45100</v>
      </c>
      <c r="C4013" s="266" t="str">
        <f>IFERROR(__xludf.DUMMYFUNCTION("""COMPUTED_VALUE"""),"KYAI KONTONG")</f>
        <v>KYAI KONTONG</v>
      </c>
      <c r="D4013" s="186">
        <f>IFERROR(__xludf.DUMMYFUNCTION("""COMPUTED_VALUE"""),4.0)</f>
        <v>4</v>
      </c>
    </row>
    <row r="4014">
      <c r="A4014" s="178" t="str">
        <f>IFERROR(__xludf.DUMMYFUNCTION("""COMPUTED_VALUE"""),"ITBISA-IC-74HC595N-DIP16")</f>
        <v>ITBISA-IC-74HC595N-DIP16</v>
      </c>
      <c r="B4014" s="266">
        <f>IFERROR(__xludf.DUMMYFUNCTION("""COMPUTED_VALUE"""),45101.0)</f>
        <v>45101</v>
      </c>
      <c r="C4014" s="266" t="str">
        <f>IFERROR(__xludf.DUMMYFUNCTION("""COMPUTED_VALUE"""),"KYAI KONTONG")</f>
        <v>KYAI KONTONG</v>
      </c>
      <c r="D4014" s="186">
        <f>IFERROR(__xludf.DUMMYFUNCTION("""COMPUTED_VALUE"""),10.0)</f>
        <v>10</v>
      </c>
    </row>
    <row r="4015">
      <c r="A4015" s="178" t="str">
        <f>IFERROR(__xludf.DUMMYFUNCTION("""COMPUTED_VALUE"""),"ITBISA-IC-74HC595N-DIP16")</f>
        <v>ITBISA-IC-74HC595N-DIP16</v>
      </c>
      <c r="B4015" s="266">
        <f>IFERROR(__xludf.DUMMYFUNCTION("""COMPUTED_VALUE"""),45103.0)</f>
        <v>45103</v>
      </c>
      <c r="C4015" s="266" t="str">
        <f>IFERROR(__xludf.DUMMYFUNCTION("""COMPUTED_VALUE"""),"KYAI KONTONG")</f>
        <v>KYAI KONTONG</v>
      </c>
      <c r="D4015" s="186">
        <f>IFERROR(__xludf.DUMMYFUNCTION("""COMPUTED_VALUE"""),150.0)</f>
        <v>150</v>
      </c>
    </row>
    <row r="4016">
      <c r="A4016" s="178" t="str">
        <f>IFERROR(__xludf.DUMMYFUNCTION("""COMPUTED_VALUE"""),"ITBISA-IC-74HC595N-DIP16")</f>
        <v>ITBISA-IC-74HC595N-DIP16</v>
      </c>
      <c r="B4016" s="266">
        <f>IFERROR(__xludf.DUMMYFUNCTION("""COMPUTED_VALUE"""),45110.0)</f>
        <v>45110</v>
      </c>
      <c r="C4016" s="266" t="str">
        <f>IFERROR(__xludf.DUMMYFUNCTION("""COMPUTED_VALUE"""),"KYAI KONTONG")</f>
        <v>KYAI KONTONG</v>
      </c>
      <c r="D4016" s="186">
        <f>IFERROR(__xludf.DUMMYFUNCTION("""COMPUTED_VALUE"""),3.0)</f>
        <v>3</v>
      </c>
    </row>
    <row r="4017">
      <c r="A4017" s="178" t="str">
        <f>IFERROR(__xludf.DUMMYFUNCTION("""COMPUTED_VALUE"""),"ITBISA-IC-74HC595N-DIP16")</f>
        <v>ITBISA-IC-74HC595N-DIP16</v>
      </c>
      <c r="B4017" s="266">
        <f>IFERROR(__xludf.DUMMYFUNCTION("""COMPUTED_VALUE"""),45110.0)</f>
        <v>45110</v>
      </c>
      <c r="C4017" s="266" t="str">
        <f>IFERROR(__xludf.DUMMYFUNCTION("""COMPUTED_VALUE"""),"KYAI KONTONG")</f>
        <v>KYAI KONTONG</v>
      </c>
      <c r="D4017" s="186">
        <f>IFERROR(__xludf.DUMMYFUNCTION("""COMPUTED_VALUE"""),6.0)</f>
        <v>6</v>
      </c>
    </row>
    <row r="4018">
      <c r="A4018" s="178" t="str">
        <f>IFERROR(__xludf.DUMMYFUNCTION("""COMPUTED_VALUE"""),"ITBISA-IC-74HC595N-DIP16")</f>
        <v>ITBISA-IC-74HC595N-DIP16</v>
      </c>
      <c r="B4018" s="266">
        <f>IFERROR(__xludf.DUMMYFUNCTION("""COMPUTED_VALUE"""),45110.0)</f>
        <v>45110</v>
      </c>
      <c r="C4018" s="266" t="str">
        <f>IFERROR(__xludf.DUMMYFUNCTION("""COMPUTED_VALUE"""),"KYAI KONTONG")</f>
        <v>KYAI KONTONG</v>
      </c>
      <c r="D4018" s="186">
        <f>IFERROR(__xludf.DUMMYFUNCTION("""COMPUTED_VALUE"""),20.0)</f>
        <v>20</v>
      </c>
    </row>
    <row r="4019">
      <c r="A4019" s="178" t="str">
        <f>IFERROR(__xludf.DUMMYFUNCTION("""COMPUTED_VALUE"""),"ITBISA-IC-74HC595N-DIP16")</f>
        <v>ITBISA-IC-74HC595N-DIP16</v>
      </c>
      <c r="B4019" s="266">
        <f>IFERROR(__xludf.DUMMYFUNCTION("""COMPUTED_VALUE"""),45111.0)</f>
        <v>45111</v>
      </c>
      <c r="C4019" s="266" t="str">
        <f>IFERROR(__xludf.DUMMYFUNCTION("""COMPUTED_VALUE"""),"KYAI KONTONG")</f>
        <v>KYAI KONTONG</v>
      </c>
      <c r="D4019" s="186">
        <f>IFERROR(__xludf.DUMMYFUNCTION("""COMPUTED_VALUE"""),3.0)</f>
        <v>3</v>
      </c>
    </row>
    <row r="4020">
      <c r="A4020" s="178" t="str">
        <f>IFERROR(__xludf.DUMMYFUNCTION("""COMPUTED_VALUE"""),"ITBISA-IC-74HC595N-DIP16")</f>
        <v>ITBISA-IC-74HC595N-DIP16</v>
      </c>
      <c r="B4020" s="266">
        <f>IFERROR(__xludf.DUMMYFUNCTION("""COMPUTED_VALUE"""),45111.0)</f>
        <v>45111</v>
      </c>
      <c r="C4020" s="266" t="str">
        <f>IFERROR(__xludf.DUMMYFUNCTION("""COMPUTED_VALUE"""),"KYAI KONTONG")</f>
        <v>KYAI KONTONG</v>
      </c>
      <c r="D4020" s="186">
        <f>IFERROR(__xludf.DUMMYFUNCTION("""COMPUTED_VALUE"""),36.0)</f>
        <v>36</v>
      </c>
    </row>
    <row r="4021">
      <c r="A4021" s="178" t="str">
        <f>IFERROR(__xludf.DUMMYFUNCTION("""COMPUTED_VALUE"""),"ITBISA-IC-74HC595N-DIP16")</f>
        <v>ITBISA-IC-74HC595N-DIP16</v>
      </c>
      <c r="B4021" s="266">
        <f>IFERROR(__xludf.DUMMYFUNCTION("""COMPUTED_VALUE"""),45112.0)</f>
        <v>45112</v>
      </c>
      <c r="C4021" s="266" t="str">
        <f>IFERROR(__xludf.DUMMYFUNCTION("""COMPUTED_VALUE"""),"KYAI KONTONG")</f>
        <v>KYAI KONTONG</v>
      </c>
      <c r="D4021" s="186">
        <f>IFERROR(__xludf.DUMMYFUNCTION("""COMPUTED_VALUE"""),50.0)</f>
        <v>50</v>
      </c>
    </row>
    <row r="4022">
      <c r="A4022" s="178" t="str">
        <f>IFERROR(__xludf.DUMMYFUNCTION("""COMPUTED_VALUE"""),"ITBISA-IC-74HC595N-DIP16")</f>
        <v>ITBISA-IC-74HC595N-DIP16</v>
      </c>
      <c r="B4022" s="266">
        <f>IFERROR(__xludf.DUMMYFUNCTION("""COMPUTED_VALUE"""),45113.0)</f>
        <v>45113</v>
      </c>
      <c r="C4022" s="266" t="str">
        <f>IFERROR(__xludf.DUMMYFUNCTION("""COMPUTED_VALUE"""),"KYAI KONTONG")</f>
        <v>KYAI KONTONG</v>
      </c>
      <c r="D4022" s="186">
        <f>IFERROR(__xludf.DUMMYFUNCTION("""COMPUTED_VALUE"""),100.0)</f>
        <v>100</v>
      </c>
    </row>
    <row r="4023">
      <c r="A4023" s="178" t="str">
        <f>IFERROR(__xludf.DUMMYFUNCTION("""COMPUTED_VALUE"""),"ITBISA-IC-74HC595N-DIP16")</f>
        <v>ITBISA-IC-74HC595N-DIP16</v>
      </c>
      <c r="B4023" s="266">
        <f>IFERROR(__xludf.DUMMYFUNCTION("""COMPUTED_VALUE"""),45116.0)</f>
        <v>45116</v>
      </c>
      <c r="C4023" s="266" t="str">
        <f>IFERROR(__xludf.DUMMYFUNCTION("""COMPUTED_VALUE"""),"KYAI KONTONG")</f>
        <v>KYAI KONTONG</v>
      </c>
      <c r="D4023" s="186">
        <f>IFERROR(__xludf.DUMMYFUNCTION("""COMPUTED_VALUE"""),200.0)</f>
        <v>200</v>
      </c>
    </row>
    <row r="4024">
      <c r="A4024" s="178" t="str">
        <f>IFERROR(__xludf.DUMMYFUNCTION("""COMPUTED_VALUE"""),"ITBISA-IC-74HC595N-DIP16")</f>
        <v>ITBISA-IC-74HC595N-DIP16</v>
      </c>
      <c r="B4024" s="266">
        <f>IFERROR(__xludf.DUMMYFUNCTION("""COMPUTED_VALUE"""),45119.0)</f>
        <v>45119</v>
      </c>
      <c r="C4024" s="266" t="str">
        <f>IFERROR(__xludf.DUMMYFUNCTION("""COMPUTED_VALUE"""),"KYAI KONTONG")</f>
        <v>KYAI KONTONG</v>
      </c>
      <c r="D4024" s="186">
        <f>IFERROR(__xludf.DUMMYFUNCTION("""COMPUTED_VALUE"""),1000.0)</f>
        <v>1000</v>
      </c>
    </row>
    <row r="4025">
      <c r="A4025" s="178" t="str">
        <f>IFERROR(__xludf.DUMMYFUNCTION("""COMPUTED_VALUE"""),"ITBISA-IC-74HC595N-DIP16")</f>
        <v>ITBISA-IC-74HC595N-DIP16</v>
      </c>
      <c r="B4025" s="266">
        <f>IFERROR(__xludf.DUMMYFUNCTION("""COMPUTED_VALUE"""),45120.0)</f>
        <v>45120</v>
      </c>
      <c r="C4025" s="266" t="str">
        <f>IFERROR(__xludf.DUMMYFUNCTION("""COMPUTED_VALUE"""),"KYAI KONTONG")</f>
        <v>KYAI KONTONG</v>
      </c>
      <c r="D4025" s="186">
        <f>IFERROR(__xludf.DUMMYFUNCTION("""COMPUTED_VALUE"""),15.0)</f>
        <v>15</v>
      </c>
    </row>
    <row r="4026">
      <c r="A4026" s="178" t="str">
        <f>IFERROR(__xludf.DUMMYFUNCTION("""COMPUTED_VALUE"""),"ITBISA-IC-74HC595N-DIP16")</f>
        <v>ITBISA-IC-74HC595N-DIP16</v>
      </c>
      <c r="B4026" s="266">
        <f>IFERROR(__xludf.DUMMYFUNCTION("""COMPUTED_VALUE"""),45126.0)</f>
        <v>45126</v>
      </c>
      <c r="C4026" s="266" t="str">
        <f>IFERROR(__xludf.DUMMYFUNCTION("""COMPUTED_VALUE"""),"KYAI KONTONG")</f>
        <v>KYAI KONTONG</v>
      </c>
      <c r="D4026" s="186">
        <f>IFERROR(__xludf.DUMMYFUNCTION("""COMPUTED_VALUE"""),4.0)</f>
        <v>4</v>
      </c>
    </row>
    <row r="4027">
      <c r="A4027" s="178" t="str">
        <f>IFERROR(__xludf.DUMMYFUNCTION("""COMPUTED_VALUE"""),"ITBISA-IC-74HC595N-DIP16")</f>
        <v>ITBISA-IC-74HC595N-DIP16</v>
      </c>
      <c r="B4027" s="266">
        <f>IFERROR(__xludf.DUMMYFUNCTION("""COMPUTED_VALUE"""),45127.0)</f>
        <v>45127</v>
      </c>
      <c r="C4027" s="266" t="str">
        <f>IFERROR(__xludf.DUMMYFUNCTION("""COMPUTED_VALUE"""),"KYAI KONTONG")</f>
        <v>KYAI KONTONG</v>
      </c>
      <c r="D4027" s="186">
        <f>IFERROR(__xludf.DUMMYFUNCTION("""COMPUTED_VALUE"""),5.0)</f>
        <v>5</v>
      </c>
    </row>
    <row r="4028">
      <c r="A4028" s="178" t="str">
        <f>IFERROR(__xludf.DUMMYFUNCTION("""COMPUTED_VALUE"""),"ITBISA-IC-74HC595N-DIP16")</f>
        <v>ITBISA-IC-74HC595N-DIP16</v>
      </c>
      <c r="B4028" s="266">
        <f>IFERROR(__xludf.DUMMYFUNCTION("""COMPUTED_VALUE"""),45140.0)</f>
        <v>45140</v>
      </c>
      <c r="C4028" s="266" t="str">
        <f>IFERROR(__xludf.DUMMYFUNCTION("""COMPUTED_VALUE"""),"KYAI KONTONG")</f>
        <v>KYAI KONTONG</v>
      </c>
      <c r="D4028" s="186">
        <f>IFERROR(__xludf.DUMMYFUNCTION("""COMPUTED_VALUE"""),1.0)</f>
        <v>1</v>
      </c>
    </row>
    <row r="4029">
      <c r="A4029" s="178" t="str">
        <f>IFERROR(__xludf.DUMMYFUNCTION("""COMPUTED_VALUE"""),"ITBISA-IC-74HC595N-DIP16")</f>
        <v>ITBISA-IC-74HC595N-DIP16</v>
      </c>
      <c r="B4029" s="266">
        <f>IFERROR(__xludf.DUMMYFUNCTION("""COMPUTED_VALUE"""),45149.0)</f>
        <v>45149</v>
      </c>
      <c r="C4029" s="266" t="str">
        <f>IFERROR(__xludf.DUMMYFUNCTION("""COMPUTED_VALUE"""),"KYAI KONTONG")</f>
        <v>KYAI KONTONG</v>
      </c>
      <c r="D4029" s="186">
        <f>IFERROR(__xludf.DUMMYFUNCTION("""COMPUTED_VALUE"""),33.0)</f>
        <v>33</v>
      </c>
    </row>
    <row r="4030">
      <c r="A4030" s="178" t="str">
        <f>IFERROR(__xludf.DUMMYFUNCTION("""COMPUTED_VALUE"""),"ITBISA-IC-74HC595N-DIP16")</f>
        <v>ITBISA-IC-74HC595N-DIP16</v>
      </c>
      <c r="B4030" s="266">
        <f>IFERROR(__xludf.DUMMYFUNCTION("""COMPUTED_VALUE"""),45149.0)</f>
        <v>45149</v>
      </c>
      <c r="C4030" s="266" t="str">
        <f>IFERROR(__xludf.DUMMYFUNCTION("""COMPUTED_VALUE"""),"KYAI KONTONG")</f>
        <v>KYAI KONTONG</v>
      </c>
      <c r="D4030" s="186">
        <f>IFERROR(__xludf.DUMMYFUNCTION("""COMPUTED_VALUE"""),200.0)</f>
        <v>200</v>
      </c>
    </row>
    <row r="4031">
      <c r="A4031" s="178" t="str">
        <f>IFERROR(__xludf.DUMMYFUNCTION("""COMPUTED_VALUE"""),"ITBISA-IC-74HC595N-DIP16")</f>
        <v>ITBISA-IC-74HC595N-DIP16</v>
      </c>
      <c r="B4031" s="266">
        <f>IFERROR(__xludf.DUMMYFUNCTION("""COMPUTED_VALUE"""),45155.0)</f>
        <v>45155</v>
      </c>
      <c r="C4031" s="266" t="str">
        <f>IFERROR(__xludf.DUMMYFUNCTION("""COMPUTED_VALUE"""),"KYAI KONTONG")</f>
        <v>KYAI KONTONG</v>
      </c>
      <c r="D4031" s="186">
        <f>IFERROR(__xludf.DUMMYFUNCTION("""COMPUTED_VALUE"""),100.0)</f>
        <v>100</v>
      </c>
    </row>
    <row r="4032">
      <c r="A4032" s="178" t="str">
        <f>IFERROR(__xludf.DUMMYFUNCTION("""COMPUTED_VALUE"""),"ITBISA-IC-74HC595N-DIP16")</f>
        <v>ITBISA-IC-74HC595N-DIP16</v>
      </c>
      <c r="B4032" s="266">
        <f>IFERROR(__xludf.DUMMYFUNCTION("""COMPUTED_VALUE"""),45161.0)</f>
        <v>45161</v>
      </c>
      <c r="C4032" s="266" t="str">
        <f>IFERROR(__xludf.DUMMYFUNCTION("""COMPUTED_VALUE"""),"KYAI KONTONG")</f>
        <v>KYAI KONTONG</v>
      </c>
      <c r="D4032" s="186">
        <f>IFERROR(__xludf.DUMMYFUNCTION("""COMPUTED_VALUE"""),10.0)</f>
        <v>10</v>
      </c>
    </row>
    <row r="4033">
      <c r="A4033" s="178" t="str">
        <f>IFERROR(__xludf.DUMMYFUNCTION("""COMPUTED_VALUE"""),"ITBISA-IC-74HC595N-DIP16")</f>
        <v>ITBISA-IC-74HC595N-DIP16</v>
      </c>
      <c r="B4033" s="266">
        <f>IFERROR(__xludf.DUMMYFUNCTION("""COMPUTED_VALUE"""),45162.0)</f>
        <v>45162</v>
      </c>
      <c r="C4033" s="266" t="str">
        <f>IFERROR(__xludf.DUMMYFUNCTION("""COMPUTED_VALUE"""),"KYAI KONTONG")</f>
        <v>KYAI KONTONG</v>
      </c>
      <c r="D4033" s="186">
        <f>IFERROR(__xludf.DUMMYFUNCTION("""COMPUTED_VALUE"""),3.0)</f>
        <v>3</v>
      </c>
    </row>
    <row r="4034">
      <c r="A4034" s="178" t="str">
        <f>IFERROR(__xludf.DUMMYFUNCTION("""COMPUTED_VALUE"""),"ITBISA-IC-74HC595N-DIP16")</f>
        <v>ITBISA-IC-74HC595N-DIP16</v>
      </c>
      <c r="B4034" s="266">
        <f>IFERROR(__xludf.DUMMYFUNCTION("""COMPUTED_VALUE"""),45163.0)</f>
        <v>45163</v>
      </c>
      <c r="C4034" s="266" t="str">
        <f>IFERROR(__xludf.DUMMYFUNCTION("""COMPUTED_VALUE"""),"KYAI KONTONG")</f>
        <v>KYAI KONTONG</v>
      </c>
      <c r="D4034" s="186">
        <f>IFERROR(__xludf.DUMMYFUNCTION("""COMPUTED_VALUE"""),10.0)</f>
        <v>10</v>
      </c>
    </row>
    <row r="4035">
      <c r="A4035" s="178" t="str">
        <f>IFERROR(__xludf.DUMMYFUNCTION("""COMPUTED_VALUE"""),"ITBISA-IC-74HC595N-DIP16")</f>
        <v>ITBISA-IC-74HC595N-DIP16</v>
      </c>
      <c r="B4035" s="266">
        <f>IFERROR(__xludf.DUMMYFUNCTION("""COMPUTED_VALUE"""),45164.0)</f>
        <v>45164</v>
      </c>
      <c r="C4035" s="266" t="str">
        <f>IFERROR(__xludf.DUMMYFUNCTION("""COMPUTED_VALUE"""),"KYAI KONTONG")</f>
        <v>KYAI KONTONG</v>
      </c>
      <c r="D4035" s="186">
        <f>IFERROR(__xludf.DUMMYFUNCTION("""COMPUTED_VALUE"""),3.0)</f>
        <v>3</v>
      </c>
    </row>
    <row r="4036">
      <c r="A4036" s="178" t="str">
        <f>IFERROR(__xludf.DUMMYFUNCTION("""COMPUTED_VALUE"""),"ITBISA-IC-74HC595N-DIP16")</f>
        <v>ITBISA-IC-74HC595N-DIP16</v>
      </c>
      <c r="B4036" s="266">
        <f>IFERROR(__xludf.DUMMYFUNCTION("""COMPUTED_VALUE"""),45167.0)</f>
        <v>45167</v>
      </c>
      <c r="C4036" s="266" t="str">
        <f>IFERROR(__xludf.DUMMYFUNCTION("""COMPUTED_VALUE"""),"KYAI KONTONG")</f>
        <v>KYAI KONTONG</v>
      </c>
      <c r="D4036" s="186">
        <f>IFERROR(__xludf.DUMMYFUNCTION("""COMPUTED_VALUE"""),4.0)</f>
        <v>4</v>
      </c>
    </row>
    <row r="4037">
      <c r="A4037" s="178" t="str">
        <f>IFERROR(__xludf.DUMMYFUNCTION("""COMPUTED_VALUE"""),"ITBISA-IC-74HC595N-DIP16")</f>
        <v>ITBISA-IC-74HC595N-DIP16</v>
      </c>
      <c r="B4037" s="266">
        <f>IFERROR(__xludf.DUMMYFUNCTION("""COMPUTED_VALUE"""),45171.0)</f>
        <v>45171</v>
      </c>
      <c r="C4037" s="266" t="str">
        <f>IFERROR(__xludf.DUMMYFUNCTION("""COMPUTED_VALUE"""),"KYAI KONTONG")</f>
        <v>KYAI KONTONG</v>
      </c>
      <c r="D4037" s="186">
        <f>IFERROR(__xludf.DUMMYFUNCTION("""COMPUTED_VALUE"""),5.0)</f>
        <v>5</v>
      </c>
    </row>
    <row r="4038">
      <c r="A4038" s="178" t="str">
        <f>IFERROR(__xludf.DUMMYFUNCTION("""COMPUTED_VALUE"""),"ITBISA-IC-74HC595N-DIP16")</f>
        <v>ITBISA-IC-74HC595N-DIP16</v>
      </c>
      <c r="B4038" s="266">
        <f>IFERROR(__xludf.DUMMYFUNCTION("""COMPUTED_VALUE"""),45172.0)</f>
        <v>45172</v>
      </c>
      <c r="C4038" s="266" t="str">
        <f>IFERROR(__xludf.DUMMYFUNCTION("""COMPUTED_VALUE"""),"KYAI KONTONG")</f>
        <v>KYAI KONTONG</v>
      </c>
      <c r="D4038" s="186">
        <f>IFERROR(__xludf.DUMMYFUNCTION("""COMPUTED_VALUE"""),10.0)</f>
        <v>10</v>
      </c>
    </row>
    <row r="4039">
      <c r="A4039" s="178" t="str">
        <f>IFERROR(__xludf.DUMMYFUNCTION("""COMPUTED_VALUE"""),"ITBISA-IC-74HC595N-DIP16")</f>
        <v>ITBISA-IC-74HC595N-DIP16</v>
      </c>
      <c r="B4039" s="266">
        <f>IFERROR(__xludf.DUMMYFUNCTION("""COMPUTED_VALUE"""),45173.0)</f>
        <v>45173</v>
      </c>
      <c r="C4039" s="266" t="str">
        <f>IFERROR(__xludf.DUMMYFUNCTION("""COMPUTED_VALUE"""),"KYAI KONTONG")</f>
        <v>KYAI KONTONG</v>
      </c>
      <c r="D4039" s="186">
        <f>IFERROR(__xludf.DUMMYFUNCTION("""COMPUTED_VALUE"""),100.0)</f>
        <v>100</v>
      </c>
    </row>
    <row r="4040">
      <c r="A4040" s="178" t="str">
        <f>IFERROR(__xludf.DUMMYFUNCTION("""COMPUTED_VALUE"""),"ITBISA-IC-74HC595N-DIP16")</f>
        <v>ITBISA-IC-74HC595N-DIP16</v>
      </c>
      <c r="B4040" s="266">
        <f>IFERROR(__xludf.DUMMYFUNCTION("""COMPUTED_VALUE"""),45175.0)</f>
        <v>45175</v>
      </c>
      <c r="C4040" s="266" t="str">
        <f>IFERROR(__xludf.DUMMYFUNCTION("""COMPUTED_VALUE"""),"KERTASARI CIAMIS")</f>
        <v>KERTASARI CIAMIS</v>
      </c>
      <c r="D4040" s="186">
        <f>IFERROR(__xludf.DUMMYFUNCTION("""COMPUTED_VALUE"""),12.0)</f>
        <v>12</v>
      </c>
    </row>
    <row r="4041">
      <c r="A4041" s="178" t="str">
        <f>IFERROR(__xludf.DUMMYFUNCTION("""COMPUTED_VALUE"""),"ITBISA-IC-74HC595N-DIP16")</f>
        <v>ITBISA-IC-74HC595N-DIP16</v>
      </c>
      <c r="B4041" s="266">
        <f>IFERROR(__xludf.DUMMYFUNCTION("""COMPUTED_VALUE"""),45176.0)</f>
        <v>45176</v>
      </c>
      <c r="C4041" s="266" t="str">
        <f>IFERROR(__xludf.DUMMYFUNCTION("""COMPUTED_VALUE"""),"KYAI KONTONG")</f>
        <v>KYAI KONTONG</v>
      </c>
      <c r="D4041" s="186">
        <f>IFERROR(__xludf.DUMMYFUNCTION("""COMPUTED_VALUE"""),3.0)</f>
        <v>3</v>
      </c>
    </row>
    <row r="4042">
      <c r="A4042" s="178" t="str">
        <f>IFERROR(__xludf.DUMMYFUNCTION("""COMPUTED_VALUE"""),"ITBISA-IC-74HC595N-DIP16")</f>
        <v>ITBISA-IC-74HC595N-DIP16</v>
      </c>
      <c r="B4042" s="266">
        <f>IFERROR(__xludf.DUMMYFUNCTION("""COMPUTED_VALUE"""),45177.0)</f>
        <v>45177</v>
      </c>
      <c r="C4042" s="266" t="str">
        <f>IFERROR(__xludf.DUMMYFUNCTION("""COMPUTED_VALUE"""),"KYAI KONTONG")</f>
        <v>KYAI KONTONG</v>
      </c>
      <c r="D4042" s="186">
        <f>IFERROR(__xludf.DUMMYFUNCTION("""COMPUTED_VALUE"""),2.0)</f>
        <v>2</v>
      </c>
    </row>
    <row r="4043">
      <c r="A4043" s="178" t="str">
        <f>IFERROR(__xludf.DUMMYFUNCTION("""COMPUTED_VALUE"""),"ITBISA-IC-74HC595N-DIP16")</f>
        <v>ITBISA-IC-74HC595N-DIP16</v>
      </c>
      <c r="B4043" s="266">
        <f>IFERROR(__xludf.DUMMYFUNCTION("""COMPUTED_VALUE"""),45178.0)</f>
        <v>45178</v>
      </c>
      <c r="C4043" s="266" t="str">
        <f>IFERROR(__xludf.DUMMYFUNCTION("""COMPUTED_VALUE"""),"KYAI KONTONG")</f>
        <v>KYAI KONTONG</v>
      </c>
      <c r="D4043" s="186">
        <f>IFERROR(__xludf.DUMMYFUNCTION("""COMPUTED_VALUE"""),4.0)</f>
        <v>4</v>
      </c>
    </row>
    <row r="4044">
      <c r="A4044" s="178" t="str">
        <f>IFERROR(__xludf.DUMMYFUNCTION("""COMPUTED_VALUE"""),"ITBISA-IC-74HC595N-DIP16")</f>
        <v>ITBISA-IC-74HC595N-DIP16</v>
      </c>
      <c r="B4044" s="266">
        <f>IFERROR(__xludf.DUMMYFUNCTION("""COMPUTED_VALUE"""),45178.0)</f>
        <v>45178</v>
      </c>
      <c r="C4044" s="266" t="str">
        <f>IFERROR(__xludf.DUMMYFUNCTION("""COMPUTED_VALUE"""),"KYAI KONTONG")</f>
        <v>KYAI KONTONG</v>
      </c>
      <c r="D4044" s="186">
        <f>IFERROR(__xludf.DUMMYFUNCTION("""COMPUTED_VALUE"""),10.0)</f>
        <v>10</v>
      </c>
    </row>
    <row r="4045">
      <c r="A4045" s="178" t="str">
        <f>IFERROR(__xludf.DUMMYFUNCTION("""COMPUTED_VALUE"""),"ITBISA-IC-74HC595N-DIP16")</f>
        <v>ITBISA-IC-74HC595N-DIP16</v>
      </c>
      <c r="B4045" s="266">
        <f>IFERROR(__xludf.DUMMYFUNCTION("""COMPUTED_VALUE"""),45178.0)</f>
        <v>45178</v>
      </c>
      <c r="C4045" s="266" t="str">
        <f>IFERROR(__xludf.DUMMYFUNCTION("""COMPUTED_VALUE"""),"KYAI KONTONG")</f>
        <v>KYAI KONTONG</v>
      </c>
      <c r="D4045" s="186">
        <f>IFERROR(__xludf.DUMMYFUNCTION("""COMPUTED_VALUE"""),11.0)</f>
        <v>11</v>
      </c>
    </row>
    <row r="4046">
      <c r="A4046" s="178" t="str">
        <f>IFERROR(__xludf.DUMMYFUNCTION("""COMPUTED_VALUE"""),"ITBISA-IC-74HC595N-DIP16")</f>
        <v>ITBISA-IC-74HC595N-DIP16</v>
      </c>
      <c r="B4046" s="266">
        <f>IFERROR(__xludf.DUMMYFUNCTION("""COMPUTED_VALUE"""),45182.0)</f>
        <v>45182</v>
      </c>
      <c r="C4046" s="266" t="str">
        <f>IFERROR(__xludf.DUMMYFUNCTION("""COMPUTED_VALUE"""),"KYAI KONTONG")</f>
        <v>KYAI KONTONG</v>
      </c>
      <c r="D4046" s="186">
        <f>IFERROR(__xludf.DUMMYFUNCTION("""COMPUTED_VALUE"""),52.0)</f>
        <v>52</v>
      </c>
    </row>
    <row r="4047">
      <c r="A4047" s="178" t="str">
        <f>IFERROR(__xludf.DUMMYFUNCTION("""COMPUTED_VALUE"""),"ITBISA-IC-74HC595N-DIP16")</f>
        <v>ITBISA-IC-74HC595N-DIP16</v>
      </c>
      <c r="B4047" s="266">
        <f>IFERROR(__xludf.DUMMYFUNCTION("""COMPUTED_VALUE"""),45186.0)</f>
        <v>45186</v>
      </c>
      <c r="C4047" s="266" t="str">
        <f>IFERROR(__xludf.DUMMYFUNCTION("""COMPUTED_VALUE"""),"KYAI KONTONG")</f>
        <v>KYAI KONTONG</v>
      </c>
      <c r="D4047" s="186">
        <f>IFERROR(__xludf.DUMMYFUNCTION("""COMPUTED_VALUE"""),5.0)</f>
        <v>5</v>
      </c>
    </row>
    <row r="4048">
      <c r="A4048" s="178" t="str">
        <f>IFERROR(__xludf.DUMMYFUNCTION("""COMPUTED_VALUE"""),"ITBISA-IC-74HC595N-DIP16")</f>
        <v>ITBISA-IC-74HC595N-DIP16</v>
      </c>
      <c r="B4048" s="266">
        <f>IFERROR(__xludf.DUMMYFUNCTION("""COMPUTED_VALUE"""),45187.0)</f>
        <v>45187</v>
      </c>
      <c r="C4048" s="266" t="str">
        <f>IFERROR(__xludf.DUMMYFUNCTION("""COMPUTED_VALUE"""),"KYAI KONTONG")</f>
        <v>KYAI KONTONG</v>
      </c>
      <c r="D4048" s="186">
        <f>IFERROR(__xludf.DUMMYFUNCTION("""COMPUTED_VALUE"""),200.0)</f>
        <v>200</v>
      </c>
    </row>
    <row r="4049">
      <c r="A4049" s="178" t="str">
        <f>IFERROR(__xludf.DUMMYFUNCTION("""COMPUTED_VALUE"""),"ITBISA-IC-74HC595N-DIP16")</f>
        <v>ITBISA-IC-74HC595N-DIP16</v>
      </c>
      <c r="B4049" s="266">
        <f>IFERROR(__xludf.DUMMYFUNCTION("""COMPUTED_VALUE"""),45188.0)</f>
        <v>45188</v>
      </c>
      <c r="C4049" s="266" t="str">
        <f>IFERROR(__xludf.DUMMYFUNCTION("""COMPUTED_VALUE"""),"KYAI KONTONG")</f>
        <v>KYAI KONTONG</v>
      </c>
      <c r="D4049" s="186">
        <f>IFERROR(__xludf.DUMMYFUNCTION("""COMPUTED_VALUE"""),80.0)</f>
        <v>80</v>
      </c>
    </row>
    <row r="4050">
      <c r="A4050" s="178" t="str">
        <f>IFERROR(__xludf.DUMMYFUNCTION("""COMPUTED_VALUE"""),"ITBISA-IC-74HC595N-DIP16")</f>
        <v>ITBISA-IC-74HC595N-DIP16</v>
      </c>
      <c r="B4050" s="266">
        <f>IFERROR(__xludf.DUMMYFUNCTION("""COMPUTED_VALUE"""),45189.0)</f>
        <v>45189</v>
      </c>
      <c r="C4050" s="266" t="str">
        <f>IFERROR(__xludf.DUMMYFUNCTION("""COMPUTED_VALUE"""),"KYAI KONTONG")</f>
        <v>KYAI KONTONG</v>
      </c>
      <c r="D4050" s="186">
        <f>IFERROR(__xludf.DUMMYFUNCTION("""COMPUTED_VALUE"""),5.0)</f>
        <v>5</v>
      </c>
    </row>
    <row r="4051">
      <c r="A4051" s="178" t="str">
        <f>IFERROR(__xludf.DUMMYFUNCTION("""COMPUTED_VALUE"""),"ITBISA-IC-74HC595N-DIP16")</f>
        <v>ITBISA-IC-74HC595N-DIP16</v>
      </c>
      <c r="B4051" s="266">
        <f>IFERROR(__xludf.DUMMYFUNCTION("""COMPUTED_VALUE"""),45189.0)</f>
        <v>45189</v>
      </c>
      <c r="C4051" s="266" t="str">
        <f>IFERROR(__xludf.DUMMYFUNCTION("""COMPUTED_VALUE"""),"KYAI KONTONG")</f>
        <v>KYAI KONTONG</v>
      </c>
      <c r="D4051" s="186">
        <f>IFERROR(__xludf.DUMMYFUNCTION("""COMPUTED_VALUE"""),50.0)</f>
        <v>50</v>
      </c>
    </row>
    <row r="4052">
      <c r="A4052" s="178" t="str">
        <f>IFERROR(__xludf.DUMMYFUNCTION("""COMPUTED_VALUE"""),"ITBISA-IC-74HC595N-DIP16")</f>
        <v>ITBISA-IC-74HC595N-DIP16</v>
      </c>
      <c r="B4052" s="266">
        <f>IFERROR(__xludf.DUMMYFUNCTION("""COMPUTED_VALUE"""),45190.0)</f>
        <v>45190</v>
      </c>
      <c r="C4052" s="266" t="str">
        <f>IFERROR(__xludf.DUMMYFUNCTION("""COMPUTED_VALUE"""),"KYAI KONTONG")</f>
        <v>KYAI KONTONG</v>
      </c>
      <c r="D4052" s="186">
        <f>IFERROR(__xludf.DUMMYFUNCTION("""COMPUTED_VALUE"""),2.0)</f>
        <v>2</v>
      </c>
    </row>
    <row r="4053">
      <c r="A4053" s="178" t="str">
        <f>IFERROR(__xludf.DUMMYFUNCTION("""COMPUTED_VALUE"""),"ITBISA-IC-74HC595N-DIP16")</f>
        <v>ITBISA-IC-74HC595N-DIP16</v>
      </c>
      <c r="B4053" s="266">
        <f>IFERROR(__xludf.DUMMYFUNCTION("""COMPUTED_VALUE"""),45191.0)</f>
        <v>45191</v>
      </c>
      <c r="C4053" s="266" t="str">
        <f>IFERROR(__xludf.DUMMYFUNCTION("""COMPUTED_VALUE"""),"KYAI KONTONG")</f>
        <v>KYAI KONTONG</v>
      </c>
      <c r="D4053" s="186">
        <f>IFERROR(__xludf.DUMMYFUNCTION("""COMPUTED_VALUE"""),500.0)</f>
        <v>500</v>
      </c>
    </row>
    <row r="4054">
      <c r="A4054" s="178" t="str">
        <f>IFERROR(__xludf.DUMMYFUNCTION("""COMPUTED_VALUE"""),"ITBISA-IC-74HC595N-DIP16")</f>
        <v>ITBISA-IC-74HC595N-DIP16</v>
      </c>
      <c r="B4054" s="266">
        <f>IFERROR(__xludf.DUMMYFUNCTION("""COMPUTED_VALUE"""),45192.0)</f>
        <v>45192</v>
      </c>
      <c r="C4054" s="266" t="str">
        <f>IFERROR(__xludf.DUMMYFUNCTION("""COMPUTED_VALUE"""),"KYAI KONTONG")</f>
        <v>KYAI KONTONG</v>
      </c>
      <c r="D4054" s="186">
        <f>IFERROR(__xludf.DUMMYFUNCTION("""COMPUTED_VALUE"""),4.0)</f>
        <v>4</v>
      </c>
    </row>
    <row r="4055">
      <c r="A4055" s="178" t="str">
        <f>IFERROR(__xludf.DUMMYFUNCTION("""COMPUTED_VALUE"""),"ITBISA-IC-74HC595N-DIP16")</f>
        <v>ITBISA-IC-74HC595N-DIP16</v>
      </c>
      <c r="B4055" s="266">
        <f>IFERROR(__xludf.DUMMYFUNCTION("""COMPUTED_VALUE"""),45197.0)</f>
        <v>45197</v>
      </c>
      <c r="C4055" s="266" t="str">
        <f>IFERROR(__xludf.DUMMYFUNCTION("""COMPUTED_VALUE"""),"KYAI KONTONG")</f>
        <v>KYAI KONTONG</v>
      </c>
      <c r="D4055" s="186">
        <f>IFERROR(__xludf.DUMMYFUNCTION("""COMPUTED_VALUE"""),150.0)</f>
        <v>150</v>
      </c>
    </row>
    <row r="4056">
      <c r="A4056" s="178" t="str">
        <f>IFERROR(__xludf.DUMMYFUNCTION("""COMPUTED_VALUE"""),"ITBISA-IC-74HC595N-DIP16")</f>
        <v>ITBISA-IC-74HC595N-DIP16</v>
      </c>
      <c r="B4056" s="266">
        <f>IFERROR(__xludf.DUMMYFUNCTION("""COMPUTED_VALUE"""),45199.0)</f>
        <v>45199</v>
      </c>
      <c r="C4056" s="266" t="str">
        <f>IFERROR(__xludf.DUMMYFUNCTION("""COMPUTED_VALUE"""),"KYAI KONTONG")</f>
        <v>KYAI KONTONG</v>
      </c>
      <c r="D4056" s="186">
        <f>IFERROR(__xludf.DUMMYFUNCTION("""COMPUTED_VALUE"""),5.0)</f>
        <v>5</v>
      </c>
    </row>
    <row r="4057">
      <c r="A4057" s="178" t="str">
        <f>IFERROR(__xludf.DUMMYFUNCTION("""COMPUTED_VALUE"""),"ITBISA-IC-74HC595N-DIP16")</f>
        <v>ITBISA-IC-74HC595N-DIP16</v>
      </c>
      <c r="B4057" s="266">
        <f>IFERROR(__xludf.DUMMYFUNCTION("""COMPUTED_VALUE"""),45200.0)</f>
        <v>45200</v>
      </c>
      <c r="C4057" s="266" t="str">
        <f>IFERROR(__xludf.DUMMYFUNCTION("""COMPUTED_VALUE"""),"KYAI KONTONG")</f>
        <v>KYAI KONTONG</v>
      </c>
      <c r="D4057" s="186">
        <f>IFERROR(__xludf.DUMMYFUNCTION("""COMPUTED_VALUE"""),11.0)</f>
        <v>11</v>
      </c>
    </row>
    <row r="4058">
      <c r="A4058" s="178" t="str">
        <f>IFERROR(__xludf.DUMMYFUNCTION("""COMPUTED_VALUE"""),"ITBISA-IC-74HC595N-DIP16")</f>
        <v>ITBISA-IC-74HC595N-DIP16</v>
      </c>
      <c r="B4058" s="266">
        <f>IFERROR(__xludf.DUMMYFUNCTION("""COMPUTED_VALUE"""),45203.0)</f>
        <v>45203</v>
      </c>
      <c r="C4058" s="266" t="str">
        <f>IFERROR(__xludf.DUMMYFUNCTION("""COMPUTED_VALUE"""),"KYAI KONTONG")</f>
        <v>KYAI KONTONG</v>
      </c>
      <c r="D4058" s="186">
        <f>IFERROR(__xludf.DUMMYFUNCTION("""COMPUTED_VALUE"""),10.0)</f>
        <v>10</v>
      </c>
    </row>
    <row r="4059">
      <c r="A4059" s="178" t="str">
        <f>IFERROR(__xludf.DUMMYFUNCTION("""COMPUTED_VALUE"""),"ITBISA-IC-74HC595N-DIP16")</f>
        <v>ITBISA-IC-74HC595N-DIP16</v>
      </c>
      <c r="B4059" s="266">
        <f>IFERROR(__xludf.DUMMYFUNCTION("""COMPUTED_VALUE"""),45203.0)</f>
        <v>45203</v>
      </c>
      <c r="C4059" s="266" t="str">
        <f>IFERROR(__xludf.DUMMYFUNCTION("""COMPUTED_VALUE"""),"KYAI KONTONG")</f>
        <v>KYAI KONTONG</v>
      </c>
      <c r="D4059" s="186">
        <f>IFERROR(__xludf.DUMMYFUNCTION("""COMPUTED_VALUE"""),10.0)</f>
        <v>10</v>
      </c>
    </row>
    <row r="4060">
      <c r="A4060" s="178" t="str">
        <f>IFERROR(__xludf.DUMMYFUNCTION("""COMPUTED_VALUE"""),"ITBISA-IC-74HC595N-DIP16")</f>
        <v>ITBISA-IC-74HC595N-DIP16</v>
      </c>
      <c r="B4060" s="266">
        <f>IFERROR(__xludf.DUMMYFUNCTION("""COMPUTED_VALUE"""),45204.0)</f>
        <v>45204</v>
      </c>
      <c r="C4060" s="266" t="str">
        <f>IFERROR(__xludf.DUMMYFUNCTION("""COMPUTED_VALUE"""),"KERTASARI CIAMIS")</f>
        <v>KERTASARI CIAMIS</v>
      </c>
      <c r="D4060" s="186">
        <f>IFERROR(__xludf.DUMMYFUNCTION("""COMPUTED_VALUE"""),100.0)</f>
        <v>100</v>
      </c>
    </row>
    <row r="4061">
      <c r="A4061" s="178" t="str">
        <f>IFERROR(__xludf.DUMMYFUNCTION("""COMPUTED_VALUE"""),"ITBISA-IC-74HC595N-DIP16")</f>
        <v>ITBISA-IC-74HC595N-DIP16</v>
      </c>
      <c r="B4061" s="266">
        <f>IFERROR(__xludf.DUMMYFUNCTION("""COMPUTED_VALUE"""),45204.0)</f>
        <v>45204</v>
      </c>
      <c r="C4061" s="266" t="str">
        <f>IFERROR(__xludf.DUMMYFUNCTION("""COMPUTED_VALUE"""),"KYAI KONTONG")</f>
        <v>KYAI KONTONG</v>
      </c>
      <c r="D4061" s="186">
        <f>IFERROR(__xludf.DUMMYFUNCTION("""COMPUTED_VALUE"""),10.0)</f>
        <v>10</v>
      </c>
    </row>
    <row r="4062">
      <c r="A4062" s="178" t="str">
        <f>IFERROR(__xludf.DUMMYFUNCTION("""COMPUTED_VALUE"""),"ITBISA-IC-74HC595N-DIP16")</f>
        <v>ITBISA-IC-74HC595N-DIP16</v>
      </c>
      <c r="B4062" s="266">
        <f>IFERROR(__xludf.DUMMYFUNCTION("""COMPUTED_VALUE"""),45206.0)</f>
        <v>45206</v>
      </c>
      <c r="C4062" s="266" t="str">
        <f>IFERROR(__xludf.DUMMYFUNCTION("""COMPUTED_VALUE"""),"KYAI KONTONG")</f>
        <v>KYAI KONTONG</v>
      </c>
      <c r="D4062" s="186">
        <f>IFERROR(__xludf.DUMMYFUNCTION("""COMPUTED_VALUE"""),20.0)</f>
        <v>20</v>
      </c>
    </row>
    <row r="4063">
      <c r="A4063" s="178" t="str">
        <f>IFERROR(__xludf.DUMMYFUNCTION("""COMPUTED_VALUE"""),"ITBISA-IC-74HC595N-DIP16")</f>
        <v>ITBISA-IC-74HC595N-DIP16</v>
      </c>
      <c r="B4063" s="266">
        <f>IFERROR(__xludf.DUMMYFUNCTION("""COMPUTED_VALUE"""),45208.0)</f>
        <v>45208</v>
      </c>
      <c r="C4063" s="266" t="str">
        <f>IFERROR(__xludf.DUMMYFUNCTION("""COMPUTED_VALUE"""),"KYAI KONTONG")</f>
        <v>KYAI KONTONG</v>
      </c>
      <c r="D4063" s="186">
        <f>IFERROR(__xludf.DUMMYFUNCTION("""COMPUTED_VALUE"""),10.0)</f>
        <v>10</v>
      </c>
    </row>
    <row r="4064">
      <c r="A4064" s="178" t="str">
        <f>IFERROR(__xludf.DUMMYFUNCTION("""COMPUTED_VALUE"""),"ITBISA-IC-74HC595N-DIP16")</f>
        <v>ITBISA-IC-74HC595N-DIP16</v>
      </c>
      <c r="B4064" s="266">
        <f>IFERROR(__xludf.DUMMYFUNCTION("""COMPUTED_VALUE"""),45209.0)</f>
        <v>45209</v>
      </c>
      <c r="C4064" s="266" t="str">
        <f>IFERROR(__xludf.DUMMYFUNCTION("""COMPUTED_VALUE"""),"KYAI KONTONG")</f>
        <v>KYAI KONTONG</v>
      </c>
      <c r="D4064" s="186">
        <f>IFERROR(__xludf.DUMMYFUNCTION("""COMPUTED_VALUE"""),5.0)</f>
        <v>5</v>
      </c>
    </row>
    <row r="4065">
      <c r="A4065" s="178" t="str">
        <f>IFERROR(__xludf.DUMMYFUNCTION("""COMPUTED_VALUE"""),"ITBISA-IC-74HC595N-DIP16")</f>
        <v>ITBISA-IC-74HC595N-DIP16</v>
      </c>
      <c r="B4065" s="266">
        <f>IFERROR(__xludf.DUMMYFUNCTION("""COMPUTED_VALUE"""),45209.0)</f>
        <v>45209</v>
      </c>
      <c r="C4065" s="266" t="str">
        <f>IFERROR(__xludf.DUMMYFUNCTION("""COMPUTED_VALUE"""),"KYAI KONTONG")</f>
        <v>KYAI KONTONG</v>
      </c>
      <c r="D4065" s="186">
        <f>IFERROR(__xludf.DUMMYFUNCTION("""COMPUTED_VALUE"""),10.0)</f>
        <v>10</v>
      </c>
    </row>
    <row r="4066">
      <c r="A4066" s="178" t="str">
        <f>IFERROR(__xludf.DUMMYFUNCTION("""COMPUTED_VALUE"""),"ITBISA-IC-74HC595N-DIP16")</f>
        <v>ITBISA-IC-74HC595N-DIP16</v>
      </c>
      <c r="B4066" s="266">
        <f>IFERROR(__xludf.DUMMYFUNCTION("""COMPUTED_VALUE"""),45209.0)</f>
        <v>45209</v>
      </c>
      <c r="C4066" s="266" t="str">
        <f>IFERROR(__xludf.DUMMYFUNCTION("""COMPUTED_VALUE"""),"KYAI KONTONG")</f>
        <v>KYAI KONTONG</v>
      </c>
      <c r="D4066" s="186">
        <f>IFERROR(__xludf.DUMMYFUNCTION("""COMPUTED_VALUE"""),16.0)</f>
        <v>16</v>
      </c>
    </row>
    <row r="4067">
      <c r="A4067" s="178" t="str">
        <f>IFERROR(__xludf.DUMMYFUNCTION("""COMPUTED_VALUE"""),"ITBISA-IC-74HC595N-DIP16")</f>
        <v>ITBISA-IC-74HC595N-DIP16</v>
      </c>
      <c r="B4067" s="266">
        <f>IFERROR(__xludf.DUMMYFUNCTION("""COMPUTED_VALUE"""),45215.0)</f>
        <v>45215</v>
      </c>
      <c r="C4067" s="266" t="str">
        <f>IFERROR(__xludf.DUMMYFUNCTION("""COMPUTED_VALUE"""),"KYAI KONTONG")</f>
        <v>KYAI KONTONG</v>
      </c>
      <c r="D4067" s="186">
        <f>IFERROR(__xludf.DUMMYFUNCTION("""COMPUTED_VALUE"""),25.0)</f>
        <v>25</v>
      </c>
    </row>
    <row r="4068">
      <c r="A4068" s="178" t="str">
        <f>IFERROR(__xludf.DUMMYFUNCTION("""COMPUTED_VALUE"""),"ITBISA-IC-74HC595N-DIP16")</f>
        <v>ITBISA-IC-74HC595N-DIP16</v>
      </c>
      <c r="B4068" s="266">
        <f>IFERROR(__xludf.DUMMYFUNCTION("""COMPUTED_VALUE"""),45215.0)</f>
        <v>45215</v>
      </c>
      <c r="C4068" s="266" t="str">
        <f>IFERROR(__xludf.DUMMYFUNCTION("""COMPUTED_VALUE"""),"KYAI KONTONG")</f>
        <v>KYAI KONTONG</v>
      </c>
      <c r="D4068" s="186">
        <f>IFERROR(__xludf.DUMMYFUNCTION("""COMPUTED_VALUE"""),1650.0)</f>
        <v>1650</v>
      </c>
    </row>
    <row r="4069">
      <c r="A4069" s="178" t="str">
        <f>IFERROR(__xludf.DUMMYFUNCTION("""COMPUTED_VALUE"""),"ITBISA-IC-74HC595N-DIP16")</f>
        <v>ITBISA-IC-74HC595N-DIP16</v>
      </c>
      <c r="B4069" s="266">
        <f>IFERROR(__xludf.DUMMYFUNCTION("""COMPUTED_VALUE"""),45217.0)</f>
        <v>45217</v>
      </c>
      <c r="C4069" s="266" t="str">
        <f>IFERROR(__xludf.DUMMYFUNCTION("""COMPUTED_VALUE"""),"KERTASARI CIAMIS")</f>
        <v>KERTASARI CIAMIS</v>
      </c>
      <c r="D4069" s="186">
        <f>IFERROR(__xludf.DUMMYFUNCTION("""COMPUTED_VALUE"""),100.0)</f>
        <v>100</v>
      </c>
    </row>
    <row r="4070">
      <c r="A4070" s="178" t="str">
        <f>IFERROR(__xludf.DUMMYFUNCTION("""COMPUTED_VALUE"""),"ITBISA-IC-74HC595N-DIP16")</f>
        <v>ITBISA-IC-74HC595N-DIP16</v>
      </c>
      <c r="B4070" s="266">
        <f>IFERROR(__xludf.DUMMYFUNCTION("""COMPUTED_VALUE"""),45236.0)</f>
        <v>45236</v>
      </c>
      <c r="C4070" s="266" t="str">
        <f>IFERROR(__xludf.DUMMYFUNCTION("""COMPUTED_VALUE"""),"KYAI KONTONG")</f>
        <v>KYAI KONTONG</v>
      </c>
      <c r="D4070" s="186">
        <f>IFERROR(__xludf.DUMMYFUNCTION("""COMPUTED_VALUE"""),20.0)</f>
        <v>20</v>
      </c>
    </row>
    <row r="4071">
      <c r="A4071" s="178" t="str">
        <f>IFERROR(__xludf.DUMMYFUNCTION("""COMPUTED_VALUE"""),"ITBISA-IC-74HC595N-DIP16")</f>
        <v>ITBISA-IC-74HC595N-DIP16</v>
      </c>
      <c r="B4071" s="266">
        <f>IFERROR(__xludf.DUMMYFUNCTION("""COMPUTED_VALUE"""),45241.0)</f>
        <v>45241</v>
      </c>
      <c r="C4071" s="266" t="str">
        <f>IFERROR(__xludf.DUMMYFUNCTION("""COMPUTED_VALUE"""),"KERTASARI CIAMIS")</f>
        <v>KERTASARI CIAMIS</v>
      </c>
      <c r="D4071" s="186">
        <f>IFERROR(__xludf.DUMMYFUNCTION("""COMPUTED_VALUE"""),100.0)</f>
        <v>100</v>
      </c>
    </row>
    <row r="4072">
      <c r="A4072" s="178" t="str">
        <f>IFERROR(__xludf.DUMMYFUNCTION("""COMPUTED_VALUE"""),"ITBISA-IC-74HC595N-DIP16")</f>
        <v>ITBISA-IC-74HC595N-DIP16</v>
      </c>
      <c r="B4072" s="266">
        <f>IFERROR(__xludf.DUMMYFUNCTION("""COMPUTED_VALUE"""),45243.0)</f>
        <v>45243</v>
      </c>
      <c r="C4072" s="266" t="str">
        <f>IFERROR(__xludf.DUMMYFUNCTION("""COMPUTED_VALUE"""),"KYAI KONTONG")</f>
        <v>KYAI KONTONG</v>
      </c>
      <c r="D4072" s="186">
        <f>IFERROR(__xludf.DUMMYFUNCTION("""COMPUTED_VALUE"""),25.0)</f>
        <v>25</v>
      </c>
    </row>
    <row r="4073">
      <c r="A4073" s="178" t="str">
        <f>IFERROR(__xludf.DUMMYFUNCTION("""COMPUTED_VALUE"""),"ITBISA-IC-74HC595N-DIP16")</f>
        <v>ITBISA-IC-74HC595N-DIP16</v>
      </c>
      <c r="B4073" s="266">
        <f>IFERROR(__xludf.DUMMYFUNCTION("""COMPUTED_VALUE"""),45245.0)</f>
        <v>45245</v>
      </c>
      <c r="C4073" s="266" t="str">
        <f>IFERROR(__xludf.DUMMYFUNCTION("""COMPUTED_VALUE"""),"KERTASARI CIAMIS")</f>
        <v>KERTASARI CIAMIS</v>
      </c>
      <c r="D4073" s="186">
        <f>IFERROR(__xludf.DUMMYFUNCTION("""COMPUTED_VALUE"""),150.0)</f>
        <v>150</v>
      </c>
    </row>
    <row r="4074">
      <c r="A4074" s="178" t="str">
        <f>IFERROR(__xludf.DUMMYFUNCTION("""COMPUTED_VALUE"""),"ITBISA-IC-74HC595N-DIP16")</f>
        <v>ITBISA-IC-74HC595N-DIP16</v>
      </c>
      <c r="B4074" s="266">
        <f>IFERROR(__xludf.DUMMYFUNCTION("""COMPUTED_VALUE"""),45248.0)</f>
        <v>45248</v>
      </c>
      <c r="C4074" s="266" t="str">
        <f>IFERROR(__xludf.DUMMYFUNCTION("""COMPUTED_VALUE"""),"KERTASARI CIAMIS")</f>
        <v>KERTASARI CIAMIS</v>
      </c>
      <c r="D4074" s="186">
        <f>IFERROR(__xludf.DUMMYFUNCTION("""COMPUTED_VALUE"""),48.0)</f>
        <v>48</v>
      </c>
    </row>
    <row r="4075">
      <c r="A4075" s="178" t="str">
        <f>IFERROR(__xludf.DUMMYFUNCTION("""COMPUTED_VALUE"""),"ITBISA-IC-74HC595N-DIP16")</f>
        <v>ITBISA-IC-74HC595N-DIP16</v>
      </c>
      <c r="B4075" s="266">
        <f>IFERROR(__xludf.DUMMYFUNCTION("""COMPUTED_VALUE"""),45254.0)</f>
        <v>45254</v>
      </c>
      <c r="C4075" s="266" t="str">
        <f>IFERROR(__xludf.DUMMYFUNCTION("""COMPUTED_VALUE"""),"KYAI KONTONG")</f>
        <v>KYAI KONTONG</v>
      </c>
      <c r="D4075" s="186">
        <f>IFERROR(__xludf.DUMMYFUNCTION("""COMPUTED_VALUE"""),30.0)</f>
        <v>30</v>
      </c>
    </row>
    <row r="4076">
      <c r="A4076" s="178" t="str">
        <f>IFERROR(__xludf.DUMMYFUNCTION("""COMPUTED_VALUE"""),"ITBISA-IC-74HC595N-DIP16")</f>
        <v>ITBISA-IC-74HC595N-DIP16</v>
      </c>
      <c r="B4076" s="266">
        <f>IFERROR(__xludf.DUMMYFUNCTION("""COMPUTED_VALUE"""),45262.0)</f>
        <v>45262</v>
      </c>
      <c r="C4076" s="266" t="str">
        <f>IFERROR(__xludf.DUMMYFUNCTION("""COMPUTED_VALUE"""),"KERTASARI CIAMIS")</f>
        <v>KERTASARI CIAMIS</v>
      </c>
      <c r="D4076" s="186">
        <f>IFERROR(__xludf.DUMMYFUNCTION("""COMPUTED_VALUE"""),50.0)</f>
        <v>50</v>
      </c>
    </row>
    <row r="4077">
      <c r="A4077" s="178" t="str">
        <f>IFERROR(__xludf.DUMMYFUNCTION("""COMPUTED_VALUE"""),"ITBISA-IC-74HC595N-DIP16")</f>
        <v>ITBISA-IC-74HC595N-DIP16</v>
      </c>
      <c r="B4077" s="266">
        <f>IFERROR(__xludf.DUMMYFUNCTION("""COMPUTED_VALUE"""),45263.0)</f>
        <v>45263</v>
      </c>
      <c r="C4077" s="266" t="str">
        <f>IFERROR(__xludf.DUMMYFUNCTION("""COMPUTED_VALUE"""),"KERTASARI CIAMIS")</f>
        <v>KERTASARI CIAMIS</v>
      </c>
      <c r="D4077" s="186">
        <f>IFERROR(__xludf.DUMMYFUNCTION("""COMPUTED_VALUE"""),38.0)</f>
        <v>38</v>
      </c>
    </row>
    <row r="4078">
      <c r="A4078" s="178" t="str">
        <f>IFERROR(__xludf.DUMMYFUNCTION("""COMPUTED_VALUE"""),"ITBISA-IC-74HC595N-DIP16")</f>
        <v>ITBISA-IC-74HC595N-DIP16</v>
      </c>
      <c r="B4078" s="266">
        <f>IFERROR(__xludf.DUMMYFUNCTION("""COMPUTED_VALUE"""),45265.0)</f>
        <v>45265</v>
      </c>
      <c r="C4078" s="266" t="str">
        <f>IFERROR(__xludf.DUMMYFUNCTION("""COMPUTED_VALUE"""),"KERTASARI CIAMIS")</f>
        <v>KERTASARI CIAMIS</v>
      </c>
      <c r="D4078" s="186">
        <f>IFERROR(__xludf.DUMMYFUNCTION("""COMPUTED_VALUE"""),200.0)</f>
        <v>200</v>
      </c>
    </row>
    <row r="4079">
      <c r="A4079" s="178" t="str">
        <f>IFERROR(__xludf.DUMMYFUNCTION("""COMPUTED_VALUE"""),"ITBISA-IC-74HC595N-DIP16")</f>
        <v>ITBISA-IC-74HC595N-DIP16</v>
      </c>
      <c r="B4079" s="266">
        <f>IFERROR(__xludf.DUMMYFUNCTION("""COMPUTED_VALUE"""),45272.0)</f>
        <v>45272</v>
      </c>
      <c r="C4079" s="266" t="str">
        <f>IFERROR(__xludf.DUMMYFUNCTION("""COMPUTED_VALUE"""),"KERTASARI CIAMIS")</f>
        <v>KERTASARI CIAMIS</v>
      </c>
      <c r="D4079" s="186">
        <f>IFERROR(__xludf.DUMMYFUNCTION("""COMPUTED_VALUE"""),700.0)</f>
        <v>700</v>
      </c>
    </row>
    <row r="4080">
      <c r="A4080" s="178" t="str">
        <f>IFERROR(__xludf.DUMMYFUNCTION("""COMPUTED_VALUE"""),"ITBISA-IC-74HC595N-DIP16")</f>
        <v>ITBISA-IC-74HC595N-DIP16</v>
      </c>
      <c r="B4080" s="266">
        <f>IFERROR(__xludf.DUMMYFUNCTION("""COMPUTED_VALUE"""),45273.0)</f>
        <v>45273</v>
      </c>
      <c r="C4080" s="266" t="str">
        <f>IFERROR(__xludf.DUMMYFUNCTION("""COMPUTED_VALUE"""),"KYAI KONTONG")</f>
        <v>KYAI KONTONG</v>
      </c>
      <c r="D4080" s="186">
        <f>IFERROR(__xludf.DUMMYFUNCTION("""COMPUTED_VALUE"""),100.0)</f>
        <v>100</v>
      </c>
    </row>
    <row r="4081">
      <c r="A4081" s="178" t="str">
        <f>IFERROR(__xludf.DUMMYFUNCTION("""COMPUTED_VALUE"""),"ITBISA-IC-74HC595N-DIP16")</f>
        <v>ITBISA-IC-74HC595N-DIP16</v>
      </c>
      <c r="B4081" s="266">
        <f>IFERROR(__xludf.DUMMYFUNCTION("""COMPUTED_VALUE"""),45285.0)</f>
        <v>45285</v>
      </c>
      <c r="C4081" s="266" t="str">
        <f>IFERROR(__xludf.DUMMYFUNCTION("""COMPUTED_VALUE"""),"KERTASARI CIAMIS")</f>
        <v>KERTASARI CIAMIS</v>
      </c>
      <c r="D4081" s="186">
        <f>IFERROR(__xludf.DUMMYFUNCTION("""COMPUTED_VALUE"""),30.0)</f>
        <v>30</v>
      </c>
    </row>
    <row r="4082">
      <c r="A4082" s="178" t="str">
        <f>IFERROR(__xludf.DUMMYFUNCTION("""COMPUTED_VALUE"""),"ITBISA-IC-74HC595N-DIP16")</f>
        <v>ITBISA-IC-74HC595N-DIP16</v>
      </c>
      <c r="B4082" s="266">
        <f>IFERROR(__xludf.DUMMYFUNCTION("""COMPUTED_VALUE"""),45285.0)</f>
        <v>45285</v>
      </c>
      <c r="C4082" s="266" t="str">
        <f>IFERROR(__xludf.DUMMYFUNCTION("""COMPUTED_VALUE"""),"KYAI KONTONG")</f>
        <v>KYAI KONTONG</v>
      </c>
      <c r="D4082" s="186">
        <f>IFERROR(__xludf.DUMMYFUNCTION("""COMPUTED_VALUE"""),20.0)</f>
        <v>20</v>
      </c>
    </row>
    <row r="4083">
      <c r="A4083" s="178" t="str">
        <f>IFERROR(__xludf.DUMMYFUNCTION("""COMPUTED_VALUE"""),"ITBISA-IC-74HC595N-DIP16")</f>
        <v>ITBISA-IC-74HC595N-DIP16</v>
      </c>
      <c r="B4083" s="266">
        <f>IFERROR(__xludf.DUMMYFUNCTION("""COMPUTED_VALUE"""),45294.0)</f>
        <v>45294</v>
      </c>
      <c r="C4083" s="266" t="str">
        <f>IFERROR(__xludf.DUMMYFUNCTION("""COMPUTED_VALUE"""),"KERTASARI CIAMIS")</f>
        <v>KERTASARI CIAMIS</v>
      </c>
      <c r="D4083" s="186">
        <f>IFERROR(__xludf.DUMMYFUNCTION("""COMPUTED_VALUE"""),100.0)</f>
        <v>100</v>
      </c>
    </row>
    <row r="4084">
      <c r="A4084" s="178" t="str">
        <f>IFERROR(__xludf.DUMMYFUNCTION("""COMPUTED_VALUE"""),"ITBISA-IC-74HC595N-DIP16")</f>
        <v>ITBISA-IC-74HC595N-DIP16</v>
      </c>
      <c r="B4084" s="266">
        <f>IFERROR(__xludf.DUMMYFUNCTION("""COMPUTED_VALUE"""),45294.0)</f>
        <v>45294</v>
      </c>
      <c r="C4084" s="266" t="str">
        <f>IFERROR(__xludf.DUMMYFUNCTION("""COMPUTED_VALUE"""),"KYAI KONTONG")</f>
        <v>KYAI KONTONG</v>
      </c>
      <c r="D4084" s="186">
        <f>IFERROR(__xludf.DUMMYFUNCTION("""COMPUTED_VALUE"""),6.0)</f>
        <v>6</v>
      </c>
    </row>
    <row r="4085">
      <c r="A4085" s="178" t="str">
        <f>IFERROR(__xludf.DUMMYFUNCTION("""COMPUTED_VALUE"""),"ITBISA-IC-74HC595N-DIP16")</f>
        <v>ITBISA-IC-74HC595N-DIP16</v>
      </c>
      <c r="B4085" s="266">
        <f>IFERROR(__xludf.DUMMYFUNCTION("""COMPUTED_VALUE"""),45302.0)</f>
        <v>45302</v>
      </c>
      <c r="C4085" s="266" t="str">
        <f>IFERROR(__xludf.DUMMYFUNCTION("""COMPUTED_VALUE"""),"KERTASARI CIAMIS")</f>
        <v>KERTASARI CIAMIS</v>
      </c>
      <c r="D4085" s="186">
        <f>IFERROR(__xludf.DUMMYFUNCTION("""COMPUTED_VALUE"""),100.0)</f>
        <v>100</v>
      </c>
    </row>
    <row r="4086">
      <c r="A4086" s="178" t="str">
        <f>IFERROR(__xludf.DUMMYFUNCTION("""COMPUTED_VALUE"""),"ITBISA-IC-74HC595N-DIP16")</f>
        <v>ITBISA-IC-74HC595N-DIP16</v>
      </c>
      <c r="B4086" s="266">
        <f>IFERROR(__xludf.DUMMYFUNCTION("""COMPUTED_VALUE"""),45305.0)</f>
        <v>45305</v>
      </c>
      <c r="C4086" s="266" t="str">
        <f>IFERROR(__xludf.DUMMYFUNCTION("""COMPUTED_VALUE"""),"KERTASARI CIAMIS")</f>
        <v>KERTASARI CIAMIS</v>
      </c>
      <c r="D4086" s="186">
        <f>IFERROR(__xludf.DUMMYFUNCTION("""COMPUTED_VALUE"""),75.0)</f>
        <v>75</v>
      </c>
    </row>
    <row r="4087">
      <c r="A4087" s="178" t="str">
        <f>IFERROR(__xludf.DUMMYFUNCTION("""COMPUTED_VALUE"""),"ITBISA-IC-74HC595N-DIP16")</f>
        <v>ITBISA-IC-74HC595N-DIP16</v>
      </c>
      <c r="B4087" s="266">
        <f>IFERROR(__xludf.DUMMYFUNCTION("""COMPUTED_VALUE"""),45306.0)</f>
        <v>45306</v>
      </c>
      <c r="C4087" s="266" t="str">
        <f>IFERROR(__xludf.DUMMYFUNCTION("""COMPUTED_VALUE"""),"KERTASARI CIAMIS")</f>
        <v>KERTASARI CIAMIS</v>
      </c>
      <c r="D4087" s="186">
        <f>IFERROR(__xludf.DUMMYFUNCTION("""COMPUTED_VALUE"""),100.0)</f>
        <v>100</v>
      </c>
    </row>
    <row r="4088">
      <c r="A4088" s="178" t="str">
        <f>IFERROR(__xludf.DUMMYFUNCTION("""COMPUTED_VALUE"""),"ITBISA-IC-74HC595N-DIP16")</f>
        <v>ITBISA-IC-74HC595N-DIP16</v>
      </c>
      <c r="B4088" s="266">
        <f>IFERROR(__xludf.DUMMYFUNCTION("""COMPUTED_VALUE"""),45308.0)</f>
        <v>45308</v>
      </c>
      <c r="C4088" s="266" t="str">
        <f>IFERROR(__xludf.DUMMYFUNCTION("""COMPUTED_VALUE"""),"KERTASARI CIAMIS")</f>
        <v>KERTASARI CIAMIS</v>
      </c>
      <c r="D4088" s="186">
        <f>IFERROR(__xludf.DUMMYFUNCTION("""COMPUTED_VALUE"""),25.0)</f>
        <v>25</v>
      </c>
    </row>
    <row r="4089">
      <c r="A4089" s="178" t="str">
        <f>IFERROR(__xludf.DUMMYFUNCTION("""COMPUTED_VALUE"""),"ITBISA-IC-74HC595N-DIP16")</f>
        <v>ITBISA-IC-74HC595N-DIP16</v>
      </c>
      <c r="B4089" s="266">
        <f>IFERROR(__xludf.DUMMYFUNCTION("""COMPUTED_VALUE"""),45313.0)</f>
        <v>45313</v>
      </c>
      <c r="C4089" s="266" t="str">
        <f>IFERROR(__xludf.DUMMYFUNCTION("""COMPUTED_VALUE"""),"KERTASARI CIAMIS")</f>
        <v>KERTASARI CIAMIS</v>
      </c>
      <c r="D4089" s="186">
        <f>IFERROR(__xludf.DUMMYFUNCTION("""COMPUTED_VALUE"""),30.0)</f>
        <v>30</v>
      </c>
    </row>
    <row r="4090">
      <c r="A4090" s="178" t="str">
        <f>IFERROR(__xludf.DUMMYFUNCTION("""COMPUTED_VALUE"""),"ITBISA-IC-74HC595N-DIP16")</f>
        <v>ITBISA-IC-74HC595N-DIP16</v>
      </c>
      <c r="B4090" s="266">
        <f>IFERROR(__xludf.DUMMYFUNCTION("""COMPUTED_VALUE"""),45317.0)</f>
        <v>45317</v>
      </c>
      <c r="C4090" s="266" t="str">
        <f>IFERROR(__xludf.DUMMYFUNCTION("""COMPUTED_VALUE"""),"KERTASARI CIAMIS")</f>
        <v>KERTASARI CIAMIS</v>
      </c>
      <c r="D4090" s="186">
        <f>IFERROR(__xludf.DUMMYFUNCTION("""COMPUTED_VALUE"""),100.0)</f>
        <v>100</v>
      </c>
    </row>
    <row r="4091">
      <c r="A4091" s="178" t="str">
        <f>IFERROR(__xludf.DUMMYFUNCTION("""COMPUTED_VALUE"""),"ITBISA-IC-74HC595N-DIP16")</f>
        <v>ITBISA-IC-74HC595N-DIP16</v>
      </c>
      <c r="B4091" s="266">
        <f>IFERROR(__xludf.DUMMYFUNCTION("""COMPUTED_VALUE"""),45334.0)</f>
        <v>45334</v>
      </c>
      <c r="C4091" s="266" t="str">
        <f>IFERROR(__xludf.DUMMYFUNCTION("""COMPUTED_VALUE"""),"KYAI KONTONG")</f>
        <v>KYAI KONTONG</v>
      </c>
      <c r="D4091" s="186">
        <f>IFERROR(__xludf.DUMMYFUNCTION("""COMPUTED_VALUE"""),200.0)</f>
        <v>200</v>
      </c>
    </row>
    <row r="4092">
      <c r="A4092" s="178" t="str">
        <f>IFERROR(__xludf.DUMMYFUNCTION("""COMPUTED_VALUE"""),"ITBISA-IC-74HC595N-DIP16")</f>
        <v>ITBISA-IC-74HC595N-DIP16</v>
      </c>
      <c r="B4092" s="266">
        <f>IFERROR(__xludf.DUMMYFUNCTION("""COMPUTED_VALUE"""),45338.0)</f>
        <v>45338</v>
      </c>
      <c r="C4092" s="266" t="str">
        <f>IFERROR(__xludf.DUMMYFUNCTION("""COMPUTED_VALUE"""),"KYAI KONTONG")</f>
        <v>KYAI KONTONG</v>
      </c>
      <c r="D4092" s="186">
        <f>IFERROR(__xludf.DUMMYFUNCTION("""COMPUTED_VALUE"""),200.0)</f>
        <v>200</v>
      </c>
    </row>
    <row r="4093">
      <c r="A4093" s="178" t="str">
        <f>IFERROR(__xludf.DUMMYFUNCTION("""COMPUTED_VALUE"""),"ITBISA-IC-74HC595N-DIP16")</f>
        <v>ITBISA-IC-74HC595N-DIP16</v>
      </c>
      <c r="B4093" s="266">
        <f>IFERROR(__xludf.DUMMYFUNCTION("""COMPUTED_VALUE"""),45339.0)</f>
        <v>45339</v>
      </c>
      <c r="C4093" s="266" t="str">
        <f>IFERROR(__xludf.DUMMYFUNCTION("""COMPUTED_VALUE"""),"KYAI KONTONG")</f>
        <v>KYAI KONTONG</v>
      </c>
      <c r="D4093" s="186">
        <f>IFERROR(__xludf.DUMMYFUNCTION("""COMPUTED_VALUE"""),300.0)</f>
        <v>300</v>
      </c>
    </row>
    <row r="4094">
      <c r="A4094" s="178" t="str">
        <f>IFERROR(__xludf.DUMMYFUNCTION("""COMPUTED_VALUE"""),"ITBISA-IC-74HC595N-DIP16")</f>
        <v>ITBISA-IC-74HC595N-DIP16</v>
      </c>
      <c r="B4094" s="266">
        <f>IFERROR(__xludf.DUMMYFUNCTION("""COMPUTED_VALUE"""),45344.0)</f>
        <v>45344</v>
      </c>
      <c r="C4094" s="266" t="str">
        <f>IFERROR(__xludf.DUMMYFUNCTION("""COMPUTED_VALUE"""),"KYAI KONTONG")</f>
        <v>KYAI KONTONG</v>
      </c>
      <c r="D4094" s="186">
        <f>IFERROR(__xludf.DUMMYFUNCTION("""COMPUTED_VALUE"""),20.0)</f>
        <v>20</v>
      </c>
    </row>
    <row r="4095">
      <c r="A4095" s="178" t="str">
        <f>IFERROR(__xludf.DUMMYFUNCTION("""COMPUTED_VALUE"""),"ITBISA-IC-74HC595N-DIP16")</f>
        <v>ITBISA-IC-74HC595N-DIP16</v>
      </c>
      <c r="B4095" s="266">
        <f>IFERROR(__xludf.DUMMYFUNCTION("""COMPUTED_VALUE"""),45344.0)</f>
        <v>45344</v>
      </c>
      <c r="C4095" s="266" t="str">
        <f>IFERROR(__xludf.DUMMYFUNCTION("""COMPUTED_VALUE"""),"KYAI KONTONG")</f>
        <v>KYAI KONTONG</v>
      </c>
      <c r="D4095" s="186">
        <f>IFERROR(__xludf.DUMMYFUNCTION("""COMPUTED_VALUE"""),125.0)</f>
        <v>125</v>
      </c>
    </row>
    <row r="4096">
      <c r="A4096" s="178" t="str">
        <f>IFERROR(__xludf.DUMMYFUNCTION("""COMPUTED_VALUE"""),"ITBISA-IC-74HC595N-DIP16")</f>
        <v>ITBISA-IC-74HC595N-DIP16</v>
      </c>
      <c r="B4096" s="266">
        <f>IFERROR(__xludf.DUMMYFUNCTION("""COMPUTED_VALUE"""),45353.0)</f>
        <v>45353</v>
      </c>
      <c r="C4096" s="266" t="str">
        <f>IFERROR(__xludf.DUMMYFUNCTION("""COMPUTED_VALUE"""),"KYAI KONTONG")</f>
        <v>KYAI KONTONG</v>
      </c>
      <c r="D4096" s="186">
        <f>IFERROR(__xludf.DUMMYFUNCTION("""COMPUTED_VALUE"""),100.0)</f>
        <v>100</v>
      </c>
    </row>
    <row r="4097">
      <c r="A4097" s="178" t="str">
        <f>IFERROR(__xludf.DUMMYFUNCTION("""COMPUTED_VALUE"""),"ITBISA-IC-74HC595N-DIP16")</f>
        <v>ITBISA-IC-74HC595N-DIP16</v>
      </c>
      <c r="B4097" s="266">
        <f>IFERROR(__xludf.DUMMYFUNCTION("""COMPUTED_VALUE"""),45355.0)</f>
        <v>45355</v>
      </c>
      <c r="C4097" s="266" t="str">
        <f>IFERROR(__xludf.DUMMYFUNCTION("""COMPUTED_VALUE"""),"KYAI KONTONG")</f>
        <v>KYAI KONTONG</v>
      </c>
      <c r="D4097" s="186">
        <f>IFERROR(__xludf.DUMMYFUNCTION("""COMPUTED_VALUE"""),10.0)</f>
        <v>10</v>
      </c>
    </row>
    <row r="4098">
      <c r="A4098" s="178" t="str">
        <f>IFERROR(__xludf.DUMMYFUNCTION("""COMPUTED_VALUE"""),"ITBISA-IC-74HC595N-DIP16")</f>
        <v>ITBISA-IC-74HC595N-DIP16</v>
      </c>
      <c r="B4098" s="266">
        <f>IFERROR(__xludf.DUMMYFUNCTION("""COMPUTED_VALUE"""),45355.0)</f>
        <v>45355</v>
      </c>
      <c r="C4098" s="266" t="str">
        <f>IFERROR(__xludf.DUMMYFUNCTION("""COMPUTED_VALUE"""),"KYAI KONTONG")</f>
        <v>KYAI KONTONG</v>
      </c>
      <c r="D4098" s="186">
        <f>IFERROR(__xludf.DUMMYFUNCTION("""COMPUTED_VALUE"""),12.0)</f>
        <v>12</v>
      </c>
    </row>
    <row r="4099">
      <c r="A4099" s="178" t="str">
        <f>IFERROR(__xludf.DUMMYFUNCTION("""COMPUTED_VALUE"""),"ITBISA-IC-74HC595N-DIP16")</f>
        <v>ITBISA-IC-74HC595N-DIP16</v>
      </c>
      <c r="B4099" s="266">
        <f>IFERROR(__xludf.DUMMYFUNCTION("""COMPUTED_VALUE"""),45356.0)</f>
        <v>45356</v>
      </c>
      <c r="C4099" s="266" t="str">
        <f>IFERROR(__xludf.DUMMYFUNCTION("""COMPUTED_VALUE"""),"KYAI KONTONG")</f>
        <v>KYAI KONTONG</v>
      </c>
      <c r="D4099" s="186">
        <f>IFERROR(__xludf.DUMMYFUNCTION("""COMPUTED_VALUE"""),200.0)</f>
        <v>200</v>
      </c>
    </row>
    <row r="4100">
      <c r="A4100" s="178" t="str">
        <f>IFERROR(__xludf.DUMMYFUNCTION("""COMPUTED_VALUE"""),"ITBISA-IC-74HC595N-DIP16")</f>
        <v>ITBISA-IC-74HC595N-DIP16</v>
      </c>
      <c r="B4100" s="266">
        <f>IFERROR(__xludf.DUMMYFUNCTION("""COMPUTED_VALUE"""),45356.0)</f>
        <v>45356</v>
      </c>
      <c r="C4100" s="266" t="str">
        <f>IFERROR(__xludf.DUMMYFUNCTION("""COMPUTED_VALUE"""),"KYAI KONTONG")</f>
        <v>KYAI KONTONG</v>
      </c>
      <c r="D4100" s="186">
        <f>IFERROR(__xludf.DUMMYFUNCTION("""COMPUTED_VALUE"""),200.0)</f>
        <v>200</v>
      </c>
    </row>
    <row r="4101">
      <c r="A4101" s="178" t="str">
        <f>IFERROR(__xludf.DUMMYFUNCTION("""COMPUTED_VALUE"""),"ITBISA-IC-74HC595N-DIP16")</f>
        <v>ITBISA-IC-74HC595N-DIP16</v>
      </c>
      <c r="B4101" s="266">
        <f>IFERROR(__xludf.DUMMYFUNCTION("""COMPUTED_VALUE"""),45362.0)</f>
        <v>45362</v>
      </c>
      <c r="C4101" s="266" t="str">
        <f>IFERROR(__xludf.DUMMYFUNCTION("""COMPUTED_VALUE"""),"KYAI KONTONG")</f>
        <v>KYAI KONTONG</v>
      </c>
      <c r="D4101" s="186">
        <f>IFERROR(__xludf.DUMMYFUNCTION("""COMPUTED_VALUE"""),11.0)</f>
        <v>11</v>
      </c>
    </row>
    <row r="4102">
      <c r="A4102" s="178" t="str">
        <f>IFERROR(__xludf.DUMMYFUNCTION("""COMPUTED_VALUE"""),"ITBISA-IC-74HC595N-DIP16")</f>
        <v>ITBISA-IC-74HC595N-DIP16</v>
      </c>
      <c r="B4102" s="266">
        <f>IFERROR(__xludf.DUMMYFUNCTION("""COMPUTED_VALUE"""),45364.0)</f>
        <v>45364</v>
      </c>
      <c r="C4102" s="266" t="str">
        <f>IFERROR(__xludf.DUMMYFUNCTION("""COMPUTED_VALUE"""),"KYAI KONTONG")</f>
        <v>KYAI KONTONG</v>
      </c>
      <c r="D4102" s="186">
        <f>IFERROR(__xludf.DUMMYFUNCTION("""COMPUTED_VALUE"""),50.0)</f>
        <v>50</v>
      </c>
    </row>
    <row r="4103">
      <c r="A4103" s="178" t="str">
        <f>IFERROR(__xludf.DUMMYFUNCTION("""COMPUTED_VALUE"""),"ITBISA-IC-74HC595N-DIP16")</f>
        <v>ITBISA-IC-74HC595N-DIP16</v>
      </c>
      <c r="B4103" s="266">
        <f>IFERROR(__xludf.DUMMYFUNCTION("""COMPUTED_VALUE"""),45364.0)</f>
        <v>45364</v>
      </c>
      <c r="C4103" s="266" t="str">
        <f>IFERROR(__xludf.DUMMYFUNCTION("""COMPUTED_VALUE"""),"KYAI KONTONG")</f>
        <v>KYAI KONTONG</v>
      </c>
      <c r="D4103" s="186">
        <f>IFERROR(__xludf.DUMMYFUNCTION("""COMPUTED_VALUE"""),125.0)</f>
        <v>125</v>
      </c>
    </row>
    <row r="4104">
      <c r="A4104" s="178" t="str">
        <f>IFERROR(__xludf.DUMMYFUNCTION("""COMPUTED_VALUE"""),"ITBISA-IC-74HC595N-DIP16")</f>
        <v>ITBISA-IC-74HC595N-DIP16</v>
      </c>
      <c r="B4104" s="266">
        <f>IFERROR(__xludf.DUMMYFUNCTION("""COMPUTED_VALUE"""),45364.0)</f>
        <v>45364</v>
      </c>
      <c r="C4104" s="266" t="str">
        <f>IFERROR(__xludf.DUMMYFUNCTION("""COMPUTED_VALUE"""),"KYAI KONTONG")</f>
        <v>KYAI KONTONG</v>
      </c>
      <c r="D4104" s="186">
        <f>IFERROR(__xludf.DUMMYFUNCTION("""COMPUTED_VALUE"""),200.0)</f>
        <v>200</v>
      </c>
    </row>
    <row r="4105">
      <c r="A4105" s="178" t="str">
        <f>IFERROR(__xludf.DUMMYFUNCTION("""COMPUTED_VALUE"""),"ITBISA-IC-74HC595N-DIP16")</f>
        <v>ITBISA-IC-74HC595N-DIP16</v>
      </c>
      <c r="B4105" s="266">
        <f>IFERROR(__xludf.DUMMYFUNCTION("""COMPUTED_VALUE"""),45364.0)</f>
        <v>45364</v>
      </c>
      <c r="C4105" s="266" t="str">
        <f>IFERROR(__xludf.DUMMYFUNCTION("""COMPUTED_VALUE"""),"KYAI KONTONG")</f>
        <v>KYAI KONTONG</v>
      </c>
      <c r="D4105" s="186">
        <f>IFERROR(__xludf.DUMMYFUNCTION("""COMPUTED_VALUE"""),200.0)</f>
        <v>200</v>
      </c>
    </row>
    <row r="4106">
      <c r="A4106" s="178" t="str">
        <f>IFERROR(__xludf.DUMMYFUNCTION("""COMPUTED_VALUE"""),"ITBISA-IC-74HC595N-DIP16")</f>
        <v>ITBISA-IC-74HC595N-DIP16</v>
      </c>
      <c r="B4106" s="266">
        <f>IFERROR(__xludf.DUMMYFUNCTION("""COMPUTED_VALUE"""),45365.0)</f>
        <v>45365</v>
      </c>
      <c r="C4106" s="266" t="str">
        <f>IFERROR(__xludf.DUMMYFUNCTION("""COMPUTED_VALUE"""),"KYAI KONTONG")</f>
        <v>KYAI KONTONG</v>
      </c>
      <c r="D4106" s="186">
        <f>IFERROR(__xludf.DUMMYFUNCTION("""COMPUTED_VALUE"""),32.0)</f>
        <v>32</v>
      </c>
    </row>
    <row r="4107">
      <c r="A4107" s="178" t="str">
        <f>IFERROR(__xludf.DUMMYFUNCTION("""COMPUTED_VALUE"""),"ITBISA-IC-74HC595N-DIP16")</f>
        <v>ITBISA-IC-74HC595N-DIP16</v>
      </c>
      <c r="B4107" s="266">
        <f>IFERROR(__xludf.DUMMYFUNCTION("""COMPUTED_VALUE"""),45371.0)</f>
        <v>45371</v>
      </c>
      <c r="C4107" s="266" t="str">
        <f>IFERROR(__xludf.DUMMYFUNCTION("""COMPUTED_VALUE"""),"KYAI KONTONG")</f>
        <v>KYAI KONTONG</v>
      </c>
      <c r="D4107" s="186">
        <f>IFERROR(__xludf.DUMMYFUNCTION("""COMPUTED_VALUE"""),12.0)</f>
        <v>12</v>
      </c>
    </row>
    <row r="4108">
      <c r="A4108" s="178" t="str">
        <f>IFERROR(__xludf.DUMMYFUNCTION("""COMPUTED_VALUE"""),"ITBISA-IC-74HC595N-DIP16")</f>
        <v>ITBISA-IC-74HC595N-DIP16</v>
      </c>
      <c r="B4108" s="266">
        <f>IFERROR(__xludf.DUMMYFUNCTION("""COMPUTED_VALUE"""),45372.0)</f>
        <v>45372</v>
      </c>
      <c r="C4108" s="266" t="str">
        <f>IFERROR(__xludf.DUMMYFUNCTION("""COMPUTED_VALUE"""),"KERTASARI CIAMIS")</f>
        <v>KERTASARI CIAMIS</v>
      </c>
      <c r="D4108" s="186">
        <f>IFERROR(__xludf.DUMMYFUNCTION("""COMPUTED_VALUE"""),40.0)</f>
        <v>40</v>
      </c>
    </row>
    <row r="4109">
      <c r="A4109" s="178" t="str">
        <f>IFERROR(__xludf.DUMMYFUNCTION("""COMPUTED_VALUE"""),"ITBISA-IC-74HC595N-DIP16")</f>
        <v>ITBISA-IC-74HC595N-DIP16</v>
      </c>
      <c r="B4109" s="266">
        <f>IFERROR(__xludf.DUMMYFUNCTION("""COMPUTED_VALUE"""),45378.0)</f>
        <v>45378</v>
      </c>
      <c r="C4109" s="266" t="str">
        <f>IFERROR(__xludf.DUMMYFUNCTION("""COMPUTED_VALUE"""),"KERTASARI CIAMIS")</f>
        <v>KERTASARI CIAMIS</v>
      </c>
      <c r="D4109" s="186">
        <f>IFERROR(__xludf.DUMMYFUNCTION("""COMPUTED_VALUE"""),33.0)</f>
        <v>33</v>
      </c>
    </row>
    <row r="4110">
      <c r="A4110" s="178" t="str">
        <f>IFERROR(__xludf.DUMMYFUNCTION("""COMPUTED_VALUE"""),"ITBISA-IC-74HC595N-DIP16")</f>
        <v>ITBISA-IC-74HC595N-DIP16</v>
      </c>
      <c r="B4110" s="266">
        <f>IFERROR(__xludf.DUMMYFUNCTION("""COMPUTED_VALUE"""),45378.0)</f>
        <v>45378</v>
      </c>
      <c r="C4110" s="266" t="str">
        <f>IFERROR(__xludf.DUMMYFUNCTION("""COMPUTED_VALUE"""),"KYAI KONTONG")</f>
        <v>KYAI KONTONG</v>
      </c>
      <c r="D4110" s="186">
        <f>IFERROR(__xludf.DUMMYFUNCTION("""COMPUTED_VALUE"""),120.0)</f>
        <v>120</v>
      </c>
    </row>
    <row r="4111">
      <c r="A4111" s="178" t="str">
        <f>IFERROR(__xludf.DUMMYFUNCTION("""COMPUTED_VALUE"""),"ITBISA-IC-74HC595N-DIP16")</f>
        <v>ITBISA-IC-74HC595N-DIP16</v>
      </c>
      <c r="B4111" s="266">
        <f>IFERROR(__xludf.DUMMYFUNCTION("""COMPUTED_VALUE"""),45378.0)</f>
        <v>45378</v>
      </c>
      <c r="C4111" s="266" t="str">
        <f>IFERROR(__xludf.DUMMYFUNCTION("""COMPUTED_VALUE"""),"KYAI KONTONG")</f>
        <v>KYAI KONTONG</v>
      </c>
      <c r="D4111" s="186">
        <f>IFERROR(__xludf.DUMMYFUNCTION("""COMPUTED_VALUE"""),1000.0)</f>
        <v>1000</v>
      </c>
    </row>
    <row r="4112">
      <c r="A4112" s="178" t="str">
        <f>IFERROR(__xludf.DUMMYFUNCTION("""COMPUTED_VALUE"""),"ITBISA-IC-74HC595N-DIP16")</f>
        <v>ITBISA-IC-74HC595N-DIP16</v>
      </c>
      <c r="B4112" s="266">
        <f>IFERROR(__xludf.DUMMYFUNCTION("""COMPUTED_VALUE"""),45384.0)</f>
        <v>45384</v>
      </c>
      <c r="C4112" s="266" t="str">
        <f>IFERROR(__xludf.DUMMYFUNCTION("""COMPUTED_VALUE"""),"KERTASARI CIAMIS")</f>
        <v>KERTASARI CIAMIS</v>
      </c>
      <c r="D4112" s="186">
        <f>IFERROR(__xludf.DUMMYFUNCTION("""COMPUTED_VALUE"""),50.0)</f>
        <v>50</v>
      </c>
    </row>
    <row r="4113">
      <c r="A4113" s="178" t="str">
        <f>IFERROR(__xludf.DUMMYFUNCTION("""COMPUTED_VALUE"""),"ITBISA-IC-74HC595N-DIP16")</f>
        <v>ITBISA-IC-74HC595N-DIP16</v>
      </c>
      <c r="B4113" s="266">
        <f>IFERROR(__xludf.DUMMYFUNCTION("""COMPUTED_VALUE"""),45390.0)</f>
        <v>45390</v>
      </c>
      <c r="C4113" s="266" t="str">
        <f>IFERROR(__xludf.DUMMYFUNCTION("""COMPUTED_VALUE"""),"KERTASARI CIAMIS")</f>
        <v>KERTASARI CIAMIS</v>
      </c>
      <c r="D4113" s="186">
        <f>IFERROR(__xludf.DUMMYFUNCTION("""COMPUTED_VALUE"""),150.0)</f>
        <v>150</v>
      </c>
    </row>
    <row r="4114">
      <c r="A4114" s="178" t="str">
        <f>IFERROR(__xludf.DUMMYFUNCTION("""COMPUTED_VALUE"""),"ITBISA-IC-74HC595N-DIP16")</f>
        <v>ITBISA-IC-74HC595N-DIP16</v>
      </c>
      <c r="B4114" s="266">
        <f>IFERROR(__xludf.DUMMYFUNCTION("""COMPUTED_VALUE"""),45391.0)</f>
        <v>45391</v>
      </c>
      <c r="C4114" s="266" t="str">
        <f>IFERROR(__xludf.DUMMYFUNCTION("""COMPUTED_VALUE"""),"KERTASARI CIAMIS")</f>
        <v>KERTASARI CIAMIS</v>
      </c>
      <c r="D4114" s="186">
        <f>IFERROR(__xludf.DUMMYFUNCTION("""COMPUTED_VALUE"""),6.0)</f>
        <v>6</v>
      </c>
    </row>
    <row r="4115">
      <c r="A4115" s="178" t="str">
        <f>IFERROR(__xludf.DUMMYFUNCTION("""COMPUTED_VALUE"""),"ITBISA-IC-74HC595N-DIP16")</f>
        <v>ITBISA-IC-74HC595N-DIP16</v>
      </c>
      <c r="B4115" s="266">
        <f>IFERROR(__xludf.DUMMYFUNCTION("""COMPUTED_VALUE"""),45393.0)</f>
        <v>45393</v>
      </c>
      <c r="C4115" s="266" t="str">
        <f>IFERROR(__xludf.DUMMYFUNCTION("""COMPUTED_VALUE"""),"KERTASARI CIAMIS")</f>
        <v>KERTASARI CIAMIS</v>
      </c>
      <c r="D4115" s="186">
        <f>IFERROR(__xludf.DUMMYFUNCTION("""COMPUTED_VALUE"""),9.0)</f>
        <v>9</v>
      </c>
    </row>
    <row r="4116">
      <c r="A4116" s="178" t="str">
        <f>IFERROR(__xludf.DUMMYFUNCTION("""COMPUTED_VALUE"""),"ITBISA-IC-74HC595N-DIP16")</f>
        <v>ITBISA-IC-74HC595N-DIP16</v>
      </c>
      <c r="B4116" s="266">
        <f>IFERROR(__xludf.DUMMYFUNCTION("""COMPUTED_VALUE"""),45393.0)</f>
        <v>45393</v>
      </c>
      <c r="C4116" s="266" t="str">
        <f>IFERROR(__xludf.DUMMYFUNCTION("""COMPUTED_VALUE"""),"KERTASARI CIAMIS")</f>
        <v>KERTASARI CIAMIS</v>
      </c>
      <c r="D4116" s="186">
        <f>IFERROR(__xludf.DUMMYFUNCTION("""COMPUTED_VALUE"""),75.0)</f>
        <v>75</v>
      </c>
    </row>
    <row r="4117">
      <c r="A4117" s="178" t="str">
        <f>IFERROR(__xludf.DUMMYFUNCTION("""COMPUTED_VALUE"""),"ITBISA-IC-74HC595N-DIP16")</f>
        <v>ITBISA-IC-74HC595N-DIP16</v>
      </c>
      <c r="B4117" s="266">
        <f>IFERROR(__xludf.DUMMYFUNCTION("""COMPUTED_VALUE"""),45394.0)</f>
        <v>45394</v>
      </c>
      <c r="C4117" s="266" t="str">
        <f>IFERROR(__xludf.DUMMYFUNCTION("""COMPUTED_VALUE"""),"KERTASARI CIAMIS")</f>
        <v>KERTASARI CIAMIS</v>
      </c>
      <c r="D4117" s="186">
        <f>IFERROR(__xludf.DUMMYFUNCTION("""COMPUTED_VALUE"""),8.0)</f>
        <v>8</v>
      </c>
    </row>
    <row r="4118">
      <c r="A4118" s="178" t="str">
        <f>IFERROR(__xludf.DUMMYFUNCTION("""COMPUTED_VALUE"""),"ITBISA-IC-74HC595N-DIP16")</f>
        <v>ITBISA-IC-74HC595N-DIP16</v>
      </c>
      <c r="B4118" s="266">
        <f>IFERROR(__xludf.DUMMYFUNCTION("""COMPUTED_VALUE"""),45397.0)</f>
        <v>45397</v>
      </c>
      <c r="C4118" s="266" t="str">
        <f>IFERROR(__xludf.DUMMYFUNCTION("""COMPUTED_VALUE"""),"KYAI KONTONG")</f>
        <v>KYAI KONTONG</v>
      </c>
      <c r="D4118" s="186">
        <f>IFERROR(__xludf.DUMMYFUNCTION("""COMPUTED_VALUE"""),50.0)</f>
        <v>50</v>
      </c>
    </row>
    <row r="4119">
      <c r="A4119" s="178" t="str">
        <f>IFERROR(__xludf.DUMMYFUNCTION("""COMPUTED_VALUE"""),"ITBISA-IC-74HC595N-DIP16")</f>
        <v>ITBISA-IC-74HC595N-DIP16</v>
      </c>
      <c r="B4119" s="266">
        <f>IFERROR(__xludf.DUMMYFUNCTION("""COMPUTED_VALUE"""),45398.0)</f>
        <v>45398</v>
      </c>
      <c r="C4119" s="266" t="str">
        <f>IFERROR(__xludf.DUMMYFUNCTION("""COMPUTED_VALUE"""),"KYAI KONTONG")</f>
        <v>KYAI KONTONG</v>
      </c>
      <c r="D4119" s="186">
        <f>IFERROR(__xludf.DUMMYFUNCTION("""COMPUTED_VALUE"""),6.0)</f>
        <v>6</v>
      </c>
    </row>
    <row r="4120">
      <c r="A4120" s="178" t="str">
        <f>IFERROR(__xludf.DUMMYFUNCTION("""COMPUTED_VALUE"""),"ITBISA-IC-74HC595N-DIP16")</f>
        <v>ITBISA-IC-74HC595N-DIP16</v>
      </c>
      <c r="B4120" s="266">
        <f>IFERROR(__xludf.DUMMYFUNCTION("""COMPUTED_VALUE"""),45398.0)</f>
        <v>45398</v>
      </c>
      <c r="C4120" s="266" t="str">
        <f>IFERROR(__xludf.DUMMYFUNCTION("""COMPUTED_VALUE"""),"KYAI KONTONG")</f>
        <v>KYAI KONTONG</v>
      </c>
      <c r="D4120" s="186">
        <f>IFERROR(__xludf.DUMMYFUNCTION("""COMPUTED_VALUE"""),25.0)</f>
        <v>25</v>
      </c>
    </row>
    <row r="4121">
      <c r="A4121" s="178" t="str">
        <f>IFERROR(__xludf.DUMMYFUNCTION("""COMPUTED_VALUE"""),"ITBISA-IC-74HC595N-DIP16")</f>
        <v>ITBISA-IC-74HC595N-DIP16</v>
      </c>
      <c r="B4121" s="266">
        <f>IFERROR(__xludf.DUMMYFUNCTION("""COMPUTED_VALUE"""),45398.0)</f>
        <v>45398</v>
      </c>
      <c r="C4121" s="266" t="str">
        <f>IFERROR(__xludf.DUMMYFUNCTION("""COMPUTED_VALUE"""),"KYAI KONTONG")</f>
        <v>KYAI KONTONG</v>
      </c>
      <c r="D4121" s="186">
        <f>IFERROR(__xludf.DUMMYFUNCTION("""COMPUTED_VALUE"""),25.0)</f>
        <v>25</v>
      </c>
    </row>
    <row r="4122">
      <c r="A4122" s="178" t="str">
        <f>IFERROR(__xludf.DUMMYFUNCTION("""COMPUTED_VALUE"""),"ITBISA-IC-74HC595N-DIP16")</f>
        <v>ITBISA-IC-74HC595N-DIP16</v>
      </c>
      <c r="B4122" s="266">
        <f>IFERROR(__xludf.DUMMYFUNCTION("""COMPUTED_VALUE"""),45399.0)</f>
        <v>45399</v>
      </c>
      <c r="C4122" s="266" t="str">
        <f>IFERROR(__xludf.DUMMYFUNCTION("""COMPUTED_VALUE"""),"KERTASARI CIAMIS")</f>
        <v>KERTASARI CIAMIS</v>
      </c>
      <c r="D4122" s="186">
        <f>IFERROR(__xludf.DUMMYFUNCTION("""COMPUTED_VALUE"""),600.0)</f>
        <v>600</v>
      </c>
    </row>
    <row r="4123">
      <c r="A4123" s="178" t="str">
        <f>IFERROR(__xludf.DUMMYFUNCTION("""COMPUTED_VALUE"""),"ITBISA-IC-74HC595N-DIP16")</f>
        <v>ITBISA-IC-74HC595N-DIP16</v>
      </c>
      <c r="B4123" s="266">
        <f>IFERROR(__xludf.DUMMYFUNCTION("""COMPUTED_VALUE"""),45401.0)</f>
        <v>45401</v>
      </c>
      <c r="C4123" s="266" t="str">
        <f>IFERROR(__xludf.DUMMYFUNCTION("""COMPUTED_VALUE"""),"KERTASARI CIAMIS")</f>
        <v>KERTASARI CIAMIS</v>
      </c>
      <c r="D4123" s="186">
        <f>IFERROR(__xludf.DUMMYFUNCTION("""COMPUTED_VALUE"""),22.0)</f>
        <v>22</v>
      </c>
    </row>
    <row r="4124">
      <c r="A4124" s="178" t="str">
        <f>IFERROR(__xludf.DUMMYFUNCTION("""COMPUTED_VALUE"""),"ITBISA-IC-74HC595N-DIP16")</f>
        <v>ITBISA-IC-74HC595N-DIP16</v>
      </c>
      <c r="B4124" s="266">
        <f>IFERROR(__xludf.DUMMYFUNCTION("""COMPUTED_VALUE"""),45402.0)</f>
        <v>45402</v>
      </c>
      <c r="C4124" s="266" t="str">
        <f>IFERROR(__xludf.DUMMYFUNCTION("""COMPUTED_VALUE"""),"KYAI KONTONG")</f>
        <v>KYAI KONTONG</v>
      </c>
      <c r="D4124" s="186">
        <f>IFERROR(__xludf.DUMMYFUNCTION("""COMPUTED_VALUE"""),50.0)</f>
        <v>50</v>
      </c>
    </row>
    <row r="4125">
      <c r="A4125" s="178" t="str">
        <f>IFERROR(__xludf.DUMMYFUNCTION("""COMPUTED_VALUE"""),"ITBISA-IC-74HC595N-DIP16")</f>
        <v>ITBISA-IC-74HC595N-DIP16</v>
      </c>
      <c r="B4125" s="266">
        <f>IFERROR(__xludf.DUMMYFUNCTION("""COMPUTED_VALUE"""),45403.0)</f>
        <v>45403</v>
      </c>
      <c r="C4125" s="266" t="str">
        <f>IFERROR(__xludf.DUMMYFUNCTION("""COMPUTED_VALUE"""),"KERTASARI CIAMIS")</f>
        <v>KERTASARI CIAMIS</v>
      </c>
      <c r="D4125" s="186">
        <f>IFERROR(__xludf.DUMMYFUNCTION("""COMPUTED_VALUE"""),200.0)</f>
        <v>200</v>
      </c>
    </row>
    <row r="4126">
      <c r="A4126" s="178" t="str">
        <f>IFERROR(__xludf.DUMMYFUNCTION("""COMPUTED_VALUE"""),"ITBISA-IC-74HC595N-DIP16")</f>
        <v>ITBISA-IC-74HC595N-DIP16</v>
      </c>
      <c r="B4126" s="266">
        <f>IFERROR(__xludf.DUMMYFUNCTION("""COMPUTED_VALUE"""),45405.0)</f>
        <v>45405</v>
      </c>
      <c r="C4126" s="266" t="str">
        <f>IFERROR(__xludf.DUMMYFUNCTION("""COMPUTED_VALUE"""),"KERTASARI CIAMIS")</f>
        <v>KERTASARI CIAMIS</v>
      </c>
      <c r="D4126" s="186">
        <f>IFERROR(__xludf.DUMMYFUNCTION("""COMPUTED_VALUE"""),100.0)</f>
        <v>100</v>
      </c>
    </row>
    <row r="4127">
      <c r="A4127" s="178" t="str">
        <f>IFERROR(__xludf.DUMMYFUNCTION("""COMPUTED_VALUE"""),"ITBISA-IC-74HC595N-DIP16")</f>
        <v>ITBISA-IC-74HC595N-DIP16</v>
      </c>
      <c r="B4127" s="266">
        <f>IFERROR(__xludf.DUMMYFUNCTION("""COMPUTED_VALUE"""),45407.0)</f>
        <v>45407</v>
      </c>
      <c r="C4127" s="266" t="str">
        <f>IFERROR(__xludf.DUMMYFUNCTION("""COMPUTED_VALUE"""),"KERTASARI CIAMIS")</f>
        <v>KERTASARI CIAMIS</v>
      </c>
      <c r="D4127" s="186">
        <f>IFERROR(__xludf.DUMMYFUNCTION("""COMPUTED_VALUE"""),5.0)</f>
        <v>5</v>
      </c>
    </row>
    <row r="4128">
      <c r="A4128" s="178" t="str">
        <f>IFERROR(__xludf.DUMMYFUNCTION("""COMPUTED_VALUE"""),"ITBISA-IC-74HC595N-DIP16")</f>
        <v>ITBISA-IC-74HC595N-DIP16</v>
      </c>
      <c r="B4128" s="266">
        <f>IFERROR(__xludf.DUMMYFUNCTION("""COMPUTED_VALUE"""),45407.0)</f>
        <v>45407</v>
      </c>
      <c r="C4128" s="266" t="str">
        <f>IFERROR(__xludf.DUMMYFUNCTION("""COMPUTED_VALUE"""),"KERTASARI CIAMIS")</f>
        <v>KERTASARI CIAMIS</v>
      </c>
      <c r="D4128" s="186">
        <f>IFERROR(__xludf.DUMMYFUNCTION("""COMPUTED_VALUE"""),50.0)</f>
        <v>50</v>
      </c>
    </row>
    <row r="4129">
      <c r="A4129" s="178" t="str">
        <f>IFERROR(__xludf.DUMMYFUNCTION("""COMPUTED_VALUE"""),"ITBISA-IC-74HC595N-DIP16")</f>
        <v>ITBISA-IC-74HC595N-DIP16</v>
      </c>
      <c r="B4129" s="266">
        <f>IFERROR(__xludf.DUMMYFUNCTION("""COMPUTED_VALUE"""),45407.0)</f>
        <v>45407</v>
      </c>
      <c r="C4129" s="266" t="str">
        <f>IFERROR(__xludf.DUMMYFUNCTION("""COMPUTED_VALUE"""),"KYAI KONTONG")</f>
        <v>KYAI KONTONG</v>
      </c>
      <c r="D4129" s="186">
        <f>IFERROR(__xludf.DUMMYFUNCTION("""COMPUTED_VALUE"""),16.0)</f>
        <v>16</v>
      </c>
    </row>
    <row r="4130">
      <c r="A4130" s="178" t="str">
        <f>IFERROR(__xludf.DUMMYFUNCTION("""COMPUTED_VALUE"""),"ITBISA-IC-74HC595N-DIP16")</f>
        <v>ITBISA-IC-74HC595N-DIP16</v>
      </c>
      <c r="B4130" s="266">
        <f>IFERROR(__xludf.DUMMYFUNCTION("""COMPUTED_VALUE"""),45408.0)</f>
        <v>45408</v>
      </c>
      <c r="C4130" s="266" t="str">
        <f>IFERROR(__xludf.DUMMYFUNCTION("""COMPUTED_VALUE"""),"KERTASARI CIAMIS")</f>
        <v>KERTASARI CIAMIS</v>
      </c>
      <c r="D4130" s="186">
        <f>IFERROR(__xludf.DUMMYFUNCTION("""COMPUTED_VALUE"""),50.0)</f>
        <v>50</v>
      </c>
    </row>
    <row r="4131">
      <c r="A4131" s="178" t="str">
        <f>IFERROR(__xludf.DUMMYFUNCTION("""COMPUTED_VALUE"""),"ITBISA-IC-74HC595N-DIP16")</f>
        <v>ITBISA-IC-74HC595N-DIP16</v>
      </c>
      <c r="B4131" s="266">
        <f>IFERROR(__xludf.DUMMYFUNCTION("""COMPUTED_VALUE"""),45409.0)</f>
        <v>45409</v>
      </c>
      <c r="C4131" s="266" t="str">
        <f>IFERROR(__xludf.DUMMYFUNCTION("""COMPUTED_VALUE"""),"KERTASARI CIAMIS")</f>
        <v>KERTASARI CIAMIS</v>
      </c>
      <c r="D4131" s="186">
        <f>IFERROR(__xludf.DUMMYFUNCTION("""COMPUTED_VALUE"""),24.0)</f>
        <v>24</v>
      </c>
    </row>
    <row r="4132">
      <c r="A4132" s="178" t="str">
        <f>IFERROR(__xludf.DUMMYFUNCTION("""COMPUTED_VALUE"""),"ITBISA-IC-74HC595N-DIP16")</f>
        <v>ITBISA-IC-74HC595N-DIP16</v>
      </c>
      <c r="B4132" s="266">
        <f>IFERROR(__xludf.DUMMYFUNCTION("""COMPUTED_VALUE"""),45409.0)</f>
        <v>45409</v>
      </c>
      <c r="C4132" s="266" t="str">
        <f>IFERROR(__xludf.DUMMYFUNCTION("""COMPUTED_VALUE"""),"KERTASARI CIAMIS")</f>
        <v>KERTASARI CIAMIS</v>
      </c>
      <c r="D4132" s="186">
        <f>IFERROR(__xludf.DUMMYFUNCTION("""COMPUTED_VALUE"""),25.0)</f>
        <v>25</v>
      </c>
    </row>
    <row r="4133">
      <c r="A4133" s="178" t="str">
        <f>IFERROR(__xludf.DUMMYFUNCTION("""COMPUTED_VALUE"""),"ITBISA-IC-74HC595N-DIP16")</f>
        <v>ITBISA-IC-74HC595N-DIP16</v>
      </c>
      <c r="B4133" s="266">
        <f>IFERROR(__xludf.DUMMYFUNCTION("""COMPUTED_VALUE"""),45409.0)</f>
        <v>45409</v>
      </c>
      <c r="C4133" s="266" t="str">
        <f>IFERROR(__xludf.DUMMYFUNCTION("""COMPUTED_VALUE"""),"KYAI KONTONG")</f>
        <v>KYAI KONTONG</v>
      </c>
      <c r="D4133" s="186">
        <f>IFERROR(__xludf.DUMMYFUNCTION("""COMPUTED_VALUE"""),200.0)</f>
        <v>200</v>
      </c>
    </row>
    <row r="4134">
      <c r="A4134" s="178" t="str">
        <f>IFERROR(__xludf.DUMMYFUNCTION("""COMPUTED_VALUE"""),"ITBISA-IC-74HC595N-DIP16")</f>
        <v>ITBISA-IC-74HC595N-DIP16</v>
      </c>
      <c r="B4134" s="266">
        <f>IFERROR(__xludf.DUMMYFUNCTION("""COMPUTED_VALUE"""),45410.0)</f>
        <v>45410</v>
      </c>
      <c r="C4134" s="266" t="str">
        <f>IFERROR(__xludf.DUMMYFUNCTION("""COMPUTED_VALUE"""),"KERTASARI CIAMIS")</f>
        <v>KERTASARI CIAMIS</v>
      </c>
      <c r="D4134" s="186">
        <f>IFERROR(__xludf.DUMMYFUNCTION("""COMPUTED_VALUE"""),25.0)</f>
        <v>25</v>
      </c>
    </row>
    <row r="4135">
      <c r="A4135" s="178" t="str">
        <f>IFERROR(__xludf.DUMMYFUNCTION("""COMPUTED_VALUE"""),"ITBISA-IC-74HC595N-DIP16")</f>
        <v>ITBISA-IC-74HC595N-DIP16</v>
      </c>
      <c r="B4135" s="266">
        <f>IFERROR(__xludf.DUMMYFUNCTION("""COMPUTED_VALUE"""),45411.0)</f>
        <v>45411</v>
      </c>
      <c r="C4135" s="266" t="str">
        <f>IFERROR(__xludf.DUMMYFUNCTION("""COMPUTED_VALUE"""),"KERTASARI CIAMIS")</f>
        <v>KERTASARI CIAMIS</v>
      </c>
      <c r="D4135" s="186">
        <f>IFERROR(__xludf.DUMMYFUNCTION("""COMPUTED_VALUE"""),10.0)</f>
        <v>10</v>
      </c>
    </row>
    <row r="4136">
      <c r="A4136" s="178" t="str">
        <f>IFERROR(__xludf.DUMMYFUNCTION("""COMPUTED_VALUE"""),"ITBISA-IC-74HC595N-DIP16")</f>
        <v>ITBISA-IC-74HC595N-DIP16</v>
      </c>
      <c r="B4136" s="266">
        <f>IFERROR(__xludf.DUMMYFUNCTION("""COMPUTED_VALUE"""),45413.0)</f>
        <v>45413</v>
      </c>
      <c r="C4136" s="266" t="str">
        <f>IFERROR(__xludf.DUMMYFUNCTION("""COMPUTED_VALUE"""),"KERTASARI CIAMIS")</f>
        <v>KERTASARI CIAMIS</v>
      </c>
      <c r="D4136" s="186">
        <f>IFERROR(__xludf.DUMMYFUNCTION("""COMPUTED_VALUE"""),100.0)</f>
        <v>100</v>
      </c>
    </row>
    <row r="4137">
      <c r="A4137" s="178" t="str">
        <f>IFERROR(__xludf.DUMMYFUNCTION("""COMPUTED_VALUE"""),"ITBISA-IC-74HC595N-DIP16")</f>
        <v>ITBISA-IC-74HC595N-DIP16</v>
      </c>
      <c r="B4137" s="266">
        <f>IFERROR(__xludf.DUMMYFUNCTION("""COMPUTED_VALUE"""),45417.0)</f>
        <v>45417</v>
      </c>
      <c r="C4137" s="266" t="str">
        <f>IFERROR(__xludf.DUMMYFUNCTION("""COMPUTED_VALUE"""),"KERTASARI CIAMIS")</f>
        <v>KERTASARI CIAMIS</v>
      </c>
      <c r="D4137" s="186">
        <f>IFERROR(__xludf.DUMMYFUNCTION("""COMPUTED_VALUE"""),50.0)</f>
        <v>50</v>
      </c>
    </row>
    <row r="4138">
      <c r="A4138" s="178" t="str">
        <f>IFERROR(__xludf.DUMMYFUNCTION("""COMPUTED_VALUE"""),"ITBISA-IC-74HC595N-DIP16")</f>
        <v>ITBISA-IC-74HC595N-DIP16</v>
      </c>
      <c r="B4138" s="266">
        <f>IFERROR(__xludf.DUMMYFUNCTION("""COMPUTED_VALUE"""),45418.0)</f>
        <v>45418</v>
      </c>
      <c r="C4138" s="266" t="str">
        <f>IFERROR(__xludf.DUMMYFUNCTION("""COMPUTED_VALUE"""),"KERTASARI CIAMIS")</f>
        <v>KERTASARI CIAMIS</v>
      </c>
      <c r="D4138" s="186">
        <f>IFERROR(__xludf.DUMMYFUNCTION("""COMPUTED_VALUE"""),100.0)</f>
        <v>100</v>
      </c>
    </row>
    <row r="4139">
      <c r="A4139" s="178" t="str">
        <f>IFERROR(__xludf.DUMMYFUNCTION("""COMPUTED_VALUE"""),"ITBISA-IC-74HC595N-DIP16")</f>
        <v>ITBISA-IC-74HC595N-DIP16</v>
      </c>
      <c r="B4139" s="266">
        <f>IFERROR(__xludf.DUMMYFUNCTION("""COMPUTED_VALUE"""),45420.0)</f>
        <v>45420</v>
      </c>
      <c r="C4139" s="266" t="str">
        <f>IFERROR(__xludf.DUMMYFUNCTION("""COMPUTED_VALUE"""),"KERTASARI CIAMIS")</f>
        <v>KERTASARI CIAMIS</v>
      </c>
      <c r="D4139" s="186">
        <f>IFERROR(__xludf.DUMMYFUNCTION("""COMPUTED_VALUE"""),100.0)</f>
        <v>100</v>
      </c>
    </row>
    <row r="4140">
      <c r="A4140" s="178" t="str">
        <f>IFERROR(__xludf.DUMMYFUNCTION("""COMPUTED_VALUE"""),"ITBISA-IC-74HC595N-DIP16")</f>
        <v>ITBISA-IC-74HC595N-DIP16</v>
      </c>
      <c r="B4140" s="266">
        <f>IFERROR(__xludf.DUMMYFUNCTION("""COMPUTED_VALUE"""),45420.0)</f>
        <v>45420</v>
      </c>
      <c r="C4140" s="266" t="str">
        <f>IFERROR(__xludf.DUMMYFUNCTION("""COMPUTED_VALUE"""),"KYAI KONTONG")</f>
        <v>KYAI KONTONG</v>
      </c>
      <c r="D4140" s="186">
        <f>IFERROR(__xludf.DUMMYFUNCTION("""COMPUTED_VALUE"""),250.0)</f>
        <v>250</v>
      </c>
    </row>
    <row r="4141">
      <c r="A4141" s="178" t="str">
        <f>IFERROR(__xludf.DUMMYFUNCTION("""COMPUTED_VALUE"""),"ITBISA-IC-74HC595N-DIP16")</f>
        <v>ITBISA-IC-74HC595N-DIP16</v>
      </c>
      <c r="B4141" s="266">
        <f>IFERROR(__xludf.DUMMYFUNCTION("""COMPUTED_VALUE"""),45422.0)</f>
        <v>45422</v>
      </c>
      <c r="C4141" s="266" t="str">
        <f>IFERROR(__xludf.DUMMYFUNCTION("""COMPUTED_VALUE"""),"KYAI KONTONG")</f>
        <v>KYAI KONTONG</v>
      </c>
      <c r="D4141" s="186">
        <f>IFERROR(__xludf.DUMMYFUNCTION("""COMPUTED_VALUE"""),10.0)</f>
        <v>10</v>
      </c>
    </row>
    <row r="4142">
      <c r="A4142" s="178" t="str">
        <f>IFERROR(__xludf.DUMMYFUNCTION("""COMPUTED_VALUE"""),"ITBISA-IC-74HC595N-DIP16")</f>
        <v>ITBISA-IC-74HC595N-DIP16</v>
      </c>
      <c r="B4142" s="266">
        <f>IFERROR(__xludf.DUMMYFUNCTION("""COMPUTED_VALUE"""),45425.0)</f>
        <v>45425</v>
      </c>
      <c r="C4142" s="266" t="str">
        <f>IFERROR(__xludf.DUMMYFUNCTION("""COMPUTED_VALUE"""),"KYAI KONTONG")</f>
        <v>KYAI KONTONG</v>
      </c>
      <c r="D4142" s="186">
        <f>IFERROR(__xludf.DUMMYFUNCTION("""COMPUTED_VALUE"""),350.0)</f>
        <v>350</v>
      </c>
    </row>
    <row r="4143">
      <c r="A4143" s="178" t="str">
        <f>IFERROR(__xludf.DUMMYFUNCTION("""COMPUTED_VALUE"""),"ITBISA-IC-74HC595N-DIP16")</f>
        <v>ITBISA-IC-74HC595N-DIP16</v>
      </c>
      <c r="B4143" s="266">
        <f>IFERROR(__xludf.DUMMYFUNCTION("""COMPUTED_VALUE"""),45428.0)</f>
        <v>45428</v>
      </c>
      <c r="C4143" s="266" t="str">
        <f>IFERROR(__xludf.DUMMYFUNCTION("""COMPUTED_VALUE"""),"KERTASARI CIAMIS")</f>
        <v>KERTASARI CIAMIS</v>
      </c>
      <c r="D4143" s="186">
        <f>IFERROR(__xludf.DUMMYFUNCTION("""COMPUTED_VALUE"""),12.0)</f>
        <v>12</v>
      </c>
    </row>
    <row r="4144">
      <c r="A4144" s="178" t="str">
        <f>IFERROR(__xludf.DUMMYFUNCTION("""COMPUTED_VALUE"""),"ITBISA-IC-74HC595N-DIP16")</f>
        <v>ITBISA-IC-74HC595N-DIP16</v>
      </c>
      <c r="B4144" s="266">
        <f>IFERROR(__xludf.DUMMYFUNCTION("""COMPUTED_VALUE"""),45428.0)</f>
        <v>45428</v>
      </c>
      <c r="C4144" s="266" t="str">
        <f>IFERROR(__xludf.DUMMYFUNCTION("""COMPUTED_VALUE"""),"KERTASARI CIAMIS")</f>
        <v>KERTASARI CIAMIS</v>
      </c>
      <c r="D4144" s="186">
        <f>IFERROR(__xludf.DUMMYFUNCTION("""COMPUTED_VALUE"""),150.0)</f>
        <v>150</v>
      </c>
    </row>
    <row r="4145">
      <c r="A4145" s="178" t="str">
        <f>IFERROR(__xludf.DUMMYFUNCTION("""COMPUTED_VALUE"""),"ITBISA-IC-74HC595N-DIP16")</f>
        <v>ITBISA-IC-74HC595N-DIP16</v>
      </c>
      <c r="B4145" s="266">
        <f>IFERROR(__xludf.DUMMYFUNCTION("""COMPUTED_VALUE"""),45431.0)</f>
        <v>45431</v>
      </c>
      <c r="C4145" s="266" t="str">
        <f>IFERROR(__xludf.DUMMYFUNCTION("""COMPUTED_VALUE"""),"KYAI KONTONG")</f>
        <v>KYAI KONTONG</v>
      </c>
      <c r="D4145" s="186">
        <f>IFERROR(__xludf.DUMMYFUNCTION("""COMPUTED_VALUE"""),12.0)</f>
        <v>12</v>
      </c>
    </row>
    <row r="4146">
      <c r="A4146" s="178" t="str">
        <f>IFERROR(__xludf.DUMMYFUNCTION("""COMPUTED_VALUE"""),"ITBISA-IC-74HC595N-DIP16")</f>
        <v>ITBISA-IC-74HC595N-DIP16</v>
      </c>
      <c r="B4146" s="266">
        <f>IFERROR(__xludf.DUMMYFUNCTION("""COMPUTED_VALUE"""),45435.0)</f>
        <v>45435</v>
      </c>
      <c r="C4146" s="266" t="str">
        <f>IFERROR(__xludf.DUMMYFUNCTION("""COMPUTED_VALUE"""),"KERTASARI CIAMIS")</f>
        <v>KERTASARI CIAMIS</v>
      </c>
      <c r="D4146" s="186">
        <f>IFERROR(__xludf.DUMMYFUNCTION("""COMPUTED_VALUE"""),100.0)</f>
        <v>100</v>
      </c>
    </row>
    <row r="4147">
      <c r="A4147" s="178" t="str">
        <f>IFERROR(__xludf.DUMMYFUNCTION("""COMPUTED_VALUE"""),"ITBISA-IC-74HC595N-DIP16")</f>
        <v>ITBISA-IC-74HC595N-DIP16</v>
      </c>
      <c r="B4147" s="266">
        <f>IFERROR(__xludf.DUMMYFUNCTION("""COMPUTED_VALUE"""),45439.0)</f>
        <v>45439</v>
      </c>
      <c r="C4147" s="266" t="str">
        <f>IFERROR(__xludf.DUMMYFUNCTION("""COMPUTED_VALUE"""),"KYAI KONTONG")</f>
        <v>KYAI KONTONG</v>
      </c>
      <c r="D4147" s="186">
        <f>IFERROR(__xludf.DUMMYFUNCTION("""COMPUTED_VALUE"""),1.0)</f>
        <v>1</v>
      </c>
    </row>
    <row r="4148">
      <c r="A4148" s="178" t="str">
        <f>IFERROR(__xludf.DUMMYFUNCTION("""COMPUTED_VALUE"""),"ITBISA-IC-74HC595N-DIP16")</f>
        <v>ITBISA-IC-74HC595N-DIP16</v>
      </c>
      <c r="B4148" s="266">
        <f>IFERROR(__xludf.DUMMYFUNCTION("""COMPUTED_VALUE"""),45441.0)</f>
        <v>45441</v>
      </c>
      <c r="C4148" s="266" t="str">
        <f>IFERROR(__xludf.DUMMYFUNCTION("""COMPUTED_VALUE"""),"KERTASARI CIAMIS")</f>
        <v>KERTASARI CIAMIS</v>
      </c>
      <c r="D4148" s="186">
        <f>IFERROR(__xludf.DUMMYFUNCTION("""COMPUTED_VALUE"""),100.0)</f>
        <v>100</v>
      </c>
    </row>
    <row r="4149">
      <c r="A4149" s="178" t="str">
        <f>IFERROR(__xludf.DUMMYFUNCTION("""COMPUTED_VALUE"""),"ITBISA-IC-74HC595N-DIP16")</f>
        <v>ITBISA-IC-74HC595N-DIP16</v>
      </c>
      <c r="B4149" s="266">
        <f>IFERROR(__xludf.DUMMYFUNCTION("""COMPUTED_VALUE"""),45442.0)</f>
        <v>45442</v>
      </c>
      <c r="C4149" s="266" t="str">
        <f>IFERROR(__xludf.DUMMYFUNCTION("""COMPUTED_VALUE"""),"KERTASARI CIAMIS")</f>
        <v>KERTASARI CIAMIS</v>
      </c>
      <c r="D4149" s="186">
        <f>IFERROR(__xludf.DUMMYFUNCTION("""COMPUTED_VALUE"""),2550.0)</f>
        <v>2550</v>
      </c>
    </row>
    <row r="4150">
      <c r="A4150" s="178" t="str">
        <f>IFERROR(__xludf.DUMMYFUNCTION("""COMPUTED_VALUE"""),"ITBISA-IC-74HC595N-DIP16")</f>
        <v>ITBISA-IC-74HC595N-DIP16</v>
      </c>
      <c r="B4150" s="266">
        <f>IFERROR(__xludf.DUMMYFUNCTION("""COMPUTED_VALUE"""),45447.0)</f>
        <v>45447</v>
      </c>
      <c r="C4150" s="266" t="str">
        <f>IFERROR(__xludf.DUMMYFUNCTION("""COMPUTED_VALUE"""),"KERTASARI CIAMIS")</f>
        <v>KERTASARI CIAMIS</v>
      </c>
      <c r="D4150" s="186">
        <f>IFERROR(__xludf.DUMMYFUNCTION("""COMPUTED_VALUE"""),100.0)</f>
        <v>100</v>
      </c>
    </row>
    <row r="4151">
      <c r="A4151" s="178" t="str">
        <f>IFERROR(__xludf.DUMMYFUNCTION("""COMPUTED_VALUE"""),"ITBISA-IC-74HC595N-DIP16")</f>
        <v>ITBISA-IC-74HC595N-DIP16</v>
      </c>
      <c r="B4151" s="266">
        <f>IFERROR(__xludf.DUMMYFUNCTION("""COMPUTED_VALUE"""),45449.0)</f>
        <v>45449</v>
      </c>
      <c r="C4151" s="266" t="str">
        <f>IFERROR(__xludf.DUMMYFUNCTION("""COMPUTED_VALUE"""),"KYAI KONTONG")</f>
        <v>KYAI KONTONG</v>
      </c>
      <c r="D4151" s="186">
        <f>IFERROR(__xludf.DUMMYFUNCTION("""COMPUTED_VALUE"""),50.0)</f>
        <v>50</v>
      </c>
    </row>
    <row r="4152">
      <c r="A4152" s="178" t="str">
        <f>IFERROR(__xludf.DUMMYFUNCTION("""COMPUTED_VALUE"""),"ITBISA-IC-74HC595N-DIP16")</f>
        <v>ITBISA-IC-74HC595N-DIP16</v>
      </c>
      <c r="B4152" s="266">
        <f>IFERROR(__xludf.DUMMYFUNCTION("""COMPUTED_VALUE"""),45450.0)</f>
        <v>45450</v>
      </c>
      <c r="C4152" s="266" t="str">
        <f>IFERROR(__xludf.DUMMYFUNCTION("""COMPUTED_VALUE"""),"KERTASARI CIAMIS")</f>
        <v>KERTASARI CIAMIS</v>
      </c>
      <c r="D4152" s="186">
        <f>IFERROR(__xludf.DUMMYFUNCTION("""COMPUTED_VALUE"""),2.0)</f>
        <v>2</v>
      </c>
    </row>
    <row r="4153">
      <c r="A4153" s="178" t="str">
        <f>IFERROR(__xludf.DUMMYFUNCTION("""COMPUTED_VALUE"""),"ITBISA-IC-74HC595N-DIP16")</f>
        <v>ITBISA-IC-74HC595N-DIP16</v>
      </c>
      <c r="B4153" s="266">
        <f>IFERROR(__xludf.DUMMYFUNCTION("""COMPUTED_VALUE"""),45451.0)</f>
        <v>45451</v>
      </c>
      <c r="C4153" s="266" t="str">
        <f>IFERROR(__xludf.DUMMYFUNCTION("""COMPUTED_VALUE"""),"KERTASARI CIAMIS")</f>
        <v>KERTASARI CIAMIS</v>
      </c>
      <c r="D4153" s="186">
        <f>IFERROR(__xludf.DUMMYFUNCTION("""COMPUTED_VALUE"""),40.0)</f>
        <v>40</v>
      </c>
    </row>
    <row r="4154">
      <c r="A4154" s="178" t="str">
        <f>IFERROR(__xludf.DUMMYFUNCTION("""COMPUTED_VALUE"""),"ITBISA-IC-74HC595N-DIP16")</f>
        <v>ITBISA-IC-74HC595N-DIP16</v>
      </c>
      <c r="B4154" s="266">
        <f>IFERROR(__xludf.DUMMYFUNCTION("""COMPUTED_VALUE"""),45451.0)</f>
        <v>45451</v>
      </c>
      <c r="C4154" s="266" t="str">
        <f>IFERROR(__xludf.DUMMYFUNCTION("""COMPUTED_VALUE"""),"KERTASARI CIAMIS")</f>
        <v>KERTASARI CIAMIS</v>
      </c>
      <c r="D4154" s="186">
        <f>IFERROR(__xludf.DUMMYFUNCTION("""COMPUTED_VALUE"""),50.0)</f>
        <v>50</v>
      </c>
    </row>
    <row r="4155">
      <c r="A4155" s="178" t="str">
        <f>IFERROR(__xludf.DUMMYFUNCTION("""COMPUTED_VALUE"""),"ITBISA-IC-74HC595N-DIP16")</f>
        <v>ITBISA-IC-74HC595N-DIP16</v>
      </c>
      <c r="B4155" s="266">
        <f>IFERROR(__xludf.DUMMYFUNCTION("""COMPUTED_VALUE"""),45452.0)</f>
        <v>45452</v>
      </c>
      <c r="C4155" s="266" t="str">
        <f>IFERROR(__xludf.DUMMYFUNCTION("""COMPUTED_VALUE"""),"KYAI KONTONG")</f>
        <v>KYAI KONTONG</v>
      </c>
      <c r="D4155" s="186">
        <f>IFERROR(__xludf.DUMMYFUNCTION("""COMPUTED_VALUE"""),5000.0)</f>
        <v>5000</v>
      </c>
    </row>
    <row r="4156">
      <c r="A4156" s="178" t="str">
        <f>IFERROR(__xludf.DUMMYFUNCTION("""COMPUTED_VALUE"""),"ITBISA-IC-74HC595N-DIP16")</f>
        <v>ITBISA-IC-74HC595N-DIP16</v>
      </c>
      <c r="B4156" s="266">
        <f>IFERROR(__xludf.DUMMYFUNCTION("""COMPUTED_VALUE"""),45453.0)</f>
        <v>45453</v>
      </c>
      <c r="C4156" s="266" t="str">
        <f>IFERROR(__xludf.DUMMYFUNCTION("""COMPUTED_VALUE"""),"KERTASARI CIAMIS")</f>
        <v>KERTASARI CIAMIS</v>
      </c>
      <c r="D4156" s="186">
        <f>IFERROR(__xludf.DUMMYFUNCTION("""COMPUTED_VALUE"""),250.0)</f>
        <v>250</v>
      </c>
    </row>
    <row r="4157">
      <c r="A4157" s="178" t="str">
        <f>IFERROR(__xludf.DUMMYFUNCTION("""COMPUTED_VALUE"""),"ITBISA-IC-74HC595N-DIP16")</f>
        <v>ITBISA-IC-74HC595N-DIP16</v>
      </c>
      <c r="B4157" s="266">
        <f>IFERROR(__xludf.DUMMYFUNCTION("""COMPUTED_VALUE"""),45456.0)</f>
        <v>45456</v>
      </c>
      <c r="C4157" s="266" t="str">
        <f>IFERROR(__xludf.DUMMYFUNCTION("""COMPUTED_VALUE"""),"KYAI KONTONG")</f>
        <v>KYAI KONTONG</v>
      </c>
      <c r="D4157" s="186">
        <f>IFERROR(__xludf.DUMMYFUNCTION("""COMPUTED_VALUE"""),12.0)</f>
        <v>12</v>
      </c>
    </row>
    <row r="4158">
      <c r="A4158" s="178" t="str">
        <f>IFERROR(__xludf.DUMMYFUNCTION("""COMPUTED_VALUE"""),"ITBISA-IC-74HC595N-DIP16")</f>
        <v>ITBISA-IC-74HC595N-DIP16</v>
      </c>
      <c r="B4158" s="266">
        <f>IFERROR(__xludf.DUMMYFUNCTION("""COMPUTED_VALUE"""),45457.0)</f>
        <v>45457</v>
      </c>
      <c r="C4158" s="266" t="str">
        <f>IFERROR(__xludf.DUMMYFUNCTION("""COMPUTED_VALUE"""),"KERTASARI CIAMIS")</f>
        <v>KERTASARI CIAMIS</v>
      </c>
      <c r="D4158" s="186">
        <f>IFERROR(__xludf.DUMMYFUNCTION("""COMPUTED_VALUE"""),10.0)</f>
        <v>10</v>
      </c>
    </row>
    <row r="4159">
      <c r="A4159" s="178" t="str">
        <f>IFERROR(__xludf.DUMMYFUNCTION("""COMPUTED_VALUE"""),"ITBISA-IC-74HC595N-DIP16")</f>
        <v>ITBISA-IC-74HC595N-DIP16</v>
      </c>
      <c r="B4159" s="266">
        <f>IFERROR(__xludf.DUMMYFUNCTION("""COMPUTED_VALUE"""),45458.0)</f>
        <v>45458</v>
      </c>
      <c r="C4159" s="266" t="str">
        <f>IFERROR(__xludf.DUMMYFUNCTION("""COMPUTED_VALUE"""),"KYAI KONTONG")</f>
        <v>KYAI KONTONG</v>
      </c>
      <c r="D4159" s="186">
        <f>IFERROR(__xludf.DUMMYFUNCTION("""COMPUTED_VALUE"""),10.0)</f>
        <v>10</v>
      </c>
    </row>
    <row r="4160">
      <c r="A4160" s="178" t="str">
        <f>IFERROR(__xludf.DUMMYFUNCTION("""COMPUTED_VALUE"""),"ITBISA-IC-74HC595N-DIP16")</f>
        <v>ITBISA-IC-74HC595N-DIP16</v>
      </c>
      <c r="B4160" s="266">
        <f>IFERROR(__xludf.DUMMYFUNCTION("""COMPUTED_VALUE"""),45461.0)</f>
        <v>45461</v>
      </c>
      <c r="C4160" s="266" t="str">
        <f>IFERROR(__xludf.DUMMYFUNCTION("""COMPUTED_VALUE"""),"KERTASARI CIAMIS")</f>
        <v>KERTASARI CIAMIS</v>
      </c>
      <c r="D4160" s="186">
        <f>IFERROR(__xludf.DUMMYFUNCTION("""COMPUTED_VALUE"""),10.0)</f>
        <v>10</v>
      </c>
    </row>
    <row r="4161">
      <c r="A4161" s="178" t="str">
        <f>IFERROR(__xludf.DUMMYFUNCTION("""COMPUTED_VALUE"""),"ITBISA-IC-74HC595N-DIP16")</f>
        <v>ITBISA-IC-74HC595N-DIP16</v>
      </c>
      <c r="B4161" s="266">
        <f>IFERROR(__xludf.DUMMYFUNCTION("""COMPUTED_VALUE"""),45461.0)</f>
        <v>45461</v>
      </c>
      <c r="C4161" s="266" t="str">
        <f>IFERROR(__xludf.DUMMYFUNCTION("""COMPUTED_VALUE"""),"KERTASARI CIAMIS")</f>
        <v>KERTASARI CIAMIS</v>
      </c>
      <c r="D4161" s="186">
        <f>IFERROR(__xludf.DUMMYFUNCTION("""COMPUTED_VALUE"""),20.0)</f>
        <v>20</v>
      </c>
    </row>
    <row r="4162">
      <c r="A4162" s="178" t="str">
        <f>IFERROR(__xludf.DUMMYFUNCTION("""COMPUTED_VALUE"""),"ITBISA-IC-74HC595N-DIP16")</f>
        <v>ITBISA-IC-74HC595N-DIP16</v>
      </c>
      <c r="B4162" s="266">
        <f>IFERROR(__xludf.DUMMYFUNCTION("""COMPUTED_VALUE"""),45461.0)</f>
        <v>45461</v>
      </c>
      <c r="C4162" s="266" t="str">
        <f>IFERROR(__xludf.DUMMYFUNCTION("""COMPUTED_VALUE"""),"KERTASARI CIAMIS")</f>
        <v>KERTASARI CIAMIS</v>
      </c>
      <c r="D4162" s="186">
        <f>IFERROR(__xludf.DUMMYFUNCTION("""COMPUTED_VALUE"""),50.0)</f>
        <v>50</v>
      </c>
    </row>
    <row r="4163">
      <c r="A4163" s="178" t="str">
        <f>IFERROR(__xludf.DUMMYFUNCTION("""COMPUTED_VALUE"""),"ITBISA-IC-74HC595N-DIP16")</f>
        <v>ITBISA-IC-74HC595N-DIP16</v>
      </c>
      <c r="B4163" s="266">
        <f>IFERROR(__xludf.DUMMYFUNCTION("""COMPUTED_VALUE"""),45462.0)</f>
        <v>45462</v>
      </c>
      <c r="C4163" s="266" t="str">
        <f>IFERROR(__xludf.DUMMYFUNCTION("""COMPUTED_VALUE"""),"KERTASARI CIAMIS")</f>
        <v>KERTASARI CIAMIS</v>
      </c>
      <c r="D4163" s="186">
        <f>IFERROR(__xludf.DUMMYFUNCTION("""COMPUTED_VALUE"""),25.0)</f>
        <v>25</v>
      </c>
    </row>
    <row r="4164">
      <c r="A4164" s="178" t="str">
        <f>IFERROR(__xludf.DUMMYFUNCTION("""COMPUTED_VALUE"""),"ITBISA-IC-74HC595N-DIP16")</f>
        <v>ITBISA-IC-74HC595N-DIP16</v>
      </c>
      <c r="B4164" s="266">
        <f>IFERROR(__xludf.DUMMYFUNCTION("""COMPUTED_VALUE"""),45462.0)</f>
        <v>45462</v>
      </c>
      <c r="C4164" s="266" t="str">
        <f>IFERROR(__xludf.DUMMYFUNCTION("""COMPUTED_VALUE"""),"KYAI KONTONG")</f>
        <v>KYAI KONTONG</v>
      </c>
      <c r="D4164" s="186">
        <f>IFERROR(__xludf.DUMMYFUNCTION("""COMPUTED_VALUE"""),10.0)</f>
        <v>10</v>
      </c>
    </row>
    <row r="4165">
      <c r="A4165" s="178" t="str">
        <f>IFERROR(__xludf.DUMMYFUNCTION("""COMPUTED_VALUE"""),"ITBISA-IC-74HC595N-DIP16")</f>
        <v>ITBISA-IC-74HC595N-DIP16</v>
      </c>
      <c r="B4165" s="266">
        <f>IFERROR(__xludf.DUMMYFUNCTION("""COMPUTED_VALUE"""),45462.0)</f>
        <v>45462</v>
      </c>
      <c r="C4165" s="266" t="str">
        <f>IFERROR(__xludf.DUMMYFUNCTION("""COMPUTED_VALUE"""),"KYAI KONTONG")</f>
        <v>KYAI KONTONG</v>
      </c>
      <c r="D4165" s="186">
        <f>IFERROR(__xludf.DUMMYFUNCTION("""COMPUTED_VALUE"""),12.0)</f>
        <v>12</v>
      </c>
    </row>
    <row r="4166">
      <c r="A4166" s="178" t="str">
        <f>IFERROR(__xludf.DUMMYFUNCTION("""COMPUTED_VALUE"""),"ITBISA-IC-74HC595N-DIP16")</f>
        <v>ITBISA-IC-74HC595N-DIP16</v>
      </c>
      <c r="B4166" s="266">
        <f>IFERROR(__xludf.DUMMYFUNCTION("""COMPUTED_VALUE"""),45463.0)</f>
        <v>45463</v>
      </c>
      <c r="C4166" s="266" t="str">
        <f>IFERROR(__xludf.DUMMYFUNCTION("""COMPUTED_VALUE"""),"KERTASARI CIAMIS")</f>
        <v>KERTASARI CIAMIS</v>
      </c>
      <c r="D4166" s="186">
        <f>IFERROR(__xludf.DUMMYFUNCTION("""COMPUTED_VALUE"""),250.0)</f>
        <v>250</v>
      </c>
    </row>
    <row r="4167">
      <c r="A4167" s="178" t="str">
        <f>IFERROR(__xludf.DUMMYFUNCTION("""COMPUTED_VALUE"""),"ITBISA-IC-74HC595N-DIP16")</f>
        <v>ITBISA-IC-74HC595N-DIP16</v>
      </c>
      <c r="B4167" s="266">
        <f>IFERROR(__xludf.DUMMYFUNCTION("""COMPUTED_VALUE"""),45467.0)</f>
        <v>45467</v>
      </c>
      <c r="C4167" s="266" t="str">
        <f>IFERROR(__xludf.DUMMYFUNCTION("""COMPUTED_VALUE"""),"KERTASARI CIAMIS")</f>
        <v>KERTASARI CIAMIS</v>
      </c>
      <c r="D4167" s="186">
        <f>IFERROR(__xludf.DUMMYFUNCTION("""COMPUTED_VALUE"""),150.0)</f>
        <v>150</v>
      </c>
    </row>
    <row r="4168">
      <c r="A4168" s="178" t="str">
        <f>IFERROR(__xludf.DUMMYFUNCTION("""COMPUTED_VALUE"""),"ITBISA-IC-74HC595N-DIP16")</f>
        <v>ITBISA-IC-74HC595N-DIP16</v>
      </c>
      <c r="B4168" s="266">
        <f>IFERROR(__xludf.DUMMYFUNCTION("""COMPUTED_VALUE"""),45473.0)</f>
        <v>45473</v>
      </c>
      <c r="C4168" s="266" t="str">
        <f>IFERROR(__xludf.DUMMYFUNCTION("""COMPUTED_VALUE"""),"KERTASARI CIAMIS")</f>
        <v>KERTASARI CIAMIS</v>
      </c>
      <c r="D4168" s="186">
        <f>IFERROR(__xludf.DUMMYFUNCTION("""COMPUTED_VALUE"""),250.0)</f>
        <v>250</v>
      </c>
    </row>
    <row r="4169">
      <c r="A4169" s="178" t="str">
        <f>IFERROR(__xludf.DUMMYFUNCTION("""COMPUTED_VALUE"""),"ITBISA-IC-74HC595N-DIP16")</f>
        <v>ITBISA-IC-74HC595N-DIP16</v>
      </c>
      <c r="B4169" s="266">
        <f>IFERROR(__xludf.DUMMYFUNCTION("""COMPUTED_VALUE"""),45474.0)</f>
        <v>45474</v>
      </c>
      <c r="C4169" s="266" t="str">
        <f>IFERROR(__xludf.DUMMYFUNCTION("""COMPUTED_VALUE"""),"KYAI KONTONG")</f>
        <v>KYAI KONTONG</v>
      </c>
      <c r="D4169" s="186">
        <f>IFERROR(__xludf.DUMMYFUNCTION("""COMPUTED_VALUE"""),100.0)</f>
        <v>100</v>
      </c>
    </row>
    <row r="4170">
      <c r="A4170" s="178" t="str">
        <f>IFERROR(__xludf.DUMMYFUNCTION("""COMPUTED_VALUE"""),"ITBISA-IC-74HC595N-DIP16")</f>
        <v>ITBISA-IC-74HC595N-DIP16</v>
      </c>
      <c r="B4170" s="266">
        <f>IFERROR(__xludf.DUMMYFUNCTION("""COMPUTED_VALUE"""),45480.0)</f>
        <v>45480</v>
      </c>
      <c r="C4170" s="266" t="str">
        <f>IFERROR(__xludf.DUMMYFUNCTION("""COMPUTED_VALUE"""),"KERTASARI CIAMIS")</f>
        <v>KERTASARI CIAMIS</v>
      </c>
      <c r="D4170" s="186">
        <f>IFERROR(__xludf.DUMMYFUNCTION("""COMPUTED_VALUE"""),20.0)</f>
        <v>20</v>
      </c>
    </row>
    <row r="4171">
      <c r="A4171" s="178" t="str">
        <f>IFERROR(__xludf.DUMMYFUNCTION("""COMPUTED_VALUE"""),"ITBISA-IC-74HC595N-DIP16")</f>
        <v>ITBISA-IC-74HC595N-DIP16</v>
      </c>
      <c r="B4171" s="266">
        <f>IFERROR(__xludf.DUMMYFUNCTION("""COMPUTED_VALUE"""),45483.0)</f>
        <v>45483</v>
      </c>
      <c r="C4171" s="266" t="str">
        <f>IFERROR(__xludf.DUMMYFUNCTION("""COMPUTED_VALUE"""),"KYAI KONTONG")</f>
        <v>KYAI KONTONG</v>
      </c>
      <c r="D4171" s="186">
        <f>IFERROR(__xludf.DUMMYFUNCTION("""COMPUTED_VALUE"""),100.0)</f>
        <v>100</v>
      </c>
    </row>
    <row r="4172">
      <c r="A4172" s="178" t="str">
        <f>IFERROR(__xludf.DUMMYFUNCTION("""COMPUTED_VALUE"""),"ITBISA-IC-74HC595N-DIP16")</f>
        <v>ITBISA-IC-74HC595N-DIP16</v>
      </c>
      <c r="B4172" s="266">
        <f>IFERROR(__xludf.DUMMYFUNCTION("""COMPUTED_VALUE"""),45486.0)</f>
        <v>45486</v>
      </c>
      <c r="C4172" s="266" t="str">
        <f>IFERROR(__xludf.DUMMYFUNCTION("""COMPUTED_VALUE"""),"KERTASARI CIAMIS")</f>
        <v>KERTASARI CIAMIS</v>
      </c>
      <c r="D4172" s="186">
        <f>IFERROR(__xludf.DUMMYFUNCTION("""COMPUTED_VALUE"""),3.0)</f>
        <v>3</v>
      </c>
    </row>
    <row r="4173">
      <c r="A4173" s="178" t="str">
        <f>IFERROR(__xludf.DUMMYFUNCTION("""COMPUTED_VALUE"""),"ITBISA-IC-74HC595N-DIP16")</f>
        <v>ITBISA-IC-74HC595N-DIP16</v>
      </c>
      <c r="B4173" s="266">
        <f>IFERROR(__xludf.DUMMYFUNCTION("""COMPUTED_VALUE"""),45487.0)</f>
        <v>45487</v>
      </c>
      <c r="C4173" s="266" t="str">
        <f>IFERROR(__xludf.DUMMYFUNCTION("""COMPUTED_VALUE"""),"KYAI KONTONG")</f>
        <v>KYAI KONTONG</v>
      </c>
      <c r="D4173" s="186">
        <f>IFERROR(__xludf.DUMMYFUNCTION("""COMPUTED_VALUE"""),200.0)</f>
        <v>200</v>
      </c>
    </row>
    <row r="4174">
      <c r="A4174" s="178" t="str">
        <f>IFERROR(__xludf.DUMMYFUNCTION("""COMPUTED_VALUE"""),"ITBISA-IC-74HC595N-DIP16")</f>
        <v>ITBISA-IC-74HC595N-DIP16</v>
      </c>
      <c r="B4174" s="266">
        <f>IFERROR(__xludf.DUMMYFUNCTION("""COMPUTED_VALUE"""),45488.0)</f>
        <v>45488</v>
      </c>
      <c r="C4174" s="266" t="str">
        <f>IFERROR(__xludf.DUMMYFUNCTION("""COMPUTED_VALUE"""),"KYAI KONTONG")</f>
        <v>KYAI KONTONG</v>
      </c>
      <c r="D4174" s="186">
        <f>IFERROR(__xludf.DUMMYFUNCTION("""COMPUTED_VALUE"""),100.0)</f>
        <v>100</v>
      </c>
    </row>
    <row r="4175">
      <c r="A4175" s="178" t="str">
        <f>IFERROR(__xludf.DUMMYFUNCTION("""COMPUTED_VALUE"""),"ITBISA-IC-74HC595N-DIP16")</f>
        <v>ITBISA-IC-74HC595N-DIP16</v>
      </c>
      <c r="B4175" s="266">
        <f>IFERROR(__xludf.DUMMYFUNCTION("""COMPUTED_VALUE"""),45488.0)</f>
        <v>45488</v>
      </c>
      <c r="C4175" s="266" t="str">
        <f>IFERROR(__xludf.DUMMYFUNCTION("""COMPUTED_VALUE"""),"KYAI KONTONG")</f>
        <v>KYAI KONTONG</v>
      </c>
      <c r="D4175" s="186">
        <f>IFERROR(__xludf.DUMMYFUNCTION("""COMPUTED_VALUE"""),100.0)</f>
        <v>100</v>
      </c>
    </row>
    <row r="4176">
      <c r="A4176" s="178" t="str">
        <f>IFERROR(__xludf.DUMMYFUNCTION("""COMPUTED_VALUE"""),"ITBISA-IC-74HC595N-DIP16")</f>
        <v>ITBISA-IC-74HC595N-DIP16</v>
      </c>
      <c r="B4176" s="266">
        <f>IFERROR(__xludf.DUMMYFUNCTION("""COMPUTED_VALUE"""),45492.0)</f>
        <v>45492</v>
      </c>
      <c r="C4176" s="266" t="str">
        <f>IFERROR(__xludf.DUMMYFUNCTION("""COMPUTED_VALUE"""),"KYAI KONTONG")</f>
        <v>KYAI KONTONG</v>
      </c>
      <c r="D4176" s="186">
        <f>IFERROR(__xludf.DUMMYFUNCTION("""COMPUTED_VALUE"""),25.0)</f>
        <v>25</v>
      </c>
    </row>
    <row r="4177">
      <c r="A4177" s="178" t="str">
        <f>IFERROR(__xludf.DUMMYFUNCTION("""COMPUTED_VALUE"""),"ITBISA-IC-74HC595N-DIP16")</f>
        <v>ITBISA-IC-74HC595N-DIP16</v>
      </c>
      <c r="B4177" s="266">
        <f>IFERROR(__xludf.DUMMYFUNCTION("""COMPUTED_VALUE"""),45492.0)</f>
        <v>45492</v>
      </c>
      <c r="C4177" s="266" t="str">
        <f>IFERROR(__xludf.DUMMYFUNCTION("""COMPUTED_VALUE"""),"KYAI KONTONG")</f>
        <v>KYAI KONTONG</v>
      </c>
      <c r="D4177" s="186">
        <f>IFERROR(__xludf.DUMMYFUNCTION("""COMPUTED_VALUE"""),100.0)</f>
        <v>100</v>
      </c>
    </row>
    <row r="4178">
      <c r="A4178" s="178" t="str">
        <f>IFERROR(__xludf.DUMMYFUNCTION("""COMPUTED_VALUE"""),"ITBISA-IC-74HC595N-DIP16")</f>
        <v>ITBISA-IC-74HC595N-DIP16</v>
      </c>
      <c r="B4178" s="266">
        <f>IFERROR(__xludf.DUMMYFUNCTION("""COMPUTED_VALUE"""),45493.0)</f>
        <v>45493</v>
      </c>
      <c r="C4178" s="266" t="str">
        <f>IFERROR(__xludf.DUMMYFUNCTION("""COMPUTED_VALUE"""),"KYAI KONTONG")</f>
        <v>KYAI KONTONG</v>
      </c>
      <c r="D4178" s="186">
        <f>IFERROR(__xludf.DUMMYFUNCTION("""COMPUTED_VALUE"""),200.0)</f>
        <v>200</v>
      </c>
    </row>
    <row r="4179">
      <c r="A4179" s="178" t="str">
        <f>IFERROR(__xludf.DUMMYFUNCTION("""COMPUTED_VALUE"""),"ITBISA-IC-74HC595N-DIP16")</f>
        <v>ITBISA-IC-74HC595N-DIP16</v>
      </c>
      <c r="B4179" s="266">
        <f>IFERROR(__xludf.DUMMYFUNCTION("""COMPUTED_VALUE"""),45495.0)</f>
        <v>45495</v>
      </c>
      <c r="C4179" s="266" t="str">
        <f>IFERROR(__xludf.DUMMYFUNCTION("""COMPUTED_VALUE"""),"KYAI KONTONG")</f>
        <v>KYAI KONTONG</v>
      </c>
      <c r="D4179" s="186">
        <f>IFERROR(__xludf.DUMMYFUNCTION("""COMPUTED_VALUE"""),30.0)</f>
        <v>30</v>
      </c>
    </row>
    <row r="4180">
      <c r="A4180" s="178" t="str">
        <f>IFERROR(__xludf.DUMMYFUNCTION("""COMPUTED_VALUE"""),"ITBISA-IC-74HC595N-DIP16")</f>
        <v>ITBISA-IC-74HC595N-DIP16</v>
      </c>
      <c r="B4180" s="266">
        <f>IFERROR(__xludf.DUMMYFUNCTION("""COMPUTED_VALUE"""),45497.0)</f>
        <v>45497</v>
      </c>
      <c r="C4180" s="266" t="str">
        <f>IFERROR(__xludf.DUMMYFUNCTION("""COMPUTED_VALUE"""),"KYAI KONTONG")</f>
        <v>KYAI KONTONG</v>
      </c>
      <c r="D4180" s="186">
        <f>IFERROR(__xludf.DUMMYFUNCTION("""COMPUTED_VALUE"""),40.0)</f>
        <v>40</v>
      </c>
    </row>
    <row r="4181">
      <c r="A4181" s="178" t="str">
        <f>IFERROR(__xludf.DUMMYFUNCTION("""COMPUTED_VALUE"""),"ITBISA-IC-74HC595N-DIP16")</f>
        <v>ITBISA-IC-74HC595N-DIP16</v>
      </c>
      <c r="B4181" s="266">
        <f>IFERROR(__xludf.DUMMYFUNCTION("""COMPUTED_VALUE"""),45498.0)</f>
        <v>45498</v>
      </c>
      <c r="C4181" s="266" t="str">
        <f>IFERROR(__xludf.DUMMYFUNCTION("""COMPUTED_VALUE"""),"KYAI KONTONG")</f>
        <v>KYAI KONTONG</v>
      </c>
      <c r="D4181" s="186">
        <f>IFERROR(__xludf.DUMMYFUNCTION("""COMPUTED_VALUE"""),15.0)</f>
        <v>15</v>
      </c>
    </row>
    <row r="4182">
      <c r="A4182" s="178" t="str">
        <f>IFERROR(__xludf.DUMMYFUNCTION("""COMPUTED_VALUE"""),"ITBISA-IC-74HC595N-DIP16")</f>
        <v>ITBISA-IC-74HC595N-DIP16</v>
      </c>
      <c r="B4182" s="266">
        <f>IFERROR(__xludf.DUMMYFUNCTION("""COMPUTED_VALUE"""),45501.0)</f>
        <v>45501</v>
      </c>
      <c r="C4182" s="266" t="str">
        <f>IFERROR(__xludf.DUMMYFUNCTION("""COMPUTED_VALUE"""),"KYAI KONTONG")</f>
        <v>KYAI KONTONG</v>
      </c>
      <c r="D4182" s="186">
        <f>IFERROR(__xludf.DUMMYFUNCTION("""COMPUTED_VALUE"""),10.0)</f>
        <v>10</v>
      </c>
    </row>
    <row r="4183">
      <c r="A4183" s="178" t="str">
        <f>IFERROR(__xludf.DUMMYFUNCTION("""COMPUTED_VALUE"""),"ITBISA-IC-74HC595N-DIP16")</f>
        <v>ITBISA-IC-74HC595N-DIP16</v>
      </c>
      <c r="B4183" s="266">
        <f>IFERROR(__xludf.DUMMYFUNCTION("""COMPUTED_VALUE"""),45501.0)</f>
        <v>45501</v>
      </c>
      <c r="C4183" s="266" t="str">
        <f>IFERROR(__xludf.DUMMYFUNCTION("""COMPUTED_VALUE"""),"KYAI KONTONG")</f>
        <v>KYAI KONTONG</v>
      </c>
      <c r="D4183" s="186">
        <f>IFERROR(__xludf.DUMMYFUNCTION("""COMPUTED_VALUE"""),10.0)</f>
        <v>10</v>
      </c>
    </row>
    <row r="4184">
      <c r="A4184" s="178" t="str">
        <f>IFERROR(__xludf.DUMMYFUNCTION("""COMPUTED_VALUE"""),"ITBISA-IC-74HC595N-DIP16")</f>
        <v>ITBISA-IC-74HC595N-DIP16</v>
      </c>
      <c r="B4184" s="266">
        <f>IFERROR(__xludf.DUMMYFUNCTION("""COMPUTED_VALUE"""),45502.0)</f>
        <v>45502</v>
      </c>
      <c r="C4184" s="266" t="str">
        <f>IFERROR(__xludf.DUMMYFUNCTION("""COMPUTED_VALUE"""),"KYAI KONTONG")</f>
        <v>KYAI KONTONG</v>
      </c>
      <c r="D4184" s="186">
        <f>IFERROR(__xludf.DUMMYFUNCTION("""COMPUTED_VALUE"""),10.0)</f>
        <v>10</v>
      </c>
    </row>
    <row r="4185">
      <c r="A4185" s="178" t="str">
        <f>IFERROR(__xludf.DUMMYFUNCTION("""COMPUTED_VALUE"""),"ITBISA-IC-74HC595N-DIP16")</f>
        <v>ITBISA-IC-74HC595N-DIP16</v>
      </c>
      <c r="B4185" s="266">
        <f>IFERROR(__xludf.DUMMYFUNCTION("""COMPUTED_VALUE"""),45502.0)</f>
        <v>45502</v>
      </c>
      <c r="C4185" s="266" t="str">
        <f>IFERROR(__xludf.DUMMYFUNCTION("""COMPUTED_VALUE"""),"KYAI KONTONG")</f>
        <v>KYAI KONTONG</v>
      </c>
      <c r="D4185" s="186">
        <f>IFERROR(__xludf.DUMMYFUNCTION("""COMPUTED_VALUE"""),100.0)</f>
        <v>100</v>
      </c>
    </row>
    <row r="4186">
      <c r="A4186" s="178" t="str">
        <f>IFERROR(__xludf.DUMMYFUNCTION("""COMPUTED_VALUE"""),"ITBISA-IC-74HC595N-DIP16")</f>
        <v>ITBISA-IC-74HC595N-DIP16</v>
      </c>
      <c r="B4186" s="266">
        <f>IFERROR(__xludf.DUMMYFUNCTION("""COMPUTED_VALUE"""),45503.0)</f>
        <v>45503</v>
      </c>
      <c r="C4186" s="266" t="str">
        <f>IFERROR(__xludf.DUMMYFUNCTION("""COMPUTED_VALUE"""),"KYAI KONTONG")</f>
        <v>KYAI KONTONG</v>
      </c>
      <c r="D4186" s="186">
        <f>IFERROR(__xludf.DUMMYFUNCTION("""COMPUTED_VALUE"""),70.0)</f>
        <v>70</v>
      </c>
    </row>
    <row r="4187">
      <c r="A4187" s="178" t="str">
        <f>IFERROR(__xludf.DUMMYFUNCTION("""COMPUTED_VALUE"""),"ITBISA-IC-74HC595N-DIP16")</f>
        <v>ITBISA-IC-74HC595N-DIP16</v>
      </c>
      <c r="B4187" s="266">
        <f>IFERROR(__xludf.DUMMYFUNCTION("""COMPUTED_VALUE"""),45506.0)</f>
        <v>45506</v>
      </c>
      <c r="C4187" s="266" t="str">
        <f>IFERROR(__xludf.DUMMYFUNCTION("""COMPUTED_VALUE"""),"KYAI KONTONG")</f>
        <v>KYAI KONTONG</v>
      </c>
      <c r="D4187" s="186">
        <f>IFERROR(__xludf.DUMMYFUNCTION("""COMPUTED_VALUE"""),100.0)</f>
        <v>100</v>
      </c>
    </row>
    <row r="4188">
      <c r="A4188" s="178" t="str">
        <f>IFERROR(__xludf.DUMMYFUNCTION("""COMPUTED_VALUE"""),"ITBISA-IC-74HC595N-DIP16")</f>
        <v>ITBISA-IC-74HC595N-DIP16</v>
      </c>
      <c r="B4188" s="266">
        <f>IFERROR(__xludf.DUMMYFUNCTION("""COMPUTED_VALUE"""),45512.0)</f>
        <v>45512</v>
      </c>
      <c r="C4188" s="266" t="str">
        <f>IFERROR(__xludf.DUMMYFUNCTION("""COMPUTED_VALUE"""),"KYAI KONTONG")</f>
        <v>KYAI KONTONG</v>
      </c>
      <c r="D4188" s="186">
        <f>IFERROR(__xludf.DUMMYFUNCTION("""COMPUTED_VALUE"""),25.0)</f>
        <v>25</v>
      </c>
    </row>
    <row r="4189">
      <c r="A4189" s="178" t="str">
        <f>IFERROR(__xludf.DUMMYFUNCTION("""COMPUTED_VALUE"""),"ITBISA-IC-74HC595N-DIP16")</f>
        <v>ITBISA-IC-74HC595N-DIP16</v>
      </c>
      <c r="B4189" s="266">
        <f>IFERROR(__xludf.DUMMYFUNCTION("""COMPUTED_VALUE"""),45516.0)</f>
        <v>45516</v>
      </c>
      <c r="C4189" s="266" t="str">
        <f>IFERROR(__xludf.DUMMYFUNCTION("""COMPUTED_VALUE"""),"KYAI KONTONG")</f>
        <v>KYAI KONTONG</v>
      </c>
      <c r="D4189" s="186">
        <f>IFERROR(__xludf.DUMMYFUNCTION("""COMPUTED_VALUE"""),5.0)</f>
        <v>5</v>
      </c>
    </row>
    <row r="4190">
      <c r="A4190" s="178" t="str">
        <f>IFERROR(__xludf.DUMMYFUNCTION("""COMPUTED_VALUE"""),"ITBISA-IC-74HC595N-DIP16")</f>
        <v>ITBISA-IC-74HC595N-DIP16</v>
      </c>
      <c r="B4190" s="266">
        <f>IFERROR(__xludf.DUMMYFUNCTION("""COMPUTED_VALUE"""),45516.0)</f>
        <v>45516</v>
      </c>
      <c r="C4190" s="266" t="str">
        <f>IFERROR(__xludf.DUMMYFUNCTION("""COMPUTED_VALUE"""),"KYAI KONTONG")</f>
        <v>KYAI KONTONG</v>
      </c>
      <c r="D4190" s="186">
        <f>IFERROR(__xludf.DUMMYFUNCTION("""COMPUTED_VALUE"""),100.0)</f>
        <v>100</v>
      </c>
    </row>
    <row r="4191">
      <c r="A4191" s="178" t="str">
        <f>IFERROR(__xludf.DUMMYFUNCTION("""COMPUTED_VALUE"""),"ITBISA-IC-74HC595N-DIP16")</f>
        <v>ITBISA-IC-74HC595N-DIP16</v>
      </c>
      <c r="B4191" s="266">
        <f>IFERROR(__xludf.DUMMYFUNCTION("""COMPUTED_VALUE"""),45524.0)</f>
        <v>45524</v>
      </c>
      <c r="C4191" s="266" t="str">
        <f>IFERROR(__xludf.DUMMYFUNCTION("""COMPUTED_VALUE"""),"KERTASARI CIAMIS")</f>
        <v>KERTASARI CIAMIS</v>
      </c>
      <c r="D4191" s="186">
        <f>IFERROR(__xludf.DUMMYFUNCTION("""COMPUTED_VALUE"""),10.0)</f>
        <v>10</v>
      </c>
    </row>
    <row r="4192">
      <c r="A4192" s="178" t="str">
        <f>IFERROR(__xludf.DUMMYFUNCTION("""COMPUTED_VALUE"""),"ITBISA-IC-74HC595N-DIP16")</f>
        <v>ITBISA-IC-74HC595N-DIP16</v>
      </c>
      <c r="B4192" s="266">
        <f>IFERROR(__xludf.DUMMYFUNCTION("""COMPUTED_VALUE"""),45525.0)</f>
        <v>45525</v>
      </c>
      <c r="C4192" s="266" t="str">
        <f>IFERROR(__xludf.DUMMYFUNCTION("""COMPUTED_VALUE"""),"KERTASARI CIAMIS")</f>
        <v>KERTASARI CIAMIS</v>
      </c>
      <c r="D4192" s="186">
        <f>IFERROR(__xludf.DUMMYFUNCTION("""COMPUTED_VALUE"""),100.0)</f>
        <v>100</v>
      </c>
    </row>
    <row r="4193">
      <c r="A4193" s="178" t="str">
        <f>IFERROR(__xludf.DUMMYFUNCTION("""COMPUTED_VALUE"""),"ITBISA-IC-74HC595N-DIP16")</f>
        <v>ITBISA-IC-74HC595N-DIP16</v>
      </c>
      <c r="B4193" s="266">
        <f>IFERROR(__xludf.DUMMYFUNCTION("""COMPUTED_VALUE"""),45526.0)</f>
        <v>45526</v>
      </c>
      <c r="C4193" s="266" t="str">
        <f>IFERROR(__xludf.DUMMYFUNCTION("""COMPUTED_VALUE"""),"KYAI KONTONG")</f>
        <v>KYAI KONTONG</v>
      </c>
      <c r="D4193" s="186">
        <f>IFERROR(__xludf.DUMMYFUNCTION("""COMPUTED_VALUE"""),200.0)</f>
        <v>200</v>
      </c>
    </row>
    <row r="4194">
      <c r="A4194" s="178" t="str">
        <f>IFERROR(__xludf.DUMMYFUNCTION("""COMPUTED_VALUE"""),"ITBISA-IC-74HC595N-DIP16")</f>
        <v>ITBISA-IC-74HC595N-DIP16</v>
      </c>
      <c r="B4194" s="266">
        <f>IFERROR(__xludf.DUMMYFUNCTION("""COMPUTED_VALUE"""),45527.0)</f>
        <v>45527</v>
      </c>
      <c r="C4194" s="266" t="str">
        <f>IFERROR(__xludf.DUMMYFUNCTION("""COMPUTED_VALUE"""),"KYAI KONTONG")</f>
        <v>KYAI KONTONG</v>
      </c>
      <c r="D4194" s="186">
        <f>IFERROR(__xludf.DUMMYFUNCTION("""COMPUTED_VALUE"""),200.0)</f>
        <v>200</v>
      </c>
    </row>
    <row r="4195">
      <c r="A4195" s="178" t="str">
        <f>IFERROR(__xludf.DUMMYFUNCTION("""COMPUTED_VALUE"""),"ITBISA-IC-74HC595N-DIP16")</f>
        <v>ITBISA-IC-74HC595N-DIP16</v>
      </c>
      <c r="B4195" s="266">
        <f>IFERROR(__xludf.DUMMYFUNCTION("""COMPUTED_VALUE"""),45528.0)</f>
        <v>45528</v>
      </c>
      <c r="C4195" s="266" t="str">
        <f>IFERROR(__xludf.DUMMYFUNCTION("""COMPUTED_VALUE"""),"KERTASARI CIAMIS")</f>
        <v>KERTASARI CIAMIS</v>
      </c>
      <c r="D4195" s="186">
        <f>IFERROR(__xludf.DUMMYFUNCTION("""COMPUTED_VALUE"""),25.0)</f>
        <v>25</v>
      </c>
    </row>
    <row r="4196">
      <c r="A4196" s="178" t="str">
        <f>IFERROR(__xludf.DUMMYFUNCTION("""COMPUTED_VALUE"""),"ITBISA-IC-74HC595N-DIP16")</f>
        <v>ITBISA-IC-74HC595N-DIP16</v>
      </c>
      <c r="B4196" s="266">
        <f>IFERROR(__xludf.DUMMYFUNCTION("""COMPUTED_VALUE"""),45528.0)</f>
        <v>45528</v>
      </c>
      <c r="C4196" s="266" t="str">
        <f>IFERROR(__xludf.DUMMYFUNCTION("""COMPUTED_VALUE"""),"KYAI KONTONG")</f>
        <v>KYAI KONTONG</v>
      </c>
      <c r="D4196" s="186">
        <f>IFERROR(__xludf.DUMMYFUNCTION("""COMPUTED_VALUE"""),10.0)</f>
        <v>10</v>
      </c>
    </row>
    <row r="4197">
      <c r="A4197" s="178" t="str">
        <f>IFERROR(__xludf.DUMMYFUNCTION("""COMPUTED_VALUE"""),"ITBISA-IC-74HC595N-DIP16")</f>
        <v>ITBISA-IC-74HC595N-DIP16</v>
      </c>
      <c r="B4197" s="266">
        <f>IFERROR(__xludf.DUMMYFUNCTION("""COMPUTED_VALUE"""),45530.0)</f>
        <v>45530</v>
      </c>
      <c r="C4197" s="266" t="str">
        <f>IFERROR(__xludf.DUMMYFUNCTION("""COMPUTED_VALUE"""),"KERTASARI CIAMIS")</f>
        <v>KERTASARI CIAMIS</v>
      </c>
      <c r="D4197" s="186">
        <f>IFERROR(__xludf.DUMMYFUNCTION("""COMPUTED_VALUE"""),100.0)</f>
        <v>100</v>
      </c>
    </row>
    <row r="4198">
      <c r="A4198" s="178" t="str">
        <f>IFERROR(__xludf.DUMMYFUNCTION("""COMPUTED_VALUE"""),"ITBISA-IC-74HC595N-DIP16")</f>
        <v>ITBISA-IC-74HC595N-DIP16</v>
      </c>
      <c r="B4198" s="266">
        <f>IFERROR(__xludf.DUMMYFUNCTION("""COMPUTED_VALUE"""),45531.0)</f>
        <v>45531</v>
      </c>
      <c r="C4198" s="266" t="str">
        <f>IFERROR(__xludf.DUMMYFUNCTION("""COMPUTED_VALUE"""),"KYAI KONTONG")</f>
        <v>KYAI KONTONG</v>
      </c>
      <c r="D4198" s="186">
        <f>IFERROR(__xludf.DUMMYFUNCTION("""COMPUTED_VALUE"""),65.0)</f>
        <v>65</v>
      </c>
    </row>
    <row r="4199">
      <c r="A4199" s="178" t="str">
        <f>IFERROR(__xludf.DUMMYFUNCTION("""COMPUTED_VALUE"""),"ITBISA-IC-74HC595N-DIP16")</f>
        <v>ITBISA-IC-74HC595N-DIP16</v>
      </c>
      <c r="B4199" s="266">
        <f>IFERROR(__xludf.DUMMYFUNCTION("""COMPUTED_VALUE"""),45533.0)</f>
        <v>45533</v>
      </c>
      <c r="C4199" s="266" t="str">
        <f>IFERROR(__xludf.DUMMYFUNCTION("""COMPUTED_VALUE"""),"KERTASARI CIAMIS")</f>
        <v>KERTASARI CIAMIS</v>
      </c>
      <c r="D4199" s="186">
        <f>IFERROR(__xludf.DUMMYFUNCTION("""COMPUTED_VALUE"""),230.0)</f>
        <v>230</v>
      </c>
    </row>
    <row r="4200">
      <c r="A4200" s="178" t="str">
        <f>IFERROR(__xludf.DUMMYFUNCTION("""COMPUTED_VALUE"""),"ITBISA-IC-74HC595N-DIP16")</f>
        <v>ITBISA-IC-74HC595N-DIP16</v>
      </c>
      <c r="B4200" s="266">
        <f>IFERROR(__xludf.DUMMYFUNCTION("""COMPUTED_VALUE"""),45535.0)</f>
        <v>45535</v>
      </c>
      <c r="C4200" s="266" t="str">
        <f>IFERROR(__xludf.DUMMYFUNCTION("""COMPUTED_VALUE"""),"KYAI KONTONG")</f>
        <v>KYAI KONTONG</v>
      </c>
      <c r="D4200" s="186">
        <f>IFERROR(__xludf.DUMMYFUNCTION("""COMPUTED_VALUE"""),10.0)</f>
        <v>10</v>
      </c>
    </row>
    <row r="4201">
      <c r="A4201" s="178" t="str">
        <f>IFERROR(__xludf.DUMMYFUNCTION("""COMPUTED_VALUE"""),"ITBISA-IC-74HC595N-DIP16")</f>
        <v>ITBISA-IC-74HC595N-DIP16</v>
      </c>
      <c r="B4201" s="266">
        <f>IFERROR(__xludf.DUMMYFUNCTION("""COMPUTED_VALUE"""),45541.0)</f>
        <v>45541</v>
      </c>
      <c r="C4201" s="266" t="str">
        <f>IFERROR(__xludf.DUMMYFUNCTION("""COMPUTED_VALUE"""),"KERTASARI CIAMIS")</f>
        <v>KERTASARI CIAMIS</v>
      </c>
      <c r="D4201" s="186">
        <f>IFERROR(__xludf.DUMMYFUNCTION("""COMPUTED_VALUE"""),100.0)</f>
        <v>100</v>
      </c>
    </row>
    <row r="4202">
      <c r="A4202" s="178" t="str">
        <f>IFERROR(__xludf.DUMMYFUNCTION("""COMPUTED_VALUE"""),"ITBISA-IC-74HC595N-DIP16")</f>
        <v>ITBISA-IC-74HC595N-DIP16</v>
      </c>
      <c r="B4202" s="266">
        <f>IFERROR(__xludf.DUMMYFUNCTION("""COMPUTED_VALUE"""),45544.0)</f>
        <v>45544</v>
      </c>
      <c r="C4202" s="266" t="str">
        <f>IFERROR(__xludf.DUMMYFUNCTION("""COMPUTED_VALUE"""),"KERTASARI CIAMIS")</f>
        <v>KERTASARI CIAMIS</v>
      </c>
      <c r="D4202" s="186">
        <f>IFERROR(__xludf.DUMMYFUNCTION("""COMPUTED_VALUE"""),20.0)</f>
        <v>20</v>
      </c>
    </row>
    <row r="4203">
      <c r="A4203" s="178" t="str">
        <f>IFERROR(__xludf.DUMMYFUNCTION("""COMPUTED_VALUE"""),"ITBISA-IC-74HC595N-DIP16")</f>
        <v>ITBISA-IC-74HC595N-DIP16</v>
      </c>
      <c r="B4203" s="266">
        <f>IFERROR(__xludf.DUMMYFUNCTION("""COMPUTED_VALUE"""),45545.0)</f>
        <v>45545</v>
      </c>
      <c r="C4203" s="266" t="str">
        <f>IFERROR(__xludf.DUMMYFUNCTION("""COMPUTED_VALUE"""),"KERTASARI CIAMIS")</f>
        <v>KERTASARI CIAMIS</v>
      </c>
      <c r="D4203" s="186">
        <f>IFERROR(__xludf.DUMMYFUNCTION("""COMPUTED_VALUE"""),230.0)</f>
        <v>230</v>
      </c>
    </row>
    <row r="4204">
      <c r="A4204" s="178" t="str">
        <f>IFERROR(__xludf.DUMMYFUNCTION("""COMPUTED_VALUE"""),"ITBISA-IC-74HC595N-DIP16")</f>
        <v>ITBISA-IC-74HC595N-DIP16</v>
      </c>
      <c r="B4204" s="266">
        <f>IFERROR(__xludf.DUMMYFUNCTION("""COMPUTED_VALUE"""),45545.0)</f>
        <v>45545</v>
      </c>
      <c r="C4204" s="266" t="str">
        <f>IFERROR(__xludf.DUMMYFUNCTION("""COMPUTED_VALUE"""),"KYAI KONTONG")</f>
        <v>KYAI KONTONG</v>
      </c>
      <c r="D4204" s="186">
        <f>IFERROR(__xludf.DUMMYFUNCTION("""COMPUTED_VALUE"""),10.0)</f>
        <v>10</v>
      </c>
    </row>
    <row r="4205">
      <c r="A4205" s="178" t="str">
        <f>IFERROR(__xludf.DUMMYFUNCTION("""COMPUTED_VALUE"""),"ITBISA-IC-74HC595N-DIP16")</f>
        <v>ITBISA-IC-74HC595N-DIP16</v>
      </c>
      <c r="B4205" s="266">
        <f>IFERROR(__xludf.DUMMYFUNCTION("""COMPUTED_VALUE"""),45548.0)</f>
        <v>45548</v>
      </c>
      <c r="C4205" s="266" t="str">
        <f>IFERROR(__xludf.DUMMYFUNCTION("""COMPUTED_VALUE"""),"KERTASARI CIAMIS")</f>
        <v>KERTASARI CIAMIS</v>
      </c>
      <c r="D4205" s="186">
        <f>IFERROR(__xludf.DUMMYFUNCTION("""COMPUTED_VALUE"""),50.0)</f>
        <v>50</v>
      </c>
    </row>
    <row r="4206">
      <c r="A4206" s="178" t="str">
        <f>IFERROR(__xludf.DUMMYFUNCTION("""COMPUTED_VALUE"""),"ITBISA-IC-74HC595N-DIP16")</f>
        <v>ITBISA-IC-74HC595N-DIP16</v>
      </c>
      <c r="B4206" s="266">
        <f>IFERROR(__xludf.DUMMYFUNCTION("""COMPUTED_VALUE"""),45554.0)</f>
        <v>45554</v>
      </c>
      <c r="C4206" s="266" t="str">
        <f>IFERROR(__xludf.DUMMYFUNCTION("""COMPUTED_VALUE"""),"KERTASARI CIAMIS")</f>
        <v>KERTASARI CIAMIS</v>
      </c>
      <c r="D4206" s="186">
        <f>IFERROR(__xludf.DUMMYFUNCTION("""COMPUTED_VALUE"""),100.0)</f>
        <v>100</v>
      </c>
    </row>
    <row r="4207">
      <c r="A4207" s="178" t="str">
        <f>IFERROR(__xludf.DUMMYFUNCTION("""COMPUTED_VALUE"""),"ITBISA-IC-74HC595N-DIP16")</f>
        <v>ITBISA-IC-74HC595N-DIP16</v>
      </c>
      <c r="B4207" s="266">
        <f>IFERROR(__xludf.DUMMYFUNCTION("""COMPUTED_VALUE"""),45554.0)</f>
        <v>45554</v>
      </c>
      <c r="C4207" s="266" t="str">
        <f>IFERROR(__xludf.DUMMYFUNCTION("""COMPUTED_VALUE"""),"KERTASARI CIAMIS")</f>
        <v>KERTASARI CIAMIS</v>
      </c>
      <c r="D4207" s="186">
        <f>IFERROR(__xludf.DUMMYFUNCTION("""COMPUTED_VALUE"""),230.0)</f>
        <v>230</v>
      </c>
    </row>
    <row r="4208">
      <c r="A4208" s="178" t="str">
        <f>IFERROR(__xludf.DUMMYFUNCTION("""COMPUTED_VALUE"""),"ITBISA-IC-74HC595N-DIP16")</f>
        <v>ITBISA-IC-74HC595N-DIP16</v>
      </c>
      <c r="B4208" s="266">
        <f>IFERROR(__xludf.DUMMYFUNCTION("""COMPUTED_VALUE"""),45558.0)</f>
        <v>45558</v>
      </c>
      <c r="C4208" s="266" t="str">
        <f>IFERROR(__xludf.DUMMYFUNCTION("""COMPUTED_VALUE"""),"KERTASARI CIAMIS")</f>
        <v>KERTASARI CIAMIS</v>
      </c>
      <c r="D4208" s="186">
        <f>IFERROR(__xludf.DUMMYFUNCTION("""COMPUTED_VALUE"""),100.0)</f>
        <v>100</v>
      </c>
    </row>
    <row r="4209">
      <c r="A4209" s="178" t="str">
        <f>IFERROR(__xludf.DUMMYFUNCTION("""COMPUTED_VALUE"""),"ITBISA-IC-74HC595N-DIP16")</f>
        <v>ITBISA-IC-74HC595N-DIP16</v>
      </c>
      <c r="B4209" s="266">
        <f>IFERROR(__xludf.DUMMYFUNCTION("""COMPUTED_VALUE"""),45565.0)</f>
        <v>45565</v>
      </c>
      <c r="C4209" s="266" t="str">
        <f>IFERROR(__xludf.DUMMYFUNCTION("""COMPUTED_VALUE"""),"KERTASARI CIAMIS")</f>
        <v>KERTASARI CIAMIS</v>
      </c>
      <c r="D4209" s="186">
        <f>IFERROR(__xludf.DUMMYFUNCTION("""COMPUTED_VALUE"""),8.0)</f>
        <v>8</v>
      </c>
    </row>
    <row r="4210">
      <c r="A4210" s="178" t="str">
        <f>IFERROR(__xludf.DUMMYFUNCTION("""COMPUTED_VALUE"""),"ITBISA-IC-74HC595N-DIP16")</f>
        <v>ITBISA-IC-74HC595N-DIP16</v>
      </c>
      <c r="B4210" s="266">
        <f>IFERROR(__xludf.DUMMYFUNCTION("""COMPUTED_VALUE"""),45572.0)</f>
        <v>45572</v>
      </c>
      <c r="C4210" s="266" t="str">
        <f>IFERROR(__xludf.DUMMYFUNCTION("""COMPUTED_VALUE"""),"KYAI KONTONG")</f>
        <v>KYAI KONTONG</v>
      </c>
      <c r="D4210" s="186">
        <f>IFERROR(__xludf.DUMMYFUNCTION("""COMPUTED_VALUE"""),50.0)</f>
        <v>50</v>
      </c>
    </row>
    <row r="4211">
      <c r="A4211" s="178" t="str">
        <f>IFERROR(__xludf.DUMMYFUNCTION("""COMPUTED_VALUE"""),"ITBISA-IC-74HC595N-DIP16")</f>
        <v>ITBISA-IC-74HC595N-DIP16</v>
      </c>
      <c r="B4211" s="266">
        <f>IFERROR(__xludf.DUMMYFUNCTION("""COMPUTED_VALUE"""),45607.0)</f>
        <v>45607</v>
      </c>
      <c r="C4211" s="266" t="str">
        <f>IFERROR(__xludf.DUMMYFUNCTION("""COMPUTED_VALUE"""),"KERTASARI CIAMIS")</f>
        <v>KERTASARI CIAMIS</v>
      </c>
      <c r="D4211" s="186">
        <f>IFERROR(__xludf.DUMMYFUNCTION("""COMPUTED_VALUE"""),49.0)</f>
        <v>49</v>
      </c>
    </row>
    <row r="4212">
      <c r="A4212" s="178" t="str">
        <f>IFERROR(__xludf.DUMMYFUNCTION("""COMPUTED_VALUE"""),"ITBISA-IC-74HC595N-DIP16")</f>
        <v>ITBISA-IC-74HC595N-DIP16</v>
      </c>
      <c r="B4212" s="266">
        <f>IFERROR(__xludf.DUMMYFUNCTION("""COMPUTED_VALUE"""),45616.0)</f>
        <v>45616</v>
      </c>
      <c r="C4212" s="266" t="str">
        <f>IFERROR(__xludf.DUMMYFUNCTION("""COMPUTED_VALUE"""),"KERTASARI CIAMIS")</f>
        <v>KERTASARI CIAMIS</v>
      </c>
      <c r="D4212" s="186">
        <f>IFERROR(__xludf.DUMMYFUNCTION("""COMPUTED_VALUE"""),100.0)</f>
        <v>100</v>
      </c>
    </row>
    <row r="4213">
      <c r="A4213" s="178" t="str">
        <f>IFERROR(__xludf.DUMMYFUNCTION("""COMPUTED_VALUE"""),"ITBISA-IC-74HC595N-DIP16")</f>
        <v>ITBISA-IC-74HC595N-DIP16</v>
      </c>
      <c r="B4213" s="266">
        <f>IFERROR(__xludf.DUMMYFUNCTION("""COMPUTED_VALUE"""),45618.0)</f>
        <v>45618</v>
      </c>
      <c r="C4213" s="266" t="str">
        <f>IFERROR(__xludf.DUMMYFUNCTION("""COMPUTED_VALUE"""),"KYAI KONTONG")</f>
        <v>KYAI KONTONG</v>
      </c>
      <c r="D4213" s="186">
        <f>IFERROR(__xludf.DUMMYFUNCTION("""COMPUTED_VALUE"""),60.0)</f>
        <v>60</v>
      </c>
    </row>
    <row r="4214">
      <c r="A4214" s="178" t="str">
        <f>IFERROR(__xludf.DUMMYFUNCTION("""COMPUTED_VALUE"""),"ITBISA-IC-74HC595N-DIP16")</f>
        <v>ITBISA-IC-74HC595N-DIP16</v>
      </c>
      <c r="B4214" s="266">
        <f>IFERROR(__xludf.DUMMYFUNCTION("""COMPUTED_VALUE"""),45619.0)</f>
        <v>45619</v>
      </c>
      <c r="C4214" s="266" t="str">
        <f>IFERROR(__xludf.DUMMYFUNCTION("""COMPUTED_VALUE"""),"KYAI KONTONG")</f>
        <v>KYAI KONTONG</v>
      </c>
      <c r="D4214" s="186">
        <f>IFERROR(__xludf.DUMMYFUNCTION("""COMPUTED_VALUE"""),15.0)</f>
        <v>15</v>
      </c>
    </row>
    <row r="4215">
      <c r="A4215" s="178" t="str">
        <f>IFERROR(__xludf.DUMMYFUNCTION("""COMPUTED_VALUE"""),"ITBISA-IC-74HC595N-DIP16")</f>
        <v>ITBISA-IC-74HC595N-DIP16</v>
      </c>
      <c r="B4215" s="266">
        <f>IFERROR(__xludf.DUMMYFUNCTION("""COMPUTED_VALUE"""),45619.0)</f>
        <v>45619</v>
      </c>
      <c r="C4215" s="266" t="str">
        <f>IFERROR(__xludf.DUMMYFUNCTION("""COMPUTED_VALUE"""),"KYAI KONTONG")</f>
        <v>KYAI KONTONG</v>
      </c>
      <c r="D4215" s="186">
        <f>IFERROR(__xludf.DUMMYFUNCTION("""COMPUTED_VALUE"""),100.0)</f>
        <v>100</v>
      </c>
    </row>
    <row r="4216">
      <c r="A4216" s="178" t="str">
        <f>IFERROR(__xludf.DUMMYFUNCTION("""COMPUTED_VALUE"""),"ITBISA-IC-74HC595N-DIP16")</f>
        <v>ITBISA-IC-74HC595N-DIP16</v>
      </c>
      <c r="B4216" s="266">
        <f>IFERROR(__xludf.DUMMYFUNCTION("""COMPUTED_VALUE"""),45622.0)</f>
        <v>45622</v>
      </c>
      <c r="C4216" s="266" t="str">
        <f>IFERROR(__xludf.DUMMYFUNCTION("""COMPUTED_VALUE"""),"KYAI KONTONG")</f>
        <v>KYAI KONTONG</v>
      </c>
      <c r="D4216" s="186">
        <f>IFERROR(__xludf.DUMMYFUNCTION("""COMPUTED_VALUE"""),100.0)</f>
        <v>100</v>
      </c>
    </row>
    <row r="4217">
      <c r="A4217" s="178" t="str">
        <f>IFERROR(__xludf.DUMMYFUNCTION("""COMPUTED_VALUE"""),"ITBISA-IC-74HC595N-DIP16")</f>
        <v>ITBISA-IC-74HC595N-DIP16</v>
      </c>
      <c r="B4217" s="266">
        <f>IFERROR(__xludf.DUMMYFUNCTION("""COMPUTED_VALUE"""),45624.0)</f>
        <v>45624</v>
      </c>
      <c r="C4217" s="266" t="str">
        <f>IFERROR(__xludf.DUMMYFUNCTION("""COMPUTED_VALUE"""),"KYAI KONTONG")</f>
        <v>KYAI KONTONG</v>
      </c>
      <c r="D4217" s="186">
        <f>IFERROR(__xludf.DUMMYFUNCTION("""COMPUTED_VALUE"""),290.0)</f>
        <v>290</v>
      </c>
    </row>
    <row r="4218">
      <c r="A4218" s="178" t="str">
        <f>IFERROR(__xludf.DUMMYFUNCTION("""COMPUTED_VALUE"""),"ITBISA-IC-74HC595N-DIP16")</f>
        <v>ITBISA-IC-74HC595N-DIP16</v>
      </c>
      <c r="B4218" s="266">
        <f>IFERROR(__xludf.DUMMYFUNCTION("""COMPUTED_VALUE"""),45625.0)</f>
        <v>45625</v>
      </c>
      <c r="C4218" s="266" t="str">
        <f>IFERROR(__xludf.DUMMYFUNCTION("""COMPUTED_VALUE"""),"KERTASARI CIAMIS")</f>
        <v>KERTASARI CIAMIS</v>
      </c>
      <c r="D4218" s="186">
        <f>IFERROR(__xludf.DUMMYFUNCTION("""COMPUTED_VALUE"""),10.0)</f>
        <v>10</v>
      </c>
    </row>
    <row r="4219">
      <c r="A4219" s="178" t="str">
        <f>IFERROR(__xludf.DUMMYFUNCTION("""COMPUTED_VALUE"""),"ITBISA-IC-74HC595N-DIP16")</f>
        <v>ITBISA-IC-74HC595N-DIP16</v>
      </c>
      <c r="B4219" s="266">
        <f>IFERROR(__xludf.DUMMYFUNCTION("""COMPUTED_VALUE"""),45625.0)</f>
        <v>45625</v>
      </c>
      <c r="C4219" s="266" t="str">
        <f>IFERROR(__xludf.DUMMYFUNCTION("""COMPUTED_VALUE"""),"KYAI KONTONG")</f>
        <v>KYAI KONTONG</v>
      </c>
      <c r="D4219" s="186">
        <f>IFERROR(__xludf.DUMMYFUNCTION("""COMPUTED_VALUE"""),100.0)</f>
        <v>100</v>
      </c>
    </row>
    <row r="4220">
      <c r="A4220" s="178" t="str">
        <f>IFERROR(__xludf.DUMMYFUNCTION("""COMPUTED_VALUE"""),"ITBISA-IC-74HC595N-DIP16")</f>
        <v>ITBISA-IC-74HC595N-DIP16</v>
      </c>
      <c r="B4220" s="266">
        <f>IFERROR(__xludf.DUMMYFUNCTION("""COMPUTED_VALUE"""),45625.0)</f>
        <v>45625</v>
      </c>
      <c r="C4220" s="266" t="str">
        <f>IFERROR(__xludf.DUMMYFUNCTION("""COMPUTED_VALUE"""),"KYAI KONTONG")</f>
        <v>KYAI KONTONG</v>
      </c>
      <c r="D4220" s="186">
        <f>IFERROR(__xludf.DUMMYFUNCTION("""COMPUTED_VALUE"""),400.0)</f>
        <v>400</v>
      </c>
    </row>
    <row r="4221">
      <c r="A4221" s="178" t="str">
        <f>IFERROR(__xludf.DUMMYFUNCTION("""COMPUTED_VALUE"""),"ITBISA-IC-74HC595N-DIP16")</f>
        <v>ITBISA-IC-74HC595N-DIP16</v>
      </c>
      <c r="B4221" s="266">
        <f>IFERROR(__xludf.DUMMYFUNCTION("""COMPUTED_VALUE"""),45628.0)</f>
        <v>45628</v>
      </c>
      <c r="C4221" s="266" t="str">
        <f>IFERROR(__xludf.DUMMYFUNCTION("""COMPUTED_VALUE"""),"KYAI KONTONG")</f>
        <v>KYAI KONTONG</v>
      </c>
      <c r="D4221" s="186">
        <f>IFERROR(__xludf.DUMMYFUNCTION("""COMPUTED_VALUE"""),10.0)</f>
        <v>10</v>
      </c>
    </row>
    <row r="4222">
      <c r="A4222" s="178" t="str">
        <f>IFERROR(__xludf.DUMMYFUNCTION("""COMPUTED_VALUE"""),"ITBISA-IC-74HC595N-DIP16")</f>
        <v>ITBISA-IC-74HC595N-DIP16</v>
      </c>
      <c r="B4222" s="266">
        <f>IFERROR(__xludf.DUMMYFUNCTION("""COMPUTED_VALUE"""),45631.0)</f>
        <v>45631</v>
      </c>
      <c r="C4222" s="266" t="str">
        <f>IFERROR(__xludf.DUMMYFUNCTION("""COMPUTED_VALUE"""),"KYAI KONTONG")</f>
        <v>KYAI KONTONG</v>
      </c>
      <c r="D4222" s="186">
        <f>IFERROR(__xludf.DUMMYFUNCTION("""COMPUTED_VALUE"""),10.0)</f>
        <v>10</v>
      </c>
    </row>
    <row r="4223">
      <c r="A4223" s="178" t="str">
        <f>IFERROR(__xludf.DUMMYFUNCTION("""COMPUTED_VALUE"""),"ITBISA-IC-74HC595N-DIP16")</f>
        <v>ITBISA-IC-74HC595N-DIP16</v>
      </c>
      <c r="B4223" s="266">
        <f>IFERROR(__xludf.DUMMYFUNCTION("""COMPUTED_VALUE"""),45634.0)</f>
        <v>45634</v>
      </c>
      <c r="C4223" s="266" t="str">
        <f>IFERROR(__xludf.DUMMYFUNCTION("""COMPUTED_VALUE"""),"KYAI KONTONG")</f>
        <v>KYAI KONTONG</v>
      </c>
      <c r="D4223" s="186">
        <f>IFERROR(__xludf.DUMMYFUNCTION("""COMPUTED_VALUE"""),12.0)</f>
        <v>12</v>
      </c>
    </row>
    <row r="4224">
      <c r="A4224" s="178" t="str">
        <f>IFERROR(__xludf.DUMMYFUNCTION("""COMPUTED_VALUE"""),"ITBISA-IC-74HC595N-DIP16")</f>
        <v>ITBISA-IC-74HC595N-DIP16</v>
      </c>
      <c r="B4224" s="266">
        <f>IFERROR(__xludf.DUMMYFUNCTION("""COMPUTED_VALUE"""),45635.0)</f>
        <v>45635</v>
      </c>
      <c r="C4224" s="266" t="str">
        <f>IFERROR(__xludf.DUMMYFUNCTION("""COMPUTED_VALUE"""),"KYAI KONTONG")</f>
        <v>KYAI KONTONG</v>
      </c>
      <c r="D4224" s="186">
        <f>IFERROR(__xludf.DUMMYFUNCTION("""COMPUTED_VALUE"""),10.0)</f>
        <v>10</v>
      </c>
    </row>
    <row r="4225">
      <c r="A4225" s="178" t="str">
        <f>IFERROR(__xludf.DUMMYFUNCTION("""COMPUTED_VALUE"""),"ITBISA-IC-74HC595N-DIP16")</f>
        <v>ITBISA-IC-74HC595N-DIP16</v>
      </c>
      <c r="B4225" s="266">
        <f>IFERROR(__xludf.DUMMYFUNCTION("""COMPUTED_VALUE"""),45635.0)</f>
        <v>45635</v>
      </c>
      <c r="C4225" s="266" t="str">
        <f>IFERROR(__xludf.DUMMYFUNCTION("""COMPUTED_VALUE"""),"KYAI KONTONG")</f>
        <v>KYAI KONTONG</v>
      </c>
      <c r="D4225" s="186">
        <f>IFERROR(__xludf.DUMMYFUNCTION("""COMPUTED_VALUE"""),100.0)</f>
        <v>100</v>
      </c>
    </row>
    <row r="4226">
      <c r="A4226" s="178" t="str">
        <f>IFERROR(__xludf.DUMMYFUNCTION("""COMPUTED_VALUE"""),"ITBISA-IC-74HC595N-DIP16")</f>
        <v>ITBISA-IC-74HC595N-DIP16</v>
      </c>
      <c r="B4226" s="266">
        <f>IFERROR(__xludf.DUMMYFUNCTION("""COMPUTED_VALUE"""),45641.0)</f>
        <v>45641</v>
      </c>
      <c r="C4226" s="266" t="str">
        <f>IFERROR(__xludf.DUMMYFUNCTION("""COMPUTED_VALUE"""),"KERTASARI CIAMIS")</f>
        <v>KERTASARI CIAMIS</v>
      </c>
      <c r="D4226" s="186">
        <f>IFERROR(__xludf.DUMMYFUNCTION("""COMPUTED_VALUE"""),30.0)</f>
        <v>30</v>
      </c>
    </row>
    <row r="4227">
      <c r="A4227" s="178" t="str">
        <f>IFERROR(__xludf.DUMMYFUNCTION("""COMPUTED_VALUE"""),"ITBISA-IC-74HC595N-DIP16")</f>
        <v>ITBISA-IC-74HC595N-DIP16</v>
      </c>
      <c r="B4227" s="266">
        <f>IFERROR(__xludf.DUMMYFUNCTION("""COMPUTED_VALUE"""),45645.0)</f>
        <v>45645</v>
      </c>
      <c r="C4227" s="266" t="str">
        <f>IFERROR(__xludf.DUMMYFUNCTION("""COMPUTED_VALUE"""),"KYAI KONTONG")</f>
        <v>KYAI KONTONG</v>
      </c>
      <c r="D4227" s="186">
        <f>IFERROR(__xludf.DUMMYFUNCTION("""COMPUTED_VALUE"""),100.0)</f>
        <v>100</v>
      </c>
    </row>
    <row r="4228">
      <c r="A4228" s="178" t="str">
        <f>IFERROR(__xludf.DUMMYFUNCTION("""COMPUTED_VALUE"""),"ITBISA-IC-74HC595N-DIP16")</f>
        <v>ITBISA-IC-74HC595N-DIP16</v>
      </c>
      <c r="B4228" s="266">
        <f>IFERROR(__xludf.DUMMYFUNCTION("""COMPUTED_VALUE"""),45651.0)</f>
        <v>45651</v>
      </c>
      <c r="C4228" s="266" t="str">
        <f>IFERROR(__xludf.DUMMYFUNCTION("""COMPUTED_VALUE"""),"KERTASARI CIAMIS")</f>
        <v>KERTASARI CIAMIS</v>
      </c>
      <c r="D4228" s="186">
        <f>IFERROR(__xludf.DUMMYFUNCTION("""COMPUTED_VALUE"""),75.0)</f>
        <v>75</v>
      </c>
    </row>
    <row r="4229">
      <c r="A4229" s="178" t="str">
        <f>IFERROR(__xludf.DUMMYFUNCTION("""COMPUTED_VALUE"""),"ITBISA-IC-74HC595N-DIP16")</f>
        <v>ITBISA-IC-74HC595N-DIP16</v>
      </c>
      <c r="B4229" s="266">
        <f>IFERROR(__xludf.DUMMYFUNCTION("""COMPUTED_VALUE"""),45653.0)</f>
        <v>45653</v>
      </c>
      <c r="C4229" s="266" t="str">
        <f>IFERROR(__xludf.DUMMYFUNCTION("""COMPUTED_VALUE"""),"KYAI KONTONG")</f>
        <v>KYAI KONTONG</v>
      </c>
      <c r="D4229" s="186">
        <f>IFERROR(__xludf.DUMMYFUNCTION("""COMPUTED_VALUE"""),50.0)</f>
        <v>50</v>
      </c>
    </row>
    <row r="4230">
      <c r="A4230" s="178" t="str">
        <f>IFERROR(__xludf.DUMMYFUNCTION("""COMPUTED_VALUE"""),"ITBISA-IC-74HC595N-DIP16")</f>
        <v>ITBISA-IC-74HC595N-DIP16</v>
      </c>
      <c r="B4230" s="266">
        <f>IFERROR(__xludf.DUMMYFUNCTION("""COMPUTED_VALUE"""),45656.0)</f>
        <v>45656</v>
      </c>
      <c r="C4230" s="266" t="str">
        <f>IFERROR(__xludf.DUMMYFUNCTION("""COMPUTED_VALUE"""),"KYAI KONTONG")</f>
        <v>KYAI KONTONG</v>
      </c>
      <c r="D4230" s="186">
        <f>IFERROR(__xludf.DUMMYFUNCTION("""COMPUTED_VALUE"""),60.0)</f>
        <v>60</v>
      </c>
    </row>
    <row r="4231">
      <c r="A4231" s="178" t="str">
        <f>IFERROR(__xludf.DUMMYFUNCTION("""COMPUTED_VALUE"""),"ITBISA-IC-74HC595N-DIP16")</f>
        <v>ITBISA-IC-74HC595N-DIP16</v>
      </c>
      <c r="B4231" s="266">
        <f>IFERROR(__xludf.DUMMYFUNCTION("""COMPUTED_VALUE"""),45657.0)</f>
        <v>45657</v>
      </c>
      <c r="C4231" s="266" t="str">
        <f>IFERROR(__xludf.DUMMYFUNCTION("""COMPUTED_VALUE"""),"KYAI KONTONG")</f>
        <v>KYAI KONTONG</v>
      </c>
      <c r="D4231" s="186">
        <f>IFERROR(__xludf.DUMMYFUNCTION("""COMPUTED_VALUE"""),40.0)</f>
        <v>40</v>
      </c>
    </row>
    <row r="4232">
      <c r="A4232" s="178" t="str">
        <f>IFERROR(__xludf.DUMMYFUNCTION("""COMPUTED_VALUE"""),"ITBISA-IC-74HC595N-DIP16")</f>
        <v>ITBISA-IC-74HC595N-DIP16</v>
      </c>
      <c r="B4232" s="266">
        <f>IFERROR(__xludf.DUMMYFUNCTION("""COMPUTED_VALUE"""),45662.0)</f>
        <v>45662</v>
      </c>
      <c r="C4232" s="266" t="str">
        <f>IFERROR(__xludf.DUMMYFUNCTION("""COMPUTED_VALUE"""),"KERTASARI CIAMIS")</f>
        <v>KERTASARI CIAMIS</v>
      </c>
      <c r="D4232" s="186">
        <f>IFERROR(__xludf.DUMMYFUNCTION("""COMPUTED_VALUE"""),30.0)</f>
        <v>30</v>
      </c>
    </row>
    <row r="4233">
      <c r="A4233" s="178" t="str">
        <f>IFERROR(__xludf.DUMMYFUNCTION("""COMPUTED_VALUE"""),"ITBISA-IC-74HC595N-DIP16")</f>
        <v>ITBISA-IC-74HC595N-DIP16</v>
      </c>
      <c r="B4233" s="266">
        <f>IFERROR(__xludf.DUMMYFUNCTION("""COMPUTED_VALUE"""),45665.0)</f>
        <v>45665</v>
      </c>
      <c r="C4233" s="266" t="str">
        <f>IFERROR(__xludf.DUMMYFUNCTION("""COMPUTED_VALUE"""),"KERTASARI CIAMIS")</f>
        <v>KERTASARI CIAMIS</v>
      </c>
      <c r="D4233" s="186">
        <f>IFERROR(__xludf.DUMMYFUNCTION("""COMPUTED_VALUE"""),100.0)</f>
        <v>100</v>
      </c>
    </row>
    <row r="4234">
      <c r="A4234" s="178" t="str">
        <f>IFERROR(__xludf.DUMMYFUNCTION("""COMPUTED_VALUE"""),"ITBISA-IC-74HC595N-DIP16")</f>
        <v>ITBISA-IC-74HC595N-DIP16</v>
      </c>
      <c r="B4234" s="266">
        <f>IFERROR(__xludf.DUMMYFUNCTION("""COMPUTED_VALUE"""),45668.0)</f>
        <v>45668</v>
      </c>
      <c r="C4234" s="266" t="str">
        <f>IFERROR(__xludf.DUMMYFUNCTION("""COMPUTED_VALUE"""),"KYAI KONTONG")</f>
        <v>KYAI KONTONG</v>
      </c>
      <c r="D4234" s="186">
        <f>IFERROR(__xludf.DUMMYFUNCTION("""COMPUTED_VALUE"""),16.0)</f>
        <v>16</v>
      </c>
    </row>
    <row r="4235">
      <c r="A4235" s="178" t="str">
        <f>IFERROR(__xludf.DUMMYFUNCTION("""COMPUTED_VALUE"""),"ITBISA-IC-74HC595N-DIP16")</f>
        <v>ITBISA-IC-74HC595N-DIP16</v>
      </c>
      <c r="B4235" s="266">
        <f>IFERROR(__xludf.DUMMYFUNCTION("""COMPUTED_VALUE"""),45671.0)</f>
        <v>45671</v>
      </c>
      <c r="C4235" s="266" t="str">
        <f>IFERROR(__xludf.DUMMYFUNCTION("""COMPUTED_VALUE"""),"KYAI KONTONG")</f>
        <v>KYAI KONTONG</v>
      </c>
      <c r="D4235" s="186">
        <f>IFERROR(__xludf.DUMMYFUNCTION("""COMPUTED_VALUE"""),10.0)</f>
        <v>10</v>
      </c>
    </row>
    <row r="4236">
      <c r="A4236" s="178" t="str">
        <f>IFERROR(__xludf.DUMMYFUNCTION("""COMPUTED_VALUE"""),"ITBISA-IC-74HC595N-DIP16")</f>
        <v>ITBISA-IC-74HC595N-DIP16</v>
      </c>
      <c r="B4236" s="266">
        <f>IFERROR(__xludf.DUMMYFUNCTION("""COMPUTED_VALUE"""),45672.0)</f>
        <v>45672</v>
      </c>
      <c r="C4236" s="266" t="str">
        <f>IFERROR(__xludf.DUMMYFUNCTION("""COMPUTED_VALUE"""),"KERTASARI CIAMIS")</f>
        <v>KERTASARI CIAMIS</v>
      </c>
      <c r="D4236" s="186">
        <f>IFERROR(__xludf.DUMMYFUNCTION("""COMPUTED_VALUE"""),225.0)</f>
        <v>225</v>
      </c>
    </row>
    <row r="4237">
      <c r="A4237" s="178" t="str">
        <f>IFERROR(__xludf.DUMMYFUNCTION("""COMPUTED_VALUE"""),"ITBISA-IC-74HC595N-DIP16")</f>
        <v>ITBISA-IC-74HC595N-DIP16</v>
      </c>
      <c r="B4237" s="266">
        <f>IFERROR(__xludf.DUMMYFUNCTION("""COMPUTED_VALUE"""),45676.0)</f>
        <v>45676</v>
      </c>
      <c r="C4237" s="266" t="str">
        <f>IFERROR(__xludf.DUMMYFUNCTION("""COMPUTED_VALUE"""),"KYAI KONTONG")</f>
        <v>KYAI KONTONG</v>
      </c>
      <c r="D4237" s="186">
        <f>IFERROR(__xludf.DUMMYFUNCTION("""COMPUTED_VALUE"""),10.0)</f>
        <v>10</v>
      </c>
    </row>
    <row r="4238">
      <c r="A4238" s="178" t="str">
        <f>IFERROR(__xludf.DUMMYFUNCTION("""COMPUTED_VALUE"""),"ITBISA-IC-74HC595N-DIP16")</f>
        <v>ITBISA-IC-74HC595N-DIP16</v>
      </c>
      <c r="B4238" s="266">
        <f>IFERROR(__xludf.DUMMYFUNCTION("""COMPUTED_VALUE"""),45688.0)</f>
        <v>45688</v>
      </c>
      <c r="C4238" s="266" t="str">
        <f>IFERROR(__xludf.DUMMYFUNCTION("""COMPUTED_VALUE"""),"KYAI KONTONG")</f>
        <v>KYAI KONTONG</v>
      </c>
      <c r="D4238" s="186">
        <f>IFERROR(__xludf.DUMMYFUNCTION("""COMPUTED_VALUE"""),10.0)</f>
        <v>10</v>
      </c>
    </row>
    <row r="4239">
      <c r="A4239" s="178" t="str">
        <f>IFERROR(__xludf.DUMMYFUNCTION("""COMPUTED_VALUE"""),"ITBISA-IC-74HC595N-DIP16")</f>
        <v>ITBISA-IC-74HC595N-DIP16</v>
      </c>
      <c r="B4239" s="266">
        <f>IFERROR(__xludf.DUMMYFUNCTION("""COMPUTED_VALUE"""),45688.0)</f>
        <v>45688</v>
      </c>
      <c r="C4239" s="266" t="str">
        <f>IFERROR(__xludf.DUMMYFUNCTION("""COMPUTED_VALUE"""),"KYAI KONTONG")</f>
        <v>KYAI KONTONG</v>
      </c>
      <c r="D4239" s="186">
        <f>IFERROR(__xludf.DUMMYFUNCTION("""COMPUTED_VALUE"""),90.0)</f>
        <v>90</v>
      </c>
    </row>
    <row r="4240">
      <c r="A4240" s="178" t="str">
        <f>IFERROR(__xludf.DUMMYFUNCTION("""COMPUTED_VALUE"""),"ITBISA-IC-74HC595N-DIP16")</f>
        <v>ITBISA-IC-74HC595N-DIP16</v>
      </c>
      <c r="B4240" s="266">
        <f>IFERROR(__xludf.DUMMYFUNCTION("""COMPUTED_VALUE"""),45688.0)</f>
        <v>45688</v>
      </c>
      <c r="C4240" s="266" t="str">
        <f>IFERROR(__xludf.DUMMYFUNCTION("""COMPUTED_VALUE"""),"KYAI KONTONG")</f>
        <v>KYAI KONTONG</v>
      </c>
      <c r="D4240" s="186">
        <f>IFERROR(__xludf.DUMMYFUNCTION("""COMPUTED_VALUE"""),400.0)</f>
        <v>400</v>
      </c>
    </row>
    <row r="4241">
      <c r="A4241" s="178" t="str">
        <f>IFERROR(__xludf.DUMMYFUNCTION("""COMPUTED_VALUE"""),"ITBISA-IC-74HC595N-DIP16")</f>
        <v>ITBISA-IC-74HC595N-DIP16</v>
      </c>
      <c r="B4241" s="266">
        <f>IFERROR(__xludf.DUMMYFUNCTION("""COMPUTED_VALUE"""),45702.0)</f>
        <v>45702</v>
      </c>
      <c r="C4241" s="266" t="str">
        <f>IFERROR(__xludf.DUMMYFUNCTION("""COMPUTED_VALUE"""),"KYAI KONTONG")</f>
        <v>KYAI KONTONG</v>
      </c>
      <c r="D4241" s="186">
        <f>IFERROR(__xludf.DUMMYFUNCTION("""COMPUTED_VALUE"""),25.0)</f>
        <v>25</v>
      </c>
    </row>
    <row r="4242">
      <c r="A4242" s="178" t="str">
        <f>IFERROR(__xludf.DUMMYFUNCTION("""COMPUTED_VALUE"""),"ITBISA-IC-74HC595N-DIP16")</f>
        <v>ITBISA-IC-74HC595N-DIP16</v>
      </c>
      <c r="B4242" s="266">
        <f>IFERROR(__xludf.DUMMYFUNCTION("""COMPUTED_VALUE"""),45759.0)</f>
        <v>45759</v>
      </c>
      <c r="C4242" s="266" t="str">
        <f>IFERROR(__xludf.DUMMYFUNCTION("""COMPUTED_VALUE"""),"KERTASARI CIAMIS")</f>
        <v>KERTASARI CIAMIS</v>
      </c>
      <c r="D4242" s="186">
        <f>IFERROR(__xludf.DUMMYFUNCTION("""COMPUTED_VALUE"""),200.0)</f>
        <v>200</v>
      </c>
    </row>
    <row r="4243">
      <c r="A4243" s="178" t="str">
        <f>IFERROR(__xludf.DUMMYFUNCTION("""COMPUTED_VALUE"""),"ITBISA-IC-74HC595N-DIP16")</f>
        <v>ITBISA-IC-74HC595N-DIP16</v>
      </c>
      <c r="B4243" s="266">
        <f>IFERROR(__xludf.DUMMYFUNCTION("""COMPUTED_VALUE"""),45761.0)</f>
        <v>45761</v>
      </c>
      <c r="C4243" s="266" t="str">
        <f>IFERROR(__xludf.DUMMYFUNCTION("""COMPUTED_VALUE"""),"KERTASARI CIAMIS")</f>
        <v>KERTASARI CIAMIS</v>
      </c>
      <c r="D4243" s="186">
        <f>IFERROR(__xludf.DUMMYFUNCTION("""COMPUTED_VALUE"""),30.0)</f>
        <v>30</v>
      </c>
    </row>
    <row r="4244">
      <c r="A4244" s="178" t="str">
        <f>IFERROR(__xludf.DUMMYFUNCTION("""COMPUTED_VALUE"""),"ITBISA-IC-74HC595N-DIP16")</f>
        <v>ITBISA-IC-74HC595N-DIP16</v>
      </c>
      <c r="B4244" s="266">
        <f>IFERROR(__xludf.DUMMYFUNCTION("""COMPUTED_VALUE"""),45768.0)</f>
        <v>45768</v>
      </c>
      <c r="C4244" s="266" t="str">
        <f>IFERROR(__xludf.DUMMYFUNCTION("""COMPUTED_VALUE"""),"KERTASARI CIAMIS")</f>
        <v>KERTASARI CIAMIS</v>
      </c>
      <c r="D4244" s="186">
        <f>IFERROR(__xludf.DUMMYFUNCTION("""COMPUTED_VALUE"""),20.0)</f>
        <v>20</v>
      </c>
    </row>
    <row r="4245">
      <c r="A4245" s="178" t="str">
        <f>IFERROR(__xludf.DUMMYFUNCTION("""COMPUTED_VALUE"""),"ITBISA-IC-74HC595N-DIP16")</f>
        <v>ITBISA-IC-74HC595N-DIP16</v>
      </c>
      <c r="B4245" s="266">
        <f>IFERROR(__xludf.DUMMYFUNCTION("""COMPUTED_VALUE"""),45820.0)</f>
        <v>45820</v>
      </c>
      <c r="C4245" s="266" t="str">
        <f>IFERROR(__xludf.DUMMYFUNCTION("""COMPUTED_VALUE"""),"KERTASARI CIAMIS")</f>
        <v>KERTASARI CIAMIS</v>
      </c>
      <c r="D4245" s="186">
        <f>IFERROR(__xludf.DUMMYFUNCTION("""COMPUTED_VALUE"""),10.0)</f>
        <v>10</v>
      </c>
    </row>
    <row r="4246">
      <c r="A4246" s="178" t="str">
        <f>IFERROR(__xludf.DUMMYFUNCTION("""COMPUTED_VALUE"""),"ITBISA-IC-74HC595N-DIP16")</f>
        <v>ITBISA-IC-74HC595N-DIP16</v>
      </c>
      <c r="B4246" s="266">
        <f>IFERROR(__xludf.DUMMYFUNCTION("""COMPUTED_VALUE"""),45863.0)</f>
        <v>45863</v>
      </c>
      <c r="C4246" s="266" t="str">
        <f>IFERROR(__xludf.DUMMYFUNCTION("""COMPUTED_VALUE"""),"KYAI KONTONG")</f>
        <v>KYAI KONTONG</v>
      </c>
      <c r="D4246" s="186">
        <f>IFERROR(__xludf.DUMMYFUNCTION("""COMPUTED_VALUE"""),6.0)</f>
        <v>6</v>
      </c>
    </row>
    <row r="4247">
      <c r="A4247" s="178" t="str">
        <f>IFERROR(__xludf.DUMMYFUNCTION("""COMPUTED_VALUE"""),"ITBISA-IC-74HC595N-DIP16")</f>
        <v>ITBISA-IC-74HC595N-DIP16</v>
      </c>
      <c r="B4247" s="266">
        <f>IFERROR(__xludf.DUMMYFUNCTION("""COMPUTED_VALUE"""),45868.0)</f>
        <v>45868</v>
      </c>
      <c r="C4247" s="266" t="str">
        <f>IFERROR(__xludf.DUMMYFUNCTION("""COMPUTED_VALUE"""),"KYAI KONTONG")</f>
        <v>KYAI KONTONG</v>
      </c>
      <c r="D4247" s="186">
        <f>IFERROR(__xludf.DUMMYFUNCTION("""COMPUTED_VALUE"""),10.0)</f>
        <v>10</v>
      </c>
    </row>
    <row r="4248">
      <c r="A4248" s="178" t="str">
        <f>IFERROR(__xludf.DUMMYFUNCTION("""COMPUTED_VALUE"""),"ITBISA-IC-74HC595N-DIP16")</f>
        <v>ITBISA-IC-74HC595N-DIP16</v>
      </c>
      <c r="B4248" s="266">
        <f>IFERROR(__xludf.DUMMYFUNCTION("""COMPUTED_VALUE"""),45927.0)</f>
        <v>45927</v>
      </c>
      <c r="C4248" s="266" t="str">
        <f>IFERROR(__xludf.DUMMYFUNCTION("""COMPUTED_VALUE"""),"KERTASARI CIAMIS")</f>
        <v>KERTASARI CIAMIS</v>
      </c>
      <c r="D4248" s="186">
        <f>IFERROR(__xludf.DUMMYFUNCTION("""COMPUTED_VALUE"""),20.0)</f>
        <v>20</v>
      </c>
    </row>
    <row r="4249">
      <c r="A4249" s="178" t="str">
        <f>IFERROR(__xludf.DUMMYFUNCTION("""COMPUTED_VALUE"""),"ITBISA-IC-74HC595N-DIP16")</f>
        <v>ITBISA-IC-74HC595N-DIP16</v>
      </c>
      <c r="B4249" s="266">
        <f>IFERROR(__xludf.DUMMYFUNCTION("""COMPUTED_VALUE"""),45930.0)</f>
        <v>45930</v>
      </c>
      <c r="C4249" s="266" t="str">
        <f>IFERROR(__xludf.DUMMYFUNCTION("""COMPUTED_VALUE"""),"KERTASARI CIAMIS")</f>
        <v>KERTASARI CIAMIS</v>
      </c>
      <c r="D4249" s="186">
        <f>IFERROR(__xludf.DUMMYFUNCTION("""COMPUTED_VALUE"""),25.0)</f>
        <v>25</v>
      </c>
    </row>
    <row r="4250">
      <c r="A4250" s="178" t="str">
        <f>IFERROR(__xludf.DUMMYFUNCTION("""COMPUTED_VALUE"""),"ITBISA-IC-74HC595N-DIP16")</f>
        <v>ITBISA-IC-74HC595N-DIP16</v>
      </c>
      <c r="B4250" s="266">
        <f>IFERROR(__xludf.DUMMYFUNCTION("""COMPUTED_VALUE"""),45931.0)</f>
        <v>45931</v>
      </c>
      <c r="C4250" s="266" t="str">
        <f>IFERROR(__xludf.DUMMYFUNCTION("""COMPUTED_VALUE"""),"KYAI KONTONG")</f>
        <v>KYAI KONTONG</v>
      </c>
      <c r="D4250" s="186">
        <f>IFERROR(__xludf.DUMMYFUNCTION("""COMPUTED_VALUE"""),5.0)</f>
        <v>5</v>
      </c>
    </row>
    <row r="4251">
      <c r="A4251" s="178" t="str">
        <f>IFERROR(__xludf.DUMMYFUNCTION("""COMPUTED_VALUE"""),"ITBISA-IC-74HC595N-DIP16")</f>
        <v>ITBISA-IC-74HC595N-DIP16</v>
      </c>
      <c r="B4251" s="266">
        <f>IFERROR(__xludf.DUMMYFUNCTION("""COMPUTED_VALUE"""),45932.0)</f>
        <v>45932</v>
      </c>
      <c r="C4251" s="266" t="str">
        <f>IFERROR(__xludf.DUMMYFUNCTION("""COMPUTED_VALUE"""),"KYAI KONTONG")</f>
        <v>KYAI KONTONG</v>
      </c>
      <c r="D4251" s="186">
        <f>IFERROR(__xludf.DUMMYFUNCTION("""COMPUTED_VALUE"""),6.0)</f>
        <v>6</v>
      </c>
    </row>
    <row r="4252">
      <c r="A4252" s="178" t="str">
        <f>IFERROR(__xludf.DUMMYFUNCTION("""COMPUTED_VALUE"""),"ITBISA-IC-74HC595N-DIP16")</f>
        <v>ITBISA-IC-74HC595N-DIP16</v>
      </c>
      <c r="B4252" s="266">
        <f>IFERROR(__xludf.DUMMYFUNCTION("""COMPUTED_VALUE"""),45938.0)</f>
        <v>45938</v>
      </c>
      <c r="C4252" s="266" t="str">
        <f>IFERROR(__xludf.DUMMYFUNCTION("""COMPUTED_VALUE"""),"KERTASARI CIAMIS")</f>
        <v>KERTASARI CIAMIS</v>
      </c>
      <c r="D4252" s="186">
        <f>IFERROR(__xludf.DUMMYFUNCTION("""COMPUTED_VALUE"""),50.0)</f>
        <v>50</v>
      </c>
    </row>
    <row r="4253">
      <c r="A4253" s="178" t="str">
        <f>IFERROR(__xludf.DUMMYFUNCTION("""COMPUTED_VALUE"""),"ITBISA-IC-74HC595N-DIP16")</f>
        <v>ITBISA-IC-74HC595N-DIP16</v>
      </c>
      <c r="B4253" s="266">
        <f>IFERROR(__xludf.DUMMYFUNCTION("""COMPUTED_VALUE"""),45941.0)</f>
        <v>45941</v>
      </c>
      <c r="C4253" s="266" t="str">
        <f>IFERROR(__xludf.DUMMYFUNCTION("""COMPUTED_VALUE"""),"KYAI KONTONG")</f>
        <v>KYAI KONTONG</v>
      </c>
      <c r="D4253" s="186">
        <f>IFERROR(__xludf.DUMMYFUNCTION("""COMPUTED_VALUE"""),5.0)</f>
        <v>5</v>
      </c>
    </row>
    <row r="4254">
      <c r="A4254" s="178" t="str">
        <f>IFERROR(__xludf.DUMMYFUNCTION("""COMPUTED_VALUE"""),"ITBISA-IC-74HC595N-DIP16")</f>
        <v>ITBISA-IC-74HC595N-DIP16</v>
      </c>
      <c r="B4254" s="266">
        <f>IFERROR(__xludf.DUMMYFUNCTION("""COMPUTED_VALUE"""),45944.0)</f>
        <v>45944</v>
      </c>
      <c r="C4254" s="266" t="str">
        <f>IFERROR(__xludf.DUMMYFUNCTION("""COMPUTED_VALUE"""),"KYAI KONTONG")</f>
        <v>KYAI KONTONG</v>
      </c>
      <c r="D4254" s="186">
        <f>IFERROR(__xludf.DUMMYFUNCTION("""COMPUTED_VALUE"""),30.0)</f>
        <v>30</v>
      </c>
    </row>
    <row r="4255">
      <c r="A4255" s="178" t="str">
        <f>IFERROR(__xludf.DUMMYFUNCTION("""COMPUTED_VALUE"""),"ITBISA-IC-74HC595N-DIP16")</f>
        <v>ITBISA-IC-74HC595N-DIP16</v>
      </c>
      <c r="B4255" s="266">
        <f>IFERROR(__xludf.DUMMYFUNCTION("""COMPUTED_VALUE"""),45945.0)</f>
        <v>45945</v>
      </c>
      <c r="C4255" s="266" t="str">
        <f>IFERROR(__xludf.DUMMYFUNCTION("""COMPUTED_VALUE"""),"KERTASARI CIAMIS")</f>
        <v>KERTASARI CIAMIS</v>
      </c>
      <c r="D4255" s="186">
        <f>IFERROR(__xludf.DUMMYFUNCTION("""COMPUTED_VALUE"""),15.0)</f>
        <v>15</v>
      </c>
    </row>
    <row r="4256">
      <c r="A4256" s="178" t="str">
        <f>IFERROR(__xludf.DUMMYFUNCTION("""COMPUTED_VALUE"""),"ITBISA-IC-74HC595N-DIP16")</f>
        <v>ITBISA-IC-74HC595N-DIP16</v>
      </c>
      <c r="B4256" s="266">
        <f>IFERROR(__xludf.DUMMYFUNCTION("""COMPUTED_VALUE"""),45945.0)</f>
        <v>45945</v>
      </c>
      <c r="C4256" s="266" t="str">
        <f>IFERROR(__xludf.DUMMYFUNCTION("""COMPUTED_VALUE"""),"KYAI KONTONG")</f>
        <v>KYAI KONTONG</v>
      </c>
      <c r="D4256" s="186">
        <f>IFERROR(__xludf.DUMMYFUNCTION("""COMPUTED_VALUE"""),20.0)</f>
        <v>20</v>
      </c>
    </row>
    <row r="4257">
      <c r="A4257" s="178" t="str">
        <f>IFERROR(__xludf.DUMMYFUNCTION("""COMPUTED_VALUE"""),"ITBISA-IC-74HC595N-DIP16")</f>
        <v>ITBISA-IC-74HC595N-DIP16</v>
      </c>
      <c r="B4257" s="266">
        <f>IFERROR(__xludf.DUMMYFUNCTION("""COMPUTED_VALUE"""),45946.0)</f>
        <v>45946</v>
      </c>
      <c r="C4257" s="266" t="str">
        <f>IFERROR(__xludf.DUMMYFUNCTION("""COMPUTED_VALUE"""),"KERTASARI CIAMIS")</f>
        <v>KERTASARI CIAMIS</v>
      </c>
      <c r="D4257" s="186">
        <f>IFERROR(__xludf.DUMMYFUNCTION("""COMPUTED_VALUE"""),39.0)</f>
        <v>39</v>
      </c>
    </row>
    <row r="4258">
      <c r="A4258" s="178" t="str">
        <f>IFERROR(__xludf.DUMMYFUNCTION("""COMPUTED_VALUE"""),"ITBISA-IC-74HC595N-DIP16")</f>
        <v>ITBISA-IC-74HC595N-DIP16</v>
      </c>
      <c r="B4258" s="266">
        <f>IFERROR(__xludf.DUMMYFUNCTION("""COMPUTED_VALUE"""),45947.0)</f>
        <v>45947</v>
      </c>
      <c r="C4258" s="266" t="str">
        <f>IFERROR(__xludf.DUMMYFUNCTION("""COMPUTED_VALUE"""),"KERTASARI CIAMIS")</f>
        <v>KERTASARI CIAMIS</v>
      </c>
      <c r="D4258" s="186">
        <f>IFERROR(__xludf.DUMMYFUNCTION("""COMPUTED_VALUE"""),15.0)</f>
        <v>15</v>
      </c>
    </row>
    <row r="4259">
      <c r="A4259" s="178" t="str">
        <f>IFERROR(__xludf.DUMMYFUNCTION("""COMPUTED_VALUE"""),"ITBISA-IC-74HC595N-DIP16")</f>
        <v>ITBISA-IC-74HC595N-DIP16</v>
      </c>
      <c r="B4259" s="266">
        <f>IFERROR(__xludf.DUMMYFUNCTION("""COMPUTED_VALUE"""),45947.0)</f>
        <v>45947</v>
      </c>
      <c r="C4259" s="266" t="str">
        <f>IFERROR(__xludf.DUMMYFUNCTION("""COMPUTED_VALUE"""),"KERTASARI CIAMIS")</f>
        <v>KERTASARI CIAMIS</v>
      </c>
      <c r="D4259" s="186">
        <f>IFERROR(__xludf.DUMMYFUNCTION("""COMPUTED_VALUE"""),20.0)</f>
        <v>20</v>
      </c>
    </row>
    <row r="4260">
      <c r="A4260" s="178" t="str">
        <f>IFERROR(__xludf.DUMMYFUNCTION("""COMPUTED_VALUE"""),"ITBISA-IC-74HC595N-DIP16")</f>
        <v>ITBISA-IC-74HC595N-DIP16</v>
      </c>
      <c r="B4260" s="266">
        <f>IFERROR(__xludf.DUMMYFUNCTION("""COMPUTED_VALUE"""),45947.0)</f>
        <v>45947</v>
      </c>
      <c r="C4260" s="266" t="str">
        <f>IFERROR(__xludf.DUMMYFUNCTION("""COMPUTED_VALUE"""),"KERTASARI CIAMIS")</f>
        <v>KERTASARI CIAMIS</v>
      </c>
      <c r="D4260" s="186">
        <f>IFERROR(__xludf.DUMMYFUNCTION("""COMPUTED_VALUE"""),40.0)</f>
        <v>40</v>
      </c>
    </row>
    <row r="4261">
      <c r="A4261" s="178" t="str">
        <f>IFERROR(__xludf.DUMMYFUNCTION("""COMPUTED_VALUE"""),"ITBISA-IC-74HC595N-DIP16")</f>
        <v>ITBISA-IC-74HC595N-DIP16</v>
      </c>
      <c r="B4261" s="266">
        <f>IFERROR(__xludf.DUMMYFUNCTION("""COMPUTED_VALUE"""),45948.0)</f>
        <v>45948</v>
      </c>
      <c r="C4261" s="266" t="str">
        <f>IFERROR(__xludf.DUMMYFUNCTION("""COMPUTED_VALUE"""),"KYAI KONTONG")</f>
        <v>KYAI KONTONG</v>
      </c>
      <c r="D4261" s="186">
        <f>IFERROR(__xludf.DUMMYFUNCTION("""COMPUTED_VALUE"""),5.0)</f>
        <v>5</v>
      </c>
    </row>
    <row r="4262">
      <c r="A4262" s="178" t="str">
        <f>IFERROR(__xludf.DUMMYFUNCTION("""COMPUTED_VALUE"""),"ITBISA-IC-74HC595N-DIP16")</f>
        <v>ITBISA-IC-74HC595N-DIP16</v>
      </c>
      <c r="B4262" s="266">
        <f>IFERROR(__xludf.DUMMYFUNCTION("""COMPUTED_VALUE"""),45973.0)</f>
        <v>45973</v>
      </c>
      <c r="C4262" s="266" t="str">
        <f>IFERROR(__xludf.DUMMYFUNCTION("""COMPUTED_VALUE"""),"KERTASARI CIAMIS")</f>
        <v>KERTASARI CIAMIS</v>
      </c>
      <c r="D4262" s="186">
        <f>IFERROR(__xludf.DUMMYFUNCTION("""COMPUTED_VALUE"""),50.0)</f>
        <v>50</v>
      </c>
    </row>
    <row r="4263">
      <c r="A4263" s="178" t="str">
        <f>IFERROR(__xludf.DUMMYFUNCTION("""COMPUTED_VALUE"""),"ITBISA-IC-74HC595N-DIP16")</f>
        <v>ITBISA-IC-74HC595N-DIP16</v>
      </c>
      <c r="B4263" s="266">
        <f>IFERROR(__xludf.DUMMYFUNCTION("""COMPUTED_VALUE"""),45975.0)</f>
        <v>45975</v>
      </c>
      <c r="C4263" s="266" t="str">
        <f>IFERROR(__xludf.DUMMYFUNCTION("""COMPUTED_VALUE"""),"KERTASARI CIAMIS")</f>
        <v>KERTASARI CIAMIS</v>
      </c>
      <c r="D4263" s="186">
        <f>IFERROR(__xludf.DUMMYFUNCTION("""COMPUTED_VALUE"""),10.0)</f>
        <v>10</v>
      </c>
    </row>
    <row r="4264">
      <c r="A4264" s="178" t="str">
        <f>IFERROR(__xludf.DUMMYFUNCTION("""COMPUTED_VALUE"""),"ITBISA-IC-74HC595N-DIP16")</f>
        <v>ITBISA-IC-74HC595N-DIP16</v>
      </c>
      <c r="B4264" s="266">
        <f>IFERROR(__xludf.DUMMYFUNCTION("""COMPUTED_VALUE"""),45981.0)</f>
        <v>45981</v>
      </c>
      <c r="C4264" s="266" t="str">
        <f>IFERROR(__xludf.DUMMYFUNCTION("""COMPUTED_VALUE"""),"KERTASARI CIAMIS")</f>
        <v>KERTASARI CIAMIS</v>
      </c>
      <c r="D4264" s="186">
        <f>IFERROR(__xludf.DUMMYFUNCTION("""COMPUTED_VALUE"""),1.0)</f>
        <v>1</v>
      </c>
    </row>
    <row r="4265">
      <c r="A4265" s="178" t="str">
        <f>IFERROR(__xludf.DUMMYFUNCTION("""COMPUTED_VALUE"""),"ITBISA-IC-74HC595N-DIP16")</f>
        <v>ITBISA-IC-74HC595N-DIP16</v>
      </c>
      <c r="B4265" s="266">
        <f>IFERROR(__xludf.DUMMYFUNCTION("""COMPUTED_VALUE"""),46007.0)</f>
        <v>46007</v>
      </c>
      <c r="C4265" s="266" t="str">
        <f>IFERROR(__xludf.DUMMYFUNCTION("""COMPUTED_VALUE"""),"KYAI KONTONG")</f>
        <v>KYAI KONTONG</v>
      </c>
      <c r="D4265" s="186">
        <f>IFERROR(__xludf.DUMMYFUNCTION("""COMPUTED_VALUE"""),30.0)</f>
        <v>30</v>
      </c>
    </row>
    <row r="4266">
      <c r="A4266" s="178" t="str">
        <f>IFERROR(__xludf.DUMMYFUNCTION("""COMPUTED_VALUE"""),"ITBISA-IC-74HC595N-DIP16")</f>
        <v>ITBISA-IC-74HC595N-DIP16</v>
      </c>
      <c r="B4266" s="266">
        <f>IFERROR(__xludf.DUMMYFUNCTION("""COMPUTED_VALUE"""),46008.0)</f>
        <v>46008</v>
      </c>
      <c r="C4266" s="266" t="str">
        <f>IFERROR(__xludf.DUMMYFUNCTION("""COMPUTED_VALUE"""),"KYAI KONTONG")</f>
        <v>KYAI KONTONG</v>
      </c>
      <c r="D4266" s="186">
        <f>IFERROR(__xludf.DUMMYFUNCTION("""COMPUTED_VALUE"""),50.0)</f>
        <v>50</v>
      </c>
    </row>
    <row r="4267">
      <c r="A4267" s="178" t="str">
        <f>IFERROR(__xludf.DUMMYFUNCTION("""COMPUTED_VALUE"""),"ITBISA-IC-74HC595N-DIP16")</f>
        <v>ITBISA-IC-74HC595N-DIP16</v>
      </c>
      <c r="B4267" s="266">
        <f>IFERROR(__xludf.DUMMYFUNCTION("""COMPUTED_VALUE"""),46010.0)</f>
        <v>46010</v>
      </c>
      <c r="C4267" s="266" t="str">
        <f>IFERROR(__xludf.DUMMYFUNCTION("""COMPUTED_VALUE"""),"KYAI KONTONG")</f>
        <v>KYAI KONTONG</v>
      </c>
      <c r="D4267" s="186">
        <f>IFERROR(__xludf.DUMMYFUNCTION("""COMPUTED_VALUE"""),8.0)</f>
        <v>8</v>
      </c>
    </row>
    <row r="4268">
      <c r="A4268" s="178" t="str">
        <f>IFERROR(__xludf.DUMMYFUNCTION("""COMPUTED_VALUE"""),"ITBISA-IC-74HC595N-DIP16")</f>
        <v>ITBISA-IC-74HC595N-DIP16</v>
      </c>
      <c r="B4268" s="266">
        <f>IFERROR(__xludf.DUMMYFUNCTION("""COMPUTED_VALUE"""),46011.0)</f>
        <v>46011</v>
      </c>
      <c r="C4268" s="266" t="str">
        <f>IFERROR(__xludf.DUMMYFUNCTION("""COMPUTED_VALUE"""),"KYAI KONTONG")</f>
        <v>KYAI KONTONG</v>
      </c>
      <c r="D4268" s="186">
        <f>IFERROR(__xludf.DUMMYFUNCTION("""COMPUTED_VALUE"""),5.0)</f>
        <v>5</v>
      </c>
    </row>
    <row r="4269">
      <c r="A4269" s="178" t="str">
        <f>IFERROR(__xludf.DUMMYFUNCTION("""COMPUTED_VALUE"""),"ITBISA-IC-74HC595N-DIP16")</f>
        <v>ITBISA-IC-74HC595N-DIP16</v>
      </c>
      <c r="B4269" s="266">
        <f>IFERROR(__xludf.DUMMYFUNCTION("""COMPUTED_VALUE"""),46012.0)</f>
        <v>46012</v>
      </c>
      <c r="C4269" s="266" t="str">
        <f>IFERROR(__xludf.DUMMYFUNCTION("""COMPUTED_VALUE"""),"KYAI KONTONG")</f>
        <v>KYAI KONTONG</v>
      </c>
      <c r="D4269" s="186">
        <f>IFERROR(__xludf.DUMMYFUNCTION("""COMPUTED_VALUE"""),15.0)</f>
        <v>15</v>
      </c>
    </row>
    <row r="4270">
      <c r="A4270" s="178" t="str">
        <f>IFERROR(__xludf.DUMMYFUNCTION("""COMPUTED_VALUE"""),"ITBISA-IC-74HC595N-DIP16")</f>
        <v>ITBISA-IC-74HC595N-DIP16</v>
      </c>
      <c r="B4270" s="266">
        <f>IFERROR(__xludf.DUMMYFUNCTION("""COMPUTED_VALUE"""),46015.0)</f>
        <v>46015</v>
      </c>
      <c r="C4270" s="266" t="str">
        <f>IFERROR(__xludf.DUMMYFUNCTION("""COMPUTED_VALUE"""),"KYAI KONTONG")</f>
        <v>KYAI KONTONG</v>
      </c>
      <c r="D4270" s="186">
        <f>IFERROR(__xludf.DUMMYFUNCTION("""COMPUTED_VALUE"""),12.0)</f>
        <v>12</v>
      </c>
    </row>
    <row r="4271">
      <c r="A4271" s="178" t="str">
        <f>IFERROR(__xludf.DUMMYFUNCTION("""COMPUTED_VALUE"""),"ITBISA-IC-74HC595N-DIP16")</f>
        <v>ITBISA-IC-74HC595N-DIP16</v>
      </c>
      <c r="B4271" s="266">
        <f>IFERROR(__xludf.DUMMYFUNCTION("""COMPUTED_VALUE"""),46016.0)</f>
        <v>46016</v>
      </c>
      <c r="C4271" s="266" t="str">
        <f>IFERROR(__xludf.DUMMYFUNCTION("""COMPUTED_VALUE"""),"KYAI KONTONG")</f>
        <v>KYAI KONTONG</v>
      </c>
      <c r="D4271" s="186">
        <f>IFERROR(__xludf.DUMMYFUNCTION("""COMPUTED_VALUE"""),5.0)</f>
        <v>5</v>
      </c>
    </row>
    <row r="4272">
      <c r="A4272" s="178" t="str">
        <f>IFERROR(__xludf.DUMMYFUNCTION("""COMPUTED_VALUE"""),"ITBISA-IC-74HC595N-DIP16")</f>
        <v>ITBISA-IC-74HC595N-DIP16</v>
      </c>
      <c r="B4272" s="266">
        <f>IFERROR(__xludf.DUMMYFUNCTION("""COMPUTED_VALUE"""),46018.0)</f>
        <v>46018</v>
      </c>
      <c r="C4272" s="266" t="str">
        <f>IFERROR(__xludf.DUMMYFUNCTION("""COMPUTED_VALUE"""),"KYAI KONTONG")</f>
        <v>KYAI KONTONG</v>
      </c>
      <c r="D4272" s="186">
        <f>IFERROR(__xludf.DUMMYFUNCTION("""COMPUTED_VALUE"""),75.0)</f>
        <v>75</v>
      </c>
    </row>
    <row r="4273">
      <c r="A4273" s="178" t="str">
        <f>IFERROR(__xludf.DUMMYFUNCTION("""COMPUTED_VALUE"""),"ITBISA-IC-74HC595N-DIP16")</f>
        <v>ITBISA-IC-74HC595N-DIP16</v>
      </c>
      <c r="B4273" s="266">
        <f>IFERROR(__xludf.DUMMYFUNCTION("""COMPUTED_VALUE"""),46019.0)</f>
        <v>46019</v>
      </c>
      <c r="C4273" s="266" t="str">
        <f>IFERROR(__xludf.DUMMYFUNCTION("""COMPUTED_VALUE"""),"KYAI KONTONG")</f>
        <v>KYAI KONTONG</v>
      </c>
      <c r="D4273" s="186">
        <f>IFERROR(__xludf.DUMMYFUNCTION("""COMPUTED_VALUE"""),9.0)</f>
        <v>9</v>
      </c>
    </row>
    <row r="4274">
      <c r="A4274" s="178" t="str">
        <f>IFERROR(__xludf.DUMMYFUNCTION("""COMPUTED_VALUE"""),"ITBISA-IC-74HC595N-DIP16")</f>
        <v>ITBISA-IC-74HC595N-DIP16</v>
      </c>
      <c r="B4274" s="266">
        <f>IFERROR(__xludf.DUMMYFUNCTION("""COMPUTED_VALUE"""),46019.0)</f>
        <v>46019</v>
      </c>
      <c r="C4274" s="266" t="str">
        <f>IFERROR(__xludf.DUMMYFUNCTION("""COMPUTED_VALUE"""),"KYAI KONTONG")</f>
        <v>KYAI KONTONG</v>
      </c>
      <c r="D4274" s="186">
        <f>IFERROR(__xludf.DUMMYFUNCTION("""COMPUTED_VALUE"""),17.0)</f>
        <v>17</v>
      </c>
    </row>
    <row r="4275">
      <c r="A4275" s="178" t="str">
        <f>IFERROR(__xludf.DUMMYFUNCTION("""COMPUTED_VALUE"""),"ITBISA-IC-74HC595N-DIP16")</f>
        <v>ITBISA-IC-74HC595N-DIP16</v>
      </c>
      <c r="B4275" s="266">
        <f>IFERROR(__xludf.DUMMYFUNCTION("""COMPUTED_VALUE"""),46019.0)</f>
        <v>46019</v>
      </c>
      <c r="C4275" s="266" t="str">
        <f>IFERROR(__xludf.DUMMYFUNCTION("""COMPUTED_VALUE"""),"KYAI KONTONG")</f>
        <v>KYAI KONTONG</v>
      </c>
      <c r="D4275" s="186">
        <f>IFERROR(__xludf.DUMMYFUNCTION("""COMPUTED_VALUE"""),20.0)</f>
        <v>20</v>
      </c>
    </row>
    <row r="4276">
      <c r="A4276" s="178" t="str">
        <f>IFERROR(__xludf.DUMMYFUNCTION("""COMPUTED_VALUE"""),"ITBISA-IC-74HC595N-DIP16")</f>
        <v>ITBISA-IC-74HC595N-DIP16</v>
      </c>
      <c r="B4276" s="266">
        <f>IFERROR(__xludf.DUMMYFUNCTION("""COMPUTED_VALUE"""),46019.0)</f>
        <v>46019</v>
      </c>
      <c r="C4276" s="266" t="str">
        <f>IFERROR(__xludf.DUMMYFUNCTION("""COMPUTED_VALUE"""),"KYAI KONTONG")</f>
        <v>KYAI KONTONG</v>
      </c>
      <c r="D4276" s="186">
        <f>IFERROR(__xludf.DUMMYFUNCTION("""COMPUTED_VALUE"""),20.0)</f>
        <v>20</v>
      </c>
    </row>
    <row r="4277">
      <c r="A4277" s="178" t="str">
        <f>IFERROR(__xludf.DUMMYFUNCTION("""COMPUTED_VALUE"""),"ITBISA-IC-74HC595N-DIP16")</f>
        <v>ITBISA-IC-74HC595N-DIP16</v>
      </c>
      <c r="B4277" s="266">
        <f>IFERROR(__xludf.DUMMYFUNCTION("""COMPUTED_VALUE"""),46019.0)</f>
        <v>46019</v>
      </c>
      <c r="C4277" s="266" t="str">
        <f>IFERROR(__xludf.DUMMYFUNCTION("""COMPUTED_VALUE"""),"KYAI KONTONG")</f>
        <v>KYAI KONTONG</v>
      </c>
      <c r="D4277" s="186">
        <f>IFERROR(__xludf.DUMMYFUNCTION("""COMPUTED_VALUE"""),400.0)</f>
        <v>400</v>
      </c>
    </row>
    <row r="4278">
      <c r="A4278" s="178" t="str">
        <f>IFERROR(__xludf.DUMMYFUNCTION("""COMPUTED_VALUE"""),"ITBISA-IC-74HC595N-DIP16")</f>
        <v>ITBISA-IC-74HC595N-DIP16</v>
      </c>
      <c r="B4278" s="266">
        <f>IFERROR(__xludf.DUMMYFUNCTION("""COMPUTED_VALUE"""),46020.0)</f>
        <v>46020</v>
      </c>
      <c r="C4278" s="266" t="str">
        <f>IFERROR(__xludf.DUMMYFUNCTION("""COMPUTED_VALUE"""),"KYAI KONTONG")</f>
        <v>KYAI KONTONG</v>
      </c>
      <c r="D4278" s="186">
        <f>IFERROR(__xludf.DUMMYFUNCTION("""COMPUTED_VALUE"""),200.0)</f>
        <v>200</v>
      </c>
    </row>
    <row r="4279">
      <c r="A4279" s="178" t="str">
        <f>IFERROR(__xludf.DUMMYFUNCTION("""COMPUTED_VALUE"""),"ITBISA-IC-74HC595N-DIP16")</f>
        <v>ITBISA-IC-74HC595N-DIP16</v>
      </c>
      <c r="B4279" s="266">
        <f>IFERROR(__xludf.DUMMYFUNCTION("""COMPUTED_VALUE"""),46021.0)</f>
        <v>46021</v>
      </c>
      <c r="C4279" s="266" t="str">
        <f>IFERROR(__xludf.DUMMYFUNCTION("""COMPUTED_VALUE"""),"KYAI KONTONG")</f>
        <v>KYAI KONTONG</v>
      </c>
      <c r="D4279" s="186">
        <f>IFERROR(__xludf.DUMMYFUNCTION("""COMPUTED_VALUE"""),10.0)</f>
        <v>10</v>
      </c>
    </row>
    <row r="4280">
      <c r="A4280" s="178" t="str">
        <f>IFERROR(__xludf.DUMMYFUNCTION("""COMPUTED_VALUE"""),"ITBISA-IC-74HC595N-DIP16")</f>
        <v>ITBISA-IC-74HC595N-DIP16</v>
      </c>
      <c r="B4280" s="266">
        <f>IFERROR(__xludf.DUMMYFUNCTION("""COMPUTED_VALUE"""),46021.0)</f>
        <v>46021</v>
      </c>
      <c r="C4280" s="266" t="str">
        <f>IFERROR(__xludf.DUMMYFUNCTION("""COMPUTED_VALUE"""),"KYAI KONTONG")</f>
        <v>KYAI KONTONG</v>
      </c>
      <c r="D4280" s="186">
        <f>IFERROR(__xludf.DUMMYFUNCTION("""COMPUTED_VALUE"""),10.0)</f>
        <v>10</v>
      </c>
    </row>
    <row r="4281">
      <c r="A4281" s="178" t="str">
        <f>IFERROR(__xludf.DUMMYFUNCTION("""COMPUTED_VALUE"""),"ITBISA-IC-74HC595N-DIP16")</f>
        <v>ITBISA-IC-74HC595N-DIP16</v>
      </c>
      <c r="B4281" s="266">
        <f>IFERROR(__xludf.DUMMYFUNCTION("""COMPUTED_VALUE"""),46021.0)</f>
        <v>46021</v>
      </c>
      <c r="C4281" s="266" t="str">
        <f>IFERROR(__xludf.DUMMYFUNCTION("""COMPUTED_VALUE"""),"KYAI KONTONG")</f>
        <v>KYAI KONTONG</v>
      </c>
      <c r="D4281" s="186">
        <f>IFERROR(__xludf.DUMMYFUNCTION("""COMPUTED_VALUE"""),10.0)</f>
        <v>10</v>
      </c>
    </row>
    <row r="4282">
      <c r="A4282" s="178" t="str">
        <f>IFERROR(__xludf.DUMMYFUNCTION("""COMPUTED_VALUE"""),"ITBISA-IC-74HC595N-DIP16")</f>
        <v>ITBISA-IC-74HC595N-DIP16</v>
      </c>
      <c r="B4282" s="266">
        <f>IFERROR(__xludf.DUMMYFUNCTION("""COMPUTED_VALUE"""),46022.0)</f>
        <v>46022</v>
      </c>
      <c r="C4282" s="266" t="str">
        <f>IFERROR(__xludf.DUMMYFUNCTION("""COMPUTED_VALUE"""),"KYAI KONTONG")</f>
        <v>KYAI KONTONG</v>
      </c>
      <c r="D4282" s="186">
        <f>IFERROR(__xludf.DUMMYFUNCTION("""COMPUTED_VALUE"""),40.0)</f>
        <v>40</v>
      </c>
    </row>
    <row r="4283">
      <c r="A4283" s="178" t="str">
        <f>IFERROR(__xludf.DUMMYFUNCTION("""COMPUTED_VALUE"""),"ITBISA-IC-78L05-TO92")</f>
        <v>ITBISA-IC-78L05-TO92</v>
      </c>
      <c r="B4283" s="266">
        <f>IFERROR(__xludf.DUMMYFUNCTION("""COMPUTED_VALUE"""),44002.0)</f>
        <v>44002</v>
      </c>
      <c r="C4283" s="266" t="str">
        <f>IFERROR(__xludf.DUMMYFUNCTION("""COMPUTED_VALUE"""),"KAETOBO RESIDENCE")</f>
        <v>KAETOBO RESIDENCE</v>
      </c>
      <c r="D4283" s="186">
        <f>IFERROR(__xludf.DUMMYFUNCTION("""COMPUTED_VALUE"""),10.0)</f>
        <v>10</v>
      </c>
    </row>
    <row r="4284">
      <c r="A4284" s="178" t="str">
        <f>IFERROR(__xludf.DUMMYFUNCTION("""COMPUTED_VALUE"""),"ITBISA-IC-78L05-TO92")</f>
        <v>ITBISA-IC-78L05-TO92</v>
      </c>
      <c r="B4284" s="266">
        <f>IFERROR(__xludf.DUMMYFUNCTION("""COMPUTED_VALUE"""),44011.0)</f>
        <v>44011</v>
      </c>
      <c r="C4284" s="266" t="str">
        <f>IFERROR(__xludf.DUMMYFUNCTION("""COMPUTED_VALUE"""),"KAETOBO RESIDENCE")</f>
        <v>KAETOBO RESIDENCE</v>
      </c>
      <c r="D4284" s="186">
        <f>IFERROR(__xludf.DUMMYFUNCTION("""COMPUTED_VALUE"""),340.0)</f>
        <v>340</v>
      </c>
    </row>
    <row r="4285">
      <c r="A4285" s="178" t="str">
        <f>IFERROR(__xludf.DUMMYFUNCTION("""COMPUTED_VALUE"""),"ITBISA-IC-78L05-TO92")</f>
        <v>ITBISA-IC-78L05-TO92</v>
      </c>
      <c r="B4285" s="266">
        <f>IFERROR(__xludf.DUMMYFUNCTION("""COMPUTED_VALUE"""),44058.0)</f>
        <v>44058</v>
      </c>
      <c r="C4285" s="266" t="str">
        <f>IFERROR(__xludf.DUMMYFUNCTION("""COMPUTED_VALUE"""),"KOST SRITUNGGAL")</f>
        <v>KOST SRITUNGGAL</v>
      </c>
      <c r="D4285" s="186">
        <f>IFERROR(__xludf.DUMMYFUNCTION("""COMPUTED_VALUE"""),4.0)</f>
        <v>4</v>
      </c>
    </row>
    <row r="4286">
      <c r="A4286" s="178" t="str">
        <f>IFERROR(__xludf.DUMMYFUNCTION("""COMPUTED_VALUE"""),"ITBISA-IC-78L05-TO92")</f>
        <v>ITBISA-IC-78L05-TO92</v>
      </c>
      <c r="B4286" s="266">
        <f>IFERROR(__xludf.DUMMYFUNCTION("""COMPUTED_VALUE"""),44177.0)</f>
        <v>44177</v>
      </c>
      <c r="C4286" s="266" t="str">
        <f>IFERROR(__xludf.DUMMYFUNCTION("""COMPUTED_VALUE"""),"KOST RUMAHUMI")</f>
        <v>KOST RUMAHUMI</v>
      </c>
      <c r="D4286" s="186">
        <f>IFERROR(__xludf.DUMMYFUNCTION("""COMPUTED_VALUE"""),250.0)</f>
        <v>250</v>
      </c>
    </row>
    <row r="4287">
      <c r="A4287" s="178" t="str">
        <f>IFERROR(__xludf.DUMMYFUNCTION("""COMPUTED_VALUE"""),"ITBISA-IC-78L05-TO92")</f>
        <v>ITBISA-IC-78L05-TO92</v>
      </c>
      <c r="B4287" s="266">
        <f>IFERROR(__xludf.DUMMYFUNCTION("""COMPUTED_VALUE"""),44230.0)</f>
        <v>44230</v>
      </c>
      <c r="C4287" s="266" t="str">
        <f>IFERROR(__xludf.DUMMYFUNCTION("""COMPUTED_VALUE"""),"KOST RUMAHUMI")</f>
        <v>KOST RUMAHUMI</v>
      </c>
      <c r="D4287" s="186">
        <f>IFERROR(__xludf.DUMMYFUNCTION("""COMPUTED_VALUE"""),84.0)</f>
        <v>84</v>
      </c>
    </row>
    <row r="4288">
      <c r="A4288" s="178" t="str">
        <f>IFERROR(__xludf.DUMMYFUNCTION("""COMPUTED_VALUE"""),"ITBISA-IC-78L05-TO92")</f>
        <v>ITBISA-IC-78L05-TO92</v>
      </c>
      <c r="B4288" s="266">
        <f>IFERROR(__xludf.DUMMYFUNCTION("""COMPUTED_VALUE"""),44825.0)</f>
        <v>44825</v>
      </c>
      <c r="C4288" s="266" t="str">
        <f>IFERROR(__xludf.DUMMYFUNCTION("""COMPUTED_VALUE"""),"KYAI KONTONG")</f>
        <v>KYAI KONTONG</v>
      </c>
      <c r="D4288" s="186">
        <f>IFERROR(__xludf.DUMMYFUNCTION("""COMPUTED_VALUE"""),50.0)</f>
        <v>50</v>
      </c>
    </row>
    <row r="4289">
      <c r="A4289" s="178" t="str">
        <f>IFERROR(__xludf.DUMMYFUNCTION("""COMPUTED_VALUE"""),"ITBISA-IC-78L05-TO92")</f>
        <v>ITBISA-IC-78L05-TO92</v>
      </c>
      <c r="B4289" s="266">
        <f>IFERROR(__xludf.DUMMYFUNCTION("""COMPUTED_VALUE"""),44826.0)</f>
        <v>44826</v>
      </c>
      <c r="C4289" s="266" t="str">
        <f>IFERROR(__xludf.DUMMYFUNCTION("""COMPUTED_VALUE"""),"KYAI KONTONG")</f>
        <v>KYAI KONTONG</v>
      </c>
      <c r="D4289" s="186">
        <f>IFERROR(__xludf.DUMMYFUNCTION("""COMPUTED_VALUE"""),10.0)</f>
        <v>10</v>
      </c>
    </row>
    <row r="4290">
      <c r="A4290" s="178" t="str">
        <f>IFERROR(__xludf.DUMMYFUNCTION("""COMPUTED_VALUE"""),"ITBISA-IC-78L05-TO92")</f>
        <v>ITBISA-IC-78L05-TO92</v>
      </c>
      <c r="B4290" s="266">
        <f>IFERROR(__xludf.DUMMYFUNCTION("""COMPUTED_VALUE"""),44832.0)</f>
        <v>44832</v>
      </c>
      <c r="C4290" s="266" t="str">
        <f>IFERROR(__xludf.DUMMYFUNCTION("""COMPUTED_VALUE"""),"KYAI KONTONG")</f>
        <v>KYAI KONTONG</v>
      </c>
      <c r="D4290" s="186">
        <f>IFERROR(__xludf.DUMMYFUNCTION("""COMPUTED_VALUE"""),2.0)</f>
        <v>2</v>
      </c>
    </row>
    <row r="4291">
      <c r="A4291" s="178" t="str">
        <f>IFERROR(__xludf.DUMMYFUNCTION("""COMPUTED_VALUE"""),"ITBISA-IC-78L05-TO92")</f>
        <v>ITBISA-IC-78L05-TO92</v>
      </c>
      <c r="B4291" s="266">
        <f>IFERROR(__xludf.DUMMYFUNCTION("""COMPUTED_VALUE"""),44844.0)</f>
        <v>44844</v>
      </c>
      <c r="C4291" s="266" t="str">
        <f>IFERROR(__xludf.DUMMYFUNCTION("""COMPUTED_VALUE"""),"KYAI KONTONG")</f>
        <v>KYAI KONTONG</v>
      </c>
      <c r="D4291" s="186">
        <f>IFERROR(__xludf.DUMMYFUNCTION("""COMPUTED_VALUE"""),20.0)</f>
        <v>20</v>
      </c>
    </row>
    <row r="4292">
      <c r="A4292" s="178" t="str">
        <f>IFERROR(__xludf.DUMMYFUNCTION("""COMPUTED_VALUE"""),"ITBISA-IC-78L05-TO92")</f>
        <v>ITBISA-IC-78L05-TO92</v>
      </c>
      <c r="B4292" s="266">
        <f>IFERROR(__xludf.DUMMYFUNCTION("""COMPUTED_VALUE"""),44881.0)</f>
        <v>44881</v>
      </c>
      <c r="C4292" s="266" t="str">
        <f>IFERROR(__xludf.DUMMYFUNCTION("""COMPUTED_VALUE"""),"KYAI KONTONG")</f>
        <v>KYAI KONTONG</v>
      </c>
      <c r="D4292" s="186">
        <f>IFERROR(__xludf.DUMMYFUNCTION("""COMPUTED_VALUE"""),250.0)</f>
        <v>250</v>
      </c>
    </row>
    <row r="4293">
      <c r="A4293" s="178" t="str">
        <f>IFERROR(__xludf.DUMMYFUNCTION("""COMPUTED_VALUE"""),"ITBISA-IC-78L05-TO92")</f>
        <v>ITBISA-IC-78L05-TO92</v>
      </c>
      <c r="B4293" s="266">
        <f>IFERROR(__xludf.DUMMYFUNCTION("""COMPUTED_VALUE"""),44909.0)</f>
        <v>44909</v>
      </c>
      <c r="C4293" s="266" t="str">
        <f>IFERROR(__xludf.DUMMYFUNCTION("""COMPUTED_VALUE"""),"KYAI KONTONG")</f>
        <v>KYAI KONTONG</v>
      </c>
      <c r="D4293" s="186">
        <f>IFERROR(__xludf.DUMMYFUNCTION("""COMPUTED_VALUE"""),20.0)</f>
        <v>20</v>
      </c>
    </row>
    <row r="4294">
      <c r="A4294" s="178" t="str">
        <f>IFERROR(__xludf.DUMMYFUNCTION("""COMPUTED_VALUE"""),"ITBISA-IC-78L05-TO92")</f>
        <v>ITBISA-IC-78L05-TO92</v>
      </c>
      <c r="B4294" s="266">
        <f>IFERROR(__xludf.DUMMYFUNCTION("""COMPUTED_VALUE"""),44936.0)</f>
        <v>44936</v>
      </c>
      <c r="C4294" s="266" t="str">
        <f>IFERROR(__xludf.DUMMYFUNCTION("""COMPUTED_VALUE"""),"KYAI KONTONG")</f>
        <v>KYAI KONTONG</v>
      </c>
      <c r="D4294" s="186">
        <f>IFERROR(__xludf.DUMMYFUNCTION("""COMPUTED_VALUE"""),13.0)</f>
        <v>13</v>
      </c>
    </row>
    <row r="4295">
      <c r="A4295" s="178" t="str">
        <f>IFERROR(__xludf.DUMMYFUNCTION("""COMPUTED_VALUE"""),"ITBISA-IC-78L05-TO92")</f>
        <v>ITBISA-IC-78L05-TO92</v>
      </c>
      <c r="B4295" s="266">
        <f>IFERROR(__xludf.DUMMYFUNCTION("""COMPUTED_VALUE"""),44943.0)</f>
        <v>44943</v>
      </c>
      <c r="C4295" s="266" t="str">
        <f>IFERROR(__xludf.DUMMYFUNCTION("""COMPUTED_VALUE"""),"KYAI KONTONG")</f>
        <v>KYAI KONTONG</v>
      </c>
      <c r="D4295" s="186">
        <f>IFERROR(__xludf.DUMMYFUNCTION("""COMPUTED_VALUE"""),50.0)</f>
        <v>50</v>
      </c>
    </row>
    <row r="4296">
      <c r="A4296" s="178" t="str">
        <f>IFERROR(__xludf.DUMMYFUNCTION("""COMPUTED_VALUE"""),"ITBISA-IC-78L05-TO92")</f>
        <v>ITBISA-IC-78L05-TO92</v>
      </c>
      <c r="B4296" s="266">
        <f>IFERROR(__xludf.DUMMYFUNCTION("""COMPUTED_VALUE"""),44951.0)</f>
        <v>44951</v>
      </c>
      <c r="C4296" s="266" t="str">
        <f>IFERROR(__xludf.DUMMYFUNCTION("""COMPUTED_VALUE"""),"KYAI KONTONG")</f>
        <v>KYAI KONTONG</v>
      </c>
      <c r="D4296" s="186">
        <f>IFERROR(__xludf.DUMMYFUNCTION("""COMPUTED_VALUE"""),10.0)</f>
        <v>10</v>
      </c>
    </row>
    <row r="4297">
      <c r="A4297" s="178" t="str">
        <f>IFERROR(__xludf.DUMMYFUNCTION("""COMPUTED_VALUE"""),"ITBISA-IC-78L05-TO92")</f>
        <v>ITBISA-IC-78L05-TO92</v>
      </c>
      <c r="B4297" s="266">
        <f>IFERROR(__xludf.DUMMYFUNCTION("""COMPUTED_VALUE"""),44953.0)</f>
        <v>44953</v>
      </c>
      <c r="C4297" s="266" t="str">
        <f>IFERROR(__xludf.DUMMYFUNCTION("""COMPUTED_VALUE"""),"KYAI KONTONG")</f>
        <v>KYAI KONTONG</v>
      </c>
      <c r="D4297" s="186">
        <f>IFERROR(__xludf.DUMMYFUNCTION("""COMPUTED_VALUE"""),5.0)</f>
        <v>5</v>
      </c>
    </row>
    <row r="4298">
      <c r="A4298" s="178" t="str">
        <f>IFERROR(__xludf.DUMMYFUNCTION("""COMPUTED_VALUE"""),"ITBISA-IC-78L05-TO92")</f>
        <v>ITBISA-IC-78L05-TO92</v>
      </c>
      <c r="B4298" s="266">
        <f>IFERROR(__xludf.DUMMYFUNCTION("""COMPUTED_VALUE"""),44954.0)</f>
        <v>44954</v>
      </c>
      <c r="C4298" s="266" t="str">
        <f>IFERROR(__xludf.DUMMYFUNCTION("""COMPUTED_VALUE"""),"KYAI KONTONG")</f>
        <v>KYAI KONTONG</v>
      </c>
      <c r="D4298" s="186">
        <f>IFERROR(__xludf.DUMMYFUNCTION("""COMPUTED_VALUE"""),50.0)</f>
        <v>50</v>
      </c>
    </row>
    <row r="4299">
      <c r="A4299" s="178" t="str">
        <f>IFERROR(__xludf.DUMMYFUNCTION("""COMPUTED_VALUE"""),"ITBISA-IC-78L05-TO92")</f>
        <v>ITBISA-IC-78L05-TO92</v>
      </c>
      <c r="B4299" s="266">
        <f>IFERROR(__xludf.DUMMYFUNCTION("""COMPUTED_VALUE"""),44959.0)</f>
        <v>44959</v>
      </c>
      <c r="C4299" s="266" t="str">
        <f>IFERROR(__xludf.DUMMYFUNCTION("""COMPUTED_VALUE"""),"KYAI KONTONG")</f>
        <v>KYAI KONTONG</v>
      </c>
      <c r="D4299" s="186">
        <f>IFERROR(__xludf.DUMMYFUNCTION("""COMPUTED_VALUE"""),185.0)</f>
        <v>185</v>
      </c>
    </row>
    <row r="4300">
      <c r="A4300" s="178" t="str">
        <f>IFERROR(__xludf.DUMMYFUNCTION("""COMPUTED_VALUE"""),"ITBISA-IC-78L05-TO92")</f>
        <v>ITBISA-IC-78L05-TO92</v>
      </c>
      <c r="B4300" s="266">
        <f>IFERROR(__xludf.DUMMYFUNCTION("""COMPUTED_VALUE"""),45511.0)</f>
        <v>45511</v>
      </c>
      <c r="C4300" s="266" t="str">
        <f>IFERROR(__xludf.DUMMYFUNCTION("""COMPUTED_VALUE"""),"KYAI KONTONG")</f>
        <v>KYAI KONTONG</v>
      </c>
      <c r="D4300" s="186">
        <f>IFERROR(__xludf.DUMMYFUNCTION("""COMPUTED_VALUE"""),3.0)</f>
        <v>3</v>
      </c>
    </row>
    <row r="4301">
      <c r="A4301" s="178" t="str">
        <f>IFERROR(__xludf.DUMMYFUNCTION("""COMPUTED_VALUE"""),"ITBISA-IC-78L05-TO92")</f>
        <v>ITBISA-IC-78L05-TO92</v>
      </c>
      <c r="B4301" s="266">
        <f>IFERROR(__xludf.DUMMYFUNCTION("""COMPUTED_VALUE"""),45711.0)</f>
        <v>45711</v>
      </c>
      <c r="C4301" s="266" t="str">
        <f>IFERROR(__xludf.DUMMYFUNCTION("""COMPUTED_VALUE"""),"KYAI KONTONG")</f>
        <v>KYAI KONTONG</v>
      </c>
      <c r="D4301" s="186">
        <f>IFERROR(__xludf.DUMMYFUNCTION("""COMPUTED_VALUE"""),0.0)</f>
        <v>0</v>
      </c>
    </row>
    <row r="4302">
      <c r="A4302" s="178" t="str">
        <f>IFERROR(__xludf.DUMMYFUNCTION("""COMPUTED_VALUE"""),"ITBISA-IC-78L05-TO92")</f>
        <v>ITBISA-IC-78L05-TO92</v>
      </c>
      <c r="B4302" s="266">
        <f>IFERROR(__xludf.DUMMYFUNCTION("""COMPUTED_VALUE"""),45734.0)</f>
        <v>45734</v>
      </c>
      <c r="C4302" s="266" t="str">
        <f>IFERROR(__xludf.DUMMYFUNCTION("""COMPUTED_VALUE"""),"KYAI KONTONG")</f>
        <v>KYAI KONTONG</v>
      </c>
      <c r="D4302" s="186">
        <f>IFERROR(__xludf.DUMMYFUNCTION("""COMPUTED_VALUE"""),1.0)</f>
        <v>1</v>
      </c>
    </row>
    <row r="4303">
      <c r="A4303" s="178" t="str">
        <f>IFERROR(__xludf.DUMMYFUNCTION("""COMPUTED_VALUE"""),"ITBISA-IC-78L05-TO92")</f>
        <v>ITBISA-IC-78L05-TO92</v>
      </c>
      <c r="B4303" s="266">
        <f>IFERROR(__xludf.DUMMYFUNCTION("""COMPUTED_VALUE"""),45950.0)</f>
        <v>45950</v>
      </c>
      <c r="C4303" s="266" t="str">
        <f>IFERROR(__xludf.DUMMYFUNCTION("""COMPUTED_VALUE"""),"KYAI KONTONG")</f>
        <v>KYAI KONTONG</v>
      </c>
      <c r="D4303" s="186">
        <f>IFERROR(__xludf.DUMMYFUNCTION("""COMPUTED_VALUE"""),4.0)</f>
        <v>4</v>
      </c>
    </row>
    <row r="4304">
      <c r="A4304" s="178" t="str">
        <f>IFERROR(__xludf.DUMMYFUNCTION("""COMPUTED_VALUE"""),"ITBISA-IC-78L05-TO92")</f>
        <v>ITBISA-IC-78L05-TO92</v>
      </c>
      <c r="B4304" s="266">
        <f>IFERROR(__xludf.DUMMYFUNCTION("""COMPUTED_VALUE"""),45960.0)</f>
        <v>45960</v>
      </c>
      <c r="C4304" s="266" t="str">
        <f>IFERROR(__xludf.DUMMYFUNCTION("""COMPUTED_VALUE"""),"KYAI KONTONG")</f>
        <v>KYAI KONTONG</v>
      </c>
      <c r="D4304" s="186">
        <f>IFERROR(__xludf.DUMMYFUNCTION("""COMPUTED_VALUE"""),2.0)</f>
        <v>2</v>
      </c>
    </row>
    <row r="4305">
      <c r="A4305" s="178" t="str">
        <f>IFERROR(__xludf.DUMMYFUNCTION("""COMPUTED_VALUE"""),"ITBISA-IC-78L05-TO92")</f>
        <v>ITBISA-IC-78L05-TO92</v>
      </c>
      <c r="B4305" s="266">
        <f>IFERROR(__xludf.DUMMYFUNCTION("""COMPUTED_VALUE"""),45996.0)</f>
        <v>45996</v>
      </c>
      <c r="C4305" s="266" t="str">
        <f>IFERROR(__xludf.DUMMYFUNCTION("""COMPUTED_VALUE"""),"KYAI KONTONG")</f>
        <v>KYAI KONTONG</v>
      </c>
      <c r="D4305" s="186">
        <f>IFERROR(__xludf.DUMMYFUNCTION("""COMPUTED_VALUE"""),2.0)</f>
        <v>2</v>
      </c>
    </row>
    <row r="4306">
      <c r="A4306" s="178" t="str">
        <f>IFERROR(__xludf.DUMMYFUNCTION("""COMPUTED_VALUE"""),"ITBISA-IC-ATMEGA328P-DIP28")</f>
        <v>ITBISA-IC-ATMEGA328P-DIP28</v>
      </c>
      <c r="B4306" s="266">
        <f>IFERROR(__xludf.DUMMYFUNCTION("""COMPUTED_VALUE"""),45313.0)</f>
        <v>45313</v>
      </c>
      <c r="C4306" s="266" t="str">
        <f>IFERROR(__xludf.DUMMYFUNCTION("""COMPUTED_VALUE"""),"KERTASARI CIAMIS")</f>
        <v>KERTASARI CIAMIS</v>
      </c>
      <c r="D4306" s="186">
        <f>IFERROR(__xludf.DUMMYFUNCTION("""COMPUTED_VALUE"""),10.0)</f>
        <v>10</v>
      </c>
    </row>
    <row r="4307">
      <c r="A4307" s="178" t="str">
        <f>IFERROR(__xludf.DUMMYFUNCTION("""COMPUTED_VALUE"""),"ITBISA-IC-ATMEGA328P-DIP28")</f>
        <v>ITBISA-IC-ATMEGA328P-DIP28</v>
      </c>
      <c r="B4307" s="266">
        <f>IFERROR(__xludf.DUMMYFUNCTION("""COMPUTED_VALUE"""),45329.0)</f>
        <v>45329</v>
      </c>
      <c r="C4307" s="266" t="str">
        <f>IFERROR(__xludf.DUMMYFUNCTION("""COMPUTED_VALUE"""),"KERTASARI CIAMIS")</f>
        <v>KERTASARI CIAMIS</v>
      </c>
      <c r="D4307" s="186">
        <f>IFERROR(__xludf.DUMMYFUNCTION("""COMPUTED_VALUE"""),1.0)</f>
        <v>1</v>
      </c>
    </row>
    <row r="4308">
      <c r="A4308" s="178" t="str">
        <f>IFERROR(__xludf.DUMMYFUNCTION("""COMPUTED_VALUE"""),"ITBISA-IC-ATMEGA328P-DIP28")</f>
        <v>ITBISA-IC-ATMEGA328P-DIP28</v>
      </c>
      <c r="B4308" s="266">
        <f>IFERROR(__xludf.DUMMYFUNCTION("""COMPUTED_VALUE"""),45331.0)</f>
        <v>45331</v>
      </c>
      <c r="C4308" s="266" t="str">
        <f>IFERROR(__xludf.DUMMYFUNCTION("""COMPUTED_VALUE"""),"KERTASARI CIAMIS")</f>
        <v>KERTASARI CIAMIS</v>
      </c>
      <c r="D4308" s="186">
        <f>IFERROR(__xludf.DUMMYFUNCTION("""COMPUTED_VALUE"""),3.0)</f>
        <v>3</v>
      </c>
    </row>
    <row r="4309">
      <c r="A4309" s="178" t="str">
        <f>IFERROR(__xludf.DUMMYFUNCTION("""COMPUTED_VALUE"""),"ITBISA-IC-ATMEGA328P-DIP28")</f>
        <v>ITBISA-IC-ATMEGA328P-DIP28</v>
      </c>
      <c r="B4309" s="266">
        <f>IFERROR(__xludf.DUMMYFUNCTION("""COMPUTED_VALUE"""),45337.0)</f>
        <v>45337</v>
      </c>
      <c r="C4309" s="266" t="str">
        <f>IFERROR(__xludf.DUMMYFUNCTION("""COMPUTED_VALUE"""),"KERTASARI CIAMIS")</f>
        <v>KERTASARI CIAMIS</v>
      </c>
      <c r="D4309" s="186">
        <f>IFERROR(__xludf.DUMMYFUNCTION("""COMPUTED_VALUE"""),3.0)</f>
        <v>3</v>
      </c>
    </row>
    <row r="4310">
      <c r="A4310" s="178" t="str">
        <f>IFERROR(__xludf.DUMMYFUNCTION("""COMPUTED_VALUE"""),"ITBISA-IC-ATMEGA328P-DIP28")</f>
        <v>ITBISA-IC-ATMEGA328P-DIP28</v>
      </c>
      <c r="B4310" s="266">
        <f>IFERROR(__xludf.DUMMYFUNCTION("""COMPUTED_VALUE"""),45348.0)</f>
        <v>45348</v>
      </c>
      <c r="C4310" s="266" t="str">
        <f>IFERROR(__xludf.DUMMYFUNCTION("""COMPUTED_VALUE"""),"KERTASARI CIAMIS")</f>
        <v>KERTASARI CIAMIS</v>
      </c>
      <c r="D4310" s="186">
        <f>IFERROR(__xludf.DUMMYFUNCTION("""COMPUTED_VALUE"""),5.0)</f>
        <v>5</v>
      </c>
    </row>
    <row r="4311">
      <c r="A4311" s="178" t="str">
        <f>IFERROR(__xludf.DUMMYFUNCTION("""COMPUTED_VALUE"""),"ITBISA-IC-ATMEGA328P-DIP28")</f>
        <v>ITBISA-IC-ATMEGA328P-DIP28</v>
      </c>
      <c r="B4311" s="266">
        <f>IFERROR(__xludf.DUMMYFUNCTION("""COMPUTED_VALUE"""),45350.0)</f>
        <v>45350</v>
      </c>
      <c r="C4311" s="266" t="str">
        <f>IFERROR(__xludf.DUMMYFUNCTION("""COMPUTED_VALUE"""),"KERTASARI CIAMIS")</f>
        <v>KERTASARI CIAMIS</v>
      </c>
      <c r="D4311" s="186">
        <f>IFERROR(__xludf.DUMMYFUNCTION("""COMPUTED_VALUE"""),3.0)</f>
        <v>3</v>
      </c>
    </row>
    <row r="4312">
      <c r="A4312" s="178" t="str">
        <f>IFERROR(__xludf.DUMMYFUNCTION("""COMPUTED_VALUE"""),"ITBISA-IC-ATMEGA328P-DIP28")</f>
        <v>ITBISA-IC-ATMEGA328P-DIP28</v>
      </c>
      <c r="B4312" s="266">
        <f>IFERROR(__xludf.DUMMYFUNCTION("""COMPUTED_VALUE"""),45355.0)</f>
        <v>45355</v>
      </c>
      <c r="C4312" s="266" t="str">
        <f>IFERROR(__xludf.DUMMYFUNCTION("""COMPUTED_VALUE"""),"KERTASARI CIAMIS")</f>
        <v>KERTASARI CIAMIS</v>
      </c>
      <c r="D4312" s="186">
        <f>IFERROR(__xludf.DUMMYFUNCTION("""COMPUTED_VALUE"""),8.0)</f>
        <v>8</v>
      </c>
    </row>
    <row r="4313">
      <c r="A4313" s="178" t="str">
        <f>IFERROR(__xludf.DUMMYFUNCTION("""COMPUTED_VALUE"""),"ITBISA-IC-ATMEGA328P-DIP28")</f>
        <v>ITBISA-IC-ATMEGA328P-DIP28</v>
      </c>
      <c r="B4313" s="266">
        <f>IFERROR(__xludf.DUMMYFUNCTION("""COMPUTED_VALUE"""),45366.0)</f>
        <v>45366</v>
      </c>
      <c r="C4313" s="266" t="str">
        <f>IFERROR(__xludf.DUMMYFUNCTION("""COMPUTED_VALUE"""),"KERTASARI CIAMIS")</f>
        <v>KERTASARI CIAMIS</v>
      </c>
      <c r="D4313" s="186">
        <f>IFERROR(__xludf.DUMMYFUNCTION("""COMPUTED_VALUE"""),10.0)</f>
        <v>10</v>
      </c>
    </row>
    <row r="4314">
      <c r="A4314" s="178" t="str">
        <f>IFERROR(__xludf.DUMMYFUNCTION("""COMPUTED_VALUE"""),"ITBISA-IC-ATMEGA328P-DIP28")</f>
        <v>ITBISA-IC-ATMEGA328P-DIP28</v>
      </c>
      <c r="B4314" s="266">
        <f>IFERROR(__xludf.DUMMYFUNCTION("""COMPUTED_VALUE"""),45371.0)</f>
        <v>45371</v>
      </c>
      <c r="C4314" s="266" t="str">
        <f>IFERROR(__xludf.DUMMYFUNCTION("""COMPUTED_VALUE"""),"KERTASARI CIAMIS")</f>
        <v>KERTASARI CIAMIS</v>
      </c>
      <c r="D4314" s="186">
        <f>IFERROR(__xludf.DUMMYFUNCTION("""COMPUTED_VALUE"""),10.0)</f>
        <v>10</v>
      </c>
    </row>
    <row r="4315">
      <c r="A4315" s="178" t="str">
        <f>IFERROR(__xludf.DUMMYFUNCTION("""COMPUTED_VALUE"""),"ITBISA-IC-ATMEGA328P-DIP28")</f>
        <v>ITBISA-IC-ATMEGA328P-DIP28</v>
      </c>
      <c r="B4315" s="266">
        <f>IFERROR(__xludf.DUMMYFUNCTION("""COMPUTED_VALUE"""),45377.0)</f>
        <v>45377</v>
      </c>
      <c r="C4315" s="266" t="str">
        <f>IFERROR(__xludf.DUMMYFUNCTION("""COMPUTED_VALUE"""),"KERTASARI CIAMIS")</f>
        <v>KERTASARI CIAMIS</v>
      </c>
      <c r="D4315" s="186">
        <f>IFERROR(__xludf.DUMMYFUNCTION("""COMPUTED_VALUE"""),2.0)</f>
        <v>2</v>
      </c>
    </row>
    <row r="4316">
      <c r="A4316" s="178" t="str">
        <f>IFERROR(__xludf.DUMMYFUNCTION("""COMPUTED_VALUE"""),"ITBISA-IC-ATMEGA328P-DIP28")</f>
        <v>ITBISA-IC-ATMEGA328P-DIP28</v>
      </c>
      <c r="B4316" s="266">
        <f>IFERROR(__xludf.DUMMYFUNCTION("""COMPUTED_VALUE"""),45377.0)</f>
        <v>45377</v>
      </c>
      <c r="C4316" s="266" t="str">
        <f>IFERROR(__xludf.DUMMYFUNCTION("""COMPUTED_VALUE"""),"KERTASARI CIAMIS")</f>
        <v>KERTASARI CIAMIS</v>
      </c>
      <c r="D4316" s="186">
        <f>IFERROR(__xludf.DUMMYFUNCTION("""COMPUTED_VALUE"""),2.0)</f>
        <v>2</v>
      </c>
    </row>
    <row r="4317">
      <c r="A4317" s="178" t="str">
        <f>IFERROR(__xludf.DUMMYFUNCTION("""COMPUTED_VALUE"""),"ITBISA-IC-ATMEGA328P-DIP28")</f>
        <v>ITBISA-IC-ATMEGA328P-DIP28</v>
      </c>
      <c r="B4317" s="266">
        <f>IFERROR(__xludf.DUMMYFUNCTION("""COMPUTED_VALUE"""),45383.0)</f>
        <v>45383</v>
      </c>
      <c r="C4317" s="266" t="str">
        <f>IFERROR(__xludf.DUMMYFUNCTION("""COMPUTED_VALUE"""),"KERTASARI CIAMIS")</f>
        <v>KERTASARI CIAMIS</v>
      </c>
      <c r="D4317" s="186">
        <f>IFERROR(__xludf.DUMMYFUNCTION("""COMPUTED_VALUE"""),1.0)</f>
        <v>1</v>
      </c>
    </row>
    <row r="4318">
      <c r="A4318" s="178" t="str">
        <f>IFERROR(__xludf.DUMMYFUNCTION("""COMPUTED_VALUE"""),"ITBISA-IC-ATMEGA328P-DIP28")</f>
        <v>ITBISA-IC-ATMEGA328P-DIP28</v>
      </c>
      <c r="B4318" s="266">
        <f>IFERROR(__xludf.DUMMYFUNCTION("""COMPUTED_VALUE"""),45419.0)</f>
        <v>45419</v>
      </c>
      <c r="C4318" s="266" t="str">
        <f>IFERROR(__xludf.DUMMYFUNCTION("""COMPUTED_VALUE"""),"KERTASARI CIAMIS")</f>
        <v>KERTASARI CIAMIS</v>
      </c>
      <c r="D4318" s="186">
        <f>IFERROR(__xludf.DUMMYFUNCTION("""COMPUTED_VALUE"""),4.0)</f>
        <v>4</v>
      </c>
    </row>
    <row r="4319">
      <c r="A4319" s="178" t="str">
        <f>IFERROR(__xludf.DUMMYFUNCTION("""COMPUTED_VALUE"""),"ITBISA-IC-ATMEGA328P-DIP28")</f>
        <v>ITBISA-IC-ATMEGA328P-DIP28</v>
      </c>
      <c r="B4319" s="266">
        <f>IFERROR(__xludf.DUMMYFUNCTION("""COMPUTED_VALUE"""),45429.0)</f>
        <v>45429</v>
      </c>
      <c r="C4319" s="266" t="str">
        <f>IFERROR(__xludf.DUMMYFUNCTION("""COMPUTED_VALUE"""),"KERTASARI CIAMIS")</f>
        <v>KERTASARI CIAMIS</v>
      </c>
      <c r="D4319" s="186">
        <f>IFERROR(__xludf.DUMMYFUNCTION("""COMPUTED_VALUE"""),5.0)</f>
        <v>5</v>
      </c>
    </row>
    <row r="4320">
      <c r="A4320" s="178" t="str">
        <f>IFERROR(__xludf.DUMMYFUNCTION("""COMPUTED_VALUE"""),"ITBISA-IC-ATMEGA328P-DIP28")</f>
        <v>ITBISA-IC-ATMEGA328P-DIP28</v>
      </c>
      <c r="B4320" s="266">
        <f>IFERROR(__xludf.DUMMYFUNCTION("""COMPUTED_VALUE"""),45434.0)</f>
        <v>45434</v>
      </c>
      <c r="C4320" s="266" t="str">
        <f>IFERROR(__xludf.DUMMYFUNCTION("""COMPUTED_VALUE"""),"KERTASARI CIAMIS")</f>
        <v>KERTASARI CIAMIS</v>
      </c>
      <c r="D4320" s="186">
        <f>IFERROR(__xludf.DUMMYFUNCTION("""COMPUTED_VALUE"""),2.0)</f>
        <v>2</v>
      </c>
    </row>
    <row r="4321">
      <c r="A4321" s="178" t="str">
        <f>IFERROR(__xludf.DUMMYFUNCTION("""COMPUTED_VALUE"""),"ITBISA-IC-ATMEGA328P-DIP28")</f>
        <v>ITBISA-IC-ATMEGA328P-DIP28</v>
      </c>
      <c r="B4321" s="266">
        <f>IFERROR(__xludf.DUMMYFUNCTION("""COMPUTED_VALUE"""),45439.0)</f>
        <v>45439</v>
      </c>
      <c r="C4321" s="266" t="str">
        <f>IFERROR(__xludf.DUMMYFUNCTION("""COMPUTED_VALUE"""),"KERTASARI CIAMIS")</f>
        <v>KERTASARI CIAMIS</v>
      </c>
      <c r="D4321" s="186">
        <f>IFERROR(__xludf.DUMMYFUNCTION("""COMPUTED_VALUE"""),10.0)</f>
        <v>10</v>
      </c>
    </row>
    <row r="4322">
      <c r="A4322" s="178" t="str">
        <f>IFERROR(__xludf.DUMMYFUNCTION("""COMPUTED_VALUE"""),"ITBISA-IC-ATMEGA328P-DIP28")</f>
        <v>ITBISA-IC-ATMEGA328P-DIP28</v>
      </c>
      <c r="B4322" s="266">
        <f>IFERROR(__xludf.DUMMYFUNCTION("""COMPUTED_VALUE"""),45440.0)</f>
        <v>45440</v>
      </c>
      <c r="C4322" s="266" t="str">
        <f>IFERROR(__xludf.DUMMYFUNCTION("""COMPUTED_VALUE"""),"KYAI KONTONG")</f>
        <v>KYAI KONTONG</v>
      </c>
      <c r="D4322" s="186">
        <f>IFERROR(__xludf.DUMMYFUNCTION("""COMPUTED_VALUE"""),10.0)</f>
        <v>10</v>
      </c>
    </row>
    <row r="4323">
      <c r="A4323" s="178" t="str">
        <f>IFERROR(__xludf.DUMMYFUNCTION("""COMPUTED_VALUE"""),"ITBISA-IC-ATMEGA328P-DIP28")</f>
        <v>ITBISA-IC-ATMEGA328P-DIP28</v>
      </c>
      <c r="B4323" s="266">
        <f>IFERROR(__xludf.DUMMYFUNCTION("""COMPUTED_VALUE"""),45441.0)</f>
        <v>45441</v>
      </c>
      <c r="C4323" s="266" t="str">
        <f>IFERROR(__xludf.DUMMYFUNCTION("""COMPUTED_VALUE"""),"KERTASARI CIAMIS")</f>
        <v>KERTASARI CIAMIS</v>
      </c>
      <c r="D4323" s="186">
        <f>IFERROR(__xludf.DUMMYFUNCTION("""COMPUTED_VALUE"""),1.0)</f>
        <v>1</v>
      </c>
    </row>
    <row r="4324">
      <c r="A4324" s="178" t="str">
        <f>IFERROR(__xludf.DUMMYFUNCTION("""COMPUTED_VALUE"""),"ITBISA-IC-ATMEGA328P-DIP28")</f>
        <v>ITBISA-IC-ATMEGA328P-DIP28</v>
      </c>
      <c r="B4324" s="266">
        <f>IFERROR(__xludf.DUMMYFUNCTION("""COMPUTED_VALUE"""),45446.0)</f>
        <v>45446</v>
      </c>
      <c r="C4324" s="266" t="str">
        <f>IFERROR(__xludf.DUMMYFUNCTION("""COMPUTED_VALUE"""),"KERTASARI CIAMIS")</f>
        <v>KERTASARI CIAMIS</v>
      </c>
      <c r="D4324" s="186">
        <f>IFERROR(__xludf.DUMMYFUNCTION("""COMPUTED_VALUE"""),1.0)</f>
        <v>1</v>
      </c>
    </row>
    <row r="4325">
      <c r="A4325" s="178" t="str">
        <f>IFERROR(__xludf.DUMMYFUNCTION("""COMPUTED_VALUE"""),"ITBISA-IC-ATMEGA328P-DIP28")</f>
        <v>ITBISA-IC-ATMEGA328P-DIP28</v>
      </c>
      <c r="B4325" s="266">
        <f>IFERROR(__xludf.DUMMYFUNCTION("""COMPUTED_VALUE"""),45467.0)</f>
        <v>45467</v>
      </c>
      <c r="C4325" s="266" t="str">
        <f>IFERROR(__xludf.DUMMYFUNCTION("""COMPUTED_VALUE"""),"KERTASARI CIAMIS")</f>
        <v>KERTASARI CIAMIS</v>
      </c>
      <c r="D4325" s="186">
        <f>IFERROR(__xludf.DUMMYFUNCTION("""COMPUTED_VALUE"""),1.0)</f>
        <v>1</v>
      </c>
    </row>
    <row r="4326">
      <c r="A4326" s="178" t="str">
        <f>IFERROR(__xludf.DUMMYFUNCTION("""COMPUTED_VALUE"""),"ITBISA-IC-ATMEGA328P-DIP28")</f>
        <v>ITBISA-IC-ATMEGA328P-DIP28</v>
      </c>
      <c r="B4326" s="266">
        <f>IFERROR(__xludf.DUMMYFUNCTION("""COMPUTED_VALUE"""),45472.0)</f>
        <v>45472</v>
      </c>
      <c r="C4326" s="266" t="str">
        <f>IFERROR(__xludf.DUMMYFUNCTION("""COMPUTED_VALUE"""),"KERTASARI CIAMIS")</f>
        <v>KERTASARI CIAMIS</v>
      </c>
      <c r="D4326" s="186">
        <f>IFERROR(__xludf.DUMMYFUNCTION("""COMPUTED_VALUE"""),1.0)</f>
        <v>1</v>
      </c>
    </row>
    <row r="4327">
      <c r="A4327" s="178" t="str">
        <f>IFERROR(__xludf.DUMMYFUNCTION("""COMPUTED_VALUE"""),"ITBISA-IC-ATMEGA328P-DIP28")</f>
        <v>ITBISA-IC-ATMEGA328P-DIP28</v>
      </c>
      <c r="B4327" s="266">
        <f>IFERROR(__xludf.DUMMYFUNCTION("""COMPUTED_VALUE"""),45473.0)</f>
        <v>45473</v>
      </c>
      <c r="C4327" s="266" t="str">
        <f>IFERROR(__xludf.DUMMYFUNCTION("""COMPUTED_VALUE"""),"KERTASARI CIAMIS")</f>
        <v>KERTASARI CIAMIS</v>
      </c>
      <c r="D4327" s="186">
        <f>IFERROR(__xludf.DUMMYFUNCTION("""COMPUTED_VALUE"""),4.0)</f>
        <v>4</v>
      </c>
    </row>
    <row r="4328">
      <c r="A4328" s="178" t="str">
        <f>IFERROR(__xludf.DUMMYFUNCTION("""COMPUTED_VALUE"""),"ITBISA-IC-ATMEGA328P-DIP28")</f>
        <v>ITBISA-IC-ATMEGA328P-DIP28</v>
      </c>
      <c r="B4328" s="266">
        <f>IFERROR(__xludf.DUMMYFUNCTION("""COMPUTED_VALUE"""),45475.0)</f>
        <v>45475</v>
      </c>
      <c r="C4328" s="266" t="str">
        <f>IFERROR(__xludf.DUMMYFUNCTION("""COMPUTED_VALUE"""),"KYAI KONTONG")</f>
        <v>KYAI KONTONG</v>
      </c>
      <c r="D4328" s="186">
        <f>IFERROR(__xludf.DUMMYFUNCTION("""COMPUTED_VALUE"""),1.0)</f>
        <v>1</v>
      </c>
    </row>
    <row r="4329">
      <c r="A4329" s="178" t="str">
        <f>IFERROR(__xludf.DUMMYFUNCTION("""COMPUTED_VALUE"""),"ITBISA-IC-ATMEGA328P-DIP28")</f>
        <v>ITBISA-IC-ATMEGA328P-DIP28</v>
      </c>
      <c r="B4329" s="266">
        <f>IFERROR(__xludf.DUMMYFUNCTION("""COMPUTED_VALUE"""),45479.0)</f>
        <v>45479</v>
      </c>
      <c r="C4329" s="266" t="str">
        <f>IFERROR(__xludf.DUMMYFUNCTION("""COMPUTED_VALUE"""),"KERTASARI CIAMIS")</f>
        <v>KERTASARI CIAMIS</v>
      </c>
      <c r="D4329" s="186">
        <f>IFERROR(__xludf.DUMMYFUNCTION("""COMPUTED_VALUE"""),1.0)</f>
        <v>1</v>
      </c>
    </row>
    <row r="4330">
      <c r="A4330" s="178" t="str">
        <f>IFERROR(__xludf.DUMMYFUNCTION("""COMPUTED_VALUE"""),"ITBISA-IC-ATMEGA328P-DIP28")</f>
        <v>ITBISA-IC-ATMEGA328P-DIP28</v>
      </c>
      <c r="B4330" s="266">
        <f>IFERROR(__xludf.DUMMYFUNCTION("""COMPUTED_VALUE"""),45479.0)</f>
        <v>45479</v>
      </c>
      <c r="C4330" s="266" t="str">
        <f>IFERROR(__xludf.DUMMYFUNCTION("""COMPUTED_VALUE"""),"KERTASARI CIAMIS")</f>
        <v>KERTASARI CIAMIS</v>
      </c>
      <c r="D4330" s="186">
        <f>IFERROR(__xludf.DUMMYFUNCTION("""COMPUTED_VALUE"""),5.0)</f>
        <v>5</v>
      </c>
    </row>
    <row r="4331">
      <c r="A4331" s="178" t="str">
        <f>IFERROR(__xludf.DUMMYFUNCTION("""COMPUTED_VALUE"""),"ITBISA-IC-ATMEGA328P-DIP28")</f>
        <v>ITBISA-IC-ATMEGA328P-DIP28</v>
      </c>
      <c r="B4331" s="266">
        <f>IFERROR(__xludf.DUMMYFUNCTION("""COMPUTED_VALUE"""),45488.0)</f>
        <v>45488</v>
      </c>
      <c r="C4331" s="266" t="str">
        <f>IFERROR(__xludf.DUMMYFUNCTION("""COMPUTED_VALUE"""),"KERTASARI CIAMIS")</f>
        <v>KERTASARI CIAMIS</v>
      </c>
      <c r="D4331" s="186">
        <f>IFERROR(__xludf.DUMMYFUNCTION("""COMPUTED_VALUE"""),10.0)</f>
        <v>10</v>
      </c>
    </row>
    <row r="4332">
      <c r="A4332" s="178" t="str">
        <f>IFERROR(__xludf.DUMMYFUNCTION("""COMPUTED_VALUE"""),"ITBISA-IC-ATMEGA328P-DIP28")</f>
        <v>ITBISA-IC-ATMEGA328P-DIP28</v>
      </c>
      <c r="B4332" s="266">
        <f>IFERROR(__xludf.DUMMYFUNCTION("""COMPUTED_VALUE"""),45494.0)</f>
        <v>45494</v>
      </c>
      <c r="C4332" s="266" t="str">
        <f>IFERROR(__xludf.DUMMYFUNCTION("""COMPUTED_VALUE"""),"KERTASARI CIAMIS")</f>
        <v>KERTASARI CIAMIS</v>
      </c>
      <c r="D4332" s="186">
        <f>IFERROR(__xludf.DUMMYFUNCTION("""COMPUTED_VALUE"""),10.0)</f>
        <v>10</v>
      </c>
    </row>
    <row r="4333">
      <c r="A4333" s="178" t="str">
        <f>IFERROR(__xludf.DUMMYFUNCTION("""COMPUTED_VALUE"""),"ITBISA-IC-ATMEGA328P-DIP28")</f>
        <v>ITBISA-IC-ATMEGA328P-DIP28</v>
      </c>
      <c r="B4333" s="266">
        <f>IFERROR(__xludf.DUMMYFUNCTION("""COMPUTED_VALUE"""),45498.0)</f>
        <v>45498</v>
      </c>
      <c r="C4333" s="266" t="str">
        <f>IFERROR(__xludf.DUMMYFUNCTION("""COMPUTED_VALUE"""),"KERTASARI CIAMIS")</f>
        <v>KERTASARI CIAMIS</v>
      </c>
      <c r="D4333" s="186">
        <f>IFERROR(__xludf.DUMMYFUNCTION("""COMPUTED_VALUE"""),2.0)</f>
        <v>2</v>
      </c>
    </row>
    <row r="4334">
      <c r="A4334" s="178" t="str">
        <f>IFERROR(__xludf.DUMMYFUNCTION("""COMPUTED_VALUE"""),"ITBISA-IC-ATMEGA328P-DIP28")</f>
        <v>ITBISA-IC-ATMEGA328P-DIP28</v>
      </c>
      <c r="B4334" s="266">
        <f>IFERROR(__xludf.DUMMYFUNCTION("""COMPUTED_VALUE"""),45505.0)</f>
        <v>45505</v>
      </c>
      <c r="C4334" s="266" t="str">
        <f>IFERROR(__xludf.DUMMYFUNCTION("""COMPUTED_VALUE"""),"KERTASARI CIAMIS")</f>
        <v>KERTASARI CIAMIS</v>
      </c>
      <c r="D4334" s="186">
        <f>IFERROR(__xludf.DUMMYFUNCTION("""COMPUTED_VALUE"""),1.0)</f>
        <v>1</v>
      </c>
    </row>
    <row r="4335">
      <c r="A4335" s="178" t="str">
        <f>IFERROR(__xludf.DUMMYFUNCTION("""COMPUTED_VALUE"""),"ITBISA-IC-ATMEGA328P-DIP28")</f>
        <v>ITBISA-IC-ATMEGA328P-DIP28</v>
      </c>
      <c r="B4335" s="266">
        <f>IFERROR(__xludf.DUMMYFUNCTION("""COMPUTED_VALUE"""),45514.0)</f>
        <v>45514</v>
      </c>
      <c r="C4335" s="266" t="str">
        <f>IFERROR(__xludf.DUMMYFUNCTION("""COMPUTED_VALUE"""),"KERTASARI CIAMIS")</f>
        <v>KERTASARI CIAMIS</v>
      </c>
      <c r="D4335" s="186">
        <f>IFERROR(__xludf.DUMMYFUNCTION("""COMPUTED_VALUE"""),7.0)</f>
        <v>7</v>
      </c>
    </row>
    <row r="4336">
      <c r="A4336" s="178" t="str">
        <f>IFERROR(__xludf.DUMMYFUNCTION("""COMPUTED_VALUE"""),"ITBISA-IC-ATMEGA328P-DIP28")</f>
        <v>ITBISA-IC-ATMEGA328P-DIP28</v>
      </c>
      <c r="B4336" s="266">
        <f>IFERROR(__xludf.DUMMYFUNCTION("""COMPUTED_VALUE"""),45517.0)</f>
        <v>45517</v>
      </c>
      <c r="C4336" s="266" t="str">
        <f>IFERROR(__xludf.DUMMYFUNCTION("""COMPUTED_VALUE"""),"KERTASARI CIAMIS")</f>
        <v>KERTASARI CIAMIS</v>
      </c>
      <c r="D4336" s="186">
        <f>IFERROR(__xludf.DUMMYFUNCTION("""COMPUTED_VALUE"""),3.0)</f>
        <v>3</v>
      </c>
    </row>
    <row r="4337">
      <c r="A4337" s="178" t="str">
        <f>IFERROR(__xludf.DUMMYFUNCTION("""COMPUTED_VALUE"""),"ITBISA-IC-ATMEGA328P-DIP28")</f>
        <v>ITBISA-IC-ATMEGA328P-DIP28</v>
      </c>
      <c r="B4337" s="266">
        <f>IFERROR(__xludf.DUMMYFUNCTION("""COMPUTED_VALUE"""),45524.0)</f>
        <v>45524</v>
      </c>
      <c r="C4337" s="266" t="str">
        <f>IFERROR(__xludf.DUMMYFUNCTION("""COMPUTED_VALUE"""),"KERTASARI CIAMIS")</f>
        <v>KERTASARI CIAMIS</v>
      </c>
      <c r="D4337" s="186">
        <f>IFERROR(__xludf.DUMMYFUNCTION("""COMPUTED_VALUE"""),1.0)</f>
        <v>1</v>
      </c>
    </row>
    <row r="4338">
      <c r="A4338" s="178" t="str">
        <f>IFERROR(__xludf.DUMMYFUNCTION("""COMPUTED_VALUE"""),"ITBISA-IC-ATMEGA328P-DIP28")</f>
        <v>ITBISA-IC-ATMEGA328P-DIP28</v>
      </c>
      <c r="B4338" s="266">
        <f>IFERROR(__xludf.DUMMYFUNCTION("""COMPUTED_VALUE"""),45525.0)</f>
        <v>45525</v>
      </c>
      <c r="C4338" s="266" t="str">
        <f>IFERROR(__xludf.DUMMYFUNCTION("""COMPUTED_VALUE"""),"KERTASARI CIAMIS")</f>
        <v>KERTASARI CIAMIS</v>
      </c>
      <c r="D4338" s="186">
        <f>IFERROR(__xludf.DUMMYFUNCTION("""COMPUTED_VALUE"""),2.0)</f>
        <v>2</v>
      </c>
    </row>
    <row r="4339">
      <c r="A4339" s="178" t="str">
        <f>IFERROR(__xludf.DUMMYFUNCTION("""COMPUTED_VALUE"""),"ITBISA-IC-ATMEGA328P-DIP28")</f>
        <v>ITBISA-IC-ATMEGA328P-DIP28</v>
      </c>
      <c r="B4339" s="266">
        <f>IFERROR(__xludf.DUMMYFUNCTION("""COMPUTED_VALUE"""),45538.0)</f>
        <v>45538</v>
      </c>
      <c r="C4339" s="266" t="str">
        <f>IFERROR(__xludf.DUMMYFUNCTION("""COMPUTED_VALUE"""),"KYAI KONTONG")</f>
        <v>KYAI KONTONG</v>
      </c>
      <c r="D4339" s="186">
        <f>IFERROR(__xludf.DUMMYFUNCTION("""COMPUTED_VALUE"""),3.0)</f>
        <v>3</v>
      </c>
    </row>
    <row r="4340">
      <c r="A4340" s="178" t="str">
        <f>IFERROR(__xludf.DUMMYFUNCTION("""COMPUTED_VALUE"""),"ITBISA-IC-ATMEGA328P-DIP28")</f>
        <v>ITBISA-IC-ATMEGA328P-DIP28</v>
      </c>
      <c r="B4340" s="266">
        <f>IFERROR(__xludf.DUMMYFUNCTION("""COMPUTED_VALUE"""),45558.0)</f>
        <v>45558</v>
      </c>
      <c r="C4340" s="266" t="str">
        <f>IFERROR(__xludf.DUMMYFUNCTION("""COMPUTED_VALUE"""),"KYAI KONTONG")</f>
        <v>KYAI KONTONG</v>
      </c>
      <c r="D4340" s="186">
        <f>IFERROR(__xludf.DUMMYFUNCTION("""COMPUTED_VALUE"""),2.0)</f>
        <v>2</v>
      </c>
    </row>
    <row r="4341">
      <c r="A4341" s="178" t="str">
        <f>IFERROR(__xludf.DUMMYFUNCTION("""COMPUTED_VALUE"""),"ITBISA-IC-ATMEGA328P-DIP28")</f>
        <v>ITBISA-IC-ATMEGA328P-DIP28</v>
      </c>
      <c r="B4341" s="266">
        <f>IFERROR(__xludf.DUMMYFUNCTION("""COMPUTED_VALUE"""),45559.0)</f>
        <v>45559</v>
      </c>
      <c r="C4341" s="266" t="str">
        <f>IFERROR(__xludf.DUMMYFUNCTION("""COMPUTED_VALUE"""),"KERTASARI CIAMIS")</f>
        <v>KERTASARI CIAMIS</v>
      </c>
      <c r="D4341" s="186">
        <f>IFERROR(__xludf.DUMMYFUNCTION("""COMPUTED_VALUE"""),1.0)</f>
        <v>1</v>
      </c>
    </row>
    <row r="4342">
      <c r="A4342" s="178" t="str">
        <f>IFERROR(__xludf.DUMMYFUNCTION("""COMPUTED_VALUE"""),"ITBISA-IC-ATMEGA328P-DIP28")</f>
        <v>ITBISA-IC-ATMEGA328P-DIP28</v>
      </c>
      <c r="B4342" s="266">
        <f>IFERROR(__xludf.DUMMYFUNCTION("""COMPUTED_VALUE"""),45559.0)</f>
        <v>45559</v>
      </c>
      <c r="C4342" s="266" t="str">
        <f>IFERROR(__xludf.DUMMYFUNCTION("""COMPUTED_VALUE"""),"KERTASARI CIAMIS")</f>
        <v>KERTASARI CIAMIS</v>
      </c>
      <c r="D4342" s="186">
        <f>IFERROR(__xludf.DUMMYFUNCTION("""COMPUTED_VALUE"""),7.0)</f>
        <v>7</v>
      </c>
    </row>
    <row r="4343">
      <c r="A4343" s="178" t="str">
        <f>IFERROR(__xludf.DUMMYFUNCTION("""COMPUTED_VALUE"""),"ITBISA-IC-ATMEGA328P-DIP28")</f>
        <v>ITBISA-IC-ATMEGA328P-DIP28</v>
      </c>
      <c r="B4343" s="266">
        <f>IFERROR(__xludf.DUMMYFUNCTION("""COMPUTED_VALUE"""),45566.0)</f>
        <v>45566</v>
      </c>
      <c r="C4343" s="266" t="str">
        <f>IFERROR(__xludf.DUMMYFUNCTION("""COMPUTED_VALUE"""),"KERTASARI CIAMIS")</f>
        <v>KERTASARI CIAMIS</v>
      </c>
      <c r="D4343" s="186">
        <f>IFERROR(__xludf.DUMMYFUNCTION("""COMPUTED_VALUE"""),3.0)</f>
        <v>3</v>
      </c>
    </row>
    <row r="4344">
      <c r="A4344" s="178" t="str">
        <f>IFERROR(__xludf.DUMMYFUNCTION("""COMPUTED_VALUE"""),"ITBISA-IC-ATMEGA328P-DIP28")</f>
        <v>ITBISA-IC-ATMEGA328P-DIP28</v>
      </c>
      <c r="B4344" s="266">
        <f>IFERROR(__xludf.DUMMYFUNCTION("""COMPUTED_VALUE"""),45569.0)</f>
        <v>45569</v>
      </c>
      <c r="C4344" s="266" t="str">
        <f>IFERROR(__xludf.DUMMYFUNCTION("""COMPUTED_VALUE"""),"KYAI KONTONG")</f>
        <v>KYAI KONTONG</v>
      </c>
      <c r="D4344" s="186">
        <f>IFERROR(__xludf.DUMMYFUNCTION("""COMPUTED_VALUE"""),3.0)</f>
        <v>3</v>
      </c>
    </row>
    <row r="4345">
      <c r="A4345" s="178" t="str">
        <f>IFERROR(__xludf.DUMMYFUNCTION("""COMPUTED_VALUE"""),"ITBISA-IC-ATMEGA328P-DIP28")</f>
        <v>ITBISA-IC-ATMEGA328P-DIP28</v>
      </c>
      <c r="B4345" s="266">
        <f>IFERROR(__xludf.DUMMYFUNCTION("""COMPUTED_VALUE"""),45569.0)</f>
        <v>45569</v>
      </c>
      <c r="C4345" s="266" t="str">
        <f>IFERROR(__xludf.DUMMYFUNCTION("""COMPUTED_VALUE"""),"KYAI KONTONG")</f>
        <v>KYAI KONTONG</v>
      </c>
      <c r="D4345" s="186">
        <f>IFERROR(__xludf.DUMMYFUNCTION("""COMPUTED_VALUE"""),20.0)</f>
        <v>20</v>
      </c>
    </row>
    <row r="4346">
      <c r="A4346" s="178" t="str">
        <f>IFERROR(__xludf.DUMMYFUNCTION("""COMPUTED_VALUE"""),"ITBISA-IC-ATMEGA328P-DIP28")</f>
        <v>ITBISA-IC-ATMEGA328P-DIP28</v>
      </c>
      <c r="B4346" s="266">
        <f>IFERROR(__xludf.DUMMYFUNCTION("""COMPUTED_VALUE"""),45570.0)</f>
        <v>45570</v>
      </c>
      <c r="C4346" s="266" t="str">
        <f>IFERROR(__xludf.DUMMYFUNCTION("""COMPUTED_VALUE"""),"KYAI KONTONG")</f>
        <v>KYAI KONTONG</v>
      </c>
      <c r="D4346" s="186">
        <f>IFERROR(__xludf.DUMMYFUNCTION("""COMPUTED_VALUE"""),1.0)</f>
        <v>1</v>
      </c>
    </row>
    <row r="4347">
      <c r="A4347" s="178" t="str">
        <f>IFERROR(__xludf.DUMMYFUNCTION("""COMPUTED_VALUE"""),"ITBISA-IC-ATMEGA328P-DIP28")</f>
        <v>ITBISA-IC-ATMEGA328P-DIP28</v>
      </c>
      <c r="B4347" s="266">
        <f>IFERROR(__xludf.DUMMYFUNCTION("""COMPUTED_VALUE"""),45577.0)</f>
        <v>45577</v>
      </c>
      <c r="C4347" s="266" t="str">
        <f>IFERROR(__xludf.DUMMYFUNCTION("""COMPUTED_VALUE"""),"KYAI KONTONG")</f>
        <v>KYAI KONTONG</v>
      </c>
      <c r="D4347" s="186">
        <f>IFERROR(__xludf.DUMMYFUNCTION("""COMPUTED_VALUE"""),1.0)</f>
        <v>1</v>
      </c>
    </row>
    <row r="4348">
      <c r="A4348" s="178" t="str">
        <f>IFERROR(__xludf.DUMMYFUNCTION("""COMPUTED_VALUE"""),"ITBISA-IC-ATMEGA328P-DIP28")</f>
        <v>ITBISA-IC-ATMEGA328P-DIP28</v>
      </c>
      <c r="B4348" s="266">
        <f>IFERROR(__xludf.DUMMYFUNCTION("""COMPUTED_VALUE"""),45593.0)</f>
        <v>45593</v>
      </c>
      <c r="C4348" s="266" t="str">
        <f>IFERROR(__xludf.DUMMYFUNCTION("""COMPUTED_VALUE"""),"KERTASARI CIAMIS")</f>
        <v>KERTASARI CIAMIS</v>
      </c>
      <c r="D4348" s="186">
        <f>IFERROR(__xludf.DUMMYFUNCTION("""COMPUTED_VALUE"""),1.0)</f>
        <v>1</v>
      </c>
    </row>
    <row r="4349">
      <c r="A4349" s="178" t="str">
        <f>IFERROR(__xludf.DUMMYFUNCTION("""COMPUTED_VALUE"""),"ITBISA-IC-ATMEGA328P-DIP28")</f>
        <v>ITBISA-IC-ATMEGA328P-DIP28</v>
      </c>
      <c r="B4349" s="266">
        <f>IFERROR(__xludf.DUMMYFUNCTION("""COMPUTED_VALUE"""),45600.0)</f>
        <v>45600</v>
      </c>
      <c r="C4349" s="266" t="str">
        <f>IFERROR(__xludf.DUMMYFUNCTION("""COMPUTED_VALUE"""),"KERTASARI CIAMIS")</f>
        <v>KERTASARI CIAMIS</v>
      </c>
      <c r="D4349" s="186">
        <f>IFERROR(__xludf.DUMMYFUNCTION("""COMPUTED_VALUE"""),1.0)</f>
        <v>1</v>
      </c>
    </row>
    <row r="4350">
      <c r="A4350" s="178" t="str">
        <f>IFERROR(__xludf.DUMMYFUNCTION("""COMPUTED_VALUE"""),"ITBISA-IC-ATMEGA328P-DIP28")</f>
        <v>ITBISA-IC-ATMEGA328P-DIP28</v>
      </c>
      <c r="B4350" s="266">
        <f>IFERROR(__xludf.DUMMYFUNCTION("""COMPUTED_VALUE"""),45607.0)</f>
        <v>45607</v>
      </c>
      <c r="C4350" s="266" t="str">
        <f>IFERROR(__xludf.DUMMYFUNCTION("""COMPUTED_VALUE"""),"KERTASARI CIAMIS")</f>
        <v>KERTASARI CIAMIS</v>
      </c>
      <c r="D4350" s="186">
        <f>IFERROR(__xludf.DUMMYFUNCTION("""COMPUTED_VALUE"""),1.0)</f>
        <v>1</v>
      </c>
    </row>
    <row r="4351">
      <c r="A4351" s="178" t="str">
        <f>IFERROR(__xludf.DUMMYFUNCTION("""COMPUTED_VALUE"""),"ITBISA-IC-ATMEGA328P-DIP28")</f>
        <v>ITBISA-IC-ATMEGA328P-DIP28</v>
      </c>
      <c r="B4351" s="266">
        <f>IFERROR(__xludf.DUMMYFUNCTION("""COMPUTED_VALUE"""),45607.0)</f>
        <v>45607</v>
      </c>
      <c r="C4351" s="266" t="str">
        <f>IFERROR(__xludf.DUMMYFUNCTION("""COMPUTED_VALUE"""),"KYAI KONTONG")</f>
        <v>KYAI KONTONG</v>
      </c>
      <c r="D4351" s="186">
        <f>IFERROR(__xludf.DUMMYFUNCTION("""COMPUTED_VALUE"""),20.0)</f>
        <v>20</v>
      </c>
    </row>
    <row r="4352">
      <c r="A4352" s="178" t="str">
        <f>IFERROR(__xludf.DUMMYFUNCTION("""COMPUTED_VALUE"""),"ITBISA-IC-ATMEGA328P-DIP28")</f>
        <v>ITBISA-IC-ATMEGA328P-DIP28</v>
      </c>
      <c r="B4352" s="266">
        <f>IFERROR(__xludf.DUMMYFUNCTION("""COMPUTED_VALUE"""),45608.0)</f>
        <v>45608</v>
      </c>
      <c r="C4352" s="266" t="str">
        <f>IFERROR(__xludf.DUMMYFUNCTION("""COMPUTED_VALUE"""),"KYAI KONTONG")</f>
        <v>KYAI KONTONG</v>
      </c>
      <c r="D4352" s="186">
        <f>IFERROR(__xludf.DUMMYFUNCTION("""COMPUTED_VALUE"""),1.0)</f>
        <v>1</v>
      </c>
    </row>
    <row r="4353">
      <c r="A4353" s="178" t="str">
        <f>IFERROR(__xludf.DUMMYFUNCTION("""COMPUTED_VALUE"""),"ITBISA-IC-ATMEGA328P-DIP28")</f>
        <v>ITBISA-IC-ATMEGA328P-DIP28</v>
      </c>
      <c r="B4353" s="266">
        <f>IFERROR(__xludf.DUMMYFUNCTION("""COMPUTED_VALUE"""),45611.0)</f>
        <v>45611</v>
      </c>
      <c r="C4353" s="266" t="str">
        <f>IFERROR(__xludf.DUMMYFUNCTION("""COMPUTED_VALUE"""),"KERTASARI CIAMIS")</f>
        <v>KERTASARI CIAMIS</v>
      </c>
      <c r="D4353" s="186">
        <f>IFERROR(__xludf.DUMMYFUNCTION("""COMPUTED_VALUE"""),2.0)</f>
        <v>2</v>
      </c>
    </row>
    <row r="4354">
      <c r="A4354" s="178" t="str">
        <f>IFERROR(__xludf.DUMMYFUNCTION("""COMPUTED_VALUE"""),"ITBISA-IC-ATMEGA328P-DIP28")</f>
        <v>ITBISA-IC-ATMEGA328P-DIP28</v>
      </c>
      <c r="B4354" s="266">
        <f>IFERROR(__xludf.DUMMYFUNCTION("""COMPUTED_VALUE"""),45615.0)</f>
        <v>45615</v>
      </c>
      <c r="C4354" s="266" t="str">
        <f>IFERROR(__xludf.DUMMYFUNCTION("""COMPUTED_VALUE"""),"KERTASARI CIAMIS")</f>
        <v>KERTASARI CIAMIS</v>
      </c>
      <c r="D4354" s="186">
        <f>IFERROR(__xludf.DUMMYFUNCTION("""COMPUTED_VALUE"""),6.0)</f>
        <v>6</v>
      </c>
    </row>
    <row r="4355">
      <c r="A4355" s="178" t="str">
        <f>IFERROR(__xludf.DUMMYFUNCTION("""COMPUTED_VALUE"""),"ITBISA-IC-ATMEGA328P-DIP28")</f>
        <v>ITBISA-IC-ATMEGA328P-DIP28</v>
      </c>
      <c r="B4355" s="266">
        <f>IFERROR(__xludf.DUMMYFUNCTION("""COMPUTED_VALUE"""),45615.0)</f>
        <v>45615</v>
      </c>
      <c r="C4355" s="266" t="str">
        <f>IFERROR(__xludf.DUMMYFUNCTION("""COMPUTED_VALUE"""),"KYAI KONTONG")</f>
        <v>KYAI KONTONG</v>
      </c>
      <c r="D4355" s="186">
        <f>IFERROR(__xludf.DUMMYFUNCTION("""COMPUTED_VALUE"""),35.0)</f>
        <v>35</v>
      </c>
    </row>
    <row r="4356">
      <c r="A4356" s="178" t="str">
        <f>IFERROR(__xludf.DUMMYFUNCTION("""COMPUTED_VALUE"""),"ITBISA-IC-ATMEGA328P-DIP28")</f>
        <v>ITBISA-IC-ATMEGA328P-DIP28</v>
      </c>
      <c r="B4356" s="266">
        <f>IFERROR(__xludf.DUMMYFUNCTION("""COMPUTED_VALUE"""),45625.0)</f>
        <v>45625</v>
      </c>
      <c r="C4356" s="266" t="str">
        <f>IFERROR(__xludf.DUMMYFUNCTION("""COMPUTED_VALUE"""),"KYAI KONTONG")</f>
        <v>KYAI KONTONG</v>
      </c>
      <c r="D4356" s="186">
        <f>IFERROR(__xludf.DUMMYFUNCTION("""COMPUTED_VALUE"""),1.0)</f>
        <v>1</v>
      </c>
    </row>
    <row r="4357">
      <c r="A4357" s="178" t="str">
        <f>IFERROR(__xludf.DUMMYFUNCTION("""COMPUTED_VALUE"""),"ITBISA-IC-ATMEGA328P-DIP28")</f>
        <v>ITBISA-IC-ATMEGA328P-DIP28</v>
      </c>
      <c r="B4357" s="266">
        <f>IFERROR(__xludf.DUMMYFUNCTION("""COMPUTED_VALUE"""),45625.0)</f>
        <v>45625</v>
      </c>
      <c r="C4357" s="266" t="str">
        <f>IFERROR(__xludf.DUMMYFUNCTION("""COMPUTED_VALUE"""),"KYAI KONTONG")</f>
        <v>KYAI KONTONG</v>
      </c>
      <c r="D4357" s="186">
        <f>IFERROR(__xludf.DUMMYFUNCTION("""COMPUTED_VALUE"""),1.0)</f>
        <v>1</v>
      </c>
    </row>
    <row r="4358">
      <c r="A4358" s="178" t="str">
        <f>IFERROR(__xludf.DUMMYFUNCTION("""COMPUTED_VALUE"""),"ITBISA-IC-ATMEGA328P-DIP28")</f>
        <v>ITBISA-IC-ATMEGA328P-DIP28</v>
      </c>
      <c r="B4358" s="266">
        <f>IFERROR(__xludf.DUMMYFUNCTION("""COMPUTED_VALUE"""),45625.0)</f>
        <v>45625</v>
      </c>
      <c r="C4358" s="266" t="str">
        <f>IFERROR(__xludf.DUMMYFUNCTION("""COMPUTED_VALUE"""),"KYAI KONTONG")</f>
        <v>KYAI KONTONG</v>
      </c>
      <c r="D4358" s="186">
        <f>IFERROR(__xludf.DUMMYFUNCTION("""COMPUTED_VALUE"""),2.0)</f>
        <v>2</v>
      </c>
    </row>
    <row r="4359">
      <c r="A4359" s="178" t="str">
        <f>IFERROR(__xludf.DUMMYFUNCTION("""COMPUTED_VALUE"""),"ITBISA-IC-ATMEGA328P-DIP28")</f>
        <v>ITBISA-IC-ATMEGA328P-DIP28</v>
      </c>
      <c r="B4359" s="266">
        <f>IFERROR(__xludf.DUMMYFUNCTION("""COMPUTED_VALUE"""),45651.0)</f>
        <v>45651</v>
      </c>
      <c r="C4359" s="266" t="str">
        <f>IFERROR(__xludf.DUMMYFUNCTION("""COMPUTED_VALUE"""),"KERTASARI CIAMIS")</f>
        <v>KERTASARI CIAMIS</v>
      </c>
      <c r="D4359" s="186">
        <f>IFERROR(__xludf.DUMMYFUNCTION("""COMPUTED_VALUE"""),4.0)</f>
        <v>4</v>
      </c>
    </row>
    <row r="4360">
      <c r="A4360" s="178" t="str">
        <f>IFERROR(__xludf.DUMMYFUNCTION("""COMPUTED_VALUE"""),"ITBISA-IC-ATMEGA328P-DIP28")</f>
        <v>ITBISA-IC-ATMEGA328P-DIP28</v>
      </c>
      <c r="B4360" s="266">
        <f>IFERROR(__xludf.DUMMYFUNCTION("""COMPUTED_VALUE"""),45655.0)</f>
        <v>45655</v>
      </c>
      <c r="C4360" s="266" t="str">
        <f>IFERROR(__xludf.DUMMYFUNCTION("""COMPUTED_VALUE"""),"KERTASARI CIAMIS")</f>
        <v>KERTASARI CIAMIS</v>
      </c>
      <c r="D4360" s="186">
        <f>IFERROR(__xludf.DUMMYFUNCTION("""COMPUTED_VALUE"""),10.0)</f>
        <v>10</v>
      </c>
    </row>
    <row r="4361">
      <c r="A4361" s="178" t="str">
        <f>IFERROR(__xludf.DUMMYFUNCTION("""COMPUTED_VALUE"""),"ITBISA-IC-ATMEGA328P-DIP28")</f>
        <v>ITBISA-IC-ATMEGA328P-DIP28</v>
      </c>
      <c r="B4361" s="266">
        <f>IFERROR(__xludf.DUMMYFUNCTION("""COMPUTED_VALUE"""),45663.0)</f>
        <v>45663</v>
      </c>
      <c r="C4361" s="266" t="str">
        <f>IFERROR(__xludf.DUMMYFUNCTION("""COMPUTED_VALUE"""),"KERTASARI CIAMIS")</f>
        <v>KERTASARI CIAMIS</v>
      </c>
      <c r="D4361" s="186">
        <f>IFERROR(__xludf.DUMMYFUNCTION("""COMPUTED_VALUE"""),2.0)</f>
        <v>2</v>
      </c>
    </row>
    <row r="4362">
      <c r="A4362" s="178" t="str">
        <f>IFERROR(__xludf.DUMMYFUNCTION("""COMPUTED_VALUE"""),"ITBISA-IC-ATMEGA328P-DIP28")</f>
        <v>ITBISA-IC-ATMEGA328P-DIP28</v>
      </c>
      <c r="B4362" s="266">
        <f>IFERROR(__xludf.DUMMYFUNCTION("""COMPUTED_VALUE"""),45667.0)</f>
        <v>45667</v>
      </c>
      <c r="C4362" s="266" t="str">
        <f>IFERROR(__xludf.DUMMYFUNCTION("""COMPUTED_VALUE"""),"KERTASARI CIAMIS")</f>
        <v>KERTASARI CIAMIS</v>
      </c>
      <c r="D4362" s="186">
        <f>IFERROR(__xludf.DUMMYFUNCTION("""COMPUTED_VALUE"""),3.0)</f>
        <v>3</v>
      </c>
    </row>
    <row r="4363">
      <c r="A4363" s="178" t="str">
        <f>IFERROR(__xludf.DUMMYFUNCTION("""COMPUTED_VALUE"""),"ITBISA-IC-ATMEGA328P-DIP28")</f>
        <v>ITBISA-IC-ATMEGA328P-DIP28</v>
      </c>
      <c r="B4363" s="266">
        <f>IFERROR(__xludf.DUMMYFUNCTION("""COMPUTED_VALUE"""),45672.0)</f>
        <v>45672</v>
      </c>
      <c r="C4363" s="266" t="str">
        <f>IFERROR(__xludf.DUMMYFUNCTION("""COMPUTED_VALUE"""),"KERTASARI CIAMIS")</f>
        <v>KERTASARI CIAMIS</v>
      </c>
      <c r="D4363" s="186">
        <f>IFERROR(__xludf.DUMMYFUNCTION("""COMPUTED_VALUE"""),2.0)</f>
        <v>2</v>
      </c>
    </row>
    <row r="4364">
      <c r="A4364" s="178" t="str">
        <f>IFERROR(__xludf.DUMMYFUNCTION("""COMPUTED_VALUE"""),"ITBISA-IC-ATMEGA328P-DIP28")</f>
        <v>ITBISA-IC-ATMEGA328P-DIP28</v>
      </c>
      <c r="B4364" s="266">
        <f>IFERROR(__xludf.DUMMYFUNCTION("""COMPUTED_VALUE"""),45676.0)</f>
        <v>45676</v>
      </c>
      <c r="C4364" s="266" t="str">
        <f>IFERROR(__xludf.DUMMYFUNCTION("""COMPUTED_VALUE"""),"KERTASARI CIAMIS")</f>
        <v>KERTASARI CIAMIS</v>
      </c>
      <c r="D4364" s="186">
        <f>IFERROR(__xludf.DUMMYFUNCTION("""COMPUTED_VALUE"""),2.0)</f>
        <v>2</v>
      </c>
    </row>
    <row r="4365">
      <c r="A4365" s="178" t="str">
        <f>IFERROR(__xludf.DUMMYFUNCTION("""COMPUTED_VALUE"""),"ITBISA-IC-ATMEGA328P-DIP28")</f>
        <v>ITBISA-IC-ATMEGA328P-DIP28</v>
      </c>
      <c r="B4365" s="266">
        <f>IFERROR(__xludf.DUMMYFUNCTION("""COMPUTED_VALUE"""),45679.0)</f>
        <v>45679</v>
      </c>
      <c r="C4365" s="266" t="str">
        <f>IFERROR(__xludf.DUMMYFUNCTION("""COMPUTED_VALUE"""),"KERTASARI CIAMIS")</f>
        <v>KERTASARI CIAMIS</v>
      </c>
      <c r="D4365" s="186">
        <f>IFERROR(__xludf.DUMMYFUNCTION("""COMPUTED_VALUE"""),1.0)</f>
        <v>1</v>
      </c>
    </row>
    <row r="4366">
      <c r="A4366" s="178" t="str">
        <f>IFERROR(__xludf.DUMMYFUNCTION("""COMPUTED_VALUE"""),"ITBISA-IC-ATMEGA328P-DIP28")</f>
        <v>ITBISA-IC-ATMEGA328P-DIP28</v>
      </c>
      <c r="B4366" s="266">
        <f>IFERROR(__xludf.DUMMYFUNCTION("""COMPUTED_VALUE"""),45679.0)</f>
        <v>45679</v>
      </c>
      <c r="C4366" s="266" t="str">
        <f>IFERROR(__xludf.DUMMYFUNCTION("""COMPUTED_VALUE"""),"KERTASARI CIAMIS")</f>
        <v>KERTASARI CIAMIS</v>
      </c>
      <c r="D4366" s="186">
        <f>IFERROR(__xludf.DUMMYFUNCTION("""COMPUTED_VALUE"""),1.0)</f>
        <v>1</v>
      </c>
    </row>
    <row r="4367">
      <c r="A4367" s="178" t="str">
        <f>IFERROR(__xludf.DUMMYFUNCTION("""COMPUTED_VALUE"""),"ITBISA-IC-ATMEGA328P-DIP28")</f>
        <v>ITBISA-IC-ATMEGA328P-DIP28</v>
      </c>
      <c r="B4367" s="266">
        <f>IFERROR(__xludf.DUMMYFUNCTION("""COMPUTED_VALUE"""),45679.0)</f>
        <v>45679</v>
      </c>
      <c r="C4367" s="266" t="str">
        <f>IFERROR(__xludf.DUMMYFUNCTION("""COMPUTED_VALUE"""),"KERTASARI CIAMIS")</f>
        <v>KERTASARI CIAMIS</v>
      </c>
      <c r="D4367" s="186">
        <f>IFERROR(__xludf.DUMMYFUNCTION("""COMPUTED_VALUE"""),50.0)</f>
        <v>50</v>
      </c>
    </row>
    <row r="4368">
      <c r="A4368" s="178" t="str">
        <f>IFERROR(__xludf.DUMMYFUNCTION("""COMPUTED_VALUE"""),"ITBISA-IC-ATMEGA328P-DIP28")</f>
        <v>ITBISA-IC-ATMEGA328P-DIP28</v>
      </c>
      <c r="B4368" s="266">
        <f>IFERROR(__xludf.DUMMYFUNCTION("""COMPUTED_VALUE"""),45680.0)</f>
        <v>45680</v>
      </c>
      <c r="C4368" s="266" t="str">
        <f>IFERROR(__xludf.DUMMYFUNCTION("""COMPUTED_VALUE"""),"KERTASARI CIAMIS")</f>
        <v>KERTASARI CIAMIS</v>
      </c>
      <c r="D4368" s="186">
        <f>IFERROR(__xludf.DUMMYFUNCTION("""COMPUTED_VALUE"""),1.0)</f>
        <v>1</v>
      </c>
    </row>
    <row r="4369">
      <c r="A4369" s="178" t="str">
        <f>IFERROR(__xludf.DUMMYFUNCTION("""COMPUTED_VALUE"""),"ITBISA-IC-ATMEGA328P-DIP28")</f>
        <v>ITBISA-IC-ATMEGA328P-DIP28</v>
      </c>
      <c r="B4369" s="266">
        <f>IFERROR(__xludf.DUMMYFUNCTION("""COMPUTED_VALUE"""),45680.0)</f>
        <v>45680</v>
      </c>
      <c r="C4369" s="266" t="str">
        <f>IFERROR(__xludf.DUMMYFUNCTION("""COMPUTED_VALUE"""),"KERTASARI CIAMIS")</f>
        <v>KERTASARI CIAMIS</v>
      </c>
      <c r="D4369" s="186">
        <f>IFERROR(__xludf.DUMMYFUNCTION("""COMPUTED_VALUE"""),5.0)</f>
        <v>5</v>
      </c>
    </row>
    <row r="4370">
      <c r="A4370" s="178" t="str">
        <f>IFERROR(__xludf.DUMMYFUNCTION("""COMPUTED_VALUE"""),"ITBISA-IC-ATMEGA328P-DIP28")</f>
        <v>ITBISA-IC-ATMEGA328P-DIP28</v>
      </c>
      <c r="B4370" s="266">
        <f>IFERROR(__xludf.DUMMYFUNCTION("""COMPUTED_VALUE"""),45683.0)</f>
        <v>45683</v>
      </c>
      <c r="C4370" s="266" t="str">
        <f>IFERROR(__xludf.DUMMYFUNCTION("""COMPUTED_VALUE"""),"KERTASARI CIAMIS")</f>
        <v>KERTASARI CIAMIS</v>
      </c>
      <c r="D4370" s="186">
        <f>IFERROR(__xludf.DUMMYFUNCTION("""COMPUTED_VALUE"""),10.0)</f>
        <v>10</v>
      </c>
    </row>
    <row r="4371">
      <c r="A4371" s="178" t="str">
        <f>IFERROR(__xludf.DUMMYFUNCTION("""COMPUTED_VALUE"""),"ITBISA-IC-ATMEGA328P-DIP28")</f>
        <v>ITBISA-IC-ATMEGA328P-DIP28</v>
      </c>
      <c r="B4371" s="266">
        <f>IFERROR(__xludf.DUMMYFUNCTION("""COMPUTED_VALUE"""),45769.0)</f>
        <v>45769</v>
      </c>
      <c r="C4371" s="266" t="str">
        <f>IFERROR(__xludf.DUMMYFUNCTION("""COMPUTED_VALUE"""),"KERTASARI CIAMIS")</f>
        <v>KERTASARI CIAMIS</v>
      </c>
      <c r="D4371" s="186">
        <f>IFERROR(__xludf.DUMMYFUNCTION("""COMPUTED_VALUE"""),1.0)</f>
        <v>1</v>
      </c>
    </row>
    <row r="4372">
      <c r="A4372" s="178" t="str">
        <f>IFERROR(__xludf.DUMMYFUNCTION("""COMPUTED_VALUE"""),"ITBISA-IC-ATMEGA328P-DIP28")</f>
        <v>ITBISA-IC-ATMEGA328P-DIP28</v>
      </c>
      <c r="B4372" s="266">
        <f>IFERROR(__xludf.DUMMYFUNCTION("""COMPUTED_VALUE"""),45770.0)</f>
        <v>45770</v>
      </c>
      <c r="C4372" s="266" t="str">
        <f>IFERROR(__xludf.DUMMYFUNCTION("""COMPUTED_VALUE"""),"KERTASARI CIAMIS")</f>
        <v>KERTASARI CIAMIS</v>
      </c>
      <c r="D4372" s="186">
        <f>IFERROR(__xludf.DUMMYFUNCTION("""COMPUTED_VALUE"""),10.0)</f>
        <v>10</v>
      </c>
    </row>
    <row r="4373">
      <c r="A4373" s="178" t="str">
        <f>IFERROR(__xludf.DUMMYFUNCTION("""COMPUTED_VALUE"""),"ITBISA-IC-ATMEGA328P-DIP28")</f>
        <v>ITBISA-IC-ATMEGA328P-DIP28</v>
      </c>
      <c r="B4373" s="266">
        <f>IFERROR(__xludf.DUMMYFUNCTION("""COMPUTED_VALUE"""),45771.0)</f>
        <v>45771</v>
      </c>
      <c r="C4373" s="266" t="str">
        <f>IFERROR(__xludf.DUMMYFUNCTION("""COMPUTED_VALUE"""),"KERTASARI CIAMIS")</f>
        <v>KERTASARI CIAMIS</v>
      </c>
      <c r="D4373" s="186">
        <f>IFERROR(__xludf.DUMMYFUNCTION("""COMPUTED_VALUE"""),8.0)</f>
        <v>8</v>
      </c>
    </row>
    <row r="4374">
      <c r="A4374" s="178" t="str">
        <f>IFERROR(__xludf.DUMMYFUNCTION("""COMPUTED_VALUE"""),"ITBISA-IC-ATMEGA328P-DIP28")</f>
        <v>ITBISA-IC-ATMEGA328P-DIP28</v>
      </c>
      <c r="B4374" s="266">
        <f>IFERROR(__xludf.DUMMYFUNCTION("""COMPUTED_VALUE"""),45772.0)</f>
        <v>45772</v>
      </c>
      <c r="C4374" s="266" t="str">
        <f>IFERROR(__xludf.DUMMYFUNCTION("""COMPUTED_VALUE"""),"KERTASARI CIAMIS")</f>
        <v>KERTASARI CIAMIS</v>
      </c>
      <c r="D4374" s="186">
        <f>IFERROR(__xludf.DUMMYFUNCTION("""COMPUTED_VALUE"""),2.0)</f>
        <v>2</v>
      </c>
    </row>
    <row r="4375">
      <c r="A4375" s="178" t="str">
        <f>IFERROR(__xludf.DUMMYFUNCTION("""COMPUTED_VALUE"""),"ITBISA-IC-ATMEGA328P-DIP28")</f>
        <v>ITBISA-IC-ATMEGA328P-DIP28</v>
      </c>
      <c r="B4375" s="266">
        <f>IFERROR(__xludf.DUMMYFUNCTION("""COMPUTED_VALUE"""),45774.0)</f>
        <v>45774</v>
      </c>
      <c r="C4375" s="266" t="str">
        <f>IFERROR(__xludf.DUMMYFUNCTION("""COMPUTED_VALUE"""),"KERTASARI CIAMIS")</f>
        <v>KERTASARI CIAMIS</v>
      </c>
      <c r="D4375" s="186">
        <f>IFERROR(__xludf.DUMMYFUNCTION("""COMPUTED_VALUE"""),15.0)</f>
        <v>15</v>
      </c>
    </row>
    <row r="4376">
      <c r="A4376" s="178" t="str">
        <f>IFERROR(__xludf.DUMMYFUNCTION("""COMPUTED_VALUE"""),"ITBISA-IC-ATMEGA328P-DIP28")</f>
        <v>ITBISA-IC-ATMEGA328P-DIP28</v>
      </c>
      <c r="B4376" s="266">
        <f>IFERROR(__xludf.DUMMYFUNCTION("""COMPUTED_VALUE"""),45777.0)</f>
        <v>45777</v>
      </c>
      <c r="C4376" s="266" t="str">
        <f>IFERROR(__xludf.DUMMYFUNCTION("""COMPUTED_VALUE"""),"KERTASARI CIAMIS")</f>
        <v>KERTASARI CIAMIS</v>
      </c>
      <c r="D4376" s="186">
        <f>IFERROR(__xludf.DUMMYFUNCTION("""COMPUTED_VALUE"""),1.0)</f>
        <v>1</v>
      </c>
    </row>
    <row r="4377">
      <c r="A4377" s="178" t="str">
        <f>IFERROR(__xludf.DUMMYFUNCTION("""COMPUTED_VALUE"""),"ITBISA-IC-ATMEGA328P-DIP28")</f>
        <v>ITBISA-IC-ATMEGA328P-DIP28</v>
      </c>
      <c r="B4377" s="266">
        <f>IFERROR(__xludf.DUMMYFUNCTION("""COMPUTED_VALUE"""),45777.0)</f>
        <v>45777</v>
      </c>
      <c r="C4377" s="266" t="str">
        <f>IFERROR(__xludf.DUMMYFUNCTION("""COMPUTED_VALUE"""),"KERTASARI CIAMIS")</f>
        <v>KERTASARI CIAMIS</v>
      </c>
      <c r="D4377" s="186">
        <f>IFERROR(__xludf.DUMMYFUNCTION("""COMPUTED_VALUE"""),10.0)</f>
        <v>10</v>
      </c>
    </row>
    <row r="4378">
      <c r="A4378" s="178" t="str">
        <f>IFERROR(__xludf.DUMMYFUNCTION("""COMPUTED_VALUE"""),"ITBISA-IC-ATMEGA328P-DIP28")</f>
        <v>ITBISA-IC-ATMEGA328P-DIP28</v>
      </c>
      <c r="B4378" s="266">
        <f>IFERROR(__xludf.DUMMYFUNCTION("""COMPUTED_VALUE"""),45783.0)</f>
        <v>45783</v>
      </c>
      <c r="C4378" s="266" t="str">
        <f>IFERROR(__xludf.DUMMYFUNCTION("""COMPUTED_VALUE"""),"KERTASARI CIAMIS")</f>
        <v>KERTASARI CIAMIS</v>
      </c>
      <c r="D4378" s="186">
        <f>IFERROR(__xludf.DUMMYFUNCTION("""COMPUTED_VALUE"""),15.0)</f>
        <v>15</v>
      </c>
    </row>
    <row r="4379">
      <c r="A4379" s="178" t="str">
        <f>IFERROR(__xludf.DUMMYFUNCTION("""COMPUTED_VALUE"""),"ITBISA-IC-ATMEGA328P-DIP28")</f>
        <v>ITBISA-IC-ATMEGA328P-DIP28</v>
      </c>
      <c r="B4379" s="266">
        <f>IFERROR(__xludf.DUMMYFUNCTION("""COMPUTED_VALUE"""),45798.0)</f>
        <v>45798</v>
      </c>
      <c r="C4379" s="266" t="str">
        <f>IFERROR(__xludf.DUMMYFUNCTION("""COMPUTED_VALUE"""),"KERTASARI CIAMIS")</f>
        <v>KERTASARI CIAMIS</v>
      </c>
      <c r="D4379" s="186">
        <f>IFERROR(__xludf.DUMMYFUNCTION("""COMPUTED_VALUE"""),2.0)</f>
        <v>2</v>
      </c>
    </row>
    <row r="4380">
      <c r="A4380" s="178" t="str">
        <f>IFERROR(__xludf.DUMMYFUNCTION("""COMPUTED_VALUE"""),"ITBISA-IC-ATMEGA328P-DIP28")</f>
        <v>ITBISA-IC-ATMEGA328P-DIP28</v>
      </c>
      <c r="B4380" s="266">
        <f>IFERROR(__xludf.DUMMYFUNCTION("""COMPUTED_VALUE"""),45811.0)</f>
        <v>45811</v>
      </c>
      <c r="C4380" s="266" t="str">
        <f>IFERROR(__xludf.DUMMYFUNCTION("""COMPUTED_VALUE"""),"KERTASARI CIAMIS")</f>
        <v>KERTASARI CIAMIS</v>
      </c>
      <c r="D4380" s="186">
        <f>IFERROR(__xludf.DUMMYFUNCTION("""COMPUTED_VALUE"""),4.0)</f>
        <v>4</v>
      </c>
    </row>
    <row r="4381">
      <c r="A4381" s="178" t="str">
        <f>IFERROR(__xludf.DUMMYFUNCTION("""COMPUTED_VALUE"""),"ITBISA-IC-ATMEGA328P-DIP28")</f>
        <v>ITBISA-IC-ATMEGA328P-DIP28</v>
      </c>
      <c r="B4381" s="266">
        <f>IFERROR(__xludf.DUMMYFUNCTION("""COMPUTED_VALUE"""),45820.0)</f>
        <v>45820</v>
      </c>
      <c r="C4381" s="266" t="str">
        <f>IFERROR(__xludf.DUMMYFUNCTION("""COMPUTED_VALUE"""),"KERTASARI CIAMIS")</f>
        <v>KERTASARI CIAMIS</v>
      </c>
      <c r="D4381" s="186">
        <f>IFERROR(__xludf.DUMMYFUNCTION("""COMPUTED_VALUE"""),1.0)</f>
        <v>1</v>
      </c>
    </row>
    <row r="4382">
      <c r="A4382" s="178" t="str">
        <f>IFERROR(__xludf.DUMMYFUNCTION("""COMPUTED_VALUE"""),"ITBISA-IC-ATMEGA328P-DIP28")</f>
        <v>ITBISA-IC-ATMEGA328P-DIP28</v>
      </c>
      <c r="B4382" s="266">
        <f>IFERROR(__xludf.DUMMYFUNCTION("""COMPUTED_VALUE"""),45833.0)</f>
        <v>45833</v>
      </c>
      <c r="C4382" s="266" t="str">
        <f>IFERROR(__xludf.DUMMYFUNCTION("""COMPUTED_VALUE"""),"KERTASARI CIAMIS")</f>
        <v>KERTASARI CIAMIS</v>
      </c>
      <c r="D4382" s="186">
        <f>IFERROR(__xludf.DUMMYFUNCTION("""COMPUTED_VALUE"""),3.0)</f>
        <v>3</v>
      </c>
    </row>
    <row r="4383">
      <c r="A4383" s="178" t="str">
        <f>IFERROR(__xludf.DUMMYFUNCTION("""COMPUTED_VALUE"""),"ITBISA-IC-ATMEGA328P-DIP28")</f>
        <v>ITBISA-IC-ATMEGA328P-DIP28</v>
      </c>
      <c r="B4383" s="266">
        <f>IFERROR(__xludf.DUMMYFUNCTION("""COMPUTED_VALUE"""),45845.0)</f>
        <v>45845</v>
      </c>
      <c r="C4383" s="266" t="str">
        <f>IFERROR(__xludf.DUMMYFUNCTION("""COMPUTED_VALUE"""),"KERTASARI CIAMIS")</f>
        <v>KERTASARI CIAMIS</v>
      </c>
      <c r="D4383" s="186">
        <f>IFERROR(__xludf.DUMMYFUNCTION("""COMPUTED_VALUE"""),1.0)</f>
        <v>1</v>
      </c>
    </row>
    <row r="4384">
      <c r="A4384" s="178" t="str">
        <f>IFERROR(__xludf.DUMMYFUNCTION("""COMPUTED_VALUE"""),"ITBISA-IC-ATMEGA328P-DIP28")</f>
        <v>ITBISA-IC-ATMEGA328P-DIP28</v>
      </c>
      <c r="B4384" s="266">
        <f>IFERROR(__xludf.DUMMYFUNCTION("""COMPUTED_VALUE"""),45848.0)</f>
        <v>45848</v>
      </c>
      <c r="C4384" s="266" t="str">
        <f>IFERROR(__xludf.DUMMYFUNCTION("""COMPUTED_VALUE"""),"KERTASARI CIAMIS")</f>
        <v>KERTASARI CIAMIS</v>
      </c>
      <c r="D4384" s="186">
        <f>IFERROR(__xludf.DUMMYFUNCTION("""COMPUTED_VALUE"""),1.0)</f>
        <v>1</v>
      </c>
    </row>
    <row r="4385">
      <c r="A4385" s="178" t="str">
        <f>IFERROR(__xludf.DUMMYFUNCTION("""COMPUTED_VALUE"""),"ITBISA-IC-ATMEGA328P-DIP28")</f>
        <v>ITBISA-IC-ATMEGA328P-DIP28</v>
      </c>
      <c r="B4385" s="266">
        <f>IFERROR(__xludf.DUMMYFUNCTION("""COMPUTED_VALUE"""),45852.0)</f>
        <v>45852</v>
      </c>
      <c r="C4385" s="266" t="str">
        <f>IFERROR(__xludf.DUMMYFUNCTION("""COMPUTED_VALUE"""),"KYAI KONTONG")</f>
        <v>KYAI KONTONG</v>
      </c>
      <c r="D4385" s="186">
        <f>IFERROR(__xludf.DUMMYFUNCTION("""COMPUTED_VALUE"""),1.0)</f>
        <v>1</v>
      </c>
    </row>
    <row r="4386">
      <c r="A4386" s="178" t="str">
        <f>IFERROR(__xludf.DUMMYFUNCTION("""COMPUTED_VALUE"""),"ITBISA-IC-ATMEGA328P-DIP28")</f>
        <v>ITBISA-IC-ATMEGA328P-DIP28</v>
      </c>
      <c r="B4386" s="266">
        <f>IFERROR(__xludf.DUMMYFUNCTION("""COMPUTED_VALUE"""),45890.0)</f>
        <v>45890</v>
      </c>
      <c r="C4386" s="266" t="str">
        <f>IFERROR(__xludf.DUMMYFUNCTION("""COMPUTED_VALUE"""),"KERTASARI CIAMIS")</f>
        <v>KERTASARI CIAMIS</v>
      </c>
      <c r="D4386" s="186">
        <f>IFERROR(__xludf.DUMMYFUNCTION("""COMPUTED_VALUE"""),50.0)</f>
        <v>50</v>
      </c>
    </row>
    <row r="4387">
      <c r="A4387" s="178" t="str">
        <f>IFERROR(__xludf.DUMMYFUNCTION("""COMPUTED_VALUE"""),"ITBISA-IC-ATMEGA328P-DIP28")</f>
        <v>ITBISA-IC-ATMEGA328P-DIP28</v>
      </c>
      <c r="B4387" s="266">
        <f>IFERROR(__xludf.DUMMYFUNCTION("""COMPUTED_VALUE"""),45895.0)</f>
        <v>45895</v>
      </c>
      <c r="C4387" s="266" t="str">
        <f>IFERROR(__xludf.DUMMYFUNCTION("""COMPUTED_VALUE"""),"KERTASARI CIAMIS")</f>
        <v>KERTASARI CIAMIS</v>
      </c>
      <c r="D4387" s="186">
        <f>IFERROR(__xludf.DUMMYFUNCTION("""COMPUTED_VALUE"""),1.0)</f>
        <v>1</v>
      </c>
    </row>
    <row r="4388">
      <c r="A4388" s="178" t="str">
        <f>IFERROR(__xludf.DUMMYFUNCTION("""COMPUTED_VALUE"""),"ITBISA-IC-ATMEGA328P-DIP28")</f>
        <v>ITBISA-IC-ATMEGA328P-DIP28</v>
      </c>
      <c r="B4388" s="266">
        <f>IFERROR(__xludf.DUMMYFUNCTION("""COMPUTED_VALUE"""),45958.0)</f>
        <v>45958</v>
      </c>
      <c r="C4388" s="266" t="str">
        <f>IFERROR(__xludf.DUMMYFUNCTION("""COMPUTED_VALUE"""),"KYAI KONTONG")</f>
        <v>KYAI KONTONG</v>
      </c>
      <c r="D4388" s="186">
        <f>IFERROR(__xludf.DUMMYFUNCTION("""COMPUTED_VALUE"""),4.0)</f>
        <v>4</v>
      </c>
    </row>
    <row r="4389">
      <c r="A4389" s="178" t="str">
        <f>IFERROR(__xludf.DUMMYFUNCTION("""COMPUTED_VALUE"""),"ITBISA-IC-ATMEGA328P-DIP28")</f>
        <v>ITBISA-IC-ATMEGA328P-DIP28</v>
      </c>
      <c r="B4389" s="266">
        <f>IFERROR(__xludf.DUMMYFUNCTION("""COMPUTED_VALUE"""),46001.0)</f>
        <v>46001</v>
      </c>
      <c r="C4389" s="266" t="str">
        <f>IFERROR(__xludf.DUMMYFUNCTION("""COMPUTED_VALUE"""),"KERTASARI CIAMIS")</f>
        <v>KERTASARI CIAMIS</v>
      </c>
      <c r="D4389" s="186">
        <f>IFERROR(__xludf.DUMMYFUNCTION("""COMPUTED_VALUE"""),2.0)</f>
        <v>2</v>
      </c>
    </row>
    <row r="4390">
      <c r="A4390" s="178" t="str">
        <f>IFERROR(__xludf.DUMMYFUNCTION("""COMPUTED_VALUE"""),"ITBISA-IC-ATMEGA328P-DIP28")</f>
        <v>ITBISA-IC-ATMEGA328P-DIP28</v>
      </c>
      <c r="B4390" s="266">
        <f>IFERROR(__xludf.DUMMYFUNCTION("""COMPUTED_VALUE"""),46015.0)</f>
        <v>46015</v>
      </c>
      <c r="C4390" s="266" t="str">
        <f>IFERROR(__xludf.DUMMYFUNCTION("""COMPUTED_VALUE"""),"KERTASARI CIAMIS")</f>
        <v>KERTASARI CIAMIS</v>
      </c>
      <c r="D4390" s="186">
        <f>IFERROR(__xludf.DUMMYFUNCTION("""COMPUTED_VALUE"""),4.0)</f>
        <v>4</v>
      </c>
    </row>
    <row r="4391">
      <c r="A4391" s="178" t="str">
        <f>IFERROR(__xludf.DUMMYFUNCTION("""COMPUTED_VALUE"""),"ITBISA-IC-CD4017BE-DIP16")</f>
        <v>ITBISA-IC-CD4017BE-DIP16</v>
      </c>
      <c r="B4391" s="266">
        <f>IFERROR(__xludf.DUMMYFUNCTION("""COMPUTED_VALUE"""),44831.0)</f>
        <v>44831</v>
      </c>
      <c r="C4391" s="266" t="str">
        <f>IFERROR(__xludf.DUMMYFUNCTION("""COMPUTED_VALUE"""),"KYAI KONTONG")</f>
        <v>KYAI KONTONG</v>
      </c>
      <c r="D4391" s="186">
        <f>IFERROR(__xludf.DUMMYFUNCTION("""COMPUTED_VALUE"""),100.0)</f>
        <v>100</v>
      </c>
    </row>
    <row r="4392">
      <c r="A4392" s="178" t="str">
        <f>IFERROR(__xludf.DUMMYFUNCTION("""COMPUTED_VALUE"""),"ITBISA-IC-CD4017BE-DIP16")</f>
        <v>ITBISA-IC-CD4017BE-DIP16</v>
      </c>
      <c r="B4392" s="266">
        <f>IFERROR(__xludf.DUMMYFUNCTION("""COMPUTED_VALUE"""),44834.0)</f>
        <v>44834</v>
      </c>
      <c r="C4392" s="266" t="str">
        <f>IFERROR(__xludf.DUMMYFUNCTION("""COMPUTED_VALUE"""),"KYAI KONTONG")</f>
        <v>KYAI KONTONG</v>
      </c>
      <c r="D4392" s="186">
        <f>IFERROR(__xludf.DUMMYFUNCTION("""COMPUTED_VALUE"""),20.0)</f>
        <v>20</v>
      </c>
    </row>
    <row r="4393">
      <c r="A4393" s="178" t="str">
        <f>IFERROR(__xludf.DUMMYFUNCTION("""COMPUTED_VALUE"""),"ITBISA-IC-CD4017BE-DIP16")</f>
        <v>ITBISA-IC-CD4017BE-DIP16</v>
      </c>
      <c r="B4393" s="266">
        <f>IFERROR(__xludf.DUMMYFUNCTION("""COMPUTED_VALUE"""),44839.0)</f>
        <v>44839</v>
      </c>
      <c r="C4393" s="266" t="str">
        <f>IFERROR(__xludf.DUMMYFUNCTION("""COMPUTED_VALUE"""),"KYAI KONTONG")</f>
        <v>KYAI KONTONG</v>
      </c>
      <c r="D4393" s="186">
        <f>IFERROR(__xludf.DUMMYFUNCTION("""COMPUTED_VALUE"""),40.0)</f>
        <v>40</v>
      </c>
    </row>
    <row r="4394">
      <c r="A4394" s="178" t="str">
        <f>IFERROR(__xludf.DUMMYFUNCTION("""COMPUTED_VALUE"""),"ITBISA-IC-CD4017BE-DIP16")</f>
        <v>ITBISA-IC-CD4017BE-DIP16</v>
      </c>
      <c r="B4394" s="266">
        <f>IFERROR(__xludf.DUMMYFUNCTION("""COMPUTED_VALUE"""),44846.0)</f>
        <v>44846</v>
      </c>
      <c r="C4394" s="266" t="str">
        <f>IFERROR(__xludf.DUMMYFUNCTION("""COMPUTED_VALUE"""),"KYAI KONTONG")</f>
        <v>KYAI KONTONG</v>
      </c>
      <c r="D4394" s="186">
        <f>IFERROR(__xludf.DUMMYFUNCTION("""COMPUTED_VALUE"""),5.0)</f>
        <v>5</v>
      </c>
    </row>
    <row r="4395">
      <c r="A4395" s="178" t="str">
        <f>IFERROR(__xludf.DUMMYFUNCTION("""COMPUTED_VALUE"""),"ITBISA-IC-CD4017BE-DIP16")</f>
        <v>ITBISA-IC-CD4017BE-DIP16</v>
      </c>
      <c r="B4395" s="266">
        <f>IFERROR(__xludf.DUMMYFUNCTION("""COMPUTED_VALUE"""),44847.0)</f>
        <v>44847</v>
      </c>
      <c r="C4395" s="266" t="str">
        <f>IFERROR(__xludf.DUMMYFUNCTION("""COMPUTED_VALUE"""),"KYAI KONTONG")</f>
        <v>KYAI KONTONG</v>
      </c>
      <c r="D4395" s="186">
        <f>IFERROR(__xludf.DUMMYFUNCTION("""COMPUTED_VALUE"""),50.0)</f>
        <v>50</v>
      </c>
    </row>
    <row r="4396">
      <c r="A4396" s="178" t="str">
        <f>IFERROR(__xludf.DUMMYFUNCTION("""COMPUTED_VALUE"""),"ITBISA-IC-CD4017BE-DIP16")</f>
        <v>ITBISA-IC-CD4017BE-DIP16</v>
      </c>
      <c r="B4396" s="266">
        <f>IFERROR(__xludf.DUMMYFUNCTION("""COMPUTED_VALUE"""),44850.0)</f>
        <v>44850</v>
      </c>
      <c r="C4396" s="266" t="str">
        <f>IFERROR(__xludf.DUMMYFUNCTION("""COMPUTED_VALUE"""),"KYAI KONTONG")</f>
        <v>KYAI KONTONG</v>
      </c>
      <c r="D4396" s="186">
        <f>IFERROR(__xludf.DUMMYFUNCTION("""COMPUTED_VALUE"""),2.0)</f>
        <v>2</v>
      </c>
    </row>
    <row r="4397">
      <c r="A4397" s="178" t="str">
        <f>IFERROR(__xludf.DUMMYFUNCTION("""COMPUTED_VALUE"""),"ITBISA-IC-CD4017BE-DIP16")</f>
        <v>ITBISA-IC-CD4017BE-DIP16</v>
      </c>
      <c r="B4397" s="266">
        <f>IFERROR(__xludf.DUMMYFUNCTION("""COMPUTED_VALUE"""),44858.0)</f>
        <v>44858</v>
      </c>
      <c r="C4397" s="266" t="str">
        <f>IFERROR(__xludf.DUMMYFUNCTION("""COMPUTED_VALUE"""),"KYAI KONTONG")</f>
        <v>KYAI KONTONG</v>
      </c>
      <c r="D4397" s="186">
        <f>IFERROR(__xludf.DUMMYFUNCTION("""COMPUTED_VALUE"""),2.0)</f>
        <v>2</v>
      </c>
    </row>
    <row r="4398">
      <c r="A4398" s="178" t="str">
        <f>IFERROR(__xludf.DUMMYFUNCTION("""COMPUTED_VALUE"""),"ITBISA-IC-CD4017BE-DIP16")</f>
        <v>ITBISA-IC-CD4017BE-DIP16</v>
      </c>
      <c r="B4398" s="266">
        <f>IFERROR(__xludf.DUMMYFUNCTION("""COMPUTED_VALUE"""),44898.0)</f>
        <v>44898</v>
      </c>
      <c r="C4398" s="266" t="str">
        <f>IFERROR(__xludf.DUMMYFUNCTION("""COMPUTED_VALUE"""),"KYAI KONTONG")</f>
        <v>KYAI KONTONG</v>
      </c>
      <c r="D4398" s="186">
        <f>IFERROR(__xludf.DUMMYFUNCTION("""COMPUTED_VALUE"""),70.0)</f>
        <v>70</v>
      </c>
    </row>
    <row r="4399">
      <c r="A4399" s="178" t="str">
        <f>IFERROR(__xludf.DUMMYFUNCTION("""COMPUTED_VALUE"""),"ITBISA-IC-CD4017BE-DIP16")</f>
        <v>ITBISA-IC-CD4017BE-DIP16</v>
      </c>
      <c r="B4399" s="266">
        <f>IFERROR(__xludf.DUMMYFUNCTION("""COMPUTED_VALUE"""),44901.0)</f>
        <v>44901</v>
      </c>
      <c r="C4399" s="266" t="str">
        <f>IFERROR(__xludf.DUMMYFUNCTION("""COMPUTED_VALUE"""),"KYAI KONTONG")</f>
        <v>KYAI KONTONG</v>
      </c>
      <c r="D4399" s="186">
        <f>IFERROR(__xludf.DUMMYFUNCTION("""COMPUTED_VALUE"""),60.0)</f>
        <v>60</v>
      </c>
    </row>
    <row r="4400">
      <c r="A4400" s="178" t="str">
        <f>IFERROR(__xludf.DUMMYFUNCTION("""COMPUTED_VALUE"""),"ITBISA-IC-CD4017BE-DIP16")</f>
        <v>ITBISA-IC-CD4017BE-DIP16</v>
      </c>
      <c r="B4400" s="266">
        <f>IFERROR(__xludf.DUMMYFUNCTION("""COMPUTED_VALUE"""),44925.0)</f>
        <v>44925</v>
      </c>
      <c r="C4400" s="266" t="str">
        <f>IFERROR(__xludf.DUMMYFUNCTION("""COMPUTED_VALUE"""),"KYAI KONTONG")</f>
        <v>KYAI KONTONG</v>
      </c>
      <c r="D4400" s="186">
        <f>IFERROR(__xludf.DUMMYFUNCTION("""COMPUTED_VALUE"""),6.0)</f>
        <v>6</v>
      </c>
    </row>
    <row r="4401">
      <c r="A4401" s="178" t="str">
        <f>IFERROR(__xludf.DUMMYFUNCTION("""COMPUTED_VALUE"""),"ITBISA-IC-CD4017BE-DIP16")</f>
        <v>ITBISA-IC-CD4017BE-DIP16</v>
      </c>
      <c r="B4401" s="266">
        <f>IFERROR(__xludf.DUMMYFUNCTION("""COMPUTED_VALUE"""),44930.0)</f>
        <v>44930</v>
      </c>
      <c r="C4401" s="266" t="str">
        <f>IFERROR(__xludf.DUMMYFUNCTION("""COMPUTED_VALUE"""),"KYAI KONTONG")</f>
        <v>KYAI KONTONG</v>
      </c>
      <c r="D4401" s="186">
        <f>IFERROR(__xludf.DUMMYFUNCTION("""COMPUTED_VALUE"""),2.0)</f>
        <v>2</v>
      </c>
    </row>
    <row r="4402">
      <c r="A4402" s="178" t="str">
        <f>IFERROR(__xludf.DUMMYFUNCTION("""COMPUTED_VALUE"""),"ITBISA-IC-CD4017BE-DIP16")</f>
        <v>ITBISA-IC-CD4017BE-DIP16</v>
      </c>
      <c r="B4402" s="266">
        <f>IFERROR(__xludf.DUMMYFUNCTION("""COMPUTED_VALUE"""),44931.0)</f>
        <v>44931</v>
      </c>
      <c r="C4402" s="266" t="str">
        <f>IFERROR(__xludf.DUMMYFUNCTION("""COMPUTED_VALUE"""),"KYAI KONTONG")</f>
        <v>KYAI KONTONG</v>
      </c>
      <c r="D4402" s="186">
        <f>IFERROR(__xludf.DUMMYFUNCTION("""COMPUTED_VALUE"""),5.0)</f>
        <v>5</v>
      </c>
    </row>
    <row r="4403">
      <c r="A4403" s="178" t="str">
        <f>IFERROR(__xludf.DUMMYFUNCTION("""COMPUTED_VALUE"""),"ITBISA-IC-CD4017BE-DIP16")</f>
        <v>ITBISA-IC-CD4017BE-DIP16</v>
      </c>
      <c r="B4403" s="266">
        <f>IFERROR(__xludf.DUMMYFUNCTION("""COMPUTED_VALUE"""),44938.0)</f>
        <v>44938</v>
      </c>
      <c r="C4403" s="266" t="str">
        <f>IFERROR(__xludf.DUMMYFUNCTION("""COMPUTED_VALUE"""),"KYAI KONTONG")</f>
        <v>KYAI KONTONG</v>
      </c>
      <c r="D4403" s="186">
        <f>IFERROR(__xludf.DUMMYFUNCTION("""COMPUTED_VALUE"""),10.0)</f>
        <v>10</v>
      </c>
    </row>
    <row r="4404">
      <c r="A4404" s="178" t="str">
        <f>IFERROR(__xludf.DUMMYFUNCTION("""COMPUTED_VALUE"""),"ITBISA-IC-CD4017BE-DIP16")</f>
        <v>ITBISA-IC-CD4017BE-DIP16</v>
      </c>
      <c r="B4404" s="266">
        <f>IFERROR(__xludf.DUMMYFUNCTION("""COMPUTED_VALUE"""),44938.0)</f>
        <v>44938</v>
      </c>
      <c r="C4404" s="266" t="str">
        <f>IFERROR(__xludf.DUMMYFUNCTION("""COMPUTED_VALUE"""),"KYAI KONTONG")</f>
        <v>KYAI KONTONG</v>
      </c>
      <c r="D4404" s="186">
        <f>IFERROR(__xludf.DUMMYFUNCTION("""COMPUTED_VALUE"""),50.0)</f>
        <v>50</v>
      </c>
    </row>
    <row r="4405">
      <c r="A4405" s="178" t="str">
        <f>IFERROR(__xludf.DUMMYFUNCTION("""COMPUTED_VALUE"""),"ITBISA-IC-CD4017BE-DIP16")</f>
        <v>ITBISA-IC-CD4017BE-DIP16</v>
      </c>
      <c r="B4405" s="266">
        <f>IFERROR(__xludf.DUMMYFUNCTION("""COMPUTED_VALUE"""),44942.0)</f>
        <v>44942</v>
      </c>
      <c r="C4405" s="266" t="str">
        <f>IFERROR(__xludf.DUMMYFUNCTION("""COMPUTED_VALUE"""),"KYAI KONTONG")</f>
        <v>KYAI KONTONG</v>
      </c>
      <c r="D4405" s="186">
        <f>IFERROR(__xludf.DUMMYFUNCTION("""COMPUTED_VALUE"""),15.0)</f>
        <v>15</v>
      </c>
    </row>
    <row r="4406">
      <c r="A4406" s="178" t="str">
        <f>IFERROR(__xludf.DUMMYFUNCTION("""COMPUTED_VALUE"""),"ITBISA-IC-CD4017BE-DIP16")</f>
        <v>ITBISA-IC-CD4017BE-DIP16</v>
      </c>
      <c r="B4406" s="266">
        <f>IFERROR(__xludf.DUMMYFUNCTION("""COMPUTED_VALUE"""),44943.0)</f>
        <v>44943</v>
      </c>
      <c r="C4406" s="266" t="str">
        <f>IFERROR(__xludf.DUMMYFUNCTION("""COMPUTED_VALUE"""),"KYAI KONTONG")</f>
        <v>KYAI KONTONG</v>
      </c>
      <c r="D4406" s="186">
        <f>IFERROR(__xludf.DUMMYFUNCTION("""COMPUTED_VALUE"""),250.0)</f>
        <v>250</v>
      </c>
    </row>
    <row r="4407">
      <c r="A4407" s="178" t="str">
        <f>IFERROR(__xludf.DUMMYFUNCTION("""COMPUTED_VALUE"""),"ITBISA-IC-CD4017BE-DIP16")</f>
        <v>ITBISA-IC-CD4017BE-DIP16</v>
      </c>
      <c r="B4407" s="266">
        <f>IFERROR(__xludf.DUMMYFUNCTION("""COMPUTED_VALUE"""),44946.0)</f>
        <v>44946</v>
      </c>
      <c r="C4407" s="266" t="str">
        <f>IFERROR(__xludf.DUMMYFUNCTION("""COMPUTED_VALUE"""),"KYAI KONTONG")</f>
        <v>KYAI KONTONG</v>
      </c>
      <c r="D4407" s="186">
        <f>IFERROR(__xludf.DUMMYFUNCTION("""COMPUTED_VALUE"""),25.0)</f>
        <v>25</v>
      </c>
    </row>
    <row r="4408">
      <c r="A4408" s="178" t="str">
        <f>IFERROR(__xludf.DUMMYFUNCTION("""COMPUTED_VALUE"""),"ITBISA-IC-CD4017BE-DIP16")</f>
        <v>ITBISA-IC-CD4017BE-DIP16</v>
      </c>
      <c r="B4408" s="266">
        <f>IFERROR(__xludf.DUMMYFUNCTION("""COMPUTED_VALUE"""),44952.0)</f>
        <v>44952</v>
      </c>
      <c r="C4408" s="266" t="str">
        <f>IFERROR(__xludf.DUMMYFUNCTION("""COMPUTED_VALUE"""),"KYAI KONTONG")</f>
        <v>KYAI KONTONG</v>
      </c>
      <c r="D4408" s="186">
        <f>IFERROR(__xludf.DUMMYFUNCTION("""COMPUTED_VALUE"""),25.0)</f>
        <v>25</v>
      </c>
    </row>
    <row r="4409">
      <c r="A4409" s="178" t="str">
        <f>IFERROR(__xludf.DUMMYFUNCTION("""COMPUTED_VALUE"""),"ITBISA-IC-CD4017BE-DIP16")</f>
        <v>ITBISA-IC-CD4017BE-DIP16</v>
      </c>
      <c r="B4409" s="266">
        <f>IFERROR(__xludf.DUMMYFUNCTION("""COMPUTED_VALUE"""),44954.0)</f>
        <v>44954</v>
      </c>
      <c r="C4409" s="266" t="str">
        <f>IFERROR(__xludf.DUMMYFUNCTION("""COMPUTED_VALUE"""),"KYAI KONTONG")</f>
        <v>KYAI KONTONG</v>
      </c>
      <c r="D4409" s="186">
        <f>IFERROR(__xludf.DUMMYFUNCTION("""COMPUTED_VALUE"""),25.0)</f>
        <v>25</v>
      </c>
    </row>
    <row r="4410">
      <c r="A4410" s="178" t="str">
        <f>IFERROR(__xludf.DUMMYFUNCTION("""COMPUTED_VALUE"""),"ITBISA-IC-CD4017BE-DIP16")</f>
        <v>ITBISA-IC-CD4017BE-DIP16</v>
      </c>
      <c r="B4410" s="266">
        <f>IFERROR(__xludf.DUMMYFUNCTION("""COMPUTED_VALUE"""),44957.0)</f>
        <v>44957</v>
      </c>
      <c r="C4410" s="266" t="str">
        <f>IFERROR(__xludf.DUMMYFUNCTION("""COMPUTED_VALUE"""),"KYAI KONTONG")</f>
        <v>KYAI KONTONG</v>
      </c>
      <c r="D4410" s="186">
        <f>IFERROR(__xludf.DUMMYFUNCTION("""COMPUTED_VALUE"""),6.0)</f>
        <v>6</v>
      </c>
    </row>
    <row r="4411">
      <c r="A4411" s="178" t="str">
        <f>IFERROR(__xludf.DUMMYFUNCTION("""COMPUTED_VALUE"""),"ITBISA-IC-CD4017BE-DIP16")</f>
        <v>ITBISA-IC-CD4017BE-DIP16</v>
      </c>
      <c r="B4411" s="266">
        <f>IFERROR(__xludf.DUMMYFUNCTION("""COMPUTED_VALUE"""),44958.0)</f>
        <v>44958</v>
      </c>
      <c r="C4411" s="266" t="str">
        <f>IFERROR(__xludf.DUMMYFUNCTION("""COMPUTED_VALUE"""),"KYAI KONTONG")</f>
        <v>KYAI KONTONG</v>
      </c>
      <c r="D4411" s="186">
        <f>IFERROR(__xludf.DUMMYFUNCTION("""COMPUTED_VALUE"""),50.0)</f>
        <v>50</v>
      </c>
    </row>
    <row r="4412">
      <c r="A4412" s="178" t="str">
        <f>IFERROR(__xludf.DUMMYFUNCTION("""COMPUTED_VALUE"""),"ITBISA-IC-CD4017BE-DIP16")</f>
        <v>ITBISA-IC-CD4017BE-DIP16</v>
      </c>
      <c r="B4412" s="266">
        <f>IFERROR(__xludf.DUMMYFUNCTION("""COMPUTED_VALUE"""),44959.0)</f>
        <v>44959</v>
      </c>
      <c r="C4412" s="266" t="str">
        <f>IFERROR(__xludf.DUMMYFUNCTION("""COMPUTED_VALUE"""),"KYAI KONTONG")</f>
        <v>KYAI KONTONG</v>
      </c>
      <c r="D4412" s="186">
        <f>IFERROR(__xludf.DUMMYFUNCTION("""COMPUTED_VALUE"""),30.0)</f>
        <v>30</v>
      </c>
    </row>
    <row r="4413">
      <c r="A4413" s="178" t="str">
        <f>IFERROR(__xludf.DUMMYFUNCTION("""COMPUTED_VALUE"""),"ITBISA-IC-CD4017BE-DIP16")</f>
        <v>ITBISA-IC-CD4017BE-DIP16</v>
      </c>
      <c r="B4413" s="266">
        <f>IFERROR(__xludf.DUMMYFUNCTION("""COMPUTED_VALUE"""),44959.0)</f>
        <v>44959</v>
      </c>
      <c r="C4413" s="266" t="str">
        <f>IFERROR(__xludf.DUMMYFUNCTION("""COMPUTED_VALUE"""),"KYAI KONTONG")</f>
        <v>KYAI KONTONG</v>
      </c>
      <c r="D4413" s="186">
        <f>IFERROR(__xludf.DUMMYFUNCTION("""COMPUTED_VALUE"""),50.0)</f>
        <v>50</v>
      </c>
    </row>
    <row r="4414">
      <c r="A4414" s="178" t="str">
        <f>IFERROR(__xludf.DUMMYFUNCTION("""COMPUTED_VALUE"""),"ITBISA-IC-CD4017BE-DIP16")</f>
        <v>ITBISA-IC-CD4017BE-DIP16</v>
      </c>
      <c r="B4414" s="266">
        <f>IFERROR(__xludf.DUMMYFUNCTION("""COMPUTED_VALUE"""),44963.0)</f>
        <v>44963</v>
      </c>
      <c r="C4414" s="266" t="str">
        <f>IFERROR(__xludf.DUMMYFUNCTION("""COMPUTED_VALUE"""),"KYAI KONTONG")</f>
        <v>KYAI KONTONG</v>
      </c>
      <c r="D4414" s="186">
        <f>IFERROR(__xludf.DUMMYFUNCTION("""COMPUTED_VALUE"""),10.0)</f>
        <v>10</v>
      </c>
    </row>
    <row r="4415">
      <c r="A4415" s="178" t="str">
        <f>IFERROR(__xludf.DUMMYFUNCTION("""COMPUTED_VALUE"""),"ITBISA-IC-CD4017BE-DIP16")</f>
        <v>ITBISA-IC-CD4017BE-DIP16</v>
      </c>
      <c r="B4415" s="266">
        <f>IFERROR(__xludf.DUMMYFUNCTION("""COMPUTED_VALUE"""),44963.0)</f>
        <v>44963</v>
      </c>
      <c r="C4415" s="266" t="str">
        <f>IFERROR(__xludf.DUMMYFUNCTION("""COMPUTED_VALUE"""),"KYAI KONTONG")</f>
        <v>KYAI KONTONG</v>
      </c>
      <c r="D4415" s="186">
        <f>IFERROR(__xludf.DUMMYFUNCTION("""COMPUTED_VALUE"""),10.0)</f>
        <v>10</v>
      </c>
    </row>
    <row r="4416">
      <c r="A4416" s="178" t="str">
        <f>IFERROR(__xludf.DUMMYFUNCTION("""COMPUTED_VALUE"""),"ITBISA-IC-CD4017BE-DIP16")</f>
        <v>ITBISA-IC-CD4017BE-DIP16</v>
      </c>
      <c r="B4416" s="266">
        <f>IFERROR(__xludf.DUMMYFUNCTION("""COMPUTED_VALUE"""),44964.0)</f>
        <v>44964</v>
      </c>
      <c r="C4416" s="266" t="str">
        <f>IFERROR(__xludf.DUMMYFUNCTION("""COMPUTED_VALUE"""),"KYAI KONTONG")</f>
        <v>KYAI KONTONG</v>
      </c>
      <c r="D4416" s="186">
        <f>IFERROR(__xludf.DUMMYFUNCTION("""COMPUTED_VALUE"""),2.0)</f>
        <v>2</v>
      </c>
    </row>
    <row r="4417">
      <c r="A4417" s="178" t="str">
        <f>IFERROR(__xludf.DUMMYFUNCTION("""COMPUTED_VALUE"""),"ITBISA-IC-CD4017BE-DIP16")</f>
        <v>ITBISA-IC-CD4017BE-DIP16</v>
      </c>
      <c r="B4417" s="266">
        <f>IFERROR(__xludf.DUMMYFUNCTION("""COMPUTED_VALUE"""),44964.0)</f>
        <v>44964</v>
      </c>
      <c r="C4417" s="266" t="str">
        <f>IFERROR(__xludf.DUMMYFUNCTION("""COMPUTED_VALUE"""),"KYAI KONTONG")</f>
        <v>KYAI KONTONG</v>
      </c>
      <c r="D4417" s="186">
        <f>IFERROR(__xludf.DUMMYFUNCTION("""COMPUTED_VALUE"""),100.0)</f>
        <v>100</v>
      </c>
    </row>
    <row r="4418">
      <c r="A4418" s="178" t="str">
        <f>IFERROR(__xludf.DUMMYFUNCTION("""COMPUTED_VALUE"""),"ITBISA-IC-CD4017BE-DIP16")</f>
        <v>ITBISA-IC-CD4017BE-DIP16</v>
      </c>
      <c r="B4418" s="266">
        <f>IFERROR(__xludf.DUMMYFUNCTION("""COMPUTED_VALUE"""),44965.0)</f>
        <v>44965</v>
      </c>
      <c r="C4418" s="266" t="str">
        <f>IFERROR(__xludf.DUMMYFUNCTION("""COMPUTED_VALUE"""),"KYAI KONTONG")</f>
        <v>KYAI KONTONG</v>
      </c>
      <c r="D4418" s="186">
        <f>IFERROR(__xludf.DUMMYFUNCTION("""COMPUTED_VALUE"""),5.0)</f>
        <v>5</v>
      </c>
    </row>
    <row r="4419">
      <c r="A4419" s="178" t="str">
        <f>IFERROR(__xludf.DUMMYFUNCTION("""COMPUTED_VALUE"""),"ITBISA-IC-CD4017BE-DIP16")</f>
        <v>ITBISA-IC-CD4017BE-DIP16</v>
      </c>
      <c r="B4419" s="266">
        <f>IFERROR(__xludf.DUMMYFUNCTION("""COMPUTED_VALUE"""),44966.0)</f>
        <v>44966</v>
      </c>
      <c r="C4419" s="266" t="str">
        <f>IFERROR(__xludf.DUMMYFUNCTION("""COMPUTED_VALUE"""),"KYAI KONTONG")</f>
        <v>KYAI KONTONG</v>
      </c>
      <c r="D4419" s="186">
        <f>IFERROR(__xludf.DUMMYFUNCTION("""COMPUTED_VALUE"""),3.0)</f>
        <v>3</v>
      </c>
    </row>
    <row r="4420">
      <c r="A4420" s="178" t="str">
        <f>IFERROR(__xludf.DUMMYFUNCTION("""COMPUTED_VALUE"""),"ITBISA-IC-CD4017BE-DIP16")</f>
        <v>ITBISA-IC-CD4017BE-DIP16</v>
      </c>
      <c r="B4420" s="266">
        <f>IFERROR(__xludf.DUMMYFUNCTION("""COMPUTED_VALUE"""),44970.0)</f>
        <v>44970</v>
      </c>
      <c r="C4420" s="266" t="str">
        <f>IFERROR(__xludf.DUMMYFUNCTION("""COMPUTED_VALUE"""),"KYAI KONTONG")</f>
        <v>KYAI KONTONG</v>
      </c>
      <c r="D4420" s="186">
        <f>IFERROR(__xludf.DUMMYFUNCTION("""COMPUTED_VALUE"""),150.0)</f>
        <v>150</v>
      </c>
    </row>
    <row r="4421">
      <c r="A4421" s="178" t="str">
        <f>IFERROR(__xludf.DUMMYFUNCTION("""COMPUTED_VALUE"""),"ITBISA-IC-CD4017BE-DIP16")</f>
        <v>ITBISA-IC-CD4017BE-DIP16</v>
      </c>
      <c r="B4421" s="266">
        <f>IFERROR(__xludf.DUMMYFUNCTION("""COMPUTED_VALUE"""),44971.0)</f>
        <v>44971</v>
      </c>
      <c r="C4421" s="266" t="str">
        <f>IFERROR(__xludf.DUMMYFUNCTION("""COMPUTED_VALUE"""),"KYAI KONTONG")</f>
        <v>KYAI KONTONG</v>
      </c>
      <c r="D4421" s="186">
        <f>IFERROR(__xludf.DUMMYFUNCTION("""COMPUTED_VALUE"""),20.0)</f>
        <v>20</v>
      </c>
    </row>
    <row r="4422">
      <c r="A4422" s="178" t="str">
        <f>IFERROR(__xludf.DUMMYFUNCTION("""COMPUTED_VALUE"""),"ITBISA-IC-CD4017BE-DIP16")</f>
        <v>ITBISA-IC-CD4017BE-DIP16</v>
      </c>
      <c r="B4422" s="266">
        <f>IFERROR(__xludf.DUMMYFUNCTION("""COMPUTED_VALUE"""),44972.0)</f>
        <v>44972</v>
      </c>
      <c r="C4422" s="266" t="str">
        <f>IFERROR(__xludf.DUMMYFUNCTION("""COMPUTED_VALUE"""),"KYAI KONTONG")</f>
        <v>KYAI KONTONG</v>
      </c>
      <c r="D4422" s="186">
        <f>IFERROR(__xludf.DUMMYFUNCTION("""COMPUTED_VALUE"""),100.0)</f>
        <v>100</v>
      </c>
    </row>
    <row r="4423">
      <c r="A4423" s="178" t="str">
        <f>IFERROR(__xludf.DUMMYFUNCTION("""COMPUTED_VALUE"""),"ITBISA-IC-CD4017BE-DIP16")</f>
        <v>ITBISA-IC-CD4017BE-DIP16</v>
      </c>
      <c r="B4423" s="266">
        <f>IFERROR(__xludf.DUMMYFUNCTION("""COMPUTED_VALUE"""),44973.0)</f>
        <v>44973</v>
      </c>
      <c r="C4423" s="266" t="str">
        <f>IFERROR(__xludf.DUMMYFUNCTION("""COMPUTED_VALUE"""),"KYAI KONTONG")</f>
        <v>KYAI KONTONG</v>
      </c>
      <c r="D4423" s="186">
        <f>IFERROR(__xludf.DUMMYFUNCTION("""COMPUTED_VALUE"""),7.0)</f>
        <v>7</v>
      </c>
    </row>
    <row r="4424">
      <c r="A4424" s="178" t="str">
        <f>IFERROR(__xludf.DUMMYFUNCTION("""COMPUTED_VALUE"""),"ITBISA-IC-CD4017BE-DIP16")</f>
        <v>ITBISA-IC-CD4017BE-DIP16</v>
      </c>
      <c r="B4424" s="266">
        <f>IFERROR(__xludf.DUMMYFUNCTION("""COMPUTED_VALUE"""),44975.0)</f>
        <v>44975</v>
      </c>
      <c r="C4424" s="266" t="str">
        <f>IFERROR(__xludf.DUMMYFUNCTION("""COMPUTED_VALUE"""),"KYAI KONTONG")</f>
        <v>KYAI KONTONG</v>
      </c>
      <c r="D4424" s="186">
        <f>IFERROR(__xludf.DUMMYFUNCTION("""COMPUTED_VALUE"""),1.0)</f>
        <v>1</v>
      </c>
    </row>
    <row r="4425">
      <c r="A4425" s="178" t="str">
        <f>IFERROR(__xludf.DUMMYFUNCTION("""COMPUTED_VALUE"""),"ITBISA-IC-CD4017BE-DIP16")</f>
        <v>ITBISA-IC-CD4017BE-DIP16</v>
      </c>
      <c r="B4425" s="266">
        <f>IFERROR(__xludf.DUMMYFUNCTION("""COMPUTED_VALUE"""),44975.0)</f>
        <v>44975</v>
      </c>
      <c r="C4425" s="266" t="str">
        <f>IFERROR(__xludf.DUMMYFUNCTION("""COMPUTED_VALUE"""),"KYAI KONTONG")</f>
        <v>KYAI KONTONG</v>
      </c>
      <c r="D4425" s="186">
        <f>IFERROR(__xludf.DUMMYFUNCTION("""COMPUTED_VALUE"""),20.0)</f>
        <v>20</v>
      </c>
    </row>
    <row r="4426">
      <c r="A4426" s="178" t="str">
        <f>IFERROR(__xludf.DUMMYFUNCTION("""COMPUTED_VALUE"""),"ITBISA-IC-CD4017BE-DIP16")</f>
        <v>ITBISA-IC-CD4017BE-DIP16</v>
      </c>
      <c r="B4426" s="266">
        <f>IFERROR(__xludf.DUMMYFUNCTION("""COMPUTED_VALUE"""),44975.0)</f>
        <v>44975</v>
      </c>
      <c r="C4426" s="266" t="str">
        <f>IFERROR(__xludf.DUMMYFUNCTION("""COMPUTED_VALUE"""),"KYAI KONTONG")</f>
        <v>KYAI KONTONG</v>
      </c>
      <c r="D4426" s="186">
        <f>IFERROR(__xludf.DUMMYFUNCTION("""COMPUTED_VALUE"""),50.0)</f>
        <v>50</v>
      </c>
    </row>
    <row r="4427">
      <c r="A4427" s="178" t="str">
        <f>IFERROR(__xludf.DUMMYFUNCTION("""COMPUTED_VALUE"""),"ITBISA-IC-CD4017BE-DIP16")</f>
        <v>ITBISA-IC-CD4017BE-DIP16</v>
      </c>
      <c r="B4427" s="266">
        <f>IFERROR(__xludf.DUMMYFUNCTION("""COMPUTED_VALUE"""),44976.0)</f>
        <v>44976</v>
      </c>
      <c r="C4427" s="266" t="str">
        <f>IFERROR(__xludf.DUMMYFUNCTION("""COMPUTED_VALUE"""),"KYAI KONTONG")</f>
        <v>KYAI KONTONG</v>
      </c>
      <c r="D4427" s="186">
        <f>IFERROR(__xludf.DUMMYFUNCTION("""COMPUTED_VALUE"""),10.0)</f>
        <v>10</v>
      </c>
    </row>
    <row r="4428">
      <c r="A4428" s="178" t="str">
        <f>IFERROR(__xludf.DUMMYFUNCTION("""COMPUTED_VALUE"""),"ITBISA-IC-CD4017BE-DIP16")</f>
        <v>ITBISA-IC-CD4017BE-DIP16</v>
      </c>
      <c r="B4428" s="266">
        <f>IFERROR(__xludf.DUMMYFUNCTION("""COMPUTED_VALUE"""),44981.0)</f>
        <v>44981</v>
      </c>
      <c r="C4428" s="266" t="str">
        <f>IFERROR(__xludf.DUMMYFUNCTION("""COMPUTED_VALUE"""),"KYAI KONTONG")</f>
        <v>KYAI KONTONG</v>
      </c>
      <c r="D4428" s="186">
        <f>IFERROR(__xludf.DUMMYFUNCTION("""COMPUTED_VALUE"""),5.0)</f>
        <v>5</v>
      </c>
    </row>
    <row r="4429">
      <c r="A4429" s="178" t="str">
        <f>IFERROR(__xludf.DUMMYFUNCTION("""COMPUTED_VALUE"""),"ITBISA-IC-CD4017BE-DIP16")</f>
        <v>ITBISA-IC-CD4017BE-DIP16</v>
      </c>
      <c r="B4429" s="266">
        <f>IFERROR(__xludf.DUMMYFUNCTION("""COMPUTED_VALUE"""),44981.0)</f>
        <v>44981</v>
      </c>
      <c r="C4429" s="266" t="str">
        <f>IFERROR(__xludf.DUMMYFUNCTION("""COMPUTED_VALUE"""),"KYAI KONTONG")</f>
        <v>KYAI KONTONG</v>
      </c>
      <c r="D4429" s="186">
        <f>IFERROR(__xludf.DUMMYFUNCTION("""COMPUTED_VALUE"""),10.0)</f>
        <v>10</v>
      </c>
    </row>
    <row r="4430">
      <c r="A4430" s="178" t="str">
        <f>IFERROR(__xludf.DUMMYFUNCTION("""COMPUTED_VALUE"""),"ITBISA-IC-CD4017BE-DIP16")</f>
        <v>ITBISA-IC-CD4017BE-DIP16</v>
      </c>
      <c r="B4430" s="266">
        <f>IFERROR(__xludf.DUMMYFUNCTION("""COMPUTED_VALUE"""),44981.0)</f>
        <v>44981</v>
      </c>
      <c r="C4430" s="266" t="str">
        <f>IFERROR(__xludf.DUMMYFUNCTION("""COMPUTED_VALUE"""),"KYAI KONTONG")</f>
        <v>KYAI KONTONG</v>
      </c>
      <c r="D4430" s="186">
        <f>IFERROR(__xludf.DUMMYFUNCTION("""COMPUTED_VALUE"""),25.0)</f>
        <v>25</v>
      </c>
    </row>
    <row r="4431">
      <c r="A4431" s="178" t="str">
        <f>IFERROR(__xludf.DUMMYFUNCTION("""COMPUTED_VALUE"""),"ITBISA-IC-CD4017BE-DIP16")</f>
        <v>ITBISA-IC-CD4017BE-DIP16</v>
      </c>
      <c r="B4431" s="266">
        <f>IFERROR(__xludf.DUMMYFUNCTION("""COMPUTED_VALUE"""),44981.0)</f>
        <v>44981</v>
      </c>
      <c r="C4431" s="266" t="str">
        <f>IFERROR(__xludf.DUMMYFUNCTION("""COMPUTED_VALUE"""),"KYAI KONTONG")</f>
        <v>KYAI KONTONG</v>
      </c>
      <c r="D4431" s="186">
        <f>IFERROR(__xludf.DUMMYFUNCTION("""COMPUTED_VALUE"""),100.0)</f>
        <v>100</v>
      </c>
    </row>
    <row r="4432">
      <c r="A4432" s="178" t="str">
        <f>IFERROR(__xludf.DUMMYFUNCTION("""COMPUTED_VALUE"""),"ITBISA-IC-CD4017BE-DIP16")</f>
        <v>ITBISA-IC-CD4017BE-DIP16</v>
      </c>
      <c r="B4432" s="266">
        <f>IFERROR(__xludf.DUMMYFUNCTION("""COMPUTED_VALUE"""),44982.0)</f>
        <v>44982</v>
      </c>
      <c r="C4432" s="266" t="str">
        <f>IFERROR(__xludf.DUMMYFUNCTION("""COMPUTED_VALUE"""),"KYAI KONTONG")</f>
        <v>KYAI KONTONG</v>
      </c>
      <c r="D4432" s="186">
        <f>IFERROR(__xludf.DUMMYFUNCTION("""COMPUTED_VALUE"""),4.0)</f>
        <v>4</v>
      </c>
    </row>
    <row r="4433">
      <c r="A4433" s="178" t="str">
        <f>IFERROR(__xludf.DUMMYFUNCTION("""COMPUTED_VALUE"""),"ITBISA-IC-CD4017BE-DIP16")</f>
        <v>ITBISA-IC-CD4017BE-DIP16</v>
      </c>
      <c r="B4433" s="266">
        <f>IFERROR(__xludf.DUMMYFUNCTION("""COMPUTED_VALUE"""),44986.0)</f>
        <v>44986</v>
      </c>
      <c r="C4433" s="266" t="str">
        <f>IFERROR(__xludf.DUMMYFUNCTION("""COMPUTED_VALUE"""),"KYAI KONTONG")</f>
        <v>KYAI KONTONG</v>
      </c>
      <c r="D4433" s="186">
        <f>IFERROR(__xludf.DUMMYFUNCTION("""COMPUTED_VALUE"""),10.0)</f>
        <v>10</v>
      </c>
    </row>
    <row r="4434">
      <c r="A4434" s="178" t="str">
        <f>IFERROR(__xludf.DUMMYFUNCTION("""COMPUTED_VALUE"""),"ITBISA-IC-CD4017BE-DIP16")</f>
        <v>ITBISA-IC-CD4017BE-DIP16</v>
      </c>
      <c r="B4434" s="266">
        <f>IFERROR(__xludf.DUMMYFUNCTION("""COMPUTED_VALUE"""),44986.0)</f>
        <v>44986</v>
      </c>
      <c r="C4434" s="266" t="str">
        <f>IFERROR(__xludf.DUMMYFUNCTION("""COMPUTED_VALUE"""),"KYAI KONTONG")</f>
        <v>KYAI KONTONG</v>
      </c>
      <c r="D4434" s="186">
        <f>IFERROR(__xludf.DUMMYFUNCTION("""COMPUTED_VALUE"""),100.0)</f>
        <v>100</v>
      </c>
    </row>
    <row r="4435">
      <c r="A4435" s="178" t="str">
        <f>IFERROR(__xludf.DUMMYFUNCTION("""COMPUTED_VALUE"""),"ITBISA-IC-CD4017BE-DIP16")</f>
        <v>ITBISA-IC-CD4017BE-DIP16</v>
      </c>
      <c r="B4435" s="266">
        <f>IFERROR(__xludf.DUMMYFUNCTION("""COMPUTED_VALUE"""),44987.0)</f>
        <v>44987</v>
      </c>
      <c r="C4435" s="266" t="str">
        <f>IFERROR(__xludf.DUMMYFUNCTION("""COMPUTED_VALUE"""),"KYAI KONTONG")</f>
        <v>KYAI KONTONG</v>
      </c>
      <c r="D4435" s="186">
        <f>IFERROR(__xludf.DUMMYFUNCTION("""COMPUTED_VALUE"""),5.0)</f>
        <v>5</v>
      </c>
    </row>
    <row r="4436">
      <c r="A4436" s="178" t="str">
        <f>IFERROR(__xludf.DUMMYFUNCTION("""COMPUTED_VALUE"""),"ITBISA-IC-CD4017BE-DIP16")</f>
        <v>ITBISA-IC-CD4017BE-DIP16</v>
      </c>
      <c r="B4436" s="266">
        <f>IFERROR(__xludf.DUMMYFUNCTION("""COMPUTED_VALUE"""),44987.0)</f>
        <v>44987</v>
      </c>
      <c r="C4436" s="266" t="str">
        <f>IFERROR(__xludf.DUMMYFUNCTION("""COMPUTED_VALUE"""),"KYAI KONTONG")</f>
        <v>KYAI KONTONG</v>
      </c>
      <c r="D4436" s="186">
        <f>IFERROR(__xludf.DUMMYFUNCTION("""COMPUTED_VALUE"""),25.0)</f>
        <v>25</v>
      </c>
    </row>
    <row r="4437">
      <c r="A4437" s="178" t="str">
        <f>IFERROR(__xludf.DUMMYFUNCTION("""COMPUTED_VALUE"""),"ITBISA-IC-CD4017BE-DIP16")</f>
        <v>ITBISA-IC-CD4017BE-DIP16</v>
      </c>
      <c r="B4437" s="266">
        <f>IFERROR(__xludf.DUMMYFUNCTION("""COMPUTED_VALUE"""),44987.0)</f>
        <v>44987</v>
      </c>
      <c r="C4437" s="266" t="str">
        <f>IFERROR(__xludf.DUMMYFUNCTION("""COMPUTED_VALUE"""),"KYAI KONTONG")</f>
        <v>KYAI KONTONG</v>
      </c>
      <c r="D4437" s="186">
        <f>IFERROR(__xludf.DUMMYFUNCTION("""COMPUTED_VALUE"""),50.0)</f>
        <v>50</v>
      </c>
    </row>
    <row r="4438">
      <c r="A4438" s="178" t="str">
        <f>IFERROR(__xludf.DUMMYFUNCTION("""COMPUTED_VALUE"""),"ITBISA-IC-CD4017BE-DIP16")</f>
        <v>ITBISA-IC-CD4017BE-DIP16</v>
      </c>
      <c r="B4438" s="266">
        <f>IFERROR(__xludf.DUMMYFUNCTION("""COMPUTED_VALUE"""),44989.0)</f>
        <v>44989</v>
      </c>
      <c r="C4438" s="266" t="str">
        <f>IFERROR(__xludf.DUMMYFUNCTION("""COMPUTED_VALUE"""),"KYAI KONTONG")</f>
        <v>KYAI KONTONG</v>
      </c>
      <c r="D4438" s="186">
        <f>IFERROR(__xludf.DUMMYFUNCTION("""COMPUTED_VALUE"""),60.0)</f>
        <v>60</v>
      </c>
    </row>
    <row r="4439">
      <c r="A4439" s="178" t="str">
        <f>IFERROR(__xludf.DUMMYFUNCTION("""COMPUTED_VALUE"""),"ITBISA-IC-CD4017BE-DIP16")</f>
        <v>ITBISA-IC-CD4017BE-DIP16</v>
      </c>
      <c r="B4439" s="266">
        <f>IFERROR(__xludf.DUMMYFUNCTION("""COMPUTED_VALUE"""),44993.0)</f>
        <v>44993</v>
      </c>
      <c r="C4439" s="266" t="str">
        <f>IFERROR(__xludf.DUMMYFUNCTION("""COMPUTED_VALUE"""),"KYAI KONTONG")</f>
        <v>KYAI KONTONG</v>
      </c>
      <c r="D4439" s="186">
        <f>IFERROR(__xludf.DUMMYFUNCTION("""COMPUTED_VALUE"""),1.0)</f>
        <v>1</v>
      </c>
    </row>
    <row r="4440">
      <c r="A4440" s="178" t="str">
        <f>IFERROR(__xludf.DUMMYFUNCTION("""COMPUTED_VALUE"""),"ITBISA-IC-CD4017BE-DIP16")</f>
        <v>ITBISA-IC-CD4017BE-DIP16</v>
      </c>
      <c r="B4440" s="266">
        <f>IFERROR(__xludf.DUMMYFUNCTION("""COMPUTED_VALUE"""),45002.0)</f>
        <v>45002</v>
      </c>
      <c r="C4440" s="266" t="str">
        <f>IFERROR(__xludf.DUMMYFUNCTION("""COMPUTED_VALUE"""),"KYAI KONTONG")</f>
        <v>KYAI KONTONG</v>
      </c>
      <c r="D4440" s="186">
        <f>IFERROR(__xludf.DUMMYFUNCTION("""COMPUTED_VALUE"""),10.0)</f>
        <v>10</v>
      </c>
    </row>
    <row r="4441">
      <c r="A4441" s="178" t="str">
        <f>IFERROR(__xludf.DUMMYFUNCTION("""COMPUTED_VALUE"""),"ITBISA-IC-CD4017BE-DIP16")</f>
        <v>ITBISA-IC-CD4017BE-DIP16</v>
      </c>
      <c r="B4441" s="266">
        <f>IFERROR(__xludf.DUMMYFUNCTION("""COMPUTED_VALUE"""),45008.0)</f>
        <v>45008</v>
      </c>
      <c r="C4441" s="266" t="str">
        <f>IFERROR(__xludf.DUMMYFUNCTION("""COMPUTED_VALUE"""),"KYAI KONTONG")</f>
        <v>KYAI KONTONG</v>
      </c>
      <c r="D4441" s="186">
        <f>IFERROR(__xludf.DUMMYFUNCTION("""COMPUTED_VALUE"""),20.0)</f>
        <v>20</v>
      </c>
    </row>
    <row r="4442">
      <c r="A4442" s="178" t="str">
        <f>IFERROR(__xludf.DUMMYFUNCTION("""COMPUTED_VALUE"""),"ITBISA-IC-CD4017BE-DIP16")</f>
        <v>ITBISA-IC-CD4017BE-DIP16</v>
      </c>
      <c r="B4442" s="266">
        <f>IFERROR(__xludf.DUMMYFUNCTION("""COMPUTED_VALUE"""),45008.0)</f>
        <v>45008</v>
      </c>
      <c r="C4442" s="266" t="str">
        <f>IFERROR(__xludf.DUMMYFUNCTION("""COMPUTED_VALUE"""),"KYAI KONTONG")</f>
        <v>KYAI KONTONG</v>
      </c>
      <c r="D4442" s="186">
        <f>IFERROR(__xludf.DUMMYFUNCTION("""COMPUTED_VALUE"""),50.0)</f>
        <v>50</v>
      </c>
    </row>
    <row r="4443">
      <c r="A4443" s="178" t="str">
        <f>IFERROR(__xludf.DUMMYFUNCTION("""COMPUTED_VALUE"""),"ITBISA-IC-CD4017BE-DIP16")</f>
        <v>ITBISA-IC-CD4017BE-DIP16</v>
      </c>
      <c r="B4443" s="266">
        <f>IFERROR(__xludf.DUMMYFUNCTION("""COMPUTED_VALUE"""),45008.0)</f>
        <v>45008</v>
      </c>
      <c r="C4443" s="266" t="str">
        <f>IFERROR(__xludf.DUMMYFUNCTION("""COMPUTED_VALUE"""),"KYAI KONTONG")</f>
        <v>KYAI KONTONG</v>
      </c>
      <c r="D4443" s="186">
        <f>IFERROR(__xludf.DUMMYFUNCTION("""COMPUTED_VALUE"""),100.0)</f>
        <v>100</v>
      </c>
    </row>
    <row r="4444">
      <c r="A4444" s="178" t="str">
        <f>IFERROR(__xludf.DUMMYFUNCTION("""COMPUTED_VALUE"""),"ITBISA-IC-CD4017BE-DIP16")</f>
        <v>ITBISA-IC-CD4017BE-DIP16</v>
      </c>
      <c r="B4444" s="266">
        <f>IFERROR(__xludf.DUMMYFUNCTION("""COMPUTED_VALUE"""),45010.0)</f>
        <v>45010</v>
      </c>
      <c r="C4444" s="266" t="str">
        <f>IFERROR(__xludf.DUMMYFUNCTION("""COMPUTED_VALUE"""),"KYAI KONTONG")</f>
        <v>KYAI KONTONG</v>
      </c>
      <c r="D4444" s="186">
        <f>IFERROR(__xludf.DUMMYFUNCTION("""COMPUTED_VALUE"""),1.0)</f>
        <v>1</v>
      </c>
    </row>
    <row r="4445">
      <c r="A4445" s="178" t="str">
        <f>IFERROR(__xludf.DUMMYFUNCTION("""COMPUTED_VALUE"""),"ITBISA-IC-CD4017BE-DIP16")</f>
        <v>ITBISA-IC-CD4017BE-DIP16</v>
      </c>
      <c r="B4445" s="266">
        <f>IFERROR(__xludf.DUMMYFUNCTION("""COMPUTED_VALUE"""),45010.0)</f>
        <v>45010</v>
      </c>
      <c r="C4445" s="266" t="str">
        <f>IFERROR(__xludf.DUMMYFUNCTION("""COMPUTED_VALUE"""),"KYAI KONTONG")</f>
        <v>KYAI KONTONG</v>
      </c>
      <c r="D4445" s="186">
        <f>IFERROR(__xludf.DUMMYFUNCTION("""COMPUTED_VALUE"""),2.0)</f>
        <v>2</v>
      </c>
    </row>
    <row r="4446">
      <c r="A4446" s="178" t="str">
        <f>IFERROR(__xludf.DUMMYFUNCTION("""COMPUTED_VALUE"""),"ITBISA-IC-CD4017BE-DIP16")</f>
        <v>ITBISA-IC-CD4017BE-DIP16</v>
      </c>
      <c r="B4446" s="266">
        <f>IFERROR(__xludf.DUMMYFUNCTION("""COMPUTED_VALUE"""),45012.0)</f>
        <v>45012</v>
      </c>
      <c r="C4446" s="266" t="str">
        <f>IFERROR(__xludf.DUMMYFUNCTION("""COMPUTED_VALUE"""),"KERTASARI CIAMIS")</f>
        <v>KERTASARI CIAMIS</v>
      </c>
      <c r="D4446" s="186">
        <f>IFERROR(__xludf.DUMMYFUNCTION("""COMPUTED_VALUE"""),6.0)</f>
        <v>6</v>
      </c>
    </row>
    <row r="4447">
      <c r="A4447" s="178" t="str">
        <f>IFERROR(__xludf.DUMMYFUNCTION("""COMPUTED_VALUE"""),"ITBISA-IC-CD4017BE-DIP16")</f>
        <v>ITBISA-IC-CD4017BE-DIP16</v>
      </c>
      <c r="B4447" s="266">
        <f>IFERROR(__xludf.DUMMYFUNCTION("""COMPUTED_VALUE"""),45013.0)</f>
        <v>45013</v>
      </c>
      <c r="C4447" s="266" t="str">
        <f>IFERROR(__xludf.DUMMYFUNCTION("""COMPUTED_VALUE"""),"KERTASARI CIAMIS")</f>
        <v>KERTASARI CIAMIS</v>
      </c>
      <c r="D4447" s="186">
        <f>IFERROR(__xludf.DUMMYFUNCTION("""COMPUTED_VALUE"""),20.0)</f>
        <v>20</v>
      </c>
    </row>
    <row r="4448">
      <c r="A4448" s="178" t="str">
        <f>IFERROR(__xludf.DUMMYFUNCTION("""COMPUTED_VALUE"""),"ITBISA-IC-CD4017BE-DIP16")</f>
        <v>ITBISA-IC-CD4017BE-DIP16</v>
      </c>
      <c r="B4448" s="266">
        <f>IFERROR(__xludf.DUMMYFUNCTION("""COMPUTED_VALUE"""),45013.0)</f>
        <v>45013</v>
      </c>
      <c r="C4448" s="266" t="str">
        <f>IFERROR(__xludf.DUMMYFUNCTION("""COMPUTED_VALUE"""),"KERTASARI CIAMIS")</f>
        <v>KERTASARI CIAMIS</v>
      </c>
      <c r="D4448" s="186">
        <f>IFERROR(__xludf.DUMMYFUNCTION("""COMPUTED_VALUE"""),40.0)</f>
        <v>40</v>
      </c>
    </row>
    <row r="4449">
      <c r="A4449" s="178" t="str">
        <f>IFERROR(__xludf.DUMMYFUNCTION("""COMPUTED_VALUE"""),"ITBISA-IC-CD4017BE-DIP16")</f>
        <v>ITBISA-IC-CD4017BE-DIP16</v>
      </c>
      <c r="B4449" s="266">
        <f>IFERROR(__xludf.DUMMYFUNCTION("""COMPUTED_VALUE"""),45013.0)</f>
        <v>45013</v>
      </c>
      <c r="C4449" s="266" t="str">
        <f>IFERROR(__xludf.DUMMYFUNCTION("""COMPUTED_VALUE"""),"KERTASARI CIAMIS")</f>
        <v>KERTASARI CIAMIS</v>
      </c>
      <c r="D4449" s="186">
        <f>IFERROR(__xludf.DUMMYFUNCTION("""COMPUTED_VALUE"""),100.0)</f>
        <v>100</v>
      </c>
    </row>
    <row r="4450">
      <c r="A4450" s="178" t="str">
        <f>IFERROR(__xludf.DUMMYFUNCTION("""COMPUTED_VALUE"""),"ITBISA-IC-CD4017BE-DIP16")</f>
        <v>ITBISA-IC-CD4017BE-DIP16</v>
      </c>
      <c r="B4450" s="266">
        <f>IFERROR(__xludf.DUMMYFUNCTION("""COMPUTED_VALUE"""),45020.0)</f>
        <v>45020</v>
      </c>
      <c r="C4450" s="266" t="str">
        <f>IFERROR(__xludf.DUMMYFUNCTION("""COMPUTED_VALUE"""),"KYAI KONTONG")</f>
        <v>KYAI KONTONG</v>
      </c>
      <c r="D4450" s="186">
        <f>IFERROR(__xludf.DUMMYFUNCTION("""COMPUTED_VALUE"""),2.0)</f>
        <v>2</v>
      </c>
    </row>
    <row r="4451">
      <c r="A4451" s="178" t="str">
        <f>IFERROR(__xludf.DUMMYFUNCTION("""COMPUTED_VALUE"""),"ITBISA-IC-CD4017BE-DIP16")</f>
        <v>ITBISA-IC-CD4017BE-DIP16</v>
      </c>
      <c r="B4451" s="266">
        <f>IFERROR(__xludf.DUMMYFUNCTION("""COMPUTED_VALUE"""),45020.0)</f>
        <v>45020</v>
      </c>
      <c r="C4451" s="266" t="str">
        <f>IFERROR(__xludf.DUMMYFUNCTION("""COMPUTED_VALUE"""),"KYAI KONTONG")</f>
        <v>KYAI KONTONG</v>
      </c>
      <c r="D4451" s="186">
        <f>IFERROR(__xludf.DUMMYFUNCTION("""COMPUTED_VALUE"""),10.0)</f>
        <v>10</v>
      </c>
    </row>
    <row r="4452">
      <c r="A4452" s="178" t="str">
        <f>IFERROR(__xludf.DUMMYFUNCTION("""COMPUTED_VALUE"""),"ITBISA-IC-CD4017BE-DIP16")</f>
        <v>ITBISA-IC-CD4017BE-DIP16</v>
      </c>
      <c r="B4452" s="266">
        <f>IFERROR(__xludf.DUMMYFUNCTION("""COMPUTED_VALUE"""),45021.0)</f>
        <v>45021</v>
      </c>
      <c r="C4452" s="266" t="str">
        <f>IFERROR(__xludf.DUMMYFUNCTION("""COMPUTED_VALUE"""),"KYAI KONTONG")</f>
        <v>KYAI KONTONG</v>
      </c>
      <c r="D4452" s="186">
        <f>IFERROR(__xludf.DUMMYFUNCTION("""COMPUTED_VALUE"""),40.0)</f>
        <v>40</v>
      </c>
    </row>
    <row r="4453">
      <c r="A4453" s="178" t="str">
        <f>IFERROR(__xludf.DUMMYFUNCTION("""COMPUTED_VALUE"""),"ITBISA-IC-CD4017BE-DIP16")</f>
        <v>ITBISA-IC-CD4017BE-DIP16</v>
      </c>
      <c r="B4453" s="266">
        <f>IFERROR(__xludf.DUMMYFUNCTION("""COMPUTED_VALUE"""),45022.0)</f>
        <v>45022</v>
      </c>
      <c r="C4453" s="266" t="str">
        <f>IFERROR(__xludf.DUMMYFUNCTION("""COMPUTED_VALUE"""),"KYAI KONTONG")</f>
        <v>KYAI KONTONG</v>
      </c>
      <c r="D4453" s="186">
        <f>IFERROR(__xludf.DUMMYFUNCTION("""COMPUTED_VALUE"""),13.0)</f>
        <v>13</v>
      </c>
    </row>
    <row r="4454">
      <c r="A4454" s="178" t="str">
        <f>IFERROR(__xludf.DUMMYFUNCTION("""COMPUTED_VALUE"""),"ITBISA-IC-CD4017BE-DIP16")</f>
        <v>ITBISA-IC-CD4017BE-DIP16</v>
      </c>
      <c r="B4454" s="266">
        <f>IFERROR(__xludf.DUMMYFUNCTION("""COMPUTED_VALUE"""),45026.0)</f>
        <v>45026</v>
      </c>
      <c r="C4454" s="266" t="str">
        <f>IFERROR(__xludf.DUMMYFUNCTION("""COMPUTED_VALUE"""),"KYAI KONTONG")</f>
        <v>KYAI KONTONG</v>
      </c>
      <c r="D4454" s="186">
        <f>IFERROR(__xludf.DUMMYFUNCTION("""COMPUTED_VALUE"""),25.0)</f>
        <v>25</v>
      </c>
    </row>
    <row r="4455">
      <c r="A4455" s="178" t="str">
        <f>IFERROR(__xludf.DUMMYFUNCTION("""COMPUTED_VALUE"""),"ITBISA-IC-CD4017BE-DIP16")</f>
        <v>ITBISA-IC-CD4017BE-DIP16</v>
      </c>
      <c r="B4455" s="266">
        <f>IFERROR(__xludf.DUMMYFUNCTION("""COMPUTED_VALUE"""),45026.0)</f>
        <v>45026</v>
      </c>
      <c r="C4455" s="266" t="str">
        <f>IFERROR(__xludf.DUMMYFUNCTION("""COMPUTED_VALUE"""),"KYAI KONTONG")</f>
        <v>KYAI KONTONG</v>
      </c>
      <c r="D4455" s="186">
        <f>IFERROR(__xludf.DUMMYFUNCTION("""COMPUTED_VALUE"""),25.0)</f>
        <v>25</v>
      </c>
    </row>
    <row r="4456">
      <c r="A4456" s="178" t="str">
        <f>IFERROR(__xludf.DUMMYFUNCTION("""COMPUTED_VALUE"""),"ITBISA-IC-CD4017BE-DIP16")</f>
        <v>ITBISA-IC-CD4017BE-DIP16</v>
      </c>
      <c r="B4456" s="266">
        <f>IFERROR(__xludf.DUMMYFUNCTION("""COMPUTED_VALUE"""),45054.0)</f>
        <v>45054</v>
      </c>
      <c r="C4456" s="266" t="str">
        <f>IFERROR(__xludf.DUMMYFUNCTION("""COMPUTED_VALUE"""),"KYAI KONTONG")</f>
        <v>KYAI KONTONG</v>
      </c>
      <c r="D4456" s="186">
        <f>IFERROR(__xludf.DUMMYFUNCTION("""COMPUTED_VALUE"""),100.0)</f>
        <v>100</v>
      </c>
    </row>
    <row r="4457">
      <c r="A4457" s="178" t="str">
        <f>IFERROR(__xludf.DUMMYFUNCTION("""COMPUTED_VALUE"""),"ITBISA-IC-CD4017BE-DIP16")</f>
        <v>ITBISA-IC-CD4017BE-DIP16</v>
      </c>
      <c r="B4457" s="266">
        <f>IFERROR(__xludf.DUMMYFUNCTION("""COMPUTED_VALUE"""),45057.0)</f>
        <v>45057</v>
      </c>
      <c r="C4457" s="266" t="str">
        <f>IFERROR(__xludf.DUMMYFUNCTION("""COMPUTED_VALUE"""),"KYAI KONTONG")</f>
        <v>KYAI KONTONG</v>
      </c>
      <c r="D4457" s="186">
        <f>IFERROR(__xludf.DUMMYFUNCTION("""COMPUTED_VALUE"""),100.0)</f>
        <v>100</v>
      </c>
    </row>
    <row r="4458">
      <c r="A4458" s="178" t="str">
        <f>IFERROR(__xludf.DUMMYFUNCTION("""COMPUTED_VALUE"""),"ITBISA-IC-CD4017BE-DIP16")</f>
        <v>ITBISA-IC-CD4017BE-DIP16</v>
      </c>
      <c r="B4458" s="266">
        <f>IFERROR(__xludf.DUMMYFUNCTION("""COMPUTED_VALUE"""),45059.0)</f>
        <v>45059</v>
      </c>
      <c r="C4458" s="266" t="str">
        <f>IFERROR(__xludf.DUMMYFUNCTION("""COMPUTED_VALUE"""),"KYAI KONTONG")</f>
        <v>KYAI KONTONG</v>
      </c>
      <c r="D4458" s="186">
        <f>IFERROR(__xludf.DUMMYFUNCTION("""COMPUTED_VALUE"""),25.0)</f>
        <v>25</v>
      </c>
    </row>
    <row r="4459">
      <c r="A4459" s="178" t="str">
        <f>IFERROR(__xludf.DUMMYFUNCTION("""COMPUTED_VALUE"""),"ITBISA-IC-CD4017BE-DIP16")</f>
        <v>ITBISA-IC-CD4017BE-DIP16</v>
      </c>
      <c r="B4459" s="266">
        <f>IFERROR(__xludf.DUMMYFUNCTION("""COMPUTED_VALUE"""),45061.0)</f>
        <v>45061</v>
      </c>
      <c r="C4459" s="266" t="str">
        <f>IFERROR(__xludf.DUMMYFUNCTION("""COMPUTED_VALUE"""),"KYAI KONTONG")</f>
        <v>KYAI KONTONG</v>
      </c>
      <c r="D4459" s="186">
        <f>IFERROR(__xludf.DUMMYFUNCTION("""COMPUTED_VALUE"""),2.0)</f>
        <v>2</v>
      </c>
    </row>
    <row r="4460">
      <c r="A4460" s="178" t="str">
        <f>IFERROR(__xludf.DUMMYFUNCTION("""COMPUTED_VALUE"""),"ITBISA-IC-CD4017BE-DIP16")</f>
        <v>ITBISA-IC-CD4017BE-DIP16</v>
      </c>
      <c r="B4460" s="266">
        <f>IFERROR(__xludf.DUMMYFUNCTION("""COMPUTED_VALUE"""),45061.0)</f>
        <v>45061</v>
      </c>
      <c r="C4460" s="266" t="str">
        <f>IFERROR(__xludf.DUMMYFUNCTION("""COMPUTED_VALUE"""),"KYAI KONTONG")</f>
        <v>KYAI KONTONG</v>
      </c>
      <c r="D4460" s="186">
        <f>IFERROR(__xludf.DUMMYFUNCTION("""COMPUTED_VALUE"""),10.0)</f>
        <v>10</v>
      </c>
    </row>
    <row r="4461">
      <c r="A4461" s="178" t="str">
        <f>IFERROR(__xludf.DUMMYFUNCTION("""COMPUTED_VALUE"""),"ITBISA-IC-CD4017BE-DIP16")</f>
        <v>ITBISA-IC-CD4017BE-DIP16</v>
      </c>
      <c r="B4461" s="266">
        <f>IFERROR(__xludf.DUMMYFUNCTION("""COMPUTED_VALUE"""),45062.0)</f>
        <v>45062</v>
      </c>
      <c r="C4461" s="266" t="str">
        <f>IFERROR(__xludf.DUMMYFUNCTION("""COMPUTED_VALUE"""),"KYAI KONTONG")</f>
        <v>KYAI KONTONG</v>
      </c>
      <c r="D4461" s="186">
        <f>IFERROR(__xludf.DUMMYFUNCTION("""COMPUTED_VALUE"""),11.0)</f>
        <v>11</v>
      </c>
    </row>
    <row r="4462">
      <c r="A4462" s="178" t="str">
        <f>IFERROR(__xludf.DUMMYFUNCTION("""COMPUTED_VALUE"""),"ITBISA-IC-CD4017BE-DIP16")</f>
        <v>ITBISA-IC-CD4017BE-DIP16</v>
      </c>
      <c r="B4462" s="266">
        <f>IFERROR(__xludf.DUMMYFUNCTION("""COMPUTED_VALUE"""),45073.0)</f>
        <v>45073</v>
      </c>
      <c r="C4462" s="266" t="str">
        <f>IFERROR(__xludf.DUMMYFUNCTION("""COMPUTED_VALUE"""),"KYAI KONTONG")</f>
        <v>KYAI KONTONG</v>
      </c>
      <c r="D4462" s="186">
        <f>IFERROR(__xludf.DUMMYFUNCTION("""COMPUTED_VALUE"""),50.0)</f>
        <v>50</v>
      </c>
    </row>
    <row r="4463">
      <c r="A4463" s="178" t="str">
        <f>IFERROR(__xludf.DUMMYFUNCTION("""COMPUTED_VALUE"""),"ITBISA-IC-CD4017BE-DIP16")</f>
        <v>ITBISA-IC-CD4017BE-DIP16</v>
      </c>
      <c r="B4463" s="266">
        <f>IFERROR(__xludf.DUMMYFUNCTION("""COMPUTED_VALUE"""),45074.0)</f>
        <v>45074</v>
      </c>
      <c r="C4463" s="266" t="str">
        <f>IFERROR(__xludf.DUMMYFUNCTION("""COMPUTED_VALUE"""),"KYAI KONTONG")</f>
        <v>KYAI KONTONG</v>
      </c>
      <c r="D4463" s="186">
        <f>IFERROR(__xludf.DUMMYFUNCTION("""COMPUTED_VALUE"""),4.0)</f>
        <v>4</v>
      </c>
    </row>
    <row r="4464">
      <c r="A4464" s="178" t="str">
        <f>IFERROR(__xludf.DUMMYFUNCTION("""COMPUTED_VALUE"""),"ITBISA-IC-CD4017BE-DIP16")</f>
        <v>ITBISA-IC-CD4017BE-DIP16</v>
      </c>
      <c r="B4464" s="266">
        <f>IFERROR(__xludf.DUMMYFUNCTION("""COMPUTED_VALUE"""),45077.0)</f>
        <v>45077</v>
      </c>
      <c r="C4464" s="266" t="str">
        <f>IFERROR(__xludf.DUMMYFUNCTION("""COMPUTED_VALUE"""),"KYAI KONTONG")</f>
        <v>KYAI KONTONG</v>
      </c>
      <c r="D4464" s="186">
        <f>IFERROR(__xludf.DUMMYFUNCTION("""COMPUTED_VALUE"""),10.0)</f>
        <v>10</v>
      </c>
    </row>
    <row r="4465">
      <c r="A4465" s="178" t="str">
        <f>IFERROR(__xludf.DUMMYFUNCTION("""COMPUTED_VALUE"""),"ITBISA-IC-CD4017BE-DIP16")</f>
        <v>ITBISA-IC-CD4017BE-DIP16</v>
      </c>
      <c r="B4465" s="266">
        <f>IFERROR(__xludf.DUMMYFUNCTION("""COMPUTED_VALUE"""),45078.0)</f>
        <v>45078</v>
      </c>
      <c r="C4465" s="266" t="str">
        <f>IFERROR(__xludf.DUMMYFUNCTION("""COMPUTED_VALUE"""),"KYAI KONTONG")</f>
        <v>KYAI KONTONG</v>
      </c>
      <c r="D4465" s="186">
        <f>IFERROR(__xludf.DUMMYFUNCTION("""COMPUTED_VALUE"""),10.0)</f>
        <v>10</v>
      </c>
    </row>
    <row r="4466">
      <c r="A4466" s="178" t="str">
        <f>IFERROR(__xludf.DUMMYFUNCTION("""COMPUTED_VALUE"""),"ITBISA-IC-CD4017BE-DIP16")</f>
        <v>ITBISA-IC-CD4017BE-DIP16</v>
      </c>
      <c r="B4466" s="266">
        <f>IFERROR(__xludf.DUMMYFUNCTION("""COMPUTED_VALUE"""),45078.0)</f>
        <v>45078</v>
      </c>
      <c r="C4466" s="266" t="str">
        <f>IFERROR(__xludf.DUMMYFUNCTION("""COMPUTED_VALUE"""),"KYAI KONTONG")</f>
        <v>KYAI KONTONG</v>
      </c>
      <c r="D4466" s="186">
        <f>IFERROR(__xludf.DUMMYFUNCTION("""COMPUTED_VALUE"""),100.0)</f>
        <v>100</v>
      </c>
    </row>
    <row r="4467">
      <c r="A4467" s="178" t="str">
        <f>IFERROR(__xludf.DUMMYFUNCTION("""COMPUTED_VALUE"""),"ITBISA-IC-CD4017BE-DIP16")</f>
        <v>ITBISA-IC-CD4017BE-DIP16</v>
      </c>
      <c r="B4467" s="266">
        <f>IFERROR(__xludf.DUMMYFUNCTION("""COMPUTED_VALUE"""),45081.0)</f>
        <v>45081</v>
      </c>
      <c r="C4467" s="266" t="str">
        <f>IFERROR(__xludf.DUMMYFUNCTION("""COMPUTED_VALUE"""),"KYAI KONTONG")</f>
        <v>KYAI KONTONG</v>
      </c>
      <c r="D4467" s="186">
        <f>IFERROR(__xludf.DUMMYFUNCTION("""COMPUTED_VALUE"""),23.0)</f>
        <v>23</v>
      </c>
    </row>
    <row r="4468">
      <c r="A4468" s="178" t="str">
        <f>IFERROR(__xludf.DUMMYFUNCTION("""COMPUTED_VALUE"""),"ITBISA-IC-CD4017BE-DIP16")</f>
        <v>ITBISA-IC-CD4017BE-DIP16</v>
      </c>
      <c r="B4468" s="266">
        <f>IFERROR(__xludf.DUMMYFUNCTION("""COMPUTED_VALUE"""),45085.0)</f>
        <v>45085</v>
      </c>
      <c r="C4468" s="266" t="str">
        <f>IFERROR(__xludf.DUMMYFUNCTION("""COMPUTED_VALUE"""),"KYAI KONTONG")</f>
        <v>KYAI KONTONG</v>
      </c>
      <c r="D4468" s="186">
        <f>IFERROR(__xludf.DUMMYFUNCTION("""COMPUTED_VALUE"""),75.0)</f>
        <v>75</v>
      </c>
    </row>
    <row r="4469">
      <c r="A4469" s="178" t="str">
        <f>IFERROR(__xludf.DUMMYFUNCTION("""COMPUTED_VALUE"""),"ITBISA-IC-CD4017BE-DIP16")</f>
        <v>ITBISA-IC-CD4017BE-DIP16</v>
      </c>
      <c r="B4469" s="266">
        <f>IFERROR(__xludf.DUMMYFUNCTION("""COMPUTED_VALUE"""),45088.0)</f>
        <v>45088</v>
      </c>
      <c r="C4469" s="266" t="str">
        <f>IFERROR(__xludf.DUMMYFUNCTION("""COMPUTED_VALUE"""),"KERTASARI CIAMIS")</f>
        <v>KERTASARI CIAMIS</v>
      </c>
      <c r="D4469" s="186">
        <f>IFERROR(__xludf.DUMMYFUNCTION("""COMPUTED_VALUE"""),75.0)</f>
        <v>75</v>
      </c>
    </row>
    <row r="4470">
      <c r="A4470" s="178" t="str">
        <f>IFERROR(__xludf.DUMMYFUNCTION("""COMPUTED_VALUE"""),"ITBISA-IC-CD4017BE-DIP16")</f>
        <v>ITBISA-IC-CD4017BE-DIP16</v>
      </c>
      <c r="B4470" s="266">
        <f>IFERROR(__xludf.DUMMYFUNCTION("""COMPUTED_VALUE"""),45088.0)</f>
        <v>45088</v>
      </c>
      <c r="C4470" s="266" t="str">
        <f>IFERROR(__xludf.DUMMYFUNCTION("""COMPUTED_VALUE"""),"KYAI KONTONG")</f>
        <v>KYAI KONTONG</v>
      </c>
      <c r="D4470" s="186">
        <f>IFERROR(__xludf.DUMMYFUNCTION("""COMPUTED_VALUE"""),24.0)</f>
        <v>24</v>
      </c>
    </row>
    <row r="4471">
      <c r="A4471" s="178" t="str">
        <f>IFERROR(__xludf.DUMMYFUNCTION("""COMPUTED_VALUE"""),"ITBISA-IC-CD4017BE-DIP16")</f>
        <v>ITBISA-IC-CD4017BE-DIP16</v>
      </c>
      <c r="B4471" s="266">
        <f>IFERROR(__xludf.DUMMYFUNCTION("""COMPUTED_VALUE"""),45090.0)</f>
        <v>45090</v>
      </c>
      <c r="C4471" s="266" t="str">
        <f>IFERROR(__xludf.DUMMYFUNCTION("""COMPUTED_VALUE"""),"KYAI KONTONG")</f>
        <v>KYAI KONTONG</v>
      </c>
      <c r="D4471" s="186">
        <f>IFERROR(__xludf.DUMMYFUNCTION("""COMPUTED_VALUE"""),2.0)</f>
        <v>2</v>
      </c>
    </row>
    <row r="4472">
      <c r="A4472" s="178" t="str">
        <f>IFERROR(__xludf.DUMMYFUNCTION("""COMPUTED_VALUE"""),"ITBISA-IC-CD4017BE-DIP16")</f>
        <v>ITBISA-IC-CD4017BE-DIP16</v>
      </c>
      <c r="B4472" s="266">
        <f>IFERROR(__xludf.DUMMYFUNCTION("""COMPUTED_VALUE"""),45091.0)</f>
        <v>45091</v>
      </c>
      <c r="C4472" s="266" t="str">
        <f>IFERROR(__xludf.DUMMYFUNCTION("""COMPUTED_VALUE"""),"KYAI KONTONG")</f>
        <v>KYAI KONTONG</v>
      </c>
      <c r="D4472" s="186">
        <f>IFERROR(__xludf.DUMMYFUNCTION("""COMPUTED_VALUE"""),5.0)</f>
        <v>5</v>
      </c>
    </row>
    <row r="4473">
      <c r="A4473" s="178" t="str">
        <f>IFERROR(__xludf.DUMMYFUNCTION("""COMPUTED_VALUE"""),"ITBISA-IC-CD4017BE-DIP16")</f>
        <v>ITBISA-IC-CD4017BE-DIP16</v>
      </c>
      <c r="B4473" s="266">
        <f>IFERROR(__xludf.DUMMYFUNCTION("""COMPUTED_VALUE"""),45101.0)</f>
        <v>45101</v>
      </c>
      <c r="C4473" s="266" t="str">
        <f>IFERROR(__xludf.DUMMYFUNCTION("""COMPUTED_VALUE"""),"KYAI KONTONG")</f>
        <v>KYAI KONTONG</v>
      </c>
      <c r="D4473" s="186">
        <f>IFERROR(__xludf.DUMMYFUNCTION("""COMPUTED_VALUE"""),10.0)</f>
        <v>10</v>
      </c>
    </row>
    <row r="4474">
      <c r="A4474" s="178" t="str">
        <f>IFERROR(__xludf.DUMMYFUNCTION("""COMPUTED_VALUE"""),"ITBISA-IC-CD4017BE-DIP16")</f>
        <v>ITBISA-IC-CD4017BE-DIP16</v>
      </c>
      <c r="B4474" s="266">
        <f>IFERROR(__xludf.DUMMYFUNCTION("""COMPUTED_VALUE"""),45106.0)</f>
        <v>45106</v>
      </c>
      <c r="C4474" s="266" t="str">
        <f>IFERROR(__xludf.DUMMYFUNCTION("""COMPUTED_VALUE"""),"KYAI KONTONG")</f>
        <v>KYAI KONTONG</v>
      </c>
      <c r="D4474" s="186">
        <f>IFERROR(__xludf.DUMMYFUNCTION("""COMPUTED_VALUE"""),2.0)</f>
        <v>2</v>
      </c>
    </row>
    <row r="4475">
      <c r="A4475" s="178" t="str">
        <f>IFERROR(__xludf.DUMMYFUNCTION("""COMPUTED_VALUE"""),"ITBISA-IC-CD4017BE-DIP16")</f>
        <v>ITBISA-IC-CD4017BE-DIP16</v>
      </c>
      <c r="B4475" s="266">
        <f>IFERROR(__xludf.DUMMYFUNCTION("""COMPUTED_VALUE"""),45107.0)</f>
        <v>45107</v>
      </c>
      <c r="C4475" s="266" t="str">
        <f>IFERROR(__xludf.DUMMYFUNCTION("""COMPUTED_VALUE"""),"KYAI KONTONG")</f>
        <v>KYAI KONTONG</v>
      </c>
      <c r="D4475" s="186">
        <f>IFERROR(__xludf.DUMMYFUNCTION("""COMPUTED_VALUE"""),4.0)</f>
        <v>4</v>
      </c>
    </row>
    <row r="4476">
      <c r="A4476" s="178" t="str">
        <f>IFERROR(__xludf.DUMMYFUNCTION("""COMPUTED_VALUE"""),"ITBISA-IC-CD4017BE-DIP16")</f>
        <v>ITBISA-IC-CD4017BE-DIP16</v>
      </c>
      <c r="B4476" s="266">
        <f>IFERROR(__xludf.DUMMYFUNCTION("""COMPUTED_VALUE"""),45113.0)</f>
        <v>45113</v>
      </c>
      <c r="C4476" s="266" t="str">
        <f>IFERROR(__xludf.DUMMYFUNCTION("""COMPUTED_VALUE"""),"KYAI KONTONG")</f>
        <v>KYAI KONTONG</v>
      </c>
      <c r="D4476" s="186">
        <f>IFERROR(__xludf.DUMMYFUNCTION("""COMPUTED_VALUE"""),3.0)</f>
        <v>3</v>
      </c>
    </row>
    <row r="4477">
      <c r="A4477" s="178" t="str">
        <f>IFERROR(__xludf.DUMMYFUNCTION("""COMPUTED_VALUE"""),"ITBISA-IC-CD4017BE-DIP16")</f>
        <v>ITBISA-IC-CD4017BE-DIP16</v>
      </c>
      <c r="B4477" s="266">
        <f>IFERROR(__xludf.DUMMYFUNCTION("""COMPUTED_VALUE"""),45115.0)</f>
        <v>45115</v>
      </c>
      <c r="C4477" s="266" t="str">
        <f>IFERROR(__xludf.DUMMYFUNCTION("""COMPUTED_VALUE"""),"KYAI KONTONG")</f>
        <v>KYAI KONTONG</v>
      </c>
      <c r="D4477" s="186">
        <f>IFERROR(__xludf.DUMMYFUNCTION("""COMPUTED_VALUE"""),25.0)</f>
        <v>25</v>
      </c>
    </row>
    <row r="4478">
      <c r="A4478" s="178" t="str">
        <f>IFERROR(__xludf.DUMMYFUNCTION("""COMPUTED_VALUE"""),"ITBISA-IC-CD4017BE-DIP16")</f>
        <v>ITBISA-IC-CD4017BE-DIP16</v>
      </c>
      <c r="B4478" s="266">
        <f>IFERROR(__xludf.DUMMYFUNCTION("""COMPUTED_VALUE"""),45126.0)</f>
        <v>45126</v>
      </c>
      <c r="C4478" s="266" t="str">
        <f>IFERROR(__xludf.DUMMYFUNCTION("""COMPUTED_VALUE"""),"KYAI KONTONG")</f>
        <v>KYAI KONTONG</v>
      </c>
      <c r="D4478" s="186">
        <f>IFERROR(__xludf.DUMMYFUNCTION("""COMPUTED_VALUE"""),100.0)</f>
        <v>100</v>
      </c>
    </row>
    <row r="4479">
      <c r="A4479" s="178" t="str">
        <f>IFERROR(__xludf.DUMMYFUNCTION("""COMPUTED_VALUE"""),"ITBISA-IC-CD4017BE-DIP16")</f>
        <v>ITBISA-IC-CD4017BE-DIP16</v>
      </c>
      <c r="B4479" s="266">
        <f>IFERROR(__xludf.DUMMYFUNCTION("""COMPUTED_VALUE"""),45132.0)</f>
        <v>45132</v>
      </c>
      <c r="C4479" s="266" t="str">
        <f>IFERROR(__xludf.DUMMYFUNCTION("""COMPUTED_VALUE"""),"KYAI KONTONG")</f>
        <v>KYAI KONTONG</v>
      </c>
      <c r="D4479" s="186">
        <f>IFERROR(__xludf.DUMMYFUNCTION("""COMPUTED_VALUE"""),20.0)</f>
        <v>20</v>
      </c>
    </row>
    <row r="4480">
      <c r="A4480" s="178" t="str">
        <f>IFERROR(__xludf.DUMMYFUNCTION("""COMPUTED_VALUE"""),"ITBISA-IC-CD4017BE-DIP16")</f>
        <v>ITBISA-IC-CD4017BE-DIP16</v>
      </c>
      <c r="B4480" s="266">
        <f>IFERROR(__xludf.DUMMYFUNCTION("""COMPUTED_VALUE"""),45139.0)</f>
        <v>45139</v>
      </c>
      <c r="C4480" s="266" t="str">
        <f>IFERROR(__xludf.DUMMYFUNCTION("""COMPUTED_VALUE"""),"KYAI KONTONG")</f>
        <v>KYAI KONTONG</v>
      </c>
      <c r="D4480" s="186">
        <f>IFERROR(__xludf.DUMMYFUNCTION("""COMPUTED_VALUE"""),2.0)</f>
        <v>2</v>
      </c>
    </row>
    <row r="4481">
      <c r="A4481" s="178" t="str">
        <f>IFERROR(__xludf.DUMMYFUNCTION("""COMPUTED_VALUE"""),"ITBISA-IC-CD4017BE-DIP16")</f>
        <v>ITBISA-IC-CD4017BE-DIP16</v>
      </c>
      <c r="B4481" s="266">
        <f>IFERROR(__xludf.DUMMYFUNCTION("""COMPUTED_VALUE"""),45150.0)</f>
        <v>45150</v>
      </c>
      <c r="C4481" s="266" t="str">
        <f>IFERROR(__xludf.DUMMYFUNCTION("""COMPUTED_VALUE"""),"KYAI KONTONG")</f>
        <v>KYAI KONTONG</v>
      </c>
      <c r="D4481" s="186">
        <f>IFERROR(__xludf.DUMMYFUNCTION("""COMPUTED_VALUE"""),100.0)</f>
        <v>100</v>
      </c>
    </row>
    <row r="4482">
      <c r="A4482" s="178" t="str">
        <f>IFERROR(__xludf.DUMMYFUNCTION("""COMPUTED_VALUE"""),"ITBISA-IC-CD4017BE-DIP16")</f>
        <v>ITBISA-IC-CD4017BE-DIP16</v>
      </c>
      <c r="B4482" s="266">
        <f>IFERROR(__xludf.DUMMYFUNCTION("""COMPUTED_VALUE"""),45155.0)</f>
        <v>45155</v>
      </c>
      <c r="C4482" s="266" t="str">
        <f>IFERROR(__xludf.DUMMYFUNCTION("""COMPUTED_VALUE"""),"KYAI KONTONG")</f>
        <v>KYAI KONTONG</v>
      </c>
      <c r="D4482" s="186">
        <f>IFERROR(__xludf.DUMMYFUNCTION("""COMPUTED_VALUE"""),2.0)</f>
        <v>2</v>
      </c>
    </row>
    <row r="4483">
      <c r="A4483" s="178" t="str">
        <f>IFERROR(__xludf.DUMMYFUNCTION("""COMPUTED_VALUE"""),"ITBISA-IC-CD4017BE-DIP16")</f>
        <v>ITBISA-IC-CD4017BE-DIP16</v>
      </c>
      <c r="B4483" s="266">
        <f>IFERROR(__xludf.DUMMYFUNCTION("""COMPUTED_VALUE"""),45155.0)</f>
        <v>45155</v>
      </c>
      <c r="C4483" s="266" t="str">
        <f>IFERROR(__xludf.DUMMYFUNCTION("""COMPUTED_VALUE"""),"KYAI KONTONG")</f>
        <v>KYAI KONTONG</v>
      </c>
      <c r="D4483" s="186">
        <f>IFERROR(__xludf.DUMMYFUNCTION("""COMPUTED_VALUE"""),5.0)</f>
        <v>5</v>
      </c>
    </row>
    <row r="4484">
      <c r="A4484" s="178" t="str">
        <f>IFERROR(__xludf.DUMMYFUNCTION("""COMPUTED_VALUE"""),"ITBISA-IC-CD4017BE-DIP16")</f>
        <v>ITBISA-IC-CD4017BE-DIP16</v>
      </c>
      <c r="B4484" s="266">
        <f>IFERROR(__xludf.DUMMYFUNCTION("""COMPUTED_VALUE"""),45161.0)</f>
        <v>45161</v>
      </c>
      <c r="C4484" s="266" t="str">
        <f>IFERROR(__xludf.DUMMYFUNCTION("""COMPUTED_VALUE"""),"KYAI KONTONG")</f>
        <v>KYAI KONTONG</v>
      </c>
      <c r="D4484" s="186">
        <f>IFERROR(__xludf.DUMMYFUNCTION("""COMPUTED_VALUE"""),100.0)</f>
        <v>100</v>
      </c>
    </row>
    <row r="4485">
      <c r="A4485" s="178" t="str">
        <f>IFERROR(__xludf.DUMMYFUNCTION("""COMPUTED_VALUE"""),"ITBISA-IC-CD4017BE-DIP16")</f>
        <v>ITBISA-IC-CD4017BE-DIP16</v>
      </c>
      <c r="B4485" s="266">
        <f>IFERROR(__xludf.DUMMYFUNCTION("""COMPUTED_VALUE"""),45174.0)</f>
        <v>45174</v>
      </c>
      <c r="C4485" s="266" t="str">
        <f>IFERROR(__xludf.DUMMYFUNCTION("""COMPUTED_VALUE"""),"KYAI KONTONG")</f>
        <v>KYAI KONTONG</v>
      </c>
      <c r="D4485" s="186">
        <f>IFERROR(__xludf.DUMMYFUNCTION("""COMPUTED_VALUE"""),1.0)</f>
        <v>1</v>
      </c>
    </row>
    <row r="4486">
      <c r="A4486" s="178" t="str">
        <f>IFERROR(__xludf.DUMMYFUNCTION("""COMPUTED_VALUE"""),"ITBISA-IC-CD4017BE-DIP16")</f>
        <v>ITBISA-IC-CD4017BE-DIP16</v>
      </c>
      <c r="B4486" s="266">
        <f>IFERROR(__xludf.DUMMYFUNCTION("""COMPUTED_VALUE"""),45177.0)</f>
        <v>45177</v>
      </c>
      <c r="C4486" s="266" t="str">
        <f>IFERROR(__xludf.DUMMYFUNCTION("""COMPUTED_VALUE"""),"KYAI KONTONG")</f>
        <v>KYAI KONTONG</v>
      </c>
      <c r="D4486" s="186">
        <f>IFERROR(__xludf.DUMMYFUNCTION("""COMPUTED_VALUE"""),8.0)</f>
        <v>8</v>
      </c>
    </row>
    <row r="4487">
      <c r="A4487" s="178" t="str">
        <f>IFERROR(__xludf.DUMMYFUNCTION("""COMPUTED_VALUE"""),"ITBISA-IC-CD4017BE-DIP16")</f>
        <v>ITBISA-IC-CD4017BE-DIP16</v>
      </c>
      <c r="B4487" s="266">
        <f>IFERROR(__xludf.DUMMYFUNCTION("""COMPUTED_VALUE"""),45183.0)</f>
        <v>45183</v>
      </c>
      <c r="C4487" s="266" t="str">
        <f>IFERROR(__xludf.DUMMYFUNCTION("""COMPUTED_VALUE"""),"KYAI KONTONG")</f>
        <v>KYAI KONTONG</v>
      </c>
      <c r="D4487" s="186">
        <f>IFERROR(__xludf.DUMMYFUNCTION("""COMPUTED_VALUE"""),10.0)</f>
        <v>10</v>
      </c>
    </row>
    <row r="4488">
      <c r="A4488" s="178" t="str">
        <f>IFERROR(__xludf.DUMMYFUNCTION("""COMPUTED_VALUE"""),"ITBISA-IC-CD4017BE-DIP16")</f>
        <v>ITBISA-IC-CD4017BE-DIP16</v>
      </c>
      <c r="B4488" s="266">
        <f>IFERROR(__xludf.DUMMYFUNCTION("""COMPUTED_VALUE"""),45187.0)</f>
        <v>45187</v>
      </c>
      <c r="C4488" s="266" t="str">
        <f>IFERROR(__xludf.DUMMYFUNCTION("""COMPUTED_VALUE"""),"KYAI KONTONG")</f>
        <v>KYAI KONTONG</v>
      </c>
      <c r="D4488" s="186">
        <f>IFERROR(__xludf.DUMMYFUNCTION("""COMPUTED_VALUE"""),4.0)</f>
        <v>4</v>
      </c>
    </row>
    <row r="4489">
      <c r="A4489" s="178" t="str">
        <f>IFERROR(__xludf.DUMMYFUNCTION("""COMPUTED_VALUE"""),"ITBISA-IC-CD4017BE-DIP16")</f>
        <v>ITBISA-IC-CD4017BE-DIP16</v>
      </c>
      <c r="B4489" s="266">
        <f>IFERROR(__xludf.DUMMYFUNCTION("""COMPUTED_VALUE"""),45192.0)</f>
        <v>45192</v>
      </c>
      <c r="C4489" s="266" t="str">
        <f>IFERROR(__xludf.DUMMYFUNCTION("""COMPUTED_VALUE"""),"KYAI KONTONG")</f>
        <v>KYAI KONTONG</v>
      </c>
      <c r="D4489" s="186">
        <f>IFERROR(__xludf.DUMMYFUNCTION("""COMPUTED_VALUE"""),7.0)</f>
        <v>7</v>
      </c>
    </row>
    <row r="4490">
      <c r="A4490" s="178" t="str">
        <f>IFERROR(__xludf.DUMMYFUNCTION("""COMPUTED_VALUE"""),"ITBISA-IC-CD4017BE-DIP16")</f>
        <v>ITBISA-IC-CD4017BE-DIP16</v>
      </c>
      <c r="B4490" s="266">
        <f>IFERROR(__xludf.DUMMYFUNCTION("""COMPUTED_VALUE"""),45194.0)</f>
        <v>45194</v>
      </c>
      <c r="C4490" s="266" t="str">
        <f>IFERROR(__xludf.DUMMYFUNCTION("""COMPUTED_VALUE"""),"KYAI KONTONG")</f>
        <v>KYAI KONTONG</v>
      </c>
      <c r="D4490" s="186">
        <f>IFERROR(__xludf.DUMMYFUNCTION("""COMPUTED_VALUE"""),2.0)</f>
        <v>2</v>
      </c>
    </row>
    <row r="4491">
      <c r="A4491" s="178" t="str">
        <f>IFERROR(__xludf.DUMMYFUNCTION("""COMPUTED_VALUE"""),"ITBISA-IC-CD4017BE-DIP16")</f>
        <v>ITBISA-IC-CD4017BE-DIP16</v>
      </c>
      <c r="B4491" s="266">
        <f>IFERROR(__xludf.DUMMYFUNCTION("""COMPUTED_VALUE"""),45198.0)</f>
        <v>45198</v>
      </c>
      <c r="C4491" s="266" t="str">
        <f>IFERROR(__xludf.DUMMYFUNCTION("""COMPUTED_VALUE"""),"KYAI KONTONG")</f>
        <v>KYAI KONTONG</v>
      </c>
      <c r="D4491" s="186">
        <f>IFERROR(__xludf.DUMMYFUNCTION("""COMPUTED_VALUE"""),2.0)</f>
        <v>2</v>
      </c>
    </row>
    <row r="4492">
      <c r="A4492" s="178" t="str">
        <f>IFERROR(__xludf.DUMMYFUNCTION("""COMPUTED_VALUE"""),"ITBISA-IC-CD4017BE-DIP16")</f>
        <v>ITBISA-IC-CD4017BE-DIP16</v>
      </c>
      <c r="B4492" s="266">
        <f>IFERROR(__xludf.DUMMYFUNCTION("""COMPUTED_VALUE"""),45198.0)</f>
        <v>45198</v>
      </c>
      <c r="C4492" s="266" t="str">
        <f>IFERROR(__xludf.DUMMYFUNCTION("""COMPUTED_VALUE"""),"KYAI KONTONG")</f>
        <v>KYAI KONTONG</v>
      </c>
      <c r="D4492" s="186">
        <f>IFERROR(__xludf.DUMMYFUNCTION("""COMPUTED_VALUE"""),10.0)</f>
        <v>10</v>
      </c>
    </row>
    <row r="4493">
      <c r="A4493" s="178" t="str">
        <f>IFERROR(__xludf.DUMMYFUNCTION("""COMPUTED_VALUE"""),"ITBISA-IC-CD4017BE-DIP16")</f>
        <v>ITBISA-IC-CD4017BE-DIP16</v>
      </c>
      <c r="B4493" s="266">
        <f>IFERROR(__xludf.DUMMYFUNCTION("""COMPUTED_VALUE"""),45199.0)</f>
        <v>45199</v>
      </c>
      <c r="C4493" s="266" t="str">
        <f>IFERROR(__xludf.DUMMYFUNCTION("""COMPUTED_VALUE"""),"KYAI KONTONG")</f>
        <v>KYAI KONTONG</v>
      </c>
      <c r="D4493" s="186">
        <f>IFERROR(__xludf.DUMMYFUNCTION("""COMPUTED_VALUE"""),15.0)</f>
        <v>15</v>
      </c>
    </row>
    <row r="4494">
      <c r="A4494" s="178" t="str">
        <f>IFERROR(__xludf.DUMMYFUNCTION("""COMPUTED_VALUE"""),"ITBISA-IC-CD4017BE-DIP16")</f>
        <v>ITBISA-IC-CD4017BE-DIP16</v>
      </c>
      <c r="B4494" s="266">
        <f>IFERROR(__xludf.DUMMYFUNCTION("""COMPUTED_VALUE"""),45200.0)</f>
        <v>45200</v>
      </c>
      <c r="C4494" s="266" t="str">
        <f>IFERROR(__xludf.DUMMYFUNCTION("""COMPUTED_VALUE"""),"KYAI KONTONG")</f>
        <v>KYAI KONTONG</v>
      </c>
      <c r="D4494" s="186">
        <f>IFERROR(__xludf.DUMMYFUNCTION("""COMPUTED_VALUE"""),1.0)</f>
        <v>1</v>
      </c>
    </row>
    <row r="4495">
      <c r="A4495" s="178" t="str">
        <f>IFERROR(__xludf.DUMMYFUNCTION("""COMPUTED_VALUE"""),"ITBISA-IC-CD4017BE-DIP16")</f>
        <v>ITBISA-IC-CD4017BE-DIP16</v>
      </c>
      <c r="B4495" s="266">
        <f>IFERROR(__xludf.DUMMYFUNCTION("""COMPUTED_VALUE"""),45203.0)</f>
        <v>45203</v>
      </c>
      <c r="C4495" s="266" t="str">
        <f>IFERROR(__xludf.DUMMYFUNCTION("""COMPUTED_VALUE"""),"KYAI KONTONG")</f>
        <v>KYAI KONTONG</v>
      </c>
      <c r="D4495" s="186">
        <f>IFERROR(__xludf.DUMMYFUNCTION("""COMPUTED_VALUE"""),30.0)</f>
        <v>30</v>
      </c>
    </row>
    <row r="4496">
      <c r="A4496" s="178" t="str">
        <f>IFERROR(__xludf.DUMMYFUNCTION("""COMPUTED_VALUE"""),"ITBISA-IC-CD4017BE-DIP16")</f>
        <v>ITBISA-IC-CD4017BE-DIP16</v>
      </c>
      <c r="B4496" s="266">
        <f>IFERROR(__xludf.DUMMYFUNCTION("""COMPUTED_VALUE"""),45211.0)</f>
        <v>45211</v>
      </c>
      <c r="C4496" s="266" t="str">
        <f>IFERROR(__xludf.DUMMYFUNCTION("""COMPUTED_VALUE"""),"KYAI KONTONG")</f>
        <v>KYAI KONTONG</v>
      </c>
      <c r="D4496" s="186">
        <f>IFERROR(__xludf.DUMMYFUNCTION("""COMPUTED_VALUE"""),10.0)</f>
        <v>10</v>
      </c>
    </row>
    <row r="4497">
      <c r="A4497" s="178" t="str">
        <f>IFERROR(__xludf.DUMMYFUNCTION("""COMPUTED_VALUE"""),"ITBISA-IC-CD4017BE-DIP16")</f>
        <v>ITBISA-IC-CD4017BE-DIP16</v>
      </c>
      <c r="B4497" s="266">
        <f>IFERROR(__xludf.DUMMYFUNCTION("""COMPUTED_VALUE"""),45217.0)</f>
        <v>45217</v>
      </c>
      <c r="C4497" s="266" t="str">
        <f>IFERROR(__xludf.DUMMYFUNCTION("""COMPUTED_VALUE"""),"KYAI KONTONG")</f>
        <v>KYAI KONTONG</v>
      </c>
      <c r="D4497" s="186">
        <f>IFERROR(__xludf.DUMMYFUNCTION("""COMPUTED_VALUE"""),100.0)</f>
        <v>100</v>
      </c>
    </row>
    <row r="4498">
      <c r="A4498" s="178" t="str">
        <f>IFERROR(__xludf.DUMMYFUNCTION("""COMPUTED_VALUE"""),"ITBISA-IC-CD4017BE-DIP16")</f>
        <v>ITBISA-IC-CD4017BE-DIP16</v>
      </c>
      <c r="B4498" s="266">
        <f>IFERROR(__xludf.DUMMYFUNCTION("""COMPUTED_VALUE"""),45225.0)</f>
        <v>45225</v>
      </c>
      <c r="C4498" s="266" t="str">
        <f>IFERROR(__xludf.DUMMYFUNCTION("""COMPUTED_VALUE"""),"KYAI KONTONG")</f>
        <v>KYAI KONTONG</v>
      </c>
      <c r="D4498" s="186">
        <f>IFERROR(__xludf.DUMMYFUNCTION("""COMPUTED_VALUE"""),100.0)</f>
        <v>100</v>
      </c>
    </row>
    <row r="4499">
      <c r="A4499" s="178" t="str">
        <f>IFERROR(__xludf.DUMMYFUNCTION("""COMPUTED_VALUE"""),"ITBISA-IC-CD4017BE-DIP16")</f>
        <v>ITBISA-IC-CD4017BE-DIP16</v>
      </c>
      <c r="B4499" s="266">
        <f>IFERROR(__xludf.DUMMYFUNCTION("""COMPUTED_VALUE"""),45226.0)</f>
        <v>45226</v>
      </c>
      <c r="C4499" s="266" t="str">
        <f>IFERROR(__xludf.DUMMYFUNCTION("""COMPUTED_VALUE"""),"KYAI KONTONG")</f>
        <v>KYAI KONTONG</v>
      </c>
      <c r="D4499" s="186">
        <f>IFERROR(__xludf.DUMMYFUNCTION("""COMPUTED_VALUE"""),1.0)</f>
        <v>1</v>
      </c>
    </row>
    <row r="4500">
      <c r="A4500" s="178" t="str">
        <f>IFERROR(__xludf.DUMMYFUNCTION("""COMPUTED_VALUE"""),"ITBISA-IC-CD4017BE-DIP16")</f>
        <v>ITBISA-IC-CD4017BE-DIP16</v>
      </c>
      <c r="B4500" s="266">
        <f>IFERROR(__xludf.DUMMYFUNCTION("""COMPUTED_VALUE"""),45234.0)</f>
        <v>45234</v>
      </c>
      <c r="C4500" s="266" t="str">
        <f>IFERROR(__xludf.DUMMYFUNCTION("""COMPUTED_VALUE"""),"KYAI KONTONG")</f>
        <v>KYAI KONTONG</v>
      </c>
      <c r="D4500" s="186">
        <f>IFERROR(__xludf.DUMMYFUNCTION("""COMPUTED_VALUE"""),5.0)</f>
        <v>5</v>
      </c>
    </row>
    <row r="4501">
      <c r="A4501" s="178" t="str">
        <f>IFERROR(__xludf.DUMMYFUNCTION("""COMPUTED_VALUE"""),"ITBISA-IC-CD4017BE-DIP16")</f>
        <v>ITBISA-IC-CD4017BE-DIP16</v>
      </c>
      <c r="B4501" s="266">
        <f>IFERROR(__xludf.DUMMYFUNCTION("""COMPUTED_VALUE"""),45236.0)</f>
        <v>45236</v>
      </c>
      <c r="C4501" s="266" t="str">
        <f>IFERROR(__xludf.DUMMYFUNCTION("""COMPUTED_VALUE"""),"KYAI KONTONG")</f>
        <v>KYAI KONTONG</v>
      </c>
      <c r="D4501" s="186">
        <f>IFERROR(__xludf.DUMMYFUNCTION("""COMPUTED_VALUE"""),10.0)</f>
        <v>10</v>
      </c>
    </row>
    <row r="4502">
      <c r="A4502" s="178" t="str">
        <f>IFERROR(__xludf.DUMMYFUNCTION("""COMPUTED_VALUE"""),"ITBISA-IC-CD4017BE-DIP16")</f>
        <v>ITBISA-IC-CD4017BE-DIP16</v>
      </c>
      <c r="B4502" s="266">
        <f>IFERROR(__xludf.DUMMYFUNCTION("""COMPUTED_VALUE"""),45236.0)</f>
        <v>45236</v>
      </c>
      <c r="C4502" s="266" t="str">
        <f>IFERROR(__xludf.DUMMYFUNCTION("""COMPUTED_VALUE"""),"KYAI KONTONG")</f>
        <v>KYAI KONTONG</v>
      </c>
      <c r="D4502" s="186">
        <f>IFERROR(__xludf.DUMMYFUNCTION("""COMPUTED_VALUE"""),200.0)</f>
        <v>200</v>
      </c>
    </row>
    <row r="4503">
      <c r="A4503" s="178" t="str">
        <f>IFERROR(__xludf.DUMMYFUNCTION("""COMPUTED_VALUE"""),"ITBISA-IC-CD4017BE-DIP16")</f>
        <v>ITBISA-IC-CD4017BE-DIP16</v>
      </c>
      <c r="B4503" s="266">
        <f>IFERROR(__xludf.DUMMYFUNCTION("""COMPUTED_VALUE"""),45237.0)</f>
        <v>45237</v>
      </c>
      <c r="C4503" s="266" t="str">
        <f>IFERROR(__xludf.DUMMYFUNCTION("""COMPUTED_VALUE"""),"KERTASARI CIAMIS")</f>
        <v>KERTASARI CIAMIS</v>
      </c>
      <c r="D4503" s="186">
        <f>IFERROR(__xludf.DUMMYFUNCTION("""COMPUTED_VALUE"""),6.0)</f>
        <v>6</v>
      </c>
    </row>
    <row r="4504">
      <c r="A4504" s="178" t="str">
        <f>IFERROR(__xludf.DUMMYFUNCTION("""COMPUTED_VALUE"""),"ITBISA-IC-CD4017BE-DIP16")</f>
        <v>ITBISA-IC-CD4017BE-DIP16</v>
      </c>
      <c r="B4504" s="266">
        <f>IFERROR(__xludf.DUMMYFUNCTION("""COMPUTED_VALUE"""),45244.0)</f>
        <v>45244</v>
      </c>
      <c r="C4504" s="266" t="str">
        <f>IFERROR(__xludf.DUMMYFUNCTION("""COMPUTED_VALUE"""),"KYAI KONTONG")</f>
        <v>KYAI KONTONG</v>
      </c>
      <c r="D4504" s="186">
        <f>IFERROR(__xludf.DUMMYFUNCTION("""COMPUTED_VALUE"""),50.0)</f>
        <v>50</v>
      </c>
    </row>
    <row r="4505">
      <c r="A4505" s="178" t="str">
        <f>IFERROR(__xludf.DUMMYFUNCTION("""COMPUTED_VALUE"""),"ITBISA-IC-CD4017BE-DIP16")</f>
        <v>ITBISA-IC-CD4017BE-DIP16</v>
      </c>
      <c r="B4505" s="266">
        <f>IFERROR(__xludf.DUMMYFUNCTION("""COMPUTED_VALUE"""),45247.0)</f>
        <v>45247</v>
      </c>
      <c r="C4505" s="266" t="str">
        <f>IFERROR(__xludf.DUMMYFUNCTION("""COMPUTED_VALUE"""),"KYAI KONTONG")</f>
        <v>KYAI KONTONG</v>
      </c>
      <c r="D4505" s="186">
        <f>IFERROR(__xludf.DUMMYFUNCTION("""COMPUTED_VALUE"""),10.0)</f>
        <v>10</v>
      </c>
    </row>
    <row r="4506">
      <c r="A4506" s="178" t="str">
        <f>IFERROR(__xludf.DUMMYFUNCTION("""COMPUTED_VALUE"""),"ITBISA-IC-CD4017BE-DIP16")</f>
        <v>ITBISA-IC-CD4017BE-DIP16</v>
      </c>
      <c r="B4506" s="266">
        <f>IFERROR(__xludf.DUMMYFUNCTION("""COMPUTED_VALUE"""),45250.0)</f>
        <v>45250</v>
      </c>
      <c r="C4506" s="266" t="str">
        <f>IFERROR(__xludf.DUMMYFUNCTION("""COMPUTED_VALUE"""),"KYAI KONTONG")</f>
        <v>KYAI KONTONG</v>
      </c>
      <c r="D4506" s="186">
        <f>IFERROR(__xludf.DUMMYFUNCTION("""COMPUTED_VALUE"""),100.0)</f>
        <v>100</v>
      </c>
    </row>
    <row r="4507">
      <c r="A4507" s="178" t="str">
        <f>IFERROR(__xludf.DUMMYFUNCTION("""COMPUTED_VALUE"""),"ITBISA-IC-CD4017BE-DIP16")</f>
        <v>ITBISA-IC-CD4017BE-DIP16</v>
      </c>
      <c r="B4507" s="266">
        <f>IFERROR(__xludf.DUMMYFUNCTION("""COMPUTED_VALUE"""),45269.0)</f>
        <v>45269</v>
      </c>
      <c r="C4507" s="266" t="str">
        <f>IFERROR(__xludf.DUMMYFUNCTION("""COMPUTED_VALUE"""),"KERTASARI CIAMIS")</f>
        <v>KERTASARI CIAMIS</v>
      </c>
      <c r="D4507" s="186">
        <f>IFERROR(__xludf.DUMMYFUNCTION("""COMPUTED_VALUE"""),5.0)</f>
        <v>5</v>
      </c>
    </row>
    <row r="4508">
      <c r="A4508" s="178" t="str">
        <f>IFERROR(__xludf.DUMMYFUNCTION("""COMPUTED_VALUE"""),"ITBISA-IC-CD4017BE-DIP16")</f>
        <v>ITBISA-IC-CD4017BE-DIP16</v>
      </c>
      <c r="B4508" s="266">
        <f>IFERROR(__xludf.DUMMYFUNCTION("""COMPUTED_VALUE"""),45270.0)</f>
        <v>45270</v>
      </c>
      <c r="C4508" s="266" t="str">
        <f>IFERROR(__xludf.DUMMYFUNCTION("""COMPUTED_VALUE"""),"KYAI KONTONG")</f>
        <v>KYAI KONTONG</v>
      </c>
      <c r="D4508" s="186">
        <f>IFERROR(__xludf.DUMMYFUNCTION("""COMPUTED_VALUE"""),10.0)</f>
        <v>10</v>
      </c>
    </row>
    <row r="4509">
      <c r="A4509" s="178" t="str">
        <f>IFERROR(__xludf.DUMMYFUNCTION("""COMPUTED_VALUE"""),"ITBISA-IC-CD4017BE-DIP16")</f>
        <v>ITBISA-IC-CD4017BE-DIP16</v>
      </c>
      <c r="B4509" s="266">
        <f>IFERROR(__xludf.DUMMYFUNCTION("""COMPUTED_VALUE"""),45277.0)</f>
        <v>45277</v>
      </c>
      <c r="C4509" s="266" t="str">
        <f>IFERROR(__xludf.DUMMYFUNCTION("""COMPUTED_VALUE"""),"KERTASARI CIAMIS")</f>
        <v>KERTASARI CIAMIS</v>
      </c>
      <c r="D4509" s="186">
        <f>IFERROR(__xludf.DUMMYFUNCTION("""COMPUTED_VALUE"""),150.0)</f>
        <v>150</v>
      </c>
    </row>
    <row r="4510">
      <c r="A4510" s="178" t="str">
        <f>IFERROR(__xludf.DUMMYFUNCTION("""COMPUTED_VALUE"""),"ITBISA-IC-CD4017BE-DIP16")</f>
        <v>ITBISA-IC-CD4017BE-DIP16</v>
      </c>
      <c r="B4510" s="266">
        <f>IFERROR(__xludf.DUMMYFUNCTION("""COMPUTED_VALUE"""),45280.0)</f>
        <v>45280</v>
      </c>
      <c r="C4510" s="266" t="str">
        <f>IFERROR(__xludf.DUMMYFUNCTION("""COMPUTED_VALUE"""),"KYAI KONTONG")</f>
        <v>KYAI KONTONG</v>
      </c>
      <c r="D4510" s="186">
        <f>IFERROR(__xludf.DUMMYFUNCTION("""COMPUTED_VALUE"""),3.0)</f>
        <v>3</v>
      </c>
    </row>
    <row r="4511">
      <c r="A4511" s="178" t="str">
        <f>IFERROR(__xludf.DUMMYFUNCTION("""COMPUTED_VALUE"""),"ITBISA-IC-CD4017BE-DIP16")</f>
        <v>ITBISA-IC-CD4017BE-DIP16</v>
      </c>
      <c r="B4511" s="266">
        <f>IFERROR(__xludf.DUMMYFUNCTION("""COMPUTED_VALUE"""),45282.0)</f>
        <v>45282</v>
      </c>
      <c r="C4511" s="266" t="str">
        <f>IFERROR(__xludf.DUMMYFUNCTION("""COMPUTED_VALUE"""),"KERTASARI CIAMIS")</f>
        <v>KERTASARI CIAMIS</v>
      </c>
      <c r="D4511" s="186">
        <f>IFERROR(__xludf.DUMMYFUNCTION("""COMPUTED_VALUE"""),100.0)</f>
        <v>100</v>
      </c>
    </row>
    <row r="4512">
      <c r="A4512" s="178" t="str">
        <f>IFERROR(__xludf.DUMMYFUNCTION("""COMPUTED_VALUE"""),"ITBISA-IC-CD4017BE-DIP16")</f>
        <v>ITBISA-IC-CD4017BE-DIP16</v>
      </c>
      <c r="B4512" s="266">
        <f>IFERROR(__xludf.DUMMYFUNCTION("""COMPUTED_VALUE"""),45285.0)</f>
        <v>45285</v>
      </c>
      <c r="C4512" s="266" t="str">
        <f>IFERROR(__xludf.DUMMYFUNCTION("""COMPUTED_VALUE"""),"KYAI KONTONG")</f>
        <v>KYAI KONTONG</v>
      </c>
      <c r="D4512" s="186">
        <f>IFERROR(__xludf.DUMMYFUNCTION("""COMPUTED_VALUE"""),5.0)</f>
        <v>5</v>
      </c>
    </row>
    <row r="4513">
      <c r="A4513" s="178" t="str">
        <f>IFERROR(__xludf.DUMMYFUNCTION("""COMPUTED_VALUE"""),"ITBISA-IC-CD4017BE-DIP16")</f>
        <v>ITBISA-IC-CD4017BE-DIP16</v>
      </c>
      <c r="B4513" s="266">
        <f>IFERROR(__xludf.DUMMYFUNCTION("""COMPUTED_VALUE"""),45287.0)</f>
        <v>45287</v>
      </c>
      <c r="C4513" s="266" t="str">
        <f>IFERROR(__xludf.DUMMYFUNCTION("""COMPUTED_VALUE"""),"KYAI KONTONG")</f>
        <v>KYAI KONTONG</v>
      </c>
      <c r="D4513" s="186">
        <f>IFERROR(__xludf.DUMMYFUNCTION("""COMPUTED_VALUE"""),10.0)</f>
        <v>10</v>
      </c>
    </row>
    <row r="4514">
      <c r="A4514" s="178" t="str">
        <f>IFERROR(__xludf.DUMMYFUNCTION("""COMPUTED_VALUE"""),"ITBISA-IC-CD4017BE-DIP16")</f>
        <v>ITBISA-IC-CD4017BE-DIP16</v>
      </c>
      <c r="B4514" s="266">
        <f>IFERROR(__xludf.DUMMYFUNCTION("""COMPUTED_VALUE"""),45289.0)</f>
        <v>45289</v>
      </c>
      <c r="C4514" s="266" t="str">
        <f>IFERROR(__xludf.DUMMYFUNCTION("""COMPUTED_VALUE"""),"KERTASARI CIAMIS")</f>
        <v>KERTASARI CIAMIS</v>
      </c>
      <c r="D4514" s="186">
        <f>IFERROR(__xludf.DUMMYFUNCTION("""COMPUTED_VALUE"""),100.0)</f>
        <v>100</v>
      </c>
    </row>
    <row r="4515">
      <c r="A4515" s="178" t="str">
        <f>IFERROR(__xludf.DUMMYFUNCTION("""COMPUTED_VALUE"""),"ITBISA-IC-CD4017BE-DIP16")</f>
        <v>ITBISA-IC-CD4017BE-DIP16</v>
      </c>
      <c r="B4515" s="266">
        <f>IFERROR(__xludf.DUMMYFUNCTION("""COMPUTED_VALUE"""),45293.0)</f>
        <v>45293</v>
      </c>
      <c r="C4515" s="266" t="str">
        <f>IFERROR(__xludf.DUMMYFUNCTION("""COMPUTED_VALUE"""),"KYAI KONTONG")</f>
        <v>KYAI KONTONG</v>
      </c>
      <c r="D4515" s="186">
        <f>IFERROR(__xludf.DUMMYFUNCTION("""COMPUTED_VALUE"""),2.0)</f>
        <v>2</v>
      </c>
    </row>
    <row r="4516">
      <c r="A4516" s="178" t="str">
        <f>IFERROR(__xludf.DUMMYFUNCTION("""COMPUTED_VALUE"""),"ITBISA-IC-CD4017BE-DIP16")</f>
        <v>ITBISA-IC-CD4017BE-DIP16</v>
      </c>
      <c r="B4516" s="266">
        <f>IFERROR(__xludf.DUMMYFUNCTION("""COMPUTED_VALUE"""),45298.0)</f>
        <v>45298</v>
      </c>
      <c r="C4516" s="266" t="str">
        <f>IFERROR(__xludf.DUMMYFUNCTION("""COMPUTED_VALUE"""),"KYAI KONTONG")</f>
        <v>KYAI KONTONG</v>
      </c>
      <c r="D4516" s="186">
        <f>IFERROR(__xludf.DUMMYFUNCTION("""COMPUTED_VALUE"""),25.0)</f>
        <v>25</v>
      </c>
    </row>
    <row r="4517">
      <c r="A4517" s="178" t="str">
        <f>IFERROR(__xludf.DUMMYFUNCTION("""COMPUTED_VALUE"""),"ITBISA-IC-CD4017BE-DIP16")</f>
        <v>ITBISA-IC-CD4017BE-DIP16</v>
      </c>
      <c r="B4517" s="266">
        <f>IFERROR(__xludf.DUMMYFUNCTION("""COMPUTED_VALUE"""),45302.0)</f>
        <v>45302</v>
      </c>
      <c r="C4517" s="266" t="str">
        <f>IFERROR(__xludf.DUMMYFUNCTION("""COMPUTED_VALUE"""),"KYAI KONTONG")</f>
        <v>KYAI KONTONG</v>
      </c>
      <c r="D4517" s="186">
        <f>IFERROR(__xludf.DUMMYFUNCTION("""COMPUTED_VALUE"""),81.0)</f>
        <v>81</v>
      </c>
    </row>
    <row r="4518">
      <c r="A4518" s="178" t="str">
        <f>IFERROR(__xludf.DUMMYFUNCTION("""COMPUTED_VALUE"""),"ITBISA-IC-CD4017BE-DIP16")</f>
        <v>ITBISA-IC-CD4017BE-DIP16</v>
      </c>
      <c r="B4518" s="266">
        <f>IFERROR(__xludf.DUMMYFUNCTION("""COMPUTED_VALUE"""),45303.0)</f>
        <v>45303</v>
      </c>
      <c r="C4518" s="266" t="str">
        <f>IFERROR(__xludf.DUMMYFUNCTION("""COMPUTED_VALUE"""),"KERTASARI CIAMIS")</f>
        <v>KERTASARI CIAMIS</v>
      </c>
      <c r="D4518" s="186">
        <f>IFERROR(__xludf.DUMMYFUNCTION("""COMPUTED_VALUE"""),50.0)</f>
        <v>50</v>
      </c>
    </row>
    <row r="4519">
      <c r="A4519" s="178" t="str">
        <f>IFERROR(__xludf.DUMMYFUNCTION("""COMPUTED_VALUE"""),"ITBISA-IC-CD4017BE-DIP16")</f>
        <v>ITBISA-IC-CD4017BE-DIP16</v>
      </c>
      <c r="B4519" s="266">
        <f>IFERROR(__xludf.DUMMYFUNCTION("""COMPUTED_VALUE"""),45303.0)</f>
        <v>45303</v>
      </c>
      <c r="C4519" s="266" t="str">
        <f>IFERROR(__xludf.DUMMYFUNCTION("""COMPUTED_VALUE"""),"KYAI KONTONG")</f>
        <v>KYAI KONTONG</v>
      </c>
      <c r="D4519" s="186">
        <f>IFERROR(__xludf.DUMMYFUNCTION("""COMPUTED_VALUE"""),10.0)</f>
        <v>10</v>
      </c>
    </row>
    <row r="4520">
      <c r="A4520" s="178" t="str">
        <f>IFERROR(__xludf.DUMMYFUNCTION("""COMPUTED_VALUE"""),"ITBISA-IC-CD4017BE-DIP16")</f>
        <v>ITBISA-IC-CD4017BE-DIP16</v>
      </c>
      <c r="B4520" s="266">
        <f>IFERROR(__xludf.DUMMYFUNCTION("""COMPUTED_VALUE"""),45306.0)</f>
        <v>45306</v>
      </c>
      <c r="C4520" s="266" t="str">
        <f>IFERROR(__xludf.DUMMYFUNCTION("""COMPUTED_VALUE"""),"KERTASARI CIAMIS")</f>
        <v>KERTASARI CIAMIS</v>
      </c>
      <c r="D4520" s="186">
        <f>IFERROR(__xludf.DUMMYFUNCTION("""COMPUTED_VALUE"""),5.0)</f>
        <v>5</v>
      </c>
    </row>
    <row r="4521">
      <c r="A4521" s="178" t="str">
        <f>IFERROR(__xludf.DUMMYFUNCTION("""COMPUTED_VALUE"""),"ITBISA-IC-CD4017BE-DIP16")</f>
        <v>ITBISA-IC-CD4017BE-DIP16</v>
      </c>
      <c r="B4521" s="266">
        <f>IFERROR(__xludf.DUMMYFUNCTION("""COMPUTED_VALUE"""),45307.0)</f>
        <v>45307</v>
      </c>
      <c r="C4521" s="266" t="str">
        <f>IFERROR(__xludf.DUMMYFUNCTION("""COMPUTED_VALUE"""),"KERTASARI CIAMIS")</f>
        <v>KERTASARI CIAMIS</v>
      </c>
      <c r="D4521" s="186">
        <f>IFERROR(__xludf.DUMMYFUNCTION("""COMPUTED_VALUE"""),100.0)</f>
        <v>100</v>
      </c>
    </row>
    <row r="4522">
      <c r="A4522" s="178" t="str">
        <f>IFERROR(__xludf.DUMMYFUNCTION("""COMPUTED_VALUE"""),"ITBISA-IC-CD4017BE-DIP16")</f>
        <v>ITBISA-IC-CD4017BE-DIP16</v>
      </c>
      <c r="B4522" s="266">
        <f>IFERROR(__xludf.DUMMYFUNCTION("""COMPUTED_VALUE"""),45307.0)</f>
        <v>45307</v>
      </c>
      <c r="C4522" s="266" t="str">
        <f>IFERROR(__xludf.DUMMYFUNCTION("""COMPUTED_VALUE"""),"KYAI KONTONG")</f>
        <v>KYAI KONTONG</v>
      </c>
      <c r="D4522" s="186">
        <f>IFERROR(__xludf.DUMMYFUNCTION("""COMPUTED_VALUE"""),100.0)</f>
        <v>100</v>
      </c>
    </row>
    <row r="4523">
      <c r="A4523" s="178" t="str">
        <f>IFERROR(__xludf.DUMMYFUNCTION("""COMPUTED_VALUE"""),"ITBISA-IC-CD4017BE-DIP16")</f>
        <v>ITBISA-IC-CD4017BE-DIP16</v>
      </c>
      <c r="B4523" s="266">
        <f>IFERROR(__xludf.DUMMYFUNCTION("""COMPUTED_VALUE"""),45308.0)</f>
        <v>45308</v>
      </c>
      <c r="C4523" s="266" t="str">
        <f>IFERROR(__xludf.DUMMYFUNCTION("""COMPUTED_VALUE"""),"KERTASARI CIAMIS")</f>
        <v>KERTASARI CIAMIS</v>
      </c>
      <c r="D4523" s="186">
        <f>IFERROR(__xludf.DUMMYFUNCTION("""COMPUTED_VALUE"""),25.0)</f>
        <v>25</v>
      </c>
    </row>
    <row r="4524">
      <c r="A4524" s="178" t="str">
        <f>IFERROR(__xludf.DUMMYFUNCTION("""COMPUTED_VALUE"""),"ITBISA-IC-CD4017BE-DIP16")</f>
        <v>ITBISA-IC-CD4017BE-DIP16</v>
      </c>
      <c r="B4524" s="266">
        <f>IFERROR(__xludf.DUMMYFUNCTION("""COMPUTED_VALUE"""),45309.0)</f>
        <v>45309</v>
      </c>
      <c r="C4524" s="266" t="str">
        <f>IFERROR(__xludf.DUMMYFUNCTION("""COMPUTED_VALUE"""),"KYAI KONTONG")</f>
        <v>KYAI KONTONG</v>
      </c>
      <c r="D4524" s="186">
        <f>IFERROR(__xludf.DUMMYFUNCTION("""COMPUTED_VALUE"""),55.0)</f>
        <v>55</v>
      </c>
    </row>
    <row r="4525">
      <c r="A4525" s="178" t="str">
        <f>IFERROR(__xludf.DUMMYFUNCTION("""COMPUTED_VALUE"""),"ITBISA-IC-CD4017BE-DIP16")</f>
        <v>ITBISA-IC-CD4017BE-DIP16</v>
      </c>
      <c r="B4525" s="266">
        <f>IFERROR(__xludf.DUMMYFUNCTION("""COMPUTED_VALUE"""),45315.0)</f>
        <v>45315</v>
      </c>
      <c r="C4525" s="266" t="str">
        <f>IFERROR(__xludf.DUMMYFUNCTION("""COMPUTED_VALUE"""),"KERTASARI CIAMIS")</f>
        <v>KERTASARI CIAMIS</v>
      </c>
      <c r="D4525" s="186">
        <f>IFERROR(__xludf.DUMMYFUNCTION("""COMPUTED_VALUE"""),250.0)</f>
        <v>250</v>
      </c>
    </row>
    <row r="4526">
      <c r="A4526" s="178" t="str">
        <f>IFERROR(__xludf.DUMMYFUNCTION("""COMPUTED_VALUE"""),"ITBISA-IC-CD4017BE-DIP16")</f>
        <v>ITBISA-IC-CD4017BE-DIP16</v>
      </c>
      <c r="B4526" s="266">
        <f>IFERROR(__xludf.DUMMYFUNCTION("""COMPUTED_VALUE"""),45316.0)</f>
        <v>45316</v>
      </c>
      <c r="C4526" s="266" t="str">
        <f>IFERROR(__xludf.DUMMYFUNCTION("""COMPUTED_VALUE"""),"KERTASARI CIAMIS")</f>
        <v>KERTASARI CIAMIS</v>
      </c>
      <c r="D4526" s="186">
        <f>IFERROR(__xludf.DUMMYFUNCTION("""COMPUTED_VALUE"""),10.0)</f>
        <v>10</v>
      </c>
    </row>
    <row r="4527">
      <c r="A4527" s="178" t="str">
        <f>IFERROR(__xludf.DUMMYFUNCTION("""COMPUTED_VALUE"""),"ITBISA-IC-CD4017BE-DIP16")</f>
        <v>ITBISA-IC-CD4017BE-DIP16</v>
      </c>
      <c r="B4527" s="266">
        <f>IFERROR(__xludf.DUMMYFUNCTION("""COMPUTED_VALUE"""),45316.0)</f>
        <v>45316</v>
      </c>
      <c r="C4527" s="266" t="str">
        <f>IFERROR(__xludf.DUMMYFUNCTION("""COMPUTED_VALUE"""),"RANCAEKEK ESTU")</f>
        <v>RANCAEKEK ESTU</v>
      </c>
      <c r="D4527" s="186">
        <f>IFERROR(__xludf.DUMMYFUNCTION("""COMPUTED_VALUE"""),20.0)</f>
        <v>20</v>
      </c>
    </row>
    <row r="4528">
      <c r="A4528" s="178" t="str">
        <f>IFERROR(__xludf.DUMMYFUNCTION("""COMPUTED_VALUE"""),"ITBISA-IC-CD4017BE-DIP16")</f>
        <v>ITBISA-IC-CD4017BE-DIP16</v>
      </c>
      <c r="B4528" s="266">
        <f>IFERROR(__xludf.DUMMYFUNCTION("""COMPUTED_VALUE"""),45317.0)</f>
        <v>45317</v>
      </c>
      <c r="C4528" s="266" t="str">
        <f>IFERROR(__xludf.DUMMYFUNCTION("""COMPUTED_VALUE"""),"KERTASARI CIAMIS")</f>
        <v>KERTASARI CIAMIS</v>
      </c>
      <c r="D4528" s="186">
        <f>IFERROR(__xludf.DUMMYFUNCTION("""COMPUTED_VALUE"""),1.0)</f>
        <v>1</v>
      </c>
    </row>
    <row r="4529">
      <c r="A4529" s="178" t="str">
        <f>IFERROR(__xludf.DUMMYFUNCTION("""COMPUTED_VALUE"""),"ITBISA-IC-CD4017BE-DIP16")</f>
        <v>ITBISA-IC-CD4017BE-DIP16</v>
      </c>
      <c r="B4529" s="266">
        <f>IFERROR(__xludf.DUMMYFUNCTION("""COMPUTED_VALUE"""),45317.0)</f>
        <v>45317</v>
      </c>
      <c r="C4529" s="266" t="str">
        <f>IFERROR(__xludf.DUMMYFUNCTION("""COMPUTED_VALUE"""),"RANCAEKEK ESTU")</f>
        <v>RANCAEKEK ESTU</v>
      </c>
      <c r="D4529" s="186">
        <f>IFERROR(__xludf.DUMMYFUNCTION("""COMPUTED_VALUE"""),2.0)</f>
        <v>2</v>
      </c>
    </row>
    <row r="4530">
      <c r="A4530" s="178" t="str">
        <f>IFERROR(__xludf.DUMMYFUNCTION("""COMPUTED_VALUE"""),"ITBISA-IC-CD4017BE-DIP16")</f>
        <v>ITBISA-IC-CD4017BE-DIP16</v>
      </c>
      <c r="B4530" s="266">
        <f>IFERROR(__xludf.DUMMYFUNCTION("""COMPUTED_VALUE"""),45318.0)</f>
        <v>45318</v>
      </c>
      <c r="C4530" s="266" t="str">
        <f>IFERROR(__xludf.DUMMYFUNCTION("""COMPUTED_VALUE"""),"KERTASARI CIAMIS")</f>
        <v>KERTASARI CIAMIS</v>
      </c>
      <c r="D4530" s="186">
        <f>IFERROR(__xludf.DUMMYFUNCTION("""COMPUTED_VALUE"""),3.0)</f>
        <v>3</v>
      </c>
    </row>
    <row r="4531">
      <c r="A4531" s="178" t="str">
        <f>IFERROR(__xludf.DUMMYFUNCTION("""COMPUTED_VALUE"""),"ITBISA-IC-CD4017BE-DIP16")</f>
        <v>ITBISA-IC-CD4017BE-DIP16</v>
      </c>
      <c r="B4531" s="266">
        <f>IFERROR(__xludf.DUMMYFUNCTION("""COMPUTED_VALUE"""),45319.0)</f>
        <v>45319</v>
      </c>
      <c r="C4531" s="266" t="str">
        <f>IFERROR(__xludf.DUMMYFUNCTION("""COMPUTED_VALUE"""),"KERTASARI CIAMIS")</f>
        <v>KERTASARI CIAMIS</v>
      </c>
      <c r="D4531" s="186">
        <f>IFERROR(__xludf.DUMMYFUNCTION("""COMPUTED_VALUE"""),1.0)</f>
        <v>1</v>
      </c>
    </row>
    <row r="4532">
      <c r="A4532" s="178" t="str">
        <f>IFERROR(__xludf.DUMMYFUNCTION("""COMPUTED_VALUE"""),"ITBISA-IC-CD4017BE-DIP16")</f>
        <v>ITBISA-IC-CD4017BE-DIP16</v>
      </c>
      <c r="B4532" s="266">
        <f>IFERROR(__xludf.DUMMYFUNCTION("""COMPUTED_VALUE"""),45322.0)</f>
        <v>45322</v>
      </c>
      <c r="C4532" s="266" t="str">
        <f>IFERROR(__xludf.DUMMYFUNCTION("""COMPUTED_VALUE"""),"KERTASARI CIAMIS")</f>
        <v>KERTASARI CIAMIS</v>
      </c>
      <c r="D4532" s="186">
        <f>IFERROR(__xludf.DUMMYFUNCTION("""COMPUTED_VALUE"""),4.0)</f>
        <v>4</v>
      </c>
    </row>
    <row r="4533">
      <c r="A4533" s="178" t="str">
        <f>IFERROR(__xludf.DUMMYFUNCTION("""COMPUTED_VALUE"""),"ITBISA-IC-CD4017BE-DIP16")</f>
        <v>ITBISA-IC-CD4017BE-DIP16</v>
      </c>
      <c r="B4533" s="266">
        <f>IFERROR(__xludf.DUMMYFUNCTION("""COMPUTED_VALUE"""),45324.0)</f>
        <v>45324</v>
      </c>
      <c r="C4533" s="266" t="str">
        <f>IFERROR(__xludf.DUMMYFUNCTION("""COMPUTED_VALUE"""),"KERTASARI CIAMIS")</f>
        <v>KERTASARI CIAMIS</v>
      </c>
      <c r="D4533" s="186">
        <f>IFERROR(__xludf.DUMMYFUNCTION("""COMPUTED_VALUE"""),1.0)</f>
        <v>1</v>
      </c>
    </row>
    <row r="4534">
      <c r="A4534" s="178" t="str">
        <f>IFERROR(__xludf.DUMMYFUNCTION("""COMPUTED_VALUE"""),"ITBISA-IC-CD4017BE-DIP16")</f>
        <v>ITBISA-IC-CD4017BE-DIP16</v>
      </c>
      <c r="B4534" s="266">
        <f>IFERROR(__xludf.DUMMYFUNCTION("""COMPUTED_VALUE"""),45326.0)</f>
        <v>45326</v>
      </c>
      <c r="C4534" s="266" t="str">
        <f>IFERROR(__xludf.DUMMYFUNCTION("""COMPUTED_VALUE"""),"KERTASARI CIAMIS")</f>
        <v>KERTASARI CIAMIS</v>
      </c>
      <c r="D4534" s="186">
        <f>IFERROR(__xludf.DUMMYFUNCTION("""COMPUTED_VALUE"""),50.0)</f>
        <v>50</v>
      </c>
    </row>
    <row r="4535">
      <c r="A4535" s="178" t="str">
        <f>IFERROR(__xludf.DUMMYFUNCTION("""COMPUTED_VALUE"""),"ITBISA-IC-CD4017BE-DIP16")</f>
        <v>ITBISA-IC-CD4017BE-DIP16</v>
      </c>
      <c r="B4535" s="266">
        <f>IFERROR(__xludf.DUMMYFUNCTION("""COMPUTED_VALUE"""),45327.0)</f>
        <v>45327</v>
      </c>
      <c r="C4535" s="266" t="str">
        <f>IFERROR(__xludf.DUMMYFUNCTION("""COMPUTED_VALUE"""),"KERTASARI CIAMIS")</f>
        <v>KERTASARI CIAMIS</v>
      </c>
      <c r="D4535" s="186">
        <f>IFERROR(__xludf.DUMMYFUNCTION("""COMPUTED_VALUE"""),100.0)</f>
        <v>100</v>
      </c>
    </row>
    <row r="4536">
      <c r="A4536" s="178" t="str">
        <f>IFERROR(__xludf.DUMMYFUNCTION("""COMPUTED_VALUE"""),"ITBISA-IC-CD4017BE-DIP16")</f>
        <v>ITBISA-IC-CD4017BE-DIP16</v>
      </c>
      <c r="B4536" s="266">
        <f>IFERROR(__xludf.DUMMYFUNCTION("""COMPUTED_VALUE"""),45328.0)</f>
        <v>45328</v>
      </c>
      <c r="C4536" s="266" t="str">
        <f>IFERROR(__xludf.DUMMYFUNCTION("""COMPUTED_VALUE"""),"KYAI KONTONG")</f>
        <v>KYAI KONTONG</v>
      </c>
      <c r="D4536" s="186">
        <f>IFERROR(__xludf.DUMMYFUNCTION("""COMPUTED_VALUE"""),75.0)</f>
        <v>75</v>
      </c>
    </row>
    <row r="4537">
      <c r="A4537" s="178" t="str">
        <f>IFERROR(__xludf.DUMMYFUNCTION("""COMPUTED_VALUE"""),"ITBISA-IC-CD4017BE-DIP16")</f>
        <v>ITBISA-IC-CD4017BE-DIP16</v>
      </c>
      <c r="B4537" s="266">
        <f>IFERROR(__xludf.DUMMYFUNCTION("""COMPUTED_VALUE"""),45328.0)</f>
        <v>45328</v>
      </c>
      <c r="C4537" s="266" t="str">
        <f>IFERROR(__xludf.DUMMYFUNCTION("""COMPUTED_VALUE"""),"KYAI KONTONG")</f>
        <v>KYAI KONTONG</v>
      </c>
      <c r="D4537" s="186">
        <f>IFERROR(__xludf.DUMMYFUNCTION("""COMPUTED_VALUE"""),100.0)</f>
        <v>100</v>
      </c>
    </row>
    <row r="4538">
      <c r="A4538" s="178" t="str">
        <f>IFERROR(__xludf.DUMMYFUNCTION("""COMPUTED_VALUE"""),"ITBISA-IC-CD4017BE-DIP16")</f>
        <v>ITBISA-IC-CD4017BE-DIP16</v>
      </c>
      <c r="B4538" s="266">
        <f>IFERROR(__xludf.DUMMYFUNCTION("""COMPUTED_VALUE"""),45336.0)</f>
        <v>45336</v>
      </c>
      <c r="C4538" s="266" t="str">
        <f>IFERROR(__xludf.DUMMYFUNCTION("""COMPUTED_VALUE"""),"KERTASARI CIAMIS")</f>
        <v>KERTASARI CIAMIS</v>
      </c>
      <c r="D4538" s="186">
        <f>IFERROR(__xludf.DUMMYFUNCTION("""COMPUTED_VALUE"""),5.0)</f>
        <v>5</v>
      </c>
    </row>
    <row r="4539">
      <c r="A4539" s="178" t="str">
        <f>IFERROR(__xludf.DUMMYFUNCTION("""COMPUTED_VALUE"""),"ITBISA-IC-CD4017BE-DIP16")</f>
        <v>ITBISA-IC-CD4017BE-DIP16</v>
      </c>
      <c r="B4539" s="266">
        <f>IFERROR(__xludf.DUMMYFUNCTION("""COMPUTED_VALUE"""),45343.0)</f>
        <v>45343</v>
      </c>
      <c r="C4539" s="266" t="str">
        <f>IFERROR(__xludf.DUMMYFUNCTION("""COMPUTED_VALUE"""),"KERTASARI CIAMIS")</f>
        <v>KERTASARI CIAMIS</v>
      </c>
      <c r="D4539" s="186">
        <f>IFERROR(__xludf.DUMMYFUNCTION("""COMPUTED_VALUE"""),15.0)</f>
        <v>15</v>
      </c>
    </row>
    <row r="4540">
      <c r="A4540" s="178" t="str">
        <f>IFERROR(__xludf.DUMMYFUNCTION("""COMPUTED_VALUE"""),"ITBISA-IC-CD4017BE-DIP16")</f>
        <v>ITBISA-IC-CD4017BE-DIP16</v>
      </c>
      <c r="B4540" s="266">
        <f>IFERROR(__xludf.DUMMYFUNCTION("""COMPUTED_VALUE"""),45353.0)</f>
        <v>45353</v>
      </c>
      <c r="C4540" s="266" t="str">
        <f>IFERROR(__xludf.DUMMYFUNCTION("""COMPUTED_VALUE"""),"KYAI KONTONG")</f>
        <v>KYAI KONTONG</v>
      </c>
      <c r="D4540" s="186">
        <f>IFERROR(__xludf.DUMMYFUNCTION("""COMPUTED_VALUE"""),5.0)</f>
        <v>5</v>
      </c>
    </row>
    <row r="4541">
      <c r="A4541" s="178" t="str">
        <f>IFERROR(__xludf.DUMMYFUNCTION("""COMPUTED_VALUE"""),"ITBISA-IC-CD4017BE-DIP16")</f>
        <v>ITBISA-IC-CD4017BE-DIP16</v>
      </c>
      <c r="B4541" s="266">
        <f>IFERROR(__xludf.DUMMYFUNCTION("""COMPUTED_VALUE"""),45353.0)</f>
        <v>45353</v>
      </c>
      <c r="C4541" s="266" t="str">
        <f>IFERROR(__xludf.DUMMYFUNCTION("""COMPUTED_VALUE"""),"KYAI KONTONG")</f>
        <v>KYAI KONTONG</v>
      </c>
      <c r="D4541" s="186">
        <f>IFERROR(__xludf.DUMMYFUNCTION("""COMPUTED_VALUE"""),100.0)</f>
        <v>100</v>
      </c>
    </row>
    <row r="4542">
      <c r="A4542" s="178" t="str">
        <f>IFERROR(__xludf.DUMMYFUNCTION("""COMPUTED_VALUE"""),"ITBISA-IC-CD4017BE-DIP16")</f>
        <v>ITBISA-IC-CD4017BE-DIP16</v>
      </c>
      <c r="B4542" s="266">
        <f>IFERROR(__xludf.DUMMYFUNCTION("""COMPUTED_VALUE"""),45359.0)</f>
        <v>45359</v>
      </c>
      <c r="C4542" s="266" t="str">
        <f>IFERROR(__xludf.DUMMYFUNCTION("""COMPUTED_VALUE"""),"KERTASARI CIAMIS")</f>
        <v>KERTASARI CIAMIS</v>
      </c>
      <c r="D4542" s="186">
        <f>IFERROR(__xludf.DUMMYFUNCTION("""COMPUTED_VALUE"""),2.0)</f>
        <v>2</v>
      </c>
    </row>
    <row r="4543">
      <c r="A4543" s="178" t="str">
        <f>IFERROR(__xludf.DUMMYFUNCTION("""COMPUTED_VALUE"""),"ITBISA-IC-CD4017BE-DIP16")</f>
        <v>ITBISA-IC-CD4017BE-DIP16</v>
      </c>
      <c r="B4543" s="266">
        <f>IFERROR(__xludf.DUMMYFUNCTION("""COMPUTED_VALUE"""),45360.0)</f>
        <v>45360</v>
      </c>
      <c r="C4543" s="266" t="str">
        <f>IFERROR(__xludf.DUMMYFUNCTION("""COMPUTED_VALUE"""),"KYAI KONTONG")</f>
        <v>KYAI KONTONG</v>
      </c>
      <c r="D4543" s="186">
        <f>IFERROR(__xludf.DUMMYFUNCTION("""COMPUTED_VALUE"""),400.0)</f>
        <v>400</v>
      </c>
    </row>
    <row r="4544">
      <c r="A4544" s="178" t="str">
        <f>IFERROR(__xludf.DUMMYFUNCTION("""COMPUTED_VALUE"""),"ITBISA-IC-CD4017BE-DIP16")</f>
        <v>ITBISA-IC-CD4017BE-DIP16</v>
      </c>
      <c r="B4544" s="266">
        <f>IFERROR(__xludf.DUMMYFUNCTION("""COMPUTED_VALUE"""),45362.0)</f>
        <v>45362</v>
      </c>
      <c r="C4544" s="266" t="str">
        <f>IFERROR(__xludf.DUMMYFUNCTION("""COMPUTED_VALUE"""),"KERTASARI CIAMIS")</f>
        <v>KERTASARI CIAMIS</v>
      </c>
      <c r="D4544" s="186">
        <f>IFERROR(__xludf.DUMMYFUNCTION("""COMPUTED_VALUE"""),5.0)</f>
        <v>5</v>
      </c>
    </row>
    <row r="4545">
      <c r="A4545" s="178" t="str">
        <f>IFERROR(__xludf.DUMMYFUNCTION("""COMPUTED_VALUE"""),"ITBISA-IC-CD4017BE-DIP16")</f>
        <v>ITBISA-IC-CD4017BE-DIP16</v>
      </c>
      <c r="B4545" s="266">
        <f>IFERROR(__xludf.DUMMYFUNCTION("""COMPUTED_VALUE"""),45366.0)</f>
        <v>45366</v>
      </c>
      <c r="C4545" s="266" t="str">
        <f>IFERROR(__xludf.DUMMYFUNCTION("""COMPUTED_VALUE"""),"KERTASARI CIAMIS")</f>
        <v>KERTASARI CIAMIS</v>
      </c>
      <c r="D4545" s="186">
        <f>IFERROR(__xludf.DUMMYFUNCTION("""COMPUTED_VALUE"""),100.0)</f>
        <v>100</v>
      </c>
    </row>
    <row r="4546">
      <c r="A4546" s="178" t="str">
        <f>IFERROR(__xludf.DUMMYFUNCTION("""COMPUTED_VALUE"""),"ITBISA-IC-CD4017BE-DIP16")</f>
        <v>ITBISA-IC-CD4017BE-DIP16</v>
      </c>
      <c r="B4546" s="266">
        <f>IFERROR(__xludf.DUMMYFUNCTION("""COMPUTED_VALUE"""),45369.0)</f>
        <v>45369</v>
      </c>
      <c r="C4546" s="266" t="str">
        <f>IFERROR(__xludf.DUMMYFUNCTION("""COMPUTED_VALUE"""),"KERTASARI CIAMIS")</f>
        <v>KERTASARI CIAMIS</v>
      </c>
      <c r="D4546" s="186">
        <f>IFERROR(__xludf.DUMMYFUNCTION("""COMPUTED_VALUE"""),11.0)</f>
        <v>11</v>
      </c>
    </row>
    <row r="4547">
      <c r="A4547" s="178" t="str">
        <f>IFERROR(__xludf.DUMMYFUNCTION("""COMPUTED_VALUE"""),"ITBISA-IC-CD4017BE-DIP16")</f>
        <v>ITBISA-IC-CD4017BE-DIP16</v>
      </c>
      <c r="B4547" s="266">
        <f>IFERROR(__xludf.DUMMYFUNCTION("""COMPUTED_VALUE"""),45370.0)</f>
        <v>45370</v>
      </c>
      <c r="C4547" s="266" t="str">
        <f>IFERROR(__xludf.DUMMYFUNCTION("""COMPUTED_VALUE"""),"KERTASARI CIAMIS")</f>
        <v>KERTASARI CIAMIS</v>
      </c>
      <c r="D4547" s="186">
        <f>IFERROR(__xludf.DUMMYFUNCTION("""COMPUTED_VALUE"""),6.0)</f>
        <v>6</v>
      </c>
    </row>
    <row r="4548">
      <c r="A4548" s="178" t="str">
        <f>IFERROR(__xludf.DUMMYFUNCTION("""COMPUTED_VALUE"""),"ITBISA-IC-CD4017BE-DIP16")</f>
        <v>ITBISA-IC-CD4017BE-DIP16</v>
      </c>
      <c r="B4548" s="266">
        <f>IFERROR(__xludf.DUMMYFUNCTION("""COMPUTED_VALUE"""),45371.0)</f>
        <v>45371</v>
      </c>
      <c r="C4548" s="266" t="str">
        <f>IFERROR(__xludf.DUMMYFUNCTION("""COMPUTED_VALUE"""),"KYAI KONTONG")</f>
        <v>KYAI KONTONG</v>
      </c>
      <c r="D4548" s="186">
        <f>IFERROR(__xludf.DUMMYFUNCTION("""COMPUTED_VALUE"""),50.0)</f>
        <v>50</v>
      </c>
    </row>
    <row r="4549">
      <c r="A4549" s="178" t="str">
        <f>IFERROR(__xludf.DUMMYFUNCTION("""COMPUTED_VALUE"""),"ITBISA-IC-CD4017BE-DIP16")</f>
        <v>ITBISA-IC-CD4017BE-DIP16</v>
      </c>
      <c r="B4549" s="266">
        <f>IFERROR(__xludf.DUMMYFUNCTION("""COMPUTED_VALUE"""),45372.0)</f>
        <v>45372</v>
      </c>
      <c r="C4549" s="266" t="str">
        <f>IFERROR(__xludf.DUMMYFUNCTION("""COMPUTED_VALUE"""),"KERTASARI CIAMIS")</f>
        <v>KERTASARI CIAMIS</v>
      </c>
      <c r="D4549" s="186">
        <f>IFERROR(__xludf.DUMMYFUNCTION("""COMPUTED_VALUE"""),132.0)</f>
        <v>132</v>
      </c>
    </row>
    <row r="4550">
      <c r="A4550" s="178" t="str">
        <f>IFERROR(__xludf.DUMMYFUNCTION("""COMPUTED_VALUE"""),"ITBISA-IC-CD4017BE-DIP16")</f>
        <v>ITBISA-IC-CD4017BE-DIP16</v>
      </c>
      <c r="B4550" s="266">
        <f>IFERROR(__xludf.DUMMYFUNCTION("""COMPUTED_VALUE"""),45374.0)</f>
        <v>45374</v>
      </c>
      <c r="C4550" s="266" t="str">
        <f>IFERROR(__xludf.DUMMYFUNCTION("""COMPUTED_VALUE"""),"KERTASARI CIAMIS")</f>
        <v>KERTASARI CIAMIS</v>
      </c>
      <c r="D4550" s="186">
        <f>IFERROR(__xludf.DUMMYFUNCTION("""COMPUTED_VALUE"""),150.0)</f>
        <v>150</v>
      </c>
    </row>
    <row r="4551">
      <c r="A4551" s="178" t="str">
        <f>IFERROR(__xludf.DUMMYFUNCTION("""COMPUTED_VALUE"""),"ITBISA-IC-CD4017BE-DIP16")</f>
        <v>ITBISA-IC-CD4017BE-DIP16</v>
      </c>
      <c r="B4551" s="266">
        <f>IFERROR(__xludf.DUMMYFUNCTION("""COMPUTED_VALUE"""),45378.0)</f>
        <v>45378</v>
      </c>
      <c r="C4551" s="266" t="str">
        <f>IFERROR(__xludf.DUMMYFUNCTION("""COMPUTED_VALUE"""),"KERTASARI CIAMIS")</f>
        <v>KERTASARI CIAMIS</v>
      </c>
      <c r="D4551" s="186">
        <f>IFERROR(__xludf.DUMMYFUNCTION("""COMPUTED_VALUE"""),100.0)</f>
        <v>100</v>
      </c>
    </row>
    <row r="4552">
      <c r="A4552" s="178" t="str">
        <f>IFERROR(__xludf.DUMMYFUNCTION("""COMPUTED_VALUE"""),"ITBISA-IC-CD4017BE-DIP16")</f>
        <v>ITBISA-IC-CD4017BE-DIP16</v>
      </c>
      <c r="B4552" s="266">
        <f>IFERROR(__xludf.DUMMYFUNCTION("""COMPUTED_VALUE"""),45386.0)</f>
        <v>45386</v>
      </c>
      <c r="C4552" s="266" t="str">
        <f>IFERROR(__xludf.DUMMYFUNCTION("""COMPUTED_VALUE"""),"KYAI KONTONG")</f>
        <v>KYAI KONTONG</v>
      </c>
      <c r="D4552" s="186">
        <f>IFERROR(__xludf.DUMMYFUNCTION("""COMPUTED_VALUE"""),30.0)</f>
        <v>30</v>
      </c>
    </row>
    <row r="4553">
      <c r="A4553" s="178" t="str">
        <f>IFERROR(__xludf.DUMMYFUNCTION("""COMPUTED_VALUE"""),"ITBISA-IC-CD4017BE-DIP16")</f>
        <v>ITBISA-IC-CD4017BE-DIP16</v>
      </c>
      <c r="B4553" s="266">
        <f>IFERROR(__xludf.DUMMYFUNCTION("""COMPUTED_VALUE"""),45393.0)</f>
        <v>45393</v>
      </c>
      <c r="C4553" s="266" t="str">
        <f>IFERROR(__xludf.DUMMYFUNCTION("""COMPUTED_VALUE"""),"KERTASARI CIAMIS")</f>
        <v>KERTASARI CIAMIS</v>
      </c>
      <c r="D4553" s="186">
        <f>IFERROR(__xludf.DUMMYFUNCTION("""COMPUTED_VALUE"""),5.0)</f>
        <v>5</v>
      </c>
    </row>
    <row r="4554">
      <c r="A4554" s="178" t="str">
        <f>IFERROR(__xludf.DUMMYFUNCTION("""COMPUTED_VALUE"""),"ITBISA-IC-CD4017BE-DIP16")</f>
        <v>ITBISA-IC-CD4017BE-DIP16</v>
      </c>
      <c r="B4554" s="266">
        <f>IFERROR(__xludf.DUMMYFUNCTION("""COMPUTED_VALUE"""),45400.0)</f>
        <v>45400</v>
      </c>
      <c r="C4554" s="266" t="str">
        <f>IFERROR(__xludf.DUMMYFUNCTION("""COMPUTED_VALUE"""),"KERTASARI CIAMIS")</f>
        <v>KERTASARI CIAMIS</v>
      </c>
      <c r="D4554" s="186">
        <f>IFERROR(__xludf.DUMMYFUNCTION("""COMPUTED_VALUE"""),400.0)</f>
        <v>400</v>
      </c>
    </row>
    <row r="4555">
      <c r="A4555" s="178" t="str">
        <f>IFERROR(__xludf.DUMMYFUNCTION("""COMPUTED_VALUE"""),"ITBISA-IC-CD4017BE-DIP16")</f>
        <v>ITBISA-IC-CD4017BE-DIP16</v>
      </c>
      <c r="B4555" s="266">
        <f>IFERROR(__xludf.DUMMYFUNCTION("""COMPUTED_VALUE"""),45405.0)</f>
        <v>45405</v>
      </c>
      <c r="C4555" s="266" t="str">
        <f>IFERROR(__xludf.DUMMYFUNCTION("""COMPUTED_VALUE"""),"KERTASARI CIAMIS")</f>
        <v>KERTASARI CIAMIS</v>
      </c>
      <c r="D4555" s="186">
        <f>IFERROR(__xludf.DUMMYFUNCTION("""COMPUTED_VALUE"""),100.0)</f>
        <v>100</v>
      </c>
    </row>
    <row r="4556">
      <c r="A4556" s="178" t="str">
        <f>IFERROR(__xludf.DUMMYFUNCTION("""COMPUTED_VALUE"""),"ITBISA-IC-CD4017BE-DIP16")</f>
        <v>ITBISA-IC-CD4017BE-DIP16</v>
      </c>
      <c r="B4556" s="266">
        <f>IFERROR(__xludf.DUMMYFUNCTION("""COMPUTED_VALUE"""),45408.0)</f>
        <v>45408</v>
      </c>
      <c r="C4556" s="266" t="str">
        <f>IFERROR(__xludf.DUMMYFUNCTION("""COMPUTED_VALUE"""),"KERTASARI CIAMIS")</f>
        <v>KERTASARI CIAMIS</v>
      </c>
      <c r="D4556" s="186">
        <f>IFERROR(__xludf.DUMMYFUNCTION("""COMPUTED_VALUE"""),25.0)</f>
        <v>25</v>
      </c>
    </row>
    <row r="4557">
      <c r="A4557" s="178" t="str">
        <f>IFERROR(__xludf.DUMMYFUNCTION("""COMPUTED_VALUE"""),"ITBISA-IC-CD4017BE-DIP16")</f>
        <v>ITBISA-IC-CD4017BE-DIP16</v>
      </c>
      <c r="B4557" s="266">
        <f>IFERROR(__xludf.DUMMYFUNCTION("""COMPUTED_VALUE"""),45409.0)</f>
        <v>45409</v>
      </c>
      <c r="C4557" s="266" t="str">
        <f>IFERROR(__xludf.DUMMYFUNCTION("""COMPUTED_VALUE"""),"KERTASARI CIAMIS")</f>
        <v>KERTASARI CIAMIS</v>
      </c>
      <c r="D4557" s="186">
        <f>IFERROR(__xludf.DUMMYFUNCTION("""COMPUTED_VALUE"""),25.0)</f>
        <v>25</v>
      </c>
    </row>
    <row r="4558">
      <c r="A4558" s="178" t="str">
        <f>IFERROR(__xludf.DUMMYFUNCTION("""COMPUTED_VALUE"""),"ITBISA-IC-CD4017BE-DIP16")</f>
        <v>ITBISA-IC-CD4017BE-DIP16</v>
      </c>
      <c r="B4558" s="266">
        <f>IFERROR(__xludf.DUMMYFUNCTION("""COMPUTED_VALUE"""),45411.0)</f>
        <v>45411</v>
      </c>
      <c r="C4558" s="266" t="str">
        <f>IFERROR(__xludf.DUMMYFUNCTION("""COMPUTED_VALUE"""),"KERTASARI CIAMIS")</f>
        <v>KERTASARI CIAMIS</v>
      </c>
      <c r="D4558" s="186">
        <f>IFERROR(__xludf.DUMMYFUNCTION("""COMPUTED_VALUE"""),15.0)</f>
        <v>15</v>
      </c>
    </row>
    <row r="4559">
      <c r="A4559" s="178" t="str">
        <f>IFERROR(__xludf.DUMMYFUNCTION("""COMPUTED_VALUE"""),"ITBISA-IC-CD4017BE-DIP16")</f>
        <v>ITBISA-IC-CD4017BE-DIP16</v>
      </c>
      <c r="B4559" s="266">
        <f>IFERROR(__xludf.DUMMYFUNCTION("""COMPUTED_VALUE"""),45411.0)</f>
        <v>45411</v>
      </c>
      <c r="C4559" s="266" t="str">
        <f>IFERROR(__xludf.DUMMYFUNCTION("""COMPUTED_VALUE"""),"KERTASARI CIAMIS")</f>
        <v>KERTASARI CIAMIS</v>
      </c>
      <c r="D4559" s="186">
        <f>IFERROR(__xludf.DUMMYFUNCTION("""COMPUTED_VALUE"""),100.0)</f>
        <v>100</v>
      </c>
    </row>
    <row r="4560">
      <c r="A4560" s="178" t="str">
        <f>IFERROR(__xludf.DUMMYFUNCTION("""COMPUTED_VALUE"""),"ITBISA-IC-CD4017BE-DIP16")</f>
        <v>ITBISA-IC-CD4017BE-DIP16</v>
      </c>
      <c r="B4560" s="266">
        <f>IFERROR(__xludf.DUMMYFUNCTION("""COMPUTED_VALUE"""),45412.0)</f>
        <v>45412</v>
      </c>
      <c r="C4560" s="266" t="str">
        <f>IFERROR(__xludf.DUMMYFUNCTION("""COMPUTED_VALUE"""),"KYAI KONTONG")</f>
        <v>KYAI KONTONG</v>
      </c>
      <c r="D4560" s="186">
        <f>IFERROR(__xludf.DUMMYFUNCTION("""COMPUTED_VALUE"""),20.0)</f>
        <v>20</v>
      </c>
    </row>
    <row r="4561">
      <c r="A4561" s="178" t="str">
        <f>IFERROR(__xludf.DUMMYFUNCTION("""COMPUTED_VALUE"""),"ITBISA-IC-CD4017BE-DIP16")</f>
        <v>ITBISA-IC-CD4017BE-DIP16</v>
      </c>
      <c r="B4561" s="266">
        <f>IFERROR(__xludf.DUMMYFUNCTION("""COMPUTED_VALUE"""),45417.0)</f>
        <v>45417</v>
      </c>
      <c r="C4561" s="266" t="str">
        <f>IFERROR(__xludf.DUMMYFUNCTION("""COMPUTED_VALUE"""),"KERTASARI CIAMIS")</f>
        <v>KERTASARI CIAMIS</v>
      </c>
      <c r="D4561" s="186">
        <f>IFERROR(__xludf.DUMMYFUNCTION("""COMPUTED_VALUE"""),30.0)</f>
        <v>30</v>
      </c>
    </row>
    <row r="4562">
      <c r="A4562" s="178" t="str">
        <f>IFERROR(__xludf.DUMMYFUNCTION("""COMPUTED_VALUE"""),"ITBISA-IC-CD4017BE-DIP16")</f>
        <v>ITBISA-IC-CD4017BE-DIP16</v>
      </c>
      <c r="B4562" s="266">
        <f>IFERROR(__xludf.DUMMYFUNCTION("""COMPUTED_VALUE"""),45420.0)</f>
        <v>45420</v>
      </c>
      <c r="C4562" s="266" t="str">
        <f>IFERROR(__xludf.DUMMYFUNCTION("""COMPUTED_VALUE"""),"KERTASARI CIAMIS")</f>
        <v>KERTASARI CIAMIS</v>
      </c>
      <c r="D4562" s="186">
        <f>IFERROR(__xludf.DUMMYFUNCTION("""COMPUTED_VALUE"""),100.0)</f>
        <v>100</v>
      </c>
    </row>
    <row r="4563">
      <c r="A4563" s="178" t="str">
        <f>IFERROR(__xludf.DUMMYFUNCTION("""COMPUTED_VALUE"""),"ITBISA-IC-CD4017BE-DIP16")</f>
        <v>ITBISA-IC-CD4017BE-DIP16</v>
      </c>
      <c r="B4563" s="266">
        <f>IFERROR(__xludf.DUMMYFUNCTION("""COMPUTED_VALUE"""),45420.0)</f>
        <v>45420</v>
      </c>
      <c r="C4563" s="266" t="str">
        <f>IFERROR(__xludf.DUMMYFUNCTION("""COMPUTED_VALUE"""),"KYAI KONTONG")</f>
        <v>KYAI KONTONG</v>
      </c>
      <c r="D4563" s="186">
        <f>IFERROR(__xludf.DUMMYFUNCTION("""COMPUTED_VALUE"""),50.0)</f>
        <v>50</v>
      </c>
    </row>
    <row r="4564">
      <c r="A4564" s="178" t="str">
        <f>IFERROR(__xludf.DUMMYFUNCTION("""COMPUTED_VALUE"""),"ITBISA-IC-CD4017BE-DIP16")</f>
        <v>ITBISA-IC-CD4017BE-DIP16</v>
      </c>
      <c r="B4564" s="266">
        <f>IFERROR(__xludf.DUMMYFUNCTION("""COMPUTED_VALUE"""),45420.0)</f>
        <v>45420</v>
      </c>
      <c r="C4564" s="266" t="str">
        <f>IFERROR(__xludf.DUMMYFUNCTION("""COMPUTED_VALUE"""),"KYAI KONTONG")</f>
        <v>KYAI KONTONG</v>
      </c>
      <c r="D4564" s="186">
        <f>IFERROR(__xludf.DUMMYFUNCTION("""COMPUTED_VALUE"""),50.0)</f>
        <v>50</v>
      </c>
    </row>
    <row r="4565">
      <c r="A4565" s="178" t="str">
        <f>IFERROR(__xludf.DUMMYFUNCTION("""COMPUTED_VALUE"""),"ITBISA-IC-CD4017BE-DIP16")</f>
        <v>ITBISA-IC-CD4017BE-DIP16</v>
      </c>
      <c r="B4565" s="266">
        <f>IFERROR(__xludf.DUMMYFUNCTION("""COMPUTED_VALUE"""),45422.0)</f>
        <v>45422</v>
      </c>
      <c r="C4565" s="266" t="str">
        <f>IFERROR(__xludf.DUMMYFUNCTION("""COMPUTED_VALUE"""),"KERTASARI CIAMIS")</f>
        <v>KERTASARI CIAMIS</v>
      </c>
      <c r="D4565" s="186">
        <f>IFERROR(__xludf.DUMMYFUNCTION("""COMPUTED_VALUE"""),100.0)</f>
        <v>100</v>
      </c>
    </row>
    <row r="4566">
      <c r="A4566" s="178" t="str">
        <f>IFERROR(__xludf.DUMMYFUNCTION("""COMPUTED_VALUE"""),"ITBISA-IC-CD4017BE-DIP16")</f>
        <v>ITBISA-IC-CD4017BE-DIP16</v>
      </c>
      <c r="B4566" s="266">
        <f>IFERROR(__xludf.DUMMYFUNCTION("""COMPUTED_VALUE"""),45422.0)</f>
        <v>45422</v>
      </c>
      <c r="C4566" s="266" t="str">
        <f>IFERROR(__xludf.DUMMYFUNCTION("""COMPUTED_VALUE"""),"KERTASARI CIAMIS")</f>
        <v>KERTASARI CIAMIS</v>
      </c>
      <c r="D4566" s="186">
        <f>IFERROR(__xludf.DUMMYFUNCTION("""COMPUTED_VALUE"""),500.0)</f>
        <v>500</v>
      </c>
    </row>
    <row r="4567">
      <c r="A4567" s="178" t="str">
        <f>IFERROR(__xludf.DUMMYFUNCTION("""COMPUTED_VALUE"""),"ITBISA-IC-CD4017BE-DIP16")</f>
        <v>ITBISA-IC-CD4017BE-DIP16</v>
      </c>
      <c r="B4567" s="266">
        <f>IFERROR(__xludf.DUMMYFUNCTION("""COMPUTED_VALUE"""),45426.0)</f>
        <v>45426</v>
      </c>
      <c r="C4567" s="266" t="str">
        <f>IFERROR(__xludf.DUMMYFUNCTION("""COMPUTED_VALUE"""),"KERTASARI CIAMIS")</f>
        <v>KERTASARI CIAMIS</v>
      </c>
      <c r="D4567" s="186">
        <f>IFERROR(__xludf.DUMMYFUNCTION("""COMPUTED_VALUE"""),100.0)</f>
        <v>100</v>
      </c>
    </row>
    <row r="4568">
      <c r="A4568" s="178" t="str">
        <f>IFERROR(__xludf.DUMMYFUNCTION("""COMPUTED_VALUE"""),"ITBISA-IC-CD4017BE-DIP16")</f>
        <v>ITBISA-IC-CD4017BE-DIP16</v>
      </c>
      <c r="B4568" s="266">
        <f>IFERROR(__xludf.DUMMYFUNCTION("""COMPUTED_VALUE"""),45429.0)</f>
        <v>45429</v>
      </c>
      <c r="C4568" s="266" t="str">
        <f>IFERROR(__xludf.DUMMYFUNCTION("""COMPUTED_VALUE"""),"KYAI KONTONG")</f>
        <v>KYAI KONTONG</v>
      </c>
      <c r="D4568" s="186">
        <f>IFERROR(__xludf.DUMMYFUNCTION("""COMPUTED_VALUE"""),25.0)</f>
        <v>25</v>
      </c>
    </row>
    <row r="4569">
      <c r="A4569" s="178" t="str">
        <f>IFERROR(__xludf.DUMMYFUNCTION("""COMPUTED_VALUE"""),"ITBISA-IC-CD4017BE-DIP16")</f>
        <v>ITBISA-IC-CD4017BE-DIP16</v>
      </c>
      <c r="B4569" s="266">
        <f>IFERROR(__xludf.DUMMYFUNCTION("""COMPUTED_VALUE"""),45432.0)</f>
        <v>45432</v>
      </c>
      <c r="C4569" s="266" t="str">
        <f>IFERROR(__xludf.DUMMYFUNCTION("""COMPUTED_VALUE"""),"KYAI KONTONG")</f>
        <v>KYAI KONTONG</v>
      </c>
      <c r="D4569" s="186">
        <f>IFERROR(__xludf.DUMMYFUNCTION("""COMPUTED_VALUE"""),10.0)</f>
        <v>10</v>
      </c>
    </row>
    <row r="4570">
      <c r="A4570" s="178" t="str">
        <f>IFERROR(__xludf.DUMMYFUNCTION("""COMPUTED_VALUE"""),"ITBISA-IC-CD4017BE-DIP16")</f>
        <v>ITBISA-IC-CD4017BE-DIP16</v>
      </c>
      <c r="B4570" s="266">
        <f>IFERROR(__xludf.DUMMYFUNCTION("""COMPUTED_VALUE"""),45438.0)</f>
        <v>45438</v>
      </c>
      <c r="C4570" s="266" t="str">
        <f>IFERROR(__xludf.DUMMYFUNCTION("""COMPUTED_VALUE"""),"KERTASARI CIAMIS")</f>
        <v>KERTASARI CIAMIS</v>
      </c>
      <c r="D4570" s="186">
        <f>IFERROR(__xludf.DUMMYFUNCTION("""COMPUTED_VALUE"""),25.0)</f>
        <v>25</v>
      </c>
    </row>
    <row r="4571">
      <c r="A4571" s="178" t="str">
        <f>IFERROR(__xludf.DUMMYFUNCTION("""COMPUTED_VALUE"""),"ITBISA-IC-CD4017BE-DIP16")</f>
        <v>ITBISA-IC-CD4017BE-DIP16</v>
      </c>
      <c r="B4571" s="266">
        <f>IFERROR(__xludf.DUMMYFUNCTION("""COMPUTED_VALUE"""),45438.0)</f>
        <v>45438</v>
      </c>
      <c r="C4571" s="266" t="str">
        <f>IFERROR(__xludf.DUMMYFUNCTION("""COMPUTED_VALUE"""),"KYAI KONTONG")</f>
        <v>KYAI KONTONG</v>
      </c>
      <c r="D4571" s="186">
        <f>IFERROR(__xludf.DUMMYFUNCTION("""COMPUTED_VALUE"""),100.0)</f>
        <v>100</v>
      </c>
    </row>
    <row r="4572">
      <c r="A4572" s="178" t="str">
        <f>IFERROR(__xludf.DUMMYFUNCTION("""COMPUTED_VALUE"""),"ITBISA-IC-CD4017BE-DIP16")</f>
        <v>ITBISA-IC-CD4017BE-DIP16</v>
      </c>
      <c r="B4572" s="266">
        <f>IFERROR(__xludf.DUMMYFUNCTION("""COMPUTED_VALUE"""),45439.0)</f>
        <v>45439</v>
      </c>
      <c r="C4572" s="266" t="str">
        <f>IFERROR(__xludf.DUMMYFUNCTION("""COMPUTED_VALUE"""),"KERTASARI CIAMIS")</f>
        <v>KERTASARI CIAMIS</v>
      </c>
      <c r="D4572" s="186">
        <f>IFERROR(__xludf.DUMMYFUNCTION("""COMPUTED_VALUE"""),8.0)</f>
        <v>8</v>
      </c>
    </row>
    <row r="4573">
      <c r="A4573" s="178" t="str">
        <f>IFERROR(__xludf.DUMMYFUNCTION("""COMPUTED_VALUE"""),"ITBISA-IC-CD4017BE-DIP16")</f>
        <v>ITBISA-IC-CD4017BE-DIP16</v>
      </c>
      <c r="B4573" s="266">
        <f>IFERROR(__xludf.DUMMYFUNCTION("""COMPUTED_VALUE"""),45443.0)</f>
        <v>45443</v>
      </c>
      <c r="C4573" s="266" t="str">
        <f>IFERROR(__xludf.DUMMYFUNCTION("""COMPUTED_VALUE"""),"KERTASARI CIAMIS")</f>
        <v>KERTASARI CIAMIS</v>
      </c>
      <c r="D4573" s="186">
        <f>IFERROR(__xludf.DUMMYFUNCTION("""COMPUTED_VALUE"""),25.0)</f>
        <v>25</v>
      </c>
    </row>
    <row r="4574">
      <c r="A4574" s="178" t="str">
        <f>IFERROR(__xludf.DUMMYFUNCTION("""COMPUTED_VALUE"""),"ITBISA-IC-CD4017BE-DIP16")</f>
        <v>ITBISA-IC-CD4017BE-DIP16</v>
      </c>
      <c r="B4574" s="266">
        <f>IFERROR(__xludf.DUMMYFUNCTION("""COMPUTED_VALUE"""),45448.0)</f>
        <v>45448</v>
      </c>
      <c r="C4574" s="266" t="str">
        <f>IFERROR(__xludf.DUMMYFUNCTION("""COMPUTED_VALUE"""),"KYAI KONTONG")</f>
        <v>KYAI KONTONG</v>
      </c>
      <c r="D4574" s="186">
        <f>IFERROR(__xludf.DUMMYFUNCTION("""COMPUTED_VALUE"""),6.0)</f>
        <v>6</v>
      </c>
    </row>
    <row r="4575">
      <c r="A4575" s="178" t="str">
        <f>IFERROR(__xludf.DUMMYFUNCTION("""COMPUTED_VALUE"""),"ITBISA-IC-CD4017BE-DIP16")</f>
        <v>ITBISA-IC-CD4017BE-DIP16</v>
      </c>
      <c r="B4575" s="266">
        <f>IFERROR(__xludf.DUMMYFUNCTION("""COMPUTED_VALUE"""),45448.0)</f>
        <v>45448</v>
      </c>
      <c r="C4575" s="266" t="str">
        <f>IFERROR(__xludf.DUMMYFUNCTION("""COMPUTED_VALUE"""),"KYAI KONTONG")</f>
        <v>KYAI KONTONG</v>
      </c>
      <c r="D4575" s="186">
        <f>IFERROR(__xludf.DUMMYFUNCTION("""COMPUTED_VALUE"""),50.0)</f>
        <v>50</v>
      </c>
    </row>
    <row r="4576">
      <c r="A4576" s="178" t="str">
        <f>IFERROR(__xludf.DUMMYFUNCTION("""COMPUTED_VALUE"""),"ITBISA-IC-CD4017BE-DIP16")</f>
        <v>ITBISA-IC-CD4017BE-DIP16</v>
      </c>
      <c r="B4576" s="266">
        <f>IFERROR(__xludf.DUMMYFUNCTION("""COMPUTED_VALUE"""),45451.0)</f>
        <v>45451</v>
      </c>
      <c r="C4576" s="266" t="str">
        <f>IFERROR(__xludf.DUMMYFUNCTION("""COMPUTED_VALUE"""),"KYAI KONTONG")</f>
        <v>KYAI KONTONG</v>
      </c>
      <c r="D4576" s="186">
        <f>IFERROR(__xludf.DUMMYFUNCTION("""COMPUTED_VALUE"""),5.0)</f>
        <v>5</v>
      </c>
    </row>
    <row r="4577">
      <c r="A4577" s="178" t="str">
        <f>IFERROR(__xludf.DUMMYFUNCTION("""COMPUTED_VALUE"""),"ITBISA-IC-CD4017BE-DIP16")</f>
        <v>ITBISA-IC-CD4017BE-DIP16</v>
      </c>
      <c r="B4577" s="266">
        <f>IFERROR(__xludf.DUMMYFUNCTION("""COMPUTED_VALUE"""),45452.0)</f>
        <v>45452</v>
      </c>
      <c r="C4577" s="266" t="str">
        <f>IFERROR(__xludf.DUMMYFUNCTION("""COMPUTED_VALUE"""),"KERTASARI CIAMIS")</f>
        <v>KERTASARI CIAMIS</v>
      </c>
      <c r="D4577" s="186">
        <f>IFERROR(__xludf.DUMMYFUNCTION("""COMPUTED_VALUE"""),491.0)</f>
        <v>491</v>
      </c>
    </row>
    <row r="4578">
      <c r="A4578" s="178" t="str">
        <f>IFERROR(__xludf.DUMMYFUNCTION("""COMPUTED_VALUE"""),"ITBISA-IC-CD4017BE-DIP16")</f>
        <v>ITBISA-IC-CD4017BE-DIP16</v>
      </c>
      <c r="B4578" s="266">
        <f>IFERROR(__xludf.DUMMYFUNCTION("""COMPUTED_VALUE"""),45453.0)</f>
        <v>45453</v>
      </c>
      <c r="C4578" s="266" t="str">
        <f>IFERROR(__xludf.DUMMYFUNCTION("""COMPUTED_VALUE"""),"KYAI KONTONG")</f>
        <v>KYAI KONTONG</v>
      </c>
      <c r="D4578" s="186">
        <f>IFERROR(__xludf.DUMMYFUNCTION("""COMPUTED_VALUE"""),10.0)</f>
        <v>10</v>
      </c>
    </row>
    <row r="4579">
      <c r="A4579" s="178" t="str">
        <f>IFERROR(__xludf.DUMMYFUNCTION("""COMPUTED_VALUE"""),"ITBISA-IC-CD4017BE-DIP16")</f>
        <v>ITBISA-IC-CD4017BE-DIP16</v>
      </c>
      <c r="B4579" s="266">
        <f>IFERROR(__xludf.DUMMYFUNCTION("""COMPUTED_VALUE"""),45453.0)</f>
        <v>45453</v>
      </c>
      <c r="C4579" s="266" t="str">
        <f>IFERROR(__xludf.DUMMYFUNCTION("""COMPUTED_VALUE"""),"KYAI KONTONG")</f>
        <v>KYAI KONTONG</v>
      </c>
      <c r="D4579" s="186">
        <f>IFERROR(__xludf.DUMMYFUNCTION("""COMPUTED_VALUE"""),100.0)</f>
        <v>100</v>
      </c>
    </row>
    <row r="4580">
      <c r="A4580" s="178" t="str">
        <f>IFERROR(__xludf.DUMMYFUNCTION("""COMPUTED_VALUE"""),"ITBISA-IC-CD4017BE-DIP16")</f>
        <v>ITBISA-IC-CD4017BE-DIP16</v>
      </c>
      <c r="B4580" s="266">
        <f>IFERROR(__xludf.DUMMYFUNCTION("""COMPUTED_VALUE"""),45455.0)</f>
        <v>45455</v>
      </c>
      <c r="C4580" s="266" t="str">
        <f>IFERROR(__xludf.DUMMYFUNCTION("""COMPUTED_VALUE"""),"KYAI KONTONG")</f>
        <v>KYAI KONTONG</v>
      </c>
      <c r="D4580" s="186">
        <f>IFERROR(__xludf.DUMMYFUNCTION("""COMPUTED_VALUE"""),30.0)</f>
        <v>30</v>
      </c>
    </row>
    <row r="4581">
      <c r="A4581" s="178" t="str">
        <f>IFERROR(__xludf.DUMMYFUNCTION("""COMPUTED_VALUE"""),"ITBISA-IC-CD4017BE-DIP16")</f>
        <v>ITBISA-IC-CD4017BE-DIP16</v>
      </c>
      <c r="B4581" s="266">
        <f>IFERROR(__xludf.DUMMYFUNCTION("""COMPUTED_VALUE"""),45456.0)</f>
        <v>45456</v>
      </c>
      <c r="C4581" s="266" t="str">
        <f>IFERROR(__xludf.DUMMYFUNCTION("""COMPUTED_VALUE"""),"KERTASARI CIAMIS")</f>
        <v>KERTASARI CIAMIS</v>
      </c>
      <c r="D4581" s="186">
        <f>IFERROR(__xludf.DUMMYFUNCTION("""COMPUTED_VALUE"""),50.0)</f>
        <v>50</v>
      </c>
    </row>
    <row r="4582">
      <c r="A4582" s="178" t="str">
        <f>IFERROR(__xludf.DUMMYFUNCTION("""COMPUTED_VALUE"""),"ITBISA-IC-CD4017BE-DIP16")</f>
        <v>ITBISA-IC-CD4017BE-DIP16</v>
      </c>
      <c r="B4582" s="266">
        <f>IFERROR(__xludf.DUMMYFUNCTION("""COMPUTED_VALUE"""),45458.0)</f>
        <v>45458</v>
      </c>
      <c r="C4582" s="266" t="str">
        <f>IFERROR(__xludf.DUMMYFUNCTION("""COMPUTED_VALUE"""),"KERTASARI CIAMIS")</f>
        <v>KERTASARI CIAMIS</v>
      </c>
      <c r="D4582" s="186">
        <f>IFERROR(__xludf.DUMMYFUNCTION("""COMPUTED_VALUE"""),100.0)</f>
        <v>100</v>
      </c>
    </row>
    <row r="4583">
      <c r="A4583" s="178" t="str">
        <f>IFERROR(__xludf.DUMMYFUNCTION("""COMPUTED_VALUE"""),"ITBISA-IC-CD4017BE-DIP16")</f>
        <v>ITBISA-IC-CD4017BE-DIP16</v>
      </c>
      <c r="B4583" s="266">
        <f>IFERROR(__xludf.DUMMYFUNCTION("""COMPUTED_VALUE"""),45462.0)</f>
        <v>45462</v>
      </c>
      <c r="C4583" s="266" t="str">
        <f>IFERROR(__xludf.DUMMYFUNCTION("""COMPUTED_VALUE"""),"KERTASARI CIAMIS")</f>
        <v>KERTASARI CIAMIS</v>
      </c>
      <c r="D4583" s="186">
        <f>IFERROR(__xludf.DUMMYFUNCTION("""COMPUTED_VALUE"""),100.0)</f>
        <v>100</v>
      </c>
    </row>
    <row r="4584">
      <c r="A4584" s="178" t="str">
        <f>IFERROR(__xludf.DUMMYFUNCTION("""COMPUTED_VALUE"""),"ITBISA-IC-CD4017BE-DIP16")</f>
        <v>ITBISA-IC-CD4017BE-DIP16</v>
      </c>
      <c r="B4584" s="266">
        <f>IFERROR(__xludf.DUMMYFUNCTION("""COMPUTED_VALUE"""),45462.0)</f>
        <v>45462</v>
      </c>
      <c r="C4584" s="266" t="str">
        <f>IFERROR(__xludf.DUMMYFUNCTION("""COMPUTED_VALUE"""),"KYAI KONTONG")</f>
        <v>KYAI KONTONG</v>
      </c>
      <c r="D4584" s="186">
        <f>IFERROR(__xludf.DUMMYFUNCTION("""COMPUTED_VALUE"""),10.0)</f>
        <v>10</v>
      </c>
    </row>
    <row r="4585">
      <c r="A4585" s="178" t="str">
        <f>IFERROR(__xludf.DUMMYFUNCTION("""COMPUTED_VALUE"""),"ITBISA-IC-CD4017BE-DIP16")</f>
        <v>ITBISA-IC-CD4017BE-DIP16</v>
      </c>
      <c r="B4585" s="266">
        <f>IFERROR(__xludf.DUMMYFUNCTION("""COMPUTED_VALUE"""),45467.0)</f>
        <v>45467</v>
      </c>
      <c r="C4585" s="266" t="str">
        <f>IFERROR(__xludf.DUMMYFUNCTION("""COMPUTED_VALUE"""),"KERTASARI CIAMIS")</f>
        <v>KERTASARI CIAMIS</v>
      </c>
      <c r="D4585" s="186">
        <f>IFERROR(__xludf.DUMMYFUNCTION("""COMPUTED_VALUE"""),100.0)</f>
        <v>100</v>
      </c>
    </row>
    <row r="4586">
      <c r="A4586" s="178" t="str">
        <f>IFERROR(__xludf.DUMMYFUNCTION("""COMPUTED_VALUE"""),"ITBISA-IC-CD4017BE-DIP16")</f>
        <v>ITBISA-IC-CD4017BE-DIP16</v>
      </c>
      <c r="B4586" s="266">
        <f>IFERROR(__xludf.DUMMYFUNCTION("""COMPUTED_VALUE"""),45472.0)</f>
        <v>45472</v>
      </c>
      <c r="C4586" s="266" t="str">
        <f>IFERROR(__xludf.DUMMYFUNCTION("""COMPUTED_VALUE"""),"KYAI KONTONG")</f>
        <v>KYAI KONTONG</v>
      </c>
      <c r="D4586" s="186">
        <f>IFERROR(__xludf.DUMMYFUNCTION("""COMPUTED_VALUE"""),3.0)</f>
        <v>3</v>
      </c>
    </row>
    <row r="4587">
      <c r="A4587" s="178" t="str">
        <f>IFERROR(__xludf.DUMMYFUNCTION("""COMPUTED_VALUE"""),"ITBISA-IC-CD4017BE-DIP16")</f>
        <v>ITBISA-IC-CD4017BE-DIP16</v>
      </c>
      <c r="B4587" s="266">
        <f>IFERROR(__xludf.DUMMYFUNCTION("""COMPUTED_VALUE"""),45476.0)</f>
        <v>45476</v>
      </c>
      <c r="C4587" s="266" t="str">
        <f>IFERROR(__xludf.DUMMYFUNCTION("""COMPUTED_VALUE"""),"KYAI KONTONG")</f>
        <v>KYAI KONTONG</v>
      </c>
      <c r="D4587" s="186">
        <f>IFERROR(__xludf.DUMMYFUNCTION("""COMPUTED_VALUE"""),500.0)</f>
        <v>500</v>
      </c>
    </row>
    <row r="4588">
      <c r="A4588" s="178" t="str">
        <f>IFERROR(__xludf.DUMMYFUNCTION("""COMPUTED_VALUE"""),"ITBISA-IC-CD4017BE-DIP16")</f>
        <v>ITBISA-IC-CD4017BE-DIP16</v>
      </c>
      <c r="B4588" s="266">
        <f>IFERROR(__xludf.DUMMYFUNCTION("""COMPUTED_VALUE"""),45482.0)</f>
        <v>45482</v>
      </c>
      <c r="C4588" s="266" t="str">
        <f>IFERROR(__xludf.DUMMYFUNCTION("""COMPUTED_VALUE"""),"KERTASARI CIAMIS")</f>
        <v>KERTASARI CIAMIS</v>
      </c>
      <c r="D4588" s="186">
        <f>IFERROR(__xludf.DUMMYFUNCTION("""COMPUTED_VALUE"""),25.0)</f>
        <v>25</v>
      </c>
    </row>
    <row r="4589">
      <c r="A4589" s="178" t="str">
        <f>IFERROR(__xludf.DUMMYFUNCTION("""COMPUTED_VALUE"""),"ITBISA-IC-CD4017BE-DIP16")</f>
        <v>ITBISA-IC-CD4017BE-DIP16</v>
      </c>
      <c r="B4589" s="266">
        <f>IFERROR(__xludf.DUMMYFUNCTION("""COMPUTED_VALUE"""),45484.0)</f>
        <v>45484</v>
      </c>
      <c r="C4589" s="266" t="str">
        <f>IFERROR(__xludf.DUMMYFUNCTION("""COMPUTED_VALUE"""),"KERTASARI CIAMIS")</f>
        <v>KERTASARI CIAMIS</v>
      </c>
      <c r="D4589" s="186">
        <f>IFERROR(__xludf.DUMMYFUNCTION("""COMPUTED_VALUE"""),100.0)</f>
        <v>100</v>
      </c>
    </row>
    <row r="4590">
      <c r="A4590" s="178" t="str">
        <f>IFERROR(__xludf.DUMMYFUNCTION("""COMPUTED_VALUE"""),"ITBISA-IC-CD4017BE-DIP16")</f>
        <v>ITBISA-IC-CD4017BE-DIP16</v>
      </c>
      <c r="B4590" s="266">
        <f>IFERROR(__xludf.DUMMYFUNCTION("""COMPUTED_VALUE"""),45488.0)</f>
        <v>45488</v>
      </c>
      <c r="C4590" s="266" t="str">
        <f>IFERROR(__xludf.DUMMYFUNCTION("""COMPUTED_VALUE"""),"KYAI KONTONG")</f>
        <v>KYAI KONTONG</v>
      </c>
      <c r="D4590" s="186">
        <f>IFERROR(__xludf.DUMMYFUNCTION("""COMPUTED_VALUE"""),100.0)</f>
        <v>100</v>
      </c>
    </row>
    <row r="4591">
      <c r="A4591" s="178" t="str">
        <f>IFERROR(__xludf.DUMMYFUNCTION("""COMPUTED_VALUE"""),"ITBISA-IC-CD4017BE-DIP16")</f>
        <v>ITBISA-IC-CD4017BE-DIP16</v>
      </c>
      <c r="B4591" s="266">
        <f>IFERROR(__xludf.DUMMYFUNCTION("""COMPUTED_VALUE"""),45490.0)</f>
        <v>45490</v>
      </c>
      <c r="C4591" s="266" t="str">
        <f>IFERROR(__xludf.DUMMYFUNCTION("""COMPUTED_VALUE"""),"KYAI KONTONG")</f>
        <v>KYAI KONTONG</v>
      </c>
      <c r="D4591" s="186">
        <f>IFERROR(__xludf.DUMMYFUNCTION("""COMPUTED_VALUE"""),10.0)</f>
        <v>10</v>
      </c>
    </row>
    <row r="4592">
      <c r="A4592" s="178" t="str">
        <f>IFERROR(__xludf.DUMMYFUNCTION("""COMPUTED_VALUE"""),"ITBISA-IC-CD4017BE-DIP16")</f>
        <v>ITBISA-IC-CD4017BE-DIP16</v>
      </c>
      <c r="B4592" s="266">
        <f>IFERROR(__xludf.DUMMYFUNCTION("""COMPUTED_VALUE"""),45495.0)</f>
        <v>45495</v>
      </c>
      <c r="C4592" s="266" t="str">
        <f>IFERROR(__xludf.DUMMYFUNCTION("""COMPUTED_VALUE"""),"KERTASARI CIAMIS")</f>
        <v>KERTASARI CIAMIS</v>
      </c>
      <c r="D4592" s="186">
        <f>IFERROR(__xludf.DUMMYFUNCTION("""COMPUTED_VALUE"""),100.0)</f>
        <v>100</v>
      </c>
    </row>
    <row r="4593">
      <c r="A4593" s="178" t="str">
        <f>IFERROR(__xludf.DUMMYFUNCTION("""COMPUTED_VALUE"""),"ITBISA-IC-CD4017BE-DIP16")</f>
        <v>ITBISA-IC-CD4017BE-DIP16</v>
      </c>
      <c r="B4593" s="266">
        <f>IFERROR(__xludf.DUMMYFUNCTION("""COMPUTED_VALUE"""),45498.0)</f>
        <v>45498</v>
      </c>
      <c r="C4593" s="266" t="str">
        <f>IFERROR(__xludf.DUMMYFUNCTION("""COMPUTED_VALUE"""),"KERTASARI CIAMIS")</f>
        <v>KERTASARI CIAMIS</v>
      </c>
      <c r="D4593" s="186">
        <f>IFERROR(__xludf.DUMMYFUNCTION("""COMPUTED_VALUE"""),700.0)</f>
        <v>700</v>
      </c>
    </row>
    <row r="4594">
      <c r="A4594" s="178" t="str">
        <f>IFERROR(__xludf.DUMMYFUNCTION("""COMPUTED_VALUE"""),"ITBISA-IC-CD4017BE-DIP16")</f>
        <v>ITBISA-IC-CD4017BE-DIP16</v>
      </c>
      <c r="B4594" s="266">
        <f>IFERROR(__xludf.DUMMYFUNCTION("""COMPUTED_VALUE"""),45502.0)</f>
        <v>45502</v>
      </c>
      <c r="C4594" s="266" t="str">
        <f>IFERROR(__xludf.DUMMYFUNCTION("""COMPUTED_VALUE"""),"KERTASARI CIAMIS")</f>
        <v>KERTASARI CIAMIS</v>
      </c>
      <c r="D4594" s="186">
        <f>IFERROR(__xludf.DUMMYFUNCTION("""COMPUTED_VALUE"""),200.0)</f>
        <v>200</v>
      </c>
    </row>
    <row r="4595">
      <c r="A4595" s="178" t="str">
        <f>IFERROR(__xludf.DUMMYFUNCTION("""COMPUTED_VALUE"""),"ITBISA-IC-CD4017BE-DIP16")</f>
        <v>ITBISA-IC-CD4017BE-DIP16</v>
      </c>
      <c r="B4595" s="266">
        <f>IFERROR(__xludf.DUMMYFUNCTION("""COMPUTED_VALUE"""),45509.0)</f>
        <v>45509</v>
      </c>
      <c r="C4595" s="266" t="str">
        <f>IFERROR(__xludf.DUMMYFUNCTION("""COMPUTED_VALUE"""),"KERTASARI CIAMIS")</f>
        <v>KERTASARI CIAMIS</v>
      </c>
      <c r="D4595" s="186">
        <f>IFERROR(__xludf.DUMMYFUNCTION("""COMPUTED_VALUE"""),25.0)</f>
        <v>25</v>
      </c>
    </row>
    <row r="4596">
      <c r="A4596" s="178" t="str">
        <f>IFERROR(__xludf.DUMMYFUNCTION("""COMPUTED_VALUE"""),"ITBISA-IC-CD4017BE-DIP16")</f>
        <v>ITBISA-IC-CD4017BE-DIP16</v>
      </c>
      <c r="B4596" s="266">
        <f>IFERROR(__xludf.DUMMYFUNCTION("""COMPUTED_VALUE"""),45512.0)</f>
        <v>45512</v>
      </c>
      <c r="C4596" s="266" t="str">
        <f>IFERROR(__xludf.DUMMYFUNCTION("""COMPUTED_VALUE"""),"KERTASARI CIAMIS")</f>
        <v>KERTASARI CIAMIS</v>
      </c>
      <c r="D4596" s="186">
        <f>IFERROR(__xludf.DUMMYFUNCTION("""COMPUTED_VALUE"""),37.0)</f>
        <v>37</v>
      </c>
    </row>
    <row r="4597">
      <c r="A4597" s="178" t="str">
        <f>IFERROR(__xludf.DUMMYFUNCTION("""COMPUTED_VALUE"""),"ITBISA-IC-CD4017BE-DIP16")</f>
        <v>ITBISA-IC-CD4017BE-DIP16</v>
      </c>
      <c r="B4597" s="266">
        <f>IFERROR(__xludf.DUMMYFUNCTION("""COMPUTED_VALUE"""),45514.0)</f>
        <v>45514</v>
      </c>
      <c r="C4597" s="266" t="str">
        <f>IFERROR(__xludf.DUMMYFUNCTION("""COMPUTED_VALUE"""),"KERTASARI CIAMIS")</f>
        <v>KERTASARI CIAMIS</v>
      </c>
      <c r="D4597" s="186">
        <f>IFERROR(__xludf.DUMMYFUNCTION("""COMPUTED_VALUE"""),150.0)</f>
        <v>150</v>
      </c>
    </row>
    <row r="4598">
      <c r="A4598" s="178" t="str">
        <f>IFERROR(__xludf.DUMMYFUNCTION("""COMPUTED_VALUE"""),"ITBISA-IC-CD4017BE-DIP16")</f>
        <v>ITBISA-IC-CD4017BE-DIP16</v>
      </c>
      <c r="B4598" s="266">
        <f>IFERROR(__xludf.DUMMYFUNCTION("""COMPUTED_VALUE"""),45518.0)</f>
        <v>45518</v>
      </c>
      <c r="C4598" s="266" t="str">
        <f>IFERROR(__xludf.DUMMYFUNCTION("""COMPUTED_VALUE"""),"KERTASARI CIAMIS")</f>
        <v>KERTASARI CIAMIS</v>
      </c>
      <c r="D4598" s="186">
        <f>IFERROR(__xludf.DUMMYFUNCTION("""COMPUTED_VALUE"""),100.0)</f>
        <v>100</v>
      </c>
    </row>
    <row r="4599">
      <c r="A4599" s="178" t="str">
        <f>IFERROR(__xludf.DUMMYFUNCTION("""COMPUTED_VALUE"""),"ITBISA-IC-CD4017BE-DIP16")</f>
        <v>ITBISA-IC-CD4017BE-DIP16</v>
      </c>
      <c r="B4599" s="266">
        <f>IFERROR(__xludf.DUMMYFUNCTION("""COMPUTED_VALUE"""),45524.0)</f>
        <v>45524</v>
      </c>
      <c r="C4599" s="266" t="str">
        <f>IFERROR(__xludf.DUMMYFUNCTION("""COMPUTED_VALUE"""),"KYAI KONTONG")</f>
        <v>KYAI KONTONG</v>
      </c>
      <c r="D4599" s="186">
        <f>IFERROR(__xludf.DUMMYFUNCTION("""COMPUTED_VALUE"""),5.0)</f>
        <v>5</v>
      </c>
    </row>
    <row r="4600">
      <c r="A4600" s="178" t="str">
        <f>IFERROR(__xludf.DUMMYFUNCTION("""COMPUTED_VALUE"""),"ITBISA-IC-CD4017BE-DIP16")</f>
        <v>ITBISA-IC-CD4017BE-DIP16</v>
      </c>
      <c r="B4600" s="266">
        <f>IFERROR(__xludf.DUMMYFUNCTION("""COMPUTED_VALUE"""),45526.0)</f>
        <v>45526</v>
      </c>
      <c r="C4600" s="266" t="str">
        <f>IFERROR(__xludf.DUMMYFUNCTION("""COMPUTED_VALUE"""),"KERTASARI CIAMIS")</f>
        <v>KERTASARI CIAMIS</v>
      </c>
      <c r="D4600" s="186">
        <f>IFERROR(__xludf.DUMMYFUNCTION("""COMPUTED_VALUE"""),750.0)</f>
        <v>750</v>
      </c>
    </row>
    <row r="4601">
      <c r="A4601" s="178" t="str">
        <f>IFERROR(__xludf.DUMMYFUNCTION("""COMPUTED_VALUE"""),"ITBISA-IC-CD4017BE-DIP16")</f>
        <v>ITBISA-IC-CD4017BE-DIP16</v>
      </c>
      <c r="B4601" s="266">
        <f>IFERROR(__xludf.DUMMYFUNCTION("""COMPUTED_VALUE"""),45528.0)</f>
        <v>45528</v>
      </c>
      <c r="C4601" s="266" t="str">
        <f>IFERROR(__xludf.DUMMYFUNCTION("""COMPUTED_VALUE"""),"KYAI KONTONG")</f>
        <v>KYAI KONTONG</v>
      </c>
      <c r="D4601" s="186">
        <f>IFERROR(__xludf.DUMMYFUNCTION("""COMPUTED_VALUE"""),100.0)</f>
        <v>100</v>
      </c>
    </row>
    <row r="4602">
      <c r="A4602" s="178" t="str">
        <f>IFERROR(__xludf.DUMMYFUNCTION("""COMPUTED_VALUE"""),"ITBISA-IC-CD4017BE-DIP16")</f>
        <v>ITBISA-IC-CD4017BE-DIP16</v>
      </c>
      <c r="B4602" s="266">
        <f>IFERROR(__xludf.DUMMYFUNCTION("""COMPUTED_VALUE"""),45533.0)</f>
        <v>45533</v>
      </c>
      <c r="C4602" s="266" t="str">
        <f>IFERROR(__xludf.DUMMYFUNCTION("""COMPUTED_VALUE"""),"KERTASARI CIAMIS")</f>
        <v>KERTASARI CIAMIS</v>
      </c>
      <c r="D4602" s="186">
        <f>IFERROR(__xludf.DUMMYFUNCTION("""COMPUTED_VALUE"""),300.0)</f>
        <v>300</v>
      </c>
    </row>
    <row r="4603">
      <c r="A4603" s="178" t="str">
        <f>IFERROR(__xludf.DUMMYFUNCTION("""COMPUTED_VALUE"""),"ITBISA-IC-CD4017BE-DIP16")</f>
        <v>ITBISA-IC-CD4017BE-DIP16</v>
      </c>
      <c r="B4603" s="266">
        <f>IFERROR(__xludf.DUMMYFUNCTION("""COMPUTED_VALUE"""),45534.0)</f>
        <v>45534</v>
      </c>
      <c r="C4603" s="266" t="str">
        <f>IFERROR(__xludf.DUMMYFUNCTION("""COMPUTED_VALUE"""),"KERTASARI CIAMIS")</f>
        <v>KERTASARI CIAMIS</v>
      </c>
      <c r="D4603" s="186">
        <f>IFERROR(__xludf.DUMMYFUNCTION("""COMPUTED_VALUE"""),22.0)</f>
        <v>22</v>
      </c>
    </row>
    <row r="4604">
      <c r="A4604" s="178" t="str">
        <f>IFERROR(__xludf.DUMMYFUNCTION("""COMPUTED_VALUE"""),"ITBISA-IC-CD4017BE-DIP16")</f>
        <v>ITBISA-IC-CD4017BE-DIP16</v>
      </c>
      <c r="B4604" s="266">
        <f>IFERROR(__xludf.DUMMYFUNCTION("""COMPUTED_VALUE"""),45540.0)</f>
        <v>45540</v>
      </c>
      <c r="C4604" s="266" t="str">
        <f>IFERROR(__xludf.DUMMYFUNCTION("""COMPUTED_VALUE"""),"KERTASARI CIAMIS")</f>
        <v>KERTASARI CIAMIS</v>
      </c>
      <c r="D4604" s="186">
        <f>IFERROR(__xludf.DUMMYFUNCTION("""COMPUTED_VALUE"""),10.0)</f>
        <v>10</v>
      </c>
    </row>
    <row r="4605">
      <c r="A4605" s="178" t="str">
        <f>IFERROR(__xludf.DUMMYFUNCTION("""COMPUTED_VALUE"""),"ITBISA-IC-CD4017BE-DIP16")</f>
        <v>ITBISA-IC-CD4017BE-DIP16</v>
      </c>
      <c r="B4605" s="266">
        <f>IFERROR(__xludf.DUMMYFUNCTION("""COMPUTED_VALUE"""),45543.0)</f>
        <v>45543</v>
      </c>
      <c r="C4605" s="266" t="str">
        <f>IFERROR(__xludf.DUMMYFUNCTION("""COMPUTED_VALUE"""),"KERTASARI CIAMIS")</f>
        <v>KERTASARI CIAMIS</v>
      </c>
      <c r="D4605" s="186">
        <f>IFERROR(__xludf.DUMMYFUNCTION("""COMPUTED_VALUE"""),150.0)</f>
        <v>150</v>
      </c>
    </row>
    <row r="4606">
      <c r="A4606" s="178" t="str">
        <f>IFERROR(__xludf.DUMMYFUNCTION("""COMPUTED_VALUE"""),"ITBISA-IC-CD4017BE-DIP16")</f>
        <v>ITBISA-IC-CD4017BE-DIP16</v>
      </c>
      <c r="B4606" s="266">
        <f>IFERROR(__xludf.DUMMYFUNCTION("""COMPUTED_VALUE"""),45545.0)</f>
        <v>45545</v>
      </c>
      <c r="C4606" s="266" t="str">
        <f>IFERROR(__xludf.DUMMYFUNCTION("""COMPUTED_VALUE"""),"KERTASARI CIAMIS")</f>
        <v>KERTASARI CIAMIS</v>
      </c>
      <c r="D4606" s="186">
        <f>IFERROR(__xludf.DUMMYFUNCTION("""COMPUTED_VALUE"""),60.0)</f>
        <v>60</v>
      </c>
    </row>
    <row r="4607">
      <c r="A4607" s="178" t="str">
        <f>IFERROR(__xludf.DUMMYFUNCTION("""COMPUTED_VALUE"""),"ITBISA-IC-CD4017BE-DIP16")</f>
        <v>ITBISA-IC-CD4017BE-DIP16</v>
      </c>
      <c r="B4607" s="266">
        <f>IFERROR(__xludf.DUMMYFUNCTION("""COMPUTED_VALUE"""),45551.0)</f>
        <v>45551</v>
      </c>
      <c r="C4607" s="266" t="str">
        <f>IFERROR(__xludf.DUMMYFUNCTION("""COMPUTED_VALUE"""),"KYAI KONTONG")</f>
        <v>KYAI KONTONG</v>
      </c>
      <c r="D4607" s="186">
        <f>IFERROR(__xludf.DUMMYFUNCTION("""COMPUTED_VALUE"""),500.0)</f>
        <v>500</v>
      </c>
    </row>
    <row r="4608">
      <c r="A4608" s="178" t="str">
        <f>IFERROR(__xludf.DUMMYFUNCTION("""COMPUTED_VALUE"""),"ITBISA-IC-CD4017BE-DIP16")</f>
        <v>ITBISA-IC-CD4017BE-DIP16</v>
      </c>
      <c r="B4608" s="266">
        <f>IFERROR(__xludf.DUMMYFUNCTION("""COMPUTED_VALUE"""),45561.0)</f>
        <v>45561</v>
      </c>
      <c r="C4608" s="266" t="str">
        <f>IFERROR(__xludf.DUMMYFUNCTION("""COMPUTED_VALUE"""),"KERTASARI CIAMIS")</f>
        <v>KERTASARI CIAMIS</v>
      </c>
      <c r="D4608" s="186">
        <f>IFERROR(__xludf.DUMMYFUNCTION("""COMPUTED_VALUE"""),200.0)</f>
        <v>200</v>
      </c>
    </row>
    <row r="4609">
      <c r="A4609" s="178" t="str">
        <f>IFERROR(__xludf.DUMMYFUNCTION("""COMPUTED_VALUE"""),"ITBISA-IC-CD4017BE-DIP16")</f>
        <v>ITBISA-IC-CD4017BE-DIP16</v>
      </c>
      <c r="B4609" s="266">
        <f>IFERROR(__xludf.DUMMYFUNCTION("""COMPUTED_VALUE"""),45565.0)</f>
        <v>45565</v>
      </c>
      <c r="C4609" s="266" t="str">
        <f>IFERROR(__xludf.DUMMYFUNCTION("""COMPUTED_VALUE"""),"KERTASARI CIAMIS")</f>
        <v>KERTASARI CIAMIS</v>
      </c>
      <c r="D4609" s="186">
        <f>IFERROR(__xludf.DUMMYFUNCTION("""COMPUTED_VALUE"""),60.0)</f>
        <v>60</v>
      </c>
    </row>
    <row r="4610">
      <c r="A4610" s="178" t="str">
        <f>IFERROR(__xludf.DUMMYFUNCTION("""COMPUTED_VALUE"""),"ITBISA-IC-CD4017BE-DIP16")</f>
        <v>ITBISA-IC-CD4017BE-DIP16</v>
      </c>
      <c r="B4610" s="266">
        <f>IFERROR(__xludf.DUMMYFUNCTION("""COMPUTED_VALUE"""),45565.0)</f>
        <v>45565</v>
      </c>
      <c r="C4610" s="266" t="str">
        <f>IFERROR(__xludf.DUMMYFUNCTION("""COMPUTED_VALUE"""),"KYAI KONTONG")</f>
        <v>KYAI KONTONG</v>
      </c>
      <c r="D4610" s="186">
        <f>IFERROR(__xludf.DUMMYFUNCTION("""COMPUTED_VALUE"""),10.0)</f>
        <v>10</v>
      </c>
    </row>
    <row r="4611">
      <c r="A4611" s="178" t="str">
        <f>IFERROR(__xludf.DUMMYFUNCTION("""COMPUTED_VALUE"""),"ITBISA-IC-CD4017BE-DIP16")</f>
        <v>ITBISA-IC-CD4017BE-DIP16</v>
      </c>
      <c r="B4611" s="266">
        <f>IFERROR(__xludf.DUMMYFUNCTION("""COMPUTED_VALUE"""),45574.0)</f>
        <v>45574</v>
      </c>
      <c r="C4611" s="266" t="str">
        <f>IFERROR(__xludf.DUMMYFUNCTION("""COMPUTED_VALUE"""),"KYAI KONTONG")</f>
        <v>KYAI KONTONG</v>
      </c>
      <c r="D4611" s="186">
        <f>IFERROR(__xludf.DUMMYFUNCTION("""COMPUTED_VALUE"""),500.0)</f>
        <v>500</v>
      </c>
    </row>
    <row r="4612">
      <c r="A4612" s="178" t="str">
        <f>IFERROR(__xludf.DUMMYFUNCTION("""COMPUTED_VALUE"""),"ITBISA-IC-CD4017BE-DIP16")</f>
        <v>ITBISA-IC-CD4017BE-DIP16</v>
      </c>
      <c r="B4612" s="266">
        <f>IFERROR(__xludf.DUMMYFUNCTION("""COMPUTED_VALUE"""),45575.0)</f>
        <v>45575</v>
      </c>
      <c r="C4612" s="266" t="str">
        <f>IFERROR(__xludf.DUMMYFUNCTION("""COMPUTED_VALUE"""),"KYAI KONTONG")</f>
        <v>KYAI KONTONG</v>
      </c>
      <c r="D4612" s="186">
        <f>IFERROR(__xludf.DUMMYFUNCTION("""COMPUTED_VALUE"""),30.0)</f>
        <v>30</v>
      </c>
    </row>
    <row r="4613">
      <c r="A4613" s="178" t="str">
        <f>IFERROR(__xludf.DUMMYFUNCTION("""COMPUTED_VALUE"""),"ITBISA-IC-CD4017BE-DIP16")</f>
        <v>ITBISA-IC-CD4017BE-DIP16</v>
      </c>
      <c r="B4613" s="266">
        <f>IFERROR(__xludf.DUMMYFUNCTION("""COMPUTED_VALUE"""),45580.0)</f>
        <v>45580</v>
      </c>
      <c r="C4613" s="266" t="str">
        <f>IFERROR(__xludf.DUMMYFUNCTION("""COMPUTED_VALUE"""),"KYAI KONTONG")</f>
        <v>KYAI KONTONG</v>
      </c>
      <c r="D4613" s="186">
        <f>IFERROR(__xludf.DUMMYFUNCTION("""COMPUTED_VALUE"""),5.0)</f>
        <v>5</v>
      </c>
    </row>
    <row r="4614">
      <c r="A4614" s="178" t="str">
        <f>IFERROR(__xludf.DUMMYFUNCTION("""COMPUTED_VALUE"""),"ITBISA-IC-CD4017BE-DIP16")</f>
        <v>ITBISA-IC-CD4017BE-DIP16</v>
      </c>
      <c r="B4614" s="266">
        <f>IFERROR(__xludf.DUMMYFUNCTION("""COMPUTED_VALUE"""),45585.0)</f>
        <v>45585</v>
      </c>
      <c r="C4614" s="266" t="str">
        <f>IFERROR(__xludf.DUMMYFUNCTION("""COMPUTED_VALUE"""),"KERTASARI CIAMIS")</f>
        <v>KERTASARI CIAMIS</v>
      </c>
      <c r="D4614" s="186">
        <f>IFERROR(__xludf.DUMMYFUNCTION("""COMPUTED_VALUE"""),500.0)</f>
        <v>500</v>
      </c>
    </row>
    <row r="4615">
      <c r="A4615" s="178" t="str">
        <f>IFERROR(__xludf.DUMMYFUNCTION("""COMPUTED_VALUE"""),"ITBISA-IC-CD4017BE-DIP16")</f>
        <v>ITBISA-IC-CD4017BE-DIP16</v>
      </c>
      <c r="B4615" s="266">
        <f>IFERROR(__xludf.DUMMYFUNCTION("""COMPUTED_VALUE"""),45587.0)</f>
        <v>45587</v>
      </c>
      <c r="C4615" s="266" t="str">
        <f>IFERROR(__xludf.DUMMYFUNCTION("""COMPUTED_VALUE"""),"KERTASARI CIAMIS")</f>
        <v>KERTASARI CIAMIS</v>
      </c>
      <c r="D4615" s="186">
        <f>IFERROR(__xludf.DUMMYFUNCTION("""COMPUTED_VALUE"""),100.0)</f>
        <v>100</v>
      </c>
    </row>
    <row r="4616">
      <c r="A4616" s="178" t="str">
        <f>IFERROR(__xludf.DUMMYFUNCTION("""COMPUTED_VALUE"""),"ITBISA-IC-CD4017BE-DIP16")</f>
        <v>ITBISA-IC-CD4017BE-DIP16</v>
      </c>
      <c r="B4616" s="266">
        <f>IFERROR(__xludf.DUMMYFUNCTION("""COMPUTED_VALUE"""),45588.0)</f>
        <v>45588</v>
      </c>
      <c r="C4616" s="266" t="str">
        <f>IFERROR(__xludf.DUMMYFUNCTION("""COMPUTED_VALUE"""),"KERTASARI CIAMIS")</f>
        <v>KERTASARI CIAMIS</v>
      </c>
      <c r="D4616" s="186">
        <f>IFERROR(__xludf.DUMMYFUNCTION("""COMPUTED_VALUE"""),20.0)</f>
        <v>20</v>
      </c>
    </row>
    <row r="4617">
      <c r="A4617" s="178" t="str">
        <f>IFERROR(__xludf.DUMMYFUNCTION("""COMPUTED_VALUE"""),"ITBISA-IC-CD4017BE-DIP16")</f>
        <v>ITBISA-IC-CD4017BE-DIP16</v>
      </c>
      <c r="B4617" s="266">
        <f>IFERROR(__xludf.DUMMYFUNCTION("""COMPUTED_VALUE"""),45598.0)</f>
        <v>45598</v>
      </c>
      <c r="C4617" s="266" t="str">
        <f>IFERROR(__xludf.DUMMYFUNCTION("""COMPUTED_VALUE"""),"KERTASARI CIAMIS")</f>
        <v>KERTASARI CIAMIS</v>
      </c>
      <c r="D4617" s="186">
        <f>IFERROR(__xludf.DUMMYFUNCTION("""COMPUTED_VALUE"""),100.0)</f>
        <v>100</v>
      </c>
    </row>
    <row r="4618">
      <c r="A4618" s="178" t="str">
        <f>IFERROR(__xludf.DUMMYFUNCTION("""COMPUTED_VALUE"""),"ITBISA-IC-CD4017BE-DIP16")</f>
        <v>ITBISA-IC-CD4017BE-DIP16</v>
      </c>
      <c r="B4618" s="266">
        <f>IFERROR(__xludf.DUMMYFUNCTION("""COMPUTED_VALUE"""),45598.0)</f>
        <v>45598</v>
      </c>
      <c r="C4618" s="266" t="str">
        <f>IFERROR(__xludf.DUMMYFUNCTION("""COMPUTED_VALUE"""),"KERTASARI CIAMIS")</f>
        <v>KERTASARI CIAMIS</v>
      </c>
      <c r="D4618" s="186">
        <f>IFERROR(__xludf.DUMMYFUNCTION("""COMPUTED_VALUE"""),1000.0)</f>
        <v>1000</v>
      </c>
    </row>
    <row r="4619">
      <c r="A4619" s="178" t="str">
        <f>IFERROR(__xludf.DUMMYFUNCTION("""COMPUTED_VALUE"""),"ITBISA-IC-CD4017BE-DIP16")</f>
        <v>ITBISA-IC-CD4017BE-DIP16</v>
      </c>
      <c r="B4619" s="266">
        <f>IFERROR(__xludf.DUMMYFUNCTION("""COMPUTED_VALUE"""),45606.0)</f>
        <v>45606</v>
      </c>
      <c r="C4619" s="266" t="str">
        <f>IFERROR(__xludf.DUMMYFUNCTION("""COMPUTED_VALUE"""),"KYAI KONTONG")</f>
        <v>KYAI KONTONG</v>
      </c>
      <c r="D4619" s="186">
        <f>IFERROR(__xludf.DUMMYFUNCTION("""COMPUTED_VALUE"""),5.0)</f>
        <v>5</v>
      </c>
    </row>
    <row r="4620">
      <c r="A4620" s="178" t="str">
        <f>IFERROR(__xludf.DUMMYFUNCTION("""COMPUTED_VALUE"""),"ITBISA-IC-CD4017BE-DIP16")</f>
        <v>ITBISA-IC-CD4017BE-DIP16</v>
      </c>
      <c r="B4620" s="266">
        <f>IFERROR(__xludf.DUMMYFUNCTION("""COMPUTED_VALUE"""),45610.0)</f>
        <v>45610</v>
      </c>
      <c r="C4620" s="266" t="str">
        <f>IFERROR(__xludf.DUMMYFUNCTION("""COMPUTED_VALUE"""),"KYAI KONTONG")</f>
        <v>KYAI KONTONG</v>
      </c>
      <c r="D4620" s="186">
        <f>IFERROR(__xludf.DUMMYFUNCTION("""COMPUTED_VALUE"""),25.0)</f>
        <v>25</v>
      </c>
    </row>
    <row r="4621">
      <c r="A4621" s="178" t="str">
        <f>IFERROR(__xludf.DUMMYFUNCTION("""COMPUTED_VALUE"""),"ITBISA-IC-CD4017BE-DIP16")</f>
        <v>ITBISA-IC-CD4017BE-DIP16</v>
      </c>
      <c r="B4621" s="266">
        <f>IFERROR(__xludf.DUMMYFUNCTION("""COMPUTED_VALUE"""),45614.0)</f>
        <v>45614</v>
      </c>
      <c r="C4621" s="266" t="str">
        <f>IFERROR(__xludf.DUMMYFUNCTION("""COMPUTED_VALUE"""),"KERTASARI CIAMIS")</f>
        <v>KERTASARI CIAMIS</v>
      </c>
      <c r="D4621" s="186">
        <f>IFERROR(__xludf.DUMMYFUNCTION("""COMPUTED_VALUE"""),50.0)</f>
        <v>50</v>
      </c>
    </row>
    <row r="4622">
      <c r="A4622" s="178" t="str">
        <f>IFERROR(__xludf.DUMMYFUNCTION("""COMPUTED_VALUE"""),"ITBISA-IC-CD4017BE-DIP16")</f>
        <v>ITBISA-IC-CD4017BE-DIP16</v>
      </c>
      <c r="B4622" s="266">
        <f>IFERROR(__xludf.DUMMYFUNCTION("""COMPUTED_VALUE"""),45616.0)</f>
        <v>45616</v>
      </c>
      <c r="C4622" s="266" t="str">
        <f>IFERROR(__xludf.DUMMYFUNCTION("""COMPUTED_VALUE"""),"KERTASARI CIAMIS")</f>
        <v>KERTASARI CIAMIS</v>
      </c>
      <c r="D4622" s="186">
        <f>IFERROR(__xludf.DUMMYFUNCTION("""COMPUTED_VALUE"""),500.0)</f>
        <v>500</v>
      </c>
    </row>
    <row r="4623">
      <c r="A4623" s="178" t="str">
        <f>IFERROR(__xludf.DUMMYFUNCTION("""COMPUTED_VALUE"""),"ITBISA-IC-CD4017BE-DIP16")</f>
        <v>ITBISA-IC-CD4017BE-DIP16</v>
      </c>
      <c r="B4623" s="266">
        <f>IFERROR(__xludf.DUMMYFUNCTION("""COMPUTED_VALUE"""),45618.0)</f>
        <v>45618</v>
      </c>
      <c r="C4623" s="266" t="str">
        <f>IFERROR(__xludf.DUMMYFUNCTION("""COMPUTED_VALUE"""),"KERTASARI CIAMIS")</f>
        <v>KERTASARI CIAMIS</v>
      </c>
      <c r="D4623" s="186">
        <f>IFERROR(__xludf.DUMMYFUNCTION("""COMPUTED_VALUE"""),100.0)</f>
        <v>100</v>
      </c>
    </row>
    <row r="4624">
      <c r="A4624" s="178" t="str">
        <f>IFERROR(__xludf.DUMMYFUNCTION("""COMPUTED_VALUE"""),"ITBISA-IC-CD4017BE-DIP16")</f>
        <v>ITBISA-IC-CD4017BE-DIP16</v>
      </c>
      <c r="B4624" s="266">
        <f>IFERROR(__xludf.DUMMYFUNCTION("""COMPUTED_VALUE"""),45619.0)</f>
        <v>45619</v>
      </c>
      <c r="C4624" s="266" t="str">
        <f>IFERROR(__xludf.DUMMYFUNCTION("""COMPUTED_VALUE"""),"KYAI KONTONG")</f>
        <v>KYAI KONTONG</v>
      </c>
      <c r="D4624" s="186">
        <f>IFERROR(__xludf.DUMMYFUNCTION("""COMPUTED_VALUE"""),50.0)</f>
        <v>50</v>
      </c>
    </row>
    <row r="4625">
      <c r="A4625" s="178" t="str">
        <f>IFERROR(__xludf.DUMMYFUNCTION("""COMPUTED_VALUE"""),"ITBISA-IC-CD4017BE-DIP16")</f>
        <v>ITBISA-IC-CD4017BE-DIP16</v>
      </c>
      <c r="B4625" s="266">
        <f>IFERROR(__xludf.DUMMYFUNCTION("""COMPUTED_VALUE"""),45621.0)</f>
        <v>45621</v>
      </c>
      <c r="C4625" s="266" t="str">
        <f>IFERROR(__xludf.DUMMYFUNCTION("""COMPUTED_VALUE"""),"KYAI KONTONG")</f>
        <v>KYAI KONTONG</v>
      </c>
      <c r="D4625" s="186">
        <f>IFERROR(__xludf.DUMMYFUNCTION("""COMPUTED_VALUE"""),200.0)</f>
        <v>200</v>
      </c>
    </row>
    <row r="4626">
      <c r="A4626" s="178" t="str">
        <f>IFERROR(__xludf.DUMMYFUNCTION("""COMPUTED_VALUE"""),"ITBISA-IC-CD4017BE-DIP16")</f>
        <v>ITBISA-IC-CD4017BE-DIP16</v>
      </c>
      <c r="B4626" s="266">
        <f>IFERROR(__xludf.DUMMYFUNCTION("""COMPUTED_VALUE"""),45625.0)</f>
        <v>45625</v>
      </c>
      <c r="C4626" s="266" t="str">
        <f>IFERROR(__xludf.DUMMYFUNCTION("""COMPUTED_VALUE"""),"KYAI KONTONG")</f>
        <v>KYAI KONTONG</v>
      </c>
      <c r="D4626" s="186">
        <f>IFERROR(__xludf.DUMMYFUNCTION("""COMPUTED_VALUE"""),25.0)</f>
        <v>25</v>
      </c>
    </row>
    <row r="4627">
      <c r="A4627" s="178" t="str">
        <f>IFERROR(__xludf.DUMMYFUNCTION("""COMPUTED_VALUE"""),"ITBISA-IC-CD4017BE-DIP16")</f>
        <v>ITBISA-IC-CD4017BE-DIP16</v>
      </c>
      <c r="B4627" s="266">
        <f>IFERROR(__xludf.DUMMYFUNCTION("""COMPUTED_VALUE"""),45629.0)</f>
        <v>45629</v>
      </c>
      <c r="C4627" s="266" t="str">
        <f>IFERROR(__xludf.DUMMYFUNCTION("""COMPUTED_VALUE"""),"KERTASARI CIAMIS")</f>
        <v>KERTASARI CIAMIS</v>
      </c>
      <c r="D4627" s="186">
        <f>IFERROR(__xludf.DUMMYFUNCTION("""COMPUTED_VALUE"""),200.0)</f>
        <v>200</v>
      </c>
    </row>
    <row r="4628">
      <c r="A4628" s="178" t="str">
        <f>IFERROR(__xludf.DUMMYFUNCTION("""COMPUTED_VALUE"""),"ITBISA-IC-CD4017BE-DIP16")</f>
        <v>ITBISA-IC-CD4017BE-DIP16</v>
      </c>
      <c r="B4628" s="266">
        <f>IFERROR(__xludf.DUMMYFUNCTION("""COMPUTED_VALUE"""),45633.0)</f>
        <v>45633</v>
      </c>
      <c r="C4628" s="266" t="str">
        <f>IFERROR(__xludf.DUMMYFUNCTION("""COMPUTED_VALUE"""),"KERTASARI CIAMIS")</f>
        <v>KERTASARI CIAMIS</v>
      </c>
      <c r="D4628" s="186">
        <f>IFERROR(__xludf.DUMMYFUNCTION("""COMPUTED_VALUE"""),150.0)</f>
        <v>150</v>
      </c>
    </row>
    <row r="4629">
      <c r="A4629" s="178" t="str">
        <f>IFERROR(__xludf.DUMMYFUNCTION("""COMPUTED_VALUE"""),"ITBISA-IC-CD4017BE-DIP16")</f>
        <v>ITBISA-IC-CD4017BE-DIP16</v>
      </c>
      <c r="B4629" s="266">
        <f>IFERROR(__xludf.DUMMYFUNCTION("""COMPUTED_VALUE"""),45635.0)</f>
        <v>45635</v>
      </c>
      <c r="C4629" s="266" t="str">
        <f>IFERROR(__xludf.DUMMYFUNCTION("""COMPUTED_VALUE"""),"KERTASARI CIAMIS")</f>
        <v>KERTASARI CIAMIS</v>
      </c>
      <c r="D4629" s="186">
        <f>IFERROR(__xludf.DUMMYFUNCTION("""COMPUTED_VALUE"""),1000.0)</f>
        <v>1000</v>
      </c>
    </row>
    <row r="4630">
      <c r="A4630" s="178" t="str">
        <f>IFERROR(__xludf.DUMMYFUNCTION("""COMPUTED_VALUE"""),"ITBISA-IC-CD4017BE-DIP16")</f>
        <v>ITBISA-IC-CD4017BE-DIP16</v>
      </c>
      <c r="B4630" s="266">
        <f>IFERROR(__xludf.DUMMYFUNCTION("""COMPUTED_VALUE"""),45636.0)</f>
        <v>45636</v>
      </c>
      <c r="C4630" s="266" t="str">
        <f>IFERROR(__xludf.DUMMYFUNCTION("""COMPUTED_VALUE"""),"KERTASARI CIAMIS")</f>
        <v>KERTASARI CIAMIS</v>
      </c>
      <c r="D4630" s="186">
        <f>IFERROR(__xludf.DUMMYFUNCTION("""COMPUTED_VALUE"""),120.0)</f>
        <v>120</v>
      </c>
    </row>
    <row r="4631">
      <c r="A4631" s="178" t="str">
        <f>IFERROR(__xludf.DUMMYFUNCTION("""COMPUTED_VALUE"""),"ITBISA-IC-CD4017BE-DIP16")</f>
        <v>ITBISA-IC-CD4017BE-DIP16</v>
      </c>
      <c r="B4631" s="266">
        <f>IFERROR(__xludf.DUMMYFUNCTION("""COMPUTED_VALUE"""),45639.0)</f>
        <v>45639</v>
      </c>
      <c r="C4631" s="266" t="str">
        <f>IFERROR(__xludf.DUMMYFUNCTION("""COMPUTED_VALUE"""),"KYAI KONTONG")</f>
        <v>KYAI KONTONG</v>
      </c>
      <c r="D4631" s="186">
        <f>IFERROR(__xludf.DUMMYFUNCTION("""COMPUTED_VALUE"""),5.0)</f>
        <v>5</v>
      </c>
    </row>
    <row r="4632">
      <c r="A4632" s="178" t="str">
        <f>IFERROR(__xludf.DUMMYFUNCTION("""COMPUTED_VALUE"""),"ITBISA-IC-CD4017BE-DIP16")</f>
        <v>ITBISA-IC-CD4017BE-DIP16</v>
      </c>
      <c r="B4632" s="266">
        <f>IFERROR(__xludf.DUMMYFUNCTION("""COMPUTED_VALUE"""),45643.0)</f>
        <v>45643</v>
      </c>
      <c r="C4632" s="266" t="str">
        <f>IFERROR(__xludf.DUMMYFUNCTION("""COMPUTED_VALUE"""),"KYAI KONTONG")</f>
        <v>KYAI KONTONG</v>
      </c>
      <c r="D4632" s="186">
        <f>IFERROR(__xludf.DUMMYFUNCTION("""COMPUTED_VALUE"""),25.0)</f>
        <v>25</v>
      </c>
    </row>
    <row r="4633">
      <c r="A4633" s="178" t="str">
        <f>IFERROR(__xludf.DUMMYFUNCTION("""COMPUTED_VALUE"""),"ITBISA-IC-CD4017BE-DIP16")</f>
        <v>ITBISA-IC-CD4017BE-DIP16</v>
      </c>
      <c r="B4633" s="266">
        <f>IFERROR(__xludf.DUMMYFUNCTION("""COMPUTED_VALUE"""),45650.0)</f>
        <v>45650</v>
      </c>
      <c r="C4633" s="266" t="str">
        <f>IFERROR(__xludf.DUMMYFUNCTION("""COMPUTED_VALUE"""),"KERTASARI CIAMIS")</f>
        <v>KERTASARI CIAMIS</v>
      </c>
      <c r="D4633" s="186">
        <f>IFERROR(__xludf.DUMMYFUNCTION("""COMPUTED_VALUE"""),300.0)</f>
        <v>300</v>
      </c>
    </row>
    <row r="4634">
      <c r="A4634" s="178" t="str">
        <f>IFERROR(__xludf.DUMMYFUNCTION("""COMPUTED_VALUE"""),"ITBISA-IC-CD4017BE-DIP16")</f>
        <v>ITBISA-IC-CD4017BE-DIP16</v>
      </c>
      <c r="B4634" s="266">
        <f>IFERROR(__xludf.DUMMYFUNCTION("""COMPUTED_VALUE"""),45656.0)</f>
        <v>45656</v>
      </c>
      <c r="C4634" s="266" t="str">
        <f>IFERROR(__xludf.DUMMYFUNCTION("""COMPUTED_VALUE"""),"KYAI KONTONG")</f>
        <v>KYAI KONTONG</v>
      </c>
      <c r="D4634" s="186">
        <f>IFERROR(__xludf.DUMMYFUNCTION("""COMPUTED_VALUE"""),25.0)</f>
        <v>25</v>
      </c>
    </row>
    <row r="4635">
      <c r="A4635" s="178" t="str">
        <f>IFERROR(__xludf.DUMMYFUNCTION("""COMPUTED_VALUE"""),"ITBISA-IC-CD4017BE-DIP16")</f>
        <v>ITBISA-IC-CD4017BE-DIP16</v>
      </c>
      <c r="B4635" s="266">
        <f>IFERROR(__xludf.DUMMYFUNCTION("""COMPUTED_VALUE"""),45660.0)</f>
        <v>45660</v>
      </c>
      <c r="C4635" s="266" t="str">
        <f>IFERROR(__xludf.DUMMYFUNCTION("""COMPUTED_VALUE"""),"KYAI KONTONG")</f>
        <v>KYAI KONTONG</v>
      </c>
      <c r="D4635" s="186">
        <f>IFERROR(__xludf.DUMMYFUNCTION("""COMPUTED_VALUE"""),200.0)</f>
        <v>200</v>
      </c>
    </row>
    <row r="4636">
      <c r="A4636" s="178" t="str">
        <f>IFERROR(__xludf.DUMMYFUNCTION("""COMPUTED_VALUE"""),"ITBISA-IC-CD4017BE-DIP16")</f>
        <v>ITBISA-IC-CD4017BE-DIP16</v>
      </c>
      <c r="B4636" s="266">
        <f>IFERROR(__xludf.DUMMYFUNCTION("""COMPUTED_VALUE"""),45664.0)</f>
        <v>45664</v>
      </c>
      <c r="C4636" s="266" t="str">
        <f>IFERROR(__xludf.DUMMYFUNCTION("""COMPUTED_VALUE"""),"KERTASARI CIAMIS")</f>
        <v>KERTASARI CIAMIS</v>
      </c>
      <c r="D4636" s="186">
        <f>IFERROR(__xludf.DUMMYFUNCTION("""COMPUTED_VALUE"""),50.0)</f>
        <v>50</v>
      </c>
    </row>
    <row r="4637">
      <c r="A4637" s="178" t="str">
        <f>IFERROR(__xludf.DUMMYFUNCTION("""COMPUTED_VALUE"""),"ITBISA-IC-CD4017BE-DIP16")</f>
        <v>ITBISA-IC-CD4017BE-DIP16</v>
      </c>
      <c r="B4637" s="266">
        <f>IFERROR(__xludf.DUMMYFUNCTION("""COMPUTED_VALUE"""),45671.0)</f>
        <v>45671</v>
      </c>
      <c r="C4637" s="266" t="str">
        <f>IFERROR(__xludf.DUMMYFUNCTION("""COMPUTED_VALUE"""),"KERTASARI CIAMIS")</f>
        <v>KERTASARI CIAMIS</v>
      </c>
      <c r="D4637" s="186">
        <f>IFERROR(__xludf.DUMMYFUNCTION("""COMPUTED_VALUE"""),275.0)</f>
        <v>275</v>
      </c>
    </row>
    <row r="4638">
      <c r="A4638" s="178" t="str">
        <f>IFERROR(__xludf.DUMMYFUNCTION("""COMPUTED_VALUE"""),"ITBISA-IC-CD4017BE-DIP16")</f>
        <v>ITBISA-IC-CD4017BE-DIP16</v>
      </c>
      <c r="B4638" s="266">
        <f>IFERROR(__xludf.DUMMYFUNCTION("""COMPUTED_VALUE"""),45671.0)</f>
        <v>45671</v>
      </c>
      <c r="C4638" s="266" t="str">
        <f>IFERROR(__xludf.DUMMYFUNCTION("""COMPUTED_VALUE"""),"KYAI KONTONG")</f>
        <v>KYAI KONTONG</v>
      </c>
      <c r="D4638" s="186">
        <f>IFERROR(__xludf.DUMMYFUNCTION("""COMPUTED_VALUE"""),200.0)</f>
        <v>200</v>
      </c>
    </row>
    <row r="4639">
      <c r="A4639" s="178" t="str">
        <f>IFERROR(__xludf.DUMMYFUNCTION("""COMPUTED_VALUE"""),"ITBISA-IC-CD4017BE-DIP16")</f>
        <v>ITBISA-IC-CD4017BE-DIP16</v>
      </c>
      <c r="B4639" s="266">
        <f>IFERROR(__xludf.DUMMYFUNCTION("""COMPUTED_VALUE"""),45681.0)</f>
        <v>45681</v>
      </c>
      <c r="C4639" s="266" t="str">
        <f>IFERROR(__xludf.DUMMYFUNCTION("""COMPUTED_VALUE"""),"KERTASARI CIAMIS")</f>
        <v>KERTASARI CIAMIS</v>
      </c>
      <c r="D4639" s="186">
        <f>IFERROR(__xludf.DUMMYFUNCTION("""COMPUTED_VALUE"""),50.0)</f>
        <v>50</v>
      </c>
    </row>
    <row r="4640">
      <c r="A4640" s="178" t="str">
        <f>IFERROR(__xludf.DUMMYFUNCTION("""COMPUTED_VALUE"""),"ITBISA-IC-CD4017BE-DIP16")</f>
        <v>ITBISA-IC-CD4017BE-DIP16</v>
      </c>
      <c r="B4640" s="266">
        <f>IFERROR(__xludf.DUMMYFUNCTION("""COMPUTED_VALUE"""),45682.0)</f>
        <v>45682</v>
      </c>
      <c r="C4640" s="266" t="str">
        <f>IFERROR(__xludf.DUMMYFUNCTION("""COMPUTED_VALUE"""),"KYAI KONTONG")</f>
        <v>KYAI KONTONG</v>
      </c>
      <c r="D4640" s="186">
        <f>IFERROR(__xludf.DUMMYFUNCTION("""COMPUTED_VALUE"""),30.0)</f>
        <v>30</v>
      </c>
    </row>
    <row r="4641">
      <c r="A4641" s="178" t="str">
        <f>IFERROR(__xludf.DUMMYFUNCTION("""COMPUTED_VALUE"""),"ITBISA-IC-CD4017BE-DIP16")</f>
        <v>ITBISA-IC-CD4017BE-DIP16</v>
      </c>
      <c r="B4641" s="266">
        <f>IFERROR(__xludf.DUMMYFUNCTION("""COMPUTED_VALUE"""),45700.0)</f>
        <v>45700</v>
      </c>
      <c r="C4641" s="266" t="str">
        <f>IFERROR(__xludf.DUMMYFUNCTION("""COMPUTED_VALUE"""),"KERTASARI CIAMIS")</f>
        <v>KERTASARI CIAMIS</v>
      </c>
      <c r="D4641" s="186">
        <f>IFERROR(__xludf.DUMMYFUNCTION("""COMPUTED_VALUE"""),125.0)</f>
        <v>125</v>
      </c>
    </row>
    <row r="4642">
      <c r="A4642" s="178" t="str">
        <f>IFERROR(__xludf.DUMMYFUNCTION("""COMPUTED_VALUE"""),"ITBISA-IC-CD4017BE-DIP16")</f>
        <v>ITBISA-IC-CD4017BE-DIP16</v>
      </c>
      <c r="B4642" s="266">
        <f>IFERROR(__xludf.DUMMYFUNCTION("""COMPUTED_VALUE"""),45704.0)</f>
        <v>45704</v>
      </c>
      <c r="C4642" s="266" t="str">
        <f>IFERROR(__xludf.DUMMYFUNCTION("""COMPUTED_VALUE"""),"KERTASARI CIAMIS")</f>
        <v>KERTASARI CIAMIS</v>
      </c>
      <c r="D4642" s="186">
        <f>IFERROR(__xludf.DUMMYFUNCTION("""COMPUTED_VALUE"""),25.0)</f>
        <v>25</v>
      </c>
    </row>
    <row r="4643">
      <c r="A4643" s="178" t="str">
        <f>IFERROR(__xludf.DUMMYFUNCTION("""COMPUTED_VALUE"""),"ITBISA-IC-CD4017BE-DIP16")</f>
        <v>ITBISA-IC-CD4017BE-DIP16</v>
      </c>
      <c r="B4643" s="266">
        <f>IFERROR(__xludf.DUMMYFUNCTION("""COMPUTED_VALUE"""),45705.0)</f>
        <v>45705</v>
      </c>
      <c r="C4643" s="266" t="str">
        <f>IFERROR(__xludf.DUMMYFUNCTION("""COMPUTED_VALUE"""),"KERTASARI CIAMIS")</f>
        <v>KERTASARI CIAMIS</v>
      </c>
      <c r="D4643" s="186">
        <f>IFERROR(__xludf.DUMMYFUNCTION("""COMPUTED_VALUE"""),40.0)</f>
        <v>40</v>
      </c>
    </row>
    <row r="4644">
      <c r="A4644" s="178" t="str">
        <f>IFERROR(__xludf.DUMMYFUNCTION("""COMPUTED_VALUE"""),"ITBISA-IC-CD4017BE-DIP16")</f>
        <v>ITBISA-IC-CD4017BE-DIP16</v>
      </c>
      <c r="B4644" s="266">
        <f>IFERROR(__xludf.DUMMYFUNCTION("""COMPUTED_VALUE"""),45706.0)</f>
        <v>45706</v>
      </c>
      <c r="C4644" s="266" t="str">
        <f>IFERROR(__xludf.DUMMYFUNCTION("""COMPUTED_VALUE"""),"KERTASARI CIAMIS")</f>
        <v>KERTASARI CIAMIS</v>
      </c>
      <c r="D4644" s="186">
        <f>IFERROR(__xludf.DUMMYFUNCTION("""COMPUTED_VALUE"""),60.0)</f>
        <v>60</v>
      </c>
    </row>
    <row r="4645">
      <c r="A4645" s="178" t="str">
        <f>IFERROR(__xludf.DUMMYFUNCTION("""COMPUTED_VALUE"""),"ITBISA-IC-CD4017BE-DIP16")</f>
        <v>ITBISA-IC-CD4017BE-DIP16</v>
      </c>
      <c r="B4645" s="266">
        <f>IFERROR(__xludf.DUMMYFUNCTION("""COMPUTED_VALUE"""),45711.0)</f>
        <v>45711</v>
      </c>
      <c r="C4645" s="266" t="str">
        <f>IFERROR(__xludf.DUMMYFUNCTION("""COMPUTED_VALUE"""),"KERTASARI CIAMIS")</f>
        <v>KERTASARI CIAMIS</v>
      </c>
      <c r="D4645" s="186">
        <f>IFERROR(__xludf.DUMMYFUNCTION("""COMPUTED_VALUE"""),82.0)</f>
        <v>82</v>
      </c>
    </row>
    <row r="4646">
      <c r="A4646" s="178" t="str">
        <f>IFERROR(__xludf.DUMMYFUNCTION("""COMPUTED_VALUE"""),"ITBISA-IC-CD4017BE-DIP16")</f>
        <v>ITBISA-IC-CD4017BE-DIP16</v>
      </c>
      <c r="B4646" s="266">
        <f>IFERROR(__xludf.DUMMYFUNCTION("""COMPUTED_VALUE"""),45714.0)</f>
        <v>45714</v>
      </c>
      <c r="C4646" s="266" t="str">
        <f>IFERROR(__xludf.DUMMYFUNCTION("""COMPUTED_VALUE"""),"KERTASARI CIAMIS")</f>
        <v>KERTASARI CIAMIS</v>
      </c>
      <c r="D4646" s="186">
        <f>IFERROR(__xludf.DUMMYFUNCTION("""COMPUTED_VALUE"""),24.0)</f>
        <v>24</v>
      </c>
    </row>
    <row r="4647">
      <c r="A4647" s="178" t="str">
        <f>IFERROR(__xludf.DUMMYFUNCTION("""COMPUTED_VALUE"""),"ITBISA-IC-CD4017BE-DIP16")</f>
        <v>ITBISA-IC-CD4017BE-DIP16</v>
      </c>
      <c r="B4647" s="266">
        <f>IFERROR(__xludf.DUMMYFUNCTION("""COMPUTED_VALUE"""),45717.0)</f>
        <v>45717</v>
      </c>
      <c r="C4647" s="266" t="str">
        <f>IFERROR(__xludf.DUMMYFUNCTION("""COMPUTED_VALUE"""),"KERTASARI CIAMIS")</f>
        <v>KERTASARI CIAMIS</v>
      </c>
      <c r="D4647" s="186">
        <f>IFERROR(__xludf.DUMMYFUNCTION("""COMPUTED_VALUE"""),307.0)</f>
        <v>307</v>
      </c>
    </row>
    <row r="4648">
      <c r="A4648" s="178" t="str">
        <f>IFERROR(__xludf.DUMMYFUNCTION("""COMPUTED_VALUE"""),"ITBISA-IC-CD4017BE-DIP16")</f>
        <v>ITBISA-IC-CD4017BE-DIP16</v>
      </c>
      <c r="B4648" s="266">
        <f>IFERROR(__xludf.DUMMYFUNCTION("""COMPUTED_VALUE"""),45731.0)</f>
        <v>45731</v>
      </c>
      <c r="C4648" s="266" t="str">
        <f>IFERROR(__xludf.DUMMYFUNCTION("""COMPUTED_VALUE"""),"KERTASARI CIAMIS")</f>
        <v>KERTASARI CIAMIS</v>
      </c>
      <c r="D4648" s="186">
        <f>IFERROR(__xludf.DUMMYFUNCTION("""COMPUTED_VALUE"""),50.0)</f>
        <v>50</v>
      </c>
    </row>
    <row r="4649">
      <c r="A4649" s="178" t="str">
        <f>IFERROR(__xludf.DUMMYFUNCTION("""COMPUTED_VALUE"""),"ITBISA-IC-CD4017BE-DIP16")</f>
        <v>ITBISA-IC-CD4017BE-DIP16</v>
      </c>
      <c r="B4649" s="266">
        <f>IFERROR(__xludf.DUMMYFUNCTION("""COMPUTED_VALUE"""),45733.0)</f>
        <v>45733</v>
      </c>
      <c r="C4649" s="266" t="str">
        <f>IFERROR(__xludf.DUMMYFUNCTION("""COMPUTED_VALUE"""),"KERTASARI CIAMIS")</f>
        <v>KERTASARI CIAMIS</v>
      </c>
      <c r="D4649" s="186">
        <f>IFERROR(__xludf.DUMMYFUNCTION("""COMPUTED_VALUE"""),40.0)</f>
        <v>40</v>
      </c>
    </row>
    <row r="4650">
      <c r="A4650" s="178" t="str">
        <f>IFERROR(__xludf.DUMMYFUNCTION("""COMPUTED_VALUE"""),"ITBISA-IC-CD4017BE-DIP16")</f>
        <v>ITBISA-IC-CD4017BE-DIP16</v>
      </c>
      <c r="B4650" s="266">
        <f>IFERROR(__xludf.DUMMYFUNCTION("""COMPUTED_VALUE"""),45936.0)</f>
        <v>45936</v>
      </c>
      <c r="C4650" s="266" t="str">
        <f>IFERROR(__xludf.DUMMYFUNCTION("""COMPUTED_VALUE"""),"KERTASARI CIAMIS")</f>
        <v>KERTASARI CIAMIS</v>
      </c>
      <c r="D4650" s="186">
        <f>IFERROR(__xludf.DUMMYFUNCTION("""COMPUTED_VALUE"""),10.0)</f>
        <v>10</v>
      </c>
    </row>
    <row r="4651">
      <c r="A4651" s="178" t="str">
        <f>IFERROR(__xludf.DUMMYFUNCTION("""COMPUTED_VALUE"""),"ITBISA-IC-CD4017BE-DIP16")</f>
        <v>ITBISA-IC-CD4017BE-DIP16</v>
      </c>
      <c r="B4651" s="266">
        <f>IFERROR(__xludf.DUMMYFUNCTION("""COMPUTED_VALUE"""),45936.0)</f>
        <v>45936</v>
      </c>
      <c r="C4651" s="266" t="str">
        <f>IFERROR(__xludf.DUMMYFUNCTION("""COMPUTED_VALUE"""),"KERTASARI CIAMIS")</f>
        <v>KERTASARI CIAMIS</v>
      </c>
      <c r="D4651" s="186">
        <f>IFERROR(__xludf.DUMMYFUNCTION("""COMPUTED_VALUE"""),12.0)</f>
        <v>12</v>
      </c>
    </row>
    <row r="4652">
      <c r="A4652" s="178" t="str">
        <f>IFERROR(__xludf.DUMMYFUNCTION("""COMPUTED_VALUE"""),"ITBISA-IC-CD4017BE-DIP16")</f>
        <v>ITBISA-IC-CD4017BE-DIP16</v>
      </c>
      <c r="B4652" s="266">
        <f>IFERROR(__xludf.DUMMYFUNCTION("""COMPUTED_VALUE"""),45937.0)</f>
        <v>45937</v>
      </c>
      <c r="C4652" s="266" t="str">
        <f>IFERROR(__xludf.DUMMYFUNCTION("""COMPUTED_VALUE"""),"KERTASARI CIAMIS")</f>
        <v>KERTASARI CIAMIS</v>
      </c>
      <c r="D4652" s="186">
        <f>IFERROR(__xludf.DUMMYFUNCTION("""COMPUTED_VALUE"""),25.0)</f>
        <v>25</v>
      </c>
    </row>
    <row r="4653">
      <c r="A4653" s="178" t="str">
        <f>IFERROR(__xludf.DUMMYFUNCTION("""COMPUTED_VALUE"""),"ITBISA-IC-CD4017BE-DIP16")</f>
        <v>ITBISA-IC-CD4017BE-DIP16</v>
      </c>
      <c r="B4653" s="266">
        <f>IFERROR(__xludf.DUMMYFUNCTION("""COMPUTED_VALUE"""),45948.0)</f>
        <v>45948</v>
      </c>
      <c r="C4653" s="266" t="str">
        <f>IFERROR(__xludf.DUMMYFUNCTION("""COMPUTED_VALUE"""),"KYAI KONTONG")</f>
        <v>KYAI KONTONG</v>
      </c>
      <c r="D4653" s="186">
        <f>IFERROR(__xludf.DUMMYFUNCTION("""COMPUTED_VALUE"""),80.0)</f>
        <v>80</v>
      </c>
    </row>
    <row r="4654">
      <c r="A4654" s="178" t="str">
        <f>IFERROR(__xludf.DUMMYFUNCTION("""COMPUTED_VALUE"""),"ITBISA-IC-CD4017BE-DIP16")</f>
        <v>ITBISA-IC-CD4017BE-DIP16</v>
      </c>
      <c r="B4654" s="266">
        <f>IFERROR(__xludf.DUMMYFUNCTION("""COMPUTED_VALUE"""),45952.0)</f>
        <v>45952</v>
      </c>
      <c r="C4654" s="266" t="str">
        <f>IFERROR(__xludf.DUMMYFUNCTION("""COMPUTED_VALUE"""),"KYAI KONTONG")</f>
        <v>KYAI KONTONG</v>
      </c>
      <c r="D4654" s="186">
        <f>IFERROR(__xludf.DUMMYFUNCTION("""COMPUTED_VALUE"""),50.0)</f>
        <v>50</v>
      </c>
    </row>
    <row r="4655">
      <c r="A4655" s="178" t="str">
        <f>IFERROR(__xludf.DUMMYFUNCTION("""COMPUTED_VALUE"""),"ITBISA-IC-CD4017BE-DIP16")</f>
        <v>ITBISA-IC-CD4017BE-DIP16</v>
      </c>
      <c r="B4655" s="266">
        <f>IFERROR(__xludf.DUMMYFUNCTION("""COMPUTED_VALUE"""),45954.0)</f>
        <v>45954</v>
      </c>
      <c r="C4655" s="266" t="str">
        <f>IFERROR(__xludf.DUMMYFUNCTION("""COMPUTED_VALUE"""),"KYAI KONTONG")</f>
        <v>KYAI KONTONG</v>
      </c>
      <c r="D4655" s="186">
        <f>IFERROR(__xludf.DUMMYFUNCTION("""COMPUTED_VALUE"""),10.0)</f>
        <v>10</v>
      </c>
    </row>
    <row r="4656">
      <c r="A4656" s="178" t="str">
        <f>IFERROR(__xludf.DUMMYFUNCTION("""COMPUTED_VALUE"""),"ITBISA-IC-CD4017BE-DIP16")</f>
        <v>ITBISA-IC-CD4017BE-DIP16</v>
      </c>
      <c r="B4656" s="266">
        <f>IFERROR(__xludf.DUMMYFUNCTION("""COMPUTED_VALUE"""),45960.0)</f>
        <v>45960</v>
      </c>
      <c r="C4656" s="266" t="str">
        <f>IFERROR(__xludf.DUMMYFUNCTION("""COMPUTED_VALUE"""),"KYAI KONTONG")</f>
        <v>KYAI KONTONG</v>
      </c>
      <c r="D4656" s="186">
        <f>IFERROR(__xludf.DUMMYFUNCTION("""COMPUTED_VALUE"""),15.0)</f>
        <v>15</v>
      </c>
    </row>
    <row r="4657">
      <c r="A4657" s="178" t="str">
        <f>IFERROR(__xludf.DUMMYFUNCTION("""COMPUTED_VALUE"""),"ITBISA-IC-CD4017BE-DIP16")</f>
        <v>ITBISA-IC-CD4017BE-DIP16</v>
      </c>
      <c r="B4657" s="266">
        <f>IFERROR(__xludf.DUMMYFUNCTION("""COMPUTED_VALUE"""),45960.0)</f>
        <v>45960</v>
      </c>
      <c r="C4657" s="266" t="str">
        <f>IFERROR(__xludf.DUMMYFUNCTION("""COMPUTED_VALUE"""),"KYAI KONTONG")</f>
        <v>KYAI KONTONG</v>
      </c>
      <c r="D4657" s="186">
        <f>IFERROR(__xludf.DUMMYFUNCTION("""COMPUTED_VALUE"""),20.0)</f>
        <v>20</v>
      </c>
    </row>
    <row r="4658">
      <c r="A4658" s="178" t="str">
        <f>IFERROR(__xludf.DUMMYFUNCTION("""COMPUTED_VALUE"""),"ITBISA-IC-CD4017BE-DIP16")</f>
        <v>ITBISA-IC-CD4017BE-DIP16</v>
      </c>
      <c r="B4658" s="266">
        <f>IFERROR(__xludf.DUMMYFUNCTION("""COMPUTED_VALUE"""),45966.0)</f>
        <v>45966</v>
      </c>
      <c r="C4658" s="266" t="str">
        <f>IFERROR(__xludf.DUMMYFUNCTION("""COMPUTED_VALUE"""),"KERTASARI CIAMIS")</f>
        <v>KERTASARI CIAMIS</v>
      </c>
      <c r="D4658" s="186">
        <f>IFERROR(__xludf.DUMMYFUNCTION("""COMPUTED_VALUE"""),25.0)</f>
        <v>25</v>
      </c>
    </row>
    <row r="4659">
      <c r="A4659" s="178" t="str">
        <f>IFERROR(__xludf.DUMMYFUNCTION("""COMPUTED_VALUE"""),"ITBISA-IC-CD4017BE-DIP16")</f>
        <v>ITBISA-IC-CD4017BE-DIP16</v>
      </c>
      <c r="B4659" s="266">
        <f>IFERROR(__xludf.DUMMYFUNCTION("""COMPUTED_VALUE"""),45969.0)</f>
        <v>45969</v>
      </c>
      <c r="C4659" s="266" t="str">
        <f>IFERROR(__xludf.DUMMYFUNCTION("""COMPUTED_VALUE"""),"KYAI KONTONG")</f>
        <v>KYAI KONTONG</v>
      </c>
      <c r="D4659" s="186">
        <f>IFERROR(__xludf.DUMMYFUNCTION("""COMPUTED_VALUE"""),15.0)</f>
        <v>15</v>
      </c>
    </row>
    <row r="4660">
      <c r="A4660" s="178" t="str">
        <f>IFERROR(__xludf.DUMMYFUNCTION("""COMPUTED_VALUE"""),"ITBISA-IC-CD4017BE-DIP16")</f>
        <v>ITBISA-IC-CD4017BE-DIP16</v>
      </c>
      <c r="B4660" s="266">
        <f>IFERROR(__xludf.DUMMYFUNCTION("""COMPUTED_VALUE"""),45973.0)</f>
        <v>45973</v>
      </c>
      <c r="C4660" s="266" t="str">
        <f>IFERROR(__xludf.DUMMYFUNCTION("""COMPUTED_VALUE"""),"KERTASARI CIAMIS")</f>
        <v>KERTASARI CIAMIS</v>
      </c>
      <c r="D4660" s="186">
        <f>IFERROR(__xludf.DUMMYFUNCTION("""COMPUTED_VALUE"""),2.0)</f>
        <v>2</v>
      </c>
    </row>
    <row r="4661">
      <c r="A4661" s="178" t="str">
        <f>IFERROR(__xludf.DUMMYFUNCTION("""COMPUTED_VALUE"""),"ITBISA-IC-CD4017BE-DIP16")</f>
        <v>ITBISA-IC-CD4017BE-DIP16</v>
      </c>
      <c r="B4661" s="266">
        <f>IFERROR(__xludf.DUMMYFUNCTION("""COMPUTED_VALUE"""),45977.0)</f>
        <v>45977</v>
      </c>
      <c r="C4661" s="266" t="str">
        <f>IFERROR(__xludf.DUMMYFUNCTION("""COMPUTED_VALUE"""),"KERTASARI CIAMIS")</f>
        <v>KERTASARI CIAMIS</v>
      </c>
      <c r="D4661" s="186">
        <f>IFERROR(__xludf.DUMMYFUNCTION("""COMPUTED_VALUE"""),8.0)</f>
        <v>8</v>
      </c>
    </row>
    <row r="4662">
      <c r="A4662" s="178" t="str">
        <f>IFERROR(__xludf.DUMMYFUNCTION("""COMPUTED_VALUE"""),"ITBISA-IC-CD4017BE-DIP16")</f>
        <v>ITBISA-IC-CD4017BE-DIP16</v>
      </c>
      <c r="B4662" s="266">
        <f>IFERROR(__xludf.DUMMYFUNCTION("""COMPUTED_VALUE"""),45979.0)</f>
        <v>45979</v>
      </c>
      <c r="C4662" s="266" t="str">
        <f>IFERROR(__xludf.DUMMYFUNCTION("""COMPUTED_VALUE"""),"KERTASARI CIAMIS")</f>
        <v>KERTASARI CIAMIS</v>
      </c>
      <c r="D4662" s="186">
        <f>IFERROR(__xludf.DUMMYFUNCTION("""COMPUTED_VALUE"""),6.0)</f>
        <v>6</v>
      </c>
    </row>
    <row r="4663">
      <c r="A4663" s="178" t="str">
        <f>IFERROR(__xludf.DUMMYFUNCTION("""COMPUTED_VALUE"""),"ITBISA-IC-CD4017BE-DIP16")</f>
        <v>ITBISA-IC-CD4017BE-DIP16</v>
      </c>
      <c r="B4663" s="266">
        <f>IFERROR(__xludf.DUMMYFUNCTION("""COMPUTED_VALUE"""),45980.0)</f>
        <v>45980</v>
      </c>
      <c r="C4663" s="266" t="str">
        <f>IFERROR(__xludf.DUMMYFUNCTION("""COMPUTED_VALUE"""),"KERTASARI CIAMIS")</f>
        <v>KERTASARI CIAMIS</v>
      </c>
      <c r="D4663" s="186">
        <f>IFERROR(__xludf.DUMMYFUNCTION("""COMPUTED_VALUE"""),15.0)</f>
        <v>15</v>
      </c>
    </row>
    <row r="4664">
      <c r="A4664" s="178" t="str">
        <f>IFERROR(__xludf.DUMMYFUNCTION("""COMPUTED_VALUE"""),"ITBISA-IC-CD4017BE-DIP16")</f>
        <v>ITBISA-IC-CD4017BE-DIP16</v>
      </c>
      <c r="B4664" s="266">
        <f>IFERROR(__xludf.DUMMYFUNCTION("""COMPUTED_VALUE"""),45984.0)</f>
        <v>45984</v>
      </c>
      <c r="C4664" s="266" t="str">
        <f>IFERROR(__xludf.DUMMYFUNCTION("""COMPUTED_VALUE"""),"KERTASARI CIAMIS")</f>
        <v>KERTASARI CIAMIS</v>
      </c>
      <c r="D4664" s="186">
        <f>IFERROR(__xludf.DUMMYFUNCTION("""COMPUTED_VALUE"""),5.0)</f>
        <v>5</v>
      </c>
    </row>
    <row r="4665">
      <c r="A4665" s="178" t="str">
        <f>IFERROR(__xludf.DUMMYFUNCTION("""COMPUTED_VALUE"""),"ITBISA-IC-CD4017BE-DIP16")</f>
        <v>ITBISA-IC-CD4017BE-DIP16</v>
      </c>
      <c r="B4665" s="266">
        <f>IFERROR(__xludf.DUMMYFUNCTION("""COMPUTED_VALUE"""),45992.0)</f>
        <v>45992</v>
      </c>
      <c r="C4665" s="266" t="str">
        <f>IFERROR(__xludf.DUMMYFUNCTION("""COMPUTED_VALUE"""),"KYAI KONTONG")</f>
        <v>KYAI KONTONG</v>
      </c>
      <c r="D4665" s="186">
        <f>IFERROR(__xludf.DUMMYFUNCTION("""COMPUTED_VALUE"""),50.0)</f>
        <v>50</v>
      </c>
    </row>
    <row r="4666">
      <c r="A4666" s="178" t="str">
        <f>IFERROR(__xludf.DUMMYFUNCTION("""COMPUTED_VALUE"""),"ITBISA-IC-CD4017BE-DIP16")</f>
        <v>ITBISA-IC-CD4017BE-DIP16</v>
      </c>
      <c r="B4666" s="266">
        <f>IFERROR(__xludf.DUMMYFUNCTION("""COMPUTED_VALUE"""),45999.0)</f>
        <v>45999</v>
      </c>
      <c r="C4666" s="266" t="str">
        <f>IFERROR(__xludf.DUMMYFUNCTION("""COMPUTED_VALUE"""),"KYAI KONTONG")</f>
        <v>KYAI KONTONG</v>
      </c>
      <c r="D4666" s="186">
        <f>IFERROR(__xludf.DUMMYFUNCTION("""COMPUTED_VALUE"""),50.0)</f>
        <v>50</v>
      </c>
    </row>
    <row r="4667">
      <c r="A4667" s="178" t="str">
        <f>IFERROR(__xludf.DUMMYFUNCTION("""COMPUTED_VALUE"""),"ITBISA-IC-CD4017BE-DIP16")</f>
        <v>ITBISA-IC-CD4017BE-DIP16</v>
      </c>
      <c r="B4667" s="266">
        <f>IFERROR(__xludf.DUMMYFUNCTION("""COMPUTED_VALUE"""),45999.0)</f>
        <v>45999</v>
      </c>
      <c r="C4667" s="266" t="str">
        <f>IFERROR(__xludf.DUMMYFUNCTION("""COMPUTED_VALUE"""),"KYAI KONTONG")</f>
        <v>KYAI KONTONG</v>
      </c>
      <c r="D4667" s="186">
        <f>IFERROR(__xludf.DUMMYFUNCTION("""COMPUTED_VALUE"""),50.0)</f>
        <v>50</v>
      </c>
    </row>
    <row r="4668">
      <c r="A4668" s="178" t="str">
        <f>IFERROR(__xludf.DUMMYFUNCTION("""COMPUTED_VALUE"""),"ITBISA-IC-CD4017BE-DIP16")</f>
        <v>ITBISA-IC-CD4017BE-DIP16</v>
      </c>
      <c r="B4668" s="266">
        <f>IFERROR(__xludf.DUMMYFUNCTION("""COMPUTED_VALUE"""),46000.0)</f>
        <v>46000</v>
      </c>
      <c r="C4668" s="266" t="str">
        <f>IFERROR(__xludf.DUMMYFUNCTION("""COMPUTED_VALUE"""),"KYAI KONTONG")</f>
        <v>KYAI KONTONG</v>
      </c>
      <c r="D4668" s="186">
        <f>IFERROR(__xludf.DUMMYFUNCTION("""COMPUTED_VALUE"""),0.0)</f>
        <v>0</v>
      </c>
    </row>
    <row r="4669">
      <c r="A4669" s="178" t="str">
        <f>IFERROR(__xludf.DUMMYFUNCTION("""COMPUTED_VALUE"""),"ITBISA-IC-CD4017BE-DIP16")</f>
        <v>ITBISA-IC-CD4017BE-DIP16</v>
      </c>
      <c r="B4669" s="266">
        <f>IFERROR(__xludf.DUMMYFUNCTION("""COMPUTED_VALUE"""),46002.0)</f>
        <v>46002</v>
      </c>
      <c r="C4669" s="266" t="str">
        <f>IFERROR(__xludf.DUMMYFUNCTION("""COMPUTED_VALUE"""),"KYAI KONTONG")</f>
        <v>KYAI KONTONG</v>
      </c>
      <c r="D4669" s="186">
        <f>IFERROR(__xludf.DUMMYFUNCTION("""COMPUTED_VALUE"""),200.0)</f>
        <v>200</v>
      </c>
    </row>
    <row r="4670">
      <c r="A4670" s="178" t="str">
        <f>IFERROR(__xludf.DUMMYFUNCTION("""COMPUTED_VALUE"""),"ITBISA-IC-CD4017BE-DIP16")</f>
        <v>ITBISA-IC-CD4017BE-DIP16</v>
      </c>
      <c r="B4670" s="266">
        <f>IFERROR(__xludf.DUMMYFUNCTION("""COMPUTED_VALUE"""),46006.0)</f>
        <v>46006</v>
      </c>
      <c r="C4670" s="266" t="str">
        <f>IFERROR(__xludf.DUMMYFUNCTION("""COMPUTED_VALUE"""),"KYAI KONTONG")</f>
        <v>KYAI KONTONG</v>
      </c>
      <c r="D4670" s="186">
        <f>IFERROR(__xludf.DUMMYFUNCTION("""COMPUTED_VALUE"""),2.0)</f>
        <v>2</v>
      </c>
    </row>
    <row r="4671">
      <c r="A4671" s="178" t="str">
        <f>IFERROR(__xludf.DUMMYFUNCTION("""COMPUTED_VALUE"""),"ITBISA-IC-CD4017BE-DIP16")</f>
        <v>ITBISA-IC-CD4017BE-DIP16</v>
      </c>
      <c r="B4671" s="266">
        <f>IFERROR(__xludf.DUMMYFUNCTION("""COMPUTED_VALUE"""),46013.0)</f>
        <v>46013</v>
      </c>
      <c r="C4671" s="266" t="str">
        <f>IFERROR(__xludf.DUMMYFUNCTION("""COMPUTED_VALUE"""),"KYAI KONTONG")</f>
        <v>KYAI KONTONG</v>
      </c>
      <c r="D4671" s="186">
        <f>IFERROR(__xludf.DUMMYFUNCTION("""COMPUTED_VALUE"""),0.0)</f>
        <v>0</v>
      </c>
    </row>
    <row r="4672">
      <c r="A4672" s="178" t="str">
        <f>IFERROR(__xludf.DUMMYFUNCTION("""COMPUTED_VALUE"""),"ITBISA-IC-CD4017BE-DIP16")</f>
        <v>ITBISA-IC-CD4017BE-DIP16</v>
      </c>
      <c r="B4672" s="266">
        <f>IFERROR(__xludf.DUMMYFUNCTION("""COMPUTED_VALUE"""),46014.0)</f>
        <v>46014</v>
      </c>
      <c r="C4672" s="266" t="str">
        <f>IFERROR(__xludf.DUMMYFUNCTION("""COMPUTED_VALUE"""),"KYAI KONTONG")</f>
        <v>KYAI KONTONG</v>
      </c>
      <c r="D4672" s="186">
        <f>IFERROR(__xludf.DUMMYFUNCTION("""COMPUTED_VALUE"""),1000.0)</f>
        <v>1000</v>
      </c>
    </row>
    <row r="4673">
      <c r="A4673" s="178" t="str">
        <f>IFERROR(__xludf.DUMMYFUNCTION("""COMPUTED_VALUE"""),"ITBISA-IC-CD4017BE-DIP16")</f>
        <v>ITBISA-IC-CD4017BE-DIP16</v>
      </c>
      <c r="B4673" s="266">
        <f>IFERROR(__xludf.DUMMYFUNCTION("""COMPUTED_VALUE"""),46016.0)</f>
        <v>46016</v>
      </c>
      <c r="C4673" s="266" t="str">
        <f>IFERROR(__xludf.DUMMYFUNCTION("""COMPUTED_VALUE"""),"KYAI KONTONG")</f>
        <v>KYAI KONTONG</v>
      </c>
      <c r="D4673" s="186">
        <f>IFERROR(__xludf.DUMMYFUNCTION("""COMPUTED_VALUE"""),100.0)</f>
        <v>100</v>
      </c>
    </row>
    <row r="4674">
      <c r="A4674" s="178" t="str">
        <f>IFERROR(__xludf.DUMMYFUNCTION("""COMPUTED_VALUE"""),"ITBISA-IC-CD4094BE-DIP16")</f>
        <v>ITBISA-IC-CD4094BE-DIP16</v>
      </c>
      <c r="B4674" s="266">
        <f>IFERROR(__xludf.DUMMYFUNCTION("""COMPUTED_VALUE"""),44072.0)</f>
        <v>44072</v>
      </c>
      <c r="C4674" s="266" t="str">
        <f>IFERROR(__xludf.DUMMYFUNCTION("""COMPUTED_VALUE"""),"KOST SRITUNGGAL")</f>
        <v>KOST SRITUNGGAL</v>
      </c>
      <c r="D4674" s="186">
        <f>IFERROR(__xludf.DUMMYFUNCTION("""COMPUTED_VALUE"""),40.0)</f>
        <v>40</v>
      </c>
    </row>
    <row r="4675">
      <c r="A4675" s="178" t="str">
        <f>IFERROR(__xludf.DUMMYFUNCTION("""COMPUTED_VALUE"""),"ITBISA-IC-CD4094BE-DIP16")</f>
        <v>ITBISA-IC-CD4094BE-DIP16</v>
      </c>
      <c r="B4675" s="266">
        <f>IFERROR(__xludf.DUMMYFUNCTION("""COMPUTED_VALUE"""),44214.0)</f>
        <v>44214</v>
      </c>
      <c r="C4675" s="266" t="str">
        <f>IFERROR(__xludf.DUMMYFUNCTION("""COMPUTED_VALUE"""),"KOST RUMAHUMI")</f>
        <v>KOST RUMAHUMI</v>
      </c>
      <c r="D4675" s="186">
        <f>IFERROR(__xludf.DUMMYFUNCTION("""COMPUTED_VALUE"""),12.0)</f>
        <v>12</v>
      </c>
    </row>
    <row r="4676">
      <c r="A4676" s="178" t="str">
        <f>IFERROR(__xludf.DUMMYFUNCTION("""COMPUTED_VALUE"""),"ITBISA-IC-CD4094BE-DIP16")</f>
        <v>ITBISA-IC-CD4094BE-DIP16</v>
      </c>
      <c r="B4676" s="266">
        <f>IFERROR(__xludf.DUMMYFUNCTION("""COMPUTED_VALUE"""),44832.0)</f>
        <v>44832</v>
      </c>
      <c r="C4676" s="266" t="str">
        <f>IFERROR(__xludf.DUMMYFUNCTION("""COMPUTED_VALUE"""),"KYAI KONTONG")</f>
        <v>KYAI KONTONG</v>
      </c>
      <c r="D4676" s="186">
        <f>IFERROR(__xludf.DUMMYFUNCTION("""COMPUTED_VALUE"""),5.0)</f>
        <v>5</v>
      </c>
    </row>
    <row r="4677">
      <c r="A4677" s="178" t="str">
        <f>IFERROR(__xludf.DUMMYFUNCTION("""COMPUTED_VALUE"""),"ITBISA-IC-CD4094BE-DIP16")</f>
        <v>ITBISA-IC-CD4094BE-DIP16</v>
      </c>
      <c r="B4677" s="266">
        <f>IFERROR(__xludf.DUMMYFUNCTION("""COMPUTED_VALUE"""),44835.0)</f>
        <v>44835</v>
      </c>
      <c r="C4677" s="266" t="str">
        <f>IFERROR(__xludf.DUMMYFUNCTION("""COMPUTED_VALUE"""),"KYAI KONTONG")</f>
        <v>KYAI KONTONG</v>
      </c>
      <c r="D4677" s="186">
        <f>IFERROR(__xludf.DUMMYFUNCTION("""COMPUTED_VALUE"""),43.0)</f>
        <v>43</v>
      </c>
    </row>
    <row r="4678">
      <c r="A4678" s="178" t="str">
        <f>IFERROR(__xludf.DUMMYFUNCTION("""COMPUTED_VALUE"""),"ITBISA-IC-CD4094BE-DIP16")</f>
        <v>ITBISA-IC-CD4094BE-DIP16</v>
      </c>
      <c r="B4678" s="266">
        <f>IFERROR(__xludf.DUMMYFUNCTION("""COMPUTED_VALUE"""),44935.0)</f>
        <v>44935</v>
      </c>
      <c r="C4678" s="266" t="str">
        <f>IFERROR(__xludf.DUMMYFUNCTION("""COMPUTED_VALUE"""),"KYAI KONTONG")</f>
        <v>KYAI KONTONG</v>
      </c>
      <c r="D4678" s="186">
        <f>IFERROR(__xludf.DUMMYFUNCTION("""COMPUTED_VALUE"""),100.0)</f>
        <v>100</v>
      </c>
    </row>
    <row r="4679">
      <c r="A4679" s="178" t="str">
        <f>IFERROR(__xludf.DUMMYFUNCTION("""COMPUTED_VALUE"""),"ITBISA-IC-CD4094BE-DIP16")</f>
        <v>ITBISA-IC-CD4094BE-DIP16</v>
      </c>
      <c r="B4679" s="266">
        <f>IFERROR(__xludf.DUMMYFUNCTION("""COMPUTED_VALUE"""),44938.0)</f>
        <v>44938</v>
      </c>
      <c r="C4679" s="266" t="str">
        <f>IFERROR(__xludf.DUMMYFUNCTION("""COMPUTED_VALUE"""),"KYAI KONTONG")</f>
        <v>KYAI KONTONG</v>
      </c>
      <c r="D4679" s="186">
        <f>IFERROR(__xludf.DUMMYFUNCTION("""COMPUTED_VALUE"""),100.0)</f>
        <v>100</v>
      </c>
    </row>
    <row r="4680">
      <c r="A4680" s="178" t="str">
        <f>IFERROR(__xludf.DUMMYFUNCTION("""COMPUTED_VALUE"""),"ITBISA-IC-CD4094BE-DIP16")</f>
        <v>ITBISA-IC-CD4094BE-DIP16</v>
      </c>
      <c r="B4680" s="266">
        <f>IFERROR(__xludf.DUMMYFUNCTION("""COMPUTED_VALUE"""),44955.0)</f>
        <v>44955</v>
      </c>
      <c r="C4680" s="266" t="str">
        <f>IFERROR(__xludf.DUMMYFUNCTION("""COMPUTED_VALUE"""),"KYAI KONTONG")</f>
        <v>KYAI KONTONG</v>
      </c>
      <c r="D4680" s="186">
        <f>IFERROR(__xludf.DUMMYFUNCTION("""COMPUTED_VALUE"""),100.0)</f>
        <v>100</v>
      </c>
    </row>
    <row r="4681">
      <c r="A4681" s="178" t="str">
        <f>IFERROR(__xludf.DUMMYFUNCTION("""COMPUTED_VALUE"""),"ITBISA-IC-CD4094BE-DIP16")</f>
        <v>ITBISA-IC-CD4094BE-DIP16</v>
      </c>
      <c r="B4681" s="266">
        <f>IFERROR(__xludf.DUMMYFUNCTION("""COMPUTED_VALUE"""),44956.0)</f>
        <v>44956</v>
      </c>
      <c r="C4681" s="266" t="str">
        <f>IFERROR(__xludf.DUMMYFUNCTION("""COMPUTED_VALUE"""),"KYAI KONTONG")</f>
        <v>KYAI KONTONG</v>
      </c>
      <c r="D4681" s="186">
        <f>IFERROR(__xludf.DUMMYFUNCTION("""COMPUTED_VALUE"""),200.0)</f>
        <v>200</v>
      </c>
    </row>
    <row r="4682">
      <c r="A4682" s="178" t="str">
        <f>IFERROR(__xludf.DUMMYFUNCTION("""COMPUTED_VALUE"""),"ITBISA-IC-CD4094BE-DIP16")</f>
        <v>ITBISA-IC-CD4094BE-DIP16</v>
      </c>
      <c r="B4682" s="266">
        <f>IFERROR(__xludf.DUMMYFUNCTION("""COMPUTED_VALUE"""),44964.0)</f>
        <v>44964</v>
      </c>
      <c r="C4682" s="266" t="str">
        <f>IFERROR(__xludf.DUMMYFUNCTION("""COMPUTED_VALUE"""),"KYAI KONTONG")</f>
        <v>KYAI KONTONG</v>
      </c>
      <c r="D4682" s="186">
        <f>IFERROR(__xludf.DUMMYFUNCTION("""COMPUTED_VALUE"""),2.0)</f>
        <v>2</v>
      </c>
    </row>
    <row r="4683">
      <c r="A4683" s="178" t="str">
        <f>IFERROR(__xludf.DUMMYFUNCTION("""COMPUTED_VALUE"""),"ITBISA-IC-CD4094BE-DIP16")</f>
        <v>ITBISA-IC-CD4094BE-DIP16</v>
      </c>
      <c r="B4683" s="266">
        <f>IFERROR(__xludf.DUMMYFUNCTION("""COMPUTED_VALUE"""),44974.0)</f>
        <v>44974</v>
      </c>
      <c r="C4683" s="266" t="str">
        <f>IFERROR(__xludf.DUMMYFUNCTION("""COMPUTED_VALUE"""),"KYAI KONTONG")</f>
        <v>KYAI KONTONG</v>
      </c>
      <c r="D4683" s="186">
        <f>IFERROR(__xludf.DUMMYFUNCTION("""COMPUTED_VALUE"""),40.0)</f>
        <v>40</v>
      </c>
    </row>
    <row r="4684">
      <c r="A4684" s="178" t="str">
        <f>IFERROR(__xludf.DUMMYFUNCTION("""COMPUTED_VALUE"""),"ITBISA-IC-CD4094BE-DIP16")</f>
        <v>ITBISA-IC-CD4094BE-DIP16</v>
      </c>
      <c r="B4684" s="266">
        <f>IFERROR(__xludf.DUMMYFUNCTION("""COMPUTED_VALUE"""),44977.0)</f>
        <v>44977</v>
      </c>
      <c r="C4684" s="266" t="str">
        <f>IFERROR(__xludf.DUMMYFUNCTION("""COMPUTED_VALUE"""),"KYAI KONTONG")</f>
        <v>KYAI KONTONG</v>
      </c>
      <c r="D4684" s="186">
        <f>IFERROR(__xludf.DUMMYFUNCTION("""COMPUTED_VALUE"""),25.0)</f>
        <v>25</v>
      </c>
    </row>
    <row r="4685">
      <c r="A4685" s="178" t="str">
        <f>IFERROR(__xludf.DUMMYFUNCTION("""COMPUTED_VALUE"""),"ITBISA-IC-CD4094BE-DIP16")</f>
        <v>ITBISA-IC-CD4094BE-DIP16</v>
      </c>
      <c r="B4685" s="266">
        <f>IFERROR(__xludf.DUMMYFUNCTION("""COMPUTED_VALUE"""),44978.0)</f>
        <v>44978</v>
      </c>
      <c r="C4685" s="266" t="str">
        <f>IFERROR(__xludf.DUMMYFUNCTION("""COMPUTED_VALUE"""),"KYAI KONTONG")</f>
        <v>KYAI KONTONG</v>
      </c>
      <c r="D4685" s="186">
        <f>IFERROR(__xludf.DUMMYFUNCTION("""COMPUTED_VALUE"""),4.0)</f>
        <v>4</v>
      </c>
    </row>
    <row r="4686">
      <c r="A4686" s="178" t="str">
        <f>IFERROR(__xludf.DUMMYFUNCTION("""COMPUTED_VALUE"""),"ITBISA-IC-CD4094BE-DIP16")</f>
        <v>ITBISA-IC-CD4094BE-DIP16</v>
      </c>
      <c r="B4686" s="266">
        <f>IFERROR(__xludf.DUMMYFUNCTION("""COMPUTED_VALUE"""),44981.0)</f>
        <v>44981</v>
      </c>
      <c r="C4686" s="266" t="str">
        <f>IFERROR(__xludf.DUMMYFUNCTION("""COMPUTED_VALUE"""),"KYAI KONTONG")</f>
        <v>KYAI KONTONG</v>
      </c>
      <c r="D4686" s="186">
        <f>IFERROR(__xludf.DUMMYFUNCTION("""COMPUTED_VALUE"""),175.0)</f>
        <v>175</v>
      </c>
    </row>
    <row r="4687">
      <c r="A4687" s="178" t="str">
        <f>IFERROR(__xludf.DUMMYFUNCTION("""COMPUTED_VALUE"""),"ITBISA-IC-CD4094BE-DIP16")</f>
        <v>ITBISA-IC-CD4094BE-DIP16</v>
      </c>
      <c r="B4687" s="266">
        <f>IFERROR(__xludf.DUMMYFUNCTION("""COMPUTED_VALUE"""),44985.0)</f>
        <v>44985</v>
      </c>
      <c r="C4687" s="266" t="str">
        <f>IFERROR(__xludf.DUMMYFUNCTION("""COMPUTED_VALUE"""),"KYAI KONTONG")</f>
        <v>KYAI KONTONG</v>
      </c>
      <c r="D4687" s="186">
        <f>IFERROR(__xludf.DUMMYFUNCTION("""COMPUTED_VALUE"""),4.0)</f>
        <v>4</v>
      </c>
    </row>
    <row r="4688">
      <c r="A4688" s="178" t="str">
        <f>IFERROR(__xludf.DUMMYFUNCTION("""COMPUTED_VALUE"""),"ITBISA-IC-CD4094BE-DIP16")</f>
        <v>ITBISA-IC-CD4094BE-DIP16</v>
      </c>
      <c r="B4688" s="266">
        <f>IFERROR(__xludf.DUMMYFUNCTION("""COMPUTED_VALUE"""),44988.0)</f>
        <v>44988</v>
      </c>
      <c r="C4688" s="266" t="str">
        <f>IFERROR(__xludf.DUMMYFUNCTION("""COMPUTED_VALUE"""),"KYAI KONTONG")</f>
        <v>KYAI KONTONG</v>
      </c>
      <c r="D4688" s="186">
        <f>IFERROR(__xludf.DUMMYFUNCTION("""COMPUTED_VALUE"""),1.0)</f>
        <v>1</v>
      </c>
    </row>
    <row r="4689">
      <c r="A4689" s="178" t="str">
        <f>IFERROR(__xludf.DUMMYFUNCTION("""COMPUTED_VALUE"""),"ITBISA-IC-CD4094BE-DIP16")</f>
        <v>ITBISA-IC-CD4094BE-DIP16</v>
      </c>
      <c r="B4689" s="266">
        <f>IFERROR(__xludf.DUMMYFUNCTION("""COMPUTED_VALUE"""),44991.0)</f>
        <v>44991</v>
      </c>
      <c r="C4689" s="266" t="str">
        <f>IFERROR(__xludf.DUMMYFUNCTION("""COMPUTED_VALUE"""),"KYAI KONTONG")</f>
        <v>KYAI KONTONG</v>
      </c>
      <c r="D4689" s="186">
        <f>IFERROR(__xludf.DUMMYFUNCTION("""COMPUTED_VALUE"""),100.0)</f>
        <v>100</v>
      </c>
    </row>
    <row r="4690">
      <c r="A4690" s="178" t="str">
        <f>IFERROR(__xludf.DUMMYFUNCTION("""COMPUTED_VALUE"""),"ITBISA-IC-CD4094BE-DIP16")</f>
        <v>ITBISA-IC-CD4094BE-DIP16</v>
      </c>
      <c r="B4690" s="266">
        <f>IFERROR(__xludf.DUMMYFUNCTION("""COMPUTED_VALUE"""),44992.0)</f>
        <v>44992</v>
      </c>
      <c r="C4690" s="266" t="str">
        <f>IFERROR(__xludf.DUMMYFUNCTION("""COMPUTED_VALUE"""),"KYAI KONTONG")</f>
        <v>KYAI KONTONG</v>
      </c>
      <c r="D4690" s="186">
        <f>IFERROR(__xludf.DUMMYFUNCTION("""COMPUTED_VALUE"""),38.0)</f>
        <v>38</v>
      </c>
    </row>
    <row r="4691">
      <c r="A4691" s="178" t="str">
        <f>IFERROR(__xludf.DUMMYFUNCTION("""COMPUTED_VALUE"""),"ITBISA-IC-CD4094BE-DIP16")</f>
        <v>ITBISA-IC-CD4094BE-DIP16</v>
      </c>
      <c r="B4691" s="266">
        <f>IFERROR(__xludf.DUMMYFUNCTION("""COMPUTED_VALUE"""),44992.0)</f>
        <v>44992</v>
      </c>
      <c r="C4691" s="266" t="str">
        <f>IFERROR(__xludf.DUMMYFUNCTION("""COMPUTED_VALUE"""),"KYAI KONTONG")</f>
        <v>KYAI KONTONG</v>
      </c>
      <c r="D4691" s="186">
        <f>IFERROR(__xludf.DUMMYFUNCTION("""COMPUTED_VALUE"""),150.0)</f>
        <v>150</v>
      </c>
    </row>
    <row r="4692">
      <c r="A4692" s="178" t="str">
        <f>IFERROR(__xludf.DUMMYFUNCTION("""COMPUTED_VALUE"""),"ITBISA-IC-CD4094BE-DIP16")</f>
        <v>ITBISA-IC-CD4094BE-DIP16</v>
      </c>
      <c r="B4692" s="266">
        <f>IFERROR(__xludf.DUMMYFUNCTION("""COMPUTED_VALUE"""),44993.0)</f>
        <v>44993</v>
      </c>
      <c r="C4692" s="266" t="str">
        <f>IFERROR(__xludf.DUMMYFUNCTION("""COMPUTED_VALUE"""),"KYAI KONTONG")</f>
        <v>KYAI KONTONG</v>
      </c>
      <c r="D4692" s="186">
        <f>IFERROR(__xludf.DUMMYFUNCTION("""COMPUTED_VALUE"""),5.0)</f>
        <v>5</v>
      </c>
    </row>
    <row r="4693">
      <c r="A4693" s="178" t="str">
        <f>IFERROR(__xludf.DUMMYFUNCTION("""COMPUTED_VALUE"""),"ITBISA-IC-CD4094BE-DIP16")</f>
        <v>ITBISA-IC-CD4094BE-DIP16</v>
      </c>
      <c r="B4693" s="266">
        <f>IFERROR(__xludf.DUMMYFUNCTION("""COMPUTED_VALUE"""),44993.0)</f>
        <v>44993</v>
      </c>
      <c r="C4693" s="266" t="str">
        <f>IFERROR(__xludf.DUMMYFUNCTION("""COMPUTED_VALUE"""),"KYAI KONTONG")</f>
        <v>KYAI KONTONG</v>
      </c>
      <c r="D4693" s="186">
        <f>IFERROR(__xludf.DUMMYFUNCTION("""COMPUTED_VALUE"""),100.0)</f>
        <v>100</v>
      </c>
    </row>
    <row r="4694">
      <c r="A4694" s="178" t="str">
        <f>IFERROR(__xludf.DUMMYFUNCTION("""COMPUTED_VALUE"""),"ITBISA-IC-CD4094BE-DIP16")</f>
        <v>ITBISA-IC-CD4094BE-DIP16</v>
      </c>
      <c r="B4694" s="266">
        <f>IFERROR(__xludf.DUMMYFUNCTION("""COMPUTED_VALUE"""),44996.0)</f>
        <v>44996</v>
      </c>
      <c r="C4694" s="266" t="str">
        <f>IFERROR(__xludf.DUMMYFUNCTION("""COMPUTED_VALUE"""),"KYAI KONTONG")</f>
        <v>KYAI KONTONG</v>
      </c>
      <c r="D4694" s="186">
        <f>IFERROR(__xludf.DUMMYFUNCTION("""COMPUTED_VALUE"""),425.0)</f>
        <v>425</v>
      </c>
    </row>
    <row r="4695">
      <c r="A4695" s="178" t="str">
        <f>IFERROR(__xludf.DUMMYFUNCTION("""COMPUTED_VALUE"""),"ITBISA-IC-CD4094BE-DIP16")</f>
        <v>ITBISA-IC-CD4094BE-DIP16</v>
      </c>
      <c r="B4695" s="266">
        <f>IFERROR(__xludf.DUMMYFUNCTION("""COMPUTED_VALUE"""),44998.0)</f>
        <v>44998</v>
      </c>
      <c r="C4695" s="266" t="str">
        <f>IFERROR(__xludf.DUMMYFUNCTION("""COMPUTED_VALUE"""),"KYAI KONTONG")</f>
        <v>KYAI KONTONG</v>
      </c>
      <c r="D4695" s="186">
        <f>IFERROR(__xludf.DUMMYFUNCTION("""COMPUTED_VALUE"""),5.0)</f>
        <v>5</v>
      </c>
    </row>
    <row r="4696">
      <c r="A4696" s="178" t="str">
        <f>IFERROR(__xludf.DUMMYFUNCTION("""COMPUTED_VALUE"""),"ITBISA-IC-CD4094BE-DIP16")</f>
        <v>ITBISA-IC-CD4094BE-DIP16</v>
      </c>
      <c r="B4696" s="266">
        <f>IFERROR(__xludf.DUMMYFUNCTION("""COMPUTED_VALUE"""),44998.0)</f>
        <v>44998</v>
      </c>
      <c r="C4696" s="266" t="str">
        <f>IFERROR(__xludf.DUMMYFUNCTION("""COMPUTED_VALUE"""),"KYAI KONTONG")</f>
        <v>KYAI KONTONG</v>
      </c>
      <c r="D4696" s="186">
        <f>IFERROR(__xludf.DUMMYFUNCTION("""COMPUTED_VALUE"""),175.0)</f>
        <v>175</v>
      </c>
    </row>
    <row r="4697">
      <c r="A4697" s="178" t="str">
        <f>IFERROR(__xludf.DUMMYFUNCTION("""COMPUTED_VALUE"""),"ITBISA-IC-CD4094BE-DIP16")</f>
        <v>ITBISA-IC-CD4094BE-DIP16</v>
      </c>
      <c r="B4697" s="266">
        <f>IFERROR(__xludf.DUMMYFUNCTION("""COMPUTED_VALUE"""),44999.0)</f>
        <v>44999</v>
      </c>
      <c r="C4697" s="266" t="str">
        <f>IFERROR(__xludf.DUMMYFUNCTION("""COMPUTED_VALUE"""),"KYAI KONTONG")</f>
        <v>KYAI KONTONG</v>
      </c>
      <c r="D4697" s="186">
        <f>IFERROR(__xludf.DUMMYFUNCTION("""COMPUTED_VALUE"""),350.0)</f>
        <v>350</v>
      </c>
    </row>
    <row r="4698">
      <c r="A4698" s="178" t="str">
        <f>IFERROR(__xludf.DUMMYFUNCTION("""COMPUTED_VALUE"""),"ITBISA-IC-CD4094BE-DIP16")</f>
        <v>ITBISA-IC-CD4094BE-DIP16</v>
      </c>
      <c r="B4698" s="266">
        <f>IFERROR(__xludf.DUMMYFUNCTION("""COMPUTED_VALUE"""),45001.0)</f>
        <v>45001</v>
      </c>
      <c r="C4698" s="266" t="str">
        <f>IFERROR(__xludf.DUMMYFUNCTION("""COMPUTED_VALUE"""),"KYAI KONTONG")</f>
        <v>KYAI KONTONG</v>
      </c>
      <c r="D4698" s="186">
        <f>IFERROR(__xludf.DUMMYFUNCTION("""COMPUTED_VALUE"""),6.0)</f>
        <v>6</v>
      </c>
    </row>
    <row r="4699">
      <c r="A4699" s="178" t="str">
        <f>IFERROR(__xludf.DUMMYFUNCTION("""COMPUTED_VALUE"""),"ITBISA-IC-CD4094BE-DIP16")</f>
        <v>ITBISA-IC-CD4094BE-DIP16</v>
      </c>
      <c r="B4699" s="266">
        <f>IFERROR(__xludf.DUMMYFUNCTION("""COMPUTED_VALUE"""),45001.0)</f>
        <v>45001</v>
      </c>
      <c r="C4699" s="266" t="str">
        <f>IFERROR(__xludf.DUMMYFUNCTION("""COMPUTED_VALUE"""),"KYAI KONTONG")</f>
        <v>KYAI KONTONG</v>
      </c>
      <c r="D4699" s="186">
        <f>IFERROR(__xludf.DUMMYFUNCTION("""COMPUTED_VALUE"""),34.0)</f>
        <v>34</v>
      </c>
    </row>
    <row r="4700">
      <c r="A4700" s="178" t="str">
        <f>IFERROR(__xludf.DUMMYFUNCTION("""COMPUTED_VALUE"""),"ITBISA-IC-CD4094BE-DIP16")</f>
        <v>ITBISA-IC-CD4094BE-DIP16</v>
      </c>
      <c r="B4700" s="266">
        <f>IFERROR(__xludf.DUMMYFUNCTION("""COMPUTED_VALUE"""),45010.0)</f>
        <v>45010</v>
      </c>
      <c r="C4700" s="266" t="str">
        <f>IFERROR(__xludf.DUMMYFUNCTION("""COMPUTED_VALUE"""),"KYAI KONTONG")</f>
        <v>KYAI KONTONG</v>
      </c>
      <c r="D4700" s="186">
        <f>IFERROR(__xludf.DUMMYFUNCTION("""COMPUTED_VALUE"""),5.0)</f>
        <v>5</v>
      </c>
    </row>
    <row r="4701">
      <c r="A4701" s="178" t="str">
        <f>IFERROR(__xludf.DUMMYFUNCTION("""COMPUTED_VALUE"""),"ITBISA-IC-CD4094BE-DIP16")</f>
        <v>ITBISA-IC-CD4094BE-DIP16</v>
      </c>
      <c r="B4701" s="266">
        <f>IFERROR(__xludf.DUMMYFUNCTION("""COMPUTED_VALUE"""),45010.0)</f>
        <v>45010</v>
      </c>
      <c r="C4701" s="266" t="str">
        <f>IFERROR(__xludf.DUMMYFUNCTION("""COMPUTED_VALUE"""),"KYAI KONTONG")</f>
        <v>KYAI KONTONG</v>
      </c>
      <c r="D4701" s="186">
        <f>IFERROR(__xludf.DUMMYFUNCTION("""COMPUTED_VALUE"""),175.0)</f>
        <v>175</v>
      </c>
    </row>
    <row r="4702">
      <c r="A4702" s="178" t="str">
        <f>IFERROR(__xludf.DUMMYFUNCTION("""COMPUTED_VALUE"""),"ITBISA-IC-CD4094BE-DIP16")</f>
        <v>ITBISA-IC-CD4094BE-DIP16</v>
      </c>
      <c r="B4702" s="266">
        <f>IFERROR(__xludf.DUMMYFUNCTION("""COMPUTED_VALUE"""),45019.0)</f>
        <v>45019</v>
      </c>
      <c r="C4702" s="266" t="str">
        <f>IFERROR(__xludf.DUMMYFUNCTION("""COMPUTED_VALUE"""),"KYAI KONTONG")</f>
        <v>KYAI KONTONG</v>
      </c>
      <c r="D4702" s="186">
        <f>IFERROR(__xludf.DUMMYFUNCTION("""COMPUTED_VALUE"""),30.0)</f>
        <v>30</v>
      </c>
    </row>
    <row r="4703">
      <c r="A4703" s="178" t="str">
        <f>IFERROR(__xludf.DUMMYFUNCTION("""COMPUTED_VALUE"""),"ITBISA-IC-CD4094BE-DIP16")</f>
        <v>ITBISA-IC-CD4094BE-DIP16</v>
      </c>
      <c r="B4703" s="266">
        <f>IFERROR(__xludf.DUMMYFUNCTION("""COMPUTED_VALUE"""),45020.0)</f>
        <v>45020</v>
      </c>
      <c r="C4703" s="266" t="str">
        <f>IFERROR(__xludf.DUMMYFUNCTION("""COMPUTED_VALUE"""),"KYAI KONTONG")</f>
        <v>KYAI KONTONG</v>
      </c>
      <c r="D4703" s="186">
        <f>IFERROR(__xludf.DUMMYFUNCTION("""COMPUTED_VALUE"""),50.0)</f>
        <v>50</v>
      </c>
    </row>
    <row r="4704">
      <c r="A4704" s="178" t="str">
        <f>IFERROR(__xludf.DUMMYFUNCTION("""COMPUTED_VALUE"""),"ITBISA-IC-CD4094BE-DIP16")</f>
        <v>ITBISA-IC-CD4094BE-DIP16</v>
      </c>
      <c r="B4704" s="266">
        <f>IFERROR(__xludf.DUMMYFUNCTION("""COMPUTED_VALUE"""),45021.0)</f>
        <v>45021</v>
      </c>
      <c r="C4704" s="266" t="str">
        <f>IFERROR(__xludf.DUMMYFUNCTION("""COMPUTED_VALUE"""),"KYAI KONTONG")</f>
        <v>KYAI KONTONG</v>
      </c>
      <c r="D4704" s="186">
        <f>IFERROR(__xludf.DUMMYFUNCTION("""COMPUTED_VALUE"""),4.0)</f>
        <v>4</v>
      </c>
    </row>
    <row r="4705">
      <c r="A4705" s="178" t="str">
        <f>IFERROR(__xludf.DUMMYFUNCTION("""COMPUTED_VALUE"""),"ITBISA-IC-CD4094BE-DIP16")</f>
        <v>ITBISA-IC-CD4094BE-DIP16</v>
      </c>
      <c r="B4705" s="266">
        <f>IFERROR(__xludf.DUMMYFUNCTION("""COMPUTED_VALUE"""),45022.0)</f>
        <v>45022</v>
      </c>
      <c r="C4705" s="266" t="str">
        <f>IFERROR(__xludf.DUMMYFUNCTION("""COMPUTED_VALUE"""),"KYAI KONTONG")</f>
        <v>KYAI KONTONG</v>
      </c>
      <c r="D4705" s="186">
        <f>IFERROR(__xludf.DUMMYFUNCTION("""COMPUTED_VALUE"""),4.0)</f>
        <v>4</v>
      </c>
    </row>
    <row r="4706">
      <c r="A4706" s="178" t="str">
        <f>IFERROR(__xludf.DUMMYFUNCTION("""COMPUTED_VALUE"""),"ITBISA-IC-CD4094BE-DIP16")</f>
        <v>ITBISA-IC-CD4094BE-DIP16</v>
      </c>
      <c r="B4706" s="266">
        <f>IFERROR(__xludf.DUMMYFUNCTION("""COMPUTED_VALUE"""),45022.0)</f>
        <v>45022</v>
      </c>
      <c r="C4706" s="266" t="str">
        <f>IFERROR(__xludf.DUMMYFUNCTION("""COMPUTED_VALUE"""),"KYAI KONTONG")</f>
        <v>KYAI KONTONG</v>
      </c>
      <c r="D4706" s="186">
        <f>IFERROR(__xludf.DUMMYFUNCTION("""COMPUTED_VALUE"""),8.0)</f>
        <v>8</v>
      </c>
    </row>
    <row r="4707">
      <c r="A4707" s="178" t="str">
        <f>IFERROR(__xludf.DUMMYFUNCTION("""COMPUTED_VALUE"""),"ITBISA-IC-CD4094BE-DIP16")</f>
        <v>ITBISA-IC-CD4094BE-DIP16</v>
      </c>
      <c r="B4707" s="266">
        <f>IFERROR(__xludf.DUMMYFUNCTION("""COMPUTED_VALUE"""),45029.0)</f>
        <v>45029</v>
      </c>
      <c r="C4707" s="266" t="str">
        <f>IFERROR(__xludf.DUMMYFUNCTION("""COMPUTED_VALUE"""),"KYAI KONTONG")</f>
        <v>KYAI KONTONG</v>
      </c>
      <c r="D4707" s="186">
        <f>IFERROR(__xludf.DUMMYFUNCTION("""COMPUTED_VALUE"""),10.0)</f>
        <v>10</v>
      </c>
    </row>
    <row r="4708">
      <c r="A4708" s="178" t="str">
        <f>IFERROR(__xludf.DUMMYFUNCTION("""COMPUTED_VALUE"""),"ITBISA-IC-CD4094BE-DIP16")</f>
        <v>ITBISA-IC-CD4094BE-DIP16</v>
      </c>
      <c r="B4708" s="266">
        <f>IFERROR(__xludf.DUMMYFUNCTION("""COMPUTED_VALUE"""),45055.0)</f>
        <v>45055</v>
      </c>
      <c r="C4708" s="266" t="str">
        <f>IFERROR(__xludf.DUMMYFUNCTION("""COMPUTED_VALUE"""),"KYAI KONTONG")</f>
        <v>KYAI KONTONG</v>
      </c>
      <c r="D4708" s="186">
        <f>IFERROR(__xludf.DUMMYFUNCTION("""COMPUTED_VALUE"""),5.0)</f>
        <v>5</v>
      </c>
    </row>
    <row r="4709">
      <c r="A4709" s="178" t="str">
        <f>IFERROR(__xludf.DUMMYFUNCTION("""COMPUTED_VALUE"""),"ITBISA-IC-CD4094BE-DIP16")</f>
        <v>ITBISA-IC-CD4094BE-DIP16</v>
      </c>
      <c r="B4709" s="266">
        <f>IFERROR(__xludf.DUMMYFUNCTION("""COMPUTED_VALUE"""),45055.0)</f>
        <v>45055</v>
      </c>
      <c r="C4709" s="266" t="str">
        <f>IFERROR(__xludf.DUMMYFUNCTION("""COMPUTED_VALUE"""),"KYAI KONTONG")</f>
        <v>KYAI KONTONG</v>
      </c>
      <c r="D4709" s="186">
        <f>IFERROR(__xludf.DUMMYFUNCTION("""COMPUTED_VALUE"""),175.0)</f>
        <v>175</v>
      </c>
    </row>
    <row r="4710">
      <c r="A4710" s="178" t="str">
        <f>IFERROR(__xludf.DUMMYFUNCTION("""COMPUTED_VALUE"""),"ITBISA-IC-CD4094BE-DIP16")</f>
        <v>ITBISA-IC-CD4094BE-DIP16</v>
      </c>
      <c r="B4710" s="266">
        <f>IFERROR(__xludf.DUMMYFUNCTION("""COMPUTED_VALUE"""),45058.0)</f>
        <v>45058</v>
      </c>
      <c r="C4710" s="266" t="str">
        <f>IFERROR(__xludf.DUMMYFUNCTION("""COMPUTED_VALUE"""),"KYAI KONTONG")</f>
        <v>KYAI KONTONG</v>
      </c>
      <c r="D4710" s="186">
        <f>IFERROR(__xludf.DUMMYFUNCTION("""COMPUTED_VALUE"""),6.0)</f>
        <v>6</v>
      </c>
    </row>
    <row r="4711">
      <c r="A4711" s="178" t="str">
        <f>IFERROR(__xludf.DUMMYFUNCTION("""COMPUTED_VALUE"""),"ITBISA-IC-CD4094BE-DIP16")</f>
        <v>ITBISA-IC-CD4094BE-DIP16</v>
      </c>
      <c r="B4711" s="266">
        <f>IFERROR(__xludf.DUMMYFUNCTION("""COMPUTED_VALUE"""),45060.0)</f>
        <v>45060</v>
      </c>
      <c r="C4711" s="266" t="str">
        <f>IFERROR(__xludf.DUMMYFUNCTION("""COMPUTED_VALUE"""),"KYAI KONTONG")</f>
        <v>KYAI KONTONG</v>
      </c>
      <c r="D4711" s="186">
        <f>IFERROR(__xludf.DUMMYFUNCTION("""COMPUTED_VALUE"""),25.0)</f>
        <v>25</v>
      </c>
    </row>
    <row r="4712">
      <c r="A4712" s="178" t="str">
        <f>IFERROR(__xludf.DUMMYFUNCTION("""COMPUTED_VALUE"""),"ITBISA-IC-CD4094BE-DIP16")</f>
        <v>ITBISA-IC-CD4094BE-DIP16</v>
      </c>
      <c r="B4712" s="266">
        <f>IFERROR(__xludf.DUMMYFUNCTION("""COMPUTED_VALUE"""),45061.0)</f>
        <v>45061</v>
      </c>
      <c r="C4712" s="266" t="str">
        <f>IFERROR(__xludf.DUMMYFUNCTION("""COMPUTED_VALUE"""),"KYAI KONTONG")</f>
        <v>KYAI KONTONG</v>
      </c>
      <c r="D4712" s="186">
        <f>IFERROR(__xludf.DUMMYFUNCTION("""COMPUTED_VALUE"""),10.0)</f>
        <v>10</v>
      </c>
    </row>
    <row r="4713">
      <c r="A4713" s="178" t="str">
        <f>IFERROR(__xludf.DUMMYFUNCTION("""COMPUTED_VALUE"""),"ITBISA-IC-CD4094BE-DIP16")</f>
        <v>ITBISA-IC-CD4094BE-DIP16</v>
      </c>
      <c r="B4713" s="266">
        <f>IFERROR(__xludf.DUMMYFUNCTION("""COMPUTED_VALUE"""),45061.0)</f>
        <v>45061</v>
      </c>
      <c r="C4713" s="266" t="str">
        <f>IFERROR(__xludf.DUMMYFUNCTION("""COMPUTED_VALUE"""),"KYAI KONTONG")</f>
        <v>KYAI KONTONG</v>
      </c>
      <c r="D4713" s="186">
        <f>IFERROR(__xludf.DUMMYFUNCTION("""COMPUTED_VALUE"""),70.0)</f>
        <v>70</v>
      </c>
    </row>
    <row r="4714">
      <c r="A4714" s="178" t="str">
        <f>IFERROR(__xludf.DUMMYFUNCTION("""COMPUTED_VALUE"""),"ITBISA-IC-CD4094BE-DIP16")</f>
        <v>ITBISA-IC-CD4094BE-DIP16</v>
      </c>
      <c r="B4714" s="266">
        <f>IFERROR(__xludf.DUMMYFUNCTION("""COMPUTED_VALUE"""),45068.0)</f>
        <v>45068</v>
      </c>
      <c r="C4714" s="266" t="str">
        <f>IFERROR(__xludf.DUMMYFUNCTION("""COMPUTED_VALUE"""),"KYAI KONTONG")</f>
        <v>KYAI KONTONG</v>
      </c>
      <c r="D4714" s="186">
        <f>IFERROR(__xludf.DUMMYFUNCTION("""COMPUTED_VALUE"""),5.0)</f>
        <v>5</v>
      </c>
    </row>
    <row r="4715">
      <c r="A4715" s="178" t="str">
        <f>IFERROR(__xludf.DUMMYFUNCTION("""COMPUTED_VALUE"""),"ITBISA-IC-CD4094BE-DIP16")</f>
        <v>ITBISA-IC-CD4094BE-DIP16</v>
      </c>
      <c r="B4715" s="266">
        <f>IFERROR(__xludf.DUMMYFUNCTION("""COMPUTED_VALUE"""),45068.0)</f>
        <v>45068</v>
      </c>
      <c r="C4715" s="266" t="str">
        <f>IFERROR(__xludf.DUMMYFUNCTION("""COMPUTED_VALUE"""),"KYAI KONTONG")</f>
        <v>KYAI KONTONG</v>
      </c>
      <c r="D4715" s="186">
        <f>IFERROR(__xludf.DUMMYFUNCTION("""COMPUTED_VALUE"""),175.0)</f>
        <v>175</v>
      </c>
    </row>
    <row r="4716">
      <c r="A4716" s="178" t="str">
        <f>IFERROR(__xludf.DUMMYFUNCTION("""COMPUTED_VALUE"""),"ITBISA-IC-CD4094BE-DIP16")</f>
        <v>ITBISA-IC-CD4094BE-DIP16</v>
      </c>
      <c r="B4716" s="266">
        <f>IFERROR(__xludf.DUMMYFUNCTION("""COMPUTED_VALUE"""),45077.0)</f>
        <v>45077</v>
      </c>
      <c r="C4716" s="266" t="str">
        <f>IFERROR(__xludf.DUMMYFUNCTION("""COMPUTED_VALUE"""),"KYAI KONTONG")</f>
        <v>KYAI KONTONG</v>
      </c>
      <c r="D4716" s="186">
        <f>IFERROR(__xludf.DUMMYFUNCTION("""COMPUTED_VALUE"""),5.0)</f>
        <v>5</v>
      </c>
    </row>
    <row r="4717">
      <c r="A4717" s="178" t="str">
        <f>IFERROR(__xludf.DUMMYFUNCTION("""COMPUTED_VALUE"""),"ITBISA-IC-CD4094BE-DIP16")</f>
        <v>ITBISA-IC-CD4094BE-DIP16</v>
      </c>
      <c r="B4717" s="266">
        <f>IFERROR(__xludf.DUMMYFUNCTION("""COMPUTED_VALUE"""),45091.0)</f>
        <v>45091</v>
      </c>
      <c r="C4717" s="266" t="str">
        <f>IFERROR(__xludf.DUMMYFUNCTION("""COMPUTED_VALUE"""),"KYAI KONTONG")</f>
        <v>KYAI KONTONG</v>
      </c>
      <c r="D4717" s="186">
        <f>IFERROR(__xludf.DUMMYFUNCTION("""COMPUTED_VALUE"""),5.0)</f>
        <v>5</v>
      </c>
    </row>
    <row r="4718">
      <c r="A4718" s="178" t="str">
        <f>IFERROR(__xludf.DUMMYFUNCTION("""COMPUTED_VALUE"""),"ITBISA-IC-CD4094BE-DIP16")</f>
        <v>ITBISA-IC-CD4094BE-DIP16</v>
      </c>
      <c r="B4718" s="266">
        <f>IFERROR(__xludf.DUMMYFUNCTION("""COMPUTED_VALUE"""),45095.0)</f>
        <v>45095</v>
      </c>
      <c r="C4718" s="266" t="str">
        <f>IFERROR(__xludf.DUMMYFUNCTION("""COMPUTED_VALUE"""),"KYAI KONTONG")</f>
        <v>KYAI KONTONG</v>
      </c>
      <c r="D4718" s="186">
        <f>IFERROR(__xludf.DUMMYFUNCTION("""COMPUTED_VALUE"""),4.0)</f>
        <v>4</v>
      </c>
    </row>
    <row r="4719">
      <c r="A4719" s="178" t="str">
        <f>IFERROR(__xludf.DUMMYFUNCTION("""COMPUTED_VALUE"""),"ITBISA-IC-CD4094BE-DIP16")</f>
        <v>ITBISA-IC-CD4094BE-DIP16</v>
      </c>
      <c r="B4719" s="266">
        <f>IFERROR(__xludf.DUMMYFUNCTION("""COMPUTED_VALUE"""),45104.0)</f>
        <v>45104</v>
      </c>
      <c r="C4719" s="266" t="str">
        <f>IFERROR(__xludf.DUMMYFUNCTION("""COMPUTED_VALUE"""),"KYAI KONTONG")</f>
        <v>KYAI KONTONG</v>
      </c>
      <c r="D4719" s="186">
        <f>IFERROR(__xludf.DUMMYFUNCTION("""COMPUTED_VALUE"""),13.0)</f>
        <v>13</v>
      </c>
    </row>
    <row r="4720">
      <c r="A4720" s="178" t="str">
        <f>IFERROR(__xludf.DUMMYFUNCTION("""COMPUTED_VALUE"""),"ITBISA-IC-CD4094BE-DIP16")</f>
        <v>ITBISA-IC-CD4094BE-DIP16</v>
      </c>
      <c r="B4720" s="266">
        <f>IFERROR(__xludf.DUMMYFUNCTION("""COMPUTED_VALUE"""),45118.0)</f>
        <v>45118</v>
      </c>
      <c r="C4720" s="266" t="str">
        <f>IFERROR(__xludf.DUMMYFUNCTION("""COMPUTED_VALUE"""),"KYAI KONTONG")</f>
        <v>KYAI KONTONG</v>
      </c>
      <c r="D4720" s="186">
        <f>IFERROR(__xludf.DUMMYFUNCTION("""COMPUTED_VALUE"""),75.0)</f>
        <v>75</v>
      </c>
    </row>
    <row r="4721">
      <c r="A4721" s="178" t="str">
        <f>IFERROR(__xludf.DUMMYFUNCTION("""COMPUTED_VALUE"""),"ITBISA-IC-CD4094BE-DIP16")</f>
        <v>ITBISA-IC-CD4094BE-DIP16</v>
      </c>
      <c r="B4721" s="266">
        <f>IFERROR(__xludf.DUMMYFUNCTION("""COMPUTED_VALUE"""),45121.0)</f>
        <v>45121</v>
      </c>
      <c r="C4721" s="266" t="str">
        <f>IFERROR(__xludf.DUMMYFUNCTION("""COMPUTED_VALUE"""),"KYAI KONTONG")</f>
        <v>KYAI KONTONG</v>
      </c>
      <c r="D4721" s="186">
        <f>IFERROR(__xludf.DUMMYFUNCTION("""COMPUTED_VALUE"""),25.0)</f>
        <v>25</v>
      </c>
    </row>
    <row r="4722">
      <c r="A4722" s="178" t="str">
        <f>IFERROR(__xludf.DUMMYFUNCTION("""COMPUTED_VALUE"""),"ITBISA-IC-CD4094BE-DIP16")</f>
        <v>ITBISA-IC-CD4094BE-DIP16</v>
      </c>
      <c r="B4722" s="266">
        <f>IFERROR(__xludf.DUMMYFUNCTION("""COMPUTED_VALUE"""),45132.0)</f>
        <v>45132</v>
      </c>
      <c r="C4722" s="266" t="str">
        <f>IFERROR(__xludf.DUMMYFUNCTION("""COMPUTED_VALUE"""),"KYAI KONTONG")</f>
        <v>KYAI KONTONG</v>
      </c>
      <c r="D4722" s="186">
        <f>IFERROR(__xludf.DUMMYFUNCTION("""COMPUTED_VALUE"""),50.0)</f>
        <v>50</v>
      </c>
    </row>
    <row r="4723">
      <c r="A4723" s="178" t="str">
        <f>IFERROR(__xludf.DUMMYFUNCTION("""COMPUTED_VALUE"""),"ITBISA-IC-CD4094BE-DIP16")</f>
        <v>ITBISA-IC-CD4094BE-DIP16</v>
      </c>
      <c r="B4723" s="266">
        <f>IFERROR(__xludf.DUMMYFUNCTION("""COMPUTED_VALUE"""),45155.0)</f>
        <v>45155</v>
      </c>
      <c r="C4723" s="266" t="str">
        <f>IFERROR(__xludf.DUMMYFUNCTION("""COMPUTED_VALUE"""),"KYAI KONTONG")</f>
        <v>KYAI KONTONG</v>
      </c>
      <c r="D4723" s="186">
        <f>IFERROR(__xludf.DUMMYFUNCTION("""COMPUTED_VALUE"""),450.0)</f>
        <v>450</v>
      </c>
    </row>
    <row r="4724">
      <c r="A4724" s="178" t="str">
        <f>IFERROR(__xludf.DUMMYFUNCTION("""COMPUTED_VALUE"""),"ITBISA-IC-CD4094BE-DIP16")</f>
        <v>ITBISA-IC-CD4094BE-DIP16</v>
      </c>
      <c r="B4724" s="266">
        <f>IFERROR(__xludf.DUMMYFUNCTION("""COMPUTED_VALUE"""),45166.0)</f>
        <v>45166</v>
      </c>
      <c r="C4724" s="266" t="str">
        <f>IFERROR(__xludf.DUMMYFUNCTION("""COMPUTED_VALUE"""),"KYAI KONTONG")</f>
        <v>KYAI KONTONG</v>
      </c>
      <c r="D4724" s="186">
        <f>IFERROR(__xludf.DUMMYFUNCTION("""COMPUTED_VALUE"""),10.0)</f>
        <v>10</v>
      </c>
    </row>
    <row r="4725">
      <c r="A4725" s="178" t="str">
        <f>IFERROR(__xludf.DUMMYFUNCTION("""COMPUTED_VALUE"""),"ITBISA-IC-CD4094BE-DIP16")</f>
        <v>ITBISA-IC-CD4094BE-DIP16</v>
      </c>
      <c r="B4725" s="266">
        <f>IFERROR(__xludf.DUMMYFUNCTION("""COMPUTED_VALUE"""),45180.0)</f>
        <v>45180</v>
      </c>
      <c r="C4725" s="266" t="str">
        <f>IFERROR(__xludf.DUMMYFUNCTION("""COMPUTED_VALUE"""),"KYAI KONTONG")</f>
        <v>KYAI KONTONG</v>
      </c>
      <c r="D4725" s="186">
        <f>IFERROR(__xludf.DUMMYFUNCTION("""COMPUTED_VALUE"""),35.0)</f>
        <v>35</v>
      </c>
    </row>
    <row r="4726">
      <c r="A4726" s="178" t="str">
        <f>IFERROR(__xludf.DUMMYFUNCTION("""COMPUTED_VALUE"""),"ITBISA-IC-CD4094BE-DIP16")</f>
        <v>ITBISA-IC-CD4094BE-DIP16</v>
      </c>
      <c r="B4726" s="266">
        <f>IFERROR(__xludf.DUMMYFUNCTION("""COMPUTED_VALUE"""),45181.0)</f>
        <v>45181</v>
      </c>
      <c r="C4726" s="266" t="str">
        <f>IFERROR(__xludf.DUMMYFUNCTION("""COMPUTED_VALUE"""),"KYAI KONTONG")</f>
        <v>KYAI KONTONG</v>
      </c>
      <c r="D4726" s="186">
        <f>IFERROR(__xludf.DUMMYFUNCTION("""COMPUTED_VALUE"""),146.0)</f>
        <v>146</v>
      </c>
    </row>
    <row r="4727">
      <c r="A4727" s="178" t="str">
        <f>IFERROR(__xludf.DUMMYFUNCTION("""COMPUTED_VALUE"""),"ITBISA-IC-CD4094BE-DIP16")</f>
        <v>ITBISA-IC-CD4094BE-DIP16</v>
      </c>
      <c r="B4727" s="266">
        <f>IFERROR(__xludf.DUMMYFUNCTION("""COMPUTED_VALUE"""),45187.0)</f>
        <v>45187</v>
      </c>
      <c r="C4727" s="266" t="str">
        <f>IFERROR(__xludf.DUMMYFUNCTION("""COMPUTED_VALUE"""),"KYAI KONTONG")</f>
        <v>KYAI KONTONG</v>
      </c>
      <c r="D4727" s="186">
        <f>IFERROR(__xludf.DUMMYFUNCTION("""COMPUTED_VALUE"""),60.0)</f>
        <v>60</v>
      </c>
    </row>
    <row r="4728">
      <c r="A4728" s="178" t="str">
        <f>IFERROR(__xludf.DUMMYFUNCTION("""COMPUTED_VALUE"""),"ITBISA-IC-CD4094BE-DIP16")</f>
        <v>ITBISA-IC-CD4094BE-DIP16</v>
      </c>
      <c r="B4728" s="266">
        <f>IFERROR(__xludf.DUMMYFUNCTION("""COMPUTED_VALUE"""),45194.0)</f>
        <v>45194</v>
      </c>
      <c r="C4728" s="266" t="str">
        <f>IFERROR(__xludf.DUMMYFUNCTION("""COMPUTED_VALUE"""),"KYAI KONTONG")</f>
        <v>KYAI KONTONG</v>
      </c>
      <c r="D4728" s="186">
        <f>IFERROR(__xludf.DUMMYFUNCTION("""COMPUTED_VALUE"""),2.0)</f>
        <v>2</v>
      </c>
    </row>
    <row r="4729">
      <c r="A4729" s="178" t="str">
        <f>IFERROR(__xludf.DUMMYFUNCTION("""COMPUTED_VALUE"""),"ITBISA-IC-CD4094BE-DIP16")</f>
        <v>ITBISA-IC-CD4094BE-DIP16</v>
      </c>
      <c r="B4729" s="266">
        <f>IFERROR(__xludf.DUMMYFUNCTION("""COMPUTED_VALUE"""),45195.0)</f>
        <v>45195</v>
      </c>
      <c r="C4729" s="266" t="str">
        <f>IFERROR(__xludf.DUMMYFUNCTION("""COMPUTED_VALUE"""),"KYAI KONTONG")</f>
        <v>KYAI KONTONG</v>
      </c>
      <c r="D4729" s="186">
        <f>IFERROR(__xludf.DUMMYFUNCTION("""COMPUTED_VALUE"""),35.0)</f>
        <v>35</v>
      </c>
    </row>
    <row r="4730">
      <c r="A4730" s="178" t="str">
        <f>IFERROR(__xludf.DUMMYFUNCTION("""COMPUTED_VALUE"""),"ITBISA-IC-CD4094BE-DIP16")</f>
        <v>ITBISA-IC-CD4094BE-DIP16</v>
      </c>
      <c r="B4730" s="266">
        <f>IFERROR(__xludf.DUMMYFUNCTION("""COMPUTED_VALUE"""),45204.0)</f>
        <v>45204</v>
      </c>
      <c r="C4730" s="266" t="str">
        <f>IFERROR(__xludf.DUMMYFUNCTION("""COMPUTED_VALUE"""),"KYAI KONTONG")</f>
        <v>KYAI KONTONG</v>
      </c>
      <c r="D4730" s="186">
        <f>IFERROR(__xludf.DUMMYFUNCTION("""COMPUTED_VALUE"""),28.0)</f>
        <v>28</v>
      </c>
    </row>
    <row r="4731">
      <c r="A4731" s="178" t="str">
        <f>IFERROR(__xludf.DUMMYFUNCTION("""COMPUTED_VALUE"""),"ITBISA-IC-CD4094BE-DIP16")</f>
        <v>ITBISA-IC-CD4094BE-DIP16</v>
      </c>
      <c r="B4731" s="266">
        <f>IFERROR(__xludf.DUMMYFUNCTION("""COMPUTED_VALUE"""),45204.0)</f>
        <v>45204</v>
      </c>
      <c r="C4731" s="266" t="str">
        <f>IFERROR(__xludf.DUMMYFUNCTION("""COMPUTED_VALUE"""),"KYAI KONTONG")</f>
        <v>KYAI KONTONG</v>
      </c>
      <c r="D4731" s="186">
        <f>IFERROR(__xludf.DUMMYFUNCTION("""COMPUTED_VALUE"""),40.0)</f>
        <v>40</v>
      </c>
    </row>
    <row r="4732">
      <c r="A4732" s="178" t="str">
        <f>IFERROR(__xludf.DUMMYFUNCTION("""COMPUTED_VALUE"""),"ITBISA-IC-CD4094BE-DIP16")</f>
        <v>ITBISA-IC-CD4094BE-DIP16</v>
      </c>
      <c r="B4732" s="266">
        <f>IFERROR(__xludf.DUMMYFUNCTION("""COMPUTED_VALUE"""),45208.0)</f>
        <v>45208</v>
      </c>
      <c r="C4732" s="266" t="str">
        <f>IFERROR(__xludf.DUMMYFUNCTION("""COMPUTED_VALUE"""),"KYAI KONTONG")</f>
        <v>KYAI KONTONG</v>
      </c>
      <c r="D4732" s="186">
        <f>IFERROR(__xludf.DUMMYFUNCTION("""COMPUTED_VALUE"""),150.0)</f>
        <v>150</v>
      </c>
    </row>
    <row r="4733">
      <c r="A4733" s="178" t="str">
        <f>IFERROR(__xludf.DUMMYFUNCTION("""COMPUTED_VALUE"""),"ITBISA-IC-CD4094BE-DIP16")</f>
        <v>ITBISA-IC-CD4094BE-DIP16</v>
      </c>
      <c r="B4733" s="266">
        <f>IFERROR(__xludf.DUMMYFUNCTION("""COMPUTED_VALUE"""),45209.0)</f>
        <v>45209</v>
      </c>
      <c r="C4733" s="266" t="str">
        <f>IFERROR(__xludf.DUMMYFUNCTION("""COMPUTED_VALUE"""),"KYAI KONTONG")</f>
        <v>KYAI KONTONG</v>
      </c>
      <c r="D4733" s="186">
        <f>IFERROR(__xludf.DUMMYFUNCTION("""COMPUTED_VALUE"""),34.0)</f>
        <v>34</v>
      </c>
    </row>
    <row r="4734">
      <c r="A4734" s="178" t="str">
        <f>IFERROR(__xludf.DUMMYFUNCTION("""COMPUTED_VALUE"""),"ITBISA-IC-CD4094BE-DIP16")</f>
        <v>ITBISA-IC-CD4094BE-DIP16</v>
      </c>
      <c r="B4734" s="266">
        <f>IFERROR(__xludf.DUMMYFUNCTION("""COMPUTED_VALUE"""),45209.0)</f>
        <v>45209</v>
      </c>
      <c r="C4734" s="266" t="str">
        <f>IFERROR(__xludf.DUMMYFUNCTION("""COMPUTED_VALUE"""),"KYAI KONTONG")</f>
        <v>KYAI KONTONG</v>
      </c>
      <c r="D4734" s="186">
        <f>IFERROR(__xludf.DUMMYFUNCTION("""COMPUTED_VALUE"""),50.0)</f>
        <v>50</v>
      </c>
    </row>
    <row r="4735">
      <c r="A4735" s="178" t="str">
        <f>IFERROR(__xludf.DUMMYFUNCTION("""COMPUTED_VALUE"""),"ITBISA-IC-CD4094BE-DIP16")</f>
        <v>ITBISA-IC-CD4094BE-DIP16</v>
      </c>
      <c r="B4735" s="266">
        <f>IFERROR(__xludf.DUMMYFUNCTION("""COMPUTED_VALUE"""),45216.0)</f>
        <v>45216</v>
      </c>
      <c r="C4735" s="266" t="str">
        <f>IFERROR(__xludf.DUMMYFUNCTION("""COMPUTED_VALUE"""),"KYAI KONTONG")</f>
        <v>KYAI KONTONG</v>
      </c>
      <c r="D4735" s="186">
        <f>IFERROR(__xludf.DUMMYFUNCTION("""COMPUTED_VALUE"""),150.0)</f>
        <v>150</v>
      </c>
    </row>
    <row r="4736">
      <c r="A4736" s="178" t="str">
        <f>IFERROR(__xludf.DUMMYFUNCTION("""COMPUTED_VALUE"""),"ITBISA-IC-CD4094BE-DIP16")</f>
        <v>ITBISA-IC-CD4094BE-DIP16</v>
      </c>
      <c r="B4736" s="266">
        <f>IFERROR(__xludf.DUMMYFUNCTION("""COMPUTED_VALUE"""),45224.0)</f>
        <v>45224</v>
      </c>
      <c r="C4736" s="266" t="str">
        <f>IFERROR(__xludf.DUMMYFUNCTION("""COMPUTED_VALUE"""),"KYAI KONTONG")</f>
        <v>KYAI KONTONG</v>
      </c>
      <c r="D4736" s="186">
        <f>IFERROR(__xludf.DUMMYFUNCTION("""COMPUTED_VALUE"""),47.0)</f>
        <v>47</v>
      </c>
    </row>
    <row r="4737">
      <c r="A4737" s="178" t="str">
        <f>IFERROR(__xludf.DUMMYFUNCTION("""COMPUTED_VALUE"""),"ITBISA-IC-CD4094BE-DIP16")</f>
        <v>ITBISA-IC-CD4094BE-DIP16</v>
      </c>
      <c r="B4737" s="266">
        <f>IFERROR(__xludf.DUMMYFUNCTION("""COMPUTED_VALUE"""),45227.0)</f>
        <v>45227</v>
      </c>
      <c r="C4737" s="266" t="str">
        <f>IFERROR(__xludf.DUMMYFUNCTION("""COMPUTED_VALUE"""),"KYAI KONTONG")</f>
        <v>KYAI KONTONG</v>
      </c>
      <c r="D4737" s="186">
        <f>IFERROR(__xludf.DUMMYFUNCTION("""COMPUTED_VALUE"""),3.0)</f>
        <v>3</v>
      </c>
    </row>
    <row r="4738">
      <c r="A4738" s="178" t="str">
        <f>IFERROR(__xludf.DUMMYFUNCTION("""COMPUTED_VALUE"""),"ITBISA-IC-CD4094BE-DIP16")</f>
        <v>ITBISA-IC-CD4094BE-DIP16</v>
      </c>
      <c r="B4738" s="266">
        <f>IFERROR(__xludf.DUMMYFUNCTION("""COMPUTED_VALUE"""),45228.0)</f>
        <v>45228</v>
      </c>
      <c r="C4738" s="266" t="str">
        <f>IFERROR(__xludf.DUMMYFUNCTION("""COMPUTED_VALUE"""),"KYAI KONTONG")</f>
        <v>KYAI KONTONG</v>
      </c>
      <c r="D4738" s="186">
        <f>IFERROR(__xludf.DUMMYFUNCTION("""COMPUTED_VALUE"""),170.0)</f>
        <v>170</v>
      </c>
    </row>
    <row r="4739">
      <c r="A4739" s="178" t="str">
        <f>IFERROR(__xludf.DUMMYFUNCTION("""COMPUTED_VALUE"""),"ITBISA-IC-CD4094BE-DIP16")</f>
        <v>ITBISA-IC-CD4094BE-DIP16</v>
      </c>
      <c r="B4739" s="266">
        <f>IFERROR(__xludf.DUMMYFUNCTION("""COMPUTED_VALUE"""),45229.0)</f>
        <v>45229</v>
      </c>
      <c r="C4739" s="266" t="str">
        <f>IFERROR(__xludf.DUMMYFUNCTION("""COMPUTED_VALUE"""),"KYAI KONTONG")</f>
        <v>KYAI KONTONG</v>
      </c>
      <c r="D4739" s="186">
        <f>IFERROR(__xludf.DUMMYFUNCTION("""COMPUTED_VALUE"""),2.0)</f>
        <v>2</v>
      </c>
    </row>
    <row r="4740">
      <c r="A4740" s="178" t="str">
        <f>IFERROR(__xludf.DUMMYFUNCTION("""COMPUTED_VALUE"""),"ITBISA-IC-CD4094BE-DIP16")</f>
        <v>ITBISA-IC-CD4094BE-DIP16</v>
      </c>
      <c r="B4740" s="266">
        <f>IFERROR(__xludf.DUMMYFUNCTION("""COMPUTED_VALUE"""),45229.0)</f>
        <v>45229</v>
      </c>
      <c r="C4740" s="266" t="str">
        <f>IFERROR(__xludf.DUMMYFUNCTION("""COMPUTED_VALUE"""),"KYAI KONTONG")</f>
        <v>KYAI KONTONG</v>
      </c>
      <c r="D4740" s="186">
        <f>IFERROR(__xludf.DUMMYFUNCTION("""COMPUTED_VALUE"""),10.0)</f>
        <v>10</v>
      </c>
    </row>
    <row r="4741">
      <c r="A4741" s="178" t="str">
        <f>IFERROR(__xludf.DUMMYFUNCTION("""COMPUTED_VALUE"""),"ITBISA-IC-CD4094BE-DIP16")</f>
        <v>ITBISA-IC-CD4094BE-DIP16</v>
      </c>
      <c r="B4741" s="266">
        <f>IFERROR(__xludf.DUMMYFUNCTION("""COMPUTED_VALUE"""),45236.0)</f>
        <v>45236</v>
      </c>
      <c r="C4741" s="266" t="str">
        <f>IFERROR(__xludf.DUMMYFUNCTION("""COMPUTED_VALUE"""),"KYAI KONTONG")</f>
        <v>KYAI KONTONG</v>
      </c>
      <c r="D4741" s="186">
        <f>IFERROR(__xludf.DUMMYFUNCTION("""COMPUTED_VALUE"""),20.0)</f>
        <v>20</v>
      </c>
    </row>
    <row r="4742">
      <c r="A4742" s="178" t="str">
        <f>IFERROR(__xludf.DUMMYFUNCTION("""COMPUTED_VALUE"""),"ITBISA-IC-CD4094BE-DIP16")</f>
        <v>ITBISA-IC-CD4094BE-DIP16</v>
      </c>
      <c r="B4742" s="266">
        <f>IFERROR(__xludf.DUMMYFUNCTION("""COMPUTED_VALUE"""),45240.0)</f>
        <v>45240</v>
      </c>
      <c r="C4742" s="266" t="str">
        <f>IFERROR(__xludf.DUMMYFUNCTION("""COMPUTED_VALUE"""),"KERTASARI CIAMIS")</f>
        <v>KERTASARI CIAMIS</v>
      </c>
      <c r="D4742" s="186">
        <f>IFERROR(__xludf.DUMMYFUNCTION("""COMPUTED_VALUE"""),200.0)</f>
        <v>200</v>
      </c>
    </row>
    <row r="4743">
      <c r="A4743" s="178" t="str">
        <f>IFERROR(__xludf.DUMMYFUNCTION("""COMPUTED_VALUE"""),"ITBISA-IC-CD4094BE-DIP16")</f>
        <v>ITBISA-IC-CD4094BE-DIP16</v>
      </c>
      <c r="B4743" s="266">
        <f>IFERROR(__xludf.DUMMYFUNCTION("""COMPUTED_VALUE"""),45252.0)</f>
        <v>45252</v>
      </c>
      <c r="C4743" s="266" t="str">
        <f>IFERROR(__xludf.DUMMYFUNCTION("""COMPUTED_VALUE"""),"KYAI KONTONG")</f>
        <v>KYAI KONTONG</v>
      </c>
      <c r="D4743" s="186">
        <f>IFERROR(__xludf.DUMMYFUNCTION("""COMPUTED_VALUE"""),40.0)</f>
        <v>40</v>
      </c>
    </row>
    <row r="4744">
      <c r="A4744" s="178" t="str">
        <f>IFERROR(__xludf.DUMMYFUNCTION("""COMPUTED_VALUE"""),"ITBISA-IC-CD4094BE-DIP16")</f>
        <v>ITBISA-IC-CD4094BE-DIP16</v>
      </c>
      <c r="B4744" s="266">
        <f>IFERROR(__xludf.DUMMYFUNCTION("""COMPUTED_VALUE"""),45253.0)</f>
        <v>45253</v>
      </c>
      <c r="C4744" s="266" t="str">
        <f>IFERROR(__xludf.DUMMYFUNCTION("""COMPUTED_VALUE"""),"KERTASARI CIAMIS")</f>
        <v>KERTASARI CIAMIS</v>
      </c>
      <c r="D4744" s="186">
        <f>IFERROR(__xludf.DUMMYFUNCTION("""COMPUTED_VALUE"""),200.0)</f>
        <v>200</v>
      </c>
    </row>
    <row r="4745">
      <c r="A4745" s="178" t="str">
        <f>IFERROR(__xludf.DUMMYFUNCTION("""COMPUTED_VALUE"""),"ITBISA-IC-CD4094BE-DIP16")</f>
        <v>ITBISA-IC-CD4094BE-DIP16</v>
      </c>
      <c r="B4745" s="266">
        <f>IFERROR(__xludf.DUMMYFUNCTION("""COMPUTED_VALUE"""),45267.0)</f>
        <v>45267</v>
      </c>
      <c r="C4745" s="266" t="str">
        <f>IFERROR(__xludf.DUMMYFUNCTION("""COMPUTED_VALUE"""),"KERTASARI CIAMIS")</f>
        <v>KERTASARI CIAMIS</v>
      </c>
      <c r="D4745" s="186">
        <f>IFERROR(__xludf.DUMMYFUNCTION("""COMPUTED_VALUE"""),130.0)</f>
        <v>130</v>
      </c>
    </row>
    <row r="4746">
      <c r="A4746" s="178" t="str">
        <f>IFERROR(__xludf.DUMMYFUNCTION("""COMPUTED_VALUE"""),"ITBISA-IC-CD4094BE-DIP16")</f>
        <v>ITBISA-IC-CD4094BE-DIP16</v>
      </c>
      <c r="B4746" s="266">
        <f>IFERROR(__xludf.DUMMYFUNCTION("""COMPUTED_VALUE"""),45280.0)</f>
        <v>45280</v>
      </c>
      <c r="C4746" s="266" t="str">
        <f>IFERROR(__xludf.DUMMYFUNCTION("""COMPUTED_VALUE"""),"KYAI KONTONG")</f>
        <v>KYAI KONTONG</v>
      </c>
      <c r="D4746" s="186">
        <f>IFERROR(__xludf.DUMMYFUNCTION("""COMPUTED_VALUE"""),2.0)</f>
        <v>2</v>
      </c>
    </row>
    <row r="4747">
      <c r="A4747" s="178" t="str">
        <f>IFERROR(__xludf.DUMMYFUNCTION("""COMPUTED_VALUE"""),"ITBISA-IC-CD4094BE-DIP16")</f>
        <v>ITBISA-IC-CD4094BE-DIP16</v>
      </c>
      <c r="B4747" s="266">
        <f>IFERROR(__xludf.DUMMYFUNCTION("""COMPUTED_VALUE"""),45281.0)</f>
        <v>45281</v>
      </c>
      <c r="C4747" s="266" t="str">
        <f>IFERROR(__xludf.DUMMYFUNCTION("""COMPUTED_VALUE"""),"KERTASARI CIAMIS")</f>
        <v>KERTASARI CIAMIS</v>
      </c>
      <c r="D4747" s="186">
        <f>IFERROR(__xludf.DUMMYFUNCTION("""COMPUTED_VALUE"""),200.0)</f>
        <v>200</v>
      </c>
    </row>
    <row r="4748">
      <c r="A4748" s="178" t="str">
        <f>IFERROR(__xludf.DUMMYFUNCTION("""COMPUTED_VALUE"""),"ITBISA-IC-CD4094BE-DIP16")</f>
        <v>ITBISA-IC-CD4094BE-DIP16</v>
      </c>
      <c r="B4748" s="266">
        <f>IFERROR(__xludf.DUMMYFUNCTION("""COMPUTED_VALUE"""),45292.0)</f>
        <v>45292</v>
      </c>
      <c r="C4748" s="266" t="str">
        <f>IFERROR(__xludf.DUMMYFUNCTION("""COMPUTED_VALUE"""),"KYAI KONTONG")</f>
        <v>KYAI KONTONG</v>
      </c>
      <c r="D4748" s="186">
        <f>IFERROR(__xludf.DUMMYFUNCTION("""COMPUTED_VALUE"""),6.0)</f>
        <v>6</v>
      </c>
    </row>
    <row r="4749">
      <c r="A4749" s="178" t="str">
        <f>IFERROR(__xludf.DUMMYFUNCTION("""COMPUTED_VALUE"""),"ITBISA-IC-CD4094BE-DIP16")</f>
        <v>ITBISA-IC-CD4094BE-DIP16</v>
      </c>
      <c r="B4749" s="266">
        <f>IFERROR(__xludf.DUMMYFUNCTION("""COMPUTED_VALUE"""),45293.0)</f>
        <v>45293</v>
      </c>
      <c r="C4749" s="266" t="str">
        <f>IFERROR(__xludf.DUMMYFUNCTION("""COMPUTED_VALUE"""),"KYAI KONTONG")</f>
        <v>KYAI KONTONG</v>
      </c>
      <c r="D4749" s="186">
        <f>IFERROR(__xludf.DUMMYFUNCTION("""COMPUTED_VALUE"""),1.0)</f>
        <v>1</v>
      </c>
    </row>
    <row r="4750">
      <c r="A4750" s="178" t="str">
        <f>IFERROR(__xludf.DUMMYFUNCTION("""COMPUTED_VALUE"""),"ITBISA-IC-CD4094BE-DIP16")</f>
        <v>ITBISA-IC-CD4094BE-DIP16</v>
      </c>
      <c r="B4750" s="266">
        <f>IFERROR(__xludf.DUMMYFUNCTION("""COMPUTED_VALUE"""),45296.0)</f>
        <v>45296</v>
      </c>
      <c r="C4750" s="266" t="str">
        <f>IFERROR(__xludf.DUMMYFUNCTION("""COMPUTED_VALUE"""),"KYAI KONTONG")</f>
        <v>KYAI KONTONG</v>
      </c>
      <c r="D4750" s="186">
        <f>IFERROR(__xludf.DUMMYFUNCTION("""COMPUTED_VALUE"""),15.0)</f>
        <v>15</v>
      </c>
    </row>
    <row r="4751">
      <c r="A4751" s="178" t="str">
        <f>IFERROR(__xludf.DUMMYFUNCTION("""COMPUTED_VALUE"""),"ITBISA-IC-CD4094BE-DIP16")</f>
        <v>ITBISA-IC-CD4094BE-DIP16</v>
      </c>
      <c r="B4751" s="266">
        <f>IFERROR(__xludf.DUMMYFUNCTION("""COMPUTED_VALUE"""),45302.0)</f>
        <v>45302</v>
      </c>
      <c r="C4751" s="266" t="str">
        <f>IFERROR(__xludf.DUMMYFUNCTION("""COMPUTED_VALUE"""),"KERTASARI CIAMIS")</f>
        <v>KERTASARI CIAMIS</v>
      </c>
      <c r="D4751" s="186">
        <f>IFERROR(__xludf.DUMMYFUNCTION("""COMPUTED_VALUE"""),150.0)</f>
        <v>150</v>
      </c>
    </row>
    <row r="4752">
      <c r="A4752" s="178" t="str">
        <f>IFERROR(__xludf.DUMMYFUNCTION("""COMPUTED_VALUE"""),"ITBISA-IC-CD4094BE-DIP16")</f>
        <v>ITBISA-IC-CD4094BE-DIP16</v>
      </c>
      <c r="B4752" s="266">
        <f>IFERROR(__xludf.DUMMYFUNCTION("""COMPUTED_VALUE"""),45303.0)</f>
        <v>45303</v>
      </c>
      <c r="C4752" s="266" t="str">
        <f>IFERROR(__xludf.DUMMYFUNCTION("""COMPUTED_VALUE"""),"KERTASARI CIAMIS")</f>
        <v>KERTASARI CIAMIS</v>
      </c>
      <c r="D4752" s="186">
        <f>IFERROR(__xludf.DUMMYFUNCTION("""COMPUTED_VALUE"""),36.0)</f>
        <v>36</v>
      </c>
    </row>
    <row r="4753">
      <c r="A4753" s="178" t="str">
        <f>IFERROR(__xludf.DUMMYFUNCTION("""COMPUTED_VALUE"""),"ITBISA-IC-CD4094BE-DIP16")</f>
        <v>ITBISA-IC-CD4094BE-DIP16</v>
      </c>
      <c r="B4753" s="266">
        <f>IFERROR(__xludf.DUMMYFUNCTION("""COMPUTED_VALUE"""),45306.0)</f>
        <v>45306</v>
      </c>
      <c r="C4753" s="266" t="str">
        <f>IFERROR(__xludf.DUMMYFUNCTION("""COMPUTED_VALUE"""),"KERTASARI CIAMIS")</f>
        <v>KERTASARI CIAMIS</v>
      </c>
      <c r="D4753" s="186">
        <f>IFERROR(__xludf.DUMMYFUNCTION("""COMPUTED_VALUE"""),80.0)</f>
        <v>80</v>
      </c>
    </row>
    <row r="4754">
      <c r="A4754" s="178" t="str">
        <f>IFERROR(__xludf.DUMMYFUNCTION("""COMPUTED_VALUE"""),"ITBISA-IC-CD4094BE-DIP16")</f>
        <v>ITBISA-IC-CD4094BE-DIP16</v>
      </c>
      <c r="B4754" s="266">
        <f>IFERROR(__xludf.DUMMYFUNCTION("""COMPUTED_VALUE"""),45308.0)</f>
        <v>45308</v>
      </c>
      <c r="C4754" s="266" t="str">
        <f>IFERROR(__xludf.DUMMYFUNCTION("""COMPUTED_VALUE"""),"KYAI KONTONG")</f>
        <v>KYAI KONTONG</v>
      </c>
      <c r="D4754" s="186">
        <f>IFERROR(__xludf.DUMMYFUNCTION("""COMPUTED_VALUE"""),36.0)</f>
        <v>36</v>
      </c>
    </row>
    <row r="4755">
      <c r="A4755" s="178" t="str">
        <f>IFERROR(__xludf.DUMMYFUNCTION("""COMPUTED_VALUE"""),"ITBISA-IC-CD4094BE-DIP16")</f>
        <v>ITBISA-IC-CD4094BE-DIP16</v>
      </c>
      <c r="B4755" s="266">
        <f>IFERROR(__xludf.DUMMYFUNCTION("""COMPUTED_VALUE"""),45313.0)</f>
        <v>45313</v>
      </c>
      <c r="C4755" s="266" t="str">
        <f>IFERROR(__xludf.DUMMYFUNCTION("""COMPUTED_VALUE"""),"KERTASARI CIAMIS")</f>
        <v>KERTASARI CIAMIS</v>
      </c>
      <c r="D4755" s="186">
        <f>IFERROR(__xludf.DUMMYFUNCTION("""COMPUTED_VALUE"""),72.0)</f>
        <v>72</v>
      </c>
    </row>
    <row r="4756">
      <c r="A4756" s="178" t="str">
        <f>IFERROR(__xludf.DUMMYFUNCTION("""COMPUTED_VALUE"""),"ITBISA-IC-CD4094BE-DIP16")</f>
        <v>ITBISA-IC-CD4094BE-DIP16</v>
      </c>
      <c r="B4756" s="266">
        <f>IFERROR(__xludf.DUMMYFUNCTION("""COMPUTED_VALUE"""),45316.0)</f>
        <v>45316</v>
      </c>
      <c r="C4756" s="266" t="str">
        <f>IFERROR(__xludf.DUMMYFUNCTION("""COMPUTED_VALUE"""),"KERTASARI CIAMIS")</f>
        <v>KERTASARI CIAMIS</v>
      </c>
      <c r="D4756" s="186">
        <f>IFERROR(__xludf.DUMMYFUNCTION("""COMPUTED_VALUE"""),5.0)</f>
        <v>5</v>
      </c>
    </row>
    <row r="4757">
      <c r="A4757" s="178" t="str">
        <f>IFERROR(__xludf.DUMMYFUNCTION("""COMPUTED_VALUE"""),"ITBISA-IC-CD4094BE-DIP16")</f>
        <v>ITBISA-IC-CD4094BE-DIP16</v>
      </c>
      <c r="B4757" s="266">
        <f>IFERROR(__xludf.DUMMYFUNCTION("""COMPUTED_VALUE"""),45316.0)</f>
        <v>45316</v>
      </c>
      <c r="C4757" s="266" t="str">
        <f>IFERROR(__xludf.DUMMYFUNCTION("""COMPUTED_VALUE"""),"KERTASARI CIAMIS")</f>
        <v>KERTASARI CIAMIS</v>
      </c>
      <c r="D4757" s="186">
        <f>IFERROR(__xludf.DUMMYFUNCTION("""COMPUTED_VALUE"""),150.0)</f>
        <v>150</v>
      </c>
    </row>
    <row r="4758">
      <c r="A4758" s="178" t="str">
        <f>IFERROR(__xludf.DUMMYFUNCTION("""COMPUTED_VALUE"""),"ITBISA-IC-CD4094BE-DIP16")</f>
        <v>ITBISA-IC-CD4094BE-DIP16</v>
      </c>
      <c r="B4758" s="266">
        <f>IFERROR(__xludf.DUMMYFUNCTION("""COMPUTED_VALUE"""),45318.0)</f>
        <v>45318</v>
      </c>
      <c r="C4758" s="266" t="str">
        <f>IFERROR(__xludf.DUMMYFUNCTION("""COMPUTED_VALUE"""),"KERTASARI CIAMIS")</f>
        <v>KERTASARI CIAMIS</v>
      </c>
      <c r="D4758" s="186">
        <f>IFERROR(__xludf.DUMMYFUNCTION("""COMPUTED_VALUE"""),50.0)</f>
        <v>50</v>
      </c>
    </row>
    <row r="4759">
      <c r="A4759" s="178" t="str">
        <f>IFERROR(__xludf.DUMMYFUNCTION("""COMPUTED_VALUE"""),"ITBISA-IC-CD4094BE-DIP16")</f>
        <v>ITBISA-IC-CD4094BE-DIP16</v>
      </c>
      <c r="B4759" s="266">
        <f>IFERROR(__xludf.DUMMYFUNCTION("""COMPUTED_VALUE"""),45322.0)</f>
        <v>45322</v>
      </c>
      <c r="C4759" s="266" t="str">
        <f>IFERROR(__xludf.DUMMYFUNCTION("""COMPUTED_VALUE"""),"KERTASARI CIAMIS")</f>
        <v>KERTASARI CIAMIS</v>
      </c>
      <c r="D4759" s="186">
        <f>IFERROR(__xludf.DUMMYFUNCTION("""COMPUTED_VALUE"""),35.0)</f>
        <v>35</v>
      </c>
    </row>
    <row r="4760">
      <c r="A4760" s="178" t="str">
        <f>IFERROR(__xludf.DUMMYFUNCTION("""COMPUTED_VALUE"""),"ITBISA-IC-CD4094BE-DIP16")</f>
        <v>ITBISA-IC-CD4094BE-DIP16</v>
      </c>
      <c r="B4760" s="266">
        <f>IFERROR(__xludf.DUMMYFUNCTION("""COMPUTED_VALUE"""),45323.0)</f>
        <v>45323</v>
      </c>
      <c r="C4760" s="266" t="str">
        <f>IFERROR(__xludf.DUMMYFUNCTION("""COMPUTED_VALUE"""),"KERTASARI CIAMIS")</f>
        <v>KERTASARI CIAMIS</v>
      </c>
      <c r="D4760" s="186">
        <f>IFERROR(__xludf.DUMMYFUNCTION("""COMPUTED_VALUE"""),100.0)</f>
        <v>100</v>
      </c>
    </row>
    <row r="4761">
      <c r="A4761" s="178" t="str">
        <f>IFERROR(__xludf.DUMMYFUNCTION("""COMPUTED_VALUE"""),"ITBISA-IC-CD4094BE-DIP16")</f>
        <v>ITBISA-IC-CD4094BE-DIP16</v>
      </c>
      <c r="B4761" s="266">
        <f>IFERROR(__xludf.DUMMYFUNCTION("""COMPUTED_VALUE"""),45335.0)</f>
        <v>45335</v>
      </c>
      <c r="C4761" s="266" t="str">
        <f>IFERROR(__xludf.DUMMYFUNCTION("""COMPUTED_VALUE"""),"KERTASARI CIAMIS")</f>
        <v>KERTASARI CIAMIS</v>
      </c>
      <c r="D4761" s="186">
        <f>IFERROR(__xludf.DUMMYFUNCTION("""COMPUTED_VALUE"""),100.0)</f>
        <v>100</v>
      </c>
    </row>
    <row r="4762">
      <c r="A4762" s="178" t="str">
        <f>IFERROR(__xludf.DUMMYFUNCTION("""COMPUTED_VALUE"""),"ITBISA-IC-CD4094BE-DIP16")</f>
        <v>ITBISA-IC-CD4094BE-DIP16</v>
      </c>
      <c r="B4762" s="266">
        <f>IFERROR(__xludf.DUMMYFUNCTION("""COMPUTED_VALUE"""),45337.0)</f>
        <v>45337</v>
      </c>
      <c r="C4762" s="266" t="str">
        <f>IFERROR(__xludf.DUMMYFUNCTION("""COMPUTED_VALUE"""),"KERTASARI CIAMIS")</f>
        <v>KERTASARI CIAMIS</v>
      </c>
      <c r="D4762" s="186">
        <f>IFERROR(__xludf.DUMMYFUNCTION("""COMPUTED_VALUE"""),100.0)</f>
        <v>100</v>
      </c>
    </row>
    <row r="4763">
      <c r="A4763" s="178" t="str">
        <f>IFERROR(__xludf.DUMMYFUNCTION("""COMPUTED_VALUE"""),"ITBISA-IC-CD4094BE-DIP16")</f>
        <v>ITBISA-IC-CD4094BE-DIP16</v>
      </c>
      <c r="B4763" s="266">
        <f>IFERROR(__xludf.DUMMYFUNCTION("""COMPUTED_VALUE"""),45338.0)</f>
        <v>45338</v>
      </c>
      <c r="C4763" s="266" t="str">
        <f>IFERROR(__xludf.DUMMYFUNCTION("""COMPUTED_VALUE"""),"KERTASARI CIAMIS")</f>
        <v>KERTASARI CIAMIS</v>
      </c>
      <c r="D4763" s="186">
        <f>IFERROR(__xludf.DUMMYFUNCTION("""COMPUTED_VALUE"""),300.0)</f>
        <v>300</v>
      </c>
    </row>
    <row r="4764">
      <c r="A4764" s="178" t="str">
        <f>IFERROR(__xludf.DUMMYFUNCTION("""COMPUTED_VALUE"""),"ITBISA-IC-CD4094BE-DIP16")</f>
        <v>ITBISA-IC-CD4094BE-DIP16</v>
      </c>
      <c r="B4764" s="266">
        <f>IFERROR(__xludf.DUMMYFUNCTION("""COMPUTED_VALUE"""),45345.0)</f>
        <v>45345</v>
      </c>
      <c r="C4764" s="266" t="str">
        <f>IFERROR(__xludf.DUMMYFUNCTION("""COMPUTED_VALUE"""),"KERTASARI CIAMIS")</f>
        <v>KERTASARI CIAMIS</v>
      </c>
      <c r="D4764" s="186">
        <f>IFERROR(__xludf.DUMMYFUNCTION("""COMPUTED_VALUE"""),2.0)</f>
        <v>2</v>
      </c>
    </row>
    <row r="4765">
      <c r="A4765" s="178" t="str">
        <f>IFERROR(__xludf.DUMMYFUNCTION("""COMPUTED_VALUE"""),"ITBISA-IC-CD4094BE-DIP16")</f>
        <v>ITBISA-IC-CD4094BE-DIP16</v>
      </c>
      <c r="B4765" s="266">
        <f>IFERROR(__xludf.DUMMYFUNCTION("""COMPUTED_VALUE"""),45346.0)</f>
        <v>45346</v>
      </c>
      <c r="C4765" s="266" t="str">
        <f>IFERROR(__xludf.DUMMYFUNCTION("""COMPUTED_VALUE"""),"KERTASARI CIAMIS")</f>
        <v>KERTASARI CIAMIS</v>
      </c>
      <c r="D4765" s="186">
        <f>IFERROR(__xludf.DUMMYFUNCTION("""COMPUTED_VALUE"""),100.0)</f>
        <v>100</v>
      </c>
    </row>
    <row r="4766">
      <c r="A4766" s="178" t="str">
        <f>IFERROR(__xludf.DUMMYFUNCTION("""COMPUTED_VALUE"""),"ITBISA-IC-CD4094BE-DIP16")</f>
        <v>ITBISA-IC-CD4094BE-DIP16</v>
      </c>
      <c r="B4766" s="266">
        <f>IFERROR(__xludf.DUMMYFUNCTION("""COMPUTED_VALUE"""),45346.0)</f>
        <v>45346</v>
      </c>
      <c r="C4766" s="266" t="str">
        <f>IFERROR(__xludf.DUMMYFUNCTION("""COMPUTED_VALUE"""),"KYAI KONTONG")</f>
        <v>KYAI KONTONG</v>
      </c>
      <c r="D4766" s="186">
        <f>IFERROR(__xludf.DUMMYFUNCTION("""COMPUTED_VALUE"""),25.0)</f>
        <v>25</v>
      </c>
    </row>
    <row r="4767">
      <c r="A4767" s="178" t="str">
        <f>IFERROR(__xludf.DUMMYFUNCTION("""COMPUTED_VALUE"""),"ITBISA-IC-CD4094BE-DIP16")</f>
        <v>ITBISA-IC-CD4094BE-DIP16</v>
      </c>
      <c r="B4767" s="266">
        <f>IFERROR(__xludf.DUMMYFUNCTION("""COMPUTED_VALUE"""),45353.0)</f>
        <v>45353</v>
      </c>
      <c r="C4767" s="266" t="str">
        <f>IFERROR(__xludf.DUMMYFUNCTION("""COMPUTED_VALUE"""),"KERTASARI CIAMIS")</f>
        <v>KERTASARI CIAMIS</v>
      </c>
      <c r="D4767" s="186">
        <f>IFERROR(__xludf.DUMMYFUNCTION("""COMPUTED_VALUE"""),800.0)</f>
        <v>800</v>
      </c>
    </row>
    <row r="4768">
      <c r="A4768" s="178" t="str">
        <f>IFERROR(__xludf.DUMMYFUNCTION("""COMPUTED_VALUE"""),"ITBISA-IC-CD4094BE-DIP16")</f>
        <v>ITBISA-IC-CD4094BE-DIP16</v>
      </c>
      <c r="B4768" s="266">
        <f>IFERROR(__xludf.DUMMYFUNCTION("""COMPUTED_VALUE"""),45355.0)</f>
        <v>45355</v>
      </c>
      <c r="C4768" s="266" t="str">
        <f>IFERROR(__xludf.DUMMYFUNCTION("""COMPUTED_VALUE"""),"KERTASARI CIAMIS")</f>
        <v>KERTASARI CIAMIS</v>
      </c>
      <c r="D4768" s="186">
        <f>IFERROR(__xludf.DUMMYFUNCTION("""COMPUTED_VALUE"""),25.0)</f>
        <v>25</v>
      </c>
    </row>
    <row r="4769">
      <c r="A4769" s="178" t="str">
        <f>IFERROR(__xludf.DUMMYFUNCTION("""COMPUTED_VALUE"""),"ITBISA-IC-CD4094BE-DIP16")</f>
        <v>ITBISA-IC-CD4094BE-DIP16</v>
      </c>
      <c r="B4769" s="266">
        <f>IFERROR(__xludf.DUMMYFUNCTION("""COMPUTED_VALUE"""),45369.0)</f>
        <v>45369</v>
      </c>
      <c r="C4769" s="266" t="str">
        <f>IFERROR(__xludf.DUMMYFUNCTION("""COMPUTED_VALUE"""),"KERTASARI CIAMIS")</f>
        <v>KERTASARI CIAMIS</v>
      </c>
      <c r="D4769" s="186">
        <f>IFERROR(__xludf.DUMMYFUNCTION("""COMPUTED_VALUE"""),160.0)</f>
        <v>160</v>
      </c>
    </row>
    <row r="4770">
      <c r="A4770" s="178" t="str">
        <f>IFERROR(__xludf.DUMMYFUNCTION("""COMPUTED_VALUE"""),"ITBISA-IC-CD4094BE-DIP16")</f>
        <v>ITBISA-IC-CD4094BE-DIP16</v>
      </c>
      <c r="B4770" s="266">
        <f>IFERROR(__xludf.DUMMYFUNCTION("""COMPUTED_VALUE"""),45375.0)</f>
        <v>45375</v>
      </c>
      <c r="C4770" s="266" t="str">
        <f>IFERROR(__xludf.DUMMYFUNCTION("""COMPUTED_VALUE"""),"KYAI KONTONG")</f>
        <v>KYAI KONTONG</v>
      </c>
      <c r="D4770" s="186">
        <f>IFERROR(__xludf.DUMMYFUNCTION("""COMPUTED_VALUE"""),5.0)</f>
        <v>5</v>
      </c>
    </row>
    <row r="4771">
      <c r="A4771" s="178" t="str">
        <f>IFERROR(__xludf.DUMMYFUNCTION("""COMPUTED_VALUE"""),"ITBISA-IC-CD4094BE-DIP16")</f>
        <v>ITBISA-IC-CD4094BE-DIP16</v>
      </c>
      <c r="B4771" s="266">
        <f>IFERROR(__xludf.DUMMYFUNCTION("""COMPUTED_VALUE"""),45381.0)</f>
        <v>45381</v>
      </c>
      <c r="C4771" s="266" t="str">
        <f>IFERROR(__xludf.DUMMYFUNCTION("""COMPUTED_VALUE"""),"KYAI KONTONG")</f>
        <v>KYAI KONTONG</v>
      </c>
      <c r="D4771" s="186">
        <f>IFERROR(__xludf.DUMMYFUNCTION("""COMPUTED_VALUE"""),16.0)</f>
        <v>16</v>
      </c>
    </row>
    <row r="4772">
      <c r="A4772" s="178" t="str">
        <f>IFERROR(__xludf.DUMMYFUNCTION("""COMPUTED_VALUE"""),"ITBISA-IC-CD4094BE-DIP16")</f>
        <v>ITBISA-IC-CD4094BE-DIP16</v>
      </c>
      <c r="B4772" s="266">
        <f>IFERROR(__xludf.DUMMYFUNCTION("""COMPUTED_VALUE"""),45400.0)</f>
        <v>45400</v>
      </c>
      <c r="C4772" s="266" t="str">
        <f>IFERROR(__xludf.DUMMYFUNCTION("""COMPUTED_VALUE"""),"KERTASARI CIAMIS")</f>
        <v>KERTASARI CIAMIS</v>
      </c>
      <c r="D4772" s="186">
        <f>IFERROR(__xludf.DUMMYFUNCTION("""COMPUTED_VALUE"""),20.0)</f>
        <v>20</v>
      </c>
    </row>
    <row r="4773">
      <c r="A4773" s="178" t="str">
        <f>IFERROR(__xludf.DUMMYFUNCTION("""COMPUTED_VALUE"""),"ITBISA-IC-CD4094BE-DIP16")</f>
        <v>ITBISA-IC-CD4094BE-DIP16</v>
      </c>
      <c r="B4773" s="266">
        <f>IFERROR(__xludf.DUMMYFUNCTION("""COMPUTED_VALUE"""),45402.0)</f>
        <v>45402</v>
      </c>
      <c r="C4773" s="266" t="str">
        <f>IFERROR(__xludf.DUMMYFUNCTION("""COMPUTED_VALUE"""),"KERTASARI CIAMIS")</f>
        <v>KERTASARI CIAMIS</v>
      </c>
      <c r="D4773" s="186">
        <f>IFERROR(__xludf.DUMMYFUNCTION("""COMPUTED_VALUE"""),200.0)</f>
        <v>200</v>
      </c>
    </row>
    <row r="4774">
      <c r="A4774" s="178" t="str">
        <f>IFERROR(__xludf.DUMMYFUNCTION("""COMPUTED_VALUE"""),"ITBISA-IC-CD4094BE-DIP16")</f>
        <v>ITBISA-IC-CD4094BE-DIP16</v>
      </c>
      <c r="B4774" s="266">
        <f>IFERROR(__xludf.DUMMYFUNCTION("""COMPUTED_VALUE"""),45408.0)</f>
        <v>45408</v>
      </c>
      <c r="C4774" s="266" t="str">
        <f>IFERROR(__xludf.DUMMYFUNCTION("""COMPUTED_VALUE"""),"KERTASARI CIAMIS")</f>
        <v>KERTASARI CIAMIS</v>
      </c>
      <c r="D4774" s="186">
        <f>IFERROR(__xludf.DUMMYFUNCTION("""COMPUTED_VALUE"""),5.0)</f>
        <v>5</v>
      </c>
    </row>
    <row r="4775">
      <c r="A4775" s="178" t="str">
        <f>IFERROR(__xludf.DUMMYFUNCTION("""COMPUTED_VALUE"""),"ITBISA-IC-CD4094BE-DIP16")</f>
        <v>ITBISA-IC-CD4094BE-DIP16</v>
      </c>
      <c r="B4775" s="266">
        <f>IFERROR(__xludf.DUMMYFUNCTION("""COMPUTED_VALUE"""),45409.0)</f>
        <v>45409</v>
      </c>
      <c r="C4775" s="266" t="str">
        <f>IFERROR(__xludf.DUMMYFUNCTION("""COMPUTED_VALUE"""),"KERTASARI CIAMIS")</f>
        <v>KERTASARI CIAMIS</v>
      </c>
      <c r="D4775" s="186">
        <f>IFERROR(__xludf.DUMMYFUNCTION("""COMPUTED_VALUE"""),25.0)</f>
        <v>25</v>
      </c>
    </row>
    <row r="4776">
      <c r="A4776" s="178" t="str">
        <f>IFERROR(__xludf.DUMMYFUNCTION("""COMPUTED_VALUE"""),"ITBISA-IC-CD4094BE-DIP16")</f>
        <v>ITBISA-IC-CD4094BE-DIP16</v>
      </c>
      <c r="B4776" s="266">
        <f>IFERROR(__xludf.DUMMYFUNCTION("""COMPUTED_VALUE"""),45411.0)</f>
        <v>45411</v>
      </c>
      <c r="C4776" s="266" t="str">
        <f>IFERROR(__xludf.DUMMYFUNCTION("""COMPUTED_VALUE"""),"KYAI KONTONG")</f>
        <v>KYAI KONTONG</v>
      </c>
      <c r="D4776" s="186">
        <f>IFERROR(__xludf.DUMMYFUNCTION("""COMPUTED_VALUE"""),10.0)</f>
        <v>10</v>
      </c>
    </row>
    <row r="4777">
      <c r="A4777" s="178" t="str">
        <f>IFERROR(__xludf.DUMMYFUNCTION("""COMPUTED_VALUE"""),"ITBISA-IC-CD4094BE-DIP16")</f>
        <v>ITBISA-IC-CD4094BE-DIP16</v>
      </c>
      <c r="B4777" s="266">
        <f>IFERROR(__xludf.DUMMYFUNCTION("""COMPUTED_VALUE"""),45415.0)</f>
        <v>45415</v>
      </c>
      <c r="C4777" s="266" t="str">
        <f>IFERROR(__xludf.DUMMYFUNCTION("""COMPUTED_VALUE"""),"KYAI KONTONG")</f>
        <v>KYAI KONTONG</v>
      </c>
      <c r="D4777" s="186">
        <f>IFERROR(__xludf.DUMMYFUNCTION("""COMPUTED_VALUE"""),25.0)</f>
        <v>25</v>
      </c>
    </row>
    <row r="4778">
      <c r="A4778" s="178" t="str">
        <f>IFERROR(__xludf.DUMMYFUNCTION("""COMPUTED_VALUE"""),"ITBISA-IC-CD4094BE-DIP16")</f>
        <v>ITBISA-IC-CD4094BE-DIP16</v>
      </c>
      <c r="B4778" s="266">
        <f>IFERROR(__xludf.DUMMYFUNCTION("""COMPUTED_VALUE"""),45415.0)</f>
        <v>45415</v>
      </c>
      <c r="C4778" s="266" t="str">
        <f>IFERROR(__xludf.DUMMYFUNCTION("""COMPUTED_VALUE"""),"KYAI KONTONG")</f>
        <v>KYAI KONTONG</v>
      </c>
      <c r="D4778" s="186">
        <f>IFERROR(__xludf.DUMMYFUNCTION("""COMPUTED_VALUE"""),40.0)</f>
        <v>40</v>
      </c>
    </row>
    <row r="4779">
      <c r="A4779" s="178" t="str">
        <f>IFERROR(__xludf.DUMMYFUNCTION("""COMPUTED_VALUE"""),"ITBISA-IC-CD4094BE-DIP16")</f>
        <v>ITBISA-IC-CD4094BE-DIP16</v>
      </c>
      <c r="B4779" s="266">
        <f>IFERROR(__xludf.DUMMYFUNCTION("""COMPUTED_VALUE"""),45430.0)</f>
        <v>45430</v>
      </c>
      <c r="C4779" s="266" t="str">
        <f>IFERROR(__xludf.DUMMYFUNCTION("""COMPUTED_VALUE"""),"KYAI KONTONG")</f>
        <v>KYAI KONTONG</v>
      </c>
      <c r="D4779" s="186">
        <f>IFERROR(__xludf.DUMMYFUNCTION("""COMPUTED_VALUE"""),6.0)</f>
        <v>6</v>
      </c>
    </row>
    <row r="4780">
      <c r="A4780" s="178" t="str">
        <f>IFERROR(__xludf.DUMMYFUNCTION("""COMPUTED_VALUE"""),"ITBISA-IC-CD4094BE-DIP16")</f>
        <v>ITBISA-IC-CD4094BE-DIP16</v>
      </c>
      <c r="B4780" s="266">
        <f>IFERROR(__xludf.DUMMYFUNCTION("""COMPUTED_VALUE"""),45432.0)</f>
        <v>45432</v>
      </c>
      <c r="C4780" s="266" t="str">
        <f>IFERROR(__xludf.DUMMYFUNCTION("""COMPUTED_VALUE"""),"KYAI KONTONG")</f>
        <v>KYAI KONTONG</v>
      </c>
      <c r="D4780" s="186">
        <f>IFERROR(__xludf.DUMMYFUNCTION("""COMPUTED_VALUE"""),10.0)</f>
        <v>10</v>
      </c>
    </row>
    <row r="4781">
      <c r="A4781" s="178" t="str">
        <f>IFERROR(__xludf.DUMMYFUNCTION("""COMPUTED_VALUE"""),"ITBISA-IC-CD4094BE-DIP16")</f>
        <v>ITBISA-IC-CD4094BE-DIP16</v>
      </c>
      <c r="B4781" s="266">
        <f>IFERROR(__xludf.DUMMYFUNCTION("""COMPUTED_VALUE"""),45439.0)</f>
        <v>45439</v>
      </c>
      <c r="C4781" s="266" t="str">
        <f>IFERROR(__xludf.DUMMYFUNCTION("""COMPUTED_VALUE"""),"KERTASARI CIAMIS")</f>
        <v>KERTASARI CIAMIS</v>
      </c>
      <c r="D4781" s="186">
        <f>IFERROR(__xludf.DUMMYFUNCTION("""COMPUTED_VALUE"""),33.0)</f>
        <v>33</v>
      </c>
    </row>
    <row r="4782">
      <c r="A4782" s="178" t="str">
        <f>IFERROR(__xludf.DUMMYFUNCTION("""COMPUTED_VALUE"""),"ITBISA-IC-CD4094BE-DIP16")</f>
        <v>ITBISA-IC-CD4094BE-DIP16</v>
      </c>
      <c r="B4782" s="266">
        <f>IFERROR(__xludf.DUMMYFUNCTION("""COMPUTED_VALUE"""),45443.0)</f>
        <v>45443</v>
      </c>
      <c r="C4782" s="266" t="str">
        <f>IFERROR(__xludf.DUMMYFUNCTION("""COMPUTED_VALUE"""),"KERTASARI CIAMIS")</f>
        <v>KERTASARI CIAMIS</v>
      </c>
      <c r="D4782" s="186">
        <f>IFERROR(__xludf.DUMMYFUNCTION("""COMPUTED_VALUE"""),150.0)</f>
        <v>150</v>
      </c>
    </row>
    <row r="4783">
      <c r="A4783" s="178" t="str">
        <f>IFERROR(__xludf.DUMMYFUNCTION("""COMPUTED_VALUE"""),"ITBISA-IC-CD4094BE-DIP16")</f>
        <v>ITBISA-IC-CD4094BE-DIP16</v>
      </c>
      <c r="B4783" s="266">
        <f>IFERROR(__xludf.DUMMYFUNCTION("""COMPUTED_VALUE"""),45446.0)</f>
        <v>45446</v>
      </c>
      <c r="C4783" s="266" t="str">
        <f>IFERROR(__xludf.DUMMYFUNCTION("""COMPUTED_VALUE"""),"KERTASARI CIAMIS")</f>
        <v>KERTASARI CIAMIS</v>
      </c>
      <c r="D4783" s="186">
        <f>IFERROR(__xludf.DUMMYFUNCTION("""COMPUTED_VALUE"""),34.0)</f>
        <v>34</v>
      </c>
    </row>
    <row r="4784">
      <c r="A4784" s="178" t="str">
        <f>IFERROR(__xludf.DUMMYFUNCTION("""COMPUTED_VALUE"""),"ITBISA-IC-CD4094BE-DIP16")</f>
        <v>ITBISA-IC-CD4094BE-DIP16</v>
      </c>
      <c r="B4784" s="266">
        <f>IFERROR(__xludf.DUMMYFUNCTION("""COMPUTED_VALUE"""),45447.0)</f>
        <v>45447</v>
      </c>
      <c r="C4784" s="266" t="str">
        <f>IFERROR(__xludf.DUMMYFUNCTION("""COMPUTED_VALUE"""),"KERTASARI CIAMIS")</f>
        <v>KERTASARI CIAMIS</v>
      </c>
      <c r="D4784" s="186">
        <f>IFERROR(__xludf.DUMMYFUNCTION("""COMPUTED_VALUE"""),150.0)</f>
        <v>150</v>
      </c>
    </row>
    <row r="4785">
      <c r="A4785" s="178" t="str">
        <f>IFERROR(__xludf.DUMMYFUNCTION("""COMPUTED_VALUE"""),"ITBISA-IC-CD4094BE-DIP16")</f>
        <v>ITBISA-IC-CD4094BE-DIP16</v>
      </c>
      <c r="B4785" s="266">
        <f>IFERROR(__xludf.DUMMYFUNCTION("""COMPUTED_VALUE"""),45451.0)</f>
        <v>45451</v>
      </c>
      <c r="C4785" s="266" t="str">
        <f>IFERROR(__xludf.DUMMYFUNCTION("""COMPUTED_VALUE"""),"KYAI KONTONG")</f>
        <v>KYAI KONTONG</v>
      </c>
      <c r="D4785" s="186">
        <f>IFERROR(__xludf.DUMMYFUNCTION("""COMPUTED_VALUE"""),5.0)</f>
        <v>5</v>
      </c>
    </row>
    <row r="4786">
      <c r="A4786" s="178" t="str">
        <f>IFERROR(__xludf.DUMMYFUNCTION("""COMPUTED_VALUE"""),"ITBISA-IC-CD4094BE-DIP16")</f>
        <v>ITBISA-IC-CD4094BE-DIP16</v>
      </c>
      <c r="B4786" s="266">
        <f>IFERROR(__xludf.DUMMYFUNCTION("""COMPUTED_VALUE"""),45458.0)</f>
        <v>45458</v>
      </c>
      <c r="C4786" s="266" t="str">
        <f>IFERROR(__xludf.DUMMYFUNCTION("""COMPUTED_VALUE"""),"KERTASARI CIAMIS")</f>
        <v>KERTASARI CIAMIS</v>
      </c>
      <c r="D4786" s="186">
        <f>IFERROR(__xludf.DUMMYFUNCTION("""COMPUTED_VALUE"""),150.0)</f>
        <v>150</v>
      </c>
    </row>
    <row r="4787">
      <c r="A4787" s="178" t="str">
        <f>IFERROR(__xludf.DUMMYFUNCTION("""COMPUTED_VALUE"""),"ITBISA-IC-CD4094BE-DIP16")</f>
        <v>ITBISA-IC-CD4094BE-DIP16</v>
      </c>
      <c r="B4787" s="266">
        <f>IFERROR(__xludf.DUMMYFUNCTION("""COMPUTED_VALUE"""),45463.0)</f>
        <v>45463</v>
      </c>
      <c r="C4787" s="266" t="str">
        <f>IFERROR(__xludf.DUMMYFUNCTION("""COMPUTED_VALUE"""),"KERTASARI CIAMIS")</f>
        <v>KERTASARI CIAMIS</v>
      </c>
      <c r="D4787" s="186">
        <f>IFERROR(__xludf.DUMMYFUNCTION("""COMPUTED_VALUE"""),150.0)</f>
        <v>150</v>
      </c>
    </row>
    <row r="4788">
      <c r="A4788" s="178" t="str">
        <f>IFERROR(__xludf.DUMMYFUNCTION("""COMPUTED_VALUE"""),"ITBISA-IC-CD4094BE-DIP16")</f>
        <v>ITBISA-IC-CD4094BE-DIP16</v>
      </c>
      <c r="B4788" s="266">
        <f>IFERROR(__xludf.DUMMYFUNCTION("""COMPUTED_VALUE"""),45467.0)</f>
        <v>45467</v>
      </c>
      <c r="C4788" s="266" t="str">
        <f>IFERROR(__xludf.DUMMYFUNCTION("""COMPUTED_VALUE"""),"KERTASARI CIAMIS")</f>
        <v>KERTASARI CIAMIS</v>
      </c>
      <c r="D4788" s="186">
        <f>IFERROR(__xludf.DUMMYFUNCTION("""COMPUTED_VALUE"""),33.0)</f>
        <v>33</v>
      </c>
    </row>
    <row r="4789">
      <c r="A4789" s="178" t="str">
        <f>IFERROR(__xludf.DUMMYFUNCTION("""COMPUTED_VALUE"""),"ITBISA-IC-CD4094BE-DIP16")</f>
        <v>ITBISA-IC-CD4094BE-DIP16</v>
      </c>
      <c r="B4789" s="266">
        <f>IFERROR(__xludf.DUMMYFUNCTION("""COMPUTED_VALUE"""),45467.0)</f>
        <v>45467</v>
      </c>
      <c r="C4789" s="266" t="str">
        <f>IFERROR(__xludf.DUMMYFUNCTION("""COMPUTED_VALUE"""),"KERTASARI CIAMIS")</f>
        <v>KERTASARI CIAMIS</v>
      </c>
      <c r="D4789" s="186">
        <f>IFERROR(__xludf.DUMMYFUNCTION("""COMPUTED_VALUE"""),600.0)</f>
        <v>600</v>
      </c>
    </row>
    <row r="4790">
      <c r="A4790" s="178" t="str">
        <f>IFERROR(__xludf.DUMMYFUNCTION("""COMPUTED_VALUE"""),"ITBISA-IC-CD4094BE-DIP16")</f>
        <v>ITBISA-IC-CD4094BE-DIP16</v>
      </c>
      <c r="B4790" s="266">
        <f>IFERROR(__xludf.DUMMYFUNCTION("""COMPUTED_VALUE"""),45470.0)</f>
        <v>45470</v>
      </c>
      <c r="C4790" s="266" t="str">
        <f>IFERROR(__xludf.DUMMYFUNCTION("""COMPUTED_VALUE"""),"KYAI KONTONG")</f>
        <v>KYAI KONTONG</v>
      </c>
      <c r="D4790" s="186">
        <f>IFERROR(__xludf.DUMMYFUNCTION("""COMPUTED_VALUE"""),100.0)</f>
        <v>100</v>
      </c>
    </row>
    <row r="4791">
      <c r="A4791" s="178" t="str">
        <f>IFERROR(__xludf.DUMMYFUNCTION("""COMPUTED_VALUE"""),"ITBISA-IC-CD4094BE-DIP16")</f>
        <v>ITBISA-IC-CD4094BE-DIP16</v>
      </c>
      <c r="B4791" s="266">
        <f>IFERROR(__xludf.DUMMYFUNCTION("""COMPUTED_VALUE"""),45472.0)</f>
        <v>45472</v>
      </c>
      <c r="C4791" s="266" t="str">
        <f>IFERROR(__xludf.DUMMYFUNCTION("""COMPUTED_VALUE"""),"KYAI KONTONG")</f>
        <v>KYAI KONTONG</v>
      </c>
      <c r="D4791" s="186">
        <f>IFERROR(__xludf.DUMMYFUNCTION("""COMPUTED_VALUE"""),3.0)</f>
        <v>3</v>
      </c>
    </row>
    <row r="4792">
      <c r="A4792" s="178" t="str">
        <f>IFERROR(__xludf.DUMMYFUNCTION("""COMPUTED_VALUE"""),"ITBISA-IC-CD4094BE-DIP16")</f>
        <v>ITBISA-IC-CD4094BE-DIP16</v>
      </c>
      <c r="B4792" s="266">
        <f>IFERROR(__xludf.DUMMYFUNCTION("""COMPUTED_VALUE"""),45475.0)</f>
        <v>45475</v>
      </c>
      <c r="C4792" s="266" t="str">
        <f>IFERROR(__xludf.DUMMYFUNCTION("""COMPUTED_VALUE"""),"KYAI KONTONG")</f>
        <v>KYAI KONTONG</v>
      </c>
      <c r="D4792" s="186">
        <f>IFERROR(__xludf.DUMMYFUNCTION("""COMPUTED_VALUE"""),100.0)</f>
        <v>100</v>
      </c>
    </row>
    <row r="4793">
      <c r="A4793" s="178" t="str">
        <f>IFERROR(__xludf.DUMMYFUNCTION("""COMPUTED_VALUE"""),"ITBISA-IC-CD4094BE-DIP16")</f>
        <v>ITBISA-IC-CD4094BE-DIP16</v>
      </c>
      <c r="B4793" s="266">
        <f>IFERROR(__xludf.DUMMYFUNCTION("""COMPUTED_VALUE"""),45489.0)</f>
        <v>45489</v>
      </c>
      <c r="C4793" s="266" t="str">
        <f>IFERROR(__xludf.DUMMYFUNCTION("""COMPUTED_VALUE"""),"KYAI KONTONG")</f>
        <v>KYAI KONTONG</v>
      </c>
      <c r="D4793" s="186">
        <f>IFERROR(__xludf.DUMMYFUNCTION("""COMPUTED_VALUE"""),100.0)</f>
        <v>100</v>
      </c>
    </row>
    <row r="4794">
      <c r="A4794" s="178" t="str">
        <f>IFERROR(__xludf.DUMMYFUNCTION("""COMPUTED_VALUE"""),"ITBISA-IC-CD4094BE-DIP16")</f>
        <v>ITBISA-IC-CD4094BE-DIP16</v>
      </c>
      <c r="B4794" s="266">
        <f>IFERROR(__xludf.DUMMYFUNCTION("""COMPUTED_VALUE"""),45497.0)</f>
        <v>45497</v>
      </c>
      <c r="C4794" s="266" t="str">
        <f>IFERROR(__xludf.DUMMYFUNCTION("""COMPUTED_VALUE"""),"KYAI KONTONG")</f>
        <v>KYAI KONTONG</v>
      </c>
      <c r="D4794" s="186">
        <f>IFERROR(__xludf.DUMMYFUNCTION("""COMPUTED_VALUE"""),100.0)</f>
        <v>100</v>
      </c>
    </row>
    <row r="4795">
      <c r="A4795" s="178" t="str">
        <f>IFERROR(__xludf.DUMMYFUNCTION("""COMPUTED_VALUE"""),"ITBISA-IC-CD4094BE-DIP16")</f>
        <v>ITBISA-IC-CD4094BE-DIP16</v>
      </c>
      <c r="B4795" s="266">
        <f>IFERROR(__xludf.DUMMYFUNCTION("""COMPUTED_VALUE"""),45511.0)</f>
        <v>45511</v>
      </c>
      <c r="C4795" s="266" t="str">
        <f>IFERROR(__xludf.DUMMYFUNCTION("""COMPUTED_VALUE"""),"KYAI KONTONG")</f>
        <v>KYAI KONTONG</v>
      </c>
      <c r="D4795" s="186">
        <f>IFERROR(__xludf.DUMMYFUNCTION("""COMPUTED_VALUE"""),150.0)</f>
        <v>150</v>
      </c>
    </row>
    <row r="4796">
      <c r="A4796" s="178" t="str">
        <f>IFERROR(__xludf.DUMMYFUNCTION("""COMPUTED_VALUE"""),"ITBISA-IC-CD4094BE-DIP16")</f>
        <v>ITBISA-IC-CD4094BE-DIP16</v>
      </c>
      <c r="B4796" s="266">
        <f>IFERROR(__xludf.DUMMYFUNCTION("""COMPUTED_VALUE"""),45518.0)</f>
        <v>45518</v>
      </c>
      <c r="C4796" s="266" t="str">
        <f>IFERROR(__xludf.DUMMYFUNCTION("""COMPUTED_VALUE"""),"KYAI KONTONG")</f>
        <v>KYAI KONTONG</v>
      </c>
      <c r="D4796" s="186">
        <f>IFERROR(__xludf.DUMMYFUNCTION("""COMPUTED_VALUE"""),10.0)</f>
        <v>10</v>
      </c>
    </row>
    <row r="4797">
      <c r="A4797" s="178" t="str">
        <f>IFERROR(__xludf.DUMMYFUNCTION("""COMPUTED_VALUE"""),"ITBISA-IC-CD4094BE-DIP16")</f>
        <v>ITBISA-IC-CD4094BE-DIP16</v>
      </c>
      <c r="B4797" s="266">
        <f>IFERROR(__xludf.DUMMYFUNCTION("""COMPUTED_VALUE"""),45523.0)</f>
        <v>45523</v>
      </c>
      <c r="C4797" s="266" t="str">
        <f>IFERROR(__xludf.DUMMYFUNCTION("""COMPUTED_VALUE"""),"KERTASARI CIAMIS")</f>
        <v>KERTASARI CIAMIS</v>
      </c>
      <c r="D4797" s="186">
        <f>IFERROR(__xludf.DUMMYFUNCTION("""COMPUTED_VALUE"""),50.0)</f>
        <v>50</v>
      </c>
    </row>
    <row r="4798">
      <c r="A4798" s="178" t="str">
        <f>IFERROR(__xludf.DUMMYFUNCTION("""COMPUTED_VALUE"""),"ITBISA-IC-CD4094BE-DIP16")</f>
        <v>ITBISA-IC-CD4094BE-DIP16</v>
      </c>
      <c r="B4798" s="266">
        <f>IFERROR(__xludf.DUMMYFUNCTION("""COMPUTED_VALUE"""),45524.0)</f>
        <v>45524</v>
      </c>
      <c r="C4798" s="266" t="str">
        <f>IFERROR(__xludf.DUMMYFUNCTION("""COMPUTED_VALUE"""),"KERTASARI CIAMIS")</f>
        <v>KERTASARI CIAMIS</v>
      </c>
      <c r="D4798" s="186">
        <f>IFERROR(__xludf.DUMMYFUNCTION("""COMPUTED_VALUE"""),50.0)</f>
        <v>50</v>
      </c>
    </row>
    <row r="4799">
      <c r="A4799" s="178" t="str">
        <f>IFERROR(__xludf.DUMMYFUNCTION("""COMPUTED_VALUE"""),"ITBISA-IC-CD4094BE-DIP16")</f>
        <v>ITBISA-IC-CD4094BE-DIP16</v>
      </c>
      <c r="B4799" s="266">
        <f>IFERROR(__xludf.DUMMYFUNCTION("""COMPUTED_VALUE"""),45535.0)</f>
        <v>45535</v>
      </c>
      <c r="C4799" s="266" t="str">
        <f>IFERROR(__xludf.DUMMYFUNCTION("""COMPUTED_VALUE"""),"KYAI KONTONG")</f>
        <v>KYAI KONTONG</v>
      </c>
      <c r="D4799" s="186">
        <f>IFERROR(__xludf.DUMMYFUNCTION("""COMPUTED_VALUE"""),100.0)</f>
        <v>100</v>
      </c>
    </row>
    <row r="4800">
      <c r="A4800" s="178" t="str">
        <f>IFERROR(__xludf.DUMMYFUNCTION("""COMPUTED_VALUE"""),"ITBISA-IC-CD4094BE-DIP16")</f>
        <v>ITBISA-IC-CD4094BE-DIP16</v>
      </c>
      <c r="B4800" s="266">
        <f>IFERROR(__xludf.DUMMYFUNCTION("""COMPUTED_VALUE"""),45551.0)</f>
        <v>45551</v>
      </c>
      <c r="C4800" s="266" t="str">
        <f>IFERROR(__xludf.DUMMYFUNCTION("""COMPUTED_VALUE"""),"KYAI KONTONG")</f>
        <v>KYAI KONTONG</v>
      </c>
      <c r="D4800" s="186">
        <f>IFERROR(__xludf.DUMMYFUNCTION("""COMPUTED_VALUE"""),100.0)</f>
        <v>100</v>
      </c>
    </row>
    <row r="4801">
      <c r="A4801" s="178" t="str">
        <f>IFERROR(__xludf.DUMMYFUNCTION("""COMPUTED_VALUE"""),"ITBISA-IC-CD4094BE-DIP16")</f>
        <v>ITBISA-IC-CD4094BE-DIP16</v>
      </c>
      <c r="B4801" s="266">
        <f>IFERROR(__xludf.DUMMYFUNCTION("""COMPUTED_VALUE"""),45554.0)</f>
        <v>45554</v>
      </c>
      <c r="C4801" s="266" t="str">
        <f>IFERROR(__xludf.DUMMYFUNCTION("""COMPUTED_VALUE"""),"KERTASARI CIAMIS")</f>
        <v>KERTASARI CIAMIS</v>
      </c>
      <c r="D4801" s="186">
        <f>IFERROR(__xludf.DUMMYFUNCTION("""COMPUTED_VALUE"""),100.0)</f>
        <v>100</v>
      </c>
    </row>
    <row r="4802">
      <c r="A4802" s="178" t="str">
        <f>IFERROR(__xludf.DUMMYFUNCTION("""COMPUTED_VALUE"""),"ITBISA-IC-CD4094BE-DIP16")</f>
        <v>ITBISA-IC-CD4094BE-DIP16</v>
      </c>
      <c r="B4802" s="266">
        <f>IFERROR(__xludf.DUMMYFUNCTION("""COMPUTED_VALUE"""),45563.0)</f>
        <v>45563</v>
      </c>
      <c r="C4802" s="266" t="str">
        <f>IFERROR(__xludf.DUMMYFUNCTION("""COMPUTED_VALUE"""),"KERTASARI CIAMIS")</f>
        <v>KERTASARI CIAMIS</v>
      </c>
      <c r="D4802" s="186">
        <f>IFERROR(__xludf.DUMMYFUNCTION("""COMPUTED_VALUE"""),100.0)</f>
        <v>100</v>
      </c>
    </row>
    <row r="4803">
      <c r="A4803" s="178" t="str">
        <f>IFERROR(__xludf.DUMMYFUNCTION("""COMPUTED_VALUE"""),"ITBISA-IC-CD4094BE-DIP16")</f>
        <v>ITBISA-IC-CD4094BE-DIP16</v>
      </c>
      <c r="B4803" s="266">
        <f>IFERROR(__xludf.DUMMYFUNCTION("""COMPUTED_VALUE"""),45567.0)</f>
        <v>45567</v>
      </c>
      <c r="C4803" s="266" t="str">
        <f>IFERROR(__xludf.DUMMYFUNCTION("""COMPUTED_VALUE"""),"KERTASARI CIAMIS")</f>
        <v>KERTASARI CIAMIS</v>
      </c>
      <c r="D4803" s="186">
        <f>IFERROR(__xludf.DUMMYFUNCTION("""COMPUTED_VALUE"""),100.0)</f>
        <v>100</v>
      </c>
    </row>
    <row r="4804">
      <c r="A4804" s="178" t="str">
        <f>IFERROR(__xludf.DUMMYFUNCTION("""COMPUTED_VALUE"""),"ITBISA-IC-CD4094BE-DIP16")</f>
        <v>ITBISA-IC-CD4094BE-DIP16</v>
      </c>
      <c r="B4804" s="266">
        <f>IFERROR(__xludf.DUMMYFUNCTION("""COMPUTED_VALUE"""),45574.0)</f>
        <v>45574</v>
      </c>
      <c r="C4804" s="266" t="str">
        <f>IFERROR(__xludf.DUMMYFUNCTION("""COMPUTED_VALUE"""),"KYAI KONTONG")</f>
        <v>KYAI KONTONG</v>
      </c>
      <c r="D4804" s="186">
        <f>IFERROR(__xludf.DUMMYFUNCTION("""COMPUTED_VALUE"""),100.0)</f>
        <v>100</v>
      </c>
    </row>
    <row r="4805">
      <c r="A4805" s="178" t="str">
        <f>IFERROR(__xludf.DUMMYFUNCTION("""COMPUTED_VALUE"""),"ITBISA-IC-CD4094BE-DIP16")</f>
        <v>ITBISA-IC-CD4094BE-DIP16</v>
      </c>
      <c r="B4805" s="266">
        <f>IFERROR(__xludf.DUMMYFUNCTION("""COMPUTED_VALUE"""),45576.0)</f>
        <v>45576</v>
      </c>
      <c r="C4805" s="266" t="str">
        <f>IFERROR(__xludf.DUMMYFUNCTION("""COMPUTED_VALUE"""),"KYAI KONTONG")</f>
        <v>KYAI KONTONG</v>
      </c>
      <c r="D4805" s="186">
        <f>IFERROR(__xludf.DUMMYFUNCTION("""COMPUTED_VALUE"""),16.0)</f>
        <v>16</v>
      </c>
    </row>
    <row r="4806">
      <c r="A4806" s="178" t="str">
        <f>IFERROR(__xludf.DUMMYFUNCTION("""COMPUTED_VALUE"""),"ITBISA-IC-CD4094BE-DIP16")</f>
        <v>ITBISA-IC-CD4094BE-DIP16</v>
      </c>
      <c r="B4806" s="266">
        <f>IFERROR(__xludf.DUMMYFUNCTION("""COMPUTED_VALUE"""),45579.0)</f>
        <v>45579</v>
      </c>
      <c r="C4806" s="266" t="str">
        <f>IFERROR(__xludf.DUMMYFUNCTION("""COMPUTED_VALUE"""),"KYAI KONTONG")</f>
        <v>KYAI KONTONG</v>
      </c>
      <c r="D4806" s="186">
        <f>IFERROR(__xludf.DUMMYFUNCTION("""COMPUTED_VALUE"""),100.0)</f>
        <v>100</v>
      </c>
    </row>
    <row r="4807">
      <c r="A4807" s="178" t="str">
        <f>IFERROR(__xludf.DUMMYFUNCTION("""COMPUTED_VALUE"""),"ITBISA-IC-CD4094BE-DIP16")</f>
        <v>ITBISA-IC-CD4094BE-DIP16</v>
      </c>
      <c r="B4807" s="266">
        <f>IFERROR(__xludf.DUMMYFUNCTION("""COMPUTED_VALUE"""),45579.0)</f>
        <v>45579</v>
      </c>
      <c r="C4807" s="266" t="str">
        <f>IFERROR(__xludf.DUMMYFUNCTION("""COMPUTED_VALUE"""),"KYAI KONTONG")</f>
        <v>KYAI KONTONG</v>
      </c>
      <c r="D4807" s="186">
        <f>IFERROR(__xludf.DUMMYFUNCTION("""COMPUTED_VALUE"""),130.0)</f>
        <v>130</v>
      </c>
    </row>
    <row r="4808">
      <c r="A4808" s="178" t="str">
        <f>IFERROR(__xludf.DUMMYFUNCTION("""COMPUTED_VALUE"""),"ITBISA-IC-CD4094BE-DIP16")</f>
        <v>ITBISA-IC-CD4094BE-DIP16</v>
      </c>
      <c r="B4808" s="266">
        <f>IFERROR(__xludf.DUMMYFUNCTION("""COMPUTED_VALUE"""),45590.0)</f>
        <v>45590</v>
      </c>
      <c r="C4808" s="266" t="str">
        <f>IFERROR(__xludf.DUMMYFUNCTION("""COMPUTED_VALUE"""),"KERTASARI CIAMIS")</f>
        <v>KERTASARI CIAMIS</v>
      </c>
      <c r="D4808" s="186">
        <f>IFERROR(__xludf.DUMMYFUNCTION("""COMPUTED_VALUE"""),100.0)</f>
        <v>100</v>
      </c>
    </row>
    <row r="4809">
      <c r="A4809" s="178" t="str">
        <f>IFERROR(__xludf.DUMMYFUNCTION("""COMPUTED_VALUE"""),"ITBISA-IC-CD4094BE-DIP16")</f>
        <v>ITBISA-IC-CD4094BE-DIP16</v>
      </c>
      <c r="B4809" s="266">
        <f>IFERROR(__xludf.DUMMYFUNCTION("""COMPUTED_VALUE"""),45591.0)</f>
        <v>45591</v>
      </c>
      <c r="C4809" s="266" t="str">
        <f>IFERROR(__xludf.DUMMYFUNCTION("""COMPUTED_VALUE"""),"KERTASARI CIAMIS")</f>
        <v>KERTASARI CIAMIS</v>
      </c>
      <c r="D4809" s="186">
        <f>IFERROR(__xludf.DUMMYFUNCTION("""COMPUTED_VALUE"""),100.0)</f>
        <v>100</v>
      </c>
    </row>
    <row r="4810">
      <c r="A4810" s="178" t="str">
        <f>IFERROR(__xludf.DUMMYFUNCTION("""COMPUTED_VALUE"""),"ITBISA-IC-CD4094BE-DIP16")</f>
        <v>ITBISA-IC-CD4094BE-DIP16</v>
      </c>
      <c r="B4810" s="266">
        <f>IFERROR(__xludf.DUMMYFUNCTION("""COMPUTED_VALUE"""),45598.0)</f>
        <v>45598</v>
      </c>
      <c r="C4810" s="266" t="str">
        <f>IFERROR(__xludf.DUMMYFUNCTION("""COMPUTED_VALUE"""),"KERTASARI CIAMIS")</f>
        <v>KERTASARI CIAMIS</v>
      </c>
      <c r="D4810" s="186">
        <f>IFERROR(__xludf.DUMMYFUNCTION("""COMPUTED_VALUE"""),32.0)</f>
        <v>32</v>
      </c>
    </row>
    <row r="4811">
      <c r="A4811" s="178" t="str">
        <f>IFERROR(__xludf.DUMMYFUNCTION("""COMPUTED_VALUE"""),"ITBISA-IC-CD4094BE-DIP16")</f>
        <v>ITBISA-IC-CD4094BE-DIP16</v>
      </c>
      <c r="B4811" s="266">
        <f>IFERROR(__xludf.DUMMYFUNCTION("""COMPUTED_VALUE"""),45604.0)</f>
        <v>45604</v>
      </c>
      <c r="C4811" s="266" t="str">
        <f>IFERROR(__xludf.DUMMYFUNCTION("""COMPUTED_VALUE"""),"KERTASARI CIAMIS")</f>
        <v>KERTASARI CIAMIS</v>
      </c>
      <c r="D4811" s="186">
        <f>IFERROR(__xludf.DUMMYFUNCTION("""COMPUTED_VALUE"""),10.0)</f>
        <v>10</v>
      </c>
    </row>
    <row r="4812">
      <c r="A4812" s="178" t="str">
        <f>IFERROR(__xludf.DUMMYFUNCTION("""COMPUTED_VALUE"""),"ITBISA-IC-CD4094BE-DIP16")</f>
        <v>ITBISA-IC-CD4094BE-DIP16</v>
      </c>
      <c r="B4812" s="266">
        <f>IFERROR(__xludf.DUMMYFUNCTION("""COMPUTED_VALUE"""),45609.0)</f>
        <v>45609</v>
      </c>
      <c r="C4812" s="266" t="str">
        <f>IFERROR(__xludf.DUMMYFUNCTION("""COMPUTED_VALUE"""),"KERTASARI CIAMIS")</f>
        <v>KERTASARI CIAMIS</v>
      </c>
      <c r="D4812" s="186">
        <f>IFERROR(__xludf.DUMMYFUNCTION("""COMPUTED_VALUE"""),30.0)</f>
        <v>30</v>
      </c>
    </row>
    <row r="4813">
      <c r="A4813" s="178" t="str">
        <f>IFERROR(__xludf.DUMMYFUNCTION("""COMPUTED_VALUE"""),"ITBISA-IC-CD4094BE-DIP16")</f>
        <v>ITBISA-IC-CD4094BE-DIP16</v>
      </c>
      <c r="B4813" s="266">
        <f>IFERROR(__xludf.DUMMYFUNCTION("""COMPUTED_VALUE"""),45610.0)</f>
        <v>45610</v>
      </c>
      <c r="C4813" s="266" t="str">
        <f>IFERROR(__xludf.DUMMYFUNCTION("""COMPUTED_VALUE"""),"KERTASARI CIAMIS")</f>
        <v>KERTASARI CIAMIS</v>
      </c>
      <c r="D4813" s="186">
        <f>IFERROR(__xludf.DUMMYFUNCTION("""COMPUTED_VALUE"""),100.0)</f>
        <v>100</v>
      </c>
    </row>
    <row r="4814">
      <c r="A4814" s="178" t="str">
        <f>IFERROR(__xludf.DUMMYFUNCTION("""COMPUTED_VALUE"""),"ITBISA-IC-CD4094BE-DIP16")</f>
        <v>ITBISA-IC-CD4094BE-DIP16</v>
      </c>
      <c r="B4814" s="266">
        <f>IFERROR(__xludf.DUMMYFUNCTION("""COMPUTED_VALUE"""),45615.0)</f>
        <v>45615</v>
      </c>
      <c r="C4814" s="266" t="str">
        <f>IFERROR(__xludf.DUMMYFUNCTION("""COMPUTED_VALUE"""),"KERTASARI CIAMIS")</f>
        <v>KERTASARI CIAMIS</v>
      </c>
      <c r="D4814" s="186">
        <f>IFERROR(__xludf.DUMMYFUNCTION("""COMPUTED_VALUE"""),10.0)</f>
        <v>10</v>
      </c>
    </row>
    <row r="4815">
      <c r="A4815" s="178" t="str">
        <f>IFERROR(__xludf.DUMMYFUNCTION("""COMPUTED_VALUE"""),"ITBISA-IC-CD4094BE-DIP16")</f>
        <v>ITBISA-IC-CD4094BE-DIP16</v>
      </c>
      <c r="B4815" s="266">
        <f>IFERROR(__xludf.DUMMYFUNCTION("""COMPUTED_VALUE"""),45615.0)</f>
        <v>45615</v>
      </c>
      <c r="C4815" s="266" t="str">
        <f>IFERROR(__xludf.DUMMYFUNCTION("""COMPUTED_VALUE"""),"KYAI KONTONG")</f>
        <v>KYAI KONTONG</v>
      </c>
      <c r="D4815" s="186">
        <f>IFERROR(__xludf.DUMMYFUNCTION("""COMPUTED_VALUE"""),100.0)</f>
        <v>100</v>
      </c>
    </row>
    <row r="4816">
      <c r="A4816" s="178" t="str">
        <f>IFERROR(__xludf.DUMMYFUNCTION("""COMPUTED_VALUE"""),"ITBISA-IC-CD4094BE-DIP16")</f>
        <v>ITBISA-IC-CD4094BE-DIP16</v>
      </c>
      <c r="B4816" s="266">
        <f>IFERROR(__xludf.DUMMYFUNCTION("""COMPUTED_VALUE"""),45619.0)</f>
        <v>45619</v>
      </c>
      <c r="C4816" s="266" t="str">
        <f>IFERROR(__xludf.DUMMYFUNCTION("""COMPUTED_VALUE"""),"KYAI KONTONG")</f>
        <v>KYAI KONTONG</v>
      </c>
      <c r="D4816" s="186">
        <f>IFERROR(__xludf.DUMMYFUNCTION("""COMPUTED_VALUE"""),15.0)</f>
        <v>15</v>
      </c>
    </row>
    <row r="4817">
      <c r="A4817" s="178" t="str">
        <f>IFERROR(__xludf.DUMMYFUNCTION("""COMPUTED_VALUE"""),"ITBISA-IC-CD4094BE-DIP16")</f>
        <v>ITBISA-IC-CD4094BE-DIP16</v>
      </c>
      <c r="B4817" s="266">
        <f>IFERROR(__xludf.DUMMYFUNCTION("""COMPUTED_VALUE"""),45625.0)</f>
        <v>45625</v>
      </c>
      <c r="C4817" s="266" t="str">
        <f>IFERROR(__xludf.DUMMYFUNCTION("""COMPUTED_VALUE"""),"KYAI KONTONG")</f>
        <v>KYAI KONTONG</v>
      </c>
      <c r="D4817" s="186">
        <f>IFERROR(__xludf.DUMMYFUNCTION("""COMPUTED_VALUE"""),25.0)</f>
        <v>25</v>
      </c>
    </row>
    <row r="4818">
      <c r="A4818" s="178" t="str">
        <f>IFERROR(__xludf.DUMMYFUNCTION("""COMPUTED_VALUE"""),"ITBISA-IC-CD4094BE-DIP16")</f>
        <v>ITBISA-IC-CD4094BE-DIP16</v>
      </c>
      <c r="B4818" s="266">
        <f>IFERROR(__xludf.DUMMYFUNCTION("""COMPUTED_VALUE"""),45625.0)</f>
        <v>45625</v>
      </c>
      <c r="C4818" s="266" t="str">
        <f>IFERROR(__xludf.DUMMYFUNCTION("""COMPUTED_VALUE"""),"KYAI KONTONG")</f>
        <v>KYAI KONTONG</v>
      </c>
      <c r="D4818" s="186">
        <f>IFERROR(__xludf.DUMMYFUNCTION("""COMPUTED_VALUE"""),100.0)</f>
        <v>100</v>
      </c>
    </row>
    <row r="4819">
      <c r="A4819" s="178" t="str">
        <f>IFERROR(__xludf.DUMMYFUNCTION("""COMPUTED_VALUE"""),"ITBISA-IC-CD4094BE-DIP16")</f>
        <v>ITBISA-IC-CD4094BE-DIP16</v>
      </c>
      <c r="B4819" s="266">
        <f>IFERROR(__xludf.DUMMYFUNCTION("""COMPUTED_VALUE"""),45636.0)</f>
        <v>45636</v>
      </c>
      <c r="C4819" s="266" t="str">
        <f>IFERROR(__xludf.DUMMYFUNCTION("""COMPUTED_VALUE"""),"KYAI KONTONG")</f>
        <v>KYAI KONTONG</v>
      </c>
      <c r="D4819" s="186">
        <f>IFERROR(__xludf.DUMMYFUNCTION("""COMPUTED_VALUE"""),10.0)</f>
        <v>10</v>
      </c>
    </row>
    <row r="4820">
      <c r="A4820" s="178" t="str">
        <f>IFERROR(__xludf.DUMMYFUNCTION("""COMPUTED_VALUE"""),"ITBISA-IC-CD4094BE-DIP16")</f>
        <v>ITBISA-IC-CD4094BE-DIP16</v>
      </c>
      <c r="B4820" s="266">
        <f>IFERROR(__xludf.DUMMYFUNCTION("""COMPUTED_VALUE"""),45640.0)</f>
        <v>45640</v>
      </c>
      <c r="C4820" s="266" t="str">
        <f>IFERROR(__xludf.DUMMYFUNCTION("""COMPUTED_VALUE"""),"KYAI KONTONG")</f>
        <v>KYAI KONTONG</v>
      </c>
      <c r="D4820" s="186">
        <f>IFERROR(__xludf.DUMMYFUNCTION("""COMPUTED_VALUE"""),100.0)</f>
        <v>100</v>
      </c>
    </row>
    <row r="4821">
      <c r="A4821" s="178" t="str">
        <f>IFERROR(__xludf.DUMMYFUNCTION("""COMPUTED_VALUE"""),"ITBISA-IC-CD4094BE-DIP16")</f>
        <v>ITBISA-IC-CD4094BE-DIP16</v>
      </c>
      <c r="B4821" s="266">
        <f>IFERROR(__xludf.DUMMYFUNCTION("""COMPUTED_VALUE"""),45645.0)</f>
        <v>45645</v>
      </c>
      <c r="C4821" s="266" t="str">
        <f>IFERROR(__xludf.DUMMYFUNCTION("""COMPUTED_VALUE"""),"KYAI KONTONG")</f>
        <v>KYAI KONTONG</v>
      </c>
      <c r="D4821" s="186">
        <f>IFERROR(__xludf.DUMMYFUNCTION("""COMPUTED_VALUE"""),10.0)</f>
        <v>10</v>
      </c>
    </row>
    <row r="4822">
      <c r="A4822" s="178" t="str">
        <f>IFERROR(__xludf.DUMMYFUNCTION("""COMPUTED_VALUE"""),"ITBISA-IC-CD4094BE-DIP16")</f>
        <v>ITBISA-IC-CD4094BE-DIP16</v>
      </c>
      <c r="B4822" s="266">
        <f>IFERROR(__xludf.DUMMYFUNCTION("""COMPUTED_VALUE"""),45645.0)</f>
        <v>45645</v>
      </c>
      <c r="C4822" s="266" t="str">
        <f>IFERROR(__xludf.DUMMYFUNCTION("""COMPUTED_VALUE"""),"KYAI KONTONG")</f>
        <v>KYAI KONTONG</v>
      </c>
      <c r="D4822" s="186">
        <f>IFERROR(__xludf.DUMMYFUNCTION("""COMPUTED_VALUE"""),100.0)</f>
        <v>100</v>
      </c>
    </row>
    <row r="4823">
      <c r="A4823" s="178" t="str">
        <f>IFERROR(__xludf.DUMMYFUNCTION("""COMPUTED_VALUE"""),"ITBISA-IC-CD4094BE-DIP16")</f>
        <v>ITBISA-IC-CD4094BE-DIP16</v>
      </c>
      <c r="B4823" s="266">
        <f>IFERROR(__xludf.DUMMYFUNCTION("""COMPUTED_VALUE"""),45652.0)</f>
        <v>45652</v>
      </c>
      <c r="C4823" s="266" t="str">
        <f>IFERROR(__xludf.DUMMYFUNCTION("""COMPUTED_VALUE"""),"KYAI KONTONG")</f>
        <v>KYAI KONTONG</v>
      </c>
      <c r="D4823" s="186">
        <f>IFERROR(__xludf.DUMMYFUNCTION("""COMPUTED_VALUE"""),250.0)</f>
        <v>250</v>
      </c>
    </row>
    <row r="4824">
      <c r="A4824" s="178" t="str">
        <f>IFERROR(__xludf.DUMMYFUNCTION("""COMPUTED_VALUE"""),"ITBISA-IC-CD4094BE-DIP16")</f>
        <v>ITBISA-IC-CD4094BE-DIP16</v>
      </c>
      <c r="B4824" s="266">
        <f>IFERROR(__xludf.DUMMYFUNCTION("""COMPUTED_VALUE"""),45656.0)</f>
        <v>45656</v>
      </c>
      <c r="C4824" s="266" t="str">
        <f>IFERROR(__xludf.DUMMYFUNCTION("""COMPUTED_VALUE"""),"KYAI KONTONG")</f>
        <v>KYAI KONTONG</v>
      </c>
      <c r="D4824" s="186">
        <f>IFERROR(__xludf.DUMMYFUNCTION("""COMPUTED_VALUE"""),100.0)</f>
        <v>100</v>
      </c>
    </row>
    <row r="4825">
      <c r="A4825" s="178" t="str">
        <f>IFERROR(__xludf.DUMMYFUNCTION("""COMPUTED_VALUE"""),"ITBISA-IC-CD4094BE-DIP16")</f>
        <v>ITBISA-IC-CD4094BE-DIP16</v>
      </c>
      <c r="B4825" s="266">
        <f>IFERROR(__xludf.DUMMYFUNCTION("""COMPUTED_VALUE"""),45663.0)</f>
        <v>45663</v>
      </c>
      <c r="C4825" s="266" t="str">
        <f>IFERROR(__xludf.DUMMYFUNCTION("""COMPUTED_VALUE"""),"KYAI KONTONG")</f>
        <v>KYAI KONTONG</v>
      </c>
      <c r="D4825" s="186">
        <f>IFERROR(__xludf.DUMMYFUNCTION("""COMPUTED_VALUE"""),100.0)</f>
        <v>100</v>
      </c>
    </row>
    <row r="4826">
      <c r="A4826" s="178" t="str">
        <f>IFERROR(__xludf.DUMMYFUNCTION("""COMPUTED_VALUE"""),"ITBISA-IC-CD4094BE-DIP16")</f>
        <v>ITBISA-IC-CD4094BE-DIP16</v>
      </c>
      <c r="B4826" s="266">
        <f>IFERROR(__xludf.DUMMYFUNCTION("""COMPUTED_VALUE"""),45664.0)</f>
        <v>45664</v>
      </c>
      <c r="C4826" s="266" t="str">
        <f>IFERROR(__xludf.DUMMYFUNCTION("""COMPUTED_VALUE"""),"KERTASARI CIAMIS")</f>
        <v>KERTASARI CIAMIS</v>
      </c>
      <c r="D4826" s="186">
        <f>IFERROR(__xludf.DUMMYFUNCTION("""COMPUTED_VALUE"""),33.0)</f>
        <v>33</v>
      </c>
    </row>
    <row r="4827">
      <c r="A4827" s="178" t="str">
        <f>IFERROR(__xludf.DUMMYFUNCTION("""COMPUTED_VALUE"""),"ITBISA-IC-CD4094BE-DIP16")</f>
        <v>ITBISA-IC-CD4094BE-DIP16</v>
      </c>
      <c r="B4827" s="266">
        <f>IFERROR(__xludf.DUMMYFUNCTION("""COMPUTED_VALUE"""),45668.0)</f>
        <v>45668</v>
      </c>
      <c r="C4827" s="266" t="str">
        <f>IFERROR(__xludf.DUMMYFUNCTION("""COMPUTED_VALUE"""),"KYAI KONTONG")</f>
        <v>KYAI KONTONG</v>
      </c>
      <c r="D4827" s="186">
        <f>IFERROR(__xludf.DUMMYFUNCTION("""COMPUTED_VALUE"""),100.0)</f>
        <v>100</v>
      </c>
    </row>
    <row r="4828">
      <c r="A4828" s="178" t="str">
        <f>IFERROR(__xludf.DUMMYFUNCTION("""COMPUTED_VALUE"""),"ITBISA-IC-CD4094BE-DIP16")</f>
        <v>ITBISA-IC-CD4094BE-DIP16</v>
      </c>
      <c r="B4828" s="266">
        <f>IFERROR(__xludf.DUMMYFUNCTION("""COMPUTED_VALUE"""),45670.0)</f>
        <v>45670</v>
      </c>
      <c r="C4828" s="266" t="str">
        <f>IFERROR(__xludf.DUMMYFUNCTION("""COMPUTED_VALUE"""),"KYAI KONTONG")</f>
        <v>KYAI KONTONG</v>
      </c>
      <c r="D4828" s="186">
        <f>IFERROR(__xludf.DUMMYFUNCTION("""COMPUTED_VALUE"""),100.0)</f>
        <v>100</v>
      </c>
    </row>
    <row r="4829">
      <c r="A4829" s="178" t="str">
        <f>IFERROR(__xludf.DUMMYFUNCTION("""COMPUTED_VALUE"""),"ITBISA-IC-CD4094BE-DIP16")</f>
        <v>ITBISA-IC-CD4094BE-DIP16</v>
      </c>
      <c r="B4829" s="266">
        <f>IFERROR(__xludf.DUMMYFUNCTION("""COMPUTED_VALUE"""),45674.0)</f>
        <v>45674</v>
      </c>
      <c r="C4829" s="266" t="str">
        <f>IFERROR(__xludf.DUMMYFUNCTION("""COMPUTED_VALUE"""),"KYAI KONTONG")</f>
        <v>KYAI KONTONG</v>
      </c>
      <c r="D4829" s="186">
        <f>IFERROR(__xludf.DUMMYFUNCTION("""COMPUTED_VALUE"""),135.0)</f>
        <v>135</v>
      </c>
    </row>
    <row r="4830">
      <c r="A4830" s="178" t="str">
        <f>IFERROR(__xludf.DUMMYFUNCTION("""COMPUTED_VALUE"""),"ITBISA-IC-CD4094BE-DIP16")</f>
        <v>ITBISA-IC-CD4094BE-DIP16</v>
      </c>
      <c r="B4830" s="266">
        <f>IFERROR(__xludf.DUMMYFUNCTION("""COMPUTED_VALUE"""),45678.0)</f>
        <v>45678</v>
      </c>
      <c r="C4830" s="266" t="str">
        <f>IFERROR(__xludf.DUMMYFUNCTION("""COMPUTED_VALUE"""),"KERTASARI CIAMIS")</f>
        <v>KERTASARI CIAMIS</v>
      </c>
      <c r="D4830" s="186">
        <f>IFERROR(__xludf.DUMMYFUNCTION("""COMPUTED_VALUE"""),100.0)</f>
        <v>100</v>
      </c>
    </row>
    <row r="4831">
      <c r="A4831" s="178" t="str">
        <f>IFERROR(__xludf.DUMMYFUNCTION("""COMPUTED_VALUE"""),"ITBISA-IC-CD4094BE-DIP16")</f>
        <v>ITBISA-IC-CD4094BE-DIP16</v>
      </c>
      <c r="B4831" s="266">
        <f>IFERROR(__xludf.DUMMYFUNCTION("""COMPUTED_VALUE"""),45680.0)</f>
        <v>45680</v>
      </c>
      <c r="C4831" s="266" t="str">
        <f>IFERROR(__xludf.DUMMYFUNCTION("""COMPUTED_VALUE"""),"KERTASARI CIAMIS")</f>
        <v>KERTASARI CIAMIS</v>
      </c>
      <c r="D4831" s="186">
        <f>IFERROR(__xludf.DUMMYFUNCTION("""COMPUTED_VALUE"""),100.0)</f>
        <v>100</v>
      </c>
    </row>
    <row r="4832">
      <c r="A4832" s="178" t="str">
        <f>IFERROR(__xludf.DUMMYFUNCTION("""COMPUTED_VALUE"""),"ITBISA-IC-CD4094BE-DIP16")</f>
        <v>ITBISA-IC-CD4094BE-DIP16</v>
      </c>
      <c r="B4832" s="266">
        <f>IFERROR(__xludf.DUMMYFUNCTION("""COMPUTED_VALUE"""),45685.0)</f>
        <v>45685</v>
      </c>
      <c r="C4832" s="266" t="str">
        <f>IFERROR(__xludf.DUMMYFUNCTION("""COMPUTED_VALUE"""),"KERTASARI CIAMIS")</f>
        <v>KERTASARI CIAMIS</v>
      </c>
      <c r="D4832" s="186">
        <f>IFERROR(__xludf.DUMMYFUNCTION("""COMPUTED_VALUE"""),100.0)</f>
        <v>100</v>
      </c>
    </row>
    <row r="4833">
      <c r="A4833" s="178" t="str">
        <f>IFERROR(__xludf.DUMMYFUNCTION("""COMPUTED_VALUE"""),"ITBISA-IC-CD4094BE-DIP16")</f>
        <v>ITBISA-IC-CD4094BE-DIP16</v>
      </c>
      <c r="B4833" s="266">
        <f>IFERROR(__xludf.DUMMYFUNCTION("""COMPUTED_VALUE"""),45686.0)</f>
        <v>45686</v>
      </c>
      <c r="C4833" s="266" t="str">
        <f>IFERROR(__xludf.DUMMYFUNCTION("""COMPUTED_VALUE"""),"KERTASARI CIAMIS")</f>
        <v>KERTASARI CIAMIS</v>
      </c>
      <c r="D4833" s="186">
        <f>IFERROR(__xludf.DUMMYFUNCTION("""COMPUTED_VALUE"""),150.0)</f>
        <v>150</v>
      </c>
    </row>
    <row r="4834">
      <c r="A4834" s="178" t="str">
        <f>IFERROR(__xludf.DUMMYFUNCTION("""COMPUTED_VALUE"""),"ITBISA-IC-CD4094BE-DIP16")</f>
        <v>ITBISA-IC-CD4094BE-DIP16</v>
      </c>
      <c r="B4834" s="266">
        <f>IFERROR(__xludf.DUMMYFUNCTION("""COMPUTED_VALUE"""),45689.0)</f>
        <v>45689</v>
      </c>
      <c r="C4834" s="266" t="str">
        <f>IFERROR(__xludf.DUMMYFUNCTION("""COMPUTED_VALUE"""),"KERTASARI CIAMIS")</f>
        <v>KERTASARI CIAMIS</v>
      </c>
      <c r="D4834" s="186">
        <f>IFERROR(__xludf.DUMMYFUNCTION("""COMPUTED_VALUE"""),33.0)</f>
        <v>33</v>
      </c>
    </row>
    <row r="4835">
      <c r="A4835" s="178" t="str">
        <f>IFERROR(__xludf.DUMMYFUNCTION("""COMPUTED_VALUE"""),"ITBISA-IC-CD4094BE-DIP16")</f>
        <v>ITBISA-IC-CD4094BE-DIP16</v>
      </c>
      <c r="B4835" s="266">
        <f>IFERROR(__xludf.DUMMYFUNCTION("""COMPUTED_VALUE"""),45691.0)</f>
        <v>45691</v>
      </c>
      <c r="C4835" s="266" t="str">
        <f>IFERROR(__xludf.DUMMYFUNCTION("""COMPUTED_VALUE"""),"KYAI KONTONG")</f>
        <v>KYAI KONTONG</v>
      </c>
      <c r="D4835" s="186">
        <f>IFERROR(__xludf.DUMMYFUNCTION("""COMPUTED_VALUE"""),12.0)</f>
        <v>12</v>
      </c>
    </row>
    <row r="4836">
      <c r="A4836" s="178" t="str">
        <f>IFERROR(__xludf.DUMMYFUNCTION("""COMPUTED_VALUE"""),"ITBISA-IC-CD4094BE-DIP16")</f>
        <v>ITBISA-IC-CD4094BE-DIP16</v>
      </c>
      <c r="B4836" s="266">
        <f>IFERROR(__xludf.DUMMYFUNCTION("""COMPUTED_VALUE"""),45695.0)</f>
        <v>45695</v>
      </c>
      <c r="C4836" s="266" t="str">
        <f>IFERROR(__xludf.DUMMYFUNCTION("""COMPUTED_VALUE"""),"KERTASARI CIAMIS")</f>
        <v>KERTASARI CIAMIS</v>
      </c>
      <c r="D4836" s="186">
        <f>IFERROR(__xludf.DUMMYFUNCTION("""COMPUTED_VALUE"""),200.0)</f>
        <v>200</v>
      </c>
    </row>
    <row r="4837">
      <c r="A4837" s="178" t="str">
        <f>IFERROR(__xludf.DUMMYFUNCTION("""COMPUTED_VALUE"""),"ITBISA-IC-CD4094BE-DIP16")</f>
        <v>ITBISA-IC-CD4094BE-DIP16</v>
      </c>
      <c r="B4837" s="266">
        <f>IFERROR(__xludf.DUMMYFUNCTION("""COMPUTED_VALUE"""),45698.0)</f>
        <v>45698</v>
      </c>
      <c r="C4837" s="266" t="str">
        <f>IFERROR(__xludf.DUMMYFUNCTION("""COMPUTED_VALUE"""),"KERTASARI CIAMIS")</f>
        <v>KERTASARI CIAMIS</v>
      </c>
      <c r="D4837" s="186">
        <f>IFERROR(__xludf.DUMMYFUNCTION("""COMPUTED_VALUE"""),300.0)</f>
        <v>300</v>
      </c>
    </row>
    <row r="4838">
      <c r="A4838" s="178" t="str">
        <f>IFERROR(__xludf.DUMMYFUNCTION("""COMPUTED_VALUE"""),"ITBISA-IC-CD4094BE-DIP16")</f>
        <v>ITBISA-IC-CD4094BE-DIP16</v>
      </c>
      <c r="B4838" s="266">
        <f>IFERROR(__xludf.DUMMYFUNCTION("""COMPUTED_VALUE"""),45702.0)</f>
        <v>45702</v>
      </c>
      <c r="C4838" s="266" t="str">
        <f>IFERROR(__xludf.DUMMYFUNCTION("""COMPUTED_VALUE"""),"KERTASARI CIAMIS")</f>
        <v>KERTASARI CIAMIS</v>
      </c>
      <c r="D4838" s="186">
        <f>IFERROR(__xludf.DUMMYFUNCTION("""COMPUTED_VALUE"""),10.0)</f>
        <v>10</v>
      </c>
    </row>
    <row r="4839">
      <c r="A4839" s="178" t="str">
        <f>IFERROR(__xludf.DUMMYFUNCTION("""COMPUTED_VALUE"""),"ITBISA-IC-CD4094BE-DIP16")</f>
        <v>ITBISA-IC-CD4094BE-DIP16</v>
      </c>
      <c r="B4839" s="266">
        <f>IFERROR(__xludf.DUMMYFUNCTION("""COMPUTED_VALUE"""),45707.0)</f>
        <v>45707</v>
      </c>
      <c r="C4839" s="266" t="str">
        <f>IFERROR(__xludf.DUMMYFUNCTION("""COMPUTED_VALUE"""),"KERTASARI CIAMIS")</f>
        <v>KERTASARI CIAMIS</v>
      </c>
      <c r="D4839" s="186">
        <f>IFERROR(__xludf.DUMMYFUNCTION("""COMPUTED_VALUE"""),92.0)</f>
        <v>92</v>
      </c>
    </row>
    <row r="4840">
      <c r="A4840" s="178" t="str">
        <f>IFERROR(__xludf.DUMMYFUNCTION("""COMPUTED_VALUE"""),"ITBISA-IC-CD4094BE-DIP16")</f>
        <v>ITBISA-IC-CD4094BE-DIP16</v>
      </c>
      <c r="B4840" s="266">
        <f>IFERROR(__xludf.DUMMYFUNCTION("""COMPUTED_VALUE"""),45708.0)</f>
        <v>45708</v>
      </c>
      <c r="C4840" s="266" t="str">
        <f>IFERROR(__xludf.DUMMYFUNCTION("""COMPUTED_VALUE"""),"KYAI KONTONG")</f>
        <v>KYAI KONTONG</v>
      </c>
      <c r="D4840" s="186">
        <f>IFERROR(__xludf.DUMMYFUNCTION("""COMPUTED_VALUE"""),1000.0)</f>
        <v>1000</v>
      </c>
    </row>
    <row r="4841">
      <c r="A4841" s="178" t="str">
        <f>IFERROR(__xludf.DUMMYFUNCTION("""COMPUTED_VALUE"""),"ITBISA-IC-CD4094BE-DIP16")</f>
        <v>ITBISA-IC-CD4094BE-DIP16</v>
      </c>
      <c r="B4841" s="266">
        <f>IFERROR(__xludf.DUMMYFUNCTION("""COMPUTED_VALUE"""),45709.0)</f>
        <v>45709</v>
      </c>
      <c r="C4841" s="266" t="str">
        <f>IFERROR(__xludf.DUMMYFUNCTION("""COMPUTED_VALUE"""),"KYAI KONTONG")</f>
        <v>KYAI KONTONG</v>
      </c>
      <c r="D4841" s="186">
        <f>IFERROR(__xludf.DUMMYFUNCTION("""COMPUTED_VALUE"""),78.0)</f>
        <v>78</v>
      </c>
    </row>
    <row r="4842">
      <c r="A4842" s="178" t="str">
        <f>IFERROR(__xludf.DUMMYFUNCTION("""COMPUTED_VALUE"""),"ITBISA-IC-CD4094BM-SMD-SOP16")</f>
        <v>ITBISA-IC-CD4094BM-SMD-SOP16</v>
      </c>
      <c r="B4842" s="266">
        <f>IFERROR(__xludf.DUMMYFUNCTION("""COMPUTED_VALUE"""),45159.0)</f>
        <v>45159</v>
      </c>
      <c r="C4842" s="266" t="str">
        <f>IFERROR(__xludf.DUMMYFUNCTION("""COMPUTED_VALUE"""),"KYAI KONTONG")</f>
        <v>KYAI KONTONG</v>
      </c>
      <c r="D4842" s="186">
        <f>IFERROR(__xludf.DUMMYFUNCTION("""COMPUTED_VALUE"""),300.0)</f>
        <v>300</v>
      </c>
    </row>
    <row r="4843">
      <c r="A4843" s="178" t="str">
        <f>IFERROR(__xludf.DUMMYFUNCTION("""COMPUTED_VALUE"""),"ITBISA-IC-CD4094BM-SMD-SOP16")</f>
        <v>ITBISA-IC-CD4094BM-SMD-SOP16</v>
      </c>
      <c r="B4843" s="266">
        <f>IFERROR(__xludf.DUMMYFUNCTION("""COMPUTED_VALUE"""),45162.0)</f>
        <v>45162</v>
      </c>
      <c r="C4843" s="266" t="str">
        <f>IFERROR(__xludf.DUMMYFUNCTION("""COMPUTED_VALUE"""),"KYAI KONTONG")</f>
        <v>KYAI KONTONG</v>
      </c>
      <c r="D4843" s="186">
        <f>IFERROR(__xludf.DUMMYFUNCTION("""COMPUTED_VALUE"""),160.0)</f>
        <v>160</v>
      </c>
    </row>
    <row r="4844">
      <c r="A4844" s="178" t="str">
        <f>IFERROR(__xludf.DUMMYFUNCTION("""COMPUTED_VALUE"""),"ITBISA-IC-CD4094BM-SMD-SOP16")</f>
        <v>ITBISA-IC-CD4094BM-SMD-SOP16</v>
      </c>
      <c r="B4844" s="266">
        <f>IFERROR(__xludf.DUMMYFUNCTION("""COMPUTED_VALUE"""),45171.0)</f>
        <v>45171</v>
      </c>
      <c r="C4844" s="266" t="str">
        <f>IFERROR(__xludf.DUMMYFUNCTION("""COMPUTED_VALUE"""),"KYAI KONTONG")</f>
        <v>KYAI KONTONG</v>
      </c>
      <c r="D4844" s="186">
        <f>IFERROR(__xludf.DUMMYFUNCTION("""COMPUTED_VALUE"""),40.0)</f>
        <v>40</v>
      </c>
    </row>
    <row r="4845">
      <c r="A4845" s="178" t="str">
        <f>IFERROR(__xludf.DUMMYFUNCTION("""COMPUTED_VALUE"""),"ITBISA-IC-CD4094BM-SMD-SOP16")</f>
        <v>ITBISA-IC-CD4094BM-SMD-SOP16</v>
      </c>
      <c r="B4845" s="266">
        <f>IFERROR(__xludf.DUMMYFUNCTION("""COMPUTED_VALUE"""),45182.0)</f>
        <v>45182</v>
      </c>
      <c r="C4845" s="266" t="str">
        <f>IFERROR(__xludf.DUMMYFUNCTION("""COMPUTED_VALUE"""),"KYAI KONTONG")</f>
        <v>KYAI KONTONG</v>
      </c>
      <c r="D4845" s="186">
        <f>IFERROR(__xludf.DUMMYFUNCTION("""COMPUTED_VALUE"""),150.0)</f>
        <v>150</v>
      </c>
    </row>
    <row r="4846">
      <c r="A4846" s="178" t="str">
        <f>IFERROR(__xludf.DUMMYFUNCTION("""COMPUTED_VALUE"""),"ITBISA-IC-CD4094BM-SMD-SOP16")</f>
        <v>ITBISA-IC-CD4094BM-SMD-SOP16</v>
      </c>
      <c r="B4846" s="266">
        <f>IFERROR(__xludf.DUMMYFUNCTION("""COMPUTED_VALUE"""),45198.0)</f>
        <v>45198</v>
      </c>
      <c r="C4846" s="266" t="str">
        <f>IFERROR(__xludf.DUMMYFUNCTION("""COMPUTED_VALUE"""),"KYAI KONTONG")</f>
        <v>KYAI KONTONG</v>
      </c>
      <c r="D4846" s="186">
        <f>IFERROR(__xludf.DUMMYFUNCTION("""COMPUTED_VALUE"""),200.0)</f>
        <v>200</v>
      </c>
    </row>
    <row r="4847">
      <c r="A4847" s="178" t="str">
        <f>IFERROR(__xludf.DUMMYFUNCTION("""COMPUTED_VALUE"""),"ITBISA-IC-CD4094BM-SMD-SOP16")</f>
        <v>ITBISA-IC-CD4094BM-SMD-SOP16</v>
      </c>
      <c r="B4847" s="266">
        <f>IFERROR(__xludf.DUMMYFUNCTION("""COMPUTED_VALUE"""),45202.0)</f>
        <v>45202</v>
      </c>
      <c r="C4847" s="266" t="str">
        <f>IFERROR(__xludf.DUMMYFUNCTION("""COMPUTED_VALUE"""),"KYAI KONTONG")</f>
        <v>KYAI KONTONG</v>
      </c>
      <c r="D4847" s="186">
        <f>IFERROR(__xludf.DUMMYFUNCTION("""COMPUTED_VALUE"""),200.0)</f>
        <v>200</v>
      </c>
    </row>
    <row r="4848">
      <c r="A4848" s="178" t="str">
        <f>IFERROR(__xludf.DUMMYFUNCTION("""COMPUTED_VALUE"""),"ITBISA-IC-CD4094BM-SMD-SOP16")</f>
        <v>ITBISA-IC-CD4094BM-SMD-SOP16</v>
      </c>
      <c r="B4848" s="266">
        <f>IFERROR(__xludf.DUMMYFUNCTION("""COMPUTED_VALUE"""),45210.0)</f>
        <v>45210</v>
      </c>
      <c r="C4848" s="266" t="str">
        <f>IFERROR(__xludf.DUMMYFUNCTION("""COMPUTED_VALUE"""),"KYAI KONTONG")</f>
        <v>KYAI KONTONG</v>
      </c>
      <c r="D4848" s="186">
        <f>IFERROR(__xludf.DUMMYFUNCTION("""COMPUTED_VALUE"""),3.0)</f>
        <v>3</v>
      </c>
    </row>
    <row r="4849">
      <c r="A4849" s="178" t="str">
        <f>IFERROR(__xludf.DUMMYFUNCTION("""COMPUTED_VALUE"""),"ITBISA-IC-CD4094BM-SMD-SOP16")</f>
        <v>ITBISA-IC-CD4094BM-SMD-SOP16</v>
      </c>
      <c r="B4849" s="266">
        <f>IFERROR(__xludf.DUMMYFUNCTION("""COMPUTED_VALUE"""),45225.0)</f>
        <v>45225</v>
      </c>
      <c r="C4849" s="266" t="str">
        <f>IFERROR(__xludf.DUMMYFUNCTION("""COMPUTED_VALUE"""),"KYAI KONTONG")</f>
        <v>KYAI KONTONG</v>
      </c>
      <c r="D4849" s="186">
        <f>IFERROR(__xludf.DUMMYFUNCTION("""COMPUTED_VALUE"""),200.0)</f>
        <v>200</v>
      </c>
    </row>
    <row r="4850">
      <c r="A4850" s="178" t="str">
        <f>IFERROR(__xludf.DUMMYFUNCTION("""COMPUTED_VALUE"""),"ITBISA-IC-CD4094BM-SMD-SOP16")</f>
        <v>ITBISA-IC-CD4094BM-SMD-SOP16</v>
      </c>
      <c r="B4850" s="266">
        <f>IFERROR(__xludf.DUMMYFUNCTION("""COMPUTED_VALUE"""),45226.0)</f>
        <v>45226</v>
      </c>
      <c r="C4850" s="266" t="str">
        <f>IFERROR(__xludf.DUMMYFUNCTION("""COMPUTED_VALUE"""),"KYAI KONTONG")</f>
        <v>KYAI KONTONG</v>
      </c>
      <c r="D4850" s="186">
        <f>IFERROR(__xludf.DUMMYFUNCTION("""COMPUTED_VALUE"""),1.0)</f>
        <v>1</v>
      </c>
    </row>
    <row r="4851">
      <c r="A4851" s="178" t="str">
        <f>IFERROR(__xludf.DUMMYFUNCTION("""COMPUTED_VALUE"""),"ITBISA-IC-CD4094BM-SMD-SOP16")</f>
        <v>ITBISA-IC-CD4094BM-SMD-SOP16</v>
      </c>
      <c r="B4851" s="266">
        <f>IFERROR(__xludf.DUMMYFUNCTION("""COMPUTED_VALUE"""),45229.0)</f>
        <v>45229</v>
      </c>
      <c r="C4851" s="266" t="str">
        <f>IFERROR(__xludf.DUMMYFUNCTION("""COMPUTED_VALUE"""),"KERTASARI CIAMIS")</f>
        <v>KERTASARI CIAMIS</v>
      </c>
      <c r="D4851" s="186">
        <f>IFERROR(__xludf.DUMMYFUNCTION("""COMPUTED_VALUE"""),150.0)</f>
        <v>150</v>
      </c>
    </row>
    <row r="4852">
      <c r="A4852" s="178" t="str">
        <f>IFERROR(__xludf.DUMMYFUNCTION("""COMPUTED_VALUE"""),"ITBISA-IC-CD4094BM-SMD-SOP16")</f>
        <v>ITBISA-IC-CD4094BM-SMD-SOP16</v>
      </c>
      <c r="B4852" s="266">
        <f>IFERROR(__xludf.DUMMYFUNCTION("""COMPUTED_VALUE"""),45233.0)</f>
        <v>45233</v>
      </c>
      <c r="C4852" s="266" t="str">
        <f>IFERROR(__xludf.DUMMYFUNCTION("""COMPUTED_VALUE"""),"KERTASARI CIAMIS")</f>
        <v>KERTASARI CIAMIS</v>
      </c>
      <c r="D4852" s="186">
        <f>IFERROR(__xludf.DUMMYFUNCTION("""COMPUTED_VALUE"""),200.0)</f>
        <v>200</v>
      </c>
    </row>
    <row r="4853">
      <c r="A4853" s="178" t="str">
        <f>IFERROR(__xludf.DUMMYFUNCTION("""COMPUTED_VALUE"""),"ITBISA-IC-CD4094BM-SMD-SOP16")</f>
        <v>ITBISA-IC-CD4094BM-SMD-SOP16</v>
      </c>
      <c r="B4853" s="266">
        <f>IFERROR(__xludf.DUMMYFUNCTION("""COMPUTED_VALUE"""),45237.0)</f>
        <v>45237</v>
      </c>
      <c r="C4853" s="266" t="str">
        <f>IFERROR(__xludf.DUMMYFUNCTION("""COMPUTED_VALUE"""),"KERTASARI CIAMIS")</f>
        <v>KERTASARI CIAMIS</v>
      </c>
      <c r="D4853" s="186">
        <f>IFERROR(__xludf.DUMMYFUNCTION("""COMPUTED_VALUE"""),30.0)</f>
        <v>30</v>
      </c>
    </row>
    <row r="4854">
      <c r="A4854" s="178" t="str">
        <f>IFERROR(__xludf.DUMMYFUNCTION("""COMPUTED_VALUE"""),"ITBISA-IC-CD4094BM-SMD-SOP16")</f>
        <v>ITBISA-IC-CD4094BM-SMD-SOP16</v>
      </c>
      <c r="B4854" s="266">
        <f>IFERROR(__xludf.DUMMYFUNCTION("""COMPUTED_VALUE"""),45239.0)</f>
        <v>45239</v>
      </c>
      <c r="C4854" s="266" t="str">
        <f>IFERROR(__xludf.DUMMYFUNCTION("""COMPUTED_VALUE"""),"KERTASARI CIAMIS")</f>
        <v>KERTASARI CIAMIS</v>
      </c>
      <c r="D4854" s="186">
        <f>IFERROR(__xludf.DUMMYFUNCTION("""COMPUTED_VALUE"""),200.0)</f>
        <v>200</v>
      </c>
    </row>
    <row r="4855">
      <c r="A4855" s="178" t="str">
        <f>IFERROR(__xludf.DUMMYFUNCTION("""COMPUTED_VALUE"""),"ITBISA-IC-CD4094BM-SMD-SOP16")</f>
        <v>ITBISA-IC-CD4094BM-SMD-SOP16</v>
      </c>
      <c r="B4855" s="266">
        <f>IFERROR(__xludf.DUMMYFUNCTION("""COMPUTED_VALUE"""),45243.0)</f>
        <v>45243</v>
      </c>
      <c r="C4855" s="266" t="str">
        <f>IFERROR(__xludf.DUMMYFUNCTION("""COMPUTED_VALUE"""),"KERTASARI CIAMIS")</f>
        <v>KERTASARI CIAMIS</v>
      </c>
      <c r="D4855" s="186">
        <f>IFERROR(__xludf.DUMMYFUNCTION("""COMPUTED_VALUE"""),300.0)</f>
        <v>300</v>
      </c>
    </row>
    <row r="4856">
      <c r="A4856" s="178" t="str">
        <f>IFERROR(__xludf.DUMMYFUNCTION("""COMPUTED_VALUE"""),"ITBISA-IC-CD4094BM-SMD-SOP16")</f>
        <v>ITBISA-IC-CD4094BM-SMD-SOP16</v>
      </c>
      <c r="B4856" s="266">
        <f>IFERROR(__xludf.DUMMYFUNCTION("""COMPUTED_VALUE"""),45257.0)</f>
        <v>45257</v>
      </c>
      <c r="C4856" s="266" t="str">
        <f>IFERROR(__xludf.DUMMYFUNCTION("""COMPUTED_VALUE"""),"KYAI KONTONG")</f>
        <v>KYAI KONTONG</v>
      </c>
      <c r="D4856" s="186">
        <f>IFERROR(__xludf.DUMMYFUNCTION("""COMPUTED_VALUE"""),10.0)</f>
        <v>10</v>
      </c>
    </row>
    <row r="4857">
      <c r="A4857" s="178" t="str">
        <f>IFERROR(__xludf.DUMMYFUNCTION("""COMPUTED_VALUE"""),"ITBISA-IC-CD4094BM-SMD-SOP16")</f>
        <v>ITBISA-IC-CD4094BM-SMD-SOP16</v>
      </c>
      <c r="B4857" s="266">
        <f>IFERROR(__xludf.DUMMYFUNCTION("""COMPUTED_VALUE"""),45257.0)</f>
        <v>45257</v>
      </c>
      <c r="C4857" s="266" t="str">
        <f>IFERROR(__xludf.DUMMYFUNCTION("""COMPUTED_VALUE"""),"KYAI KONTONG")</f>
        <v>KYAI KONTONG</v>
      </c>
      <c r="D4857" s="186">
        <f>IFERROR(__xludf.DUMMYFUNCTION("""COMPUTED_VALUE"""),100.0)</f>
        <v>100</v>
      </c>
    </row>
    <row r="4858">
      <c r="A4858" s="178" t="str">
        <f>IFERROR(__xludf.DUMMYFUNCTION("""COMPUTED_VALUE"""),"ITBISA-IC-CD4094BM-SMD-SOP16")</f>
        <v>ITBISA-IC-CD4094BM-SMD-SOP16</v>
      </c>
      <c r="B4858" s="266">
        <f>IFERROR(__xludf.DUMMYFUNCTION("""COMPUTED_VALUE"""),45272.0)</f>
        <v>45272</v>
      </c>
      <c r="C4858" s="266" t="str">
        <f>IFERROR(__xludf.DUMMYFUNCTION("""COMPUTED_VALUE"""),"KERTASARI CIAMIS")</f>
        <v>KERTASARI CIAMIS</v>
      </c>
      <c r="D4858" s="186">
        <f>IFERROR(__xludf.DUMMYFUNCTION("""COMPUTED_VALUE"""),200.0)</f>
        <v>200</v>
      </c>
    </row>
    <row r="4859">
      <c r="A4859" s="178" t="str">
        <f>IFERROR(__xludf.DUMMYFUNCTION("""COMPUTED_VALUE"""),"ITBISA-IC-CD4094BM-SMD-SOP16")</f>
        <v>ITBISA-IC-CD4094BM-SMD-SOP16</v>
      </c>
      <c r="B4859" s="266">
        <f>IFERROR(__xludf.DUMMYFUNCTION("""COMPUTED_VALUE"""),45273.0)</f>
        <v>45273</v>
      </c>
      <c r="C4859" s="266" t="str">
        <f>IFERROR(__xludf.DUMMYFUNCTION("""COMPUTED_VALUE"""),"KYAI KONTONG")</f>
        <v>KYAI KONTONG</v>
      </c>
      <c r="D4859" s="186">
        <f>IFERROR(__xludf.DUMMYFUNCTION("""COMPUTED_VALUE"""),4.0)</f>
        <v>4</v>
      </c>
    </row>
    <row r="4860">
      <c r="A4860" s="178" t="str">
        <f>IFERROR(__xludf.DUMMYFUNCTION("""COMPUTED_VALUE"""),"ITBISA-IC-CD4094BM-SMD-SOP16")</f>
        <v>ITBISA-IC-CD4094BM-SMD-SOP16</v>
      </c>
      <c r="B4860" s="266">
        <f>IFERROR(__xludf.DUMMYFUNCTION("""COMPUTED_VALUE"""),45285.0)</f>
        <v>45285</v>
      </c>
      <c r="C4860" s="266" t="str">
        <f>IFERROR(__xludf.DUMMYFUNCTION("""COMPUTED_VALUE"""),"KERTASARI CIAMIS")</f>
        <v>KERTASARI CIAMIS</v>
      </c>
      <c r="D4860" s="186">
        <f>IFERROR(__xludf.DUMMYFUNCTION("""COMPUTED_VALUE"""),200.0)</f>
        <v>200</v>
      </c>
    </row>
    <row r="4861">
      <c r="A4861" s="178" t="str">
        <f>IFERROR(__xludf.DUMMYFUNCTION("""COMPUTED_VALUE"""),"ITBISA-IC-CD4094BM-SMD-SOP16")</f>
        <v>ITBISA-IC-CD4094BM-SMD-SOP16</v>
      </c>
      <c r="B4861" s="266">
        <f>IFERROR(__xludf.DUMMYFUNCTION("""COMPUTED_VALUE"""),45313.0)</f>
        <v>45313</v>
      </c>
      <c r="C4861" s="266" t="str">
        <f>IFERROR(__xludf.DUMMYFUNCTION("""COMPUTED_VALUE"""),"KERTASARI CIAMIS")</f>
        <v>KERTASARI CIAMIS</v>
      </c>
      <c r="D4861" s="186">
        <f>IFERROR(__xludf.DUMMYFUNCTION("""COMPUTED_VALUE"""),300.0)</f>
        <v>300</v>
      </c>
    </row>
    <row r="4862">
      <c r="A4862" s="178" t="str">
        <f>IFERROR(__xludf.DUMMYFUNCTION("""COMPUTED_VALUE"""),"ITBISA-IC-CD4094BM-SMD-SOP16")</f>
        <v>ITBISA-IC-CD4094BM-SMD-SOP16</v>
      </c>
      <c r="B4862" s="266">
        <f>IFERROR(__xludf.DUMMYFUNCTION("""COMPUTED_VALUE"""),45331.0)</f>
        <v>45331</v>
      </c>
      <c r="C4862" s="266" t="str">
        <f>IFERROR(__xludf.DUMMYFUNCTION("""COMPUTED_VALUE"""),"KERTASARI CIAMIS")</f>
        <v>KERTASARI CIAMIS</v>
      </c>
      <c r="D4862" s="186">
        <f>IFERROR(__xludf.DUMMYFUNCTION("""COMPUTED_VALUE"""),120.0)</f>
        <v>120</v>
      </c>
    </row>
    <row r="4863">
      <c r="A4863" s="178" t="str">
        <f>IFERROR(__xludf.DUMMYFUNCTION("""COMPUTED_VALUE"""),"ITBISA-IC-CD4094BM-SMD-SOP16")</f>
        <v>ITBISA-IC-CD4094BM-SMD-SOP16</v>
      </c>
      <c r="B4863" s="266">
        <f>IFERROR(__xludf.DUMMYFUNCTION("""COMPUTED_VALUE"""),45334.0)</f>
        <v>45334</v>
      </c>
      <c r="C4863" s="266" t="str">
        <f>IFERROR(__xludf.DUMMYFUNCTION("""COMPUTED_VALUE"""),"KERTASARI CIAMIS")</f>
        <v>KERTASARI CIAMIS</v>
      </c>
      <c r="D4863" s="186">
        <f>IFERROR(__xludf.DUMMYFUNCTION("""COMPUTED_VALUE"""),100.0)</f>
        <v>100</v>
      </c>
    </row>
    <row r="4864">
      <c r="A4864" s="178" t="str">
        <f>IFERROR(__xludf.DUMMYFUNCTION("""COMPUTED_VALUE"""),"ITBISA-IC-CD4094BM-SMD-SOP16")</f>
        <v>ITBISA-IC-CD4094BM-SMD-SOP16</v>
      </c>
      <c r="B4864" s="266">
        <f>IFERROR(__xludf.DUMMYFUNCTION("""COMPUTED_VALUE"""),45339.0)</f>
        <v>45339</v>
      </c>
      <c r="C4864" s="266" t="str">
        <f>IFERROR(__xludf.DUMMYFUNCTION("""COMPUTED_VALUE"""),"KERTASARI CIAMIS")</f>
        <v>KERTASARI CIAMIS</v>
      </c>
      <c r="D4864" s="186">
        <f>IFERROR(__xludf.DUMMYFUNCTION("""COMPUTED_VALUE"""),5.0)</f>
        <v>5</v>
      </c>
    </row>
    <row r="4865">
      <c r="A4865" s="178" t="str">
        <f>IFERROR(__xludf.DUMMYFUNCTION("""COMPUTED_VALUE"""),"ITBISA-IC-CD4094BM-SMD-SOP16")</f>
        <v>ITBISA-IC-CD4094BM-SMD-SOP16</v>
      </c>
      <c r="B4865" s="266">
        <f>IFERROR(__xludf.DUMMYFUNCTION("""COMPUTED_VALUE"""),45348.0)</f>
        <v>45348</v>
      </c>
      <c r="C4865" s="266" t="str">
        <f>IFERROR(__xludf.DUMMYFUNCTION("""COMPUTED_VALUE"""),"KERTASARI CIAMIS")</f>
        <v>KERTASARI CIAMIS</v>
      </c>
      <c r="D4865" s="186">
        <f>IFERROR(__xludf.DUMMYFUNCTION("""COMPUTED_VALUE"""),170.0)</f>
        <v>170</v>
      </c>
    </row>
    <row r="4866">
      <c r="A4866" s="178" t="str">
        <f>IFERROR(__xludf.DUMMYFUNCTION("""COMPUTED_VALUE"""),"ITBISA-IC-CD4094BM-SMD-SOP16")</f>
        <v>ITBISA-IC-CD4094BM-SMD-SOP16</v>
      </c>
      <c r="B4866" s="266">
        <f>IFERROR(__xludf.DUMMYFUNCTION("""COMPUTED_VALUE"""),45355.0)</f>
        <v>45355</v>
      </c>
      <c r="C4866" s="266" t="str">
        <f>IFERROR(__xludf.DUMMYFUNCTION("""COMPUTED_VALUE"""),"KERTASARI CIAMIS")</f>
        <v>KERTASARI CIAMIS</v>
      </c>
      <c r="D4866" s="186">
        <f>IFERROR(__xludf.DUMMYFUNCTION("""COMPUTED_VALUE"""),300.0)</f>
        <v>300</v>
      </c>
    </row>
    <row r="4867">
      <c r="A4867" s="178" t="str">
        <f>IFERROR(__xludf.DUMMYFUNCTION("""COMPUTED_VALUE"""),"ITBISA-IC-CD4094BM-SMD-SOP16")</f>
        <v>ITBISA-IC-CD4094BM-SMD-SOP16</v>
      </c>
      <c r="B4867" s="266">
        <f>IFERROR(__xludf.DUMMYFUNCTION("""COMPUTED_VALUE"""),45357.0)</f>
        <v>45357</v>
      </c>
      <c r="C4867" s="266" t="str">
        <f>IFERROR(__xludf.DUMMYFUNCTION("""COMPUTED_VALUE"""),"KERTASARI CIAMIS")</f>
        <v>KERTASARI CIAMIS</v>
      </c>
      <c r="D4867" s="186">
        <f>IFERROR(__xludf.DUMMYFUNCTION("""COMPUTED_VALUE"""),200.0)</f>
        <v>200</v>
      </c>
    </row>
    <row r="4868">
      <c r="A4868" s="178" t="str">
        <f>IFERROR(__xludf.DUMMYFUNCTION("""COMPUTED_VALUE"""),"ITBISA-IC-CD4094BM-SMD-SOP16")</f>
        <v>ITBISA-IC-CD4094BM-SMD-SOP16</v>
      </c>
      <c r="B4868" s="266">
        <f>IFERROR(__xludf.DUMMYFUNCTION("""COMPUTED_VALUE"""),45363.0)</f>
        <v>45363</v>
      </c>
      <c r="C4868" s="266" t="str">
        <f>IFERROR(__xludf.DUMMYFUNCTION("""COMPUTED_VALUE"""),"KERTASARI CIAMIS")</f>
        <v>KERTASARI CIAMIS</v>
      </c>
      <c r="D4868" s="186">
        <f>IFERROR(__xludf.DUMMYFUNCTION("""COMPUTED_VALUE"""),3.0)</f>
        <v>3</v>
      </c>
    </row>
    <row r="4869">
      <c r="A4869" s="178" t="str">
        <f>IFERROR(__xludf.DUMMYFUNCTION("""COMPUTED_VALUE"""),"ITBISA-IC-CD4094BM-SMD-SOP16")</f>
        <v>ITBISA-IC-CD4094BM-SMD-SOP16</v>
      </c>
      <c r="B4869" s="266">
        <f>IFERROR(__xludf.DUMMYFUNCTION("""COMPUTED_VALUE"""),45371.0)</f>
        <v>45371</v>
      </c>
      <c r="C4869" s="266" t="str">
        <f>IFERROR(__xludf.DUMMYFUNCTION("""COMPUTED_VALUE"""),"KERTASARI CIAMIS")</f>
        <v>KERTASARI CIAMIS</v>
      </c>
      <c r="D4869" s="186">
        <f>IFERROR(__xludf.DUMMYFUNCTION("""COMPUTED_VALUE"""),350.0)</f>
        <v>350</v>
      </c>
    </row>
    <row r="4870">
      <c r="A4870" s="178" t="str">
        <f>IFERROR(__xludf.DUMMYFUNCTION("""COMPUTED_VALUE"""),"ITBISA-IC-CD4094BM-SMD-SOP16")</f>
        <v>ITBISA-IC-CD4094BM-SMD-SOP16</v>
      </c>
      <c r="B4870" s="266">
        <f>IFERROR(__xludf.DUMMYFUNCTION("""COMPUTED_VALUE"""),45406.0)</f>
        <v>45406</v>
      </c>
      <c r="C4870" s="266" t="str">
        <f>IFERROR(__xludf.DUMMYFUNCTION("""COMPUTED_VALUE"""),"KERTASARI CIAMIS")</f>
        <v>KERTASARI CIAMIS</v>
      </c>
      <c r="D4870" s="186">
        <f>IFERROR(__xludf.DUMMYFUNCTION("""COMPUTED_VALUE"""),120.0)</f>
        <v>120</v>
      </c>
    </row>
    <row r="4871">
      <c r="A4871" s="178" t="str">
        <f>IFERROR(__xludf.DUMMYFUNCTION("""COMPUTED_VALUE"""),"ITBISA-IC-CD4094BM-SMD-SOP16")</f>
        <v>ITBISA-IC-CD4094BM-SMD-SOP16</v>
      </c>
      <c r="B4871" s="266">
        <f>IFERROR(__xludf.DUMMYFUNCTION("""COMPUTED_VALUE"""),45419.0)</f>
        <v>45419</v>
      </c>
      <c r="C4871" s="266" t="str">
        <f>IFERROR(__xludf.DUMMYFUNCTION("""COMPUTED_VALUE"""),"KERTASARI CIAMIS")</f>
        <v>KERTASARI CIAMIS</v>
      </c>
      <c r="D4871" s="186">
        <f>IFERROR(__xludf.DUMMYFUNCTION("""COMPUTED_VALUE"""),100.0)</f>
        <v>100</v>
      </c>
    </row>
    <row r="4872">
      <c r="A4872" s="178" t="str">
        <f>IFERROR(__xludf.DUMMYFUNCTION("""COMPUTED_VALUE"""),"ITBISA-IC-CD4094BM-SMD-SOP16")</f>
        <v>ITBISA-IC-CD4094BM-SMD-SOP16</v>
      </c>
      <c r="B4872" s="266">
        <f>IFERROR(__xludf.DUMMYFUNCTION("""COMPUTED_VALUE"""),45429.0)</f>
        <v>45429</v>
      </c>
      <c r="C4872" s="266" t="str">
        <f>IFERROR(__xludf.DUMMYFUNCTION("""COMPUTED_VALUE"""),"KERTASARI CIAMIS")</f>
        <v>KERTASARI CIAMIS</v>
      </c>
      <c r="D4872" s="186">
        <f>IFERROR(__xludf.DUMMYFUNCTION("""COMPUTED_VALUE"""),170.0)</f>
        <v>170</v>
      </c>
    </row>
    <row r="4873">
      <c r="A4873" s="178" t="str">
        <f>IFERROR(__xludf.DUMMYFUNCTION("""COMPUTED_VALUE"""),"ITBISA-IC-CD4094BM-SMD-SOP16")</f>
        <v>ITBISA-IC-CD4094BM-SMD-SOP16</v>
      </c>
      <c r="B4873" s="266">
        <f>IFERROR(__xludf.DUMMYFUNCTION("""COMPUTED_VALUE"""),45434.0)</f>
        <v>45434</v>
      </c>
      <c r="C4873" s="266" t="str">
        <f>IFERROR(__xludf.DUMMYFUNCTION("""COMPUTED_VALUE"""),"KERTASARI CIAMIS")</f>
        <v>KERTASARI CIAMIS</v>
      </c>
      <c r="D4873" s="186">
        <f>IFERROR(__xludf.DUMMYFUNCTION("""COMPUTED_VALUE"""),60.0)</f>
        <v>60</v>
      </c>
    </row>
    <row r="4874">
      <c r="A4874" s="178" t="str">
        <f>IFERROR(__xludf.DUMMYFUNCTION("""COMPUTED_VALUE"""),"ITBISA-IC-CD4094BM-SMD-SOP16")</f>
        <v>ITBISA-IC-CD4094BM-SMD-SOP16</v>
      </c>
      <c r="B4874" s="266">
        <f>IFERROR(__xludf.DUMMYFUNCTION("""COMPUTED_VALUE"""),45436.0)</f>
        <v>45436</v>
      </c>
      <c r="C4874" s="266" t="str">
        <f>IFERROR(__xludf.DUMMYFUNCTION("""COMPUTED_VALUE"""),"KERTASARI CIAMIS")</f>
        <v>KERTASARI CIAMIS</v>
      </c>
      <c r="D4874" s="186">
        <f>IFERROR(__xludf.DUMMYFUNCTION("""COMPUTED_VALUE"""),10.0)</f>
        <v>10</v>
      </c>
    </row>
    <row r="4875">
      <c r="A4875" s="178" t="str">
        <f>IFERROR(__xludf.DUMMYFUNCTION("""COMPUTED_VALUE"""),"ITBISA-IC-CD4094BM-SMD-SOP16")</f>
        <v>ITBISA-IC-CD4094BM-SMD-SOP16</v>
      </c>
      <c r="B4875" s="266">
        <f>IFERROR(__xludf.DUMMYFUNCTION("""COMPUTED_VALUE"""),45442.0)</f>
        <v>45442</v>
      </c>
      <c r="C4875" s="266" t="str">
        <f>IFERROR(__xludf.DUMMYFUNCTION("""COMPUTED_VALUE"""),"KERTASARI CIAMIS")</f>
        <v>KERTASARI CIAMIS</v>
      </c>
      <c r="D4875" s="186">
        <f>IFERROR(__xludf.DUMMYFUNCTION("""COMPUTED_VALUE"""),50.0)</f>
        <v>50</v>
      </c>
    </row>
    <row r="4876">
      <c r="A4876" s="178" t="str">
        <f>IFERROR(__xludf.DUMMYFUNCTION("""COMPUTED_VALUE"""),"ITBISA-IC-CD4094BM-SMD-SOP16")</f>
        <v>ITBISA-IC-CD4094BM-SMD-SOP16</v>
      </c>
      <c r="B4876" s="266">
        <f>IFERROR(__xludf.DUMMYFUNCTION("""COMPUTED_VALUE"""),45455.0)</f>
        <v>45455</v>
      </c>
      <c r="C4876" s="266" t="str">
        <f>IFERROR(__xludf.DUMMYFUNCTION("""COMPUTED_VALUE"""),"KYAI KONTONG")</f>
        <v>KYAI KONTONG</v>
      </c>
      <c r="D4876" s="186">
        <f>IFERROR(__xludf.DUMMYFUNCTION("""COMPUTED_VALUE"""),40.0)</f>
        <v>40</v>
      </c>
    </row>
    <row r="4877">
      <c r="A4877" s="178" t="str">
        <f>IFERROR(__xludf.DUMMYFUNCTION("""COMPUTED_VALUE"""),"ITBISA-IC-CD4094BM-SMD-SOP16")</f>
        <v>ITBISA-IC-CD4094BM-SMD-SOP16</v>
      </c>
      <c r="B4877" s="266">
        <f>IFERROR(__xludf.DUMMYFUNCTION("""COMPUTED_VALUE"""),45460.0)</f>
        <v>45460</v>
      </c>
      <c r="C4877" s="266" t="str">
        <f>IFERROR(__xludf.DUMMYFUNCTION("""COMPUTED_VALUE"""),"KYAI KONTONG")</f>
        <v>KYAI KONTONG</v>
      </c>
      <c r="D4877" s="186">
        <f>IFERROR(__xludf.DUMMYFUNCTION("""COMPUTED_VALUE"""),13.0)</f>
        <v>13</v>
      </c>
    </row>
    <row r="4878">
      <c r="A4878" s="178" t="str">
        <f>IFERROR(__xludf.DUMMYFUNCTION("""COMPUTED_VALUE"""),"ITBISA-IC-CD4094BM-SMD-SOP16")</f>
        <v>ITBISA-IC-CD4094BM-SMD-SOP16</v>
      </c>
      <c r="B4878" s="266">
        <f>IFERROR(__xludf.DUMMYFUNCTION("""COMPUTED_VALUE"""),45463.0)</f>
        <v>45463</v>
      </c>
      <c r="C4878" s="266" t="str">
        <f>IFERROR(__xludf.DUMMYFUNCTION("""COMPUTED_VALUE"""),"KYAI KONTONG")</f>
        <v>KYAI KONTONG</v>
      </c>
      <c r="D4878" s="186">
        <f>IFERROR(__xludf.DUMMYFUNCTION("""COMPUTED_VALUE"""),35.0)</f>
        <v>35</v>
      </c>
    </row>
    <row r="4879">
      <c r="A4879" s="178" t="str">
        <f>IFERROR(__xludf.DUMMYFUNCTION("""COMPUTED_VALUE"""),"ITBISA-IC-CD4094BM-SMD-SOP16")</f>
        <v>ITBISA-IC-CD4094BM-SMD-SOP16</v>
      </c>
      <c r="B4879" s="266">
        <f>IFERROR(__xludf.DUMMYFUNCTION("""COMPUTED_VALUE"""),45468.0)</f>
        <v>45468</v>
      </c>
      <c r="C4879" s="266" t="str">
        <f>IFERROR(__xludf.DUMMYFUNCTION("""COMPUTED_VALUE"""),"KYAI KONTONG")</f>
        <v>KYAI KONTONG</v>
      </c>
      <c r="D4879" s="186">
        <f>IFERROR(__xludf.DUMMYFUNCTION("""COMPUTED_VALUE"""),35.0)</f>
        <v>35</v>
      </c>
    </row>
    <row r="4880">
      <c r="A4880" s="178" t="str">
        <f>IFERROR(__xludf.DUMMYFUNCTION("""COMPUTED_VALUE"""),"ITBISA-IC-CD4094BM-SMD-SOP16")</f>
        <v>ITBISA-IC-CD4094BM-SMD-SOP16</v>
      </c>
      <c r="B4880" s="266">
        <f>IFERROR(__xludf.DUMMYFUNCTION("""COMPUTED_VALUE"""),45472.0)</f>
        <v>45472</v>
      </c>
      <c r="C4880" s="266" t="str">
        <f>IFERROR(__xludf.DUMMYFUNCTION("""COMPUTED_VALUE"""),"KYAI KONTONG")</f>
        <v>KYAI KONTONG</v>
      </c>
      <c r="D4880" s="186">
        <f>IFERROR(__xludf.DUMMYFUNCTION("""COMPUTED_VALUE"""),35.0)</f>
        <v>35</v>
      </c>
    </row>
    <row r="4881">
      <c r="A4881" s="178" t="str">
        <f>IFERROR(__xludf.DUMMYFUNCTION("""COMPUTED_VALUE"""),"ITBISA-IC-CD4094BM-SMD-SOP16")</f>
        <v>ITBISA-IC-CD4094BM-SMD-SOP16</v>
      </c>
      <c r="B4881" s="266">
        <f>IFERROR(__xludf.DUMMYFUNCTION("""COMPUTED_VALUE"""),45473.0)</f>
        <v>45473</v>
      </c>
      <c r="C4881" s="266" t="str">
        <f>IFERROR(__xludf.DUMMYFUNCTION("""COMPUTED_VALUE"""),"KERTASARI CIAMIS")</f>
        <v>KERTASARI CIAMIS</v>
      </c>
      <c r="D4881" s="186">
        <f>IFERROR(__xludf.DUMMYFUNCTION("""COMPUTED_VALUE"""),120.0)</f>
        <v>120</v>
      </c>
    </row>
    <row r="4882">
      <c r="A4882" s="178" t="str">
        <f>IFERROR(__xludf.DUMMYFUNCTION("""COMPUTED_VALUE"""),"ITBISA-IC-CD4094BM-SMD-SOP16")</f>
        <v>ITBISA-IC-CD4094BM-SMD-SOP16</v>
      </c>
      <c r="B4882" s="266">
        <f>IFERROR(__xludf.DUMMYFUNCTION("""COMPUTED_VALUE"""),45479.0)</f>
        <v>45479</v>
      </c>
      <c r="C4882" s="266" t="str">
        <f>IFERROR(__xludf.DUMMYFUNCTION("""COMPUTED_VALUE"""),"KERTASARI CIAMIS")</f>
        <v>KERTASARI CIAMIS</v>
      </c>
      <c r="D4882" s="186">
        <f>IFERROR(__xludf.DUMMYFUNCTION("""COMPUTED_VALUE"""),200.0)</f>
        <v>200</v>
      </c>
    </row>
    <row r="4883">
      <c r="A4883" s="178" t="str">
        <f>IFERROR(__xludf.DUMMYFUNCTION("""COMPUTED_VALUE"""),"ITBISA-IC-CD4094BM-SMD-SOP16")</f>
        <v>ITBISA-IC-CD4094BM-SMD-SOP16</v>
      </c>
      <c r="B4883" s="266">
        <f>IFERROR(__xludf.DUMMYFUNCTION("""COMPUTED_VALUE"""),45488.0)</f>
        <v>45488</v>
      </c>
      <c r="C4883" s="266" t="str">
        <f>IFERROR(__xludf.DUMMYFUNCTION("""COMPUTED_VALUE"""),"KERTASARI CIAMIS")</f>
        <v>KERTASARI CIAMIS</v>
      </c>
      <c r="D4883" s="186">
        <f>IFERROR(__xludf.DUMMYFUNCTION("""COMPUTED_VALUE"""),600.0)</f>
        <v>600</v>
      </c>
    </row>
    <row r="4884">
      <c r="A4884" s="178" t="str">
        <f>IFERROR(__xludf.DUMMYFUNCTION("""COMPUTED_VALUE"""),"ITBISA-IC-CD4094BM-SMD-SOP16")</f>
        <v>ITBISA-IC-CD4094BM-SMD-SOP16</v>
      </c>
      <c r="B4884" s="266">
        <f>IFERROR(__xludf.DUMMYFUNCTION("""COMPUTED_VALUE"""),45498.0)</f>
        <v>45498</v>
      </c>
      <c r="C4884" s="266" t="str">
        <f>IFERROR(__xludf.DUMMYFUNCTION("""COMPUTED_VALUE"""),"KERTASARI CIAMIS")</f>
        <v>KERTASARI CIAMIS</v>
      </c>
      <c r="D4884" s="186">
        <f>IFERROR(__xludf.DUMMYFUNCTION("""COMPUTED_VALUE"""),100.0)</f>
        <v>100</v>
      </c>
    </row>
    <row r="4885">
      <c r="A4885" s="178" t="str">
        <f>IFERROR(__xludf.DUMMYFUNCTION("""COMPUTED_VALUE"""),"ITBISA-IC-CD4094BM-SMD-SOP16")</f>
        <v>ITBISA-IC-CD4094BM-SMD-SOP16</v>
      </c>
      <c r="B4885" s="266">
        <f>IFERROR(__xludf.DUMMYFUNCTION("""COMPUTED_VALUE"""),45508.0)</f>
        <v>45508</v>
      </c>
      <c r="C4885" s="266" t="str">
        <f>IFERROR(__xludf.DUMMYFUNCTION("""COMPUTED_VALUE"""),"KERTASARI CIAMIS")</f>
        <v>KERTASARI CIAMIS</v>
      </c>
      <c r="D4885" s="186">
        <f>IFERROR(__xludf.DUMMYFUNCTION("""COMPUTED_VALUE"""),170.0)</f>
        <v>170</v>
      </c>
    </row>
    <row r="4886">
      <c r="A4886" s="178" t="str">
        <f>IFERROR(__xludf.DUMMYFUNCTION("""COMPUTED_VALUE"""),"ITBISA-IC-CD4094BM-SMD-SOP16")</f>
        <v>ITBISA-IC-CD4094BM-SMD-SOP16</v>
      </c>
      <c r="B4886" s="266">
        <f>IFERROR(__xludf.DUMMYFUNCTION("""COMPUTED_VALUE"""),45517.0)</f>
        <v>45517</v>
      </c>
      <c r="C4886" s="266" t="str">
        <f>IFERROR(__xludf.DUMMYFUNCTION("""COMPUTED_VALUE"""),"KERTASARI CIAMIS")</f>
        <v>KERTASARI CIAMIS</v>
      </c>
      <c r="D4886" s="186">
        <f>IFERROR(__xludf.DUMMYFUNCTION("""COMPUTED_VALUE"""),100.0)</f>
        <v>100</v>
      </c>
    </row>
    <row r="4887">
      <c r="A4887" s="178" t="str">
        <f>IFERROR(__xludf.DUMMYFUNCTION("""COMPUTED_VALUE"""),"ITBISA-IC-CD4094BM-SMD-SOP16")</f>
        <v>ITBISA-IC-CD4094BM-SMD-SOP16</v>
      </c>
      <c r="B4887" s="266">
        <f>IFERROR(__xludf.DUMMYFUNCTION("""COMPUTED_VALUE"""),45559.0)</f>
        <v>45559</v>
      </c>
      <c r="C4887" s="266" t="str">
        <f>IFERROR(__xludf.DUMMYFUNCTION("""COMPUTED_VALUE"""),"KERTASARI CIAMIS")</f>
        <v>KERTASARI CIAMIS</v>
      </c>
      <c r="D4887" s="186">
        <f>IFERROR(__xludf.DUMMYFUNCTION("""COMPUTED_VALUE"""),40.0)</f>
        <v>40</v>
      </c>
    </row>
    <row r="4888">
      <c r="A4888" s="178" t="str">
        <f>IFERROR(__xludf.DUMMYFUNCTION("""COMPUTED_VALUE"""),"ITBISA-IC-CD4094BM-SMD-SOP16")</f>
        <v>ITBISA-IC-CD4094BM-SMD-SOP16</v>
      </c>
      <c r="B4888" s="266">
        <f>IFERROR(__xludf.DUMMYFUNCTION("""COMPUTED_VALUE"""),45559.0)</f>
        <v>45559</v>
      </c>
      <c r="C4888" s="266" t="str">
        <f>IFERROR(__xludf.DUMMYFUNCTION("""COMPUTED_VALUE"""),"KERTASARI CIAMIS")</f>
        <v>KERTASARI CIAMIS</v>
      </c>
      <c r="D4888" s="186">
        <f>IFERROR(__xludf.DUMMYFUNCTION("""COMPUTED_VALUE"""),300.0)</f>
        <v>300</v>
      </c>
    </row>
    <row r="4889">
      <c r="A4889" s="178" t="str">
        <f>IFERROR(__xludf.DUMMYFUNCTION("""COMPUTED_VALUE"""),"ITBISA-IC-CD4094BM-SMD-SOP16")</f>
        <v>ITBISA-IC-CD4094BM-SMD-SOP16</v>
      </c>
      <c r="B4889" s="266">
        <f>IFERROR(__xludf.DUMMYFUNCTION("""COMPUTED_VALUE"""),45565.0)</f>
        <v>45565</v>
      </c>
      <c r="C4889" s="266" t="str">
        <f>IFERROR(__xludf.DUMMYFUNCTION("""COMPUTED_VALUE"""),"KYAI KONTONG")</f>
        <v>KYAI KONTONG</v>
      </c>
      <c r="D4889" s="186">
        <f>IFERROR(__xludf.DUMMYFUNCTION("""COMPUTED_VALUE"""),10.0)</f>
        <v>10</v>
      </c>
    </row>
    <row r="4890">
      <c r="A4890" s="178" t="str">
        <f>IFERROR(__xludf.DUMMYFUNCTION("""COMPUTED_VALUE"""),"ITBISA-IC-CD4094BM-SMD-SOP16")</f>
        <v>ITBISA-IC-CD4094BM-SMD-SOP16</v>
      </c>
      <c r="B4890" s="266">
        <f>IFERROR(__xludf.DUMMYFUNCTION("""COMPUTED_VALUE"""),45566.0)</f>
        <v>45566</v>
      </c>
      <c r="C4890" s="266" t="str">
        <f>IFERROR(__xludf.DUMMYFUNCTION("""COMPUTED_VALUE"""),"KERTASARI CIAMIS")</f>
        <v>KERTASARI CIAMIS</v>
      </c>
      <c r="D4890" s="186">
        <f>IFERROR(__xludf.DUMMYFUNCTION("""COMPUTED_VALUE"""),150.0)</f>
        <v>150</v>
      </c>
    </row>
    <row r="4891">
      <c r="A4891" s="178" t="str">
        <f>IFERROR(__xludf.DUMMYFUNCTION("""COMPUTED_VALUE"""),"ITBISA-IC-CD4094BM-SMD-SOP16")</f>
        <v>ITBISA-IC-CD4094BM-SMD-SOP16</v>
      </c>
      <c r="B4891" s="266">
        <f>IFERROR(__xludf.DUMMYFUNCTION("""COMPUTED_VALUE"""),45604.0)</f>
        <v>45604</v>
      </c>
      <c r="C4891" s="266" t="str">
        <f>IFERROR(__xludf.DUMMYFUNCTION("""COMPUTED_VALUE"""),"KERTASARI CIAMIS")</f>
        <v>KERTASARI CIAMIS</v>
      </c>
      <c r="D4891" s="186">
        <f>IFERROR(__xludf.DUMMYFUNCTION("""COMPUTED_VALUE"""),15.0)</f>
        <v>15</v>
      </c>
    </row>
    <row r="4892">
      <c r="A4892" s="178" t="str">
        <f>IFERROR(__xludf.DUMMYFUNCTION("""COMPUTED_VALUE"""),"ITBISA-IC-CD4094BM-SMD-SOP16")</f>
        <v>ITBISA-IC-CD4094BM-SMD-SOP16</v>
      </c>
      <c r="B4892" s="266">
        <f>IFERROR(__xludf.DUMMYFUNCTION("""COMPUTED_VALUE"""),45611.0)</f>
        <v>45611</v>
      </c>
      <c r="C4892" s="266" t="str">
        <f>IFERROR(__xludf.DUMMYFUNCTION("""COMPUTED_VALUE"""),"KERTASARI CIAMIS")</f>
        <v>KERTASARI CIAMIS</v>
      </c>
      <c r="D4892" s="186">
        <f>IFERROR(__xludf.DUMMYFUNCTION("""COMPUTED_VALUE"""),40.0)</f>
        <v>40</v>
      </c>
    </row>
    <row r="4893">
      <c r="A4893" s="178" t="str">
        <f>IFERROR(__xludf.DUMMYFUNCTION("""COMPUTED_VALUE"""),"ITBISA-IC-CD4094BM-SMD-SOP16")</f>
        <v>ITBISA-IC-CD4094BM-SMD-SOP16</v>
      </c>
      <c r="B4893" s="266">
        <f>IFERROR(__xludf.DUMMYFUNCTION("""COMPUTED_VALUE"""),45611.0)</f>
        <v>45611</v>
      </c>
      <c r="C4893" s="266" t="str">
        <f>IFERROR(__xludf.DUMMYFUNCTION("""COMPUTED_VALUE"""),"KYAI KONTONG")</f>
        <v>KYAI KONTONG</v>
      </c>
      <c r="D4893" s="186">
        <f>IFERROR(__xludf.DUMMYFUNCTION("""COMPUTED_VALUE"""),30.0)</f>
        <v>30</v>
      </c>
    </row>
    <row r="4894">
      <c r="A4894" s="178" t="str">
        <f>IFERROR(__xludf.DUMMYFUNCTION("""COMPUTED_VALUE"""),"ITBISA-IC-CD4094BM-SMD-SOP16")</f>
        <v>ITBISA-IC-CD4094BM-SMD-SOP16</v>
      </c>
      <c r="B4894" s="266">
        <f>IFERROR(__xludf.DUMMYFUNCTION("""COMPUTED_VALUE"""),45615.0)</f>
        <v>45615</v>
      </c>
      <c r="C4894" s="266" t="str">
        <f>IFERROR(__xludf.DUMMYFUNCTION("""COMPUTED_VALUE"""),"KERTASARI CIAMIS")</f>
        <v>KERTASARI CIAMIS</v>
      </c>
      <c r="D4894" s="186">
        <f>IFERROR(__xludf.DUMMYFUNCTION("""COMPUTED_VALUE"""),180.0)</f>
        <v>180</v>
      </c>
    </row>
    <row r="4895">
      <c r="A4895" s="178" t="str">
        <f>IFERROR(__xludf.DUMMYFUNCTION("""COMPUTED_VALUE"""),"ITBISA-IC-CD4094BM-SMD-SOP16")</f>
        <v>ITBISA-IC-CD4094BM-SMD-SOP16</v>
      </c>
      <c r="B4895" s="266">
        <f>IFERROR(__xludf.DUMMYFUNCTION("""COMPUTED_VALUE"""),45621.0)</f>
        <v>45621</v>
      </c>
      <c r="C4895" s="266" t="str">
        <f>IFERROR(__xludf.DUMMYFUNCTION("""COMPUTED_VALUE"""),"KERTASARI CIAMIS")</f>
        <v>KERTASARI CIAMIS</v>
      </c>
      <c r="D4895" s="186">
        <f>IFERROR(__xludf.DUMMYFUNCTION("""COMPUTED_VALUE"""),25.0)</f>
        <v>25</v>
      </c>
    </row>
    <row r="4896">
      <c r="A4896" s="178" t="str">
        <f>IFERROR(__xludf.DUMMYFUNCTION("""COMPUTED_VALUE"""),"ITBISA-IC-CD4094BM-SMD-SOP16")</f>
        <v>ITBISA-IC-CD4094BM-SMD-SOP16</v>
      </c>
      <c r="B4896" s="266">
        <f>IFERROR(__xludf.DUMMYFUNCTION("""COMPUTED_VALUE"""),45625.0)</f>
        <v>45625</v>
      </c>
      <c r="C4896" s="266" t="str">
        <f>IFERROR(__xludf.DUMMYFUNCTION("""COMPUTED_VALUE"""),"KYAI KONTONG")</f>
        <v>KYAI KONTONG</v>
      </c>
      <c r="D4896" s="186">
        <f>IFERROR(__xludf.DUMMYFUNCTION("""COMPUTED_VALUE"""),30.0)</f>
        <v>30</v>
      </c>
    </row>
    <row r="4897">
      <c r="A4897" s="178" t="str">
        <f>IFERROR(__xludf.DUMMYFUNCTION("""COMPUTED_VALUE"""),"ITBISA-IC-CD4094BM-SMD-SOP16")</f>
        <v>ITBISA-IC-CD4094BM-SMD-SOP16</v>
      </c>
      <c r="B4897" s="266">
        <f>IFERROR(__xludf.DUMMYFUNCTION("""COMPUTED_VALUE"""),45640.0)</f>
        <v>45640</v>
      </c>
      <c r="C4897" s="266" t="str">
        <f>IFERROR(__xludf.DUMMYFUNCTION("""COMPUTED_VALUE"""),"KERTASARI CIAMIS")</f>
        <v>KERTASARI CIAMIS</v>
      </c>
      <c r="D4897" s="186">
        <f>IFERROR(__xludf.DUMMYFUNCTION("""COMPUTED_VALUE"""),120.0)</f>
        <v>120</v>
      </c>
    </row>
    <row r="4898">
      <c r="A4898" s="178" t="str">
        <f>IFERROR(__xludf.DUMMYFUNCTION("""COMPUTED_VALUE"""),"ITBISA-IC-CD4094BM-SMD-SOP16")</f>
        <v>ITBISA-IC-CD4094BM-SMD-SOP16</v>
      </c>
      <c r="B4898" s="266">
        <f>IFERROR(__xludf.DUMMYFUNCTION("""COMPUTED_VALUE"""),45651.0)</f>
        <v>45651</v>
      </c>
      <c r="C4898" s="266" t="str">
        <f>IFERROR(__xludf.DUMMYFUNCTION("""COMPUTED_VALUE"""),"KERTASARI CIAMIS")</f>
        <v>KERTASARI CIAMIS</v>
      </c>
      <c r="D4898" s="186">
        <f>IFERROR(__xludf.DUMMYFUNCTION("""COMPUTED_VALUE"""),30.0)</f>
        <v>30</v>
      </c>
    </row>
    <row r="4899">
      <c r="A4899" s="178" t="str">
        <f>IFERROR(__xludf.DUMMYFUNCTION("""COMPUTED_VALUE"""),"ITBISA-IC-CD4094BM-SMD-SOP16")</f>
        <v>ITBISA-IC-CD4094BM-SMD-SOP16</v>
      </c>
      <c r="B4899" s="266">
        <f>IFERROR(__xludf.DUMMYFUNCTION("""COMPUTED_VALUE"""),45656.0)</f>
        <v>45656</v>
      </c>
      <c r="C4899" s="266" t="str">
        <f>IFERROR(__xludf.DUMMYFUNCTION("""COMPUTED_VALUE"""),"KERTASARI CIAMIS")</f>
        <v>KERTASARI CIAMIS</v>
      </c>
      <c r="D4899" s="186">
        <f>IFERROR(__xludf.DUMMYFUNCTION("""COMPUTED_VALUE"""),10.0)</f>
        <v>10</v>
      </c>
    </row>
    <row r="4900">
      <c r="A4900" s="178" t="str">
        <f>IFERROR(__xludf.DUMMYFUNCTION("""COMPUTED_VALUE"""),"ITBISA-IC-CD4094BM-SMD-SOP16")</f>
        <v>ITBISA-IC-CD4094BM-SMD-SOP16</v>
      </c>
      <c r="B4900" s="266">
        <f>IFERROR(__xludf.DUMMYFUNCTION("""COMPUTED_VALUE"""),45659.0)</f>
        <v>45659</v>
      </c>
      <c r="C4900" s="266" t="str">
        <f>IFERROR(__xludf.DUMMYFUNCTION("""COMPUTED_VALUE"""),"KYAI KONTONG")</f>
        <v>KYAI KONTONG</v>
      </c>
      <c r="D4900" s="186">
        <f>IFERROR(__xludf.DUMMYFUNCTION("""COMPUTED_VALUE"""),300.0)</f>
        <v>300</v>
      </c>
    </row>
    <row r="4901">
      <c r="A4901" s="178" t="str">
        <f>IFERROR(__xludf.DUMMYFUNCTION("""COMPUTED_VALUE"""),"ITBISA-IC-CD4094BM-SMD-SOP16")</f>
        <v>ITBISA-IC-CD4094BM-SMD-SOP16</v>
      </c>
      <c r="B4901" s="266">
        <f>IFERROR(__xludf.DUMMYFUNCTION("""COMPUTED_VALUE"""),45663.0)</f>
        <v>45663</v>
      </c>
      <c r="C4901" s="266" t="str">
        <f>IFERROR(__xludf.DUMMYFUNCTION("""COMPUTED_VALUE"""),"KERTASARI CIAMIS")</f>
        <v>KERTASARI CIAMIS</v>
      </c>
      <c r="D4901" s="186">
        <f>IFERROR(__xludf.DUMMYFUNCTION("""COMPUTED_VALUE"""),70.0)</f>
        <v>70</v>
      </c>
    </row>
    <row r="4902">
      <c r="A4902" s="178" t="str">
        <f>IFERROR(__xludf.DUMMYFUNCTION("""COMPUTED_VALUE"""),"ITBISA-IC-CD4094BM-SMD-SOP16")</f>
        <v>ITBISA-IC-CD4094BM-SMD-SOP16</v>
      </c>
      <c r="B4902" s="266">
        <f>IFERROR(__xludf.DUMMYFUNCTION("""COMPUTED_VALUE"""),45667.0)</f>
        <v>45667</v>
      </c>
      <c r="C4902" s="266" t="str">
        <f>IFERROR(__xludf.DUMMYFUNCTION("""COMPUTED_VALUE"""),"KERTASARI CIAMIS")</f>
        <v>KERTASARI CIAMIS</v>
      </c>
      <c r="D4902" s="186">
        <f>IFERROR(__xludf.DUMMYFUNCTION("""COMPUTED_VALUE"""),100.0)</f>
        <v>100</v>
      </c>
    </row>
    <row r="4903">
      <c r="A4903" s="178" t="str">
        <f>IFERROR(__xludf.DUMMYFUNCTION("""COMPUTED_VALUE"""),"ITBISA-IC-CD4094BM-SMD-SOP16")</f>
        <v>ITBISA-IC-CD4094BM-SMD-SOP16</v>
      </c>
      <c r="B4903" s="266">
        <f>IFERROR(__xludf.DUMMYFUNCTION("""COMPUTED_VALUE"""),45676.0)</f>
        <v>45676</v>
      </c>
      <c r="C4903" s="266" t="str">
        <f>IFERROR(__xludf.DUMMYFUNCTION("""COMPUTED_VALUE"""),"KERTASARI CIAMIS")</f>
        <v>KERTASARI CIAMIS</v>
      </c>
      <c r="D4903" s="186">
        <f>IFERROR(__xludf.DUMMYFUNCTION("""COMPUTED_VALUE"""),100.0)</f>
        <v>100</v>
      </c>
    </row>
    <row r="4904">
      <c r="A4904" s="178" t="str">
        <f>IFERROR(__xludf.DUMMYFUNCTION("""COMPUTED_VALUE"""),"ITBISA-IC-CD4094BM-SMD-SOP16")</f>
        <v>ITBISA-IC-CD4094BM-SMD-SOP16</v>
      </c>
      <c r="B4904" s="266">
        <f>IFERROR(__xludf.DUMMYFUNCTION("""COMPUTED_VALUE"""),45707.0)</f>
        <v>45707</v>
      </c>
      <c r="C4904" s="266" t="str">
        <f>IFERROR(__xludf.DUMMYFUNCTION("""COMPUTED_VALUE"""),"KERTASARI CIAMIS")</f>
        <v>KERTASARI CIAMIS</v>
      </c>
      <c r="D4904" s="186">
        <f>IFERROR(__xludf.DUMMYFUNCTION("""COMPUTED_VALUE"""),17.0)</f>
        <v>17</v>
      </c>
    </row>
    <row r="4905">
      <c r="A4905" s="178" t="str">
        <f>IFERROR(__xludf.DUMMYFUNCTION("""COMPUTED_VALUE"""),"ITBISA-IC-CD4094BM-SMD-SOP16")</f>
        <v>ITBISA-IC-CD4094BM-SMD-SOP16</v>
      </c>
      <c r="B4905" s="266">
        <f>IFERROR(__xludf.DUMMYFUNCTION("""COMPUTED_VALUE"""),45708.0)</f>
        <v>45708</v>
      </c>
      <c r="C4905" s="266" t="str">
        <f>IFERROR(__xludf.DUMMYFUNCTION("""COMPUTED_VALUE"""),"KERTASARI CIAMIS")</f>
        <v>KERTASARI CIAMIS</v>
      </c>
      <c r="D4905" s="186">
        <f>IFERROR(__xludf.DUMMYFUNCTION("""COMPUTED_VALUE"""),20.0)</f>
        <v>20</v>
      </c>
    </row>
    <row r="4906">
      <c r="A4906" s="178" t="str">
        <f>IFERROR(__xludf.DUMMYFUNCTION("""COMPUTED_VALUE"""),"ITBISA-IC-CD4094BM-SMD-SOP16")</f>
        <v>ITBISA-IC-CD4094BM-SMD-SOP16</v>
      </c>
      <c r="B4906" s="266">
        <f>IFERROR(__xludf.DUMMYFUNCTION("""COMPUTED_VALUE"""),45710.0)</f>
        <v>45710</v>
      </c>
      <c r="C4906" s="266" t="str">
        <f>IFERROR(__xludf.DUMMYFUNCTION("""COMPUTED_VALUE"""),"KYAI KONTONG")</f>
        <v>KYAI KONTONG</v>
      </c>
      <c r="D4906" s="186">
        <f>IFERROR(__xludf.DUMMYFUNCTION("""COMPUTED_VALUE"""),100.0)</f>
        <v>100</v>
      </c>
    </row>
    <row r="4907">
      <c r="A4907" s="178" t="str">
        <f>IFERROR(__xludf.DUMMYFUNCTION("""COMPUTED_VALUE"""),"ITBISA-IC-CD4094BM-SMD-SOP16")</f>
        <v>ITBISA-IC-CD4094BM-SMD-SOP16</v>
      </c>
      <c r="B4907" s="266">
        <f>IFERROR(__xludf.DUMMYFUNCTION("""COMPUTED_VALUE"""),45717.0)</f>
        <v>45717</v>
      </c>
      <c r="C4907" s="266" t="str">
        <f>IFERROR(__xludf.DUMMYFUNCTION("""COMPUTED_VALUE"""),"KERTASARI CIAMIS")</f>
        <v>KERTASARI CIAMIS</v>
      </c>
      <c r="D4907" s="186">
        <f>IFERROR(__xludf.DUMMYFUNCTION("""COMPUTED_VALUE"""),2500.0)</f>
        <v>2500</v>
      </c>
    </row>
    <row r="4908">
      <c r="A4908" s="178" t="str">
        <f>IFERROR(__xludf.DUMMYFUNCTION("""COMPUTED_VALUE"""),"ITBISA-IC-CD4094BM-SMD-SOP16")</f>
        <v>ITBISA-IC-CD4094BM-SMD-SOP16</v>
      </c>
      <c r="B4908" s="266">
        <f>IFERROR(__xludf.DUMMYFUNCTION("""COMPUTED_VALUE"""),45723.0)</f>
        <v>45723</v>
      </c>
      <c r="C4908" s="266" t="str">
        <f>IFERROR(__xludf.DUMMYFUNCTION("""COMPUTED_VALUE"""),"KERTASARI CIAMIS")</f>
        <v>KERTASARI CIAMIS</v>
      </c>
      <c r="D4908" s="186">
        <f>IFERROR(__xludf.DUMMYFUNCTION("""COMPUTED_VALUE"""),50.0)</f>
        <v>50</v>
      </c>
    </row>
    <row r="4909">
      <c r="A4909" s="178" t="str">
        <f>IFERROR(__xludf.DUMMYFUNCTION("""COMPUTED_VALUE"""),"ITBISA-IC-CD4094BM-SMD-SOP16")</f>
        <v>ITBISA-IC-CD4094BM-SMD-SOP16</v>
      </c>
      <c r="B4909" s="266">
        <f>IFERROR(__xludf.DUMMYFUNCTION("""COMPUTED_VALUE"""),45723.0)</f>
        <v>45723</v>
      </c>
      <c r="C4909" s="266" t="str">
        <f>IFERROR(__xludf.DUMMYFUNCTION("""COMPUTED_VALUE"""),"KERTASARI CIAMIS")</f>
        <v>KERTASARI CIAMIS</v>
      </c>
      <c r="D4909" s="186">
        <f>IFERROR(__xludf.DUMMYFUNCTION("""COMPUTED_VALUE"""),70.0)</f>
        <v>70</v>
      </c>
    </row>
    <row r="4910">
      <c r="A4910" s="178" t="str">
        <f>IFERROR(__xludf.DUMMYFUNCTION("""COMPUTED_VALUE"""),"ITBISA-IC-CD4094BM-SMD-SOP16")</f>
        <v>ITBISA-IC-CD4094BM-SMD-SOP16</v>
      </c>
      <c r="B4910" s="266">
        <f>IFERROR(__xludf.DUMMYFUNCTION("""COMPUTED_VALUE"""),45730.0)</f>
        <v>45730</v>
      </c>
      <c r="C4910" s="266" t="str">
        <f>IFERROR(__xludf.DUMMYFUNCTION("""COMPUTED_VALUE"""),"KERTASARI CIAMIS")</f>
        <v>KERTASARI CIAMIS</v>
      </c>
      <c r="D4910" s="186">
        <f>IFERROR(__xludf.DUMMYFUNCTION("""COMPUTED_VALUE"""),70.0)</f>
        <v>70</v>
      </c>
    </row>
    <row r="4911">
      <c r="A4911" s="178" t="str">
        <f>IFERROR(__xludf.DUMMYFUNCTION("""COMPUTED_VALUE"""),"ITBISA-IC-CD4094BM-SMD-SOP16")</f>
        <v>ITBISA-IC-CD4094BM-SMD-SOP16</v>
      </c>
      <c r="B4911" s="266">
        <f>IFERROR(__xludf.DUMMYFUNCTION("""COMPUTED_VALUE"""),45732.0)</f>
        <v>45732</v>
      </c>
      <c r="C4911" s="266" t="str">
        <f>IFERROR(__xludf.DUMMYFUNCTION("""COMPUTED_VALUE"""),"KYAI KONTONG")</f>
        <v>KYAI KONTONG</v>
      </c>
      <c r="D4911" s="186">
        <f>IFERROR(__xludf.DUMMYFUNCTION("""COMPUTED_VALUE"""),150.0)</f>
        <v>150</v>
      </c>
    </row>
    <row r="4912">
      <c r="A4912" s="178" t="str">
        <f>IFERROR(__xludf.DUMMYFUNCTION("""COMPUTED_VALUE"""),"ITBISA-IC-CD4094BM-SMD-SOP16")</f>
        <v>ITBISA-IC-CD4094BM-SMD-SOP16</v>
      </c>
      <c r="B4912" s="266">
        <f>IFERROR(__xludf.DUMMYFUNCTION("""COMPUTED_VALUE"""),45735.0)</f>
        <v>45735</v>
      </c>
      <c r="C4912" s="266" t="str">
        <f>IFERROR(__xludf.DUMMYFUNCTION("""COMPUTED_VALUE"""),"KERTASARI CIAMIS")</f>
        <v>KERTASARI CIAMIS</v>
      </c>
      <c r="D4912" s="186">
        <f>IFERROR(__xludf.DUMMYFUNCTION("""COMPUTED_VALUE"""),227.0)</f>
        <v>227</v>
      </c>
    </row>
    <row r="4913">
      <c r="A4913" s="178" t="str">
        <f>IFERROR(__xludf.DUMMYFUNCTION("""COMPUTED_VALUE"""),"ITBISA-IC-CD4094BM-SMD-SOP16")</f>
        <v>ITBISA-IC-CD4094BM-SMD-SOP16</v>
      </c>
      <c r="B4913" s="266">
        <f>IFERROR(__xludf.DUMMYFUNCTION("""COMPUTED_VALUE"""),45757.0)</f>
        <v>45757</v>
      </c>
      <c r="C4913" s="266" t="str">
        <f>IFERROR(__xludf.DUMMYFUNCTION("""COMPUTED_VALUE"""),"KERTASARI CIAMIS")</f>
        <v>KERTASARI CIAMIS</v>
      </c>
      <c r="D4913" s="186">
        <f>IFERROR(__xludf.DUMMYFUNCTION("""COMPUTED_VALUE"""),400.0)</f>
        <v>400</v>
      </c>
    </row>
    <row r="4914">
      <c r="A4914" s="178" t="str">
        <f>IFERROR(__xludf.DUMMYFUNCTION("""COMPUTED_VALUE"""),"ITBISA-IC-CD4094BM-SMD-SOP16")</f>
        <v>ITBISA-IC-CD4094BM-SMD-SOP16</v>
      </c>
      <c r="B4914" s="266">
        <f>IFERROR(__xludf.DUMMYFUNCTION("""COMPUTED_VALUE"""),45769.0)</f>
        <v>45769</v>
      </c>
      <c r="C4914" s="266" t="str">
        <f>IFERROR(__xludf.DUMMYFUNCTION("""COMPUTED_VALUE"""),"KERTASARI CIAMIS")</f>
        <v>KERTASARI CIAMIS</v>
      </c>
      <c r="D4914" s="186">
        <f>IFERROR(__xludf.DUMMYFUNCTION("""COMPUTED_VALUE"""),100.0)</f>
        <v>100</v>
      </c>
    </row>
    <row r="4915">
      <c r="A4915" s="178" t="str">
        <f>IFERROR(__xludf.DUMMYFUNCTION("""COMPUTED_VALUE"""),"ITBISA-IC-CD4094BM-SMD-SOP16")</f>
        <v>ITBISA-IC-CD4094BM-SMD-SOP16</v>
      </c>
      <c r="B4915" s="266">
        <f>IFERROR(__xludf.DUMMYFUNCTION("""COMPUTED_VALUE"""),45792.0)</f>
        <v>45792</v>
      </c>
      <c r="C4915" s="266" t="str">
        <f>IFERROR(__xludf.DUMMYFUNCTION("""COMPUTED_VALUE"""),"KERTASARI CIAMIS")</f>
        <v>KERTASARI CIAMIS</v>
      </c>
      <c r="D4915" s="186">
        <f>IFERROR(__xludf.DUMMYFUNCTION("""COMPUTED_VALUE"""),30.0)</f>
        <v>30</v>
      </c>
    </row>
    <row r="4916">
      <c r="A4916" s="178" t="str">
        <f>IFERROR(__xludf.DUMMYFUNCTION("""COMPUTED_VALUE"""),"ITBISA-IC-CD4094BM-SMD-SOP16")</f>
        <v>ITBISA-IC-CD4094BM-SMD-SOP16</v>
      </c>
      <c r="B4916" s="266">
        <f>IFERROR(__xludf.DUMMYFUNCTION("""COMPUTED_VALUE"""),45798.0)</f>
        <v>45798</v>
      </c>
      <c r="C4916" s="266" t="str">
        <f>IFERROR(__xludf.DUMMYFUNCTION("""COMPUTED_VALUE"""),"KERTASARI CIAMIS")</f>
        <v>KERTASARI CIAMIS</v>
      </c>
      <c r="D4916" s="186">
        <f>IFERROR(__xludf.DUMMYFUNCTION("""COMPUTED_VALUE"""),60.0)</f>
        <v>60</v>
      </c>
    </row>
    <row r="4917">
      <c r="A4917" s="178" t="str">
        <f>IFERROR(__xludf.DUMMYFUNCTION("""COMPUTED_VALUE"""),"ITBISA-IC-CD4094BM-SMD-SOP16")</f>
        <v>ITBISA-IC-CD4094BM-SMD-SOP16</v>
      </c>
      <c r="B4917" s="266">
        <f>IFERROR(__xludf.DUMMYFUNCTION("""COMPUTED_VALUE"""),45811.0)</f>
        <v>45811</v>
      </c>
      <c r="C4917" s="266" t="str">
        <f>IFERROR(__xludf.DUMMYFUNCTION("""COMPUTED_VALUE"""),"KERTASARI CIAMIS")</f>
        <v>KERTASARI CIAMIS</v>
      </c>
      <c r="D4917" s="186">
        <f>IFERROR(__xludf.DUMMYFUNCTION("""COMPUTED_VALUE"""),100.0)</f>
        <v>100</v>
      </c>
    </row>
    <row r="4918">
      <c r="A4918" s="178" t="str">
        <f>IFERROR(__xludf.DUMMYFUNCTION("""COMPUTED_VALUE"""),"ITBISA-IC-CD4094BM-SMD-SOP16")</f>
        <v>ITBISA-IC-CD4094BM-SMD-SOP16</v>
      </c>
      <c r="B4918" s="266">
        <f>IFERROR(__xludf.DUMMYFUNCTION("""COMPUTED_VALUE"""),45820.0)</f>
        <v>45820</v>
      </c>
      <c r="C4918" s="266" t="str">
        <f>IFERROR(__xludf.DUMMYFUNCTION("""COMPUTED_VALUE"""),"KERTASARI CIAMIS")</f>
        <v>KERTASARI CIAMIS</v>
      </c>
      <c r="D4918" s="186">
        <f>IFERROR(__xludf.DUMMYFUNCTION("""COMPUTED_VALUE"""),40.0)</f>
        <v>40</v>
      </c>
    </row>
    <row r="4919">
      <c r="A4919" s="178" t="str">
        <f>IFERROR(__xludf.DUMMYFUNCTION("""COMPUTED_VALUE"""),"ITBISA-IC-CD4094BM-SMD-SOP16")</f>
        <v>ITBISA-IC-CD4094BM-SMD-SOP16</v>
      </c>
      <c r="B4919" s="266">
        <f>IFERROR(__xludf.DUMMYFUNCTION("""COMPUTED_VALUE"""),45833.0)</f>
        <v>45833</v>
      </c>
      <c r="C4919" s="266" t="str">
        <f>IFERROR(__xludf.DUMMYFUNCTION("""COMPUTED_VALUE"""),"KERTASARI CIAMIS")</f>
        <v>KERTASARI CIAMIS</v>
      </c>
      <c r="D4919" s="186">
        <f>IFERROR(__xludf.DUMMYFUNCTION("""COMPUTED_VALUE"""),30.0)</f>
        <v>30</v>
      </c>
    </row>
    <row r="4920">
      <c r="A4920" s="178" t="str">
        <f>IFERROR(__xludf.DUMMYFUNCTION("""COMPUTED_VALUE"""),"ITBISA-IC-CD4094BM-SMD-SOP16")</f>
        <v>ITBISA-IC-CD4094BM-SMD-SOP16</v>
      </c>
      <c r="B4920" s="266">
        <f>IFERROR(__xludf.DUMMYFUNCTION("""COMPUTED_VALUE"""),45834.0)</f>
        <v>45834</v>
      </c>
      <c r="C4920" s="266" t="str">
        <f>IFERROR(__xludf.DUMMYFUNCTION("""COMPUTED_VALUE"""),"KERTASARI CIAMIS")</f>
        <v>KERTASARI CIAMIS</v>
      </c>
      <c r="D4920" s="186">
        <f>IFERROR(__xludf.DUMMYFUNCTION("""COMPUTED_VALUE"""),66.0)</f>
        <v>66</v>
      </c>
    </row>
    <row r="4921">
      <c r="A4921" s="178" t="str">
        <f>IFERROR(__xludf.DUMMYFUNCTION("""COMPUTED_VALUE"""),"ITBISA-IC-CD4094BM-SMD-SOP16")</f>
        <v>ITBISA-IC-CD4094BM-SMD-SOP16</v>
      </c>
      <c r="B4921" s="266">
        <f>IFERROR(__xludf.DUMMYFUNCTION("""COMPUTED_VALUE"""),45845.0)</f>
        <v>45845</v>
      </c>
      <c r="C4921" s="266" t="str">
        <f>IFERROR(__xludf.DUMMYFUNCTION("""COMPUTED_VALUE"""),"KERTASARI CIAMIS")</f>
        <v>KERTASARI CIAMIS</v>
      </c>
      <c r="D4921" s="186">
        <f>IFERROR(__xludf.DUMMYFUNCTION("""COMPUTED_VALUE"""),40.0)</f>
        <v>40</v>
      </c>
    </row>
    <row r="4922">
      <c r="A4922" s="178" t="str">
        <f>IFERROR(__xludf.DUMMYFUNCTION("""COMPUTED_VALUE"""),"ITBISA-IC-CD4094BM-SMD-SOP16")</f>
        <v>ITBISA-IC-CD4094BM-SMD-SOP16</v>
      </c>
      <c r="B4922" s="266">
        <f>IFERROR(__xludf.DUMMYFUNCTION("""COMPUTED_VALUE"""),45918.0)</f>
        <v>45918</v>
      </c>
      <c r="C4922" s="266" t="str">
        <f>IFERROR(__xludf.DUMMYFUNCTION("""COMPUTED_VALUE"""),"KERTASARI CIAMIS")</f>
        <v>KERTASARI CIAMIS</v>
      </c>
      <c r="D4922" s="186">
        <f>IFERROR(__xludf.DUMMYFUNCTION("""COMPUTED_VALUE"""),10.0)</f>
        <v>10</v>
      </c>
    </row>
    <row r="4923">
      <c r="A4923" s="178" t="str">
        <f>IFERROR(__xludf.DUMMYFUNCTION("""COMPUTED_VALUE"""),"ITBISA-IC-CD4094BM-SMD-SOP16")</f>
        <v>ITBISA-IC-CD4094BM-SMD-SOP16</v>
      </c>
      <c r="B4923" s="266">
        <f>IFERROR(__xludf.DUMMYFUNCTION("""COMPUTED_VALUE"""),45927.0)</f>
        <v>45927</v>
      </c>
      <c r="C4923" s="266" t="str">
        <f>IFERROR(__xludf.DUMMYFUNCTION("""COMPUTED_VALUE"""),"KYAI KONTONG")</f>
        <v>KYAI KONTONG</v>
      </c>
      <c r="D4923" s="186">
        <f>IFERROR(__xludf.DUMMYFUNCTION("""COMPUTED_VALUE"""),120.0)</f>
        <v>120</v>
      </c>
    </row>
    <row r="4924">
      <c r="A4924" s="178" t="str">
        <f>IFERROR(__xludf.DUMMYFUNCTION("""COMPUTED_VALUE"""),"ITBISA-IC-CD4094BM-SMD-SOP16")</f>
        <v>ITBISA-IC-CD4094BM-SMD-SOP16</v>
      </c>
      <c r="B4924" s="266">
        <f>IFERROR(__xludf.DUMMYFUNCTION("""COMPUTED_VALUE"""),45931.0)</f>
        <v>45931</v>
      </c>
      <c r="C4924" s="266" t="str">
        <f>IFERROR(__xludf.DUMMYFUNCTION("""COMPUTED_VALUE"""),"KYAI KONTONG")</f>
        <v>KYAI KONTONG</v>
      </c>
      <c r="D4924" s="186">
        <f>IFERROR(__xludf.DUMMYFUNCTION("""COMPUTED_VALUE"""),5.0)</f>
        <v>5</v>
      </c>
    </row>
    <row r="4925">
      <c r="A4925" s="178" t="str">
        <f>IFERROR(__xludf.DUMMYFUNCTION("""COMPUTED_VALUE"""),"ITBISA-IC-CD4094BM-SMD-SOP16")</f>
        <v>ITBISA-IC-CD4094BM-SMD-SOP16</v>
      </c>
      <c r="B4925" s="266">
        <f>IFERROR(__xludf.DUMMYFUNCTION("""COMPUTED_VALUE"""),46020.0)</f>
        <v>46020</v>
      </c>
      <c r="C4925" s="266" t="str">
        <f>IFERROR(__xludf.DUMMYFUNCTION("""COMPUTED_VALUE"""),"KYAI KONTONG")</f>
        <v>KYAI KONTONG</v>
      </c>
      <c r="D4925" s="186">
        <f>IFERROR(__xludf.DUMMYFUNCTION("""COMPUTED_VALUE"""),5.0)</f>
        <v>5</v>
      </c>
    </row>
    <row r="4926">
      <c r="A4926" s="178" t="str">
        <f>IFERROR(__xludf.DUMMYFUNCTION("""COMPUTED_VALUE"""),"ITBISA-IC-CD4511BE-DIP16")</f>
        <v>ITBISA-IC-CD4511BE-DIP16</v>
      </c>
      <c r="B4926" s="266">
        <f>IFERROR(__xludf.DUMMYFUNCTION("""COMPUTED_VALUE"""),45405.0)</f>
        <v>45405</v>
      </c>
      <c r="C4926" s="266" t="str">
        <f>IFERROR(__xludf.DUMMYFUNCTION("""COMPUTED_VALUE"""),"KYAI KONTONG")</f>
        <v>KYAI KONTONG</v>
      </c>
      <c r="D4926" s="186">
        <f>IFERROR(__xludf.DUMMYFUNCTION("""COMPUTED_VALUE"""),4.0)</f>
        <v>4</v>
      </c>
    </row>
    <row r="4927">
      <c r="A4927" s="178" t="str">
        <f>IFERROR(__xludf.DUMMYFUNCTION("""COMPUTED_VALUE"""),"ITBISA-IC-JRC4558D-DIP8")</f>
        <v>ITBISA-IC-JRC4558D-DIP8</v>
      </c>
      <c r="B4927" s="266">
        <f>IFERROR(__xludf.DUMMYFUNCTION("""COMPUTED_VALUE"""),45954.0)</f>
        <v>45954</v>
      </c>
      <c r="C4927" s="266" t="str">
        <f>IFERROR(__xludf.DUMMYFUNCTION("""COMPUTED_VALUE"""),"KYAI KONTONG")</f>
        <v>KYAI KONTONG</v>
      </c>
      <c r="D4927" s="186">
        <f>IFERROR(__xludf.DUMMYFUNCTION("""COMPUTED_VALUE"""),10.0)</f>
        <v>10</v>
      </c>
    </row>
    <row r="4928">
      <c r="A4928" s="178" t="str">
        <f>IFERROR(__xludf.DUMMYFUNCTION("""COMPUTED_VALUE"""),"ITBISA-IC-JRC4558D-DIP8")</f>
        <v>ITBISA-IC-JRC4558D-DIP8</v>
      </c>
      <c r="B4928" s="266">
        <f>IFERROR(__xludf.DUMMYFUNCTION("""COMPUTED_VALUE"""),45957.0)</f>
        <v>45957</v>
      </c>
      <c r="C4928" s="266" t="str">
        <f>IFERROR(__xludf.DUMMYFUNCTION("""COMPUTED_VALUE"""),"KYAI KONTONG")</f>
        <v>KYAI KONTONG</v>
      </c>
      <c r="D4928" s="186">
        <f>IFERROR(__xludf.DUMMYFUNCTION("""COMPUTED_VALUE"""),10.0)</f>
        <v>10</v>
      </c>
    </row>
    <row r="4929">
      <c r="A4929" s="178" t="str">
        <f>IFERROR(__xludf.DUMMYFUNCTION("""COMPUTED_VALUE"""),"ITBISA-IC-JRC4558D-DIP8")</f>
        <v>ITBISA-IC-JRC4558D-DIP8</v>
      </c>
      <c r="B4929" s="266">
        <f>IFERROR(__xludf.DUMMYFUNCTION("""COMPUTED_VALUE"""),45966.0)</f>
        <v>45966</v>
      </c>
      <c r="C4929" s="266" t="str">
        <f>IFERROR(__xludf.DUMMYFUNCTION("""COMPUTED_VALUE"""),"KYAI KONTONG")</f>
        <v>KYAI KONTONG</v>
      </c>
      <c r="D4929" s="186">
        <f>IFERROR(__xludf.DUMMYFUNCTION("""COMPUTED_VALUE"""),5.0)</f>
        <v>5</v>
      </c>
    </row>
    <row r="4930">
      <c r="A4930" s="178" t="str">
        <f>IFERROR(__xludf.DUMMYFUNCTION("""COMPUTED_VALUE"""),"ITBISA-IC-JRC4558D-DIP8")</f>
        <v>ITBISA-IC-JRC4558D-DIP8</v>
      </c>
      <c r="B4930" s="266">
        <f>IFERROR(__xludf.DUMMYFUNCTION("""COMPUTED_VALUE"""),45968.0)</f>
        <v>45968</v>
      </c>
      <c r="C4930" s="266" t="str">
        <f>IFERROR(__xludf.DUMMYFUNCTION("""COMPUTED_VALUE"""),"KERTASARI CIAMIS")</f>
        <v>KERTASARI CIAMIS</v>
      </c>
      <c r="D4930" s="186">
        <f>IFERROR(__xludf.DUMMYFUNCTION("""COMPUTED_VALUE"""),8.0)</f>
        <v>8</v>
      </c>
    </row>
    <row r="4931">
      <c r="A4931" s="178" t="str">
        <f>IFERROR(__xludf.DUMMYFUNCTION("""COMPUTED_VALUE"""),"ITBISA-IC-JRC4558D-DIP8")</f>
        <v>ITBISA-IC-JRC4558D-DIP8</v>
      </c>
      <c r="B4931" s="266">
        <f>IFERROR(__xludf.DUMMYFUNCTION("""COMPUTED_VALUE"""),45972.0)</f>
        <v>45972</v>
      </c>
      <c r="C4931" s="266" t="str">
        <f>IFERROR(__xludf.DUMMYFUNCTION("""COMPUTED_VALUE"""),"KYAI KONTONG")</f>
        <v>KYAI KONTONG</v>
      </c>
      <c r="D4931" s="186">
        <f>IFERROR(__xludf.DUMMYFUNCTION("""COMPUTED_VALUE"""),5.0)</f>
        <v>5</v>
      </c>
    </row>
    <row r="4932">
      <c r="A4932" s="178" t="str">
        <f>IFERROR(__xludf.DUMMYFUNCTION("""COMPUTED_VALUE"""),"ITBISA-IC-JRC4558D-DIP8")</f>
        <v>ITBISA-IC-JRC4558D-DIP8</v>
      </c>
      <c r="B4932" s="266">
        <f>IFERROR(__xludf.DUMMYFUNCTION("""COMPUTED_VALUE"""),45973.0)</f>
        <v>45973</v>
      </c>
      <c r="C4932" s="266" t="str">
        <f>IFERROR(__xludf.DUMMYFUNCTION("""COMPUTED_VALUE"""),"KERTASARI CIAMIS")</f>
        <v>KERTASARI CIAMIS</v>
      </c>
      <c r="D4932" s="186">
        <f>IFERROR(__xludf.DUMMYFUNCTION("""COMPUTED_VALUE"""),20.0)</f>
        <v>20</v>
      </c>
    </row>
    <row r="4933">
      <c r="A4933" s="178" t="str">
        <f>IFERROR(__xludf.DUMMYFUNCTION("""COMPUTED_VALUE"""),"ITBISA-IC-JRC4558D-DIP8")</f>
        <v>ITBISA-IC-JRC4558D-DIP8</v>
      </c>
      <c r="B4933" s="266">
        <f>IFERROR(__xludf.DUMMYFUNCTION("""COMPUTED_VALUE"""),45985.0)</f>
        <v>45985</v>
      </c>
      <c r="C4933" s="266" t="str">
        <f>IFERROR(__xludf.DUMMYFUNCTION("""COMPUTED_VALUE"""),"KERTASARI CIAMIS")</f>
        <v>KERTASARI CIAMIS</v>
      </c>
      <c r="D4933" s="186">
        <f>IFERROR(__xludf.DUMMYFUNCTION("""COMPUTED_VALUE"""),4.0)</f>
        <v>4</v>
      </c>
    </row>
    <row r="4934">
      <c r="A4934" s="178" t="str">
        <f>IFERROR(__xludf.DUMMYFUNCTION("""COMPUTED_VALUE"""),"ITBISA-IC-JRC4558D-DIP8")</f>
        <v>ITBISA-IC-JRC4558D-DIP8</v>
      </c>
      <c r="B4934" s="266">
        <f>IFERROR(__xludf.DUMMYFUNCTION("""COMPUTED_VALUE"""),45989.0)</f>
        <v>45989</v>
      </c>
      <c r="C4934" s="266" t="str">
        <f>IFERROR(__xludf.DUMMYFUNCTION("""COMPUTED_VALUE"""),"KERTASARI CIAMIS")</f>
        <v>KERTASARI CIAMIS</v>
      </c>
      <c r="D4934" s="186">
        <f>IFERROR(__xludf.DUMMYFUNCTION("""COMPUTED_VALUE"""),1.0)</f>
        <v>1</v>
      </c>
    </row>
    <row r="4935">
      <c r="A4935" s="178" t="str">
        <f>IFERROR(__xludf.DUMMYFUNCTION("""COMPUTED_VALUE"""),"ITBISA-IC-JRC4558D-DIP8")</f>
        <v>ITBISA-IC-JRC4558D-DIP8</v>
      </c>
      <c r="B4935" s="266">
        <f>IFERROR(__xludf.DUMMYFUNCTION("""COMPUTED_VALUE"""),45990.0)</f>
        <v>45990</v>
      </c>
      <c r="C4935" s="266" t="str">
        <f>IFERROR(__xludf.DUMMYFUNCTION("""COMPUTED_VALUE"""),"KYAI KONTONG")</f>
        <v>KYAI KONTONG</v>
      </c>
      <c r="D4935" s="186">
        <f>IFERROR(__xludf.DUMMYFUNCTION("""COMPUTED_VALUE"""),2.0)</f>
        <v>2</v>
      </c>
    </row>
    <row r="4936">
      <c r="A4936" s="178" t="str">
        <f>IFERROR(__xludf.DUMMYFUNCTION("""COMPUTED_VALUE"""),"ITBISA-IC-JRC4558D-DIP8")</f>
        <v>ITBISA-IC-JRC4558D-DIP8</v>
      </c>
      <c r="B4936" s="266">
        <f>IFERROR(__xludf.DUMMYFUNCTION("""COMPUTED_VALUE"""),45992.0)</f>
        <v>45992</v>
      </c>
      <c r="C4936" s="266" t="str">
        <f>IFERROR(__xludf.DUMMYFUNCTION("""COMPUTED_VALUE"""),"KYAI KONTONG")</f>
        <v>KYAI KONTONG</v>
      </c>
      <c r="D4936" s="186">
        <f>IFERROR(__xludf.DUMMYFUNCTION("""COMPUTED_VALUE"""),2.0)</f>
        <v>2</v>
      </c>
    </row>
    <row r="4937">
      <c r="A4937" s="178" t="str">
        <f>IFERROR(__xludf.DUMMYFUNCTION("""COMPUTED_VALUE"""),"ITBISA-IC-JRC4558D-DIP8")</f>
        <v>ITBISA-IC-JRC4558D-DIP8</v>
      </c>
      <c r="B4937" s="266">
        <f>IFERROR(__xludf.DUMMYFUNCTION("""COMPUTED_VALUE"""),45996.0)</f>
        <v>45996</v>
      </c>
      <c r="C4937" s="266" t="str">
        <f>IFERROR(__xludf.DUMMYFUNCTION("""COMPUTED_VALUE"""),"KERTASARI CIAMIS")</f>
        <v>KERTASARI CIAMIS</v>
      </c>
      <c r="D4937" s="186">
        <f>IFERROR(__xludf.DUMMYFUNCTION("""COMPUTED_VALUE"""),2.0)</f>
        <v>2</v>
      </c>
    </row>
    <row r="4938">
      <c r="A4938" s="178" t="str">
        <f>IFERROR(__xludf.DUMMYFUNCTION("""COMPUTED_VALUE"""),"ITBISA-IC-JRC4558D-DIP8")</f>
        <v>ITBISA-IC-JRC4558D-DIP8</v>
      </c>
      <c r="B4938" s="266">
        <f>IFERROR(__xludf.DUMMYFUNCTION("""COMPUTED_VALUE"""),45997.0)</f>
        <v>45997</v>
      </c>
      <c r="C4938" s="266" t="str">
        <f>IFERROR(__xludf.DUMMYFUNCTION("""COMPUTED_VALUE"""),"KYAI KONTONG")</f>
        <v>KYAI KONTONG</v>
      </c>
      <c r="D4938" s="186">
        <f>IFERROR(__xludf.DUMMYFUNCTION("""COMPUTED_VALUE"""),4.0)</f>
        <v>4</v>
      </c>
    </row>
    <row r="4939">
      <c r="A4939" s="178" t="str">
        <f>IFERROR(__xludf.DUMMYFUNCTION("""COMPUTED_VALUE"""),"ITBISA-IC-JRC4558D-DIP8")</f>
        <v>ITBISA-IC-JRC4558D-DIP8</v>
      </c>
      <c r="B4939" s="266">
        <f>IFERROR(__xludf.DUMMYFUNCTION("""COMPUTED_VALUE"""),45999.0)</f>
        <v>45999</v>
      </c>
      <c r="C4939" s="266" t="str">
        <f>IFERROR(__xludf.DUMMYFUNCTION("""COMPUTED_VALUE"""),"KYAI KONTONG")</f>
        <v>KYAI KONTONG</v>
      </c>
      <c r="D4939" s="186">
        <f>IFERROR(__xludf.DUMMYFUNCTION("""COMPUTED_VALUE"""),3.0)</f>
        <v>3</v>
      </c>
    </row>
    <row r="4940">
      <c r="A4940" s="178" t="str">
        <f>IFERROR(__xludf.DUMMYFUNCTION("""COMPUTED_VALUE"""),"ITBISA-IC-JRC4558D-DIP8")</f>
        <v>ITBISA-IC-JRC4558D-DIP8</v>
      </c>
      <c r="B4940" s="266">
        <f>IFERROR(__xludf.DUMMYFUNCTION("""COMPUTED_VALUE"""),46001.0)</f>
        <v>46001</v>
      </c>
      <c r="C4940" s="266" t="str">
        <f>IFERROR(__xludf.DUMMYFUNCTION("""COMPUTED_VALUE"""),"KERTASARI CIAMIS")</f>
        <v>KERTASARI CIAMIS</v>
      </c>
      <c r="D4940" s="186">
        <f>IFERROR(__xludf.DUMMYFUNCTION("""COMPUTED_VALUE"""),5.0)</f>
        <v>5</v>
      </c>
    </row>
    <row r="4941">
      <c r="A4941" s="178" t="str">
        <f>IFERROR(__xludf.DUMMYFUNCTION("""COMPUTED_VALUE"""),"ITBISA-IC-JRC4558D-DIP8")</f>
        <v>ITBISA-IC-JRC4558D-DIP8</v>
      </c>
      <c r="B4941" s="266">
        <f>IFERROR(__xludf.DUMMYFUNCTION("""COMPUTED_VALUE"""),46012.0)</f>
        <v>46012</v>
      </c>
      <c r="C4941" s="266" t="str">
        <f>IFERROR(__xludf.DUMMYFUNCTION("""COMPUTED_VALUE"""),"KYAI KONTONG")</f>
        <v>KYAI KONTONG</v>
      </c>
      <c r="D4941" s="186">
        <f>IFERROR(__xludf.DUMMYFUNCTION("""COMPUTED_VALUE"""),2.0)</f>
        <v>2</v>
      </c>
    </row>
    <row r="4942">
      <c r="A4942" s="178" t="str">
        <f>IFERROR(__xludf.DUMMYFUNCTION("""COMPUTED_VALUE"""),"ITBISA-IC-JRC4558D-DIP8")</f>
        <v>ITBISA-IC-JRC4558D-DIP8</v>
      </c>
      <c r="B4942" s="266">
        <f>IFERROR(__xludf.DUMMYFUNCTION("""COMPUTED_VALUE"""),46013.0)</f>
        <v>46013</v>
      </c>
      <c r="C4942" s="266" t="str">
        <f>IFERROR(__xludf.DUMMYFUNCTION("""COMPUTED_VALUE"""),"KERTASARI CIAMIS")</f>
        <v>KERTASARI CIAMIS</v>
      </c>
      <c r="D4942" s="186">
        <f>IFERROR(__xludf.DUMMYFUNCTION("""COMPUTED_VALUE"""),10.0)</f>
        <v>10</v>
      </c>
    </row>
    <row r="4943">
      <c r="A4943" s="178" t="str">
        <f>IFERROR(__xludf.DUMMYFUNCTION("""COMPUTED_VALUE"""),"ITBISA-IC-JRC4558D-DIP8")</f>
        <v>ITBISA-IC-JRC4558D-DIP8</v>
      </c>
      <c r="B4943" s="266">
        <f>IFERROR(__xludf.DUMMYFUNCTION("""COMPUTED_VALUE"""),46017.0)</f>
        <v>46017</v>
      </c>
      <c r="C4943" s="266" t="str">
        <f>IFERROR(__xludf.DUMMYFUNCTION("""COMPUTED_VALUE"""),"KYAI KONTONG")</f>
        <v>KYAI KONTONG</v>
      </c>
      <c r="D4943" s="186">
        <f>IFERROR(__xludf.DUMMYFUNCTION("""COMPUTED_VALUE"""),2.0)</f>
        <v>2</v>
      </c>
    </row>
    <row r="4944">
      <c r="A4944" s="178" t="str">
        <f>IFERROR(__xludf.DUMMYFUNCTION("""COMPUTED_VALUE"""),"ITBISA-IC-L7805CV-TO220")</f>
        <v>ITBISA-IC-L7805CV-TO220</v>
      </c>
      <c r="B4944" s="266">
        <f>IFERROR(__xludf.DUMMYFUNCTION("""COMPUTED_VALUE"""),44936.0)</f>
        <v>44936</v>
      </c>
      <c r="C4944" s="266" t="str">
        <f>IFERROR(__xludf.DUMMYFUNCTION("""COMPUTED_VALUE"""),"KYAI KONTONG")</f>
        <v>KYAI KONTONG</v>
      </c>
      <c r="D4944" s="186">
        <f>IFERROR(__xludf.DUMMYFUNCTION("""COMPUTED_VALUE"""),50.0)</f>
        <v>50</v>
      </c>
    </row>
    <row r="4945">
      <c r="A4945" s="178" t="str">
        <f>IFERROR(__xludf.DUMMYFUNCTION("""COMPUTED_VALUE"""),"ITBISA-IC-L7805CV-TO220")</f>
        <v>ITBISA-IC-L7805CV-TO220</v>
      </c>
      <c r="B4945" s="266">
        <f>IFERROR(__xludf.DUMMYFUNCTION("""COMPUTED_VALUE"""),44938.0)</f>
        <v>44938</v>
      </c>
      <c r="C4945" s="266" t="str">
        <f>IFERROR(__xludf.DUMMYFUNCTION("""COMPUTED_VALUE"""),"KYAI KONTONG")</f>
        <v>KYAI KONTONG</v>
      </c>
      <c r="D4945" s="186">
        <f>IFERROR(__xludf.DUMMYFUNCTION("""COMPUTED_VALUE"""),5.0)</f>
        <v>5</v>
      </c>
    </row>
    <row r="4946">
      <c r="A4946" s="178" t="str">
        <f>IFERROR(__xludf.DUMMYFUNCTION("""COMPUTED_VALUE"""),"ITBISA-IC-L7805CV-TO220")</f>
        <v>ITBISA-IC-L7805CV-TO220</v>
      </c>
      <c r="B4946" s="266">
        <f>IFERROR(__xludf.DUMMYFUNCTION("""COMPUTED_VALUE"""),44943.0)</f>
        <v>44943</v>
      </c>
      <c r="C4946" s="266" t="str">
        <f>IFERROR(__xludf.DUMMYFUNCTION("""COMPUTED_VALUE"""),"KYAI KONTONG")</f>
        <v>KYAI KONTONG</v>
      </c>
      <c r="D4946" s="186">
        <f>IFERROR(__xludf.DUMMYFUNCTION("""COMPUTED_VALUE"""),10.0)</f>
        <v>10</v>
      </c>
    </row>
    <row r="4947">
      <c r="A4947" s="178" t="str">
        <f>IFERROR(__xludf.DUMMYFUNCTION("""COMPUTED_VALUE"""),"ITBISA-IC-L7805CV-TO220")</f>
        <v>ITBISA-IC-L7805CV-TO220</v>
      </c>
      <c r="B4947" s="266">
        <f>IFERROR(__xludf.DUMMYFUNCTION("""COMPUTED_VALUE"""),44949.0)</f>
        <v>44949</v>
      </c>
      <c r="C4947" s="266" t="str">
        <f>IFERROR(__xludf.DUMMYFUNCTION("""COMPUTED_VALUE"""),"KYAI KONTONG")</f>
        <v>KYAI KONTONG</v>
      </c>
      <c r="D4947" s="186">
        <f>IFERROR(__xludf.DUMMYFUNCTION("""COMPUTED_VALUE"""),50.0)</f>
        <v>50</v>
      </c>
    </row>
    <row r="4948">
      <c r="A4948" s="178" t="str">
        <f>IFERROR(__xludf.DUMMYFUNCTION("""COMPUTED_VALUE"""),"ITBISA-IC-L7805CV-TO220")</f>
        <v>ITBISA-IC-L7805CV-TO220</v>
      </c>
      <c r="B4948" s="266">
        <f>IFERROR(__xludf.DUMMYFUNCTION("""COMPUTED_VALUE"""),44951.0)</f>
        <v>44951</v>
      </c>
      <c r="C4948" s="266" t="str">
        <f>IFERROR(__xludf.DUMMYFUNCTION("""COMPUTED_VALUE"""),"KYAI KONTONG")</f>
        <v>KYAI KONTONG</v>
      </c>
      <c r="D4948" s="186">
        <f>IFERROR(__xludf.DUMMYFUNCTION("""COMPUTED_VALUE"""),1.0)</f>
        <v>1</v>
      </c>
    </row>
    <row r="4949">
      <c r="A4949" s="178" t="str">
        <f>IFERROR(__xludf.DUMMYFUNCTION("""COMPUTED_VALUE"""),"ITBISA-IC-L7805CV-TO220")</f>
        <v>ITBISA-IC-L7805CV-TO220</v>
      </c>
      <c r="B4949" s="266">
        <f>IFERROR(__xludf.DUMMYFUNCTION("""COMPUTED_VALUE"""),44951.0)</f>
        <v>44951</v>
      </c>
      <c r="C4949" s="266" t="str">
        <f>IFERROR(__xludf.DUMMYFUNCTION("""COMPUTED_VALUE"""),"KYAI KONTONG")</f>
        <v>KYAI KONTONG</v>
      </c>
      <c r="D4949" s="186">
        <f>IFERROR(__xludf.DUMMYFUNCTION("""COMPUTED_VALUE"""),10.0)</f>
        <v>10</v>
      </c>
    </row>
    <row r="4950">
      <c r="A4950" s="178" t="str">
        <f>IFERROR(__xludf.DUMMYFUNCTION("""COMPUTED_VALUE"""),"ITBISA-IC-L7805CV-TO220")</f>
        <v>ITBISA-IC-L7805CV-TO220</v>
      </c>
      <c r="B4950" s="266">
        <f>IFERROR(__xludf.DUMMYFUNCTION("""COMPUTED_VALUE"""),44954.0)</f>
        <v>44954</v>
      </c>
      <c r="C4950" s="266" t="str">
        <f>IFERROR(__xludf.DUMMYFUNCTION("""COMPUTED_VALUE"""),"KYAI KONTONG")</f>
        <v>KYAI KONTONG</v>
      </c>
      <c r="D4950" s="186">
        <f>IFERROR(__xludf.DUMMYFUNCTION("""COMPUTED_VALUE"""),1.0)</f>
        <v>1</v>
      </c>
    </row>
    <row r="4951">
      <c r="A4951" s="178" t="str">
        <f>IFERROR(__xludf.DUMMYFUNCTION("""COMPUTED_VALUE"""),"ITBISA-IC-L7805CV-TO220")</f>
        <v>ITBISA-IC-L7805CV-TO220</v>
      </c>
      <c r="B4951" s="266">
        <f>IFERROR(__xludf.DUMMYFUNCTION("""COMPUTED_VALUE"""),44954.0)</f>
        <v>44954</v>
      </c>
      <c r="C4951" s="266" t="str">
        <f>IFERROR(__xludf.DUMMYFUNCTION("""COMPUTED_VALUE"""),"KYAI KONTONG")</f>
        <v>KYAI KONTONG</v>
      </c>
      <c r="D4951" s="186">
        <f>IFERROR(__xludf.DUMMYFUNCTION("""COMPUTED_VALUE"""),100.0)</f>
        <v>100</v>
      </c>
    </row>
    <row r="4952">
      <c r="A4952" s="178" t="str">
        <f>IFERROR(__xludf.DUMMYFUNCTION("""COMPUTED_VALUE"""),"ITBISA-IC-L7805CV-TO220")</f>
        <v>ITBISA-IC-L7805CV-TO220</v>
      </c>
      <c r="B4952" s="266">
        <f>IFERROR(__xludf.DUMMYFUNCTION("""COMPUTED_VALUE"""),44956.0)</f>
        <v>44956</v>
      </c>
      <c r="C4952" s="266" t="str">
        <f>IFERROR(__xludf.DUMMYFUNCTION("""COMPUTED_VALUE"""),"KYAI KONTONG")</f>
        <v>KYAI KONTONG</v>
      </c>
      <c r="D4952" s="186">
        <f>IFERROR(__xludf.DUMMYFUNCTION("""COMPUTED_VALUE"""),100.0)</f>
        <v>100</v>
      </c>
    </row>
    <row r="4953">
      <c r="A4953" s="178" t="str">
        <f>IFERROR(__xludf.DUMMYFUNCTION("""COMPUTED_VALUE"""),"ITBISA-IC-L7805CV-TO220")</f>
        <v>ITBISA-IC-L7805CV-TO220</v>
      </c>
      <c r="B4953" s="266">
        <f>IFERROR(__xludf.DUMMYFUNCTION("""COMPUTED_VALUE"""),44961.0)</f>
        <v>44961</v>
      </c>
      <c r="C4953" s="266" t="str">
        <f>IFERROR(__xludf.DUMMYFUNCTION("""COMPUTED_VALUE"""),"KYAI KONTONG")</f>
        <v>KYAI KONTONG</v>
      </c>
      <c r="D4953" s="186">
        <f>IFERROR(__xludf.DUMMYFUNCTION("""COMPUTED_VALUE"""),5.0)</f>
        <v>5</v>
      </c>
    </row>
    <row r="4954">
      <c r="A4954" s="178" t="str">
        <f>IFERROR(__xludf.DUMMYFUNCTION("""COMPUTED_VALUE"""),"ITBISA-IC-L7805CV-TO220")</f>
        <v>ITBISA-IC-L7805CV-TO220</v>
      </c>
      <c r="B4954" s="266">
        <f>IFERROR(__xludf.DUMMYFUNCTION("""COMPUTED_VALUE"""),44963.0)</f>
        <v>44963</v>
      </c>
      <c r="C4954" s="266" t="str">
        <f>IFERROR(__xludf.DUMMYFUNCTION("""COMPUTED_VALUE"""),"KYAI KONTONG")</f>
        <v>KYAI KONTONG</v>
      </c>
      <c r="D4954" s="186">
        <f>IFERROR(__xludf.DUMMYFUNCTION("""COMPUTED_VALUE"""),50.0)</f>
        <v>50</v>
      </c>
    </row>
    <row r="4955">
      <c r="A4955" s="178" t="str">
        <f>IFERROR(__xludf.DUMMYFUNCTION("""COMPUTED_VALUE"""),"ITBISA-IC-L7805CV-TO220")</f>
        <v>ITBISA-IC-L7805CV-TO220</v>
      </c>
      <c r="B4955" s="266">
        <f>IFERROR(__xludf.DUMMYFUNCTION("""COMPUTED_VALUE"""),44973.0)</f>
        <v>44973</v>
      </c>
      <c r="C4955" s="266" t="str">
        <f>IFERROR(__xludf.DUMMYFUNCTION("""COMPUTED_VALUE"""),"KYAI KONTONG")</f>
        <v>KYAI KONTONG</v>
      </c>
      <c r="D4955" s="186">
        <f>IFERROR(__xludf.DUMMYFUNCTION("""COMPUTED_VALUE"""),3.0)</f>
        <v>3</v>
      </c>
    </row>
    <row r="4956">
      <c r="A4956" s="178" t="str">
        <f>IFERROR(__xludf.DUMMYFUNCTION("""COMPUTED_VALUE"""),"ITBISA-IC-L7805CV-TO220")</f>
        <v>ITBISA-IC-L7805CV-TO220</v>
      </c>
      <c r="B4956" s="266">
        <f>IFERROR(__xludf.DUMMYFUNCTION("""COMPUTED_VALUE"""),44977.0)</f>
        <v>44977</v>
      </c>
      <c r="C4956" s="266" t="str">
        <f>IFERROR(__xludf.DUMMYFUNCTION("""COMPUTED_VALUE"""),"KYAI KONTONG")</f>
        <v>KYAI KONTONG</v>
      </c>
      <c r="D4956" s="186">
        <f>IFERROR(__xludf.DUMMYFUNCTION("""COMPUTED_VALUE"""),50.0)</f>
        <v>50</v>
      </c>
    </row>
    <row r="4957">
      <c r="A4957" s="178" t="str">
        <f>IFERROR(__xludf.DUMMYFUNCTION("""COMPUTED_VALUE"""),"ITBISA-IC-L7805CV-TO220")</f>
        <v>ITBISA-IC-L7805CV-TO220</v>
      </c>
      <c r="B4957" s="266">
        <f>IFERROR(__xludf.DUMMYFUNCTION("""COMPUTED_VALUE"""),44979.0)</f>
        <v>44979</v>
      </c>
      <c r="C4957" s="266" t="str">
        <f>IFERROR(__xludf.DUMMYFUNCTION("""COMPUTED_VALUE"""),"KYAI KONTONG")</f>
        <v>KYAI KONTONG</v>
      </c>
      <c r="D4957" s="186">
        <f>IFERROR(__xludf.DUMMYFUNCTION("""COMPUTED_VALUE"""),8.0)</f>
        <v>8</v>
      </c>
    </row>
    <row r="4958">
      <c r="A4958" s="178" t="str">
        <f>IFERROR(__xludf.DUMMYFUNCTION("""COMPUTED_VALUE"""),"ITBISA-IC-L7805CV-TO220")</f>
        <v>ITBISA-IC-L7805CV-TO220</v>
      </c>
      <c r="B4958" s="266">
        <f>IFERROR(__xludf.DUMMYFUNCTION("""COMPUTED_VALUE"""),44979.0)</f>
        <v>44979</v>
      </c>
      <c r="C4958" s="266" t="str">
        <f>IFERROR(__xludf.DUMMYFUNCTION("""COMPUTED_VALUE"""),"KYAI KONTONG")</f>
        <v>KYAI KONTONG</v>
      </c>
      <c r="D4958" s="186">
        <f>IFERROR(__xludf.DUMMYFUNCTION("""COMPUTED_VALUE"""),10.0)</f>
        <v>10</v>
      </c>
    </row>
    <row r="4959">
      <c r="A4959" s="178" t="str">
        <f>IFERROR(__xludf.DUMMYFUNCTION("""COMPUTED_VALUE"""),"ITBISA-IC-L7805CV-TO220")</f>
        <v>ITBISA-IC-L7805CV-TO220</v>
      </c>
      <c r="B4959" s="266">
        <f>IFERROR(__xludf.DUMMYFUNCTION("""COMPUTED_VALUE"""),44984.0)</f>
        <v>44984</v>
      </c>
      <c r="C4959" s="266" t="str">
        <f>IFERROR(__xludf.DUMMYFUNCTION("""COMPUTED_VALUE"""),"KYAI KONTONG")</f>
        <v>KYAI KONTONG</v>
      </c>
      <c r="D4959" s="186">
        <f>IFERROR(__xludf.DUMMYFUNCTION("""COMPUTED_VALUE"""),3.0)</f>
        <v>3</v>
      </c>
    </row>
    <row r="4960">
      <c r="A4960" s="178" t="str">
        <f>IFERROR(__xludf.DUMMYFUNCTION("""COMPUTED_VALUE"""),"ITBISA-IC-L7805CV-TO220")</f>
        <v>ITBISA-IC-L7805CV-TO220</v>
      </c>
      <c r="B4960" s="266">
        <f>IFERROR(__xludf.DUMMYFUNCTION("""COMPUTED_VALUE"""),44987.0)</f>
        <v>44987</v>
      </c>
      <c r="C4960" s="266" t="str">
        <f>IFERROR(__xludf.DUMMYFUNCTION("""COMPUTED_VALUE"""),"KYAI KONTONG")</f>
        <v>KYAI KONTONG</v>
      </c>
      <c r="D4960" s="186">
        <f>IFERROR(__xludf.DUMMYFUNCTION("""COMPUTED_VALUE"""),8.0)</f>
        <v>8</v>
      </c>
    </row>
    <row r="4961">
      <c r="A4961" s="178" t="str">
        <f>IFERROR(__xludf.DUMMYFUNCTION("""COMPUTED_VALUE"""),"ITBISA-IC-L7805CV-TO220")</f>
        <v>ITBISA-IC-L7805CV-TO220</v>
      </c>
      <c r="B4961" s="266">
        <f>IFERROR(__xludf.DUMMYFUNCTION("""COMPUTED_VALUE"""),44988.0)</f>
        <v>44988</v>
      </c>
      <c r="C4961" s="266" t="str">
        <f>IFERROR(__xludf.DUMMYFUNCTION("""COMPUTED_VALUE"""),"KYAI KONTONG")</f>
        <v>KYAI KONTONG</v>
      </c>
      <c r="D4961" s="186">
        <f>IFERROR(__xludf.DUMMYFUNCTION("""COMPUTED_VALUE"""),2.0)</f>
        <v>2</v>
      </c>
    </row>
    <row r="4962">
      <c r="A4962" s="178" t="str">
        <f>IFERROR(__xludf.DUMMYFUNCTION("""COMPUTED_VALUE"""),"ITBISA-IC-L7805CV-TO220")</f>
        <v>ITBISA-IC-L7805CV-TO220</v>
      </c>
      <c r="B4962" s="266">
        <f>IFERROR(__xludf.DUMMYFUNCTION("""COMPUTED_VALUE"""),44988.0)</f>
        <v>44988</v>
      </c>
      <c r="C4962" s="266" t="str">
        <f>IFERROR(__xludf.DUMMYFUNCTION("""COMPUTED_VALUE"""),"KYAI KONTONG")</f>
        <v>KYAI KONTONG</v>
      </c>
      <c r="D4962" s="186">
        <f>IFERROR(__xludf.DUMMYFUNCTION("""COMPUTED_VALUE"""),4.0)</f>
        <v>4</v>
      </c>
    </row>
    <row r="4963">
      <c r="A4963" s="178" t="str">
        <f>IFERROR(__xludf.DUMMYFUNCTION("""COMPUTED_VALUE"""),"ITBISA-IC-L7805CV-TO220")</f>
        <v>ITBISA-IC-L7805CV-TO220</v>
      </c>
      <c r="B4963" s="266">
        <f>IFERROR(__xludf.DUMMYFUNCTION("""COMPUTED_VALUE"""),44990.0)</f>
        <v>44990</v>
      </c>
      <c r="C4963" s="266" t="str">
        <f>IFERROR(__xludf.DUMMYFUNCTION("""COMPUTED_VALUE"""),"KYAI KONTONG")</f>
        <v>KYAI KONTONG</v>
      </c>
      <c r="D4963" s="186">
        <f>IFERROR(__xludf.DUMMYFUNCTION("""COMPUTED_VALUE"""),5.0)</f>
        <v>5</v>
      </c>
    </row>
    <row r="4964">
      <c r="A4964" s="178" t="str">
        <f>IFERROR(__xludf.DUMMYFUNCTION("""COMPUTED_VALUE"""),"ITBISA-IC-L7805CV-TO220")</f>
        <v>ITBISA-IC-L7805CV-TO220</v>
      </c>
      <c r="B4964" s="266">
        <f>IFERROR(__xludf.DUMMYFUNCTION("""COMPUTED_VALUE"""),44995.0)</f>
        <v>44995</v>
      </c>
      <c r="C4964" s="266" t="str">
        <f>IFERROR(__xludf.DUMMYFUNCTION("""COMPUTED_VALUE"""),"KYAI KONTONG")</f>
        <v>KYAI KONTONG</v>
      </c>
      <c r="D4964" s="186">
        <f>IFERROR(__xludf.DUMMYFUNCTION("""COMPUTED_VALUE"""),5.0)</f>
        <v>5</v>
      </c>
    </row>
    <row r="4965">
      <c r="A4965" s="178" t="str">
        <f>IFERROR(__xludf.DUMMYFUNCTION("""COMPUTED_VALUE"""),"ITBISA-IC-L7805CV-TO220")</f>
        <v>ITBISA-IC-L7805CV-TO220</v>
      </c>
      <c r="B4965" s="266">
        <f>IFERROR(__xludf.DUMMYFUNCTION("""COMPUTED_VALUE"""),44996.0)</f>
        <v>44996</v>
      </c>
      <c r="C4965" s="266" t="str">
        <f>IFERROR(__xludf.DUMMYFUNCTION("""COMPUTED_VALUE"""),"KYAI KONTONG")</f>
        <v>KYAI KONTONG</v>
      </c>
      <c r="D4965" s="186">
        <f>IFERROR(__xludf.DUMMYFUNCTION("""COMPUTED_VALUE"""),10.0)</f>
        <v>10</v>
      </c>
    </row>
    <row r="4966">
      <c r="A4966" s="178" t="str">
        <f>IFERROR(__xludf.DUMMYFUNCTION("""COMPUTED_VALUE"""),"ITBISA-IC-L7805CV-TO220")</f>
        <v>ITBISA-IC-L7805CV-TO220</v>
      </c>
      <c r="B4966" s="266">
        <f>IFERROR(__xludf.DUMMYFUNCTION("""COMPUTED_VALUE"""),45000.0)</f>
        <v>45000</v>
      </c>
      <c r="C4966" s="266" t="str">
        <f>IFERROR(__xludf.DUMMYFUNCTION("""COMPUTED_VALUE"""),"KYAI KONTONG")</f>
        <v>KYAI KONTONG</v>
      </c>
      <c r="D4966" s="186">
        <f>IFERROR(__xludf.DUMMYFUNCTION("""COMPUTED_VALUE"""),2.0)</f>
        <v>2</v>
      </c>
    </row>
    <row r="4967">
      <c r="A4967" s="178" t="str">
        <f>IFERROR(__xludf.DUMMYFUNCTION("""COMPUTED_VALUE"""),"ITBISA-IC-L7805CV-TO220")</f>
        <v>ITBISA-IC-L7805CV-TO220</v>
      </c>
      <c r="B4967" s="266">
        <f>IFERROR(__xludf.DUMMYFUNCTION("""COMPUTED_VALUE"""),45002.0)</f>
        <v>45002</v>
      </c>
      <c r="C4967" s="266" t="str">
        <f>IFERROR(__xludf.DUMMYFUNCTION("""COMPUTED_VALUE"""),"KYAI KONTONG")</f>
        <v>KYAI KONTONG</v>
      </c>
      <c r="D4967" s="186">
        <f>IFERROR(__xludf.DUMMYFUNCTION("""COMPUTED_VALUE"""),5.0)</f>
        <v>5</v>
      </c>
    </row>
    <row r="4968">
      <c r="A4968" s="178" t="str">
        <f>IFERROR(__xludf.DUMMYFUNCTION("""COMPUTED_VALUE"""),"ITBISA-IC-L7805CV-TO220")</f>
        <v>ITBISA-IC-L7805CV-TO220</v>
      </c>
      <c r="B4968" s="266">
        <f>IFERROR(__xludf.DUMMYFUNCTION("""COMPUTED_VALUE"""),45008.0)</f>
        <v>45008</v>
      </c>
      <c r="C4968" s="266" t="str">
        <f>IFERROR(__xludf.DUMMYFUNCTION("""COMPUTED_VALUE"""),"KYAI KONTONG")</f>
        <v>KYAI KONTONG</v>
      </c>
      <c r="D4968" s="186">
        <f>IFERROR(__xludf.DUMMYFUNCTION("""COMPUTED_VALUE"""),1.0)</f>
        <v>1</v>
      </c>
    </row>
    <row r="4969">
      <c r="A4969" s="178" t="str">
        <f>IFERROR(__xludf.DUMMYFUNCTION("""COMPUTED_VALUE"""),"ITBISA-IC-L7805CV-TO220")</f>
        <v>ITBISA-IC-L7805CV-TO220</v>
      </c>
      <c r="B4969" s="266">
        <f>IFERROR(__xludf.DUMMYFUNCTION("""COMPUTED_VALUE"""),45009.0)</f>
        <v>45009</v>
      </c>
      <c r="C4969" s="266" t="str">
        <f>IFERROR(__xludf.DUMMYFUNCTION("""COMPUTED_VALUE"""),"KYAI KONTONG")</f>
        <v>KYAI KONTONG</v>
      </c>
      <c r="D4969" s="186">
        <f>IFERROR(__xludf.DUMMYFUNCTION("""COMPUTED_VALUE"""),2.0)</f>
        <v>2</v>
      </c>
    </row>
    <row r="4970">
      <c r="A4970" s="178" t="str">
        <f>IFERROR(__xludf.DUMMYFUNCTION("""COMPUTED_VALUE"""),"ITBISA-IC-L7805CV-TO220")</f>
        <v>ITBISA-IC-L7805CV-TO220</v>
      </c>
      <c r="B4970" s="266">
        <f>IFERROR(__xludf.DUMMYFUNCTION("""COMPUTED_VALUE"""),45010.0)</f>
        <v>45010</v>
      </c>
      <c r="C4970" s="266" t="str">
        <f>IFERROR(__xludf.DUMMYFUNCTION("""COMPUTED_VALUE"""),"KYAI KONTONG")</f>
        <v>KYAI KONTONG</v>
      </c>
      <c r="D4970" s="186">
        <f>IFERROR(__xludf.DUMMYFUNCTION("""COMPUTED_VALUE"""),1.0)</f>
        <v>1</v>
      </c>
    </row>
    <row r="4971">
      <c r="A4971" s="178" t="str">
        <f>IFERROR(__xludf.DUMMYFUNCTION("""COMPUTED_VALUE"""),"ITBISA-IC-L7805CV-TO220")</f>
        <v>ITBISA-IC-L7805CV-TO220</v>
      </c>
      <c r="B4971" s="266">
        <f>IFERROR(__xludf.DUMMYFUNCTION("""COMPUTED_VALUE"""),45010.0)</f>
        <v>45010</v>
      </c>
      <c r="C4971" s="266" t="str">
        <f>IFERROR(__xludf.DUMMYFUNCTION("""COMPUTED_VALUE"""),"KYAI KONTONG")</f>
        <v>KYAI KONTONG</v>
      </c>
      <c r="D4971" s="186">
        <f>IFERROR(__xludf.DUMMYFUNCTION("""COMPUTED_VALUE"""),3.0)</f>
        <v>3</v>
      </c>
    </row>
    <row r="4972">
      <c r="A4972" s="178" t="str">
        <f>IFERROR(__xludf.DUMMYFUNCTION("""COMPUTED_VALUE"""),"ITBISA-IC-L7805CV-TO220")</f>
        <v>ITBISA-IC-L7805CV-TO220</v>
      </c>
      <c r="B4972" s="266">
        <f>IFERROR(__xludf.DUMMYFUNCTION("""COMPUTED_VALUE"""),45010.0)</f>
        <v>45010</v>
      </c>
      <c r="C4972" s="266" t="str">
        <f>IFERROR(__xludf.DUMMYFUNCTION("""COMPUTED_VALUE"""),"KYAI KONTONG")</f>
        <v>KYAI KONTONG</v>
      </c>
      <c r="D4972" s="186">
        <f>IFERROR(__xludf.DUMMYFUNCTION("""COMPUTED_VALUE"""),10.0)</f>
        <v>10</v>
      </c>
    </row>
    <row r="4973">
      <c r="A4973" s="178" t="str">
        <f>IFERROR(__xludf.DUMMYFUNCTION("""COMPUTED_VALUE"""),"ITBISA-IC-L7805CV-TO220")</f>
        <v>ITBISA-IC-L7805CV-TO220</v>
      </c>
      <c r="B4973" s="266">
        <f>IFERROR(__xludf.DUMMYFUNCTION("""COMPUTED_VALUE"""),45014.0)</f>
        <v>45014</v>
      </c>
      <c r="C4973" s="266" t="str">
        <f>IFERROR(__xludf.DUMMYFUNCTION("""COMPUTED_VALUE"""),"KERTASARI CIAMIS")</f>
        <v>KERTASARI CIAMIS</v>
      </c>
      <c r="D4973" s="186">
        <f>IFERROR(__xludf.DUMMYFUNCTION("""COMPUTED_VALUE"""),1.0)</f>
        <v>1</v>
      </c>
    </row>
    <row r="4974">
      <c r="A4974" s="178" t="str">
        <f>IFERROR(__xludf.DUMMYFUNCTION("""COMPUTED_VALUE"""),"ITBISA-IC-L7805CV-TO220")</f>
        <v>ITBISA-IC-L7805CV-TO220</v>
      </c>
      <c r="B4974" s="266">
        <f>IFERROR(__xludf.DUMMYFUNCTION("""COMPUTED_VALUE"""),45015.0)</f>
        <v>45015</v>
      </c>
      <c r="C4974" s="266" t="str">
        <f>IFERROR(__xludf.DUMMYFUNCTION("""COMPUTED_VALUE"""),"KYAI KONTONG")</f>
        <v>KYAI KONTONG</v>
      </c>
      <c r="D4974" s="186">
        <f>IFERROR(__xludf.DUMMYFUNCTION("""COMPUTED_VALUE"""),6.0)</f>
        <v>6</v>
      </c>
    </row>
    <row r="4975">
      <c r="A4975" s="178" t="str">
        <f>IFERROR(__xludf.DUMMYFUNCTION("""COMPUTED_VALUE"""),"ITBISA-IC-L7805CV-TO220")</f>
        <v>ITBISA-IC-L7805CV-TO220</v>
      </c>
      <c r="B4975" s="266">
        <f>IFERROR(__xludf.DUMMYFUNCTION("""COMPUTED_VALUE"""),45016.0)</f>
        <v>45016</v>
      </c>
      <c r="C4975" s="266" t="str">
        <f>IFERROR(__xludf.DUMMYFUNCTION("""COMPUTED_VALUE"""),"KYAI KONTONG")</f>
        <v>KYAI KONTONG</v>
      </c>
      <c r="D4975" s="186">
        <f>IFERROR(__xludf.DUMMYFUNCTION("""COMPUTED_VALUE"""),10.0)</f>
        <v>10</v>
      </c>
    </row>
    <row r="4976">
      <c r="A4976" s="178" t="str">
        <f>IFERROR(__xludf.DUMMYFUNCTION("""COMPUTED_VALUE"""),"ITBISA-IC-L7805CV-TO220")</f>
        <v>ITBISA-IC-L7805CV-TO220</v>
      </c>
      <c r="B4976" s="266">
        <f>IFERROR(__xludf.DUMMYFUNCTION("""COMPUTED_VALUE"""),45020.0)</f>
        <v>45020</v>
      </c>
      <c r="C4976" s="266" t="str">
        <f>IFERROR(__xludf.DUMMYFUNCTION("""COMPUTED_VALUE"""),"KYAI KONTONG")</f>
        <v>KYAI KONTONG</v>
      </c>
      <c r="D4976" s="186">
        <f>IFERROR(__xludf.DUMMYFUNCTION("""COMPUTED_VALUE"""),200.0)</f>
        <v>200</v>
      </c>
    </row>
    <row r="4977">
      <c r="A4977" s="178" t="str">
        <f>IFERROR(__xludf.DUMMYFUNCTION("""COMPUTED_VALUE"""),"ITBISA-IC-L7805CV-TO220")</f>
        <v>ITBISA-IC-L7805CV-TO220</v>
      </c>
      <c r="B4977" s="266">
        <f>IFERROR(__xludf.DUMMYFUNCTION("""COMPUTED_VALUE"""),45022.0)</f>
        <v>45022</v>
      </c>
      <c r="C4977" s="266" t="str">
        <f>IFERROR(__xludf.DUMMYFUNCTION("""COMPUTED_VALUE"""),"KYAI KONTONG")</f>
        <v>KYAI KONTONG</v>
      </c>
      <c r="D4977" s="186">
        <f>IFERROR(__xludf.DUMMYFUNCTION("""COMPUTED_VALUE"""),2.0)</f>
        <v>2</v>
      </c>
    </row>
    <row r="4978">
      <c r="A4978" s="178" t="str">
        <f>IFERROR(__xludf.DUMMYFUNCTION("""COMPUTED_VALUE"""),"ITBISA-IC-L7805CV-TO220")</f>
        <v>ITBISA-IC-L7805CV-TO220</v>
      </c>
      <c r="B4978" s="266">
        <f>IFERROR(__xludf.DUMMYFUNCTION("""COMPUTED_VALUE"""),45022.0)</f>
        <v>45022</v>
      </c>
      <c r="C4978" s="266" t="str">
        <f>IFERROR(__xludf.DUMMYFUNCTION("""COMPUTED_VALUE"""),"KYAI KONTONG")</f>
        <v>KYAI KONTONG</v>
      </c>
      <c r="D4978" s="186">
        <f>IFERROR(__xludf.DUMMYFUNCTION("""COMPUTED_VALUE"""),10.0)</f>
        <v>10</v>
      </c>
    </row>
    <row r="4979">
      <c r="A4979" s="178" t="str">
        <f>IFERROR(__xludf.DUMMYFUNCTION("""COMPUTED_VALUE"""),"ITBISA-IC-L7805CV-TO220")</f>
        <v>ITBISA-IC-L7805CV-TO220</v>
      </c>
      <c r="B4979" s="266">
        <f>IFERROR(__xludf.DUMMYFUNCTION("""COMPUTED_VALUE"""),45024.0)</f>
        <v>45024</v>
      </c>
      <c r="C4979" s="266" t="str">
        <f>IFERROR(__xludf.DUMMYFUNCTION("""COMPUTED_VALUE"""),"KYAI KONTONG")</f>
        <v>KYAI KONTONG</v>
      </c>
      <c r="D4979" s="186">
        <f>IFERROR(__xludf.DUMMYFUNCTION("""COMPUTED_VALUE"""),2.0)</f>
        <v>2</v>
      </c>
    </row>
    <row r="4980">
      <c r="A4980" s="178" t="str">
        <f>IFERROR(__xludf.DUMMYFUNCTION("""COMPUTED_VALUE"""),"ITBISA-IC-L7805CV-TO220")</f>
        <v>ITBISA-IC-L7805CV-TO220</v>
      </c>
      <c r="B4980" s="266">
        <f>IFERROR(__xludf.DUMMYFUNCTION("""COMPUTED_VALUE"""),45024.0)</f>
        <v>45024</v>
      </c>
      <c r="C4980" s="266" t="str">
        <f>IFERROR(__xludf.DUMMYFUNCTION("""COMPUTED_VALUE"""),"KYAI KONTONG")</f>
        <v>KYAI KONTONG</v>
      </c>
      <c r="D4980" s="186">
        <f>IFERROR(__xludf.DUMMYFUNCTION("""COMPUTED_VALUE"""),200.0)</f>
        <v>200</v>
      </c>
    </row>
    <row r="4981">
      <c r="A4981" s="178" t="str">
        <f>IFERROR(__xludf.DUMMYFUNCTION("""COMPUTED_VALUE"""),"ITBISA-IC-L7805CV-TO220")</f>
        <v>ITBISA-IC-L7805CV-TO220</v>
      </c>
      <c r="B4981" s="266">
        <f>IFERROR(__xludf.DUMMYFUNCTION("""COMPUTED_VALUE"""),45025.0)</f>
        <v>45025</v>
      </c>
      <c r="C4981" s="266" t="str">
        <f>IFERROR(__xludf.DUMMYFUNCTION("""COMPUTED_VALUE"""),"KYAI KONTONG")</f>
        <v>KYAI KONTONG</v>
      </c>
      <c r="D4981" s="186">
        <f>IFERROR(__xludf.DUMMYFUNCTION("""COMPUTED_VALUE"""),50.0)</f>
        <v>50</v>
      </c>
    </row>
    <row r="4982">
      <c r="A4982" s="178" t="str">
        <f>IFERROR(__xludf.DUMMYFUNCTION("""COMPUTED_VALUE"""),"ITBISA-IC-L7805CV-TO220")</f>
        <v>ITBISA-IC-L7805CV-TO220</v>
      </c>
      <c r="B4982" s="266">
        <f>IFERROR(__xludf.DUMMYFUNCTION("""COMPUTED_VALUE"""),45025.0)</f>
        <v>45025</v>
      </c>
      <c r="C4982" s="266" t="str">
        <f>IFERROR(__xludf.DUMMYFUNCTION("""COMPUTED_VALUE"""),"KYAI KONTONG")</f>
        <v>KYAI KONTONG</v>
      </c>
      <c r="D4982" s="186">
        <f>IFERROR(__xludf.DUMMYFUNCTION("""COMPUTED_VALUE"""),70.0)</f>
        <v>70</v>
      </c>
    </row>
    <row r="4983">
      <c r="A4983" s="178" t="str">
        <f>IFERROR(__xludf.DUMMYFUNCTION("""COMPUTED_VALUE"""),"ITBISA-IC-L7805CV-TO220")</f>
        <v>ITBISA-IC-L7805CV-TO220</v>
      </c>
      <c r="B4983" s="266">
        <f>IFERROR(__xludf.DUMMYFUNCTION("""COMPUTED_VALUE"""),45026.0)</f>
        <v>45026</v>
      </c>
      <c r="C4983" s="266" t="str">
        <f>IFERROR(__xludf.DUMMYFUNCTION("""COMPUTED_VALUE"""),"KYAI KONTONG")</f>
        <v>KYAI KONTONG</v>
      </c>
      <c r="D4983" s="186">
        <f>IFERROR(__xludf.DUMMYFUNCTION("""COMPUTED_VALUE"""),1.0)</f>
        <v>1</v>
      </c>
    </row>
    <row r="4984">
      <c r="A4984" s="178" t="str">
        <f>IFERROR(__xludf.DUMMYFUNCTION("""COMPUTED_VALUE"""),"ITBISA-IC-L7805CV-TO220")</f>
        <v>ITBISA-IC-L7805CV-TO220</v>
      </c>
      <c r="B4984" s="266">
        <f>IFERROR(__xludf.DUMMYFUNCTION("""COMPUTED_VALUE"""),45026.0)</f>
        <v>45026</v>
      </c>
      <c r="C4984" s="266" t="str">
        <f>IFERROR(__xludf.DUMMYFUNCTION("""COMPUTED_VALUE"""),"KYAI KONTONG")</f>
        <v>KYAI KONTONG</v>
      </c>
      <c r="D4984" s="186">
        <f>IFERROR(__xludf.DUMMYFUNCTION("""COMPUTED_VALUE"""),100.0)</f>
        <v>100</v>
      </c>
    </row>
    <row r="4985">
      <c r="A4985" s="178" t="str">
        <f>IFERROR(__xludf.DUMMYFUNCTION("""COMPUTED_VALUE"""),"ITBISA-IC-L7805CV-TO220")</f>
        <v>ITBISA-IC-L7805CV-TO220</v>
      </c>
      <c r="B4985" s="266">
        <f>IFERROR(__xludf.DUMMYFUNCTION("""COMPUTED_VALUE"""),45028.0)</f>
        <v>45028</v>
      </c>
      <c r="C4985" s="266" t="str">
        <f>IFERROR(__xludf.DUMMYFUNCTION("""COMPUTED_VALUE"""),"KYAI KONTONG")</f>
        <v>KYAI KONTONG</v>
      </c>
      <c r="D4985" s="186">
        <f>IFERROR(__xludf.DUMMYFUNCTION("""COMPUTED_VALUE"""),50.0)</f>
        <v>50</v>
      </c>
    </row>
    <row r="4986">
      <c r="A4986" s="178" t="str">
        <f>IFERROR(__xludf.DUMMYFUNCTION("""COMPUTED_VALUE"""),"ITBISA-IC-L7805CV-TO220")</f>
        <v>ITBISA-IC-L7805CV-TO220</v>
      </c>
      <c r="B4986" s="266">
        <f>IFERROR(__xludf.DUMMYFUNCTION("""COMPUTED_VALUE"""),45055.0)</f>
        <v>45055</v>
      </c>
      <c r="C4986" s="266" t="str">
        <f>IFERROR(__xludf.DUMMYFUNCTION("""COMPUTED_VALUE"""),"KYAI KONTONG")</f>
        <v>KYAI KONTONG</v>
      </c>
      <c r="D4986" s="186">
        <f>IFERROR(__xludf.DUMMYFUNCTION("""COMPUTED_VALUE"""),12.0)</f>
        <v>12</v>
      </c>
    </row>
    <row r="4987">
      <c r="A4987" s="178" t="str">
        <f>IFERROR(__xludf.DUMMYFUNCTION("""COMPUTED_VALUE"""),"ITBISA-IC-L7805CV-TO220")</f>
        <v>ITBISA-IC-L7805CV-TO220</v>
      </c>
      <c r="B4987" s="266">
        <f>IFERROR(__xludf.DUMMYFUNCTION("""COMPUTED_VALUE"""),45059.0)</f>
        <v>45059</v>
      </c>
      <c r="C4987" s="266" t="str">
        <f>IFERROR(__xludf.DUMMYFUNCTION("""COMPUTED_VALUE"""),"KYAI KONTONG")</f>
        <v>KYAI KONTONG</v>
      </c>
      <c r="D4987" s="186">
        <f>IFERROR(__xludf.DUMMYFUNCTION("""COMPUTED_VALUE"""),3.0)</f>
        <v>3</v>
      </c>
    </row>
    <row r="4988">
      <c r="A4988" s="178" t="str">
        <f>IFERROR(__xludf.DUMMYFUNCTION("""COMPUTED_VALUE"""),"ITBISA-IC-L7805CV-TO220")</f>
        <v>ITBISA-IC-L7805CV-TO220</v>
      </c>
      <c r="B4988" s="266">
        <f>IFERROR(__xludf.DUMMYFUNCTION("""COMPUTED_VALUE"""),45059.0)</f>
        <v>45059</v>
      </c>
      <c r="C4988" s="266" t="str">
        <f>IFERROR(__xludf.DUMMYFUNCTION("""COMPUTED_VALUE"""),"KYAI KONTONG")</f>
        <v>KYAI KONTONG</v>
      </c>
      <c r="D4988" s="186">
        <f>IFERROR(__xludf.DUMMYFUNCTION("""COMPUTED_VALUE"""),250.0)</f>
        <v>250</v>
      </c>
    </row>
    <row r="4989">
      <c r="A4989" s="178" t="str">
        <f>IFERROR(__xludf.DUMMYFUNCTION("""COMPUTED_VALUE"""),"ITBISA-IC-L7805CV-TO220")</f>
        <v>ITBISA-IC-L7805CV-TO220</v>
      </c>
      <c r="B4989" s="266">
        <f>IFERROR(__xludf.DUMMYFUNCTION("""COMPUTED_VALUE"""),45061.0)</f>
        <v>45061</v>
      </c>
      <c r="C4989" s="266" t="str">
        <f>IFERROR(__xludf.DUMMYFUNCTION("""COMPUTED_VALUE"""),"KYAI KONTONG")</f>
        <v>KYAI KONTONG</v>
      </c>
      <c r="D4989" s="186">
        <f>IFERROR(__xludf.DUMMYFUNCTION("""COMPUTED_VALUE"""),5.0)</f>
        <v>5</v>
      </c>
    </row>
    <row r="4990">
      <c r="A4990" s="178" t="str">
        <f>IFERROR(__xludf.DUMMYFUNCTION("""COMPUTED_VALUE"""),"ITBISA-IC-L7805CV-TO220")</f>
        <v>ITBISA-IC-L7805CV-TO220</v>
      </c>
      <c r="B4990" s="266">
        <f>IFERROR(__xludf.DUMMYFUNCTION("""COMPUTED_VALUE"""),45062.0)</f>
        <v>45062</v>
      </c>
      <c r="C4990" s="266" t="str">
        <f>IFERROR(__xludf.DUMMYFUNCTION("""COMPUTED_VALUE"""),"KYAI KONTONG")</f>
        <v>KYAI KONTONG</v>
      </c>
      <c r="D4990" s="186">
        <f>IFERROR(__xludf.DUMMYFUNCTION("""COMPUTED_VALUE"""),100.0)</f>
        <v>100</v>
      </c>
    </row>
    <row r="4991">
      <c r="A4991" s="178" t="str">
        <f>IFERROR(__xludf.DUMMYFUNCTION("""COMPUTED_VALUE"""),"ITBISA-IC-L7805CV-TO220")</f>
        <v>ITBISA-IC-L7805CV-TO220</v>
      </c>
      <c r="B4991" s="266">
        <f>IFERROR(__xludf.DUMMYFUNCTION("""COMPUTED_VALUE"""),45064.0)</f>
        <v>45064</v>
      </c>
      <c r="C4991" s="266" t="str">
        <f>IFERROR(__xludf.DUMMYFUNCTION("""COMPUTED_VALUE"""),"KYAI KONTONG")</f>
        <v>KYAI KONTONG</v>
      </c>
      <c r="D4991" s="186">
        <f>IFERROR(__xludf.DUMMYFUNCTION("""COMPUTED_VALUE"""),18.0)</f>
        <v>18</v>
      </c>
    </row>
    <row r="4992">
      <c r="A4992" s="178" t="str">
        <f>IFERROR(__xludf.DUMMYFUNCTION("""COMPUTED_VALUE"""),"ITBISA-IC-L7805CV-TO220")</f>
        <v>ITBISA-IC-L7805CV-TO220</v>
      </c>
      <c r="B4992" s="266">
        <f>IFERROR(__xludf.DUMMYFUNCTION("""COMPUTED_VALUE"""),45067.0)</f>
        <v>45067</v>
      </c>
      <c r="C4992" s="266" t="str">
        <f>IFERROR(__xludf.DUMMYFUNCTION("""COMPUTED_VALUE"""),"KYAI KONTONG")</f>
        <v>KYAI KONTONG</v>
      </c>
      <c r="D4992" s="186">
        <f>IFERROR(__xludf.DUMMYFUNCTION("""COMPUTED_VALUE"""),15.0)</f>
        <v>15</v>
      </c>
    </row>
    <row r="4993">
      <c r="A4993" s="178" t="str">
        <f>IFERROR(__xludf.DUMMYFUNCTION("""COMPUTED_VALUE"""),"ITBISA-IC-L7805CV-TO220")</f>
        <v>ITBISA-IC-L7805CV-TO220</v>
      </c>
      <c r="B4993" s="266">
        <f>IFERROR(__xludf.DUMMYFUNCTION("""COMPUTED_VALUE"""),45070.0)</f>
        <v>45070</v>
      </c>
      <c r="C4993" s="266" t="str">
        <f>IFERROR(__xludf.DUMMYFUNCTION("""COMPUTED_VALUE"""),"KYAI KONTONG")</f>
        <v>KYAI KONTONG</v>
      </c>
      <c r="D4993" s="186">
        <f>IFERROR(__xludf.DUMMYFUNCTION("""COMPUTED_VALUE"""),1000.0)</f>
        <v>1000</v>
      </c>
    </row>
    <row r="4994">
      <c r="A4994" s="178" t="str">
        <f>IFERROR(__xludf.DUMMYFUNCTION("""COMPUTED_VALUE"""),"ITBISA-IC-L7805CV-TO220")</f>
        <v>ITBISA-IC-L7805CV-TO220</v>
      </c>
      <c r="B4994" s="266">
        <f>IFERROR(__xludf.DUMMYFUNCTION("""COMPUTED_VALUE"""),45071.0)</f>
        <v>45071</v>
      </c>
      <c r="C4994" s="266" t="str">
        <f>IFERROR(__xludf.DUMMYFUNCTION("""COMPUTED_VALUE"""),"KYAI KONTONG")</f>
        <v>KYAI KONTONG</v>
      </c>
      <c r="D4994" s="186">
        <f>IFERROR(__xludf.DUMMYFUNCTION("""COMPUTED_VALUE"""),2.0)</f>
        <v>2</v>
      </c>
    </row>
    <row r="4995">
      <c r="A4995" s="178" t="str">
        <f>IFERROR(__xludf.DUMMYFUNCTION("""COMPUTED_VALUE"""),"ITBISA-IC-L7805CV-TO220")</f>
        <v>ITBISA-IC-L7805CV-TO220</v>
      </c>
      <c r="B4995" s="266">
        <f>IFERROR(__xludf.DUMMYFUNCTION("""COMPUTED_VALUE"""),45074.0)</f>
        <v>45074</v>
      </c>
      <c r="C4995" s="266" t="str">
        <f>IFERROR(__xludf.DUMMYFUNCTION("""COMPUTED_VALUE"""),"KYAI KONTONG")</f>
        <v>KYAI KONTONG</v>
      </c>
      <c r="D4995" s="186">
        <f>IFERROR(__xludf.DUMMYFUNCTION("""COMPUTED_VALUE"""),200.0)</f>
        <v>200</v>
      </c>
    </row>
    <row r="4996">
      <c r="A4996" s="178" t="str">
        <f>IFERROR(__xludf.DUMMYFUNCTION("""COMPUTED_VALUE"""),"ITBISA-IC-L7805CV-TO220")</f>
        <v>ITBISA-IC-L7805CV-TO220</v>
      </c>
      <c r="B4996" s="266">
        <f>IFERROR(__xludf.DUMMYFUNCTION("""COMPUTED_VALUE"""),45075.0)</f>
        <v>45075</v>
      </c>
      <c r="C4996" s="266" t="str">
        <f>IFERROR(__xludf.DUMMYFUNCTION("""COMPUTED_VALUE"""),"KYAI KONTONG")</f>
        <v>KYAI KONTONG</v>
      </c>
      <c r="D4996" s="186">
        <f>IFERROR(__xludf.DUMMYFUNCTION("""COMPUTED_VALUE"""),50.0)</f>
        <v>50</v>
      </c>
    </row>
    <row r="4997">
      <c r="A4997" s="178" t="str">
        <f>IFERROR(__xludf.DUMMYFUNCTION("""COMPUTED_VALUE"""),"ITBISA-IC-L7805CV-TO220")</f>
        <v>ITBISA-IC-L7805CV-TO220</v>
      </c>
      <c r="B4997" s="266">
        <f>IFERROR(__xludf.DUMMYFUNCTION("""COMPUTED_VALUE"""),45076.0)</f>
        <v>45076</v>
      </c>
      <c r="C4997" s="266" t="str">
        <f>IFERROR(__xludf.DUMMYFUNCTION("""COMPUTED_VALUE"""),"KYAI KONTONG")</f>
        <v>KYAI KONTONG</v>
      </c>
      <c r="D4997" s="186">
        <f>IFERROR(__xludf.DUMMYFUNCTION("""COMPUTED_VALUE"""),5.0)</f>
        <v>5</v>
      </c>
    </row>
    <row r="4998">
      <c r="A4998" s="178" t="str">
        <f>IFERROR(__xludf.DUMMYFUNCTION("""COMPUTED_VALUE"""),"ITBISA-IC-L7805CV-TO220")</f>
        <v>ITBISA-IC-L7805CV-TO220</v>
      </c>
      <c r="B4998" s="266">
        <f>IFERROR(__xludf.DUMMYFUNCTION("""COMPUTED_VALUE"""),45077.0)</f>
        <v>45077</v>
      </c>
      <c r="C4998" s="266" t="str">
        <f>IFERROR(__xludf.DUMMYFUNCTION("""COMPUTED_VALUE"""),"KYAI KONTONG")</f>
        <v>KYAI KONTONG</v>
      </c>
      <c r="D4998" s="186">
        <f>IFERROR(__xludf.DUMMYFUNCTION("""COMPUTED_VALUE"""),10.0)</f>
        <v>10</v>
      </c>
    </row>
    <row r="4999">
      <c r="A4999" s="178" t="str">
        <f>IFERROR(__xludf.DUMMYFUNCTION("""COMPUTED_VALUE"""),"ITBISA-IC-L7805CV-TO220")</f>
        <v>ITBISA-IC-L7805CV-TO220</v>
      </c>
      <c r="B4999" s="266">
        <f>IFERROR(__xludf.DUMMYFUNCTION("""COMPUTED_VALUE"""),45077.0)</f>
        <v>45077</v>
      </c>
      <c r="C4999" s="266" t="str">
        <f>IFERROR(__xludf.DUMMYFUNCTION("""COMPUTED_VALUE"""),"KYAI KONTONG")</f>
        <v>KYAI KONTONG</v>
      </c>
      <c r="D4999" s="186">
        <f>IFERROR(__xludf.DUMMYFUNCTION("""COMPUTED_VALUE"""),50.0)</f>
        <v>50</v>
      </c>
    </row>
    <row r="5000">
      <c r="A5000" s="178" t="str">
        <f>IFERROR(__xludf.DUMMYFUNCTION("""COMPUTED_VALUE"""),"ITBISA-IC-L7805CV-TO220")</f>
        <v>ITBISA-IC-L7805CV-TO220</v>
      </c>
      <c r="B5000" s="266">
        <f>IFERROR(__xludf.DUMMYFUNCTION("""COMPUTED_VALUE"""),45078.0)</f>
        <v>45078</v>
      </c>
      <c r="C5000" s="266" t="str">
        <f>IFERROR(__xludf.DUMMYFUNCTION("""COMPUTED_VALUE"""),"KYAI KONTONG")</f>
        <v>KYAI KONTONG</v>
      </c>
      <c r="D5000" s="186">
        <f>IFERROR(__xludf.DUMMYFUNCTION("""COMPUTED_VALUE"""),4.0)</f>
        <v>4</v>
      </c>
    </row>
    <row r="5001">
      <c r="A5001" s="178" t="str">
        <f>IFERROR(__xludf.DUMMYFUNCTION("""COMPUTED_VALUE"""),"ITBISA-IC-L7805CV-TO220")</f>
        <v>ITBISA-IC-L7805CV-TO220</v>
      </c>
      <c r="B5001" s="266">
        <f>IFERROR(__xludf.DUMMYFUNCTION("""COMPUTED_VALUE"""),45082.0)</f>
        <v>45082</v>
      </c>
      <c r="C5001" s="266" t="str">
        <f>IFERROR(__xludf.DUMMYFUNCTION("""COMPUTED_VALUE"""),"KYAI KONTONG")</f>
        <v>KYAI KONTONG</v>
      </c>
      <c r="D5001" s="186">
        <f>IFERROR(__xludf.DUMMYFUNCTION("""COMPUTED_VALUE"""),5.0)</f>
        <v>5</v>
      </c>
    </row>
    <row r="5002">
      <c r="A5002" s="178" t="str">
        <f>IFERROR(__xludf.DUMMYFUNCTION("""COMPUTED_VALUE"""),"ITBISA-IC-L7805CV-TO220")</f>
        <v>ITBISA-IC-L7805CV-TO220</v>
      </c>
      <c r="B5002" s="266">
        <f>IFERROR(__xludf.DUMMYFUNCTION("""COMPUTED_VALUE"""),45083.0)</f>
        <v>45083</v>
      </c>
      <c r="C5002" s="266" t="str">
        <f>IFERROR(__xludf.DUMMYFUNCTION("""COMPUTED_VALUE"""),"KYAI KONTONG")</f>
        <v>KYAI KONTONG</v>
      </c>
      <c r="D5002" s="186">
        <f>IFERROR(__xludf.DUMMYFUNCTION("""COMPUTED_VALUE"""),20.0)</f>
        <v>20</v>
      </c>
    </row>
    <row r="5003">
      <c r="A5003" s="178" t="str">
        <f>IFERROR(__xludf.DUMMYFUNCTION("""COMPUTED_VALUE"""),"ITBISA-IC-L7805CV-TO220")</f>
        <v>ITBISA-IC-L7805CV-TO220</v>
      </c>
      <c r="B5003" s="266">
        <f>IFERROR(__xludf.DUMMYFUNCTION("""COMPUTED_VALUE"""),45088.0)</f>
        <v>45088</v>
      </c>
      <c r="C5003" s="266" t="str">
        <f>IFERROR(__xludf.DUMMYFUNCTION("""COMPUTED_VALUE"""),"KYAI KONTONG")</f>
        <v>KYAI KONTONG</v>
      </c>
      <c r="D5003" s="186">
        <f>IFERROR(__xludf.DUMMYFUNCTION("""COMPUTED_VALUE"""),3.0)</f>
        <v>3</v>
      </c>
    </row>
    <row r="5004">
      <c r="A5004" s="178" t="str">
        <f>IFERROR(__xludf.DUMMYFUNCTION("""COMPUTED_VALUE"""),"ITBISA-IC-L7805CV-TO220")</f>
        <v>ITBISA-IC-L7805CV-TO220</v>
      </c>
      <c r="B5004" s="266">
        <f>IFERROR(__xludf.DUMMYFUNCTION("""COMPUTED_VALUE"""),45089.0)</f>
        <v>45089</v>
      </c>
      <c r="C5004" s="266" t="str">
        <f>IFERROR(__xludf.DUMMYFUNCTION("""COMPUTED_VALUE"""),"KYAI KONTONG")</f>
        <v>KYAI KONTONG</v>
      </c>
      <c r="D5004" s="186">
        <f>IFERROR(__xludf.DUMMYFUNCTION("""COMPUTED_VALUE"""),3.0)</f>
        <v>3</v>
      </c>
    </row>
    <row r="5005">
      <c r="A5005" s="178" t="str">
        <f>IFERROR(__xludf.DUMMYFUNCTION("""COMPUTED_VALUE"""),"ITBISA-IC-L7805CV-TO220")</f>
        <v>ITBISA-IC-L7805CV-TO220</v>
      </c>
      <c r="B5005" s="266">
        <f>IFERROR(__xludf.DUMMYFUNCTION("""COMPUTED_VALUE"""),45089.0)</f>
        <v>45089</v>
      </c>
      <c r="C5005" s="266" t="str">
        <f>IFERROR(__xludf.DUMMYFUNCTION("""COMPUTED_VALUE"""),"KYAI KONTONG")</f>
        <v>KYAI KONTONG</v>
      </c>
      <c r="D5005" s="186">
        <f>IFERROR(__xludf.DUMMYFUNCTION("""COMPUTED_VALUE"""),20.0)</f>
        <v>20</v>
      </c>
    </row>
    <row r="5006">
      <c r="A5006" s="178" t="str">
        <f>IFERROR(__xludf.DUMMYFUNCTION("""COMPUTED_VALUE"""),"ITBISA-IC-L7805CV-TO220")</f>
        <v>ITBISA-IC-L7805CV-TO220</v>
      </c>
      <c r="B5006" s="266">
        <f>IFERROR(__xludf.DUMMYFUNCTION("""COMPUTED_VALUE"""),45089.0)</f>
        <v>45089</v>
      </c>
      <c r="C5006" s="266" t="str">
        <f>IFERROR(__xludf.DUMMYFUNCTION("""COMPUTED_VALUE"""),"KYAI KONTONG")</f>
        <v>KYAI KONTONG</v>
      </c>
      <c r="D5006" s="186">
        <f>IFERROR(__xludf.DUMMYFUNCTION("""COMPUTED_VALUE"""),25.0)</f>
        <v>25</v>
      </c>
    </row>
    <row r="5007">
      <c r="A5007" s="178" t="str">
        <f>IFERROR(__xludf.DUMMYFUNCTION("""COMPUTED_VALUE"""),"ITBISA-IC-L7805CV-TO220")</f>
        <v>ITBISA-IC-L7805CV-TO220</v>
      </c>
      <c r="B5007" s="266">
        <f>IFERROR(__xludf.DUMMYFUNCTION("""COMPUTED_VALUE"""),45089.0)</f>
        <v>45089</v>
      </c>
      <c r="C5007" s="266" t="str">
        <f>IFERROR(__xludf.DUMMYFUNCTION("""COMPUTED_VALUE"""),"KYAI KONTONG")</f>
        <v>KYAI KONTONG</v>
      </c>
      <c r="D5007" s="186">
        <f>IFERROR(__xludf.DUMMYFUNCTION("""COMPUTED_VALUE"""),70.0)</f>
        <v>70</v>
      </c>
    </row>
    <row r="5008">
      <c r="A5008" s="178" t="str">
        <f>IFERROR(__xludf.DUMMYFUNCTION("""COMPUTED_VALUE"""),"ITBISA-IC-L7805CV-TO220")</f>
        <v>ITBISA-IC-L7805CV-TO220</v>
      </c>
      <c r="B5008" s="266">
        <f>IFERROR(__xludf.DUMMYFUNCTION("""COMPUTED_VALUE"""),45090.0)</f>
        <v>45090</v>
      </c>
      <c r="C5008" s="266" t="str">
        <f>IFERROR(__xludf.DUMMYFUNCTION("""COMPUTED_VALUE"""),"KYAI KONTONG")</f>
        <v>KYAI KONTONG</v>
      </c>
      <c r="D5008" s="186">
        <f>IFERROR(__xludf.DUMMYFUNCTION("""COMPUTED_VALUE"""),40.0)</f>
        <v>40</v>
      </c>
    </row>
    <row r="5009">
      <c r="A5009" s="178" t="str">
        <f>IFERROR(__xludf.DUMMYFUNCTION("""COMPUTED_VALUE"""),"ITBISA-IC-L7805CV-TO220")</f>
        <v>ITBISA-IC-L7805CV-TO220</v>
      </c>
      <c r="B5009" s="266">
        <f>IFERROR(__xludf.DUMMYFUNCTION("""COMPUTED_VALUE"""),45094.0)</f>
        <v>45094</v>
      </c>
      <c r="C5009" s="266" t="str">
        <f>IFERROR(__xludf.DUMMYFUNCTION("""COMPUTED_VALUE"""),"KYAI KONTONG")</f>
        <v>KYAI KONTONG</v>
      </c>
      <c r="D5009" s="186">
        <f>IFERROR(__xludf.DUMMYFUNCTION("""COMPUTED_VALUE"""),2.0)</f>
        <v>2</v>
      </c>
    </row>
    <row r="5010">
      <c r="A5010" s="178" t="str">
        <f>IFERROR(__xludf.DUMMYFUNCTION("""COMPUTED_VALUE"""),"ITBISA-IC-L7805CV-TO220")</f>
        <v>ITBISA-IC-L7805CV-TO220</v>
      </c>
      <c r="B5010" s="266">
        <f>IFERROR(__xludf.DUMMYFUNCTION("""COMPUTED_VALUE"""),45095.0)</f>
        <v>45095</v>
      </c>
      <c r="C5010" s="266" t="str">
        <f>IFERROR(__xludf.DUMMYFUNCTION("""COMPUTED_VALUE"""),"KYAI KONTONG")</f>
        <v>KYAI KONTONG</v>
      </c>
      <c r="D5010" s="186">
        <f>IFERROR(__xludf.DUMMYFUNCTION("""COMPUTED_VALUE"""),10.0)</f>
        <v>10</v>
      </c>
    </row>
    <row r="5011">
      <c r="A5011" s="178" t="str">
        <f>IFERROR(__xludf.DUMMYFUNCTION("""COMPUTED_VALUE"""),"ITBISA-IC-L7805CV-TO220")</f>
        <v>ITBISA-IC-L7805CV-TO220</v>
      </c>
      <c r="B5011" s="266">
        <f>IFERROR(__xludf.DUMMYFUNCTION("""COMPUTED_VALUE"""),45096.0)</f>
        <v>45096</v>
      </c>
      <c r="C5011" s="266" t="str">
        <f>IFERROR(__xludf.DUMMYFUNCTION("""COMPUTED_VALUE"""),"KYAI KONTONG")</f>
        <v>KYAI KONTONG</v>
      </c>
      <c r="D5011" s="186">
        <f>IFERROR(__xludf.DUMMYFUNCTION("""COMPUTED_VALUE"""),2.0)</f>
        <v>2</v>
      </c>
    </row>
    <row r="5012">
      <c r="A5012" s="178" t="str">
        <f>IFERROR(__xludf.DUMMYFUNCTION("""COMPUTED_VALUE"""),"ITBISA-IC-L7805CV-TO220")</f>
        <v>ITBISA-IC-L7805CV-TO220</v>
      </c>
      <c r="B5012" s="266">
        <f>IFERROR(__xludf.DUMMYFUNCTION("""COMPUTED_VALUE"""),45096.0)</f>
        <v>45096</v>
      </c>
      <c r="C5012" s="266" t="str">
        <f>IFERROR(__xludf.DUMMYFUNCTION("""COMPUTED_VALUE"""),"KYAI KONTONG")</f>
        <v>KYAI KONTONG</v>
      </c>
      <c r="D5012" s="186">
        <f>IFERROR(__xludf.DUMMYFUNCTION("""COMPUTED_VALUE"""),200.0)</f>
        <v>200</v>
      </c>
    </row>
    <row r="5013">
      <c r="A5013" s="178" t="str">
        <f>IFERROR(__xludf.DUMMYFUNCTION("""COMPUTED_VALUE"""),"ITBISA-IC-L7805CV-TO220")</f>
        <v>ITBISA-IC-L7805CV-TO220</v>
      </c>
      <c r="B5013" s="266">
        <f>IFERROR(__xludf.DUMMYFUNCTION("""COMPUTED_VALUE"""),45098.0)</f>
        <v>45098</v>
      </c>
      <c r="C5013" s="266" t="str">
        <f>IFERROR(__xludf.DUMMYFUNCTION("""COMPUTED_VALUE"""),"KYAI KONTONG")</f>
        <v>KYAI KONTONG</v>
      </c>
      <c r="D5013" s="186">
        <f>IFERROR(__xludf.DUMMYFUNCTION("""COMPUTED_VALUE"""),10.0)</f>
        <v>10</v>
      </c>
    </row>
    <row r="5014">
      <c r="A5014" s="178" t="str">
        <f>IFERROR(__xludf.DUMMYFUNCTION("""COMPUTED_VALUE"""),"ITBISA-IC-L7805CV-TO220")</f>
        <v>ITBISA-IC-L7805CV-TO220</v>
      </c>
      <c r="B5014" s="266">
        <f>IFERROR(__xludf.DUMMYFUNCTION("""COMPUTED_VALUE"""),45099.0)</f>
        <v>45099</v>
      </c>
      <c r="C5014" s="266" t="str">
        <f>IFERROR(__xludf.DUMMYFUNCTION("""COMPUTED_VALUE"""),"KERTASARI CIAMIS")</f>
        <v>KERTASARI CIAMIS</v>
      </c>
      <c r="D5014" s="186">
        <f>IFERROR(__xludf.DUMMYFUNCTION("""COMPUTED_VALUE"""),100.0)</f>
        <v>100</v>
      </c>
    </row>
    <row r="5015">
      <c r="A5015" s="178" t="str">
        <f>IFERROR(__xludf.DUMMYFUNCTION("""COMPUTED_VALUE"""),"ITBISA-IC-L7805CV-TO220")</f>
        <v>ITBISA-IC-L7805CV-TO220</v>
      </c>
      <c r="B5015" s="266">
        <f>IFERROR(__xludf.DUMMYFUNCTION("""COMPUTED_VALUE"""),45100.0)</f>
        <v>45100</v>
      </c>
      <c r="C5015" s="266" t="str">
        <f>IFERROR(__xludf.DUMMYFUNCTION("""COMPUTED_VALUE"""),"KYAI KONTONG")</f>
        <v>KYAI KONTONG</v>
      </c>
      <c r="D5015" s="186">
        <f>IFERROR(__xludf.DUMMYFUNCTION("""COMPUTED_VALUE"""),26.0)</f>
        <v>26</v>
      </c>
    </row>
    <row r="5016">
      <c r="A5016" s="178" t="str">
        <f>IFERROR(__xludf.DUMMYFUNCTION("""COMPUTED_VALUE"""),"ITBISA-IC-L7805CV-TO220")</f>
        <v>ITBISA-IC-L7805CV-TO220</v>
      </c>
      <c r="B5016" s="266">
        <f>IFERROR(__xludf.DUMMYFUNCTION("""COMPUTED_VALUE"""),45100.0)</f>
        <v>45100</v>
      </c>
      <c r="C5016" s="266" t="str">
        <f>IFERROR(__xludf.DUMMYFUNCTION("""COMPUTED_VALUE"""),"KYAI KONTONG")</f>
        <v>KYAI KONTONG</v>
      </c>
      <c r="D5016" s="186">
        <f>IFERROR(__xludf.DUMMYFUNCTION("""COMPUTED_VALUE"""),50.0)</f>
        <v>50</v>
      </c>
    </row>
    <row r="5017">
      <c r="A5017" s="178" t="str">
        <f>IFERROR(__xludf.DUMMYFUNCTION("""COMPUTED_VALUE"""),"ITBISA-IC-L7805CV-TO220")</f>
        <v>ITBISA-IC-L7805CV-TO220</v>
      </c>
      <c r="B5017" s="266">
        <f>IFERROR(__xludf.DUMMYFUNCTION("""COMPUTED_VALUE"""),45103.0)</f>
        <v>45103</v>
      </c>
      <c r="C5017" s="266" t="str">
        <f>IFERROR(__xludf.DUMMYFUNCTION("""COMPUTED_VALUE"""),"KYAI KONTONG")</f>
        <v>KYAI KONTONG</v>
      </c>
      <c r="D5017" s="186">
        <f>IFERROR(__xludf.DUMMYFUNCTION("""COMPUTED_VALUE"""),10.0)</f>
        <v>10</v>
      </c>
    </row>
    <row r="5018">
      <c r="A5018" s="178" t="str">
        <f>IFERROR(__xludf.DUMMYFUNCTION("""COMPUTED_VALUE"""),"ITBISA-IC-L7805CV-TO220")</f>
        <v>ITBISA-IC-L7805CV-TO220</v>
      </c>
      <c r="B5018" s="266">
        <f>IFERROR(__xludf.DUMMYFUNCTION("""COMPUTED_VALUE"""),45104.0)</f>
        <v>45104</v>
      </c>
      <c r="C5018" s="266" t="str">
        <f>IFERROR(__xludf.DUMMYFUNCTION("""COMPUTED_VALUE"""),"KYAI KONTONG")</f>
        <v>KYAI KONTONG</v>
      </c>
      <c r="D5018" s="186">
        <f>IFERROR(__xludf.DUMMYFUNCTION("""COMPUTED_VALUE"""),1.0)</f>
        <v>1</v>
      </c>
    </row>
    <row r="5019">
      <c r="A5019" s="178" t="str">
        <f>IFERROR(__xludf.DUMMYFUNCTION("""COMPUTED_VALUE"""),"ITBISA-IC-L7805CV-TO220")</f>
        <v>ITBISA-IC-L7805CV-TO220</v>
      </c>
      <c r="B5019" s="266">
        <f>IFERROR(__xludf.DUMMYFUNCTION("""COMPUTED_VALUE"""),45104.0)</f>
        <v>45104</v>
      </c>
      <c r="C5019" s="266" t="str">
        <f>IFERROR(__xludf.DUMMYFUNCTION("""COMPUTED_VALUE"""),"KYAI KONTONG")</f>
        <v>KYAI KONTONG</v>
      </c>
      <c r="D5019" s="186">
        <f>IFERROR(__xludf.DUMMYFUNCTION("""COMPUTED_VALUE"""),5.0)</f>
        <v>5</v>
      </c>
    </row>
    <row r="5020">
      <c r="A5020" s="178" t="str">
        <f>IFERROR(__xludf.DUMMYFUNCTION("""COMPUTED_VALUE"""),"ITBISA-IC-L7805CV-TO220")</f>
        <v>ITBISA-IC-L7805CV-TO220</v>
      </c>
      <c r="B5020" s="266">
        <f>IFERROR(__xludf.DUMMYFUNCTION("""COMPUTED_VALUE"""),45105.0)</f>
        <v>45105</v>
      </c>
      <c r="C5020" s="266" t="str">
        <f>IFERROR(__xludf.DUMMYFUNCTION("""COMPUTED_VALUE"""),"KYAI KONTONG")</f>
        <v>KYAI KONTONG</v>
      </c>
      <c r="D5020" s="186">
        <f>IFERROR(__xludf.DUMMYFUNCTION("""COMPUTED_VALUE"""),10.0)</f>
        <v>10</v>
      </c>
    </row>
    <row r="5021">
      <c r="A5021" s="178" t="str">
        <f>IFERROR(__xludf.DUMMYFUNCTION("""COMPUTED_VALUE"""),"ITBISA-IC-L7805CV-TO220")</f>
        <v>ITBISA-IC-L7805CV-TO220</v>
      </c>
      <c r="B5021" s="266">
        <f>IFERROR(__xludf.DUMMYFUNCTION("""COMPUTED_VALUE"""),45108.0)</f>
        <v>45108</v>
      </c>
      <c r="C5021" s="266" t="str">
        <f>IFERROR(__xludf.DUMMYFUNCTION("""COMPUTED_VALUE"""),"KYAI KONTONG")</f>
        <v>KYAI KONTONG</v>
      </c>
      <c r="D5021" s="186">
        <f>IFERROR(__xludf.DUMMYFUNCTION("""COMPUTED_VALUE"""),3.0)</f>
        <v>3</v>
      </c>
    </row>
    <row r="5022">
      <c r="A5022" s="178" t="str">
        <f>IFERROR(__xludf.DUMMYFUNCTION("""COMPUTED_VALUE"""),"ITBISA-IC-L7805CV-TO220")</f>
        <v>ITBISA-IC-L7805CV-TO220</v>
      </c>
      <c r="B5022" s="266">
        <f>IFERROR(__xludf.DUMMYFUNCTION("""COMPUTED_VALUE"""),45108.0)</f>
        <v>45108</v>
      </c>
      <c r="C5022" s="266" t="str">
        <f>IFERROR(__xludf.DUMMYFUNCTION("""COMPUTED_VALUE"""),"KYAI KONTONG")</f>
        <v>KYAI KONTONG</v>
      </c>
      <c r="D5022" s="186">
        <f>IFERROR(__xludf.DUMMYFUNCTION("""COMPUTED_VALUE"""),6.0)</f>
        <v>6</v>
      </c>
    </row>
    <row r="5023">
      <c r="A5023" s="178" t="str">
        <f>IFERROR(__xludf.DUMMYFUNCTION("""COMPUTED_VALUE"""),"ITBISA-IC-L7805CV-TO220")</f>
        <v>ITBISA-IC-L7805CV-TO220</v>
      </c>
      <c r="B5023" s="266">
        <f>IFERROR(__xludf.DUMMYFUNCTION("""COMPUTED_VALUE"""),45108.0)</f>
        <v>45108</v>
      </c>
      <c r="C5023" s="266" t="str">
        <f>IFERROR(__xludf.DUMMYFUNCTION("""COMPUTED_VALUE"""),"KYAI KONTONG")</f>
        <v>KYAI KONTONG</v>
      </c>
      <c r="D5023" s="186">
        <f>IFERROR(__xludf.DUMMYFUNCTION("""COMPUTED_VALUE"""),20.0)</f>
        <v>20</v>
      </c>
    </row>
    <row r="5024">
      <c r="A5024" s="178" t="str">
        <f>IFERROR(__xludf.DUMMYFUNCTION("""COMPUTED_VALUE"""),"ITBISA-IC-L7805CV-TO220")</f>
        <v>ITBISA-IC-L7805CV-TO220</v>
      </c>
      <c r="B5024" s="266">
        <f>IFERROR(__xludf.DUMMYFUNCTION("""COMPUTED_VALUE"""),45110.0)</f>
        <v>45110</v>
      </c>
      <c r="C5024" s="266" t="str">
        <f>IFERROR(__xludf.DUMMYFUNCTION("""COMPUTED_VALUE"""),"KYAI KONTONG")</f>
        <v>KYAI KONTONG</v>
      </c>
      <c r="D5024" s="186">
        <f>IFERROR(__xludf.DUMMYFUNCTION("""COMPUTED_VALUE"""),1.0)</f>
        <v>1</v>
      </c>
    </row>
    <row r="5025">
      <c r="A5025" s="178" t="str">
        <f>IFERROR(__xludf.DUMMYFUNCTION("""COMPUTED_VALUE"""),"ITBISA-IC-L7805CV-TO220")</f>
        <v>ITBISA-IC-L7805CV-TO220</v>
      </c>
      <c r="B5025" s="266">
        <f>IFERROR(__xludf.DUMMYFUNCTION("""COMPUTED_VALUE"""),45110.0)</f>
        <v>45110</v>
      </c>
      <c r="C5025" s="266" t="str">
        <f>IFERROR(__xludf.DUMMYFUNCTION("""COMPUTED_VALUE"""),"KYAI KONTONG")</f>
        <v>KYAI KONTONG</v>
      </c>
      <c r="D5025" s="186">
        <f>IFERROR(__xludf.DUMMYFUNCTION("""COMPUTED_VALUE"""),50.0)</f>
        <v>50</v>
      </c>
    </row>
    <row r="5026">
      <c r="A5026" s="178" t="str">
        <f>IFERROR(__xludf.DUMMYFUNCTION("""COMPUTED_VALUE"""),"ITBISA-IC-L7805CV-TO220")</f>
        <v>ITBISA-IC-L7805CV-TO220</v>
      </c>
      <c r="B5026" s="266">
        <f>IFERROR(__xludf.DUMMYFUNCTION("""COMPUTED_VALUE"""),45111.0)</f>
        <v>45111</v>
      </c>
      <c r="C5026" s="266" t="str">
        <f>IFERROR(__xludf.DUMMYFUNCTION("""COMPUTED_VALUE"""),"KYAI KONTONG")</f>
        <v>KYAI KONTONG</v>
      </c>
      <c r="D5026" s="186">
        <f>IFERROR(__xludf.DUMMYFUNCTION("""COMPUTED_VALUE"""),2.0)</f>
        <v>2</v>
      </c>
    </row>
    <row r="5027">
      <c r="A5027" s="178" t="str">
        <f>IFERROR(__xludf.DUMMYFUNCTION("""COMPUTED_VALUE"""),"ITBISA-IC-L7805CV-TO220")</f>
        <v>ITBISA-IC-L7805CV-TO220</v>
      </c>
      <c r="B5027" s="266">
        <f>IFERROR(__xludf.DUMMYFUNCTION("""COMPUTED_VALUE"""),45111.0)</f>
        <v>45111</v>
      </c>
      <c r="C5027" s="266" t="str">
        <f>IFERROR(__xludf.DUMMYFUNCTION("""COMPUTED_VALUE"""),"KYAI KONTONG")</f>
        <v>KYAI KONTONG</v>
      </c>
      <c r="D5027" s="186">
        <f>IFERROR(__xludf.DUMMYFUNCTION("""COMPUTED_VALUE"""),100.0)</f>
        <v>100</v>
      </c>
    </row>
    <row r="5028">
      <c r="A5028" s="178" t="str">
        <f>IFERROR(__xludf.DUMMYFUNCTION("""COMPUTED_VALUE"""),"ITBISA-IC-L7805CV-TO220")</f>
        <v>ITBISA-IC-L7805CV-TO220</v>
      </c>
      <c r="B5028" s="266">
        <f>IFERROR(__xludf.DUMMYFUNCTION("""COMPUTED_VALUE"""),45113.0)</f>
        <v>45113</v>
      </c>
      <c r="C5028" s="266" t="str">
        <f>IFERROR(__xludf.DUMMYFUNCTION("""COMPUTED_VALUE"""),"KYAI KONTONG")</f>
        <v>KYAI KONTONG</v>
      </c>
      <c r="D5028" s="186">
        <f>IFERROR(__xludf.DUMMYFUNCTION("""COMPUTED_VALUE"""),1.0)</f>
        <v>1</v>
      </c>
    </row>
    <row r="5029">
      <c r="A5029" s="178" t="str">
        <f>IFERROR(__xludf.DUMMYFUNCTION("""COMPUTED_VALUE"""),"ITBISA-IC-L7805CV-TO220")</f>
        <v>ITBISA-IC-L7805CV-TO220</v>
      </c>
      <c r="B5029" s="266">
        <f>IFERROR(__xludf.DUMMYFUNCTION("""COMPUTED_VALUE"""),45113.0)</f>
        <v>45113</v>
      </c>
      <c r="C5029" s="266" t="str">
        <f>IFERROR(__xludf.DUMMYFUNCTION("""COMPUTED_VALUE"""),"KYAI KONTONG")</f>
        <v>KYAI KONTONG</v>
      </c>
      <c r="D5029" s="186">
        <f>IFERROR(__xludf.DUMMYFUNCTION("""COMPUTED_VALUE"""),20.0)</f>
        <v>20</v>
      </c>
    </row>
    <row r="5030">
      <c r="A5030" s="178" t="str">
        <f>IFERROR(__xludf.DUMMYFUNCTION("""COMPUTED_VALUE"""),"ITBISA-IC-L7805CV-TO220")</f>
        <v>ITBISA-IC-L7805CV-TO220</v>
      </c>
      <c r="B5030" s="266">
        <f>IFERROR(__xludf.DUMMYFUNCTION("""COMPUTED_VALUE"""),45113.0)</f>
        <v>45113</v>
      </c>
      <c r="C5030" s="266" t="str">
        <f>IFERROR(__xludf.DUMMYFUNCTION("""COMPUTED_VALUE"""),"KYAI KONTONG")</f>
        <v>KYAI KONTONG</v>
      </c>
      <c r="D5030" s="186">
        <f>IFERROR(__xludf.DUMMYFUNCTION("""COMPUTED_VALUE"""),50.0)</f>
        <v>50</v>
      </c>
    </row>
    <row r="5031">
      <c r="A5031" s="178" t="str">
        <f>IFERROR(__xludf.DUMMYFUNCTION("""COMPUTED_VALUE"""),"ITBISA-IC-L7805CV-TO220")</f>
        <v>ITBISA-IC-L7805CV-TO220</v>
      </c>
      <c r="B5031" s="266">
        <f>IFERROR(__xludf.DUMMYFUNCTION("""COMPUTED_VALUE"""),45114.0)</f>
        <v>45114</v>
      </c>
      <c r="C5031" s="266" t="str">
        <f>IFERROR(__xludf.DUMMYFUNCTION("""COMPUTED_VALUE"""),"KYAI KONTONG")</f>
        <v>KYAI KONTONG</v>
      </c>
      <c r="D5031" s="186">
        <f>IFERROR(__xludf.DUMMYFUNCTION("""COMPUTED_VALUE"""),10.0)</f>
        <v>10</v>
      </c>
    </row>
    <row r="5032">
      <c r="A5032" s="178" t="str">
        <f>IFERROR(__xludf.DUMMYFUNCTION("""COMPUTED_VALUE"""),"ITBISA-IC-L7805CV-TO220")</f>
        <v>ITBISA-IC-L7805CV-TO220</v>
      </c>
      <c r="B5032" s="266">
        <f>IFERROR(__xludf.DUMMYFUNCTION("""COMPUTED_VALUE"""),45115.0)</f>
        <v>45115</v>
      </c>
      <c r="C5032" s="266" t="str">
        <f>IFERROR(__xludf.DUMMYFUNCTION("""COMPUTED_VALUE"""),"KYAI KONTONG")</f>
        <v>KYAI KONTONG</v>
      </c>
      <c r="D5032" s="186">
        <f>IFERROR(__xludf.DUMMYFUNCTION("""COMPUTED_VALUE"""),4.0)</f>
        <v>4</v>
      </c>
    </row>
    <row r="5033">
      <c r="A5033" s="178" t="str">
        <f>IFERROR(__xludf.DUMMYFUNCTION("""COMPUTED_VALUE"""),"ITBISA-IC-L7805CV-TO220")</f>
        <v>ITBISA-IC-L7805CV-TO220</v>
      </c>
      <c r="B5033" s="266">
        <f>IFERROR(__xludf.DUMMYFUNCTION("""COMPUTED_VALUE"""),45116.0)</f>
        <v>45116</v>
      </c>
      <c r="C5033" s="266" t="str">
        <f>IFERROR(__xludf.DUMMYFUNCTION("""COMPUTED_VALUE"""),"KYAI KONTONG")</f>
        <v>KYAI KONTONG</v>
      </c>
      <c r="D5033" s="186">
        <f>IFERROR(__xludf.DUMMYFUNCTION("""COMPUTED_VALUE"""),2.0)</f>
        <v>2</v>
      </c>
    </row>
    <row r="5034">
      <c r="A5034" s="178" t="str">
        <f>IFERROR(__xludf.DUMMYFUNCTION("""COMPUTED_VALUE"""),"ITBISA-IC-L7805CV-TO220")</f>
        <v>ITBISA-IC-L7805CV-TO220</v>
      </c>
      <c r="B5034" s="266">
        <f>IFERROR(__xludf.DUMMYFUNCTION("""COMPUTED_VALUE"""),45116.0)</f>
        <v>45116</v>
      </c>
      <c r="C5034" s="266" t="str">
        <f>IFERROR(__xludf.DUMMYFUNCTION("""COMPUTED_VALUE"""),"KYAI KONTONG")</f>
        <v>KYAI KONTONG</v>
      </c>
      <c r="D5034" s="186">
        <f>IFERROR(__xludf.DUMMYFUNCTION("""COMPUTED_VALUE"""),5.0)</f>
        <v>5</v>
      </c>
    </row>
    <row r="5035">
      <c r="A5035" s="178" t="str">
        <f>IFERROR(__xludf.DUMMYFUNCTION("""COMPUTED_VALUE"""),"ITBISA-IC-L7805CV-TO220")</f>
        <v>ITBISA-IC-L7805CV-TO220</v>
      </c>
      <c r="B5035" s="266">
        <f>IFERROR(__xludf.DUMMYFUNCTION("""COMPUTED_VALUE"""),45117.0)</f>
        <v>45117</v>
      </c>
      <c r="C5035" s="266" t="str">
        <f>IFERROR(__xludf.DUMMYFUNCTION("""COMPUTED_VALUE"""),"KYAI KONTONG")</f>
        <v>KYAI KONTONG</v>
      </c>
      <c r="D5035" s="186">
        <f>IFERROR(__xludf.DUMMYFUNCTION("""COMPUTED_VALUE"""),2.0)</f>
        <v>2</v>
      </c>
    </row>
    <row r="5036">
      <c r="A5036" s="178" t="str">
        <f>IFERROR(__xludf.DUMMYFUNCTION("""COMPUTED_VALUE"""),"ITBISA-IC-L7805CV-TO220")</f>
        <v>ITBISA-IC-L7805CV-TO220</v>
      </c>
      <c r="B5036" s="266">
        <f>IFERROR(__xludf.DUMMYFUNCTION("""COMPUTED_VALUE"""),45117.0)</f>
        <v>45117</v>
      </c>
      <c r="C5036" s="266" t="str">
        <f>IFERROR(__xludf.DUMMYFUNCTION("""COMPUTED_VALUE"""),"KYAI KONTONG")</f>
        <v>KYAI KONTONG</v>
      </c>
      <c r="D5036" s="186">
        <f>IFERROR(__xludf.DUMMYFUNCTION("""COMPUTED_VALUE"""),8.0)</f>
        <v>8</v>
      </c>
    </row>
    <row r="5037">
      <c r="A5037" s="178" t="str">
        <f>IFERROR(__xludf.DUMMYFUNCTION("""COMPUTED_VALUE"""),"ITBISA-IC-L7805CV-TO220")</f>
        <v>ITBISA-IC-L7805CV-TO220</v>
      </c>
      <c r="B5037" s="266">
        <f>IFERROR(__xludf.DUMMYFUNCTION("""COMPUTED_VALUE"""),45119.0)</f>
        <v>45119</v>
      </c>
      <c r="C5037" s="266" t="str">
        <f>IFERROR(__xludf.DUMMYFUNCTION("""COMPUTED_VALUE"""),"KYAI KONTONG")</f>
        <v>KYAI KONTONG</v>
      </c>
      <c r="D5037" s="186">
        <f>IFERROR(__xludf.DUMMYFUNCTION("""COMPUTED_VALUE"""),4.0)</f>
        <v>4</v>
      </c>
    </row>
    <row r="5038">
      <c r="A5038" s="178" t="str">
        <f>IFERROR(__xludf.DUMMYFUNCTION("""COMPUTED_VALUE"""),"ITBISA-IC-L7805CV-TO220")</f>
        <v>ITBISA-IC-L7805CV-TO220</v>
      </c>
      <c r="B5038" s="266">
        <f>IFERROR(__xludf.DUMMYFUNCTION("""COMPUTED_VALUE"""),45119.0)</f>
        <v>45119</v>
      </c>
      <c r="C5038" s="266" t="str">
        <f>IFERROR(__xludf.DUMMYFUNCTION("""COMPUTED_VALUE"""),"KYAI KONTONG")</f>
        <v>KYAI KONTONG</v>
      </c>
      <c r="D5038" s="186">
        <f>IFERROR(__xludf.DUMMYFUNCTION("""COMPUTED_VALUE"""),10.0)</f>
        <v>10</v>
      </c>
    </row>
    <row r="5039">
      <c r="A5039" s="178" t="str">
        <f>IFERROR(__xludf.DUMMYFUNCTION("""COMPUTED_VALUE"""),"ITBISA-IC-L7805CV-TO220")</f>
        <v>ITBISA-IC-L7805CV-TO220</v>
      </c>
      <c r="B5039" s="266">
        <f>IFERROR(__xludf.DUMMYFUNCTION("""COMPUTED_VALUE"""),45120.0)</f>
        <v>45120</v>
      </c>
      <c r="C5039" s="266" t="str">
        <f>IFERROR(__xludf.DUMMYFUNCTION("""COMPUTED_VALUE"""),"KYAI KONTONG")</f>
        <v>KYAI KONTONG</v>
      </c>
      <c r="D5039" s="186">
        <f>IFERROR(__xludf.DUMMYFUNCTION("""COMPUTED_VALUE"""),5.0)</f>
        <v>5</v>
      </c>
    </row>
    <row r="5040">
      <c r="A5040" s="178" t="str">
        <f>IFERROR(__xludf.DUMMYFUNCTION("""COMPUTED_VALUE"""),"ITBISA-IC-L7805CV-TO220")</f>
        <v>ITBISA-IC-L7805CV-TO220</v>
      </c>
      <c r="B5040" s="266">
        <f>IFERROR(__xludf.DUMMYFUNCTION("""COMPUTED_VALUE"""),45121.0)</f>
        <v>45121</v>
      </c>
      <c r="C5040" s="266" t="str">
        <f>IFERROR(__xludf.DUMMYFUNCTION("""COMPUTED_VALUE"""),"KYAI KONTONG")</f>
        <v>KYAI KONTONG</v>
      </c>
      <c r="D5040" s="186">
        <f>IFERROR(__xludf.DUMMYFUNCTION("""COMPUTED_VALUE"""),5.0)</f>
        <v>5</v>
      </c>
    </row>
    <row r="5041">
      <c r="A5041" s="178" t="str">
        <f>IFERROR(__xludf.DUMMYFUNCTION("""COMPUTED_VALUE"""),"ITBISA-IC-L7805CV-TO220")</f>
        <v>ITBISA-IC-L7805CV-TO220</v>
      </c>
      <c r="B5041" s="266">
        <f>IFERROR(__xludf.DUMMYFUNCTION("""COMPUTED_VALUE"""),45125.0)</f>
        <v>45125</v>
      </c>
      <c r="C5041" s="266" t="str">
        <f>IFERROR(__xludf.DUMMYFUNCTION("""COMPUTED_VALUE"""),"KYAI KONTONG")</f>
        <v>KYAI KONTONG</v>
      </c>
      <c r="D5041" s="186">
        <f>IFERROR(__xludf.DUMMYFUNCTION("""COMPUTED_VALUE"""),3.0)</f>
        <v>3</v>
      </c>
    </row>
    <row r="5042">
      <c r="A5042" s="178" t="str">
        <f>IFERROR(__xludf.DUMMYFUNCTION("""COMPUTED_VALUE"""),"ITBISA-IC-L7805CV-TO220")</f>
        <v>ITBISA-IC-L7805CV-TO220</v>
      </c>
      <c r="B5042" s="266">
        <f>IFERROR(__xludf.DUMMYFUNCTION("""COMPUTED_VALUE"""),45127.0)</f>
        <v>45127</v>
      </c>
      <c r="C5042" s="266" t="str">
        <f>IFERROR(__xludf.DUMMYFUNCTION("""COMPUTED_VALUE"""),"KYAI KONTONG")</f>
        <v>KYAI KONTONG</v>
      </c>
      <c r="D5042" s="186">
        <f>IFERROR(__xludf.DUMMYFUNCTION("""COMPUTED_VALUE"""),25.0)</f>
        <v>25</v>
      </c>
    </row>
    <row r="5043">
      <c r="A5043" s="178" t="str">
        <f>IFERROR(__xludf.DUMMYFUNCTION("""COMPUTED_VALUE"""),"ITBISA-IC-L7805CV-TO220")</f>
        <v>ITBISA-IC-L7805CV-TO220</v>
      </c>
      <c r="B5043" s="266">
        <f>IFERROR(__xludf.DUMMYFUNCTION("""COMPUTED_VALUE"""),45131.0)</f>
        <v>45131</v>
      </c>
      <c r="C5043" s="266" t="str">
        <f>IFERROR(__xludf.DUMMYFUNCTION("""COMPUTED_VALUE"""),"KYAI KONTONG")</f>
        <v>KYAI KONTONG</v>
      </c>
      <c r="D5043" s="186">
        <f>IFERROR(__xludf.DUMMYFUNCTION("""COMPUTED_VALUE"""),50.0)</f>
        <v>50</v>
      </c>
    </row>
    <row r="5044">
      <c r="A5044" s="178" t="str">
        <f>IFERROR(__xludf.DUMMYFUNCTION("""COMPUTED_VALUE"""),"ITBISA-IC-L7805CV-TO220")</f>
        <v>ITBISA-IC-L7805CV-TO220</v>
      </c>
      <c r="B5044" s="266">
        <f>IFERROR(__xludf.DUMMYFUNCTION("""COMPUTED_VALUE"""),45131.0)</f>
        <v>45131</v>
      </c>
      <c r="C5044" s="266" t="str">
        <f>IFERROR(__xludf.DUMMYFUNCTION("""COMPUTED_VALUE"""),"KYAI KONTONG")</f>
        <v>KYAI KONTONG</v>
      </c>
      <c r="D5044" s="186">
        <f>IFERROR(__xludf.DUMMYFUNCTION("""COMPUTED_VALUE"""),50.0)</f>
        <v>50</v>
      </c>
    </row>
    <row r="5045">
      <c r="A5045" s="178" t="str">
        <f>IFERROR(__xludf.DUMMYFUNCTION("""COMPUTED_VALUE"""),"ITBISA-IC-L7805CV-TO220")</f>
        <v>ITBISA-IC-L7805CV-TO220</v>
      </c>
      <c r="B5045" s="266">
        <f>IFERROR(__xludf.DUMMYFUNCTION("""COMPUTED_VALUE"""),45139.0)</f>
        <v>45139</v>
      </c>
      <c r="C5045" s="266" t="str">
        <f>IFERROR(__xludf.DUMMYFUNCTION("""COMPUTED_VALUE"""),"KYAI KONTONG")</f>
        <v>KYAI KONTONG</v>
      </c>
      <c r="D5045" s="186">
        <f>IFERROR(__xludf.DUMMYFUNCTION("""COMPUTED_VALUE"""),7.0)</f>
        <v>7</v>
      </c>
    </row>
    <row r="5046">
      <c r="A5046" s="178" t="str">
        <f>IFERROR(__xludf.DUMMYFUNCTION("""COMPUTED_VALUE"""),"ITBISA-IC-L7805CV-TO220")</f>
        <v>ITBISA-IC-L7805CV-TO220</v>
      </c>
      <c r="B5046" s="266">
        <f>IFERROR(__xludf.DUMMYFUNCTION("""COMPUTED_VALUE"""),45140.0)</f>
        <v>45140</v>
      </c>
      <c r="C5046" s="266" t="str">
        <f>IFERROR(__xludf.DUMMYFUNCTION("""COMPUTED_VALUE"""),"KYAI KONTONG")</f>
        <v>KYAI KONTONG</v>
      </c>
      <c r="D5046" s="186">
        <f>IFERROR(__xludf.DUMMYFUNCTION("""COMPUTED_VALUE"""),82.0)</f>
        <v>82</v>
      </c>
    </row>
    <row r="5047">
      <c r="A5047" s="178" t="str">
        <f>IFERROR(__xludf.DUMMYFUNCTION("""COMPUTED_VALUE"""),"ITBISA-IC-L7805CV-TO220")</f>
        <v>ITBISA-IC-L7805CV-TO220</v>
      </c>
      <c r="B5047" s="266">
        <f>IFERROR(__xludf.DUMMYFUNCTION("""COMPUTED_VALUE"""),45140.0)</f>
        <v>45140</v>
      </c>
      <c r="C5047" s="266" t="str">
        <f>IFERROR(__xludf.DUMMYFUNCTION("""COMPUTED_VALUE"""),"KYAI KONTONG")</f>
        <v>KYAI KONTONG</v>
      </c>
      <c r="D5047" s="186">
        <f>IFERROR(__xludf.DUMMYFUNCTION("""COMPUTED_VALUE"""),100.0)</f>
        <v>100</v>
      </c>
    </row>
    <row r="5048">
      <c r="A5048" s="178" t="str">
        <f>IFERROR(__xludf.DUMMYFUNCTION("""COMPUTED_VALUE"""),"ITBISA-IC-L7805CV-TO220")</f>
        <v>ITBISA-IC-L7805CV-TO220</v>
      </c>
      <c r="B5048" s="266">
        <f>IFERROR(__xludf.DUMMYFUNCTION("""COMPUTED_VALUE"""),45151.0)</f>
        <v>45151</v>
      </c>
      <c r="C5048" s="266" t="str">
        <f>IFERROR(__xludf.DUMMYFUNCTION("""COMPUTED_VALUE"""),"KYAI KONTONG")</f>
        <v>KYAI KONTONG</v>
      </c>
      <c r="D5048" s="186">
        <f>IFERROR(__xludf.DUMMYFUNCTION("""COMPUTED_VALUE"""),25.0)</f>
        <v>25</v>
      </c>
    </row>
    <row r="5049">
      <c r="A5049" s="178" t="str">
        <f>IFERROR(__xludf.DUMMYFUNCTION("""COMPUTED_VALUE"""),"ITBISA-IC-L7805CV-TO220")</f>
        <v>ITBISA-IC-L7805CV-TO220</v>
      </c>
      <c r="B5049" s="266">
        <f>IFERROR(__xludf.DUMMYFUNCTION("""COMPUTED_VALUE"""),45152.0)</f>
        <v>45152</v>
      </c>
      <c r="C5049" s="266" t="str">
        <f>IFERROR(__xludf.DUMMYFUNCTION("""COMPUTED_VALUE"""),"KYAI KONTONG")</f>
        <v>KYAI KONTONG</v>
      </c>
      <c r="D5049" s="186">
        <f>IFERROR(__xludf.DUMMYFUNCTION("""COMPUTED_VALUE"""),50.0)</f>
        <v>50</v>
      </c>
    </row>
    <row r="5050">
      <c r="A5050" s="178" t="str">
        <f>IFERROR(__xludf.DUMMYFUNCTION("""COMPUTED_VALUE"""),"ITBISA-IC-L7805CV-TO220")</f>
        <v>ITBISA-IC-L7805CV-TO220</v>
      </c>
      <c r="B5050" s="266">
        <f>IFERROR(__xludf.DUMMYFUNCTION("""COMPUTED_VALUE"""),45154.0)</f>
        <v>45154</v>
      </c>
      <c r="C5050" s="266" t="str">
        <f>IFERROR(__xludf.DUMMYFUNCTION("""COMPUTED_VALUE"""),"KYAI KONTONG")</f>
        <v>KYAI KONTONG</v>
      </c>
      <c r="D5050" s="186">
        <f>IFERROR(__xludf.DUMMYFUNCTION("""COMPUTED_VALUE"""),6.0)</f>
        <v>6</v>
      </c>
    </row>
    <row r="5051">
      <c r="A5051" s="178" t="str">
        <f>IFERROR(__xludf.DUMMYFUNCTION("""COMPUTED_VALUE"""),"ITBISA-IC-L7805CV-TO220")</f>
        <v>ITBISA-IC-L7805CV-TO220</v>
      </c>
      <c r="B5051" s="266">
        <f>IFERROR(__xludf.DUMMYFUNCTION("""COMPUTED_VALUE"""),45154.0)</f>
        <v>45154</v>
      </c>
      <c r="C5051" s="266" t="str">
        <f>IFERROR(__xludf.DUMMYFUNCTION("""COMPUTED_VALUE"""),"KYAI KONTONG")</f>
        <v>KYAI KONTONG</v>
      </c>
      <c r="D5051" s="186">
        <f>IFERROR(__xludf.DUMMYFUNCTION("""COMPUTED_VALUE"""),15.0)</f>
        <v>15</v>
      </c>
    </row>
    <row r="5052">
      <c r="A5052" s="178" t="str">
        <f>IFERROR(__xludf.DUMMYFUNCTION("""COMPUTED_VALUE"""),"ITBISA-IC-L7805CV-TO220")</f>
        <v>ITBISA-IC-L7805CV-TO220</v>
      </c>
      <c r="B5052" s="266">
        <f>IFERROR(__xludf.DUMMYFUNCTION("""COMPUTED_VALUE"""),45154.0)</f>
        <v>45154</v>
      </c>
      <c r="C5052" s="266" t="str">
        <f>IFERROR(__xludf.DUMMYFUNCTION("""COMPUTED_VALUE"""),"KYAI KONTONG")</f>
        <v>KYAI KONTONG</v>
      </c>
      <c r="D5052" s="186">
        <f>IFERROR(__xludf.DUMMYFUNCTION("""COMPUTED_VALUE"""),200.0)</f>
        <v>200</v>
      </c>
    </row>
    <row r="5053">
      <c r="A5053" s="178" t="str">
        <f>IFERROR(__xludf.DUMMYFUNCTION("""COMPUTED_VALUE"""),"ITBISA-IC-L7805CV-TO220")</f>
        <v>ITBISA-IC-L7805CV-TO220</v>
      </c>
      <c r="B5053" s="266">
        <f>IFERROR(__xludf.DUMMYFUNCTION("""COMPUTED_VALUE"""),45155.0)</f>
        <v>45155</v>
      </c>
      <c r="C5053" s="266" t="str">
        <f>IFERROR(__xludf.DUMMYFUNCTION("""COMPUTED_VALUE"""),"KYAI KONTONG")</f>
        <v>KYAI KONTONG</v>
      </c>
      <c r="D5053" s="186">
        <f>IFERROR(__xludf.DUMMYFUNCTION("""COMPUTED_VALUE"""),50.0)</f>
        <v>50</v>
      </c>
    </row>
    <row r="5054">
      <c r="A5054" s="178" t="str">
        <f>IFERROR(__xludf.DUMMYFUNCTION("""COMPUTED_VALUE"""),"ITBISA-IC-L7805CV-TO220")</f>
        <v>ITBISA-IC-L7805CV-TO220</v>
      </c>
      <c r="B5054" s="266">
        <f>IFERROR(__xludf.DUMMYFUNCTION("""COMPUTED_VALUE"""),45156.0)</f>
        <v>45156</v>
      </c>
      <c r="C5054" s="266" t="str">
        <f>IFERROR(__xludf.DUMMYFUNCTION("""COMPUTED_VALUE"""),"KYAI KONTONG")</f>
        <v>KYAI KONTONG</v>
      </c>
      <c r="D5054" s="186">
        <f>IFERROR(__xludf.DUMMYFUNCTION("""COMPUTED_VALUE"""),5.0)</f>
        <v>5</v>
      </c>
    </row>
    <row r="5055">
      <c r="A5055" s="178" t="str">
        <f>IFERROR(__xludf.DUMMYFUNCTION("""COMPUTED_VALUE"""),"ITBISA-IC-L7805CV-TO220")</f>
        <v>ITBISA-IC-L7805CV-TO220</v>
      </c>
      <c r="B5055" s="266">
        <f>IFERROR(__xludf.DUMMYFUNCTION("""COMPUTED_VALUE"""),45158.0)</f>
        <v>45158</v>
      </c>
      <c r="C5055" s="266" t="str">
        <f>IFERROR(__xludf.DUMMYFUNCTION("""COMPUTED_VALUE"""),"KYAI KONTONG")</f>
        <v>KYAI KONTONG</v>
      </c>
      <c r="D5055" s="186">
        <f>IFERROR(__xludf.DUMMYFUNCTION("""COMPUTED_VALUE"""),5.0)</f>
        <v>5</v>
      </c>
    </row>
    <row r="5056">
      <c r="A5056" s="178" t="str">
        <f>IFERROR(__xludf.DUMMYFUNCTION("""COMPUTED_VALUE"""),"ITBISA-IC-L7805CV-TO220")</f>
        <v>ITBISA-IC-L7805CV-TO220</v>
      </c>
      <c r="B5056" s="266">
        <f>IFERROR(__xludf.DUMMYFUNCTION("""COMPUTED_VALUE"""),45158.0)</f>
        <v>45158</v>
      </c>
      <c r="C5056" s="266" t="str">
        <f>IFERROR(__xludf.DUMMYFUNCTION("""COMPUTED_VALUE"""),"KYAI KONTONG")</f>
        <v>KYAI KONTONG</v>
      </c>
      <c r="D5056" s="186">
        <f>IFERROR(__xludf.DUMMYFUNCTION("""COMPUTED_VALUE"""),100.0)</f>
        <v>100</v>
      </c>
    </row>
    <row r="5057">
      <c r="A5057" s="178" t="str">
        <f>IFERROR(__xludf.DUMMYFUNCTION("""COMPUTED_VALUE"""),"ITBISA-IC-L7805CV-TO220")</f>
        <v>ITBISA-IC-L7805CV-TO220</v>
      </c>
      <c r="B5057" s="266">
        <f>IFERROR(__xludf.DUMMYFUNCTION("""COMPUTED_VALUE"""),45163.0)</f>
        <v>45163</v>
      </c>
      <c r="C5057" s="266" t="str">
        <f>IFERROR(__xludf.DUMMYFUNCTION("""COMPUTED_VALUE"""),"KYAI KONTONG")</f>
        <v>KYAI KONTONG</v>
      </c>
      <c r="D5057" s="186">
        <f>IFERROR(__xludf.DUMMYFUNCTION("""COMPUTED_VALUE"""),50.0)</f>
        <v>50</v>
      </c>
    </row>
    <row r="5058">
      <c r="A5058" s="178" t="str">
        <f>IFERROR(__xludf.DUMMYFUNCTION("""COMPUTED_VALUE"""),"ITBISA-IC-L7805CV-TO220")</f>
        <v>ITBISA-IC-L7805CV-TO220</v>
      </c>
      <c r="B5058" s="266">
        <f>IFERROR(__xludf.DUMMYFUNCTION("""COMPUTED_VALUE"""),45165.0)</f>
        <v>45165</v>
      </c>
      <c r="C5058" s="266" t="str">
        <f>IFERROR(__xludf.DUMMYFUNCTION("""COMPUTED_VALUE"""),"KYAI KONTONG")</f>
        <v>KYAI KONTONG</v>
      </c>
      <c r="D5058" s="186">
        <f>IFERROR(__xludf.DUMMYFUNCTION("""COMPUTED_VALUE"""),20.0)</f>
        <v>20</v>
      </c>
    </row>
    <row r="5059">
      <c r="A5059" s="178" t="str">
        <f>IFERROR(__xludf.DUMMYFUNCTION("""COMPUTED_VALUE"""),"ITBISA-IC-L7805CV-TO220")</f>
        <v>ITBISA-IC-L7805CV-TO220</v>
      </c>
      <c r="B5059" s="266">
        <f>IFERROR(__xludf.DUMMYFUNCTION("""COMPUTED_VALUE"""),45166.0)</f>
        <v>45166</v>
      </c>
      <c r="C5059" s="266" t="str">
        <f>IFERROR(__xludf.DUMMYFUNCTION("""COMPUTED_VALUE"""),"KYAI KONTONG")</f>
        <v>KYAI KONTONG</v>
      </c>
      <c r="D5059" s="186">
        <f>IFERROR(__xludf.DUMMYFUNCTION("""COMPUTED_VALUE"""),50.0)</f>
        <v>50</v>
      </c>
    </row>
    <row r="5060">
      <c r="A5060" s="178" t="str">
        <f>IFERROR(__xludf.DUMMYFUNCTION("""COMPUTED_VALUE"""),"ITBISA-IC-L7805CV-TO220")</f>
        <v>ITBISA-IC-L7805CV-TO220</v>
      </c>
      <c r="B5060" s="266">
        <f>IFERROR(__xludf.DUMMYFUNCTION("""COMPUTED_VALUE"""),45167.0)</f>
        <v>45167</v>
      </c>
      <c r="C5060" s="266" t="str">
        <f>IFERROR(__xludf.DUMMYFUNCTION("""COMPUTED_VALUE"""),"KYAI KONTONG")</f>
        <v>KYAI KONTONG</v>
      </c>
      <c r="D5060" s="186">
        <f>IFERROR(__xludf.DUMMYFUNCTION("""COMPUTED_VALUE"""),15.0)</f>
        <v>15</v>
      </c>
    </row>
    <row r="5061">
      <c r="A5061" s="178" t="str">
        <f>IFERROR(__xludf.DUMMYFUNCTION("""COMPUTED_VALUE"""),"ITBISA-IC-L7805CV-TO220")</f>
        <v>ITBISA-IC-L7805CV-TO220</v>
      </c>
      <c r="B5061" s="266">
        <f>IFERROR(__xludf.DUMMYFUNCTION("""COMPUTED_VALUE"""),45168.0)</f>
        <v>45168</v>
      </c>
      <c r="C5061" s="266" t="str">
        <f>IFERROR(__xludf.DUMMYFUNCTION("""COMPUTED_VALUE"""),"KYAI KONTONG")</f>
        <v>KYAI KONTONG</v>
      </c>
      <c r="D5061" s="186">
        <f>IFERROR(__xludf.DUMMYFUNCTION("""COMPUTED_VALUE"""),15.0)</f>
        <v>15</v>
      </c>
    </row>
    <row r="5062">
      <c r="A5062" s="178" t="str">
        <f>IFERROR(__xludf.DUMMYFUNCTION("""COMPUTED_VALUE"""),"ITBISA-IC-L7805CV-TO220")</f>
        <v>ITBISA-IC-L7805CV-TO220</v>
      </c>
      <c r="B5062" s="266">
        <f>IFERROR(__xludf.DUMMYFUNCTION("""COMPUTED_VALUE"""),45169.0)</f>
        <v>45169</v>
      </c>
      <c r="C5062" s="266" t="str">
        <f>IFERROR(__xludf.DUMMYFUNCTION("""COMPUTED_VALUE"""),"KYAI KONTONG")</f>
        <v>KYAI KONTONG</v>
      </c>
      <c r="D5062" s="186">
        <f>IFERROR(__xludf.DUMMYFUNCTION("""COMPUTED_VALUE"""),2.0)</f>
        <v>2</v>
      </c>
    </row>
    <row r="5063">
      <c r="A5063" s="178" t="str">
        <f>IFERROR(__xludf.DUMMYFUNCTION("""COMPUTED_VALUE"""),"ITBISA-IC-L7805CV-TO220")</f>
        <v>ITBISA-IC-L7805CV-TO220</v>
      </c>
      <c r="B5063" s="266">
        <f>IFERROR(__xludf.DUMMYFUNCTION("""COMPUTED_VALUE"""),45169.0)</f>
        <v>45169</v>
      </c>
      <c r="C5063" s="266" t="str">
        <f>IFERROR(__xludf.DUMMYFUNCTION("""COMPUTED_VALUE"""),"KYAI KONTONG")</f>
        <v>KYAI KONTONG</v>
      </c>
      <c r="D5063" s="186">
        <f>IFERROR(__xludf.DUMMYFUNCTION("""COMPUTED_VALUE"""),100.0)</f>
        <v>100</v>
      </c>
    </row>
    <row r="5064">
      <c r="A5064" s="178" t="str">
        <f>IFERROR(__xludf.DUMMYFUNCTION("""COMPUTED_VALUE"""),"ITBISA-IC-L7805CV-TO220")</f>
        <v>ITBISA-IC-L7805CV-TO220</v>
      </c>
      <c r="B5064" s="266">
        <f>IFERROR(__xludf.DUMMYFUNCTION("""COMPUTED_VALUE"""),45173.0)</f>
        <v>45173</v>
      </c>
      <c r="C5064" s="266" t="str">
        <f>IFERROR(__xludf.DUMMYFUNCTION("""COMPUTED_VALUE"""),"KYAI KONTONG")</f>
        <v>KYAI KONTONG</v>
      </c>
      <c r="D5064" s="186">
        <f>IFERROR(__xludf.DUMMYFUNCTION("""COMPUTED_VALUE"""),1.0)</f>
        <v>1</v>
      </c>
    </row>
    <row r="5065">
      <c r="A5065" s="178" t="str">
        <f>IFERROR(__xludf.DUMMYFUNCTION("""COMPUTED_VALUE"""),"ITBISA-IC-L7805CV-TO220")</f>
        <v>ITBISA-IC-L7805CV-TO220</v>
      </c>
      <c r="B5065" s="266">
        <f>IFERROR(__xludf.DUMMYFUNCTION("""COMPUTED_VALUE"""),45174.0)</f>
        <v>45174</v>
      </c>
      <c r="C5065" s="266" t="str">
        <f>IFERROR(__xludf.DUMMYFUNCTION("""COMPUTED_VALUE"""),"KYAI KONTONG")</f>
        <v>KYAI KONTONG</v>
      </c>
      <c r="D5065" s="186">
        <f>IFERROR(__xludf.DUMMYFUNCTION("""COMPUTED_VALUE"""),10.0)</f>
        <v>10</v>
      </c>
    </row>
    <row r="5066">
      <c r="A5066" s="178" t="str">
        <f>IFERROR(__xludf.DUMMYFUNCTION("""COMPUTED_VALUE"""),"ITBISA-IC-L7805CV-TO220")</f>
        <v>ITBISA-IC-L7805CV-TO220</v>
      </c>
      <c r="B5066" s="266">
        <f>IFERROR(__xludf.DUMMYFUNCTION("""COMPUTED_VALUE"""),45174.0)</f>
        <v>45174</v>
      </c>
      <c r="C5066" s="266" t="str">
        <f>IFERROR(__xludf.DUMMYFUNCTION("""COMPUTED_VALUE"""),"KYAI KONTONG")</f>
        <v>KYAI KONTONG</v>
      </c>
      <c r="D5066" s="186">
        <f>IFERROR(__xludf.DUMMYFUNCTION("""COMPUTED_VALUE"""),20.0)</f>
        <v>20</v>
      </c>
    </row>
    <row r="5067">
      <c r="A5067" s="178" t="str">
        <f>IFERROR(__xludf.DUMMYFUNCTION("""COMPUTED_VALUE"""),"ITBISA-IC-L7805CV-TO220")</f>
        <v>ITBISA-IC-L7805CV-TO220</v>
      </c>
      <c r="B5067" s="266">
        <f>IFERROR(__xludf.DUMMYFUNCTION("""COMPUTED_VALUE"""),45175.0)</f>
        <v>45175</v>
      </c>
      <c r="C5067" s="266" t="str">
        <f>IFERROR(__xludf.DUMMYFUNCTION("""COMPUTED_VALUE"""),"KERTASARI CIAMIS")</f>
        <v>KERTASARI CIAMIS</v>
      </c>
      <c r="D5067" s="186">
        <f>IFERROR(__xludf.DUMMYFUNCTION("""COMPUTED_VALUE"""),2.0)</f>
        <v>2</v>
      </c>
    </row>
    <row r="5068">
      <c r="A5068" s="178" t="str">
        <f>IFERROR(__xludf.DUMMYFUNCTION("""COMPUTED_VALUE"""),"ITBISA-IC-L7805CV-TO220")</f>
        <v>ITBISA-IC-L7805CV-TO220</v>
      </c>
      <c r="B5068" s="266">
        <f>IFERROR(__xludf.DUMMYFUNCTION("""COMPUTED_VALUE"""),45176.0)</f>
        <v>45176</v>
      </c>
      <c r="C5068" s="266" t="str">
        <f>IFERROR(__xludf.DUMMYFUNCTION("""COMPUTED_VALUE"""),"KYAI KONTONG")</f>
        <v>KYAI KONTONG</v>
      </c>
      <c r="D5068" s="186">
        <f>IFERROR(__xludf.DUMMYFUNCTION("""COMPUTED_VALUE"""),100.0)</f>
        <v>100</v>
      </c>
    </row>
    <row r="5069">
      <c r="A5069" s="178" t="str">
        <f>IFERROR(__xludf.DUMMYFUNCTION("""COMPUTED_VALUE"""),"ITBISA-IC-L7805CV-TO220")</f>
        <v>ITBISA-IC-L7805CV-TO220</v>
      </c>
      <c r="B5069" s="266">
        <f>IFERROR(__xludf.DUMMYFUNCTION("""COMPUTED_VALUE"""),45177.0)</f>
        <v>45177</v>
      </c>
      <c r="C5069" s="266" t="str">
        <f>IFERROR(__xludf.DUMMYFUNCTION("""COMPUTED_VALUE"""),"KYAI KONTONG")</f>
        <v>KYAI KONTONG</v>
      </c>
      <c r="D5069" s="186">
        <f>IFERROR(__xludf.DUMMYFUNCTION("""COMPUTED_VALUE"""),10.0)</f>
        <v>10</v>
      </c>
    </row>
    <row r="5070">
      <c r="A5070" s="178" t="str">
        <f>IFERROR(__xludf.DUMMYFUNCTION("""COMPUTED_VALUE"""),"ITBISA-IC-L7805CV-TO220")</f>
        <v>ITBISA-IC-L7805CV-TO220</v>
      </c>
      <c r="B5070" s="266">
        <f>IFERROR(__xludf.DUMMYFUNCTION("""COMPUTED_VALUE"""),45178.0)</f>
        <v>45178</v>
      </c>
      <c r="C5070" s="266" t="str">
        <f>IFERROR(__xludf.DUMMYFUNCTION("""COMPUTED_VALUE"""),"KYAI KONTONG")</f>
        <v>KYAI KONTONG</v>
      </c>
      <c r="D5070" s="186">
        <f>IFERROR(__xludf.DUMMYFUNCTION("""COMPUTED_VALUE"""),1.0)</f>
        <v>1</v>
      </c>
    </row>
    <row r="5071">
      <c r="A5071" s="178" t="str">
        <f>IFERROR(__xludf.DUMMYFUNCTION("""COMPUTED_VALUE"""),"ITBISA-IC-L7805CV-TO220")</f>
        <v>ITBISA-IC-L7805CV-TO220</v>
      </c>
      <c r="B5071" s="266">
        <f>IFERROR(__xludf.DUMMYFUNCTION("""COMPUTED_VALUE"""),45178.0)</f>
        <v>45178</v>
      </c>
      <c r="C5071" s="266" t="str">
        <f>IFERROR(__xludf.DUMMYFUNCTION("""COMPUTED_VALUE"""),"KYAI KONTONG")</f>
        <v>KYAI KONTONG</v>
      </c>
      <c r="D5071" s="186">
        <f>IFERROR(__xludf.DUMMYFUNCTION("""COMPUTED_VALUE"""),2.0)</f>
        <v>2</v>
      </c>
    </row>
    <row r="5072">
      <c r="A5072" s="178" t="str">
        <f>IFERROR(__xludf.DUMMYFUNCTION("""COMPUTED_VALUE"""),"ITBISA-IC-L7805CV-TO220")</f>
        <v>ITBISA-IC-L7805CV-TO220</v>
      </c>
      <c r="B5072" s="266">
        <f>IFERROR(__xludf.DUMMYFUNCTION("""COMPUTED_VALUE"""),45178.0)</f>
        <v>45178</v>
      </c>
      <c r="C5072" s="266" t="str">
        <f>IFERROR(__xludf.DUMMYFUNCTION("""COMPUTED_VALUE"""),"KYAI KONTONG")</f>
        <v>KYAI KONTONG</v>
      </c>
      <c r="D5072" s="186">
        <f>IFERROR(__xludf.DUMMYFUNCTION("""COMPUTED_VALUE"""),10.0)</f>
        <v>10</v>
      </c>
    </row>
    <row r="5073">
      <c r="A5073" s="178" t="str">
        <f>IFERROR(__xludf.DUMMYFUNCTION("""COMPUTED_VALUE"""),"ITBISA-IC-L7805CV-TO220")</f>
        <v>ITBISA-IC-L7805CV-TO220</v>
      </c>
      <c r="B5073" s="266">
        <f>IFERROR(__xludf.DUMMYFUNCTION("""COMPUTED_VALUE"""),45178.0)</f>
        <v>45178</v>
      </c>
      <c r="C5073" s="266" t="str">
        <f>IFERROR(__xludf.DUMMYFUNCTION("""COMPUTED_VALUE"""),"KYAI KONTONG")</f>
        <v>KYAI KONTONG</v>
      </c>
      <c r="D5073" s="186">
        <f>IFERROR(__xludf.DUMMYFUNCTION("""COMPUTED_VALUE"""),50.0)</f>
        <v>50</v>
      </c>
    </row>
    <row r="5074">
      <c r="A5074" s="178" t="str">
        <f>IFERROR(__xludf.DUMMYFUNCTION("""COMPUTED_VALUE"""),"ITBISA-IC-L7805CV-TO220")</f>
        <v>ITBISA-IC-L7805CV-TO220</v>
      </c>
      <c r="B5074" s="266">
        <f>IFERROR(__xludf.DUMMYFUNCTION("""COMPUTED_VALUE"""),45178.0)</f>
        <v>45178</v>
      </c>
      <c r="C5074" s="266" t="str">
        <f>IFERROR(__xludf.DUMMYFUNCTION("""COMPUTED_VALUE"""),"KYAI KONTONG")</f>
        <v>KYAI KONTONG</v>
      </c>
      <c r="D5074" s="186">
        <f>IFERROR(__xludf.DUMMYFUNCTION("""COMPUTED_VALUE"""),116.0)</f>
        <v>116</v>
      </c>
    </row>
    <row r="5075">
      <c r="A5075" s="178" t="str">
        <f>IFERROR(__xludf.DUMMYFUNCTION("""COMPUTED_VALUE"""),"ITBISA-IC-L7805CV-TO220")</f>
        <v>ITBISA-IC-L7805CV-TO220</v>
      </c>
      <c r="B5075" s="266">
        <f>IFERROR(__xludf.DUMMYFUNCTION("""COMPUTED_VALUE"""),45178.0)</f>
        <v>45178</v>
      </c>
      <c r="C5075" s="266" t="str">
        <f>IFERROR(__xludf.DUMMYFUNCTION("""COMPUTED_VALUE"""),"KYAI KONTONG")</f>
        <v>KYAI KONTONG</v>
      </c>
      <c r="D5075" s="186">
        <f>IFERROR(__xludf.DUMMYFUNCTION("""COMPUTED_VALUE"""),1000.0)</f>
        <v>1000</v>
      </c>
    </row>
    <row r="5076">
      <c r="A5076" s="178" t="str">
        <f>IFERROR(__xludf.DUMMYFUNCTION("""COMPUTED_VALUE"""),"ITBISA-IC-L7805CV-TO220")</f>
        <v>ITBISA-IC-L7805CV-TO220</v>
      </c>
      <c r="B5076" s="266">
        <f>IFERROR(__xludf.DUMMYFUNCTION("""COMPUTED_VALUE"""),45179.0)</f>
        <v>45179</v>
      </c>
      <c r="C5076" s="266" t="str">
        <f>IFERROR(__xludf.DUMMYFUNCTION("""COMPUTED_VALUE"""),"KYAI KONTONG")</f>
        <v>KYAI KONTONG</v>
      </c>
      <c r="D5076" s="186">
        <f>IFERROR(__xludf.DUMMYFUNCTION("""COMPUTED_VALUE"""),10.0)</f>
        <v>10</v>
      </c>
    </row>
    <row r="5077">
      <c r="A5077" s="178" t="str">
        <f>IFERROR(__xludf.DUMMYFUNCTION("""COMPUTED_VALUE"""),"ITBISA-IC-L7805CV-TO220")</f>
        <v>ITBISA-IC-L7805CV-TO220</v>
      </c>
      <c r="B5077" s="266">
        <f>IFERROR(__xludf.DUMMYFUNCTION("""COMPUTED_VALUE"""),45180.0)</f>
        <v>45180</v>
      </c>
      <c r="C5077" s="266" t="str">
        <f>IFERROR(__xludf.DUMMYFUNCTION("""COMPUTED_VALUE"""),"KYAI KONTONG")</f>
        <v>KYAI KONTONG</v>
      </c>
      <c r="D5077" s="186">
        <f>IFERROR(__xludf.DUMMYFUNCTION("""COMPUTED_VALUE"""),60.0)</f>
        <v>60</v>
      </c>
    </row>
    <row r="5078">
      <c r="A5078" s="178" t="str">
        <f>IFERROR(__xludf.DUMMYFUNCTION("""COMPUTED_VALUE"""),"ITBISA-IC-L7805CV-TO220")</f>
        <v>ITBISA-IC-L7805CV-TO220</v>
      </c>
      <c r="B5078" s="266">
        <f>IFERROR(__xludf.DUMMYFUNCTION("""COMPUTED_VALUE"""),45182.0)</f>
        <v>45182</v>
      </c>
      <c r="C5078" s="266" t="str">
        <f>IFERROR(__xludf.DUMMYFUNCTION("""COMPUTED_VALUE"""),"KYAI KONTONG")</f>
        <v>KYAI KONTONG</v>
      </c>
      <c r="D5078" s="186">
        <f>IFERROR(__xludf.DUMMYFUNCTION("""COMPUTED_VALUE"""),2.0)</f>
        <v>2</v>
      </c>
    </row>
    <row r="5079">
      <c r="A5079" s="178" t="str">
        <f>IFERROR(__xludf.DUMMYFUNCTION("""COMPUTED_VALUE"""),"ITBISA-IC-L7805CV-TO220")</f>
        <v>ITBISA-IC-L7805CV-TO220</v>
      </c>
      <c r="B5079" s="266">
        <f>IFERROR(__xludf.DUMMYFUNCTION("""COMPUTED_VALUE"""),45183.0)</f>
        <v>45183</v>
      </c>
      <c r="C5079" s="266" t="str">
        <f>IFERROR(__xludf.DUMMYFUNCTION("""COMPUTED_VALUE"""),"KYAI KONTONG")</f>
        <v>KYAI KONTONG</v>
      </c>
      <c r="D5079" s="186">
        <f>IFERROR(__xludf.DUMMYFUNCTION("""COMPUTED_VALUE"""),200.0)</f>
        <v>200</v>
      </c>
    </row>
    <row r="5080">
      <c r="A5080" s="178" t="str">
        <f>IFERROR(__xludf.DUMMYFUNCTION("""COMPUTED_VALUE"""),"ITBISA-IC-L7805CV-TO220")</f>
        <v>ITBISA-IC-L7805CV-TO220</v>
      </c>
      <c r="B5080" s="266">
        <f>IFERROR(__xludf.DUMMYFUNCTION("""COMPUTED_VALUE"""),45184.0)</f>
        <v>45184</v>
      </c>
      <c r="C5080" s="266" t="str">
        <f>IFERROR(__xludf.DUMMYFUNCTION("""COMPUTED_VALUE"""),"KYAI KONTONG")</f>
        <v>KYAI KONTONG</v>
      </c>
      <c r="D5080" s="186">
        <f>IFERROR(__xludf.DUMMYFUNCTION("""COMPUTED_VALUE"""),25.0)</f>
        <v>25</v>
      </c>
    </row>
    <row r="5081">
      <c r="A5081" s="178" t="str">
        <f>IFERROR(__xludf.DUMMYFUNCTION("""COMPUTED_VALUE"""),"ITBISA-IC-L7805CV-TO220")</f>
        <v>ITBISA-IC-L7805CV-TO220</v>
      </c>
      <c r="B5081" s="266">
        <f>IFERROR(__xludf.DUMMYFUNCTION("""COMPUTED_VALUE"""),45184.0)</f>
        <v>45184</v>
      </c>
      <c r="C5081" s="266" t="str">
        <f>IFERROR(__xludf.DUMMYFUNCTION("""COMPUTED_VALUE"""),"KYAI KONTONG")</f>
        <v>KYAI KONTONG</v>
      </c>
      <c r="D5081" s="186">
        <f>IFERROR(__xludf.DUMMYFUNCTION("""COMPUTED_VALUE"""),30.0)</f>
        <v>30</v>
      </c>
    </row>
    <row r="5082">
      <c r="A5082" s="178" t="str">
        <f>IFERROR(__xludf.DUMMYFUNCTION("""COMPUTED_VALUE"""),"ITBISA-IC-L7805CV-TO220")</f>
        <v>ITBISA-IC-L7805CV-TO220</v>
      </c>
      <c r="B5082" s="266">
        <f>IFERROR(__xludf.DUMMYFUNCTION("""COMPUTED_VALUE"""),45186.0)</f>
        <v>45186</v>
      </c>
      <c r="C5082" s="266" t="str">
        <f>IFERROR(__xludf.DUMMYFUNCTION("""COMPUTED_VALUE"""),"KYAI KONTONG")</f>
        <v>KYAI KONTONG</v>
      </c>
      <c r="D5082" s="186">
        <f>IFERROR(__xludf.DUMMYFUNCTION("""COMPUTED_VALUE"""),2.0)</f>
        <v>2</v>
      </c>
    </row>
    <row r="5083">
      <c r="A5083" s="178" t="str">
        <f>IFERROR(__xludf.DUMMYFUNCTION("""COMPUTED_VALUE"""),"ITBISA-IC-L7805CV-TO220")</f>
        <v>ITBISA-IC-L7805CV-TO220</v>
      </c>
      <c r="B5083" s="266">
        <f>IFERROR(__xludf.DUMMYFUNCTION("""COMPUTED_VALUE"""),45187.0)</f>
        <v>45187</v>
      </c>
      <c r="C5083" s="266" t="str">
        <f>IFERROR(__xludf.DUMMYFUNCTION("""COMPUTED_VALUE"""),"KYAI KONTONG")</f>
        <v>KYAI KONTONG</v>
      </c>
      <c r="D5083" s="186">
        <f>IFERROR(__xludf.DUMMYFUNCTION("""COMPUTED_VALUE"""),200.0)</f>
        <v>200</v>
      </c>
    </row>
    <row r="5084">
      <c r="A5084" s="178" t="str">
        <f>IFERROR(__xludf.DUMMYFUNCTION("""COMPUTED_VALUE"""),"ITBISA-IC-L7805CV-TO220")</f>
        <v>ITBISA-IC-L7805CV-TO220</v>
      </c>
      <c r="B5084" s="266">
        <f>IFERROR(__xludf.DUMMYFUNCTION("""COMPUTED_VALUE"""),45188.0)</f>
        <v>45188</v>
      </c>
      <c r="C5084" s="266" t="str">
        <f>IFERROR(__xludf.DUMMYFUNCTION("""COMPUTED_VALUE"""),"KYAI KONTONG")</f>
        <v>KYAI KONTONG</v>
      </c>
      <c r="D5084" s="186">
        <f>IFERROR(__xludf.DUMMYFUNCTION("""COMPUTED_VALUE"""),5.0)</f>
        <v>5</v>
      </c>
    </row>
    <row r="5085">
      <c r="A5085" s="178" t="str">
        <f>IFERROR(__xludf.DUMMYFUNCTION("""COMPUTED_VALUE"""),"ITBISA-IC-L7805CV-TO220")</f>
        <v>ITBISA-IC-L7805CV-TO220</v>
      </c>
      <c r="B5085" s="266">
        <f>IFERROR(__xludf.DUMMYFUNCTION("""COMPUTED_VALUE"""),45188.0)</f>
        <v>45188</v>
      </c>
      <c r="C5085" s="266" t="str">
        <f>IFERROR(__xludf.DUMMYFUNCTION("""COMPUTED_VALUE"""),"KYAI KONTONG")</f>
        <v>KYAI KONTONG</v>
      </c>
      <c r="D5085" s="186">
        <f>IFERROR(__xludf.DUMMYFUNCTION("""COMPUTED_VALUE"""),5.0)</f>
        <v>5</v>
      </c>
    </row>
    <row r="5086">
      <c r="A5086" s="178" t="str">
        <f>IFERROR(__xludf.DUMMYFUNCTION("""COMPUTED_VALUE"""),"ITBISA-IC-L7805CV-TO220")</f>
        <v>ITBISA-IC-L7805CV-TO220</v>
      </c>
      <c r="B5086" s="266">
        <f>IFERROR(__xludf.DUMMYFUNCTION("""COMPUTED_VALUE"""),45189.0)</f>
        <v>45189</v>
      </c>
      <c r="C5086" s="266" t="str">
        <f>IFERROR(__xludf.DUMMYFUNCTION("""COMPUTED_VALUE"""),"KYAI KONTONG")</f>
        <v>KYAI KONTONG</v>
      </c>
      <c r="D5086" s="186">
        <f>IFERROR(__xludf.DUMMYFUNCTION("""COMPUTED_VALUE"""),25.0)</f>
        <v>25</v>
      </c>
    </row>
    <row r="5087">
      <c r="A5087" s="178" t="str">
        <f>IFERROR(__xludf.DUMMYFUNCTION("""COMPUTED_VALUE"""),"ITBISA-IC-L7805CV-TO220")</f>
        <v>ITBISA-IC-L7805CV-TO220</v>
      </c>
      <c r="B5087" s="266">
        <f>IFERROR(__xludf.DUMMYFUNCTION("""COMPUTED_VALUE"""),45189.0)</f>
        <v>45189</v>
      </c>
      <c r="C5087" s="266" t="str">
        <f>IFERROR(__xludf.DUMMYFUNCTION("""COMPUTED_VALUE"""),"KYAI KONTONG")</f>
        <v>KYAI KONTONG</v>
      </c>
      <c r="D5087" s="186">
        <f>IFERROR(__xludf.DUMMYFUNCTION("""COMPUTED_VALUE"""),30.0)</f>
        <v>30</v>
      </c>
    </row>
    <row r="5088">
      <c r="A5088" s="178" t="str">
        <f>IFERROR(__xludf.DUMMYFUNCTION("""COMPUTED_VALUE"""),"ITBISA-IC-L7805CV-TO220")</f>
        <v>ITBISA-IC-L7805CV-TO220</v>
      </c>
      <c r="B5088" s="266">
        <f>IFERROR(__xludf.DUMMYFUNCTION("""COMPUTED_VALUE"""),45190.0)</f>
        <v>45190</v>
      </c>
      <c r="C5088" s="266" t="str">
        <f>IFERROR(__xludf.DUMMYFUNCTION("""COMPUTED_VALUE"""),"KYAI KONTONG")</f>
        <v>KYAI KONTONG</v>
      </c>
      <c r="D5088" s="186">
        <f>IFERROR(__xludf.DUMMYFUNCTION("""COMPUTED_VALUE"""),10.0)</f>
        <v>10</v>
      </c>
    </row>
    <row r="5089">
      <c r="A5089" s="178" t="str">
        <f>IFERROR(__xludf.DUMMYFUNCTION("""COMPUTED_VALUE"""),"ITBISA-IC-L7805CV-TO220")</f>
        <v>ITBISA-IC-L7805CV-TO220</v>
      </c>
      <c r="B5089" s="266">
        <f>IFERROR(__xludf.DUMMYFUNCTION("""COMPUTED_VALUE"""),45190.0)</f>
        <v>45190</v>
      </c>
      <c r="C5089" s="266" t="str">
        <f>IFERROR(__xludf.DUMMYFUNCTION("""COMPUTED_VALUE"""),"KYAI KONTONG")</f>
        <v>KYAI KONTONG</v>
      </c>
      <c r="D5089" s="186">
        <f>IFERROR(__xludf.DUMMYFUNCTION("""COMPUTED_VALUE"""),150.0)</f>
        <v>150</v>
      </c>
    </row>
    <row r="5090">
      <c r="A5090" s="178" t="str">
        <f>IFERROR(__xludf.DUMMYFUNCTION("""COMPUTED_VALUE"""),"ITBISA-IC-L7805CV-TO220")</f>
        <v>ITBISA-IC-L7805CV-TO220</v>
      </c>
      <c r="B5090" s="266">
        <f>IFERROR(__xludf.DUMMYFUNCTION("""COMPUTED_VALUE"""),45192.0)</f>
        <v>45192</v>
      </c>
      <c r="C5090" s="266" t="str">
        <f>IFERROR(__xludf.DUMMYFUNCTION("""COMPUTED_VALUE"""),"KYAI KONTONG")</f>
        <v>KYAI KONTONG</v>
      </c>
      <c r="D5090" s="186">
        <f>IFERROR(__xludf.DUMMYFUNCTION("""COMPUTED_VALUE"""),8.0)</f>
        <v>8</v>
      </c>
    </row>
    <row r="5091">
      <c r="A5091" s="178" t="str">
        <f>IFERROR(__xludf.DUMMYFUNCTION("""COMPUTED_VALUE"""),"ITBISA-IC-L7805CV-TO220")</f>
        <v>ITBISA-IC-L7805CV-TO220</v>
      </c>
      <c r="B5091" s="266">
        <f>IFERROR(__xludf.DUMMYFUNCTION("""COMPUTED_VALUE"""),45194.0)</f>
        <v>45194</v>
      </c>
      <c r="C5091" s="266" t="str">
        <f>IFERROR(__xludf.DUMMYFUNCTION("""COMPUTED_VALUE"""),"KYAI KONTONG")</f>
        <v>KYAI KONTONG</v>
      </c>
      <c r="D5091" s="186">
        <f>IFERROR(__xludf.DUMMYFUNCTION("""COMPUTED_VALUE"""),4.0)</f>
        <v>4</v>
      </c>
    </row>
    <row r="5092">
      <c r="A5092" s="178" t="str">
        <f>IFERROR(__xludf.DUMMYFUNCTION("""COMPUTED_VALUE"""),"ITBISA-IC-L7805CV-TO220")</f>
        <v>ITBISA-IC-L7805CV-TO220</v>
      </c>
      <c r="B5092" s="266">
        <f>IFERROR(__xludf.DUMMYFUNCTION("""COMPUTED_VALUE"""),45194.0)</f>
        <v>45194</v>
      </c>
      <c r="C5092" s="266" t="str">
        <f>IFERROR(__xludf.DUMMYFUNCTION("""COMPUTED_VALUE"""),"KYAI KONTONG")</f>
        <v>KYAI KONTONG</v>
      </c>
      <c r="D5092" s="186">
        <f>IFERROR(__xludf.DUMMYFUNCTION("""COMPUTED_VALUE"""),15.0)</f>
        <v>15</v>
      </c>
    </row>
    <row r="5093">
      <c r="A5093" s="178" t="str">
        <f>IFERROR(__xludf.DUMMYFUNCTION("""COMPUTED_VALUE"""),"ITBISA-IC-L7805CV-TO220")</f>
        <v>ITBISA-IC-L7805CV-TO220</v>
      </c>
      <c r="B5093" s="266">
        <f>IFERROR(__xludf.DUMMYFUNCTION("""COMPUTED_VALUE"""),45194.0)</f>
        <v>45194</v>
      </c>
      <c r="C5093" s="266" t="str">
        <f>IFERROR(__xludf.DUMMYFUNCTION("""COMPUTED_VALUE"""),"KYAI KONTONG")</f>
        <v>KYAI KONTONG</v>
      </c>
      <c r="D5093" s="186">
        <f>IFERROR(__xludf.DUMMYFUNCTION("""COMPUTED_VALUE"""),20.0)</f>
        <v>20</v>
      </c>
    </row>
    <row r="5094">
      <c r="A5094" s="178" t="str">
        <f>IFERROR(__xludf.DUMMYFUNCTION("""COMPUTED_VALUE"""),"ITBISA-IC-L7805CV-TO220")</f>
        <v>ITBISA-IC-L7805CV-TO220</v>
      </c>
      <c r="B5094" s="266">
        <f>IFERROR(__xludf.DUMMYFUNCTION("""COMPUTED_VALUE"""),45195.0)</f>
        <v>45195</v>
      </c>
      <c r="C5094" s="266" t="str">
        <f>IFERROR(__xludf.DUMMYFUNCTION("""COMPUTED_VALUE"""),"KYAI KONTONG")</f>
        <v>KYAI KONTONG</v>
      </c>
      <c r="D5094" s="186">
        <f>IFERROR(__xludf.DUMMYFUNCTION("""COMPUTED_VALUE"""),25.0)</f>
        <v>25</v>
      </c>
    </row>
    <row r="5095">
      <c r="A5095" s="178" t="str">
        <f>IFERROR(__xludf.DUMMYFUNCTION("""COMPUTED_VALUE"""),"ITBISA-IC-L7805CV-TO220")</f>
        <v>ITBISA-IC-L7805CV-TO220</v>
      </c>
      <c r="B5095" s="266">
        <f>IFERROR(__xludf.DUMMYFUNCTION("""COMPUTED_VALUE"""),45195.0)</f>
        <v>45195</v>
      </c>
      <c r="C5095" s="266" t="str">
        <f>IFERROR(__xludf.DUMMYFUNCTION("""COMPUTED_VALUE"""),"KYAI KONTONG")</f>
        <v>KYAI KONTONG</v>
      </c>
      <c r="D5095" s="186">
        <f>IFERROR(__xludf.DUMMYFUNCTION("""COMPUTED_VALUE"""),30.0)</f>
        <v>30</v>
      </c>
    </row>
    <row r="5096">
      <c r="A5096" s="178" t="str">
        <f>IFERROR(__xludf.DUMMYFUNCTION("""COMPUTED_VALUE"""),"ITBISA-IC-L7805CV-TO220")</f>
        <v>ITBISA-IC-L7805CV-TO220</v>
      </c>
      <c r="B5096" s="266">
        <f>IFERROR(__xludf.DUMMYFUNCTION("""COMPUTED_VALUE"""),45196.0)</f>
        <v>45196</v>
      </c>
      <c r="C5096" s="266" t="str">
        <f>IFERROR(__xludf.DUMMYFUNCTION("""COMPUTED_VALUE"""),"KYAI KONTONG")</f>
        <v>KYAI KONTONG</v>
      </c>
      <c r="D5096" s="186">
        <f>IFERROR(__xludf.DUMMYFUNCTION("""COMPUTED_VALUE"""),300.0)</f>
        <v>300</v>
      </c>
    </row>
    <row r="5097">
      <c r="A5097" s="178" t="str">
        <f>IFERROR(__xludf.DUMMYFUNCTION("""COMPUTED_VALUE"""),"ITBISA-IC-L7805CV-TO220")</f>
        <v>ITBISA-IC-L7805CV-TO220</v>
      </c>
      <c r="B5097" s="266">
        <f>IFERROR(__xludf.DUMMYFUNCTION("""COMPUTED_VALUE"""),45199.0)</f>
        <v>45199</v>
      </c>
      <c r="C5097" s="266" t="str">
        <f>IFERROR(__xludf.DUMMYFUNCTION("""COMPUTED_VALUE"""),"KYAI KONTONG")</f>
        <v>KYAI KONTONG</v>
      </c>
      <c r="D5097" s="186">
        <f>IFERROR(__xludf.DUMMYFUNCTION("""COMPUTED_VALUE"""),250.0)</f>
        <v>250</v>
      </c>
    </row>
    <row r="5098">
      <c r="A5098" s="178" t="str">
        <f>IFERROR(__xludf.DUMMYFUNCTION("""COMPUTED_VALUE"""),"ITBISA-IC-L7805CV-TO220")</f>
        <v>ITBISA-IC-L7805CV-TO220</v>
      </c>
      <c r="B5098" s="266">
        <f>IFERROR(__xludf.DUMMYFUNCTION("""COMPUTED_VALUE"""),45202.0)</f>
        <v>45202</v>
      </c>
      <c r="C5098" s="266" t="str">
        <f>IFERROR(__xludf.DUMMYFUNCTION("""COMPUTED_VALUE"""),"KYAI KONTONG")</f>
        <v>KYAI KONTONG</v>
      </c>
      <c r="D5098" s="186">
        <f>IFERROR(__xludf.DUMMYFUNCTION("""COMPUTED_VALUE"""),10.0)</f>
        <v>10</v>
      </c>
    </row>
    <row r="5099">
      <c r="A5099" s="178" t="str">
        <f>IFERROR(__xludf.DUMMYFUNCTION("""COMPUTED_VALUE"""),"ITBISA-IC-L7805CV-TO220")</f>
        <v>ITBISA-IC-L7805CV-TO220</v>
      </c>
      <c r="B5099" s="266">
        <f>IFERROR(__xludf.DUMMYFUNCTION("""COMPUTED_VALUE"""),45204.0)</f>
        <v>45204</v>
      </c>
      <c r="C5099" s="266" t="str">
        <f>IFERROR(__xludf.DUMMYFUNCTION("""COMPUTED_VALUE"""),"KERTASARI CIAMIS")</f>
        <v>KERTASARI CIAMIS</v>
      </c>
      <c r="D5099" s="186">
        <f>IFERROR(__xludf.DUMMYFUNCTION("""COMPUTED_VALUE"""),50.0)</f>
        <v>50</v>
      </c>
    </row>
    <row r="5100">
      <c r="A5100" s="178" t="str">
        <f>IFERROR(__xludf.DUMMYFUNCTION("""COMPUTED_VALUE"""),"ITBISA-IC-L7805CV-TO220")</f>
        <v>ITBISA-IC-L7805CV-TO220</v>
      </c>
      <c r="B5100" s="266">
        <f>IFERROR(__xludf.DUMMYFUNCTION("""COMPUTED_VALUE"""),45205.0)</f>
        <v>45205</v>
      </c>
      <c r="C5100" s="266" t="str">
        <f>IFERROR(__xludf.DUMMYFUNCTION("""COMPUTED_VALUE"""),"KYAI KONTONG")</f>
        <v>KYAI KONTONG</v>
      </c>
      <c r="D5100" s="186">
        <f>IFERROR(__xludf.DUMMYFUNCTION("""COMPUTED_VALUE"""),490.0)</f>
        <v>490</v>
      </c>
    </row>
    <row r="5101">
      <c r="A5101" s="178" t="str">
        <f>IFERROR(__xludf.DUMMYFUNCTION("""COMPUTED_VALUE"""),"ITBISA-IC-L7805CV-TO220")</f>
        <v>ITBISA-IC-L7805CV-TO220</v>
      </c>
      <c r="B5101" s="266">
        <f>IFERROR(__xludf.DUMMYFUNCTION("""COMPUTED_VALUE"""),45206.0)</f>
        <v>45206</v>
      </c>
      <c r="C5101" s="266" t="str">
        <f>IFERROR(__xludf.DUMMYFUNCTION("""COMPUTED_VALUE"""),"KYAI KONTONG")</f>
        <v>KYAI KONTONG</v>
      </c>
      <c r="D5101" s="186">
        <f>IFERROR(__xludf.DUMMYFUNCTION("""COMPUTED_VALUE"""),5.0)</f>
        <v>5</v>
      </c>
    </row>
    <row r="5102">
      <c r="A5102" s="178" t="str">
        <f>IFERROR(__xludf.DUMMYFUNCTION("""COMPUTED_VALUE"""),"ITBISA-IC-L7805CV-TO220")</f>
        <v>ITBISA-IC-L7805CV-TO220</v>
      </c>
      <c r="B5102" s="266">
        <f>IFERROR(__xludf.DUMMYFUNCTION("""COMPUTED_VALUE"""),45209.0)</f>
        <v>45209</v>
      </c>
      <c r="C5102" s="266" t="str">
        <f>IFERROR(__xludf.DUMMYFUNCTION("""COMPUTED_VALUE"""),"KYAI KONTONG")</f>
        <v>KYAI KONTONG</v>
      </c>
      <c r="D5102" s="186">
        <f>IFERROR(__xludf.DUMMYFUNCTION("""COMPUTED_VALUE"""),10.0)</f>
        <v>10</v>
      </c>
    </row>
    <row r="5103">
      <c r="A5103" s="178" t="str">
        <f>IFERROR(__xludf.DUMMYFUNCTION("""COMPUTED_VALUE"""),"ITBISA-IC-L7805CV-TO220")</f>
        <v>ITBISA-IC-L7805CV-TO220</v>
      </c>
      <c r="B5103" s="266">
        <f>IFERROR(__xludf.DUMMYFUNCTION("""COMPUTED_VALUE"""),45209.0)</f>
        <v>45209</v>
      </c>
      <c r="C5103" s="266" t="str">
        <f>IFERROR(__xludf.DUMMYFUNCTION("""COMPUTED_VALUE"""),"KYAI KONTONG")</f>
        <v>KYAI KONTONG</v>
      </c>
      <c r="D5103" s="186">
        <f>IFERROR(__xludf.DUMMYFUNCTION("""COMPUTED_VALUE"""),100.0)</f>
        <v>100</v>
      </c>
    </row>
    <row r="5104">
      <c r="A5104" s="178" t="str">
        <f>IFERROR(__xludf.DUMMYFUNCTION("""COMPUTED_VALUE"""),"ITBISA-IC-L7805CV-TO220")</f>
        <v>ITBISA-IC-L7805CV-TO220</v>
      </c>
      <c r="B5104" s="266">
        <f>IFERROR(__xludf.DUMMYFUNCTION("""COMPUTED_VALUE"""),45209.0)</f>
        <v>45209</v>
      </c>
      <c r="C5104" s="266" t="str">
        <f>IFERROR(__xludf.DUMMYFUNCTION("""COMPUTED_VALUE"""),"KYAI KONTONG")</f>
        <v>KYAI KONTONG</v>
      </c>
      <c r="D5104" s="186">
        <f>IFERROR(__xludf.DUMMYFUNCTION("""COMPUTED_VALUE"""),200.0)</f>
        <v>200</v>
      </c>
    </row>
    <row r="5105">
      <c r="A5105" s="178" t="str">
        <f>IFERROR(__xludf.DUMMYFUNCTION("""COMPUTED_VALUE"""),"ITBISA-IC-L7805CV-TO220")</f>
        <v>ITBISA-IC-L7805CV-TO220</v>
      </c>
      <c r="B5105" s="266">
        <f>IFERROR(__xludf.DUMMYFUNCTION("""COMPUTED_VALUE"""),45213.0)</f>
        <v>45213</v>
      </c>
      <c r="C5105" s="266" t="str">
        <f>IFERROR(__xludf.DUMMYFUNCTION("""COMPUTED_VALUE"""),"KYAI KONTONG")</f>
        <v>KYAI KONTONG</v>
      </c>
      <c r="D5105" s="186">
        <f>IFERROR(__xludf.DUMMYFUNCTION("""COMPUTED_VALUE"""),5.0)</f>
        <v>5</v>
      </c>
    </row>
    <row r="5106">
      <c r="A5106" s="178" t="str">
        <f>IFERROR(__xludf.DUMMYFUNCTION("""COMPUTED_VALUE"""),"ITBISA-IC-L7805CV-TO220")</f>
        <v>ITBISA-IC-L7805CV-TO220</v>
      </c>
      <c r="B5106" s="266">
        <f>IFERROR(__xludf.DUMMYFUNCTION("""COMPUTED_VALUE"""),45214.0)</f>
        <v>45214</v>
      </c>
      <c r="C5106" s="266" t="str">
        <f>IFERROR(__xludf.DUMMYFUNCTION("""COMPUTED_VALUE"""),"KYAI KONTONG")</f>
        <v>KYAI KONTONG</v>
      </c>
      <c r="D5106" s="186">
        <f>IFERROR(__xludf.DUMMYFUNCTION("""COMPUTED_VALUE"""),10.0)</f>
        <v>10</v>
      </c>
    </row>
    <row r="5107">
      <c r="A5107" s="178" t="str">
        <f>IFERROR(__xludf.DUMMYFUNCTION("""COMPUTED_VALUE"""),"ITBISA-IC-L7805CV-TO220")</f>
        <v>ITBISA-IC-L7805CV-TO220</v>
      </c>
      <c r="B5107" s="266">
        <f>IFERROR(__xludf.DUMMYFUNCTION("""COMPUTED_VALUE"""),45214.0)</f>
        <v>45214</v>
      </c>
      <c r="C5107" s="266" t="str">
        <f>IFERROR(__xludf.DUMMYFUNCTION("""COMPUTED_VALUE"""),"KYAI KONTONG")</f>
        <v>KYAI KONTONG</v>
      </c>
      <c r="D5107" s="186">
        <f>IFERROR(__xludf.DUMMYFUNCTION("""COMPUTED_VALUE"""),50.0)</f>
        <v>50</v>
      </c>
    </row>
    <row r="5108">
      <c r="A5108" s="178" t="str">
        <f>IFERROR(__xludf.DUMMYFUNCTION("""COMPUTED_VALUE"""),"ITBISA-IC-L7805CV-TO220")</f>
        <v>ITBISA-IC-L7805CV-TO220</v>
      </c>
      <c r="B5108" s="266">
        <f>IFERROR(__xludf.DUMMYFUNCTION("""COMPUTED_VALUE"""),45215.0)</f>
        <v>45215</v>
      </c>
      <c r="C5108" s="266" t="str">
        <f>IFERROR(__xludf.DUMMYFUNCTION("""COMPUTED_VALUE"""),"KYAI KONTONG")</f>
        <v>KYAI KONTONG</v>
      </c>
      <c r="D5108" s="186">
        <f>IFERROR(__xludf.DUMMYFUNCTION("""COMPUTED_VALUE"""),1000.0)</f>
        <v>1000</v>
      </c>
    </row>
    <row r="5109">
      <c r="A5109" s="178" t="str">
        <f>IFERROR(__xludf.DUMMYFUNCTION("""COMPUTED_VALUE"""),"ITBISA-IC-L7805CV-TO220")</f>
        <v>ITBISA-IC-L7805CV-TO220</v>
      </c>
      <c r="B5109" s="266">
        <f>IFERROR(__xludf.DUMMYFUNCTION("""COMPUTED_VALUE"""),45216.0)</f>
        <v>45216</v>
      </c>
      <c r="C5109" s="266" t="str">
        <f>IFERROR(__xludf.DUMMYFUNCTION("""COMPUTED_VALUE"""),"KYAI KONTONG")</f>
        <v>KYAI KONTONG</v>
      </c>
      <c r="D5109" s="186">
        <f>IFERROR(__xludf.DUMMYFUNCTION("""COMPUTED_VALUE"""),4.0)</f>
        <v>4</v>
      </c>
    </row>
    <row r="5110">
      <c r="A5110" s="178" t="str">
        <f>IFERROR(__xludf.DUMMYFUNCTION("""COMPUTED_VALUE"""),"ITBISA-IC-L7805CV-TO220")</f>
        <v>ITBISA-IC-L7805CV-TO220</v>
      </c>
      <c r="B5110" s="266">
        <f>IFERROR(__xludf.DUMMYFUNCTION("""COMPUTED_VALUE"""),45217.0)</f>
        <v>45217</v>
      </c>
      <c r="C5110" s="266" t="str">
        <f>IFERROR(__xludf.DUMMYFUNCTION("""COMPUTED_VALUE"""),"KYAI KONTONG")</f>
        <v>KYAI KONTONG</v>
      </c>
      <c r="D5110" s="186">
        <f>IFERROR(__xludf.DUMMYFUNCTION("""COMPUTED_VALUE"""),15.0)</f>
        <v>15</v>
      </c>
    </row>
    <row r="5111">
      <c r="A5111" s="178" t="str">
        <f>IFERROR(__xludf.DUMMYFUNCTION("""COMPUTED_VALUE"""),"ITBISA-IC-L7805CV-TO220")</f>
        <v>ITBISA-IC-L7805CV-TO220</v>
      </c>
      <c r="B5111" s="266">
        <f>IFERROR(__xludf.DUMMYFUNCTION("""COMPUTED_VALUE"""),45217.0)</f>
        <v>45217</v>
      </c>
      <c r="C5111" s="266" t="str">
        <f>IFERROR(__xludf.DUMMYFUNCTION("""COMPUTED_VALUE"""),"KYAI KONTONG")</f>
        <v>KYAI KONTONG</v>
      </c>
      <c r="D5111" s="186">
        <f>IFERROR(__xludf.DUMMYFUNCTION("""COMPUTED_VALUE"""),50.0)</f>
        <v>50</v>
      </c>
    </row>
    <row r="5112">
      <c r="A5112" s="178" t="str">
        <f>IFERROR(__xludf.DUMMYFUNCTION("""COMPUTED_VALUE"""),"ITBISA-IC-L7805CV-TO220")</f>
        <v>ITBISA-IC-L7805CV-TO220</v>
      </c>
      <c r="B5112" s="266">
        <f>IFERROR(__xludf.DUMMYFUNCTION("""COMPUTED_VALUE"""),45220.0)</f>
        <v>45220</v>
      </c>
      <c r="C5112" s="266" t="str">
        <f>IFERROR(__xludf.DUMMYFUNCTION("""COMPUTED_VALUE"""),"KYAI KONTONG")</f>
        <v>KYAI KONTONG</v>
      </c>
      <c r="D5112" s="186">
        <f>IFERROR(__xludf.DUMMYFUNCTION("""COMPUTED_VALUE"""),50.0)</f>
        <v>50</v>
      </c>
    </row>
    <row r="5113">
      <c r="A5113" s="178" t="str">
        <f>IFERROR(__xludf.DUMMYFUNCTION("""COMPUTED_VALUE"""),"ITBISA-IC-L7805CV-TO220")</f>
        <v>ITBISA-IC-L7805CV-TO220</v>
      </c>
      <c r="B5113" s="266">
        <f>IFERROR(__xludf.DUMMYFUNCTION("""COMPUTED_VALUE"""),45222.0)</f>
        <v>45222</v>
      </c>
      <c r="C5113" s="266" t="str">
        <f>IFERROR(__xludf.DUMMYFUNCTION("""COMPUTED_VALUE"""),"KYAI KONTONG")</f>
        <v>KYAI KONTONG</v>
      </c>
      <c r="D5113" s="186">
        <f>IFERROR(__xludf.DUMMYFUNCTION("""COMPUTED_VALUE"""),26.0)</f>
        <v>26</v>
      </c>
    </row>
    <row r="5114">
      <c r="A5114" s="178" t="str">
        <f>IFERROR(__xludf.DUMMYFUNCTION("""COMPUTED_VALUE"""),"ITBISA-IC-L7805CV-TO220")</f>
        <v>ITBISA-IC-L7805CV-TO220</v>
      </c>
      <c r="B5114" s="266">
        <f>IFERROR(__xludf.DUMMYFUNCTION("""COMPUTED_VALUE"""),45222.0)</f>
        <v>45222</v>
      </c>
      <c r="C5114" s="266" t="str">
        <f>IFERROR(__xludf.DUMMYFUNCTION("""COMPUTED_VALUE"""),"KYAI KONTONG")</f>
        <v>KYAI KONTONG</v>
      </c>
      <c r="D5114" s="186">
        <f>IFERROR(__xludf.DUMMYFUNCTION("""COMPUTED_VALUE"""),100.0)</f>
        <v>100</v>
      </c>
    </row>
    <row r="5115">
      <c r="A5115" s="178" t="str">
        <f>IFERROR(__xludf.DUMMYFUNCTION("""COMPUTED_VALUE"""),"ITBISA-IC-L7805CV-TO220")</f>
        <v>ITBISA-IC-L7805CV-TO220</v>
      </c>
      <c r="B5115" s="266">
        <f>IFERROR(__xludf.DUMMYFUNCTION("""COMPUTED_VALUE"""),45226.0)</f>
        <v>45226</v>
      </c>
      <c r="C5115" s="266" t="str">
        <f>IFERROR(__xludf.DUMMYFUNCTION("""COMPUTED_VALUE"""),"KYAI KONTONG")</f>
        <v>KYAI KONTONG</v>
      </c>
      <c r="D5115" s="186">
        <f>IFERROR(__xludf.DUMMYFUNCTION("""COMPUTED_VALUE"""),2.0)</f>
        <v>2</v>
      </c>
    </row>
    <row r="5116">
      <c r="A5116" s="178" t="str">
        <f>IFERROR(__xludf.DUMMYFUNCTION("""COMPUTED_VALUE"""),"ITBISA-IC-L7805CV-TO220")</f>
        <v>ITBISA-IC-L7805CV-TO220</v>
      </c>
      <c r="B5116" s="266">
        <f>IFERROR(__xludf.DUMMYFUNCTION("""COMPUTED_VALUE"""),45226.0)</f>
        <v>45226</v>
      </c>
      <c r="C5116" s="266" t="str">
        <f>IFERROR(__xludf.DUMMYFUNCTION("""COMPUTED_VALUE"""),"KYAI KONTONG")</f>
        <v>KYAI KONTONG</v>
      </c>
      <c r="D5116" s="186">
        <f>IFERROR(__xludf.DUMMYFUNCTION("""COMPUTED_VALUE"""),5.0)</f>
        <v>5</v>
      </c>
    </row>
    <row r="5117">
      <c r="A5117" s="178" t="str">
        <f>IFERROR(__xludf.DUMMYFUNCTION("""COMPUTED_VALUE"""),"ITBISA-IC-L7805CV-TO220")</f>
        <v>ITBISA-IC-L7805CV-TO220</v>
      </c>
      <c r="B5117" s="266">
        <f>IFERROR(__xludf.DUMMYFUNCTION("""COMPUTED_VALUE"""),45231.0)</f>
        <v>45231</v>
      </c>
      <c r="C5117" s="266" t="str">
        <f>IFERROR(__xludf.DUMMYFUNCTION("""COMPUTED_VALUE"""),"KYAI KONTONG")</f>
        <v>KYAI KONTONG</v>
      </c>
      <c r="D5117" s="186">
        <f>IFERROR(__xludf.DUMMYFUNCTION("""COMPUTED_VALUE"""),50.0)</f>
        <v>50</v>
      </c>
    </row>
    <row r="5118">
      <c r="A5118" s="178" t="str">
        <f>IFERROR(__xludf.DUMMYFUNCTION("""COMPUTED_VALUE"""),"ITBISA-IC-L7805CV-TO220")</f>
        <v>ITBISA-IC-L7805CV-TO220</v>
      </c>
      <c r="B5118" s="266">
        <f>IFERROR(__xludf.DUMMYFUNCTION("""COMPUTED_VALUE"""),45236.0)</f>
        <v>45236</v>
      </c>
      <c r="C5118" s="266" t="str">
        <f>IFERROR(__xludf.DUMMYFUNCTION("""COMPUTED_VALUE"""),"KYAI KONTONG")</f>
        <v>KYAI KONTONG</v>
      </c>
      <c r="D5118" s="186">
        <f>IFERROR(__xludf.DUMMYFUNCTION("""COMPUTED_VALUE"""),24.0)</f>
        <v>24</v>
      </c>
    </row>
    <row r="5119">
      <c r="A5119" s="178" t="str">
        <f>IFERROR(__xludf.DUMMYFUNCTION("""COMPUTED_VALUE"""),"ITBISA-IC-L7805CV-TO220")</f>
        <v>ITBISA-IC-L7805CV-TO220</v>
      </c>
      <c r="B5119" s="266">
        <f>IFERROR(__xludf.DUMMYFUNCTION("""COMPUTED_VALUE"""),45237.0)</f>
        <v>45237</v>
      </c>
      <c r="C5119" s="266" t="str">
        <f>IFERROR(__xludf.DUMMYFUNCTION("""COMPUTED_VALUE"""),"KERTASARI CIAMIS")</f>
        <v>KERTASARI CIAMIS</v>
      </c>
      <c r="D5119" s="186">
        <f>IFERROR(__xludf.DUMMYFUNCTION("""COMPUTED_VALUE"""),3.0)</f>
        <v>3</v>
      </c>
    </row>
    <row r="5120">
      <c r="A5120" s="178" t="str">
        <f>IFERROR(__xludf.DUMMYFUNCTION("""COMPUTED_VALUE"""),"ITBISA-IC-L7805CV-TO220")</f>
        <v>ITBISA-IC-L7805CV-TO220</v>
      </c>
      <c r="B5120" s="266">
        <f>IFERROR(__xludf.DUMMYFUNCTION("""COMPUTED_VALUE"""),45237.0)</f>
        <v>45237</v>
      </c>
      <c r="C5120" s="266" t="str">
        <f>IFERROR(__xludf.DUMMYFUNCTION("""COMPUTED_VALUE"""),"KYAI KONTONG")</f>
        <v>KYAI KONTONG</v>
      </c>
      <c r="D5120" s="186">
        <f>IFERROR(__xludf.DUMMYFUNCTION("""COMPUTED_VALUE"""),10.0)</f>
        <v>10</v>
      </c>
    </row>
    <row r="5121">
      <c r="A5121" s="178" t="str">
        <f>IFERROR(__xludf.DUMMYFUNCTION("""COMPUTED_VALUE"""),"ITBISA-IC-L7805CV-TO220")</f>
        <v>ITBISA-IC-L7805CV-TO220</v>
      </c>
      <c r="B5121" s="266">
        <f>IFERROR(__xludf.DUMMYFUNCTION("""COMPUTED_VALUE"""),45237.0)</f>
        <v>45237</v>
      </c>
      <c r="C5121" s="266" t="str">
        <f>IFERROR(__xludf.DUMMYFUNCTION("""COMPUTED_VALUE"""),"KYAI KONTONG")</f>
        <v>KYAI KONTONG</v>
      </c>
      <c r="D5121" s="186">
        <f>IFERROR(__xludf.DUMMYFUNCTION("""COMPUTED_VALUE"""),300.0)</f>
        <v>300</v>
      </c>
    </row>
    <row r="5122">
      <c r="A5122" s="178" t="str">
        <f>IFERROR(__xludf.DUMMYFUNCTION("""COMPUTED_VALUE"""),"ITBISA-IC-L7805CV-TO220")</f>
        <v>ITBISA-IC-L7805CV-TO220</v>
      </c>
      <c r="B5122" s="266">
        <f>IFERROR(__xludf.DUMMYFUNCTION("""COMPUTED_VALUE"""),45238.0)</f>
        <v>45238</v>
      </c>
      <c r="C5122" s="266" t="str">
        <f>IFERROR(__xludf.DUMMYFUNCTION("""COMPUTED_VALUE"""),"KYAI KONTONG")</f>
        <v>KYAI KONTONG</v>
      </c>
      <c r="D5122" s="186">
        <f>IFERROR(__xludf.DUMMYFUNCTION("""COMPUTED_VALUE"""),1.0)</f>
        <v>1</v>
      </c>
    </row>
    <row r="5123">
      <c r="A5123" s="178" t="str">
        <f>IFERROR(__xludf.DUMMYFUNCTION("""COMPUTED_VALUE"""),"ITBISA-IC-L7805CV-TO220")</f>
        <v>ITBISA-IC-L7805CV-TO220</v>
      </c>
      <c r="B5123" s="266">
        <f>IFERROR(__xludf.DUMMYFUNCTION("""COMPUTED_VALUE"""),45239.0)</f>
        <v>45239</v>
      </c>
      <c r="C5123" s="266" t="str">
        <f>IFERROR(__xludf.DUMMYFUNCTION("""COMPUTED_VALUE"""),"KYAI KONTONG")</f>
        <v>KYAI KONTONG</v>
      </c>
      <c r="D5123" s="186">
        <f>IFERROR(__xludf.DUMMYFUNCTION("""COMPUTED_VALUE"""),100.0)</f>
        <v>100</v>
      </c>
    </row>
    <row r="5124">
      <c r="A5124" s="178" t="str">
        <f>IFERROR(__xludf.DUMMYFUNCTION("""COMPUTED_VALUE"""),"ITBISA-IC-L7805CV-TO220")</f>
        <v>ITBISA-IC-L7805CV-TO220</v>
      </c>
      <c r="B5124" s="266">
        <f>IFERROR(__xludf.DUMMYFUNCTION("""COMPUTED_VALUE"""),45240.0)</f>
        <v>45240</v>
      </c>
      <c r="C5124" s="266" t="str">
        <f>IFERROR(__xludf.DUMMYFUNCTION("""COMPUTED_VALUE"""),"KERTASARI CIAMIS")</f>
        <v>KERTASARI CIAMIS</v>
      </c>
      <c r="D5124" s="186">
        <f>IFERROR(__xludf.DUMMYFUNCTION("""COMPUTED_VALUE"""),65.0)</f>
        <v>65</v>
      </c>
    </row>
    <row r="5125">
      <c r="A5125" s="178" t="str">
        <f>IFERROR(__xludf.DUMMYFUNCTION("""COMPUTED_VALUE"""),"ITBISA-IC-L7805CV-TO220")</f>
        <v>ITBISA-IC-L7805CV-TO220</v>
      </c>
      <c r="B5125" s="266">
        <f>IFERROR(__xludf.DUMMYFUNCTION("""COMPUTED_VALUE"""),45240.0)</f>
        <v>45240</v>
      </c>
      <c r="C5125" s="266" t="str">
        <f>IFERROR(__xludf.DUMMYFUNCTION("""COMPUTED_VALUE"""),"KYAI KONTONG")</f>
        <v>KYAI KONTONG</v>
      </c>
      <c r="D5125" s="186">
        <f>IFERROR(__xludf.DUMMYFUNCTION("""COMPUTED_VALUE"""),16.0)</f>
        <v>16</v>
      </c>
    </row>
    <row r="5126">
      <c r="A5126" s="178" t="str">
        <f>IFERROR(__xludf.DUMMYFUNCTION("""COMPUTED_VALUE"""),"ITBISA-IC-L7805CV-TO220")</f>
        <v>ITBISA-IC-L7805CV-TO220</v>
      </c>
      <c r="B5126" s="266">
        <f>IFERROR(__xludf.DUMMYFUNCTION("""COMPUTED_VALUE"""),45241.0)</f>
        <v>45241</v>
      </c>
      <c r="C5126" s="266" t="str">
        <f>IFERROR(__xludf.DUMMYFUNCTION("""COMPUTED_VALUE"""),"KYAI KONTONG")</f>
        <v>KYAI KONTONG</v>
      </c>
      <c r="D5126" s="186">
        <f>IFERROR(__xludf.DUMMYFUNCTION("""COMPUTED_VALUE"""),2.0)</f>
        <v>2</v>
      </c>
    </row>
    <row r="5127">
      <c r="A5127" s="178" t="str">
        <f>IFERROR(__xludf.DUMMYFUNCTION("""COMPUTED_VALUE"""),"ITBISA-IC-L7805CV-TO220")</f>
        <v>ITBISA-IC-L7805CV-TO220</v>
      </c>
      <c r="B5127" s="266">
        <f>IFERROR(__xludf.DUMMYFUNCTION("""COMPUTED_VALUE"""),45244.0)</f>
        <v>45244</v>
      </c>
      <c r="C5127" s="266" t="str">
        <f>IFERROR(__xludf.DUMMYFUNCTION("""COMPUTED_VALUE"""),"KYAI KONTONG")</f>
        <v>KYAI KONTONG</v>
      </c>
      <c r="D5127" s="186">
        <f>IFERROR(__xludf.DUMMYFUNCTION("""COMPUTED_VALUE"""),2.0)</f>
        <v>2</v>
      </c>
    </row>
    <row r="5128">
      <c r="A5128" s="178" t="str">
        <f>IFERROR(__xludf.DUMMYFUNCTION("""COMPUTED_VALUE"""),"ITBISA-IC-L7805CV-TO220")</f>
        <v>ITBISA-IC-L7805CV-TO220</v>
      </c>
      <c r="B5128" s="266">
        <f>IFERROR(__xludf.DUMMYFUNCTION("""COMPUTED_VALUE"""),45246.0)</f>
        <v>45246</v>
      </c>
      <c r="C5128" s="266" t="str">
        <f>IFERROR(__xludf.DUMMYFUNCTION("""COMPUTED_VALUE"""),"KYAI KONTONG")</f>
        <v>KYAI KONTONG</v>
      </c>
      <c r="D5128" s="186">
        <f>IFERROR(__xludf.DUMMYFUNCTION("""COMPUTED_VALUE"""),50.0)</f>
        <v>50</v>
      </c>
    </row>
    <row r="5129">
      <c r="A5129" s="178" t="str">
        <f>IFERROR(__xludf.DUMMYFUNCTION("""COMPUTED_VALUE"""),"ITBISA-IC-L7805CV-TO220")</f>
        <v>ITBISA-IC-L7805CV-TO220</v>
      </c>
      <c r="B5129" s="266">
        <f>IFERROR(__xludf.DUMMYFUNCTION("""COMPUTED_VALUE"""),45247.0)</f>
        <v>45247</v>
      </c>
      <c r="C5129" s="266" t="str">
        <f>IFERROR(__xludf.DUMMYFUNCTION("""COMPUTED_VALUE"""),"KYAI KONTONG")</f>
        <v>KYAI KONTONG</v>
      </c>
      <c r="D5129" s="186">
        <f>IFERROR(__xludf.DUMMYFUNCTION("""COMPUTED_VALUE"""),30.0)</f>
        <v>30</v>
      </c>
    </row>
    <row r="5130">
      <c r="A5130" s="178" t="str">
        <f>IFERROR(__xludf.DUMMYFUNCTION("""COMPUTED_VALUE"""),"ITBISA-IC-L7805CV-TO220")</f>
        <v>ITBISA-IC-L7805CV-TO220</v>
      </c>
      <c r="B5130" s="266">
        <f>IFERROR(__xludf.DUMMYFUNCTION("""COMPUTED_VALUE"""),45250.0)</f>
        <v>45250</v>
      </c>
      <c r="C5130" s="266" t="str">
        <f>IFERROR(__xludf.DUMMYFUNCTION("""COMPUTED_VALUE"""),"KYAI KONTONG")</f>
        <v>KYAI KONTONG</v>
      </c>
      <c r="D5130" s="186">
        <f>IFERROR(__xludf.DUMMYFUNCTION("""COMPUTED_VALUE"""),100.0)</f>
        <v>100</v>
      </c>
    </row>
    <row r="5131">
      <c r="A5131" s="178" t="str">
        <f>IFERROR(__xludf.DUMMYFUNCTION("""COMPUTED_VALUE"""),"ITBISA-IC-L7805CV-TO220")</f>
        <v>ITBISA-IC-L7805CV-TO220</v>
      </c>
      <c r="B5131" s="266">
        <f>IFERROR(__xludf.DUMMYFUNCTION("""COMPUTED_VALUE"""),45250.0)</f>
        <v>45250</v>
      </c>
      <c r="C5131" s="266" t="str">
        <f>IFERROR(__xludf.DUMMYFUNCTION("""COMPUTED_VALUE"""),"KYAI KONTONG")</f>
        <v>KYAI KONTONG</v>
      </c>
      <c r="D5131" s="186">
        <f>IFERROR(__xludf.DUMMYFUNCTION("""COMPUTED_VALUE"""),1000.0)</f>
        <v>1000</v>
      </c>
    </row>
    <row r="5132">
      <c r="A5132" s="178" t="str">
        <f>IFERROR(__xludf.DUMMYFUNCTION("""COMPUTED_VALUE"""),"ITBISA-IC-L7805CV-TO220")</f>
        <v>ITBISA-IC-L7805CV-TO220</v>
      </c>
      <c r="B5132" s="266">
        <f>IFERROR(__xludf.DUMMYFUNCTION("""COMPUTED_VALUE"""),45254.0)</f>
        <v>45254</v>
      </c>
      <c r="C5132" s="266" t="str">
        <f>IFERROR(__xludf.DUMMYFUNCTION("""COMPUTED_VALUE"""),"KYAI KONTONG")</f>
        <v>KYAI KONTONG</v>
      </c>
      <c r="D5132" s="186">
        <f>IFERROR(__xludf.DUMMYFUNCTION("""COMPUTED_VALUE"""),1.0)</f>
        <v>1</v>
      </c>
    </row>
    <row r="5133">
      <c r="A5133" s="178" t="str">
        <f>IFERROR(__xludf.DUMMYFUNCTION("""COMPUTED_VALUE"""),"ITBISA-IC-L7805CV-TO220")</f>
        <v>ITBISA-IC-L7805CV-TO220</v>
      </c>
      <c r="B5133" s="266">
        <f>IFERROR(__xludf.DUMMYFUNCTION("""COMPUTED_VALUE"""),45259.0)</f>
        <v>45259</v>
      </c>
      <c r="C5133" s="266" t="str">
        <f>IFERROR(__xludf.DUMMYFUNCTION("""COMPUTED_VALUE"""),"KYAI KONTONG")</f>
        <v>KYAI KONTONG</v>
      </c>
      <c r="D5133" s="186">
        <f>IFERROR(__xludf.DUMMYFUNCTION("""COMPUTED_VALUE"""),10.0)</f>
        <v>10</v>
      </c>
    </row>
    <row r="5134">
      <c r="A5134" s="178" t="str">
        <f>IFERROR(__xludf.DUMMYFUNCTION("""COMPUTED_VALUE"""),"ITBISA-IC-L7805CV-TO220")</f>
        <v>ITBISA-IC-L7805CV-TO220</v>
      </c>
      <c r="B5134" s="266">
        <f>IFERROR(__xludf.DUMMYFUNCTION("""COMPUTED_VALUE"""),45260.0)</f>
        <v>45260</v>
      </c>
      <c r="C5134" s="266" t="str">
        <f>IFERROR(__xludf.DUMMYFUNCTION("""COMPUTED_VALUE"""),"KERTASARI CIAMIS")</f>
        <v>KERTASARI CIAMIS</v>
      </c>
      <c r="D5134" s="186">
        <f>IFERROR(__xludf.DUMMYFUNCTION("""COMPUTED_VALUE"""),200.0)</f>
        <v>200</v>
      </c>
    </row>
    <row r="5135">
      <c r="A5135" s="178" t="str">
        <f>IFERROR(__xludf.DUMMYFUNCTION("""COMPUTED_VALUE"""),"ITBISA-IC-L7805CV-TO220")</f>
        <v>ITBISA-IC-L7805CV-TO220</v>
      </c>
      <c r="B5135" s="266">
        <f>IFERROR(__xludf.DUMMYFUNCTION("""COMPUTED_VALUE"""),45260.0)</f>
        <v>45260</v>
      </c>
      <c r="C5135" s="266" t="str">
        <f>IFERROR(__xludf.DUMMYFUNCTION("""COMPUTED_VALUE"""),"KYAI KONTONG")</f>
        <v>KYAI KONTONG</v>
      </c>
      <c r="D5135" s="186">
        <f>IFERROR(__xludf.DUMMYFUNCTION("""COMPUTED_VALUE"""),300.0)</f>
        <v>300</v>
      </c>
    </row>
    <row r="5136">
      <c r="A5136" s="178" t="str">
        <f>IFERROR(__xludf.DUMMYFUNCTION("""COMPUTED_VALUE"""),"ITBISA-IC-L7805CV-TO220")</f>
        <v>ITBISA-IC-L7805CV-TO220</v>
      </c>
      <c r="B5136" s="266">
        <f>IFERROR(__xludf.DUMMYFUNCTION("""COMPUTED_VALUE"""),45262.0)</f>
        <v>45262</v>
      </c>
      <c r="C5136" s="266" t="str">
        <f>IFERROR(__xludf.DUMMYFUNCTION("""COMPUTED_VALUE"""),"KERTASARI CIAMIS")</f>
        <v>KERTASARI CIAMIS</v>
      </c>
      <c r="D5136" s="186">
        <f>IFERROR(__xludf.DUMMYFUNCTION("""COMPUTED_VALUE"""),1.0)</f>
        <v>1</v>
      </c>
    </row>
    <row r="5137">
      <c r="A5137" s="178" t="str">
        <f>IFERROR(__xludf.DUMMYFUNCTION("""COMPUTED_VALUE"""),"ITBISA-IC-L7805CV-TO220")</f>
        <v>ITBISA-IC-L7805CV-TO220</v>
      </c>
      <c r="B5137" s="266">
        <f>IFERROR(__xludf.DUMMYFUNCTION("""COMPUTED_VALUE"""),45264.0)</f>
        <v>45264</v>
      </c>
      <c r="C5137" s="266" t="str">
        <f>IFERROR(__xludf.DUMMYFUNCTION("""COMPUTED_VALUE"""),"KERTASARI CIAMIS")</f>
        <v>KERTASARI CIAMIS</v>
      </c>
      <c r="D5137" s="186">
        <f>IFERROR(__xludf.DUMMYFUNCTION("""COMPUTED_VALUE"""),40.0)</f>
        <v>40</v>
      </c>
    </row>
    <row r="5138">
      <c r="A5138" s="178" t="str">
        <f>IFERROR(__xludf.DUMMYFUNCTION("""COMPUTED_VALUE"""),"ITBISA-IC-L7805CV-TO220")</f>
        <v>ITBISA-IC-L7805CV-TO220</v>
      </c>
      <c r="B5138" s="266">
        <f>IFERROR(__xludf.DUMMYFUNCTION("""COMPUTED_VALUE"""),45264.0)</f>
        <v>45264</v>
      </c>
      <c r="C5138" s="266" t="str">
        <f>IFERROR(__xludf.DUMMYFUNCTION("""COMPUTED_VALUE"""),"KERTASARI CIAMIS")</f>
        <v>KERTASARI CIAMIS</v>
      </c>
      <c r="D5138" s="186">
        <f>IFERROR(__xludf.DUMMYFUNCTION("""COMPUTED_VALUE"""),150.0)</f>
        <v>150</v>
      </c>
    </row>
    <row r="5139">
      <c r="A5139" s="178" t="str">
        <f>IFERROR(__xludf.DUMMYFUNCTION("""COMPUTED_VALUE"""),"ITBISA-IC-L7805CV-TO220")</f>
        <v>ITBISA-IC-L7805CV-TO220</v>
      </c>
      <c r="B5139" s="266">
        <f>IFERROR(__xludf.DUMMYFUNCTION("""COMPUTED_VALUE"""),45264.0)</f>
        <v>45264</v>
      </c>
      <c r="C5139" s="266" t="str">
        <f>IFERROR(__xludf.DUMMYFUNCTION("""COMPUTED_VALUE"""),"KYAI KONTONG")</f>
        <v>KYAI KONTONG</v>
      </c>
      <c r="D5139" s="186">
        <f>IFERROR(__xludf.DUMMYFUNCTION("""COMPUTED_VALUE"""),6.0)</f>
        <v>6</v>
      </c>
    </row>
    <row r="5140">
      <c r="A5140" s="178" t="str">
        <f>IFERROR(__xludf.DUMMYFUNCTION("""COMPUTED_VALUE"""),"ITBISA-IC-L7805CV-TO220")</f>
        <v>ITBISA-IC-L7805CV-TO220</v>
      </c>
      <c r="B5140" s="266">
        <f>IFERROR(__xludf.DUMMYFUNCTION("""COMPUTED_VALUE"""),45265.0)</f>
        <v>45265</v>
      </c>
      <c r="C5140" s="266" t="str">
        <f>IFERROR(__xludf.DUMMYFUNCTION("""COMPUTED_VALUE"""),"KERTASARI CIAMIS")</f>
        <v>KERTASARI CIAMIS</v>
      </c>
      <c r="D5140" s="186">
        <f>IFERROR(__xludf.DUMMYFUNCTION("""COMPUTED_VALUE"""),50.0)</f>
        <v>50</v>
      </c>
    </row>
    <row r="5141">
      <c r="A5141" s="178" t="str">
        <f>IFERROR(__xludf.DUMMYFUNCTION("""COMPUTED_VALUE"""),"ITBISA-IC-L7805CV-TO220")</f>
        <v>ITBISA-IC-L7805CV-TO220</v>
      </c>
      <c r="B5141" s="266">
        <f>IFERROR(__xludf.DUMMYFUNCTION("""COMPUTED_VALUE"""),45265.0)</f>
        <v>45265</v>
      </c>
      <c r="C5141" s="266" t="str">
        <f>IFERROR(__xludf.DUMMYFUNCTION("""COMPUTED_VALUE"""),"KERTASARI CIAMIS")</f>
        <v>KERTASARI CIAMIS</v>
      </c>
      <c r="D5141" s="186">
        <f>IFERROR(__xludf.DUMMYFUNCTION("""COMPUTED_VALUE"""),300.0)</f>
        <v>300</v>
      </c>
    </row>
    <row r="5142">
      <c r="A5142" s="178" t="str">
        <f>IFERROR(__xludf.DUMMYFUNCTION("""COMPUTED_VALUE"""),"ITBISA-IC-L7805CV-TO220")</f>
        <v>ITBISA-IC-L7805CV-TO220</v>
      </c>
      <c r="B5142" s="266">
        <f>IFERROR(__xludf.DUMMYFUNCTION("""COMPUTED_VALUE"""),45265.0)</f>
        <v>45265</v>
      </c>
      <c r="C5142" s="266" t="str">
        <f>IFERROR(__xludf.DUMMYFUNCTION("""COMPUTED_VALUE"""),"KYAI KONTONG")</f>
        <v>KYAI KONTONG</v>
      </c>
      <c r="D5142" s="186">
        <f>IFERROR(__xludf.DUMMYFUNCTION("""COMPUTED_VALUE"""),50.0)</f>
        <v>50</v>
      </c>
    </row>
    <row r="5143">
      <c r="A5143" s="178" t="str">
        <f>IFERROR(__xludf.DUMMYFUNCTION("""COMPUTED_VALUE"""),"ITBISA-IC-L7805CV-TO220")</f>
        <v>ITBISA-IC-L7805CV-TO220</v>
      </c>
      <c r="B5143" s="266">
        <f>IFERROR(__xludf.DUMMYFUNCTION("""COMPUTED_VALUE"""),45269.0)</f>
        <v>45269</v>
      </c>
      <c r="C5143" s="266" t="str">
        <f>IFERROR(__xludf.DUMMYFUNCTION("""COMPUTED_VALUE"""),"KYAI KONTONG")</f>
        <v>KYAI KONTONG</v>
      </c>
      <c r="D5143" s="186">
        <f>IFERROR(__xludf.DUMMYFUNCTION("""COMPUTED_VALUE"""),100.0)</f>
        <v>100</v>
      </c>
    </row>
    <row r="5144">
      <c r="A5144" s="178" t="str">
        <f>IFERROR(__xludf.DUMMYFUNCTION("""COMPUTED_VALUE"""),"ITBISA-IC-L7805CV-TO220")</f>
        <v>ITBISA-IC-L7805CV-TO220</v>
      </c>
      <c r="B5144" s="266">
        <f>IFERROR(__xludf.DUMMYFUNCTION("""COMPUTED_VALUE"""),45271.0)</f>
        <v>45271</v>
      </c>
      <c r="C5144" s="266" t="str">
        <f>IFERROR(__xludf.DUMMYFUNCTION("""COMPUTED_VALUE"""),"KYAI KONTONG")</f>
        <v>KYAI KONTONG</v>
      </c>
      <c r="D5144" s="186">
        <f>IFERROR(__xludf.DUMMYFUNCTION("""COMPUTED_VALUE"""),5.0)</f>
        <v>5</v>
      </c>
    </row>
    <row r="5145">
      <c r="A5145" s="178" t="str">
        <f>IFERROR(__xludf.DUMMYFUNCTION("""COMPUTED_VALUE"""),"ITBISA-IC-L7805CV-TO220")</f>
        <v>ITBISA-IC-L7805CV-TO220</v>
      </c>
      <c r="B5145" s="266">
        <f>IFERROR(__xludf.DUMMYFUNCTION("""COMPUTED_VALUE"""),45272.0)</f>
        <v>45272</v>
      </c>
      <c r="C5145" s="266" t="str">
        <f>IFERROR(__xludf.DUMMYFUNCTION("""COMPUTED_VALUE"""),"KYAI KONTONG")</f>
        <v>KYAI KONTONG</v>
      </c>
      <c r="D5145" s="186">
        <f>IFERROR(__xludf.DUMMYFUNCTION("""COMPUTED_VALUE"""),1.0)</f>
        <v>1</v>
      </c>
    </row>
    <row r="5146">
      <c r="A5146" s="178" t="str">
        <f>IFERROR(__xludf.DUMMYFUNCTION("""COMPUTED_VALUE"""),"ITBISA-IC-L7805CV-TO220")</f>
        <v>ITBISA-IC-L7805CV-TO220</v>
      </c>
      <c r="B5146" s="266">
        <f>IFERROR(__xludf.DUMMYFUNCTION("""COMPUTED_VALUE"""),45272.0)</f>
        <v>45272</v>
      </c>
      <c r="C5146" s="266" t="str">
        <f>IFERROR(__xludf.DUMMYFUNCTION("""COMPUTED_VALUE"""),"KYAI KONTONG")</f>
        <v>KYAI KONTONG</v>
      </c>
      <c r="D5146" s="186">
        <f>IFERROR(__xludf.DUMMYFUNCTION("""COMPUTED_VALUE"""),5.0)</f>
        <v>5</v>
      </c>
    </row>
    <row r="5147">
      <c r="A5147" s="178" t="str">
        <f>IFERROR(__xludf.DUMMYFUNCTION("""COMPUTED_VALUE"""),"ITBISA-IC-L7805CV-TO220")</f>
        <v>ITBISA-IC-L7805CV-TO220</v>
      </c>
      <c r="B5147" s="266">
        <f>IFERROR(__xludf.DUMMYFUNCTION("""COMPUTED_VALUE"""),45273.0)</f>
        <v>45273</v>
      </c>
      <c r="C5147" s="266" t="str">
        <f>IFERROR(__xludf.DUMMYFUNCTION("""COMPUTED_VALUE"""),"KERTASARI CIAMIS")</f>
        <v>KERTASARI CIAMIS</v>
      </c>
      <c r="D5147" s="186">
        <f>IFERROR(__xludf.DUMMYFUNCTION("""COMPUTED_VALUE"""),20.0)</f>
        <v>20</v>
      </c>
    </row>
    <row r="5148">
      <c r="A5148" s="178" t="str">
        <f>IFERROR(__xludf.DUMMYFUNCTION("""COMPUTED_VALUE"""),"ITBISA-IC-L7805CV-TO220")</f>
        <v>ITBISA-IC-L7805CV-TO220</v>
      </c>
      <c r="B5148" s="266">
        <f>IFERROR(__xludf.DUMMYFUNCTION("""COMPUTED_VALUE"""),45273.0)</f>
        <v>45273</v>
      </c>
      <c r="C5148" s="266" t="str">
        <f>IFERROR(__xludf.DUMMYFUNCTION("""COMPUTED_VALUE"""),"KERTASARI CIAMIS")</f>
        <v>KERTASARI CIAMIS</v>
      </c>
      <c r="D5148" s="186">
        <f>IFERROR(__xludf.DUMMYFUNCTION("""COMPUTED_VALUE"""),200.0)</f>
        <v>200</v>
      </c>
    </row>
    <row r="5149">
      <c r="A5149" s="178" t="str">
        <f>IFERROR(__xludf.DUMMYFUNCTION("""COMPUTED_VALUE"""),"ITBISA-IC-L7805CV-TO220")</f>
        <v>ITBISA-IC-L7805CV-TO220</v>
      </c>
      <c r="B5149" s="266">
        <f>IFERROR(__xludf.DUMMYFUNCTION("""COMPUTED_VALUE"""),45274.0)</f>
        <v>45274</v>
      </c>
      <c r="C5149" s="266" t="str">
        <f>IFERROR(__xludf.DUMMYFUNCTION("""COMPUTED_VALUE"""),"KYAI KONTONG")</f>
        <v>KYAI KONTONG</v>
      </c>
      <c r="D5149" s="186">
        <f>IFERROR(__xludf.DUMMYFUNCTION("""COMPUTED_VALUE"""),200.0)</f>
        <v>200</v>
      </c>
    </row>
    <row r="5150">
      <c r="A5150" s="178" t="str">
        <f>IFERROR(__xludf.DUMMYFUNCTION("""COMPUTED_VALUE"""),"ITBISA-IC-L7805CV-TO220")</f>
        <v>ITBISA-IC-L7805CV-TO220</v>
      </c>
      <c r="B5150" s="266">
        <f>IFERROR(__xludf.DUMMYFUNCTION("""COMPUTED_VALUE"""),45275.0)</f>
        <v>45275</v>
      </c>
      <c r="C5150" s="266" t="str">
        <f>IFERROR(__xludf.DUMMYFUNCTION("""COMPUTED_VALUE"""),"KERTASARI CIAMIS")</f>
        <v>KERTASARI CIAMIS</v>
      </c>
      <c r="D5150" s="186">
        <f>IFERROR(__xludf.DUMMYFUNCTION("""COMPUTED_VALUE"""),100.0)</f>
        <v>100</v>
      </c>
    </row>
    <row r="5151">
      <c r="A5151" s="178" t="str">
        <f>IFERROR(__xludf.DUMMYFUNCTION("""COMPUTED_VALUE"""),"ITBISA-IC-L7805CV-TO220")</f>
        <v>ITBISA-IC-L7805CV-TO220</v>
      </c>
      <c r="B5151" s="266">
        <f>IFERROR(__xludf.DUMMYFUNCTION("""COMPUTED_VALUE"""),45278.0)</f>
        <v>45278</v>
      </c>
      <c r="C5151" s="266" t="str">
        <f>IFERROR(__xludf.DUMMYFUNCTION("""COMPUTED_VALUE"""),"KYAI KONTONG")</f>
        <v>KYAI KONTONG</v>
      </c>
      <c r="D5151" s="186">
        <f>IFERROR(__xludf.DUMMYFUNCTION("""COMPUTED_VALUE"""),1.0)</f>
        <v>1</v>
      </c>
    </row>
    <row r="5152">
      <c r="A5152" s="178" t="str">
        <f>IFERROR(__xludf.DUMMYFUNCTION("""COMPUTED_VALUE"""),"ITBISA-IC-L7805CV-TO220")</f>
        <v>ITBISA-IC-L7805CV-TO220</v>
      </c>
      <c r="B5152" s="266">
        <f>IFERROR(__xludf.DUMMYFUNCTION("""COMPUTED_VALUE"""),45279.0)</f>
        <v>45279</v>
      </c>
      <c r="C5152" s="266" t="str">
        <f>IFERROR(__xludf.DUMMYFUNCTION("""COMPUTED_VALUE"""),"KYAI KONTONG")</f>
        <v>KYAI KONTONG</v>
      </c>
      <c r="D5152" s="186">
        <f>IFERROR(__xludf.DUMMYFUNCTION("""COMPUTED_VALUE"""),10.0)</f>
        <v>10</v>
      </c>
    </row>
    <row r="5153">
      <c r="A5153" s="178" t="str">
        <f>IFERROR(__xludf.DUMMYFUNCTION("""COMPUTED_VALUE"""),"ITBISA-IC-L7805CV-TO220")</f>
        <v>ITBISA-IC-L7805CV-TO220</v>
      </c>
      <c r="B5153" s="266">
        <f>IFERROR(__xludf.DUMMYFUNCTION("""COMPUTED_VALUE"""),45282.0)</f>
        <v>45282</v>
      </c>
      <c r="C5153" s="266" t="str">
        <f>IFERROR(__xludf.DUMMYFUNCTION("""COMPUTED_VALUE"""),"KERTASARI CIAMIS")</f>
        <v>KERTASARI CIAMIS</v>
      </c>
      <c r="D5153" s="186">
        <f>IFERROR(__xludf.DUMMYFUNCTION("""COMPUTED_VALUE"""),450.0)</f>
        <v>450</v>
      </c>
    </row>
    <row r="5154">
      <c r="A5154" s="178" t="str">
        <f>IFERROR(__xludf.DUMMYFUNCTION("""COMPUTED_VALUE"""),"ITBISA-IC-L7805CV-TO220")</f>
        <v>ITBISA-IC-L7805CV-TO220</v>
      </c>
      <c r="B5154" s="266">
        <f>IFERROR(__xludf.DUMMYFUNCTION("""COMPUTED_VALUE"""),45283.0)</f>
        <v>45283</v>
      </c>
      <c r="C5154" s="266" t="str">
        <f>IFERROR(__xludf.DUMMYFUNCTION("""COMPUTED_VALUE"""),"KERTASARI CIAMIS")</f>
        <v>KERTASARI CIAMIS</v>
      </c>
      <c r="D5154" s="186">
        <f>IFERROR(__xludf.DUMMYFUNCTION("""COMPUTED_VALUE"""),40.0)</f>
        <v>40</v>
      </c>
    </row>
    <row r="5155">
      <c r="A5155" s="178" t="str">
        <f>IFERROR(__xludf.DUMMYFUNCTION("""COMPUTED_VALUE"""),"ITBISA-IC-L7805CV-TO220")</f>
        <v>ITBISA-IC-L7805CV-TO220</v>
      </c>
      <c r="B5155" s="266">
        <f>IFERROR(__xludf.DUMMYFUNCTION("""COMPUTED_VALUE"""),45284.0)</f>
        <v>45284</v>
      </c>
      <c r="C5155" s="266" t="str">
        <f>IFERROR(__xludf.DUMMYFUNCTION("""COMPUTED_VALUE"""),"KERTASARI CIAMIS")</f>
        <v>KERTASARI CIAMIS</v>
      </c>
      <c r="D5155" s="186">
        <f>IFERROR(__xludf.DUMMYFUNCTION("""COMPUTED_VALUE"""),1000.0)</f>
        <v>1000</v>
      </c>
    </row>
    <row r="5156">
      <c r="A5156" s="178" t="str">
        <f>IFERROR(__xludf.DUMMYFUNCTION("""COMPUTED_VALUE"""),"ITBISA-IC-L7805CV-TO220")</f>
        <v>ITBISA-IC-L7805CV-TO220</v>
      </c>
      <c r="B5156" s="266">
        <f>IFERROR(__xludf.DUMMYFUNCTION("""COMPUTED_VALUE"""),45286.0)</f>
        <v>45286</v>
      </c>
      <c r="C5156" s="266" t="str">
        <f>IFERROR(__xludf.DUMMYFUNCTION("""COMPUTED_VALUE"""),"KERTASARI CIAMIS")</f>
        <v>KERTASARI CIAMIS</v>
      </c>
      <c r="D5156" s="186">
        <f>IFERROR(__xludf.DUMMYFUNCTION("""COMPUTED_VALUE"""),50.0)</f>
        <v>50</v>
      </c>
    </row>
    <row r="5157">
      <c r="A5157" s="178" t="str">
        <f>IFERROR(__xludf.DUMMYFUNCTION("""COMPUTED_VALUE"""),"ITBISA-IC-L7805CV-TO220")</f>
        <v>ITBISA-IC-L7805CV-TO220</v>
      </c>
      <c r="B5157" s="266">
        <f>IFERROR(__xludf.DUMMYFUNCTION("""COMPUTED_VALUE"""),45286.0)</f>
        <v>45286</v>
      </c>
      <c r="C5157" s="266" t="str">
        <f>IFERROR(__xludf.DUMMYFUNCTION("""COMPUTED_VALUE"""),"KYAI KONTONG")</f>
        <v>KYAI KONTONG</v>
      </c>
      <c r="D5157" s="186">
        <f>IFERROR(__xludf.DUMMYFUNCTION("""COMPUTED_VALUE"""),50.0)</f>
        <v>50</v>
      </c>
    </row>
    <row r="5158">
      <c r="A5158" s="178" t="str">
        <f>IFERROR(__xludf.DUMMYFUNCTION("""COMPUTED_VALUE"""),"ITBISA-IC-L7805CV-TO220")</f>
        <v>ITBISA-IC-L7805CV-TO220</v>
      </c>
      <c r="B5158" s="266">
        <f>IFERROR(__xludf.DUMMYFUNCTION("""COMPUTED_VALUE"""),45286.0)</f>
        <v>45286</v>
      </c>
      <c r="C5158" s="266" t="str">
        <f>IFERROR(__xludf.DUMMYFUNCTION("""COMPUTED_VALUE"""),"KYAI KONTONG")</f>
        <v>KYAI KONTONG</v>
      </c>
      <c r="D5158" s="186">
        <f>IFERROR(__xludf.DUMMYFUNCTION("""COMPUTED_VALUE"""),70.0)</f>
        <v>70</v>
      </c>
    </row>
    <row r="5159">
      <c r="A5159" s="178" t="str">
        <f>IFERROR(__xludf.DUMMYFUNCTION("""COMPUTED_VALUE"""),"ITBISA-IC-L7805CV-TO220")</f>
        <v>ITBISA-IC-L7805CV-TO220</v>
      </c>
      <c r="B5159" s="266">
        <f>IFERROR(__xludf.DUMMYFUNCTION("""COMPUTED_VALUE"""),45288.0)</f>
        <v>45288</v>
      </c>
      <c r="C5159" s="266" t="str">
        <f>IFERROR(__xludf.DUMMYFUNCTION("""COMPUTED_VALUE"""),"KERTASARI CIAMIS")</f>
        <v>KERTASARI CIAMIS</v>
      </c>
      <c r="D5159" s="186">
        <f>IFERROR(__xludf.DUMMYFUNCTION("""COMPUTED_VALUE"""),20.0)</f>
        <v>20</v>
      </c>
    </row>
    <row r="5160">
      <c r="A5160" s="178" t="str">
        <f>IFERROR(__xludf.DUMMYFUNCTION("""COMPUTED_VALUE"""),"ITBISA-IC-L7805CV-TO220")</f>
        <v>ITBISA-IC-L7805CV-TO220</v>
      </c>
      <c r="B5160" s="266">
        <f>IFERROR(__xludf.DUMMYFUNCTION("""COMPUTED_VALUE"""),45289.0)</f>
        <v>45289</v>
      </c>
      <c r="C5160" s="266" t="str">
        <f>IFERROR(__xludf.DUMMYFUNCTION("""COMPUTED_VALUE"""),"KYAI KONTONG")</f>
        <v>KYAI KONTONG</v>
      </c>
      <c r="D5160" s="186">
        <f>IFERROR(__xludf.DUMMYFUNCTION("""COMPUTED_VALUE"""),15.0)</f>
        <v>15</v>
      </c>
    </row>
    <row r="5161">
      <c r="A5161" s="178" t="str">
        <f>IFERROR(__xludf.DUMMYFUNCTION("""COMPUTED_VALUE"""),"ITBISA-IC-L7805CV-TO220")</f>
        <v>ITBISA-IC-L7805CV-TO220</v>
      </c>
      <c r="B5161" s="266">
        <f>IFERROR(__xludf.DUMMYFUNCTION("""COMPUTED_VALUE"""),45291.0)</f>
        <v>45291</v>
      </c>
      <c r="C5161" s="266" t="str">
        <f>IFERROR(__xludf.DUMMYFUNCTION("""COMPUTED_VALUE"""),"KERTASARI CIAMIS")</f>
        <v>KERTASARI CIAMIS</v>
      </c>
      <c r="D5161" s="186">
        <f>IFERROR(__xludf.DUMMYFUNCTION("""COMPUTED_VALUE"""),30.0)</f>
        <v>30</v>
      </c>
    </row>
    <row r="5162">
      <c r="A5162" s="178" t="str">
        <f>IFERROR(__xludf.DUMMYFUNCTION("""COMPUTED_VALUE"""),"ITBISA-IC-L7805CV-TO220")</f>
        <v>ITBISA-IC-L7805CV-TO220</v>
      </c>
      <c r="B5162" s="266">
        <f>IFERROR(__xludf.DUMMYFUNCTION("""COMPUTED_VALUE"""),45292.0)</f>
        <v>45292</v>
      </c>
      <c r="C5162" s="266" t="str">
        <f>IFERROR(__xludf.DUMMYFUNCTION("""COMPUTED_VALUE"""),"KERTASARI CIAMIS")</f>
        <v>KERTASARI CIAMIS</v>
      </c>
      <c r="D5162" s="186">
        <f>IFERROR(__xludf.DUMMYFUNCTION("""COMPUTED_VALUE"""),10.0)</f>
        <v>10</v>
      </c>
    </row>
    <row r="5163">
      <c r="A5163" s="178" t="str">
        <f>IFERROR(__xludf.DUMMYFUNCTION("""COMPUTED_VALUE"""),"ITBISA-IC-L7805CV-TO220")</f>
        <v>ITBISA-IC-L7805CV-TO220</v>
      </c>
      <c r="B5163" s="266">
        <f>IFERROR(__xludf.DUMMYFUNCTION("""COMPUTED_VALUE"""),45292.0)</f>
        <v>45292</v>
      </c>
      <c r="C5163" s="266" t="str">
        <f>IFERROR(__xludf.DUMMYFUNCTION("""COMPUTED_VALUE"""),"KYAI KONTONG")</f>
        <v>KYAI KONTONG</v>
      </c>
      <c r="D5163" s="186">
        <f>IFERROR(__xludf.DUMMYFUNCTION("""COMPUTED_VALUE"""),2.0)</f>
        <v>2</v>
      </c>
    </row>
    <row r="5164">
      <c r="A5164" s="178" t="str">
        <f>IFERROR(__xludf.DUMMYFUNCTION("""COMPUTED_VALUE"""),"ITBISA-IC-L7805CV-TO220")</f>
        <v>ITBISA-IC-L7805CV-TO220</v>
      </c>
      <c r="B5164" s="266">
        <f>IFERROR(__xludf.DUMMYFUNCTION("""COMPUTED_VALUE"""),45292.0)</f>
        <v>45292</v>
      </c>
      <c r="C5164" s="266" t="str">
        <f>IFERROR(__xludf.DUMMYFUNCTION("""COMPUTED_VALUE"""),"KYAI KONTONG")</f>
        <v>KYAI KONTONG</v>
      </c>
      <c r="D5164" s="186">
        <f>IFERROR(__xludf.DUMMYFUNCTION("""COMPUTED_VALUE"""),2.0)</f>
        <v>2</v>
      </c>
    </row>
    <row r="5165">
      <c r="A5165" s="178" t="str">
        <f>IFERROR(__xludf.DUMMYFUNCTION("""COMPUTED_VALUE"""),"ITBISA-IC-L7805CV-TO220")</f>
        <v>ITBISA-IC-L7805CV-TO220</v>
      </c>
      <c r="B5165" s="266">
        <f>IFERROR(__xludf.DUMMYFUNCTION("""COMPUTED_VALUE"""),45293.0)</f>
        <v>45293</v>
      </c>
      <c r="C5165" s="266" t="str">
        <f>IFERROR(__xludf.DUMMYFUNCTION("""COMPUTED_VALUE"""),"KERTASARI CIAMIS")</f>
        <v>KERTASARI CIAMIS</v>
      </c>
      <c r="D5165" s="186">
        <f>IFERROR(__xludf.DUMMYFUNCTION("""COMPUTED_VALUE"""),32.0)</f>
        <v>32</v>
      </c>
    </row>
    <row r="5166">
      <c r="A5166" s="178" t="str">
        <f>IFERROR(__xludf.DUMMYFUNCTION("""COMPUTED_VALUE"""),"ITBISA-IC-L7805CV-TO220")</f>
        <v>ITBISA-IC-L7805CV-TO220</v>
      </c>
      <c r="B5166" s="266">
        <f>IFERROR(__xludf.DUMMYFUNCTION("""COMPUTED_VALUE"""),45294.0)</f>
        <v>45294</v>
      </c>
      <c r="C5166" s="266" t="str">
        <f>IFERROR(__xludf.DUMMYFUNCTION("""COMPUTED_VALUE"""),"KYAI KONTONG")</f>
        <v>KYAI KONTONG</v>
      </c>
      <c r="D5166" s="186">
        <f>IFERROR(__xludf.DUMMYFUNCTION("""COMPUTED_VALUE"""),3.0)</f>
        <v>3</v>
      </c>
    </row>
    <row r="5167">
      <c r="A5167" s="178" t="str">
        <f>IFERROR(__xludf.DUMMYFUNCTION("""COMPUTED_VALUE"""),"ITBISA-IC-L7805CV-TO220")</f>
        <v>ITBISA-IC-L7805CV-TO220</v>
      </c>
      <c r="B5167" s="266">
        <f>IFERROR(__xludf.DUMMYFUNCTION("""COMPUTED_VALUE"""),45296.0)</f>
        <v>45296</v>
      </c>
      <c r="C5167" s="266" t="str">
        <f>IFERROR(__xludf.DUMMYFUNCTION("""COMPUTED_VALUE"""),"KYAI KONTONG")</f>
        <v>KYAI KONTONG</v>
      </c>
      <c r="D5167" s="186">
        <f>IFERROR(__xludf.DUMMYFUNCTION("""COMPUTED_VALUE"""),8.0)</f>
        <v>8</v>
      </c>
    </row>
    <row r="5168">
      <c r="A5168" s="178" t="str">
        <f>IFERROR(__xludf.DUMMYFUNCTION("""COMPUTED_VALUE"""),"ITBISA-IC-L7805CV-TO220")</f>
        <v>ITBISA-IC-L7805CV-TO220</v>
      </c>
      <c r="B5168" s="266">
        <f>IFERROR(__xludf.DUMMYFUNCTION("""COMPUTED_VALUE"""),45297.0)</f>
        <v>45297</v>
      </c>
      <c r="C5168" s="266" t="str">
        <f>IFERROR(__xludf.DUMMYFUNCTION("""COMPUTED_VALUE"""),"KERTASARI CIAMIS")</f>
        <v>KERTASARI CIAMIS</v>
      </c>
      <c r="D5168" s="186">
        <f>IFERROR(__xludf.DUMMYFUNCTION("""COMPUTED_VALUE"""),100.0)</f>
        <v>100</v>
      </c>
    </row>
    <row r="5169">
      <c r="A5169" s="178" t="str">
        <f>IFERROR(__xludf.DUMMYFUNCTION("""COMPUTED_VALUE"""),"ITBISA-IC-L7805CV-TO220")</f>
        <v>ITBISA-IC-L7805CV-TO220</v>
      </c>
      <c r="B5169" s="266">
        <f>IFERROR(__xludf.DUMMYFUNCTION("""COMPUTED_VALUE"""),45299.0)</f>
        <v>45299</v>
      </c>
      <c r="C5169" s="266" t="str">
        <f>IFERROR(__xludf.DUMMYFUNCTION("""COMPUTED_VALUE"""),"KERTASARI CIAMIS")</f>
        <v>KERTASARI CIAMIS</v>
      </c>
      <c r="D5169" s="186">
        <f>IFERROR(__xludf.DUMMYFUNCTION("""COMPUTED_VALUE"""),10.0)</f>
        <v>10</v>
      </c>
    </row>
    <row r="5170">
      <c r="A5170" s="178" t="str">
        <f>IFERROR(__xludf.DUMMYFUNCTION("""COMPUTED_VALUE"""),"ITBISA-IC-L7805CV-TO220")</f>
        <v>ITBISA-IC-L7805CV-TO220</v>
      </c>
      <c r="B5170" s="266">
        <f>IFERROR(__xludf.DUMMYFUNCTION("""COMPUTED_VALUE"""),45299.0)</f>
        <v>45299</v>
      </c>
      <c r="C5170" s="266" t="str">
        <f>IFERROR(__xludf.DUMMYFUNCTION("""COMPUTED_VALUE"""),"KERTASARI CIAMIS")</f>
        <v>KERTASARI CIAMIS</v>
      </c>
      <c r="D5170" s="186">
        <f>IFERROR(__xludf.DUMMYFUNCTION("""COMPUTED_VALUE"""),20.0)</f>
        <v>20</v>
      </c>
    </row>
    <row r="5171">
      <c r="A5171" s="178" t="str">
        <f>IFERROR(__xludf.DUMMYFUNCTION("""COMPUTED_VALUE"""),"ITBISA-IC-L7805CV-TO220")</f>
        <v>ITBISA-IC-L7805CV-TO220</v>
      </c>
      <c r="B5171" s="266">
        <f>IFERROR(__xludf.DUMMYFUNCTION("""COMPUTED_VALUE"""),45301.0)</f>
        <v>45301</v>
      </c>
      <c r="C5171" s="266" t="str">
        <f>IFERROR(__xludf.DUMMYFUNCTION("""COMPUTED_VALUE"""),"KERTASARI CIAMIS")</f>
        <v>KERTASARI CIAMIS</v>
      </c>
      <c r="D5171" s="186">
        <f>IFERROR(__xludf.DUMMYFUNCTION("""COMPUTED_VALUE"""),100.0)</f>
        <v>100</v>
      </c>
    </row>
    <row r="5172">
      <c r="A5172" s="178" t="str">
        <f>IFERROR(__xludf.DUMMYFUNCTION("""COMPUTED_VALUE"""),"ITBISA-IC-L7805CV-TO220")</f>
        <v>ITBISA-IC-L7805CV-TO220</v>
      </c>
      <c r="B5172" s="266">
        <f>IFERROR(__xludf.DUMMYFUNCTION("""COMPUTED_VALUE"""),45305.0)</f>
        <v>45305</v>
      </c>
      <c r="C5172" s="266" t="str">
        <f>IFERROR(__xludf.DUMMYFUNCTION("""COMPUTED_VALUE"""),"KERTASARI CIAMIS")</f>
        <v>KERTASARI CIAMIS</v>
      </c>
      <c r="D5172" s="186">
        <f>IFERROR(__xludf.DUMMYFUNCTION("""COMPUTED_VALUE"""),100.0)</f>
        <v>100</v>
      </c>
    </row>
    <row r="5173">
      <c r="A5173" s="178" t="str">
        <f>IFERROR(__xludf.DUMMYFUNCTION("""COMPUTED_VALUE"""),"ITBISA-IC-L7805CV-TO220")</f>
        <v>ITBISA-IC-L7805CV-TO220</v>
      </c>
      <c r="B5173" s="266">
        <f>IFERROR(__xludf.DUMMYFUNCTION("""COMPUTED_VALUE"""),45306.0)</f>
        <v>45306</v>
      </c>
      <c r="C5173" s="266" t="str">
        <f>IFERROR(__xludf.DUMMYFUNCTION("""COMPUTED_VALUE"""),"KERTASARI CIAMIS")</f>
        <v>KERTASARI CIAMIS</v>
      </c>
      <c r="D5173" s="186">
        <f>IFERROR(__xludf.DUMMYFUNCTION("""COMPUTED_VALUE"""),50.0)</f>
        <v>50</v>
      </c>
    </row>
    <row r="5174">
      <c r="A5174" s="178" t="str">
        <f>IFERROR(__xludf.DUMMYFUNCTION("""COMPUTED_VALUE"""),"ITBISA-IC-L7805CV-TO220")</f>
        <v>ITBISA-IC-L7805CV-TO220</v>
      </c>
      <c r="B5174" s="266">
        <f>IFERROR(__xludf.DUMMYFUNCTION("""COMPUTED_VALUE"""),45309.0)</f>
        <v>45309</v>
      </c>
      <c r="C5174" s="266" t="str">
        <f>IFERROR(__xludf.DUMMYFUNCTION("""COMPUTED_VALUE"""),"KERTASARI CIAMIS")</f>
        <v>KERTASARI CIAMIS</v>
      </c>
      <c r="D5174" s="186">
        <f>IFERROR(__xludf.DUMMYFUNCTION("""COMPUTED_VALUE"""),10.0)</f>
        <v>10</v>
      </c>
    </row>
    <row r="5175">
      <c r="A5175" s="178" t="str">
        <f>IFERROR(__xludf.DUMMYFUNCTION("""COMPUTED_VALUE"""),"ITBISA-IC-L7805CV-TO220")</f>
        <v>ITBISA-IC-L7805CV-TO220</v>
      </c>
      <c r="B5175" s="266">
        <f>IFERROR(__xludf.DUMMYFUNCTION("""COMPUTED_VALUE"""),45310.0)</f>
        <v>45310</v>
      </c>
      <c r="C5175" s="266" t="str">
        <f>IFERROR(__xludf.DUMMYFUNCTION("""COMPUTED_VALUE"""),"KERTASARI CIAMIS")</f>
        <v>KERTASARI CIAMIS</v>
      </c>
      <c r="D5175" s="186">
        <f>IFERROR(__xludf.DUMMYFUNCTION("""COMPUTED_VALUE"""),20.0)</f>
        <v>20</v>
      </c>
    </row>
    <row r="5176">
      <c r="A5176" s="178" t="str">
        <f>IFERROR(__xludf.DUMMYFUNCTION("""COMPUTED_VALUE"""),"ITBISA-IC-L7805CV-TO220")</f>
        <v>ITBISA-IC-L7805CV-TO220</v>
      </c>
      <c r="B5176" s="266">
        <f>IFERROR(__xludf.DUMMYFUNCTION("""COMPUTED_VALUE"""),45314.0)</f>
        <v>45314</v>
      </c>
      <c r="C5176" s="266" t="str">
        <f>IFERROR(__xludf.DUMMYFUNCTION("""COMPUTED_VALUE"""),"KERTASARI CIAMIS")</f>
        <v>KERTASARI CIAMIS</v>
      </c>
      <c r="D5176" s="186">
        <f>IFERROR(__xludf.DUMMYFUNCTION("""COMPUTED_VALUE"""),500.0)</f>
        <v>500</v>
      </c>
    </row>
    <row r="5177">
      <c r="A5177" s="178" t="str">
        <f>IFERROR(__xludf.DUMMYFUNCTION("""COMPUTED_VALUE"""),"ITBISA-IC-L7805CV-TO220")</f>
        <v>ITBISA-IC-L7805CV-TO220</v>
      </c>
      <c r="B5177" s="266">
        <f>IFERROR(__xludf.DUMMYFUNCTION("""COMPUTED_VALUE"""),45315.0)</f>
        <v>45315</v>
      </c>
      <c r="C5177" s="266" t="str">
        <f>IFERROR(__xludf.DUMMYFUNCTION("""COMPUTED_VALUE"""),"KERTASARI CIAMIS")</f>
        <v>KERTASARI CIAMIS</v>
      </c>
      <c r="D5177" s="186">
        <f>IFERROR(__xludf.DUMMYFUNCTION("""COMPUTED_VALUE"""),15.0)</f>
        <v>15</v>
      </c>
    </row>
    <row r="5178">
      <c r="A5178" s="178" t="str">
        <f>IFERROR(__xludf.DUMMYFUNCTION("""COMPUTED_VALUE"""),"ITBISA-IC-L7805CV-TO220")</f>
        <v>ITBISA-IC-L7805CV-TO220</v>
      </c>
      <c r="B5178" s="266">
        <f>IFERROR(__xludf.DUMMYFUNCTION("""COMPUTED_VALUE"""),45315.0)</f>
        <v>45315</v>
      </c>
      <c r="C5178" s="266" t="str">
        <f>IFERROR(__xludf.DUMMYFUNCTION("""COMPUTED_VALUE"""),"KERTASARI CIAMIS")</f>
        <v>KERTASARI CIAMIS</v>
      </c>
      <c r="D5178" s="186">
        <f>IFERROR(__xludf.DUMMYFUNCTION("""COMPUTED_VALUE"""),150.0)</f>
        <v>150</v>
      </c>
    </row>
    <row r="5179">
      <c r="A5179" s="178" t="str">
        <f>IFERROR(__xludf.DUMMYFUNCTION("""COMPUTED_VALUE"""),"ITBISA-IC-L7805CV-TO220")</f>
        <v>ITBISA-IC-L7805CV-TO220</v>
      </c>
      <c r="B5179" s="266">
        <f>IFERROR(__xludf.DUMMYFUNCTION("""COMPUTED_VALUE"""),45316.0)</f>
        <v>45316</v>
      </c>
      <c r="C5179" s="266" t="str">
        <f>IFERROR(__xludf.DUMMYFUNCTION("""COMPUTED_VALUE"""),"KERTASARI CIAMIS")</f>
        <v>KERTASARI CIAMIS</v>
      </c>
      <c r="D5179" s="186">
        <f>IFERROR(__xludf.DUMMYFUNCTION("""COMPUTED_VALUE"""),200.0)</f>
        <v>200</v>
      </c>
    </row>
    <row r="5180">
      <c r="A5180" s="178" t="str">
        <f>IFERROR(__xludf.DUMMYFUNCTION("""COMPUTED_VALUE"""),"ITBISA-IC-L7805CV-TO220")</f>
        <v>ITBISA-IC-L7805CV-TO220</v>
      </c>
      <c r="B5180" s="266">
        <f>IFERROR(__xludf.DUMMYFUNCTION("""COMPUTED_VALUE"""),45317.0)</f>
        <v>45317</v>
      </c>
      <c r="C5180" s="266" t="str">
        <f>IFERROR(__xludf.DUMMYFUNCTION("""COMPUTED_VALUE"""),"KERTASARI CIAMIS")</f>
        <v>KERTASARI CIAMIS</v>
      </c>
      <c r="D5180" s="186">
        <f>IFERROR(__xludf.DUMMYFUNCTION("""COMPUTED_VALUE"""),4.0)</f>
        <v>4</v>
      </c>
    </row>
    <row r="5181">
      <c r="A5181" s="178" t="str">
        <f>IFERROR(__xludf.DUMMYFUNCTION("""COMPUTED_VALUE"""),"ITBISA-IC-L7805CV-TO220")</f>
        <v>ITBISA-IC-L7805CV-TO220</v>
      </c>
      <c r="B5181" s="266">
        <f>IFERROR(__xludf.DUMMYFUNCTION("""COMPUTED_VALUE"""),45319.0)</f>
        <v>45319</v>
      </c>
      <c r="C5181" s="266" t="str">
        <f>IFERROR(__xludf.DUMMYFUNCTION("""COMPUTED_VALUE"""),"KERTASARI CIAMIS")</f>
        <v>KERTASARI CIAMIS</v>
      </c>
      <c r="D5181" s="186">
        <f>IFERROR(__xludf.DUMMYFUNCTION("""COMPUTED_VALUE"""),200.0)</f>
        <v>200</v>
      </c>
    </row>
    <row r="5182">
      <c r="A5182" s="178" t="str">
        <f>IFERROR(__xludf.DUMMYFUNCTION("""COMPUTED_VALUE"""),"ITBISA-IC-L7805CV-TO220")</f>
        <v>ITBISA-IC-L7805CV-TO220</v>
      </c>
      <c r="B5182" s="266">
        <f>IFERROR(__xludf.DUMMYFUNCTION("""COMPUTED_VALUE"""),45320.0)</f>
        <v>45320</v>
      </c>
      <c r="C5182" s="266" t="str">
        <f>IFERROR(__xludf.DUMMYFUNCTION("""COMPUTED_VALUE"""),"KERTASARI CIAMIS")</f>
        <v>KERTASARI CIAMIS</v>
      </c>
      <c r="D5182" s="186">
        <f>IFERROR(__xludf.DUMMYFUNCTION("""COMPUTED_VALUE"""),50.0)</f>
        <v>50</v>
      </c>
    </row>
    <row r="5183">
      <c r="A5183" s="178" t="str">
        <f>IFERROR(__xludf.DUMMYFUNCTION("""COMPUTED_VALUE"""),"ITBISA-IC-L7805CV-TO220")</f>
        <v>ITBISA-IC-L7805CV-TO220</v>
      </c>
      <c r="B5183" s="266">
        <f>IFERROR(__xludf.DUMMYFUNCTION("""COMPUTED_VALUE"""),45321.0)</f>
        <v>45321</v>
      </c>
      <c r="C5183" s="266" t="str">
        <f>IFERROR(__xludf.DUMMYFUNCTION("""COMPUTED_VALUE"""),"KYAI KONTONG")</f>
        <v>KYAI KONTONG</v>
      </c>
      <c r="D5183" s="186">
        <f>IFERROR(__xludf.DUMMYFUNCTION("""COMPUTED_VALUE"""),1000.0)</f>
        <v>1000</v>
      </c>
    </row>
    <row r="5184">
      <c r="A5184" s="178" t="str">
        <f>IFERROR(__xludf.DUMMYFUNCTION("""COMPUTED_VALUE"""),"ITBISA-IC-L7805CV-TO220")</f>
        <v>ITBISA-IC-L7805CV-TO220</v>
      </c>
      <c r="B5184" s="266">
        <f>IFERROR(__xludf.DUMMYFUNCTION("""COMPUTED_VALUE"""),45324.0)</f>
        <v>45324</v>
      </c>
      <c r="C5184" s="266" t="str">
        <f>IFERROR(__xludf.DUMMYFUNCTION("""COMPUTED_VALUE"""),"KERTASARI CIAMIS")</f>
        <v>KERTASARI CIAMIS</v>
      </c>
      <c r="D5184" s="186">
        <f>IFERROR(__xludf.DUMMYFUNCTION("""COMPUTED_VALUE"""),10.0)</f>
        <v>10</v>
      </c>
    </row>
    <row r="5185">
      <c r="A5185" s="178" t="str">
        <f>IFERROR(__xludf.DUMMYFUNCTION("""COMPUTED_VALUE"""),"ITBISA-IC-L7805CV-TO220")</f>
        <v>ITBISA-IC-L7805CV-TO220</v>
      </c>
      <c r="B5185" s="266">
        <f>IFERROR(__xludf.DUMMYFUNCTION("""COMPUTED_VALUE"""),45324.0)</f>
        <v>45324</v>
      </c>
      <c r="C5185" s="266" t="str">
        <f>IFERROR(__xludf.DUMMYFUNCTION("""COMPUTED_VALUE"""),"KERTASARI CIAMIS")</f>
        <v>KERTASARI CIAMIS</v>
      </c>
      <c r="D5185" s="186">
        <f>IFERROR(__xludf.DUMMYFUNCTION("""COMPUTED_VALUE"""),100.0)</f>
        <v>100</v>
      </c>
    </row>
    <row r="5186">
      <c r="A5186" s="178" t="str">
        <f>IFERROR(__xludf.DUMMYFUNCTION("""COMPUTED_VALUE"""),"ITBISA-IC-L7805CV-TO220")</f>
        <v>ITBISA-IC-L7805CV-TO220</v>
      </c>
      <c r="B5186" s="266">
        <f>IFERROR(__xludf.DUMMYFUNCTION("""COMPUTED_VALUE"""),45330.0)</f>
        <v>45330</v>
      </c>
      <c r="C5186" s="266" t="str">
        <f>IFERROR(__xludf.DUMMYFUNCTION("""COMPUTED_VALUE"""),"KYAI KONTONG")</f>
        <v>KYAI KONTONG</v>
      </c>
      <c r="D5186" s="186">
        <f>IFERROR(__xludf.DUMMYFUNCTION("""COMPUTED_VALUE"""),500.0)</f>
        <v>500</v>
      </c>
    </row>
    <row r="5187">
      <c r="A5187" s="178" t="str">
        <f>IFERROR(__xludf.DUMMYFUNCTION("""COMPUTED_VALUE"""),"ITBISA-IC-L7805CV-TO220")</f>
        <v>ITBISA-IC-L7805CV-TO220</v>
      </c>
      <c r="B5187" s="266">
        <f>IFERROR(__xludf.DUMMYFUNCTION("""COMPUTED_VALUE"""),45334.0)</f>
        <v>45334</v>
      </c>
      <c r="C5187" s="266" t="str">
        <f>IFERROR(__xludf.DUMMYFUNCTION("""COMPUTED_VALUE"""),"KERTASARI CIAMIS")</f>
        <v>KERTASARI CIAMIS</v>
      </c>
      <c r="D5187" s="186">
        <f>IFERROR(__xludf.DUMMYFUNCTION("""COMPUTED_VALUE"""),20.0)</f>
        <v>20</v>
      </c>
    </row>
    <row r="5188">
      <c r="A5188" s="178" t="str">
        <f>IFERROR(__xludf.DUMMYFUNCTION("""COMPUTED_VALUE"""),"ITBISA-IC-L7805CV-TO220")</f>
        <v>ITBISA-IC-L7805CV-TO220</v>
      </c>
      <c r="B5188" s="266">
        <f>IFERROR(__xludf.DUMMYFUNCTION("""COMPUTED_VALUE"""),45335.0)</f>
        <v>45335</v>
      </c>
      <c r="C5188" s="266" t="str">
        <f>IFERROR(__xludf.DUMMYFUNCTION("""COMPUTED_VALUE"""),"KERTASARI CIAMIS")</f>
        <v>KERTASARI CIAMIS</v>
      </c>
      <c r="D5188" s="186">
        <f>IFERROR(__xludf.DUMMYFUNCTION("""COMPUTED_VALUE"""),50.0)</f>
        <v>50</v>
      </c>
    </row>
    <row r="5189">
      <c r="A5189" s="178" t="str">
        <f>IFERROR(__xludf.DUMMYFUNCTION("""COMPUTED_VALUE"""),"ITBISA-IC-L7805CV-TO220")</f>
        <v>ITBISA-IC-L7805CV-TO220</v>
      </c>
      <c r="B5189" s="266">
        <f>IFERROR(__xludf.DUMMYFUNCTION("""COMPUTED_VALUE"""),45337.0)</f>
        <v>45337</v>
      </c>
      <c r="C5189" s="266" t="str">
        <f>IFERROR(__xludf.DUMMYFUNCTION("""COMPUTED_VALUE"""),"KERTASARI CIAMIS")</f>
        <v>KERTASARI CIAMIS</v>
      </c>
      <c r="D5189" s="186">
        <f>IFERROR(__xludf.DUMMYFUNCTION("""COMPUTED_VALUE"""),100.0)</f>
        <v>100</v>
      </c>
    </row>
    <row r="5190">
      <c r="A5190" s="178" t="str">
        <f>IFERROR(__xludf.DUMMYFUNCTION("""COMPUTED_VALUE"""),"ITBISA-IC-L7805CV-TO220")</f>
        <v>ITBISA-IC-L7805CV-TO220</v>
      </c>
      <c r="B5190" s="266">
        <f>IFERROR(__xludf.DUMMYFUNCTION("""COMPUTED_VALUE"""),45338.0)</f>
        <v>45338</v>
      </c>
      <c r="C5190" s="266" t="str">
        <f>IFERROR(__xludf.DUMMYFUNCTION("""COMPUTED_VALUE"""),"KERTASARI CIAMIS")</f>
        <v>KERTASARI CIAMIS</v>
      </c>
      <c r="D5190" s="186">
        <f>IFERROR(__xludf.DUMMYFUNCTION("""COMPUTED_VALUE"""),30.0)</f>
        <v>30</v>
      </c>
    </row>
    <row r="5191">
      <c r="A5191" s="178" t="str">
        <f>IFERROR(__xludf.DUMMYFUNCTION("""COMPUTED_VALUE"""),"ITBISA-IC-L7805CV-TO220")</f>
        <v>ITBISA-IC-L7805CV-TO220</v>
      </c>
      <c r="B5191" s="266">
        <f>IFERROR(__xludf.DUMMYFUNCTION("""COMPUTED_VALUE"""),45340.0)</f>
        <v>45340</v>
      </c>
      <c r="C5191" s="266" t="str">
        <f>IFERROR(__xludf.DUMMYFUNCTION("""COMPUTED_VALUE"""),"KYAI KONTONG")</f>
        <v>KYAI KONTONG</v>
      </c>
      <c r="D5191" s="186">
        <f>IFERROR(__xludf.DUMMYFUNCTION("""COMPUTED_VALUE"""),200.0)</f>
        <v>200</v>
      </c>
    </row>
    <row r="5192">
      <c r="A5192" s="178" t="str">
        <f>IFERROR(__xludf.DUMMYFUNCTION("""COMPUTED_VALUE"""),"ITBISA-IC-L7805CV-TO220")</f>
        <v>ITBISA-IC-L7805CV-TO220</v>
      </c>
      <c r="B5192" s="266">
        <f>IFERROR(__xludf.DUMMYFUNCTION("""COMPUTED_VALUE"""),45343.0)</f>
        <v>45343</v>
      </c>
      <c r="C5192" s="266" t="str">
        <f>IFERROR(__xludf.DUMMYFUNCTION("""COMPUTED_VALUE"""),"KERTASARI CIAMIS")</f>
        <v>KERTASARI CIAMIS</v>
      </c>
      <c r="D5192" s="186">
        <f>IFERROR(__xludf.DUMMYFUNCTION("""COMPUTED_VALUE"""),15.0)</f>
        <v>15</v>
      </c>
    </row>
    <row r="5193">
      <c r="A5193" s="178" t="str">
        <f>IFERROR(__xludf.DUMMYFUNCTION("""COMPUTED_VALUE"""),"ITBISA-IC-L7805CV-TO220")</f>
        <v>ITBISA-IC-L7805CV-TO220</v>
      </c>
      <c r="B5193" s="266">
        <f>IFERROR(__xludf.DUMMYFUNCTION("""COMPUTED_VALUE"""),45343.0)</f>
        <v>45343</v>
      </c>
      <c r="C5193" s="266" t="str">
        <f>IFERROR(__xludf.DUMMYFUNCTION("""COMPUTED_VALUE"""),"KYAI KONTONG")</f>
        <v>KYAI KONTONG</v>
      </c>
      <c r="D5193" s="186">
        <f>IFERROR(__xludf.DUMMYFUNCTION("""COMPUTED_VALUE"""),10.0)</f>
        <v>10</v>
      </c>
    </row>
    <row r="5194">
      <c r="A5194" s="178" t="str">
        <f>IFERROR(__xludf.DUMMYFUNCTION("""COMPUTED_VALUE"""),"ITBISA-IC-L7805CV-TO220")</f>
        <v>ITBISA-IC-L7805CV-TO220</v>
      </c>
      <c r="B5194" s="266">
        <f>IFERROR(__xludf.DUMMYFUNCTION("""COMPUTED_VALUE"""),45343.0)</f>
        <v>45343</v>
      </c>
      <c r="C5194" s="266" t="str">
        <f>IFERROR(__xludf.DUMMYFUNCTION("""COMPUTED_VALUE"""),"KYAI KONTONG")</f>
        <v>KYAI KONTONG</v>
      </c>
      <c r="D5194" s="186">
        <f>IFERROR(__xludf.DUMMYFUNCTION("""COMPUTED_VALUE"""),50.0)</f>
        <v>50</v>
      </c>
    </row>
    <row r="5195">
      <c r="A5195" s="178" t="str">
        <f>IFERROR(__xludf.DUMMYFUNCTION("""COMPUTED_VALUE"""),"ITBISA-IC-L7805CV-TO220")</f>
        <v>ITBISA-IC-L7805CV-TO220</v>
      </c>
      <c r="B5195" s="266">
        <f>IFERROR(__xludf.DUMMYFUNCTION("""COMPUTED_VALUE"""),45344.0)</f>
        <v>45344</v>
      </c>
      <c r="C5195" s="266" t="str">
        <f>IFERROR(__xludf.DUMMYFUNCTION("""COMPUTED_VALUE"""),"KERTASARI CIAMIS")</f>
        <v>KERTASARI CIAMIS</v>
      </c>
      <c r="D5195" s="186">
        <f>IFERROR(__xludf.DUMMYFUNCTION("""COMPUTED_VALUE"""),50.0)</f>
        <v>50</v>
      </c>
    </row>
    <row r="5196">
      <c r="A5196" s="178" t="str">
        <f>IFERROR(__xludf.DUMMYFUNCTION("""COMPUTED_VALUE"""),"ITBISA-IC-L7805CV-TO220")</f>
        <v>ITBISA-IC-L7805CV-TO220</v>
      </c>
      <c r="B5196" s="266">
        <f>IFERROR(__xludf.DUMMYFUNCTION("""COMPUTED_VALUE"""),45346.0)</f>
        <v>45346</v>
      </c>
      <c r="C5196" s="266" t="str">
        <f>IFERROR(__xludf.DUMMYFUNCTION("""COMPUTED_VALUE"""),"KYAI KONTONG")</f>
        <v>KYAI KONTONG</v>
      </c>
      <c r="D5196" s="186">
        <f>IFERROR(__xludf.DUMMYFUNCTION("""COMPUTED_VALUE"""),50.0)</f>
        <v>50</v>
      </c>
    </row>
    <row r="5197">
      <c r="A5197" s="178" t="str">
        <f>IFERROR(__xludf.DUMMYFUNCTION("""COMPUTED_VALUE"""),"ITBISA-IC-L7805CV-TO220")</f>
        <v>ITBISA-IC-L7805CV-TO220</v>
      </c>
      <c r="B5197" s="266">
        <f>IFERROR(__xludf.DUMMYFUNCTION("""COMPUTED_VALUE"""),45347.0)</f>
        <v>45347</v>
      </c>
      <c r="C5197" s="266" t="str">
        <f>IFERROR(__xludf.DUMMYFUNCTION("""COMPUTED_VALUE"""),"KERTASARI CIAMIS")</f>
        <v>KERTASARI CIAMIS</v>
      </c>
      <c r="D5197" s="186">
        <f>IFERROR(__xludf.DUMMYFUNCTION("""COMPUTED_VALUE"""),20.0)</f>
        <v>20</v>
      </c>
    </row>
    <row r="5198">
      <c r="A5198" s="178" t="str">
        <f>IFERROR(__xludf.DUMMYFUNCTION("""COMPUTED_VALUE"""),"ITBISA-IC-L7805CV-TO220")</f>
        <v>ITBISA-IC-L7805CV-TO220</v>
      </c>
      <c r="B5198" s="266">
        <f>IFERROR(__xludf.DUMMYFUNCTION("""COMPUTED_VALUE"""),45354.0)</f>
        <v>45354</v>
      </c>
      <c r="C5198" s="266" t="str">
        <f>IFERROR(__xludf.DUMMYFUNCTION("""COMPUTED_VALUE"""),"KERTASARI CIAMIS")</f>
        <v>KERTASARI CIAMIS</v>
      </c>
      <c r="D5198" s="186">
        <f>IFERROR(__xludf.DUMMYFUNCTION("""COMPUTED_VALUE"""),1.0)</f>
        <v>1</v>
      </c>
    </row>
    <row r="5199">
      <c r="A5199" s="178" t="str">
        <f>IFERROR(__xludf.DUMMYFUNCTION("""COMPUTED_VALUE"""),"ITBISA-IC-L7805CV-TO220")</f>
        <v>ITBISA-IC-L7805CV-TO220</v>
      </c>
      <c r="B5199" s="266">
        <f>IFERROR(__xludf.DUMMYFUNCTION("""COMPUTED_VALUE"""),45354.0)</f>
        <v>45354</v>
      </c>
      <c r="C5199" s="266" t="str">
        <f>IFERROR(__xludf.DUMMYFUNCTION("""COMPUTED_VALUE"""),"KYAI KONTONG")</f>
        <v>KYAI KONTONG</v>
      </c>
      <c r="D5199" s="186">
        <f>IFERROR(__xludf.DUMMYFUNCTION("""COMPUTED_VALUE"""),1000.0)</f>
        <v>1000</v>
      </c>
    </row>
    <row r="5200">
      <c r="A5200" s="178" t="str">
        <f>IFERROR(__xludf.DUMMYFUNCTION("""COMPUTED_VALUE"""),"ITBISA-IC-L7805CV-TO220")</f>
        <v>ITBISA-IC-L7805CV-TO220</v>
      </c>
      <c r="B5200" s="266">
        <f>IFERROR(__xludf.DUMMYFUNCTION("""COMPUTED_VALUE"""),45355.0)</f>
        <v>45355</v>
      </c>
      <c r="C5200" s="266" t="str">
        <f>IFERROR(__xludf.DUMMYFUNCTION("""COMPUTED_VALUE"""),"KERTASARI CIAMIS")</f>
        <v>KERTASARI CIAMIS</v>
      </c>
      <c r="D5200" s="186">
        <f>IFERROR(__xludf.DUMMYFUNCTION("""COMPUTED_VALUE"""),3.0)</f>
        <v>3</v>
      </c>
    </row>
    <row r="5201">
      <c r="A5201" s="178" t="str">
        <f>IFERROR(__xludf.DUMMYFUNCTION("""COMPUTED_VALUE"""),"ITBISA-IC-L7805CV-TO220")</f>
        <v>ITBISA-IC-L7805CV-TO220</v>
      </c>
      <c r="B5201" s="266">
        <f>IFERROR(__xludf.DUMMYFUNCTION("""COMPUTED_VALUE"""),45357.0)</f>
        <v>45357</v>
      </c>
      <c r="C5201" s="266" t="str">
        <f>IFERROR(__xludf.DUMMYFUNCTION("""COMPUTED_VALUE"""),"KERTASARI CIAMIS")</f>
        <v>KERTASARI CIAMIS</v>
      </c>
      <c r="D5201" s="186">
        <f>IFERROR(__xludf.DUMMYFUNCTION("""COMPUTED_VALUE"""),5.0)</f>
        <v>5</v>
      </c>
    </row>
    <row r="5202">
      <c r="A5202" s="178" t="str">
        <f>IFERROR(__xludf.DUMMYFUNCTION("""COMPUTED_VALUE"""),"ITBISA-IC-L7805CV-TO220")</f>
        <v>ITBISA-IC-L7805CV-TO220</v>
      </c>
      <c r="B5202" s="266">
        <f>IFERROR(__xludf.DUMMYFUNCTION("""COMPUTED_VALUE"""),45357.0)</f>
        <v>45357</v>
      </c>
      <c r="C5202" s="266" t="str">
        <f>IFERROR(__xludf.DUMMYFUNCTION("""COMPUTED_VALUE"""),"KYAI KONTONG")</f>
        <v>KYAI KONTONG</v>
      </c>
      <c r="D5202" s="186">
        <f>IFERROR(__xludf.DUMMYFUNCTION("""COMPUTED_VALUE"""),15.0)</f>
        <v>15</v>
      </c>
    </row>
    <row r="5203">
      <c r="A5203" s="178" t="str">
        <f>IFERROR(__xludf.DUMMYFUNCTION("""COMPUTED_VALUE"""),"ITBISA-IC-L7805CV-TO220")</f>
        <v>ITBISA-IC-L7805CV-TO220</v>
      </c>
      <c r="B5203" s="266">
        <f>IFERROR(__xludf.DUMMYFUNCTION("""COMPUTED_VALUE"""),45360.0)</f>
        <v>45360</v>
      </c>
      <c r="C5203" s="266" t="str">
        <f>IFERROR(__xludf.DUMMYFUNCTION("""COMPUTED_VALUE"""),"KYAI KONTONG")</f>
        <v>KYAI KONTONG</v>
      </c>
      <c r="D5203" s="186">
        <f>IFERROR(__xludf.DUMMYFUNCTION("""COMPUTED_VALUE"""),184.0)</f>
        <v>184</v>
      </c>
    </row>
    <row r="5204">
      <c r="A5204" s="178" t="str">
        <f>IFERROR(__xludf.DUMMYFUNCTION("""COMPUTED_VALUE"""),"ITBISA-IC-L7805CV-TO220")</f>
        <v>ITBISA-IC-L7805CV-TO220</v>
      </c>
      <c r="B5204" s="266">
        <f>IFERROR(__xludf.DUMMYFUNCTION("""COMPUTED_VALUE"""),45362.0)</f>
        <v>45362</v>
      </c>
      <c r="C5204" s="266" t="str">
        <f>IFERROR(__xludf.DUMMYFUNCTION("""COMPUTED_VALUE"""),"KERTASARI CIAMIS")</f>
        <v>KERTASARI CIAMIS</v>
      </c>
      <c r="D5204" s="186">
        <f>IFERROR(__xludf.DUMMYFUNCTION("""COMPUTED_VALUE"""),5.0)</f>
        <v>5</v>
      </c>
    </row>
    <row r="5205">
      <c r="A5205" s="178" t="str">
        <f>IFERROR(__xludf.DUMMYFUNCTION("""COMPUTED_VALUE"""),"ITBISA-IC-L7805CV-TO220")</f>
        <v>ITBISA-IC-L7805CV-TO220</v>
      </c>
      <c r="B5205" s="266">
        <f>IFERROR(__xludf.DUMMYFUNCTION("""COMPUTED_VALUE"""),45367.0)</f>
        <v>45367</v>
      </c>
      <c r="C5205" s="266" t="str">
        <f>IFERROR(__xludf.DUMMYFUNCTION("""COMPUTED_VALUE"""),"KYAI KONTONG")</f>
        <v>KYAI KONTONG</v>
      </c>
      <c r="D5205" s="186">
        <f>IFERROR(__xludf.DUMMYFUNCTION("""COMPUTED_VALUE"""),10.0)</f>
        <v>10</v>
      </c>
    </row>
    <row r="5206">
      <c r="A5206" s="178" t="str">
        <f>IFERROR(__xludf.DUMMYFUNCTION("""COMPUTED_VALUE"""),"ITBISA-IC-L7805CV-TO220")</f>
        <v>ITBISA-IC-L7805CV-TO220</v>
      </c>
      <c r="B5206" s="266">
        <f>IFERROR(__xludf.DUMMYFUNCTION("""COMPUTED_VALUE"""),45369.0)</f>
        <v>45369</v>
      </c>
      <c r="C5206" s="266" t="str">
        <f>IFERROR(__xludf.DUMMYFUNCTION("""COMPUTED_VALUE"""),"KERTASARI CIAMIS")</f>
        <v>KERTASARI CIAMIS</v>
      </c>
      <c r="D5206" s="186">
        <f>IFERROR(__xludf.DUMMYFUNCTION("""COMPUTED_VALUE"""),6.0)</f>
        <v>6</v>
      </c>
    </row>
    <row r="5207">
      <c r="A5207" s="178" t="str">
        <f>IFERROR(__xludf.DUMMYFUNCTION("""COMPUTED_VALUE"""),"ITBISA-IC-L7805CV-TO220")</f>
        <v>ITBISA-IC-L7805CV-TO220</v>
      </c>
      <c r="B5207" s="266">
        <f>IFERROR(__xludf.DUMMYFUNCTION("""COMPUTED_VALUE"""),45374.0)</f>
        <v>45374</v>
      </c>
      <c r="C5207" s="266" t="str">
        <f>IFERROR(__xludf.DUMMYFUNCTION("""COMPUTED_VALUE"""),"KYAI KONTONG")</f>
        <v>KYAI KONTONG</v>
      </c>
      <c r="D5207" s="186">
        <f>IFERROR(__xludf.DUMMYFUNCTION("""COMPUTED_VALUE"""),10.0)</f>
        <v>10</v>
      </c>
    </row>
    <row r="5208">
      <c r="A5208" s="178" t="str">
        <f>IFERROR(__xludf.DUMMYFUNCTION("""COMPUTED_VALUE"""),"ITBISA-IC-L7805CV-TO220")</f>
        <v>ITBISA-IC-L7805CV-TO220</v>
      </c>
      <c r="B5208" s="266">
        <f>IFERROR(__xludf.DUMMYFUNCTION("""COMPUTED_VALUE"""),45376.0)</f>
        <v>45376</v>
      </c>
      <c r="C5208" s="266" t="str">
        <f>IFERROR(__xludf.DUMMYFUNCTION("""COMPUTED_VALUE"""),"KYAI KONTONG")</f>
        <v>KYAI KONTONG</v>
      </c>
      <c r="D5208" s="186">
        <f>IFERROR(__xludf.DUMMYFUNCTION("""COMPUTED_VALUE"""),1.0)</f>
        <v>1</v>
      </c>
    </row>
    <row r="5209">
      <c r="A5209" s="178" t="str">
        <f>IFERROR(__xludf.DUMMYFUNCTION("""COMPUTED_VALUE"""),"ITBISA-IC-L7805CV-TO220")</f>
        <v>ITBISA-IC-L7805CV-TO220</v>
      </c>
      <c r="B5209" s="266">
        <f>IFERROR(__xludf.DUMMYFUNCTION("""COMPUTED_VALUE"""),45378.0)</f>
        <v>45378</v>
      </c>
      <c r="C5209" s="266" t="str">
        <f>IFERROR(__xludf.DUMMYFUNCTION("""COMPUTED_VALUE"""),"KERTASARI CIAMIS")</f>
        <v>KERTASARI CIAMIS</v>
      </c>
      <c r="D5209" s="186">
        <f>IFERROR(__xludf.DUMMYFUNCTION("""COMPUTED_VALUE"""),10.0)</f>
        <v>10</v>
      </c>
    </row>
    <row r="5210">
      <c r="A5210" s="178" t="str">
        <f>IFERROR(__xludf.DUMMYFUNCTION("""COMPUTED_VALUE"""),"ITBISA-IC-L7805CV-TO220")</f>
        <v>ITBISA-IC-L7805CV-TO220</v>
      </c>
      <c r="B5210" s="266">
        <f>IFERROR(__xludf.DUMMYFUNCTION("""COMPUTED_VALUE"""),45379.0)</f>
        <v>45379</v>
      </c>
      <c r="C5210" s="266" t="str">
        <f>IFERROR(__xludf.DUMMYFUNCTION("""COMPUTED_VALUE"""),"KYAI KONTONG")</f>
        <v>KYAI KONTONG</v>
      </c>
      <c r="D5210" s="186">
        <f>IFERROR(__xludf.DUMMYFUNCTION("""COMPUTED_VALUE"""),10.0)</f>
        <v>10</v>
      </c>
    </row>
    <row r="5211">
      <c r="A5211" s="178" t="str">
        <f>IFERROR(__xludf.DUMMYFUNCTION("""COMPUTED_VALUE"""),"ITBISA-IC-L7805CV-TO220")</f>
        <v>ITBISA-IC-L7805CV-TO220</v>
      </c>
      <c r="B5211" s="266">
        <f>IFERROR(__xludf.DUMMYFUNCTION("""COMPUTED_VALUE"""),45380.0)</f>
        <v>45380</v>
      </c>
      <c r="C5211" s="266" t="str">
        <f>IFERROR(__xludf.DUMMYFUNCTION("""COMPUTED_VALUE"""),"KERTASARI CIAMIS")</f>
        <v>KERTASARI CIAMIS</v>
      </c>
      <c r="D5211" s="186">
        <f>IFERROR(__xludf.DUMMYFUNCTION("""COMPUTED_VALUE"""),100.0)</f>
        <v>100</v>
      </c>
    </row>
    <row r="5212">
      <c r="A5212" s="178" t="str">
        <f>IFERROR(__xludf.DUMMYFUNCTION("""COMPUTED_VALUE"""),"ITBISA-IC-L7805CV-TO220")</f>
        <v>ITBISA-IC-L7805CV-TO220</v>
      </c>
      <c r="B5212" s="266">
        <f>IFERROR(__xludf.DUMMYFUNCTION("""COMPUTED_VALUE"""),45381.0)</f>
        <v>45381</v>
      </c>
      <c r="C5212" s="266" t="str">
        <f>IFERROR(__xludf.DUMMYFUNCTION("""COMPUTED_VALUE"""),"KERTASARI CIAMIS")</f>
        <v>KERTASARI CIAMIS</v>
      </c>
      <c r="D5212" s="186">
        <f>IFERROR(__xludf.DUMMYFUNCTION("""COMPUTED_VALUE"""),7.0)</f>
        <v>7</v>
      </c>
    </row>
    <row r="5213">
      <c r="A5213" s="178" t="str">
        <f>IFERROR(__xludf.DUMMYFUNCTION("""COMPUTED_VALUE"""),"ITBISA-IC-L7805CV-TO220")</f>
        <v>ITBISA-IC-L7805CV-TO220</v>
      </c>
      <c r="B5213" s="266">
        <f>IFERROR(__xludf.DUMMYFUNCTION("""COMPUTED_VALUE"""),45383.0)</f>
        <v>45383</v>
      </c>
      <c r="C5213" s="266" t="str">
        <f>IFERROR(__xludf.DUMMYFUNCTION("""COMPUTED_VALUE"""),"KERTASARI CIAMIS")</f>
        <v>KERTASARI CIAMIS</v>
      </c>
      <c r="D5213" s="186">
        <f>IFERROR(__xludf.DUMMYFUNCTION("""COMPUTED_VALUE"""),10.0)</f>
        <v>10</v>
      </c>
    </row>
    <row r="5214">
      <c r="A5214" s="178" t="str">
        <f>IFERROR(__xludf.DUMMYFUNCTION("""COMPUTED_VALUE"""),"ITBISA-IC-L7805CV-TO220")</f>
        <v>ITBISA-IC-L7805CV-TO220</v>
      </c>
      <c r="B5214" s="266">
        <f>IFERROR(__xludf.DUMMYFUNCTION("""COMPUTED_VALUE"""),45386.0)</f>
        <v>45386</v>
      </c>
      <c r="C5214" s="266" t="str">
        <f>IFERROR(__xludf.DUMMYFUNCTION("""COMPUTED_VALUE"""),"KYAI KONTONG")</f>
        <v>KYAI KONTONG</v>
      </c>
      <c r="D5214" s="186">
        <f>IFERROR(__xludf.DUMMYFUNCTION("""COMPUTED_VALUE"""),100.0)</f>
        <v>100</v>
      </c>
    </row>
    <row r="5215">
      <c r="A5215" s="178" t="str">
        <f>IFERROR(__xludf.DUMMYFUNCTION("""COMPUTED_VALUE"""),"ITBISA-IC-L7805CV-TO220")</f>
        <v>ITBISA-IC-L7805CV-TO220</v>
      </c>
      <c r="B5215" s="266">
        <f>IFERROR(__xludf.DUMMYFUNCTION("""COMPUTED_VALUE"""),45398.0)</f>
        <v>45398</v>
      </c>
      <c r="C5215" s="266" t="str">
        <f>IFERROR(__xludf.DUMMYFUNCTION("""COMPUTED_VALUE"""),"KYAI KONTONG")</f>
        <v>KYAI KONTONG</v>
      </c>
      <c r="D5215" s="186">
        <f>IFERROR(__xludf.DUMMYFUNCTION("""COMPUTED_VALUE"""),30.0)</f>
        <v>30</v>
      </c>
    </row>
    <row r="5216">
      <c r="A5216" s="178" t="str">
        <f>IFERROR(__xludf.DUMMYFUNCTION("""COMPUTED_VALUE"""),"ITBISA-IC-L7805CV-TO220")</f>
        <v>ITBISA-IC-L7805CV-TO220</v>
      </c>
      <c r="B5216" s="266">
        <f>IFERROR(__xludf.DUMMYFUNCTION("""COMPUTED_VALUE"""),45400.0)</f>
        <v>45400</v>
      </c>
      <c r="C5216" s="266" t="str">
        <f>IFERROR(__xludf.DUMMYFUNCTION("""COMPUTED_VALUE"""),"KYAI KONTONG")</f>
        <v>KYAI KONTONG</v>
      </c>
      <c r="D5216" s="186">
        <f>IFERROR(__xludf.DUMMYFUNCTION("""COMPUTED_VALUE"""),10.0)</f>
        <v>10</v>
      </c>
    </row>
    <row r="5217">
      <c r="A5217" s="178" t="str">
        <f>IFERROR(__xludf.DUMMYFUNCTION("""COMPUTED_VALUE"""),"ITBISA-IC-L7805CV-TO220")</f>
        <v>ITBISA-IC-L7805CV-TO220</v>
      </c>
      <c r="B5217" s="266">
        <f>IFERROR(__xludf.DUMMYFUNCTION("""COMPUTED_VALUE"""),45401.0)</f>
        <v>45401</v>
      </c>
      <c r="C5217" s="266" t="str">
        <f>IFERROR(__xludf.DUMMYFUNCTION("""COMPUTED_VALUE"""),"KYAI KONTONG")</f>
        <v>KYAI KONTONG</v>
      </c>
      <c r="D5217" s="186">
        <f>IFERROR(__xludf.DUMMYFUNCTION("""COMPUTED_VALUE"""),5.0)</f>
        <v>5</v>
      </c>
    </row>
    <row r="5218">
      <c r="A5218" s="178" t="str">
        <f>IFERROR(__xludf.DUMMYFUNCTION("""COMPUTED_VALUE"""),"ITBISA-IC-L7805CV-TO220")</f>
        <v>ITBISA-IC-L7805CV-TO220</v>
      </c>
      <c r="B5218" s="266">
        <f>IFERROR(__xludf.DUMMYFUNCTION("""COMPUTED_VALUE"""),45405.0)</f>
        <v>45405</v>
      </c>
      <c r="C5218" s="266" t="str">
        <f>IFERROR(__xludf.DUMMYFUNCTION("""COMPUTED_VALUE"""),"KYAI KONTONG")</f>
        <v>KYAI KONTONG</v>
      </c>
      <c r="D5218" s="186">
        <f>IFERROR(__xludf.DUMMYFUNCTION("""COMPUTED_VALUE"""),300.0)</f>
        <v>300</v>
      </c>
    </row>
    <row r="5219">
      <c r="A5219" s="178" t="str">
        <f>IFERROR(__xludf.DUMMYFUNCTION("""COMPUTED_VALUE"""),"ITBISA-IC-L7805CV-TO220")</f>
        <v>ITBISA-IC-L7805CV-TO220</v>
      </c>
      <c r="B5219" s="266">
        <f>IFERROR(__xludf.DUMMYFUNCTION("""COMPUTED_VALUE"""),45406.0)</f>
        <v>45406</v>
      </c>
      <c r="C5219" s="266" t="str">
        <f>IFERROR(__xludf.DUMMYFUNCTION("""COMPUTED_VALUE"""),"KYAI KONTONG")</f>
        <v>KYAI KONTONG</v>
      </c>
      <c r="D5219" s="186">
        <f>IFERROR(__xludf.DUMMYFUNCTION("""COMPUTED_VALUE"""),5.0)</f>
        <v>5</v>
      </c>
    </row>
    <row r="5220">
      <c r="A5220" s="178" t="str">
        <f>IFERROR(__xludf.DUMMYFUNCTION("""COMPUTED_VALUE"""),"ITBISA-IC-L7805CV-TO220")</f>
        <v>ITBISA-IC-L7805CV-TO220</v>
      </c>
      <c r="B5220" s="266">
        <f>IFERROR(__xludf.DUMMYFUNCTION("""COMPUTED_VALUE"""),45406.0)</f>
        <v>45406</v>
      </c>
      <c r="C5220" s="266" t="str">
        <f>IFERROR(__xludf.DUMMYFUNCTION("""COMPUTED_VALUE"""),"KYAI KONTONG")</f>
        <v>KYAI KONTONG</v>
      </c>
      <c r="D5220" s="186">
        <f>IFERROR(__xludf.DUMMYFUNCTION("""COMPUTED_VALUE"""),15.0)</f>
        <v>15</v>
      </c>
    </row>
    <row r="5221">
      <c r="A5221" s="178" t="str">
        <f>IFERROR(__xludf.DUMMYFUNCTION("""COMPUTED_VALUE"""),"ITBISA-IC-L7805CV-TO220")</f>
        <v>ITBISA-IC-L7805CV-TO220</v>
      </c>
      <c r="B5221" s="266">
        <f>IFERROR(__xludf.DUMMYFUNCTION("""COMPUTED_VALUE"""),45407.0)</f>
        <v>45407</v>
      </c>
      <c r="C5221" s="266" t="str">
        <f>IFERROR(__xludf.DUMMYFUNCTION("""COMPUTED_VALUE"""),"KERTASARI CIAMIS")</f>
        <v>KERTASARI CIAMIS</v>
      </c>
      <c r="D5221" s="186">
        <f>IFERROR(__xludf.DUMMYFUNCTION("""COMPUTED_VALUE"""),50.0)</f>
        <v>50</v>
      </c>
    </row>
    <row r="5222">
      <c r="A5222" s="178" t="str">
        <f>IFERROR(__xludf.DUMMYFUNCTION("""COMPUTED_VALUE"""),"ITBISA-IC-L7805CV-TO220")</f>
        <v>ITBISA-IC-L7805CV-TO220</v>
      </c>
      <c r="B5222" s="266">
        <f>IFERROR(__xludf.DUMMYFUNCTION("""COMPUTED_VALUE"""),45407.0)</f>
        <v>45407</v>
      </c>
      <c r="C5222" s="266" t="str">
        <f>IFERROR(__xludf.DUMMYFUNCTION("""COMPUTED_VALUE"""),"KYAI KONTONG")</f>
        <v>KYAI KONTONG</v>
      </c>
      <c r="D5222" s="186">
        <f>IFERROR(__xludf.DUMMYFUNCTION("""COMPUTED_VALUE"""),5.0)</f>
        <v>5</v>
      </c>
    </row>
    <row r="5223">
      <c r="A5223" s="178" t="str">
        <f>IFERROR(__xludf.DUMMYFUNCTION("""COMPUTED_VALUE"""),"ITBISA-IC-L7805CV-TO220")</f>
        <v>ITBISA-IC-L7805CV-TO220</v>
      </c>
      <c r="B5223" s="266">
        <f>IFERROR(__xludf.DUMMYFUNCTION("""COMPUTED_VALUE"""),45410.0)</f>
        <v>45410</v>
      </c>
      <c r="C5223" s="266" t="str">
        <f>IFERROR(__xludf.DUMMYFUNCTION("""COMPUTED_VALUE"""),"KERTASARI CIAMIS")</f>
        <v>KERTASARI CIAMIS</v>
      </c>
      <c r="D5223" s="186">
        <f>IFERROR(__xludf.DUMMYFUNCTION("""COMPUTED_VALUE"""),10.0)</f>
        <v>10</v>
      </c>
    </row>
    <row r="5224">
      <c r="A5224" s="178" t="str">
        <f>IFERROR(__xludf.DUMMYFUNCTION("""COMPUTED_VALUE"""),"ITBISA-IC-L7805CV-TO220")</f>
        <v>ITBISA-IC-L7805CV-TO220</v>
      </c>
      <c r="B5224" s="266">
        <f>IFERROR(__xludf.DUMMYFUNCTION("""COMPUTED_VALUE"""),45411.0)</f>
        <v>45411</v>
      </c>
      <c r="C5224" s="266" t="str">
        <f>IFERROR(__xludf.DUMMYFUNCTION("""COMPUTED_VALUE"""),"KERTASARI CIAMIS")</f>
        <v>KERTASARI CIAMIS</v>
      </c>
      <c r="D5224" s="186">
        <f>IFERROR(__xludf.DUMMYFUNCTION("""COMPUTED_VALUE"""),80.0)</f>
        <v>80</v>
      </c>
    </row>
    <row r="5225">
      <c r="A5225" s="178" t="str">
        <f>IFERROR(__xludf.DUMMYFUNCTION("""COMPUTED_VALUE"""),"ITBISA-IC-L7805CV-TO220")</f>
        <v>ITBISA-IC-L7805CV-TO220</v>
      </c>
      <c r="B5225" s="266">
        <f>IFERROR(__xludf.DUMMYFUNCTION("""COMPUTED_VALUE"""),45411.0)</f>
        <v>45411</v>
      </c>
      <c r="C5225" s="266" t="str">
        <f>IFERROR(__xludf.DUMMYFUNCTION("""COMPUTED_VALUE"""),"KERTASARI CIAMIS")</f>
        <v>KERTASARI CIAMIS</v>
      </c>
      <c r="D5225" s="186">
        <f>IFERROR(__xludf.DUMMYFUNCTION("""COMPUTED_VALUE"""),500.0)</f>
        <v>500</v>
      </c>
    </row>
    <row r="5226">
      <c r="A5226" s="178" t="str">
        <f>IFERROR(__xludf.DUMMYFUNCTION("""COMPUTED_VALUE"""),"ITBISA-IC-L7805CV-TO220")</f>
        <v>ITBISA-IC-L7805CV-TO220</v>
      </c>
      <c r="B5226" s="266">
        <f>IFERROR(__xludf.DUMMYFUNCTION("""COMPUTED_VALUE"""),45412.0)</f>
        <v>45412</v>
      </c>
      <c r="C5226" s="266" t="str">
        <f>IFERROR(__xludf.DUMMYFUNCTION("""COMPUTED_VALUE"""),"KYAI KONTONG")</f>
        <v>KYAI KONTONG</v>
      </c>
      <c r="D5226" s="186">
        <f>IFERROR(__xludf.DUMMYFUNCTION("""COMPUTED_VALUE"""),22.0)</f>
        <v>22</v>
      </c>
    </row>
    <row r="5227">
      <c r="A5227" s="178" t="str">
        <f>IFERROR(__xludf.DUMMYFUNCTION("""COMPUTED_VALUE"""),"ITBISA-IC-L7805CV-TO220")</f>
        <v>ITBISA-IC-L7805CV-TO220</v>
      </c>
      <c r="B5227" s="266">
        <f>IFERROR(__xludf.DUMMYFUNCTION("""COMPUTED_VALUE"""),45414.0)</f>
        <v>45414</v>
      </c>
      <c r="C5227" s="266" t="str">
        <f>IFERROR(__xludf.DUMMYFUNCTION("""COMPUTED_VALUE"""),"KERTASARI CIAMIS")</f>
        <v>KERTASARI CIAMIS</v>
      </c>
      <c r="D5227" s="186">
        <f>IFERROR(__xludf.DUMMYFUNCTION("""COMPUTED_VALUE"""),5.0)</f>
        <v>5</v>
      </c>
    </row>
    <row r="5228">
      <c r="A5228" s="178" t="str">
        <f>IFERROR(__xludf.DUMMYFUNCTION("""COMPUTED_VALUE"""),"ITBISA-IC-L7805CV-TO220")</f>
        <v>ITBISA-IC-L7805CV-TO220</v>
      </c>
      <c r="B5228" s="266">
        <f>IFERROR(__xludf.DUMMYFUNCTION("""COMPUTED_VALUE"""),45430.0)</f>
        <v>45430</v>
      </c>
      <c r="C5228" s="266" t="str">
        <f>IFERROR(__xludf.DUMMYFUNCTION("""COMPUTED_VALUE"""),"KERTASARI CIAMIS")</f>
        <v>KERTASARI CIAMIS</v>
      </c>
      <c r="D5228" s="186">
        <f>IFERROR(__xludf.DUMMYFUNCTION("""COMPUTED_VALUE"""),50.0)</f>
        <v>50</v>
      </c>
    </row>
    <row r="5229">
      <c r="A5229" s="178" t="str">
        <f>IFERROR(__xludf.DUMMYFUNCTION("""COMPUTED_VALUE"""),"ITBISA-IC-L7805CV-TO220")</f>
        <v>ITBISA-IC-L7805CV-TO220</v>
      </c>
      <c r="B5229" s="266">
        <f>IFERROR(__xludf.DUMMYFUNCTION("""COMPUTED_VALUE"""),45434.0)</f>
        <v>45434</v>
      </c>
      <c r="C5229" s="266" t="str">
        <f>IFERROR(__xludf.DUMMYFUNCTION("""COMPUTED_VALUE"""),"KYAI KONTONG")</f>
        <v>KYAI KONTONG</v>
      </c>
      <c r="D5229" s="186">
        <f>IFERROR(__xludf.DUMMYFUNCTION("""COMPUTED_VALUE"""),20.0)</f>
        <v>20</v>
      </c>
    </row>
    <row r="5230">
      <c r="A5230" s="178" t="str">
        <f>IFERROR(__xludf.DUMMYFUNCTION("""COMPUTED_VALUE"""),"ITBISA-IC-L7805CV-TO220")</f>
        <v>ITBISA-IC-L7805CV-TO220</v>
      </c>
      <c r="B5230" s="266">
        <f>IFERROR(__xludf.DUMMYFUNCTION("""COMPUTED_VALUE"""),45438.0)</f>
        <v>45438</v>
      </c>
      <c r="C5230" s="266" t="str">
        <f>IFERROR(__xludf.DUMMYFUNCTION("""COMPUTED_VALUE"""),"KERTASARI CIAMIS")</f>
        <v>KERTASARI CIAMIS</v>
      </c>
      <c r="D5230" s="186">
        <f>IFERROR(__xludf.DUMMYFUNCTION("""COMPUTED_VALUE"""),5.0)</f>
        <v>5</v>
      </c>
    </row>
    <row r="5231">
      <c r="A5231" s="178" t="str">
        <f>IFERROR(__xludf.DUMMYFUNCTION("""COMPUTED_VALUE"""),"ITBISA-IC-L7805CV-TO220")</f>
        <v>ITBISA-IC-L7805CV-TO220</v>
      </c>
      <c r="B5231" s="266">
        <f>IFERROR(__xludf.DUMMYFUNCTION("""COMPUTED_VALUE"""),45438.0)</f>
        <v>45438</v>
      </c>
      <c r="C5231" s="266" t="str">
        <f>IFERROR(__xludf.DUMMYFUNCTION("""COMPUTED_VALUE"""),"KERTASARI CIAMIS")</f>
        <v>KERTASARI CIAMIS</v>
      </c>
      <c r="D5231" s="186">
        <f>IFERROR(__xludf.DUMMYFUNCTION("""COMPUTED_VALUE"""),50.0)</f>
        <v>50</v>
      </c>
    </row>
    <row r="5232">
      <c r="A5232" s="178" t="str">
        <f>IFERROR(__xludf.DUMMYFUNCTION("""COMPUTED_VALUE"""),"ITBISA-IC-L7805CV-TO220")</f>
        <v>ITBISA-IC-L7805CV-TO220</v>
      </c>
      <c r="B5232" s="266">
        <f>IFERROR(__xludf.DUMMYFUNCTION("""COMPUTED_VALUE"""),45439.0)</f>
        <v>45439</v>
      </c>
      <c r="C5232" s="266" t="str">
        <f>IFERROR(__xludf.DUMMYFUNCTION("""COMPUTED_VALUE"""),"KERTASARI CIAMIS")</f>
        <v>KERTASARI CIAMIS</v>
      </c>
      <c r="D5232" s="186">
        <f>IFERROR(__xludf.DUMMYFUNCTION("""COMPUTED_VALUE"""),3.0)</f>
        <v>3</v>
      </c>
    </row>
    <row r="5233">
      <c r="A5233" s="178" t="str">
        <f>IFERROR(__xludf.DUMMYFUNCTION("""COMPUTED_VALUE"""),"ITBISA-IC-L7805CV-TO220")</f>
        <v>ITBISA-IC-L7805CV-TO220</v>
      </c>
      <c r="B5233" s="266">
        <f>IFERROR(__xludf.DUMMYFUNCTION("""COMPUTED_VALUE"""),45439.0)</f>
        <v>45439</v>
      </c>
      <c r="C5233" s="266" t="str">
        <f>IFERROR(__xludf.DUMMYFUNCTION("""COMPUTED_VALUE"""),"KERTASARI CIAMIS")</f>
        <v>KERTASARI CIAMIS</v>
      </c>
      <c r="D5233" s="186">
        <f>IFERROR(__xludf.DUMMYFUNCTION("""COMPUTED_VALUE"""),25.0)</f>
        <v>25</v>
      </c>
    </row>
    <row r="5234">
      <c r="A5234" s="178" t="str">
        <f>IFERROR(__xludf.DUMMYFUNCTION("""COMPUTED_VALUE"""),"ITBISA-IC-L7805CV-TO220")</f>
        <v>ITBISA-IC-L7805CV-TO220</v>
      </c>
      <c r="B5234" s="266">
        <f>IFERROR(__xludf.DUMMYFUNCTION("""COMPUTED_VALUE"""),45446.0)</f>
        <v>45446</v>
      </c>
      <c r="C5234" s="266" t="str">
        <f>IFERROR(__xludf.DUMMYFUNCTION("""COMPUTED_VALUE"""),"KERTASARI CIAMIS")</f>
        <v>KERTASARI CIAMIS</v>
      </c>
      <c r="D5234" s="186">
        <f>IFERROR(__xludf.DUMMYFUNCTION("""COMPUTED_VALUE"""),2.0)</f>
        <v>2</v>
      </c>
    </row>
    <row r="5235">
      <c r="A5235" s="178" t="str">
        <f>IFERROR(__xludf.DUMMYFUNCTION("""COMPUTED_VALUE"""),"ITBISA-IC-L7805CV-TO220")</f>
        <v>ITBISA-IC-L7805CV-TO220</v>
      </c>
      <c r="B5235" s="266">
        <f>IFERROR(__xludf.DUMMYFUNCTION("""COMPUTED_VALUE"""),45448.0)</f>
        <v>45448</v>
      </c>
      <c r="C5235" s="266" t="str">
        <f>IFERROR(__xludf.DUMMYFUNCTION("""COMPUTED_VALUE"""),"KYAI KONTONG")</f>
        <v>KYAI KONTONG</v>
      </c>
      <c r="D5235" s="186">
        <f>IFERROR(__xludf.DUMMYFUNCTION("""COMPUTED_VALUE"""),200.0)</f>
        <v>200</v>
      </c>
    </row>
    <row r="5236">
      <c r="A5236" s="178" t="str">
        <f>IFERROR(__xludf.DUMMYFUNCTION("""COMPUTED_VALUE"""),"ITBISA-IC-L7805CV-TO220")</f>
        <v>ITBISA-IC-L7805CV-TO220</v>
      </c>
      <c r="B5236" s="266">
        <f>IFERROR(__xludf.DUMMYFUNCTION("""COMPUTED_VALUE"""),45449.0)</f>
        <v>45449</v>
      </c>
      <c r="C5236" s="266" t="str">
        <f>IFERROR(__xludf.DUMMYFUNCTION("""COMPUTED_VALUE"""),"KYAI KONTONG")</f>
        <v>KYAI KONTONG</v>
      </c>
      <c r="D5236" s="186">
        <f>IFERROR(__xludf.DUMMYFUNCTION("""COMPUTED_VALUE"""),100.0)</f>
        <v>100</v>
      </c>
    </row>
    <row r="5237">
      <c r="A5237" s="178" t="str">
        <f>IFERROR(__xludf.DUMMYFUNCTION("""COMPUTED_VALUE"""),"ITBISA-IC-L7805CV-TO220")</f>
        <v>ITBISA-IC-L7805CV-TO220</v>
      </c>
      <c r="B5237" s="266">
        <f>IFERROR(__xludf.DUMMYFUNCTION("""COMPUTED_VALUE"""),45450.0)</f>
        <v>45450</v>
      </c>
      <c r="C5237" s="266" t="str">
        <f>IFERROR(__xludf.DUMMYFUNCTION("""COMPUTED_VALUE"""),"KERTASARI CIAMIS")</f>
        <v>KERTASARI CIAMIS</v>
      </c>
      <c r="D5237" s="186">
        <f>IFERROR(__xludf.DUMMYFUNCTION("""COMPUTED_VALUE"""),50.0)</f>
        <v>50</v>
      </c>
    </row>
    <row r="5238">
      <c r="A5238" s="178" t="str">
        <f>IFERROR(__xludf.DUMMYFUNCTION("""COMPUTED_VALUE"""),"ITBISA-IC-L7805CV-TO220")</f>
        <v>ITBISA-IC-L7805CV-TO220</v>
      </c>
      <c r="B5238" s="266">
        <f>IFERROR(__xludf.DUMMYFUNCTION("""COMPUTED_VALUE"""),45452.0)</f>
        <v>45452</v>
      </c>
      <c r="C5238" s="266" t="str">
        <f>IFERROR(__xludf.DUMMYFUNCTION("""COMPUTED_VALUE"""),"KYAI KONTONG")</f>
        <v>KYAI KONTONG</v>
      </c>
      <c r="D5238" s="186">
        <f>IFERROR(__xludf.DUMMYFUNCTION("""COMPUTED_VALUE"""),100.0)</f>
        <v>100</v>
      </c>
    </row>
    <row r="5239">
      <c r="A5239" s="178" t="str">
        <f>IFERROR(__xludf.DUMMYFUNCTION("""COMPUTED_VALUE"""),"ITBISA-IC-L7805CV-TO220")</f>
        <v>ITBISA-IC-L7805CV-TO220</v>
      </c>
      <c r="B5239" s="266">
        <f>IFERROR(__xludf.DUMMYFUNCTION("""COMPUTED_VALUE"""),45454.0)</f>
        <v>45454</v>
      </c>
      <c r="C5239" s="266" t="str">
        <f>IFERROR(__xludf.DUMMYFUNCTION("""COMPUTED_VALUE"""),"KERTASARI CIAMIS")</f>
        <v>KERTASARI CIAMIS</v>
      </c>
      <c r="D5239" s="186">
        <f>IFERROR(__xludf.DUMMYFUNCTION("""COMPUTED_VALUE"""),5.0)</f>
        <v>5</v>
      </c>
    </row>
    <row r="5240">
      <c r="A5240" s="178" t="str">
        <f>IFERROR(__xludf.DUMMYFUNCTION("""COMPUTED_VALUE"""),"ITBISA-IC-L7805CV-TO220")</f>
        <v>ITBISA-IC-L7805CV-TO220</v>
      </c>
      <c r="B5240" s="266">
        <f>IFERROR(__xludf.DUMMYFUNCTION("""COMPUTED_VALUE"""),45454.0)</f>
        <v>45454</v>
      </c>
      <c r="C5240" s="266" t="str">
        <f>IFERROR(__xludf.DUMMYFUNCTION("""COMPUTED_VALUE"""),"KERTASARI CIAMIS")</f>
        <v>KERTASARI CIAMIS</v>
      </c>
      <c r="D5240" s="186">
        <f>IFERROR(__xludf.DUMMYFUNCTION("""COMPUTED_VALUE"""),10.0)</f>
        <v>10</v>
      </c>
    </row>
    <row r="5241">
      <c r="A5241" s="178" t="str">
        <f>IFERROR(__xludf.DUMMYFUNCTION("""COMPUTED_VALUE"""),"ITBISA-IC-L7805CV-TO220")</f>
        <v>ITBISA-IC-L7805CV-TO220</v>
      </c>
      <c r="B5241" s="266">
        <f>IFERROR(__xludf.DUMMYFUNCTION("""COMPUTED_VALUE"""),45459.0)</f>
        <v>45459</v>
      </c>
      <c r="C5241" s="266" t="str">
        <f>IFERROR(__xludf.DUMMYFUNCTION("""COMPUTED_VALUE"""),"KYAI KONTONG")</f>
        <v>KYAI KONTONG</v>
      </c>
      <c r="D5241" s="186">
        <f>IFERROR(__xludf.DUMMYFUNCTION("""COMPUTED_VALUE"""),10.0)</f>
        <v>10</v>
      </c>
    </row>
    <row r="5242">
      <c r="A5242" s="178" t="str">
        <f>IFERROR(__xludf.DUMMYFUNCTION("""COMPUTED_VALUE"""),"ITBISA-IC-L7805CV-TO220")</f>
        <v>ITBISA-IC-L7805CV-TO220</v>
      </c>
      <c r="B5242" s="266">
        <f>IFERROR(__xludf.DUMMYFUNCTION("""COMPUTED_VALUE"""),45463.0)</f>
        <v>45463</v>
      </c>
      <c r="C5242" s="266" t="str">
        <f>IFERROR(__xludf.DUMMYFUNCTION("""COMPUTED_VALUE"""),"KYAI KONTONG")</f>
        <v>KYAI KONTONG</v>
      </c>
      <c r="D5242" s="186">
        <f>IFERROR(__xludf.DUMMYFUNCTION("""COMPUTED_VALUE"""),10.0)</f>
        <v>10</v>
      </c>
    </row>
    <row r="5243">
      <c r="A5243" s="178" t="str">
        <f>IFERROR(__xludf.DUMMYFUNCTION("""COMPUTED_VALUE"""),"ITBISA-IC-L7805CV-TO220")</f>
        <v>ITBISA-IC-L7805CV-TO220</v>
      </c>
      <c r="B5243" s="266">
        <f>IFERROR(__xludf.DUMMYFUNCTION("""COMPUTED_VALUE"""),45469.0)</f>
        <v>45469</v>
      </c>
      <c r="C5243" s="266" t="str">
        <f>IFERROR(__xludf.DUMMYFUNCTION("""COMPUTED_VALUE"""),"KERTASARI CIAMIS")</f>
        <v>KERTASARI CIAMIS</v>
      </c>
      <c r="D5243" s="186">
        <f>IFERROR(__xludf.DUMMYFUNCTION("""COMPUTED_VALUE"""),15.0)</f>
        <v>15</v>
      </c>
    </row>
    <row r="5244">
      <c r="A5244" s="178" t="str">
        <f>IFERROR(__xludf.DUMMYFUNCTION("""COMPUTED_VALUE"""),"ITBISA-IC-L7805CV-TO220")</f>
        <v>ITBISA-IC-L7805CV-TO220</v>
      </c>
      <c r="B5244" s="266">
        <f>IFERROR(__xludf.DUMMYFUNCTION("""COMPUTED_VALUE"""),45472.0)</f>
        <v>45472</v>
      </c>
      <c r="C5244" s="266" t="str">
        <f>IFERROR(__xludf.DUMMYFUNCTION("""COMPUTED_VALUE"""),"KERTASARI CIAMIS")</f>
        <v>KERTASARI CIAMIS</v>
      </c>
      <c r="D5244" s="186">
        <f>IFERROR(__xludf.DUMMYFUNCTION("""COMPUTED_VALUE"""),10.0)</f>
        <v>10</v>
      </c>
    </row>
    <row r="5245">
      <c r="A5245" s="178" t="str">
        <f>IFERROR(__xludf.DUMMYFUNCTION("""COMPUTED_VALUE"""),"ITBISA-IC-L7805CV-TO220")</f>
        <v>ITBISA-IC-L7805CV-TO220</v>
      </c>
      <c r="B5245" s="266">
        <f>IFERROR(__xludf.DUMMYFUNCTION("""COMPUTED_VALUE"""),45474.0)</f>
        <v>45474</v>
      </c>
      <c r="C5245" s="266" t="str">
        <f>IFERROR(__xludf.DUMMYFUNCTION("""COMPUTED_VALUE"""),"KERTASARI CIAMIS")</f>
        <v>KERTASARI CIAMIS</v>
      </c>
      <c r="D5245" s="186">
        <f>IFERROR(__xludf.DUMMYFUNCTION("""COMPUTED_VALUE"""),200.0)</f>
        <v>200</v>
      </c>
    </row>
    <row r="5246">
      <c r="A5246" s="178" t="str">
        <f>IFERROR(__xludf.DUMMYFUNCTION("""COMPUTED_VALUE"""),"ITBISA-IC-L7805CV-TO220")</f>
        <v>ITBISA-IC-L7805CV-TO220</v>
      </c>
      <c r="B5246" s="266">
        <f>IFERROR(__xludf.DUMMYFUNCTION("""COMPUTED_VALUE"""),45475.0)</f>
        <v>45475</v>
      </c>
      <c r="C5246" s="266" t="str">
        <f>IFERROR(__xludf.DUMMYFUNCTION("""COMPUTED_VALUE"""),"KERTASARI CIAMIS")</f>
        <v>KERTASARI CIAMIS</v>
      </c>
      <c r="D5246" s="186">
        <f>IFERROR(__xludf.DUMMYFUNCTION("""COMPUTED_VALUE"""),2.0)</f>
        <v>2</v>
      </c>
    </row>
    <row r="5247">
      <c r="A5247" s="178" t="str">
        <f>IFERROR(__xludf.DUMMYFUNCTION("""COMPUTED_VALUE"""),"ITBISA-IC-L7805CV-TO220")</f>
        <v>ITBISA-IC-L7805CV-TO220</v>
      </c>
      <c r="B5247" s="266">
        <f>IFERROR(__xludf.DUMMYFUNCTION("""COMPUTED_VALUE"""),45475.0)</f>
        <v>45475</v>
      </c>
      <c r="C5247" s="266" t="str">
        <f>IFERROR(__xludf.DUMMYFUNCTION("""COMPUTED_VALUE"""),"KYAI KONTONG")</f>
        <v>KYAI KONTONG</v>
      </c>
      <c r="D5247" s="186">
        <f>IFERROR(__xludf.DUMMYFUNCTION("""COMPUTED_VALUE"""),10.0)</f>
        <v>10</v>
      </c>
    </row>
    <row r="5248">
      <c r="A5248" s="178" t="str">
        <f>IFERROR(__xludf.DUMMYFUNCTION("""COMPUTED_VALUE"""),"ITBISA-IC-L7805CV-TO220")</f>
        <v>ITBISA-IC-L7805CV-TO220</v>
      </c>
      <c r="B5248" s="266">
        <f>IFERROR(__xludf.DUMMYFUNCTION("""COMPUTED_VALUE"""),45476.0)</f>
        <v>45476</v>
      </c>
      <c r="C5248" s="266" t="str">
        <f>IFERROR(__xludf.DUMMYFUNCTION("""COMPUTED_VALUE"""),"KYAI KONTONG")</f>
        <v>KYAI KONTONG</v>
      </c>
      <c r="D5248" s="186">
        <f>IFERROR(__xludf.DUMMYFUNCTION("""COMPUTED_VALUE"""),10.0)</f>
        <v>10</v>
      </c>
    </row>
    <row r="5249">
      <c r="A5249" s="178" t="str">
        <f>IFERROR(__xludf.DUMMYFUNCTION("""COMPUTED_VALUE"""),"ITBISA-IC-L7805CV-TO220")</f>
        <v>ITBISA-IC-L7805CV-TO220</v>
      </c>
      <c r="B5249" s="266">
        <f>IFERROR(__xludf.DUMMYFUNCTION("""COMPUTED_VALUE"""),45485.0)</f>
        <v>45485</v>
      </c>
      <c r="C5249" s="266" t="str">
        <f>IFERROR(__xludf.DUMMYFUNCTION("""COMPUTED_VALUE"""),"KYAI KONTONG")</f>
        <v>KYAI KONTONG</v>
      </c>
      <c r="D5249" s="186">
        <f>IFERROR(__xludf.DUMMYFUNCTION("""COMPUTED_VALUE"""),10.0)</f>
        <v>10</v>
      </c>
    </row>
    <row r="5250">
      <c r="A5250" s="178" t="str">
        <f>IFERROR(__xludf.DUMMYFUNCTION("""COMPUTED_VALUE"""),"ITBISA-IC-L7805CV-TO220")</f>
        <v>ITBISA-IC-L7805CV-TO220</v>
      </c>
      <c r="B5250" s="266">
        <f>IFERROR(__xludf.DUMMYFUNCTION("""COMPUTED_VALUE"""),45486.0)</f>
        <v>45486</v>
      </c>
      <c r="C5250" s="266" t="str">
        <f>IFERROR(__xludf.DUMMYFUNCTION("""COMPUTED_VALUE"""),"KERTASARI CIAMIS")</f>
        <v>KERTASARI CIAMIS</v>
      </c>
      <c r="D5250" s="186">
        <f>IFERROR(__xludf.DUMMYFUNCTION("""COMPUTED_VALUE"""),3.0)</f>
        <v>3</v>
      </c>
    </row>
    <row r="5251">
      <c r="A5251" s="178" t="str">
        <f>IFERROR(__xludf.DUMMYFUNCTION("""COMPUTED_VALUE"""),"ITBISA-IC-L7805CV-TO220")</f>
        <v>ITBISA-IC-L7805CV-TO220</v>
      </c>
      <c r="B5251" s="266">
        <f>IFERROR(__xludf.DUMMYFUNCTION("""COMPUTED_VALUE"""),45489.0)</f>
        <v>45489</v>
      </c>
      <c r="C5251" s="266" t="str">
        <f>IFERROR(__xludf.DUMMYFUNCTION("""COMPUTED_VALUE"""),"KYAI KONTONG")</f>
        <v>KYAI KONTONG</v>
      </c>
      <c r="D5251" s="186">
        <f>IFERROR(__xludf.DUMMYFUNCTION("""COMPUTED_VALUE"""),10.0)</f>
        <v>10</v>
      </c>
    </row>
    <row r="5252">
      <c r="A5252" s="178" t="str">
        <f>IFERROR(__xludf.DUMMYFUNCTION("""COMPUTED_VALUE"""),"ITBISA-IC-L7805CV-TO220")</f>
        <v>ITBISA-IC-L7805CV-TO220</v>
      </c>
      <c r="B5252" s="266">
        <f>IFERROR(__xludf.DUMMYFUNCTION("""COMPUTED_VALUE"""),45491.0)</f>
        <v>45491</v>
      </c>
      <c r="C5252" s="266" t="str">
        <f>IFERROR(__xludf.DUMMYFUNCTION("""COMPUTED_VALUE"""),"KYAI KONTONG")</f>
        <v>KYAI KONTONG</v>
      </c>
      <c r="D5252" s="186">
        <f>IFERROR(__xludf.DUMMYFUNCTION("""COMPUTED_VALUE"""),11.0)</f>
        <v>11</v>
      </c>
    </row>
    <row r="5253">
      <c r="A5253" s="178" t="str">
        <f>IFERROR(__xludf.DUMMYFUNCTION("""COMPUTED_VALUE"""),"ITBISA-IC-L7805CV-TO220")</f>
        <v>ITBISA-IC-L7805CV-TO220</v>
      </c>
      <c r="B5253" s="266">
        <f>IFERROR(__xludf.DUMMYFUNCTION("""COMPUTED_VALUE"""),45495.0)</f>
        <v>45495</v>
      </c>
      <c r="C5253" s="266" t="str">
        <f>IFERROR(__xludf.DUMMYFUNCTION("""COMPUTED_VALUE"""),"KYAI KONTONG")</f>
        <v>KYAI KONTONG</v>
      </c>
      <c r="D5253" s="186">
        <f>IFERROR(__xludf.DUMMYFUNCTION("""COMPUTED_VALUE"""),10.0)</f>
        <v>10</v>
      </c>
    </row>
    <row r="5254">
      <c r="A5254" s="178" t="str">
        <f>IFERROR(__xludf.DUMMYFUNCTION("""COMPUTED_VALUE"""),"ITBISA-IC-L7805CV-TO220")</f>
        <v>ITBISA-IC-L7805CV-TO220</v>
      </c>
      <c r="B5254" s="266">
        <f>IFERROR(__xludf.DUMMYFUNCTION("""COMPUTED_VALUE"""),45500.0)</f>
        <v>45500</v>
      </c>
      <c r="C5254" s="266" t="str">
        <f>IFERROR(__xludf.DUMMYFUNCTION("""COMPUTED_VALUE"""),"KYAI KONTONG")</f>
        <v>KYAI KONTONG</v>
      </c>
      <c r="D5254" s="186">
        <f>IFERROR(__xludf.DUMMYFUNCTION("""COMPUTED_VALUE"""),20.0)</f>
        <v>20</v>
      </c>
    </row>
    <row r="5255">
      <c r="A5255" s="178" t="str">
        <f>IFERROR(__xludf.DUMMYFUNCTION("""COMPUTED_VALUE"""),"ITBISA-IC-L7805CV-TO220")</f>
        <v>ITBISA-IC-L7805CV-TO220</v>
      </c>
      <c r="B5255" s="266">
        <f>IFERROR(__xludf.DUMMYFUNCTION("""COMPUTED_VALUE"""),45501.0)</f>
        <v>45501</v>
      </c>
      <c r="C5255" s="266" t="str">
        <f>IFERROR(__xludf.DUMMYFUNCTION("""COMPUTED_VALUE"""),"KYAI KONTONG")</f>
        <v>KYAI KONTONG</v>
      </c>
      <c r="D5255" s="186">
        <f>IFERROR(__xludf.DUMMYFUNCTION("""COMPUTED_VALUE"""),5.0)</f>
        <v>5</v>
      </c>
    </row>
    <row r="5256">
      <c r="A5256" s="178" t="str">
        <f>IFERROR(__xludf.DUMMYFUNCTION("""COMPUTED_VALUE"""),"ITBISA-IC-L7805CV-TO220")</f>
        <v>ITBISA-IC-L7805CV-TO220</v>
      </c>
      <c r="B5256" s="266">
        <f>IFERROR(__xludf.DUMMYFUNCTION("""COMPUTED_VALUE"""),45501.0)</f>
        <v>45501</v>
      </c>
      <c r="C5256" s="266" t="str">
        <f>IFERROR(__xludf.DUMMYFUNCTION("""COMPUTED_VALUE"""),"KYAI KONTONG")</f>
        <v>KYAI KONTONG</v>
      </c>
      <c r="D5256" s="186">
        <f>IFERROR(__xludf.DUMMYFUNCTION("""COMPUTED_VALUE"""),100.0)</f>
        <v>100</v>
      </c>
    </row>
    <row r="5257">
      <c r="A5257" s="178" t="str">
        <f>IFERROR(__xludf.DUMMYFUNCTION("""COMPUTED_VALUE"""),"ITBISA-IC-L7805CV-TO220")</f>
        <v>ITBISA-IC-L7805CV-TO220</v>
      </c>
      <c r="B5257" s="266">
        <f>IFERROR(__xludf.DUMMYFUNCTION("""COMPUTED_VALUE"""),45520.0)</f>
        <v>45520</v>
      </c>
      <c r="C5257" s="266" t="str">
        <f>IFERROR(__xludf.DUMMYFUNCTION("""COMPUTED_VALUE"""),"KERTASARI CIAMIS")</f>
        <v>KERTASARI CIAMIS</v>
      </c>
      <c r="D5257" s="186">
        <f>IFERROR(__xludf.DUMMYFUNCTION("""COMPUTED_VALUE"""),100.0)</f>
        <v>100</v>
      </c>
    </row>
    <row r="5258">
      <c r="A5258" s="178" t="str">
        <f>IFERROR(__xludf.DUMMYFUNCTION("""COMPUTED_VALUE"""),"ITBISA-IC-L7805CV-TO220")</f>
        <v>ITBISA-IC-L7805CV-TO220</v>
      </c>
      <c r="B5258" s="266">
        <f>IFERROR(__xludf.DUMMYFUNCTION("""COMPUTED_VALUE"""),45523.0)</f>
        <v>45523</v>
      </c>
      <c r="C5258" s="266" t="str">
        <f>IFERROR(__xludf.DUMMYFUNCTION("""COMPUTED_VALUE"""),"KYAI KONTONG")</f>
        <v>KYAI KONTONG</v>
      </c>
      <c r="D5258" s="186">
        <f>IFERROR(__xludf.DUMMYFUNCTION("""COMPUTED_VALUE"""),40.0)</f>
        <v>40</v>
      </c>
    </row>
    <row r="5259">
      <c r="A5259" s="178" t="str">
        <f>IFERROR(__xludf.DUMMYFUNCTION("""COMPUTED_VALUE"""),"ITBISA-IC-L7805CV-TO220")</f>
        <v>ITBISA-IC-L7805CV-TO220</v>
      </c>
      <c r="B5259" s="266">
        <f>IFERROR(__xludf.DUMMYFUNCTION("""COMPUTED_VALUE"""),45525.0)</f>
        <v>45525</v>
      </c>
      <c r="C5259" s="266" t="str">
        <f>IFERROR(__xludf.DUMMYFUNCTION("""COMPUTED_VALUE"""),"KYAI KONTONG")</f>
        <v>KYAI KONTONG</v>
      </c>
      <c r="D5259" s="186">
        <f>IFERROR(__xludf.DUMMYFUNCTION("""COMPUTED_VALUE"""),50.0)</f>
        <v>50</v>
      </c>
    </row>
    <row r="5260">
      <c r="A5260" s="178" t="str">
        <f>IFERROR(__xludf.DUMMYFUNCTION("""COMPUTED_VALUE"""),"ITBISA-IC-L7805CV-TO220")</f>
        <v>ITBISA-IC-L7805CV-TO220</v>
      </c>
      <c r="B5260" s="266">
        <f>IFERROR(__xludf.DUMMYFUNCTION("""COMPUTED_VALUE"""),45531.0)</f>
        <v>45531</v>
      </c>
      <c r="C5260" s="266" t="str">
        <f>IFERROR(__xludf.DUMMYFUNCTION("""COMPUTED_VALUE"""),"KYAI KONTONG")</f>
        <v>KYAI KONTONG</v>
      </c>
      <c r="D5260" s="186">
        <f>IFERROR(__xludf.DUMMYFUNCTION("""COMPUTED_VALUE"""),50.0)</f>
        <v>50</v>
      </c>
    </row>
    <row r="5261">
      <c r="A5261" s="178" t="str">
        <f>IFERROR(__xludf.DUMMYFUNCTION("""COMPUTED_VALUE"""),"ITBISA-IC-L7805CV-TO220")</f>
        <v>ITBISA-IC-L7805CV-TO220</v>
      </c>
      <c r="B5261" s="266">
        <f>IFERROR(__xludf.DUMMYFUNCTION("""COMPUTED_VALUE"""),45535.0)</f>
        <v>45535</v>
      </c>
      <c r="C5261" s="266" t="str">
        <f>IFERROR(__xludf.DUMMYFUNCTION("""COMPUTED_VALUE"""),"KERTASARI CIAMIS")</f>
        <v>KERTASARI CIAMIS</v>
      </c>
      <c r="D5261" s="186">
        <f>IFERROR(__xludf.DUMMYFUNCTION("""COMPUTED_VALUE"""),10.0)</f>
        <v>10</v>
      </c>
    </row>
    <row r="5262">
      <c r="A5262" s="178" t="str">
        <f>IFERROR(__xludf.DUMMYFUNCTION("""COMPUTED_VALUE"""),"ITBISA-IC-L7805CV-TO220")</f>
        <v>ITBISA-IC-L7805CV-TO220</v>
      </c>
      <c r="B5262" s="266">
        <f>IFERROR(__xludf.DUMMYFUNCTION("""COMPUTED_VALUE"""),45535.0)</f>
        <v>45535</v>
      </c>
      <c r="C5262" s="266" t="str">
        <f>IFERROR(__xludf.DUMMYFUNCTION("""COMPUTED_VALUE"""),"KYAI KONTONG")</f>
        <v>KYAI KONTONG</v>
      </c>
      <c r="D5262" s="186">
        <f>IFERROR(__xludf.DUMMYFUNCTION("""COMPUTED_VALUE"""),10.0)</f>
        <v>10</v>
      </c>
    </row>
    <row r="5263">
      <c r="A5263" s="178" t="str">
        <f>IFERROR(__xludf.DUMMYFUNCTION("""COMPUTED_VALUE"""),"ITBISA-IC-L7805CV-TO220")</f>
        <v>ITBISA-IC-L7805CV-TO220</v>
      </c>
      <c r="B5263" s="266">
        <f>IFERROR(__xludf.DUMMYFUNCTION("""COMPUTED_VALUE"""),45541.0)</f>
        <v>45541</v>
      </c>
      <c r="C5263" s="266" t="str">
        <f>IFERROR(__xludf.DUMMYFUNCTION("""COMPUTED_VALUE"""),"KERTASARI CIAMIS")</f>
        <v>KERTASARI CIAMIS</v>
      </c>
      <c r="D5263" s="186">
        <f>IFERROR(__xludf.DUMMYFUNCTION("""COMPUTED_VALUE"""),51.0)</f>
        <v>51</v>
      </c>
    </row>
    <row r="5264">
      <c r="A5264" s="178" t="str">
        <f>IFERROR(__xludf.DUMMYFUNCTION("""COMPUTED_VALUE"""),"ITBISA-IC-L7805CV-TO220")</f>
        <v>ITBISA-IC-L7805CV-TO220</v>
      </c>
      <c r="B5264" s="266">
        <f>IFERROR(__xludf.DUMMYFUNCTION("""COMPUTED_VALUE"""),45541.0)</f>
        <v>45541</v>
      </c>
      <c r="C5264" s="266" t="str">
        <f>IFERROR(__xludf.DUMMYFUNCTION("""COMPUTED_VALUE"""),"KYAI KONTONG")</f>
        <v>KYAI KONTONG</v>
      </c>
      <c r="D5264" s="186">
        <f>IFERROR(__xludf.DUMMYFUNCTION("""COMPUTED_VALUE"""),20.0)</f>
        <v>20</v>
      </c>
    </row>
    <row r="5265">
      <c r="A5265" s="178" t="str">
        <f>IFERROR(__xludf.DUMMYFUNCTION("""COMPUTED_VALUE"""),"ITBISA-IC-L7805CV-TO220")</f>
        <v>ITBISA-IC-L7805CV-TO220</v>
      </c>
      <c r="B5265" s="266">
        <f>IFERROR(__xludf.DUMMYFUNCTION("""COMPUTED_VALUE"""),45544.0)</f>
        <v>45544</v>
      </c>
      <c r="C5265" s="266" t="str">
        <f>IFERROR(__xludf.DUMMYFUNCTION("""COMPUTED_VALUE"""),"KERTASARI CIAMIS")</f>
        <v>KERTASARI CIAMIS</v>
      </c>
      <c r="D5265" s="186">
        <f>IFERROR(__xludf.DUMMYFUNCTION("""COMPUTED_VALUE"""),15.0)</f>
        <v>15</v>
      </c>
    </row>
    <row r="5266">
      <c r="A5266" s="178" t="str">
        <f>IFERROR(__xludf.DUMMYFUNCTION("""COMPUTED_VALUE"""),"ITBISA-IC-L7805CV-TO220")</f>
        <v>ITBISA-IC-L7805CV-TO220</v>
      </c>
      <c r="B5266" s="266">
        <f>IFERROR(__xludf.DUMMYFUNCTION("""COMPUTED_VALUE"""),45558.0)</f>
        <v>45558</v>
      </c>
      <c r="C5266" s="266" t="str">
        <f>IFERROR(__xludf.DUMMYFUNCTION("""COMPUTED_VALUE"""),"KERTASARI CIAMIS")</f>
        <v>KERTASARI CIAMIS</v>
      </c>
      <c r="D5266" s="186">
        <f>IFERROR(__xludf.DUMMYFUNCTION("""COMPUTED_VALUE"""),10.0)</f>
        <v>10</v>
      </c>
    </row>
    <row r="5267">
      <c r="A5267" s="178" t="str">
        <f>IFERROR(__xludf.DUMMYFUNCTION("""COMPUTED_VALUE"""),"ITBISA-IC-L7805CV-TO220")</f>
        <v>ITBISA-IC-L7805CV-TO220</v>
      </c>
      <c r="B5267" s="266">
        <f>IFERROR(__xludf.DUMMYFUNCTION("""COMPUTED_VALUE"""),45558.0)</f>
        <v>45558</v>
      </c>
      <c r="C5267" s="266" t="str">
        <f>IFERROR(__xludf.DUMMYFUNCTION("""COMPUTED_VALUE"""),"KYAI KONTONG")</f>
        <v>KYAI KONTONG</v>
      </c>
      <c r="D5267" s="186">
        <f>IFERROR(__xludf.DUMMYFUNCTION("""COMPUTED_VALUE"""),10.0)</f>
        <v>10</v>
      </c>
    </row>
    <row r="5268">
      <c r="A5268" s="178" t="str">
        <f>IFERROR(__xludf.DUMMYFUNCTION("""COMPUTED_VALUE"""),"ITBISA-IC-L7805CV-TO220")</f>
        <v>ITBISA-IC-L7805CV-TO220</v>
      </c>
      <c r="B5268" s="266">
        <f>IFERROR(__xludf.DUMMYFUNCTION("""COMPUTED_VALUE"""),45560.0)</f>
        <v>45560</v>
      </c>
      <c r="C5268" s="266" t="str">
        <f>IFERROR(__xludf.DUMMYFUNCTION("""COMPUTED_VALUE"""),"KERTASARI CIAMIS")</f>
        <v>KERTASARI CIAMIS</v>
      </c>
      <c r="D5268" s="186">
        <f>IFERROR(__xludf.DUMMYFUNCTION("""COMPUTED_VALUE"""),150.0)</f>
        <v>150</v>
      </c>
    </row>
    <row r="5269">
      <c r="A5269" s="178" t="str">
        <f>IFERROR(__xludf.DUMMYFUNCTION("""COMPUTED_VALUE"""),"ITBISA-IC-L7805CV-TO220")</f>
        <v>ITBISA-IC-L7805CV-TO220</v>
      </c>
      <c r="B5269" s="266">
        <f>IFERROR(__xludf.DUMMYFUNCTION("""COMPUTED_VALUE"""),45563.0)</f>
        <v>45563</v>
      </c>
      <c r="C5269" s="266" t="str">
        <f>IFERROR(__xludf.DUMMYFUNCTION("""COMPUTED_VALUE"""),"KYAI KONTONG")</f>
        <v>KYAI KONTONG</v>
      </c>
      <c r="D5269" s="186">
        <f>IFERROR(__xludf.DUMMYFUNCTION("""COMPUTED_VALUE"""),10.0)</f>
        <v>10</v>
      </c>
    </row>
    <row r="5270">
      <c r="A5270" s="178" t="str">
        <f>IFERROR(__xludf.DUMMYFUNCTION("""COMPUTED_VALUE"""),"ITBISA-IC-L7805CV-TO220")</f>
        <v>ITBISA-IC-L7805CV-TO220</v>
      </c>
      <c r="B5270" s="266">
        <f>IFERROR(__xludf.DUMMYFUNCTION("""COMPUTED_VALUE"""),45564.0)</f>
        <v>45564</v>
      </c>
      <c r="C5270" s="266" t="str">
        <f>IFERROR(__xludf.DUMMYFUNCTION("""COMPUTED_VALUE"""),"KYAI KONTONG")</f>
        <v>KYAI KONTONG</v>
      </c>
      <c r="D5270" s="186">
        <f>IFERROR(__xludf.DUMMYFUNCTION("""COMPUTED_VALUE"""),10.0)</f>
        <v>10</v>
      </c>
    </row>
    <row r="5271">
      <c r="A5271" s="178" t="str">
        <f>IFERROR(__xludf.DUMMYFUNCTION("""COMPUTED_VALUE"""),"ITBISA-IC-L7805CV-TO220")</f>
        <v>ITBISA-IC-L7805CV-TO220</v>
      </c>
      <c r="B5271" s="266">
        <f>IFERROR(__xludf.DUMMYFUNCTION("""COMPUTED_VALUE"""),45565.0)</f>
        <v>45565</v>
      </c>
      <c r="C5271" s="266" t="str">
        <f>IFERROR(__xludf.DUMMYFUNCTION("""COMPUTED_VALUE"""),"KERTASARI CIAMIS")</f>
        <v>KERTASARI CIAMIS</v>
      </c>
      <c r="D5271" s="186">
        <f>IFERROR(__xludf.DUMMYFUNCTION("""COMPUTED_VALUE"""),2.0)</f>
        <v>2</v>
      </c>
    </row>
    <row r="5272">
      <c r="A5272" s="178" t="str">
        <f>IFERROR(__xludf.DUMMYFUNCTION("""COMPUTED_VALUE"""),"ITBISA-IC-L7805CV-TO220")</f>
        <v>ITBISA-IC-L7805CV-TO220</v>
      </c>
      <c r="B5272" s="266">
        <f>IFERROR(__xludf.DUMMYFUNCTION("""COMPUTED_VALUE"""),45566.0)</f>
        <v>45566</v>
      </c>
      <c r="C5272" s="266" t="str">
        <f>IFERROR(__xludf.DUMMYFUNCTION("""COMPUTED_VALUE"""),"KERTASARI CIAMIS")</f>
        <v>KERTASARI CIAMIS</v>
      </c>
      <c r="D5272" s="186">
        <f>IFERROR(__xludf.DUMMYFUNCTION("""COMPUTED_VALUE"""),20.0)</f>
        <v>20</v>
      </c>
    </row>
    <row r="5273">
      <c r="A5273" s="178" t="str">
        <f>IFERROR(__xludf.DUMMYFUNCTION("""COMPUTED_VALUE"""),"ITBISA-IC-L7805CV-TO220")</f>
        <v>ITBISA-IC-L7805CV-TO220</v>
      </c>
      <c r="B5273" s="266">
        <f>IFERROR(__xludf.DUMMYFUNCTION("""COMPUTED_VALUE"""),45569.0)</f>
        <v>45569</v>
      </c>
      <c r="C5273" s="266" t="str">
        <f>IFERROR(__xludf.DUMMYFUNCTION("""COMPUTED_VALUE"""),"KYAI KONTONG")</f>
        <v>KYAI KONTONG</v>
      </c>
      <c r="D5273" s="186">
        <f>IFERROR(__xludf.DUMMYFUNCTION("""COMPUTED_VALUE"""),40.0)</f>
        <v>40</v>
      </c>
    </row>
    <row r="5274">
      <c r="A5274" s="178" t="str">
        <f>IFERROR(__xludf.DUMMYFUNCTION("""COMPUTED_VALUE"""),"ITBISA-IC-L7805CV-TO220")</f>
        <v>ITBISA-IC-L7805CV-TO220</v>
      </c>
      <c r="B5274" s="266">
        <f>IFERROR(__xludf.DUMMYFUNCTION("""COMPUTED_VALUE"""),45570.0)</f>
        <v>45570</v>
      </c>
      <c r="C5274" s="266" t="str">
        <f>IFERROR(__xludf.DUMMYFUNCTION("""COMPUTED_VALUE"""),"KYAI KONTONG")</f>
        <v>KYAI KONTONG</v>
      </c>
      <c r="D5274" s="186">
        <f>IFERROR(__xludf.DUMMYFUNCTION("""COMPUTED_VALUE"""),10.0)</f>
        <v>10</v>
      </c>
    </row>
    <row r="5275">
      <c r="A5275" s="178" t="str">
        <f>IFERROR(__xludf.DUMMYFUNCTION("""COMPUTED_VALUE"""),"ITBISA-IC-L7805CV-TO220")</f>
        <v>ITBISA-IC-L7805CV-TO220</v>
      </c>
      <c r="B5275" s="266">
        <f>IFERROR(__xludf.DUMMYFUNCTION("""COMPUTED_VALUE"""),45570.0)</f>
        <v>45570</v>
      </c>
      <c r="C5275" s="266" t="str">
        <f>IFERROR(__xludf.DUMMYFUNCTION("""COMPUTED_VALUE"""),"KYAI KONTONG")</f>
        <v>KYAI KONTONG</v>
      </c>
      <c r="D5275" s="186">
        <f>IFERROR(__xludf.DUMMYFUNCTION("""COMPUTED_VALUE"""),100.0)</f>
        <v>100</v>
      </c>
    </row>
    <row r="5276">
      <c r="A5276" s="178" t="str">
        <f>IFERROR(__xludf.DUMMYFUNCTION("""COMPUTED_VALUE"""),"ITBISA-IC-L7805CV-TO220")</f>
        <v>ITBISA-IC-L7805CV-TO220</v>
      </c>
      <c r="B5276" s="266">
        <f>IFERROR(__xludf.DUMMYFUNCTION("""COMPUTED_VALUE"""),45570.0)</f>
        <v>45570</v>
      </c>
      <c r="C5276" s="266" t="str">
        <f>IFERROR(__xludf.DUMMYFUNCTION("""COMPUTED_VALUE"""),"KYAI KONTONG")</f>
        <v>KYAI KONTONG</v>
      </c>
      <c r="D5276" s="186">
        <f>IFERROR(__xludf.DUMMYFUNCTION("""COMPUTED_VALUE"""),300.0)</f>
        <v>300</v>
      </c>
    </row>
    <row r="5277">
      <c r="A5277" s="178" t="str">
        <f>IFERROR(__xludf.DUMMYFUNCTION("""COMPUTED_VALUE"""),"ITBISA-IC-L7805CV-TO220")</f>
        <v>ITBISA-IC-L7805CV-TO220</v>
      </c>
      <c r="B5277" s="266">
        <f>IFERROR(__xludf.DUMMYFUNCTION("""COMPUTED_VALUE"""),45572.0)</f>
        <v>45572</v>
      </c>
      <c r="C5277" s="266" t="str">
        <f>IFERROR(__xludf.DUMMYFUNCTION("""COMPUTED_VALUE"""),"KYAI KONTONG")</f>
        <v>KYAI KONTONG</v>
      </c>
      <c r="D5277" s="186">
        <f>IFERROR(__xludf.DUMMYFUNCTION("""COMPUTED_VALUE"""),50.0)</f>
        <v>50</v>
      </c>
    </row>
    <row r="5278">
      <c r="A5278" s="178" t="str">
        <f>IFERROR(__xludf.DUMMYFUNCTION("""COMPUTED_VALUE"""),"ITBISA-IC-L7805CV-TO220")</f>
        <v>ITBISA-IC-L7805CV-TO220</v>
      </c>
      <c r="B5278" s="266">
        <f>IFERROR(__xludf.DUMMYFUNCTION("""COMPUTED_VALUE"""),45573.0)</f>
        <v>45573</v>
      </c>
      <c r="C5278" s="266" t="str">
        <f>IFERROR(__xludf.DUMMYFUNCTION("""COMPUTED_VALUE"""),"KYAI KONTONG")</f>
        <v>KYAI KONTONG</v>
      </c>
      <c r="D5278" s="186">
        <f>IFERROR(__xludf.DUMMYFUNCTION("""COMPUTED_VALUE"""),100.0)</f>
        <v>100</v>
      </c>
    </row>
    <row r="5279">
      <c r="A5279" s="178" t="str">
        <f>IFERROR(__xludf.DUMMYFUNCTION("""COMPUTED_VALUE"""),"ITBISA-IC-L7805CV-TO220")</f>
        <v>ITBISA-IC-L7805CV-TO220</v>
      </c>
      <c r="B5279" s="266">
        <f>IFERROR(__xludf.DUMMYFUNCTION("""COMPUTED_VALUE"""),45575.0)</f>
        <v>45575</v>
      </c>
      <c r="C5279" s="266" t="str">
        <f>IFERROR(__xludf.DUMMYFUNCTION("""COMPUTED_VALUE"""),"KYAI KONTONG")</f>
        <v>KYAI KONTONG</v>
      </c>
      <c r="D5279" s="186">
        <f>IFERROR(__xludf.DUMMYFUNCTION("""COMPUTED_VALUE"""),10.0)</f>
        <v>10</v>
      </c>
    </row>
    <row r="5280">
      <c r="A5280" s="178" t="str">
        <f>IFERROR(__xludf.DUMMYFUNCTION("""COMPUTED_VALUE"""),"ITBISA-IC-L7805CV-TO220")</f>
        <v>ITBISA-IC-L7805CV-TO220</v>
      </c>
      <c r="B5280" s="266">
        <f>IFERROR(__xludf.DUMMYFUNCTION("""COMPUTED_VALUE"""),45575.0)</f>
        <v>45575</v>
      </c>
      <c r="C5280" s="266" t="str">
        <f>IFERROR(__xludf.DUMMYFUNCTION("""COMPUTED_VALUE"""),"KYAI KONTONG")</f>
        <v>KYAI KONTONG</v>
      </c>
      <c r="D5280" s="186">
        <f>IFERROR(__xludf.DUMMYFUNCTION("""COMPUTED_VALUE"""),10.0)</f>
        <v>10</v>
      </c>
    </row>
    <row r="5281">
      <c r="A5281" s="178" t="str">
        <f>IFERROR(__xludf.DUMMYFUNCTION("""COMPUTED_VALUE"""),"ITBISA-IC-L7805CV-TO220")</f>
        <v>ITBISA-IC-L7805CV-TO220</v>
      </c>
      <c r="B5281" s="266">
        <f>IFERROR(__xludf.DUMMYFUNCTION("""COMPUTED_VALUE"""),45577.0)</f>
        <v>45577</v>
      </c>
      <c r="C5281" s="266" t="str">
        <f>IFERROR(__xludf.DUMMYFUNCTION("""COMPUTED_VALUE"""),"KYAI KONTONG")</f>
        <v>KYAI KONTONG</v>
      </c>
      <c r="D5281" s="186">
        <f>IFERROR(__xludf.DUMMYFUNCTION("""COMPUTED_VALUE"""),40.0)</f>
        <v>40</v>
      </c>
    </row>
    <row r="5282">
      <c r="A5282" s="178" t="str">
        <f>IFERROR(__xludf.DUMMYFUNCTION("""COMPUTED_VALUE"""),"ITBISA-IC-L7805CV-TO220")</f>
        <v>ITBISA-IC-L7805CV-TO220</v>
      </c>
      <c r="B5282" s="266">
        <f>IFERROR(__xludf.DUMMYFUNCTION("""COMPUTED_VALUE"""),45578.0)</f>
        <v>45578</v>
      </c>
      <c r="C5282" s="266" t="str">
        <f>IFERROR(__xludf.DUMMYFUNCTION("""COMPUTED_VALUE"""),"KYAI KONTONG")</f>
        <v>KYAI KONTONG</v>
      </c>
      <c r="D5282" s="186">
        <f>IFERROR(__xludf.DUMMYFUNCTION("""COMPUTED_VALUE"""),10.0)</f>
        <v>10</v>
      </c>
    </row>
    <row r="5283">
      <c r="A5283" s="178" t="str">
        <f>IFERROR(__xludf.DUMMYFUNCTION("""COMPUTED_VALUE"""),"ITBISA-IC-L7805CV-TO220")</f>
        <v>ITBISA-IC-L7805CV-TO220</v>
      </c>
      <c r="B5283" s="266">
        <f>IFERROR(__xludf.DUMMYFUNCTION("""COMPUTED_VALUE"""),45587.0)</f>
        <v>45587</v>
      </c>
      <c r="C5283" s="266" t="str">
        <f>IFERROR(__xludf.DUMMYFUNCTION("""COMPUTED_VALUE"""),"KERTASARI CIAMIS")</f>
        <v>KERTASARI CIAMIS</v>
      </c>
      <c r="D5283" s="186">
        <f>IFERROR(__xludf.DUMMYFUNCTION("""COMPUTED_VALUE"""),10.0)</f>
        <v>10</v>
      </c>
    </row>
    <row r="5284">
      <c r="A5284" s="178" t="str">
        <f>IFERROR(__xludf.DUMMYFUNCTION("""COMPUTED_VALUE"""),"ITBISA-IC-L7805CV-TO220")</f>
        <v>ITBISA-IC-L7805CV-TO220</v>
      </c>
      <c r="B5284" s="266">
        <f>IFERROR(__xludf.DUMMYFUNCTION("""COMPUTED_VALUE"""),45587.0)</f>
        <v>45587</v>
      </c>
      <c r="C5284" s="266" t="str">
        <f>IFERROR(__xludf.DUMMYFUNCTION("""COMPUTED_VALUE"""),"KERTASARI CIAMIS")</f>
        <v>KERTASARI CIAMIS</v>
      </c>
      <c r="D5284" s="186">
        <f>IFERROR(__xludf.DUMMYFUNCTION("""COMPUTED_VALUE"""),50.0)</f>
        <v>50</v>
      </c>
    </row>
    <row r="5285">
      <c r="A5285" s="178" t="str">
        <f>IFERROR(__xludf.DUMMYFUNCTION("""COMPUTED_VALUE"""),"ITBISA-IC-L7805CV-TO220")</f>
        <v>ITBISA-IC-L7805CV-TO220</v>
      </c>
      <c r="B5285" s="266">
        <f>IFERROR(__xludf.DUMMYFUNCTION("""COMPUTED_VALUE"""),45587.0)</f>
        <v>45587</v>
      </c>
      <c r="C5285" s="266" t="str">
        <f>IFERROR(__xludf.DUMMYFUNCTION("""COMPUTED_VALUE"""),"KERTASARI CIAMIS")</f>
        <v>KERTASARI CIAMIS</v>
      </c>
      <c r="D5285" s="186">
        <f>IFERROR(__xludf.DUMMYFUNCTION("""COMPUTED_VALUE"""),100.0)</f>
        <v>100</v>
      </c>
    </row>
    <row r="5286">
      <c r="A5286" s="178" t="str">
        <f>IFERROR(__xludf.DUMMYFUNCTION("""COMPUTED_VALUE"""),"ITBISA-IC-L7805CV-TO220")</f>
        <v>ITBISA-IC-L7805CV-TO220</v>
      </c>
      <c r="B5286" s="266">
        <f>IFERROR(__xludf.DUMMYFUNCTION("""COMPUTED_VALUE"""),45594.0)</f>
        <v>45594</v>
      </c>
      <c r="C5286" s="266" t="str">
        <f>IFERROR(__xludf.DUMMYFUNCTION("""COMPUTED_VALUE"""),"KERTASARI CIAMIS")</f>
        <v>KERTASARI CIAMIS</v>
      </c>
      <c r="D5286" s="186">
        <f>IFERROR(__xludf.DUMMYFUNCTION("""COMPUTED_VALUE"""),20.0)</f>
        <v>20</v>
      </c>
    </row>
    <row r="5287">
      <c r="A5287" s="178" t="str">
        <f>IFERROR(__xludf.DUMMYFUNCTION("""COMPUTED_VALUE"""),"ITBISA-IC-L7805CV-TO220")</f>
        <v>ITBISA-IC-L7805CV-TO220</v>
      </c>
      <c r="B5287" s="266">
        <f>IFERROR(__xludf.DUMMYFUNCTION("""COMPUTED_VALUE"""),45595.0)</f>
        <v>45595</v>
      </c>
      <c r="C5287" s="266" t="str">
        <f>IFERROR(__xludf.DUMMYFUNCTION("""COMPUTED_VALUE"""),"KERTASARI CIAMIS")</f>
        <v>KERTASARI CIAMIS</v>
      </c>
      <c r="D5287" s="186">
        <f>IFERROR(__xludf.DUMMYFUNCTION("""COMPUTED_VALUE"""),10.0)</f>
        <v>10</v>
      </c>
    </row>
    <row r="5288">
      <c r="A5288" s="178" t="str">
        <f>IFERROR(__xludf.DUMMYFUNCTION("""COMPUTED_VALUE"""),"ITBISA-IC-L7805CV-TO220")</f>
        <v>ITBISA-IC-L7805CV-TO220</v>
      </c>
      <c r="B5288" s="266">
        <f>IFERROR(__xludf.DUMMYFUNCTION("""COMPUTED_VALUE"""),45598.0)</f>
        <v>45598</v>
      </c>
      <c r="C5288" s="266" t="str">
        <f>IFERROR(__xludf.DUMMYFUNCTION("""COMPUTED_VALUE"""),"KERTASARI CIAMIS")</f>
        <v>KERTASARI CIAMIS</v>
      </c>
      <c r="D5288" s="186">
        <f>IFERROR(__xludf.DUMMYFUNCTION("""COMPUTED_VALUE"""),25.0)</f>
        <v>25</v>
      </c>
    </row>
    <row r="5289">
      <c r="A5289" s="178" t="str">
        <f>IFERROR(__xludf.DUMMYFUNCTION("""COMPUTED_VALUE"""),"ITBISA-IC-L7805CV-TO220")</f>
        <v>ITBISA-IC-L7805CV-TO220</v>
      </c>
      <c r="B5289" s="266">
        <f>IFERROR(__xludf.DUMMYFUNCTION("""COMPUTED_VALUE"""),45602.0)</f>
        <v>45602</v>
      </c>
      <c r="C5289" s="266" t="str">
        <f>IFERROR(__xludf.DUMMYFUNCTION("""COMPUTED_VALUE"""),"KYAI KONTONG")</f>
        <v>KYAI KONTONG</v>
      </c>
      <c r="D5289" s="186">
        <f>IFERROR(__xludf.DUMMYFUNCTION("""COMPUTED_VALUE"""),10.0)</f>
        <v>10</v>
      </c>
    </row>
    <row r="5290">
      <c r="A5290" s="178" t="str">
        <f>IFERROR(__xludf.DUMMYFUNCTION("""COMPUTED_VALUE"""),"ITBISA-IC-L7805CV-TO220")</f>
        <v>ITBISA-IC-L7805CV-TO220</v>
      </c>
      <c r="B5290" s="266">
        <f>IFERROR(__xludf.DUMMYFUNCTION("""COMPUTED_VALUE"""),45607.0)</f>
        <v>45607</v>
      </c>
      <c r="C5290" s="266" t="str">
        <f>IFERROR(__xludf.DUMMYFUNCTION("""COMPUTED_VALUE"""),"KYAI KONTONG")</f>
        <v>KYAI KONTONG</v>
      </c>
      <c r="D5290" s="186">
        <f>IFERROR(__xludf.DUMMYFUNCTION("""COMPUTED_VALUE"""),20.0)</f>
        <v>20</v>
      </c>
    </row>
    <row r="5291">
      <c r="A5291" s="178" t="str">
        <f>IFERROR(__xludf.DUMMYFUNCTION("""COMPUTED_VALUE"""),"ITBISA-IC-L7805CV-TO220")</f>
        <v>ITBISA-IC-L7805CV-TO220</v>
      </c>
      <c r="B5291" s="266">
        <f>IFERROR(__xludf.DUMMYFUNCTION("""COMPUTED_VALUE"""),45611.0)</f>
        <v>45611</v>
      </c>
      <c r="C5291" s="266" t="str">
        <f>IFERROR(__xludf.DUMMYFUNCTION("""COMPUTED_VALUE"""),"KYAI KONTONG")</f>
        <v>KYAI KONTONG</v>
      </c>
      <c r="D5291" s="186">
        <f>IFERROR(__xludf.DUMMYFUNCTION("""COMPUTED_VALUE"""),4.0)</f>
        <v>4</v>
      </c>
    </row>
    <row r="5292">
      <c r="A5292" s="178" t="str">
        <f>IFERROR(__xludf.DUMMYFUNCTION("""COMPUTED_VALUE"""),"ITBISA-IC-L7805CV-TO220")</f>
        <v>ITBISA-IC-L7805CV-TO220</v>
      </c>
      <c r="B5292" s="266">
        <f>IFERROR(__xludf.DUMMYFUNCTION("""COMPUTED_VALUE"""),45611.0)</f>
        <v>45611</v>
      </c>
      <c r="C5292" s="266" t="str">
        <f>IFERROR(__xludf.DUMMYFUNCTION("""COMPUTED_VALUE"""),"KYAI KONTONG")</f>
        <v>KYAI KONTONG</v>
      </c>
      <c r="D5292" s="186">
        <f>IFERROR(__xludf.DUMMYFUNCTION("""COMPUTED_VALUE"""),10.0)</f>
        <v>10</v>
      </c>
    </row>
    <row r="5293">
      <c r="A5293" s="178" t="str">
        <f>IFERROR(__xludf.DUMMYFUNCTION("""COMPUTED_VALUE"""),"ITBISA-IC-L7805CV-TO220")</f>
        <v>ITBISA-IC-L7805CV-TO220</v>
      </c>
      <c r="B5293" s="266">
        <f>IFERROR(__xludf.DUMMYFUNCTION("""COMPUTED_VALUE"""),45614.0)</f>
        <v>45614</v>
      </c>
      <c r="C5293" s="266" t="str">
        <f>IFERROR(__xludf.DUMMYFUNCTION("""COMPUTED_VALUE"""),"KERTASARI CIAMIS")</f>
        <v>KERTASARI CIAMIS</v>
      </c>
      <c r="D5293" s="186">
        <f>IFERROR(__xludf.DUMMYFUNCTION("""COMPUTED_VALUE"""),15.0)</f>
        <v>15</v>
      </c>
    </row>
    <row r="5294">
      <c r="A5294" s="178" t="str">
        <f>IFERROR(__xludf.DUMMYFUNCTION("""COMPUTED_VALUE"""),"ITBISA-IC-L7805CV-TO220")</f>
        <v>ITBISA-IC-L7805CV-TO220</v>
      </c>
      <c r="B5294" s="266">
        <f>IFERROR(__xludf.DUMMYFUNCTION("""COMPUTED_VALUE"""),45622.0)</f>
        <v>45622</v>
      </c>
      <c r="C5294" s="266" t="str">
        <f>IFERROR(__xludf.DUMMYFUNCTION("""COMPUTED_VALUE"""),"KERTASARI CIAMIS")</f>
        <v>KERTASARI CIAMIS</v>
      </c>
      <c r="D5294" s="186">
        <f>IFERROR(__xludf.DUMMYFUNCTION("""COMPUTED_VALUE"""),40.0)</f>
        <v>40</v>
      </c>
    </row>
    <row r="5295">
      <c r="A5295" s="178" t="str">
        <f>IFERROR(__xludf.DUMMYFUNCTION("""COMPUTED_VALUE"""),"ITBISA-IC-L7805CV-TO220")</f>
        <v>ITBISA-IC-L7805CV-TO220</v>
      </c>
      <c r="B5295" s="266">
        <f>IFERROR(__xludf.DUMMYFUNCTION("""COMPUTED_VALUE"""),45630.0)</f>
        <v>45630</v>
      </c>
      <c r="C5295" s="266" t="str">
        <f>IFERROR(__xludf.DUMMYFUNCTION("""COMPUTED_VALUE"""),"KYAI KONTONG")</f>
        <v>KYAI KONTONG</v>
      </c>
      <c r="D5295" s="186">
        <f>IFERROR(__xludf.DUMMYFUNCTION("""COMPUTED_VALUE"""),50.0)</f>
        <v>50</v>
      </c>
    </row>
    <row r="5296">
      <c r="A5296" s="178" t="str">
        <f>IFERROR(__xludf.DUMMYFUNCTION("""COMPUTED_VALUE"""),"ITBISA-IC-L7805CV-TO220")</f>
        <v>ITBISA-IC-L7805CV-TO220</v>
      </c>
      <c r="B5296" s="266">
        <f>IFERROR(__xludf.DUMMYFUNCTION("""COMPUTED_VALUE"""),45631.0)</f>
        <v>45631</v>
      </c>
      <c r="C5296" s="266" t="str">
        <f>IFERROR(__xludf.DUMMYFUNCTION("""COMPUTED_VALUE"""),"KYAI KONTONG")</f>
        <v>KYAI KONTONG</v>
      </c>
      <c r="D5296" s="186">
        <f>IFERROR(__xludf.DUMMYFUNCTION("""COMPUTED_VALUE"""),10.0)</f>
        <v>10</v>
      </c>
    </row>
    <row r="5297">
      <c r="A5297" s="178" t="str">
        <f>IFERROR(__xludf.DUMMYFUNCTION("""COMPUTED_VALUE"""),"ITBISA-IC-L7805CV-TO220")</f>
        <v>ITBISA-IC-L7805CV-TO220</v>
      </c>
      <c r="B5297" s="266">
        <f>IFERROR(__xludf.DUMMYFUNCTION("""COMPUTED_VALUE"""),45633.0)</f>
        <v>45633</v>
      </c>
      <c r="C5297" s="266" t="str">
        <f>IFERROR(__xludf.DUMMYFUNCTION("""COMPUTED_VALUE"""),"KERTASARI CIAMIS")</f>
        <v>KERTASARI CIAMIS</v>
      </c>
      <c r="D5297" s="186">
        <f>IFERROR(__xludf.DUMMYFUNCTION("""COMPUTED_VALUE"""),20.0)</f>
        <v>20</v>
      </c>
    </row>
    <row r="5298">
      <c r="A5298" s="178" t="str">
        <f>IFERROR(__xludf.DUMMYFUNCTION("""COMPUTED_VALUE"""),"ITBISA-IC-L7805CV-TO220")</f>
        <v>ITBISA-IC-L7805CV-TO220</v>
      </c>
      <c r="B5298" s="266">
        <f>IFERROR(__xludf.DUMMYFUNCTION("""COMPUTED_VALUE"""),45636.0)</f>
        <v>45636</v>
      </c>
      <c r="C5298" s="266" t="str">
        <f>IFERROR(__xludf.DUMMYFUNCTION("""COMPUTED_VALUE"""),"KYAI KONTONG")</f>
        <v>KYAI KONTONG</v>
      </c>
      <c r="D5298" s="186">
        <f>IFERROR(__xludf.DUMMYFUNCTION("""COMPUTED_VALUE"""),10.0)</f>
        <v>10</v>
      </c>
    </row>
    <row r="5299">
      <c r="A5299" s="178" t="str">
        <f>IFERROR(__xludf.DUMMYFUNCTION("""COMPUTED_VALUE"""),"ITBISA-IC-L7805CV-TO220")</f>
        <v>ITBISA-IC-L7805CV-TO220</v>
      </c>
      <c r="B5299" s="266">
        <f>IFERROR(__xludf.DUMMYFUNCTION("""COMPUTED_VALUE"""),45647.0)</f>
        <v>45647</v>
      </c>
      <c r="C5299" s="266" t="str">
        <f>IFERROR(__xludf.DUMMYFUNCTION("""COMPUTED_VALUE"""),"KERTASARI CIAMIS")</f>
        <v>KERTASARI CIAMIS</v>
      </c>
      <c r="D5299" s="186">
        <f>IFERROR(__xludf.DUMMYFUNCTION("""COMPUTED_VALUE"""),300.0)</f>
        <v>300</v>
      </c>
    </row>
    <row r="5300">
      <c r="A5300" s="178" t="str">
        <f>IFERROR(__xludf.DUMMYFUNCTION("""COMPUTED_VALUE"""),"ITBISA-IC-L7805CV-TO220")</f>
        <v>ITBISA-IC-L7805CV-TO220</v>
      </c>
      <c r="B5300" s="266">
        <f>IFERROR(__xludf.DUMMYFUNCTION("""COMPUTED_VALUE"""),45653.0)</f>
        <v>45653</v>
      </c>
      <c r="C5300" s="266" t="str">
        <f>IFERROR(__xludf.DUMMYFUNCTION("""COMPUTED_VALUE"""),"KYAI KONTONG")</f>
        <v>KYAI KONTONG</v>
      </c>
      <c r="D5300" s="186">
        <f>IFERROR(__xludf.DUMMYFUNCTION("""COMPUTED_VALUE"""),20.0)</f>
        <v>20</v>
      </c>
    </row>
    <row r="5301">
      <c r="A5301" s="178" t="str">
        <f>IFERROR(__xludf.DUMMYFUNCTION("""COMPUTED_VALUE"""),"ITBISA-IC-L7805CV-TO220")</f>
        <v>ITBISA-IC-L7805CV-TO220</v>
      </c>
      <c r="B5301" s="266">
        <f>IFERROR(__xludf.DUMMYFUNCTION("""COMPUTED_VALUE"""),45655.0)</f>
        <v>45655</v>
      </c>
      <c r="C5301" s="266" t="str">
        <f>IFERROR(__xludf.DUMMYFUNCTION("""COMPUTED_VALUE"""),"KERTASARI CIAMIS")</f>
        <v>KERTASARI CIAMIS</v>
      </c>
      <c r="D5301" s="186">
        <f>IFERROR(__xludf.DUMMYFUNCTION("""COMPUTED_VALUE"""),10.0)</f>
        <v>10</v>
      </c>
    </row>
    <row r="5302">
      <c r="A5302" s="178" t="str">
        <f>IFERROR(__xludf.DUMMYFUNCTION("""COMPUTED_VALUE"""),"ITBISA-IC-L7805CV-TO220")</f>
        <v>ITBISA-IC-L7805CV-TO220</v>
      </c>
      <c r="B5302" s="266">
        <f>IFERROR(__xludf.DUMMYFUNCTION("""COMPUTED_VALUE"""),45667.0)</f>
        <v>45667</v>
      </c>
      <c r="C5302" s="266" t="str">
        <f>IFERROR(__xludf.DUMMYFUNCTION("""COMPUTED_VALUE"""),"KYAI KONTONG")</f>
        <v>KYAI KONTONG</v>
      </c>
      <c r="D5302" s="186">
        <f>IFERROR(__xludf.DUMMYFUNCTION("""COMPUTED_VALUE"""),15.0)</f>
        <v>15</v>
      </c>
    </row>
    <row r="5303">
      <c r="A5303" s="178" t="str">
        <f>IFERROR(__xludf.DUMMYFUNCTION("""COMPUTED_VALUE"""),"ITBISA-IC-L7805CV-TO220")</f>
        <v>ITBISA-IC-L7805CV-TO220</v>
      </c>
      <c r="B5303" s="266">
        <f>IFERROR(__xludf.DUMMYFUNCTION("""COMPUTED_VALUE"""),45670.0)</f>
        <v>45670</v>
      </c>
      <c r="C5303" s="266" t="str">
        <f>IFERROR(__xludf.DUMMYFUNCTION("""COMPUTED_VALUE"""),"KYAI KONTONG")</f>
        <v>KYAI KONTONG</v>
      </c>
      <c r="D5303" s="186">
        <f>IFERROR(__xludf.DUMMYFUNCTION("""COMPUTED_VALUE"""),15.0)</f>
        <v>15</v>
      </c>
    </row>
    <row r="5304">
      <c r="A5304" s="178" t="str">
        <f>IFERROR(__xludf.DUMMYFUNCTION("""COMPUTED_VALUE"""),"ITBISA-IC-L7805CV-TO220")</f>
        <v>ITBISA-IC-L7805CV-TO220</v>
      </c>
      <c r="B5304" s="266">
        <f>IFERROR(__xludf.DUMMYFUNCTION("""COMPUTED_VALUE"""),45676.0)</f>
        <v>45676</v>
      </c>
      <c r="C5304" s="266" t="str">
        <f>IFERROR(__xludf.DUMMYFUNCTION("""COMPUTED_VALUE"""),"KYAI KONTONG")</f>
        <v>KYAI KONTONG</v>
      </c>
      <c r="D5304" s="186">
        <f>IFERROR(__xludf.DUMMYFUNCTION("""COMPUTED_VALUE"""),10.0)</f>
        <v>10</v>
      </c>
    </row>
    <row r="5305">
      <c r="A5305" s="178" t="str">
        <f>IFERROR(__xludf.DUMMYFUNCTION("""COMPUTED_VALUE"""),"ITBISA-IC-L7805CV-TO220")</f>
        <v>ITBISA-IC-L7805CV-TO220</v>
      </c>
      <c r="B5305" s="266">
        <f>IFERROR(__xludf.DUMMYFUNCTION("""COMPUTED_VALUE"""),45680.0)</f>
        <v>45680</v>
      </c>
      <c r="C5305" s="266" t="str">
        <f>IFERROR(__xludf.DUMMYFUNCTION("""COMPUTED_VALUE"""),"KYAI KONTONG")</f>
        <v>KYAI KONTONG</v>
      </c>
      <c r="D5305" s="186">
        <f>IFERROR(__xludf.DUMMYFUNCTION("""COMPUTED_VALUE"""),50.0)</f>
        <v>50</v>
      </c>
    </row>
    <row r="5306">
      <c r="A5306" s="178" t="str">
        <f>IFERROR(__xludf.DUMMYFUNCTION("""COMPUTED_VALUE"""),"ITBISA-IC-L7805CV-TO220")</f>
        <v>ITBISA-IC-L7805CV-TO220</v>
      </c>
      <c r="B5306" s="266">
        <f>IFERROR(__xludf.DUMMYFUNCTION("""COMPUTED_VALUE"""),45688.0)</f>
        <v>45688</v>
      </c>
      <c r="C5306" s="266" t="str">
        <f>IFERROR(__xludf.DUMMYFUNCTION("""COMPUTED_VALUE"""),"KERTASARI CIAMIS")</f>
        <v>KERTASARI CIAMIS</v>
      </c>
      <c r="D5306" s="186">
        <f>IFERROR(__xludf.DUMMYFUNCTION("""COMPUTED_VALUE"""),20.0)</f>
        <v>20</v>
      </c>
    </row>
    <row r="5307">
      <c r="A5307" s="178" t="str">
        <f>IFERROR(__xludf.DUMMYFUNCTION("""COMPUTED_VALUE"""),"ITBISA-IC-L7805CV-TO220")</f>
        <v>ITBISA-IC-L7805CV-TO220</v>
      </c>
      <c r="B5307" s="266">
        <f>IFERROR(__xludf.DUMMYFUNCTION("""COMPUTED_VALUE"""),45690.0)</f>
        <v>45690</v>
      </c>
      <c r="C5307" s="266" t="str">
        <f>IFERROR(__xludf.DUMMYFUNCTION("""COMPUTED_VALUE"""),"KYAI KONTONG")</f>
        <v>KYAI KONTONG</v>
      </c>
      <c r="D5307" s="186">
        <f>IFERROR(__xludf.DUMMYFUNCTION("""COMPUTED_VALUE"""),12.0)</f>
        <v>12</v>
      </c>
    </row>
    <row r="5308">
      <c r="A5308" s="178" t="str">
        <f>IFERROR(__xludf.DUMMYFUNCTION("""COMPUTED_VALUE"""),"ITBISA-IC-L7805CV-TO220")</f>
        <v>ITBISA-IC-L7805CV-TO220</v>
      </c>
      <c r="B5308" s="266">
        <f>IFERROR(__xludf.DUMMYFUNCTION("""COMPUTED_VALUE"""),45691.0)</f>
        <v>45691</v>
      </c>
      <c r="C5308" s="266" t="str">
        <f>IFERROR(__xludf.DUMMYFUNCTION("""COMPUTED_VALUE"""),"KYAI KONTONG")</f>
        <v>KYAI KONTONG</v>
      </c>
      <c r="D5308" s="186">
        <f>IFERROR(__xludf.DUMMYFUNCTION("""COMPUTED_VALUE"""),200.0)</f>
        <v>200</v>
      </c>
    </row>
    <row r="5309">
      <c r="A5309" s="178" t="str">
        <f>IFERROR(__xludf.DUMMYFUNCTION("""COMPUTED_VALUE"""),"ITBISA-IC-L7805CV-TO220")</f>
        <v>ITBISA-IC-L7805CV-TO220</v>
      </c>
      <c r="B5309" s="266">
        <f>IFERROR(__xludf.DUMMYFUNCTION("""COMPUTED_VALUE"""),45692.0)</f>
        <v>45692</v>
      </c>
      <c r="C5309" s="266" t="str">
        <f>IFERROR(__xludf.DUMMYFUNCTION("""COMPUTED_VALUE"""),"KYAI KONTONG")</f>
        <v>KYAI KONTONG</v>
      </c>
      <c r="D5309" s="186">
        <f>IFERROR(__xludf.DUMMYFUNCTION("""COMPUTED_VALUE"""),15.0)</f>
        <v>15</v>
      </c>
    </row>
    <row r="5310">
      <c r="A5310" s="178" t="str">
        <f>IFERROR(__xludf.DUMMYFUNCTION("""COMPUTED_VALUE"""),"ITBISA-IC-L7805CV-TO220")</f>
        <v>ITBISA-IC-L7805CV-TO220</v>
      </c>
      <c r="B5310" s="266">
        <f>IFERROR(__xludf.DUMMYFUNCTION("""COMPUTED_VALUE"""),45696.0)</f>
        <v>45696</v>
      </c>
      <c r="C5310" s="266" t="str">
        <f>IFERROR(__xludf.DUMMYFUNCTION("""COMPUTED_VALUE"""),"KYAI KONTONG")</f>
        <v>KYAI KONTONG</v>
      </c>
      <c r="D5310" s="186">
        <f>IFERROR(__xludf.DUMMYFUNCTION("""COMPUTED_VALUE"""),10.0)</f>
        <v>10</v>
      </c>
    </row>
    <row r="5311">
      <c r="A5311" s="178" t="str">
        <f>IFERROR(__xludf.DUMMYFUNCTION("""COMPUTED_VALUE"""),"ITBISA-IC-L7805CV-TO220")</f>
        <v>ITBISA-IC-L7805CV-TO220</v>
      </c>
      <c r="B5311" s="266">
        <f>IFERROR(__xludf.DUMMYFUNCTION("""COMPUTED_VALUE"""),45697.0)</f>
        <v>45697</v>
      </c>
      <c r="C5311" s="266" t="str">
        <f>IFERROR(__xludf.DUMMYFUNCTION("""COMPUTED_VALUE"""),"KERTASARI CIAMIS")</f>
        <v>KERTASARI CIAMIS</v>
      </c>
      <c r="D5311" s="186">
        <f>IFERROR(__xludf.DUMMYFUNCTION("""COMPUTED_VALUE"""),10.0)</f>
        <v>10</v>
      </c>
    </row>
    <row r="5312">
      <c r="A5312" s="178" t="str">
        <f>IFERROR(__xludf.DUMMYFUNCTION("""COMPUTED_VALUE"""),"ITBISA-IC-L7805CV-TO220")</f>
        <v>ITBISA-IC-L7805CV-TO220</v>
      </c>
      <c r="B5312" s="266">
        <f>IFERROR(__xludf.DUMMYFUNCTION("""COMPUTED_VALUE"""),45698.0)</f>
        <v>45698</v>
      </c>
      <c r="C5312" s="266" t="str">
        <f>IFERROR(__xludf.DUMMYFUNCTION("""COMPUTED_VALUE"""),"KYAI KONTONG")</f>
        <v>KYAI KONTONG</v>
      </c>
      <c r="D5312" s="186">
        <f>IFERROR(__xludf.DUMMYFUNCTION("""COMPUTED_VALUE"""),30.0)</f>
        <v>30</v>
      </c>
    </row>
    <row r="5313">
      <c r="A5313" s="178" t="str">
        <f>IFERROR(__xludf.DUMMYFUNCTION("""COMPUTED_VALUE"""),"ITBISA-IC-L7805CV-TO220")</f>
        <v>ITBISA-IC-L7805CV-TO220</v>
      </c>
      <c r="B5313" s="266">
        <f>IFERROR(__xludf.DUMMYFUNCTION("""COMPUTED_VALUE"""),45699.0)</f>
        <v>45699</v>
      </c>
      <c r="C5313" s="266" t="str">
        <f>IFERROR(__xludf.DUMMYFUNCTION("""COMPUTED_VALUE"""),"KERTASARI CIAMIS")</f>
        <v>KERTASARI CIAMIS</v>
      </c>
      <c r="D5313" s="186">
        <f>IFERROR(__xludf.DUMMYFUNCTION("""COMPUTED_VALUE"""),12.0)</f>
        <v>12</v>
      </c>
    </row>
    <row r="5314">
      <c r="A5314" s="178" t="str">
        <f>IFERROR(__xludf.DUMMYFUNCTION("""COMPUTED_VALUE"""),"ITBISA-IC-L7805CV-TO220")</f>
        <v>ITBISA-IC-L7805CV-TO220</v>
      </c>
      <c r="B5314" s="266">
        <f>IFERROR(__xludf.DUMMYFUNCTION("""COMPUTED_VALUE"""),45701.0)</f>
        <v>45701</v>
      </c>
      <c r="C5314" s="266" t="str">
        <f>IFERROR(__xludf.DUMMYFUNCTION("""COMPUTED_VALUE"""),"KYAI KONTONG")</f>
        <v>KYAI KONTONG</v>
      </c>
      <c r="D5314" s="186">
        <f>IFERROR(__xludf.DUMMYFUNCTION("""COMPUTED_VALUE"""),30.0)</f>
        <v>30</v>
      </c>
    </row>
    <row r="5315">
      <c r="A5315" s="178" t="str">
        <f>IFERROR(__xludf.DUMMYFUNCTION("""COMPUTED_VALUE"""),"ITBISA-IC-L7805CV-TO220")</f>
        <v>ITBISA-IC-L7805CV-TO220</v>
      </c>
      <c r="B5315" s="266">
        <f>IFERROR(__xludf.DUMMYFUNCTION("""COMPUTED_VALUE"""),45748.0)</f>
        <v>45748</v>
      </c>
      <c r="C5315" s="266" t="str">
        <f>IFERROR(__xludf.DUMMYFUNCTION("""COMPUTED_VALUE"""),"KERTASARI CIAMIS")</f>
        <v>KERTASARI CIAMIS</v>
      </c>
      <c r="D5315" s="186">
        <f>IFERROR(__xludf.DUMMYFUNCTION("""COMPUTED_VALUE"""),2.0)</f>
        <v>2</v>
      </c>
    </row>
    <row r="5316">
      <c r="A5316" s="178" t="str">
        <f>IFERROR(__xludf.DUMMYFUNCTION("""COMPUTED_VALUE"""),"ITBISA-IC-L7805CV-TO220")</f>
        <v>ITBISA-IC-L7805CV-TO220</v>
      </c>
      <c r="B5316" s="266">
        <f>IFERROR(__xludf.DUMMYFUNCTION("""COMPUTED_VALUE"""),45749.0)</f>
        <v>45749</v>
      </c>
      <c r="C5316" s="266" t="str">
        <f>IFERROR(__xludf.DUMMYFUNCTION("""COMPUTED_VALUE"""),"KERTASARI CIAMIS")</f>
        <v>KERTASARI CIAMIS</v>
      </c>
      <c r="D5316" s="186">
        <f>IFERROR(__xludf.DUMMYFUNCTION("""COMPUTED_VALUE"""),50.0)</f>
        <v>50</v>
      </c>
    </row>
    <row r="5317">
      <c r="A5317" s="178" t="str">
        <f>IFERROR(__xludf.DUMMYFUNCTION("""COMPUTED_VALUE"""),"ITBISA-IC-L7805CV-TO220")</f>
        <v>ITBISA-IC-L7805CV-TO220</v>
      </c>
      <c r="B5317" s="266">
        <f>IFERROR(__xludf.DUMMYFUNCTION("""COMPUTED_VALUE"""),45768.0)</f>
        <v>45768</v>
      </c>
      <c r="C5317" s="266" t="str">
        <f>IFERROR(__xludf.DUMMYFUNCTION("""COMPUTED_VALUE"""),"KYAI KONTONG")</f>
        <v>KYAI KONTONG</v>
      </c>
      <c r="D5317" s="186">
        <f>IFERROR(__xludf.DUMMYFUNCTION("""COMPUTED_VALUE"""),10.0)</f>
        <v>10</v>
      </c>
    </row>
    <row r="5318">
      <c r="A5318" s="178" t="str">
        <f>IFERROR(__xludf.DUMMYFUNCTION("""COMPUTED_VALUE"""),"ITBISA-IC-L7805CV-TO220")</f>
        <v>ITBISA-IC-L7805CV-TO220</v>
      </c>
      <c r="B5318" s="266">
        <f>IFERROR(__xludf.DUMMYFUNCTION("""COMPUTED_VALUE"""),45769.0)</f>
        <v>45769</v>
      </c>
      <c r="C5318" s="266" t="str">
        <f>IFERROR(__xludf.DUMMYFUNCTION("""COMPUTED_VALUE"""),"KERTASARI CIAMIS")</f>
        <v>KERTASARI CIAMIS</v>
      </c>
      <c r="D5318" s="186">
        <f>IFERROR(__xludf.DUMMYFUNCTION("""COMPUTED_VALUE"""),2.0)</f>
        <v>2</v>
      </c>
    </row>
    <row r="5319">
      <c r="A5319" s="178" t="str">
        <f>IFERROR(__xludf.DUMMYFUNCTION("""COMPUTED_VALUE"""),"ITBISA-IC-L7805CV-TO220")</f>
        <v>ITBISA-IC-L7805CV-TO220</v>
      </c>
      <c r="B5319" s="266">
        <f>IFERROR(__xludf.DUMMYFUNCTION("""COMPUTED_VALUE"""),45771.0)</f>
        <v>45771</v>
      </c>
      <c r="C5319" s="266" t="str">
        <f>IFERROR(__xludf.DUMMYFUNCTION("""COMPUTED_VALUE"""),"KYAI KONTONG")</f>
        <v>KYAI KONTONG</v>
      </c>
      <c r="D5319" s="186">
        <f>IFERROR(__xludf.DUMMYFUNCTION("""COMPUTED_VALUE"""),15.0)</f>
        <v>15</v>
      </c>
    </row>
    <row r="5320">
      <c r="A5320" s="178" t="str">
        <f>IFERROR(__xludf.DUMMYFUNCTION("""COMPUTED_VALUE"""),"ITBISA-IC-L7805CV-TO220")</f>
        <v>ITBISA-IC-L7805CV-TO220</v>
      </c>
      <c r="B5320" s="266">
        <f>IFERROR(__xludf.DUMMYFUNCTION("""COMPUTED_VALUE"""),45817.0)</f>
        <v>45817</v>
      </c>
      <c r="C5320" s="266" t="str">
        <f>IFERROR(__xludf.DUMMYFUNCTION("""COMPUTED_VALUE"""),"KYAI KONTONG")</f>
        <v>KYAI KONTONG</v>
      </c>
      <c r="D5320" s="186">
        <f>IFERROR(__xludf.DUMMYFUNCTION("""COMPUTED_VALUE"""),30.0)</f>
        <v>30</v>
      </c>
    </row>
    <row r="5321">
      <c r="A5321" s="178" t="str">
        <f>IFERROR(__xludf.DUMMYFUNCTION("""COMPUTED_VALUE"""),"ITBISA-IC-L7805CV-TO220")</f>
        <v>ITBISA-IC-L7805CV-TO220</v>
      </c>
      <c r="B5321" s="266">
        <f>IFERROR(__xludf.DUMMYFUNCTION("""COMPUTED_VALUE"""),45818.0)</f>
        <v>45818</v>
      </c>
      <c r="C5321" s="266" t="str">
        <f>IFERROR(__xludf.DUMMYFUNCTION("""COMPUTED_VALUE"""),"KYAI KONTONG")</f>
        <v>KYAI KONTONG</v>
      </c>
      <c r="D5321" s="186">
        <f>IFERROR(__xludf.DUMMYFUNCTION("""COMPUTED_VALUE"""),20.0)</f>
        <v>20</v>
      </c>
    </row>
    <row r="5322">
      <c r="A5322" s="178" t="str">
        <f>IFERROR(__xludf.DUMMYFUNCTION("""COMPUTED_VALUE"""),"ITBISA-IC-L7805CV-TO220")</f>
        <v>ITBISA-IC-L7805CV-TO220</v>
      </c>
      <c r="B5322" s="266">
        <f>IFERROR(__xludf.DUMMYFUNCTION("""COMPUTED_VALUE"""),45840.0)</f>
        <v>45840</v>
      </c>
      <c r="C5322" s="266" t="str">
        <f>IFERROR(__xludf.DUMMYFUNCTION("""COMPUTED_VALUE"""),"KYAI KONTONG")</f>
        <v>KYAI KONTONG</v>
      </c>
      <c r="D5322" s="186">
        <f>IFERROR(__xludf.DUMMYFUNCTION("""COMPUTED_VALUE"""),10.0)</f>
        <v>10</v>
      </c>
    </row>
    <row r="5323">
      <c r="A5323" s="178" t="str">
        <f>IFERROR(__xludf.DUMMYFUNCTION("""COMPUTED_VALUE"""),"ITBISA-IC-L7805CV-TO220")</f>
        <v>ITBISA-IC-L7805CV-TO220</v>
      </c>
      <c r="B5323" s="266">
        <f>IFERROR(__xludf.DUMMYFUNCTION("""COMPUTED_VALUE"""),45841.0)</f>
        <v>45841</v>
      </c>
      <c r="C5323" s="266" t="str">
        <f>IFERROR(__xludf.DUMMYFUNCTION("""COMPUTED_VALUE"""),"KERTASARI CIAMIS")</f>
        <v>KERTASARI CIAMIS</v>
      </c>
      <c r="D5323" s="186">
        <f>IFERROR(__xludf.DUMMYFUNCTION("""COMPUTED_VALUE"""),50.0)</f>
        <v>50</v>
      </c>
    </row>
    <row r="5324">
      <c r="A5324" s="178" t="str">
        <f>IFERROR(__xludf.DUMMYFUNCTION("""COMPUTED_VALUE"""),"ITBISA-IC-L7805CV-TO220")</f>
        <v>ITBISA-IC-L7805CV-TO220</v>
      </c>
      <c r="B5324" s="266">
        <f>IFERROR(__xludf.DUMMYFUNCTION("""COMPUTED_VALUE"""),45845.0)</f>
        <v>45845</v>
      </c>
      <c r="C5324" s="266" t="str">
        <f>IFERROR(__xludf.DUMMYFUNCTION("""COMPUTED_VALUE"""),"KYAI KONTONG")</f>
        <v>KYAI KONTONG</v>
      </c>
      <c r="D5324" s="186">
        <f>IFERROR(__xludf.DUMMYFUNCTION("""COMPUTED_VALUE"""),100.0)</f>
        <v>100</v>
      </c>
    </row>
    <row r="5325">
      <c r="A5325" s="178" t="str">
        <f>IFERROR(__xludf.DUMMYFUNCTION("""COMPUTED_VALUE"""),"ITBISA-IC-L7805CV-TO220")</f>
        <v>ITBISA-IC-L7805CV-TO220</v>
      </c>
      <c r="B5325" s="266">
        <f>IFERROR(__xludf.DUMMYFUNCTION("""COMPUTED_VALUE"""),45846.0)</f>
        <v>45846</v>
      </c>
      <c r="C5325" s="266" t="str">
        <f>IFERROR(__xludf.DUMMYFUNCTION("""COMPUTED_VALUE"""),"KYAI KONTONG")</f>
        <v>KYAI KONTONG</v>
      </c>
      <c r="D5325" s="186">
        <f>IFERROR(__xludf.DUMMYFUNCTION("""COMPUTED_VALUE"""),10.0)</f>
        <v>10</v>
      </c>
    </row>
    <row r="5326">
      <c r="A5326" s="178" t="str">
        <f>IFERROR(__xludf.DUMMYFUNCTION("""COMPUTED_VALUE"""),"ITBISA-IC-L7805CV-TO220")</f>
        <v>ITBISA-IC-L7805CV-TO220</v>
      </c>
      <c r="B5326" s="266">
        <f>IFERROR(__xludf.DUMMYFUNCTION("""COMPUTED_VALUE"""),45855.0)</f>
        <v>45855</v>
      </c>
      <c r="C5326" s="266" t="str">
        <f>IFERROR(__xludf.DUMMYFUNCTION("""COMPUTED_VALUE"""),"KERTASARI CIAMIS")</f>
        <v>KERTASARI CIAMIS</v>
      </c>
      <c r="D5326" s="186">
        <f>IFERROR(__xludf.DUMMYFUNCTION("""COMPUTED_VALUE"""),100.0)</f>
        <v>100</v>
      </c>
    </row>
    <row r="5327">
      <c r="A5327" s="178" t="str">
        <f>IFERROR(__xludf.DUMMYFUNCTION("""COMPUTED_VALUE"""),"ITBISA-IC-L7805CV-TO220")</f>
        <v>ITBISA-IC-L7805CV-TO220</v>
      </c>
      <c r="B5327" s="266">
        <f>IFERROR(__xludf.DUMMYFUNCTION("""COMPUTED_VALUE"""),45856.0)</f>
        <v>45856</v>
      </c>
      <c r="C5327" s="266" t="str">
        <f>IFERROR(__xludf.DUMMYFUNCTION("""COMPUTED_VALUE"""),"KYAI KONTONG")</f>
        <v>KYAI KONTONG</v>
      </c>
      <c r="D5327" s="186">
        <f>IFERROR(__xludf.DUMMYFUNCTION("""COMPUTED_VALUE"""),10.0)</f>
        <v>10</v>
      </c>
    </row>
    <row r="5328">
      <c r="A5328" s="178" t="str">
        <f>IFERROR(__xludf.DUMMYFUNCTION("""COMPUTED_VALUE"""),"ITBISA-IC-L7805CV-TO220")</f>
        <v>ITBISA-IC-L7805CV-TO220</v>
      </c>
      <c r="B5328" s="266">
        <f>IFERROR(__xludf.DUMMYFUNCTION("""COMPUTED_VALUE"""),45866.0)</f>
        <v>45866</v>
      </c>
      <c r="C5328" s="266" t="str">
        <f>IFERROR(__xludf.DUMMYFUNCTION("""COMPUTED_VALUE"""),"KYAI KONTONG")</f>
        <v>KYAI KONTONG</v>
      </c>
      <c r="D5328" s="186">
        <f>IFERROR(__xludf.DUMMYFUNCTION("""COMPUTED_VALUE"""),10.0)</f>
        <v>10</v>
      </c>
    </row>
    <row r="5329">
      <c r="A5329" s="178" t="str">
        <f>IFERROR(__xludf.DUMMYFUNCTION("""COMPUTED_VALUE"""),"ITBISA-IC-L7805CV-TO220")</f>
        <v>ITBISA-IC-L7805CV-TO220</v>
      </c>
      <c r="B5329" s="266">
        <f>IFERROR(__xludf.DUMMYFUNCTION("""COMPUTED_VALUE"""),45873.0)</f>
        <v>45873</v>
      </c>
      <c r="C5329" s="266" t="str">
        <f>IFERROR(__xludf.DUMMYFUNCTION("""COMPUTED_VALUE"""),"KERTASARI CIAMIS")</f>
        <v>KERTASARI CIAMIS</v>
      </c>
      <c r="D5329" s="186">
        <f>IFERROR(__xludf.DUMMYFUNCTION("""COMPUTED_VALUE"""),15.0)</f>
        <v>15</v>
      </c>
    </row>
    <row r="5330">
      <c r="A5330" s="178" t="str">
        <f>IFERROR(__xludf.DUMMYFUNCTION("""COMPUTED_VALUE"""),"ITBISA-IC-L7805CV-TO220")</f>
        <v>ITBISA-IC-L7805CV-TO220</v>
      </c>
      <c r="B5330" s="266">
        <f>IFERROR(__xludf.DUMMYFUNCTION("""COMPUTED_VALUE"""),45877.0)</f>
        <v>45877</v>
      </c>
      <c r="C5330" s="266" t="str">
        <f>IFERROR(__xludf.DUMMYFUNCTION("""COMPUTED_VALUE"""),"KYAI KONTONG")</f>
        <v>KYAI KONTONG</v>
      </c>
      <c r="D5330" s="186">
        <f>IFERROR(__xludf.DUMMYFUNCTION("""COMPUTED_VALUE"""),10.0)</f>
        <v>10</v>
      </c>
    </row>
    <row r="5331">
      <c r="A5331" s="178" t="str">
        <f>IFERROR(__xludf.DUMMYFUNCTION("""COMPUTED_VALUE"""),"ITBISA-IC-L7805CV-TO220")</f>
        <v>ITBISA-IC-L7805CV-TO220</v>
      </c>
      <c r="B5331" s="266">
        <f>IFERROR(__xludf.DUMMYFUNCTION("""COMPUTED_VALUE"""),45895.0)</f>
        <v>45895</v>
      </c>
      <c r="C5331" s="266" t="str">
        <f>IFERROR(__xludf.DUMMYFUNCTION("""COMPUTED_VALUE"""),"KERTASARI CIAMIS")</f>
        <v>KERTASARI CIAMIS</v>
      </c>
      <c r="D5331" s="186">
        <f>IFERROR(__xludf.DUMMYFUNCTION("""COMPUTED_VALUE"""),300.0)</f>
        <v>300</v>
      </c>
    </row>
    <row r="5332">
      <c r="A5332" s="178" t="str">
        <f>IFERROR(__xludf.DUMMYFUNCTION("""COMPUTED_VALUE"""),"ITBISA-IC-L7805CV-TO220")</f>
        <v>ITBISA-IC-L7805CV-TO220</v>
      </c>
      <c r="B5332" s="266">
        <f>IFERROR(__xludf.DUMMYFUNCTION("""COMPUTED_VALUE"""),45896.0)</f>
        <v>45896</v>
      </c>
      <c r="C5332" s="266" t="str">
        <f>IFERROR(__xludf.DUMMYFUNCTION("""COMPUTED_VALUE"""),"KERTASARI CIAMIS")</f>
        <v>KERTASARI CIAMIS</v>
      </c>
      <c r="D5332" s="186">
        <f>IFERROR(__xludf.DUMMYFUNCTION("""COMPUTED_VALUE"""),200.0)</f>
        <v>200</v>
      </c>
    </row>
    <row r="5333">
      <c r="A5333" s="178" t="str">
        <f>IFERROR(__xludf.DUMMYFUNCTION("""COMPUTED_VALUE"""),"ITBISA-IC-L7805CV-TO220")</f>
        <v>ITBISA-IC-L7805CV-TO220</v>
      </c>
      <c r="B5333" s="266">
        <f>IFERROR(__xludf.DUMMYFUNCTION("""COMPUTED_VALUE"""),45897.0)</f>
        <v>45897</v>
      </c>
      <c r="C5333" s="266" t="str">
        <f>IFERROR(__xludf.DUMMYFUNCTION("""COMPUTED_VALUE"""),"KYAI KONTONG")</f>
        <v>KYAI KONTONG</v>
      </c>
      <c r="D5333" s="186">
        <f>IFERROR(__xludf.DUMMYFUNCTION("""COMPUTED_VALUE"""),20.0)</f>
        <v>20</v>
      </c>
    </row>
    <row r="5334">
      <c r="A5334" s="178" t="str">
        <f>IFERROR(__xludf.DUMMYFUNCTION("""COMPUTED_VALUE"""),"ITBISA-IC-L7805CV-TO220")</f>
        <v>ITBISA-IC-L7805CV-TO220</v>
      </c>
      <c r="B5334" s="266">
        <f>IFERROR(__xludf.DUMMYFUNCTION("""COMPUTED_VALUE"""),45908.0)</f>
        <v>45908</v>
      </c>
      <c r="C5334" s="266" t="str">
        <f>IFERROR(__xludf.DUMMYFUNCTION("""COMPUTED_VALUE"""),"KERTASARI CIAMIS")</f>
        <v>KERTASARI CIAMIS</v>
      </c>
      <c r="D5334" s="186">
        <f>IFERROR(__xludf.DUMMYFUNCTION("""COMPUTED_VALUE"""),50.0)</f>
        <v>50</v>
      </c>
    </row>
    <row r="5335">
      <c r="A5335" s="178" t="str">
        <f>IFERROR(__xludf.DUMMYFUNCTION("""COMPUTED_VALUE"""),"ITBISA-IC-L7805CV-TO220")</f>
        <v>ITBISA-IC-L7805CV-TO220</v>
      </c>
      <c r="B5335" s="266">
        <f>IFERROR(__xludf.DUMMYFUNCTION("""COMPUTED_VALUE"""),45909.0)</f>
        <v>45909</v>
      </c>
      <c r="C5335" s="266" t="str">
        <f>IFERROR(__xludf.DUMMYFUNCTION("""COMPUTED_VALUE"""),"KERTASARI CIAMIS")</f>
        <v>KERTASARI CIAMIS</v>
      </c>
      <c r="D5335" s="186">
        <f>IFERROR(__xludf.DUMMYFUNCTION("""COMPUTED_VALUE"""),100.0)</f>
        <v>100</v>
      </c>
    </row>
    <row r="5336">
      <c r="A5336" s="178" t="str">
        <f>IFERROR(__xludf.DUMMYFUNCTION("""COMPUTED_VALUE"""),"ITBISA-IC-L7805CV-TO220")</f>
        <v>ITBISA-IC-L7805CV-TO220</v>
      </c>
      <c r="B5336" s="266">
        <f>IFERROR(__xludf.DUMMYFUNCTION("""COMPUTED_VALUE"""),45909.0)</f>
        <v>45909</v>
      </c>
      <c r="C5336" s="266" t="str">
        <f>IFERROR(__xludf.DUMMYFUNCTION("""COMPUTED_VALUE"""),"KYAI KONTONG")</f>
        <v>KYAI KONTONG</v>
      </c>
      <c r="D5336" s="186">
        <f>IFERROR(__xludf.DUMMYFUNCTION("""COMPUTED_VALUE"""),200.0)</f>
        <v>200</v>
      </c>
    </row>
    <row r="5337">
      <c r="A5337" s="178" t="str">
        <f>IFERROR(__xludf.DUMMYFUNCTION("""COMPUTED_VALUE"""),"ITBISA-IC-L7805CV-TO220")</f>
        <v>ITBISA-IC-L7805CV-TO220</v>
      </c>
      <c r="B5337" s="266">
        <f>IFERROR(__xludf.DUMMYFUNCTION("""COMPUTED_VALUE"""),45935.0)</f>
        <v>45935</v>
      </c>
      <c r="C5337" s="266" t="str">
        <f>IFERROR(__xludf.DUMMYFUNCTION("""COMPUTED_VALUE"""),"KYAI KONTONG")</f>
        <v>KYAI KONTONG</v>
      </c>
      <c r="D5337" s="186">
        <f>IFERROR(__xludf.DUMMYFUNCTION("""COMPUTED_VALUE"""),10.0)</f>
        <v>10</v>
      </c>
    </row>
    <row r="5338">
      <c r="A5338" s="178" t="str">
        <f>IFERROR(__xludf.DUMMYFUNCTION("""COMPUTED_VALUE"""),"ITBISA-IC-L7805CV-TO220")</f>
        <v>ITBISA-IC-L7805CV-TO220</v>
      </c>
      <c r="B5338" s="266">
        <f>IFERROR(__xludf.DUMMYFUNCTION("""COMPUTED_VALUE"""),45936.0)</f>
        <v>45936</v>
      </c>
      <c r="C5338" s="266" t="str">
        <f>IFERROR(__xludf.DUMMYFUNCTION("""COMPUTED_VALUE"""),"KERTASARI CIAMIS")</f>
        <v>KERTASARI CIAMIS</v>
      </c>
      <c r="D5338" s="186">
        <f>IFERROR(__xludf.DUMMYFUNCTION("""COMPUTED_VALUE"""),10.0)</f>
        <v>10</v>
      </c>
    </row>
    <row r="5339">
      <c r="A5339" s="178" t="str">
        <f>IFERROR(__xludf.DUMMYFUNCTION("""COMPUTED_VALUE"""),"ITBISA-IC-L7805CV-TO220")</f>
        <v>ITBISA-IC-L7805CV-TO220</v>
      </c>
      <c r="B5339" s="266">
        <f>IFERROR(__xludf.DUMMYFUNCTION("""COMPUTED_VALUE"""),45939.0)</f>
        <v>45939</v>
      </c>
      <c r="C5339" s="266" t="str">
        <f>IFERROR(__xludf.DUMMYFUNCTION("""COMPUTED_VALUE"""),"KYAI KONTONG")</f>
        <v>KYAI KONTONG</v>
      </c>
      <c r="D5339" s="186">
        <f>IFERROR(__xludf.DUMMYFUNCTION("""COMPUTED_VALUE"""),10.0)</f>
        <v>10</v>
      </c>
    </row>
    <row r="5340">
      <c r="A5340" s="178" t="str">
        <f>IFERROR(__xludf.DUMMYFUNCTION("""COMPUTED_VALUE"""),"ITBISA-IC-L7805CV-TO220")</f>
        <v>ITBISA-IC-L7805CV-TO220</v>
      </c>
      <c r="B5340" s="266">
        <f>IFERROR(__xludf.DUMMYFUNCTION("""COMPUTED_VALUE"""),45942.0)</f>
        <v>45942</v>
      </c>
      <c r="C5340" s="266" t="str">
        <f>IFERROR(__xludf.DUMMYFUNCTION("""COMPUTED_VALUE"""),"KYAI KONTONG")</f>
        <v>KYAI KONTONG</v>
      </c>
      <c r="D5340" s="186">
        <f>IFERROR(__xludf.DUMMYFUNCTION("""COMPUTED_VALUE"""),10.0)</f>
        <v>10</v>
      </c>
    </row>
    <row r="5341">
      <c r="A5341" s="178" t="str">
        <f>IFERROR(__xludf.DUMMYFUNCTION("""COMPUTED_VALUE"""),"ITBISA-IC-L7805CV-TO220")</f>
        <v>ITBISA-IC-L7805CV-TO220</v>
      </c>
      <c r="B5341" s="266">
        <f>IFERROR(__xludf.DUMMYFUNCTION("""COMPUTED_VALUE"""),45947.0)</f>
        <v>45947</v>
      </c>
      <c r="C5341" s="266" t="str">
        <f>IFERROR(__xludf.DUMMYFUNCTION("""COMPUTED_VALUE"""),"KERTASARI CIAMIS")</f>
        <v>KERTASARI CIAMIS</v>
      </c>
      <c r="D5341" s="186">
        <f>IFERROR(__xludf.DUMMYFUNCTION("""COMPUTED_VALUE"""),10.0)</f>
        <v>10</v>
      </c>
    </row>
    <row r="5342">
      <c r="A5342" s="178" t="str">
        <f>IFERROR(__xludf.DUMMYFUNCTION("""COMPUTED_VALUE"""),"ITBISA-IC-L7805CV-TO220")</f>
        <v>ITBISA-IC-L7805CV-TO220</v>
      </c>
      <c r="B5342" s="266">
        <f>IFERROR(__xludf.DUMMYFUNCTION("""COMPUTED_VALUE"""),45947.0)</f>
        <v>45947</v>
      </c>
      <c r="C5342" s="266" t="str">
        <f>IFERROR(__xludf.DUMMYFUNCTION("""COMPUTED_VALUE"""),"KYAI KONTONG")</f>
        <v>KYAI KONTONG</v>
      </c>
      <c r="D5342" s="186">
        <f>IFERROR(__xludf.DUMMYFUNCTION("""COMPUTED_VALUE"""),24.0)</f>
        <v>24</v>
      </c>
    </row>
    <row r="5343">
      <c r="A5343" s="178" t="str">
        <f>IFERROR(__xludf.DUMMYFUNCTION("""COMPUTED_VALUE"""),"ITBISA-IC-L7805CV-TO220")</f>
        <v>ITBISA-IC-L7805CV-TO220</v>
      </c>
      <c r="B5343" s="266">
        <f>IFERROR(__xludf.DUMMYFUNCTION("""COMPUTED_VALUE"""),45948.0)</f>
        <v>45948</v>
      </c>
      <c r="C5343" s="266" t="str">
        <f>IFERROR(__xludf.DUMMYFUNCTION("""COMPUTED_VALUE"""),"KERTASARI CIAMIS")</f>
        <v>KERTASARI CIAMIS</v>
      </c>
      <c r="D5343" s="186">
        <f>IFERROR(__xludf.DUMMYFUNCTION("""COMPUTED_VALUE"""),400.0)</f>
        <v>400</v>
      </c>
    </row>
    <row r="5344">
      <c r="A5344" s="178" t="str">
        <f>IFERROR(__xludf.DUMMYFUNCTION("""COMPUTED_VALUE"""),"ITBISA-IC-L7805CV-TO220")</f>
        <v>ITBISA-IC-L7805CV-TO220</v>
      </c>
      <c r="B5344" s="266">
        <f>IFERROR(__xludf.DUMMYFUNCTION("""COMPUTED_VALUE"""),45948.0)</f>
        <v>45948</v>
      </c>
      <c r="C5344" s="266" t="str">
        <f>IFERROR(__xludf.DUMMYFUNCTION("""COMPUTED_VALUE"""),"KYAI KONTONG")</f>
        <v>KYAI KONTONG</v>
      </c>
      <c r="D5344" s="186">
        <f>IFERROR(__xludf.DUMMYFUNCTION("""COMPUTED_VALUE"""),10.0)</f>
        <v>10</v>
      </c>
    </row>
    <row r="5345">
      <c r="A5345" s="178" t="str">
        <f>IFERROR(__xludf.DUMMYFUNCTION("""COMPUTED_VALUE"""),"ITBISA-IC-L7805CV-TO220")</f>
        <v>ITBISA-IC-L7805CV-TO220</v>
      </c>
      <c r="B5345" s="266">
        <f>IFERROR(__xludf.DUMMYFUNCTION("""COMPUTED_VALUE"""),45950.0)</f>
        <v>45950</v>
      </c>
      <c r="C5345" s="266" t="str">
        <f>IFERROR(__xludf.DUMMYFUNCTION("""COMPUTED_VALUE"""),"KERTASARI CIAMIS")</f>
        <v>KERTASARI CIAMIS</v>
      </c>
      <c r="D5345" s="186">
        <f>IFERROR(__xludf.DUMMYFUNCTION("""COMPUTED_VALUE"""),500.0)</f>
        <v>500</v>
      </c>
    </row>
    <row r="5346">
      <c r="A5346" s="178" t="str">
        <f>IFERROR(__xludf.DUMMYFUNCTION("""COMPUTED_VALUE"""),"ITBISA-IC-L7805CV-TO220")</f>
        <v>ITBISA-IC-L7805CV-TO220</v>
      </c>
      <c r="B5346" s="266">
        <f>IFERROR(__xludf.DUMMYFUNCTION("""COMPUTED_VALUE"""),45950.0)</f>
        <v>45950</v>
      </c>
      <c r="C5346" s="266" t="str">
        <f>IFERROR(__xludf.DUMMYFUNCTION("""COMPUTED_VALUE"""),"KYAI KONTONG")</f>
        <v>KYAI KONTONG</v>
      </c>
      <c r="D5346" s="186">
        <f>IFERROR(__xludf.DUMMYFUNCTION("""COMPUTED_VALUE"""),10.0)</f>
        <v>10</v>
      </c>
    </row>
    <row r="5347">
      <c r="A5347" s="178" t="str">
        <f>IFERROR(__xludf.DUMMYFUNCTION("""COMPUTED_VALUE"""),"ITBISA-IC-L7805CV-TO220")</f>
        <v>ITBISA-IC-L7805CV-TO220</v>
      </c>
      <c r="B5347" s="266">
        <f>IFERROR(__xludf.DUMMYFUNCTION("""COMPUTED_VALUE"""),45952.0)</f>
        <v>45952</v>
      </c>
      <c r="C5347" s="266" t="str">
        <f>IFERROR(__xludf.DUMMYFUNCTION("""COMPUTED_VALUE"""),"KYAI KONTONG")</f>
        <v>KYAI KONTONG</v>
      </c>
      <c r="D5347" s="186">
        <f>IFERROR(__xludf.DUMMYFUNCTION("""COMPUTED_VALUE"""),10.0)</f>
        <v>10</v>
      </c>
    </row>
    <row r="5348">
      <c r="A5348" s="178" t="str">
        <f>IFERROR(__xludf.DUMMYFUNCTION("""COMPUTED_VALUE"""),"ITBISA-IC-L7805CV-TO220")</f>
        <v>ITBISA-IC-L7805CV-TO220</v>
      </c>
      <c r="B5348" s="266">
        <f>IFERROR(__xludf.DUMMYFUNCTION("""COMPUTED_VALUE"""),45954.0)</f>
        <v>45954</v>
      </c>
      <c r="C5348" s="266" t="str">
        <f>IFERROR(__xludf.DUMMYFUNCTION("""COMPUTED_VALUE"""),"KYAI KONTONG")</f>
        <v>KYAI KONTONG</v>
      </c>
      <c r="D5348" s="186">
        <f>IFERROR(__xludf.DUMMYFUNCTION("""COMPUTED_VALUE"""),10.0)</f>
        <v>10</v>
      </c>
    </row>
    <row r="5349">
      <c r="A5349" s="178" t="str">
        <f>IFERROR(__xludf.DUMMYFUNCTION("""COMPUTED_VALUE"""),"ITBISA-IC-L7805CV-TO220")</f>
        <v>ITBISA-IC-L7805CV-TO220</v>
      </c>
      <c r="B5349" s="266">
        <f>IFERROR(__xludf.DUMMYFUNCTION("""COMPUTED_VALUE"""),45963.0)</f>
        <v>45963</v>
      </c>
      <c r="C5349" s="266" t="str">
        <f>IFERROR(__xludf.DUMMYFUNCTION("""COMPUTED_VALUE"""),"KERTASARI CIAMIS")</f>
        <v>KERTASARI CIAMIS</v>
      </c>
      <c r="D5349" s="186">
        <f>IFERROR(__xludf.DUMMYFUNCTION("""COMPUTED_VALUE"""),20.0)</f>
        <v>20</v>
      </c>
    </row>
    <row r="5350">
      <c r="A5350" s="178" t="str">
        <f>IFERROR(__xludf.DUMMYFUNCTION("""COMPUTED_VALUE"""),"ITBISA-IC-L7805CV-TO220")</f>
        <v>ITBISA-IC-L7805CV-TO220</v>
      </c>
      <c r="B5350" s="266">
        <f>IFERROR(__xludf.DUMMYFUNCTION("""COMPUTED_VALUE"""),45963.0)</f>
        <v>45963</v>
      </c>
      <c r="C5350" s="266" t="str">
        <f>IFERROR(__xludf.DUMMYFUNCTION("""COMPUTED_VALUE"""),"KYAI KONTONG")</f>
        <v>KYAI KONTONG</v>
      </c>
      <c r="D5350" s="186">
        <f>IFERROR(__xludf.DUMMYFUNCTION("""COMPUTED_VALUE"""),1000.0)</f>
        <v>1000</v>
      </c>
    </row>
    <row r="5351">
      <c r="A5351" s="178" t="str">
        <f>IFERROR(__xludf.DUMMYFUNCTION("""COMPUTED_VALUE"""),"ITBISA-IC-L7805CV-TO220")</f>
        <v>ITBISA-IC-L7805CV-TO220</v>
      </c>
      <c r="B5351" s="266">
        <f>IFERROR(__xludf.DUMMYFUNCTION("""COMPUTED_VALUE"""),45970.0)</f>
        <v>45970</v>
      </c>
      <c r="C5351" s="266" t="str">
        <f>IFERROR(__xludf.DUMMYFUNCTION("""COMPUTED_VALUE"""),"KYAI KONTONG")</f>
        <v>KYAI KONTONG</v>
      </c>
      <c r="D5351" s="186">
        <f>IFERROR(__xludf.DUMMYFUNCTION("""COMPUTED_VALUE"""),10.0)</f>
        <v>10</v>
      </c>
    </row>
    <row r="5352">
      <c r="A5352" s="178" t="str">
        <f>IFERROR(__xludf.DUMMYFUNCTION("""COMPUTED_VALUE"""),"ITBISA-IC-L7805CV-TO220")</f>
        <v>ITBISA-IC-L7805CV-TO220</v>
      </c>
      <c r="B5352" s="266">
        <f>IFERROR(__xludf.DUMMYFUNCTION("""COMPUTED_VALUE"""),45971.0)</f>
        <v>45971</v>
      </c>
      <c r="C5352" s="266" t="str">
        <f>IFERROR(__xludf.DUMMYFUNCTION("""COMPUTED_VALUE"""),"KYAI KONTONG")</f>
        <v>KYAI KONTONG</v>
      </c>
      <c r="D5352" s="186">
        <f>IFERROR(__xludf.DUMMYFUNCTION("""COMPUTED_VALUE"""),10.0)</f>
        <v>10</v>
      </c>
    </row>
    <row r="5353">
      <c r="A5353" s="178" t="str">
        <f>IFERROR(__xludf.DUMMYFUNCTION("""COMPUTED_VALUE"""),"ITBISA-IC-L7805CV-TO220")</f>
        <v>ITBISA-IC-L7805CV-TO220</v>
      </c>
      <c r="B5353" s="266">
        <f>IFERROR(__xludf.DUMMYFUNCTION("""COMPUTED_VALUE"""),45977.0)</f>
        <v>45977</v>
      </c>
      <c r="C5353" s="266" t="str">
        <f>IFERROR(__xludf.DUMMYFUNCTION("""COMPUTED_VALUE"""),"KERTASARI CIAMIS")</f>
        <v>KERTASARI CIAMIS</v>
      </c>
      <c r="D5353" s="186">
        <f>IFERROR(__xludf.DUMMYFUNCTION("""COMPUTED_VALUE"""),50.0)</f>
        <v>50</v>
      </c>
    </row>
    <row r="5354">
      <c r="A5354" s="178" t="str">
        <f>IFERROR(__xludf.DUMMYFUNCTION("""COMPUTED_VALUE"""),"ITBISA-IC-L7805CV-TO220")</f>
        <v>ITBISA-IC-L7805CV-TO220</v>
      </c>
      <c r="B5354" s="266">
        <f>IFERROR(__xludf.DUMMYFUNCTION("""COMPUTED_VALUE"""),45978.0)</f>
        <v>45978</v>
      </c>
      <c r="C5354" s="266" t="str">
        <f>IFERROR(__xludf.DUMMYFUNCTION("""COMPUTED_VALUE"""),"KERTASARI CIAMIS")</f>
        <v>KERTASARI CIAMIS</v>
      </c>
      <c r="D5354" s="186">
        <f>IFERROR(__xludf.DUMMYFUNCTION("""COMPUTED_VALUE"""),10.0)</f>
        <v>10</v>
      </c>
    </row>
    <row r="5355">
      <c r="A5355" s="178" t="str">
        <f>IFERROR(__xludf.DUMMYFUNCTION("""COMPUTED_VALUE"""),"ITBISA-IC-L7805CV-TO220")</f>
        <v>ITBISA-IC-L7805CV-TO220</v>
      </c>
      <c r="B5355" s="266">
        <f>IFERROR(__xludf.DUMMYFUNCTION("""COMPUTED_VALUE"""),45978.0)</f>
        <v>45978</v>
      </c>
      <c r="C5355" s="266" t="str">
        <f>IFERROR(__xludf.DUMMYFUNCTION("""COMPUTED_VALUE"""),"KERTASARI CIAMIS")</f>
        <v>KERTASARI CIAMIS</v>
      </c>
      <c r="D5355" s="186">
        <f>IFERROR(__xludf.DUMMYFUNCTION("""COMPUTED_VALUE"""),100.0)</f>
        <v>100</v>
      </c>
    </row>
    <row r="5356">
      <c r="A5356" s="178" t="str">
        <f>IFERROR(__xludf.DUMMYFUNCTION("""COMPUTED_VALUE"""),"ITBISA-IC-L7805CV-TO220")</f>
        <v>ITBISA-IC-L7805CV-TO220</v>
      </c>
      <c r="B5356" s="266">
        <f>IFERROR(__xludf.DUMMYFUNCTION("""COMPUTED_VALUE"""),45978.0)</f>
        <v>45978</v>
      </c>
      <c r="C5356" s="266" t="str">
        <f>IFERROR(__xludf.DUMMYFUNCTION("""COMPUTED_VALUE"""),"KERTASARI CIAMIS")</f>
        <v>KERTASARI CIAMIS</v>
      </c>
      <c r="D5356" s="186">
        <f>IFERROR(__xludf.DUMMYFUNCTION("""COMPUTED_VALUE"""),100.0)</f>
        <v>100</v>
      </c>
    </row>
    <row r="5357">
      <c r="A5357" s="178" t="str">
        <f>IFERROR(__xludf.DUMMYFUNCTION("""COMPUTED_VALUE"""),"ITBISA-IC-L7805CV-TO220")</f>
        <v>ITBISA-IC-L7805CV-TO220</v>
      </c>
      <c r="B5357" s="266">
        <f>IFERROR(__xludf.DUMMYFUNCTION("""COMPUTED_VALUE"""),45987.0)</f>
        <v>45987</v>
      </c>
      <c r="C5357" s="266" t="str">
        <f>IFERROR(__xludf.DUMMYFUNCTION("""COMPUTED_VALUE"""),"KERTASARI CIAMIS")</f>
        <v>KERTASARI CIAMIS</v>
      </c>
      <c r="D5357" s="186">
        <f>IFERROR(__xludf.DUMMYFUNCTION("""COMPUTED_VALUE"""),10.0)</f>
        <v>10</v>
      </c>
    </row>
    <row r="5358">
      <c r="A5358" s="178" t="str">
        <f>IFERROR(__xludf.DUMMYFUNCTION("""COMPUTED_VALUE"""),"ITBISA-IC-L7805CV-TO220")</f>
        <v>ITBISA-IC-L7805CV-TO220</v>
      </c>
      <c r="B5358" s="266">
        <f>IFERROR(__xludf.DUMMYFUNCTION("""COMPUTED_VALUE"""),45987.0)</f>
        <v>45987</v>
      </c>
      <c r="C5358" s="266" t="str">
        <f>IFERROR(__xludf.DUMMYFUNCTION("""COMPUTED_VALUE"""),"KERTASARI CIAMIS")</f>
        <v>KERTASARI CIAMIS</v>
      </c>
      <c r="D5358" s="186">
        <f>IFERROR(__xludf.DUMMYFUNCTION("""COMPUTED_VALUE"""),100.0)</f>
        <v>100</v>
      </c>
    </row>
    <row r="5359">
      <c r="A5359" s="178" t="str">
        <f>IFERROR(__xludf.DUMMYFUNCTION("""COMPUTED_VALUE"""),"ITBISA-IC-L7805CV-TO220")</f>
        <v>ITBISA-IC-L7805CV-TO220</v>
      </c>
      <c r="B5359" s="266">
        <f>IFERROR(__xludf.DUMMYFUNCTION("""COMPUTED_VALUE"""),45992.0)</f>
        <v>45992</v>
      </c>
      <c r="C5359" s="266" t="str">
        <f>IFERROR(__xludf.DUMMYFUNCTION("""COMPUTED_VALUE"""),"KYAI KONTONG")</f>
        <v>KYAI KONTONG</v>
      </c>
      <c r="D5359" s="186">
        <f>IFERROR(__xludf.DUMMYFUNCTION("""COMPUTED_VALUE"""),20.0)</f>
        <v>20</v>
      </c>
    </row>
    <row r="5360">
      <c r="A5360" s="178" t="str">
        <f>IFERROR(__xludf.DUMMYFUNCTION("""COMPUTED_VALUE"""),"ITBISA-IC-L7805CV-TO220")</f>
        <v>ITBISA-IC-L7805CV-TO220</v>
      </c>
      <c r="B5360" s="266">
        <f>IFERROR(__xludf.DUMMYFUNCTION("""COMPUTED_VALUE"""),45993.0)</f>
        <v>45993</v>
      </c>
      <c r="C5360" s="266" t="str">
        <f>IFERROR(__xludf.DUMMYFUNCTION("""COMPUTED_VALUE"""),"KYAI KONTONG")</f>
        <v>KYAI KONTONG</v>
      </c>
      <c r="D5360" s="186">
        <f>IFERROR(__xludf.DUMMYFUNCTION("""COMPUTED_VALUE"""),15.0)</f>
        <v>15</v>
      </c>
    </row>
    <row r="5361">
      <c r="A5361" s="178" t="str">
        <f>IFERROR(__xludf.DUMMYFUNCTION("""COMPUTED_VALUE"""),"ITBISA-IC-L7805CV-TO220")</f>
        <v>ITBISA-IC-L7805CV-TO220</v>
      </c>
      <c r="B5361" s="266">
        <f>IFERROR(__xludf.DUMMYFUNCTION("""COMPUTED_VALUE"""),45994.0)</f>
        <v>45994</v>
      </c>
      <c r="C5361" s="266" t="str">
        <f>IFERROR(__xludf.DUMMYFUNCTION("""COMPUTED_VALUE"""),"KYAI KONTONG")</f>
        <v>KYAI KONTONG</v>
      </c>
      <c r="D5361" s="186">
        <f>IFERROR(__xludf.DUMMYFUNCTION("""COMPUTED_VALUE"""),150.0)</f>
        <v>150</v>
      </c>
    </row>
    <row r="5362">
      <c r="A5362" s="178" t="str">
        <f>IFERROR(__xludf.DUMMYFUNCTION("""COMPUTED_VALUE"""),"ITBISA-IC-L7805CV-TO220")</f>
        <v>ITBISA-IC-L7805CV-TO220</v>
      </c>
      <c r="B5362" s="266">
        <f>IFERROR(__xludf.DUMMYFUNCTION("""COMPUTED_VALUE"""),45996.0)</f>
        <v>45996</v>
      </c>
      <c r="C5362" s="266" t="str">
        <f>IFERROR(__xludf.DUMMYFUNCTION("""COMPUTED_VALUE"""),"KYAI KONTONG")</f>
        <v>KYAI KONTONG</v>
      </c>
      <c r="D5362" s="186">
        <f>IFERROR(__xludf.DUMMYFUNCTION("""COMPUTED_VALUE"""),3.0)</f>
        <v>3</v>
      </c>
    </row>
    <row r="5363">
      <c r="A5363" s="178" t="str">
        <f>IFERROR(__xludf.DUMMYFUNCTION("""COMPUTED_VALUE"""),"ITBISA-IC-L7805CV-TO220")</f>
        <v>ITBISA-IC-L7805CV-TO220</v>
      </c>
      <c r="B5363" s="266">
        <f>IFERROR(__xludf.DUMMYFUNCTION("""COMPUTED_VALUE"""),45997.0)</f>
        <v>45997</v>
      </c>
      <c r="C5363" s="266" t="str">
        <f>IFERROR(__xludf.DUMMYFUNCTION("""COMPUTED_VALUE"""),"KYAI KONTONG")</f>
        <v>KYAI KONTONG</v>
      </c>
      <c r="D5363" s="186">
        <f>IFERROR(__xludf.DUMMYFUNCTION("""COMPUTED_VALUE"""),10.0)</f>
        <v>10</v>
      </c>
    </row>
    <row r="5364">
      <c r="A5364" s="178" t="str">
        <f>IFERROR(__xludf.DUMMYFUNCTION("""COMPUTED_VALUE"""),"ITBISA-IC-L7805CV-TO220")</f>
        <v>ITBISA-IC-L7805CV-TO220</v>
      </c>
      <c r="B5364" s="266">
        <f>IFERROR(__xludf.DUMMYFUNCTION("""COMPUTED_VALUE"""),45997.0)</f>
        <v>45997</v>
      </c>
      <c r="C5364" s="266" t="str">
        <f>IFERROR(__xludf.DUMMYFUNCTION("""COMPUTED_VALUE"""),"KYAI KONTONG")</f>
        <v>KYAI KONTONG</v>
      </c>
      <c r="D5364" s="186">
        <f>IFERROR(__xludf.DUMMYFUNCTION("""COMPUTED_VALUE"""),40.0)</f>
        <v>40</v>
      </c>
    </row>
    <row r="5365">
      <c r="A5365" s="178" t="str">
        <f>IFERROR(__xludf.DUMMYFUNCTION("""COMPUTED_VALUE"""),"ITBISA-IC-L7805CV-TO220")</f>
        <v>ITBISA-IC-L7805CV-TO220</v>
      </c>
      <c r="B5365" s="266">
        <f>IFERROR(__xludf.DUMMYFUNCTION("""COMPUTED_VALUE"""),46001.0)</f>
        <v>46001</v>
      </c>
      <c r="C5365" s="266" t="str">
        <f>IFERROR(__xludf.DUMMYFUNCTION("""COMPUTED_VALUE"""),"KERTASARI CIAMIS")</f>
        <v>KERTASARI CIAMIS</v>
      </c>
      <c r="D5365" s="186">
        <f>IFERROR(__xludf.DUMMYFUNCTION("""COMPUTED_VALUE"""),30.0)</f>
        <v>30</v>
      </c>
    </row>
    <row r="5366">
      <c r="A5366" s="178" t="str">
        <f>IFERROR(__xludf.DUMMYFUNCTION("""COMPUTED_VALUE"""),"ITBISA-IC-L7805CV-TO220")</f>
        <v>ITBISA-IC-L7805CV-TO220</v>
      </c>
      <c r="B5366" s="266">
        <f>IFERROR(__xludf.DUMMYFUNCTION("""COMPUTED_VALUE"""),46005.0)</f>
        <v>46005</v>
      </c>
      <c r="C5366" s="266" t="str">
        <f>IFERROR(__xludf.DUMMYFUNCTION("""COMPUTED_VALUE"""),"KYAI KONTONG")</f>
        <v>KYAI KONTONG</v>
      </c>
      <c r="D5366" s="186">
        <f>IFERROR(__xludf.DUMMYFUNCTION("""COMPUTED_VALUE"""),25.0)</f>
        <v>25</v>
      </c>
    </row>
    <row r="5367">
      <c r="A5367" s="178" t="str">
        <f>IFERROR(__xludf.DUMMYFUNCTION("""COMPUTED_VALUE"""),"ITBISA-IC-L7805CV-TO220")</f>
        <v>ITBISA-IC-L7805CV-TO220</v>
      </c>
      <c r="B5367" s="266">
        <f>IFERROR(__xludf.DUMMYFUNCTION("""COMPUTED_VALUE"""),46013.0)</f>
        <v>46013</v>
      </c>
      <c r="C5367" s="266" t="str">
        <f>IFERROR(__xludf.DUMMYFUNCTION("""COMPUTED_VALUE"""),"KERTASARI CIAMIS")</f>
        <v>KERTASARI CIAMIS</v>
      </c>
      <c r="D5367" s="186">
        <f>IFERROR(__xludf.DUMMYFUNCTION("""COMPUTED_VALUE"""),10.0)</f>
        <v>10</v>
      </c>
    </row>
    <row r="5368">
      <c r="A5368" s="178" t="str">
        <f>IFERROR(__xludf.DUMMYFUNCTION("""COMPUTED_VALUE"""),"ITBISA-IC-L7809CV-TO220")</f>
        <v>ITBISA-IC-L7809CV-TO220</v>
      </c>
      <c r="B5368" s="266">
        <f>IFERROR(__xludf.DUMMYFUNCTION("""COMPUTED_VALUE"""),45378.0)</f>
        <v>45378</v>
      </c>
      <c r="C5368" s="266" t="str">
        <f>IFERROR(__xludf.DUMMYFUNCTION("""COMPUTED_VALUE"""),"KERTASARI CIAMIS")</f>
        <v>KERTASARI CIAMIS</v>
      </c>
      <c r="D5368" s="186">
        <f>IFERROR(__xludf.DUMMYFUNCTION("""COMPUTED_VALUE"""),10.0)</f>
        <v>10</v>
      </c>
    </row>
    <row r="5369">
      <c r="A5369" s="178" t="str">
        <f>IFERROR(__xludf.DUMMYFUNCTION("""COMPUTED_VALUE"""),"ITBISA-IC-L7809CV-TO220")</f>
        <v>ITBISA-IC-L7809CV-TO220</v>
      </c>
      <c r="B5369" s="266">
        <f>IFERROR(__xludf.DUMMYFUNCTION("""COMPUTED_VALUE"""),45527.0)</f>
        <v>45527</v>
      </c>
      <c r="C5369" s="266" t="str">
        <f>IFERROR(__xludf.DUMMYFUNCTION("""COMPUTED_VALUE"""),"KYAI KONTONG")</f>
        <v>KYAI KONTONG</v>
      </c>
      <c r="D5369" s="186">
        <f>IFERROR(__xludf.DUMMYFUNCTION("""COMPUTED_VALUE"""),0.0)</f>
        <v>0</v>
      </c>
    </row>
    <row r="5370">
      <c r="A5370" s="178" t="str">
        <f>IFERROR(__xludf.DUMMYFUNCTION("""COMPUTED_VALUE"""),"ITBISA-IC-L7812CV-TO220")</f>
        <v>ITBISA-IC-L7812CV-TO220</v>
      </c>
      <c r="B5370" s="266">
        <f>IFERROR(__xludf.DUMMYFUNCTION("""COMPUTED_VALUE"""),45085.0)</f>
        <v>45085</v>
      </c>
      <c r="C5370" s="266" t="str">
        <f>IFERROR(__xludf.DUMMYFUNCTION("""COMPUTED_VALUE"""),"KYAI KONTONG")</f>
        <v>KYAI KONTONG</v>
      </c>
      <c r="D5370" s="186">
        <f>IFERROR(__xludf.DUMMYFUNCTION("""COMPUTED_VALUE"""),250.0)</f>
        <v>250</v>
      </c>
    </row>
    <row r="5371">
      <c r="A5371" s="178" t="str">
        <f>IFERROR(__xludf.DUMMYFUNCTION("""COMPUTED_VALUE"""),"ITBISA-IC-L7812CV-TO220")</f>
        <v>ITBISA-IC-L7812CV-TO220</v>
      </c>
      <c r="B5371" s="266">
        <f>IFERROR(__xludf.DUMMYFUNCTION("""COMPUTED_VALUE"""),45088.0)</f>
        <v>45088</v>
      </c>
      <c r="C5371" s="266" t="str">
        <f>IFERROR(__xludf.DUMMYFUNCTION("""COMPUTED_VALUE"""),"KYAI KONTONG")</f>
        <v>KYAI KONTONG</v>
      </c>
      <c r="D5371" s="186">
        <f>IFERROR(__xludf.DUMMYFUNCTION("""COMPUTED_VALUE"""),3.0)</f>
        <v>3</v>
      </c>
    </row>
    <row r="5372">
      <c r="A5372" s="178" t="str">
        <f>IFERROR(__xludf.DUMMYFUNCTION("""COMPUTED_VALUE"""),"ITBISA-IC-L7812CV-TO220")</f>
        <v>ITBISA-IC-L7812CV-TO220</v>
      </c>
      <c r="B5372" s="266">
        <f>IFERROR(__xludf.DUMMYFUNCTION("""COMPUTED_VALUE"""),45089.0)</f>
        <v>45089</v>
      </c>
      <c r="C5372" s="266" t="str">
        <f>IFERROR(__xludf.DUMMYFUNCTION("""COMPUTED_VALUE"""),"KYAI KONTONG")</f>
        <v>KYAI KONTONG</v>
      </c>
      <c r="D5372" s="186">
        <f>IFERROR(__xludf.DUMMYFUNCTION("""COMPUTED_VALUE"""),38.0)</f>
        <v>38</v>
      </c>
    </row>
    <row r="5373">
      <c r="A5373" s="178" t="str">
        <f>IFERROR(__xludf.DUMMYFUNCTION("""COMPUTED_VALUE"""),"ITBISA-IC-L7812CV-TO220")</f>
        <v>ITBISA-IC-L7812CV-TO220</v>
      </c>
      <c r="B5373" s="266">
        <f>IFERROR(__xludf.DUMMYFUNCTION("""COMPUTED_VALUE"""),45096.0)</f>
        <v>45096</v>
      </c>
      <c r="C5373" s="266" t="str">
        <f>IFERROR(__xludf.DUMMYFUNCTION("""COMPUTED_VALUE"""),"KYAI KONTONG")</f>
        <v>KYAI KONTONG</v>
      </c>
      <c r="D5373" s="186">
        <f>IFERROR(__xludf.DUMMYFUNCTION("""COMPUTED_VALUE"""),20.0)</f>
        <v>20</v>
      </c>
    </row>
    <row r="5374">
      <c r="A5374" s="178" t="str">
        <f>IFERROR(__xludf.DUMMYFUNCTION("""COMPUTED_VALUE"""),"ITBISA-IC-L7812CV-TO220")</f>
        <v>ITBISA-IC-L7812CV-TO220</v>
      </c>
      <c r="B5374" s="266">
        <f>IFERROR(__xludf.DUMMYFUNCTION("""COMPUTED_VALUE"""),45098.0)</f>
        <v>45098</v>
      </c>
      <c r="C5374" s="266" t="str">
        <f>IFERROR(__xludf.DUMMYFUNCTION("""COMPUTED_VALUE"""),"KYAI KONTONG")</f>
        <v>KYAI KONTONG</v>
      </c>
      <c r="D5374" s="186">
        <f>IFERROR(__xludf.DUMMYFUNCTION("""COMPUTED_VALUE"""),10.0)</f>
        <v>10</v>
      </c>
    </row>
    <row r="5375">
      <c r="A5375" s="178" t="str">
        <f>IFERROR(__xludf.DUMMYFUNCTION("""COMPUTED_VALUE"""),"ITBISA-IC-L7812CV-TO220")</f>
        <v>ITBISA-IC-L7812CV-TO220</v>
      </c>
      <c r="B5375" s="266">
        <f>IFERROR(__xludf.DUMMYFUNCTION("""COMPUTED_VALUE"""),45100.0)</f>
        <v>45100</v>
      </c>
      <c r="C5375" s="266" t="str">
        <f>IFERROR(__xludf.DUMMYFUNCTION("""COMPUTED_VALUE"""),"KYAI KONTONG")</f>
        <v>KYAI KONTONG</v>
      </c>
      <c r="D5375" s="186">
        <f>IFERROR(__xludf.DUMMYFUNCTION("""COMPUTED_VALUE"""),50.0)</f>
        <v>50</v>
      </c>
    </row>
    <row r="5376">
      <c r="A5376" s="178" t="str">
        <f>IFERROR(__xludf.DUMMYFUNCTION("""COMPUTED_VALUE"""),"ITBISA-IC-L7812CV-TO220")</f>
        <v>ITBISA-IC-L7812CV-TO220</v>
      </c>
      <c r="B5376" s="266">
        <f>IFERROR(__xludf.DUMMYFUNCTION("""COMPUTED_VALUE"""),45104.0)</f>
        <v>45104</v>
      </c>
      <c r="C5376" s="266" t="str">
        <f>IFERROR(__xludf.DUMMYFUNCTION("""COMPUTED_VALUE"""),"KYAI KONTONG")</f>
        <v>KYAI KONTONG</v>
      </c>
      <c r="D5376" s="186">
        <f>IFERROR(__xludf.DUMMYFUNCTION("""COMPUTED_VALUE"""),3.0)</f>
        <v>3</v>
      </c>
    </row>
    <row r="5377">
      <c r="A5377" s="178" t="str">
        <f>IFERROR(__xludf.DUMMYFUNCTION("""COMPUTED_VALUE"""),"ITBISA-IC-L7812CV-TO220")</f>
        <v>ITBISA-IC-L7812CV-TO220</v>
      </c>
      <c r="B5377" s="266">
        <f>IFERROR(__xludf.DUMMYFUNCTION("""COMPUTED_VALUE"""),45110.0)</f>
        <v>45110</v>
      </c>
      <c r="C5377" s="266" t="str">
        <f>IFERROR(__xludf.DUMMYFUNCTION("""COMPUTED_VALUE"""),"KYAI KONTONG")</f>
        <v>KYAI KONTONG</v>
      </c>
      <c r="D5377" s="186">
        <f>IFERROR(__xludf.DUMMYFUNCTION("""COMPUTED_VALUE"""),4.0)</f>
        <v>4</v>
      </c>
    </row>
    <row r="5378">
      <c r="A5378" s="178" t="str">
        <f>IFERROR(__xludf.DUMMYFUNCTION("""COMPUTED_VALUE"""),"ITBISA-IC-L7812CV-TO220")</f>
        <v>ITBISA-IC-L7812CV-TO220</v>
      </c>
      <c r="B5378" s="266">
        <f>IFERROR(__xludf.DUMMYFUNCTION("""COMPUTED_VALUE"""),45110.0)</f>
        <v>45110</v>
      </c>
      <c r="C5378" s="266" t="str">
        <f>IFERROR(__xludf.DUMMYFUNCTION("""COMPUTED_VALUE"""),"KYAI KONTONG")</f>
        <v>KYAI KONTONG</v>
      </c>
      <c r="D5378" s="186">
        <f>IFERROR(__xludf.DUMMYFUNCTION("""COMPUTED_VALUE"""),50.0)</f>
        <v>50</v>
      </c>
    </row>
    <row r="5379">
      <c r="A5379" s="178" t="str">
        <f>IFERROR(__xludf.DUMMYFUNCTION("""COMPUTED_VALUE"""),"ITBISA-IC-L7812CV-TO220")</f>
        <v>ITBISA-IC-L7812CV-TO220</v>
      </c>
      <c r="B5379" s="266">
        <f>IFERROR(__xludf.DUMMYFUNCTION("""COMPUTED_VALUE"""),45116.0)</f>
        <v>45116</v>
      </c>
      <c r="C5379" s="266" t="str">
        <f>IFERROR(__xludf.DUMMYFUNCTION("""COMPUTED_VALUE"""),"KYAI KONTONG")</f>
        <v>KYAI KONTONG</v>
      </c>
      <c r="D5379" s="186">
        <f>IFERROR(__xludf.DUMMYFUNCTION("""COMPUTED_VALUE"""),12.0)</f>
        <v>12</v>
      </c>
    </row>
    <row r="5380">
      <c r="A5380" s="178" t="str">
        <f>IFERROR(__xludf.DUMMYFUNCTION("""COMPUTED_VALUE"""),"ITBISA-IC-L7812CV-TO220")</f>
        <v>ITBISA-IC-L7812CV-TO220</v>
      </c>
      <c r="B5380" s="266">
        <f>IFERROR(__xludf.DUMMYFUNCTION("""COMPUTED_VALUE"""),45120.0)</f>
        <v>45120</v>
      </c>
      <c r="C5380" s="266" t="str">
        <f>IFERROR(__xludf.DUMMYFUNCTION("""COMPUTED_VALUE"""),"KYAI KONTONG")</f>
        <v>KYAI KONTONG</v>
      </c>
      <c r="D5380" s="186">
        <f>IFERROR(__xludf.DUMMYFUNCTION("""COMPUTED_VALUE"""),12.0)</f>
        <v>12</v>
      </c>
    </row>
    <row r="5381">
      <c r="A5381" s="178" t="str">
        <f>IFERROR(__xludf.DUMMYFUNCTION("""COMPUTED_VALUE"""),"ITBISA-IC-L7812CV-TO220")</f>
        <v>ITBISA-IC-L7812CV-TO220</v>
      </c>
      <c r="B5381" s="266">
        <f>IFERROR(__xludf.DUMMYFUNCTION("""COMPUTED_VALUE"""),45176.0)</f>
        <v>45176</v>
      </c>
      <c r="C5381" s="266" t="str">
        <f>IFERROR(__xludf.DUMMYFUNCTION("""COMPUTED_VALUE"""),"KYAI KONTONG")</f>
        <v>KYAI KONTONG</v>
      </c>
      <c r="D5381" s="186">
        <f>IFERROR(__xludf.DUMMYFUNCTION("""COMPUTED_VALUE"""),4.0)</f>
        <v>4</v>
      </c>
    </row>
    <row r="5382">
      <c r="A5382" s="178" t="str">
        <f>IFERROR(__xludf.DUMMYFUNCTION("""COMPUTED_VALUE"""),"ITBISA-IC-L7812CV-TO220")</f>
        <v>ITBISA-IC-L7812CV-TO220</v>
      </c>
      <c r="B5382" s="266">
        <f>IFERROR(__xludf.DUMMYFUNCTION("""COMPUTED_VALUE"""),45178.0)</f>
        <v>45178</v>
      </c>
      <c r="C5382" s="266" t="str">
        <f>IFERROR(__xludf.DUMMYFUNCTION("""COMPUTED_VALUE"""),"KYAI KONTONG")</f>
        <v>KYAI KONTONG</v>
      </c>
      <c r="D5382" s="186">
        <f>IFERROR(__xludf.DUMMYFUNCTION("""COMPUTED_VALUE"""),1.0)</f>
        <v>1</v>
      </c>
    </row>
    <row r="5383">
      <c r="A5383" s="178" t="str">
        <f>IFERROR(__xludf.DUMMYFUNCTION("""COMPUTED_VALUE"""),"ITBISA-IC-L7812CV-TO220")</f>
        <v>ITBISA-IC-L7812CV-TO220</v>
      </c>
      <c r="B5383" s="266">
        <f>IFERROR(__xludf.DUMMYFUNCTION("""COMPUTED_VALUE"""),45194.0)</f>
        <v>45194</v>
      </c>
      <c r="C5383" s="266" t="str">
        <f>IFERROR(__xludf.DUMMYFUNCTION("""COMPUTED_VALUE"""),"KYAI KONTONG")</f>
        <v>KYAI KONTONG</v>
      </c>
      <c r="D5383" s="186">
        <f>IFERROR(__xludf.DUMMYFUNCTION("""COMPUTED_VALUE"""),10.0)</f>
        <v>10</v>
      </c>
    </row>
    <row r="5384">
      <c r="A5384" s="178" t="str">
        <f>IFERROR(__xludf.DUMMYFUNCTION("""COMPUTED_VALUE"""),"ITBISA-IC-L7812CV-TO220")</f>
        <v>ITBISA-IC-L7812CV-TO220</v>
      </c>
      <c r="B5384" s="266">
        <f>IFERROR(__xludf.DUMMYFUNCTION("""COMPUTED_VALUE"""),45200.0)</f>
        <v>45200</v>
      </c>
      <c r="C5384" s="266" t="str">
        <f>IFERROR(__xludf.DUMMYFUNCTION("""COMPUTED_VALUE"""),"KYAI KONTONG")</f>
        <v>KYAI KONTONG</v>
      </c>
      <c r="D5384" s="186">
        <f>IFERROR(__xludf.DUMMYFUNCTION("""COMPUTED_VALUE"""),10.0)</f>
        <v>10</v>
      </c>
    </row>
    <row r="5385">
      <c r="A5385" s="178" t="str">
        <f>IFERROR(__xludf.DUMMYFUNCTION("""COMPUTED_VALUE"""),"ITBISA-IC-L7812CV-TO220")</f>
        <v>ITBISA-IC-L7812CV-TO220</v>
      </c>
      <c r="B5385" s="266">
        <f>IFERROR(__xludf.DUMMYFUNCTION("""COMPUTED_VALUE"""),45203.0)</f>
        <v>45203</v>
      </c>
      <c r="C5385" s="266" t="str">
        <f>IFERROR(__xludf.DUMMYFUNCTION("""COMPUTED_VALUE"""),"KYAI KONTONG")</f>
        <v>KYAI KONTONG</v>
      </c>
      <c r="D5385" s="186">
        <f>IFERROR(__xludf.DUMMYFUNCTION("""COMPUTED_VALUE"""),5.0)</f>
        <v>5</v>
      </c>
    </row>
    <row r="5386">
      <c r="A5386" s="178" t="str">
        <f>IFERROR(__xludf.DUMMYFUNCTION("""COMPUTED_VALUE"""),"ITBISA-IC-L7812CV-TO220")</f>
        <v>ITBISA-IC-L7812CV-TO220</v>
      </c>
      <c r="B5386" s="266">
        <f>IFERROR(__xludf.DUMMYFUNCTION("""COMPUTED_VALUE"""),45226.0)</f>
        <v>45226</v>
      </c>
      <c r="C5386" s="266" t="str">
        <f>IFERROR(__xludf.DUMMYFUNCTION("""COMPUTED_VALUE"""),"KYAI KONTONG")</f>
        <v>KYAI KONTONG</v>
      </c>
      <c r="D5386" s="186">
        <f>IFERROR(__xludf.DUMMYFUNCTION("""COMPUTED_VALUE"""),3.0)</f>
        <v>3</v>
      </c>
    </row>
    <row r="5387">
      <c r="A5387" s="178" t="str">
        <f>IFERROR(__xludf.DUMMYFUNCTION("""COMPUTED_VALUE"""),"ITBISA-IC-L7812CV-TO220")</f>
        <v>ITBISA-IC-L7812CV-TO220</v>
      </c>
      <c r="B5387" s="266">
        <f>IFERROR(__xludf.DUMMYFUNCTION("""COMPUTED_VALUE"""),45251.0)</f>
        <v>45251</v>
      </c>
      <c r="C5387" s="266" t="str">
        <f>IFERROR(__xludf.DUMMYFUNCTION("""COMPUTED_VALUE"""),"KYAI KONTONG")</f>
        <v>KYAI KONTONG</v>
      </c>
      <c r="D5387" s="186">
        <f>IFERROR(__xludf.DUMMYFUNCTION("""COMPUTED_VALUE"""),5.0)</f>
        <v>5</v>
      </c>
    </row>
    <row r="5388">
      <c r="A5388" s="178" t="str">
        <f>IFERROR(__xludf.DUMMYFUNCTION("""COMPUTED_VALUE"""),"ITBISA-IC-L7812CV-TO220")</f>
        <v>ITBISA-IC-L7812CV-TO220</v>
      </c>
      <c r="B5388" s="266">
        <f>IFERROR(__xludf.DUMMYFUNCTION("""COMPUTED_VALUE"""),45268.0)</f>
        <v>45268</v>
      </c>
      <c r="C5388" s="266" t="str">
        <f>IFERROR(__xludf.DUMMYFUNCTION("""COMPUTED_VALUE"""),"KYAI KONTONG")</f>
        <v>KYAI KONTONG</v>
      </c>
      <c r="D5388" s="186">
        <f>IFERROR(__xludf.DUMMYFUNCTION("""COMPUTED_VALUE"""),20.0)</f>
        <v>20</v>
      </c>
    </row>
    <row r="5389">
      <c r="A5389" s="178" t="str">
        <f>IFERROR(__xludf.DUMMYFUNCTION("""COMPUTED_VALUE"""),"ITBISA-IC-L7812CV-TO220")</f>
        <v>ITBISA-IC-L7812CV-TO220</v>
      </c>
      <c r="B5389" s="266">
        <f>IFERROR(__xludf.DUMMYFUNCTION("""COMPUTED_VALUE"""),45272.0)</f>
        <v>45272</v>
      </c>
      <c r="C5389" s="266" t="str">
        <f>IFERROR(__xludf.DUMMYFUNCTION("""COMPUTED_VALUE"""),"KYAI KONTONG")</f>
        <v>KYAI KONTONG</v>
      </c>
      <c r="D5389" s="186">
        <f>IFERROR(__xludf.DUMMYFUNCTION("""COMPUTED_VALUE"""),1.0)</f>
        <v>1</v>
      </c>
    </row>
    <row r="5390">
      <c r="A5390" s="178" t="str">
        <f>IFERROR(__xludf.DUMMYFUNCTION("""COMPUTED_VALUE"""),"ITBISA-IC-L7812CV-TO220")</f>
        <v>ITBISA-IC-L7812CV-TO220</v>
      </c>
      <c r="B5390" s="266">
        <f>IFERROR(__xludf.DUMMYFUNCTION("""COMPUTED_VALUE"""),45273.0)</f>
        <v>45273</v>
      </c>
      <c r="C5390" s="266" t="str">
        <f>IFERROR(__xludf.DUMMYFUNCTION("""COMPUTED_VALUE"""),"KYAI KONTONG")</f>
        <v>KYAI KONTONG</v>
      </c>
      <c r="D5390" s="186">
        <f>IFERROR(__xludf.DUMMYFUNCTION("""COMPUTED_VALUE"""),100.0)</f>
        <v>100</v>
      </c>
    </row>
    <row r="5391">
      <c r="A5391" s="178" t="str">
        <f>IFERROR(__xludf.DUMMYFUNCTION("""COMPUTED_VALUE"""),"ITBISA-IC-L7812CV-TO220")</f>
        <v>ITBISA-IC-L7812CV-TO220</v>
      </c>
      <c r="B5391" s="266">
        <f>IFERROR(__xludf.DUMMYFUNCTION("""COMPUTED_VALUE"""),45280.0)</f>
        <v>45280</v>
      </c>
      <c r="C5391" s="266" t="str">
        <f>IFERROR(__xludf.DUMMYFUNCTION("""COMPUTED_VALUE"""),"KYAI KONTONG")</f>
        <v>KYAI KONTONG</v>
      </c>
      <c r="D5391" s="186">
        <f>IFERROR(__xludf.DUMMYFUNCTION("""COMPUTED_VALUE"""),3.0)</f>
        <v>3</v>
      </c>
    </row>
    <row r="5392">
      <c r="A5392" s="178" t="str">
        <f>IFERROR(__xludf.DUMMYFUNCTION("""COMPUTED_VALUE"""),"ITBISA-IC-L7812CV-TO220")</f>
        <v>ITBISA-IC-L7812CV-TO220</v>
      </c>
      <c r="B5392" s="266">
        <f>IFERROR(__xludf.DUMMYFUNCTION("""COMPUTED_VALUE"""),45281.0)</f>
        <v>45281</v>
      </c>
      <c r="C5392" s="266" t="str">
        <f>IFERROR(__xludf.DUMMYFUNCTION("""COMPUTED_VALUE"""),"KYAI KONTONG")</f>
        <v>KYAI KONTONG</v>
      </c>
      <c r="D5392" s="186">
        <f>IFERROR(__xludf.DUMMYFUNCTION("""COMPUTED_VALUE"""),8.0)</f>
        <v>8</v>
      </c>
    </row>
    <row r="5393">
      <c r="A5393" s="178" t="str">
        <f>IFERROR(__xludf.DUMMYFUNCTION("""COMPUTED_VALUE"""),"ITBISA-IC-L7812CV-TO220")</f>
        <v>ITBISA-IC-L7812CV-TO220</v>
      </c>
      <c r="B5393" s="266">
        <f>IFERROR(__xludf.DUMMYFUNCTION("""COMPUTED_VALUE"""),45292.0)</f>
        <v>45292</v>
      </c>
      <c r="C5393" s="266" t="str">
        <f>IFERROR(__xludf.DUMMYFUNCTION("""COMPUTED_VALUE"""),"KYAI KONTONG")</f>
        <v>KYAI KONTONG</v>
      </c>
      <c r="D5393" s="186">
        <f>IFERROR(__xludf.DUMMYFUNCTION("""COMPUTED_VALUE"""),2.0)</f>
        <v>2</v>
      </c>
    </row>
    <row r="5394">
      <c r="A5394" s="178" t="str">
        <f>IFERROR(__xludf.DUMMYFUNCTION("""COMPUTED_VALUE"""),"ITBISA-IC-L7812CV-TO220")</f>
        <v>ITBISA-IC-L7812CV-TO220</v>
      </c>
      <c r="B5394" s="266">
        <f>IFERROR(__xludf.DUMMYFUNCTION("""COMPUTED_VALUE"""),45292.0)</f>
        <v>45292</v>
      </c>
      <c r="C5394" s="266" t="str">
        <f>IFERROR(__xludf.DUMMYFUNCTION("""COMPUTED_VALUE"""),"KYAI KONTONG")</f>
        <v>KYAI KONTONG</v>
      </c>
      <c r="D5394" s="186">
        <f>IFERROR(__xludf.DUMMYFUNCTION("""COMPUTED_VALUE"""),2.0)</f>
        <v>2</v>
      </c>
    </row>
    <row r="5395">
      <c r="A5395" s="178" t="str">
        <f>IFERROR(__xludf.DUMMYFUNCTION("""COMPUTED_VALUE"""),"ITBISA-IC-L7812CV-TO220")</f>
        <v>ITBISA-IC-L7812CV-TO220</v>
      </c>
      <c r="B5395" s="266">
        <f>IFERROR(__xludf.DUMMYFUNCTION("""COMPUTED_VALUE"""),45292.0)</f>
        <v>45292</v>
      </c>
      <c r="C5395" s="266" t="str">
        <f>IFERROR(__xludf.DUMMYFUNCTION("""COMPUTED_VALUE"""),"KYAI KONTONG")</f>
        <v>KYAI KONTONG</v>
      </c>
      <c r="D5395" s="186">
        <f>IFERROR(__xludf.DUMMYFUNCTION("""COMPUTED_VALUE"""),6.0)</f>
        <v>6</v>
      </c>
    </row>
    <row r="5396">
      <c r="A5396" s="178" t="str">
        <f>IFERROR(__xludf.DUMMYFUNCTION("""COMPUTED_VALUE"""),"ITBISA-IC-L7812CV-TO220")</f>
        <v>ITBISA-IC-L7812CV-TO220</v>
      </c>
      <c r="B5396" s="266">
        <f>IFERROR(__xludf.DUMMYFUNCTION("""COMPUTED_VALUE"""),45296.0)</f>
        <v>45296</v>
      </c>
      <c r="C5396" s="266" t="str">
        <f>IFERROR(__xludf.DUMMYFUNCTION("""COMPUTED_VALUE"""),"KYAI KONTONG")</f>
        <v>KYAI KONTONG</v>
      </c>
      <c r="D5396" s="186">
        <f>IFERROR(__xludf.DUMMYFUNCTION("""COMPUTED_VALUE"""),8.0)</f>
        <v>8</v>
      </c>
    </row>
    <row r="5397">
      <c r="A5397" s="178" t="str">
        <f>IFERROR(__xludf.DUMMYFUNCTION("""COMPUTED_VALUE"""),"ITBISA-IC-L7812CV-TO220")</f>
        <v>ITBISA-IC-L7812CV-TO220</v>
      </c>
      <c r="B5397" s="266">
        <f>IFERROR(__xludf.DUMMYFUNCTION("""COMPUTED_VALUE"""),45309.0)</f>
        <v>45309</v>
      </c>
      <c r="C5397" s="266" t="str">
        <f>IFERROR(__xludf.DUMMYFUNCTION("""COMPUTED_VALUE"""),"KERTASARI CIAMIS")</f>
        <v>KERTASARI CIAMIS</v>
      </c>
      <c r="D5397" s="186">
        <f>IFERROR(__xludf.DUMMYFUNCTION("""COMPUTED_VALUE"""),10.0)</f>
        <v>10</v>
      </c>
    </row>
    <row r="5398">
      <c r="A5398" s="178" t="str">
        <f>IFERROR(__xludf.DUMMYFUNCTION("""COMPUTED_VALUE"""),"ITBISA-IC-L7812CV-TO220")</f>
        <v>ITBISA-IC-L7812CV-TO220</v>
      </c>
      <c r="B5398" s="266">
        <f>IFERROR(__xludf.DUMMYFUNCTION("""COMPUTED_VALUE"""),45317.0)</f>
        <v>45317</v>
      </c>
      <c r="C5398" s="266" t="str">
        <f>IFERROR(__xludf.DUMMYFUNCTION("""COMPUTED_VALUE"""),"KERTASARI CIAMIS")</f>
        <v>KERTASARI CIAMIS</v>
      </c>
      <c r="D5398" s="186">
        <f>IFERROR(__xludf.DUMMYFUNCTION("""COMPUTED_VALUE"""),4.0)</f>
        <v>4</v>
      </c>
    </row>
    <row r="5399">
      <c r="A5399" s="178" t="str">
        <f>IFERROR(__xludf.DUMMYFUNCTION("""COMPUTED_VALUE"""),"ITBISA-IC-L7812CV-TO220")</f>
        <v>ITBISA-IC-L7812CV-TO220</v>
      </c>
      <c r="B5399" s="266">
        <f>IFERROR(__xludf.DUMMYFUNCTION("""COMPUTED_VALUE"""),45335.0)</f>
        <v>45335</v>
      </c>
      <c r="C5399" s="266" t="str">
        <f>IFERROR(__xludf.DUMMYFUNCTION("""COMPUTED_VALUE"""),"KERTASARI CIAMIS")</f>
        <v>KERTASARI CIAMIS</v>
      </c>
      <c r="D5399" s="186">
        <f>IFERROR(__xludf.DUMMYFUNCTION("""COMPUTED_VALUE"""),15.0)</f>
        <v>15</v>
      </c>
    </row>
    <row r="5400">
      <c r="A5400" s="178" t="str">
        <f>IFERROR(__xludf.DUMMYFUNCTION("""COMPUTED_VALUE"""),"ITBISA-IC-L7812CV-TO220")</f>
        <v>ITBISA-IC-L7812CV-TO220</v>
      </c>
      <c r="B5400" s="266">
        <f>IFERROR(__xludf.DUMMYFUNCTION("""COMPUTED_VALUE"""),45346.0)</f>
        <v>45346</v>
      </c>
      <c r="C5400" s="266" t="str">
        <f>IFERROR(__xludf.DUMMYFUNCTION("""COMPUTED_VALUE"""),"KERTASARI CIAMIS")</f>
        <v>KERTASARI CIAMIS</v>
      </c>
      <c r="D5400" s="186">
        <f>IFERROR(__xludf.DUMMYFUNCTION("""COMPUTED_VALUE"""),60.0)</f>
        <v>60</v>
      </c>
    </row>
    <row r="5401">
      <c r="A5401" s="178" t="str">
        <f>IFERROR(__xludf.DUMMYFUNCTION("""COMPUTED_VALUE"""),"ITBISA-IC-L7812CV-TO220")</f>
        <v>ITBISA-IC-L7812CV-TO220</v>
      </c>
      <c r="B5401" s="266">
        <f>IFERROR(__xludf.DUMMYFUNCTION("""COMPUTED_VALUE"""),45346.0)</f>
        <v>45346</v>
      </c>
      <c r="C5401" s="266" t="str">
        <f>IFERROR(__xludf.DUMMYFUNCTION("""COMPUTED_VALUE"""),"KYAI KONTONG")</f>
        <v>KYAI KONTONG</v>
      </c>
      <c r="D5401" s="186">
        <f>IFERROR(__xludf.DUMMYFUNCTION("""COMPUTED_VALUE"""),100.0)</f>
        <v>100</v>
      </c>
    </row>
    <row r="5402">
      <c r="A5402" s="178" t="str">
        <f>IFERROR(__xludf.DUMMYFUNCTION("""COMPUTED_VALUE"""),"ITBISA-IC-L7812CV-TO220")</f>
        <v>ITBISA-IC-L7812CV-TO220</v>
      </c>
      <c r="B5402" s="266">
        <f>IFERROR(__xludf.DUMMYFUNCTION("""COMPUTED_VALUE"""),45351.0)</f>
        <v>45351</v>
      </c>
      <c r="C5402" s="266" t="str">
        <f>IFERROR(__xludf.DUMMYFUNCTION("""COMPUTED_VALUE"""),"KERTASARI CIAMIS")</f>
        <v>KERTASARI CIAMIS</v>
      </c>
      <c r="D5402" s="186">
        <f>IFERROR(__xludf.DUMMYFUNCTION("""COMPUTED_VALUE"""),5.0)</f>
        <v>5</v>
      </c>
    </row>
    <row r="5403">
      <c r="A5403" s="178" t="str">
        <f>IFERROR(__xludf.DUMMYFUNCTION("""COMPUTED_VALUE"""),"ITBISA-IC-L7812CV-TO220")</f>
        <v>ITBISA-IC-L7812CV-TO220</v>
      </c>
      <c r="B5403" s="266">
        <f>IFERROR(__xludf.DUMMYFUNCTION("""COMPUTED_VALUE"""),45357.0)</f>
        <v>45357</v>
      </c>
      <c r="C5403" s="266" t="str">
        <f>IFERROR(__xludf.DUMMYFUNCTION("""COMPUTED_VALUE"""),"KYAI KONTONG")</f>
        <v>KYAI KONTONG</v>
      </c>
      <c r="D5403" s="186">
        <f>IFERROR(__xludf.DUMMYFUNCTION("""COMPUTED_VALUE"""),15.0)</f>
        <v>15</v>
      </c>
    </row>
    <row r="5404">
      <c r="A5404" s="178" t="str">
        <f>IFERROR(__xludf.DUMMYFUNCTION("""COMPUTED_VALUE"""),"ITBISA-IC-L7812CV-TO220")</f>
        <v>ITBISA-IC-L7812CV-TO220</v>
      </c>
      <c r="B5404" s="266">
        <f>IFERROR(__xludf.DUMMYFUNCTION("""COMPUTED_VALUE"""),45362.0)</f>
        <v>45362</v>
      </c>
      <c r="C5404" s="266" t="str">
        <f>IFERROR(__xludf.DUMMYFUNCTION("""COMPUTED_VALUE"""),"KERTASARI CIAMIS")</f>
        <v>KERTASARI CIAMIS</v>
      </c>
      <c r="D5404" s="186">
        <f>IFERROR(__xludf.DUMMYFUNCTION("""COMPUTED_VALUE"""),5.0)</f>
        <v>5</v>
      </c>
    </row>
    <row r="5405">
      <c r="A5405" s="178" t="str">
        <f>IFERROR(__xludf.DUMMYFUNCTION("""COMPUTED_VALUE"""),"ITBISA-IC-L7812CV-TO220")</f>
        <v>ITBISA-IC-L7812CV-TO220</v>
      </c>
      <c r="B5405" s="266">
        <f>IFERROR(__xludf.DUMMYFUNCTION("""COMPUTED_VALUE"""),45378.0)</f>
        <v>45378</v>
      </c>
      <c r="C5405" s="266" t="str">
        <f>IFERROR(__xludf.DUMMYFUNCTION("""COMPUTED_VALUE"""),"KERTASARI CIAMIS")</f>
        <v>KERTASARI CIAMIS</v>
      </c>
      <c r="D5405" s="186">
        <f>IFERROR(__xludf.DUMMYFUNCTION("""COMPUTED_VALUE"""),10.0)</f>
        <v>10</v>
      </c>
    </row>
    <row r="5406">
      <c r="A5406" s="178" t="str">
        <f>IFERROR(__xludf.DUMMYFUNCTION("""COMPUTED_VALUE"""),"ITBISA-IC-L7812CV-TO220")</f>
        <v>ITBISA-IC-L7812CV-TO220</v>
      </c>
      <c r="B5406" s="266">
        <f>IFERROR(__xludf.DUMMYFUNCTION("""COMPUTED_VALUE"""),45386.0)</f>
        <v>45386</v>
      </c>
      <c r="C5406" s="266" t="str">
        <f>IFERROR(__xludf.DUMMYFUNCTION("""COMPUTED_VALUE"""),"KYAI KONTONG")</f>
        <v>KYAI KONTONG</v>
      </c>
      <c r="D5406" s="186">
        <f>IFERROR(__xludf.DUMMYFUNCTION("""COMPUTED_VALUE"""),100.0)</f>
        <v>100</v>
      </c>
    </row>
    <row r="5407">
      <c r="A5407" s="178" t="str">
        <f>IFERROR(__xludf.DUMMYFUNCTION("""COMPUTED_VALUE"""),"ITBISA-IC-L7812CV-TO220")</f>
        <v>ITBISA-IC-L7812CV-TO220</v>
      </c>
      <c r="B5407" s="266">
        <f>IFERROR(__xludf.DUMMYFUNCTION("""COMPUTED_VALUE"""),45403.0)</f>
        <v>45403</v>
      </c>
      <c r="C5407" s="266" t="str">
        <f>IFERROR(__xludf.DUMMYFUNCTION("""COMPUTED_VALUE"""),"KERTASARI CIAMIS")</f>
        <v>KERTASARI CIAMIS</v>
      </c>
      <c r="D5407" s="186">
        <f>IFERROR(__xludf.DUMMYFUNCTION("""COMPUTED_VALUE"""),50.0)</f>
        <v>50</v>
      </c>
    </row>
    <row r="5408">
      <c r="A5408" s="178" t="str">
        <f>IFERROR(__xludf.DUMMYFUNCTION("""COMPUTED_VALUE"""),"ITBISA-IC-L7812CV-TO220")</f>
        <v>ITBISA-IC-L7812CV-TO220</v>
      </c>
      <c r="B5408" s="266">
        <f>IFERROR(__xludf.DUMMYFUNCTION("""COMPUTED_VALUE"""),45411.0)</f>
        <v>45411</v>
      </c>
      <c r="C5408" s="266" t="str">
        <f>IFERROR(__xludf.DUMMYFUNCTION("""COMPUTED_VALUE"""),"KERTASARI CIAMIS")</f>
        <v>KERTASARI CIAMIS</v>
      </c>
      <c r="D5408" s="186">
        <f>IFERROR(__xludf.DUMMYFUNCTION("""COMPUTED_VALUE"""),10.0)</f>
        <v>10</v>
      </c>
    </row>
    <row r="5409">
      <c r="A5409" s="178" t="str">
        <f>IFERROR(__xludf.DUMMYFUNCTION("""COMPUTED_VALUE"""),"ITBISA-IC-L7812CV-TO220")</f>
        <v>ITBISA-IC-L7812CV-TO220</v>
      </c>
      <c r="B5409" s="266">
        <f>IFERROR(__xludf.DUMMYFUNCTION("""COMPUTED_VALUE"""),45430.0)</f>
        <v>45430</v>
      </c>
      <c r="C5409" s="266" t="str">
        <f>IFERROR(__xludf.DUMMYFUNCTION("""COMPUTED_VALUE"""),"KERTASARI CIAMIS")</f>
        <v>KERTASARI CIAMIS</v>
      </c>
      <c r="D5409" s="186">
        <f>IFERROR(__xludf.DUMMYFUNCTION("""COMPUTED_VALUE"""),50.0)</f>
        <v>50</v>
      </c>
    </row>
    <row r="5410">
      <c r="A5410" s="178" t="str">
        <f>IFERROR(__xludf.DUMMYFUNCTION("""COMPUTED_VALUE"""),"ITBISA-IC-L7812CV-TO220")</f>
        <v>ITBISA-IC-L7812CV-TO220</v>
      </c>
      <c r="B5410" s="266">
        <f>IFERROR(__xludf.DUMMYFUNCTION("""COMPUTED_VALUE"""),45436.0)</f>
        <v>45436</v>
      </c>
      <c r="C5410" s="266" t="str">
        <f>IFERROR(__xludf.DUMMYFUNCTION("""COMPUTED_VALUE"""),"KYAI KONTONG")</f>
        <v>KYAI KONTONG</v>
      </c>
      <c r="D5410" s="186">
        <f>IFERROR(__xludf.DUMMYFUNCTION("""COMPUTED_VALUE"""),20.0)</f>
        <v>20</v>
      </c>
    </row>
    <row r="5411">
      <c r="A5411" s="178" t="str">
        <f>IFERROR(__xludf.DUMMYFUNCTION("""COMPUTED_VALUE"""),"ITBISA-IC-L7812CV-TO220")</f>
        <v>ITBISA-IC-L7812CV-TO220</v>
      </c>
      <c r="B5411" s="266">
        <f>IFERROR(__xludf.DUMMYFUNCTION("""COMPUTED_VALUE"""),45444.0)</f>
        <v>45444</v>
      </c>
      <c r="C5411" s="266" t="str">
        <f>IFERROR(__xludf.DUMMYFUNCTION("""COMPUTED_VALUE"""),"KERTASARI CIAMIS")</f>
        <v>KERTASARI CIAMIS</v>
      </c>
      <c r="D5411" s="186">
        <f>IFERROR(__xludf.DUMMYFUNCTION("""COMPUTED_VALUE"""),5.0)</f>
        <v>5</v>
      </c>
    </row>
    <row r="5412">
      <c r="A5412" s="178" t="str">
        <f>IFERROR(__xludf.DUMMYFUNCTION("""COMPUTED_VALUE"""),"ITBISA-IC-L7812CV-TO220")</f>
        <v>ITBISA-IC-L7812CV-TO220</v>
      </c>
      <c r="B5412" s="266">
        <f>IFERROR(__xludf.DUMMYFUNCTION("""COMPUTED_VALUE"""),45448.0)</f>
        <v>45448</v>
      </c>
      <c r="C5412" s="266" t="str">
        <f>IFERROR(__xludf.DUMMYFUNCTION("""COMPUTED_VALUE"""),"KERTASARI CIAMIS")</f>
        <v>KERTASARI CIAMIS</v>
      </c>
      <c r="D5412" s="186">
        <f>IFERROR(__xludf.DUMMYFUNCTION("""COMPUTED_VALUE"""),14.0)</f>
        <v>14</v>
      </c>
    </row>
    <row r="5413">
      <c r="A5413" s="178" t="str">
        <f>IFERROR(__xludf.DUMMYFUNCTION("""COMPUTED_VALUE"""),"ITBISA-IC-L7812CV-TO220")</f>
        <v>ITBISA-IC-L7812CV-TO220</v>
      </c>
      <c r="B5413" s="266">
        <f>IFERROR(__xludf.DUMMYFUNCTION("""COMPUTED_VALUE"""),45449.0)</f>
        <v>45449</v>
      </c>
      <c r="C5413" s="266" t="str">
        <f>IFERROR(__xludf.DUMMYFUNCTION("""COMPUTED_VALUE"""),"KERTASARI CIAMIS")</f>
        <v>KERTASARI CIAMIS</v>
      </c>
      <c r="D5413" s="186">
        <f>IFERROR(__xludf.DUMMYFUNCTION("""COMPUTED_VALUE"""),1.0)</f>
        <v>1</v>
      </c>
    </row>
    <row r="5414">
      <c r="A5414" s="178" t="str">
        <f>IFERROR(__xludf.DUMMYFUNCTION("""COMPUTED_VALUE"""),"ITBISA-IC-L7812CV-TO220")</f>
        <v>ITBISA-IC-L7812CV-TO220</v>
      </c>
      <c r="B5414" s="266">
        <f>IFERROR(__xludf.DUMMYFUNCTION("""COMPUTED_VALUE"""),45449.0)</f>
        <v>45449</v>
      </c>
      <c r="C5414" s="266" t="str">
        <f>IFERROR(__xludf.DUMMYFUNCTION("""COMPUTED_VALUE"""),"KYAI KONTONG")</f>
        <v>KYAI KONTONG</v>
      </c>
      <c r="D5414" s="186">
        <f>IFERROR(__xludf.DUMMYFUNCTION("""COMPUTED_VALUE"""),100.0)</f>
        <v>100</v>
      </c>
    </row>
    <row r="5415">
      <c r="A5415" s="178" t="str">
        <f>IFERROR(__xludf.DUMMYFUNCTION("""COMPUTED_VALUE"""),"ITBISA-IC-L7812CV-TO220")</f>
        <v>ITBISA-IC-L7812CV-TO220</v>
      </c>
      <c r="B5415" s="266">
        <f>IFERROR(__xludf.DUMMYFUNCTION("""COMPUTED_VALUE"""),45451.0)</f>
        <v>45451</v>
      </c>
      <c r="C5415" s="266" t="str">
        <f>IFERROR(__xludf.DUMMYFUNCTION("""COMPUTED_VALUE"""),"KERTASARI CIAMIS")</f>
        <v>KERTASARI CIAMIS</v>
      </c>
      <c r="D5415" s="186">
        <f>IFERROR(__xludf.DUMMYFUNCTION("""COMPUTED_VALUE"""),9.0)</f>
        <v>9</v>
      </c>
    </row>
    <row r="5416">
      <c r="A5416" s="178" t="str">
        <f>IFERROR(__xludf.DUMMYFUNCTION("""COMPUTED_VALUE"""),"ITBISA-IC-L7812CV-TO220")</f>
        <v>ITBISA-IC-L7812CV-TO220</v>
      </c>
      <c r="B5416" s="266">
        <f>IFERROR(__xludf.DUMMYFUNCTION("""COMPUTED_VALUE"""),45453.0)</f>
        <v>45453</v>
      </c>
      <c r="C5416" s="266" t="str">
        <f>IFERROR(__xludf.DUMMYFUNCTION("""COMPUTED_VALUE"""),"KERTASARI CIAMIS")</f>
        <v>KERTASARI CIAMIS</v>
      </c>
      <c r="D5416" s="186">
        <f>IFERROR(__xludf.DUMMYFUNCTION("""COMPUTED_VALUE"""),50.0)</f>
        <v>50</v>
      </c>
    </row>
    <row r="5417">
      <c r="A5417" s="178" t="str">
        <f>IFERROR(__xludf.DUMMYFUNCTION("""COMPUTED_VALUE"""),"ITBISA-IC-L7812CV-TO220")</f>
        <v>ITBISA-IC-L7812CV-TO220</v>
      </c>
      <c r="B5417" s="266">
        <f>IFERROR(__xludf.DUMMYFUNCTION("""COMPUTED_VALUE"""),45454.0)</f>
        <v>45454</v>
      </c>
      <c r="C5417" s="266" t="str">
        <f>IFERROR(__xludf.DUMMYFUNCTION("""COMPUTED_VALUE"""),"KYAI KONTONG")</f>
        <v>KYAI KONTONG</v>
      </c>
      <c r="D5417" s="186">
        <f>IFERROR(__xludf.DUMMYFUNCTION("""COMPUTED_VALUE"""),20.0)</f>
        <v>20</v>
      </c>
    </row>
    <row r="5418">
      <c r="A5418" s="178" t="str">
        <f>IFERROR(__xludf.DUMMYFUNCTION("""COMPUTED_VALUE"""),"ITBISA-IC-L7812CV-TO220")</f>
        <v>ITBISA-IC-L7812CV-TO220</v>
      </c>
      <c r="B5418" s="266">
        <f>IFERROR(__xludf.DUMMYFUNCTION("""COMPUTED_VALUE"""),45456.0)</f>
        <v>45456</v>
      </c>
      <c r="C5418" s="266" t="str">
        <f>IFERROR(__xludf.DUMMYFUNCTION("""COMPUTED_VALUE"""),"KERTASARI CIAMIS")</f>
        <v>KERTASARI CIAMIS</v>
      </c>
      <c r="D5418" s="186">
        <f>IFERROR(__xludf.DUMMYFUNCTION("""COMPUTED_VALUE"""),15.0)</f>
        <v>15</v>
      </c>
    </row>
    <row r="5419">
      <c r="A5419" s="178" t="str">
        <f>IFERROR(__xludf.DUMMYFUNCTION("""COMPUTED_VALUE"""),"ITBISA-IC-L7812CV-TO220")</f>
        <v>ITBISA-IC-L7812CV-TO220</v>
      </c>
      <c r="B5419" s="266">
        <f>IFERROR(__xludf.DUMMYFUNCTION("""COMPUTED_VALUE"""),45460.0)</f>
        <v>45460</v>
      </c>
      <c r="C5419" s="266" t="str">
        <f>IFERROR(__xludf.DUMMYFUNCTION("""COMPUTED_VALUE"""),"KYAI KONTONG")</f>
        <v>KYAI KONTONG</v>
      </c>
      <c r="D5419" s="186">
        <f>IFERROR(__xludf.DUMMYFUNCTION("""COMPUTED_VALUE"""),5.0)</f>
        <v>5</v>
      </c>
    </row>
    <row r="5420">
      <c r="A5420" s="178" t="str">
        <f>IFERROR(__xludf.DUMMYFUNCTION("""COMPUTED_VALUE"""),"ITBISA-IC-L7812CV-TO220")</f>
        <v>ITBISA-IC-L7812CV-TO220</v>
      </c>
      <c r="B5420" s="266">
        <f>IFERROR(__xludf.DUMMYFUNCTION("""COMPUTED_VALUE"""),45473.0)</f>
        <v>45473</v>
      </c>
      <c r="C5420" s="266" t="str">
        <f>IFERROR(__xludf.DUMMYFUNCTION("""COMPUTED_VALUE"""),"KERTASARI CIAMIS")</f>
        <v>KERTASARI CIAMIS</v>
      </c>
      <c r="D5420" s="186">
        <f>IFERROR(__xludf.DUMMYFUNCTION("""COMPUTED_VALUE"""),10.0)</f>
        <v>10</v>
      </c>
    </row>
    <row r="5421">
      <c r="A5421" s="178" t="str">
        <f>IFERROR(__xludf.DUMMYFUNCTION("""COMPUTED_VALUE"""),"ITBISA-IC-L7812CV-TO220")</f>
        <v>ITBISA-IC-L7812CV-TO220</v>
      </c>
      <c r="B5421" s="266">
        <f>IFERROR(__xludf.DUMMYFUNCTION("""COMPUTED_VALUE"""),45476.0)</f>
        <v>45476</v>
      </c>
      <c r="C5421" s="266" t="str">
        <f>IFERROR(__xludf.DUMMYFUNCTION("""COMPUTED_VALUE"""),"KYAI KONTONG")</f>
        <v>KYAI KONTONG</v>
      </c>
      <c r="D5421" s="186">
        <f>IFERROR(__xludf.DUMMYFUNCTION("""COMPUTED_VALUE"""),10.0)</f>
        <v>10</v>
      </c>
    </row>
    <row r="5422">
      <c r="A5422" s="178" t="str">
        <f>IFERROR(__xludf.DUMMYFUNCTION("""COMPUTED_VALUE"""),"ITBISA-IC-L7812CV-TO220")</f>
        <v>ITBISA-IC-L7812CV-TO220</v>
      </c>
      <c r="B5422" s="266">
        <f>IFERROR(__xludf.DUMMYFUNCTION("""COMPUTED_VALUE"""),45491.0)</f>
        <v>45491</v>
      </c>
      <c r="C5422" s="266" t="str">
        <f>IFERROR(__xludf.DUMMYFUNCTION("""COMPUTED_VALUE"""),"KYAI KONTONG")</f>
        <v>KYAI KONTONG</v>
      </c>
      <c r="D5422" s="186">
        <f>IFERROR(__xludf.DUMMYFUNCTION("""COMPUTED_VALUE"""),11.0)</f>
        <v>11</v>
      </c>
    </row>
    <row r="5423">
      <c r="A5423" s="178" t="str">
        <f>IFERROR(__xludf.DUMMYFUNCTION("""COMPUTED_VALUE"""),"ITBISA-IC-L7812CV-TO220")</f>
        <v>ITBISA-IC-L7812CV-TO220</v>
      </c>
      <c r="B5423" s="266">
        <f>IFERROR(__xludf.DUMMYFUNCTION("""COMPUTED_VALUE"""),45501.0)</f>
        <v>45501</v>
      </c>
      <c r="C5423" s="266" t="str">
        <f>IFERROR(__xludf.DUMMYFUNCTION("""COMPUTED_VALUE"""),"KYAI KONTONG")</f>
        <v>KYAI KONTONG</v>
      </c>
      <c r="D5423" s="186">
        <f>IFERROR(__xludf.DUMMYFUNCTION("""COMPUTED_VALUE"""),100.0)</f>
        <v>100</v>
      </c>
    </row>
    <row r="5424">
      <c r="A5424" s="178" t="str">
        <f>IFERROR(__xludf.DUMMYFUNCTION("""COMPUTED_VALUE"""),"ITBISA-IC-L7812CV-TO220")</f>
        <v>ITBISA-IC-L7812CV-TO220</v>
      </c>
      <c r="B5424" s="266">
        <f>IFERROR(__xludf.DUMMYFUNCTION("""COMPUTED_VALUE"""),45510.0)</f>
        <v>45510</v>
      </c>
      <c r="C5424" s="266" t="str">
        <f>IFERROR(__xludf.DUMMYFUNCTION("""COMPUTED_VALUE"""),"KERTASARI CIAMIS")</f>
        <v>KERTASARI CIAMIS</v>
      </c>
      <c r="D5424" s="186">
        <f>IFERROR(__xludf.DUMMYFUNCTION("""COMPUTED_VALUE"""),10.0)</f>
        <v>10</v>
      </c>
    </row>
    <row r="5425">
      <c r="A5425" s="178" t="str">
        <f>IFERROR(__xludf.DUMMYFUNCTION("""COMPUTED_VALUE"""),"ITBISA-IC-L7812CV-TO220")</f>
        <v>ITBISA-IC-L7812CV-TO220</v>
      </c>
      <c r="B5425" s="266">
        <f>IFERROR(__xludf.DUMMYFUNCTION("""COMPUTED_VALUE"""),45516.0)</f>
        <v>45516</v>
      </c>
      <c r="C5425" s="266" t="str">
        <f>IFERROR(__xludf.DUMMYFUNCTION("""COMPUTED_VALUE"""),"KYAI KONTONG")</f>
        <v>KYAI KONTONG</v>
      </c>
      <c r="D5425" s="186">
        <f>IFERROR(__xludf.DUMMYFUNCTION("""COMPUTED_VALUE"""),12.0)</f>
        <v>12</v>
      </c>
    </row>
    <row r="5426">
      <c r="A5426" s="178" t="str">
        <f>IFERROR(__xludf.DUMMYFUNCTION("""COMPUTED_VALUE"""),"ITBISA-IC-L7812CV-TO220")</f>
        <v>ITBISA-IC-L7812CV-TO220</v>
      </c>
      <c r="B5426" s="266">
        <f>IFERROR(__xludf.DUMMYFUNCTION("""COMPUTED_VALUE"""),45535.0)</f>
        <v>45535</v>
      </c>
      <c r="C5426" s="266" t="str">
        <f>IFERROR(__xludf.DUMMYFUNCTION("""COMPUTED_VALUE"""),"KERTASARI CIAMIS")</f>
        <v>KERTASARI CIAMIS</v>
      </c>
      <c r="D5426" s="186">
        <f>IFERROR(__xludf.DUMMYFUNCTION("""COMPUTED_VALUE"""),10.0)</f>
        <v>10</v>
      </c>
    </row>
    <row r="5427">
      <c r="A5427" s="178" t="str">
        <f>IFERROR(__xludf.DUMMYFUNCTION("""COMPUTED_VALUE"""),"ITBISA-IC-L7812CV-TO220")</f>
        <v>ITBISA-IC-L7812CV-TO220</v>
      </c>
      <c r="B5427" s="266">
        <f>IFERROR(__xludf.DUMMYFUNCTION("""COMPUTED_VALUE"""),45558.0)</f>
        <v>45558</v>
      </c>
      <c r="C5427" s="266" t="str">
        <f>IFERROR(__xludf.DUMMYFUNCTION("""COMPUTED_VALUE"""),"KYAI KONTONG")</f>
        <v>KYAI KONTONG</v>
      </c>
      <c r="D5427" s="186">
        <f>IFERROR(__xludf.DUMMYFUNCTION("""COMPUTED_VALUE"""),10.0)</f>
        <v>10</v>
      </c>
    </row>
    <row r="5428">
      <c r="A5428" s="178" t="str">
        <f>IFERROR(__xludf.DUMMYFUNCTION("""COMPUTED_VALUE"""),"ITBISA-IC-L7812CV-TO220")</f>
        <v>ITBISA-IC-L7812CV-TO220</v>
      </c>
      <c r="B5428" s="266">
        <f>IFERROR(__xludf.DUMMYFUNCTION("""COMPUTED_VALUE"""),45577.0)</f>
        <v>45577</v>
      </c>
      <c r="C5428" s="266" t="str">
        <f>IFERROR(__xludf.DUMMYFUNCTION("""COMPUTED_VALUE"""),"KYAI KONTONG")</f>
        <v>KYAI KONTONG</v>
      </c>
      <c r="D5428" s="186">
        <f>IFERROR(__xludf.DUMMYFUNCTION("""COMPUTED_VALUE"""),14.0)</f>
        <v>14</v>
      </c>
    </row>
    <row r="5429">
      <c r="A5429" s="178" t="str">
        <f>IFERROR(__xludf.DUMMYFUNCTION("""COMPUTED_VALUE"""),"ITBISA-IC-L7812CV-TO220")</f>
        <v>ITBISA-IC-L7812CV-TO220</v>
      </c>
      <c r="B5429" s="266">
        <f>IFERROR(__xludf.DUMMYFUNCTION("""COMPUTED_VALUE"""),45582.0)</f>
        <v>45582</v>
      </c>
      <c r="C5429" s="266" t="str">
        <f>IFERROR(__xludf.DUMMYFUNCTION("""COMPUTED_VALUE"""),"KYAI KONTONG")</f>
        <v>KYAI KONTONG</v>
      </c>
      <c r="D5429" s="186">
        <f>IFERROR(__xludf.DUMMYFUNCTION("""COMPUTED_VALUE"""),10.0)</f>
        <v>10</v>
      </c>
    </row>
    <row r="5430">
      <c r="A5430" s="178" t="str">
        <f>IFERROR(__xludf.DUMMYFUNCTION("""COMPUTED_VALUE"""),"ITBISA-IC-L7812CV-TO220")</f>
        <v>ITBISA-IC-L7812CV-TO220</v>
      </c>
      <c r="B5430" s="266">
        <f>IFERROR(__xludf.DUMMYFUNCTION("""COMPUTED_VALUE"""),45587.0)</f>
        <v>45587</v>
      </c>
      <c r="C5430" s="266" t="str">
        <f>IFERROR(__xludf.DUMMYFUNCTION("""COMPUTED_VALUE"""),"KERTASARI CIAMIS")</f>
        <v>KERTASARI CIAMIS</v>
      </c>
      <c r="D5430" s="186">
        <f>IFERROR(__xludf.DUMMYFUNCTION("""COMPUTED_VALUE"""),10.0)</f>
        <v>10</v>
      </c>
    </row>
    <row r="5431">
      <c r="A5431" s="178" t="str">
        <f>IFERROR(__xludf.DUMMYFUNCTION("""COMPUTED_VALUE"""),"ITBISA-IC-L7812CV-TO220")</f>
        <v>ITBISA-IC-L7812CV-TO220</v>
      </c>
      <c r="B5431" s="266">
        <f>IFERROR(__xludf.DUMMYFUNCTION("""COMPUTED_VALUE"""),45600.0)</f>
        <v>45600</v>
      </c>
      <c r="C5431" s="266" t="str">
        <f>IFERROR(__xludf.DUMMYFUNCTION("""COMPUTED_VALUE"""),"KERTASARI CIAMIS")</f>
        <v>KERTASARI CIAMIS</v>
      </c>
      <c r="D5431" s="186">
        <f>IFERROR(__xludf.DUMMYFUNCTION("""COMPUTED_VALUE"""),10.0)</f>
        <v>10</v>
      </c>
    </row>
    <row r="5432">
      <c r="A5432" s="178" t="str">
        <f>IFERROR(__xludf.DUMMYFUNCTION("""COMPUTED_VALUE"""),"ITBISA-IC-L7812CV-TO220")</f>
        <v>ITBISA-IC-L7812CV-TO220</v>
      </c>
      <c r="B5432" s="266">
        <f>IFERROR(__xludf.DUMMYFUNCTION("""COMPUTED_VALUE"""),45611.0)</f>
        <v>45611</v>
      </c>
      <c r="C5432" s="266" t="str">
        <f>IFERROR(__xludf.DUMMYFUNCTION("""COMPUTED_VALUE"""),"KYAI KONTONG")</f>
        <v>KYAI KONTONG</v>
      </c>
      <c r="D5432" s="186">
        <f>IFERROR(__xludf.DUMMYFUNCTION("""COMPUTED_VALUE"""),10.0)</f>
        <v>10</v>
      </c>
    </row>
    <row r="5433">
      <c r="A5433" s="178" t="str">
        <f>IFERROR(__xludf.DUMMYFUNCTION("""COMPUTED_VALUE"""),"ITBISA-IC-L7812CV-TO220")</f>
        <v>ITBISA-IC-L7812CV-TO220</v>
      </c>
      <c r="B5433" s="266">
        <f>IFERROR(__xludf.DUMMYFUNCTION("""COMPUTED_VALUE"""),45611.0)</f>
        <v>45611</v>
      </c>
      <c r="C5433" s="266" t="str">
        <f>IFERROR(__xludf.DUMMYFUNCTION("""COMPUTED_VALUE"""),"KYAI KONTONG")</f>
        <v>KYAI KONTONG</v>
      </c>
      <c r="D5433" s="186">
        <f>IFERROR(__xludf.DUMMYFUNCTION("""COMPUTED_VALUE"""),100.0)</f>
        <v>100</v>
      </c>
    </row>
    <row r="5434">
      <c r="A5434" s="178" t="str">
        <f>IFERROR(__xludf.DUMMYFUNCTION("""COMPUTED_VALUE"""),"ITBISA-IC-L7812CV-TO220")</f>
        <v>ITBISA-IC-L7812CV-TO220</v>
      </c>
      <c r="B5434" s="266">
        <f>IFERROR(__xludf.DUMMYFUNCTION("""COMPUTED_VALUE"""),45615.0)</f>
        <v>45615</v>
      </c>
      <c r="C5434" s="266" t="str">
        <f>IFERROR(__xludf.DUMMYFUNCTION("""COMPUTED_VALUE"""),"KYAI KONTONG")</f>
        <v>KYAI KONTONG</v>
      </c>
      <c r="D5434" s="186">
        <f>IFERROR(__xludf.DUMMYFUNCTION("""COMPUTED_VALUE"""),100.0)</f>
        <v>100</v>
      </c>
    </row>
    <row r="5435">
      <c r="A5435" s="178" t="str">
        <f>IFERROR(__xludf.DUMMYFUNCTION("""COMPUTED_VALUE"""),"ITBISA-IC-L7812CV-TO220")</f>
        <v>ITBISA-IC-L7812CV-TO220</v>
      </c>
      <c r="B5435" s="266">
        <f>IFERROR(__xludf.DUMMYFUNCTION("""COMPUTED_VALUE"""),45630.0)</f>
        <v>45630</v>
      </c>
      <c r="C5435" s="266" t="str">
        <f>IFERROR(__xludf.DUMMYFUNCTION("""COMPUTED_VALUE"""),"KYAI KONTONG")</f>
        <v>KYAI KONTONG</v>
      </c>
      <c r="D5435" s="186">
        <f>IFERROR(__xludf.DUMMYFUNCTION("""COMPUTED_VALUE"""),50.0)</f>
        <v>50</v>
      </c>
    </row>
    <row r="5436">
      <c r="A5436" s="178" t="str">
        <f>IFERROR(__xludf.DUMMYFUNCTION("""COMPUTED_VALUE"""),"ITBISA-IC-L7812CV-TO220")</f>
        <v>ITBISA-IC-L7812CV-TO220</v>
      </c>
      <c r="B5436" s="266">
        <f>IFERROR(__xludf.DUMMYFUNCTION("""COMPUTED_VALUE"""),45633.0)</f>
        <v>45633</v>
      </c>
      <c r="C5436" s="266" t="str">
        <f>IFERROR(__xludf.DUMMYFUNCTION("""COMPUTED_VALUE"""),"KERTASARI CIAMIS")</f>
        <v>KERTASARI CIAMIS</v>
      </c>
      <c r="D5436" s="186">
        <f>IFERROR(__xludf.DUMMYFUNCTION("""COMPUTED_VALUE"""),10.0)</f>
        <v>10</v>
      </c>
    </row>
    <row r="5437">
      <c r="A5437" s="178" t="str">
        <f>IFERROR(__xludf.DUMMYFUNCTION("""COMPUTED_VALUE"""),"ITBISA-IC-L7812CV-TO220")</f>
        <v>ITBISA-IC-L7812CV-TO220</v>
      </c>
      <c r="B5437" s="266">
        <f>IFERROR(__xludf.DUMMYFUNCTION("""COMPUTED_VALUE"""),45638.0)</f>
        <v>45638</v>
      </c>
      <c r="C5437" s="266" t="str">
        <f>IFERROR(__xludf.DUMMYFUNCTION("""COMPUTED_VALUE"""),"KERTASARI CIAMIS")</f>
        <v>KERTASARI CIAMIS</v>
      </c>
      <c r="D5437" s="186">
        <f>IFERROR(__xludf.DUMMYFUNCTION("""COMPUTED_VALUE"""),20.0)</f>
        <v>20</v>
      </c>
    </row>
    <row r="5438">
      <c r="A5438" s="178" t="str">
        <f>IFERROR(__xludf.DUMMYFUNCTION("""COMPUTED_VALUE"""),"ITBISA-IC-L7812CV-TO220")</f>
        <v>ITBISA-IC-L7812CV-TO220</v>
      </c>
      <c r="B5438" s="266">
        <f>IFERROR(__xludf.DUMMYFUNCTION("""COMPUTED_VALUE"""),45664.0)</f>
        <v>45664</v>
      </c>
      <c r="C5438" s="266" t="str">
        <f>IFERROR(__xludf.DUMMYFUNCTION("""COMPUTED_VALUE"""),"KERTASARI CIAMIS")</f>
        <v>KERTASARI CIAMIS</v>
      </c>
      <c r="D5438" s="186">
        <f>IFERROR(__xludf.DUMMYFUNCTION("""COMPUTED_VALUE"""),25.0)</f>
        <v>25</v>
      </c>
    </row>
    <row r="5439">
      <c r="A5439" s="178" t="str">
        <f>IFERROR(__xludf.DUMMYFUNCTION("""COMPUTED_VALUE"""),"ITBISA-IC-L7812CV-TO220")</f>
        <v>ITBISA-IC-L7812CV-TO220</v>
      </c>
      <c r="B5439" s="266">
        <f>IFERROR(__xludf.DUMMYFUNCTION("""COMPUTED_VALUE"""),45667.0)</f>
        <v>45667</v>
      </c>
      <c r="C5439" s="266" t="str">
        <f>IFERROR(__xludf.DUMMYFUNCTION("""COMPUTED_VALUE"""),"KYAI KONTONG")</f>
        <v>KYAI KONTONG</v>
      </c>
      <c r="D5439" s="186">
        <f>IFERROR(__xludf.DUMMYFUNCTION("""COMPUTED_VALUE"""),15.0)</f>
        <v>15</v>
      </c>
    </row>
    <row r="5440">
      <c r="A5440" s="178" t="str">
        <f>IFERROR(__xludf.DUMMYFUNCTION("""COMPUTED_VALUE"""),"ITBISA-IC-L7812CV-TO220")</f>
        <v>ITBISA-IC-L7812CV-TO220</v>
      </c>
      <c r="B5440" s="266">
        <f>IFERROR(__xludf.DUMMYFUNCTION("""COMPUTED_VALUE"""),45670.0)</f>
        <v>45670</v>
      </c>
      <c r="C5440" s="266" t="str">
        <f>IFERROR(__xludf.DUMMYFUNCTION("""COMPUTED_VALUE"""),"KYAI KONTONG")</f>
        <v>KYAI KONTONG</v>
      </c>
      <c r="D5440" s="186">
        <f>IFERROR(__xludf.DUMMYFUNCTION("""COMPUTED_VALUE"""),10.0)</f>
        <v>10</v>
      </c>
    </row>
    <row r="5441">
      <c r="A5441" s="178" t="str">
        <f>IFERROR(__xludf.DUMMYFUNCTION("""COMPUTED_VALUE"""),"ITBISA-IC-L7812CV-TO220")</f>
        <v>ITBISA-IC-L7812CV-TO220</v>
      </c>
      <c r="B5441" s="266">
        <f>IFERROR(__xludf.DUMMYFUNCTION("""COMPUTED_VALUE"""),45676.0)</f>
        <v>45676</v>
      </c>
      <c r="C5441" s="266" t="str">
        <f>IFERROR(__xludf.DUMMYFUNCTION("""COMPUTED_VALUE"""),"KYAI KONTONG")</f>
        <v>KYAI KONTONG</v>
      </c>
      <c r="D5441" s="186">
        <f>IFERROR(__xludf.DUMMYFUNCTION("""COMPUTED_VALUE"""),10.0)</f>
        <v>10</v>
      </c>
    </row>
    <row r="5442">
      <c r="A5442" s="178" t="str">
        <f>IFERROR(__xludf.DUMMYFUNCTION("""COMPUTED_VALUE"""),"ITBISA-IC-L7812CV-TO220")</f>
        <v>ITBISA-IC-L7812CV-TO220</v>
      </c>
      <c r="B5442" s="266">
        <f>IFERROR(__xludf.DUMMYFUNCTION("""COMPUTED_VALUE"""),45679.0)</f>
        <v>45679</v>
      </c>
      <c r="C5442" s="266" t="str">
        <f>IFERROR(__xludf.DUMMYFUNCTION("""COMPUTED_VALUE"""),"KERTASARI CIAMIS")</f>
        <v>KERTASARI CIAMIS</v>
      </c>
      <c r="D5442" s="186">
        <f>IFERROR(__xludf.DUMMYFUNCTION("""COMPUTED_VALUE"""),15.0)</f>
        <v>15</v>
      </c>
    </row>
    <row r="5443">
      <c r="A5443" s="178" t="str">
        <f>IFERROR(__xludf.DUMMYFUNCTION("""COMPUTED_VALUE"""),"ITBISA-IC-L7812CV-TO220")</f>
        <v>ITBISA-IC-L7812CV-TO220</v>
      </c>
      <c r="B5443" s="266">
        <f>IFERROR(__xludf.DUMMYFUNCTION("""COMPUTED_VALUE"""),45681.0)</f>
        <v>45681</v>
      </c>
      <c r="C5443" s="266" t="str">
        <f>IFERROR(__xludf.DUMMYFUNCTION("""COMPUTED_VALUE"""),"KYAI KONTONG")</f>
        <v>KYAI KONTONG</v>
      </c>
      <c r="D5443" s="186">
        <f>IFERROR(__xludf.DUMMYFUNCTION("""COMPUTED_VALUE"""),10.0)</f>
        <v>10</v>
      </c>
    </row>
    <row r="5444">
      <c r="A5444" s="178" t="str">
        <f>IFERROR(__xludf.DUMMYFUNCTION("""COMPUTED_VALUE"""),"ITBISA-IC-L7812CV-TO220")</f>
        <v>ITBISA-IC-L7812CV-TO220</v>
      </c>
      <c r="B5444" s="266">
        <f>IFERROR(__xludf.DUMMYFUNCTION("""COMPUTED_VALUE"""),45682.0)</f>
        <v>45682</v>
      </c>
      <c r="C5444" s="266" t="str">
        <f>IFERROR(__xludf.DUMMYFUNCTION("""COMPUTED_VALUE"""),"KYAI KONTONG")</f>
        <v>KYAI KONTONG</v>
      </c>
      <c r="D5444" s="186">
        <f>IFERROR(__xludf.DUMMYFUNCTION("""COMPUTED_VALUE"""),10.0)</f>
        <v>10</v>
      </c>
    </row>
    <row r="5445">
      <c r="A5445" s="178" t="str">
        <f>IFERROR(__xludf.DUMMYFUNCTION("""COMPUTED_VALUE"""),"ITBISA-IC-L7812CV-TO220")</f>
        <v>ITBISA-IC-L7812CV-TO220</v>
      </c>
      <c r="B5445" s="266">
        <f>IFERROR(__xludf.DUMMYFUNCTION("""COMPUTED_VALUE"""),45685.0)</f>
        <v>45685</v>
      </c>
      <c r="C5445" s="266" t="str">
        <f>IFERROR(__xludf.DUMMYFUNCTION("""COMPUTED_VALUE"""),"KYAI KONTONG")</f>
        <v>KYAI KONTONG</v>
      </c>
      <c r="D5445" s="186">
        <f>IFERROR(__xludf.DUMMYFUNCTION("""COMPUTED_VALUE"""),22.0)</f>
        <v>22</v>
      </c>
    </row>
    <row r="5446">
      <c r="A5446" s="178" t="str">
        <f>IFERROR(__xludf.DUMMYFUNCTION("""COMPUTED_VALUE"""),"ITBISA-IC-L7812CV-TO220")</f>
        <v>ITBISA-IC-L7812CV-TO220</v>
      </c>
      <c r="B5446" s="266">
        <f>IFERROR(__xludf.DUMMYFUNCTION("""COMPUTED_VALUE"""),45690.0)</f>
        <v>45690</v>
      </c>
      <c r="C5446" s="266" t="str">
        <f>IFERROR(__xludf.DUMMYFUNCTION("""COMPUTED_VALUE"""),"KYAI KONTONG")</f>
        <v>KYAI KONTONG</v>
      </c>
      <c r="D5446" s="186">
        <f>IFERROR(__xludf.DUMMYFUNCTION("""COMPUTED_VALUE"""),12.0)</f>
        <v>12</v>
      </c>
    </row>
    <row r="5447">
      <c r="A5447" s="178" t="str">
        <f>IFERROR(__xludf.DUMMYFUNCTION("""COMPUTED_VALUE"""),"ITBISA-IC-L7812CV-TO220")</f>
        <v>ITBISA-IC-L7812CV-TO220</v>
      </c>
      <c r="B5447" s="266">
        <f>IFERROR(__xludf.DUMMYFUNCTION("""COMPUTED_VALUE"""),45691.0)</f>
        <v>45691</v>
      </c>
      <c r="C5447" s="266" t="str">
        <f>IFERROR(__xludf.DUMMYFUNCTION("""COMPUTED_VALUE"""),"KYAI KONTONG")</f>
        <v>KYAI KONTONG</v>
      </c>
      <c r="D5447" s="186">
        <f>IFERROR(__xludf.DUMMYFUNCTION("""COMPUTED_VALUE"""),200.0)</f>
        <v>200</v>
      </c>
    </row>
    <row r="5448">
      <c r="A5448" s="178" t="str">
        <f>IFERROR(__xludf.DUMMYFUNCTION("""COMPUTED_VALUE"""),"ITBISA-IC-L7812CV-TO220")</f>
        <v>ITBISA-IC-L7812CV-TO220</v>
      </c>
      <c r="B5448" s="266">
        <f>IFERROR(__xludf.DUMMYFUNCTION("""COMPUTED_VALUE"""),45697.0)</f>
        <v>45697</v>
      </c>
      <c r="C5448" s="266" t="str">
        <f>IFERROR(__xludf.DUMMYFUNCTION("""COMPUTED_VALUE"""),"KERTASARI CIAMIS")</f>
        <v>KERTASARI CIAMIS</v>
      </c>
      <c r="D5448" s="186">
        <f>IFERROR(__xludf.DUMMYFUNCTION("""COMPUTED_VALUE"""),10.0)</f>
        <v>10</v>
      </c>
    </row>
    <row r="5449">
      <c r="A5449" s="178" t="str">
        <f>IFERROR(__xludf.DUMMYFUNCTION("""COMPUTED_VALUE"""),"ITBISA-IC-L7812CV-TO220")</f>
        <v>ITBISA-IC-L7812CV-TO220</v>
      </c>
      <c r="B5449" s="266">
        <f>IFERROR(__xludf.DUMMYFUNCTION("""COMPUTED_VALUE"""),45717.0)</f>
        <v>45717</v>
      </c>
      <c r="C5449" s="266" t="str">
        <f>IFERROR(__xludf.DUMMYFUNCTION("""COMPUTED_VALUE"""),"KYAI KONTONG")</f>
        <v>KYAI KONTONG</v>
      </c>
      <c r="D5449" s="186">
        <f>IFERROR(__xludf.DUMMYFUNCTION("""COMPUTED_VALUE"""),30.0)</f>
        <v>30</v>
      </c>
    </row>
    <row r="5450">
      <c r="A5450" s="178" t="str">
        <f>IFERROR(__xludf.DUMMYFUNCTION("""COMPUTED_VALUE"""),"ITBISA-IC-L7812CV-TO220")</f>
        <v>ITBISA-IC-L7812CV-TO220</v>
      </c>
      <c r="B5450" s="266">
        <f>IFERROR(__xludf.DUMMYFUNCTION("""COMPUTED_VALUE"""),45717.0)</f>
        <v>45717</v>
      </c>
      <c r="C5450" s="266" t="str">
        <f>IFERROR(__xludf.DUMMYFUNCTION("""COMPUTED_VALUE"""),"KYAI KONTONG")</f>
        <v>KYAI KONTONG</v>
      </c>
      <c r="D5450" s="186">
        <f>IFERROR(__xludf.DUMMYFUNCTION("""COMPUTED_VALUE"""),50.0)</f>
        <v>50</v>
      </c>
    </row>
    <row r="5451">
      <c r="A5451" s="178" t="str">
        <f>IFERROR(__xludf.DUMMYFUNCTION("""COMPUTED_VALUE"""),"ITBISA-IC-L7812CV-TO220")</f>
        <v>ITBISA-IC-L7812CV-TO220</v>
      </c>
      <c r="B5451" s="266">
        <f>IFERROR(__xludf.DUMMYFUNCTION("""COMPUTED_VALUE"""),45746.0)</f>
        <v>45746</v>
      </c>
      <c r="C5451" s="266" t="str">
        <f>IFERROR(__xludf.DUMMYFUNCTION("""COMPUTED_VALUE"""),"KERTASARI CIAMIS")</f>
        <v>KERTASARI CIAMIS</v>
      </c>
      <c r="D5451" s="186">
        <f>IFERROR(__xludf.DUMMYFUNCTION("""COMPUTED_VALUE"""),10.0)</f>
        <v>10</v>
      </c>
    </row>
    <row r="5452">
      <c r="A5452" s="178" t="str">
        <f>IFERROR(__xludf.DUMMYFUNCTION("""COMPUTED_VALUE"""),"ITBISA-IC-L7812CV-TO220")</f>
        <v>ITBISA-IC-L7812CV-TO220</v>
      </c>
      <c r="B5452" s="266">
        <f>IFERROR(__xludf.DUMMYFUNCTION("""COMPUTED_VALUE"""),45769.0)</f>
        <v>45769</v>
      </c>
      <c r="C5452" s="266" t="str">
        <f>IFERROR(__xludf.DUMMYFUNCTION("""COMPUTED_VALUE"""),"KYAI KONTONG")</f>
        <v>KYAI KONTONG</v>
      </c>
      <c r="D5452" s="186">
        <f>IFERROR(__xludf.DUMMYFUNCTION("""COMPUTED_VALUE"""),50.0)</f>
        <v>50</v>
      </c>
    </row>
    <row r="5453">
      <c r="A5453" s="178" t="str">
        <f>IFERROR(__xludf.DUMMYFUNCTION("""COMPUTED_VALUE"""),"ITBISA-IC-L7812CV-TO220")</f>
        <v>ITBISA-IC-L7812CV-TO220</v>
      </c>
      <c r="B5453" s="266">
        <f>IFERROR(__xludf.DUMMYFUNCTION("""COMPUTED_VALUE"""),45793.0)</f>
        <v>45793</v>
      </c>
      <c r="C5453" s="266" t="str">
        <f>IFERROR(__xludf.DUMMYFUNCTION("""COMPUTED_VALUE"""),"KYAI KONTONG")</f>
        <v>KYAI KONTONG</v>
      </c>
      <c r="D5453" s="186">
        <f>IFERROR(__xludf.DUMMYFUNCTION("""COMPUTED_VALUE"""),45.0)</f>
        <v>45</v>
      </c>
    </row>
    <row r="5454">
      <c r="A5454" s="178" t="str">
        <f>IFERROR(__xludf.DUMMYFUNCTION("""COMPUTED_VALUE"""),"ITBISA-IC-L7812CV-TO220")</f>
        <v>ITBISA-IC-L7812CV-TO220</v>
      </c>
      <c r="B5454" s="266">
        <f>IFERROR(__xludf.DUMMYFUNCTION("""COMPUTED_VALUE"""),45797.0)</f>
        <v>45797</v>
      </c>
      <c r="C5454" s="266" t="str">
        <f>IFERROR(__xludf.DUMMYFUNCTION("""COMPUTED_VALUE"""),"KYAI KONTONG")</f>
        <v>KYAI KONTONG</v>
      </c>
      <c r="D5454" s="186">
        <f>IFERROR(__xludf.DUMMYFUNCTION("""COMPUTED_VALUE"""),50.0)</f>
        <v>50</v>
      </c>
    </row>
    <row r="5455">
      <c r="A5455" s="178" t="str">
        <f>IFERROR(__xludf.DUMMYFUNCTION("""COMPUTED_VALUE"""),"ITBISA-IC-L7812CV-TO220")</f>
        <v>ITBISA-IC-L7812CV-TO220</v>
      </c>
      <c r="B5455" s="266">
        <f>IFERROR(__xludf.DUMMYFUNCTION("""COMPUTED_VALUE"""),45803.0)</f>
        <v>45803</v>
      </c>
      <c r="C5455" s="266" t="str">
        <f>IFERROR(__xludf.DUMMYFUNCTION("""COMPUTED_VALUE"""),"KYAI KONTONG")</f>
        <v>KYAI KONTONG</v>
      </c>
      <c r="D5455" s="186">
        <f>IFERROR(__xludf.DUMMYFUNCTION("""COMPUTED_VALUE"""),10.0)</f>
        <v>10</v>
      </c>
    </row>
    <row r="5456">
      <c r="A5456" s="178" t="str">
        <f>IFERROR(__xludf.DUMMYFUNCTION("""COMPUTED_VALUE"""),"ITBISA-IC-L7812CV-TO220")</f>
        <v>ITBISA-IC-L7812CV-TO220</v>
      </c>
      <c r="B5456" s="266">
        <f>IFERROR(__xludf.DUMMYFUNCTION("""COMPUTED_VALUE"""),45817.0)</f>
        <v>45817</v>
      </c>
      <c r="C5456" s="266" t="str">
        <f>IFERROR(__xludf.DUMMYFUNCTION("""COMPUTED_VALUE"""),"KYAI KONTONG")</f>
        <v>KYAI KONTONG</v>
      </c>
      <c r="D5456" s="186">
        <f>IFERROR(__xludf.DUMMYFUNCTION("""COMPUTED_VALUE"""),30.0)</f>
        <v>30</v>
      </c>
    </row>
    <row r="5457">
      <c r="A5457" s="178" t="str">
        <f>IFERROR(__xludf.DUMMYFUNCTION("""COMPUTED_VALUE"""),"ITBISA-IC-L7812CV-TO220")</f>
        <v>ITBISA-IC-L7812CV-TO220</v>
      </c>
      <c r="B5457" s="266">
        <f>IFERROR(__xludf.DUMMYFUNCTION("""COMPUTED_VALUE"""),45818.0)</f>
        <v>45818</v>
      </c>
      <c r="C5457" s="266" t="str">
        <f>IFERROR(__xludf.DUMMYFUNCTION("""COMPUTED_VALUE"""),"KERTASARI CIAMIS")</f>
        <v>KERTASARI CIAMIS</v>
      </c>
      <c r="D5457" s="186">
        <f>IFERROR(__xludf.DUMMYFUNCTION("""COMPUTED_VALUE"""),25.0)</f>
        <v>25</v>
      </c>
    </row>
    <row r="5458">
      <c r="A5458" s="178" t="str">
        <f>IFERROR(__xludf.DUMMYFUNCTION("""COMPUTED_VALUE"""),"ITBISA-IC-L7812CV-TO220")</f>
        <v>ITBISA-IC-L7812CV-TO220</v>
      </c>
      <c r="B5458" s="266">
        <f>IFERROR(__xludf.DUMMYFUNCTION("""COMPUTED_VALUE"""),45855.0)</f>
        <v>45855</v>
      </c>
      <c r="C5458" s="266" t="str">
        <f>IFERROR(__xludf.DUMMYFUNCTION("""COMPUTED_VALUE"""),"KERTASARI CIAMIS")</f>
        <v>KERTASARI CIAMIS</v>
      </c>
      <c r="D5458" s="186">
        <f>IFERROR(__xludf.DUMMYFUNCTION("""COMPUTED_VALUE"""),100.0)</f>
        <v>100</v>
      </c>
    </row>
    <row r="5459">
      <c r="A5459" s="178" t="str">
        <f>IFERROR(__xludf.DUMMYFUNCTION("""COMPUTED_VALUE"""),"ITBISA-IC-L7812CV-TO220")</f>
        <v>ITBISA-IC-L7812CV-TO220</v>
      </c>
      <c r="B5459" s="266">
        <f>IFERROR(__xludf.DUMMYFUNCTION("""COMPUTED_VALUE"""),45877.0)</f>
        <v>45877</v>
      </c>
      <c r="C5459" s="266" t="str">
        <f>IFERROR(__xludf.DUMMYFUNCTION("""COMPUTED_VALUE"""),"KYAI KONTONG")</f>
        <v>KYAI KONTONG</v>
      </c>
      <c r="D5459" s="186">
        <f>IFERROR(__xludf.DUMMYFUNCTION("""COMPUTED_VALUE"""),50.0)</f>
        <v>50</v>
      </c>
    </row>
    <row r="5460">
      <c r="A5460" s="178" t="str">
        <f>IFERROR(__xludf.DUMMYFUNCTION("""COMPUTED_VALUE"""),"ITBISA-IC-L7812CV-TO220")</f>
        <v>ITBISA-IC-L7812CV-TO220</v>
      </c>
      <c r="B5460" s="266">
        <f>IFERROR(__xludf.DUMMYFUNCTION("""COMPUTED_VALUE"""),45883.0)</f>
        <v>45883</v>
      </c>
      <c r="C5460" s="266" t="str">
        <f>IFERROR(__xludf.DUMMYFUNCTION("""COMPUTED_VALUE"""),"KYAI KONTONG")</f>
        <v>KYAI KONTONG</v>
      </c>
      <c r="D5460" s="186">
        <f>IFERROR(__xludf.DUMMYFUNCTION("""COMPUTED_VALUE"""),20.0)</f>
        <v>20</v>
      </c>
    </row>
    <row r="5461">
      <c r="A5461" s="178" t="str">
        <f>IFERROR(__xludf.DUMMYFUNCTION("""COMPUTED_VALUE"""),"ITBISA-IC-L7812CV-TO220")</f>
        <v>ITBISA-IC-L7812CV-TO220</v>
      </c>
      <c r="B5461" s="266">
        <f>IFERROR(__xludf.DUMMYFUNCTION("""COMPUTED_VALUE"""),45897.0)</f>
        <v>45897</v>
      </c>
      <c r="C5461" s="266" t="str">
        <f>IFERROR(__xludf.DUMMYFUNCTION("""COMPUTED_VALUE"""),"KYAI KONTONG")</f>
        <v>KYAI KONTONG</v>
      </c>
      <c r="D5461" s="186">
        <f>IFERROR(__xludf.DUMMYFUNCTION("""COMPUTED_VALUE"""),10.0)</f>
        <v>10</v>
      </c>
    </row>
    <row r="5462">
      <c r="A5462" s="178" t="str">
        <f>IFERROR(__xludf.DUMMYFUNCTION("""COMPUTED_VALUE"""),"ITBISA-IC-L7812CV-TO220")</f>
        <v>ITBISA-IC-L7812CV-TO220</v>
      </c>
      <c r="B5462" s="266">
        <f>IFERROR(__xludf.DUMMYFUNCTION("""COMPUTED_VALUE"""),45928.0)</f>
        <v>45928</v>
      </c>
      <c r="C5462" s="266" t="str">
        <f>IFERROR(__xludf.DUMMYFUNCTION("""COMPUTED_VALUE"""),"KYAI KONTONG")</f>
        <v>KYAI KONTONG</v>
      </c>
      <c r="D5462" s="186">
        <f>IFERROR(__xludf.DUMMYFUNCTION("""COMPUTED_VALUE"""),50.0)</f>
        <v>50</v>
      </c>
    </row>
    <row r="5463">
      <c r="A5463" s="178" t="str">
        <f>IFERROR(__xludf.DUMMYFUNCTION("""COMPUTED_VALUE"""),"ITBISA-IC-L7812CV-TO220")</f>
        <v>ITBISA-IC-L7812CV-TO220</v>
      </c>
      <c r="B5463" s="266">
        <f>IFERROR(__xludf.DUMMYFUNCTION("""COMPUTED_VALUE"""),45935.0)</f>
        <v>45935</v>
      </c>
      <c r="C5463" s="266" t="str">
        <f>IFERROR(__xludf.DUMMYFUNCTION("""COMPUTED_VALUE"""),"KYAI KONTONG")</f>
        <v>KYAI KONTONG</v>
      </c>
      <c r="D5463" s="186">
        <f>IFERROR(__xludf.DUMMYFUNCTION("""COMPUTED_VALUE"""),10.0)</f>
        <v>10</v>
      </c>
    </row>
    <row r="5464">
      <c r="A5464" s="178" t="str">
        <f>IFERROR(__xludf.DUMMYFUNCTION("""COMPUTED_VALUE"""),"ITBISA-IC-L7812CV-TO220")</f>
        <v>ITBISA-IC-L7812CV-TO220</v>
      </c>
      <c r="B5464" s="266">
        <f>IFERROR(__xludf.DUMMYFUNCTION("""COMPUTED_VALUE"""),45936.0)</f>
        <v>45936</v>
      </c>
      <c r="C5464" s="266" t="str">
        <f>IFERROR(__xludf.DUMMYFUNCTION("""COMPUTED_VALUE"""),"KERTASARI CIAMIS")</f>
        <v>KERTASARI CIAMIS</v>
      </c>
      <c r="D5464" s="186">
        <f>IFERROR(__xludf.DUMMYFUNCTION("""COMPUTED_VALUE"""),10.0)</f>
        <v>10</v>
      </c>
    </row>
    <row r="5465">
      <c r="A5465" s="178" t="str">
        <f>IFERROR(__xludf.DUMMYFUNCTION("""COMPUTED_VALUE"""),"ITBISA-IC-L7812CV-TO220")</f>
        <v>ITBISA-IC-L7812CV-TO220</v>
      </c>
      <c r="B5465" s="266">
        <f>IFERROR(__xludf.DUMMYFUNCTION("""COMPUTED_VALUE"""),45940.0)</f>
        <v>45940</v>
      </c>
      <c r="C5465" s="266" t="str">
        <f>IFERROR(__xludf.DUMMYFUNCTION("""COMPUTED_VALUE"""),"KERTASARI CIAMIS")</f>
        <v>KERTASARI CIAMIS</v>
      </c>
      <c r="D5465" s="186">
        <f>IFERROR(__xludf.DUMMYFUNCTION("""COMPUTED_VALUE"""),100.0)</f>
        <v>100</v>
      </c>
    </row>
    <row r="5466">
      <c r="A5466" s="178" t="str">
        <f>IFERROR(__xludf.DUMMYFUNCTION("""COMPUTED_VALUE"""),"ITBISA-IC-L7812CV-TO220")</f>
        <v>ITBISA-IC-L7812CV-TO220</v>
      </c>
      <c r="B5466" s="266">
        <f>IFERROR(__xludf.DUMMYFUNCTION("""COMPUTED_VALUE"""),45947.0)</f>
        <v>45947</v>
      </c>
      <c r="C5466" s="266" t="str">
        <f>IFERROR(__xludf.DUMMYFUNCTION("""COMPUTED_VALUE"""),"KYAI KONTONG")</f>
        <v>KYAI KONTONG</v>
      </c>
      <c r="D5466" s="186">
        <f>IFERROR(__xludf.DUMMYFUNCTION("""COMPUTED_VALUE"""),10.0)</f>
        <v>10</v>
      </c>
    </row>
    <row r="5467">
      <c r="A5467" s="178" t="str">
        <f>IFERROR(__xludf.DUMMYFUNCTION("""COMPUTED_VALUE"""),"ITBISA-IC-L7812CV-TO220")</f>
        <v>ITBISA-IC-L7812CV-TO220</v>
      </c>
      <c r="B5467" s="266">
        <f>IFERROR(__xludf.DUMMYFUNCTION("""COMPUTED_VALUE"""),45947.0)</f>
        <v>45947</v>
      </c>
      <c r="C5467" s="266" t="str">
        <f>IFERROR(__xludf.DUMMYFUNCTION("""COMPUTED_VALUE"""),"KYAI KONTONG")</f>
        <v>KYAI KONTONG</v>
      </c>
      <c r="D5467" s="186">
        <f>IFERROR(__xludf.DUMMYFUNCTION("""COMPUTED_VALUE"""),24.0)</f>
        <v>24</v>
      </c>
    </row>
    <row r="5468">
      <c r="A5468" s="178" t="str">
        <f>IFERROR(__xludf.DUMMYFUNCTION("""COMPUTED_VALUE"""),"ITBISA-IC-L7812CV-TO220")</f>
        <v>ITBISA-IC-L7812CV-TO220</v>
      </c>
      <c r="B5468" s="266">
        <f>IFERROR(__xludf.DUMMYFUNCTION("""COMPUTED_VALUE"""),45954.0)</f>
        <v>45954</v>
      </c>
      <c r="C5468" s="266" t="str">
        <f>IFERROR(__xludf.DUMMYFUNCTION("""COMPUTED_VALUE"""),"KYAI KONTONG")</f>
        <v>KYAI KONTONG</v>
      </c>
      <c r="D5468" s="186">
        <f>IFERROR(__xludf.DUMMYFUNCTION("""COMPUTED_VALUE"""),10.0)</f>
        <v>10</v>
      </c>
    </row>
    <row r="5469">
      <c r="A5469" s="178" t="str">
        <f>IFERROR(__xludf.DUMMYFUNCTION("""COMPUTED_VALUE"""),"ITBISA-IC-L7812CV-TO220")</f>
        <v>ITBISA-IC-L7812CV-TO220</v>
      </c>
      <c r="B5469" s="266">
        <f>IFERROR(__xludf.DUMMYFUNCTION("""COMPUTED_VALUE"""),45961.0)</f>
        <v>45961</v>
      </c>
      <c r="C5469" s="266" t="str">
        <f>IFERROR(__xludf.DUMMYFUNCTION("""COMPUTED_VALUE"""),"KYAI KONTONG")</f>
        <v>KYAI KONTONG</v>
      </c>
      <c r="D5469" s="186">
        <f>IFERROR(__xludf.DUMMYFUNCTION("""COMPUTED_VALUE"""),10.0)</f>
        <v>10</v>
      </c>
    </row>
    <row r="5470">
      <c r="A5470" s="178" t="str">
        <f>IFERROR(__xludf.DUMMYFUNCTION("""COMPUTED_VALUE"""),"ITBISA-IC-L7812CV-TO220")</f>
        <v>ITBISA-IC-L7812CV-TO220</v>
      </c>
      <c r="B5470" s="266">
        <f>IFERROR(__xludf.DUMMYFUNCTION("""COMPUTED_VALUE"""),45963.0)</f>
        <v>45963</v>
      </c>
      <c r="C5470" s="266" t="str">
        <f>IFERROR(__xludf.DUMMYFUNCTION("""COMPUTED_VALUE"""),"KERTASARI CIAMIS")</f>
        <v>KERTASARI CIAMIS</v>
      </c>
      <c r="D5470" s="186">
        <f>IFERROR(__xludf.DUMMYFUNCTION("""COMPUTED_VALUE"""),20.0)</f>
        <v>20</v>
      </c>
    </row>
    <row r="5471">
      <c r="A5471" s="178" t="str">
        <f>IFERROR(__xludf.DUMMYFUNCTION("""COMPUTED_VALUE"""),"ITBISA-IC-L7812CV-TO220")</f>
        <v>ITBISA-IC-L7812CV-TO220</v>
      </c>
      <c r="B5471" s="266">
        <f>IFERROR(__xludf.DUMMYFUNCTION("""COMPUTED_VALUE"""),45971.0)</f>
        <v>45971</v>
      </c>
      <c r="C5471" s="266" t="str">
        <f>IFERROR(__xludf.DUMMYFUNCTION("""COMPUTED_VALUE"""),"KYAI KONTONG")</f>
        <v>KYAI KONTONG</v>
      </c>
      <c r="D5471" s="186">
        <f>IFERROR(__xludf.DUMMYFUNCTION("""COMPUTED_VALUE"""),10.0)</f>
        <v>10</v>
      </c>
    </row>
    <row r="5472">
      <c r="A5472" s="178" t="str">
        <f>IFERROR(__xludf.DUMMYFUNCTION("""COMPUTED_VALUE"""),"ITBISA-IC-L7812CV-TO220")</f>
        <v>ITBISA-IC-L7812CV-TO220</v>
      </c>
      <c r="B5472" s="266">
        <f>IFERROR(__xludf.DUMMYFUNCTION("""COMPUTED_VALUE"""),45996.0)</f>
        <v>45996</v>
      </c>
      <c r="C5472" s="266" t="str">
        <f>IFERROR(__xludf.DUMMYFUNCTION("""COMPUTED_VALUE"""),"KYAI KONTONG")</f>
        <v>KYAI KONTONG</v>
      </c>
      <c r="D5472" s="186">
        <f>IFERROR(__xludf.DUMMYFUNCTION("""COMPUTED_VALUE"""),3.0)</f>
        <v>3</v>
      </c>
    </row>
    <row r="5473">
      <c r="A5473" s="178" t="str">
        <f>IFERROR(__xludf.DUMMYFUNCTION("""COMPUTED_VALUE"""),"ITBISA-IC-L7812CV-TO220")</f>
        <v>ITBISA-IC-L7812CV-TO220</v>
      </c>
      <c r="B5473" s="266">
        <f>IFERROR(__xludf.DUMMYFUNCTION("""COMPUTED_VALUE"""),46007.0)</f>
        <v>46007</v>
      </c>
      <c r="C5473" s="266" t="str">
        <f>IFERROR(__xludf.DUMMYFUNCTION("""COMPUTED_VALUE"""),"KYAI KONTONG")</f>
        <v>KYAI KONTONG</v>
      </c>
      <c r="D5473" s="186">
        <f>IFERROR(__xludf.DUMMYFUNCTION("""COMPUTED_VALUE"""),10.0)</f>
        <v>10</v>
      </c>
    </row>
    <row r="5474">
      <c r="A5474" s="178" t="str">
        <f>IFERROR(__xludf.DUMMYFUNCTION("""COMPUTED_VALUE"""),"ITBISA-IC-L7812CV-TO220")</f>
        <v>ITBISA-IC-L7812CV-TO220</v>
      </c>
      <c r="B5474" s="266">
        <f>IFERROR(__xludf.DUMMYFUNCTION("""COMPUTED_VALUE"""),46019.0)</f>
        <v>46019</v>
      </c>
      <c r="C5474" s="266" t="str">
        <f>IFERROR(__xludf.DUMMYFUNCTION("""COMPUTED_VALUE"""),"KYAI KONTONG")</f>
        <v>KYAI KONTONG</v>
      </c>
      <c r="D5474" s="186">
        <f>IFERROR(__xludf.DUMMYFUNCTION("""COMPUTED_VALUE"""),21.0)</f>
        <v>21</v>
      </c>
    </row>
    <row r="5475">
      <c r="A5475" s="178" t="str">
        <f>IFERROR(__xludf.DUMMYFUNCTION("""COMPUTED_VALUE"""),"ITBISA-IC-LM741CN-DIP8")</f>
        <v>ITBISA-IC-LM741CN-DIP8</v>
      </c>
      <c r="B5475" s="266">
        <f>IFERROR(__xludf.DUMMYFUNCTION("""COMPUTED_VALUE"""),45947.0)</f>
        <v>45947</v>
      </c>
      <c r="C5475" s="266" t="str">
        <f>IFERROR(__xludf.DUMMYFUNCTION("""COMPUTED_VALUE"""),"KYAI KONTONG")</f>
        <v>KYAI KONTONG</v>
      </c>
      <c r="D5475" s="186">
        <f>IFERROR(__xludf.DUMMYFUNCTION("""COMPUTED_VALUE"""),24.0)</f>
        <v>24</v>
      </c>
    </row>
    <row r="5476">
      <c r="A5476" s="178" t="str">
        <f>IFERROR(__xludf.DUMMYFUNCTION("""COMPUTED_VALUE"""),"ITBISA-IC-LM741CN-DIP8")</f>
        <v>ITBISA-IC-LM741CN-DIP8</v>
      </c>
      <c r="B5476" s="266">
        <f>IFERROR(__xludf.DUMMYFUNCTION("""COMPUTED_VALUE"""),45957.0)</f>
        <v>45957</v>
      </c>
      <c r="C5476" s="266" t="str">
        <f>IFERROR(__xludf.DUMMYFUNCTION("""COMPUTED_VALUE"""),"KYAI KONTONG")</f>
        <v>KYAI KONTONG</v>
      </c>
      <c r="D5476" s="186">
        <f>IFERROR(__xludf.DUMMYFUNCTION("""COMPUTED_VALUE"""),5.0)</f>
        <v>5</v>
      </c>
    </row>
    <row r="5477">
      <c r="A5477" s="178" t="str">
        <f>IFERROR(__xludf.DUMMYFUNCTION("""COMPUTED_VALUE"""),"ITBISA-IC-LM741CN-DIP8")</f>
        <v>ITBISA-IC-LM741CN-DIP8</v>
      </c>
      <c r="B5477" s="266">
        <f>IFERROR(__xludf.DUMMYFUNCTION("""COMPUTED_VALUE"""),45965.0)</f>
        <v>45965</v>
      </c>
      <c r="C5477" s="266" t="str">
        <f>IFERROR(__xludf.DUMMYFUNCTION("""COMPUTED_VALUE"""),"KYAI KONTONG")</f>
        <v>KYAI KONTONG</v>
      </c>
      <c r="D5477" s="186">
        <f>IFERROR(__xludf.DUMMYFUNCTION("""COMPUTED_VALUE"""),30.0)</f>
        <v>30</v>
      </c>
    </row>
    <row r="5478">
      <c r="A5478" s="178" t="str">
        <f>IFERROR(__xludf.DUMMYFUNCTION("""COMPUTED_VALUE"""),"ITBISA-IC-NE555P-DIP8")</f>
        <v>ITBISA-IC-NE555P-DIP8</v>
      </c>
      <c r="B5478" s="266">
        <f>IFERROR(__xludf.DUMMYFUNCTION("""COMPUTED_VALUE"""),43417.0)</f>
        <v>43417</v>
      </c>
      <c r="C5478" s="266" t="str">
        <f>IFERROR(__xludf.DUMMYFUNCTION("""COMPUTED_VALUE"""),"AVRG ITB")</f>
        <v>AVRG ITB</v>
      </c>
      <c r="D5478" s="186">
        <f>IFERROR(__xludf.DUMMYFUNCTION("""COMPUTED_VALUE"""),16.0)</f>
        <v>16</v>
      </c>
    </row>
    <row r="5479">
      <c r="A5479" s="178" t="str">
        <f>IFERROR(__xludf.DUMMYFUNCTION("""COMPUTED_VALUE"""),"ITBISA-IC-NE555P-DIP8")</f>
        <v>ITBISA-IC-NE555P-DIP8</v>
      </c>
      <c r="B5479" s="266">
        <f>IFERROR(__xludf.DUMMYFUNCTION("""COMPUTED_VALUE"""),43418.0)</f>
        <v>43418</v>
      </c>
      <c r="C5479" s="266" t="str">
        <f>IFERROR(__xludf.DUMMYFUNCTION("""COMPUTED_VALUE"""),"AVRG ITB")</f>
        <v>AVRG ITB</v>
      </c>
      <c r="D5479" s="186">
        <f>IFERROR(__xludf.DUMMYFUNCTION("""COMPUTED_VALUE"""),100.0)</f>
        <v>100</v>
      </c>
    </row>
    <row r="5480">
      <c r="A5480" s="178" t="str">
        <f>IFERROR(__xludf.DUMMYFUNCTION("""COMPUTED_VALUE"""),"ITBISA-IC-NE555P-DIP8")</f>
        <v>ITBISA-IC-NE555P-DIP8</v>
      </c>
      <c r="B5480" s="266">
        <f>IFERROR(__xludf.DUMMYFUNCTION("""COMPUTED_VALUE"""),43418.0)</f>
        <v>43418</v>
      </c>
      <c r="C5480" s="266" t="str">
        <f>IFERROR(__xludf.DUMMYFUNCTION("""COMPUTED_VALUE"""),"AVRG ITB")</f>
        <v>AVRG ITB</v>
      </c>
      <c r="D5480" s="186">
        <f>IFERROR(__xludf.DUMMYFUNCTION("""COMPUTED_VALUE"""),500.0)</f>
        <v>500</v>
      </c>
    </row>
    <row r="5481">
      <c r="A5481" s="178" t="str">
        <f>IFERROR(__xludf.DUMMYFUNCTION("""COMPUTED_VALUE"""),"ITBISA-IC-NE555P-DIP8")</f>
        <v>ITBISA-IC-NE555P-DIP8</v>
      </c>
      <c r="B5481" s="266">
        <f>IFERROR(__xludf.DUMMYFUNCTION("""COMPUTED_VALUE"""),43420.0)</f>
        <v>43420</v>
      </c>
      <c r="C5481" s="266" t="str">
        <f>IFERROR(__xludf.DUMMYFUNCTION("""COMPUTED_VALUE"""),"AVRG ITB")</f>
        <v>AVRG ITB</v>
      </c>
      <c r="D5481" s="186">
        <f>IFERROR(__xludf.DUMMYFUNCTION("""COMPUTED_VALUE"""),100.0)</f>
        <v>100</v>
      </c>
    </row>
    <row r="5482">
      <c r="A5482" s="178" t="str">
        <f>IFERROR(__xludf.DUMMYFUNCTION("""COMPUTED_VALUE"""),"ITBISA-IC-NE555P-DIP8")</f>
        <v>ITBISA-IC-NE555P-DIP8</v>
      </c>
      <c r="B5482" s="266">
        <f>IFERROR(__xludf.DUMMYFUNCTION("""COMPUTED_VALUE"""),43422.0)</f>
        <v>43422</v>
      </c>
      <c r="C5482" s="266" t="str">
        <f>IFERROR(__xludf.DUMMYFUNCTION("""COMPUTED_VALUE"""),"AVRG ITB")</f>
        <v>AVRG ITB</v>
      </c>
      <c r="D5482" s="186">
        <f>IFERROR(__xludf.DUMMYFUNCTION("""COMPUTED_VALUE"""),450.0)</f>
        <v>450</v>
      </c>
    </row>
    <row r="5483">
      <c r="A5483" s="178" t="str">
        <f>IFERROR(__xludf.DUMMYFUNCTION("""COMPUTED_VALUE"""),"ITBISA-IC-NE555P-DIP8")</f>
        <v>ITBISA-IC-NE555P-DIP8</v>
      </c>
      <c r="B5483" s="266">
        <f>IFERROR(__xludf.DUMMYFUNCTION("""COMPUTED_VALUE"""),43432.0)</f>
        <v>43432</v>
      </c>
      <c r="C5483" s="266" t="str">
        <f>IFERROR(__xludf.DUMMYFUNCTION("""COMPUTED_VALUE"""),"AVRG ITB")</f>
        <v>AVRG ITB</v>
      </c>
      <c r="D5483" s="186">
        <f>IFERROR(__xludf.DUMMYFUNCTION("""COMPUTED_VALUE"""),39.0)</f>
        <v>39</v>
      </c>
    </row>
    <row r="5484">
      <c r="A5484" s="178" t="str">
        <f>IFERROR(__xludf.DUMMYFUNCTION("""COMPUTED_VALUE"""),"ITBISA-IC-NE555P-DIP8")</f>
        <v>ITBISA-IC-NE555P-DIP8</v>
      </c>
      <c r="B5484" s="266">
        <f>IFERROR(__xludf.DUMMYFUNCTION("""COMPUTED_VALUE"""),43438.0)</f>
        <v>43438</v>
      </c>
      <c r="C5484" s="266" t="str">
        <f>IFERROR(__xludf.DUMMYFUNCTION("""COMPUTED_VALUE"""),"AVRG ITB")</f>
        <v>AVRG ITB</v>
      </c>
      <c r="D5484" s="186">
        <f>IFERROR(__xludf.DUMMYFUNCTION("""COMPUTED_VALUE"""),100.0)</f>
        <v>100</v>
      </c>
    </row>
    <row r="5485">
      <c r="A5485" s="178" t="str">
        <f>IFERROR(__xludf.DUMMYFUNCTION("""COMPUTED_VALUE"""),"ITBISA-IC-NE555P-DIP8")</f>
        <v>ITBISA-IC-NE555P-DIP8</v>
      </c>
      <c r="B5485" s="266">
        <f>IFERROR(__xludf.DUMMYFUNCTION("""COMPUTED_VALUE"""),43441.0)</f>
        <v>43441</v>
      </c>
      <c r="C5485" s="266" t="str">
        <f>IFERROR(__xludf.DUMMYFUNCTION("""COMPUTED_VALUE"""),"AVRG ITB")</f>
        <v>AVRG ITB</v>
      </c>
      <c r="D5485" s="186">
        <f>IFERROR(__xludf.DUMMYFUNCTION("""COMPUTED_VALUE"""),15.0)</f>
        <v>15</v>
      </c>
    </row>
    <row r="5486">
      <c r="A5486" s="178" t="str">
        <f>IFERROR(__xludf.DUMMYFUNCTION("""COMPUTED_VALUE"""),"ITBISA-IC-NE555P-DIP8")</f>
        <v>ITBISA-IC-NE555P-DIP8</v>
      </c>
      <c r="B5486" s="266">
        <f>IFERROR(__xludf.DUMMYFUNCTION("""COMPUTED_VALUE"""),43443.0)</f>
        <v>43443</v>
      </c>
      <c r="C5486" s="266" t="str">
        <f>IFERROR(__xludf.DUMMYFUNCTION("""COMPUTED_VALUE"""),"AVRG ITB")</f>
        <v>AVRG ITB</v>
      </c>
      <c r="D5486" s="186">
        <f>IFERROR(__xludf.DUMMYFUNCTION("""COMPUTED_VALUE"""),100.0)</f>
        <v>100</v>
      </c>
    </row>
    <row r="5487">
      <c r="A5487" s="178" t="str">
        <f>IFERROR(__xludf.DUMMYFUNCTION("""COMPUTED_VALUE"""),"ITBISA-IC-NE555P-DIP8")</f>
        <v>ITBISA-IC-NE555P-DIP8</v>
      </c>
      <c r="B5487" s="266">
        <f>IFERROR(__xludf.DUMMYFUNCTION("""COMPUTED_VALUE"""),43447.0)</f>
        <v>43447</v>
      </c>
      <c r="C5487" s="266" t="str">
        <f>IFERROR(__xludf.DUMMYFUNCTION("""COMPUTED_VALUE"""),"AVRG ITB")</f>
        <v>AVRG ITB</v>
      </c>
      <c r="D5487" s="186">
        <f>IFERROR(__xludf.DUMMYFUNCTION("""COMPUTED_VALUE"""),100.0)</f>
        <v>100</v>
      </c>
    </row>
    <row r="5488">
      <c r="A5488" s="178" t="str">
        <f>IFERROR(__xludf.DUMMYFUNCTION("""COMPUTED_VALUE"""),"ITBISA-IC-NE555P-DIP8")</f>
        <v>ITBISA-IC-NE555P-DIP8</v>
      </c>
      <c r="B5488" s="266">
        <f>IFERROR(__xludf.DUMMYFUNCTION("""COMPUTED_VALUE"""),43464.0)</f>
        <v>43464</v>
      </c>
      <c r="C5488" s="266" t="str">
        <f>IFERROR(__xludf.DUMMYFUNCTION("""COMPUTED_VALUE"""),"AVRG ITB")</f>
        <v>AVRG ITB</v>
      </c>
      <c r="D5488" s="186">
        <f>IFERROR(__xludf.DUMMYFUNCTION("""COMPUTED_VALUE"""),100.0)</f>
        <v>100</v>
      </c>
    </row>
    <row r="5489">
      <c r="A5489" s="178" t="str">
        <f>IFERROR(__xludf.DUMMYFUNCTION("""COMPUTED_VALUE"""),"ITBISA-IC-NE555P-DIP8")</f>
        <v>ITBISA-IC-NE555P-DIP8</v>
      </c>
      <c r="B5489" s="266">
        <f>IFERROR(__xludf.DUMMYFUNCTION("""COMPUTED_VALUE"""),43469.0)</f>
        <v>43469</v>
      </c>
      <c r="C5489" s="266" t="str">
        <f>IFERROR(__xludf.DUMMYFUNCTION("""COMPUTED_VALUE"""),"AVRG ITB")</f>
        <v>AVRG ITB</v>
      </c>
      <c r="D5489" s="186">
        <f>IFERROR(__xludf.DUMMYFUNCTION("""COMPUTED_VALUE"""),100.0)</f>
        <v>100</v>
      </c>
    </row>
    <row r="5490">
      <c r="A5490" s="178" t="str">
        <f>IFERROR(__xludf.DUMMYFUNCTION("""COMPUTED_VALUE"""),"ITBISA-IC-NE555P-DIP8")</f>
        <v>ITBISA-IC-NE555P-DIP8</v>
      </c>
      <c r="B5490" s="266">
        <f>IFERROR(__xludf.DUMMYFUNCTION("""COMPUTED_VALUE"""),43469.0)</f>
        <v>43469</v>
      </c>
      <c r="C5490" s="266" t="str">
        <f>IFERROR(__xludf.DUMMYFUNCTION("""COMPUTED_VALUE"""),"AVRG ITB")</f>
        <v>AVRG ITB</v>
      </c>
      <c r="D5490" s="186">
        <f>IFERROR(__xludf.DUMMYFUNCTION("""COMPUTED_VALUE"""),600.0)</f>
        <v>600</v>
      </c>
    </row>
    <row r="5491">
      <c r="A5491" s="178" t="str">
        <f>IFERROR(__xludf.DUMMYFUNCTION("""COMPUTED_VALUE"""),"ITBISA-IC-NE555P-DIP8")</f>
        <v>ITBISA-IC-NE555P-DIP8</v>
      </c>
      <c r="B5491" s="266">
        <f>IFERROR(__xludf.DUMMYFUNCTION("""COMPUTED_VALUE"""),43474.0)</f>
        <v>43474</v>
      </c>
      <c r="C5491" s="266" t="str">
        <f>IFERROR(__xludf.DUMMYFUNCTION("""COMPUTED_VALUE"""),"AVRG ITB")</f>
        <v>AVRG ITB</v>
      </c>
      <c r="D5491" s="186">
        <f>IFERROR(__xludf.DUMMYFUNCTION("""COMPUTED_VALUE"""),200.0)</f>
        <v>200</v>
      </c>
    </row>
    <row r="5492">
      <c r="A5492" s="178" t="str">
        <f>IFERROR(__xludf.DUMMYFUNCTION("""COMPUTED_VALUE"""),"ITBISA-IC-NE555P-DIP8")</f>
        <v>ITBISA-IC-NE555P-DIP8</v>
      </c>
      <c r="B5492" s="266">
        <f>IFERROR(__xludf.DUMMYFUNCTION("""COMPUTED_VALUE"""),43475.0)</f>
        <v>43475</v>
      </c>
      <c r="C5492" s="266" t="str">
        <f>IFERROR(__xludf.DUMMYFUNCTION("""COMPUTED_VALUE"""),"AVRG ITB")</f>
        <v>AVRG ITB</v>
      </c>
      <c r="D5492" s="186">
        <f>IFERROR(__xludf.DUMMYFUNCTION("""COMPUTED_VALUE"""),200.0)</f>
        <v>200</v>
      </c>
    </row>
    <row r="5493">
      <c r="A5493" s="178" t="str">
        <f>IFERROR(__xludf.DUMMYFUNCTION("""COMPUTED_VALUE"""),"ITBISA-IC-NE555P-DIP8")</f>
        <v>ITBISA-IC-NE555P-DIP8</v>
      </c>
      <c r="B5493" s="266">
        <f>IFERROR(__xludf.DUMMYFUNCTION("""COMPUTED_VALUE"""),43478.0)</f>
        <v>43478</v>
      </c>
      <c r="C5493" s="266" t="str">
        <f>IFERROR(__xludf.DUMMYFUNCTION("""COMPUTED_VALUE"""),"AVRG ITB")</f>
        <v>AVRG ITB</v>
      </c>
      <c r="D5493" s="186">
        <f>IFERROR(__xludf.DUMMYFUNCTION("""COMPUTED_VALUE"""),500.0)</f>
        <v>500</v>
      </c>
    </row>
    <row r="5494">
      <c r="A5494" s="178" t="str">
        <f>IFERROR(__xludf.DUMMYFUNCTION("""COMPUTED_VALUE"""),"ITBISA-IC-NE555P-DIP8")</f>
        <v>ITBISA-IC-NE555P-DIP8</v>
      </c>
      <c r="B5494" s="266">
        <f>IFERROR(__xludf.DUMMYFUNCTION("""COMPUTED_VALUE"""),43487.0)</f>
        <v>43487</v>
      </c>
      <c r="C5494" s="266" t="str">
        <f>IFERROR(__xludf.DUMMYFUNCTION("""COMPUTED_VALUE"""),"AVRG ITB")</f>
        <v>AVRG ITB</v>
      </c>
      <c r="D5494" s="186">
        <f>IFERROR(__xludf.DUMMYFUNCTION("""COMPUTED_VALUE"""),100.0)</f>
        <v>100</v>
      </c>
    </row>
    <row r="5495">
      <c r="A5495" s="178" t="str">
        <f>IFERROR(__xludf.DUMMYFUNCTION("""COMPUTED_VALUE"""),"ITBISA-IC-NE555P-DIP8")</f>
        <v>ITBISA-IC-NE555P-DIP8</v>
      </c>
      <c r="B5495" s="266">
        <f>IFERROR(__xludf.DUMMYFUNCTION("""COMPUTED_VALUE"""),43501.0)</f>
        <v>43501</v>
      </c>
      <c r="C5495" s="266" t="str">
        <f>IFERROR(__xludf.DUMMYFUNCTION("""COMPUTED_VALUE"""),"AVRG ITB")</f>
        <v>AVRG ITB</v>
      </c>
      <c r="D5495" s="186">
        <f>IFERROR(__xludf.DUMMYFUNCTION("""COMPUTED_VALUE"""),50.0)</f>
        <v>50</v>
      </c>
    </row>
    <row r="5496">
      <c r="A5496" s="178" t="str">
        <f>IFERROR(__xludf.DUMMYFUNCTION("""COMPUTED_VALUE"""),"ITBISA-IC-NE555P-DIP8")</f>
        <v>ITBISA-IC-NE555P-DIP8</v>
      </c>
      <c r="B5496" s="266">
        <f>IFERROR(__xludf.DUMMYFUNCTION("""COMPUTED_VALUE"""),43501.0)</f>
        <v>43501</v>
      </c>
      <c r="C5496" s="266" t="str">
        <f>IFERROR(__xludf.DUMMYFUNCTION("""COMPUTED_VALUE"""),"AVRG ITB")</f>
        <v>AVRG ITB</v>
      </c>
      <c r="D5496" s="186">
        <f>IFERROR(__xludf.DUMMYFUNCTION("""COMPUTED_VALUE"""),50.0)</f>
        <v>50</v>
      </c>
    </row>
    <row r="5497">
      <c r="A5497" s="178" t="str">
        <f>IFERROR(__xludf.DUMMYFUNCTION("""COMPUTED_VALUE"""),"ITBISA-IC-NE555P-DIP8")</f>
        <v>ITBISA-IC-NE555P-DIP8</v>
      </c>
      <c r="B5497" s="266">
        <f>IFERROR(__xludf.DUMMYFUNCTION("""COMPUTED_VALUE"""),43508.0)</f>
        <v>43508</v>
      </c>
      <c r="C5497" s="266" t="str">
        <f>IFERROR(__xludf.DUMMYFUNCTION("""COMPUTED_VALUE"""),"AVRG ITB")</f>
        <v>AVRG ITB</v>
      </c>
      <c r="D5497" s="186">
        <f>IFERROR(__xludf.DUMMYFUNCTION("""COMPUTED_VALUE"""),25.0)</f>
        <v>25</v>
      </c>
    </row>
    <row r="5498">
      <c r="A5498" s="178" t="str">
        <f>IFERROR(__xludf.DUMMYFUNCTION("""COMPUTED_VALUE"""),"ITBISA-IC-NE555P-DIP8")</f>
        <v>ITBISA-IC-NE555P-DIP8</v>
      </c>
      <c r="B5498" s="266">
        <f>IFERROR(__xludf.DUMMYFUNCTION("""COMPUTED_VALUE"""),43509.0)</f>
        <v>43509</v>
      </c>
      <c r="C5498" s="266" t="str">
        <f>IFERROR(__xludf.DUMMYFUNCTION("""COMPUTED_VALUE"""),"AVRG ITB")</f>
        <v>AVRG ITB</v>
      </c>
      <c r="D5498" s="186">
        <f>IFERROR(__xludf.DUMMYFUNCTION("""COMPUTED_VALUE"""),100.0)</f>
        <v>100</v>
      </c>
    </row>
    <row r="5499">
      <c r="A5499" s="178" t="str">
        <f>IFERROR(__xludf.DUMMYFUNCTION("""COMPUTED_VALUE"""),"ITBISA-IC-NE555P-DIP8")</f>
        <v>ITBISA-IC-NE555P-DIP8</v>
      </c>
      <c r="B5499" s="266">
        <f>IFERROR(__xludf.DUMMYFUNCTION("""COMPUTED_VALUE"""),43510.0)</f>
        <v>43510</v>
      </c>
      <c r="C5499" s="266" t="str">
        <f>IFERROR(__xludf.DUMMYFUNCTION("""COMPUTED_VALUE"""),"AVRG ITB")</f>
        <v>AVRG ITB</v>
      </c>
      <c r="D5499" s="186">
        <f>IFERROR(__xludf.DUMMYFUNCTION("""COMPUTED_VALUE"""),100.0)</f>
        <v>100</v>
      </c>
    </row>
    <row r="5500">
      <c r="A5500" s="178" t="str">
        <f>IFERROR(__xludf.DUMMYFUNCTION("""COMPUTED_VALUE"""),"ITBISA-IC-NE555P-DIP8")</f>
        <v>ITBISA-IC-NE555P-DIP8</v>
      </c>
      <c r="B5500" s="266">
        <f>IFERROR(__xludf.DUMMYFUNCTION("""COMPUTED_VALUE"""),43514.0)</f>
        <v>43514</v>
      </c>
      <c r="C5500" s="266" t="str">
        <f>IFERROR(__xludf.DUMMYFUNCTION("""COMPUTED_VALUE"""),"AVRG ITB")</f>
        <v>AVRG ITB</v>
      </c>
      <c r="D5500" s="186">
        <f>IFERROR(__xludf.DUMMYFUNCTION("""COMPUTED_VALUE"""),100.0)</f>
        <v>100</v>
      </c>
    </row>
    <row r="5501">
      <c r="A5501" s="178" t="str">
        <f>IFERROR(__xludf.DUMMYFUNCTION("""COMPUTED_VALUE"""),"ITBISA-IC-NE555P-DIP8")</f>
        <v>ITBISA-IC-NE555P-DIP8</v>
      </c>
      <c r="B5501" s="266">
        <f>IFERROR(__xludf.DUMMYFUNCTION("""COMPUTED_VALUE"""),43514.0)</f>
        <v>43514</v>
      </c>
      <c r="C5501" s="266" t="str">
        <f>IFERROR(__xludf.DUMMYFUNCTION("""COMPUTED_VALUE"""),"AVRG ITB")</f>
        <v>AVRG ITB</v>
      </c>
      <c r="D5501" s="186">
        <f>IFERROR(__xludf.DUMMYFUNCTION("""COMPUTED_VALUE"""),100.0)</f>
        <v>100</v>
      </c>
    </row>
    <row r="5502">
      <c r="A5502" s="178" t="str">
        <f>IFERROR(__xludf.DUMMYFUNCTION("""COMPUTED_VALUE"""),"ITBISA-IC-NE555P-DIP8")</f>
        <v>ITBISA-IC-NE555P-DIP8</v>
      </c>
      <c r="B5502" s="266">
        <f>IFERROR(__xludf.DUMMYFUNCTION("""COMPUTED_VALUE"""),43518.0)</f>
        <v>43518</v>
      </c>
      <c r="C5502" s="266" t="str">
        <f>IFERROR(__xludf.DUMMYFUNCTION("""COMPUTED_VALUE"""),"AVRG ITB")</f>
        <v>AVRG ITB</v>
      </c>
      <c r="D5502" s="186">
        <f>IFERROR(__xludf.DUMMYFUNCTION("""COMPUTED_VALUE"""),100.0)</f>
        <v>100</v>
      </c>
    </row>
    <row r="5503">
      <c r="A5503" s="178" t="str">
        <f>IFERROR(__xludf.DUMMYFUNCTION("""COMPUTED_VALUE"""),"ITBISA-IC-NE555P-DIP8")</f>
        <v>ITBISA-IC-NE555P-DIP8</v>
      </c>
      <c r="B5503" s="266">
        <f>IFERROR(__xludf.DUMMYFUNCTION("""COMPUTED_VALUE"""),43519.0)</f>
        <v>43519</v>
      </c>
      <c r="C5503" s="266" t="str">
        <f>IFERROR(__xludf.DUMMYFUNCTION("""COMPUTED_VALUE"""),"AVRG ITB")</f>
        <v>AVRG ITB</v>
      </c>
      <c r="D5503" s="186">
        <f>IFERROR(__xludf.DUMMYFUNCTION("""COMPUTED_VALUE"""),200.0)</f>
        <v>200</v>
      </c>
    </row>
    <row r="5504">
      <c r="A5504" s="178" t="str">
        <f>IFERROR(__xludf.DUMMYFUNCTION("""COMPUTED_VALUE"""),"ITBISA-IC-NE555P-DIP8")</f>
        <v>ITBISA-IC-NE555P-DIP8</v>
      </c>
      <c r="B5504" s="266">
        <f>IFERROR(__xludf.DUMMYFUNCTION("""COMPUTED_VALUE"""),43520.0)</f>
        <v>43520</v>
      </c>
      <c r="C5504" s="266" t="str">
        <f>IFERROR(__xludf.DUMMYFUNCTION("""COMPUTED_VALUE"""),"AVRG ITB")</f>
        <v>AVRG ITB</v>
      </c>
      <c r="D5504" s="186">
        <f>IFERROR(__xludf.DUMMYFUNCTION("""COMPUTED_VALUE"""),200.0)</f>
        <v>200</v>
      </c>
    </row>
    <row r="5505">
      <c r="A5505" s="178" t="str">
        <f>IFERROR(__xludf.DUMMYFUNCTION("""COMPUTED_VALUE"""),"ITBISA-IC-NE555P-DIP8")</f>
        <v>ITBISA-IC-NE555P-DIP8</v>
      </c>
      <c r="B5505" s="266">
        <f>IFERROR(__xludf.DUMMYFUNCTION("""COMPUTED_VALUE"""),43522.0)</f>
        <v>43522</v>
      </c>
      <c r="C5505" s="266" t="str">
        <f>IFERROR(__xludf.DUMMYFUNCTION("""COMPUTED_VALUE"""),"AVRG ITB")</f>
        <v>AVRG ITB</v>
      </c>
      <c r="D5505" s="186">
        <f>IFERROR(__xludf.DUMMYFUNCTION("""COMPUTED_VALUE"""),23.0)</f>
        <v>23</v>
      </c>
    </row>
    <row r="5506">
      <c r="A5506" s="178" t="str">
        <f>IFERROR(__xludf.DUMMYFUNCTION("""COMPUTED_VALUE"""),"ITBISA-IC-NE555P-DIP8")</f>
        <v>ITBISA-IC-NE555P-DIP8</v>
      </c>
      <c r="B5506" s="266">
        <f>IFERROR(__xludf.DUMMYFUNCTION("""COMPUTED_VALUE"""),43523.0)</f>
        <v>43523</v>
      </c>
      <c r="C5506" s="266" t="str">
        <f>IFERROR(__xludf.DUMMYFUNCTION("""COMPUTED_VALUE"""),"AVRG ITB")</f>
        <v>AVRG ITB</v>
      </c>
      <c r="D5506" s="186">
        <f>IFERROR(__xludf.DUMMYFUNCTION("""COMPUTED_VALUE"""),20.0)</f>
        <v>20</v>
      </c>
    </row>
    <row r="5507">
      <c r="A5507" s="178" t="str">
        <f>IFERROR(__xludf.DUMMYFUNCTION("""COMPUTED_VALUE"""),"ITBISA-IC-NE555P-DIP8")</f>
        <v>ITBISA-IC-NE555P-DIP8</v>
      </c>
      <c r="B5507" s="266">
        <f>IFERROR(__xludf.DUMMYFUNCTION("""COMPUTED_VALUE"""),43527.0)</f>
        <v>43527</v>
      </c>
      <c r="C5507" s="266" t="str">
        <f>IFERROR(__xludf.DUMMYFUNCTION("""COMPUTED_VALUE"""),"AVRG ITB")</f>
        <v>AVRG ITB</v>
      </c>
      <c r="D5507" s="186">
        <f>IFERROR(__xludf.DUMMYFUNCTION("""COMPUTED_VALUE"""),10.0)</f>
        <v>10</v>
      </c>
    </row>
    <row r="5508">
      <c r="A5508" s="178" t="str">
        <f>IFERROR(__xludf.DUMMYFUNCTION("""COMPUTED_VALUE"""),"ITBISA-IC-NE555P-DIP8")</f>
        <v>ITBISA-IC-NE555P-DIP8</v>
      </c>
      <c r="B5508" s="266">
        <f>IFERROR(__xludf.DUMMYFUNCTION("""COMPUTED_VALUE"""),43529.0)</f>
        <v>43529</v>
      </c>
      <c r="C5508" s="266" t="str">
        <f>IFERROR(__xludf.DUMMYFUNCTION("""COMPUTED_VALUE"""),"AVRG ITB")</f>
        <v>AVRG ITB</v>
      </c>
      <c r="D5508" s="186">
        <f>IFERROR(__xludf.DUMMYFUNCTION("""COMPUTED_VALUE"""),100.0)</f>
        <v>100</v>
      </c>
    </row>
    <row r="5509">
      <c r="A5509" s="178" t="str">
        <f>IFERROR(__xludf.DUMMYFUNCTION("""COMPUTED_VALUE"""),"ITBISA-IC-NE555P-DIP8")</f>
        <v>ITBISA-IC-NE555P-DIP8</v>
      </c>
      <c r="B5509" s="266">
        <f>IFERROR(__xludf.DUMMYFUNCTION("""COMPUTED_VALUE"""),43529.0)</f>
        <v>43529</v>
      </c>
      <c r="C5509" s="266" t="str">
        <f>IFERROR(__xludf.DUMMYFUNCTION("""COMPUTED_VALUE"""),"AVRG ITB")</f>
        <v>AVRG ITB</v>
      </c>
      <c r="D5509" s="186">
        <f>IFERROR(__xludf.DUMMYFUNCTION("""COMPUTED_VALUE"""),180.0)</f>
        <v>180</v>
      </c>
    </row>
    <row r="5510">
      <c r="A5510" s="178" t="str">
        <f>IFERROR(__xludf.DUMMYFUNCTION("""COMPUTED_VALUE"""),"ITBISA-IC-NE555P-DIP8")</f>
        <v>ITBISA-IC-NE555P-DIP8</v>
      </c>
      <c r="B5510" s="266">
        <f>IFERROR(__xludf.DUMMYFUNCTION("""COMPUTED_VALUE"""),43529.0)</f>
        <v>43529</v>
      </c>
      <c r="C5510" s="266" t="str">
        <f>IFERROR(__xludf.DUMMYFUNCTION("""COMPUTED_VALUE"""),"AVRG ITB")</f>
        <v>AVRG ITB</v>
      </c>
      <c r="D5510" s="186">
        <f>IFERROR(__xludf.DUMMYFUNCTION("""COMPUTED_VALUE"""),450.0)</f>
        <v>450</v>
      </c>
    </row>
    <row r="5511">
      <c r="A5511" s="178" t="str">
        <f>IFERROR(__xludf.DUMMYFUNCTION("""COMPUTED_VALUE"""),"ITBISA-IC-NE555P-DIP8")</f>
        <v>ITBISA-IC-NE555P-DIP8</v>
      </c>
      <c r="B5511" s="266">
        <f>IFERROR(__xludf.DUMMYFUNCTION("""COMPUTED_VALUE"""),43536.0)</f>
        <v>43536</v>
      </c>
      <c r="C5511" s="266" t="str">
        <f>IFERROR(__xludf.DUMMYFUNCTION("""COMPUTED_VALUE"""),"AVRG ITB")</f>
        <v>AVRG ITB</v>
      </c>
      <c r="D5511" s="186">
        <f>IFERROR(__xludf.DUMMYFUNCTION("""COMPUTED_VALUE"""),10.0)</f>
        <v>10</v>
      </c>
    </row>
    <row r="5512">
      <c r="A5512" s="178" t="str">
        <f>IFERROR(__xludf.DUMMYFUNCTION("""COMPUTED_VALUE"""),"ITBISA-IC-NE555P-DIP8")</f>
        <v>ITBISA-IC-NE555P-DIP8</v>
      </c>
      <c r="B5512" s="266">
        <f>IFERROR(__xludf.DUMMYFUNCTION("""COMPUTED_VALUE"""),43536.0)</f>
        <v>43536</v>
      </c>
      <c r="C5512" s="266" t="str">
        <f>IFERROR(__xludf.DUMMYFUNCTION("""COMPUTED_VALUE"""),"AVRG ITB")</f>
        <v>AVRG ITB</v>
      </c>
      <c r="D5512" s="186">
        <f>IFERROR(__xludf.DUMMYFUNCTION("""COMPUTED_VALUE"""),17.0)</f>
        <v>17</v>
      </c>
    </row>
    <row r="5513">
      <c r="A5513" s="178" t="str">
        <f>IFERROR(__xludf.DUMMYFUNCTION("""COMPUTED_VALUE"""),"ITBISA-IC-NE555P-DIP8")</f>
        <v>ITBISA-IC-NE555P-DIP8</v>
      </c>
      <c r="B5513" s="266">
        <f>IFERROR(__xludf.DUMMYFUNCTION("""COMPUTED_VALUE"""),43536.0)</f>
        <v>43536</v>
      </c>
      <c r="C5513" s="266" t="str">
        <f>IFERROR(__xludf.DUMMYFUNCTION("""COMPUTED_VALUE"""),"AVRG ITB")</f>
        <v>AVRG ITB</v>
      </c>
      <c r="D5513" s="186">
        <f>IFERROR(__xludf.DUMMYFUNCTION("""COMPUTED_VALUE"""),30.0)</f>
        <v>30</v>
      </c>
    </row>
    <row r="5514">
      <c r="A5514" s="178" t="str">
        <f>IFERROR(__xludf.DUMMYFUNCTION("""COMPUTED_VALUE"""),"ITBISA-IC-NE555P-DIP8")</f>
        <v>ITBISA-IC-NE555P-DIP8</v>
      </c>
      <c r="B5514" s="266">
        <f>IFERROR(__xludf.DUMMYFUNCTION("""COMPUTED_VALUE"""),43538.0)</f>
        <v>43538</v>
      </c>
      <c r="C5514" s="266" t="str">
        <f>IFERROR(__xludf.DUMMYFUNCTION("""COMPUTED_VALUE"""),"AVRG ITB")</f>
        <v>AVRG ITB</v>
      </c>
      <c r="D5514" s="186">
        <f>IFERROR(__xludf.DUMMYFUNCTION("""COMPUTED_VALUE"""),100.0)</f>
        <v>100</v>
      </c>
    </row>
    <row r="5515">
      <c r="A5515" s="178" t="str">
        <f>IFERROR(__xludf.DUMMYFUNCTION("""COMPUTED_VALUE"""),"ITBISA-IC-NE555P-DIP8")</f>
        <v>ITBISA-IC-NE555P-DIP8</v>
      </c>
      <c r="B5515" s="266">
        <f>IFERROR(__xludf.DUMMYFUNCTION("""COMPUTED_VALUE"""),43550.0)</f>
        <v>43550</v>
      </c>
      <c r="C5515" s="266" t="str">
        <f>IFERROR(__xludf.DUMMYFUNCTION("""COMPUTED_VALUE"""),"AVRG ITB")</f>
        <v>AVRG ITB</v>
      </c>
      <c r="D5515" s="186">
        <f>IFERROR(__xludf.DUMMYFUNCTION("""COMPUTED_VALUE"""),50.0)</f>
        <v>50</v>
      </c>
    </row>
    <row r="5516">
      <c r="A5516" s="178" t="str">
        <f>IFERROR(__xludf.DUMMYFUNCTION("""COMPUTED_VALUE"""),"ITBISA-IC-NE555P-DIP8")</f>
        <v>ITBISA-IC-NE555P-DIP8</v>
      </c>
      <c r="B5516" s="266">
        <f>IFERROR(__xludf.DUMMYFUNCTION("""COMPUTED_VALUE"""),43553.0)</f>
        <v>43553</v>
      </c>
      <c r="C5516" s="266" t="str">
        <f>IFERROR(__xludf.DUMMYFUNCTION("""COMPUTED_VALUE"""),"AVRG ITB")</f>
        <v>AVRG ITB</v>
      </c>
      <c r="D5516" s="186">
        <f>IFERROR(__xludf.DUMMYFUNCTION("""COMPUTED_VALUE"""),20.0)</f>
        <v>20</v>
      </c>
    </row>
    <row r="5517">
      <c r="A5517" s="178" t="str">
        <f>IFERROR(__xludf.DUMMYFUNCTION("""COMPUTED_VALUE"""),"ITBISA-IC-NE555P-DIP8")</f>
        <v>ITBISA-IC-NE555P-DIP8</v>
      </c>
      <c r="B5517" s="266">
        <f>IFERROR(__xludf.DUMMYFUNCTION("""COMPUTED_VALUE"""),43554.0)</f>
        <v>43554</v>
      </c>
      <c r="C5517" s="266" t="str">
        <f>IFERROR(__xludf.DUMMYFUNCTION("""COMPUTED_VALUE"""),"AVRG ITB")</f>
        <v>AVRG ITB</v>
      </c>
      <c r="D5517" s="186">
        <f>IFERROR(__xludf.DUMMYFUNCTION("""COMPUTED_VALUE"""),100.0)</f>
        <v>100</v>
      </c>
    </row>
    <row r="5518">
      <c r="A5518" s="178" t="str">
        <f>IFERROR(__xludf.DUMMYFUNCTION("""COMPUTED_VALUE"""),"ITBISA-IC-NE555P-DIP8")</f>
        <v>ITBISA-IC-NE555P-DIP8</v>
      </c>
      <c r="B5518" s="266">
        <f>IFERROR(__xludf.DUMMYFUNCTION("""COMPUTED_VALUE"""),43556.0)</f>
        <v>43556</v>
      </c>
      <c r="C5518" s="266" t="str">
        <f>IFERROR(__xludf.DUMMYFUNCTION("""COMPUTED_VALUE"""),"AVRG ITB")</f>
        <v>AVRG ITB</v>
      </c>
      <c r="D5518" s="186">
        <f>IFERROR(__xludf.DUMMYFUNCTION("""COMPUTED_VALUE"""),100.0)</f>
        <v>100</v>
      </c>
    </row>
    <row r="5519">
      <c r="A5519" s="178" t="str">
        <f>IFERROR(__xludf.DUMMYFUNCTION("""COMPUTED_VALUE"""),"ITBISA-IC-NE555P-DIP8")</f>
        <v>ITBISA-IC-NE555P-DIP8</v>
      </c>
      <c r="B5519" s="266">
        <f>IFERROR(__xludf.DUMMYFUNCTION("""COMPUTED_VALUE"""),43560.0)</f>
        <v>43560</v>
      </c>
      <c r="C5519" s="266" t="str">
        <f>IFERROR(__xludf.DUMMYFUNCTION("""COMPUTED_VALUE"""),"AVRG ITB")</f>
        <v>AVRG ITB</v>
      </c>
      <c r="D5519" s="186">
        <f>IFERROR(__xludf.DUMMYFUNCTION("""COMPUTED_VALUE"""),100.0)</f>
        <v>100</v>
      </c>
    </row>
    <row r="5520">
      <c r="A5520" s="178" t="str">
        <f>IFERROR(__xludf.DUMMYFUNCTION("""COMPUTED_VALUE"""),"ITBISA-IC-NE555P-DIP8")</f>
        <v>ITBISA-IC-NE555P-DIP8</v>
      </c>
      <c r="B5520" s="266">
        <f>IFERROR(__xludf.DUMMYFUNCTION("""COMPUTED_VALUE"""),43562.0)</f>
        <v>43562</v>
      </c>
      <c r="C5520" s="266" t="str">
        <f>IFERROR(__xludf.DUMMYFUNCTION("""COMPUTED_VALUE"""),"AVRG ITB")</f>
        <v>AVRG ITB</v>
      </c>
      <c r="D5520" s="186">
        <f>IFERROR(__xludf.DUMMYFUNCTION("""COMPUTED_VALUE"""),400.0)</f>
        <v>400</v>
      </c>
    </row>
    <row r="5521">
      <c r="A5521" s="178" t="str">
        <f>IFERROR(__xludf.DUMMYFUNCTION("""COMPUTED_VALUE"""),"ITBISA-IC-NE555P-DIP8")</f>
        <v>ITBISA-IC-NE555P-DIP8</v>
      </c>
      <c r="B5521" s="266">
        <f>IFERROR(__xludf.DUMMYFUNCTION("""COMPUTED_VALUE"""),43563.0)</f>
        <v>43563</v>
      </c>
      <c r="C5521" s="266" t="str">
        <f>IFERROR(__xludf.DUMMYFUNCTION("""COMPUTED_VALUE"""),"AVRG ITB")</f>
        <v>AVRG ITB</v>
      </c>
      <c r="D5521" s="186">
        <f>IFERROR(__xludf.DUMMYFUNCTION("""COMPUTED_VALUE"""),100.0)</f>
        <v>100</v>
      </c>
    </row>
    <row r="5522">
      <c r="A5522" s="178" t="str">
        <f>IFERROR(__xludf.DUMMYFUNCTION("""COMPUTED_VALUE"""),"ITBISA-IC-NE555P-DIP8")</f>
        <v>ITBISA-IC-NE555P-DIP8</v>
      </c>
      <c r="B5522" s="266">
        <f>IFERROR(__xludf.DUMMYFUNCTION("""COMPUTED_VALUE"""),43566.0)</f>
        <v>43566</v>
      </c>
      <c r="C5522" s="266" t="str">
        <f>IFERROR(__xludf.DUMMYFUNCTION("""COMPUTED_VALUE"""),"AVRG ITB")</f>
        <v>AVRG ITB</v>
      </c>
      <c r="D5522" s="186">
        <f>IFERROR(__xludf.DUMMYFUNCTION("""COMPUTED_VALUE"""),150.0)</f>
        <v>150</v>
      </c>
    </row>
    <row r="5523">
      <c r="A5523" s="178" t="str">
        <f>IFERROR(__xludf.DUMMYFUNCTION("""COMPUTED_VALUE"""),"ITBISA-IC-NE555P-DIP8")</f>
        <v>ITBISA-IC-NE555P-DIP8</v>
      </c>
      <c r="B5523" s="266">
        <f>IFERROR(__xludf.DUMMYFUNCTION("""COMPUTED_VALUE"""),43567.0)</f>
        <v>43567</v>
      </c>
      <c r="C5523" s="266" t="str">
        <f>IFERROR(__xludf.DUMMYFUNCTION("""COMPUTED_VALUE"""),"AVRG ITB")</f>
        <v>AVRG ITB</v>
      </c>
      <c r="D5523" s="186">
        <f>IFERROR(__xludf.DUMMYFUNCTION("""COMPUTED_VALUE"""),130.0)</f>
        <v>130</v>
      </c>
    </row>
    <row r="5524">
      <c r="A5524" s="178" t="str">
        <f>IFERROR(__xludf.DUMMYFUNCTION("""COMPUTED_VALUE"""),"ITBISA-IC-NE555P-DIP8")</f>
        <v>ITBISA-IC-NE555P-DIP8</v>
      </c>
      <c r="B5524" s="266">
        <f>IFERROR(__xludf.DUMMYFUNCTION("""COMPUTED_VALUE"""),43570.0)</f>
        <v>43570</v>
      </c>
      <c r="C5524" s="266" t="str">
        <f>IFERROR(__xludf.DUMMYFUNCTION("""COMPUTED_VALUE"""),"AVRG ITB")</f>
        <v>AVRG ITB</v>
      </c>
      <c r="D5524" s="186">
        <f>IFERROR(__xludf.DUMMYFUNCTION("""COMPUTED_VALUE"""),1.0)</f>
        <v>1</v>
      </c>
    </row>
    <row r="5525">
      <c r="A5525" s="178" t="str">
        <f>IFERROR(__xludf.DUMMYFUNCTION("""COMPUTED_VALUE"""),"ITBISA-IC-NE555P-DIP8")</f>
        <v>ITBISA-IC-NE555P-DIP8</v>
      </c>
      <c r="B5525" s="266">
        <f>IFERROR(__xludf.DUMMYFUNCTION("""COMPUTED_VALUE"""),43573.0)</f>
        <v>43573</v>
      </c>
      <c r="C5525" s="266" t="str">
        <f>IFERROR(__xludf.DUMMYFUNCTION("""COMPUTED_VALUE"""),"AVRG ITB")</f>
        <v>AVRG ITB</v>
      </c>
      <c r="D5525" s="186">
        <f>IFERROR(__xludf.DUMMYFUNCTION("""COMPUTED_VALUE"""),100.0)</f>
        <v>100</v>
      </c>
    </row>
    <row r="5526">
      <c r="A5526" s="178" t="str">
        <f>IFERROR(__xludf.DUMMYFUNCTION("""COMPUTED_VALUE"""),"ITBISA-IC-NE555P-DIP8")</f>
        <v>ITBISA-IC-NE555P-DIP8</v>
      </c>
      <c r="B5526" s="266">
        <f>IFERROR(__xludf.DUMMYFUNCTION("""COMPUTED_VALUE"""),43577.0)</f>
        <v>43577</v>
      </c>
      <c r="C5526" s="266" t="str">
        <f>IFERROR(__xludf.DUMMYFUNCTION("""COMPUTED_VALUE"""),"AVRG ITB")</f>
        <v>AVRG ITB</v>
      </c>
      <c r="D5526" s="186">
        <f>IFERROR(__xludf.DUMMYFUNCTION("""COMPUTED_VALUE"""),20.0)</f>
        <v>20</v>
      </c>
    </row>
    <row r="5527">
      <c r="A5527" s="178" t="str">
        <f>IFERROR(__xludf.DUMMYFUNCTION("""COMPUTED_VALUE"""),"ITBISA-IC-NE555P-DIP8")</f>
        <v>ITBISA-IC-NE555P-DIP8</v>
      </c>
      <c r="B5527" s="266">
        <f>IFERROR(__xludf.DUMMYFUNCTION("""COMPUTED_VALUE"""),43577.0)</f>
        <v>43577</v>
      </c>
      <c r="C5527" s="266" t="str">
        <f>IFERROR(__xludf.DUMMYFUNCTION("""COMPUTED_VALUE"""),"AVRG ITB")</f>
        <v>AVRG ITB</v>
      </c>
      <c r="D5527" s="186">
        <f>IFERROR(__xludf.DUMMYFUNCTION("""COMPUTED_VALUE"""),200.0)</f>
        <v>200</v>
      </c>
    </row>
    <row r="5528">
      <c r="A5528" s="178" t="str">
        <f>IFERROR(__xludf.DUMMYFUNCTION("""COMPUTED_VALUE"""),"ITBISA-IC-NE555P-DIP8")</f>
        <v>ITBISA-IC-NE555P-DIP8</v>
      </c>
      <c r="B5528" s="266">
        <f>IFERROR(__xludf.DUMMYFUNCTION("""COMPUTED_VALUE"""),43578.0)</f>
        <v>43578</v>
      </c>
      <c r="C5528" s="266" t="str">
        <f>IFERROR(__xludf.DUMMYFUNCTION("""COMPUTED_VALUE"""),"AVRG ITB")</f>
        <v>AVRG ITB</v>
      </c>
      <c r="D5528" s="186">
        <f>IFERROR(__xludf.DUMMYFUNCTION("""COMPUTED_VALUE"""),15.0)</f>
        <v>15</v>
      </c>
    </row>
    <row r="5529">
      <c r="A5529" s="178" t="str">
        <f>IFERROR(__xludf.DUMMYFUNCTION("""COMPUTED_VALUE"""),"ITBISA-IC-NE555P-DIP8")</f>
        <v>ITBISA-IC-NE555P-DIP8</v>
      </c>
      <c r="B5529" s="266">
        <f>IFERROR(__xludf.DUMMYFUNCTION("""COMPUTED_VALUE"""),43578.0)</f>
        <v>43578</v>
      </c>
      <c r="C5529" s="266" t="str">
        <f>IFERROR(__xludf.DUMMYFUNCTION("""COMPUTED_VALUE"""),"AVRG ITB")</f>
        <v>AVRG ITB</v>
      </c>
      <c r="D5529" s="186">
        <f>IFERROR(__xludf.DUMMYFUNCTION("""COMPUTED_VALUE"""),400.0)</f>
        <v>400</v>
      </c>
    </row>
    <row r="5530">
      <c r="A5530" s="178" t="str">
        <f>IFERROR(__xludf.DUMMYFUNCTION("""COMPUTED_VALUE"""),"ITBISA-IC-NE555P-DIP8")</f>
        <v>ITBISA-IC-NE555P-DIP8</v>
      </c>
      <c r="B5530" s="266">
        <f>IFERROR(__xludf.DUMMYFUNCTION("""COMPUTED_VALUE"""),43583.0)</f>
        <v>43583</v>
      </c>
      <c r="C5530" s="266" t="str">
        <f>IFERROR(__xludf.DUMMYFUNCTION("""COMPUTED_VALUE"""),"AVRG ITB")</f>
        <v>AVRG ITB</v>
      </c>
      <c r="D5530" s="186">
        <f>IFERROR(__xludf.DUMMYFUNCTION("""COMPUTED_VALUE"""),20.0)</f>
        <v>20</v>
      </c>
    </row>
    <row r="5531">
      <c r="A5531" s="178" t="str">
        <f>IFERROR(__xludf.DUMMYFUNCTION("""COMPUTED_VALUE"""),"ITBISA-IC-NE555P-DIP8")</f>
        <v>ITBISA-IC-NE555P-DIP8</v>
      </c>
      <c r="B5531" s="266">
        <f>IFERROR(__xludf.DUMMYFUNCTION("""COMPUTED_VALUE"""),43584.0)</f>
        <v>43584</v>
      </c>
      <c r="C5531" s="266" t="str">
        <f>IFERROR(__xludf.DUMMYFUNCTION("""COMPUTED_VALUE"""),"AVRG ITB")</f>
        <v>AVRG ITB</v>
      </c>
      <c r="D5531" s="186">
        <f>IFERROR(__xludf.DUMMYFUNCTION("""COMPUTED_VALUE"""),200.0)</f>
        <v>200</v>
      </c>
    </row>
    <row r="5532">
      <c r="A5532" s="178" t="str">
        <f>IFERROR(__xludf.DUMMYFUNCTION("""COMPUTED_VALUE"""),"ITBISA-IC-NE555P-DIP8")</f>
        <v>ITBISA-IC-NE555P-DIP8</v>
      </c>
      <c r="B5532" s="266">
        <f>IFERROR(__xludf.DUMMYFUNCTION("""COMPUTED_VALUE"""),43590.0)</f>
        <v>43590</v>
      </c>
      <c r="C5532" s="266" t="str">
        <f>IFERROR(__xludf.DUMMYFUNCTION("""COMPUTED_VALUE"""),"AVRG ITB")</f>
        <v>AVRG ITB</v>
      </c>
      <c r="D5532" s="186">
        <f>IFERROR(__xludf.DUMMYFUNCTION("""COMPUTED_VALUE"""),1.0)</f>
        <v>1</v>
      </c>
    </row>
    <row r="5533">
      <c r="A5533" s="178" t="str">
        <f>IFERROR(__xludf.DUMMYFUNCTION("""COMPUTED_VALUE"""),"ITBISA-IC-NE555P-DIP8")</f>
        <v>ITBISA-IC-NE555P-DIP8</v>
      </c>
      <c r="B5533" s="266">
        <f>IFERROR(__xludf.DUMMYFUNCTION("""COMPUTED_VALUE"""),43594.0)</f>
        <v>43594</v>
      </c>
      <c r="C5533" s="266" t="str">
        <f>IFERROR(__xludf.DUMMYFUNCTION("""COMPUTED_VALUE"""),"AVRG ITB")</f>
        <v>AVRG ITB</v>
      </c>
      <c r="D5533" s="186">
        <f>IFERROR(__xludf.DUMMYFUNCTION("""COMPUTED_VALUE"""),4.0)</f>
        <v>4</v>
      </c>
    </row>
    <row r="5534">
      <c r="A5534" s="178" t="str">
        <f>IFERROR(__xludf.DUMMYFUNCTION("""COMPUTED_VALUE"""),"ITBISA-IC-NE555P-DIP8")</f>
        <v>ITBISA-IC-NE555P-DIP8</v>
      </c>
      <c r="B5534" s="266">
        <f>IFERROR(__xludf.DUMMYFUNCTION("""COMPUTED_VALUE"""),43596.0)</f>
        <v>43596</v>
      </c>
      <c r="C5534" s="266" t="str">
        <f>IFERROR(__xludf.DUMMYFUNCTION("""COMPUTED_VALUE"""),"AVRG ITB")</f>
        <v>AVRG ITB</v>
      </c>
      <c r="D5534" s="186">
        <f>IFERROR(__xludf.DUMMYFUNCTION("""COMPUTED_VALUE"""),30.0)</f>
        <v>30</v>
      </c>
    </row>
    <row r="5535">
      <c r="A5535" s="178" t="str">
        <f>IFERROR(__xludf.DUMMYFUNCTION("""COMPUTED_VALUE"""),"ITBISA-IC-NE555P-DIP8")</f>
        <v>ITBISA-IC-NE555P-DIP8</v>
      </c>
      <c r="B5535" s="266">
        <f>IFERROR(__xludf.DUMMYFUNCTION("""COMPUTED_VALUE"""),43597.0)</f>
        <v>43597</v>
      </c>
      <c r="C5535" s="266" t="str">
        <f>IFERROR(__xludf.DUMMYFUNCTION("""COMPUTED_VALUE"""),"AVRG ITB")</f>
        <v>AVRG ITB</v>
      </c>
      <c r="D5535" s="186">
        <f>IFERROR(__xludf.DUMMYFUNCTION("""COMPUTED_VALUE"""),20.0)</f>
        <v>20</v>
      </c>
    </row>
    <row r="5536">
      <c r="A5536" s="178" t="str">
        <f>IFERROR(__xludf.DUMMYFUNCTION("""COMPUTED_VALUE"""),"ITBISA-IC-NE555P-DIP8")</f>
        <v>ITBISA-IC-NE555P-DIP8</v>
      </c>
      <c r="B5536" s="266">
        <f>IFERROR(__xludf.DUMMYFUNCTION("""COMPUTED_VALUE"""),43597.0)</f>
        <v>43597</v>
      </c>
      <c r="C5536" s="266" t="str">
        <f>IFERROR(__xludf.DUMMYFUNCTION("""COMPUTED_VALUE"""),"AVRG ITB")</f>
        <v>AVRG ITB</v>
      </c>
      <c r="D5536" s="186">
        <f>IFERROR(__xludf.DUMMYFUNCTION("""COMPUTED_VALUE"""),200.0)</f>
        <v>200</v>
      </c>
    </row>
    <row r="5537">
      <c r="A5537" s="178" t="str">
        <f>IFERROR(__xludf.DUMMYFUNCTION("""COMPUTED_VALUE"""),"ITBISA-IC-NE555P-DIP8")</f>
        <v>ITBISA-IC-NE555P-DIP8</v>
      </c>
      <c r="B5537" s="266">
        <f>IFERROR(__xludf.DUMMYFUNCTION("""COMPUTED_VALUE"""),43601.0)</f>
        <v>43601</v>
      </c>
      <c r="C5537" s="266" t="str">
        <f>IFERROR(__xludf.DUMMYFUNCTION("""COMPUTED_VALUE"""),"AVRG ITB")</f>
        <v>AVRG ITB</v>
      </c>
      <c r="D5537" s="186">
        <f>IFERROR(__xludf.DUMMYFUNCTION("""COMPUTED_VALUE"""),60.0)</f>
        <v>60</v>
      </c>
    </row>
    <row r="5538">
      <c r="A5538" s="178" t="str">
        <f>IFERROR(__xludf.DUMMYFUNCTION("""COMPUTED_VALUE"""),"ITBISA-IC-NE555P-DIP8")</f>
        <v>ITBISA-IC-NE555P-DIP8</v>
      </c>
      <c r="B5538" s="266">
        <f>IFERROR(__xludf.DUMMYFUNCTION("""COMPUTED_VALUE"""),43606.0)</f>
        <v>43606</v>
      </c>
      <c r="C5538" s="266" t="str">
        <f>IFERROR(__xludf.DUMMYFUNCTION("""COMPUTED_VALUE"""),"AVRG ITB")</f>
        <v>AVRG ITB</v>
      </c>
      <c r="D5538" s="186">
        <f>IFERROR(__xludf.DUMMYFUNCTION("""COMPUTED_VALUE"""),50.0)</f>
        <v>50</v>
      </c>
    </row>
    <row r="5539">
      <c r="A5539" s="178" t="str">
        <f>IFERROR(__xludf.DUMMYFUNCTION("""COMPUTED_VALUE"""),"ITBISA-IC-NE555P-DIP8")</f>
        <v>ITBISA-IC-NE555P-DIP8</v>
      </c>
      <c r="B5539" s="266">
        <f>IFERROR(__xludf.DUMMYFUNCTION("""COMPUTED_VALUE"""),43607.0)</f>
        <v>43607</v>
      </c>
      <c r="C5539" s="266" t="str">
        <f>IFERROR(__xludf.DUMMYFUNCTION("""COMPUTED_VALUE"""),"AVRG ITB")</f>
        <v>AVRG ITB</v>
      </c>
      <c r="D5539" s="186">
        <f>IFERROR(__xludf.DUMMYFUNCTION("""COMPUTED_VALUE"""),20.0)</f>
        <v>20</v>
      </c>
    </row>
    <row r="5540">
      <c r="A5540" s="178" t="str">
        <f>IFERROR(__xludf.DUMMYFUNCTION("""COMPUTED_VALUE"""),"ITBISA-IC-NE555P-DIP8")</f>
        <v>ITBISA-IC-NE555P-DIP8</v>
      </c>
      <c r="B5540" s="266">
        <f>IFERROR(__xludf.DUMMYFUNCTION("""COMPUTED_VALUE"""),43611.0)</f>
        <v>43611</v>
      </c>
      <c r="C5540" s="266" t="str">
        <f>IFERROR(__xludf.DUMMYFUNCTION("""COMPUTED_VALUE"""),"AVRG ITB")</f>
        <v>AVRG ITB</v>
      </c>
      <c r="D5540" s="186">
        <f>IFERROR(__xludf.DUMMYFUNCTION("""COMPUTED_VALUE"""),23.0)</f>
        <v>23</v>
      </c>
    </row>
    <row r="5541">
      <c r="A5541" s="178" t="str">
        <f>IFERROR(__xludf.DUMMYFUNCTION("""COMPUTED_VALUE"""),"ITBISA-IC-NE555P-DIP8")</f>
        <v>ITBISA-IC-NE555P-DIP8</v>
      </c>
      <c r="B5541" s="266">
        <f>IFERROR(__xludf.DUMMYFUNCTION("""COMPUTED_VALUE"""),43612.0)</f>
        <v>43612</v>
      </c>
      <c r="C5541" s="266" t="str">
        <f>IFERROR(__xludf.DUMMYFUNCTION("""COMPUTED_VALUE"""),"RUMAH MUZAKKI")</f>
        <v>RUMAH MUZAKKI</v>
      </c>
      <c r="D5541" s="186">
        <f>IFERROR(__xludf.DUMMYFUNCTION("""COMPUTED_VALUE"""),260.0)</f>
        <v>260</v>
      </c>
    </row>
    <row r="5542">
      <c r="A5542" s="178" t="str">
        <f>IFERROR(__xludf.DUMMYFUNCTION("""COMPUTED_VALUE"""),"ITBISA-IC-NE555P-DIP8")</f>
        <v>ITBISA-IC-NE555P-DIP8</v>
      </c>
      <c r="B5542" s="266">
        <f>IFERROR(__xludf.DUMMYFUNCTION("""COMPUTED_VALUE"""),43630.0)</f>
        <v>43630</v>
      </c>
      <c r="C5542" s="266" t="str">
        <f>IFERROR(__xludf.DUMMYFUNCTION("""COMPUTED_VALUE"""),"RUMAH MUZAKKI")</f>
        <v>RUMAH MUZAKKI</v>
      </c>
      <c r="D5542" s="186">
        <f>IFERROR(__xludf.DUMMYFUNCTION("""COMPUTED_VALUE"""),200.0)</f>
        <v>200</v>
      </c>
    </row>
    <row r="5543">
      <c r="A5543" s="178" t="str">
        <f>IFERROR(__xludf.DUMMYFUNCTION("""COMPUTED_VALUE"""),"ITBISA-IC-NE555P-DIP8")</f>
        <v>ITBISA-IC-NE555P-DIP8</v>
      </c>
      <c r="B5543" s="266">
        <f>IFERROR(__xludf.DUMMYFUNCTION("""COMPUTED_VALUE"""),43638.0)</f>
        <v>43638</v>
      </c>
      <c r="C5543" s="266" t="str">
        <f>IFERROR(__xludf.DUMMYFUNCTION("""COMPUTED_VALUE"""),"RUMAH MUZAKKI")</f>
        <v>RUMAH MUZAKKI</v>
      </c>
      <c r="D5543" s="186">
        <f>IFERROR(__xludf.DUMMYFUNCTION("""COMPUTED_VALUE"""),100.0)</f>
        <v>100</v>
      </c>
    </row>
    <row r="5544">
      <c r="A5544" s="178" t="str">
        <f>IFERROR(__xludf.DUMMYFUNCTION("""COMPUTED_VALUE"""),"ITBISA-IC-NE555P-DIP8")</f>
        <v>ITBISA-IC-NE555P-DIP8</v>
      </c>
      <c r="B5544" s="266">
        <f>IFERROR(__xludf.DUMMYFUNCTION("""COMPUTED_VALUE"""),43641.0)</f>
        <v>43641</v>
      </c>
      <c r="C5544" s="266" t="str">
        <f>IFERROR(__xludf.DUMMYFUNCTION("""COMPUTED_VALUE"""),"RUMAH MUZAKKI")</f>
        <v>RUMAH MUZAKKI</v>
      </c>
      <c r="D5544" s="186">
        <f>IFERROR(__xludf.DUMMYFUNCTION("""COMPUTED_VALUE"""),100.0)</f>
        <v>100</v>
      </c>
    </row>
    <row r="5545">
      <c r="A5545" s="178" t="str">
        <f>IFERROR(__xludf.DUMMYFUNCTION("""COMPUTED_VALUE"""),"ITBISA-IC-NE555P-DIP8")</f>
        <v>ITBISA-IC-NE555P-DIP8</v>
      </c>
      <c r="B5545" s="266">
        <f>IFERROR(__xludf.DUMMYFUNCTION("""COMPUTED_VALUE"""),43648.0)</f>
        <v>43648</v>
      </c>
      <c r="C5545" s="266" t="str">
        <f>IFERROR(__xludf.DUMMYFUNCTION("""COMPUTED_VALUE"""),"RUMAH MUZAKKI")</f>
        <v>RUMAH MUZAKKI</v>
      </c>
      <c r="D5545" s="186">
        <f>IFERROR(__xludf.DUMMYFUNCTION("""COMPUTED_VALUE"""),200.0)</f>
        <v>200</v>
      </c>
    </row>
    <row r="5546">
      <c r="A5546" s="178" t="str">
        <f>IFERROR(__xludf.DUMMYFUNCTION("""COMPUTED_VALUE"""),"ITBISA-IC-NE555P-DIP8")</f>
        <v>ITBISA-IC-NE555P-DIP8</v>
      </c>
      <c r="B5546" s="266">
        <f>IFERROR(__xludf.DUMMYFUNCTION("""COMPUTED_VALUE"""),43648.0)</f>
        <v>43648</v>
      </c>
      <c r="C5546" s="266" t="str">
        <f>IFERROR(__xludf.DUMMYFUNCTION("""COMPUTED_VALUE"""),"RUMAH MUZAKKI")</f>
        <v>RUMAH MUZAKKI</v>
      </c>
      <c r="D5546" s="186">
        <f>IFERROR(__xludf.DUMMYFUNCTION("""COMPUTED_VALUE"""),300.0)</f>
        <v>300</v>
      </c>
    </row>
    <row r="5547">
      <c r="A5547" s="178" t="str">
        <f>IFERROR(__xludf.DUMMYFUNCTION("""COMPUTED_VALUE"""),"ITBISA-IC-NE555P-DIP8")</f>
        <v>ITBISA-IC-NE555P-DIP8</v>
      </c>
      <c r="B5547" s="266">
        <f>IFERROR(__xludf.DUMMYFUNCTION("""COMPUTED_VALUE"""),43652.0)</f>
        <v>43652</v>
      </c>
      <c r="C5547" s="266" t="str">
        <f>IFERROR(__xludf.DUMMYFUNCTION("""COMPUTED_VALUE"""),"RUMAH MUZAKKI")</f>
        <v>RUMAH MUZAKKI</v>
      </c>
      <c r="D5547" s="186">
        <f>IFERROR(__xludf.DUMMYFUNCTION("""COMPUTED_VALUE"""),10.0)</f>
        <v>10</v>
      </c>
    </row>
    <row r="5548">
      <c r="A5548" s="178" t="str">
        <f>IFERROR(__xludf.DUMMYFUNCTION("""COMPUTED_VALUE"""),"ITBISA-IC-NE555P-DIP8")</f>
        <v>ITBISA-IC-NE555P-DIP8</v>
      </c>
      <c r="B5548" s="266">
        <f>IFERROR(__xludf.DUMMYFUNCTION("""COMPUTED_VALUE"""),43684.0)</f>
        <v>43684</v>
      </c>
      <c r="C5548" s="266" t="str">
        <f>IFERROR(__xludf.DUMMYFUNCTION("""COMPUTED_VALUE"""),"RUMAH MUZAKKI")</f>
        <v>RUMAH MUZAKKI</v>
      </c>
      <c r="D5548" s="186">
        <f>IFERROR(__xludf.DUMMYFUNCTION("""COMPUTED_VALUE"""),100.0)</f>
        <v>100</v>
      </c>
    </row>
    <row r="5549">
      <c r="A5549" s="178" t="str">
        <f>IFERROR(__xludf.DUMMYFUNCTION("""COMPUTED_VALUE"""),"ITBISA-IC-NE555P-DIP8")</f>
        <v>ITBISA-IC-NE555P-DIP8</v>
      </c>
      <c r="B5549" s="266">
        <f>IFERROR(__xludf.DUMMYFUNCTION("""COMPUTED_VALUE"""),43687.0)</f>
        <v>43687</v>
      </c>
      <c r="C5549" s="266" t="str">
        <f>IFERROR(__xludf.DUMMYFUNCTION("""COMPUTED_VALUE"""),"RUMAH MUZAKKI")</f>
        <v>RUMAH MUZAKKI</v>
      </c>
      <c r="D5549" s="186">
        <f>IFERROR(__xludf.DUMMYFUNCTION("""COMPUTED_VALUE"""),15.0)</f>
        <v>15</v>
      </c>
    </row>
    <row r="5550">
      <c r="A5550" s="178" t="str">
        <f>IFERROR(__xludf.DUMMYFUNCTION("""COMPUTED_VALUE"""),"ITBISA-IC-NE555P-DIP8")</f>
        <v>ITBISA-IC-NE555P-DIP8</v>
      </c>
      <c r="B5550" s="266">
        <f>IFERROR(__xludf.DUMMYFUNCTION("""COMPUTED_VALUE"""),43689.0)</f>
        <v>43689</v>
      </c>
      <c r="C5550" s="266" t="str">
        <f>IFERROR(__xludf.DUMMYFUNCTION("""COMPUTED_VALUE"""),"RUMAH MUZAKKI")</f>
        <v>RUMAH MUZAKKI</v>
      </c>
      <c r="D5550" s="186">
        <f>IFERROR(__xludf.DUMMYFUNCTION("""COMPUTED_VALUE"""),300.0)</f>
        <v>300</v>
      </c>
    </row>
    <row r="5551">
      <c r="A5551" s="178" t="str">
        <f>IFERROR(__xludf.DUMMYFUNCTION("""COMPUTED_VALUE"""),"ITBISA-IC-NE555P-DIP8")</f>
        <v>ITBISA-IC-NE555P-DIP8</v>
      </c>
      <c r="B5551" s="266">
        <f>IFERROR(__xludf.DUMMYFUNCTION("""COMPUTED_VALUE"""),43690.0)</f>
        <v>43690</v>
      </c>
      <c r="C5551" s="266" t="str">
        <f>IFERROR(__xludf.DUMMYFUNCTION("""COMPUTED_VALUE"""),"RUMAH MUZAKKI")</f>
        <v>RUMAH MUZAKKI</v>
      </c>
      <c r="D5551" s="186">
        <f>IFERROR(__xludf.DUMMYFUNCTION("""COMPUTED_VALUE"""),4.0)</f>
        <v>4</v>
      </c>
    </row>
    <row r="5552">
      <c r="A5552" s="178" t="str">
        <f>IFERROR(__xludf.DUMMYFUNCTION("""COMPUTED_VALUE"""),"ITBISA-IC-NE555P-DIP8")</f>
        <v>ITBISA-IC-NE555P-DIP8</v>
      </c>
      <c r="B5552" s="266">
        <f>IFERROR(__xludf.DUMMYFUNCTION("""COMPUTED_VALUE"""),43690.0)</f>
        <v>43690</v>
      </c>
      <c r="C5552" s="266" t="str">
        <f>IFERROR(__xludf.DUMMYFUNCTION("""COMPUTED_VALUE"""),"RUMAH MUZAKKI")</f>
        <v>RUMAH MUZAKKI</v>
      </c>
      <c r="D5552" s="186">
        <f>IFERROR(__xludf.DUMMYFUNCTION("""COMPUTED_VALUE"""),200.0)</f>
        <v>200</v>
      </c>
    </row>
    <row r="5553">
      <c r="A5553" s="178" t="str">
        <f>IFERROR(__xludf.DUMMYFUNCTION("""COMPUTED_VALUE"""),"ITBISA-IC-NE555P-DIP8")</f>
        <v>ITBISA-IC-NE555P-DIP8</v>
      </c>
      <c r="B5553" s="266">
        <f>IFERROR(__xludf.DUMMYFUNCTION("""COMPUTED_VALUE"""),43691.0)</f>
        <v>43691</v>
      </c>
      <c r="C5553" s="266" t="str">
        <f>IFERROR(__xludf.DUMMYFUNCTION("""COMPUTED_VALUE"""),"RUMAH MUZAKKI")</f>
        <v>RUMAH MUZAKKI</v>
      </c>
      <c r="D5553" s="186">
        <f>IFERROR(__xludf.DUMMYFUNCTION("""COMPUTED_VALUE"""),20.0)</f>
        <v>20</v>
      </c>
    </row>
    <row r="5554">
      <c r="A5554" s="178" t="str">
        <f>IFERROR(__xludf.DUMMYFUNCTION("""COMPUTED_VALUE"""),"ITBISA-IC-NE555P-DIP8")</f>
        <v>ITBISA-IC-NE555P-DIP8</v>
      </c>
      <c r="B5554" s="266">
        <f>IFERROR(__xludf.DUMMYFUNCTION("""COMPUTED_VALUE"""),43692.0)</f>
        <v>43692</v>
      </c>
      <c r="C5554" s="266" t="str">
        <f>IFERROR(__xludf.DUMMYFUNCTION("""COMPUTED_VALUE"""),"RUMAH MUZAKKI")</f>
        <v>RUMAH MUZAKKI</v>
      </c>
      <c r="D5554" s="186">
        <f>IFERROR(__xludf.DUMMYFUNCTION("""COMPUTED_VALUE"""),25.0)</f>
        <v>25</v>
      </c>
    </row>
    <row r="5555">
      <c r="A5555" s="178" t="str">
        <f>IFERROR(__xludf.DUMMYFUNCTION("""COMPUTED_VALUE"""),"ITBISA-IC-NE555P-DIP8")</f>
        <v>ITBISA-IC-NE555P-DIP8</v>
      </c>
      <c r="B5555" s="266">
        <f>IFERROR(__xludf.DUMMYFUNCTION("""COMPUTED_VALUE"""),43711.0)</f>
        <v>43711</v>
      </c>
      <c r="C5555" s="266" t="str">
        <f>IFERROR(__xludf.DUMMYFUNCTION("""COMPUTED_VALUE"""),"RUMAH MUZAKKI")</f>
        <v>RUMAH MUZAKKI</v>
      </c>
      <c r="D5555" s="186">
        <f>IFERROR(__xludf.DUMMYFUNCTION("""COMPUTED_VALUE"""),50.0)</f>
        <v>50</v>
      </c>
    </row>
    <row r="5556">
      <c r="A5556" s="178" t="str">
        <f>IFERROR(__xludf.DUMMYFUNCTION("""COMPUTED_VALUE"""),"ITBISA-IC-NE555P-DIP8")</f>
        <v>ITBISA-IC-NE555P-DIP8</v>
      </c>
      <c r="B5556" s="266">
        <f>IFERROR(__xludf.DUMMYFUNCTION("""COMPUTED_VALUE"""),43719.0)</f>
        <v>43719</v>
      </c>
      <c r="C5556" s="266" t="str">
        <f>IFERROR(__xludf.DUMMYFUNCTION("""COMPUTED_VALUE"""),"RUMAH MUZAKKI")</f>
        <v>RUMAH MUZAKKI</v>
      </c>
      <c r="D5556" s="186">
        <f>IFERROR(__xludf.DUMMYFUNCTION("""COMPUTED_VALUE"""),145.0)</f>
        <v>145</v>
      </c>
    </row>
    <row r="5557">
      <c r="A5557" s="178" t="str">
        <f>IFERROR(__xludf.DUMMYFUNCTION("""COMPUTED_VALUE"""),"ITBISA-IC-NE555P-DIP8")</f>
        <v>ITBISA-IC-NE555P-DIP8</v>
      </c>
      <c r="B5557" s="266">
        <f>IFERROR(__xludf.DUMMYFUNCTION("""COMPUTED_VALUE"""),43732.0)</f>
        <v>43732</v>
      </c>
      <c r="C5557" s="266" t="str">
        <f>IFERROR(__xludf.DUMMYFUNCTION("""COMPUTED_VALUE"""),"RUMAH MUZAKKI")</f>
        <v>RUMAH MUZAKKI</v>
      </c>
      <c r="D5557" s="186">
        <f>IFERROR(__xludf.DUMMYFUNCTION("""COMPUTED_VALUE"""),10.0)</f>
        <v>10</v>
      </c>
    </row>
    <row r="5558">
      <c r="A5558" s="178" t="str">
        <f>IFERROR(__xludf.DUMMYFUNCTION("""COMPUTED_VALUE"""),"ITBISA-IC-NE555P-DIP8")</f>
        <v>ITBISA-IC-NE555P-DIP8</v>
      </c>
      <c r="B5558" s="266">
        <f>IFERROR(__xludf.DUMMYFUNCTION("""COMPUTED_VALUE"""),43733.0)</f>
        <v>43733</v>
      </c>
      <c r="C5558" s="266" t="str">
        <f>IFERROR(__xludf.DUMMYFUNCTION("""COMPUTED_VALUE"""),"RUMAH MUZAKKI")</f>
        <v>RUMAH MUZAKKI</v>
      </c>
      <c r="D5558" s="186">
        <f>IFERROR(__xludf.DUMMYFUNCTION("""COMPUTED_VALUE"""),1.0)</f>
        <v>1</v>
      </c>
    </row>
    <row r="5559">
      <c r="A5559" s="178" t="str">
        <f>IFERROR(__xludf.DUMMYFUNCTION("""COMPUTED_VALUE"""),"ITBISA-IC-NE555P-DIP8")</f>
        <v>ITBISA-IC-NE555P-DIP8</v>
      </c>
      <c r="B5559" s="266">
        <f>IFERROR(__xludf.DUMMYFUNCTION("""COMPUTED_VALUE"""),43734.0)</f>
        <v>43734</v>
      </c>
      <c r="C5559" s="266" t="str">
        <f>IFERROR(__xludf.DUMMYFUNCTION("""COMPUTED_VALUE"""),"RUMAH MUZAKKI")</f>
        <v>RUMAH MUZAKKI</v>
      </c>
      <c r="D5559" s="186">
        <f>IFERROR(__xludf.DUMMYFUNCTION("""COMPUTED_VALUE"""),100.0)</f>
        <v>100</v>
      </c>
    </row>
    <row r="5560">
      <c r="A5560" s="178" t="str">
        <f>IFERROR(__xludf.DUMMYFUNCTION("""COMPUTED_VALUE"""),"ITBISA-IC-NE555P-DIP8")</f>
        <v>ITBISA-IC-NE555P-DIP8</v>
      </c>
      <c r="B5560" s="266">
        <f>IFERROR(__xludf.DUMMYFUNCTION("""COMPUTED_VALUE"""),43741.0)</f>
        <v>43741</v>
      </c>
      <c r="C5560" s="266" t="str">
        <f>IFERROR(__xludf.DUMMYFUNCTION("""COMPUTED_VALUE"""),"RUMAH MUZAKKI")</f>
        <v>RUMAH MUZAKKI</v>
      </c>
      <c r="D5560" s="186">
        <f>IFERROR(__xludf.DUMMYFUNCTION("""COMPUTED_VALUE"""),30.0)</f>
        <v>30</v>
      </c>
    </row>
    <row r="5561">
      <c r="A5561" s="178" t="str">
        <f>IFERROR(__xludf.DUMMYFUNCTION("""COMPUTED_VALUE"""),"ITBISA-IC-NE555P-DIP8")</f>
        <v>ITBISA-IC-NE555P-DIP8</v>
      </c>
      <c r="B5561" s="266">
        <f>IFERROR(__xludf.DUMMYFUNCTION("""COMPUTED_VALUE"""),43743.0)</f>
        <v>43743</v>
      </c>
      <c r="C5561" s="266" t="str">
        <f>IFERROR(__xludf.DUMMYFUNCTION("""COMPUTED_VALUE"""),"RUMAH MUZAKKI")</f>
        <v>RUMAH MUZAKKI</v>
      </c>
      <c r="D5561" s="186">
        <f>IFERROR(__xludf.DUMMYFUNCTION("""COMPUTED_VALUE"""),100.0)</f>
        <v>100</v>
      </c>
    </row>
    <row r="5562">
      <c r="A5562" s="178" t="str">
        <f>IFERROR(__xludf.DUMMYFUNCTION("""COMPUTED_VALUE"""),"ITBISA-IC-NE555P-DIP8")</f>
        <v>ITBISA-IC-NE555P-DIP8</v>
      </c>
      <c r="B5562" s="266">
        <f>IFERROR(__xludf.DUMMYFUNCTION("""COMPUTED_VALUE"""),43750.0)</f>
        <v>43750</v>
      </c>
      <c r="C5562" s="266" t="str">
        <f>IFERROR(__xludf.DUMMYFUNCTION("""COMPUTED_VALUE"""),"RUMAH MUZAKKI")</f>
        <v>RUMAH MUZAKKI</v>
      </c>
      <c r="D5562" s="186">
        <f>IFERROR(__xludf.DUMMYFUNCTION("""COMPUTED_VALUE"""),30.0)</f>
        <v>30</v>
      </c>
    </row>
    <row r="5563">
      <c r="A5563" s="178" t="str">
        <f>IFERROR(__xludf.DUMMYFUNCTION("""COMPUTED_VALUE"""),"ITBISA-IC-NE555P-DIP8")</f>
        <v>ITBISA-IC-NE555P-DIP8</v>
      </c>
      <c r="B5563" s="266">
        <f>IFERROR(__xludf.DUMMYFUNCTION("""COMPUTED_VALUE"""),43753.0)</f>
        <v>43753</v>
      </c>
      <c r="C5563" s="266" t="str">
        <f>IFERROR(__xludf.DUMMYFUNCTION("""COMPUTED_VALUE"""),"RUMAH MUZAKKI")</f>
        <v>RUMAH MUZAKKI</v>
      </c>
      <c r="D5563" s="186">
        <f>IFERROR(__xludf.DUMMYFUNCTION("""COMPUTED_VALUE"""),150.0)</f>
        <v>150</v>
      </c>
    </row>
    <row r="5564">
      <c r="A5564" s="178" t="str">
        <f>IFERROR(__xludf.DUMMYFUNCTION("""COMPUTED_VALUE"""),"ITBISA-IC-NE555P-DIP8")</f>
        <v>ITBISA-IC-NE555P-DIP8</v>
      </c>
      <c r="B5564" s="266">
        <f>IFERROR(__xludf.DUMMYFUNCTION("""COMPUTED_VALUE"""),43756.0)</f>
        <v>43756</v>
      </c>
      <c r="C5564" s="266" t="str">
        <f>IFERROR(__xludf.DUMMYFUNCTION("""COMPUTED_VALUE"""),"RUMAH MUZAKKI")</f>
        <v>RUMAH MUZAKKI</v>
      </c>
      <c r="D5564" s="186">
        <f>IFERROR(__xludf.DUMMYFUNCTION("""COMPUTED_VALUE"""),25.0)</f>
        <v>25</v>
      </c>
    </row>
    <row r="5565">
      <c r="A5565" s="178" t="str">
        <f>IFERROR(__xludf.DUMMYFUNCTION("""COMPUTED_VALUE"""),"ITBISA-IC-NE555P-DIP8")</f>
        <v>ITBISA-IC-NE555P-DIP8</v>
      </c>
      <c r="B5565" s="266">
        <f>IFERROR(__xludf.DUMMYFUNCTION("""COMPUTED_VALUE"""),43757.0)</f>
        <v>43757</v>
      </c>
      <c r="C5565" s="266" t="str">
        <f>IFERROR(__xludf.DUMMYFUNCTION("""COMPUTED_VALUE"""),"RUMAH MUZAKKI")</f>
        <v>RUMAH MUZAKKI</v>
      </c>
      <c r="D5565" s="186">
        <f>IFERROR(__xludf.DUMMYFUNCTION("""COMPUTED_VALUE"""),20.0)</f>
        <v>20</v>
      </c>
    </row>
    <row r="5566">
      <c r="A5566" s="178" t="str">
        <f>IFERROR(__xludf.DUMMYFUNCTION("""COMPUTED_VALUE"""),"ITBISA-IC-NE555P-DIP8")</f>
        <v>ITBISA-IC-NE555P-DIP8</v>
      </c>
      <c r="B5566" s="266">
        <f>IFERROR(__xludf.DUMMYFUNCTION("""COMPUTED_VALUE"""),43758.0)</f>
        <v>43758</v>
      </c>
      <c r="C5566" s="266" t="str">
        <f>IFERROR(__xludf.DUMMYFUNCTION("""COMPUTED_VALUE"""),"RUMAH MUZAKKI")</f>
        <v>RUMAH MUZAKKI</v>
      </c>
      <c r="D5566" s="186">
        <f>IFERROR(__xludf.DUMMYFUNCTION("""COMPUTED_VALUE"""),72.0)</f>
        <v>72</v>
      </c>
    </row>
    <row r="5567">
      <c r="A5567" s="178" t="str">
        <f>IFERROR(__xludf.DUMMYFUNCTION("""COMPUTED_VALUE"""),"ITBISA-IC-NE555P-DIP8")</f>
        <v>ITBISA-IC-NE555P-DIP8</v>
      </c>
      <c r="B5567" s="266">
        <f>IFERROR(__xludf.DUMMYFUNCTION("""COMPUTED_VALUE"""),43759.0)</f>
        <v>43759</v>
      </c>
      <c r="C5567" s="266" t="str">
        <f>IFERROR(__xludf.DUMMYFUNCTION("""COMPUTED_VALUE"""),"RUMAH MUZAKKI")</f>
        <v>RUMAH MUZAKKI</v>
      </c>
      <c r="D5567" s="186">
        <f>IFERROR(__xludf.DUMMYFUNCTION("""COMPUTED_VALUE"""),50.0)</f>
        <v>50</v>
      </c>
    </row>
    <row r="5568">
      <c r="A5568" s="178" t="str">
        <f>IFERROR(__xludf.DUMMYFUNCTION("""COMPUTED_VALUE"""),"ITBISA-IC-NE555P-DIP8")</f>
        <v>ITBISA-IC-NE555P-DIP8</v>
      </c>
      <c r="B5568" s="266">
        <f>IFERROR(__xludf.DUMMYFUNCTION("""COMPUTED_VALUE"""),43763.0)</f>
        <v>43763</v>
      </c>
      <c r="C5568" s="266" t="str">
        <f>IFERROR(__xludf.DUMMYFUNCTION("""COMPUTED_VALUE"""),"RUMAH MUZAKKI")</f>
        <v>RUMAH MUZAKKI</v>
      </c>
      <c r="D5568" s="186">
        <f>IFERROR(__xludf.DUMMYFUNCTION("""COMPUTED_VALUE"""),25.0)</f>
        <v>25</v>
      </c>
    </row>
    <row r="5569">
      <c r="A5569" s="178" t="str">
        <f>IFERROR(__xludf.DUMMYFUNCTION("""COMPUTED_VALUE"""),"ITBISA-IC-NE555P-DIP8")</f>
        <v>ITBISA-IC-NE555P-DIP8</v>
      </c>
      <c r="B5569" s="266">
        <f>IFERROR(__xludf.DUMMYFUNCTION("""COMPUTED_VALUE"""),43768.0)</f>
        <v>43768</v>
      </c>
      <c r="C5569" s="266" t="str">
        <f>IFERROR(__xludf.DUMMYFUNCTION("""COMPUTED_VALUE"""),"RUMAH MUZAKKI")</f>
        <v>RUMAH MUZAKKI</v>
      </c>
      <c r="D5569" s="186">
        <f>IFERROR(__xludf.DUMMYFUNCTION("""COMPUTED_VALUE"""),50.0)</f>
        <v>50</v>
      </c>
    </row>
    <row r="5570">
      <c r="A5570" s="178" t="str">
        <f>IFERROR(__xludf.DUMMYFUNCTION("""COMPUTED_VALUE"""),"ITBISA-IC-NE555P-DIP8")</f>
        <v>ITBISA-IC-NE555P-DIP8</v>
      </c>
      <c r="B5570" s="266">
        <f>IFERROR(__xludf.DUMMYFUNCTION("""COMPUTED_VALUE"""),43769.0)</f>
        <v>43769</v>
      </c>
      <c r="C5570" s="266" t="str">
        <f>IFERROR(__xludf.DUMMYFUNCTION("""COMPUTED_VALUE"""),"RUMAH MUZAKKI")</f>
        <v>RUMAH MUZAKKI</v>
      </c>
      <c r="D5570" s="186">
        <f>IFERROR(__xludf.DUMMYFUNCTION("""COMPUTED_VALUE"""),10.0)</f>
        <v>10</v>
      </c>
    </row>
    <row r="5571">
      <c r="A5571" s="178" t="str">
        <f>IFERROR(__xludf.DUMMYFUNCTION("""COMPUTED_VALUE"""),"ITBISA-IC-NE555P-DIP8")</f>
        <v>ITBISA-IC-NE555P-DIP8</v>
      </c>
      <c r="B5571" s="266">
        <f>IFERROR(__xludf.DUMMYFUNCTION("""COMPUTED_VALUE"""),43777.0)</f>
        <v>43777</v>
      </c>
      <c r="C5571" s="266" t="str">
        <f>IFERROR(__xludf.DUMMYFUNCTION("""COMPUTED_VALUE"""),"RUMAH MUZAKKI")</f>
        <v>RUMAH MUZAKKI</v>
      </c>
      <c r="D5571" s="186">
        <f>IFERROR(__xludf.DUMMYFUNCTION("""COMPUTED_VALUE"""),200.0)</f>
        <v>200</v>
      </c>
    </row>
    <row r="5572">
      <c r="A5572" s="178" t="str">
        <f>IFERROR(__xludf.DUMMYFUNCTION("""COMPUTED_VALUE"""),"ITBISA-IC-NE555P-DIP8")</f>
        <v>ITBISA-IC-NE555P-DIP8</v>
      </c>
      <c r="B5572" s="266">
        <f>IFERROR(__xludf.DUMMYFUNCTION("""COMPUTED_VALUE"""),43785.0)</f>
        <v>43785</v>
      </c>
      <c r="C5572" s="266" t="str">
        <f>IFERROR(__xludf.DUMMYFUNCTION("""COMPUTED_VALUE"""),"RUMAH MUZAKKI")</f>
        <v>RUMAH MUZAKKI</v>
      </c>
      <c r="D5572" s="186">
        <f>IFERROR(__xludf.DUMMYFUNCTION("""COMPUTED_VALUE"""),20.0)</f>
        <v>20</v>
      </c>
    </row>
    <row r="5573">
      <c r="A5573" s="178" t="str">
        <f>IFERROR(__xludf.DUMMYFUNCTION("""COMPUTED_VALUE"""),"ITBISA-IC-NE555P-DIP8")</f>
        <v>ITBISA-IC-NE555P-DIP8</v>
      </c>
      <c r="B5573" s="266">
        <f>IFERROR(__xludf.DUMMYFUNCTION("""COMPUTED_VALUE"""),43790.0)</f>
        <v>43790</v>
      </c>
      <c r="C5573" s="266" t="str">
        <f>IFERROR(__xludf.DUMMYFUNCTION("""COMPUTED_VALUE"""),"RUMAH MUZAKKI")</f>
        <v>RUMAH MUZAKKI</v>
      </c>
      <c r="D5573" s="186">
        <f>IFERROR(__xludf.DUMMYFUNCTION("""COMPUTED_VALUE"""),40.0)</f>
        <v>40</v>
      </c>
    </row>
    <row r="5574">
      <c r="A5574" s="178" t="str">
        <f>IFERROR(__xludf.DUMMYFUNCTION("""COMPUTED_VALUE"""),"ITBISA-IC-NE555P-DIP8")</f>
        <v>ITBISA-IC-NE555P-DIP8</v>
      </c>
      <c r="B5574" s="266">
        <f>IFERROR(__xludf.DUMMYFUNCTION("""COMPUTED_VALUE"""),43798.0)</f>
        <v>43798</v>
      </c>
      <c r="C5574" s="266" t="str">
        <f>IFERROR(__xludf.DUMMYFUNCTION("""COMPUTED_VALUE"""),"RUMAH MUZAKKI")</f>
        <v>RUMAH MUZAKKI</v>
      </c>
      <c r="D5574" s="186">
        <f>IFERROR(__xludf.DUMMYFUNCTION("""COMPUTED_VALUE"""),47.0)</f>
        <v>47</v>
      </c>
    </row>
    <row r="5575">
      <c r="A5575" s="178" t="str">
        <f>IFERROR(__xludf.DUMMYFUNCTION("""COMPUTED_VALUE"""),"ITBISA-IC-NE555P-DIP8")</f>
        <v>ITBISA-IC-NE555P-DIP8</v>
      </c>
      <c r="B5575" s="266">
        <f>IFERROR(__xludf.DUMMYFUNCTION("""COMPUTED_VALUE"""),43802.0)</f>
        <v>43802</v>
      </c>
      <c r="C5575" s="266" t="str">
        <f>IFERROR(__xludf.DUMMYFUNCTION("""COMPUTED_VALUE"""),"AVRG ITB")</f>
        <v>AVRG ITB</v>
      </c>
      <c r="D5575" s="186">
        <f>IFERROR(__xludf.DUMMYFUNCTION("""COMPUTED_VALUE"""),200.0)</f>
        <v>200</v>
      </c>
    </row>
    <row r="5576">
      <c r="A5576" s="178" t="str">
        <f>IFERROR(__xludf.DUMMYFUNCTION("""COMPUTED_VALUE"""),"ITBISA-IC-NE555P-DIP8")</f>
        <v>ITBISA-IC-NE555P-DIP8</v>
      </c>
      <c r="B5576" s="266">
        <f>IFERROR(__xludf.DUMMYFUNCTION("""COMPUTED_VALUE"""),43806.0)</f>
        <v>43806</v>
      </c>
      <c r="C5576" s="266" t="str">
        <f>IFERROR(__xludf.DUMMYFUNCTION("""COMPUTED_VALUE"""),"AVRG ITB")</f>
        <v>AVRG ITB</v>
      </c>
      <c r="D5576" s="186">
        <f>IFERROR(__xludf.DUMMYFUNCTION("""COMPUTED_VALUE"""),100.0)</f>
        <v>100</v>
      </c>
    </row>
    <row r="5577">
      <c r="A5577" s="178" t="str">
        <f>IFERROR(__xludf.DUMMYFUNCTION("""COMPUTED_VALUE"""),"ITBISA-IC-NE555P-DIP8")</f>
        <v>ITBISA-IC-NE555P-DIP8</v>
      </c>
      <c r="B5577" s="266">
        <f>IFERROR(__xludf.DUMMYFUNCTION("""COMPUTED_VALUE"""),43810.0)</f>
        <v>43810</v>
      </c>
      <c r="C5577" s="266" t="str">
        <f>IFERROR(__xludf.DUMMYFUNCTION("""COMPUTED_VALUE"""),"AVRG ITB")</f>
        <v>AVRG ITB</v>
      </c>
      <c r="D5577" s="186">
        <f>IFERROR(__xludf.DUMMYFUNCTION("""COMPUTED_VALUE"""),50.0)</f>
        <v>50</v>
      </c>
    </row>
    <row r="5578">
      <c r="A5578" s="178" t="str">
        <f>IFERROR(__xludf.DUMMYFUNCTION("""COMPUTED_VALUE"""),"ITBISA-IC-NE555P-DIP8")</f>
        <v>ITBISA-IC-NE555P-DIP8</v>
      </c>
      <c r="B5578" s="266">
        <f>IFERROR(__xludf.DUMMYFUNCTION("""COMPUTED_VALUE"""),43815.0)</f>
        <v>43815</v>
      </c>
      <c r="C5578" s="266" t="str">
        <f>IFERROR(__xludf.DUMMYFUNCTION("""COMPUTED_VALUE"""),"AVRG ITB")</f>
        <v>AVRG ITB</v>
      </c>
      <c r="D5578" s="186">
        <f>IFERROR(__xludf.DUMMYFUNCTION("""COMPUTED_VALUE"""),50.0)</f>
        <v>50</v>
      </c>
    </row>
    <row r="5579">
      <c r="A5579" s="178" t="str">
        <f>IFERROR(__xludf.DUMMYFUNCTION("""COMPUTED_VALUE"""),"ITBISA-IC-NE555P-DIP8")</f>
        <v>ITBISA-IC-NE555P-DIP8</v>
      </c>
      <c r="B5579" s="266">
        <f>IFERROR(__xludf.DUMMYFUNCTION("""COMPUTED_VALUE"""),43821.0)</f>
        <v>43821</v>
      </c>
      <c r="C5579" s="266" t="str">
        <f>IFERROR(__xludf.DUMMYFUNCTION("""COMPUTED_VALUE"""),"AVRG ITB")</f>
        <v>AVRG ITB</v>
      </c>
      <c r="D5579" s="186">
        <f>IFERROR(__xludf.DUMMYFUNCTION("""COMPUTED_VALUE"""),50.0)</f>
        <v>50</v>
      </c>
    </row>
    <row r="5580">
      <c r="A5580" s="178" t="str">
        <f>IFERROR(__xludf.DUMMYFUNCTION("""COMPUTED_VALUE"""),"ITBISA-IC-NE555P-DIP8")</f>
        <v>ITBISA-IC-NE555P-DIP8</v>
      </c>
      <c r="B5580" s="266">
        <f>IFERROR(__xludf.DUMMYFUNCTION("""COMPUTED_VALUE"""),43825.0)</f>
        <v>43825</v>
      </c>
      <c r="C5580" s="266" t="str">
        <f>IFERROR(__xludf.DUMMYFUNCTION("""COMPUTED_VALUE"""),"AVRG ITB")</f>
        <v>AVRG ITB</v>
      </c>
      <c r="D5580" s="186">
        <f>IFERROR(__xludf.DUMMYFUNCTION("""COMPUTED_VALUE"""),100.0)</f>
        <v>100</v>
      </c>
    </row>
    <row r="5581">
      <c r="A5581" s="178" t="str">
        <f>IFERROR(__xludf.DUMMYFUNCTION("""COMPUTED_VALUE"""),"ITBISA-IC-NE555P-DIP8")</f>
        <v>ITBISA-IC-NE555P-DIP8</v>
      </c>
      <c r="B5581" s="266">
        <f>IFERROR(__xludf.DUMMYFUNCTION("""COMPUTED_VALUE"""),43825.0)</f>
        <v>43825</v>
      </c>
      <c r="C5581" s="266" t="str">
        <f>IFERROR(__xludf.DUMMYFUNCTION("""COMPUTED_VALUE"""),"AVRG ITB")</f>
        <v>AVRG ITB</v>
      </c>
      <c r="D5581" s="186">
        <f>IFERROR(__xludf.DUMMYFUNCTION("""COMPUTED_VALUE"""),300.0)</f>
        <v>300</v>
      </c>
    </row>
    <row r="5582">
      <c r="A5582" s="178" t="str">
        <f>IFERROR(__xludf.DUMMYFUNCTION("""COMPUTED_VALUE"""),"ITBISA-IC-NE555P-DIP8")</f>
        <v>ITBISA-IC-NE555P-DIP8</v>
      </c>
      <c r="B5582" s="266">
        <f>IFERROR(__xludf.DUMMYFUNCTION("""COMPUTED_VALUE"""),43832.0)</f>
        <v>43832</v>
      </c>
      <c r="C5582" s="266" t="str">
        <f>IFERROR(__xludf.DUMMYFUNCTION("""COMPUTED_VALUE"""),"AVRG ITB")</f>
        <v>AVRG ITB</v>
      </c>
      <c r="D5582" s="186">
        <f>IFERROR(__xludf.DUMMYFUNCTION("""COMPUTED_VALUE"""),10.0)</f>
        <v>10</v>
      </c>
    </row>
    <row r="5583">
      <c r="A5583" s="178" t="str">
        <f>IFERROR(__xludf.DUMMYFUNCTION("""COMPUTED_VALUE"""),"ITBISA-IC-NE555P-DIP8")</f>
        <v>ITBISA-IC-NE555P-DIP8</v>
      </c>
      <c r="B5583" s="266">
        <f>IFERROR(__xludf.DUMMYFUNCTION("""COMPUTED_VALUE"""),43839.0)</f>
        <v>43839</v>
      </c>
      <c r="C5583" s="266" t="str">
        <f>IFERROR(__xludf.DUMMYFUNCTION("""COMPUTED_VALUE"""),"AVRG ITB")</f>
        <v>AVRG ITB</v>
      </c>
      <c r="D5583" s="186">
        <f>IFERROR(__xludf.DUMMYFUNCTION("""COMPUTED_VALUE"""),70.0)</f>
        <v>70</v>
      </c>
    </row>
    <row r="5584">
      <c r="A5584" s="178" t="str">
        <f>IFERROR(__xludf.DUMMYFUNCTION("""COMPUTED_VALUE"""),"ITBISA-IC-NE555P-DIP8")</f>
        <v>ITBISA-IC-NE555P-DIP8</v>
      </c>
      <c r="B5584" s="266">
        <f>IFERROR(__xludf.DUMMYFUNCTION("""COMPUTED_VALUE"""),43849.0)</f>
        <v>43849</v>
      </c>
      <c r="C5584" s="266" t="str">
        <f>IFERROR(__xludf.DUMMYFUNCTION("""COMPUTED_VALUE"""),"AVRG ITB")</f>
        <v>AVRG ITB</v>
      </c>
      <c r="D5584" s="186">
        <f>IFERROR(__xludf.DUMMYFUNCTION("""COMPUTED_VALUE"""),5.0)</f>
        <v>5</v>
      </c>
    </row>
    <row r="5585">
      <c r="A5585" s="178" t="str">
        <f>IFERROR(__xludf.DUMMYFUNCTION("""COMPUTED_VALUE"""),"ITBISA-IC-NE555P-DIP8")</f>
        <v>ITBISA-IC-NE555P-DIP8</v>
      </c>
      <c r="B5585" s="266">
        <f>IFERROR(__xludf.DUMMYFUNCTION("""COMPUTED_VALUE"""),43879.0)</f>
        <v>43879</v>
      </c>
      <c r="C5585" s="266" t="str">
        <f>IFERROR(__xludf.DUMMYFUNCTION("""COMPUTED_VALUE"""),"AVRG ITB")</f>
        <v>AVRG ITB</v>
      </c>
      <c r="D5585" s="186">
        <f>IFERROR(__xludf.DUMMYFUNCTION("""COMPUTED_VALUE"""),300.0)</f>
        <v>300</v>
      </c>
    </row>
    <row r="5586">
      <c r="A5586" s="178" t="str">
        <f>IFERROR(__xludf.DUMMYFUNCTION("""COMPUTED_VALUE"""),"ITBISA-IC-NE555P-DIP8")</f>
        <v>ITBISA-IC-NE555P-DIP8</v>
      </c>
      <c r="B5586" s="266">
        <f>IFERROR(__xludf.DUMMYFUNCTION("""COMPUTED_VALUE"""),43880.0)</f>
        <v>43880</v>
      </c>
      <c r="C5586" s="266" t="str">
        <f>IFERROR(__xludf.DUMMYFUNCTION("""COMPUTED_VALUE"""),"AVRG ITB")</f>
        <v>AVRG ITB</v>
      </c>
      <c r="D5586" s="186">
        <f>IFERROR(__xludf.DUMMYFUNCTION("""COMPUTED_VALUE"""),50.0)</f>
        <v>50</v>
      </c>
    </row>
    <row r="5587">
      <c r="A5587" s="178" t="str">
        <f>IFERROR(__xludf.DUMMYFUNCTION("""COMPUTED_VALUE"""),"ITBISA-IC-NE555P-DIP8")</f>
        <v>ITBISA-IC-NE555P-DIP8</v>
      </c>
      <c r="B5587" s="266">
        <f>IFERROR(__xludf.DUMMYFUNCTION("""COMPUTED_VALUE"""),43880.0)</f>
        <v>43880</v>
      </c>
      <c r="C5587" s="266" t="str">
        <f>IFERROR(__xludf.DUMMYFUNCTION("""COMPUTED_VALUE"""),"AVRG ITB")</f>
        <v>AVRG ITB</v>
      </c>
      <c r="D5587" s="186">
        <f>IFERROR(__xludf.DUMMYFUNCTION("""COMPUTED_VALUE"""),68.0)</f>
        <v>68</v>
      </c>
    </row>
    <row r="5588">
      <c r="A5588" s="178" t="str">
        <f>IFERROR(__xludf.DUMMYFUNCTION("""COMPUTED_VALUE"""),"ITBISA-IC-NE555P-DIP8")</f>
        <v>ITBISA-IC-NE555P-DIP8</v>
      </c>
      <c r="B5588" s="266">
        <f>IFERROR(__xludf.DUMMYFUNCTION("""COMPUTED_VALUE"""),43888.0)</f>
        <v>43888</v>
      </c>
      <c r="C5588" s="266" t="str">
        <f>IFERROR(__xludf.DUMMYFUNCTION("""COMPUTED_VALUE"""),"AVRG ITB")</f>
        <v>AVRG ITB</v>
      </c>
      <c r="D5588" s="186">
        <f>IFERROR(__xludf.DUMMYFUNCTION("""COMPUTED_VALUE"""),150.0)</f>
        <v>150</v>
      </c>
    </row>
    <row r="5589">
      <c r="A5589" s="178" t="str">
        <f>IFERROR(__xludf.DUMMYFUNCTION("""COMPUTED_VALUE"""),"ITBISA-IC-NE555P-DIP8")</f>
        <v>ITBISA-IC-NE555P-DIP8</v>
      </c>
      <c r="B5589" s="266">
        <f>IFERROR(__xludf.DUMMYFUNCTION("""COMPUTED_VALUE"""),43891.0)</f>
        <v>43891</v>
      </c>
      <c r="C5589" s="266" t="str">
        <f>IFERROR(__xludf.DUMMYFUNCTION("""COMPUTED_VALUE"""),"AVRG ITB")</f>
        <v>AVRG ITB</v>
      </c>
      <c r="D5589" s="186">
        <f>IFERROR(__xludf.DUMMYFUNCTION("""COMPUTED_VALUE"""),30.0)</f>
        <v>30</v>
      </c>
    </row>
    <row r="5590">
      <c r="A5590" s="178" t="str">
        <f>IFERROR(__xludf.DUMMYFUNCTION("""COMPUTED_VALUE"""),"ITBISA-IC-NE555P-DIP8")</f>
        <v>ITBISA-IC-NE555P-DIP8</v>
      </c>
      <c r="B5590" s="266">
        <f>IFERROR(__xludf.DUMMYFUNCTION("""COMPUTED_VALUE"""),43930.0)</f>
        <v>43930</v>
      </c>
      <c r="C5590" s="266" t="str">
        <f>IFERROR(__xludf.DUMMYFUNCTION("""COMPUTED_VALUE"""),"KAETOBO RESIDENCE")</f>
        <v>KAETOBO RESIDENCE</v>
      </c>
      <c r="D5590" s="186">
        <f>IFERROR(__xludf.DUMMYFUNCTION("""COMPUTED_VALUE"""),200.0)</f>
        <v>200</v>
      </c>
    </row>
    <row r="5591">
      <c r="A5591" s="178" t="str">
        <f>IFERROR(__xludf.DUMMYFUNCTION("""COMPUTED_VALUE"""),"ITBISA-IC-NE555P-DIP8")</f>
        <v>ITBISA-IC-NE555P-DIP8</v>
      </c>
      <c r="B5591" s="266">
        <f>IFERROR(__xludf.DUMMYFUNCTION("""COMPUTED_VALUE"""),43955.0)</f>
        <v>43955</v>
      </c>
      <c r="C5591" s="266" t="str">
        <f>IFERROR(__xludf.DUMMYFUNCTION("""COMPUTED_VALUE"""),"KAETOBO RESIDENCE")</f>
        <v>KAETOBO RESIDENCE</v>
      </c>
      <c r="D5591" s="186">
        <f>IFERROR(__xludf.DUMMYFUNCTION("""COMPUTED_VALUE"""),50.0)</f>
        <v>50</v>
      </c>
    </row>
    <row r="5592">
      <c r="A5592" s="178" t="str">
        <f>IFERROR(__xludf.DUMMYFUNCTION("""COMPUTED_VALUE"""),"ITBISA-IC-NE555P-DIP8")</f>
        <v>ITBISA-IC-NE555P-DIP8</v>
      </c>
      <c r="B5592" s="266">
        <f>IFERROR(__xludf.DUMMYFUNCTION("""COMPUTED_VALUE"""),43963.0)</f>
        <v>43963</v>
      </c>
      <c r="C5592" s="266" t="str">
        <f>IFERROR(__xludf.DUMMYFUNCTION("""COMPUTED_VALUE"""),"KAETOBO RESIDENCE")</f>
        <v>KAETOBO RESIDENCE</v>
      </c>
      <c r="D5592" s="186">
        <f>IFERROR(__xludf.DUMMYFUNCTION("""COMPUTED_VALUE"""),25.0)</f>
        <v>25</v>
      </c>
    </row>
    <row r="5593">
      <c r="A5593" s="178" t="str">
        <f>IFERROR(__xludf.DUMMYFUNCTION("""COMPUTED_VALUE"""),"ITBISA-IC-NE555P-DIP8")</f>
        <v>ITBISA-IC-NE555P-DIP8</v>
      </c>
      <c r="B5593" s="266">
        <f>IFERROR(__xludf.DUMMYFUNCTION("""COMPUTED_VALUE"""),43965.0)</f>
        <v>43965</v>
      </c>
      <c r="C5593" s="266" t="str">
        <f>IFERROR(__xludf.DUMMYFUNCTION("""COMPUTED_VALUE"""),"KAETOBO RESIDENCE")</f>
        <v>KAETOBO RESIDENCE</v>
      </c>
      <c r="D5593" s="186">
        <f>IFERROR(__xludf.DUMMYFUNCTION("""COMPUTED_VALUE"""),425.0)</f>
        <v>425</v>
      </c>
    </row>
    <row r="5594">
      <c r="A5594" s="178" t="str">
        <f>IFERROR(__xludf.DUMMYFUNCTION("""COMPUTED_VALUE"""),"ITBISA-IC-NE555P-DIP8")</f>
        <v>ITBISA-IC-NE555P-DIP8</v>
      </c>
      <c r="B5594" s="266">
        <f>IFERROR(__xludf.DUMMYFUNCTION("""COMPUTED_VALUE"""),43968.0)</f>
        <v>43968</v>
      </c>
      <c r="C5594" s="266" t="str">
        <f>IFERROR(__xludf.DUMMYFUNCTION("""COMPUTED_VALUE"""),"KAETOBO RESIDENCE")</f>
        <v>KAETOBO RESIDENCE</v>
      </c>
      <c r="D5594" s="186">
        <f>IFERROR(__xludf.DUMMYFUNCTION("""COMPUTED_VALUE"""),220.0)</f>
        <v>220</v>
      </c>
    </row>
    <row r="5595">
      <c r="A5595" s="178" t="str">
        <f>IFERROR(__xludf.DUMMYFUNCTION("""COMPUTED_VALUE"""),"ITBISA-IC-NE555P-DIP8")</f>
        <v>ITBISA-IC-NE555P-DIP8</v>
      </c>
      <c r="B5595" s="266">
        <f>IFERROR(__xludf.DUMMYFUNCTION("""COMPUTED_VALUE"""),43979.0)</f>
        <v>43979</v>
      </c>
      <c r="C5595" s="266" t="str">
        <f>IFERROR(__xludf.DUMMYFUNCTION("""COMPUTED_VALUE"""),"KAETOBO RESIDENCE")</f>
        <v>KAETOBO RESIDENCE</v>
      </c>
      <c r="D5595" s="186">
        <f>IFERROR(__xludf.DUMMYFUNCTION("""COMPUTED_VALUE"""),15.0)</f>
        <v>15</v>
      </c>
    </row>
    <row r="5596">
      <c r="A5596" s="178" t="str">
        <f>IFERROR(__xludf.DUMMYFUNCTION("""COMPUTED_VALUE"""),"ITBISA-IC-NE555P-DIP8")</f>
        <v>ITBISA-IC-NE555P-DIP8</v>
      </c>
      <c r="B5596" s="266">
        <f>IFERROR(__xludf.DUMMYFUNCTION("""COMPUTED_VALUE"""),44000.0)</f>
        <v>44000</v>
      </c>
      <c r="C5596" s="266" t="str">
        <f>IFERROR(__xludf.DUMMYFUNCTION("""COMPUTED_VALUE"""),"KAETOBO RESIDENCE")</f>
        <v>KAETOBO RESIDENCE</v>
      </c>
      <c r="D5596" s="186">
        <f>IFERROR(__xludf.DUMMYFUNCTION("""COMPUTED_VALUE"""),200.0)</f>
        <v>200</v>
      </c>
    </row>
    <row r="5597">
      <c r="A5597" s="178" t="str">
        <f>IFERROR(__xludf.DUMMYFUNCTION("""COMPUTED_VALUE"""),"ITBISA-IC-NE555P-DIP8")</f>
        <v>ITBISA-IC-NE555P-DIP8</v>
      </c>
      <c r="B5597" s="266">
        <f>IFERROR(__xludf.DUMMYFUNCTION("""COMPUTED_VALUE"""),44002.0)</f>
        <v>44002</v>
      </c>
      <c r="C5597" s="266" t="str">
        <f>IFERROR(__xludf.DUMMYFUNCTION("""COMPUTED_VALUE"""),"KAETOBO RESIDENCE")</f>
        <v>KAETOBO RESIDENCE</v>
      </c>
      <c r="D5597" s="186">
        <f>IFERROR(__xludf.DUMMYFUNCTION("""COMPUTED_VALUE"""),14.0)</f>
        <v>14</v>
      </c>
    </row>
    <row r="5598">
      <c r="A5598" s="178" t="str">
        <f>IFERROR(__xludf.DUMMYFUNCTION("""COMPUTED_VALUE"""),"ITBISA-IC-NE555P-DIP8")</f>
        <v>ITBISA-IC-NE555P-DIP8</v>
      </c>
      <c r="B5598" s="266">
        <f>IFERROR(__xludf.DUMMYFUNCTION("""COMPUTED_VALUE"""),44005.0)</f>
        <v>44005</v>
      </c>
      <c r="C5598" s="266" t="str">
        <f>IFERROR(__xludf.DUMMYFUNCTION("""COMPUTED_VALUE"""),"KAETOBO RESIDENCE")</f>
        <v>KAETOBO RESIDENCE</v>
      </c>
      <c r="D5598" s="186">
        <f>IFERROR(__xludf.DUMMYFUNCTION("""COMPUTED_VALUE"""),250.0)</f>
        <v>250</v>
      </c>
    </row>
    <row r="5599">
      <c r="A5599" s="178" t="str">
        <f>IFERROR(__xludf.DUMMYFUNCTION("""COMPUTED_VALUE"""),"ITBISA-IC-NE555P-DIP8")</f>
        <v>ITBISA-IC-NE555P-DIP8</v>
      </c>
      <c r="B5599" s="266">
        <f>IFERROR(__xludf.DUMMYFUNCTION("""COMPUTED_VALUE"""),44027.0)</f>
        <v>44027</v>
      </c>
      <c r="C5599" s="266" t="str">
        <f>IFERROR(__xludf.DUMMYFUNCTION("""COMPUTED_VALUE"""),"KAETOBO RESIDENCE")</f>
        <v>KAETOBO RESIDENCE</v>
      </c>
      <c r="D5599" s="186">
        <f>IFERROR(__xludf.DUMMYFUNCTION("""COMPUTED_VALUE"""),50.0)</f>
        <v>50</v>
      </c>
    </row>
    <row r="5600">
      <c r="A5600" s="178" t="str">
        <f>IFERROR(__xludf.DUMMYFUNCTION("""COMPUTED_VALUE"""),"ITBISA-IC-NE555P-DIP8")</f>
        <v>ITBISA-IC-NE555P-DIP8</v>
      </c>
      <c r="B5600" s="266">
        <f>IFERROR(__xludf.DUMMYFUNCTION("""COMPUTED_VALUE"""),44027.0)</f>
        <v>44027</v>
      </c>
      <c r="C5600" s="266" t="str">
        <f>IFERROR(__xludf.DUMMYFUNCTION("""COMPUTED_VALUE"""),"KAETOBO RESIDENCE")</f>
        <v>KAETOBO RESIDENCE</v>
      </c>
      <c r="D5600" s="186">
        <f>IFERROR(__xludf.DUMMYFUNCTION("""COMPUTED_VALUE"""),200.0)</f>
        <v>200</v>
      </c>
    </row>
    <row r="5601">
      <c r="A5601" s="178" t="str">
        <f>IFERROR(__xludf.DUMMYFUNCTION("""COMPUTED_VALUE"""),"ITBISA-IC-NE555P-DIP8")</f>
        <v>ITBISA-IC-NE555P-DIP8</v>
      </c>
      <c r="B5601" s="266">
        <f>IFERROR(__xludf.DUMMYFUNCTION("""COMPUTED_VALUE"""),44041.0)</f>
        <v>44041</v>
      </c>
      <c r="C5601" s="266" t="str">
        <f>IFERROR(__xludf.DUMMYFUNCTION("""COMPUTED_VALUE"""),"KAETOBO RESIDENCE")</f>
        <v>KAETOBO RESIDENCE</v>
      </c>
      <c r="D5601" s="186">
        <f>IFERROR(__xludf.DUMMYFUNCTION("""COMPUTED_VALUE"""),100.0)</f>
        <v>100</v>
      </c>
    </row>
    <row r="5602">
      <c r="A5602" s="178" t="str">
        <f>IFERROR(__xludf.DUMMYFUNCTION("""COMPUTED_VALUE"""),"ITBISA-IC-NE555P-DIP8")</f>
        <v>ITBISA-IC-NE555P-DIP8</v>
      </c>
      <c r="B5602" s="266">
        <f>IFERROR(__xludf.DUMMYFUNCTION("""COMPUTED_VALUE"""),44042.0)</f>
        <v>44042</v>
      </c>
      <c r="C5602" s="266" t="str">
        <f>IFERROR(__xludf.DUMMYFUNCTION("""COMPUTED_VALUE"""),"KAETOBO RESIDENCE")</f>
        <v>KAETOBO RESIDENCE</v>
      </c>
      <c r="D5602" s="186">
        <f>IFERROR(__xludf.DUMMYFUNCTION("""COMPUTED_VALUE"""),81.0)</f>
        <v>81</v>
      </c>
    </row>
    <row r="5603">
      <c r="A5603" s="178" t="str">
        <f>IFERROR(__xludf.DUMMYFUNCTION("""COMPUTED_VALUE"""),"ITBISA-IC-NE555P-DIP8")</f>
        <v>ITBISA-IC-NE555P-DIP8</v>
      </c>
      <c r="B5603" s="266">
        <f>IFERROR(__xludf.DUMMYFUNCTION("""COMPUTED_VALUE"""),44042.0)</f>
        <v>44042</v>
      </c>
      <c r="C5603" s="266" t="str">
        <f>IFERROR(__xludf.DUMMYFUNCTION("""COMPUTED_VALUE"""),"KAETOBO RESIDENCE")</f>
        <v>KAETOBO RESIDENCE</v>
      </c>
      <c r="D5603" s="186">
        <f>IFERROR(__xludf.DUMMYFUNCTION("""COMPUTED_VALUE"""),200.0)</f>
        <v>200</v>
      </c>
    </row>
    <row r="5604">
      <c r="A5604" s="178" t="str">
        <f>IFERROR(__xludf.DUMMYFUNCTION("""COMPUTED_VALUE"""),"ITBISA-IC-NE555P-DIP8")</f>
        <v>ITBISA-IC-NE555P-DIP8</v>
      </c>
      <c r="B5604" s="266">
        <f>IFERROR(__xludf.DUMMYFUNCTION("""COMPUTED_VALUE"""),44058.0)</f>
        <v>44058</v>
      </c>
      <c r="C5604" s="266" t="str">
        <f>IFERROR(__xludf.DUMMYFUNCTION("""COMPUTED_VALUE"""),"KOST SRITUNGGAL")</f>
        <v>KOST SRITUNGGAL</v>
      </c>
      <c r="D5604" s="186">
        <f>IFERROR(__xludf.DUMMYFUNCTION("""COMPUTED_VALUE"""),2.0)</f>
        <v>2</v>
      </c>
    </row>
    <row r="5605">
      <c r="A5605" s="178" t="str">
        <f>IFERROR(__xludf.DUMMYFUNCTION("""COMPUTED_VALUE"""),"ITBISA-IC-NE555P-DIP8")</f>
        <v>ITBISA-IC-NE555P-DIP8</v>
      </c>
      <c r="B5605" s="266">
        <f>IFERROR(__xludf.DUMMYFUNCTION("""COMPUTED_VALUE"""),44060.0)</f>
        <v>44060</v>
      </c>
      <c r="C5605" s="266" t="str">
        <f>IFERROR(__xludf.DUMMYFUNCTION("""COMPUTED_VALUE"""),"KOST SRITUNGGAL")</f>
        <v>KOST SRITUNGGAL</v>
      </c>
      <c r="D5605" s="186">
        <f>IFERROR(__xludf.DUMMYFUNCTION("""COMPUTED_VALUE"""),2.0)</f>
        <v>2</v>
      </c>
    </row>
    <row r="5606">
      <c r="A5606" s="178" t="str">
        <f>IFERROR(__xludf.DUMMYFUNCTION("""COMPUTED_VALUE"""),"ITBISA-IC-NE555P-DIP8")</f>
        <v>ITBISA-IC-NE555P-DIP8</v>
      </c>
      <c r="B5606" s="266">
        <f>IFERROR(__xludf.DUMMYFUNCTION("""COMPUTED_VALUE"""),44065.0)</f>
        <v>44065</v>
      </c>
      <c r="C5606" s="266" t="str">
        <f>IFERROR(__xludf.DUMMYFUNCTION("""COMPUTED_VALUE"""),"KOST SRITUNGGAL")</f>
        <v>KOST SRITUNGGAL</v>
      </c>
      <c r="D5606" s="186">
        <f>IFERROR(__xludf.DUMMYFUNCTION("""COMPUTED_VALUE"""),30.0)</f>
        <v>30</v>
      </c>
    </row>
    <row r="5607">
      <c r="A5607" s="178" t="str">
        <f>IFERROR(__xludf.DUMMYFUNCTION("""COMPUTED_VALUE"""),"ITBISA-IC-NE555P-DIP8")</f>
        <v>ITBISA-IC-NE555P-DIP8</v>
      </c>
      <c r="B5607" s="266">
        <f>IFERROR(__xludf.DUMMYFUNCTION("""COMPUTED_VALUE"""),44067.0)</f>
        <v>44067</v>
      </c>
      <c r="C5607" s="266" t="str">
        <f>IFERROR(__xludf.DUMMYFUNCTION("""COMPUTED_VALUE"""),"KOST SRITUNGGAL")</f>
        <v>KOST SRITUNGGAL</v>
      </c>
      <c r="D5607" s="186">
        <f>IFERROR(__xludf.DUMMYFUNCTION("""COMPUTED_VALUE"""),200.0)</f>
        <v>200</v>
      </c>
    </row>
    <row r="5608">
      <c r="A5608" s="178" t="str">
        <f>IFERROR(__xludf.DUMMYFUNCTION("""COMPUTED_VALUE"""),"ITBISA-IC-NE555P-DIP8")</f>
        <v>ITBISA-IC-NE555P-DIP8</v>
      </c>
      <c r="B5608" s="266">
        <f>IFERROR(__xludf.DUMMYFUNCTION("""COMPUTED_VALUE"""),44068.0)</f>
        <v>44068</v>
      </c>
      <c r="C5608" s="266" t="str">
        <f>IFERROR(__xludf.DUMMYFUNCTION("""COMPUTED_VALUE"""),"KOST SRITUNGGAL")</f>
        <v>KOST SRITUNGGAL</v>
      </c>
      <c r="D5608" s="186">
        <f>IFERROR(__xludf.DUMMYFUNCTION("""COMPUTED_VALUE"""),50.0)</f>
        <v>50</v>
      </c>
    </row>
    <row r="5609">
      <c r="A5609" s="178" t="str">
        <f>IFERROR(__xludf.DUMMYFUNCTION("""COMPUTED_VALUE"""),"ITBISA-IC-NE555P-DIP8")</f>
        <v>ITBISA-IC-NE555P-DIP8</v>
      </c>
      <c r="B5609" s="266">
        <f>IFERROR(__xludf.DUMMYFUNCTION("""COMPUTED_VALUE"""),44071.0)</f>
        <v>44071</v>
      </c>
      <c r="C5609" s="266" t="str">
        <f>IFERROR(__xludf.DUMMYFUNCTION("""COMPUTED_VALUE"""),"KOST SRITUNGGAL")</f>
        <v>KOST SRITUNGGAL</v>
      </c>
      <c r="D5609" s="186">
        <f>IFERROR(__xludf.DUMMYFUNCTION("""COMPUTED_VALUE"""),50.0)</f>
        <v>50</v>
      </c>
    </row>
    <row r="5610">
      <c r="A5610" s="178" t="str">
        <f>IFERROR(__xludf.DUMMYFUNCTION("""COMPUTED_VALUE"""),"ITBISA-IC-NE555P-DIP8")</f>
        <v>ITBISA-IC-NE555P-DIP8</v>
      </c>
      <c r="B5610" s="266">
        <f>IFERROR(__xludf.DUMMYFUNCTION("""COMPUTED_VALUE"""),44145.0)</f>
        <v>44145</v>
      </c>
      <c r="C5610" s="266" t="str">
        <f>IFERROR(__xludf.DUMMYFUNCTION("""COMPUTED_VALUE"""),"KOST RUMAHUMI")</f>
        <v>KOST RUMAHUMI</v>
      </c>
      <c r="D5610" s="186">
        <f>IFERROR(__xludf.DUMMYFUNCTION("""COMPUTED_VALUE"""),10.0)</f>
        <v>10</v>
      </c>
    </row>
    <row r="5611">
      <c r="A5611" s="178" t="str">
        <f>IFERROR(__xludf.DUMMYFUNCTION("""COMPUTED_VALUE"""),"ITBISA-IC-NE555P-DIP8")</f>
        <v>ITBISA-IC-NE555P-DIP8</v>
      </c>
      <c r="B5611" s="266">
        <f>IFERROR(__xludf.DUMMYFUNCTION("""COMPUTED_VALUE"""),44146.0)</f>
        <v>44146</v>
      </c>
      <c r="C5611" s="266" t="str">
        <f>IFERROR(__xludf.DUMMYFUNCTION("""COMPUTED_VALUE"""),"KOST RUMAHUMI")</f>
        <v>KOST RUMAHUMI</v>
      </c>
      <c r="D5611" s="186">
        <f>IFERROR(__xludf.DUMMYFUNCTION("""COMPUTED_VALUE"""),30.0)</f>
        <v>30</v>
      </c>
    </row>
    <row r="5612">
      <c r="A5612" s="178" t="str">
        <f>IFERROR(__xludf.DUMMYFUNCTION("""COMPUTED_VALUE"""),"ITBISA-IC-NE555P-DIP8")</f>
        <v>ITBISA-IC-NE555P-DIP8</v>
      </c>
      <c r="B5612" s="266">
        <f>IFERROR(__xludf.DUMMYFUNCTION("""COMPUTED_VALUE"""),44155.0)</f>
        <v>44155</v>
      </c>
      <c r="C5612" s="266" t="str">
        <f>IFERROR(__xludf.DUMMYFUNCTION("""COMPUTED_VALUE"""),"KOST RUMAHUMI")</f>
        <v>KOST RUMAHUMI</v>
      </c>
      <c r="D5612" s="186">
        <f>IFERROR(__xludf.DUMMYFUNCTION("""COMPUTED_VALUE"""),100.0)</f>
        <v>100</v>
      </c>
    </row>
    <row r="5613">
      <c r="A5613" s="178" t="str">
        <f>IFERROR(__xludf.DUMMYFUNCTION("""COMPUTED_VALUE"""),"ITBISA-IC-NE555P-DIP8")</f>
        <v>ITBISA-IC-NE555P-DIP8</v>
      </c>
      <c r="B5613" s="266">
        <f>IFERROR(__xludf.DUMMYFUNCTION("""COMPUTED_VALUE"""),44155.0)</f>
        <v>44155</v>
      </c>
      <c r="C5613" s="266" t="str">
        <f>IFERROR(__xludf.DUMMYFUNCTION("""COMPUTED_VALUE"""),"KOST RUMAHUMI")</f>
        <v>KOST RUMAHUMI</v>
      </c>
      <c r="D5613" s="186">
        <f>IFERROR(__xludf.DUMMYFUNCTION("""COMPUTED_VALUE"""),350.0)</f>
        <v>350</v>
      </c>
    </row>
    <row r="5614">
      <c r="A5614" s="178" t="str">
        <f>IFERROR(__xludf.DUMMYFUNCTION("""COMPUTED_VALUE"""),"ITBISA-IC-NE555P-DIP8")</f>
        <v>ITBISA-IC-NE555P-DIP8</v>
      </c>
      <c r="B5614" s="266">
        <f>IFERROR(__xludf.DUMMYFUNCTION("""COMPUTED_VALUE"""),44157.0)</f>
        <v>44157</v>
      </c>
      <c r="C5614" s="266" t="str">
        <f>IFERROR(__xludf.DUMMYFUNCTION("""COMPUTED_VALUE"""),"KOST RUMAHUMI")</f>
        <v>KOST RUMAHUMI</v>
      </c>
      <c r="D5614" s="186">
        <f>IFERROR(__xludf.DUMMYFUNCTION("""COMPUTED_VALUE"""),25.0)</f>
        <v>25</v>
      </c>
    </row>
    <row r="5615">
      <c r="A5615" s="178" t="str">
        <f>IFERROR(__xludf.DUMMYFUNCTION("""COMPUTED_VALUE"""),"ITBISA-IC-NE555P-DIP8")</f>
        <v>ITBISA-IC-NE555P-DIP8</v>
      </c>
      <c r="B5615" s="266">
        <f>IFERROR(__xludf.DUMMYFUNCTION("""COMPUTED_VALUE"""),44177.0)</f>
        <v>44177</v>
      </c>
      <c r="C5615" s="266" t="str">
        <f>IFERROR(__xludf.DUMMYFUNCTION("""COMPUTED_VALUE"""),"KOST RUMAHUMI")</f>
        <v>KOST RUMAHUMI</v>
      </c>
      <c r="D5615" s="186">
        <f>IFERROR(__xludf.DUMMYFUNCTION("""COMPUTED_VALUE"""),4.0)</f>
        <v>4</v>
      </c>
    </row>
    <row r="5616">
      <c r="A5616" s="178" t="str">
        <f>IFERROR(__xludf.DUMMYFUNCTION("""COMPUTED_VALUE"""),"ITBISA-IC-NE555P-DIP8")</f>
        <v>ITBISA-IC-NE555P-DIP8</v>
      </c>
      <c r="B5616" s="266">
        <f>IFERROR(__xludf.DUMMYFUNCTION("""COMPUTED_VALUE"""),44177.0)</f>
        <v>44177</v>
      </c>
      <c r="C5616" s="266" t="str">
        <f>IFERROR(__xludf.DUMMYFUNCTION("""COMPUTED_VALUE"""),"KYAI KONTONG")</f>
        <v>KYAI KONTONG</v>
      </c>
      <c r="D5616" s="186">
        <f>IFERROR(__xludf.DUMMYFUNCTION("""COMPUTED_VALUE"""),200.0)</f>
        <v>200</v>
      </c>
    </row>
    <row r="5617">
      <c r="A5617" s="178" t="str">
        <f>IFERROR(__xludf.DUMMYFUNCTION("""COMPUTED_VALUE"""),"ITBISA-IC-NE555P-DIP8")</f>
        <v>ITBISA-IC-NE555P-DIP8</v>
      </c>
      <c r="B5617" s="266">
        <f>IFERROR(__xludf.DUMMYFUNCTION("""COMPUTED_VALUE"""),44178.0)</f>
        <v>44178</v>
      </c>
      <c r="C5617" s="266" t="str">
        <f>IFERROR(__xludf.DUMMYFUNCTION("""COMPUTED_VALUE"""),"KOST RUMAHUMI")</f>
        <v>KOST RUMAHUMI</v>
      </c>
      <c r="D5617" s="186">
        <f>IFERROR(__xludf.DUMMYFUNCTION("""COMPUTED_VALUE"""),100.0)</f>
        <v>100</v>
      </c>
    </row>
    <row r="5618">
      <c r="A5618" s="178" t="str">
        <f>IFERROR(__xludf.DUMMYFUNCTION("""COMPUTED_VALUE"""),"ITBISA-IC-NE555P-DIP8")</f>
        <v>ITBISA-IC-NE555P-DIP8</v>
      </c>
      <c r="B5618" s="266">
        <f>IFERROR(__xludf.DUMMYFUNCTION("""COMPUTED_VALUE"""),44179.0)</f>
        <v>44179</v>
      </c>
      <c r="C5618" s="266" t="str">
        <f>IFERROR(__xludf.DUMMYFUNCTION("""COMPUTED_VALUE"""),"KYAI KONTONG")</f>
        <v>KYAI KONTONG</v>
      </c>
      <c r="D5618" s="186">
        <f>IFERROR(__xludf.DUMMYFUNCTION("""COMPUTED_VALUE"""),11.0)</f>
        <v>11</v>
      </c>
    </row>
    <row r="5619">
      <c r="A5619" s="178" t="str">
        <f>IFERROR(__xludf.DUMMYFUNCTION("""COMPUTED_VALUE"""),"ITBISA-IC-NE555P-DIP8")</f>
        <v>ITBISA-IC-NE555P-DIP8</v>
      </c>
      <c r="B5619" s="266">
        <f>IFERROR(__xludf.DUMMYFUNCTION("""COMPUTED_VALUE"""),44179.0)</f>
        <v>44179</v>
      </c>
      <c r="C5619" s="266" t="str">
        <f>IFERROR(__xludf.DUMMYFUNCTION("""COMPUTED_VALUE"""),"KYAI KONTONG")</f>
        <v>KYAI KONTONG</v>
      </c>
      <c r="D5619" s="186">
        <f>IFERROR(__xludf.DUMMYFUNCTION("""COMPUTED_VALUE"""),50.0)</f>
        <v>50</v>
      </c>
    </row>
    <row r="5620">
      <c r="A5620" s="178" t="str">
        <f>IFERROR(__xludf.DUMMYFUNCTION("""COMPUTED_VALUE"""),"ITBISA-IC-NE555P-DIP8")</f>
        <v>ITBISA-IC-NE555P-DIP8</v>
      </c>
      <c r="B5620" s="266">
        <f>IFERROR(__xludf.DUMMYFUNCTION("""COMPUTED_VALUE"""),44184.0)</f>
        <v>44184</v>
      </c>
      <c r="C5620" s="266" t="str">
        <f>IFERROR(__xludf.DUMMYFUNCTION("""COMPUTED_VALUE"""),"KYAI KONTONG")</f>
        <v>KYAI KONTONG</v>
      </c>
      <c r="D5620" s="186">
        <f>IFERROR(__xludf.DUMMYFUNCTION("""COMPUTED_VALUE"""),12.0)</f>
        <v>12</v>
      </c>
    </row>
    <row r="5621">
      <c r="A5621" s="178" t="str">
        <f>IFERROR(__xludf.DUMMYFUNCTION("""COMPUTED_VALUE"""),"ITBISA-IC-NE555P-DIP8")</f>
        <v>ITBISA-IC-NE555P-DIP8</v>
      </c>
      <c r="B5621" s="266">
        <f>IFERROR(__xludf.DUMMYFUNCTION("""COMPUTED_VALUE"""),44185.0)</f>
        <v>44185</v>
      </c>
      <c r="C5621" s="266" t="str">
        <f>IFERROR(__xludf.DUMMYFUNCTION("""COMPUTED_VALUE"""),"KOST RUMAHUMI")</f>
        <v>KOST RUMAHUMI</v>
      </c>
      <c r="D5621" s="186">
        <f>IFERROR(__xludf.DUMMYFUNCTION("""COMPUTED_VALUE"""),12.0)</f>
        <v>12</v>
      </c>
    </row>
    <row r="5622">
      <c r="A5622" s="178" t="str">
        <f>IFERROR(__xludf.DUMMYFUNCTION("""COMPUTED_VALUE"""),"ITBISA-IC-NE555P-DIP8")</f>
        <v>ITBISA-IC-NE555P-DIP8</v>
      </c>
      <c r="B5622" s="266">
        <f>IFERROR(__xludf.DUMMYFUNCTION("""COMPUTED_VALUE"""),44215.0)</f>
        <v>44215</v>
      </c>
      <c r="C5622" s="266" t="str">
        <f>IFERROR(__xludf.DUMMYFUNCTION("""COMPUTED_VALUE"""),"KOST RUMAHUMI")</f>
        <v>KOST RUMAHUMI</v>
      </c>
      <c r="D5622" s="186">
        <f>IFERROR(__xludf.DUMMYFUNCTION("""COMPUTED_VALUE"""),300.0)</f>
        <v>300</v>
      </c>
    </row>
    <row r="5623">
      <c r="A5623" s="178" t="str">
        <f>IFERROR(__xludf.DUMMYFUNCTION("""COMPUTED_VALUE"""),"ITBISA-IC-NE555P-DIP8")</f>
        <v>ITBISA-IC-NE555P-DIP8</v>
      </c>
      <c r="B5623" s="266">
        <f>IFERROR(__xludf.DUMMYFUNCTION("""COMPUTED_VALUE"""),44218.0)</f>
        <v>44218</v>
      </c>
      <c r="C5623" s="266" t="str">
        <f>IFERROR(__xludf.DUMMYFUNCTION("""COMPUTED_VALUE"""),"KOST RUMAHUMI")</f>
        <v>KOST RUMAHUMI</v>
      </c>
      <c r="D5623" s="186">
        <f>IFERROR(__xludf.DUMMYFUNCTION("""COMPUTED_VALUE"""),100.0)</f>
        <v>100</v>
      </c>
    </row>
    <row r="5624">
      <c r="A5624" s="178" t="str">
        <f>IFERROR(__xludf.DUMMYFUNCTION("""COMPUTED_VALUE"""),"ITBISA-IC-NE555P-DIP8")</f>
        <v>ITBISA-IC-NE555P-DIP8</v>
      </c>
      <c r="B5624" s="266">
        <f>IFERROR(__xludf.DUMMYFUNCTION("""COMPUTED_VALUE"""),44221.0)</f>
        <v>44221</v>
      </c>
      <c r="C5624" s="266" t="str">
        <f>IFERROR(__xludf.DUMMYFUNCTION("""COMPUTED_VALUE"""),"KOST RUMAHUMI")</f>
        <v>KOST RUMAHUMI</v>
      </c>
      <c r="D5624" s="186">
        <f>IFERROR(__xludf.DUMMYFUNCTION("""COMPUTED_VALUE"""),500.0)</f>
        <v>500</v>
      </c>
    </row>
    <row r="5625">
      <c r="A5625" s="178" t="str">
        <f>IFERROR(__xludf.DUMMYFUNCTION("""COMPUTED_VALUE"""),"ITBISA-IC-NE555P-DIP8")</f>
        <v>ITBISA-IC-NE555P-DIP8</v>
      </c>
      <c r="B5625" s="266">
        <f>IFERROR(__xludf.DUMMYFUNCTION("""COMPUTED_VALUE"""),44227.0)</f>
        <v>44227</v>
      </c>
      <c r="C5625" s="266" t="str">
        <f>IFERROR(__xludf.DUMMYFUNCTION("""COMPUTED_VALUE"""),"KOST RUMAHUMI")</f>
        <v>KOST RUMAHUMI</v>
      </c>
      <c r="D5625" s="186">
        <f>IFERROR(__xludf.DUMMYFUNCTION("""COMPUTED_VALUE"""),1.0)</f>
        <v>1</v>
      </c>
    </row>
    <row r="5626">
      <c r="A5626" s="178" t="str">
        <f>IFERROR(__xludf.DUMMYFUNCTION("""COMPUTED_VALUE"""),"ITBISA-IC-NE555P-DIP8")</f>
        <v>ITBISA-IC-NE555P-DIP8</v>
      </c>
      <c r="B5626" s="266">
        <f>IFERROR(__xludf.DUMMYFUNCTION("""COMPUTED_VALUE"""),44230.0)</f>
        <v>44230</v>
      </c>
      <c r="C5626" s="266" t="str">
        <f>IFERROR(__xludf.DUMMYFUNCTION("""COMPUTED_VALUE"""),"KOST RUMAHUMI")</f>
        <v>KOST RUMAHUMI</v>
      </c>
      <c r="D5626" s="186">
        <f>IFERROR(__xludf.DUMMYFUNCTION("""COMPUTED_VALUE"""),200.0)</f>
        <v>200</v>
      </c>
    </row>
    <row r="5627">
      <c r="A5627" s="178" t="str">
        <f>IFERROR(__xludf.DUMMYFUNCTION("""COMPUTED_VALUE"""),"ITBISA-IC-NE555P-DIP8")</f>
        <v>ITBISA-IC-NE555P-DIP8</v>
      </c>
      <c r="B5627" s="266">
        <f>IFERROR(__xludf.DUMMYFUNCTION("""COMPUTED_VALUE"""),44239.0)</f>
        <v>44239</v>
      </c>
      <c r="C5627" s="266" t="str">
        <f>IFERROR(__xludf.DUMMYFUNCTION("""COMPUTED_VALUE"""),"KOST RUMAHUMI")</f>
        <v>KOST RUMAHUMI</v>
      </c>
      <c r="D5627" s="186">
        <f>IFERROR(__xludf.DUMMYFUNCTION("""COMPUTED_VALUE"""),200.0)</f>
        <v>200</v>
      </c>
    </row>
    <row r="5628">
      <c r="A5628" s="178" t="str">
        <f>IFERROR(__xludf.DUMMYFUNCTION("""COMPUTED_VALUE"""),"ITBISA-IC-NE555P-DIP8")</f>
        <v>ITBISA-IC-NE555P-DIP8</v>
      </c>
      <c r="B5628" s="266">
        <f>IFERROR(__xludf.DUMMYFUNCTION("""COMPUTED_VALUE"""),44241.0)</f>
        <v>44241</v>
      </c>
      <c r="C5628" s="266" t="str">
        <f>IFERROR(__xludf.DUMMYFUNCTION("""COMPUTED_VALUE"""),"KOST RUMAHUMI")</f>
        <v>KOST RUMAHUMI</v>
      </c>
      <c r="D5628" s="186">
        <f>IFERROR(__xludf.DUMMYFUNCTION("""COMPUTED_VALUE"""),100.0)</f>
        <v>100</v>
      </c>
    </row>
    <row r="5629">
      <c r="A5629" s="178" t="str">
        <f>IFERROR(__xludf.DUMMYFUNCTION("""COMPUTED_VALUE"""),"ITBISA-IC-NE555P-DIP8")</f>
        <v>ITBISA-IC-NE555P-DIP8</v>
      </c>
      <c r="B5629" s="266">
        <f>IFERROR(__xludf.DUMMYFUNCTION("""COMPUTED_VALUE"""),44257.0)</f>
        <v>44257</v>
      </c>
      <c r="C5629" s="266" t="str">
        <f>IFERROR(__xludf.DUMMYFUNCTION("""COMPUTED_VALUE"""),"KOST RUMAHUMI")</f>
        <v>KOST RUMAHUMI</v>
      </c>
      <c r="D5629" s="186">
        <f>IFERROR(__xludf.DUMMYFUNCTION("""COMPUTED_VALUE"""),2.0)</f>
        <v>2</v>
      </c>
    </row>
    <row r="5630">
      <c r="A5630" s="178" t="str">
        <f>IFERROR(__xludf.DUMMYFUNCTION("""COMPUTED_VALUE"""),"ITBISA-IC-NE555P-DIP8")</f>
        <v>ITBISA-IC-NE555P-DIP8</v>
      </c>
      <c r="B5630" s="266">
        <f>IFERROR(__xludf.DUMMYFUNCTION("""COMPUTED_VALUE"""),44293.0)</f>
        <v>44293</v>
      </c>
      <c r="C5630" s="266" t="str">
        <f>IFERROR(__xludf.DUMMYFUNCTION("""COMPUTED_VALUE"""),"KOST RUMAHUMI")</f>
        <v>KOST RUMAHUMI</v>
      </c>
      <c r="D5630" s="186">
        <f>IFERROR(__xludf.DUMMYFUNCTION("""COMPUTED_VALUE"""),3.0)</f>
        <v>3</v>
      </c>
    </row>
    <row r="5631">
      <c r="A5631" s="178" t="str">
        <f>IFERROR(__xludf.DUMMYFUNCTION("""COMPUTED_VALUE"""),"ITBISA-IC-NE555P-DIP8")</f>
        <v>ITBISA-IC-NE555P-DIP8</v>
      </c>
      <c r="B5631" s="266">
        <f>IFERROR(__xludf.DUMMYFUNCTION("""COMPUTED_VALUE"""),44805.0)</f>
        <v>44805</v>
      </c>
      <c r="C5631" s="266" t="str">
        <f>IFERROR(__xludf.DUMMYFUNCTION("""COMPUTED_VALUE"""),"KYAI KONTONG")</f>
        <v>KYAI KONTONG</v>
      </c>
      <c r="D5631" s="186">
        <f>IFERROR(__xludf.DUMMYFUNCTION("""COMPUTED_VALUE"""),70.0)</f>
        <v>70</v>
      </c>
    </row>
    <row r="5632">
      <c r="A5632" s="178" t="str">
        <f>IFERROR(__xludf.DUMMYFUNCTION("""COMPUTED_VALUE"""),"ITBISA-IC-NE555P-DIP8")</f>
        <v>ITBISA-IC-NE555P-DIP8</v>
      </c>
      <c r="B5632" s="266">
        <f>IFERROR(__xludf.DUMMYFUNCTION("""COMPUTED_VALUE"""),44823.0)</f>
        <v>44823</v>
      </c>
      <c r="C5632" s="266" t="str">
        <f>IFERROR(__xludf.DUMMYFUNCTION("""COMPUTED_VALUE"""),"KYAI KONTONG")</f>
        <v>KYAI KONTONG</v>
      </c>
      <c r="D5632" s="186">
        <f>IFERROR(__xludf.DUMMYFUNCTION("""COMPUTED_VALUE"""),8.0)</f>
        <v>8</v>
      </c>
    </row>
    <row r="5633">
      <c r="A5633" s="178" t="str">
        <f>IFERROR(__xludf.DUMMYFUNCTION("""COMPUTED_VALUE"""),"ITBISA-IC-NE555P-DIP8")</f>
        <v>ITBISA-IC-NE555P-DIP8</v>
      </c>
      <c r="B5633" s="266">
        <f>IFERROR(__xludf.DUMMYFUNCTION("""COMPUTED_VALUE"""),44823.0)</f>
        <v>44823</v>
      </c>
      <c r="C5633" s="266" t="str">
        <f>IFERROR(__xludf.DUMMYFUNCTION("""COMPUTED_VALUE"""),"KYAI KONTONG")</f>
        <v>KYAI KONTONG</v>
      </c>
      <c r="D5633" s="186">
        <f>IFERROR(__xludf.DUMMYFUNCTION("""COMPUTED_VALUE"""),150.0)</f>
        <v>150</v>
      </c>
    </row>
    <row r="5634">
      <c r="A5634" s="178" t="str">
        <f>IFERROR(__xludf.DUMMYFUNCTION("""COMPUTED_VALUE"""),"ITBISA-IC-NE555P-DIP8")</f>
        <v>ITBISA-IC-NE555P-DIP8</v>
      </c>
      <c r="B5634" s="266">
        <f>IFERROR(__xludf.DUMMYFUNCTION("""COMPUTED_VALUE"""),44831.0)</f>
        <v>44831</v>
      </c>
      <c r="C5634" s="266" t="str">
        <f>IFERROR(__xludf.DUMMYFUNCTION("""COMPUTED_VALUE"""),"KYAI KONTONG")</f>
        <v>KYAI KONTONG</v>
      </c>
      <c r="D5634" s="186">
        <f>IFERROR(__xludf.DUMMYFUNCTION("""COMPUTED_VALUE"""),100.0)</f>
        <v>100</v>
      </c>
    </row>
    <row r="5635">
      <c r="A5635" s="178" t="str">
        <f>IFERROR(__xludf.DUMMYFUNCTION("""COMPUTED_VALUE"""),"ITBISA-IC-NE555P-DIP8")</f>
        <v>ITBISA-IC-NE555P-DIP8</v>
      </c>
      <c r="B5635" s="266">
        <f>IFERROR(__xludf.DUMMYFUNCTION("""COMPUTED_VALUE"""),44832.0)</f>
        <v>44832</v>
      </c>
      <c r="C5635" s="266" t="str">
        <f>IFERROR(__xludf.DUMMYFUNCTION("""COMPUTED_VALUE"""),"KYAI KONTONG")</f>
        <v>KYAI KONTONG</v>
      </c>
      <c r="D5635" s="186">
        <f>IFERROR(__xludf.DUMMYFUNCTION("""COMPUTED_VALUE"""),4.0)</f>
        <v>4</v>
      </c>
    </row>
    <row r="5636">
      <c r="A5636" s="178" t="str">
        <f>IFERROR(__xludf.DUMMYFUNCTION("""COMPUTED_VALUE"""),"ITBISA-IC-NE555P-DIP8")</f>
        <v>ITBISA-IC-NE555P-DIP8</v>
      </c>
      <c r="B5636" s="266">
        <f>IFERROR(__xludf.DUMMYFUNCTION("""COMPUTED_VALUE"""),44834.0)</f>
        <v>44834</v>
      </c>
      <c r="C5636" s="266" t="str">
        <f>IFERROR(__xludf.DUMMYFUNCTION("""COMPUTED_VALUE"""),"KYAI KONTONG")</f>
        <v>KYAI KONTONG</v>
      </c>
      <c r="D5636" s="186">
        <f>IFERROR(__xludf.DUMMYFUNCTION("""COMPUTED_VALUE"""),20.0)</f>
        <v>20</v>
      </c>
    </row>
    <row r="5637">
      <c r="A5637" s="178" t="str">
        <f>IFERROR(__xludf.DUMMYFUNCTION("""COMPUTED_VALUE"""),"ITBISA-IC-NE555P-DIP8")</f>
        <v>ITBISA-IC-NE555P-DIP8</v>
      </c>
      <c r="B5637" s="266">
        <f>IFERROR(__xludf.DUMMYFUNCTION("""COMPUTED_VALUE"""),44836.0)</f>
        <v>44836</v>
      </c>
      <c r="C5637" s="266" t="str">
        <f>IFERROR(__xludf.DUMMYFUNCTION("""COMPUTED_VALUE"""),"KYAI KONTONG")</f>
        <v>KYAI KONTONG</v>
      </c>
      <c r="D5637" s="186">
        <f>IFERROR(__xludf.DUMMYFUNCTION("""COMPUTED_VALUE"""),2000.0)</f>
        <v>2000</v>
      </c>
    </row>
    <row r="5638">
      <c r="A5638" s="178" t="str">
        <f>IFERROR(__xludf.DUMMYFUNCTION("""COMPUTED_VALUE"""),"ITBISA-IC-NE555P-DIP8")</f>
        <v>ITBISA-IC-NE555P-DIP8</v>
      </c>
      <c r="B5638" s="266">
        <f>IFERROR(__xludf.DUMMYFUNCTION("""COMPUTED_VALUE"""),44836.0)</f>
        <v>44836</v>
      </c>
      <c r="C5638" s="266" t="str">
        <f>IFERROR(__xludf.DUMMYFUNCTION("""COMPUTED_VALUE"""),"KYAI KONTONG")</f>
        <v>KYAI KONTONG</v>
      </c>
      <c r="D5638" s="186">
        <f>IFERROR(__xludf.DUMMYFUNCTION("""COMPUTED_VALUE"""),4000.0)</f>
        <v>4000</v>
      </c>
    </row>
    <row r="5639">
      <c r="A5639" s="178" t="str">
        <f>IFERROR(__xludf.DUMMYFUNCTION("""COMPUTED_VALUE"""),"ITBISA-IC-NE555P-DIP8")</f>
        <v>ITBISA-IC-NE555P-DIP8</v>
      </c>
      <c r="B5639" s="266">
        <f>IFERROR(__xludf.DUMMYFUNCTION("""COMPUTED_VALUE"""),44837.0)</f>
        <v>44837</v>
      </c>
      <c r="C5639" s="266" t="str">
        <f>IFERROR(__xludf.DUMMYFUNCTION("""COMPUTED_VALUE"""),"KYAI KONTONG")</f>
        <v>KYAI KONTONG</v>
      </c>
      <c r="D5639" s="186">
        <f>IFERROR(__xludf.DUMMYFUNCTION("""COMPUTED_VALUE"""),2000.0)</f>
        <v>2000</v>
      </c>
    </row>
    <row r="5640">
      <c r="A5640" s="178" t="str">
        <f>IFERROR(__xludf.DUMMYFUNCTION("""COMPUTED_VALUE"""),"ITBISA-IC-NE555P-DIP8")</f>
        <v>ITBISA-IC-NE555P-DIP8</v>
      </c>
      <c r="B5640" s="266">
        <f>IFERROR(__xludf.DUMMYFUNCTION("""COMPUTED_VALUE"""),44839.0)</f>
        <v>44839</v>
      </c>
      <c r="C5640" s="266" t="str">
        <f>IFERROR(__xludf.DUMMYFUNCTION("""COMPUTED_VALUE"""),"KYAI KONTONG")</f>
        <v>KYAI KONTONG</v>
      </c>
      <c r="D5640" s="186">
        <f>IFERROR(__xludf.DUMMYFUNCTION("""COMPUTED_VALUE"""),30.0)</f>
        <v>30</v>
      </c>
    </row>
    <row r="5641">
      <c r="A5641" s="178" t="str">
        <f>IFERROR(__xludf.DUMMYFUNCTION("""COMPUTED_VALUE"""),"ITBISA-IC-NE555P-DIP8")</f>
        <v>ITBISA-IC-NE555P-DIP8</v>
      </c>
      <c r="B5641" s="266">
        <f>IFERROR(__xludf.DUMMYFUNCTION("""COMPUTED_VALUE"""),44842.0)</f>
        <v>44842</v>
      </c>
      <c r="C5641" s="266" t="str">
        <f>IFERROR(__xludf.DUMMYFUNCTION("""COMPUTED_VALUE"""),"KYAI KONTONG")</f>
        <v>KYAI KONTONG</v>
      </c>
      <c r="D5641" s="186">
        <f>IFERROR(__xludf.DUMMYFUNCTION("""COMPUTED_VALUE"""),270.0)</f>
        <v>270</v>
      </c>
    </row>
    <row r="5642">
      <c r="A5642" s="178" t="str">
        <f>IFERROR(__xludf.DUMMYFUNCTION("""COMPUTED_VALUE"""),"ITBISA-IC-NE555P-DIP8")</f>
        <v>ITBISA-IC-NE555P-DIP8</v>
      </c>
      <c r="B5642" s="266">
        <f>IFERROR(__xludf.DUMMYFUNCTION("""COMPUTED_VALUE"""),44844.0)</f>
        <v>44844</v>
      </c>
      <c r="C5642" s="266" t="str">
        <f>IFERROR(__xludf.DUMMYFUNCTION("""COMPUTED_VALUE"""),"KYAI KONTONG")</f>
        <v>KYAI KONTONG</v>
      </c>
      <c r="D5642" s="186">
        <f>IFERROR(__xludf.DUMMYFUNCTION("""COMPUTED_VALUE"""),10.0)</f>
        <v>10</v>
      </c>
    </row>
    <row r="5643">
      <c r="A5643" s="178" t="str">
        <f>IFERROR(__xludf.DUMMYFUNCTION("""COMPUTED_VALUE"""),"ITBISA-IC-NE555P-DIP8")</f>
        <v>ITBISA-IC-NE555P-DIP8</v>
      </c>
      <c r="B5643" s="266">
        <f>IFERROR(__xludf.DUMMYFUNCTION("""COMPUTED_VALUE"""),44846.0)</f>
        <v>44846</v>
      </c>
      <c r="C5643" s="266" t="str">
        <f>IFERROR(__xludf.DUMMYFUNCTION("""COMPUTED_VALUE"""),"KYAI KONTONG")</f>
        <v>KYAI KONTONG</v>
      </c>
      <c r="D5643" s="186">
        <f>IFERROR(__xludf.DUMMYFUNCTION("""COMPUTED_VALUE"""),13.0)</f>
        <v>13</v>
      </c>
    </row>
    <row r="5644">
      <c r="A5644" s="178" t="str">
        <f>IFERROR(__xludf.DUMMYFUNCTION("""COMPUTED_VALUE"""),"ITBISA-IC-NE555P-DIP8")</f>
        <v>ITBISA-IC-NE555P-DIP8</v>
      </c>
      <c r="B5644" s="266">
        <f>IFERROR(__xludf.DUMMYFUNCTION("""COMPUTED_VALUE"""),44847.0)</f>
        <v>44847</v>
      </c>
      <c r="C5644" s="266" t="str">
        <f>IFERROR(__xludf.DUMMYFUNCTION("""COMPUTED_VALUE"""),"KYAI KONTONG")</f>
        <v>KYAI KONTONG</v>
      </c>
      <c r="D5644" s="186">
        <f>IFERROR(__xludf.DUMMYFUNCTION("""COMPUTED_VALUE"""),35.0)</f>
        <v>35</v>
      </c>
    </row>
    <row r="5645">
      <c r="A5645" s="178" t="str">
        <f>IFERROR(__xludf.DUMMYFUNCTION("""COMPUTED_VALUE"""),"ITBISA-IC-NE555P-DIP8")</f>
        <v>ITBISA-IC-NE555P-DIP8</v>
      </c>
      <c r="B5645" s="266">
        <f>IFERROR(__xludf.DUMMYFUNCTION("""COMPUTED_VALUE"""),44850.0)</f>
        <v>44850</v>
      </c>
      <c r="C5645" s="266" t="str">
        <f>IFERROR(__xludf.DUMMYFUNCTION("""COMPUTED_VALUE"""),"KYAI KONTONG")</f>
        <v>KYAI KONTONG</v>
      </c>
      <c r="D5645" s="186">
        <f>IFERROR(__xludf.DUMMYFUNCTION("""COMPUTED_VALUE"""),10.0)</f>
        <v>10</v>
      </c>
    </row>
    <row r="5646">
      <c r="A5646" s="178" t="str">
        <f>IFERROR(__xludf.DUMMYFUNCTION("""COMPUTED_VALUE"""),"ITBISA-IC-NE555P-DIP8")</f>
        <v>ITBISA-IC-NE555P-DIP8</v>
      </c>
      <c r="B5646" s="266">
        <f>IFERROR(__xludf.DUMMYFUNCTION("""COMPUTED_VALUE"""),44855.0)</f>
        <v>44855</v>
      </c>
      <c r="C5646" s="266" t="str">
        <f>IFERROR(__xludf.DUMMYFUNCTION("""COMPUTED_VALUE"""),"KYAI KONTONG")</f>
        <v>KYAI KONTONG</v>
      </c>
      <c r="D5646" s="186">
        <f>IFERROR(__xludf.DUMMYFUNCTION("""COMPUTED_VALUE"""),290.0)</f>
        <v>290</v>
      </c>
    </row>
    <row r="5647">
      <c r="A5647" s="178" t="str">
        <f>IFERROR(__xludf.DUMMYFUNCTION("""COMPUTED_VALUE"""),"ITBISA-IC-NE555P-DIP8")</f>
        <v>ITBISA-IC-NE555P-DIP8</v>
      </c>
      <c r="B5647" s="266">
        <f>IFERROR(__xludf.DUMMYFUNCTION("""COMPUTED_VALUE"""),44890.0)</f>
        <v>44890</v>
      </c>
      <c r="C5647" s="266" t="str">
        <f>IFERROR(__xludf.DUMMYFUNCTION("""COMPUTED_VALUE"""),"KYAI KONTONG")</f>
        <v>KYAI KONTONG</v>
      </c>
      <c r="D5647" s="186">
        <f>IFERROR(__xludf.DUMMYFUNCTION("""COMPUTED_VALUE"""),10.0)</f>
        <v>10</v>
      </c>
    </row>
    <row r="5648">
      <c r="A5648" s="178" t="str">
        <f>IFERROR(__xludf.DUMMYFUNCTION("""COMPUTED_VALUE"""),"ITBISA-IC-NE555P-DIP8")</f>
        <v>ITBISA-IC-NE555P-DIP8</v>
      </c>
      <c r="B5648" s="266">
        <f>IFERROR(__xludf.DUMMYFUNCTION("""COMPUTED_VALUE"""),44891.0)</f>
        <v>44891</v>
      </c>
      <c r="C5648" s="266" t="str">
        <f>IFERROR(__xludf.DUMMYFUNCTION("""COMPUTED_VALUE"""),"KYAI KONTONG")</f>
        <v>KYAI KONTONG</v>
      </c>
      <c r="D5648" s="186">
        <f>IFERROR(__xludf.DUMMYFUNCTION("""COMPUTED_VALUE"""),2000.0)</f>
        <v>2000</v>
      </c>
    </row>
    <row r="5649">
      <c r="A5649" s="178" t="str">
        <f>IFERROR(__xludf.DUMMYFUNCTION("""COMPUTED_VALUE"""),"ITBISA-IC-NE555P-DIP8")</f>
        <v>ITBISA-IC-NE555P-DIP8</v>
      </c>
      <c r="B5649" s="266">
        <f>IFERROR(__xludf.DUMMYFUNCTION("""COMPUTED_VALUE"""),44895.0)</f>
        <v>44895</v>
      </c>
      <c r="C5649" s="266" t="str">
        <f>IFERROR(__xludf.DUMMYFUNCTION("""COMPUTED_VALUE"""),"KYAI KONTONG")</f>
        <v>KYAI KONTONG</v>
      </c>
      <c r="D5649" s="186">
        <f>IFERROR(__xludf.DUMMYFUNCTION("""COMPUTED_VALUE"""),100.0)</f>
        <v>100</v>
      </c>
    </row>
    <row r="5650">
      <c r="A5650" s="178" t="str">
        <f>IFERROR(__xludf.DUMMYFUNCTION("""COMPUTED_VALUE"""),"ITBISA-IC-NE555P-DIP8")</f>
        <v>ITBISA-IC-NE555P-DIP8</v>
      </c>
      <c r="B5650" s="266">
        <f>IFERROR(__xludf.DUMMYFUNCTION("""COMPUTED_VALUE"""),44897.0)</f>
        <v>44897</v>
      </c>
      <c r="C5650" s="266" t="str">
        <f>IFERROR(__xludf.DUMMYFUNCTION("""COMPUTED_VALUE"""),"KYAI KONTONG")</f>
        <v>KYAI KONTONG</v>
      </c>
      <c r="D5650" s="186">
        <f>IFERROR(__xludf.DUMMYFUNCTION("""COMPUTED_VALUE"""),100.0)</f>
        <v>100</v>
      </c>
    </row>
    <row r="5651">
      <c r="A5651" s="178" t="str">
        <f>IFERROR(__xludf.DUMMYFUNCTION("""COMPUTED_VALUE"""),"ITBISA-IC-NE555P-DIP8")</f>
        <v>ITBISA-IC-NE555P-DIP8</v>
      </c>
      <c r="B5651" s="266">
        <f>IFERROR(__xludf.DUMMYFUNCTION("""COMPUTED_VALUE"""),44899.0)</f>
        <v>44899</v>
      </c>
      <c r="C5651" s="266" t="str">
        <f>IFERROR(__xludf.DUMMYFUNCTION("""COMPUTED_VALUE"""),"KYAI KONTONG")</f>
        <v>KYAI KONTONG</v>
      </c>
      <c r="D5651" s="186">
        <f>IFERROR(__xludf.DUMMYFUNCTION("""COMPUTED_VALUE"""),100.0)</f>
        <v>100</v>
      </c>
    </row>
    <row r="5652">
      <c r="A5652" s="178" t="str">
        <f>IFERROR(__xludf.DUMMYFUNCTION("""COMPUTED_VALUE"""),"ITBISA-IC-NE555P-DIP8")</f>
        <v>ITBISA-IC-NE555P-DIP8</v>
      </c>
      <c r="B5652" s="266">
        <f>IFERROR(__xludf.DUMMYFUNCTION("""COMPUTED_VALUE"""),44901.0)</f>
        <v>44901</v>
      </c>
      <c r="C5652" s="266" t="str">
        <f>IFERROR(__xludf.DUMMYFUNCTION("""COMPUTED_VALUE"""),"KYAI KONTONG")</f>
        <v>KYAI KONTONG</v>
      </c>
      <c r="D5652" s="186">
        <f>IFERROR(__xludf.DUMMYFUNCTION("""COMPUTED_VALUE"""),100.0)</f>
        <v>100</v>
      </c>
    </row>
    <row r="5653">
      <c r="A5653" s="178" t="str">
        <f>IFERROR(__xludf.DUMMYFUNCTION("""COMPUTED_VALUE"""),"ITBISA-IC-NE555P-DIP8")</f>
        <v>ITBISA-IC-NE555P-DIP8</v>
      </c>
      <c r="B5653" s="266">
        <f>IFERROR(__xludf.DUMMYFUNCTION("""COMPUTED_VALUE"""),44905.0)</f>
        <v>44905</v>
      </c>
      <c r="C5653" s="266" t="str">
        <f>IFERROR(__xludf.DUMMYFUNCTION("""COMPUTED_VALUE"""),"KYAI KONTONG")</f>
        <v>KYAI KONTONG</v>
      </c>
      <c r="D5653" s="186">
        <f>IFERROR(__xludf.DUMMYFUNCTION("""COMPUTED_VALUE"""),50.0)</f>
        <v>50</v>
      </c>
    </row>
    <row r="5654">
      <c r="A5654" s="178" t="str">
        <f>IFERROR(__xludf.DUMMYFUNCTION("""COMPUTED_VALUE"""),"ITBISA-IC-NE555P-DIP8")</f>
        <v>ITBISA-IC-NE555P-DIP8</v>
      </c>
      <c r="B5654" s="266">
        <f>IFERROR(__xludf.DUMMYFUNCTION("""COMPUTED_VALUE"""),44912.0)</f>
        <v>44912</v>
      </c>
      <c r="C5654" s="266" t="str">
        <f>IFERROR(__xludf.DUMMYFUNCTION("""COMPUTED_VALUE"""),"KYAI KONTONG")</f>
        <v>KYAI KONTONG</v>
      </c>
      <c r="D5654" s="186">
        <f>IFERROR(__xludf.DUMMYFUNCTION("""COMPUTED_VALUE"""),10.0)</f>
        <v>10</v>
      </c>
    </row>
    <row r="5655">
      <c r="A5655" s="178" t="str">
        <f>IFERROR(__xludf.DUMMYFUNCTION("""COMPUTED_VALUE"""),"ITBISA-IC-NE555P-DIP8")</f>
        <v>ITBISA-IC-NE555P-DIP8</v>
      </c>
      <c r="B5655" s="266">
        <f>IFERROR(__xludf.DUMMYFUNCTION("""COMPUTED_VALUE"""),44912.0)</f>
        <v>44912</v>
      </c>
      <c r="C5655" s="266" t="str">
        <f>IFERROR(__xludf.DUMMYFUNCTION("""COMPUTED_VALUE"""),"KYAI KONTONG")</f>
        <v>KYAI KONTONG</v>
      </c>
      <c r="D5655" s="186">
        <f>IFERROR(__xludf.DUMMYFUNCTION("""COMPUTED_VALUE"""),50.0)</f>
        <v>50</v>
      </c>
    </row>
    <row r="5656">
      <c r="A5656" s="178" t="str">
        <f>IFERROR(__xludf.DUMMYFUNCTION("""COMPUTED_VALUE"""),"ITBISA-IC-NE555P-DIP8")</f>
        <v>ITBISA-IC-NE555P-DIP8</v>
      </c>
      <c r="B5656" s="266">
        <f>IFERROR(__xludf.DUMMYFUNCTION("""COMPUTED_VALUE"""),44922.0)</f>
        <v>44922</v>
      </c>
      <c r="C5656" s="266" t="str">
        <f>IFERROR(__xludf.DUMMYFUNCTION("""COMPUTED_VALUE"""),"KYAI KONTONG")</f>
        <v>KYAI KONTONG</v>
      </c>
      <c r="D5656" s="186">
        <f>IFERROR(__xludf.DUMMYFUNCTION("""COMPUTED_VALUE"""),100.0)</f>
        <v>100</v>
      </c>
    </row>
    <row r="5657">
      <c r="A5657" s="178" t="str">
        <f>IFERROR(__xludf.DUMMYFUNCTION("""COMPUTED_VALUE"""),"ITBISA-IC-NE555P-DIP8")</f>
        <v>ITBISA-IC-NE555P-DIP8</v>
      </c>
      <c r="B5657" s="266">
        <f>IFERROR(__xludf.DUMMYFUNCTION("""COMPUTED_VALUE"""),44925.0)</f>
        <v>44925</v>
      </c>
      <c r="C5657" s="266" t="str">
        <f>IFERROR(__xludf.DUMMYFUNCTION("""COMPUTED_VALUE"""),"KYAI KONTONG")</f>
        <v>KYAI KONTONG</v>
      </c>
      <c r="D5657" s="186">
        <f>IFERROR(__xludf.DUMMYFUNCTION("""COMPUTED_VALUE"""),6.0)</f>
        <v>6</v>
      </c>
    </row>
    <row r="5658">
      <c r="A5658" s="178" t="str">
        <f>IFERROR(__xludf.DUMMYFUNCTION("""COMPUTED_VALUE"""),"ITBISA-IC-NE555P-DIP8")</f>
        <v>ITBISA-IC-NE555P-DIP8</v>
      </c>
      <c r="B5658" s="266">
        <f>IFERROR(__xludf.DUMMYFUNCTION("""COMPUTED_VALUE"""),44930.0)</f>
        <v>44930</v>
      </c>
      <c r="C5658" s="266" t="str">
        <f>IFERROR(__xludf.DUMMYFUNCTION("""COMPUTED_VALUE"""),"KYAI KONTONG")</f>
        <v>KYAI KONTONG</v>
      </c>
      <c r="D5658" s="186">
        <f>IFERROR(__xludf.DUMMYFUNCTION("""COMPUTED_VALUE"""),2.0)</f>
        <v>2</v>
      </c>
    </row>
    <row r="5659">
      <c r="A5659" s="178" t="str">
        <f>IFERROR(__xludf.DUMMYFUNCTION("""COMPUTED_VALUE"""),"ITBISA-IC-NE555P-DIP8")</f>
        <v>ITBISA-IC-NE555P-DIP8</v>
      </c>
      <c r="B5659" s="266">
        <f>IFERROR(__xludf.DUMMYFUNCTION("""COMPUTED_VALUE"""),44931.0)</f>
        <v>44931</v>
      </c>
      <c r="C5659" s="266" t="str">
        <f>IFERROR(__xludf.DUMMYFUNCTION("""COMPUTED_VALUE"""),"KYAI KONTONG")</f>
        <v>KYAI KONTONG</v>
      </c>
      <c r="D5659" s="186">
        <f>IFERROR(__xludf.DUMMYFUNCTION("""COMPUTED_VALUE"""),5.0)</f>
        <v>5</v>
      </c>
    </row>
    <row r="5660">
      <c r="A5660" s="178" t="str">
        <f>IFERROR(__xludf.DUMMYFUNCTION("""COMPUTED_VALUE"""),"ITBISA-IC-NE555P-DIP8")</f>
        <v>ITBISA-IC-NE555P-DIP8</v>
      </c>
      <c r="B5660" s="266">
        <f>IFERROR(__xludf.DUMMYFUNCTION("""COMPUTED_VALUE"""),44932.0)</f>
        <v>44932</v>
      </c>
      <c r="C5660" s="266" t="str">
        <f>IFERROR(__xludf.DUMMYFUNCTION("""COMPUTED_VALUE"""),"KYAI KONTONG")</f>
        <v>KYAI KONTONG</v>
      </c>
      <c r="D5660" s="186">
        <f>IFERROR(__xludf.DUMMYFUNCTION("""COMPUTED_VALUE"""),10.0)</f>
        <v>10</v>
      </c>
    </row>
    <row r="5661">
      <c r="A5661" s="178" t="str">
        <f>IFERROR(__xludf.DUMMYFUNCTION("""COMPUTED_VALUE"""),"ITBISA-IC-NE555P-DIP8")</f>
        <v>ITBISA-IC-NE555P-DIP8</v>
      </c>
      <c r="B5661" s="266">
        <f>IFERROR(__xludf.DUMMYFUNCTION("""COMPUTED_VALUE"""),44932.0)</f>
        <v>44932</v>
      </c>
      <c r="C5661" s="266" t="str">
        <f>IFERROR(__xludf.DUMMYFUNCTION("""COMPUTED_VALUE"""),"KYAI KONTONG")</f>
        <v>KYAI KONTONG</v>
      </c>
      <c r="D5661" s="186">
        <f>IFERROR(__xludf.DUMMYFUNCTION("""COMPUTED_VALUE"""),10.0)</f>
        <v>10</v>
      </c>
    </row>
    <row r="5662">
      <c r="A5662" s="178" t="str">
        <f>IFERROR(__xludf.DUMMYFUNCTION("""COMPUTED_VALUE"""),"ITBISA-IC-NE555P-DIP8")</f>
        <v>ITBISA-IC-NE555P-DIP8</v>
      </c>
      <c r="B5662" s="266">
        <f>IFERROR(__xludf.DUMMYFUNCTION("""COMPUTED_VALUE"""),44934.0)</f>
        <v>44934</v>
      </c>
      <c r="C5662" s="266" t="str">
        <f>IFERROR(__xludf.DUMMYFUNCTION("""COMPUTED_VALUE"""),"KYAI KONTONG")</f>
        <v>KYAI KONTONG</v>
      </c>
      <c r="D5662" s="186">
        <f>IFERROR(__xludf.DUMMYFUNCTION("""COMPUTED_VALUE"""),1.0)</f>
        <v>1</v>
      </c>
    </row>
    <row r="5663">
      <c r="A5663" s="178" t="str">
        <f>IFERROR(__xludf.DUMMYFUNCTION("""COMPUTED_VALUE"""),"ITBISA-IC-NE555P-DIP8")</f>
        <v>ITBISA-IC-NE555P-DIP8</v>
      </c>
      <c r="B5663" s="266">
        <f>IFERROR(__xludf.DUMMYFUNCTION("""COMPUTED_VALUE"""),44935.0)</f>
        <v>44935</v>
      </c>
      <c r="C5663" s="266" t="str">
        <f>IFERROR(__xludf.DUMMYFUNCTION("""COMPUTED_VALUE"""),"KYAI KONTONG")</f>
        <v>KYAI KONTONG</v>
      </c>
      <c r="D5663" s="186">
        <f>IFERROR(__xludf.DUMMYFUNCTION("""COMPUTED_VALUE"""),3.0)</f>
        <v>3</v>
      </c>
    </row>
    <row r="5664">
      <c r="A5664" s="178" t="str">
        <f>IFERROR(__xludf.DUMMYFUNCTION("""COMPUTED_VALUE"""),"ITBISA-IC-NE555P-DIP8")</f>
        <v>ITBISA-IC-NE555P-DIP8</v>
      </c>
      <c r="B5664" s="266">
        <f>IFERROR(__xludf.DUMMYFUNCTION("""COMPUTED_VALUE"""),44937.0)</f>
        <v>44937</v>
      </c>
      <c r="C5664" s="266" t="str">
        <f>IFERROR(__xludf.DUMMYFUNCTION("""COMPUTED_VALUE"""),"KYAI KONTONG")</f>
        <v>KYAI KONTONG</v>
      </c>
      <c r="D5664" s="186">
        <f>IFERROR(__xludf.DUMMYFUNCTION("""COMPUTED_VALUE"""),180.0)</f>
        <v>180</v>
      </c>
    </row>
    <row r="5665">
      <c r="A5665" s="178" t="str">
        <f>IFERROR(__xludf.DUMMYFUNCTION("""COMPUTED_VALUE"""),"ITBISA-IC-NE555P-DIP8")</f>
        <v>ITBISA-IC-NE555P-DIP8</v>
      </c>
      <c r="B5665" s="266">
        <f>IFERROR(__xludf.DUMMYFUNCTION("""COMPUTED_VALUE"""),44938.0)</f>
        <v>44938</v>
      </c>
      <c r="C5665" s="266" t="str">
        <f>IFERROR(__xludf.DUMMYFUNCTION("""COMPUTED_VALUE"""),"KYAI KONTONG")</f>
        <v>KYAI KONTONG</v>
      </c>
      <c r="D5665" s="186">
        <f>IFERROR(__xludf.DUMMYFUNCTION("""COMPUTED_VALUE"""),10.0)</f>
        <v>10</v>
      </c>
    </row>
    <row r="5666">
      <c r="A5666" s="178" t="str">
        <f>IFERROR(__xludf.DUMMYFUNCTION("""COMPUTED_VALUE"""),"ITBISA-IC-NE555P-DIP8")</f>
        <v>ITBISA-IC-NE555P-DIP8</v>
      </c>
      <c r="B5666" s="266">
        <f>IFERROR(__xludf.DUMMYFUNCTION("""COMPUTED_VALUE"""),44938.0)</f>
        <v>44938</v>
      </c>
      <c r="C5666" s="266" t="str">
        <f>IFERROR(__xludf.DUMMYFUNCTION("""COMPUTED_VALUE"""),"KYAI KONTONG")</f>
        <v>KYAI KONTONG</v>
      </c>
      <c r="D5666" s="186">
        <f>IFERROR(__xludf.DUMMYFUNCTION("""COMPUTED_VALUE"""),50.0)</f>
        <v>50</v>
      </c>
    </row>
    <row r="5667">
      <c r="A5667" s="178" t="str">
        <f>IFERROR(__xludf.DUMMYFUNCTION("""COMPUTED_VALUE"""),"ITBISA-IC-NE555P-DIP8")</f>
        <v>ITBISA-IC-NE555P-DIP8</v>
      </c>
      <c r="B5667" s="266">
        <f>IFERROR(__xludf.DUMMYFUNCTION("""COMPUTED_VALUE"""),44942.0)</f>
        <v>44942</v>
      </c>
      <c r="C5667" s="266" t="str">
        <f>IFERROR(__xludf.DUMMYFUNCTION("""COMPUTED_VALUE"""),"KYAI KONTONG")</f>
        <v>KYAI KONTONG</v>
      </c>
      <c r="D5667" s="186">
        <f>IFERROR(__xludf.DUMMYFUNCTION("""COMPUTED_VALUE"""),6.0)</f>
        <v>6</v>
      </c>
    </row>
    <row r="5668">
      <c r="A5668" s="178" t="str">
        <f>IFERROR(__xludf.DUMMYFUNCTION("""COMPUTED_VALUE"""),"ITBISA-IC-NE555P-DIP8")</f>
        <v>ITBISA-IC-NE555P-DIP8</v>
      </c>
      <c r="B5668" s="266">
        <f>IFERROR(__xludf.DUMMYFUNCTION("""COMPUTED_VALUE"""),44942.0)</f>
        <v>44942</v>
      </c>
      <c r="C5668" s="266" t="str">
        <f>IFERROR(__xludf.DUMMYFUNCTION("""COMPUTED_VALUE"""),"KYAI KONTONG")</f>
        <v>KYAI KONTONG</v>
      </c>
      <c r="D5668" s="186">
        <f>IFERROR(__xludf.DUMMYFUNCTION("""COMPUTED_VALUE"""),50.0)</f>
        <v>50</v>
      </c>
    </row>
    <row r="5669">
      <c r="A5669" s="178" t="str">
        <f>IFERROR(__xludf.DUMMYFUNCTION("""COMPUTED_VALUE"""),"ITBISA-IC-NE555P-DIP8")</f>
        <v>ITBISA-IC-NE555P-DIP8</v>
      </c>
      <c r="B5669" s="266">
        <f>IFERROR(__xludf.DUMMYFUNCTION("""COMPUTED_VALUE"""),44942.0)</f>
        <v>44942</v>
      </c>
      <c r="C5669" s="266" t="str">
        <f>IFERROR(__xludf.DUMMYFUNCTION("""COMPUTED_VALUE"""),"KYAI KONTONG")</f>
        <v>KYAI KONTONG</v>
      </c>
      <c r="D5669" s="186">
        <f>IFERROR(__xludf.DUMMYFUNCTION("""COMPUTED_VALUE"""),100.0)</f>
        <v>100</v>
      </c>
    </row>
    <row r="5670">
      <c r="A5670" s="178" t="str">
        <f>IFERROR(__xludf.DUMMYFUNCTION("""COMPUTED_VALUE"""),"ITBISA-IC-NE555P-DIP8")</f>
        <v>ITBISA-IC-NE555P-DIP8</v>
      </c>
      <c r="B5670" s="266">
        <f>IFERROR(__xludf.DUMMYFUNCTION("""COMPUTED_VALUE"""),44943.0)</f>
        <v>44943</v>
      </c>
      <c r="C5670" s="266" t="str">
        <f>IFERROR(__xludf.DUMMYFUNCTION("""COMPUTED_VALUE"""),"KYAI KONTONG")</f>
        <v>KYAI KONTONG</v>
      </c>
      <c r="D5670" s="186">
        <f>IFERROR(__xludf.DUMMYFUNCTION("""COMPUTED_VALUE"""),10.0)</f>
        <v>10</v>
      </c>
    </row>
    <row r="5671">
      <c r="A5671" s="178" t="str">
        <f>IFERROR(__xludf.DUMMYFUNCTION("""COMPUTED_VALUE"""),"ITBISA-IC-NE555P-DIP8")</f>
        <v>ITBISA-IC-NE555P-DIP8</v>
      </c>
      <c r="B5671" s="266">
        <f>IFERROR(__xludf.DUMMYFUNCTION("""COMPUTED_VALUE"""),44943.0)</f>
        <v>44943</v>
      </c>
      <c r="C5671" s="266" t="str">
        <f>IFERROR(__xludf.DUMMYFUNCTION("""COMPUTED_VALUE"""),"KYAI KONTONG")</f>
        <v>KYAI KONTONG</v>
      </c>
      <c r="D5671" s="186">
        <f>IFERROR(__xludf.DUMMYFUNCTION("""COMPUTED_VALUE"""),50.0)</f>
        <v>50</v>
      </c>
    </row>
    <row r="5672">
      <c r="A5672" s="178" t="str">
        <f>IFERROR(__xludf.DUMMYFUNCTION("""COMPUTED_VALUE"""),"ITBISA-IC-NE555P-DIP8")</f>
        <v>ITBISA-IC-NE555P-DIP8</v>
      </c>
      <c r="B5672" s="266">
        <f>IFERROR(__xludf.DUMMYFUNCTION("""COMPUTED_VALUE"""),44943.0)</f>
        <v>44943</v>
      </c>
      <c r="C5672" s="266" t="str">
        <f>IFERROR(__xludf.DUMMYFUNCTION("""COMPUTED_VALUE"""),"KYAI KONTONG")</f>
        <v>KYAI KONTONG</v>
      </c>
      <c r="D5672" s="186">
        <f>IFERROR(__xludf.DUMMYFUNCTION("""COMPUTED_VALUE"""),250.0)</f>
        <v>250</v>
      </c>
    </row>
    <row r="5673">
      <c r="A5673" s="178" t="str">
        <f>IFERROR(__xludf.DUMMYFUNCTION("""COMPUTED_VALUE"""),"ITBISA-IC-NE555P-DIP8")</f>
        <v>ITBISA-IC-NE555P-DIP8</v>
      </c>
      <c r="B5673" s="266">
        <f>IFERROR(__xludf.DUMMYFUNCTION("""COMPUTED_VALUE"""),44944.0)</f>
        <v>44944</v>
      </c>
      <c r="C5673" s="266" t="str">
        <f>IFERROR(__xludf.DUMMYFUNCTION("""COMPUTED_VALUE"""),"KYAI KONTONG")</f>
        <v>KYAI KONTONG</v>
      </c>
      <c r="D5673" s="186">
        <f>IFERROR(__xludf.DUMMYFUNCTION("""COMPUTED_VALUE"""),200.0)</f>
        <v>200</v>
      </c>
    </row>
    <row r="5674">
      <c r="A5674" s="178" t="str">
        <f>IFERROR(__xludf.DUMMYFUNCTION("""COMPUTED_VALUE"""),"ITBISA-IC-NE555P-DIP8")</f>
        <v>ITBISA-IC-NE555P-DIP8</v>
      </c>
      <c r="B5674" s="266">
        <f>IFERROR(__xludf.DUMMYFUNCTION("""COMPUTED_VALUE"""),44945.0)</f>
        <v>44945</v>
      </c>
      <c r="C5674" s="266" t="str">
        <f>IFERROR(__xludf.DUMMYFUNCTION("""COMPUTED_VALUE"""),"KYAI KONTONG")</f>
        <v>KYAI KONTONG</v>
      </c>
      <c r="D5674" s="186">
        <f>IFERROR(__xludf.DUMMYFUNCTION("""COMPUTED_VALUE"""),34.0)</f>
        <v>34</v>
      </c>
    </row>
    <row r="5675">
      <c r="A5675" s="178" t="str">
        <f>IFERROR(__xludf.DUMMYFUNCTION("""COMPUTED_VALUE"""),"ITBISA-IC-NE555P-DIP8")</f>
        <v>ITBISA-IC-NE555P-DIP8</v>
      </c>
      <c r="B5675" s="266">
        <f>IFERROR(__xludf.DUMMYFUNCTION("""COMPUTED_VALUE"""),44946.0)</f>
        <v>44946</v>
      </c>
      <c r="C5675" s="266" t="str">
        <f>IFERROR(__xludf.DUMMYFUNCTION("""COMPUTED_VALUE"""),"KYAI KONTONG")</f>
        <v>KYAI KONTONG</v>
      </c>
      <c r="D5675" s="186">
        <f>IFERROR(__xludf.DUMMYFUNCTION("""COMPUTED_VALUE"""),50.0)</f>
        <v>50</v>
      </c>
    </row>
    <row r="5676">
      <c r="A5676" s="178" t="str">
        <f>IFERROR(__xludf.DUMMYFUNCTION("""COMPUTED_VALUE"""),"ITBISA-IC-NE555P-DIP8")</f>
        <v>ITBISA-IC-NE555P-DIP8</v>
      </c>
      <c r="B5676" s="266">
        <f>IFERROR(__xludf.DUMMYFUNCTION("""COMPUTED_VALUE"""),44946.0)</f>
        <v>44946</v>
      </c>
      <c r="C5676" s="266" t="str">
        <f>IFERROR(__xludf.DUMMYFUNCTION("""COMPUTED_VALUE"""),"KYAI KONTONG")</f>
        <v>KYAI KONTONG</v>
      </c>
      <c r="D5676" s="186">
        <f>IFERROR(__xludf.DUMMYFUNCTION("""COMPUTED_VALUE"""),100.0)</f>
        <v>100</v>
      </c>
    </row>
    <row r="5677">
      <c r="A5677" s="178" t="str">
        <f>IFERROR(__xludf.DUMMYFUNCTION("""COMPUTED_VALUE"""),"ITBISA-IC-NE555P-DIP8")</f>
        <v>ITBISA-IC-NE555P-DIP8</v>
      </c>
      <c r="B5677" s="266">
        <f>IFERROR(__xludf.DUMMYFUNCTION("""COMPUTED_VALUE"""),44949.0)</f>
        <v>44949</v>
      </c>
      <c r="C5677" s="266" t="str">
        <f>IFERROR(__xludf.DUMMYFUNCTION("""COMPUTED_VALUE"""),"KYAI KONTONG")</f>
        <v>KYAI KONTONG</v>
      </c>
      <c r="D5677" s="186">
        <f>IFERROR(__xludf.DUMMYFUNCTION("""COMPUTED_VALUE"""),50.0)</f>
        <v>50</v>
      </c>
    </row>
    <row r="5678">
      <c r="A5678" s="178" t="str">
        <f>IFERROR(__xludf.DUMMYFUNCTION("""COMPUTED_VALUE"""),"ITBISA-IC-NE555P-DIP8")</f>
        <v>ITBISA-IC-NE555P-DIP8</v>
      </c>
      <c r="B5678" s="266">
        <f>IFERROR(__xludf.DUMMYFUNCTION("""COMPUTED_VALUE"""),44951.0)</f>
        <v>44951</v>
      </c>
      <c r="C5678" s="266" t="str">
        <f>IFERROR(__xludf.DUMMYFUNCTION("""COMPUTED_VALUE"""),"KYAI KONTONG")</f>
        <v>KYAI KONTONG</v>
      </c>
      <c r="D5678" s="186">
        <f>IFERROR(__xludf.DUMMYFUNCTION("""COMPUTED_VALUE"""),3.0)</f>
        <v>3</v>
      </c>
    </row>
    <row r="5679">
      <c r="A5679" s="178" t="str">
        <f>IFERROR(__xludf.DUMMYFUNCTION("""COMPUTED_VALUE"""),"ITBISA-IC-NE555P-DIP8")</f>
        <v>ITBISA-IC-NE555P-DIP8</v>
      </c>
      <c r="B5679" s="266">
        <f>IFERROR(__xludf.DUMMYFUNCTION("""COMPUTED_VALUE"""),44951.0)</f>
        <v>44951</v>
      </c>
      <c r="C5679" s="266" t="str">
        <f>IFERROR(__xludf.DUMMYFUNCTION("""COMPUTED_VALUE"""),"KYAI KONTONG")</f>
        <v>KYAI KONTONG</v>
      </c>
      <c r="D5679" s="186">
        <f>IFERROR(__xludf.DUMMYFUNCTION("""COMPUTED_VALUE"""),30.0)</f>
        <v>30</v>
      </c>
    </row>
    <row r="5680">
      <c r="A5680" s="178" t="str">
        <f>IFERROR(__xludf.DUMMYFUNCTION("""COMPUTED_VALUE"""),"ITBISA-IC-NE555P-DIP8")</f>
        <v>ITBISA-IC-NE555P-DIP8</v>
      </c>
      <c r="B5680" s="266">
        <f>IFERROR(__xludf.DUMMYFUNCTION("""COMPUTED_VALUE"""),44953.0)</f>
        <v>44953</v>
      </c>
      <c r="C5680" s="266" t="str">
        <f>IFERROR(__xludf.DUMMYFUNCTION("""COMPUTED_VALUE"""),"KYAI KONTONG")</f>
        <v>KYAI KONTONG</v>
      </c>
      <c r="D5680" s="186">
        <f>IFERROR(__xludf.DUMMYFUNCTION("""COMPUTED_VALUE"""),10.0)</f>
        <v>10</v>
      </c>
    </row>
    <row r="5681">
      <c r="A5681" s="178" t="str">
        <f>IFERROR(__xludf.DUMMYFUNCTION("""COMPUTED_VALUE"""),"ITBISA-IC-NE555P-DIP8")</f>
        <v>ITBISA-IC-NE555P-DIP8</v>
      </c>
      <c r="B5681" s="266">
        <f>IFERROR(__xludf.DUMMYFUNCTION("""COMPUTED_VALUE"""),44953.0)</f>
        <v>44953</v>
      </c>
      <c r="C5681" s="266" t="str">
        <f>IFERROR(__xludf.DUMMYFUNCTION("""COMPUTED_VALUE"""),"KYAI KONTONG")</f>
        <v>KYAI KONTONG</v>
      </c>
      <c r="D5681" s="186">
        <f>IFERROR(__xludf.DUMMYFUNCTION("""COMPUTED_VALUE"""),50.0)</f>
        <v>50</v>
      </c>
    </row>
    <row r="5682">
      <c r="A5682" s="178" t="str">
        <f>IFERROR(__xludf.DUMMYFUNCTION("""COMPUTED_VALUE"""),"ITBISA-IC-NE555P-DIP8")</f>
        <v>ITBISA-IC-NE555P-DIP8</v>
      </c>
      <c r="B5682" s="266">
        <f>IFERROR(__xludf.DUMMYFUNCTION("""COMPUTED_VALUE"""),44954.0)</f>
        <v>44954</v>
      </c>
      <c r="C5682" s="266" t="str">
        <f>IFERROR(__xludf.DUMMYFUNCTION("""COMPUTED_VALUE"""),"KYAI KONTONG")</f>
        <v>KYAI KONTONG</v>
      </c>
      <c r="D5682" s="186">
        <f>IFERROR(__xludf.DUMMYFUNCTION("""COMPUTED_VALUE"""),1.0)</f>
        <v>1</v>
      </c>
    </row>
    <row r="5683">
      <c r="A5683" s="178" t="str">
        <f>IFERROR(__xludf.DUMMYFUNCTION("""COMPUTED_VALUE"""),"ITBISA-IC-NE555P-DIP8")</f>
        <v>ITBISA-IC-NE555P-DIP8</v>
      </c>
      <c r="B5683" s="266">
        <f>IFERROR(__xludf.DUMMYFUNCTION("""COMPUTED_VALUE"""),44957.0)</f>
        <v>44957</v>
      </c>
      <c r="C5683" s="266" t="str">
        <f>IFERROR(__xludf.DUMMYFUNCTION("""COMPUTED_VALUE"""),"KYAI KONTONG")</f>
        <v>KYAI KONTONG</v>
      </c>
      <c r="D5683" s="186">
        <f>IFERROR(__xludf.DUMMYFUNCTION("""COMPUTED_VALUE"""),10.0)</f>
        <v>10</v>
      </c>
    </row>
    <row r="5684">
      <c r="A5684" s="178" t="str">
        <f>IFERROR(__xludf.DUMMYFUNCTION("""COMPUTED_VALUE"""),"ITBISA-IC-NE555P-DIP8")</f>
        <v>ITBISA-IC-NE555P-DIP8</v>
      </c>
      <c r="B5684" s="266">
        <f>IFERROR(__xludf.DUMMYFUNCTION("""COMPUTED_VALUE"""),44957.0)</f>
        <v>44957</v>
      </c>
      <c r="C5684" s="266" t="str">
        <f>IFERROR(__xludf.DUMMYFUNCTION("""COMPUTED_VALUE"""),"KYAI KONTONG")</f>
        <v>KYAI KONTONG</v>
      </c>
      <c r="D5684" s="186">
        <f>IFERROR(__xludf.DUMMYFUNCTION("""COMPUTED_VALUE"""),50.0)</f>
        <v>50</v>
      </c>
    </row>
    <row r="5685">
      <c r="A5685" s="178" t="str">
        <f>IFERROR(__xludf.DUMMYFUNCTION("""COMPUTED_VALUE"""),"ITBISA-IC-NE555P-DIP8")</f>
        <v>ITBISA-IC-NE555P-DIP8</v>
      </c>
      <c r="B5685" s="266">
        <f>IFERROR(__xludf.DUMMYFUNCTION("""COMPUTED_VALUE"""),44957.0)</f>
        <v>44957</v>
      </c>
      <c r="C5685" s="266" t="str">
        <f>IFERROR(__xludf.DUMMYFUNCTION("""COMPUTED_VALUE"""),"KYAI KONTONG")</f>
        <v>KYAI KONTONG</v>
      </c>
      <c r="D5685" s="186">
        <f>IFERROR(__xludf.DUMMYFUNCTION("""COMPUTED_VALUE"""),200.0)</f>
        <v>200</v>
      </c>
    </row>
    <row r="5686">
      <c r="A5686" s="178" t="str">
        <f>IFERROR(__xludf.DUMMYFUNCTION("""COMPUTED_VALUE"""),"ITBISA-IC-NE555P-DIP8")</f>
        <v>ITBISA-IC-NE555P-DIP8</v>
      </c>
      <c r="B5686" s="266">
        <f>IFERROR(__xludf.DUMMYFUNCTION("""COMPUTED_VALUE"""),44958.0)</f>
        <v>44958</v>
      </c>
      <c r="C5686" s="266" t="str">
        <f>IFERROR(__xludf.DUMMYFUNCTION("""COMPUTED_VALUE"""),"KYAI KONTONG")</f>
        <v>KYAI KONTONG</v>
      </c>
      <c r="D5686" s="186">
        <f>IFERROR(__xludf.DUMMYFUNCTION("""COMPUTED_VALUE"""),100.0)</f>
        <v>100</v>
      </c>
    </row>
    <row r="5687">
      <c r="A5687" s="178" t="str">
        <f>IFERROR(__xludf.DUMMYFUNCTION("""COMPUTED_VALUE"""),"ITBISA-IC-NE555P-DIP8")</f>
        <v>ITBISA-IC-NE555P-DIP8</v>
      </c>
      <c r="B5687" s="266">
        <f>IFERROR(__xludf.DUMMYFUNCTION("""COMPUTED_VALUE"""),44959.0)</f>
        <v>44959</v>
      </c>
      <c r="C5687" s="266" t="str">
        <f>IFERROR(__xludf.DUMMYFUNCTION("""COMPUTED_VALUE"""),"KYAI KONTONG")</f>
        <v>KYAI KONTONG</v>
      </c>
      <c r="D5687" s="186">
        <f>IFERROR(__xludf.DUMMYFUNCTION("""COMPUTED_VALUE"""),50.0)</f>
        <v>50</v>
      </c>
    </row>
    <row r="5688">
      <c r="A5688" s="178" t="str">
        <f>IFERROR(__xludf.DUMMYFUNCTION("""COMPUTED_VALUE"""),"ITBISA-IC-NE555P-DIP8")</f>
        <v>ITBISA-IC-NE555P-DIP8</v>
      </c>
      <c r="B5688" s="266">
        <f>IFERROR(__xludf.DUMMYFUNCTION("""COMPUTED_VALUE"""),44959.0)</f>
        <v>44959</v>
      </c>
      <c r="C5688" s="266" t="str">
        <f>IFERROR(__xludf.DUMMYFUNCTION("""COMPUTED_VALUE"""),"KYAI KONTONG")</f>
        <v>KYAI KONTONG</v>
      </c>
      <c r="D5688" s="186">
        <f>IFERROR(__xludf.DUMMYFUNCTION("""COMPUTED_VALUE"""),60.0)</f>
        <v>60</v>
      </c>
    </row>
    <row r="5689">
      <c r="A5689" s="178" t="str">
        <f>IFERROR(__xludf.DUMMYFUNCTION("""COMPUTED_VALUE"""),"ITBISA-IC-NE555P-DIP8")</f>
        <v>ITBISA-IC-NE555P-DIP8</v>
      </c>
      <c r="B5689" s="266">
        <f>IFERROR(__xludf.DUMMYFUNCTION("""COMPUTED_VALUE"""),44959.0)</f>
        <v>44959</v>
      </c>
      <c r="C5689" s="266" t="str">
        <f>IFERROR(__xludf.DUMMYFUNCTION("""COMPUTED_VALUE"""),"KYAI KONTONG")</f>
        <v>KYAI KONTONG</v>
      </c>
      <c r="D5689" s="186">
        <f>IFERROR(__xludf.DUMMYFUNCTION("""COMPUTED_VALUE"""),200.0)</f>
        <v>200</v>
      </c>
    </row>
    <row r="5690">
      <c r="A5690" s="178" t="str">
        <f>IFERROR(__xludf.DUMMYFUNCTION("""COMPUTED_VALUE"""),"ITBISA-IC-NE555P-DIP8")</f>
        <v>ITBISA-IC-NE555P-DIP8</v>
      </c>
      <c r="B5690" s="266">
        <f>IFERROR(__xludf.DUMMYFUNCTION("""COMPUTED_VALUE"""),44960.0)</f>
        <v>44960</v>
      </c>
      <c r="C5690" s="266" t="str">
        <f>IFERROR(__xludf.DUMMYFUNCTION("""COMPUTED_VALUE"""),"KYAI KONTONG")</f>
        <v>KYAI KONTONG</v>
      </c>
      <c r="D5690" s="186">
        <f>IFERROR(__xludf.DUMMYFUNCTION("""COMPUTED_VALUE"""),10.0)</f>
        <v>10</v>
      </c>
    </row>
    <row r="5691">
      <c r="A5691" s="178" t="str">
        <f>IFERROR(__xludf.DUMMYFUNCTION("""COMPUTED_VALUE"""),"ITBISA-IC-NE555P-DIP8")</f>
        <v>ITBISA-IC-NE555P-DIP8</v>
      </c>
      <c r="B5691" s="266">
        <f>IFERROR(__xludf.DUMMYFUNCTION("""COMPUTED_VALUE"""),44960.0)</f>
        <v>44960</v>
      </c>
      <c r="C5691" s="266" t="str">
        <f>IFERROR(__xludf.DUMMYFUNCTION("""COMPUTED_VALUE"""),"KYAI KONTONG")</f>
        <v>KYAI KONTONG</v>
      </c>
      <c r="D5691" s="186">
        <f>IFERROR(__xludf.DUMMYFUNCTION("""COMPUTED_VALUE"""),50.0)</f>
        <v>50</v>
      </c>
    </row>
    <row r="5692">
      <c r="A5692" s="178" t="str">
        <f>IFERROR(__xludf.DUMMYFUNCTION("""COMPUTED_VALUE"""),"ITBISA-IC-NE555P-DIP8")</f>
        <v>ITBISA-IC-NE555P-DIP8</v>
      </c>
      <c r="B5692" s="266">
        <f>IFERROR(__xludf.DUMMYFUNCTION("""COMPUTED_VALUE"""),44963.0)</f>
        <v>44963</v>
      </c>
      <c r="C5692" s="266" t="str">
        <f>IFERROR(__xludf.DUMMYFUNCTION("""COMPUTED_VALUE"""),"KYAI KONTONG")</f>
        <v>KYAI KONTONG</v>
      </c>
      <c r="D5692" s="186">
        <f>IFERROR(__xludf.DUMMYFUNCTION("""COMPUTED_VALUE"""),10.0)</f>
        <v>10</v>
      </c>
    </row>
    <row r="5693">
      <c r="A5693" s="178" t="str">
        <f>IFERROR(__xludf.DUMMYFUNCTION("""COMPUTED_VALUE"""),"ITBISA-IC-NE555P-DIP8")</f>
        <v>ITBISA-IC-NE555P-DIP8</v>
      </c>
      <c r="B5693" s="266">
        <f>IFERROR(__xludf.DUMMYFUNCTION("""COMPUTED_VALUE"""),44963.0)</f>
        <v>44963</v>
      </c>
      <c r="C5693" s="266" t="str">
        <f>IFERROR(__xludf.DUMMYFUNCTION("""COMPUTED_VALUE"""),"KYAI KONTONG")</f>
        <v>KYAI KONTONG</v>
      </c>
      <c r="D5693" s="186">
        <f>IFERROR(__xludf.DUMMYFUNCTION("""COMPUTED_VALUE"""),10.0)</f>
        <v>10</v>
      </c>
    </row>
    <row r="5694">
      <c r="A5694" s="178" t="str">
        <f>IFERROR(__xludf.DUMMYFUNCTION("""COMPUTED_VALUE"""),"ITBISA-IC-NE555P-DIP8")</f>
        <v>ITBISA-IC-NE555P-DIP8</v>
      </c>
      <c r="B5694" s="266">
        <f>IFERROR(__xludf.DUMMYFUNCTION("""COMPUTED_VALUE"""),44963.0)</f>
        <v>44963</v>
      </c>
      <c r="C5694" s="266" t="str">
        <f>IFERROR(__xludf.DUMMYFUNCTION("""COMPUTED_VALUE"""),"KYAI KONTONG")</f>
        <v>KYAI KONTONG</v>
      </c>
      <c r="D5694" s="186">
        <f>IFERROR(__xludf.DUMMYFUNCTION("""COMPUTED_VALUE"""),30.0)</f>
        <v>30</v>
      </c>
    </row>
    <row r="5695">
      <c r="A5695" s="178" t="str">
        <f>IFERROR(__xludf.DUMMYFUNCTION("""COMPUTED_VALUE"""),"ITBISA-IC-NE555P-DIP8")</f>
        <v>ITBISA-IC-NE555P-DIP8</v>
      </c>
      <c r="B5695" s="266">
        <f>IFERROR(__xludf.DUMMYFUNCTION("""COMPUTED_VALUE"""),44964.0)</f>
        <v>44964</v>
      </c>
      <c r="C5695" s="266" t="str">
        <f>IFERROR(__xludf.DUMMYFUNCTION("""COMPUTED_VALUE"""),"KYAI KONTONG")</f>
        <v>KYAI KONTONG</v>
      </c>
      <c r="D5695" s="186">
        <f>IFERROR(__xludf.DUMMYFUNCTION("""COMPUTED_VALUE"""),10.0)</f>
        <v>10</v>
      </c>
    </row>
    <row r="5696">
      <c r="A5696" s="178" t="str">
        <f>IFERROR(__xludf.DUMMYFUNCTION("""COMPUTED_VALUE"""),"ITBISA-IC-NE555P-DIP8")</f>
        <v>ITBISA-IC-NE555P-DIP8</v>
      </c>
      <c r="B5696" s="266">
        <f>IFERROR(__xludf.DUMMYFUNCTION("""COMPUTED_VALUE"""),44964.0)</f>
        <v>44964</v>
      </c>
      <c r="C5696" s="266" t="str">
        <f>IFERROR(__xludf.DUMMYFUNCTION("""COMPUTED_VALUE"""),"KYAI KONTONG")</f>
        <v>KYAI KONTONG</v>
      </c>
      <c r="D5696" s="186">
        <f>IFERROR(__xludf.DUMMYFUNCTION("""COMPUTED_VALUE"""),15.0)</f>
        <v>15</v>
      </c>
    </row>
    <row r="5697">
      <c r="A5697" s="178" t="str">
        <f>IFERROR(__xludf.DUMMYFUNCTION("""COMPUTED_VALUE"""),"ITBISA-IC-NE555P-DIP8")</f>
        <v>ITBISA-IC-NE555P-DIP8</v>
      </c>
      <c r="B5697" s="266">
        <f>IFERROR(__xludf.DUMMYFUNCTION("""COMPUTED_VALUE"""),44964.0)</f>
        <v>44964</v>
      </c>
      <c r="C5697" s="266" t="str">
        <f>IFERROR(__xludf.DUMMYFUNCTION("""COMPUTED_VALUE"""),"KYAI KONTONG")</f>
        <v>KYAI KONTONG</v>
      </c>
      <c r="D5697" s="186">
        <f>IFERROR(__xludf.DUMMYFUNCTION("""COMPUTED_VALUE"""),20.0)</f>
        <v>20</v>
      </c>
    </row>
    <row r="5698">
      <c r="A5698" s="178" t="str">
        <f>IFERROR(__xludf.DUMMYFUNCTION("""COMPUTED_VALUE"""),"ITBISA-IC-NE555P-DIP8")</f>
        <v>ITBISA-IC-NE555P-DIP8</v>
      </c>
      <c r="B5698" s="266">
        <f>IFERROR(__xludf.DUMMYFUNCTION("""COMPUTED_VALUE"""),44964.0)</f>
        <v>44964</v>
      </c>
      <c r="C5698" s="266" t="str">
        <f>IFERROR(__xludf.DUMMYFUNCTION("""COMPUTED_VALUE"""),"KYAI KONTONG")</f>
        <v>KYAI KONTONG</v>
      </c>
      <c r="D5698" s="186">
        <f>IFERROR(__xludf.DUMMYFUNCTION("""COMPUTED_VALUE"""),50.0)</f>
        <v>50</v>
      </c>
    </row>
    <row r="5699">
      <c r="A5699" s="178" t="str">
        <f>IFERROR(__xludf.DUMMYFUNCTION("""COMPUTED_VALUE"""),"ITBISA-IC-NE555P-DIP8")</f>
        <v>ITBISA-IC-NE555P-DIP8</v>
      </c>
      <c r="B5699" s="266">
        <f>IFERROR(__xludf.DUMMYFUNCTION("""COMPUTED_VALUE"""),44966.0)</f>
        <v>44966</v>
      </c>
      <c r="C5699" s="266" t="str">
        <f>IFERROR(__xludf.DUMMYFUNCTION("""COMPUTED_VALUE"""),"KYAI KONTONG")</f>
        <v>KYAI KONTONG</v>
      </c>
      <c r="D5699" s="186">
        <f>IFERROR(__xludf.DUMMYFUNCTION("""COMPUTED_VALUE"""),3.0)</f>
        <v>3</v>
      </c>
    </row>
    <row r="5700">
      <c r="A5700" s="178" t="str">
        <f>IFERROR(__xludf.DUMMYFUNCTION("""COMPUTED_VALUE"""),"ITBISA-IC-NE555P-DIP8")</f>
        <v>ITBISA-IC-NE555P-DIP8</v>
      </c>
      <c r="B5700" s="266">
        <f>IFERROR(__xludf.DUMMYFUNCTION("""COMPUTED_VALUE"""),44967.0)</f>
        <v>44967</v>
      </c>
      <c r="C5700" s="266" t="str">
        <f>IFERROR(__xludf.DUMMYFUNCTION("""COMPUTED_VALUE"""),"KYAI KONTONG")</f>
        <v>KYAI KONTONG</v>
      </c>
      <c r="D5700" s="186">
        <f>IFERROR(__xludf.DUMMYFUNCTION("""COMPUTED_VALUE"""),33.0)</f>
        <v>33</v>
      </c>
    </row>
    <row r="5701">
      <c r="A5701" s="178" t="str">
        <f>IFERROR(__xludf.DUMMYFUNCTION("""COMPUTED_VALUE"""),"ITBISA-IC-NE555P-DIP8")</f>
        <v>ITBISA-IC-NE555P-DIP8</v>
      </c>
      <c r="B5701" s="266">
        <f>IFERROR(__xludf.DUMMYFUNCTION("""COMPUTED_VALUE"""),44967.0)</f>
        <v>44967</v>
      </c>
      <c r="C5701" s="266" t="str">
        <f>IFERROR(__xludf.DUMMYFUNCTION("""COMPUTED_VALUE"""),"KYAI KONTONG")</f>
        <v>KYAI KONTONG</v>
      </c>
      <c r="D5701" s="186">
        <f>IFERROR(__xludf.DUMMYFUNCTION("""COMPUTED_VALUE"""),100.0)</f>
        <v>100</v>
      </c>
    </row>
    <row r="5702">
      <c r="A5702" s="178" t="str">
        <f>IFERROR(__xludf.DUMMYFUNCTION("""COMPUTED_VALUE"""),"ITBISA-IC-NE555P-DIP8")</f>
        <v>ITBISA-IC-NE555P-DIP8</v>
      </c>
      <c r="B5702" s="266">
        <f>IFERROR(__xludf.DUMMYFUNCTION("""COMPUTED_VALUE"""),44969.0)</f>
        <v>44969</v>
      </c>
      <c r="C5702" s="266" t="str">
        <f>IFERROR(__xludf.DUMMYFUNCTION("""COMPUTED_VALUE"""),"KYAI KONTONG")</f>
        <v>KYAI KONTONG</v>
      </c>
      <c r="D5702" s="186">
        <f>IFERROR(__xludf.DUMMYFUNCTION("""COMPUTED_VALUE"""),1.0)</f>
        <v>1</v>
      </c>
    </row>
    <row r="5703">
      <c r="A5703" s="178" t="str">
        <f>IFERROR(__xludf.DUMMYFUNCTION("""COMPUTED_VALUE"""),"ITBISA-IC-NE555P-DIP8")</f>
        <v>ITBISA-IC-NE555P-DIP8</v>
      </c>
      <c r="B5703" s="266">
        <f>IFERROR(__xludf.DUMMYFUNCTION("""COMPUTED_VALUE"""),44969.0)</f>
        <v>44969</v>
      </c>
      <c r="C5703" s="266" t="str">
        <f>IFERROR(__xludf.DUMMYFUNCTION("""COMPUTED_VALUE"""),"KYAI KONTONG")</f>
        <v>KYAI KONTONG</v>
      </c>
      <c r="D5703" s="186">
        <f>IFERROR(__xludf.DUMMYFUNCTION("""COMPUTED_VALUE"""),6.0)</f>
        <v>6</v>
      </c>
    </row>
    <row r="5704">
      <c r="A5704" s="178" t="str">
        <f>IFERROR(__xludf.DUMMYFUNCTION("""COMPUTED_VALUE"""),"ITBISA-IC-NE555P-DIP8")</f>
        <v>ITBISA-IC-NE555P-DIP8</v>
      </c>
      <c r="B5704" s="266">
        <f>IFERROR(__xludf.DUMMYFUNCTION("""COMPUTED_VALUE"""),44971.0)</f>
        <v>44971</v>
      </c>
      <c r="C5704" s="266" t="str">
        <f>IFERROR(__xludf.DUMMYFUNCTION("""COMPUTED_VALUE"""),"KYAI KONTONG")</f>
        <v>KYAI KONTONG</v>
      </c>
      <c r="D5704" s="186">
        <f>IFERROR(__xludf.DUMMYFUNCTION("""COMPUTED_VALUE"""),36.0)</f>
        <v>36</v>
      </c>
    </row>
    <row r="5705">
      <c r="A5705" s="178" t="str">
        <f>IFERROR(__xludf.DUMMYFUNCTION("""COMPUTED_VALUE"""),"ITBISA-IC-NE555P-DIP8")</f>
        <v>ITBISA-IC-NE555P-DIP8</v>
      </c>
      <c r="B5705" s="266">
        <f>IFERROR(__xludf.DUMMYFUNCTION("""COMPUTED_VALUE"""),44971.0)</f>
        <v>44971</v>
      </c>
      <c r="C5705" s="266" t="str">
        <f>IFERROR(__xludf.DUMMYFUNCTION("""COMPUTED_VALUE"""),"KYAI KONTONG")</f>
        <v>KYAI KONTONG</v>
      </c>
      <c r="D5705" s="186">
        <f>IFERROR(__xludf.DUMMYFUNCTION("""COMPUTED_VALUE"""),50.0)</f>
        <v>50</v>
      </c>
    </row>
    <row r="5706">
      <c r="A5706" s="178" t="str">
        <f>IFERROR(__xludf.DUMMYFUNCTION("""COMPUTED_VALUE"""),"ITBISA-IC-NE555P-DIP8")</f>
        <v>ITBISA-IC-NE555P-DIP8</v>
      </c>
      <c r="B5706" s="266">
        <f>IFERROR(__xludf.DUMMYFUNCTION("""COMPUTED_VALUE"""),44972.0)</f>
        <v>44972</v>
      </c>
      <c r="C5706" s="266" t="str">
        <f>IFERROR(__xludf.DUMMYFUNCTION("""COMPUTED_VALUE"""),"KYAI KONTONG")</f>
        <v>KYAI KONTONG</v>
      </c>
      <c r="D5706" s="186">
        <f>IFERROR(__xludf.DUMMYFUNCTION("""COMPUTED_VALUE"""),1.0)</f>
        <v>1</v>
      </c>
    </row>
    <row r="5707">
      <c r="A5707" s="178" t="str">
        <f>IFERROR(__xludf.DUMMYFUNCTION("""COMPUTED_VALUE"""),"ITBISA-IC-NE555P-DIP8")</f>
        <v>ITBISA-IC-NE555P-DIP8</v>
      </c>
      <c r="B5707" s="266">
        <f>IFERROR(__xludf.DUMMYFUNCTION("""COMPUTED_VALUE"""),44972.0)</f>
        <v>44972</v>
      </c>
      <c r="C5707" s="266" t="str">
        <f>IFERROR(__xludf.DUMMYFUNCTION("""COMPUTED_VALUE"""),"KYAI KONTONG")</f>
        <v>KYAI KONTONG</v>
      </c>
      <c r="D5707" s="186">
        <f>IFERROR(__xludf.DUMMYFUNCTION("""COMPUTED_VALUE"""),100.0)</f>
        <v>100</v>
      </c>
    </row>
    <row r="5708">
      <c r="A5708" s="178" t="str">
        <f>IFERROR(__xludf.DUMMYFUNCTION("""COMPUTED_VALUE"""),"ITBISA-IC-NE555P-DIP8")</f>
        <v>ITBISA-IC-NE555P-DIP8</v>
      </c>
      <c r="B5708" s="266">
        <f>IFERROR(__xludf.DUMMYFUNCTION("""COMPUTED_VALUE"""),44973.0)</f>
        <v>44973</v>
      </c>
      <c r="C5708" s="266" t="str">
        <f>IFERROR(__xludf.DUMMYFUNCTION("""COMPUTED_VALUE"""),"KYAI KONTONG")</f>
        <v>KYAI KONTONG</v>
      </c>
      <c r="D5708" s="186">
        <f>IFERROR(__xludf.DUMMYFUNCTION("""COMPUTED_VALUE"""),8.0)</f>
        <v>8</v>
      </c>
    </row>
    <row r="5709">
      <c r="A5709" s="178" t="str">
        <f>IFERROR(__xludf.DUMMYFUNCTION("""COMPUTED_VALUE"""),"ITBISA-IC-NE555P-DIP8")</f>
        <v>ITBISA-IC-NE555P-DIP8</v>
      </c>
      <c r="B5709" s="266">
        <f>IFERROR(__xludf.DUMMYFUNCTION("""COMPUTED_VALUE"""),44973.0)</f>
        <v>44973</v>
      </c>
      <c r="C5709" s="266" t="str">
        <f>IFERROR(__xludf.DUMMYFUNCTION("""COMPUTED_VALUE"""),"KYAI KONTONG")</f>
        <v>KYAI KONTONG</v>
      </c>
      <c r="D5709" s="186">
        <f>IFERROR(__xludf.DUMMYFUNCTION("""COMPUTED_VALUE"""),10.0)</f>
        <v>10</v>
      </c>
    </row>
    <row r="5710">
      <c r="A5710" s="178" t="str">
        <f>IFERROR(__xludf.DUMMYFUNCTION("""COMPUTED_VALUE"""),"ITBISA-IC-NE555P-DIP8")</f>
        <v>ITBISA-IC-NE555P-DIP8</v>
      </c>
      <c r="B5710" s="266">
        <f>IFERROR(__xludf.DUMMYFUNCTION("""COMPUTED_VALUE"""),44976.0)</f>
        <v>44976</v>
      </c>
      <c r="C5710" s="266" t="str">
        <f>IFERROR(__xludf.DUMMYFUNCTION("""COMPUTED_VALUE"""),"KYAI KONTONG")</f>
        <v>KYAI KONTONG</v>
      </c>
      <c r="D5710" s="186">
        <f>IFERROR(__xludf.DUMMYFUNCTION("""COMPUTED_VALUE"""),10.0)</f>
        <v>10</v>
      </c>
    </row>
    <row r="5711">
      <c r="A5711" s="178" t="str">
        <f>IFERROR(__xludf.DUMMYFUNCTION("""COMPUTED_VALUE"""),"ITBISA-IC-NE555P-DIP8")</f>
        <v>ITBISA-IC-NE555P-DIP8</v>
      </c>
      <c r="B5711" s="266">
        <f>IFERROR(__xludf.DUMMYFUNCTION("""COMPUTED_VALUE"""),44977.0)</f>
        <v>44977</v>
      </c>
      <c r="C5711" s="266" t="str">
        <f>IFERROR(__xludf.DUMMYFUNCTION("""COMPUTED_VALUE"""),"KYAI KONTONG")</f>
        <v>KYAI KONTONG</v>
      </c>
      <c r="D5711" s="186">
        <f>IFERROR(__xludf.DUMMYFUNCTION("""COMPUTED_VALUE"""),50.0)</f>
        <v>50</v>
      </c>
    </row>
    <row r="5712">
      <c r="A5712" s="178" t="str">
        <f>IFERROR(__xludf.DUMMYFUNCTION("""COMPUTED_VALUE"""),"ITBISA-IC-NE555P-DIP8")</f>
        <v>ITBISA-IC-NE555P-DIP8</v>
      </c>
      <c r="B5712" s="266">
        <f>IFERROR(__xludf.DUMMYFUNCTION("""COMPUTED_VALUE"""),44977.0)</f>
        <v>44977</v>
      </c>
      <c r="C5712" s="266" t="str">
        <f>IFERROR(__xludf.DUMMYFUNCTION("""COMPUTED_VALUE"""),"KYAI KONTONG")</f>
        <v>KYAI KONTONG</v>
      </c>
      <c r="D5712" s="186">
        <f>IFERROR(__xludf.DUMMYFUNCTION("""COMPUTED_VALUE"""),1000.0)</f>
        <v>1000</v>
      </c>
    </row>
    <row r="5713">
      <c r="A5713" s="178" t="str">
        <f>IFERROR(__xludf.DUMMYFUNCTION("""COMPUTED_VALUE"""),"ITBISA-IC-NE555P-DIP8")</f>
        <v>ITBISA-IC-NE555P-DIP8</v>
      </c>
      <c r="B5713" s="266">
        <f>IFERROR(__xludf.DUMMYFUNCTION("""COMPUTED_VALUE"""),44979.0)</f>
        <v>44979</v>
      </c>
      <c r="C5713" s="266" t="str">
        <f>IFERROR(__xludf.DUMMYFUNCTION("""COMPUTED_VALUE"""),"KYAI KONTONG")</f>
        <v>KYAI KONTONG</v>
      </c>
      <c r="D5713" s="186">
        <f>IFERROR(__xludf.DUMMYFUNCTION("""COMPUTED_VALUE"""),10.0)</f>
        <v>10</v>
      </c>
    </row>
    <row r="5714">
      <c r="A5714" s="178" t="str">
        <f>IFERROR(__xludf.DUMMYFUNCTION("""COMPUTED_VALUE"""),"ITBISA-IC-NE555P-DIP8")</f>
        <v>ITBISA-IC-NE555P-DIP8</v>
      </c>
      <c r="B5714" s="266">
        <f>IFERROR(__xludf.DUMMYFUNCTION("""COMPUTED_VALUE"""),44980.0)</f>
        <v>44980</v>
      </c>
      <c r="C5714" s="266" t="str">
        <f>IFERROR(__xludf.DUMMYFUNCTION("""COMPUTED_VALUE"""),"KYAI KONTONG")</f>
        <v>KYAI KONTONG</v>
      </c>
      <c r="D5714" s="186">
        <f>IFERROR(__xludf.DUMMYFUNCTION("""COMPUTED_VALUE"""),5.0)</f>
        <v>5</v>
      </c>
    </row>
    <row r="5715">
      <c r="A5715" s="178" t="str">
        <f>IFERROR(__xludf.DUMMYFUNCTION("""COMPUTED_VALUE"""),"ITBISA-IC-NE555P-DIP8")</f>
        <v>ITBISA-IC-NE555P-DIP8</v>
      </c>
      <c r="B5715" s="266">
        <f>IFERROR(__xludf.DUMMYFUNCTION("""COMPUTED_VALUE"""),44981.0)</f>
        <v>44981</v>
      </c>
      <c r="C5715" s="266" t="str">
        <f>IFERROR(__xludf.DUMMYFUNCTION("""COMPUTED_VALUE"""),"KYAI KONTONG")</f>
        <v>KYAI KONTONG</v>
      </c>
      <c r="D5715" s="186">
        <f>IFERROR(__xludf.DUMMYFUNCTION("""COMPUTED_VALUE"""),10.0)</f>
        <v>10</v>
      </c>
    </row>
    <row r="5716">
      <c r="A5716" s="178" t="str">
        <f>IFERROR(__xludf.DUMMYFUNCTION("""COMPUTED_VALUE"""),"ITBISA-IC-NE555P-DIP8")</f>
        <v>ITBISA-IC-NE555P-DIP8</v>
      </c>
      <c r="B5716" s="266">
        <f>IFERROR(__xludf.DUMMYFUNCTION("""COMPUTED_VALUE"""),44981.0)</f>
        <v>44981</v>
      </c>
      <c r="C5716" s="266" t="str">
        <f>IFERROR(__xludf.DUMMYFUNCTION("""COMPUTED_VALUE"""),"KYAI KONTONG")</f>
        <v>KYAI KONTONG</v>
      </c>
      <c r="D5716" s="186">
        <f>IFERROR(__xludf.DUMMYFUNCTION("""COMPUTED_VALUE"""),100.0)</f>
        <v>100</v>
      </c>
    </row>
    <row r="5717">
      <c r="A5717" s="178" t="str">
        <f>IFERROR(__xludf.DUMMYFUNCTION("""COMPUTED_VALUE"""),"ITBISA-IC-NE555P-DIP8")</f>
        <v>ITBISA-IC-NE555P-DIP8</v>
      </c>
      <c r="B5717" s="266">
        <f>IFERROR(__xludf.DUMMYFUNCTION("""COMPUTED_VALUE"""),44982.0)</f>
        <v>44982</v>
      </c>
      <c r="C5717" s="266" t="str">
        <f>IFERROR(__xludf.DUMMYFUNCTION("""COMPUTED_VALUE"""),"KYAI KONTONG")</f>
        <v>KYAI KONTONG</v>
      </c>
      <c r="D5717" s="186">
        <f>IFERROR(__xludf.DUMMYFUNCTION("""COMPUTED_VALUE"""),4.0)</f>
        <v>4</v>
      </c>
    </row>
    <row r="5718">
      <c r="A5718" s="178" t="str">
        <f>IFERROR(__xludf.DUMMYFUNCTION("""COMPUTED_VALUE"""),"ITBISA-IC-NE555P-DIP8")</f>
        <v>ITBISA-IC-NE555P-DIP8</v>
      </c>
      <c r="B5718" s="266">
        <f>IFERROR(__xludf.DUMMYFUNCTION("""COMPUTED_VALUE"""),44982.0)</f>
        <v>44982</v>
      </c>
      <c r="C5718" s="266" t="str">
        <f>IFERROR(__xludf.DUMMYFUNCTION("""COMPUTED_VALUE"""),"KYAI KONTONG")</f>
        <v>KYAI KONTONG</v>
      </c>
      <c r="D5718" s="186">
        <f>IFERROR(__xludf.DUMMYFUNCTION("""COMPUTED_VALUE"""),11.0)</f>
        <v>11</v>
      </c>
    </row>
    <row r="5719">
      <c r="A5719" s="178" t="str">
        <f>IFERROR(__xludf.DUMMYFUNCTION("""COMPUTED_VALUE"""),"ITBISA-IC-NE555P-DIP8")</f>
        <v>ITBISA-IC-NE555P-DIP8</v>
      </c>
      <c r="B5719" s="266">
        <f>IFERROR(__xludf.DUMMYFUNCTION("""COMPUTED_VALUE"""),44982.0)</f>
        <v>44982</v>
      </c>
      <c r="C5719" s="266" t="str">
        <f>IFERROR(__xludf.DUMMYFUNCTION("""COMPUTED_VALUE"""),"KYAI KONTONG")</f>
        <v>KYAI KONTONG</v>
      </c>
      <c r="D5719" s="186">
        <f>IFERROR(__xludf.DUMMYFUNCTION("""COMPUTED_VALUE"""),50.0)</f>
        <v>50</v>
      </c>
    </row>
    <row r="5720">
      <c r="A5720" s="178" t="str">
        <f>IFERROR(__xludf.DUMMYFUNCTION("""COMPUTED_VALUE"""),"ITBISA-IC-NE555P-DIP8")</f>
        <v>ITBISA-IC-NE555P-DIP8</v>
      </c>
      <c r="B5720" s="266">
        <f>IFERROR(__xludf.DUMMYFUNCTION("""COMPUTED_VALUE"""),44984.0)</f>
        <v>44984</v>
      </c>
      <c r="C5720" s="266" t="str">
        <f>IFERROR(__xludf.DUMMYFUNCTION("""COMPUTED_VALUE"""),"KYAI KONTONG")</f>
        <v>KYAI KONTONG</v>
      </c>
      <c r="D5720" s="186">
        <f>IFERROR(__xludf.DUMMYFUNCTION("""COMPUTED_VALUE"""),20.0)</f>
        <v>20</v>
      </c>
    </row>
    <row r="5721">
      <c r="A5721" s="178" t="str">
        <f>IFERROR(__xludf.DUMMYFUNCTION("""COMPUTED_VALUE"""),"ITBISA-IC-NE555P-DIP8")</f>
        <v>ITBISA-IC-NE555P-DIP8</v>
      </c>
      <c r="B5721" s="266">
        <f>IFERROR(__xludf.DUMMYFUNCTION("""COMPUTED_VALUE"""),44986.0)</f>
        <v>44986</v>
      </c>
      <c r="C5721" s="266" t="str">
        <f>IFERROR(__xludf.DUMMYFUNCTION("""COMPUTED_VALUE"""),"KYAI KONTONG")</f>
        <v>KYAI KONTONG</v>
      </c>
      <c r="D5721" s="186">
        <f>IFERROR(__xludf.DUMMYFUNCTION("""COMPUTED_VALUE"""),3.0)</f>
        <v>3</v>
      </c>
    </row>
    <row r="5722">
      <c r="A5722" s="178" t="str">
        <f>IFERROR(__xludf.DUMMYFUNCTION("""COMPUTED_VALUE"""),"ITBISA-IC-NE555P-DIP8")</f>
        <v>ITBISA-IC-NE555P-DIP8</v>
      </c>
      <c r="B5722" s="266">
        <f>IFERROR(__xludf.DUMMYFUNCTION("""COMPUTED_VALUE"""),44986.0)</f>
        <v>44986</v>
      </c>
      <c r="C5722" s="266" t="str">
        <f>IFERROR(__xludf.DUMMYFUNCTION("""COMPUTED_VALUE"""),"KYAI KONTONG")</f>
        <v>KYAI KONTONG</v>
      </c>
      <c r="D5722" s="186">
        <f>IFERROR(__xludf.DUMMYFUNCTION("""COMPUTED_VALUE"""),200.0)</f>
        <v>200</v>
      </c>
    </row>
    <row r="5723">
      <c r="A5723" s="178" t="str">
        <f>IFERROR(__xludf.DUMMYFUNCTION("""COMPUTED_VALUE"""),"ITBISA-IC-NE555P-DIP8")</f>
        <v>ITBISA-IC-NE555P-DIP8</v>
      </c>
      <c r="B5723" s="266">
        <f>IFERROR(__xludf.DUMMYFUNCTION("""COMPUTED_VALUE"""),44987.0)</f>
        <v>44987</v>
      </c>
      <c r="C5723" s="266" t="str">
        <f>IFERROR(__xludf.DUMMYFUNCTION("""COMPUTED_VALUE"""),"KYAI KONTONG")</f>
        <v>KYAI KONTONG</v>
      </c>
      <c r="D5723" s="186">
        <f>IFERROR(__xludf.DUMMYFUNCTION("""COMPUTED_VALUE"""),3.0)</f>
        <v>3</v>
      </c>
    </row>
    <row r="5724">
      <c r="A5724" s="178" t="str">
        <f>IFERROR(__xludf.DUMMYFUNCTION("""COMPUTED_VALUE"""),"ITBISA-IC-NE555P-DIP8")</f>
        <v>ITBISA-IC-NE555P-DIP8</v>
      </c>
      <c r="B5724" s="266">
        <f>IFERROR(__xludf.DUMMYFUNCTION("""COMPUTED_VALUE"""),44987.0)</f>
        <v>44987</v>
      </c>
      <c r="C5724" s="266" t="str">
        <f>IFERROR(__xludf.DUMMYFUNCTION("""COMPUTED_VALUE"""),"KYAI KONTONG")</f>
        <v>KYAI KONTONG</v>
      </c>
      <c r="D5724" s="186">
        <f>IFERROR(__xludf.DUMMYFUNCTION("""COMPUTED_VALUE"""),10.0)</f>
        <v>10</v>
      </c>
    </row>
    <row r="5725">
      <c r="A5725" s="178" t="str">
        <f>IFERROR(__xludf.DUMMYFUNCTION("""COMPUTED_VALUE"""),"ITBISA-IC-NE555P-DIP8")</f>
        <v>ITBISA-IC-NE555P-DIP8</v>
      </c>
      <c r="B5725" s="266">
        <f>IFERROR(__xludf.DUMMYFUNCTION("""COMPUTED_VALUE"""),44988.0)</f>
        <v>44988</v>
      </c>
      <c r="C5725" s="266" t="str">
        <f>IFERROR(__xludf.DUMMYFUNCTION("""COMPUTED_VALUE"""),"KYAI KONTONG")</f>
        <v>KYAI KONTONG</v>
      </c>
      <c r="D5725" s="186">
        <f>IFERROR(__xludf.DUMMYFUNCTION("""COMPUTED_VALUE"""),7.0)</f>
        <v>7</v>
      </c>
    </row>
    <row r="5726">
      <c r="A5726" s="178" t="str">
        <f>IFERROR(__xludf.DUMMYFUNCTION("""COMPUTED_VALUE"""),"ITBISA-IC-NE555P-DIP8")</f>
        <v>ITBISA-IC-NE555P-DIP8</v>
      </c>
      <c r="B5726" s="266">
        <f>IFERROR(__xludf.DUMMYFUNCTION("""COMPUTED_VALUE"""),44991.0)</f>
        <v>44991</v>
      </c>
      <c r="C5726" s="266" t="str">
        <f>IFERROR(__xludf.DUMMYFUNCTION("""COMPUTED_VALUE"""),"KYAI KONTONG")</f>
        <v>KYAI KONTONG</v>
      </c>
      <c r="D5726" s="186">
        <f>IFERROR(__xludf.DUMMYFUNCTION("""COMPUTED_VALUE"""),2.0)</f>
        <v>2</v>
      </c>
    </row>
    <row r="5727">
      <c r="A5727" s="178" t="str">
        <f>IFERROR(__xludf.DUMMYFUNCTION("""COMPUTED_VALUE"""),"ITBISA-IC-NE555P-DIP8")</f>
        <v>ITBISA-IC-NE555P-DIP8</v>
      </c>
      <c r="B5727" s="266">
        <f>IFERROR(__xludf.DUMMYFUNCTION("""COMPUTED_VALUE"""),44994.0)</f>
        <v>44994</v>
      </c>
      <c r="C5727" s="266" t="str">
        <f>IFERROR(__xludf.DUMMYFUNCTION("""COMPUTED_VALUE"""),"KYAI KONTONG")</f>
        <v>KYAI KONTONG</v>
      </c>
      <c r="D5727" s="186">
        <f>IFERROR(__xludf.DUMMYFUNCTION("""COMPUTED_VALUE"""),1000.0)</f>
        <v>1000</v>
      </c>
    </row>
    <row r="5728">
      <c r="A5728" s="178" t="str">
        <f>IFERROR(__xludf.DUMMYFUNCTION("""COMPUTED_VALUE"""),"ITBISA-IC-NE555P-DIP8")</f>
        <v>ITBISA-IC-NE555P-DIP8</v>
      </c>
      <c r="B5728" s="266">
        <f>IFERROR(__xludf.DUMMYFUNCTION("""COMPUTED_VALUE"""),44995.0)</f>
        <v>44995</v>
      </c>
      <c r="C5728" s="266" t="str">
        <f>IFERROR(__xludf.DUMMYFUNCTION("""COMPUTED_VALUE"""),"KYAI KONTONG")</f>
        <v>KYAI KONTONG</v>
      </c>
      <c r="D5728" s="186">
        <f>IFERROR(__xludf.DUMMYFUNCTION("""COMPUTED_VALUE"""),20.0)</f>
        <v>20</v>
      </c>
    </row>
    <row r="5729">
      <c r="A5729" s="178" t="str">
        <f>IFERROR(__xludf.DUMMYFUNCTION("""COMPUTED_VALUE"""),"ITBISA-IC-NE555P-DIP8")</f>
        <v>ITBISA-IC-NE555P-DIP8</v>
      </c>
      <c r="B5729" s="266">
        <f>IFERROR(__xludf.DUMMYFUNCTION("""COMPUTED_VALUE"""),44997.0)</f>
        <v>44997</v>
      </c>
      <c r="C5729" s="266" t="str">
        <f>IFERROR(__xludf.DUMMYFUNCTION("""COMPUTED_VALUE"""),"KYAI KONTONG")</f>
        <v>KYAI KONTONG</v>
      </c>
      <c r="D5729" s="186">
        <f>IFERROR(__xludf.DUMMYFUNCTION("""COMPUTED_VALUE"""),150.0)</f>
        <v>150</v>
      </c>
    </row>
    <row r="5730">
      <c r="A5730" s="178" t="str">
        <f>IFERROR(__xludf.DUMMYFUNCTION("""COMPUTED_VALUE"""),"ITBISA-IC-NE555P-DIP8")</f>
        <v>ITBISA-IC-NE555P-DIP8</v>
      </c>
      <c r="B5730" s="266">
        <f>IFERROR(__xludf.DUMMYFUNCTION("""COMPUTED_VALUE"""),44998.0)</f>
        <v>44998</v>
      </c>
      <c r="C5730" s="266" t="str">
        <f>IFERROR(__xludf.DUMMYFUNCTION("""COMPUTED_VALUE"""),"KYAI KONTONG")</f>
        <v>KYAI KONTONG</v>
      </c>
      <c r="D5730" s="186">
        <f>IFERROR(__xludf.DUMMYFUNCTION("""COMPUTED_VALUE"""),400.0)</f>
        <v>400</v>
      </c>
    </row>
    <row r="5731">
      <c r="A5731" s="178" t="str">
        <f>IFERROR(__xludf.DUMMYFUNCTION("""COMPUTED_VALUE"""),"ITBISA-IC-NE555P-DIP8")</f>
        <v>ITBISA-IC-NE555P-DIP8</v>
      </c>
      <c r="B5731" s="266">
        <f>IFERROR(__xludf.DUMMYFUNCTION("""COMPUTED_VALUE"""),44999.0)</f>
        <v>44999</v>
      </c>
      <c r="C5731" s="266" t="str">
        <f>IFERROR(__xludf.DUMMYFUNCTION("""COMPUTED_VALUE"""),"KYAI KONTONG")</f>
        <v>KYAI KONTONG</v>
      </c>
      <c r="D5731" s="186">
        <f>IFERROR(__xludf.DUMMYFUNCTION("""COMPUTED_VALUE"""),200.0)</f>
        <v>200</v>
      </c>
    </row>
    <row r="5732">
      <c r="A5732" s="178" t="str">
        <f>IFERROR(__xludf.DUMMYFUNCTION("""COMPUTED_VALUE"""),"ITBISA-IC-NE555P-DIP8")</f>
        <v>ITBISA-IC-NE555P-DIP8</v>
      </c>
      <c r="B5732" s="266">
        <f>IFERROR(__xludf.DUMMYFUNCTION("""COMPUTED_VALUE"""),45000.0)</f>
        <v>45000</v>
      </c>
      <c r="C5732" s="266" t="str">
        <f>IFERROR(__xludf.DUMMYFUNCTION("""COMPUTED_VALUE"""),"KYAI KONTONG")</f>
        <v>KYAI KONTONG</v>
      </c>
      <c r="D5732" s="186">
        <f>IFERROR(__xludf.DUMMYFUNCTION("""COMPUTED_VALUE"""),50.0)</f>
        <v>50</v>
      </c>
    </row>
    <row r="5733">
      <c r="A5733" s="178" t="str">
        <f>IFERROR(__xludf.DUMMYFUNCTION("""COMPUTED_VALUE"""),"ITBISA-IC-NE555P-DIP8")</f>
        <v>ITBISA-IC-NE555P-DIP8</v>
      </c>
      <c r="B5733" s="266">
        <f>IFERROR(__xludf.DUMMYFUNCTION("""COMPUTED_VALUE"""),45001.0)</f>
        <v>45001</v>
      </c>
      <c r="C5733" s="266" t="str">
        <f>IFERROR(__xludf.DUMMYFUNCTION("""COMPUTED_VALUE"""),"KYAI KONTONG")</f>
        <v>KYAI KONTONG</v>
      </c>
      <c r="D5733" s="186">
        <f>IFERROR(__xludf.DUMMYFUNCTION("""COMPUTED_VALUE"""),1.0)</f>
        <v>1</v>
      </c>
    </row>
    <row r="5734">
      <c r="A5734" s="178" t="str">
        <f>IFERROR(__xludf.DUMMYFUNCTION("""COMPUTED_VALUE"""),"ITBISA-IC-NE555P-DIP8")</f>
        <v>ITBISA-IC-NE555P-DIP8</v>
      </c>
      <c r="B5734" s="266">
        <f>IFERROR(__xludf.DUMMYFUNCTION("""COMPUTED_VALUE"""),45002.0)</f>
        <v>45002</v>
      </c>
      <c r="C5734" s="266" t="str">
        <f>IFERROR(__xludf.DUMMYFUNCTION("""COMPUTED_VALUE"""),"KYAI KONTONG")</f>
        <v>KYAI KONTONG</v>
      </c>
      <c r="D5734" s="186">
        <f>IFERROR(__xludf.DUMMYFUNCTION("""COMPUTED_VALUE"""),20.0)</f>
        <v>20</v>
      </c>
    </row>
    <row r="5735">
      <c r="A5735" s="178" t="str">
        <f>IFERROR(__xludf.DUMMYFUNCTION("""COMPUTED_VALUE"""),"ITBISA-IC-NE555P-DIP8")</f>
        <v>ITBISA-IC-NE555P-DIP8</v>
      </c>
      <c r="B5735" s="266">
        <f>IFERROR(__xludf.DUMMYFUNCTION("""COMPUTED_VALUE"""),45002.0)</f>
        <v>45002</v>
      </c>
      <c r="C5735" s="266" t="str">
        <f>IFERROR(__xludf.DUMMYFUNCTION("""COMPUTED_VALUE"""),"KYAI KONTONG")</f>
        <v>KYAI KONTONG</v>
      </c>
      <c r="D5735" s="186">
        <f>IFERROR(__xludf.DUMMYFUNCTION("""COMPUTED_VALUE"""),62.0)</f>
        <v>62</v>
      </c>
    </row>
    <row r="5736">
      <c r="A5736" s="178" t="str">
        <f>IFERROR(__xludf.DUMMYFUNCTION("""COMPUTED_VALUE"""),"ITBISA-IC-NE555P-DIP8")</f>
        <v>ITBISA-IC-NE555P-DIP8</v>
      </c>
      <c r="B5736" s="266">
        <f>IFERROR(__xludf.DUMMYFUNCTION("""COMPUTED_VALUE"""),45003.0)</f>
        <v>45003</v>
      </c>
      <c r="C5736" s="266" t="str">
        <f>IFERROR(__xludf.DUMMYFUNCTION("""COMPUTED_VALUE"""),"KYAI KONTONG")</f>
        <v>KYAI KONTONG</v>
      </c>
      <c r="D5736" s="186">
        <f>IFERROR(__xludf.DUMMYFUNCTION("""COMPUTED_VALUE"""),2.0)</f>
        <v>2</v>
      </c>
    </row>
    <row r="5737">
      <c r="A5737" s="178" t="str">
        <f>IFERROR(__xludf.DUMMYFUNCTION("""COMPUTED_VALUE"""),"ITBISA-IC-NE555P-DIP8")</f>
        <v>ITBISA-IC-NE555P-DIP8</v>
      </c>
      <c r="B5737" s="266">
        <f>IFERROR(__xludf.DUMMYFUNCTION("""COMPUTED_VALUE"""),45007.0)</f>
        <v>45007</v>
      </c>
      <c r="C5737" s="266" t="str">
        <f>IFERROR(__xludf.DUMMYFUNCTION("""COMPUTED_VALUE"""),"KYAI KONTONG")</f>
        <v>KYAI KONTONG</v>
      </c>
      <c r="D5737" s="186">
        <f>IFERROR(__xludf.DUMMYFUNCTION("""COMPUTED_VALUE"""),4.0)</f>
        <v>4</v>
      </c>
    </row>
    <row r="5738">
      <c r="A5738" s="178" t="str">
        <f>IFERROR(__xludf.DUMMYFUNCTION("""COMPUTED_VALUE"""),"ITBISA-IC-NE555P-DIP8")</f>
        <v>ITBISA-IC-NE555P-DIP8</v>
      </c>
      <c r="B5738" s="266">
        <f>IFERROR(__xludf.DUMMYFUNCTION("""COMPUTED_VALUE"""),45008.0)</f>
        <v>45008</v>
      </c>
      <c r="C5738" s="266" t="str">
        <f>IFERROR(__xludf.DUMMYFUNCTION("""COMPUTED_VALUE"""),"KYAI KONTONG")</f>
        <v>KYAI KONTONG</v>
      </c>
      <c r="D5738" s="186">
        <f>IFERROR(__xludf.DUMMYFUNCTION("""COMPUTED_VALUE"""),4.0)</f>
        <v>4</v>
      </c>
    </row>
    <row r="5739">
      <c r="A5739" s="178" t="str">
        <f>IFERROR(__xludf.DUMMYFUNCTION("""COMPUTED_VALUE"""),"ITBISA-IC-NE555P-DIP8")</f>
        <v>ITBISA-IC-NE555P-DIP8</v>
      </c>
      <c r="B5739" s="266">
        <f>IFERROR(__xludf.DUMMYFUNCTION("""COMPUTED_VALUE"""),45008.0)</f>
        <v>45008</v>
      </c>
      <c r="C5739" s="266" t="str">
        <f>IFERROR(__xludf.DUMMYFUNCTION("""COMPUTED_VALUE"""),"KYAI KONTONG")</f>
        <v>KYAI KONTONG</v>
      </c>
      <c r="D5739" s="186">
        <f>IFERROR(__xludf.DUMMYFUNCTION("""COMPUTED_VALUE"""),20.0)</f>
        <v>20</v>
      </c>
    </row>
    <row r="5740">
      <c r="A5740" s="178" t="str">
        <f>IFERROR(__xludf.DUMMYFUNCTION("""COMPUTED_VALUE"""),"ITBISA-IC-NE555P-DIP8")</f>
        <v>ITBISA-IC-NE555P-DIP8</v>
      </c>
      <c r="B5740" s="266">
        <f>IFERROR(__xludf.DUMMYFUNCTION("""COMPUTED_VALUE"""),45008.0)</f>
        <v>45008</v>
      </c>
      <c r="C5740" s="266" t="str">
        <f>IFERROR(__xludf.DUMMYFUNCTION("""COMPUTED_VALUE"""),"KYAI KONTONG")</f>
        <v>KYAI KONTONG</v>
      </c>
      <c r="D5740" s="186">
        <f>IFERROR(__xludf.DUMMYFUNCTION("""COMPUTED_VALUE"""),50.0)</f>
        <v>50</v>
      </c>
    </row>
    <row r="5741">
      <c r="A5741" s="178" t="str">
        <f>IFERROR(__xludf.DUMMYFUNCTION("""COMPUTED_VALUE"""),"ITBISA-IC-NE555P-DIP8")</f>
        <v>ITBISA-IC-NE555P-DIP8</v>
      </c>
      <c r="B5741" s="266">
        <f>IFERROR(__xludf.DUMMYFUNCTION("""COMPUTED_VALUE"""),45008.0)</f>
        <v>45008</v>
      </c>
      <c r="C5741" s="266" t="str">
        <f>IFERROR(__xludf.DUMMYFUNCTION("""COMPUTED_VALUE"""),"KYAI KONTONG")</f>
        <v>KYAI KONTONG</v>
      </c>
      <c r="D5741" s="186">
        <f>IFERROR(__xludf.DUMMYFUNCTION("""COMPUTED_VALUE"""),100.0)</f>
        <v>100</v>
      </c>
    </row>
    <row r="5742">
      <c r="A5742" s="178" t="str">
        <f>IFERROR(__xludf.DUMMYFUNCTION("""COMPUTED_VALUE"""),"ITBISA-IC-NE555P-DIP8")</f>
        <v>ITBISA-IC-NE555P-DIP8</v>
      </c>
      <c r="B5742" s="266">
        <f>IFERROR(__xludf.DUMMYFUNCTION("""COMPUTED_VALUE"""),45009.0)</f>
        <v>45009</v>
      </c>
      <c r="C5742" s="266" t="str">
        <f>IFERROR(__xludf.DUMMYFUNCTION("""COMPUTED_VALUE"""),"KYAI KONTONG")</f>
        <v>KYAI KONTONG</v>
      </c>
      <c r="D5742" s="186">
        <f>IFERROR(__xludf.DUMMYFUNCTION("""COMPUTED_VALUE"""),200.0)</f>
        <v>200</v>
      </c>
    </row>
    <row r="5743">
      <c r="A5743" s="178" t="str">
        <f>IFERROR(__xludf.DUMMYFUNCTION("""COMPUTED_VALUE"""),"ITBISA-IC-NE555P-DIP8")</f>
        <v>ITBISA-IC-NE555P-DIP8</v>
      </c>
      <c r="B5743" s="266">
        <f>IFERROR(__xludf.DUMMYFUNCTION("""COMPUTED_VALUE"""),45010.0)</f>
        <v>45010</v>
      </c>
      <c r="C5743" s="266" t="str">
        <f>IFERROR(__xludf.DUMMYFUNCTION("""COMPUTED_VALUE"""),"KYAI KONTONG")</f>
        <v>KYAI KONTONG</v>
      </c>
      <c r="D5743" s="186">
        <f>IFERROR(__xludf.DUMMYFUNCTION("""COMPUTED_VALUE"""),1.0)</f>
        <v>1</v>
      </c>
    </row>
    <row r="5744">
      <c r="A5744" s="178" t="str">
        <f>IFERROR(__xludf.DUMMYFUNCTION("""COMPUTED_VALUE"""),"ITBISA-IC-NE555P-DIP8")</f>
        <v>ITBISA-IC-NE555P-DIP8</v>
      </c>
      <c r="B5744" s="266">
        <f>IFERROR(__xludf.DUMMYFUNCTION("""COMPUTED_VALUE"""),45010.0)</f>
        <v>45010</v>
      </c>
      <c r="C5744" s="266" t="str">
        <f>IFERROR(__xludf.DUMMYFUNCTION("""COMPUTED_VALUE"""),"KYAI KONTONG")</f>
        <v>KYAI KONTONG</v>
      </c>
      <c r="D5744" s="186">
        <f>IFERROR(__xludf.DUMMYFUNCTION("""COMPUTED_VALUE"""),100.0)</f>
        <v>100</v>
      </c>
    </row>
    <row r="5745">
      <c r="A5745" s="178" t="str">
        <f>IFERROR(__xludf.DUMMYFUNCTION("""COMPUTED_VALUE"""),"ITBISA-IC-NE555P-DIP8")</f>
        <v>ITBISA-IC-NE555P-DIP8</v>
      </c>
      <c r="B5745" s="266">
        <f>IFERROR(__xludf.DUMMYFUNCTION("""COMPUTED_VALUE"""),45013.0)</f>
        <v>45013</v>
      </c>
      <c r="C5745" s="266" t="str">
        <f>IFERROR(__xludf.DUMMYFUNCTION("""COMPUTED_VALUE"""),"KERTASARI CIAMIS")</f>
        <v>KERTASARI CIAMIS</v>
      </c>
      <c r="D5745" s="186">
        <f>IFERROR(__xludf.DUMMYFUNCTION("""COMPUTED_VALUE"""),4.0)</f>
        <v>4</v>
      </c>
    </row>
    <row r="5746">
      <c r="A5746" s="178" t="str">
        <f>IFERROR(__xludf.DUMMYFUNCTION("""COMPUTED_VALUE"""),"ITBISA-IC-NE555P-DIP8")</f>
        <v>ITBISA-IC-NE555P-DIP8</v>
      </c>
      <c r="B5746" s="266">
        <f>IFERROR(__xludf.DUMMYFUNCTION("""COMPUTED_VALUE"""),45013.0)</f>
        <v>45013</v>
      </c>
      <c r="C5746" s="266" t="str">
        <f>IFERROR(__xludf.DUMMYFUNCTION("""COMPUTED_VALUE"""),"KYAI KONTONG")</f>
        <v>KYAI KONTONG</v>
      </c>
      <c r="D5746" s="186">
        <f>IFERROR(__xludf.DUMMYFUNCTION("""COMPUTED_VALUE"""),50.0)</f>
        <v>50</v>
      </c>
    </row>
    <row r="5747">
      <c r="A5747" s="178" t="str">
        <f>IFERROR(__xludf.DUMMYFUNCTION("""COMPUTED_VALUE"""),"ITBISA-IC-NE555P-DIP8")</f>
        <v>ITBISA-IC-NE555P-DIP8</v>
      </c>
      <c r="B5747" s="266">
        <f>IFERROR(__xludf.DUMMYFUNCTION("""COMPUTED_VALUE"""),45014.0)</f>
        <v>45014</v>
      </c>
      <c r="C5747" s="266" t="str">
        <f>IFERROR(__xludf.DUMMYFUNCTION("""COMPUTED_VALUE"""),"KERTASARI CIAMIS")</f>
        <v>KERTASARI CIAMIS</v>
      </c>
      <c r="D5747" s="186">
        <f>IFERROR(__xludf.DUMMYFUNCTION("""COMPUTED_VALUE"""),15.0)</f>
        <v>15</v>
      </c>
    </row>
    <row r="5748">
      <c r="A5748" s="178" t="str">
        <f>IFERROR(__xludf.DUMMYFUNCTION("""COMPUTED_VALUE"""),"ITBISA-IC-NE555P-DIP8")</f>
        <v>ITBISA-IC-NE555P-DIP8</v>
      </c>
      <c r="B5748" s="266">
        <f>IFERROR(__xludf.DUMMYFUNCTION("""COMPUTED_VALUE"""),45015.0)</f>
        <v>45015</v>
      </c>
      <c r="C5748" s="266" t="str">
        <f>IFERROR(__xludf.DUMMYFUNCTION("""COMPUTED_VALUE"""),"KYAI KONTONG")</f>
        <v>KYAI KONTONG</v>
      </c>
      <c r="D5748" s="186">
        <f>IFERROR(__xludf.DUMMYFUNCTION("""COMPUTED_VALUE"""),10.0)</f>
        <v>10</v>
      </c>
    </row>
    <row r="5749">
      <c r="A5749" s="178" t="str">
        <f>IFERROR(__xludf.DUMMYFUNCTION("""COMPUTED_VALUE"""),"ITBISA-IC-NE555P-DIP8")</f>
        <v>ITBISA-IC-NE555P-DIP8</v>
      </c>
      <c r="B5749" s="266">
        <f>IFERROR(__xludf.DUMMYFUNCTION("""COMPUTED_VALUE"""),45017.0)</f>
        <v>45017</v>
      </c>
      <c r="C5749" s="266" t="str">
        <f>IFERROR(__xludf.DUMMYFUNCTION("""COMPUTED_VALUE"""),"KYAI KONTONG")</f>
        <v>KYAI KONTONG</v>
      </c>
      <c r="D5749" s="186">
        <f>IFERROR(__xludf.DUMMYFUNCTION("""COMPUTED_VALUE"""),10.0)</f>
        <v>10</v>
      </c>
    </row>
    <row r="5750">
      <c r="A5750" s="178" t="str">
        <f>IFERROR(__xludf.DUMMYFUNCTION("""COMPUTED_VALUE"""),"ITBISA-IC-NE555P-DIP8")</f>
        <v>ITBISA-IC-NE555P-DIP8</v>
      </c>
      <c r="B5750" s="266">
        <f>IFERROR(__xludf.DUMMYFUNCTION("""COMPUTED_VALUE"""),45017.0)</f>
        <v>45017</v>
      </c>
      <c r="C5750" s="266" t="str">
        <f>IFERROR(__xludf.DUMMYFUNCTION("""COMPUTED_VALUE"""),"KYAI KONTONG")</f>
        <v>KYAI KONTONG</v>
      </c>
      <c r="D5750" s="186">
        <f>IFERROR(__xludf.DUMMYFUNCTION("""COMPUTED_VALUE"""),120.0)</f>
        <v>120</v>
      </c>
    </row>
    <row r="5751">
      <c r="A5751" s="178" t="str">
        <f>IFERROR(__xludf.DUMMYFUNCTION("""COMPUTED_VALUE"""),"ITBISA-IC-NE555P-DIP8")</f>
        <v>ITBISA-IC-NE555P-DIP8</v>
      </c>
      <c r="B5751" s="266">
        <f>IFERROR(__xludf.DUMMYFUNCTION("""COMPUTED_VALUE"""),45018.0)</f>
        <v>45018</v>
      </c>
      <c r="C5751" s="266" t="str">
        <f>IFERROR(__xludf.DUMMYFUNCTION("""COMPUTED_VALUE"""),"KYAI KONTONG")</f>
        <v>KYAI KONTONG</v>
      </c>
      <c r="D5751" s="186">
        <f>IFERROR(__xludf.DUMMYFUNCTION("""COMPUTED_VALUE"""),10.0)</f>
        <v>10</v>
      </c>
    </row>
    <row r="5752">
      <c r="A5752" s="178" t="str">
        <f>IFERROR(__xludf.DUMMYFUNCTION("""COMPUTED_VALUE"""),"ITBISA-IC-NE555P-DIP8")</f>
        <v>ITBISA-IC-NE555P-DIP8</v>
      </c>
      <c r="B5752" s="266">
        <f>IFERROR(__xludf.DUMMYFUNCTION("""COMPUTED_VALUE"""),45020.0)</f>
        <v>45020</v>
      </c>
      <c r="C5752" s="266" t="str">
        <f>IFERROR(__xludf.DUMMYFUNCTION("""COMPUTED_VALUE"""),"KYAI KONTONG")</f>
        <v>KYAI KONTONG</v>
      </c>
      <c r="D5752" s="186">
        <f>IFERROR(__xludf.DUMMYFUNCTION("""COMPUTED_VALUE"""),5.0)</f>
        <v>5</v>
      </c>
    </row>
    <row r="5753">
      <c r="A5753" s="178" t="str">
        <f>IFERROR(__xludf.DUMMYFUNCTION("""COMPUTED_VALUE"""),"ITBISA-IC-NE555P-DIP8")</f>
        <v>ITBISA-IC-NE555P-DIP8</v>
      </c>
      <c r="B5753" s="266">
        <f>IFERROR(__xludf.DUMMYFUNCTION("""COMPUTED_VALUE"""),45020.0)</f>
        <v>45020</v>
      </c>
      <c r="C5753" s="266" t="str">
        <f>IFERROR(__xludf.DUMMYFUNCTION("""COMPUTED_VALUE"""),"KYAI KONTONG")</f>
        <v>KYAI KONTONG</v>
      </c>
      <c r="D5753" s="186">
        <f>IFERROR(__xludf.DUMMYFUNCTION("""COMPUTED_VALUE"""),10.0)</f>
        <v>10</v>
      </c>
    </row>
    <row r="5754">
      <c r="A5754" s="178" t="str">
        <f>IFERROR(__xludf.DUMMYFUNCTION("""COMPUTED_VALUE"""),"ITBISA-IC-NE555P-DIP8")</f>
        <v>ITBISA-IC-NE555P-DIP8</v>
      </c>
      <c r="B5754" s="266">
        <f>IFERROR(__xludf.DUMMYFUNCTION("""COMPUTED_VALUE"""),45022.0)</f>
        <v>45022</v>
      </c>
      <c r="C5754" s="266" t="str">
        <f>IFERROR(__xludf.DUMMYFUNCTION("""COMPUTED_VALUE"""),"KYAI KONTONG")</f>
        <v>KYAI KONTONG</v>
      </c>
      <c r="D5754" s="186">
        <f>IFERROR(__xludf.DUMMYFUNCTION("""COMPUTED_VALUE"""),5.0)</f>
        <v>5</v>
      </c>
    </row>
    <row r="5755">
      <c r="A5755" s="178" t="str">
        <f>IFERROR(__xludf.DUMMYFUNCTION("""COMPUTED_VALUE"""),"ITBISA-IC-NE555P-DIP8")</f>
        <v>ITBISA-IC-NE555P-DIP8</v>
      </c>
      <c r="B5755" s="266">
        <f>IFERROR(__xludf.DUMMYFUNCTION("""COMPUTED_VALUE"""),45023.0)</f>
        <v>45023</v>
      </c>
      <c r="C5755" s="266" t="str">
        <f>IFERROR(__xludf.DUMMYFUNCTION("""COMPUTED_VALUE"""),"KYAI KONTONG")</f>
        <v>KYAI KONTONG</v>
      </c>
      <c r="D5755" s="186">
        <f>IFERROR(__xludf.DUMMYFUNCTION("""COMPUTED_VALUE"""),10.0)</f>
        <v>10</v>
      </c>
    </row>
    <row r="5756">
      <c r="A5756" s="178" t="str">
        <f>IFERROR(__xludf.DUMMYFUNCTION("""COMPUTED_VALUE"""),"ITBISA-IC-NE555P-DIP8")</f>
        <v>ITBISA-IC-NE555P-DIP8</v>
      </c>
      <c r="B5756" s="266">
        <f>IFERROR(__xludf.DUMMYFUNCTION("""COMPUTED_VALUE"""),45024.0)</f>
        <v>45024</v>
      </c>
      <c r="C5756" s="266" t="str">
        <f>IFERROR(__xludf.DUMMYFUNCTION("""COMPUTED_VALUE"""),"KYAI KONTONG")</f>
        <v>KYAI KONTONG</v>
      </c>
      <c r="D5756" s="186">
        <f>IFERROR(__xludf.DUMMYFUNCTION("""COMPUTED_VALUE"""),10.0)</f>
        <v>10</v>
      </c>
    </row>
    <row r="5757">
      <c r="A5757" s="178" t="str">
        <f>IFERROR(__xludf.DUMMYFUNCTION("""COMPUTED_VALUE"""),"ITBISA-IC-NE555P-DIP8")</f>
        <v>ITBISA-IC-NE555P-DIP8</v>
      </c>
      <c r="B5757" s="266">
        <f>IFERROR(__xludf.DUMMYFUNCTION("""COMPUTED_VALUE"""),45025.0)</f>
        <v>45025</v>
      </c>
      <c r="C5757" s="266" t="str">
        <f>IFERROR(__xludf.DUMMYFUNCTION("""COMPUTED_VALUE"""),"KYAI KONTONG")</f>
        <v>KYAI KONTONG</v>
      </c>
      <c r="D5757" s="186">
        <f>IFERROR(__xludf.DUMMYFUNCTION("""COMPUTED_VALUE"""),50.0)</f>
        <v>50</v>
      </c>
    </row>
    <row r="5758">
      <c r="A5758" s="178" t="str">
        <f>IFERROR(__xludf.DUMMYFUNCTION("""COMPUTED_VALUE"""),"ITBISA-IC-NE555P-DIP8")</f>
        <v>ITBISA-IC-NE555P-DIP8</v>
      </c>
      <c r="B5758" s="266">
        <f>IFERROR(__xludf.DUMMYFUNCTION("""COMPUTED_VALUE"""),45026.0)</f>
        <v>45026</v>
      </c>
      <c r="C5758" s="266" t="str">
        <f>IFERROR(__xludf.DUMMYFUNCTION("""COMPUTED_VALUE"""),"KYAI KONTONG")</f>
        <v>KYAI KONTONG</v>
      </c>
      <c r="D5758" s="186">
        <f>IFERROR(__xludf.DUMMYFUNCTION("""COMPUTED_VALUE"""),1.0)</f>
        <v>1</v>
      </c>
    </row>
    <row r="5759">
      <c r="A5759" s="178" t="str">
        <f>IFERROR(__xludf.DUMMYFUNCTION("""COMPUTED_VALUE"""),"ITBISA-IC-NE555P-DIP8")</f>
        <v>ITBISA-IC-NE555P-DIP8</v>
      </c>
      <c r="B5759" s="266">
        <f>IFERROR(__xludf.DUMMYFUNCTION("""COMPUTED_VALUE"""),45026.0)</f>
        <v>45026</v>
      </c>
      <c r="C5759" s="266" t="str">
        <f>IFERROR(__xludf.DUMMYFUNCTION("""COMPUTED_VALUE"""),"KYAI KONTONG")</f>
        <v>KYAI KONTONG</v>
      </c>
      <c r="D5759" s="186">
        <f>IFERROR(__xludf.DUMMYFUNCTION("""COMPUTED_VALUE"""),50.0)</f>
        <v>50</v>
      </c>
    </row>
    <row r="5760">
      <c r="A5760" s="178" t="str">
        <f>IFERROR(__xludf.DUMMYFUNCTION("""COMPUTED_VALUE"""),"ITBISA-IC-NE555P-DIP8")</f>
        <v>ITBISA-IC-NE555P-DIP8</v>
      </c>
      <c r="B5760" s="266">
        <f>IFERROR(__xludf.DUMMYFUNCTION("""COMPUTED_VALUE"""),45029.0)</f>
        <v>45029</v>
      </c>
      <c r="C5760" s="266" t="str">
        <f>IFERROR(__xludf.DUMMYFUNCTION("""COMPUTED_VALUE"""),"KYAI KONTONG")</f>
        <v>KYAI KONTONG</v>
      </c>
      <c r="D5760" s="186">
        <f>IFERROR(__xludf.DUMMYFUNCTION("""COMPUTED_VALUE"""),50.0)</f>
        <v>50</v>
      </c>
    </row>
    <row r="5761">
      <c r="A5761" s="178" t="str">
        <f>IFERROR(__xludf.DUMMYFUNCTION("""COMPUTED_VALUE"""),"ITBISA-IC-NE555P-DIP8")</f>
        <v>ITBISA-IC-NE555P-DIP8</v>
      </c>
      <c r="B5761" s="266">
        <f>IFERROR(__xludf.DUMMYFUNCTION("""COMPUTED_VALUE"""),45030.0)</f>
        <v>45030</v>
      </c>
      <c r="C5761" s="266" t="str">
        <f>IFERROR(__xludf.DUMMYFUNCTION("""COMPUTED_VALUE"""),"KYAI KONTONG")</f>
        <v>KYAI KONTONG</v>
      </c>
      <c r="D5761" s="186">
        <f>IFERROR(__xludf.DUMMYFUNCTION("""COMPUTED_VALUE"""),3.0)</f>
        <v>3</v>
      </c>
    </row>
    <row r="5762">
      <c r="A5762" s="178" t="str">
        <f>IFERROR(__xludf.DUMMYFUNCTION("""COMPUTED_VALUE"""),"ITBISA-IC-NE555P-DIP8")</f>
        <v>ITBISA-IC-NE555P-DIP8</v>
      </c>
      <c r="B5762" s="266">
        <f>IFERROR(__xludf.DUMMYFUNCTION("""COMPUTED_VALUE"""),45031.0)</f>
        <v>45031</v>
      </c>
      <c r="C5762" s="266" t="str">
        <f>IFERROR(__xludf.DUMMYFUNCTION("""COMPUTED_VALUE"""),"KYAI KONTONG")</f>
        <v>KYAI KONTONG</v>
      </c>
      <c r="D5762" s="186">
        <f>IFERROR(__xludf.DUMMYFUNCTION("""COMPUTED_VALUE"""),50.0)</f>
        <v>50</v>
      </c>
    </row>
    <row r="5763">
      <c r="A5763" s="178" t="str">
        <f>IFERROR(__xludf.DUMMYFUNCTION("""COMPUTED_VALUE"""),"ITBISA-IC-NE555P-DIP8")</f>
        <v>ITBISA-IC-NE555P-DIP8</v>
      </c>
      <c r="B5763" s="266">
        <f>IFERROR(__xludf.DUMMYFUNCTION("""COMPUTED_VALUE"""),45057.0)</f>
        <v>45057</v>
      </c>
      <c r="C5763" s="266" t="str">
        <f>IFERROR(__xludf.DUMMYFUNCTION("""COMPUTED_VALUE"""),"KYAI KONTONG")</f>
        <v>KYAI KONTONG</v>
      </c>
      <c r="D5763" s="186">
        <f>IFERROR(__xludf.DUMMYFUNCTION("""COMPUTED_VALUE"""),100.0)</f>
        <v>100</v>
      </c>
    </row>
    <row r="5764">
      <c r="A5764" s="178" t="str">
        <f>IFERROR(__xludf.DUMMYFUNCTION("""COMPUTED_VALUE"""),"ITBISA-IC-NE555P-DIP8")</f>
        <v>ITBISA-IC-NE555P-DIP8</v>
      </c>
      <c r="B5764" s="266">
        <f>IFERROR(__xludf.DUMMYFUNCTION("""COMPUTED_VALUE"""),45061.0)</f>
        <v>45061</v>
      </c>
      <c r="C5764" s="266" t="str">
        <f>IFERROR(__xludf.DUMMYFUNCTION("""COMPUTED_VALUE"""),"KYAI KONTONG")</f>
        <v>KYAI KONTONG</v>
      </c>
      <c r="D5764" s="186">
        <f>IFERROR(__xludf.DUMMYFUNCTION("""COMPUTED_VALUE"""),2.0)</f>
        <v>2</v>
      </c>
    </row>
    <row r="5765">
      <c r="A5765" s="178" t="str">
        <f>IFERROR(__xludf.DUMMYFUNCTION("""COMPUTED_VALUE"""),"ITBISA-IC-NE555P-DIP8")</f>
        <v>ITBISA-IC-NE555P-DIP8</v>
      </c>
      <c r="B5765" s="266">
        <f>IFERROR(__xludf.DUMMYFUNCTION("""COMPUTED_VALUE"""),45061.0)</f>
        <v>45061</v>
      </c>
      <c r="C5765" s="266" t="str">
        <f>IFERROR(__xludf.DUMMYFUNCTION("""COMPUTED_VALUE"""),"KYAI KONTONG")</f>
        <v>KYAI KONTONG</v>
      </c>
      <c r="D5765" s="186">
        <f>IFERROR(__xludf.DUMMYFUNCTION("""COMPUTED_VALUE"""),10.0)</f>
        <v>10</v>
      </c>
    </row>
    <row r="5766">
      <c r="A5766" s="178" t="str">
        <f>IFERROR(__xludf.DUMMYFUNCTION("""COMPUTED_VALUE"""),"ITBISA-IC-NE555P-DIP8")</f>
        <v>ITBISA-IC-NE555P-DIP8</v>
      </c>
      <c r="B5766" s="266">
        <f>IFERROR(__xludf.DUMMYFUNCTION("""COMPUTED_VALUE"""),45062.0)</f>
        <v>45062</v>
      </c>
      <c r="C5766" s="266" t="str">
        <f>IFERROR(__xludf.DUMMYFUNCTION("""COMPUTED_VALUE"""),"KYAI KONTONG")</f>
        <v>KYAI KONTONG</v>
      </c>
      <c r="D5766" s="186">
        <f>IFERROR(__xludf.DUMMYFUNCTION("""COMPUTED_VALUE"""),10.0)</f>
        <v>10</v>
      </c>
    </row>
    <row r="5767">
      <c r="A5767" s="178" t="str">
        <f>IFERROR(__xludf.DUMMYFUNCTION("""COMPUTED_VALUE"""),"ITBISA-IC-NE555P-DIP8")</f>
        <v>ITBISA-IC-NE555P-DIP8</v>
      </c>
      <c r="B5767" s="266">
        <f>IFERROR(__xludf.DUMMYFUNCTION("""COMPUTED_VALUE"""),45063.0)</f>
        <v>45063</v>
      </c>
      <c r="C5767" s="266" t="str">
        <f>IFERROR(__xludf.DUMMYFUNCTION("""COMPUTED_VALUE"""),"KYAI KONTONG")</f>
        <v>KYAI KONTONG</v>
      </c>
      <c r="D5767" s="186">
        <f>IFERROR(__xludf.DUMMYFUNCTION("""COMPUTED_VALUE"""),4.0)</f>
        <v>4</v>
      </c>
    </row>
    <row r="5768">
      <c r="A5768" s="178" t="str">
        <f>IFERROR(__xludf.DUMMYFUNCTION("""COMPUTED_VALUE"""),"ITBISA-IC-NE555P-DIP8")</f>
        <v>ITBISA-IC-NE555P-DIP8</v>
      </c>
      <c r="B5768" s="266">
        <f>IFERROR(__xludf.DUMMYFUNCTION("""COMPUTED_VALUE"""),45066.0)</f>
        <v>45066</v>
      </c>
      <c r="C5768" s="266" t="str">
        <f>IFERROR(__xludf.DUMMYFUNCTION("""COMPUTED_VALUE"""),"KYAI KONTONG")</f>
        <v>KYAI KONTONG</v>
      </c>
      <c r="D5768" s="186">
        <f>IFERROR(__xludf.DUMMYFUNCTION("""COMPUTED_VALUE"""),20.0)</f>
        <v>20</v>
      </c>
    </row>
    <row r="5769">
      <c r="A5769" s="178" t="str">
        <f>IFERROR(__xludf.DUMMYFUNCTION("""COMPUTED_VALUE"""),"ITBISA-IC-NE555P-DIP8")</f>
        <v>ITBISA-IC-NE555P-DIP8</v>
      </c>
      <c r="B5769" s="266">
        <f>IFERROR(__xludf.DUMMYFUNCTION("""COMPUTED_VALUE"""),45070.0)</f>
        <v>45070</v>
      </c>
      <c r="C5769" s="266" t="str">
        <f>IFERROR(__xludf.DUMMYFUNCTION("""COMPUTED_VALUE"""),"KYAI KONTONG")</f>
        <v>KYAI KONTONG</v>
      </c>
      <c r="D5769" s="186">
        <f>IFERROR(__xludf.DUMMYFUNCTION("""COMPUTED_VALUE"""),46.0)</f>
        <v>46</v>
      </c>
    </row>
    <row r="5770">
      <c r="A5770" s="178" t="str">
        <f>IFERROR(__xludf.DUMMYFUNCTION("""COMPUTED_VALUE"""),"ITBISA-IC-NE555P-DIP8")</f>
        <v>ITBISA-IC-NE555P-DIP8</v>
      </c>
      <c r="B5770" s="266">
        <f>IFERROR(__xludf.DUMMYFUNCTION("""COMPUTED_VALUE"""),45072.0)</f>
        <v>45072</v>
      </c>
      <c r="C5770" s="266" t="str">
        <f>IFERROR(__xludf.DUMMYFUNCTION("""COMPUTED_VALUE"""),"KYAI KONTONG")</f>
        <v>KYAI KONTONG</v>
      </c>
      <c r="D5770" s="186">
        <f>IFERROR(__xludf.DUMMYFUNCTION("""COMPUTED_VALUE"""),6.0)</f>
        <v>6</v>
      </c>
    </row>
    <row r="5771">
      <c r="A5771" s="178" t="str">
        <f>IFERROR(__xludf.DUMMYFUNCTION("""COMPUTED_VALUE"""),"ITBISA-IC-NE555P-DIP8")</f>
        <v>ITBISA-IC-NE555P-DIP8</v>
      </c>
      <c r="B5771" s="266">
        <f>IFERROR(__xludf.DUMMYFUNCTION("""COMPUTED_VALUE"""),45074.0)</f>
        <v>45074</v>
      </c>
      <c r="C5771" s="266" t="str">
        <f>IFERROR(__xludf.DUMMYFUNCTION("""COMPUTED_VALUE"""),"KYAI KONTONG")</f>
        <v>KYAI KONTONG</v>
      </c>
      <c r="D5771" s="186">
        <f>IFERROR(__xludf.DUMMYFUNCTION("""COMPUTED_VALUE"""),10.0)</f>
        <v>10</v>
      </c>
    </row>
    <row r="5772">
      <c r="A5772" s="178" t="str">
        <f>IFERROR(__xludf.DUMMYFUNCTION("""COMPUTED_VALUE"""),"ITBISA-IC-NE555P-DIP8")</f>
        <v>ITBISA-IC-NE555P-DIP8</v>
      </c>
      <c r="B5772" s="266">
        <f>IFERROR(__xludf.DUMMYFUNCTION("""COMPUTED_VALUE"""),45077.0)</f>
        <v>45077</v>
      </c>
      <c r="C5772" s="266" t="str">
        <f>IFERROR(__xludf.DUMMYFUNCTION("""COMPUTED_VALUE"""),"KYAI KONTONG")</f>
        <v>KYAI KONTONG</v>
      </c>
      <c r="D5772" s="186">
        <f>IFERROR(__xludf.DUMMYFUNCTION("""COMPUTED_VALUE"""),1.0)</f>
        <v>1</v>
      </c>
    </row>
    <row r="5773">
      <c r="A5773" s="178" t="str">
        <f>IFERROR(__xludf.DUMMYFUNCTION("""COMPUTED_VALUE"""),"ITBISA-IC-NE555P-DIP8")</f>
        <v>ITBISA-IC-NE555P-DIP8</v>
      </c>
      <c r="B5773" s="266">
        <f>IFERROR(__xludf.DUMMYFUNCTION("""COMPUTED_VALUE"""),45077.0)</f>
        <v>45077</v>
      </c>
      <c r="C5773" s="266" t="str">
        <f>IFERROR(__xludf.DUMMYFUNCTION("""COMPUTED_VALUE"""),"KYAI KONTONG")</f>
        <v>KYAI KONTONG</v>
      </c>
      <c r="D5773" s="186">
        <f>IFERROR(__xludf.DUMMYFUNCTION("""COMPUTED_VALUE"""),25.0)</f>
        <v>25</v>
      </c>
    </row>
    <row r="5774">
      <c r="A5774" s="178" t="str">
        <f>IFERROR(__xludf.DUMMYFUNCTION("""COMPUTED_VALUE"""),"ITBISA-IC-NE555P-DIP8")</f>
        <v>ITBISA-IC-NE555P-DIP8</v>
      </c>
      <c r="B5774" s="266">
        <f>IFERROR(__xludf.DUMMYFUNCTION("""COMPUTED_VALUE"""),45077.0)</f>
        <v>45077</v>
      </c>
      <c r="C5774" s="266" t="str">
        <f>IFERROR(__xludf.DUMMYFUNCTION("""COMPUTED_VALUE"""),"KYAI KONTONG")</f>
        <v>KYAI KONTONG</v>
      </c>
      <c r="D5774" s="186">
        <f>IFERROR(__xludf.DUMMYFUNCTION("""COMPUTED_VALUE"""),200.0)</f>
        <v>200</v>
      </c>
    </row>
    <row r="5775">
      <c r="A5775" s="178" t="str">
        <f>IFERROR(__xludf.DUMMYFUNCTION("""COMPUTED_VALUE"""),"ITBISA-IC-NE555P-DIP8")</f>
        <v>ITBISA-IC-NE555P-DIP8</v>
      </c>
      <c r="B5775" s="266">
        <f>IFERROR(__xludf.DUMMYFUNCTION("""COMPUTED_VALUE"""),45079.0)</f>
        <v>45079</v>
      </c>
      <c r="C5775" s="266" t="str">
        <f>IFERROR(__xludf.DUMMYFUNCTION("""COMPUTED_VALUE"""),"KYAI KONTONG")</f>
        <v>KYAI KONTONG</v>
      </c>
      <c r="D5775" s="186">
        <f>IFERROR(__xludf.DUMMYFUNCTION("""COMPUTED_VALUE"""),5.0)</f>
        <v>5</v>
      </c>
    </row>
    <row r="5776">
      <c r="A5776" s="178" t="str">
        <f>IFERROR(__xludf.DUMMYFUNCTION("""COMPUTED_VALUE"""),"ITBISA-IC-NE555P-DIP8")</f>
        <v>ITBISA-IC-NE555P-DIP8</v>
      </c>
      <c r="B5776" s="266">
        <f>IFERROR(__xludf.DUMMYFUNCTION("""COMPUTED_VALUE"""),45079.0)</f>
        <v>45079</v>
      </c>
      <c r="C5776" s="266" t="str">
        <f>IFERROR(__xludf.DUMMYFUNCTION("""COMPUTED_VALUE"""),"KYAI KONTONG")</f>
        <v>KYAI KONTONG</v>
      </c>
      <c r="D5776" s="186">
        <f>IFERROR(__xludf.DUMMYFUNCTION("""COMPUTED_VALUE"""),50.0)</f>
        <v>50</v>
      </c>
    </row>
    <row r="5777">
      <c r="A5777" s="178" t="str">
        <f>IFERROR(__xludf.DUMMYFUNCTION("""COMPUTED_VALUE"""),"ITBISA-IC-NE555P-DIP8")</f>
        <v>ITBISA-IC-NE555P-DIP8</v>
      </c>
      <c r="B5777" s="266">
        <f>IFERROR(__xludf.DUMMYFUNCTION("""COMPUTED_VALUE"""),45080.0)</f>
        <v>45080</v>
      </c>
      <c r="C5777" s="266" t="str">
        <f>IFERROR(__xludf.DUMMYFUNCTION("""COMPUTED_VALUE"""),"KYAI KONTONG")</f>
        <v>KYAI KONTONG</v>
      </c>
      <c r="D5777" s="186">
        <f>IFERROR(__xludf.DUMMYFUNCTION("""COMPUTED_VALUE"""),1.0)</f>
        <v>1</v>
      </c>
    </row>
    <row r="5778">
      <c r="A5778" s="178" t="str">
        <f>IFERROR(__xludf.DUMMYFUNCTION("""COMPUTED_VALUE"""),"ITBISA-IC-NE555P-DIP8")</f>
        <v>ITBISA-IC-NE555P-DIP8</v>
      </c>
      <c r="B5778" s="266">
        <f>IFERROR(__xludf.DUMMYFUNCTION("""COMPUTED_VALUE"""),45080.0)</f>
        <v>45080</v>
      </c>
      <c r="C5778" s="266" t="str">
        <f>IFERROR(__xludf.DUMMYFUNCTION("""COMPUTED_VALUE"""),"KYAI KONTONG")</f>
        <v>KYAI KONTONG</v>
      </c>
      <c r="D5778" s="186">
        <f>IFERROR(__xludf.DUMMYFUNCTION("""COMPUTED_VALUE"""),50.0)</f>
        <v>50</v>
      </c>
    </row>
    <row r="5779">
      <c r="A5779" s="178" t="str">
        <f>IFERROR(__xludf.DUMMYFUNCTION("""COMPUTED_VALUE"""),"ITBISA-IC-NE555P-DIP8")</f>
        <v>ITBISA-IC-NE555P-DIP8</v>
      </c>
      <c r="B5779" s="266">
        <f>IFERROR(__xludf.DUMMYFUNCTION("""COMPUTED_VALUE"""),45081.0)</f>
        <v>45081</v>
      </c>
      <c r="C5779" s="266" t="str">
        <f>IFERROR(__xludf.DUMMYFUNCTION("""COMPUTED_VALUE"""),"KYAI KONTONG")</f>
        <v>KYAI KONTONG</v>
      </c>
      <c r="D5779" s="186">
        <f>IFERROR(__xludf.DUMMYFUNCTION("""COMPUTED_VALUE"""),100.0)</f>
        <v>100</v>
      </c>
    </row>
    <row r="5780">
      <c r="A5780" s="178" t="str">
        <f>IFERROR(__xludf.DUMMYFUNCTION("""COMPUTED_VALUE"""),"ITBISA-IC-NE555P-DIP8")</f>
        <v>ITBISA-IC-NE555P-DIP8</v>
      </c>
      <c r="B5780" s="266">
        <f>IFERROR(__xludf.DUMMYFUNCTION("""COMPUTED_VALUE"""),45082.0)</f>
        <v>45082</v>
      </c>
      <c r="C5780" s="266" t="str">
        <f>IFERROR(__xludf.DUMMYFUNCTION("""COMPUTED_VALUE"""),"KYAI KONTONG")</f>
        <v>KYAI KONTONG</v>
      </c>
      <c r="D5780" s="186">
        <f>IFERROR(__xludf.DUMMYFUNCTION("""COMPUTED_VALUE"""),2.0)</f>
        <v>2</v>
      </c>
    </row>
    <row r="5781">
      <c r="A5781" s="178" t="str">
        <f>IFERROR(__xludf.DUMMYFUNCTION("""COMPUTED_VALUE"""),"ITBISA-IC-NE555P-DIP8")</f>
        <v>ITBISA-IC-NE555P-DIP8</v>
      </c>
      <c r="B5781" s="266">
        <f>IFERROR(__xludf.DUMMYFUNCTION("""COMPUTED_VALUE"""),45083.0)</f>
        <v>45083</v>
      </c>
      <c r="C5781" s="266" t="str">
        <f>IFERROR(__xludf.DUMMYFUNCTION("""COMPUTED_VALUE"""),"KYAI KONTONG")</f>
        <v>KYAI KONTONG</v>
      </c>
      <c r="D5781" s="186">
        <f>IFERROR(__xludf.DUMMYFUNCTION("""COMPUTED_VALUE"""),2.0)</f>
        <v>2</v>
      </c>
    </row>
    <row r="5782">
      <c r="A5782" s="178" t="str">
        <f>IFERROR(__xludf.DUMMYFUNCTION("""COMPUTED_VALUE"""),"ITBISA-IC-NE555P-DIP8")</f>
        <v>ITBISA-IC-NE555P-DIP8</v>
      </c>
      <c r="B5782" s="266">
        <f>IFERROR(__xludf.DUMMYFUNCTION("""COMPUTED_VALUE"""),45083.0)</f>
        <v>45083</v>
      </c>
      <c r="C5782" s="266" t="str">
        <f>IFERROR(__xludf.DUMMYFUNCTION("""COMPUTED_VALUE"""),"KYAI KONTONG")</f>
        <v>KYAI KONTONG</v>
      </c>
      <c r="D5782" s="186">
        <f>IFERROR(__xludf.DUMMYFUNCTION("""COMPUTED_VALUE"""),3.0)</f>
        <v>3</v>
      </c>
    </row>
    <row r="5783">
      <c r="A5783" s="178" t="str">
        <f>IFERROR(__xludf.DUMMYFUNCTION("""COMPUTED_VALUE"""),"ITBISA-IC-NE555P-DIP8")</f>
        <v>ITBISA-IC-NE555P-DIP8</v>
      </c>
      <c r="B5783" s="266">
        <f>IFERROR(__xludf.DUMMYFUNCTION("""COMPUTED_VALUE"""),45084.0)</f>
        <v>45084</v>
      </c>
      <c r="C5783" s="266" t="str">
        <f>IFERROR(__xludf.DUMMYFUNCTION("""COMPUTED_VALUE"""),"KYAI KONTONG")</f>
        <v>KYAI KONTONG</v>
      </c>
      <c r="D5783" s="186">
        <f>IFERROR(__xludf.DUMMYFUNCTION("""COMPUTED_VALUE"""),4.0)</f>
        <v>4</v>
      </c>
    </row>
    <row r="5784">
      <c r="A5784" s="178" t="str">
        <f>IFERROR(__xludf.DUMMYFUNCTION("""COMPUTED_VALUE"""),"ITBISA-IC-NE555P-DIP8")</f>
        <v>ITBISA-IC-NE555P-DIP8</v>
      </c>
      <c r="B5784" s="266">
        <f>IFERROR(__xludf.DUMMYFUNCTION("""COMPUTED_VALUE"""),45086.0)</f>
        <v>45086</v>
      </c>
      <c r="C5784" s="266" t="str">
        <f>IFERROR(__xludf.DUMMYFUNCTION("""COMPUTED_VALUE"""),"KYAI KONTONG")</f>
        <v>KYAI KONTONG</v>
      </c>
      <c r="D5784" s="186">
        <f>IFERROR(__xludf.DUMMYFUNCTION("""COMPUTED_VALUE"""),1.0)</f>
        <v>1</v>
      </c>
    </row>
    <row r="5785">
      <c r="A5785" s="178" t="str">
        <f>IFERROR(__xludf.DUMMYFUNCTION("""COMPUTED_VALUE"""),"ITBISA-IC-NE555P-DIP8")</f>
        <v>ITBISA-IC-NE555P-DIP8</v>
      </c>
      <c r="B5785" s="266">
        <f>IFERROR(__xludf.DUMMYFUNCTION("""COMPUTED_VALUE"""),45086.0)</f>
        <v>45086</v>
      </c>
      <c r="C5785" s="266" t="str">
        <f>IFERROR(__xludf.DUMMYFUNCTION("""COMPUTED_VALUE"""),"KYAI KONTONG")</f>
        <v>KYAI KONTONG</v>
      </c>
      <c r="D5785" s="186">
        <f>IFERROR(__xludf.DUMMYFUNCTION("""COMPUTED_VALUE"""),5.0)</f>
        <v>5</v>
      </c>
    </row>
    <row r="5786">
      <c r="A5786" s="178" t="str">
        <f>IFERROR(__xludf.DUMMYFUNCTION("""COMPUTED_VALUE"""),"ITBISA-IC-NE555P-DIP8")</f>
        <v>ITBISA-IC-NE555P-DIP8</v>
      </c>
      <c r="B5786" s="266">
        <f>IFERROR(__xludf.DUMMYFUNCTION("""COMPUTED_VALUE"""),45086.0)</f>
        <v>45086</v>
      </c>
      <c r="C5786" s="266" t="str">
        <f>IFERROR(__xludf.DUMMYFUNCTION("""COMPUTED_VALUE"""),"KYAI KONTONG")</f>
        <v>KYAI KONTONG</v>
      </c>
      <c r="D5786" s="186">
        <f>IFERROR(__xludf.DUMMYFUNCTION("""COMPUTED_VALUE"""),30.0)</f>
        <v>30</v>
      </c>
    </row>
    <row r="5787">
      <c r="A5787" s="178" t="str">
        <f>IFERROR(__xludf.DUMMYFUNCTION("""COMPUTED_VALUE"""),"ITBISA-IC-NE555P-DIP8")</f>
        <v>ITBISA-IC-NE555P-DIP8</v>
      </c>
      <c r="B5787" s="266">
        <f>IFERROR(__xludf.DUMMYFUNCTION("""COMPUTED_VALUE"""),45086.0)</f>
        <v>45086</v>
      </c>
      <c r="C5787" s="266" t="str">
        <f>IFERROR(__xludf.DUMMYFUNCTION("""COMPUTED_VALUE"""),"KYAI KONTONG")</f>
        <v>KYAI KONTONG</v>
      </c>
      <c r="D5787" s="186">
        <f>IFERROR(__xludf.DUMMYFUNCTION("""COMPUTED_VALUE"""),100.0)</f>
        <v>100</v>
      </c>
    </row>
    <row r="5788">
      <c r="A5788" s="178" t="str">
        <f>IFERROR(__xludf.DUMMYFUNCTION("""COMPUTED_VALUE"""),"ITBISA-IC-NE555P-DIP8")</f>
        <v>ITBISA-IC-NE555P-DIP8</v>
      </c>
      <c r="B5788" s="266">
        <f>IFERROR(__xludf.DUMMYFUNCTION("""COMPUTED_VALUE"""),45086.0)</f>
        <v>45086</v>
      </c>
      <c r="C5788" s="266" t="str">
        <f>IFERROR(__xludf.DUMMYFUNCTION("""COMPUTED_VALUE"""),"KYAI KONTONG")</f>
        <v>KYAI KONTONG</v>
      </c>
      <c r="D5788" s="186">
        <f>IFERROR(__xludf.DUMMYFUNCTION("""COMPUTED_VALUE"""),200.0)</f>
        <v>200</v>
      </c>
    </row>
    <row r="5789">
      <c r="A5789" s="178" t="str">
        <f>IFERROR(__xludf.DUMMYFUNCTION("""COMPUTED_VALUE"""),"ITBISA-IC-NE555P-DIP8")</f>
        <v>ITBISA-IC-NE555P-DIP8</v>
      </c>
      <c r="B5789" s="266">
        <f>IFERROR(__xludf.DUMMYFUNCTION("""COMPUTED_VALUE"""),45088.0)</f>
        <v>45088</v>
      </c>
      <c r="C5789" s="266" t="str">
        <f>IFERROR(__xludf.DUMMYFUNCTION("""COMPUTED_VALUE"""),"KYAI KONTONG")</f>
        <v>KYAI KONTONG</v>
      </c>
      <c r="D5789" s="186">
        <f>IFERROR(__xludf.DUMMYFUNCTION("""COMPUTED_VALUE"""),3.0)</f>
        <v>3</v>
      </c>
    </row>
    <row r="5790">
      <c r="A5790" s="178" t="str">
        <f>IFERROR(__xludf.DUMMYFUNCTION("""COMPUTED_VALUE"""),"ITBISA-IC-NE555P-DIP8")</f>
        <v>ITBISA-IC-NE555P-DIP8</v>
      </c>
      <c r="B5790" s="266">
        <f>IFERROR(__xludf.DUMMYFUNCTION("""COMPUTED_VALUE"""),45088.0)</f>
        <v>45088</v>
      </c>
      <c r="C5790" s="266" t="str">
        <f>IFERROR(__xludf.DUMMYFUNCTION("""COMPUTED_VALUE"""),"KYAI KONTONG")</f>
        <v>KYAI KONTONG</v>
      </c>
      <c r="D5790" s="186">
        <f>IFERROR(__xludf.DUMMYFUNCTION("""COMPUTED_VALUE"""),10.0)</f>
        <v>10</v>
      </c>
    </row>
    <row r="5791">
      <c r="A5791" s="178" t="str">
        <f>IFERROR(__xludf.DUMMYFUNCTION("""COMPUTED_VALUE"""),"ITBISA-IC-NE555P-DIP8")</f>
        <v>ITBISA-IC-NE555P-DIP8</v>
      </c>
      <c r="B5791" s="266">
        <f>IFERROR(__xludf.DUMMYFUNCTION("""COMPUTED_VALUE"""),45088.0)</f>
        <v>45088</v>
      </c>
      <c r="C5791" s="266" t="str">
        <f>IFERROR(__xludf.DUMMYFUNCTION("""COMPUTED_VALUE"""),"KYAI KONTONG")</f>
        <v>KYAI KONTONG</v>
      </c>
      <c r="D5791" s="186">
        <f>IFERROR(__xludf.DUMMYFUNCTION("""COMPUTED_VALUE"""),24.0)</f>
        <v>24</v>
      </c>
    </row>
    <row r="5792">
      <c r="A5792" s="178" t="str">
        <f>IFERROR(__xludf.DUMMYFUNCTION("""COMPUTED_VALUE"""),"ITBISA-IC-NE555P-DIP8")</f>
        <v>ITBISA-IC-NE555P-DIP8</v>
      </c>
      <c r="B5792" s="266">
        <f>IFERROR(__xludf.DUMMYFUNCTION("""COMPUTED_VALUE"""),45089.0)</f>
        <v>45089</v>
      </c>
      <c r="C5792" s="266" t="str">
        <f>IFERROR(__xludf.DUMMYFUNCTION("""COMPUTED_VALUE"""),"KYAI KONTONG")</f>
        <v>KYAI KONTONG</v>
      </c>
      <c r="D5792" s="186">
        <f>IFERROR(__xludf.DUMMYFUNCTION("""COMPUTED_VALUE"""),4.0)</f>
        <v>4</v>
      </c>
    </row>
    <row r="5793">
      <c r="A5793" s="178" t="str">
        <f>IFERROR(__xludf.DUMMYFUNCTION("""COMPUTED_VALUE"""),"ITBISA-IC-NE555P-DIP8")</f>
        <v>ITBISA-IC-NE555P-DIP8</v>
      </c>
      <c r="B5793" s="266">
        <f>IFERROR(__xludf.DUMMYFUNCTION("""COMPUTED_VALUE"""),45089.0)</f>
        <v>45089</v>
      </c>
      <c r="C5793" s="266" t="str">
        <f>IFERROR(__xludf.DUMMYFUNCTION("""COMPUTED_VALUE"""),"KYAI KONTONG")</f>
        <v>KYAI KONTONG</v>
      </c>
      <c r="D5793" s="186">
        <f>IFERROR(__xludf.DUMMYFUNCTION("""COMPUTED_VALUE"""),10.0)</f>
        <v>10</v>
      </c>
    </row>
    <row r="5794">
      <c r="A5794" s="178" t="str">
        <f>IFERROR(__xludf.DUMMYFUNCTION("""COMPUTED_VALUE"""),"ITBISA-IC-NE555P-DIP8")</f>
        <v>ITBISA-IC-NE555P-DIP8</v>
      </c>
      <c r="B5794" s="266">
        <f>IFERROR(__xludf.DUMMYFUNCTION("""COMPUTED_VALUE"""),45090.0)</f>
        <v>45090</v>
      </c>
      <c r="C5794" s="266" t="str">
        <f>IFERROR(__xludf.DUMMYFUNCTION("""COMPUTED_VALUE"""),"KYAI KONTONG")</f>
        <v>KYAI KONTONG</v>
      </c>
      <c r="D5794" s="186">
        <f>IFERROR(__xludf.DUMMYFUNCTION("""COMPUTED_VALUE"""),2.0)</f>
        <v>2</v>
      </c>
    </row>
    <row r="5795">
      <c r="A5795" s="178" t="str">
        <f>IFERROR(__xludf.DUMMYFUNCTION("""COMPUTED_VALUE"""),"ITBISA-IC-NE555P-DIP8")</f>
        <v>ITBISA-IC-NE555P-DIP8</v>
      </c>
      <c r="B5795" s="266">
        <f>IFERROR(__xludf.DUMMYFUNCTION("""COMPUTED_VALUE"""),45091.0)</f>
        <v>45091</v>
      </c>
      <c r="C5795" s="266" t="str">
        <f>IFERROR(__xludf.DUMMYFUNCTION("""COMPUTED_VALUE"""),"KYAI KONTONG")</f>
        <v>KYAI KONTONG</v>
      </c>
      <c r="D5795" s="186">
        <f>IFERROR(__xludf.DUMMYFUNCTION("""COMPUTED_VALUE"""),1.0)</f>
        <v>1</v>
      </c>
    </row>
    <row r="5796">
      <c r="A5796" s="178" t="str">
        <f>IFERROR(__xludf.DUMMYFUNCTION("""COMPUTED_VALUE"""),"ITBISA-IC-NE555P-DIP8")</f>
        <v>ITBISA-IC-NE555P-DIP8</v>
      </c>
      <c r="B5796" s="266">
        <f>IFERROR(__xludf.DUMMYFUNCTION("""COMPUTED_VALUE"""),45092.0)</f>
        <v>45092</v>
      </c>
      <c r="C5796" s="266" t="str">
        <f>IFERROR(__xludf.DUMMYFUNCTION("""COMPUTED_VALUE"""),"KERTASARI CIAMIS")</f>
        <v>KERTASARI CIAMIS</v>
      </c>
      <c r="D5796" s="186">
        <f>IFERROR(__xludf.DUMMYFUNCTION("""COMPUTED_VALUE"""),50.0)</f>
        <v>50</v>
      </c>
    </row>
    <row r="5797">
      <c r="A5797" s="178" t="str">
        <f>IFERROR(__xludf.DUMMYFUNCTION("""COMPUTED_VALUE"""),"ITBISA-IC-NE555P-DIP8")</f>
        <v>ITBISA-IC-NE555P-DIP8</v>
      </c>
      <c r="B5797" s="266">
        <f>IFERROR(__xludf.DUMMYFUNCTION("""COMPUTED_VALUE"""),45092.0)</f>
        <v>45092</v>
      </c>
      <c r="C5797" s="266" t="str">
        <f>IFERROR(__xludf.DUMMYFUNCTION("""COMPUTED_VALUE"""),"KYAI KONTONG")</f>
        <v>KYAI KONTONG</v>
      </c>
      <c r="D5797" s="186">
        <f>IFERROR(__xludf.DUMMYFUNCTION("""COMPUTED_VALUE"""),2.0)</f>
        <v>2</v>
      </c>
    </row>
    <row r="5798">
      <c r="A5798" s="178" t="str">
        <f>IFERROR(__xludf.DUMMYFUNCTION("""COMPUTED_VALUE"""),"ITBISA-IC-NE555P-DIP8")</f>
        <v>ITBISA-IC-NE555P-DIP8</v>
      </c>
      <c r="B5798" s="266">
        <f>IFERROR(__xludf.DUMMYFUNCTION("""COMPUTED_VALUE"""),45092.0)</f>
        <v>45092</v>
      </c>
      <c r="C5798" s="266" t="str">
        <f>IFERROR(__xludf.DUMMYFUNCTION("""COMPUTED_VALUE"""),"KYAI KONTONG")</f>
        <v>KYAI KONTONG</v>
      </c>
      <c r="D5798" s="186">
        <f>IFERROR(__xludf.DUMMYFUNCTION("""COMPUTED_VALUE"""),10.0)</f>
        <v>10</v>
      </c>
    </row>
    <row r="5799">
      <c r="A5799" s="178" t="str">
        <f>IFERROR(__xludf.DUMMYFUNCTION("""COMPUTED_VALUE"""),"ITBISA-IC-NE555P-DIP8")</f>
        <v>ITBISA-IC-NE555P-DIP8</v>
      </c>
      <c r="B5799" s="266">
        <f>IFERROR(__xludf.DUMMYFUNCTION("""COMPUTED_VALUE"""),45093.0)</f>
        <v>45093</v>
      </c>
      <c r="C5799" s="266" t="str">
        <f>IFERROR(__xludf.DUMMYFUNCTION("""COMPUTED_VALUE"""),"KYAI KONTONG")</f>
        <v>KYAI KONTONG</v>
      </c>
      <c r="D5799" s="186">
        <f>IFERROR(__xludf.DUMMYFUNCTION("""COMPUTED_VALUE"""),30.0)</f>
        <v>30</v>
      </c>
    </row>
    <row r="5800">
      <c r="A5800" s="178" t="str">
        <f>IFERROR(__xludf.DUMMYFUNCTION("""COMPUTED_VALUE"""),"ITBISA-IC-NE555P-DIP8")</f>
        <v>ITBISA-IC-NE555P-DIP8</v>
      </c>
      <c r="B5800" s="266">
        <f>IFERROR(__xludf.DUMMYFUNCTION("""COMPUTED_VALUE"""),45093.0)</f>
        <v>45093</v>
      </c>
      <c r="C5800" s="266" t="str">
        <f>IFERROR(__xludf.DUMMYFUNCTION("""COMPUTED_VALUE"""),"KYAI KONTONG")</f>
        <v>KYAI KONTONG</v>
      </c>
      <c r="D5800" s="186">
        <f>IFERROR(__xludf.DUMMYFUNCTION("""COMPUTED_VALUE"""),50.0)</f>
        <v>50</v>
      </c>
    </row>
    <row r="5801">
      <c r="A5801" s="178" t="str">
        <f>IFERROR(__xludf.DUMMYFUNCTION("""COMPUTED_VALUE"""),"ITBISA-IC-NE555P-DIP8")</f>
        <v>ITBISA-IC-NE555P-DIP8</v>
      </c>
      <c r="B5801" s="266">
        <f>IFERROR(__xludf.DUMMYFUNCTION("""COMPUTED_VALUE"""),45097.0)</f>
        <v>45097</v>
      </c>
      <c r="C5801" s="266" t="str">
        <f>IFERROR(__xludf.DUMMYFUNCTION("""COMPUTED_VALUE"""),"KYAI KONTONG")</f>
        <v>KYAI KONTONG</v>
      </c>
      <c r="D5801" s="186">
        <f>IFERROR(__xludf.DUMMYFUNCTION("""COMPUTED_VALUE"""),1.0)</f>
        <v>1</v>
      </c>
    </row>
    <row r="5802">
      <c r="A5802" s="178" t="str">
        <f>IFERROR(__xludf.DUMMYFUNCTION("""COMPUTED_VALUE"""),"ITBISA-IC-NE555P-DIP8")</f>
        <v>ITBISA-IC-NE555P-DIP8</v>
      </c>
      <c r="B5802" s="266">
        <f>IFERROR(__xludf.DUMMYFUNCTION("""COMPUTED_VALUE"""),45098.0)</f>
        <v>45098</v>
      </c>
      <c r="C5802" s="266" t="str">
        <f>IFERROR(__xludf.DUMMYFUNCTION("""COMPUTED_VALUE"""),"KYAI KONTONG")</f>
        <v>KYAI KONTONG</v>
      </c>
      <c r="D5802" s="186">
        <f>IFERROR(__xludf.DUMMYFUNCTION("""COMPUTED_VALUE"""),2.0)</f>
        <v>2</v>
      </c>
    </row>
    <row r="5803">
      <c r="A5803" s="178" t="str">
        <f>IFERROR(__xludf.DUMMYFUNCTION("""COMPUTED_VALUE"""),"ITBISA-IC-NE555P-DIP8")</f>
        <v>ITBISA-IC-NE555P-DIP8</v>
      </c>
      <c r="B5803" s="266">
        <f>IFERROR(__xludf.DUMMYFUNCTION("""COMPUTED_VALUE"""),45099.0)</f>
        <v>45099</v>
      </c>
      <c r="C5803" s="266" t="str">
        <f>IFERROR(__xludf.DUMMYFUNCTION("""COMPUTED_VALUE"""),"KYAI KONTONG")</f>
        <v>KYAI KONTONG</v>
      </c>
      <c r="D5803" s="186">
        <f>IFERROR(__xludf.DUMMYFUNCTION("""COMPUTED_VALUE"""),100.0)</f>
        <v>100</v>
      </c>
    </row>
    <row r="5804">
      <c r="A5804" s="178" t="str">
        <f>IFERROR(__xludf.DUMMYFUNCTION("""COMPUTED_VALUE"""),"ITBISA-IC-NE555P-DIP8")</f>
        <v>ITBISA-IC-NE555P-DIP8</v>
      </c>
      <c r="B5804" s="266">
        <f>IFERROR(__xludf.DUMMYFUNCTION("""COMPUTED_VALUE"""),45100.0)</f>
        <v>45100</v>
      </c>
      <c r="C5804" s="266" t="str">
        <f>IFERROR(__xludf.DUMMYFUNCTION("""COMPUTED_VALUE"""),"KYAI KONTONG")</f>
        <v>KYAI KONTONG</v>
      </c>
      <c r="D5804" s="186">
        <f>IFERROR(__xludf.DUMMYFUNCTION("""COMPUTED_VALUE"""),5.0)</f>
        <v>5</v>
      </c>
    </row>
    <row r="5805">
      <c r="A5805" s="178" t="str">
        <f>IFERROR(__xludf.DUMMYFUNCTION("""COMPUTED_VALUE"""),"ITBISA-IC-NE555P-DIP8")</f>
        <v>ITBISA-IC-NE555P-DIP8</v>
      </c>
      <c r="B5805" s="266">
        <f>IFERROR(__xludf.DUMMYFUNCTION("""COMPUTED_VALUE"""),45100.0)</f>
        <v>45100</v>
      </c>
      <c r="C5805" s="266" t="str">
        <f>IFERROR(__xludf.DUMMYFUNCTION("""COMPUTED_VALUE"""),"KYAI KONTONG")</f>
        <v>KYAI KONTONG</v>
      </c>
      <c r="D5805" s="186">
        <f>IFERROR(__xludf.DUMMYFUNCTION("""COMPUTED_VALUE"""),100.0)</f>
        <v>100</v>
      </c>
    </row>
    <row r="5806">
      <c r="A5806" s="178" t="str">
        <f>IFERROR(__xludf.DUMMYFUNCTION("""COMPUTED_VALUE"""),"ITBISA-IC-NE555P-DIP8")</f>
        <v>ITBISA-IC-NE555P-DIP8</v>
      </c>
      <c r="B5806" s="266">
        <f>IFERROR(__xludf.DUMMYFUNCTION("""COMPUTED_VALUE"""),45101.0)</f>
        <v>45101</v>
      </c>
      <c r="C5806" s="266" t="str">
        <f>IFERROR(__xludf.DUMMYFUNCTION("""COMPUTED_VALUE"""),"KYAI KONTONG")</f>
        <v>KYAI KONTONG</v>
      </c>
      <c r="D5806" s="186">
        <f>IFERROR(__xludf.DUMMYFUNCTION("""COMPUTED_VALUE"""),5.0)</f>
        <v>5</v>
      </c>
    </row>
    <row r="5807">
      <c r="A5807" s="178" t="str">
        <f>IFERROR(__xludf.DUMMYFUNCTION("""COMPUTED_VALUE"""),"ITBISA-IC-NE555P-DIP8")</f>
        <v>ITBISA-IC-NE555P-DIP8</v>
      </c>
      <c r="B5807" s="266">
        <f>IFERROR(__xludf.DUMMYFUNCTION("""COMPUTED_VALUE"""),45101.0)</f>
        <v>45101</v>
      </c>
      <c r="C5807" s="266" t="str">
        <f>IFERROR(__xludf.DUMMYFUNCTION("""COMPUTED_VALUE"""),"KYAI KONTONG")</f>
        <v>KYAI KONTONG</v>
      </c>
      <c r="D5807" s="186">
        <f>IFERROR(__xludf.DUMMYFUNCTION("""COMPUTED_VALUE"""),12.0)</f>
        <v>12</v>
      </c>
    </row>
    <row r="5808">
      <c r="A5808" s="178" t="str">
        <f>IFERROR(__xludf.DUMMYFUNCTION("""COMPUTED_VALUE"""),"ITBISA-IC-NE555P-DIP8")</f>
        <v>ITBISA-IC-NE555P-DIP8</v>
      </c>
      <c r="B5808" s="266">
        <f>IFERROR(__xludf.DUMMYFUNCTION("""COMPUTED_VALUE"""),45102.0)</f>
        <v>45102</v>
      </c>
      <c r="C5808" s="266" t="str">
        <f>IFERROR(__xludf.DUMMYFUNCTION("""COMPUTED_VALUE"""),"KYAI KONTONG")</f>
        <v>KYAI KONTONG</v>
      </c>
      <c r="D5808" s="186">
        <f>IFERROR(__xludf.DUMMYFUNCTION("""COMPUTED_VALUE"""),50.0)</f>
        <v>50</v>
      </c>
    </row>
    <row r="5809">
      <c r="A5809" s="178" t="str">
        <f>IFERROR(__xludf.DUMMYFUNCTION("""COMPUTED_VALUE"""),"ITBISA-IC-NE555P-DIP8")</f>
        <v>ITBISA-IC-NE555P-DIP8</v>
      </c>
      <c r="B5809" s="266">
        <f>IFERROR(__xludf.DUMMYFUNCTION("""COMPUTED_VALUE"""),45105.0)</f>
        <v>45105</v>
      </c>
      <c r="C5809" s="266" t="str">
        <f>IFERROR(__xludf.DUMMYFUNCTION("""COMPUTED_VALUE"""),"KYAI KONTONG")</f>
        <v>KYAI KONTONG</v>
      </c>
      <c r="D5809" s="186">
        <f>IFERROR(__xludf.DUMMYFUNCTION("""COMPUTED_VALUE"""),10.0)</f>
        <v>10</v>
      </c>
    </row>
    <row r="5810">
      <c r="A5810" s="178" t="str">
        <f>IFERROR(__xludf.DUMMYFUNCTION("""COMPUTED_VALUE"""),"ITBISA-IC-NE555P-DIP8")</f>
        <v>ITBISA-IC-NE555P-DIP8</v>
      </c>
      <c r="B5810" s="266">
        <f>IFERROR(__xludf.DUMMYFUNCTION("""COMPUTED_VALUE"""),45106.0)</f>
        <v>45106</v>
      </c>
      <c r="C5810" s="266" t="str">
        <f>IFERROR(__xludf.DUMMYFUNCTION("""COMPUTED_VALUE"""),"KYAI KONTONG")</f>
        <v>KYAI KONTONG</v>
      </c>
      <c r="D5810" s="186">
        <f>IFERROR(__xludf.DUMMYFUNCTION("""COMPUTED_VALUE"""),1.0)</f>
        <v>1</v>
      </c>
    </row>
    <row r="5811">
      <c r="A5811" s="178" t="str">
        <f>IFERROR(__xludf.DUMMYFUNCTION("""COMPUTED_VALUE"""),"ITBISA-IC-NE555P-DIP8")</f>
        <v>ITBISA-IC-NE555P-DIP8</v>
      </c>
      <c r="B5811" s="266">
        <f>IFERROR(__xludf.DUMMYFUNCTION("""COMPUTED_VALUE"""),45107.0)</f>
        <v>45107</v>
      </c>
      <c r="C5811" s="266" t="str">
        <f>IFERROR(__xludf.DUMMYFUNCTION("""COMPUTED_VALUE"""),"KYAI KONTONG")</f>
        <v>KYAI KONTONG</v>
      </c>
      <c r="D5811" s="186">
        <f>IFERROR(__xludf.DUMMYFUNCTION("""COMPUTED_VALUE"""),4.0)</f>
        <v>4</v>
      </c>
    </row>
    <row r="5812">
      <c r="A5812" s="178" t="str">
        <f>IFERROR(__xludf.DUMMYFUNCTION("""COMPUTED_VALUE"""),"ITBISA-IC-NE555P-DIP8")</f>
        <v>ITBISA-IC-NE555P-DIP8</v>
      </c>
      <c r="B5812" s="266">
        <f>IFERROR(__xludf.DUMMYFUNCTION("""COMPUTED_VALUE"""),45112.0)</f>
        <v>45112</v>
      </c>
      <c r="C5812" s="266" t="str">
        <f>IFERROR(__xludf.DUMMYFUNCTION("""COMPUTED_VALUE"""),"KYAI KONTONG")</f>
        <v>KYAI KONTONG</v>
      </c>
      <c r="D5812" s="186">
        <f>IFERROR(__xludf.DUMMYFUNCTION("""COMPUTED_VALUE"""),100.0)</f>
        <v>100</v>
      </c>
    </row>
    <row r="5813">
      <c r="A5813" s="178" t="str">
        <f>IFERROR(__xludf.DUMMYFUNCTION("""COMPUTED_VALUE"""),"ITBISA-IC-NE555P-DIP8")</f>
        <v>ITBISA-IC-NE555P-DIP8</v>
      </c>
      <c r="B5813" s="266">
        <f>IFERROR(__xludf.DUMMYFUNCTION("""COMPUTED_VALUE"""),45113.0)</f>
        <v>45113</v>
      </c>
      <c r="C5813" s="266" t="str">
        <f>IFERROR(__xludf.DUMMYFUNCTION("""COMPUTED_VALUE"""),"KYAI KONTONG")</f>
        <v>KYAI KONTONG</v>
      </c>
      <c r="D5813" s="186">
        <f>IFERROR(__xludf.DUMMYFUNCTION("""COMPUTED_VALUE"""),5.0)</f>
        <v>5</v>
      </c>
    </row>
    <row r="5814">
      <c r="A5814" s="178" t="str">
        <f>IFERROR(__xludf.DUMMYFUNCTION("""COMPUTED_VALUE"""),"ITBISA-IC-NE555P-DIP8")</f>
        <v>ITBISA-IC-NE555P-DIP8</v>
      </c>
      <c r="B5814" s="266">
        <f>IFERROR(__xludf.DUMMYFUNCTION("""COMPUTED_VALUE"""),45114.0)</f>
        <v>45114</v>
      </c>
      <c r="C5814" s="266" t="str">
        <f>IFERROR(__xludf.DUMMYFUNCTION("""COMPUTED_VALUE"""),"KYAI KONTONG")</f>
        <v>KYAI KONTONG</v>
      </c>
      <c r="D5814" s="186">
        <f>IFERROR(__xludf.DUMMYFUNCTION("""COMPUTED_VALUE"""),30.0)</f>
        <v>30</v>
      </c>
    </row>
    <row r="5815">
      <c r="A5815" s="178" t="str">
        <f>IFERROR(__xludf.DUMMYFUNCTION("""COMPUTED_VALUE"""),"ITBISA-IC-NE555P-DIP8")</f>
        <v>ITBISA-IC-NE555P-DIP8</v>
      </c>
      <c r="B5815" s="266">
        <f>IFERROR(__xludf.DUMMYFUNCTION("""COMPUTED_VALUE"""),45116.0)</f>
        <v>45116</v>
      </c>
      <c r="C5815" s="266" t="str">
        <f>IFERROR(__xludf.DUMMYFUNCTION("""COMPUTED_VALUE"""),"KYAI KONTONG")</f>
        <v>KYAI KONTONG</v>
      </c>
      <c r="D5815" s="186">
        <f>IFERROR(__xludf.DUMMYFUNCTION("""COMPUTED_VALUE"""),12.0)</f>
        <v>12</v>
      </c>
    </row>
    <row r="5816">
      <c r="A5816" s="178" t="str">
        <f>IFERROR(__xludf.DUMMYFUNCTION("""COMPUTED_VALUE"""),"ITBISA-IC-NE555P-DIP8")</f>
        <v>ITBISA-IC-NE555P-DIP8</v>
      </c>
      <c r="B5816" s="266">
        <f>IFERROR(__xludf.DUMMYFUNCTION("""COMPUTED_VALUE"""),45120.0)</f>
        <v>45120</v>
      </c>
      <c r="C5816" s="266" t="str">
        <f>IFERROR(__xludf.DUMMYFUNCTION("""COMPUTED_VALUE"""),"KYAI KONTONG")</f>
        <v>KYAI KONTONG</v>
      </c>
      <c r="D5816" s="186">
        <f>IFERROR(__xludf.DUMMYFUNCTION("""COMPUTED_VALUE"""),20.0)</f>
        <v>20</v>
      </c>
    </row>
    <row r="5817">
      <c r="A5817" s="178" t="str">
        <f>IFERROR(__xludf.DUMMYFUNCTION("""COMPUTED_VALUE"""),"ITBISA-IC-NE555P-DIP8")</f>
        <v>ITBISA-IC-NE555P-DIP8</v>
      </c>
      <c r="B5817" s="266">
        <f>IFERROR(__xludf.DUMMYFUNCTION("""COMPUTED_VALUE"""),45127.0)</f>
        <v>45127</v>
      </c>
      <c r="C5817" s="266" t="str">
        <f>IFERROR(__xludf.DUMMYFUNCTION("""COMPUTED_VALUE"""),"KYAI KONTONG")</f>
        <v>KYAI KONTONG</v>
      </c>
      <c r="D5817" s="186">
        <f>IFERROR(__xludf.DUMMYFUNCTION("""COMPUTED_VALUE"""),50.0)</f>
        <v>50</v>
      </c>
    </row>
    <row r="5818">
      <c r="A5818" s="178" t="str">
        <f>IFERROR(__xludf.DUMMYFUNCTION("""COMPUTED_VALUE"""),"ITBISA-IC-NE555P-DIP8")</f>
        <v>ITBISA-IC-NE555P-DIP8</v>
      </c>
      <c r="B5818" s="266">
        <f>IFERROR(__xludf.DUMMYFUNCTION("""COMPUTED_VALUE"""),45132.0)</f>
        <v>45132</v>
      </c>
      <c r="C5818" s="266" t="str">
        <f>IFERROR(__xludf.DUMMYFUNCTION("""COMPUTED_VALUE"""),"KYAI KONTONG")</f>
        <v>KYAI KONTONG</v>
      </c>
      <c r="D5818" s="186">
        <f>IFERROR(__xludf.DUMMYFUNCTION("""COMPUTED_VALUE"""),10.0)</f>
        <v>10</v>
      </c>
    </row>
    <row r="5819">
      <c r="A5819" s="178" t="str">
        <f>IFERROR(__xludf.DUMMYFUNCTION("""COMPUTED_VALUE"""),"ITBISA-IC-NE555P-DIP8")</f>
        <v>ITBISA-IC-NE555P-DIP8</v>
      </c>
      <c r="B5819" s="266">
        <f>IFERROR(__xludf.DUMMYFUNCTION("""COMPUTED_VALUE"""),45132.0)</f>
        <v>45132</v>
      </c>
      <c r="C5819" s="266" t="str">
        <f>IFERROR(__xludf.DUMMYFUNCTION("""COMPUTED_VALUE"""),"KYAI KONTONG")</f>
        <v>KYAI KONTONG</v>
      </c>
      <c r="D5819" s="186">
        <f>IFERROR(__xludf.DUMMYFUNCTION("""COMPUTED_VALUE"""),150.0)</f>
        <v>150</v>
      </c>
    </row>
    <row r="5820">
      <c r="A5820" s="178" t="str">
        <f>IFERROR(__xludf.DUMMYFUNCTION("""COMPUTED_VALUE"""),"ITBISA-IC-NE555P-DIP8")</f>
        <v>ITBISA-IC-NE555P-DIP8</v>
      </c>
      <c r="B5820" s="266">
        <f>IFERROR(__xludf.DUMMYFUNCTION("""COMPUTED_VALUE"""),45133.0)</f>
        <v>45133</v>
      </c>
      <c r="C5820" s="266" t="str">
        <f>IFERROR(__xludf.DUMMYFUNCTION("""COMPUTED_VALUE"""),"KYAI KONTONG")</f>
        <v>KYAI KONTONG</v>
      </c>
      <c r="D5820" s="186">
        <f>IFERROR(__xludf.DUMMYFUNCTION("""COMPUTED_VALUE"""),50.0)</f>
        <v>50</v>
      </c>
    </row>
    <row r="5821">
      <c r="A5821" s="178" t="str">
        <f>IFERROR(__xludf.DUMMYFUNCTION("""COMPUTED_VALUE"""),"ITBISA-IC-NE555P-DIP8")</f>
        <v>ITBISA-IC-NE555P-DIP8</v>
      </c>
      <c r="B5821" s="266">
        <f>IFERROR(__xludf.DUMMYFUNCTION("""COMPUTED_VALUE"""),45139.0)</f>
        <v>45139</v>
      </c>
      <c r="C5821" s="266" t="str">
        <f>IFERROR(__xludf.DUMMYFUNCTION("""COMPUTED_VALUE"""),"KYAI KONTONG")</f>
        <v>KYAI KONTONG</v>
      </c>
      <c r="D5821" s="186">
        <f>IFERROR(__xludf.DUMMYFUNCTION("""COMPUTED_VALUE"""),2.0)</f>
        <v>2</v>
      </c>
    </row>
    <row r="5822">
      <c r="A5822" s="178" t="str">
        <f>IFERROR(__xludf.DUMMYFUNCTION("""COMPUTED_VALUE"""),"ITBISA-IC-NE555P-DIP8")</f>
        <v>ITBISA-IC-NE555P-DIP8</v>
      </c>
      <c r="B5822" s="266">
        <f>IFERROR(__xludf.DUMMYFUNCTION("""COMPUTED_VALUE"""),45139.0)</f>
        <v>45139</v>
      </c>
      <c r="C5822" s="266" t="str">
        <f>IFERROR(__xludf.DUMMYFUNCTION("""COMPUTED_VALUE"""),"KYAI KONTONG")</f>
        <v>KYAI KONTONG</v>
      </c>
      <c r="D5822" s="186">
        <f>IFERROR(__xludf.DUMMYFUNCTION("""COMPUTED_VALUE"""),2.0)</f>
        <v>2</v>
      </c>
    </row>
    <row r="5823">
      <c r="A5823" s="178" t="str">
        <f>IFERROR(__xludf.DUMMYFUNCTION("""COMPUTED_VALUE"""),"ITBISA-IC-NE555P-DIP8")</f>
        <v>ITBISA-IC-NE555P-DIP8</v>
      </c>
      <c r="B5823" s="266">
        <f>IFERROR(__xludf.DUMMYFUNCTION("""COMPUTED_VALUE"""),45139.0)</f>
        <v>45139</v>
      </c>
      <c r="C5823" s="266" t="str">
        <f>IFERROR(__xludf.DUMMYFUNCTION("""COMPUTED_VALUE"""),"KYAI KONTONG")</f>
        <v>KYAI KONTONG</v>
      </c>
      <c r="D5823" s="186">
        <f>IFERROR(__xludf.DUMMYFUNCTION("""COMPUTED_VALUE"""),50.0)</f>
        <v>50</v>
      </c>
    </row>
    <row r="5824">
      <c r="A5824" s="178" t="str">
        <f>IFERROR(__xludf.DUMMYFUNCTION("""COMPUTED_VALUE"""),"ITBISA-IC-NE555P-DIP8")</f>
        <v>ITBISA-IC-NE555P-DIP8</v>
      </c>
      <c r="B5824" s="266">
        <f>IFERROR(__xludf.DUMMYFUNCTION("""COMPUTED_VALUE"""),45150.0)</f>
        <v>45150</v>
      </c>
      <c r="C5824" s="266" t="str">
        <f>IFERROR(__xludf.DUMMYFUNCTION("""COMPUTED_VALUE"""),"KYAI KONTONG")</f>
        <v>KYAI KONTONG</v>
      </c>
      <c r="D5824" s="186">
        <f>IFERROR(__xludf.DUMMYFUNCTION("""COMPUTED_VALUE"""),100.0)</f>
        <v>100</v>
      </c>
    </row>
    <row r="5825">
      <c r="A5825" s="178" t="str">
        <f>IFERROR(__xludf.DUMMYFUNCTION("""COMPUTED_VALUE"""),"ITBISA-IC-NE555P-DIP8")</f>
        <v>ITBISA-IC-NE555P-DIP8</v>
      </c>
      <c r="B5825" s="266">
        <f>IFERROR(__xludf.DUMMYFUNCTION("""COMPUTED_VALUE"""),45154.0)</f>
        <v>45154</v>
      </c>
      <c r="C5825" s="266" t="str">
        <f>IFERROR(__xludf.DUMMYFUNCTION("""COMPUTED_VALUE"""),"KYAI KONTONG")</f>
        <v>KYAI KONTONG</v>
      </c>
      <c r="D5825" s="186">
        <f>IFERROR(__xludf.DUMMYFUNCTION("""COMPUTED_VALUE"""),6.0)</f>
        <v>6</v>
      </c>
    </row>
    <row r="5826">
      <c r="A5826" s="178" t="str">
        <f>IFERROR(__xludf.DUMMYFUNCTION("""COMPUTED_VALUE"""),"ITBISA-IC-NE555P-DIP8")</f>
        <v>ITBISA-IC-NE555P-DIP8</v>
      </c>
      <c r="B5826" s="266">
        <f>IFERROR(__xludf.DUMMYFUNCTION("""COMPUTED_VALUE"""),45160.0)</f>
        <v>45160</v>
      </c>
      <c r="C5826" s="266" t="str">
        <f>IFERROR(__xludf.DUMMYFUNCTION("""COMPUTED_VALUE"""),"KYAI KONTONG")</f>
        <v>KYAI KONTONG</v>
      </c>
      <c r="D5826" s="186">
        <f>IFERROR(__xludf.DUMMYFUNCTION("""COMPUTED_VALUE"""),50.0)</f>
        <v>50</v>
      </c>
    </row>
    <row r="5827">
      <c r="A5827" s="178" t="str">
        <f>IFERROR(__xludf.DUMMYFUNCTION("""COMPUTED_VALUE"""),"ITBISA-IC-NE555P-DIP8")</f>
        <v>ITBISA-IC-NE555P-DIP8</v>
      </c>
      <c r="B5827" s="266">
        <f>IFERROR(__xludf.DUMMYFUNCTION("""COMPUTED_VALUE"""),45162.0)</f>
        <v>45162</v>
      </c>
      <c r="C5827" s="266" t="str">
        <f>IFERROR(__xludf.DUMMYFUNCTION("""COMPUTED_VALUE"""),"KYAI KONTONG")</f>
        <v>KYAI KONTONG</v>
      </c>
      <c r="D5827" s="186">
        <f>IFERROR(__xludf.DUMMYFUNCTION("""COMPUTED_VALUE"""),10.0)</f>
        <v>10</v>
      </c>
    </row>
    <row r="5828">
      <c r="A5828" s="178" t="str">
        <f>IFERROR(__xludf.DUMMYFUNCTION("""COMPUTED_VALUE"""),"ITBISA-IC-NE555P-DIP8")</f>
        <v>ITBISA-IC-NE555P-DIP8</v>
      </c>
      <c r="B5828" s="266">
        <f>IFERROR(__xludf.DUMMYFUNCTION("""COMPUTED_VALUE"""),45162.0)</f>
        <v>45162</v>
      </c>
      <c r="C5828" s="266" t="str">
        <f>IFERROR(__xludf.DUMMYFUNCTION("""COMPUTED_VALUE"""),"KYAI KONTONG")</f>
        <v>KYAI KONTONG</v>
      </c>
      <c r="D5828" s="186">
        <f>IFERROR(__xludf.DUMMYFUNCTION("""COMPUTED_VALUE"""),20.0)</f>
        <v>20</v>
      </c>
    </row>
    <row r="5829">
      <c r="A5829" s="178" t="str">
        <f>IFERROR(__xludf.DUMMYFUNCTION("""COMPUTED_VALUE"""),"ITBISA-IC-NE555P-DIP8")</f>
        <v>ITBISA-IC-NE555P-DIP8</v>
      </c>
      <c r="B5829" s="266">
        <f>IFERROR(__xludf.DUMMYFUNCTION("""COMPUTED_VALUE"""),45166.0)</f>
        <v>45166</v>
      </c>
      <c r="C5829" s="266" t="str">
        <f>IFERROR(__xludf.DUMMYFUNCTION("""COMPUTED_VALUE"""),"KYAI KONTONG")</f>
        <v>KYAI KONTONG</v>
      </c>
      <c r="D5829" s="186">
        <f>IFERROR(__xludf.DUMMYFUNCTION("""COMPUTED_VALUE"""),2.0)</f>
        <v>2</v>
      </c>
    </row>
    <row r="5830">
      <c r="A5830" s="178" t="str">
        <f>IFERROR(__xludf.DUMMYFUNCTION("""COMPUTED_VALUE"""),"ITBISA-IC-NE555P-DIP8")</f>
        <v>ITBISA-IC-NE555P-DIP8</v>
      </c>
      <c r="B5830" s="266">
        <f>IFERROR(__xludf.DUMMYFUNCTION("""COMPUTED_VALUE"""),45169.0)</f>
        <v>45169</v>
      </c>
      <c r="C5830" s="266" t="str">
        <f>IFERROR(__xludf.DUMMYFUNCTION("""COMPUTED_VALUE"""),"KYAI KONTONG")</f>
        <v>KYAI KONTONG</v>
      </c>
      <c r="D5830" s="186">
        <f>IFERROR(__xludf.DUMMYFUNCTION("""COMPUTED_VALUE"""),5.0)</f>
        <v>5</v>
      </c>
    </row>
    <row r="5831">
      <c r="A5831" s="178" t="str">
        <f>IFERROR(__xludf.DUMMYFUNCTION("""COMPUTED_VALUE"""),"ITBISA-IC-NE555P-DIP8")</f>
        <v>ITBISA-IC-NE555P-DIP8</v>
      </c>
      <c r="B5831" s="266">
        <f>IFERROR(__xludf.DUMMYFUNCTION("""COMPUTED_VALUE"""),45177.0)</f>
        <v>45177</v>
      </c>
      <c r="C5831" s="266" t="str">
        <f>IFERROR(__xludf.DUMMYFUNCTION("""COMPUTED_VALUE"""),"KERTASARI CIAMIS")</f>
        <v>KERTASARI CIAMIS</v>
      </c>
      <c r="D5831" s="186">
        <f>IFERROR(__xludf.DUMMYFUNCTION("""COMPUTED_VALUE"""),5.0)</f>
        <v>5</v>
      </c>
    </row>
    <row r="5832">
      <c r="A5832" s="178" t="str">
        <f>IFERROR(__xludf.DUMMYFUNCTION("""COMPUTED_VALUE"""),"ITBISA-IC-NE555P-DIP8")</f>
        <v>ITBISA-IC-NE555P-DIP8</v>
      </c>
      <c r="B5832" s="266">
        <f>IFERROR(__xludf.DUMMYFUNCTION("""COMPUTED_VALUE"""),45177.0)</f>
        <v>45177</v>
      </c>
      <c r="C5832" s="266" t="str">
        <f>IFERROR(__xludf.DUMMYFUNCTION("""COMPUTED_VALUE"""),"KYAI KONTONG")</f>
        <v>KYAI KONTONG</v>
      </c>
      <c r="D5832" s="186">
        <f>IFERROR(__xludf.DUMMYFUNCTION("""COMPUTED_VALUE"""),4.0)</f>
        <v>4</v>
      </c>
    </row>
    <row r="5833">
      <c r="A5833" s="178" t="str">
        <f>IFERROR(__xludf.DUMMYFUNCTION("""COMPUTED_VALUE"""),"ITBISA-IC-NE555P-DIP8")</f>
        <v>ITBISA-IC-NE555P-DIP8</v>
      </c>
      <c r="B5833" s="266">
        <f>IFERROR(__xludf.DUMMYFUNCTION("""COMPUTED_VALUE"""),45178.0)</f>
        <v>45178</v>
      </c>
      <c r="C5833" s="266" t="str">
        <f>IFERROR(__xludf.DUMMYFUNCTION("""COMPUTED_VALUE"""),"KYAI KONTONG")</f>
        <v>KYAI KONTONG</v>
      </c>
      <c r="D5833" s="186">
        <f>IFERROR(__xludf.DUMMYFUNCTION("""COMPUTED_VALUE"""),3.0)</f>
        <v>3</v>
      </c>
    </row>
    <row r="5834">
      <c r="A5834" s="178" t="str">
        <f>IFERROR(__xludf.DUMMYFUNCTION("""COMPUTED_VALUE"""),"ITBISA-IC-NE555P-DIP8")</f>
        <v>ITBISA-IC-NE555P-DIP8</v>
      </c>
      <c r="B5834" s="266">
        <f>IFERROR(__xludf.DUMMYFUNCTION("""COMPUTED_VALUE"""),45188.0)</f>
        <v>45188</v>
      </c>
      <c r="C5834" s="266" t="str">
        <f>IFERROR(__xludf.DUMMYFUNCTION("""COMPUTED_VALUE"""),"KYAI KONTONG")</f>
        <v>KYAI KONTONG</v>
      </c>
      <c r="D5834" s="186">
        <f>IFERROR(__xludf.DUMMYFUNCTION("""COMPUTED_VALUE"""),5.0)</f>
        <v>5</v>
      </c>
    </row>
    <row r="5835">
      <c r="A5835" s="178" t="str">
        <f>IFERROR(__xludf.DUMMYFUNCTION("""COMPUTED_VALUE"""),"ITBISA-IC-NE555P-DIP8")</f>
        <v>ITBISA-IC-NE555P-DIP8</v>
      </c>
      <c r="B5835" s="266">
        <f>IFERROR(__xludf.DUMMYFUNCTION("""COMPUTED_VALUE"""),45192.0)</f>
        <v>45192</v>
      </c>
      <c r="C5835" s="266" t="str">
        <f>IFERROR(__xludf.DUMMYFUNCTION("""COMPUTED_VALUE"""),"KYAI KONTONG")</f>
        <v>KYAI KONTONG</v>
      </c>
      <c r="D5835" s="186">
        <f>IFERROR(__xludf.DUMMYFUNCTION("""COMPUTED_VALUE"""),7.0)</f>
        <v>7</v>
      </c>
    </row>
    <row r="5836">
      <c r="A5836" s="178" t="str">
        <f>IFERROR(__xludf.DUMMYFUNCTION("""COMPUTED_VALUE"""),"ITBISA-IC-NE555P-DIP8")</f>
        <v>ITBISA-IC-NE555P-DIP8</v>
      </c>
      <c r="B5836" s="266">
        <f>IFERROR(__xludf.DUMMYFUNCTION("""COMPUTED_VALUE"""),45196.0)</f>
        <v>45196</v>
      </c>
      <c r="C5836" s="266" t="str">
        <f>IFERROR(__xludf.DUMMYFUNCTION("""COMPUTED_VALUE"""),"KYAI KONTONG")</f>
        <v>KYAI KONTONG</v>
      </c>
      <c r="D5836" s="186">
        <f>IFERROR(__xludf.DUMMYFUNCTION("""COMPUTED_VALUE"""),50.0)</f>
        <v>50</v>
      </c>
    </row>
    <row r="5837">
      <c r="A5837" s="178" t="str">
        <f>IFERROR(__xludf.DUMMYFUNCTION("""COMPUTED_VALUE"""),"ITBISA-IC-NE555P-DIP8")</f>
        <v>ITBISA-IC-NE555P-DIP8</v>
      </c>
      <c r="B5837" s="266">
        <f>IFERROR(__xludf.DUMMYFUNCTION("""COMPUTED_VALUE"""),45198.0)</f>
        <v>45198</v>
      </c>
      <c r="C5837" s="266" t="str">
        <f>IFERROR(__xludf.DUMMYFUNCTION("""COMPUTED_VALUE"""),"KYAI KONTONG")</f>
        <v>KYAI KONTONG</v>
      </c>
      <c r="D5837" s="186">
        <f>IFERROR(__xludf.DUMMYFUNCTION("""COMPUTED_VALUE"""),1.0)</f>
        <v>1</v>
      </c>
    </row>
    <row r="5838">
      <c r="A5838" s="178" t="str">
        <f>IFERROR(__xludf.DUMMYFUNCTION("""COMPUTED_VALUE"""),"ITBISA-IC-NE555P-DIP8")</f>
        <v>ITBISA-IC-NE555P-DIP8</v>
      </c>
      <c r="B5838" s="266">
        <f>IFERROR(__xludf.DUMMYFUNCTION("""COMPUTED_VALUE"""),45200.0)</f>
        <v>45200</v>
      </c>
      <c r="C5838" s="266" t="str">
        <f>IFERROR(__xludf.DUMMYFUNCTION("""COMPUTED_VALUE"""),"KYAI KONTONG")</f>
        <v>KYAI KONTONG</v>
      </c>
      <c r="D5838" s="186">
        <f>IFERROR(__xludf.DUMMYFUNCTION("""COMPUTED_VALUE"""),1.0)</f>
        <v>1</v>
      </c>
    </row>
    <row r="5839">
      <c r="A5839" s="178" t="str">
        <f>IFERROR(__xludf.DUMMYFUNCTION("""COMPUTED_VALUE"""),"ITBISA-IC-NE555P-DIP8")</f>
        <v>ITBISA-IC-NE555P-DIP8</v>
      </c>
      <c r="B5839" s="266">
        <f>IFERROR(__xludf.DUMMYFUNCTION("""COMPUTED_VALUE"""),45203.0)</f>
        <v>45203</v>
      </c>
      <c r="C5839" s="266" t="str">
        <f>IFERROR(__xludf.DUMMYFUNCTION("""COMPUTED_VALUE"""),"KYAI KONTONG")</f>
        <v>KYAI KONTONG</v>
      </c>
      <c r="D5839" s="186">
        <f>IFERROR(__xludf.DUMMYFUNCTION("""COMPUTED_VALUE"""),10.0)</f>
        <v>10</v>
      </c>
    </row>
    <row r="5840">
      <c r="A5840" s="178" t="str">
        <f>IFERROR(__xludf.DUMMYFUNCTION("""COMPUTED_VALUE"""),"ITBISA-IC-NE555P-DIP8")</f>
        <v>ITBISA-IC-NE555P-DIP8</v>
      </c>
      <c r="B5840" s="266">
        <f>IFERROR(__xludf.DUMMYFUNCTION("""COMPUTED_VALUE"""),45204.0)</f>
        <v>45204</v>
      </c>
      <c r="C5840" s="266" t="str">
        <f>IFERROR(__xludf.DUMMYFUNCTION("""COMPUTED_VALUE"""),"KERTASARI CIAMIS")</f>
        <v>KERTASARI CIAMIS</v>
      </c>
      <c r="D5840" s="186">
        <f>IFERROR(__xludf.DUMMYFUNCTION("""COMPUTED_VALUE"""),25.0)</f>
        <v>25</v>
      </c>
    </row>
    <row r="5841">
      <c r="A5841" s="178" t="str">
        <f>IFERROR(__xludf.DUMMYFUNCTION("""COMPUTED_VALUE"""),"ITBISA-IC-NE555P-DIP8")</f>
        <v>ITBISA-IC-NE555P-DIP8</v>
      </c>
      <c r="B5841" s="266">
        <f>IFERROR(__xludf.DUMMYFUNCTION("""COMPUTED_VALUE"""),45209.0)</f>
        <v>45209</v>
      </c>
      <c r="C5841" s="266" t="str">
        <f>IFERROR(__xludf.DUMMYFUNCTION("""COMPUTED_VALUE"""),"KYAI KONTONG")</f>
        <v>KYAI KONTONG</v>
      </c>
      <c r="D5841" s="186">
        <f>IFERROR(__xludf.DUMMYFUNCTION("""COMPUTED_VALUE"""),1.0)</f>
        <v>1</v>
      </c>
    </row>
    <row r="5842">
      <c r="A5842" s="178" t="str">
        <f>IFERROR(__xludf.DUMMYFUNCTION("""COMPUTED_VALUE"""),"ITBISA-IC-NE555P-DIP8")</f>
        <v>ITBISA-IC-NE555P-DIP8</v>
      </c>
      <c r="B5842" s="266">
        <f>IFERROR(__xludf.DUMMYFUNCTION("""COMPUTED_VALUE"""),45209.0)</f>
        <v>45209</v>
      </c>
      <c r="C5842" s="266" t="str">
        <f>IFERROR(__xludf.DUMMYFUNCTION("""COMPUTED_VALUE"""),"KYAI KONTONG")</f>
        <v>KYAI KONTONG</v>
      </c>
      <c r="D5842" s="186">
        <f>IFERROR(__xludf.DUMMYFUNCTION("""COMPUTED_VALUE"""),35.0)</f>
        <v>35</v>
      </c>
    </row>
    <row r="5843">
      <c r="A5843" s="178" t="str">
        <f>IFERROR(__xludf.DUMMYFUNCTION("""COMPUTED_VALUE"""),"ITBISA-IC-NE555P-DIP8")</f>
        <v>ITBISA-IC-NE555P-DIP8</v>
      </c>
      <c r="B5843" s="266">
        <f>IFERROR(__xludf.DUMMYFUNCTION("""COMPUTED_VALUE"""),45211.0)</f>
        <v>45211</v>
      </c>
      <c r="C5843" s="266" t="str">
        <f>IFERROR(__xludf.DUMMYFUNCTION("""COMPUTED_VALUE"""),"KYAI KONTONG")</f>
        <v>KYAI KONTONG</v>
      </c>
      <c r="D5843" s="186">
        <f>IFERROR(__xludf.DUMMYFUNCTION("""COMPUTED_VALUE"""),10.0)</f>
        <v>10</v>
      </c>
    </row>
    <row r="5844">
      <c r="A5844" s="178" t="str">
        <f>IFERROR(__xludf.DUMMYFUNCTION("""COMPUTED_VALUE"""),"ITBISA-IC-NE555P-DIP8")</f>
        <v>ITBISA-IC-NE555P-DIP8</v>
      </c>
      <c r="B5844" s="266">
        <f>IFERROR(__xludf.DUMMYFUNCTION("""COMPUTED_VALUE"""),45212.0)</f>
        <v>45212</v>
      </c>
      <c r="C5844" s="266" t="str">
        <f>IFERROR(__xludf.DUMMYFUNCTION("""COMPUTED_VALUE"""),"KYAI KONTONG")</f>
        <v>KYAI KONTONG</v>
      </c>
      <c r="D5844" s="186">
        <f>IFERROR(__xludf.DUMMYFUNCTION("""COMPUTED_VALUE"""),8.0)</f>
        <v>8</v>
      </c>
    </row>
    <row r="5845">
      <c r="A5845" s="178" t="str">
        <f>IFERROR(__xludf.DUMMYFUNCTION("""COMPUTED_VALUE"""),"ITBISA-IC-NE555P-DIP8")</f>
        <v>ITBISA-IC-NE555P-DIP8</v>
      </c>
      <c r="B5845" s="266">
        <f>IFERROR(__xludf.DUMMYFUNCTION("""COMPUTED_VALUE"""),45217.0)</f>
        <v>45217</v>
      </c>
      <c r="C5845" s="266" t="str">
        <f>IFERROR(__xludf.DUMMYFUNCTION("""COMPUTED_VALUE"""),"KYAI KONTONG")</f>
        <v>KYAI KONTONG</v>
      </c>
      <c r="D5845" s="186">
        <f>IFERROR(__xludf.DUMMYFUNCTION("""COMPUTED_VALUE"""),50.0)</f>
        <v>50</v>
      </c>
    </row>
    <row r="5846">
      <c r="A5846" s="178" t="str">
        <f>IFERROR(__xludf.DUMMYFUNCTION("""COMPUTED_VALUE"""),"ITBISA-IC-NE555P-DIP8")</f>
        <v>ITBISA-IC-NE555P-DIP8</v>
      </c>
      <c r="B5846" s="266">
        <f>IFERROR(__xludf.DUMMYFUNCTION("""COMPUTED_VALUE"""),45226.0)</f>
        <v>45226</v>
      </c>
      <c r="C5846" s="266" t="str">
        <f>IFERROR(__xludf.DUMMYFUNCTION("""COMPUTED_VALUE"""),"KYAI KONTONG")</f>
        <v>KYAI KONTONG</v>
      </c>
      <c r="D5846" s="186">
        <f>IFERROR(__xludf.DUMMYFUNCTION("""COMPUTED_VALUE"""),1.0)</f>
        <v>1</v>
      </c>
    </row>
    <row r="5847">
      <c r="A5847" s="178" t="str">
        <f>IFERROR(__xludf.DUMMYFUNCTION("""COMPUTED_VALUE"""),"ITBISA-IC-NE555P-DIP8")</f>
        <v>ITBISA-IC-NE555P-DIP8</v>
      </c>
      <c r="B5847" s="266">
        <f>IFERROR(__xludf.DUMMYFUNCTION("""COMPUTED_VALUE"""),45230.0)</f>
        <v>45230</v>
      </c>
      <c r="C5847" s="266" t="str">
        <f>IFERROR(__xludf.DUMMYFUNCTION("""COMPUTED_VALUE"""),"KYAI KONTONG")</f>
        <v>KYAI KONTONG</v>
      </c>
      <c r="D5847" s="186">
        <f>IFERROR(__xludf.DUMMYFUNCTION("""COMPUTED_VALUE"""),4.0)</f>
        <v>4</v>
      </c>
    </row>
    <row r="5848">
      <c r="A5848" s="178" t="str">
        <f>IFERROR(__xludf.DUMMYFUNCTION("""COMPUTED_VALUE"""),"ITBISA-IC-NE555P-DIP8")</f>
        <v>ITBISA-IC-NE555P-DIP8</v>
      </c>
      <c r="B5848" s="266">
        <f>IFERROR(__xludf.DUMMYFUNCTION("""COMPUTED_VALUE"""),45230.0)</f>
        <v>45230</v>
      </c>
      <c r="C5848" s="266" t="str">
        <f>IFERROR(__xludf.DUMMYFUNCTION("""COMPUTED_VALUE"""),"KYAI KONTONG")</f>
        <v>KYAI KONTONG</v>
      </c>
      <c r="D5848" s="186">
        <f>IFERROR(__xludf.DUMMYFUNCTION("""COMPUTED_VALUE"""),50.0)</f>
        <v>50</v>
      </c>
    </row>
    <row r="5849">
      <c r="A5849" s="178" t="str">
        <f>IFERROR(__xludf.DUMMYFUNCTION("""COMPUTED_VALUE"""),"ITBISA-IC-NE555P-DIP8")</f>
        <v>ITBISA-IC-NE555P-DIP8</v>
      </c>
      <c r="B5849" s="266">
        <f>IFERROR(__xludf.DUMMYFUNCTION("""COMPUTED_VALUE"""),45231.0)</f>
        <v>45231</v>
      </c>
      <c r="C5849" s="266" t="str">
        <f>IFERROR(__xludf.DUMMYFUNCTION("""COMPUTED_VALUE"""),"KERTASARI CIAMIS")</f>
        <v>KERTASARI CIAMIS</v>
      </c>
      <c r="D5849" s="186">
        <f>IFERROR(__xludf.DUMMYFUNCTION("""COMPUTED_VALUE"""),50.0)</f>
        <v>50</v>
      </c>
    </row>
    <row r="5850">
      <c r="A5850" s="178" t="str">
        <f>IFERROR(__xludf.DUMMYFUNCTION("""COMPUTED_VALUE"""),"ITBISA-IC-NE555P-DIP8")</f>
        <v>ITBISA-IC-NE555P-DIP8</v>
      </c>
      <c r="B5850" s="266">
        <f>IFERROR(__xludf.DUMMYFUNCTION("""COMPUTED_VALUE"""),45233.0)</f>
        <v>45233</v>
      </c>
      <c r="C5850" s="266" t="str">
        <f>IFERROR(__xludf.DUMMYFUNCTION("""COMPUTED_VALUE"""),"KERTASARI CIAMIS")</f>
        <v>KERTASARI CIAMIS</v>
      </c>
      <c r="D5850" s="186">
        <f>IFERROR(__xludf.DUMMYFUNCTION("""COMPUTED_VALUE"""),20.0)</f>
        <v>20</v>
      </c>
    </row>
    <row r="5851">
      <c r="A5851" s="178" t="str">
        <f>IFERROR(__xludf.DUMMYFUNCTION("""COMPUTED_VALUE"""),"ITBISA-IC-NE555P-DIP8")</f>
        <v>ITBISA-IC-NE555P-DIP8</v>
      </c>
      <c r="B5851" s="266">
        <f>IFERROR(__xludf.DUMMYFUNCTION("""COMPUTED_VALUE"""),45234.0)</f>
        <v>45234</v>
      </c>
      <c r="C5851" s="266" t="str">
        <f>IFERROR(__xludf.DUMMYFUNCTION("""COMPUTED_VALUE"""),"KYAI KONTONG")</f>
        <v>KYAI KONTONG</v>
      </c>
      <c r="D5851" s="186">
        <f>IFERROR(__xludf.DUMMYFUNCTION("""COMPUTED_VALUE"""),5.0)</f>
        <v>5</v>
      </c>
    </row>
    <row r="5852">
      <c r="A5852" s="178" t="str">
        <f>IFERROR(__xludf.DUMMYFUNCTION("""COMPUTED_VALUE"""),"ITBISA-IC-NE555P-DIP8")</f>
        <v>ITBISA-IC-NE555P-DIP8</v>
      </c>
      <c r="B5852" s="266">
        <f>IFERROR(__xludf.DUMMYFUNCTION("""COMPUTED_VALUE"""),45241.0)</f>
        <v>45241</v>
      </c>
      <c r="C5852" s="266" t="str">
        <f>IFERROR(__xludf.DUMMYFUNCTION("""COMPUTED_VALUE"""),"KERTASARI CIAMIS")</f>
        <v>KERTASARI CIAMIS</v>
      </c>
      <c r="D5852" s="186">
        <f>IFERROR(__xludf.DUMMYFUNCTION("""COMPUTED_VALUE"""),150.0)</f>
        <v>150</v>
      </c>
    </row>
    <row r="5853">
      <c r="A5853" s="178" t="str">
        <f>IFERROR(__xludf.DUMMYFUNCTION("""COMPUTED_VALUE"""),"ITBISA-IC-NE555P-DIP8")</f>
        <v>ITBISA-IC-NE555P-DIP8</v>
      </c>
      <c r="B5853" s="266">
        <f>IFERROR(__xludf.DUMMYFUNCTION("""COMPUTED_VALUE"""),45241.0)</f>
        <v>45241</v>
      </c>
      <c r="C5853" s="266" t="str">
        <f>IFERROR(__xludf.DUMMYFUNCTION("""COMPUTED_VALUE"""),"KYAI KONTONG")</f>
        <v>KYAI KONTONG</v>
      </c>
      <c r="D5853" s="186">
        <f>IFERROR(__xludf.DUMMYFUNCTION("""COMPUTED_VALUE"""),50.0)</f>
        <v>50</v>
      </c>
    </row>
    <row r="5854">
      <c r="A5854" s="178" t="str">
        <f>IFERROR(__xludf.DUMMYFUNCTION("""COMPUTED_VALUE"""),"ITBISA-IC-NE555P-DIP8")</f>
        <v>ITBISA-IC-NE555P-DIP8</v>
      </c>
      <c r="B5854" s="266">
        <f>IFERROR(__xludf.DUMMYFUNCTION("""COMPUTED_VALUE"""),45244.0)</f>
        <v>45244</v>
      </c>
      <c r="C5854" s="266" t="str">
        <f>IFERROR(__xludf.DUMMYFUNCTION("""COMPUTED_VALUE"""),"KYAI KONTONG")</f>
        <v>KYAI KONTONG</v>
      </c>
      <c r="D5854" s="186">
        <f>IFERROR(__xludf.DUMMYFUNCTION("""COMPUTED_VALUE"""),50.0)</f>
        <v>50</v>
      </c>
    </row>
    <row r="5855">
      <c r="A5855" s="178" t="str">
        <f>IFERROR(__xludf.DUMMYFUNCTION("""COMPUTED_VALUE"""),"ITBISA-IC-NE555P-DIP8")</f>
        <v>ITBISA-IC-NE555P-DIP8</v>
      </c>
      <c r="B5855" s="266">
        <f>IFERROR(__xludf.DUMMYFUNCTION("""COMPUTED_VALUE"""),45247.0)</f>
        <v>45247</v>
      </c>
      <c r="C5855" s="266" t="str">
        <f>IFERROR(__xludf.DUMMYFUNCTION("""COMPUTED_VALUE"""),"KYAI KONTONG")</f>
        <v>KYAI KONTONG</v>
      </c>
      <c r="D5855" s="186">
        <f>IFERROR(__xludf.DUMMYFUNCTION("""COMPUTED_VALUE"""),10.0)</f>
        <v>10</v>
      </c>
    </row>
    <row r="5856">
      <c r="A5856" s="178" t="str">
        <f>IFERROR(__xludf.DUMMYFUNCTION("""COMPUTED_VALUE"""),"ITBISA-IC-NE555P-DIP8")</f>
        <v>ITBISA-IC-NE555P-DIP8</v>
      </c>
      <c r="B5856" s="266">
        <f>IFERROR(__xludf.DUMMYFUNCTION("""COMPUTED_VALUE"""),45251.0)</f>
        <v>45251</v>
      </c>
      <c r="C5856" s="266" t="str">
        <f>IFERROR(__xludf.DUMMYFUNCTION("""COMPUTED_VALUE"""),"KYAI KONTONG")</f>
        <v>KYAI KONTONG</v>
      </c>
      <c r="D5856" s="186">
        <f>IFERROR(__xludf.DUMMYFUNCTION("""COMPUTED_VALUE"""),5.0)</f>
        <v>5</v>
      </c>
    </row>
    <row r="5857">
      <c r="A5857" s="178" t="str">
        <f>IFERROR(__xludf.DUMMYFUNCTION("""COMPUTED_VALUE"""),"ITBISA-IC-NE555P-DIP8")</f>
        <v>ITBISA-IC-NE555P-DIP8</v>
      </c>
      <c r="B5857" s="266">
        <f>IFERROR(__xludf.DUMMYFUNCTION("""COMPUTED_VALUE"""),45255.0)</f>
        <v>45255</v>
      </c>
      <c r="C5857" s="266" t="str">
        <f>IFERROR(__xludf.DUMMYFUNCTION("""COMPUTED_VALUE"""),"KYAI KONTONG")</f>
        <v>KYAI KONTONG</v>
      </c>
      <c r="D5857" s="186">
        <f>IFERROR(__xludf.DUMMYFUNCTION("""COMPUTED_VALUE"""),20.0)</f>
        <v>20</v>
      </c>
    </row>
    <row r="5858">
      <c r="A5858" s="178" t="str">
        <f>IFERROR(__xludf.DUMMYFUNCTION("""COMPUTED_VALUE"""),"ITBISA-IC-NE555P-DIP8")</f>
        <v>ITBISA-IC-NE555P-DIP8</v>
      </c>
      <c r="B5858" s="266">
        <f>IFERROR(__xludf.DUMMYFUNCTION("""COMPUTED_VALUE"""),45256.0)</f>
        <v>45256</v>
      </c>
      <c r="C5858" s="266" t="str">
        <f>IFERROR(__xludf.DUMMYFUNCTION("""COMPUTED_VALUE"""),"KYAI KONTONG")</f>
        <v>KYAI KONTONG</v>
      </c>
      <c r="D5858" s="186">
        <f>IFERROR(__xludf.DUMMYFUNCTION("""COMPUTED_VALUE"""),75.0)</f>
        <v>75</v>
      </c>
    </row>
    <row r="5859">
      <c r="A5859" s="178" t="str">
        <f>IFERROR(__xludf.DUMMYFUNCTION("""COMPUTED_VALUE"""),"ITBISA-IC-NE555P-DIP8")</f>
        <v>ITBISA-IC-NE555P-DIP8</v>
      </c>
      <c r="B5859" s="266">
        <f>IFERROR(__xludf.DUMMYFUNCTION("""COMPUTED_VALUE"""),45267.0)</f>
        <v>45267</v>
      </c>
      <c r="C5859" s="266" t="str">
        <f>IFERROR(__xludf.DUMMYFUNCTION("""COMPUTED_VALUE"""),"KYAI KONTONG")</f>
        <v>KYAI KONTONG</v>
      </c>
      <c r="D5859" s="186">
        <f>IFERROR(__xludf.DUMMYFUNCTION("""COMPUTED_VALUE"""),10.0)</f>
        <v>10</v>
      </c>
    </row>
    <row r="5860">
      <c r="A5860" s="178" t="str">
        <f>IFERROR(__xludf.DUMMYFUNCTION("""COMPUTED_VALUE"""),"ITBISA-IC-NE555P-DIP8")</f>
        <v>ITBISA-IC-NE555P-DIP8</v>
      </c>
      <c r="B5860" s="266">
        <f>IFERROR(__xludf.DUMMYFUNCTION("""COMPUTED_VALUE"""),45269.0)</f>
        <v>45269</v>
      </c>
      <c r="C5860" s="266" t="str">
        <f>IFERROR(__xludf.DUMMYFUNCTION("""COMPUTED_VALUE"""),"KERTASARI CIAMIS")</f>
        <v>KERTASARI CIAMIS</v>
      </c>
      <c r="D5860" s="186">
        <f>IFERROR(__xludf.DUMMYFUNCTION("""COMPUTED_VALUE"""),5.0)</f>
        <v>5</v>
      </c>
    </row>
    <row r="5861">
      <c r="A5861" s="178" t="str">
        <f>IFERROR(__xludf.DUMMYFUNCTION("""COMPUTED_VALUE"""),"ITBISA-IC-NE555P-DIP8")</f>
        <v>ITBISA-IC-NE555P-DIP8</v>
      </c>
      <c r="B5861" s="266">
        <f>IFERROR(__xludf.DUMMYFUNCTION("""COMPUTED_VALUE"""),45271.0)</f>
        <v>45271</v>
      </c>
      <c r="C5861" s="266" t="str">
        <f>IFERROR(__xludf.DUMMYFUNCTION("""COMPUTED_VALUE"""),"KERTASARI CIAMIS")</f>
        <v>KERTASARI CIAMIS</v>
      </c>
      <c r="D5861" s="186">
        <f>IFERROR(__xludf.DUMMYFUNCTION("""COMPUTED_VALUE"""),50.0)</f>
        <v>50</v>
      </c>
    </row>
    <row r="5862">
      <c r="A5862" s="178" t="str">
        <f>IFERROR(__xludf.DUMMYFUNCTION("""COMPUTED_VALUE"""),"ITBISA-IC-NE555P-DIP8")</f>
        <v>ITBISA-IC-NE555P-DIP8</v>
      </c>
      <c r="B5862" s="266">
        <f>IFERROR(__xludf.DUMMYFUNCTION("""COMPUTED_VALUE"""),45271.0)</f>
        <v>45271</v>
      </c>
      <c r="C5862" s="266" t="str">
        <f>IFERROR(__xludf.DUMMYFUNCTION("""COMPUTED_VALUE"""),"KYAI KONTONG")</f>
        <v>KYAI KONTONG</v>
      </c>
      <c r="D5862" s="186">
        <f>IFERROR(__xludf.DUMMYFUNCTION("""COMPUTED_VALUE"""),25.0)</f>
        <v>25</v>
      </c>
    </row>
    <row r="5863">
      <c r="A5863" s="178" t="str">
        <f>IFERROR(__xludf.DUMMYFUNCTION("""COMPUTED_VALUE"""),"ITBISA-IC-NE555P-DIP8")</f>
        <v>ITBISA-IC-NE555P-DIP8</v>
      </c>
      <c r="B5863" s="266">
        <f>IFERROR(__xludf.DUMMYFUNCTION("""COMPUTED_VALUE"""),45277.0)</f>
        <v>45277</v>
      </c>
      <c r="C5863" s="266" t="str">
        <f>IFERROR(__xludf.DUMMYFUNCTION("""COMPUTED_VALUE"""),"KERTASARI CIAMIS")</f>
        <v>KERTASARI CIAMIS</v>
      </c>
      <c r="D5863" s="186">
        <f>IFERROR(__xludf.DUMMYFUNCTION("""COMPUTED_VALUE"""),200.0)</f>
        <v>200</v>
      </c>
    </row>
    <row r="5864">
      <c r="A5864" s="178" t="str">
        <f>IFERROR(__xludf.DUMMYFUNCTION("""COMPUTED_VALUE"""),"ITBISA-IC-NE555P-DIP8")</f>
        <v>ITBISA-IC-NE555P-DIP8</v>
      </c>
      <c r="B5864" s="266">
        <f>IFERROR(__xludf.DUMMYFUNCTION("""COMPUTED_VALUE"""),45278.0)</f>
        <v>45278</v>
      </c>
      <c r="C5864" s="266" t="str">
        <f>IFERROR(__xludf.DUMMYFUNCTION("""COMPUTED_VALUE"""),"KYAI KONTONG")</f>
        <v>KYAI KONTONG</v>
      </c>
      <c r="D5864" s="186">
        <f>IFERROR(__xludf.DUMMYFUNCTION("""COMPUTED_VALUE"""),10.0)</f>
        <v>10</v>
      </c>
    </row>
    <row r="5865">
      <c r="A5865" s="178" t="str">
        <f>IFERROR(__xludf.DUMMYFUNCTION("""COMPUTED_VALUE"""),"ITBISA-IC-NE555P-DIP8")</f>
        <v>ITBISA-IC-NE555P-DIP8</v>
      </c>
      <c r="B5865" s="266">
        <f>IFERROR(__xludf.DUMMYFUNCTION("""COMPUTED_VALUE"""),45281.0)</f>
        <v>45281</v>
      </c>
      <c r="C5865" s="266" t="str">
        <f>IFERROR(__xludf.DUMMYFUNCTION("""COMPUTED_VALUE"""),"KYAI KONTONG")</f>
        <v>KYAI KONTONG</v>
      </c>
      <c r="D5865" s="186">
        <f>IFERROR(__xludf.DUMMYFUNCTION("""COMPUTED_VALUE"""),20.0)</f>
        <v>20</v>
      </c>
    </row>
    <row r="5866">
      <c r="A5866" s="178" t="str">
        <f>IFERROR(__xludf.DUMMYFUNCTION("""COMPUTED_VALUE"""),"ITBISA-IC-NE555P-DIP8")</f>
        <v>ITBISA-IC-NE555P-DIP8</v>
      </c>
      <c r="B5866" s="266">
        <f>IFERROR(__xludf.DUMMYFUNCTION("""COMPUTED_VALUE"""),45285.0)</f>
        <v>45285</v>
      </c>
      <c r="C5866" s="266" t="str">
        <f>IFERROR(__xludf.DUMMYFUNCTION("""COMPUTED_VALUE"""),"KERTASARI CIAMIS")</f>
        <v>KERTASARI CIAMIS</v>
      </c>
      <c r="D5866" s="186">
        <f>IFERROR(__xludf.DUMMYFUNCTION("""COMPUTED_VALUE"""),10.0)</f>
        <v>10</v>
      </c>
    </row>
    <row r="5867">
      <c r="A5867" s="178" t="str">
        <f>IFERROR(__xludf.DUMMYFUNCTION("""COMPUTED_VALUE"""),"ITBISA-IC-NE555P-DIP8")</f>
        <v>ITBISA-IC-NE555P-DIP8</v>
      </c>
      <c r="B5867" s="266">
        <f>IFERROR(__xludf.DUMMYFUNCTION("""COMPUTED_VALUE"""),45285.0)</f>
        <v>45285</v>
      </c>
      <c r="C5867" s="266" t="str">
        <f>IFERROR(__xludf.DUMMYFUNCTION("""COMPUTED_VALUE"""),"KYAI KONTONG")</f>
        <v>KYAI KONTONG</v>
      </c>
      <c r="D5867" s="186">
        <f>IFERROR(__xludf.DUMMYFUNCTION("""COMPUTED_VALUE"""),10.0)</f>
        <v>10</v>
      </c>
    </row>
    <row r="5868">
      <c r="A5868" s="178" t="str">
        <f>IFERROR(__xludf.DUMMYFUNCTION("""COMPUTED_VALUE"""),"ITBISA-IC-NE555P-DIP8")</f>
        <v>ITBISA-IC-NE555P-DIP8</v>
      </c>
      <c r="B5868" s="266">
        <f>IFERROR(__xludf.DUMMYFUNCTION("""COMPUTED_VALUE"""),45286.0)</f>
        <v>45286</v>
      </c>
      <c r="C5868" s="266" t="str">
        <f>IFERROR(__xludf.DUMMYFUNCTION("""COMPUTED_VALUE"""),"KERTASARI CIAMIS")</f>
        <v>KERTASARI CIAMIS</v>
      </c>
      <c r="D5868" s="186">
        <f>IFERROR(__xludf.DUMMYFUNCTION("""COMPUTED_VALUE"""),10.0)</f>
        <v>10</v>
      </c>
    </row>
    <row r="5869">
      <c r="A5869" s="178" t="str">
        <f>IFERROR(__xludf.DUMMYFUNCTION("""COMPUTED_VALUE"""),"ITBISA-IC-NE555P-DIP8")</f>
        <v>ITBISA-IC-NE555P-DIP8</v>
      </c>
      <c r="B5869" s="266">
        <f>IFERROR(__xludf.DUMMYFUNCTION("""COMPUTED_VALUE"""),45288.0)</f>
        <v>45288</v>
      </c>
      <c r="C5869" s="266" t="str">
        <f>IFERROR(__xludf.DUMMYFUNCTION("""COMPUTED_VALUE"""),"KYAI KONTONG")</f>
        <v>KYAI KONTONG</v>
      </c>
      <c r="D5869" s="186">
        <f>IFERROR(__xludf.DUMMYFUNCTION("""COMPUTED_VALUE"""),2.0)</f>
        <v>2</v>
      </c>
    </row>
    <row r="5870">
      <c r="A5870" s="178" t="str">
        <f>IFERROR(__xludf.DUMMYFUNCTION("""COMPUTED_VALUE"""),"ITBISA-IC-NE555P-DIP8")</f>
        <v>ITBISA-IC-NE555P-DIP8</v>
      </c>
      <c r="B5870" s="266">
        <f>IFERROR(__xludf.DUMMYFUNCTION("""COMPUTED_VALUE"""),45289.0)</f>
        <v>45289</v>
      </c>
      <c r="C5870" s="266" t="str">
        <f>IFERROR(__xludf.DUMMYFUNCTION("""COMPUTED_VALUE"""),"KERTASARI CIAMIS")</f>
        <v>KERTASARI CIAMIS</v>
      </c>
      <c r="D5870" s="186">
        <f>IFERROR(__xludf.DUMMYFUNCTION("""COMPUTED_VALUE"""),100.0)</f>
        <v>100</v>
      </c>
    </row>
    <row r="5871">
      <c r="A5871" s="178" t="str">
        <f>IFERROR(__xludf.DUMMYFUNCTION("""COMPUTED_VALUE"""),"ITBISA-IC-NE555P-DIP8")</f>
        <v>ITBISA-IC-NE555P-DIP8</v>
      </c>
      <c r="B5871" s="266">
        <f>IFERROR(__xludf.DUMMYFUNCTION("""COMPUTED_VALUE"""),45294.0)</f>
        <v>45294</v>
      </c>
      <c r="C5871" s="266" t="str">
        <f>IFERROR(__xludf.DUMMYFUNCTION("""COMPUTED_VALUE"""),"KERTASARI CIAMIS")</f>
        <v>KERTASARI CIAMIS</v>
      </c>
      <c r="D5871" s="186">
        <f>IFERROR(__xludf.DUMMYFUNCTION("""COMPUTED_VALUE"""),200.0)</f>
        <v>200</v>
      </c>
    </row>
    <row r="5872">
      <c r="A5872" s="178" t="str">
        <f>IFERROR(__xludf.DUMMYFUNCTION("""COMPUTED_VALUE"""),"ITBISA-IC-NE555P-DIP8")</f>
        <v>ITBISA-IC-NE555P-DIP8</v>
      </c>
      <c r="B5872" s="266">
        <f>IFERROR(__xludf.DUMMYFUNCTION("""COMPUTED_VALUE"""),45298.0)</f>
        <v>45298</v>
      </c>
      <c r="C5872" s="266" t="str">
        <f>IFERROR(__xludf.DUMMYFUNCTION("""COMPUTED_VALUE"""),"KYAI KONTONG")</f>
        <v>KYAI KONTONG</v>
      </c>
      <c r="D5872" s="186">
        <f>IFERROR(__xludf.DUMMYFUNCTION("""COMPUTED_VALUE"""),50.0)</f>
        <v>50</v>
      </c>
    </row>
    <row r="5873">
      <c r="A5873" s="178" t="str">
        <f>IFERROR(__xludf.DUMMYFUNCTION("""COMPUTED_VALUE"""),"ITBISA-IC-NE555P-DIP8")</f>
        <v>ITBISA-IC-NE555P-DIP8</v>
      </c>
      <c r="B5873" s="266">
        <f>IFERROR(__xludf.DUMMYFUNCTION("""COMPUTED_VALUE"""),45299.0)</f>
        <v>45299</v>
      </c>
      <c r="C5873" s="266" t="str">
        <f>IFERROR(__xludf.DUMMYFUNCTION("""COMPUTED_VALUE"""),"KYAI KONTONG")</f>
        <v>KYAI KONTONG</v>
      </c>
      <c r="D5873" s="186">
        <f>IFERROR(__xludf.DUMMYFUNCTION("""COMPUTED_VALUE"""),150.0)</f>
        <v>150</v>
      </c>
    </row>
    <row r="5874">
      <c r="A5874" s="178" t="str">
        <f>IFERROR(__xludf.DUMMYFUNCTION("""COMPUTED_VALUE"""),"ITBISA-IC-NE555P-DIP8")</f>
        <v>ITBISA-IC-NE555P-DIP8</v>
      </c>
      <c r="B5874" s="266">
        <f>IFERROR(__xludf.DUMMYFUNCTION("""COMPUTED_VALUE"""),45300.0)</f>
        <v>45300</v>
      </c>
      <c r="C5874" s="266" t="str">
        <f>IFERROR(__xludf.DUMMYFUNCTION("""COMPUTED_VALUE"""),"KYAI KONTONG")</f>
        <v>KYAI KONTONG</v>
      </c>
      <c r="D5874" s="186">
        <f>IFERROR(__xludf.DUMMYFUNCTION("""COMPUTED_VALUE"""),20.0)</f>
        <v>20</v>
      </c>
    </row>
    <row r="5875">
      <c r="A5875" s="178" t="str">
        <f>IFERROR(__xludf.DUMMYFUNCTION("""COMPUTED_VALUE"""),"ITBISA-IC-NE555P-DIP8")</f>
        <v>ITBISA-IC-NE555P-DIP8</v>
      </c>
      <c r="B5875" s="266">
        <f>IFERROR(__xludf.DUMMYFUNCTION("""COMPUTED_VALUE"""),45302.0)</f>
        <v>45302</v>
      </c>
      <c r="C5875" s="266" t="str">
        <f>IFERROR(__xludf.DUMMYFUNCTION("""COMPUTED_VALUE"""),"KERTASARI CIAMIS")</f>
        <v>KERTASARI CIAMIS</v>
      </c>
      <c r="D5875" s="186">
        <f>IFERROR(__xludf.DUMMYFUNCTION("""COMPUTED_VALUE"""),1.0)</f>
        <v>1</v>
      </c>
    </row>
    <row r="5876">
      <c r="A5876" s="178" t="str">
        <f>IFERROR(__xludf.DUMMYFUNCTION("""COMPUTED_VALUE"""),"ITBISA-IC-NE555P-DIP8")</f>
        <v>ITBISA-IC-NE555P-DIP8</v>
      </c>
      <c r="B5876" s="266">
        <f>IFERROR(__xludf.DUMMYFUNCTION("""COMPUTED_VALUE"""),45302.0)</f>
        <v>45302</v>
      </c>
      <c r="C5876" s="266" t="str">
        <f>IFERROR(__xludf.DUMMYFUNCTION("""COMPUTED_VALUE"""),"KERTASARI CIAMIS")</f>
        <v>KERTASARI CIAMIS</v>
      </c>
      <c r="D5876" s="186">
        <f>IFERROR(__xludf.DUMMYFUNCTION("""COMPUTED_VALUE"""),50.0)</f>
        <v>50</v>
      </c>
    </row>
    <row r="5877">
      <c r="A5877" s="178" t="str">
        <f>IFERROR(__xludf.DUMMYFUNCTION("""COMPUTED_VALUE"""),"ITBISA-IC-NE555P-DIP8")</f>
        <v>ITBISA-IC-NE555P-DIP8</v>
      </c>
      <c r="B5877" s="266">
        <f>IFERROR(__xludf.DUMMYFUNCTION("""COMPUTED_VALUE"""),45307.0)</f>
        <v>45307</v>
      </c>
      <c r="C5877" s="266" t="str">
        <f>IFERROR(__xludf.DUMMYFUNCTION("""COMPUTED_VALUE"""),"KERTASARI CIAMIS")</f>
        <v>KERTASARI CIAMIS</v>
      </c>
      <c r="D5877" s="186">
        <f>IFERROR(__xludf.DUMMYFUNCTION("""COMPUTED_VALUE"""),100.0)</f>
        <v>100</v>
      </c>
    </row>
    <row r="5878">
      <c r="A5878" s="178" t="str">
        <f>IFERROR(__xludf.DUMMYFUNCTION("""COMPUTED_VALUE"""),"ITBISA-IC-NE555P-DIP8")</f>
        <v>ITBISA-IC-NE555P-DIP8</v>
      </c>
      <c r="B5878" s="266">
        <f>IFERROR(__xludf.DUMMYFUNCTION("""COMPUTED_VALUE"""),45313.0)</f>
        <v>45313</v>
      </c>
      <c r="C5878" s="266" t="str">
        <f>IFERROR(__xludf.DUMMYFUNCTION("""COMPUTED_VALUE"""),"KERTASARI CIAMIS")</f>
        <v>KERTASARI CIAMIS</v>
      </c>
      <c r="D5878" s="186">
        <f>IFERROR(__xludf.DUMMYFUNCTION("""COMPUTED_VALUE"""),20.0)</f>
        <v>20</v>
      </c>
    </row>
    <row r="5879">
      <c r="A5879" s="178" t="str">
        <f>IFERROR(__xludf.DUMMYFUNCTION("""COMPUTED_VALUE"""),"ITBISA-IC-NE555P-DIP8")</f>
        <v>ITBISA-IC-NE555P-DIP8</v>
      </c>
      <c r="B5879" s="266">
        <f>IFERROR(__xludf.DUMMYFUNCTION("""COMPUTED_VALUE"""),45313.0)</f>
        <v>45313</v>
      </c>
      <c r="C5879" s="266" t="str">
        <f>IFERROR(__xludf.DUMMYFUNCTION("""COMPUTED_VALUE"""),"KYAI KONTONG")</f>
        <v>KYAI KONTONG</v>
      </c>
      <c r="D5879" s="186">
        <f>IFERROR(__xludf.DUMMYFUNCTION("""COMPUTED_VALUE"""),5.0)</f>
        <v>5</v>
      </c>
    </row>
    <row r="5880">
      <c r="A5880" s="178" t="str">
        <f>IFERROR(__xludf.DUMMYFUNCTION("""COMPUTED_VALUE"""),"ITBISA-IC-NE555P-DIP8")</f>
        <v>ITBISA-IC-NE555P-DIP8</v>
      </c>
      <c r="B5880" s="266">
        <f>IFERROR(__xludf.DUMMYFUNCTION("""COMPUTED_VALUE"""),45315.0)</f>
        <v>45315</v>
      </c>
      <c r="C5880" s="266" t="str">
        <f>IFERROR(__xludf.DUMMYFUNCTION("""COMPUTED_VALUE"""),"KERTASARI CIAMIS")</f>
        <v>KERTASARI CIAMIS</v>
      </c>
      <c r="D5880" s="186">
        <f>IFERROR(__xludf.DUMMYFUNCTION("""COMPUTED_VALUE"""),20.0)</f>
        <v>20</v>
      </c>
    </row>
    <row r="5881">
      <c r="A5881" s="178" t="str">
        <f>IFERROR(__xludf.DUMMYFUNCTION("""COMPUTED_VALUE"""),"ITBISA-IC-NE555P-DIP8")</f>
        <v>ITBISA-IC-NE555P-DIP8</v>
      </c>
      <c r="B5881" s="266">
        <f>IFERROR(__xludf.DUMMYFUNCTION("""COMPUTED_VALUE"""),45315.0)</f>
        <v>45315</v>
      </c>
      <c r="C5881" s="266" t="str">
        <f>IFERROR(__xludf.DUMMYFUNCTION("""COMPUTED_VALUE"""),"KERTASARI CIAMIS")</f>
        <v>KERTASARI CIAMIS</v>
      </c>
      <c r="D5881" s="186">
        <f>IFERROR(__xludf.DUMMYFUNCTION("""COMPUTED_VALUE"""),200.0)</f>
        <v>200</v>
      </c>
    </row>
    <row r="5882">
      <c r="A5882" s="178" t="str">
        <f>IFERROR(__xludf.DUMMYFUNCTION("""COMPUTED_VALUE"""),"ITBISA-IC-NE555P-DIP8")</f>
        <v>ITBISA-IC-NE555P-DIP8</v>
      </c>
      <c r="B5882" s="266">
        <f>IFERROR(__xludf.DUMMYFUNCTION("""COMPUTED_VALUE"""),45318.0)</f>
        <v>45318</v>
      </c>
      <c r="C5882" s="266" t="str">
        <f>IFERROR(__xludf.DUMMYFUNCTION("""COMPUTED_VALUE"""),"KERTASARI CIAMIS")</f>
        <v>KERTASARI CIAMIS</v>
      </c>
      <c r="D5882" s="186">
        <f>IFERROR(__xludf.DUMMYFUNCTION("""COMPUTED_VALUE"""),3.0)</f>
        <v>3</v>
      </c>
    </row>
    <row r="5883">
      <c r="A5883" s="178" t="str">
        <f>IFERROR(__xludf.DUMMYFUNCTION("""COMPUTED_VALUE"""),"ITBISA-IC-NE555P-DIP8")</f>
        <v>ITBISA-IC-NE555P-DIP8</v>
      </c>
      <c r="B5883" s="266">
        <f>IFERROR(__xludf.DUMMYFUNCTION("""COMPUTED_VALUE"""),45320.0)</f>
        <v>45320</v>
      </c>
      <c r="C5883" s="266" t="str">
        <f>IFERROR(__xludf.DUMMYFUNCTION("""COMPUTED_VALUE"""),"KERTASARI CIAMIS")</f>
        <v>KERTASARI CIAMIS</v>
      </c>
      <c r="D5883" s="186">
        <f>IFERROR(__xludf.DUMMYFUNCTION("""COMPUTED_VALUE"""),200.0)</f>
        <v>200</v>
      </c>
    </row>
    <row r="5884">
      <c r="A5884" s="178" t="str">
        <f>IFERROR(__xludf.DUMMYFUNCTION("""COMPUTED_VALUE"""),"ITBISA-IC-NE555P-DIP8")</f>
        <v>ITBISA-IC-NE555P-DIP8</v>
      </c>
      <c r="B5884" s="266">
        <f>IFERROR(__xludf.DUMMYFUNCTION("""COMPUTED_VALUE"""),45322.0)</f>
        <v>45322</v>
      </c>
      <c r="C5884" s="266" t="str">
        <f>IFERROR(__xludf.DUMMYFUNCTION("""COMPUTED_VALUE"""),"KERTASARI CIAMIS")</f>
        <v>KERTASARI CIAMIS</v>
      </c>
      <c r="D5884" s="186">
        <f>IFERROR(__xludf.DUMMYFUNCTION("""COMPUTED_VALUE"""),4.0)</f>
        <v>4</v>
      </c>
    </row>
    <row r="5885">
      <c r="A5885" s="178" t="str">
        <f>IFERROR(__xludf.DUMMYFUNCTION("""COMPUTED_VALUE"""),"ITBISA-IC-NE555P-DIP8")</f>
        <v>ITBISA-IC-NE555P-DIP8</v>
      </c>
      <c r="B5885" s="266">
        <f>IFERROR(__xludf.DUMMYFUNCTION("""COMPUTED_VALUE"""),45324.0)</f>
        <v>45324</v>
      </c>
      <c r="C5885" s="266" t="str">
        <f>IFERROR(__xludf.DUMMYFUNCTION("""COMPUTED_VALUE"""),"KYAI KONTONG")</f>
        <v>KYAI KONTONG</v>
      </c>
      <c r="D5885" s="186">
        <f>IFERROR(__xludf.DUMMYFUNCTION("""COMPUTED_VALUE"""),12.0)</f>
        <v>12</v>
      </c>
    </row>
    <row r="5886">
      <c r="A5886" s="178" t="str">
        <f>IFERROR(__xludf.DUMMYFUNCTION("""COMPUTED_VALUE"""),"ITBISA-IC-NE555P-DIP8")</f>
        <v>ITBISA-IC-NE555P-DIP8</v>
      </c>
      <c r="B5886" s="266">
        <f>IFERROR(__xludf.DUMMYFUNCTION("""COMPUTED_VALUE"""),45325.0)</f>
        <v>45325</v>
      </c>
      <c r="C5886" s="266" t="str">
        <f>IFERROR(__xludf.DUMMYFUNCTION("""COMPUTED_VALUE"""),"KERTASARI CIAMIS")</f>
        <v>KERTASARI CIAMIS</v>
      </c>
      <c r="D5886" s="186">
        <f>IFERROR(__xludf.DUMMYFUNCTION("""COMPUTED_VALUE"""),210.0)</f>
        <v>210</v>
      </c>
    </row>
    <row r="5887">
      <c r="A5887" s="178" t="str">
        <f>IFERROR(__xludf.DUMMYFUNCTION("""COMPUTED_VALUE"""),"ITBISA-IC-NE555P-DIP8")</f>
        <v>ITBISA-IC-NE555P-DIP8</v>
      </c>
      <c r="B5887" s="266">
        <f>IFERROR(__xludf.DUMMYFUNCTION("""COMPUTED_VALUE"""),45325.0)</f>
        <v>45325</v>
      </c>
      <c r="C5887" s="266" t="str">
        <f>IFERROR(__xludf.DUMMYFUNCTION("""COMPUTED_VALUE"""),"KYAI KONTONG")</f>
        <v>KYAI KONTONG</v>
      </c>
      <c r="D5887" s="186">
        <f>IFERROR(__xludf.DUMMYFUNCTION("""COMPUTED_VALUE"""),500.0)</f>
        <v>500</v>
      </c>
    </row>
    <row r="5888">
      <c r="A5888" s="178" t="str">
        <f>IFERROR(__xludf.DUMMYFUNCTION("""COMPUTED_VALUE"""),"ITBISA-IC-NE555P-DIP8")</f>
        <v>ITBISA-IC-NE555P-DIP8</v>
      </c>
      <c r="B5888" s="266">
        <f>IFERROR(__xludf.DUMMYFUNCTION("""COMPUTED_VALUE"""),45328.0)</f>
        <v>45328</v>
      </c>
      <c r="C5888" s="266" t="str">
        <f>IFERROR(__xludf.DUMMYFUNCTION("""COMPUTED_VALUE"""),"KYAI KONTONG")</f>
        <v>KYAI KONTONG</v>
      </c>
      <c r="D5888" s="186">
        <f>IFERROR(__xludf.DUMMYFUNCTION("""COMPUTED_VALUE"""),75.0)</f>
        <v>75</v>
      </c>
    </row>
    <row r="5889">
      <c r="A5889" s="178" t="str">
        <f>IFERROR(__xludf.DUMMYFUNCTION("""COMPUTED_VALUE"""),"ITBISA-IC-NE555P-DIP8")</f>
        <v>ITBISA-IC-NE555P-DIP8</v>
      </c>
      <c r="B5889" s="266">
        <f>IFERROR(__xludf.DUMMYFUNCTION("""COMPUTED_VALUE"""),45328.0)</f>
        <v>45328</v>
      </c>
      <c r="C5889" s="266" t="str">
        <f>IFERROR(__xludf.DUMMYFUNCTION("""COMPUTED_VALUE"""),"KYAI KONTONG")</f>
        <v>KYAI KONTONG</v>
      </c>
      <c r="D5889" s="186">
        <f>IFERROR(__xludf.DUMMYFUNCTION("""COMPUTED_VALUE"""),100.0)</f>
        <v>100</v>
      </c>
    </row>
    <row r="5890">
      <c r="A5890" s="178" t="str">
        <f>IFERROR(__xludf.DUMMYFUNCTION("""COMPUTED_VALUE"""),"ITBISA-IC-NE555P-DIP8")</f>
        <v>ITBISA-IC-NE555P-DIP8</v>
      </c>
      <c r="B5890" s="266">
        <f>IFERROR(__xludf.DUMMYFUNCTION("""COMPUTED_VALUE"""),45337.0)</f>
        <v>45337</v>
      </c>
      <c r="C5890" s="266" t="str">
        <f>IFERROR(__xludf.DUMMYFUNCTION("""COMPUTED_VALUE"""),"KERTASARI CIAMIS")</f>
        <v>KERTASARI CIAMIS</v>
      </c>
      <c r="D5890" s="186">
        <f>IFERROR(__xludf.DUMMYFUNCTION("""COMPUTED_VALUE"""),2.0)</f>
        <v>2</v>
      </c>
    </row>
    <row r="5891">
      <c r="A5891" s="178" t="str">
        <f>IFERROR(__xludf.DUMMYFUNCTION("""COMPUTED_VALUE"""),"ITBISA-IC-NE555P-DIP8")</f>
        <v>ITBISA-IC-NE555P-DIP8</v>
      </c>
      <c r="B5891" s="266">
        <f>IFERROR(__xludf.DUMMYFUNCTION("""COMPUTED_VALUE"""),45341.0)</f>
        <v>45341</v>
      </c>
      <c r="C5891" s="266" t="str">
        <f>IFERROR(__xludf.DUMMYFUNCTION("""COMPUTED_VALUE"""),"KERTASARI CIAMIS")</f>
        <v>KERTASARI CIAMIS</v>
      </c>
      <c r="D5891" s="186">
        <f>IFERROR(__xludf.DUMMYFUNCTION("""COMPUTED_VALUE"""),45.0)</f>
        <v>45</v>
      </c>
    </row>
    <row r="5892">
      <c r="A5892" s="178" t="str">
        <f>IFERROR(__xludf.DUMMYFUNCTION("""COMPUTED_VALUE"""),"ITBISA-IC-NE555P-DIP8")</f>
        <v>ITBISA-IC-NE555P-DIP8</v>
      </c>
      <c r="B5892" s="266">
        <f>IFERROR(__xludf.DUMMYFUNCTION("""COMPUTED_VALUE"""),45341.0)</f>
        <v>45341</v>
      </c>
      <c r="C5892" s="266" t="str">
        <f>IFERROR(__xludf.DUMMYFUNCTION("""COMPUTED_VALUE"""),"KERTASARI CIAMIS")</f>
        <v>KERTASARI CIAMIS</v>
      </c>
      <c r="D5892" s="186">
        <f>IFERROR(__xludf.DUMMYFUNCTION("""COMPUTED_VALUE"""),200.0)</f>
        <v>200</v>
      </c>
    </row>
    <row r="5893">
      <c r="A5893" s="178" t="str">
        <f>IFERROR(__xludf.DUMMYFUNCTION("""COMPUTED_VALUE"""),"ITBISA-IC-NE555P-DIP8")</f>
        <v>ITBISA-IC-NE555P-DIP8</v>
      </c>
      <c r="B5893" s="266">
        <f>IFERROR(__xludf.DUMMYFUNCTION("""COMPUTED_VALUE"""),45343.0)</f>
        <v>45343</v>
      </c>
      <c r="C5893" s="266" t="str">
        <f>IFERROR(__xludf.DUMMYFUNCTION("""COMPUTED_VALUE"""),"KERTASARI CIAMIS")</f>
        <v>KERTASARI CIAMIS</v>
      </c>
      <c r="D5893" s="186">
        <f>IFERROR(__xludf.DUMMYFUNCTION("""COMPUTED_VALUE"""),20.0)</f>
        <v>20</v>
      </c>
    </row>
    <row r="5894">
      <c r="A5894" s="178" t="str">
        <f>IFERROR(__xludf.DUMMYFUNCTION("""COMPUTED_VALUE"""),"ITBISA-IC-NE555P-DIP8")</f>
        <v>ITBISA-IC-NE555P-DIP8</v>
      </c>
      <c r="B5894" s="266">
        <f>IFERROR(__xludf.DUMMYFUNCTION("""COMPUTED_VALUE"""),45345.0)</f>
        <v>45345</v>
      </c>
      <c r="C5894" s="266" t="str">
        <f>IFERROR(__xludf.DUMMYFUNCTION("""COMPUTED_VALUE"""),"KERTASARI CIAMIS")</f>
        <v>KERTASARI CIAMIS</v>
      </c>
      <c r="D5894" s="186">
        <f>IFERROR(__xludf.DUMMYFUNCTION("""COMPUTED_VALUE"""),50.0)</f>
        <v>50</v>
      </c>
    </row>
    <row r="5895">
      <c r="A5895" s="178" t="str">
        <f>IFERROR(__xludf.DUMMYFUNCTION("""COMPUTED_VALUE"""),"ITBISA-IC-NE555P-DIP8")</f>
        <v>ITBISA-IC-NE555P-DIP8</v>
      </c>
      <c r="B5895" s="266">
        <f>IFERROR(__xludf.DUMMYFUNCTION("""COMPUTED_VALUE"""),45347.0)</f>
        <v>45347</v>
      </c>
      <c r="C5895" s="266" t="str">
        <f>IFERROR(__xludf.DUMMYFUNCTION("""COMPUTED_VALUE"""),"KERTASARI CIAMIS")</f>
        <v>KERTASARI CIAMIS</v>
      </c>
      <c r="D5895" s="186">
        <f>IFERROR(__xludf.DUMMYFUNCTION("""COMPUTED_VALUE"""),50.0)</f>
        <v>50</v>
      </c>
    </row>
    <row r="5896">
      <c r="A5896" s="178" t="str">
        <f>IFERROR(__xludf.DUMMYFUNCTION("""COMPUTED_VALUE"""),"ITBISA-IC-NE555P-DIP8")</f>
        <v>ITBISA-IC-NE555P-DIP8</v>
      </c>
      <c r="B5896" s="266">
        <f>IFERROR(__xludf.DUMMYFUNCTION("""COMPUTED_VALUE"""),45351.0)</f>
        <v>45351</v>
      </c>
      <c r="C5896" s="266" t="str">
        <f>IFERROR(__xludf.DUMMYFUNCTION("""COMPUTED_VALUE"""),"KERTASARI CIAMIS")</f>
        <v>KERTASARI CIAMIS</v>
      </c>
      <c r="D5896" s="186">
        <f>IFERROR(__xludf.DUMMYFUNCTION("""COMPUTED_VALUE"""),50.0)</f>
        <v>50</v>
      </c>
    </row>
    <row r="5897">
      <c r="A5897" s="178" t="str">
        <f>IFERROR(__xludf.DUMMYFUNCTION("""COMPUTED_VALUE"""),"ITBISA-IC-NE555P-DIP8")</f>
        <v>ITBISA-IC-NE555P-DIP8</v>
      </c>
      <c r="B5897" s="266">
        <f>IFERROR(__xludf.DUMMYFUNCTION("""COMPUTED_VALUE"""),45351.0)</f>
        <v>45351</v>
      </c>
      <c r="C5897" s="266" t="str">
        <f>IFERROR(__xludf.DUMMYFUNCTION("""COMPUTED_VALUE"""),"KERTASARI CIAMIS")</f>
        <v>KERTASARI CIAMIS</v>
      </c>
      <c r="D5897" s="186">
        <f>IFERROR(__xludf.DUMMYFUNCTION("""COMPUTED_VALUE"""),1000.0)</f>
        <v>1000</v>
      </c>
    </row>
    <row r="5898">
      <c r="A5898" s="178" t="str">
        <f>IFERROR(__xludf.DUMMYFUNCTION("""COMPUTED_VALUE"""),"ITBISA-IC-NE555P-DIP8")</f>
        <v>ITBISA-IC-NE555P-DIP8</v>
      </c>
      <c r="B5898" s="266">
        <f>IFERROR(__xludf.DUMMYFUNCTION("""COMPUTED_VALUE"""),45351.0)</f>
        <v>45351</v>
      </c>
      <c r="C5898" s="266" t="str">
        <f>IFERROR(__xludf.DUMMYFUNCTION("""COMPUTED_VALUE"""),"KERTASARI CIAMIS")</f>
        <v>KERTASARI CIAMIS</v>
      </c>
      <c r="D5898" s="186">
        <f>IFERROR(__xludf.DUMMYFUNCTION("""COMPUTED_VALUE"""),1000.0)</f>
        <v>1000</v>
      </c>
    </row>
    <row r="5899">
      <c r="A5899" s="178" t="str">
        <f>IFERROR(__xludf.DUMMYFUNCTION("""COMPUTED_VALUE"""),"ITBISA-IC-NE555P-DIP8")</f>
        <v>ITBISA-IC-NE555P-DIP8</v>
      </c>
      <c r="B5899" s="266">
        <f>IFERROR(__xludf.DUMMYFUNCTION("""COMPUTED_VALUE"""),45353.0)</f>
        <v>45353</v>
      </c>
      <c r="C5899" s="266" t="str">
        <f>IFERROR(__xludf.DUMMYFUNCTION("""COMPUTED_VALUE"""),"KYAI KONTONG")</f>
        <v>KYAI KONTONG</v>
      </c>
      <c r="D5899" s="186">
        <f>IFERROR(__xludf.DUMMYFUNCTION("""COMPUTED_VALUE"""),10.0)</f>
        <v>10</v>
      </c>
    </row>
    <row r="5900">
      <c r="A5900" s="178" t="str">
        <f>IFERROR(__xludf.DUMMYFUNCTION("""COMPUTED_VALUE"""),"ITBISA-IC-NE555P-DIP8")</f>
        <v>ITBISA-IC-NE555P-DIP8</v>
      </c>
      <c r="B5900" s="266">
        <f>IFERROR(__xludf.DUMMYFUNCTION("""COMPUTED_VALUE"""),45353.0)</f>
        <v>45353</v>
      </c>
      <c r="C5900" s="266" t="str">
        <f>IFERROR(__xludf.DUMMYFUNCTION("""COMPUTED_VALUE"""),"KYAI KONTONG")</f>
        <v>KYAI KONTONG</v>
      </c>
      <c r="D5900" s="186">
        <f>IFERROR(__xludf.DUMMYFUNCTION("""COMPUTED_VALUE"""),100.0)</f>
        <v>100</v>
      </c>
    </row>
    <row r="5901">
      <c r="A5901" s="178" t="str">
        <f>IFERROR(__xludf.DUMMYFUNCTION("""COMPUTED_VALUE"""),"ITBISA-IC-NE555P-DIP8")</f>
        <v>ITBISA-IC-NE555P-DIP8</v>
      </c>
      <c r="B5901" s="266">
        <f>IFERROR(__xludf.DUMMYFUNCTION("""COMPUTED_VALUE"""),45357.0)</f>
        <v>45357</v>
      </c>
      <c r="C5901" s="266" t="str">
        <f>IFERROR(__xludf.DUMMYFUNCTION("""COMPUTED_VALUE"""),"KYAI KONTONG")</f>
        <v>KYAI KONTONG</v>
      </c>
      <c r="D5901" s="186">
        <f>IFERROR(__xludf.DUMMYFUNCTION("""COMPUTED_VALUE"""),5.0)</f>
        <v>5</v>
      </c>
    </row>
    <row r="5902">
      <c r="A5902" s="178" t="str">
        <f>IFERROR(__xludf.DUMMYFUNCTION("""COMPUTED_VALUE"""),"ITBISA-IC-NE555P-DIP8")</f>
        <v>ITBISA-IC-NE555P-DIP8</v>
      </c>
      <c r="B5902" s="266">
        <f>IFERROR(__xludf.DUMMYFUNCTION("""COMPUTED_VALUE"""),45357.0)</f>
        <v>45357</v>
      </c>
      <c r="C5902" s="266" t="str">
        <f>IFERROR(__xludf.DUMMYFUNCTION("""COMPUTED_VALUE"""),"KYAI KONTONG")</f>
        <v>KYAI KONTONG</v>
      </c>
      <c r="D5902" s="186">
        <f>IFERROR(__xludf.DUMMYFUNCTION("""COMPUTED_VALUE"""),10.0)</f>
        <v>10</v>
      </c>
    </row>
    <row r="5903">
      <c r="A5903" s="178" t="str">
        <f>IFERROR(__xludf.DUMMYFUNCTION("""COMPUTED_VALUE"""),"ITBISA-IC-NE555P-DIP8")</f>
        <v>ITBISA-IC-NE555P-DIP8</v>
      </c>
      <c r="B5903" s="266">
        <f>IFERROR(__xludf.DUMMYFUNCTION("""COMPUTED_VALUE"""),45358.0)</f>
        <v>45358</v>
      </c>
      <c r="C5903" s="266" t="str">
        <f>IFERROR(__xludf.DUMMYFUNCTION("""COMPUTED_VALUE"""),"KYAI KONTONG")</f>
        <v>KYAI KONTONG</v>
      </c>
      <c r="D5903" s="186">
        <f>IFERROR(__xludf.DUMMYFUNCTION("""COMPUTED_VALUE"""),50.0)</f>
        <v>50</v>
      </c>
    </row>
    <row r="5904">
      <c r="A5904" s="178" t="str">
        <f>IFERROR(__xludf.DUMMYFUNCTION("""COMPUTED_VALUE"""),"ITBISA-IC-NE555P-DIP8")</f>
        <v>ITBISA-IC-NE555P-DIP8</v>
      </c>
      <c r="B5904" s="266">
        <f>IFERROR(__xludf.DUMMYFUNCTION("""COMPUTED_VALUE"""),45359.0)</f>
        <v>45359</v>
      </c>
      <c r="C5904" s="266" t="str">
        <f>IFERROR(__xludf.DUMMYFUNCTION("""COMPUTED_VALUE"""),"KERTASARI CIAMIS")</f>
        <v>KERTASARI CIAMIS</v>
      </c>
      <c r="D5904" s="186">
        <f>IFERROR(__xludf.DUMMYFUNCTION("""COMPUTED_VALUE"""),2.0)</f>
        <v>2</v>
      </c>
    </row>
    <row r="5905">
      <c r="A5905" s="178" t="str">
        <f>IFERROR(__xludf.DUMMYFUNCTION("""COMPUTED_VALUE"""),"ITBISA-IC-NE555P-DIP8")</f>
        <v>ITBISA-IC-NE555P-DIP8</v>
      </c>
      <c r="B5905" s="266">
        <f>IFERROR(__xludf.DUMMYFUNCTION("""COMPUTED_VALUE"""),45362.0)</f>
        <v>45362</v>
      </c>
      <c r="C5905" s="266" t="str">
        <f>IFERROR(__xludf.DUMMYFUNCTION("""COMPUTED_VALUE"""),"KERTASARI CIAMIS")</f>
        <v>KERTASARI CIAMIS</v>
      </c>
      <c r="D5905" s="186">
        <f>IFERROR(__xludf.DUMMYFUNCTION("""COMPUTED_VALUE"""),5.0)</f>
        <v>5</v>
      </c>
    </row>
    <row r="5906">
      <c r="A5906" s="178" t="str">
        <f>IFERROR(__xludf.DUMMYFUNCTION("""COMPUTED_VALUE"""),"ITBISA-IC-NE555P-DIP8")</f>
        <v>ITBISA-IC-NE555P-DIP8</v>
      </c>
      <c r="B5906" s="266">
        <f>IFERROR(__xludf.DUMMYFUNCTION("""COMPUTED_VALUE"""),45365.0)</f>
        <v>45365</v>
      </c>
      <c r="C5906" s="266" t="str">
        <f>IFERROR(__xludf.DUMMYFUNCTION("""COMPUTED_VALUE"""),"KERTASARI CIAMIS")</f>
        <v>KERTASARI CIAMIS</v>
      </c>
      <c r="D5906" s="186">
        <f>IFERROR(__xludf.DUMMYFUNCTION("""COMPUTED_VALUE"""),40.0)</f>
        <v>40</v>
      </c>
    </row>
    <row r="5907">
      <c r="A5907" s="178" t="str">
        <f>IFERROR(__xludf.DUMMYFUNCTION("""COMPUTED_VALUE"""),"ITBISA-IC-NE555P-DIP8")</f>
        <v>ITBISA-IC-NE555P-DIP8</v>
      </c>
      <c r="B5907" s="266">
        <f>IFERROR(__xludf.DUMMYFUNCTION("""COMPUTED_VALUE"""),45366.0)</f>
        <v>45366</v>
      </c>
      <c r="C5907" s="266" t="str">
        <f>IFERROR(__xludf.DUMMYFUNCTION("""COMPUTED_VALUE"""),"KERTASARI CIAMIS")</f>
        <v>KERTASARI CIAMIS</v>
      </c>
      <c r="D5907" s="186">
        <f>IFERROR(__xludf.DUMMYFUNCTION("""COMPUTED_VALUE"""),100.0)</f>
        <v>100</v>
      </c>
    </row>
    <row r="5908">
      <c r="A5908" s="178" t="str">
        <f>IFERROR(__xludf.DUMMYFUNCTION("""COMPUTED_VALUE"""),"ITBISA-IC-NE555P-DIP8")</f>
        <v>ITBISA-IC-NE555P-DIP8</v>
      </c>
      <c r="B5908" s="266">
        <f>IFERROR(__xludf.DUMMYFUNCTION("""COMPUTED_VALUE"""),45367.0)</f>
        <v>45367</v>
      </c>
      <c r="C5908" s="266" t="str">
        <f>IFERROR(__xludf.DUMMYFUNCTION("""COMPUTED_VALUE"""),"KERTASARI CIAMIS")</f>
        <v>KERTASARI CIAMIS</v>
      </c>
      <c r="D5908" s="186">
        <f>IFERROR(__xludf.DUMMYFUNCTION("""COMPUTED_VALUE"""),10.0)</f>
        <v>10</v>
      </c>
    </row>
    <row r="5909">
      <c r="A5909" s="178" t="str">
        <f>IFERROR(__xludf.DUMMYFUNCTION("""COMPUTED_VALUE"""),"ITBISA-IC-NE555P-DIP8")</f>
        <v>ITBISA-IC-NE555P-DIP8</v>
      </c>
      <c r="B5909" s="266">
        <f>IFERROR(__xludf.DUMMYFUNCTION("""COMPUTED_VALUE"""),45370.0)</f>
        <v>45370</v>
      </c>
      <c r="C5909" s="266" t="str">
        <f>IFERROR(__xludf.DUMMYFUNCTION("""COMPUTED_VALUE"""),"KERTASARI CIAMIS")</f>
        <v>KERTASARI CIAMIS</v>
      </c>
      <c r="D5909" s="186">
        <f>IFERROR(__xludf.DUMMYFUNCTION("""COMPUTED_VALUE"""),42.0)</f>
        <v>42</v>
      </c>
    </row>
    <row r="5910">
      <c r="A5910" s="178" t="str">
        <f>IFERROR(__xludf.DUMMYFUNCTION("""COMPUTED_VALUE"""),"ITBISA-IC-NE555P-DIP8")</f>
        <v>ITBISA-IC-NE555P-DIP8</v>
      </c>
      <c r="B5910" s="266">
        <f>IFERROR(__xludf.DUMMYFUNCTION("""COMPUTED_VALUE"""),45372.0)</f>
        <v>45372</v>
      </c>
      <c r="C5910" s="266" t="str">
        <f>IFERROR(__xludf.DUMMYFUNCTION("""COMPUTED_VALUE"""),"KERTASARI CIAMIS")</f>
        <v>KERTASARI CIAMIS</v>
      </c>
      <c r="D5910" s="186">
        <f>IFERROR(__xludf.DUMMYFUNCTION("""COMPUTED_VALUE"""),15.0)</f>
        <v>15</v>
      </c>
    </row>
    <row r="5911">
      <c r="A5911" s="178" t="str">
        <f>IFERROR(__xludf.DUMMYFUNCTION("""COMPUTED_VALUE"""),"ITBISA-IC-NE555P-DIP8")</f>
        <v>ITBISA-IC-NE555P-DIP8</v>
      </c>
      <c r="B5911" s="266">
        <f>IFERROR(__xludf.DUMMYFUNCTION("""COMPUTED_VALUE"""),45372.0)</f>
        <v>45372</v>
      </c>
      <c r="C5911" s="266" t="str">
        <f>IFERROR(__xludf.DUMMYFUNCTION("""COMPUTED_VALUE"""),"KERTASARI CIAMIS")</f>
        <v>KERTASARI CIAMIS</v>
      </c>
      <c r="D5911" s="186">
        <f>IFERROR(__xludf.DUMMYFUNCTION("""COMPUTED_VALUE"""),132.0)</f>
        <v>132</v>
      </c>
    </row>
    <row r="5912">
      <c r="A5912" s="178" t="str">
        <f>IFERROR(__xludf.DUMMYFUNCTION("""COMPUTED_VALUE"""),"ITBISA-IC-NE555P-DIP8")</f>
        <v>ITBISA-IC-NE555P-DIP8</v>
      </c>
      <c r="B5912" s="266">
        <f>IFERROR(__xludf.DUMMYFUNCTION("""COMPUTED_VALUE"""),45373.0)</f>
        <v>45373</v>
      </c>
      <c r="C5912" s="266" t="str">
        <f>IFERROR(__xludf.DUMMYFUNCTION("""COMPUTED_VALUE"""),"KERTASARI CIAMIS")</f>
        <v>KERTASARI CIAMIS</v>
      </c>
      <c r="D5912" s="186">
        <f>IFERROR(__xludf.DUMMYFUNCTION("""COMPUTED_VALUE"""),60.0)</f>
        <v>60</v>
      </c>
    </row>
    <row r="5913">
      <c r="A5913" s="178" t="str">
        <f>IFERROR(__xludf.DUMMYFUNCTION("""COMPUTED_VALUE"""),"ITBISA-IC-NE555P-DIP8")</f>
        <v>ITBISA-IC-NE555P-DIP8</v>
      </c>
      <c r="B5913" s="266">
        <f>IFERROR(__xludf.DUMMYFUNCTION("""COMPUTED_VALUE"""),45374.0)</f>
        <v>45374</v>
      </c>
      <c r="C5913" s="266" t="str">
        <f>IFERROR(__xludf.DUMMYFUNCTION("""COMPUTED_VALUE"""),"KERTASARI CIAMIS")</f>
        <v>KERTASARI CIAMIS</v>
      </c>
      <c r="D5913" s="186">
        <f>IFERROR(__xludf.DUMMYFUNCTION("""COMPUTED_VALUE"""),350.0)</f>
        <v>350</v>
      </c>
    </row>
    <row r="5914">
      <c r="A5914" s="178" t="str">
        <f>IFERROR(__xludf.DUMMYFUNCTION("""COMPUTED_VALUE"""),"ITBISA-IC-NE555P-DIP8")</f>
        <v>ITBISA-IC-NE555P-DIP8</v>
      </c>
      <c r="B5914" s="266">
        <f>IFERROR(__xludf.DUMMYFUNCTION("""COMPUTED_VALUE"""),45374.0)</f>
        <v>45374</v>
      </c>
      <c r="C5914" s="266" t="str">
        <f>IFERROR(__xludf.DUMMYFUNCTION("""COMPUTED_VALUE"""),"KYAI KONTONG")</f>
        <v>KYAI KONTONG</v>
      </c>
      <c r="D5914" s="186">
        <f>IFERROR(__xludf.DUMMYFUNCTION("""COMPUTED_VALUE"""),100.0)</f>
        <v>100</v>
      </c>
    </row>
    <row r="5915">
      <c r="A5915" s="178" t="str">
        <f>IFERROR(__xludf.DUMMYFUNCTION("""COMPUTED_VALUE"""),"ITBISA-IC-NE555P-DIP8")</f>
        <v>ITBISA-IC-NE555P-DIP8</v>
      </c>
      <c r="B5915" s="266">
        <f>IFERROR(__xludf.DUMMYFUNCTION("""COMPUTED_VALUE"""),45378.0)</f>
        <v>45378</v>
      </c>
      <c r="C5915" s="266" t="str">
        <f>IFERROR(__xludf.DUMMYFUNCTION("""COMPUTED_VALUE"""),"KERTASARI CIAMIS")</f>
        <v>KERTASARI CIAMIS</v>
      </c>
      <c r="D5915" s="186">
        <f>IFERROR(__xludf.DUMMYFUNCTION("""COMPUTED_VALUE"""),100.0)</f>
        <v>100</v>
      </c>
    </row>
    <row r="5916">
      <c r="A5916" s="178" t="str">
        <f>IFERROR(__xludf.DUMMYFUNCTION("""COMPUTED_VALUE"""),"ITBISA-IC-NE555P-DIP8")</f>
        <v>ITBISA-IC-NE555P-DIP8</v>
      </c>
      <c r="B5916" s="266">
        <f>IFERROR(__xludf.DUMMYFUNCTION("""COMPUTED_VALUE"""),45378.0)</f>
        <v>45378</v>
      </c>
      <c r="C5916" s="266" t="str">
        <f>IFERROR(__xludf.DUMMYFUNCTION("""COMPUTED_VALUE"""),"KYAI KONTONG")</f>
        <v>KYAI KONTONG</v>
      </c>
      <c r="D5916" s="186">
        <f>IFERROR(__xludf.DUMMYFUNCTION("""COMPUTED_VALUE"""),200.0)</f>
        <v>200</v>
      </c>
    </row>
    <row r="5917">
      <c r="A5917" s="178" t="str">
        <f>IFERROR(__xludf.DUMMYFUNCTION("""COMPUTED_VALUE"""),"ITBISA-IC-NE555P-DIP8")</f>
        <v>ITBISA-IC-NE555P-DIP8</v>
      </c>
      <c r="B5917" s="266">
        <f>IFERROR(__xludf.DUMMYFUNCTION("""COMPUTED_VALUE"""),45384.0)</f>
        <v>45384</v>
      </c>
      <c r="C5917" s="266" t="str">
        <f>IFERROR(__xludf.DUMMYFUNCTION("""COMPUTED_VALUE"""),"KERTASARI CIAMIS")</f>
        <v>KERTASARI CIAMIS</v>
      </c>
      <c r="D5917" s="186">
        <f>IFERROR(__xludf.DUMMYFUNCTION("""COMPUTED_VALUE"""),100.0)</f>
        <v>100</v>
      </c>
    </row>
    <row r="5918">
      <c r="A5918" s="178" t="str">
        <f>IFERROR(__xludf.DUMMYFUNCTION("""COMPUTED_VALUE"""),"ITBISA-IC-NE555P-DIP8")</f>
        <v>ITBISA-IC-NE555P-DIP8</v>
      </c>
      <c r="B5918" s="266">
        <f>IFERROR(__xludf.DUMMYFUNCTION("""COMPUTED_VALUE"""),45386.0)</f>
        <v>45386</v>
      </c>
      <c r="C5918" s="266" t="str">
        <f>IFERROR(__xludf.DUMMYFUNCTION("""COMPUTED_VALUE"""),"KYAI KONTONG")</f>
        <v>KYAI KONTONG</v>
      </c>
      <c r="D5918" s="186">
        <f>IFERROR(__xludf.DUMMYFUNCTION("""COMPUTED_VALUE"""),30.0)</f>
        <v>30</v>
      </c>
    </row>
    <row r="5919">
      <c r="A5919" s="178" t="str">
        <f>IFERROR(__xludf.DUMMYFUNCTION("""COMPUTED_VALUE"""),"ITBISA-IC-NE555P-DIP8")</f>
        <v>ITBISA-IC-NE555P-DIP8</v>
      </c>
      <c r="B5919" s="266">
        <f>IFERROR(__xludf.DUMMYFUNCTION("""COMPUTED_VALUE"""),45393.0)</f>
        <v>45393</v>
      </c>
      <c r="C5919" s="266" t="str">
        <f>IFERROR(__xludf.DUMMYFUNCTION("""COMPUTED_VALUE"""),"KERTASARI CIAMIS")</f>
        <v>KERTASARI CIAMIS</v>
      </c>
      <c r="D5919" s="186">
        <f>IFERROR(__xludf.DUMMYFUNCTION("""COMPUTED_VALUE"""),10.0)</f>
        <v>10</v>
      </c>
    </row>
    <row r="5920">
      <c r="A5920" s="178" t="str">
        <f>IFERROR(__xludf.DUMMYFUNCTION("""COMPUTED_VALUE"""),"ITBISA-IC-NE555P-DIP8")</f>
        <v>ITBISA-IC-NE555P-DIP8</v>
      </c>
      <c r="B5920" s="266">
        <f>IFERROR(__xludf.DUMMYFUNCTION("""COMPUTED_VALUE"""),45400.0)</f>
        <v>45400</v>
      </c>
      <c r="C5920" s="266" t="str">
        <f>IFERROR(__xludf.DUMMYFUNCTION("""COMPUTED_VALUE"""),"KERTASARI CIAMIS")</f>
        <v>KERTASARI CIAMIS</v>
      </c>
      <c r="D5920" s="186">
        <f>IFERROR(__xludf.DUMMYFUNCTION("""COMPUTED_VALUE"""),400.0)</f>
        <v>400</v>
      </c>
    </row>
    <row r="5921">
      <c r="A5921" s="178" t="str">
        <f>IFERROR(__xludf.DUMMYFUNCTION("""COMPUTED_VALUE"""),"ITBISA-IC-NE555P-DIP8")</f>
        <v>ITBISA-IC-NE555P-DIP8</v>
      </c>
      <c r="B5921" s="266">
        <f>IFERROR(__xludf.DUMMYFUNCTION("""COMPUTED_VALUE"""),45400.0)</f>
        <v>45400</v>
      </c>
      <c r="C5921" s="266" t="str">
        <f>IFERROR(__xludf.DUMMYFUNCTION("""COMPUTED_VALUE"""),"KYAI KONTONG")</f>
        <v>KYAI KONTONG</v>
      </c>
      <c r="D5921" s="186">
        <f>IFERROR(__xludf.DUMMYFUNCTION("""COMPUTED_VALUE"""),15.0)</f>
        <v>15</v>
      </c>
    </row>
    <row r="5922">
      <c r="A5922" s="178" t="str">
        <f>IFERROR(__xludf.DUMMYFUNCTION("""COMPUTED_VALUE"""),"ITBISA-IC-NE555P-DIP8")</f>
        <v>ITBISA-IC-NE555P-DIP8</v>
      </c>
      <c r="B5922" s="266">
        <f>IFERROR(__xludf.DUMMYFUNCTION("""COMPUTED_VALUE"""),45405.0)</f>
        <v>45405</v>
      </c>
      <c r="C5922" s="266" t="str">
        <f>IFERROR(__xludf.DUMMYFUNCTION("""COMPUTED_VALUE"""),"KERTASARI CIAMIS")</f>
        <v>KERTASARI CIAMIS</v>
      </c>
      <c r="D5922" s="186">
        <f>IFERROR(__xludf.DUMMYFUNCTION("""COMPUTED_VALUE"""),100.0)</f>
        <v>100</v>
      </c>
    </row>
    <row r="5923">
      <c r="A5923" s="178" t="str">
        <f>IFERROR(__xludf.DUMMYFUNCTION("""COMPUTED_VALUE"""),"ITBISA-IC-NE555P-DIP8")</f>
        <v>ITBISA-IC-NE555P-DIP8</v>
      </c>
      <c r="B5923" s="266">
        <f>IFERROR(__xludf.DUMMYFUNCTION("""COMPUTED_VALUE"""),45407.0)</f>
        <v>45407</v>
      </c>
      <c r="C5923" s="266" t="str">
        <f>IFERROR(__xludf.DUMMYFUNCTION("""COMPUTED_VALUE"""),"KERTASARI CIAMIS")</f>
        <v>KERTASARI CIAMIS</v>
      </c>
      <c r="D5923" s="186">
        <f>IFERROR(__xludf.DUMMYFUNCTION("""COMPUTED_VALUE"""),50.0)</f>
        <v>50</v>
      </c>
    </row>
    <row r="5924">
      <c r="A5924" s="178" t="str">
        <f>IFERROR(__xludf.DUMMYFUNCTION("""COMPUTED_VALUE"""),"ITBISA-IC-NE555P-DIP8")</f>
        <v>ITBISA-IC-NE555P-DIP8</v>
      </c>
      <c r="B5924" s="266">
        <f>IFERROR(__xludf.DUMMYFUNCTION("""COMPUTED_VALUE"""),45409.0)</f>
        <v>45409</v>
      </c>
      <c r="C5924" s="266" t="str">
        <f>IFERROR(__xludf.DUMMYFUNCTION("""COMPUTED_VALUE"""),"KERTASARI CIAMIS")</f>
        <v>KERTASARI CIAMIS</v>
      </c>
      <c r="D5924" s="186">
        <f>IFERROR(__xludf.DUMMYFUNCTION("""COMPUTED_VALUE"""),24.0)</f>
        <v>24</v>
      </c>
    </row>
    <row r="5925">
      <c r="A5925" s="178" t="str">
        <f>IFERROR(__xludf.DUMMYFUNCTION("""COMPUTED_VALUE"""),"ITBISA-IC-NE555P-DIP8")</f>
        <v>ITBISA-IC-NE555P-DIP8</v>
      </c>
      <c r="B5925" s="266">
        <f>IFERROR(__xludf.DUMMYFUNCTION("""COMPUTED_VALUE"""),45411.0)</f>
        <v>45411</v>
      </c>
      <c r="C5925" s="266" t="str">
        <f>IFERROR(__xludf.DUMMYFUNCTION("""COMPUTED_VALUE"""),"KERTASARI CIAMIS")</f>
        <v>KERTASARI CIAMIS</v>
      </c>
      <c r="D5925" s="186">
        <f>IFERROR(__xludf.DUMMYFUNCTION("""COMPUTED_VALUE"""),10.0)</f>
        <v>10</v>
      </c>
    </row>
    <row r="5926">
      <c r="A5926" s="178" t="str">
        <f>IFERROR(__xludf.DUMMYFUNCTION("""COMPUTED_VALUE"""),"ITBISA-IC-NE555P-DIP8")</f>
        <v>ITBISA-IC-NE555P-DIP8</v>
      </c>
      <c r="B5926" s="266">
        <f>IFERROR(__xludf.DUMMYFUNCTION("""COMPUTED_VALUE"""),45411.0)</f>
        <v>45411</v>
      </c>
      <c r="C5926" s="266" t="str">
        <f>IFERROR(__xludf.DUMMYFUNCTION("""COMPUTED_VALUE"""),"KERTASARI CIAMIS")</f>
        <v>KERTASARI CIAMIS</v>
      </c>
      <c r="D5926" s="186">
        <f>IFERROR(__xludf.DUMMYFUNCTION("""COMPUTED_VALUE"""),500.0)</f>
        <v>500</v>
      </c>
    </row>
    <row r="5927">
      <c r="A5927" s="178" t="str">
        <f>IFERROR(__xludf.DUMMYFUNCTION("""COMPUTED_VALUE"""),"ITBISA-IC-NE555P-DIP8")</f>
        <v>ITBISA-IC-NE555P-DIP8</v>
      </c>
      <c r="B5927" s="266">
        <f>IFERROR(__xludf.DUMMYFUNCTION("""COMPUTED_VALUE"""),45412.0)</f>
        <v>45412</v>
      </c>
      <c r="C5927" s="266" t="str">
        <f>IFERROR(__xludf.DUMMYFUNCTION("""COMPUTED_VALUE"""),"KYAI KONTONG")</f>
        <v>KYAI KONTONG</v>
      </c>
      <c r="D5927" s="186">
        <f>IFERROR(__xludf.DUMMYFUNCTION("""COMPUTED_VALUE"""),20.0)</f>
        <v>20</v>
      </c>
    </row>
    <row r="5928">
      <c r="A5928" s="178" t="str">
        <f>IFERROR(__xludf.DUMMYFUNCTION("""COMPUTED_VALUE"""),"ITBISA-IC-NE555P-DIP8")</f>
        <v>ITBISA-IC-NE555P-DIP8</v>
      </c>
      <c r="B5928" s="266">
        <f>IFERROR(__xludf.DUMMYFUNCTION("""COMPUTED_VALUE"""),45414.0)</f>
        <v>45414</v>
      </c>
      <c r="C5928" s="266" t="str">
        <f>IFERROR(__xludf.DUMMYFUNCTION("""COMPUTED_VALUE"""),"KERTASARI CIAMIS")</f>
        <v>KERTASARI CIAMIS</v>
      </c>
      <c r="D5928" s="186">
        <f>IFERROR(__xludf.DUMMYFUNCTION("""COMPUTED_VALUE"""),100.0)</f>
        <v>100</v>
      </c>
    </row>
    <row r="5929">
      <c r="A5929" s="178" t="str">
        <f>IFERROR(__xludf.DUMMYFUNCTION("""COMPUTED_VALUE"""),"ITBISA-IC-NE555P-DIP8")</f>
        <v>ITBISA-IC-NE555P-DIP8</v>
      </c>
      <c r="B5929" s="266">
        <f>IFERROR(__xludf.DUMMYFUNCTION("""COMPUTED_VALUE"""),45417.0)</f>
        <v>45417</v>
      </c>
      <c r="C5929" s="266" t="str">
        <f>IFERROR(__xludf.DUMMYFUNCTION("""COMPUTED_VALUE"""),"KERTASARI CIAMIS")</f>
        <v>KERTASARI CIAMIS</v>
      </c>
      <c r="D5929" s="186">
        <f>IFERROR(__xludf.DUMMYFUNCTION("""COMPUTED_VALUE"""),30.0)</f>
        <v>30</v>
      </c>
    </row>
    <row r="5930">
      <c r="A5930" s="178" t="str">
        <f>IFERROR(__xludf.DUMMYFUNCTION("""COMPUTED_VALUE"""),"ITBISA-IC-NE555P-DIP8")</f>
        <v>ITBISA-IC-NE555P-DIP8</v>
      </c>
      <c r="B5930" s="266">
        <f>IFERROR(__xludf.DUMMYFUNCTION("""COMPUTED_VALUE"""),45420.0)</f>
        <v>45420</v>
      </c>
      <c r="C5930" s="266" t="str">
        <f>IFERROR(__xludf.DUMMYFUNCTION("""COMPUTED_VALUE"""),"KERTASARI CIAMIS")</f>
        <v>KERTASARI CIAMIS</v>
      </c>
      <c r="D5930" s="186">
        <f>IFERROR(__xludf.DUMMYFUNCTION("""COMPUTED_VALUE"""),100.0)</f>
        <v>100</v>
      </c>
    </row>
    <row r="5931">
      <c r="A5931" s="178" t="str">
        <f>IFERROR(__xludf.DUMMYFUNCTION("""COMPUTED_VALUE"""),"ITBISA-IC-NE555P-DIP8")</f>
        <v>ITBISA-IC-NE555P-DIP8</v>
      </c>
      <c r="B5931" s="266">
        <f>IFERROR(__xludf.DUMMYFUNCTION("""COMPUTED_VALUE"""),45420.0)</f>
        <v>45420</v>
      </c>
      <c r="C5931" s="266" t="str">
        <f>IFERROR(__xludf.DUMMYFUNCTION("""COMPUTED_VALUE"""),"KYAI KONTONG")</f>
        <v>KYAI KONTONG</v>
      </c>
      <c r="D5931" s="186">
        <f>IFERROR(__xludf.DUMMYFUNCTION("""COMPUTED_VALUE"""),50.0)</f>
        <v>50</v>
      </c>
    </row>
    <row r="5932">
      <c r="A5932" s="178" t="str">
        <f>IFERROR(__xludf.DUMMYFUNCTION("""COMPUTED_VALUE"""),"ITBISA-IC-NE555P-DIP8")</f>
        <v>ITBISA-IC-NE555P-DIP8</v>
      </c>
      <c r="B5932" s="266">
        <f>IFERROR(__xludf.DUMMYFUNCTION("""COMPUTED_VALUE"""),45422.0)</f>
        <v>45422</v>
      </c>
      <c r="C5932" s="266" t="str">
        <f>IFERROR(__xludf.DUMMYFUNCTION("""COMPUTED_VALUE"""),"KERTASARI CIAMIS")</f>
        <v>KERTASARI CIAMIS</v>
      </c>
      <c r="D5932" s="186">
        <f>IFERROR(__xludf.DUMMYFUNCTION("""COMPUTED_VALUE"""),1000.0)</f>
        <v>1000</v>
      </c>
    </row>
    <row r="5933">
      <c r="A5933" s="178" t="str">
        <f>IFERROR(__xludf.DUMMYFUNCTION("""COMPUTED_VALUE"""),"ITBISA-IC-NE555P-DIP8")</f>
        <v>ITBISA-IC-NE555P-DIP8</v>
      </c>
      <c r="B5933" s="266">
        <f>IFERROR(__xludf.DUMMYFUNCTION("""COMPUTED_VALUE"""),45426.0)</f>
        <v>45426</v>
      </c>
      <c r="C5933" s="266" t="str">
        <f>IFERROR(__xludf.DUMMYFUNCTION("""COMPUTED_VALUE"""),"KERTASARI CIAMIS")</f>
        <v>KERTASARI CIAMIS</v>
      </c>
      <c r="D5933" s="186">
        <f>IFERROR(__xludf.DUMMYFUNCTION("""COMPUTED_VALUE"""),100.0)</f>
        <v>100</v>
      </c>
    </row>
    <row r="5934">
      <c r="A5934" s="178" t="str">
        <f>IFERROR(__xludf.DUMMYFUNCTION("""COMPUTED_VALUE"""),"ITBISA-IC-NE555P-DIP8")</f>
        <v>ITBISA-IC-NE555P-DIP8</v>
      </c>
      <c r="B5934" s="266">
        <f>IFERROR(__xludf.DUMMYFUNCTION("""COMPUTED_VALUE"""),45427.0)</f>
        <v>45427</v>
      </c>
      <c r="C5934" s="266" t="str">
        <f>IFERROR(__xludf.DUMMYFUNCTION("""COMPUTED_VALUE"""),"KYAI KONTONG")</f>
        <v>KYAI KONTONG</v>
      </c>
      <c r="D5934" s="186">
        <f>IFERROR(__xludf.DUMMYFUNCTION("""COMPUTED_VALUE"""),50.0)</f>
        <v>50</v>
      </c>
    </row>
    <row r="5935">
      <c r="A5935" s="178" t="str">
        <f>IFERROR(__xludf.DUMMYFUNCTION("""COMPUTED_VALUE"""),"ITBISA-IC-NE555P-DIP8")</f>
        <v>ITBISA-IC-NE555P-DIP8</v>
      </c>
      <c r="B5935" s="266">
        <f>IFERROR(__xludf.DUMMYFUNCTION("""COMPUTED_VALUE"""),45432.0)</f>
        <v>45432</v>
      </c>
      <c r="C5935" s="266" t="str">
        <f>IFERROR(__xludf.DUMMYFUNCTION("""COMPUTED_VALUE"""),"KYAI KONTONG")</f>
        <v>KYAI KONTONG</v>
      </c>
      <c r="D5935" s="186">
        <f>IFERROR(__xludf.DUMMYFUNCTION("""COMPUTED_VALUE"""),20.0)</f>
        <v>20</v>
      </c>
    </row>
    <row r="5936">
      <c r="A5936" s="178" t="str">
        <f>IFERROR(__xludf.DUMMYFUNCTION("""COMPUTED_VALUE"""),"ITBISA-IC-NE555P-DIP8")</f>
        <v>ITBISA-IC-NE555P-DIP8</v>
      </c>
      <c r="B5936" s="266">
        <f>IFERROR(__xludf.DUMMYFUNCTION("""COMPUTED_VALUE"""),45437.0)</f>
        <v>45437</v>
      </c>
      <c r="C5936" s="266" t="str">
        <f>IFERROR(__xludf.DUMMYFUNCTION("""COMPUTED_VALUE"""),"KERTASARI CIAMIS")</f>
        <v>KERTASARI CIAMIS</v>
      </c>
      <c r="D5936" s="186">
        <f>IFERROR(__xludf.DUMMYFUNCTION("""COMPUTED_VALUE"""),20.0)</f>
        <v>20</v>
      </c>
    </row>
    <row r="5937">
      <c r="A5937" s="178" t="str">
        <f>IFERROR(__xludf.DUMMYFUNCTION("""COMPUTED_VALUE"""),"ITBISA-IC-NE555P-DIP8")</f>
        <v>ITBISA-IC-NE555P-DIP8</v>
      </c>
      <c r="B5937" s="266">
        <f>IFERROR(__xludf.DUMMYFUNCTION("""COMPUTED_VALUE"""),45437.0)</f>
        <v>45437</v>
      </c>
      <c r="C5937" s="266" t="str">
        <f>IFERROR(__xludf.DUMMYFUNCTION("""COMPUTED_VALUE"""),"KERTASARI CIAMIS")</f>
        <v>KERTASARI CIAMIS</v>
      </c>
      <c r="D5937" s="186">
        <f>IFERROR(__xludf.DUMMYFUNCTION("""COMPUTED_VALUE"""),200.0)</f>
        <v>200</v>
      </c>
    </row>
    <row r="5938">
      <c r="A5938" s="178" t="str">
        <f>IFERROR(__xludf.DUMMYFUNCTION("""COMPUTED_VALUE"""),"ITBISA-IC-NE555P-DIP8")</f>
        <v>ITBISA-IC-NE555P-DIP8</v>
      </c>
      <c r="B5938" s="266">
        <f>IFERROR(__xludf.DUMMYFUNCTION("""COMPUTED_VALUE"""),45437.0)</f>
        <v>45437</v>
      </c>
      <c r="C5938" s="266" t="str">
        <f>IFERROR(__xludf.DUMMYFUNCTION("""COMPUTED_VALUE"""),"KERTASARI CIAMIS")</f>
        <v>KERTASARI CIAMIS</v>
      </c>
      <c r="D5938" s="186">
        <f>IFERROR(__xludf.DUMMYFUNCTION("""COMPUTED_VALUE"""),1000.0)</f>
        <v>1000</v>
      </c>
    </row>
    <row r="5939">
      <c r="A5939" s="178" t="str">
        <f>IFERROR(__xludf.DUMMYFUNCTION("""COMPUTED_VALUE"""),"ITBISA-IC-NE555P-DIP8")</f>
        <v>ITBISA-IC-NE555P-DIP8</v>
      </c>
      <c r="B5939" s="266">
        <f>IFERROR(__xludf.DUMMYFUNCTION("""COMPUTED_VALUE"""),45438.0)</f>
        <v>45438</v>
      </c>
      <c r="C5939" s="266" t="str">
        <f>IFERROR(__xludf.DUMMYFUNCTION("""COMPUTED_VALUE"""),"KERTASARI CIAMIS")</f>
        <v>KERTASARI CIAMIS</v>
      </c>
      <c r="D5939" s="186">
        <f>IFERROR(__xludf.DUMMYFUNCTION("""COMPUTED_VALUE"""),5.0)</f>
        <v>5</v>
      </c>
    </row>
    <row r="5940">
      <c r="A5940" s="178" t="str">
        <f>IFERROR(__xludf.DUMMYFUNCTION("""COMPUTED_VALUE"""),"ITBISA-IC-NE555P-DIP8")</f>
        <v>ITBISA-IC-NE555P-DIP8</v>
      </c>
      <c r="B5940" s="266">
        <f>IFERROR(__xludf.DUMMYFUNCTION("""COMPUTED_VALUE"""),45438.0)</f>
        <v>45438</v>
      </c>
      <c r="C5940" s="266" t="str">
        <f>IFERROR(__xludf.DUMMYFUNCTION("""COMPUTED_VALUE"""),"KYAI KONTONG")</f>
        <v>KYAI KONTONG</v>
      </c>
      <c r="D5940" s="186">
        <f>IFERROR(__xludf.DUMMYFUNCTION("""COMPUTED_VALUE"""),100.0)</f>
        <v>100</v>
      </c>
    </row>
    <row r="5941">
      <c r="A5941" s="178" t="str">
        <f>IFERROR(__xludf.DUMMYFUNCTION("""COMPUTED_VALUE"""),"ITBISA-IC-NE555P-DIP8")</f>
        <v>ITBISA-IC-NE555P-DIP8</v>
      </c>
      <c r="B5941" s="266">
        <f>IFERROR(__xludf.DUMMYFUNCTION("""COMPUTED_VALUE"""),45439.0)</f>
        <v>45439</v>
      </c>
      <c r="C5941" s="266" t="str">
        <f>IFERROR(__xludf.DUMMYFUNCTION("""COMPUTED_VALUE"""),"KERTASARI CIAMIS")</f>
        <v>KERTASARI CIAMIS</v>
      </c>
      <c r="D5941" s="186">
        <f>IFERROR(__xludf.DUMMYFUNCTION("""COMPUTED_VALUE"""),500.0)</f>
        <v>500</v>
      </c>
    </row>
    <row r="5942">
      <c r="A5942" s="178" t="str">
        <f>IFERROR(__xludf.DUMMYFUNCTION("""COMPUTED_VALUE"""),"ITBISA-IC-NE555P-DIP8")</f>
        <v>ITBISA-IC-NE555P-DIP8</v>
      </c>
      <c r="B5942" s="266">
        <f>IFERROR(__xludf.DUMMYFUNCTION("""COMPUTED_VALUE"""),45441.0)</f>
        <v>45441</v>
      </c>
      <c r="C5942" s="266" t="str">
        <f>IFERROR(__xludf.DUMMYFUNCTION("""COMPUTED_VALUE"""),"KERTASARI CIAMIS")</f>
        <v>KERTASARI CIAMIS</v>
      </c>
      <c r="D5942" s="186">
        <f>IFERROR(__xludf.DUMMYFUNCTION("""COMPUTED_VALUE"""),250.0)</f>
        <v>250</v>
      </c>
    </row>
    <row r="5943">
      <c r="A5943" s="178" t="str">
        <f>IFERROR(__xludf.DUMMYFUNCTION("""COMPUTED_VALUE"""),"ITBISA-IC-NE555P-DIP8")</f>
        <v>ITBISA-IC-NE555P-DIP8</v>
      </c>
      <c r="B5943" s="266">
        <f>IFERROR(__xludf.DUMMYFUNCTION("""COMPUTED_VALUE"""),45442.0)</f>
        <v>45442</v>
      </c>
      <c r="C5943" s="266" t="str">
        <f>IFERROR(__xludf.DUMMYFUNCTION("""COMPUTED_VALUE"""),"KERTASARI CIAMIS")</f>
        <v>KERTASARI CIAMIS</v>
      </c>
      <c r="D5943" s="186">
        <f>IFERROR(__xludf.DUMMYFUNCTION("""COMPUTED_VALUE"""),100.0)</f>
        <v>100</v>
      </c>
    </row>
    <row r="5944">
      <c r="A5944" s="178" t="str">
        <f>IFERROR(__xludf.DUMMYFUNCTION("""COMPUTED_VALUE"""),"ITBISA-IC-NE555P-DIP8")</f>
        <v>ITBISA-IC-NE555P-DIP8</v>
      </c>
      <c r="B5944" s="266">
        <f>IFERROR(__xludf.DUMMYFUNCTION("""COMPUTED_VALUE"""),45443.0)</f>
        <v>45443</v>
      </c>
      <c r="C5944" s="266" t="str">
        <f>IFERROR(__xludf.DUMMYFUNCTION("""COMPUTED_VALUE"""),"KERTASARI CIAMIS")</f>
        <v>KERTASARI CIAMIS</v>
      </c>
      <c r="D5944" s="186">
        <f>IFERROR(__xludf.DUMMYFUNCTION("""COMPUTED_VALUE"""),25.0)</f>
        <v>25</v>
      </c>
    </row>
    <row r="5945">
      <c r="A5945" s="178" t="str">
        <f>IFERROR(__xludf.DUMMYFUNCTION("""COMPUTED_VALUE"""),"ITBISA-IC-NE555P-DIP8")</f>
        <v>ITBISA-IC-NE555P-DIP8</v>
      </c>
      <c r="B5945" s="266">
        <f>IFERROR(__xludf.DUMMYFUNCTION("""COMPUTED_VALUE"""),45443.0)</f>
        <v>45443</v>
      </c>
      <c r="C5945" s="266" t="str">
        <f>IFERROR(__xludf.DUMMYFUNCTION("""COMPUTED_VALUE"""),"KERTASARI CIAMIS")</f>
        <v>KERTASARI CIAMIS</v>
      </c>
      <c r="D5945" s="186">
        <f>IFERROR(__xludf.DUMMYFUNCTION("""COMPUTED_VALUE"""),50.0)</f>
        <v>50</v>
      </c>
    </row>
    <row r="5946">
      <c r="A5946" s="178" t="str">
        <f>IFERROR(__xludf.DUMMYFUNCTION("""COMPUTED_VALUE"""),"ITBISA-IC-NE555P-DIP8")</f>
        <v>ITBISA-IC-NE555P-DIP8</v>
      </c>
      <c r="B5946" s="266">
        <f>IFERROR(__xludf.DUMMYFUNCTION("""COMPUTED_VALUE"""),45445.0)</f>
        <v>45445</v>
      </c>
      <c r="C5946" s="266" t="str">
        <f>IFERROR(__xludf.DUMMYFUNCTION("""COMPUTED_VALUE"""),"KERTASARI CIAMIS")</f>
        <v>KERTASARI CIAMIS</v>
      </c>
      <c r="D5946" s="186">
        <f>IFERROR(__xludf.DUMMYFUNCTION("""COMPUTED_VALUE"""),42.0)</f>
        <v>42</v>
      </c>
    </row>
    <row r="5947">
      <c r="A5947" s="178" t="str">
        <f>IFERROR(__xludf.DUMMYFUNCTION("""COMPUTED_VALUE"""),"ITBISA-IC-NE555P-DIP8")</f>
        <v>ITBISA-IC-NE555P-DIP8</v>
      </c>
      <c r="B5947" s="266">
        <f>IFERROR(__xludf.DUMMYFUNCTION("""COMPUTED_VALUE"""),45448.0)</f>
        <v>45448</v>
      </c>
      <c r="C5947" s="266" t="str">
        <f>IFERROR(__xludf.DUMMYFUNCTION("""COMPUTED_VALUE"""),"KYAI KONTONG")</f>
        <v>KYAI KONTONG</v>
      </c>
      <c r="D5947" s="186">
        <f>IFERROR(__xludf.DUMMYFUNCTION("""COMPUTED_VALUE"""),5.0)</f>
        <v>5</v>
      </c>
    </row>
    <row r="5948">
      <c r="A5948" s="178" t="str">
        <f>IFERROR(__xludf.DUMMYFUNCTION("""COMPUTED_VALUE"""),"ITBISA-IC-NE555P-DIP8")</f>
        <v>ITBISA-IC-NE555P-DIP8</v>
      </c>
      <c r="B5948" s="266">
        <f>IFERROR(__xludf.DUMMYFUNCTION("""COMPUTED_VALUE"""),45448.0)</f>
        <v>45448</v>
      </c>
      <c r="C5948" s="266" t="str">
        <f>IFERROR(__xludf.DUMMYFUNCTION("""COMPUTED_VALUE"""),"KYAI KONTONG")</f>
        <v>KYAI KONTONG</v>
      </c>
      <c r="D5948" s="186">
        <f>IFERROR(__xludf.DUMMYFUNCTION("""COMPUTED_VALUE"""),50.0)</f>
        <v>50</v>
      </c>
    </row>
    <row r="5949">
      <c r="A5949" s="178" t="str">
        <f>IFERROR(__xludf.DUMMYFUNCTION("""COMPUTED_VALUE"""),"ITBISA-IC-NE555P-DIP8")</f>
        <v>ITBISA-IC-NE555P-DIP8</v>
      </c>
      <c r="B5949" s="266">
        <f>IFERROR(__xludf.DUMMYFUNCTION("""COMPUTED_VALUE"""),45449.0)</f>
        <v>45449</v>
      </c>
      <c r="C5949" s="266" t="str">
        <f>IFERROR(__xludf.DUMMYFUNCTION("""COMPUTED_VALUE"""),"KERTASARI CIAMIS")</f>
        <v>KERTASARI CIAMIS</v>
      </c>
      <c r="D5949" s="186">
        <f>IFERROR(__xludf.DUMMYFUNCTION("""COMPUTED_VALUE"""),1.0)</f>
        <v>1</v>
      </c>
    </row>
    <row r="5950">
      <c r="A5950" s="178" t="str">
        <f>IFERROR(__xludf.DUMMYFUNCTION("""COMPUTED_VALUE"""),"ITBISA-IC-NE555P-DIP8")</f>
        <v>ITBISA-IC-NE555P-DIP8</v>
      </c>
      <c r="B5950" s="266">
        <f>IFERROR(__xludf.DUMMYFUNCTION("""COMPUTED_VALUE"""),45449.0)</f>
        <v>45449</v>
      </c>
      <c r="C5950" s="266" t="str">
        <f>IFERROR(__xludf.DUMMYFUNCTION("""COMPUTED_VALUE"""),"KERTASARI CIAMIS")</f>
        <v>KERTASARI CIAMIS</v>
      </c>
      <c r="D5950" s="186">
        <f>IFERROR(__xludf.DUMMYFUNCTION("""COMPUTED_VALUE"""),3.0)</f>
        <v>3</v>
      </c>
    </row>
    <row r="5951">
      <c r="A5951" s="178" t="str">
        <f>IFERROR(__xludf.DUMMYFUNCTION("""COMPUTED_VALUE"""),"ITBISA-IC-NE555P-DIP8")</f>
        <v>ITBISA-IC-NE555P-DIP8</v>
      </c>
      <c r="B5951" s="266">
        <f>IFERROR(__xludf.DUMMYFUNCTION("""COMPUTED_VALUE"""),45449.0)</f>
        <v>45449</v>
      </c>
      <c r="C5951" s="266" t="str">
        <f>IFERROR(__xludf.DUMMYFUNCTION("""COMPUTED_VALUE"""),"KYAI KONTONG")</f>
        <v>KYAI KONTONG</v>
      </c>
      <c r="D5951" s="186">
        <f>IFERROR(__xludf.DUMMYFUNCTION("""COMPUTED_VALUE"""),3.0)</f>
        <v>3</v>
      </c>
    </row>
    <row r="5952">
      <c r="A5952" s="178" t="str">
        <f>IFERROR(__xludf.DUMMYFUNCTION("""COMPUTED_VALUE"""),"ITBISA-IC-NE555P-DIP8")</f>
        <v>ITBISA-IC-NE555P-DIP8</v>
      </c>
      <c r="B5952" s="266">
        <f>IFERROR(__xludf.DUMMYFUNCTION("""COMPUTED_VALUE"""),45449.0)</f>
        <v>45449</v>
      </c>
      <c r="C5952" s="266" t="str">
        <f>IFERROR(__xludf.DUMMYFUNCTION("""COMPUTED_VALUE"""),"KYAI KONTONG")</f>
        <v>KYAI KONTONG</v>
      </c>
      <c r="D5952" s="186">
        <f>IFERROR(__xludf.DUMMYFUNCTION("""COMPUTED_VALUE"""),5.0)</f>
        <v>5</v>
      </c>
    </row>
    <row r="5953">
      <c r="A5953" s="178" t="str">
        <f>IFERROR(__xludf.DUMMYFUNCTION("""COMPUTED_VALUE"""),"ITBISA-IC-NE555P-DIP8")</f>
        <v>ITBISA-IC-NE555P-DIP8</v>
      </c>
      <c r="B5953" s="266">
        <f>IFERROR(__xludf.DUMMYFUNCTION("""COMPUTED_VALUE"""),45450.0)</f>
        <v>45450</v>
      </c>
      <c r="C5953" s="266" t="str">
        <f>IFERROR(__xludf.DUMMYFUNCTION("""COMPUTED_VALUE"""),"KYAI KONTONG")</f>
        <v>KYAI KONTONG</v>
      </c>
      <c r="D5953" s="186">
        <f>IFERROR(__xludf.DUMMYFUNCTION("""COMPUTED_VALUE"""),1000.0)</f>
        <v>1000</v>
      </c>
    </row>
    <row r="5954">
      <c r="A5954" s="178" t="str">
        <f>IFERROR(__xludf.DUMMYFUNCTION("""COMPUTED_VALUE"""),"ITBISA-IC-NE555P-DIP8")</f>
        <v>ITBISA-IC-NE555P-DIP8</v>
      </c>
      <c r="B5954" s="266">
        <f>IFERROR(__xludf.DUMMYFUNCTION("""COMPUTED_VALUE"""),45452.0)</f>
        <v>45452</v>
      </c>
      <c r="C5954" s="266" t="str">
        <f>IFERROR(__xludf.DUMMYFUNCTION("""COMPUTED_VALUE"""),"KYAI KONTONG")</f>
        <v>KYAI KONTONG</v>
      </c>
      <c r="D5954" s="186">
        <f>IFERROR(__xludf.DUMMYFUNCTION("""COMPUTED_VALUE"""),15.0)</f>
        <v>15</v>
      </c>
    </row>
    <row r="5955">
      <c r="A5955" s="178" t="str">
        <f>IFERROR(__xludf.DUMMYFUNCTION("""COMPUTED_VALUE"""),"ITBISA-IC-NE555P-DIP8")</f>
        <v>ITBISA-IC-NE555P-DIP8</v>
      </c>
      <c r="B5955" s="266">
        <f>IFERROR(__xludf.DUMMYFUNCTION("""COMPUTED_VALUE"""),45453.0)</f>
        <v>45453</v>
      </c>
      <c r="C5955" s="266" t="str">
        <f>IFERROR(__xludf.DUMMYFUNCTION("""COMPUTED_VALUE"""),"KERTASARI CIAMIS")</f>
        <v>KERTASARI CIAMIS</v>
      </c>
      <c r="D5955" s="186">
        <f>IFERROR(__xludf.DUMMYFUNCTION("""COMPUTED_VALUE"""),42.0)</f>
        <v>42</v>
      </c>
    </row>
    <row r="5956">
      <c r="A5956" s="178" t="str">
        <f>IFERROR(__xludf.DUMMYFUNCTION("""COMPUTED_VALUE"""),"ITBISA-IC-NE555P-DIP8")</f>
        <v>ITBISA-IC-NE555P-DIP8</v>
      </c>
      <c r="B5956" s="266">
        <f>IFERROR(__xludf.DUMMYFUNCTION("""COMPUTED_VALUE"""),45453.0)</f>
        <v>45453</v>
      </c>
      <c r="C5956" s="266" t="str">
        <f>IFERROR(__xludf.DUMMYFUNCTION("""COMPUTED_VALUE"""),"KYAI KONTONG")</f>
        <v>KYAI KONTONG</v>
      </c>
      <c r="D5956" s="186">
        <f>IFERROR(__xludf.DUMMYFUNCTION("""COMPUTED_VALUE"""),5.0)</f>
        <v>5</v>
      </c>
    </row>
    <row r="5957">
      <c r="A5957" s="178" t="str">
        <f>IFERROR(__xludf.DUMMYFUNCTION("""COMPUTED_VALUE"""),"ITBISA-IC-NE555P-DIP8")</f>
        <v>ITBISA-IC-NE555P-DIP8</v>
      </c>
      <c r="B5957" s="266">
        <f>IFERROR(__xludf.DUMMYFUNCTION("""COMPUTED_VALUE"""),45453.0)</f>
        <v>45453</v>
      </c>
      <c r="C5957" s="266" t="str">
        <f>IFERROR(__xludf.DUMMYFUNCTION("""COMPUTED_VALUE"""),"KYAI KONTONG")</f>
        <v>KYAI KONTONG</v>
      </c>
      <c r="D5957" s="186">
        <f>IFERROR(__xludf.DUMMYFUNCTION("""COMPUTED_VALUE"""),100.0)</f>
        <v>100</v>
      </c>
    </row>
    <row r="5958">
      <c r="A5958" s="178" t="str">
        <f>IFERROR(__xludf.DUMMYFUNCTION("""COMPUTED_VALUE"""),"ITBISA-IC-NE555P-DIP8")</f>
        <v>ITBISA-IC-NE555P-DIP8</v>
      </c>
      <c r="B5958" s="266">
        <f>IFERROR(__xludf.DUMMYFUNCTION("""COMPUTED_VALUE"""),45455.0)</f>
        <v>45455</v>
      </c>
      <c r="C5958" s="266" t="str">
        <f>IFERROR(__xludf.DUMMYFUNCTION("""COMPUTED_VALUE"""),"KERTASARI CIAMIS")</f>
        <v>KERTASARI CIAMIS</v>
      </c>
      <c r="D5958" s="186">
        <f>IFERROR(__xludf.DUMMYFUNCTION("""COMPUTED_VALUE"""),2000.0)</f>
        <v>2000</v>
      </c>
    </row>
    <row r="5959">
      <c r="A5959" s="178" t="str">
        <f>IFERROR(__xludf.DUMMYFUNCTION("""COMPUTED_VALUE"""),"ITBISA-IC-NE555P-DIP8")</f>
        <v>ITBISA-IC-NE555P-DIP8</v>
      </c>
      <c r="B5959" s="266">
        <f>IFERROR(__xludf.DUMMYFUNCTION("""COMPUTED_VALUE"""),45456.0)</f>
        <v>45456</v>
      </c>
      <c r="C5959" s="266" t="str">
        <f>IFERROR(__xludf.DUMMYFUNCTION("""COMPUTED_VALUE"""),"KERTASARI CIAMIS")</f>
        <v>KERTASARI CIAMIS</v>
      </c>
      <c r="D5959" s="186">
        <f>IFERROR(__xludf.DUMMYFUNCTION("""COMPUTED_VALUE"""),50.0)</f>
        <v>50</v>
      </c>
    </row>
    <row r="5960">
      <c r="A5960" s="178" t="str">
        <f>IFERROR(__xludf.DUMMYFUNCTION("""COMPUTED_VALUE"""),"ITBISA-IC-NE555P-DIP8")</f>
        <v>ITBISA-IC-NE555P-DIP8</v>
      </c>
      <c r="B5960" s="266">
        <f>IFERROR(__xludf.DUMMYFUNCTION("""COMPUTED_VALUE"""),45456.0)</f>
        <v>45456</v>
      </c>
      <c r="C5960" s="266" t="str">
        <f>IFERROR(__xludf.DUMMYFUNCTION("""COMPUTED_VALUE"""),"KERTASARI CIAMIS")</f>
        <v>KERTASARI CIAMIS</v>
      </c>
      <c r="D5960" s="186">
        <f>IFERROR(__xludf.DUMMYFUNCTION("""COMPUTED_VALUE"""),100.0)</f>
        <v>100</v>
      </c>
    </row>
    <row r="5961">
      <c r="A5961" s="178" t="str">
        <f>IFERROR(__xludf.DUMMYFUNCTION("""COMPUTED_VALUE"""),"ITBISA-IC-NE555P-DIP8")</f>
        <v>ITBISA-IC-NE555P-DIP8</v>
      </c>
      <c r="B5961" s="266">
        <f>IFERROR(__xludf.DUMMYFUNCTION("""COMPUTED_VALUE"""),45458.0)</f>
        <v>45458</v>
      </c>
      <c r="C5961" s="266" t="str">
        <f>IFERROR(__xludf.DUMMYFUNCTION("""COMPUTED_VALUE"""),"KERTASARI CIAMIS")</f>
        <v>KERTASARI CIAMIS</v>
      </c>
      <c r="D5961" s="186">
        <f>IFERROR(__xludf.DUMMYFUNCTION("""COMPUTED_VALUE"""),100.0)</f>
        <v>100</v>
      </c>
    </row>
    <row r="5962">
      <c r="A5962" s="178" t="str">
        <f>IFERROR(__xludf.DUMMYFUNCTION("""COMPUTED_VALUE"""),"ITBISA-IC-NE555P-DIP8")</f>
        <v>ITBISA-IC-NE555P-DIP8</v>
      </c>
      <c r="B5962" s="266">
        <f>IFERROR(__xludf.DUMMYFUNCTION("""COMPUTED_VALUE"""),45461.0)</f>
        <v>45461</v>
      </c>
      <c r="C5962" s="266" t="str">
        <f>IFERROR(__xludf.DUMMYFUNCTION("""COMPUTED_VALUE"""),"KERTASARI CIAMIS")</f>
        <v>KERTASARI CIAMIS</v>
      </c>
      <c r="D5962" s="186">
        <f>IFERROR(__xludf.DUMMYFUNCTION("""COMPUTED_VALUE"""),10.0)</f>
        <v>10</v>
      </c>
    </row>
    <row r="5963">
      <c r="A5963" s="178" t="str">
        <f>IFERROR(__xludf.DUMMYFUNCTION("""COMPUTED_VALUE"""),"ITBISA-IC-NE555P-DIP8")</f>
        <v>ITBISA-IC-NE555P-DIP8</v>
      </c>
      <c r="B5963" s="266">
        <f>IFERROR(__xludf.DUMMYFUNCTION("""COMPUTED_VALUE"""),45462.0)</f>
        <v>45462</v>
      </c>
      <c r="C5963" s="266" t="str">
        <f>IFERROR(__xludf.DUMMYFUNCTION("""COMPUTED_VALUE"""),"KERTASARI CIAMIS")</f>
        <v>KERTASARI CIAMIS</v>
      </c>
      <c r="D5963" s="186">
        <f>IFERROR(__xludf.DUMMYFUNCTION("""COMPUTED_VALUE"""),100.0)</f>
        <v>100</v>
      </c>
    </row>
    <row r="5964">
      <c r="A5964" s="178" t="str">
        <f>IFERROR(__xludf.DUMMYFUNCTION("""COMPUTED_VALUE"""),"ITBISA-IC-NE555P-DIP8")</f>
        <v>ITBISA-IC-NE555P-DIP8</v>
      </c>
      <c r="B5964" s="266">
        <f>IFERROR(__xludf.DUMMYFUNCTION("""COMPUTED_VALUE"""),45463.0)</f>
        <v>45463</v>
      </c>
      <c r="C5964" s="266" t="str">
        <f>IFERROR(__xludf.DUMMYFUNCTION("""COMPUTED_VALUE"""),"KERTASARI CIAMIS")</f>
        <v>KERTASARI CIAMIS</v>
      </c>
      <c r="D5964" s="186">
        <f>IFERROR(__xludf.DUMMYFUNCTION("""COMPUTED_VALUE"""),60.0)</f>
        <v>60</v>
      </c>
    </row>
    <row r="5965">
      <c r="A5965" s="178" t="str">
        <f>IFERROR(__xludf.DUMMYFUNCTION("""COMPUTED_VALUE"""),"ITBISA-IC-NE555P-DIP8")</f>
        <v>ITBISA-IC-NE555P-DIP8</v>
      </c>
      <c r="B5965" s="266">
        <f>IFERROR(__xludf.DUMMYFUNCTION("""COMPUTED_VALUE"""),45467.0)</f>
        <v>45467</v>
      </c>
      <c r="C5965" s="266" t="str">
        <f>IFERROR(__xludf.DUMMYFUNCTION("""COMPUTED_VALUE"""),"KERTASARI CIAMIS")</f>
        <v>KERTASARI CIAMIS</v>
      </c>
      <c r="D5965" s="186">
        <f>IFERROR(__xludf.DUMMYFUNCTION("""COMPUTED_VALUE"""),100.0)</f>
        <v>100</v>
      </c>
    </row>
    <row r="5966">
      <c r="A5966" s="178" t="str">
        <f>IFERROR(__xludf.DUMMYFUNCTION("""COMPUTED_VALUE"""),"ITBISA-IC-NE555P-DIP8")</f>
        <v>ITBISA-IC-NE555P-DIP8</v>
      </c>
      <c r="B5966" s="266">
        <f>IFERROR(__xludf.DUMMYFUNCTION("""COMPUTED_VALUE"""),45468.0)</f>
        <v>45468</v>
      </c>
      <c r="C5966" s="266" t="str">
        <f>IFERROR(__xludf.DUMMYFUNCTION("""COMPUTED_VALUE"""),"KERTASARI CIAMIS")</f>
        <v>KERTASARI CIAMIS</v>
      </c>
      <c r="D5966" s="186">
        <f>IFERROR(__xludf.DUMMYFUNCTION("""COMPUTED_VALUE"""),10.0)</f>
        <v>10</v>
      </c>
    </row>
    <row r="5967">
      <c r="A5967" s="178" t="str">
        <f>IFERROR(__xludf.DUMMYFUNCTION("""COMPUTED_VALUE"""),"ITBISA-IC-NE555P-DIP8")</f>
        <v>ITBISA-IC-NE555P-DIP8</v>
      </c>
      <c r="B5967" s="266">
        <f>IFERROR(__xludf.DUMMYFUNCTION("""COMPUTED_VALUE"""),45468.0)</f>
        <v>45468</v>
      </c>
      <c r="C5967" s="266" t="str">
        <f>IFERROR(__xludf.DUMMYFUNCTION("""COMPUTED_VALUE"""),"KERTASARI CIAMIS")</f>
        <v>KERTASARI CIAMIS</v>
      </c>
      <c r="D5967" s="186">
        <f>IFERROR(__xludf.DUMMYFUNCTION("""COMPUTED_VALUE"""),50.0)</f>
        <v>50</v>
      </c>
    </row>
    <row r="5968">
      <c r="A5968" s="178" t="str">
        <f>IFERROR(__xludf.DUMMYFUNCTION("""COMPUTED_VALUE"""),"ITBISA-IC-NE555P-DIP8")</f>
        <v>ITBISA-IC-NE555P-DIP8</v>
      </c>
      <c r="B5968" s="266">
        <f>IFERROR(__xludf.DUMMYFUNCTION("""COMPUTED_VALUE"""),45473.0)</f>
        <v>45473</v>
      </c>
      <c r="C5968" s="266" t="str">
        <f>IFERROR(__xludf.DUMMYFUNCTION("""COMPUTED_VALUE"""),"KYAI KONTONG")</f>
        <v>KYAI KONTONG</v>
      </c>
      <c r="D5968" s="186">
        <f>IFERROR(__xludf.DUMMYFUNCTION("""COMPUTED_VALUE"""),10.0)</f>
        <v>10</v>
      </c>
    </row>
    <row r="5969">
      <c r="A5969" s="178" t="str">
        <f>IFERROR(__xludf.DUMMYFUNCTION("""COMPUTED_VALUE"""),"ITBISA-IC-NE555P-DIP8")</f>
        <v>ITBISA-IC-NE555P-DIP8</v>
      </c>
      <c r="B5969" s="266">
        <f>IFERROR(__xludf.DUMMYFUNCTION("""COMPUTED_VALUE"""),45476.0)</f>
        <v>45476</v>
      </c>
      <c r="C5969" s="266" t="str">
        <f>IFERROR(__xludf.DUMMYFUNCTION("""COMPUTED_VALUE"""),"KYAI KONTONG")</f>
        <v>KYAI KONTONG</v>
      </c>
      <c r="D5969" s="186">
        <f>IFERROR(__xludf.DUMMYFUNCTION("""COMPUTED_VALUE"""),20.0)</f>
        <v>20</v>
      </c>
    </row>
    <row r="5970">
      <c r="A5970" s="178" t="str">
        <f>IFERROR(__xludf.DUMMYFUNCTION("""COMPUTED_VALUE"""),"ITBISA-IC-NE555P-DIP8")</f>
        <v>ITBISA-IC-NE555P-DIP8</v>
      </c>
      <c r="B5970" s="266">
        <f>IFERROR(__xludf.DUMMYFUNCTION("""COMPUTED_VALUE"""),45480.0)</f>
        <v>45480</v>
      </c>
      <c r="C5970" s="266" t="str">
        <f>IFERROR(__xludf.DUMMYFUNCTION("""COMPUTED_VALUE"""),"KERTASARI CIAMIS")</f>
        <v>KERTASARI CIAMIS</v>
      </c>
      <c r="D5970" s="186">
        <f>IFERROR(__xludf.DUMMYFUNCTION("""COMPUTED_VALUE"""),10.0)</f>
        <v>10</v>
      </c>
    </row>
    <row r="5971">
      <c r="A5971" s="178" t="str">
        <f>IFERROR(__xludf.DUMMYFUNCTION("""COMPUTED_VALUE"""),"ITBISA-IC-NE555P-DIP8")</f>
        <v>ITBISA-IC-NE555P-DIP8</v>
      </c>
      <c r="B5971" s="266">
        <f>IFERROR(__xludf.DUMMYFUNCTION("""COMPUTED_VALUE"""),45480.0)</f>
        <v>45480</v>
      </c>
      <c r="C5971" s="266" t="str">
        <f>IFERROR(__xludf.DUMMYFUNCTION("""COMPUTED_VALUE"""),"KYAI KONTONG")</f>
        <v>KYAI KONTONG</v>
      </c>
      <c r="D5971" s="186">
        <f>IFERROR(__xludf.DUMMYFUNCTION("""COMPUTED_VALUE"""),30.0)</f>
        <v>30</v>
      </c>
    </row>
    <row r="5972">
      <c r="A5972" s="178" t="str">
        <f>IFERROR(__xludf.DUMMYFUNCTION("""COMPUTED_VALUE"""),"ITBISA-IC-NE555P-DIP8")</f>
        <v>ITBISA-IC-NE555P-DIP8</v>
      </c>
      <c r="B5972" s="266">
        <f>IFERROR(__xludf.DUMMYFUNCTION("""COMPUTED_VALUE"""),45481.0)</f>
        <v>45481</v>
      </c>
      <c r="C5972" s="266" t="str">
        <f>IFERROR(__xludf.DUMMYFUNCTION("""COMPUTED_VALUE"""),"KERTASARI CIAMIS")</f>
        <v>KERTASARI CIAMIS</v>
      </c>
      <c r="D5972" s="186">
        <f>IFERROR(__xludf.DUMMYFUNCTION("""COMPUTED_VALUE"""),60.0)</f>
        <v>60</v>
      </c>
    </row>
    <row r="5973">
      <c r="A5973" s="178" t="str">
        <f>IFERROR(__xludf.DUMMYFUNCTION("""COMPUTED_VALUE"""),"ITBISA-IC-NE555P-DIP8")</f>
        <v>ITBISA-IC-NE555P-DIP8</v>
      </c>
      <c r="B5973" s="266">
        <f>IFERROR(__xludf.DUMMYFUNCTION("""COMPUTED_VALUE"""),45482.0)</f>
        <v>45482</v>
      </c>
      <c r="C5973" s="266" t="str">
        <f>IFERROR(__xludf.DUMMYFUNCTION("""COMPUTED_VALUE"""),"KERTASARI CIAMIS")</f>
        <v>KERTASARI CIAMIS</v>
      </c>
      <c r="D5973" s="186">
        <f>IFERROR(__xludf.DUMMYFUNCTION("""COMPUTED_VALUE"""),25.0)</f>
        <v>25</v>
      </c>
    </row>
    <row r="5974">
      <c r="A5974" s="178" t="str">
        <f>IFERROR(__xludf.DUMMYFUNCTION("""COMPUTED_VALUE"""),"ITBISA-IC-NE555P-DIP8")</f>
        <v>ITBISA-IC-NE555P-DIP8</v>
      </c>
      <c r="B5974" s="266">
        <f>IFERROR(__xludf.DUMMYFUNCTION("""COMPUTED_VALUE"""),45484.0)</f>
        <v>45484</v>
      </c>
      <c r="C5974" s="266" t="str">
        <f>IFERROR(__xludf.DUMMYFUNCTION("""COMPUTED_VALUE"""),"KERTASARI CIAMIS")</f>
        <v>KERTASARI CIAMIS</v>
      </c>
      <c r="D5974" s="186">
        <f>IFERROR(__xludf.DUMMYFUNCTION("""COMPUTED_VALUE"""),100.0)</f>
        <v>100</v>
      </c>
    </row>
    <row r="5975">
      <c r="A5975" s="178" t="str">
        <f>IFERROR(__xludf.DUMMYFUNCTION("""COMPUTED_VALUE"""),"ITBISA-IC-NE555P-DIP8")</f>
        <v>ITBISA-IC-NE555P-DIP8</v>
      </c>
      <c r="B5975" s="266">
        <f>IFERROR(__xludf.DUMMYFUNCTION("""COMPUTED_VALUE"""),45487.0)</f>
        <v>45487</v>
      </c>
      <c r="C5975" s="266" t="str">
        <f>IFERROR(__xludf.DUMMYFUNCTION("""COMPUTED_VALUE"""),"KERTASARI CIAMIS")</f>
        <v>KERTASARI CIAMIS</v>
      </c>
      <c r="D5975" s="186">
        <f>IFERROR(__xludf.DUMMYFUNCTION("""COMPUTED_VALUE"""),100.0)</f>
        <v>100</v>
      </c>
    </row>
    <row r="5976">
      <c r="A5976" s="178" t="str">
        <f>IFERROR(__xludf.DUMMYFUNCTION("""COMPUTED_VALUE"""),"ITBISA-IC-NE555P-DIP8")</f>
        <v>ITBISA-IC-NE555P-DIP8</v>
      </c>
      <c r="B5976" s="266">
        <f>IFERROR(__xludf.DUMMYFUNCTION("""COMPUTED_VALUE"""),45489.0)</f>
        <v>45489</v>
      </c>
      <c r="C5976" s="266" t="str">
        <f>IFERROR(__xludf.DUMMYFUNCTION("""COMPUTED_VALUE"""),"KYAI KONTONG")</f>
        <v>KYAI KONTONG</v>
      </c>
      <c r="D5976" s="186">
        <f>IFERROR(__xludf.DUMMYFUNCTION("""COMPUTED_VALUE"""),10.0)</f>
        <v>10</v>
      </c>
    </row>
    <row r="5977">
      <c r="A5977" s="178" t="str">
        <f>IFERROR(__xludf.DUMMYFUNCTION("""COMPUTED_VALUE"""),"ITBISA-IC-NE555P-DIP8")</f>
        <v>ITBISA-IC-NE555P-DIP8</v>
      </c>
      <c r="B5977" s="266">
        <f>IFERROR(__xludf.DUMMYFUNCTION("""COMPUTED_VALUE"""),45495.0)</f>
        <v>45495</v>
      </c>
      <c r="C5977" s="266" t="str">
        <f>IFERROR(__xludf.DUMMYFUNCTION("""COMPUTED_VALUE"""),"KERTASARI CIAMIS")</f>
        <v>KERTASARI CIAMIS</v>
      </c>
      <c r="D5977" s="186">
        <f>IFERROR(__xludf.DUMMYFUNCTION("""COMPUTED_VALUE"""),100.0)</f>
        <v>100</v>
      </c>
    </row>
    <row r="5978">
      <c r="A5978" s="178" t="str">
        <f>IFERROR(__xludf.DUMMYFUNCTION("""COMPUTED_VALUE"""),"ITBISA-IC-NE555P-DIP8")</f>
        <v>ITBISA-IC-NE555P-DIP8</v>
      </c>
      <c r="B5978" s="266">
        <f>IFERROR(__xludf.DUMMYFUNCTION("""COMPUTED_VALUE"""),45495.0)</f>
        <v>45495</v>
      </c>
      <c r="C5978" s="266" t="str">
        <f>IFERROR(__xludf.DUMMYFUNCTION("""COMPUTED_VALUE"""),"KERTASARI CIAMIS")</f>
        <v>KERTASARI CIAMIS</v>
      </c>
      <c r="D5978" s="186">
        <f>IFERROR(__xludf.DUMMYFUNCTION("""COMPUTED_VALUE"""),250.0)</f>
        <v>250</v>
      </c>
    </row>
    <row r="5979">
      <c r="A5979" s="178" t="str">
        <f>IFERROR(__xludf.DUMMYFUNCTION("""COMPUTED_VALUE"""),"ITBISA-IC-NE555P-DIP8")</f>
        <v>ITBISA-IC-NE555P-DIP8</v>
      </c>
      <c r="B5979" s="266">
        <f>IFERROR(__xludf.DUMMYFUNCTION("""COMPUTED_VALUE"""),45502.0)</f>
        <v>45502</v>
      </c>
      <c r="C5979" s="266" t="str">
        <f>IFERROR(__xludf.DUMMYFUNCTION("""COMPUTED_VALUE"""),"KERTASARI CIAMIS")</f>
        <v>KERTASARI CIAMIS</v>
      </c>
      <c r="D5979" s="186">
        <f>IFERROR(__xludf.DUMMYFUNCTION("""COMPUTED_VALUE"""),200.0)</f>
        <v>200</v>
      </c>
    </row>
    <row r="5980">
      <c r="A5980" s="178" t="str">
        <f>IFERROR(__xludf.DUMMYFUNCTION("""COMPUTED_VALUE"""),"ITBISA-IC-NE555P-DIP8")</f>
        <v>ITBISA-IC-NE555P-DIP8</v>
      </c>
      <c r="B5980" s="266">
        <f>IFERROR(__xludf.DUMMYFUNCTION("""COMPUTED_VALUE"""),45502.0)</f>
        <v>45502</v>
      </c>
      <c r="C5980" s="266" t="str">
        <f>IFERROR(__xludf.DUMMYFUNCTION("""COMPUTED_VALUE"""),"KYAI KONTONG")</f>
        <v>KYAI KONTONG</v>
      </c>
      <c r="D5980" s="186">
        <f>IFERROR(__xludf.DUMMYFUNCTION("""COMPUTED_VALUE"""),10.0)</f>
        <v>10</v>
      </c>
    </row>
    <row r="5981">
      <c r="A5981" s="178" t="str">
        <f>IFERROR(__xludf.DUMMYFUNCTION("""COMPUTED_VALUE"""),"ITBISA-IC-NE555P-DIP8")</f>
        <v>ITBISA-IC-NE555P-DIP8</v>
      </c>
      <c r="B5981" s="266">
        <f>IFERROR(__xludf.DUMMYFUNCTION("""COMPUTED_VALUE"""),45504.0)</f>
        <v>45504</v>
      </c>
      <c r="C5981" s="266" t="str">
        <f>IFERROR(__xludf.DUMMYFUNCTION("""COMPUTED_VALUE"""),"KYAI KONTONG")</f>
        <v>KYAI KONTONG</v>
      </c>
      <c r="D5981" s="186">
        <f>IFERROR(__xludf.DUMMYFUNCTION("""COMPUTED_VALUE"""),1500.0)</f>
        <v>1500</v>
      </c>
    </row>
    <row r="5982">
      <c r="A5982" s="178" t="str">
        <f>IFERROR(__xludf.DUMMYFUNCTION("""COMPUTED_VALUE"""),"ITBISA-IC-NE555P-DIP8")</f>
        <v>ITBISA-IC-NE555P-DIP8</v>
      </c>
      <c r="B5982" s="266">
        <f>IFERROR(__xludf.DUMMYFUNCTION("""COMPUTED_VALUE"""),45505.0)</f>
        <v>45505</v>
      </c>
      <c r="C5982" s="266" t="str">
        <f>IFERROR(__xludf.DUMMYFUNCTION("""COMPUTED_VALUE"""),"KERTASARI CIAMIS")</f>
        <v>KERTASARI CIAMIS</v>
      </c>
      <c r="D5982" s="186">
        <f>IFERROR(__xludf.DUMMYFUNCTION("""COMPUTED_VALUE"""),60.0)</f>
        <v>60</v>
      </c>
    </row>
    <row r="5983">
      <c r="A5983" s="178" t="str">
        <f>IFERROR(__xludf.DUMMYFUNCTION("""COMPUTED_VALUE"""),"ITBISA-IC-NE555P-DIP8")</f>
        <v>ITBISA-IC-NE555P-DIP8</v>
      </c>
      <c r="B5983" s="266">
        <f>IFERROR(__xludf.DUMMYFUNCTION("""COMPUTED_VALUE"""),45505.0)</f>
        <v>45505</v>
      </c>
      <c r="C5983" s="266" t="str">
        <f>IFERROR(__xludf.DUMMYFUNCTION("""COMPUTED_VALUE"""),"KYAI KONTONG")</f>
        <v>KYAI KONTONG</v>
      </c>
      <c r="D5983" s="186">
        <f>IFERROR(__xludf.DUMMYFUNCTION("""COMPUTED_VALUE"""),10.0)</f>
        <v>10</v>
      </c>
    </row>
    <row r="5984">
      <c r="A5984" s="178" t="str">
        <f>IFERROR(__xludf.DUMMYFUNCTION("""COMPUTED_VALUE"""),"ITBISA-IC-NE555P-DIP8")</f>
        <v>ITBISA-IC-NE555P-DIP8</v>
      </c>
      <c r="B5984" s="266">
        <f>IFERROR(__xludf.DUMMYFUNCTION("""COMPUTED_VALUE"""),45509.0)</f>
        <v>45509</v>
      </c>
      <c r="C5984" s="266" t="str">
        <f>IFERROR(__xludf.DUMMYFUNCTION("""COMPUTED_VALUE"""),"KERTASARI CIAMIS")</f>
        <v>KERTASARI CIAMIS</v>
      </c>
      <c r="D5984" s="186">
        <f>IFERROR(__xludf.DUMMYFUNCTION("""COMPUTED_VALUE"""),25.0)</f>
        <v>25</v>
      </c>
    </row>
    <row r="5985">
      <c r="A5985" s="178" t="str">
        <f>IFERROR(__xludf.DUMMYFUNCTION("""COMPUTED_VALUE"""),"ITBISA-IC-NE555P-DIP8")</f>
        <v>ITBISA-IC-NE555P-DIP8</v>
      </c>
      <c r="B5985" s="266">
        <f>IFERROR(__xludf.DUMMYFUNCTION("""COMPUTED_VALUE"""),45510.0)</f>
        <v>45510</v>
      </c>
      <c r="C5985" s="266" t="str">
        <f>IFERROR(__xludf.DUMMYFUNCTION("""COMPUTED_VALUE"""),"KYAI KONTONG")</f>
        <v>KYAI KONTONG</v>
      </c>
      <c r="D5985" s="186">
        <f>IFERROR(__xludf.DUMMYFUNCTION("""COMPUTED_VALUE"""),60.0)</f>
        <v>60</v>
      </c>
    </row>
    <row r="5986">
      <c r="A5986" s="178" t="str">
        <f>IFERROR(__xludf.DUMMYFUNCTION("""COMPUTED_VALUE"""),"ITBISA-IC-NE555P-DIP8")</f>
        <v>ITBISA-IC-NE555P-DIP8</v>
      </c>
      <c r="B5986" s="266">
        <f>IFERROR(__xludf.DUMMYFUNCTION("""COMPUTED_VALUE"""),45512.0)</f>
        <v>45512</v>
      </c>
      <c r="C5986" s="266" t="str">
        <f>IFERROR(__xludf.DUMMYFUNCTION("""COMPUTED_VALUE"""),"KERTASARI CIAMIS")</f>
        <v>KERTASARI CIAMIS</v>
      </c>
      <c r="D5986" s="186">
        <f>IFERROR(__xludf.DUMMYFUNCTION("""COMPUTED_VALUE"""),37.0)</f>
        <v>37</v>
      </c>
    </row>
    <row r="5987">
      <c r="A5987" s="178" t="str">
        <f>IFERROR(__xludf.DUMMYFUNCTION("""COMPUTED_VALUE"""),"ITBISA-IC-NE555P-DIP8")</f>
        <v>ITBISA-IC-NE555P-DIP8</v>
      </c>
      <c r="B5987" s="266">
        <f>IFERROR(__xludf.DUMMYFUNCTION("""COMPUTED_VALUE"""),45513.0)</f>
        <v>45513</v>
      </c>
      <c r="C5987" s="266" t="str">
        <f>IFERROR(__xludf.DUMMYFUNCTION("""COMPUTED_VALUE"""),"KERTASARI CIAMIS")</f>
        <v>KERTASARI CIAMIS</v>
      </c>
      <c r="D5987" s="186">
        <f>IFERROR(__xludf.DUMMYFUNCTION("""COMPUTED_VALUE"""),10.0)</f>
        <v>10</v>
      </c>
    </row>
    <row r="5988">
      <c r="A5988" s="178" t="str">
        <f>IFERROR(__xludf.DUMMYFUNCTION("""COMPUTED_VALUE"""),"ITBISA-IC-NE555P-DIP8")</f>
        <v>ITBISA-IC-NE555P-DIP8</v>
      </c>
      <c r="B5988" s="266">
        <f>IFERROR(__xludf.DUMMYFUNCTION("""COMPUTED_VALUE"""),45513.0)</f>
        <v>45513</v>
      </c>
      <c r="C5988" s="266" t="str">
        <f>IFERROR(__xludf.DUMMYFUNCTION("""COMPUTED_VALUE"""),"KYAI KONTONG")</f>
        <v>KYAI KONTONG</v>
      </c>
      <c r="D5988" s="186">
        <f>IFERROR(__xludf.DUMMYFUNCTION("""COMPUTED_VALUE"""),10.0)</f>
        <v>10</v>
      </c>
    </row>
    <row r="5989">
      <c r="A5989" s="178" t="str">
        <f>IFERROR(__xludf.DUMMYFUNCTION("""COMPUTED_VALUE"""),"ITBISA-IC-NE555P-DIP8")</f>
        <v>ITBISA-IC-NE555P-DIP8</v>
      </c>
      <c r="B5989" s="266">
        <f>IFERROR(__xludf.DUMMYFUNCTION("""COMPUTED_VALUE"""),45517.0)</f>
        <v>45517</v>
      </c>
      <c r="C5989" s="266" t="str">
        <f>IFERROR(__xludf.DUMMYFUNCTION("""COMPUTED_VALUE"""),"KERTASARI CIAMIS")</f>
        <v>KERTASARI CIAMIS</v>
      </c>
      <c r="D5989" s="186">
        <f>IFERROR(__xludf.DUMMYFUNCTION("""COMPUTED_VALUE"""),35.0)</f>
        <v>35</v>
      </c>
    </row>
    <row r="5990">
      <c r="A5990" s="178" t="str">
        <f>IFERROR(__xludf.DUMMYFUNCTION("""COMPUTED_VALUE"""),"ITBISA-IC-NE555P-DIP8")</f>
        <v>ITBISA-IC-NE555P-DIP8</v>
      </c>
      <c r="B5990" s="266">
        <f>IFERROR(__xludf.DUMMYFUNCTION("""COMPUTED_VALUE"""),45518.0)</f>
        <v>45518</v>
      </c>
      <c r="C5990" s="266" t="str">
        <f>IFERROR(__xludf.DUMMYFUNCTION("""COMPUTED_VALUE"""),"KERTASARI CIAMIS")</f>
        <v>KERTASARI CIAMIS</v>
      </c>
      <c r="D5990" s="186">
        <f>IFERROR(__xludf.DUMMYFUNCTION("""COMPUTED_VALUE"""),100.0)</f>
        <v>100</v>
      </c>
    </row>
    <row r="5991">
      <c r="A5991" s="178" t="str">
        <f>IFERROR(__xludf.DUMMYFUNCTION("""COMPUTED_VALUE"""),"ITBISA-IC-NE555P-DIP8")</f>
        <v>ITBISA-IC-NE555P-DIP8</v>
      </c>
      <c r="B5991" s="266">
        <f>IFERROR(__xludf.DUMMYFUNCTION("""COMPUTED_VALUE"""),45520.0)</f>
        <v>45520</v>
      </c>
      <c r="C5991" s="266" t="str">
        <f>IFERROR(__xludf.DUMMYFUNCTION("""COMPUTED_VALUE"""),"KERTASARI CIAMIS")</f>
        <v>KERTASARI CIAMIS</v>
      </c>
      <c r="D5991" s="186">
        <f>IFERROR(__xludf.DUMMYFUNCTION("""COMPUTED_VALUE"""),10.0)</f>
        <v>10</v>
      </c>
    </row>
    <row r="5992">
      <c r="A5992" s="178" t="str">
        <f>IFERROR(__xludf.DUMMYFUNCTION("""COMPUTED_VALUE"""),"ITBISA-IC-NE555P-DIP8")</f>
        <v>ITBISA-IC-NE555P-DIP8</v>
      </c>
      <c r="B5992" s="266">
        <f>IFERROR(__xludf.DUMMYFUNCTION("""COMPUTED_VALUE"""),45523.0)</f>
        <v>45523</v>
      </c>
      <c r="C5992" s="266" t="str">
        <f>IFERROR(__xludf.DUMMYFUNCTION("""COMPUTED_VALUE"""),"KYAI KONTONG")</f>
        <v>KYAI KONTONG</v>
      </c>
      <c r="D5992" s="186">
        <f>IFERROR(__xludf.DUMMYFUNCTION("""COMPUTED_VALUE"""),50.0)</f>
        <v>50</v>
      </c>
    </row>
    <row r="5993">
      <c r="A5993" s="178" t="str">
        <f>IFERROR(__xludf.DUMMYFUNCTION("""COMPUTED_VALUE"""),"ITBISA-IC-NE555P-DIP8")</f>
        <v>ITBISA-IC-NE555P-DIP8</v>
      </c>
      <c r="B5993" s="266">
        <f>IFERROR(__xludf.DUMMYFUNCTION("""COMPUTED_VALUE"""),45525.0)</f>
        <v>45525</v>
      </c>
      <c r="C5993" s="266" t="str">
        <f>IFERROR(__xludf.DUMMYFUNCTION("""COMPUTED_VALUE"""),"KERTASARI CIAMIS")</f>
        <v>KERTASARI CIAMIS</v>
      </c>
      <c r="D5993" s="186">
        <f>IFERROR(__xludf.DUMMYFUNCTION("""COMPUTED_VALUE"""),10.0)</f>
        <v>10</v>
      </c>
    </row>
    <row r="5994">
      <c r="A5994" s="178" t="str">
        <f>IFERROR(__xludf.DUMMYFUNCTION("""COMPUTED_VALUE"""),"ITBISA-IC-NE555P-DIP8")</f>
        <v>ITBISA-IC-NE555P-DIP8</v>
      </c>
      <c r="B5994" s="266">
        <f>IFERROR(__xludf.DUMMYFUNCTION("""COMPUTED_VALUE"""),45526.0)</f>
        <v>45526</v>
      </c>
      <c r="C5994" s="266" t="str">
        <f>IFERROR(__xludf.DUMMYFUNCTION("""COMPUTED_VALUE"""),"KERTASARI CIAMIS")</f>
        <v>KERTASARI CIAMIS</v>
      </c>
      <c r="D5994" s="186">
        <f>IFERROR(__xludf.DUMMYFUNCTION("""COMPUTED_VALUE"""),1000.0)</f>
        <v>1000</v>
      </c>
    </row>
    <row r="5995">
      <c r="A5995" s="178" t="str">
        <f>IFERROR(__xludf.DUMMYFUNCTION("""COMPUTED_VALUE"""),"ITBISA-IC-NE555P-DIP8")</f>
        <v>ITBISA-IC-NE555P-DIP8</v>
      </c>
      <c r="B5995" s="266">
        <f>IFERROR(__xludf.DUMMYFUNCTION("""COMPUTED_VALUE"""),45528.0)</f>
        <v>45528</v>
      </c>
      <c r="C5995" s="266" t="str">
        <f>IFERROR(__xludf.DUMMYFUNCTION("""COMPUTED_VALUE"""),"KYAI KONTONG")</f>
        <v>KYAI KONTONG</v>
      </c>
      <c r="D5995" s="186">
        <f>IFERROR(__xludf.DUMMYFUNCTION("""COMPUTED_VALUE"""),100.0)</f>
        <v>100</v>
      </c>
    </row>
    <row r="5996">
      <c r="A5996" s="178" t="str">
        <f>IFERROR(__xludf.DUMMYFUNCTION("""COMPUTED_VALUE"""),"ITBISA-IC-NE555P-DIP8")</f>
        <v>ITBISA-IC-NE555P-DIP8</v>
      </c>
      <c r="B5996" s="266">
        <f>IFERROR(__xludf.DUMMYFUNCTION("""COMPUTED_VALUE"""),45533.0)</f>
        <v>45533</v>
      </c>
      <c r="C5996" s="266" t="str">
        <f>IFERROR(__xludf.DUMMYFUNCTION("""COMPUTED_VALUE"""),"KERTASARI CIAMIS")</f>
        <v>KERTASARI CIAMIS</v>
      </c>
      <c r="D5996" s="186">
        <f>IFERROR(__xludf.DUMMYFUNCTION("""COMPUTED_VALUE"""),300.0)</f>
        <v>300</v>
      </c>
    </row>
    <row r="5997">
      <c r="A5997" s="178" t="str">
        <f>IFERROR(__xludf.DUMMYFUNCTION("""COMPUTED_VALUE"""),"ITBISA-IC-NE555P-DIP8")</f>
        <v>ITBISA-IC-NE555P-DIP8</v>
      </c>
      <c r="B5997" s="266">
        <f>IFERROR(__xludf.DUMMYFUNCTION("""COMPUTED_VALUE"""),45538.0)</f>
        <v>45538</v>
      </c>
      <c r="C5997" s="266" t="str">
        <f>IFERROR(__xludf.DUMMYFUNCTION("""COMPUTED_VALUE"""),"KYAI KONTONG")</f>
        <v>KYAI KONTONG</v>
      </c>
      <c r="D5997" s="186">
        <f>IFERROR(__xludf.DUMMYFUNCTION("""COMPUTED_VALUE"""),20.0)</f>
        <v>20</v>
      </c>
    </row>
    <row r="5998">
      <c r="A5998" s="178" t="str">
        <f>IFERROR(__xludf.DUMMYFUNCTION("""COMPUTED_VALUE"""),"ITBISA-IC-NE555P-DIP8")</f>
        <v>ITBISA-IC-NE555P-DIP8</v>
      </c>
      <c r="B5998" s="266">
        <f>IFERROR(__xludf.DUMMYFUNCTION("""COMPUTED_VALUE"""),45539.0)</f>
        <v>45539</v>
      </c>
      <c r="C5998" s="266" t="str">
        <f>IFERROR(__xludf.DUMMYFUNCTION("""COMPUTED_VALUE"""),"KERTASARI CIAMIS")</f>
        <v>KERTASARI CIAMIS</v>
      </c>
      <c r="D5998" s="186">
        <f>IFERROR(__xludf.DUMMYFUNCTION("""COMPUTED_VALUE"""),10.0)</f>
        <v>10</v>
      </c>
    </row>
    <row r="5999">
      <c r="A5999" s="178" t="str">
        <f>IFERROR(__xludf.DUMMYFUNCTION("""COMPUTED_VALUE"""),"ITBISA-IC-NE555P-DIP8")</f>
        <v>ITBISA-IC-NE555P-DIP8</v>
      </c>
      <c r="B5999" s="266">
        <f>IFERROR(__xludf.DUMMYFUNCTION("""COMPUTED_VALUE"""),45542.0)</f>
        <v>45542</v>
      </c>
      <c r="C5999" s="266" t="str">
        <f>IFERROR(__xludf.DUMMYFUNCTION("""COMPUTED_VALUE"""),"KERTASARI CIAMIS")</f>
        <v>KERTASARI CIAMIS</v>
      </c>
      <c r="D5999" s="186">
        <f>IFERROR(__xludf.DUMMYFUNCTION("""COMPUTED_VALUE"""),250.0)</f>
        <v>250</v>
      </c>
    </row>
    <row r="6000">
      <c r="A6000" s="178" t="str">
        <f>IFERROR(__xludf.DUMMYFUNCTION("""COMPUTED_VALUE"""),"ITBISA-IC-NE555P-DIP8")</f>
        <v>ITBISA-IC-NE555P-DIP8</v>
      </c>
      <c r="B6000" s="266">
        <f>IFERROR(__xludf.DUMMYFUNCTION("""COMPUTED_VALUE"""),45543.0)</f>
        <v>45543</v>
      </c>
      <c r="C6000" s="266" t="str">
        <f>IFERROR(__xludf.DUMMYFUNCTION("""COMPUTED_VALUE"""),"KERTASARI CIAMIS")</f>
        <v>KERTASARI CIAMIS</v>
      </c>
      <c r="D6000" s="186">
        <f>IFERROR(__xludf.DUMMYFUNCTION("""COMPUTED_VALUE"""),150.0)</f>
        <v>150</v>
      </c>
    </row>
    <row r="6001">
      <c r="A6001" s="178" t="str">
        <f>IFERROR(__xludf.DUMMYFUNCTION("""COMPUTED_VALUE"""),"ITBISA-IC-NE555P-DIP8")</f>
        <v>ITBISA-IC-NE555P-DIP8</v>
      </c>
      <c r="B6001" s="266">
        <f>IFERROR(__xludf.DUMMYFUNCTION("""COMPUTED_VALUE"""),45545.0)</f>
        <v>45545</v>
      </c>
      <c r="C6001" s="266" t="str">
        <f>IFERROR(__xludf.DUMMYFUNCTION("""COMPUTED_VALUE"""),"KERTASARI CIAMIS")</f>
        <v>KERTASARI CIAMIS</v>
      </c>
      <c r="D6001" s="186">
        <f>IFERROR(__xludf.DUMMYFUNCTION("""COMPUTED_VALUE"""),60.0)</f>
        <v>60</v>
      </c>
    </row>
    <row r="6002">
      <c r="A6002" s="178" t="str">
        <f>IFERROR(__xludf.DUMMYFUNCTION("""COMPUTED_VALUE"""),"ITBISA-IC-NE555P-DIP8")</f>
        <v>ITBISA-IC-NE555P-DIP8</v>
      </c>
      <c r="B6002" s="266">
        <f>IFERROR(__xludf.DUMMYFUNCTION("""COMPUTED_VALUE"""),45549.0)</f>
        <v>45549</v>
      </c>
      <c r="C6002" s="266" t="str">
        <f>IFERROR(__xludf.DUMMYFUNCTION("""COMPUTED_VALUE"""),"KYAI KONTONG")</f>
        <v>KYAI KONTONG</v>
      </c>
      <c r="D6002" s="186">
        <f>IFERROR(__xludf.DUMMYFUNCTION("""COMPUTED_VALUE"""),25.0)</f>
        <v>25</v>
      </c>
    </row>
    <row r="6003">
      <c r="A6003" s="178" t="str">
        <f>IFERROR(__xludf.DUMMYFUNCTION("""COMPUTED_VALUE"""),"ITBISA-IC-NE555P-DIP8")</f>
        <v>ITBISA-IC-NE555P-DIP8</v>
      </c>
      <c r="B6003" s="266">
        <f>IFERROR(__xludf.DUMMYFUNCTION("""COMPUTED_VALUE"""),45551.0)</f>
        <v>45551</v>
      </c>
      <c r="C6003" s="266" t="str">
        <f>IFERROR(__xludf.DUMMYFUNCTION("""COMPUTED_VALUE"""),"KYAI KONTONG")</f>
        <v>KYAI KONTONG</v>
      </c>
      <c r="D6003" s="186">
        <f>IFERROR(__xludf.DUMMYFUNCTION("""COMPUTED_VALUE"""),2000.0)</f>
        <v>2000</v>
      </c>
    </row>
    <row r="6004">
      <c r="A6004" s="178" t="str">
        <f>IFERROR(__xludf.DUMMYFUNCTION("""COMPUTED_VALUE"""),"ITBISA-IC-NE555P-DIP8")</f>
        <v>ITBISA-IC-NE555P-DIP8</v>
      </c>
      <c r="B6004" s="266">
        <f>IFERROR(__xludf.DUMMYFUNCTION("""COMPUTED_VALUE"""),45561.0)</f>
        <v>45561</v>
      </c>
      <c r="C6004" s="266" t="str">
        <f>IFERROR(__xludf.DUMMYFUNCTION("""COMPUTED_VALUE"""),"KERTASARI CIAMIS")</f>
        <v>KERTASARI CIAMIS</v>
      </c>
      <c r="D6004" s="186">
        <f>IFERROR(__xludf.DUMMYFUNCTION("""COMPUTED_VALUE"""),200.0)</f>
        <v>200</v>
      </c>
    </row>
    <row r="6005">
      <c r="A6005" s="178" t="str">
        <f>IFERROR(__xludf.DUMMYFUNCTION("""COMPUTED_VALUE"""),"ITBISA-IC-NE555P-DIP8")</f>
        <v>ITBISA-IC-NE555P-DIP8</v>
      </c>
      <c r="B6005" s="266">
        <f>IFERROR(__xludf.DUMMYFUNCTION("""COMPUTED_VALUE"""),45566.0)</f>
        <v>45566</v>
      </c>
      <c r="C6005" s="266" t="str">
        <f>IFERROR(__xludf.DUMMYFUNCTION("""COMPUTED_VALUE"""),"KERTASARI CIAMIS")</f>
        <v>KERTASARI CIAMIS</v>
      </c>
      <c r="D6005" s="186">
        <f>IFERROR(__xludf.DUMMYFUNCTION("""COMPUTED_VALUE"""),10.0)</f>
        <v>10</v>
      </c>
    </row>
    <row r="6006">
      <c r="A6006" s="178" t="str">
        <f>IFERROR(__xludf.DUMMYFUNCTION("""COMPUTED_VALUE"""),"ITBISA-IC-NE555P-DIP8")</f>
        <v>ITBISA-IC-NE555P-DIP8</v>
      </c>
      <c r="B6006" s="266">
        <f>IFERROR(__xludf.DUMMYFUNCTION("""COMPUTED_VALUE"""),45574.0)</f>
        <v>45574</v>
      </c>
      <c r="C6006" s="266" t="str">
        <f>IFERROR(__xludf.DUMMYFUNCTION("""COMPUTED_VALUE"""),"KYAI KONTONG")</f>
        <v>KYAI KONTONG</v>
      </c>
      <c r="D6006" s="186">
        <f>IFERROR(__xludf.DUMMYFUNCTION("""COMPUTED_VALUE"""),1000.0)</f>
        <v>1000</v>
      </c>
    </row>
    <row r="6007">
      <c r="A6007" s="178" t="str">
        <f>IFERROR(__xludf.DUMMYFUNCTION("""COMPUTED_VALUE"""),"ITBISA-IC-NE555P-DIP8")</f>
        <v>ITBISA-IC-NE555P-DIP8</v>
      </c>
      <c r="B6007" s="266">
        <f>IFERROR(__xludf.DUMMYFUNCTION("""COMPUTED_VALUE"""),45575.0)</f>
        <v>45575</v>
      </c>
      <c r="C6007" s="266" t="str">
        <f>IFERROR(__xludf.DUMMYFUNCTION("""COMPUTED_VALUE"""),"KYAI KONTONG")</f>
        <v>KYAI KONTONG</v>
      </c>
      <c r="D6007" s="186">
        <f>IFERROR(__xludf.DUMMYFUNCTION("""COMPUTED_VALUE"""),30.0)</f>
        <v>30</v>
      </c>
    </row>
    <row r="6008">
      <c r="A6008" s="178" t="str">
        <f>IFERROR(__xludf.DUMMYFUNCTION("""COMPUTED_VALUE"""),"ITBISA-IC-NE555P-DIP8")</f>
        <v>ITBISA-IC-NE555P-DIP8</v>
      </c>
      <c r="B6008" s="266">
        <f>IFERROR(__xludf.DUMMYFUNCTION("""COMPUTED_VALUE"""),45575.0)</f>
        <v>45575</v>
      </c>
      <c r="C6008" s="266" t="str">
        <f>IFERROR(__xludf.DUMMYFUNCTION("""COMPUTED_VALUE"""),"KYAI KONTONG")</f>
        <v>KYAI KONTONG</v>
      </c>
      <c r="D6008" s="186">
        <f>IFERROR(__xludf.DUMMYFUNCTION("""COMPUTED_VALUE"""),150.0)</f>
        <v>150</v>
      </c>
    </row>
    <row r="6009">
      <c r="A6009" s="178" t="str">
        <f>IFERROR(__xludf.DUMMYFUNCTION("""COMPUTED_VALUE"""),"ITBISA-IC-NE555P-DIP8")</f>
        <v>ITBISA-IC-NE555P-DIP8</v>
      </c>
      <c r="B6009" s="266">
        <f>IFERROR(__xludf.DUMMYFUNCTION("""COMPUTED_VALUE"""),45585.0)</f>
        <v>45585</v>
      </c>
      <c r="C6009" s="266" t="str">
        <f>IFERROR(__xludf.DUMMYFUNCTION("""COMPUTED_VALUE"""),"KERTASARI CIAMIS")</f>
        <v>KERTASARI CIAMIS</v>
      </c>
      <c r="D6009" s="186">
        <f>IFERROR(__xludf.DUMMYFUNCTION("""COMPUTED_VALUE"""),1000.0)</f>
        <v>1000</v>
      </c>
    </row>
    <row r="6010">
      <c r="A6010" s="178" t="str">
        <f>IFERROR(__xludf.DUMMYFUNCTION("""COMPUTED_VALUE"""),"ITBISA-IC-NE555P-DIP8")</f>
        <v>ITBISA-IC-NE555P-DIP8</v>
      </c>
      <c r="B6010" s="266">
        <f>IFERROR(__xludf.DUMMYFUNCTION("""COMPUTED_VALUE"""),45586.0)</f>
        <v>45586</v>
      </c>
      <c r="C6010" s="266" t="str">
        <f>IFERROR(__xludf.DUMMYFUNCTION("""COMPUTED_VALUE"""),"KERTASARI CIAMIS")</f>
        <v>KERTASARI CIAMIS</v>
      </c>
      <c r="D6010" s="186">
        <f>IFERROR(__xludf.DUMMYFUNCTION("""COMPUTED_VALUE"""),50.0)</f>
        <v>50</v>
      </c>
    </row>
    <row r="6011">
      <c r="A6011" s="178" t="str">
        <f>IFERROR(__xludf.DUMMYFUNCTION("""COMPUTED_VALUE"""),"ITBISA-IC-NE555P-DIP8")</f>
        <v>ITBISA-IC-NE555P-DIP8</v>
      </c>
      <c r="B6011" s="266">
        <f>IFERROR(__xludf.DUMMYFUNCTION("""COMPUTED_VALUE"""),45587.0)</f>
        <v>45587</v>
      </c>
      <c r="C6011" s="266" t="str">
        <f>IFERROR(__xludf.DUMMYFUNCTION("""COMPUTED_VALUE"""),"KERTASARI CIAMIS")</f>
        <v>KERTASARI CIAMIS</v>
      </c>
      <c r="D6011" s="186">
        <f>IFERROR(__xludf.DUMMYFUNCTION("""COMPUTED_VALUE"""),25.0)</f>
        <v>25</v>
      </c>
    </row>
    <row r="6012">
      <c r="A6012" s="178" t="str">
        <f>IFERROR(__xludf.DUMMYFUNCTION("""COMPUTED_VALUE"""),"ITBISA-IC-NE555P-DIP8")</f>
        <v>ITBISA-IC-NE555P-DIP8</v>
      </c>
      <c r="B6012" s="266">
        <f>IFERROR(__xludf.DUMMYFUNCTION("""COMPUTED_VALUE"""),45588.0)</f>
        <v>45588</v>
      </c>
      <c r="C6012" s="266" t="str">
        <f>IFERROR(__xludf.DUMMYFUNCTION("""COMPUTED_VALUE"""),"KERTASARI CIAMIS")</f>
        <v>KERTASARI CIAMIS</v>
      </c>
      <c r="D6012" s="186">
        <f>IFERROR(__xludf.DUMMYFUNCTION("""COMPUTED_VALUE"""),20.0)</f>
        <v>20</v>
      </c>
    </row>
    <row r="6013">
      <c r="A6013" s="178" t="str">
        <f>IFERROR(__xludf.DUMMYFUNCTION("""COMPUTED_VALUE"""),"ITBISA-IC-NE555P-DIP8")</f>
        <v>ITBISA-IC-NE555P-DIP8</v>
      </c>
      <c r="B6013" s="266">
        <f>IFERROR(__xludf.DUMMYFUNCTION("""COMPUTED_VALUE"""),45593.0)</f>
        <v>45593</v>
      </c>
      <c r="C6013" s="266" t="str">
        <f>IFERROR(__xludf.DUMMYFUNCTION("""COMPUTED_VALUE"""),"KERTASARI CIAMIS")</f>
        <v>KERTASARI CIAMIS</v>
      </c>
      <c r="D6013" s="186">
        <f>IFERROR(__xludf.DUMMYFUNCTION("""COMPUTED_VALUE"""),200.0)</f>
        <v>200</v>
      </c>
    </row>
    <row r="6014">
      <c r="A6014" s="178" t="str">
        <f>IFERROR(__xludf.DUMMYFUNCTION("""COMPUTED_VALUE"""),"ITBISA-IC-NE555P-DIP8")</f>
        <v>ITBISA-IC-NE555P-DIP8</v>
      </c>
      <c r="B6014" s="266">
        <f>IFERROR(__xludf.DUMMYFUNCTION("""COMPUTED_VALUE"""),45598.0)</f>
        <v>45598</v>
      </c>
      <c r="C6014" s="266" t="str">
        <f>IFERROR(__xludf.DUMMYFUNCTION("""COMPUTED_VALUE"""),"KERTASARI CIAMIS")</f>
        <v>KERTASARI CIAMIS</v>
      </c>
      <c r="D6014" s="186">
        <f>IFERROR(__xludf.DUMMYFUNCTION("""COMPUTED_VALUE"""),100.0)</f>
        <v>100</v>
      </c>
    </row>
    <row r="6015">
      <c r="A6015" s="178" t="str">
        <f>IFERROR(__xludf.DUMMYFUNCTION("""COMPUTED_VALUE"""),"ITBISA-IC-NE555P-DIP8")</f>
        <v>ITBISA-IC-NE555P-DIP8</v>
      </c>
      <c r="B6015" s="266">
        <f>IFERROR(__xludf.DUMMYFUNCTION("""COMPUTED_VALUE"""),45598.0)</f>
        <v>45598</v>
      </c>
      <c r="C6015" s="266" t="str">
        <f>IFERROR(__xludf.DUMMYFUNCTION("""COMPUTED_VALUE"""),"KERTASARI CIAMIS")</f>
        <v>KERTASARI CIAMIS</v>
      </c>
      <c r="D6015" s="186">
        <f>IFERROR(__xludf.DUMMYFUNCTION("""COMPUTED_VALUE"""),500.0)</f>
        <v>500</v>
      </c>
    </row>
    <row r="6016">
      <c r="A6016" s="178" t="str">
        <f>IFERROR(__xludf.DUMMYFUNCTION("""COMPUTED_VALUE"""),"ITBISA-IC-NE555P-DIP8")</f>
        <v>ITBISA-IC-NE555P-DIP8</v>
      </c>
      <c r="B6016" s="266">
        <f>IFERROR(__xludf.DUMMYFUNCTION("""COMPUTED_VALUE"""),45598.0)</f>
        <v>45598</v>
      </c>
      <c r="C6016" s="266" t="str">
        <f>IFERROR(__xludf.DUMMYFUNCTION("""COMPUTED_VALUE"""),"KERTASARI CIAMIS")</f>
        <v>KERTASARI CIAMIS</v>
      </c>
      <c r="D6016" s="186">
        <f>IFERROR(__xludf.DUMMYFUNCTION("""COMPUTED_VALUE"""),500.0)</f>
        <v>500</v>
      </c>
    </row>
    <row r="6017">
      <c r="A6017" s="178" t="str">
        <f>IFERROR(__xludf.DUMMYFUNCTION("""COMPUTED_VALUE"""),"ITBISA-IC-NE555P-DIP8")</f>
        <v>ITBISA-IC-NE555P-DIP8</v>
      </c>
      <c r="B6017" s="266">
        <f>IFERROR(__xludf.DUMMYFUNCTION("""COMPUTED_VALUE"""),45600.0)</f>
        <v>45600</v>
      </c>
      <c r="C6017" s="266" t="str">
        <f>IFERROR(__xludf.DUMMYFUNCTION("""COMPUTED_VALUE"""),"KERTASARI CIAMIS")</f>
        <v>KERTASARI CIAMIS</v>
      </c>
      <c r="D6017" s="186">
        <f>IFERROR(__xludf.DUMMYFUNCTION("""COMPUTED_VALUE"""),50.0)</f>
        <v>50</v>
      </c>
    </row>
    <row r="6018">
      <c r="A6018" s="178" t="str">
        <f>IFERROR(__xludf.DUMMYFUNCTION("""COMPUTED_VALUE"""),"ITBISA-IC-NE555P-DIP8")</f>
        <v>ITBISA-IC-NE555P-DIP8</v>
      </c>
      <c r="B6018" s="266">
        <f>IFERROR(__xludf.DUMMYFUNCTION("""COMPUTED_VALUE"""),45613.0)</f>
        <v>45613</v>
      </c>
      <c r="C6018" s="266" t="str">
        <f>IFERROR(__xludf.DUMMYFUNCTION("""COMPUTED_VALUE"""),"KERTASARI CIAMIS")</f>
        <v>KERTASARI CIAMIS</v>
      </c>
      <c r="D6018" s="186">
        <f>IFERROR(__xludf.DUMMYFUNCTION("""COMPUTED_VALUE"""),27.0)</f>
        <v>27</v>
      </c>
    </row>
    <row r="6019">
      <c r="A6019" s="178" t="str">
        <f>IFERROR(__xludf.DUMMYFUNCTION("""COMPUTED_VALUE"""),"ITBISA-IC-NE555P-DIP8")</f>
        <v>ITBISA-IC-NE555P-DIP8</v>
      </c>
      <c r="B6019" s="266">
        <f>IFERROR(__xludf.DUMMYFUNCTION("""COMPUTED_VALUE"""),45615.0)</f>
        <v>45615</v>
      </c>
      <c r="C6019" s="266" t="str">
        <f>IFERROR(__xludf.DUMMYFUNCTION("""COMPUTED_VALUE"""),"KERTASARI CIAMIS")</f>
        <v>KERTASARI CIAMIS</v>
      </c>
      <c r="D6019" s="186">
        <f>IFERROR(__xludf.DUMMYFUNCTION("""COMPUTED_VALUE"""),200.0)</f>
        <v>200</v>
      </c>
    </row>
    <row r="6020">
      <c r="A6020" s="178" t="str">
        <f>IFERROR(__xludf.DUMMYFUNCTION("""COMPUTED_VALUE"""),"ITBISA-IC-NE555P-DIP8")</f>
        <v>ITBISA-IC-NE555P-DIP8</v>
      </c>
      <c r="B6020" s="266">
        <f>IFERROR(__xludf.DUMMYFUNCTION("""COMPUTED_VALUE"""),45616.0)</f>
        <v>45616</v>
      </c>
      <c r="C6020" s="266" t="str">
        <f>IFERROR(__xludf.DUMMYFUNCTION("""COMPUTED_VALUE"""),"KERTASARI CIAMIS")</f>
        <v>KERTASARI CIAMIS</v>
      </c>
      <c r="D6020" s="186">
        <f>IFERROR(__xludf.DUMMYFUNCTION("""COMPUTED_VALUE"""),50.0)</f>
        <v>50</v>
      </c>
    </row>
    <row r="6021">
      <c r="A6021" s="178" t="str">
        <f>IFERROR(__xludf.DUMMYFUNCTION("""COMPUTED_VALUE"""),"ITBISA-IC-NE555P-DIP8")</f>
        <v>ITBISA-IC-NE555P-DIP8</v>
      </c>
      <c r="B6021" s="266">
        <f>IFERROR(__xludf.DUMMYFUNCTION("""COMPUTED_VALUE"""),45616.0)</f>
        <v>45616</v>
      </c>
      <c r="C6021" s="266" t="str">
        <f>IFERROR(__xludf.DUMMYFUNCTION("""COMPUTED_VALUE"""),"KERTASARI CIAMIS")</f>
        <v>KERTASARI CIAMIS</v>
      </c>
      <c r="D6021" s="186">
        <f>IFERROR(__xludf.DUMMYFUNCTION("""COMPUTED_VALUE"""),1500.0)</f>
        <v>1500</v>
      </c>
    </row>
    <row r="6022">
      <c r="A6022" s="178" t="str">
        <f>IFERROR(__xludf.DUMMYFUNCTION("""COMPUTED_VALUE"""),"ITBISA-IC-NE555P-DIP8")</f>
        <v>ITBISA-IC-NE555P-DIP8</v>
      </c>
      <c r="B6022" s="266">
        <f>IFERROR(__xludf.DUMMYFUNCTION("""COMPUTED_VALUE"""),45617.0)</f>
        <v>45617</v>
      </c>
      <c r="C6022" s="266" t="str">
        <f>IFERROR(__xludf.DUMMYFUNCTION("""COMPUTED_VALUE"""),"KYAI KONTONG")</f>
        <v>KYAI KONTONG</v>
      </c>
      <c r="D6022" s="186">
        <f>IFERROR(__xludf.DUMMYFUNCTION("""COMPUTED_VALUE"""),250.0)</f>
        <v>250</v>
      </c>
    </row>
    <row r="6023">
      <c r="A6023" s="178" t="str">
        <f>IFERROR(__xludf.DUMMYFUNCTION("""COMPUTED_VALUE"""),"ITBISA-IC-NE555P-DIP8")</f>
        <v>ITBISA-IC-NE555P-DIP8</v>
      </c>
      <c r="B6023" s="266">
        <f>IFERROR(__xludf.DUMMYFUNCTION("""COMPUTED_VALUE"""),45618.0)</f>
        <v>45618</v>
      </c>
      <c r="C6023" s="266" t="str">
        <f>IFERROR(__xludf.DUMMYFUNCTION("""COMPUTED_VALUE"""),"KERTASARI CIAMIS")</f>
        <v>KERTASARI CIAMIS</v>
      </c>
      <c r="D6023" s="186">
        <f>IFERROR(__xludf.DUMMYFUNCTION("""COMPUTED_VALUE"""),100.0)</f>
        <v>100</v>
      </c>
    </row>
    <row r="6024">
      <c r="A6024" s="178" t="str">
        <f>IFERROR(__xludf.DUMMYFUNCTION("""COMPUTED_VALUE"""),"ITBISA-IC-NE555P-DIP8")</f>
        <v>ITBISA-IC-NE555P-DIP8</v>
      </c>
      <c r="B6024" s="266">
        <f>IFERROR(__xludf.DUMMYFUNCTION("""COMPUTED_VALUE"""),45619.0)</f>
        <v>45619</v>
      </c>
      <c r="C6024" s="266" t="str">
        <f>IFERROR(__xludf.DUMMYFUNCTION("""COMPUTED_VALUE"""),"KYAI KONTONG")</f>
        <v>KYAI KONTONG</v>
      </c>
      <c r="D6024" s="186">
        <f>IFERROR(__xludf.DUMMYFUNCTION("""COMPUTED_VALUE"""),50.0)</f>
        <v>50</v>
      </c>
    </row>
    <row r="6025">
      <c r="A6025" s="178" t="str">
        <f>IFERROR(__xludf.DUMMYFUNCTION("""COMPUTED_VALUE"""),"ITBISA-IC-NE555P-DIP8")</f>
        <v>ITBISA-IC-NE555P-DIP8</v>
      </c>
      <c r="B6025" s="266">
        <f>IFERROR(__xludf.DUMMYFUNCTION("""COMPUTED_VALUE"""),45619.0)</f>
        <v>45619</v>
      </c>
      <c r="C6025" s="266" t="str">
        <f>IFERROR(__xludf.DUMMYFUNCTION("""COMPUTED_VALUE"""),"KYAI KONTONG")</f>
        <v>KYAI KONTONG</v>
      </c>
      <c r="D6025" s="186">
        <f>IFERROR(__xludf.DUMMYFUNCTION("""COMPUTED_VALUE"""),1000.0)</f>
        <v>1000</v>
      </c>
    </row>
    <row r="6026">
      <c r="A6026" s="178" t="str">
        <f>IFERROR(__xludf.DUMMYFUNCTION("""COMPUTED_VALUE"""),"ITBISA-IC-NE555P-DIP8")</f>
        <v>ITBISA-IC-NE555P-DIP8</v>
      </c>
      <c r="B6026" s="266">
        <f>IFERROR(__xludf.DUMMYFUNCTION("""COMPUTED_VALUE"""),45621.0)</f>
        <v>45621</v>
      </c>
      <c r="C6026" s="266" t="str">
        <f>IFERROR(__xludf.DUMMYFUNCTION("""COMPUTED_VALUE"""),"KYAI KONTONG")</f>
        <v>KYAI KONTONG</v>
      </c>
      <c r="D6026" s="186">
        <f>IFERROR(__xludf.DUMMYFUNCTION("""COMPUTED_VALUE"""),200.0)</f>
        <v>200</v>
      </c>
    </row>
    <row r="6027">
      <c r="A6027" s="178" t="str">
        <f>IFERROR(__xludf.DUMMYFUNCTION("""COMPUTED_VALUE"""),"ITBISA-IC-NE555P-DIP8")</f>
        <v>ITBISA-IC-NE555P-DIP8</v>
      </c>
      <c r="B6027" s="266">
        <f>IFERROR(__xludf.DUMMYFUNCTION("""COMPUTED_VALUE"""),45631.0)</f>
        <v>45631</v>
      </c>
      <c r="C6027" s="266" t="str">
        <f>IFERROR(__xludf.DUMMYFUNCTION("""COMPUTED_VALUE"""),"KYAI KONTONG")</f>
        <v>KYAI KONTONG</v>
      </c>
      <c r="D6027" s="186">
        <f>IFERROR(__xludf.DUMMYFUNCTION("""COMPUTED_VALUE"""),13.0)</f>
        <v>13</v>
      </c>
    </row>
    <row r="6028">
      <c r="A6028" s="178" t="str">
        <f>IFERROR(__xludf.DUMMYFUNCTION("""COMPUTED_VALUE"""),"ITBISA-IC-NE555P-DIP8")</f>
        <v>ITBISA-IC-NE555P-DIP8</v>
      </c>
      <c r="B6028" s="266">
        <f>IFERROR(__xludf.DUMMYFUNCTION("""COMPUTED_VALUE"""),45635.0)</f>
        <v>45635</v>
      </c>
      <c r="C6028" s="266" t="str">
        <f>IFERROR(__xludf.DUMMYFUNCTION("""COMPUTED_VALUE"""),"KERTASARI CIAMIS")</f>
        <v>KERTASARI CIAMIS</v>
      </c>
      <c r="D6028" s="186">
        <f>IFERROR(__xludf.DUMMYFUNCTION("""COMPUTED_VALUE"""),1100.0)</f>
        <v>1100</v>
      </c>
    </row>
    <row r="6029">
      <c r="A6029" s="178" t="str">
        <f>IFERROR(__xludf.DUMMYFUNCTION("""COMPUTED_VALUE"""),"ITBISA-IC-NE555P-DIP8")</f>
        <v>ITBISA-IC-NE555P-DIP8</v>
      </c>
      <c r="B6029" s="266">
        <f>IFERROR(__xludf.DUMMYFUNCTION("""COMPUTED_VALUE"""),45638.0)</f>
        <v>45638</v>
      </c>
      <c r="C6029" s="266" t="str">
        <f>IFERROR(__xludf.DUMMYFUNCTION("""COMPUTED_VALUE"""),"KYAI KONTONG")</f>
        <v>KYAI KONTONG</v>
      </c>
      <c r="D6029" s="186">
        <f>IFERROR(__xludf.DUMMYFUNCTION("""COMPUTED_VALUE"""),10.0)</f>
        <v>10</v>
      </c>
    </row>
    <row r="6030">
      <c r="A6030" s="178" t="str">
        <f>IFERROR(__xludf.DUMMYFUNCTION("""COMPUTED_VALUE"""),"ITBISA-IC-NE555P-DIP8")</f>
        <v>ITBISA-IC-NE555P-DIP8</v>
      </c>
      <c r="B6030" s="266">
        <f>IFERROR(__xludf.DUMMYFUNCTION("""COMPUTED_VALUE"""),45641.0)</f>
        <v>45641</v>
      </c>
      <c r="C6030" s="266" t="str">
        <f>IFERROR(__xludf.DUMMYFUNCTION("""COMPUTED_VALUE"""),"KERTASARI CIAMIS")</f>
        <v>KERTASARI CIAMIS</v>
      </c>
      <c r="D6030" s="186">
        <f>IFERROR(__xludf.DUMMYFUNCTION("""COMPUTED_VALUE"""),20.0)</f>
        <v>20</v>
      </c>
    </row>
    <row r="6031">
      <c r="A6031" s="178" t="str">
        <f>IFERROR(__xludf.DUMMYFUNCTION("""COMPUTED_VALUE"""),"ITBISA-IC-NE555P-DIP8")</f>
        <v>ITBISA-IC-NE555P-DIP8</v>
      </c>
      <c r="B6031" s="266">
        <f>IFERROR(__xludf.DUMMYFUNCTION("""COMPUTED_VALUE"""),45643.0)</f>
        <v>45643</v>
      </c>
      <c r="C6031" s="266" t="str">
        <f>IFERROR(__xludf.DUMMYFUNCTION("""COMPUTED_VALUE"""),"KYAI KONTONG")</f>
        <v>KYAI KONTONG</v>
      </c>
      <c r="D6031" s="186">
        <f>IFERROR(__xludf.DUMMYFUNCTION("""COMPUTED_VALUE"""),30.0)</f>
        <v>30</v>
      </c>
    </row>
    <row r="6032">
      <c r="A6032" s="178" t="str">
        <f>IFERROR(__xludf.DUMMYFUNCTION("""COMPUTED_VALUE"""),"ITBISA-IC-NE555P-DIP8")</f>
        <v>ITBISA-IC-NE555P-DIP8</v>
      </c>
      <c r="B6032" s="266">
        <f>IFERROR(__xludf.DUMMYFUNCTION("""COMPUTED_VALUE"""),45643.0)</f>
        <v>45643</v>
      </c>
      <c r="C6032" s="266" t="str">
        <f>IFERROR(__xludf.DUMMYFUNCTION("""COMPUTED_VALUE"""),"KYAI KONTONG")</f>
        <v>KYAI KONTONG</v>
      </c>
      <c r="D6032" s="186">
        <f>IFERROR(__xludf.DUMMYFUNCTION("""COMPUTED_VALUE"""),41.0)</f>
        <v>41</v>
      </c>
    </row>
    <row r="6033">
      <c r="A6033" s="178" t="str">
        <f>IFERROR(__xludf.DUMMYFUNCTION("""COMPUTED_VALUE"""),"ITBISA-IC-NE555P-DIP8")</f>
        <v>ITBISA-IC-NE555P-DIP8</v>
      </c>
      <c r="B6033" s="266">
        <f>IFERROR(__xludf.DUMMYFUNCTION("""COMPUTED_VALUE"""),45645.0)</f>
        <v>45645</v>
      </c>
      <c r="C6033" s="266" t="str">
        <f>IFERROR(__xludf.DUMMYFUNCTION("""COMPUTED_VALUE"""),"KYAI KONTONG")</f>
        <v>KYAI KONTONG</v>
      </c>
      <c r="D6033" s="186">
        <f>IFERROR(__xludf.DUMMYFUNCTION("""COMPUTED_VALUE"""),10.0)</f>
        <v>10</v>
      </c>
    </row>
    <row r="6034">
      <c r="A6034" s="178" t="str">
        <f>IFERROR(__xludf.DUMMYFUNCTION("""COMPUTED_VALUE"""),"ITBISA-IC-NE555P-DIP8")</f>
        <v>ITBISA-IC-NE555P-DIP8</v>
      </c>
      <c r="B6034" s="266">
        <f>IFERROR(__xludf.DUMMYFUNCTION("""COMPUTED_VALUE"""),45646.0)</f>
        <v>45646</v>
      </c>
      <c r="C6034" s="266" t="str">
        <f>IFERROR(__xludf.DUMMYFUNCTION("""COMPUTED_VALUE"""),"KERTASARI CIAMIS")</f>
        <v>KERTASARI CIAMIS</v>
      </c>
      <c r="D6034" s="186">
        <f>IFERROR(__xludf.DUMMYFUNCTION("""COMPUTED_VALUE"""),2000.0)</f>
        <v>2000</v>
      </c>
    </row>
    <row r="6035">
      <c r="A6035" s="178" t="str">
        <f>IFERROR(__xludf.DUMMYFUNCTION("""COMPUTED_VALUE"""),"ITBISA-IC-NE555P-DIP8")</f>
        <v>ITBISA-IC-NE555P-DIP8</v>
      </c>
      <c r="B6035" s="266">
        <f>IFERROR(__xludf.DUMMYFUNCTION("""COMPUTED_VALUE"""),45647.0)</f>
        <v>45647</v>
      </c>
      <c r="C6035" s="266" t="str">
        <f>IFERROR(__xludf.DUMMYFUNCTION("""COMPUTED_VALUE"""),"KYAI KONTONG")</f>
        <v>KYAI KONTONG</v>
      </c>
      <c r="D6035" s="186">
        <f>IFERROR(__xludf.DUMMYFUNCTION("""COMPUTED_VALUE"""),10.0)</f>
        <v>10</v>
      </c>
    </row>
    <row r="6036">
      <c r="A6036" s="178" t="str">
        <f>IFERROR(__xludf.DUMMYFUNCTION("""COMPUTED_VALUE"""),"ITBISA-IC-NE555P-DIP8")</f>
        <v>ITBISA-IC-NE555P-DIP8</v>
      </c>
      <c r="B6036" s="266">
        <f>IFERROR(__xludf.DUMMYFUNCTION("""COMPUTED_VALUE"""),45650.0)</f>
        <v>45650</v>
      </c>
      <c r="C6036" s="266" t="str">
        <f>IFERROR(__xludf.DUMMYFUNCTION("""COMPUTED_VALUE"""),"KERTASARI CIAMIS")</f>
        <v>KERTASARI CIAMIS</v>
      </c>
      <c r="D6036" s="186">
        <f>IFERROR(__xludf.DUMMYFUNCTION("""COMPUTED_VALUE"""),300.0)</f>
        <v>300</v>
      </c>
    </row>
    <row r="6037">
      <c r="A6037" s="178" t="str">
        <f>IFERROR(__xludf.DUMMYFUNCTION("""COMPUTED_VALUE"""),"ITBISA-IC-NE555P-DIP8")</f>
        <v>ITBISA-IC-NE555P-DIP8</v>
      </c>
      <c r="B6037" s="266">
        <f>IFERROR(__xludf.DUMMYFUNCTION("""COMPUTED_VALUE"""),45660.0)</f>
        <v>45660</v>
      </c>
      <c r="C6037" s="266" t="str">
        <f>IFERROR(__xludf.DUMMYFUNCTION("""COMPUTED_VALUE"""),"KERTASARI CIAMIS")</f>
        <v>KERTASARI CIAMIS</v>
      </c>
      <c r="D6037" s="186">
        <f>IFERROR(__xludf.DUMMYFUNCTION("""COMPUTED_VALUE"""),250.0)</f>
        <v>250</v>
      </c>
    </row>
    <row r="6038">
      <c r="A6038" s="178" t="str">
        <f>IFERROR(__xludf.DUMMYFUNCTION("""COMPUTED_VALUE"""),"ITBISA-IC-NE555P-DIP8")</f>
        <v>ITBISA-IC-NE555P-DIP8</v>
      </c>
      <c r="B6038" s="266">
        <f>IFERROR(__xludf.DUMMYFUNCTION("""COMPUTED_VALUE"""),45671.0)</f>
        <v>45671</v>
      </c>
      <c r="C6038" s="266" t="str">
        <f>IFERROR(__xludf.DUMMYFUNCTION("""COMPUTED_VALUE"""),"KERTASARI CIAMIS")</f>
        <v>KERTASARI CIAMIS</v>
      </c>
      <c r="D6038" s="186">
        <f>IFERROR(__xludf.DUMMYFUNCTION("""COMPUTED_VALUE"""),300.0)</f>
        <v>300</v>
      </c>
    </row>
    <row r="6039">
      <c r="A6039" s="178" t="str">
        <f>IFERROR(__xludf.DUMMYFUNCTION("""COMPUTED_VALUE"""),"ITBISA-IC-NE555P-DIP8")</f>
        <v>ITBISA-IC-NE555P-DIP8</v>
      </c>
      <c r="B6039" s="266">
        <f>IFERROR(__xludf.DUMMYFUNCTION("""COMPUTED_VALUE"""),45671.0)</f>
        <v>45671</v>
      </c>
      <c r="C6039" s="266" t="str">
        <f>IFERROR(__xludf.DUMMYFUNCTION("""COMPUTED_VALUE"""),"KYAI KONTONG")</f>
        <v>KYAI KONTONG</v>
      </c>
      <c r="D6039" s="186">
        <f>IFERROR(__xludf.DUMMYFUNCTION("""COMPUTED_VALUE"""),500.0)</f>
        <v>500</v>
      </c>
    </row>
    <row r="6040">
      <c r="A6040" s="178" t="str">
        <f>IFERROR(__xludf.DUMMYFUNCTION("""COMPUTED_VALUE"""),"ITBISA-IC-NE555P-DIP8")</f>
        <v>ITBISA-IC-NE555P-DIP8</v>
      </c>
      <c r="B6040" s="266">
        <f>IFERROR(__xludf.DUMMYFUNCTION("""COMPUTED_VALUE"""),45674.0)</f>
        <v>45674</v>
      </c>
      <c r="C6040" s="266" t="str">
        <f>IFERROR(__xludf.DUMMYFUNCTION("""COMPUTED_VALUE"""),"KYAI KONTONG")</f>
        <v>KYAI KONTONG</v>
      </c>
      <c r="D6040" s="186">
        <f>IFERROR(__xludf.DUMMYFUNCTION("""COMPUTED_VALUE"""),1000.0)</f>
        <v>1000</v>
      </c>
    </row>
    <row r="6041">
      <c r="A6041" s="178" t="str">
        <f>IFERROR(__xludf.DUMMYFUNCTION("""COMPUTED_VALUE"""),"ITBISA-IC-NE555P-DIP8")</f>
        <v>ITBISA-IC-NE555P-DIP8</v>
      </c>
      <c r="B6041" s="266">
        <f>IFERROR(__xludf.DUMMYFUNCTION("""COMPUTED_VALUE"""),45676.0)</f>
        <v>45676</v>
      </c>
      <c r="C6041" s="266" t="str">
        <f>IFERROR(__xludf.DUMMYFUNCTION("""COMPUTED_VALUE"""),"KYAI KONTONG")</f>
        <v>KYAI KONTONG</v>
      </c>
      <c r="D6041" s="186">
        <f>IFERROR(__xludf.DUMMYFUNCTION("""COMPUTED_VALUE"""),10.0)</f>
        <v>10</v>
      </c>
    </row>
    <row r="6042">
      <c r="A6042" s="178" t="str">
        <f>IFERROR(__xludf.DUMMYFUNCTION("""COMPUTED_VALUE"""),"ITBISA-IC-NE555P-DIP8")</f>
        <v>ITBISA-IC-NE555P-DIP8</v>
      </c>
      <c r="B6042" s="266">
        <f>IFERROR(__xludf.DUMMYFUNCTION("""COMPUTED_VALUE"""),45678.0)</f>
        <v>45678</v>
      </c>
      <c r="C6042" s="266" t="str">
        <f>IFERROR(__xludf.DUMMYFUNCTION("""COMPUTED_VALUE"""),"KERTASARI CIAMIS")</f>
        <v>KERTASARI CIAMIS</v>
      </c>
      <c r="D6042" s="186">
        <f>IFERROR(__xludf.DUMMYFUNCTION("""COMPUTED_VALUE"""),115.0)</f>
        <v>115</v>
      </c>
    </row>
    <row r="6043">
      <c r="A6043" s="178" t="str">
        <f>IFERROR(__xludf.DUMMYFUNCTION("""COMPUTED_VALUE"""),"ITBISA-IC-NE555P-DIP8")</f>
        <v>ITBISA-IC-NE555P-DIP8</v>
      </c>
      <c r="B6043" s="266">
        <f>IFERROR(__xludf.DUMMYFUNCTION("""COMPUTED_VALUE"""),45678.0)</f>
        <v>45678</v>
      </c>
      <c r="C6043" s="266" t="str">
        <f>IFERROR(__xludf.DUMMYFUNCTION("""COMPUTED_VALUE"""),"KERTASARI CIAMIS")</f>
        <v>KERTASARI CIAMIS</v>
      </c>
      <c r="D6043" s="186">
        <f>IFERROR(__xludf.DUMMYFUNCTION("""COMPUTED_VALUE"""),500.0)</f>
        <v>500</v>
      </c>
    </row>
    <row r="6044">
      <c r="A6044" s="178" t="str">
        <f>IFERROR(__xludf.DUMMYFUNCTION("""COMPUTED_VALUE"""),"ITBISA-IC-NE555P-DIP8")</f>
        <v>ITBISA-IC-NE555P-DIP8</v>
      </c>
      <c r="B6044" s="266">
        <f>IFERROR(__xludf.DUMMYFUNCTION("""COMPUTED_VALUE"""),45679.0)</f>
        <v>45679</v>
      </c>
      <c r="C6044" s="266" t="str">
        <f>IFERROR(__xludf.DUMMYFUNCTION("""COMPUTED_VALUE"""),"KERTASARI CIAMIS")</f>
        <v>KERTASARI CIAMIS</v>
      </c>
      <c r="D6044" s="186">
        <f>IFERROR(__xludf.DUMMYFUNCTION("""COMPUTED_VALUE"""),40.0)</f>
        <v>40</v>
      </c>
    </row>
    <row r="6045">
      <c r="A6045" s="178" t="str">
        <f>IFERROR(__xludf.DUMMYFUNCTION("""COMPUTED_VALUE"""),"ITBISA-IC-NE555P-DIP8")</f>
        <v>ITBISA-IC-NE555P-DIP8</v>
      </c>
      <c r="B6045" s="266">
        <f>IFERROR(__xludf.DUMMYFUNCTION("""COMPUTED_VALUE"""),45681.0)</f>
        <v>45681</v>
      </c>
      <c r="C6045" s="266" t="str">
        <f>IFERROR(__xludf.DUMMYFUNCTION("""COMPUTED_VALUE"""),"KERTASARI CIAMIS")</f>
        <v>KERTASARI CIAMIS</v>
      </c>
      <c r="D6045" s="186">
        <f>IFERROR(__xludf.DUMMYFUNCTION("""COMPUTED_VALUE"""),50.0)</f>
        <v>50</v>
      </c>
    </row>
    <row r="6046">
      <c r="A6046" s="178" t="str">
        <f>IFERROR(__xludf.DUMMYFUNCTION("""COMPUTED_VALUE"""),"ITBISA-IC-NE555P-DIP8")</f>
        <v>ITBISA-IC-NE555P-DIP8</v>
      </c>
      <c r="B6046" s="266">
        <f>IFERROR(__xludf.DUMMYFUNCTION("""COMPUTED_VALUE"""),45682.0)</f>
        <v>45682</v>
      </c>
      <c r="C6046" s="266" t="str">
        <f>IFERROR(__xludf.DUMMYFUNCTION("""COMPUTED_VALUE"""),"KYAI KONTONG")</f>
        <v>KYAI KONTONG</v>
      </c>
      <c r="D6046" s="186">
        <f>IFERROR(__xludf.DUMMYFUNCTION("""COMPUTED_VALUE"""),300.0)</f>
        <v>300</v>
      </c>
    </row>
    <row r="6047">
      <c r="A6047" s="178" t="str">
        <f>IFERROR(__xludf.DUMMYFUNCTION("""COMPUTED_VALUE"""),"ITBISA-IC-NE555P-DIP8")</f>
        <v>ITBISA-IC-NE555P-DIP8</v>
      </c>
      <c r="B6047" s="266">
        <f>IFERROR(__xludf.DUMMYFUNCTION("""COMPUTED_VALUE"""),45690.0)</f>
        <v>45690</v>
      </c>
      <c r="C6047" s="266" t="str">
        <f>IFERROR(__xludf.DUMMYFUNCTION("""COMPUTED_VALUE"""),"KYAI KONTONG")</f>
        <v>KYAI KONTONG</v>
      </c>
      <c r="D6047" s="186">
        <f>IFERROR(__xludf.DUMMYFUNCTION("""COMPUTED_VALUE"""),10.0)</f>
        <v>10</v>
      </c>
    </row>
    <row r="6048">
      <c r="A6048" s="178" t="str">
        <f>IFERROR(__xludf.DUMMYFUNCTION("""COMPUTED_VALUE"""),"ITBISA-IC-NE555P-DIP8")</f>
        <v>ITBISA-IC-NE555P-DIP8</v>
      </c>
      <c r="B6048" s="266">
        <f>IFERROR(__xludf.DUMMYFUNCTION("""COMPUTED_VALUE"""),45691.0)</f>
        <v>45691</v>
      </c>
      <c r="C6048" s="266" t="str">
        <f>IFERROR(__xludf.DUMMYFUNCTION("""COMPUTED_VALUE"""),"KERTASARI CIAMIS")</f>
        <v>KERTASARI CIAMIS</v>
      </c>
      <c r="D6048" s="186">
        <f>IFERROR(__xludf.DUMMYFUNCTION("""COMPUTED_VALUE"""),500.0)</f>
        <v>500</v>
      </c>
    </row>
    <row r="6049">
      <c r="A6049" s="178" t="str">
        <f>IFERROR(__xludf.DUMMYFUNCTION("""COMPUTED_VALUE"""),"ITBISA-IC-NE555P-DIP8")</f>
        <v>ITBISA-IC-NE555P-DIP8</v>
      </c>
      <c r="B6049" s="266">
        <f>IFERROR(__xludf.DUMMYFUNCTION("""COMPUTED_VALUE"""),45693.0)</f>
        <v>45693</v>
      </c>
      <c r="C6049" s="266" t="str">
        <f>IFERROR(__xludf.DUMMYFUNCTION("""COMPUTED_VALUE"""),"KERTASARI CIAMIS")</f>
        <v>KERTASARI CIAMIS</v>
      </c>
      <c r="D6049" s="186">
        <f>IFERROR(__xludf.DUMMYFUNCTION("""COMPUTED_VALUE"""),30.0)</f>
        <v>30</v>
      </c>
    </row>
    <row r="6050">
      <c r="A6050" s="178" t="str">
        <f>IFERROR(__xludf.DUMMYFUNCTION("""COMPUTED_VALUE"""),"ITBISA-IC-NE555P-DIP8")</f>
        <v>ITBISA-IC-NE555P-DIP8</v>
      </c>
      <c r="B6050" s="266">
        <f>IFERROR(__xludf.DUMMYFUNCTION("""COMPUTED_VALUE"""),45693.0)</f>
        <v>45693</v>
      </c>
      <c r="C6050" s="266" t="str">
        <f>IFERROR(__xludf.DUMMYFUNCTION("""COMPUTED_VALUE"""),"KERTASARI CIAMIS")</f>
        <v>KERTASARI CIAMIS</v>
      </c>
      <c r="D6050" s="186">
        <f>IFERROR(__xludf.DUMMYFUNCTION("""COMPUTED_VALUE"""),50.0)</f>
        <v>50</v>
      </c>
    </row>
    <row r="6051">
      <c r="A6051" s="178" t="str">
        <f>IFERROR(__xludf.DUMMYFUNCTION("""COMPUTED_VALUE"""),"ITBISA-IC-NE555P-DIP8")</f>
        <v>ITBISA-IC-NE555P-DIP8</v>
      </c>
      <c r="B6051" s="266">
        <f>IFERROR(__xludf.DUMMYFUNCTION("""COMPUTED_VALUE"""),45699.0)</f>
        <v>45699</v>
      </c>
      <c r="C6051" s="266" t="str">
        <f>IFERROR(__xludf.DUMMYFUNCTION("""COMPUTED_VALUE"""),"KYAI KONTONG")</f>
        <v>KYAI KONTONG</v>
      </c>
      <c r="D6051" s="186">
        <f>IFERROR(__xludf.DUMMYFUNCTION("""COMPUTED_VALUE"""),12.0)</f>
        <v>12</v>
      </c>
    </row>
    <row r="6052">
      <c r="A6052" s="178" t="str">
        <f>IFERROR(__xludf.DUMMYFUNCTION("""COMPUTED_VALUE"""),"ITBISA-IC-NE555P-DIP8")</f>
        <v>ITBISA-IC-NE555P-DIP8</v>
      </c>
      <c r="B6052" s="266">
        <f>IFERROR(__xludf.DUMMYFUNCTION("""COMPUTED_VALUE"""),45700.0)</f>
        <v>45700</v>
      </c>
      <c r="C6052" s="266" t="str">
        <f>IFERROR(__xludf.DUMMYFUNCTION("""COMPUTED_VALUE"""),"KYAI KONTONG")</f>
        <v>KYAI KONTONG</v>
      </c>
      <c r="D6052" s="186">
        <f>IFERROR(__xludf.DUMMYFUNCTION("""COMPUTED_VALUE"""),10.0)</f>
        <v>10</v>
      </c>
    </row>
    <row r="6053">
      <c r="A6053" s="178" t="str">
        <f>IFERROR(__xludf.DUMMYFUNCTION("""COMPUTED_VALUE"""),"ITBISA-IC-NE555P-DIP8")</f>
        <v>ITBISA-IC-NE555P-DIP8</v>
      </c>
      <c r="B6053" s="266">
        <f>IFERROR(__xludf.DUMMYFUNCTION("""COMPUTED_VALUE"""),45701.0)</f>
        <v>45701</v>
      </c>
      <c r="C6053" s="266" t="str">
        <f>IFERROR(__xludf.DUMMYFUNCTION("""COMPUTED_VALUE"""),"KERTASARI CIAMIS")</f>
        <v>KERTASARI CIAMIS</v>
      </c>
      <c r="D6053" s="186">
        <f>IFERROR(__xludf.DUMMYFUNCTION("""COMPUTED_VALUE"""),10.0)</f>
        <v>10</v>
      </c>
    </row>
    <row r="6054">
      <c r="A6054" s="178" t="str">
        <f>IFERROR(__xludf.DUMMYFUNCTION("""COMPUTED_VALUE"""),"ITBISA-IC-NE555P-DIP8")</f>
        <v>ITBISA-IC-NE555P-DIP8</v>
      </c>
      <c r="B6054" s="266">
        <f>IFERROR(__xludf.DUMMYFUNCTION("""COMPUTED_VALUE"""),45701.0)</f>
        <v>45701</v>
      </c>
      <c r="C6054" s="266" t="str">
        <f>IFERROR(__xludf.DUMMYFUNCTION("""COMPUTED_VALUE"""),"KERTASARI CIAMIS")</f>
        <v>KERTASARI CIAMIS</v>
      </c>
      <c r="D6054" s="186">
        <f>IFERROR(__xludf.DUMMYFUNCTION("""COMPUTED_VALUE"""),50.0)</f>
        <v>50</v>
      </c>
    </row>
    <row r="6055">
      <c r="A6055" s="178" t="str">
        <f>IFERROR(__xludf.DUMMYFUNCTION("""COMPUTED_VALUE"""),"ITBISA-IC-NE555P-DIP8")</f>
        <v>ITBISA-IC-NE555P-DIP8</v>
      </c>
      <c r="B6055" s="266">
        <f>IFERROR(__xludf.DUMMYFUNCTION("""COMPUTED_VALUE"""),45701.0)</f>
        <v>45701</v>
      </c>
      <c r="C6055" s="266" t="str">
        <f>IFERROR(__xludf.DUMMYFUNCTION("""COMPUTED_VALUE"""),"KYAI KONTONG")</f>
        <v>KYAI KONTONG</v>
      </c>
      <c r="D6055" s="186">
        <f>IFERROR(__xludf.DUMMYFUNCTION("""COMPUTED_VALUE"""),10.0)</f>
        <v>10</v>
      </c>
    </row>
    <row r="6056">
      <c r="A6056" s="178" t="str">
        <f>IFERROR(__xludf.DUMMYFUNCTION("""COMPUTED_VALUE"""),"ITBISA-IC-NE555P-DIP8")</f>
        <v>ITBISA-IC-NE555P-DIP8</v>
      </c>
      <c r="B6056" s="266">
        <f>IFERROR(__xludf.DUMMYFUNCTION("""COMPUTED_VALUE"""),45704.0)</f>
        <v>45704</v>
      </c>
      <c r="C6056" s="266" t="str">
        <f>IFERROR(__xludf.DUMMYFUNCTION("""COMPUTED_VALUE"""),"KERTASARI CIAMIS")</f>
        <v>KERTASARI CIAMIS</v>
      </c>
      <c r="D6056" s="186">
        <f>IFERROR(__xludf.DUMMYFUNCTION("""COMPUTED_VALUE"""),50.0)</f>
        <v>50</v>
      </c>
    </row>
    <row r="6057">
      <c r="A6057" s="178" t="str">
        <f>IFERROR(__xludf.DUMMYFUNCTION("""COMPUTED_VALUE"""),"ITBISA-IC-NE555P-DIP8")</f>
        <v>ITBISA-IC-NE555P-DIP8</v>
      </c>
      <c r="B6057" s="266">
        <f>IFERROR(__xludf.DUMMYFUNCTION("""COMPUTED_VALUE"""),45705.0)</f>
        <v>45705</v>
      </c>
      <c r="C6057" s="266" t="str">
        <f>IFERROR(__xludf.DUMMYFUNCTION("""COMPUTED_VALUE"""),"KERTASARI CIAMIS")</f>
        <v>KERTASARI CIAMIS</v>
      </c>
      <c r="D6057" s="186">
        <f>IFERROR(__xludf.DUMMYFUNCTION("""COMPUTED_VALUE"""),50.0)</f>
        <v>50</v>
      </c>
    </row>
    <row r="6058">
      <c r="A6058" s="178" t="str">
        <f>IFERROR(__xludf.DUMMYFUNCTION("""COMPUTED_VALUE"""),"ITBISA-IC-NE555P-DIP8")</f>
        <v>ITBISA-IC-NE555P-DIP8</v>
      </c>
      <c r="B6058" s="266">
        <f>IFERROR(__xludf.DUMMYFUNCTION("""COMPUTED_VALUE"""),45706.0)</f>
        <v>45706</v>
      </c>
      <c r="C6058" s="266" t="str">
        <f>IFERROR(__xludf.DUMMYFUNCTION("""COMPUTED_VALUE"""),"KERTASARI CIAMIS")</f>
        <v>KERTASARI CIAMIS</v>
      </c>
      <c r="D6058" s="186">
        <f>IFERROR(__xludf.DUMMYFUNCTION("""COMPUTED_VALUE"""),100.0)</f>
        <v>100</v>
      </c>
    </row>
    <row r="6059">
      <c r="A6059" s="178" t="str">
        <f>IFERROR(__xludf.DUMMYFUNCTION("""COMPUTED_VALUE"""),"ITBISA-IC-NE555P-DIP8")</f>
        <v>ITBISA-IC-NE555P-DIP8</v>
      </c>
      <c r="B6059" s="266">
        <f>IFERROR(__xludf.DUMMYFUNCTION("""COMPUTED_VALUE"""),45707.0)</f>
        <v>45707</v>
      </c>
      <c r="C6059" s="266" t="str">
        <f>IFERROR(__xludf.DUMMYFUNCTION("""COMPUTED_VALUE"""),"KERTASARI CIAMIS")</f>
        <v>KERTASARI CIAMIS</v>
      </c>
      <c r="D6059" s="186">
        <f>IFERROR(__xludf.DUMMYFUNCTION("""COMPUTED_VALUE"""),100.0)</f>
        <v>100</v>
      </c>
    </row>
    <row r="6060">
      <c r="A6060" s="178" t="str">
        <f>IFERROR(__xludf.DUMMYFUNCTION("""COMPUTED_VALUE"""),"ITBISA-IC-NE555P-DIP8")</f>
        <v>ITBISA-IC-NE555P-DIP8</v>
      </c>
      <c r="B6060" s="266">
        <f>IFERROR(__xludf.DUMMYFUNCTION("""COMPUTED_VALUE"""),45707.0)</f>
        <v>45707</v>
      </c>
      <c r="C6060" s="266" t="str">
        <f>IFERROR(__xludf.DUMMYFUNCTION("""COMPUTED_VALUE"""),"KYAI KONTONG")</f>
        <v>KYAI KONTONG</v>
      </c>
      <c r="D6060" s="186">
        <f>IFERROR(__xludf.DUMMYFUNCTION("""COMPUTED_VALUE"""),50.0)</f>
        <v>50</v>
      </c>
    </row>
    <row r="6061">
      <c r="A6061" s="178" t="str">
        <f>IFERROR(__xludf.DUMMYFUNCTION("""COMPUTED_VALUE"""),"ITBISA-IC-NE555P-DIP8")</f>
        <v>ITBISA-IC-NE555P-DIP8</v>
      </c>
      <c r="B6061" s="266">
        <f>IFERROR(__xludf.DUMMYFUNCTION("""COMPUTED_VALUE"""),45708.0)</f>
        <v>45708</v>
      </c>
      <c r="C6061" s="266" t="str">
        <f>IFERROR(__xludf.DUMMYFUNCTION("""COMPUTED_VALUE"""),"KYAI KONTONG")</f>
        <v>KYAI KONTONG</v>
      </c>
      <c r="D6061" s="186">
        <f>IFERROR(__xludf.DUMMYFUNCTION("""COMPUTED_VALUE"""),20.0)</f>
        <v>20</v>
      </c>
    </row>
    <row r="6062">
      <c r="A6062" s="178" t="str">
        <f>IFERROR(__xludf.DUMMYFUNCTION("""COMPUTED_VALUE"""),"ITBISA-IC-NE555P-DIP8")</f>
        <v>ITBISA-IC-NE555P-DIP8</v>
      </c>
      <c r="B6062" s="266">
        <f>IFERROR(__xludf.DUMMYFUNCTION("""COMPUTED_VALUE"""),45711.0)</f>
        <v>45711</v>
      </c>
      <c r="C6062" s="266" t="str">
        <f>IFERROR(__xludf.DUMMYFUNCTION("""COMPUTED_VALUE"""),"KERTASARI CIAMIS")</f>
        <v>KERTASARI CIAMIS</v>
      </c>
      <c r="D6062" s="186">
        <f>IFERROR(__xludf.DUMMYFUNCTION("""COMPUTED_VALUE"""),82.0)</f>
        <v>82</v>
      </c>
    </row>
    <row r="6063">
      <c r="A6063" s="178" t="str">
        <f>IFERROR(__xludf.DUMMYFUNCTION("""COMPUTED_VALUE"""),"ITBISA-IC-NE555P-DIP8")</f>
        <v>ITBISA-IC-NE555P-DIP8</v>
      </c>
      <c r="B6063" s="266">
        <f>IFERROR(__xludf.DUMMYFUNCTION("""COMPUTED_VALUE"""),45712.0)</f>
        <v>45712</v>
      </c>
      <c r="C6063" s="266" t="str">
        <f>IFERROR(__xludf.DUMMYFUNCTION("""COMPUTED_VALUE"""),"KERTASARI CIAMIS")</f>
        <v>KERTASARI CIAMIS</v>
      </c>
      <c r="D6063" s="186">
        <f>IFERROR(__xludf.DUMMYFUNCTION("""COMPUTED_VALUE"""),100.0)</f>
        <v>100</v>
      </c>
    </row>
    <row r="6064">
      <c r="A6064" s="178" t="str">
        <f>IFERROR(__xludf.DUMMYFUNCTION("""COMPUTED_VALUE"""),"ITBISA-IC-NE555P-DIP8")</f>
        <v>ITBISA-IC-NE555P-DIP8</v>
      </c>
      <c r="B6064" s="266">
        <f>IFERROR(__xludf.DUMMYFUNCTION("""COMPUTED_VALUE"""),45715.0)</f>
        <v>45715</v>
      </c>
      <c r="C6064" s="266" t="str">
        <f>IFERROR(__xludf.DUMMYFUNCTION("""COMPUTED_VALUE"""),"KERTASARI CIAMIS")</f>
        <v>KERTASARI CIAMIS</v>
      </c>
      <c r="D6064" s="186">
        <f>IFERROR(__xludf.DUMMYFUNCTION("""COMPUTED_VALUE"""),95.0)</f>
        <v>95</v>
      </c>
    </row>
    <row r="6065">
      <c r="A6065" s="178" t="str">
        <f>IFERROR(__xludf.DUMMYFUNCTION("""COMPUTED_VALUE"""),"ITBISA-IC-NE555P-DIP8")</f>
        <v>ITBISA-IC-NE555P-DIP8</v>
      </c>
      <c r="B6065" s="266">
        <f>IFERROR(__xludf.DUMMYFUNCTION("""COMPUTED_VALUE"""),45717.0)</f>
        <v>45717</v>
      </c>
      <c r="C6065" s="266" t="str">
        <f>IFERROR(__xludf.DUMMYFUNCTION("""COMPUTED_VALUE"""),"KERTASARI CIAMIS")</f>
        <v>KERTASARI CIAMIS</v>
      </c>
      <c r="D6065" s="186">
        <f>IFERROR(__xludf.DUMMYFUNCTION("""COMPUTED_VALUE"""),15.0)</f>
        <v>15</v>
      </c>
    </row>
    <row r="6066">
      <c r="A6066" s="178" t="str">
        <f>IFERROR(__xludf.DUMMYFUNCTION("""COMPUTED_VALUE"""),"ITBISA-IC-NE555P-DIP8")</f>
        <v>ITBISA-IC-NE555P-DIP8</v>
      </c>
      <c r="B6066" s="266">
        <f>IFERROR(__xludf.DUMMYFUNCTION("""COMPUTED_VALUE"""),45717.0)</f>
        <v>45717</v>
      </c>
      <c r="C6066" s="266" t="str">
        <f>IFERROR(__xludf.DUMMYFUNCTION("""COMPUTED_VALUE"""),"KERTASARI CIAMIS")</f>
        <v>KERTASARI CIAMIS</v>
      </c>
      <c r="D6066" s="186">
        <f>IFERROR(__xludf.DUMMYFUNCTION("""COMPUTED_VALUE"""),50.0)</f>
        <v>50</v>
      </c>
    </row>
    <row r="6067">
      <c r="A6067" s="178" t="str">
        <f>IFERROR(__xludf.DUMMYFUNCTION("""COMPUTED_VALUE"""),"ITBISA-IC-NE555P-DIP8")</f>
        <v>ITBISA-IC-NE555P-DIP8</v>
      </c>
      <c r="B6067" s="266">
        <f>IFERROR(__xludf.DUMMYFUNCTION("""COMPUTED_VALUE"""),45719.0)</f>
        <v>45719</v>
      </c>
      <c r="C6067" s="266" t="str">
        <f>IFERROR(__xludf.DUMMYFUNCTION("""COMPUTED_VALUE"""),"KERTASARI CIAMIS")</f>
        <v>KERTASARI CIAMIS</v>
      </c>
      <c r="D6067" s="186">
        <f>IFERROR(__xludf.DUMMYFUNCTION("""COMPUTED_VALUE"""),100.0)</f>
        <v>100</v>
      </c>
    </row>
    <row r="6068">
      <c r="A6068" s="178" t="str">
        <f>IFERROR(__xludf.DUMMYFUNCTION("""COMPUTED_VALUE"""),"ITBISA-IC-NE555P-DIP8")</f>
        <v>ITBISA-IC-NE555P-DIP8</v>
      </c>
      <c r="B6068" s="266">
        <f>IFERROR(__xludf.DUMMYFUNCTION("""COMPUTED_VALUE"""),45722.0)</f>
        <v>45722</v>
      </c>
      <c r="C6068" s="266" t="str">
        <f>IFERROR(__xludf.DUMMYFUNCTION("""COMPUTED_VALUE"""),"KYAI KONTONG")</f>
        <v>KYAI KONTONG</v>
      </c>
      <c r="D6068" s="186">
        <f>IFERROR(__xludf.DUMMYFUNCTION("""COMPUTED_VALUE"""),10.0)</f>
        <v>10</v>
      </c>
    </row>
    <row r="6069">
      <c r="A6069" s="178" t="str">
        <f>IFERROR(__xludf.DUMMYFUNCTION("""COMPUTED_VALUE"""),"ITBISA-IC-NE555P-DIP8")</f>
        <v>ITBISA-IC-NE555P-DIP8</v>
      </c>
      <c r="B6069" s="266">
        <f>IFERROR(__xludf.DUMMYFUNCTION("""COMPUTED_VALUE"""),45726.0)</f>
        <v>45726</v>
      </c>
      <c r="C6069" s="266" t="str">
        <f>IFERROR(__xludf.DUMMYFUNCTION("""COMPUTED_VALUE"""),"KERTASARI CIAMIS")</f>
        <v>KERTASARI CIAMIS</v>
      </c>
      <c r="D6069" s="186">
        <f>IFERROR(__xludf.DUMMYFUNCTION("""COMPUTED_VALUE"""),30.0)</f>
        <v>30</v>
      </c>
    </row>
    <row r="6070">
      <c r="A6070" s="178" t="str">
        <f>IFERROR(__xludf.DUMMYFUNCTION("""COMPUTED_VALUE"""),"ITBISA-IC-NE555P-DIP8")</f>
        <v>ITBISA-IC-NE555P-DIP8</v>
      </c>
      <c r="B6070" s="266">
        <f>IFERROR(__xludf.DUMMYFUNCTION("""COMPUTED_VALUE"""),45728.0)</f>
        <v>45728</v>
      </c>
      <c r="C6070" s="266" t="str">
        <f>IFERROR(__xludf.DUMMYFUNCTION("""COMPUTED_VALUE"""),"KYAI KONTONG")</f>
        <v>KYAI KONTONG</v>
      </c>
      <c r="D6070" s="186">
        <f>IFERROR(__xludf.DUMMYFUNCTION("""COMPUTED_VALUE"""),100.0)</f>
        <v>100</v>
      </c>
    </row>
    <row r="6071">
      <c r="A6071" s="178" t="str">
        <f>IFERROR(__xludf.DUMMYFUNCTION("""COMPUTED_VALUE"""),"ITBISA-IC-NE555P-DIP8")</f>
        <v>ITBISA-IC-NE555P-DIP8</v>
      </c>
      <c r="B6071" s="266">
        <f>IFERROR(__xludf.DUMMYFUNCTION("""COMPUTED_VALUE"""),45729.0)</f>
        <v>45729</v>
      </c>
      <c r="C6071" s="266" t="str">
        <f>IFERROR(__xludf.DUMMYFUNCTION("""COMPUTED_VALUE"""),"KYAI KONTONG")</f>
        <v>KYAI KONTONG</v>
      </c>
      <c r="D6071" s="186">
        <f>IFERROR(__xludf.DUMMYFUNCTION("""COMPUTED_VALUE"""),300.0)</f>
        <v>300</v>
      </c>
    </row>
    <row r="6072">
      <c r="A6072" s="178" t="str">
        <f>IFERROR(__xludf.DUMMYFUNCTION("""COMPUTED_VALUE"""),"ITBISA-IC-NE555P-DIP8")</f>
        <v>ITBISA-IC-NE555P-DIP8</v>
      </c>
      <c r="B6072" s="266">
        <f>IFERROR(__xludf.DUMMYFUNCTION("""COMPUTED_VALUE"""),45731.0)</f>
        <v>45731</v>
      </c>
      <c r="C6072" s="266" t="str">
        <f>IFERROR(__xludf.DUMMYFUNCTION("""COMPUTED_VALUE"""),"KYAI KONTONG")</f>
        <v>KYAI KONTONG</v>
      </c>
      <c r="D6072" s="186">
        <f>IFERROR(__xludf.DUMMYFUNCTION("""COMPUTED_VALUE"""),40.0)</f>
        <v>40</v>
      </c>
    </row>
    <row r="6073">
      <c r="A6073" s="178" t="str">
        <f>IFERROR(__xludf.DUMMYFUNCTION("""COMPUTED_VALUE"""),"ITBISA-IC-NE555P-DIP8")</f>
        <v>ITBISA-IC-NE555P-DIP8</v>
      </c>
      <c r="B6073" s="266">
        <f>IFERROR(__xludf.DUMMYFUNCTION("""COMPUTED_VALUE"""),45733.0)</f>
        <v>45733</v>
      </c>
      <c r="C6073" s="266" t="str">
        <f>IFERROR(__xludf.DUMMYFUNCTION("""COMPUTED_VALUE"""),"KYAI KONTONG")</f>
        <v>KYAI KONTONG</v>
      </c>
      <c r="D6073" s="186">
        <f>IFERROR(__xludf.DUMMYFUNCTION("""COMPUTED_VALUE"""),60.0)</f>
        <v>60</v>
      </c>
    </row>
    <row r="6074">
      <c r="A6074" s="178" t="str">
        <f>IFERROR(__xludf.DUMMYFUNCTION("""COMPUTED_VALUE"""),"ITBISA-IC-NE555P-DIP8")</f>
        <v>ITBISA-IC-NE555P-DIP8</v>
      </c>
      <c r="B6074" s="266">
        <f>IFERROR(__xludf.DUMMYFUNCTION("""COMPUTED_VALUE"""),45735.0)</f>
        <v>45735</v>
      </c>
      <c r="C6074" s="266" t="str">
        <f>IFERROR(__xludf.DUMMYFUNCTION("""COMPUTED_VALUE"""),"KERTASARI CIAMIS")</f>
        <v>KERTASARI CIAMIS</v>
      </c>
      <c r="D6074" s="186">
        <f>IFERROR(__xludf.DUMMYFUNCTION("""COMPUTED_VALUE"""),10.0)</f>
        <v>10</v>
      </c>
    </row>
    <row r="6075">
      <c r="A6075" s="178" t="str">
        <f>IFERROR(__xludf.DUMMYFUNCTION("""COMPUTED_VALUE"""),"ITBISA-IC-NE555P-DIP8")</f>
        <v>ITBISA-IC-NE555P-DIP8</v>
      </c>
      <c r="B6075" s="266">
        <f>IFERROR(__xludf.DUMMYFUNCTION("""COMPUTED_VALUE"""),45793.0)</f>
        <v>45793</v>
      </c>
      <c r="C6075" s="266" t="str">
        <f>IFERROR(__xludf.DUMMYFUNCTION("""COMPUTED_VALUE"""),"KERTASARI CIAMIS")</f>
        <v>KERTASARI CIAMIS</v>
      </c>
      <c r="D6075" s="186">
        <f>IFERROR(__xludf.DUMMYFUNCTION("""COMPUTED_VALUE"""),250.0)</f>
        <v>250</v>
      </c>
    </row>
    <row r="6076">
      <c r="A6076" s="178" t="str">
        <f>IFERROR(__xludf.DUMMYFUNCTION("""COMPUTED_VALUE"""),"ITBISA-IC-NE555P-DIP8")</f>
        <v>ITBISA-IC-NE555P-DIP8</v>
      </c>
      <c r="B6076" s="266">
        <f>IFERROR(__xludf.DUMMYFUNCTION("""COMPUTED_VALUE"""),45802.0)</f>
        <v>45802</v>
      </c>
      <c r="C6076" s="266" t="str">
        <f>IFERROR(__xludf.DUMMYFUNCTION("""COMPUTED_VALUE"""),"KERTASARI CIAMIS")</f>
        <v>KERTASARI CIAMIS</v>
      </c>
      <c r="D6076" s="186">
        <f>IFERROR(__xludf.DUMMYFUNCTION("""COMPUTED_VALUE"""),200.0)</f>
        <v>200</v>
      </c>
    </row>
    <row r="6077">
      <c r="A6077" s="178" t="str">
        <f>IFERROR(__xludf.DUMMYFUNCTION("""COMPUTED_VALUE"""),"ITBISA-IC-NE555P-DIP8")</f>
        <v>ITBISA-IC-NE555P-DIP8</v>
      </c>
      <c r="B6077" s="266">
        <f>IFERROR(__xludf.DUMMYFUNCTION("""COMPUTED_VALUE"""),45802.0)</f>
        <v>45802</v>
      </c>
      <c r="C6077" s="266" t="str">
        <f>IFERROR(__xludf.DUMMYFUNCTION("""COMPUTED_VALUE"""),"KYAI KONTONG")</f>
        <v>KYAI KONTONG</v>
      </c>
      <c r="D6077" s="186">
        <f>IFERROR(__xludf.DUMMYFUNCTION("""COMPUTED_VALUE"""),10.0)</f>
        <v>10</v>
      </c>
    </row>
    <row r="6078">
      <c r="A6078" s="178" t="str">
        <f>IFERROR(__xludf.DUMMYFUNCTION("""COMPUTED_VALUE"""),"ITBISA-IC-NE555P-DIP8")</f>
        <v>ITBISA-IC-NE555P-DIP8</v>
      </c>
      <c r="B6078" s="266">
        <f>IFERROR(__xludf.DUMMYFUNCTION("""COMPUTED_VALUE"""),45817.0)</f>
        <v>45817</v>
      </c>
      <c r="C6078" s="266" t="str">
        <f>IFERROR(__xludf.DUMMYFUNCTION("""COMPUTED_VALUE"""),"KYAI KONTONG")</f>
        <v>KYAI KONTONG</v>
      </c>
      <c r="D6078" s="186">
        <f>IFERROR(__xludf.DUMMYFUNCTION("""COMPUTED_VALUE"""),140.0)</f>
        <v>140</v>
      </c>
    </row>
    <row r="6079">
      <c r="A6079" s="178" t="str">
        <f>IFERROR(__xludf.DUMMYFUNCTION("""COMPUTED_VALUE"""),"ITBISA-IC-NE555P-DIP8")</f>
        <v>ITBISA-IC-NE555P-DIP8</v>
      </c>
      <c r="B6079" s="266">
        <f>IFERROR(__xludf.DUMMYFUNCTION("""COMPUTED_VALUE"""),45822.0)</f>
        <v>45822</v>
      </c>
      <c r="C6079" s="266" t="str">
        <f>IFERROR(__xludf.DUMMYFUNCTION("""COMPUTED_VALUE"""),"KERTASARI CIAMIS")</f>
        <v>KERTASARI CIAMIS</v>
      </c>
      <c r="D6079" s="186">
        <f>IFERROR(__xludf.DUMMYFUNCTION("""COMPUTED_VALUE"""),300.0)</f>
        <v>300</v>
      </c>
    </row>
    <row r="6080">
      <c r="A6080" s="178" t="str">
        <f>IFERROR(__xludf.DUMMYFUNCTION("""COMPUTED_VALUE"""),"ITBISA-IC-NE555P-DIP8")</f>
        <v>ITBISA-IC-NE555P-DIP8</v>
      </c>
      <c r="B6080" s="266">
        <f>IFERROR(__xludf.DUMMYFUNCTION("""COMPUTED_VALUE"""),45932.0)</f>
        <v>45932</v>
      </c>
      <c r="C6080" s="266" t="str">
        <f>IFERROR(__xludf.DUMMYFUNCTION("""COMPUTED_VALUE"""),"KYAI KONTONG")</f>
        <v>KYAI KONTONG</v>
      </c>
      <c r="D6080" s="186">
        <f>IFERROR(__xludf.DUMMYFUNCTION("""COMPUTED_VALUE"""),6.0)</f>
        <v>6</v>
      </c>
    </row>
    <row r="6081">
      <c r="A6081" s="178" t="str">
        <f>IFERROR(__xludf.DUMMYFUNCTION("""COMPUTED_VALUE"""),"ITBISA-IC-NE555P-DIP8")</f>
        <v>ITBISA-IC-NE555P-DIP8</v>
      </c>
      <c r="B6081" s="266">
        <f>IFERROR(__xludf.DUMMYFUNCTION("""COMPUTED_VALUE"""),45936.0)</f>
        <v>45936</v>
      </c>
      <c r="C6081" s="266" t="str">
        <f>IFERROR(__xludf.DUMMYFUNCTION("""COMPUTED_VALUE"""),"KERTASARI CIAMIS")</f>
        <v>KERTASARI CIAMIS</v>
      </c>
      <c r="D6081" s="186">
        <f>IFERROR(__xludf.DUMMYFUNCTION("""COMPUTED_VALUE"""),50.0)</f>
        <v>50</v>
      </c>
    </row>
    <row r="6082">
      <c r="A6082" s="178" t="str">
        <f>IFERROR(__xludf.DUMMYFUNCTION("""COMPUTED_VALUE"""),"ITBISA-IC-NE555P-DIP8")</f>
        <v>ITBISA-IC-NE555P-DIP8</v>
      </c>
      <c r="B6082" s="266">
        <f>IFERROR(__xludf.DUMMYFUNCTION("""COMPUTED_VALUE"""),45940.0)</f>
        <v>45940</v>
      </c>
      <c r="C6082" s="266" t="str">
        <f>IFERROR(__xludf.DUMMYFUNCTION("""COMPUTED_VALUE"""),"KYAI KONTONG")</f>
        <v>KYAI KONTONG</v>
      </c>
      <c r="D6082" s="186">
        <f>IFERROR(__xludf.DUMMYFUNCTION("""COMPUTED_VALUE"""),10.0)</f>
        <v>10</v>
      </c>
    </row>
    <row r="6083">
      <c r="A6083" s="178" t="str">
        <f>IFERROR(__xludf.DUMMYFUNCTION("""COMPUTED_VALUE"""),"ITBISA-IC-NE555P-DIP8")</f>
        <v>ITBISA-IC-NE555P-DIP8</v>
      </c>
      <c r="B6083" s="266">
        <f>IFERROR(__xludf.DUMMYFUNCTION("""COMPUTED_VALUE"""),45941.0)</f>
        <v>45941</v>
      </c>
      <c r="C6083" s="266" t="str">
        <f>IFERROR(__xludf.DUMMYFUNCTION("""COMPUTED_VALUE"""),"KERTASARI CIAMIS")</f>
        <v>KERTASARI CIAMIS</v>
      </c>
      <c r="D6083" s="186">
        <f>IFERROR(__xludf.DUMMYFUNCTION("""COMPUTED_VALUE"""),150.0)</f>
        <v>150</v>
      </c>
    </row>
    <row r="6084">
      <c r="A6084" s="178" t="str">
        <f>IFERROR(__xludf.DUMMYFUNCTION("""COMPUTED_VALUE"""),"ITBISA-IC-NE555P-DIP8")</f>
        <v>ITBISA-IC-NE555P-DIP8</v>
      </c>
      <c r="B6084" s="266">
        <f>IFERROR(__xludf.DUMMYFUNCTION("""COMPUTED_VALUE"""),45945.0)</f>
        <v>45945</v>
      </c>
      <c r="C6084" s="266" t="str">
        <f>IFERROR(__xludf.DUMMYFUNCTION("""COMPUTED_VALUE"""),"KYAI KONTONG")</f>
        <v>KYAI KONTONG</v>
      </c>
      <c r="D6084" s="186">
        <f>IFERROR(__xludf.DUMMYFUNCTION("""COMPUTED_VALUE"""),50.0)</f>
        <v>50</v>
      </c>
    </row>
    <row r="6085">
      <c r="A6085" s="178" t="str">
        <f>IFERROR(__xludf.DUMMYFUNCTION("""COMPUTED_VALUE"""),"ITBISA-IC-NE555P-DIP8")</f>
        <v>ITBISA-IC-NE555P-DIP8</v>
      </c>
      <c r="B6085" s="266">
        <f>IFERROR(__xludf.DUMMYFUNCTION("""COMPUTED_VALUE"""),45948.0)</f>
        <v>45948</v>
      </c>
      <c r="C6085" s="266" t="str">
        <f>IFERROR(__xludf.DUMMYFUNCTION("""COMPUTED_VALUE"""),"KYAI KONTONG")</f>
        <v>KYAI KONTONG</v>
      </c>
      <c r="D6085" s="186">
        <f>IFERROR(__xludf.DUMMYFUNCTION("""COMPUTED_VALUE"""),80.0)</f>
        <v>80</v>
      </c>
    </row>
    <row r="6086">
      <c r="A6086" s="178" t="str">
        <f>IFERROR(__xludf.DUMMYFUNCTION("""COMPUTED_VALUE"""),"ITBISA-IC-NE555P-DIP8")</f>
        <v>ITBISA-IC-NE555P-DIP8</v>
      </c>
      <c r="B6086" s="266">
        <f>IFERROR(__xludf.DUMMYFUNCTION("""COMPUTED_VALUE"""),45952.0)</f>
        <v>45952</v>
      </c>
      <c r="C6086" s="266" t="str">
        <f>IFERROR(__xludf.DUMMYFUNCTION("""COMPUTED_VALUE"""),"KYAI KONTONG")</f>
        <v>KYAI KONTONG</v>
      </c>
      <c r="D6086" s="186">
        <f>IFERROR(__xludf.DUMMYFUNCTION("""COMPUTED_VALUE"""),5.0)</f>
        <v>5</v>
      </c>
    </row>
    <row r="6087">
      <c r="A6087" s="178" t="str">
        <f>IFERROR(__xludf.DUMMYFUNCTION("""COMPUTED_VALUE"""),"ITBISA-IC-NE555P-DIP8")</f>
        <v>ITBISA-IC-NE555P-DIP8</v>
      </c>
      <c r="B6087" s="266">
        <f>IFERROR(__xludf.DUMMYFUNCTION("""COMPUTED_VALUE"""),45957.0)</f>
        <v>45957</v>
      </c>
      <c r="C6087" s="266" t="str">
        <f>IFERROR(__xludf.DUMMYFUNCTION("""COMPUTED_VALUE"""),"KERTASARI CIAMIS")</f>
        <v>KERTASARI CIAMIS</v>
      </c>
      <c r="D6087" s="186">
        <f>IFERROR(__xludf.DUMMYFUNCTION("""COMPUTED_VALUE"""),150.0)</f>
        <v>150</v>
      </c>
    </row>
    <row r="6088">
      <c r="A6088" s="178" t="str">
        <f>IFERROR(__xludf.DUMMYFUNCTION("""COMPUTED_VALUE"""),"ITBISA-IC-NE555P-DIP8")</f>
        <v>ITBISA-IC-NE555P-DIP8</v>
      </c>
      <c r="B6088" s="266">
        <f>IFERROR(__xludf.DUMMYFUNCTION("""COMPUTED_VALUE"""),45959.0)</f>
        <v>45959</v>
      </c>
      <c r="C6088" s="266" t="str">
        <f>IFERROR(__xludf.DUMMYFUNCTION("""COMPUTED_VALUE"""),"KERTASARI CIAMIS")</f>
        <v>KERTASARI CIAMIS</v>
      </c>
      <c r="D6088" s="186">
        <f>IFERROR(__xludf.DUMMYFUNCTION("""COMPUTED_VALUE"""),150.0)</f>
        <v>150</v>
      </c>
    </row>
    <row r="6089">
      <c r="A6089" s="178" t="str">
        <f>IFERROR(__xludf.DUMMYFUNCTION("""COMPUTED_VALUE"""),"ITBISA-IC-NE555P-DIP8")</f>
        <v>ITBISA-IC-NE555P-DIP8</v>
      </c>
      <c r="B6089" s="266">
        <f>IFERROR(__xludf.DUMMYFUNCTION("""COMPUTED_VALUE"""),45960.0)</f>
        <v>45960</v>
      </c>
      <c r="C6089" s="266" t="str">
        <f>IFERROR(__xludf.DUMMYFUNCTION("""COMPUTED_VALUE"""),"KYAI KONTONG")</f>
        <v>KYAI KONTONG</v>
      </c>
      <c r="D6089" s="186">
        <f>IFERROR(__xludf.DUMMYFUNCTION("""COMPUTED_VALUE"""),6.0)</f>
        <v>6</v>
      </c>
    </row>
    <row r="6090">
      <c r="A6090" s="178" t="str">
        <f>IFERROR(__xludf.DUMMYFUNCTION("""COMPUTED_VALUE"""),"ITBISA-IC-NE555P-DIP8")</f>
        <v>ITBISA-IC-NE555P-DIP8</v>
      </c>
      <c r="B6090" s="266">
        <f>IFERROR(__xludf.DUMMYFUNCTION("""COMPUTED_VALUE"""),45960.0)</f>
        <v>45960</v>
      </c>
      <c r="C6090" s="266" t="str">
        <f>IFERROR(__xludf.DUMMYFUNCTION("""COMPUTED_VALUE"""),"KYAI KONTONG")</f>
        <v>KYAI KONTONG</v>
      </c>
      <c r="D6090" s="186">
        <f>IFERROR(__xludf.DUMMYFUNCTION("""COMPUTED_VALUE"""),30.0)</f>
        <v>30</v>
      </c>
    </row>
    <row r="6091">
      <c r="A6091" s="178" t="str">
        <f>IFERROR(__xludf.DUMMYFUNCTION("""COMPUTED_VALUE"""),"ITBISA-IC-NE555P-DIP8")</f>
        <v>ITBISA-IC-NE555P-DIP8</v>
      </c>
      <c r="B6091" s="266">
        <f>IFERROR(__xludf.DUMMYFUNCTION("""COMPUTED_VALUE"""),45966.0)</f>
        <v>45966</v>
      </c>
      <c r="C6091" s="266" t="str">
        <f>IFERROR(__xludf.DUMMYFUNCTION("""COMPUTED_VALUE"""),"KERTASARI CIAMIS")</f>
        <v>KERTASARI CIAMIS</v>
      </c>
      <c r="D6091" s="186">
        <f>IFERROR(__xludf.DUMMYFUNCTION("""COMPUTED_VALUE"""),50.0)</f>
        <v>50</v>
      </c>
    </row>
    <row r="6092">
      <c r="A6092" s="178" t="str">
        <f>IFERROR(__xludf.DUMMYFUNCTION("""COMPUTED_VALUE"""),"ITBISA-IC-NE555P-DIP8")</f>
        <v>ITBISA-IC-NE555P-DIP8</v>
      </c>
      <c r="B6092" s="266">
        <f>IFERROR(__xludf.DUMMYFUNCTION("""COMPUTED_VALUE"""),45966.0)</f>
        <v>45966</v>
      </c>
      <c r="C6092" s="266" t="str">
        <f>IFERROR(__xludf.DUMMYFUNCTION("""COMPUTED_VALUE"""),"KYAI KONTONG")</f>
        <v>KYAI KONTONG</v>
      </c>
      <c r="D6092" s="186">
        <f>IFERROR(__xludf.DUMMYFUNCTION("""COMPUTED_VALUE"""),6.0)</f>
        <v>6</v>
      </c>
    </row>
    <row r="6093">
      <c r="A6093" s="178" t="str">
        <f>IFERROR(__xludf.DUMMYFUNCTION("""COMPUTED_VALUE"""),"ITBISA-IC-NE555P-DIP8")</f>
        <v>ITBISA-IC-NE555P-DIP8</v>
      </c>
      <c r="B6093" s="266">
        <f>IFERROR(__xludf.DUMMYFUNCTION("""COMPUTED_VALUE"""),45967.0)</f>
        <v>45967</v>
      </c>
      <c r="C6093" s="266" t="str">
        <f>IFERROR(__xludf.DUMMYFUNCTION("""COMPUTED_VALUE"""),"KYAI KONTONG")</f>
        <v>KYAI KONTONG</v>
      </c>
      <c r="D6093" s="186">
        <f>IFERROR(__xludf.DUMMYFUNCTION("""COMPUTED_VALUE"""),6.0)</f>
        <v>6</v>
      </c>
    </row>
    <row r="6094">
      <c r="A6094" s="178" t="str">
        <f>IFERROR(__xludf.DUMMYFUNCTION("""COMPUTED_VALUE"""),"ITBISA-IC-NE555P-DIP8")</f>
        <v>ITBISA-IC-NE555P-DIP8</v>
      </c>
      <c r="B6094" s="266">
        <f>IFERROR(__xludf.DUMMYFUNCTION("""COMPUTED_VALUE"""),45971.0)</f>
        <v>45971</v>
      </c>
      <c r="C6094" s="266" t="str">
        <f>IFERROR(__xludf.DUMMYFUNCTION("""COMPUTED_VALUE"""),"KYAI KONTONG")</f>
        <v>KYAI KONTONG</v>
      </c>
      <c r="D6094" s="186">
        <f>IFERROR(__xludf.DUMMYFUNCTION("""COMPUTED_VALUE"""),150.0)</f>
        <v>150</v>
      </c>
    </row>
    <row r="6095">
      <c r="A6095" s="178" t="str">
        <f>IFERROR(__xludf.DUMMYFUNCTION("""COMPUTED_VALUE"""),"ITBISA-IC-NE555P-DIP8")</f>
        <v>ITBISA-IC-NE555P-DIP8</v>
      </c>
      <c r="B6095" s="266">
        <f>IFERROR(__xludf.DUMMYFUNCTION("""COMPUTED_VALUE"""),45977.0)</f>
        <v>45977</v>
      </c>
      <c r="C6095" s="266" t="str">
        <f>IFERROR(__xludf.DUMMYFUNCTION("""COMPUTED_VALUE"""),"KERTASARI CIAMIS")</f>
        <v>KERTASARI CIAMIS</v>
      </c>
      <c r="D6095" s="186">
        <f>IFERROR(__xludf.DUMMYFUNCTION("""COMPUTED_VALUE"""),8.0)</f>
        <v>8</v>
      </c>
    </row>
    <row r="6096">
      <c r="A6096" s="178" t="str">
        <f>IFERROR(__xludf.DUMMYFUNCTION("""COMPUTED_VALUE"""),"ITBISA-IC-NE555P-DIP8")</f>
        <v>ITBISA-IC-NE555P-DIP8</v>
      </c>
      <c r="B6096" s="266">
        <f>IFERROR(__xludf.DUMMYFUNCTION("""COMPUTED_VALUE"""),45978.0)</f>
        <v>45978</v>
      </c>
      <c r="C6096" s="266" t="str">
        <f>IFERROR(__xludf.DUMMYFUNCTION("""COMPUTED_VALUE"""),"KERTASARI CIAMIS")</f>
        <v>KERTASARI CIAMIS</v>
      </c>
      <c r="D6096" s="186">
        <f>IFERROR(__xludf.DUMMYFUNCTION("""COMPUTED_VALUE"""),100.0)</f>
        <v>100</v>
      </c>
    </row>
    <row r="6097">
      <c r="A6097" s="178" t="str">
        <f>IFERROR(__xludf.DUMMYFUNCTION("""COMPUTED_VALUE"""),"ITBISA-IC-NE555P-DIP8")</f>
        <v>ITBISA-IC-NE555P-DIP8</v>
      </c>
      <c r="B6097" s="266">
        <f>IFERROR(__xludf.DUMMYFUNCTION("""COMPUTED_VALUE"""),45979.0)</f>
        <v>45979</v>
      </c>
      <c r="C6097" s="266" t="str">
        <f>IFERROR(__xludf.DUMMYFUNCTION("""COMPUTED_VALUE"""),"KERTASARI CIAMIS")</f>
        <v>KERTASARI CIAMIS</v>
      </c>
      <c r="D6097" s="186">
        <f>IFERROR(__xludf.DUMMYFUNCTION("""COMPUTED_VALUE"""),6.0)</f>
        <v>6</v>
      </c>
    </row>
    <row r="6098">
      <c r="A6098" s="178" t="str">
        <f>IFERROR(__xludf.DUMMYFUNCTION("""COMPUTED_VALUE"""),"ITBISA-IC-NE555P-DIP8")</f>
        <v>ITBISA-IC-NE555P-DIP8</v>
      </c>
      <c r="B6098" s="266">
        <f>IFERROR(__xludf.DUMMYFUNCTION("""COMPUTED_VALUE"""),45980.0)</f>
        <v>45980</v>
      </c>
      <c r="C6098" s="266" t="str">
        <f>IFERROR(__xludf.DUMMYFUNCTION("""COMPUTED_VALUE"""),"KERTASARI CIAMIS")</f>
        <v>KERTASARI CIAMIS</v>
      </c>
      <c r="D6098" s="186">
        <f>IFERROR(__xludf.DUMMYFUNCTION("""COMPUTED_VALUE"""),8.0)</f>
        <v>8</v>
      </c>
    </row>
    <row r="6099">
      <c r="A6099" s="178" t="str">
        <f>IFERROR(__xludf.DUMMYFUNCTION("""COMPUTED_VALUE"""),"ITBISA-IC-NE555P-DIP8")</f>
        <v>ITBISA-IC-NE555P-DIP8</v>
      </c>
      <c r="B6099" s="266">
        <f>IFERROR(__xludf.DUMMYFUNCTION("""COMPUTED_VALUE"""),45981.0)</f>
        <v>45981</v>
      </c>
      <c r="C6099" s="266" t="str">
        <f>IFERROR(__xludf.DUMMYFUNCTION("""COMPUTED_VALUE"""),"KERTASARI CIAMIS")</f>
        <v>KERTASARI CIAMIS</v>
      </c>
      <c r="D6099" s="186">
        <f>IFERROR(__xludf.DUMMYFUNCTION("""COMPUTED_VALUE"""),200.0)</f>
        <v>200</v>
      </c>
    </row>
    <row r="6100">
      <c r="A6100" s="178" t="str">
        <f>IFERROR(__xludf.DUMMYFUNCTION("""COMPUTED_VALUE"""),"ITBISA-IC-NE555P-DIP8")</f>
        <v>ITBISA-IC-NE555P-DIP8</v>
      </c>
      <c r="B6100" s="266">
        <f>IFERROR(__xludf.DUMMYFUNCTION("""COMPUTED_VALUE"""),45984.0)</f>
        <v>45984</v>
      </c>
      <c r="C6100" s="266" t="str">
        <f>IFERROR(__xludf.DUMMYFUNCTION("""COMPUTED_VALUE"""),"KERTASARI CIAMIS")</f>
        <v>KERTASARI CIAMIS</v>
      </c>
      <c r="D6100" s="186">
        <f>IFERROR(__xludf.DUMMYFUNCTION("""COMPUTED_VALUE"""),10.0)</f>
        <v>10</v>
      </c>
    </row>
    <row r="6101">
      <c r="A6101" s="178" t="str">
        <f>IFERROR(__xludf.DUMMYFUNCTION("""COMPUTED_VALUE"""),"ITBISA-IC-NE555P-DIP8")</f>
        <v>ITBISA-IC-NE555P-DIP8</v>
      </c>
      <c r="B6101" s="266">
        <f>IFERROR(__xludf.DUMMYFUNCTION("""COMPUTED_VALUE"""),45986.0)</f>
        <v>45986</v>
      </c>
      <c r="C6101" s="266" t="str">
        <f>IFERROR(__xludf.DUMMYFUNCTION("""COMPUTED_VALUE"""),"KERTASARI CIAMIS")</f>
        <v>KERTASARI CIAMIS</v>
      </c>
      <c r="D6101" s="186">
        <f>IFERROR(__xludf.DUMMYFUNCTION("""COMPUTED_VALUE"""),1.0)</f>
        <v>1</v>
      </c>
    </row>
    <row r="6102">
      <c r="A6102" s="178" t="str">
        <f>IFERROR(__xludf.DUMMYFUNCTION("""COMPUTED_VALUE"""),"ITBISA-IC-NE555P-DIP8")</f>
        <v>ITBISA-IC-NE555P-DIP8</v>
      </c>
      <c r="B6102" s="266">
        <f>IFERROR(__xludf.DUMMYFUNCTION("""COMPUTED_VALUE"""),45987.0)</f>
        <v>45987</v>
      </c>
      <c r="C6102" s="266" t="str">
        <f>IFERROR(__xludf.DUMMYFUNCTION("""COMPUTED_VALUE"""),"KERTASARI CIAMIS")</f>
        <v>KERTASARI CIAMIS</v>
      </c>
      <c r="D6102" s="186">
        <f>IFERROR(__xludf.DUMMYFUNCTION("""COMPUTED_VALUE"""),20.0)</f>
        <v>20</v>
      </c>
    </row>
    <row r="6103">
      <c r="A6103" s="178" t="str">
        <f>IFERROR(__xludf.DUMMYFUNCTION("""COMPUTED_VALUE"""),"ITBISA-IC-NE555P-DIP8")</f>
        <v>ITBISA-IC-NE555P-DIP8</v>
      </c>
      <c r="B6103" s="266">
        <f>IFERROR(__xludf.DUMMYFUNCTION("""COMPUTED_VALUE"""),45991.0)</f>
        <v>45991</v>
      </c>
      <c r="C6103" s="266" t="str">
        <f>IFERROR(__xludf.DUMMYFUNCTION("""COMPUTED_VALUE"""),"KYAI KONTONG")</f>
        <v>KYAI KONTONG</v>
      </c>
      <c r="D6103" s="186">
        <f>IFERROR(__xludf.DUMMYFUNCTION("""COMPUTED_VALUE"""),5.0)</f>
        <v>5</v>
      </c>
    </row>
    <row r="6104">
      <c r="A6104" s="178" t="str">
        <f>IFERROR(__xludf.DUMMYFUNCTION("""COMPUTED_VALUE"""),"ITBISA-IC-NE555P-DIP8")</f>
        <v>ITBISA-IC-NE555P-DIP8</v>
      </c>
      <c r="B6104" s="266">
        <f>IFERROR(__xludf.DUMMYFUNCTION("""COMPUTED_VALUE"""),45991.0)</f>
        <v>45991</v>
      </c>
      <c r="C6104" s="266" t="str">
        <f>IFERROR(__xludf.DUMMYFUNCTION("""COMPUTED_VALUE"""),"KYAI KONTONG")</f>
        <v>KYAI KONTONG</v>
      </c>
      <c r="D6104" s="186">
        <f>IFERROR(__xludf.DUMMYFUNCTION("""COMPUTED_VALUE"""),50.0)</f>
        <v>50</v>
      </c>
    </row>
    <row r="6105">
      <c r="A6105" s="178" t="str">
        <f>IFERROR(__xludf.DUMMYFUNCTION("""COMPUTED_VALUE"""),"ITBISA-IC-NE555P-DIP8")</f>
        <v>ITBISA-IC-NE555P-DIP8</v>
      </c>
      <c r="B6105" s="266">
        <f>IFERROR(__xludf.DUMMYFUNCTION("""COMPUTED_VALUE"""),45992.0)</f>
        <v>45992</v>
      </c>
      <c r="C6105" s="266" t="str">
        <f>IFERROR(__xludf.DUMMYFUNCTION("""COMPUTED_VALUE"""),"KYAI KONTONG")</f>
        <v>KYAI KONTONG</v>
      </c>
      <c r="D6105" s="186">
        <f>IFERROR(__xludf.DUMMYFUNCTION("""COMPUTED_VALUE"""),5.0)</f>
        <v>5</v>
      </c>
    </row>
    <row r="6106">
      <c r="A6106" s="178" t="str">
        <f>IFERROR(__xludf.DUMMYFUNCTION("""COMPUTED_VALUE"""),"ITBISA-IC-NE555P-DIP8")</f>
        <v>ITBISA-IC-NE555P-DIP8</v>
      </c>
      <c r="B6106" s="266">
        <f>IFERROR(__xludf.DUMMYFUNCTION("""COMPUTED_VALUE"""),45992.0)</f>
        <v>45992</v>
      </c>
      <c r="C6106" s="266" t="str">
        <f>IFERROR(__xludf.DUMMYFUNCTION("""COMPUTED_VALUE"""),"KYAI KONTONG")</f>
        <v>KYAI KONTONG</v>
      </c>
      <c r="D6106" s="186">
        <f>IFERROR(__xludf.DUMMYFUNCTION("""COMPUTED_VALUE"""),50.0)</f>
        <v>50</v>
      </c>
    </row>
    <row r="6107">
      <c r="A6107" s="178" t="str">
        <f>IFERROR(__xludf.DUMMYFUNCTION("""COMPUTED_VALUE"""),"ITBISA-IC-NE555P-DIP8")</f>
        <v>ITBISA-IC-NE555P-DIP8</v>
      </c>
      <c r="B6107" s="266">
        <f>IFERROR(__xludf.DUMMYFUNCTION("""COMPUTED_VALUE"""),45993.0)</f>
        <v>45993</v>
      </c>
      <c r="C6107" s="266" t="str">
        <f>IFERROR(__xludf.DUMMYFUNCTION("""COMPUTED_VALUE"""),"KYAI KONTONG")</f>
        <v>KYAI KONTONG</v>
      </c>
      <c r="D6107" s="186">
        <f>IFERROR(__xludf.DUMMYFUNCTION("""COMPUTED_VALUE"""),200.0)</f>
        <v>200</v>
      </c>
    </row>
    <row r="6108">
      <c r="A6108" s="178" t="str">
        <f>IFERROR(__xludf.DUMMYFUNCTION("""COMPUTED_VALUE"""),"ITBISA-IC-NE555P-DIP8")</f>
        <v>ITBISA-IC-NE555P-DIP8</v>
      </c>
      <c r="B6108" s="266">
        <f>IFERROR(__xludf.DUMMYFUNCTION("""COMPUTED_VALUE"""),45996.0)</f>
        <v>45996</v>
      </c>
      <c r="C6108" s="266" t="str">
        <f>IFERROR(__xludf.DUMMYFUNCTION("""COMPUTED_VALUE"""),"KYAI KONTONG")</f>
        <v>KYAI KONTONG</v>
      </c>
      <c r="D6108" s="186">
        <f>IFERROR(__xludf.DUMMYFUNCTION("""COMPUTED_VALUE"""),2.0)</f>
        <v>2</v>
      </c>
    </row>
    <row r="6109">
      <c r="A6109" s="178" t="str">
        <f>IFERROR(__xludf.DUMMYFUNCTION("""COMPUTED_VALUE"""),"ITBISA-IC-NE555P-DIP8")</f>
        <v>ITBISA-IC-NE555P-DIP8</v>
      </c>
      <c r="B6109" s="266">
        <f>IFERROR(__xludf.DUMMYFUNCTION("""COMPUTED_VALUE"""),45998.0)</f>
        <v>45998</v>
      </c>
      <c r="C6109" s="266" t="str">
        <f>IFERROR(__xludf.DUMMYFUNCTION("""COMPUTED_VALUE"""),"KYAI KONTONG")</f>
        <v>KYAI KONTONG</v>
      </c>
      <c r="D6109" s="186">
        <f>IFERROR(__xludf.DUMMYFUNCTION("""COMPUTED_VALUE"""),100.0)</f>
        <v>100</v>
      </c>
    </row>
    <row r="6110">
      <c r="A6110" s="178" t="str">
        <f>IFERROR(__xludf.DUMMYFUNCTION("""COMPUTED_VALUE"""),"ITBISA-IC-NE555P-DIP8")</f>
        <v>ITBISA-IC-NE555P-DIP8</v>
      </c>
      <c r="B6110" s="266">
        <f>IFERROR(__xludf.DUMMYFUNCTION("""COMPUTED_VALUE"""),45999.0)</f>
        <v>45999</v>
      </c>
      <c r="C6110" s="266" t="str">
        <f>IFERROR(__xludf.DUMMYFUNCTION("""COMPUTED_VALUE"""),"KYAI KONTONG")</f>
        <v>KYAI KONTONG</v>
      </c>
      <c r="D6110" s="186">
        <f>IFERROR(__xludf.DUMMYFUNCTION("""COMPUTED_VALUE"""),50.0)</f>
        <v>50</v>
      </c>
    </row>
    <row r="6111">
      <c r="A6111" s="178" t="str">
        <f>IFERROR(__xludf.DUMMYFUNCTION("""COMPUTED_VALUE"""),"ITBISA-IC-NE555P-DIP8")</f>
        <v>ITBISA-IC-NE555P-DIP8</v>
      </c>
      <c r="B6111" s="266">
        <f>IFERROR(__xludf.DUMMYFUNCTION("""COMPUTED_VALUE"""),46000.0)</f>
        <v>46000</v>
      </c>
      <c r="C6111" s="266" t="str">
        <f>IFERROR(__xludf.DUMMYFUNCTION("""COMPUTED_VALUE"""),"KYAI KONTONG")</f>
        <v>KYAI KONTONG</v>
      </c>
      <c r="D6111" s="186">
        <f>IFERROR(__xludf.DUMMYFUNCTION("""COMPUTED_VALUE"""),50.0)</f>
        <v>50</v>
      </c>
    </row>
    <row r="6112">
      <c r="A6112" s="178" t="str">
        <f>IFERROR(__xludf.DUMMYFUNCTION("""COMPUTED_VALUE"""),"ITBISA-IC-NE555P-DIP8")</f>
        <v>ITBISA-IC-NE555P-DIP8</v>
      </c>
      <c r="B6112" s="266">
        <f>IFERROR(__xludf.DUMMYFUNCTION("""COMPUTED_VALUE"""),46002.0)</f>
        <v>46002</v>
      </c>
      <c r="C6112" s="266" t="str">
        <f>IFERROR(__xludf.DUMMYFUNCTION("""COMPUTED_VALUE"""),"KYAI KONTONG")</f>
        <v>KYAI KONTONG</v>
      </c>
      <c r="D6112" s="186">
        <f>IFERROR(__xludf.DUMMYFUNCTION("""COMPUTED_VALUE"""),600.0)</f>
        <v>600</v>
      </c>
    </row>
    <row r="6113">
      <c r="A6113" s="178" t="str">
        <f>IFERROR(__xludf.DUMMYFUNCTION("""COMPUTED_VALUE"""),"ITBISA-IC-NE555P-DIP8")</f>
        <v>ITBISA-IC-NE555P-DIP8</v>
      </c>
      <c r="B6113" s="266">
        <f>IFERROR(__xludf.DUMMYFUNCTION("""COMPUTED_VALUE"""),46003.0)</f>
        <v>46003</v>
      </c>
      <c r="C6113" s="266" t="str">
        <f>IFERROR(__xludf.DUMMYFUNCTION("""COMPUTED_VALUE"""),"KYAI KONTONG")</f>
        <v>KYAI KONTONG</v>
      </c>
      <c r="D6113" s="186">
        <f>IFERROR(__xludf.DUMMYFUNCTION("""COMPUTED_VALUE"""),5.0)</f>
        <v>5</v>
      </c>
    </row>
    <row r="6114">
      <c r="A6114" s="178" t="str">
        <f>IFERROR(__xludf.DUMMYFUNCTION("""COMPUTED_VALUE"""),"ITBISA-IC-NE555P-DIP8")</f>
        <v>ITBISA-IC-NE555P-DIP8</v>
      </c>
      <c r="B6114" s="266">
        <f>IFERROR(__xludf.DUMMYFUNCTION("""COMPUTED_VALUE"""),46003.0)</f>
        <v>46003</v>
      </c>
      <c r="C6114" s="266" t="str">
        <f>IFERROR(__xludf.DUMMYFUNCTION("""COMPUTED_VALUE"""),"KYAI KONTONG")</f>
        <v>KYAI KONTONG</v>
      </c>
      <c r="D6114" s="186">
        <f>IFERROR(__xludf.DUMMYFUNCTION("""COMPUTED_VALUE"""),50.0)</f>
        <v>50</v>
      </c>
    </row>
    <row r="6115">
      <c r="A6115" s="178" t="str">
        <f>IFERROR(__xludf.DUMMYFUNCTION("""COMPUTED_VALUE"""),"ITBISA-IC-NE555P-DIP8")</f>
        <v>ITBISA-IC-NE555P-DIP8</v>
      </c>
      <c r="B6115" s="266">
        <f>IFERROR(__xludf.DUMMYFUNCTION("""COMPUTED_VALUE"""),46006.0)</f>
        <v>46006</v>
      </c>
      <c r="C6115" s="266" t="str">
        <f>IFERROR(__xludf.DUMMYFUNCTION("""COMPUTED_VALUE"""),"KYAI KONTONG")</f>
        <v>KYAI KONTONG</v>
      </c>
      <c r="D6115" s="186">
        <f>IFERROR(__xludf.DUMMYFUNCTION("""COMPUTED_VALUE"""),4.0)</f>
        <v>4</v>
      </c>
    </row>
    <row r="6116">
      <c r="A6116" s="178" t="str">
        <f>IFERROR(__xludf.DUMMYFUNCTION("""COMPUTED_VALUE"""),"ITBISA-IC-NE555P-DIP8")</f>
        <v>ITBISA-IC-NE555P-DIP8</v>
      </c>
      <c r="B6116" s="266">
        <f>IFERROR(__xludf.DUMMYFUNCTION("""COMPUTED_VALUE"""),46010.0)</f>
        <v>46010</v>
      </c>
      <c r="C6116" s="266" t="str">
        <f>IFERROR(__xludf.DUMMYFUNCTION("""COMPUTED_VALUE"""),"KYAI KONTONG")</f>
        <v>KYAI KONTONG</v>
      </c>
      <c r="D6116" s="186">
        <f>IFERROR(__xludf.DUMMYFUNCTION("""COMPUTED_VALUE"""),200.0)</f>
        <v>200</v>
      </c>
    </row>
    <row r="6117">
      <c r="A6117" s="178" t="str">
        <f>IFERROR(__xludf.DUMMYFUNCTION("""COMPUTED_VALUE"""),"ITBISA-IC-NE555P-DIP8")</f>
        <v>ITBISA-IC-NE555P-DIP8</v>
      </c>
      <c r="B6117" s="266">
        <f>IFERROR(__xludf.DUMMYFUNCTION("""COMPUTED_VALUE"""),46013.0)</f>
        <v>46013</v>
      </c>
      <c r="C6117" s="266" t="str">
        <f>IFERROR(__xludf.DUMMYFUNCTION("""COMPUTED_VALUE"""),"KYAI KONTONG")</f>
        <v>KYAI KONTONG</v>
      </c>
      <c r="D6117" s="186">
        <f>IFERROR(__xludf.DUMMYFUNCTION("""COMPUTED_VALUE"""),50.0)</f>
        <v>50</v>
      </c>
    </row>
    <row r="6118">
      <c r="A6118" s="178" t="str">
        <f>IFERROR(__xludf.DUMMYFUNCTION("""COMPUTED_VALUE"""),"ITBISA-IC-NE555P-DIP8")</f>
        <v>ITBISA-IC-NE555P-DIP8</v>
      </c>
      <c r="B6118" s="266">
        <f>IFERROR(__xludf.DUMMYFUNCTION("""COMPUTED_VALUE"""),46014.0)</f>
        <v>46014</v>
      </c>
      <c r="C6118" s="266" t="str">
        <f>IFERROR(__xludf.DUMMYFUNCTION("""COMPUTED_VALUE"""),"KYAI KONTONG")</f>
        <v>KYAI KONTONG</v>
      </c>
      <c r="D6118" s="186">
        <f>IFERROR(__xludf.DUMMYFUNCTION("""COMPUTED_VALUE"""),2000.0)</f>
        <v>2000</v>
      </c>
    </row>
    <row r="6119">
      <c r="A6119" s="178" t="str">
        <f>IFERROR(__xludf.DUMMYFUNCTION("""COMPUTED_VALUE"""),"ITBISA-IC-NE555P-DIP8")</f>
        <v>ITBISA-IC-NE555P-DIP8</v>
      </c>
      <c r="B6119" s="266">
        <f>IFERROR(__xludf.DUMMYFUNCTION("""COMPUTED_VALUE"""),46020.0)</f>
        <v>46020</v>
      </c>
      <c r="C6119" s="266" t="str">
        <f>IFERROR(__xludf.DUMMYFUNCTION("""COMPUTED_VALUE"""),"KYAI KONTONG")</f>
        <v>KYAI KONTONG</v>
      </c>
      <c r="D6119" s="186">
        <f>IFERROR(__xludf.DUMMYFUNCTION("""COMPUTED_VALUE"""),15.0)</f>
        <v>15</v>
      </c>
    </row>
    <row r="6120">
      <c r="A6120" s="178" t="str">
        <f>IFERROR(__xludf.DUMMYFUNCTION("""COMPUTED_VALUE"""),"ITBISA-IC-NE555P-DIP8")</f>
        <v>ITBISA-IC-NE555P-DIP8</v>
      </c>
      <c r="B6120" s="266">
        <f>IFERROR(__xludf.DUMMYFUNCTION("""COMPUTED_VALUE"""),46022.0)</f>
        <v>46022</v>
      </c>
      <c r="C6120" s="266" t="str">
        <f>IFERROR(__xludf.DUMMYFUNCTION("""COMPUTED_VALUE"""),"KYAI KONTONG")</f>
        <v>KYAI KONTONG</v>
      </c>
      <c r="D6120" s="186">
        <f>IFERROR(__xludf.DUMMYFUNCTION("""COMPUTED_VALUE"""),50.0)</f>
        <v>50</v>
      </c>
    </row>
    <row r="6121">
      <c r="A6121" s="178" t="str">
        <f>IFERROR(__xludf.DUMMYFUNCTION("""COMPUTED_VALUE"""),"ITBISA-IC-PC817-DIP4")</f>
        <v>ITBISA-IC-PC817-DIP4</v>
      </c>
      <c r="B6121" s="266">
        <f>IFERROR(__xludf.DUMMYFUNCTION("""COMPUTED_VALUE"""),45429.0)</f>
        <v>45429</v>
      </c>
      <c r="C6121" s="266" t="str">
        <f>IFERROR(__xludf.DUMMYFUNCTION("""COMPUTED_VALUE"""),"KERTASARI CIAMIS")</f>
        <v>KERTASARI CIAMIS</v>
      </c>
      <c r="D6121" s="186">
        <f>IFERROR(__xludf.DUMMYFUNCTION("""COMPUTED_VALUE"""),10.0)</f>
        <v>10</v>
      </c>
    </row>
    <row r="6122">
      <c r="A6122" s="178" t="str">
        <f>IFERROR(__xludf.DUMMYFUNCTION("""COMPUTED_VALUE"""),"ITBISA-IC-PC817-DIP4")</f>
        <v>ITBISA-IC-PC817-DIP4</v>
      </c>
      <c r="B6122" s="266">
        <f>IFERROR(__xludf.DUMMYFUNCTION("""COMPUTED_VALUE"""),45429.0)</f>
        <v>45429</v>
      </c>
      <c r="C6122" s="266" t="str">
        <f>IFERROR(__xludf.DUMMYFUNCTION("""COMPUTED_VALUE"""),"KYAI KONTONG")</f>
        <v>KYAI KONTONG</v>
      </c>
      <c r="D6122" s="186">
        <f>IFERROR(__xludf.DUMMYFUNCTION("""COMPUTED_VALUE"""),4.0)</f>
        <v>4</v>
      </c>
    </row>
    <row r="6123">
      <c r="A6123" s="178" t="str">
        <f>IFERROR(__xludf.DUMMYFUNCTION("""COMPUTED_VALUE"""),"ITBISA-IC-PC817-DIP4")</f>
        <v>ITBISA-IC-PC817-DIP4</v>
      </c>
      <c r="B6123" s="266">
        <f>IFERROR(__xludf.DUMMYFUNCTION("""COMPUTED_VALUE"""),45431.0)</f>
        <v>45431</v>
      </c>
      <c r="C6123" s="266" t="str">
        <f>IFERROR(__xludf.DUMMYFUNCTION("""COMPUTED_VALUE"""),"KYAI KONTONG")</f>
        <v>KYAI KONTONG</v>
      </c>
      <c r="D6123" s="186">
        <f>IFERROR(__xludf.DUMMYFUNCTION("""COMPUTED_VALUE"""),1500.0)</f>
        <v>1500</v>
      </c>
    </row>
    <row r="6124">
      <c r="A6124" s="178" t="str">
        <f>IFERROR(__xludf.DUMMYFUNCTION("""COMPUTED_VALUE"""),"ITBISA-IC-PC817-DIP4")</f>
        <v>ITBISA-IC-PC817-DIP4</v>
      </c>
      <c r="B6124" s="266">
        <f>IFERROR(__xludf.DUMMYFUNCTION("""COMPUTED_VALUE"""),45432.0)</f>
        <v>45432</v>
      </c>
      <c r="C6124" s="266" t="str">
        <f>IFERROR(__xludf.DUMMYFUNCTION("""COMPUTED_VALUE"""),"KYAI KONTONG")</f>
        <v>KYAI KONTONG</v>
      </c>
      <c r="D6124" s="186">
        <f>IFERROR(__xludf.DUMMYFUNCTION("""COMPUTED_VALUE"""),5.0)</f>
        <v>5</v>
      </c>
    </row>
    <row r="6125">
      <c r="A6125" s="178" t="str">
        <f>IFERROR(__xludf.DUMMYFUNCTION("""COMPUTED_VALUE"""),"ITBISA-IC-PC817-DIP4")</f>
        <v>ITBISA-IC-PC817-DIP4</v>
      </c>
      <c r="B6125" s="266">
        <f>IFERROR(__xludf.DUMMYFUNCTION("""COMPUTED_VALUE"""),45437.0)</f>
        <v>45437</v>
      </c>
      <c r="C6125" s="266" t="str">
        <f>IFERROR(__xludf.DUMMYFUNCTION("""COMPUTED_VALUE"""),"KERTASARI CIAMIS")</f>
        <v>KERTASARI CIAMIS</v>
      </c>
      <c r="D6125" s="186">
        <f>IFERROR(__xludf.DUMMYFUNCTION("""COMPUTED_VALUE"""),200.0)</f>
        <v>200</v>
      </c>
    </row>
    <row r="6126">
      <c r="A6126" s="178" t="str">
        <f>IFERROR(__xludf.DUMMYFUNCTION("""COMPUTED_VALUE"""),"ITBISA-IC-PC817-DIP4")</f>
        <v>ITBISA-IC-PC817-DIP4</v>
      </c>
      <c r="B6126" s="266">
        <f>IFERROR(__xludf.DUMMYFUNCTION("""COMPUTED_VALUE"""),45437.0)</f>
        <v>45437</v>
      </c>
      <c r="C6126" s="266" t="str">
        <f>IFERROR(__xludf.DUMMYFUNCTION("""COMPUTED_VALUE"""),"KERTASARI CIAMIS")</f>
        <v>KERTASARI CIAMIS</v>
      </c>
      <c r="D6126" s="186">
        <f>IFERROR(__xludf.DUMMYFUNCTION("""COMPUTED_VALUE"""),200.0)</f>
        <v>200</v>
      </c>
    </row>
    <row r="6127">
      <c r="A6127" s="178" t="str">
        <f>IFERROR(__xludf.DUMMYFUNCTION("""COMPUTED_VALUE"""),"ITBISA-IC-PC817-DIP4")</f>
        <v>ITBISA-IC-PC817-DIP4</v>
      </c>
      <c r="B6127" s="266">
        <f>IFERROR(__xludf.DUMMYFUNCTION("""COMPUTED_VALUE"""),45438.0)</f>
        <v>45438</v>
      </c>
      <c r="C6127" s="266" t="str">
        <f>IFERROR(__xludf.DUMMYFUNCTION("""COMPUTED_VALUE"""),"KERTASARI CIAMIS")</f>
        <v>KERTASARI CIAMIS</v>
      </c>
      <c r="D6127" s="186">
        <f>IFERROR(__xludf.DUMMYFUNCTION("""COMPUTED_VALUE"""),100.0)</f>
        <v>100</v>
      </c>
    </row>
    <row r="6128">
      <c r="A6128" s="178" t="str">
        <f>IFERROR(__xludf.DUMMYFUNCTION("""COMPUTED_VALUE"""),"ITBISA-IC-PC817-DIP4")</f>
        <v>ITBISA-IC-PC817-DIP4</v>
      </c>
      <c r="B6128" s="266">
        <f>IFERROR(__xludf.DUMMYFUNCTION("""COMPUTED_VALUE"""),45439.0)</f>
        <v>45439</v>
      </c>
      <c r="C6128" s="266" t="str">
        <f>IFERROR(__xludf.DUMMYFUNCTION("""COMPUTED_VALUE"""),"KERTASARI CIAMIS")</f>
        <v>KERTASARI CIAMIS</v>
      </c>
      <c r="D6128" s="186">
        <f>IFERROR(__xludf.DUMMYFUNCTION("""COMPUTED_VALUE"""),50.0)</f>
        <v>50</v>
      </c>
    </row>
    <row r="6129">
      <c r="A6129" s="178" t="str">
        <f>IFERROR(__xludf.DUMMYFUNCTION("""COMPUTED_VALUE"""),"ITBISA-IC-PC817-DIP4")</f>
        <v>ITBISA-IC-PC817-DIP4</v>
      </c>
      <c r="B6129" s="266">
        <f>IFERROR(__xludf.DUMMYFUNCTION("""COMPUTED_VALUE"""),45439.0)</f>
        <v>45439</v>
      </c>
      <c r="C6129" s="266" t="str">
        <f>IFERROR(__xludf.DUMMYFUNCTION("""COMPUTED_VALUE"""),"KYAI KONTONG")</f>
        <v>KYAI KONTONG</v>
      </c>
      <c r="D6129" s="186">
        <f>IFERROR(__xludf.DUMMYFUNCTION("""COMPUTED_VALUE"""),50.0)</f>
        <v>50</v>
      </c>
    </row>
    <row r="6130">
      <c r="A6130" s="178" t="str">
        <f>IFERROR(__xludf.DUMMYFUNCTION("""COMPUTED_VALUE"""),"ITBISA-IC-PC817-DIP4")</f>
        <v>ITBISA-IC-PC817-DIP4</v>
      </c>
      <c r="B6130" s="266">
        <f>IFERROR(__xludf.DUMMYFUNCTION("""COMPUTED_VALUE"""),45441.0)</f>
        <v>45441</v>
      </c>
      <c r="C6130" s="266" t="str">
        <f>IFERROR(__xludf.DUMMYFUNCTION("""COMPUTED_VALUE"""),"KERTASARI CIAMIS")</f>
        <v>KERTASARI CIAMIS</v>
      </c>
      <c r="D6130" s="186">
        <f>IFERROR(__xludf.DUMMYFUNCTION("""COMPUTED_VALUE"""),10.0)</f>
        <v>10</v>
      </c>
    </row>
    <row r="6131">
      <c r="A6131" s="178" t="str">
        <f>IFERROR(__xludf.DUMMYFUNCTION("""COMPUTED_VALUE"""),"ITBISA-IC-PC817-DIP4")</f>
        <v>ITBISA-IC-PC817-DIP4</v>
      </c>
      <c r="B6131" s="266">
        <f>IFERROR(__xludf.DUMMYFUNCTION("""COMPUTED_VALUE"""),45441.0)</f>
        <v>45441</v>
      </c>
      <c r="C6131" s="266" t="str">
        <f>IFERROR(__xludf.DUMMYFUNCTION("""COMPUTED_VALUE"""),"KERTASARI CIAMIS")</f>
        <v>KERTASARI CIAMIS</v>
      </c>
      <c r="D6131" s="186">
        <f>IFERROR(__xludf.DUMMYFUNCTION("""COMPUTED_VALUE"""),100.0)</f>
        <v>100</v>
      </c>
    </row>
    <row r="6132">
      <c r="A6132" s="178" t="str">
        <f>IFERROR(__xludf.DUMMYFUNCTION("""COMPUTED_VALUE"""),"ITBISA-IC-PC817-DIP4")</f>
        <v>ITBISA-IC-PC817-DIP4</v>
      </c>
      <c r="B6132" s="266">
        <f>IFERROR(__xludf.DUMMYFUNCTION("""COMPUTED_VALUE"""),45443.0)</f>
        <v>45443</v>
      </c>
      <c r="C6132" s="266" t="str">
        <f>IFERROR(__xludf.DUMMYFUNCTION("""COMPUTED_VALUE"""),"KERTASARI CIAMIS")</f>
        <v>KERTASARI CIAMIS</v>
      </c>
      <c r="D6132" s="186">
        <f>IFERROR(__xludf.DUMMYFUNCTION("""COMPUTED_VALUE"""),10.0)</f>
        <v>10</v>
      </c>
    </row>
    <row r="6133">
      <c r="A6133" s="178" t="str">
        <f>IFERROR(__xludf.DUMMYFUNCTION("""COMPUTED_VALUE"""),"ITBISA-IC-PC817-DIP4")</f>
        <v>ITBISA-IC-PC817-DIP4</v>
      </c>
      <c r="B6133" s="266">
        <f>IFERROR(__xludf.DUMMYFUNCTION("""COMPUTED_VALUE"""),45443.0)</f>
        <v>45443</v>
      </c>
      <c r="C6133" s="266" t="str">
        <f>IFERROR(__xludf.DUMMYFUNCTION("""COMPUTED_VALUE"""),"KYAI KONTONG")</f>
        <v>KYAI KONTONG</v>
      </c>
      <c r="D6133" s="186">
        <f>IFERROR(__xludf.DUMMYFUNCTION("""COMPUTED_VALUE"""),500.0)</f>
        <v>500</v>
      </c>
    </row>
    <row r="6134">
      <c r="A6134" s="178" t="str">
        <f>IFERROR(__xludf.DUMMYFUNCTION("""COMPUTED_VALUE"""),"ITBISA-IC-PC817-DIP4")</f>
        <v>ITBISA-IC-PC817-DIP4</v>
      </c>
      <c r="B6134" s="266">
        <f>IFERROR(__xludf.DUMMYFUNCTION("""COMPUTED_VALUE"""),45449.0)</f>
        <v>45449</v>
      </c>
      <c r="C6134" s="266" t="str">
        <f>IFERROR(__xludf.DUMMYFUNCTION("""COMPUTED_VALUE"""),"KYAI KONTONG")</f>
        <v>KYAI KONTONG</v>
      </c>
      <c r="D6134" s="186">
        <f>IFERROR(__xludf.DUMMYFUNCTION("""COMPUTED_VALUE"""),15.0)</f>
        <v>15</v>
      </c>
    </row>
    <row r="6135">
      <c r="A6135" s="178" t="str">
        <f>IFERROR(__xludf.DUMMYFUNCTION("""COMPUTED_VALUE"""),"ITBISA-IC-PC817-DIP4")</f>
        <v>ITBISA-IC-PC817-DIP4</v>
      </c>
      <c r="B6135" s="266">
        <f>IFERROR(__xludf.DUMMYFUNCTION("""COMPUTED_VALUE"""),45449.0)</f>
        <v>45449</v>
      </c>
      <c r="C6135" s="266" t="str">
        <f>IFERROR(__xludf.DUMMYFUNCTION("""COMPUTED_VALUE"""),"KYAI KONTONG")</f>
        <v>KYAI KONTONG</v>
      </c>
      <c r="D6135" s="186">
        <f>IFERROR(__xludf.DUMMYFUNCTION("""COMPUTED_VALUE"""),100.0)</f>
        <v>100</v>
      </c>
    </row>
    <row r="6136">
      <c r="A6136" s="178" t="str">
        <f>IFERROR(__xludf.DUMMYFUNCTION("""COMPUTED_VALUE"""),"ITBISA-IC-PC817-DIP4")</f>
        <v>ITBISA-IC-PC817-DIP4</v>
      </c>
      <c r="B6136" s="266">
        <f>IFERROR(__xludf.DUMMYFUNCTION("""COMPUTED_VALUE"""),45450.0)</f>
        <v>45450</v>
      </c>
      <c r="C6136" s="266" t="str">
        <f>IFERROR(__xludf.DUMMYFUNCTION("""COMPUTED_VALUE"""),"KYAI KONTONG")</f>
        <v>KYAI KONTONG</v>
      </c>
      <c r="D6136" s="186">
        <f>IFERROR(__xludf.DUMMYFUNCTION("""COMPUTED_VALUE"""),42.0)</f>
        <v>42</v>
      </c>
    </row>
    <row r="6137">
      <c r="A6137" s="178" t="str">
        <f>IFERROR(__xludf.DUMMYFUNCTION("""COMPUTED_VALUE"""),"ITBISA-IC-PC817-DIP4")</f>
        <v>ITBISA-IC-PC817-DIP4</v>
      </c>
      <c r="B6137" s="266">
        <f>IFERROR(__xludf.DUMMYFUNCTION("""COMPUTED_VALUE"""),45451.0)</f>
        <v>45451</v>
      </c>
      <c r="C6137" s="266" t="str">
        <f>IFERROR(__xludf.DUMMYFUNCTION("""COMPUTED_VALUE"""),"KERTASARI CIAMIS")</f>
        <v>KERTASARI CIAMIS</v>
      </c>
      <c r="D6137" s="186">
        <f>IFERROR(__xludf.DUMMYFUNCTION("""COMPUTED_VALUE"""),61.0)</f>
        <v>61</v>
      </c>
    </row>
    <row r="6138">
      <c r="A6138" s="178" t="str">
        <f>IFERROR(__xludf.DUMMYFUNCTION("""COMPUTED_VALUE"""),"ITBISA-IC-PC817-DIP4")</f>
        <v>ITBISA-IC-PC817-DIP4</v>
      </c>
      <c r="B6138" s="266">
        <f>IFERROR(__xludf.DUMMYFUNCTION("""COMPUTED_VALUE"""),45452.0)</f>
        <v>45452</v>
      </c>
      <c r="C6138" s="266" t="str">
        <f>IFERROR(__xludf.DUMMYFUNCTION("""COMPUTED_VALUE"""),"KYAI KONTONG")</f>
        <v>KYAI KONTONG</v>
      </c>
      <c r="D6138" s="186">
        <f>IFERROR(__xludf.DUMMYFUNCTION("""COMPUTED_VALUE"""),20.0)</f>
        <v>20</v>
      </c>
    </row>
    <row r="6139">
      <c r="A6139" s="178" t="str">
        <f>IFERROR(__xludf.DUMMYFUNCTION("""COMPUTED_VALUE"""),"ITBISA-IC-PC817-DIP4")</f>
        <v>ITBISA-IC-PC817-DIP4</v>
      </c>
      <c r="B6139" s="266">
        <f>IFERROR(__xludf.DUMMYFUNCTION("""COMPUTED_VALUE"""),45457.0)</f>
        <v>45457</v>
      </c>
      <c r="C6139" s="266" t="str">
        <f>IFERROR(__xludf.DUMMYFUNCTION("""COMPUTED_VALUE"""),"KYAI KONTONG")</f>
        <v>KYAI KONTONG</v>
      </c>
      <c r="D6139" s="186">
        <f>IFERROR(__xludf.DUMMYFUNCTION("""COMPUTED_VALUE"""),15.0)</f>
        <v>15</v>
      </c>
    </row>
    <row r="6140">
      <c r="A6140" s="178" t="str">
        <f>IFERROR(__xludf.DUMMYFUNCTION("""COMPUTED_VALUE"""),"ITBISA-IC-PC817-DIP4")</f>
        <v>ITBISA-IC-PC817-DIP4</v>
      </c>
      <c r="B6140" s="266">
        <f>IFERROR(__xludf.DUMMYFUNCTION("""COMPUTED_VALUE"""),45458.0)</f>
        <v>45458</v>
      </c>
      <c r="C6140" s="266" t="str">
        <f>IFERROR(__xludf.DUMMYFUNCTION("""COMPUTED_VALUE"""),"KYAI KONTONG")</f>
        <v>KYAI KONTONG</v>
      </c>
      <c r="D6140" s="186">
        <f>IFERROR(__xludf.DUMMYFUNCTION("""COMPUTED_VALUE"""),300.0)</f>
        <v>300</v>
      </c>
    </row>
    <row r="6141">
      <c r="A6141" s="178" t="str">
        <f>IFERROR(__xludf.DUMMYFUNCTION("""COMPUTED_VALUE"""),"ITBISA-IC-PC817-DIP4")</f>
        <v>ITBISA-IC-PC817-DIP4</v>
      </c>
      <c r="B6141" s="266">
        <f>IFERROR(__xludf.DUMMYFUNCTION("""COMPUTED_VALUE"""),45460.0)</f>
        <v>45460</v>
      </c>
      <c r="C6141" s="266" t="str">
        <f>IFERROR(__xludf.DUMMYFUNCTION("""COMPUTED_VALUE"""),"KYAI KONTONG")</f>
        <v>KYAI KONTONG</v>
      </c>
      <c r="D6141" s="186">
        <f>IFERROR(__xludf.DUMMYFUNCTION("""COMPUTED_VALUE"""),10.0)</f>
        <v>10</v>
      </c>
    </row>
    <row r="6142">
      <c r="A6142" s="178" t="str">
        <f>IFERROR(__xludf.DUMMYFUNCTION("""COMPUTED_VALUE"""),"ITBISA-IC-PC817-DIP4")</f>
        <v>ITBISA-IC-PC817-DIP4</v>
      </c>
      <c r="B6142" s="266">
        <f>IFERROR(__xludf.DUMMYFUNCTION("""COMPUTED_VALUE"""),45461.0)</f>
        <v>45461</v>
      </c>
      <c r="C6142" s="266" t="str">
        <f>IFERROR(__xludf.DUMMYFUNCTION("""COMPUTED_VALUE"""),"KYAI KONTONG")</f>
        <v>KYAI KONTONG</v>
      </c>
      <c r="D6142" s="186">
        <f>IFERROR(__xludf.DUMMYFUNCTION("""COMPUTED_VALUE"""),10.0)</f>
        <v>10</v>
      </c>
    </row>
    <row r="6143">
      <c r="A6143" s="178" t="str">
        <f>IFERROR(__xludf.DUMMYFUNCTION("""COMPUTED_VALUE"""),"ITBISA-IC-PC817-DIP4")</f>
        <v>ITBISA-IC-PC817-DIP4</v>
      </c>
      <c r="B6143" s="266">
        <f>IFERROR(__xludf.DUMMYFUNCTION("""COMPUTED_VALUE"""),45461.0)</f>
        <v>45461</v>
      </c>
      <c r="C6143" s="266" t="str">
        <f>IFERROR(__xludf.DUMMYFUNCTION("""COMPUTED_VALUE"""),"KYAI KONTONG")</f>
        <v>KYAI KONTONG</v>
      </c>
      <c r="D6143" s="186">
        <f>IFERROR(__xludf.DUMMYFUNCTION("""COMPUTED_VALUE"""),500.0)</f>
        <v>500</v>
      </c>
    </row>
    <row r="6144">
      <c r="A6144" s="178" t="str">
        <f>IFERROR(__xludf.DUMMYFUNCTION("""COMPUTED_VALUE"""),"ITBISA-IC-PC817-DIP4")</f>
        <v>ITBISA-IC-PC817-DIP4</v>
      </c>
      <c r="B6144" s="266">
        <f>IFERROR(__xludf.DUMMYFUNCTION("""COMPUTED_VALUE"""),45462.0)</f>
        <v>45462</v>
      </c>
      <c r="C6144" s="266" t="str">
        <f>IFERROR(__xludf.DUMMYFUNCTION("""COMPUTED_VALUE"""),"KYAI KONTONG")</f>
        <v>KYAI KONTONG</v>
      </c>
      <c r="D6144" s="186">
        <f>IFERROR(__xludf.DUMMYFUNCTION("""COMPUTED_VALUE"""),10.0)</f>
        <v>10</v>
      </c>
    </row>
    <row r="6145">
      <c r="A6145" s="178" t="str">
        <f>IFERROR(__xludf.DUMMYFUNCTION("""COMPUTED_VALUE"""),"ITBISA-IC-PC817-DIP4")</f>
        <v>ITBISA-IC-PC817-DIP4</v>
      </c>
      <c r="B6145" s="266">
        <f>IFERROR(__xludf.DUMMYFUNCTION("""COMPUTED_VALUE"""),45464.0)</f>
        <v>45464</v>
      </c>
      <c r="C6145" s="266" t="str">
        <f>IFERROR(__xludf.DUMMYFUNCTION("""COMPUTED_VALUE"""),"KERTASARI CIAMIS")</f>
        <v>KERTASARI CIAMIS</v>
      </c>
      <c r="D6145" s="186">
        <f>IFERROR(__xludf.DUMMYFUNCTION("""COMPUTED_VALUE"""),10.0)</f>
        <v>10</v>
      </c>
    </row>
    <row r="6146">
      <c r="A6146" s="178" t="str">
        <f>IFERROR(__xludf.DUMMYFUNCTION("""COMPUTED_VALUE"""),"ITBISA-IC-PC817-DIP4")</f>
        <v>ITBISA-IC-PC817-DIP4</v>
      </c>
      <c r="B6146" s="266">
        <f>IFERROR(__xludf.DUMMYFUNCTION("""COMPUTED_VALUE"""),45464.0)</f>
        <v>45464</v>
      </c>
      <c r="C6146" s="266" t="str">
        <f>IFERROR(__xludf.DUMMYFUNCTION("""COMPUTED_VALUE"""),"KYAI KONTONG")</f>
        <v>KYAI KONTONG</v>
      </c>
      <c r="D6146" s="186">
        <f>IFERROR(__xludf.DUMMYFUNCTION("""COMPUTED_VALUE"""),10.0)</f>
        <v>10</v>
      </c>
    </row>
    <row r="6147">
      <c r="A6147" s="178" t="str">
        <f>IFERROR(__xludf.DUMMYFUNCTION("""COMPUTED_VALUE"""),"ITBISA-IC-PC817-DIP4")</f>
        <v>ITBISA-IC-PC817-DIP4</v>
      </c>
      <c r="B6147" s="266">
        <f>IFERROR(__xludf.DUMMYFUNCTION("""COMPUTED_VALUE"""),45465.0)</f>
        <v>45465</v>
      </c>
      <c r="C6147" s="266" t="str">
        <f>IFERROR(__xludf.DUMMYFUNCTION("""COMPUTED_VALUE"""),"KERTASARI CIAMIS")</f>
        <v>KERTASARI CIAMIS</v>
      </c>
      <c r="D6147" s="186">
        <f>IFERROR(__xludf.DUMMYFUNCTION("""COMPUTED_VALUE"""),100.0)</f>
        <v>100</v>
      </c>
    </row>
    <row r="6148">
      <c r="A6148" s="178" t="str">
        <f>IFERROR(__xludf.DUMMYFUNCTION("""COMPUTED_VALUE"""),"ITBISA-IC-PC817-DIP4")</f>
        <v>ITBISA-IC-PC817-DIP4</v>
      </c>
      <c r="B6148" s="266">
        <f>IFERROR(__xludf.DUMMYFUNCTION("""COMPUTED_VALUE"""),45467.0)</f>
        <v>45467</v>
      </c>
      <c r="C6148" s="266" t="str">
        <f>IFERROR(__xludf.DUMMYFUNCTION("""COMPUTED_VALUE"""),"KYAI KONTONG")</f>
        <v>KYAI KONTONG</v>
      </c>
      <c r="D6148" s="186">
        <f>IFERROR(__xludf.DUMMYFUNCTION("""COMPUTED_VALUE"""),10.0)</f>
        <v>10</v>
      </c>
    </row>
    <row r="6149">
      <c r="A6149" s="178" t="str">
        <f>IFERROR(__xludf.DUMMYFUNCTION("""COMPUTED_VALUE"""),"ITBISA-IC-PC817-DIP4")</f>
        <v>ITBISA-IC-PC817-DIP4</v>
      </c>
      <c r="B6149" s="266">
        <f>IFERROR(__xludf.DUMMYFUNCTION("""COMPUTED_VALUE"""),45468.0)</f>
        <v>45468</v>
      </c>
      <c r="C6149" s="266" t="str">
        <f>IFERROR(__xludf.DUMMYFUNCTION("""COMPUTED_VALUE"""),"KERTASARI CIAMIS")</f>
        <v>KERTASARI CIAMIS</v>
      </c>
      <c r="D6149" s="186">
        <f>IFERROR(__xludf.DUMMYFUNCTION("""COMPUTED_VALUE"""),20.0)</f>
        <v>20</v>
      </c>
    </row>
    <row r="6150">
      <c r="A6150" s="178" t="str">
        <f>IFERROR(__xludf.DUMMYFUNCTION("""COMPUTED_VALUE"""),"ITBISA-IC-PC817-DIP4")</f>
        <v>ITBISA-IC-PC817-DIP4</v>
      </c>
      <c r="B6150" s="266">
        <f>IFERROR(__xludf.DUMMYFUNCTION("""COMPUTED_VALUE"""),45468.0)</f>
        <v>45468</v>
      </c>
      <c r="C6150" s="266" t="str">
        <f>IFERROR(__xludf.DUMMYFUNCTION("""COMPUTED_VALUE"""),"KERTASARI CIAMIS")</f>
        <v>KERTASARI CIAMIS</v>
      </c>
      <c r="D6150" s="186">
        <f>IFERROR(__xludf.DUMMYFUNCTION("""COMPUTED_VALUE"""),65.0)</f>
        <v>65</v>
      </c>
    </row>
    <row r="6151">
      <c r="A6151" s="178" t="str">
        <f>IFERROR(__xludf.DUMMYFUNCTION("""COMPUTED_VALUE"""),"ITBISA-IC-PC817-DIP4")</f>
        <v>ITBISA-IC-PC817-DIP4</v>
      </c>
      <c r="B6151" s="266">
        <f>IFERROR(__xludf.DUMMYFUNCTION("""COMPUTED_VALUE"""),45485.0)</f>
        <v>45485</v>
      </c>
      <c r="C6151" s="266" t="str">
        <f>IFERROR(__xludf.DUMMYFUNCTION("""COMPUTED_VALUE"""),"KYAI KONTONG")</f>
        <v>KYAI KONTONG</v>
      </c>
      <c r="D6151" s="186">
        <f>IFERROR(__xludf.DUMMYFUNCTION("""COMPUTED_VALUE"""),45.0)</f>
        <v>45</v>
      </c>
    </row>
    <row r="6152">
      <c r="A6152" s="178" t="str">
        <f>IFERROR(__xludf.DUMMYFUNCTION("""COMPUTED_VALUE"""),"ITBISA-IC-PC817-DIP4")</f>
        <v>ITBISA-IC-PC817-DIP4</v>
      </c>
      <c r="B6152" s="266">
        <f>IFERROR(__xludf.DUMMYFUNCTION("""COMPUTED_VALUE"""),45486.0)</f>
        <v>45486</v>
      </c>
      <c r="C6152" s="266" t="str">
        <f>IFERROR(__xludf.DUMMYFUNCTION("""COMPUTED_VALUE"""),"KERTASARI CIAMIS")</f>
        <v>KERTASARI CIAMIS</v>
      </c>
      <c r="D6152" s="186">
        <f>IFERROR(__xludf.DUMMYFUNCTION("""COMPUTED_VALUE"""),20.0)</f>
        <v>20</v>
      </c>
    </row>
    <row r="6153">
      <c r="A6153" s="178" t="str">
        <f>IFERROR(__xludf.DUMMYFUNCTION("""COMPUTED_VALUE"""),"ITBISA-IC-PC817-DIP4")</f>
        <v>ITBISA-IC-PC817-DIP4</v>
      </c>
      <c r="B6153" s="266">
        <f>IFERROR(__xludf.DUMMYFUNCTION("""COMPUTED_VALUE"""),45487.0)</f>
        <v>45487</v>
      </c>
      <c r="C6153" s="266" t="str">
        <f>IFERROR(__xludf.DUMMYFUNCTION("""COMPUTED_VALUE"""),"KERTASARI CIAMIS")</f>
        <v>KERTASARI CIAMIS</v>
      </c>
      <c r="D6153" s="186">
        <f>IFERROR(__xludf.DUMMYFUNCTION("""COMPUTED_VALUE"""),200.0)</f>
        <v>200</v>
      </c>
    </row>
    <row r="6154">
      <c r="A6154" s="178" t="str">
        <f>IFERROR(__xludf.DUMMYFUNCTION("""COMPUTED_VALUE"""),"ITBISA-IC-PC817-DIP4")</f>
        <v>ITBISA-IC-PC817-DIP4</v>
      </c>
      <c r="B6154" s="266">
        <f>IFERROR(__xludf.DUMMYFUNCTION("""COMPUTED_VALUE"""),45489.0)</f>
        <v>45489</v>
      </c>
      <c r="C6154" s="266" t="str">
        <f>IFERROR(__xludf.DUMMYFUNCTION("""COMPUTED_VALUE"""),"KYAI KONTONG")</f>
        <v>KYAI KONTONG</v>
      </c>
      <c r="D6154" s="186">
        <f>IFERROR(__xludf.DUMMYFUNCTION("""COMPUTED_VALUE"""),10.0)</f>
        <v>10</v>
      </c>
    </row>
    <row r="6155">
      <c r="A6155" s="178" t="str">
        <f>IFERROR(__xludf.DUMMYFUNCTION("""COMPUTED_VALUE"""),"ITBISA-IC-PC817-DIP4")</f>
        <v>ITBISA-IC-PC817-DIP4</v>
      </c>
      <c r="B6155" s="266">
        <f>IFERROR(__xludf.DUMMYFUNCTION("""COMPUTED_VALUE"""),45490.0)</f>
        <v>45490</v>
      </c>
      <c r="C6155" s="266" t="str">
        <f>IFERROR(__xludf.DUMMYFUNCTION("""COMPUTED_VALUE"""),"KERTASARI CIAMIS")</f>
        <v>KERTASARI CIAMIS</v>
      </c>
      <c r="D6155" s="186">
        <f>IFERROR(__xludf.DUMMYFUNCTION("""COMPUTED_VALUE"""),20.0)</f>
        <v>20</v>
      </c>
    </row>
    <row r="6156">
      <c r="A6156" s="178" t="str">
        <f>IFERROR(__xludf.DUMMYFUNCTION("""COMPUTED_VALUE"""),"ITBISA-IC-PC817-DIP4")</f>
        <v>ITBISA-IC-PC817-DIP4</v>
      </c>
      <c r="B6156" s="266">
        <f>IFERROR(__xludf.DUMMYFUNCTION("""COMPUTED_VALUE"""),45490.0)</f>
        <v>45490</v>
      </c>
      <c r="C6156" s="266" t="str">
        <f>IFERROR(__xludf.DUMMYFUNCTION("""COMPUTED_VALUE"""),"KERTASARI CIAMIS")</f>
        <v>KERTASARI CIAMIS</v>
      </c>
      <c r="D6156" s="186">
        <f>IFERROR(__xludf.DUMMYFUNCTION("""COMPUTED_VALUE"""),101.0)</f>
        <v>101</v>
      </c>
    </row>
    <row r="6157">
      <c r="A6157" s="178" t="str">
        <f>IFERROR(__xludf.DUMMYFUNCTION("""COMPUTED_VALUE"""),"ITBISA-IC-PC817-DIP4")</f>
        <v>ITBISA-IC-PC817-DIP4</v>
      </c>
      <c r="B6157" s="266">
        <f>IFERROR(__xludf.DUMMYFUNCTION("""COMPUTED_VALUE"""),45490.0)</f>
        <v>45490</v>
      </c>
      <c r="C6157" s="266" t="str">
        <f>IFERROR(__xludf.DUMMYFUNCTION("""COMPUTED_VALUE"""),"KYAI KONTONG")</f>
        <v>KYAI KONTONG</v>
      </c>
      <c r="D6157" s="186">
        <f>IFERROR(__xludf.DUMMYFUNCTION("""COMPUTED_VALUE"""),10.0)</f>
        <v>10</v>
      </c>
    </row>
    <row r="6158">
      <c r="A6158" s="178" t="str">
        <f>IFERROR(__xludf.DUMMYFUNCTION("""COMPUTED_VALUE"""),"ITBISA-IC-PC817-DIP4")</f>
        <v>ITBISA-IC-PC817-DIP4</v>
      </c>
      <c r="B6158" s="266">
        <f>IFERROR(__xludf.DUMMYFUNCTION("""COMPUTED_VALUE"""),45490.0)</f>
        <v>45490</v>
      </c>
      <c r="C6158" s="266" t="str">
        <f>IFERROR(__xludf.DUMMYFUNCTION("""COMPUTED_VALUE"""),"KYAI KONTONG")</f>
        <v>KYAI KONTONG</v>
      </c>
      <c r="D6158" s="186">
        <f>IFERROR(__xludf.DUMMYFUNCTION("""COMPUTED_VALUE"""),50.0)</f>
        <v>50</v>
      </c>
    </row>
    <row r="6159">
      <c r="A6159" s="178" t="str">
        <f>IFERROR(__xludf.DUMMYFUNCTION("""COMPUTED_VALUE"""),"ITBISA-IC-PC817-DIP4")</f>
        <v>ITBISA-IC-PC817-DIP4</v>
      </c>
      <c r="B6159" s="266">
        <f>IFERROR(__xludf.DUMMYFUNCTION("""COMPUTED_VALUE"""),45494.0)</f>
        <v>45494</v>
      </c>
      <c r="C6159" s="266" t="str">
        <f>IFERROR(__xludf.DUMMYFUNCTION("""COMPUTED_VALUE"""),"KERTASARI CIAMIS")</f>
        <v>KERTASARI CIAMIS</v>
      </c>
      <c r="D6159" s="186">
        <f>IFERROR(__xludf.DUMMYFUNCTION("""COMPUTED_VALUE"""),10.0)</f>
        <v>10</v>
      </c>
    </row>
    <row r="6160">
      <c r="A6160" s="178" t="str">
        <f>IFERROR(__xludf.DUMMYFUNCTION("""COMPUTED_VALUE"""),"ITBISA-IC-PC817-DIP4")</f>
        <v>ITBISA-IC-PC817-DIP4</v>
      </c>
      <c r="B6160" s="266">
        <f>IFERROR(__xludf.DUMMYFUNCTION("""COMPUTED_VALUE"""),45496.0)</f>
        <v>45496</v>
      </c>
      <c r="C6160" s="266" t="str">
        <f>IFERROR(__xludf.DUMMYFUNCTION("""COMPUTED_VALUE"""),"KERTASARI CIAMIS")</f>
        <v>KERTASARI CIAMIS</v>
      </c>
      <c r="D6160" s="186">
        <f>IFERROR(__xludf.DUMMYFUNCTION("""COMPUTED_VALUE"""),50.0)</f>
        <v>50</v>
      </c>
    </row>
    <row r="6161">
      <c r="A6161" s="178" t="str">
        <f>IFERROR(__xludf.DUMMYFUNCTION("""COMPUTED_VALUE"""),"ITBISA-IC-PC817-DIP4")</f>
        <v>ITBISA-IC-PC817-DIP4</v>
      </c>
      <c r="B6161" s="266">
        <f>IFERROR(__xludf.DUMMYFUNCTION("""COMPUTED_VALUE"""),45497.0)</f>
        <v>45497</v>
      </c>
      <c r="C6161" s="266" t="str">
        <f>IFERROR(__xludf.DUMMYFUNCTION("""COMPUTED_VALUE"""),"KYAI KONTONG")</f>
        <v>KYAI KONTONG</v>
      </c>
      <c r="D6161" s="186">
        <f>IFERROR(__xludf.DUMMYFUNCTION("""COMPUTED_VALUE"""),30.0)</f>
        <v>30</v>
      </c>
    </row>
    <row r="6162">
      <c r="A6162" s="178" t="str">
        <f>IFERROR(__xludf.DUMMYFUNCTION("""COMPUTED_VALUE"""),"ITBISA-IC-PC817-DIP4")</f>
        <v>ITBISA-IC-PC817-DIP4</v>
      </c>
      <c r="B6162" s="266">
        <f>IFERROR(__xludf.DUMMYFUNCTION("""COMPUTED_VALUE"""),45500.0)</f>
        <v>45500</v>
      </c>
      <c r="C6162" s="266" t="str">
        <f>IFERROR(__xludf.DUMMYFUNCTION("""COMPUTED_VALUE"""),"KYAI KONTONG")</f>
        <v>KYAI KONTONG</v>
      </c>
      <c r="D6162" s="186">
        <f>IFERROR(__xludf.DUMMYFUNCTION("""COMPUTED_VALUE"""),20.0)</f>
        <v>20</v>
      </c>
    </row>
    <row r="6163">
      <c r="A6163" s="178" t="str">
        <f>IFERROR(__xludf.DUMMYFUNCTION("""COMPUTED_VALUE"""),"ITBISA-IC-PC817-DIP4")</f>
        <v>ITBISA-IC-PC817-DIP4</v>
      </c>
      <c r="B6163" s="266">
        <f>IFERROR(__xludf.DUMMYFUNCTION("""COMPUTED_VALUE"""),45502.0)</f>
        <v>45502</v>
      </c>
      <c r="C6163" s="266" t="str">
        <f>IFERROR(__xludf.DUMMYFUNCTION("""COMPUTED_VALUE"""),"KYAI KONTONG")</f>
        <v>KYAI KONTONG</v>
      </c>
      <c r="D6163" s="186">
        <f>IFERROR(__xludf.DUMMYFUNCTION("""COMPUTED_VALUE"""),10.0)</f>
        <v>10</v>
      </c>
    </row>
    <row r="6164">
      <c r="A6164" s="178" t="str">
        <f>IFERROR(__xludf.DUMMYFUNCTION("""COMPUTED_VALUE"""),"ITBISA-IC-PC817-DIP4")</f>
        <v>ITBISA-IC-PC817-DIP4</v>
      </c>
      <c r="B6164" s="266">
        <f>IFERROR(__xludf.DUMMYFUNCTION("""COMPUTED_VALUE"""),45503.0)</f>
        <v>45503</v>
      </c>
      <c r="C6164" s="266" t="str">
        <f>IFERROR(__xludf.DUMMYFUNCTION("""COMPUTED_VALUE"""),"KYAI KONTONG")</f>
        <v>KYAI KONTONG</v>
      </c>
      <c r="D6164" s="186">
        <f>IFERROR(__xludf.DUMMYFUNCTION("""COMPUTED_VALUE"""),30.0)</f>
        <v>30</v>
      </c>
    </row>
    <row r="6165">
      <c r="A6165" s="178" t="str">
        <f>IFERROR(__xludf.DUMMYFUNCTION("""COMPUTED_VALUE"""),"ITBISA-IC-PC817-DIP4")</f>
        <v>ITBISA-IC-PC817-DIP4</v>
      </c>
      <c r="B6165" s="266">
        <f>IFERROR(__xludf.DUMMYFUNCTION("""COMPUTED_VALUE"""),45509.0)</f>
        <v>45509</v>
      </c>
      <c r="C6165" s="266" t="str">
        <f>IFERROR(__xludf.DUMMYFUNCTION("""COMPUTED_VALUE"""),"KERTASARI CIAMIS")</f>
        <v>KERTASARI CIAMIS</v>
      </c>
      <c r="D6165" s="186">
        <f>IFERROR(__xludf.DUMMYFUNCTION("""COMPUTED_VALUE"""),10.0)</f>
        <v>10</v>
      </c>
    </row>
    <row r="6166">
      <c r="A6166" s="178" t="str">
        <f>IFERROR(__xludf.DUMMYFUNCTION("""COMPUTED_VALUE"""),"ITBISA-IC-PC817-DIP4")</f>
        <v>ITBISA-IC-PC817-DIP4</v>
      </c>
      <c r="B6166" s="266">
        <f>IFERROR(__xludf.DUMMYFUNCTION("""COMPUTED_VALUE"""),45509.0)</f>
        <v>45509</v>
      </c>
      <c r="C6166" s="266" t="str">
        <f>IFERROR(__xludf.DUMMYFUNCTION("""COMPUTED_VALUE"""),"KYAI KONTONG")</f>
        <v>KYAI KONTONG</v>
      </c>
      <c r="D6166" s="186">
        <f>IFERROR(__xludf.DUMMYFUNCTION("""COMPUTED_VALUE"""),10.0)</f>
        <v>10</v>
      </c>
    </row>
    <row r="6167">
      <c r="A6167" s="178" t="str">
        <f>IFERROR(__xludf.DUMMYFUNCTION("""COMPUTED_VALUE"""),"ITBISA-IC-PC817-DIP4")</f>
        <v>ITBISA-IC-PC817-DIP4</v>
      </c>
      <c r="B6167" s="266">
        <f>IFERROR(__xludf.DUMMYFUNCTION("""COMPUTED_VALUE"""),45509.0)</f>
        <v>45509</v>
      </c>
      <c r="C6167" s="266" t="str">
        <f>IFERROR(__xludf.DUMMYFUNCTION("""COMPUTED_VALUE"""),"KYAI KONTONG")</f>
        <v>KYAI KONTONG</v>
      </c>
      <c r="D6167" s="186">
        <f>IFERROR(__xludf.DUMMYFUNCTION("""COMPUTED_VALUE"""),100.0)</f>
        <v>100</v>
      </c>
    </row>
    <row r="6168">
      <c r="A6168" s="178" t="str">
        <f>IFERROR(__xludf.DUMMYFUNCTION("""COMPUTED_VALUE"""),"ITBISA-IC-PC817-DIP4")</f>
        <v>ITBISA-IC-PC817-DIP4</v>
      </c>
      <c r="B6168" s="266">
        <f>IFERROR(__xludf.DUMMYFUNCTION("""COMPUTED_VALUE"""),45513.0)</f>
        <v>45513</v>
      </c>
      <c r="C6168" s="266" t="str">
        <f>IFERROR(__xludf.DUMMYFUNCTION("""COMPUTED_VALUE"""),"KERTASARI CIAMIS")</f>
        <v>KERTASARI CIAMIS</v>
      </c>
      <c r="D6168" s="186">
        <f>IFERROR(__xludf.DUMMYFUNCTION("""COMPUTED_VALUE"""),10.0)</f>
        <v>10</v>
      </c>
    </row>
    <row r="6169">
      <c r="A6169" s="178" t="str">
        <f>IFERROR(__xludf.DUMMYFUNCTION("""COMPUTED_VALUE"""),"ITBISA-IC-PC817-DIP4")</f>
        <v>ITBISA-IC-PC817-DIP4</v>
      </c>
      <c r="B6169" s="266">
        <f>IFERROR(__xludf.DUMMYFUNCTION("""COMPUTED_VALUE"""),45513.0)</f>
        <v>45513</v>
      </c>
      <c r="C6169" s="266" t="str">
        <f>IFERROR(__xludf.DUMMYFUNCTION("""COMPUTED_VALUE"""),"KYAI KONTONG")</f>
        <v>KYAI KONTONG</v>
      </c>
      <c r="D6169" s="186">
        <f>IFERROR(__xludf.DUMMYFUNCTION("""COMPUTED_VALUE"""),10.0)</f>
        <v>10</v>
      </c>
    </row>
    <row r="6170">
      <c r="A6170" s="178" t="str">
        <f>IFERROR(__xludf.DUMMYFUNCTION("""COMPUTED_VALUE"""),"ITBISA-IC-PC817-DIP4")</f>
        <v>ITBISA-IC-PC817-DIP4</v>
      </c>
      <c r="B6170" s="266">
        <f>IFERROR(__xludf.DUMMYFUNCTION("""COMPUTED_VALUE"""),45513.0)</f>
        <v>45513</v>
      </c>
      <c r="C6170" s="266" t="str">
        <f>IFERROR(__xludf.DUMMYFUNCTION("""COMPUTED_VALUE"""),"KYAI KONTONG")</f>
        <v>KYAI KONTONG</v>
      </c>
      <c r="D6170" s="186">
        <f>IFERROR(__xludf.DUMMYFUNCTION("""COMPUTED_VALUE"""),301.0)</f>
        <v>301</v>
      </c>
    </row>
    <row r="6171">
      <c r="A6171" s="178" t="str">
        <f>IFERROR(__xludf.DUMMYFUNCTION("""COMPUTED_VALUE"""),"ITBISA-IC-PC817-DIP4")</f>
        <v>ITBISA-IC-PC817-DIP4</v>
      </c>
      <c r="B6171" s="266">
        <f>IFERROR(__xludf.DUMMYFUNCTION("""COMPUTED_VALUE"""),45514.0)</f>
        <v>45514</v>
      </c>
      <c r="C6171" s="266" t="str">
        <f>IFERROR(__xludf.DUMMYFUNCTION("""COMPUTED_VALUE"""),"KERTASARI CIAMIS")</f>
        <v>KERTASARI CIAMIS</v>
      </c>
      <c r="D6171" s="186">
        <f>IFERROR(__xludf.DUMMYFUNCTION("""COMPUTED_VALUE"""),50.0)</f>
        <v>50</v>
      </c>
    </row>
    <row r="6172">
      <c r="A6172" s="178" t="str">
        <f>IFERROR(__xludf.DUMMYFUNCTION("""COMPUTED_VALUE"""),"ITBISA-IC-PC817-DIP4")</f>
        <v>ITBISA-IC-PC817-DIP4</v>
      </c>
      <c r="B6172" s="266">
        <f>IFERROR(__xludf.DUMMYFUNCTION("""COMPUTED_VALUE"""),45516.0)</f>
        <v>45516</v>
      </c>
      <c r="C6172" s="266" t="str">
        <f>IFERROR(__xludf.DUMMYFUNCTION("""COMPUTED_VALUE"""),"KERTASARI CIAMIS")</f>
        <v>KERTASARI CIAMIS</v>
      </c>
      <c r="D6172" s="186">
        <f>IFERROR(__xludf.DUMMYFUNCTION("""COMPUTED_VALUE"""),10.0)</f>
        <v>10</v>
      </c>
    </row>
    <row r="6173">
      <c r="A6173" s="178" t="str">
        <f>IFERROR(__xludf.DUMMYFUNCTION("""COMPUTED_VALUE"""),"ITBISA-IC-PC817-DIP4")</f>
        <v>ITBISA-IC-PC817-DIP4</v>
      </c>
      <c r="B6173" s="266">
        <f>IFERROR(__xludf.DUMMYFUNCTION("""COMPUTED_VALUE"""),45517.0)</f>
        <v>45517</v>
      </c>
      <c r="C6173" s="266" t="str">
        <f>IFERROR(__xludf.DUMMYFUNCTION("""COMPUTED_VALUE"""),"KERTASARI CIAMIS")</f>
        <v>KERTASARI CIAMIS</v>
      </c>
      <c r="D6173" s="186">
        <f>IFERROR(__xludf.DUMMYFUNCTION("""COMPUTED_VALUE"""),30.0)</f>
        <v>30</v>
      </c>
    </row>
    <row r="6174">
      <c r="A6174" s="178" t="str">
        <f>IFERROR(__xludf.DUMMYFUNCTION("""COMPUTED_VALUE"""),"ITBISA-IC-PC817-DIP4")</f>
        <v>ITBISA-IC-PC817-DIP4</v>
      </c>
      <c r="B6174" s="266">
        <f>IFERROR(__xludf.DUMMYFUNCTION("""COMPUTED_VALUE"""),45517.0)</f>
        <v>45517</v>
      </c>
      <c r="C6174" s="266" t="str">
        <f>IFERROR(__xludf.DUMMYFUNCTION("""COMPUTED_VALUE"""),"KYAI KONTONG")</f>
        <v>KYAI KONTONG</v>
      </c>
      <c r="D6174" s="186">
        <f>IFERROR(__xludf.DUMMYFUNCTION("""COMPUTED_VALUE"""),500.0)</f>
        <v>500</v>
      </c>
    </row>
    <row r="6175">
      <c r="A6175" s="178" t="str">
        <f>IFERROR(__xludf.DUMMYFUNCTION("""COMPUTED_VALUE"""),"ITBISA-IC-PC817-DIP4")</f>
        <v>ITBISA-IC-PC817-DIP4</v>
      </c>
      <c r="B6175" s="266">
        <f>IFERROR(__xludf.DUMMYFUNCTION("""COMPUTED_VALUE"""),45521.0)</f>
        <v>45521</v>
      </c>
      <c r="C6175" s="266" t="str">
        <f>IFERROR(__xludf.DUMMYFUNCTION("""COMPUTED_VALUE"""),"KYAI KONTONG")</f>
        <v>KYAI KONTONG</v>
      </c>
      <c r="D6175" s="186">
        <f>IFERROR(__xludf.DUMMYFUNCTION("""COMPUTED_VALUE"""),15.0)</f>
        <v>15</v>
      </c>
    </row>
    <row r="6176">
      <c r="A6176" s="178" t="str">
        <f>IFERROR(__xludf.DUMMYFUNCTION("""COMPUTED_VALUE"""),"ITBISA-IC-PC817-DIP4")</f>
        <v>ITBISA-IC-PC817-DIP4</v>
      </c>
      <c r="B6176" s="266">
        <f>IFERROR(__xludf.DUMMYFUNCTION("""COMPUTED_VALUE"""),45523.0)</f>
        <v>45523</v>
      </c>
      <c r="C6176" s="266" t="str">
        <f>IFERROR(__xludf.DUMMYFUNCTION("""COMPUTED_VALUE"""),"KYAI KONTONG")</f>
        <v>KYAI KONTONG</v>
      </c>
      <c r="D6176" s="186">
        <f>IFERROR(__xludf.DUMMYFUNCTION("""COMPUTED_VALUE"""),12.0)</f>
        <v>12</v>
      </c>
    </row>
    <row r="6177">
      <c r="A6177" s="178" t="str">
        <f>IFERROR(__xludf.DUMMYFUNCTION("""COMPUTED_VALUE"""),"ITBISA-IC-PC817-DIP4")</f>
        <v>ITBISA-IC-PC817-DIP4</v>
      </c>
      <c r="B6177" s="266">
        <f>IFERROR(__xludf.DUMMYFUNCTION("""COMPUTED_VALUE"""),45525.0)</f>
        <v>45525</v>
      </c>
      <c r="C6177" s="266" t="str">
        <f>IFERROR(__xludf.DUMMYFUNCTION("""COMPUTED_VALUE"""),"KERTASARI CIAMIS")</f>
        <v>KERTASARI CIAMIS</v>
      </c>
      <c r="D6177" s="186">
        <f>IFERROR(__xludf.DUMMYFUNCTION("""COMPUTED_VALUE"""),15.0)</f>
        <v>15</v>
      </c>
    </row>
    <row r="6178">
      <c r="A6178" s="178" t="str">
        <f>IFERROR(__xludf.DUMMYFUNCTION("""COMPUTED_VALUE"""),"ITBISA-IC-PC817-DIP4")</f>
        <v>ITBISA-IC-PC817-DIP4</v>
      </c>
      <c r="B6178" s="266">
        <f>IFERROR(__xludf.DUMMYFUNCTION("""COMPUTED_VALUE"""),45534.0)</f>
        <v>45534</v>
      </c>
      <c r="C6178" s="266" t="str">
        <f>IFERROR(__xludf.DUMMYFUNCTION("""COMPUTED_VALUE"""),"KERTASARI CIAMIS")</f>
        <v>KERTASARI CIAMIS</v>
      </c>
      <c r="D6178" s="186">
        <f>IFERROR(__xludf.DUMMYFUNCTION("""COMPUTED_VALUE"""),11.0)</f>
        <v>11</v>
      </c>
    </row>
    <row r="6179">
      <c r="A6179" s="178" t="str">
        <f>IFERROR(__xludf.DUMMYFUNCTION("""COMPUTED_VALUE"""),"ITBISA-IC-PC817-DIP4")</f>
        <v>ITBISA-IC-PC817-DIP4</v>
      </c>
      <c r="B6179" s="266">
        <f>IFERROR(__xludf.DUMMYFUNCTION("""COMPUTED_VALUE"""),45535.0)</f>
        <v>45535</v>
      </c>
      <c r="C6179" s="266" t="str">
        <f>IFERROR(__xludf.DUMMYFUNCTION("""COMPUTED_VALUE"""),"KYAI KONTONG")</f>
        <v>KYAI KONTONG</v>
      </c>
      <c r="D6179" s="186">
        <f>IFERROR(__xludf.DUMMYFUNCTION("""COMPUTED_VALUE"""),10.0)</f>
        <v>10</v>
      </c>
    </row>
    <row r="6180">
      <c r="A6180" s="178" t="str">
        <f>IFERROR(__xludf.DUMMYFUNCTION("""COMPUTED_VALUE"""),"ITBISA-IC-PC817-DIP4")</f>
        <v>ITBISA-IC-PC817-DIP4</v>
      </c>
      <c r="B6180" s="266">
        <f>IFERROR(__xludf.DUMMYFUNCTION("""COMPUTED_VALUE"""),45541.0)</f>
        <v>45541</v>
      </c>
      <c r="C6180" s="266" t="str">
        <f>IFERROR(__xludf.DUMMYFUNCTION("""COMPUTED_VALUE"""),"KERTASARI CIAMIS")</f>
        <v>KERTASARI CIAMIS</v>
      </c>
      <c r="D6180" s="186">
        <f>IFERROR(__xludf.DUMMYFUNCTION("""COMPUTED_VALUE"""),50.0)</f>
        <v>50</v>
      </c>
    </row>
    <row r="6181">
      <c r="A6181" s="178" t="str">
        <f>IFERROR(__xludf.DUMMYFUNCTION("""COMPUTED_VALUE"""),"ITBISA-IC-PC817-DIP4")</f>
        <v>ITBISA-IC-PC817-DIP4</v>
      </c>
      <c r="B6181" s="266">
        <f>IFERROR(__xludf.DUMMYFUNCTION("""COMPUTED_VALUE"""),45549.0)</f>
        <v>45549</v>
      </c>
      <c r="C6181" s="266" t="str">
        <f>IFERROR(__xludf.DUMMYFUNCTION("""COMPUTED_VALUE"""),"KYAI KONTONG")</f>
        <v>KYAI KONTONG</v>
      </c>
      <c r="D6181" s="186">
        <f>IFERROR(__xludf.DUMMYFUNCTION("""COMPUTED_VALUE"""),30.0)</f>
        <v>30</v>
      </c>
    </row>
    <row r="6182">
      <c r="A6182" s="178" t="str">
        <f>IFERROR(__xludf.DUMMYFUNCTION("""COMPUTED_VALUE"""),"ITBISA-IC-PC817-DIP4")</f>
        <v>ITBISA-IC-PC817-DIP4</v>
      </c>
      <c r="B6182" s="266">
        <f>IFERROR(__xludf.DUMMYFUNCTION("""COMPUTED_VALUE"""),45558.0)</f>
        <v>45558</v>
      </c>
      <c r="C6182" s="266" t="str">
        <f>IFERROR(__xludf.DUMMYFUNCTION("""COMPUTED_VALUE"""),"KERTASARI CIAMIS")</f>
        <v>KERTASARI CIAMIS</v>
      </c>
      <c r="D6182" s="186">
        <f>IFERROR(__xludf.DUMMYFUNCTION("""COMPUTED_VALUE"""),10.0)</f>
        <v>10</v>
      </c>
    </row>
    <row r="6183">
      <c r="A6183" s="178" t="str">
        <f>IFERROR(__xludf.DUMMYFUNCTION("""COMPUTED_VALUE"""),"ITBISA-IC-PC817-DIP4")</f>
        <v>ITBISA-IC-PC817-DIP4</v>
      </c>
      <c r="B6183" s="266">
        <f>IFERROR(__xludf.DUMMYFUNCTION("""COMPUTED_VALUE"""),45563.0)</f>
        <v>45563</v>
      </c>
      <c r="C6183" s="266" t="str">
        <f>IFERROR(__xludf.DUMMYFUNCTION("""COMPUTED_VALUE"""),"KERTASARI CIAMIS")</f>
        <v>KERTASARI CIAMIS</v>
      </c>
      <c r="D6183" s="186">
        <f>IFERROR(__xludf.DUMMYFUNCTION("""COMPUTED_VALUE"""),300.0)</f>
        <v>300</v>
      </c>
    </row>
    <row r="6184">
      <c r="A6184" s="178" t="str">
        <f>IFERROR(__xludf.DUMMYFUNCTION("""COMPUTED_VALUE"""),"ITBISA-IC-PC817-DIP4")</f>
        <v>ITBISA-IC-PC817-DIP4</v>
      </c>
      <c r="B6184" s="266">
        <f>IFERROR(__xludf.DUMMYFUNCTION("""COMPUTED_VALUE"""),45566.0)</f>
        <v>45566</v>
      </c>
      <c r="C6184" s="266" t="str">
        <f>IFERROR(__xludf.DUMMYFUNCTION("""COMPUTED_VALUE"""),"KERTASARI CIAMIS")</f>
        <v>KERTASARI CIAMIS</v>
      </c>
      <c r="D6184" s="186">
        <f>IFERROR(__xludf.DUMMYFUNCTION("""COMPUTED_VALUE"""),150.0)</f>
        <v>150</v>
      </c>
    </row>
    <row r="6185">
      <c r="A6185" s="178" t="str">
        <f>IFERROR(__xludf.DUMMYFUNCTION("""COMPUTED_VALUE"""),"ITBISA-IC-PC817-DIP4")</f>
        <v>ITBISA-IC-PC817-DIP4</v>
      </c>
      <c r="B6185" s="266">
        <f>IFERROR(__xludf.DUMMYFUNCTION("""COMPUTED_VALUE"""),45576.0)</f>
        <v>45576</v>
      </c>
      <c r="C6185" s="266" t="str">
        <f>IFERROR(__xludf.DUMMYFUNCTION("""COMPUTED_VALUE"""),"KYAI KONTONG")</f>
        <v>KYAI KONTONG</v>
      </c>
      <c r="D6185" s="186">
        <f>IFERROR(__xludf.DUMMYFUNCTION("""COMPUTED_VALUE"""),110.0)</f>
        <v>110</v>
      </c>
    </row>
    <row r="6186">
      <c r="A6186" s="178" t="str">
        <f>IFERROR(__xludf.DUMMYFUNCTION("""COMPUTED_VALUE"""),"ITBISA-IC-PC817-DIP4")</f>
        <v>ITBISA-IC-PC817-DIP4</v>
      </c>
      <c r="B6186" s="266">
        <f>IFERROR(__xludf.DUMMYFUNCTION("""COMPUTED_VALUE"""),45587.0)</f>
        <v>45587</v>
      </c>
      <c r="C6186" s="266" t="str">
        <f>IFERROR(__xludf.DUMMYFUNCTION("""COMPUTED_VALUE"""),"KERTASARI CIAMIS")</f>
        <v>KERTASARI CIAMIS</v>
      </c>
      <c r="D6186" s="186">
        <f>IFERROR(__xludf.DUMMYFUNCTION("""COMPUTED_VALUE"""),30.0)</f>
        <v>30</v>
      </c>
    </row>
    <row r="6187">
      <c r="A6187" s="178" t="str">
        <f>IFERROR(__xludf.DUMMYFUNCTION("""COMPUTED_VALUE"""),"ITBISA-IC-PC817-DIP4")</f>
        <v>ITBISA-IC-PC817-DIP4</v>
      </c>
      <c r="B6187" s="266">
        <f>IFERROR(__xludf.DUMMYFUNCTION("""COMPUTED_VALUE"""),45596.0)</f>
        <v>45596</v>
      </c>
      <c r="C6187" s="266" t="str">
        <f>IFERROR(__xludf.DUMMYFUNCTION("""COMPUTED_VALUE"""),"KERTASARI CIAMIS")</f>
        <v>KERTASARI CIAMIS</v>
      </c>
      <c r="D6187" s="186">
        <f>IFERROR(__xludf.DUMMYFUNCTION("""COMPUTED_VALUE"""),87.0)</f>
        <v>87</v>
      </c>
    </row>
    <row r="6188">
      <c r="A6188" s="178" t="str">
        <f>IFERROR(__xludf.DUMMYFUNCTION("""COMPUTED_VALUE"""),"ITBISA-IC-PC817-DIP4")</f>
        <v>ITBISA-IC-PC817-DIP4</v>
      </c>
      <c r="B6188" s="266">
        <f>IFERROR(__xludf.DUMMYFUNCTION("""COMPUTED_VALUE"""),45604.0)</f>
        <v>45604</v>
      </c>
      <c r="C6188" s="266" t="str">
        <f>IFERROR(__xludf.DUMMYFUNCTION("""COMPUTED_VALUE"""),"KYAI KONTONG")</f>
        <v>KYAI KONTONG</v>
      </c>
      <c r="D6188" s="186">
        <f>IFERROR(__xludf.DUMMYFUNCTION("""COMPUTED_VALUE"""),50.0)</f>
        <v>50</v>
      </c>
    </row>
    <row r="6189">
      <c r="A6189" s="178" t="str">
        <f>IFERROR(__xludf.DUMMYFUNCTION("""COMPUTED_VALUE"""),"ITBISA-IC-PC817-DIP4")</f>
        <v>ITBISA-IC-PC817-DIP4</v>
      </c>
      <c r="B6189" s="266">
        <f>IFERROR(__xludf.DUMMYFUNCTION("""COMPUTED_VALUE"""),45608.0)</f>
        <v>45608</v>
      </c>
      <c r="C6189" s="266" t="str">
        <f>IFERROR(__xludf.DUMMYFUNCTION("""COMPUTED_VALUE"""),"KYAI KONTONG")</f>
        <v>KYAI KONTONG</v>
      </c>
      <c r="D6189" s="186">
        <f>IFERROR(__xludf.DUMMYFUNCTION("""COMPUTED_VALUE"""),12.0)</f>
        <v>12</v>
      </c>
    </row>
    <row r="6190">
      <c r="A6190" s="178" t="str">
        <f>IFERROR(__xludf.DUMMYFUNCTION("""COMPUTED_VALUE"""),"ITBISA-IC-PC817-DIP4")</f>
        <v>ITBISA-IC-PC817-DIP4</v>
      </c>
      <c r="B6190" s="266">
        <f>IFERROR(__xludf.DUMMYFUNCTION("""COMPUTED_VALUE"""),45613.0)</f>
        <v>45613</v>
      </c>
      <c r="C6190" s="266" t="str">
        <f>IFERROR(__xludf.DUMMYFUNCTION("""COMPUTED_VALUE"""),"KERTASARI CIAMIS")</f>
        <v>KERTASARI CIAMIS</v>
      </c>
      <c r="D6190" s="186">
        <f>IFERROR(__xludf.DUMMYFUNCTION("""COMPUTED_VALUE"""),28.0)</f>
        <v>28</v>
      </c>
    </row>
    <row r="6191">
      <c r="A6191" s="178" t="str">
        <f>IFERROR(__xludf.DUMMYFUNCTION("""COMPUTED_VALUE"""),"ITBISA-IC-PC817-DIP4")</f>
        <v>ITBISA-IC-PC817-DIP4</v>
      </c>
      <c r="B6191" s="266">
        <f>IFERROR(__xludf.DUMMYFUNCTION("""COMPUTED_VALUE"""),45614.0)</f>
        <v>45614</v>
      </c>
      <c r="C6191" s="266" t="str">
        <f>IFERROR(__xludf.DUMMYFUNCTION("""COMPUTED_VALUE"""),"KERTASARI CIAMIS")</f>
        <v>KERTASARI CIAMIS</v>
      </c>
      <c r="D6191" s="186">
        <f>IFERROR(__xludf.DUMMYFUNCTION("""COMPUTED_VALUE"""),100.0)</f>
        <v>100</v>
      </c>
    </row>
    <row r="6192">
      <c r="A6192" s="178" t="str">
        <f>IFERROR(__xludf.DUMMYFUNCTION("""COMPUTED_VALUE"""),"ITBISA-IC-PC817-DIP4")</f>
        <v>ITBISA-IC-PC817-DIP4</v>
      </c>
      <c r="B6192" s="266">
        <f>IFERROR(__xludf.DUMMYFUNCTION("""COMPUTED_VALUE"""),45618.0)</f>
        <v>45618</v>
      </c>
      <c r="C6192" s="266" t="str">
        <f>IFERROR(__xludf.DUMMYFUNCTION("""COMPUTED_VALUE"""),"KYAI KONTONG")</f>
        <v>KYAI KONTONG</v>
      </c>
      <c r="D6192" s="186">
        <f>IFERROR(__xludf.DUMMYFUNCTION("""COMPUTED_VALUE"""),233.0)</f>
        <v>233</v>
      </c>
    </row>
    <row r="6193">
      <c r="A6193" s="178" t="str">
        <f>IFERROR(__xludf.DUMMYFUNCTION("""COMPUTED_VALUE"""),"ITBISA-IC-PC817-DIP4")</f>
        <v>ITBISA-IC-PC817-DIP4</v>
      </c>
      <c r="B6193" s="266">
        <f>IFERROR(__xludf.DUMMYFUNCTION("""COMPUTED_VALUE"""),45643.0)</f>
        <v>45643</v>
      </c>
      <c r="C6193" s="266" t="str">
        <f>IFERROR(__xludf.DUMMYFUNCTION("""COMPUTED_VALUE"""),"KYAI KONTONG")</f>
        <v>KYAI KONTONG</v>
      </c>
      <c r="D6193" s="186">
        <f>IFERROR(__xludf.DUMMYFUNCTION("""COMPUTED_VALUE"""),10.0)</f>
        <v>10</v>
      </c>
    </row>
    <row r="6194">
      <c r="A6194" s="178" t="str">
        <f>IFERROR(__xludf.DUMMYFUNCTION("""COMPUTED_VALUE"""),"ITBISA-IC-PC817-DIP4")</f>
        <v>ITBISA-IC-PC817-DIP4</v>
      </c>
      <c r="B6194" s="266">
        <f>IFERROR(__xludf.DUMMYFUNCTION("""COMPUTED_VALUE"""),45649.0)</f>
        <v>45649</v>
      </c>
      <c r="C6194" s="266" t="str">
        <f>IFERROR(__xludf.DUMMYFUNCTION("""COMPUTED_VALUE"""),"KERTASARI CIAMIS")</f>
        <v>KERTASARI CIAMIS</v>
      </c>
      <c r="D6194" s="186">
        <f>IFERROR(__xludf.DUMMYFUNCTION("""COMPUTED_VALUE"""),100.0)</f>
        <v>100</v>
      </c>
    </row>
    <row r="6195">
      <c r="A6195" s="178" t="str">
        <f>IFERROR(__xludf.DUMMYFUNCTION("""COMPUTED_VALUE"""),"ITBISA-IC-PC817-DIP4")</f>
        <v>ITBISA-IC-PC817-DIP4</v>
      </c>
      <c r="B6195" s="266">
        <f>IFERROR(__xludf.DUMMYFUNCTION("""COMPUTED_VALUE"""),45651.0)</f>
        <v>45651</v>
      </c>
      <c r="C6195" s="266" t="str">
        <f>IFERROR(__xludf.DUMMYFUNCTION("""COMPUTED_VALUE"""),"KYAI KONTONG")</f>
        <v>KYAI KONTONG</v>
      </c>
      <c r="D6195" s="186">
        <f>IFERROR(__xludf.DUMMYFUNCTION("""COMPUTED_VALUE"""),10.0)</f>
        <v>10</v>
      </c>
    </row>
    <row r="6196">
      <c r="A6196" s="178" t="str">
        <f>IFERROR(__xludf.DUMMYFUNCTION("""COMPUTED_VALUE"""),"ITBISA-IC-PC817-DIP4")</f>
        <v>ITBISA-IC-PC817-DIP4</v>
      </c>
      <c r="B6196" s="266">
        <f>IFERROR(__xludf.DUMMYFUNCTION("""COMPUTED_VALUE"""),45656.0)</f>
        <v>45656</v>
      </c>
      <c r="C6196" s="266" t="str">
        <f>IFERROR(__xludf.DUMMYFUNCTION("""COMPUTED_VALUE"""),"KYAI KONTONG")</f>
        <v>KYAI KONTONG</v>
      </c>
      <c r="D6196" s="186">
        <f>IFERROR(__xludf.DUMMYFUNCTION("""COMPUTED_VALUE"""),61.0)</f>
        <v>61</v>
      </c>
    </row>
    <row r="6197">
      <c r="A6197" s="178" t="str">
        <f>IFERROR(__xludf.DUMMYFUNCTION("""COMPUTED_VALUE"""),"ITBISA-IC-PC817-DIP4")</f>
        <v>ITBISA-IC-PC817-DIP4</v>
      </c>
      <c r="B6197" s="266">
        <f>IFERROR(__xludf.DUMMYFUNCTION("""COMPUTED_VALUE"""),45657.0)</f>
        <v>45657</v>
      </c>
      <c r="C6197" s="266" t="str">
        <f>IFERROR(__xludf.DUMMYFUNCTION("""COMPUTED_VALUE"""),"KYAI KONTONG")</f>
        <v>KYAI KONTONG</v>
      </c>
      <c r="D6197" s="186">
        <f>IFERROR(__xludf.DUMMYFUNCTION("""COMPUTED_VALUE"""),300.0)</f>
        <v>300</v>
      </c>
    </row>
    <row r="6198">
      <c r="A6198" s="178" t="str">
        <f>IFERROR(__xludf.DUMMYFUNCTION("""COMPUTED_VALUE"""),"ITBISA-IC-PC817-DIP4")</f>
        <v>ITBISA-IC-PC817-DIP4</v>
      </c>
      <c r="B6198" s="266">
        <f>IFERROR(__xludf.DUMMYFUNCTION("""COMPUTED_VALUE"""),45659.0)</f>
        <v>45659</v>
      </c>
      <c r="C6198" s="266" t="str">
        <f>IFERROR(__xludf.DUMMYFUNCTION("""COMPUTED_VALUE"""),"KYAI KONTONG")</f>
        <v>KYAI KONTONG</v>
      </c>
      <c r="D6198" s="186">
        <f>IFERROR(__xludf.DUMMYFUNCTION("""COMPUTED_VALUE"""),150.0)</f>
        <v>150</v>
      </c>
    </row>
    <row r="6199">
      <c r="A6199" s="178" t="str">
        <f>IFERROR(__xludf.DUMMYFUNCTION("""COMPUTED_VALUE"""),"ITBISA-IC-PC817-DIP4")</f>
        <v>ITBISA-IC-PC817-DIP4</v>
      </c>
      <c r="B6199" s="266">
        <f>IFERROR(__xludf.DUMMYFUNCTION("""COMPUTED_VALUE"""),45660.0)</f>
        <v>45660</v>
      </c>
      <c r="C6199" s="266" t="str">
        <f>IFERROR(__xludf.DUMMYFUNCTION("""COMPUTED_VALUE"""),"KYAI KONTONG")</f>
        <v>KYAI KONTONG</v>
      </c>
      <c r="D6199" s="186">
        <f>IFERROR(__xludf.DUMMYFUNCTION("""COMPUTED_VALUE"""),10.0)</f>
        <v>10</v>
      </c>
    </row>
    <row r="6200">
      <c r="A6200" s="178" t="str">
        <f>IFERROR(__xludf.DUMMYFUNCTION("""COMPUTED_VALUE"""),"ITBISA-IC-PC817-DIP4")</f>
        <v>ITBISA-IC-PC817-DIP4</v>
      </c>
      <c r="B6200" s="266">
        <f>IFERROR(__xludf.DUMMYFUNCTION("""COMPUTED_VALUE"""),45667.0)</f>
        <v>45667</v>
      </c>
      <c r="C6200" s="266" t="str">
        <f>IFERROR(__xludf.DUMMYFUNCTION("""COMPUTED_VALUE"""),"KYAI KONTONG")</f>
        <v>KYAI KONTONG</v>
      </c>
      <c r="D6200" s="186">
        <f>IFERROR(__xludf.DUMMYFUNCTION("""COMPUTED_VALUE"""),30.0)</f>
        <v>30</v>
      </c>
    </row>
    <row r="6201">
      <c r="A6201" s="178" t="str">
        <f>IFERROR(__xludf.DUMMYFUNCTION("""COMPUTED_VALUE"""),"ITBISA-IC-PC817-DIP4")</f>
        <v>ITBISA-IC-PC817-DIP4</v>
      </c>
      <c r="B6201" s="266">
        <f>IFERROR(__xludf.DUMMYFUNCTION("""COMPUTED_VALUE"""),45667.0)</f>
        <v>45667</v>
      </c>
      <c r="C6201" s="266" t="str">
        <f>IFERROR(__xludf.DUMMYFUNCTION("""COMPUTED_VALUE"""),"KYAI KONTONG")</f>
        <v>KYAI KONTONG</v>
      </c>
      <c r="D6201" s="186">
        <f>IFERROR(__xludf.DUMMYFUNCTION("""COMPUTED_VALUE"""),100.0)</f>
        <v>100</v>
      </c>
    </row>
    <row r="6202">
      <c r="A6202" s="178" t="str">
        <f>IFERROR(__xludf.DUMMYFUNCTION("""COMPUTED_VALUE"""),"ITBISA-IC-PC817-DIP4")</f>
        <v>ITBISA-IC-PC817-DIP4</v>
      </c>
      <c r="B6202" s="266">
        <f>IFERROR(__xludf.DUMMYFUNCTION("""COMPUTED_VALUE"""),45670.0)</f>
        <v>45670</v>
      </c>
      <c r="C6202" s="266" t="str">
        <f>IFERROR(__xludf.DUMMYFUNCTION("""COMPUTED_VALUE"""),"KERTASARI CIAMIS")</f>
        <v>KERTASARI CIAMIS</v>
      </c>
      <c r="D6202" s="186">
        <f>IFERROR(__xludf.DUMMYFUNCTION("""COMPUTED_VALUE"""),200.0)</f>
        <v>200</v>
      </c>
    </row>
    <row r="6203">
      <c r="A6203" s="178" t="str">
        <f>IFERROR(__xludf.DUMMYFUNCTION("""COMPUTED_VALUE"""),"ITBISA-IC-PC817-DIP4")</f>
        <v>ITBISA-IC-PC817-DIP4</v>
      </c>
      <c r="B6203" s="266">
        <f>IFERROR(__xludf.DUMMYFUNCTION("""COMPUTED_VALUE"""),45670.0)</f>
        <v>45670</v>
      </c>
      <c r="C6203" s="266" t="str">
        <f>IFERROR(__xludf.DUMMYFUNCTION("""COMPUTED_VALUE"""),"KYAI KONTONG")</f>
        <v>KYAI KONTONG</v>
      </c>
      <c r="D6203" s="186">
        <f>IFERROR(__xludf.DUMMYFUNCTION("""COMPUTED_VALUE"""),15.0)</f>
        <v>15</v>
      </c>
    </row>
    <row r="6204">
      <c r="A6204" s="178" t="str">
        <f>IFERROR(__xludf.DUMMYFUNCTION("""COMPUTED_VALUE"""),"ITBISA-IC-PC817-DIP4")</f>
        <v>ITBISA-IC-PC817-DIP4</v>
      </c>
      <c r="B6204" s="266">
        <f>IFERROR(__xludf.DUMMYFUNCTION("""COMPUTED_VALUE"""),45671.0)</f>
        <v>45671</v>
      </c>
      <c r="C6204" s="266" t="str">
        <f>IFERROR(__xludf.DUMMYFUNCTION("""COMPUTED_VALUE"""),"KYAI KONTONG")</f>
        <v>KYAI KONTONG</v>
      </c>
      <c r="D6204" s="186">
        <f>IFERROR(__xludf.DUMMYFUNCTION("""COMPUTED_VALUE"""),10.0)</f>
        <v>10</v>
      </c>
    </row>
    <row r="6205">
      <c r="A6205" s="178" t="str">
        <f>IFERROR(__xludf.DUMMYFUNCTION("""COMPUTED_VALUE"""),"ITBISA-IC-PC817-DIP4")</f>
        <v>ITBISA-IC-PC817-DIP4</v>
      </c>
      <c r="B6205" s="266">
        <f>IFERROR(__xludf.DUMMYFUNCTION("""COMPUTED_VALUE"""),45671.0)</f>
        <v>45671</v>
      </c>
      <c r="C6205" s="266" t="str">
        <f>IFERROR(__xludf.DUMMYFUNCTION("""COMPUTED_VALUE"""),"KYAI KONTONG")</f>
        <v>KYAI KONTONG</v>
      </c>
      <c r="D6205" s="186">
        <f>IFERROR(__xludf.DUMMYFUNCTION("""COMPUTED_VALUE"""),10.0)</f>
        <v>10</v>
      </c>
    </row>
    <row r="6206">
      <c r="A6206" s="178" t="str">
        <f>IFERROR(__xludf.DUMMYFUNCTION("""COMPUTED_VALUE"""),"ITBISA-IC-PC817-DIP4")</f>
        <v>ITBISA-IC-PC817-DIP4</v>
      </c>
      <c r="B6206" s="266">
        <f>IFERROR(__xludf.DUMMYFUNCTION("""COMPUTED_VALUE"""),45674.0)</f>
        <v>45674</v>
      </c>
      <c r="C6206" s="266" t="str">
        <f>IFERROR(__xludf.DUMMYFUNCTION("""COMPUTED_VALUE"""),"KYAI KONTONG")</f>
        <v>KYAI KONTONG</v>
      </c>
      <c r="D6206" s="186">
        <f>IFERROR(__xludf.DUMMYFUNCTION("""COMPUTED_VALUE"""),50.0)</f>
        <v>50</v>
      </c>
    </row>
    <row r="6207">
      <c r="A6207" s="178" t="str">
        <f>IFERROR(__xludf.DUMMYFUNCTION("""COMPUTED_VALUE"""),"ITBISA-IC-PC817-DIP4")</f>
        <v>ITBISA-IC-PC817-DIP4</v>
      </c>
      <c r="B6207" s="266">
        <f>IFERROR(__xludf.DUMMYFUNCTION("""COMPUTED_VALUE"""),45674.0)</f>
        <v>45674</v>
      </c>
      <c r="C6207" s="266" t="str">
        <f>IFERROR(__xludf.DUMMYFUNCTION("""COMPUTED_VALUE"""),"KYAI KONTONG")</f>
        <v>KYAI KONTONG</v>
      </c>
      <c r="D6207" s="186">
        <f>IFERROR(__xludf.DUMMYFUNCTION("""COMPUTED_VALUE"""),885.0)</f>
        <v>885</v>
      </c>
    </row>
    <row r="6208">
      <c r="A6208" s="178" t="str">
        <f>IFERROR(__xludf.DUMMYFUNCTION("""COMPUTED_VALUE"""),"ITBISA-IC-PC817-DIP4")</f>
        <v>ITBISA-IC-PC817-DIP4</v>
      </c>
      <c r="B6208" s="266">
        <f>IFERROR(__xludf.DUMMYFUNCTION("""COMPUTED_VALUE"""),45679.0)</f>
        <v>45679</v>
      </c>
      <c r="C6208" s="266" t="str">
        <f>IFERROR(__xludf.DUMMYFUNCTION("""COMPUTED_VALUE"""),"KERTASARI CIAMIS")</f>
        <v>KERTASARI CIAMIS</v>
      </c>
      <c r="D6208" s="186">
        <f>IFERROR(__xludf.DUMMYFUNCTION("""COMPUTED_VALUE"""),10.0)</f>
        <v>10</v>
      </c>
    </row>
    <row r="6209">
      <c r="A6209" s="178" t="str">
        <f>IFERROR(__xludf.DUMMYFUNCTION("""COMPUTED_VALUE"""),"ITBISA-IC-PC817-DIP4")</f>
        <v>ITBISA-IC-PC817-DIP4</v>
      </c>
      <c r="B6209" s="266">
        <f>IFERROR(__xludf.DUMMYFUNCTION("""COMPUTED_VALUE"""),45680.0)</f>
        <v>45680</v>
      </c>
      <c r="C6209" s="266" t="str">
        <f>IFERROR(__xludf.DUMMYFUNCTION("""COMPUTED_VALUE"""),"KYAI KONTONG")</f>
        <v>KYAI KONTONG</v>
      </c>
      <c r="D6209" s="186">
        <f>IFERROR(__xludf.DUMMYFUNCTION("""COMPUTED_VALUE"""),20.0)</f>
        <v>20</v>
      </c>
    </row>
    <row r="6210">
      <c r="A6210" s="178" t="str">
        <f>IFERROR(__xludf.DUMMYFUNCTION("""COMPUTED_VALUE"""),"ITBISA-IC-PC817-DIP4")</f>
        <v>ITBISA-IC-PC817-DIP4</v>
      </c>
      <c r="B6210" s="266">
        <f>IFERROR(__xludf.DUMMYFUNCTION("""COMPUTED_VALUE"""),45681.0)</f>
        <v>45681</v>
      </c>
      <c r="C6210" s="266" t="str">
        <f>IFERROR(__xludf.DUMMYFUNCTION("""COMPUTED_VALUE"""),"KYAI KONTONG")</f>
        <v>KYAI KONTONG</v>
      </c>
      <c r="D6210" s="186">
        <f>IFERROR(__xludf.DUMMYFUNCTION("""COMPUTED_VALUE"""),10.0)</f>
        <v>10</v>
      </c>
    </row>
    <row r="6211">
      <c r="A6211" s="178" t="str">
        <f>IFERROR(__xludf.DUMMYFUNCTION("""COMPUTED_VALUE"""),"ITBISA-IC-PC817-DIP4")</f>
        <v>ITBISA-IC-PC817-DIP4</v>
      </c>
      <c r="B6211" s="266">
        <f>IFERROR(__xludf.DUMMYFUNCTION("""COMPUTED_VALUE"""),45686.0)</f>
        <v>45686</v>
      </c>
      <c r="C6211" s="266" t="str">
        <f>IFERROR(__xludf.DUMMYFUNCTION("""COMPUTED_VALUE"""),"KERTASARI CIAMIS")</f>
        <v>KERTASARI CIAMIS</v>
      </c>
      <c r="D6211" s="186">
        <f>IFERROR(__xludf.DUMMYFUNCTION("""COMPUTED_VALUE"""),20.0)</f>
        <v>20</v>
      </c>
    </row>
    <row r="6212">
      <c r="A6212" s="178" t="str">
        <f>IFERROR(__xludf.DUMMYFUNCTION("""COMPUTED_VALUE"""),"ITBISA-IC-PC817-DIP4")</f>
        <v>ITBISA-IC-PC817-DIP4</v>
      </c>
      <c r="B6212" s="266">
        <f>IFERROR(__xludf.DUMMYFUNCTION("""COMPUTED_VALUE"""),45686.0)</f>
        <v>45686</v>
      </c>
      <c r="C6212" s="266" t="str">
        <f>IFERROR(__xludf.DUMMYFUNCTION("""COMPUTED_VALUE"""),"KERTASARI CIAMIS")</f>
        <v>KERTASARI CIAMIS</v>
      </c>
      <c r="D6212" s="186">
        <f>IFERROR(__xludf.DUMMYFUNCTION("""COMPUTED_VALUE"""),50.0)</f>
        <v>50</v>
      </c>
    </row>
    <row r="6213">
      <c r="A6213" s="178" t="str">
        <f>IFERROR(__xludf.DUMMYFUNCTION("""COMPUTED_VALUE"""),"ITBISA-IC-PC817-DIP4")</f>
        <v>ITBISA-IC-PC817-DIP4</v>
      </c>
      <c r="B6213" s="266">
        <f>IFERROR(__xludf.DUMMYFUNCTION("""COMPUTED_VALUE"""),45688.0)</f>
        <v>45688</v>
      </c>
      <c r="C6213" s="266" t="str">
        <f>IFERROR(__xludf.DUMMYFUNCTION("""COMPUTED_VALUE"""),"KERTASARI CIAMIS")</f>
        <v>KERTASARI CIAMIS</v>
      </c>
      <c r="D6213" s="186">
        <f>IFERROR(__xludf.DUMMYFUNCTION("""COMPUTED_VALUE"""),10.0)</f>
        <v>10</v>
      </c>
    </row>
    <row r="6214">
      <c r="A6214" s="178" t="str">
        <f>IFERROR(__xludf.DUMMYFUNCTION("""COMPUTED_VALUE"""),"ITBISA-IC-PC817-DIP4")</f>
        <v>ITBISA-IC-PC817-DIP4</v>
      </c>
      <c r="B6214" s="266">
        <f>IFERROR(__xludf.DUMMYFUNCTION("""COMPUTED_VALUE"""),45689.0)</f>
        <v>45689</v>
      </c>
      <c r="C6214" s="266" t="str">
        <f>IFERROR(__xludf.DUMMYFUNCTION("""COMPUTED_VALUE"""),"KYAI KONTONG")</f>
        <v>KYAI KONTONG</v>
      </c>
      <c r="D6214" s="186">
        <f>IFERROR(__xludf.DUMMYFUNCTION("""COMPUTED_VALUE"""),30.0)</f>
        <v>30</v>
      </c>
    </row>
    <row r="6215">
      <c r="A6215" s="178" t="str">
        <f>IFERROR(__xludf.DUMMYFUNCTION("""COMPUTED_VALUE"""),"ITBISA-IC-PC817-DIP4")</f>
        <v>ITBISA-IC-PC817-DIP4</v>
      </c>
      <c r="B6215" s="266">
        <f>IFERROR(__xludf.DUMMYFUNCTION("""COMPUTED_VALUE"""),45690.0)</f>
        <v>45690</v>
      </c>
      <c r="C6215" s="266" t="str">
        <f>IFERROR(__xludf.DUMMYFUNCTION("""COMPUTED_VALUE"""),"KERTASARI CIAMIS")</f>
        <v>KERTASARI CIAMIS</v>
      </c>
      <c r="D6215" s="186">
        <f>IFERROR(__xludf.DUMMYFUNCTION("""COMPUTED_VALUE"""),100.0)</f>
        <v>100</v>
      </c>
    </row>
    <row r="6216">
      <c r="A6216" s="178" t="str">
        <f>IFERROR(__xludf.DUMMYFUNCTION("""COMPUTED_VALUE"""),"ITBISA-IC-PC817-DIP4")</f>
        <v>ITBISA-IC-PC817-DIP4</v>
      </c>
      <c r="B6216" s="266">
        <f>IFERROR(__xludf.DUMMYFUNCTION("""COMPUTED_VALUE"""),45690.0)</f>
        <v>45690</v>
      </c>
      <c r="C6216" s="266" t="str">
        <f>IFERROR(__xludf.DUMMYFUNCTION("""COMPUTED_VALUE"""),"KYAI KONTONG")</f>
        <v>KYAI KONTONG</v>
      </c>
      <c r="D6216" s="186">
        <f>IFERROR(__xludf.DUMMYFUNCTION("""COMPUTED_VALUE"""),10.0)</f>
        <v>10</v>
      </c>
    </row>
    <row r="6217">
      <c r="A6217" s="178" t="str">
        <f>IFERROR(__xludf.DUMMYFUNCTION("""COMPUTED_VALUE"""),"ITBISA-IC-PC817-DIP4")</f>
        <v>ITBISA-IC-PC817-DIP4</v>
      </c>
      <c r="B6217" s="266">
        <f>IFERROR(__xludf.DUMMYFUNCTION("""COMPUTED_VALUE"""),45690.0)</f>
        <v>45690</v>
      </c>
      <c r="C6217" s="266" t="str">
        <f>IFERROR(__xludf.DUMMYFUNCTION("""COMPUTED_VALUE"""),"KYAI KONTONG")</f>
        <v>KYAI KONTONG</v>
      </c>
      <c r="D6217" s="186">
        <f>IFERROR(__xludf.DUMMYFUNCTION("""COMPUTED_VALUE"""),45.0)</f>
        <v>45</v>
      </c>
    </row>
    <row r="6218">
      <c r="A6218" s="178" t="str">
        <f>IFERROR(__xludf.DUMMYFUNCTION("""COMPUTED_VALUE"""),"ITBISA-IC-PC817-DIP4")</f>
        <v>ITBISA-IC-PC817-DIP4</v>
      </c>
      <c r="B6218" s="266">
        <f>IFERROR(__xludf.DUMMYFUNCTION("""COMPUTED_VALUE"""),45691.0)</f>
        <v>45691</v>
      </c>
      <c r="C6218" s="266" t="str">
        <f>IFERROR(__xludf.DUMMYFUNCTION("""COMPUTED_VALUE"""),"KYAI KONTONG")</f>
        <v>KYAI KONTONG</v>
      </c>
      <c r="D6218" s="186">
        <f>IFERROR(__xludf.DUMMYFUNCTION("""COMPUTED_VALUE"""),10.0)</f>
        <v>10</v>
      </c>
    </row>
    <row r="6219">
      <c r="A6219" s="178" t="str">
        <f>IFERROR(__xludf.DUMMYFUNCTION("""COMPUTED_VALUE"""),"ITBISA-IC-PC817-DIP4")</f>
        <v>ITBISA-IC-PC817-DIP4</v>
      </c>
      <c r="B6219" s="266">
        <f>IFERROR(__xludf.DUMMYFUNCTION("""COMPUTED_VALUE"""),45692.0)</f>
        <v>45692</v>
      </c>
      <c r="C6219" s="266" t="str">
        <f>IFERROR(__xludf.DUMMYFUNCTION("""COMPUTED_VALUE"""),"KERTASARI CIAMIS")</f>
        <v>KERTASARI CIAMIS</v>
      </c>
      <c r="D6219" s="186">
        <f>IFERROR(__xludf.DUMMYFUNCTION("""COMPUTED_VALUE"""),200.0)</f>
        <v>200</v>
      </c>
    </row>
    <row r="6220">
      <c r="A6220" s="178" t="str">
        <f>IFERROR(__xludf.DUMMYFUNCTION("""COMPUTED_VALUE"""),"ITBISA-IC-PC817-DIP4")</f>
        <v>ITBISA-IC-PC817-DIP4</v>
      </c>
      <c r="B6220" s="266">
        <f>IFERROR(__xludf.DUMMYFUNCTION("""COMPUTED_VALUE"""),45695.0)</f>
        <v>45695</v>
      </c>
      <c r="C6220" s="266" t="str">
        <f>IFERROR(__xludf.DUMMYFUNCTION("""COMPUTED_VALUE"""),"KERTASARI CIAMIS")</f>
        <v>KERTASARI CIAMIS</v>
      </c>
      <c r="D6220" s="186">
        <f>IFERROR(__xludf.DUMMYFUNCTION("""COMPUTED_VALUE"""),100.0)</f>
        <v>100</v>
      </c>
    </row>
    <row r="6221">
      <c r="A6221" s="178" t="str">
        <f>IFERROR(__xludf.DUMMYFUNCTION("""COMPUTED_VALUE"""),"ITBISA-IC-PC817-DIP4")</f>
        <v>ITBISA-IC-PC817-DIP4</v>
      </c>
      <c r="B6221" s="266">
        <f>IFERROR(__xludf.DUMMYFUNCTION("""COMPUTED_VALUE"""),45695.0)</f>
        <v>45695</v>
      </c>
      <c r="C6221" s="266" t="str">
        <f>IFERROR(__xludf.DUMMYFUNCTION("""COMPUTED_VALUE"""),"KERTASARI CIAMIS")</f>
        <v>KERTASARI CIAMIS</v>
      </c>
      <c r="D6221" s="186">
        <f>IFERROR(__xludf.DUMMYFUNCTION("""COMPUTED_VALUE"""),300.0)</f>
        <v>300</v>
      </c>
    </row>
    <row r="6222">
      <c r="A6222" s="178" t="str">
        <f>IFERROR(__xludf.DUMMYFUNCTION("""COMPUTED_VALUE"""),"ITBISA-IC-PC817-DIP4")</f>
        <v>ITBISA-IC-PC817-DIP4</v>
      </c>
      <c r="B6222" s="266">
        <f>IFERROR(__xludf.DUMMYFUNCTION("""COMPUTED_VALUE"""),45695.0)</f>
        <v>45695</v>
      </c>
      <c r="C6222" s="266" t="str">
        <f>IFERROR(__xludf.DUMMYFUNCTION("""COMPUTED_VALUE"""),"KYAI KONTONG")</f>
        <v>KYAI KONTONG</v>
      </c>
      <c r="D6222" s="186">
        <f>IFERROR(__xludf.DUMMYFUNCTION("""COMPUTED_VALUE"""),10.0)</f>
        <v>10</v>
      </c>
    </row>
    <row r="6223">
      <c r="A6223" s="178" t="str">
        <f>IFERROR(__xludf.DUMMYFUNCTION("""COMPUTED_VALUE"""),"ITBISA-IC-PC817-DIP4")</f>
        <v>ITBISA-IC-PC817-DIP4</v>
      </c>
      <c r="B6223" s="266">
        <f>IFERROR(__xludf.DUMMYFUNCTION("""COMPUTED_VALUE"""),45697.0)</f>
        <v>45697</v>
      </c>
      <c r="C6223" s="266" t="str">
        <f>IFERROR(__xludf.DUMMYFUNCTION("""COMPUTED_VALUE"""),"KERTASARI CIAMIS")</f>
        <v>KERTASARI CIAMIS</v>
      </c>
      <c r="D6223" s="186">
        <f>IFERROR(__xludf.DUMMYFUNCTION("""COMPUTED_VALUE"""),10.0)</f>
        <v>10</v>
      </c>
    </row>
    <row r="6224">
      <c r="A6224" s="178" t="str">
        <f>IFERROR(__xludf.DUMMYFUNCTION("""COMPUTED_VALUE"""),"ITBISA-IC-PC817-DIP4")</f>
        <v>ITBISA-IC-PC817-DIP4</v>
      </c>
      <c r="B6224" s="266">
        <f>IFERROR(__xludf.DUMMYFUNCTION("""COMPUTED_VALUE"""),45698.0)</f>
        <v>45698</v>
      </c>
      <c r="C6224" s="266" t="str">
        <f>IFERROR(__xludf.DUMMYFUNCTION("""COMPUTED_VALUE"""),"KERTASARI CIAMIS")</f>
        <v>KERTASARI CIAMIS</v>
      </c>
      <c r="D6224" s="186">
        <f>IFERROR(__xludf.DUMMYFUNCTION("""COMPUTED_VALUE"""),10.0)</f>
        <v>10</v>
      </c>
    </row>
    <row r="6225">
      <c r="A6225" s="178" t="str">
        <f>IFERROR(__xludf.DUMMYFUNCTION("""COMPUTED_VALUE"""),"ITBISA-IC-PC817-DIP4")</f>
        <v>ITBISA-IC-PC817-DIP4</v>
      </c>
      <c r="B6225" s="266">
        <f>IFERROR(__xludf.DUMMYFUNCTION("""COMPUTED_VALUE"""),45701.0)</f>
        <v>45701</v>
      </c>
      <c r="C6225" s="266" t="str">
        <f>IFERROR(__xludf.DUMMYFUNCTION("""COMPUTED_VALUE"""),"KYAI KONTONG")</f>
        <v>KYAI KONTONG</v>
      </c>
      <c r="D6225" s="186">
        <f>IFERROR(__xludf.DUMMYFUNCTION("""COMPUTED_VALUE"""),10.0)</f>
        <v>10</v>
      </c>
    </row>
    <row r="6226">
      <c r="A6226" s="178" t="str">
        <f>IFERROR(__xludf.DUMMYFUNCTION("""COMPUTED_VALUE"""),"ITBISA-IC-PC817-DIP4")</f>
        <v>ITBISA-IC-PC817-DIP4</v>
      </c>
      <c r="B6226" s="266">
        <f>IFERROR(__xludf.DUMMYFUNCTION("""COMPUTED_VALUE"""),45702.0)</f>
        <v>45702</v>
      </c>
      <c r="C6226" s="266" t="str">
        <f>IFERROR(__xludf.DUMMYFUNCTION("""COMPUTED_VALUE"""),"KERTASARI CIAMIS")</f>
        <v>KERTASARI CIAMIS</v>
      </c>
      <c r="D6226" s="186">
        <f>IFERROR(__xludf.DUMMYFUNCTION("""COMPUTED_VALUE"""),20.0)</f>
        <v>20</v>
      </c>
    </row>
    <row r="6227">
      <c r="A6227" s="178" t="str">
        <f>IFERROR(__xludf.DUMMYFUNCTION("""COMPUTED_VALUE"""),"ITBISA-IC-PC817-DIP4")</f>
        <v>ITBISA-IC-PC817-DIP4</v>
      </c>
      <c r="B6227" s="266">
        <f>IFERROR(__xludf.DUMMYFUNCTION("""COMPUTED_VALUE"""),45703.0)</f>
        <v>45703</v>
      </c>
      <c r="C6227" s="266" t="str">
        <f>IFERROR(__xludf.DUMMYFUNCTION("""COMPUTED_VALUE"""),"KERTASARI CIAMIS")</f>
        <v>KERTASARI CIAMIS</v>
      </c>
      <c r="D6227" s="186">
        <f>IFERROR(__xludf.DUMMYFUNCTION("""COMPUTED_VALUE"""),35.0)</f>
        <v>35</v>
      </c>
    </row>
    <row r="6228">
      <c r="A6228" s="178" t="str">
        <f>IFERROR(__xludf.DUMMYFUNCTION("""COMPUTED_VALUE"""),"ITBISA-IC-PC817-DIP4")</f>
        <v>ITBISA-IC-PC817-DIP4</v>
      </c>
      <c r="B6228" s="266">
        <f>IFERROR(__xludf.DUMMYFUNCTION("""COMPUTED_VALUE"""),45704.0)</f>
        <v>45704</v>
      </c>
      <c r="C6228" s="266" t="str">
        <f>IFERROR(__xludf.DUMMYFUNCTION("""COMPUTED_VALUE"""),"KERTASARI CIAMIS")</f>
        <v>KERTASARI CIAMIS</v>
      </c>
      <c r="D6228" s="186">
        <f>IFERROR(__xludf.DUMMYFUNCTION("""COMPUTED_VALUE"""),150.0)</f>
        <v>150</v>
      </c>
    </row>
    <row r="6229">
      <c r="A6229" s="178" t="str">
        <f>IFERROR(__xludf.DUMMYFUNCTION("""COMPUTED_VALUE"""),"ITBISA-IC-PC817-DIP4")</f>
        <v>ITBISA-IC-PC817-DIP4</v>
      </c>
      <c r="B6229" s="266">
        <f>IFERROR(__xludf.DUMMYFUNCTION("""COMPUTED_VALUE"""),45717.0)</f>
        <v>45717</v>
      </c>
      <c r="C6229" s="266" t="str">
        <f>IFERROR(__xludf.DUMMYFUNCTION("""COMPUTED_VALUE"""),"KERTASARI CIAMIS")</f>
        <v>KERTASARI CIAMIS</v>
      </c>
      <c r="D6229" s="186">
        <f>IFERROR(__xludf.DUMMYFUNCTION("""COMPUTED_VALUE"""),50.0)</f>
        <v>50</v>
      </c>
    </row>
    <row r="6230">
      <c r="A6230" s="178" t="str">
        <f>IFERROR(__xludf.DUMMYFUNCTION("""COMPUTED_VALUE"""),"ITBISA-IC-PC817-DIP4")</f>
        <v>ITBISA-IC-PC817-DIP4</v>
      </c>
      <c r="B6230" s="266">
        <f>IFERROR(__xludf.DUMMYFUNCTION("""COMPUTED_VALUE"""),45721.0)</f>
        <v>45721</v>
      </c>
      <c r="C6230" s="266" t="str">
        <f>IFERROR(__xludf.DUMMYFUNCTION("""COMPUTED_VALUE"""),"KERTASARI CIAMIS")</f>
        <v>KERTASARI CIAMIS</v>
      </c>
      <c r="D6230" s="186">
        <f>IFERROR(__xludf.DUMMYFUNCTION("""COMPUTED_VALUE"""),120.0)</f>
        <v>120</v>
      </c>
    </row>
    <row r="6231">
      <c r="A6231" s="178" t="str">
        <f>IFERROR(__xludf.DUMMYFUNCTION("""COMPUTED_VALUE"""),"ITBISA-IC-PC817-DIP4")</f>
        <v>ITBISA-IC-PC817-DIP4</v>
      </c>
      <c r="B6231" s="266">
        <f>IFERROR(__xludf.DUMMYFUNCTION("""COMPUTED_VALUE"""),45724.0)</f>
        <v>45724</v>
      </c>
      <c r="C6231" s="266" t="str">
        <f>IFERROR(__xludf.DUMMYFUNCTION("""COMPUTED_VALUE"""),"KERTASARI CIAMIS")</f>
        <v>KERTASARI CIAMIS</v>
      </c>
      <c r="D6231" s="186">
        <f>IFERROR(__xludf.DUMMYFUNCTION("""COMPUTED_VALUE"""),120.0)</f>
        <v>120</v>
      </c>
    </row>
    <row r="6232">
      <c r="A6232" s="178" t="str">
        <f>IFERROR(__xludf.DUMMYFUNCTION("""COMPUTED_VALUE"""),"ITBISA-IC-PC817-DIP4")</f>
        <v>ITBISA-IC-PC817-DIP4</v>
      </c>
      <c r="B6232" s="266">
        <f>IFERROR(__xludf.DUMMYFUNCTION("""COMPUTED_VALUE"""),45728.0)</f>
        <v>45728</v>
      </c>
      <c r="C6232" s="266" t="str">
        <f>IFERROR(__xludf.DUMMYFUNCTION("""COMPUTED_VALUE"""),"KYAI KONTONG")</f>
        <v>KYAI KONTONG</v>
      </c>
      <c r="D6232" s="186">
        <f>IFERROR(__xludf.DUMMYFUNCTION("""COMPUTED_VALUE"""),20.0)</f>
        <v>20</v>
      </c>
    </row>
    <row r="6233">
      <c r="A6233" s="178" t="str">
        <f>IFERROR(__xludf.DUMMYFUNCTION("""COMPUTED_VALUE"""),"ITBISA-IC-PC817-DIP4")</f>
        <v>ITBISA-IC-PC817-DIP4</v>
      </c>
      <c r="B6233" s="266">
        <f>IFERROR(__xludf.DUMMYFUNCTION("""COMPUTED_VALUE"""),45731.0)</f>
        <v>45731</v>
      </c>
      <c r="C6233" s="266" t="str">
        <f>IFERROR(__xludf.DUMMYFUNCTION("""COMPUTED_VALUE"""),"KERTASARI CIAMIS")</f>
        <v>KERTASARI CIAMIS</v>
      </c>
      <c r="D6233" s="186">
        <f>IFERROR(__xludf.DUMMYFUNCTION("""COMPUTED_VALUE"""),50.0)</f>
        <v>50</v>
      </c>
    </row>
    <row r="6234">
      <c r="A6234" s="178" t="str">
        <f>IFERROR(__xludf.DUMMYFUNCTION("""COMPUTED_VALUE"""),"ITBISA-IC-PC817-DIP4")</f>
        <v>ITBISA-IC-PC817-DIP4</v>
      </c>
      <c r="B6234" s="266">
        <f>IFERROR(__xludf.DUMMYFUNCTION("""COMPUTED_VALUE"""),45735.0)</f>
        <v>45735</v>
      </c>
      <c r="C6234" s="266" t="str">
        <f>IFERROR(__xludf.DUMMYFUNCTION("""COMPUTED_VALUE"""),"KERTASARI CIAMIS")</f>
        <v>KERTASARI CIAMIS</v>
      </c>
      <c r="D6234" s="186">
        <f>IFERROR(__xludf.DUMMYFUNCTION("""COMPUTED_VALUE"""),50.0)</f>
        <v>50</v>
      </c>
    </row>
    <row r="6235">
      <c r="A6235" s="178" t="str">
        <f>IFERROR(__xludf.DUMMYFUNCTION("""COMPUTED_VALUE"""),"ITBISA-IC-PC817-DIP4")</f>
        <v>ITBISA-IC-PC817-DIP4</v>
      </c>
      <c r="B6235" s="266">
        <f>IFERROR(__xludf.DUMMYFUNCTION("""COMPUTED_VALUE"""),45742.0)</f>
        <v>45742</v>
      </c>
      <c r="C6235" s="266" t="str">
        <f>IFERROR(__xludf.DUMMYFUNCTION("""COMPUTED_VALUE"""),"KERTASARI CIAMIS")</f>
        <v>KERTASARI CIAMIS</v>
      </c>
      <c r="D6235" s="186">
        <f>IFERROR(__xludf.DUMMYFUNCTION("""COMPUTED_VALUE"""),10.0)</f>
        <v>10</v>
      </c>
    </row>
    <row r="6236">
      <c r="A6236" s="178" t="str">
        <f>IFERROR(__xludf.DUMMYFUNCTION("""COMPUTED_VALUE"""),"ITBISA-IC-PC817-DIP4")</f>
        <v>ITBISA-IC-PC817-DIP4</v>
      </c>
      <c r="B6236" s="266">
        <f>IFERROR(__xludf.DUMMYFUNCTION("""COMPUTED_VALUE"""),45745.0)</f>
        <v>45745</v>
      </c>
      <c r="C6236" s="266" t="str">
        <f>IFERROR(__xludf.DUMMYFUNCTION("""COMPUTED_VALUE"""),"KERTASARI CIAMIS")</f>
        <v>KERTASARI CIAMIS</v>
      </c>
      <c r="D6236" s="186">
        <f>IFERROR(__xludf.DUMMYFUNCTION("""COMPUTED_VALUE"""),100.0)</f>
        <v>100</v>
      </c>
    </row>
    <row r="6237">
      <c r="A6237" s="178" t="str">
        <f>IFERROR(__xludf.DUMMYFUNCTION("""COMPUTED_VALUE"""),"ITBISA-IC-PC817-DIP4")</f>
        <v>ITBISA-IC-PC817-DIP4</v>
      </c>
      <c r="B6237" s="266">
        <f>IFERROR(__xludf.DUMMYFUNCTION("""COMPUTED_VALUE"""),45748.0)</f>
        <v>45748</v>
      </c>
      <c r="C6237" s="266" t="str">
        <f>IFERROR(__xludf.DUMMYFUNCTION("""COMPUTED_VALUE"""),"KERTASARI CIAMIS")</f>
        <v>KERTASARI CIAMIS</v>
      </c>
      <c r="D6237" s="186">
        <f>IFERROR(__xludf.DUMMYFUNCTION("""COMPUTED_VALUE"""),5.0)</f>
        <v>5</v>
      </c>
    </row>
    <row r="6238">
      <c r="A6238" s="178" t="str">
        <f>IFERROR(__xludf.DUMMYFUNCTION("""COMPUTED_VALUE"""),"ITBISA-IC-PC817-DIP4")</f>
        <v>ITBISA-IC-PC817-DIP4</v>
      </c>
      <c r="B6238" s="266">
        <f>IFERROR(__xludf.DUMMYFUNCTION("""COMPUTED_VALUE"""),45749.0)</f>
        <v>45749</v>
      </c>
      <c r="C6238" s="266" t="str">
        <f>IFERROR(__xludf.DUMMYFUNCTION("""COMPUTED_VALUE"""),"KERTASARI CIAMIS")</f>
        <v>KERTASARI CIAMIS</v>
      </c>
      <c r="D6238" s="186">
        <f>IFERROR(__xludf.DUMMYFUNCTION("""COMPUTED_VALUE"""),20.0)</f>
        <v>20</v>
      </c>
    </row>
    <row r="6239">
      <c r="A6239" s="178" t="str">
        <f>IFERROR(__xludf.DUMMYFUNCTION("""COMPUTED_VALUE"""),"ITBISA-IC-PC817-DIP4")</f>
        <v>ITBISA-IC-PC817-DIP4</v>
      </c>
      <c r="B6239" s="266">
        <f>IFERROR(__xludf.DUMMYFUNCTION("""COMPUTED_VALUE"""),45749.0)</f>
        <v>45749</v>
      </c>
      <c r="C6239" s="266" t="str">
        <f>IFERROR(__xludf.DUMMYFUNCTION("""COMPUTED_VALUE"""),"KERTASARI CIAMIS")</f>
        <v>KERTASARI CIAMIS</v>
      </c>
      <c r="D6239" s="186">
        <f>IFERROR(__xludf.DUMMYFUNCTION("""COMPUTED_VALUE"""),30.0)</f>
        <v>30</v>
      </c>
    </row>
    <row r="6240">
      <c r="A6240" s="178" t="str">
        <f>IFERROR(__xludf.DUMMYFUNCTION("""COMPUTED_VALUE"""),"ITBISA-IC-PC817-DIP4")</f>
        <v>ITBISA-IC-PC817-DIP4</v>
      </c>
      <c r="B6240" s="266">
        <f>IFERROR(__xludf.DUMMYFUNCTION("""COMPUTED_VALUE"""),45750.0)</f>
        <v>45750</v>
      </c>
      <c r="C6240" s="266" t="str">
        <f>IFERROR(__xludf.DUMMYFUNCTION("""COMPUTED_VALUE"""),"KERTASARI CIAMIS")</f>
        <v>KERTASARI CIAMIS</v>
      </c>
      <c r="D6240" s="186">
        <f>IFERROR(__xludf.DUMMYFUNCTION("""COMPUTED_VALUE"""),2000.0)</f>
        <v>2000</v>
      </c>
    </row>
    <row r="6241">
      <c r="A6241" s="178" t="str">
        <f>IFERROR(__xludf.DUMMYFUNCTION("""COMPUTED_VALUE"""),"ITBISA-IC-PC817-DIP4")</f>
        <v>ITBISA-IC-PC817-DIP4</v>
      </c>
      <c r="B6241" s="266">
        <f>IFERROR(__xludf.DUMMYFUNCTION("""COMPUTED_VALUE"""),45754.0)</f>
        <v>45754</v>
      </c>
      <c r="C6241" s="266" t="str">
        <f>IFERROR(__xludf.DUMMYFUNCTION("""COMPUTED_VALUE"""),"KERTASARI CIAMIS")</f>
        <v>KERTASARI CIAMIS</v>
      </c>
      <c r="D6241" s="186">
        <f>IFERROR(__xludf.DUMMYFUNCTION("""COMPUTED_VALUE"""),27.0)</f>
        <v>27</v>
      </c>
    </row>
    <row r="6242">
      <c r="A6242" s="178" t="str">
        <f>IFERROR(__xludf.DUMMYFUNCTION("""COMPUTED_VALUE"""),"ITBISA-IC-PC817-DIP4")</f>
        <v>ITBISA-IC-PC817-DIP4</v>
      </c>
      <c r="B6242" s="266">
        <f>IFERROR(__xludf.DUMMYFUNCTION("""COMPUTED_VALUE"""),45756.0)</f>
        <v>45756</v>
      </c>
      <c r="C6242" s="266" t="str">
        <f>IFERROR(__xludf.DUMMYFUNCTION("""COMPUTED_VALUE"""),"KERTASARI CIAMIS")</f>
        <v>KERTASARI CIAMIS</v>
      </c>
      <c r="D6242" s="186">
        <f>IFERROR(__xludf.DUMMYFUNCTION("""COMPUTED_VALUE"""),20.0)</f>
        <v>20</v>
      </c>
    </row>
    <row r="6243">
      <c r="A6243" s="178" t="str">
        <f>IFERROR(__xludf.DUMMYFUNCTION("""COMPUTED_VALUE"""),"ITBISA-IC-PC817-DIP4")</f>
        <v>ITBISA-IC-PC817-DIP4</v>
      </c>
      <c r="B6243" s="266">
        <f>IFERROR(__xludf.DUMMYFUNCTION("""COMPUTED_VALUE"""),45757.0)</f>
        <v>45757</v>
      </c>
      <c r="C6243" s="266" t="str">
        <f>IFERROR(__xludf.DUMMYFUNCTION("""COMPUTED_VALUE"""),"KERTASARI CIAMIS")</f>
        <v>KERTASARI CIAMIS</v>
      </c>
      <c r="D6243" s="186">
        <f>IFERROR(__xludf.DUMMYFUNCTION("""COMPUTED_VALUE"""),10.0)</f>
        <v>10</v>
      </c>
    </row>
    <row r="6244">
      <c r="A6244" s="178" t="str">
        <f>IFERROR(__xludf.DUMMYFUNCTION("""COMPUTED_VALUE"""),"ITBISA-IC-PC817-DIP4")</f>
        <v>ITBISA-IC-PC817-DIP4</v>
      </c>
      <c r="B6244" s="266">
        <f>IFERROR(__xludf.DUMMYFUNCTION("""COMPUTED_VALUE"""),45757.0)</f>
        <v>45757</v>
      </c>
      <c r="C6244" s="266" t="str">
        <f>IFERROR(__xludf.DUMMYFUNCTION("""COMPUTED_VALUE"""),"KERTASARI CIAMIS")</f>
        <v>KERTASARI CIAMIS</v>
      </c>
      <c r="D6244" s="186">
        <f>IFERROR(__xludf.DUMMYFUNCTION("""COMPUTED_VALUE"""),15.0)</f>
        <v>15</v>
      </c>
    </row>
    <row r="6245">
      <c r="A6245" s="178" t="str">
        <f>IFERROR(__xludf.DUMMYFUNCTION("""COMPUTED_VALUE"""),"ITBISA-IC-PC817-DIP4")</f>
        <v>ITBISA-IC-PC817-DIP4</v>
      </c>
      <c r="B6245" s="266">
        <f>IFERROR(__xludf.DUMMYFUNCTION("""COMPUTED_VALUE"""),45761.0)</f>
        <v>45761</v>
      </c>
      <c r="C6245" s="266" t="str">
        <f>IFERROR(__xludf.DUMMYFUNCTION("""COMPUTED_VALUE"""),"KERTASARI CIAMIS")</f>
        <v>KERTASARI CIAMIS</v>
      </c>
      <c r="D6245" s="186">
        <f>IFERROR(__xludf.DUMMYFUNCTION("""COMPUTED_VALUE"""),36.0)</f>
        <v>36</v>
      </c>
    </row>
    <row r="6246">
      <c r="A6246" s="178" t="str">
        <f>IFERROR(__xludf.DUMMYFUNCTION("""COMPUTED_VALUE"""),"ITBISA-IC-PC817-DIP4")</f>
        <v>ITBISA-IC-PC817-DIP4</v>
      </c>
      <c r="B6246" s="266">
        <f>IFERROR(__xludf.DUMMYFUNCTION("""COMPUTED_VALUE"""),45761.0)</f>
        <v>45761</v>
      </c>
      <c r="C6246" s="266" t="str">
        <f>IFERROR(__xludf.DUMMYFUNCTION("""COMPUTED_VALUE"""),"KYAI KONTONG")</f>
        <v>KYAI KONTONG</v>
      </c>
      <c r="D6246" s="186">
        <f>IFERROR(__xludf.DUMMYFUNCTION("""COMPUTED_VALUE"""),2.0)</f>
        <v>2</v>
      </c>
    </row>
    <row r="6247">
      <c r="A6247" s="178" t="str">
        <f>IFERROR(__xludf.DUMMYFUNCTION("""COMPUTED_VALUE"""),"ITBISA-IC-PC817-DIP4")</f>
        <v>ITBISA-IC-PC817-DIP4</v>
      </c>
      <c r="B6247" s="266">
        <f>IFERROR(__xludf.DUMMYFUNCTION("""COMPUTED_VALUE"""),45762.0)</f>
        <v>45762</v>
      </c>
      <c r="C6247" s="266" t="str">
        <f>IFERROR(__xludf.DUMMYFUNCTION("""COMPUTED_VALUE"""),"KYAI KONTONG")</f>
        <v>KYAI KONTONG</v>
      </c>
      <c r="D6247" s="186">
        <f>IFERROR(__xludf.DUMMYFUNCTION("""COMPUTED_VALUE"""),10.0)</f>
        <v>10</v>
      </c>
    </row>
    <row r="6248">
      <c r="A6248" s="178" t="str">
        <f>IFERROR(__xludf.DUMMYFUNCTION("""COMPUTED_VALUE"""),"ITBISA-IC-PC817-DIP4")</f>
        <v>ITBISA-IC-PC817-DIP4</v>
      </c>
      <c r="B6248" s="266">
        <f>IFERROR(__xludf.DUMMYFUNCTION("""COMPUTED_VALUE"""),45769.0)</f>
        <v>45769</v>
      </c>
      <c r="C6248" s="266" t="str">
        <f>IFERROR(__xludf.DUMMYFUNCTION("""COMPUTED_VALUE"""),"KERTASARI CIAMIS")</f>
        <v>KERTASARI CIAMIS</v>
      </c>
      <c r="D6248" s="186">
        <f>IFERROR(__xludf.DUMMYFUNCTION("""COMPUTED_VALUE"""),10.0)</f>
        <v>10</v>
      </c>
    </row>
    <row r="6249">
      <c r="A6249" s="178" t="str">
        <f>IFERROR(__xludf.DUMMYFUNCTION("""COMPUTED_VALUE"""),"ITBISA-IC-PC817-DIP4")</f>
        <v>ITBISA-IC-PC817-DIP4</v>
      </c>
      <c r="B6249" s="266">
        <f>IFERROR(__xludf.DUMMYFUNCTION("""COMPUTED_VALUE"""),45771.0)</f>
        <v>45771</v>
      </c>
      <c r="C6249" s="266" t="str">
        <f>IFERROR(__xludf.DUMMYFUNCTION("""COMPUTED_VALUE"""),"KYAI KONTONG")</f>
        <v>KYAI KONTONG</v>
      </c>
      <c r="D6249" s="186">
        <f>IFERROR(__xludf.DUMMYFUNCTION("""COMPUTED_VALUE"""),20.0)</f>
        <v>20</v>
      </c>
    </row>
    <row r="6250">
      <c r="A6250" s="178" t="str">
        <f>IFERROR(__xludf.DUMMYFUNCTION("""COMPUTED_VALUE"""),"ITBISA-IC-PC817-DIP4")</f>
        <v>ITBISA-IC-PC817-DIP4</v>
      </c>
      <c r="B6250" s="266">
        <f>IFERROR(__xludf.DUMMYFUNCTION("""COMPUTED_VALUE"""),45782.0)</f>
        <v>45782</v>
      </c>
      <c r="C6250" s="266" t="str">
        <f>IFERROR(__xludf.DUMMYFUNCTION("""COMPUTED_VALUE"""),"KYAI KONTONG")</f>
        <v>KYAI KONTONG</v>
      </c>
      <c r="D6250" s="186">
        <f>IFERROR(__xludf.DUMMYFUNCTION("""COMPUTED_VALUE"""),4.0)</f>
        <v>4</v>
      </c>
    </row>
    <row r="6251">
      <c r="A6251" s="178" t="str">
        <f>IFERROR(__xludf.DUMMYFUNCTION("""COMPUTED_VALUE"""),"ITBISA-IC-PC817-DIP4")</f>
        <v>ITBISA-IC-PC817-DIP4</v>
      </c>
      <c r="B6251" s="266">
        <f>IFERROR(__xludf.DUMMYFUNCTION("""COMPUTED_VALUE"""),45785.0)</f>
        <v>45785</v>
      </c>
      <c r="C6251" s="266" t="str">
        <f>IFERROR(__xludf.DUMMYFUNCTION("""COMPUTED_VALUE"""),"KERTASARI CIAMIS")</f>
        <v>KERTASARI CIAMIS</v>
      </c>
      <c r="D6251" s="186">
        <f>IFERROR(__xludf.DUMMYFUNCTION("""COMPUTED_VALUE"""),200.0)</f>
        <v>200</v>
      </c>
    </row>
    <row r="6252">
      <c r="A6252" s="178" t="str">
        <f>IFERROR(__xludf.DUMMYFUNCTION("""COMPUTED_VALUE"""),"ITBISA-IC-PC817-DIP4")</f>
        <v>ITBISA-IC-PC817-DIP4</v>
      </c>
      <c r="B6252" s="266">
        <f>IFERROR(__xludf.DUMMYFUNCTION("""COMPUTED_VALUE"""),45789.0)</f>
        <v>45789</v>
      </c>
      <c r="C6252" s="266" t="str">
        <f>IFERROR(__xludf.DUMMYFUNCTION("""COMPUTED_VALUE"""),"KERTASARI CIAMIS")</f>
        <v>KERTASARI CIAMIS</v>
      </c>
      <c r="D6252" s="186">
        <f>IFERROR(__xludf.DUMMYFUNCTION("""COMPUTED_VALUE"""),1000.0)</f>
        <v>1000</v>
      </c>
    </row>
    <row r="6253">
      <c r="A6253" s="178" t="str">
        <f>IFERROR(__xludf.DUMMYFUNCTION("""COMPUTED_VALUE"""),"ITBISA-IC-PC817-DIP4")</f>
        <v>ITBISA-IC-PC817-DIP4</v>
      </c>
      <c r="B6253" s="266">
        <f>IFERROR(__xludf.DUMMYFUNCTION("""COMPUTED_VALUE"""),45792.0)</f>
        <v>45792</v>
      </c>
      <c r="C6253" s="266" t="str">
        <f>IFERROR(__xludf.DUMMYFUNCTION("""COMPUTED_VALUE"""),"KERTASARI CIAMIS")</f>
        <v>KERTASARI CIAMIS</v>
      </c>
      <c r="D6253" s="186">
        <f>IFERROR(__xludf.DUMMYFUNCTION("""COMPUTED_VALUE"""),170.0)</f>
        <v>170</v>
      </c>
    </row>
    <row r="6254">
      <c r="A6254" s="178" t="str">
        <f>IFERROR(__xludf.DUMMYFUNCTION("""COMPUTED_VALUE"""),"ITBISA-IC-PC817-DIP4")</f>
        <v>ITBISA-IC-PC817-DIP4</v>
      </c>
      <c r="B6254" s="266">
        <f>IFERROR(__xludf.DUMMYFUNCTION("""COMPUTED_VALUE"""),45794.0)</f>
        <v>45794</v>
      </c>
      <c r="C6254" s="266" t="str">
        <f>IFERROR(__xludf.DUMMYFUNCTION("""COMPUTED_VALUE"""),"KERTASARI CIAMIS")</f>
        <v>KERTASARI CIAMIS</v>
      </c>
      <c r="D6254" s="186">
        <f>IFERROR(__xludf.DUMMYFUNCTION("""COMPUTED_VALUE"""),200.0)</f>
        <v>200</v>
      </c>
    </row>
    <row r="6255">
      <c r="A6255" s="178" t="str">
        <f>IFERROR(__xludf.DUMMYFUNCTION("""COMPUTED_VALUE"""),"ITBISA-IC-PC817-DIP4")</f>
        <v>ITBISA-IC-PC817-DIP4</v>
      </c>
      <c r="B6255" s="266">
        <f>IFERROR(__xludf.DUMMYFUNCTION("""COMPUTED_VALUE"""),45796.0)</f>
        <v>45796</v>
      </c>
      <c r="C6255" s="266" t="str">
        <f>IFERROR(__xludf.DUMMYFUNCTION("""COMPUTED_VALUE"""),"KERTASARI CIAMIS")</f>
        <v>KERTASARI CIAMIS</v>
      </c>
      <c r="D6255" s="186">
        <f>IFERROR(__xludf.DUMMYFUNCTION("""COMPUTED_VALUE"""),100.0)</f>
        <v>100</v>
      </c>
    </row>
    <row r="6256">
      <c r="A6256" s="178" t="str">
        <f>IFERROR(__xludf.DUMMYFUNCTION("""COMPUTED_VALUE"""),"ITBISA-IC-PC817-DIP4")</f>
        <v>ITBISA-IC-PC817-DIP4</v>
      </c>
      <c r="B6256" s="266">
        <f>IFERROR(__xludf.DUMMYFUNCTION("""COMPUTED_VALUE"""),45796.0)</f>
        <v>45796</v>
      </c>
      <c r="C6256" s="266" t="str">
        <f>IFERROR(__xludf.DUMMYFUNCTION("""COMPUTED_VALUE"""),"KERTASARI CIAMIS")</f>
        <v>KERTASARI CIAMIS</v>
      </c>
      <c r="D6256" s="186">
        <f>IFERROR(__xludf.DUMMYFUNCTION("""COMPUTED_VALUE"""),230.0)</f>
        <v>230</v>
      </c>
    </row>
    <row r="6257">
      <c r="A6257" s="178" t="str">
        <f>IFERROR(__xludf.DUMMYFUNCTION("""COMPUTED_VALUE"""),"ITBISA-IC-PC817-DIP4")</f>
        <v>ITBISA-IC-PC817-DIP4</v>
      </c>
      <c r="B6257" s="266">
        <f>IFERROR(__xludf.DUMMYFUNCTION("""COMPUTED_VALUE"""),45796.0)</f>
        <v>45796</v>
      </c>
      <c r="C6257" s="266" t="str">
        <f>IFERROR(__xludf.DUMMYFUNCTION("""COMPUTED_VALUE"""),"KYAI KONTONG")</f>
        <v>KYAI KONTONG</v>
      </c>
      <c r="D6257" s="186">
        <f>IFERROR(__xludf.DUMMYFUNCTION("""COMPUTED_VALUE"""),1500.0)</f>
        <v>1500</v>
      </c>
    </row>
    <row r="6258">
      <c r="A6258" s="178" t="str">
        <f>IFERROR(__xludf.DUMMYFUNCTION("""COMPUTED_VALUE"""),"ITBISA-IC-PC817-DIP4")</f>
        <v>ITBISA-IC-PC817-DIP4</v>
      </c>
      <c r="B6258" s="266">
        <f>IFERROR(__xludf.DUMMYFUNCTION("""COMPUTED_VALUE"""),45869.0)</f>
        <v>45869</v>
      </c>
      <c r="C6258" s="266" t="str">
        <f>IFERROR(__xludf.DUMMYFUNCTION("""COMPUTED_VALUE"""),"KYAI KONTONG")</f>
        <v>KYAI KONTONG</v>
      </c>
      <c r="D6258" s="186">
        <f>IFERROR(__xludf.DUMMYFUNCTION("""COMPUTED_VALUE"""),4.0)</f>
        <v>4</v>
      </c>
    </row>
    <row r="6259">
      <c r="A6259" s="178" t="str">
        <f>IFERROR(__xludf.DUMMYFUNCTION("""COMPUTED_VALUE"""),"ITBISA-IC-PC817-DIP4")</f>
        <v>ITBISA-IC-PC817-DIP4</v>
      </c>
      <c r="B6259" s="266">
        <f>IFERROR(__xludf.DUMMYFUNCTION("""COMPUTED_VALUE"""),45899.0)</f>
        <v>45899</v>
      </c>
      <c r="C6259" s="266" t="str">
        <f>IFERROR(__xludf.DUMMYFUNCTION("""COMPUTED_VALUE"""),"KYAI KONTONG")</f>
        <v>KYAI KONTONG</v>
      </c>
      <c r="D6259" s="186">
        <f>IFERROR(__xludf.DUMMYFUNCTION("""COMPUTED_VALUE"""),300.0)</f>
        <v>300</v>
      </c>
    </row>
    <row r="6260">
      <c r="A6260" s="178" t="str">
        <f>IFERROR(__xludf.DUMMYFUNCTION("""COMPUTED_VALUE"""),"ITBISA-IC-PC817-DIP4")</f>
        <v>ITBISA-IC-PC817-DIP4</v>
      </c>
      <c r="B6260" s="266">
        <f>IFERROR(__xludf.DUMMYFUNCTION("""COMPUTED_VALUE"""),45904.0)</f>
        <v>45904</v>
      </c>
      <c r="C6260" s="266" t="str">
        <f>IFERROR(__xludf.DUMMYFUNCTION("""COMPUTED_VALUE"""),"KERTASARI CIAMIS")</f>
        <v>KERTASARI CIAMIS</v>
      </c>
      <c r="D6260" s="186">
        <f>IFERROR(__xludf.DUMMYFUNCTION("""COMPUTED_VALUE"""),100.0)</f>
        <v>100</v>
      </c>
    </row>
    <row r="6261">
      <c r="A6261" s="178" t="str">
        <f>IFERROR(__xludf.DUMMYFUNCTION("""COMPUTED_VALUE"""),"ITBISA-IC-PC817-DIP4")</f>
        <v>ITBISA-IC-PC817-DIP4</v>
      </c>
      <c r="B6261" s="266">
        <f>IFERROR(__xludf.DUMMYFUNCTION("""COMPUTED_VALUE"""),45918.0)</f>
        <v>45918</v>
      </c>
      <c r="C6261" s="266" t="str">
        <f>IFERROR(__xludf.DUMMYFUNCTION("""COMPUTED_VALUE"""),"KERTASARI CIAMIS")</f>
        <v>KERTASARI CIAMIS</v>
      </c>
      <c r="D6261" s="186">
        <f>IFERROR(__xludf.DUMMYFUNCTION("""COMPUTED_VALUE"""),20.0)</f>
        <v>20</v>
      </c>
    </row>
    <row r="6262">
      <c r="A6262" s="178" t="str">
        <f>IFERROR(__xludf.DUMMYFUNCTION("""COMPUTED_VALUE"""),"ITBISA-IC-PC817-DIP4")</f>
        <v>ITBISA-IC-PC817-DIP4</v>
      </c>
      <c r="B6262" s="266">
        <f>IFERROR(__xludf.DUMMYFUNCTION("""COMPUTED_VALUE"""),45936.0)</f>
        <v>45936</v>
      </c>
      <c r="C6262" s="266" t="str">
        <f>IFERROR(__xludf.DUMMYFUNCTION("""COMPUTED_VALUE"""),"KYAI KONTONG")</f>
        <v>KYAI KONTONG</v>
      </c>
      <c r="D6262" s="186">
        <f>IFERROR(__xludf.DUMMYFUNCTION("""COMPUTED_VALUE"""),20.0)</f>
        <v>20</v>
      </c>
    </row>
    <row r="6263">
      <c r="A6263" s="178" t="str">
        <f>IFERROR(__xludf.DUMMYFUNCTION("""COMPUTED_VALUE"""),"ITBISA-IC-PC817-DIP4")</f>
        <v>ITBISA-IC-PC817-DIP4</v>
      </c>
      <c r="B6263" s="266">
        <f>IFERROR(__xludf.DUMMYFUNCTION("""COMPUTED_VALUE"""),45938.0)</f>
        <v>45938</v>
      </c>
      <c r="C6263" s="266" t="str">
        <f>IFERROR(__xludf.DUMMYFUNCTION("""COMPUTED_VALUE"""),"KERTASARI CIAMIS")</f>
        <v>KERTASARI CIAMIS</v>
      </c>
      <c r="D6263" s="186">
        <f>IFERROR(__xludf.DUMMYFUNCTION("""COMPUTED_VALUE"""),10.0)</f>
        <v>10</v>
      </c>
    </row>
    <row r="6264">
      <c r="A6264" s="178" t="str">
        <f>IFERROR(__xludf.DUMMYFUNCTION("""COMPUTED_VALUE"""),"ITBISA-IC-PC817-DIP4")</f>
        <v>ITBISA-IC-PC817-DIP4</v>
      </c>
      <c r="B6264" s="266">
        <f>IFERROR(__xludf.DUMMYFUNCTION("""COMPUTED_VALUE"""),45938.0)</f>
        <v>45938</v>
      </c>
      <c r="C6264" s="266" t="str">
        <f>IFERROR(__xludf.DUMMYFUNCTION("""COMPUTED_VALUE"""),"KYAI KONTONG")</f>
        <v>KYAI KONTONG</v>
      </c>
      <c r="D6264" s="186">
        <f>IFERROR(__xludf.DUMMYFUNCTION("""COMPUTED_VALUE"""),10.0)</f>
        <v>10</v>
      </c>
    </row>
    <row r="6265">
      <c r="A6265" s="178" t="str">
        <f>IFERROR(__xludf.DUMMYFUNCTION("""COMPUTED_VALUE"""),"ITBISA-IC-PC817-DIP4")</f>
        <v>ITBISA-IC-PC817-DIP4</v>
      </c>
      <c r="B6265" s="266">
        <f>IFERROR(__xludf.DUMMYFUNCTION("""COMPUTED_VALUE"""),45940.0)</f>
        <v>45940</v>
      </c>
      <c r="C6265" s="266" t="str">
        <f>IFERROR(__xludf.DUMMYFUNCTION("""COMPUTED_VALUE"""),"KYAI KONTONG")</f>
        <v>KYAI KONTONG</v>
      </c>
      <c r="D6265" s="186">
        <f>IFERROR(__xludf.DUMMYFUNCTION("""COMPUTED_VALUE"""),10.0)</f>
        <v>10</v>
      </c>
    </row>
    <row r="6266">
      <c r="A6266" s="178" t="str">
        <f>IFERROR(__xludf.DUMMYFUNCTION("""COMPUTED_VALUE"""),"ITBISA-IC-PC817-DIP4")</f>
        <v>ITBISA-IC-PC817-DIP4</v>
      </c>
      <c r="B6266" s="266">
        <f>IFERROR(__xludf.DUMMYFUNCTION("""COMPUTED_VALUE"""),45941.0)</f>
        <v>45941</v>
      </c>
      <c r="C6266" s="266" t="str">
        <f>IFERROR(__xludf.DUMMYFUNCTION("""COMPUTED_VALUE"""),"KYAI KONTONG")</f>
        <v>KYAI KONTONG</v>
      </c>
      <c r="D6266" s="186">
        <f>IFERROR(__xludf.DUMMYFUNCTION("""COMPUTED_VALUE"""),10.0)</f>
        <v>10</v>
      </c>
    </row>
    <row r="6267">
      <c r="A6267" s="178" t="str">
        <f>IFERROR(__xludf.DUMMYFUNCTION("""COMPUTED_VALUE"""),"ITBISA-IC-PC817-DIP4")</f>
        <v>ITBISA-IC-PC817-DIP4</v>
      </c>
      <c r="B6267" s="266">
        <f>IFERROR(__xludf.DUMMYFUNCTION("""COMPUTED_VALUE"""),45942.0)</f>
        <v>45942</v>
      </c>
      <c r="C6267" s="266" t="str">
        <f>IFERROR(__xludf.DUMMYFUNCTION("""COMPUTED_VALUE"""),"KYAI KONTONG")</f>
        <v>KYAI KONTONG</v>
      </c>
      <c r="D6267" s="186">
        <f>IFERROR(__xludf.DUMMYFUNCTION("""COMPUTED_VALUE"""),10.0)</f>
        <v>10</v>
      </c>
    </row>
    <row r="6268">
      <c r="A6268" s="178" t="str">
        <f>IFERROR(__xludf.DUMMYFUNCTION("""COMPUTED_VALUE"""),"ITBISA-IC-PC817-DIP4")</f>
        <v>ITBISA-IC-PC817-DIP4</v>
      </c>
      <c r="B6268" s="266">
        <f>IFERROR(__xludf.DUMMYFUNCTION("""COMPUTED_VALUE"""),45942.0)</f>
        <v>45942</v>
      </c>
      <c r="C6268" s="266" t="str">
        <f>IFERROR(__xludf.DUMMYFUNCTION("""COMPUTED_VALUE"""),"KYAI KONTONG")</f>
        <v>KYAI KONTONG</v>
      </c>
      <c r="D6268" s="186">
        <f>IFERROR(__xludf.DUMMYFUNCTION("""COMPUTED_VALUE"""),10.0)</f>
        <v>10</v>
      </c>
    </row>
    <row r="6269">
      <c r="A6269" s="178" t="str">
        <f>IFERROR(__xludf.DUMMYFUNCTION("""COMPUTED_VALUE"""),"ITBISA-IC-PC817-DIP4")</f>
        <v>ITBISA-IC-PC817-DIP4</v>
      </c>
      <c r="B6269" s="266">
        <f>IFERROR(__xludf.DUMMYFUNCTION("""COMPUTED_VALUE"""),45943.0)</f>
        <v>45943</v>
      </c>
      <c r="C6269" s="266" t="str">
        <f>IFERROR(__xludf.DUMMYFUNCTION("""COMPUTED_VALUE"""),"KYAI KONTONG")</f>
        <v>KYAI KONTONG</v>
      </c>
      <c r="D6269" s="186">
        <f>IFERROR(__xludf.DUMMYFUNCTION("""COMPUTED_VALUE"""),15.0)</f>
        <v>15</v>
      </c>
    </row>
    <row r="6270">
      <c r="A6270" s="178" t="str">
        <f>IFERROR(__xludf.DUMMYFUNCTION("""COMPUTED_VALUE"""),"ITBISA-IC-PC817-DIP4")</f>
        <v>ITBISA-IC-PC817-DIP4</v>
      </c>
      <c r="B6270" s="266">
        <f>IFERROR(__xludf.DUMMYFUNCTION("""COMPUTED_VALUE"""),45943.0)</f>
        <v>45943</v>
      </c>
      <c r="C6270" s="266" t="str">
        <f>IFERROR(__xludf.DUMMYFUNCTION("""COMPUTED_VALUE"""),"KYAI KONTONG")</f>
        <v>KYAI KONTONG</v>
      </c>
      <c r="D6270" s="186">
        <f>IFERROR(__xludf.DUMMYFUNCTION("""COMPUTED_VALUE"""),100.0)</f>
        <v>100</v>
      </c>
    </row>
    <row r="6271">
      <c r="A6271" s="178" t="str">
        <f>IFERROR(__xludf.DUMMYFUNCTION("""COMPUTED_VALUE"""),"ITBISA-IC-PC817-DIP4")</f>
        <v>ITBISA-IC-PC817-DIP4</v>
      </c>
      <c r="B6271" s="266">
        <f>IFERROR(__xludf.DUMMYFUNCTION("""COMPUTED_VALUE"""),45944.0)</f>
        <v>45944</v>
      </c>
      <c r="C6271" s="266" t="str">
        <f>IFERROR(__xludf.DUMMYFUNCTION("""COMPUTED_VALUE"""),"KERTASARI CIAMIS")</f>
        <v>KERTASARI CIAMIS</v>
      </c>
      <c r="D6271" s="186">
        <f>IFERROR(__xludf.DUMMYFUNCTION("""COMPUTED_VALUE"""),25.0)</f>
        <v>25</v>
      </c>
    </row>
    <row r="6272">
      <c r="A6272" s="178" t="str">
        <f>IFERROR(__xludf.DUMMYFUNCTION("""COMPUTED_VALUE"""),"ITBISA-IC-PC817-DIP4")</f>
        <v>ITBISA-IC-PC817-DIP4</v>
      </c>
      <c r="B6272" s="266">
        <f>IFERROR(__xludf.DUMMYFUNCTION("""COMPUTED_VALUE"""),45944.0)</f>
        <v>45944</v>
      </c>
      <c r="C6272" s="266" t="str">
        <f>IFERROR(__xludf.DUMMYFUNCTION("""COMPUTED_VALUE"""),"KERTASARI CIAMIS")</f>
        <v>KERTASARI CIAMIS</v>
      </c>
      <c r="D6272" s="186">
        <f>IFERROR(__xludf.DUMMYFUNCTION("""COMPUTED_VALUE"""),100.0)</f>
        <v>100</v>
      </c>
    </row>
    <row r="6273">
      <c r="A6273" s="178" t="str">
        <f>IFERROR(__xludf.DUMMYFUNCTION("""COMPUTED_VALUE"""),"ITBISA-IC-PC817-DIP4")</f>
        <v>ITBISA-IC-PC817-DIP4</v>
      </c>
      <c r="B6273" s="266">
        <f>IFERROR(__xludf.DUMMYFUNCTION("""COMPUTED_VALUE"""),45944.0)</f>
        <v>45944</v>
      </c>
      <c r="C6273" s="266" t="str">
        <f>IFERROR(__xludf.DUMMYFUNCTION("""COMPUTED_VALUE"""),"KYAI KONTONG")</f>
        <v>KYAI KONTONG</v>
      </c>
      <c r="D6273" s="186">
        <f>IFERROR(__xludf.DUMMYFUNCTION("""COMPUTED_VALUE"""),65.0)</f>
        <v>65</v>
      </c>
    </row>
    <row r="6274">
      <c r="A6274" s="178" t="str">
        <f>IFERROR(__xludf.DUMMYFUNCTION("""COMPUTED_VALUE"""),"ITBISA-IC-PC817-DIP4")</f>
        <v>ITBISA-IC-PC817-DIP4</v>
      </c>
      <c r="B6274" s="266">
        <f>IFERROR(__xludf.DUMMYFUNCTION("""COMPUTED_VALUE"""),45945.0)</f>
        <v>45945</v>
      </c>
      <c r="C6274" s="266" t="str">
        <f>IFERROR(__xludf.DUMMYFUNCTION("""COMPUTED_VALUE"""),"KYAI KONTONG")</f>
        <v>KYAI KONTONG</v>
      </c>
      <c r="D6274" s="186">
        <f>IFERROR(__xludf.DUMMYFUNCTION("""COMPUTED_VALUE"""),10.0)</f>
        <v>10</v>
      </c>
    </row>
    <row r="6275">
      <c r="A6275" s="178" t="str">
        <f>IFERROR(__xludf.DUMMYFUNCTION("""COMPUTED_VALUE"""),"ITBISA-IC-PC817-DIP4")</f>
        <v>ITBISA-IC-PC817-DIP4</v>
      </c>
      <c r="B6275" s="266">
        <f>IFERROR(__xludf.DUMMYFUNCTION("""COMPUTED_VALUE"""),45946.0)</f>
        <v>45946</v>
      </c>
      <c r="C6275" s="266" t="str">
        <f>IFERROR(__xludf.DUMMYFUNCTION("""COMPUTED_VALUE"""),"KYAI KONTONG")</f>
        <v>KYAI KONTONG</v>
      </c>
      <c r="D6275" s="186">
        <f>IFERROR(__xludf.DUMMYFUNCTION("""COMPUTED_VALUE"""),30.0)</f>
        <v>30</v>
      </c>
    </row>
    <row r="6276">
      <c r="A6276" s="178" t="str">
        <f>IFERROR(__xludf.DUMMYFUNCTION("""COMPUTED_VALUE"""),"ITBISA-IC-PC817-DIP4")</f>
        <v>ITBISA-IC-PC817-DIP4</v>
      </c>
      <c r="B6276" s="266">
        <f>IFERROR(__xludf.DUMMYFUNCTION("""COMPUTED_VALUE"""),45946.0)</f>
        <v>45946</v>
      </c>
      <c r="C6276" s="266" t="str">
        <f>IFERROR(__xludf.DUMMYFUNCTION("""COMPUTED_VALUE"""),"KYAI KONTONG")</f>
        <v>KYAI KONTONG</v>
      </c>
      <c r="D6276" s="186">
        <f>IFERROR(__xludf.DUMMYFUNCTION("""COMPUTED_VALUE"""),200.0)</f>
        <v>200</v>
      </c>
    </row>
    <row r="6277">
      <c r="A6277" s="178" t="str">
        <f>IFERROR(__xludf.DUMMYFUNCTION("""COMPUTED_VALUE"""),"ITBISA-IC-PC817-DIP4")</f>
        <v>ITBISA-IC-PC817-DIP4</v>
      </c>
      <c r="B6277" s="266">
        <f>IFERROR(__xludf.DUMMYFUNCTION("""COMPUTED_VALUE"""),45951.0)</f>
        <v>45951</v>
      </c>
      <c r="C6277" s="266" t="str">
        <f>IFERROR(__xludf.DUMMYFUNCTION("""COMPUTED_VALUE"""),"KERTASARI CIAMIS")</f>
        <v>KERTASARI CIAMIS</v>
      </c>
      <c r="D6277" s="186">
        <f>IFERROR(__xludf.DUMMYFUNCTION("""COMPUTED_VALUE"""),20.0)</f>
        <v>20</v>
      </c>
    </row>
    <row r="6278">
      <c r="A6278" s="178" t="str">
        <f>IFERROR(__xludf.DUMMYFUNCTION("""COMPUTED_VALUE"""),"ITBISA-IC-PC817-DIP4")</f>
        <v>ITBISA-IC-PC817-DIP4</v>
      </c>
      <c r="B6278" s="266">
        <f>IFERROR(__xludf.DUMMYFUNCTION("""COMPUTED_VALUE"""),45952.0)</f>
        <v>45952</v>
      </c>
      <c r="C6278" s="266" t="str">
        <f>IFERROR(__xludf.DUMMYFUNCTION("""COMPUTED_VALUE"""),"KYAI KONTONG")</f>
        <v>KYAI KONTONG</v>
      </c>
      <c r="D6278" s="186">
        <f>IFERROR(__xludf.DUMMYFUNCTION("""COMPUTED_VALUE"""),40.0)</f>
        <v>40</v>
      </c>
    </row>
    <row r="6279">
      <c r="A6279" s="178" t="str">
        <f>IFERROR(__xludf.DUMMYFUNCTION("""COMPUTED_VALUE"""),"ITBISA-IC-PC817-DIP4")</f>
        <v>ITBISA-IC-PC817-DIP4</v>
      </c>
      <c r="B6279" s="266">
        <f>IFERROR(__xludf.DUMMYFUNCTION("""COMPUTED_VALUE"""),45953.0)</f>
        <v>45953</v>
      </c>
      <c r="C6279" s="266" t="str">
        <f>IFERROR(__xludf.DUMMYFUNCTION("""COMPUTED_VALUE"""),"KYAI KONTONG")</f>
        <v>KYAI KONTONG</v>
      </c>
      <c r="D6279" s="186">
        <f>IFERROR(__xludf.DUMMYFUNCTION("""COMPUTED_VALUE"""),18.0)</f>
        <v>18</v>
      </c>
    </row>
    <row r="6280">
      <c r="A6280" s="178" t="str">
        <f>IFERROR(__xludf.DUMMYFUNCTION("""COMPUTED_VALUE"""),"ITBISA-IC-PC817-DIP4")</f>
        <v>ITBISA-IC-PC817-DIP4</v>
      </c>
      <c r="B6280" s="266">
        <f>IFERROR(__xludf.DUMMYFUNCTION("""COMPUTED_VALUE"""),45953.0)</f>
        <v>45953</v>
      </c>
      <c r="C6280" s="266" t="str">
        <f>IFERROR(__xludf.DUMMYFUNCTION("""COMPUTED_VALUE"""),"KYAI KONTONG")</f>
        <v>KYAI KONTONG</v>
      </c>
      <c r="D6280" s="186">
        <f>IFERROR(__xludf.DUMMYFUNCTION("""COMPUTED_VALUE"""),110.0)</f>
        <v>110</v>
      </c>
    </row>
    <row r="6281">
      <c r="A6281" s="178" t="str">
        <f>IFERROR(__xludf.DUMMYFUNCTION("""COMPUTED_VALUE"""),"ITBISA-IC-PC817-DIP4")</f>
        <v>ITBISA-IC-PC817-DIP4</v>
      </c>
      <c r="B6281" s="266">
        <f>IFERROR(__xludf.DUMMYFUNCTION("""COMPUTED_VALUE"""),45954.0)</f>
        <v>45954</v>
      </c>
      <c r="C6281" s="266" t="str">
        <f>IFERROR(__xludf.DUMMYFUNCTION("""COMPUTED_VALUE"""),"KYAI KONTONG")</f>
        <v>KYAI KONTONG</v>
      </c>
      <c r="D6281" s="186">
        <f>IFERROR(__xludf.DUMMYFUNCTION("""COMPUTED_VALUE"""),20.0)</f>
        <v>20</v>
      </c>
    </row>
    <row r="6282">
      <c r="A6282" s="178" t="str">
        <f>IFERROR(__xludf.DUMMYFUNCTION("""COMPUTED_VALUE"""),"ITBISA-IC-PC817-DIP4")</f>
        <v>ITBISA-IC-PC817-DIP4</v>
      </c>
      <c r="B6282" s="266">
        <f>IFERROR(__xludf.DUMMYFUNCTION("""COMPUTED_VALUE"""),45956.0)</f>
        <v>45956</v>
      </c>
      <c r="C6282" s="266" t="str">
        <f>IFERROR(__xludf.DUMMYFUNCTION("""COMPUTED_VALUE"""),"KYAI KONTONG")</f>
        <v>KYAI KONTONG</v>
      </c>
      <c r="D6282" s="186">
        <f>IFERROR(__xludf.DUMMYFUNCTION("""COMPUTED_VALUE"""),300.0)</f>
        <v>300</v>
      </c>
    </row>
    <row r="6283">
      <c r="A6283" s="178" t="str">
        <f>IFERROR(__xludf.DUMMYFUNCTION("""COMPUTED_VALUE"""),"ITBISA-IC-PC817-DIP4")</f>
        <v>ITBISA-IC-PC817-DIP4</v>
      </c>
      <c r="B6283" s="266">
        <f>IFERROR(__xludf.DUMMYFUNCTION("""COMPUTED_VALUE"""),45957.0)</f>
        <v>45957</v>
      </c>
      <c r="C6283" s="266" t="str">
        <f>IFERROR(__xludf.DUMMYFUNCTION("""COMPUTED_VALUE"""),"KERTASARI CIAMIS")</f>
        <v>KERTASARI CIAMIS</v>
      </c>
      <c r="D6283" s="186">
        <f>IFERROR(__xludf.DUMMYFUNCTION("""COMPUTED_VALUE"""),100.0)</f>
        <v>100</v>
      </c>
    </row>
    <row r="6284">
      <c r="A6284" s="178" t="str">
        <f>IFERROR(__xludf.DUMMYFUNCTION("""COMPUTED_VALUE"""),"ITBISA-IC-PC817-DIP4")</f>
        <v>ITBISA-IC-PC817-DIP4</v>
      </c>
      <c r="B6284" s="266">
        <f>IFERROR(__xludf.DUMMYFUNCTION("""COMPUTED_VALUE"""),45958.0)</f>
        <v>45958</v>
      </c>
      <c r="C6284" s="266" t="str">
        <f>IFERROR(__xludf.DUMMYFUNCTION("""COMPUTED_VALUE"""),"KYAI KONTONG")</f>
        <v>KYAI KONTONG</v>
      </c>
      <c r="D6284" s="186">
        <f>IFERROR(__xludf.DUMMYFUNCTION("""COMPUTED_VALUE"""),10.0)</f>
        <v>10</v>
      </c>
    </row>
    <row r="6285">
      <c r="A6285" s="178" t="str">
        <f>IFERROR(__xludf.DUMMYFUNCTION("""COMPUTED_VALUE"""),"ITBISA-IC-PC817-DIP4")</f>
        <v>ITBISA-IC-PC817-DIP4</v>
      </c>
      <c r="B6285" s="266">
        <f>IFERROR(__xludf.DUMMYFUNCTION("""COMPUTED_VALUE"""),45961.0)</f>
        <v>45961</v>
      </c>
      <c r="C6285" s="266" t="str">
        <f>IFERROR(__xludf.DUMMYFUNCTION("""COMPUTED_VALUE"""),"KERTASARI CIAMIS")</f>
        <v>KERTASARI CIAMIS</v>
      </c>
      <c r="D6285" s="186">
        <f>IFERROR(__xludf.DUMMYFUNCTION("""COMPUTED_VALUE"""),12.0)</f>
        <v>12</v>
      </c>
    </row>
    <row r="6286">
      <c r="A6286" s="178" t="str">
        <f>IFERROR(__xludf.DUMMYFUNCTION("""COMPUTED_VALUE"""),"ITBISA-IC-PC817-DIP4")</f>
        <v>ITBISA-IC-PC817-DIP4</v>
      </c>
      <c r="B6286" s="266">
        <f>IFERROR(__xludf.DUMMYFUNCTION("""COMPUTED_VALUE"""),45962.0)</f>
        <v>45962</v>
      </c>
      <c r="C6286" s="266" t="str">
        <f>IFERROR(__xludf.DUMMYFUNCTION("""COMPUTED_VALUE"""),"KERTASARI CIAMIS")</f>
        <v>KERTASARI CIAMIS</v>
      </c>
      <c r="D6286" s="186">
        <f>IFERROR(__xludf.DUMMYFUNCTION("""COMPUTED_VALUE"""),100.0)</f>
        <v>100</v>
      </c>
    </row>
    <row r="6287">
      <c r="A6287" s="178" t="str">
        <f>IFERROR(__xludf.DUMMYFUNCTION("""COMPUTED_VALUE"""),"ITBISA-IC-PC817-DIP4")</f>
        <v>ITBISA-IC-PC817-DIP4</v>
      </c>
      <c r="B6287" s="266">
        <f>IFERROR(__xludf.DUMMYFUNCTION("""COMPUTED_VALUE"""),45962.0)</f>
        <v>45962</v>
      </c>
      <c r="C6287" s="266" t="str">
        <f>IFERROR(__xludf.DUMMYFUNCTION("""COMPUTED_VALUE"""),"KYAI KONTONG")</f>
        <v>KYAI KONTONG</v>
      </c>
      <c r="D6287" s="186">
        <f>IFERROR(__xludf.DUMMYFUNCTION("""COMPUTED_VALUE"""),10.0)</f>
        <v>10</v>
      </c>
    </row>
    <row r="6288">
      <c r="A6288" s="178" t="str">
        <f>IFERROR(__xludf.DUMMYFUNCTION("""COMPUTED_VALUE"""),"ITBISA-IC-PC817-DIP4")</f>
        <v>ITBISA-IC-PC817-DIP4</v>
      </c>
      <c r="B6288" s="266">
        <f>IFERROR(__xludf.DUMMYFUNCTION("""COMPUTED_VALUE"""),45964.0)</f>
        <v>45964</v>
      </c>
      <c r="C6288" s="266" t="str">
        <f>IFERROR(__xludf.DUMMYFUNCTION("""COMPUTED_VALUE"""),"KYAI KONTONG")</f>
        <v>KYAI KONTONG</v>
      </c>
      <c r="D6288" s="186">
        <f>IFERROR(__xludf.DUMMYFUNCTION("""COMPUTED_VALUE"""),112.0)</f>
        <v>112</v>
      </c>
    </row>
    <row r="6289">
      <c r="A6289" s="178" t="str">
        <f>IFERROR(__xludf.DUMMYFUNCTION("""COMPUTED_VALUE"""),"ITBISA-IC-PC817-DIP4")</f>
        <v>ITBISA-IC-PC817-DIP4</v>
      </c>
      <c r="B6289" s="266">
        <f>IFERROR(__xludf.DUMMYFUNCTION("""COMPUTED_VALUE"""),45965.0)</f>
        <v>45965</v>
      </c>
      <c r="C6289" s="266" t="str">
        <f>IFERROR(__xludf.DUMMYFUNCTION("""COMPUTED_VALUE"""),"KERTASARI CIAMIS")</f>
        <v>KERTASARI CIAMIS</v>
      </c>
      <c r="D6289" s="186">
        <f>IFERROR(__xludf.DUMMYFUNCTION("""COMPUTED_VALUE"""),100.0)</f>
        <v>100</v>
      </c>
    </row>
    <row r="6290">
      <c r="A6290" s="178" t="str">
        <f>IFERROR(__xludf.DUMMYFUNCTION("""COMPUTED_VALUE"""),"ITBISA-IC-PC817-DIP4")</f>
        <v>ITBISA-IC-PC817-DIP4</v>
      </c>
      <c r="B6290" s="266">
        <f>IFERROR(__xludf.DUMMYFUNCTION("""COMPUTED_VALUE"""),45966.0)</f>
        <v>45966</v>
      </c>
      <c r="C6290" s="266" t="str">
        <f>IFERROR(__xludf.DUMMYFUNCTION("""COMPUTED_VALUE"""),"KERTASARI CIAMIS")</f>
        <v>KERTASARI CIAMIS</v>
      </c>
      <c r="D6290" s="186">
        <f>IFERROR(__xludf.DUMMYFUNCTION("""COMPUTED_VALUE"""),50.0)</f>
        <v>50</v>
      </c>
    </row>
    <row r="6291">
      <c r="A6291" s="178" t="str">
        <f>IFERROR(__xludf.DUMMYFUNCTION("""COMPUTED_VALUE"""),"ITBISA-IC-PC817-DIP4")</f>
        <v>ITBISA-IC-PC817-DIP4</v>
      </c>
      <c r="B6291" s="266">
        <f>IFERROR(__xludf.DUMMYFUNCTION("""COMPUTED_VALUE"""),45966.0)</f>
        <v>45966</v>
      </c>
      <c r="C6291" s="266" t="str">
        <f>IFERROR(__xludf.DUMMYFUNCTION("""COMPUTED_VALUE"""),"KERTASARI CIAMIS")</f>
        <v>KERTASARI CIAMIS</v>
      </c>
      <c r="D6291" s="186">
        <f>IFERROR(__xludf.DUMMYFUNCTION("""COMPUTED_VALUE"""),1000.0)</f>
        <v>1000</v>
      </c>
    </row>
    <row r="6292">
      <c r="A6292" s="178" t="str">
        <f>IFERROR(__xludf.DUMMYFUNCTION("""COMPUTED_VALUE"""),"ITBISA-IC-PC817-DIP4")</f>
        <v>ITBISA-IC-PC817-DIP4</v>
      </c>
      <c r="B6292" s="266">
        <f>IFERROR(__xludf.DUMMYFUNCTION("""COMPUTED_VALUE"""),45966.0)</f>
        <v>45966</v>
      </c>
      <c r="C6292" s="266" t="str">
        <f>IFERROR(__xludf.DUMMYFUNCTION("""COMPUTED_VALUE"""),"KYAI KONTONG")</f>
        <v>KYAI KONTONG</v>
      </c>
      <c r="D6292" s="186">
        <f>IFERROR(__xludf.DUMMYFUNCTION("""COMPUTED_VALUE"""),10.0)</f>
        <v>10</v>
      </c>
    </row>
    <row r="6293">
      <c r="A6293" s="178" t="str">
        <f>IFERROR(__xludf.DUMMYFUNCTION("""COMPUTED_VALUE"""),"ITBISA-IC-PC817-DIP4")</f>
        <v>ITBISA-IC-PC817-DIP4</v>
      </c>
      <c r="B6293" s="266">
        <f>IFERROR(__xludf.DUMMYFUNCTION("""COMPUTED_VALUE"""),45967.0)</f>
        <v>45967</v>
      </c>
      <c r="C6293" s="266" t="str">
        <f>IFERROR(__xludf.DUMMYFUNCTION("""COMPUTED_VALUE"""),"KYAI KONTONG")</f>
        <v>KYAI KONTONG</v>
      </c>
      <c r="D6293" s="186">
        <f>IFERROR(__xludf.DUMMYFUNCTION("""COMPUTED_VALUE"""),10.0)</f>
        <v>10</v>
      </c>
    </row>
    <row r="6294">
      <c r="A6294" s="178" t="str">
        <f>IFERROR(__xludf.DUMMYFUNCTION("""COMPUTED_VALUE"""),"ITBISA-IC-PC817-DIP4")</f>
        <v>ITBISA-IC-PC817-DIP4</v>
      </c>
      <c r="B6294" s="266">
        <f>IFERROR(__xludf.DUMMYFUNCTION("""COMPUTED_VALUE"""),45968.0)</f>
        <v>45968</v>
      </c>
      <c r="C6294" s="266" t="str">
        <f>IFERROR(__xludf.DUMMYFUNCTION("""COMPUTED_VALUE"""),"KYAI KONTONG")</f>
        <v>KYAI KONTONG</v>
      </c>
      <c r="D6294" s="186">
        <f>IFERROR(__xludf.DUMMYFUNCTION("""COMPUTED_VALUE"""),10.0)</f>
        <v>10</v>
      </c>
    </row>
    <row r="6295">
      <c r="A6295" s="178" t="str">
        <f>IFERROR(__xludf.DUMMYFUNCTION("""COMPUTED_VALUE"""),"ITBISA-IC-PC817-DIP4")</f>
        <v>ITBISA-IC-PC817-DIP4</v>
      </c>
      <c r="B6295" s="266">
        <f>IFERROR(__xludf.DUMMYFUNCTION("""COMPUTED_VALUE"""),45970.0)</f>
        <v>45970</v>
      </c>
      <c r="C6295" s="266" t="str">
        <f>IFERROR(__xludf.DUMMYFUNCTION("""COMPUTED_VALUE"""),"KERTASARI CIAMIS")</f>
        <v>KERTASARI CIAMIS</v>
      </c>
      <c r="D6295" s="186">
        <f>IFERROR(__xludf.DUMMYFUNCTION("""COMPUTED_VALUE"""),12.0)</f>
        <v>12</v>
      </c>
    </row>
    <row r="6296">
      <c r="A6296" s="178" t="str">
        <f>IFERROR(__xludf.DUMMYFUNCTION("""COMPUTED_VALUE"""),"ITBISA-IC-PC817-DIP4")</f>
        <v>ITBISA-IC-PC817-DIP4</v>
      </c>
      <c r="B6296" s="266">
        <f>IFERROR(__xludf.DUMMYFUNCTION("""COMPUTED_VALUE"""),45970.0)</f>
        <v>45970</v>
      </c>
      <c r="C6296" s="266" t="str">
        <f>IFERROR(__xludf.DUMMYFUNCTION("""COMPUTED_VALUE"""),"KYAI KONTONG")</f>
        <v>KYAI KONTONG</v>
      </c>
      <c r="D6296" s="186">
        <f>IFERROR(__xludf.DUMMYFUNCTION("""COMPUTED_VALUE"""),10.0)</f>
        <v>10</v>
      </c>
    </row>
    <row r="6297">
      <c r="A6297" s="178" t="str">
        <f>IFERROR(__xludf.DUMMYFUNCTION("""COMPUTED_VALUE"""),"ITBISA-IC-PC817-DIP4")</f>
        <v>ITBISA-IC-PC817-DIP4</v>
      </c>
      <c r="B6297" s="266">
        <f>IFERROR(__xludf.DUMMYFUNCTION("""COMPUTED_VALUE"""),45971.0)</f>
        <v>45971</v>
      </c>
      <c r="C6297" s="266" t="str">
        <f>IFERROR(__xludf.DUMMYFUNCTION("""COMPUTED_VALUE"""),"KERTASARI CIAMIS")</f>
        <v>KERTASARI CIAMIS</v>
      </c>
      <c r="D6297" s="186">
        <f>IFERROR(__xludf.DUMMYFUNCTION("""COMPUTED_VALUE"""),200.0)</f>
        <v>200</v>
      </c>
    </row>
    <row r="6298">
      <c r="A6298" s="178" t="str">
        <f>IFERROR(__xludf.DUMMYFUNCTION("""COMPUTED_VALUE"""),"ITBISA-IC-PC817-DIP4")</f>
        <v>ITBISA-IC-PC817-DIP4</v>
      </c>
      <c r="B6298" s="266">
        <f>IFERROR(__xludf.DUMMYFUNCTION("""COMPUTED_VALUE"""),45971.0)</f>
        <v>45971</v>
      </c>
      <c r="C6298" s="266" t="str">
        <f>IFERROR(__xludf.DUMMYFUNCTION("""COMPUTED_VALUE"""),"KYAI KONTONG")</f>
        <v>KYAI KONTONG</v>
      </c>
      <c r="D6298" s="186">
        <f>IFERROR(__xludf.DUMMYFUNCTION("""COMPUTED_VALUE"""),20.0)</f>
        <v>20</v>
      </c>
    </row>
    <row r="6299">
      <c r="A6299" s="178" t="str">
        <f>IFERROR(__xludf.DUMMYFUNCTION("""COMPUTED_VALUE"""),"ITBISA-IC-PC817-DIP4")</f>
        <v>ITBISA-IC-PC817-DIP4</v>
      </c>
      <c r="B6299" s="266">
        <f>IFERROR(__xludf.DUMMYFUNCTION("""COMPUTED_VALUE"""),45972.0)</f>
        <v>45972</v>
      </c>
      <c r="C6299" s="266" t="str">
        <f>IFERROR(__xludf.DUMMYFUNCTION("""COMPUTED_VALUE"""),"KERTASARI CIAMIS")</f>
        <v>KERTASARI CIAMIS</v>
      </c>
      <c r="D6299" s="186">
        <f>IFERROR(__xludf.DUMMYFUNCTION("""COMPUTED_VALUE"""),100.0)</f>
        <v>100</v>
      </c>
    </row>
    <row r="6300">
      <c r="A6300" s="178" t="str">
        <f>IFERROR(__xludf.DUMMYFUNCTION("""COMPUTED_VALUE"""),"ITBISA-IC-PC817-DIP4")</f>
        <v>ITBISA-IC-PC817-DIP4</v>
      </c>
      <c r="B6300" s="266">
        <f>IFERROR(__xludf.DUMMYFUNCTION("""COMPUTED_VALUE"""),45972.0)</f>
        <v>45972</v>
      </c>
      <c r="C6300" s="266" t="str">
        <f>IFERROR(__xludf.DUMMYFUNCTION("""COMPUTED_VALUE"""),"KERTASARI CIAMIS")</f>
        <v>KERTASARI CIAMIS</v>
      </c>
      <c r="D6300" s="186">
        <f>IFERROR(__xludf.DUMMYFUNCTION("""COMPUTED_VALUE"""),400.0)</f>
        <v>400</v>
      </c>
    </row>
    <row r="6301">
      <c r="A6301" s="178" t="str">
        <f>IFERROR(__xludf.DUMMYFUNCTION("""COMPUTED_VALUE"""),"ITBISA-IC-PC817-DIP4")</f>
        <v>ITBISA-IC-PC817-DIP4</v>
      </c>
      <c r="B6301" s="266">
        <f>IFERROR(__xludf.DUMMYFUNCTION("""COMPUTED_VALUE"""),45973.0)</f>
        <v>45973</v>
      </c>
      <c r="C6301" s="266" t="str">
        <f>IFERROR(__xludf.DUMMYFUNCTION("""COMPUTED_VALUE"""),"KERTASARI CIAMIS")</f>
        <v>KERTASARI CIAMIS</v>
      </c>
      <c r="D6301" s="186">
        <f>IFERROR(__xludf.DUMMYFUNCTION("""COMPUTED_VALUE"""),10.0)</f>
        <v>10</v>
      </c>
    </row>
    <row r="6302">
      <c r="A6302" s="178" t="str">
        <f>IFERROR(__xludf.DUMMYFUNCTION("""COMPUTED_VALUE"""),"ITBISA-IC-PC817-DIP4")</f>
        <v>ITBISA-IC-PC817-DIP4</v>
      </c>
      <c r="B6302" s="266">
        <f>IFERROR(__xludf.DUMMYFUNCTION("""COMPUTED_VALUE"""),45973.0)</f>
        <v>45973</v>
      </c>
      <c r="C6302" s="266" t="str">
        <f>IFERROR(__xludf.DUMMYFUNCTION("""COMPUTED_VALUE"""),"KERTASARI CIAMIS")</f>
        <v>KERTASARI CIAMIS</v>
      </c>
      <c r="D6302" s="186">
        <f>IFERROR(__xludf.DUMMYFUNCTION("""COMPUTED_VALUE"""),10.0)</f>
        <v>10</v>
      </c>
    </row>
    <row r="6303">
      <c r="A6303" s="178" t="str">
        <f>IFERROR(__xludf.DUMMYFUNCTION("""COMPUTED_VALUE"""),"ITBISA-IC-PC817-DIP4")</f>
        <v>ITBISA-IC-PC817-DIP4</v>
      </c>
      <c r="B6303" s="266">
        <f>IFERROR(__xludf.DUMMYFUNCTION("""COMPUTED_VALUE"""),45973.0)</f>
        <v>45973</v>
      </c>
      <c r="C6303" s="266" t="str">
        <f>IFERROR(__xludf.DUMMYFUNCTION("""COMPUTED_VALUE"""),"KERTASARI CIAMIS")</f>
        <v>KERTASARI CIAMIS</v>
      </c>
      <c r="D6303" s="186">
        <f>IFERROR(__xludf.DUMMYFUNCTION("""COMPUTED_VALUE"""),20.0)</f>
        <v>20</v>
      </c>
    </row>
    <row r="6304">
      <c r="A6304" s="178" t="str">
        <f>IFERROR(__xludf.DUMMYFUNCTION("""COMPUTED_VALUE"""),"ITBISA-IC-PC817-DIP4")</f>
        <v>ITBISA-IC-PC817-DIP4</v>
      </c>
      <c r="B6304" s="266">
        <f>IFERROR(__xludf.DUMMYFUNCTION("""COMPUTED_VALUE"""),45973.0)</f>
        <v>45973</v>
      </c>
      <c r="C6304" s="266" t="str">
        <f>IFERROR(__xludf.DUMMYFUNCTION("""COMPUTED_VALUE"""),"KERTASARI CIAMIS")</f>
        <v>KERTASARI CIAMIS</v>
      </c>
      <c r="D6304" s="186">
        <f>IFERROR(__xludf.DUMMYFUNCTION("""COMPUTED_VALUE"""),25.0)</f>
        <v>25</v>
      </c>
    </row>
    <row r="6305">
      <c r="A6305" s="178" t="str">
        <f>IFERROR(__xludf.DUMMYFUNCTION("""COMPUTED_VALUE"""),"ITBISA-IC-PC817-DIP4")</f>
        <v>ITBISA-IC-PC817-DIP4</v>
      </c>
      <c r="B6305" s="266">
        <f>IFERROR(__xludf.DUMMYFUNCTION("""COMPUTED_VALUE"""),45973.0)</f>
        <v>45973</v>
      </c>
      <c r="C6305" s="266" t="str">
        <f>IFERROR(__xludf.DUMMYFUNCTION("""COMPUTED_VALUE"""),"KERTASARI CIAMIS")</f>
        <v>KERTASARI CIAMIS</v>
      </c>
      <c r="D6305" s="186">
        <f>IFERROR(__xludf.DUMMYFUNCTION("""COMPUTED_VALUE"""),30.0)</f>
        <v>30</v>
      </c>
    </row>
    <row r="6306">
      <c r="A6306" s="178" t="str">
        <f>IFERROR(__xludf.DUMMYFUNCTION("""COMPUTED_VALUE"""),"ITBISA-IC-PC817-DIP4")</f>
        <v>ITBISA-IC-PC817-DIP4</v>
      </c>
      <c r="B6306" s="266">
        <f>IFERROR(__xludf.DUMMYFUNCTION("""COMPUTED_VALUE"""),45973.0)</f>
        <v>45973</v>
      </c>
      <c r="C6306" s="266" t="str">
        <f>IFERROR(__xludf.DUMMYFUNCTION("""COMPUTED_VALUE"""),"KERTASARI CIAMIS")</f>
        <v>KERTASARI CIAMIS</v>
      </c>
      <c r="D6306" s="186">
        <f>IFERROR(__xludf.DUMMYFUNCTION("""COMPUTED_VALUE"""),32.0)</f>
        <v>32</v>
      </c>
    </row>
    <row r="6307">
      <c r="A6307" s="178" t="str">
        <f>IFERROR(__xludf.DUMMYFUNCTION("""COMPUTED_VALUE"""),"ITBISA-IC-PC817-DIP4")</f>
        <v>ITBISA-IC-PC817-DIP4</v>
      </c>
      <c r="B6307" s="266">
        <f>IFERROR(__xludf.DUMMYFUNCTION("""COMPUTED_VALUE"""),45973.0)</f>
        <v>45973</v>
      </c>
      <c r="C6307" s="266" t="str">
        <f>IFERROR(__xludf.DUMMYFUNCTION("""COMPUTED_VALUE"""),"KERTASARI CIAMIS")</f>
        <v>KERTASARI CIAMIS</v>
      </c>
      <c r="D6307" s="186">
        <f>IFERROR(__xludf.DUMMYFUNCTION("""COMPUTED_VALUE"""),150.0)</f>
        <v>150</v>
      </c>
    </row>
    <row r="6308">
      <c r="A6308" s="178" t="str">
        <f>IFERROR(__xludf.DUMMYFUNCTION("""COMPUTED_VALUE"""),"ITBISA-IC-PC817-DIP4")</f>
        <v>ITBISA-IC-PC817-DIP4</v>
      </c>
      <c r="B6308" s="266">
        <f>IFERROR(__xludf.DUMMYFUNCTION("""COMPUTED_VALUE"""),45974.0)</f>
        <v>45974</v>
      </c>
      <c r="C6308" s="266" t="str">
        <f>IFERROR(__xludf.DUMMYFUNCTION("""COMPUTED_VALUE"""),"KERTASARI CIAMIS")</f>
        <v>KERTASARI CIAMIS</v>
      </c>
      <c r="D6308" s="186">
        <f>IFERROR(__xludf.DUMMYFUNCTION("""COMPUTED_VALUE"""),200.0)</f>
        <v>200</v>
      </c>
    </row>
    <row r="6309">
      <c r="A6309" s="178" t="str">
        <f>IFERROR(__xludf.DUMMYFUNCTION("""COMPUTED_VALUE"""),"ITBISA-IC-PC817-DIP4")</f>
        <v>ITBISA-IC-PC817-DIP4</v>
      </c>
      <c r="B6309" s="266">
        <f>IFERROR(__xludf.DUMMYFUNCTION("""COMPUTED_VALUE"""),45978.0)</f>
        <v>45978</v>
      </c>
      <c r="C6309" s="266" t="str">
        <f>IFERROR(__xludf.DUMMYFUNCTION("""COMPUTED_VALUE"""),"KERTASARI CIAMIS")</f>
        <v>KERTASARI CIAMIS</v>
      </c>
      <c r="D6309" s="186">
        <f>IFERROR(__xludf.DUMMYFUNCTION("""COMPUTED_VALUE"""),100.0)</f>
        <v>100</v>
      </c>
    </row>
    <row r="6310">
      <c r="A6310" s="178" t="str">
        <f>IFERROR(__xludf.DUMMYFUNCTION("""COMPUTED_VALUE"""),"ITBISA-IC-PC817-DIP4")</f>
        <v>ITBISA-IC-PC817-DIP4</v>
      </c>
      <c r="B6310" s="266">
        <f>IFERROR(__xludf.DUMMYFUNCTION("""COMPUTED_VALUE"""),45980.0)</f>
        <v>45980</v>
      </c>
      <c r="C6310" s="266" t="str">
        <f>IFERROR(__xludf.DUMMYFUNCTION("""COMPUTED_VALUE"""),"KYAI KONTONG")</f>
        <v>KYAI KONTONG</v>
      </c>
      <c r="D6310" s="186">
        <f>IFERROR(__xludf.DUMMYFUNCTION("""COMPUTED_VALUE"""),10.0)</f>
        <v>10</v>
      </c>
    </row>
    <row r="6311">
      <c r="A6311" s="178" t="str">
        <f>IFERROR(__xludf.DUMMYFUNCTION("""COMPUTED_VALUE"""),"ITBISA-IC-PC817-DIP4")</f>
        <v>ITBISA-IC-PC817-DIP4</v>
      </c>
      <c r="B6311" s="266">
        <f>IFERROR(__xludf.DUMMYFUNCTION("""COMPUTED_VALUE"""),45981.0)</f>
        <v>45981</v>
      </c>
      <c r="C6311" s="266" t="str">
        <f>IFERROR(__xludf.DUMMYFUNCTION("""COMPUTED_VALUE"""),"KERTASARI CIAMIS")</f>
        <v>KERTASARI CIAMIS</v>
      </c>
      <c r="D6311" s="186">
        <f>IFERROR(__xludf.DUMMYFUNCTION("""COMPUTED_VALUE"""),20.0)</f>
        <v>20</v>
      </c>
    </row>
    <row r="6312">
      <c r="A6312" s="178" t="str">
        <f>IFERROR(__xludf.DUMMYFUNCTION("""COMPUTED_VALUE"""),"ITBISA-IC-PC817-DIP4")</f>
        <v>ITBISA-IC-PC817-DIP4</v>
      </c>
      <c r="B6312" s="266">
        <f>IFERROR(__xludf.DUMMYFUNCTION("""COMPUTED_VALUE"""),45981.0)</f>
        <v>45981</v>
      </c>
      <c r="C6312" s="266" t="str">
        <f>IFERROR(__xludf.DUMMYFUNCTION("""COMPUTED_VALUE"""),"KERTASARI CIAMIS")</f>
        <v>KERTASARI CIAMIS</v>
      </c>
      <c r="D6312" s="186">
        <f>IFERROR(__xludf.DUMMYFUNCTION("""COMPUTED_VALUE"""),50.0)</f>
        <v>50</v>
      </c>
    </row>
    <row r="6313">
      <c r="A6313" s="178" t="str">
        <f>IFERROR(__xludf.DUMMYFUNCTION("""COMPUTED_VALUE"""),"ITBISA-IC-PC817-DIP4")</f>
        <v>ITBISA-IC-PC817-DIP4</v>
      </c>
      <c r="B6313" s="266">
        <f>IFERROR(__xludf.DUMMYFUNCTION("""COMPUTED_VALUE"""),45984.0)</f>
        <v>45984</v>
      </c>
      <c r="C6313" s="266" t="str">
        <f>IFERROR(__xludf.DUMMYFUNCTION("""COMPUTED_VALUE"""),"KERTASARI CIAMIS")</f>
        <v>KERTASARI CIAMIS</v>
      </c>
      <c r="D6313" s="186">
        <f>IFERROR(__xludf.DUMMYFUNCTION("""COMPUTED_VALUE"""),300.0)</f>
        <v>300</v>
      </c>
    </row>
    <row r="6314">
      <c r="A6314" s="178" t="str">
        <f>IFERROR(__xludf.DUMMYFUNCTION("""COMPUTED_VALUE"""),"ITBISA-IC-PC817-DIP4")</f>
        <v>ITBISA-IC-PC817-DIP4</v>
      </c>
      <c r="B6314" s="266">
        <f>IFERROR(__xludf.DUMMYFUNCTION("""COMPUTED_VALUE"""),45985.0)</f>
        <v>45985</v>
      </c>
      <c r="C6314" s="266" t="str">
        <f>IFERROR(__xludf.DUMMYFUNCTION("""COMPUTED_VALUE"""),"KERTASARI CIAMIS")</f>
        <v>KERTASARI CIAMIS</v>
      </c>
      <c r="D6314" s="186">
        <f>IFERROR(__xludf.DUMMYFUNCTION("""COMPUTED_VALUE"""),30.0)</f>
        <v>30</v>
      </c>
    </row>
    <row r="6315">
      <c r="A6315" s="178" t="str">
        <f>IFERROR(__xludf.DUMMYFUNCTION("""COMPUTED_VALUE"""),"ITBISA-IC-PC817-DIP4")</f>
        <v>ITBISA-IC-PC817-DIP4</v>
      </c>
      <c r="B6315" s="266">
        <f>IFERROR(__xludf.DUMMYFUNCTION("""COMPUTED_VALUE"""),45985.0)</f>
        <v>45985</v>
      </c>
      <c r="C6315" s="266" t="str">
        <f>IFERROR(__xludf.DUMMYFUNCTION("""COMPUTED_VALUE"""),"KERTASARI CIAMIS")</f>
        <v>KERTASARI CIAMIS</v>
      </c>
      <c r="D6315" s="186">
        <f>IFERROR(__xludf.DUMMYFUNCTION("""COMPUTED_VALUE"""),100.0)</f>
        <v>100</v>
      </c>
    </row>
    <row r="6316">
      <c r="A6316" s="178" t="str">
        <f>IFERROR(__xludf.DUMMYFUNCTION("""COMPUTED_VALUE"""),"ITBISA-IC-PC817-DIP4")</f>
        <v>ITBISA-IC-PC817-DIP4</v>
      </c>
      <c r="B6316" s="266">
        <f>IFERROR(__xludf.DUMMYFUNCTION("""COMPUTED_VALUE"""),45990.0)</f>
        <v>45990</v>
      </c>
      <c r="C6316" s="266" t="str">
        <f>IFERROR(__xludf.DUMMYFUNCTION("""COMPUTED_VALUE"""),"KERTASARI CIAMIS")</f>
        <v>KERTASARI CIAMIS</v>
      </c>
      <c r="D6316" s="186">
        <f>IFERROR(__xludf.DUMMYFUNCTION("""COMPUTED_VALUE"""),100.0)</f>
        <v>100</v>
      </c>
    </row>
    <row r="6317">
      <c r="A6317" s="178" t="str">
        <f>IFERROR(__xludf.DUMMYFUNCTION("""COMPUTED_VALUE"""),"ITBISA-IC-PC817-DIP4")</f>
        <v>ITBISA-IC-PC817-DIP4</v>
      </c>
      <c r="B6317" s="266">
        <f>IFERROR(__xludf.DUMMYFUNCTION("""COMPUTED_VALUE"""),45990.0)</f>
        <v>45990</v>
      </c>
      <c r="C6317" s="266" t="str">
        <f>IFERROR(__xludf.DUMMYFUNCTION("""COMPUTED_VALUE"""),"KYAI KONTONG")</f>
        <v>KYAI KONTONG</v>
      </c>
      <c r="D6317" s="186">
        <f>IFERROR(__xludf.DUMMYFUNCTION("""COMPUTED_VALUE"""),20.0)</f>
        <v>20</v>
      </c>
    </row>
    <row r="6318">
      <c r="A6318" s="178" t="str">
        <f>IFERROR(__xludf.DUMMYFUNCTION("""COMPUTED_VALUE"""),"ITBISA-IC-PC817-DIP4")</f>
        <v>ITBISA-IC-PC817-DIP4</v>
      </c>
      <c r="B6318" s="266">
        <f>IFERROR(__xludf.DUMMYFUNCTION("""COMPUTED_VALUE"""),45991.0)</f>
        <v>45991</v>
      </c>
      <c r="C6318" s="266" t="str">
        <f>IFERROR(__xludf.DUMMYFUNCTION("""COMPUTED_VALUE"""),"KERTASARI CIAMIS")</f>
        <v>KERTASARI CIAMIS</v>
      </c>
      <c r="D6318" s="186">
        <f>IFERROR(__xludf.DUMMYFUNCTION("""COMPUTED_VALUE"""),100.0)</f>
        <v>100</v>
      </c>
    </row>
    <row r="6319">
      <c r="A6319" s="178" t="str">
        <f>IFERROR(__xludf.DUMMYFUNCTION("""COMPUTED_VALUE"""),"ITBISA-IC-PC817-DIP4")</f>
        <v>ITBISA-IC-PC817-DIP4</v>
      </c>
      <c r="B6319" s="266">
        <f>IFERROR(__xludf.DUMMYFUNCTION("""COMPUTED_VALUE"""),45991.0)</f>
        <v>45991</v>
      </c>
      <c r="C6319" s="266" t="str">
        <f>IFERROR(__xludf.DUMMYFUNCTION("""COMPUTED_VALUE"""),"KYAI KONTONG")</f>
        <v>KYAI KONTONG</v>
      </c>
      <c r="D6319" s="186">
        <f>IFERROR(__xludf.DUMMYFUNCTION("""COMPUTED_VALUE"""),10.0)</f>
        <v>10</v>
      </c>
    </row>
    <row r="6320">
      <c r="A6320" s="178" t="str">
        <f>IFERROR(__xludf.DUMMYFUNCTION("""COMPUTED_VALUE"""),"ITBISA-IC-PC817-DIP4")</f>
        <v>ITBISA-IC-PC817-DIP4</v>
      </c>
      <c r="B6320" s="266">
        <f>IFERROR(__xludf.DUMMYFUNCTION("""COMPUTED_VALUE"""),45991.0)</f>
        <v>45991</v>
      </c>
      <c r="C6320" s="266" t="str">
        <f>IFERROR(__xludf.DUMMYFUNCTION("""COMPUTED_VALUE"""),"KYAI KONTONG")</f>
        <v>KYAI KONTONG</v>
      </c>
      <c r="D6320" s="186">
        <f>IFERROR(__xludf.DUMMYFUNCTION("""COMPUTED_VALUE"""),100.0)</f>
        <v>100</v>
      </c>
    </row>
    <row r="6321">
      <c r="A6321" s="178" t="str">
        <f>IFERROR(__xludf.DUMMYFUNCTION("""COMPUTED_VALUE"""),"ITBISA-IC-PC817-DIP4")</f>
        <v>ITBISA-IC-PC817-DIP4</v>
      </c>
      <c r="B6321" s="266">
        <f>IFERROR(__xludf.DUMMYFUNCTION("""COMPUTED_VALUE"""),45993.0)</f>
        <v>45993</v>
      </c>
      <c r="C6321" s="266" t="str">
        <f>IFERROR(__xludf.DUMMYFUNCTION("""COMPUTED_VALUE"""),"KYAI KONTONG")</f>
        <v>KYAI KONTONG</v>
      </c>
      <c r="D6321" s="186">
        <f>IFERROR(__xludf.DUMMYFUNCTION("""COMPUTED_VALUE"""),200.0)</f>
        <v>200</v>
      </c>
    </row>
    <row r="6322">
      <c r="A6322" s="178" t="str">
        <f>IFERROR(__xludf.DUMMYFUNCTION("""COMPUTED_VALUE"""),"ITBISA-IC-PC817-DIP4")</f>
        <v>ITBISA-IC-PC817-DIP4</v>
      </c>
      <c r="B6322" s="266">
        <f>IFERROR(__xludf.DUMMYFUNCTION("""COMPUTED_VALUE"""),45995.0)</f>
        <v>45995</v>
      </c>
      <c r="C6322" s="266" t="str">
        <f>IFERROR(__xludf.DUMMYFUNCTION("""COMPUTED_VALUE"""),"KERTASARI CIAMIS")</f>
        <v>KERTASARI CIAMIS</v>
      </c>
      <c r="D6322" s="186">
        <f>IFERROR(__xludf.DUMMYFUNCTION("""COMPUTED_VALUE"""),10.0)</f>
        <v>10</v>
      </c>
    </row>
    <row r="6323">
      <c r="A6323" s="178" t="str">
        <f>IFERROR(__xludf.DUMMYFUNCTION("""COMPUTED_VALUE"""),"ITBISA-IC-PC817-DIP4")</f>
        <v>ITBISA-IC-PC817-DIP4</v>
      </c>
      <c r="B6323" s="266">
        <f>IFERROR(__xludf.DUMMYFUNCTION("""COMPUTED_VALUE"""),45995.0)</f>
        <v>45995</v>
      </c>
      <c r="C6323" s="266" t="str">
        <f>IFERROR(__xludf.DUMMYFUNCTION("""COMPUTED_VALUE"""),"KERTASARI CIAMIS")</f>
        <v>KERTASARI CIAMIS</v>
      </c>
      <c r="D6323" s="186">
        <f>IFERROR(__xludf.DUMMYFUNCTION("""COMPUTED_VALUE"""),300.0)</f>
        <v>300</v>
      </c>
    </row>
    <row r="6324">
      <c r="A6324" s="178" t="str">
        <f>IFERROR(__xludf.DUMMYFUNCTION("""COMPUTED_VALUE"""),"ITBISA-IC-PC817-DIP4")</f>
        <v>ITBISA-IC-PC817-DIP4</v>
      </c>
      <c r="B6324" s="266">
        <f>IFERROR(__xludf.DUMMYFUNCTION("""COMPUTED_VALUE"""),45995.0)</f>
        <v>45995</v>
      </c>
      <c r="C6324" s="266" t="str">
        <f>IFERROR(__xludf.DUMMYFUNCTION("""COMPUTED_VALUE"""),"KYAI KONTONG")</f>
        <v>KYAI KONTONG</v>
      </c>
      <c r="D6324" s="186">
        <f>IFERROR(__xludf.DUMMYFUNCTION("""COMPUTED_VALUE"""),50.0)</f>
        <v>50</v>
      </c>
    </row>
    <row r="6325">
      <c r="A6325" s="178" t="str">
        <f>IFERROR(__xludf.DUMMYFUNCTION("""COMPUTED_VALUE"""),"ITBISA-IC-PC817-DIP4")</f>
        <v>ITBISA-IC-PC817-DIP4</v>
      </c>
      <c r="B6325" s="266">
        <f>IFERROR(__xludf.DUMMYFUNCTION("""COMPUTED_VALUE"""),45995.0)</f>
        <v>45995</v>
      </c>
      <c r="C6325" s="266" t="str">
        <f>IFERROR(__xludf.DUMMYFUNCTION("""COMPUTED_VALUE"""),"KYAI KONTONG")</f>
        <v>KYAI KONTONG</v>
      </c>
      <c r="D6325" s="186">
        <f>IFERROR(__xludf.DUMMYFUNCTION("""COMPUTED_VALUE"""),50.0)</f>
        <v>50</v>
      </c>
    </row>
    <row r="6326">
      <c r="A6326" s="178" t="str">
        <f>IFERROR(__xludf.DUMMYFUNCTION("""COMPUTED_VALUE"""),"ITBISA-IC-PC817-DIP4")</f>
        <v>ITBISA-IC-PC817-DIP4</v>
      </c>
      <c r="B6326" s="266">
        <f>IFERROR(__xludf.DUMMYFUNCTION("""COMPUTED_VALUE"""),45996.0)</f>
        <v>45996</v>
      </c>
      <c r="C6326" s="266" t="str">
        <f>IFERROR(__xludf.DUMMYFUNCTION("""COMPUTED_VALUE"""),"KYAI KONTONG")</f>
        <v>KYAI KONTONG</v>
      </c>
      <c r="D6326" s="186">
        <f>IFERROR(__xludf.DUMMYFUNCTION("""COMPUTED_VALUE"""),100.0)</f>
        <v>100</v>
      </c>
    </row>
    <row r="6327">
      <c r="A6327" s="178" t="str">
        <f>IFERROR(__xludf.DUMMYFUNCTION("""COMPUTED_VALUE"""),"ITBISA-IC-PC817-DIP4")</f>
        <v>ITBISA-IC-PC817-DIP4</v>
      </c>
      <c r="B6327" s="266">
        <f>IFERROR(__xludf.DUMMYFUNCTION("""COMPUTED_VALUE"""),45998.0)</f>
        <v>45998</v>
      </c>
      <c r="C6327" s="266" t="str">
        <f>IFERROR(__xludf.DUMMYFUNCTION("""COMPUTED_VALUE"""),"KERTASARI CIAMIS")</f>
        <v>KERTASARI CIAMIS</v>
      </c>
      <c r="D6327" s="186">
        <f>IFERROR(__xludf.DUMMYFUNCTION("""COMPUTED_VALUE"""),200.0)</f>
        <v>200</v>
      </c>
    </row>
    <row r="6328">
      <c r="A6328" s="178" t="str">
        <f>IFERROR(__xludf.DUMMYFUNCTION("""COMPUTED_VALUE"""),"ITBISA-IC-PC817-DIP4")</f>
        <v>ITBISA-IC-PC817-DIP4</v>
      </c>
      <c r="B6328" s="266">
        <f>IFERROR(__xludf.DUMMYFUNCTION("""COMPUTED_VALUE"""),45999.0)</f>
        <v>45999</v>
      </c>
      <c r="C6328" s="266" t="str">
        <f>IFERROR(__xludf.DUMMYFUNCTION("""COMPUTED_VALUE"""),"KYAI KONTONG")</f>
        <v>KYAI KONTONG</v>
      </c>
      <c r="D6328" s="186">
        <f>IFERROR(__xludf.DUMMYFUNCTION("""COMPUTED_VALUE"""),25.0)</f>
        <v>25</v>
      </c>
    </row>
    <row r="6329">
      <c r="A6329" s="178" t="str">
        <f>IFERROR(__xludf.DUMMYFUNCTION("""COMPUTED_VALUE"""),"ITBISA-IC-PC817-DIP4")</f>
        <v>ITBISA-IC-PC817-DIP4</v>
      </c>
      <c r="B6329" s="266">
        <f>IFERROR(__xludf.DUMMYFUNCTION("""COMPUTED_VALUE"""),45999.0)</f>
        <v>45999</v>
      </c>
      <c r="C6329" s="266" t="str">
        <f>IFERROR(__xludf.DUMMYFUNCTION("""COMPUTED_VALUE"""),"KYAI KONTONG")</f>
        <v>KYAI KONTONG</v>
      </c>
      <c r="D6329" s="186">
        <f>IFERROR(__xludf.DUMMYFUNCTION("""COMPUTED_VALUE"""),65.0)</f>
        <v>65</v>
      </c>
    </row>
    <row r="6330">
      <c r="A6330" s="178" t="str">
        <f>IFERROR(__xludf.DUMMYFUNCTION("""COMPUTED_VALUE"""),"ITBISA-IC-PC817-DIP4")</f>
        <v>ITBISA-IC-PC817-DIP4</v>
      </c>
      <c r="B6330" s="266">
        <f>IFERROR(__xludf.DUMMYFUNCTION("""COMPUTED_VALUE"""),46001.0)</f>
        <v>46001</v>
      </c>
      <c r="C6330" s="266" t="str">
        <f>IFERROR(__xludf.DUMMYFUNCTION("""COMPUTED_VALUE"""),"KERTASARI CIAMIS")</f>
        <v>KERTASARI CIAMIS</v>
      </c>
      <c r="D6330" s="186">
        <f>IFERROR(__xludf.DUMMYFUNCTION("""COMPUTED_VALUE"""),200.0)</f>
        <v>200</v>
      </c>
    </row>
    <row r="6331">
      <c r="A6331" s="178" t="str">
        <f>IFERROR(__xludf.DUMMYFUNCTION("""COMPUTED_VALUE"""),"ITBISA-IC-PC817-DIP4")</f>
        <v>ITBISA-IC-PC817-DIP4</v>
      </c>
      <c r="B6331" s="266">
        <f>IFERROR(__xludf.DUMMYFUNCTION("""COMPUTED_VALUE"""),46001.0)</f>
        <v>46001</v>
      </c>
      <c r="C6331" s="266" t="str">
        <f>IFERROR(__xludf.DUMMYFUNCTION("""COMPUTED_VALUE"""),"KYAI KONTONG")</f>
        <v>KYAI KONTONG</v>
      </c>
      <c r="D6331" s="186">
        <f>IFERROR(__xludf.DUMMYFUNCTION("""COMPUTED_VALUE"""),10.0)</f>
        <v>10</v>
      </c>
    </row>
    <row r="6332">
      <c r="A6332" s="178" t="str">
        <f>IFERROR(__xludf.DUMMYFUNCTION("""COMPUTED_VALUE"""),"ITBISA-IC-PC817-DIP4")</f>
        <v>ITBISA-IC-PC817-DIP4</v>
      </c>
      <c r="B6332" s="266">
        <f>IFERROR(__xludf.DUMMYFUNCTION("""COMPUTED_VALUE"""),46001.0)</f>
        <v>46001</v>
      </c>
      <c r="C6332" s="266" t="str">
        <f>IFERROR(__xludf.DUMMYFUNCTION("""COMPUTED_VALUE"""),"KYAI KONTONG")</f>
        <v>KYAI KONTONG</v>
      </c>
      <c r="D6332" s="186">
        <f>IFERROR(__xludf.DUMMYFUNCTION("""COMPUTED_VALUE"""),100.0)</f>
        <v>100</v>
      </c>
    </row>
    <row r="6333">
      <c r="A6333" s="178" t="str">
        <f>IFERROR(__xludf.DUMMYFUNCTION("""COMPUTED_VALUE"""),"ITBISA-IC-PC817-DIP4")</f>
        <v>ITBISA-IC-PC817-DIP4</v>
      </c>
      <c r="B6333" s="266">
        <f>IFERROR(__xludf.DUMMYFUNCTION("""COMPUTED_VALUE"""),46002.0)</f>
        <v>46002</v>
      </c>
      <c r="C6333" s="266" t="str">
        <f>IFERROR(__xludf.DUMMYFUNCTION("""COMPUTED_VALUE"""),"KYAI KONTONG")</f>
        <v>KYAI KONTONG</v>
      </c>
      <c r="D6333" s="186">
        <f>IFERROR(__xludf.DUMMYFUNCTION("""COMPUTED_VALUE"""),10.0)</f>
        <v>10</v>
      </c>
    </row>
    <row r="6334">
      <c r="A6334" s="178" t="str">
        <f>IFERROR(__xludf.DUMMYFUNCTION("""COMPUTED_VALUE"""),"ITBISA-IC-PC817-DIP4")</f>
        <v>ITBISA-IC-PC817-DIP4</v>
      </c>
      <c r="B6334" s="266">
        <f>IFERROR(__xludf.DUMMYFUNCTION("""COMPUTED_VALUE"""),46002.0)</f>
        <v>46002</v>
      </c>
      <c r="C6334" s="266" t="str">
        <f>IFERROR(__xludf.DUMMYFUNCTION("""COMPUTED_VALUE"""),"KYAI KONTONG")</f>
        <v>KYAI KONTONG</v>
      </c>
      <c r="D6334" s="186">
        <f>IFERROR(__xludf.DUMMYFUNCTION("""COMPUTED_VALUE"""),20.0)</f>
        <v>20</v>
      </c>
    </row>
    <row r="6335">
      <c r="A6335" s="178" t="str">
        <f>IFERROR(__xludf.DUMMYFUNCTION("""COMPUTED_VALUE"""),"ITBISA-IC-PC817-DIP4")</f>
        <v>ITBISA-IC-PC817-DIP4</v>
      </c>
      <c r="B6335" s="266">
        <f>IFERROR(__xludf.DUMMYFUNCTION("""COMPUTED_VALUE"""),46002.0)</f>
        <v>46002</v>
      </c>
      <c r="C6335" s="266" t="str">
        <f>IFERROR(__xludf.DUMMYFUNCTION("""COMPUTED_VALUE"""),"KYAI KONTONG")</f>
        <v>KYAI KONTONG</v>
      </c>
      <c r="D6335" s="186">
        <f>IFERROR(__xludf.DUMMYFUNCTION("""COMPUTED_VALUE"""),70.0)</f>
        <v>70</v>
      </c>
    </row>
    <row r="6336">
      <c r="A6336" s="178" t="str">
        <f>IFERROR(__xludf.DUMMYFUNCTION("""COMPUTED_VALUE"""),"ITBISA-IC-PC817-DIP4")</f>
        <v>ITBISA-IC-PC817-DIP4</v>
      </c>
      <c r="B6336" s="266">
        <f>IFERROR(__xludf.DUMMYFUNCTION("""COMPUTED_VALUE"""),46003.0)</f>
        <v>46003</v>
      </c>
      <c r="C6336" s="266" t="str">
        <f>IFERROR(__xludf.DUMMYFUNCTION("""COMPUTED_VALUE"""),"KYAI KONTONG")</f>
        <v>KYAI KONTONG</v>
      </c>
      <c r="D6336" s="186">
        <f>IFERROR(__xludf.DUMMYFUNCTION("""COMPUTED_VALUE"""),100.0)</f>
        <v>100</v>
      </c>
    </row>
    <row r="6337">
      <c r="A6337" s="178" t="str">
        <f>IFERROR(__xludf.DUMMYFUNCTION("""COMPUTED_VALUE"""),"ITBISA-IC-PC817-DIP4")</f>
        <v>ITBISA-IC-PC817-DIP4</v>
      </c>
      <c r="B6337" s="266">
        <f>IFERROR(__xludf.DUMMYFUNCTION("""COMPUTED_VALUE"""),46004.0)</f>
        <v>46004</v>
      </c>
      <c r="C6337" s="266" t="str">
        <f>IFERROR(__xludf.DUMMYFUNCTION("""COMPUTED_VALUE"""),"KYAI KONTONG")</f>
        <v>KYAI KONTONG</v>
      </c>
      <c r="D6337" s="186">
        <f>IFERROR(__xludf.DUMMYFUNCTION("""COMPUTED_VALUE"""),10.0)</f>
        <v>10</v>
      </c>
    </row>
    <row r="6338">
      <c r="A6338" s="178" t="str">
        <f>IFERROR(__xludf.DUMMYFUNCTION("""COMPUTED_VALUE"""),"ITBISA-IC-PC817-DIP4")</f>
        <v>ITBISA-IC-PC817-DIP4</v>
      </c>
      <c r="B6338" s="266">
        <f>IFERROR(__xludf.DUMMYFUNCTION("""COMPUTED_VALUE"""),46004.0)</f>
        <v>46004</v>
      </c>
      <c r="C6338" s="266" t="str">
        <f>IFERROR(__xludf.DUMMYFUNCTION("""COMPUTED_VALUE"""),"KYAI KONTONG")</f>
        <v>KYAI KONTONG</v>
      </c>
      <c r="D6338" s="186">
        <f>IFERROR(__xludf.DUMMYFUNCTION("""COMPUTED_VALUE"""),25.0)</f>
        <v>25</v>
      </c>
    </row>
    <row r="6339">
      <c r="A6339" s="178" t="str">
        <f>IFERROR(__xludf.DUMMYFUNCTION("""COMPUTED_VALUE"""),"ITBISA-IC-PC817-DIP4")</f>
        <v>ITBISA-IC-PC817-DIP4</v>
      </c>
      <c r="B6339" s="266">
        <f>IFERROR(__xludf.DUMMYFUNCTION("""COMPUTED_VALUE"""),46004.0)</f>
        <v>46004</v>
      </c>
      <c r="C6339" s="266" t="str">
        <f>IFERROR(__xludf.DUMMYFUNCTION("""COMPUTED_VALUE"""),"KYAI KONTONG")</f>
        <v>KYAI KONTONG</v>
      </c>
      <c r="D6339" s="186">
        <f>IFERROR(__xludf.DUMMYFUNCTION("""COMPUTED_VALUE"""),100.0)</f>
        <v>100</v>
      </c>
    </row>
    <row r="6340">
      <c r="A6340" s="178" t="str">
        <f>IFERROR(__xludf.DUMMYFUNCTION("""COMPUTED_VALUE"""),"ITBISA-IC-PC817-DIP4")</f>
        <v>ITBISA-IC-PC817-DIP4</v>
      </c>
      <c r="B6340" s="266">
        <f>IFERROR(__xludf.DUMMYFUNCTION("""COMPUTED_VALUE"""),46004.0)</f>
        <v>46004</v>
      </c>
      <c r="C6340" s="266" t="str">
        <f>IFERROR(__xludf.DUMMYFUNCTION("""COMPUTED_VALUE"""),"KYAI KONTONG")</f>
        <v>KYAI KONTONG</v>
      </c>
      <c r="D6340" s="186">
        <f>IFERROR(__xludf.DUMMYFUNCTION("""COMPUTED_VALUE"""),100.0)</f>
        <v>100</v>
      </c>
    </row>
    <row r="6341">
      <c r="A6341" s="178" t="str">
        <f>IFERROR(__xludf.DUMMYFUNCTION("""COMPUTED_VALUE"""),"ITBISA-IC-PC817-DIP4")</f>
        <v>ITBISA-IC-PC817-DIP4</v>
      </c>
      <c r="B6341" s="266">
        <f>IFERROR(__xludf.DUMMYFUNCTION("""COMPUTED_VALUE"""),46004.0)</f>
        <v>46004</v>
      </c>
      <c r="C6341" s="266" t="str">
        <f>IFERROR(__xludf.DUMMYFUNCTION("""COMPUTED_VALUE"""),"KYAI KONTONG")</f>
        <v>KYAI KONTONG</v>
      </c>
      <c r="D6341" s="186">
        <f>IFERROR(__xludf.DUMMYFUNCTION("""COMPUTED_VALUE"""),100.0)</f>
        <v>100</v>
      </c>
    </row>
    <row r="6342">
      <c r="A6342" s="178" t="str">
        <f>IFERROR(__xludf.DUMMYFUNCTION("""COMPUTED_VALUE"""),"ITBISA-IC-PC817-DIP4")</f>
        <v>ITBISA-IC-PC817-DIP4</v>
      </c>
      <c r="B6342" s="266">
        <f>IFERROR(__xludf.DUMMYFUNCTION("""COMPUTED_VALUE"""),46005.0)</f>
        <v>46005</v>
      </c>
      <c r="C6342" s="266" t="str">
        <f>IFERROR(__xludf.DUMMYFUNCTION("""COMPUTED_VALUE"""),"KYAI KONTONG")</f>
        <v>KYAI KONTONG</v>
      </c>
      <c r="D6342" s="186">
        <f>IFERROR(__xludf.DUMMYFUNCTION("""COMPUTED_VALUE"""),20.0)</f>
        <v>20</v>
      </c>
    </row>
    <row r="6343">
      <c r="A6343" s="178" t="str">
        <f>IFERROR(__xludf.DUMMYFUNCTION("""COMPUTED_VALUE"""),"ITBISA-IC-PC817-DIP4")</f>
        <v>ITBISA-IC-PC817-DIP4</v>
      </c>
      <c r="B6343" s="266">
        <f>IFERROR(__xludf.DUMMYFUNCTION("""COMPUTED_VALUE"""),46006.0)</f>
        <v>46006</v>
      </c>
      <c r="C6343" s="266" t="str">
        <f>IFERROR(__xludf.DUMMYFUNCTION("""COMPUTED_VALUE"""),"KYAI KONTONG")</f>
        <v>KYAI KONTONG</v>
      </c>
      <c r="D6343" s="186">
        <f>IFERROR(__xludf.DUMMYFUNCTION("""COMPUTED_VALUE"""),2.0)</f>
        <v>2</v>
      </c>
    </row>
    <row r="6344">
      <c r="A6344" s="178" t="str">
        <f>IFERROR(__xludf.DUMMYFUNCTION("""COMPUTED_VALUE"""),"ITBISA-IC-PC817-DIP4")</f>
        <v>ITBISA-IC-PC817-DIP4</v>
      </c>
      <c r="B6344" s="266">
        <f>IFERROR(__xludf.DUMMYFUNCTION("""COMPUTED_VALUE"""),46006.0)</f>
        <v>46006</v>
      </c>
      <c r="C6344" s="266" t="str">
        <f>IFERROR(__xludf.DUMMYFUNCTION("""COMPUTED_VALUE"""),"KYAI KONTONG")</f>
        <v>KYAI KONTONG</v>
      </c>
      <c r="D6344" s="186">
        <f>IFERROR(__xludf.DUMMYFUNCTION("""COMPUTED_VALUE"""),100.0)</f>
        <v>100</v>
      </c>
    </row>
    <row r="6345">
      <c r="A6345" s="178" t="str">
        <f>IFERROR(__xludf.DUMMYFUNCTION("""COMPUTED_VALUE"""),"ITBISA-IC-PC817-DIP4")</f>
        <v>ITBISA-IC-PC817-DIP4</v>
      </c>
      <c r="B6345" s="266">
        <f>IFERROR(__xludf.DUMMYFUNCTION("""COMPUTED_VALUE"""),46006.0)</f>
        <v>46006</v>
      </c>
      <c r="C6345" s="266" t="str">
        <f>IFERROR(__xludf.DUMMYFUNCTION("""COMPUTED_VALUE"""),"KYAI KONTONG")</f>
        <v>KYAI KONTONG</v>
      </c>
      <c r="D6345" s="186">
        <f>IFERROR(__xludf.DUMMYFUNCTION("""COMPUTED_VALUE"""),100.0)</f>
        <v>100</v>
      </c>
    </row>
    <row r="6346">
      <c r="A6346" s="178" t="str">
        <f>IFERROR(__xludf.DUMMYFUNCTION("""COMPUTED_VALUE"""),"ITBISA-IC-PC817-DIP4")</f>
        <v>ITBISA-IC-PC817-DIP4</v>
      </c>
      <c r="B6346" s="266">
        <f>IFERROR(__xludf.DUMMYFUNCTION("""COMPUTED_VALUE"""),46009.0)</f>
        <v>46009</v>
      </c>
      <c r="C6346" s="266" t="str">
        <f>IFERROR(__xludf.DUMMYFUNCTION("""COMPUTED_VALUE"""),"KYAI KONTONG")</f>
        <v>KYAI KONTONG</v>
      </c>
      <c r="D6346" s="186">
        <f>IFERROR(__xludf.DUMMYFUNCTION("""COMPUTED_VALUE"""),10.0)</f>
        <v>10</v>
      </c>
    </row>
    <row r="6347">
      <c r="A6347" s="178" t="str">
        <f>IFERROR(__xludf.DUMMYFUNCTION("""COMPUTED_VALUE"""),"ITBISA-IC-PC817-DIP4")</f>
        <v>ITBISA-IC-PC817-DIP4</v>
      </c>
      <c r="B6347" s="266">
        <f>IFERROR(__xludf.DUMMYFUNCTION("""COMPUTED_VALUE"""),46009.0)</f>
        <v>46009</v>
      </c>
      <c r="C6347" s="266" t="str">
        <f>IFERROR(__xludf.DUMMYFUNCTION("""COMPUTED_VALUE"""),"KYAI KONTONG")</f>
        <v>KYAI KONTONG</v>
      </c>
      <c r="D6347" s="186">
        <f>IFERROR(__xludf.DUMMYFUNCTION("""COMPUTED_VALUE"""),10.0)</f>
        <v>10</v>
      </c>
    </row>
    <row r="6348">
      <c r="A6348" s="178" t="str">
        <f>IFERROR(__xludf.DUMMYFUNCTION("""COMPUTED_VALUE"""),"ITBISA-IC-PC817-DIP4")</f>
        <v>ITBISA-IC-PC817-DIP4</v>
      </c>
      <c r="B6348" s="266">
        <f>IFERROR(__xludf.DUMMYFUNCTION("""COMPUTED_VALUE"""),46009.0)</f>
        <v>46009</v>
      </c>
      <c r="C6348" s="266" t="str">
        <f>IFERROR(__xludf.DUMMYFUNCTION("""COMPUTED_VALUE"""),"KYAI KONTONG")</f>
        <v>KYAI KONTONG</v>
      </c>
      <c r="D6348" s="186">
        <f>IFERROR(__xludf.DUMMYFUNCTION("""COMPUTED_VALUE"""),100.0)</f>
        <v>100</v>
      </c>
    </row>
    <row r="6349">
      <c r="A6349" s="178" t="str">
        <f>IFERROR(__xludf.DUMMYFUNCTION("""COMPUTED_VALUE"""),"ITBISA-IC-PC817-DIP4")</f>
        <v>ITBISA-IC-PC817-DIP4</v>
      </c>
      <c r="B6349" s="266">
        <f>IFERROR(__xludf.DUMMYFUNCTION("""COMPUTED_VALUE"""),46010.0)</f>
        <v>46010</v>
      </c>
      <c r="C6349" s="266" t="str">
        <f>IFERROR(__xludf.DUMMYFUNCTION("""COMPUTED_VALUE"""),"KYAI KONTONG")</f>
        <v>KYAI KONTONG</v>
      </c>
      <c r="D6349" s="186">
        <f>IFERROR(__xludf.DUMMYFUNCTION("""COMPUTED_VALUE"""),10.0)</f>
        <v>10</v>
      </c>
    </row>
    <row r="6350">
      <c r="A6350" s="178" t="str">
        <f>IFERROR(__xludf.DUMMYFUNCTION("""COMPUTED_VALUE"""),"ITBISA-IC-PC817-DIP4")</f>
        <v>ITBISA-IC-PC817-DIP4</v>
      </c>
      <c r="B6350" s="266">
        <f>IFERROR(__xludf.DUMMYFUNCTION("""COMPUTED_VALUE"""),46010.0)</f>
        <v>46010</v>
      </c>
      <c r="C6350" s="266" t="str">
        <f>IFERROR(__xludf.DUMMYFUNCTION("""COMPUTED_VALUE"""),"KYAI KONTONG")</f>
        <v>KYAI KONTONG</v>
      </c>
      <c r="D6350" s="186">
        <f>IFERROR(__xludf.DUMMYFUNCTION("""COMPUTED_VALUE"""),50.0)</f>
        <v>50</v>
      </c>
    </row>
    <row r="6351">
      <c r="A6351" s="178" t="str">
        <f>IFERROR(__xludf.DUMMYFUNCTION("""COMPUTED_VALUE"""),"ITBISA-IC-PC817-DIP4")</f>
        <v>ITBISA-IC-PC817-DIP4</v>
      </c>
      <c r="B6351" s="266">
        <f>IFERROR(__xludf.DUMMYFUNCTION("""COMPUTED_VALUE"""),46022.0)</f>
        <v>46022</v>
      </c>
      <c r="C6351" s="266" t="str">
        <f>IFERROR(__xludf.DUMMYFUNCTION("""COMPUTED_VALUE"""),"KYAI KONTONG")</f>
        <v>KYAI KONTONG</v>
      </c>
      <c r="D6351" s="186">
        <f>IFERROR(__xludf.DUMMYFUNCTION("""COMPUTED_VALUE"""),100.0)</f>
        <v>100</v>
      </c>
    </row>
    <row r="6352">
      <c r="A6352" s="178" t="str">
        <f>IFERROR(__xludf.DUMMYFUNCTION("""COMPUTED_VALUE"""),"ITBISA-IC-UA741CN-DIP8")</f>
        <v>ITBISA-IC-UA741CN-DIP8</v>
      </c>
      <c r="B6352" s="266">
        <f>IFERROR(__xludf.DUMMYFUNCTION("""COMPUTED_VALUE"""),43460.0)</f>
        <v>43460</v>
      </c>
      <c r="C6352" s="266" t="str">
        <f>IFERROR(__xludf.DUMMYFUNCTION("""COMPUTED_VALUE"""),"AVRG ITB")</f>
        <v>AVRG ITB</v>
      </c>
      <c r="D6352" s="186">
        <f>IFERROR(__xludf.DUMMYFUNCTION("""COMPUTED_VALUE"""),10.0)</f>
        <v>10</v>
      </c>
    </row>
    <row r="6353">
      <c r="A6353" s="178" t="str">
        <f>IFERROR(__xludf.DUMMYFUNCTION("""COMPUTED_VALUE"""),"ITBISA-IC-UA741CN-DIP8")</f>
        <v>ITBISA-IC-UA741CN-DIP8</v>
      </c>
      <c r="B6353" s="266">
        <f>IFERROR(__xludf.DUMMYFUNCTION("""COMPUTED_VALUE"""),43501.0)</f>
        <v>43501</v>
      </c>
      <c r="C6353" s="266" t="str">
        <f>IFERROR(__xludf.DUMMYFUNCTION("""COMPUTED_VALUE"""),"AVRG ITB")</f>
        <v>AVRG ITB</v>
      </c>
      <c r="D6353" s="186">
        <f>IFERROR(__xludf.DUMMYFUNCTION("""COMPUTED_VALUE"""),25.0)</f>
        <v>25</v>
      </c>
    </row>
    <row r="6354">
      <c r="A6354" s="178" t="str">
        <f>IFERROR(__xludf.DUMMYFUNCTION("""COMPUTED_VALUE"""),"ITBISA-IC-UA741CN-DIP8")</f>
        <v>ITBISA-IC-UA741CN-DIP8</v>
      </c>
      <c r="B6354" s="266">
        <f>IFERROR(__xludf.DUMMYFUNCTION("""COMPUTED_VALUE"""),43501.0)</f>
        <v>43501</v>
      </c>
      <c r="C6354" s="266" t="str">
        <f>IFERROR(__xludf.DUMMYFUNCTION("""COMPUTED_VALUE"""),"AVRG ITB")</f>
        <v>AVRG ITB</v>
      </c>
      <c r="D6354" s="186">
        <f>IFERROR(__xludf.DUMMYFUNCTION("""COMPUTED_VALUE"""),25.0)</f>
        <v>25</v>
      </c>
    </row>
    <row r="6355">
      <c r="A6355" s="178" t="str">
        <f>IFERROR(__xludf.DUMMYFUNCTION("""COMPUTED_VALUE"""),"ITBISA-IC-UA741CN-DIP8")</f>
        <v>ITBISA-IC-UA741CN-DIP8</v>
      </c>
      <c r="B6355" s="266">
        <f>IFERROR(__xludf.DUMMYFUNCTION("""COMPUTED_VALUE"""),43508.0)</f>
        <v>43508</v>
      </c>
      <c r="C6355" s="266" t="str">
        <f>IFERROR(__xludf.DUMMYFUNCTION("""COMPUTED_VALUE"""),"AVRG ITB")</f>
        <v>AVRG ITB</v>
      </c>
      <c r="D6355" s="186">
        <f>IFERROR(__xludf.DUMMYFUNCTION("""COMPUTED_VALUE"""),25.0)</f>
        <v>25</v>
      </c>
    </row>
    <row r="6356">
      <c r="A6356" s="178" t="str">
        <f>IFERROR(__xludf.DUMMYFUNCTION("""COMPUTED_VALUE"""),"ITBISA-IC-UA741CN-DIP8")</f>
        <v>ITBISA-IC-UA741CN-DIP8</v>
      </c>
      <c r="B6356" s="266">
        <f>IFERROR(__xludf.DUMMYFUNCTION("""COMPUTED_VALUE"""),43536.0)</f>
        <v>43536</v>
      </c>
      <c r="C6356" s="266" t="str">
        <f>IFERROR(__xludf.DUMMYFUNCTION("""COMPUTED_VALUE"""),"AVRG ITB")</f>
        <v>AVRG ITB</v>
      </c>
      <c r="D6356" s="186">
        <f>IFERROR(__xludf.DUMMYFUNCTION("""COMPUTED_VALUE"""),10.0)</f>
        <v>10</v>
      </c>
    </row>
    <row r="6357">
      <c r="A6357" s="178" t="str">
        <f>IFERROR(__xludf.DUMMYFUNCTION("""COMPUTED_VALUE"""),"ITBISA-IC-UA741CN-DIP8")</f>
        <v>ITBISA-IC-UA741CN-DIP8</v>
      </c>
      <c r="B6357" s="266">
        <f>IFERROR(__xludf.DUMMYFUNCTION("""COMPUTED_VALUE"""),43536.0)</f>
        <v>43536</v>
      </c>
      <c r="C6357" s="266" t="str">
        <f>IFERROR(__xludf.DUMMYFUNCTION("""COMPUTED_VALUE"""),"AVRG ITB")</f>
        <v>AVRG ITB</v>
      </c>
      <c r="D6357" s="186">
        <f>IFERROR(__xludf.DUMMYFUNCTION("""COMPUTED_VALUE"""),60.0)</f>
        <v>60</v>
      </c>
    </row>
    <row r="6358">
      <c r="A6358" s="178" t="str">
        <f>IFERROR(__xludf.DUMMYFUNCTION("""COMPUTED_VALUE"""),"ITBISA-IC-UA741CN-DIP8")</f>
        <v>ITBISA-IC-UA741CN-DIP8</v>
      </c>
      <c r="B6358" s="266">
        <f>IFERROR(__xludf.DUMMYFUNCTION("""COMPUTED_VALUE"""),43540.0)</f>
        <v>43540</v>
      </c>
      <c r="C6358" s="266" t="str">
        <f>IFERROR(__xludf.DUMMYFUNCTION("""COMPUTED_VALUE"""),"AVRG ITB")</f>
        <v>AVRG ITB</v>
      </c>
      <c r="D6358" s="186">
        <f>IFERROR(__xludf.DUMMYFUNCTION("""COMPUTED_VALUE"""),20.0)</f>
        <v>20</v>
      </c>
    </row>
    <row r="6359">
      <c r="A6359" s="178" t="str">
        <f>IFERROR(__xludf.DUMMYFUNCTION("""COMPUTED_VALUE"""),"ITBISA-IC-UA741CN-DIP8")</f>
        <v>ITBISA-IC-UA741CN-DIP8</v>
      </c>
      <c r="B6359" s="266">
        <f>IFERROR(__xludf.DUMMYFUNCTION("""COMPUTED_VALUE"""),43553.0)</f>
        <v>43553</v>
      </c>
      <c r="C6359" s="266" t="str">
        <f>IFERROR(__xludf.DUMMYFUNCTION("""COMPUTED_VALUE"""),"AVRG ITB")</f>
        <v>AVRG ITB</v>
      </c>
      <c r="D6359" s="186">
        <f>IFERROR(__xludf.DUMMYFUNCTION("""COMPUTED_VALUE"""),60.0)</f>
        <v>60</v>
      </c>
    </row>
    <row r="6360">
      <c r="A6360" s="178" t="str">
        <f>IFERROR(__xludf.DUMMYFUNCTION("""COMPUTED_VALUE"""),"ITBISA-IC-UA741CN-DIP8")</f>
        <v>ITBISA-IC-UA741CN-DIP8</v>
      </c>
      <c r="B6360" s="266">
        <f>IFERROR(__xludf.DUMMYFUNCTION("""COMPUTED_VALUE"""),43558.0)</f>
        <v>43558</v>
      </c>
      <c r="C6360" s="266" t="str">
        <f>IFERROR(__xludf.DUMMYFUNCTION("""COMPUTED_VALUE"""),"AVRG ITB")</f>
        <v>AVRG ITB</v>
      </c>
      <c r="D6360" s="186">
        <f>IFERROR(__xludf.DUMMYFUNCTION("""COMPUTED_VALUE"""),100.0)</f>
        <v>100</v>
      </c>
    </row>
    <row r="6361">
      <c r="A6361" s="178" t="str">
        <f>IFERROR(__xludf.DUMMYFUNCTION("""COMPUTED_VALUE"""),"ITBISA-IC-UA741CN-DIP8")</f>
        <v>ITBISA-IC-UA741CN-DIP8</v>
      </c>
      <c r="B6361" s="266">
        <f>IFERROR(__xludf.DUMMYFUNCTION("""COMPUTED_VALUE"""),43560.0)</f>
        <v>43560</v>
      </c>
      <c r="C6361" s="266" t="str">
        <f>IFERROR(__xludf.DUMMYFUNCTION("""COMPUTED_VALUE"""),"AVRG ITB")</f>
        <v>AVRG ITB</v>
      </c>
      <c r="D6361" s="186">
        <f>IFERROR(__xludf.DUMMYFUNCTION("""COMPUTED_VALUE"""),200.0)</f>
        <v>200</v>
      </c>
    </row>
    <row r="6362">
      <c r="A6362" s="178" t="str">
        <f>IFERROR(__xludf.DUMMYFUNCTION("""COMPUTED_VALUE"""),"ITBISA-IC-UA741CN-DIP8")</f>
        <v>ITBISA-IC-UA741CN-DIP8</v>
      </c>
      <c r="B6362" s="266">
        <f>IFERROR(__xludf.DUMMYFUNCTION("""COMPUTED_VALUE"""),43566.0)</f>
        <v>43566</v>
      </c>
      <c r="C6362" s="266" t="str">
        <f>IFERROR(__xludf.DUMMYFUNCTION("""COMPUTED_VALUE"""),"AVRG ITB")</f>
        <v>AVRG ITB</v>
      </c>
      <c r="D6362" s="186">
        <f>IFERROR(__xludf.DUMMYFUNCTION("""COMPUTED_VALUE"""),25.0)</f>
        <v>25</v>
      </c>
    </row>
    <row r="6363">
      <c r="A6363" s="178" t="str">
        <f>IFERROR(__xludf.DUMMYFUNCTION("""COMPUTED_VALUE"""),"ITBISA-IC-UA741CN-DIP8")</f>
        <v>ITBISA-IC-UA741CN-DIP8</v>
      </c>
      <c r="B6363" s="266">
        <f>IFERROR(__xludf.DUMMYFUNCTION("""COMPUTED_VALUE"""),43577.0)</f>
        <v>43577</v>
      </c>
      <c r="C6363" s="266" t="str">
        <f>IFERROR(__xludf.DUMMYFUNCTION("""COMPUTED_VALUE"""),"AVRG ITB")</f>
        <v>AVRG ITB</v>
      </c>
      <c r="D6363" s="186">
        <f>IFERROR(__xludf.DUMMYFUNCTION("""COMPUTED_VALUE"""),50.0)</f>
        <v>50</v>
      </c>
    </row>
    <row r="6364">
      <c r="A6364" s="178" t="str">
        <f>IFERROR(__xludf.DUMMYFUNCTION("""COMPUTED_VALUE"""),"ITBISA-IC-UA741CN-DIP8")</f>
        <v>ITBISA-IC-UA741CN-DIP8</v>
      </c>
      <c r="B6364" s="266">
        <f>IFERROR(__xludf.DUMMYFUNCTION("""COMPUTED_VALUE"""),43577.0)</f>
        <v>43577</v>
      </c>
      <c r="C6364" s="266" t="str">
        <f>IFERROR(__xludf.DUMMYFUNCTION("""COMPUTED_VALUE"""),"AVRG ITB")</f>
        <v>AVRG ITB</v>
      </c>
      <c r="D6364" s="186">
        <f>IFERROR(__xludf.DUMMYFUNCTION("""COMPUTED_VALUE"""),50.0)</f>
        <v>50</v>
      </c>
    </row>
    <row r="6365">
      <c r="A6365" s="178" t="str">
        <f>IFERROR(__xludf.DUMMYFUNCTION("""COMPUTED_VALUE"""),"ITBISA-IC-UA741CN-DIP8")</f>
        <v>ITBISA-IC-UA741CN-DIP8</v>
      </c>
      <c r="B6365" s="266">
        <f>IFERROR(__xludf.DUMMYFUNCTION("""COMPUTED_VALUE"""),43580.0)</f>
        <v>43580</v>
      </c>
      <c r="C6365" s="266" t="str">
        <f>IFERROR(__xludf.DUMMYFUNCTION("""COMPUTED_VALUE"""),"AVRG ITB")</f>
        <v>AVRG ITB</v>
      </c>
      <c r="D6365" s="186">
        <f>IFERROR(__xludf.DUMMYFUNCTION("""COMPUTED_VALUE"""),20.0)</f>
        <v>20</v>
      </c>
    </row>
    <row r="6366">
      <c r="A6366" s="178" t="str">
        <f>IFERROR(__xludf.DUMMYFUNCTION("""COMPUTED_VALUE"""),"ITBISA-IC-UA741CN-DIP8")</f>
        <v>ITBISA-IC-UA741CN-DIP8</v>
      </c>
      <c r="B6366" s="266">
        <f>IFERROR(__xludf.DUMMYFUNCTION("""COMPUTED_VALUE"""),43596.0)</f>
        <v>43596</v>
      </c>
      <c r="C6366" s="266" t="str">
        <f>IFERROR(__xludf.DUMMYFUNCTION("""COMPUTED_VALUE"""),"AVRG ITB")</f>
        <v>AVRG ITB</v>
      </c>
      <c r="D6366" s="186">
        <f>IFERROR(__xludf.DUMMYFUNCTION("""COMPUTED_VALUE"""),2.0)</f>
        <v>2</v>
      </c>
    </row>
    <row r="6367">
      <c r="A6367" s="178" t="str">
        <f>IFERROR(__xludf.DUMMYFUNCTION("""COMPUTED_VALUE"""),"ITBISA-IC-UA741CN-DIP8")</f>
        <v>ITBISA-IC-UA741CN-DIP8</v>
      </c>
      <c r="B6367" s="266">
        <f>IFERROR(__xludf.DUMMYFUNCTION("""COMPUTED_VALUE"""),43612.0)</f>
        <v>43612</v>
      </c>
      <c r="C6367" s="266" t="str">
        <f>IFERROR(__xludf.DUMMYFUNCTION("""COMPUTED_VALUE"""),"RUMAH MUZAKKI")</f>
        <v>RUMAH MUZAKKI</v>
      </c>
      <c r="D6367" s="186">
        <f>IFERROR(__xludf.DUMMYFUNCTION("""COMPUTED_VALUE"""),14.0)</f>
        <v>14</v>
      </c>
    </row>
    <row r="6368">
      <c r="A6368" s="178" t="str">
        <f>IFERROR(__xludf.DUMMYFUNCTION("""COMPUTED_VALUE"""),"ITBISA-IC-UA741CN-DIP8")</f>
        <v>ITBISA-IC-UA741CN-DIP8</v>
      </c>
      <c r="B6368" s="266">
        <f>IFERROR(__xludf.DUMMYFUNCTION("""COMPUTED_VALUE"""),43690.0)</f>
        <v>43690</v>
      </c>
      <c r="C6368" s="266" t="str">
        <f>IFERROR(__xludf.DUMMYFUNCTION("""COMPUTED_VALUE"""),"RUMAH MUZAKKI")</f>
        <v>RUMAH MUZAKKI</v>
      </c>
      <c r="D6368" s="186">
        <f>IFERROR(__xludf.DUMMYFUNCTION("""COMPUTED_VALUE"""),1.0)</f>
        <v>1</v>
      </c>
    </row>
    <row r="6369">
      <c r="A6369" s="178" t="str">
        <f>IFERROR(__xludf.DUMMYFUNCTION("""COMPUTED_VALUE"""),"ITBISA-IC-UA741CN-DIP8")</f>
        <v>ITBISA-IC-UA741CN-DIP8</v>
      </c>
      <c r="B6369" s="266">
        <f>IFERROR(__xludf.DUMMYFUNCTION("""COMPUTED_VALUE"""),43691.0)</f>
        <v>43691</v>
      </c>
      <c r="C6369" s="266" t="str">
        <f>IFERROR(__xludf.DUMMYFUNCTION("""COMPUTED_VALUE"""),"RUMAH MUZAKKI")</f>
        <v>RUMAH MUZAKKI</v>
      </c>
      <c r="D6369" s="186">
        <f>IFERROR(__xludf.DUMMYFUNCTION("""COMPUTED_VALUE"""),90.0)</f>
        <v>90</v>
      </c>
    </row>
    <row r="6370">
      <c r="A6370" s="178" t="str">
        <f>IFERROR(__xludf.DUMMYFUNCTION("""COMPUTED_VALUE"""),"ITBISA-IC-UA741CN-DIP8")</f>
        <v>ITBISA-IC-UA741CN-DIP8</v>
      </c>
      <c r="B6370" s="266">
        <f>IFERROR(__xludf.DUMMYFUNCTION("""COMPUTED_VALUE"""),43732.0)</f>
        <v>43732</v>
      </c>
      <c r="C6370" s="266" t="str">
        <f>IFERROR(__xludf.DUMMYFUNCTION("""COMPUTED_VALUE"""),"RUMAH MUZAKKI")</f>
        <v>RUMAH MUZAKKI</v>
      </c>
      <c r="D6370" s="186">
        <f>IFERROR(__xludf.DUMMYFUNCTION("""COMPUTED_VALUE"""),2.0)</f>
        <v>2</v>
      </c>
    </row>
    <row r="6371">
      <c r="A6371" s="178" t="str">
        <f>IFERROR(__xludf.DUMMYFUNCTION("""COMPUTED_VALUE"""),"ITBISA-IC-UA741CN-DIP8")</f>
        <v>ITBISA-IC-UA741CN-DIP8</v>
      </c>
      <c r="B6371" s="266">
        <f>IFERROR(__xludf.DUMMYFUNCTION("""COMPUTED_VALUE"""),43733.0)</f>
        <v>43733</v>
      </c>
      <c r="C6371" s="266" t="str">
        <f>IFERROR(__xludf.DUMMYFUNCTION("""COMPUTED_VALUE"""),"RUMAH MUZAKKI")</f>
        <v>RUMAH MUZAKKI</v>
      </c>
      <c r="D6371" s="186">
        <f>IFERROR(__xludf.DUMMYFUNCTION("""COMPUTED_VALUE"""),1.0)</f>
        <v>1</v>
      </c>
    </row>
    <row r="6372">
      <c r="A6372" s="178" t="str">
        <f>IFERROR(__xludf.DUMMYFUNCTION("""COMPUTED_VALUE"""),"ITBISA-IC-UA741CN-DIP8")</f>
        <v>ITBISA-IC-UA741CN-DIP8</v>
      </c>
      <c r="B6372" s="266">
        <f>IFERROR(__xludf.DUMMYFUNCTION("""COMPUTED_VALUE"""),43739.0)</f>
        <v>43739</v>
      </c>
      <c r="C6372" s="266" t="str">
        <f>IFERROR(__xludf.DUMMYFUNCTION("""COMPUTED_VALUE"""),"RUMAH MUZAKKI")</f>
        <v>RUMAH MUZAKKI</v>
      </c>
      <c r="D6372" s="186">
        <f>IFERROR(__xludf.DUMMYFUNCTION("""COMPUTED_VALUE"""),10.0)</f>
        <v>10</v>
      </c>
    </row>
    <row r="6373">
      <c r="A6373" s="178" t="str">
        <f>IFERROR(__xludf.DUMMYFUNCTION("""COMPUTED_VALUE"""),"ITBISA-IC-UA741CN-DIP8")</f>
        <v>ITBISA-IC-UA741CN-DIP8</v>
      </c>
      <c r="B6373" s="266">
        <f>IFERROR(__xludf.DUMMYFUNCTION("""COMPUTED_VALUE"""),43849.0)</f>
        <v>43849</v>
      </c>
      <c r="C6373" s="266" t="str">
        <f>IFERROR(__xludf.DUMMYFUNCTION("""COMPUTED_VALUE"""),"AVRG ITB")</f>
        <v>AVRG ITB</v>
      </c>
      <c r="D6373" s="186">
        <f>IFERROR(__xludf.DUMMYFUNCTION("""COMPUTED_VALUE"""),3.0)</f>
        <v>3</v>
      </c>
    </row>
    <row r="6374">
      <c r="A6374" s="178" t="str">
        <f>IFERROR(__xludf.DUMMYFUNCTION("""COMPUTED_VALUE"""),"ITBISA-IC-UA741CN-DIP8")</f>
        <v>ITBISA-IC-UA741CN-DIP8</v>
      </c>
      <c r="B6374" s="266">
        <f>IFERROR(__xludf.DUMMYFUNCTION("""COMPUTED_VALUE"""),43869.0)</f>
        <v>43869</v>
      </c>
      <c r="C6374" s="266" t="str">
        <f>IFERROR(__xludf.DUMMYFUNCTION("""COMPUTED_VALUE"""),"AVRG ITB")</f>
        <v>AVRG ITB</v>
      </c>
      <c r="D6374" s="186">
        <f>IFERROR(__xludf.DUMMYFUNCTION("""COMPUTED_VALUE"""),80.0)</f>
        <v>80</v>
      </c>
    </row>
    <row r="6375">
      <c r="A6375" s="178" t="str">
        <f>IFERROR(__xludf.DUMMYFUNCTION("""COMPUTED_VALUE"""),"ITBISA-IC-UA741CN-DIP8")</f>
        <v>ITBISA-IC-UA741CN-DIP8</v>
      </c>
      <c r="B6375" s="266">
        <f>IFERROR(__xludf.DUMMYFUNCTION("""COMPUTED_VALUE"""),43891.0)</f>
        <v>43891</v>
      </c>
      <c r="C6375" s="266" t="str">
        <f>IFERROR(__xludf.DUMMYFUNCTION("""COMPUTED_VALUE"""),"AVRG ITB")</f>
        <v>AVRG ITB</v>
      </c>
      <c r="D6375" s="186">
        <f>IFERROR(__xludf.DUMMYFUNCTION("""COMPUTED_VALUE"""),20.0)</f>
        <v>20</v>
      </c>
    </row>
    <row r="6376">
      <c r="A6376" s="178" t="str">
        <f>IFERROR(__xludf.DUMMYFUNCTION("""COMPUTED_VALUE"""),"ITBISA-IC-UA741CN-DIP8")</f>
        <v>ITBISA-IC-UA741CN-DIP8</v>
      </c>
      <c r="B6376" s="266">
        <f>IFERROR(__xludf.DUMMYFUNCTION("""COMPUTED_VALUE"""),43950.0)</f>
        <v>43950</v>
      </c>
      <c r="C6376" s="266" t="str">
        <f>IFERROR(__xludf.DUMMYFUNCTION("""COMPUTED_VALUE"""),"KAETOBO RESIDENCE")</f>
        <v>KAETOBO RESIDENCE</v>
      </c>
      <c r="D6376" s="186">
        <f>IFERROR(__xludf.DUMMYFUNCTION("""COMPUTED_VALUE"""),20.0)</f>
        <v>20</v>
      </c>
    </row>
    <row r="6377">
      <c r="A6377" s="178" t="str">
        <f>IFERROR(__xludf.DUMMYFUNCTION("""COMPUTED_VALUE"""),"ITBISA-IC-UA741CN-DIP8")</f>
        <v>ITBISA-IC-UA741CN-DIP8</v>
      </c>
      <c r="B6377" s="266">
        <f>IFERROR(__xludf.DUMMYFUNCTION("""COMPUTED_VALUE"""),43979.0)</f>
        <v>43979</v>
      </c>
      <c r="C6377" s="266" t="str">
        <f>IFERROR(__xludf.DUMMYFUNCTION("""COMPUTED_VALUE"""),"KAETOBO RESIDENCE")</f>
        <v>KAETOBO RESIDENCE</v>
      </c>
      <c r="D6377" s="186">
        <f>IFERROR(__xludf.DUMMYFUNCTION("""COMPUTED_VALUE"""),15.0)</f>
        <v>15</v>
      </c>
    </row>
    <row r="6378">
      <c r="A6378" s="178" t="str">
        <f>IFERROR(__xludf.DUMMYFUNCTION("""COMPUTED_VALUE"""),"ITBISA-IC-UA741CN-DIP8")</f>
        <v>ITBISA-IC-UA741CN-DIP8</v>
      </c>
      <c r="B6378" s="266">
        <f>IFERROR(__xludf.DUMMYFUNCTION("""COMPUTED_VALUE"""),43986.0)</f>
        <v>43986</v>
      </c>
      <c r="C6378" s="266" t="str">
        <f>IFERROR(__xludf.DUMMYFUNCTION("""COMPUTED_VALUE"""),"KAETOBO RESIDENCE")</f>
        <v>KAETOBO RESIDENCE</v>
      </c>
      <c r="D6378" s="186">
        <f>IFERROR(__xludf.DUMMYFUNCTION("""COMPUTED_VALUE"""),100.0)</f>
        <v>100</v>
      </c>
    </row>
    <row r="6379">
      <c r="A6379" s="178" t="str">
        <f>IFERROR(__xludf.DUMMYFUNCTION("""COMPUTED_VALUE"""),"ITBISA-IC-UA741CN-DIP8")</f>
        <v>ITBISA-IC-UA741CN-DIP8</v>
      </c>
      <c r="B6379" s="266">
        <f>IFERROR(__xludf.DUMMYFUNCTION("""COMPUTED_VALUE"""),43998.0)</f>
        <v>43998</v>
      </c>
      <c r="C6379" s="266" t="str">
        <f>IFERROR(__xludf.DUMMYFUNCTION("""COMPUTED_VALUE"""),"KAETOBO RESIDENCE")</f>
        <v>KAETOBO RESIDENCE</v>
      </c>
      <c r="D6379" s="186">
        <f>IFERROR(__xludf.DUMMYFUNCTION("""COMPUTED_VALUE"""),10.0)</f>
        <v>10</v>
      </c>
    </row>
    <row r="6380">
      <c r="A6380" s="178" t="str">
        <f>IFERROR(__xludf.DUMMYFUNCTION("""COMPUTED_VALUE"""),"ITBISA-IC-UA741CN-DIP8")</f>
        <v>ITBISA-IC-UA741CN-DIP8</v>
      </c>
      <c r="B6380" s="266">
        <f>IFERROR(__xludf.DUMMYFUNCTION("""COMPUTED_VALUE"""),44000.0)</f>
        <v>44000</v>
      </c>
      <c r="C6380" s="266" t="str">
        <f>IFERROR(__xludf.DUMMYFUNCTION("""COMPUTED_VALUE"""),"KAETOBO RESIDENCE")</f>
        <v>KAETOBO RESIDENCE</v>
      </c>
      <c r="D6380" s="186">
        <f>IFERROR(__xludf.DUMMYFUNCTION("""COMPUTED_VALUE"""),5.0)</f>
        <v>5</v>
      </c>
    </row>
    <row r="6381">
      <c r="A6381" s="178" t="str">
        <f>IFERROR(__xludf.DUMMYFUNCTION("""COMPUTED_VALUE"""),"ITBISA-IC-UA741CN-DIP8")</f>
        <v>ITBISA-IC-UA741CN-DIP8</v>
      </c>
      <c r="B6381" s="266">
        <f>IFERROR(__xludf.DUMMYFUNCTION("""COMPUTED_VALUE"""),44002.0)</f>
        <v>44002</v>
      </c>
      <c r="C6381" s="266" t="str">
        <f>IFERROR(__xludf.DUMMYFUNCTION("""COMPUTED_VALUE"""),"KAETOBO RESIDENCE")</f>
        <v>KAETOBO RESIDENCE</v>
      </c>
      <c r="D6381" s="186">
        <f>IFERROR(__xludf.DUMMYFUNCTION("""COMPUTED_VALUE"""),14.0)</f>
        <v>14</v>
      </c>
    </row>
    <row r="6382">
      <c r="A6382" s="178" t="str">
        <f>IFERROR(__xludf.DUMMYFUNCTION("""COMPUTED_VALUE"""),"ITBISA-IC-UA741CN-DIP8")</f>
        <v>ITBISA-IC-UA741CN-DIP8</v>
      </c>
      <c r="B6382" s="266">
        <f>IFERROR(__xludf.DUMMYFUNCTION("""COMPUTED_VALUE"""),44005.0)</f>
        <v>44005</v>
      </c>
      <c r="C6382" s="266" t="str">
        <f>IFERROR(__xludf.DUMMYFUNCTION("""COMPUTED_VALUE"""),"KAETOBO RESIDENCE")</f>
        <v>KAETOBO RESIDENCE</v>
      </c>
      <c r="D6382" s="186">
        <f>IFERROR(__xludf.DUMMYFUNCTION("""COMPUTED_VALUE"""),5.0)</f>
        <v>5</v>
      </c>
    </row>
    <row r="6383">
      <c r="A6383" s="178" t="str">
        <f>IFERROR(__xludf.DUMMYFUNCTION("""COMPUTED_VALUE"""),"ITBISA-IC-UA741CN-DIP8")</f>
        <v>ITBISA-IC-UA741CN-DIP8</v>
      </c>
      <c r="B6383" s="266">
        <f>IFERROR(__xludf.DUMMYFUNCTION("""COMPUTED_VALUE"""),44006.0)</f>
        <v>44006</v>
      </c>
      <c r="C6383" s="266" t="str">
        <f>IFERROR(__xludf.DUMMYFUNCTION("""COMPUTED_VALUE"""),"KAETOBO RESIDENCE")</f>
        <v>KAETOBO RESIDENCE</v>
      </c>
      <c r="D6383" s="186">
        <f>IFERROR(__xludf.DUMMYFUNCTION("""COMPUTED_VALUE"""),2.0)</f>
        <v>2</v>
      </c>
    </row>
    <row r="6384">
      <c r="A6384" s="178" t="str">
        <f>IFERROR(__xludf.DUMMYFUNCTION("""COMPUTED_VALUE"""),"ITBISA-IC-UA741CN-DIP8")</f>
        <v>ITBISA-IC-UA741CN-DIP8</v>
      </c>
      <c r="B6384" s="266">
        <f>IFERROR(__xludf.DUMMYFUNCTION("""COMPUTED_VALUE"""),44008.0)</f>
        <v>44008</v>
      </c>
      <c r="C6384" s="266" t="str">
        <f>IFERROR(__xludf.DUMMYFUNCTION("""COMPUTED_VALUE"""),"KAETOBO RESIDENCE")</f>
        <v>KAETOBO RESIDENCE</v>
      </c>
      <c r="D6384" s="186">
        <f>IFERROR(__xludf.DUMMYFUNCTION("""COMPUTED_VALUE"""),50.0)</f>
        <v>50</v>
      </c>
    </row>
    <row r="6385">
      <c r="A6385" s="178" t="str">
        <f>IFERROR(__xludf.DUMMYFUNCTION("""COMPUTED_VALUE"""),"ITBISA-IC-UA741CN-DIP8")</f>
        <v>ITBISA-IC-UA741CN-DIP8</v>
      </c>
      <c r="B6385" s="266">
        <f>IFERROR(__xludf.DUMMYFUNCTION("""COMPUTED_VALUE"""),44017.0)</f>
        <v>44017</v>
      </c>
      <c r="C6385" s="266" t="str">
        <f>IFERROR(__xludf.DUMMYFUNCTION("""COMPUTED_VALUE"""),"KAETOBO RESIDENCE")</f>
        <v>KAETOBO RESIDENCE</v>
      </c>
      <c r="D6385" s="186">
        <f>IFERROR(__xludf.DUMMYFUNCTION("""COMPUTED_VALUE"""),24.0)</f>
        <v>24</v>
      </c>
    </row>
    <row r="6386">
      <c r="A6386" s="178" t="str">
        <f>IFERROR(__xludf.DUMMYFUNCTION("""COMPUTED_VALUE"""),"ITBISA-IC-UA741CN-DIP8")</f>
        <v>ITBISA-IC-UA741CN-DIP8</v>
      </c>
      <c r="B6386" s="266">
        <f>IFERROR(__xludf.DUMMYFUNCTION("""COMPUTED_VALUE"""),44018.0)</f>
        <v>44018</v>
      </c>
      <c r="C6386" s="266" t="str">
        <f>IFERROR(__xludf.DUMMYFUNCTION("""COMPUTED_VALUE"""),"KAETOBO RESIDENCE")</f>
        <v>KAETOBO RESIDENCE</v>
      </c>
      <c r="D6386" s="186">
        <f>IFERROR(__xludf.DUMMYFUNCTION("""COMPUTED_VALUE"""),35.0)</f>
        <v>35</v>
      </c>
    </row>
    <row r="6387">
      <c r="A6387" s="178" t="str">
        <f>IFERROR(__xludf.DUMMYFUNCTION("""COMPUTED_VALUE"""),"ITBISA-IC-UA741CN-DIP8")</f>
        <v>ITBISA-IC-UA741CN-DIP8</v>
      </c>
      <c r="B6387" s="266">
        <f>IFERROR(__xludf.DUMMYFUNCTION("""COMPUTED_VALUE"""),44021.0)</f>
        <v>44021</v>
      </c>
      <c r="C6387" s="266" t="str">
        <f>IFERROR(__xludf.DUMMYFUNCTION("""COMPUTED_VALUE"""),"KAETOBO RESIDENCE")</f>
        <v>KAETOBO RESIDENCE</v>
      </c>
      <c r="D6387" s="186">
        <f>IFERROR(__xludf.DUMMYFUNCTION("""COMPUTED_VALUE"""),50.0)</f>
        <v>50</v>
      </c>
    </row>
    <row r="6388">
      <c r="A6388" s="178" t="str">
        <f>IFERROR(__xludf.DUMMYFUNCTION("""COMPUTED_VALUE"""),"ITBISA-IC-UA741CN-DIP8")</f>
        <v>ITBISA-IC-UA741CN-DIP8</v>
      </c>
      <c r="B6388" s="266">
        <f>IFERROR(__xludf.DUMMYFUNCTION("""COMPUTED_VALUE"""),44044.0)</f>
        <v>44044</v>
      </c>
      <c r="C6388" s="266" t="str">
        <f>IFERROR(__xludf.DUMMYFUNCTION("""COMPUTED_VALUE"""),"KAETOBO RESIDENCE")</f>
        <v>KAETOBO RESIDENCE</v>
      </c>
      <c r="D6388" s="186">
        <f>IFERROR(__xludf.DUMMYFUNCTION("""COMPUTED_VALUE"""),40.0)</f>
        <v>40</v>
      </c>
    </row>
    <row r="6389">
      <c r="A6389" s="178" t="str">
        <f>IFERROR(__xludf.DUMMYFUNCTION("""COMPUTED_VALUE"""),"ITBISA-IC-UA741CN-DIP8")</f>
        <v>ITBISA-IC-UA741CN-DIP8</v>
      </c>
      <c r="B6389" s="266">
        <f>IFERROR(__xludf.DUMMYFUNCTION("""COMPUTED_VALUE"""),44056.0)</f>
        <v>44056</v>
      </c>
      <c r="C6389" s="266" t="str">
        <f>IFERROR(__xludf.DUMMYFUNCTION("""COMPUTED_VALUE"""),"KOST SRITUNGGAL")</f>
        <v>KOST SRITUNGGAL</v>
      </c>
      <c r="D6389" s="186">
        <f>IFERROR(__xludf.DUMMYFUNCTION("""COMPUTED_VALUE"""),15.0)</f>
        <v>15</v>
      </c>
    </row>
    <row r="6390">
      <c r="A6390" s="178" t="str">
        <f>IFERROR(__xludf.DUMMYFUNCTION("""COMPUTED_VALUE"""),"ITBISA-IC-UA741CN-DIP8")</f>
        <v>ITBISA-IC-UA741CN-DIP8</v>
      </c>
      <c r="B6390" s="266">
        <f>IFERROR(__xludf.DUMMYFUNCTION("""COMPUTED_VALUE"""),44060.0)</f>
        <v>44060</v>
      </c>
      <c r="C6390" s="266" t="str">
        <f>IFERROR(__xludf.DUMMYFUNCTION("""COMPUTED_VALUE"""),"KOST SRITUNGGAL")</f>
        <v>KOST SRITUNGGAL</v>
      </c>
      <c r="D6390" s="186">
        <f>IFERROR(__xludf.DUMMYFUNCTION("""COMPUTED_VALUE"""),20.0)</f>
        <v>20</v>
      </c>
    </row>
    <row r="6391">
      <c r="A6391" s="178" t="str">
        <f>IFERROR(__xludf.DUMMYFUNCTION("""COMPUTED_VALUE"""),"ITBISA-IC-UA741CN-DIP8")</f>
        <v>ITBISA-IC-UA741CN-DIP8</v>
      </c>
      <c r="B6391" s="266">
        <f>IFERROR(__xludf.DUMMYFUNCTION("""COMPUTED_VALUE"""),44119.0)</f>
        <v>44119</v>
      </c>
      <c r="C6391" s="266" t="str">
        <f>IFERROR(__xludf.DUMMYFUNCTION("""COMPUTED_VALUE"""),"KOST RUMAHUMI")</f>
        <v>KOST RUMAHUMI</v>
      </c>
      <c r="D6391" s="186">
        <f>IFERROR(__xludf.DUMMYFUNCTION("""COMPUTED_VALUE"""),50.0)</f>
        <v>50</v>
      </c>
    </row>
    <row r="6392">
      <c r="A6392" s="178" t="str">
        <f>IFERROR(__xludf.DUMMYFUNCTION("""COMPUTED_VALUE"""),"ITBISA-IC-UA741CN-DIP8")</f>
        <v>ITBISA-IC-UA741CN-DIP8</v>
      </c>
      <c r="B6392" s="266">
        <f>IFERROR(__xludf.DUMMYFUNCTION("""COMPUTED_VALUE"""),44123.0)</f>
        <v>44123</v>
      </c>
      <c r="C6392" s="266" t="str">
        <f>IFERROR(__xludf.DUMMYFUNCTION("""COMPUTED_VALUE"""),"KOST RUMAHUMI")</f>
        <v>KOST RUMAHUMI</v>
      </c>
      <c r="D6392" s="186">
        <f>IFERROR(__xludf.DUMMYFUNCTION("""COMPUTED_VALUE"""),100.0)</f>
        <v>100</v>
      </c>
    </row>
    <row r="6393">
      <c r="A6393" s="178" t="str">
        <f>IFERROR(__xludf.DUMMYFUNCTION("""COMPUTED_VALUE"""),"ITBISA-IC-UA741CN-DIP8")</f>
        <v>ITBISA-IC-UA741CN-DIP8</v>
      </c>
      <c r="B6393" s="266">
        <f>IFERROR(__xludf.DUMMYFUNCTION("""COMPUTED_VALUE"""),44127.0)</f>
        <v>44127</v>
      </c>
      <c r="C6393" s="266" t="str">
        <f>IFERROR(__xludf.DUMMYFUNCTION("""COMPUTED_VALUE"""),"KOST RUMAHUMI")</f>
        <v>KOST RUMAHUMI</v>
      </c>
      <c r="D6393" s="186">
        <f>IFERROR(__xludf.DUMMYFUNCTION("""COMPUTED_VALUE"""),100.0)</f>
        <v>100</v>
      </c>
    </row>
    <row r="6394">
      <c r="A6394" s="178" t="str">
        <f>IFERROR(__xludf.DUMMYFUNCTION("""COMPUTED_VALUE"""),"ITBISA-IC-UA741CN-DIP8")</f>
        <v>ITBISA-IC-UA741CN-DIP8</v>
      </c>
      <c r="B6394" s="266">
        <f>IFERROR(__xludf.DUMMYFUNCTION("""COMPUTED_VALUE"""),44132.0)</f>
        <v>44132</v>
      </c>
      <c r="C6394" s="266" t="str">
        <f>IFERROR(__xludf.DUMMYFUNCTION("""COMPUTED_VALUE"""),"KOST RUMAHUMI")</f>
        <v>KOST RUMAHUMI</v>
      </c>
      <c r="D6394" s="186">
        <f>IFERROR(__xludf.DUMMYFUNCTION("""COMPUTED_VALUE"""),5.0)</f>
        <v>5</v>
      </c>
    </row>
    <row r="6395">
      <c r="A6395" s="178" t="str">
        <f>IFERROR(__xludf.DUMMYFUNCTION("""COMPUTED_VALUE"""),"ITBISA-IC-UA741CN-DIP8")</f>
        <v>ITBISA-IC-UA741CN-DIP8</v>
      </c>
      <c r="B6395" s="266">
        <f>IFERROR(__xludf.DUMMYFUNCTION("""COMPUTED_VALUE"""),44146.0)</f>
        <v>44146</v>
      </c>
      <c r="C6395" s="266" t="str">
        <f>IFERROR(__xludf.DUMMYFUNCTION("""COMPUTED_VALUE"""),"KOST RUMAHUMI")</f>
        <v>KOST RUMAHUMI</v>
      </c>
      <c r="D6395" s="186">
        <f>IFERROR(__xludf.DUMMYFUNCTION("""COMPUTED_VALUE"""),10.0)</f>
        <v>10</v>
      </c>
    </row>
    <row r="6396">
      <c r="A6396" s="178" t="str">
        <f>IFERROR(__xludf.DUMMYFUNCTION("""COMPUTED_VALUE"""),"ITBISA-IC-UA741CN-DIP8")</f>
        <v>ITBISA-IC-UA741CN-DIP8</v>
      </c>
      <c r="B6396" s="266">
        <f>IFERROR(__xludf.DUMMYFUNCTION("""COMPUTED_VALUE"""),44146.0)</f>
        <v>44146</v>
      </c>
      <c r="C6396" s="266" t="str">
        <f>IFERROR(__xludf.DUMMYFUNCTION("""COMPUTED_VALUE"""),"KOST RUMAHUMI")</f>
        <v>KOST RUMAHUMI</v>
      </c>
      <c r="D6396" s="186">
        <f>IFERROR(__xludf.DUMMYFUNCTION("""COMPUTED_VALUE"""),20.0)</f>
        <v>20</v>
      </c>
    </row>
    <row r="6397">
      <c r="A6397" s="178" t="str">
        <f>IFERROR(__xludf.DUMMYFUNCTION("""COMPUTED_VALUE"""),"ITBISA-IC-UA741CN-DIP8")</f>
        <v>ITBISA-IC-UA741CN-DIP8</v>
      </c>
      <c r="B6397" s="266">
        <f>IFERROR(__xludf.DUMMYFUNCTION("""COMPUTED_VALUE"""),44146.0)</f>
        <v>44146</v>
      </c>
      <c r="C6397" s="266" t="str">
        <f>IFERROR(__xludf.DUMMYFUNCTION("""COMPUTED_VALUE"""),"KOST RUMAHUMI")</f>
        <v>KOST RUMAHUMI</v>
      </c>
      <c r="D6397" s="186">
        <f>IFERROR(__xludf.DUMMYFUNCTION("""COMPUTED_VALUE"""),23.0)</f>
        <v>23</v>
      </c>
    </row>
    <row r="6398">
      <c r="A6398" s="178" t="str">
        <f>IFERROR(__xludf.DUMMYFUNCTION("""COMPUTED_VALUE"""),"ITBISA-IC-UA741CN-DIP8")</f>
        <v>ITBISA-IC-UA741CN-DIP8</v>
      </c>
      <c r="B6398" s="266">
        <f>IFERROR(__xludf.DUMMYFUNCTION("""COMPUTED_VALUE"""),44175.0)</f>
        <v>44175</v>
      </c>
      <c r="C6398" s="266" t="str">
        <f>IFERROR(__xludf.DUMMYFUNCTION("""COMPUTED_VALUE"""),"KOST RUMAHUMI")</f>
        <v>KOST RUMAHUMI</v>
      </c>
      <c r="D6398" s="186">
        <f>IFERROR(__xludf.DUMMYFUNCTION("""COMPUTED_VALUE"""),95.0)</f>
        <v>95</v>
      </c>
    </row>
    <row r="6399">
      <c r="A6399" s="178" t="str">
        <f>IFERROR(__xludf.DUMMYFUNCTION("""COMPUTED_VALUE"""),"ITBISA-IC-UA741CN-DIP8")</f>
        <v>ITBISA-IC-UA741CN-DIP8</v>
      </c>
      <c r="B6399" s="266">
        <f>IFERROR(__xludf.DUMMYFUNCTION("""COMPUTED_VALUE"""),44272.0)</f>
        <v>44272</v>
      </c>
      <c r="C6399" s="266" t="str">
        <f>IFERROR(__xludf.DUMMYFUNCTION("""COMPUTED_VALUE"""),"KOST RUMAHUMI")</f>
        <v>KOST RUMAHUMI</v>
      </c>
      <c r="D6399" s="186">
        <f>IFERROR(__xludf.DUMMYFUNCTION("""COMPUTED_VALUE"""),35.0)</f>
        <v>35</v>
      </c>
    </row>
    <row r="6400">
      <c r="A6400" s="178" t="str">
        <f>IFERROR(__xludf.DUMMYFUNCTION("""COMPUTED_VALUE"""),"ITBISA-IC-UA741CN-DIP8")</f>
        <v>ITBISA-IC-UA741CN-DIP8</v>
      </c>
      <c r="B6400" s="266">
        <f>IFERROR(__xludf.DUMMYFUNCTION("""COMPUTED_VALUE"""),44285.0)</f>
        <v>44285</v>
      </c>
      <c r="C6400" s="266" t="str">
        <f>IFERROR(__xludf.DUMMYFUNCTION("""COMPUTED_VALUE"""),"KOST RUMAHUMI")</f>
        <v>KOST RUMAHUMI</v>
      </c>
      <c r="D6400" s="186">
        <f>IFERROR(__xludf.DUMMYFUNCTION("""COMPUTED_VALUE"""),10.0)</f>
        <v>10</v>
      </c>
    </row>
    <row r="6401">
      <c r="A6401" s="178" t="str">
        <f>IFERROR(__xludf.DUMMYFUNCTION("""COMPUTED_VALUE"""),"ITBISA-IC-UA741CN-DIP8")</f>
        <v>ITBISA-IC-UA741CN-DIP8</v>
      </c>
      <c r="B6401" s="266">
        <f>IFERROR(__xludf.DUMMYFUNCTION("""COMPUTED_VALUE"""),44286.0)</f>
        <v>44286</v>
      </c>
      <c r="C6401" s="266" t="str">
        <f>IFERROR(__xludf.DUMMYFUNCTION("""COMPUTED_VALUE"""),"KOST RUMAHUMI")</f>
        <v>KOST RUMAHUMI</v>
      </c>
      <c r="D6401" s="186">
        <f>IFERROR(__xludf.DUMMYFUNCTION("""COMPUTED_VALUE"""),20.0)</f>
        <v>20</v>
      </c>
    </row>
    <row r="6402">
      <c r="A6402" s="178" t="str">
        <f>IFERROR(__xludf.DUMMYFUNCTION("""COMPUTED_VALUE"""),"ITBISA-IC-UA741CN-DIP8")</f>
        <v>ITBISA-IC-UA741CN-DIP8</v>
      </c>
      <c r="B6402" s="266">
        <f>IFERROR(__xludf.DUMMYFUNCTION("""COMPUTED_VALUE"""),44359.0)</f>
        <v>44359</v>
      </c>
      <c r="C6402" s="266" t="str">
        <f>IFERROR(__xludf.DUMMYFUNCTION("""COMPUTED_VALUE"""),"KOST RUMAHUMI")</f>
        <v>KOST RUMAHUMI</v>
      </c>
      <c r="D6402" s="186">
        <f>IFERROR(__xludf.DUMMYFUNCTION("""COMPUTED_VALUE"""),75.0)</f>
        <v>75</v>
      </c>
    </row>
    <row r="6403">
      <c r="A6403" s="178" t="str">
        <f>IFERROR(__xludf.DUMMYFUNCTION("""COMPUTED_VALUE"""),"ITBISA-IC-UA741CN-DIP8")</f>
        <v>ITBISA-IC-UA741CN-DIP8</v>
      </c>
      <c r="B6403" s="266">
        <f>IFERROR(__xludf.DUMMYFUNCTION("""COMPUTED_VALUE"""),44416.0)</f>
        <v>44416</v>
      </c>
      <c r="C6403" s="266" t="str">
        <f>IFERROR(__xludf.DUMMYFUNCTION("""COMPUTED_VALUE"""),"KOST RUMAHUMI")</f>
        <v>KOST RUMAHUMI</v>
      </c>
      <c r="D6403" s="186">
        <f>IFERROR(__xludf.DUMMYFUNCTION("""COMPUTED_VALUE"""),100.0)</f>
        <v>100</v>
      </c>
    </row>
    <row r="6404">
      <c r="A6404" s="178" t="str">
        <f>IFERROR(__xludf.DUMMYFUNCTION("""COMPUTED_VALUE"""),"ITBISA-IC-UA741CN-DIP8")</f>
        <v>ITBISA-IC-UA741CN-DIP8</v>
      </c>
      <c r="B6404" s="266">
        <f>IFERROR(__xludf.DUMMYFUNCTION("""COMPUTED_VALUE"""),44832.0)</f>
        <v>44832</v>
      </c>
      <c r="C6404" s="266" t="str">
        <f>IFERROR(__xludf.DUMMYFUNCTION("""COMPUTED_VALUE"""),"KYAI KONTONG")</f>
        <v>KYAI KONTONG</v>
      </c>
      <c r="D6404" s="186">
        <f>IFERROR(__xludf.DUMMYFUNCTION("""COMPUTED_VALUE"""),5.0)</f>
        <v>5</v>
      </c>
    </row>
    <row r="6405">
      <c r="A6405" s="178" t="str">
        <f>IFERROR(__xludf.DUMMYFUNCTION("""COMPUTED_VALUE"""),"ITBISA-IC-UA741CN-DIP8")</f>
        <v>ITBISA-IC-UA741CN-DIP8</v>
      </c>
      <c r="B6405" s="266">
        <f>IFERROR(__xludf.DUMMYFUNCTION("""COMPUTED_VALUE"""),44860.0)</f>
        <v>44860</v>
      </c>
      <c r="C6405" s="266" t="str">
        <f>IFERROR(__xludf.DUMMYFUNCTION("""COMPUTED_VALUE"""),"KYAI KONTONG")</f>
        <v>KYAI KONTONG</v>
      </c>
      <c r="D6405" s="186">
        <f>IFERROR(__xludf.DUMMYFUNCTION("""COMPUTED_VALUE"""),10.0)</f>
        <v>10</v>
      </c>
    </row>
    <row r="6406">
      <c r="A6406" s="178" t="str">
        <f>IFERROR(__xludf.DUMMYFUNCTION("""COMPUTED_VALUE"""),"ITBISA-IC-UA741CN-DIP8")</f>
        <v>ITBISA-IC-UA741CN-DIP8</v>
      </c>
      <c r="B6406" s="266">
        <f>IFERROR(__xludf.DUMMYFUNCTION("""COMPUTED_VALUE"""),44866.0)</f>
        <v>44866</v>
      </c>
      <c r="C6406" s="266" t="str">
        <f>IFERROR(__xludf.DUMMYFUNCTION("""COMPUTED_VALUE"""),"KYAI KONTONG")</f>
        <v>KYAI KONTONG</v>
      </c>
      <c r="D6406" s="186">
        <f>IFERROR(__xludf.DUMMYFUNCTION("""COMPUTED_VALUE"""),12.0)</f>
        <v>12</v>
      </c>
    </row>
    <row r="6407">
      <c r="A6407" s="178" t="str">
        <f>IFERROR(__xludf.DUMMYFUNCTION("""COMPUTED_VALUE"""),"ITBISA-IC-UA741CN-DIP8")</f>
        <v>ITBISA-IC-UA741CN-DIP8</v>
      </c>
      <c r="B6407" s="266">
        <f>IFERROR(__xludf.DUMMYFUNCTION("""COMPUTED_VALUE"""),44905.0)</f>
        <v>44905</v>
      </c>
      <c r="C6407" s="266" t="str">
        <f>IFERROR(__xludf.DUMMYFUNCTION("""COMPUTED_VALUE"""),"KYAI KONTONG")</f>
        <v>KYAI KONTONG</v>
      </c>
      <c r="D6407" s="186">
        <f>IFERROR(__xludf.DUMMYFUNCTION("""COMPUTED_VALUE"""),10.0)</f>
        <v>10</v>
      </c>
    </row>
    <row r="6408">
      <c r="A6408" s="178" t="str">
        <f>IFERROR(__xludf.DUMMYFUNCTION("""COMPUTED_VALUE"""),"ITBISA-IC-UA741CN-DIP8")</f>
        <v>ITBISA-IC-UA741CN-DIP8</v>
      </c>
      <c r="B6408" s="266">
        <f>IFERROR(__xludf.DUMMYFUNCTION("""COMPUTED_VALUE"""),44912.0)</f>
        <v>44912</v>
      </c>
      <c r="C6408" s="266" t="str">
        <f>IFERROR(__xludf.DUMMYFUNCTION("""COMPUTED_VALUE"""),"KYAI KONTONG")</f>
        <v>KYAI KONTONG</v>
      </c>
      <c r="D6408" s="186">
        <f>IFERROR(__xludf.DUMMYFUNCTION("""COMPUTED_VALUE"""),20.0)</f>
        <v>20</v>
      </c>
    </row>
    <row r="6409">
      <c r="A6409" s="178" t="str">
        <f>IFERROR(__xludf.DUMMYFUNCTION("""COMPUTED_VALUE"""),"ITBISA-IC-UA741CN-DIP8")</f>
        <v>ITBISA-IC-UA741CN-DIP8</v>
      </c>
      <c r="B6409" s="266">
        <f>IFERROR(__xludf.DUMMYFUNCTION("""COMPUTED_VALUE"""),44929.0)</f>
        <v>44929</v>
      </c>
      <c r="C6409" s="266" t="str">
        <f>IFERROR(__xludf.DUMMYFUNCTION("""COMPUTED_VALUE"""),"KYAI KONTONG")</f>
        <v>KYAI KONTONG</v>
      </c>
      <c r="D6409" s="186">
        <f>IFERROR(__xludf.DUMMYFUNCTION("""COMPUTED_VALUE"""),21.0)</f>
        <v>21</v>
      </c>
    </row>
    <row r="6410">
      <c r="A6410" s="178" t="str">
        <f>IFERROR(__xludf.DUMMYFUNCTION("""COMPUTED_VALUE"""),"ITBISA-IC-UA741CN-DIP8")</f>
        <v>ITBISA-IC-UA741CN-DIP8</v>
      </c>
      <c r="B6410" s="266">
        <f>IFERROR(__xludf.DUMMYFUNCTION("""COMPUTED_VALUE"""),44930.0)</f>
        <v>44930</v>
      </c>
      <c r="C6410" s="266" t="str">
        <f>IFERROR(__xludf.DUMMYFUNCTION("""COMPUTED_VALUE"""),"KYAI KONTONG")</f>
        <v>KYAI KONTONG</v>
      </c>
      <c r="D6410" s="186">
        <f>IFERROR(__xludf.DUMMYFUNCTION("""COMPUTED_VALUE"""),50.0)</f>
        <v>50</v>
      </c>
    </row>
    <row r="6411">
      <c r="A6411" s="178" t="str">
        <f>IFERROR(__xludf.DUMMYFUNCTION("""COMPUTED_VALUE"""),"ITBISA-IC-UA741CN-DIP8")</f>
        <v>ITBISA-IC-UA741CN-DIP8</v>
      </c>
      <c r="B6411" s="266">
        <f>IFERROR(__xludf.DUMMYFUNCTION("""COMPUTED_VALUE"""),44934.0)</f>
        <v>44934</v>
      </c>
      <c r="C6411" s="266" t="str">
        <f>IFERROR(__xludf.DUMMYFUNCTION("""COMPUTED_VALUE"""),"KYAI KONTONG")</f>
        <v>KYAI KONTONG</v>
      </c>
      <c r="D6411" s="186">
        <f>IFERROR(__xludf.DUMMYFUNCTION("""COMPUTED_VALUE"""),10.0)</f>
        <v>10</v>
      </c>
    </row>
    <row r="6412">
      <c r="A6412" s="178" t="str">
        <f>IFERROR(__xludf.DUMMYFUNCTION("""COMPUTED_VALUE"""),"ITBISA-IC-UA741CN-DIP8")</f>
        <v>ITBISA-IC-UA741CN-DIP8</v>
      </c>
      <c r="B6412" s="266">
        <f>IFERROR(__xludf.DUMMYFUNCTION("""COMPUTED_VALUE"""),44950.0)</f>
        <v>44950</v>
      </c>
      <c r="C6412" s="266" t="str">
        <f>IFERROR(__xludf.DUMMYFUNCTION("""COMPUTED_VALUE"""),"KYAI KONTONG")</f>
        <v>KYAI KONTONG</v>
      </c>
      <c r="D6412" s="186">
        <f>IFERROR(__xludf.DUMMYFUNCTION("""COMPUTED_VALUE"""),10.0)</f>
        <v>10</v>
      </c>
    </row>
    <row r="6413">
      <c r="A6413" s="178" t="str">
        <f>IFERROR(__xludf.DUMMYFUNCTION("""COMPUTED_VALUE"""),"ITBISA-IC-UA741CN-DIP8")</f>
        <v>ITBISA-IC-UA741CN-DIP8</v>
      </c>
      <c r="B6413" s="266">
        <f>IFERROR(__xludf.DUMMYFUNCTION("""COMPUTED_VALUE"""),44982.0)</f>
        <v>44982</v>
      </c>
      <c r="C6413" s="266" t="str">
        <f>IFERROR(__xludf.DUMMYFUNCTION("""COMPUTED_VALUE"""),"KYAI KONTONG")</f>
        <v>KYAI KONTONG</v>
      </c>
      <c r="D6413" s="186">
        <f>IFERROR(__xludf.DUMMYFUNCTION("""COMPUTED_VALUE"""),2.0)</f>
        <v>2</v>
      </c>
    </row>
    <row r="6414">
      <c r="A6414" s="178" t="str">
        <f>IFERROR(__xludf.DUMMYFUNCTION("""COMPUTED_VALUE"""),"ITBISA-IC-UA741CN-DIP8")</f>
        <v>ITBISA-IC-UA741CN-DIP8</v>
      </c>
      <c r="B6414" s="266">
        <f>IFERROR(__xludf.DUMMYFUNCTION("""COMPUTED_VALUE"""),44996.0)</f>
        <v>44996</v>
      </c>
      <c r="C6414" s="266" t="str">
        <f>IFERROR(__xludf.DUMMYFUNCTION("""COMPUTED_VALUE"""),"KYAI KONTONG")</f>
        <v>KYAI KONTONG</v>
      </c>
      <c r="D6414" s="186">
        <f>IFERROR(__xludf.DUMMYFUNCTION("""COMPUTED_VALUE"""),3.0)</f>
        <v>3</v>
      </c>
    </row>
    <row r="6415">
      <c r="A6415" s="178" t="str">
        <f>IFERROR(__xludf.DUMMYFUNCTION("""COMPUTED_VALUE"""),"ITBISA-IC-UA741CN-DIP8")</f>
        <v>ITBISA-IC-UA741CN-DIP8</v>
      </c>
      <c r="B6415" s="266">
        <f>IFERROR(__xludf.DUMMYFUNCTION("""COMPUTED_VALUE"""),45014.0)</f>
        <v>45014</v>
      </c>
      <c r="C6415" s="266" t="str">
        <f>IFERROR(__xludf.DUMMYFUNCTION("""COMPUTED_VALUE"""),"KYAI KONTONG")</f>
        <v>KYAI KONTONG</v>
      </c>
      <c r="D6415" s="186">
        <f>IFERROR(__xludf.DUMMYFUNCTION("""COMPUTED_VALUE"""),200.0)</f>
        <v>200</v>
      </c>
    </row>
    <row r="6416">
      <c r="A6416" s="178" t="str">
        <f>IFERROR(__xludf.DUMMYFUNCTION("""COMPUTED_VALUE"""),"ITBISA-IC-UA741CN-DIP8")</f>
        <v>ITBISA-IC-UA741CN-DIP8</v>
      </c>
      <c r="B6416" s="266">
        <f>IFERROR(__xludf.DUMMYFUNCTION("""COMPUTED_VALUE"""),45017.0)</f>
        <v>45017</v>
      </c>
      <c r="C6416" s="266" t="str">
        <f>IFERROR(__xludf.DUMMYFUNCTION("""COMPUTED_VALUE"""),"KYAI KONTONG")</f>
        <v>KYAI KONTONG</v>
      </c>
      <c r="D6416" s="186">
        <f>IFERROR(__xludf.DUMMYFUNCTION("""COMPUTED_VALUE"""),10.0)</f>
        <v>10</v>
      </c>
    </row>
    <row r="6417">
      <c r="A6417" s="178" t="str">
        <f>IFERROR(__xludf.DUMMYFUNCTION("""COMPUTED_VALUE"""),"ITBISA-IC-UA741CN-DIP8")</f>
        <v>ITBISA-IC-UA741CN-DIP8</v>
      </c>
      <c r="B6417" s="266">
        <f>IFERROR(__xludf.DUMMYFUNCTION("""COMPUTED_VALUE"""),45020.0)</f>
        <v>45020</v>
      </c>
      <c r="C6417" s="266" t="str">
        <f>IFERROR(__xludf.DUMMYFUNCTION("""COMPUTED_VALUE"""),"KYAI KONTONG")</f>
        <v>KYAI KONTONG</v>
      </c>
      <c r="D6417" s="186">
        <f>IFERROR(__xludf.DUMMYFUNCTION("""COMPUTED_VALUE"""),90.0)</f>
        <v>90</v>
      </c>
    </row>
    <row r="6418">
      <c r="A6418" s="178" t="str">
        <f>IFERROR(__xludf.DUMMYFUNCTION("""COMPUTED_VALUE"""),"ITBISA-IC-UA741CN-DIP8")</f>
        <v>ITBISA-IC-UA741CN-DIP8</v>
      </c>
      <c r="B6418" s="266">
        <f>IFERROR(__xludf.DUMMYFUNCTION("""COMPUTED_VALUE"""),45133.0)</f>
        <v>45133</v>
      </c>
      <c r="C6418" s="266" t="str">
        <f>IFERROR(__xludf.DUMMYFUNCTION("""COMPUTED_VALUE"""),"KYAI KONTONG")</f>
        <v>KYAI KONTONG</v>
      </c>
      <c r="D6418" s="186">
        <f>IFERROR(__xludf.DUMMYFUNCTION("""COMPUTED_VALUE"""),10.0)</f>
        <v>10</v>
      </c>
    </row>
    <row r="6419">
      <c r="A6419" s="178" t="str">
        <f>IFERROR(__xludf.DUMMYFUNCTION("""COMPUTED_VALUE"""),"ITBISA-IC-UA741CN-DIP8")</f>
        <v>ITBISA-IC-UA741CN-DIP8</v>
      </c>
      <c r="B6419" s="266">
        <f>IFERROR(__xludf.DUMMYFUNCTION("""COMPUTED_VALUE"""),45162.0)</f>
        <v>45162</v>
      </c>
      <c r="C6419" s="266" t="str">
        <f>IFERROR(__xludf.DUMMYFUNCTION("""COMPUTED_VALUE"""),"KYAI KONTONG")</f>
        <v>KYAI KONTONG</v>
      </c>
      <c r="D6419" s="186">
        <f>IFERROR(__xludf.DUMMYFUNCTION("""COMPUTED_VALUE"""),10.0)</f>
        <v>10</v>
      </c>
    </row>
    <row r="6420">
      <c r="A6420" s="178" t="str">
        <f>IFERROR(__xludf.DUMMYFUNCTION("""COMPUTED_VALUE"""),"ITBISA-IC-UA741CN-DIP8")</f>
        <v>ITBISA-IC-UA741CN-DIP8</v>
      </c>
      <c r="B6420" s="266">
        <f>IFERROR(__xludf.DUMMYFUNCTION("""COMPUTED_VALUE"""),45170.0)</f>
        <v>45170</v>
      </c>
      <c r="C6420" s="266" t="str">
        <f>IFERROR(__xludf.DUMMYFUNCTION("""COMPUTED_VALUE"""),"KYAI KONTONG")</f>
        <v>KYAI KONTONG</v>
      </c>
      <c r="D6420" s="186">
        <f>IFERROR(__xludf.DUMMYFUNCTION("""COMPUTED_VALUE"""),10.0)</f>
        <v>10</v>
      </c>
    </row>
    <row r="6421">
      <c r="A6421" s="178" t="str">
        <f>IFERROR(__xludf.DUMMYFUNCTION("""COMPUTED_VALUE"""),"ITBISA-IC-UA741CN-DIP8")</f>
        <v>ITBISA-IC-UA741CN-DIP8</v>
      </c>
      <c r="B6421" s="266">
        <f>IFERROR(__xludf.DUMMYFUNCTION("""COMPUTED_VALUE"""),45185.0)</f>
        <v>45185</v>
      </c>
      <c r="C6421" s="266" t="str">
        <f>IFERROR(__xludf.DUMMYFUNCTION("""COMPUTED_VALUE"""),"KYAI KONTONG")</f>
        <v>KYAI KONTONG</v>
      </c>
      <c r="D6421" s="186">
        <f>IFERROR(__xludf.DUMMYFUNCTION("""COMPUTED_VALUE"""),8.0)</f>
        <v>8</v>
      </c>
    </row>
    <row r="6422">
      <c r="A6422" s="178" t="str">
        <f>IFERROR(__xludf.DUMMYFUNCTION("""COMPUTED_VALUE"""),"ITBISA-IC-UA741CN-DIP8")</f>
        <v>ITBISA-IC-UA741CN-DIP8</v>
      </c>
      <c r="B6422" s="266">
        <f>IFERROR(__xludf.DUMMYFUNCTION("""COMPUTED_VALUE"""),45197.0)</f>
        <v>45197</v>
      </c>
      <c r="C6422" s="266" t="str">
        <f>IFERROR(__xludf.DUMMYFUNCTION("""COMPUTED_VALUE"""),"KYAI KONTONG")</f>
        <v>KYAI KONTONG</v>
      </c>
      <c r="D6422" s="186">
        <f>IFERROR(__xludf.DUMMYFUNCTION("""COMPUTED_VALUE"""),1.0)</f>
        <v>1</v>
      </c>
    </row>
    <row r="6423">
      <c r="A6423" s="178" t="str">
        <f>IFERROR(__xludf.DUMMYFUNCTION("""COMPUTED_VALUE"""),"ITBISA-IC-UA741CN-DIP8")</f>
        <v>ITBISA-IC-UA741CN-DIP8</v>
      </c>
      <c r="B6423" s="266">
        <f>IFERROR(__xludf.DUMMYFUNCTION("""COMPUTED_VALUE"""),45204.0)</f>
        <v>45204</v>
      </c>
      <c r="C6423" s="266" t="str">
        <f>IFERROR(__xludf.DUMMYFUNCTION("""COMPUTED_VALUE"""),"KYAI KONTONG")</f>
        <v>KYAI KONTONG</v>
      </c>
      <c r="D6423" s="186">
        <f>IFERROR(__xludf.DUMMYFUNCTION("""COMPUTED_VALUE"""),20.0)</f>
        <v>20</v>
      </c>
    </row>
    <row r="6424">
      <c r="A6424" s="178" t="str">
        <f>IFERROR(__xludf.DUMMYFUNCTION("""COMPUTED_VALUE"""),"ITBISA-IC-UA741CN-DIP8")</f>
        <v>ITBISA-IC-UA741CN-DIP8</v>
      </c>
      <c r="B6424" s="266">
        <f>IFERROR(__xludf.DUMMYFUNCTION("""COMPUTED_VALUE"""),45226.0)</f>
        <v>45226</v>
      </c>
      <c r="C6424" s="266" t="str">
        <f>IFERROR(__xludf.DUMMYFUNCTION("""COMPUTED_VALUE"""),"KYAI KONTONG")</f>
        <v>KYAI KONTONG</v>
      </c>
      <c r="D6424" s="186">
        <f>IFERROR(__xludf.DUMMYFUNCTION("""COMPUTED_VALUE"""),2.0)</f>
        <v>2</v>
      </c>
    </row>
    <row r="6425">
      <c r="A6425" s="178" t="str">
        <f>IFERROR(__xludf.DUMMYFUNCTION("""COMPUTED_VALUE"""),"ITBISA-IC-UA741CN-DIP8")</f>
        <v>ITBISA-IC-UA741CN-DIP8</v>
      </c>
      <c r="B6425" s="266">
        <f>IFERROR(__xludf.DUMMYFUNCTION("""COMPUTED_VALUE"""),45234.0)</f>
        <v>45234</v>
      </c>
      <c r="C6425" s="266" t="str">
        <f>IFERROR(__xludf.DUMMYFUNCTION("""COMPUTED_VALUE"""),"KYAI KONTONG")</f>
        <v>KYAI KONTONG</v>
      </c>
      <c r="D6425" s="186">
        <f>IFERROR(__xludf.DUMMYFUNCTION("""COMPUTED_VALUE"""),20.0)</f>
        <v>20</v>
      </c>
    </row>
    <row r="6426">
      <c r="A6426" s="178" t="str">
        <f>IFERROR(__xludf.DUMMYFUNCTION("""COMPUTED_VALUE"""),"ITBISA-IC-UA741CN-DIP8")</f>
        <v>ITBISA-IC-UA741CN-DIP8</v>
      </c>
      <c r="B6426" s="266">
        <f>IFERROR(__xludf.DUMMYFUNCTION("""COMPUTED_VALUE"""),45247.0)</f>
        <v>45247</v>
      </c>
      <c r="C6426" s="266" t="str">
        <f>IFERROR(__xludf.DUMMYFUNCTION("""COMPUTED_VALUE"""),"KYAI KONTONG")</f>
        <v>KYAI KONTONG</v>
      </c>
      <c r="D6426" s="186">
        <f>IFERROR(__xludf.DUMMYFUNCTION("""COMPUTED_VALUE"""),10.0)</f>
        <v>10</v>
      </c>
    </row>
    <row r="6427">
      <c r="A6427" s="178" t="str">
        <f>IFERROR(__xludf.DUMMYFUNCTION("""COMPUTED_VALUE"""),"ITBISA-IC-UA741CN-DIP8")</f>
        <v>ITBISA-IC-UA741CN-DIP8</v>
      </c>
      <c r="B6427" s="266">
        <f>IFERROR(__xludf.DUMMYFUNCTION("""COMPUTED_VALUE"""),45261.0)</f>
        <v>45261</v>
      </c>
      <c r="C6427" s="266" t="str">
        <f>IFERROR(__xludf.DUMMYFUNCTION("""COMPUTED_VALUE"""),"KYAI KONTONG")</f>
        <v>KYAI KONTONG</v>
      </c>
      <c r="D6427" s="186">
        <f>IFERROR(__xludf.DUMMYFUNCTION("""COMPUTED_VALUE"""),20.0)</f>
        <v>20</v>
      </c>
    </row>
    <row r="6428">
      <c r="A6428" s="178" t="str">
        <f>IFERROR(__xludf.DUMMYFUNCTION("""COMPUTED_VALUE"""),"ITBISA-IC-UA741CN-DIP8")</f>
        <v>ITBISA-IC-UA741CN-DIP8</v>
      </c>
      <c r="B6428" s="266">
        <f>IFERROR(__xludf.DUMMYFUNCTION("""COMPUTED_VALUE"""),45275.0)</f>
        <v>45275</v>
      </c>
      <c r="C6428" s="266" t="str">
        <f>IFERROR(__xludf.DUMMYFUNCTION("""COMPUTED_VALUE"""),"KERTASARI CIAMIS")</f>
        <v>KERTASARI CIAMIS</v>
      </c>
      <c r="D6428" s="186">
        <f>IFERROR(__xludf.DUMMYFUNCTION("""COMPUTED_VALUE"""),10.0)</f>
        <v>10</v>
      </c>
    </row>
    <row r="6429">
      <c r="A6429" s="178" t="str">
        <f>IFERROR(__xludf.DUMMYFUNCTION("""COMPUTED_VALUE"""),"ITBISA-IC-UA741CN-DIP8")</f>
        <v>ITBISA-IC-UA741CN-DIP8</v>
      </c>
      <c r="B6429" s="266">
        <f>IFERROR(__xludf.DUMMYFUNCTION("""COMPUTED_VALUE"""),45280.0)</f>
        <v>45280</v>
      </c>
      <c r="C6429" s="266" t="str">
        <f>IFERROR(__xludf.DUMMYFUNCTION("""COMPUTED_VALUE"""),"KYAI KONTONG")</f>
        <v>KYAI KONTONG</v>
      </c>
      <c r="D6429" s="186">
        <f>IFERROR(__xludf.DUMMYFUNCTION("""COMPUTED_VALUE"""),2.0)</f>
        <v>2</v>
      </c>
    </row>
    <row r="6430">
      <c r="A6430" s="178" t="str">
        <f>IFERROR(__xludf.DUMMYFUNCTION("""COMPUTED_VALUE"""),"ITBISA-IC-UA741CN-DIP8")</f>
        <v>ITBISA-IC-UA741CN-DIP8</v>
      </c>
      <c r="B6430" s="266">
        <f>IFERROR(__xludf.DUMMYFUNCTION("""COMPUTED_VALUE"""),45285.0)</f>
        <v>45285</v>
      </c>
      <c r="C6430" s="266" t="str">
        <f>IFERROR(__xludf.DUMMYFUNCTION("""COMPUTED_VALUE"""),"KYAI KONTONG")</f>
        <v>KYAI KONTONG</v>
      </c>
      <c r="D6430" s="186">
        <f>IFERROR(__xludf.DUMMYFUNCTION("""COMPUTED_VALUE"""),4.0)</f>
        <v>4</v>
      </c>
    </row>
    <row r="6431">
      <c r="A6431" s="178" t="str">
        <f>IFERROR(__xludf.DUMMYFUNCTION("""COMPUTED_VALUE"""),"ITBISA-IC-UA741CN-DIP8")</f>
        <v>ITBISA-IC-UA741CN-DIP8</v>
      </c>
      <c r="B6431" s="266">
        <f>IFERROR(__xludf.DUMMYFUNCTION("""COMPUTED_VALUE"""),45292.0)</f>
        <v>45292</v>
      </c>
      <c r="C6431" s="266" t="str">
        <f>IFERROR(__xludf.DUMMYFUNCTION("""COMPUTED_VALUE"""),"KYAI KONTONG")</f>
        <v>KYAI KONTONG</v>
      </c>
      <c r="D6431" s="186">
        <f>IFERROR(__xludf.DUMMYFUNCTION("""COMPUTED_VALUE"""),2.0)</f>
        <v>2</v>
      </c>
    </row>
    <row r="6432">
      <c r="A6432" s="178" t="str">
        <f>IFERROR(__xludf.DUMMYFUNCTION("""COMPUTED_VALUE"""),"ITBISA-IC-UA741CN-DIP8")</f>
        <v>ITBISA-IC-UA741CN-DIP8</v>
      </c>
      <c r="B6432" s="266">
        <f>IFERROR(__xludf.DUMMYFUNCTION("""COMPUTED_VALUE"""),45315.0)</f>
        <v>45315</v>
      </c>
      <c r="C6432" s="266" t="str">
        <f>IFERROR(__xludf.DUMMYFUNCTION("""COMPUTED_VALUE"""),"KERTASARI CIAMIS")</f>
        <v>KERTASARI CIAMIS</v>
      </c>
      <c r="D6432" s="186">
        <f>IFERROR(__xludf.DUMMYFUNCTION("""COMPUTED_VALUE"""),13.0)</f>
        <v>13</v>
      </c>
    </row>
    <row r="6433">
      <c r="A6433" s="178" t="str">
        <f>IFERROR(__xludf.DUMMYFUNCTION("""COMPUTED_VALUE"""),"ITBISA-IC-UA741CN-DIP8")</f>
        <v>ITBISA-IC-UA741CN-DIP8</v>
      </c>
      <c r="B6433" s="266">
        <f>IFERROR(__xludf.DUMMYFUNCTION("""COMPUTED_VALUE"""),45322.0)</f>
        <v>45322</v>
      </c>
      <c r="C6433" s="266" t="str">
        <f>IFERROR(__xludf.DUMMYFUNCTION("""COMPUTED_VALUE"""),"RANCAEKEK ESTU")</f>
        <v>RANCAEKEK ESTU</v>
      </c>
      <c r="D6433" s="186">
        <f>IFERROR(__xludf.DUMMYFUNCTION("""COMPUTED_VALUE"""),10.0)</f>
        <v>10</v>
      </c>
    </row>
    <row r="6434">
      <c r="A6434" s="178" t="str">
        <f>IFERROR(__xludf.DUMMYFUNCTION("""COMPUTED_VALUE"""),"ITBISA-IC-UA741CN-DIP8")</f>
        <v>ITBISA-IC-UA741CN-DIP8</v>
      </c>
      <c r="B6434" s="266">
        <f>IFERROR(__xludf.DUMMYFUNCTION("""COMPUTED_VALUE"""),45324.0)</f>
        <v>45324</v>
      </c>
      <c r="C6434" s="266" t="str">
        <f>IFERROR(__xludf.DUMMYFUNCTION("""COMPUTED_VALUE"""),"KERTASARI CIAMIS")</f>
        <v>KERTASARI CIAMIS</v>
      </c>
      <c r="D6434" s="186">
        <f>IFERROR(__xludf.DUMMYFUNCTION("""COMPUTED_VALUE"""),20.0)</f>
        <v>20</v>
      </c>
    </row>
    <row r="6435">
      <c r="A6435" s="178" t="str">
        <f>IFERROR(__xludf.DUMMYFUNCTION("""COMPUTED_VALUE"""),"ITBISA-IC-UA741CN-DIP8")</f>
        <v>ITBISA-IC-UA741CN-DIP8</v>
      </c>
      <c r="B6435" s="266">
        <f>IFERROR(__xludf.DUMMYFUNCTION("""COMPUTED_VALUE"""),45341.0)</f>
        <v>45341</v>
      </c>
      <c r="C6435" s="266" t="str">
        <f>IFERROR(__xludf.DUMMYFUNCTION("""COMPUTED_VALUE"""),"KERTASARI CIAMIS")</f>
        <v>KERTASARI CIAMIS</v>
      </c>
      <c r="D6435" s="186">
        <f>IFERROR(__xludf.DUMMYFUNCTION("""COMPUTED_VALUE"""),45.0)</f>
        <v>45</v>
      </c>
    </row>
    <row r="6436">
      <c r="A6436" s="178" t="str">
        <f>IFERROR(__xludf.DUMMYFUNCTION("""COMPUTED_VALUE"""),"ITBISA-IC-UA741CN-DIP8")</f>
        <v>ITBISA-IC-UA741CN-DIP8</v>
      </c>
      <c r="B6436" s="266">
        <f>IFERROR(__xludf.DUMMYFUNCTION("""COMPUTED_VALUE"""),45353.0)</f>
        <v>45353</v>
      </c>
      <c r="C6436" s="266" t="str">
        <f>IFERROR(__xludf.DUMMYFUNCTION("""COMPUTED_VALUE"""),"KYAI KONTONG")</f>
        <v>KYAI KONTONG</v>
      </c>
      <c r="D6436" s="186">
        <f>IFERROR(__xludf.DUMMYFUNCTION("""COMPUTED_VALUE"""),5.0)</f>
        <v>5</v>
      </c>
    </row>
    <row r="6437">
      <c r="A6437" s="178" t="str">
        <f>IFERROR(__xludf.DUMMYFUNCTION("""COMPUTED_VALUE"""),"ITBISA-IC-UA741CN-DIP8")</f>
        <v>ITBISA-IC-UA741CN-DIP8</v>
      </c>
      <c r="B6437" s="266">
        <f>IFERROR(__xludf.DUMMYFUNCTION("""COMPUTED_VALUE"""),45357.0)</f>
        <v>45357</v>
      </c>
      <c r="C6437" s="266" t="str">
        <f>IFERROR(__xludf.DUMMYFUNCTION("""COMPUTED_VALUE"""),"KYAI KONTONG")</f>
        <v>KYAI KONTONG</v>
      </c>
      <c r="D6437" s="186">
        <f>IFERROR(__xludf.DUMMYFUNCTION("""COMPUTED_VALUE"""),10.0)</f>
        <v>10</v>
      </c>
    </row>
    <row r="6438">
      <c r="A6438" s="178" t="str">
        <f>IFERROR(__xludf.DUMMYFUNCTION("""COMPUTED_VALUE"""),"ITBISA-IC-UA741CN-DIP8")</f>
        <v>ITBISA-IC-UA741CN-DIP8</v>
      </c>
      <c r="B6438" s="266">
        <f>IFERROR(__xludf.DUMMYFUNCTION("""COMPUTED_VALUE"""),45400.0)</f>
        <v>45400</v>
      </c>
      <c r="C6438" s="266" t="str">
        <f>IFERROR(__xludf.DUMMYFUNCTION("""COMPUTED_VALUE"""),"KERTASARI CIAMIS")</f>
        <v>KERTASARI CIAMIS</v>
      </c>
      <c r="D6438" s="186">
        <f>IFERROR(__xludf.DUMMYFUNCTION("""COMPUTED_VALUE"""),50.0)</f>
        <v>50</v>
      </c>
    </row>
    <row r="6439">
      <c r="A6439" s="178" t="str">
        <f>IFERROR(__xludf.DUMMYFUNCTION("""COMPUTED_VALUE"""),"ITBISA-IC-UA741CN-DIP8")</f>
        <v>ITBISA-IC-UA741CN-DIP8</v>
      </c>
      <c r="B6439" s="266">
        <f>IFERROR(__xludf.DUMMYFUNCTION("""COMPUTED_VALUE"""),45403.0)</f>
        <v>45403</v>
      </c>
      <c r="C6439" s="266" t="str">
        <f>IFERROR(__xludf.DUMMYFUNCTION("""COMPUTED_VALUE"""),"KERTASARI CIAMIS")</f>
        <v>KERTASARI CIAMIS</v>
      </c>
      <c r="D6439" s="186">
        <f>IFERROR(__xludf.DUMMYFUNCTION("""COMPUTED_VALUE"""),50.0)</f>
        <v>50</v>
      </c>
    </row>
    <row r="6440">
      <c r="A6440" s="178" t="str">
        <f>IFERROR(__xludf.DUMMYFUNCTION("""COMPUTED_VALUE"""),"ITBISA-IC-UA741CN-DIP8")</f>
        <v>ITBISA-IC-UA741CN-DIP8</v>
      </c>
      <c r="B6440" s="266">
        <f>IFERROR(__xludf.DUMMYFUNCTION("""COMPUTED_VALUE"""),45410.0)</f>
        <v>45410</v>
      </c>
      <c r="C6440" s="266" t="str">
        <f>IFERROR(__xludf.DUMMYFUNCTION("""COMPUTED_VALUE"""),"KERTASARI CIAMIS")</f>
        <v>KERTASARI CIAMIS</v>
      </c>
      <c r="D6440" s="186">
        <f>IFERROR(__xludf.DUMMYFUNCTION("""COMPUTED_VALUE"""),22.0)</f>
        <v>22</v>
      </c>
    </row>
    <row r="6441">
      <c r="A6441" s="178" t="str">
        <f>IFERROR(__xludf.DUMMYFUNCTION("""COMPUTED_VALUE"""),"ITBISA-IC-UA741CN-DIP8")</f>
        <v>ITBISA-IC-UA741CN-DIP8</v>
      </c>
      <c r="B6441" s="266">
        <f>IFERROR(__xludf.DUMMYFUNCTION("""COMPUTED_VALUE"""),45415.0)</f>
        <v>45415</v>
      </c>
      <c r="C6441" s="266" t="str">
        <f>IFERROR(__xludf.DUMMYFUNCTION("""COMPUTED_VALUE"""),"KERTASARI CIAMIS")</f>
        <v>KERTASARI CIAMIS</v>
      </c>
      <c r="D6441" s="186">
        <f>IFERROR(__xludf.DUMMYFUNCTION("""COMPUTED_VALUE"""),100.0)</f>
        <v>100</v>
      </c>
    </row>
    <row r="6442">
      <c r="A6442" s="178" t="str">
        <f>IFERROR(__xludf.DUMMYFUNCTION("""COMPUTED_VALUE"""),"ITBISA-IC-UA741CN-DIP8")</f>
        <v>ITBISA-IC-UA741CN-DIP8</v>
      </c>
      <c r="B6442" s="266">
        <f>IFERROR(__xludf.DUMMYFUNCTION("""COMPUTED_VALUE"""),45447.0)</f>
        <v>45447</v>
      </c>
      <c r="C6442" s="266" t="str">
        <f>IFERROR(__xludf.DUMMYFUNCTION("""COMPUTED_VALUE"""),"KERTASARI CIAMIS")</f>
        <v>KERTASARI CIAMIS</v>
      </c>
      <c r="D6442" s="186">
        <f>IFERROR(__xludf.DUMMYFUNCTION("""COMPUTED_VALUE"""),5.0)</f>
        <v>5</v>
      </c>
    </row>
    <row r="6443">
      <c r="A6443" s="178" t="str">
        <f>IFERROR(__xludf.DUMMYFUNCTION("""COMPUTED_VALUE"""),"ITBISA-IC-UA741CN-DIP8")</f>
        <v>ITBISA-IC-UA741CN-DIP8</v>
      </c>
      <c r="B6443" s="266">
        <f>IFERROR(__xludf.DUMMYFUNCTION("""COMPUTED_VALUE"""),45447.0)</f>
        <v>45447</v>
      </c>
      <c r="C6443" s="266" t="str">
        <f>IFERROR(__xludf.DUMMYFUNCTION("""COMPUTED_VALUE"""),"KERTASARI CIAMIS")</f>
        <v>KERTASARI CIAMIS</v>
      </c>
      <c r="D6443" s="186">
        <f>IFERROR(__xludf.DUMMYFUNCTION("""COMPUTED_VALUE"""),20.0)</f>
        <v>20</v>
      </c>
    </row>
    <row r="6444">
      <c r="A6444" s="178" t="str">
        <f>IFERROR(__xludf.DUMMYFUNCTION("""COMPUTED_VALUE"""),"ITBISA-IC-UA741CN-DIP8")</f>
        <v>ITBISA-IC-UA741CN-DIP8</v>
      </c>
      <c r="B6444" s="266">
        <f>IFERROR(__xludf.DUMMYFUNCTION("""COMPUTED_VALUE"""),45467.0)</f>
        <v>45467</v>
      </c>
      <c r="C6444" s="266" t="str">
        <f>IFERROR(__xludf.DUMMYFUNCTION("""COMPUTED_VALUE"""),"KYAI KONTONG")</f>
        <v>KYAI KONTONG</v>
      </c>
      <c r="D6444" s="186">
        <f>IFERROR(__xludf.DUMMYFUNCTION("""COMPUTED_VALUE"""),10.0)</f>
        <v>10</v>
      </c>
    </row>
    <row r="6445">
      <c r="A6445" s="178" t="str">
        <f>IFERROR(__xludf.DUMMYFUNCTION("""COMPUTED_VALUE"""),"ITBISA-IC-UA741CN-DIP8")</f>
        <v>ITBISA-IC-UA741CN-DIP8</v>
      </c>
      <c r="B6445" s="266">
        <f>IFERROR(__xludf.DUMMYFUNCTION("""COMPUTED_VALUE"""),45479.0)</f>
        <v>45479</v>
      </c>
      <c r="C6445" s="266" t="str">
        <f>IFERROR(__xludf.DUMMYFUNCTION("""COMPUTED_VALUE"""),"KYAI KONTONG")</f>
        <v>KYAI KONTONG</v>
      </c>
      <c r="D6445" s="186">
        <f>IFERROR(__xludf.DUMMYFUNCTION("""COMPUTED_VALUE"""),20.0)</f>
        <v>20</v>
      </c>
    </row>
    <row r="6446">
      <c r="A6446" s="178" t="str">
        <f>IFERROR(__xludf.DUMMYFUNCTION("""COMPUTED_VALUE"""),"ITBISA-IC-UA741CN-DIP8")</f>
        <v>ITBISA-IC-UA741CN-DIP8</v>
      </c>
      <c r="B6446" s="266">
        <f>IFERROR(__xludf.DUMMYFUNCTION("""COMPUTED_VALUE"""),45480.0)</f>
        <v>45480</v>
      </c>
      <c r="C6446" s="266" t="str">
        <f>IFERROR(__xludf.DUMMYFUNCTION("""COMPUTED_VALUE"""),"KYAI KONTONG")</f>
        <v>KYAI KONTONG</v>
      </c>
      <c r="D6446" s="186">
        <f>IFERROR(__xludf.DUMMYFUNCTION("""COMPUTED_VALUE"""),30.0)</f>
        <v>30</v>
      </c>
    </row>
    <row r="6447">
      <c r="A6447" s="178" t="str">
        <f>IFERROR(__xludf.DUMMYFUNCTION("""COMPUTED_VALUE"""),"ITBISA-IC-UA741CN-DIP8")</f>
        <v>ITBISA-IC-UA741CN-DIP8</v>
      </c>
      <c r="B6447" s="266">
        <f>IFERROR(__xludf.DUMMYFUNCTION("""COMPUTED_VALUE"""),45484.0)</f>
        <v>45484</v>
      </c>
      <c r="C6447" s="266" t="str">
        <f>IFERROR(__xludf.DUMMYFUNCTION("""COMPUTED_VALUE"""),"KYAI KONTONG")</f>
        <v>KYAI KONTONG</v>
      </c>
      <c r="D6447" s="186">
        <f>IFERROR(__xludf.DUMMYFUNCTION("""COMPUTED_VALUE"""),5.0)</f>
        <v>5</v>
      </c>
    </row>
    <row r="6448">
      <c r="A6448" s="178" t="str">
        <f>IFERROR(__xludf.DUMMYFUNCTION("""COMPUTED_VALUE"""),"ITBISA-IC-UA741CN-DIP8")</f>
        <v>ITBISA-IC-UA741CN-DIP8</v>
      </c>
      <c r="B6448" s="266">
        <f>IFERROR(__xludf.DUMMYFUNCTION("""COMPUTED_VALUE"""),45488.0)</f>
        <v>45488</v>
      </c>
      <c r="C6448" s="266" t="str">
        <f>IFERROR(__xludf.DUMMYFUNCTION("""COMPUTED_VALUE"""),"KYAI KONTONG")</f>
        <v>KYAI KONTONG</v>
      </c>
      <c r="D6448" s="186">
        <f>IFERROR(__xludf.DUMMYFUNCTION("""COMPUTED_VALUE"""),50.0)</f>
        <v>50</v>
      </c>
    </row>
    <row r="6449">
      <c r="A6449" s="178" t="str">
        <f>IFERROR(__xludf.DUMMYFUNCTION("""COMPUTED_VALUE"""),"ITBISA-IC-UA741CN-DIP8")</f>
        <v>ITBISA-IC-UA741CN-DIP8</v>
      </c>
      <c r="B6449" s="266">
        <f>IFERROR(__xludf.DUMMYFUNCTION("""COMPUTED_VALUE"""),45499.0)</f>
        <v>45499</v>
      </c>
      <c r="C6449" s="266" t="str">
        <f>IFERROR(__xludf.DUMMYFUNCTION("""COMPUTED_VALUE"""),"KERTASARI CIAMIS")</f>
        <v>KERTASARI CIAMIS</v>
      </c>
      <c r="D6449" s="186">
        <f>IFERROR(__xludf.DUMMYFUNCTION("""COMPUTED_VALUE"""),50.0)</f>
        <v>50</v>
      </c>
    </row>
    <row r="6450">
      <c r="A6450" s="178" t="str">
        <f>IFERROR(__xludf.DUMMYFUNCTION("""COMPUTED_VALUE"""),"ITBISA-IC-UA741CN-DIP8")</f>
        <v>ITBISA-IC-UA741CN-DIP8</v>
      </c>
      <c r="B6450" s="266">
        <f>IFERROR(__xludf.DUMMYFUNCTION("""COMPUTED_VALUE"""),45523.0)</f>
        <v>45523</v>
      </c>
      <c r="C6450" s="266" t="str">
        <f>IFERROR(__xludf.DUMMYFUNCTION("""COMPUTED_VALUE"""),"KYAI KONTONG")</f>
        <v>KYAI KONTONG</v>
      </c>
      <c r="D6450" s="186">
        <f>IFERROR(__xludf.DUMMYFUNCTION("""COMPUTED_VALUE"""),40.0)</f>
        <v>40</v>
      </c>
    </row>
    <row r="6451">
      <c r="A6451" s="178" t="str">
        <f>IFERROR(__xludf.DUMMYFUNCTION("""COMPUTED_VALUE"""),"ITBISA-IC-UA741CN-DIP8")</f>
        <v>ITBISA-IC-UA741CN-DIP8</v>
      </c>
      <c r="B6451" s="266">
        <f>IFERROR(__xludf.DUMMYFUNCTION("""COMPUTED_VALUE"""),45528.0)</f>
        <v>45528</v>
      </c>
      <c r="C6451" s="266" t="str">
        <f>IFERROR(__xludf.DUMMYFUNCTION("""COMPUTED_VALUE"""),"KERTASARI CIAMIS")</f>
        <v>KERTASARI CIAMIS</v>
      </c>
      <c r="D6451" s="186">
        <f>IFERROR(__xludf.DUMMYFUNCTION("""COMPUTED_VALUE"""),20.0)</f>
        <v>20</v>
      </c>
    </row>
    <row r="6452">
      <c r="A6452" s="178" t="str">
        <f>IFERROR(__xludf.DUMMYFUNCTION("""COMPUTED_VALUE"""),"ITBISA-IC-UA741CN-DIP8")</f>
        <v>ITBISA-IC-UA741CN-DIP8</v>
      </c>
      <c r="B6452" s="266">
        <f>IFERROR(__xludf.DUMMYFUNCTION("""COMPUTED_VALUE"""),45535.0)</f>
        <v>45535</v>
      </c>
      <c r="C6452" s="266" t="str">
        <f>IFERROR(__xludf.DUMMYFUNCTION("""COMPUTED_VALUE"""),"KYAI KONTONG")</f>
        <v>KYAI KONTONG</v>
      </c>
      <c r="D6452" s="186">
        <f>IFERROR(__xludf.DUMMYFUNCTION("""COMPUTED_VALUE"""),10.0)</f>
        <v>10</v>
      </c>
    </row>
    <row r="6453">
      <c r="A6453" s="178" t="str">
        <f>IFERROR(__xludf.DUMMYFUNCTION("""COMPUTED_VALUE"""),"ITBISA-IC-UA741CN-DIP8")</f>
        <v>ITBISA-IC-UA741CN-DIP8</v>
      </c>
      <c r="B6453" s="266">
        <f>IFERROR(__xludf.DUMMYFUNCTION("""COMPUTED_VALUE"""),45556.0)</f>
        <v>45556</v>
      </c>
      <c r="C6453" s="266" t="str">
        <f>IFERROR(__xludf.DUMMYFUNCTION("""COMPUTED_VALUE"""),"KYAI KONTONG")</f>
        <v>KYAI KONTONG</v>
      </c>
      <c r="D6453" s="186">
        <f>IFERROR(__xludf.DUMMYFUNCTION("""COMPUTED_VALUE"""),100.0)</f>
        <v>100</v>
      </c>
    </row>
    <row r="6454">
      <c r="A6454" s="178" t="str">
        <f>IFERROR(__xludf.DUMMYFUNCTION("""COMPUTED_VALUE"""),"ITBISA-IC-UA741CN-DIP8")</f>
        <v>ITBISA-IC-UA741CN-DIP8</v>
      </c>
      <c r="B6454" s="266">
        <f>IFERROR(__xludf.DUMMYFUNCTION("""COMPUTED_VALUE"""),45559.0)</f>
        <v>45559</v>
      </c>
      <c r="C6454" s="266" t="str">
        <f>IFERROR(__xludf.DUMMYFUNCTION("""COMPUTED_VALUE"""),"KYAI KONTONG")</f>
        <v>KYAI KONTONG</v>
      </c>
      <c r="D6454" s="186">
        <f>IFERROR(__xludf.DUMMYFUNCTION("""COMPUTED_VALUE"""),10.0)</f>
        <v>10</v>
      </c>
    </row>
    <row r="6455">
      <c r="A6455" s="178" t="str">
        <f>IFERROR(__xludf.DUMMYFUNCTION("""COMPUTED_VALUE"""),"ITBISA-IC-UA741CN-DIP8")</f>
        <v>ITBISA-IC-UA741CN-DIP8</v>
      </c>
      <c r="B6455" s="266">
        <f>IFERROR(__xludf.DUMMYFUNCTION("""COMPUTED_VALUE"""),45574.0)</f>
        <v>45574</v>
      </c>
      <c r="C6455" s="266" t="str">
        <f>IFERROR(__xludf.DUMMYFUNCTION("""COMPUTED_VALUE"""),"KYAI KONTONG")</f>
        <v>KYAI KONTONG</v>
      </c>
      <c r="D6455" s="186">
        <f>IFERROR(__xludf.DUMMYFUNCTION("""COMPUTED_VALUE"""),20.0)</f>
        <v>20</v>
      </c>
    </row>
    <row r="6456">
      <c r="A6456" s="178" t="str">
        <f>IFERROR(__xludf.DUMMYFUNCTION("""COMPUTED_VALUE"""),"ITBISA-IC-UA741CN-DIP8")</f>
        <v>ITBISA-IC-UA741CN-DIP8</v>
      </c>
      <c r="B6456" s="266">
        <f>IFERROR(__xludf.DUMMYFUNCTION("""COMPUTED_VALUE"""),45576.0)</f>
        <v>45576</v>
      </c>
      <c r="C6456" s="266" t="str">
        <f>IFERROR(__xludf.DUMMYFUNCTION("""COMPUTED_VALUE"""),"KYAI KONTONG")</f>
        <v>KYAI KONTONG</v>
      </c>
      <c r="D6456" s="186">
        <f>IFERROR(__xludf.DUMMYFUNCTION("""COMPUTED_VALUE"""),70.0)</f>
        <v>70</v>
      </c>
    </row>
    <row r="6457">
      <c r="A6457" s="178" t="str">
        <f>IFERROR(__xludf.DUMMYFUNCTION("""COMPUTED_VALUE"""),"ITBISA-IC-UA741CN-DIP8")</f>
        <v>ITBISA-IC-UA741CN-DIP8</v>
      </c>
      <c r="B6457" s="266">
        <f>IFERROR(__xludf.DUMMYFUNCTION("""COMPUTED_VALUE"""),45579.0)</f>
        <v>45579</v>
      </c>
      <c r="C6457" s="266" t="str">
        <f>IFERROR(__xludf.DUMMYFUNCTION("""COMPUTED_VALUE"""),"KYAI KONTONG")</f>
        <v>KYAI KONTONG</v>
      </c>
      <c r="D6457" s="186">
        <f>IFERROR(__xludf.DUMMYFUNCTION("""COMPUTED_VALUE"""),5.0)</f>
        <v>5</v>
      </c>
    </row>
    <row r="6458">
      <c r="A6458" s="178" t="str">
        <f>IFERROR(__xludf.DUMMYFUNCTION("""COMPUTED_VALUE"""),"ITBISA-IC-UA741CN-DIP8")</f>
        <v>ITBISA-IC-UA741CN-DIP8</v>
      </c>
      <c r="B6458" s="266">
        <f>IFERROR(__xludf.DUMMYFUNCTION("""COMPUTED_VALUE"""),45587.0)</f>
        <v>45587</v>
      </c>
      <c r="C6458" s="266" t="str">
        <f>IFERROR(__xludf.DUMMYFUNCTION("""COMPUTED_VALUE"""),"KERTASARI CIAMIS")</f>
        <v>KERTASARI CIAMIS</v>
      </c>
      <c r="D6458" s="186">
        <f>IFERROR(__xludf.DUMMYFUNCTION("""COMPUTED_VALUE"""),20.0)</f>
        <v>20</v>
      </c>
    </row>
    <row r="6459">
      <c r="A6459" s="178" t="str">
        <f>IFERROR(__xludf.DUMMYFUNCTION("""COMPUTED_VALUE"""),"ITBISA-IC-UA741CN-DIP8")</f>
        <v>ITBISA-IC-UA741CN-DIP8</v>
      </c>
      <c r="B6459" s="266">
        <f>IFERROR(__xludf.DUMMYFUNCTION("""COMPUTED_VALUE"""),45615.0)</f>
        <v>45615</v>
      </c>
      <c r="C6459" s="266" t="str">
        <f>IFERROR(__xludf.DUMMYFUNCTION("""COMPUTED_VALUE"""),"KERTASARI CIAMIS")</f>
        <v>KERTASARI CIAMIS</v>
      </c>
      <c r="D6459" s="186">
        <f>IFERROR(__xludf.DUMMYFUNCTION("""COMPUTED_VALUE"""),5.0)</f>
        <v>5</v>
      </c>
    </row>
    <row r="6460">
      <c r="A6460" s="178" t="str">
        <f>IFERROR(__xludf.DUMMYFUNCTION("""COMPUTED_VALUE"""),"ITBISA-IC-UA741CN-DIP8")</f>
        <v>ITBISA-IC-UA741CN-DIP8</v>
      </c>
      <c r="B6460" s="266">
        <f>IFERROR(__xludf.DUMMYFUNCTION("""COMPUTED_VALUE"""),45639.0)</f>
        <v>45639</v>
      </c>
      <c r="C6460" s="266" t="str">
        <f>IFERROR(__xludf.DUMMYFUNCTION("""COMPUTED_VALUE"""),"KYAI KONTONG")</f>
        <v>KYAI KONTONG</v>
      </c>
      <c r="D6460" s="186">
        <f>IFERROR(__xludf.DUMMYFUNCTION("""COMPUTED_VALUE"""),5.0)</f>
        <v>5</v>
      </c>
    </row>
    <row r="6461">
      <c r="A6461" s="178" t="str">
        <f>IFERROR(__xludf.DUMMYFUNCTION("""COMPUTED_VALUE"""),"ITBISA-IC-UA741CN-DIP8")</f>
        <v>ITBISA-IC-UA741CN-DIP8</v>
      </c>
      <c r="B6461" s="266">
        <f>IFERROR(__xludf.DUMMYFUNCTION("""COMPUTED_VALUE"""),45641.0)</f>
        <v>45641</v>
      </c>
      <c r="C6461" s="266" t="str">
        <f>IFERROR(__xludf.DUMMYFUNCTION("""COMPUTED_VALUE"""),"KERTASARI CIAMIS")</f>
        <v>KERTASARI CIAMIS</v>
      </c>
      <c r="D6461" s="186">
        <f>IFERROR(__xludf.DUMMYFUNCTION("""COMPUTED_VALUE"""),50.0)</f>
        <v>50</v>
      </c>
    </row>
    <row r="6462">
      <c r="A6462" s="178" t="str">
        <f>IFERROR(__xludf.DUMMYFUNCTION("""COMPUTED_VALUE"""),"ITBISA-IC-UA741CN-DIP8")</f>
        <v>ITBISA-IC-UA741CN-DIP8</v>
      </c>
      <c r="B6462" s="266">
        <f>IFERROR(__xludf.DUMMYFUNCTION("""COMPUTED_VALUE"""),45650.0)</f>
        <v>45650</v>
      </c>
      <c r="C6462" s="266" t="str">
        <f>IFERROR(__xludf.DUMMYFUNCTION("""COMPUTED_VALUE"""),"KERTASARI CIAMIS")</f>
        <v>KERTASARI CIAMIS</v>
      </c>
      <c r="D6462" s="186">
        <f>IFERROR(__xludf.DUMMYFUNCTION("""COMPUTED_VALUE"""),100.0)</f>
        <v>100</v>
      </c>
    </row>
    <row r="6463">
      <c r="A6463" s="178" t="str">
        <f>IFERROR(__xludf.DUMMYFUNCTION("""COMPUTED_VALUE"""),"ITBISA-IC-UA741CN-DIP8")</f>
        <v>ITBISA-IC-UA741CN-DIP8</v>
      </c>
      <c r="B6463" s="266">
        <f>IFERROR(__xludf.DUMMYFUNCTION("""COMPUTED_VALUE"""),45657.0)</f>
        <v>45657</v>
      </c>
      <c r="C6463" s="266" t="str">
        <f>IFERROR(__xludf.DUMMYFUNCTION("""COMPUTED_VALUE"""),"KYAI KONTONG")</f>
        <v>KYAI KONTONG</v>
      </c>
      <c r="D6463" s="186">
        <f>IFERROR(__xludf.DUMMYFUNCTION("""COMPUTED_VALUE"""),20.0)</f>
        <v>20</v>
      </c>
    </row>
    <row r="6464">
      <c r="A6464" s="178" t="str">
        <f>IFERROR(__xludf.DUMMYFUNCTION("""COMPUTED_VALUE"""),"ITBISA-IC-UA741CN-DIP8")</f>
        <v>ITBISA-IC-UA741CN-DIP8</v>
      </c>
      <c r="B6464" s="266">
        <f>IFERROR(__xludf.DUMMYFUNCTION("""COMPUTED_VALUE"""),45665.0)</f>
        <v>45665</v>
      </c>
      <c r="C6464" s="266" t="str">
        <f>IFERROR(__xludf.DUMMYFUNCTION("""COMPUTED_VALUE"""),"KERTASARI CIAMIS")</f>
        <v>KERTASARI CIAMIS</v>
      </c>
      <c r="D6464" s="186">
        <f>IFERROR(__xludf.DUMMYFUNCTION("""COMPUTED_VALUE"""),10.0)</f>
        <v>10</v>
      </c>
    </row>
    <row r="6465">
      <c r="A6465" s="178" t="str">
        <f>IFERROR(__xludf.DUMMYFUNCTION("""COMPUTED_VALUE"""),"ITBISA-IC-UA741CN-DIP8")</f>
        <v>ITBISA-IC-UA741CN-DIP8</v>
      </c>
      <c r="B6465" s="266">
        <f>IFERROR(__xludf.DUMMYFUNCTION("""COMPUTED_VALUE"""),45665.0)</f>
        <v>45665</v>
      </c>
      <c r="C6465" s="266" t="str">
        <f>IFERROR(__xludf.DUMMYFUNCTION("""COMPUTED_VALUE"""),"KERTASARI CIAMIS")</f>
        <v>KERTASARI CIAMIS</v>
      </c>
      <c r="D6465" s="186">
        <f>IFERROR(__xludf.DUMMYFUNCTION("""COMPUTED_VALUE"""),50.0)</f>
        <v>50</v>
      </c>
    </row>
    <row r="6466">
      <c r="A6466" s="178" t="str">
        <f>IFERROR(__xludf.DUMMYFUNCTION("""COMPUTED_VALUE"""),"ITBISA-IC-UA741CN-DIP8")</f>
        <v>ITBISA-IC-UA741CN-DIP8</v>
      </c>
      <c r="B6466" s="266">
        <f>IFERROR(__xludf.DUMMYFUNCTION("""COMPUTED_VALUE"""),45668.0)</f>
        <v>45668</v>
      </c>
      <c r="C6466" s="266" t="str">
        <f>IFERROR(__xludf.DUMMYFUNCTION("""COMPUTED_VALUE"""),"KYAI KONTONG")</f>
        <v>KYAI KONTONG</v>
      </c>
      <c r="D6466" s="186">
        <f>IFERROR(__xludf.DUMMYFUNCTION("""COMPUTED_VALUE"""),20.0)</f>
        <v>20</v>
      </c>
    </row>
    <row r="6467">
      <c r="A6467" s="178" t="str">
        <f>IFERROR(__xludf.DUMMYFUNCTION("""COMPUTED_VALUE"""),"ITBISA-IC-UA741CN-DIP8")</f>
        <v>ITBISA-IC-UA741CN-DIP8</v>
      </c>
      <c r="B6467" s="266">
        <f>IFERROR(__xludf.DUMMYFUNCTION("""COMPUTED_VALUE"""),45676.0)</f>
        <v>45676</v>
      </c>
      <c r="C6467" s="266" t="str">
        <f>IFERROR(__xludf.DUMMYFUNCTION("""COMPUTED_VALUE"""),"KYAI KONTONG")</f>
        <v>KYAI KONTONG</v>
      </c>
      <c r="D6467" s="186">
        <f>IFERROR(__xludf.DUMMYFUNCTION("""COMPUTED_VALUE"""),10.0)</f>
        <v>10</v>
      </c>
    </row>
    <row r="6468">
      <c r="A6468" s="178" t="str">
        <f>IFERROR(__xludf.DUMMYFUNCTION("""COMPUTED_VALUE"""),"ITBISA-IC-UA741CN-DIP8")</f>
        <v>ITBISA-IC-UA741CN-DIP8</v>
      </c>
      <c r="B6468" s="266">
        <f>IFERROR(__xludf.DUMMYFUNCTION("""COMPUTED_VALUE"""),45706.0)</f>
        <v>45706</v>
      </c>
      <c r="C6468" s="266" t="str">
        <f>IFERROR(__xludf.DUMMYFUNCTION("""COMPUTED_VALUE"""),"KERTASARI CIAMIS")</f>
        <v>KERTASARI CIAMIS</v>
      </c>
      <c r="D6468" s="186">
        <f>IFERROR(__xludf.DUMMYFUNCTION("""COMPUTED_VALUE"""),50.0)</f>
        <v>50</v>
      </c>
    </row>
    <row r="6469">
      <c r="A6469" s="178" t="str">
        <f>IFERROR(__xludf.DUMMYFUNCTION("""COMPUTED_VALUE"""),"ITBISA-IC-UA741CN-DIP8")</f>
        <v>ITBISA-IC-UA741CN-DIP8</v>
      </c>
      <c r="B6469" s="266">
        <f>IFERROR(__xludf.DUMMYFUNCTION("""COMPUTED_VALUE"""),45713.0)</f>
        <v>45713</v>
      </c>
      <c r="C6469" s="266" t="str">
        <f>IFERROR(__xludf.DUMMYFUNCTION("""COMPUTED_VALUE"""),"KERTASARI CIAMIS")</f>
        <v>KERTASARI CIAMIS</v>
      </c>
      <c r="D6469" s="186">
        <f>IFERROR(__xludf.DUMMYFUNCTION("""COMPUTED_VALUE"""),50.0)</f>
        <v>50</v>
      </c>
    </row>
    <row r="6470">
      <c r="A6470" s="178" t="str">
        <f>IFERROR(__xludf.DUMMYFUNCTION("""COMPUTED_VALUE"""),"ITBISA-IC-UA741CN-DIP8")</f>
        <v>ITBISA-IC-UA741CN-DIP8</v>
      </c>
      <c r="B6470" s="266">
        <f>IFERROR(__xludf.DUMMYFUNCTION("""COMPUTED_VALUE"""),45716.0)</f>
        <v>45716</v>
      </c>
      <c r="C6470" s="266" t="str">
        <f>IFERROR(__xludf.DUMMYFUNCTION("""COMPUTED_VALUE"""),"KERTASARI CIAMIS")</f>
        <v>KERTASARI CIAMIS</v>
      </c>
      <c r="D6470" s="186">
        <f>IFERROR(__xludf.DUMMYFUNCTION("""COMPUTED_VALUE"""),100.0)</f>
        <v>100</v>
      </c>
    </row>
    <row r="6471">
      <c r="A6471" s="178" t="str">
        <f>IFERROR(__xludf.DUMMYFUNCTION("""COMPUTED_VALUE"""),"ITBISA-IC-UA741CN-DIP8")</f>
        <v>ITBISA-IC-UA741CN-DIP8</v>
      </c>
      <c r="B6471" s="266">
        <f>IFERROR(__xludf.DUMMYFUNCTION("""COMPUTED_VALUE"""),45716.0)</f>
        <v>45716</v>
      </c>
      <c r="C6471" s="266" t="str">
        <f>IFERROR(__xludf.DUMMYFUNCTION("""COMPUTED_VALUE"""),"KERTASARI CIAMIS")</f>
        <v>KERTASARI CIAMIS</v>
      </c>
      <c r="D6471" s="186">
        <f>IFERROR(__xludf.DUMMYFUNCTION("""COMPUTED_VALUE"""),400.0)</f>
        <v>400</v>
      </c>
    </row>
    <row r="6472">
      <c r="A6472" s="178" t="str">
        <f>IFERROR(__xludf.DUMMYFUNCTION("""COMPUTED_VALUE"""),"ITBISA-IC-UA741CN-DIP8")</f>
        <v>ITBISA-IC-UA741CN-DIP8</v>
      </c>
      <c r="B6472" s="266">
        <f>IFERROR(__xludf.DUMMYFUNCTION("""COMPUTED_VALUE"""),45733.0)</f>
        <v>45733</v>
      </c>
      <c r="C6472" s="266" t="str">
        <f>IFERROR(__xludf.DUMMYFUNCTION("""COMPUTED_VALUE"""),"KERTASARI CIAMIS")</f>
        <v>KERTASARI CIAMIS</v>
      </c>
      <c r="D6472" s="186">
        <f>IFERROR(__xludf.DUMMYFUNCTION("""COMPUTED_VALUE"""),10.0)</f>
        <v>10</v>
      </c>
    </row>
    <row r="6473">
      <c r="A6473" s="178" t="str">
        <f>IFERROR(__xludf.DUMMYFUNCTION("""COMPUTED_VALUE"""),"ITBISA-IC-UA741CN-DIP8")</f>
        <v>ITBISA-IC-UA741CN-DIP8</v>
      </c>
      <c r="B6473" s="266">
        <f>IFERROR(__xludf.DUMMYFUNCTION("""COMPUTED_VALUE"""),45735.0)</f>
        <v>45735</v>
      </c>
      <c r="C6473" s="266" t="str">
        <f>IFERROR(__xludf.DUMMYFUNCTION("""COMPUTED_VALUE"""),"KERTASARI CIAMIS")</f>
        <v>KERTASARI CIAMIS</v>
      </c>
      <c r="D6473" s="186">
        <f>IFERROR(__xludf.DUMMYFUNCTION("""COMPUTED_VALUE"""),20.0)</f>
        <v>20</v>
      </c>
    </row>
    <row r="6474">
      <c r="A6474" s="178" t="str">
        <f>IFERROR(__xludf.DUMMYFUNCTION("""COMPUTED_VALUE"""),"ITBISA-IC-UA741CN-DIP8")</f>
        <v>ITBISA-IC-UA741CN-DIP8</v>
      </c>
      <c r="B6474" s="266">
        <f>IFERROR(__xludf.DUMMYFUNCTION("""COMPUTED_VALUE"""),45753.0)</f>
        <v>45753</v>
      </c>
      <c r="C6474" s="266" t="str">
        <f>IFERROR(__xludf.DUMMYFUNCTION("""COMPUTED_VALUE"""),"KERTASARI CIAMIS")</f>
        <v>KERTASARI CIAMIS</v>
      </c>
      <c r="D6474" s="186">
        <f>IFERROR(__xludf.DUMMYFUNCTION("""COMPUTED_VALUE"""),40.0)</f>
        <v>40</v>
      </c>
    </row>
    <row r="6475">
      <c r="A6475" s="178" t="str">
        <f>IFERROR(__xludf.DUMMYFUNCTION("""COMPUTED_VALUE"""),"ITBISA-IC-UA741CN-DIP8")</f>
        <v>ITBISA-IC-UA741CN-DIP8</v>
      </c>
      <c r="B6475" s="266">
        <f>IFERROR(__xludf.DUMMYFUNCTION("""COMPUTED_VALUE"""),45757.0)</f>
        <v>45757</v>
      </c>
      <c r="C6475" s="266" t="str">
        <f>IFERROR(__xludf.DUMMYFUNCTION("""COMPUTED_VALUE"""),"KERTASARI CIAMIS")</f>
        <v>KERTASARI CIAMIS</v>
      </c>
      <c r="D6475" s="186">
        <f>IFERROR(__xludf.DUMMYFUNCTION("""COMPUTED_VALUE"""),50.0)</f>
        <v>50</v>
      </c>
    </row>
    <row r="6476">
      <c r="A6476" s="178" t="str">
        <f>IFERROR(__xludf.DUMMYFUNCTION("""COMPUTED_VALUE"""),"ITBISA-IC-UA741CN-DIP8")</f>
        <v>ITBISA-IC-UA741CN-DIP8</v>
      </c>
      <c r="B6476" s="266">
        <f>IFERROR(__xludf.DUMMYFUNCTION("""COMPUTED_VALUE"""),45762.0)</f>
        <v>45762</v>
      </c>
      <c r="C6476" s="266" t="str">
        <f>IFERROR(__xludf.DUMMYFUNCTION("""COMPUTED_VALUE"""),"KERTASARI CIAMIS")</f>
        <v>KERTASARI CIAMIS</v>
      </c>
      <c r="D6476" s="186">
        <f>IFERROR(__xludf.DUMMYFUNCTION("""COMPUTED_VALUE"""),10.0)</f>
        <v>10</v>
      </c>
    </row>
    <row r="6477">
      <c r="A6477" s="178" t="str">
        <f>IFERROR(__xludf.DUMMYFUNCTION("""COMPUTED_VALUE"""),"ITBISA-IC-UA741CN-DIP8")</f>
        <v>ITBISA-IC-UA741CN-DIP8</v>
      </c>
      <c r="B6477" s="266">
        <f>IFERROR(__xludf.DUMMYFUNCTION("""COMPUTED_VALUE"""),45763.0)</f>
        <v>45763</v>
      </c>
      <c r="C6477" s="266" t="str">
        <f>IFERROR(__xludf.DUMMYFUNCTION("""COMPUTED_VALUE"""),"KERTASARI CIAMIS")</f>
        <v>KERTASARI CIAMIS</v>
      </c>
      <c r="D6477" s="186">
        <f>IFERROR(__xludf.DUMMYFUNCTION("""COMPUTED_VALUE"""),2.0)</f>
        <v>2</v>
      </c>
    </row>
    <row r="6478">
      <c r="A6478" s="178" t="str">
        <f>IFERROR(__xludf.DUMMYFUNCTION("""COMPUTED_VALUE"""),"ITBISA-IC-UA741CN-DIP8")</f>
        <v>ITBISA-IC-UA741CN-DIP8</v>
      </c>
      <c r="B6478" s="266">
        <f>IFERROR(__xludf.DUMMYFUNCTION("""COMPUTED_VALUE"""),45795.0)</f>
        <v>45795</v>
      </c>
      <c r="C6478" s="266" t="str">
        <f>IFERROR(__xludf.DUMMYFUNCTION("""COMPUTED_VALUE"""),"KERTASARI CIAMIS")</f>
        <v>KERTASARI CIAMIS</v>
      </c>
      <c r="D6478" s="186">
        <f>IFERROR(__xludf.DUMMYFUNCTION("""COMPUTED_VALUE"""),40.0)</f>
        <v>40</v>
      </c>
    </row>
    <row r="6479">
      <c r="A6479" s="178" t="str">
        <f>IFERROR(__xludf.DUMMYFUNCTION("""COMPUTED_VALUE"""),"ITBISA-IC-UA741CN-DIP8")</f>
        <v>ITBISA-IC-UA741CN-DIP8</v>
      </c>
      <c r="B6479" s="266">
        <f>IFERROR(__xludf.DUMMYFUNCTION("""COMPUTED_VALUE"""),45799.0)</f>
        <v>45799</v>
      </c>
      <c r="C6479" s="266" t="str">
        <f>IFERROR(__xludf.DUMMYFUNCTION("""COMPUTED_VALUE"""),"KERTASARI CIAMIS")</f>
        <v>KERTASARI CIAMIS</v>
      </c>
      <c r="D6479" s="186">
        <f>IFERROR(__xludf.DUMMYFUNCTION("""COMPUTED_VALUE"""),30.0)</f>
        <v>30</v>
      </c>
    </row>
    <row r="6480">
      <c r="A6480" s="178" t="str">
        <f>IFERROR(__xludf.DUMMYFUNCTION("""COMPUTED_VALUE"""),"ITBISA-IC-UA741CN-DIP8")</f>
        <v>ITBISA-IC-UA741CN-DIP8</v>
      </c>
      <c r="B6480" s="266">
        <f>IFERROR(__xludf.DUMMYFUNCTION("""COMPUTED_VALUE"""),45799.0)</f>
        <v>45799</v>
      </c>
      <c r="C6480" s="266" t="str">
        <f>IFERROR(__xludf.DUMMYFUNCTION("""COMPUTED_VALUE"""),"KERTASARI CIAMIS")</f>
        <v>KERTASARI CIAMIS</v>
      </c>
      <c r="D6480" s="186">
        <f>IFERROR(__xludf.DUMMYFUNCTION("""COMPUTED_VALUE"""),70.0)</f>
        <v>70</v>
      </c>
    </row>
    <row r="6481">
      <c r="A6481" s="178" t="str">
        <f>IFERROR(__xludf.DUMMYFUNCTION("""COMPUTED_VALUE"""),"ITBISA-IC-UA741CN-DIP8")</f>
        <v>ITBISA-IC-UA741CN-DIP8</v>
      </c>
      <c r="B6481" s="266">
        <f>IFERROR(__xludf.DUMMYFUNCTION("""COMPUTED_VALUE"""),45802.0)</f>
        <v>45802</v>
      </c>
      <c r="C6481" s="266" t="str">
        <f>IFERROR(__xludf.DUMMYFUNCTION("""COMPUTED_VALUE"""),"KYAI KONTONG")</f>
        <v>KYAI KONTONG</v>
      </c>
      <c r="D6481" s="186">
        <f>IFERROR(__xludf.DUMMYFUNCTION("""COMPUTED_VALUE"""),5.0)</f>
        <v>5</v>
      </c>
    </row>
    <row r="6482">
      <c r="A6482" s="178" t="str">
        <f>IFERROR(__xludf.DUMMYFUNCTION("""COMPUTED_VALUE"""),"ITBISA-IC-UA741CN-DIP8")</f>
        <v>ITBISA-IC-UA741CN-DIP8</v>
      </c>
      <c r="B6482" s="266">
        <f>IFERROR(__xludf.DUMMYFUNCTION("""COMPUTED_VALUE"""),45808.0)</f>
        <v>45808</v>
      </c>
      <c r="C6482" s="266" t="str">
        <f>IFERROR(__xludf.DUMMYFUNCTION("""COMPUTED_VALUE"""),"KERTASARI CIAMIS")</f>
        <v>KERTASARI CIAMIS</v>
      </c>
      <c r="D6482" s="186">
        <f>IFERROR(__xludf.DUMMYFUNCTION("""COMPUTED_VALUE"""),50.0)</f>
        <v>50</v>
      </c>
    </row>
    <row r="6483">
      <c r="A6483" s="178" t="str">
        <f>IFERROR(__xludf.DUMMYFUNCTION("""COMPUTED_VALUE"""),"ITBISA-IC-UA741CN-DIP8")</f>
        <v>ITBISA-IC-UA741CN-DIP8</v>
      </c>
      <c r="B6483" s="266">
        <f>IFERROR(__xludf.DUMMYFUNCTION("""COMPUTED_VALUE"""),45819.0)</f>
        <v>45819</v>
      </c>
      <c r="C6483" s="266" t="str">
        <f>IFERROR(__xludf.DUMMYFUNCTION("""COMPUTED_VALUE"""),"KYAI KONTONG")</f>
        <v>KYAI KONTONG</v>
      </c>
      <c r="D6483" s="186">
        <f>IFERROR(__xludf.DUMMYFUNCTION("""COMPUTED_VALUE"""),10.0)</f>
        <v>10</v>
      </c>
    </row>
    <row r="6484">
      <c r="A6484" s="178" t="str">
        <f>IFERROR(__xludf.DUMMYFUNCTION("""COMPUTED_VALUE"""),"ITBISA-IC-UA741CN-DIP8")</f>
        <v>ITBISA-IC-UA741CN-DIP8</v>
      </c>
      <c r="B6484" s="266">
        <f>IFERROR(__xludf.DUMMYFUNCTION("""COMPUTED_VALUE"""),45821.0)</f>
        <v>45821</v>
      </c>
      <c r="C6484" s="266" t="str">
        <f>IFERROR(__xludf.DUMMYFUNCTION("""COMPUTED_VALUE"""),"KERTASARI CIAMIS")</f>
        <v>KERTASARI CIAMIS</v>
      </c>
      <c r="D6484" s="186">
        <f>IFERROR(__xludf.DUMMYFUNCTION("""COMPUTED_VALUE"""),50.0)</f>
        <v>50</v>
      </c>
    </row>
    <row r="6485">
      <c r="A6485" s="178" t="str">
        <f>IFERROR(__xludf.DUMMYFUNCTION("""COMPUTED_VALUE"""),"ITBISA-IC-UA741CN-DIP8")</f>
        <v>ITBISA-IC-UA741CN-DIP8</v>
      </c>
      <c r="B6485" s="266">
        <f>IFERROR(__xludf.DUMMYFUNCTION("""COMPUTED_VALUE"""),45831.0)</f>
        <v>45831</v>
      </c>
      <c r="C6485" s="266" t="str">
        <f>IFERROR(__xludf.DUMMYFUNCTION("""COMPUTED_VALUE"""),"KERTASARI CIAMIS")</f>
        <v>KERTASARI CIAMIS</v>
      </c>
      <c r="D6485" s="186">
        <f>IFERROR(__xludf.DUMMYFUNCTION("""COMPUTED_VALUE"""),100.0)</f>
        <v>100</v>
      </c>
    </row>
    <row r="6486">
      <c r="A6486" s="178" t="str">
        <f>IFERROR(__xludf.DUMMYFUNCTION("""COMPUTED_VALUE"""),"ITBISA-IC-UA741CN-DIP8")</f>
        <v>ITBISA-IC-UA741CN-DIP8</v>
      </c>
      <c r="B6486" s="266">
        <f>IFERROR(__xludf.DUMMYFUNCTION("""COMPUTED_VALUE"""),45831.0)</f>
        <v>45831</v>
      </c>
      <c r="C6486" s="266" t="str">
        <f>IFERROR(__xludf.DUMMYFUNCTION("""COMPUTED_VALUE"""),"KERTASARI CIAMIS")</f>
        <v>KERTASARI CIAMIS</v>
      </c>
      <c r="D6486" s="186">
        <f>IFERROR(__xludf.DUMMYFUNCTION("""COMPUTED_VALUE"""),1000.0)</f>
        <v>1000</v>
      </c>
    </row>
    <row r="6487">
      <c r="A6487" s="178" t="str">
        <f>IFERROR(__xludf.DUMMYFUNCTION("""COMPUTED_VALUE"""),"ITBISA-IC-UA741CN-DIP8")</f>
        <v>ITBISA-IC-UA741CN-DIP8</v>
      </c>
      <c r="B6487" s="266">
        <f>IFERROR(__xludf.DUMMYFUNCTION("""COMPUTED_VALUE"""),45832.0)</f>
        <v>45832</v>
      </c>
      <c r="C6487" s="266" t="str">
        <f>IFERROR(__xludf.DUMMYFUNCTION("""COMPUTED_VALUE"""),"KERTASARI CIAMIS")</f>
        <v>KERTASARI CIAMIS</v>
      </c>
      <c r="D6487" s="186">
        <f>IFERROR(__xludf.DUMMYFUNCTION("""COMPUTED_VALUE"""),25.0)</f>
        <v>25</v>
      </c>
    </row>
    <row r="6488">
      <c r="A6488" s="178" t="str">
        <f>IFERROR(__xludf.DUMMYFUNCTION("""COMPUTED_VALUE"""),"ITBISA-IC-UA741CN-DIP8")</f>
        <v>ITBISA-IC-UA741CN-DIP8</v>
      </c>
      <c r="B6488" s="266">
        <f>IFERROR(__xludf.DUMMYFUNCTION("""COMPUTED_VALUE"""),45833.0)</f>
        <v>45833</v>
      </c>
      <c r="C6488" s="266" t="str">
        <f>IFERROR(__xludf.DUMMYFUNCTION("""COMPUTED_VALUE"""),"KERTASARI CIAMIS")</f>
        <v>KERTASARI CIAMIS</v>
      </c>
      <c r="D6488" s="186">
        <f>IFERROR(__xludf.DUMMYFUNCTION("""COMPUTED_VALUE"""),100.0)</f>
        <v>100</v>
      </c>
    </row>
    <row r="6489">
      <c r="A6489" s="178" t="str">
        <f>IFERROR(__xludf.DUMMYFUNCTION("""COMPUTED_VALUE"""),"ITBISA-IC-UA741CN-DIP8")</f>
        <v>ITBISA-IC-UA741CN-DIP8</v>
      </c>
      <c r="B6489" s="266">
        <f>IFERROR(__xludf.DUMMYFUNCTION("""COMPUTED_VALUE"""),45839.0)</f>
        <v>45839</v>
      </c>
      <c r="C6489" s="266" t="str">
        <f>IFERROR(__xludf.DUMMYFUNCTION("""COMPUTED_VALUE"""),"KERTASARI CIAMIS")</f>
        <v>KERTASARI CIAMIS</v>
      </c>
      <c r="D6489" s="186">
        <f>IFERROR(__xludf.DUMMYFUNCTION("""COMPUTED_VALUE"""),25.0)</f>
        <v>25</v>
      </c>
    </row>
    <row r="6490">
      <c r="A6490" s="178" t="str">
        <f>IFERROR(__xludf.DUMMYFUNCTION("""COMPUTED_VALUE"""),"ITBISA-IC-UA741CN-DIP8")</f>
        <v>ITBISA-IC-UA741CN-DIP8</v>
      </c>
      <c r="B6490" s="266">
        <f>IFERROR(__xludf.DUMMYFUNCTION("""COMPUTED_VALUE"""),45841.0)</f>
        <v>45841</v>
      </c>
      <c r="C6490" s="266" t="str">
        <f>IFERROR(__xludf.DUMMYFUNCTION("""COMPUTED_VALUE"""),"KYAI KONTONG")</f>
        <v>KYAI KONTONG</v>
      </c>
      <c r="D6490" s="186">
        <f>IFERROR(__xludf.DUMMYFUNCTION("""COMPUTED_VALUE"""),5.0)</f>
        <v>5</v>
      </c>
    </row>
    <row r="6491">
      <c r="A6491" s="178" t="str">
        <f>IFERROR(__xludf.DUMMYFUNCTION("""COMPUTED_VALUE"""),"ITBISA-IC-UA741CN-DIP8")</f>
        <v>ITBISA-IC-UA741CN-DIP8</v>
      </c>
      <c r="B6491" s="266">
        <f>IFERROR(__xludf.DUMMYFUNCTION("""COMPUTED_VALUE"""),45849.0)</f>
        <v>45849</v>
      </c>
      <c r="C6491" s="266" t="str">
        <f>IFERROR(__xludf.DUMMYFUNCTION("""COMPUTED_VALUE"""),"KERTASARI CIAMIS")</f>
        <v>KERTASARI CIAMIS</v>
      </c>
      <c r="D6491" s="186">
        <f>IFERROR(__xludf.DUMMYFUNCTION("""COMPUTED_VALUE"""),25.0)</f>
        <v>25</v>
      </c>
    </row>
    <row r="6492">
      <c r="A6492" s="178" t="str">
        <f>IFERROR(__xludf.DUMMYFUNCTION("""COMPUTED_VALUE"""),"ITBISA-IC-UA741CN-DIP8")</f>
        <v>ITBISA-IC-UA741CN-DIP8</v>
      </c>
      <c r="B6492" s="266">
        <f>IFERROR(__xludf.DUMMYFUNCTION("""COMPUTED_VALUE"""),45855.0)</f>
        <v>45855</v>
      </c>
      <c r="C6492" s="266" t="str">
        <f>IFERROR(__xludf.DUMMYFUNCTION("""COMPUTED_VALUE"""),"KYAI KONTONG")</f>
        <v>KYAI KONTONG</v>
      </c>
      <c r="D6492" s="186">
        <f>IFERROR(__xludf.DUMMYFUNCTION("""COMPUTED_VALUE"""),5.0)</f>
        <v>5</v>
      </c>
    </row>
    <row r="6493">
      <c r="A6493" s="178" t="str">
        <f>IFERROR(__xludf.DUMMYFUNCTION("""COMPUTED_VALUE"""),"ITBISA-IC-UA741CN-DIP8")</f>
        <v>ITBISA-IC-UA741CN-DIP8</v>
      </c>
      <c r="B6493" s="266">
        <f>IFERROR(__xludf.DUMMYFUNCTION("""COMPUTED_VALUE"""),45861.0)</f>
        <v>45861</v>
      </c>
      <c r="C6493" s="266" t="str">
        <f>IFERROR(__xludf.DUMMYFUNCTION("""COMPUTED_VALUE"""),"KYAI KONTONG")</f>
        <v>KYAI KONTONG</v>
      </c>
      <c r="D6493" s="186">
        <f>IFERROR(__xludf.DUMMYFUNCTION("""COMPUTED_VALUE"""),25.0)</f>
        <v>25</v>
      </c>
    </row>
    <row r="6494">
      <c r="A6494" s="178" t="str">
        <f>IFERROR(__xludf.DUMMYFUNCTION("""COMPUTED_VALUE"""),"ITBISA-IC-UA741CN-DIP8")</f>
        <v>ITBISA-IC-UA741CN-DIP8</v>
      </c>
      <c r="B6494" s="266">
        <f>IFERROR(__xludf.DUMMYFUNCTION("""COMPUTED_VALUE"""),45876.0)</f>
        <v>45876</v>
      </c>
      <c r="C6494" s="266" t="str">
        <f>IFERROR(__xludf.DUMMYFUNCTION("""COMPUTED_VALUE"""),"KERTASARI CIAMIS")</f>
        <v>KERTASARI CIAMIS</v>
      </c>
      <c r="D6494" s="186">
        <f>IFERROR(__xludf.DUMMYFUNCTION("""COMPUTED_VALUE"""),20.0)</f>
        <v>20</v>
      </c>
    </row>
    <row r="6495">
      <c r="A6495" s="178" t="str">
        <f>IFERROR(__xludf.DUMMYFUNCTION("""COMPUTED_VALUE"""),"ITBISA-IC-UA741CN-DIP8")</f>
        <v>ITBISA-IC-UA741CN-DIP8</v>
      </c>
      <c r="B6495" s="266">
        <f>IFERROR(__xludf.DUMMYFUNCTION("""COMPUTED_VALUE"""),45882.0)</f>
        <v>45882</v>
      </c>
      <c r="C6495" s="266" t="str">
        <f>IFERROR(__xludf.DUMMYFUNCTION("""COMPUTED_VALUE"""),"KYAI KONTONG")</f>
        <v>KYAI KONTONG</v>
      </c>
      <c r="D6495" s="186">
        <f>IFERROR(__xludf.DUMMYFUNCTION("""COMPUTED_VALUE"""),5.0)</f>
        <v>5</v>
      </c>
    </row>
    <row r="6496">
      <c r="A6496" s="178" t="str">
        <f>IFERROR(__xludf.DUMMYFUNCTION("""COMPUTED_VALUE"""),"ITBISA-IC-UA741CN-DIP8")</f>
        <v>ITBISA-IC-UA741CN-DIP8</v>
      </c>
      <c r="B6496" s="266">
        <f>IFERROR(__xludf.DUMMYFUNCTION("""COMPUTED_VALUE"""),45885.0)</f>
        <v>45885</v>
      </c>
      <c r="C6496" s="266" t="str">
        <f>IFERROR(__xludf.DUMMYFUNCTION("""COMPUTED_VALUE"""),"KYAI KONTONG")</f>
        <v>KYAI KONTONG</v>
      </c>
      <c r="D6496" s="186">
        <f>IFERROR(__xludf.DUMMYFUNCTION("""COMPUTED_VALUE"""),25.0)</f>
        <v>25</v>
      </c>
    </row>
    <row r="6497">
      <c r="A6497" s="178" t="str">
        <f>IFERROR(__xludf.DUMMYFUNCTION("""COMPUTED_VALUE"""),"ITBISA-IC-UA741CN-DIP8")</f>
        <v>ITBISA-IC-UA741CN-DIP8</v>
      </c>
      <c r="B6497" s="266">
        <f>IFERROR(__xludf.DUMMYFUNCTION("""COMPUTED_VALUE"""),45894.0)</f>
        <v>45894</v>
      </c>
      <c r="C6497" s="266" t="str">
        <f>IFERROR(__xludf.DUMMYFUNCTION("""COMPUTED_VALUE"""),"KERTASARI CIAMIS")</f>
        <v>KERTASARI CIAMIS</v>
      </c>
      <c r="D6497" s="186">
        <f>IFERROR(__xludf.DUMMYFUNCTION("""COMPUTED_VALUE"""),9.0)</f>
        <v>9</v>
      </c>
    </row>
    <row r="6498">
      <c r="A6498" s="178" t="str">
        <f>IFERROR(__xludf.DUMMYFUNCTION("""COMPUTED_VALUE"""),"ITBISA-IC-UA741CN-DIP8")</f>
        <v>ITBISA-IC-UA741CN-DIP8</v>
      </c>
      <c r="B6498" s="266">
        <f>IFERROR(__xludf.DUMMYFUNCTION("""COMPUTED_VALUE"""),45894.0)</f>
        <v>45894</v>
      </c>
      <c r="C6498" s="266" t="str">
        <f>IFERROR(__xludf.DUMMYFUNCTION("""COMPUTED_VALUE"""),"KERTASARI CIAMIS")</f>
        <v>KERTASARI CIAMIS</v>
      </c>
      <c r="D6498" s="186">
        <f>IFERROR(__xludf.DUMMYFUNCTION("""COMPUTED_VALUE"""),17.0)</f>
        <v>17</v>
      </c>
    </row>
    <row r="6499">
      <c r="A6499" s="178" t="str">
        <f>IFERROR(__xludf.DUMMYFUNCTION("""COMPUTED_VALUE"""),"ITBISA-IC-UA741CN-DIP8")</f>
        <v>ITBISA-IC-UA741CN-DIP8</v>
      </c>
      <c r="B6499" s="266">
        <f>IFERROR(__xludf.DUMMYFUNCTION("""COMPUTED_VALUE"""),45897.0)</f>
        <v>45897</v>
      </c>
      <c r="C6499" s="266" t="str">
        <f>IFERROR(__xludf.DUMMYFUNCTION("""COMPUTED_VALUE"""),"KYAI KONTONG")</f>
        <v>KYAI KONTONG</v>
      </c>
      <c r="D6499" s="186">
        <f>IFERROR(__xludf.DUMMYFUNCTION("""COMPUTED_VALUE"""),5.0)</f>
        <v>5</v>
      </c>
    </row>
    <row r="6500">
      <c r="A6500" s="178" t="str">
        <f>IFERROR(__xludf.DUMMYFUNCTION("""COMPUTED_VALUE"""),"ITBISA-IC-UA741CN-DIP8")</f>
        <v>ITBISA-IC-UA741CN-DIP8</v>
      </c>
      <c r="B6500" s="266">
        <f>IFERROR(__xludf.DUMMYFUNCTION("""COMPUTED_VALUE"""),45897.0)</f>
        <v>45897</v>
      </c>
      <c r="C6500" s="266" t="str">
        <f>IFERROR(__xludf.DUMMYFUNCTION("""COMPUTED_VALUE"""),"KYAI KONTONG")</f>
        <v>KYAI KONTONG</v>
      </c>
      <c r="D6500" s="186">
        <f>IFERROR(__xludf.DUMMYFUNCTION("""COMPUTED_VALUE"""),25.0)</f>
        <v>25</v>
      </c>
    </row>
    <row r="6501">
      <c r="A6501" s="178" t="str">
        <f>IFERROR(__xludf.DUMMYFUNCTION("""COMPUTED_VALUE"""),"ITBISA-IC-UA741CN-DIP8")</f>
        <v>ITBISA-IC-UA741CN-DIP8</v>
      </c>
      <c r="B6501" s="266">
        <f>IFERROR(__xludf.DUMMYFUNCTION("""COMPUTED_VALUE"""),45902.0)</f>
        <v>45902</v>
      </c>
      <c r="C6501" s="266" t="str">
        <f>IFERROR(__xludf.DUMMYFUNCTION("""COMPUTED_VALUE"""),"KERTASARI CIAMIS")</f>
        <v>KERTASARI CIAMIS</v>
      </c>
      <c r="D6501" s="186">
        <f>IFERROR(__xludf.DUMMYFUNCTION("""COMPUTED_VALUE"""),12.0)</f>
        <v>12</v>
      </c>
    </row>
    <row r="6502">
      <c r="A6502" s="178" t="str">
        <f>IFERROR(__xludf.DUMMYFUNCTION("""COMPUTED_VALUE"""),"ITBISA-IC-UA741CN-DIP8")</f>
        <v>ITBISA-IC-UA741CN-DIP8</v>
      </c>
      <c r="B6502" s="266">
        <f>IFERROR(__xludf.DUMMYFUNCTION("""COMPUTED_VALUE"""),45902.0)</f>
        <v>45902</v>
      </c>
      <c r="C6502" s="266" t="str">
        <f>IFERROR(__xludf.DUMMYFUNCTION("""COMPUTED_VALUE"""),"KERTASARI CIAMIS")</f>
        <v>KERTASARI CIAMIS</v>
      </c>
      <c r="D6502" s="186">
        <f>IFERROR(__xludf.DUMMYFUNCTION("""COMPUTED_VALUE"""),25.0)</f>
        <v>25</v>
      </c>
    </row>
    <row r="6503">
      <c r="A6503" s="178" t="str">
        <f>IFERROR(__xludf.DUMMYFUNCTION("""COMPUTED_VALUE"""),"ITBISA-IC-UA741CN-DIP8")</f>
        <v>ITBISA-IC-UA741CN-DIP8</v>
      </c>
      <c r="B6503" s="266">
        <f>IFERROR(__xludf.DUMMYFUNCTION("""COMPUTED_VALUE"""),45907.0)</f>
        <v>45907</v>
      </c>
      <c r="C6503" s="266" t="str">
        <f>IFERROR(__xludf.DUMMYFUNCTION("""COMPUTED_VALUE"""),"KERTASARI CIAMIS")</f>
        <v>KERTASARI CIAMIS</v>
      </c>
      <c r="D6503" s="186">
        <f>IFERROR(__xludf.DUMMYFUNCTION("""COMPUTED_VALUE"""),20.0)</f>
        <v>20</v>
      </c>
    </row>
    <row r="6504">
      <c r="A6504" s="178" t="str">
        <f>IFERROR(__xludf.DUMMYFUNCTION("""COMPUTED_VALUE"""),"ITBISA-IC-UA741CN-DIP8")</f>
        <v>ITBISA-IC-UA741CN-DIP8</v>
      </c>
      <c r="B6504" s="266">
        <f>IFERROR(__xludf.DUMMYFUNCTION("""COMPUTED_VALUE"""),45911.0)</f>
        <v>45911</v>
      </c>
      <c r="C6504" s="266" t="str">
        <f>IFERROR(__xludf.DUMMYFUNCTION("""COMPUTED_VALUE"""),"KYAI KONTONG")</f>
        <v>KYAI KONTONG</v>
      </c>
      <c r="D6504" s="186">
        <f>IFERROR(__xludf.DUMMYFUNCTION("""COMPUTED_VALUE"""),25.0)</f>
        <v>25</v>
      </c>
    </row>
    <row r="6505">
      <c r="A6505" s="178" t="str">
        <f>IFERROR(__xludf.DUMMYFUNCTION("""COMPUTED_VALUE"""),"ITBISA-IC-UA741CN-DIP8")</f>
        <v>ITBISA-IC-UA741CN-DIP8</v>
      </c>
      <c r="B6505" s="266">
        <f>IFERROR(__xludf.DUMMYFUNCTION("""COMPUTED_VALUE"""),45915.0)</f>
        <v>45915</v>
      </c>
      <c r="C6505" s="266" t="str">
        <f>IFERROR(__xludf.DUMMYFUNCTION("""COMPUTED_VALUE"""),"KERTASARI CIAMIS")</f>
        <v>KERTASARI CIAMIS</v>
      </c>
      <c r="D6505" s="186">
        <f>IFERROR(__xludf.DUMMYFUNCTION("""COMPUTED_VALUE"""),20.0)</f>
        <v>20</v>
      </c>
    </row>
    <row r="6506">
      <c r="A6506" s="178" t="str">
        <f>IFERROR(__xludf.DUMMYFUNCTION("""COMPUTED_VALUE"""),"ITBISA-IC-UA741CN-DIP8")</f>
        <v>ITBISA-IC-UA741CN-DIP8</v>
      </c>
      <c r="B6506" s="266">
        <f>IFERROR(__xludf.DUMMYFUNCTION("""COMPUTED_VALUE"""),45915.0)</f>
        <v>45915</v>
      </c>
      <c r="C6506" s="266" t="str">
        <f>IFERROR(__xludf.DUMMYFUNCTION("""COMPUTED_VALUE"""),"KYAI KONTONG")</f>
        <v>KYAI KONTONG</v>
      </c>
      <c r="D6506" s="186">
        <f>IFERROR(__xludf.DUMMYFUNCTION("""COMPUTED_VALUE"""),8.0)</f>
        <v>8</v>
      </c>
    </row>
    <row r="6507">
      <c r="A6507" s="178" t="str">
        <f>IFERROR(__xludf.DUMMYFUNCTION("""COMPUTED_VALUE"""),"ITBISA-IC-UA741CN-DIP8")</f>
        <v>ITBISA-IC-UA741CN-DIP8</v>
      </c>
      <c r="B6507" s="266">
        <f>IFERROR(__xludf.DUMMYFUNCTION("""COMPUTED_VALUE"""),45919.0)</f>
        <v>45919</v>
      </c>
      <c r="C6507" s="266" t="str">
        <f>IFERROR(__xludf.DUMMYFUNCTION("""COMPUTED_VALUE"""),"KYAI KONTONG")</f>
        <v>KYAI KONTONG</v>
      </c>
      <c r="D6507" s="186">
        <f>IFERROR(__xludf.DUMMYFUNCTION("""COMPUTED_VALUE"""),10.0)</f>
        <v>10</v>
      </c>
    </row>
    <row r="6508">
      <c r="A6508" s="178" t="str">
        <f>IFERROR(__xludf.DUMMYFUNCTION("""COMPUTED_VALUE"""),"ITBISA-IC-UA741CN-DIP8")</f>
        <v>ITBISA-IC-UA741CN-DIP8</v>
      </c>
      <c r="B6508" s="266">
        <f>IFERROR(__xludf.DUMMYFUNCTION("""COMPUTED_VALUE"""),45928.0)</f>
        <v>45928</v>
      </c>
      <c r="C6508" s="266" t="str">
        <f>IFERROR(__xludf.DUMMYFUNCTION("""COMPUTED_VALUE"""),"KYAI KONTONG")</f>
        <v>KYAI KONTONG</v>
      </c>
      <c r="D6508" s="186">
        <f>IFERROR(__xludf.DUMMYFUNCTION("""COMPUTED_VALUE"""),50.0)</f>
        <v>50</v>
      </c>
    </row>
    <row r="6509">
      <c r="A6509" s="178" t="str">
        <f>IFERROR(__xludf.DUMMYFUNCTION("""COMPUTED_VALUE"""),"ITBISA-IC-UA741CN-DIP8")</f>
        <v>ITBISA-IC-UA741CN-DIP8</v>
      </c>
      <c r="B6509" s="266">
        <f>IFERROR(__xludf.DUMMYFUNCTION("""COMPUTED_VALUE"""),45929.0)</f>
        <v>45929</v>
      </c>
      <c r="C6509" s="266" t="str">
        <f>IFERROR(__xludf.DUMMYFUNCTION("""COMPUTED_VALUE"""),"KERTASARI CIAMIS")</f>
        <v>KERTASARI CIAMIS</v>
      </c>
      <c r="D6509" s="186">
        <f>IFERROR(__xludf.DUMMYFUNCTION("""COMPUTED_VALUE"""),25.0)</f>
        <v>25</v>
      </c>
    </row>
    <row r="6510">
      <c r="A6510" s="178" t="str">
        <f>IFERROR(__xludf.DUMMYFUNCTION("""COMPUTED_VALUE"""),"ITBISA-IC-UA741CN-DIP8")</f>
        <v>ITBISA-IC-UA741CN-DIP8</v>
      </c>
      <c r="B6510" s="266">
        <f>IFERROR(__xludf.DUMMYFUNCTION("""COMPUTED_VALUE"""),45929.0)</f>
        <v>45929</v>
      </c>
      <c r="C6510" s="266" t="str">
        <f>IFERROR(__xludf.DUMMYFUNCTION("""COMPUTED_VALUE"""),"KERTASARI CIAMIS")</f>
        <v>KERTASARI CIAMIS</v>
      </c>
      <c r="D6510" s="186">
        <f>IFERROR(__xludf.DUMMYFUNCTION("""COMPUTED_VALUE"""),25.0)</f>
        <v>25</v>
      </c>
    </row>
    <row r="6511">
      <c r="A6511" s="178" t="str">
        <f>IFERROR(__xludf.DUMMYFUNCTION("""COMPUTED_VALUE"""),"ITBISA-IC-UA741CN-DIP8")</f>
        <v>ITBISA-IC-UA741CN-DIP8</v>
      </c>
      <c r="B6511" s="266">
        <f>IFERROR(__xludf.DUMMYFUNCTION("""COMPUTED_VALUE"""),45931.0)</f>
        <v>45931</v>
      </c>
      <c r="C6511" s="266" t="str">
        <f>IFERROR(__xludf.DUMMYFUNCTION("""COMPUTED_VALUE"""),"KYAI KONTONG")</f>
        <v>KYAI KONTONG</v>
      </c>
      <c r="D6511" s="186">
        <f>IFERROR(__xludf.DUMMYFUNCTION("""COMPUTED_VALUE"""),5.0)</f>
        <v>5</v>
      </c>
    </row>
    <row r="6512">
      <c r="A6512" s="178" t="str">
        <f>IFERROR(__xludf.DUMMYFUNCTION("""COMPUTED_VALUE"""),"ITBISA-IC-UA741CN-DIP8")</f>
        <v>ITBISA-IC-UA741CN-DIP8</v>
      </c>
      <c r="B6512" s="266">
        <f>IFERROR(__xludf.DUMMYFUNCTION("""COMPUTED_VALUE"""),45934.0)</f>
        <v>45934</v>
      </c>
      <c r="C6512" s="266" t="str">
        <f>IFERROR(__xludf.DUMMYFUNCTION("""COMPUTED_VALUE"""),"KYAI KONTONG")</f>
        <v>KYAI KONTONG</v>
      </c>
      <c r="D6512" s="186">
        <f>IFERROR(__xludf.DUMMYFUNCTION("""COMPUTED_VALUE"""),10.0)</f>
        <v>10</v>
      </c>
    </row>
    <row r="6513">
      <c r="A6513" s="178" t="str">
        <f>IFERROR(__xludf.DUMMYFUNCTION("""COMPUTED_VALUE"""),"ITBISA-IC-UA741CN-DIP8")</f>
        <v>ITBISA-IC-UA741CN-DIP8</v>
      </c>
      <c r="B6513" s="266">
        <f>IFERROR(__xludf.DUMMYFUNCTION("""COMPUTED_VALUE"""),45934.0)</f>
        <v>45934</v>
      </c>
      <c r="C6513" s="266" t="str">
        <f>IFERROR(__xludf.DUMMYFUNCTION("""COMPUTED_VALUE"""),"KYAI KONTONG")</f>
        <v>KYAI KONTONG</v>
      </c>
      <c r="D6513" s="186">
        <f>IFERROR(__xludf.DUMMYFUNCTION("""COMPUTED_VALUE"""),10.0)</f>
        <v>10</v>
      </c>
    </row>
    <row r="6514">
      <c r="A6514" s="178" t="str">
        <f>IFERROR(__xludf.DUMMYFUNCTION("""COMPUTED_VALUE"""),"ITBISA-IC-UA741CN-DIP8")</f>
        <v>ITBISA-IC-UA741CN-DIP8</v>
      </c>
      <c r="B6514" s="266">
        <f>IFERROR(__xludf.DUMMYFUNCTION("""COMPUTED_VALUE"""),45935.0)</f>
        <v>45935</v>
      </c>
      <c r="C6514" s="266" t="str">
        <f>IFERROR(__xludf.DUMMYFUNCTION("""COMPUTED_VALUE"""),"KERTASARI CIAMIS")</f>
        <v>KERTASARI CIAMIS</v>
      </c>
      <c r="D6514" s="186">
        <f>IFERROR(__xludf.DUMMYFUNCTION("""COMPUTED_VALUE"""),12.0)</f>
        <v>12</v>
      </c>
    </row>
    <row r="6515">
      <c r="A6515" s="178" t="str">
        <f>IFERROR(__xludf.DUMMYFUNCTION("""COMPUTED_VALUE"""),"ITBISA-IC-UA741CN-DIP8")</f>
        <v>ITBISA-IC-UA741CN-DIP8</v>
      </c>
      <c r="B6515" s="266">
        <f>IFERROR(__xludf.DUMMYFUNCTION("""COMPUTED_VALUE"""),45935.0)</f>
        <v>45935</v>
      </c>
      <c r="C6515" s="266" t="str">
        <f>IFERROR(__xludf.DUMMYFUNCTION("""COMPUTED_VALUE"""),"KYAI KONTONG")</f>
        <v>KYAI KONTONG</v>
      </c>
      <c r="D6515" s="186">
        <f>IFERROR(__xludf.DUMMYFUNCTION("""COMPUTED_VALUE"""),5.0)</f>
        <v>5</v>
      </c>
    </row>
    <row r="6516">
      <c r="A6516" s="178" t="str">
        <f>IFERROR(__xludf.DUMMYFUNCTION("""COMPUTED_VALUE"""),"ITBISA-IC-UA741CN-DIP8")</f>
        <v>ITBISA-IC-UA741CN-DIP8</v>
      </c>
      <c r="B6516" s="266">
        <f>IFERROR(__xludf.DUMMYFUNCTION("""COMPUTED_VALUE"""),45946.0)</f>
        <v>45946</v>
      </c>
      <c r="C6516" s="266" t="str">
        <f>IFERROR(__xludf.DUMMYFUNCTION("""COMPUTED_VALUE"""),"KYAI KONTONG")</f>
        <v>KYAI KONTONG</v>
      </c>
      <c r="D6516" s="186">
        <f>IFERROR(__xludf.DUMMYFUNCTION("""COMPUTED_VALUE"""),9.0)</f>
        <v>9</v>
      </c>
    </row>
    <row r="6517">
      <c r="A6517" s="178" t="str">
        <f>IFERROR(__xludf.DUMMYFUNCTION("""COMPUTED_VALUE"""),"ITBISA-IC-UA741CN-DIP8")</f>
        <v>ITBISA-IC-UA741CN-DIP8</v>
      </c>
      <c r="B6517" s="266">
        <f>IFERROR(__xludf.DUMMYFUNCTION("""COMPUTED_VALUE"""),45947.0)</f>
        <v>45947</v>
      </c>
      <c r="C6517" s="266" t="str">
        <f>IFERROR(__xludf.DUMMYFUNCTION("""COMPUTED_VALUE"""),"KYAI KONTONG")</f>
        <v>KYAI KONTONG</v>
      </c>
      <c r="D6517" s="186">
        <f>IFERROR(__xludf.DUMMYFUNCTION("""COMPUTED_VALUE"""),5.0)</f>
        <v>5</v>
      </c>
    </row>
    <row r="6518">
      <c r="A6518" s="178" t="str">
        <f>IFERROR(__xludf.DUMMYFUNCTION("""COMPUTED_VALUE"""),"ITBISA-IC-UA741CN-DIP8")</f>
        <v>ITBISA-IC-UA741CN-DIP8</v>
      </c>
      <c r="B6518" s="266">
        <f>IFERROR(__xludf.DUMMYFUNCTION("""COMPUTED_VALUE"""),45954.0)</f>
        <v>45954</v>
      </c>
      <c r="C6518" s="266" t="str">
        <f>IFERROR(__xludf.DUMMYFUNCTION("""COMPUTED_VALUE"""),"KERTASARI CIAMIS")</f>
        <v>KERTASARI CIAMIS</v>
      </c>
      <c r="D6518" s="186">
        <f>IFERROR(__xludf.DUMMYFUNCTION("""COMPUTED_VALUE"""),50.0)</f>
        <v>50</v>
      </c>
    </row>
    <row r="6519">
      <c r="A6519" s="178" t="str">
        <f>IFERROR(__xludf.DUMMYFUNCTION("""COMPUTED_VALUE"""),"ITBISA-IC-UA741CN-DIP8")</f>
        <v>ITBISA-IC-UA741CN-DIP8</v>
      </c>
      <c r="B6519" s="266">
        <f>IFERROR(__xludf.DUMMYFUNCTION("""COMPUTED_VALUE"""),45959.0)</f>
        <v>45959</v>
      </c>
      <c r="C6519" s="266" t="str">
        <f>IFERROR(__xludf.DUMMYFUNCTION("""COMPUTED_VALUE"""),"KERTASARI CIAMIS")</f>
        <v>KERTASARI CIAMIS</v>
      </c>
      <c r="D6519" s="186">
        <f>IFERROR(__xludf.DUMMYFUNCTION("""COMPUTED_VALUE"""),50.0)</f>
        <v>50</v>
      </c>
    </row>
    <row r="6520">
      <c r="A6520" s="178" t="str">
        <f>IFERROR(__xludf.DUMMYFUNCTION("""COMPUTED_VALUE"""),"ITBISA-IC-UA741CN-DIP8")</f>
        <v>ITBISA-IC-UA741CN-DIP8</v>
      </c>
      <c r="B6520" s="266">
        <f>IFERROR(__xludf.DUMMYFUNCTION("""COMPUTED_VALUE"""),45959.0)</f>
        <v>45959</v>
      </c>
      <c r="C6520" s="266" t="str">
        <f>IFERROR(__xludf.DUMMYFUNCTION("""COMPUTED_VALUE"""),"KYAI KONTONG")</f>
        <v>KYAI KONTONG</v>
      </c>
      <c r="D6520" s="186">
        <f>IFERROR(__xludf.DUMMYFUNCTION("""COMPUTED_VALUE"""),30.0)</f>
        <v>30</v>
      </c>
    </row>
    <row r="6521">
      <c r="A6521" s="178" t="str">
        <f>IFERROR(__xludf.DUMMYFUNCTION("""COMPUTED_VALUE"""),"ITBISA-IC-UA741CN-DIP8")</f>
        <v>ITBISA-IC-UA741CN-DIP8</v>
      </c>
      <c r="B6521" s="266">
        <f>IFERROR(__xludf.DUMMYFUNCTION("""COMPUTED_VALUE"""),45961.0)</f>
        <v>45961</v>
      </c>
      <c r="C6521" s="266" t="str">
        <f>IFERROR(__xludf.DUMMYFUNCTION("""COMPUTED_VALUE"""),"KYAI KONTONG")</f>
        <v>KYAI KONTONG</v>
      </c>
      <c r="D6521" s="186">
        <f>IFERROR(__xludf.DUMMYFUNCTION("""COMPUTED_VALUE"""),10.0)</f>
        <v>10</v>
      </c>
    </row>
    <row r="6522">
      <c r="A6522" s="178" t="str">
        <f>IFERROR(__xludf.DUMMYFUNCTION("""COMPUTED_VALUE"""),"ITBISA-IC-UA741CN-DIP8")</f>
        <v>ITBISA-IC-UA741CN-DIP8</v>
      </c>
      <c r="B6522" s="266">
        <f>IFERROR(__xludf.DUMMYFUNCTION("""COMPUTED_VALUE"""),45963.0)</f>
        <v>45963</v>
      </c>
      <c r="C6522" s="266" t="str">
        <f>IFERROR(__xludf.DUMMYFUNCTION("""COMPUTED_VALUE"""),"KYAI KONTONG")</f>
        <v>KYAI KONTONG</v>
      </c>
      <c r="D6522" s="186">
        <f>IFERROR(__xludf.DUMMYFUNCTION("""COMPUTED_VALUE"""),100.0)</f>
        <v>100</v>
      </c>
    </row>
    <row r="6523">
      <c r="A6523" s="178" t="str">
        <f>IFERROR(__xludf.DUMMYFUNCTION("""COMPUTED_VALUE"""),"ITBISA-IC-UA741CN-DIP8")</f>
        <v>ITBISA-IC-UA741CN-DIP8</v>
      </c>
      <c r="B6523" s="266">
        <f>IFERROR(__xludf.DUMMYFUNCTION("""COMPUTED_VALUE"""),45969.0)</f>
        <v>45969</v>
      </c>
      <c r="C6523" s="266" t="str">
        <f>IFERROR(__xludf.DUMMYFUNCTION("""COMPUTED_VALUE"""),"KYAI KONTONG")</f>
        <v>KYAI KONTONG</v>
      </c>
      <c r="D6523" s="186">
        <f>IFERROR(__xludf.DUMMYFUNCTION("""COMPUTED_VALUE"""),10.0)</f>
        <v>10</v>
      </c>
    </row>
    <row r="6524">
      <c r="A6524" s="178" t="str">
        <f>IFERROR(__xludf.DUMMYFUNCTION("""COMPUTED_VALUE"""),"ITBISA-IC-UA741CN-DIP8")</f>
        <v>ITBISA-IC-UA741CN-DIP8</v>
      </c>
      <c r="B6524" s="266">
        <f>IFERROR(__xludf.DUMMYFUNCTION("""COMPUTED_VALUE"""),45971.0)</f>
        <v>45971</v>
      </c>
      <c r="C6524" s="266" t="str">
        <f>IFERROR(__xludf.DUMMYFUNCTION("""COMPUTED_VALUE"""),"KYAI KONTONG")</f>
        <v>KYAI KONTONG</v>
      </c>
      <c r="D6524" s="186">
        <f>IFERROR(__xludf.DUMMYFUNCTION("""COMPUTED_VALUE"""),5.0)</f>
        <v>5</v>
      </c>
    </row>
    <row r="6525">
      <c r="A6525" s="178" t="str">
        <f>IFERROR(__xludf.DUMMYFUNCTION("""COMPUTED_VALUE"""),"ITBISA-IC-UA741CN-DIP8")</f>
        <v>ITBISA-IC-UA741CN-DIP8</v>
      </c>
      <c r="B6525" s="266">
        <f>IFERROR(__xludf.DUMMYFUNCTION("""COMPUTED_VALUE"""),45972.0)</f>
        <v>45972</v>
      </c>
      <c r="C6525" s="266" t="str">
        <f>IFERROR(__xludf.DUMMYFUNCTION("""COMPUTED_VALUE"""),"KERTASARI CIAMIS")</f>
        <v>KERTASARI CIAMIS</v>
      </c>
      <c r="D6525" s="186">
        <f>IFERROR(__xludf.DUMMYFUNCTION("""COMPUTED_VALUE"""),10.0)</f>
        <v>10</v>
      </c>
    </row>
    <row r="6526">
      <c r="A6526" s="178" t="str">
        <f>IFERROR(__xludf.DUMMYFUNCTION("""COMPUTED_VALUE"""),"ITBISA-IC-UA741CN-DIP8")</f>
        <v>ITBISA-IC-UA741CN-DIP8</v>
      </c>
      <c r="B6526" s="266">
        <f>IFERROR(__xludf.DUMMYFUNCTION("""COMPUTED_VALUE"""),45972.0)</f>
        <v>45972</v>
      </c>
      <c r="C6526" s="266" t="str">
        <f>IFERROR(__xludf.DUMMYFUNCTION("""COMPUTED_VALUE"""),"KYAI KONTONG")</f>
        <v>KYAI KONTONG</v>
      </c>
      <c r="D6526" s="186">
        <f>IFERROR(__xludf.DUMMYFUNCTION("""COMPUTED_VALUE"""),10.0)</f>
        <v>10</v>
      </c>
    </row>
    <row r="6527">
      <c r="A6527" s="178" t="str">
        <f>IFERROR(__xludf.DUMMYFUNCTION("""COMPUTED_VALUE"""),"ITBISA-IC-UA741CN-DIP8")</f>
        <v>ITBISA-IC-UA741CN-DIP8</v>
      </c>
      <c r="B6527" s="266">
        <f>IFERROR(__xludf.DUMMYFUNCTION("""COMPUTED_VALUE"""),45973.0)</f>
        <v>45973</v>
      </c>
      <c r="C6527" s="266" t="str">
        <f>IFERROR(__xludf.DUMMYFUNCTION("""COMPUTED_VALUE"""),"KERTASARI CIAMIS")</f>
        <v>KERTASARI CIAMIS</v>
      </c>
      <c r="D6527" s="186">
        <f>IFERROR(__xludf.DUMMYFUNCTION("""COMPUTED_VALUE"""),10.0)</f>
        <v>10</v>
      </c>
    </row>
    <row r="6528">
      <c r="A6528" s="178" t="str">
        <f>IFERROR(__xludf.DUMMYFUNCTION("""COMPUTED_VALUE"""),"ITBISA-IC-UA741CN-DIP8")</f>
        <v>ITBISA-IC-UA741CN-DIP8</v>
      </c>
      <c r="B6528" s="266">
        <f>IFERROR(__xludf.DUMMYFUNCTION("""COMPUTED_VALUE"""),45975.0)</f>
        <v>45975</v>
      </c>
      <c r="C6528" s="266" t="str">
        <f>IFERROR(__xludf.DUMMYFUNCTION("""COMPUTED_VALUE"""),"KYAI KONTONG")</f>
        <v>KYAI KONTONG</v>
      </c>
      <c r="D6528" s="186">
        <f>IFERROR(__xludf.DUMMYFUNCTION("""COMPUTED_VALUE"""),5.0)</f>
        <v>5</v>
      </c>
    </row>
    <row r="6529">
      <c r="A6529" s="178" t="str">
        <f>IFERROR(__xludf.DUMMYFUNCTION("""COMPUTED_VALUE"""),"ITBISA-IC-UA741CN-DIP8")</f>
        <v>ITBISA-IC-UA741CN-DIP8</v>
      </c>
      <c r="B6529" s="266">
        <f>IFERROR(__xludf.DUMMYFUNCTION("""COMPUTED_VALUE"""),45976.0)</f>
        <v>45976</v>
      </c>
      <c r="C6529" s="266" t="str">
        <f>IFERROR(__xludf.DUMMYFUNCTION("""COMPUTED_VALUE"""),"KYAI KONTONG")</f>
        <v>KYAI KONTONG</v>
      </c>
      <c r="D6529" s="186">
        <f>IFERROR(__xludf.DUMMYFUNCTION("""COMPUTED_VALUE"""),10.0)</f>
        <v>10</v>
      </c>
    </row>
    <row r="6530">
      <c r="A6530" s="178" t="str">
        <f>IFERROR(__xludf.DUMMYFUNCTION("""COMPUTED_VALUE"""),"ITBISA-IC-UA741CN-DIP8")</f>
        <v>ITBISA-IC-UA741CN-DIP8</v>
      </c>
      <c r="B6530" s="266">
        <f>IFERROR(__xludf.DUMMYFUNCTION("""COMPUTED_VALUE"""),45978.0)</f>
        <v>45978</v>
      </c>
      <c r="C6530" s="266" t="str">
        <f>IFERROR(__xludf.DUMMYFUNCTION("""COMPUTED_VALUE"""),"KERTASARI CIAMIS")</f>
        <v>KERTASARI CIAMIS</v>
      </c>
      <c r="D6530" s="186">
        <f>IFERROR(__xludf.DUMMYFUNCTION("""COMPUTED_VALUE"""),100.0)</f>
        <v>100</v>
      </c>
    </row>
    <row r="6531">
      <c r="A6531" s="178" t="str">
        <f>IFERROR(__xludf.DUMMYFUNCTION("""COMPUTED_VALUE"""),"ITBISA-IC-UA741CN-DIP8")</f>
        <v>ITBISA-IC-UA741CN-DIP8</v>
      </c>
      <c r="B6531" s="266">
        <f>IFERROR(__xludf.DUMMYFUNCTION("""COMPUTED_VALUE"""),45979.0)</f>
        <v>45979</v>
      </c>
      <c r="C6531" s="266" t="str">
        <f>IFERROR(__xludf.DUMMYFUNCTION("""COMPUTED_VALUE"""),"KYAI KONTONG")</f>
        <v>KYAI KONTONG</v>
      </c>
      <c r="D6531" s="186">
        <f>IFERROR(__xludf.DUMMYFUNCTION("""COMPUTED_VALUE"""),17.0)</f>
        <v>17</v>
      </c>
    </row>
    <row r="6532">
      <c r="A6532" s="178" t="str">
        <f>IFERROR(__xludf.DUMMYFUNCTION("""COMPUTED_VALUE"""),"ITBISA-IC-UA741CN-DIP8")</f>
        <v>ITBISA-IC-UA741CN-DIP8</v>
      </c>
      <c r="B6532" s="266">
        <f>IFERROR(__xludf.DUMMYFUNCTION("""COMPUTED_VALUE"""),45981.0)</f>
        <v>45981</v>
      </c>
      <c r="C6532" s="266" t="str">
        <f>IFERROR(__xludf.DUMMYFUNCTION("""COMPUTED_VALUE"""),"KERTASARI CIAMIS")</f>
        <v>KERTASARI CIAMIS</v>
      </c>
      <c r="D6532" s="186">
        <f>IFERROR(__xludf.DUMMYFUNCTION("""COMPUTED_VALUE"""),5.0)</f>
        <v>5</v>
      </c>
    </row>
    <row r="6533">
      <c r="A6533" s="178" t="str">
        <f>IFERROR(__xludf.DUMMYFUNCTION("""COMPUTED_VALUE"""),"ITBISA-IC-UA741CN-DIP8")</f>
        <v>ITBISA-IC-UA741CN-DIP8</v>
      </c>
      <c r="B6533" s="266">
        <f>IFERROR(__xludf.DUMMYFUNCTION("""COMPUTED_VALUE"""),45982.0)</f>
        <v>45982</v>
      </c>
      <c r="C6533" s="266" t="str">
        <f>IFERROR(__xludf.DUMMYFUNCTION("""COMPUTED_VALUE"""),"KERTASARI CIAMIS")</f>
        <v>KERTASARI CIAMIS</v>
      </c>
      <c r="D6533" s="186">
        <f>IFERROR(__xludf.DUMMYFUNCTION("""COMPUTED_VALUE"""),21.0)</f>
        <v>21</v>
      </c>
    </row>
    <row r="6534">
      <c r="A6534" s="178" t="str">
        <f>IFERROR(__xludf.DUMMYFUNCTION("""COMPUTED_VALUE"""),"ITBISA-IC-UA741CN-DIP8")</f>
        <v>ITBISA-IC-UA741CN-DIP8</v>
      </c>
      <c r="B6534" s="266">
        <f>IFERROR(__xludf.DUMMYFUNCTION("""COMPUTED_VALUE"""),45986.0)</f>
        <v>45986</v>
      </c>
      <c r="C6534" s="266" t="str">
        <f>IFERROR(__xludf.DUMMYFUNCTION("""COMPUTED_VALUE"""),"KERTASARI CIAMIS")</f>
        <v>KERTASARI CIAMIS</v>
      </c>
      <c r="D6534" s="186">
        <f>IFERROR(__xludf.DUMMYFUNCTION("""COMPUTED_VALUE"""),25.0)</f>
        <v>25</v>
      </c>
    </row>
    <row r="6535">
      <c r="A6535" s="178" t="str">
        <f>IFERROR(__xludf.DUMMYFUNCTION("""COMPUTED_VALUE"""),"ITBISA-IC-UA741CN-DIP8")</f>
        <v>ITBISA-IC-UA741CN-DIP8</v>
      </c>
      <c r="B6535" s="266">
        <f>IFERROR(__xludf.DUMMYFUNCTION("""COMPUTED_VALUE"""),45994.0)</f>
        <v>45994</v>
      </c>
      <c r="C6535" s="266" t="str">
        <f>IFERROR(__xludf.DUMMYFUNCTION("""COMPUTED_VALUE"""),"KYAI KONTONG")</f>
        <v>KYAI KONTONG</v>
      </c>
      <c r="D6535" s="186">
        <f>IFERROR(__xludf.DUMMYFUNCTION("""COMPUTED_VALUE"""),5.0)</f>
        <v>5</v>
      </c>
    </row>
    <row r="6536">
      <c r="A6536" s="178" t="str">
        <f>IFERROR(__xludf.DUMMYFUNCTION("""COMPUTED_VALUE"""),"ITBISA-IC-UA741CN-DIP8")</f>
        <v>ITBISA-IC-UA741CN-DIP8</v>
      </c>
      <c r="B6536" s="266">
        <f>IFERROR(__xludf.DUMMYFUNCTION("""COMPUTED_VALUE"""),45997.0)</f>
        <v>45997</v>
      </c>
      <c r="C6536" s="266" t="str">
        <f>IFERROR(__xludf.DUMMYFUNCTION("""COMPUTED_VALUE"""),"KYAI KONTONG")</f>
        <v>KYAI KONTONG</v>
      </c>
      <c r="D6536" s="186">
        <f>IFERROR(__xludf.DUMMYFUNCTION("""COMPUTED_VALUE"""),5.0)</f>
        <v>5</v>
      </c>
    </row>
    <row r="6537">
      <c r="A6537" s="178" t="str">
        <f>IFERROR(__xludf.DUMMYFUNCTION("""COMPUTED_VALUE"""),"ITBISA-IC-UA741CN-DIP8")</f>
        <v>ITBISA-IC-UA741CN-DIP8</v>
      </c>
      <c r="B6537" s="266">
        <f>IFERROR(__xludf.DUMMYFUNCTION("""COMPUTED_VALUE"""),45998.0)</f>
        <v>45998</v>
      </c>
      <c r="C6537" s="266" t="str">
        <f>IFERROR(__xludf.DUMMYFUNCTION("""COMPUTED_VALUE"""),"KYAI KONTONG")</f>
        <v>KYAI KONTONG</v>
      </c>
      <c r="D6537" s="186">
        <f>IFERROR(__xludf.DUMMYFUNCTION("""COMPUTED_VALUE"""),10.0)</f>
        <v>10</v>
      </c>
    </row>
    <row r="6538">
      <c r="A6538" s="178" t="str">
        <f>IFERROR(__xludf.DUMMYFUNCTION("""COMPUTED_VALUE"""),"ITBISA-IC-UA741CN-DIP8")</f>
        <v>ITBISA-IC-UA741CN-DIP8</v>
      </c>
      <c r="B6538" s="266">
        <f>IFERROR(__xludf.DUMMYFUNCTION("""COMPUTED_VALUE"""),45999.0)</f>
        <v>45999</v>
      </c>
      <c r="C6538" s="266" t="str">
        <f>IFERROR(__xludf.DUMMYFUNCTION("""COMPUTED_VALUE"""),"KYAI KONTONG")</f>
        <v>KYAI KONTONG</v>
      </c>
      <c r="D6538" s="186">
        <f>IFERROR(__xludf.DUMMYFUNCTION("""COMPUTED_VALUE"""),25.0)</f>
        <v>25</v>
      </c>
    </row>
    <row r="6539">
      <c r="A6539" s="178" t="str">
        <f>IFERROR(__xludf.DUMMYFUNCTION("""COMPUTED_VALUE"""),"ITBISA-IC-UA741CN-DIP8")</f>
        <v>ITBISA-IC-UA741CN-DIP8</v>
      </c>
      <c r="B6539" s="266">
        <f>IFERROR(__xludf.DUMMYFUNCTION("""COMPUTED_VALUE"""),46001.0)</f>
        <v>46001</v>
      </c>
      <c r="C6539" s="266" t="str">
        <f>IFERROR(__xludf.DUMMYFUNCTION("""COMPUTED_VALUE"""),"KERTASARI CIAMIS")</f>
        <v>KERTASARI CIAMIS</v>
      </c>
      <c r="D6539" s="186">
        <f>IFERROR(__xludf.DUMMYFUNCTION("""COMPUTED_VALUE"""),5.0)</f>
        <v>5</v>
      </c>
    </row>
    <row r="6540">
      <c r="A6540" s="178" t="str">
        <f>IFERROR(__xludf.DUMMYFUNCTION("""COMPUTED_VALUE"""),"ITBISA-IC-UA741CN-DIP8")</f>
        <v>ITBISA-IC-UA741CN-DIP8</v>
      </c>
      <c r="B6540" s="266">
        <f>IFERROR(__xludf.DUMMYFUNCTION("""COMPUTED_VALUE"""),46002.0)</f>
        <v>46002</v>
      </c>
      <c r="C6540" s="266" t="str">
        <f>IFERROR(__xludf.DUMMYFUNCTION("""COMPUTED_VALUE"""),"KYAI KONTONG")</f>
        <v>KYAI KONTONG</v>
      </c>
      <c r="D6540" s="186">
        <f>IFERROR(__xludf.DUMMYFUNCTION("""COMPUTED_VALUE"""),400.0)</f>
        <v>400</v>
      </c>
    </row>
    <row r="6541">
      <c r="A6541" s="178" t="str">
        <f>IFERROR(__xludf.DUMMYFUNCTION("""COMPUTED_VALUE"""),"ITBISA-IC-UA741CN-DIP8")</f>
        <v>ITBISA-IC-UA741CN-DIP8</v>
      </c>
      <c r="B6541" s="266">
        <f>IFERROR(__xludf.DUMMYFUNCTION("""COMPUTED_VALUE"""),46003.0)</f>
        <v>46003</v>
      </c>
      <c r="C6541" s="266" t="str">
        <f>IFERROR(__xludf.DUMMYFUNCTION("""COMPUTED_VALUE"""),"KYAI KONTONG")</f>
        <v>KYAI KONTONG</v>
      </c>
      <c r="D6541" s="186">
        <f>IFERROR(__xludf.DUMMYFUNCTION("""COMPUTED_VALUE"""),5.0)</f>
        <v>5</v>
      </c>
    </row>
    <row r="6542">
      <c r="A6542" s="178" t="str">
        <f>IFERROR(__xludf.DUMMYFUNCTION("""COMPUTED_VALUE"""),"ITBISA-IC-UA741CN-DIP8")</f>
        <v>ITBISA-IC-UA741CN-DIP8</v>
      </c>
      <c r="B6542" s="266">
        <f>IFERROR(__xludf.DUMMYFUNCTION("""COMPUTED_VALUE"""),46003.0)</f>
        <v>46003</v>
      </c>
      <c r="C6542" s="266" t="str">
        <f>IFERROR(__xludf.DUMMYFUNCTION("""COMPUTED_VALUE"""),"KYAI KONTONG")</f>
        <v>KYAI KONTONG</v>
      </c>
      <c r="D6542" s="186">
        <f>IFERROR(__xludf.DUMMYFUNCTION("""COMPUTED_VALUE"""),10.0)</f>
        <v>10</v>
      </c>
    </row>
    <row r="6543">
      <c r="A6543" s="178" t="str">
        <f>IFERROR(__xludf.DUMMYFUNCTION("""COMPUTED_VALUE"""),"ITBISA-IC-UA741CN-DIP8")</f>
        <v>ITBISA-IC-UA741CN-DIP8</v>
      </c>
      <c r="B6543" s="266">
        <f>IFERROR(__xludf.DUMMYFUNCTION("""COMPUTED_VALUE"""),46003.0)</f>
        <v>46003</v>
      </c>
      <c r="C6543" s="266" t="str">
        <f>IFERROR(__xludf.DUMMYFUNCTION("""COMPUTED_VALUE"""),"KYAI KONTONG")</f>
        <v>KYAI KONTONG</v>
      </c>
      <c r="D6543" s="186">
        <f>IFERROR(__xludf.DUMMYFUNCTION("""COMPUTED_VALUE"""),50.0)</f>
        <v>50</v>
      </c>
    </row>
    <row r="6544">
      <c r="A6544" s="178" t="str">
        <f>IFERROR(__xludf.DUMMYFUNCTION("""COMPUTED_VALUE"""),"ITBISA-IC-UA741CN-DIP8")</f>
        <v>ITBISA-IC-UA741CN-DIP8</v>
      </c>
      <c r="B6544" s="266">
        <f>IFERROR(__xludf.DUMMYFUNCTION("""COMPUTED_VALUE"""),46010.0)</f>
        <v>46010</v>
      </c>
      <c r="C6544" s="266" t="str">
        <f>IFERROR(__xludf.DUMMYFUNCTION("""COMPUTED_VALUE"""),"KYAI KONTONG")</f>
        <v>KYAI KONTONG</v>
      </c>
      <c r="D6544" s="186">
        <f>IFERROR(__xludf.DUMMYFUNCTION("""COMPUTED_VALUE"""),25.0)</f>
        <v>25</v>
      </c>
    </row>
    <row r="6545">
      <c r="A6545" s="178" t="str">
        <f>IFERROR(__xludf.DUMMYFUNCTION("""COMPUTED_VALUE"""),"ITBISA-IC-UA741CN-DIP8")</f>
        <v>ITBISA-IC-UA741CN-DIP8</v>
      </c>
      <c r="B6545" s="266">
        <f>IFERROR(__xludf.DUMMYFUNCTION("""COMPUTED_VALUE"""),46010.0)</f>
        <v>46010</v>
      </c>
      <c r="C6545" s="266" t="str">
        <f>IFERROR(__xludf.DUMMYFUNCTION("""COMPUTED_VALUE"""),"KYAI KONTONG")</f>
        <v>KYAI KONTONG</v>
      </c>
      <c r="D6545" s="186">
        <f>IFERROR(__xludf.DUMMYFUNCTION("""COMPUTED_VALUE"""),30.0)</f>
        <v>30</v>
      </c>
    </row>
    <row r="6546">
      <c r="A6546" s="178" t="str">
        <f>IFERROR(__xludf.DUMMYFUNCTION("""COMPUTED_VALUE"""),"ITBISA-IC-UA741CN-DIP8")</f>
        <v>ITBISA-IC-UA741CN-DIP8</v>
      </c>
      <c r="B6546" s="266">
        <f>IFERROR(__xludf.DUMMYFUNCTION("""COMPUTED_VALUE"""),46012.0)</f>
        <v>46012</v>
      </c>
      <c r="C6546" s="266" t="str">
        <f>IFERROR(__xludf.DUMMYFUNCTION("""COMPUTED_VALUE"""),"KYAI KONTONG")</f>
        <v>KYAI KONTONG</v>
      </c>
      <c r="D6546" s="186">
        <f>IFERROR(__xludf.DUMMYFUNCTION("""COMPUTED_VALUE"""),10.0)</f>
        <v>10</v>
      </c>
    </row>
    <row r="6547">
      <c r="A6547" s="178" t="str">
        <f>IFERROR(__xludf.DUMMYFUNCTION("""COMPUTED_VALUE"""),"ITBISA-IC-UA741CN-DIP8")</f>
        <v>ITBISA-IC-UA741CN-DIP8</v>
      </c>
      <c r="B6547" s="266">
        <f>IFERROR(__xludf.DUMMYFUNCTION("""COMPUTED_VALUE"""),46013.0)</f>
        <v>46013</v>
      </c>
      <c r="C6547" s="266" t="str">
        <f>IFERROR(__xludf.DUMMYFUNCTION("""COMPUTED_VALUE"""),"KERTASARI CIAMIS")</f>
        <v>KERTASARI CIAMIS</v>
      </c>
      <c r="D6547" s="186">
        <f>IFERROR(__xludf.DUMMYFUNCTION("""COMPUTED_VALUE"""),15.0)</f>
        <v>15</v>
      </c>
    </row>
    <row r="6548">
      <c r="A6548" s="178" t="str">
        <f>IFERROR(__xludf.DUMMYFUNCTION("""COMPUTED_VALUE"""),"ITBISA-IC-UA741CN-DIP8")</f>
        <v>ITBISA-IC-UA741CN-DIP8</v>
      </c>
      <c r="B6548" s="266">
        <f>IFERROR(__xludf.DUMMYFUNCTION("""COMPUTED_VALUE"""),46015.0)</f>
        <v>46015</v>
      </c>
      <c r="C6548" s="266" t="str">
        <f>IFERROR(__xludf.DUMMYFUNCTION("""COMPUTED_VALUE"""),"KYAI KONTONG")</f>
        <v>KYAI KONTONG</v>
      </c>
      <c r="D6548" s="186">
        <f>IFERROR(__xludf.DUMMYFUNCTION("""COMPUTED_VALUE"""),10.0)</f>
        <v>10</v>
      </c>
    </row>
    <row r="6549">
      <c r="A6549" s="178" t="str">
        <f>IFERROR(__xludf.DUMMYFUNCTION("""COMPUTED_VALUE"""),"ITBISA-IC-UA741CN-DIP8")</f>
        <v>ITBISA-IC-UA741CN-DIP8</v>
      </c>
      <c r="B6549" s="266">
        <f>IFERROR(__xludf.DUMMYFUNCTION("""COMPUTED_VALUE"""),46016.0)</f>
        <v>46016</v>
      </c>
      <c r="C6549" s="266" t="str">
        <f>IFERROR(__xludf.DUMMYFUNCTION("""COMPUTED_VALUE"""),"KERTASARI CIAMIS")</f>
        <v>KERTASARI CIAMIS</v>
      </c>
      <c r="D6549" s="186">
        <f>IFERROR(__xludf.DUMMYFUNCTION("""COMPUTED_VALUE"""),8.0)</f>
        <v>8</v>
      </c>
    </row>
    <row r="6550">
      <c r="A6550" s="178" t="str">
        <f>IFERROR(__xludf.DUMMYFUNCTION("""COMPUTED_VALUE"""),"ITBISA-IC-UA741CN-DIP8")</f>
        <v>ITBISA-IC-UA741CN-DIP8</v>
      </c>
      <c r="B6550" s="266">
        <f>IFERROR(__xludf.DUMMYFUNCTION("""COMPUTED_VALUE"""),46022.0)</f>
        <v>46022</v>
      </c>
      <c r="C6550" s="266" t="str">
        <f>IFERROR(__xludf.DUMMYFUNCTION("""COMPUTED_VALUE"""),"KYAI KONTONG")</f>
        <v>KYAI KONTONG</v>
      </c>
      <c r="D6550" s="186">
        <f>IFERROR(__xludf.DUMMYFUNCTION("""COMPUTED_VALUE"""),10.0)</f>
        <v>10</v>
      </c>
    </row>
    <row r="6551">
      <c r="A6551" s="178" t="str">
        <f>IFERROR(__xludf.DUMMYFUNCTION("""COMPUTED_VALUE"""),"ITBISA-IC-ULN2003AN-DIP16")</f>
        <v>ITBISA-IC-ULN2003AN-DIP16</v>
      </c>
      <c r="B6551" s="266">
        <f>IFERROR(__xludf.DUMMYFUNCTION("""COMPUTED_VALUE"""),44925.0)</f>
        <v>44925</v>
      </c>
      <c r="C6551" s="266" t="str">
        <f>IFERROR(__xludf.DUMMYFUNCTION("""COMPUTED_VALUE"""),"KYAI KONTONG")</f>
        <v>KYAI KONTONG</v>
      </c>
      <c r="D6551" s="186">
        <f>IFERROR(__xludf.DUMMYFUNCTION("""COMPUTED_VALUE"""),6.0)</f>
        <v>6</v>
      </c>
    </row>
    <row r="6552">
      <c r="A6552" s="178" t="str">
        <f>IFERROR(__xludf.DUMMYFUNCTION("""COMPUTED_VALUE"""),"ITBISA-IC-ULN2003AN-DIP16")</f>
        <v>ITBISA-IC-ULN2003AN-DIP16</v>
      </c>
      <c r="B6552" s="266">
        <f>IFERROR(__xludf.DUMMYFUNCTION("""COMPUTED_VALUE"""),44949.0)</f>
        <v>44949</v>
      </c>
      <c r="C6552" s="266" t="str">
        <f>IFERROR(__xludf.DUMMYFUNCTION("""COMPUTED_VALUE"""),"KYAI KONTONG")</f>
        <v>KYAI KONTONG</v>
      </c>
      <c r="D6552" s="186">
        <f>IFERROR(__xludf.DUMMYFUNCTION("""COMPUTED_VALUE"""),175.0)</f>
        <v>175</v>
      </c>
    </row>
    <row r="6553">
      <c r="A6553" s="178" t="str">
        <f>IFERROR(__xludf.DUMMYFUNCTION("""COMPUTED_VALUE"""),"ITBISA-IC-ULN2003AN-DIP16")</f>
        <v>ITBISA-IC-ULN2003AN-DIP16</v>
      </c>
      <c r="B6553" s="266">
        <f>IFERROR(__xludf.DUMMYFUNCTION("""COMPUTED_VALUE"""),44953.0)</f>
        <v>44953</v>
      </c>
      <c r="C6553" s="266" t="str">
        <f>IFERROR(__xludf.DUMMYFUNCTION("""COMPUTED_VALUE"""),"KYAI KONTONG")</f>
        <v>KYAI KONTONG</v>
      </c>
      <c r="D6553" s="186">
        <f>IFERROR(__xludf.DUMMYFUNCTION("""COMPUTED_VALUE"""),3.0)</f>
        <v>3</v>
      </c>
    </row>
    <row r="6554">
      <c r="A6554" s="178" t="str">
        <f>IFERROR(__xludf.DUMMYFUNCTION("""COMPUTED_VALUE"""),"ITBISA-IC-ULN2003AN-DIP16")</f>
        <v>ITBISA-IC-ULN2003AN-DIP16</v>
      </c>
      <c r="B6554" s="266">
        <f>IFERROR(__xludf.DUMMYFUNCTION("""COMPUTED_VALUE"""),44958.0)</f>
        <v>44958</v>
      </c>
      <c r="C6554" s="266" t="str">
        <f>IFERROR(__xludf.DUMMYFUNCTION("""COMPUTED_VALUE"""),"KYAI KONTONG")</f>
        <v>KYAI KONTONG</v>
      </c>
      <c r="D6554" s="186">
        <f>IFERROR(__xludf.DUMMYFUNCTION("""COMPUTED_VALUE"""),25.0)</f>
        <v>25</v>
      </c>
    </row>
    <row r="6555">
      <c r="A6555" s="178" t="str">
        <f>IFERROR(__xludf.DUMMYFUNCTION("""COMPUTED_VALUE"""),"ITBISA-IC-ULN2003AN-DIP16")</f>
        <v>ITBISA-IC-ULN2003AN-DIP16</v>
      </c>
      <c r="B6555" s="266">
        <f>IFERROR(__xludf.DUMMYFUNCTION("""COMPUTED_VALUE"""),44958.0)</f>
        <v>44958</v>
      </c>
      <c r="C6555" s="266" t="str">
        <f>IFERROR(__xludf.DUMMYFUNCTION("""COMPUTED_VALUE"""),"KYAI KONTONG")</f>
        <v>KYAI KONTONG</v>
      </c>
      <c r="D6555" s="186">
        <f>IFERROR(__xludf.DUMMYFUNCTION("""COMPUTED_VALUE"""),75.0)</f>
        <v>75</v>
      </c>
    </row>
    <row r="6556">
      <c r="A6556" s="178" t="str">
        <f>IFERROR(__xludf.DUMMYFUNCTION("""COMPUTED_VALUE"""),"ITBISA-IC-ULN2003AN-DIP16")</f>
        <v>ITBISA-IC-ULN2003AN-DIP16</v>
      </c>
      <c r="B6556" s="266">
        <f>IFERROR(__xludf.DUMMYFUNCTION("""COMPUTED_VALUE"""),44964.0)</f>
        <v>44964</v>
      </c>
      <c r="C6556" s="266" t="str">
        <f>IFERROR(__xludf.DUMMYFUNCTION("""COMPUTED_VALUE"""),"KYAI KONTONG")</f>
        <v>KYAI KONTONG</v>
      </c>
      <c r="D6556" s="186">
        <f>IFERROR(__xludf.DUMMYFUNCTION("""COMPUTED_VALUE"""),2.0)</f>
        <v>2</v>
      </c>
    </row>
    <row r="6557">
      <c r="A6557" s="178" t="str">
        <f>IFERROR(__xludf.DUMMYFUNCTION("""COMPUTED_VALUE"""),"ITBISA-IC-ULN2003AN-DIP16")</f>
        <v>ITBISA-IC-ULN2003AN-DIP16</v>
      </c>
      <c r="B6557" s="266">
        <f>IFERROR(__xludf.DUMMYFUNCTION("""COMPUTED_VALUE"""),44977.0)</f>
        <v>44977</v>
      </c>
      <c r="C6557" s="266" t="str">
        <f>IFERROR(__xludf.DUMMYFUNCTION("""COMPUTED_VALUE"""),"KYAI KONTONG")</f>
        <v>KYAI KONTONG</v>
      </c>
      <c r="D6557" s="186">
        <f>IFERROR(__xludf.DUMMYFUNCTION("""COMPUTED_VALUE"""),25.0)</f>
        <v>25</v>
      </c>
    </row>
    <row r="6558">
      <c r="A6558" s="178" t="str">
        <f>IFERROR(__xludf.DUMMYFUNCTION("""COMPUTED_VALUE"""),"ITBISA-IC-ULN2003AN-DIP16")</f>
        <v>ITBISA-IC-ULN2003AN-DIP16</v>
      </c>
      <c r="B6558" s="266">
        <f>IFERROR(__xludf.DUMMYFUNCTION("""COMPUTED_VALUE"""),44977.0)</f>
        <v>44977</v>
      </c>
      <c r="C6558" s="266" t="str">
        <f>IFERROR(__xludf.DUMMYFUNCTION("""COMPUTED_VALUE"""),"KYAI KONTONG")</f>
        <v>KYAI KONTONG</v>
      </c>
      <c r="D6558" s="186">
        <f>IFERROR(__xludf.DUMMYFUNCTION("""COMPUTED_VALUE"""),25.0)</f>
        <v>25</v>
      </c>
    </row>
    <row r="6559">
      <c r="A6559" s="178" t="str">
        <f>IFERROR(__xludf.DUMMYFUNCTION("""COMPUTED_VALUE"""),"ITBISA-IC-ULN2003AN-DIP16")</f>
        <v>ITBISA-IC-ULN2003AN-DIP16</v>
      </c>
      <c r="B6559" s="266">
        <f>IFERROR(__xludf.DUMMYFUNCTION("""COMPUTED_VALUE"""),44978.0)</f>
        <v>44978</v>
      </c>
      <c r="C6559" s="266" t="str">
        <f>IFERROR(__xludf.DUMMYFUNCTION("""COMPUTED_VALUE"""),"KYAI KONTONG")</f>
        <v>KYAI KONTONG</v>
      </c>
      <c r="D6559" s="186">
        <f>IFERROR(__xludf.DUMMYFUNCTION("""COMPUTED_VALUE"""),10.0)</f>
        <v>10</v>
      </c>
    </row>
    <row r="6560">
      <c r="A6560" s="178" t="str">
        <f>IFERROR(__xludf.DUMMYFUNCTION("""COMPUTED_VALUE"""),"ITBISA-IC-ULN2003AN-DIP16")</f>
        <v>ITBISA-IC-ULN2003AN-DIP16</v>
      </c>
      <c r="B6560" s="266">
        <f>IFERROR(__xludf.DUMMYFUNCTION("""COMPUTED_VALUE"""),44980.0)</f>
        <v>44980</v>
      </c>
      <c r="C6560" s="266" t="str">
        <f>IFERROR(__xludf.DUMMYFUNCTION("""COMPUTED_VALUE"""),"KYAI KONTONG")</f>
        <v>KYAI KONTONG</v>
      </c>
      <c r="D6560" s="186">
        <f>IFERROR(__xludf.DUMMYFUNCTION("""COMPUTED_VALUE"""),25.0)</f>
        <v>25</v>
      </c>
    </row>
    <row r="6561">
      <c r="A6561" s="178" t="str">
        <f>IFERROR(__xludf.DUMMYFUNCTION("""COMPUTED_VALUE"""),"ITBISA-IC-ULN2003AN-DIP16")</f>
        <v>ITBISA-IC-ULN2003AN-DIP16</v>
      </c>
      <c r="B6561" s="266">
        <f>IFERROR(__xludf.DUMMYFUNCTION("""COMPUTED_VALUE"""),44985.0)</f>
        <v>44985</v>
      </c>
      <c r="C6561" s="266" t="str">
        <f>IFERROR(__xludf.DUMMYFUNCTION("""COMPUTED_VALUE"""),"KYAI KONTONG")</f>
        <v>KYAI KONTONG</v>
      </c>
      <c r="D6561" s="186">
        <f>IFERROR(__xludf.DUMMYFUNCTION("""COMPUTED_VALUE"""),10.0)</f>
        <v>10</v>
      </c>
    </row>
    <row r="6562">
      <c r="A6562" s="178" t="str">
        <f>IFERROR(__xludf.DUMMYFUNCTION("""COMPUTED_VALUE"""),"ITBISA-IC-ULN2003AN-DIP16")</f>
        <v>ITBISA-IC-ULN2003AN-DIP16</v>
      </c>
      <c r="B6562" s="266">
        <f>IFERROR(__xludf.DUMMYFUNCTION("""COMPUTED_VALUE"""),44985.0)</f>
        <v>44985</v>
      </c>
      <c r="C6562" s="266" t="str">
        <f>IFERROR(__xludf.DUMMYFUNCTION("""COMPUTED_VALUE"""),"KYAI KONTONG")</f>
        <v>KYAI KONTONG</v>
      </c>
      <c r="D6562" s="186">
        <f>IFERROR(__xludf.DUMMYFUNCTION("""COMPUTED_VALUE"""),25.0)</f>
        <v>25</v>
      </c>
    </row>
    <row r="6563">
      <c r="A6563" s="178" t="str">
        <f>IFERROR(__xludf.DUMMYFUNCTION("""COMPUTED_VALUE"""),"ITBISA-IC-ULN2003AN-DIP16")</f>
        <v>ITBISA-IC-ULN2003AN-DIP16</v>
      </c>
      <c r="B6563" s="266">
        <f>IFERROR(__xludf.DUMMYFUNCTION("""COMPUTED_VALUE"""),45000.0)</f>
        <v>45000</v>
      </c>
      <c r="C6563" s="266" t="str">
        <f>IFERROR(__xludf.DUMMYFUNCTION("""COMPUTED_VALUE"""),"KYAI KONTONG")</f>
        <v>KYAI KONTONG</v>
      </c>
      <c r="D6563" s="186">
        <f>IFERROR(__xludf.DUMMYFUNCTION("""COMPUTED_VALUE"""),50.0)</f>
        <v>50</v>
      </c>
    </row>
    <row r="6564">
      <c r="A6564" s="178" t="str">
        <f>IFERROR(__xludf.DUMMYFUNCTION("""COMPUTED_VALUE"""),"ITBISA-IC-ULN2003AN-DIP16")</f>
        <v>ITBISA-IC-ULN2003AN-DIP16</v>
      </c>
      <c r="B6564" s="266">
        <f>IFERROR(__xludf.DUMMYFUNCTION("""COMPUTED_VALUE"""),45029.0)</f>
        <v>45029</v>
      </c>
      <c r="C6564" s="266" t="str">
        <f>IFERROR(__xludf.DUMMYFUNCTION("""COMPUTED_VALUE"""),"KYAI KONTONG")</f>
        <v>KYAI KONTONG</v>
      </c>
      <c r="D6564" s="186">
        <f>IFERROR(__xludf.DUMMYFUNCTION("""COMPUTED_VALUE"""),5.0)</f>
        <v>5</v>
      </c>
    </row>
    <row r="6565">
      <c r="A6565" s="178" t="str">
        <f>IFERROR(__xludf.DUMMYFUNCTION("""COMPUTED_VALUE"""),"ITBISA-IC-ULN2003AN-DIP16")</f>
        <v>ITBISA-IC-ULN2003AN-DIP16</v>
      </c>
      <c r="B6565" s="266">
        <f>IFERROR(__xludf.DUMMYFUNCTION("""COMPUTED_VALUE"""),45061.0)</f>
        <v>45061</v>
      </c>
      <c r="C6565" s="266" t="str">
        <f>IFERROR(__xludf.DUMMYFUNCTION("""COMPUTED_VALUE"""),"KYAI KONTONG")</f>
        <v>KYAI KONTONG</v>
      </c>
      <c r="D6565" s="186">
        <f>IFERROR(__xludf.DUMMYFUNCTION("""COMPUTED_VALUE"""),2.0)</f>
        <v>2</v>
      </c>
    </row>
    <row r="6566">
      <c r="A6566" s="178" t="str">
        <f>IFERROR(__xludf.DUMMYFUNCTION("""COMPUTED_VALUE"""),"ITBISA-IC-ULN2003AN-DIP16")</f>
        <v>ITBISA-IC-ULN2003AN-DIP16</v>
      </c>
      <c r="B6566" s="266">
        <f>IFERROR(__xludf.DUMMYFUNCTION("""COMPUTED_VALUE"""),45065.0)</f>
        <v>45065</v>
      </c>
      <c r="C6566" s="266" t="str">
        <f>IFERROR(__xludf.DUMMYFUNCTION("""COMPUTED_VALUE"""),"KYAI KONTONG")</f>
        <v>KYAI KONTONG</v>
      </c>
      <c r="D6566" s="186">
        <f>IFERROR(__xludf.DUMMYFUNCTION("""COMPUTED_VALUE"""),4.0)</f>
        <v>4</v>
      </c>
    </row>
    <row r="6567">
      <c r="A6567" s="178" t="str">
        <f>IFERROR(__xludf.DUMMYFUNCTION("""COMPUTED_VALUE"""),"ITBISA-IC-ULN2003AN-DIP16")</f>
        <v>ITBISA-IC-ULN2003AN-DIP16</v>
      </c>
      <c r="B6567" s="266">
        <f>IFERROR(__xludf.DUMMYFUNCTION("""COMPUTED_VALUE"""),45102.0)</f>
        <v>45102</v>
      </c>
      <c r="C6567" s="266" t="str">
        <f>IFERROR(__xludf.DUMMYFUNCTION("""COMPUTED_VALUE"""),"KYAI KONTONG")</f>
        <v>KYAI KONTONG</v>
      </c>
      <c r="D6567" s="186">
        <f>IFERROR(__xludf.DUMMYFUNCTION("""COMPUTED_VALUE"""),3.0)</f>
        <v>3</v>
      </c>
    </row>
    <row r="6568">
      <c r="A6568" s="178" t="str">
        <f>IFERROR(__xludf.DUMMYFUNCTION("""COMPUTED_VALUE"""),"ITBISA-IC-ULN2003AN-DIP16")</f>
        <v>ITBISA-IC-ULN2003AN-DIP16</v>
      </c>
      <c r="B6568" s="266">
        <f>IFERROR(__xludf.DUMMYFUNCTION("""COMPUTED_VALUE"""),45107.0)</f>
        <v>45107</v>
      </c>
      <c r="C6568" s="266" t="str">
        <f>IFERROR(__xludf.DUMMYFUNCTION("""COMPUTED_VALUE"""),"KYAI KONTONG")</f>
        <v>KYAI KONTONG</v>
      </c>
      <c r="D6568" s="186">
        <f>IFERROR(__xludf.DUMMYFUNCTION("""COMPUTED_VALUE"""),25.0)</f>
        <v>25</v>
      </c>
    </row>
    <row r="6569">
      <c r="A6569" s="178" t="str">
        <f>IFERROR(__xludf.DUMMYFUNCTION("""COMPUTED_VALUE"""),"ITBISA-IC-ULN2003AN-DIP16")</f>
        <v>ITBISA-IC-ULN2003AN-DIP16</v>
      </c>
      <c r="B6569" s="266">
        <f>IFERROR(__xludf.DUMMYFUNCTION("""COMPUTED_VALUE"""),45109.0)</f>
        <v>45109</v>
      </c>
      <c r="C6569" s="266" t="str">
        <f>IFERROR(__xludf.DUMMYFUNCTION("""COMPUTED_VALUE"""),"KYAI KONTONG")</f>
        <v>KYAI KONTONG</v>
      </c>
      <c r="D6569" s="186">
        <f>IFERROR(__xludf.DUMMYFUNCTION("""COMPUTED_VALUE"""),2.0)</f>
        <v>2</v>
      </c>
    </row>
    <row r="6570">
      <c r="A6570" s="178" t="str">
        <f>IFERROR(__xludf.DUMMYFUNCTION("""COMPUTED_VALUE"""),"ITBISA-IC-ULN2003AN-DIP16")</f>
        <v>ITBISA-IC-ULN2003AN-DIP16</v>
      </c>
      <c r="B6570" s="266">
        <f>IFERROR(__xludf.DUMMYFUNCTION("""COMPUTED_VALUE"""),45171.0)</f>
        <v>45171</v>
      </c>
      <c r="C6570" s="266" t="str">
        <f>IFERROR(__xludf.DUMMYFUNCTION("""COMPUTED_VALUE"""),"KYAI KONTONG")</f>
        <v>KYAI KONTONG</v>
      </c>
      <c r="D6570" s="186">
        <f>IFERROR(__xludf.DUMMYFUNCTION("""COMPUTED_VALUE"""),20.0)</f>
        <v>20</v>
      </c>
    </row>
    <row r="6571">
      <c r="A6571" s="178" t="str">
        <f>IFERROR(__xludf.DUMMYFUNCTION("""COMPUTED_VALUE"""),"ITBISA-IC-ULN2003AN-DIP16")</f>
        <v>ITBISA-IC-ULN2003AN-DIP16</v>
      </c>
      <c r="B6571" s="266">
        <f>IFERROR(__xludf.DUMMYFUNCTION("""COMPUTED_VALUE"""),45175.0)</f>
        <v>45175</v>
      </c>
      <c r="C6571" s="266" t="str">
        <f>IFERROR(__xludf.DUMMYFUNCTION("""COMPUTED_VALUE"""),"KERTASARI CIAMIS")</f>
        <v>KERTASARI CIAMIS</v>
      </c>
      <c r="D6571" s="186">
        <f>IFERROR(__xludf.DUMMYFUNCTION("""COMPUTED_VALUE"""),12.0)</f>
        <v>12</v>
      </c>
    </row>
    <row r="6572">
      <c r="A6572" s="178" t="str">
        <f>IFERROR(__xludf.DUMMYFUNCTION("""COMPUTED_VALUE"""),"ITBISA-IC-ULN2003AN-DIP16")</f>
        <v>ITBISA-IC-ULN2003AN-DIP16</v>
      </c>
      <c r="B6572" s="266">
        <f>IFERROR(__xludf.DUMMYFUNCTION("""COMPUTED_VALUE"""),45186.0)</f>
        <v>45186</v>
      </c>
      <c r="C6572" s="266" t="str">
        <f>IFERROR(__xludf.DUMMYFUNCTION("""COMPUTED_VALUE"""),"KYAI KONTONG")</f>
        <v>KYAI KONTONG</v>
      </c>
      <c r="D6572" s="186">
        <f>IFERROR(__xludf.DUMMYFUNCTION("""COMPUTED_VALUE"""),5.0)</f>
        <v>5</v>
      </c>
    </row>
    <row r="6573">
      <c r="A6573" s="178" t="str">
        <f>IFERROR(__xludf.DUMMYFUNCTION("""COMPUTED_VALUE"""),"ITBISA-IC-ULN2003AN-DIP16")</f>
        <v>ITBISA-IC-ULN2003AN-DIP16</v>
      </c>
      <c r="B6573" s="266">
        <f>IFERROR(__xludf.DUMMYFUNCTION("""COMPUTED_VALUE"""),45193.0)</f>
        <v>45193</v>
      </c>
      <c r="C6573" s="266" t="str">
        <f>IFERROR(__xludf.DUMMYFUNCTION("""COMPUTED_VALUE"""),"KYAI KONTONG")</f>
        <v>KYAI KONTONG</v>
      </c>
      <c r="D6573" s="186">
        <f>IFERROR(__xludf.DUMMYFUNCTION("""COMPUTED_VALUE"""),55.0)</f>
        <v>55</v>
      </c>
    </row>
    <row r="6574">
      <c r="A6574" s="178" t="str">
        <f>IFERROR(__xludf.DUMMYFUNCTION("""COMPUTED_VALUE"""),"ITBISA-IC-ULN2003AN-DIP16")</f>
        <v>ITBISA-IC-ULN2003AN-DIP16</v>
      </c>
      <c r="B6574" s="266">
        <f>IFERROR(__xludf.DUMMYFUNCTION("""COMPUTED_VALUE"""),45226.0)</f>
        <v>45226</v>
      </c>
      <c r="C6574" s="266" t="str">
        <f>IFERROR(__xludf.DUMMYFUNCTION("""COMPUTED_VALUE"""),"KYAI KONTONG")</f>
        <v>KYAI KONTONG</v>
      </c>
      <c r="D6574" s="186">
        <f>IFERROR(__xludf.DUMMYFUNCTION("""COMPUTED_VALUE"""),1.0)</f>
        <v>1</v>
      </c>
    </row>
    <row r="6575">
      <c r="A6575" s="178" t="str">
        <f>IFERROR(__xludf.DUMMYFUNCTION("""COMPUTED_VALUE"""),"ITBISA-IC-ULN2003AN-DIP16")</f>
        <v>ITBISA-IC-ULN2003AN-DIP16</v>
      </c>
      <c r="B6575" s="266">
        <f>IFERROR(__xludf.DUMMYFUNCTION("""COMPUTED_VALUE"""),45231.0)</f>
        <v>45231</v>
      </c>
      <c r="C6575" s="266" t="str">
        <f>IFERROR(__xludf.DUMMYFUNCTION("""COMPUTED_VALUE"""),"KYAI KONTONG")</f>
        <v>KYAI KONTONG</v>
      </c>
      <c r="D6575" s="186">
        <f>IFERROR(__xludf.DUMMYFUNCTION("""COMPUTED_VALUE"""),6.0)</f>
        <v>6</v>
      </c>
    </row>
    <row r="6576">
      <c r="A6576" s="178" t="str">
        <f>IFERROR(__xludf.DUMMYFUNCTION("""COMPUTED_VALUE"""),"ITBISA-IC-ULN2003AN-DIP16")</f>
        <v>ITBISA-IC-ULN2003AN-DIP16</v>
      </c>
      <c r="B6576" s="266">
        <f>IFERROR(__xludf.DUMMYFUNCTION("""COMPUTED_VALUE"""),45233.0)</f>
        <v>45233</v>
      </c>
      <c r="C6576" s="266" t="str">
        <f>IFERROR(__xludf.DUMMYFUNCTION("""COMPUTED_VALUE"""),"KYAI KONTONG")</f>
        <v>KYAI KONTONG</v>
      </c>
      <c r="D6576" s="186">
        <f>IFERROR(__xludf.DUMMYFUNCTION("""COMPUTED_VALUE"""),1.0)</f>
        <v>1</v>
      </c>
    </row>
    <row r="6577">
      <c r="A6577" s="178" t="str">
        <f>IFERROR(__xludf.DUMMYFUNCTION("""COMPUTED_VALUE"""),"ITBISA-IC-ULN2003AN-DIP16")</f>
        <v>ITBISA-IC-ULN2003AN-DIP16</v>
      </c>
      <c r="B6577" s="266">
        <f>IFERROR(__xludf.DUMMYFUNCTION("""COMPUTED_VALUE"""),45246.0)</f>
        <v>45246</v>
      </c>
      <c r="C6577" s="266" t="str">
        <f>IFERROR(__xludf.DUMMYFUNCTION("""COMPUTED_VALUE"""),"KYAI KONTONG")</f>
        <v>KYAI KONTONG</v>
      </c>
      <c r="D6577" s="186">
        <f>IFERROR(__xludf.DUMMYFUNCTION("""COMPUTED_VALUE"""),10.0)</f>
        <v>10</v>
      </c>
    </row>
    <row r="6578">
      <c r="A6578" s="178" t="str">
        <f>IFERROR(__xludf.DUMMYFUNCTION("""COMPUTED_VALUE"""),"ITBISA-IC-ULN2003AN-DIP16")</f>
        <v>ITBISA-IC-ULN2003AN-DIP16</v>
      </c>
      <c r="B6578" s="266">
        <f>IFERROR(__xludf.DUMMYFUNCTION("""COMPUTED_VALUE"""),45251.0)</f>
        <v>45251</v>
      </c>
      <c r="C6578" s="266" t="str">
        <f>IFERROR(__xludf.DUMMYFUNCTION("""COMPUTED_VALUE"""),"KYAI KONTONG")</f>
        <v>KYAI KONTONG</v>
      </c>
      <c r="D6578" s="186">
        <f>IFERROR(__xludf.DUMMYFUNCTION("""COMPUTED_VALUE"""),5.0)</f>
        <v>5</v>
      </c>
    </row>
    <row r="6579">
      <c r="A6579" s="178" t="str">
        <f>IFERROR(__xludf.DUMMYFUNCTION("""COMPUTED_VALUE"""),"ITBISA-IC-ULN2003AN-DIP16")</f>
        <v>ITBISA-IC-ULN2003AN-DIP16</v>
      </c>
      <c r="B6579" s="266">
        <f>IFERROR(__xludf.DUMMYFUNCTION("""COMPUTED_VALUE"""),45254.0)</f>
        <v>45254</v>
      </c>
      <c r="C6579" s="266" t="str">
        <f>IFERROR(__xludf.DUMMYFUNCTION("""COMPUTED_VALUE"""),"KYAI KONTONG")</f>
        <v>KYAI KONTONG</v>
      </c>
      <c r="D6579" s="186">
        <f>IFERROR(__xludf.DUMMYFUNCTION("""COMPUTED_VALUE"""),30.0)</f>
        <v>30</v>
      </c>
    </row>
    <row r="6580">
      <c r="A6580" s="178" t="str">
        <f>IFERROR(__xludf.DUMMYFUNCTION("""COMPUTED_VALUE"""),"ITBISA-IC-ULN2003AN-DIP16")</f>
        <v>ITBISA-IC-ULN2003AN-DIP16</v>
      </c>
      <c r="B6580" s="266">
        <f>IFERROR(__xludf.DUMMYFUNCTION("""COMPUTED_VALUE"""),45288.0)</f>
        <v>45288</v>
      </c>
      <c r="C6580" s="266" t="str">
        <f>IFERROR(__xludf.DUMMYFUNCTION("""COMPUTED_VALUE"""),"KERTASARI CIAMIS")</f>
        <v>KERTASARI CIAMIS</v>
      </c>
      <c r="D6580" s="186">
        <f>IFERROR(__xludf.DUMMYFUNCTION("""COMPUTED_VALUE"""),30.0)</f>
        <v>30</v>
      </c>
    </row>
    <row r="6581">
      <c r="A6581" s="178" t="str">
        <f>IFERROR(__xludf.DUMMYFUNCTION("""COMPUTED_VALUE"""),"ITBISA-IC-ULN2003AN-DIP16")</f>
        <v>ITBISA-IC-ULN2003AN-DIP16</v>
      </c>
      <c r="B6581" s="266">
        <f>IFERROR(__xludf.DUMMYFUNCTION("""COMPUTED_VALUE"""),45314.0)</f>
        <v>45314</v>
      </c>
      <c r="C6581" s="266" t="str">
        <f>IFERROR(__xludf.DUMMYFUNCTION("""COMPUTED_VALUE"""),"KERTASARI CIAMIS")</f>
        <v>KERTASARI CIAMIS</v>
      </c>
      <c r="D6581" s="186">
        <f>IFERROR(__xludf.DUMMYFUNCTION("""COMPUTED_VALUE"""),25.0)</f>
        <v>25</v>
      </c>
    </row>
    <row r="6582">
      <c r="A6582" s="178" t="str">
        <f>IFERROR(__xludf.DUMMYFUNCTION("""COMPUTED_VALUE"""),"ITBISA-IC-ULN2003AN-DIP16")</f>
        <v>ITBISA-IC-ULN2003AN-DIP16</v>
      </c>
      <c r="B6582" s="266">
        <f>IFERROR(__xludf.DUMMYFUNCTION("""COMPUTED_VALUE"""),45324.0)</f>
        <v>45324</v>
      </c>
      <c r="C6582" s="266" t="str">
        <f>IFERROR(__xludf.DUMMYFUNCTION("""COMPUTED_VALUE"""),"KERTASARI CIAMIS")</f>
        <v>KERTASARI CIAMIS</v>
      </c>
      <c r="D6582" s="186">
        <f>IFERROR(__xludf.DUMMYFUNCTION("""COMPUTED_VALUE"""),10.0)</f>
        <v>10</v>
      </c>
    </row>
    <row r="6583">
      <c r="A6583" s="178" t="str">
        <f>IFERROR(__xludf.DUMMYFUNCTION("""COMPUTED_VALUE"""),"ITBISA-IC-ULN2003AN-DIP16")</f>
        <v>ITBISA-IC-ULN2003AN-DIP16</v>
      </c>
      <c r="B6583" s="266">
        <f>IFERROR(__xludf.DUMMYFUNCTION("""COMPUTED_VALUE"""),45336.0)</f>
        <v>45336</v>
      </c>
      <c r="C6583" s="266" t="str">
        <f>IFERROR(__xludf.DUMMYFUNCTION("""COMPUTED_VALUE"""),"KERTASARI CIAMIS")</f>
        <v>KERTASARI CIAMIS</v>
      </c>
      <c r="D6583" s="186">
        <f>IFERROR(__xludf.DUMMYFUNCTION("""COMPUTED_VALUE"""),101.0)</f>
        <v>101</v>
      </c>
    </row>
    <row r="6584">
      <c r="A6584" s="178" t="str">
        <f>IFERROR(__xludf.DUMMYFUNCTION("""COMPUTED_VALUE"""),"ITBISA-IC-ULN2003AN-DIP16")</f>
        <v>ITBISA-IC-ULN2003AN-DIP16</v>
      </c>
      <c r="B6584" s="266">
        <f>IFERROR(__xludf.DUMMYFUNCTION("""COMPUTED_VALUE"""),45346.0)</f>
        <v>45346</v>
      </c>
      <c r="C6584" s="266" t="str">
        <f>IFERROR(__xludf.DUMMYFUNCTION("""COMPUTED_VALUE"""),"KYAI KONTONG")</f>
        <v>KYAI KONTONG</v>
      </c>
      <c r="D6584" s="186">
        <f>IFERROR(__xludf.DUMMYFUNCTION("""COMPUTED_VALUE"""),25.0)</f>
        <v>25</v>
      </c>
    </row>
    <row r="6585">
      <c r="A6585" s="178" t="str">
        <f>IFERROR(__xludf.DUMMYFUNCTION("""COMPUTED_VALUE"""),"ITBISA-IC-ULN2003AN-DIP16")</f>
        <v>ITBISA-IC-ULN2003AN-DIP16</v>
      </c>
      <c r="B6585" s="266">
        <f>IFERROR(__xludf.DUMMYFUNCTION("""COMPUTED_VALUE"""),45353.0)</f>
        <v>45353</v>
      </c>
      <c r="C6585" s="266" t="str">
        <f>IFERROR(__xludf.DUMMYFUNCTION("""COMPUTED_VALUE"""),"KYAI KONTONG")</f>
        <v>KYAI KONTONG</v>
      </c>
      <c r="D6585" s="186">
        <f>IFERROR(__xludf.DUMMYFUNCTION("""COMPUTED_VALUE"""),5.0)</f>
        <v>5</v>
      </c>
    </row>
    <row r="6586">
      <c r="A6586" s="178" t="str">
        <f>IFERROR(__xludf.DUMMYFUNCTION("""COMPUTED_VALUE"""),"ITBISA-IC-ULN2003AN-DIP16")</f>
        <v>ITBISA-IC-ULN2003AN-DIP16</v>
      </c>
      <c r="B6586" s="266">
        <f>IFERROR(__xludf.DUMMYFUNCTION("""COMPUTED_VALUE"""),45355.0)</f>
        <v>45355</v>
      </c>
      <c r="C6586" s="266" t="str">
        <f>IFERROR(__xludf.DUMMYFUNCTION("""COMPUTED_VALUE"""),"KYAI KONTONG")</f>
        <v>KYAI KONTONG</v>
      </c>
      <c r="D6586" s="186">
        <f>IFERROR(__xludf.DUMMYFUNCTION("""COMPUTED_VALUE"""),10.0)</f>
        <v>10</v>
      </c>
    </row>
    <row r="6587">
      <c r="A6587" s="178" t="str">
        <f>IFERROR(__xludf.DUMMYFUNCTION("""COMPUTED_VALUE"""),"ITBISA-IC-ULN2003AN-DIP16")</f>
        <v>ITBISA-IC-ULN2003AN-DIP16</v>
      </c>
      <c r="B6587" s="266">
        <f>IFERROR(__xludf.DUMMYFUNCTION("""COMPUTED_VALUE"""),45359.0)</f>
        <v>45359</v>
      </c>
      <c r="C6587" s="266" t="str">
        <f>IFERROR(__xludf.DUMMYFUNCTION("""COMPUTED_VALUE"""),"KERTASARI CIAMIS")</f>
        <v>KERTASARI CIAMIS</v>
      </c>
      <c r="D6587" s="186">
        <f>IFERROR(__xludf.DUMMYFUNCTION("""COMPUTED_VALUE"""),2.0)</f>
        <v>2</v>
      </c>
    </row>
    <row r="6588">
      <c r="A6588" s="178" t="str">
        <f>IFERROR(__xludf.DUMMYFUNCTION("""COMPUTED_VALUE"""),"ITBISA-IC-ULN2003AN-DIP16")</f>
        <v>ITBISA-IC-ULN2003AN-DIP16</v>
      </c>
      <c r="B6588" s="266">
        <f>IFERROR(__xludf.DUMMYFUNCTION("""COMPUTED_VALUE"""),45372.0)</f>
        <v>45372</v>
      </c>
      <c r="C6588" s="266" t="str">
        <f>IFERROR(__xludf.DUMMYFUNCTION("""COMPUTED_VALUE"""),"KERTASARI CIAMIS")</f>
        <v>KERTASARI CIAMIS</v>
      </c>
      <c r="D6588" s="186">
        <f>IFERROR(__xludf.DUMMYFUNCTION("""COMPUTED_VALUE"""),6.0)</f>
        <v>6</v>
      </c>
    </row>
    <row r="6589">
      <c r="A6589" s="178" t="str">
        <f>IFERROR(__xludf.DUMMYFUNCTION("""COMPUTED_VALUE"""),"ITBISA-IC-ULN2003AN-DIP16")</f>
        <v>ITBISA-IC-ULN2003AN-DIP16</v>
      </c>
      <c r="B6589" s="266">
        <f>IFERROR(__xludf.DUMMYFUNCTION("""COMPUTED_VALUE"""),45375.0)</f>
        <v>45375</v>
      </c>
      <c r="C6589" s="266" t="str">
        <f>IFERROR(__xludf.DUMMYFUNCTION("""COMPUTED_VALUE"""),"KYAI KONTONG")</f>
        <v>KYAI KONTONG</v>
      </c>
      <c r="D6589" s="186">
        <f>IFERROR(__xludf.DUMMYFUNCTION("""COMPUTED_VALUE"""),25.0)</f>
        <v>25</v>
      </c>
    </row>
    <row r="6590">
      <c r="A6590" s="178" t="str">
        <f>IFERROR(__xludf.DUMMYFUNCTION("""COMPUTED_VALUE"""),"ITBISA-IC-ULN2003AN-DIP16")</f>
        <v>ITBISA-IC-ULN2003AN-DIP16</v>
      </c>
      <c r="B6590" s="266">
        <f>IFERROR(__xludf.DUMMYFUNCTION("""COMPUTED_VALUE"""),45377.0)</f>
        <v>45377</v>
      </c>
      <c r="C6590" s="266" t="str">
        <f>IFERROR(__xludf.DUMMYFUNCTION("""COMPUTED_VALUE"""),"KERTASARI CIAMIS")</f>
        <v>KERTASARI CIAMIS</v>
      </c>
      <c r="D6590" s="186">
        <f>IFERROR(__xludf.DUMMYFUNCTION("""COMPUTED_VALUE"""),10.0)</f>
        <v>10</v>
      </c>
    </row>
    <row r="6591">
      <c r="A6591" s="178" t="str">
        <f>IFERROR(__xludf.DUMMYFUNCTION("""COMPUTED_VALUE"""),"ITBISA-IC-ULN2003AN-DIP16")</f>
        <v>ITBISA-IC-ULN2003AN-DIP16</v>
      </c>
      <c r="B6591" s="266">
        <f>IFERROR(__xludf.DUMMYFUNCTION("""COMPUTED_VALUE"""),45389.0)</f>
        <v>45389</v>
      </c>
      <c r="C6591" s="266" t="str">
        <f>IFERROR(__xludf.DUMMYFUNCTION("""COMPUTED_VALUE"""),"KYAI KONTONG")</f>
        <v>KYAI KONTONG</v>
      </c>
      <c r="D6591" s="186">
        <f>IFERROR(__xludf.DUMMYFUNCTION("""COMPUTED_VALUE"""),15.0)</f>
        <v>15</v>
      </c>
    </row>
    <row r="6592">
      <c r="A6592" s="178" t="str">
        <f>IFERROR(__xludf.DUMMYFUNCTION("""COMPUTED_VALUE"""),"ITBISA-IC-ULN2003AN-DIP16")</f>
        <v>ITBISA-IC-ULN2003AN-DIP16</v>
      </c>
      <c r="B6592" s="266">
        <f>IFERROR(__xludf.DUMMYFUNCTION("""COMPUTED_VALUE"""),45395.0)</f>
        <v>45395</v>
      </c>
      <c r="C6592" s="266" t="str">
        <f>IFERROR(__xludf.DUMMYFUNCTION("""COMPUTED_VALUE"""),"KERTASARI CIAMIS")</f>
        <v>KERTASARI CIAMIS</v>
      </c>
      <c r="D6592" s="186">
        <f>IFERROR(__xludf.DUMMYFUNCTION("""COMPUTED_VALUE"""),4.0)</f>
        <v>4</v>
      </c>
    </row>
    <row r="6593">
      <c r="A6593" s="178" t="str">
        <f>IFERROR(__xludf.DUMMYFUNCTION("""COMPUTED_VALUE"""),"ITBISA-IC-ULN2003AN-DIP16")</f>
        <v>ITBISA-IC-ULN2003AN-DIP16</v>
      </c>
      <c r="B6593" s="266">
        <f>IFERROR(__xludf.DUMMYFUNCTION("""COMPUTED_VALUE"""),45398.0)</f>
        <v>45398</v>
      </c>
      <c r="C6593" s="266" t="str">
        <f>IFERROR(__xludf.DUMMYFUNCTION("""COMPUTED_VALUE"""),"KERTASARI CIAMIS")</f>
        <v>KERTASARI CIAMIS</v>
      </c>
      <c r="D6593" s="186">
        <f>IFERROR(__xludf.DUMMYFUNCTION("""COMPUTED_VALUE"""),100.0)</f>
        <v>100</v>
      </c>
    </row>
    <row r="6594">
      <c r="A6594" s="178" t="str">
        <f>IFERROR(__xludf.DUMMYFUNCTION("""COMPUTED_VALUE"""),"ITBISA-IC-ULN2003AN-DIP16")</f>
        <v>ITBISA-IC-ULN2003AN-DIP16</v>
      </c>
      <c r="B6594" s="266">
        <f>IFERROR(__xludf.DUMMYFUNCTION("""COMPUTED_VALUE"""),45417.0)</f>
        <v>45417</v>
      </c>
      <c r="C6594" s="266" t="str">
        <f>IFERROR(__xludf.DUMMYFUNCTION("""COMPUTED_VALUE"""),"KERTASARI CIAMIS")</f>
        <v>KERTASARI CIAMIS</v>
      </c>
      <c r="D6594" s="186">
        <f>IFERROR(__xludf.DUMMYFUNCTION("""COMPUTED_VALUE"""),20.0)</f>
        <v>20</v>
      </c>
    </row>
    <row r="6595">
      <c r="A6595" s="178" t="str">
        <f>IFERROR(__xludf.DUMMYFUNCTION("""COMPUTED_VALUE"""),"ITBISA-IC-ULN2003AN-DIP16")</f>
        <v>ITBISA-IC-ULN2003AN-DIP16</v>
      </c>
      <c r="B6595" s="266">
        <f>IFERROR(__xludf.DUMMYFUNCTION("""COMPUTED_VALUE"""),45453.0)</f>
        <v>45453</v>
      </c>
      <c r="C6595" s="266" t="str">
        <f>IFERROR(__xludf.DUMMYFUNCTION("""COMPUTED_VALUE"""),"KYAI KONTONG")</f>
        <v>KYAI KONTONG</v>
      </c>
      <c r="D6595" s="186">
        <f>IFERROR(__xludf.DUMMYFUNCTION("""COMPUTED_VALUE"""),10.0)</f>
        <v>10</v>
      </c>
    </row>
    <row r="6596">
      <c r="A6596" s="178" t="str">
        <f>IFERROR(__xludf.DUMMYFUNCTION("""COMPUTED_VALUE"""),"ITBISA-IC-ULN2003AN-DIP16")</f>
        <v>ITBISA-IC-ULN2003AN-DIP16</v>
      </c>
      <c r="B6596" s="266">
        <f>IFERROR(__xludf.DUMMYFUNCTION("""COMPUTED_VALUE"""),45456.0)</f>
        <v>45456</v>
      </c>
      <c r="C6596" s="266" t="str">
        <f>IFERROR(__xludf.DUMMYFUNCTION("""COMPUTED_VALUE"""),"KYAI KONTONG")</f>
        <v>KYAI KONTONG</v>
      </c>
      <c r="D6596" s="186">
        <f>IFERROR(__xludf.DUMMYFUNCTION("""COMPUTED_VALUE"""),12.0)</f>
        <v>12</v>
      </c>
    </row>
    <row r="6597">
      <c r="A6597" s="178" t="str">
        <f>IFERROR(__xludf.DUMMYFUNCTION("""COMPUTED_VALUE"""),"ITBISA-IC-ULN2003AN-DIP16")</f>
        <v>ITBISA-IC-ULN2003AN-DIP16</v>
      </c>
      <c r="B6597" s="266">
        <f>IFERROR(__xludf.DUMMYFUNCTION("""COMPUTED_VALUE"""),45469.0)</f>
        <v>45469</v>
      </c>
      <c r="C6597" s="266" t="str">
        <f>IFERROR(__xludf.DUMMYFUNCTION("""COMPUTED_VALUE"""),"KYAI KONTONG")</f>
        <v>KYAI KONTONG</v>
      </c>
      <c r="D6597" s="186">
        <f>IFERROR(__xludf.DUMMYFUNCTION("""COMPUTED_VALUE"""),30.0)</f>
        <v>30</v>
      </c>
    </row>
    <row r="6598">
      <c r="A6598" s="178" t="str">
        <f>IFERROR(__xludf.DUMMYFUNCTION("""COMPUTED_VALUE"""),"ITBISA-IC-ULN2003AN-DIP16")</f>
        <v>ITBISA-IC-ULN2003AN-DIP16</v>
      </c>
      <c r="B6598" s="266">
        <f>IFERROR(__xludf.DUMMYFUNCTION("""COMPUTED_VALUE"""),45472.0)</f>
        <v>45472</v>
      </c>
      <c r="C6598" s="266" t="str">
        <f>IFERROR(__xludf.DUMMYFUNCTION("""COMPUTED_VALUE"""),"KYAI KONTONG")</f>
        <v>KYAI KONTONG</v>
      </c>
      <c r="D6598" s="186">
        <f>IFERROR(__xludf.DUMMYFUNCTION("""COMPUTED_VALUE"""),3.0)</f>
        <v>3</v>
      </c>
    </row>
    <row r="6599">
      <c r="A6599" s="178" t="str">
        <f>IFERROR(__xludf.DUMMYFUNCTION("""COMPUTED_VALUE"""),"ITBISA-IC-ULN2003AN-DIP16")</f>
        <v>ITBISA-IC-ULN2003AN-DIP16</v>
      </c>
      <c r="B6599" s="266">
        <f>IFERROR(__xludf.DUMMYFUNCTION("""COMPUTED_VALUE"""),45488.0)</f>
        <v>45488</v>
      </c>
      <c r="C6599" s="266" t="str">
        <f>IFERROR(__xludf.DUMMYFUNCTION("""COMPUTED_VALUE"""),"KYAI KONTONG")</f>
        <v>KYAI KONTONG</v>
      </c>
      <c r="D6599" s="186">
        <f>IFERROR(__xludf.DUMMYFUNCTION("""COMPUTED_VALUE"""),30.0)</f>
        <v>30</v>
      </c>
    </row>
    <row r="6600">
      <c r="A6600" s="178" t="str">
        <f>IFERROR(__xludf.DUMMYFUNCTION("""COMPUTED_VALUE"""),"ITBISA-IC-ULN2003AN-DIP16")</f>
        <v>ITBISA-IC-ULN2003AN-DIP16</v>
      </c>
      <c r="B6600" s="266">
        <f>IFERROR(__xludf.DUMMYFUNCTION("""COMPUTED_VALUE"""),45501.0)</f>
        <v>45501</v>
      </c>
      <c r="C6600" s="266" t="str">
        <f>IFERROR(__xludf.DUMMYFUNCTION("""COMPUTED_VALUE"""),"KYAI KONTONG")</f>
        <v>KYAI KONTONG</v>
      </c>
      <c r="D6600" s="186">
        <f>IFERROR(__xludf.DUMMYFUNCTION("""COMPUTED_VALUE"""),10.0)</f>
        <v>10</v>
      </c>
    </row>
    <row r="6601">
      <c r="A6601" s="178" t="str">
        <f>IFERROR(__xludf.DUMMYFUNCTION("""COMPUTED_VALUE"""),"ITBISA-IC-ULN2003AN-DIP16")</f>
        <v>ITBISA-IC-ULN2003AN-DIP16</v>
      </c>
      <c r="B6601" s="266">
        <f>IFERROR(__xludf.DUMMYFUNCTION("""COMPUTED_VALUE"""),45523.0)</f>
        <v>45523</v>
      </c>
      <c r="C6601" s="266" t="str">
        <f>IFERROR(__xludf.DUMMYFUNCTION("""COMPUTED_VALUE"""),"KYAI KONTONG")</f>
        <v>KYAI KONTONG</v>
      </c>
      <c r="D6601" s="186">
        <f>IFERROR(__xludf.DUMMYFUNCTION("""COMPUTED_VALUE"""),100.0)</f>
        <v>100</v>
      </c>
    </row>
    <row r="6602">
      <c r="A6602" s="178" t="str">
        <f>IFERROR(__xludf.DUMMYFUNCTION("""COMPUTED_VALUE"""),"ITBISA-IC-ULN2003AN-DIP16")</f>
        <v>ITBISA-IC-ULN2003AN-DIP16</v>
      </c>
      <c r="B6602" s="266">
        <f>IFERROR(__xludf.DUMMYFUNCTION("""COMPUTED_VALUE"""),45541.0)</f>
        <v>45541</v>
      </c>
      <c r="C6602" s="266" t="str">
        <f>IFERROR(__xludf.DUMMYFUNCTION("""COMPUTED_VALUE"""),"KERTASARI CIAMIS")</f>
        <v>KERTASARI CIAMIS</v>
      </c>
      <c r="D6602" s="186">
        <f>IFERROR(__xludf.DUMMYFUNCTION("""COMPUTED_VALUE"""),0.0)</f>
        <v>0</v>
      </c>
    </row>
    <row r="6603">
      <c r="A6603" s="178" t="str">
        <f>IFERROR(__xludf.DUMMYFUNCTION("""COMPUTED_VALUE"""),"ITBISA-IC-ULN2003AN-DIP16")</f>
        <v>ITBISA-IC-ULN2003AN-DIP16</v>
      </c>
      <c r="B6603" s="266">
        <f>IFERROR(__xludf.DUMMYFUNCTION("""COMPUTED_VALUE"""),45546.0)</f>
        <v>45546</v>
      </c>
      <c r="C6603" s="266" t="str">
        <f>IFERROR(__xludf.DUMMYFUNCTION("""COMPUTED_VALUE"""),"KERTASARI CIAMIS")</f>
        <v>KERTASARI CIAMIS</v>
      </c>
      <c r="D6603" s="186">
        <f>IFERROR(__xludf.DUMMYFUNCTION("""COMPUTED_VALUE"""),66.0)</f>
        <v>66</v>
      </c>
    </row>
    <row r="6604">
      <c r="A6604" s="178" t="str">
        <f>IFERROR(__xludf.DUMMYFUNCTION("""COMPUTED_VALUE"""),"ITBISA-IC-ULN2003AN-DIP16")</f>
        <v>ITBISA-IC-ULN2003AN-DIP16</v>
      </c>
      <c r="B6604" s="266">
        <f>IFERROR(__xludf.DUMMYFUNCTION("""COMPUTED_VALUE"""),45554.0)</f>
        <v>45554</v>
      </c>
      <c r="C6604" s="266" t="str">
        <f>IFERROR(__xludf.DUMMYFUNCTION("""COMPUTED_VALUE"""),"KYAI KONTONG")</f>
        <v>KYAI KONTONG</v>
      </c>
      <c r="D6604" s="186">
        <f>IFERROR(__xludf.DUMMYFUNCTION("""COMPUTED_VALUE"""),50.0)</f>
        <v>50</v>
      </c>
    </row>
    <row r="6605">
      <c r="A6605" s="178" t="str">
        <f>IFERROR(__xludf.DUMMYFUNCTION("""COMPUTED_VALUE"""),"ITBISA-IC-ULN2003AN-DIP16")</f>
        <v>ITBISA-IC-ULN2003AN-DIP16</v>
      </c>
      <c r="B6605" s="266">
        <f>IFERROR(__xludf.DUMMYFUNCTION("""COMPUTED_VALUE"""),45558.0)</f>
        <v>45558</v>
      </c>
      <c r="C6605" s="266" t="str">
        <f>IFERROR(__xludf.DUMMYFUNCTION("""COMPUTED_VALUE"""),"KYAI KONTONG")</f>
        <v>KYAI KONTONG</v>
      </c>
      <c r="D6605" s="186">
        <f>IFERROR(__xludf.DUMMYFUNCTION("""COMPUTED_VALUE"""),50.0)</f>
        <v>50</v>
      </c>
    </row>
    <row r="6606">
      <c r="A6606" s="178" t="str">
        <f>IFERROR(__xludf.DUMMYFUNCTION("""COMPUTED_VALUE"""),"ITBISA-IC-ULN2003AN-DIP16")</f>
        <v>ITBISA-IC-ULN2003AN-DIP16</v>
      </c>
      <c r="B6606" s="266">
        <f>IFERROR(__xludf.DUMMYFUNCTION("""COMPUTED_VALUE"""),45565.0)</f>
        <v>45565</v>
      </c>
      <c r="C6606" s="266" t="str">
        <f>IFERROR(__xludf.DUMMYFUNCTION("""COMPUTED_VALUE"""),"KERTASARI CIAMIS")</f>
        <v>KERTASARI CIAMIS</v>
      </c>
      <c r="D6606" s="186">
        <f>IFERROR(__xludf.DUMMYFUNCTION("""COMPUTED_VALUE"""),8.0)</f>
        <v>8</v>
      </c>
    </row>
    <row r="6607">
      <c r="A6607" s="178" t="str">
        <f>IFERROR(__xludf.DUMMYFUNCTION("""COMPUTED_VALUE"""),"ITBISA-IC-ULN2003AN-DIP16")</f>
        <v>ITBISA-IC-ULN2003AN-DIP16</v>
      </c>
      <c r="B6607" s="266">
        <f>IFERROR(__xludf.DUMMYFUNCTION("""COMPUTED_VALUE"""),45607.0)</f>
        <v>45607</v>
      </c>
      <c r="C6607" s="266" t="str">
        <f>IFERROR(__xludf.DUMMYFUNCTION("""COMPUTED_VALUE"""),"KERTASARI CIAMIS")</f>
        <v>KERTASARI CIAMIS</v>
      </c>
      <c r="D6607" s="186">
        <f>IFERROR(__xludf.DUMMYFUNCTION("""COMPUTED_VALUE"""),49.0)</f>
        <v>49</v>
      </c>
    </row>
    <row r="6608">
      <c r="A6608" s="178" t="str">
        <f>IFERROR(__xludf.DUMMYFUNCTION("""COMPUTED_VALUE"""),"ITBISA-IC-ULN2003AN-DIP16")</f>
        <v>ITBISA-IC-ULN2003AN-DIP16</v>
      </c>
      <c r="B6608" s="266">
        <f>IFERROR(__xludf.DUMMYFUNCTION("""COMPUTED_VALUE"""),45615.0)</f>
        <v>45615</v>
      </c>
      <c r="C6608" s="266" t="str">
        <f>IFERROR(__xludf.DUMMYFUNCTION("""COMPUTED_VALUE"""),"KERTASARI CIAMIS")</f>
        <v>KERTASARI CIAMIS</v>
      </c>
      <c r="D6608" s="186">
        <f>IFERROR(__xludf.DUMMYFUNCTION("""COMPUTED_VALUE"""),10.0)</f>
        <v>10</v>
      </c>
    </row>
    <row r="6609">
      <c r="A6609" s="178" t="str">
        <f>IFERROR(__xludf.DUMMYFUNCTION("""COMPUTED_VALUE"""),"ITBISA-IC-ULN2003AN-DIP16")</f>
        <v>ITBISA-IC-ULN2003AN-DIP16</v>
      </c>
      <c r="B6609" s="266">
        <f>IFERROR(__xludf.DUMMYFUNCTION("""COMPUTED_VALUE"""),45618.0)</f>
        <v>45618</v>
      </c>
      <c r="C6609" s="266" t="str">
        <f>IFERROR(__xludf.DUMMYFUNCTION("""COMPUTED_VALUE"""),"KYAI KONTONG")</f>
        <v>KYAI KONTONG</v>
      </c>
      <c r="D6609" s="186">
        <f>IFERROR(__xludf.DUMMYFUNCTION("""COMPUTED_VALUE"""),20.0)</f>
        <v>20</v>
      </c>
    </row>
    <row r="6610">
      <c r="A6610" s="178" t="str">
        <f>IFERROR(__xludf.DUMMYFUNCTION("""COMPUTED_VALUE"""),"ITBISA-IC-ULN2003AN-DIP16")</f>
        <v>ITBISA-IC-ULN2003AN-DIP16</v>
      </c>
      <c r="B6610" s="266">
        <f>IFERROR(__xludf.DUMMYFUNCTION("""COMPUTED_VALUE"""),45624.0)</f>
        <v>45624</v>
      </c>
      <c r="C6610" s="266" t="str">
        <f>IFERROR(__xludf.DUMMYFUNCTION("""COMPUTED_VALUE"""),"KYAI KONTONG")</f>
        <v>KYAI KONTONG</v>
      </c>
      <c r="D6610" s="186">
        <f>IFERROR(__xludf.DUMMYFUNCTION("""COMPUTED_VALUE"""),200.0)</f>
        <v>200</v>
      </c>
    </row>
    <row r="6611">
      <c r="A6611" s="178" t="str">
        <f>IFERROR(__xludf.DUMMYFUNCTION("""COMPUTED_VALUE"""),"ITBISA-IC-ULN2003AN-DIP16")</f>
        <v>ITBISA-IC-ULN2003AN-DIP16</v>
      </c>
      <c r="B6611" s="266">
        <f>IFERROR(__xludf.DUMMYFUNCTION("""COMPUTED_VALUE"""),45625.0)</f>
        <v>45625</v>
      </c>
      <c r="C6611" s="266" t="str">
        <f>IFERROR(__xludf.DUMMYFUNCTION("""COMPUTED_VALUE"""),"KERTASARI CIAMIS")</f>
        <v>KERTASARI CIAMIS</v>
      </c>
      <c r="D6611" s="186">
        <f>IFERROR(__xludf.DUMMYFUNCTION("""COMPUTED_VALUE"""),10.0)</f>
        <v>10</v>
      </c>
    </row>
    <row r="6612">
      <c r="A6612" s="178" t="str">
        <f>IFERROR(__xludf.DUMMYFUNCTION("""COMPUTED_VALUE"""),"ITBISA-IC-ULN2003AN-DIP16")</f>
        <v>ITBISA-IC-ULN2003AN-DIP16</v>
      </c>
      <c r="B6612" s="266">
        <f>IFERROR(__xludf.DUMMYFUNCTION("""COMPUTED_VALUE"""),45691.0)</f>
        <v>45691</v>
      </c>
      <c r="C6612" s="266" t="str">
        <f>IFERROR(__xludf.DUMMYFUNCTION("""COMPUTED_VALUE"""),"KERTASARI CIAMIS")</f>
        <v>KERTASARI CIAMIS</v>
      </c>
      <c r="D6612" s="186">
        <f>IFERROR(__xludf.DUMMYFUNCTION("""COMPUTED_VALUE"""),8.0)</f>
        <v>8</v>
      </c>
    </row>
    <row r="6613">
      <c r="A6613" s="178" t="str">
        <f>IFERROR(__xludf.DUMMYFUNCTION("""COMPUTED_VALUE"""),"ITBISA-IC-ULN2003AN-DIP16")</f>
        <v>ITBISA-IC-ULN2003AN-DIP16</v>
      </c>
      <c r="B6613" s="266">
        <f>IFERROR(__xludf.DUMMYFUNCTION("""COMPUTED_VALUE"""),45704.0)</f>
        <v>45704</v>
      </c>
      <c r="C6613" s="266" t="str">
        <f>IFERROR(__xludf.DUMMYFUNCTION("""COMPUTED_VALUE"""),"KERTASARI CIAMIS")</f>
        <v>KERTASARI CIAMIS</v>
      </c>
      <c r="D6613" s="186">
        <f>IFERROR(__xludf.DUMMYFUNCTION("""COMPUTED_VALUE"""),25.0)</f>
        <v>25</v>
      </c>
    </row>
    <row r="6614">
      <c r="A6614" s="178" t="str">
        <f>IFERROR(__xludf.DUMMYFUNCTION("""COMPUTED_VALUE"""),"ITBISA-IC-ULN2003AN-DIP16")</f>
        <v>ITBISA-IC-ULN2003AN-DIP16</v>
      </c>
      <c r="B6614" s="266">
        <f>IFERROR(__xludf.DUMMYFUNCTION("""COMPUTED_VALUE"""),45706.0)</f>
        <v>45706</v>
      </c>
      <c r="C6614" s="266" t="str">
        <f>IFERROR(__xludf.DUMMYFUNCTION("""COMPUTED_VALUE"""),"KERTASARI CIAMIS")</f>
        <v>KERTASARI CIAMIS</v>
      </c>
      <c r="D6614" s="186">
        <f>IFERROR(__xludf.DUMMYFUNCTION("""COMPUTED_VALUE"""),25.0)</f>
        <v>25</v>
      </c>
    </row>
    <row r="6615">
      <c r="A6615" s="178" t="str">
        <f>IFERROR(__xludf.DUMMYFUNCTION("""COMPUTED_VALUE"""),"ITBISA-IC-ULN2003AN-DIP16")</f>
        <v>ITBISA-IC-ULN2003AN-DIP16</v>
      </c>
      <c r="B6615" s="266">
        <f>IFERROR(__xludf.DUMMYFUNCTION("""COMPUTED_VALUE"""),45707.0)</f>
        <v>45707</v>
      </c>
      <c r="C6615" s="266" t="str">
        <f>IFERROR(__xludf.DUMMYFUNCTION("""COMPUTED_VALUE"""),"KERTASARI CIAMIS")</f>
        <v>KERTASARI CIAMIS</v>
      </c>
      <c r="D6615" s="186">
        <f>IFERROR(__xludf.DUMMYFUNCTION("""COMPUTED_VALUE"""),10.0)</f>
        <v>10</v>
      </c>
    </row>
    <row r="6616">
      <c r="A6616" s="178" t="str">
        <f>IFERROR(__xludf.DUMMYFUNCTION("""COMPUTED_VALUE"""),"ITBISA-IC-ULN2003AN-DIP16")</f>
        <v>ITBISA-IC-ULN2003AN-DIP16</v>
      </c>
      <c r="B6616" s="266">
        <f>IFERROR(__xludf.DUMMYFUNCTION("""COMPUTED_VALUE"""),45718.0)</f>
        <v>45718</v>
      </c>
      <c r="C6616" s="266" t="str">
        <f>IFERROR(__xludf.DUMMYFUNCTION("""COMPUTED_VALUE"""),"KYAI KONTONG")</f>
        <v>KYAI KONTONG</v>
      </c>
      <c r="D6616" s="186">
        <f>IFERROR(__xludf.DUMMYFUNCTION("""COMPUTED_VALUE"""),0.0)</f>
        <v>0</v>
      </c>
    </row>
    <row r="6617">
      <c r="A6617" s="178" t="str">
        <f>IFERROR(__xludf.DUMMYFUNCTION("""COMPUTED_VALUE"""),"ITBISA-IC-ULN2003AN-DIP16")</f>
        <v>ITBISA-IC-ULN2003AN-DIP16</v>
      </c>
      <c r="B6617" s="266">
        <f>IFERROR(__xludf.DUMMYFUNCTION("""COMPUTED_VALUE"""),45731.0)</f>
        <v>45731</v>
      </c>
      <c r="C6617" s="266" t="str">
        <f>IFERROR(__xludf.DUMMYFUNCTION("""COMPUTED_VALUE"""),"KYAI KONTONG")</f>
        <v>KYAI KONTONG</v>
      </c>
      <c r="D6617" s="186">
        <f>IFERROR(__xludf.DUMMYFUNCTION("""COMPUTED_VALUE"""),5.0)</f>
        <v>5</v>
      </c>
    </row>
    <row r="6618">
      <c r="A6618" s="178" t="str">
        <f>IFERROR(__xludf.DUMMYFUNCTION("""COMPUTED_VALUE"""),"ITBISA-IC-ULN2003AN-DIP16")</f>
        <v>ITBISA-IC-ULN2003AN-DIP16</v>
      </c>
      <c r="B6618" s="266">
        <f>IFERROR(__xludf.DUMMYFUNCTION("""COMPUTED_VALUE"""),45750.0)</f>
        <v>45750</v>
      </c>
      <c r="C6618" s="266" t="str">
        <f>IFERROR(__xludf.DUMMYFUNCTION("""COMPUTED_VALUE"""),"KERTASARI CIAMIS")</f>
        <v>KERTASARI CIAMIS</v>
      </c>
      <c r="D6618" s="186">
        <f>IFERROR(__xludf.DUMMYFUNCTION("""COMPUTED_VALUE"""),12.0)</f>
        <v>12</v>
      </c>
    </row>
    <row r="6619">
      <c r="A6619" s="178" t="str">
        <f>IFERROR(__xludf.DUMMYFUNCTION("""COMPUTED_VALUE"""),"ITBISA-IC-ULN2003AN-DIP16")</f>
        <v>ITBISA-IC-ULN2003AN-DIP16</v>
      </c>
      <c r="B6619" s="266">
        <f>IFERROR(__xludf.DUMMYFUNCTION("""COMPUTED_VALUE"""),45762.0)</f>
        <v>45762</v>
      </c>
      <c r="C6619" s="266" t="str">
        <f>IFERROR(__xludf.DUMMYFUNCTION("""COMPUTED_VALUE"""),"KYAI KONTONG")</f>
        <v>KYAI KONTONG</v>
      </c>
      <c r="D6619" s="186">
        <f>IFERROR(__xludf.DUMMYFUNCTION("""COMPUTED_VALUE"""),378.0)</f>
        <v>378</v>
      </c>
    </row>
    <row r="6620">
      <c r="A6620" s="178" t="str">
        <f>IFERROR(__xludf.DUMMYFUNCTION("""COMPUTED_VALUE"""),"ITBISA-IC-ULN2003AN-DIP16")</f>
        <v>ITBISA-IC-ULN2003AN-DIP16</v>
      </c>
      <c r="B6620" s="266">
        <f>IFERROR(__xludf.DUMMYFUNCTION("""COMPUTED_VALUE"""),45774.0)</f>
        <v>45774</v>
      </c>
      <c r="C6620" s="266" t="str">
        <f>IFERROR(__xludf.DUMMYFUNCTION("""COMPUTED_VALUE"""),"KYAI KONTONG")</f>
        <v>KYAI KONTONG</v>
      </c>
      <c r="D6620" s="186">
        <f>IFERROR(__xludf.DUMMYFUNCTION("""COMPUTED_VALUE"""),30.0)</f>
        <v>30</v>
      </c>
    </row>
    <row r="6621">
      <c r="A6621" s="178" t="str">
        <f>IFERROR(__xludf.DUMMYFUNCTION("""COMPUTED_VALUE"""),"ITBISA-IC-ULN2003AN-DIP16")</f>
        <v>ITBISA-IC-ULN2003AN-DIP16</v>
      </c>
      <c r="B6621" s="266">
        <f>IFERROR(__xludf.DUMMYFUNCTION("""COMPUTED_VALUE"""),45775.0)</f>
        <v>45775</v>
      </c>
      <c r="C6621" s="266" t="str">
        <f>IFERROR(__xludf.DUMMYFUNCTION("""COMPUTED_VALUE"""),"KYAI KONTONG")</f>
        <v>KYAI KONTONG</v>
      </c>
      <c r="D6621" s="186">
        <f>IFERROR(__xludf.DUMMYFUNCTION("""COMPUTED_VALUE"""),10.0)</f>
        <v>10</v>
      </c>
    </row>
    <row r="6622">
      <c r="A6622" s="178" t="str">
        <f>IFERROR(__xludf.DUMMYFUNCTION("""COMPUTED_VALUE"""),"ITBISA-IC-ULN2003AN-DIP16")</f>
        <v>ITBISA-IC-ULN2003AN-DIP16</v>
      </c>
      <c r="B6622" s="266">
        <f>IFERROR(__xludf.DUMMYFUNCTION("""COMPUTED_VALUE"""),45784.0)</f>
        <v>45784</v>
      </c>
      <c r="C6622" s="266" t="str">
        <f>IFERROR(__xludf.DUMMYFUNCTION("""COMPUTED_VALUE"""),"KYAI KONTONG")</f>
        <v>KYAI KONTONG</v>
      </c>
      <c r="D6622" s="186">
        <f>IFERROR(__xludf.DUMMYFUNCTION("""COMPUTED_VALUE"""),5.0)</f>
        <v>5</v>
      </c>
    </row>
    <row r="6623">
      <c r="A6623" s="178" t="str">
        <f>IFERROR(__xludf.DUMMYFUNCTION("""COMPUTED_VALUE"""),"ITBISA-IC-ULN2003AN-DIP16")</f>
        <v>ITBISA-IC-ULN2003AN-DIP16</v>
      </c>
      <c r="B6623" s="266">
        <f>IFERROR(__xludf.DUMMYFUNCTION("""COMPUTED_VALUE"""),45847.0)</f>
        <v>45847</v>
      </c>
      <c r="C6623" s="266" t="str">
        <f>IFERROR(__xludf.DUMMYFUNCTION("""COMPUTED_VALUE"""),"KERTASARI CIAMIS")</f>
        <v>KERTASARI CIAMIS</v>
      </c>
      <c r="D6623" s="186">
        <f>IFERROR(__xludf.DUMMYFUNCTION("""COMPUTED_VALUE"""),30.0)</f>
        <v>30</v>
      </c>
    </row>
    <row r="6624">
      <c r="A6624" s="178" t="str">
        <f>IFERROR(__xludf.DUMMYFUNCTION("""COMPUTED_VALUE"""),"ITBISA-IC-ULN2003AN-DIP16")</f>
        <v>ITBISA-IC-ULN2003AN-DIP16</v>
      </c>
      <c r="B6624" s="266">
        <f>IFERROR(__xludf.DUMMYFUNCTION("""COMPUTED_VALUE"""),45848.0)</f>
        <v>45848</v>
      </c>
      <c r="C6624" s="266" t="str">
        <f>IFERROR(__xludf.DUMMYFUNCTION("""COMPUTED_VALUE"""),"KERTASARI CIAMIS")</f>
        <v>KERTASARI CIAMIS</v>
      </c>
      <c r="D6624" s="186">
        <f>IFERROR(__xludf.DUMMYFUNCTION("""COMPUTED_VALUE"""),50.0)</f>
        <v>50</v>
      </c>
    </row>
    <row r="6625">
      <c r="A6625" s="178" t="str">
        <f>IFERROR(__xludf.DUMMYFUNCTION("""COMPUTED_VALUE"""),"ITBISA-IC-ULN2003AN-DIP16")</f>
        <v>ITBISA-IC-ULN2003AN-DIP16</v>
      </c>
      <c r="B6625" s="266">
        <f>IFERROR(__xludf.DUMMYFUNCTION("""COMPUTED_VALUE"""),45852.0)</f>
        <v>45852</v>
      </c>
      <c r="C6625" s="266" t="str">
        <f>IFERROR(__xludf.DUMMYFUNCTION("""COMPUTED_VALUE"""),"KERTASARI CIAMIS")</f>
        <v>KERTASARI CIAMIS</v>
      </c>
      <c r="D6625" s="186">
        <f>IFERROR(__xludf.DUMMYFUNCTION("""COMPUTED_VALUE"""),5.0)</f>
        <v>5</v>
      </c>
    </row>
    <row r="6626">
      <c r="A6626" s="178" t="str">
        <f>IFERROR(__xludf.DUMMYFUNCTION("""COMPUTED_VALUE"""),"ITBISA-IC-ULN2003AN-DIP16")</f>
        <v>ITBISA-IC-ULN2003AN-DIP16</v>
      </c>
      <c r="B6626" s="266">
        <f>IFERROR(__xludf.DUMMYFUNCTION("""COMPUTED_VALUE"""),45864.0)</f>
        <v>45864</v>
      </c>
      <c r="C6626" s="266" t="str">
        <f>IFERROR(__xludf.DUMMYFUNCTION("""COMPUTED_VALUE"""),"KYAI KONTONG")</f>
        <v>KYAI KONTONG</v>
      </c>
      <c r="D6626" s="186">
        <f>IFERROR(__xludf.DUMMYFUNCTION("""COMPUTED_VALUE"""),5.0)</f>
        <v>5</v>
      </c>
    </row>
    <row r="6627">
      <c r="A6627" s="178" t="str">
        <f>IFERROR(__xludf.DUMMYFUNCTION("""COMPUTED_VALUE"""),"ITBISA-IC-ULN2003AN-DIP16")</f>
        <v>ITBISA-IC-ULN2003AN-DIP16</v>
      </c>
      <c r="B6627" s="266">
        <f>IFERROR(__xludf.DUMMYFUNCTION("""COMPUTED_VALUE"""),45880.0)</f>
        <v>45880</v>
      </c>
      <c r="C6627" s="266" t="str">
        <f>IFERROR(__xludf.DUMMYFUNCTION("""COMPUTED_VALUE"""),"KYAI KONTONG")</f>
        <v>KYAI KONTONG</v>
      </c>
      <c r="D6627" s="186">
        <f>IFERROR(__xludf.DUMMYFUNCTION("""COMPUTED_VALUE"""),5.0)</f>
        <v>5</v>
      </c>
    </row>
    <row r="6628">
      <c r="A6628" s="178" t="str">
        <f>IFERROR(__xludf.DUMMYFUNCTION("""COMPUTED_VALUE"""),"ITBISA-IC-ULN2003AN-DIP16")</f>
        <v>ITBISA-IC-ULN2003AN-DIP16</v>
      </c>
      <c r="B6628" s="266">
        <f>IFERROR(__xludf.DUMMYFUNCTION("""COMPUTED_VALUE"""),45895.0)</f>
        <v>45895</v>
      </c>
      <c r="C6628" s="266" t="str">
        <f>IFERROR(__xludf.DUMMYFUNCTION("""COMPUTED_VALUE"""),"KYAI KONTONG")</f>
        <v>KYAI KONTONG</v>
      </c>
      <c r="D6628" s="186">
        <f>IFERROR(__xludf.DUMMYFUNCTION("""COMPUTED_VALUE"""),30.0)</f>
        <v>30</v>
      </c>
    </row>
    <row r="6629">
      <c r="A6629" s="178" t="str">
        <f>IFERROR(__xludf.DUMMYFUNCTION("""COMPUTED_VALUE"""),"ITBISA-IC-ULN2003AN-DIP16")</f>
        <v>ITBISA-IC-ULN2003AN-DIP16</v>
      </c>
      <c r="B6629" s="266">
        <f>IFERROR(__xludf.DUMMYFUNCTION("""COMPUTED_VALUE"""),45904.0)</f>
        <v>45904</v>
      </c>
      <c r="C6629" s="266" t="str">
        <f>IFERROR(__xludf.DUMMYFUNCTION("""COMPUTED_VALUE"""),"KERTASARI CIAMIS")</f>
        <v>KERTASARI CIAMIS</v>
      </c>
      <c r="D6629" s="186">
        <f>IFERROR(__xludf.DUMMYFUNCTION("""COMPUTED_VALUE"""),50.0)</f>
        <v>50</v>
      </c>
    </row>
    <row r="6630">
      <c r="A6630" s="178" t="str">
        <f>IFERROR(__xludf.DUMMYFUNCTION("""COMPUTED_VALUE"""),"ITBISA-IC-ULN2003AN-DIP16")</f>
        <v>ITBISA-IC-ULN2003AN-DIP16</v>
      </c>
      <c r="B6630" s="266">
        <f>IFERROR(__xludf.DUMMYFUNCTION("""COMPUTED_VALUE"""),45931.0)</f>
        <v>45931</v>
      </c>
      <c r="C6630" s="266" t="str">
        <f>IFERROR(__xludf.DUMMYFUNCTION("""COMPUTED_VALUE"""),"KYAI KONTONG")</f>
        <v>KYAI KONTONG</v>
      </c>
      <c r="D6630" s="186">
        <f>IFERROR(__xludf.DUMMYFUNCTION("""COMPUTED_VALUE"""),5.0)</f>
        <v>5</v>
      </c>
    </row>
    <row r="6631">
      <c r="A6631" s="178" t="str">
        <f>IFERROR(__xludf.DUMMYFUNCTION("""COMPUTED_VALUE"""),"ITBISA-IC-ULN2003AN-DIP16")</f>
        <v>ITBISA-IC-ULN2003AN-DIP16</v>
      </c>
      <c r="B6631" s="266">
        <f>IFERROR(__xludf.DUMMYFUNCTION("""COMPUTED_VALUE"""),45938.0)</f>
        <v>45938</v>
      </c>
      <c r="C6631" s="266" t="str">
        <f>IFERROR(__xludf.DUMMYFUNCTION("""COMPUTED_VALUE"""),"KERTASARI CIAMIS")</f>
        <v>KERTASARI CIAMIS</v>
      </c>
      <c r="D6631" s="186">
        <f>IFERROR(__xludf.DUMMYFUNCTION("""COMPUTED_VALUE"""),10.0)</f>
        <v>10</v>
      </c>
    </row>
    <row r="6632">
      <c r="A6632" s="178" t="str">
        <f>IFERROR(__xludf.DUMMYFUNCTION("""COMPUTED_VALUE"""),"ITBISA-IC-ULN2003AN-DIP16")</f>
        <v>ITBISA-IC-ULN2003AN-DIP16</v>
      </c>
      <c r="B6632" s="266">
        <f>IFERROR(__xludf.DUMMYFUNCTION("""COMPUTED_VALUE"""),45946.0)</f>
        <v>45946</v>
      </c>
      <c r="C6632" s="266" t="str">
        <f>IFERROR(__xludf.DUMMYFUNCTION("""COMPUTED_VALUE"""),"KYAI KONTONG")</f>
        <v>KYAI KONTONG</v>
      </c>
      <c r="D6632" s="186">
        <f>IFERROR(__xludf.DUMMYFUNCTION("""COMPUTED_VALUE"""),250.0)</f>
        <v>250</v>
      </c>
    </row>
    <row r="6633">
      <c r="A6633" s="178" t="str">
        <f>IFERROR(__xludf.DUMMYFUNCTION("""COMPUTED_VALUE"""),"ITBISA-IC-ULN2003AN-DIP16")</f>
        <v>ITBISA-IC-ULN2003AN-DIP16</v>
      </c>
      <c r="B6633" s="266">
        <f>IFERROR(__xludf.DUMMYFUNCTION("""COMPUTED_VALUE"""),45950.0)</f>
        <v>45950</v>
      </c>
      <c r="C6633" s="266" t="str">
        <f>IFERROR(__xludf.DUMMYFUNCTION("""COMPUTED_VALUE"""),"KYAI KONTONG")</f>
        <v>KYAI KONTONG</v>
      </c>
      <c r="D6633" s="186">
        <f>IFERROR(__xludf.DUMMYFUNCTION("""COMPUTED_VALUE"""),5.0)</f>
        <v>5</v>
      </c>
    </row>
    <row r="6634">
      <c r="A6634" s="178" t="str">
        <f>IFERROR(__xludf.DUMMYFUNCTION("""COMPUTED_VALUE"""),"ITBISA-IC-ULN2003AN-DIP16")</f>
        <v>ITBISA-IC-ULN2003AN-DIP16</v>
      </c>
      <c r="B6634" s="266">
        <f>IFERROR(__xludf.DUMMYFUNCTION("""COMPUTED_VALUE"""),45950.0)</f>
        <v>45950</v>
      </c>
      <c r="C6634" s="266" t="str">
        <f>IFERROR(__xludf.DUMMYFUNCTION("""COMPUTED_VALUE"""),"KYAI KONTONG")</f>
        <v>KYAI KONTONG</v>
      </c>
      <c r="D6634" s="186">
        <f>IFERROR(__xludf.DUMMYFUNCTION("""COMPUTED_VALUE"""),6.0)</f>
        <v>6</v>
      </c>
    </row>
    <row r="6635">
      <c r="A6635" s="178" t="str">
        <f>IFERROR(__xludf.DUMMYFUNCTION("""COMPUTED_VALUE"""),"ITBISA-IC-ULN2003AN-DIP16")</f>
        <v>ITBISA-IC-ULN2003AN-DIP16</v>
      </c>
      <c r="B6635" s="266">
        <f>IFERROR(__xludf.DUMMYFUNCTION("""COMPUTED_VALUE"""),45959.0)</f>
        <v>45959</v>
      </c>
      <c r="C6635" s="266" t="str">
        <f>IFERROR(__xludf.DUMMYFUNCTION("""COMPUTED_VALUE"""),"KYAI KONTONG")</f>
        <v>KYAI KONTONG</v>
      </c>
      <c r="D6635" s="186">
        <f>IFERROR(__xludf.DUMMYFUNCTION("""COMPUTED_VALUE"""),10.0)</f>
        <v>10</v>
      </c>
    </row>
    <row r="6636">
      <c r="A6636" s="178" t="str">
        <f>IFERROR(__xludf.DUMMYFUNCTION("""COMPUTED_VALUE"""),"ITBISA-IC-ULN2003AN-DIP16")</f>
        <v>ITBISA-IC-ULN2003AN-DIP16</v>
      </c>
      <c r="B6636" s="266">
        <f>IFERROR(__xludf.DUMMYFUNCTION("""COMPUTED_VALUE"""),45966.0)</f>
        <v>45966</v>
      </c>
      <c r="C6636" s="266" t="str">
        <f>IFERROR(__xludf.DUMMYFUNCTION("""COMPUTED_VALUE"""),"KERTASARI CIAMIS")</f>
        <v>KERTASARI CIAMIS</v>
      </c>
      <c r="D6636" s="186">
        <f>IFERROR(__xludf.DUMMYFUNCTION("""COMPUTED_VALUE"""),50.0)</f>
        <v>50</v>
      </c>
    </row>
    <row r="6637">
      <c r="A6637" s="178" t="str">
        <f>IFERROR(__xludf.DUMMYFUNCTION("""COMPUTED_VALUE"""),"ITBISA-IC-ULN2003AN-DIP16")</f>
        <v>ITBISA-IC-ULN2003AN-DIP16</v>
      </c>
      <c r="B6637" s="266">
        <f>IFERROR(__xludf.DUMMYFUNCTION("""COMPUTED_VALUE"""),45968.0)</f>
        <v>45968</v>
      </c>
      <c r="C6637" s="266" t="str">
        <f>IFERROR(__xludf.DUMMYFUNCTION("""COMPUTED_VALUE"""),"KYAI KONTONG")</f>
        <v>KYAI KONTONG</v>
      </c>
      <c r="D6637" s="186">
        <f>IFERROR(__xludf.DUMMYFUNCTION("""COMPUTED_VALUE"""),2.0)</f>
        <v>2</v>
      </c>
    </row>
    <row r="6638">
      <c r="A6638" s="178" t="str">
        <f>IFERROR(__xludf.DUMMYFUNCTION("""COMPUTED_VALUE"""),"ITBISA-IC-ULN2003AN-DIP16")</f>
        <v>ITBISA-IC-ULN2003AN-DIP16</v>
      </c>
      <c r="B6638" s="266">
        <f>IFERROR(__xludf.DUMMYFUNCTION("""COMPUTED_VALUE"""),45973.0)</f>
        <v>45973</v>
      </c>
      <c r="C6638" s="266" t="str">
        <f>IFERROR(__xludf.DUMMYFUNCTION("""COMPUTED_VALUE"""),"KERTASARI CIAMIS")</f>
        <v>KERTASARI CIAMIS</v>
      </c>
      <c r="D6638" s="186">
        <f>IFERROR(__xludf.DUMMYFUNCTION("""COMPUTED_VALUE"""),5.0)</f>
        <v>5</v>
      </c>
    </row>
    <row r="6639">
      <c r="A6639" s="178" t="str">
        <f>IFERROR(__xludf.DUMMYFUNCTION("""COMPUTED_VALUE"""),"ITBISA-IC-ULN2003AN-DIP16")</f>
        <v>ITBISA-IC-ULN2003AN-DIP16</v>
      </c>
      <c r="B6639" s="266">
        <f>IFERROR(__xludf.DUMMYFUNCTION("""COMPUTED_VALUE"""),45980.0)</f>
        <v>45980</v>
      </c>
      <c r="C6639" s="266" t="str">
        <f>IFERROR(__xludf.DUMMYFUNCTION("""COMPUTED_VALUE"""),"KERTASARI CIAMIS")</f>
        <v>KERTASARI CIAMIS</v>
      </c>
      <c r="D6639" s="186">
        <f>IFERROR(__xludf.DUMMYFUNCTION("""COMPUTED_VALUE"""),15.0)</f>
        <v>15</v>
      </c>
    </row>
    <row r="6640">
      <c r="A6640" s="178" t="str">
        <f>IFERROR(__xludf.DUMMYFUNCTION("""COMPUTED_VALUE"""),"ITBISA-IC-ULN2003AN-DIP16")</f>
        <v>ITBISA-IC-ULN2003AN-DIP16</v>
      </c>
      <c r="B6640" s="266">
        <f>IFERROR(__xludf.DUMMYFUNCTION("""COMPUTED_VALUE"""),45981.0)</f>
        <v>45981</v>
      </c>
      <c r="C6640" s="266" t="str">
        <f>IFERROR(__xludf.DUMMYFUNCTION("""COMPUTED_VALUE"""),"KERTASARI CIAMIS")</f>
        <v>KERTASARI CIAMIS</v>
      </c>
      <c r="D6640" s="186">
        <f>IFERROR(__xludf.DUMMYFUNCTION("""COMPUTED_VALUE"""),1.0)</f>
        <v>1</v>
      </c>
    </row>
    <row r="6641">
      <c r="A6641" s="178" t="str">
        <f>IFERROR(__xludf.DUMMYFUNCTION("""COMPUTED_VALUE"""),"ITBISA-IC-ULN2003AN-DIP16")</f>
        <v>ITBISA-IC-ULN2003AN-DIP16</v>
      </c>
      <c r="B6641" s="266">
        <f>IFERROR(__xludf.DUMMYFUNCTION("""COMPUTED_VALUE"""),45994.0)</f>
        <v>45994</v>
      </c>
      <c r="C6641" s="266" t="str">
        <f>IFERROR(__xludf.DUMMYFUNCTION("""COMPUTED_VALUE"""),"KERTASARI CIAMIS")</f>
        <v>KERTASARI CIAMIS</v>
      </c>
      <c r="D6641" s="186">
        <f>IFERROR(__xludf.DUMMYFUNCTION("""COMPUTED_VALUE"""),2.0)</f>
        <v>2</v>
      </c>
    </row>
    <row r="6642">
      <c r="A6642" s="178" t="str">
        <f>IFERROR(__xludf.DUMMYFUNCTION("""COMPUTED_VALUE"""),"ITBISA-IC-ULN2003AN-DIP16")</f>
        <v>ITBISA-IC-ULN2003AN-DIP16</v>
      </c>
      <c r="B6642" s="266">
        <f>IFERROR(__xludf.DUMMYFUNCTION("""COMPUTED_VALUE"""),46003.0)</f>
        <v>46003</v>
      </c>
      <c r="C6642" s="266" t="str">
        <f>IFERROR(__xludf.DUMMYFUNCTION("""COMPUTED_VALUE"""),"KYAI KONTONG")</f>
        <v>KYAI KONTONG</v>
      </c>
      <c r="D6642" s="186">
        <f>IFERROR(__xludf.DUMMYFUNCTION("""COMPUTED_VALUE"""),10.0)</f>
        <v>10</v>
      </c>
    </row>
    <row r="6643">
      <c r="A6643" s="178" t="str">
        <f>IFERROR(__xludf.DUMMYFUNCTION("""COMPUTED_VALUE"""),"ITBISA-IC-ULN2003AN-DIP16")</f>
        <v>ITBISA-IC-ULN2003AN-DIP16</v>
      </c>
      <c r="B6643" s="266">
        <f>IFERROR(__xludf.DUMMYFUNCTION("""COMPUTED_VALUE"""),46013.0)</f>
        <v>46013</v>
      </c>
      <c r="C6643" s="266" t="str">
        <f>IFERROR(__xludf.DUMMYFUNCTION("""COMPUTED_VALUE"""),"KYAI KONTONG")</f>
        <v>KYAI KONTONG</v>
      </c>
      <c r="D6643" s="186">
        <f>IFERROR(__xludf.DUMMYFUNCTION("""COMPUTED_VALUE"""),4.0)</f>
        <v>4</v>
      </c>
    </row>
    <row r="6644">
      <c r="A6644" s="178" t="str">
        <f>IFERROR(__xludf.DUMMYFUNCTION("""COMPUTED_VALUE"""),"ITBISA-IC-ULN2003AN-DIP16")</f>
        <v>ITBISA-IC-ULN2003AN-DIP16</v>
      </c>
      <c r="B6644" s="266">
        <f>IFERROR(__xludf.DUMMYFUNCTION("""COMPUTED_VALUE"""),46019.0)</f>
        <v>46019</v>
      </c>
      <c r="C6644" s="266" t="str">
        <f>IFERROR(__xludf.DUMMYFUNCTION("""COMPUTED_VALUE"""),"KYAI KONTONG")</f>
        <v>KYAI KONTONG</v>
      </c>
      <c r="D6644" s="186">
        <f>IFERROR(__xludf.DUMMYFUNCTION("""COMPUTED_VALUE"""),20.0)</f>
        <v>20</v>
      </c>
    </row>
    <row r="6645">
      <c r="A6645" s="178" t="str">
        <f>IFERROR(__xludf.DUMMYFUNCTION("""COMPUTED_VALUE"""),"ITBISA-IC-ULN2003AN-DIP16")</f>
        <v>ITBISA-IC-ULN2003AN-DIP16</v>
      </c>
      <c r="B6645" s="266">
        <f>IFERROR(__xludf.DUMMYFUNCTION("""COMPUTED_VALUE"""),46021.0)</f>
        <v>46021</v>
      </c>
      <c r="C6645" s="266" t="str">
        <f>IFERROR(__xludf.DUMMYFUNCTION("""COMPUTED_VALUE"""),"KYAI KONTONG")</f>
        <v>KYAI KONTONG</v>
      </c>
      <c r="D6645" s="186">
        <f>IFERROR(__xludf.DUMMYFUNCTION("""COMPUTED_VALUE"""),10.0)</f>
        <v>10</v>
      </c>
    </row>
    <row r="6646">
      <c r="A6646" s="178" t="str">
        <f>IFERROR(__xludf.DUMMYFUNCTION("""COMPUTED_VALUE"""),"ITBISA-IC-ULN2803APG-DIP18")</f>
        <v>ITBISA-IC-ULN2803APG-DIP18</v>
      </c>
      <c r="B6646" s="266">
        <f>IFERROR(__xludf.DUMMYFUNCTION("""COMPUTED_VALUE"""),45238.0)</f>
        <v>45238</v>
      </c>
      <c r="C6646" s="266" t="str">
        <f>IFERROR(__xludf.DUMMYFUNCTION("""COMPUTED_VALUE"""),"KYAI KONTONG")</f>
        <v>KYAI KONTONG</v>
      </c>
      <c r="D6646" s="186">
        <f>IFERROR(__xludf.DUMMYFUNCTION("""COMPUTED_VALUE"""),10.0)</f>
        <v>10</v>
      </c>
    </row>
    <row r="6647">
      <c r="A6647" s="178" t="str">
        <f>IFERROR(__xludf.DUMMYFUNCTION("""COMPUTED_VALUE"""),"ITBISA-IC-ULN2803APG-DIP18")</f>
        <v>ITBISA-IC-ULN2803APG-DIP18</v>
      </c>
      <c r="B6647" s="266">
        <f>IFERROR(__xludf.DUMMYFUNCTION("""COMPUTED_VALUE"""),45251.0)</f>
        <v>45251</v>
      </c>
      <c r="C6647" s="266" t="str">
        <f>IFERROR(__xludf.DUMMYFUNCTION("""COMPUTED_VALUE"""),"KYAI KONTONG")</f>
        <v>KYAI KONTONG</v>
      </c>
      <c r="D6647" s="186">
        <f>IFERROR(__xludf.DUMMYFUNCTION("""COMPUTED_VALUE"""),5.0)</f>
        <v>5</v>
      </c>
    </row>
    <row r="6648">
      <c r="A6648" s="178" t="str">
        <f>IFERROR(__xludf.DUMMYFUNCTION("""COMPUTED_VALUE"""),"ITBISA-IC-ULN2803APG-DIP18")</f>
        <v>ITBISA-IC-ULN2803APG-DIP18</v>
      </c>
      <c r="B6648" s="266">
        <f>IFERROR(__xludf.DUMMYFUNCTION("""COMPUTED_VALUE"""),45302.0)</f>
        <v>45302</v>
      </c>
      <c r="C6648" s="266" t="str">
        <f>IFERROR(__xludf.DUMMYFUNCTION("""COMPUTED_VALUE"""),"KYAI KONTONG")</f>
        <v>KYAI KONTONG</v>
      </c>
      <c r="D6648" s="186">
        <f>IFERROR(__xludf.DUMMYFUNCTION("""COMPUTED_VALUE"""),15.0)</f>
        <v>15</v>
      </c>
    </row>
    <row r="6649">
      <c r="A6649" s="178" t="str">
        <f>IFERROR(__xludf.DUMMYFUNCTION("""COMPUTED_VALUE"""),"ITBISA-IC-ULN2803APG-DIP18")</f>
        <v>ITBISA-IC-ULN2803APG-DIP18</v>
      </c>
      <c r="B6649" s="266">
        <f>IFERROR(__xludf.DUMMYFUNCTION("""COMPUTED_VALUE"""),45318.0)</f>
        <v>45318</v>
      </c>
      <c r="C6649" s="266" t="str">
        <f>IFERROR(__xludf.DUMMYFUNCTION("""COMPUTED_VALUE"""),"KYAI KONTONG")</f>
        <v>KYAI KONTONG</v>
      </c>
      <c r="D6649" s="186">
        <f>IFERROR(__xludf.DUMMYFUNCTION("""COMPUTED_VALUE"""),3.0)</f>
        <v>3</v>
      </c>
    </row>
    <row r="6650">
      <c r="A6650" s="178" t="str">
        <f>IFERROR(__xludf.DUMMYFUNCTION("""COMPUTED_VALUE"""),"ITBISA-IC-ULN2803APG-DIP18")</f>
        <v>ITBISA-IC-ULN2803APG-DIP18</v>
      </c>
      <c r="B6650" s="266">
        <f>IFERROR(__xludf.DUMMYFUNCTION("""COMPUTED_VALUE"""),45323.0)</f>
        <v>45323</v>
      </c>
      <c r="C6650" s="266" t="str">
        <f>IFERROR(__xludf.DUMMYFUNCTION("""COMPUTED_VALUE"""),"KYAI KONTONG")</f>
        <v>KYAI KONTONG</v>
      </c>
      <c r="D6650" s="186">
        <f>IFERROR(__xludf.DUMMYFUNCTION("""COMPUTED_VALUE"""),10.0)</f>
        <v>10</v>
      </c>
    </row>
    <row r="6651">
      <c r="A6651" s="178" t="str">
        <f>IFERROR(__xludf.DUMMYFUNCTION("""COMPUTED_VALUE"""),"ITBISA-IC-ULN2803APG-DIP18")</f>
        <v>ITBISA-IC-ULN2803APG-DIP18</v>
      </c>
      <c r="B6651" s="266">
        <f>IFERROR(__xludf.DUMMYFUNCTION("""COMPUTED_VALUE"""),45340.0)</f>
        <v>45340</v>
      </c>
      <c r="C6651" s="266" t="str">
        <f>IFERROR(__xludf.DUMMYFUNCTION("""COMPUTED_VALUE"""),"KYAI KONTONG")</f>
        <v>KYAI KONTONG</v>
      </c>
      <c r="D6651" s="186">
        <f>IFERROR(__xludf.DUMMYFUNCTION("""COMPUTED_VALUE"""),10.0)</f>
        <v>10</v>
      </c>
    </row>
    <row r="6652">
      <c r="A6652" s="178" t="str">
        <f>IFERROR(__xludf.DUMMYFUNCTION("""COMPUTED_VALUE"""),"ITBISA-IC-ULN2803APG-DIP18")</f>
        <v>ITBISA-IC-ULN2803APG-DIP18</v>
      </c>
      <c r="B6652" s="266">
        <f>IFERROR(__xludf.DUMMYFUNCTION("""COMPUTED_VALUE"""),45344.0)</f>
        <v>45344</v>
      </c>
      <c r="C6652" s="266" t="str">
        <f>IFERROR(__xludf.DUMMYFUNCTION("""COMPUTED_VALUE"""),"KYAI KONTONG")</f>
        <v>KYAI KONTONG</v>
      </c>
      <c r="D6652" s="186">
        <f>IFERROR(__xludf.DUMMYFUNCTION("""COMPUTED_VALUE"""),20.0)</f>
        <v>20</v>
      </c>
    </row>
    <row r="6653">
      <c r="A6653" s="178" t="str">
        <f>IFERROR(__xludf.DUMMYFUNCTION("""COMPUTED_VALUE"""),"ITBISA-IC-ULN2803APG-DIP18")</f>
        <v>ITBISA-IC-ULN2803APG-DIP18</v>
      </c>
      <c r="B6653" s="266">
        <f>IFERROR(__xludf.DUMMYFUNCTION("""COMPUTED_VALUE"""),45359.0)</f>
        <v>45359</v>
      </c>
      <c r="C6653" s="266" t="str">
        <f>IFERROR(__xludf.DUMMYFUNCTION("""COMPUTED_VALUE"""),"KYAI KONTONG")</f>
        <v>KYAI KONTONG</v>
      </c>
      <c r="D6653" s="186">
        <f>IFERROR(__xludf.DUMMYFUNCTION("""COMPUTED_VALUE"""),2.0)</f>
        <v>2</v>
      </c>
    </row>
    <row r="6654">
      <c r="A6654" s="178" t="str">
        <f>IFERROR(__xludf.DUMMYFUNCTION("""COMPUTED_VALUE"""),"ITBISA-IC-ULN2803APG-DIP18")</f>
        <v>ITBISA-IC-ULN2803APG-DIP18</v>
      </c>
      <c r="B6654" s="266">
        <f>IFERROR(__xludf.DUMMYFUNCTION("""COMPUTED_VALUE"""),45371.0)</f>
        <v>45371</v>
      </c>
      <c r="C6654" s="266" t="str">
        <f>IFERROR(__xludf.DUMMYFUNCTION("""COMPUTED_VALUE"""),"KYAI KONTONG")</f>
        <v>KYAI KONTONG</v>
      </c>
      <c r="D6654" s="186">
        <f>IFERROR(__xludf.DUMMYFUNCTION("""COMPUTED_VALUE"""),10.0)</f>
        <v>10</v>
      </c>
    </row>
    <row r="6655">
      <c r="A6655" s="178" t="str">
        <f>IFERROR(__xludf.DUMMYFUNCTION("""COMPUTED_VALUE"""),"ITBISA-IC-ULN2803APG-DIP18")</f>
        <v>ITBISA-IC-ULN2803APG-DIP18</v>
      </c>
      <c r="B6655" s="266">
        <f>IFERROR(__xludf.DUMMYFUNCTION("""COMPUTED_VALUE"""),45374.0)</f>
        <v>45374</v>
      </c>
      <c r="C6655" s="266" t="str">
        <f>IFERROR(__xludf.DUMMYFUNCTION("""COMPUTED_VALUE"""),"KYAI KONTONG")</f>
        <v>KYAI KONTONG</v>
      </c>
      <c r="D6655" s="186">
        <f>IFERROR(__xludf.DUMMYFUNCTION("""COMPUTED_VALUE"""),10.0)</f>
        <v>10</v>
      </c>
    </row>
    <row r="6656">
      <c r="A6656" s="178" t="str">
        <f>IFERROR(__xludf.DUMMYFUNCTION("""COMPUTED_VALUE"""),"ITBISA-IC-ULN2803APG-DIP18")</f>
        <v>ITBISA-IC-ULN2803APG-DIP18</v>
      </c>
      <c r="B6656" s="266">
        <f>IFERROR(__xludf.DUMMYFUNCTION("""COMPUTED_VALUE"""),45376.0)</f>
        <v>45376</v>
      </c>
      <c r="C6656" s="266" t="str">
        <f>IFERROR(__xludf.DUMMYFUNCTION("""COMPUTED_VALUE"""),"KYAI KONTONG")</f>
        <v>KYAI KONTONG</v>
      </c>
      <c r="D6656" s="186">
        <f>IFERROR(__xludf.DUMMYFUNCTION("""COMPUTED_VALUE"""),145.0)</f>
        <v>145</v>
      </c>
    </row>
    <row r="6657">
      <c r="A6657" s="178" t="str">
        <f>IFERROR(__xludf.DUMMYFUNCTION("""COMPUTED_VALUE"""),"ITBISA-IC-ULN2803APG-DIP18")</f>
        <v>ITBISA-IC-ULN2803APG-DIP18</v>
      </c>
      <c r="B6657" s="266">
        <f>IFERROR(__xludf.DUMMYFUNCTION("""COMPUTED_VALUE"""),45400.0)</f>
        <v>45400</v>
      </c>
      <c r="C6657" s="266" t="str">
        <f>IFERROR(__xludf.DUMMYFUNCTION("""COMPUTED_VALUE"""),"KYAI KONTONG")</f>
        <v>KYAI KONTONG</v>
      </c>
      <c r="D6657" s="186">
        <f>IFERROR(__xludf.DUMMYFUNCTION("""COMPUTED_VALUE"""),5.0)</f>
        <v>5</v>
      </c>
    </row>
    <row r="6658">
      <c r="A6658" s="178" t="str">
        <f>IFERROR(__xludf.DUMMYFUNCTION("""COMPUTED_VALUE"""),"ITBISA-IC-ULN2803APG-DIP18")</f>
        <v>ITBISA-IC-ULN2803APG-DIP18</v>
      </c>
      <c r="B6658" s="266">
        <f>IFERROR(__xludf.DUMMYFUNCTION("""COMPUTED_VALUE"""),45401.0)</f>
        <v>45401</v>
      </c>
      <c r="C6658" s="266" t="str">
        <f>IFERROR(__xludf.DUMMYFUNCTION("""COMPUTED_VALUE"""),"KYAI KONTONG")</f>
        <v>KYAI KONTONG</v>
      </c>
      <c r="D6658" s="186">
        <f>IFERROR(__xludf.DUMMYFUNCTION("""COMPUTED_VALUE"""),10.0)</f>
        <v>10</v>
      </c>
    </row>
    <row r="6659">
      <c r="A6659" s="178" t="str">
        <f>IFERROR(__xludf.DUMMYFUNCTION("""COMPUTED_VALUE"""),"ITBISA-IC-ULN2803APG-DIP18")</f>
        <v>ITBISA-IC-ULN2803APG-DIP18</v>
      </c>
      <c r="B6659" s="266">
        <f>IFERROR(__xludf.DUMMYFUNCTION("""COMPUTED_VALUE"""),45403.0)</f>
        <v>45403</v>
      </c>
      <c r="C6659" s="266" t="str">
        <f>IFERROR(__xludf.DUMMYFUNCTION("""COMPUTED_VALUE"""),"KYAI KONTONG")</f>
        <v>KYAI KONTONG</v>
      </c>
      <c r="D6659" s="186">
        <f>IFERROR(__xludf.DUMMYFUNCTION("""COMPUTED_VALUE"""),20.0)</f>
        <v>20</v>
      </c>
    </row>
    <row r="6660">
      <c r="A6660" s="178" t="str">
        <f>IFERROR(__xludf.DUMMYFUNCTION("""COMPUTED_VALUE"""),"ITBISA-IC-ULN2803APG-DIP18")</f>
        <v>ITBISA-IC-ULN2803APG-DIP18</v>
      </c>
      <c r="B6660" s="266">
        <f>IFERROR(__xludf.DUMMYFUNCTION("""COMPUTED_VALUE"""),45407.0)</f>
        <v>45407</v>
      </c>
      <c r="C6660" s="266" t="str">
        <f>IFERROR(__xludf.DUMMYFUNCTION("""COMPUTED_VALUE"""),"KYAI KONTONG")</f>
        <v>KYAI KONTONG</v>
      </c>
      <c r="D6660" s="186">
        <f>IFERROR(__xludf.DUMMYFUNCTION("""COMPUTED_VALUE"""),10.0)</f>
        <v>10</v>
      </c>
    </row>
    <row r="6661">
      <c r="A6661" s="178" t="str">
        <f>IFERROR(__xludf.DUMMYFUNCTION("""COMPUTED_VALUE"""),"ITBISA-IC-ULN2803APG-DIP18")</f>
        <v>ITBISA-IC-ULN2803APG-DIP18</v>
      </c>
      <c r="B6661" s="266">
        <f>IFERROR(__xludf.DUMMYFUNCTION("""COMPUTED_VALUE"""),45411.0)</f>
        <v>45411</v>
      </c>
      <c r="C6661" s="266" t="str">
        <f>IFERROR(__xludf.DUMMYFUNCTION("""COMPUTED_VALUE"""),"KYAI KONTONG")</f>
        <v>KYAI KONTONG</v>
      </c>
      <c r="D6661" s="186">
        <f>IFERROR(__xludf.DUMMYFUNCTION("""COMPUTED_VALUE"""),100.0)</f>
        <v>100</v>
      </c>
    </row>
    <row r="6662">
      <c r="A6662" s="178" t="str">
        <f>IFERROR(__xludf.DUMMYFUNCTION("""COMPUTED_VALUE"""),"ITBISA-IC-ULN2803APG-DIP18")</f>
        <v>ITBISA-IC-ULN2803APG-DIP18</v>
      </c>
      <c r="B6662" s="266">
        <f>IFERROR(__xludf.DUMMYFUNCTION("""COMPUTED_VALUE"""),45413.0)</f>
        <v>45413</v>
      </c>
      <c r="C6662" s="266" t="str">
        <f>IFERROR(__xludf.DUMMYFUNCTION("""COMPUTED_VALUE"""),"KYAI KONTONG")</f>
        <v>KYAI KONTONG</v>
      </c>
      <c r="D6662" s="186">
        <f>IFERROR(__xludf.DUMMYFUNCTION("""COMPUTED_VALUE"""),25.0)</f>
        <v>25</v>
      </c>
    </row>
    <row r="6663">
      <c r="A6663" s="178" t="str">
        <f>IFERROR(__xludf.DUMMYFUNCTION("""COMPUTED_VALUE"""),"ITBISA-IC-ULN2803APG-DIP18")</f>
        <v>ITBISA-IC-ULN2803APG-DIP18</v>
      </c>
      <c r="B6663" s="266">
        <f>IFERROR(__xludf.DUMMYFUNCTION("""COMPUTED_VALUE"""),45422.0)</f>
        <v>45422</v>
      </c>
      <c r="C6663" s="266" t="str">
        <f>IFERROR(__xludf.DUMMYFUNCTION("""COMPUTED_VALUE"""),"KYAI KONTONG")</f>
        <v>KYAI KONTONG</v>
      </c>
      <c r="D6663" s="186">
        <f>IFERROR(__xludf.DUMMYFUNCTION("""COMPUTED_VALUE"""),10.0)</f>
        <v>10</v>
      </c>
    </row>
    <row r="6664">
      <c r="A6664" s="178" t="str">
        <f>IFERROR(__xludf.DUMMYFUNCTION("""COMPUTED_VALUE"""),"ITBISA-IC-ULN2803APG-DIP18")</f>
        <v>ITBISA-IC-ULN2803APG-DIP18</v>
      </c>
      <c r="B6664" s="266">
        <f>IFERROR(__xludf.DUMMYFUNCTION("""COMPUTED_VALUE"""),45429.0)</f>
        <v>45429</v>
      </c>
      <c r="C6664" s="266" t="str">
        <f>IFERROR(__xludf.DUMMYFUNCTION("""COMPUTED_VALUE"""),"KYAI KONTONG")</f>
        <v>KYAI KONTONG</v>
      </c>
      <c r="D6664" s="186">
        <f>IFERROR(__xludf.DUMMYFUNCTION("""COMPUTED_VALUE"""),10.0)</f>
        <v>10</v>
      </c>
    </row>
    <row r="6665">
      <c r="A6665" s="178" t="str">
        <f>IFERROR(__xludf.DUMMYFUNCTION("""COMPUTED_VALUE"""),"ITBISA-IC-ULN2803APG-DIP18")</f>
        <v>ITBISA-IC-ULN2803APG-DIP18</v>
      </c>
      <c r="B6665" s="266">
        <f>IFERROR(__xludf.DUMMYFUNCTION("""COMPUTED_VALUE"""),45433.0)</f>
        <v>45433</v>
      </c>
      <c r="C6665" s="266" t="str">
        <f>IFERROR(__xludf.DUMMYFUNCTION("""COMPUTED_VALUE"""),"KYAI KONTONG")</f>
        <v>KYAI KONTONG</v>
      </c>
      <c r="D6665" s="186">
        <f>IFERROR(__xludf.DUMMYFUNCTION("""COMPUTED_VALUE"""),5.0)</f>
        <v>5</v>
      </c>
    </row>
    <row r="6666">
      <c r="A6666" s="178" t="str">
        <f>IFERROR(__xludf.DUMMYFUNCTION("""COMPUTED_VALUE"""),"ITBISA-IC-ULN2803APG-DIP18")</f>
        <v>ITBISA-IC-ULN2803APG-DIP18</v>
      </c>
      <c r="B6666" s="266">
        <f>IFERROR(__xludf.DUMMYFUNCTION("""COMPUTED_VALUE"""),45441.0)</f>
        <v>45441</v>
      </c>
      <c r="C6666" s="266" t="str">
        <f>IFERROR(__xludf.DUMMYFUNCTION("""COMPUTED_VALUE"""),"KERTASARI CIAMIS")</f>
        <v>KERTASARI CIAMIS</v>
      </c>
      <c r="D6666" s="186">
        <f>IFERROR(__xludf.DUMMYFUNCTION("""COMPUTED_VALUE"""),20.0)</f>
        <v>20</v>
      </c>
    </row>
    <row r="6667">
      <c r="A6667" s="178" t="str">
        <f>IFERROR(__xludf.DUMMYFUNCTION("""COMPUTED_VALUE"""),"ITBISA-IC-ULN2803APG-DIP18")</f>
        <v>ITBISA-IC-ULN2803APG-DIP18</v>
      </c>
      <c r="B6667" s="266">
        <f>IFERROR(__xludf.DUMMYFUNCTION("""COMPUTED_VALUE"""),45449.0)</f>
        <v>45449</v>
      </c>
      <c r="C6667" s="266" t="str">
        <f>IFERROR(__xludf.DUMMYFUNCTION("""COMPUTED_VALUE"""),"KERTASARI CIAMIS")</f>
        <v>KERTASARI CIAMIS</v>
      </c>
      <c r="D6667" s="186">
        <f>IFERROR(__xludf.DUMMYFUNCTION("""COMPUTED_VALUE"""),1.0)</f>
        <v>1</v>
      </c>
    </row>
    <row r="6668">
      <c r="A6668" s="178" t="str">
        <f>IFERROR(__xludf.DUMMYFUNCTION("""COMPUTED_VALUE"""),"ITBISA-IC-ULN2803APG-DIP18")</f>
        <v>ITBISA-IC-ULN2803APG-DIP18</v>
      </c>
      <c r="B6668" s="266">
        <f>IFERROR(__xludf.DUMMYFUNCTION("""COMPUTED_VALUE"""),45457.0)</f>
        <v>45457</v>
      </c>
      <c r="C6668" s="266" t="str">
        <f>IFERROR(__xludf.DUMMYFUNCTION("""COMPUTED_VALUE"""),"KERTASARI CIAMIS")</f>
        <v>KERTASARI CIAMIS</v>
      </c>
      <c r="D6668" s="186">
        <f>IFERROR(__xludf.DUMMYFUNCTION("""COMPUTED_VALUE"""),10.0)</f>
        <v>10</v>
      </c>
    </row>
    <row r="6669">
      <c r="A6669" s="178" t="str">
        <f>IFERROR(__xludf.DUMMYFUNCTION("""COMPUTED_VALUE"""),"ITBISA-IC-ULN2803APG-DIP18")</f>
        <v>ITBISA-IC-ULN2803APG-DIP18</v>
      </c>
      <c r="B6669" s="266">
        <f>IFERROR(__xludf.DUMMYFUNCTION("""COMPUTED_VALUE"""),45462.0)</f>
        <v>45462</v>
      </c>
      <c r="C6669" s="266" t="str">
        <f>IFERROR(__xludf.DUMMYFUNCTION("""COMPUTED_VALUE"""),"KYAI KONTONG")</f>
        <v>KYAI KONTONG</v>
      </c>
      <c r="D6669" s="186">
        <f>IFERROR(__xludf.DUMMYFUNCTION("""COMPUTED_VALUE"""),12.0)</f>
        <v>12</v>
      </c>
    </row>
    <row r="6670">
      <c r="A6670" s="178" t="str">
        <f>IFERROR(__xludf.DUMMYFUNCTION("""COMPUTED_VALUE"""),"ITBISA-IC-ULN2803APG-DIP18")</f>
        <v>ITBISA-IC-ULN2803APG-DIP18</v>
      </c>
      <c r="B6670" s="266">
        <f>IFERROR(__xludf.DUMMYFUNCTION("""COMPUTED_VALUE"""),45463.0)</f>
        <v>45463</v>
      </c>
      <c r="C6670" s="266" t="str">
        <f>IFERROR(__xludf.DUMMYFUNCTION("""COMPUTED_VALUE"""),"KYAI KONTONG")</f>
        <v>KYAI KONTONG</v>
      </c>
      <c r="D6670" s="186">
        <f>IFERROR(__xludf.DUMMYFUNCTION("""COMPUTED_VALUE"""),20.0)</f>
        <v>20</v>
      </c>
    </row>
    <row r="6671">
      <c r="A6671" s="178" t="str">
        <f>IFERROR(__xludf.DUMMYFUNCTION("""COMPUTED_VALUE"""),"ITBISA-IC-ULN2803APG-DIP18")</f>
        <v>ITBISA-IC-ULN2803APG-DIP18</v>
      </c>
      <c r="B6671" s="266">
        <f>IFERROR(__xludf.DUMMYFUNCTION("""COMPUTED_VALUE"""),45464.0)</f>
        <v>45464</v>
      </c>
      <c r="C6671" s="266" t="str">
        <f>IFERROR(__xludf.DUMMYFUNCTION("""COMPUTED_VALUE"""),"KYAI KONTONG")</f>
        <v>KYAI KONTONG</v>
      </c>
      <c r="D6671" s="186">
        <f>IFERROR(__xludf.DUMMYFUNCTION("""COMPUTED_VALUE"""),3.0)</f>
        <v>3</v>
      </c>
    </row>
    <row r="6672">
      <c r="A6672" s="178" t="str">
        <f>IFERROR(__xludf.DUMMYFUNCTION("""COMPUTED_VALUE"""),"ITBISA-IC-ULN2803APG-DIP18")</f>
        <v>ITBISA-IC-ULN2803APG-DIP18</v>
      </c>
      <c r="B6672" s="266">
        <f>IFERROR(__xludf.DUMMYFUNCTION("""COMPUTED_VALUE"""),45469.0)</f>
        <v>45469</v>
      </c>
      <c r="C6672" s="266" t="str">
        <f>IFERROR(__xludf.DUMMYFUNCTION("""COMPUTED_VALUE"""),"KYAI KONTONG")</f>
        <v>KYAI KONTONG</v>
      </c>
      <c r="D6672" s="186">
        <f>IFERROR(__xludf.DUMMYFUNCTION("""COMPUTED_VALUE"""),20.0)</f>
        <v>20</v>
      </c>
    </row>
    <row r="6673">
      <c r="A6673" s="178" t="str">
        <f>IFERROR(__xludf.DUMMYFUNCTION("""COMPUTED_VALUE"""),"ITBISA-IC-ULN2803APG-DIP18")</f>
        <v>ITBISA-IC-ULN2803APG-DIP18</v>
      </c>
      <c r="B6673" s="266">
        <f>IFERROR(__xludf.DUMMYFUNCTION("""COMPUTED_VALUE"""),45472.0)</f>
        <v>45472</v>
      </c>
      <c r="C6673" s="266" t="str">
        <f>IFERROR(__xludf.DUMMYFUNCTION("""COMPUTED_VALUE"""),"KYAI KONTONG")</f>
        <v>KYAI KONTONG</v>
      </c>
      <c r="D6673" s="186">
        <f>IFERROR(__xludf.DUMMYFUNCTION("""COMPUTED_VALUE"""),3.0)</f>
        <v>3</v>
      </c>
    </row>
    <row r="6674">
      <c r="A6674" s="178" t="str">
        <f>IFERROR(__xludf.DUMMYFUNCTION("""COMPUTED_VALUE"""),"ITBISA-IC-ULN2803APG-DIP18")</f>
        <v>ITBISA-IC-ULN2803APG-DIP18</v>
      </c>
      <c r="B6674" s="266">
        <f>IFERROR(__xludf.DUMMYFUNCTION("""COMPUTED_VALUE"""),45477.0)</f>
        <v>45477</v>
      </c>
      <c r="C6674" s="266" t="str">
        <f>IFERROR(__xludf.DUMMYFUNCTION("""COMPUTED_VALUE"""),"KYAI KONTONG")</f>
        <v>KYAI KONTONG</v>
      </c>
      <c r="D6674" s="186">
        <f>IFERROR(__xludf.DUMMYFUNCTION("""COMPUTED_VALUE"""),6.0)</f>
        <v>6</v>
      </c>
    </row>
    <row r="6675">
      <c r="A6675" s="178" t="str">
        <f>IFERROR(__xludf.DUMMYFUNCTION("""COMPUTED_VALUE"""),"ITBISA-IC-ULN2803APG-DIP18")</f>
        <v>ITBISA-IC-ULN2803APG-DIP18</v>
      </c>
      <c r="B6675" s="266">
        <f>IFERROR(__xludf.DUMMYFUNCTION("""COMPUTED_VALUE"""),45478.0)</f>
        <v>45478</v>
      </c>
      <c r="C6675" s="266" t="str">
        <f>IFERROR(__xludf.DUMMYFUNCTION("""COMPUTED_VALUE"""),"KYAI KONTONG")</f>
        <v>KYAI KONTONG</v>
      </c>
      <c r="D6675" s="186">
        <f>IFERROR(__xludf.DUMMYFUNCTION("""COMPUTED_VALUE"""),20.0)</f>
        <v>20</v>
      </c>
    </row>
    <row r="6676">
      <c r="A6676" s="178" t="str">
        <f>IFERROR(__xludf.DUMMYFUNCTION("""COMPUTED_VALUE"""),"ITBISA-IC-ULN2803APG-DIP18")</f>
        <v>ITBISA-IC-ULN2803APG-DIP18</v>
      </c>
      <c r="B6676" s="266">
        <f>IFERROR(__xludf.DUMMYFUNCTION("""COMPUTED_VALUE"""),45480.0)</f>
        <v>45480</v>
      </c>
      <c r="C6676" s="266" t="str">
        <f>IFERROR(__xludf.DUMMYFUNCTION("""COMPUTED_VALUE"""),"KYAI KONTONG")</f>
        <v>KYAI KONTONG</v>
      </c>
      <c r="D6676" s="186">
        <f>IFERROR(__xludf.DUMMYFUNCTION("""COMPUTED_VALUE"""),5.0)</f>
        <v>5</v>
      </c>
    </row>
    <row r="6677">
      <c r="A6677" s="178" t="str">
        <f>IFERROR(__xludf.DUMMYFUNCTION("""COMPUTED_VALUE"""),"ITBISA-IC-ULN2803APG-DIP18")</f>
        <v>ITBISA-IC-ULN2803APG-DIP18</v>
      </c>
      <c r="B6677" s="266">
        <f>IFERROR(__xludf.DUMMYFUNCTION("""COMPUTED_VALUE"""),45486.0)</f>
        <v>45486</v>
      </c>
      <c r="C6677" s="266" t="str">
        <f>IFERROR(__xludf.DUMMYFUNCTION("""COMPUTED_VALUE"""),"KERTASARI CIAMIS")</f>
        <v>KERTASARI CIAMIS</v>
      </c>
      <c r="D6677" s="186">
        <f>IFERROR(__xludf.DUMMYFUNCTION("""COMPUTED_VALUE"""),3.0)</f>
        <v>3</v>
      </c>
    </row>
    <row r="6678">
      <c r="A6678" s="178" t="str">
        <f>IFERROR(__xludf.DUMMYFUNCTION("""COMPUTED_VALUE"""),"ITBISA-IC-ULN2803APG-DIP18")</f>
        <v>ITBISA-IC-ULN2803APG-DIP18</v>
      </c>
      <c r="B6678" s="266">
        <f>IFERROR(__xludf.DUMMYFUNCTION("""COMPUTED_VALUE"""),45488.0)</f>
        <v>45488</v>
      </c>
      <c r="C6678" s="266" t="str">
        <f>IFERROR(__xludf.DUMMYFUNCTION("""COMPUTED_VALUE"""),"KYAI KONTONG")</f>
        <v>KYAI KONTONG</v>
      </c>
      <c r="D6678" s="186">
        <f>IFERROR(__xludf.DUMMYFUNCTION("""COMPUTED_VALUE"""),20.0)</f>
        <v>20</v>
      </c>
    </row>
    <row r="6679">
      <c r="A6679" s="178" t="str">
        <f>IFERROR(__xludf.DUMMYFUNCTION("""COMPUTED_VALUE"""),"ITBISA-IC-ULN2803APG-DIP18")</f>
        <v>ITBISA-IC-ULN2803APG-DIP18</v>
      </c>
      <c r="B6679" s="266">
        <f>IFERROR(__xludf.DUMMYFUNCTION("""COMPUTED_VALUE"""),45491.0)</f>
        <v>45491</v>
      </c>
      <c r="C6679" s="266" t="str">
        <f>IFERROR(__xludf.DUMMYFUNCTION("""COMPUTED_VALUE"""),"KERTASARI CIAMIS")</f>
        <v>KERTASARI CIAMIS</v>
      </c>
      <c r="D6679" s="186">
        <f>IFERROR(__xludf.DUMMYFUNCTION("""COMPUTED_VALUE"""),4.0)</f>
        <v>4</v>
      </c>
    </row>
    <row r="6680">
      <c r="A6680" s="178" t="str">
        <f>IFERROR(__xludf.DUMMYFUNCTION("""COMPUTED_VALUE"""),"ITBISA-IC-ULN2803APG-DIP18")</f>
        <v>ITBISA-IC-ULN2803APG-DIP18</v>
      </c>
      <c r="B6680" s="266">
        <f>IFERROR(__xludf.DUMMYFUNCTION("""COMPUTED_VALUE"""),45493.0)</f>
        <v>45493</v>
      </c>
      <c r="C6680" s="266" t="str">
        <f>IFERROR(__xludf.DUMMYFUNCTION("""COMPUTED_VALUE"""),"KERTASARI CIAMIS")</f>
        <v>KERTASARI CIAMIS</v>
      </c>
      <c r="D6680" s="186">
        <f>IFERROR(__xludf.DUMMYFUNCTION("""COMPUTED_VALUE"""),108.0)</f>
        <v>108</v>
      </c>
    </row>
    <row r="6681">
      <c r="A6681" s="178" t="str">
        <f>IFERROR(__xludf.DUMMYFUNCTION("""COMPUTED_VALUE"""),"ITBISA-IC-ULN2803APG-DIP18")</f>
        <v>ITBISA-IC-ULN2803APG-DIP18</v>
      </c>
      <c r="B6681" s="266">
        <f>IFERROR(__xludf.DUMMYFUNCTION("""COMPUTED_VALUE"""),45526.0)</f>
        <v>45526</v>
      </c>
      <c r="C6681" s="266" t="str">
        <f>IFERROR(__xludf.DUMMYFUNCTION("""COMPUTED_VALUE"""),"KERTASARI CIAMIS")</f>
        <v>KERTASARI CIAMIS</v>
      </c>
      <c r="D6681" s="186">
        <f>IFERROR(__xludf.DUMMYFUNCTION("""COMPUTED_VALUE"""),18.0)</f>
        <v>18</v>
      </c>
    </row>
    <row r="6682">
      <c r="A6682" s="178" t="str">
        <f>IFERROR(__xludf.DUMMYFUNCTION("""COMPUTED_VALUE"""),"ITBISA-IC-ULN2803APG-DIP18")</f>
        <v>ITBISA-IC-ULN2803APG-DIP18</v>
      </c>
      <c r="B6682" s="266">
        <f>IFERROR(__xludf.DUMMYFUNCTION("""COMPUTED_VALUE"""),45528.0)</f>
        <v>45528</v>
      </c>
      <c r="C6682" s="266" t="str">
        <f>IFERROR(__xludf.DUMMYFUNCTION("""COMPUTED_VALUE"""),"KERTASARI CIAMIS")</f>
        <v>KERTASARI CIAMIS</v>
      </c>
      <c r="D6682" s="186">
        <f>IFERROR(__xludf.DUMMYFUNCTION("""COMPUTED_VALUE"""),25.0)</f>
        <v>25</v>
      </c>
    </row>
    <row r="6683">
      <c r="A6683" s="178" t="str">
        <f>IFERROR(__xludf.DUMMYFUNCTION("""COMPUTED_VALUE"""),"ITBISA-IC-ULN2803APG-DIP18")</f>
        <v>ITBISA-IC-ULN2803APG-DIP18</v>
      </c>
      <c r="B6683" s="266">
        <f>IFERROR(__xludf.DUMMYFUNCTION("""COMPUTED_VALUE"""),45531.0)</f>
        <v>45531</v>
      </c>
      <c r="C6683" s="266" t="str">
        <f>IFERROR(__xludf.DUMMYFUNCTION("""COMPUTED_VALUE"""),"KYAI KONTONG")</f>
        <v>KYAI KONTONG</v>
      </c>
      <c r="D6683" s="186">
        <f>IFERROR(__xludf.DUMMYFUNCTION("""COMPUTED_VALUE"""),65.0)</f>
        <v>65</v>
      </c>
    </row>
    <row r="6684">
      <c r="A6684" s="178" t="str">
        <f>IFERROR(__xludf.DUMMYFUNCTION("""COMPUTED_VALUE"""),"ITBISA-IC-ULN2803APG-DIP18")</f>
        <v>ITBISA-IC-ULN2803APG-DIP18</v>
      </c>
      <c r="B6684" s="266">
        <f>IFERROR(__xludf.DUMMYFUNCTION("""COMPUTED_VALUE"""),45553.0)</f>
        <v>45553</v>
      </c>
      <c r="C6684" s="266" t="str">
        <f>IFERROR(__xludf.DUMMYFUNCTION("""COMPUTED_VALUE"""),"KYAI KONTONG")</f>
        <v>KYAI KONTONG</v>
      </c>
      <c r="D6684" s="186">
        <f>IFERROR(__xludf.DUMMYFUNCTION("""COMPUTED_VALUE"""),10.0)</f>
        <v>10</v>
      </c>
    </row>
    <row r="6685">
      <c r="A6685" s="178" t="str">
        <f>IFERROR(__xludf.DUMMYFUNCTION("""COMPUTED_VALUE"""),"ITBISA-IC-ULN2803APG-DIP18")</f>
        <v>ITBISA-IC-ULN2803APG-DIP18</v>
      </c>
      <c r="B6685" s="266">
        <f>IFERROR(__xludf.DUMMYFUNCTION("""COMPUTED_VALUE"""),45570.0)</f>
        <v>45570</v>
      </c>
      <c r="C6685" s="266" t="str">
        <f>IFERROR(__xludf.DUMMYFUNCTION("""COMPUTED_VALUE"""),"KYAI KONTONG")</f>
        <v>KYAI KONTONG</v>
      </c>
      <c r="D6685" s="186">
        <f>IFERROR(__xludf.DUMMYFUNCTION("""COMPUTED_VALUE"""),5.0)</f>
        <v>5</v>
      </c>
    </row>
    <row r="6686">
      <c r="A6686" s="178" t="str">
        <f>IFERROR(__xludf.DUMMYFUNCTION("""COMPUTED_VALUE"""),"ITBISA-IC-ULN2803APG-DIP18")</f>
        <v>ITBISA-IC-ULN2803APG-DIP18</v>
      </c>
      <c r="B6686" s="266">
        <f>IFERROR(__xludf.DUMMYFUNCTION("""COMPUTED_VALUE"""),45570.0)</f>
        <v>45570</v>
      </c>
      <c r="C6686" s="266" t="str">
        <f>IFERROR(__xludf.DUMMYFUNCTION("""COMPUTED_VALUE"""),"KYAI KONTONG")</f>
        <v>KYAI KONTONG</v>
      </c>
      <c r="D6686" s="186">
        <f>IFERROR(__xludf.DUMMYFUNCTION("""COMPUTED_VALUE"""),50.0)</f>
        <v>50</v>
      </c>
    </row>
    <row r="6687">
      <c r="A6687" s="178" t="str">
        <f>IFERROR(__xludf.DUMMYFUNCTION("""COMPUTED_VALUE"""),"ITBISA-IC-ULN2803APG-DIP18")</f>
        <v>ITBISA-IC-ULN2803APG-DIP18</v>
      </c>
      <c r="B6687" s="266">
        <f>IFERROR(__xludf.DUMMYFUNCTION("""COMPUTED_VALUE"""),45578.0)</f>
        <v>45578</v>
      </c>
      <c r="C6687" s="266" t="str">
        <f>IFERROR(__xludf.DUMMYFUNCTION("""COMPUTED_VALUE"""),"KYAI KONTONG")</f>
        <v>KYAI KONTONG</v>
      </c>
      <c r="D6687" s="186">
        <f>IFERROR(__xludf.DUMMYFUNCTION("""COMPUTED_VALUE"""),5.0)</f>
        <v>5</v>
      </c>
    </row>
    <row r="6688">
      <c r="A6688" s="178" t="str">
        <f>IFERROR(__xludf.DUMMYFUNCTION("""COMPUTED_VALUE"""),"ITBISA-IC-ULN2803APG-DIP18")</f>
        <v>ITBISA-IC-ULN2803APG-DIP18</v>
      </c>
      <c r="B6688" s="266">
        <f>IFERROR(__xludf.DUMMYFUNCTION("""COMPUTED_VALUE"""),45584.0)</f>
        <v>45584</v>
      </c>
      <c r="C6688" s="266" t="str">
        <f>IFERROR(__xludf.DUMMYFUNCTION("""COMPUTED_VALUE"""),"KYAI KONTONG")</f>
        <v>KYAI KONTONG</v>
      </c>
      <c r="D6688" s="186">
        <f>IFERROR(__xludf.DUMMYFUNCTION("""COMPUTED_VALUE"""),3.0)</f>
        <v>3</v>
      </c>
    </row>
    <row r="6689">
      <c r="A6689" s="178" t="str">
        <f>IFERROR(__xludf.DUMMYFUNCTION("""COMPUTED_VALUE"""),"ITBISA-IC-ULN2803APG-DIP18")</f>
        <v>ITBISA-IC-ULN2803APG-DIP18</v>
      </c>
      <c r="B6689" s="266">
        <f>IFERROR(__xludf.DUMMYFUNCTION("""COMPUTED_VALUE"""),45588.0)</f>
        <v>45588</v>
      </c>
      <c r="C6689" s="266" t="str">
        <f>IFERROR(__xludf.DUMMYFUNCTION("""COMPUTED_VALUE"""),"KERTASARI CIAMIS")</f>
        <v>KERTASARI CIAMIS</v>
      </c>
      <c r="D6689" s="186">
        <f>IFERROR(__xludf.DUMMYFUNCTION("""COMPUTED_VALUE"""),10.0)</f>
        <v>10</v>
      </c>
    </row>
    <row r="6690">
      <c r="A6690" s="178" t="str">
        <f>IFERROR(__xludf.DUMMYFUNCTION("""COMPUTED_VALUE"""),"ITBISA-IC-ULN2803APG-DIP18")</f>
        <v>ITBISA-IC-ULN2803APG-DIP18</v>
      </c>
      <c r="B6690" s="266">
        <f>IFERROR(__xludf.DUMMYFUNCTION("""COMPUTED_VALUE"""),45604.0)</f>
        <v>45604</v>
      </c>
      <c r="C6690" s="266" t="str">
        <f>IFERROR(__xludf.DUMMYFUNCTION("""COMPUTED_VALUE"""),"KYAI KONTONG")</f>
        <v>KYAI KONTONG</v>
      </c>
      <c r="D6690" s="186">
        <f>IFERROR(__xludf.DUMMYFUNCTION("""COMPUTED_VALUE"""),20.0)</f>
        <v>20</v>
      </c>
    </row>
    <row r="6691">
      <c r="A6691" s="178" t="str">
        <f>IFERROR(__xludf.DUMMYFUNCTION("""COMPUTED_VALUE"""),"ITBISA-IC-ULN2803APG-DIP18")</f>
        <v>ITBISA-IC-ULN2803APG-DIP18</v>
      </c>
      <c r="B6691" s="266">
        <f>IFERROR(__xludf.DUMMYFUNCTION("""COMPUTED_VALUE"""),45624.0)</f>
        <v>45624</v>
      </c>
      <c r="C6691" s="266" t="str">
        <f>IFERROR(__xludf.DUMMYFUNCTION("""COMPUTED_VALUE"""),"KYAI KONTONG")</f>
        <v>KYAI KONTONG</v>
      </c>
      <c r="D6691" s="186">
        <f>IFERROR(__xludf.DUMMYFUNCTION("""COMPUTED_VALUE"""),90.0)</f>
        <v>90</v>
      </c>
    </row>
    <row r="6692">
      <c r="A6692" s="178" t="str">
        <f>IFERROR(__xludf.DUMMYFUNCTION("""COMPUTED_VALUE"""),"ITBISA-IC-ULN2803APG-DIP18")</f>
        <v>ITBISA-IC-ULN2803APG-DIP18</v>
      </c>
      <c r="B6692" s="266">
        <f>IFERROR(__xludf.DUMMYFUNCTION("""COMPUTED_VALUE"""),45625.0)</f>
        <v>45625</v>
      </c>
      <c r="C6692" s="266" t="str">
        <f>IFERROR(__xludf.DUMMYFUNCTION("""COMPUTED_VALUE"""),"KYAI KONTONG")</f>
        <v>KYAI KONTONG</v>
      </c>
      <c r="D6692" s="186">
        <f>IFERROR(__xludf.DUMMYFUNCTION("""COMPUTED_VALUE"""),12.0)</f>
        <v>12</v>
      </c>
    </row>
    <row r="6693">
      <c r="A6693" s="178" t="str">
        <f>IFERROR(__xludf.DUMMYFUNCTION("""COMPUTED_VALUE"""),"ITBISA-IC-ULN2803APG-DIP18")</f>
        <v>ITBISA-IC-ULN2803APG-DIP18</v>
      </c>
      <c r="B6693" s="266">
        <f>IFERROR(__xludf.DUMMYFUNCTION("""COMPUTED_VALUE"""),45628.0)</f>
        <v>45628</v>
      </c>
      <c r="C6693" s="266" t="str">
        <f>IFERROR(__xludf.DUMMYFUNCTION("""COMPUTED_VALUE"""),"KYAI KONTONG")</f>
        <v>KYAI KONTONG</v>
      </c>
      <c r="D6693" s="186">
        <f>IFERROR(__xludf.DUMMYFUNCTION("""COMPUTED_VALUE"""),20.0)</f>
        <v>20</v>
      </c>
    </row>
    <row r="6694">
      <c r="A6694" s="178" t="str">
        <f>IFERROR(__xludf.DUMMYFUNCTION("""COMPUTED_VALUE"""),"ITBISA-IC-ULN2803APG-DIP18")</f>
        <v>ITBISA-IC-ULN2803APG-DIP18</v>
      </c>
      <c r="B6694" s="266">
        <f>IFERROR(__xludf.DUMMYFUNCTION("""COMPUTED_VALUE"""),45642.0)</f>
        <v>45642</v>
      </c>
      <c r="C6694" s="266" t="str">
        <f>IFERROR(__xludf.DUMMYFUNCTION("""COMPUTED_VALUE"""),"KYAI KONTONG")</f>
        <v>KYAI KONTONG</v>
      </c>
      <c r="D6694" s="186">
        <f>IFERROR(__xludf.DUMMYFUNCTION("""COMPUTED_VALUE"""),20.0)</f>
        <v>20</v>
      </c>
    </row>
    <row r="6695">
      <c r="A6695" s="178" t="str">
        <f>IFERROR(__xludf.DUMMYFUNCTION("""COMPUTED_VALUE"""),"ITBISA-IC-ULN2803APG-DIP18")</f>
        <v>ITBISA-IC-ULN2803APG-DIP18</v>
      </c>
      <c r="B6695" s="266">
        <f>IFERROR(__xludf.DUMMYFUNCTION("""COMPUTED_VALUE"""),45643.0)</f>
        <v>45643</v>
      </c>
      <c r="C6695" s="266" t="str">
        <f>IFERROR(__xludf.DUMMYFUNCTION("""COMPUTED_VALUE"""),"KYAI KONTONG")</f>
        <v>KYAI KONTONG</v>
      </c>
      <c r="D6695" s="186">
        <f>IFERROR(__xludf.DUMMYFUNCTION("""COMPUTED_VALUE"""),10.0)</f>
        <v>10</v>
      </c>
    </row>
    <row r="6696">
      <c r="A6696" s="178" t="str">
        <f>IFERROR(__xludf.DUMMYFUNCTION("""COMPUTED_VALUE"""),"ITBISA-IC-ULN2803APG-DIP18")</f>
        <v>ITBISA-IC-ULN2803APG-DIP18</v>
      </c>
      <c r="B6696" s="266">
        <f>IFERROR(__xludf.DUMMYFUNCTION("""COMPUTED_VALUE"""),45646.0)</f>
        <v>45646</v>
      </c>
      <c r="C6696" s="266" t="str">
        <f>IFERROR(__xludf.DUMMYFUNCTION("""COMPUTED_VALUE"""),"KYAI KONTONG")</f>
        <v>KYAI KONTONG</v>
      </c>
      <c r="D6696" s="186">
        <f>IFERROR(__xludf.DUMMYFUNCTION("""COMPUTED_VALUE"""),140.0)</f>
        <v>140</v>
      </c>
    </row>
    <row r="6697">
      <c r="A6697" s="178" t="str">
        <f>IFERROR(__xludf.DUMMYFUNCTION("""COMPUTED_VALUE"""),"ITBISA-IC-ULN2803APG-DIP18")</f>
        <v>ITBISA-IC-ULN2803APG-DIP18</v>
      </c>
      <c r="B6697" s="266">
        <f>IFERROR(__xludf.DUMMYFUNCTION("""COMPUTED_VALUE"""),45646.0)</f>
        <v>45646</v>
      </c>
      <c r="C6697" s="266" t="str">
        <f>IFERROR(__xludf.DUMMYFUNCTION("""COMPUTED_VALUE"""),"KYAI KONTONG")</f>
        <v>KYAI KONTONG</v>
      </c>
      <c r="D6697" s="186">
        <f>IFERROR(__xludf.DUMMYFUNCTION("""COMPUTED_VALUE"""),300.0)</f>
        <v>300</v>
      </c>
    </row>
    <row r="6698">
      <c r="A6698" s="178" t="str">
        <f>IFERROR(__xludf.DUMMYFUNCTION("""COMPUTED_VALUE"""),"ITBISA-IC-ULN2803APG-DIP18")</f>
        <v>ITBISA-IC-ULN2803APG-DIP18</v>
      </c>
      <c r="B6698" s="266">
        <f>IFERROR(__xludf.DUMMYFUNCTION("""COMPUTED_VALUE"""),45671.0)</f>
        <v>45671</v>
      </c>
      <c r="C6698" s="266" t="str">
        <f>IFERROR(__xludf.DUMMYFUNCTION("""COMPUTED_VALUE"""),"KYAI KONTONG")</f>
        <v>KYAI KONTONG</v>
      </c>
      <c r="D6698" s="186">
        <f>IFERROR(__xludf.DUMMYFUNCTION("""COMPUTED_VALUE"""),10.0)</f>
        <v>10</v>
      </c>
    </row>
    <row r="6699">
      <c r="A6699" s="178" t="str">
        <f>IFERROR(__xludf.DUMMYFUNCTION("""COMPUTED_VALUE"""),"ITBISA-IC-ULN2803APG-DIP18")</f>
        <v>ITBISA-IC-ULN2803APG-DIP18</v>
      </c>
      <c r="B6699" s="266">
        <f>IFERROR(__xludf.DUMMYFUNCTION("""COMPUTED_VALUE"""),45682.0)</f>
        <v>45682</v>
      </c>
      <c r="C6699" s="266" t="str">
        <f>IFERROR(__xludf.DUMMYFUNCTION("""COMPUTED_VALUE"""),"KYAI KONTONG")</f>
        <v>KYAI KONTONG</v>
      </c>
      <c r="D6699" s="186">
        <f>IFERROR(__xludf.DUMMYFUNCTION("""COMPUTED_VALUE"""),6.0)</f>
        <v>6</v>
      </c>
    </row>
    <row r="6700">
      <c r="A6700" s="178" t="str">
        <f>IFERROR(__xludf.DUMMYFUNCTION("""COMPUTED_VALUE"""),"ITBISA-IC-ULN2803APG-DIP18")</f>
        <v>ITBISA-IC-ULN2803APG-DIP18</v>
      </c>
      <c r="B6700" s="266">
        <f>IFERROR(__xludf.DUMMYFUNCTION("""COMPUTED_VALUE"""),45686.0)</f>
        <v>45686</v>
      </c>
      <c r="C6700" s="266" t="str">
        <f>IFERROR(__xludf.DUMMYFUNCTION("""COMPUTED_VALUE"""),"KERTASARI CIAMIS")</f>
        <v>KERTASARI CIAMIS</v>
      </c>
      <c r="D6700" s="186">
        <f>IFERROR(__xludf.DUMMYFUNCTION("""COMPUTED_VALUE"""),10.0)</f>
        <v>10</v>
      </c>
    </row>
    <row r="6701">
      <c r="A6701" s="178" t="str">
        <f>IFERROR(__xludf.DUMMYFUNCTION("""COMPUTED_VALUE"""),"ITBISA-IC-ULN2803APG-DIP18")</f>
        <v>ITBISA-IC-ULN2803APG-DIP18</v>
      </c>
      <c r="B6701" s="266">
        <f>IFERROR(__xludf.DUMMYFUNCTION("""COMPUTED_VALUE"""),45688.0)</f>
        <v>45688</v>
      </c>
      <c r="C6701" s="266" t="str">
        <f>IFERROR(__xludf.DUMMYFUNCTION("""COMPUTED_VALUE"""),"KYAI KONTONG")</f>
        <v>KYAI KONTONG</v>
      </c>
      <c r="D6701" s="186">
        <f>IFERROR(__xludf.DUMMYFUNCTION("""COMPUTED_VALUE"""),10.0)</f>
        <v>10</v>
      </c>
    </row>
    <row r="6702">
      <c r="A6702" s="178" t="str">
        <f>IFERROR(__xludf.DUMMYFUNCTION("""COMPUTED_VALUE"""),"ITBISA-IC-ULN2803APG-DIP18")</f>
        <v>ITBISA-IC-ULN2803APG-DIP18</v>
      </c>
      <c r="B6702" s="266">
        <f>IFERROR(__xludf.DUMMYFUNCTION("""COMPUTED_VALUE"""),45688.0)</f>
        <v>45688</v>
      </c>
      <c r="C6702" s="266" t="str">
        <f>IFERROR(__xludf.DUMMYFUNCTION("""COMPUTED_VALUE"""),"KYAI KONTONG")</f>
        <v>KYAI KONTONG</v>
      </c>
      <c r="D6702" s="186">
        <f>IFERROR(__xludf.DUMMYFUNCTION("""COMPUTED_VALUE"""),10.0)</f>
        <v>10</v>
      </c>
    </row>
    <row r="6703">
      <c r="A6703" s="178" t="str">
        <f>IFERROR(__xludf.DUMMYFUNCTION("""COMPUTED_VALUE"""),"ITBISA-IC-ULN2803APG-DIP18")</f>
        <v>ITBISA-IC-ULN2803APG-DIP18</v>
      </c>
      <c r="B6703" s="266">
        <f>IFERROR(__xludf.DUMMYFUNCTION("""COMPUTED_VALUE"""),45695.0)</f>
        <v>45695</v>
      </c>
      <c r="C6703" s="266" t="str">
        <f>IFERROR(__xludf.DUMMYFUNCTION("""COMPUTED_VALUE"""),"KERTASARI CIAMIS")</f>
        <v>KERTASARI CIAMIS</v>
      </c>
      <c r="D6703" s="186">
        <f>IFERROR(__xludf.DUMMYFUNCTION("""COMPUTED_VALUE"""),5.0)</f>
        <v>5</v>
      </c>
    </row>
    <row r="6704">
      <c r="A6704" s="178" t="str">
        <f>IFERROR(__xludf.DUMMYFUNCTION("""COMPUTED_VALUE"""),"ITBISA-IC-ULN2803APG-DIP18")</f>
        <v>ITBISA-IC-ULN2803APG-DIP18</v>
      </c>
      <c r="B6704" s="266">
        <f>IFERROR(__xludf.DUMMYFUNCTION("""COMPUTED_VALUE"""),45698.0)</f>
        <v>45698</v>
      </c>
      <c r="C6704" s="266" t="str">
        <f>IFERROR(__xludf.DUMMYFUNCTION("""COMPUTED_VALUE"""),"KYAI KONTONG")</f>
        <v>KYAI KONTONG</v>
      </c>
      <c r="D6704" s="186">
        <f>IFERROR(__xludf.DUMMYFUNCTION("""COMPUTED_VALUE"""),14.0)</f>
        <v>14</v>
      </c>
    </row>
    <row r="6705">
      <c r="A6705" s="178" t="str">
        <f>IFERROR(__xludf.DUMMYFUNCTION("""COMPUTED_VALUE"""),"ITBISA-IC-ULN2803APG-DIP18")</f>
        <v>ITBISA-IC-ULN2803APG-DIP18</v>
      </c>
      <c r="B6705" s="266">
        <f>IFERROR(__xludf.DUMMYFUNCTION("""COMPUTED_VALUE"""),45700.0)</f>
        <v>45700</v>
      </c>
      <c r="C6705" s="266" t="str">
        <f>IFERROR(__xludf.DUMMYFUNCTION("""COMPUTED_VALUE"""),"KYAI KONTONG")</f>
        <v>KYAI KONTONG</v>
      </c>
      <c r="D6705" s="186">
        <f>IFERROR(__xludf.DUMMYFUNCTION("""COMPUTED_VALUE"""),10.0)</f>
        <v>10</v>
      </c>
    </row>
    <row r="6706">
      <c r="A6706" s="178" t="str">
        <f>IFERROR(__xludf.DUMMYFUNCTION("""COMPUTED_VALUE"""),"ITBISA-IC-ULN2803APG-DIP18")</f>
        <v>ITBISA-IC-ULN2803APG-DIP18</v>
      </c>
      <c r="B6706" s="266">
        <f>IFERROR(__xludf.DUMMYFUNCTION("""COMPUTED_VALUE"""),45712.0)</f>
        <v>45712</v>
      </c>
      <c r="C6706" s="266" t="str">
        <f>IFERROR(__xludf.DUMMYFUNCTION("""COMPUTED_VALUE"""),"KYAI KONTONG")</f>
        <v>KYAI KONTONG</v>
      </c>
      <c r="D6706" s="186">
        <f>IFERROR(__xludf.DUMMYFUNCTION("""COMPUTED_VALUE"""),5.0)</f>
        <v>5</v>
      </c>
    </row>
    <row r="6707">
      <c r="A6707" s="178" t="str">
        <f>IFERROR(__xludf.DUMMYFUNCTION("""COMPUTED_VALUE"""),"ITBISA-IC-ULN2803APG-DIP18")</f>
        <v>ITBISA-IC-ULN2803APG-DIP18</v>
      </c>
      <c r="B6707" s="266">
        <f>IFERROR(__xludf.DUMMYFUNCTION("""COMPUTED_VALUE"""),45724.0)</f>
        <v>45724</v>
      </c>
      <c r="C6707" s="266" t="str">
        <f>IFERROR(__xludf.DUMMYFUNCTION("""COMPUTED_VALUE"""),"KYAI KONTONG")</f>
        <v>KYAI KONTONG</v>
      </c>
      <c r="D6707" s="186">
        <f>IFERROR(__xludf.DUMMYFUNCTION("""COMPUTED_VALUE"""),6.0)</f>
        <v>6</v>
      </c>
    </row>
    <row r="6708">
      <c r="A6708" s="178" t="str">
        <f>IFERROR(__xludf.DUMMYFUNCTION("""COMPUTED_VALUE"""),"ITBISA-IC-ULN2803APG-DIP18")</f>
        <v>ITBISA-IC-ULN2803APG-DIP18</v>
      </c>
      <c r="B6708" s="266">
        <f>IFERROR(__xludf.DUMMYFUNCTION("""COMPUTED_VALUE"""),45738.0)</f>
        <v>45738</v>
      </c>
      <c r="C6708" s="266" t="str">
        <f>IFERROR(__xludf.DUMMYFUNCTION("""COMPUTED_VALUE"""),"KERTASARI CIAMIS")</f>
        <v>KERTASARI CIAMIS</v>
      </c>
      <c r="D6708" s="186">
        <f>IFERROR(__xludf.DUMMYFUNCTION("""COMPUTED_VALUE"""),40.0)</f>
        <v>40</v>
      </c>
    </row>
    <row r="6709">
      <c r="A6709" s="178" t="str">
        <f>IFERROR(__xludf.DUMMYFUNCTION("""COMPUTED_VALUE"""),"ITBISA-IC-ULN2803APG-DIP18")</f>
        <v>ITBISA-IC-ULN2803APG-DIP18</v>
      </c>
      <c r="B6709" s="266">
        <f>IFERROR(__xludf.DUMMYFUNCTION("""COMPUTED_VALUE"""),45740.0)</f>
        <v>45740</v>
      </c>
      <c r="C6709" s="266" t="str">
        <f>IFERROR(__xludf.DUMMYFUNCTION("""COMPUTED_VALUE"""),"KERTASARI CIAMIS")</f>
        <v>KERTASARI CIAMIS</v>
      </c>
      <c r="D6709" s="186">
        <f>IFERROR(__xludf.DUMMYFUNCTION("""COMPUTED_VALUE"""),100.0)</f>
        <v>100</v>
      </c>
    </row>
    <row r="6710">
      <c r="A6710" s="178" t="str">
        <f>IFERROR(__xludf.DUMMYFUNCTION("""COMPUTED_VALUE"""),"ITBISA-IC-ULN2803APG-DIP18")</f>
        <v>ITBISA-IC-ULN2803APG-DIP18</v>
      </c>
      <c r="B6710" s="266">
        <f>IFERROR(__xludf.DUMMYFUNCTION("""COMPUTED_VALUE"""),45749.0)</f>
        <v>45749</v>
      </c>
      <c r="C6710" s="266" t="str">
        <f>IFERROR(__xludf.DUMMYFUNCTION("""COMPUTED_VALUE"""),"KERTASARI CIAMIS")</f>
        <v>KERTASARI CIAMIS</v>
      </c>
      <c r="D6710" s="186">
        <f>IFERROR(__xludf.DUMMYFUNCTION("""COMPUTED_VALUE"""),10.0)</f>
        <v>10</v>
      </c>
    </row>
    <row r="6711">
      <c r="A6711" s="178" t="str">
        <f>IFERROR(__xludf.DUMMYFUNCTION("""COMPUTED_VALUE"""),"ITBISA-IC-ULN2803APG-DIP18")</f>
        <v>ITBISA-IC-ULN2803APG-DIP18</v>
      </c>
      <c r="B6711" s="266">
        <f>IFERROR(__xludf.DUMMYFUNCTION("""COMPUTED_VALUE"""),45751.0)</f>
        <v>45751</v>
      </c>
      <c r="C6711" s="266" t="str">
        <f>IFERROR(__xludf.DUMMYFUNCTION("""COMPUTED_VALUE"""),"KERTASARI CIAMIS")</f>
        <v>KERTASARI CIAMIS</v>
      </c>
      <c r="D6711" s="186">
        <f>IFERROR(__xludf.DUMMYFUNCTION("""COMPUTED_VALUE"""),6.0)</f>
        <v>6</v>
      </c>
    </row>
    <row r="6712">
      <c r="A6712" s="178" t="str">
        <f>IFERROR(__xludf.DUMMYFUNCTION("""COMPUTED_VALUE"""),"ITBISA-IC-ULN2803APG-DIP18")</f>
        <v>ITBISA-IC-ULN2803APG-DIP18</v>
      </c>
      <c r="B6712" s="266">
        <f>IFERROR(__xludf.DUMMYFUNCTION("""COMPUTED_VALUE"""),45759.0)</f>
        <v>45759</v>
      </c>
      <c r="C6712" s="266" t="str">
        <f>IFERROR(__xludf.DUMMYFUNCTION("""COMPUTED_VALUE"""),"KERTASARI CIAMIS")</f>
        <v>KERTASARI CIAMIS</v>
      </c>
      <c r="D6712" s="186">
        <f>IFERROR(__xludf.DUMMYFUNCTION("""COMPUTED_VALUE"""),5.0)</f>
        <v>5</v>
      </c>
    </row>
    <row r="6713">
      <c r="A6713" s="178" t="str">
        <f>IFERROR(__xludf.DUMMYFUNCTION("""COMPUTED_VALUE"""),"ITBISA-IC-ULN2803APG-DIP18")</f>
        <v>ITBISA-IC-ULN2803APG-DIP18</v>
      </c>
      <c r="B6713" s="266">
        <f>IFERROR(__xludf.DUMMYFUNCTION("""COMPUTED_VALUE"""),45762.0)</f>
        <v>45762</v>
      </c>
      <c r="C6713" s="266" t="str">
        <f>IFERROR(__xludf.DUMMYFUNCTION("""COMPUTED_VALUE"""),"KYAI KONTONG")</f>
        <v>KYAI KONTONG</v>
      </c>
      <c r="D6713" s="186">
        <f>IFERROR(__xludf.DUMMYFUNCTION("""COMPUTED_VALUE"""),8.0)</f>
        <v>8</v>
      </c>
    </row>
    <row r="6714">
      <c r="A6714" s="178" t="str">
        <f>IFERROR(__xludf.DUMMYFUNCTION("""COMPUTED_VALUE"""),"ITBISA-IC-ULN2803APG-DIP18")</f>
        <v>ITBISA-IC-ULN2803APG-DIP18</v>
      </c>
      <c r="B6714" s="266">
        <f>IFERROR(__xludf.DUMMYFUNCTION("""COMPUTED_VALUE"""),45763.0)</f>
        <v>45763</v>
      </c>
      <c r="C6714" s="266" t="str">
        <f>IFERROR(__xludf.DUMMYFUNCTION("""COMPUTED_VALUE"""),"KERTASARI CIAMIS")</f>
        <v>KERTASARI CIAMIS</v>
      </c>
      <c r="D6714" s="186">
        <f>IFERROR(__xludf.DUMMYFUNCTION("""COMPUTED_VALUE"""),100.0)</f>
        <v>100</v>
      </c>
    </row>
    <row r="6715">
      <c r="A6715" s="178" t="str">
        <f>IFERROR(__xludf.DUMMYFUNCTION("""COMPUTED_VALUE"""),"ITBISA-IC-ULN2803APG-DIP18")</f>
        <v>ITBISA-IC-ULN2803APG-DIP18</v>
      </c>
      <c r="B6715" s="266">
        <f>IFERROR(__xludf.DUMMYFUNCTION("""COMPUTED_VALUE"""),45763.0)</f>
        <v>45763</v>
      </c>
      <c r="C6715" s="266" t="str">
        <f>IFERROR(__xludf.DUMMYFUNCTION("""COMPUTED_VALUE"""),"KYAI KONTONG")</f>
        <v>KYAI KONTONG</v>
      </c>
      <c r="D6715" s="186">
        <f>IFERROR(__xludf.DUMMYFUNCTION("""COMPUTED_VALUE"""),20.0)</f>
        <v>20</v>
      </c>
    </row>
    <row r="6716">
      <c r="A6716" s="178" t="str">
        <f>IFERROR(__xludf.DUMMYFUNCTION("""COMPUTED_VALUE"""),"ITBISA-IC-ULN2803APG-DIP18")</f>
        <v>ITBISA-IC-ULN2803APG-DIP18</v>
      </c>
      <c r="B6716" s="266">
        <f>IFERROR(__xludf.DUMMYFUNCTION("""COMPUTED_VALUE"""),45767.0)</f>
        <v>45767</v>
      </c>
      <c r="C6716" s="266" t="str">
        <f>IFERROR(__xludf.DUMMYFUNCTION("""COMPUTED_VALUE"""),"KERTASARI CIAMIS")</f>
        <v>KERTASARI CIAMIS</v>
      </c>
      <c r="D6716" s="186">
        <f>IFERROR(__xludf.DUMMYFUNCTION("""COMPUTED_VALUE"""),20.0)</f>
        <v>20</v>
      </c>
    </row>
    <row r="6717">
      <c r="A6717" s="178" t="str">
        <f>IFERROR(__xludf.DUMMYFUNCTION("""COMPUTED_VALUE"""),"ITBISA-IC-ULN2803APG-DIP18")</f>
        <v>ITBISA-IC-ULN2803APG-DIP18</v>
      </c>
      <c r="B6717" s="266">
        <f>IFERROR(__xludf.DUMMYFUNCTION("""COMPUTED_VALUE"""),45769.0)</f>
        <v>45769</v>
      </c>
      <c r="C6717" s="266" t="str">
        <f>IFERROR(__xludf.DUMMYFUNCTION("""COMPUTED_VALUE"""),"KERTASARI CIAMIS")</f>
        <v>KERTASARI CIAMIS</v>
      </c>
      <c r="D6717" s="186">
        <f>IFERROR(__xludf.DUMMYFUNCTION("""COMPUTED_VALUE"""),10.0)</f>
        <v>10</v>
      </c>
    </row>
    <row r="6718">
      <c r="A6718" s="178" t="str">
        <f>IFERROR(__xludf.DUMMYFUNCTION("""COMPUTED_VALUE"""),"ITBISA-IC-ULN2803APG-DIP18")</f>
        <v>ITBISA-IC-ULN2803APG-DIP18</v>
      </c>
      <c r="B6718" s="266">
        <f>IFERROR(__xludf.DUMMYFUNCTION("""COMPUTED_VALUE"""),45773.0)</f>
        <v>45773</v>
      </c>
      <c r="C6718" s="266" t="str">
        <f>IFERROR(__xludf.DUMMYFUNCTION("""COMPUTED_VALUE"""),"KYAI KONTONG")</f>
        <v>KYAI KONTONG</v>
      </c>
      <c r="D6718" s="186">
        <f>IFERROR(__xludf.DUMMYFUNCTION("""COMPUTED_VALUE"""),20.0)</f>
        <v>20</v>
      </c>
    </row>
    <row r="6719">
      <c r="A6719" s="178" t="str">
        <f>IFERROR(__xludf.DUMMYFUNCTION("""COMPUTED_VALUE"""),"ITBISA-IC-ULN2803APG-DIP18")</f>
        <v>ITBISA-IC-ULN2803APG-DIP18</v>
      </c>
      <c r="B6719" s="266">
        <f>IFERROR(__xludf.DUMMYFUNCTION("""COMPUTED_VALUE"""),45782.0)</f>
        <v>45782</v>
      </c>
      <c r="C6719" s="266" t="str">
        <f>IFERROR(__xludf.DUMMYFUNCTION("""COMPUTED_VALUE"""),"KYAI KONTONG")</f>
        <v>KYAI KONTONG</v>
      </c>
      <c r="D6719" s="186">
        <f>IFERROR(__xludf.DUMMYFUNCTION("""COMPUTED_VALUE"""),50.0)</f>
        <v>50</v>
      </c>
    </row>
    <row r="6720">
      <c r="A6720" s="178" t="str">
        <f>IFERROR(__xludf.DUMMYFUNCTION("""COMPUTED_VALUE"""),"ITBISA-IC-ULN2803APG-DIP18")</f>
        <v>ITBISA-IC-ULN2803APG-DIP18</v>
      </c>
      <c r="B6720" s="266">
        <f>IFERROR(__xludf.DUMMYFUNCTION("""COMPUTED_VALUE"""),45783.0)</f>
        <v>45783</v>
      </c>
      <c r="C6720" s="266" t="str">
        <f>IFERROR(__xludf.DUMMYFUNCTION("""COMPUTED_VALUE"""),"KYAI KONTONG")</f>
        <v>KYAI KONTONG</v>
      </c>
      <c r="D6720" s="186">
        <f>IFERROR(__xludf.DUMMYFUNCTION("""COMPUTED_VALUE"""),5.0)</f>
        <v>5</v>
      </c>
    </row>
    <row r="6721">
      <c r="A6721" s="178" t="str">
        <f>IFERROR(__xludf.DUMMYFUNCTION("""COMPUTED_VALUE"""),"ITBISA-IC-ULN2803APG-DIP18")</f>
        <v>ITBISA-IC-ULN2803APG-DIP18</v>
      </c>
      <c r="B6721" s="266">
        <f>IFERROR(__xludf.DUMMYFUNCTION("""COMPUTED_VALUE"""),45789.0)</f>
        <v>45789</v>
      </c>
      <c r="C6721" s="266" t="str">
        <f>IFERROR(__xludf.DUMMYFUNCTION("""COMPUTED_VALUE"""),"KERTASARI CIAMIS")</f>
        <v>KERTASARI CIAMIS</v>
      </c>
      <c r="D6721" s="186">
        <f>IFERROR(__xludf.DUMMYFUNCTION("""COMPUTED_VALUE"""),200.0)</f>
        <v>200</v>
      </c>
    </row>
    <row r="6722">
      <c r="A6722" s="178" t="str">
        <f>IFERROR(__xludf.DUMMYFUNCTION("""COMPUTED_VALUE"""),"ITBISA-IC-ULN2803APG-DIP18")</f>
        <v>ITBISA-IC-ULN2803APG-DIP18</v>
      </c>
      <c r="B6722" s="266">
        <f>IFERROR(__xludf.DUMMYFUNCTION("""COMPUTED_VALUE"""),45797.0)</f>
        <v>45797</v>
      </c>
      <c r="C6722" s="266" t="str">
        <f>IFERROR(__xludf.DUMMYFUNCTION("""COMPUTED_VALUE"""),"KYAI KONTONG")</f>
        <v>KYAI KONTONG</v>
      </c>
      <c r="D6722" s="186">
        <f>IFERROR(__xludf.DUMMYFUNCTION("""COMPUTED_VALUE"""),140.0)</f>
        <v>140</v>
      </c>
    </row>
    <row r="6723">
      <c r="A6723" s="178" t="str">
        <f>IFERROR(__xludf.DUMMYFUNCTION("""COMPUTED_VALUE"""),"ITBISA-IC-ULN2803APG-DIP18")</f>
        <v>ITBISA-IC-ULN2803APG-DIP18</v>
      </c>
      <c r="B6723" s="266">
        <f>IFERROR(__xludf.DUMMYFUNCTION("""COMPUTED_VALUE"""),45802.0)</f>
        <v>45802</v>
      </c>
      <c r="C6723" s="266" t="str">
        <f>IFERROR(__xludf.DUMMYFUNCTION("""COMPUTED_VALUE"""),"KYAI KONTONG")</f>
        <v>KYAI KONTONG</v>
      </c>
      <c r="D6723" s="186">
        <f>IFERROR(__xludf.DUMMYFUNCTION("""COMPUTED_VALUE"""),5.0)</f>
        <v>5</v>
      </c>
    </row>
    <row r="6724">
      <c r="A6724" s="178" t="str">
        <f>IFERROR(__xludf.DUMMYFUNCTION("""COMPUTED_VALUE"""),"ITBISA-IC-ULN2803APG-DIP18")</f>
        <v>ITBISA-IC-ULN2803APG-DIP18</v>
      </c>
      <c r="B6724" s="266">
        <f>IFERROR(__xludf.DUMMYFUNCTION("""COMPUTED_VALUE"""),45812.0)</f>
        <v>45812</v>
      </c>
      <c r="C6724" s="266" t="str">
        <f>IFERROR(__xludf.DUMMYFUNCTION("""COMPUTED_VALUE"""),"KYAI KONTONG")</f>
        <v>KYAI KONTONG</v>
      </c>
      <c r="D6724" s="186">
        <f>IFERROR(__xludf.DUMMYFUNCTION("""COMPUTED_VALUE"""),5.0)</f>
        <v>5</v>
      </c>
    </row>
    <row r="6725">
      <c r="A6725" s="178" t="str">
        <f>IFERROR(__xludf.DUMMYFUNCTION("""COMPUTED_VALUE"""),"ITBISA-IC-ULN2803APG-DIP18")</f>
        <v>ITBISA-IC-ULN2803APG-DIP18</v>
      </c>
      <c r="B6725" s="266">
        <f>IFERROR(__xludf.DUMMYFUNCTION("""COMPUTED_VALUE"""),45815.0)</f>
        <v>45815</v>
      </c>
      <c r="C6725" s="266" t="str">
        <f>IFERROR(__xludf.DUMMYFUNCTION("""COMPUTED_VALUE"""),"KYAI KONTONG")</f>
        <v>KYAI KONTONG</v>
      </c>
      <c r="D6725" s="186">
        <f>IFERROR(__xludf.DUMMYFUNCTION("""COMPUTED_VALUE"""),8.0)</f>
        <v>8</v>
      </c>
    </row>
    <row r="6726">
      <c r="A6726" s="178" t="str">
        <f>IFERROR(__xludf.DUMMYFUNCTION("""COMPUTED_VALUE"""),"ITBISA-IC-ULN2803APG-DIP18")</f>
        <v>ITBISA-IC-ULN2803APG-DIP18</v>
      </c>
      <c r="B6726" s="266">
        <f>IFERROR(__xludf.DUMMYFUNCTION("""COMPUTED_VALUE"""),45826.0)</f>
        <v>45826</v>
      </c>
      <c r="C6726" s="266" t="str">
        <f>IFERROR(__xludf.DUMMYFUNCTION("""COMPUTED_VALUE"""),"KERTASARI CIAMIS")</f>
        <v>KERTASARI CIAMIS</v>
      </c>
      <c r="D6726" s="186">
        <f>IFERROR(__xludf.DUMMYFUNCTION("""COMPUTED_VALUE"""),10.0)</f>
        <v>10</v>
      </c>
    </row>
    <row r="6727">
      <c r="A6727" s="178" t="str">
        <f>IFERROR(__xludf.DUMMYFUNCTION("""COMPUTED_VALUE"""),"ITBISA-IC-ULN2803APG-DIP18")</f>
        <v>ITBISA-IC-ULN2803APG-DIP18</v>
      </c>
      <c r="B6727" s="266">
        <f>IFERROR(__xludf.DUMMYFUNCTION("""COMPUTED_VALUE"""),45847.0)</f>
        <v>45847</v>
      </c>
      <c r="C6727" s="266" t="str">
        <f>IFERROR(__xludf.DUMMYFUNCTION("""COMPUTED_VALUE"""),"KERTASARI CIAMIS")</f>
        <v>KERTASARI CIAMIS</v>
      </c>
      <c r="D6727" s="186">
        <f>IFERROR(__xludf.DUMMYFUNCTION("""COMPUTED_VALUE"""),20.0)</f>
        <v>20</v>
      </c>
    </row>
    <row r="6728">
      <c r="A6728" s="178" t="str">
        <f>IFERROR(__xludf.DUMMYFUNCTION("""COMPUTED_VALUE"""),"ITBISA-IC-ULN2803APG-DIP18")</f>
        <v>ITBISA-IC-ULN2803APG-DIP18</v>
      </c>
      <c r="B6728" s="266">
        <f>IFERROR(__xludf.DUMMYFUNCTION("""COMPUTED_VALUE"""),45856.0)</f>
        <v>45856</v>
      </c>
      <c r="C6728" s="266" t="str">
        <f>IFERROR(__xludf.DUMMYFUNCTION("""COMPUTED_VALUE"""),"KYAI KONTONG")</f>
        <v>KYAI KONTONG</v>
      </c>
      <c r="D6728" s="186">
        <f>IFERROR(__xludf.DUMMYFUNCTION("""COMPUTED_VALUE"""),60.0)</f>
        <v>60</v>
      </c>
    </row>
    <row r="6729">
      <c r="A6729" s="178" t="str">
        <f>IFERROR(__xludf.DUMMYFUNCTION("""COMPUTED_VALUE"""),"ITBISA-IC-ULN2803APG-DIP18")</f>
        <v>ITBISA-IC-ULN2803APG-DIP18</v>
      </c>
      <c r="B6729" s="266">
        <f>IFERROR(__xludf.DUMMYFUNCTION("""COMPUTED_VALUE"""),45857.0)</f>
        <v>45857</v>
      </c>
      <c r="C6729" s="266" t="str">
        <f>IFERROR(__xludf.DUMMYFUNCTION("""COMPUTED_VALUE"""),"KYAI KONTONG")</f>
        <v>KYAI KONTONG</v>
      </c>
      <c r="D6729" s="186">
        <f>IFERROR(__xludf.DUMMYFUNCTION("""COMPUTED_VALUE"""),10.0)</f>
        <v>10</v>
      </c>
    </row>
    <row r="6730">
      <c r="A6730" s="178" t="str">
        <f>IFERROR(__xludf.DUMMYFUNCTION("""COMPUTED_VALUE"""),"ITBISA-IC-ULN2803APG-DIP18")</f>
        <v>ITBISA-IC-ULN2803APG-DIP18</v>
      </c>
      <c r="B6730" s="266">
        <f>IFERROR(__xludf.DUMMYFUNCTION("""COMPUTED_VALUE"""),45865.0)</f>
        <v>45865</v>
      </c>
      <c r="C6730" s="266" t="str">
        <f>IFERROR(__xludf.DUMMYFUNCTION("""COMPUTED_VALUE"""),"KYAI KONTONG")</f>
        <v>KYAI KONTONG</v>
      </c>
      <c r="D6730" s="186">
        <f>IFERROR(__xludf.DUMMYFUNCTION("""COMPUTED_VALUE"""),5.0)</f>
        <v>5</v>
      </c>
    </row>
    <row r="6731">
      <c r="A6731" s="178" t="str">
        <f>IFERROR(__xludf.DUMMYFUNCTION("""COMPUTED_VALUE"""),"ITBISA-IC-ULN2803APG-DIP18")</f>
        <v>ITBISA-IC-ULN2803APG-DIP18</v>
      </c>
      <c r="B6731" s="266">
        <f>IFERROR(__xludf.DUMMYFUNCTION("""COMPUTED_VALUE"""),45874.0)</f>
        <v>45874</v>
      </c>
      <c r="C6731" s="266" t="str">
        <f>IFERROR(__xludf.DUMMYFUNCTION("""COMPUTED_VALUE"""),"KERTASARI CIAMIS")</f>
        <v>KERTASARI CIAMIS</v>
      </c>
      <c r="D6731" s="186">
        <f>IFERROR(__xludf.DUMMYFUNCTION("""COMPUTED_VALUE"""),1.0)</f>
        <v>1</v>
      </c>
    </row>
    <row r="6732">
      <c r="A6732" s="178" t="str">
        <f>IFERROR(__xludf.DUMMYFUNCTION("""COMPUTED_VALUE"""),"ITBISA-IC-ULN2803APG-DIP18")</f>
        <v>ITBISA-IC-ULN2803APG-DIP18</v>
      </c>
      <c r="B6732" s="266">
        <f>IFERROR(__xludf.DUMMYFUNCTION("""COMPUTED_VALUE"""),45887.0)</f>
        <v>45887</v>
      </c>
      <c r="C6732" s="266" t="str">
        <f>IFERROR(__xludf.DUMMYFUNCTION("""COMPUTED_VALUE"""),"KERTASARI CIAMIS")</f>
        <v>KERTASARI CIAMIS</v>
      </c>
      <c r="D6732" s="186">
        <f>IFERROR(__xludf.DUMMYFUNCTION("""COMPUTED_VALUE"""),50.0)</f>
        <v>50</v>
      </c>
    </row>
    <row r="6733">
      <c r="A6733" s="178" t="str">
        <f>IFERROR(__xludf.DUMMYFUNCTION("""COMPUTED_VALUE"""),"ITBISA-IC-ULN2803APG-DIP18")</f>
        <v>ITBISA-IC-ULN2803APG-DIP18</v>
      </c>
      <c r="B6733" s="266">
        <f>IFERROR(__xludf.DUMMYFUNCTION("""COMPUTED_VALUE"""),45932.0)</f>
        <v>45932</v>
      </c>
      <c r="C6733" s="266" t="str">
        <f>IFERROR(__xludf.DUMMYFUNCTION("""COMPUTED_VALUE"""),"KYAI KONTONG")</f>
        <v>KYAI KONTONG</v>
      </c>
      <c r="D6733" s="186">
        <f>IFERROR(__xludf.DUMMYFUNCTION("""COMPUTED_VALUE"""),90.0)</f>
        <v>90</v>
      </c>
    </row>
    <row r="6734">
      <c r="A6734" s="178" t="str">
        <f>IFERROR(__xludf.DUMMYFUNCTION("""COMPUTED_VALUE"""),"ITBISA-IC-ULN2803APG-DIP18")</f>
        <v>ITBISA-IC-ULN2803APG-DIP18</v>
      </c>
      <c r="B6734" s="266">
        <f>IFERROR(__xludf.DUMMYFUNCTION("""COMPUTED_VALUE"""),45950.0)</f>
        <v>45950</v>
      </c>
      <c r="C6734" s="266" t="str">
        <f>IFERROR(__xludf.DUMMYFUNCTION("""COMPUTED_VALUE"""),"KYAI KONTONG")</f>
        <v>KYAI KONTONG</v>
      </c>
      <c r="D6734" s="186">
        <f>IFERROR(__xludf.DUMMYFUNCTION("""COMPUTED_VALUE"""),5.0)</f>
        <v>5</v>
      </c>
    </row>
    <row r="6735">
      <c r="A6735" s="178" t="str">
        <f>IFERROR(__xludf.DUMMYFUNCTION("""COMPUTED_VALUE"""),"ITBISA-IC-ULN2803APG-DIP18")</f>
        <v>ITBISA-IC-ULN2803APG-DIP18</v>
      </c>
      <c r="B6735" s="266">
        <f>IFERROR(__xludf.DUMMYFUNCTION("""COMPUTED_VALUE"""),45995.0)</f>
        <v>45995</v>
      </c>
      <c r="C6735" s="266" t="str">
        <f>IFERROR(__xludf.DUMMYFUNCTION("""COMPUTED_VALUE"""),"KYAI KONTONG")</f>
        <v>KYAI KONTONG</v>
      </c>
      <c r="D6735" s="186">
        <f>IFERROR(__xludf.DUMMYFUNCTION("""COMPUTED_VALUE"""),20.0)</f>
        <v>20</v>
      </c>
    </row>
    <row r="6736">
      <c r="A6736" s="178" t="str">
        <f>IFERROR(__xludf.DUMMYFUNCTION("""COMPUTED_VALUE"""),"ITBISA-IC-ULN2803APG-DIP18")</f>
        <v>ITBISA-IC-ULN2803APG-DIP18</v>
      </c>
      <c r="B6736" s="266">
        <f>IFERROR(__xludf.DUMMYFUNCTION("""COMPUTED_VALUE"""),46000.0)</f>
        <v>46000</v>
      </c>
      <c r="C6736" s="266" t="str">
        <f>IFERROR(__xludf.DUMMYFUNCTION("""COMPUTED_VALUE"""),"KYAI KONTONG")</f>
        <v>KYAI KONTONG</v>
      </c>
      <c r="D6736" s="186">
        <f>IFERROR(__xludf.DUMMYFUNCTION("""COMPUTED_VALUE"""),5.0)</f>
        <v>5</v>
      </c>
    </row>
    <row r="6737">
      <c r="A6737" s="178" t="str">
        <f>IFERROR(__xludf.DUMMYFUNCTION("""COMPUTED_VALUE"""),"ITBISA-IC-ULN2803APG-DIP18")</f>
        <v>ITBISA-IC-ULN2803APG-DIP18</v>
      </c>
      <c r="B6737" s="266">
        <f>IFERROR(__xludf.DUMMYFUNCTION("""COMPUTED_VALUE"""),46003.0)</f>
        <v>46003</v>
      </c>
      <c r="C6737" s="266" t="str">
        <f>IFERROR(__xludf.DUMMYFUNCTION("""COMPUTED_VALUE"""),"KYAI KONTONG")</f>
        <v>KYAI KONTONG</v>
      </c>
      <c r="D6737" s="186">
        <f>IFERROR(__xludf.DUMMYFUNCTION("""COMPUTED_VALUE"""),6.0)</f>
        <v>6</v>
      </c>
    </row>
    <row r="6738">
      <c r="A6738" s="178" t="str">
        <f>IFERROR(__xludf.DUMMYFUNCTION("""COMPUTED_VALUE"""),"ITBISA-IC-ULN2803APG-DIP18")</f>
        <v>ITBISA-IC-ULN2803APG-DIP18</v>
      </c>
      <c r="B6738" s="266">
        <f>IFERROR(__xludf.DUMMYFUNCTION("""COMPUTED_VALUE"""),46007.0)</f>
        <v>46007</v>
      </c>
      <c r="C6738" s="266" t="str">
        <f>IFERROR(__xludf.DUMMYFUNCTION("""COMPUTED_VALUE"""),"KYAI KONTONG")</f>
        <v>KYAI KONTONG</v>
      </c>
      <c r="D6738" s="186">
        <f>IFERROR(__xludf.DUMMYFUNCTION("""COMPUTED_VALUE"""),10.0)</f>
        <v>10</v>
      </c>
    </row>
    <row r="6739">
      <c r="A6739" s="178" t="str">
        <f>IFERROR(__xludf.DUMMYFUNCTION("""COMPUTED_VALUE"""),"ITBISA-IC-ULN2803APG-DIP18")</f>
        <v>ITBISA-IC-ULN2803APG-DIP18</v>
      </c>
      <c r="B6739" s="266">
        <f>IFERROR(__xludf.DUMMYFUNCTION("""COMPUTED_VALUE"""),46016.0)</f>
        <v>46016</v>
      </c>
      <c r="C6739" s="266" t="str">
        <f>IFERROR(__xludf.DUMMYFUNCTION("""COMPUTED_VALUE"""),"KYAI KONTONG")</f>
        <v>KYAI KONTONG</v>
      </c>
      <c r="D6739" s="186">
        <f>IFERROR(__xludf.DUMMYFUNCTION("""COMPUTED_VALUE"""),50.0)</f>
        <v>50</v>
      </c>
    </row>
    <row r="6740">
      <c r="A6740" s="178" t="str">
        <f>IFERROR(__xludf.DUMMYFUNCTION("""COMPUTED_VALUE"""),"ITBISA-IC-ULN2803APG-DIP18")</f>
        <v>ITBISA-IC-ULN2803APG-DIP18</v>
      </c>
      <c r="B6740" s="266">
        <f>IFERROR(__xludf.DUMMYFUNCTION("""COMPUTED_VALUE"""),46021.0)</f>
        <v>46021</v>
      </c>
      <c r="C6740" s="266" t="str">
        <f>IFERROR(__xludf.DUMMYFUNCTION("""COMPUTED_VALUE"""),"KYAI KONTONG")</f>
        <v>KYAI KONTONG</v>
      </c>
      <c r="D6740" s="186">
        <f>IFERROR(__xludf.DUMMYFUNCTION("""COMPUTED_VALUE"""),5.0)</f>
        <v>5</v>
      </c>
    </row>
    <row r="6741">
      <c r="A6741" s="178" t="str">
        <f>IFERROR(__xludf.DUMMYFUNCTION("""COMPUTED_VALUE"""),"ITBISA-IDC-2X5-AMPHENOL-FEMALE")</f>
        <v>ITBISA-IDC-2X5-AMPHENOL-FEMALE</v>
      </c>
      <c r="B6741" s="266">
        <f>IFERROR(__xludf.DUMMYFUNCTION("""COMPUTED_VALUE"""),45374.0)</f>
        <v>45374</v>
      </c>
      <c r="C6741" s="266" t="str">
        <f>IFERROR(__xludf.DUMMYFUNCTION("""COMPUTED_VALUE"""),"KERTASARI CIAMIS")</f>
        <v>KERTASARI CIAMIS</v>
      </c>
      <c r="D6741" s="186">
        <f>IFERROR(__xludf.DUMMYFUNCTION("""COMPUTED_VALUE"""),150.0)</f>
        <v>150</v>
      </c>
    </row>
    <row r="6742">
      <c r="A6742" s="178" t="str">
        <f>IFERROR(__xludf.DUMMYFUNCTION("""COMPUTED_VALUE"""),"ITBISA-IDC-2X5-AMPHENOL-FEMALE")</f>
        <v>ITBISA-IDC-2X5-AMPHENOL-FEMALE</v>
      </c>
      <c r="B6742" s="266">
        <f>IFERROR(__xludf.DUMMYFUNCTION("""COMPUTED_VALUE"""),45401.0)</f>
        <v>45401</v>
      </c>
      <c r="C6742" s="266" t="str">
        <f>IFERROR(__xludf.DUMMYFUNCTION("""COMPUTED_VALUE"""),"KERTASARI CIAMIS")</f>
        <v>KERTASARI CIAMIS</v>
      </c>
      <c r="D6742" s="186">
        <f>IFERROR(__xludf.DUMMYFUNCTION("""COMPUTED_VALUE"""),12.0)</f>
        <v>12</v>
      </c>
    </row>
    <row r="6743">
      <c r="A6743" s="178" t="str">
        <f>IFERROR(__xludf.DUMMYFUNCTION("""COMPUTED_VALUE"""),"ITBISA-IDC-2X5-AMPHENOL-FEMALE")</f>
        <v>ITBISA-IDC-2X5-AMPHENOL-FEMALE</v>
      </c>
      <c r="B6743" s="266">
        <f>IFERROR(__xludf.DUMMYFUNCTION("""COMPUTED_VALUE"""),45410.0)</f>
        <v>45410</v>
      </c>
      <c r="C6743" s="266" t="str">
        <f>IFERROR(__xludf.DUMMYFUNCTION("""COMPUTED_VALUE"""),"KERTASARI CIAMIS")</f>
        <v>KERTASARI CIAMIS</v>
      </c>
      <c r="D6743" s="186">
        <f>IFERROR(__xludf.DUMMYFUNCTION("""COMPUTED_VALUE"""),100.0)</f>
        <v>100</v>
      </c>
    </row>
    <row r="6744">
      <c r="A6744" s="178" t="str">
        <f>IFERROR(__xludf.DUMMYFUNCTION("""COMPUTED_VALUE"""),"ITBISA-IDC-2X5-AMPHENOL-FEMALE")</f>
        <v>ITBISA-IDC-2X5-AMPHENOL-FEMALE</v>
      </c>
      <c r="B6744" s="266">
        <f>IFERROR(__xludf.DUMMYFUNCTION("""COMPUTED_VALUE"""),45414.0)</f>
        <v>45414</v>
      </c>
      <c r="C6744" s="266" t="str">
        <f>IFERROR(__xludf.DUMMYFUNCTION("""COMPUTED_VALUE"""),"KERTASARI CIAMIS")</f>
        <v>KERTASARI CIAMIS</v>
      </c>
      <c r="D6744" s="186">
        <f>IFERROR(__xludf.DUMMYFUNCTION("""COMPUTED_VALUE"""),50.0)</f>
        <v>50</v>
      </c>
    </row>
    <row r="6745">
      <c r="A6745" s="178" t="str">
        <f>IFERROR(__xludf.DUMMYFUNCTION("""COMPUTED_VALUE"""),"ITBISA-IDC-2X5-AMPHENOL-FEMALE")</f>
        <v>ITBISA-IDC-2X5-AMPHENOL-FEMALE</v>
      </c>
      <c r="B6745" s="266">
        <f>IFERROR(__xludf.DUMMYFUNCTION("""COMPUTED_VALUE"""),45420.0)</f>
        <v>45420</v>
      </c>
      <c r="C6745" s="266" t="str">
        <f>IFERROR(__xludf.DUMMYFUNCTION("""COMPUTED_VALUE"""),"KERTASARI CIAMIS")</f>
        <v>KERTASARI CIAMIS</v>
      </c>
      <c r="D6745" s="186">
        <f>IFERROR(__xludf.DUMMYFUNCTION("""COMPUTED_VALUE"""),50.0)</f>
        <v>50</v>
      </c>
    </row>
    <row r="6746">
      <c r="A6746" s="178" t="str">
        <f>IFERROR(__xludf.DUMMYFUNCTION("""COMPUTED_VALUE"""),"ITBISA-IDC-2X5-AMPHENOL-FEMALE")</f>
        <v>ITBISA-IDC-2X5-AMPHENOL-FEMALE</v>
      </c>
      <c r="B6746" s="266">
        <f>IFERROR(__xludf.DUMMYFUNCTION("""COMPUTED_VALUE"""),45428.0)</f>
        <v>45428</v>
      </c>
      <c r="C6746" s="266" t="str">
        <f>IFERROR(__xludf.DUMMYFUNCTION("""COMPUTED_VALUE"""),"KERTASARI CIAMIS")</f>
        <v>KERTASARI CIAMIS</v>
      </c>
      <c r="D6746" s="186">
        <f>IFERROR(__xludf.DUMMYFUNCTION("""COMPUTED_VALUE"""),110.0)</f>
        <v>110</v>
      </c>
    </row>
    <row r="6747">
      <c r="A6747" s="178" t="str">
        <f>IFERROR(__xludf.DUMMYFUNCTION("""COMPUTED_VALUE"""),"ITBISA-IDC-2X5-AMPHENOL-FEMALE")</f>
        <v>ITBISA-IDC-2X5-AMPHENOL-FEMALE</v>
      </c>
      <c r="B6747" s="266">
        <f>IFERROR(__xludf.DUMMYFUNCTION("""COMPUTED_VALUE"""),45440.0)</f>
        <v>45440</v>
      </c>
      <c r="C6747" s="266" t="str">
        <f>IFERROR(__xludf.DUMMYFUNCTION("""COMPUTED_VALUE"""),"KERTASARI CIAMIS")</f>
        <v>KERTASARI CIAMIS</v>
      </c>
      <c r="D6747" s="186">
        <f>IFERROR(__xludf.DUMMYFUNCTION("""COMPUTED_VALUE"""),110.0)</f>
        <v>110</v>
      </c>
    </row>
    <row r="6748">
      <c r="A6748" s="178" t="str">
        <f>IFERROR(__xludf.DUMMYFUNCTION("""COMPUTED_VALUE"""),"ITBISA-IDC-2X5-AMPHENOL-FEMALE")</f>
        <v>ITBISA-IDC-2X5-AMPHENOL-FEMALE</v>
      </c>
      <c r="B6748" s="266">
        <f>IFERROR(__xludf.DUMMYFUNCTION("""COMPUTED_VALUE"""),45453.0)</f>
        <v>45453</v>
      </c>
      <c r="C6748" s="266" t="str">
        <f>IFERROR(__xludf.DUMMYFUNCTION("""COMPUTED_VALUE"""),"KERTASARI CIAMIS")</f>
        <v>KERTASARI CIAMIS</v>
      </c>
      <c r="D6748" s="186">
        <f>IFERROR(__xludf.DUMMYFUNCTION("""COMPUTED_VALUE"""),50.0)</f>
        <v>50</v>
      </c>
    </row>
    <row r="6749">
      <c r="A6749" s="178" t="str">
        <f>IFERROR(__xludf.DUMMYFUNCTION("""COMPUTED_VALUE"""),"ITBISA-IDC-2X5-AMPHENOL-FEMALE")</f>
        <v>ITBISA-IDC-2X5-AMPHENOL-FEMALE</v>
      </c>
      <c r="B6749" s="266">
        <f>IFERROR(__xludf.DUMMYFUNCTION("""COMPUTED_VALUE"""),45462.0)</f>
        <v>45462</v>
      </c>
      <c r="C6749" s="266" t="str">
        <f>IFERROR(__xludf.DUMMYFUNCTION("""COMPUTED_VALUE"""),"KERTASARI CIAMIS")</f>
        <v>KERTASARI CIAMIS</v>
      </c>
      <c r="D6749" s="186">
        <f>IFERROR(__xludf.DUMMYFUNCTION("""COMPUTED_VALUE"""),10.0)</f>
        <v>10</v>
      </c>
    </row>
    <row r="6750">
      <c r="A6750" s="178" t="str">
        <f>IFERROR(__xludf.DUMMYFUNCTION("""COMPUTED_VALUE"""),"ITBISA-IDC-2X5-AMPHENOL-FEMALE")</f>
        <v>ITBISA-IDC-2X5-AMPHENOL-FEMALE</v>
      </c>
      <c r="B6750" s="266">
        <f>IFERROR(__xludf.DUMMYFUNCTION("""COMPUTED_VALUE"""),45463.0)</f>
        <v>45463</v>
      </c>
      <c r="C6750" s="266" t="str">
        <f>IFERROR(__xludf.DUMMYFUNCTION("""COMPUTED_VALUE"""),"KERTASARI CIAMIS")</f>
        <v>KERTASARI CIAMIS</v>
      </c>
      <c r="D6750" s="186">
        <f>IFERROR(__xludf.DUMMYFUNCTION("""COMPUTED_VALUE"""),100.0)</f>
        <v>100</v>
      </c>
    </row>
    <row r="6751">
      <c r="A6751" s="178" t="str">
        <f>IFERROR(__xludf.DUMMYFUNCTION("""COMPUTED_VALUE"""),"ITBISA-IDC-2X5-AMPHENOL-FEMALE")</f>
        <v>ITBISA-IDC-2X5-AMPHENOL-FEMALE</v>
      </c>
      <c r="B6751" s="266">
        <f>IFERROR(__xludf.DUMMYFUNCTION("""COMPUTED_VALUE"""),45473.0)</f>
        <v>45473</v>
      </c>
      <c r="C6751" s="266" t="str">
        <f>IFERROR(__xludf.DUMMYFUNCTION("""COMPUTED_VALUE"""),"KERTASARI CIAMIS")</f>
        <v>KERTASARI CIAMIS</v>
      </c>
      <c r="D6751" s="186">
        <f>IFERROR(__xludf.DUMMYFUNCTION("""COMPUTED_VALUE"""),100.0)</f>
        <v>100</v>
      </c>
    </row>
    <row r="6752">
      <c r="A6752" s="178" t="str">
        <f>IFERROR(__xludf.DUMMYFUNCTION("""COMPUTED_VALUE"""),"ITBISA-IDC-2X5-AMPHENOL-FEMALE")</f>
        <v>ITBISA-IDC-2X5-AMPHENOL-FEMALE</v>
      </c>
      <c r="B6752" s="266">
        <f>IFERROR(__xludf.DUMMYFUNCTION("""COMPUTED_VALUE"""),45473.0)</f>
        <v>45473</v>
      </c>
      <c r="C6752" s="266" t="str">
        <f>IFERROR(__xludf.DUMMYFUNCTION("""COMPUTED_VALUE"""),"KERTASARI CIAMIS")</f>
        <v>KERTASARI CIAMIS</v>
      </c>
      <c r="D6752" s="186">
        <f>IFERROR(__xludf.DUMMYFUNCTION("""COMPUTED_VALUE"""),100.0)</f>
        <v>100</v>
      </c>
    </row>
    <row r="6753">
      <c r="A6753" s="178" t="str">
        <f>IFERROR(__xludf.DUMMYFUNCTION("""COMPUTED_VALUE"""),"ITBISA-IDC-2X5-AMPHENOL-FEMALE")</f>
        <v>ITBISA-IDC-2X5-AMPHENOL-FEMALE</v>
      </c>
      <c r="B6753" s="266">
        <f>IFERROR(__xludf.DUMMYFUNCTION("""COMPUTED_VALUE"""),45488.0)</f>
        <v>45488</v>
      </c>
      <c r="C6753" s="266" t="str">
        <f>IFERROR(__xludf.DUMMYFUNCTION("""COMPUTED_VALUE"""),"KERTASARI CIAMIS")</f>
        <v>KERTASARI CIAMIS</v>
      </c>
      <c r="D6753" s="186">
        <f>IFERROR(__xludf.DUMMYFUNCTION("""COMPUTED_VALUE"""),49.0)</f>
        <v>49</v>
      </c>
    </row>
    <row r="6754">
      <c r="A6754" s="178" t="str">
        <f>IFERROR(__xludf.DUMMYFUNCTION("""COMPUTED_VALUE"""),"ITBISA-IDC-2X5-AMPHENOL-FEMALE")</f>
        <v>ITBISA-IDC-2X5-AMPHENOL-FEMALE</v>
      </c>
      <c r="B6754" s="266">
        <f>IFERROR(__xludf.DUMMYFUNCTION("""COMPUTED_VALUE"""),45518.0)</f>
        <v>45518</v>
      </c>
      <c r="C6754" s="266" t="str">
        <f>IFERROR(__xludf.DUMMYFUNCTION("""COMPUTED_VALUE"""),"KERTASARI CIAMIS")</f>
        <v>KERTASARI CIAMIS</v>
      </c>
      <c r="D6754" s="186">
        <f>IFERROR(__xludf.DUMMYFUNCTION("""COMPUTED_VALUE"""),50.0)</f>
        <v>50</v>
      </c>
    </row>
    <row r="6755">
      <c r="A6755" s="178" t="str">
        <f>IFERROR(__xludf.DUMMYFUNCTION("""COMPUTED_VALUE"""),"ITBISA-IDC-2X5-AMPHENOL-FEMALE")</f>
        <v>ITBISA-IDC-2X5-AMPHENOL-FEMALE</v>
      </c>
      <c r="B6755" s="266">
        <f>IFERROR(__xludf.DUMMYFUNCTION("""COMPUTED_VALUE"""),45527.0)</f>
        <v>45527</v>
      </c>
      <c r="C6755" s="266" t="str">
        <f>IFERROR(__xludf.DUMMYFUNCTION("""COMPUTED_VALUE"""),"KYAI KONTONG")</f>
        <v>KYAI KONTONG</v>
      </c>
      <c r="D6755" s="186">
        <f>IFERROR(__xludf.DUMMYFUNCTION("""COMPUTED_VALUE"""),120.0)</f>
        <v>120</v>
      </c>
    </row>
    <row r="6756">
      <c r="A6756" s="178" t="str">
        <f>IFERROR(__xludf.DUMMYFUNCTION("""COMPUTED_VALUE"""),"ITBISA-IDC-2X5-AMPHENOL-FEMALE")</f>
        <v>ITBISA-IDC-2X5-AMPHENOL-FEMALE</v>
      </c>
      <c r="B6756" s="266">
        <f>IFERROR(__xludf.DUMMYFUNCTION("""COMPUTED_VALUE"""),45530.0)</f>
        <v>45530</v>
      </c>
      <c r="C6756" s="266" t="str">
        <f>IFERROR(__xludf.DUMMYFUNCTION("""COMPUTED_VALUE"""),"KYAI KONTONG")</f>
        <v>KYAI KONTONG</v>
      </c>
      <c r="D6756" s="186">
        <f>IFERROR(__xludf.DUMMYFUNCTION("""COMPUTED_VALUE"""),20.0)</f>
        <v>20</v>
      </c>
    </row>
    <row r="6757">
      <c r="A6757" s="178" t="str">
        <f>IFERROR(__xludf.DUMMYFUNCTION("""COMPUTED_VALUE"""),"ITBISA-IDC-2X5-AMPHENOL-FEMALE")</f>
        <v>ITBISA-IDC-2X5-AMPHENOL-FEMALE</v>
      </c>
      <c r="B6757" s="266">
        <f>IFERROR(__xludf.DUMMYFUNCTION("""COMPUTED_VALUE"""),45532.0)</f>
        <v>45532</v>
      </c>
      <c r="C6757" s="266" t="str">
        <f>IFERROR(__xludf.DUMMYFUNCTION("""COMPUTED_VALUE"""),"KYAI KONTONG")</f>
        <v>KYAI KONTONG</v>
      </c>
      <c r="D6757" s="186">
        <f>IFERROR(__xludf.DUMMYFUNCTION("""COMPUTED_VALUE"""),20.0)</f>
        <v>20</v>
      </c>
    </row>
    <row r="6758">
      <c r="A6758" s="178" t="str">
        <f>IFERROR(__xludf.DUMMYFUNCTION("""COMPUTED_VALUE"""),"ITBISA-IDC-2X5-AMPHENOL-FEMALE")</f>
        <v>ITBISA-IDC-2X5-AMPHENOL-FEMALE</v>
      </c>
      <c r="B6758" s="266">
        <f>IFERROR(__xludf.DUMMYFUNCTION("""COMPUTED_VALUE"""),45533.0)</f>
        <v>45533</v>
      </c>
      <c r="C6758" s="266" t="str">
        <f>IFERROR(__xludf.DUMMYFUNCTION("""COMPUTED_VALUE"""),"KERTASARI CIAMIS")</f>
        <v>KERTASARI CIAMIS</v>
      </c>
      <c r="D6758" s="186">
        <f>IFERROR(__xludf.DUMMYFUNCTION("""COMPUTED_VALUE"""),110.0)</f>
        <v>110</v>
      </c>
    </row>
    <row r="6759">
      <c r="A6759" s="178" t="str">
        <f>IFERROR(__xludf.DUMMYFUNCTION("""COMPUTED_VALUE"""),"ITBISA-IDC-2X5-AMPHENOL-FEMALE")</f>
        <v>ITBISA-IDC-2X5-AMPHENOL-FEMALE</v>
      </c>
      <c r="B6759" s="266">
        <f>IFERROR(__xludf.DUMMYFUNCTION("""COMPUTED_VALUE"""),45535.0)</f>
        <v>45535</v>
      </c>
      <c r="C6759" s="266" t="str">
        <f>IFERROR(__xludf.DUMMYFUNCTION("""COMPUTED_VALUE"""),"KYAI KONTONG")</f>
        <v>KYAI KONTONG</v>
      </c>
      <c r="D6759" s="186">
        <f>IFERROR(__xludf.DUMMYFUNCTION("""COMPUTED_VALUE"""),20.0)</f>
        <v>20</v>
      </c>
    </row>
    <row r="6760">
      <c r="A6760" s="178" t="str">
        <f>IFERROR(__xludf.DUMMYFUNCTION("""COMPUTED_VALUE"""),"ITBISA-IDC-2X5-AMPHENOL-FEMALE")</f>
        <v>ITBISA-IDC-2X5-AMPHENOL-FEMALE</v>
      </c>
      <c r="B6760" s="266">
        <f>IFERROR(__xludf.DUMMYFUNCTION("""COMPUTED_VALUE"""),45545.0)</f>
        <v>45545</v>
      </c>
      <c r="C6760" s="266" t="str">
        <f>IFERROR(__xludf.DUMMYFUNCTION("""COMPUTED_VALUE"""),"KERTASARI CIAMIS")</f>
        <v>KERTASARI CIAMIS</v>
      </c>
      <c r="D6760" s="186">
        <f>IFERROR(__xludf.DUMMYFUNCTION("""COMPUTED_VALUE"""),110.0)</f>
        <v>110</v>
      </c>
    </row>
    <row r="6761">
      <c r="A6761" s="178" t="str">
        <f>IFERROR(__xludf.DUMMYFUNCTION("""COMPUTED_VALUE"""),"ITBISA-IDC-2X5-AMPHENOL-FEMALE")</f>
        <v>ITBISA-IDC-2X5-AMPHENOL-FEMALE</v>
      </c>
      <c r="B6761" s="266">
        <f>IFERROR(__xludf.DUMMYFUNCTION("""COMPUTED_VALUE"""),45554.0)</f>
        <v>45554</v>
      </c>
      <c r="C6761" s="266" t="str">
        <f>IFERROR(__xludf.DUMMYFUNCTION("""COMPUTED_VALUE"""),"KERTASARI CIAMIS")</f>
        <v>KERTASARI CIAMIS</v>
      </c>
      <c r="D6761" s="186">
        <f>IFERROR(__xludf.DUMMYFUNCTION("""COMPUTED_VALUE"""),110.0)</f>
        <v>110</v>
      </c>
    </row>
    <row r="6762">
      <c r="A6762" s="178" t="str">
        <f>IFERROR(__xludf.DUMMYFUNCTION("""COMPUTED_VALUE"""),"ITBISA-IDC-2X5-AMPHENOL-FEMALE")</f>
        <v>ITBISA-IDC-2X5-AMPHENOL-FEMALE</v>
      </c>
      <c r="B6762" s="266">
        <f>IFERROR(__xludf.DUMMYFUNCTION("""COMPUTED_VALUE"""),45558.0)</f>
        <v>45558</v>
      </c>
      <c r="C6762" s="266" t="str">
        <f>IFERROR(__xludf.DUMMYFUNCTION("""COMPUTED_VALUE"""),"KYAI KONTONG")</f>
        <v>KYAI KONTONG</v>
      </c>
      <c r="D6762" s="186">
        <f>IFERROR(__xludf.DUMMYFUNCTION("""COMPUTED_VALUE"""),300.0)</f>
        <v>300</v>
      </c>
    </row>
    <row r="6763">
      <c r="A6763" s="178" t="str">
        <f>IFERROR(__xludf.DUMMYFUNCTION("""COMPUTED_VALUE"""),"ITBISA-IDC-2X5-AMPHENOL-FEMALE")</f>
        <v>ITBISA-IDC-2X5-AMPHENOL-FEMALE</v>
      </c>
      <c r="B6763" s="266">
        <f>IFERROR(__xludf.DUMMYFUNCTION("""COMPUTED_VALUE"""),45559.0)</f>
        <v>45559</v>
      </c>
      <c r="C6763" s="266" t="str">
        <f>IFERROR(__xludf.DUMMYFUNCTION("""COMPUTED_VALUE"""),"KERTASARI CIAMIS")</f>
        <v>KERTASARI CIAMIS</v>
      </c>
      <c r="D6763" s="186">
        <f>IFERROR(__xludf.DUMMYFUNCTION("""COMPUTED_VALUE"""),20.0)</f>
        <v>20</v>
      </c>
    </row>
    <row r="6764">
      <c r="A6764" s="178" t="str">
        <f>IFERROR(__xludf.DUMMYFUNCTION("""COMPUTED_VALUE"""),"ITBISA-IDC-2X5-AMPHENOL-FEMALE")</f>
        <v>ITBISA-IDC-2X5-AMPHENOL-FEMALE</v>
      </c>
      <c r="B6764" s="266">
        <f>IFERROR(__xludf.DUMMYFUNCTION("""COMPUTED_VALUE"""),45561.0)</f>
        <v>45561</v>
      </c>
      <c r="C6764" s="266" t="str">
        <f>IFERROR(__xludf.DUMMYFUNCTION("""COMPUTED_VALUE"""),"KERTASARI CIAMIS")</f>
        <v>KERTASARI CIAMIS</v>
      </c>
      <c r="D6764" s="186">
        <f>IFERROR(__xludf.DUMMYFUNCTION("""COMPUTED_VALUE"""),110.0)</f>
        <v>110</v>
      </c>
    </row>
    <row r="6765">
      <c r="A6765" s="178" t="str">
        <f>IFERROR(__xludf.DUMMYFUNCTION("""COMPUTED_VALUE"""),"ITBISA-IDC-2X5-AMPHENOL-FEMALE")</f>
        <v>ITBISA-IDC-2X5-AMPHENOL-FEMALE</v>
      </c>
      <c r="B6765" s="266">
        <f>IFERROR(__xludf.DUMMYFUNCTION("""COMPUTED_VALUE"""),45571.0)</f>
        <v>45571</v>
      </c>
      <c r="C6765" s="266" t="str">
        <f>IFERROR(__xludf.DUMMYFUNCTION("""COMPUTED_VALUE"""),"KYAI KONTONG")</f>
        <v>KYAI KONTONG</v>
      </c>
      <c r="D6765" s="186">
        <f>IFERROR(__xludf.DUMMYFUNCTION("""COMPUTED_VALUE"""),110.0)</f>
        <v>110</v>
      </c>
    </row>
    <row r="6766">
      <c r="A6766" s="178" t="str">
        <f>IFERROR(__xludf.DUMMYFUNCTION("""COMPUTED_VALUE"""),"ITBISA-IDC-2X5-AMPHENOL-FEMALE")</f>
        <v>ITBISA-IDC-2X5-AMPHENOL-FEMALE</v>
      </c>
      <c r="B6766" s="266">
        <f>IFERROR(__xludf.DUMMYFUNCTION("""COMPUTED_VALUE"""),45585.0)</f>
        <v>45585</v>
      </c>
      <c r="C6766" s="266" t="str">
        <f>IFERROR(__xludf.DUMMYFUNCTION("""COMPUTED_VALUE"""),"KERTASARI CIAMIS")</f>
        <v>KERTASARI CIAMIS</v>
      </c>
      <c r="D6766" s="186">
        <f>IFERROR(__xludf.DUMMYFUNCTION("""COMPUTED_VALUE"""),110.0)</f>
        <v>110</v>
      </c>
    </row>
    <row r="6767">
      <c r="A6767" s="178" t="str">
        <f>IFERROR(__xludf.DUMMYFUNCTION("""COMPUTED_VALUE"""),"ITBISA-IDC-2X5-AMPHENOL-FEMALE")</f>
        <v>ITBISA-IDC-2X5-AMPHENOL-FEMALE</v>
      </c>
      <c r="B6767" s="266">
        <f>IFERROR(__xludf.DUMMYFUNCTION("""COMPUTED_VALUE"""),45593.0)</f>
        <v>45593</v>
      </c>
      <c r="C6767" s="266" t="str">
        <f>IFERROR(__xludf.DUMMYFUNCTION("""COMPUTED_VALUE"""),"KERTASARI CIAMIS")</f>
        <v>KERTASARI CIAMIS</v>
      </c>
      <c r="D6767" s="186">
        <f>IFERROR(__xludf.DUMMYFUNCTION("""COMPUTED_VALUE"""),110.0)</f>
        <v>110</v>
      </c>
    </row>
    <row r="6768">
      <c r="A6768" s="178" t="str">
        <f>IFERROR(__xludf.DUMMYFUNCTION("""COMPUTED_VALUE"""),"ITBISA-IDC-2X5-AMPHENOL-FEMALE")</f>
        <v>ITBISA-IDC-2X5-AMPHENOL-FEMALE</v>
      </c>
      <c r="B6768" s="266">
        <f>IFERROR(__xludf.DUMMYFUNCTION("""COMPUTED_VALUE"""),45598.0)</f>
        <v>45598</v>
      </c>
      <c r="C6768" s="266" t="str">
        <f>IFERROR(__xludf.DUMMYFUNCTION("""COMPUTED_VALUE"""),"KERTASARI CIAMIS")</f>
        <v>KERTASARI CIAMIS</v>
      </c>
      <c r="D6768" s="186">
        <f>IFERROR(__xludf.DUMMYFUNCTION("""COMPUTED_VALUE"""),110.0)</f>
        <v>110</v>
      </c>
    </row>
    <row r="6769">
      <c r="A6769" s="178" t="str">
        <f>IFERROR(__xludf.DUMMYFUNCTION("""COMPUTED_VALUE"""),"ITBISA-IDC-2X5-AMPHENOL-FEMALE")</f>
        <v>ITBISA-IDC-2X5-AMPHENOL-FEMALE</v>
      </c>
      <c r="B6769" s="266">
        <f>IFERROR(__xludf.DUMMYFUNCTION("""COMPUTED_VALUE"""),45604.0)</f>
        <v>45604</v>
      </c>
      <c r="C6769" s="266" t="str">
        <f>IFERROR(__xludf.DUMMYFUNCTION("""COMPUTED_VALUE"""),"KYAI KONTONG")</f>
        <v>KYAI KONTONG</v>
      </c>
      <c r="D6769" s="186">
        <f>IFERROR(__xludf.DUMMYFUNCTION("""COMPUTED_VALUE"""),110.0)</f>
        <v>110</v>
      </c>
    </row>
    <row r="6770">
      <c r="A6770" s="178" t="str">
        <f>IFERROR(__xludf.DUMMYFUNCTION("""COMPUTED_VALUE"""),"ITBISA-IDC-2X5-AMPHENOL-FEMALE")</f>
        <v>ITBISA-IDC-2X5-AMPHENOL-FEMALE</v>
      </c>
      <c r="B6770" s="266">
        <f>IFERROR(__xludf.DUMMYFUNCTION("""COMPUTED_VALUE"""),45612.0)</f>
        <v>45612</v>
      </c>
      <c r="C6770" s="266" t="str">
        <f>IFERROR(__xludf.DUMMYFUNCTION("""COMPUTED_VALUE"""),"KERTASARI CIAMIS")</f>
        <v>KERTASARI CIAMIS</v>
      </c>
      <c r="D6770" s="186">
        <f>IFERROR(__xludf.DUMMYFUNCTION("""COMPUTED_VALUE"""),110.0)</f>
        <v>110</v>
      </c>
    </row>
    <row r="6771">
      <c r="A6771" s="178" t="str">
        <f>IFERROR(__xludf.DUMMYFUNCTION("""COMPUTED_VALUE"""),"ITBISA-IDC-2X5-AMPHENOL-FEMALE")</f>
        <v>ITBISA-IDC-2X5-AMPHENOL-FEMALE</v>
      </c>
      <c r="B6771" s="266">
        <f>IFERROR(__xludf.DUMMYFUNCTION("""COMPUTED_VALUE"""),45614.0)</f>
        <v>45614</v>
      </c>
      <c r="C6771" s="266" t="str">
        <f>IFERROR(__xludf.DUMMYFUNCTION("""COMPUTED_VALUE"""),"KERTASARI CIAMIS")</f>
        <v>KERTASARI CIAMIS</v>
      </c>
      <c r="D6771" s="186">
        <f>IFERROR(__xludf.DUMMYFUNCTION("""COMPUTED_VALUE"""),20.0)</f>
        <v>20</v>
      </c>
    </row>
    <row r="6772">
      <c r="A6772" s="178" t="str">
        <f>IFERROR(__xludf.DUMMYFUNCTION("""COMPUTED_VALUE"""),"ITBISA-IDC-2X5-AMPHENOL-FEMALE")</f>
        <v>ITBISA-IDC-2X5-AMPHENOL-FEMALE</v>
      </c>
      <c r="B6772" s="266">
        <f>IFERROR(__xludf.DUMMYFUNCTION("""COMPUTED_VALUE"""),45625.0)</f>
        <v>45625</v>
      </c>
      <c r="C6772" s="266" t="str">
        <f>IFERROR(__xludf.DUMMYFUNCTION("""COMPUTED_VALUE"""),"KERTASARI CIAMIS")</f>
        <v>KERTASARI CIAMIS</v>
      </c>
      <c r="D6772" s="186">
        <f>IFERROR(__xludf.DUMMYFUNCTION("""COMPUTED_VALUE"""),110.0)</f>
        <v>110</v>
      </c>
    </row>
    <row r="6773">
      <c r="A6773" s="178" t="str">
        <f>IFERROR(__xludf.DUMMYFUNCTION("""COMPUTED_VALUE"""),"ITBISA-IDC-2X5-AMPHENOL-FEMALE")</f>
        <v>ITBISA-IDC-2X5-AMPHENOL-FEMALE</v>
      </c>
      <c r="B6773" s="266">
        <f>IFERROR(__xludf.DUMMYFUNCTION("""COMPUTED_VALUE"""),45632.0)</f>
        <v>45632</v>
      </c>
      <c r="C6773" s="266" t="str">
        <f>IFERROR(__xludf.DUMMYFUNCTION("""COMPUTED_VALUE"""),"KERTASARI CIAMIS")</f>
        <v>KERTASARI CIAMIS</v>
      </c>
      <c r="D6773" s="186">
        <f>IFERROR(__xludf.DUMMYFUNCTION("""COMPUTED_VALUE"""),110.0)</f>
        <v>110</v>
      </c>
    </row>
    <row r="6774">
      <c r="A6774" s="178" t="str">
        <f>IFERROR(__xludf.DUMMYFUNCTION("""COMPUTED_VALUE"""),"ITBISA-IDC-2X5-AMPHENOL-FEMALE")</f>
        <v>ITBISA-IDC-2X5-AMPHENOL-FEMALE</v>
      </c>
      <c r="B6774" s="266">
        <f>IFERROR(__xludf.DUMMYFUNCTION("""COMPUTED_VALUE"""),45640.0)</f>
        <v>45640</v>
      </c>
      <c r="C6774" s="266" t="str">
        <f>IFERROR(__xludf.DUMMYFUNCTION("""COMPUTED_VALUE"""),"KERTASARI CIAMIS")</f>
        <v>KERTASARI CIAMIS</v>
      </c>
      <c r="D6774" s="186">
        <f>IFERROR(__xludf.DUMMYFUNCTION("""COMPUTED_VALUE"""),50.0)</f>
        <v>50</v>
      </c>
    </row>
    <row r="6775">
      <c r="A6775" s="178" t="str">
        <f>IFERROR(__xludf.DUMMYFUNCTION("""COMPUTED_VALUE"""),"ITBISA-IDC-2X5-AMPHENOL-FEMALE")</f>
        <v>ITBISA-IDC-2X5-AMPHENOL-FEMALE</v>
      </c>
      <c r="B6775" s="266">
        <f>IFERROR(__xludf.DUMMYFUNCTION("""COMPUTED_VALUE"""),45641.0)</f>
        <v>45641</v>
      </c>
      <c r="C6775" s="266" t="str">
        <f>IFERROR(__xludf.DUMMYFUNCTION("""COMPUTED_VALUE"""),"KERTASARI CIAMIS")</f>
        <v>KERTASARI CIAMIS</v>
      </c>
      <c r="D6775" s="186">
        <f>IFERROR(__xludf.DUMMYFUNCTION("""COMPUTED_VALUE"""),110.0)</f>
        <v>110</v>
      </c>
    </row>
    <row r="6776">
      <c r="A6776" s="178" t="str">
        <f>IFERROR(__xludf.DUMMYFUNCTION("""COMPUTED_VALUE"""),"ITBISA-IDC-2X5-AMPHENOL-FEMALE")</f>
        <v>ITBISA-IDC-2X5-AMPHENOL-FEMALE</v>
      </c>
      <c r="B6776" s="266">
        <f>IFERROR(__xludf.DUMMYFUNCTION("""COMPUTED_VALUE"""),45647.0)</f>
        <v>45647</v>
      </c>
      <c r="C6776" s="266" t="str">
        <f>IFERROR(__xludf.DUMMYFUNCTION("""COMPUTED_VALUE"""),"KERTASARI CIAMIS")</f>
        <v>KERTASARI CIAMIS</v>
      </c>
      <c r="D6776" s="186">
        <f>IFERROR(__xludf.DUMMYFUNCTION("""COMPUTED_VALUE"""),110.0)</f>
        <v>110</v>
      </c>
    </row>
    <row r="6777">
      <c r="A6777" s="178" t="str">
        <f>IFERROR(__xludf.DUMMYFUNCTION("""COMPUTED_VALUE"""),"ITBISA-IDC-2X5-AMPHENOL-FEMALE")</f>
        <v>ITBISA-IDC-2X5-AMPHENOL-FEMALE</v>
      </c>
      <c r="B6777" s="266">
        <f>IFERROR(__xludf.DUMMYFUNCTION("""COMPUTED_VALUE"""),45654.0)</f>
        <v>45654</v>
      </c>
      <c r="C6777" s="266" t="str">
        <f>IFERROR(__xludf.DUMMYFUNCTION("""COMPUTED_VALUE"""),"KERTASARI CIAMIS")</f>
        <v>KERTASARI CIAMIS</v>
      </c>
      <c r="D6777" s="186">
        <f>IFERROR(__xludf.DUMMYFUNCTION("""COMPUTED_VALUE"""),110.0)</f>
        <v>110</v>
      </c>
    </row>
    <row r="6778">
      <c r="A6778" s="178" t="str">
        <f>IFERROR(__xludf.DUMMYFUNCTION("""COMPUTED_VALUE"""),"ITBISA-IDC-2X5-AMPHENOL-FEMALE")</f>
        <v>ITBISA-IDC-2X5-AMPHENOL-FEMALE</v>
      </c>
      <c r="B6778" s="266">
        <f>IFERROR(__xludf.DUMMYFUNCTION("""COMPUTED_VALUE"""),45660.0)</f>
        <v>45660</v>
      </c>
      <c r="C6778" s="266" t="str">
        <f>IFERROR(__xludf.DUMMYFUNCTION("""COMPUTED_VALUE"""),"KERTASARI CIAMIS")</f>
        <v>KERTASARI CIAMIS</v>
      </c>
      <c r="D6778" s="186">
        <f>IFERROR(__xludf.DUMMYFUNCTION("""COMPUTED_VALUE"""),110.0)</f>
        <v>110</v>
      </c>
    </row>
    <row r="6779">
      <c r="A6779" s="178" t="str">
        <f>IFERROR(__xludf.DUMMYFUNCTION("""COMPUTED_VALUE"""),"ITBISA-IDC-2X5-AMPHENOL-FEMALE")</f>
        <v>ITBISA-IDC-2X5-AMPHENOL-FEMALE</v>
      </c>
      <c r="B6779" s="266">
        <f>IFERROR(__xludf.DUMMYFUNCTION("""COMPUTED_VALUE"""),45662.0)</f>
        <v>45662</v>
      </c>
      <c r="C6779" s="266" t="str">
        <f>IFERROR(__xludf.DUMMYFUNCTION("""COMPUTED_VALUE"""),"KERTASARI CIAMIS")</f>
        <v>KERTASARI CIAMIS</v>
      </c>
      <c r="D6779" s="186">
        <f>IFERROR(__xludf.DUMMYFUNCTION("""COMPUTED_VALUE"""),10.0)</f>
        <v>10</v>
      </c>
    </row>
    <row r="6780">
      <c r="A6780" s="178" t="str">
        <f>IFERROR(__xludf.DUMMYFUNCTION("""COMPUTED_VALUE"""),"ITBISA-IDC-2X5-AMPHENOL-FEMALE")</f>
        <v>ITBISA-IDC-2X5-AMPHENOL-FEMALE</v>
      </c>
      <c r="B6780" s="266">
        <f>IFERROR(__xludf.DUMMYFUNCTION("""COMPUTED_VALUE"""),45668.0)</f>
        <v>45668</v>
      </c>
      <c r="C6780" s="266" t="str">
        <f>IFERROR(__xludf.DUMMYFUNCTION("""COMPUTED_VALUE"""),"KYAI KONTONG")</f>
        <v>KYAI KONTONG</v>
      </c>
      <c r="D6780" s="186">
        <f>IFERROR(__xludf.DUMMYFUNCTION("""COMPUTED_VALUE"""),110.0)</f>
        <v>110</v>
      </c>
    </row>
    <row r="6781">
      <c r="A6781" s="178" t="str">
        <f>IFERROR(__xludf.DUMMYFUNCTION("""COMPUTED_VALUE"""),"ITBISA-IDC-2X5-AMPHENOL-FEMALE")</f>
        <v>ITBISA-IDC-2X5-AMPHENOL-FEMALE</v>
      </c>
      <c r="B6781" s="266">
        <f>IFERROR(__xludf.DUMMYFUNCTION("""COMPUTED_VALUE"""),45677.0)</f>
        <v>45677</v>
      </c>
      <c r="C6781" s="266" t="str">
        <f>IFERROR(__xludf.DUMMYFUNCTION("""COMPUTED_VALUE"""),"KERTASARI CIAMIS")</f>
        <v>KERTASARI CIAMIS</v>
      </c>
      <c r="D6781" s="186">
        <f>IFERROR(__xludf.DUMMYFUNCTION("""COMPUTED_VALUE"""),110.0)</f>
        <v>110</v>
      </c>
    </row>
    <row r="6782">
      <c r="A6782" s="178" t="str">
        <f>IFERROR(__xludf.DUMMYFUNCTION("""COMPUTED_VALUE"""),"ITBISA-IDC-2X5-AMPHENOL-FEMALE")</f>
        <v>ITBISA-IDC-2X5-AMPHENOL-FEMALE</v>
      </c>
      <c r="B6782" s="266">
        <f>IFERROR(__xludf.DUMMYFUNCTION("""COMPUTED_VALUE"""),45682.0)</f>
        <v>45682</v>
      </c>
      <c r="C6782" s="266" t="str">
        <f>IFERROR(__xludf.DUMMYFUNCTION("""COMPUTED_VALUE"""),"KYAI KONTONG")</f>
        <v>KYAI KONTONG</v>
      </c>
      <c r="D6782" s="186">
        <f>IFERROR(__xludf.DUMMYFUNCTION("""COMPUTED_VALUE"""),110.0)</f>
        <v>110</v>
      </c>
    </row>
    <row r="6783">
      <c r="A6783" s="178" t="str">
        <f>IFERROR(__xludf.DUMMYFUNCTION("""COMPUTED_VALUE"""),"ITBISA-IDC-2X5-AMPHENOL-FEMALE")</f>
        <v>ITBISA-IDC-2X5-AMPHENOL-FEMALE</v>
      </c>
      <c r="B6783" s="266">
        <f>IFERROR(__xludf.DUMMYFUNCTION("""COMPUTED_VALUE"""),45686.0)</f>
        <v>45686</v>
      </c>
      <c r="C6783" s="266" t="str">
        <f>IFERROR(__xludf.DUMMYFUNCTION("""COMPUTED_VALUE"""),"KERTASARI CIAMIS")</f>
        <v>KERTASARI CIAMIS</v>
      </c>
      <c r="D6783" s="186">
        <f>IFERROR(__xludf.DUMMYFUNCTION("""COMPUTED_VALUE"""),10.0)</f>
        <v>10</v>
      </c>
    </row>
    <row r="6784">
      <c r="A6784" s="178" t="str">
        <f>IFERROR(__xludf.DUMMYFUNCTION("""COMPUTED_VALUE"""),"ITBISA-IDC-2X5-AMPHENOL-FEMALE")</f>
        <v>ITBISA-IDC-2X5-AMPHENOL-FEMALE</v>
      </c>
      <c r="B6784" s="266">
        <f>IFERROR(__xludf.DUMMYFUNCTION("""COMPUTED_VALUE"""),45689.0)</f>
        <v>45689</v>
      </c>
      <c r="C6784" s="266" t="str">
        <f>IFERROR(__xludf.DUMMYFUNCTION("""COMPUTED_VALUE"""),"KERTASARI CIAMIS")</f>
        <v>KERTASARI CIAMIS</v>
      </c>
      <c r="D6784" s="186">
        <f>IFERROR(__xludf.DUMMYFUNCTION("""COMPUTED_VALUE"""),110.0)</f>
        <v>110</v>
      </c>
    </row>
    <row r="6785">
      <c r="A6785" s="178" t="str">
        <f>IFERROR(__xludf.DUMMYFUNCTION("""COMPUTED_VALUE"""),"ITBISA-IDC-2X5-AMPHENOL-FEMALE")</f>
        <v>ITBISA-IDC-2X5-AMPHENOL-FEMALE</v>
      </c>
      <c r="B6785" s="266">
        <f>IFERROR(__xludf.DUMMYFUNCTION("""COMPUTED_VALUE"""),45699.0)</f>
        <v>45699</v>
      </c>
      <c r="C6785" s="266" t="str">
        <f>IFERROR(__xludf.DUMMYFUNCTION("""COMPUTED_VALUE"""),"KERTASARI CIAMIS")</f>
        <v>KERTASARI CIAMIS</v>
      </c>
      <c r="D6785" s="186">
        <f>IFERROR(__xludf.DUMMYFUNCTION("""COMPUTED_VALUE"""),100.0)</f>
        <v>100</v>
      </c>
    </row>
    <row r="6786">
      <c r="A6786" s="178" t="str">
        <f>IFERROR(__xludf.DUMMYFUNCTION("""COMPUTED_VALUE"""),"ITBISA-IDC-2X5-AMPHENOL-FEMALE")</f>
        <v>ITBISA-IDC-2X5-AMPHENOL-FEMALE</v>
      </c>
      <c r="B6786" s="266">
        <f>IFERROR(__xludf.DUMMYFUNCTION("""COMPUTED_VALUE"""),45706.0)</f>
        <v>45706</v>
      </c>
      <c r="C6786" s="266" t="str">
        <f>IFERROR(__xludf.DUMMYFUNCTION("""COMPUTED_VALUE"""),"KERTASARI CIAMIS")</f>
        <v>KERTASARI CIAMIS</v>
      </c>
      <c r="D6786" s="186">
        <f>IFERROR(__xludf.DUMMYFUNCTION("""COMPUTED_VALUE"""),100.0)</f>
        <v>100</v>
      </c>
    </row>
    <row r="6787">
      <c r="A6787" s="178" t="str">
        <f>IFERROR(__xludf.DUMMYFUNCTION("""COMPUTED_VALUE"""),"ITBISA-IDC-2X5-AMPHENOL-FEMALE")</f>
        <v>ITBISA-IDC-2X5-AMPHENOL-FEMALE</v>
      </c>
      <c r="B6787" s="266">
        <f>IFERROR(__xludf.DUMMYFUNCTION("""COMPUTED_VALUE"""),45713.0)</f>
        <v>45713</v>
      </c>
      <c r="C6787" s="266" t="str">
        <f>IFERROR(__xludf.DUMMYFUNCTION("""COMPUTED_VALUE"""),"KERTASARI CIAMIS")</f>
        <v>KERTASARI CIAMIS</v>
      </c>
      <c r="D6787" s="186">
        <f>IFERROR(__xludf.DUMMYFUNCTION("""COMPUTED_VALUE"""),110.0)</f>
        <v>110</v>
      </c>
    </row>
    <row r="6788">
      <c r="A6788" s="178" t="str">
        <f>IFERROR(__xludf.DUMMYFUNCTION("""COMPUTED_VALUE"""),"ITBISA-IDC-2X5-AMPHENOL-FEMALE")</f>
        <v>ITBISA-IDC-2X5-AMPHENOL-FEMALE</v>
      </c>
      <c r="B6788" s="266">
        <f>IFERROR(__xludf.DUMMYFUNCTION("""COMPUTED_VALUE"""),45722.0)</f>
        <v>45722</v>
      </c>
      <c r="C6788" s="266" t="str">
        <f>IFERROR(__xludf.DUMMYFUNCTION("""COMPUTED_VALUE"""),"KERTASARI CIAMIS")</f>
        <v>KERTASARI CIAMIS</v>
      </c>
      <c r="D6788" s="186">
        <f>IFERROR(__xludf.DUMMYFUNCTION("""COMPUTED_VALUE"""),110.0)</f>
        <v>110</v>
      </c>
    </row>
    <row r="6789">
      <c r="A6789" s="178" t="str">
        <f>IFERROR(__xludf.DUMMYFUNCTION("""COMPUTED_VALUE"""),"ITBISA-IDC-2X5-AMPHENOL-FEMALE")</f>
        <v>ITBISA-IDC-2X5-AMPHENOL-FEMALE</v>
      </c>
      <c r="B6789" s="266">
        <f>IFERROR(__xludf.DUMMYFUNCTION("""COMPUTED_VALUE"""),45733.0)</f>
        <v>45733</v>
      </c>
      <c r="C6789" s="266" t="str">
        <f>IFERROR(__xludf.DUMMYFUNCTION("""COMPUTED_VALUE"""),"KERTASARI CIAMIS")</f>
        <v>KERTASARI CIAMIS</v>
      </c>
      <c r="D6789" s="186">
        <f>IFERROR(__xludf.DUMMYFUNCTION("""COMPUTED_VALUE"""),110.0)</f>
        <v>110</v>
      </c>
    </row>
    <row r="6790">
      <c r="A6790" s="178" t="str">
        <f>IFERROR(__xludf.DUMMYFUNCTION("""COMPUTED_VALUE"""),"ITBISA-IDC-2X5-AMPHENOL-FEMALE")</f>
        <v>ITBISA-IDC-2X5-AMPHENOL-FEMALE</v>
      </c>
      <c r="B6790" s="266">
        <f>IFERROR(__xludf.DUMMYFUNCTION("""COMPUTED_VALUE"""),45741.0)</f>
        <v>45741</v>
      </c>
      <c r="C6790" s="266" t="str">
        <f>IFERROR(__xludf.DUMMYFUNCTION("""COMPUTED_VALUE"""),"KERTASARI CIAMIS")</f>
        <v>KERTASARI CIAMIS</v>
      </c>
      <c r="D6790" s="186">
        <f>IFERROR(__xludf.DUMMYFUNCTION("""COMPUTED_VALUE"""),110.0)</f>
        <v>110</v>
      </c>
    </row>
    <row r="6791">
      <c r="A6791" s="178" t="str">
        <f>IFERROR(__xludf.DUMMYFUNCTION("""COMPUTED_VALUE"""),"ITBISA-IDC-2X5-AMPHENOL-FEMALE")</f>
        <v>ITBISA-IDC-2X5-AMPHENOL-FEMALE</v>
      </c>
      <c r="B6791" s="266">
        <f>IFERROR(__xludf.DUMMYFUNCTION("""COMPUTED_VALUE"""),45759.0)</f>
        <v>45759</v>
      </c>
      <c r="C6791" s="266" t="str">
        <f>IFERROR(__xludf.DUMMYFUNCTION("""COMPUTED_VALUE"""),"KERTASARI CIAMIS")</f>
        <v>KERTASARI CIAMIS</v>
      </c>
      <c r="D6791" s="186">
        <f>IFERROR(__xludf.DUMMYFUNCTION("""COMPUTED_VALUE"""),110.0)</f>
        <v>110</v>
      </c>
    </row>
    <row r="6792">
      <c r="A6792" s="178" t="str">
        <f>IFERROR(__xludf.DUMMYFUNCTION("""COMPUTED_VALUE"""),"ITBISA-IDC-2X5-AMPHENOL-FEMALE")</f>
        <v>ITBISA-IDC-2X5-AMPHENOL-FEMALE</v>
      </c>
      <c r="B6792" s="266">
        <f>IFERROR(__xludf.DUMMYFUNCTION("""COMPUTED_VALUE"""),45769.0)</f>
        <v>45769</v>
      </c>
      <c r="C6792" s="266" t="str">
        <f>IFERROR(__xludf.DUMMYFUNCTION("""COMPUTED_VALUE"""),"KERTASARI CIAMIS")</f>
        <v>KERTASARI CIAMIS</v>
      </c>
      <c r="D6792" s="186">
        <f>IFERROR(__xludf.DUMMYFUNCTION("""COMPUTED_VALUE"""),50.0)</f>
        <v>50</v>
      </c>
    </row>
    <row r="6793">
      <c r="A6793" s="178" t="str">
        <f>IFERROR(__xludf.DUMMYFUNCTION("""COMPUTED_VALUE"""),"ITBISA-IDC-2X5-AMPHENOL-FEMALE")</f>
        <v>ITBISA-IDC-2X5-AMPHENOL-FEMALE</v>
      </c>
      <c r="B6793" s="266">
        <f>IFERROR(__xludf.DUMMYFUNCTION("""COMPUTED_VALUE"""),45777.0)</f>
        <v>45777</v>
      </c>
      <c r="C6793" s="266" t="str">
        <f>IFERROR(__xludf.DUMMYFUNCTION("""COMPUTED_VALUE"""),"KERTASARI CIAMIS")</f>
        <v>KERTASARI CIAMIS</v>
      </c>
      <c r="D6793" s="186">
        <f>IFERROR(__xludf.DUMMYFUNCTION("""COMPUTED_VALUE"""),110.0)</f>
        <v>110</v>
      </c>
    </row>
    <row r="6794">
      <c r="A6794" s="178" t="str">
        <f>IFERROR(__xludf.DUMMYFUNCTION("""COMPUTED_VALUE"""),"ITBISA-IDC-2X5-AMPHENOL-FEMALE")</f>
        <v>ITBISA-IDC-2X5-AMPHENOL-FEMALE</v>
      </c>
      <c r="B6794" s="266">
        <f>IFERROR(__xludf.DUMMYFUNCTION("""COMPUTED_VALUE"""),45787.0)</f>
        <v>45787</v>
      </c>
      <c r="C6794" s="266" t="str">
        <f>IFERROR(__xludf.DUMMYFUNCTION("""COMPUTED_VALUE"""),"KYAI KONTONG")</f>
        <v>KYAI KONTONG</v>
      </c>
      <c r="D6794" s="186">
        <f>IFERROR(__xludf.DUMMYFUNCTION("""COMPUTED_VALUE"""),110.0)</f>
        <v>110</v>
      </c>
    </row>
    <row r="6795">
      <c r="A6795" s="178" t="str">
        <f>IFERROR(__xludf.DUMMYFUNCTION("""COMPUTED_VALUE"""),"ITBISA-IDC-2X5-AMPHENOL-FEMALE")</f>
        <v>ITBISA-IDC-2X5-AMPHENOL-FEMALE</v>
      </c>
      <c r="B6795" s="266">
        <f>IFERROR(__xludf.DUMMYFUNCTION("""COMPUTED_VALUE"""),45793.0)</f>
        <v>45793</v>
      </c>
      <c r="C6795" s="266" t="str">
        <f>IFERROR(__xludf.DUMMYFUNCTION("""COMPUTED_VALUE"""),"KYAI KONTONG")</f>
        <v>KYAI KONTONG</v>
      </c>
      <c r="D6795" s="186">
        <f>IFERROR(__xludf.DUMMYFUNCTION("""COMPUTED_VALUE"""),110.0)</f>
        <v>110</v>
      </c>
    </row>
    <row r="6796">
      <c r="A6796" s="178" t="str">
        <f>IFERROR(__xludf.DUMMYFUNCTION("""COMPUTED_VALUE"""),"ITBISA-IDC-2X5-AMPHENOL-FEMALE")</f>
        <v>ITBISA-IDC-2X5-AMPHENOL-FEMALE</v>
      </c>
      <c r="B6796" s="266">
        <f>IFERROR(__xludf.DUMMYFUNCTION("""COMPUTED_VALUE"""),45794.0)</f>
        <v>45794</v>
      </c>
      <c r="C6796" s="266" t="str">
        <f>IFERROR(__xludf.DUMMYFUNCTION("""COMPUTED_VALUE"""),"KERTASARI CIAMIS")</f>
        <v>KERTASARI CIAMIS</v>
      </c>
      <c r="D6796" s="186">
        <f>IFERROR(__xludf.DUMMYFUNCTION("""COMPUTED_VALUE"""),30.0)</f>
        <v>30</v>
      </c>
    </row>
    <row r="6797">
      <c r="A6797" s="178" t="str">
        <f>IFERROR(__xludf.DUMMYFUNCTION("""COMPUTED_VALUE"""),"ITBISA-IDC-2X5-AMPHENOL-FEMALE")</f>
        <v>ITBISA-IDC-2X5-AMPHENOL-FEMALE</v>
      </c>
      <c r="B6797" s="266">
        <f>IFERROR(__xludf.DUMMYFUNCTION("""COMPUTED_VALUE"""),45795.0)</f>
        <v>45795</v>
      </c>
      <c r="C6797" s="266" t="str">
        <f>IFERROR(__xludf.DUMMYFUNCTION("""COMPUTED_VALUE"""),"KYAI KONTONG")</f>
        <v>KYAI KONTONG</v>
      </c>
      <c r="D6797" s="186">
        <f>IFERROR(__xludf.DUMMYFUNCTION("""COMPUTED_VALUE"""),10.0)</f>
        <v>10</v>
      </c>
    </row>
    <row r="6798">
      <c r="A6798" s="178" t="str">
        <f>IFERROR(__xludf.DUMMYFUNCTION("""COMPUTED_VALUE"""),"ITBISA-IDC-2X5-AMPHENOL-FEMALE")</f>
        <v>ITBISA-IDC-2X5-AMPHENOL-FEMALE</v>
      </c>
      <c r="B6798" s="266">
        <f>IFERROR(__xludf.DUMMYFUNCTION("""COMPUTED_VALUE"""),45800.0)</f>
        <v>45800</v>
      </c>
      <c r="C6798" s="266" t="str">
        <f>IFERROR(__xludf.DUMMYFUNCTION("""COMPUTED_VALUE"""),"KYAI KONTONG")</f>
        <v>KYAI KONTONG</v>
      </c>
      <c r="D6798" s="186">
        <f>IFERROR(__xludf.DUMMYFUNCTION("""COMPUTED_VALUE"""),110.0)</f>
        <v>110</v>
      </c>
    </row>
    <row r="6799">
      <c r="A6799" s="178" t="str">
        <f>IFERROR(__xludf.DUMMYFUNCTION("""COMPUTED_VALUE"""),"ITBISA-IDC-2X5-AMPHENOL-FEMALE")</f>
        <v>ITBISA-IDC-2X5-AMPHENOL-FEMALE</v>
      </c>
      <c r="B6799" s="266">
        <f>IFERROR(__xludf.DUMMYFUNCTION("""COMPUTED_VALUE"""),45807.0)</f>
        <v>45807</v>
      </c>
      <c r="C6799" s="266" t="str">
        <f>IFERROR(__xludf.DUMMYFUNCTION("""COMPUTED_VALUE"""),"KERTASARI CIAMIS")</f>
        <v>KERTASARI CIAMIS</v>
      </c>
      <c r="D6799" s="186">
        <f>IFERROR(__xludf.DUMMYFUNCTION("""COMPUTED_VALUE"""),110.0)</f>
        <v>110</v>
      </c>
    </row>
    <row r="6800">
      <c r="A6800" s="178" t="str">
        <f>IFERROR(__xludf.DUMMYFUNCTION("""COMPUTED_VALUE"""),"ITBISA-IDC-2X5-AMPHENOL-FEMALE")</f>
        <v>ITBISA-IDC-2X5-AMPHENOL-FEMALE</v>
      </c>
      <c r="B6800" s="266">
        <f>IFERROR(__xludf.DUMMYFUNCTION("""COMPUTED_VALUE"""),45810.0)</f>
        <v>45810</v>
      </c>
      <c r="C6800" s="266" t="str">
        <f>IFERROR(__xludf.DUMMYFUNCTION("""COMPUTED_VALUE"""),"KYAI KONTONG")</f>
        <v>KYAI KONTONG</v>
      </c>
      <c r="D6800" s="186">
        <f>IFERROR(__xludf.DUMMYFUNCTION("""COMPUTED_VALUE"""),10.0)</f>
        <v>10</v>
      </c>
    </row>
    <row r="6801">
      <c r="A6801" s="178" t="str">
        <f>IFERROR(__xludf.DUMMYFUNCTION("""COMPUTED_VALUE"""),"ITBISA-IDC-2X5-AMPHENOL-FEMALE")</f>
        <v>ITBISA-IDC-2X5-AMPHENOL-FEMALE</v>
      </c>
      <c r="B6801" s="266">
        <f>IFERROR(__xludf.DUMMYFUNCTION("""COMPUTED_VALUE"""),45820.0)</f>
        <v>45820</v>
      </c>
      <c r="C6801" s="266" t="str">
        <f>IFERROR(__xludf.DUMMYFUNCTION("""COMPUTED_VALUE"""),"KERTASARI CIAMIS")</f>
        <v>KERTASARI CIAMIS</v>
      </c>
      <c r="D6801" s="186">
        <f>IFERROR(__xludf.DUMMYFUNCTION("""COMPUTED_VALUE"""),20.0)</f>
        <v>20</v>
      </c>
    </row>
    <row r="6802">
      <c r="A6802" s="178" t="str">
        <f>IFERROR(__xludf.DUMMYFUNCTION("""COMPUTED_VALUE"""),"ITBISA-IDC-2X5-AMPHENOL-FEMALE")</f>
        <v>ITBISA-IDC-2X5-AMPHENOL-FEMALE</v>
      </c>
      <c r="B6802" s="266">
        <f>IFERROR(__xludf.DUMMYFUNCTION("""COMPUTED_VALUE"""),45822.0)</f>
        <v>45822</v>
      </c>
      <c r="C6802" s="266" t="str">
        <f>IFERROR(__xludf.DUMMYFUNCTION("""COMPUTED_VALUE"""),"KYAI KONTONG")</f>
        <v>KYAI KONTONG</v>
      </c>
      <c r="D6802" s="186">
        <f>IFERROR(__xludf.DUMMYFUNCTION("""COMPUTED_VALUE"""),110.0)</f>
        <v>110</v>
      </c>
    </row>
    <row r="6803">
      <c r="A6803" s="178" t="str">
        <f>IFERROR(__xludf.DUMMYFUNCTION("""COMPUTED_VALUE"""),"ITBISA-IDC-2X5-AMPHENOL-FEMALE")</f>
        <v>ITBISA-IDC-2X5-AMPHENOL-FEMALE</v>
      </c>
      <c r="B6803" s="266">
        <f>IFERROR(__xludf.DUMMYFUNCTION("""COMPUTED_VALUE"""),45830.0)</f>
        <v>45830</v>
      </c>
      <c r="C6803" s="266" t="str">
        <f>IFERROR(__xludf.DUMMYFUNCTION("""COMPUTED_VALUE"""),"KYAI KONTONG")</f>
        <v>KYAI KONTONG</v>
      </c>
      <c r="D6803" s="186">
        <f>IFERROR(__xludf.DUMMYFUNCTION("""COMPUTED_VALUE"""),110.0)</f>
        <v>110</v>
      </c>
    </row>
    <row r="6804">
      <c r="A6804" s="178" t="str">
        <f>IFERROR(__xludf.DUMMYFUNCTION("""COMPUTED_VALUE"""),"ITBISA-IDC-2X5-AMPHENOL-FEMALE")</f>
        <v>ITBISA-IDC-2X5-AMPHENOL-FEMALE</v>
      </c>
      <c r="B6804" s="266">
        <f>IFERROR(__xludf.DUMMYFUNCTION("""COMPUTED_VALUE"""),45838.0)</f>
        <v>45838</v>
      </c>
      <c r="C6804" s="266" t="str">
        <f>IFERROR(__xludf.DUMMYFUNCTION("""COMPUTED_VALUE"""),"KYAI KONTONG")</f>
        <v>KYAI KONTONG</v>
      </c>
      <c r="D6804" s="186">
        <f>IFERROR(__xludf.DUMMYFUNCTION("""COMPUTED_VALUE"""),110.0)</f>
        <v>110</v>
      </c>
    </row>
    <row r="6805">
      <c r="A6805" s="178" t="str">
        <f>IFERROR(__xludf.DUMMYFUNCTION("""COMPUTED_VALUE"""),"ITBISA-IDC-2X5-AMPHENOL-FEMALE")</f>
        <v>ITBISA-IDC-2X5-AMPHENOL-FEMALE</v>
      </c>
      <c r="B6805" s="266">
        <f>IFERROR(__xludf.DUMMYFUNCTION("""COMPUTED_VALUE"""),45845.0)</f>
        <v>45845</v>
      </c>
      <c r="C6805" s="266" t="str">
        <f>IFERROR(__xludf.DUMMYFUNCTION("""COMPUTED_VALUE"""),"KERTASARI CIAMIS")</f>
        <v>KERTASARI CIAMIS</v>
      </c>
      <c r="D6805" s="186">
        <f>IFERROR(__xludf.DUMMYFUNCTION("""COMPUTED_VALUE"""),110.0)</f>
        <v>110</v>
      </c>
    </row>
    <row r="6806">
      <c r="A6806" s="178" t="str">
        <f>IFERROR(__xludf.DUMMYFUNCTION("""COMPUTED_VALUE"""),"ITBISA-IDC-2X5-AMPHENOL-FEMALE")</f>
        <v>ITBISA-IDC-2X5-AMPHENOL-FEMALE</v>
      </c>
      <c r="B6806" s="266">
        <f>IFERROR(__xludf.DUMMYFUNCTION("""COMPUTED_VALUE"""),45858.0)</f>
        <v>45858</v>
      </c>
      <c r="C6806" s="266" t="str">
        <f>IFERROR(__xludf.DUMMYFUNCTION("""COMPUTED_VALUE"""),"KERTASARI CIAMIS")</f>
        <v>KERTASARI CIAMIS</v>
      </c>
      <c r="D6806" s="186">
        <f>IFERROR(__xludf.DUMMYFUNCTION("""COMPUTED_VALUE"""),110.0)</f>
        <v>110</v>
      </c>
    </row>
    <row r="6807">
      <c r="A6807" s="178" t="str">
        <f>IFERROR(__xludf.DUMMYFUNCTION("""COMPUTED_VALUE"""),"ITBISA-IDC-2X5-AMPHENOL-FEMALE")</f>
        <v>ITBISA-IDC-2X5-AMPHENOL-FEMALE</v>
      </c>
      <c r="B6807" s="266">
        <f>IFERROR(__xludf.DUMMYFUNCTION("""COMPUTED_VALUE"""),45866.0)</f>
        <v>45866</v>
      </c>
      <c r="C6807" s="266" t="str">
        <f>IFERROR(__xludf.DUMMYFUNCTION("""COMPUTED_VALUE"""),"KERTASARI CIAMIS")</f>
        <v>KERTASARI CIAMIS</v>
      </c>
      <c r="D6807" s="186">
        <f>IFERROR(__xludf.DUMMYFUNCTION("""COMPUTED_VALUE"""),110.0)</f>
        <v>110</v>
      </c>
    </row>
    <row r="6808">
      <c r="A6808" s="178" t="str">
        <f>IFERROR(__xludf.DUMMYFUNCTION("""COMPUTED_VALUE"""),"ITBISA-IDC-2X5-AMPHENOL-FEMALE")</f>
        <v>ITBISA-IDC-2X5-AMPHENOL-FEMALE</v>
      </c>
      <c r="B6808" s="266">
        <f>IFERROR(__xludf.DUMMYFUNCTION("""COMPUTED_VALUE"""),45872.0)</f>
        <v>45872</v>
      </c>
      <c r="C6808" s="266" t="str">
        <f>IFERROR(__xludf.DUMMYFUNCTION("""COMPUTED_VALUE"""),"KERTASARI CIAMIS")</f>
        <v>KERTASARI CIAMIS</v>
      </c>
      <c r="D6808" s="186">
        <f>IFERROR(__xludf.DUMMYFUNCTION("""COMPUTED_VALUE"""),110.0)</f>
        <v>110</v>
      </c>
    </row>
    <row r="6809">
      <c r="A6809" s="178" t="str">
        <f>IFERROR(__xludf.DUMMYFUNCTION("""COMPUTED_VALUE"""),"ITBISA-IDC-2X5-AMPHENOL-FEMALE")</f>
        <v>ITBISA-IDC-2X5-AMPHENOL-FEMALE</v>
      </c>
      <c r="B6809" s="266">
        <f>IFERROR(__xludf.DUMMYFUNCTION("""COMPUTED_VALUE"""),45881.0)</f>
        <v>45881</v>
      </c>
      <c r="C6809" s="266" t="str">
        <f>IFERROR(__xludf.DUMMYFUNCTION("""COMPUTED_VALUE"""),"KERTASARI CIAMIS")</f>
        <v>KERTASARI CIAMIS</v>
      </c>
      <c r="D6809" s="186">
        <f>IFERROR(__xludf.DUMMYFUNCTION("""COMPUTED_VALUE"""),110.0)</f>
        <v>110</v>
      </c>
    </row>
    <row r="6810">
      <c r="A6810" s="178" t="str">
        <f>IFERROR(__xludf.DUMMYFUNCTION("""COMPUTED_VALUE"""),"ITBISA-IDC-2X5-AMPHENOL-FEMALE")</f>
        <v>ITBISA-IDC-2X5-AMPHENOL-FEMALE</v>
      </c>
      <c r="B6810" s="266">
        <f>IFERROR(__xludf.DUMMYFUNCTION("""COMPUTED_VALUE"""),45888.0)</f>
        <v>45888</v>
      </c>
      <c r="C6810" s="266" t="str">
        <f>IFERROR(__xludf.DUMMYFUNCTION("""COMPUTED_VALUE"""),"KERTASARI CIAMIS")</f>
        <v>KERTASARI CIAMIS</v>
      </c>
      <c r="D6810" s="186">
        <f>IFERROR(__xludf.DUMMYFUNCTION("""COMPUTED_VALUE"""),110.0)</f>
        <v>110</v>
      </c>
    </row>
    <row r="6811">
      <c r="A6811" s="178" t="str">
        <f>IFERROR(__xludf.DUMMYFUNCTION("""COMPUTED_VALUE"""),"ITBISA-IDC-2X5-AMPHENOL-FEMALE")</f>
        <v>ITBISA-IDC-2X5-AMPHENOL-FEMALE</v>
      </c>
      <c r="B6811" s="266">
        <f>IFERROR(__xludf.DUMMYFUNCTION("""COMPUTED_VALUE"""),45894.0)</f>
        <v>45894</v>
      </c>
      <c r="C6811" s="266" t="str">
        <f>IFERROR(__xludf.DUMMYFUNCTION("""COMPUTED_VALUE"""),"KERTASARI CIAMIS")</f>
        <v>KERTASARI CIAMIS</v>
      </c>
      <c r="D6811" s="186">
        <f>IFERROR(__xludf.DUMMYFUNCTION("""COMPUTED_VALUE"""),110.0)</f>
        <v>110</v>
      </c>
    </row>
    <row r="6812">
      <c r="A6812" s="178" t="str">
        <f>IFERROR(__xludf.DUMMYFUNCTION("""COMPUTED_VALUE"""),"ITBISA-IDC-2X5-AMPHENOL-FEMALE")</f>
        <v>ITBISA-IDC-2X5-AMPHENOL-FEMALE</v>
      </c>
      <c r="B6812" s="266">
        <f>IFERROR(__xludf.DUMMYFUNCTION("""COMPUTED_VALUE"""),45895.0)</f>
        <v>45895</v>
      </c>
      <c r="C6812" s="266" t="str">
        <f>IFERROR(__xludf.DUMMYFUNCTION("""COMPUTED_VALUE"""),"KERTASARI CIAMIS")</f>
        <v>KERTASARI CIAMIS</v>
      </c>
      <c r="D6812" s="186">
        <f>IFERROR(__xludf.DUMMYFUNCTION("""COMPUTED_VALUE"""),20.0)</f>
        <v>20</v>
      </c>
    </row>
    <row r="6813">
      <c r="A6813" s="178" t="str">
        <f>IFERROR(__xludf.DUMMYFUNCTION("""COMPUTED_VALUE"""),"ITBISA-IDC-2X5-AMPHENOL-FEMALE")</f>
        <v>ITBISA-IDC-2X5-AMPHENOL-FEMALE</v>
      </c>
      <c r="B6813" s="266">
        <f>IFERROR(__xludf.DUMMYFUNCTION("""COMPUTED_VALUE"""),45901.0)</f>
        <v>45901</v>
      </c>
      <c r="C6813" s="266" t="str">
        <f>IFERROR(__xludf.DUMMYFUNCTION("""COMPUTED_VALUE"""),"KERTASARI CIAMIS")</f>
        <v>KERTASARI CIAMIS</v>
      </c>
      <c r="D6813" s="186">
        <f>IFERROR(__xludf.DUMMYFUNCTION("""COMPUTED_VALUE"""),110.0)</f>
        <v>110</v>
      </c>
    </row>
    <row r="6814">
      <c r="A6814" s="178" t="str">
        <f>IFERROR(__xludf.DUMMYFUNCTION("""COMPUTED_VALUE"""),"ITBISA-IDC-2X5-AMPHENOL-FEMALE")</f>
        <v>ITBISA-IDC-2X5-AMPHENOL-FEMALE</v>
      </c>
      <c r="B6814" s="266">
        <f>IFERROR(__xludf.DUMMYFUNCTION("""COMPUTED_VALUE"""),45909.0)</f>
        <v>45909</v>
      </c>
      <c r="C6814" s="266" t="str">
        <f>IFERROR(__xludf.DUMMYFUNCTION("""COMPUTED_VALUE"""),"KERTASARI CIAMIS")</f>
        <v>KERTASARI CIAMIS</v>
      </c>
      <c r="D6814" s="186">
        <f>IFERROR(__xludf.DUMMYFUNCTION("""COMPUTED_VALUE"""),110.0)</f>
        <v>110</v>
      </c>
    </row>
    <row r="6815">
      <c r="A6815" s="178" t="str">
        <f>IFERROR(__xludf.DUMMYFUNCTION("""COMPUTED_VALUE"""),"ITBISA-IDC-2X5-AMPHENOL-FEMALE")</f>
        <v>ITBISA-IDC-2X5-AMPHENOL-FEMALE</v>
      </c>
      <c r="B6815" s="266">
        <f>IFERROR(__xludf.DUMMYFUNCTION("""COMPUTED_VALUE"""),45915.0)</f>
        <v>45915</v>
      </c>
      <c r="C6815" s="266" t="str">
        <f>IFERROR(__xludf.DUMMYFUNCTION("""COMPUTED_VALUE"""),"KERTASARI CIAMIS")</f>
        <v>KERTASARI CIAMIS</v>
      </c>
      <c r="D6815" s="186">
        <f>IFERROR(__xludf.DUMMYFUNCTION("""COMPUTED_VALUE"""),110.0)</f>
        <v>110</v>
      </c>
    </row>
    <row r="6816">
      <c r="A6816" s="178" t="str">
        <f>IFERROR(__xludf.DUMMYFUNCTION("""COMPUTED_VALUE"""),"ITBISA-IDC-2X5-AMPHENOL-FEMALE")</f>
        <v>ITBISA-IDC-2X5-AMPHENOL-FEMALE</v>
      </c>
      <c r="B6816" s="266">
        <f>IFERROR(__xludf.DUMMYFUNCTION("""COMPUTED_VALUE"""),45922.0)</f>
        <v>45922</v>
      </c>
      <c r="C6816" s="266" t="str">
        <f>IFERROR(__xludf.DUMMYFUNCTION("""COMPUTED_VALUE"""),"KYAI KONTONG")</f>
        <v>KYAI KONTONG</v>
      </c>
      <c r="D6816" s="186">
        <f>IFERROR(__xludf.DUMMYFUNCTION("""COMPUTED_VALUE"""),5.0)</f>
        <v>5</v>
      </c>
    </row>
    <row r="6817">
      <c r="A6817" s="178" t="str">
        <f>IFERROR(__xludf.DUMMYFUNCTION("""COMPUTED_VALUE"""),"ITBISA-IDC-2X5-AMPHENOL-FEMALE")</f>
        <v>ITBISA-IDC-2X5-AMPHENOL-FEMALE</v>
      </c>
      <c r="B6817" s="266">
        <f>IFERROR(__xludf.DUMMYFUNCTION("""COMPUTED_VALUE"""),45930.0)</f>
        <v>45930</v>
      </c>
      <c r="C6817" s="266" t="str">
        <f>IFERROR(__xludf.DUMMYFUNCTION("""COMPUTED_VALUE"""),"KERTASARI CIAMIS")</f>
        <v>KERTASARI CIAMIS</v>
      </c>
      <c r="D6817" s="186">
        <f>IFERROR(__xludf.DUMMYFUNCTION("""COMPUTED_VALUE"""),110.0)</f>
        <v>110</v>
      </c>
    </row>
    <row r="6818">
      <c r="A6818" s="178" t="str">
        <f>IFERROR(__xludf.DUMMYFUNCTION("""COMPUTED_VALUE"""),"ITBISA-IDC-2X5-AMPHENOL-FEMALE")</f>
        <v>ITBISA-IDC-2X5-AMPHENOL-FEMALE</v>
      </c>
      <c r="B6818" s="266">
        <f>IFERROR(__xludf.DUMMYFUNCTION("""COMPUTED_VALUE"""),45937.0)</f>
        <v>45937</v>
      </c>
      <c r="C6818" s="266" t="str">
        <f>IFERROR(__xludf.DUMMYFUNCTION("""COMPUTED_VALUE"""),"KERTASARI CIAMIS")</f>
        <v>KERTASARI CIAMIS</v>
      </c>
      <c r="D6818" s="186">
        <f>IFERROR(__xludf.DUMMYFUNCTION("""COMPUTED_VALUE"""),100.0)</f>
        <v>100</v>
      </c>
    </row>
    <row r="6819">
      <c r="A6819" s="178" t="str">
        <f>IFERROR(__xludf.DUMMYFUNCTION("""COMPUTED_VALUE"""),"ITBISA-IDC-2X5-AMPHENOL-FEMALE")</f>
        <v>ITBISA-IDC-2X5-AMPHENOL-FEMALE</v>
      </c>
      <c r="B6819" s="266">
        <f>IFERROR(__xludf.DUMMYFUNCTION("""COMPUTED_VALUE"""),45940.0)</f>
        <v>45940</v>
      </c>
      <c r="C6819" s="266" t="str">
        <f>IFERROR(__xludf.DUMMYFUNCTION("""COMPUTED_VALUE"""),"KYAI KONTONG")</f>
        <v>KYAI KONTONG</v>
      </c>
      <c r="D6819" s="186">
        <f>IFERROR(__xludf.DUMMYFUNCTION("""COMPUTED_VALUE"""),590.0)</f>
        <v>590</v>
      </c>
    </row>
    <row r="6820">
      <c r="A6820" s="178" t="str">
        <f>IFERROR(__xludf.DUMMYFUNCTION("""COMPUTED_VALUE"""),"ITBISA-IDC-2X5-AMPHENOL-FEMALE")</f>
        <v>ITBISA-IDC-2X5-AMPHENOL-FEMALE</v>
      </c>
      <c r="B6820" s="266">
        <f>IFERROR(__xludf.DUMMYFUNCTION("""COMPUTED_VALUE"""),45947.0)</f>
        <v>45947</v>
      </c>
      <c r="C6820" s="266" t="str">
        <f>IFERROR(__xludf.DUMMYFUNCTION("""COMPUTED_VALUE"""),"KERTASARI CIAMIS")</f>
        <v>KERTASARI CIAMIS</v>
      </c>
      <c r="D6820" s="186">
        <f>IFERROR(__xludf.DUMMYFUNCTION("""COMPUTED_VALUE"""),35.0)</f>
        <v>35</v>
      </c>
    </row>
    <row r="6821">
      <c r="A6821" s="178" t="str">
        <f>IFERROR(__xludf.DUMMYFUNCTION("""COMPUTED_VALUE"""),"ITBISA-IDC-2X5-AMPHENOL-FEMALE")</f>
        <v>ITBISA-IDC-2X5-AMPHENOL-FEMALE</v>
      </c>
      <c r="B6821" s="266">
        <f>IFERROR(__xludf.DUMMYFUNCTION("""COMPUTED_VALUE"""),45947.0)</f>
        <v>45947</v>
      </c>
      <c r="C6821" s="266" t="str">
        <f>IFERROR(__xludf.DUMMYFUNCTION("""COMPUTED_VALUE"""),"KERTASARI CIAMIS")</f>
        <v>KERTASARI CIAMIS</v>
      </c>
      <c r="D6821" s="186">
        <f>IFERROR(__xludf.DUMMYFUNCTION("""COMPUTED_VALUE"""),100.0)</f>
        <v>100</v>
      </c>
    </row>
    <row r="6822">
      <c r="A6822" s="178" t="str">
        <f>IFERROR(__xludf.DUMMYFUNCTION("""COMPUTED_VALUE"""),"ITBISA-IDC-2X5-AMPHENOL-FEMALE")</f>
        <v>ITBISA-IDC-2X5-AMPHENOL-FEMALE</v>
      </c>
      <c r="B6822" s="266">
        <f>IFERROR(__xludf.DUMMYFUNCTION("""COMPUTED_VALUE"""),45956.0)</f>
        <v>45956</v>
      </c>
      <c r="C6822" s="266" t="str">
        <f>IFERROR(__xludf.DUMMYFUNCTION("""COMPUTED_VALUE"""),"KYAI KONTONG")</f>
        <v>KYAI KONTONG</v>
      </c>
      <c r="D6822" s="186">
        <f>IFERROR(__xludf.DUMMYFUNCTION("""COMPUTED_VALUE"""),100.0)</f>
        <v>100</v>
      </c>
    </row>
    <row r="6823">
      <c r="A6823" s="178" t="str">
        <f>IFERROR(__xludf.DUMMYFUNCTION("""COMPUTED_VALUE"""),"ITBISA-IDC-2X5-AMPHENOL-FEMALE")</f>
        <v>ITBISA-IDC-2X5-AMPHENOL-FEMALE</v>
      </c>
      <c r="B6823" s="266">
        <f>IFERROR(__xludf.DUMMYFUNCTION("""COMPUTED_VALUE"""),45959.0)</f>
        <v>45959</v>
      </c>
      <c r="C6823" s="266" t="str">
        <f>IFERROR(__xludf.DUMMYFUNCTION("""COMPUTED_VALUE"""),"KYAI KONTONG")</f>
        <v>KYAI KONTONG</v>
      </c>
      <c r="D6823" s="186">
        <f>IFERROR(__xludf.DUMMYFUNCTION("""COMPUTED_VALUE"""),5.0)</f>
        <v>5</v>
      </c>
    </row>
    <row r="6824">
      <c r="A6824" s="178" t="str">
        <f>IFERROR(__xludf.DUMMYFUNCTION("""COMPUTED_VALUE"""),"ITBISA-IDC-2X5-AMPHENOL-FEMALE")</f>
        <v>ITBISA-IDC-2X5-AMPHENOL-FEMALE</v>
      </c>
      <c r="B6824" s="266">
        <f>IFERROR(__xludf.DUMMYFUNCTION("""COMPUTED_VALUE"""),45964.0)</f>
        <v>45964</v>
      </c>
      <c r="C6824" s="266" t="str">
        <f>IFERROR(__xludf.DUMMYFUNCTION("""COMPUTED_VALUE"""),"KERTASARI CIAMIS")</f>
        <v>KERTASARI CIAMIS</v>
      </c>
      <c r="D6824" s="186">
        <f>IFERROR(__xludf.DUMMYFUNCTION("""COMPUTED_VALUE"""),100.0)</f>
        <v>100</v>
      </c>
    </row>
    <row r="6825">
      <c r="A6825" s="178" t="str">
        <f>IFERROR(__xludf.DUMMYFUNCTION("""COMPUTED_VALUE"""),"ITBISA-IDC-2X5-AMPHENOL-FEMALE")</f>
        <v>ITBISA-IDC-2X5-AMPHENOL-FEMALE</v>
      </c>
      <c r="B6825" s="266">
        <f>IFERROR(__xludf.DUMMYFUNCTION("""COMPUTED_VALUE"""),45970.0)</f>
        <v>45970</v>
      </c>
      <c r="C6825" s="266" t="str">
        <f>IFERROR(__xludf.DUMMYFUNCTION("""COMPUTED_VALUE"""),"KERTASARI CIAMIS")</f>
        <v>KERTASARI CIAMIS</v>
      </c>
      <c r="D6825" s="186">
        <f>IFERROR(__xludf.DUMMYFUNCTION("""COMPUTED_VALUE"""),100.0)</f>
        <v>100</v>
      </c>
    </row>
    <row r="6826">
      <c r="A6826" s="178" t="str">
        <f>IFERROR(__xludf.DUMMYFUNCTION("""COMPUTED_VALUE"""),"ITBISA-IDC-2X5-AMPHENOL-FEMALE")</f>
        <v>ITBISA-IDC-2X5-AMPHENOL-FEMALE</v>
      </c>
      <c r="B6826" s="266">
        <f>IFERROR(__xludf.DUMMYFUNCTION("""COMPUTED_VALUE"""),45975.0)</f>
        <v>45975</v>
      </c>
      <c r="C6826" s="266" t="str">
        <f>IFERROR(__xludf.DUMMYFUNCTION("""COMPUTED_VALUE"""),"KYAI KONTONG")</f>
        <v>KYAI KONTONG</v>
      </c>
      <c r="D6826" s="186">
        <f>IFERROR(__xludf.DUMMYFUNCTION("""COMPUTED_VALUE"""),7.0)</f>
        <v>7</v>
      </c>
    </row>
    <row r="6827">
      <c r="A6827" s="178" t="str">
        <f>IFERROR(__xludf.DUMMYFUNCTION("""COMPUTED_VALUE"""),"ITBISA-IDC-2X5-AMPHENOL-FEMALE")</f>
        <v>ITBISA-IDC-2X5-AMPHENOL-FEMALE</v>
      </c>
      <c r="B6827" s="266">
        <f>IFERROR(__xludf.DUMMYFUNCTION("""COMPUTED_VALUE"""),45977.0)</f>
        <v>45977</v>
      </c>
      <c r="C6827" s="266" t="str">
        <f>IFERROR(__xludf.DUMMYFUNCTION("""COMPUTED_VALUE"""),"KERTASARI CIAMIS")</f>
        <v>KERTASARI CIAMIS</v>
      </c>
      <c r="D6827" s="186">
        <f>IFERROR(__xludf.DUMMYFUNCTION("""COMPUTED_VALUE"""),100.0)</f>
        <v>100</v>
      </c>
    </row>
    <row r="6828">
      <c r="A6828" s="178" t="str">
        <f>IFERROR(__xludf.DUMMYFUNCTION("""COMPUTED_VALUE"""),"ITBISA-IDC-2X5-AMPHENOL-FEMALE")</f>
        <v>ITBISA-IDC-2X5-AMPHENOL-FEMALE</v>
      </c>
      <c r="B6828" s="266">
        <f>IFERROR(__xludf.DUMMYFUNCTION("""COMPUTED_VALUE"""),45985.0)</f>
        <v>45985</v>
      </c>
      <c r="C6828" s="266" t="str">
        <f>IFERROR(__xludf.DUMMYFUNCTION("""COMPUTED_VALUE"""),"KERTASARI CIAMIS")</f>
        <v>KERTASARI CIAMIS</v>
      </c>
      <c r="D6828" s="186">
        <f>IFERROR(__xludf.DUMMYFUNCTION("""COMPUTED_VALUE"""),100.0)</f>
        <v>100</v>
      </c>
    </row>
    <row r="6829">
      <c r="A6829" s="178" t="str">
        <f>IFERROR(__xludf.DUMMYFUNCTION("""COMPUTED_VALUE"""),"ITBISA-IDC-2X5-AMPHENOL-FEMALE")</f>
        <v>ITBISA-IDC-2X5-AMPHENOL-FEMALE</v>
      </c>
      <c r="B6829" s="266">
        <f>IFERROR(__xludf.DUMMYFUNCTION("""COMPUTED_VALUE"""),45991.0)</f>
        <v>45991</v>
      </c>
      <c r="C6829" s="266" t="str">
        <f>IFERROR(__xludf.DUMMYFUNCTION("""COMPUTED_VALUE"""),"KYAI KONTONG")</f>
        <v>KYAI KONTONG</v>
      </c>
      <c r="D6829" s="186">
        <f>IFERROR(__xludf.DUMMYFUNCTION("""COMPUTED_VALUE"""),100.0)</f>
        <v>100</v>
      </c>
    </row>
    <row r="6830">
      <c r="A6830" s="178" t="str">
        <f>IFERROR(__xludf.DUMMYFUNCTION("""COMPUTED_VALUE"""),"ITBISA-IDC-2X5-AMPHENOL-FEMALE")</f>
        <v>ITBISA-IDC-2X5-AMPHENOL-FEMALE</v>
      </c>
      <c r="B6830" s="266">
        <f>IFERROR(__xludf.DUMMYFUNCTION("""COMPUTED_VALUE"""),45994.0)</f>
        <v>45994</v>
      </c>
      <c r="C6830" s="266" t="str">
        <f>IFERROR(__xludf.DUMMYFUNCTION("""COMPUTED_VALUE"""),"KYAI KONTONG")</f>
        <v>KYAI KONTONG</v>
      </c>
      <c r="D6830" s="186">
        <f>IFERROR(__xludf.DUMMYFUNCTION("""COMPUTED_VALUE"""),5.0)</f>
        <v>5</v>
      </c>
    </row>
    <row r="6831">
      <c r="A6831" s="178" t="str">
        <f>IFERROR(__xludf.DUMMYFUNCTION("""COMPUTED_VALUE"""),"ITBISA-IDC-2X5-AMPHENOL-FEMALE")</f>
        <v>ITBISA-IDC-2X5-AMPHENOL-FEMALE</v>
      </c>
      <c r="B6831" s="266">
        <f>IFERROR(__xludf.DUMMYFUNCTION("""COMPUTED_VALUE"""),46001.0)</f>
        <v>46001</v>
      </c>
      <c r="C6831" s="266" t="str">
        <f>IFERROR(__xludf.DUMMYFUNCTION("""COMPUTED_VALUE"""),"KERTASARI CIAMIS")</f>
        <v>KERTASARI CIAMIS</v>
      </c>
      <c r="D6831" s="186">
        <f>IFERROR(__xludf.DUMMYFUNCTION("""COMPUTED_VALUE"""),20.0)</f>
        <v>20</v>
      </c>
    </row>
    <row r="6832">
      <c r="A6832" s="178" t="str">
        <f>IFERROR(__xludf.DUMMYFUNCTION("""COMPUTED_VALUE"""),"ITBISA-IDC-2X5-AMPHENOL-FEMALE")</f>
        <v>ITBISA-IDC-2X5-AMPHENOL-FEMALE</v>
      </c>
      <c r="B6832" s="266">
        <f>IFERROR(__xludf.DUMMYFUNCTION("""COMPUTED_VALUE"""),46004.0)</f>
        <v>46004</v>
      </c>
      <c r="C6832" s="266" t="str">
        <f>IFERROR(__xludf.DUMMYFUNCTION("""COMPUTED_VALUE"""),"KYAI KONTONG")</f>
        <v>KYAI KONTONG</v>
      </c>
      <c r="D6832" s="186">
        <f>IFERROR(__xludf.DUMMYFUNCTION("""COMPUTED_VALUE"""),100.0)</f>
        <v>100</v>
      </c>
    </row>
    <row r="6833">
      <c r="A6833" s="178" t="str">
        <f>IFERROR(__xludf.DUMMYFUNCTION("""COMPUTED_VALUE"""),"ITBISA-IDC-2X5-AMPHENOL-FEMALE")</f>
        <v>ITBISA-IDC-2X5-AMPHENOL-FEMALE</v>
      </c>
      <c r="B6833" s="266">
        <f>IFERROR(__xludf.DUMMYFUNCTION("""COMPUTED_VALUE"""),46013.0)</f>
        <v>46013</v>
      </c>
      <c r="C6833" s="266" t="str">
        <f>IFERROR(__xludf.DUMMYFUNCTION("""COMPUTED_VALUE"""),"KERTASARI CIAMIS")</f>
        <v>KERTASARI CIAMIS</v>
      </c>
      <c r="D6833" s="186">
        <f>IFERROR(__xludf.DUMMYFUNCTION("""COMPUTED_VALUE"""),100.0)</f>
        <v>100</v>
      </c>
    </row>
    <row r="6834">
      <c r="A6834" s="178" t="str">
        <f>IFERROR(__xludf.DUMMYFUNCTION("""COMPUTED_VALUE"""),"ITBISA-IDC-2X5-AMPHENOL-FEMALE")</f>
        <v>ITBISA-IDC-2X5-AMPHENOL-FEMALE</v>
      </c>
      <c r="B6834" s="266">
        <f>IFERROR(__xludf.DUMMYFUNCTION("""COMPUTED_VALUE"""),46015.0)</f>
        <v>46015</v>
      </c>
      <c r="C6834" s="266" t="str">
        <f>IFERROR(__xludf.DUMMYFUNCTION("""COMPUTED_VALUE"""),"KERTASARI CIAMIS")</f>
        <v>KERTASARI CIAMIS</v>
      </c>
      <c r="D6834" s="186">
        <f>IFERROR(__xludf.DUMMYFUNCTION("""COMPUTED_VALUE"""),25.0)</f>
        <v>25</v>
      </c>
    </row>
    <row r="6835">
      <c r="A6835" s="178" t="str">
        <f>IFERROR(__xludf.DUMMYFUNCTION("""COMPUTED_VALUE"""),"ITBISA-IDC-2X5-AMPHENOL-FEMALE")</f>
        <v>ITBISA-IDC-2X5-AMPHENOL-FEMALE</v>
      </c>
      <c r="B6835" s="266">
        <f>IFERROR(__xludf.DUMMYFUNCTION("""COMPUTED_VALUE"""),46016.0)</f>
        <v>46016</v>
      </c>
      <c r="C6835" s="266" t="str">
        <f>IFERROR(__xludf.DUMMYFUNCTION("""COMPUTED_VALUE"""),"KERTASARI CIAMIS")</f>
        <v>KERTASARI CIAMIS</v>
      </c>
      <c r="D6835" s="186">
        <f>IFERROR(__xludf.DUMMYFUNCTION("""COMPUTED_VALUE"""),100.0)</f>
        <v>100</v>
      </c>
    </row>
    <row r="6836">
      <c r="A6836" s="178" t="str">
        <f>IFERROR(__xludf.DUMMYFUNCTION("""COMPUTED_VALUE"""),"ITBISA-IDC-2X5-AMPHENOL-MALE")</f>
        <v>ITBISA-IDC-2X5-AMPHENOL-MALE</v>
      </c>
      <c r="B6836" s="266">
        <f>IFERROR(__xludf.DUMMYFUNCTION("""COMPUTED_VALUE"""),45629.0)</f>
        <v>45629</v>
      </c>
      <c r="C6836" s="266" t="str">
        <f>IFERROR(__xludf.DUMMYFUNCTION("""COMPUTED_VALUE"""),"KERTASARI CIAMIS")</f>
        <v>KERTASARI CIAMIS</v>
      </c>
      <c r="D6836" s="186">
        <f>IFERROR(__xludf.DUMMYFUNCTION("""COMPUTED_VALUE"""),3.0)</f>
        <v>3</v>
      </c>
    </row>
    <row r="6837">
      <c r="A6837" s="178" t="str">
        <f>IFERROR(__xludf.DUMMYFUNCTION("""COMPUTED_VALUE"""),"ITBISA-IDC-2X5-AMPHENOL-MALE")</f>
        <v>ITBISA-IDC-2X5-AMPHENOL-MALE</v>
      </c>
      <c r="B6837" s="266">
        <f>IFERROR(__xludf.DUMMYFUNCTION("""COMPUTED_VALUE"""),45759.0)</f>
        <v>45759</v>
      </c>
      <c r="C6837" s="266" t="str">
        <f>IFERROR(__xludf.DUMMYFUNCTION("""COMPUTED_VALUE"""),"KERTASARI CIAMIS")</f>
        <v>KERTASARI CIAMIS</v>
      </c>
      <c r="D6837" s="186">
        <f>IFERROR(__xludf.DUMMYFUNCTION("""COMPUTED_VALUE"""),100.0)</f>
        <v>100</v>
      </c>
    </row>
    <row r="6838">
      <c r="A6838" s="178" t="str">
        <f>IFERROR(__xludf.DUMMYFUNCTION("""COMPUTED_VALUE"""),"ITBISA-IDC-2X5-AMPHENOL-MALE")</f>
        <v>ITBISA-IDC-2X5-AMPHENOL-MALE</v>
      </c>
      <c r="B6838" s="266">
        <f>IFERROR(__xludf.DUMMYFUNCTION("""COMPUTED_VALUE"""),45810.0)</f>
        <v>45810</v>
      </c>
      <c r="C6838" s="266" t="str">
        <f>IFERROR(__xludf.DUMMYFUNCTION("""COMPUTED_VALUE"""),"KYAI KONTONG")</f>
        <v>KYAI KONTONG</v>
      </c>
      <c r="D6838" s="186">
        <f>IFERROR(__xludf.DUMMYFUNCTION("""COMPUTED_VALUE"""),10.0)</f>
        <v>10</v>
      </c>
    </row>
    <row r="6839">
      <c r="A6839" s="178" t="str">
        <f>IFERROR(__xludf.DUMMYFUNCTION("""COMPUTED_VALUE"""),"ITBISA-IDC-2X5-AMPHENOL-MALE")</f>
        <v>ITBISA-IDC-2X5-AMPHENOL-MALE</v>
      </c>
      <c r="B6839" s="266">
        <f>IFERROR(__xludf.DUMMYFUNCTION("""COMPUTED_VALUE"""),45947.0)</f>
        <v>45947</v>
      </c>
      <c r="C6839" s="266" t="str">
        <f>IFERROR(__xludf.DUMMYFUNCTION("""COMPUTED_VALUE"""),"KERTASARI CIAMIS")</f>
        <v>KERTASARI CIAMIS</v>
      </c>
      <c r="D6839" s="186">
        <f>IFERROR(__xludf.DUMMYFUNCTION("""COMPUTED_VALUE"""),35.0)</f>
        <v>35</v>
      </c>
    </row>
    <row r="6840">
      <c r="A6840" s="178" t="str">
        <f>IFERROR(__xludf.DUMMYFUNCTION("""COMPUTED_VALUE"""),"ITBISA-IDC-2X5-AMPHENOL-MALE")</f>
        <v>ITBISA-IDC-2X5-AMPHENOL-MALE</v>
      </c>
      <c r="B6840" s="266">
        <f>IFERROR(__xludf.DUMMYFUNCTION("""COMPUTED_VALUE"""),46019.0)</f>
        <v>46019</v>
      </c>
      <c r="C6840" s="266" t="str">
        <f>IFERROR(__xludf.DUMMYFUNCTION("""COMPUTED_VALUE"""),"KYAI KONTONG")</f>
        <v>KYAI KONTONG</v>
      </c>
      <c r="D6840" s="186">
        <f>IFERROR(__xludf.DUMMYFUNCTION("""COMPUTED_VALUE"""),5.0)</f>
        <v>5</v>
      </c>
    </row>
    <row r="6841">
      <c r="A6841" s="178" t="str">
        <f>IFERROR(__xludf.DUMMYFUNCTION("""COMPUTED_VALUE"""),"ITBISA-IGAME-GTX-1070-8GB-DDR5-X-TOP-TRIPLE-FAN")</f>
        <v>ITBISA-IGAME-GTX-1070-8GB-DDR5-X-TOP-TRIPLE-FAN</v>
      </c>
      <c r="B6841" s="266">
        <f>IFERROR(__xludf.DUMMYFUNCTION("""COMPUTED_VALUE"""),43444.0)</f>
        <v>43444</v>
      </c>
      <c r="C6841" s="266" t="str">
        <f>IFERROR(__xludf.DUMMYFUNCTION("""COMPUTED_VALUE"""),"RUMAH MUZAKKI")</f>
        <v>RUMAH MUZAKKI</v>
      </c>
      <c r="D6841" s="186">
        <f>IFERROR(__xludf.DUMMYFUNCTION("""COMPUTED_VALUE"""),1.0)</f>
        <v>1</v>
      </c>
    </row>
    <row r="6842">
      <c r="A6842" s="178" t="str">
        <f>IFERROR(__xludf.DUMMYFUNCTION("""COMPUTED_VALUE"""),"ITBISA-INFRARED-1838")</f>
        <v>ITBISA-INFRARED-1838</v>
      </c>
      <c r="B6842" s="266">
        <f>IFERROR(__xludf.DUMMYFUNCTION("""COMPUTED_VALUE"""),45374.0)</f>
        <v>45374</v>
      </c>
      <c r="C6842" s="266" t="str">
        <f>IFERROR(__xludf.DUMMYFUNCTION("""COMPUTED_VALUE"""),"KERTASARI CIAMIS")</f>
        <v>KERTASARI CIAMIS</v>
      </c>
      <c r="D6842" s="186">
        <f>IFERROR(__xludf.DUMMYFUNCTION("""COMPUTED_VALUE"""),50.0)</f>
        <v>50</v>
      </c>
    </row>
    <row r="6843">
      <c r="A6843" s="178" t="str">
        <f>IFERROR(__xludf.DUMMYFUNCTION("""COMPUTED_VALUE"""),"ITBISA-INFRARED-1838")</f>
        <v>ITBISA-INFRARED-1838</v>
      </c>
      <c r="B6843" s="266">
        <f>IFERROR(__xludf.DUMMYFUNCTION("""COMPUTED_VALUE"""),45381.0)</f>
        <v>45381</v>
      </c>
      <c r="C6843" s="266" t="str">
        <f>IFERROR(__xludf.DUMMYFUNCTION("""COMPUTED_VALUE"""),"KERTASARI CIAMIS")</f>
        <v>KERTASARI CIAMIS</v>
      </c>
      <c r="D6843" s="186">
        <f>IFERROR(__xludf.DUMMYFUNCTION("""COMPUTED_VALUE"""),5.0)</f>
        <v>5</v>
      </c>
    </row>
    <row r="6844">
      <c r="A6844" s="178" t="str">
        <f>IFERROR(__xludf.DUMMYFUNCTION("""COMPUTED_VALUE"""),"ITBISA-INFRARED-1838")</f>
        <v>ITBISA-INFRARED-1838</v>
      </c>
      <c r="B6844" s="266">
        <f>IFERROR(__xludf.DUMMYFUNCTION("""COMPUTED_VALUE"""),45398.0)</f>
        <v>45398</v>
      </c>
      <c r="C6844" s="266" t="str">
        <f>IFERROR(__xludf.DUMMYFUNCTION("""COMPUTED_VALUE"""),"KERTASARI CIAMIS")</f>
        <v>KERTASARI CIAMIS</v>
      </c>
      <c r="D6844" s="186">
        <f>IFERROR(__xludf.DUMMYFUNCTION("""COMPUTED_VALUE"""),5.0)</f>
        <v>5</v>
      </c>
    </row>
    <row r="6845">
      <c r="A6845" s="178" t="str">
        <f>IFERROR(__xludf.DUMMYFUNCTION("""COMPUTED_VALUE"""),"ITBISA-INFRARED-1838")</f>
        <v>ITBISA-INFRARED-1838</v>
      </c>
      <c r="B6845" s="266">
        <f>IFERROR(__xludf.DUMMYFUNCTION("""COMPUTED_VALUE"""),45411.0)</f>
        <v>45411</v>
      </c>
      <c r="C6845" s="266" t="str">
        <f>IFERROR(__xludf.DUMMYFUNCTION("""COMPUTED_VALUE"""),"KERTASARI CIAMIS")</f>
        <v>KERTASARI CIAMIS</v>
      </c>
      <c r="D6845" s="186">
        <f>IFERROR(__xludf.DUMMYFUNCTION("""COMPUTED_VALUE"""),3.0)</f>
        <v>3</v>
      </c>
    </row>
    <row r="6846">
      <c r="A6846" s="178" t="str">
        <f>IFERROR(__xludf.DUMMYFUNCTION("""COMPUTED_VALUE"""),"ITBISA-INFRARED-1838")</f>
        <v>ITBISA-INFRARED-1838</v>
      </c>
      <c r="B6846" s="266">
        <f>IFERROR(__xludf.DUMMYFUNCTION("""COMPUTED_VALUE"""),45452.0)</f>
        <v>45452</v>
      </c>
      <c r="C6846" s="266" t="str">
        <f>IFERROR(__xludf.DUMMYFUNCTION("""COMPUTED_VALUE"""),"KYAI KONTONG")</f>
        <v>KYAI KONTONG</v>
      </c>
      <c r="D6846" s="186">
        <f>IFERROR(__xludf.DUMMYFUNCTION("""COMPUTED_VALUE"""),0.0)</f>
        <v>0</v>
      </c>
    </row>
    <row r="6847">
      <c r="A6847" s="178" t="str">
        <f>IFERROR(__xludf.DUMMYFUNCTION("""COMPUTED_VALUE"""),"ITBISA-INFRARED-1838")</f>
        <v>ITBISA-INFRARED-1838</v>
      </c>
      <c r="B6847" s="266">
        <f>IFERROR(__xludf.DUMMYFUNCTION("""COMPUTED_VALUE"""),45453.0)</f>
        <v>45453</v>
      </c>
      <c r="C6847" s="266" t="str">
        <f>IFERROR(__xludf.DUMMYFUNCTION("""COMPUTED_VALUE"""),"KYAI KONTONG")</f>
        <v>KYAI KONTONG</v>
      </c>
      <c r="D6847" s="186">
        <f>IFERROR(__xludf.DUMMYFUNCTION("""COMPUTED_VALUE"""),10.0)</f>
        <v>10</v>
      </c>
    </row>
    <row r="6848">
      <c r="A6848" s="178" t="str">
        <f>IFERROR(__xludf.DUMMYFUNCTION("""COMPUTED_VALUE"""),"ITBISA-INFRARED-1838")</f>
        <v>ITBISA-INFRARED-1838</v>
      </c>
      <c r="B6848" s="266">
        <f>IFERROR(__xludf.DUMMYFUNCTION("""COMPUTED_VALUE"""),45460.0)</f>
        <v>45460</v>
      </c>
      <c r="C6848" s="266" t="str">
        <f>IFERROR(__xludf.DUMMYFUNCTION("""COMPUTED_VALUE"""),"KYAI KONTONG")</f>
        <v>KYAI KONTONG</v>
      </c>
      <c r="D6848" s="186">
        <f>IFERROR(__xludf.DUMMYFUNCTION("""COMPUTED_VALUE"""),5.0)</f>
        <v>5</v>
      </c>
    </row>
    <row r="6849">
      <c r="A6849" s="178" t="str">
        <f>IFERROR(__xludf.DUMMYFUNCTION("""COMPUTED_VALUE"""),"ITBISA-INFRARED-1838")</f>
        <v>ITBISA-INFRARED-1838</v>
      </c>
      <c r="B6849" s="266">
        <f>IFERROR(__xludf.DUMMYFUNCTION("""COMPUTED_VALUE"""),45473.0)</f>
        <v>45473</v>
      </c>
      <c r="C6849" s="266" t="str">
        <f>IFERROR(__xludf.DUMMYFUNCTION("""COMPUTED_VALUE"""),"KYAI KONTONG")</f>
        <v>KYAI KONTONG</v>
      </c>
      <c r="D6849" s="186">
        <f>IFERROR(__xludf.DUMMYFUNCTION("""COMPUTED_VALUE"""),20.0)</f>
        <v>20</v>
      </c>
    </row>
    <row r="6850">
      <c r="A6850" s="178" t="str">
        <f>IFERROR(__xludf.DUMMYFUNCTION("""COMPUTED_VALUE"""),"ITBISA-INFRARED-1838")</f>
        <v>ITBISA-INFRARED-1838</v>
      </c>
      <c r="B6850" s="266">
        <f>IFERROR(__xludf.DUMMYFUNCTION("""COMPUTED_VALUE"""),45479.0)</f>
        <v>45479</v>
      </c>
      <c r="C6850" s="266" t="str">
        <f>IFERROR(__xludf.DUMMYFUNCTION("""COMPUTED_VALUE"""),"KERTASARI CIAMIS")</f>
        <v>KERTASARI CIAMIS</v>
      </c>
      <c r="D6850" s="186">
        <f>IFERROR(__xludf.DUMMYFUNCTION("""COMPUTED_VALUE"""),10.0)</f>
        <v>10</v>
      </c>
    </row>
    <row r="6851">
      <c r="A6851" s="178" t="str">
        <f>IFERROR(__xludf.DUMMYFUNCTION("""COMPUTED_VALUE"""),"ITBISA-INFRARED-1838")</f>
        <v>ITBISA-INFRARED-1838</v>
      </c>
      <c r="B6851" s="266">
        <f>IFERROR(__xludf.DUMMYFUNCTION("""COMPUTED_VALUE"""),45481.0)</f>
        <v>45481</v>
      </c>
      <c r="C6851" s="266" t="str">
        <f>IFERROR(__xludf.DUMMYFUNCTION("""COMPUTED_VALUE"""),"KERTASARI CIAMIS")</f>
        <v>KERTASARI CIAMIS</v>
      </c>
      <c r="D6851" s="186">
        <f>IFERROR(__xludf.DUMMYFUNCTION("""COMPUTED_VALUE"""),50.0)</f>
        <v>50</v>
      </c>
    </row>
    <row r="6852">
      <c r="A6852" s="178" t="str">
        <f>IFERROR(__xludf.DUMMYFUNCTION("""COMPUTED_VALUE"""),"ITBISA-INFRARED-1838")</f>
        <v>ITBISA-INFRARED-1838</v>
      </c>
      <c r="B6852" s="266">
        <f>IFERROR(__xludf.DUMMYFUNCTION("""COMPUTED_VALUE"""),45488.0)</f>
        <v>45488</v>
      </c>
      <c r="C6852" s="266" t="str">
        <f>IFERROR(__xludf.DUMMYFUNCTION("""COMPUTED_VALUE"""),"KYAI KONTONG")</f>
        <v>KYAI KONTONG</v>
      </c>
      <c r="D6852" s="186">
        <f>IFERROR(__xludf.DUMMYFUNCTION("""COMPUTED_VALUE"""),50.0)</f>
        <v>50</v>
      </c>
    </row>
    <row r="6853">
      <c r="A6853" s="178" t="str">
        <f>IFERROR(__xludf.DUMMYFUNCTION("""COMPUTED_VALUE"""),"ITBISA-INFRARED-1838")</f>
        <v>ITBISA-INFRARED-1838</v>
      </c>
      <c r="B6853" s="266">
        <f>IFERROR(__xludf.DUMMYFUNCTION("""COMPUTED_VALUE"""),45491.0)</f>
        <v>45491</v>
      </c>
      <c r="C6853" s="266" t="str">
        <f>IFERROR(__xludf.DUMMYFUNCTION("""COMPUTED_VALUE"""),"KYAI KONTONG")</f>
        <v>KYAI KONTONG</v>
      </c>
      <c r="D6853" s="186">
        <f>IFERROR(__xludf.DUMMYFUNCTION("""COMPUTED_VALUE"""),10.0)</f>
        <v>10</v>
      </c>
    </row>
    <row r="6854">
      <c r="A6854" s="178" t="str">
        <f>IFERROR(__xludf.DUMMYFUNCTION("""COMPUTED_VALUE"""),"ITBISA-INFRARED-1838")</f>
        <v>ITBISA-INFRARED-1838</v>
      </c>
      <c r="B6854" s="266">
        <f>IFERROR(__xludf.DUMMYFUNCTION("""COMPUTED_VALUE"""),45496.0)</f>
        <v>45496</v>
      </c>
      <c r="C6854" s="266" t="str">
        <f>IFERROR(__xludf.DUMMYFUNCTION("""COMPUTED_VALUE"""),"KYAI KONTONG")</f>
        <v>KYAI KONTONG</v>
      </c>
      <c r="D6854" s="186">
        <f>IFERROR(__xludf.DUMMYFUNCTION("""COMPUTED_VALUE"""),5.0)</f>
        <v>5</v>
      </c>
    </row>
    <row r="6855">
      <c r="A6855" s="178" t="str">
        <f>IFERROR(__xludf.DUMMYFUNCTION("""COMPUTED_VALUE"""),"ITBISA-INFRARED-1838")</f>
        <v>ITBISA-INFRARED-1838</v>
      </c>
      <c r="B6855" s="266">
        <f>IFERROR(__xludf.DUMMYFUNCTION("""COMPUTED_VALUE"""),45498.0)</f>
        <v>45498</v>
      </c>
      <c r="C6855" s="266" t="str">
        <f>IFERROR(__xludf.DUMMYFUNCTION("""COMPUTED_VALUE"""),"KERTASARI CIAMIS")</f>
        <v>KERTASARI CIAMIS</v>
      </c>
      <c r="D6855" s="186">
        <f>IFERROR(__xludf.DUMMYFUNCTION("""COMPUTED_VALUE"""),40.0)</f>
        <v>40</v>
      </c>
    </row>
    <row r="6856">
      <c r="A6856" s="178" t="str">
        <f>IFERROR(__xludf.DUMMYFUNCTION("""COMPUTED_VALUE"""),"ITBISA-INFRARED-1838")</f>
        <v>ITBISA-INFRARED-1838</v>
      </c>
      <c r="B6856" s="266">
        <f>IFERROR(__xludf.DUMMYFUNCTION("""COMPUTED_VALUE"""),45498.0)</f>
        <v>45498</v>
      </c>
      <c r="C6856" s="266" t="str">
        <f>IFERROR(__xludf.DUMMYFUNCTION("""COMPUTED_VALUE"""),"KYAI KONTONG")</f>
        <v>KYAI KONTONG</v>
      </c>
      <c r="D6856" s="186">
        <f>IFERROR(__xludf.DUMMYFUNCTION("""COMPUTED_VALUE"""),10.0)</f>
        <v>10</v>
      </c>
    </row>
    <row r="6857">
      <c r="A6857" s="178" t="str">
        <f>IFERROR(__xludf.DUMMYFUNCTION("""COMPUTED_VALUE"""),"ITBISA-INFRARED-1838")</f>
        <v>ITBISA-INFRARED-1838</v>
      </c>
      <c r="B6857" s="266">
        <f>IFERROR(__xludf.DUMMYFUNCTION("""COMPUTED_VALUE"""),45498.0)</f>
        <v>45498</v>
      </c>
      <c r="C6857" s="266" t="str">
        <f>IFERROR(__xludf.DUMMYFUNCTION("""COMPUTED_VALUE"""),"KYAI KONTONG")</f>
        <v>KYAI KONTONG</v>
      </c>
      <c r="D6857" s="186">
        <f>IFERROR(__xludf.DUMMYFUNCTION("""COMPUTED_VALUE"""),10.0)</f>
        <v>10</v>
      </c>
    </row>
    <row r="6858">
      <c r="A6858" s="178" t="str">
        <f>IFERROR(__xludf.DUMMYFUNCTION("""COMPUTED_VALUE"""),"ITBISA-INFRARED-1838")</f>
        <v>ITBISA-INFRARED-1838</v>
      </c>
      <c r="B6858" s="266">
        <f>IFERROR(__xludf.DUMMYFUNCTION("""COMPUTED_VALUE"""),45524.0)</f>
        <v>45524</v>
      </c>
      <c r="C6858" s="266" t="str">
        <f>IFERROR(__xludf.DUMMYFUNCTION("""COMPUTED_VALUE"""),"KERTASARI CIAMIS")</f>
        <v>KERTASARI CIAMIS</v>
      </c>
      <c r="D6858" s="186">
        <f>IFERROR(__xludf.DUMMYFUNCTION("""COMPUTED_VALUE"""),10.0)</f>
        <v>10</v>
      </c>
    </row>
    <row r="6859">
      <c r="A6859" s="178" t="str">
        <f>IFERROR(__xludf.DUMMYFUNCTION("""COMPUTED_VALUE"""),"ITBISA-INFRARED-1838")</f>
        <v>ITBISA-INFRARED-1838</v>
      </c>
      <c r="B6859" s="266">
        <f>IFERROR(__xludf.DUMMYFUNCTION("""COMPUTED_VALUE"""),45536.0)</f>
        <v>45536</v>
      </c>
      <c r="C6859" s="266" t="str">
        <f>IFERROR(__xludf.DUMMYFUNCTION("""COMPUTED_VALUE"""),"KYAI KONTONG")</f>
        <v>KYAI KONTONG</v>
      </c>
      <c r="D6859" s="186">
        <f>IFERROR(__xludf.DUMMYFUNCTION("""COMPUTED_VALUE"""),20.0)</f>
        <v>20</v>
      </c>
    </row>
    <row r="6860">
      <c r="A6860" s="178" t="str">
        <f>IFERROR(__xludf.DUMMYFUNCTION("""COMPUTED_VALUE"""),"ITBISA-INFRARED-1838")</f>
        <v>ITBISA-INFRARED-1838</v>
      </c>
      <c r="B6860" s="266">
        <f>IFERROR(__xludf.DUMMYFUNCTION("""COMPUTED_VALUE"""),45558.0)</f>
        <v>45558</v>
      </c>
      <c r="C6860" s="266" t="str">
        <f>IFERROR(__xludf.DUMMYFUNCTION("""COMPUTED_VALUE"""),"KERTASARI CIAMIS")</f>
        <v>KERTASARI CIAMIS</v>
      </c>
      <c r="D6860" s="186">
        <f>IFERROR(__xludf.DUMMYFUNCTION("""COMPUTED_VALUE"""),50.0)</f>
        <v>50</v>
      </c>
    </row>
    <row r="6861">
      <c r="A6861" s="178" t="str">
        <f>IFERROR(__xludf.DUMMYFUNCTION("""COMPUTED_VALUE"""),"ITBISA-INFRARED-1838")</f>
        <v>ITBISA-INFRARED-1838</v>
      </c>
      <c r="B6861" s="266">
        <f>IFERROR(__xludf.DUMMYFUNCTION("""COMPUTED_VALUE"""),45564.0)</f>
        <v>45564</v>
      </c>
      <c r="C6861" s="266" t="str">
        <f>IFERROR(__xludf.DUMMYFUNCTION("""COMPUTED_VALUE"""),"KERTASARI CIAMIS")</f>
        <v>KERTASARI CIAMIS</v>
      </c>
      <c r="D6861" s="186">
        <f>IFERROR(__xludf.DUMMYFUNCTION("""COMPUTED_VALUE"""),10.0)</f>
        <v>10</v>
      </c>
    </row>
    <row r="6862">
      <c r="A6862" s="178" t="str">
        <f>IFERROR(__xludf.DUMMYFUNCTION("""COMPUTED_VALUE"""),"ITBISA-INFRARED-1838")</f>
        <v>ITBISA-INFRARED-1838</v>
      </c>
      <c r="B6862" s="266">
        <f>IFERROR(__xludf.DUMMYFUNCTION("""COMPUTED_VALUE"""),45564.0)</f>
        <v>45564</v>
      </c>
      <c r="C6862" s="266" t="str">
        <f>IFERROR(__xludf.DUMMYFUNCTION("""COMPUTED_VALUE"""),"KYAI KONTONG")</f>
        <v>KYAI KONTONG</v>
      </c>
      <c r="D6862" s="186">
        <f>IFERROR(__xludf.DUMMYFUNCTION("""COMPUTED_VALUE"""),10.0)</f>
        <v>10</v>
      </c>
    </row>
    <row r="6863">
      <c r="A6863" s="178" t="str">
        <f>IFERROR(__xludf.DUMMYFUNCTION("""COMPUTED_VALUE"""),"ITBISA-INFRARED-1838")</f>
        <v>ITBISA-INFRARED-1838</v>
      </c>
      <c r="B6863" s="266">
        <f>IFERROR(__xludf.DUMMYFUNCTION("""COMPUTED_VALUE"""),45567.0)</f>
        <v>45567</v>
      </c>
      <c r="C6863" s="266" t="str">
        <f>IFERROR(__xludf.DUMMYFUNCTION("""COMPUTED_VALUE"""),"KYAI KONTONG")</f>
        <v>KYAI KONTONG</v>
      </c>
      <c r="D6863" s="186">
        <f>IFERROR(__xludf.DUMMYFUNCTION("""COMPUTED_VALUE"""),10.0)</f>
        <v>10</v>
      </c>
    </row>
    <row r="6864">
      <c r="A6864" s="178" t="str">
        <f>IFERROR(__xludf.DUMMYFUNCTION("""COMPUTED_VALUE"""),"ITBISA-INFRARED-1838")</f>
        <v>ITBISA-INFRARED-1838</v>
      </c>
      <c r="B6864" s="266">
        <f>IFERROR(__xludf.DUMMYFUNCTION("""COMPUTED_VALUE"""),45571.0)</f>
        <v>45571</v>
      </c>
      <c r="C6864" s="266" t="str">
        <f>IFERROR(__xludf.DUMMYFUNCTION("""COMPUTED_VALUE"""),"KYAI KONTONG")</f>
        <v>KYAI KONTONG</v>
      </c>
      <c r="D6864" s="186">
        <f>IFERROR(__xludf.DUMMYFUNCTION("""COMPUTED_VALUE"""),10.0)</f>
        <v>10</v>
      </c>
    </row>
    <row r="6865">
      <c r="A6865" s="178" t="str">
        <f>IFERROR(__xludf.DUMMYFUNCTION("""COMPUTED_VALUE"""),"ITBISA-INFRARED-1838")</f>
        <v>ITBISA-INFRARED-1838</v>
      </c>
      <c r="B6865" s="266">
        <f>IFERROR(__xludf.DUMMYFUNCTION("""COMPUTED_VALUE"""),45573.0)</f>
        <v>45573</v>
      </c>
      <c r="C6865" s="266" t="str">
        <f>IFERROR(__xludf.DUMMYFUNCTION("""COMPUTED_VALUE"""),"KYAI KONTONG")</f>
        <v>KYAI KONTONG</v>
      </c>
      <c r="D6865" s="186">
        <f>IFERROR(__xludf.DUMMYFUNCTION("""COMPUTED_VALUE"""),10.0)</f>
        <v>10</v>
      </c>
    </row>
    <row r="6866">
      <c r="A6866" s="178" t="str">
        <f>IFERROR(__xludf.DUMMYFUNCTION("""COMPUTED_VALUE"""),"ITBISA-INFRARED-1838")</f>
        <v>ITBISA-INFRARED-1838</v>
      </c>
      <c r="B6866" s="266">
        <f>IFERROR(__xludf.DUMMYFUNCTION("""COMPUTED_VALUE"""),45578.0)</f>
        <v>45578</v>
      </c>
      <c r="C6866" s="266" t="str">
        <f>IFERROR(__xludf.DUMMYFUNCTION("""COMPUTED_VALUE"""),"KYAI KONTONG")</f>
        <v>KYAI KONTONG</v>
      </c>
      <c r="D6866" s="186">
        <f>IFERROR(__xludf.DUMMYFUNCTION("""COMPUTED_VALUE"""),10.0)</f>
        <v>10</v>
      </c>
    </row>
    <row r="6867">
      <c r="A6867" s="178" t="str">
        <f>IFERROR(__xludf.DUMMYFUNCTION("""COMPUTED_VALUE"""),"ITBISA-INFRARED-1838")</f>
        <v>ITBISA-INFRARED-1838</v>
      </c>
      <c r="B6867" s="266">
        <f>IFERROR(__xludf.DUMMYFUNCTION("""COMPUTED_VALUE"""),45583.0)</f>
        <v>45583</v>
      </c>
      <c r="C6867" s="266" t="str">
        <f>IFERROR(__xludf.DUMMYFUNCTION("""COMPUTED_VALUE"""),"KYAI KONTONG")</f>
        <v>KYAI KONTONG</v>
      </c>
      <c r="D6867" s="186">
        <f>IFERROR(__xludf.DUMMYFUNCTION("""COMPUTED_VALUE"""),10.0)</f>
        <v>10</v>
      </c>
    </row>
    <row r="6868">
      <c r="A6868" s="178" t="str">
        <f>IFERROR(__xludf.DUMMYFUNCTION("""COMPUTED_VALUE"""),"ITBISA-INFRARED-1838")</f>
        <v>ITBISA-INFRARED-1838</v>
      </c>
      <c r="B6868" s="266">
        <f>IFERROR(__xludf.DUMMYFUNCTION("""COMPUTED_VALUE"""),45604.0)</f>
        <v>45604</v>
      </c>
      <c r="C6868" s="266" t="str">
        <f>IFERROR(__xludf.DUMMYFUNCTION("""COMPUTED_VALUE"""),"KERTASARI CIAMIS")</f>
        <v>KERTASARI CIAMIS</v>
      </c>
      <c r="D6868" s="186">
        <f>IFERROR(__xludf.DUMMYFUNCTION("""COMPUTED_VALUE"""),10.0)</f>
        <v>10</v>
      </c>
    </row>
    <row r="6869">
      <c r="A6869" s="178" t="str">
        <f>IFERROR(__xludf.DUMMYFUNCTION("""COMPUTED_VALUE"""),"ITBISA-INFRARED-1838")</f>
        <v>ITBISA-INFRARED-1838</v>
      </c>
      <c r="B6869" s="266">
        <f>IFERROR(__xludf.DUMMYFUNCTION("""COMPUTED_VALUE"""),45633.0)</f>
        <v>45633</v>
      </c>
      <c r="C6869" s="266" t="str">
        <f>IFERROR(__xludf.DUMMYFUNCTION("""COMPUTED_VALUE"""),"KERTASARI CIAMIS")</f>
        <v>KERTASARI CIAMIS</v>
      </c>
      <c r="D6869" s="186">
        <f>IFERROR(__xludf.DUMMYFUNCTION("""COMPUTED_VALUE"""),10.0)</f>
        <v>10</v>
      </c>
    </row>
    <row r="6870">
      <c r="A6870" s="178" t="str">
        <f>IFERROR(__xludf.DUMMYFUNCTION("""COMPUTED_VALUE"""),"ITBISA-INFRARED-1838")</f>
        <v>ITBISA-INFRARED-1838</v>
      </c>
      <c r="B6870" s="266">
        <f>IFERROR(__xludf.DUMMYFUNCTION("""COMPUTED_VALUE"""),45634.0)</f>
        <v>45634</v>
      </c>
      <c r="C6870" s="266" t="str">
        <f>IFERROR(__xludf.DUMMYFUNCTION("""COMPUTED_VALUE"""),"KYAI KONTONG")</f>
        <v>KYAI KONTONG</v>
      </c>
      <c r="D6870" s="186">
        <f>IFERROR(__xludf.DUMMYFUNCTION("""COMPUTED_VALUE"""),10.0)</f>
        <v>10</v>
      </c>
    </row>
    <row r="6871">
      <c r="A6871" s="178" t="str">
        <f>IFERROR(__xludf.DUMMYFUNCTION("""COMPUTED_VALUE"""),"ITBISA-INFRARED-1838")</f>
        <v>ITBISA-INFRARED-1838</v>
      </c>
      <c r="B6871" s="266">
        <f>IFERROR(__xludf.DUMMYFUNCTION("""COMPUTED_VALUE"""),45640.0)</f>
        <v>45640</v>
      </c>
      <c r="C6871" s="266" t="str">
        <f>IFERROR(__xludf.DUMMYFUNCTION("""COMPUTED_VALUE"""),"KERTASARI CIAMIS")</f>
        <v>KERTASARI CIAMIS</v>
      </c>
      <c r="D6871" s="186">
        <f>IFERROR(__xludf.DUMMYFUNCTION("""COMPUTED_VALUE"""),10.0)</f>
        <v>10</v>
      </c>
    </row>
    <row r="6872">
      <c r="A6872" s="178" t="str">
        <f>IFERROR(__xludf.DUMMYFUNCTION("""COMPUTED_VALUE"""),"ITBISA-INFRARED-1838")</f>
        <v>ITBISA-INFRARED-1838</v>
      </c>
      <c r="B6872" s="266">
        <f>IFERROR(__xludf.DUMMYFUNCTION("""COMPUTED_VALUE"""),45658.0)</f>
        <v>45658</v>
      </c>
      <c r="C6872" s="266" t="str">
        <f>IFERROR(__xludf.DUMMYFUNCTION("""COMPUTED_VALUE"""),"KYAI KONTONG")</f>
        <v>KYAI KONTONG</v>
      </c>
      <c r="D6872" s="186">
        <f>IFERROR(__xludf.DUMMYFUNCTION("""COMPUTED_VALUE"""),2.0)</f>
        <v>2</v>
      </c>
    </row>
    <row r="6873">
      <c r="A6873" s="178" t="str">
        <f>IFERROR(__xludf.DUMMYFUNCTION("""COMPUTED_VALUE"""),"ITBISA-INFRARED-1838")</f>
        <v>ITBISA-INFRARED-1838</v>
      </c>
      <c r="B6873" s="266">
        <f>IFERROR(__xludf.DUMMYFUNCTION("""COMPUTED_VALUE"""),45670.0)</f>
        <v>45670</v>
      </c>
      <c r="C6873" s="266" t="str">
        <f>IFERROR(__xludf.DUMMYFUNCTION("""COMPUTED_VALUE"""),"KYAI KONTONG")</f>
        <v>KYAI KONTONG</v>
      </c>
      <c r="D6873" s="186">
        <f>IFERROR(__xludf.DUMMYFUNCTION("""COMPUTED_VALUE"""),15.0)</f>
        <v>15</v>
      </c>
    </row>
    <row r="6874">
      <c r="A6874" s="178" t="str">
        <f>IFERROR(__xludf.DUMMYFUNCTION("""COMPUTED_VALUE"""),"ITBISA-INFRARED-1838")</f>
        <v>ITBISA-INFRARED-1838</v>
      </c>
      <c r="B6874" s="266">
        <f>IFERROR(__xludf.DUMMYFUNCTION("""COMPUTED_VALUE"""),45676.0)</f>
        <v>45676</v>
      </c>
      <c r="C6874" s="266" t="str">
        <f>IFERROR(__xludf.DUMMYFUNCTION("""COMPUTED_VALUE"""),"KERTASARI CIAMIS")</f>
        <v>KERTASARI CIAMIS</v>
      </c>
      <c r="D6874" s="186">
        <f>IFERROR(__xludf.DUMMYFUNCTION("""COMPUTED_VALUE"""),10.0)</f>
        <v>10</v>
      </c>
    </row>
    <row r="6875">
      <c r="A6875" s="178" t="str">
        <f>IFERROR(__xludf.DUMMYFUNCTION("""COMPUTED_VALUE"""),"ITBISA-INFRARED-1838")</f>
        <v>ITBISA-INFRARED-1838</v>
      </c>
      <c r="B6875" s="266">
        <f>IFERROR(__xludf.DUMMYFUNCTION("""COMPUTED_VALUE"""),45676.0)</f>
        <v>45676</v>
      </c>
      <c r="C6875" s="266" t="str">
        <f>IFERROR(__xludf.DUMMYFUNCTION("""COMPUTED_VALUE"""),"KYAI KONTONG")</f>
        <v>KYAI KONTONG</v>
      </c>
      <c r="D6875" s="186">
        <f>IFERROR(__xludf.DUMMYFUNCTION("""COMPUTED_VALUE"""),10.0)</f>
        <v>10</v>
      </c>
    </row>
    <row r="6876">
      <c r="A6876" s="178" t="str">
        <f>IFERROR(__xludf.DUMMYFUNCTION("""COMPUTED_VALUE"""),"ITBISA-INFRARED-1838")</f>
        <v>ITBISA-INFRARED-1838</v>
      </c>
      <c r="B6876" s="266">
        <f>IFERROR(__xludf.DUMMYFUNCTION("""COMPUTED_VALUE"""),45682.0)</f>
        <v>45682</v>
      </c>
      <c r="C6876" s="266" t="str">
        <f>IFERROR(__xludf.DUMMYFUNCTION("""COMPUTED_VALUE"""),"KYAI KONTONG")</f>
        <v>KYAI KONTONG</v>
      </c>
      <c r="D6876" s="186">
        <f>IFERROR(__xludf.DUMMYFUNCTION("""COMPUTED_VALUE"""),11.0)</f>
        <v>11</v>
      </c>
    </row>
    <row r="6877">
      <c r="A6877" s="178" t="str">
        <f>IFERROR(__xludf.DUMMYFUNCTION("""COMPUTED_VALUE"""),"ITBISA-INFRARED-1838")</f>
        <v>ITBISA-INFRARED-1838</v>
      </c>
      <c r="B6877" s="266">
        <f>IFERROR(__xludf.DUMMYFUNCTION("""COMPUTED_VALUE"""),45683.0)</f>
        <v>45683</v>
      </c>
      <c r="C6877" s="266" t="str">
        <f>IFERROR(__xludf.DUMMYFUNCTION("""COMPUTED_VALUE"""),"KYAI KONTONG")</f>
        <v>KYAI KONTONG</v>
      </c>
      <c r="D6877" s="186">
        <f>IFERROR(__xludf.DUMMYFUNCTION("""COMPUTED_VALUE"""),30.0)</f>
        <v>30</v>
      </c>
    </row>
    <row r="6878">
      <c r="A6878" s="178" t="str">
        <f>IFERROR(__xludf.DUMMYFUNCTION("""COMPUTED_VALUE"""),"ITBISA-INFRARED-1838")</f>
        <v>ITBISA-INFRARED-1838</v>
      </c>
      <c r="B6878" s="266">
        <f>IFERROR(__xludf.DUMMYFUNCTION("""COMPUTED_VALUE"""),45688.0)</f>
        <v>45688</v>
      </c>
      <c r="C6878" s="266" t="str">
        <f>IFERROR(__xludf.DUMMYFUNCTION("""COMPUTED_VALUE"""),"KERTASARI CIAMIS")</f>
        <v>KERTASARI CIAMIS</v>
      </c>
      <c r="D6878" s="186">
        <f>IFERROR(__xludf.DUMMYFUNCTION("""COMPUTED_VALUE"""),60.0)</f>
        <v>60</v>
      </c>
    </row>
    <row r="6879">
      <c r="A6879" s="178" t="str">
        <f>IFERROR(__xludf.DUMMYFUNCTION("""COMPUTED_VALUE"""),"ITBISA-INFRARED-1838")</f>
        <v>ITBISA-INFRARED-1838</v>
      </c>
      <c r="B6879" s="266">
        <f>IFERROR(__xludf.DUMMYFUNCTION("""COMPUTED_VALUE"""),45692.0)</f>
        <v>45692</v>
      </c>
      <c r="C6879" s="266" t="str">
        <f>IFERROR(__xludf.DUMMYFUNCTION("""COMPUTED_VALUE"""),"KYAI KONTONG")</f>
        <v>KYAI KONTONG</v>
      </c>
      <c r="D6879" s="186">
        <f>IFERROR(__xludf.DUMMYFUNCTION("""COMPUTED_VALUE"""),30.0)</f>
        <v>30</v>
      </c>
    </row>
    <row r="6880">
      <c r="A6880" s="178" t="str">
        <f>IFERROR(__xludf.DUMMYFUNCTION("""COMPUTED_VALUE"""),"ITBISA-INFRARED-1838")</f>
        <v>ITBISA-INFRARED-1838</v>
      </c>
      <c r="B6880" s="266">
        <f>IFERROR(__xludf.DUMMYFUNCTION("""COMPUTED_VALUE"""),45696.0)</f>
        <v>45696</v>
      </c>
      <c r="C6880" s="266" t="str">
        <f>IFERROR(__xludf.DUMMYFUNCTION("""COMPUTED_VALUE"""),"KERTASARI CIAMIS")</f>
        <v>KERTASARI CIAMIS</v>
      </c>
      <c r="D6880" s="186">
        <f>IFERROR(__xludf.DUMMYFUNCTION("""COMPUTED_VALUE"""),20.0)</f>
        <v>20</v>
      </c>
    </row>
    <row r="6881">
      <c r="A6881" s="178" t="str">
        <f>IFERROR(__xludf.DUMMYFUNCTION("""COMPUTED_VALUE"""),"ITBISA-INFRARED-1838")</f>
        <v>ITBISA-INFRARED-1838</v>
      </c>
      <c r="B6881" s="266">
        <f>IFERROR(__xludf.DUMMYFUNCTION("""COMPUTED_VALUE"""),45704.0)</f>
        <v>45704</v>
      </c>
      <c r="C6881" s="266" t="str">
        <f>IFERROR(__xludf.DUMMYFUNCTION("""COMPUTED_VALUE"""),"KERTASARI CIAMIS")</f>
        <v>KERTASARI CIAMIS</v>
      </c>
      <c r="D6881" s="186">
        <f>IFERROR(__xludf.DUMMYFUNCTION("""COMPUTED_VALUE"""),20.0)</f>
        <v>20</v>
      </c>
    </row>
    <row r="6882">
      <c r="A6882" s="178" t="str">
        <f>IFERROR(__xludf.DUMMYFUNCTION("""COMPUTED_VALUE"""),"ITBISA-INFRARED-1838")</f>
        <v>ITBISA-INFRARED-1838</v>
      </c>
      <c r="B6882" s="266">
        <f>IFERROR(__xludf.DUMMYFUNCTION("""COMPUTED_VALUE"""),45723.0)</f>
        <v>45723</v>
      </c>
      <c r="C6882" s="266" t="str">
        <f>IFERROR(__xludf.DUMMYFUNCTION("""COMPUTED_VALUE"""),"KERTASARI CIAMIS")</f>
        <v>KERTASARI CIAMIS</v>
      </c>
      <c r="D6882" s="186">
        <f>IFERROR(__xludf.DUMMYFUNCTION("""COMPUTED_VALUE"""),10.0)</f>
        <v>10</v>
      </c>
    </row>
    <row r="6883">
      <c r="A6883" s="178" t="str">
        <f>IFERROR(__xludf.DUMMYFUNCTION("""COMPUTED_VALUE"""),"ITBISA-INFRARED-1838")</f>
        <v>ITBISA-INFRARED-1838</v>
      </c>
      <c r="B6883" s="266">
        <f>IFERROR(__xludf.DUMMYFUNCTION("""COMPUTED_VALUE"""),45724.0)</f>
        <v>45724</v>
      </c>
      <c r="C6883" s="266" t="str">
        <f>IFERROR(__xludf.DUMMYFUNCTION("""COMPUTED_VALUE"""),"KERTASARI CIAMIS")</f>
        <v>KERTASARI CIAMIS</v>
      </c>
      <c r="D6883" s="186">
        <f>IFERROR(__xludf.DUMMYFUNCTION("""COMPUTED_VALUE"""),20.0)</f>
        <v>20</v>
      </c>
    </row>
    <row r="6884">
      <c r="A6884" s="178" t="str">
        <f>IFERROR(__xludf.DUMMYFUNCTION("""COMPUTED_VALUE"""),"ITBISA-INFRARED-1838")</f>
        <v>ITBISA-INFRARED-1838</v>
      </c>
      <c r="B6884" s="266">
        <f>IFERROR(__xludf.DUMMYFUNCTION("""COMPUTED_VALUE"""),45735.0)</f>
        <v>45735</v>
      </c>
      <c r="C6884" s="266" t="str">
        <f>IFERROR(__xludf.DUMMYFUNCTION("""COMPUTED_VALUE"""),"KYAI KONTONG")</f>
        <v>KYAI KONTONG</v>
      </c>
      <c r="D6884" s="186">
        <f>IFERROR(__xludf.DUMMYFUNCTION("""COMPUTED_VALUE"""),100.0)</f>
        <v>100</v>
      </c>
    </row>
    <row r="6885">
      <c r="A6885" s="178" t="str">
        <f>IFERROR(__xludf.DUMMYFUNCTION("""COMPUTED_VALUE"""),"ITBISA-INFRARED-1838")</f>
        <v>ITBISA-INFRARED-1838</v>
      </c>
      <c r="B6885" s="266">
        <f>IFERROR(__xludf.DUMMYFUNCTION("""COMPUTED_VALUE"""),45757.0)</f>
        <v>45757</v>
      </c>
      <c r="C6885" s="266" t="str">
        <f>IFERROR(__xludf.DUMMYFUNCTION("""COMPUTED_VALUE"""),"KERTASARI CIAMIS")</f>
        <v>KERTASARI CIAMIS</v>
      </c>
      <c r="D6885" s="186">
        <f>IFERROR(__xludf.DUMMYFUNCTION("""COMPUTED_VALUE"""),10.0)</f>
        <v>10</v>
      </c>
    </row>
    <row r="6886">
      <c r="A6886" s="178" t="str">
        <f>IFERROR(__xludf.DUMMYFUNCTION("""COMPUTED_VALUE"""),"ITBISA-INFRARED-1838")</f>
        <v>ITBISA-INFRARED-1838</v>
      </c>
      <c r="B6886" s="266">
        <f>IFERROR(__xludf.DUMMYFUNCTION("""COMPUTED_VALUE"""),45768.0)</f>
        <v>45768</v>
      </c>
      <c r="C6886" s="266" t="str">
        <f>IFERROR(__xludf.DUMMYFUNCTION("""COMPUTED_VALUE"""),"KERTASARI CIAMIS")</f>
        <v>KERTASARI CIAMIS</v>
      </c>
      <c r="D6886" s="186">
        <f>IFERROR(__xludf.DUMMYFUNCTION("""COMPUTED_VALUE"""),10.0)</f>
        <v>10</v>
      </c>
    </row>
    <row r="6887">
      <c r="A6887" s="178" t="str">
        <f>IFERROR(__xludf.DUMMYFUNCTION("""COMPUTED_VALUE"""),"ITBISA-INFRARED-1838")</f>
        <v>ITBISA-INFRARED-1838</v>
      </c>
      <c r="B6887" s="266">
        <f>IFERROR(__xludf.DUMMYFUNCTION("""COMPUTED_VALUE"""),45811.0)</f>
        <v>45811</v>
      </c>
      <c r="C6887" s="266" t="str">
        <f>IFERROR(__xludf.DUMMYFUNCTION("""COMPUTED_VALUE"""),"KERTASARI CIAMIS")</f>
        <v>KERTASARI CIAMIS</v>
      </c>
      <c r="D6887" s="186">
        <f>IFERROR(__xludf.DUMMYFUNCTION("""COMPUTED_VALUE"""),10.0)</f>
        <v>10</v>
      </c>
    </row>
    <row r="6888">
      <c r="A6888" s="178" t="str">
        <f>IFERROR(__xludf.DUMMYFUNCTION("""COMPUTED_VALUE"""),"ITBISA-INFRARED-1838")</f>
        <v>ITBISA-INFRARED-1838</v>
      </c>
      <c r="B6888" s="266">
        <f>IFERROR(__xludf.DUMMYFUNCTION("""COMPUTED_VALUE"""),45824.0)</f>
        <v>45824</v>
      </c>
      <c r="C6888" s="266" t="str">
        <f>IFERROR(__xludf.DUMMYFUNCTION("""COMPUTED_VALUE"""),"KYAI KONTONG")</f>
        <v>KYAI KONTONG</v>
      </c>
      <c r="D6888" s="186">
        <f>IFERROR(__xludf.DUMMYFUNCTION("""COMPUTED_VALUE"""),25.0)</f>
        <v>25</v>
      </c>
    </row>
    <row r="6889">
      <c r="A6889" s="178" t="str">
        <f>IFERROR(__xludf.DUMMYFUNCTION("""COMPUTED_VALUE"""),"ITBISA-INFRARED-1838")</f>
        <v>ITBISA-INFRARED-1838</v>
      </c>
      <c r="B6889" s="266">
        <f>IFERROR(__xludf.DUMMYFUNCTION("""COMPUTED_VALUE"""),45825.0)</f>
        <v>45825</v>
      </c>
      <c r="C6889" s="266" t="str">
        <f>IFERROR(__xludf.DUMMYFUNCTION("""COMPUTED_VALUE"""),"KYAI KONTONG")</f>
        <v>KYAI KONTONG</v>
      </c>
      <c r="D6889" s="186">
        <f>IFERROR(__xludf.DUMMYFUNCTION("""COMPUTED_VALUE"""),100.0)</f>
        <v>100</v>
      </c>
    </row>
    <row r="6890">
      <c r="A6890" s="178" t="str">
        <f>IFERROR(__xludf.DUMMYFUNCTION("""COMPUTED_VALUE"""),"ITBISA-INFRARED-1838")</f>
        <v>ITBISA-INFRARED-1838</v>
      </c>
      <c r="B6890" s="266">
        <f>IFERROR(__xludf.DUMMYFUNCTION("""COMPUTED_VALUE"""),45853.0)</f>
        <v>45853</v>
      </c>
      <c r="C6890" s="266" t="str">
        <f>IFERROR(__xludf.DUMMYFUNCTION("""COMPUTED_VALUE"""),"KERTASARI CIAMIS")</f>
        <v>KERTASARI CIAMIS</v>
      </c>
      <c r="D6890" s="186">
        <f>IFERROR(__xludf.DUMMYFUNCTION("""COMPUTED_VALUE"""),10.0)</f>
        <v>10</v>
      </c>
    </row>
    <row r="6891">
      <c r="A6891" s="178" t="str">
        <f>IFERROR(__xludf.DUMMYFUNCTION("""COMPUTED_VALUE"""),"ITBISA-INFRARED-1838")</f>
        <v>ITBISA-INFRARED-1838</v>
      </c>
      <c r="B6891" s="266">
        <f>IFERROR(__xludf.DUMMYFUNCTION("""COMPUTED_VALUE"""),45874.0)</f>
        <v>45874</v>
      </c>
      <c r="C6891" s="266" t="str">
        <f>IFERROR(__xludf.DUMMYFUNCTION("""COMPUTED_VALUE"""),"KERTASARI CIAMIS")</f>
        <v>KERTASARI CIAMIS</v>
      </c>
      <c r="D6891" s="186">
        <f>IFERROR(__xludf.DUMMYFUNCTION("""COMPUTED_VALUE"""),20.0)</f>
        <v>20</v>
      </c>
    </row>
    <row r="6892">
      <c r="A6892" s="178" t="str">
        <f>IFERROR(__xludf.DUMMYFUNCTION("""COMPUTED_VALUE"""),"ITBISA-INFRARED-1838")</f>
        <v>ITBISA-INFRARED-1838</v>
      </c>
      <c r="B6892" s="266">
        <f>IFERROR(__xludf.DUMMYFUNCTION("""COMPUTED_VALUE"""),45894.0)</f>
        <v>45894</v>
      </c>
      <c r="C6892" s="266" t="str">
        <f>IFERROR(__xludf.DUMMYFUNCTION("""COMPUTED_VALUE"""),"KYAI KONTONG")</f>
        <v>KYAI KONTONG</v>
      </c>
      <c r="D6892" s="186">
        <f>IFERROR(__xludf.DUMMYFUNCTION("""COMPUTED_VALUE"""),15.0)</f>
        <v>15</v>
      </c>
    </row>
    <row r="6893">
      <c r="A6893" s="178" t="str">
        <f>IFERROR(__xludf.DUMMYFUNCTION("""COMPUTED_VALUE"""),"ITBISA-INFRARED-1838")</f>
        <v>ITBISA-INFRARED-1838</v>
      </c>
      <c r="B6893" s="266">
        <f>IFERROR(__xludf.DUMMYFUNCTION("""COMPUTED_VALUE"""),45895.0)</f>
        <v>45895</v>
      </c>
      <c r="C6893" s="266" t="str">
        <f>IFERROR(__xludf.DUMMYFUNCTION("""COMPUTED_VALUE"""),"KERTASARI CIAMIS")</f>
        <v>KERTASARI CIAMIS</v>
      </c>
      <c r="D6893" s="186">
        <f>IFERROR(__xludf.DUMMYFUNCTION("""COMPUTED_VALUE"""),10.0)</f>
        <v>10</v>
      </c>
    </row>
    <row r="6894">
      <c r="A6894" s="178" t="str">
        <f>IFERROR(__xludf.DUMMYFUNCTION("""COMPUTED_VALUE"""),"ITBISA-INFRARED-1838")</f>
        <v>ITBISA-INFRARED-1838</v>
      </c>
      <c r="B6894" s="266">
        <f>IFERROR(__xludf.DUMMYFUNCTION("""COMPUTED_VALUE"""),45898.0)</f>
        <v>45898</v>
      </c>
      <c r="C6894" s="266" t="str">
        <f>IFERROR(__xludf.DUMMYFUNCTION("""COMPUTED_VALUE"""),"KERTASARI CIAMIS")</f>
        <v>KERTASARI CIAMIS</v>
      </c>
      <c r="D6894" s="186">
        <f>IFERROR(__xludf.DUMMYFUNCTION("""COMPUTED_VALUE"""),15.0)</f>
        <v>15</v>
      </c>
    </row>
    <row r="6895">
      <c r="A6895" s="178" t="str">
        <f>IFERROR(__xludf.DUMMYFUNCTION("""COMPUTED_VALUE"""),"ITBISA-INFRARED-1838")</f>
        <v>ITBISA-INFRARED-1838</v>
      </c>
      <c r="B6895" s="266">
        <f>IFERROR(__xludf.DUMMYFUNCTION("""COMPUTED_VALUE"""),45995.0)</f>
        <v>45995</v>
      </c>
      <c r="C6895" s="266" t="str">
        <f>IFERROR(__xludf.DUMMYFUNCTION("""COMPUTED_VALUE"""),"KYAI KONTONG")</f>
        <v>KYAI KONTONG</v>
      </c>
      <c r="D6895" s="186">
        <f>IFERROR(__xludf.DUMMYFUNCTION("""COMPUTED_VALUE"""),5.0)</f>
        <v>5</v>
      </c>
    </row>
    <row r="6896">
      <c r="A6896" s="178" t="str">
        <f>IFERROR(__xludf.DUMMYFUNCTION("""COMPUTED_VALUE"""),"ITBISA-INFRARED-1838")</f>
        <v>ITBISA-INFRARED-1838</v>
      </c>
      <c r="B6896" s="266">
        <f>IFERROR(__xludf.DUMMYFUNCTION("""COMPUTED_VALUE"""),45996.0)</f>
        <v>45996</v>
      </c>
      <c r="C6896" s="266" t="str">
        <f>IFERROR(__xludf.DUMMYFUNCTION("""COMPUTED_VALUE"""),"KYAI KONTONG")</f>
        <v>KYAI KONTONG</v>
      </c>
      <c r="D6896" s="186">
        <f>IFERROR(__xludf.DUMMYFUNCTION("""COMPUTED_VALUE"""),10.0)</f>
        <v>10</v>
      </c>
    </row>
    <row r="6897">
      <c r="A6897" s="178" t="str">
        <f>IFERROR(__xludf.DUMMYFUNCTION("""COMPUTED_VALUE"""),"ITBISA-INFRARED-1838")</f>
        <v>ITBISA-INFRARED-1838</v>
      </c>
      <c r="B6897" s="266">
        <f>IFERROR(__xludf.DUMMYFUNCTION("""COMPUTED_VALUE"""),46001.0)</f>
        <v>46001</v>
      </c>
      <c r="C6897" s="266" t="str">
        <f>IFERROR(__xludf.DUMMYFUNCTION("""COMPUTED_VALUE"""),"KERTASARI CIAMIS")</f>
        <v>KERTASARI CIAMIS</v>
      </c>
      <c r="D6897" s="186">
        <f>IFERROR(__xludf.DUMMYFUNCTION("""COMPUTED_VALUE"""),10.0)</f>
        <v>10</v>
      </c>
    </row>
    <row r="6898">
      <c r="A6898" s="178" t="str">
        <f>IFERROR(__xludf.DUMMYFUNCTION("""COMPUTED_VALUE"""),"ITBISA-INFRARED-1838")</f>
        <v>ITBISA-INFRARED-1838</v>
      </c>
      <c r="B6898" s="266">
        <f>IFERROR(__xludf.DUMMYFUNCTION("""COMPUTED_VALUE"""),46005.0)</f>
        <v>46005</v>
      </c>
      <c r="C6898" s="266" t="str">
        <f>IFERROR(__xludf.DUMMYFUNCTION("""COMPUTED_VALUE"""),"KYAI KONTONG")</f>
        <v>KYAI KONTONG</v>
      </c>
      <c r="D6898" s="186">
        <f>IFERROR(__xludf.DUMMYFUNCTION("""COMPUTED_VALUE"""),20.0)</f>
        <v>20</v>
      </c>
    </row>
    <row r="6899">
      <c r="A6899" s="178" t="str">
        <f>IFERROR(__xludf.DUMMYFUNCTION("""COMPUTED_VALUE"""),"ITBISA-INFRARED-1838")</f>
        <v>ITBISA-INFRARED-1838</v>
      </c>
      <c r="B6899" s="266">
        <f>IFERROR(__xludf.DUMMYFUNCTION("""COMPUTED_VALUE"""),46006.0)</f>
        <v>46006</v>
      </c>
      <c r="C6899" s="266" t="str">
        <f>IFERROR(__xludf.DUMMYFUNCTION("""COMPUTED_VALUE"""),"KYAI KONTONG")</f>
        <v>KYAI KONTONG</v>
      </c>
      <c r="D6899" s="186">
        <f>IFERROR(__xludf.DUMMYFUNCTION("""COMPUTED_VALUE"""),5.0)</f>
        <v>5</v>
      </c>
    </row>
    <row r="6900">
      <c r="A6900" s="178" t="str">
        <f>IFERROR(__xludf.DUMMYFUNCTION("""COMPUTED_VALUE"""),"ITBISA-INFRARED-1838")</f>
        <v>ITBISA-INFRARED-1838</v>
      </c>
      <c r="B6900" s="266">
        <f>IFERROR(__xludf.DUMMYFUNCTION("""COMPUTED_VALUE"""),46010.0)</f>
        <v>46010</v>
      </c>
      <c r="C6900" s="266" t="str">
        <f>IFERROR(__xludf.DUMMYFUNCTION("""COMPUTED_VALUE"""),"KYAI KONTONG")</f>
        <v>KYAI KONTONG</v>
      </c>
      <c r="D6900" s="186">
        <f>IFERROR(__xludf.DUMMYFUNCTION("""COMPUTED_VALUE"""),5.0)</f>
        <v>5</v>
      </c>
    </row>
    <row r="6901">
      <c r="A6901" s="178" t="str">
        <f>IFERROR(__xludf.DUMMYFUNCTION("""COMPUTED_VALUE"""),"ITBISA-INFRARED-1838")</f>
        <v>ITBISA-INFRARED-1838</v>
      </c>
      <c r="B6901" s="266">
        <f>IFERROR(__xludf.DUMMYFUNCTION("""COMPUTED_VALUE"""),46012.0)</f>
        <v>46012</v>
      </c>
      <c r="C6901" s="266" t="str">
        <f>IFERROR(__xludf.DUMMYFUNCTION("""COMPUTED_VALUE"""),"KYAI KONTONG")</f>
        <v>KYAI KONTONG</v>
      </c>
      <c r="D6901" s="186">
        <f>IFERROR(__xludf.DUMMYFUNCTION("""COMPUTED_VALUE"""),20.0)</f>
        <v>20</v>
      </c>
    </row>
    <row r="6902">
      <c r="A6902" s="178" t="str">
        <f>IFERROR(__xludf.DUMMYFUNCTION("""COMPUTED_VALUE"""),"ITBISA-INFRARED-1838")</f>
        <v>ITBISA-INFRARED-1838</v>
      </c>
      <c r="B6902" s="266">
        <f>IFERROR(__xludf.DUMMYFUNCTION("""COMPUTED_VALUE"""),46013.0)</f>
        <v>46013</v>
      </c>
      <c r="C6902" s="266" t="str">
        <f>IFERROR(__xludf.DUMMYFUNCTION("""COMPUTED_VALUE"""),"KERTASARI CIAMIS")</f>
        <v>KERTASARI CIAMIS</v>
      </c>
      <c r="D6902" s="186">
        <f>IFERROR(__xludf.DUMMYFUNCTION("""COMPUTED_VALUE"""),10.0)</f>
        <v>10</v>
      </c>
    </row>
    <row r="6903">
      <c r="A6903" s="178" t="str">
        <f>IFERROR(__xludf.DUMMYFUNCTION("""COMPUTED_VALUE"""),"ITBISA-INFRARED-1838")</f>
        <v>ITBISA-INFRARED-1838</v>
      </c>
      <c r="B6903" s="266">
        <f>IFERROR(__xludf.DUMMYFUNCTION("""COMPUTED_VALUE"""),46015.0)</f>
        <v>46015</v>
      </c>
      <c r="C6903" s="266" t="str">
        <f>IFERROR(__xludf.DUMMYFUNCTION("""COMPUTED_VALUE"""),"KYAI KONTONG")</f>
        <v>KYAI KONTONG</v>
      </c>
      <c r="D6903" s="186">
        <f>IFERROR(__xludf.DUMMYFUNCTION("""COMPUTED_VALUE"""),6.0)</f>
        <v>6</v>
      </c>
    </row>
    <row r="6904">
      <c r="A6904" s="178" t="str">
        <f>IFERROR(__xludf.DUMMYFUNCTION("""COMPUTED_VALUE"""),"ITBISA-INFRARED-1838")</f>
        <v>ITBISA-INFRARED-1838</v>
      </c>
      <c r="B6904" s="266">
        <f>IFERROR(__xludf.DUMMYFUNCTION("""COMPUTED_VALUE"""),46019.0)</f>
        <v>46019</v>
      </c>
      <c r="C6904" s="266" t="str">
        <f>IFERROR(__xludf.DUMMYFUNCTION("""COMPUTED_VALUE"""),"KYAI KONTONG")</f>
        <v>KYAI KONTONG</v>
      </c>
      <c r="D6904" s="186">
        <f>IFERROR(__xludf.DUMMYFUNCTION("""COMPUTED_VALUE"""),7.0)</f>
        <v>7</v>
      </c>
    </row>
    <row r="6905">
      <c r="A6905" s="178" t="str">
        <f>IFERROR(__xludf.DUMMYFUNCTION("""COMPUTED_VALUE"""),"ITBISA-INFRARED-1838")</f>
        <v>ITBISA-INFRARED-1838</v>
      </c>
      <c r="B6905" s="266">
        <f>IFERROR(__xludf.DUMMYFUNCTION("""COMPUTED_VALUE"""),46022.0)</f>
        <v>46022</v>
      </c>
      <c r="C6905" s="266" t="str">
        <f>IFERROR(__xludf.DUMMYFUNCTION("""COMPUTED_VALUE"""),"KYAI KONTONG")</f>
        <v>KYAI KONTONG</v>
      </c>
      <c r="D6905" s="186">
        <f>IFERROR(__xludf.DUMMYFUNCTION("""COMPUTED_VALUE"""),11.0)</f>
        <v>11</v>
      </c>
    </row>
    <row r="6906">
      <c r="A6906" s="178" t="str">
        <f>IFERROR(__xludf.DUMMYFUNCTION("""COMPUTED_VALUE"""),"ITBISA-JACK-DC-005-FEMALE")</f>
        <v>ITBISA-JACK-DC-005-FEMALE</v>
      </c>
      <c r="B6906" s="266">
        <f>IFERROR(__xludf.DUMMYFUNCTION("""COMPUTED_VALUE"""),45434.0)</f>
        <v>45434</v>
      </c>
      <c r="C6906" s="266" t="str">
        <f>IFERROR(__xludf.DUMMYFUNCTION("""COMPUTED_VALUE"""),"KYAI KONTONG")</f>
        <v>KYAI KONTONG</v>
      </c>
      <c r="D6906" s="186">
        <f>IFERROR(__xludf.DUMMYFUNCTION("""COMPUTED_VALUE"""),1.0)</f>
        <v>1</v>
      </c>
    </row>
    <row r="6907">
      <c r="A6907" s="178" t="str">
        <f>IFERROR(__xludf.DUMMYFUNCTION("""COMPUTED_VALUE"""),"ITBISA-JACK-DC-005-FEMALE")</f>
        <v>ITBISA-JACK-DC-005-FEMALE</v>
      </c>
      <c r="B6907" s="266">
        <f>IFERROR(__xludf.DUMMYFUNCTION("""COMPUTED_VALUE"""),45443.0)</f>
        <v>45443</v>
      </c>
      <c r="C6907" s="266" t="str">
        <f>IFERROR(__xludf.DUMMYFUNCTION("""COMPUTED_VALUE"""),"KERTASARI CIAMIS")</f>
        <v>KERTASARI CIAMIS</v>
      </c>
      <c r="D6907" s="186">
        <f>IFERROR(__xludf.DUMMYFUNCTION("""COMPUTED_VALUE"""),10.0)</f>
        <v>10</v>
      </c>
    </row>
    <row r="6908">
      <c r="A6908" s="178" t="str">
        <f>IFERROR(__xludf.DUMMYFUNCTION("""COMPUTED_VALUE"""),"ITBISA-JACK-DC-005-FEMALE")</f>
        <v>ITBISA-JACK-DC-005-FEMALE</v>
      </c>
      <c r="B6908" s="266">
        <f>IFERROR(__xludf.DUMMYFUNCTION("""COMPUTED_VALUE"""),45448.0)</f>
        <v>45448</v>
      </c>
      <c r="C6908" s="266" t="str">
        <f>IFERROR(__xludf.DUMMYFUNCTION("""COMPUTED_VALUE"""),"KYAI KONTONG")</f>
        <v>KYAI KONTONG</v>
      </c>
      <c r="D6908" s="186">
        <f>IFERROR(__xludf.DUMMYFUNCTION("""COMPUTED_VALUE"""),20.0)</f>
        <v>20</v>
      </c>
    </row>
    <row r="6909">
      <c r="A6909" s="178" t="str">
        <f>IFERROR(__xludf.DUMMYFUNCTION("""COMPUTED_VALUE"""),"ITBISA-JACK-DC-005-FEMALE")</f>
        <v>ITBISA-JACK-DC-005-FEMALE</v>
      </c>
      <c r="B6909" s="266">
        <f>IFERROR(__xludf.DUMMYFUNCTION("""COMPUTED_VALUE"""),45457.0)</f>
        <v>45457</v>
      </c>
      <c r="C6909" s="266" t="str">
        <f>IFERROR(__xludf.DUMMYFUNCTION("""COMPUTED_VALUE"""),"KYAI KONTONG")</f>
        <v>KYAI KONTONG</v>
      </c>
      <c r="D6909" s="186">
        <f>IFERROR(__xludf.DUMMYFUNCTION("""COMPUTED_VALUE"""),7.0)</f>
        <v>7</v>
      </c>
    </row>
    <row r="6910">
      <c r="A6910" s="178" t="str">
        <f>IFERROR(__xludf.DUMMYFUNCTION("""COMPUTED_VALUE"""),"ITBISA-JACK-DC-005-FEMALE")</f>
        <v>ITBISA-JACK-DC-005-FEMALE</v>
      </c>
      <c r="B6910" s="266">
        <f>IFERROR(__xludf.DUMMYFUNCTION("""COMPUTED_VALUE"""),45469.0)</f>
        <v>45469</v>
      </c>
      <c r="C6910" s="266" t="str">
        <f>IFERROR(__xludf.DUMMYFUNCTION("""COMPUTED_VALUE"""),"KYAI KONTONG")</f>
        <v>KYAI KONTONG</v>
      </c>
      <c r="D6910" s="186">
        <f>IFERROR(__xludf.DUMMYFUNCTION("""COMPUTED_VALUE"""),10.0)</f>
        <v>10</v>
      </c>
    </row>
    <row r="6911">
      <c r="A6911" s="178" t="str">
        <f>IFERROR(__xludf.DUMMYFUNCTION("""COMPUTED_VALUE"""),"ITBISA-JACK-DC-005-FEMALE")</f>
        <v>ITBISA-JACK-DC-005-FEMALE</v>
      </c>
      <c r="B6911" s="266">
        <f>IFERROR(__xludf.DUMMYFUNCTION("""COMPUTED_VALUE"""),45480.0)</f>
        <v>45480</v>
      </c>
      <c r="C6911" s="266" t="str">
        <f>IFERROR(__xludf.DUMMYFUNCTION("""COMPUTED_VALUE"""),"KERTASARI CIAMIS")</f>
        <v>KERTASARI CIAMIS</v>
      </c>
      <c r="D6911" s="186">
        <f>IFERROR(__xludf.DUMMYFUNCTION("""COMPUTED_VALUE"""),4.0)</f>
        <v>4</v>
      </c>
    </row>
    <row r="6912">
      <c r="A6912" s="178" t="str">
        <f>IFERROR(__xludf.DUMMYFUNCTION("""COMPUTED_VALUE"""),"ITBISA-JACK-DC-005-FEMALE")</f>
        <v>ITBISA-JACK-DC-005-FEMALE</v>
      </c>
      <c r="B6912" s="266">
        <f>IFERROR(__xludf.DUMMYFUNCTION("""COMPUTED_VALUE"""),45491.0)</f>
        <v>45491</v>
      </c>
      <c r="C6912" s="266" t="str">
        <f>IFERROR(__xludf.DUMMYFUNCTION("""COMPUTED_VALUE"""),"KYAI KONTONG")</f>
        <v>KYAI KONTONG</v>
      </c>
      <c r="D6912" s="186">
        <f>IFERROR(__xludf.DUMMYFUNCTION("""COMPUTED_VALUE"""),10.0)</f>
        <v>10</v>
      </c>
    </row>
    <row r="6913">
      <c r="A6913" s="178" t="str">
        <f>IFERROR(__xludf.DUMMYFUNCTION("""COMPUTED_VALUE"""),"ITBISA-JACK-DC-005-FEMALE")</f>
        <v>ITBISA-JACK-DC-005-FEMALE</v>
      </c>
      <c r="B6913" s="266">
        <f>IFERROR(__xludf.DUMMYFUNCTION("""COMPUTED_VALUE"""),45513.0)</f>
        <v>45513</v>
      </c>
      <c r="C6913" s="266" t="str">
        <f>IFERROR(__xludf.DUMMYFUNCTION("""COMPUTED_VALUE"""),"KERTASARI CIAMIS")</f>
        <v>KERTASARI CIAMIS</v>
      </c>
      <c r="D6913" s="186">
        <f>IFERROR(__xludf.DUMMYFUNCTION("""COMPUTED_VALUE"""),25.0)</f>
        <v>25</v>
      </c>
    </row>
    <row r="6914">
      <c r="A6914" s="178" t="str">
        <f>IFERROR(__xludf.DUMMYFUNCTION("""COMPUTED_VALUE"""),"ITBISA-JACK-DC-005-FEMALE")</f>
        <v>ITBISA-JACK-DC-005-FEMALE</v>
      </c>
      <c r="B6914" s="266">
        <f>IFERROR(__xludf.DUMMYFUNCTION("""COMPUTED_VALUE"""),45513.0)</f>
        <v>45513</v>
      </c>
      <c r="C6914" s="266" t="str">
        <f>IFERROR(__xludf.DUMMYFUNCTION("""COMPUTED_VALUE"""),"KYAI KONTONG")</f>
        <v>KYAI KONTONG</v>
      </c>
      <c r="D6914" s="186">
        <f>IFERROR(__xludf.DUMMYFUNCTION("""COMPUTED_VALUE"""),2.0)</f>
        <v>2</v>
      </c>
    </row>
    <row r="6915">
      <c r="A6915" s="178" t="str">
        <f>IFERROR(__xludf.DUMMYFUNCTION("""COMPUTED_VALUE"""),"ITBISA-JACK-DC-005-FEMALE")</f>
        <v>ITBISA-JACK-DC-005-FEMALE</v>
      </c>
      <c r="B6915" s="266">
        <f>IFERROR(__xludf.DUMMYFUNCTION("""COMPUTED_VALUE"""),45514.0)</f>
        <v>45514</v>
      </c>
      <c r="C6915" s="266" t="str">
        <f>IFERROR(__xludf.DUMMYFUNCTION("""COMPUTED_VALUE"""),"KYAI KONTONG")</f>
        <v>KYAI KONTONG</v>
      </c>
      <c r="D6915" s="186">
        <f>IFERROR(__xludf.DUMMYFUNCTION("""COMPUTED_VALUE"""),8.0)</f>
        <v>8</v>
      </c>
    </row>
    <row r="6916">
      <c r="A6916" s="178" t="str">
        <f>IFERROR(__xludf.DUMMYFUNCTION("""COMPUTED_VALUE"""),"ITBISA-JACK-DC-005-FEMALE")</f>
        <v>ITBISA-JACK-DC-005-FEMALE</v>
      </c>
      <c r="B6916" s="266">
        <f>IFERROR(__xludf.DUMMYFUNCTION("""COMPUTED_VALUE"""),45517.0)</f>
        <v>45517</v>
      </c>
      <c r="C6916" s="266" t="str">
        <f>IFERROR(__xludf.DUMMYFUNCTION("""COMPUTED_VALUE"""),"KERTASARI CIAMIS")</f>
        <v>KERTASARI CIAMIS</v>
      </c>
      <c r="D6916" s="186">
        <f>IFERROR(__xludf.DUMMYFUNCTION("""COMPUTED_VALUE"""),2.0)</f>
        <v>2</v>
      </c>
    </row>
    <row r="6917">
      <c r="A6917" s="178" t="str">
        <f>IFERROR(__xludf.DUMMYFUNCTION("""COMPUTED_VALUE"""),"ITBISA-JACK-DC-005-FEMALE")</f>
        <v>ITBISA-JACK-DC-005-FEMALE</v>
      </c>
      <c r="B6917" s="266">
        <f>IFERROR(__xludf.DUMMYFUNCTION("""COMPUTED_VALUE"""),45526.0)</f>
        <v>45526</v>
      </c>
      <c r="C6917" s="266" t="str">
        <f>IFERROR(__xludf.DUMMYFUNCTION("""COMPUTED_VALUE"""),"KYAI KONTONG")</f>
        <v>KYAI KONTONG</v>
      </c>
      <c r="D6917" s="186">
        <f>IFERROR(__xludf.DUMMYFUNCTION("""COMPUTED_VALUE"""),2.0)</f>
        <v>2</v>
      </c>
    </row>
    <row r="6918">
      <c r="A6918" s="178" t="str">
        <f>IFERROR(__xludf.DUMMYFUNCTION("""COMPUTED_VALUE"""),"ITBISA-JACK-DC-005-FEMALE")</f>
        <v>ITBISA-JACK-DC-005-FEMALE</v>
      </c>
      <c r="B6918" s="266">
        <f>IFERROR(__xludf.DUMMYFUNCTION("""COMPUTED_VALUE"""),45535.0)</f>
        <v>45535</v>
      </c>
      <c r="C6918" s="266" t="str">
        <f>IFERROR(__xludf.DUMMYFUNCTION("""COMPUTED_VALUE"""),"KERTASARI CIAMIS")</f>
        <v>KERTASARI CIAMIS</v>
      </c>
      <c r="D6918" s="186">
        <f>IFERROR(__xludf.DUMMYFUNCTION("""COMPUTED_VALUE"""),10.0)</f>
        <v>10</v>
      </c>
    </row>
    <row r="6919">
      <c r="A6919" s="178" t="str">
        <f>IFERROR(__xludf.DUMMYFUNCTION("""COMPUTED_VALUE"""),"ITBISA-JACK-DC-005-FEMALE")</f>
        <v>ITBISA-JACK-DC-005-FEMALE</v>
      </c>
      <c r="B6919" s="266">
        <f>IFERROR(__xludf.DUMMYFUNCTION("""COMPUTED_VALUE"""),45579.0)</f>
        <v>45579</v>
      </c>
      <c r="C6919" s="266" t="str">
        <f>IFERROR(__xludf.DUMMYFUNCTION("""COMPUTED_VALUE"""),"KYAI KONTONG")</f>
        <v>KYAI KONTONG</v>
      </c>
      <c r="D6919" s="186">
        <f>IFERROR(__xludf.DUMMYFUNCTION("""COMPUTED_VALUE"""),1.0)</f>
        <v>1</v>
      </c>
    </row>
    <row r="6920">
      <c r="A6920" s="178" t="str">
        <f>IFERROR(__xludf.DUMMYFUNCTION("""COMPUTED_VALUE"""),"ITBISA-JACK-DC-005-FEMALE")</f>
        <v>ITBISA-JACK-DC-005-FEMALE</v>
      </c>
      <c r="B6920" s="266">
        <f>IFERROR(__xludf.DUMMYFUNCTION("""COMPUTED_VALUE"""),45584.0)</f>
        <v>45584</v>
      </c>
      <c r="C6920" s="266" t="str">
        <f>IFERROR(__xludf.DUMMYFUNCTION("""COMPUTED_VALUE"""),"KYAI KONTONG")</f>
        <v>KYAI KONTONG</v>
      </c>
      <c r="D6920" s="186">
        <f>IFERROR(__xludf.DUMMYFUNCTION("""COMPUTED_VALUE"""),5.0)</f>
        <v>5</v>
      </c>
    </row>
    <row r="6921">
      <c r="A6921" s="178" t="str">
        <f>IFERROR(__xludf.DUMMYFUNCTION("""COMPUTED_VALUE"""),"ITBISA-JACK-DC-005-FEMALE")</f>
        <v>ITBISA-JACK-DC-005-FEMALE</v>
      </c>
      <c r="B6921" s="266">
        <f>IFERROR(__xludf.DUMMYFUNCTION("""COMPUTED_VALUE"""),45611.0)</f>
        <v>45611</v>
      </c>
      <c r="C6921" s="266" t="str">
        <f>IFERROR(__xludf.DUMMYFUNCTION("""COMPUTED_VALUE"""),"KYAI KONTONG")</f>
        <v>KYAI KONTONG</v>
      </c>
      <c r="D6921" s="186">
        <f>IFERROR(__xludf.DUMMYFUNCTION("""COMPUTED_VALUE"""),10.0)</f>
        <v>10</v>
      </c>
    </row>
    <row r="6922">
      <c r="A6922" s="178" t="str">
        <f>IFERROR(__xludf.DUMMYFUNCTION("""COMPUTED_VALUE"""),"ITBISA-JACK-DC-005-FEMALE")</f>
        <v>ITBISA-JACK-DC-005-FEMALE</v>
      </c>
      <c r="B6922" s="266">
        <f>IFERROR(__xludf.DUMMYFUNCTION("""COMPUTED_VALUE"""),45653.0)</f>
        <v>45653</v>
      </c>
      <c r="C6922" s="266" t="str">
        <f>IFERROR(__xludf.DUMMYFUNCTION("""COMPUTED_VALUE"""),"KYAI KONTONG")</f>
        <v>KYAI KONTONG</v>
      </c>
      <c r="D6922" s="186">
        <f>IFERROR(__xludf.DUMMYFUNCTION("""COMPUTED_VALUE"""),4.0)</f>
        <v>4</v>
      </c>
    </row>
    <row r="6923">
      <c r="A6923" s="178" t="str">
        <f>IFERROR(__xludf.DUMMYFUNCTION("""COMPUTED_VALUE"""),"ITBISA-JACK-DC-005-FEMALE")</f>
        <v>ITBISA-JACK-DC-005-FEMALE</v>
      </c>
      <c r="B6923" s="266">
        <f>IFERROR(__xludf.DUMMYFUNCTION("""COMPUTED_VALUE"""),45679.0)</f>
        <v>45679</v>
      </c>
      <c r="C6923" s="266" t="str">
        <f>IFERROR(__xludf.DUMMYFUNCTION("""COMPUTED_VALUE"""),"KYAI KONTONG")</f>
        <v>KYAI KONTONG</v>
      </c>
      <c r="D6923" s="186">
        <f>IFERROR(__xludf.DUMMYFUNCTION("""COMPUTED_VALUE"""),20.0)</f>
        <v>20</v>
      </c>
    </row>
    <row r="6924">
      <c r="A6924" s="178" t="str">
        <f>IFERROR(__xludf.DUMMYFUNCTION("""COMPUTED_VALUE"""),"ITBISA-JACK-DC-005-FEMALE")</f>
        <v>ITBISA-JACK-DC-005-FEMALE</v>
      </c>
      <c r="B6924" s="266">
        <f>IFERROR(__xludf.DUMMYFUNCTION("""COMPUTED_VALUE"""),45697.0)</f>
        <v>45697</v>
      </c>
      <c r="C6924" s="266" t="str">
        <f>IFERROR(__xludf.DUMMYFUNCTION("""COMPUTED_VALUE"""),"KERTASARI CIAMIS")</f>
        <v>KERTASARI CIAMIS</v>
      </c>
      <c r="D6924" s="186">
        <f>IFERROR(__xludf.DUMMYFUNCTION("""COMPUTED_VALUE"""),5.0)</f>
        <v>5</v>
      </c>
    </row>
    <row r="6925">
      <c r="A6925" s="178" t="str">
        <f>IFERROR(__xludf.DUMMYFUNCTION("""COMPUTED_VALUE"""),"ITBISA-JACK-DC-005-FEMALE")</f>
        <v>ITBISA-JACK-DC-005-FEMALE</v>
      </c>
      <c r="B6925" s="266">
        <f>IFERROR(__xludf.DUMMYFUNCTION("""COMPUTED_VALUE"""),45700.0)</f>
        <v>45700</v>
      </c>
      <c r="C6925" s="266" t="str">
        <f>IFERROR(__xludf.DUMMYFUNCTION("""COMPUTED_VALUE"""),"KYAI KONTONG")</f>
        <v>KYAI KONTONG</v>
      </c>
      <c r="D6925" s="186">
        <f>IFERROR(__xludf.DUMMYFUNCTION("""COMPUTED_VALUE"""),10.0)</f>
        <v>10</v>
      </c>
    </row>
    <row r="6926">
      <c r="A6926" s="178" t="str">
        <f>IFERROR(__xludf.DUMMYFUNCTION("""COMPUTED_VALUE"""),"ITBISA-JACK-DC-005-FEMALE")</f>
        <v>ITBISA-JACK-DC-005-FEMALE</v>
      </c>
      <c r="B6926" s="266">
        <f>IFERROR(__xludf.DUMMYFUNCTION("""COMPUTED_VALUE"""),45717.0)</f>
        <v>45717</v>
      </c>
      <c r="C6926" s="266" t="str">
        <f>IFERROR(__xludf.DUMMYFUNCTION("""COMPUTED_VALUE"""),"KYAI KONTONG")</f>
        <v>KYAI KONTONG</v>
      </c>
      <c r="D6926" s="186">
        <f>IFERROR(__xludf.DUMMYFUNCTION("""COMPUTED_VALUE"""),20.0)</f>
        <v>20</v>
      </c>
    </row>
    <row r="6927">
      <c r="A6927" s="178" t="str">
        <f>IFERROR(__xludf.DUMMYFUNCTION("""COMPUTED_VALUE"""),"ITBISA-JACK-DC-005-FEMALE")</f>
        <v>ITBISA-JACK-DC-005-FEMALE</v>
      </c>
      <c r="B6927" s="266">
        <f>IFERROR(__xludf.DUMMYFUNCTION("""COMPUTED_VALUE"""),45724.0)</f>
        <v>45724</v>
      </c>
      <c r="C6927" s="266" t="str">
        <f>IFERROR(__xludf.DUMMYFUNCTION("""COMPUTED_VALUE"""),"KYAI KONTONG")</f>
        <v>KYAI KONTONG</v>
      </c>
      <c r="D6927" s="186">
        <f>IFERROR(__xludf.DUMMYFUNCTION("""COMPUTED_VALUE"""),20.0)</f>
        <v>20</v>
      </c>
    </row>
    <row r="6928">
      <c r="A6928" s="178" t="str">
        <f>IFERROR(__xludf.DUMMYFUNCTION("""COMPUTED_VALUE"""),"ITBISA-JACK-DC-005-FEMALE")</f>
        <v>ITBISA-JACK-DC-005-FEMALE</v>
      </c>
      <c r="B6928" s="266">
        <f>IFERROR(__xludf.DUMMYFUNCTION("""COMPUTED_VALUE"""),45728.0)</f>
        <v>45728</v>
      </c>
      <c r="C6928" s="266" t="str">
        <f>IFERROR(__xludf.DUMMYFUNCTION("""COMPUTED_VALUE"""),"KYAI KONTONG")</f>
        <v>KYAI KONTONG</v>
      </c>
      <c r="D6928" s="186">
        <f>IFERROR(__xludf.DUMMYFUNCTION("""COMPUTED_VALUE"""),20.0)</f>
        <v>20</v>
      </c>
    </row>
    <row r="6929">
      <c r="A6929" s="178" t="str">
        <f>IFERROR(__xludf.DUMMYFUNCTION("""COMPUTED_VALUE"""),"ITBISA-JACK-DC-005-FEMALE")</f>
        <v>ITBISA-JACK-DC-005-FEMALE</v>
      </c>
      <c r="B6929" s="266">
        <f>IFERROR(__xludf.DUMMYFUNCTION("""COMPUTED_VALUE"""),45735.0)</f>
        <v>45735</v>
      </c>
      <c r="C6929" s="266" t="str">
        <f>IFERROR(__xludf.DUMMYFUNCTION("""COMPUTED_VALUE"""),"KYAI KONTONG")</f>
        <v>KYAI KONTONG</v>
      </c>
      <c r="D6929" s="186">
        <f>IFERROR(__xludf.DUMMYFUNCTION("""COMPUTED_VALUE"""),10.0)</f>
        <v>10</v>
      </c>
    </row>
    <row r="6930">
      <c r="A6930" s="178" t="str">
        <f>IFERROR(__xludf.DUMMYFUNCTION("""COMPUTED_VALUE"""),"ITBISA-JACK-DC-005-FEMALE")</f>
        <v>ITBISA-JACK-DC-005-FEMALE</v>
      </c>
      <c r="B6930" s="266">
        <f>IFERROR(__xludf.DUMMYFUNCTION("""COMPUTED_VALUE"""),45785.0)</f>
        <v>45785</v>
      </c>
      <c r="C6930" s="266" t="str">
        <f>IFERROR(__xludf.DUMMYFUNCTION("""COMPUTED_VALUE"""),"KERTASARI CIAMIS")</f>
        <v>KERTASARI CIAMIS</v>
      </c>
      <c r="D6930" s="186">
        <f>IFERROR(__xludf.DUMMYFUNCTION("""COMPUTED_VALUE"""),30.0)</f>
        <v>30</v>
      </c>
    </row>
    <row r="6931">
      <c r="A6931" s="178" t="str">
        <f>IFERROR(__xludf.DUMMYFUNCTION("""COMPUTED_VALUE"""),"ITBISA-JACK-DC-005-FEMALE")</f>
        <v>ITBISA-JACK-DC-005-FEMALE</v>
      </c>
      <c r="B6931" s="266">
        <f>IFERROR(__xludf.DUMMYFUNCTION("""COMPUTED_VALUE"""),45794.0)</f>
        <v>45794</v>
      </c>
      <c r="C6931" s="266" t="str">
        <f>IFERROR(__xludf.DUMMYFUNCTION("""COMPUTED_VALUE"""),"KERTASARI CIAMIS")</f>
        <v>KERTASARI CIAMIS</v>
      </c>
      <c r="D6931" s="186">
        <f>IFERROR(__xludf.DUMMYFUNCTION("""COMPUTED_VALUE"""),30.0)</f>
        <v>30</v>
      </c>
    </row>
    <row r="6932">
      <c r="A6932" s="178" t="str">
        <f>IFERROR(__xludf.DUMMYFUNCTION("""COMPUTED_VALUE"""),"ITBISA-JACK-DC-005-FEMALE")</f>
        <v>ITBISA-JACK-DC-005-FEMALE</v>
      </c>
      <c r="B6932" s="266">
        <f>IFERROR(__xludf.DUMMYFUNCTION("""COMPUTED_VALUE"""),45808.0)</f>
        <v>45808</v>
      </c>
      <c r="C6932" s="266" t="str">
        <f>IFERROR(__xludf.DUMMYFUNCTION("""COMPUTED_VALUE"""),"KERTASARI CIAMIS")</f>
        <v>KERTASARI CIAMIS</v>
      </c>
      <c r="D6932" s="186">
        <f>IFERROR(__xludf.DUMMYFUNCTION("""COMPUTED_VALUE"""),10.0)</f>
        <v>10</v>
      </c>
    </row>
    <row r="6933">
      <c r="A6933" s="178" t="str">
        <f>IFERROR(__xludf.DUMMYFUNCTION("""COMPUTED_VALUE"""),"ITBISA-JACK-DC-005-FEMALE")</f>
        <v>ITBISA-JACK-DC-005-FEMALE</v>
      </c>
      <c r="B6933" s="266">
        <f>IFERROR(__xludf.DUMMYFUNCTION("""COMPUTED_VALUE"""),45846.0)</f>
        <v>45846</v>
      </c>
      <c r="C6933" s="266" t="str">
        <f>IFERROR(__xludf.DUMMYFUNCTION("""COMPUTED_VALUE"""),"KYAI KONTONG")</f>
        <v>KYAI KONTONG</v>
      </c>
      <c r="D6933" s="186">
        <f>IFERROR(__xludf.DUMMYFUNCTION("""COMPUTED_VALUE"""),1.0)</f>
        <v>1</v>
      </c>
    </row>
    <row r="6934">
      <c r="A6934" s="178" t="str">
        <f>IFERROR(__xludf.DUMMYFUNCTION("""COMPUTED_VALUE"""),"ITBISA-JACK-DC-005-FEMALE")</f>
        <v>ITBISA-JACK-DC-005-FEMALE</v>
      </c>
      <c r="B6934" s="266">
        <f>IFERROR(__xludf.DUMMYFUNCTION("""COMPUTED_VALUE"""),45855.0)</f>
        <v>45855</v>
      </c>
      <c r="C6934" s="266" t="str">
        <f>IFERROR(__xludf.DUMMYFUNCTION("""COMPUTED_VALUE"""),"KYAI KONTONG")</f>
        <v>KYAI KONTONG</v>
      </c>
      <c r="D6934" s="186">
        <f>IFERROR(__xludf.DUMMYFUNCTION("""COMPUTED_VALUE"""),5.0)</f>
        <v>5</v>
      </c>
    </row>
    <row r="6935">
      <c r="A6935" s="178" t="str">
        <f>IFERROR(__xludf.DUMMYFUNCTION("""COMPUTED_VALUE"""),"ITBISA-JACK-DC-005-FEMALE")</f>
        <v>ITBISA-JACK-DC-005-FEMALE</v>
      </c>
      <c r="B6935" s="266">
        <f>IFERROR(__xludf.DUMMYFUNCTION("""COMPUTED_VALUE"""),45877.0)</f>
        <v>45877</v>
      </c>
      <c r="C6935" s="266" t="str">
        <f>IFERROR(__xludf.DUMMYFUNCTION("""COMPUTED_VALUE"""),"KYAI KONTONG")</f>
        <v>KYAI KONTONG</v>
      </c>
      <c r="D6935" s="186">
        <f>IFERROR(__xludf.DUMMYFUNCTION("""COMPUTED_VALUE"""),6.0)</f>
        <v>6</v>
      </c>
    </row>
    <row r="6936">
      <c r="A6936" s="178" t="str">
        <f>IFERROR(__xludf.DUMMYFUNCTION("""COMPUTED_VALUE"""),"ITBISA-JACK-DC-005-FEMALE")</f>
        <v>ITBISA-JACK-DC-005-FEMALE</v>
      </c>
      <c r="B6936" s="266">
        <f>IFERROR(__xludf.DUMMYFUNCTION("""COMPUTED_VALUE"""),45903.0)</f>
        <v>45903</v>
      </c>
      <c r="C6936" s="266" t="str">
        <f>IFERROR(__xludf.DUMMYFUNCTION("""COMPUTED_VALUE"""),"KYAI KONTONG")</f>
        <v>KYAI KONTONG</v>
      </c>
      <c r="D6936" s="186">
        <f>IFERROR(__xludf.DUMMYFUNCTION("""COMPUTED_VALUE"""),20.0)</f>
        <v>20</v>
      </c>
    </row>
    <row r="6937">
      <c r="A6937" s="178" t="str">
        <f>IFERROR(__xludf.DUMMYFUNCTION("""COMPUTED_VALUE"""),"ITBISA-JACK-DC-005-FEMALE")</f>
        <v>ITBISA-JACK-DC-005-FEMALE</v>
      </c>
      <c r="B6937" s="266">
        <f>IFERROR(__xludf.DUMMYFUNCTION("""COMPUTED_VALUE"""),45932.0)</f>
        <v>45932</v>
      </c>
      <c r="C6937" s="266" t="str">
        <f>IFERROR(__xludf.DUMMYFUNCTION("""COMPUTED_VALUE"""),"KYAI KONTONG")</f>
        <v>KYAI KONTONG</v>
      </c>
      <c r="D6937" s="186">
        <f>IFERROR(__xludf.DUMMYFUNCTION("""COMPUTED_VALUE"""),1.0)</f>
        <v>1</v>
      </c>
    </row>
    <row r="6938">
      <c r="A6938" s="178" t="str">
        <f>IFERROR(__xludf.DUMMYFUNCTION("""COMPUTED_VALUE"""),"ITBISA-JACK-DC-005-FEMALE")</f>
        <v>ITBISA-JACK-DC-005-FEMALE</v>
      </c>
      <c r="B6938" s="266">
        <f>IFERROR(__xludf.DUMMYFUNCTION("""COMPUTED_VALUE"""),45944.0)</f>
        <v>45944</v>
      </c>
      <c r="C6938" s="266" t="str">
        <f>IFERROR(__xludf.DUMMYFUNCTION("""COMPUTED_VALUE"""),"KERTASARI CIAMIS")</f>
        <v>KERTASARI CIAMIS</v>
      </c>
      <c r="D6938" s="186">
        <f>IFERROR(__xludf.DUMMYFUNCTION("""COMPUTED_VALUE"""),25.0)</f>
        <v>25</v>
      </c>
    </row>
    <row r="6939">
      <c r="A6939" s="178" t="str">
        <f>IFERROR(__xludf.DUMMYFUNCTION("""COMPUTED_VALUE"""),"ITBISA-JACK-DC-005-FEMALE")</f>
        <v>ITBISA-JACK-DC-005-FEMALE</v>
      </c>
      <c r="B6939" s="266">
        <f>IFERROR(__xludf.DUMMYFUNCTION("""COMPUTED_VALUE"""),45953.0)</f>
        <v>45953</v>
      </c>
      <c r="C6939" s="266" t="str">
        <f>IFERROR(__xludf.DUMMYFUNCTION("""COMPUTED_VALUE"""),"KERTASARI CIAMIS")</f>
        <v>KERTASARI CIAMIS</v>
      </c>
      <c r="D6939" s="186">
        <f>IFERROR(__xludf.DUMMYFUNCTION("""COMPUTED_VALUE"""),2.0)</f>
        <v>2</v>
      </c>
    </row>
    <row r="6940">
      <c r="A6940" s="178" t="str">
        <f>IFERROR(__xludf.DUMMYFUNCTION("""COMPUTED_VALUE"""),"ITBISA-JACK-DC-005-FEMALE")</f>
        <v>ITBISA-JACK-DC-005-FEMALE</v>
      </c>
      <c r="B6940" s="266">
        <f>IFERROR(__xludf.DUMMYFUNCTION("""COMPUTED_VALUE"""),45955.0)</f>
        <v>45955</v>
      </c>
      <c r="C6940" s="266" t="str">
        <f>IFERROR(__xludf.DUMMYFUNCTION("""COMPUTED_VALUE"""),"KYAI KONTONG")</f>
        <v>KYAI KONTONG</v>
      </c>
      <c r="D6940" s="186">
        <f>IFERROR(__xludf.DUMMYFUNCTION("""COMPUTED_VALUE"""),4.0)</f>
        <v>4</v>
      </c>
    </row>
    <row r="6941">
      <c r="A6941" s="178" t="str">
        <f>IFERROR(__xludf.DUMMYFUNCTION("""COMPUTED_VALUE"""),"ITBISA-JACK-DC-005-FEMALE")</f>
        <v>ITBISA-JACK-DC-005-FEMALE</v>
      </c>
      <c r="B6941" s="266">
        <f>IFERROR(__xludf.DUMMYFUNCTION("""COMPUTED_VALUE"""),45956.0)</f>
        <v>45956</v>
      </c>
      <c r="C6941" s="266" t="str">
        <f>IFERROR(__xludf.DUMMYFUNCTION("""COMPUTED_VALUE"""),"KYAI KONTONG")</f>
        <v>KYAI KONTONG</v>
      </c>
      <c r="D6941" s="186">
        <f>IFERROR(__xludf.DUMMYFUNCTION("""COMPUTED_VALUE"""),3.0)</f>
        <v>3</v>
      </c>
    </row>
    <row r="6942">
      <c r="A6942" s="178" t="str">
        <f>IFERROR(__xludf.DUMMYFUNCTION("""COMPUTED_VALUE"""),"ITBISA-JACK-DC-005-FEMALE")</f>
        <v>ITBISA-JACK-DC-005-FEMALE</v>
      </c>
      <c r="B6942" s="266">
        <f>IFERROR(__xludf.DUMMYFUNCTION("""COMPUTED_VALUE"""),45957.0)</f>
        <v>45957</v>
      </c>
      <c r="C6942" s="266" t="str">
        <f>IFERROR(__xludf.DUMMYFUNCTION("""COMPUTED_VALUE"""),"KYAI KONTONG")</f>
        <v>KYAI KONTONG</v>
      </c>
      <c r="D6942" s="186">
        <f>IFERROR(__xludf.DUMMYFUNCTION("""COMPUTED_VALUE"""),10.0)</f>
        <v>10</v>
      </c>
    </row>
    <row r="6943">
      <c r="A6943" s="178" t="str">
        <f>IFERROR(__xludf.DUMMYFUNCTION("""COMPUTED_VALUE"""),"ITBISA-JACK-DC-005-FEMALE")</f>
        <v>ITBISA-JACK-DC-005-FEMALE</v>
      </c>
      <c r="B6943" s="266">
        <f>IFERROR(__xludf.DUMMYFUNCTION("""COMPUTED_VALUE"""),45959.0)</f>
        <v>45959</v>
      </c>
      <c r="C6943" s="266" t="str">
        <f>IFERROR(__xludf.DUMMYFUNCTION("""COMPUTED_VALUE"""),"KYAI KONTONG")</f>
        <v>KYAI KONTONG</v>
      </c>
      <c r="D6943" s="186">
        <f>IFERROR(__xludf.DUMMYFUNCTION("""COMPUTED_VALUE"""),10.0)</f>
        <v>10</v>
      </c>
    </row>
    <row r="6944">
      <c r="A6944" s="178" t="str">
        <f>IFERROR(__xludf.DUMMYFUNCTION("""COMPUTED_VALUE"""),"ITBISA-JACK-DC-005-FEMALE")</f>
        <v>ITBISA-JACK-DC-005-FEMALE</v>
      </c>
      <c r="B6944" s="266">
        <f>IFERROR(__xludf.DUMMYFUNCTION("""COMPUTED_VALUE"""),45960.0)</f>
        <v>45960</v>
      </c>
      <c r="C6944" s="266" t="str">
        <f>IFERROR(__xludf.DUMMYFUNCTION("""COMPUTED_VALUE"""),"KYAI KONTONG")</f>
        <v>KYAI KONTONG</v>
      </c>
      <c r="D6944" s="186">
        <f>IFERROR(__xludf.DUMMYFUNCTION("""COMPUTED_VALUE"""),2.0)</f>
        <v>2</v>
      </c>
    </row>
    <row r="6945">
      <c r="A6945" s="178" t="str">
        <f>IFERROR(__xludf.DUMMYFUNCTION("""COMPUTED_VALUE"""),"ITBISA-JACK-DC-005-FEMALE")</f>
        <v>ITBISA-JACK-DC-005-FEMALE</v>
      </c>
      <c r="B6945" s="266">
        <f>IFERROR(__xludf.DUMMYFUNCTION("""COMPUTED_VALUE"""),45961.0)</f>
        <v>45961</v>
      </c>
      <c r="C6945" s="266" t="str">
        <f>IFERROR(__xludf.DUMMYFUNCTION("""COMPUTED_VALUE"""),"KERTASARI CIAMIS")</f>
        <v>KERTASARI CIAMIS</v>
      </c>
      <c r="D6945" s="186">
        <f>IFERROR(__xludf.DUMMYFUNCTION("""COMPUTED_VALUE"""),4.0)</f>
        <v>4</v>
      </c>
    </row>
    <row r="6946">
      <c r="A6946" s="178" t="str">
        <f>IFERROR(__xludf.DUMMYFUNCTION("""COMPUTED_VALUE"""),"ITBISA-JACK-DC-005-FEMALE")</f>
        <v>ITBISA-JACK-DC-005-FEMALE</v>
      </c>
      <c r="B6946" s="266">
        <f>IFERROR(__xludf.DUMMYFUNCTION("""COMPUTED_VALUE"""),45961.0)</f>
        <v>45961</v>
      </c>
      <c r="C6946" s="266" t="str">
        <f>IFERROR(__xludf.DUMMYFUNCTION("""COMPUTED_VALUE"""),"KYAI KONTONG")</f>
        <v>KYAI KONTONG</v>
      </c>
      <c r="D6946" s="186">
        <f>IFERROR(__xludf.DUMMYFUNCTION("""COMPUTED_VALUE"""),50.0)</f>
        <v>50</v>
      </c>
    </row>
    <row r="6947">
      <c r="A6947" s="178" t="str">
        <f>IFERROR(__xludf.DUMMYFUNCTION("""COMPUTED_VALUE"""),"ITBISA-JACK-DC-005-FEMALE")</f>
        <v>ITBISA-JACK-DC-005-FEMALE</v>
      </c>
      <c r="B6947" s="266">
        <f>IFERROR(__xludf.DUMMYFUNCTION("""COMPUTED_VALUE"""),45963.0)</f>
        <v>45963</v>
      </c>
      <c r="C6947" s="266" t="str">
        <f>IFERROR(__xludf.DUMMYFUNCTION("""COMPUTED_VALUE"""),"KYAI KONTONG")</f>
        <v>KYAI KONTONG</v>
      </c>
      <c r="D6947" s="186">
        <f>IFERROR(__xludf.DUMMYFUNCTION("""COMPUTED_VALUE"""),1.0)</f>
        <v>1</v>
      </c>
    </row>
    <row r="6948">
      <c r="A6948" s="178" t="str">
        <f>IFERROR(__xludf.DUMMYFUNCTION("""COMPUTED_VALUE"""),"ITBISA-JACK-DC-005-FEMALE")</f>
        <v>ITBISA-JACK-DC-005-FEMALE</v>
      </c>
      <c r="B6948" s="266">
        <f>IFERROR(__xludf.DUMMYFUNCTION("""COMPUTED_VALUE"""),45964.0)</f>
        <v>45964</v>
      </c>
      <c r="C6948" s="266" t="str">
        <f>IFERROR(__xludf.DUMMYFUNCTION("""COMPUTED_VALUE"""),"KYAI KONTONG")</f>
        <v>KYAI KONTONG</v>
      </c>
      <c r="D6948" s="186">
        <f>IFERROR(__xludf.DUMMYFUNCTION("""COMPUTED_VALUE"""),1.0)</f>
        <v>1</v>
      </c>
    </row>
    <row r="6949">
      <c r="A6949" s="178" t="str">
        <f>IFERROR(__xludf.DUMMYFUNCTION("""COMPUTED_VALUE"""),"ITBISA-JACK-DC-005-FEMALE")</f>
        <v>ITBISA-JACK-DC-005-FEMALE</v>
      </c>
      <c r="B6949" s="266">
        <f>IFERROR(__xludf.DUMMYFUNCTION("""COMPUTED_VALUE"""),45964.0)</f>
        <v>45964</v>
      </c>
      <c r="C6949" s="266" t="str">
        <f>IFERROR(__xludf.DUMMYFUNCTION("""COMPUTED_VALUE"""),"KYAI KONTONG")</f>
        <v>KYAI KONTONG</v>
      </c>
      <c r="D6949" s="186">
        <f>IFERROR(__xludf.DUMMYFUNCTION("""COMPUTED_VALUE"""),20.0)</f>
        <v>20</v>
      </c>
    </row>
    <row r="6950">
      <c r="A6950" s="178" t="str">
        <f>IFERROR(__xludf.DUMMYFUNCTION("""COMPUTED_VALUE"""),"ITBISA-JACK-DC-005-FEMALE")</f>
        <v>ITBISA-JACK-DC-005-FEMALE</v>
      </c>
      <c r="B6950" s="266">
        <f>IFERROR(__xludf.DUMMYFUNCTION("""COMPUTED_VALUE"""),45967.0)</f>
        <v>45967</v>
      </c>
      <c r="C6950" s="266" t="str">
        <f>IFERROR(__xludf.DUMMYFUNCTION("""COMPUTED_VALUE"""),"KYAI KONTONG")</f>
        <v>KYAI KONTONG</v>
      </c>
      <c r="D6950" s="186">
        <f>IFERROR(__xludf.DUMMYFUNCTION("""COMPUTED_VALUE"""),1.0)</f>
        <v>1</v>
      </c>
    </row>
    <row r="6951">
      <c r="A6951" s="178" t="str">
        <f>IFERROR(__xludf.DUMMYFUNCTION("""COMPUTED_VALUE"""),"ITBISA-JACK-DC-005-FEMALE")</f>
        <v>ITBISA-JACK-DC-005-FEMALE</v>
      </c>
      <c r="B6951" s="266">
        <f>IFERROR(__xludf.DUMMYFUNCTION("""COMPUTED_VALUE"""),45967.0)</f>
        <v>45967</v>
      </c>
      <c r="C6951" s="266" t="str">
        <f>IFERROR(__xludf.DUMMYFUNCTION("""COMPUTED_VALUE"""),"KYAI KONTONG")</f>
        <v>KYAI KONTONG</v>
      </c>
      <c r="D6951" s="186">
        <f>IFERROR(__xludf.DUMMYFUNCTION("""COMPUTED_VALUE"""),3.0)</f>
        <v>3</v>
      </c>
    </row>
    <row r="6952">
      <c r="A6952" s="178" t="str">
        <f>IFERROR(__xludf.DUMMYFUNCTION("""COMPUTED_VALUE"""),"ITBISA-JACK-DC-005-FEMALE")</f>
        <v>ITBISA-JACK-DC-005-FEMALE</v>
      </c>
      <c r="B6952" s="266">
        <f>IFERROR(__xludf.DUMMYFUNCTION("""COMPUTED_VALUE"""),45968.0)</f>
        <v>45968</v>
      </c>
      <c r="C6952" s="266" t="str">
        <f>IFERROR(__xludf.DUMMYFUNCTION("""COMPUTED_VALUE"""),"KYAI KONTONG")</f>
        <v>KYAI KONTONG</v>
      </c>
      <c r="D6952" s="186">
        <f>IFERROR(__xludf.DUMMYFUNCTION("""COMPUTED_VALUE"""),1.0)</f>
        <v>1</v>
      </c>
    </row>
    <row r="6953">
      <c r="A6953" s="178" t="str">
        <f>IFERROR(__xludf.DUMMYFUNCTION("""COMPUTED_VALUE"""),"ITBISA-JACK-DC-005-FEMALE")</f>
        <v>ITBISA-JACK-DC-005-FEMALE</v>
      </c>
      <c r="B6953" s="266">
        <f>IFERROR(__xludf.DUMMYFUNCTION("""COMPUTED_VALUE"""),45969.0)</f>
        <v>45969</v>
      </c>
      <c r="C6953" s="266" t="str">
        <f>IFERROR(__xludf.DUMMYFUNCTION("""COMPUTED_VALUE"""),"KYAI KONTONG")</f>
        <v>KYAI KONTONG</v>
      </c>
      <c r="D6953" s="186">
        <f>IFERROR(__xludf.DUMMYFUNCTION("""COMPUTED_VALUE"""),2.0)</f>
        <v>2</v>
      </c>
    </row>
    <row r="6954">
      <c r="A6954" s="178" t="str">
        <f>IFERROR(__xludf.DUMMYFUNCTION("""COMPUTED_VALUE"""),"ITBISA-JACK-DC-005-FEMALE")</f>
        <v>ITBISA-JACK-DC-005-FEMALE</v>
      </c>
      <c r="B6954" s="266">
        <f>IFERROR(__xludf.DUMMYFUNCTION("""COMPUTED_VALUE"""),45970.0)</f>
        <v>45970</v>
      </c>
      <c r="C6954" s="266" t="str">
        <f>IFERROR(__xludf.DUMMYFUNCTION("""COMPUTED_VALUE"""),"KYAI KONTONG")</f>
        <v>KYAI KONTONG</v>
      </c>
      <c r="D6954" s="186">
        <f>IFERROR(__xludf.DUMMYFUNCTION("""COMPUTED_VALUE"""),4.0)</f>
        <v>4</v>
      </c>
    </row>
    <row r="6955">
      <c r="A6955" s="178" t="str">
        <f>IFERROR(__xludf.DUMMYFUNCTION("""COMPUTED_VALUE"""),"ITBISA-JACK-DC-005-FEMALE")</f>
        <v>ITBISA-JACK-DC-005-FEMALE</v>
      </c>
      <c r="B6955" s="266">
        <f>IFERROR(__xludf.DUMMYFUNCTION("""COMPUTED_VALUE"""),45970.0)</f>
        <v>45970</v>
      </c>
      <c r="C6955" s="266" t="str">
        <f>IFERROR(__xludf.DUMMYFUNCTION("""COMPUTED_VALUE"""),"KYAI KONTONG")</f>
        <v>KYAI KONTONG</v>
      </c>
      <c r="D6955" s="186">
        <f>IFERROR(__xludf.DUMMYFUNCTION("""COMPUTED_VALUE"""),20.0)</f>
        <v>20</v>
      </c>
    </row>
    <row r="6956">
      <c r="A6956" s="178" t="str">
        <f>IFERROR(__xludf.DUMMYFUNCTION("""COMPUTED_VALUE"""),"ITBISA-JACK-DC-005-FEMALE")</f>
        <v>ITBISA-JACK-DC-005-FEMALE</v>
      </c>
      <c r="B6956" s="266">
        <f>IFERROR(__xludf.DUMMYFUNCTION("""COMPUTED_VALUE"""),45971.0)</f>
        <v>45971</v>
      </c>
      <c r="C6956" s="266" t="str">
        <f>IFERROR(__xludf.DUMMYFUNCTION("""COMPUTED_VALUE"""),"KYAI KONTONG")</f>
        <v>KYAI KONTONG</v>
      </c>
      <c r="D6956" s="186">
        <f>IFERROR(__xludf.DUMMYFUNCTION("""COMPUTED_VALUE"""),2.0)</f>
        <v>2</v>
      </c>
    </row>
    <row r="6957">
      <c r="A6957" s="178" t="str">
        <f>IFERROR(__xludf.DUMMYFUNCTION("""COMPUTED_VALUE"""),"ITBISA-JACK-DC-005-FEMALE")</f>
        <v>ITBISA-JACK-DC-005-FEMALE</v>
      </c>
      <c r="B6957" s="266">
        <f>IFERROR(__xludf.DUMMYFUNCTION("""COMPUTED_VALUE"""),45972.0)</f>
        <v>45972</v>
      </c>
      <c r="C6957" s="266" t="str">
        <f>IFERROR(__xludf.DUMMYFUNCTION("""COMPUTED_VALUE"""),"KERTASARI CIAMIS")</f>
        <v>KERTASARI CIAMIS</v>
      </c>
      <c r="D6957" s="186">
        <f>IFERROR(__xludf.DUMMYFUNCTION("""COMPUTED_VALUE"""),4.0)</f>
        <v>4</v>
      </c>
    </row>
    <row r="6958">
      <c r="A6958" s="178" t="str">
        <f>IFERROR(__xludf.DUMMYFUNCTION("""COMPUTED_VALUE"""),"ITBISA-JACK-DC-005-FEMALE")</f>
        <v>ITBISA-JACK-DC-005-FEMALE</v>
      </c>
      <c r="B6958" s="266">
        <f>IFERROR(__xludf.DUMMYFUNCTION("""COMPUTED_VALUE"""),45972.0)</f>
        <v>45972</v>
      </c>
      <c r="C6958" s="266" t="str">
        <f>IFERROR(__xludf.DUMMYFUNCTION("""COMPUTED_VALUE"""),"KERTASARI CIAMIS")</f>
        <v>KERTASARI CIAMIS</v>
      </c>
      <c r="D6958" s="186">
        <f>IFERROR(__xludf.DUMMYFUNCTION("""COMPUTED_VALUE"""),56.0)</f>
        <v>56</v>
      </c>
    </row>
    <row r="6959">
      <c r="A6959" s="178" t="str">
        <f>IFERROR(__xludf.DUMMYFUNCTION("""COMPUTED_VALUE"""),"ITBISA-JACK-DC-005-FEMALE")</f>
        <v>ITBISA-JACK-DC-005-FEMALE</v>
      </c>
      <c r="B6959" s="266">
        <f>IFERROR(__xludf.DUMMYFUNCTION("""COMPUTED_VALUE"""),45972.0)</f>
        <v>45972</v>
      </c>
      <c r="C6959" s="266" t="str">
        <f>IFERROR(__xludf.DUMMYFUNCTION("""COMPUTED_VALUE"""),"KYAI KONTONG")</f>
        <v>KYAI KONTONG</v>
      </c>
      <c r="D6959" s="186">
        <f>IFERROR(__xludf.DUMMYFUNCTION("""COMPUTED_VALUE"""),15.0)</f>
        <v>15</v>
      </c>
    </row>
    <row r="6960">
      <c r="A6960" s="178" t="str">
        <f>IFERROR(__xludf.DUMMYFUNCTION("""COMPUTED_VALUE"""),"ITBISA-JACK-DC-005-FEMALE")</f>
        <v>ITBISA-JACK-DC-005-FEMALE</v>
      </c>
      <c r="B6960" s="266">
        <f>IFERROR(__xludf.DUMMYFUNCTION("""COMPUTED_VALUE"""),45973.0)</f>
        <v>45973</v>
      </c>
      <c r="C6960" s="266" t="str">
        <f>IFERROR(__xludf.DUMMYFUNCTION("""COMPUTED_VALUE"""),"KERTASARI CIAMIS")</f>
        <v>KERTASARI CIAMIS</v>
      </c>
      <c r="D6960" s="186">
        <f>IFERROR(__xludf.DUMMYFUNCTION("""COMPUTED_VALUE"""),3.0)</f>
        <v>3</v>
      </c>
    </row>
    <row r="6961">
      <c r="A6961" s="178" t="str">
        <f>IFERROR(__xludf.DUMMYFUNCTION("""COMPUTED_VALUE"""),"ITBISA-JACK-DC-005-FEMALE")</f>
        <v>ITBISA-JACK-DC-005-FEMALE</v>
      </c>
      <c r="B6961" s="266">
        <f>IFERROR(__xludf.DUMMYFUNCTION("""COMPUTED_VALUE"""),45973.0)</f>
        <v>45973</v>
      </c>
      <c r="C6961" s="266" t="str">
        <f>IFERROR(__xludf.DUMMYFUNCTION("""COMPUTED_VALUE"""),"KERTASARI CIAMIS")</f>
        <v>KERTASARI CIAMIS</v>
      </c>
      <c r="D6961" s="186">
        <f>IFERROR(__xludf.DUMMYFUNCTION("""COMPUTED_VALUE"""),6.0)</f>
        <v>6</v>
      </c>
    </row>
    <row r="6962">
      <c r="A6962" s="178" t="str">
        <f>IFERROR(__xludf.DUMMYFUNCTION("""COMPUTED_VALUE"""),"ITBISA-JACK-DC-005-FEMALE")</f>
        <v>ITBISA-JACK-DC-005-FEMALE</v>
      </c>
      <c r="B6962" s="266">
        <f>IFERROR(__xludf.DUMMYFUNCTION("""COMPUTED_VALUE"""),45973.0)</f>
        <v>45973</v>
      </c>
      <c r="C6962" s="266" t="str">
        <f>IFERROR(__xludf.DUMMYFUNCTION("""COMPUTED_VALUE"""),"KYAI KONTONG")</f>
        <v>KYAI KONTONG</v>
      </c>
      <c r="D6962" s="186">
        <f>IFERROR(__xludf.DUMMYFUNCTION("""COMPUTED_VALUE"""),20.0)</f>
        <v>20</v>
      </c>
    </row>
    <row r="6963">
      <c r="A6963" s="178" t="str">
        <f>IFERROR(__xludf.DUMMYFUNCTION("""COMPUTED_VALUE"""),"ITBISA-JACK-DC-005-FEMALE")</f>
        <v>ITBISA-JACK-DC-005-FEMALE</v>
      </c>
      <c r="B6963" s="266">
        <f>IFERROR(__xludf.DUMMYFUNCTION("""COMPUTED_VALUE"""),45974.0)</f>
        <v>45974</v>
      </c>
      <c r="C6963" s="266" t="str">
        <f>IFERROR(__xludf.DUMMYFUNCTION("""COMPUTED_VALUE"""),"KERTASARI CIAMIS")</f>
        <v>KERTASARI CIAMIS</v>
      </c>
      <c r="D6963" s="186">
        <f>IFERROR(__xludf.DUMMYFUNCTION("""COMPUTED_VALUE"""),50.0)</f>
        <v>50</v>
      </c>
    </row>
    <row r="6964">
      <c r="A6964" s="178" t="str">
        <f>IFERROR(__xludf.DUMMYFUNCTION("""COMPUTED_VALUE"""),"ITBISA-JACK-DC-005-FEMALE")</f>
        <v>ITBISA-JACK-DC-005-FEMALE</v>
      </c>
      <c r="B6964" s="266">
        <f>IFERROR(__xludf.DUMMYFUNCTION("""COMPUTED_VALUE"""),45974.0)</f>
        <v>45974</v>
      </c>
      <c r="C6964" s="266" t="str">
        <f>IFERROR(__xludf.DUMMYFUNCTION("""COMPUTED_VALUE"""),"KYAI KONTONG")</f>
        <v>KYAI KONTONG</v>
      </c>
      <c r="D6964" s="186">
        <f>IFERROR(__xludf.DUMMYFUNCTION("""COMPUTED_VALUE"""),2.0)</f>
        <v>2</v>
      </c>
    </row>
    <row r="6965">
      <c r="A6965" s="178" t="str">
        <f>IFERROR(__xludf.DUMMYFUNCTION("""COMPUTED_VALUE"""),"ITBISA-JACK-DC-005-FEMALE")</f>
        <v>ITBISA-JACK-DC-005-FEMALE</v>
      </c>
      <c r="B6965" s="266">
        <f>IFERROR(__xludf.DUMMYFUNCTION("""COMPUTED_VALUE"""),45975.0)</f>
        <v>45975</v>
      </c>
      <c r="C6965" s="266" t="str">
        <f>IFERROR(__xludf.DUMMYFUNCTION("""COMPUTED_VALUE"""),"KYAI KONTONG")</f>
        <v>KYAI KONTONG</v>
      </c>
      <c r="D6965" s="186">
        <f>IFERROR(__xludf.DUMMYFUNCTION("""COMPUTED_VALUE"""),20.0)</f>
        <v>20</v>
      </c>
    </row>
    <row r="6966">
      <c r="A6966" s="178" t="str">
        <f>IFERROR(__xludf.DUMMYFUNCTION("""COMPUTED_VALUE"""),"ITBISA-JACK-DC-005-FEMALE")</f>
        <v>ITBISA-JACK-DC-005-FEMALE</v>
      </c>
      <c r="B6966" s="266">
        <f>IFERROR(__xludf.DUMMYFUNCTION("""COMPUTED_VALUE"""),45979.0)</f>
        <v>45979</v>
      </c>
      <c r="C6966" s="266" t="str">
        <f>IFERROR(__xludf.DUMMYFUNCTION("""COMPUTED_VALUE"""),"KYAI KONTONG")</f>
        <v>KYAI KONTONG</v>
      </c>
      <c r="D6966" s="186">
        <f>IFERROR(__xludf.DUMMYFUNCTION("""COMPUTED_VALUE"""),1.0)</f>
        <v>1</v>
      </c>
    </row>
    <row r="6967">
      <c r="A6967" s="178" t="str">
        <f>IFERROR(__xludf.DUMMYFUNCTION("""COMPUTED_VALUE"""),"ITBISA-JACK-DC-005-FEMALE")</f>
        <v>ITBISA-JACK-DC-005-FEMALE</v>
      </c>
      <c r="B6967" s="266">
        <f>IFERROR(__xludf.DUMMYFUNCTION("""COMPUTED_VALUE"""),45979.0)</f>
        <v>45979</v>
      </c>
      <c r="C6967" s="266" t="str">
        <f>IFERROR(__xludf.DUMMYFUNCTION("""COMPUTED_VALUE"""),"KYAI KONTONG")</f>
        <v>KYAI KONTONG</v>
      </c>
      <c r="D6967" s="186">
        <f>IFERROR(__xludf.DUMMYFUNCTION("""COMPUTED_VALUE"""),4.0)</f>
        <v>4</v>
      </c>
    </row>
    <row r="6968">
      <c r="A6968" s="178" t="str">
        <f>IFERROR(__xludf.DUMMYFUNCTION("""COMPUTED_VALUE"""),"ITBISA-JACK-DC-005-FEMALE")</f>
        <v>ITBISA-JACK-DC-005-FEMALE</v>
      </c>
      <c r="B6968" s="266">
        <f>IFERROR(__xludf.DUMMYFUNCTION("""COMPUTED_VALUE"""),45979.0)</f>
        <v>45979</v>
      </c>
      <c r="C6968" s="266" t="str">
        <f>IFERROR(__xludf.DUMMYFUNCTION("""COMPUTED_VALUE"""),"KYAI KONTONG")</f>
        <v>KYAI KONTONG</v>
      </c>
      <c r="D6968" s="186">
        <f>IFERROR(__xludf.DUMMYFUNCTION("""COMPUTED_VALUE"""),5.0)</f>
        <v>5</v>
      </c>
    </row>
    <row r="6969">
      <c r="A6969" s="178" t="str">
        <f>IFERROR(__xludf.DUMMYFUNCTION("""COMPUTED_VALUE"""),"ITBISA-JACK-DC-005-FEMALE")</f>
        <v>ITBISA-JACK-DC-005-FEMALE</v>
      </c>
      <c r="B6969" s="266">
        <f>IFERROR(__xludf.DUMMYFUNCTION("""COMPUTED_VALUE"""),45979.0)</f>
        <v>45979</v>
      </c>
      <c r="C6969" s="266" t="str">
        <f>IFERROR(__xludf.DUMMYFUNCTION("""COMPUTED_VALUE"""),"KYAI KONTONG")</f>
        <v>KYAI KONTONG</v>
      </c>
      <c r="D6969" s="186">
        <f>IFERROR(__xludf.DUMMYFUNCTION("""COMPUTED_VALUE"""),12.0)</f>
        <v>12</v>
      </c>
    </row>
    <row r="6970">
      <c r="A6970" s="178" t="str">
        <f>IFERROR(__xludf.DUMMYFUNCTION("""COMPUTED_VALUE"""),"ITBISA-JACK-DC-005-FEMALE")</f>
        <v>ITBISA-JACK-DC-005-FEMALE</v>
      </c>
      <c r="B6970" s="266">
        <f>IFERROR(__xludf.DUMMYFUNCTION("""COMPUTED_VALUE"""),45980.0)</f>
        <v>45980</v>
      </c>
      <c r="C6970" s="266" t="str">
        <f>IFERROR(__xludf.DUMMYFUNCTION("""COMPUTED_VALUE"""),"KERTASARI CIAMIS")</f>
        <v>KERTASARI CIAMIS</v>
      </c>
      <c r="D6970" s="186">
        <f>IFERROR(__xludf.DUMMYFUNCTION("""COMPUTED_VALUE"""),5.0)</f>
        <v>5</v>
      </c>
    </row>
    <row r="6971">
      <c r="A6971" s="178" t="str">
        <f>IFERROR(__xludf.DUMMYFUNCTION("""COMPUTED_VALUE"""),"ITBISA-JACK-DC-005-FEMALE")</f>
        <v>ITBISA-JACK-DC-005-FEMALE</v>
      </c>
      <c r="B6971" s="266">
        <f>IFERROR(__xludf.DUMMYFUNCTION("""COMPUTED_VALUE"""),45981.0)</f>
        <v>45981</v>
      </c>
      <c r="C6971" s="266" t="str">
        <f>IFERROR(__xludf.DUMMYFUNCTION("""COMPUTED_VALUE"""),"KERTASARI CIAMIS")</f>
        <v>KERTASARI CIAMIS</v>
      </c>
      <c r="D6971" s="186">
        <f>IFERROR(__xludf.DUMMYFUNCTION("""COMPUTED_VALUE"""),1.0)</f>
        <v>1</v>
      </c>
    </row>
    <row r="6972">
      <c r="A6972" s="178" t="str">
        <f>IFERROR(__xludf.DUMMYFUNCTION("""COMPUTED_VALUE"""),"ITBISA-JACK-DC-005-FEMALE")</f>
        <v>ITBISA-JACK-DC-005-FEMALE</v>
      </c>
      <c r="B6972" s="266">
        <f>IFERROR(__xludf.DUMMYFUNCTION("""COMPUTED_VALUE"""),45981.0)</f>
        <v>45981</v>
      </c>
      <c r="C6972" s="266" t="str">
        <f>IFERROR(__xludf.DUMMYFUNCTION("""COMPUTED_VALUE"""),"KERTASARI CIAMIS")</f>
        <v>KERTASARI CIAMIS</v>
      </c>
      <c r="D6972" s="186">
        <f>IFERROR(__xludf.DUMMYFUNCTION("""COMPUTED_VALUE"""),10.0)</f>
        <v>10</v>
      </c>
    </row>
    <row r="6973">
      <c r="A6973" s="178" t="str">
        <f>IFERROR(__xludf.DUMMYFUNCTION("""COMPUTED_VALUE"""),"ITBISA-JACK-DC-005-FEMALE")</f>
        <v>ITBISA-JACK-DC-005-FEMALE</v>
      </c>
      <c r="B6973" s="266">
        <f>IFERROR(__xludf.DUMMYFUNCTION("""COMPUTED_VALUE"""),45985.0)</f>
        <v>45985</v>
      </c>
      <c r="C6973" s="266" t="str">
        <f>IFERROR(__xludf.DUMMYFUNCTION("""COMPUTED_VALUE"""),"KERTASARI CIAMIS")</f>
        <v>KERTASARI CIAMIS</v>
      </c>
      <c r="D6973" s="186">
        <f>IFERROR(__xludf.DUMMYFUNCTION("""COMPUTED_VALUE"""),5.0)</f>
        <v>5</v>
      </c>
    </row>
    <row r="6974">
      <c r="A6974" s="178" t="str">
        <f>IFERROR(__xludf.DUMMYFUNCTION("""COMPUTED_VALUE"""),"ITBISA-JACK-DC-005-FEMALE")</f>
        <v>ITBISA-JACK-DC-005-FEMALE</v>
      </c>
      <c r="B6974" s="266">
        <f>IFERROR(__xludf.DUMMYFUNCTION("""COMPUTED_VALUE"""),45989.0)</f>
        <v>45989</v>
      </c>
      <c r="C6974" s="266" t="str">
        <f>IFERROR(__xludf.DUMMYFUNCTION("""COMPUTED_VALUE"""),"KERTASARI CIAMIS")</f>
        <v>KERTASARI CIAMIS</v>
      </c>
      <c r="D6974" s="186">
        <f>IFERROR(__xludf.DUMMYFUNCTION("""COMPUTED_VALUE"""),3.0)</f>
        <v>3</v>
      </c>
    </row>
    <row r="6975">
      <c r="A6975" s="178" t="str">
        <f>IFERROR(__xludf.DUMMYFUNCTION("""COMPUTED_VALUE"""),"ITBISA-JACK-DC-005-FEMALE")</f>
        <v>ITBISA-JACK-DC-005-FEMALE</v>
      </c>
      <c r="B6975" s="266">
        <f>IFERROR(__xludf.DUMMYFUNCTION("""COMPUTED_VALUE"""),45990.0)</f>
        <v>45990</v>
      </c>
      <c r="C6975" s="266" t="str">
        <f>IFERROR(__xludf.DUMMYFUNCTION("""COMPUTED_VALUE"""),"KYAI KONTONG")</f>
        <v>KYAI KONTONG</v>
      </c>
      <c r="D6975" s="186">
        <f>IFERROR(__xludf.DUMMYFUNCTION("""COMPUTED_VALUE"""),5.0)</f>
        <v>5</v>
      </c>
    </row>
    <row r="6976">
      <c r="A6976" s="178" t="str">
        <f>IFERROR(__xludf.DUMMYFUNCTION("""COMPUTED_VALUE"""),"ITBISA-JACK-DC-005-FEMALE")</f>
        <v>ITBISA-JACK-DC-005-FEMALE</v>
      </c>
      <c r="B6976" s="266">
        <f>IFERROR(__xludf.DUMMYFUNCTION("""COMPUTED_VALUE"""),45991.0)</f>
        <v>45991</v>
      </c>
      <c r="C6976" s="266" t="str">
        <f>IFERROR(__xludf.DUMMYFUNCTION("""COMPUTED_VALUE"""),"KYAI KONTONG")</f>
        <v>KYAI KONTONG</v>
      </c>
      <c r="D6976" s="186">
        <f>IFERROR(__xludf.DUMMYFUNCTION("""COMPUTED_VALUE"""),20.0)</f>
        <v>20</v>
      </c>
    </row>
    <row r="6977">
      <c r="A6977" s="178" t="str">
        <f>IFERROR(__xludf.DUMMYFUNCTION("""COMPUTED_VALUE"""),"ITBISA-JACK-DC-005-FEMALE")</f>
        <v>ITBISA-JACK-DC-005-FEMALE</v>
      </c>
      <c r="B6977" s="266">
        <f>IFERROR(__xludf.DUMMYFUNCTION("""COMPUTED_VALUE"""),45993.0)</f>
        <v>45993</v>
      </c>
      <c r="C6977" s="266" t="str">
        <f>IFERROR(__xludf.DUMMYFUNCTION("""COMPUTED_VALUE"""),"KYAI KONTONG")</f>
        <v>KYAI KONTONG</v>
      </c>
      <c r="D6977" s="186">
        <f>IFERROR(__xludf.DUMMYFUNCTION("""COMPUTED_VALUE"""),10.0)</f>
        <v>10</v>
      </c>
    </row>
    <row r="6978">
      <c r="A6978" s="178" t="str">
        <f>IFERROR(__xludf.DUMMYFUNCTION("""COMPUTED_VALUE"""),"ITBISA-JACK-DC-005-FEMALE")</f>
        <v>ITBISA-JACK-DC-005-FEMALE</v>
      </c>
      <c r="B6978" s="266">
        <f>IFERROR(__xludf.DUMMYFUNCTION("""COMPUTED_VALUE"""),45996.0)</f>
        <v>45996</v>
      </c>
      <c r="C6978" s="266" t="str">
        <f>IFERROR(__xludf.DUMMYFUNCTION("""COMPUTED_VALUE"""),"KERTASARI CIAMIS")</f>
        <v>KERTASARI CIAMIS</v>
      </c>
      <c r="D6978" s="186">
        <f>IFERROR(__xludf.DUMMYFUNCTION("""COMPUTED_VALUE"""),1.0)</f>
        <v>1</v>
      </c>
    </row>
    <row r="6979">
      <c r="A6979" s="178" t="str">
        <f>IFERROR(__xludf.DUMMYFUNCTION("""COMPUTED_VALUE"""),"ITBISA-JACK-DC-005-FEMALE")</f>
        <v>ITBISA-JACK-DC-005-FEMALE</v>
      </c>
      <c r="B6979" s="266">
        <f>IFERROR(__xludf.DUMMYFUNCTION("""COMPUTED_VALUE"""),45996.0)</f>
        <v>45996</v>
      </c>
      <c r="C6979" s="266" t="str">
        <f>IFERROR(__xludf.DUMMYFUNCTION("""COMPUTED_VALUE"""),"KERTASARI CIAMIS")</f>
        <v>KERTASARI CIAMIS</v>
      </c>
      <c r="D6979" s="186">
        <f>IFERROR(__xludf.DUMMYFUNCTION("""COMPUTED_VALUE"""),1.0)</f>
        <v>1</v>
      </c>
    </row>
    <row r="6980">
      <c r="A6980" s="178" t="str">
        <f>IFERROR(__xludf.DUMMYFUNCTION("""COMPUTED_VALUE"""),"ITBISA-JACK-DC-005-FEMALE")</f>
        <v>ITBISA-JACK-DC-005-FEMALE</v>
      </c>
      <c r="B6980" s="266">
        <f>IFERROR(__xludf.DUMMYFUNCTION("""COMPUTED_VALUE"""),45996.0)</f>
        <v>45996</v>
      </c>
      <c r="C6980" s="266" t="str">
        <f>IFERROR(__xludf.DUMMYFUNCTION("""COMPUTED_VALUE"""),"KERTASARI CIAMIS")</f>
        <v>KERTASARI CIAMIS</v>
      </c>
      <c r="D6980" s="186">
        <f>IFERROR(__xludf.DUMMYFUNCTION("""COMPUTED_VALUE"""),5.0)</f>
        <v>5</v>
      </c>
    </row>
    <row r="6981">
      <c r="A6981" s="178" t="str">
        <f>IFERROR(__xludf.DUMMYFUNCTION("""COMPUTED_VALUE"""),"ITBISA-JACK-DC-005-FEMALE")</f>
        <v>ITBISA-JACK-DC-005-FEMALE</v>
      </c>
      <c r="B6981" s="266">
        <f>IFERROR(__xludf.DUMMYFUNCTION("""COMPUTED_VALUE"""),45996.0)</f>
        <v>45996</v>
      </c>
      <c r="C6981" s="266" t="str">
        <f>IFERROR(__xludf.DUMMYFUNCTION("""COMPUTED_VALUE"""),"KYAI KONTONG")</f>
        <v>KYAI KONTONG</v>
      </c>
      <c r="D6981" s="186">
        <f>IFERROR(__xludf.DUMMYFUNCTION("""COMPUTED_VALUE"""),4.0)</f>
        <v>4</v>
      </c>
    </row>
    <row r="6982">
      <c r="A6982" s="178" t="str">
        <f>IFERROR(__xludf.DUMMYFUNCTION("""COMPUTED_VALUE"""),"ITBISA-JACK-DC-005-FEMALE")</f>
        <v>ITBISA-JACK-DC-005-FEMALE</v>
      </c>
      <c r="B6982" s="266">
        <f>IFERROR(__xludf.DUMMYFUNCTION("""COMPUTED_VALUE"""),45999.0)</f>
        <v>45999</v>
      </c>
      <c r="C6982" s="266" t="str">
        <f>IFERROR(__xludf.DUMMYFUNCTION("""COMPUTED_VALUE"""),"KERTASARI CIAMIS")</f>
        <v>KERTASARI CIAMIS</v>
      </c>
      <c r="D6982" s="186">
        <f>IFERROR(__xludf.DUMMYFUNCTION("""COMPUTED_VALUE"""),2.0)</f>
        <v>2</v>
      </c>
    </row>
    <row r="6983">
      <c r="A6983" s="178" t="str">
        <f>IFERROR(__xludf.DUMMYFUNCTION("""COMPUTED_VALUE"""),"ITBISA-JACK-DC-005-FEMALE")</f>
        <v>ITBISA-JACK-DC-005-FEMALE</v>
      </c>
      <c r="B6983" s="266">
        <f>IFERROR(__xludf.DUMMYFUNCTION("""COMPUTED_VALUE"""),45999.0)</f>
        <v>45999</v>
      </c>
      <c r="C6983" s="266" t="str">
        <f>IFERROR(__xludf.DUMMYFUNCTION("""COMPUTED_VALUE"""),"KYAI KONTONG")</f>
        <v>KYAI KONTONG</v>
      </c>
      <c r="D6983" s="186">
        <f>IFERROR(__xludf.DUMMYFUNCTION("""COMPUTED_VALUE"""),4.0)</f>
        <v>4</v>
      </c>
    </row>
    <row r="6984">
      <c r="A6984" s="178" t="str">
        <f>IFERROR(__xludf.DUMMYFUNCTION("""COMPUTED_VALUE"""),"ITBISA-JACK-DC-005-FEMALE")</f>
        <v>ITBISA-JACK-DC-005-FEMALE</v>
      </c>
      <c r="B6984" s="266">
        <f>IFERROR(__xludf.DUMMYFUNCTION("""COMPUTED_VALUE"""),46000.0)</f>
        <v>46000</v>
      </c>
      <c r="C6984" s="266" t="str">
        <f>IFERROR(__xludf.DUMMYFUNCTION("""COMPUTED_VALUE"""),"KERTASARI CIAMIS")</f>
        <v>KERTASARI CIAMIS</v>
      </c>
      <c r="D6984" s="186">
        <f>IFERROR(__xludf.DUMMYFUNCTION("""COMPUTED_VALUE"""),50.0)</f>
        <v>50</v>
      </c>
    </row>
    <row r="6985">
      <c r="A6985" s="178" t="str">
        <f>IFERROR(__xludf.DUMMYFUNCTION("""COMPUTED_VALUE"""),"ITBISA-JACK-DC-005-FEMALE")</f>
        <v>ITBISA-JACK-DC-005-FEMALE</v>
      </c>
      <c r="B6985" s="266">
        <f>IFERROR(__xludf.DUMMYFUNCTION("""COMPUTED_VALUE"""),46008.0)</f>
        <v>46008</v>
      </c>
      <c r="C6985" s="266" t="str">
        <f>IFERROR(__xludf.DUMMYFUNCTION("""COMPUTED_VALUE"""),"KERTASARI CIAMIS")</f>
        <v>KERTASARI CIAMIS</v>
      </c>
      <c r="D6985" s="186">
        <f>IFERROR(__xludf.DUMMYFUNCTION("""COMPUTED_VALUE"""),50.0)</f>
        <v>50</v>
      </c>
    </row>
    <row r="6986">
      <c r="A6986" s="178" t="str">
        <f>IFERROR(__xludf.DUMMYFUNCTION("""COMPUTED_VALUE"""),"ITBISA-JACK-DC-005-FEMALE")</f>
        <v>ITBISA-JACK-DC-005-FEMALE</v>
      </c>
      <c r="B6986" s="266">
        <f>IFERROR(__xludf.DUMMYFUNCTION("""COMPUTED_VALUE"""),46010.0)</f>
        <v>46010</v>
      </c>
      <c r="C6986" s="266" t="str">
        <f>IFERROR(__xludf.DUMMYFUNCTION("""COMPUTED_VALUE"""),"KYAI KONTONG")</f>
        <v>KYAI KONTONG</v>
      </c>
      <c r="D6986" s="186">
        <f>IFERROR(__xludf.DUMMYFUNCTION("""COMPUTED_VALUE"""),50.0)</f>
        <v>50</v>
      </c>
    </row>
    <row r="6987">
      <c r="A6987" s="178" t="str">
        <f>IFERROR(__xludf.DUMMYFUNCTION("""COMPUTED_VALUE"""),"ITBISA-JACK-DC-005-FEMALE")</f>
        <v>ITBISA-JACK-DC-005-FEMALE</v>
      </c>
      <c r="B6987" s="266">
        <f>IFERROR(__xludf.DUMMYFUNCTION("""COMPUTED_VALUE"""),46013.0)</f>
        <v>46013</v>
      </c>
      <c r="C6987" s="266" t="str">
        <f>IFERROR(__xludf.DUMMYFUNCTION("""COMPUTED_VALUE"""),"KERTASARI CIAMIS")</f>
        <v>KERTASARI CIAMIS</v>
      </c>
      <c r="D6987" s="186">
        <f>IFERROR(__xludf.DUMMYFUNCTION("""COMPUTED_VALUE"""),1.0)</f>
        <v>1</v>
      </c>
    </row>
    <row r="6988">
      <c r="A6988" s="178" t="str">
        <f>IFERROR(__xludf.DUMMYFUNCTION("""COMPUTED_VALUE"""),"ITBISA-JACK-DC-005-FEMALE")</f>
        <v>ITBISA-JACK-DC-005-FEMALE</v>
      </c>
      <c r="B6988" s="266">
        <f>IFERROR(__xludf.DUMMYFUNCTION("""COMPUTED_VALUE"""),46015.0)</f>
        <v>46015</v>
      </c>
      <c r="C6988" s="266" t="str">
        <f>IFERROR(__xludf.DUMMYFUNCTION("""COMPUTED_VALUE"""),"KERTASARI CIAMIS")</f>
        <v>KERTASARI CIAMIS</v>
      </c>
      <c r="D6988" s="186">
        <f>IFERROR(__xludf.DUMMYFUNCTION("""COMPUTED_VALUE"""),10.0)</f>
        <v>10</v>
      </c>
    </row>
    <row r="6989">
      <c r="A6989" s="178" t="str">
        <f>IFERROR(__xludf.DUMMYFUNCTION("""COMPUTED_VALUE"""),"ITBISA-JACK-DC-005-FEMALE")</f>
        <v>ITBISA-JACK-DC-005-FEMALE</v>
      </c>
      <c r="B6989" s="266">
        <f>IFERROR(__xludf.DUMMYFUNCTION("""COMPUTED_VALUE"""),46015.0)</f>
        <v>46015</v>
      </c>
      <c r="C6989" s="266" t="str">
        <f>IFERROR(__xludf.DUMMYFUNCTION("""COMPUTED_VALUE"""),"KYAI KONTONG")</f>
        <v>KYAI KONTONG</v>
      </c>
      <c r="D6989" s="186">
        <f>IFERROR(__xludf.DUMMYFUNCTION("""COMPUTED_VALUE"""),6.0)</f>
        <v>6</v>
      </c>
    </row>
    <row r="6990">
      <c r="A6990" s="178" t="str">
        <f>IFERROR(__xludf.DUMMYFUNCTION("""COMPUTED_VALUE"""),"ITBISA-JACK-DC-005-FEMALE")</f>
        <v>ITBISA-JACK-DC-005-FEMALE</v>
      </c>
      <c r="B6990" s="266">
        <f>IFERROR(__xludf.DUMMYFUNCTION("""COMPUTED_VALUE"""),46019.0)</f>
        <v>46019</v>
      </c>
      <c r="C6990" s="266" t="str">
        <f>IFERROR(__xludf.DUMMYFUNCTION("""COMPUTED_VALUE"""),"KYAI KONTONG")</f>
        <v>KYAI KONTONG</v>
      </c>
      <c r="D6990" s="186">
        <f>IFERROR(__xludf.DUMMYFUNCTION("""COMPUTED_VALUE"""),2.0)</f>
        <v>2</v>
      </c>
    </row>
    <row r="6991">
      <c r="A6991" s="178" t="str">
        <f>IFERROR(__xludf.DUMMYFUNCTION("""COMPUTED_VALUE"""),"ITBISA-JACK-DC-005-FEMALE")</f>
        <v>ITBISA-JACK-DC-005-FEMALE</v>
      </c>
      <c r="B6991" s="266">
        <f>IFERROR(__xludf.DUMMYFUNCTION("""COMPUTED_VALUE"""),46020.0)</f>
        <v>46020</v>
      </c>
      <c r="C6991" s="266" t="str">
        <f>IFERROR(__xludf.DUMMYFUNCTION("""COMPUTED_VALUE"""),"KYAI KONTONG")</f>
        <v>KYAI KONTONG</v>
      </c>
      <c r="D6991" s="186">
        <f>IFERROR(__xludf.DUMMYFUNCTION("""COMPUTED_VALUE"""),4.0)</f>
        <v>4</v>
      </c>
    </row>
    <row r="6992">
      <c r="A6992" s="178" t="str">
        <f>IFERROR(__xludf.DUMMYFUNCTION("""COMPUTED_VALUE"""),"ITBISA-JACK-DC-005-FEMALE")</f>
        <v>ITBISA-JACK-DC-005-FEMALE</v>
      </c>
      <c r="B6992" s="266">
        <f>IFERROR(__xludf.DUMMYFUNCTION("""COMPUTED_VALUE"""),46021.0)</f>
        <v>46021</v>
      </c>
      <c r="C6992" s="266" t="str">
        <f>IFERROR(__xludf.DUMMYFUNCTION("""COMPUTED_VALUE"""),"KYAI KONTONG")</f>
        <v>KYAI KONTONG</v>
      </c>
      <c r="D6992" s="186">
        <f>IFERROR(__xludf.DUMMYFUNCTION("""COMPUTED_VALUE"""),20.0)</f>
        <v>20</v>
      </c>
    </row>
    <row r="6993">
      <c r="A6993" s="178" t="str">
        <f>IFERROR(__xludf.DUMMYFUNCTION("""COMPUTED_VALUE"""),"ITBISA-JUMPER-FF-10CM")</f>
        <v>ITBISA-JUMPER-FF-10CM</v>
      </c>
      <c r="B6993" s="266">
        <f>IFERROR(__xludf.DUMMYFUNCTION("""COMPUTED_VALUE"""),43432.0)</f>
        <v>43432</v>
      </c>
      <c r="C6993" s="266" t="str">
        <f>IFERROR(__xludf.DUMMYFUNCTION("""COMPUTED_VALUE"""),"AVRG ITB")</f>
        <v>AVRG ITB</v>
      </c>
      <c r="D6993" s="186">
        <f>IFERROR(__xludf.DUMMYFUNCTION("""COMPUTED_VALUE"""),20.0)</f>
        <v>20</v>
      </c>
    </row>
    <row r="6994">
      <c r="A6994" s="178" t="str">
        <f>IFERROR(__xludf.DUMMYFUNCTION("""COMPUTED_VALUE"""),"ITBISA-JUMPER-FF-10CM")</f>
        <v>ITBISA-JUMPER-FF-10CM</v>
      </c>
      <c r="B6994" s="266">
        <f>IFERROR(__xludf.DUMMYFUNCTION("""COMPUTED_VALUE"""),43529.0)</f>
        <v>43529</v>
      </c>
      <c r="C6994" s="266" t="str">
        <f>IFERROR(__xludf.DUMMYFUNCTION("""COMPUTED_VALUE"""),"AVRG ITB")</f>
        <v>AVRG ITB</v>
      </c>
      <c r="D6994" s="186">
        <f>IFERROR(__xludf.DUMMYFUNCTION("""COMPUTED_VALUE"""),200.0)</f>
        <v>200</v>
      </c>
    </row>
    <row r="6995">
      <c r="A6995" s="178" t="str">
        <f>IFERROR(__xludf.DUMMYFUNCTION("""COMPUTED_VALUE"""),"ITBISA-JUMPER-FF-10CM")</f>
        <v>ITBISA-JUMPER-FF-10CM</v>
      </c>
      <c r="B6995" s="266">
        <f>IFERROR(__xludf.DUMMYFUNCTION("""COMPUTED_VALUE"""),43539.0)</f>
        <v>43539</v>
      </c>
      <c r="C6995" s="266" t="str">
        <f>IFERROR(__xludf.DUMMYFUNCTION("""COMPUTED_VALUE"""),"AVRG ITB")</f>
        <v>AVRG ITB</v>
      </c>
      <c r="D6995" s="186">
        <f>IFERROR(__xludf.DUMMYFUNCTION("""COMPUTED_VALUE"""),40.0)</f>
        <v>40</v>
      </c>
    </row>
    <row r="6996">
      <c r="A6996" s="178" t="str">
        <f>IFERROR(__xludf.DUMMYFUNCTION("""COMPUTED_VALUE"""),"ITBISA-JUMPER-FF-10CM")</f>
        <v>ITBISA-JUMPER-FF-10CM</v>
      </c>
      <c r="B6996" s="266">
        <f>IFERROR(__xludf.DUMMYFUNCTION("""COMPUTED_VALUE"""),43550.0)</f>
        <v>43550</v>
      </c>
      <c r="C6996" s="266" t="str">
        <f>IFERROR(__xludf.DUMMYFUNCTION("""COMPUTED_VALUE"""),"AVRG ITB")</f>
        <v>AVRG ITB</v>
      </c>
      <c r="D6996" s="186">
        <f>IFERROR(__xludf.DUMMYFUNCTION("""COMPUTED_VALUE"""),360.0)</f>
        <v>360</v>
      </c>
    </row>
    <row r="6997">
      <c r="A6997" s="178" t="str">
        <f>IFERROR(__xludf.DUMMYFUNCTION("""COMPUTED_VALUE"""),"ITBISA-JUMPER-FF-10CM")</f>
        <v>ITBISA-JUMPER-FF-10CM</v>
      </c>
      <c r="B6997" s="266">
        <f>IFERROR(__xludf.DUMMYFUNCTION("""COMPUTED_VALUE"""),43566.0)</f>
        <v>43566</v>
      </c>
      <c r="C6997" s="266" t="str">
        <f>IFERROR(__xludf.DUMMYFUNCTION("""COMPUTED_VALUE"""),"AVRG ITB")</f>
        <v>AVRG ITB</v>
      </c>
      <c r="D6997" s="186">
        <f>IFERROR(__xludf.DUMMYFUNCTION("""COMPUTED_VALUE"""),560.0)</f>
        <v>560</v>
      </c>
    </row>
    <row r="6998">
      <c r="A6998" s="178" t="str">
        <f>IFERROR(__xludf.DUMMYFUNCTION("""COMPUTED_VALUE"""),"ITBISA-JUMPER-FF-10CM")</f>
        <v>ITBISA-JUMPER-FF-10CM</v>
      </c>
      <c r="B6998" s="266">
        <f>IFERROR(__xludf.DUMMYFUNCTION("""COMPUTED_VALUE"""),43586.0)</f>
        <v>43586</v>
      </c>
      <c r="C6998" s="266" t="str">
        <f>IFERROR(__xludf.DUMMYFUNCTION("""COMPUTED_VALUE"""),"AVRG ITB")</f>
        <v>AVRG ITB</v>
      </c>
      <c r="D6998" s="186">
        <f>IFERROR(__xludf.DUMMYFUNCTION("""COMPUTED_VALUE"""),40.0)</f>
        <v>40</v>
      </c>
    </row>
    <row r="6999">
      <c r="A6999" s="178" t="str">
        <f>IFERROR(__xludf.DUMMYFUNCTION("""COMPUTED_VALUE"""),"ITBISA-JUMPER-FF-10CM")</f>
        <v>ITBISA-JUMPER-FF-10CM</v>
      </c>
      <c r="B6999" s="266">
        <f>IFERROR(__xludf.DUMMYFUNCTION("""COMPUTED_VALUE"""),43596.0)</f>
        <v>43596</v>
      </c>
      <c r="C6999" s="266" t="str">
        <f>IFERROR(__xludf.DUMMYFUNCTION("""COMPUTED_VALUE"""),"AVRG ITB")</f>
        <v>AVRG ITB</v>
      </c>
      <c r="D6999" s="186">
        <f>IFERROR(__xludf.DUMMYFUNCTION("""COMPUTED_VALUE"""),40.0)</f>
        <v>40</v>
      </c>
    </row>
    <row r="7000">
      <c r="A7000" s="178" t="str">
        <f>IFERROR(__xludf.DUMMYFUNCTION("""COMPUTED_VALUE"""),"ITBISA-JUMPER-FF-10CM")</f>
        <v>ITBISA-JUMPER-FF-10CM</v>
      </c>
      <c r="B7000" s="266">
        <f>IFERROR(__xludf.DUMMYFUNCTION("""COMPUTED_VALUE"""),43649.0)</f>
        <v>43649</v>
      </c>
      <c r="C7000" s="266" t="str">
        <f>IFERROR(__xludf.DUMMYFUNCTION("""COMPUTED_VALUE"""),"RUMAH MUZAKKI")</f>
        <v>RUMAH MUZAKKI</v>
      </c>
      <c r="D7000" s="186">
        <f>IFERROR(__xludf.DUMMYFUNCTION("""COMPUTED_VALUE"""),40.0)</f>
        <v>40</v>
      </c>
    </row>
    <row r="7001">
      <c r="A7001" s="178" t="str">
        <f>IFERROR(__xludf.DUMMYFUNCTION("""COMPUTED_VALUE"""),"ITBISA-JUMPER-FF-10CM")</f>
        <v>ITBISA-JUMPER-FF-10CM</v>
      </c>
      <c r="B7001" s="266">
        <f>IFERROR(__xludf.DUMMYFUNCTION("""COMPUTED_VALUE"""),43718.0)</f>
        <v>43718</v>
      </c>
      <c r="C7001" s="266" t="str">
        <f>IFERROR(__xludf.DUMMYFUNCTION("""COMPUTED_VALUE"""),"RUMAH MUZAKKI")</f>
        <v>RUMAH MUZAKKI</v>
      </c>
      <c r="D7001" s="186">
        <f>IFERROR(__xludf.DUMMYFUNCTION("""COMPUTED_VALUE"""),160.0)</f>
        <v>160</v>
      </c>
    </row>
    <row r="7002">
      <c r="A7002" s="178" t="str">
        <f>IFERROR(__xludf.DUMMYFUNCTION("""COMPUTED_VALUE"""),"ITBISA-JUMPER-FF-10CM")</f>
        <v>ITBISA-JUMPER-FF-10CM</v>
      </c>
      <c r="B7002" s="266">
        <f>IFERROR(__xludf.DUMMYFUNCTION("""COMPUTED_VALUE"""),43719.0)</f>
        <v>43719</v>
      </c>
      <c r="C7002" s="266" t="str">
        <f>IFERROR(__xludf.DUMMYFUNCTION("""COMPUTED_VALUE"""),"RUMAH MUZAKKI")</f>
        <v>RUMAH MUZAKKI</v>
      </c>
      <c r="D7002" s="186">
        <f>IFERROR(__xludf.DUMMYFUNCTION("""COMPUTED_VALUE"""),80.0)</f>
        <v>80</v>
      </c>
    </row>
    <row r="7003">
      <c r="A7003" s="178" t="str">
        <f>IFERROR(__xludf.DUMMYFUNCTION("""COMPUTED_VALUE"""),"ITBISA-JUMPER-FF-10CM")</f>
        <v>ITBISA-JUMPER-FF-10CM</v>
      </c>
      <c r="B7003" s="266">
        <f>IFERROR(__xludf.DUMMYFUNCTION("""COMPUTED_VALUE"""),43732.0)</f>
        <v>43732</v>
      </c>
      <c r="C7003" s="266" t="str">
        <f>IFERROR(__xludf.DUMMYFUNCTION("""COMPUTED_VALUE"""),"RUMAH MUZAKKI")</f>
        <v>RUMAH MUZAKKI</v>
      </c>
      <c r="D7003" s="186">
        <f>IFERROR(__xludf.DUMMYFUNCTION("""COMPUTED_VALUE"""),40.0)</f>
        <v>40</v>
      </c>
    </row>
    <row r="7004">
      <c r="A7004" s="178" t="str">
        <f>IFERROR(__xludf.DUMMYFUNCTION("""COMPUTED_VALUE"""),"ITBISA-JUMPER-FF-10CM")</f>
        <v>ITBISA-JUMPER-FF-10CM</v>
      </c>
      <c r="B7004" s="266">
        <f>IFERROR(__xludf.DUMMYFUNCTION("""COMPUTED_VALUE"""),43733.0)</f>
        <v>43733</v>
      </c>
      <c r="C7004" s="266" t="str">
        <f>IFERROR(__xludf.DUMMYFUNCTION("""COMPUTED_VALUE"""),"RUMAH MUZAKKI")</f>
        <v>RUMAH MUZAKKI</v>
      </c>
      <c r="D7004" s="186">
        <f>IFERROR(__xludf.DUMMYFUNCTION("""COMPUTED_VALUE"""),40.0)</f>
        <v>40</v>
      </c>
    </row>
    <row r="7005">
      <c r="A7005" s="178" t="str">
        <f>IFERROR(__xludf.DUMMYFUNCTION("""COMPUTED_VALUE"""),"ITBISA-JUMPER-FF-10CM")</f>
        <v>ITBISA-JUMPER-FF-10CM</v>
      </c>
      <c r="B7005" s="266">
        <f>IFERROR(__xludf.DUMMYFUNCTION("""COMPUTED_VALUE"""),43757.0)</f>
        <v>43757</v>
      </c>
      <c r="C7005" s="266" t="str">
        <f>IFERROR(__xludf.DUMMYFUNCTION("""COMPUTED_VALUE"""),"AVRG ITB")</f>
        <v>AVRG ITB</v>
      </c>
      <c r="D7005" s="186">
        <f>IFERROR(__xludf.DUMMYFUNCTION("""COMPUTED_VALUE"""),10.0)</f>
        <v>10</v>
      </c>
    </row>
    <row r="7006">
      <c r="A7006" s="178" t="str">
        <f>IFERROR(__xludf.DUMMYFUNCTION("""COMPUTED_VALUE"""),"ITBISA-JUMPER-FF-10CM")</f>
        <v>ITBISA-JUMPER-FF-10CM</v>
      </c>
      <c r="B7006" s="266">
        <f>IFERROR(__xludf.DUMMYFUNCTION("""COMPUTED_VALUE"""),43768.0)</f>
        <v>43768</v>
      </c>
      <c r="C7006" s="266" t="str">
        <f>IFERROR(__xludf.DUMMYFUNCTION("""COMPUTED_VALUE"""),"RUMAH MUZAKKI")</f>
        <v>RUMAH MUZAKKI</v>
      </c>
      <c r="D7006" s="186">
        <f>IFERROR(__xludf.DUMMYFUNCTION("""COMPUTED_VALUE"""),40.0)</f>
        <v>40</v>
      </c>
    </row>
    <row r="7007">
      <c r="A7007" s="178" t="str">
        <f>IFERROR(__xludf.DUMMYFUNCTION("""COMPUTED_VALUE"""),"ITBISA-JUMPER-FF-10CM")</f>
        <v>ITBISA-JUMPER-FF-10CM</v>
      </c>
      <c r="B7007" s="266">
        <f>IFERROR(__xludf.DUMMYFUNCTION("""COMPUTED_VALUE"""),43788.0)</f>
        <v>43788</v>
      </c>
      <c r="C7007" s="266" t="str">
        <f>IFERROR(__xludf.DUMMYFUNCTION("""COMPUTED_VALUE"""),"RUMAH MUZAKKI")</f>
        <v>RUMAH MUZAKKI</v>
      </c>
      <c r="D7007" s="186">
        <f>IFERROR(__xludf.DUMMYFUNCTION("""COMPUTED_VALUE"""),40.0)</f>
        <v>40</v>
      </c>
    </row>
    <row r="7008">
      <c r="A7008" s="178" t="str">
        <f>IFERROR(__xludf.DUMMYFUNCTION("""COMPUTED_VALUE"""),"ITBISA-JUMPER-FF-10CM")</f>
        <v>ITBISA-JUMPER-FF-10CM</v>
      </c>
      <c r="B7008" s="266">
        <f>IFERROR(__xludf.DUMMYFUNCTION("""COMPUTED_VALUE"""),43802.0)</f>
        <v>43802</v>
      </c>
      <c r="C7008" s="266" t="str">
        <f>IFERROR(__xludf.DUMMYFUNCTION("""COMPUTED_VALUE"""),"AVRG ITB")</f>
        <v>AVRG ITB</v>
      </c>
      <c r="D7008" s="186">
        <f>IFERROR(__xludf.DUMMYFUNCTION("""COMPUTED_VALUE"""),400.0)</f>
        <v>400</v>
      </c>
    </row>
    <row r="7009">
      <c r="A7009" s="178" t="str">
        <f>IFERROR(__xludf.DUMMYFUNCTION("""COMPUTED_VALUE"""),"ITBISA-JUMPER-FF-10CM")</f>
        <v>ITBISA-JUMPER-FF-10CM</v>
      </c>
      <c r="B7009" s="266">
        <f>IFERROR(__xludf.DUMMYFUNCTION("""COMPUTED_VALUE"""),43877.0)</f>
        <v>43877</v>
      </c>
      <c r="C7009" s="266" t="str">
        <f>IFERROR(__xludf.DUMMYFUNCTION("""COMPUTED_VALUE"""),"AVRG ITB")</f>
        <v>AVRG ITB</v>
      </c>
      <c r="D7009" s="186">
        <f>IFERROR(__xludf.DUMMYFUNCTION("""COMPUTED_VALUE"""),300.0)</f>
        <v>300</v>
      </c>
    </row>
    <row r="7010">
      <c r="A7010" s="178" t="str">
        <f>IFERROR(__xludf.DUMMYFUNCTION("""COMPUTED_VALUE"""),"ITBISA-JUMPER-FF-10CM")</f>
        <v>ITBISA-JUMPER-FF-10CM</v>
      </c>
      <c r="B7010" s="266">
        <f>IFERROR(__xludf.DUMMYFUNCTION("""COMPUTED_VALUE"""),43993.0)</f>
        <v>43993</v>
      </c>
      <c r="C7010" s="266" t="str">
        <f>IFERROR(__xludf.DUMMYFUNCTION("""COMPUTED_VALUE"""),"KAETOBO RESIDENCE")</f>
        <v>KAETOBO RESIDENCE</v>
      </c>
      <c r="D7010" s="186">
        <f>IFERROR(__xludf.DUMMYFUNCTION("""COMPUTED_VALUE"""),920.0)</f>
        <v>920</v>
      </c>
    </row>
    <row r="7011">
      <c r="A7011" s="178" t="str">
        <f>IFERROR(__xludf.DUMMYFUNCTION("""COMPUTED_VALUE"""),"ITBISA-JUMPER-FF-10CM")</f>
        <v>ITBISA-JUMPER-FF-10CM</v>
      </c>
      <c r="B7011" s="266">
        <f>IFERROR(__xludf.DUMMYFUNCTION("""COMPUTED_VALUE"""),44008.0)</f>
        <v>44008</v>
      </c>
      <c r="C7011" s="266" t="str">
        <f>IFERROR(__xludf.DUMMYFUNCTION("""COMPUTED_VALUE"""),"KAETOBO RESIDENCE")</f>
        <v>KAETOBO RESIDENCE</v>
      </c>
      <c r="D7011" s="186">
        <f>IFERROR(__xludf.DUMMYFUNCTION("""COMPUTED_VALUE"""),400.0)</f>
        <v>400</v>
      </c>
    </row>
    <row r="7012">
      <c r="A7012" s="178" t="str">
        <f>IFERROR(__xludf.DUMMYFUNCTION("""COMPUTED_VALUE"""),"ITBISA-JUMPER-FF-10CM")</f>
        <v>ITBISA-JUMPER-FF-10CM</v>
      </c>
      <c r="B7012" s="266">
        <f>IFERROR(__xludf.DUMMYFUNCTION("""COMPUTED_VALUE"""),44008.0)</f>
        <v>44008</v>
      </c>
      <c r="C7012" s="266" t="str">
        <f>IFERROR(__xludf.DUMMYFUNCTION("""COMPUTED_VALUE"""),"KAETOBO RESIDENCE")</f>
        <v>KAETOBO RESIDENCE</v>
      </c>
      <c r="D7012" s="186">
        <f>IFERROR(__xludf.DUMMYFUNCTION("""COMPUTED_VALUE"""),400.0)</f>
        <v>400</v>
      </c>
    </row>
    <row r="7013">
      <c r="A7013" s="178" t="str">
        <f>IFERROR(__xludf.DUMMYFUNCTION("""COMPUTED_VALUE"""),"ITBISA-JUMPER-FF-10CM")</f>
        <v>ITBISA-JUMPER-FF-10CM</v>
      </c>
      <c r="B7013" s="266">
        <f>IFERROR(__xludf.DUMMYFUNCTION("""COMPUTED_VALUE"""),44013.0)</f>
        <v>44013</v>
      </c>
      <c r="C7013" s="266" t="str">
        <f>IFERROR(__xludf.DUMMYFUNCTION("""COMPUTED_VALUE"""),"KAETOBO RESIDENCE")</f>
        <v>KAETOBO RESIDENCE</v>
      </c>
      <c r="D7013" s="186">
        <f>IFERROR(__xludf.DUMMYFUNCTION("""COMPUTED_VALUE"""),40.0)</f>
        <v>40</v>
      </c>
    </row>
    <row r="7014">
      <c r="A7014" s="178" t="str">
        <f>IFERROR(__xludf.DUMMYFUNCTION("""COMPUTED_VALUE"""),"ITBISA-JUMPER-FF-10CM")</f>
        <v>ITBISA-JUMPER-FF-10CM</v>
      </c>
      <c r="B7014" s="266">
        <f>IFERROR(__xludf.DUMMYFUNCTION("""COMPUTED_VALUE"""),44042.0)</f>
        <v>44042</v>
      </c>
      <c r="C7014" s="266" t="str">
        <f>IFERROR(__xludf.DUMMYFUNCTION("""COMPUTED_VALUE"""),"KAETOBO RESIDENCE")</f>
        <v>KAETOBO RESIDENCE</v>
      </c>
      <c r="D7014" s="186">
        <f>IFERROR(__xludf.DUMMYFUNCTION("""COMPUTED_VALUE"""),120.0)</f>
        <v>120</v>
      </c>
    </row>
    <row r="7015">
      <c r="A7015" s="178" t="str">
        <f>IFERROR(__xludf.DUMMYFUNCTION("""COMPUTED_VALUE"""),"ITBISA-JUMPER-FF-10CM")</f>
        <v>ITBISA-JUMPER-FF-10CM</v>
      </c>
      <c r="B7015" s="266">
        <f>IFERROR(__xludf.DUMMYFUNCTION("""COMPUTED_VALUE"""),44214.0)</f>
        <v>44214</v>
      </c>
      <c r="C7015" s="266" t="str">
        <f>IFERROR(__xludf.DUMMYFUNCTION("""COMPUTED_VALUE"""),"KOST RUMAHUMI")</f>
        <v>KOST RUMAHUMI</v>
      </c>
      <c r="D7015" s="186">
        <f>IFERROR(__xludf.DUMMYFUNCTION("""COMPUTED_VALUE"""),600.0)</f>
        <v>600</v>
      </c>
    </row>
    <row r="7016">
      <c r="A7016" s="178" t="str">
        <f>IFERROR(__xludf.DUMMYFUNCTION("""COMPUTED_VALUE"""),"ITBISA-JUMPER-FF-10CM")</f>
        <v>ITBISA-JUMPER-FF-10CM</v>
      </c>
      <c r="B7016" s="266">
        <f>IFERROR(__xludf.DUMMYFUNCTION("""COMPUTED_VALUE"""),44308.0)</f>
        <v>44308</v>
      </c>
      <c r="C7016" s="266" t="str">
        <f>IFERROR(__xludf.DUMMYFUNCTION("""COMPUTED_VALUE"""),"KOST RUMAHUMI")</f>
        <v>KOST RUMAHUMI</v>
      </c>
      <c r="D7016" s="186">
        <f>IFERROR(__xludf.DUMMYFUNCTION("""COMPUTED_VALUE"""),80.0)</f>
        <v>80</v>
      </c>
    </row>
    <row r="7017">
      <c r="A7017" s="178" t="str">
        <f>IFERROR(__xludf.DUMMYFUNCTION("""COMPUTED_VALUE"""),"ITBISA-JUMPER-FF-10CM")</f>
        <v>ITBISA-JUMPER-FF-10CM</v>
      </c>
      <c r="B7017" s="266">
        <f>IFERROR(__xludf.DUMMYFUNCTION("""COMPUTED_VALUE"""),44928.0)</f>
        <v>44928</v>
      </c>
      <c r="C7017" s="266" t="str">
        <f>IFERROR(__xludf.DUMMYFUNCTION("""COMPUTED_VALUE"""),"KYAI KONTONG")</f>
        <v>KYAI KONTONG</v>
      </c>
      <c r="D7017" s="186">
        <f>IFERROR(__xludf.DUMMYFUNCTION("""COMPUTED_VALUE"""),40.0)</f>
        <v>40</v>
      </c>
    </row>
    <row r="7018">
      <c r="A7018" s="178" t="str">
        <f>IFERROR(__xludf.DUMMYFUNCTION("""COMPUTED_VALUE"""),"ITBISA-JUMPER-FF-10CM")</f>
        <v>ITBISA-JUMPER-FF-10CM</v>
      </c>
      <c r="B7018" s="266">
        <f>IFERROR(__xludf.DUMMYFUNCTION("""COMPUTED_VALUE"""),44971.0)</f>
        <v>44971</v>
      </c>
      <c r="C7018" s="266" t="str">
        <f>IFERROR(__xludf.DUMMYFUNCTION("""COMPUTED_VALUE"""),"KYAI KONTONG")</f>
        <v>KYAI KONTONG</v>
      </c>
      <c r="D7018" s="186">
        <f>IFERROR(__xludf.DUMMYFUNCTION("""COMPUTED_VALUE"""),40.0)</f>
        <v>40</v>
      </c>
    </row>
    <row r="7019">
      <c r="A7019" s="178" t="str">
        <f>IFERROR(__xludf.DUMMYFUNCTION("""COMPUTED_VALUE"""),"ITBISA-JUMPER-FF-10CM")</f>
        <v>ITBISA-JUMPER-FF-10CM</v>
      </c>
      <c r="B7019" s="266">
        <f>IFERROR(__xludf.DUMMYFUNCTION("""COMPUTED_VALUE"""),45026.0)</f>
        <v>45026</v>
      </c>
      <c r="C7019" s="266" t="str">
        <f>IFERROR(__xludf.DUMMYFUNCTION("""COMPUTED_VALUE"""),"KYAI KONTONG")</f>
        <v>KYAI KONTONG</v>
      </c>
      <c r="D7019" s="186">
        <f>IFERROR(__xludf.DUMMYFUNCTION("""COMPUTED_VALUE"""),40.0)</f>
        <v>40</v>
      </c>
    </row>
    <row r="7020">
      <c r="A7020" s="178" t="str">
        <f>IFERROR(__xludf.DUMMYFUNCTION("""COMPUTED_VALUE"""),"ITBISA-JUMPER-FF-10CM")</f>
        <v>ITBISA-JUMPER-FF-10CM</v>
      </c>
      <c r="B7020" s="266">
        <f>IFERROR(__xludf.DUMMYFUNCTION("""COMPUTED_VALUE"""),45089.0)</f>
        <v>45089</v>
      </c>
      <c r="C7020" s="266" t="str">
        <f>IFERROR(__xludf.DUMMYFUNCTION("""COMPUTED_VALUE"""),"KYAI KONTONG")</f>
        <v>KYAI KONTONG</v>
      </c>
      <c r="D7020" s="186">
        <f>IFERROR(__xludf.DUMMYFUNCTION("""COMPUTED_VALUE"""),40.0)</f>
        <v>40</v>
      </c>
    </row>
    <row r="7021">
      <c r="A7021" s="178" t="str">
        <f>IFERROR(__xludf.DUMMYFUNCTION("""COMPUTED_VALUE"""),"ITBISA-JUMPER-FF-10CM")</f>
        <v>ITBISA-JUMPER-FF-10CM</v>
      </c>
      <c r="B7021" s="266">
        <f>IFERROR(__xludf.DUMMYFUNCTION("""COMPUTED_VALUE"""),45110.0)</f>
        <v>45110</v>
      </c>
      <c r="C7021" s="266" t="str">
        <f>IFERROR(__xludf.DUMMYFUNCTION("""COMPUTED_VALUE"""),"KYAI KONTONG")</f>
        <v>KYAI KONTONG</v>
      </c>
      <c r="D7021" s="186">
        <f>IFERROR(__xludf.DUMMYFUNCTION("""COMPUTED_VALUE"""),80.0)</f>
        <v>80</v>
      </c>
    </row>
    <row r="7022">
      <c r="A7022" s="178" t="str">
        <f>IFERROR(__xludf.DUMMYFUNCTION("""COMPUTED_VALUE"""),"ITBISA-JUMPER-FF-10CM")</f>
        <v>ITBISA-JUMPER-FF-10CM</v>
      </c>
      <c r="B7022" s="266">
        <f>IFERROR(__xludf.DUMMYFUNCTION("""COMPUTED_VALUE"""),45112.0)</f>
        <v>45112</v>
      </c>
      <c r="C7022" s="266" t="str">
        <f>IFERROR(__xludf.DUMMYFUNCTION("""COMPUTED_VALUE"""),"KYAI KONTONG")</f>
        <v>KYAI KONTONG</v>
      </c>
      <c r="D7022" s="186">
        <f>IFERROR(__xludf.DUMMYFUNCTION("""COMPUTED_VALUE"""),400.0)</f>
        <v>400</v>
      </c>
    </row>
    <row r="7023">
      <c r="A7023" s="178" t="str">
        <f>IFERROR(__xludf.DUMMYFUNCTION("""COMPUTED_VALUE"""),"ITBISA-JUMPER-FF-10CM")</f>
        <v>ITBISA-JUMPER-FF-10CM</v>
      </c>
      <c r="B7023" s="266">
        <f>IFERROR(__xludf.DUMMYFUNCTION("""COMPUTED_VALUE"""),45355.0)</f>
        <v>45355</v>
      </c>
      <c r="C7023" s="266" t="str">
        <f>IFERROR(__xludf.DUMMYFUNCTION("""COMPUTED_VALUE"""),"KYAI KONTONG")</f>
        <v>KYAI KONTONG</v>
      </c>
      <c r="D7023" s="186">
        <f>IFERROR(__xludf.DUMMYFUNCTION("""COMPUTED_VALUE"""),80.0)</f>
        <v>80</v>
      </c>
    </row>
    <row r="7024">
      <c r="A7024" s="178" t="str">
        <f>IFERROR(__xludf.DUMMYFUNCTION("""COMPUTED_VALUE"""),"ITBISA-JUMPER-FF-10CM")</f>
        <v>ITBISA-JUMPER-FF-10CM</v>
      </c>
      <c r="B7024" s="266">
        <f>IFERROR(__xludf.DUMMYFUNCTION("""COMPUTED_VALUE"""),45375.0)</f>
        <v>45375</v>
      </c>
      <c r="C7024" s="266" t="str">
        <f>IFERROR(__xludf.DUMMYFUNCTION("""COMPUTED_VALUE"""),"KYAI KONTONG")</f>
        <v>KYAI KONTONG</v>
      </c>
      <c r="D7024" s="186">
        <f>IFERROR(__xludf.DUMMYFUNCTION("""COMPUTED_VALUE"""),40.0)</f>
        <v>40</v>
      </c>
    </row>
    <row r="7025">
      <c r="A7025" s="178" t="str">
        <f>IFERROR(__xludf.DUMMYFUNCTION("""COMPUTED_VALUE"""),"ITBISA-JUMPER-FF-10CM")</f>
        <v>ITBISA-JUMPER-FF-10CM</v>
      </c>
      <c r="B7025" s="266">
        <f>IFERROR(__xludf.DUMMYFUNCTION("""COMPUTED_VALUE"""),45381.0)</f>
        <v>45381</v>
      </c>
      <c r="C7025" s="266" t="str">
        <f>IFERROR(__xludf.DUMMYFUNCTION("""COMPUTED_VALUE"""),"KYAI KONTONG")</f>
        <v>KYAI KONTONG</v>
      </c>
      <c r="D7025" s="186">
        <f>IFERROR(__xludf.DUMMYFUNCTION("""COMPUTED_VALUE"""),40.0)</f>
        <v>40</v>
      </c>
    </row>
    <row r="7026">
      <c r="A7026" s="178" t="str">
        <f>IFERROR(__xludf.DUMMYFUNCTION("""COMPUTED_VALUE"""),"ITBISA-JUMPER-FF-10CM")</f>
        <v>ITBISA-JUMPER-FF-10CM</v>
      </c>
      <c r="B7026" s="266">
        <f>IFERROR(__xludf.DUMMYFUNCTION("""COMPUTED_VALUE"""),45390.0)</f>
        <v>45390</v>
      </c>
      <c r="C7026" s="266" t="str">
        <f>IFERROR(__xludf.DUMMYFUNCTION("""COMPUTED_VALUE"""),"KYAI KONTONG")</f>
        <v>KYAI KONTONG</v>
      </c>
      <c r="D7026" s="186">
        <f>IFERROR(__xludf.DUMMYFUNCTION("""COMPUTED_VALUE"""),40.0)</f>
        <v>40</v>
      </c>
    </row>
    <row r="7027">
      <c r="A7027" s="178" t="str">
        <f>IFERROR(__xludf.DUMMYFUNCTION("""COMPUTED_VALUE"""),"ITBISA-JUMPER-FF-10CM")</f>
        <v>ITBISA-JUMPER-FF-10CM</v>
      </c>
      <c r="B7027" s="266">
        <f>IFERROR(__xludf.DUMMYFUNCTION("""COMPUTED_VALUE"""),45401.0)</f>
        <v>45401</v>
      </c>
      <c r="C7027" s="266" t="str">
        <f>IFERROR(__xludf.DUMMYFUNCTION("""COMPUTED_VALUE"""),"KYAI KONTONG")</f>
        <v>KYAI KONTONG</v>
      </c>
      <c r="D7027" s="186">
        <f>IFERROR(__xludf.DUMMYFUNCTION("""COMPUTED_VALUE"""),80.0)</f>
        <v>80</v>
      </c>
    </row>
    <row r="7028">
      <c r="A7028" s="178" t="str">
        <f>IFERROR(__xludf.DUMMYFUNCTION("""COMPUTED_VALUE"""),"ITBISA-JUMPER-FF-10CM")</f>
        <v>ITBISA-JUMPER-FF-10CM</v>
      </c>
      <c r="B7028" s="266">
        <f>IFERROR(__xludf.DUMMYFUNCTION("""COMPUTED_VALUE"""),45404.0)</f>
        <v>45404</v>
      </c>
      <c r="C7028" s="266" t="str">
        <f>IFERROR(__xludf.DUMMYFUNCTION("""COMPUTED_VALUE"""),"KYAI KONTONG")</f>
        <v>KYAI KONTONG</v>
      </c>
      <c r="D7028" s="186">
        <f>IFERROR(__xludf.DUMMYFUNCTION("""COMPUTED_VALUE"""),40.0)</f>
        <v>40</v>
      </c>
    </row>
    <row r="7029">
      <c r="A7029" s="178" t="str">
        <f>IFERROR(__xludf.DUMMYFUNCTION("""COMPUTED_VALUE"""),"ITBISA-JUMPER-FF-10CM")</f>
        <v>ITBISA-JUMPER-FF-10CM</v>
      </c>
      <c r="B7029" s="266">
        <f>IFERROR(__xludf.DUMMYFUNCTION("""COMPUTED_VALUE"""),45406.0)</f>
        <v>45406</v>
      </c>
      <c r="C7029" s="266" t="str">
        <f>IFERROR(__xludf.DUMMYFUNCTION("""COMPUTED_VALUE"""),"KYAI KONTONG")</f>
        <v>KYAI KONTONG</v>
      </c>
      <c r="D7029" s="186">
        <f>IFERROR(__xludf.DUMMYFUNCTION("""COMPUTED_VALUE"""),40.0)</f>
        <v>40</v>
      </c>
    </row>
    <row r="7030">
      <c r="A7030" s="178" t="str">
        <f>IFERROR(__xludf.DUMMYFUNCTION("""COMPUTED_VALUE"""),"ITBISA-JUMPER-FF-10CM")</f>
        <v>ITBISA-JUMPER-FF-10CM</v>
      </c>
      <c r="B7030" s="266">
        <f>IFERROR(__xludf.DUMMYFUNCTION("""COMPUTED_VALUE"""),45407.0)</f>
        <v>45407</v>
      </c>
      <c r="C7030" s="266" t="str">
        <f>IFERROR(__xludf.DUMMYFUNCTION("""COMPUTED_VALUE"""),"KYAI KONTONG")</f>
        <v>KYAI KONTONG</v>
      </c>
      <c r="D7030" s="186">
        <f>IFERROR(__xludf.DUMMYFUNCTION("""COMPUTED_VALUE"""),80.0)</f>
        <v>80</v>
      </c>
    </row>
    <row r="7031">
      <c r="A7031" s="178" t="str">
        <f>IFERROR(__xludf.DUMMYFUNCTION("""COMPUTED_VALUE"""),"ITBISA-JUMPER-FF-10CM")</f>
        <v>ITBISA-JUMPER-FF-10CM</v>
      </c>
      <c r="B7031" s="266">
        <f>IFERROR(__xludf.DUMMYFUNCTION("""COMPUTED_VALUE"""),45407.0)</f>
        <v>45407</v>
      </c>
      <c r="C7031" s="266" t="str">
        <f>IFERROR(__xludf.DUMMYFUNCTION("""COMPUTED_VALUE"""),"KYAI KONTONG")</f>
        <v>KYAI KONTONG</v>
      </c>
      <c r="D7031" s="186">
        <f>IFERROR(__xludf.DUMMYFUNCTION("""COMPUTED_VALUE"""),400.0)</f>
        <v>400</v>
      </c>
    </row>
    <row r="7032">
      <c r="A7032" s="178" t="str">
        <f>IFERROR(__xludf.DUMMYFUNCTION("""COMPUTED_VALUE"""),"ITBISA-JUMPER-FF-10CM")</f>
        <v>ITBISA-JUMPER-FF-10CM</v>
      </c>
      <c r="B7032" s="266">
        <f>IFERROR(__xludf.DUMMYFUNCTION("""COMPUTED_VALUE"""),45422.0)</f>
        <v>45422</v>
      </c>
      <c r="C7032" s="266" t="str">
        <f>IFERROR(__xludf.DUMMYFUNCTION("""COMPUTED_VALUE"""),"KYAI KONTONG")</f>
        <v>KYAI KONTONG</v>
      </c>
      <c r="D7032" s="186">
        <f>IFERROR(__xludf.DUMMYFUNCTION("""COMPUTED_VALUE"""),40.0)</f>
        <v>40</v>
      </c>
    </row>
    <row r="7033">
      <c r="A7033" s="178" t="str">
        <f>IFERROR(__xludf.DUMMYFUNCTION("""COMPUTED_VALUE"""),"ITBISA-JUMPER-FF-10CM")</f>
        <v>ITBISA-JUMPER-FF-10CM</v>
      </c>
      <c r="B7033" s="266">
        <f>IFERROR(__xludf.DUMMYFUNCTION("""COMPUTED_VALUE"""),45423.0)</f>
        <v>45423</v>
      </c>
      <c r="C7033" s="266" t="str">
        <f>IFERROR(__xludf.DUMMYFUNCTION("""COMPUTED_VALUE"""),"KERTASARI CIAMIS")</f>
        <v>KERTASARI CIAMIS</v>
      </c>
      <c r="D7033" s="186">
        <f>IFERROR(__xludf.DUMMYFUNCTION("""COMPUTED_VALUE"""),440.0)</f>
        <v>440</v>
      </c>
    </row>
    <row r="7034">
      <c r="A7034" s="178" t="str">
        <f>IFERROR(__xludf.DUMMYFUNCTION("""COMPUTED_VALUE"""),"ITBISA-JUMPER-FF-10CM")</f>
        <v>ITBISA-JUMPER-FF-10CM</v>
      </c>
      <c r="B7034" s="266">
        <f>IFERROR(__xludf.DUMMYFUNCTION("""COMPUTED_VALUE"""),45444.0)</f>
        <v>45444</v>
      </c>
      <c r="C7034" s="266" t="str">
        <f>IFERROR(__xludf.DUMMYFUNCTION("""COMPUTED_VALUE"""),"KYAI KONTONG")</f>
        <v>KYAI KONTONG</v>
      </c>
      <c r="D7034" s="186">
        <f>IFERROR(__xludf.DUMMYFUNCTION("""COMPUTED_VALUE"""),400.0)</f>
        <v>400</v>
      </c>
    </row>
    <row r="7035">
      <c r="A7035" s="178" t="str">
        <f>IFERROR(__xludf.DUMMYFUNCTION("""COMPUTED_VALUE"""),"ITBISA-JUMPER-FF-10CM")</f>
        <v>ITBISA-JUMPER-FF-10CM</v>
      </c>
      <c r="B7035" s="266">
        <f>IFERROR(__xludf.DUMMYFUNCTION("""COMPUTED_VALUE"""),45448.0)</f>
        <v>45448</v>
      </c>
      <c r="C7035" s="266" t="str">
        <f>IFERROR(__xludf.DUMMYFUNCTION("""COMPUTED_VALUE"""),"KYAI KONTONG")</f>
        <v>KYAI KONTONG</v>
      </c>
      <c r="D7035" s="186">
        <f>IFERROR(__xludf.DUMMYFUNCTION("""COMPUTED_VALUE"""),40.0)</f>
        <v>40</v>
      </c>
    </row>
    <row r="7036">
      <c r="A7036" s="178" t="str">
        <f>IFERROR(__xludf.DUMMYFUNCTION("""COMPUTED_VALUE"""),"ITBISA-JUMPER-FF-10CM")</f>
        <v>ITBISA-JUMPER-FF-10CM</v>
      </c>
      <c r="B7036" s="266">
        <f>IFERROR(__xludf.DUMMYFUNCTION("""COMPUTED_VALUE"""),45450.0)</f>
        <v>45450</v>
      </c>
      <c r="C7036" s="266" t="str">
        <f>IFERROR(__xludf.DUMMYFUNCTION("""COMPUTED_VALUE"""),"KYAI KONTONG")</f>
        <v>KYAI KONTONG</v>
      </c>
      <c r="D7036" s="186">
        <f>IFERROR(__xludf.DUMMYFUNCTION("""COMPUTED_VALUE"""),40.0)</f>
        <v>40</v>
      </c>
    </row>
    <row r="7037">
      <c r="A7037" s="178" t="str">
        <f>IFERROR(__xludf.DUMMYFUNCTION("""COMPUTED_VALUE"""),"ITBISA-JUMPER-FF-10CM")</f>
        <v>ITBISA-JUMPER-FF-10CM</v>
      </c>
      <c r="B7037" s="266">
        <f>IFERROR(__xludf.DUMMYFUNCTION("""COMPUTED_VALUE"""),45451.0)</f>
        <v>45451</v>
      </c>
      <c r="C7037" s="266" t="str">
        <f>IFERROR(__xludf.DUMMYFUNCTION("""COMPUTED_VALUE"""),"KYAI KONTONG")</f>
        <v>KYAI KONTONG</v>
      </c>
      <c r="D7037" s="186">
        <f>IFERROR(__xludf.DUMMYFUNCTION("""COMPUTED_VALUE"""),40.0)</f>
        <v>40</v>
      </c>
    </row>
    <row r="7038">
      <c r="A7038" s="178" t="str">
        <f>IFERROR(__xludf.DUMMYFUNCTION("""COMPUTED_VALUE"""),"ITBISA-JUMPER-FF-10CM")</f>
        <v>ITBISA-JUMPER-FF-10CM</v>
      </c>
      <c r="B7038" s="266">
        <f>IFERROR(__xludf.DUMMYFUNCTION("""COMPUTED_VALUE"""),45452.0)</f>
        <v>45452</v>
      </c>
      <c r="C7038" s="266" t="str">
        <f>IFERROR(__xludf.DUMMYFUNCTION("""COMPUTED_VALUE"""),"KYAI KONTONG")</f>
        <v>KYAI KONTONG</v>
      </c>
      <c r="D7038" s="186">
        <f>IFERROR(__xludf.DUMMYFUNCTION("""COMPUTED_VALUE"""),40.0)</f>
        <v>40</v>
      </c>
    </row>
    <row r="7039">
      <c r="A7039" s="178" t="str">
        <f>IFERROR(__xludf.DUMMYFUNCTION("""COMPUTED_VALUE"""),"ITBISA-JUMPER-FF-10CM")</f>
        <v>ITBISA-JUMPER-FF-10CM</v>
      </c>
      <c r="B7039" s="266">
        <f>IFERROR(__xludf.DUMMYFUNCTION("""COMPUTED_VALUE"""),45452.0)</f>
        <v>45452</v>
      </c>
      <c r="C7039" s="266" t="str">
        <f>IFERROR(__xludf.DUMMYFUNCTION("""COMPUTED_VALUE"""),"KYAI KONTONG")</f>
        <v>KYAI KONTONG</v>
      </c>
      <c r="D7039" s="186">
        <f>IFERROR(__xludf.DUMMYFUNCTION("""COMPUTED_VALUE"""),80.0)</f>
        <v>80</v>
      </c>
    </row>
    <row r="7040">
      <c r="A7040" s="178" t="str">
        <f>IFERROR(__xludf.DUMMYFUNCTION("""COMPUTED_VALUE"""),"ITBISA-JUMPER-FF-10CM")</f>
        <v>ITBISA-JUMPER-FF-10CM</v>
      </c>
      <c r="B7040" s="266">
        <f>IFERROR(__xludf.DUMMYFUNCTION("""COMPUTED_VALUE"""),45455.0)</f>
        <v>45455</v>
      </c>
      <c r="C7040" s="266" t="str">
        <f>IFERROR(__xludf.DUMMYFUNCTION("""COMPUTED_VALUE"""),"KYAI KONTONG")</f>
        <v>KYAI KONTONG</v>
      </c>
      <c r="D7040" s="186">
        <f>IFERROR(__xludf.DUMMYFUNCTION("""COMPUTED_VALUE"""),40.0)</f>
        <v>40</v>
      </c>
    </row>
    <row r="7041">
      <c r="A7041" s="178" t="str">
        <f>IFERROR(__xludf.DUMMYFUNCTION("""COMPUTED_VALUE"""),"ITBISA-JUMPER-FF-10CM")</f>
        <v>ITBISA-JUMPER-FF-10CM</v>
      </c>
      <c r="B7041" s="266">
        <f>IFERROR(__xludf.DUMMYFUNCTION("""COMPUTED_VALUE"""),45456.0)</f>
        <v>45456</v>
      </c>
      <c r="C7041" s="266" t="str">
        <f>IFERROR(__xludf.DUMMYFUNCTION("""COMPUTED_VALUE"""),"KYAI KONTONG")</f>
        <v>KYAI KONTONG</v>
      </c>
      <c r="D7041" s="186">
        <f>IFERROR(__xludf.DUMMYFUNCTION("""COMPUTED_VALUE"""),40.0)</f>
        <v>40</v>
      </c>
    </row>
    <row r="7042">
      <c r="A7042" s="178" t="str">
        <f>IFERROR(__xludf.DUMMYFUNCTION("""COMPUTED_VALUE"""),"ITBISA-JUMPER-FF-10CM")</f>
        <v>ITBISA-JUMPER-FF-10CM</v>
      </c>
      <c r="B7042" s="266">
        <f>IFERROR(__xludf.DUMMYFUNCTION("""COMPUTED_VALUE"""),45461.0)</f>
        <v>45461</v>
      </c>
      <c r="C7042" s="266" t="str">
        <f>IFERROR(__xludf.DUMMYFUNCTION("""COMPUTED_VALUE"""),"KYAI KONTONG")</f>
        <v>KYAI KONTONG</v>
      </c>
      <c r="D7042" s="186">
        <f>IFERROR(__xludf.DUMMYFUNCTION("""COMPUTED_VALUE"""),80.0)</f>
        <v>80</v>
      </c>
    </row>
    <row r="7043">
      <c r="A7043" s="178" t="str">
        <f>IFERROR(__xludf.DUMMYFUNCTION("""COMPUTED_VALUE"""),"ITBISA-JUMPER-FF-10CM")</f>
        <v>ITBISA-JUMPER-FF-10CM</v>
      </c>
      <c r="B7043" s="266">
        <f>IFERROR(__xludf.DUMMYFUNCTION("""COMPUTED_VALUE"""),45468.0)</f>
        <v>45468</v>
      </c>
      <c r="C7043" s="266" t="str">
        <f>IFERROR(__xludf.DUMMYFUNCTION("""COMPUTED_VALUE"""),"KERTASARI CIAMIS")</f>
        <v>KERTASARI CIAMIS</v>
      </c>
      <c r="D7043" s="186">
        <f>IFERROR(__xludf.DUMMYFUNCTION("""COMPUTED_VALUE"""),520.0)</f>
        <v>520</v>
      </c>
    </row>
    <row r="7044">
      <c r="A7044" s="178" t="str">
        <f>IFERROR(__xludf.DUMMYFUNCTION("""COMPUTED_VALUE"""),"ITBISA-JUMPER-FF-10CM")</f>
        <v>ITBISA-JUMPER-FF-10CM</v>
      </c>
      <c r="B7044" s="266">
        <f>IFERROR(__xludf.DUMMYFUNCTION("""COMPUTED_VALUE"""),45491.0)</f>
        <v>45491</v>
      </c>
      <c r="C7044" s="266" t="str">
        <f>IFERROR(__xludf.DUMMYFUNCTION("""COMPUTED_VALUE"""),"KERTASARI CIAMIS")</f>
        <v>KERTASARI CIAMIS</v>
      </c>
      <c r="D7044" s="186">
        <f>IFERROR(__xludf.DUMMYFUNCTION("""COMPUTED_VALUE"""),40.0)</f>
        <v>40</v>
      </c>
    </row>
    <row r="7045">
      <c r="A7045" s="178" t="str">
        <f>IFERROR(__xludf.DUMMYFUNCTION("""COMPUTED_VALUE"""),"ITBISA-JUMPER-FF-10CM")</f>
        <v>ITBISA-JUMPER-FF-10CM</v>
      </c>
      <c r="B7045" s="266">
        <f>IFERROR(__xludf.DUMMYFUNCTION("""COMPUTED_VALUE"""),45501.0)</f>
        <v>45501</v>
      </c>
      <c r="C7045" s="266" t="str">
        <f>IFERROR(__xludf.DUMMYFUNCTION("""COMPUTED_VALUE"""),"KERTASARI CIAMIS")</f>
        <v>KERTASARI CIAMIS</v>
      </c>
      <c r="D7045" s="186">
        <f>IFERROR(__xludf.DUMMYFUNCTION("""COMPUTED_VALUE"""),40.0)</f>
        <v>40</v>
      </c>
    </row>
    <row r="7046">
      <c r="A7046" s="178" t="str">
        <f>IFERROR(__xludf.DUMMYFUNCTION("""COMPUTED_VALUE"""),"ITBISA-JUMPER-FF-10CM")</f>
        <v>ITBISA-JUMPER-FF-10CM</v>
      </c>
      <c r="B7046" s="266">
        <f>IFERROR(__xludf.DUMMYFUNCTION("""COMPUTED_VALUE"""),45501.0)</f>
        <v>45501</v>
      </c>
      <c r="C7046" s="266" t="str">
        <f>IFERROR(__xludf.DUMMYFUNCTION("""COMPUTED_VALUE"""),"KYAI KONTONG")</f>
        <v>KYAI KONTONG</v>
      </c>
      <c r="D7046" s="186">
        <f>IFERROR(__xludf.DUMMYFUNCTION("""COMPUTED_VALUE"""),40.0)</f>
        <v>40</v>
      </c>
    </row>
    <row r="7047">
      <c r="A7047" s="178" t="str">
        <f>IFERROR(__xludf.DUMMYFUNCTION("""COMPUTED_VALUE"""),"ITBISA-JUMPER-FF-10CM")</f>
        <v>ITBISA-JUMPER-FF-10CM</v>
      </c>
      <c r="B7047" s="266">
        <f>IFERROR(__xludf.DUMMYFUNCTION("""COMPUTED_VALUE"""),45580.0)</f>
        <v>45580</v>
      </c>
      <c r="C7047" s="266" t="str">
        <f>IFERROR(__xludf.DUMMYFUNCTION("""COMPUTED_VALUE"""),"KYAI KONTONG")</f>
        <v>KYAI KONTONG</v>
      </c>
      <c r="D7047" s="186">
        <f>IFERROR(__xludf.DUMMYFUNCTION("""COMPUTED_VALUE"""),80.0)</f>
        <v>80</v>
      </c>
    </row>
    <row r="7048">
      <c r="A7048" s="178" t="str">
        <f>IFERROR(__xludf.DUMMYFUNCTION("""COMPUTED_VALUE"""),"ITBISA-JUMPER-FF-10CM")</f>
        <v>ITBISA-JUMPER-FF-10CM</v>
      </c>
      <c r="B7048" s="266">
        <f>IFERROR(__xludf.DUMMYFUNCTION("""COMPUTED_VALUE"""),45615.0)</f>
        <v>45615</v>
      </c>
      <c r="C7048" s="266" t="str">
        <f>IFERROR(__xludf.DUMMYFUNCTION("""COMPUTED_VALUE"""),"KERTASARI CIAMIS")</f>
        <v>KERTASARI CIAMIS</v>
      </c>
      <c r="D7048" s="186">
        <f>IFERROR(__xludf.DUMMYFUNCTION("""COMPUTED_VALUE"""),40.0)</f>
        <v>40</v>
      </c>
    </row>
    <row r="7049">
      <c r="A7049" s="178" t="str">
        <f>IFERROR(__xludf.DUMMYFUNCTION("""COMPUTED_VALUE"""),"ITBISA-JUMPER-FF-10CM")</f>
        <v>ITBISA-JUMPER-FF-10CM</v>
      </c>
      <c r="B7049" s="266">
        <f>IFERROR(__xludf.DUMMYFUNCTION("""COMPUTED_VALUE"""),45618.0)</f>
        <v>45618</v>
      </c>
      <c r="C7049" s="266" t="str">
        <f>IFERROR(__xludf.DUMMYFUNCTION("""COMPUTED_VALUE"""),"KYAI KONTONG")</f>
        <v>KYAI KONTONG</v>
      </c>
      <c r="D7049" s="186">
        <f>IFERROR(__xludf.DUMMYFUNCTION("""COMPUTED_VALUE"""),40.0)</f>
        <v>40</v>
      </c>
    </row>
    <row r="7050">
      <c r="A7050" s="178" t="str">
        <f>IFERROR(__xludf.DUMMYFUNCTION("""COMPUTED_VALUE"""),"ITBISA-JUMPER-FF-10CM")</f>
        <v>ITBISA-JUMPER-FF-10CM</v>
      </c>
      <c r="B7050" s="266">
        <f>IFERROR(__xludf.DUMMYFUNCTION("""COMPUTED_VALUE"""),45626.0)</f>
        <v>45626</v>
      </c>
      <c r="C7050" s="266" t="str">
        <f>IFERROR(__xludf.DUMMYFUNCTION("""COMPUTED_VALUE"""),"KERTASARI CIAMIS")</f>
        <v>KERTASARI CIAMIS</v>
      </c>
      <c r="D7050" s="186">
        <f>IFERROR(__xludf.DUMMYFUNCTION("""COMPUTED_VALUE"""),40.0)</f>
        <v>40</v>
      </c>
    </row>
    <row r="7051">
      <c r="A7051" s="178" t="str">
        <f>IFERROR(__xludf.DUMMYFUNCTION("""COMPUTED_VALUE"""),"ITBISA-JUMPER-FF-10CM")</f>
        <v>ITBISA-JUMPER-FF-10CM</v>
      </c>
      <c r="B7051" s="266">
        <f>IFERROR(__xludf.DUMMYFUNCTION("""COMPUTED_VALUE"""),45641.0)</f>
        <v>45641</v>
      </c>
      <c r="C7051" s="266" t="str">
        <f>IFERROR(__xludf.DUMMYFUNCTION("""COMPUTED_VALUE"""),"KYAI KONTONG")</f>
        <v>KYAI KONTONG</v>
      </c>
      <c r="D7051" s="186">
        <f>IFERROR(__xludf.DUMMYFUNCTION("""COMPUTED_VALUE"""),40.0)</f>
        <v>40</v>
      </c>
    </row>
    <row r="7052">
      <c r="A7052" s="178" t="str">
        <f>IFERROR(__xludf.DUMMYFUNCTION("""COMPUTED_VALUE"""),"ITBISA-JUMPER-FF-10CM")</f>
        <v>ITBISA-JUMPER-FF-10CM</v>
      </c>
      <c r="B7052" s="266">
        <f>IFERROR(__xludf.DUMMYFUNCTION("""COMPUTED_VALUE"""),45653.0)</f>
        <v>45653</v>
      </c>
      <c r="C7052" s="266" t="str">
        <f>IFERROR(__xludf.DUMMYFUNCTION("""COMPUTED_VALUE"""),"KYAI KONTONG")</f>
        <v>KYAI KONTONG</v>
      </c>
      <c r="D7052" s="186">
        <f>IFERROR(__xludf.DUMMYFUNCTION("""COMPUTED_VALUE"""),40.0)</f>
        <v>40</v>
      </c>
    </row>
    <row r="7053">
      <c r="A7053" s="178" t="str">
        <f>IFERROR(__xludf.DUMMYFUNCTION("""COMPUTED_VALUE"""),"ITBISA-JUMPER-FF-10CM")</f>
        <v>ITBISA-JUMPER-FF-10CM</v>
      </c>
      <c r="B7053" s="266">
        <f>IFERROR(__xludf.DUMMYFUNCTION("""COMPUTED_VALUE"""),45685.0)</f>
        <v>45685</v>
      </c>
      <c r="C7053" s="266" t="str">
        <f>IFERROR(__xludf.DUMMYFUNCTION("""COMPUTED_VALUE"""),"KYAI KONTONG")</f>
        <v>KYAI KONTONG</v>
      </c>
      <c r="D7053" s="186">
        <f>IFERROR(__xludf.DUMMYFUNCTION("""COMPUTED_VALUE"""),120.0)</f>
        <v>120</v>
      </c>
    </row>
    <row r="7054">
      <c r="A7054" s="178" t="str">
        <f>IFERROR(__xludf.DUMMYFUNCTION("""COMPUTED_VALUE"""),"ITBISA-JUMPER-FF-10CM")</f>
        <v>ITBISA-JUMPER-FF-10CM</v>
      </c>
      <c r="B7054" s="266">
        <f>IFERROR(__xludf.DUMMYFUNCTION("""COMPUTED_VALUE"""),45699.0)</f>
        <v>45699</v>
      </c>
      <c r="C7054" s="266" t="str">
        <f>IFERROR(__xludf.DUMMYFUNCTION("""COMPUTED_VALUE"""),"KERTASARI CIAMIS")</f>
        <v>KERTASARI CIAMIS</v>
      </c>
      <c r="D7054" s="186">
        <f>IFERROR(__xludf.DUMMYFUNCTION("""COMPUTED_VALUE"""),40.0)</f>
        <v>40</v>
      </c>
    </row>
    <row r="7055">
      <c r="A7055" s="178" t="str">
        <f>IFERROR(__xludf.DUMMYFUNCTION("""COMPUTED_VALUE"""),"ITBISA-JUMPER-FF-10CM")</f>
        <v>ITBISA-JUMPER-FF-10CM</v>
      </c>
      <c r="B7055" s="266">
        <f>IFERROR(__xludf.DUMMYFUNCTION("""COMPUTED_VALUE"""),45710.0)</f>
        <v>45710</v>
      </c>
      <c r="C7055" s="266" t="str">
        <f>IFERROR(__xludf.DUMMYFUNCTION("""COMPUTED_VALUE"""),"KERTASARI CIAMIS")</f>
        <v>KERTASARI CIAMIS</v>
      </c>
      <c r="D7055" s="186">
        <f>IFERROR(__xludf.DUMMYFUNCTION("""COMPUTED_VALUE"""),40.0)</f>
        <v>40</v>
      </c>
    </row>
    <row r="7056">
      <c r="A7056" s="178" t="str">
        <f>IFERROR(__xludf.DUMMYFUNCTION("""COMPUTED_VALUE"""),"ITBISA-JUMPER-FF-10CM")</f>
        <v>ITBISA-JUMPER-FF-10CM</v>
      </c>
      <c r="B7056" s="266">
        <f>IFERROR(__xludf.DUMMYFUNCTION("""COMPUTED_VALUE"""),45714.0)</f>
        <v>45714</v>
      </c>
      <c r="C7056" s="266" t="str">
        <f>IFERROR(__xludf.DUMMYFUNCTION("""COMPUTED_VALUE"""),"KERTASARI CIAMIS")</f>
        <v>KERTASARI CIAMIS</v>
      </c>
      <c r="D7056" s="186">
        <f>IFERROR(__xludf.DUMMYFUNCTION("""COMPUTED_VALUE"""),80.0)</f>
        <v>80</v>
      </c>
    </row>
    <row r="7057">
      <c r="A7057" s="178" t="str">
        <f>IFERROR(__xludf.DUMMYFUNCTION("""COMPUTED_VALUE"""),"ITBISA-JUMPER-FF-10CM")</f>
        <v>ITBISA-JUMPER-FF-10CM</v>
      </c>
      <c r="B7057" s="266">
        <f>IFERROR(__xludf.DUMMYFUNCTION("""COMPUTED_VALUE"""),45727.0)</f>
        <v>45727</v>
      </c>
      <c r="C7057" s="266" t="str">
        <f>IFERROR(__xludf.DUMMYFUNCTION("""COMPUTED_VALUE"""),"KERTASARI CIAMIS")</f>
        <v>KERTASARI CIAMIS</v>
      </c>
      <c r="D7057" s="186">
        <f>IFERROR(__xludf.DUMMYFUNCTION("""COMPUTED_VALUE"""),80.0)</f>
        <v>80</v>
      </c>
    </row>
    <row r="7058">
      <c r="A7058" s="178" t="str">
        <f>IFERROR(__xludf.DUMMYFUNCTION("""COMPUTED_VALUE"""),"ITBISA-JUMPER-FF-10CM")</f>
        <v>ITBISA-JUMPER-FF-10CM</v>
      </c>
      <c r="B7058" s="266">
        <f>IFERROR(__xludf.DUMMYFUNCTION("""COMPUTED_VALUE"""),45733.0)</f>
        <v>45733</v>
      </c>
      <c r="C7058" s="266" t="str">
        <f>IFERROR(__xludf.DUMMYFUNCTION("""COMPUTED_VALUE"""),"KERTASARI CIAMIS")</f>
        <v>KERTASARI CIAMIS</v>
      </c>
      <c r="D7058" s="186">
        <f>IFERROR(__xludf.DUMMYFUNCTION("""COMPUTED_VALUE"""),40.0)</f>
        <v>40</v>
      </c>
    </row>
    <row r="7059">
      <c r="A7059" s="178" t="str">
        <f>IFERROR(__xludf.DUMMYFUNCTION("""COMPUTED_VALUE"""),"ITBISA-JUMPER-FF-10CM")</f>
        <v>ITBISA-JUMPER-FF-10CM</v>
      </c>
      <c r="B7059" s="266">
        <f>IFERROR(__xludf.DUMMYFUNCTION("""COMPUTED_VALUE"""),45758.0)</f>
        <v>45758</v>
      </c>
      <c r="C7059" s="266" t="str">
        <f>IFERROR(__xludf.DUMMYFUNCTION("""COMPUTED_VALUE"""),"KERTASARI CIAMIS")</f>
        <v>KERTASARI CIAMIS</v>
      </c>
      <c r="D7059" s="186">
        <f>IFERROR(__xludf.DUMMYFUNCTION("""COMPUTED_VALUE"""),40.0)</f>
        <v>40</v>
      </c>
    </row>
    <row r="7060">
      <c r="A7060" s="178" t="str">
        <f>IFERROR(__xludf.DUMMYFUNCTION("""COMPUTED_VALUE"""),"ITBISA-JUMPER-FF-10CM")</f>
        <v>ITBISA-JUMPER-FF-10CM</v>
      </c>
      <c r="B7060" s="266">
        <f>IFERROR(__xludf.DUMMYFUNCTION("""COMPUTED_VALUE"""),45770.0)</f>
        <v>45770</v>
      </c>
      <c r="C7060" s="266" t="str">
        <f>IFERROR(__xludf.DUMMYFUNCTION("""COMPUTED_VALUE"""),"KYAI KONTONG")</f>
        <v>KYAI KONTONG</v>
      </c>
      <c r="D7060" s="186">
        <f>IFERROR(__xludf.DUMMYFUNCTION("""COMPUTED_VALUE"""),40.0)</f>
        <v>40</v>
      </c>
    </row>
    <row r="7061">
      <c r="A7061" s="178" t="str">
        <f>IFERROR(__xludf.DUMMYFUNCTION("""COMPUTED_VALUE"""),"ITBISA-JUMPER-FF-10CM")</f>
        <v>ITBISA-JUMPER-FF-10CM</v>
      </c>
      <c r="B7061" s="266">
        <f>IFERROR(__xludf.DUMMYFUNCTION("""COMPUTED_VALUE"""),45773.0)</f>
        <v>45773</v>
      </c>
      <c r="C7061" s="266" t="str">
        <f>IFERROR(__xludf.DUMMYFUNCTION("""COMPUTED_VALUE"""),"KERTASARI CIAMIS")</f>
        <v>KERTASARI CIAMIS</v>
      </c>
      <c r="D7061" s="186">
        <f>IFERROR(__xludf.DUMMYFUNCTION("""COMPUTED_VALUE"""),0.0)</f>
        <v>0</v>
      </c>
    </row>
    <row r="7062">
      <c r="A7062" s="178" t="str">
        <f>IFERROR(__xludf.DUMMYFUNCTION("""COMPUTED_VALUE"""),"ITBISA-JUMPER-FF-10CM")</f>
        <v>ITBISA-JUMPER-FF-10CM</v>
      </c>
      <c r="B7062" s="266">
        <f>IFERROR(__xludf.DUMMYFUNCTION("""COMPUTED_VALUE"""),45785.0)</f>
        <v>45785</v>
      </c>
      <c r="C7062" s="266" t="str">
        <f>IFERROR(__xludf.DUMMYFUNCTION("""COMPUTED_VALUE"""),"KERTASARI CIAMIS")</f>
        <v>KERTASARI CIAMIS</v>
      </c>
      <c r="D7062" s="186">
        <f>IFERROR(__xludf.DUMMYFUNCTION("""COMPUTED_VALUE"""),40.0)</f>
        <v>40</v>
      </c>
    </row>
    <row r="7063">
      <c r="A7063" s="178" t="str">
        <f>IFERROR(__xludf.DUMMYFUNCTION("""COMPUTED_VALUE"""),"ITBISA-JUMPER-FF-10CM")</f>
        <v>ITBISA-JUMPER-FF-10CM</v>
      </c>
      <c r="B7063" s="266">
        <f>IFERROR(__xludf.DUMMYFUNCTION("""COMPUTED_VALUE"""),45792.0)</f>
        <v>45792</v>
      </c>
      <c r="C7063" s="266" t="str">
        <f>IFERROR(__xludf.DUMMYFUNCTION("""COMPUTED_VALUE"""),"KYAI KONTONG")</f>
        <v>KYAI KONTONG</v>
      </c>
      <c r="D7063" s="186">
        <f>IFERROR(__xludf.DUMMYFUNCTION("""COMPUTED_VALUE"""),160.0)</f>
        <v>160</v>
      </c>
    </row>
    <row r="7064">
      <c r="A7064" s="178" t="str">
        <f>IFERROR(__xludf.DUMMYFUNCTION("""COMPUTED_VALUE"""),"ITBISA-JUMPER-FF-10CM")</f>
        <v>ITBISA-JUMPER-FF-10CM</v>
      </c>
      <c r="B7064" s="266">
        <f>IFERROR(__xludf.DUMMYFUNCTION("""COMPUTED_VALUE"""),45795.0)</f>
        <v>45795</v>
      </c>
      <c r="C7064" s="266" t="str">
        <f>IFERROR(__xludf.DUMMYFUNCTION("""COMPUTED_VALUE"""),"KYAI KONTONG")</f>
        <v>KYAI KONTONG</v>
      </c>
      <c r="D7064" s="186">
        <f>IFERROR(__xludf.DUMMYFUNCTION("""COMPUTED_VALUE"""),160.0)</f>
        <v>160</v>
      </c>
    </row>
    <row r="7065">
      <c r="A7065" s="178" t="str">
        <f>IFERROR(__xludf.DUMMYFUNCTION("""COMPUTED_VALUE"""),"ITBISA-JUMPER-FF-10CM")</f>
        <v>ITBISA-JUMPER-FF-10CM</v>
      </c>
      <c r="B7065" s="266">
        <f>IFERROR(__xludf.DUMMYFUNCTION("""COMPUTED_VALUE"""),45800.0)</f>
        <v>45800</v>
      </c>
      <c r="C7065" s="266" t="str">
        <f>IFERROR(__xludf.DUMMYFUNCTION("""COMPUTED_VALUE"""),"KYAI KONTONG")</f>
        <v>KYAI KONTONG</v>
      </c>
      <c r="D7065" s="186">
        <f>IFERROR(__xludf.DUMMYFUNCTION("""COMPUTED_VALUE"""),80.0)</f>
        <v>80</v>
      </c>
    </row>
    <row r="7066">
      <c r="A7066" s="178" t="str">
        <f>IFERROR(__xludf.DUMMYFUNCTION("""COMPUTED_VALUE"""),"ITBISA-JUMPER-FF-10CM")</f>
        <v>ITBISA-JUMPER-FF-10CM</v>
      </c>
      <c r="B7066" s="266">
        <f>IFERROR(__xludf.DUMMYFUNCTION("""COMPUTED_VALUE"""),45814.0)</f>
        <v>45814</v>
      </c>
      <c r="C7066" s="266" t="str">
        <f>IFERROR(__xludf.DUMMYFUNCTION("""COMPUTED_VALUE"""),"KYAI KONTONG")</f>
        <v>KYAI KONTONG</v>
      </c>
      <c r="D7066" s="186">
        <f>IFERROR(__xludf.DUMMYFUNCTION("""COMPUTED_VALUE"""),40.0)</f>
        <v>40</v>
      </c>
    </row>
    <row r="7067">
      <c r="A7067" s="178" t="str">
        <f>IFERROR(__xludf.DUMMYFUNCTION("""COMPUTED_VALUE"""),"ITBISA-JUMPER-FF-10CM")</f>
        <v>ITBISA-JUMPER-FF-10CM</v>
      </c>
      <c r="B7067" s="266">
        <f>IFERROR(__xludf.DUMMYFUNCTION("""COMPUTED_VALUE"""),45830.0)</f>
        <v>45830</v>
      </c>
      <c r="C7067" s="266" t="str">
        <f>IFERROR(__xludf.DUMMYFUNCTION("""COMPUTED_VALUE"""),"KYAI KONTONG")</f>
        <v>KYAI KONTONG</v>
      </c>
      <c r="D7067" s="186">
        <f>IFERROR(__xludf.DUMMYFUNCTION("""COMPUTED_VALUE"""),80.0)</f>
        <v>80</v>
      </c>
    </row>
    <row r="7068">
      <c r="A7068" s="178" t="str">
        <f>IFERROR(__xludf.DUMMYFUNCTION("""COMPUTED_VALUE"""),"ITBISA-JUMPER-FF-10CM")</f>
        <v>ITBISA-JUMPER-FF-10CM</v>
      </c>
      <c r="B7068" s="266">
        <f>IFERROR(__xludf.DUMMYFUNCTION("""COMPUTED_VALUE"""),45840.0)</f>
        <v>45840</v>
      </c>
      <c r="C7068" s="266" t="str">
        <f>IFERROR(__xludf.DUMMYFUNCTION("""COMPUTED_VALUE"""),"KERTASARI CIAMIS")</f>
        <v>KERTASARI CIAMIS</v>
      </c>
      <c r="D7068" s="186">
        <f>IFERROR(__xludf.DUMMYFUNCTION("""COMPUTED_VALUE"""),40.0)</f>
        <v>40</v>
      </c>
    </row>
    <row r="7069">
      <c r="A7069" s="178" t="str">
        <f>IFERROR(__xludf.DUMMYFUNCTION("""COMPUTED_VALUE"""),"ITBISA-JUMPER-FF-10CM")</f>
        <v>ITBISA-JUMPER-FF-10CM</v>
      </c>
      <c r="B7069" s="266">
        <f>IFERROR(__xludf.DUMMYFUNCTION("""COMPUTED_VALUE"""),45863.0)</f>
        <v>45863</v>
      </c>
      <c r="C7069" s="266" t="str">
        <f>IFERROR(__xludf.DUMMYFUNCTION("""COMPUTED_VALUE"""),"KYAI KONTONG")</f>
        <v>KYAI KONTONG</v>
      </c>
      <c r="D7069" s="186">
        <f>IFERROR(__xludf.DUMMYFUNCTION("""COMPUTED_VALUE"""),40.0)</f>
        <v>40</v>
      </c>
    </row>
    <row r="7070">
      <c r="A7070" s="178" t="str">
        <f>IFERROR(__xludf.DUMMYFUNCTION("""COMPUTED_VALUE"""),"ITBISA-JUMPER-FF-10CM")</f>
        <v>ITBISA-JUMPER-FF-10CM</v>
      </c>
      <c r="B7070" s="266">
        <f>IFERROR(__xludf.DUMMYFUNCTION("""COMPUTED_VALUE"""),45873.0)</f>
        <v>45873</v>
      </c>
      <c r="C7070" s="266" t="str">
        <f>IFERROR(__xludf.DUMMYFUNCTION("""COMPUTED_VALUE"""),"KERTASARI CIAMIS")</f>
        <v>KERTASARI CIAMIS</v>
      </c>
      <c r="D7070" s="186">
        <f>IFERROR(__xludf.DUMMYFUNCTION("""COMPUTED_VALUE"""),40.0)</f>
        <v>40</v>
      </c>
    </row>
    <row r="7071">
      <c r="A7071" s="178" t="str">
        <f>IFERROR(__xludf.DUMMYFUNCTION("""COMPUTED_VALUE"""),"ITBISA-JUMPER-FF-10CM")</f>
        <v>ITBISA-JUMPER-FF-10CM</v>
      </c>
      <c r="B7071" s="266">
        <f>IFERROR(__xludf.DUMMYFUNCTION("""COMPUTED_VALUE"""),45933.0)</f>
        <v>45933</v>
      </c>
      <c r="C7071" s="266" t="str">
        <f>IFERROR(__xludf.DUMMYFUNCTION("""COMPUTED_VALUE"""),"KERTASARI CIAMIS")</f>
        <v>KERTASARI CIAMIS</v>
      </c>
      <c r="D7071" s="186">
        <f>IFERROR(__xludf.DUMMYFUNCTION("""COMPUTED_VALUE"""),40.0)</f>
        <v>40</v>
      </c>
    </row>
    <row r="7072">
      <c r="A7072" s="178" t="str">
        <f>IFERROR(__xludf.DUMMYFUNCTION("""COMPUTED_VALUE"""),"ITBISA-JUMPER-FF-10CM")</f>
        <v>ITBISA-JUMPER-FF-10CM</v>
      </c>
      <c r="B7072" s="266">
        <f>IFERROR(__xludf.DUMMYFUNCTION("""COMPUTED_VALUE"""),45964.0)</f>
        <v>45964</v>
      </c>
      <c r="C7072" s="266" t="str">
        <f>IFERROR(__xludf.DUMMYFUNCTION("""COMPUTED_VALUE"""),"KERTASARI CIAMIS")</f>
        <v>KERTASARI CIAMIS</v>
      </c>
      <c r="D7072" s="186">
        <f>IFERROR(__xludf.DUMMYFUNCTION("""COMPUTED_VALUE"""),80.0)</f>
        <v>80</v>
      </c>
    </row>
    <row r="7073">
      <c r="A7073" s="178" t="str">
        <f>IFERROR(__xludf.DUMMYFUNCTION("""COMPUTED_VALUE"""),"ITBISA-JUMPER-FF-10CM")</f>
        <v>ITBISA-JUMPER-FF-10CM</v>
      </c>
      <c r="B7073" s="266">
        <f>IFERROR(__xludf.DUMMYFUNCTION("""COMPUTED_VALUE"""),45969.0)</f>
        <v>45969</v>
      </c>
      <c r="C7073" s="266" t="str">
        <f>IFERROR(__xludf.DUMMYFUNCTION("""COMPUTED_VALUE"""),"KYAI KONTONG")</f>
        <v>KYAI KONTONG</v>
      </c>
      <c r="D7073" s="186">
        <f>IFERROR(__xludf.DUMMYFUNCTION("""COMPUTED_VALUE"""),40.0)</f>
        <v>40</v>
      </c>
    </row>
    <row r="7074">
      <c r="A7074" s="178" t="str">
        <f>IFERROR(__xludf.DUMMYFUNCTION("""COMPUTED_VALUE"""),"ITBISA-JUMPER-FF-10CM")</f>
        <v>ITBISA-JUMPER-FF-10CM</v>
      </c>
      <c r="B7074" s="266">
        <f>IFERROR(__xludf.DUMMYFUNCTION("""COMPUTED_VALUE"""),45972.0)</f>
        <v>45972</v>
      </c>
      <c r="C7074" s="266" t="str">
        <f>IFERROR(__xludf.DUMMYFUNCTION("""COMPUTED_VALUE"""),"KYAI KONTONG")</f>
        <v>KYAI KONTONG</v>
      </c>
      <c r="D7074" s="186">
        <f>IFERROR(__xludf.DUMMYFUNCTION("""COMPUTED_VALUE"""),40.0)</f>
        <v>40</v>
      </c>
    </row>
    <row r="7075">
      <c r="A7075" s="178" t="str">
        <f>IFERROR(__xludf.DUMMYFUNCTION("""COMPUTED_VALUE"""),"ITBISA-JUMPER-FF-10CM")</f>
        <v>ITBISA-JUMPER-FF-10CM</v>
      </c>
      <c r="B7075" s="266">
        <f>IFERROR(__xludf.DUMMYFUNCTION("""COMPUTED_VALUE"""),45973.0)</f>
        <v>45973</v>
      </c>
      <c r="C7075" s="266" t="str">
        <f>IFERROR(__xludf.DUMMYFUNCTION("""COMPUTED_VALUE"""),"KERTASARI CIAMIS")</f>
        <v>KERTASARI CIAMIS</v>
      </c>
      <c r="D7075" s="186">
        <f>IFERROR(__xludf.DUMMYFUNCTION("""COMPUTED_VALUE"""),40.0)</f>
        <v>40</v>
      </c>
    </row>
    <row r="7076">
      <c r="A7076" s="178" t="str">
        <f>IFERROR(__xludf.DUMMYFUNCTION("""COMPUTED_VALUE"""),"ITBISA-JUMPER-FF-10CM")</f>
        <v>ITBISA-JUMPER-FF-10CM</v>
      </c>
      <c r="B7076" s="266">
        <f>IFERROR(__xludf.DUMMYFUNCTION("""COMPUTED_VALUE"""),45975.0)</f>
        <v>45975</v>
      </c>
      <c r="C7076" s="266" t="str">
        <f>IFERROR(__xludf.DUMMYFUNCTION("""COMPUTED_VALUE"""),"KYAI KONTONG")</f>
        <v>KYAI KONTONG</v>
      </c>
      <c r="D7076" s="186">
        <f>IFERROR(__xludf.DUMMYFUNCTION("""COMPUTED_VALUE"""),240.0)</f>
        <v>240</v>
      </c>
    </row>
    <row r="7077">
      <c r="A7077" s="178" t="str">
        <f>IFERROR(__xludf.DUMMYFUNCTION("""COMPUTED_VALUE"""),"ITBISA-JUMPER-FF-10CM")</f>
        <v>ITBISA-JUMPER-FF-10CM</v>
      </c>
      <c r="B7077" s="266">
        <f>IFERROR(__xludf.DUMMYFUNCTION("""COMPUTED_VALUE"""),45976.0)</f>
        <v>45976</v>
      </c>
      <c r="C7077" s="266" t="str">
        <f>IFERROR(__xludf.DUMMYFUNCTION("""COMPUTED_VALUE"""),"KYAI KONTONG")</f>
        <v>KYAI KONTONG</v>
      </c>
      <c r="D7077" s="186">
        <f>IFERROR(__xludf.DUMMYFUNCTION("""COMPUTED_VALUE"""),40.0)</f>
        <v>40</v>
      </c>
    </row>
    <row r="7078">
      <c r="A7078" s="178" t="str">
        <f>IFERROR(__xludf.DUMMYFUNCTION("""COMPUTED_VALUE"""),"ITBISA-JUMPER-FF-10CM")</f>
        <v>ITBISA-JUMPER-FF-10CM</v>
      </c>
      <c r="B7078" s="266">
        <f>IFERROR(__xludf.DUMMYFUNCTION("""COMPUTED_VALUE"""),45988.0)</f>
        <v>45988</v>
      </c>
      <c r="C7078" s="266" t="str">
        <f>IFERROR(__xludf.DUMMYFUNCTION("""COMPUTED_VALUE"""),"KERTASARI CIAMIS")</f>
        <v>KERTASARI CIAMIS</v>
      </c>
      <c r="D7078" s="186">
        <f>IFERROR(__xludf.DUMMYFUNCTION("""COMPUTED_VALUE"""),40.0)</f>
        <v>40</v>
      </c>
    </row>
    <row r="7079">
      <c r="A7079" s="178" t="str">
        <f>IFERROR(__xludf.DUMMYFUNCTION("""COMPUTED_VALUE"""),"ITBISA-JUMPER-FF-10CM")</f>
        <v>ITBISA-JUMPER-FF-10CM</v>
      </c>
      <c r="B7079" s="266">
        <f>IFERROR(__xludf.DUMMYFUNCTION("""COMPUTED_VALUE"""),45994.0)</f>
        <v>45994</v>
      </c>
      <c r="C7079" s="266" t="str">
        <f>IFERROR(__xludf.DUMMYFUNCTION("""COMPUTED_VALUE"""),"KERTASARI CIAMIS")</f>
        <v>KERTASARI CIAMIS</v>
      </c>
      <c r="D7079" s="186">
        <f>IFERROR(__xludf.DUMMYFUNCTION("""COMPUTED_VALUE"""),80.0)</f>
        <v>80</v>
      </c>
    </row>
    <row r="7080">
      <c r="A7080" s="178" t="str">
        <f>IFERROR(__xludf.DUMMYFUNCTION("""COMPUTED_VALUE"""),"ITBISA-JUMPER-FF-10CM")</f>
        <v>ITBISA-JUMPER-FF-10CM</v>
      </c>
      <c r="B7080" s="266">
        <f>IFERROR(__xludf.DUMMYFUNCTION("""COMPUTED_VALUE"""),46000.0)</f>
        <v>46000</v>
      </c>
      <c r="C7080" s="266" t="str">
        <f>IFERROR(__xludf.DUMMYFUNCTION("""COMPUTED_VALUE"""),"KYAI KONTONG")</f>
        <v>KYAI KONTONG</v>
      </c>
      <c r="D7080" s="186">
        <f>IFERROR(__xludf.DUMMYFUNCTION("""COMPUTED_VALUE"""),40.0)</f>
        <v>40</v>
      </c>
    </row>
    <row r="7081">
      <c r="A7081" s="178" t="str">
        <f>IFERROR(__xludf.DUMMYFUNCTION("""COMPUTED_VALUE"""),"ITBISA-JUMPER-FF-10CM")</f>
        <v>ITBISA-JUMPER-FF-10CM</v>
      </c>
      <c r="B7081" s="266">
        <f>IFERROR(__xludf.DUMMYFUNCTION("""COMPUTED_VALUE"""),46001.0)</f>
        <v>46001</v>
      </c>
      <c r="C7081" s="266" t="str">
        <f>IFERROR(__xludf.DUMMYFUNCTION("""COMPUTED_VALUE"""),"KYAI KONTONG")</f>
        <v>KYAI KONTONG</v>
      </c>
      <c r="D7081" s="186">
        <f>IFERROR(__xludf.DUMMYFUNCTION("""COMPUTED_VALUE"""),40.0)</f>
        <v>40</v>
      </c>
    </row>
    <row r="7082">
      <c r="A7082" s="178" t="str">
        <f>IFERROR(__xludf.DUMMYFUNCTION("""COMPUTED_VALUE"""),"ITBISA-JUMPER-FF-20CM")</f>
        <v>ITBISA-JUMPER-FF-20CM</v>
      </c>
      <c r="B7082" s="266">
        <f>IFERROR(__xludf.DUMMYFUNCTION("""COMPUTED_VALUE"""),43819.0)</f>
        <v>43819</v>
      </c>
      <c r="C7082" s="266" t="str">
        <f>IFERROR(__xludf.DUMMYFUNCTION("""COMPUTED_VALUE"""),"AVRG ITB")</f>
        <v>AVRG ITB</v>
      </c>
      <c r="D7082" s="186">
        <f>IFERROR(__xludf.DUMMYFUNCTION("""COMPUTED_VALUE"""),40.0)</f>
        <v>40</v>
      </c>
    </row>
    <row r="7083">
      <c r="A7083" s="178" t="str">
        <f>IFERROR(__xludf.DUMMYFUNCTION("""COMPUTED_VALUE"""),"ITBISA-JUMPER-FF-20CM")</f>
        <v>ITBISA-JUMPER-FF-20CM</v>
      </c>
      <c r="B7083" s="266">
        <f>IFERROR(__xludf.DUMMYFUNCTION("""COMPUTED_VALUE"""),43988.0)</f>
        <v>43988</v>
      </c>
      <c r="C7083" s="266" t="str">
        <f>IFERROR(__xludf.DUMMYFUNCTION("""COMPUTED_VALUE"""),"KAETOBO RESIDENCE")</f>
        <v>KAETOBO RESIDENCE</v>
      </c>
      <c r="D7083" s="186">
        <f>IFERROR(__xludf.DUMMYFUNCTION("""COMPUTED_VALUE"""),40.0)</f>
        <v>40</v>
      </c>
    </row>
    <row r="7084">
      <c r="A7084" s="178" t="str">
        <f>IFERROR(__xludf.DUMMYFUNCTION("""COMPUTED_VALUE"""),"ITBISA-JUMPER-FF-20CM")</f>
        <v>ITBISA-JUMPER-FF-20CM</v>
      </c>
      <c r="B7084" s="266">
        <f>IFERROR(__xludf.DUMMYFUNCTION("""COMPUTED_VALUE"""),44005.0)</f>
        <v>44005</v>
      </c>
      <c r="C7084" s="266" t="str">
        <f>IFERROR(__xludf.DUMMYFUNCTION("""COMPUTED_VALUE"""),"KAETOBO RESIDENCE")</f>
        <v>KAETOBO RESIDENCE</v>
      </c>
      <c r="D7084" s="186">
        <f>IFERROR(__xludf.DUMMYFUNCTION("""COMPUTED_VALUE"""),200.0)</f>
        <v>200</v>
      </c>
    </row>
    <row r="7085">
      <c r="A7085" s="178" t="str">
        <f>IFERROR(__xludf.DUMMYFUNCTION("""COMPUTED_VALUE"""),"ITBISA-JUMPER-FF-20CM")</f>
        <v>ITBISA-JUMPER-FF-20CM</v>
      </c>
      <c r="B7085" s="266">
        <f>IFERROR(__xludf.DUMMYFUNCTION("""COMPUTED_VALUE"""),44032.0)</f>
        <v>44032</v>
      </c>
      <c r="C7085" s="266" t="str">
        <f>IFERROR(__xludf.DUMMYFUNCTION("""COMPUTED_VALUE"""),"KAETOBO RESIDENCE")</f>
        <v>KAETOBO RESIDENCE</v>
      </c>
      <c r="D7085" s="186">
        <f>IFERROR(__xludf.DUMMYFUNCTION("""COMPUTED_VALUE"""),40.0)</f>
        <v>40</v>
      </c>
    </row>
    <row r="7086">
      <c r="A7086" s="178" t="str">
        <f>IFERROR(__xludf.DUMMYFUNCTION("""COMPUTED_VALUE"""),"ITBISA-JUMPER-FF-20CM")</f>
        <v>ITBISA-JUMPER-FF-20CM</v>
      </c>
      <c r="B7086" s="266">
        <f>IFERROR(__xludf.DUMMYFUNCTION("""COMPUTED_VALUE"""),44034.0)</f>
        <v>44034</v>
      </c>
      <c r="C7086" s="266" t="str">
        <f>IFERROR(__xludf.DUMMYFUNCTION("""COMPUTED_VALUE"""),"KAETOBO RESIDENCE")</f>
        <v>KAETOBO RESIDENCE</v>
      </c>
      <c r="D7086" s="186">
        <f>IFERROR(__xludf.DUMMYFUNCTION("""COMPUTED_VALUE"""),200.0)</f>
        <v>200</v>
      </c>
    </row>
    <row r="7087">
      <c r="A7087" s="178" t="str">
        <f>IFERROR(__xludf.DUMMYFUNCTION("""COMPUTED_VALUE"""),"ITBISA-JUMPER-FF-20CM")</f>
        <v>ITBISA-JUMPER-FF-20CM</v>
      </c>
      <c r="B7087" s="266">
        <f>IFERROR(__xludf.DUMMYFUNCTION("""COMPUTED_VALUE"""),44042.0)</f>
        <v>44042</v>
      </c>
      <c r="C7087" s="266" t="str">
        <f>IFERROR(__xludf.DUMMYFUNCTION("""COMPUTED_VALUE"""),"KAETOBO RESIDENCE")</f>
        <v>KAETOBO RESIDENCE</v>
      </c>
      <c r="D7087" s="186">
        <f>IFERROR(__xludf.DUMMYFUNCTION("""COMPUTED_VALUE"""),120.0)</f>
        <v>120</v>
      </c>
    </row>
    <row r="7088">
      <c r="A7088" s="178" t="str">
        <f>IFERROR(__xludf.DUMMYFUNCTION("""COMPUTED_VALUE"""),"ITBISA-JUMPER-FF-20CM")</f>
        <v>ITBISA-JUMPER-FF-20CM</v>
      </c>
      <c r="B7088" s="266">
        <f>IFERROR(__xludf.DUMMYFUNCTION("""COMPUTED_VALUE"""),44146.0)</f>
        <v>44146</v>
      </c>
      <c r="C7088" s="266" t="str">
        <f>IFERROR(__xludf.DUMMYFUNCTION("""COMPUTED_VALUE"""),"KOST RUMAHUMI")</f>
        <v>KOST RUMAHUMI</v>
      </c>
      <c r="D7088" s="186">
        <f>IFERROR(__xludf.DUMMYFUNCTION("""COMPUTED_VALUE"""),40.0)</f>
        <v>40</v>
      </c>
    </row>
    <row r="7089">
      <c r="A7089" s="178" t="str">
        <f>IFERROR(__xludf.DUMMYFUNCTION("""COMPUTED_VALUE"""),"ITBISA-JUMPER-FF-20CM")</f>
        <v>ITBISA-JUMPER-FF-20CM</v>
      </c>
      <c r="B7089" s="266">
        <f>IFERROR(__xludf.DUMMYFUNCTION("""COMPUTED_VALUE"""),44170.0)</f>
        <v>44170</v>
      </c>
      <c r="C7089" s="266" t="str">
        <f>IFERROR(__xludf.DUMMYFUNCTION("""COMPUTED_VALUE"""),"KOST RUMAHUMI")</f>
        <v>KOST RUMAHUMI</v>
      </c>
      <c r="D7089" s="186">
        <f>IFERROR(__xludf.DUMMYFUNCTION("""COMPUTED_VALUE"""),40.0)</f>
        <v>40</v>
      </c>
    </row>
    <row r="7090">
      <c r="A7090" s="178" t="str">
        <f>IFERROR(__xludf.DUMMYFUNCTION("""COMPUTED_VALUE"""),"ITBISA-JUMPER-FF-20CM")</f>
        <v>ITBISA-JUMPER-FF-20CM</v>
      </c>
      <c r="B7090" s="266">
        <f>IFERROR(__xludf.DUMMYFUNCTION("""COMPUTED_VALUE"""),44178.0)</f>
        <v>44178</v>
      </c>
      <c r="C7090" s="266" t="str">
        <f>IFERROR(__xludf.DUMMYFUNCTION("""COMPUTED_VALUE"""),"KOST RUMAHUMI")</f>
        <v>KOST RUMAHUMI</v>
      </c>
      <c r="D7090" s="186">
        <f>IFERROR(__xludf.DUMMYFUNCTION("""COMPUTED_VALUE"""),520.0)</f>
        <v>520</v>
      </c>
    </row>
    <row r="7091">
      <c r="A7091" s="178" t="str">
        <f>IFERROR(__xludf.DUMMYFUNCTION("""COMPUTED_VALUE"""),"ITBISA-JUMPER-FF-20CM")</f>
        <v>ITBISA-JUMPER-FF-20CM</v>
      </c>
      <c r="B7091" s="266">
        <f>IFERROR(__xludf.DUMMYFUNCTION("""COMPUTED_VALUE"""),44293.0)</f>
        <v>44293</v>
      </c>
      <c r="C7091" s="266" t="str">
        <f>IFERROR(__xludf.DUMMYFUNCTION("""COMPUTED_VALUE"""),"KOST RUMAHUMI")</f>
        <v>KOST RUMAHUMI</v>
      </c>
      <c r="D7091" s="186">
        <f>IFERROR(__xludf.DUMMYFUNCTION("""COMPUTED_VALUE"""),40.0)</f>
        <v>40</v>
      </c>
    </row>
    <row r="7092">
      <c r="A7092" s="178" t="str">
        <f>IFERROR(__xludf.DUMMYFUNCTION("""COMPUTED_VALUE"""),"ITBISA-JUMPER-FF-20CM")</f>
        <v>ITBISA-JUMPER-FF-20CM</v>
      </c>
      <c r="B7092" s="266">
        <f>IFERROR(__xludf.DUMMYFUNCTION("""COMPUTED_VALUE"""),44833.0)</f>
        <v>44833</v>
      </c>
      <c r="C7092" s="266" t="str">
        <f>IFERROR(__xludf.DUMMYFUNCTION("""COMPUTED_VALUE"""),"KYAI KONTONG")</f>
        <v>KYAI KONTONG</v>
      </c>
      <c r="D7092" s="186">
        <f>IFERROR(__xludf.DUMMYFUNCTION("""COMPUTED_VALUE"""),40.0)</f>
        <v>40</v>
      </c>
    </row>
    <row r="7093">
      <c r="A7093" s="178" t="str">
        <f>IFERROR(__xludf.DUMMYFUNCTION("""COMPUTED_VALUE"""),"ITBISA-JUMPER-FF-20CM")</f>
        <v>ITBISA-JUMPER-FF-20CM</v>
      </c>
      <c r="B7093" s="266">
        <f>IFERROR(__xludf.DUMMYFUNCTION("""COMPUTED_VALUE"""),44964.0)</f>
        <v>44964</v>
      </c>
      <c r="C7093" s="266" t="str">
        <f>IFERROR(__xludf.DUMMYFUNCTION("""COMPUTED_VALUE"""),"KYAI KONTONG")</f>
        <v>KYAI KONTONG</v>
      </c>
      <c r="D7093" s="186">
        <f>IFERROR(__xludf.DUMMYFUNCTION("""COMPUTED_VALUE"""),40.0)</f>
        <v>40</v>
      </c>
    </row>
    <row r="7094">
      <c r="A7094" s="178" t="str">
        <f>IFERROR(__xludf.DUMMYFUNCTION("""COMPUTED_VALUE"""),"ITBISA-JUMPER-FF-20CM")</f>
        <v>ITBISA-JUMPER-FF-20CM</v>
      </c>
      <c r="B7094" s="266">
        <f>IFERROR(__xludf.DUMMYFUNCTION("""COMPUTED_VALUE"""),44970.0)</f>
        <v>44970</v>
      </c>
      <c r="C7094" s="266" t="str">
        <f>IFERROR(__xludf.DUMMYFUNCTION("""COMPUTED_VALUE"""),"KYAI KONTONG")</f>
        <v>KYAI KONTONG</v>
      </c>
      <c r="D7094" s="186">
        <f>IFERROR(__xludf.DUMMYFUNCTION("""COMPUTED_VALUE"""),40.0)</f>
        <v>40</v>
      </c>
    </row>
    <row r="7095">
      <c r="A7095" s="178" t="str">
        <f>IFERROR(__xludf.DUMMYFUNCTION("""COMPUTED_VALUE"""),"ITBISA-JUMPER-FF-20CM")</f>
        <v>ITBISA-JUMPER-FF-20CM</v>
      </c>
      <c r="B7095" s="266">
        <f>IFERROR(__xludf.DUMMYFUNCTION("""COMPUTED_VALUE"""),44998.0)</f>
        <v>44998</v>
      </c>
      <c r="C7095" s="266" t="str">
        <f>IFERROR(__xludf.DUMMYFUNCTION("""COMPUTED_VALUE"""),"KYAI KONTONG")</f>
        <v>KYAI KONTONG</v>
      </c>
      <c r="D7095" s="186">
        <f>IFERROR(__xludf.DUMMYFUNCTION("""COMPUTED_VALUE"""),80.0)</f>
        <v>80</v>
      </c>
    </row>
    <row r="7096">
      <c r="A7096" s="178" t="str">
        <f>IFERROR(__xludf.DUMMYFUNCTION("""COMPUTED_VALUE"""),"ITBISA-JUMPER-FF-20CM")</f>
        <v>ITBISA-JUMPER-FF-20CM</v>
      </c>
      <c r="B7096" s="266">
        <f>IFERROR(__xludf.DUMMYFUNCTION("""COMPUTED_VALUE"""),45112.0)</f>
        <v>45112</v>
      </c>
      <c r="C7096" s="266" t="str">
        <f>IFERROR(__xludf.DUMMYFUNCTION("""COMPUTED_VALUE"""),"KYAI KONTONG")</f>
        <v>KYAI KONTONG</v>
      </c>
      <c r="D7096" s="186">
        <f>IFERROR(__xludf.DUMMYFUNCTION("""COMPUTED_VALUE"""),200.0)</f>
        <v>200</v>
      </c>
    </row>
    <row r="7097">
      <c r="A7097" s="178" t="str">
        <f>IFERROR(__xludf.DUMMYFUNCTION("""COMPUTED_VALUE"""),"ITBISA-JUMPER-FF-20CM")</f>
        <v>ITBISA-JUMPER-FF-20CM</v>
      </c>
      <c r="B7097" s="266">
        <f>IFERROR(__xludf.DUMMYFUNCTION("""COMPUTED_VALUE"""),45287.0)</f>
        <v>45287</v>
      </c>
      <c r="C7097" s="266" t="str">
        <f>IFERROR(__xludf.DUMMYFUNCTION("""COMPUTED_VALUE"""),"KYAI KONTONG")</f>
        <v>KYAI KONTONG</v>
      </c>
      <c r="D7097" s="186">
        <f>IFERROR(__xludf.DUMMYFUNCTION("""COMPUTED_VALUE"""),40.0)</f>
        <v>40</v>
      </c>
    </row>
    <row r="7098">
      <c r="A7098" s="178" t="str">
        <f>IFERROR(__xludf.DUMMYFUNCTION("""COMPUTED_VALUE"""),"ITBISA-JUMPER-FF-20CM")</f>
        <v>ITBISA-JUMPER-FF-20CM</v>
      </c>
      <c r="B7098" s="266">
        <f>IFERROR(__xludf.DUMMYFUNCTION("""COMPUTED_VALUE"""),45334.0)</f>
        <v>45334</v>
      </c>
      <c r="C7098" s="266" t="str">
        <f>IFERROR(__xludf.DUMMYFUNCTION("""COMPUTED_VALUE"""),"KYAI KONTONG")</f>
        <v>KYAI KONTONG</v>
      </c>
      <c r="D7098" s="186">
        <f>IFERROR(__xludf.DUMMYFUNCTION("""COMPUTED_VALUE"""),80.0)</f>
        <v>80</v>
      </c>
    </row>
    <row r="7099">
      <c r="A7099" s="178" t="str">
        <f>IFERROR(__xludf.DUMMYFUNCTION("""COMPUTED_VALUE"""),"ITBISA-JUMPER-FF-20CM")</f>
        <v>ITBISA-JUMPER-FF-20CM</v>
      </c>
      <c r="B7099" s="266">
        <f>IFERROR(__xludf.DUMMYFUNCTION("""COMPUTED_VALUE"""),45343.0)</f>
        <v>45343</v>
      </c>
      <c r="C7099" s="266" t="str">
        <f>IFERROR(__xludf.DUMMYFUNCTION("""COMPUTED_VALUE"""),"KYAI KONTONG")</f>
        <v>KYAI KONTONG</v>
      </c>
      <c r="D7099" s="186">
        <f>IFERROR(__xludf.DUMMYFUNCTION("""COMPUTED_VALUE"""),400.0)</f>
        <v>400</v>
      </c>
    </row>
    <row r="7100">
      <c r="A7100" s="178" t="str">
        <f>IFERROR(__xludf.DUMMYFUNCTION("""COMPUTED_VALUE"""),"ITBISA-JUMPER-FF-20CM")</f>
        <v>ITBISA-JUMPER-FF-20CM</v>
      </c>
      <c r="B7100" s="266">
        <f>IFERROR(__xludf.DUMMYFUNCTION("""COMPUTED_VALUE"""),45380.0)</f>
        <v>45380</v>
      </c>
      <c r="C7100" s="266" t="str">
        <f>IFERROR(__xludf.DUMMYFUNCTION("""COMPUTED_VALUE"""),"KERTASARI CIAMIS")</f>
        <v>KERTASARI CIAMIS</v>
      </c>
      <c r="D7100" s="186">
        <f>IFERROR(__xludf.DUMMYFUNCTION("""COMPUTED_VALUE"""),40.0)</f>
        <v>40</v>
      </c>
    </row>
    <row r="7101">
      <c r="A7101" s="178" t="str">
        <f>IFERROR(__xludf.DUMMYFUNCTION("""COMPUTED_VALUE"""),"ITBISA-JUMPER-FF-20CM")</f>
        <v>ITBISA-JUMPER-FF-20CM</v>
      </c>
      <c r="B7101" s="266">
        <f>IFERROR(__xludf.DUMMYFUNCTION("""COMPUTED_VALUE"""),45416.0)</f>
        <v>45416</v>
      </c>
      <c r="C7101" s="266" t="str">
        <f>IFERROR(__xludf.DUMMYFUNCTION("""COMPUTED_VALUE"""),"KERTASARI CIAMIS")</f>
        <v>KERTASARI CIAMIS</v>
      </c>
      <c r="D7101" s="186">
        <f>IFERROR(__xludf.DUMMYFUNCTION("""COMPUTED_VALUE"""),40.0)</f>
        <v>40</v>
      </c>
    </row>
    <row r="7102">
      <c r="A7102" s="178" t="str">
        <f>IFERROR(__xludf.DUMMYFUNCTION("""COMPUTED_VALUE"""),"ITBISA-JUMPER-FF-20CM")</f>
        <v>ITBISA-JUMPER-FF-20CM</v>
      </c>
      <c r="B7102" s="266">
        <f>IFERROR(__xludf.DUMMYFUNCTION("""COMPUTED_VALUE"""),45452.0)</f>
        <v>45452</v>
      </c>
      <c r="C7102" s="266" t="str">
        <f>IFERROR(__xludf.DUMMYFUNCTION("""COMPUTED_VALUE"""),"KYAI KONTONG")</f>
        <v>KYAI KONTONG</v>
      </c>
      <c r="D7102" s="186">
        <f>IFERROR(__xludf.DUMMYFUNCTION("""COMPUTED_VALUE"""),40.0)</f>
        <v>40</v>
      </c>
    </row>
    <row r="7103">
      <c r="A7103" s="178" t="str">
        <f>IFERROR(__xludf.DUMMYFUNCTION("""COMPUTED_VALUE"""),"ITBISA-JUMPER-FF-20CM")</f>
        <v>ITBISA-JUMPER-FF-20CM</v>
      </c>
      <c r="B7103" s="266">
        <f>IFERROR(__xludf.DUMMYFUNCTION("""COMPUTED_VALUE"""),45456.0)</f>
        <v>45456</v>
      </c>
      <c r="C7103" s="266" t="str">
        <f>IFERROR(__xludf.DUMMYFUNCTION("""COMPUTED_VALUE"""),"KYAI KONTONG")</f>
        <v>KYAI KONTONG</v>
      </c>
      <c r="D7103" s="186">
        <f>IFERROR(__xludf.DUMMYFUNCTION("""COMPUTED_VALUE"""),40.0)</f>
        <v>40</v>
      </c>
    </row>
    <row r="7104">
      <c r="A7104" s="178" t="str">
        <f>IFERROR(__xludf.DUMMYFUNCTION("""COMPUTED_VALUE"""),"ITBISA-JUMPER-FF-20CM")</f>
        <v>ITBISA-JUMPER-FF-20CM</v>
      </c>
      <c r="B7104" s="266">
        <f>IFERROR(__xludf.DUMMYFUNCTION("""COMPUTED_VALUE"""),45457.0)</f>
        <v>45457</v>
      </c>
      <c r="C7104" s="266" t="str">
        <f>IFERROR(__xludf.DUMMYFUNCTION("""COMPUTED_VALUE"""),"KERTASARI CIAMIS")</f>
        <v>KERTASARI CIAMIS</v>
      </c>
      <c r="D7104" s="186">
        <f>IFERROR(__xludf.DUMMYFUNCTION("""COMPUTED_VALUE"""),40.0)</f>
        <v>40</v>
      </c>
    </row>
    <row r="7105">
      <c r="A7105" s="178" t="str">
        <f>IFERROR(__xludf.DUMMYFUNCTION("""COMPUTED_VALUE"""),"ITBISA-JUMPER-FF-20CM")</f>
        <v>ITBISA-JUMPER-FF-20CM</v>
      </c>
      <c r="B7105" s="266">
        <f>IFERROR(__xludf.DUMMYFUNCTION("""COMPUTED_VALUE"""),45462.0)</f>
        <v>45462</v>
      </c>
      <c r="C7105" s="266" t="str">
        <f>IFERROR(__xludf.DUMMYFUNCTION("""COMPUTED_VALUE"""),"KYAI KONTONG")</f>
        <v>KYAI KONTONG</v>
      </c>
      <c r="D7105" s="186">
        <f>IFERROR(__xludf.DUMMYFUNCTION("""COMPUTED_VALUE"""),40.0)</f>
        <v>40</v>
      </c>
    </row>
    <row r="7106">
      <c r="A7106" s="178" t="str">
        <f>IFERROR(__xludf.DUMMYFUNCTION("""COMPUTED_VALUE"""),"ITBISA-JUMPER-FF-20CM")</f>
        <v>ITBISA-JUMPER-FF-20CM</v>
      </c>
      <c r="B7106" s="266">
        <f>IFERROR(__xludf.DUMMYFUNCTION("""COMPUTED_VALUE"""),45473.0)</f>
        <v>45473</v>
      </c>
      <c r="C7106" s="266" t="str">
        <f>IFERROR(__xludf.DUMMYFUNCTION("""COMPUTED_VALUE"""),"KYAI KONTONG")</f>
        <v>KYAI KONTONG</v>
      </c>
      <c r="D7106" s="186">
        <f>IFERROR(__xludf.DUMMYFUNCTION("""COMPUTED_VALUE"""),40.0)</f>
        <v>40</v>
      </c>
    </row>
    <row r="7107">
      <c r="A7107" s="178" t="str">
        <f>IFERROR(__xludf.DUMMYFUNCTION("""COMPUTED_VALUE"""),"ITBISA-JUMPER-FF-20CM")</f>
        <v>ITBISA-JUMPER-FF-20CM</v>
      </c>
      <c r="B7107" s="266">
        <f>IFERROR(__xludf.DUMMYFUNCTION("""COMPUTED_VALUE"""),45488.0)</f>
        <v>45488</v>
      </c>
      <c r="C7107" s="266" t="str">
        <f>IFERROR(__xludf.DUMMYFUNCTION("""COMPUTED_VALUE"""),"KYAI KONTONG")</f>
        <v>KYAI KONTONG</v>
      </c>
      <c r="D7107" s="186">
        <f>IFERROR(__xludf.DUMMYFUNCTION("""COMPUTED_VALUE"""),40.0)</f>
        <v>40</v>
      </c>
    </row>
    <row r="7108">
      <c r="A7108" s="178" t="str">
        <f>IFERROR(__xludf.DUMMYFUNCTION("""COMPUTED_VALUE"""),"ITBISA-JUMPER-FF-20CM")</f>
        <v>ITBISA-JUMPER-FF-20CM</v>
      </c>
      <c r="B7108" s="266">
        <f>IFERROR(__xludf.DUMMYFUNCTION("""COMPUTED_VALUE"""),45489.0)</f>
        <v>45489</v>
      </c>
      <c r="C7108" s="266" t="str">
        <f>IFERROR(__xludf.DUMMYFUNCTION("""COMPUTED_VALUE"""),"KYAI KONTONG")</f>
        <v>KYAI KONTONG</v>
      </c>
      <c r="D7108" s="186">
        <f>IFERROR(__xludf.DUMMYFUNCTION("""COMPUTED_VALUE"""),80.0)</f>
        <v>80</v>
      </c>
    </row>
    <row r="7109">
      <c r="A7109" s="178" t="str">
        <f>IFERROR(__xludf.DUMMYFUNCTION("""COMPUTED_VALUE"""),"ITBISA-JUMPER-FF-20CM")</f>
        <v>ITBISA-JUMPER-FF-20CM</v>
      </c>
      <c r="B7109" s="266">
        <f>IFERROR(__xludf.DUMMYFUNCTION("""COMPUTED_VALUE"""),45492.0)</f>
        <v>45492</v>
      </c>
      <c r="C7109" s="266" t="str">
        <f>IFERROR(__xludf.DUMMYFUNCTION("""COMPUTED_VALUE"""),"KERTASARI CIAMIS")</f>
        <v>KERTASARI CIAMIS</v>
      </c>
      <c r="D7109" s="186">
        <f>IFERROR(__xludf.DUMMYFUNCTION("""COMPUTED_VALUE"""),40.0)</f>
        <v>40</v>
      </c>
    </row>
    <row r="7110">
      <c r="A7110" s="178" t="str">
        <f>IFERROR(__xludf.DUMMYFUNCTION("""COMPUTED_VALUE"""),"ITBISA-JUMPER-FF-20CM")</f>
        <v>ITBISA-JUMPER-FF-20CM</v>
      </c>
      <c r="B7110" s="266">
        <f>IFERROR(__xludf.DUMMYFUNCTION("""COMPUTED_VALUE"""),45509.0)</f>
        <v>45509</v>
      </c>
      <c r="C7110" s="266" t="str">
        <f>IFERROR(__xludf.DUMMYFUNCTION("""COMPUTED_VALUE"""),"KYAI KONTONG")</f>
        <v>KYAI KONTONG</v>
      </c>
      <c r="D7110" s="186">
        <f>IFERROR(__xludf.DUMMYFUNCTION("""COMPUTED_VALUE"""),40.0)</f>
        <v>40</v>
      </c>
    </row>
    <row r="7111">
      <c r="A7111" s="178" t="str">
        <f>IFERROR(__xludf.DUMMYFUNCTION("""COMPUTED_VALUE"""),"ITBISA-JUMPER-FF-20CM")</f>
        <v>ITBISA-JUMPER-FF-20CM</v>
      </c>
      <c r="B7111" s="266">
        <f>IFERROR(__xludf.DUMMYFUNCTION("""COMPUTED_VALUE"""),45531.0)</f>
        <v>45531</v>
      </c>
      <c r="C7111" s="266" t="str">
        <f>IFERROR(__xludf.DUMMYFUNCTION("""COMPUTED_VALUE"""),"KYAI KONTONG")</f>
        <v>KYAI KONTONG</v>
      </c>
      <c r="D7111" s="186">
        <f>IFERROR(__xludf.DUMMYFUNCTION("""COMPUTED_VALUE"""),80.0)</f>
        <v>80</v>
      </c>
    </row>
    <row r="7112">
      <c r="A7112" s="178" t="str">
        <f>IFERROR(__xludf.DUMMYFUNCTION("""COMPUTED_VALUE"""),"ITBISA-JUMPER-FF-20CM")</f>
        <v>ITBISA-JUMPER-FF-20CM</v>
      </c>
      <c r="B7112" s="266">
        <f>IFERROR(__xludf.DUMMYFUNCTION("""COMPUTED_VALUE"""),45534.0)</f>
        <v>45534</v>
      </c>
      <c r="C7112" s="266" t="str">
        <f>IFERROR(__xludf.DUMMYFUNCTION("""COMPUTED_VALUE"""),"KERTASARI CIAMIS")</f>
        <v>KERTASARI CIAMIS</v>
      </c>
      <c r="D7112" s="186">
        <f>IFERROR(__xludf.DUMMYFUNCTION("""COMPUTED_VALUE"""),240.0)</f>
        <v>240</v>
      </c>
    </row>
    <row r="7113">
      <c r="A7113" s="178" t="str">
        <f>IFERROR(__xludf.DUMMYFUNCTION("""COMPUTED_VALUE"""),"ITBISA-JUMPER-FF-20CM")</f>
        <v>ITBISA-JUMPER-FF-20CM</v>
      </c>
      <c r="B7113" s="266">
        <f>IFERROR(__xludf.DUMMYFUNCTION("""COMPUTED_VALUE"""),45534.0)</f>
        <v>45534</v>
      </c>
      <c r="C7113" s="266" t="str">
        <f>IFERROR(__xludf.DUMMYFUNCTION("""COMPUTED_VALUE"""),"KYAI KONTONG")</f>
        <v>KYAI KONTONG</v>
      </c>
      <c r="D7113" s="186">
        <f>IFERROR(__xludf.DUMMYFUNCTION("""COMPUTED_VALUE"""),80.0)</f>
        <v>80</v>
      </c>
    </row>
    <row r="7114">
      <c r="A7114" s="178" t="str">
        <f>IFERROR(__xludf.DUMMYFUNCTION("""COMPUTED_VALUE"""),"ITBISA-JUMPER-FF-20CM")</f>
        <v>ITBISA-JUMPER-FF-20CM</v>
      </c>
      <c r="B7114" s="266">
        <f>IFERROR(__xludf.DUMMYFUNCTION("""COMPUTED_VALUE"""),45540.0)</f>
        <v>45540</v>
      </c>
      <c r="C7114" s="266" t="str">
        <f>IFERROR(__xludf.DUMMYFUNCTION("""COMPUTED_VALUE"""),"KERTASARI CIAMIS")</f>
        <v>KERTASARI CIAMIS</v>
      </c>
      <c r="D7114" s="186">
        <f>IFERROR(__xludf.DUMMYFUNCTION("""COMPUTED_VALUE"""),120.0)</f>
        <v>120</v>
      </c>
    </row>
    <row r="7115">
      <c r="A7115" s="178" t="str">
        <f>IFERROR(__xludf.DUMMYFUNCTION("""COMPUTED_VALUE"""),"ITBISA-JUMPER-FF-20CM")</f>
        <v>ITBISA-JUMPER-FF-20CM</v>
      </c>
      <c r="B7115" s="266">
        <f>IFERROR(__xludf.DUMMYFUNCTION("""COMPUTED_VALUE"""),45543.0)</f>
        <v>45543</v>
      </c>
      <c r="C7115" s="266" t="str">
        <f>IFERROR(__xludf.DUMMYFUNCTION("""COMPUTED_VALUE"""),"KERTASARI CIAMIS")</f>
        <v>KERTASARI CIAMIS</v>
      </c>
      <c r="D7115" s="186">
        <f>IFERROR(__xludf.DUMMYFUNCTION("""COMPUTED_VALUE"""),240.0)</f>
        <v>240</v>
      </c>
    </row>
    <row r="7116">
      <c r="A7116" s="178" t="str">
        <f>IFERROR(__xludf.DUMMYFUNCTION("""COMPUTED_VALUE"""),"ITBISA-JUMPER-FF-20CM")</f>
        <v>ITBISA-JUMPER-FF-20CM</v>
      </c>
      <c r="B7116" s="266">
        <f>IFERROR(__xludf.DUMMYFUNCTION("""COMPUTED_VALUE"""),45552.0)</f>
        <v>45552</v>
      </c>
      <c r="C7116" s="266" t="str">
        <f>IFERROR(__xludf.DUMMYFUNCTION("""COMPUTED_VALUE"""),"KYAI KONTONG")</f>
        <v>KYAI KONTONG</v>
      </c>
      <c r="D7116" s="186">
        <f>IFERROR(__xludf.DUMMYFUNCTION("""COMPUTED_VALUE"""),240.0)</f>
        <v>240</v>
      </c>
    </row>
    <row r="7117">
      <c r="A7117" s="178" t="str">
        <f>IFERROR(__xludf.DUMMYFUNCTION("""COMPUTED_VALUE"""),"ITBISA-JUMPER-FF-20CM")</f>
        <v>ITBISA-JUMPER-FF-20CM</v>
      </c>
      <c r="B7117" s="266">
        <f>IFERROR(__xludf.DUMMYFUNCTION("""COMPUTED_VALUE"""),45607.0)</f>
        <v>45607</v>
      </c>
      <c r="C7117" s="266" t="str">
        <f>IFERROR(__xludf.DUMMYFUNCTION("""COMPUTED_VALUE"""),"KERTASARI CIAMIS")</f>
        <v>KERTASARI CIAMIS</v>
      </c>
      <c r="D7117" s="186">
        <f>IFERROR(__xludf.DUMMYFUNCTION("""COMPUTED_VALUE"""),40.0)</f>
        <v>40</v>
      </c>
    </row>
    <row r="7118">
      <c r="A7118" s="178" t="str">
        <f>IFERROR(__xludf.DUMMYFUNCTION("""COMPUTED_VALUE"""),"ITBISA-JUMPER-FF-20CM")</f>
        <v>ITBISA-JUMPER-FF-20CM</v>
      </c>
      <c r="B7118" s="266">
        <f>IFERROR(__xludf.DUMMYFUNCTION("""COMPUTED_VALUE"""),45609.0)</f>
        <v>45609</v>
      </c>
      <c r="C7118" s="266" t="str">
        <f>IFERROR(__xludf.DUMMYFUNCTION("""COMPUTED_VALUE"""),"KYAI KONTONG")</f>
        <v>KYAI KONTONG</v>
      </c>
      <c r="D7118" s="186">
        <f>IFERROR(__xludf.DUMMYFUNCTION("""COMPUTED_VALUE"""),40.0)</f>
        <v>40</v>
      </c>
    </row>
    <row r="7119">
      <c r="A7119" s="178" t="str">
        <f>IFERROR(__xludf.DUMMYFUNCTION("""COMPUTED_VALUE"""),"ITBISA-JUMPER-FF-20CM")</f>
        <v>ITBISA-JUMPER-FF-20CM</v>
      </c>
      <c r="B7119" s="266">
        <f>IFERROR(__xludf.DUMMYFUNCTION("""COMPUTED_VALUE"""),45611.0)</f>
        <v>45611</v>
      </c>
      <c r="C7119" s="266" t="str">
        <f>IFERROR(__xludf.DUMMYFUNCTION("""COMPUTED_VALUE"""),"KYAI KONTONG")</f>
        <v>KYAI KONTONG</v>
      </c>
      <c r="D7119" s="186">
        <f>IFERROR(__xludf.DUMMYFUNCTION("""COMPUTED_VALUE"""),40.0)</f>
        <v>40</v>
      </c>
    </row>
    <row r="7120">
      <c r="A7120" s="178" t="str">
        <f>IFERROR(__xludf.DUMMYFUNCTION("""COMPUTED_VALUE"""),"ITBISA-JUMPER-FF-20CM")</f>
        <v>ITBISA-JUMPER-FF-20CM</v>
      </c>
      <c r="B7120" s="266">
        <f>IFERROR(__xludf.DUMMYFUNCTION("""COMPUTED_VALUE"""),45614.0)</f>
        <v>45614</v>
      </c>
      <c r="C7120" s="266" t="str">
        <f>IFERROR(__xludf.DUMMYFUNCTION("""COMPUTED_VALUE"""),"KERTASARI CIAMIS")</f>
        <v>KERTASARI CIAMIS</v>
      </c>
      <c r="D7120" s="186">
        <f>IFERROR(__xludf.DUMMYFUNCTION("""COMPUTED_VALUE"""),40.0)</f>
        <v>40</v>
      </c>
    </row>
    <row r="7121">
      <c r="A7121" s="178" t="str">
        <f>IFERROR(__xludf.DUMMYFUNCTION("""COMPUTED_VALUE"""),"ITBISA-JUMPER-FF-20CM")</f>
        <v>ITBISA-JUMPER-FF-20CM</v>
      </c>
      <c r="B7121" s="266">
        <f>IFERROR(__xludf.DUMMYFUNCTION("""COMPUTED_VALUE"""),45617.0)</f>
        <v>45617</v>
      </c>
      <c r="C7121" s="266" t="str">
        <f>IFERROR(__xludf.DUMMYFUNCTION("""COMPUTED_VALUE"""),"KERTASARI CIAMIS")</f>
        <v>KERTASARI CIAMIS</v>
      </c>
      <c r="D7121" s="186">
        <f>IFERROR(__xludf.DUMMYFUNCTION("""COMPUTED_VALUE"""),80.0)</f>
        <v>80</v>
      </c>
    </row>
    <row r="7122">
      <c r="A7122" s="178" t="str">
        <f>IFERROR(__xludf.DUMMYFUNCTION("""COMPUTED_VALUE"""),"ITBISA-JUMPER-FF-20CM")</f>
        <v>ITBISA-JUMPER-FF-20CM</v>
      </c>
      <c r="B7122" s="266">
        <f>IFERROR(__xludf.DUMMYFUNCTION("""COMPUTED_VALUE"""),45622.0)</f>
        <v>45622</v>
      </c>
      <c r="C7122" s="266" t="str">
        <f>IFERROR(__xludf.DUMMYFUNCTION("""COMPUTED_VALUE"""),"KYAI KONTONG")</f>
        <v>KYAI KONTONG</v>
      </c>
      <c r="D7122" s="186">
        <f>IFERROR(__xludf.DUMMYFUNCTION("""COMPUTED_VALUE"""),40.0)</f>
        <v>40</v>
      </c>
    </row>
    <row r="7123">
      <c r="A7123" s="178" t="str">
        <f>IFERROR(__xludf.DUMMYFUNCTION("""COMPUTED_VALUE"""),"ITBISA-JUMPER-FF-20CM")</f>
        <v>ITBISA-JUMPER-FF-20CM</v>
      </c>
      <c r="B7123" s="266">
        <f>IFERROR(__xludf.DUMMYFUNCTION("""COMPUTED_VALUE"""),45636.0)</f>
        <v>45636</v>
      </c>
      <c r="C7123" s="266" t="str">
        <f>IFERROR(__xludf.DUMMYFUNCTION("""COMPUTED_VALUE"""),"KERTASARI CIAMIS")</f>
        <v>KERTASARI CIAMIS</v>
      </c>
      <c r="D7123" s="186">
        <f>IFERROR(__xludf.DUMMYFUNCTION("""COMPUTED_VALUE"""),40.0)</f>
        <v>40</v>
      </c>
    </row>
    <row r="7124">
      <c r="A7124" s="178" t="str">
        <f>IFERROR(__xludf.DUMMYFUNCTION("""COMPUTED_VALUE"""),"ITBISA-JUMPER-FF-20CM")</f>
        <v>ITBISA-JUMPER-FF-20CM</v>
      </c>
      <c r="B7124" s="266">
        <f>IFERROR(__xludf.DUMMYFUNCTION("""COMPUTED_VALUE"""),45641.0)</f>
        <v>45641</v>
      </c>
      <c r="C7124" s="266" t="str">
        <f>IFERROR(__xludf.DUMMYFUNCTION("""COMPUTED_VALUE"""),"KYAI KONTONG")</f>
        <v>KYAI KONTONG</v>
      </c>
      <c r="D7124" s="186">
        <f>IFERROR(__xludf.DUMMYFUNCTION("""COMPUTED_VALUE"""),40.0)</f>
        <v>40</v>
      </c>
    </row>
    <row r="7125">
      <c r="A7125" s="178" t="str">
        <f>IFERROR(__xludf.DUMMYFUNCTION("""COMPUTED_VALUE"""),"ITBISA-JUMPER-FF-20CM")</f>
        <v>ITBISA-JUMPER-FF-20CM</v>
      </c>
      <c r="B7125" s="266">
        <f>IFERROR(__xludf.DUMMYFUNCTION("""COMPUTED_VALUE"""),45643.0)</f>
        <v>45643</v>
      </c>
      <c r="C7125" s="266" t="str">
        <f>IFERROR(__xludf.DUMMYFUNCTION("""COMPUTED_VALUE"""),"KYAI KONTONG")</f>
        <v>KYAI KONTONG</v>
      </c>
      <c r="D7125" s="186">
        <f>IFERROR(__xludf.DUMMYFUNCTION("""COMPUTED_VALUE"""),400.0)</f>
        <v>400</v>
      </c>
    </row>
    <row r="7126">
      <c r="A7126" s="178" t="str">
        <f>IFERROR(__xludf.DUMMYFUNCTION("""COMPUTED_VALUE"""),"ITBISA-JUMPER-FF-20CM")</f>
        <v>ITBISA-JUMPER-FF-20CM</v>
      </c>
      <c r="B7126" s="266">
        <f>IFERROR(__xludf.DUMMYFUNCTION("""COMPUTED_VALUE"""),45659.0)</f>
        <v>45659</v>
      </c>
      <c r="C7126" s="266" t="str">
        <f>IFERROR(__xludf.DUMMYFUNCTION("""COMPUTED_VALUE"""),"KERTASARI CIAMIS")</f>
        <v>KERTASARI CIAMIS</v>
      </c>
      <c r="D7126" s="186">
        <f>IFERROR(__xludf.DUMMYFUNCTION("""COMPUTED_VALUE"""),40.0)</f>
        <v>40</v>
      </c>
    </row>
    <row r="7127">
      <c r="A7127" s="178" t="str">
        <f>IFERROR(__xludf.DUMMYFUNCTION("""COMPUTED_VALUE"""),"ITBISA-JUMPER-FF-20CM")</f>
        <v>ITBISA-JUMPER-FF-20CM</v>
      </c>
      <c r="B7127" s="266">
        <f>IFERROR(__xludf.DUMMYFUNCTION("""COMPUTED_VALUE"""),45742.0)</f>
        <v>45742</v>
      </c>
      <c r="C7127" s="266" t="str">
        <f>IFERROR(__xludf.DUMMYFUNCTION("""COMPUTED_VALUE"""),"KERTASARI CIAMIS")</f>
        <v>KERTASARI CIAMIS</v>
      </c>
      <c r="D7127" s="186">
        <f>IFERROR(__xludf.DUMMYFUNCTION("""COMPUTED_VALUE"""),120.0)</f>
        <v>120</v>
      </c>
    </row>
    <row r="7128">
      <c r="A7128" s="178" t="str">
        <f>IFERROR(__xludf.DUMMYFUNCTION("""COMPUTED_VALUE"""),"ITBISA-JUMPER-FF-20CM")</f>
        <v>ITBISA-JUMPER-FF-20CM</v>
      </c>
      <c r="B7128" s="266">
        <f>IFERROR(__xludf.DUMMYFUNCTION("""COMPUTED_VALUE"""),45756.0)</f>
        <v>45756</v>
      </c>
      <c r="C7128" s="266" t="str">
        <f>IFERROR(__xludf.DUMMYFUNCTION("""COMPUTED_VALUE"""),"KERTASARI CIAMIS")</f>
        <v>KERTASARI CIAMIS</v>
      </c>
      <c r="D7128" s="186">
        <f>IFERROR(__xludf.DUMMYFUNCTION("""COMPUTED_VALUE"""),40.0)</f>
        <v>40</v>
      </c>
    </row>
    <row r="7129">
      <c r="A7129" s="178" t="str">
        <f>IFERROR(__xludf.DUMMYFUNCTION("""COMPUTED_VALUE"""),"ITBISA-JUMPER-FF-20CM")</f>
        <v>ITBISA-JUMPER-FF-20CM</v>
      </c>
      <c r="B7129" s="266">
        <f>IFERROR(__xludf.DUMMYFUNCTION("""COMPUTED_VALUE"""),45769.0)</f>
        <v>45769</v>
      </c>
      <c r="C7129" s="266" t="str">
        <f>IFERROR(__xludf.DUMMYFUNCTION("""COMPUTED_VALUE"""),"KERTASARI CIAMIS")</f>
        <v>KERTASARI CIAMIS</v>
      </c>
      <c r="D7129" s="186">
        <f>IFERROR(__xludf.DUMMYFUNCTION("""COMPUTED_VALUE"""),120.0)</f>
        <v>120</v>
      </c>
    </row>
    <row r="7130">
      <c r="A7130" s="178" t="str">
        <f>IFERROR(__xludf.DUMMYFUNCTION("""COMPUTED_VALUE"""),"ITBISA-JUMPER-FF-20CM")</f>
        <v>ITBISA-JUMPER-FF-20CM</v>
      </c>
      <c r="B7130" s="266">
        <f>IFERROR(__xludf.DUMMYFUNCTION("""COMPUTED_VALUE"""),45775.0)</f>
        <v>45775</v>
      </c>
      <c r="C7130" s="266" t="str">
        <f>IFERROR(__xludf.DUMMYFUNCTION("""COMPUTED_VALUE"""),"KYAI KONTONG")</f>
        <v>KYAI KONTONG</v>
      </c>
      <c r="D7130" s="186">
        <f>IFERROR(__xludf.DUMMYFUNCTION("""COMPUTED_VALUE"""),40.0)</f>
        <v>40</v>
      </c>
    </row>
    <row r="7131">
      <c r="A7131" s="178" t="str">
        <f>IFERROR(__xludf.DUMMYFUNCTION("""COMPUTED_VALUE"""),"ITBISA-JUMPER-FF-20CM")</f>
        <v>ITBISA-JUMPER-FF-20CM</v>
      </c>
      <c r="B7131" s="266">
        <f>IFERROR(__xludf.DUMMYFUNCTION("""COMPUTED_VALUE"""),45782.0)</f>
        <v>45782</v>
      </c>
      <c r="C7131" s="266" t="str">
        <f>IFERROR(__xludf.DUMMYFUNCTION("""COMPUTED_VALUE"""),"KERTASARI CIAMIS")</f>
        <v>KERTASARI CIAMIS</v>
      </c>
      <c r="D7131" s="186">
        <f>IFERROR(__xludf.DUMMYFUNCTION("""COMPUTED_VALUE"""),200.0)</f>
        <v>200</v>
      </c>
    </row>
    <row r="7132">
      <c r="A7132" s="178" t="str">
        <f>IFERROR(__xludf.DUMMYFUNCTION("""COMPUTED_VALUE"""),"ITBISA-JUMPER-FF-20CM")</f>
        <v>ITBISA-JUMPER-FF-20CM</v>
      </c>
      <c r="B7132" s="266">
        <f>IFERROR(__xludf.DUMMYFUNCTION("""COMPUTED_VALUE"""),45792.0)</f>
        <v>45792</v>
      </c>
      <c r="C7132" s="266" t="str">
        <f>IFERROR(__xludf.DUMMYFUNCTION("""COMPUTED_VALUE"""),"KYAI KONTONG")</f>
        <v>KYAI KONTONG</v>
      </c>
      <c r="D7132" s="186">
        <f>IFERROR(__xludf.DUMMYFUNCTION("""COMPUTED_VALUE"""),80.0)</f>
        <v>80</v>
      </c>
    </row>
    <row r="7133">
      <c r="A7133" s="178" t="str">
        <f>IFERROR(__xludf.DUMMYFUNCTION("""COMPUTED_VALUE"""),"ITBISA-JUMPER-FF-20CM")</f>
        <v>ITBISA-JUMPER-FF-20CM</v>
      </c>
      <c r="B7133" s="266">
        <f>IFERROR(__xludf.DUMMYFUNCTION("""COMPUTED_VALUE"""),45811.0)</f>
        <v>45811</v>
      </c>
      <c r="C7133" s="266" t="str">
        <f>IFERROR(__xludf.DUMMYFUNCTION("""COMPUTED_VALUE"""),"KYAI KONTONG")</f>
        <v>KYAI KONTONG</v>
      </c>
      <c r="D7133" s="186">
        <f>IFERROR(__xludf.DUMMYFUNCTION("""COMPUTED_VALUE"""),40.0)</f>
        <v>40</v>
      </c>
    </row>
    <row r="7134">
      <c r="A7134" s="178" t="str">
        <f>IFERROR(__xludf.DUMMYFUNCTION("""COMPUTED_VALUE"""),"ITBISA-JUMPER-FF-20CM")</f>
        <v>ITBISA-JUMPER-FF-20CM</v>
      </c>
      <c r="B7134" s="266">
        <f>IFERROR(__xludf.DUMMYFUNCTION("""COMPUTED_VALUE"""),45822.0)</f>
        <v>45822</v>
      </c>
      <c r="C7134" s="266" t="str">
        <f>IFERROR(__xludf.DUMMYFUNCTION("""COMPUTED_VALUE"""),"KYAI KONTONG")</f>
        <v>KYAI KONTONG</v>
      </c>
      <c r="D7134" s="186">
        <f>IFERROR(__xludf.DUMMYFUNCTION("""COMPUTED_VALUE"""),40.0)</f>
        <v>40</v>
      </c>
    </row>
    <row r="7135">
      <c r="A7135" s="178" t="str">
        <f>IFERROR(__xludf.DUMMYFUNCTION("""COMPUTED_VALUE"""),"ITBISA-JUMPER-FF-20CM")</f>
        <v>ITBISA-JUMPER-FF-20CM</v>
      </c>
      <c r="B7135" s="266">
        <f>IFERROR(__xludf.DUMMYFUNCTION("""COMPUTED_VALUE"""),45946.0)</f>
        <v>45946</v>
      </c>
      <c r="C7135" s="266" t="str">
        <f>IFERROR(__xludf.DUMMYFUNCTION("""COMPUTED_VALUE"""),"KYAI KONTONG")</f>
        <v>KYAI KONTONG</v>
      </c>
      <c r="D7135" s="186">
        <f>IFERROR(__xludf.DUMMYFUNCTION("""COMPUTED_VALUE"""),80.0)</f>
        <v>80</v>
      </c>
    </row>
    <row r="7136">
      <c r="A7136" s="178" t="str">
        <f>IFERROR(__xludf.DUMMYFUNCTION("""COMPUTED_VALUE"""),"ITBISA-JUMPER-FF-20CM")</f>
        <v>ITBISA-JUMPER-FF-20CM</v>
      </c>
      <c r="B7136" s="266">
        <f>IFERROR(__xludf.DUMMYFUNCTION("""COMPUTED_VALUE"""),45948.0)</f>
        <v>45948</v>
      </c>
      <c r="C7136" s="266" t="str">
        <f>IFERROR(__xludf.DUMMYFUNCTION("""COMPUTED_VALUE"""),"KYAI KONTONG")</f>
        <v>KYAI KONTONG</v>
      </c>
      <c r="D7136" s="186">
        <f>IFERROR(__xludf.DUMMYFUNCTION("""COMPUTED_VALUE"""),40.0)</f>
        <v>40</v>
      </c>
    </row>
    <row r="7137">
      <c r="A7137" s="178" t="str">
        <f>IFERROR(__xludf.DUMMYFUNCTION("""COMPUTED_VALUE"""),"ITBISA-JUMPER-FF-20CM")</f>
        <v>ITBISA-JUMPER-FF-20CM</v>
      </c>
      <c r="B7137" s="266">
        <f>IFERROR(__xludf.DUMMYFUNCTION("""COMPUTED_VALUE"""),45949.0)</f>
        <v>45949</v>
      </c>
      <c r="C7137" s="266" t="str">
        <f>IFERROR(__xludf.DUMMYFUNCTION("""COMPUTED_VALUE"""),"KERTASARI CIAMIS")</f>
        <v>KERTASARI CIAMIS</v>
      </c>
      <c r="D7137" s="186">
        <f>IFERROR(__xludf.DUMMYFUNCTION("""COMPUTED_VALUE"""),40.0)</f>
        <v>40</v>
      </c>
    </row>
    <row r="7138">
      <c r="A7138" s="178" t="str">
        <f>IFERROR(__xludf.DUMMYFUNCTION("""COMPUTED_VALUE"""),"ITBISA-JUMPER-FF-20CM")</f>
        <v>ITBISA-JUMPER-FF-20CM</v>
      </c>
      <c r="B7138" s="266">
        <f>IFERROR(__xludf.DUMMYFUNCTION("""COMPUTED_VALUE"""),45952.0)</f>
        <v>45952</v>
      </c>
      <c r="C7138" s="266" t="str">
        <f>IFERROR(__xludf.DUMMYFUNCTION("""COMPUTED_VALUE"""),"KYAI KONTONG")</f>
        <v>KYAI KONTONG</v>
      </c>
      <c r="D7138" s="186">
        <f>IFERROR(__xludf.DUMMYFUNCTION("""COMPUTED_VALUE"""),80.0)</f>
        <v>80</v>
      </c>
    </row>
    <row r="7139">
      <c r="A7139" s="178" t="str">
        <f>IFERROR(__xludf.DUMMYFUNCTION("""COMPUTED_VALUE"""),"ITBISA-JUMPER-FF-20CM")</f>
        <v>ITBISA-JUMPER-FF-20CM</v>
      </c>
      <c r="B7139" s="266">
        <f>IFERROR(__xludf.DUMMYFUNCTION("""COMPUTED_VALUE"""),45969.0)</f>
        <v>45969</v>
      </c>
      <c r="C7139" s="266" t="str">
        <f>IFERROR(__xludf.DUMMYFUNCTION("""COMPUTED_VALUE"""),"KYAI KONTONG")</f>
        <v>KYAI KONTONG</v>
      </c>
      <c r="D7139" s="186">
        <f>IFERROR(__xludf.DUMMYFUNCTION("""COMPUTED_VALUE"""),40.0)</f>
        <v>40</v>
      </c>
    </row>
    <row r="7140">
      <c r="A7140" s="178" t="str">
        <f>IFERROR(__xludf.DUMMYFUNCTION("""COMPUTED_VALUE"""),"ITBISA-JUMPER-FF-20CM")</f>
        <v>ITBISA-JUMPER-FF-20CM</v>
      </c>
      <c r="B7140" s="266">
        <f>IFERROR(__xludf.DUMMYFUNCTION("""COMPUTED_VALUE"""),46002.0)</f>
        <v>46002</v>
      </c>
      <c r="C7140" s="266" t="str">
        <f>IFERROR(__xludf.DUMMYFUNCTION("""COMPUTED_VALUE"""),"KYAI KONTONG")</f>
        <v>KYAI KONTONG</v>
      </c>
      <c r="D7140" s="186">
        <f>IFERROR(__xludf.DUMMYFUNCTION("""COMPUTED_VALUE"""),40.0)</f>
        <v>40</v>
      </c>
    </row>
    <row r="7141">
      <c r="A7141" s="178" t="str">
        <f>IFERROR(__xludf.DUMMYFUNCTION("""COMPUTED_VALUE"""),"ITBISA-JUMPER-MF-10CM")</f>
        <v>ITBISA-JUMPER-MF-10CM</v>
      </c>
      <c r="B7141" s="266">
        <f>IFERROR(__xludf.DUMMYFUNCTION("""COMPUTED_VALUE"""),43430.0)</f>
        <v>43430</v>
      </c>
      <c r="C7141" s="266" t="str">
        <f>IFERROR(__xludf.DUMMYFUNCTION("""COMPUTED_VALUE"""),"AVRG ITB")</f>
        <v>AVRG ITB</v>
      </c>
      <c r="D7141" s="186">
        <f>IFERROR(__xludf.DUMMYFUNCTION("""COMPUTED_VALUE"""),1.0)</f>
        <v>1</v>
      </c>
    </row>
    <row r="7142">
      <c r="A7142" s="178" t="str">
        <f>IFERROR(__xludf.DUMMYFUNCTION("""COMPUTED_VALUE"""),"ITBISA-JUMPER-MF-10CM")</f>
        <v>ITBISA-JUMPER-MF-10CM</v>
      </c>
      <c r="B7142" s="266">
        <f>IFERROR(__xludf.DUMMYFUNCTION("""COMPUTED_VALUE"""),43430.0)</f>
        <v>43430</v>
      </c>
      <c r="C7142" s="266" t="str">
        <f>IFERROR(__xludf.DUMMYFUNCTION("""COMPUTED_VALUE"""),"AVRG ITB")</f>
        <v>AVRG ITB</v>
      </c>
      <c r="D7142" s="186">
        <f>IFERROR(__xludf.DUMMYFUNCTION("""COMPUTED_VALUE"""),1.0)</f>
        <v>1</v>
      </c>
    </row>
    <row r="7143">
      <c r="A7143" s="178" t="str">
        <f>IFERROR(__xludf.DUMMYFUNCTION("""COMPUTED_VALUE"""),"ITBISA-JUMPER-MF-10CM")</f>
        <v>ITBISA-JUMPER-MF-10CM</v>
      </c>
      <c r="B7143" s="266">
        <f>IFERROR(__xludf.DUMMYFUNCTION("""COMPUTED_VALUE"""),43430.0)</f>
        <v>43430</v>
      </c>
      <c r="C7143" s="266" t="str">
        <f>IFERROR(__xludf.DUMMYFUNCTION("""COMPUTED_VALUE"""),"AVRG ITB")</f>
        <v>AVRG ITB</v>
      </c>
      <c r="D7143" s="186">
        <f>IFERROR(__xludf.DUMMYFUNCTION("""COMPUTED_VALUE"""),1.0)</f>
        <v>1</v>
      </c>
    </row>
    <row r="7144">
      <c r="A7144" s="178" t="str">
        <f>IFERROR(__xludf.DUMMYFUNCTION("""COMPUTED_VALUE"""),"ITBISA-JUMPER-MF-10CM")</f>
        <v>ITBISA-JUMPER-MF-10CM</v>
      </c>
      <c r="B7144" s="266">
        <f>IFERROR(__xludf.DUMMYFUNCTION("""COMPUTED_VALUE"""),43432.0)</f>
        <v>43432</v>
      </c>
      <c r="C7144" s="266" t="str">
        <f>IFERROR(__xludf.DUMMYFUNCTION("""COMPUTED_VALUE"""),"AVRG ITB")</f>
        <v>AVRG ITB</v>
      </c>
      <c r="D7144" s="186">
        <f>IFERROR(__xludf.DUMMYFUNCTION("""COMPUTED_VALUE"""),20.0)</f>
        <v>20</v>
      </c>
    </row>
    <row r="7145">
      <c r="A7145" s="178" t="str">
        <f>IFERROR(__xludf.DUMMYFUNCTION("""COMPUTED_VALUE"""),"ITBISA-JUMPER-MF-10CM")</f>
        <v>ITBISA-JUMPER-MF-10CM</v>
      </c>
      <c r="B7145" s="266">
        <f>IFERROR(__xludf.DUMMYFUNCTION("""COMPUTED_VALUE"""),43480.0)</f>
        <v>43480</v>
      </c>
      <c r="C7145" s="266" t="str">
        <f>IFERROR(__xludf.DUMMYFUNCTION("""COMPUTED_VALUE"""),"AVRG ITB")</f>
        <v>AVRG ITB</v>
      </c>
      <c r="D7145" s="186">
        <f>IFERROR(__xludf.DUMMYFUNCTION("""COMPUTED_VALUE"""),120.0)</f>
        <v>120</v>
      </c>
    </row>
    <row r="7146">
      <c r="A7146" s="178" t="str">
        <f>IFERROR(__xludf.DUMMYFUNCTION("""COMPUTED_VALUE"""),"ITBISA-JUMPER-MF-10CM")</f>
        <v>ITBISA-JUMPER-MF-10CM</v>
      </c>
      <c r="B7146" s="266">
        <f>IFERROR(__xludf.DUMMYFUNCTION("""COMPUTED_VALUE"""),43536.0)</f>
        <v>43536</v>
      </c>
      <c r="C7146" s="266" t="str">
        <f>IFERROR(__xludf.DUMMYFUNCTION("""COMPUTED_VALUE"""),"AVRG ITB")</f>
        <v>AVRG ITB</v>
      </c>
      <c r="D7146" s="186">
        <f>IFERROR(__xludf.DUMMYFUNCTION("""COMPUTED_VALUE"""),40.0)</f>
        <v>40</v>
      </c>
    </row>
    <row r="7147">
      <c r="A7147" s="178" t="str">
        <f>IFERROR(__xludf.DUMMYFUNCTION("""COMPUTED_VALUE"""),"ITBISA-JUMPER-MF-10CM")</f>
        <v>ITBISA-JUMPER-MF-10CM</v>
      </c>
      <c r="B7147" s="266">
        <f>IFERROR(__xludf.DUMMYFUNCTION("""COMPUTED_VALUE"""),43538.0)</f>
        <v>43538</v>
      </c>
      <c r="C7147" s="266" t="str">
        <f>IFERROR(__xludf.DUMMYFUNCTION("""COMPUTED_VALUE"""),"AVRG ITB")</f>
        <v>AVRG ITB</v>
      </c>
      <c r="D7147" s="186">
        <f>IFERROR(__xludf.DUMMYFUNCTION("""COMPUTED_VALUE"""),800.0)</f>
        <v>800</v>
      </c>
    </row>
    <row r="7148">
      <c r="A7148" s="178" t="str">
        <f>IFERROR(__xludf.DUMMYFUNCTION("""COMPUTED_VALUE"""),"ITBISA-JUMPER-MF-10CM")</f>
        <v>ITBISA-JUMPER-MF-10CM</v>
      </c>
      <c r="B7148" s="266">
        <f>IFERROR(__xludf.DUMMYFUNCTION("""COMPUTED_VALUE"""),43544.0)</f>
        <v>43544</v>
      </c>
      <c r="C7148" s="266" t="str">
        <f>IFERROR(__xludf.DUMMYFUNCTION("""COMPUTED_VALUE"""),"AVRG ITB")</f>
        <v>AVRG ITB</v>
      </c>
      <c r="D7148" s="186">
        <f>IFERROR(__xludf.DUMMYFUNCTION("""COMPUTED_VALUE"""),200.0)</f>
        <v>200</v>
      </c>
    </row>
    <row r="7149">
      <c r="A7149" s="178" t="str">
        <f>IFERROR(__xludf.DUMMYFUNCTION("""COMPUTED_VALUE"""),"ITBISA-JUMPER-MF-10CM")</f>
        <v>ITBISA-JUMPER-MF-10CM</v>
      </c>
      <c r="B7149" s="266">
        <f>IFERROR(__xludf.DUMMYFUNCTION("""COMPUTED_VALUE"""),43550.0)</f>
        <v>43550</v>
      </c>
      <c r="C7149" s="266" t="str">
        <f>IFERROR(__xludf.DUMMYFUNCTION("""COMPUTED_VALUE"""),"AVRG ITB")</f>
        <v>AVRG ITB</v>
      </c>
      <c r="D7149" s="186">
        <f>IFERROR(__xludf.DUMMYFUNCTION("""COMPUTED_VALUE"""),320.0)</f>
        <v>320</v>
      </c>
    </row>
    <row r="7150">
      <c r="A7150" s="178" t="str">
        <f>IFERROR(__xludf.DUMMYFUNCTION("""COMPUTED_VALUE"""),"ITBISA-JUMPER-MF-10CM")</f>
        <v>ITBISA-JUMPER-MF-10CM</v>
      </c>
      <c r="B7150" s="266">
        <f>IFERROR(__xludf.DUMMYFUNCTION("""COMPUTED_VALUE"""),43566.0)</f>
        <v>43566</v>
      </c>
      <c r="C7150" s="266" t="str">
        <f>IFERROR(__xludf.DUMMYFUNCTION("""COMPUTED_VALUE"""),"AVRG ITB")</f>
        <v>AVRG ITB</v>
      </c>
      <c r="D7150" s="186">
        <f>IFERROR(__xludf.DUMMYFUNCTION("""COMPUTED_VALUE"""),40.0)</f>
        <v>40</v>
      </c>
    </row>
    <row r="7151">
      <c r="A7151" s="178" t="str">
        <f>IFERROR(__xludf.DUMMYFUNCTION("""COMPUTED_VALUE"""),"ITBISA-JUMPER-MF-10CM")</f>
        <v>ITBISA-JUMPER-MF-10CM</v>
      </c>
      <c r="B7151" s="266">
        <f>IFERROR(__xludf.DUMMYFUNCTION("""COMPUTED_VALUE"""),43566.0)</f>
        <v>43566</v>
      </c>
      <c r="C7151" s="266" t="str">
        <f>IFERROR(__xludf.DUMMYFUNCTION("""COMPUTED_VALUE"""),"AVRG ITB")</f>
        <v>AVRG ITB</v>
      </c>
      <c r="D7151" s="186">
        <f>IFERROR(__xludf.DUMMYFUNCTION("""COMPUTED_VALUE"""),360.0)</f>
        <v>360</v>
      </c>
    </row>
    <row r="7152">
      <c r="A7152" s="178" t="str">
        <f>IFERROR(__xludf.DUMMYFUNCTION("""COMPUTED_VALUE"""),"ITBISA-JUMPER-MF-10CM")</f>
        <v>ITBISA-JUMPER-MF-10CM</v>
      </c>
      <c r="B7152" s="266">
        <f>IFERROR(__xludf.DUMMYFUNCTION("""COMPUTED_VALUE"""),43586.0)</f>
        <v>43586</v>
      </c>
      <c r="C7152" s="266" t="str">
        <f>IFERROR(__xludf.DUMMYFUNCTION("""COMPUTED_VALUE"""),"AVRG ITB")</f>
        <v>AVRG ITB</v>
      </c>
      <c r="D7152" s="186">
        <f>IFERROR(__xludf.DUMMYFUNCTION("""COMPUTED_VALUE"""),40.0)</f>
        <v>40</v>
      </c>
    </row>
    <row r="7153">
      <c r="A7153" s="178" t="str">
        <f>IFERROR(__xludf.DUMMYFUNCTION("""COMPUTED_VALUE"""),"ITBISA-JUMPER-MF-10CM")</f>
        <v>ITBISA-JUMPER-MF-10CM</v>
      </c>
      <c r="B7153" s="266">
        <f>IFERROR(__xludf.DUMMYFUNCTION("""COMPUTED_VALUE"""),43586.0)</f>
        <v>43586</v>
      </c>
      <c r="C7153" s="266" t="str">
        <f>IFERROR(__xludf.DUMMYFUNCTION("""COMPUTED_VALUE"""),"AVRG ITB")</f>
        <v>AVRG ITB</v>
      </c>
      <c r="D7153" s="186">
        <f>IFERROR(__xludf.DUMMYFUNCTION("""COMPUTED_VALUE"""),120.0)</f>
        <v>120</v>
      </c>
    </row>
    <row r="7154">
      <c r="A7154" s="178" t="str">
        <f>IFERROR(__xludf.DUMMYFUNCTION("""COMPUTED_VALUE"""),"ITBISA-JUMPER-MF-10CM")</f>
        <v>ITBISA-JUMPER-MF-10CM</v>
      </c>
      <c r="B7154" s="266">
        <f>IFERROR(__xludf.DUMMYFUNCTION("""COMPUTED_VALUE"""),43602.0)</f>
        <v>43602</v>
      </c>
      <c r="C7154" s="266" t="str">
        <f>IFERROR(__xludf.DUMMYFUNCTION("""COMPUTED_VALUE"""),"RUMAH MUZAKKI")</f>
        <v>RUMAH MUZAKKI</v>
      </c>
      <c r="D7154" s="186">
        <f>IFERROR(__xludf.DUMMYFUNCTION("""COMPUTED_VALUE"""),1.0)</f>
        <v>1</v>
      </c>
    </row>
    <row r="7155">
      <c r="A7155" s="178" t="str">
        <f>IFERROR(__xludf.DUMMYFUNCTION("""COMPUTED_VALUE"""),"ITBISA-JUMPER-MF-10CM")</f>
        <v>ITBISA-JUMPER-MF-10CM</v>
      </c>
      <c r="B7155" s="266">
        <f>IFERROR(__xludf.DUMMYFUNCTION("""COMPUTED_VALUE"""),43614.0)</f>
        <v>43614</v>
      </c>
      <c r="C7155" s="266" t="str">
        <f>IFERROR(__xludf.DUMMYFUNCTION("""COMPUTED_VALUE"""),"AVRG ITB")</f>
        <v>AVRG ITB</v>
      </c>
      <c r="D7155" s="186">
        <f>IFERROR(__xludf.DUMMYFUNCTION("""COMPUTED_VALUE"""),40.0)</f>
        <v>40</v>
      </c>
    </row>
    <row r="7156">
      <c r="A7156" s="178" t="str">
        <f>IFERROR(__xludf.DUMMYFUNCTION("""COMPUTED_VALUE"""),"ITBISA-JUMPER-MF-10CM")</f>
        <v>ITBISA-JUMPER-MF-10CM</v>
      </c>
      <c r="B7156" s="266">
        <f>IFERROR(__xludf.DUMMYFUNCTION("""COMPUTED_VALUE"""),43655.0)</f>
        <v>43655</v>
      </c>
      <c r="C7156" s="266" t="str">
        <f>IFERROR(__xludf.DUMMYFUNCTION("""COMPUTED_VALUE"""),"RUMAH MUZAKKI")</f>
        <v>RUMAH MUZAKKI</v>
      </c>
      <c r="D7156" s="186">
        <f>IFERROR(__xludf.DUMMYFUNCTION("""COMPUTED_VALUE"""),40.0)</f>
        <v>40</v>
      </c>
    </row>
    <row r="7157">
      <c r="A7157" s="178" t="str">
        <f>IFERROR(__xludf.DUMMYFUNCTION("""COMPUTED_VALUE"""),"ITBISA-JUMPER-MF-10CM")</f>
        <v>ITBISA-JUMPER-MF-10CM</v>
      </c>
      <c r="B7157" s="266">
        <f>IFERROR(__xludf.DUMMYFUNCTION("""COMPUTED_VALUE"""),43667.0)</f>
        <v>43667</v>
      </c>
      <c r="C7157" s="266" t="str">
        <f>IFERROR(__xludf.DUMMYFUNCTION("""COMPUTED_VALUE"""),"RUMAH MUZAKKI")</f>
        <v>RUMAH MUZAKKI</v>
      </c>
      <c r="D7157" s="186">
        <f>IFERROR(__xludf.DUMMYFUNCTION("""COMPUTED_VALUE"""),40.0)</f>
        <v>40</v>
      </c>
    </row>
    <row r="7158">
      <c r="A7158" s="178" t="str">
        <f>IFERROR(__xludf.DUMMYFUNCTION("""COMPUTED_VALUE"""),"ITBISA-JUMPER-MF-10CM")</f>
        <v>ITBISA-JUMPER-MF-10CM</v>
      </c>
      <c r="B7158" s="266">
        <f>IFERROR(__xludf.DUMMYFUNCTION("""COMPUTED_VALUE"""),43726.0)</f>
        <v>43726</v>
      </c>
      <c r="C7158" s="266" t="str">
        <f>IFERROR(__xludf.DUMMYFUNCTION("""COMPUTED_VALUE"""),"RUMAH MUZAKKI")</f>
        <v>RUMAH MUZAKKI</v>
      </c>
      <c r="D7158" s="186">
        <f>IFERROR(__xludf.DUMMYFUNCTION("""COMPUTED_VALUE"""),200.0)</f>
        <v>200</v>
      </c>
    </row>
    <row r="7159">
      <c r="A7159" s="178" t="str">
        <f>IFERROR(__xludf.DUMMYFUNCTION("""COMPUTED_VALUE"""),"ITBISA-JUMPER-MF-10CM")</f>
        <v>ITBISA-JUMPER-MF-10CM</v>
      </c>
      <c r="B7159" s="266">
        <f>IFERROR(__xludf.DUMMYFUNCTION("""COMPUTED_VALUE"""),43732.0)</f>
        <v>43732</v>
      </c>
      <c r="C7159" s="266" t="str">
        <f>IFERROR(__xludf.DUMMYFUNCTION("""COMPUTED_VALUE"""),"RUMAH MUZAKKI")</f>
        <v>RUMAH MUZAKKI</v>
      </c>
      <c r="D7159" s="186">
        <f>IFERROR(__xludf.DUMMYFUNCTION("""COMPUTED_VALUE"""),40.0)</f>
        <v>40</v>
      </c>
    </row>
    <row r="7160">
      <c r="A7160" s="178" t="str">
        <f>IFERROR(__xludf.DUMMYFUNCTION("""COMPUTED_VALUE"""),"ITBISA-JUMPER-MF-10CM")</f>
        <v>ITBISA-JUMPER-MF-10CM</v>
      </c>
      <c r="B7160" s="266">
        <f>IFERROR(__xludf.DUMMYFUNCTION("""COMPUTED_VALUE"""),43733.0)</f>
        <v>43733</v>
      </c>
      <c r="C7160" s="266" t="str">
        <f>IFERROR(__xludf.DUMMYFUNCTION("""COMPUTED_VALUE"""),"RUMAH MUZAKKI")</f>
        <v>RUMAH MUZAKKI</v>
      </c>
      <c r="D7160" s="186">
        <f>IFERROR(__xludf.DUMMYFUNCTION("""COMPUTED_VALUE"""),40.0)</f>
        <v>40</v>
      </c>
    </row>
    <row r="7161">
      <c r="A7161" s="178" t="str">
        <f>IFERROR(__xludf.DUMMYFUNCTION("""COMPUTED_VALUE"""),"ITBISA-JUMPER-MF-10CM")</f>
        <v>ITBISA-JUMPER-MF-10CM</v>
      </c>
      <c r="B7161" s="266">
        <f>IFERROR(__xludf.DUMMYFUNCTION("""COMPUTED_VALUE"""),43746.0)</f>
        <v>43746</v>
      </c>
      <c r="C7161" s="266" t="str">
        <f>IFERROR(__xludf.DUMMYFUNCTION("""COMPUTED_VALUE"""),"RUMAH MUZAKKI")</f>
        <v>RUMAH MUZAKKI</v>
      </c>
      <c r="D7161" s="186">
        <f>IFERROR(__xludf.DUMMYFUNCTION("""COMPUTED_VALUE"""),40.0)</f>
        <v>40</v>
      </c>
    </row>
    <row r="7162">
      <c r="A7162" s="178" t="str">
        <f>IFERROR(__xludf.DUMMYFUNCTION("""COMPUTED_VALUE"""),"ITBISA-JUMPER-MF-10CM")</f>
        <v>ITBISA-JUMPER-MF-10CM</v>
      </c>
      <c r="B7162" s="266">
        <f>IFERROR(__xludf.DUMMYFUNCTION("""COMPUTED_VALUE"""),43752.0)</f>
        <v>43752</v>
      </c>
      <c r="C7162" s="266" t="str">
        <f>IFERROR(__xludf.DUMMYFUNCTION("""COMPUTED_VALUE"""),"RUMAH MUZAKKI")</f>
        <v>RUMAH MUZAKKI</v>
      </c>
      <c r="D7162" s="186">
        <f>IFERROR(__xludf.DUMMYFUNCTION("""COMPUTED_VALUE"""),120.0)</f>
        <v>120</v>
      </c>
    </row>
    <row r="7163">
      <c r="A7163" s="178" t="str">
        <f>IFERROR(__xludf.DUMMYFUNCTION("""COMPUTED_VALUE"""),"ITBISA-JUMPER-MF-10CM")</f>
        <v>ITBISA-JUMPER-MF-10CM</v>
      </c>
      <c r="B7163" s="266">
        <f>IFERROR(__xludf.DUMMYFUNCTION("""COMPUTED_VALUE"""),43757.0)</f>
        <v>43757</v>
      </c>
      <c r="C7163" s="266" t="str">
        <f>IFERROR(__xludf.DUMMYFUNCTION("""COMPUTED_VALUE"""),"AVRG ITB")</f>
        <v>AVRG ITB</v>
      </c>
      <c r="D7163" s="186">
        <f>IFERROR(__xludf.DUMMYFUNCTION("""COMPUTED_VALUE"""),10.0)</f>
        <v>10</v>
      </c>
    </row>
    <row r="7164">
      <c r="A7164" s="178" t="str">
        <f>IFERROR(__xludf.DUMMYFUNCTION("""COMPUTED_VALUE"""),"ITBISA-JUMPER-MF-10CM")</f>
        <v>ITBISA-JUMPER-MF-10CM</v>
      </c>
      <c r="B7164" s="266">
        <f>IFERROR(__xludf.DUMMYFUNCTION("""COMPUTED_VALUE"""),43758.0)</f>
        <v>43758</v>
      </c>
      <c r="C7164" s="266" t="str">
        <f>IFERROR(__xludf.DUMMYFUNCTION("""COMPUTED_VALUE"""),"AVRG ITB")</f>
        <v>AVRG ITB</v>
      </c>
      <c r="D7164" s="186">
        <f>IFERROR(__xludf.DUMMYFUNCTION("""COMPUTED_VALUE"""),28.0)</f>
        <v>28</v>
      </c>
    </row>
    <row r="7165">
      <c r="A7165" s="178" t="str">
        <f>IFERROR(__xludf.DUMMYFUNCTION("""COMPUTED_VALUE"""),"ITBISA-JUMPER-MF-10CM")</f>
        <v>ITBISA-JUMPER-MF-10CM</v>
      </c>
      <c r="B7165" s="266">
        <f>IFERROR(__xludf.DUMMYFUNCTION("""COMPUTED_VALUE"""),43765.0)</f>
        <v>43765</v>
      </c>
      <c r="C7165" s="266" t="str">
        <f>IFERROR(__xludf.DUMMYFUNCTION("""COMPUTED_VALUE"""),"AVRG ITB")</f>
        <v>AVRG ITB</v>
      </c>
      <c r="D7165" s="186">
        <f>IFERROR(__xludf.DUMMYFUNCTION("""COMPUTED_VALUE"""),200.0)</f>
        <v>200</v>
      </c>
    </row>
    <row r="7166">
      <c r="A7166" s="178" t="str">
        <f>IFERROR(__xludf.DUMMYFUNCTION("""COMPUTED_VALUE"""),"ITBISA-JUMPER-MF-10CM")</f>
        <v>ITBISA-JUMPER-MF-10CM</v>
      </c>
      <c r="B7166" s="266">
        <f>IFERROR(__xludf.DUMMYFUNCTION("""COMPUTED_VALUE"""),43768.0)</f>
        <v>43768</v>
      </c>
      <c r="C7166" s="266" t="str">
        <f>IFERROR(__xludf.DUMMYFUNCTION("""COMPUTED_VALUE"""),"RUMAH MUZAKKI")</f>
        <v>RUMAH MUZAKKI</v>
      </c>
      <c r="D7166" s="186">
        <f>IFERROR(__xludf.DUMMYFUNCTION("""COMPUTED_VALUE"""),40.0)</f>
        <v>40</v>
      </c>
    </row>
    <row r="7167">
      <c r="A7167" s="178" t="str">
        <f>IFERROR(__xludf.DUMMYFUNCTION("""COMPUTED_VALUE"""),"ITBISA-JUMPER-MF-10CM")</f>
        <v>ITBISA-JUMPER-MF-10CM</v>
      </c>
      <c r="B7167" s="266">
        <f>IFERROR(__xludf.DUMMYFUNCTION("""COMPUTED_VALUE"""),43788.0)</f>
        <v>43788</v>
      </c>
      <c r="C7167" s="266" t="str">
        <f>IFERROR(__xludf.DUMMYFUNCTION("""COMPUTED_VALUE"""),"RUMAH MUZAKKI")</f>
        <v>RUMAH MUZAKKI</v>
      </c>
      <c r="D7167" s="186">
        <f>IFERROR(__xludf.DUMMYFUNCTION("""COMPUTED_VALUE"""),40.0)</f>
        <v>40</v>
      </c>
    </row>
    <row r="7168">
      <c r="A7168" s="178" t="str">
        <f>IFERROR(__xludf.DUMMYFUNCTION("""COMPUTED_VALUE"""),"ITBISA-JUMPER-MF-10CM")</f>
        <v>ITBISA-JUMPER-MF-10CM</v>
      </c>
      <c r="B7168" s="266">
        <f>IFERROR(__xludf.DUMMYFUNCTION("""COMPUTED_VALUE"""),43790.0)</f>
        <v>43790</v>
      </c>
      <c r="C7168" s="266" t="str">
        <f>IFERROR(__xludf.DUMMYFUNCTION("""COMPUTED_VALUE"""),"RUMAH MUZAKKI")</f>
        <v>RUMAH MUZAKKI</v>
      </c>
      <c r="D7168" s="186">
        <f>IFERROR(__xludf.DUMMYFUNCTION("""COMPUTED_VALUE"""),40.0)</f>
        <v>40</v>
      </c>
    </row>
    <row r="7169">
      <c r="A7169" s="178" t="str">
        <f>IFERROR(__xludf.DUMMYFUNCTION("""COMPUTED_VALUE"""),"ITBISA-JUMPER-MF-10CM")</f>
        <v>ITBISA-JUMPER-MF-10CM</v>
      </c>
      <c r="B7169" s="266">
        <f>IFERROR(__xludf.DUMMYFUNCTION("""COMPUTED_VALUE"""),43819.0)</f>
        <v>43819</v>
      </c>
      <c r="C7169" s="266" t="str">
        <f>IFERROR(__xludf.DUMMYFUNCTION("""COMPUTED_VALUE"""),"AVRG ITB")</f>
        <v>AVRG ITB</v>
      </c>
      <c r="D7169" s="186">
        <f>IFERROR(__xludf.DUMMYFUNCTION("""COMPUTED_VALUE"""),40.0)</f>
        <v>40</v>
      </c>
    </row>
    <row r="7170">
      <c r="A7170" s="178" t="str">
        <f>IFERROR(__xludf.DUMMYFUNCTION("""COMPUTED_VALUE"""),"ITBISA-JUMPER-MF-10CM")</f>
        <v>ITBISA-JUMPER-MF-10CM</v>
      </c>
      <c r="B7170" s="266">
        <f>IFERROR(__xludf.DUMMYFUNCTION("""COMPUTED_VALUE"""),43844.0)</f>
        <v>43844</v>
      </c>
      <c r="C7170" s="266" t="str">
        <f>IFERROR(__xludf.DUMMYFUNCTION("""COMPUTED_VALUE"""),"AVRG ITB")</f>
        <v>AVRG ITB</v>
      </c>
      <c r="D7170" s="186">
        <f>IFERROR(__xludf.DUMMYFUNCTION("""COMPUTED_VALUE"""),200.0)</f>
        <v>200</v>
      </c>
    </row>
    <row r="7171">
      <c r="A7171" s="178" t="str">
        <f>IFERROR(__xludf.DUMMYFUNCTION("""COMPUTED_VALUE"""),"ITBISA-JUMPER-MF-10CM")</f>
        <v>ITBISA-JUMPER-MF-10CM</v>
      </c>
      <c r="B7171" s="266">
        <f>IFERROR(__xludf.DUMMYFUNCTION("""COMPUTED_VALUE"""),43845.0)</f>
        <v>43845</v>
      </c>
      <c r="C7171" s="266" t="str">
        <f>IFERROR(__xludf.DUMMYFUNCTION("""COMPUTED_VALUE"""),"AVRG ITB")</f>
        <v>AVRG ITB</v>
      </c>
      <c r="D7171" s="186">
        <f>IFERROR(__xludf.DUMMYFUNCTION("""COMPUTED_VALUE"""),160.0)</f>
        <v>160</v>
      </c>
    </row>
    <row r="7172">
      <c r="A7172" s="178" t="str">
        <f>IFERROR(__xludf.DUMMYFUNCTION("""COMPUTED_VALUE"""),"ITBISA-JUMPER-MF-10CM")</f>
        <v>ITBISA-JUMPER-MF-10CM</v>
      </c>
      <c r="B7172" s="266">
        <f>IFERROR(__xludf.DUMMYFUNCTION("""COMPUTED_VALUE"""),43877.0)</f>
        <v>43877</v>
      </c>
      <c r="C7172" s="266" t="str">
        <f>IFERROR(__xludf.DUMMYFUNCTION("""COMPUTED_VALUE"""),"AVRG ITB")</f>
        <v>AVRG ITB</v>
      </c>
      <c r="D7172" s="186">
        <f>IFERROR(__xludf.DUMMYFUNCTION("""COMPUTED_VALUE"""),224.0)</f>
        <v>224</v>
      </c>
    </row>
    <row r="7173">
      <c r="A7173" s="178" t="str">
        <f>IFERROR(__xludf.DUMMYFUNCTION("""COMPUTED_VALUE"""),"ITBISA-JUMPER-MF-10CM")</f>
        <v>ITBISA-JUMPER-MF-10CM</v>
      </c>
      <c r="B7173" s="266">
        <f>IFERROR(__xludf.DUMMYFUNCTION("""COMPUTED_VALUE"""),43958.0)</f>
        <v>43958</v>
      </c>
      <c r="C7173" s="266" t="str">
        <f>IFERROR(__xludf.DUMMYFUNCTION("""COMPUTED_VALUE"""),"RUMAH MUZAKKI")</f>
        <v>RUMAH MUZAKKI</v>
      </c>
      <c r="D7173" s="186">
        <f>IFERROR(__xludf.DUMMYFUNCTION("""COMPUTED_VALUE"""),40.0)</f>
        <v>40</v>
      </c>
    </row>
    <row r="7174">
      <c r="A7174" s="178" t="str">
        <f>IFERROR(__xludf.DUMMYFUNCTION("""COMPUTED_VALUE"""),"ITBISA-JUMPER-MF-10CM")</f>
        <v>ITBISA-JUMPER-MF-10CM</v>
      </c>
      <c r="B7174" s="266">
        <f>IFERROR(__xludf.DUMMYFUNCTION("""COMPUTED_VALUE"""),44013.0)</f>
        <v>44013</v>
      </c>
      <c r="C7174" s="266" t="str">
        <f>IFERROR(__xludf.DUMMYFUNCTION("""COMPUTED_VALUE"""),"KAETOBO RESIDENCE")</f>
        <v>KAETOBO RESIDENCE</v>
      </c>
      <c r="D7174" s="186">
        <f>IFERROR(__xludf.DUMMYFUNCTION("""COMPUTED_VALUE"""),40.0)</f>
        <v>40</v>
      </c>
    </row>
    <row r="7175">
      <c r="A7175" s="178" t="str">
        <f>IFERROR(__xludf.DUMMYFUNCTION("""COMPUTED_VALUE"""),"ITBISA-JUMPER-MF-10CM")</f>
        <v>ITBISA-JUMPER-MF-10CM</v>
      </c>
      <c r="B7175" s="266">
        <f>IFERROR(__xludf.DUMMYFUNCTION("""COMPUTED_VALUE"""),44042.0)</f>
        <v>44042</v>
      </c>
      <c r="C7175" s="266" t="str">
        <f>IFERROR(__xludf.DUMMYFUNCTION("""COMPUTED_VALUE"""),"KAETOBO RESIDENCE")</f>
        <v>KAETOBO RESIDENCE</v>
      </c>
      <c r="D7175" s="186">
        <f>IFERROR(__xludf.DUMMYFUNCTION("""COMPUTED_VALUE"""),160.0)</f>
        <v>160</v>
      </c>
    </row>
    <row r="7176">
      <c r="A7176" s="178" t="str">
        <f>IFERROR(__xludf.DUMMYFUNCTION("""COMPUTED_VALUE"""),"ITBISA-JUMPER-MF-10CM")</f>
        <v>ITBISA-JUMPER-MF-10CM</v>
      </c>
      <c r="B7176" s="266">
        <f>IFERROR(__xludf.DUMMYFUNCTION("""COMPUTED_VALUE"""),44072.0)</f>
        <v>44072</v>
      </c>
      <c r="C7176" s="266" t="str">
        <f>IFERROR(__xludf.DUMMYFUNCTION("""COMPUTED_VALUE"""),"KOST SRITUNGGAL")</f>
        <v>KOST SRITUNGGAL</v>
      </c>
      <c r="D7176" s="186">
        <f>IFERROR(__xludf.DUMMYFUNCTION("""COMPUTED_VALUE"""),40.0)</f>
        <v>40</v>
      </c>
    </row>
    <row r="7177">
      <c r="A7177" s="178" t="str">
        <f>IFERROR(__xludf.DUMMYFUNCTION("""COMPUTED_VALUE"""),"ITBISA-JUMPER-MF-10CM")</f>
        <v>ITBISA-JUMPER-MF-10CM</v>
      </c>
      <c r="B7177" s="266">
        <f>IFERROR(__xludf.DUMMYFUNCTION("""COMPUTED_VALUE"""),44107.0)</f>
        <v>44107</v>
      </c>
      <c r="C7177" s="266" t="str">
        <f>IFERROR(__xludf.DUMMYFUNCTION("""COMPUTED_VALUE"""),"KOST RUMAHUMI")</f>
        <v>KOST RUMAHUMI</v>
      </c>
      <c r="D7177" s="186">
        <f>IFERROR(__xludf.DUMMYFUNCTION("""COMPUTED_VALUE"""),200.0)</f>
        <v>200</v>
      </c>
    </row>
    <row r="7178">
      <c r="A7178" s="178" t="str">
        <f>IFERROR(__xludf.DUMMYFUNCTION("""COMPUTED_VALUE"""),"ITBISA-JUMPER-MF-10CM")</f>
        <v>ITBISA-JUMPER-MF-10CM</v>
      </c>
      <c r="B7178" s="266">
        <f>IFERROR(__xludf.DUMMYFUNCTION("""COMPUTED_VALUE"""),44119.0)</f>
        <v>44119</v>
      </c>
      <c r="C7178" s="266" t="str">
        <f>IFERROR(__xludf.DUMMYFUNCTION("""COMPUTED_VALUE"""),"KOST RUMAHUMI")</f>
        <v>KOST RUMAHUMI</v>
      </c>
      <c r="D7178" s="186">
        <f>IFERROR(__xludf.DUMMYFUNCTION("""COMPUTED_VALUE"""),40.0)</f>
        <v>40</v>
      </c>
    </row>
    <row r="7179">
      <c r="A7179" s="178" t="str">
        <f>IFERROR(__xludf.DUMMYFUNCTION("""COMPUTED_VALUE"""),"ITBISA-JUMPER-MF-10CM")</f>
        <v>ITBISA-JUMPER-MF-10CM</v>
      </c>
      <c r="B7179" s="266">
        <f>IFERROR(__xludf.DUMMYFUNCTION("""COMPUTED_VALUE"""),44119.0)</f>
        <v>44119</v>
      </c>
      <c r="C7179" s="266" t="str">
        <f>IFERROR(__xludf.DUMMYFUNCTION("""COMPUTED_VALUE"""),"KOST RUMAHUMI")</f>
        <v>KOST RUMAHUMI</v>
      </c>
      <c r="D7179" s="186">
        <f>IFERROR(__xludf.DUMMYFUNCTION("""COMPUTED_VALUE"""),1520.0)</f>
        <v>1520</v>
      </c>
    </row>
    <row r="7180">
      <c r="A7180" s="178" t="str">
        <f>IFERROR(__xludf.DUMMYFUNCTION("""COMPUTED_VALUE"""),"ITBISA-JUMPER-MF-10CM")</f>
        <v>ITBISA-JUMPER-MF-10CM</v>
      </c>
      <c r="B7180" s="266">
        <f>IFERROR(__xludf.DUMMYFUNCTION("""COMPUTED_VALUE"""),44214.0)</f>
        <v>44214</v>
      </c>
      <c r="C7180" s="266" t="str">
        <f>IFERROR(__xludf.DUMMYFUNCTION("""COMPUTED_VALUE"""),"KOST RUMAHUMI")</f>
        <v>KOST RUMAHUMI</v>
      </c>
      <c r="D7180" s="186">
        <f>IFERROR(__xludf.DUMMYFUNCTION("""COMPUTED_VALUE"""),600.0)</f>
        <v>600</v>
      </c>
    </row>
    <row r="7181">
      <c r="A7181" s="178" t="str">
        <f>IFERROR(__xludf.DUMMYFUNCTION("""COMPUTED_VALUE"""),"ITBISA-JUMPER-MF-10CM")</f>
        <v>ITBISA-JUMPER-MF-10CM</v>
      </c>
      <c r="B7181" s="266">
        <f>IFERROR(__xludf.DUMMYFUNCTION("""COMPUTED_VALUE"""),44293.0)</f>
        <v>44293</v>
      </c>
      <c r="C7181" s="266" t="str">
        <f>IFERROR(__xludf.DUMMYFUNCTION("""COMPUTED_VALUE"""),"KOST RUMAHUMI")</f>
        <v>KOST RUMAHUMI</v>
      </c>
      <c r="D7181" s="186">
        <f>IFERROR(__xludf.DUMMYFUNCTION("""COMPUTED_VALUE"""),40.0)</f>
        <v>40</v>
      </c>
    </row>
    <row r="7182">
      <c r="A7182" s="178" t="str">
        <f>IFERROR(__xludf.DUMMYFUNCTION("""COMPUTED_VALUE"""),"ITBISA-JUMPER-MF-10CM")</f>
        <v>ITBISA-JUMPER-MF-10CM</v>
      </c>
      <c r="B7182" s="266">
        <f>IFERROR(__xludf.DUMMYFUNCTION("""COMPUTED_VALUE"""),44940.0)</f>
        <v>44940</v>
      </c>
      <c r="C7182" s="266" t="str">
        <f>IFERROR(__xludf.DUMMYFUNCTION("""COMPUTED_VALUE"""),"KYAI KONTONG")</f>
        <v>KYAI KONTONG</v>
      </c>
      <c r="D7182" s="186">
        <f>IFERROR(__xludf.DUMMYFUNCTION("""COMPUTED_VALUE"""),1200.0)</f>
        <v>1200</v>
      </c>
    </row>
    <row r="7183">
      <c r="A7183" s="178" t="str">
        <f>IFERROR(__xludf.DUMMYFUNCTION("""COMPUTED_VALUE"""),"ITBISA-JUMPER-MF-10CM")</f>
        <v>ITBISA-JUMPER-MF-10CM</v>
      </c>
      <c r="B7183" s="266">
        <f>IFERROR(__xludf.DUMMYFUNCTION("""COMPUTED_VALUE"""),44951.0)</f>
        <v>44951</v>
      </c>
      <c r="C7183" s="266" t="str">
        <f>IFERROR(__xludf.DUMMYFUNCTION("""COMPUTED_VALUE"""),"KYAI KONTONG")</f>
        <v>KYAI KONTONG</v>
      </c>
      <c r="D7183" s="186">
        <f>IFERROR(__xludf.DUMMYFUNCTION("""COMPUTED_VALUE"""),40.0)</f>
        <v>40</v>
      </c>
    </row>
    <row r="7184">
      <c r="A7184" s="178" t="str">
        <f>IFERROR(__xludf.DUMMYFUNCTION("""COMPUTED_VALUE"""),"ITBISA-JUMPER-MF-10CM")</f>
        <v>ITBISA-JUMPER-MF-10CM</v>
      </c>
      <c r="B7184" s="266">
        <f>IFERROR(__xludf.DUMMYFUNCTION("""COMPUTED_VALUE"""),44954.0)</f>
        <v>44954</v>
      </c>
      <c r="C7184" s="266" t="str">
        <f>IFERROR(__xludf.DUMMYFUNCTION("""COMPUTED_VALUE"""),"KYAI KONTONG")</f>
        <v>KYAI KONTONG</v>
      </c>
      <c r="D7184" s="186">
        <f>IFERROR(__xludf.DUMMYFUNCTION("""COMPUTED_VALUE"""),40.0)</f>
        <v>40</v>
      </c>
    </row>
    <row r="7185">
      <c r="A7185" s="178" t="str">
        <f>IFERROR(__xludf.DUMMYFUNCTION("""COMPUTED_VALUE"""),"ITBISA-JUMPER-MF-10CM")</f>
        <v>ITBISA-JUMPER-MF-10CM</v>
      </c>
      <c r="B7185" s="266">
        <f>IFERROR(__xludf.DUMMYFUNCTION("""COMPUTED_VALUE"""),44956.0)</f>
        <v>44956</v>
      </c>
      <c r="C7185" s="266" t="str">
        <f>IFERROR(__xludf.DUMMYFUNCTION("""COMPUTED_VALUE"""),"KYAI KONTONG")</f>
        <v>KYAI KONTONG</v>
      </c>
      <c r="D7185" s="186">
        <f>IFERROR(__xludf.DUMMYFUNCTION("""COMPUTED_VALUE"""),40.0)</f>
        <v>40</v>
      </c>
    </row>
    <row r="7186">
      <c r="A7186" s="178" t="str">
        <f>IFERROR(__xludf.DUMMYFUNCTION("""COMPUTED_VALUE"""),"ITBISA-JUMPER-MF-10CM")</f>
        <v>ITBISA-JUMPER-MF-10CM</v>
      </c>
      <c r="B7186" s="266">
        <f>IFERROR(__xludf.DUMMYFUNCTION("""COMPUTED_VALUE"""),45419.0)</f>
        <v>45419</v>
      </c>
      <c r="C7186" s="266" t="str">
        <f>IFERROR(__xludf.DUMMYFUNCTION("""COMPUTED_VALUE"""),"KYAI KONTONG")</f>
        <v>KYAI KONTONG</v>
      </c>
      <c r="D7186" s="186">
        <f>IFERROR(__xludf.DUMMYFUNCTION("""COMPUTED_VALUE"""),1880.0)</f>
        <v>1880</v>
      </c>
    </row>
    <row r="7187">
      <c r="A7187" s="178" t="str">
        <f>IFERROR(__xludf.DUMMYFUNCTION("""COMPUTED_VALUE"""),"ITBISA-JUMPER-MF-10CM")</f>
        <v>ITBISA-JUMPER-MF-10CM</v>
      </c>
      <c r="B7187" s="266">
        <f>IFERROR(__xludf.DUMMYFUNCTION("""COMPUTED_VALUE"""),45450.0)</f>
        <v>45450</v>
      </c>
      <c r="C7187" s="266" t="str">
        <f>IFERROR(__xludf.DUMMYFUNCTION("""COMPUTED_VALUE"""),"KYAI KONTONG")</f>
        <v>KYAI KONTONG</v>
      </c>
      <c r="D7187" s="186">
        <f>IFERROR(__xludf.DUMMYFUNCTION("""COMPUTED_VALUE"""),40.0)</f>
        <v>40</v>
      </c>
    </row>
    <row r="7188">
      <c r="A7188" s="178" t="str">
        <f>IFERROR(__xludf.DUMMYFUNCTION("""COMPUTED_VALUE"""),"ITBISA-JUMPER-MF-10CM")</f>
        <v>ITBISA-JUMPER-MF-10CM</v>
      </c>
      <c r="B7188" s="266">
        <f>IFERROR(__xludf.DUMMYFUNCTION("""COMPUTED_VALUE"""),45455.0)</f>
        <v>45455</v>
      </c>
      <c r="C7188" s="266" t="str">
        <f>IFERROR(__xludf.DUMMYFUNCTION("""COMPUTED_VALUE"""),"KYAI KONTONG")</f>
        <v>KYAI KONTONG</v>
      </c>
      <c r="D7188" s="186">
        <f>IFERROR(__xludf.DUMMYFUNCTION("""COMPUTED_VALUE"""),40.0)</f>
        <v>40</v>
      </c>
    </row>
    <row r="7189">
      <c r="A7189" s="178" t="str">
        <f>IFERROR(__xludf.DUMMYFUNCTION("""COMPUTED_VALUE"""),"ITBISA-JUMPER-MF-10CM")</f>
        <v>ITBISA-JUMPER-MF-10CM</v>
      </c>
      <c r="B7189" s="266">
        <f>IFERROR(__xludf.DUMMYFUNCTION("""COMPUTED_VALUE"""),45463.0)</f>
        <v>45463</v>
      </c>
      <c r="C7189" s="266" t="str">
        <f>IFERROR(__xludf.DUMMYFUNCTION("""COMPUTED_VALUE"""),"KYAI KONTONG")</f>
        <v>KYAI KONTONG</v>
      </c>
      <c r="D7189" s="186">
        <f>IFERROR(__xludf.DUMMYFUNCTION("""COMPUTED_VALUE"""),80.0)</f>
        <v>80</v>
      </c>
    </row>
    <row r="7190">
      <c r="A7190" s="178" t="str">
        <f>IFERROR(__xludf.DUMMYFUNCTION("""COMPUTED_VALUE"""),"ITBISA-JUMPER-MF-10CM")</f>
        <v>ITBISA-JUMPER-MF-10CM</v>
      </c>
      <c r="B7190" s="266">
        <f>IFERROR(__xludf.DUMMYFUNCTION("""COMPUTED_VALUE"""),45468.0)</f>
        <v>45468</v>
      </c>
      <c r="C7190" s="266" t="str">
        <f>IFERROR(__xludf.DUMMYFUNCTION("""COMPUTED_VALUE"""),"KERTASARI CIAMIS")</f>
        <v>KERTASARI CIAMIS</v>
      </c>
      <c r="D7190" s="186">
        <f>IFERROR(__xludf.DUMMYFUNCTION("""COMPUTED_VALUE"""),800.0)</f>
        <v>800</v>
      </c>
    </row>
    <row r="7191">
      <c r="A7191" s="178" t="str">
        <f>IFERROR(__xludf.DUMMYFUNCTION("""COMPUTED_VALUE"""),"ITBISA-JUMPER-MF-10CM")</f>
        <v>ITBISA-JUMPER-MF-10CM</v>
      </c>
      <c r="B7191" s="266">
        <f>IFERROR(__xludf.DUMMYFUNCTION("""COMPUTED_VALUE"""),45474.0)</f>
        <v>45474</v>
      </c>
      <c r="C7191" s="266" t="str">
        <f>IFERROR(__xludf.DUMMYFUNCTION("""COMPUTED_VALUE"""),"KERTASARI CIAMIS")</f>
        <v>KERTASARI CIAMIS</v>
      </c>
      <c r="D7191" s="186">
        <f>IFERROR(__xludf.DUMMYFUNCTION("""COMPUTED_VALUE"""),40.0)</f>
        <v>40</v>
      </c>
    </row>
    <row r="7192">
      <c r="A7192" s="178" t="str">
        <f>IFERROR(__xludf.DUMMYFUNCTION("""COMPUTED_VALUE"""),"ITBISA-JUMPER-MF-10CM")</f>
        <v>ITBISA-JUMPER-MF-10CM</v>
      </c>
      <c r="B7192" s="266">
        <f>IFERROR(__xludf.DUMMYFUNCTION("""COMPUTED_VALUE"""),45475.0)</f>
        <v>45475</v>
      </c>
      <c r="C7192" s="266" t="str">
        <f>IFERROR(__xludf.DUMMYFUNCTION("""COMPUTED_VALUE"""),"KYAI KONTONG")</f>
        <v>KYAI KONTONG</v>
      </c>
      <c r="D7192" s="186">
        <f>IFERROR(__xludf.DUMMYFUNCTION("""COMPUTED_VALUE"""),40.0)</f>
        <v>40</v>
      </c>
    </row>
    <row r="7193">
      <c r="A7193" s="178" t="str">
        <f>IFERROR(__xludf.DUMMYFUNCTION("""COMPUTED_VALUE"""),"ITBISA-JUMPER-MF-10CM")</f>
        <v>ITBISA-JUMPER-MF-10CM</v>
      </c>
      <c r="B7193" s="266">
        <f>IFERROR(__xludf.DUMMYFUNCTION("""COMPUTED_VALUE"""),45491.0)</f>
        <v>45491</v>
      </c>
      <c r="C7193" s="266" t="str">
        <f>IFERROR(__xludf.DUMMYFUNCTION("""COMPUTED_VALUE"""),"KERTASARI CIAMIS")</f>
        <v>KERTASARI CIAMIS</v>
      </c>
      <c r="D7193" s="186">
        <f>IFERROR(__xludf.DUMMYFUNCTION("""COMPUTED_VALUE"""),40.0)</f>
        <v>40</v>
      </c>
    </row>
    <row r="7194">
      <c r="A7194" s="178" t="str">
        <f>IFERROR(__xludf.DUMMYFUNCTION("""COMPUTED_VALUE"""),"ITBISA-JUMPER-MF-10CM")</f>
        <v>ITBISA-JUMPER-MF-10CM</v>
      </c>
      <c r="B7194" s="266">
        <f>IFERROR(__xludf.DUMMYFUNCTION("""COMPUTED_VALUE"""),45498.0)</f>
        <v>45498</v>
      </c>
      <c r="C7194" s="266" t="str">
        <f>IFERROR(__xludf.DUMMYFUNCTION("""COMPUTED_VALUE"""),"KERTASARI CIAMIS")</f>
        <v>KERTASARI CIAMIS</v>
      </c>
      <c r="D7194" s="186">
        <f>IFERROR(__xludf.DUMMYFUNCTION("""COMPUTED_VALUE"""),80.0)</f>
        <v>80</v>
      </c>
    </row>
    <row r="7195">
      <c r="A7195" s="178" t="str">
        <f>IFERROR(__xludf.DUMMYFUNCTION("""COMPUTED_VALUE"""),"ITBISA-JUMPER-MF-10CM")</f>
        <v>ITBISA-JUMPER-MF-10CM</v>
      </c>
      <c r="B7195" s="266">
        <f>IFERROR(__xludf.DUMMYFUNCTION("""COMPUTED_VALUE"""),45580.0)</f>
        <v>45580</v>
      </c>
      <c r="C7195" s="266" t="str">
        <f>IFERROR(__xludf.DUMMYFUNCTION("""COMPUTED_VALUE"""),"KYAI KONTONG")</f>
        <v>KYAI KONTONG</v>
      </c>
      <c r="D7195" s="186">
        <f>IFERROR(__xludf.DUMMYFUNCTION("""COMPUTED_VALUE"""),400.0)</f>
        <v>400</v>
      </c>
    </row>
    <row r="7196">
      <c r="A7196" s="178" t="str">
        <f>IFERROR(__xludf.DUMMYFUNCTION("""COMPUTED_VALUE"""),"ITBISA-JUMPER-MF-10CM")</f>
        <v>ITBISA-JUMPER-MF-10CM</v>
      </c>
      <c r="B7196" s="266">
        <f>IFERROR(__xludf.DUMMYFUNCTION("""COMPUTED_VALUE"""),45607.0)</f>
        <v>45607</v>
      </c>
      <c r="C7196" s="266" t="str">
        <f>IFERROR(__xludf.DUMMYFUNCTION("""COMPUTED_VALUE"""),"KERTASARI CIAMIS")</f>
        <v>KERTASARI CIAMIS</v>
      </c>
      <c r="D7196" s="186">
        <f>IFERROR(__xludf.DUMMYFUNCTION("""COMPUTED_VALUE"""),40.0)</f>
        <v>40</v>
      </c>
    </row>
    <row r="7197">
      <c r="A7197" s="178" t="str">
        <f>IFERROR(__xludf.DUMMYFUNCTION("""COMPUTED_VALUE"""),"ITBISA-JUMPER-MF-10CM")</f>
        <v>ITBISA-JUMPER-MF-10CM</v>
      </c>
      <c r="B7197" s="266">
        <f>IFERROR(__xludf.DUMMYFUNCTION("""COMPUTED_VALUE"""),45615.0)</f>
        <v>45615</v>
      </c>
      <c r="C7197" s="266" t="str">
        <f>IFERROR(__xludf.DUMMYFUNCTION("""COMPUTED_VALUE"""),"KERTASARI CIAMIS")</f>
        <v>KERTASARI CIAMIS</v>
      </c>
      <c r="D7197" s="186">
        <f>IFERROR(__xludf.DUMMYFUNCTION("""COMPUTED_VALUE"""),40.0)</f>
        <v>40</v>
      </c>
    </row>
    <row r="7198">
      <c r="A7198" s="178" t="str">
        <f>IFERROR(__xludf.DUMMYFUNCTION("""COMPUTED_VALUE"""),"ITBISA-JUMPER-MF-10CM")</f>
        <v>ITBISA-JUMPER-MF-10CM</v>
      </c>
      <c r="B7198" s="266">
        <f>IFERROR(__xludf.DUMMYFUNCTION("""COMPUTED_VALUE"""),45622.0)</f>
        <v>45622</v>
      </c>
      <c r="C7198" s="266" t="str">
        <f>IFERROR(__xludf.DUMMYFUNCTION("""COMPUTED_VALUE"""),"KERTASARI CIAMIS")</f>
        <v>KERTASARI CIAMIS</v>
      </c>
      <c r="D7198" s="186">
        <f>IFERROR(__xludf.DUMMYFUNCTION("""COMPUTED_VALUE"""),40.0)</f>
        <v>40</v>
      </c>
    </row>
    <row r="7199">
      <c r="A7199" s="178" t="str">
        <f>IFERROR(__xludf.DUMMYFUNCTION("""COMPUTED_VALUE"""),"ITBISA-JUMPER-MF-10CM")</f>
        <v>ITBISA-JUMPER-MF-10CM</v>
      </c>
      <c r="B7199" s="266">
        <f>IFERROR(__xludf.DUMMYFUNCTION("""COMPUTED_VALUE"""),45662.0)</f>
        <v>45662</v>
      </c>
      <c r="C7199" s="266" t="str">
        <f>IFERROR(__xludf.DUMMYFUNCTION("""COMPUTED_VALUE"""),"KERTASARI CIAMIS")</f>
        <v>KERTASARI CIAMIS</v>
      </c>
      <c r="D7199" s="186">
        <f>IFERROR(__xludf.DUMMYFUNCTION("""COMPUTED_VALUE"""),40.0)</f>
        <v>40</v>
      </c>
    </row>
    <row r="7200">
      <c r="A7200" s="178" t="str">
        <f>IFERROR(__xludf.DUMMYFUNCTION("""COMPUTED_VALUE"""),"ITBISA-JUMPER-MF-10CM")</f>
        <v>ITBISA-JUMPER-MF-10CM</v>
      </c>
      <c r="B7200" s="266">
        <f>IFERROR(__xludf.DUMMYFUNCTION("""COMPUTED_VALUE"""),45685.0)</f>
        <v>45685</v>
      </c>
      <c r="C7200" s="266" t="str">
        <f>IFERROR(__xludf.DUMMYFUNCTION("""COMPUTED_VALUE"""),"KYAI KONTONG")</f>
        <v>KYAI KONTONG</v>
      </c>
      <c r="D7200" s="186">
        <f>IFERROR(__xludf.DUMMYFUNCTION("""COMPUTED_VALUE"""),120.0)</f>
        <v>120</v>
      </c>
    </row>
    <row r="7201">
      <c r="A7201" s="178" t="str">
        <f>IFERROR(__xludf.DUMMYFUNCTION("""COMPUTED_VALUE"""),"ITBISA-JUMPER-MF-10CM")</f>
        <v>ITBISA-JUMPER-MF-10CM</v>
      </c>
      <c r="B7201" s="266">
        <f>IFERROR(__xludf.DUMMYFUNCTION("""COMPUTED_VALUE"""),45710.0)</f>
        <v>45710</v>
      </c>
      <c r="C7201" s="266" t="str">
        <f>IFERROR(__xludf.DUMMYFUNCTION("""COMPUTED_VALUE"""),"KERTASARI CIAMIS")</f>
        <v>KERTASARI CIAMIS</v>
      </c>
      <c r="D7201" s="186">
        <f>IFERROR(__xludf.DUMMYFUNCTION("""COMPUTED_VALUE"""),40.0)</f>
        <v>40</v>
      </c>
    </row>
    <row r="7202">
      <c r="A7202" s="178" t="str">
        <f>IFERROR(__xludf.DUMMYFUNCTION("""COMPUTED_VALUE"""),"ITBISA-JUMPER-MF-10CM")</f>
        <v>ITBISA-JUMPER-MF-10CM</v>
      </c>
      <c r="B7202" s="266">
        <f>IFERROR(__xludf.DUMMYFUNCTION("""COMPUTED_VALUE"""),45733.0)</f>
        <v>45733</v>
      </c>
      <c r="C7202" s="266" t="str">
        <f>IFERROR(__xludf.DUMMYFUNCTION("""COMPUTED_VALUE"""),"KERTASARI CIAMIS")</f>
        <v>KERTASARI CIAMIS</v>
      </c>
      <c r="D7202" s="186">
        <f>IFERROR(__xludf.DUMMYFUNCTION("""COMPUTED_VALUE"""),40.0)</f>
        <v>40</v>
      </c>
    </row>
    <row r="7203">
      <c r="A7203" s="178" t="str">
        <f>IFERROR(__xludf.DUMMYFUNCTION("""COMPUTED_VALUE"""),"ITBISA-JUMPER-MF-10CM")</f>
        <v>ITBISA-JUMPER-MF-10CM</v>
      </c>
      <c r="B7203" s="266">
        <f>IFERROR(__xludf.DUMMYFUNCTION("""COMPUTED_VALUE"""),45757.0)</f>
        <v>45757</v>
      </c>
      <c r="C7203" s="266" t="str">
        <f>IFERROR(__xludf.DUMMYFUNCTION("""COMPUTED_VALUE"""),"KERTASARI CIAMIS")</f>
        <v>KERTASARI CIAMIS</v>
      </c>
      <c r="D7203" s="186">
        <f>IFERROR(__xludf.DUMMYFUNCTION("""COMPUTED_VALUE"""),120.0)</f>
        <v>120</v>
      </c>
    </row>
    <row r="7204">
      <c r="A7204" s="178" t="str">
        <f>IFERROR(__xludf.DUMMYFUNCTION("""COMPUTED_VALUE"""),"ITBISA-JUMPER-MF-10CM")</f>
        <v>ITBISA-JUMPER-MF-10CM</v>
      </c>
      <c r="B7204" s="266">
        <f>IFERROR(__xludf.DUMMYFUNCTION("""COMPUTED_VALUE"""),45770.0)</f>
        <v>45770</v>
      </c>
      <c r="C7204" s="266" t="str">
        <f>IFERROR(__xludf.DUMMYFUNCTION("""COMPUTED_VALUE"""),"KERTASARI CIAMIS")</f>
        <v>KERTASARI CIAMIS</v>
      </c>
      <c r="D7204" s="186">
        <f>IFERROR(__xludf.DUMMYFUNCTION("""COMPUTED_VALUE"""),40.0)</f>
        <v>40</v>
      </c>
    </row>
    <row r="7205">
      <c r="A7205" s="178" t="str">
        <f>IFERROR(__xludf.DUMMYFUNCTION("""COMPUTED_VALUE"""),"ITBISA-JUMPER-MF-10CM")</f>
        <v>ITBISA-JUMPER-MF-10CM</v>
      </c>
      <c r="B7205" s="266">
        <f>IFERROR(__xludf.DUMMYFUNCTION("""COMPUTED_VALUE"""),45773.0)</f>
        <v>45773</v>
      </c>
      <c r="C7205" s="266" t="str">
        <f>IFERROR(__xludf.DUMMYFUNCTION("""COMPUTED_VALUE"""),"KERTASARI CIAMIS")</f>
        <v>KERTASARI CIAMIS</v>
      </c>
      <c r="D7205" s="186">
        <f>IFERROR(__xludf.DUMMYFUNCTION("""COMPUTED_VALUE"""),40.0)</f>
        <v>40</v>
      </c>
    </row>
    <row r="7206">
      <c r="A7206" s="178" t="str">
        <f>IFERROR(__xludf.DUMMYFUNCTION("""COMPUTED_VALUE"""),"ITBISA-JUMPER-MF-10CM")</f>
        <v>ITBISA-JUMPER-MF-10CM</v>
      </c>
      <c r="B7206" s="266">
        <f>IFERROR(__xludf.DUMMYFUNCTION("""COMPUTED_VALUE"""),45774.0)</f>
        <v>45774</v>
      </c>
      <c r="C7206" s="266" t="str">
        <f>IFERROR(__xludf.DUMMYFUNCTION("""COMPUTED_VALUE"""),"KERTASARI CIAMIS")</f>
        <v>KERTASARI CIAMIS</v>
      </c>
      <c r="D7206" s="186">
        <f>IFERROR(__xludf.DUMMYFUNCTION("""COMPUTED_VALUE"""),40.0)</f>
        <v>40</v>
      </c>
    </row>
    <row r="7207">
      <c r="A7207" s="178" t="str">
        <f>IFERROR(__xludf.DUMMYFUNCTION("""COMPUTED_VALUE"""),"ITBISA-JUMPER-MF-10CM")</f>
        <v>ITBISA-JUMPER-MF-10CM</v>
      </c>
      <c r="B7207" s="266">
        <f>IFERROR(__xludf.DUMMYFUNCTION("""COMPUTED_VALUE"""),45785.0)</f>
        <v>45785</v>
      </c>
      <c r="C7207" s="266" t="str">
        <f>IFERROR(__xludf.DUMMYFUNCTION("""COMPUTED_VALUE"""),"KERTASARI CIAMIS")</f>
        <v>KERTASARI CIAMIS</v>
      </c>
      <c r="D7207" s="186">
        <f>IFERROR(__xludf.DUMMYFUNCTION("""COMPUTED_VALUE"""),40.0)</f>
        <v>40</v>
      </c>
    </row>
    <row r="7208">
      <c r="A7208" s="178" t="str">
        <f>IFERROR(__xludf.DUMMYFUNCTION("""COMPUTED_VALUE"""),"ITBISA-JUMPER-MF-10CM")</f>
        <v>ITBISA-JUMPER-MF-10CM</v>
      </c>
      <c r="B7208" s="266">
        <f>IFERROR(__xludf.DUMMYFUNCTION("""COMPUTED_VALUE"""),45792.0)</f>
        <v>45792</v>
      </c>
      <c r="C7208" s="266" t="str">
        <f>IFERROR(__xludf.DUMMYFUNCTION("""COMPUTED_VALUE"""),"KYAI KONTONG")</f>
        <v>KYAI KONTONG</v>
      </c>
      <c r="D7208" s="186">
        <f>IFERROR(__xludf.DUMMYFUNCTION("""COMPUTED_VALUE"""),160.0)</f>
        <v>160</v>
      </c>
    </row>
    <row r="7209">
      <c r="A7209" s="178" t="str">
        <f>IFERROR(__xludf.DUMMYFUNCTION("""COMPUTED_VALUE"""),"ITBISA-JUMPER-MF-10CM")</f>
        <v>ITBISA-JUMPER-MF-10CM</v>
      </c>
      <c r="B7209" s="266">
        <f>IFERROR(__xludf.DUMMYFUNCTION("""COMPUTED_VALUE"""),45810.0)</f>
        <v>45810</v>
      </c>
      <c r="C7209" s="266" t="str">
        <f>IFERROR(__xludf.DUMMYFUNCTION("""COMPUTED_VALUE"""),"KYAI KONTONG")</f>
        <v>KYAI KONTONG</v>
      </c>
      <c r="D7209" s="186">
        <f>IFERROR(__xludf.DUMMYFUNCTION("""COMPUTED_VALUE"""),40.0)</f>
        <v>40</v>
      </c>
    </row>
    <row r="7210">
      <c r="A7210" s="178" t="str">
        <f>IFERROR(__xludf.DUMMYFUNCTION("""COMPUTED_VALUE"""),"ITBISA-JUMPER-MF-10CM")</f>
        <v>ITBISA-JUMPER-MF-10CM</v>
      </c>
      <c r="B7210" s="266">
        <f>IFERROR(__xludf.DUMMYFUNCTION("""COMPUTED_VALUE"""),45814.0)</f>
        <v>45814</v>
      </c>
      <c r="C7210" s="266" t="str">
        <f>IFERROR(__xludf.DUMMYFUNCTION("""COMPUTED_VALUE"""),"KYAI KONTONG")</f>
        <v>KYAI KONTONG</v>
      </c>
      <c r="D7210" s="186">
        <f>IFERROR(__xludf.DUMMYFUNCTION("""COMPUTED_VALUE"""),40.0)</f>
        <v>40</v>
      </c>
    </row>
    <row r="7211">
      <c r="A7211" s="178" t="str">
        <f>IFERROR(__xludf.DUMMYFUNCTION("""COMPUTED_VALUE"""),"ITBISA-JUMPER-MF-10CM")</f>
        <v>ITBISA-JUMPER-MF-10CM</v>
      </c>
      <c r="B7211" s="266">
        <f>IFERROR(__xludf.DUMMYFUNCTION("""COMPUTED_VALUE"""),45835.0)</f>
        <v>45835</v>
      </c>
      <c r="C7211" s="266" t="str">
        <f>IFERROR(__xludf.DUMMYFUNCTION("""COMPUTED_VALUE"""),"KYAI KONTONG")</f>
        <v>KYAI KONTONG</v>
      </c>
      <c r="D7211" s="186">
        <f>IFERROR(__xludf.DUMMYFUNCTION("""COMPUTED_VALUE"""),40.0)</f>
        <v>40</v>
      </c>
    </row>
    <row r="7212">
      <c r="A7212" s="178" t="str">
        <f>IFERROR(__xludf.DUMMYFUNCTION("""COMPUTED_VALUE"""),"ITBISA-JUMPER-MF-10CM")</f>
        <v>ITBISA-JUMPER-MF-10CM</v>
      </c>
      <c r="B7212" s="266">
        <f>IFERROR(__xludf.DUMMYFUNCTION("""COMPUTED_VALUE"""),45868.0)</f>
        <v>45868</v>
      </c>
      <c r="C7212" s="266" t="str">
        <f>IFERROR(__xludf.DUMMYFUNCTION("""COMPUTED_VALUE"""),"KYAI KONTONG")</f>
        <v>KYAI KONTONG</v>
      </c>
      <c r="D7212" s="186">
        <f>IFERROR(__xludf.DUMMYFUNCTION("""COMPUTED_VALUE"""),160.0)</f>
        <v>160</v>
      </c>
    </row>
    <row r="7213">
      <c r="A7213" s="178" t="str">
        <f>IFERROR(__xludf.DUMMYFUNCTION("""COMPUTED_VALUE"""),"ITBISA-JUMPER-MF-10CM")</f>
        <v>ITBISA-JUMPER-MF-10CM</v>
      </c>
      <c r="B7213" s="266">
        <f>IFERROR(__xludf.DUMMYFUNCTION("""COMPUTED_VALUE"""),45893.0)</f>
        <v>45893</v>
      </c>
      <c r="C7213" s="266" t="str">
        <f>IFERROR(__xludf.DUMMYFUNCTION("""COMPUTED_VALUE"""),"KYAI KONTONG")</f>
        <v>KYAI KONTONG</v>
      </c>
      <c r="D7213" s="186">
        <f>IFERROR(__xludf.DUMMYFUNCTION("""COMPUTED_VALUE"""),40.0)</f>
        <v>40</v>
      </c>
    </row>
    <row r="7214">
      <c r="A7214" s="178" t="str">
        <f>IFERROR(__xludf.DUMMYFUNCTION("""COMPUTED_VALUE"""),"ITBISA-JUMPER-MF-10CM")</f>
        <v>ITBISA-JUMPER-MF-10CM</v>
      </c>
      <c r="B7214" s="266">
        <f>IFERROR(__xludf.DUMMYFUNCTION("""COMPUTED_VALUE"""),45913.0)</f>
        <v>45913</v>
      </c>
      <c r="C7214" s="266" t="str">
        <f>IFERROR(__xludf.DUMMYFUNCTION("""COMPUTED_VALUE"""),"KERTASARI CIAMIS")</f>
        <v>KERTASARI CIAMIS</v>
      </c>
      <c r="D7214" s="186">
        <f>IFERROR(__xludf.DUMMYFUNCTION("""COMPUTED_VALUE"""),40.0)</f>
        <v>40</v>
      </c>
    </row>
    <row r="7215">
      <c r="A7215" s="178" t="str">
        <f>IFERROR(__xludf.DUMMYFUNCTION("""COMPUTED_VALUE"""),"ITBISA-JUMPER-MF-10CM")</f>
        <v>ITBISA-JUMPER-MF-10CM</v>
      </c>
      <c r="B7215" s="266">
        <f>IFERROR(__xludf.DUMMYFUNCTION("""COMPUTED_VALUE"""),45917.0)</f>
        <v>45917</v>
      </c>
      <c r="C7215" s="266" t="str">
        <f>IFERROR(__xludf.DUMMYFUNCTION("""COMPUTED_VALUE"""),"KERTASARI CIAMIS")</f>
        <v>KERTASARI CIAMIS</v>
      </c>
      <c r="D7215" s="186">
        <f>IFERROR(__xludf.DUMMYFUNCTION("""COMPUTED_VALUE"""),80.0)</f>
        <v>80</v>
      </c>
    </row>
    <row r="7216">
      <c r="A7216" s="178" t="str">
        <f>IFERROR(__xludf.DUMMYFUNCTION("""COMPUTED_VALUE"""),"ITBISA-JUMPER-MF-10CM")</f>
        <v>ITBISA-JUMPER-MF-10CM</v>
      </c>
      <c r="B7216" s="266">
        <f>IFERROR(__xludf.DUMMYFUNCTION("""COMPUTED_VALUE"""),45918.0)</f>
        <v>45918</v>
      </c>
      <c r="C7216" s="266" t="str">
        <f>IFERROR(__xludf.DUMMYFUNCTION("""COMPUTED_VALUE"""),"KERTASARI CIAMIS")</f>
        <v>KERTASARI CIAMIS</v>
      </c>
      <c r="D7216" s="186">
        <f>IFERROR(__xludf.DUMMYFUNCTION("""COMPUTED_VALUE"""),40.0)</f>
        <v>40</v>
      </c>
    </row>
    <row r="7217">
      <c r="A7217" s="178" t="str">
        <f>IFERROR(__xludf.DUMMYFUNCTION("""COMPUTED_VALUE"""),"ITBISA-JUMPER-MF-10CM")</f>
        <v>ITBISA-JUMPER-MF-10CM</v>
      </c>
      <c r="B7217" s="266">
        <f>IFERROR(__xludf.DUMMYFUNCTION("""COMPUTED_VALUE"""),45954.0)</f>
        <v>45954</v>
      </c>
      <c r="C7217" s="266" t="str">
        <f>IFERROR(__xludf.DUMMYFUNCTION("""COMPUTED_VALUE"""),"KERTASARI CIAMIS")</f>
        <v>KERTASARI CIAMIS</v>
      </c>
      <c r="D7217" s="186">
        <f>IFERROR(__xludf.DUMMYFUNCTION("""COMPUTED_VALUE"""),40.0)</f>
        <v>40</v>
      </c>
    </row>
    <row r="7218">
      <c r="A7218" s="178" t="str">
        <f>IFERROR(__xludf.DUMMYFUNCTION("""COMPUTED_VALUE"""),"ITBISA-JUMPER-MF-10CM")</f>
        <v>ITBISA-JUMPER-MF-10CM</v>
      </c>
      <c r="B7218" s="266">
        <f>IFERROR(__xludf.DUMMYFUNCTION("""COMPUTED_VALUE"""),45959.0)</f>
        <v>45959</v>
      </c>
      <c r="C7218" s="266" t="str">
        <f>IFERROR(__xludf.DUMMYFUNCTION("""COMPUTED_VALUE"""),"KERTASARI CIAMIS")</f>
        <v>KERTASARI CIAMIS</v>
      </c>
      <c r="D7218" s="186">
        <f>IFERROR(__xludf.DUMMYFUNCTION("""COMPUTED_VALUE"""),40.0)</f>
        <v>40</v>
      </c>
    </row>
    <row r="7219">
      <c r="A7219" s="178" t="str">
        <f>IFERROR(__xludf.DUMMYFUNCTION("""COMPUTED_VALUE"""),"ITBISA-JUMPER-MF-10CM")</f>
        <v>ITBISA-JUMPER-MF-10CM</v>
      </c>
      <c r="B7219" s="266">
        <f>IFERROR(__xludf.DUMMYFUNCTION("""COMPUTED_VALUE"""),45960.0)</f>
        <v>45960</v>
      </c>
      <c r="C7219" s="266" t="str">
        <f>IFERROR(__xludf.DUMMYFUNCTION("""COMPUTED_VALUE"""),"KERTASARI CIAMIS")</f>
        <v>KERTASARI CIAMIS</v>
      </c>
      <c r="D7219" s="186">
        <f>IFERROR(__xludf.DUMMYFUNCTION("""COMPUTED_VALUE"""),40.0)</f>
        <v>40</v>
      </c>
    </row>
    <row r="7220">
      <c r="A7220" s="178" t="str">
        <f>IFERROR(__xludf.DUMMYFUNCTION("""COMPUTED_VALUE"""),"ITBISA-JUMPER-MF-10CM")</f>
        <v>ITBISA-JUMPER-MF-10CM</v>
      </c>
      <c r="B7220" s="266">
        <f>IFERROR(__xludf.DUMMYFUNCTION("""COMPUTED_VALUE"""),45964.0)</f>
        <v>45964</v>
      </c>
      <c r="C7220" s="266" t="str">
        <f>IFERROR(__xludf.DUMMYFUNCTION("""COMPUTED_VALUE"""),"KERTASARI CIAMIS")</f>
        <v>KERTASARI CIAMIS</v>
      </c>
      <c r="D7220" s="186">
        <f>IFERROR(__xludf.DUMMYFUNCTION("""COMPUTED_VALUE"""),80.0)</f>
        <v>80</v>
      </c>
    </row>
    <row r="7221">
      <c r="A7221" s="178" t="str">
        <f>IFERROR(__xludf.DUMMYFUNCTION("""COMPUTED_VALUE"""),"ITBISA-JUMPER-MF-10CM")</f>
        <v>ITBISA-JUMPER-MF-10CM</v>
      </c>
      <c r="B7221" s="266">
        <f>IFERROR(__xludf.DUMMYFUNCTION("""COMPUTED_VALUE"""),45968.0)</f>
        <v>45968</v>
      </c>
      <c r="C7221" s="266" t="str">
        <f>IFERROR(__xludf.DUMMYFUNCTION("""COMPUTED_VALUE"""),"KYAI KONTONG")</f>
        <v>KYAI KONTONG</v>
      </c>
      <c r="D7221" s="186">
        <f>IFERROR(__xludf.DUMMYFUNCTION("""COMPUTED_VALUE"""),40.0)</f>
        <v>40</v>
      </c>
    </row>
    <row r="7222">
      <c r="A7222" s="178" t="str">
        <f>IFERROR(__xludf.DUMMYFUNCTION("""COMPUTED_VALUE"""),"ITBISA-JUMPER-MF-10CM")</f>
        <v>ITBISA-JUMPER-MF-10CM</v>
      </c>
      <c r="B7222" s="266">
        <f>IFERROR(__xludf.DUMMYFUNCTION("""COMPUTED_VALUE"""),45969.0)</f>
        <v>45969</v>
      </c>
      <c r="C7222" s="266" t="str">
        <f>IFERROR(__xludf.DUMMYFUNCTION("""COMPUTED_VALUE"""),"KYAI KONTONG")</f>
        <v>KYAI KONTONG</v>
      </c>
      <c r="D7222" s="186">
        <f>IFERROR(__xludf.DUMMYFUNCTION("""COMPUTED_VALUE"""),40.0)</f>
        <v>40</v>
      </c>
    </row>
    <row r="7223">
      <c r="A7223" s="178" t="str">
        <f>IFERROR(__xludf.DUMMYFUNCTION("""COMPUTED_VALUE"""),"ITBISA-JUMPER-MF-10CM")</f>
        <v>ITBISA-JUMPER-MF-10CM</v>
      </c>
      <c r="B7223" s="266">
        <f>IFERROR(__xludf.DUMMYFUNCTION("""COMPUTED_VALUE"""),45972.0)</f>
        <v>45972</v>
      </c>
      <c r="C7223" s="266" t="str">
        <f>IFERROR(__xludf.DUMMYFUNCTION("""COMPUTED_VALUE"""),"KYAI KONTONG")</f>
        <v>KYAI KONTONG</v>
      </c>
      <c r="D7223" s="186">
        <f>IFERROR(__xludf.DUMMYFUNCTION("""COMPUTED_VALUE"""),40.0)</f>
        <v>40</v>
      </c>
    </row>
    <row r="7224">
      <c r="A7224" s="178" t="str">
        <f>IFERROR(__xludf.DUMMYFUNCTION("""COMPUTED_VALUE"""),"ITBISA-JUMPER-MF-10CM")</f>
        <v>ITBISA-JUMPER-MF-10CM</v>
      </c>
      <c r="B7224" s="266">
        <f>IFERROR(__xludf.DUMMYFUNCTION("""COMPUTED_VALUE"""),45976.0)</f>
        <v>45976</v>
      </c>
      <c r="C7224" s="266" t="str">
        <f>IFERROR(__xludf.DUMMYFUNCTION("""COMPUTED_VALUE"""),"KYAI KONTONG")</f>
        <v>KYAI KONTONG</v>
      </c>
      <c r="D7224" s="186">
        <f>IFERROR(__xludf.DUMMYFUNCTION("""COMPUTED_VALUE"""),40.0)</f>
        <v>40</v>
      </c>
    </row>
    <row r="7225">
      <c r="A7225" s="178" t="str">
        <f>IFERROR(__xludf.DUMMYFUNCTION("""COMPUTED_VALUE"""),"ITBISA-JUMPER-MF-10CM")</f>
        <v>ITBISA-JUMPER-MF-10CM</v>
      </c>
      <c r="B7225" s="266">
        <f>IFERROR(__xludf.DUMMYFUNCTION("""COMPUTED_VALUE"""),45988.0)</f>
        <v>45988</v>
      </c>
      <c r="C7225" s="266" t="str">
        <f>IFERROR(__xludf.DUMMYFUNCTION("""COMPUTED_VALUE"""),"KERTASARI CIAMIS")</f>
        <v>KERTASARI CIAMIS</v>
      </c>
      <c r="D7225" s="186">
        <f>IFERROR(__xludf.DUMMYFUNCTION("""COMPUTED_VALUE"""),40.0)</f>
        <v>40</v>
      </c>
    </row>
    <row r="7226">
      <c r="A7226" s="178" t="str">
        <f>IFERROR(__xludf.DUMMYFUNCTION("""COMPUTED_VALUE"""),"ITBISA-JUMPER-MF-10CM")</f>
        <v>ITBISA-JUMPER-MF-10CM</v>
      </c>
      <c r="B7226" s="266">
        <f>IFERROR(__xludf.DUMMYFUNCTION("""COMPUTED_VALUE"""),45993.0)</f>
        <v>45993</v>
      </c>
      <c r="C7226" s="266" t="str">
        <f>IFERROR(__xludf.DUMMYFUNCTION("""COMPUTED_VALUE"""),"KYAI KONTONG")</f>
        <v>KYAI KONTONG</v>
      </c>
      <c r="D7226" s="186">
        <f>IFERROR(__xludf.DUMMYFUNCTION("""COMPUTED_VALUE"""),40.0)</f>
        <v>40</v>
      </c>
    </row>
    <row r="7227">
      <c r="A7227" s="178" t="str">
        <f>IFERROR(__xludf.DUMMYFUNCTION("""COMPUTED_VALUE"""),"ITBISA-JUMPER-MF-10CM")</f>
        <v>ITBISA-JUMPER-MF-10CM</v>
      </c>
      <c r="B7227" s="266">
        <f>IFERROR(__xludf.DUMMYFUNCTION("""COMPUTED_VALUE"""),45994.0)</f>
        <v>45994</v>
      </c>
      <c r="C7227" s="266" t="str">
        <f>IFERROR(__xludf.DUMMYFUNCTION("""COMPUTED_VALUE"""),"KYAI KONTONG")</f>
        <v>KYAI KONTONG</v>
      </c>
      <c r="D7227" s="186">
        <f>IFERROR(__xludf.DUMMYFUNCTION("""COMPUTED_VALUE"""),80.0)</f>
        <v>80</v>
      </c>
    </row>
    <row r="7228">
      <c r="A7228" s="178" t="str">
        <f>IFERROR(__xludf.DUMMYFUNCTION("""COMPUTED_VALUE"""),"ITBISA-JUMPER-MF-10CM")</f>
        <v>ITBISA-JUMPER-MF-10CM</v>
      </c>
      <c r="B7228" s="266">
        <f>IFERROR(__xludf.DUMMYFUNCTION("""COMPUTED_VALUE"""),46001.0)</f>
        <v>46001</v>
      </c>
      <c r="C7228" s="266" t="str">
        <f>IFERROR(__xludf.DUMMYFUNCTION("""COMPUTED_VALUE"""),"KYAI KONTONG")</f>
        <v>KYAI KONTONG</v>
      </c>
      <c r="D7228" s="186">
        <f>IFERROR(__xludf.DUMMYFUNCTION("""COMPUTED_VALUE"""),40.0)</f>
        <v>40</v>
      </c>
    </row>
    <row r="7229">
      <c r="A7229" s="178" t="str">
        <f>IFERROR(__xludf.DUMMYFUNCTION("""COMPUTED_VALUE"""),"ITBISA-JUMPER-MF-10CM")</f>
        <v>ITBISA-JUMPER-MF-10CM</v>
      </c>
      <c r="B7229" s="266">
        <f>IFERROR(__xludf.DUMMYFUNCTION("""COMPUTED_VALUE"""),46017.0)</f>
        <v>46017</v>
      </c>
      <c r="C7229" s="266" t="str">
        <f>IFERROR(__xludf.DUMMYFUNCTION("""COMPUTED_VALUE"""),"KYAI KONTONG")</f>
        <v>KYAI KONTONG</v>
      </c>
      <c r="D7229" s="186">
        <f>IFERROR(__xludf.DUMMYFUNCTION("""COMPUTED_VALUE"""),40.0)</f>
        <v>40</v>
      </c>
    </row>
    <row r="7230">
      <c r="A7230" s="178" t="str">
        <f>IFERROR(__xludf.DUMMYFUNCTION("""COMPUTED_VALUE"""),"ITBISA-JUMPER-MF-20CM")</f>
        <v>ITBISA-JUMPER-MF-20CM</v>
      </c>
      <c r="B7230" s="266">
        <f>IFERROR(__xludf.DUMMYFUNCTION("""COMPUTED_VALUE"""),43823.0)</f>
        <v>43823</v>
      </c>
      <c r="C7230" s="266" t="str">
        <f>IFERROR(__xludf.DUMMYFUNCTION("""COMPUTED_VALUE"""),"AVRG ITB")</f>
        <v>AVRG ITB</v>
      </c>
      <c r="D7230" s="186">
        <f>IFERROR(__xludf.DUMMYFUNCTION("""COMPUTED_VALUE"""),40.0)</f>
        <v>40</v>
      </c>
    </row>
    <row r="7231">
      <c r="A7231" s="178" t="str">
        <f>IFERROR(__xludf.DUMMYFUNCTION("""COMPUTED_VALUE"""),"ITBISA-JUMPER-MF-20CM")</f>
        <v>ITBISA-JUMPER-MF-20CM</v>
      </c>
      <c r="B7231" s="266">
        <f>IFERROR(__xludf.DUMMYFUNCTION("""COMPUTED_VALUE"""),43988.0)</f>
        <v>43988</v>
      </c>
      <c r="C7231" s="266" t="str">
        <f>IFERROR(__xludf.DUMMYFUNCTION("""COMPUTED_VALUE"""),"KAETOBO RESIDENCE")</f>
        <v>KAETOBO RESIDENCE</v>
      </c>
      <c r="D7231" s="186">
        <f>IFERROR(__xludf.DUMMYFUNCTION("""COMPUTED_VALUE"""),80.0)</f>
        <v>80</v>
      </c>
    </row>
    <row r="7232">
      <c r="A7232" s="178" t="str">
        <f>IFERROR(__xludf.DUMMYFUNCTION("""COMPUTED_VALUE"""),"ITBISA-JUMPER-MF-20CM")</f>
        <v>ITBISA-JUMPER-MF-20CM</v>
      </c>
      <c r="B7232" s="266">
        <f>IFERROR(__xludf.DUMMYFUNCTION("""COMPUTED_VALUE"""),43988.0)</f>
        <v>43988</v>
      </c>
      <c r="C7232" s="266" t="str">
        <f>IFERROR(__xludf.DUMMYFUNCTION("""COMPUTED_VALUE"""),"KAETOBO RESIDENCE")</f>
        <v>KAETOBO RESIDENCE</v>
      </c>
      <c r="D7232" s="186">
        <f>IFERROR(__xludf.DUMMYFUNCTION("""COMPUTED_VALUE"""),640.0)</f>
        <v>640</v>
      </c>
    </row>
    <row r="7233">
      <c r="A7233" s="178" t="str">
        <f>IFERROR(__xludf.DUMMYFUNCTION("""COMPUTED_VALUE"""),"ITBISA-JUMPER-MF-20CM")</f>
        <v>ITBISA-JUMPER-MF-20CM</v>
      </c>
      <c r="B7233" s="266">
        <f>IFERROR(__xludf.DUMMYFUNCTION("""COMPUTED_VALUE"""),44008.0)</f>
        <v>44008</v>
      </c>
      <c r="C7233" s="266" t="str">
        <f>IFERROR(__xludf.DUMMYFUNCTION("""COMPUTED_VALUE"""),"KAETOBO RESIDENCE")</f>
        <v>KAETOBO RESIDENCE</v>
      </c>
      <c r="D7233" s="186">
        <f>IFERROR(__xludf.DUMMYFUNCTION("""COMPUTED_VALUE"""),400.0)</f>
        <v>400</v>
      </c>
    </row>
    <row r="7234">
      <c r="A7234" s="178" t="str">
        <f>IFERROR(__xludf.DUMMYFUNCTION("""COMPUTED_VALUE"""),"ITBISA-JUMPER-MF-20CM")</f>
        <v>ITBISA-JUMPER-MF-20CM</v>
      </c>
      <c r="B7234" s="266">
        <f>IFERROR(__xludf.DUMMYFUNCTION("""COMPUTED_VALUE"""),44008.0)</f>
        <v>44008</v>
      </c>
      <c r="C7234" s="266" t="str">
        <f>IFERROR(__xludf.DUMMYFUNCTION("""COMPUTED_VALUE"""),"KAETOBO RESIDENCE")</f>
        <v>KAETOBO RESIDENCE</v>
      </c>
      <c r="D7234" s="186">
        <f>IFERROR(__xludf.DUMMYFUNCTION("""COMPUTED_VALUE"""),400.0)</f>
        <v>400</v>
      </c>
    </row>
    <row r="7235">
      <c r="A7235" s="178" t="str">
        <f>IFERROR(__xludf.DUMMYFUNCTION("""COMPUTED_VALUE"""),"ITBISA-JUMPER-MF-20CM")</f>
        <v>ITBISA-JUMPER-MF-20CM</v>
      </c>
      <c r="B7235" s="266">
        <f>IFERROR(__xludf.DUMMYFUNCTION("""COMPUTED_VALUE"""),44009.0)</f>
        <v>44009</v>
      </c>
      <c r="C7235" s="266" t="str">
        <f>IFERROR(__xludf.DUMMYFUNCTION("""COMPUTED_VALUE"""),"KAETOBO RESIDENCE")</f>
        <v>KAETOBO RESIDENCE</v>
      </c>
      <c r="D7235" s="186">
        <f>IFERROR(__xludf.DUMMYFUNCTION("""COMPUTED_VALUE"""),40.0)</f>
        <v>40</v>
      </c>
    </row>
    <row r="7236">
      <c r="A7236" s="178" t="str">
        <f>IFERROR(__xludf.DUMMYFUNCTION("""COMPUTED_VALUE"""),"ITBISA-JUMPER-MF-20CM")</f>
        <v>ITBISA-JUMPER-MF-20CM</v>
      </c>
      <c r="B7236" s="266">
        <f>IFERROR(__xludf.DUMMYFUNCTION("""COMPUTED_VALUE"""),44013.0)</f>
        <v>44013</v>
      </c>
      <c r="C7236" s="266" t="str">
        <f>IFERROR(__xludf.DUMMYFUNCTION("""COMPUTED_VALUE"""),"KAETOBO RESIDENCE")</f>
        <v>KAETOBO RESIDENCE</v>
      </c>
      <c r="D7236" s="186">
        <f>IFERROR(__xludf.DUMMYFUNCTION("""COMPUTED_VALUE"""),40.0)</f>
        <v>40</v>
      </c>
    </row>
    <row r="7237">
      <c r="A7237" s="178" t="str">
        <f>IFERROR(__xludf.DUMMYFUNCTION("""COMPUTED_VALUE"""),"ITBISA-JUMPER-MF-20CM")</f>
        <v>ITBISA-JUMPER-MF-20CM</v>
      </c>
      <c r="B7237" s="266">
        <f>IFERROR(__xludf.DUMMYFUNCTION("""COMPUTED_VALUE"""),44032.0)</f>
        <v>44032</v>
      </c>
      <c r="C7237" s="266" t="str">
        <f>IFERROR(__xludf.DUMMYFUNCTION("""COMPUTED_VALUE"""),"KAETOBO RESIDENCE")</f>
        <v>KAETOBO RESIDENCE</v>
      </c>
      <c r="D7237" s="186">
        <f>IFERROR(__xludf.DUMMYFUNCTION("""COMPUTED_VALUE"""),40.0)</f>
        <v>40</v>
      </c>
    </row>
    <row r="7238">
      <c r="A7238" s="178" t="str">
        <f>IFERROR(__xludf.DUMMYFUNCTION("""COMPUTED_VALUE"""),"ITBISA-JUMPER-MF-20CM")</f>
        <v>ITBISA-JUMPER-MF-20CM</v>
      </c>
      <c r="B7238" s="266">
        <f>IFERROR(__xludf.DUMMYFUNCTION("""COMPUTED_VALUE"""),44039.0)</f>
        <v>44039</v>
      </c>
      <c r="C7238" s="266" t="str">
        <f>IFERROR(__xludf.DUMMYFUNCTION("""COMPUTED_VALUE"""),"KAETOBO RESIDENCE")</f>
        <v>KAETOBO RESIDENCE</v>
      </c>
      <c r="D7238" s="186">
        <f>IFERROR(__xludf.DUMMYFUNCTION("""COMPUTED_VALUE"""),1400.0)</f>
        <v>1400</v>
      </c>
    </row>
    <row r="7239">
      <c r="A7239" s="178" t="str">
        <f>IFERROR(__xludf.DUMMYFUNCTION("""COMPUTED_VALUE"""),"ITBISA-JUMPER-MF-20CM")</f>
        <v>ITBISA-JUMPER-MF-20CM</v>
      </c>
      <c r="B7239" s="266">
        <f>IFERROR(__xludf.DUMMYFUNCTION("""COMPUTED_VALUE"""),44042.0)</f>
        <v>44042</v>
      </c>
      <c r="C7239" s="266" t="str">
        <f>IFERROR(__xludf.DUMMYFUNCTION("""COMPUTED_VALUE"""),"KAETOBO RESIDENCE")</f>
        <v>KAETOBO RESIDENCE</v>
      </c>
      <c r="D7239" s="186">
        <f>IFERROR(__xludf.DUMMYFUNCTION("""COMPUTED_VALUE"""),120.0)</f>
        <v>120</v>
      </c>
    </row>
    <row r="7240">
      <c r="A7240" s="178" t="str">
        <f>IFERROR(__xludf.DUMMYFUNCTION("""COMPUTED_VALUE"""),"ITBISA-JUMPER-MF-20CM")</f>
        <v>ITBISA-JUMPER-MF-20CM</v>
      </c>
      <c r="B7240" s="266">
        <f>IFERROR(__xludf.DUMMYFUNCTION("""COMPUTED_VALUE"""),44058.0)</f>
        <v>44058</v>
      </c>
      <c r="C7240" s="266" t="str">
        <f>IFERROR(__xludf.DUMMYFUNCTION("""COMPUTED_VALUE"""),"KOST SRITUNGGAL")</f>
        <v>KOST SRITUNGGAL</v>
      </c>
      <c r="D7240" s="186">
        <f>IFERROR(__xludf.DUMMYFUNCTION("""COMPUTED_VALUE"""),40.0)</f>
        <v>40</v>
      </c>
    </row>
    <row r="7241">
      <c r="A7241" s="178" t="str">
        <f>IFERROR(__xludf.DUMMYFUNCTION("""COMPUTED_VALUE"""),"ITBISA-JUMPER-MF-20CM")</f>
        <v>ITBISA-JUMPER-MF-20CM</v>
      </c>
      <c r="B7241" s="266">
        <f>IFERROR(__xludf.DUMMYFUNCTION("""COMPUTED_VALUE"""),44059.0)</f>
        <v>44059</v>
      </c>
      <c r="C7241" s="266" t="str">
        <f>IFERROR(__xludf.DUMMYFUNCTION("""COMPUTED_VALUE"""),"KOST SRITUNGGAL")</f>
        <v>KOST SRITUNGGAL</v>
      </c>
      <c r="D7241" s="186">
        <f>IFERROR(__xludf.DUMMYFUNCTION("""COMPUTED_VALUE"""),40.0)</f>
        <v>40</v>
      </c>
    </row>
    <row r="7242">
      <c r="A7242" s="178" t="str">
        <f>IFERROR(__xludf.DUMMYFUNCTION("""COMPUTED_VALUE"""),"ITBISA-JUMPER-MF-20CM")</f>
        <v>ITBISA-JUMPER-MF-20CM</v>
      </c>
      <c r="B7242" s="266">
        <f>IFERROR(__xludf.DUMMYFUNCTION("""COMPUTED_VALUE"""),44219.0)</f>
        <v>44219</v>
      </c>
      <c r="C7242" s="266" t="str">
        <f>IFERROR(__xludf.DUMMYFUNCTION("""COMPUTED_VALUE"""),"KOST RUMAHUMI")</f>
        <v>KOST RUMAHUMI</v>
      </c>
      <c r="D7242" s="186">
        <f>IFERROR(__xludf.DUMMYFUNCTION("""COMPUTED_VALUE"""),200.0)</f>
        <v>200</v>
      </c>
    </row>
    <row r="7243">
      <c r="A7243" s="178" t="str">
        <f>IFERROR(__xludf.DUMMYFUNCTION("""COMPUTED_VALUE"""),"ITBISA-JUMPER-MF-20CM")</f>
        <v>ITBISA-JUMPER-MF-20CM</v>
      </c>
      <c r="B7243" s="266">
        <f>IFERROR(__xludf.DUMMYFUNCTION("""COMPUTED_VALUE"""),44239.0)</f>
        <v>44239</v>
      </c>
      <c r="C7243" s="266" t="str">
        <f>IFERROR(__xludf.DUMMYFUNCTION("""COMPUTED_VALUE"""),"KOST RUMAHUMI")</f>
        <v>KOST RUMAHUMI</v>
      </c>
      <c r="D7243" s="186">
        <f>IFERROR(__xludf.DUMMYFUNCTION("""COMPUTED_VALUE"""),40.0)</f>
        <v>40</v>
      </c>
    </row>
    <row r="7244">
      <c r="A7244" s="178" t="str">
        <f>IFERROR(__xludf.DUMMYFUNCTION("""COMPUTED_VALUE"""),"ITBISA-JUMPER-MF-20CM")</f>
        <v>ITBISA-JUMPER-MF-20CM</v>
      </c>
      <c r="B7244" s="266">
        <f>IFERROR(__xludf.DUMMYFUNCTION("""COMPUTED_VALUE"""),44296.0)</f>
        <v>44296</v>
      </c>
      <c r="C7244" s="266" t="str">
        <f>IFERROR(__xludf.DUMMYFUNCTION("""COMPUTED_VALUE"""),"KOST RUMAHUMI")</f>
        <v>KOST RUMAHUMI</v>
      </c>
      <c r="D7244" s="186">
        <f>IFERROR(__xludf.DUMMYFUNCTION("""COMPUTED_VALUE"""),40.0)</f>
        <v>40</v>
      </c>
    </row>
    <row r="7245">
      <c r="A7245" s="178" t="str">
        <f>IFERROR(__xludf.DUMMYFUNCTION("""COMPUTED_VALUE"""),"ITBISA-JUMPER-MF-20CM")</f>
        <v>ITBISA-JUMPER-MF-20CM</v>
      </c>
      <c r="B7245" s="266">
        <f>IFERROR(__xludf.DUMMYFUNCTION("""COMPUTED_VALUE"""),44422.0)</f>
        <v>44422</v>
      </c>
      <c r="C7245" s="266" t="str">
        <f>IFERROR(__xludf.DUMMYFUNCTION("""COMPUTED_VALUE"""),"KOST RUMAHUMI")</f>
        <v>KOST RUMAHUMI</v>
      </c>
      <c r="D7245" s="186">
        <f>IFERROR(__xludf.DUMMYFUNCTION("""COMPUTED_VALUE"""),40.0)</f>
        <v>40</v>
      </c>
    </row>
    <row r="7246">
      <c r="A7246" s="178" t="str">
        <f>IFERROR(__xludf.DUMMYFUNCTION("""COMPUTED_VALUE"""),"ITBISA-JUMPER-MF-20CM")</f>
        <v>ITBISA-JUMPER-MF-20CM</v>
      </c>
      <c r="B7246" s="266">
        <f>IFERROR(__xludf.DUMMYFUNCTION("""COMPUTED_VALUE"""),44832.0)</f>
        <v>44832</v>
      </c>
      <c r="C7246" s="266" t="str">
        <f>IFERROR(__xludf.DUMMYFUNCTION("""COMPUTED_VALUE"""),"KYAI KONTONG")</f>
        <v>KYAI KONTONG</v>
      </c>
      <c r="D7246" s="186">
        <f>IFERROR(__xludf.DUMMYFUNCTION("""COMPUTED_VALUE"""),40.0)</f>
        <v>40</v>
      </c>
    </row>
    <row r="7247">
      <c r="A7247" s="178" t="str">
        <f>IFERROR(__xludf.DUMMYFUNCTION("""COMPUTED_VALUE"""),"ITBISA-JUMPER-MF-20CM")</f>
        <v>ITBISA-JUMPER-MF-20CM</v>
      </c>
      <c r="B7247" s="266">
        <f>IFERROR(__xludf.DUMMYFUNCTION("""COMPUTED_VALUE"""),44944.0)</f>
        <v>44944</v>
      </c>
      <c r="C7247" s="266" t="str">
        <f>IFERROR(__xludf.DUMMYFUNCTION("""COMPUTED_VALUE"""),"KYAI KONTONG")</f>
        <v>KYAI KONTONG</v>
      </c>
      <c r="D7247" s="186">
        <f>IFERROR(__xludf.DUMMYFUNCTION("""COMPUTED_VALUE"""),40.0)</f>
        <v>40</v>
      </c>
    </row>
    <row r="7248">
      <c r="A7248" s="178" t="str">
        <f>IFERROR(__xludf.DUMMYFUNCTION("""COMPUTED_VALUE"""),"ITBISA-JUMPER-MF-20CM")</f>
        <v>ITBISA-JUMPER-MF-20CM</v>
      </c>
      <c r="B7248" s="266">
        <f>IFERROR(__xludf.DUMMYFUNCTION("""COMPUTED_VALUE"""),44964.0)</f>
        <v>44964</v>
      </c>
      <c r="C7248" s="266" t="str">
        <f>IFERROR(__xludf.DUMMYFUNCTION("""COMPUTED_VALUE"""),"KYAI KONTONG")</f>
        <v>KYAI KONTONG</v>
      </c>
      <c r="D7248" s="186">
        <f>IFERROR(__xludf.DUMMYFUNCTION("""COMPUTED_VALUE"""),40.0)</f>
        <v>40</v>
      </c>
    </row>
    <row r="7249">
      <c r="A7249" s="178" t="str">
        <f>IFERROR(__xludf.DUMMYFUNCTION("""COMPUTED_VALUE"""),"ITBISA-JUMPER-MF-20CM")</f>
        <v>ITBISA-JUMPER-MF-20CM</v>
      </c>
      <c r="B7249" s="266">
        <f>IFERROR(__xludf.DUMMYFUNCTION("""COMPUTED_VALUE"""),45089.0)</f>
        <v>45089</v>
      </c>
      <c r="C7249" s="266" t="str">
        <f>IFERROR(__xludf.DUMMYFUNCTION("""COMPUTED_VALUE"""),"KYAI KONTONG")</f>
        <v>KYAI KONTONG</v>
      </c>
      <c r="D7249" s="186">
        <f>IFERROR(__xludf.DUMMYFUNCTION("""COMPUTED_VALUE"""),40.0)</f>
        <v>40</v>
      </c>
    </row>
    <row r="7250">
      <c r="A7250" s="178" t="str">
        <f>IFERROR(__xludf.DUMMYFUNCTION("""COMPUTED_VALUE"""),"ITBISA-JUMPER-MF-20CM")</f>
        <v>ITBISA-JUMPER-MF-20CM</v>
      </c>
      <c r="B7250" s="266">
        <f>IFERROR(__xludf.DUMMYFUNCTION("""COMPUTED_VALUE"""),45112.0)</f>
        <v>45112</v>
      </c>
      <c r="C7250" s="266" t="str">
        <f>IFERROR(__xludf.DUMMYFUNCTION("""COMPUTED_VALUE"""),"KYAI KONTONG")</f>
        <v>KYAI KONTONG</v>
      </c>
      <c r="D7250" s="186">
        <f>IFERROR(__xludf.DUMMYFUNCTION("""COMPUTED_VALUE"""),200.0)</f>
        <v>200</v>
      </c>
    </row>
    <row r="7251">
      <c r="A7251" s="178" t="str">
        <f>IFERROR(__xludf.DUMMYFUNCTION("""COMPUTED_VALUE"""),"ITBISA-JUMPER-MF-20CM")</f>
        <v>ITBISA-JUMPER-MF-20CM</v>
      </c>
      <c r="B7251" s="266">
        <f>IFERROR(__xludf.DUMMYFUNCTION("""COMPUTED_VALUE"""),45200.0)</f>
        <v>45200</v>
      </c>
      <c r="C7251" s="266" t="str">
        <f>IFERROR(__xludf.DUMMYFUNCTION("""COMPUTED_VALUE"""),"KYAI KONTONG")</f>
        <v>KYAI KONTONG</v>
      </c>
      <c r="D7251" s="186">
        <f>IFERROR(__xludf.DUMMYFUNCTION("""COMPUTED_VALUE"""),40.0)</f>
        <v>40</v>
      </c>
    </row>
    <row r="7252">
      <c r="A7252" s="178" t="str">
        <f>IFERROR(__xludf.DUMMYFUNCTION("""COMPUTED_VALUE"""),"ITBISA-JUMPER-MF-20CM")</f>
        <v>ITBISA-JUMPER-MF-20CM</v>
      </c>
      <c r="B7252" s="266">
        <f>IFERROR(__xludf.DUMMYFUNCTION("""COMPUTED_VALUE"""),45212.0)</f>
        <v>45212</v>
      </c>
      <c r="C7252" s="266" t="str">
        <f>IFERROR(__xludf.DUMMYFUNCTION("""COMPUTED_VALUE"""),"KYAI KONTONG")</f>
        <v>KYAI KONTONG</v>
      </c>
      <c r="D7252" s="186">
        <f>IFERROR(__xludf.DUMMYFUNCTION("""COMPUTED_VALUE"""),40.0)</f>
        <v>40</v>
      </c>
    </row>
    <row r="7253">
      <c r="A7253" s="178" t="str">
        <f>IFERROR(__xludf.DUMMYFUNCTION("""COMPUTED_VALUE"""),"ITBISA-JUMPER-MF-20CM")</f>
        <v>ITBISA-JUMPER-MF-20CM</v>
      </c>
      <c r="B7253" s="266">
        <f>IFERROR(__xludf.DUMMYFUNCTION("""COMPUTED_VALUE"""),45285.0)</f>
        <v>45285</v>
      </c>
      <c r="C7253" s="266" t="str">
        <f>IFERROR(__xludf.DUMMYFUNCTION("""COMPUTED_VALUE"""),"KYAI KONTONG")</f>
        <v>KYAI KONTONG</v>
      </c>
      <c r="D7253" s="186">
        <f>IFERROR(__xludf.DUMMYFUNCTION("""COMPUTED_VALUE"""),40.0)</f>
        <v>40</v>
      </c>
    </row>
    <row r="7254">
      <c r="A7254" s="178" t="str">
        <f>IFERROR(__xludf.DUMMYFUNCTION("""COMPUTED_VALUE"""),"ITBISA-JUMPER-MF-20CM")</f>
        <v>ITBISA-JUMPER-MF-20CM</v>
      </c>
      <c r="B7254" s="266">
        <f>IFERROR(__xludf.DUMMYFUNCTION("""COMPUTED_VALUE"""),45287.0)</f>
        <v>45287</v>
      </c>
      <c r="C7254" s="266" t="str">
        <f>IFERROR(__xludf.DUMMYFUNCTION("""COMPUTED_VALUE"""),"KYAI KONTONG")</f>
        <v>KYAI KONTONG</v>
      </c>
      <c r="D7254" s="186">
        <f>IFERROR(__xludf.DUMMYFUNCTION("""COMPUTED_VALUE"""),40.0)</f>
        <v>40</v>
      </c>
    </row>
    <row r="7255">
      <c r="A7255" s="178" t="str">
        <f>IFERROR(__xludf.DUMMYFUNCTION("""COMPUTED_VALUE"""),"ITBISA-JUMPER-MF-20CM")</f>
        <v>ITBISA-JUMPER-MF-20CM</v>
      </c>
      <c r="B7255" s="266">
        <f>IFERROR(__xludf.DUMMYFUNCTION("""COMPUTED_VALUE"""),45334.0)</f>
        <v>45334</v>
      </c>
      <c r="C7255" s="266" t="str">
        <f>IFERROR(__xludf.DUMMYFUNCTION("""COMPUTED_VALUE"""),"KYAI KONTONG")</f>
        <v>KYAI KONTONG</v>
      </c>
      <c r="D7255" s="186">
        <f>IFERROR(__xludf.DUMMYFUNCTION("""COMPUTED_VALUE"""),80.0)</f>
        <v>80</v>
      </c>
    </row>
    <row r="7256">
      <c r="A7256" s="178" t="str">
        <f>IFERROR(__xludf.DUMMYFUNCTION("""COMPUTED_VALUE"""),"ITBISA-JUMPER-MF-20CM")</f>
        <v>ITBISA-JUMPER-MF-20CM</v>
      </c>
      <c r="B7256" s="266">
        <f>IFERROR(__xludf.DUMMYFUNCTION("""COMPUTED_VALUE"""),45343.0)</f>
        <v>45343</v>
      </c>
      <c r="C7256" s="266" t="str">
        <f>IFERROR(__xludf.DUMMYFUNCTION("""COMPUTED_VALUE"""),"KYAI KONTONG")</f>
        <v>KYAI KONTONG</v>
      </c>
      <c r="D7256" s="186">
        <f>IFERROR(__xludf.DUMMYFUNCTION("""COMPUTED_VALUE"""),400.0)</f>
        <v>400</v>
      </c>
    </row>
    <row r="7257">
      <c r="A7257" s="178" t="str">
        <f>IFERROR(__xludf.DUMMYFUNCTION("""COMPUTED_VALUE"""),"ITBISA-JUMPER-MF-20CM")</f>
        <v>ITBISA-JUMPER-MF-20CM</v>
      </c>
      <c r="B7257" s="266">
        <f>IFERROR(__xludf.DUMMYFUNCTION("""COMPUTED_VALUE"""),45355.0)</f>
        <v>45355</v>
      </c>
      <c r="C7257" s="266" t="str">
        <f>IFERROR(__xludf.DUMMYFUNCTION("""COMPUTED_VALUE"""),"KYAI KONTONG")</f>
        <v>KYAI KONTONG</v>
      </c>
      <c r="D7257" s="186">
        <f>IFERROR(__xludf.DUMMYFUNCTION("""COMPUTED_VALUE"""),80.0)</f>
        <v>80</v>
      </c>
    </row>
    <row r="7258">
      <c r="A7258" s="178" t="str">
        <f>IFERROR(__xludf.DUMMYFUNCTION("""COMPUTED_VALUE"""),"ITBISA-JUMPER-MF-20CM")</f>
        <v>ITBISA-JUMPER-MF-20CM</v>
      </c>
      <c r="B7258" s="266">
        <f>IFERROR(__xludf.DUMMYFUNCTION("""COMPUTED_VALUE"""),45368.0)</f>
        <v>45368</v>
      </c>
      <c r="C7258" s="266" t="str">
        <f>IFERROR(__xludf.DUMMYFUNCTION("""COMPUTED_VALUE"""),"KYAI KONTONG")</f>
        <v>KYAI KONTONG</v>
      </c>
      <c r="D7258" s="186">
        <f>IFERROR(__xludf.DUMMYFUNCTION("""COMPUTED_VALUE"""),40.0)</f>
        <v>40</v>
      </c>
    </row>
    <row r="7259">
      <c r="A7259" s="178" t="str">
        <f>IFERROR(__xludf.DUMMYFUNCTION("""COMPUTED_VALUE"""),"ITBISA-JUMPER-MF-20CM")</f>
        <v>ITBISA-JUMPER-MF-20CM</v>
      </c>
      <c r="B7259" s="266">
        <f>IFERROR(__xludf.DUMMYFUNCTION("""COMPUTED_VALUE"""),45368.0)</f>
        <v>45368</v>
      </c>
      <c r="C7259" s="266" t="str">
        <f>IFERROR(__xludf.DUMMYFUNCTION("""COMPUTED_VALUE"""),"KYAI KONTONG")</f>
        <v>KYAI KONTONG</v>
      </c>
      <c r="D7259" s="186">
        <f>IFERROR(__xludf.DUMMYFUNCTION("""COMPUTED_VALUE"""),40.0)</f>
        <v>40</v>
      </c>
    </row>
    <row r="7260">
      <c r="A7260" s="178" t="str">
        <f>IFERROR(__xludf.DUMMYFUNCTION("""COMPUTED_VALUE"""),"ITBISA-JUMPER-MF-20CM")</f>
        <v>ITBISA-JUMPER-MF-20CM</v>
      </c>
      <c r="B7260" s="266">
        <f>IFERROR(__xludf.DUMMYFUNCTION("""COMPUTED_VALUE"""),45374.0)</f>
        <v>45374</v>
      </c>
      <c r="C7260" s="266" t="str">
        <f>IFERROR(__xludf.DUMMYFUNCTION("""COMPUTED_VALUE"""),"KYAI KONTONG")</f>
        <v>KYAI KONTONG</v>
      </c>
      <c r="D7260" s="186">
        <f>IFERROR(__xludf.DUMMYFUNCTION("""COMPUTED_VALUE"""),40.0)</f>
        <v>40</v>
      </c>
    </row>
    <row r="7261">
      <c r="A7261" s="178" t="str">
        <f>IFERROR(__xludf.DUMMYFUNCTION("""COMPUTED_VALUE"""),"ITBISA-JUMPER-MF-20CM")</f>
        <v>ITBISA-JUMPER-MF-20CM</v>
      </c>
      <c r="B7261" s="266">
        <f>IFERROR(__xludf.DUMMYFUNCTION("""COMPUTED_VALUE"""),45380.0)</f>
        <v>45380</v>
      </c>
      <c r="C7261" s="266" t="str">
        <f>IFERROR(__xludf.DUMMYFUNCTION("""COMPUTED_VALUE"""),"KERTASARI CIAMIS")</f>
        <v>KERTASARI CIAMIS</v>
      </c>
      <c r="D7261" s="186">
        <f>IFERROR(__xludf.DUMMYFUNCTION("""COMPUTED_VALUE"""),40.0)</f>
        <v>40</v>
      </c>
    </row>
    <row r="7262">
      <c r="A7262" s="178" t="str">
        <f>IFERROR(__xludf.DUMMYFUNCTION("""COMPUTED_VALUE"""),"ITBISA-JUMPER-MF-20CM")</f>
        <v>ITBISA-JUMPER-MF-20CM</v>
      </c>
      <c r="B7262" s="266">
        <f>IFERROR(__xludf.DUMMYFUNCTION("""COMPUTED_VALUE"""),45381.0)</f>
        <v>45381</v>
      </c>
      <c r="C7262" s="266" t="str">
        <f>IFERROR(__xludf.DUMMYFUNCTION("""COMPUTED_VALUE"""),"KYAI KONTONG")</f>
        <v>KYAI KONTONG</v>
      </c>
      <c r="D7262" s="186">
        <f>IFERROR(__xludf.DUMMYFUNCTION("""COMPUTED_VALUE"""),40.0)</f>
        <v>40</v>
      </c>
    </row>
    <row r="7263">
      <c r="A7263" s="178" t="str">
        <f>IFERROR(__xludf.DUMMYFUNCTION("""COMPUTED_VALUE"""),"ITBISA-JUMPER-MF-20CM")</f>
        <v>ITBISA-JUMPER-MF-20CM</v>
      </c>
      <c r="B7263" s="266">
        <f>IFERROR(__xludf.DUMMYFUNCTION("""COMPUTED_VALUE"""),45390.0)</f>
        <v>45390</v>
      </c>
      <c r="C7263" s="266" t="str">
        <f>IFERROR(__xludf.DUMMYFUNCTION("""COMPUTED_VALUE"""),"KYAI KONTONG")</f>
        <v>KYAI KONTONG</v>
      </c>
      <c r="D7263" s="186">
        <f>IFERROR(__xludf.DUMMYFUNCTION("""COMPUTED_VALUE"""),40.0)</f>
        <v>40</v>
      </c>
    </row>
    <row r="7264">
      <c r="A7264" s="178" t="str">
        <f>IFERROR(__xludf.DUMMYFUNCTION("""COMPUTED_VALUE"""),"ITBISA-JUMPER-MF-20CM")</f>
        <v>ITBISA-JUMPER-MF-20CM</v>
      </c>
      <c r="B7264" s="266">
        <f>IFERROR(__xludf.DUMMYFUNCTION("""COMPUTED_VALUE"""),45391.0)</f>
        <v>45391</v>
      </c>
      <c r="C7264" s="266" t="str">
        <f>IFERROR(__xludf.DUMMYFUNCTION("""COMPUTED_VALUE"""),"KYAI KONTONG")</f>
        <v>KYAI KONTONG</v>
      </c>
      <c r="D7264" s="186">
        <f>IFERROR(__xludf.DUMMYFUNCTION("""COMPUTED_VALUE"""),40.0)</f>
        <v>40</v>
      </c>
    </row>
    <row r="7265">
      <c r="A7265" s="178" t="str">
        <f>IFERROR(__xludf.DUMMYFUNCTION("""COMPUTED_VALUE"""),"ITBISA-JUMPER-MF-20CM")</f>
        <v>ITBISA-JUMPER-MF-20CM</v>
      </c>
      <c r="B7265" s="266">
        <f>IFERROR(__xludf.DUMMYFUNCTION("""COMPUTED_VALUE"""),45401.0)</f>
        <v>45401</v>
      </c>
      <c r="C7265" s="266" t="str">
        <f>IFERROR(__xludf.DUMMYFUNCTION("""COMPUTED_VALUE"""),"KYAI KONTONG")</f>
        <v>KYAI KONTONG</v>
      </c>
      <c r="D7265" s="186">
        <f>IFERROR(__xludf.DUMMYFUNCTION("""COMPUTED_VALUE"""),80.0)</f>
        <v>80</v>
      </c>
    </row>
    <row r="7266">
      <c r="A7266" s="178" t="str">
        <f>IFERROR(__xludf.DUMMYFUNCTION("""COMPUTED_VALUE"""),"ITBISA-JUMPER-MF-20CM")</f>
        <v>ITBISA-JUMPER-MF-20CM</v>
      </c>
      <c r="B7266" s="266">
        <f>IFERROR(__xludf.DUMMYFUNCTION("""COMPUTED_VALUE"""),45404.0)</f>
        <v>45404</v>
      </c>
      <c r="C7266" s="266" t="str">
        <f>IFERROR(__xludf.DUMMYFUNCTION("""COMPUTED_VALUE"""),"KYAI KONTONG")</f>
        <v>KYAI KONTONG</v>
      </c>
      <c r="D7266" s="186">
        <f>IFERROR(__xludf.DUMMYFUNCTION("""COMPUTED_VALUE"""),40.0)</f>
        <v>40</v>
      </c>
    </row>
    <row r="7267">
      <c r="A7267" s="178" t="str">
        <f>IFERROR(__xludf.DUMMYFUNCTION("""COMPUTED_VALUE"""),"ITBISA-JUMPER-MF-20CM")</f>
        <v>ITBISA-JUMPER-MF-20CM</v>
      </c>
      <c r="B7267" s="266">
        <f>IFERROR(__xludf.DUMMYFUNCTION("""COMPUTED_VALUE"""),45406.0)</f>
        <v>45406</v>
      </c>
      <c r="C7267" s="266" t="str">
        <f>IFERROR(__xludf.DUMMYFUNCTION("""COMPUTED_VALUE"""),"KYAI KONTONG")</f>
        <v>KYAI KONTONG</v>
      </c>
      <c r="D7267" s="186">
        <f>IFERROR(__xludf.DUMMYFUNCTION("""COMPUTED_VALUE"""),40.0)</f>
        <v>40</v>
      </c>
    </row>
    <row r="7268">
      <c r="A7268" s="178" t="str">
        <f>IFERROR(__xludf.DUMMYFUNCTION("""COMPUTED_VALUE"""),"ITBISA-JUMPER-MF-20CM")</f>
        <v>ITBISA-JUMPER-MF-20CM</v>
      </c>
      <c r="B7268" s="266">
        <f>IFERROR(__xludf.DUMMYFUNCTION("""COMPUTED_VALUE"""),45406.0)</f>
        <v>45406</v>
      </c>
      <c r="C7268" s="266" t="str">
        <f>IFERROR(__xludf.DUMMYFUNCTION("""COMPUTED_VALUE"""),"KYAI KONTONG")</f>
        <v>KYAI KONTONG</v>
      </c>
      <c r="D7268" s="186">
        <f>IFERROR(__xludf.DUMMYFUNCTION("""COMPUTED_VALUE"""),80.0)</f>
        <v>80</v>
      </c>
    </row>
    <row r="7269">
      <c r="A7269" s="178" t="str">
        <f>IFERROR(__xludf.DUMMYFUNCTION("""COMPUTED_VALUE"""),"ITBISA-JUMPER-MF-20CM")</f>
        <v>ITBISA-JUMPER-MF-20CM</v>
      </c>
      <c r="B7269" s="266">
        <f>IFERROR(__xludf.DUMMYFUNCTION("""COMPUTED_VALUE"""),45407.0)</f>
        <v>45407</v>
      </c>
      <c r="C7269" s="266" t="str">
        <f>IFERROR(__xludf.DUMMYFUNCTION("""COMPUTED_VALUE"""),"KERTASARI CIAMIS")</f>
        <v>KERTASARI CIAMIS</v>
      </c>
      <c r="D7269" s="186">
        <f>IFERROR(__xludf.DUMMYFUNCTION("""COMPUTED_VALUE"""),400.0)</f>
        <v>400</v>
      </c>
    </row>
    <row r="7270">
      <c r="A7270" s="178" t="str">
        <f>IFERROR(__xludf.DUMMYFUNCTION("""COMPUTED_VALUE"""),"ITBISA-JUMPER-MF-20CM")</f>
        <v>ITBISA-JUMPER-MF-20CM</v>
      </c>
      <c r="B7270" s="266">
        <f>IFERROR(__xludf.DUMMYFUNCTION("""COMPUTED_VALUE"""),45407.0)</f>
        <v>45407</v>
      </c>
      <c r="C7270" s="266" t="str">
        <f>IFERROR(__xludf.DUMMYFUNCTION("""COMPUTED_VALUE"""),"KYAI KONTONG")</f>
        <v>KYAI KONTONG</v>
      </c>
      <c r="D7270" s="186">
        <f>IFERROR(__xludf.DUMMYFUNCTION("""COMPUTED_VALUE"""),80.0)</f>
        <v>80</v>
      </c>
    </row>
    <row r="7271">
      <c r="A7271" s="178" t="str">
        <f>IFERROR(__xludf.DUMMYFUNCTION("""COMPUTED_VALUE"""),"ITBISA-JUMPER-MF-20CM")</f>
        <v>ITBISA-JUMPER-MF-20CM</v>
      </c>
      <c r="B7271" s="266">
        <f>IFERROR(__xludf.DUMMYFUNCTION("""COMPUTED_VALUE"""),45417.0)</f>
        <v>45417</v>
      </c>
      <c r="C7271" s="266" t="str">
        <f>IFERROR(__xludf.DUMMYFUNCTION("""COMPUTED_VALUE"""),"KYAI KONTONG")</f>
        <v>KYAI KONTONG</v>
      </c>
      <c r="D7271" s="186">
        <f>IFERROR(__xludf.DUMMYFUNCTION("""COMPUTED_VALUE"""),40.0)</f>
        <v>40</v>
      </c>
    </row>
    <row r="7272">
      <c r="A7272" s="178" t="str">
        <f>IFERROR(__xludf.DUMMYFUNCTION("""COMPUTED_VALUE"""),"ITBISA-JUMPER-MF-20CM")</f>
        <v>ITBISA-JUMPER-MF-20CM</v>
      </c>
      <c r="B7272" s="266">
        <f>IFERROR(__xludf.DUMMYFUNCTION("""COMPUTED_VALUE"""),45418.0)</f>
        <v>45418</v>
      </c>
      <c r="C7272" s="266" t="str">
        <f>IFERROR(__xludf.DUMMYFUNCTION("""COMPUTED_VALUE"""),"KYAI KONTONG")</f>
        <v>KYAI KONTONG</v>
      </c>
      <c r="D7272" s="186">
        <f>IFERROR(__xludf.DUMMYFUNCTION("""COMPUTED_VALUE"""),160.0)</f>
        <v>160</v>
      </c>
    </row>
    <row r="7273">
      <c r="A7273" s="178" t="str">
        <f>IFERROR(__xludf.DUMMYFUNCTION("""COMPUTED_VALUE"""),"ITBISA-JUMPER-MF-20CM")</f>
        <v>ITBISA-JUMPER-MF-20CM</v>
      </c>
      <c r="B7273" s="266">
        <f>IFERROR(__xludf.DUMMYFUNCTION("""COMPUTED_VALUE"""),45430.0)</f>
        <v>45430</v>
      </c>
      <c r="C7273" s="266" t="str">
        <f>IFERROR(__xludf.DUMMYFUNCTION("""COMPUTED_VALUE"""),"KYAI KONTONG")</f>
        <v>KYAI KONTONG</v>
      </c>
      <c r="D7273" s="186">
        <f>IFERROR(__xludf.DUMMYFUNCTION("""COMPUTED_VALUE"""),80.0)</f>
        <v>80</v>
      </c>
    </row>
    <row r="7274">
      <c r="A7274" s="178" t="str">
        <f>IFERROR(__xludf.DUMMYFUNCTION("""COMPUTED_VALUE"""),"ITBISA-JUMPER-MF-20CM")</f>
        <v>ITBISA-JUMPER-MF-20CM</v>
      </c>
      <c r="B7274" s="266">
        <f>IFERROR(__xludf.DUMMYFUNCTION("""COMPUTED_VALUE"""),45444.0)</f>
        <v>45444</v>
      </c>
      <c r="C7274" s="266" t="str">
        <f>IFERROR(__xludf.DUMMYFUNCTION("""COMPUTED_VALUE"""),"KYAI KONTONG")</f>
        <v>KYAI KONTONG</v>
      </c>
      <c r="D7274" s="186">
        <f>IFERROR(__xludf.DUMMYFUNCTION("""COMPUTED_VALUE"""),400.0)</f>
        <v>400</v>
      </c>
    </row>
    <row r="7275">
      <c r="A7275" s="178" t="str">
        <f>IFERROR(__xludf.DUMMYFUNCTION("""COMPUTED_VALUE"""),"ITBISA-JUMPER-MF-20CM")</f>
        <v>ITBISA-JUMPER-MF-20CM</v>
      </c>
      <c r="B7275" s="266">
        <f>IFERROR(__xludf.DUMMYFUNCTION("""COMPUTED_VALUE"""),45448.0)</f>
        <v>45448</v>
      </c>
      <c r="C7275" s="266" t="str">
        <f>IFERROR(__xludf.DUMMYFUNCTION("""COMPUTED_VALUE"""),"KYAI KONTONG")</f>
        <v>KYAI KONTONG</v>
      </c>
      <c r="D7275" s="186">
        <f>IFERROR(__xludf.DUMMYFUNCTION("""COMPUTED_VALUE"""),40.0)</f>
        <v>40</v>
      </c>
    </row>
    <row r="7276">
      <c r="A7276" s="178" t="str">
        <f>IFERROR(__xludf.DUMMYFUNCTION("""COMPUTED_VALUE"""),"ITBISA-JUMPER-MF-20CM")</f>
        <v>ITBISA-JUMPER-MF-20CM</v>
      </c>
      <c r="B7276" s="266">
        <f>IFERROR(__xludf.DUMMYFUNCTION("""COMPUTED_VALUE"""),45450.0)</f>
        <v>45450</v>
      </c>
      <c r="C7276" s="266" t="str">
        <f>IFERROR(__xludf.DUMMYFUNCTION("""COMPUTED_VALUE"""),"KYAI KONTONG")</f>
        <v>KYAI KONTONG</v>
      </c>
      <c r="D7276" s="186">
        <f>IFERROR(__xludf.DUMMYFUNCTION("""COMPUTED_VALUE"""),40.0)</f>
        <v>40</v>
      </c>
    </row>
    <row r="7277">
      <c r="A7277" s="178" t="str">
        <f>IFERROR(__xludf.DUMMYFUNCTION("""COMPUTED_VALUE"""),"ITBISA-JUMPER-MF-20CM")</f>
        <v>ITBISA-JUMPER-MF-20CM</v>
      </c>
      <c r="B7277" s="266">
        <f>IFERROR(__xludf.DUMMYFUNCTION("""COMPUTED_VALUE"""),45452.0)</f>
        <v>45452</v>
      </c>
      <c r="C7277" s="266" t="str">
        <f>IFERROR(__xludf.DUMMYFUNCTION("""COMPUTED_VALUE"""),"KYAI KONTONG")</f>
        <v>KYAI KONTONG</v>
      </c>
      <c r="D7277" s="186">
        <f>IFERROR(__xludf.DUMMYFUNCTION("""COMPUTED_VALUE"""),40.0)</f>
        <v>40</v>
      </c>
    </row>
    <row r="7278">
      <c r="A7278" s="178" t="str">
        <f>IFERROR(__xludf.DUMMYFUNCTION("""COMPUTED_VALUE"""),"ITBISA-JUMPER-MF-20CM")</f>
        <v>ITBISA-JUMPER-MF-20CM</v>
      </c>
      <c r="B7278" s="266">
        <f>IFERROR(__xludf.DUMMYFUNCTION("""COMPUTED_VALUE"""),45455.0)</f>
        <v>45455</v>
      </c>
      <c r="C7278" s="266" t="str">
        <f>IFERROR(__xludf.DUMMYFUNCTION("""COMPUTED_VALUE"""),"KYAI KONTONG")</f>
        <v>KYAI KONTONG</v>
      </c>
      <c r="D7278" s="186">
        <f>IFERROR(__xludf.DUMMYFUNCTION("""COMPUTED_VALUE"""),40.0)</f>
        <v>40</v>
      </c>
    </row>
    <row r="7279">
      <c r="A7279" s="178" t="str">
        <f>IFERROR(__xludf.DUMMYFUNCTION("""COMPUTED_VALUE"""),"ITBISA-JUMPER-MF-20CM")</f>
        <v>ITBISA-JUMPER-MF-20CM</v>
      </c>
      <c r="B7279" s="266">
        <f>IFERROR(__xludf.DUMMYFUNCTION("""COMPUTED_VALUE"""),45456.0)</f>
        <v>45456</v>
      </c>
      <c r="C7279" s="266" t="str">
        <f>IFERROR(__xludf.DUMMYFUNCTION("""COMPUTED_VALUE"""),"KYAI KONTONG")</f>
        <v>KYAI KONTONG</v>
      </c>
      <c r="D7279" s="186">
        <f>IFERROR(__xludf.DUMMYFUNCTION("""COMPUTED_VALUE"""),40.0)</f>
        <v>40</v>
      </c>
    </row>
    <row r="7280">
      <c r="A7280" s="178" t="str">
        <f>IFERROR(__xludf.DUMMYFUNCTION("""COMPUTED_VALUE"""),"ITBISA-JUMPER-MF-20CM")</f>
        <v>ITBISA-JUMPER-MF-20CM</v>
      </c>
      <c r="B7280" s="266">
        <f>IFERROR(__xludf.DUMMYFUNCTION("""COMPUTED_VALUE"""),45456.0)</f>
        <v>45456</v>
      </c>
      <c r="C7280" s="266" t="str">
        <f>IFERROR(__xludf.DUMMYFUNCTION("""COMPUTED_VALUE"""),"KYAI KONTONG")</f>
        <v>KYAI KONTONG</v>
      </c>
      <c r="D7280" s="186">
        <f>IFERROR(__xludf.DUMMYFUNCTION("""COMPUTED_VALUE"""),80.0)</f>
        <v>80</v>
      </c>
    </row>
    <row r="7281">
      <c r="A7281" s="178" t="str">
        <f>IFERROR(__xludf.DUMMYFUNCTION("""COMPUTED_VALUE"""),"ITBISA-JUMPER-MF-20CM")</f>
        <v>ITBISA-JUMPER-MF-20CM</v>
      </c>
      <c r="B7281" s="266">
        <f>IFERROR(__xludf.DUMMYFUNCTION("""COMPUTED_VALUE"""),45457.0)</f>
        <v>45457</v>
      </c>
      <c r="C7281" s="266" t="str">
        <f>IFERROR(__xludf.DUMMYFUNCTION("""COMPUTED_VALUE"""),"KERTASARI CIAMIS")</f>
        <v>KERTASARI CIAMIS</v>
      </c>
      <c r="D7281" s="186">
        <f>IFERROR(__xludf.DUMMYFUNCTION("""COMPUTED_VALUE"""),40.0)</f>
        <v>40</v>
      </c>
    </row>
    <row r="7282">
      <c r="A7282" s="178" t="str">
        <f>IFERROR(__xludf.DUMMYFUNCTION("""COMPUTED_VALUE"""),"ITBISA-JUMPER-MF-20CM")</f>
        <v>ITBISA-JUMPER-MF-20CM</v>
      </c>
      <c r="B7282" s="266">
        <f>IFERROR(__xludf.DUMMYFUNCTION("""COMPUTED_VALUE"""),45460.0)</f>
        <v>45460</v>
      </c>
      <c r="C7282" s="266" t="str">
        <f>IFERROR(__xludf.DUMMYFUNCTION("""COMPUTED_VALUE"""),"KYAI KONTONG")</f>
        <v>KYAI KONTONG</v>
      </c>
      <c r="D7282" s="186">
        <f>IFERROR(__xludf.DUMMYFUNCTION("""COMPUTED_VALUE"""),80.0)</f>
        <v>80</v>
      </c>
    </row>
    <row r="7283">
      <c r="A7283" s="178" t="str">
        <f>IFERROR(__xludf.DUMMYFUNCTION("""COMPUTED_VALUE"""),"ITBISA-JUMPER-MF-20CM")</f>
        <v>ITBISA-JUMPER-MF-20CM</v>
      </c>
      <c r="B7283" s="266">
        <f>IFERROR(__xludf.DUMMYFUNCTION("""COMPUTED_VALUE"""),45465.0)</f>
        <v>45465</v>
      </c>
      <c r="C7283" s="266" t="str">
        <f>IFERROR(__xludf.DUMMYFUNCTION("""COMPUTED_VALUE"""),"KERTASARI CIAMIS")</f>
        <v>KERTASARI CIAMIS</v>
      </c>
      <c r="D7283" s="186">
        <f>IFERROR(__xludf.DUMMYFUNCTION("""COMPUTED_VALUE"""),80.0)</f>
        <v>80</v>
      </c>
    </row>
    <row r="7284">
      <c r="A7284" s="178" t="str">
        <f>IFERROR(__xludf.DUMMYFUNCTION("""COMPUTED_VALUE"""),"ITBISA-JUMPER-MF-20CM")</f>
        <v>ITBISA-JUMPER-MF-20CM</v>
      </c>
      <c r="B7284" s="266">
        <f>IFERROR(__xludf.DUMMYFUNCTION("""COMPUTED_VALUE"""),45465.0)</f>
        <v>45465</v>
      </c>
      <c r="C7284" s="266" t="str">
        <f>IFERROR(__xludf.DUMMYFUNCTION("""COMPUTED_VALUE"""),"KERTASARI CIAMIS")</f>
        <v>KERTASARI CIAMIS</v>
      </c>
      <c r="D7284" s="186">
        <f>IFERROR(__xludf.DUMMYFUNCTION("""COMPUTED_VALUE"""),80.0)</f>
        <v>80</v>
      </c>
    </row>
    <row r="7285">
      <c r="A7285" s="178" t="str">
        <f>IFERROR(__xludf.DUMMYFUNCTION("""COMPUTED_VALUE"""),"ITBISA-JUMPER-MF-20CM")</f>
        <v>ITBISA-JUMPER-MF-20CM</v>
      </c>
      <c r="B7285" s="266">
        <f>IFERROR(__xludf.DUMMYFUNCTION("""COMPUTED_VALUE"""),45478.0)</f>
        <v>45478</v>
      </c>
      <c r="C7285" s="266" t="str">
        <f>IFERROR(__xludf.DUMMYFUNCTION("""COMPUTED_VALUE"""),"KYAI KONTONG")</f>
        <v>KYAI KONTONG</v>
      </c>
      <c r="D7285" s="186">
        <f>IFERROR(__xludf.DUMMYFUNCTION("""COMPUTED_VALUE"""),40.0)</f>
        <v>40</v>
      </c>
    </row>
    <row r="7286">
      <c r="A7286" s="178" t="str">
        <f>IFERROR(__xludf.DUMMYFUNCTION("""COMPUTED_VALUE"""),"ITBISA-JUMPER-MF-20CM")</f>
        <v>ITBISA-JUMPER-MF-20CM</v>
      </c>
      <c r="B7286" s="266">
        <f>IFERROR(__xludf.DUMMYFUNCTION("""COMPUTED_VALUE"""),45484.0)</f>
        <v>45484</v>
      </c>
      <c r="C7286" s="266" t="str">
        <f>IFERROR(__xludf.DUMMYFUNCTION("""COMPUTED_VALUE"""),"KYAI KONTONG")</f>
        <v>KYAI KONTONG</v>
      </c>
      <c r="D7286" s="186">
        <f>IFERROR(__xludf.DUMMYFUNCTION("""COMPUTED_VALUE"""),40.0)</f>
        <v>40</v>
      </c>
    </row>
    <row r="7287">
      <c r="A7287" s="178" t="str">
        <f>IFERROR(__xludf.DUMMYFUNCTION("""COMPUTED_VALUE"""),"ITBISA-JUMPER-MF-20CM")</f>
        <v>ITBISA-JUMPER-MF-20CM</v>
      </c>
      <c r="B7287" s="266">
        <f>IFERROR(__xludf.DUMMYFUNCTION("""COMPUTED_VALUE"""),45492.0)</f>
        <v>45492</v>
      </c>
      <c r="C7287" s="266" t="str">
        <f>IFERROR(__xludf.DUMMYFUNCTION("""COMPUTED_VALUE"""),"KYAI KONTONG")</f>
        <v>KYAI KONTONG</v>
      </c>
      <c r="D7287" s="186">
        <f>IFERROR(__xludf.DUMMYFUNCTION("""COMPUTED_VALUE"""),40.0)</f>
        <v>40</v>
      </c>
    </row>
    <row r="7288">
      <c r="A7288" s="178" t="str">
        <f>IFERROR(__xludf.DUMMYFUNCTION("""COMPUTED_VALUE"""),"ITBISA-JUMPER-MF-20CM")</f>
        <v>ITBISA-JUMPER-MF-20CM</v>
      </c>
      <c r="B7288" s="266">
        <f>IFERROR(__xludf.DUMMYFUNCTION("""COMPUTED_VALUE"""),45499.0)</f>
        <v>45499</v>
      </c>
      <c r="C7288" s="266" t="str">
        <f>IFERROR(__xludf.DUMMYFUNCTION("""COMPUTED_VALUE"""),"KYAI KONTONG")</f>
        <v>KYAI KONTONG</v>
      </c>
      <c r="D7288" s="186">
        <f>IFERROR(__xludf.DUMMYFUNCTION("""COMPUTED_VALUE"""),40.0)</f>
        <v>40</v>
      </c>
    </row>
    <row r="7289">
      <c r="A7289" s="178" t="str">
        <f>IFERROR(__xludf.DUMMYFUNCTION("""COMPUTED_VALUE"""),"ITBISA-JUMPER-MF-20CM")</f>
        <v>ITBISA-JUMPER-MF-20CM</v>
      </c>
      <c r="B7289" s="266">
        <f>IFERROR(__xludf.DUMMYFUNCTION("""COMPUTED_VALUE"""),45500.0)</f>
        <v>45500</v>
      </c>
      <c r="C7289" s="266" t="str">
        <f>IFERROR(__xludf.DUMMYFUNCTION("""COMPUTED_VALUE"""),"KERTASARI CIAMIS")</f>
        <v>KERTASARI CIAMIS</v>
      </c>
      <c r="D7289" s="186">
        <f>IFERROR(__xludf.DUMMYFUNCTION("""COMPUTED_VALUE"""),40.0)</f>
        <v>40</v>
      </c>
    </row>
    <row r="7290">
      <c r="A7290" s="178" t="str">
        <f>IFERROR(__xludf.DUMMYFUNCTION("""COMPUTED_VALUE"""),"ITBISA-JUMPER-MF-20CM")</f>
        <v>ITBISA-JUMPER-MF-20CM</v>
      </c>
      <c r="B7290" s="266">
        <f>IFERROR(__xludf.DUMMYFUNCTION("""COMPUTED_VALUE"""),45503.0)</f>
        <v>45503</v>
      </c>
      <c r="C7290" s="266" t="str">
        <f>IFERROR(__xludf.DUMMYFUNCTION("""COMPUTED_VALUE"""),"KYAI KONTONG")</f>
        <v>KYAI KONTONG</v>
      </c>
      <c r="D7290" s="186">
        <f>IFERROR(__xludf.DUMMYFUNCTION("""COMPUTED_VALUE"""),40.0)</f>
        <v>40</v>
      </c>
    </row>
    <row r="7291">
      <c r="A7291" s="178" t="str">
        <f>IFERROR(__xludf.DUMMYFUNCTION("""COMPUTED_VALUE"""),"ITBISA-JUMPER-MF-20CM")</f>
        <v>ITBISA-JUMPER-MF-20CM</v>
      </c>
      <c r="B7291" s="266">
        <f>IFERROR(__xludf.DUMMYFUNCTION("""COMPUTED_VALUE"""),45509.0)</f>
        <v>45509</v>
      </c>
      <c r="C7291" s="266" t="str">
        <f>IFERROR(__xludf.DUMMYFUNCTION("""COMPUTED_VALUE"""),"KYAI KONTONG")</f>
        <v>KYAI KONTONG</v>
      </c>
      <c r="D7291" s="186">
        <f>IFERROR(__xludf.DUMMYFUNCTION("""COMPUTED_VALUE"""),40.0)</f>
        <v>40</v>
      </c>
    </row>
    <row r="7292">
      <c r="A7292" s="178" t="str">
        <f>IFERROR(__xludf.DUMMYFUNCTION("""COMPUTED_VALUE"""),"ITBISA-JUMPER-MF-20CM")</f>
        <v>ITBISA-JUMPER-MF-20CM</v>
      </c>
      <c r="B7292" s="266">
        <f>IFERROR(__xludf.DUMMYFUNCTION("""COMPUTED_VALUE"""),45510.0)</f>
        <v>45510</v>
      </c>
      <c r="C7292" s="266" t="str">
        <f>IFERROR(__xludf.DUMMYFUNCTION("""COMPUTED_VALUE"""),"KYAI KONTONG")</f>
        <v>KYAI KONTONG</v>
      </c>
      <c r="D7292" s="186">
        <f>IFERROR(__xludf.DUMMYFUNCTION("""COMPUTED_VALUE"""),40.0)</f>
        <v>40</v>
      </c>
    </row>
    <row r="7293">
      <c r="A7293" s="178" t="str">
        <f>IFERROR(__xludf.DUMMYFUNCTION("""COMPUTED_VALUE"""),"ITBISA-JUMPER-MF-20CM")</f>
        <v>ITBISA-JUMPER-MF-20CM</v>
      </c>
      <c r="B7293" s="266">
        <f>IFERROR(__xludf.DUMMYFUNCTION("""COMPUTED_VALUE"""),45517.0)</f>
        <v>45517</v>
      </c>
      <c r="C7293" s="266" t="str">
        <f>IFERROR(__xludf.DUMMYFUNCTION("""COMPUTED_VALUE"""),"KYAI KONTONG")</f>
        <v>KYAI KONTONG</v>
      </c>
      <c r="D7293" s="186">
        <f>IFERROR(__xludf.DUMMYFUNCTION("""COMPUTED_VALUE"""),40.0)</f>
        <v>40</v>
      </c>
    </row>
    <row r="7294">
      <c r="A7294" s="178" t="str">
        <f>IFERROR(__xludf.DUMMYFUNCTION("""COMPUTED_VALUE"""),"ITBISA-JUMPER-MF-20CM")</f>
        <v>ITBISA-JUMPER-MF-20CM</v>
      </c>
      <c r="B7294" s="266">
        <f>IFERROR(__xludf.DUMMYFUNCTION("""COMPUTED_VALUE"""),45522.0)</f>
        <v>45522</v>
      </c>
      <c r="C7294" s="266" t="str">
        <f>IFERROR(__xludf.DUMMYFUNCTION("""COMPUTED_VALUE"""),"KYAI KONTONG")</f>
        <v>KYAI KONTONG</v>
      </c>
      <c r="D7294" s="186">
        <f>IFERROR(__xludf.DUMMYFUNCTION("""COMPUTED_VALUE"""),40.0)</f>
        <v>40</v>
      </c>
    </row>
    <row r="7295">
      <c r="A7295" s="178" t="str">
        <f>IFERROR(__xludf.DUMMYFUNCTION("""COMPUTED_VALUE"""),"ITBISA-JUMPER-MF-20CM")</f>
        <v>ITBISA-JUMPER-MF-20CM</v>
      </c>
      <c r="B7295" s="266">
        <f>IFERROR(__xludf.DUMMYFUNCTION("""COMPUTED_VALUE"""),45527.0)</f>
        <v>45527</v>
      </c>
      <c r="C7295" s="266" t="str">
        <f>IFERROR(__xludf.DUMMYFUNCTION("""COMPUTED_VALUE"""),"KERTASARI CIAMIS")</f>
        <v>KERTASARI CIAMIS</v>
      </c>
      <c r="D7295" s="186">
        <f>IFERROR(__xludf.DUMMYFUNCTION("""COMPUTED_VALUE"""),40.0)</f>
        <v>40</v>
      </c>
    </row>
    <row r="7296">
      <c r="A7296" s="178" t="str">
        <f>IFERROR(__xludf.DUMMYFUNCTION("""COMPUTED_VALUE"""),"ITBISA-JUMPER-MF-20CM")</f>
        <v>ITBISA-JUMPER-MF-20CM</v>
      </c>
      <c r="B7296" s="266">
        <f>IFERROR(__xludf.DUMMYFUNCTION("""COMPUTED_VALUE"""),45531.0)</f>
        <v>45531</v>
      </c>
      <c r="C7296" s="266" t="str">
        <f>IFERROR(__xludf.DUMMYFUNCTION("""COMPUTED_VALUE"""),"KYAI KONTONG")</f>
        <v>KYAI KONTONG</v>
      </c>
      <c r="D7296" s="186">
        <f>IFERROR(__xludf.DUMMYFUNCTION("""COMPUTED_VALUE"""),80.0)</f>
        <v>80</v>
      </c>
    </row>
    <row r="7297">
      <c r="A7297" s="178" t="str">
        <f>IFERROR(__xludf.DUMMYFUNCTION("""COMPUTED_VALUE"""),"ITBISA-JUMPER-MF-20CM")</f>
        <v>ITBISA-JUMPER-MF-20CM</v>
      </c>
      <c r="B7297" s="266">
        <f>IFERROR(__xludf.DUMMYFUNCTION("""COMPUTED_VALUE"""),45532.0)</f>
        <v>45532</v>
      </c>
      <c r="C7297" s="266" t="str">
        <f>IFERROR(__xludf.DUMMYFUNCTION("""COMPUTED_VALUE"""),"KERTASARI CIAMIS")</f>
        <v>KERTASARI CIAMIS</v>
      </c>
      <c r="D7297" s="186">
        <f>IFERROR(__xludf.DUMMYFUNCTION("""COMPUTED_VALUE"""),240.0)</f>
        <v>240</v>
      </c>
    </row>
    <row r="7298">
      <c r="A7298" s="178" t="str">
        <f>IFERROR(__xludf.DUMMYFUNCTION("""COMPUTED_VALUE"""),"ITBISA-JUMPER-MF-20CM")</f>
        <v>ITBISA-JUMPER-MF-20CM</v>
      </c>
      <c r="B7298" s="266">
        <f>IFERROR(__xludf.DUMMYFUNCTION("""COMPUTED_VALUE"""),45534.0)</f>
        <v>45534</v>
      </c>
      <c r="C7298" s="266" t="str">
        <f>IFERROR(__xludf.DUMMYFUNCTION("""COMPUTED_VALUE"""),"KERTASARI CIAMIS")</f>
        <v>KERTASARI CIAMIS</v>
      </c>
      <c r="D7298" s="186">
        <f>IFERROR(__xludf.DUMMYFUNCTION("""COMPUTED_VALUE"""),240.0)</f>
        <v>240</v>
      </c>
    </row>
    <row r="7299">
      <c r="A7299" s="178" t="str">
        <f>IFERROR(__xludf.DUMMYFUNCTION("""COMPUTED_VALUE"""),"ITBISA-JUMPER-MF-20CM")</f>
        <v>ITBISA-JUMPER-MF-20CM</v>
      </c>
      <c r="B7299" s="266">
        <f>IFERROR(__xludf.DUMMYFUNCTION("""COMPUTED_VALUE"""),45534.0)</f>
        <v>45534</v>
      </c>
      <c r="C7299" s="266" t="str">
        <f>IFERROR(__xludf.DUMMYFUNCTION("""COMPUTED_VALUE"""),"KYAI KONTONG")</f>
        <v>KYAI KONTONG</v>
      </c>
      <c r="D7299" s="186">
        <f>IFERROR(__xludf.DUMMYFUNCTION("""COMPUTED_VALUE"""),80.0)</f>
        <v>80</v>
      </c>
    </row>
    <row r="7300">
      <c r="A7300" s="178" t="str">
        <f>IFERROR(__xludf.DUMMYFUNCTION("""COMPUTED_VALUE"""),"ITBISA-JUMPER-MF-20CM")</f>
        <v>ITBISA-JUMPER-MF-20CM</v>
      </c>
      <c r="B7300" s="266">
        <f>IFERROR(__xludf.DUMMYFUNCTION("""COMPUTED_VALUE"""),45540.0)</f>
        <v>45540</v>
      </c>
      <c r="C7300" s="266" t="str">
        <f>IFERROR(__xludf.DUMMYFUNCTION("""COMPUTED_VALUE"""),"KERTASARI CIAMIS")</f>
        <v>KERTASARI CIAMIS</v>
      </c>
      <c r="D7300" s="186">
        <f>IFERROR(__xludf.DUMMYFUNCTION("""COMPUTED_VALUE"""),120.0)</f>
        <v>120</v>
      </c>
    </row>
    <row r="7301">
      <c r="A7301" s="178" t="str">
        <f>IFERROR(__xludf.DUMMYFUNCTION("""COMPUTED_VALUE"""),"ITBISA-JUMPER-MF-20CM")</f>
        <v>ITBISA-JUMPER-MF-20CM</v>
      </c>
      <c r="B7301" s="266">
        <f>IFERROR(__xludf.DUMMYFUNCTION("""COMPUTED_VALUE"""),45543.0)</f>
        <v>45543</v>
      </c>
      <c r="C7301" s="266" t="str">
        <f>IFERROR(__xludf.DUMMYFUNCTION("""COMPUTED_VALUE"""),"KERTASARI CIAMIS")</f>
        <v>KERTASARI CIAMIS</v>
      </c>
      <c r="D7301" s="186">
        <f>IFERROR(__xludf.DUMMYFUNCTION("""COMPUTED_VALUE"""),240.0)</f>
        <v>240</v>
      </c>
    </row>
    <row r="7302">
      <c r="A7302" s="178" t="str">
        <f>IFERROR(__xludf.DUMMYFUNCTION("""COMPUTED_VALUE"""),"ITBISA-JUMPER-MF-20CM")</f>
        <v>ITBISA-JUMPER-MF-20CM</v>
      </c>
      <c r="B7302" s="266">
        <f>IFERROR(__xludf.DUMMYFUNCTION("""COMPUTED_VALUE"""),45550.0)</f>
        <v>45550</v>
      </c>
      <c r="C7302" s="266" t="str">
        <f>IFERROR(__xludf.DUMMYFUNCTION("""COMPUTED_VALUE"""),"KYAI KONTONG")</f>
        <v>KYAI KONTONG</v>
      </c>
      <c r="D7302" s="186">
        <f>IFERROR(__xludf.DUMMYFUNCTION("""COMPUTED_VALUE"""),40.0)</f>
        <v>40</v>
      </c>
    </row>
    <row r="7303">
      <c r="A7303" s="178" t="str">
        <f>IFERROR(__xludf.DUMMYFUNCTION("""COMPUTED_VALUE"""),"ITBISA-JUMPER-MF-20CM")</f>
        <v>ITBISA-JUMPER-MF-20CM</v>
      </c>
      <c r="B7303" s="266">
        <f>IFERROR(__xludf.DUMMYFUNCTION("""COMPUTED_VALUE"""),45552.0)</f>
        <v>45552</v>
      </c>
      <c r="C7303" s="266" t="str">
        <f>IFERROR(__xludf.DUMMYFUNCTION("""COMPUTED_VALUE"""),"KYAI KONTONG")</f>
        <v>KYAI KONTONG</v>
      </c>
      <c r="D7303" s="186">
        <f>IFERROR(__xludf.DUMMYFUNCTION("""COMPUTED_VALUE"""),40.0)</f>
        <v>40</v>
      </c>
    </row>
    <row r="7304">
      <c r="A7304" s="178" t="str">
        <f>IFERROR(__xludf.DUMMYFUNCTION("""COMPUTED_VALUE"""),"ITBISA-JUMPER-MF-20CM")</f>
        <v>ITBISA-JUMPER-MF-20CM</v>
      </c>
      <c r="B7304" s="266">
        <f>IFERROR(__xludf.DUMMYFUNCTION("""COMPUTED_VALUE"""),45552.0)</f>
        <v>45552</v>
      </c>
      <c r="C7304" s="266" t="str">
        <f>IFERROR(__xludf.DUMMYFUNCTION("""COMPUTED_VALUE"""),"KYAI KONTONG")</f>
        <v>KYAI KONTONG</v>
      </c>
      <c r="D7304" s="186">
        <f>IFERROR(__xludf.DUMMYFUNCTION("""COMPUTED_VALUE"""),240.0)</f>
        <v>240</v>
      </c>
    </row>
    <row r="7305">
      <c r="A7305" s="178" t="str">
        <f>IFERROR(__xludf.DUMMYFUNCTION("""COMPUTED_VALUE"""),"ITBISA-JUMPER-MF-20CM")</f>
        <v>ITBISA-JUMPER-MF-20CM</v>
      </c>
      <c r="B7305" s="266">
        <f>IFERROR(__xludf.DUMMYFUNCTION("""COMPUTED_VALUE"""),45575.0)</f>
        <v>45575</v>
      </c>
      <c r="C7305" s="266" t="str">
        <f>IFERROR(__xludf.DUMMYFUNCTION("""COMPUTED_VALUE"""),"KYAI KONTONG")</f>
        <v>KYAI KONTONG</v>
      </c>
      <c r="D7305" s="186">
        <f>IFERROR(__xludf.DUMMYFUNCTION("""COMPUTED_VALUE"""),40.0)</f>
        <v>40</v>
      </c>
    </row>
    <row r="7306">
      <c r="A7306" s="178" t="str">
        <f>IFERROR(__xludf.DUMMYFUNCTION("""COMPUTED_VALUE"""),"ITBISA-JUMPER-MF-20CM")</f>
        <v>ITBISA-JUMPER-MF-20CM</v>
      </c>
      <c r="B7306" s="266">
        <f>IFERROR(__xludf.DUMMYFUNCTION("""COMPUTED_VALUE"""),45588.0)</f>
        <v>45588</v>
      </c>
      <c r="C7306" s="266" t="str">
        <f>IFERROR(__xludf.DUMMYFUNCTION("""COMPUTED_VALUE"""),"KERTASARI CIAMIS")</f>
        <v>KERTASARI CIAMIS</v>
      </c>
      <c r="D7306" s="186">
        <f>IFERROR(__xludf.DUMMYFUNCTION("""COMPUTED_VALUE"""),40.0)</f>
        <v>40</v>
      </c>
    </row>
    <row r="7307">
      <c r="A7307" s="178" t="str">
        <f>IFERROR(__xludf.DUMMYFUNCTION("""COMPUTED_VALUE"""),"ITBISA-JUMPER-MF-20CM")</f>
        <v>ITBISA-JUMPER-MF-20CM</v>
      </c>
      <c r="B7307" s="266">
        <f>IFERROR(__xludf.DUMMYFUNCTION("""COMPUTED_VALUE"""),45597.0)</f>
        <v>45597</v>
      </c>
      <c r="C7307" s="266" t="str">
        <f>IFERROR(__xludf.DUMMYFUNCTION("""COMPUTED_VALUE"""),"KERTASARI CIAMIS")</f>
        <v>KERTASARI CIAMIS</v>
      </c>
      <c r="D7307" s="186">
        <f>IFERROR(__xludf.DUMMYFUNCTION("""COMPUTED_VALUE"""),80.0)</f>
        <v>80</v>
      </c>
    </row>
    <row r="7308">
      <c r="A7308" s="178" t="str">
        <f>IFERROR(__xludf.DUMMYFUNCTION("""COMPUTED_VALUE"""),"ITBISA-JUMPER-MF-20CM")</f>
        <v>ITBISA-JUMPER-MF-20CM</v>
      </c>
      <c r="B7308" s="266">
        <f>IFERROR(__xludf.DUMMYFUNCTION("""COMPUTED_VALUE"""),45603.0)</f>
        <v>45603</v>
      </c>
      <c r="C7308" s="266" t="str">
        <f>IFERROR(__xludf.DUMMYFUNCTION("""COMPUTED_VALUE"""),"KERTASARI CIAMIS")</f>
        <v>KERTASARI CIAMIS</v>
      </c>
      <c r="D7308" s="186">
        <f>IFERROR(__xludf.DUMMYFUNCTION("""COMPUTED_VALUE"""),40.0)</f>
        <v>40</v>
      </c>
    </row>
    <row r="7309">
      <c r="A7309" s="178" t="str">
        <f>IFERROR(__xludf.DUMMYFUNCTION("""COMPUTED_VALUE"""),"ITBISA-JUMPER-MF-20CM")</f>
        <v>ITBISA-JUMPER-MF-20CM</v>
      </c>
      <c r="B7309" s="266">
        <f>IFERROR(__xludf.DUMMYFUNCTION("""COMPUTED_VALUE"""),45607.0)</f>
        <v>45607</v>
      </c>
      <c r="C7309" s="266" t="str">
        <f>IFERROR(__xludf.DUMMYFUNCTION("""COMPUTED_VALUE"""),"KERTASARI CIAMIS")</f>
        <v>KERTASARI CIAMIS</v>
      </c>
      <c r="D7309" s="186">
        <f>IFERROR(__xludf.DUMMYFUNCTION("""COMPUTED_VALUE"""),40.0)</f>
        <v>40</v>
      </c>
    </row>
    <row r="7310">
      <c r="A7310" s="178" t="str">
        <f>IFERROR(__xludf.DUMMYFUNCTION("""COMPUTED_VALUE"""),"ITBISA-JUMPER-MF-20CM")</f>
        <v>ITBISA-JUMPER-MF-20CM</v>
      </c>
      <c r="B7310" s="266">
        <f>IFERROR(__xludf.DUMMYFUNCTION("""COMPUTED_VALUE"""),45607.0)</f>
        <v>45607</v>
      </c>
      <c r="C7310" s="266" t="str">
        <f>IFERROR(__xludf.DUMMYFUNCTION("""COMPUTED_VALUE"""),"KYAI KONTONG")</f>
        <v>KYAI KONTONG</v>
      </c>
      <c r="D7310" s="186">
        <f>IFERROR(__xludf.DUMMYFUNCTION("""COMPUTED_VALUE"""),40.0)</f>
        <v>40</v>
      </c>
    </row>
    <row r="7311">
      <c r="A7311" s="178" t="str">
        <f>IFERROR(__xludf.DUMMYFUNCTION("""COMPUTED_VALUE"""),"ITBISA-JUMPER-MF-20CM")</f>
        <v>ITBISA-JUMPER-MF-20CM</v>
      </c>
      <c r="B7311" s="266">
        <f>IFERROR(__xludf.DUMMYFUNCTION("""COMPUTED_VALUE"""),45609.0)</f>
        <v>45609</v>
      </c>
      <c r="C7311" s="266" t="str">
        <f>IFERROR(__xludf.DUMMYFUNCTION("""COMPUTED_VALUE"""),"KYAI KONTONG")</f>
        <v>KYAI KONTONG</v>
      </c>
      <c r="D7311" s="186">
        <f>IFERROR(__xludf.DUMMYFUNCTION("""COMPUTED_VALUE"""),40.0)</f>
        <v>40</v>
      </c>
    </row>
    <row r="7312">
      <c r="A7312" s="178" t="str">
        <f>IFERROR(__xludf.DUMMYFUNCTION("""COMPUTED_VALUE"""),"ITBISA-JUMPER-MF-20CM")</f>
        <v>ITBISA-JUMPER-MF-20CM</v>
      </c>
      <c r="B7312" s="266">
        <f>IFERROR(__xludf.DUMMYFUNCTION("""COMPUTED_VALUE"""),45611.0)</f>
        <v>45611</v>
      </c>
      <c r="C7312" s="266" t="str">
        <f>IFERROR(__xludf.DUMMYFUNCTION("""COMPUTED_VALUE"""),"KYAI KONTONG")</f>
        <v>KYAI KONTONG</v>
      </c>
      <c r="D7312" s="186">
        <f>IFERROR(__xludf.DUMMYFUNCTION("""COMPUTED_VALUE"""),40.0)</f>
        <v>40</v>
      </c>
    </row>
    <row r="7313">
      <c r="A7313" s="178" t="str">
        <f>IFERROR(__xludf.DUMMYFUNCTION("""COMPUTED_VALUE"""),"ITBISA-JUMPER-MF-20CM")</f>
        <v>ITBISA-JUMPER-MF-20CM</v>
      </c>
      <c r="B7313" s="266">
        <f>IFERROR(__xludf.DUMMYFUNCTION("""COMPUTED_VALUE"""),45614.0)</f>
        <v>45614</v>
      </c>
      <c r="C7313" s="266" t="str">
        <f>IFERROR(__xludf.DUMMYFUNCTION("""COMPUTED_VALUE"""),"KERTASARI CIAMIS")</f>
        <v>KERTASARI CIAMIS</v>
      </c>
      <c r="D7313" s="186">
        <f>IFERROR(__xludf.DUMMYFUNCTION("""COMPUTED_VALUE"""),40.0)</f>
        <v>40</v>
      </c>
    </row>
    <row r="7314">
      <c r="A7314" s="178" t="str">
        <f>IFERROR(__xludf.DUMMYFUNCTION("""COMPUTED_VALUE"""),"ITBISA-JUMPER-MF-20CM")</f>
        <v>ITBISA-JUMPER-MF-20CM</v>
      </c>
      <c r="B7314" s="266">
        <f>IFERROR(__xludf.DUMMYFUNCTION("""COMPUTED_VALUE"""),45616.0)</f>
        <v>45616</v>
      </c>
      <c r="C7314" s="266" t="str">
        <f>IFERROR(__xludf.DUMMYFUNCTION("""COMPUTED_VALUE"""),"KERTASARI CIAMIS")</f>
        <v>KERTASARI CIAMIS</v>
      </c>
      <c r="D7314" s="186">
        <f>IFERROR(__xludf.DUMMYFUNCTION("""COMPUTED_VALUE"""),40.0)</f>
        <v>40</v>
      </c>
    </row>
    <row r="7315">
      <c r="A7315" s="178" t="str">
        <f>IFERROR(__xludf.DUMMYFUNCTION("""COMPUTED_VALUE"""),"ITBISA-JUMPER-MF-20CM")</f>
        <v>ITBISA-JUMPER-MF-20CM</v>
      </c>
      <c r="B7315" s="266">
        <f>IFERROR(__xludf.DUMMYFUNCTION("""COMPUTED_VALUE"""),45617.0)</f>
        <v>45617</v>
      </c>
      <c r="C7315" s="266" t="str">
        <f>IFERROR(__xludf.DUMMYFUNCTION("""COMPUTED_VALUE"""),"KERTASARI CIAMIS")</f>
        <v>KERTASARI CIAMIS</v>
      </c>
      <c r="D7315" s="186">
        <f>IFERROR(__xludf.DUMMYFUNCTION("""COMPUTED_VALUE"""),160.0)</f>
        <v>160</v>
      </c>
    </row>
    <row r="7316">
      <c r="A7316" s="178" t="str">
        <f>IFERROR(__xludf.DUMMYFUNCTION("""COMPUTED_VALUE"""),"ITBISA-JUMPER-MF-20CM")</f>
        <v>ITBISA-JUMPER-MF-20CM</v>
      </c>
      <c r="B7316" s="266">
        <f>IFERROR(__xludf.DUMMYFUNCTION("""COMPUTED_VALUE"""),45619.0)</f>
        <v>45619</v>
      </c>
      <c r="C7316" s="266" t="str">
        <f>IFERROR(__xludf.DUMMYFUNCTION("""COMPUTED_VALUE"""),"KERTASARI CIAMIS")</f>
        <v>KERTASARI CIAMIS</v>
      </c>
      <c r="D7316" s="186">
        <f>IFERROR(__xludf.DUMMYFUNCTION("""COMPUTED_VALUE"""),40.0)</f>
        <v>40</v>
      </c>
    </row>
    <row r="7317">
      <c r="A7317" s="178" t="str">
        <f>IFERROR(__xludf.DUMMYFUNCTION("""COMPUTED_VALUE"""),"ITBISA-JUMPER-MF-20CM")</f>
        <v>ITBISA-JUMPER-MF-20CM</v>
      </c>
      <c r="B7317" s="266">
        <f>IFERROR(__xludf.DUMMYFUNCTION("""COMPUTED_VALUE"""),45621.0)</f>
        <v>45621</v>
      </c>
      <c r="C7317" s="266" t="str">
        <f>IFERROR(__xludf.DUMMYFUNCTION("""COMPUTED_VALUE"""),"KERTASARI CIAMIS")</f>
        <v>KERTASARI CIAMIS</v>
      </c>
      <c r="D7317" s="186">
        <f>IFERROR(__xludf.DUMMYFUNCTION("""COMPUTED_VALUE"""),80.0)</f>
        <v>80</v>
      </c>
    </row>
    <row r="7318">
      <c r="A7318" s="178" t="str">
        <f>IFERROR(__xludf.DUMMYFUNCTION("""COMPUTED_VALUE"""),"ITBISA-JUMPER-MF-20CM")</f>
        <v>ITBISA-JUMPER-MF-20CM</v>
      </c>
      <c r="B7318" s="266">
        <f>IFERROR(__xludf.DUMMYFUNCTION("""COMPUTED_VALUE"""),45622.0)</f>
        <v>45622</v>
      </c>
      <c r="C7318" s="266" t="str">
        <f>IFERROR(__xludf.DUMMYFUNCTION("""COMPUTED_VALUE"""),"KYAI KONTONG")</f>
        <v>KYAI KONTONG</v>
      </c>
      <c r="D7318" s="186">
        <f>IFERROR(__xludf.DUMMYFUNCTION("""COMPUTED_VALUE"""),40.0)</f>
        <v>40</v>
      </c>
    </row>
    <row r="7319">
      <c r="A7319" s="178" t="str">
        <f>IFERROR(__xludf.DUMMYFUNCTION("""COMPUTED_VALUE"""),"ITBISA-JUMPER-MF-20CM")</f>
        <v>ITBISA-JUMPER-MF-20CM</v>
      </c>
      <c r="B7319" s="266">
        <f>IFERROR(__xludf.DUMMYFUNCTION("""COMPUTED_VALUE"""),45631.0)</f>
        <v>45631</v>
      </c>
      <c r="C7319" s="266" t="str">
        <f>IFERROR(__xludf.DUMMYFUNCTION("""COMPUTED_VALUE"""),"KYAI KONTONG")</f>
        <v>KYAI KONTONG</v>
      </c>
      <c r="D7319" s="186">
        <f>IFERROR(__xludf.DUMMYFUNCTION("""COMPUTED_VALUE"""),40.0)</f>
        <v>40</v>
      </c>
    </row>
    <row r="7320">
      <c r="A7320" s="178" t="str">
        <f>IFERROR(__xludf.DUMMYFUNCTION("""COMPUTED_VALUE"""),"ITBISA-JUMPER-MF-20CM")</f>
        <v>ITBISA-JUMPER-MF-20CM</v>
      </c>
      <c r="B7320" s="266">
        <f>IFERROR(__xludf.DUMMYFUNCTION("""COMPUTED_VALUE"""),45633.0)</f>
        <v>45633</v>
      </c>
      <c r="C7320" s="266" t="str">
        <f>IFERROR(__xludf.DUMMYFUNCTION("""COMPUTED_VALUE"""),"KYAI KONTONG")</f>
        <v>KYAI KONTONG</v>
      </c>
      <c r="D7320" s="186">
        <f>IFERROR(__xludf.DUMMYFUNCTION("""COMPUTED_VALUE"""),40.0)</f>
        <v>40</v>
      </c>
    </row>
    <row r="7321">
      <c r="A7321" s="178" t="str">
        <f>IFERROR(__xludf.DUMMYFUNCTION("""COMPUTED_VALUE"""),"ITBISA-JUMPER-MF-20CM")</f>
        <v>ITBISA-JUMPER-MF-20CM</v>
      </c>
      <c r="B7321" s="266">
        <f>IFERROR(__xludf.DUMMYFUNCTION("""COMPUTED_VALUE"""),45635.0)</f>
        <v>45635</v>
      </c>
      <c r="C7321" s="266" t="str">
        <f>IFERROR(__xludf.DUMMYFUNCTION("""COMPUTED_VALUE"""),"KYAI KONTONG")</f>
        <v>KYAI KONTONG</v>
      </c>
      <c r="D7321" s="186">
        <f>IFERROR(__xludf.DUMMYFUNCTION("""COMPUTED_VALUE"""),40.0)</f>
        <v>40</v>
      </c>
    </row>
    <row r="7322">
      <c r="A7322" s="178" t="str">
        <f>IFERROR(__xludf.DUMMYFUNCTION("""COMPUTED_VALUE"""),"ITBISA-JUMPER-MF-20CM")</f>
        <v>ITBISA-JUMPER-MF-20CM</v>
      </c>
      <c r="B7322" s="266">
        <f>IFERROR(__xludf.DUMMYFUNCTION("""COMPUTED_VALUE"""),45638.0)</f>
        <v>45638</v>
      </c>
      <c r="C7322" s="266" t="str">
        <f>IFERROR(__xludf.DUMMYFUNCTION("""COMPUTED_VALUE"""),"KYAI KONTONG")</f>
        <v>KYAI KONTONG</v>
      </c>
      <c r="D7322" s="186">
        <f>IFERROR(__xludf.DUMMYFUNCTION("""COMPUTED_VALUE"""),40.0)</f>
        <v>40</v>
      </c>
    </row>
    <row r="7323">
      <c r="A7323" s="178" t="str">
        <f>IFERROR(__xludf.DUMMYFUNCTION("""COMPUTED_VALUE"""),"ITBISA-JUMPER-MF-20CM")</f>
        <v>ITBISA-JUMPER-MF-20CM</v>
      </c>
      <c r="B7323" s="266">
        <f>IFERROR(__xludf.DUMMYFUNCTION("""COMPUTED_VALUE"""),45643.0)</f>
        <v>45643</v>
      </c>
      <c r="C7323" s="266" t="str">
        <f>IFERROR(__xludf.DUMMYFUNCTION("""COMPUTED_VALUE"""),"KYAI KONTONG")</f>
        <v>KYAI KONTONG</v>
      </c>
      <c r="D7323" s="186">
        <f>IFERROR(__xludf.DUMMYFUNCTION("""COMPUTED_VALUE"""),400.0)</f>
        <v>400</v>
      </c>
    </row>
    <row r="7324">
      <c r="A7324" s="178" t="str">
        <f>IFERROR(__xludf.DUMMYFUNCTION("""COMPUTED_VALUE"""),"ITBISA-JUMPER-MF-20CM")</f>
        <v>ITBISA-JUMPER-MF-20CM</v>
      </c>
      <c r="B7324" s="266">
        <f>IFERROR(__xludf.DUMMYFUNCTION("""COMPUTED_VALUE"""),45645.0)</f>
        <v>45645</v>
      </c>
      <c r="C7324" s="266" t="str">
        <f>IFERROR(__xludf.DUMMYFUNCTION("""COMPUTED_VALUE"""),"KYAI KONTONG")</f>
        <v>KYAI KONTONG</v>
      </c>
      <c r="D7324" s="186">
        <f>IFERROR(__xludf.DUMMYFUNCTION("""COMPUTED_VALUE"""),40.0)</f>
        <v>40</v>
      </c>
    </row>
    <row r="7325">
      <c r="A7325" s="178" t="str">
        <f>IFERROR(__xludf.DUMMYFUNCTION("""COMPUTED_VALUE"""),"ITBISA-JUMPER-MF-20CM")</f>
        <v>ITBISA-JUMPER-MF-20CM</v>
      </c>
      <c r="B7325" s="266">
        <f>IFERROR(__xludf.DUMMYFUNCTION("""COMPUTED_VALUE"""),45656.0)</f>
        <v>45656</v>
      </c>
      <c r="C7325" s="266" t="str">
        <f>IFERROR(__xludf.DUMMYFUNCTION("""COMPUTED_VALUE"""),"KYAI KONTONG")</f>
        <v>KYAI KONTONG</v>
      </c>
      <c r="D7325" s="186">
        <f>IFERROR(__xludf.DUMMYFUNCTION("""COMPUTED_VALUE"""),40.0)</f>
        <v>40</v>
      </c>
    </row>
    <row r="7326">
      <c r="A7326" s="178" t="str">
        <f>IFERROR(__xludf.DUMMYFUNCTION("""COMPUTED_VALUE"""),"ITBISA-JUMPER-MF-20CM")</f>
        <v>ITBISA-JUMPER-MF-20CM</v>
      </c>
      <c r="B7326" s="266">
        <f>IFERROR(__xludf.DUMMYFUNCTION("""COMPUTED_VALUE"""),45674.0)</f>
        <v>45674</v>
      </c>
      <c r="C7326" s="266" t="str">
        <f>IFERROR(__xludf.DUMMYFUNCTION("""COMPUTED_VALUE"""),"KYAI KONTONG")</f>
        <v>KYAI KONTONG</v>
      </c>
      <c r="D7326" s="186">
        <f>IFERROR(__xludf.DUMMYFUNCTION("""COMPUTED_VALUE"""),40.0)</f>
        <v>40</v>
      </c>
    </row>
    <row r="7327">
      <c r="A7327" s="178" t="str">
        <f>IFERROR(__xludf.DUMMYFUNCTION("""COMPUTED_VALUE"""),"ITBISA-JUMPER-MF-20CM")</f>
        <v>ITBISA-JUMPER-MF-20CM</v>
      </c>
      <c r="B7327" s="266">
        <f>IFERROR(__xludf.DUMMYFUNCTION("""COMPUTED_VALUE"""),45683.0)</f>
        <v>45683</v>
      </c>
      <c r="C7327" s="266" t="str">
        <f>IFERROR(__xludf.DUMMYFUNCTION("""COMPUTED_VALUE"""),"KYAI KONTONG")</f>
        <v>KYAI KONTONG</v>
      </c>
      <c r="D7327" s="186">
        <f>IFERROR(__xludf.DUMMYFUNCTION("""COMPUTED_VALUE"""),40.0)</f>
        <v>40</v>
      </c>
    </row>
    <row r="7328">
      <c r="A7328" s="178" t="str">
        <f>IFERROR(__xludf.DUMMYFUNCTION("""COMPUTED_VALUE"""),"ITBISA-JUMPER-MF-20CM")</f>
        <v>ITBISA-JUMPER-MF-20CM</v>
      </c>
      <c r="B7328" s="266">
        <f>IFERROR(__xludf.DUMMYFUNCTION("""COMPUTED_VALUE"""),45714.0)</f>
        <v>45714</v>
      </c>
      <c r="C7328" s="266" t="str">
        <f>IFERROR(__xludf.DUMMYFUNCTION("""COMPUTED_VALUE"""),"KERTASARI CIAMIS")</f>
        <v>KERTASARI CIAMIS</v>
      </c>
      <c r="D7328" s="186">
        <f>IFERROR(__xludf.DUMMYFUNCTION("""COMPUTED_VALUE"""),40.0)</f>
        <v>40</v>
      </c>
    </row>
    <row r="7329">
      <c r="A7329" s="178" t="str">
        <f>IFERROR(__xludf.DUMMYFUNCTION("""COMPUTED_VALUE"""),"ITBISA-JUMPER-MF-20CM")</f>
        <v>ITBISA-JUMPER-MF-20CM</v>
      </c>
      <c r="B7329" s="266">
        <f>IFERROR(__xludf.DUMMYFUNCTION("""COMPUTED_VALUE"""),45717.0)</f>
        <v>45717</v>
      </c>
      <c r="C7329" s="266" t="str">
        <f>IFERROR(__xludf.DUMMYFUNCTION("""COMPUTED_VALUE"""),"KERTASARI CIAMIS")</f>
        <v>KERTASARI CIAMIS</v>
      </c>
      <c r="D7329" s="186">
        <f>IFERROR(__xludf.DUMMYFUNCTION("""COMPUTED_VALUE"""),40.0)</f>
        <v>40</v>
      </c>
    </row>
    <row r="7330">
      <c r="A7330" s="178" t="str">
        <f>IFERROR(__xludf.DUMMYFUNCTION("""COMPUTED_VALUE"""),"ITBISA-JUMPER-MF-20CM")</f>
        <v>ITBISA-JUMPER-MF-20CM</v>
      </c>
      <c r="B7330" s="266">
        <f>IFERROR(__xludf.DUMMYFUNCTION("""COMPUTED_VALUE"""),45727.0)</f>
        <v>45727</v>
      </c>
      <c r="C7330" s="266" t="str">
        <f>IFERROR(__xludf.DUMMYFUNCTION("""COMPUTED_VALUE"""),"KERTASARI CIAMIS")</f>
        <v>KERTASARI CIAMIS</v>
      </c>
      <c r="D7330" s="186">
        <f>IFERROR(__xludf.DUMMYFUNCTION("""COMPUTED_VALUE"""),80.0)</f>
        <v>80</v>
      </c>
    </row>
    <row r="7331">
      <c r="A7331" s="178" t="str">
        <f>IFERROR(__xludf.DUMMYFUNCTION("""COMPUTED_VALUE"""),"ITBISA-JUMPER-MF-20CM")</f>
        <v>ITBISA-JUMPER-MF-20CM</v>
      </c>
      <c r="B7331" s="266">
        <f>IFERROR(__xludf.DUMMYFUNCTION("""COMPUTED_VALUE"""),45730.0)</f>
        <v>45730</v>
      </c>
      <c r="C7331" s="266" t="str">
        <f>IFERROR(__xludf.DUMMYFUNCTION("""COMPUTED_VALUE"""),"KERTASARI CIAMIS")</f>
        <v>KERTASARI CIAMIS</v>
      </c>
      <c r="D7331" s="186">
        <f>IFERROR(__xludf.DUMMYFUNCTION("""COMPUTED_VALUE"""),40.0)</f>
        <v>40</v>
      </c>
    </row>
    <row r="7332">
      <c r="A7332" s="178" t="str">
        <f>IFERROR(__xludf.DUMMYFUNCTION("""COMPUTED_VALUE"""),"ITBISA-JUMPER-MF-20CM")</f>
        <v>ITBISA-JUMPER-MF-20CM</v>
      </c>
      <c r="B7332" s="266">
        <f>IFERROR(__xludf.DUMMYFUNCTION("""COMPUTED_VALUE"""),45737.0)</f>
        <v>45737</v>
      </c>
      <c r="C7332" s="266" t="str">
        <f>IFERROR(__xludf.DUMMYFUNCTION("""COMPUTED_VALUE"""),"KERTASARI CIAMIS")</f>
        <v>KERTASARI CIAMIS</v>
      </c>
      <c r="D7332" s="186">
        <f>IFERROR(__xludf.DUMMYFUNCTION("""COMPUTED_VALUE"""),40.0)</f>
        <v>40</v>
      </c>
    </row>
    <row r="7333">
      <c r="A7333" s="178" t="str">
        <f>IFERROR(__xludf.DUMMYFUNCTION("""COMPUTED_VALUE"""),"ITBISA-JUMPER-MF-20CM")</f>
        <v>ITBISA-JUMPER-MF-20CM</v>
      </c>
      <c r="B7333" s="266">
        <f>IFERROR(__xludf.DUMMYFUNCTION("""COMPUTED_VALUE"""),45738.0)</f>
        <v>45738</v>
      </c>
      <c r="C7333" s="266" t="str">
        <f>IFERROR(__xludf.DUMMYFUNCTION("""COMPUTED_VALUE"""),"KERTASARI CIAMIS")</f>
        <v>KERTASARI CIAMIS</v>
      </c>
      <c r="D7333" s="186">
        <f>IFERROR(__xludf.DUMMYFUNCTION("""COMPUTED_VALUE"""),40.0)</f>
        <v>40</v>
      </c>
    </row>
    <row r="7334">
      <c r="A7334" s="178" t="str">
        <f>IFERROR(__xludf.DUMMYFUNCTION("""COMPUTED_VALUE"""),"ITBISA-JUMPER-MF-20CM")</f>
        <v>ITBISA-JUMPER-MF-20CM</v>
      </c>
      <c r="B7334" s="266">
        <f>IFERROR(__xludf.DUMMYFUNCTION("""COMPUTED_VALUE"""),45738.0)</f>
        <v>45738</v>
      </c>
      <c r="C7334" s="266" t="str">
        <f>IFERROR(__xludf.DUMMYFUNCTION("""COMPUTED_VALUE"""),"KERTASARI CIAMIS")</f>
        <v>KERTASARI CIAMIS</v>
      </c>
      <c r="D7334" s="186">
        <f>IFERROR(__xludf.DUMMYFUNCTION("""COMPUTED_VALUE"""),80.0)</f>
        <v>80</v>
      </c>
    </row>
    <row r="7335">
      <c r="A7335" s="178" t="str">
        <f>IFERROR(__xludf.DUMMYFUNCTION("""COMPUTED_VALUE"""),"ITBISA-JUMPER-MF-20CM")</f>
        <v>ITBISA-JUMPER-MF-20CM</v>
      </c>
      <c r="B7335" s="266">
        <f>IFERROR(__xludf.DUMMYFUNCTION("""COMPUTED_VALUE"""),45742.0)</f>
        <v>45742</v>
      </c>
      <c r="C7335" s="266" t="str">
        <f>IFERROR(__xludf.DUMMYFUNCTION("""COMPUTED_VALUE"""),"KERTASARI CIAMIS")</f>
        <v>KERTASARI CIAMIS</v>
      </c>
      <c r="D7335" s="186">
        <f>IFERROR(__xludf.DUMMYFUNCTION("""COMPUTED_VALUE"""),120.0)</f>
        <v>120</v>
      </c>
    </row>
    <row r="7336">
      <c r="A7336" s="178" t="str">
        <f>IFERROR(__xludf.DUMMYFUNCTION("""COMPUTED_VALUE"""),"ITBISA-JUMPER-MF-20CM")</f>
        <v>ITBISA-JUMPER-MF-20CM</v>
      </c>
      <c r="B7336" s="266">
        <f>IFERROR(__xludf.DUMMYFUNCTION("""COMPUTED_VALUE"""),45747.0)</f>
        <v>45747</v>
      </c>
      <c r="C7336" s="266" t="str">
        <f>IFERROR(__xludf.DUMMYFUNCTION("""COMPUTED_VALUE"""),"KERTASARI CIAMIS")</f>
        <v>KERTASARI CIAMIS</v>
      </c>
      <c r="D7336" s="186">
        <f>IFERROR(__xludf.DUMMYFUNCTION("""COMPUTED_VALUE"""),40.0)</f>
        <v>40</v>
      </c>
    </row>
    <row r="7337">
      <c r="A7337" s="178" t="str">
        <f>IFERROR(__xludf.DUMMYFUNCTION("""COMPUTED_VALUE"""),"ITBISA-JUMPER-MF-20CM")</f>
        <v>ITBISA-JUMPER-MF-20CM</v>
      </c>
      <c r="B7337" s="266">
        <f>IFERROR(__xludf.DUMMYFUNCTION("""COMPUTED_VALUE"""),45750.0)</f>
        <v>45750</v>
      </c>
      <c r="C7337" s="266" t="str">
        <f>IFERROR(__xludf.DUMMYFUNCTION("""COMPUTED_VALUE"""),"KERTASARI CIAMIS")</f>
        <v>KERTASARI CIAMIS</v>
      </c>
      <c r="D7337" s="186">
        <f>IFERROR(__xludf.DUMMYFUNCTION("""COMPUTED_VALUE"""),40.0)</f>
        <v>40</v>
      </c>
    </row>
    <row r="7338">
      <c r="A7338" s="178" t="str">
        <f>IFERROR(__xludf.DUMMYFUNCTION("""COMPUTED_VALUE"""),"ITBISA-JUMPER-MF-20CM")</f>
        <v>ITBISA-JUMPER-MF-20CM</v>
      </c>
      <c r="B7338" s="266">
        <f>IFERROR(__xludf.DUMMYFUNCTION("""COMPUTED_VALUE"""),45751.0)</f>
        <v>45751</v>
      </c>
      <c r="C7338" s="266" t="str">
        <f>IFERROR(__xludf.DUMMYFUNCTION("""COMPUTED_VALUE"""),"KERTASARI CIAMIS")</f>
        <v>KERTASARI CIAMIS</v>
      </c>
      <c r="D7338" s="186">
        <f>IFERROR(__xludf.DUMMYFUNCTION("""COMPUTED_VALUE"""),40.0)</f>
        <v>40</v>
      </c>
    </row>
    <row r="7339">
      <c r="A7339" s="178" t="str">
        <f>IFERROR(__xludf.DUMMYFUNCTION("""COMPUTED_VALUE"""),"ITBISA-JUMPER-MF-20CM")</f>
        <v>ITBISA-JUMPER-MF-20CM</v>
      </c>
      <c r="B7339" s="266">
        <f>IFERROR(__xludf.DUMMYFUNCTION("""COMPUTED_VALUE"""),45769.0)</f>
        <v>45769</v>
      </c>
      <c r="C7339" s="266" t="str">
        <f>IFERROR(__xludf.DUMMYFUNCTION("""COMPUTED_VALUE"""),"KERTASARI CIAMIS")</f>
        <v>KERTASARI CIAMIS</v>
      </c>
      <c r="D7339" s="186">
        <f>IFERROR(__xludf.DUMMYFUNCTION("""COMPUTED_VALUE"""),120.0)</f>
        <v>120</v>
      </c>
    </row>
    <row r="7340">
      <c r="A7340" s="178" t="str">
        <f>IFERROR(__xludf.DUMMYFUNCTION("""COMPUTED_VALUE"""),"ITBISA-JUMPER-MF-20CM")</f>
        <v>ITBISA-JUMPER-MF-20CM</v>
      </c>
      <c r="B7340" s="266">
        <f>IFERROR(__xludf.DUMMYFUNCTION("""COMPUTED_VALUE"""),45775.0)</f>
        <v>45775</v>
      </c>
      <c r="C7340" s="266" t="str">
        <f>IFERROR(__xludf.DUMMYFUNCTION("""COMPUTED_VALUE"""),"KYAI KONTONG")</f>
        <v>KYAI KONTONG</v>
      </c>
      <c r="D7340" s="186">
        <f>IFERROR(__xludf.DUMMYFUNCTION("""COMPUTED_VALUE"""),40.0)</f>
        <v>40</v>
      </c>
    </row>
    <row r="7341">
      <c r="A7341" s="178" t="str">
        <f>IFERROR(__xludf.DUMMYFUNCTION("""COMPUTED_VALUE"""),"ITBISA-JUMPER-MF-20CM")</f>
        <v>ITBISA-JUMPER-MF-20CM</v>
      </c>
      <c r="B7341" s="266">
        <f>IFERROR(__xludf.DUMMYFUNCTION("""COMPUTED_VALUE"""),45775.0)</f>
        <v>45775</v>
      </c>
      <c r="C7341" s="266" t="str">
        <f>IFERROR(__xludf.DUMMYFUNCTION("""COMPUTED_VALUE"""),"KYAI KONTONG")</f>
        <v>KYAI KONTONG</v>
      </c>
      <c r="D7341" s="186">
        <f>IFERROR(__xludf.DUMMYFUNCTION("""COMPUTED_VALUE"""),40.0)</f>
        <v>40</v>
      </c>
    </row>
    <row r="7342">
      <c r="A7342" s="178" t="str">
        <f>IFERROR(__xludf.DUMMYFUNCTION("""COMPUTED_VALUE"""),"ITBISA-JUMPER-MF-20CM")</f>
        <v>ITBISA-JUMPER-MF-20CM</v>
      </c>
      <c r="B7342" s="266">
        <f>IFERROR(__xludf.DUMMYFUNCTION("""COMPUTED_VALUE"""),45780.0)</f>
        <v>45780</v>
      </c>
      <c r="C7342" s="266" t="str">
        <f>IFERROR(__xludf.DUMMYFUNCTION("""COMPUTED_VALUE"""),"KYAI KONTONG")</f>
        <v>KYAI KONTONG</v>
      </c>
      <c r="D7342" s="186">
        <f>IFERROR(__xludf.DUMMYFUNCTION("""COMPUTED_VALUE"""),40.0)</f>
        <v>40</v>
      </c>
    </row>
    <row r="7343">
      <c r="A7343" s="178" t="str">
        <f>IFERROR(__xludf.DUMMYFUNCTION("""COMPUTED_VALUE"""),"ITBISA-JUMPER-MF-20CM")</f>
        <v>ITBISA-JUMPER-MF-20CM</v>
      </c>
      <c r="B7343" s="266">
        <f>IFERROR(__xludf.DUMMYFUNCTION("""COMPUTED_VALUE"""),45811.0)</f>
        <v>45811</v>
      </c>
      <c r="C7343" s="266" t="str">
        <f>IFERROR(__xludf.DUMMYFUNCTION("""COMPUTED_VALUE"""),"KYAI KONTONG")</f>
        <v>KYAI KONTONG</v>
      </c>
      <c r="D7343" s="186">
        <f>IFERROR(__xludf.DUMMYFUNCTION("""COMPUTED_VALUE"""),80.0)</f>
        <v>80</v>
      </c>
    </row>
    <row r="7344">
      <c r="A7344" s="178" t="str">
        <f>IFERROR(__xludf.DUMMYFUNCTION("""COMPUTED_VALUE"""),"ITBISA-JUMPER-MF-20CM")</f>
        <v>ITBISA-JUMPER-MF-20CM</v>
      </c>
      <c r="B7344" s="266">
        <f>IFERROR(__xludf.DUMMYFUNCTION("""COMPUTED_VALUE"""),45822.0)</f>
        <v>45822</v>
      </c>
      <c r="C7344" s="266" t="str">
        <f>IFERROR(__xludf.DUMMYFUNCTION("""COMPUTED_VALUE"""),"KYAI KONTONG")</f>
        <v>KYAI KONTONG</v>
      </c>
      <c r="D7344" s="186">
        <f>IFERROR(__xludf.DUMMYFUNCTION("""COMPUTED_VALUE"""),40.0)</f>
        <v>40</v>
      </c>
    </row>
    <row r="7345">
      <c r="A7345" s="178" t="str">
        <f>IFERROR(__xludf.DUMMYFUNCTION("""COMPUTED_VALUE"""),"ITBISA-JUMPER-MF-20CM")</f>
        <v>ITBISA-JUMPER-MF-20CM</v>
      </c>
      <c r="B7345" s="266">
        <f>IFERROR(__xludf.DUMMYFUNCTION("""COMPUTED_VALUE"""),45829.0)</f>
        <v>45829</v>
      </c>
      <c r="C7345" s="266" t="str">
        <f>IFERROR(__xludf.DUMMYFUNCTION("""COMPUTED_VALUE"""),"KYAI KONTONG")</f>
        <v>KYAI KONTONG</v>
      </c>
      <c r="D7345" s="186">
        <f>IFERROR(__xludf.DUMMYFUNCTION("""COMPUTED_VALUE"""),40.0)</f>
        <v>40</v>
      </c>
    </row>
    <row r="7346">
      <c r="A7346" s="178" t="str">
        <f>IFERROR(__xludf.DUMMYFUNCTION("""COMPUTED_VALUE"""),"ITBISA-JUMPER-MF-20CM")</f>
        <v>ITBISA-JUMPER-MF-20CM</v>
      </c>
      <c r="B7346" s="266">
        <f>IFERROR(__xludf.DUMMYFUNCTION("""COMPUTED_VALUE"""),45830.0)</f>
        <v>45830</v>
      </c>
      <c r="C7346" s="266" t="str">
        <f>IFERROR(__xludf.DUMMYFUNCTION("""COMPUTED_VALUE"""),"KYAI KONTONG")</f>
        <v>KYAI KONTONG</v>
      </c>
      <c r="D7346" s="186">
        <f>IFERROR(__xludf.DUMMYFUNCTION("""COMPUTED_VALUE"""),80.0)</f>
        <v>80</v>
      </c>
    </row>
    <row r="7347">
      <c r="A7347" s="178" t="str">
        <f>IFERROR(__xludf.DUMMYFUNCTION("""COMPUTED_VALUE"""),"ITBISA-JUMPER-MF-20CM")</f>
        <v>ITBISA-JUMPER-MF-20CM</v>
      </c>
      <c r="B7347" s="266">
        <f>IFERROR(__xludf.DUMMYFUNCTION("""COMPUTED_VALUE"""),45878.0)</f>
        <v>45878</v>
      </c>
      <c r="C7347" s="266" t="str">
        <f>IFERROR(__xludf.DUMMYFUNCTION("""COMPUTED_VALUE"""),"KERTASARI CIAMIS")</f>
        <v>KERTASARI CIAMIS</v>
      </c>
      <c r="D7347" s="186">
        <f>IFERROR(__xludf.DUMMYFUNCTION("""COMPUTED_VALUE"""),80.0)</f>
        <v>80</v>
      </c>
    </row>
    <row r="7348">
      <c r="A7348" s="178" t="str">
        <f>IFERROR(__xludf.DUMMYFUNCTION("""COMPUTED_VALUE"""),"ITBISA-JUMPER-MF-20CM")</f>
        <v>ITBISA-JUMPER-MF-20CM</v>
      </c>
      <c r="B7348" s="266">
        <f>IFERROR(__xludf.DUMMYFUNCTION("""COMPUTED_VALUE"""),45930.0)</f>
        <v>45930</v>
      </c>
      <c r="C7348" s="266" t="str">
        <f>IFERROR(__xludf.DUMMYFUNCTION("""COMPUTED_VALUE"""),"KERTASARI CIAMIS")</f>
        <v>KERTASARI CIAMIS</v>
      </c>
      <c r="D7348" s="186">
        <f>IFERROR(__xludf.DUMMYFUNCTION("""COMPUTED_VALUE"""),40.0)</f>
        <v>40</v>
      </c>
    </row>
    <row r="7349">
      <c r="A7349" s="178" t="str">
        <f>IFERROR(__xludf.DUMMYFUNCTION("""COMPUTED_VALUE"""),"ITBISA-JUMPER-MF-20CM")</f>
        <v>ITBISA-JUMPER-MF-20CM</v>
      </c>
      <c r="B7349" s="266">
        <f>IFERROR(__xludf.DUMMYFUNCTION("""COMPUTED_VALUE"""),45936.0)</f>
        <v>45936</v>
      </c>
      <c r="C7349" s="266" t="str">
        <f>IFERROR(__xludf.DUMMYFUNCTION("""COMPUTED_VALUE"""),"KERTASARI CIAMIS")</f>
        <v>KERTASARI CIAMIS</v>
      </c>
      <c r="D7349" s="186">
        <f>IFERROR(__xludf.DUMMYFUNCTION("""COMPUTED_VALUE"""),40.0)</f>
        <v>40</v>
      </c>
    </row>
    <row r="7350">
      <c r="A7350" s="178" t="str">
        <f>IFERROR(__xludf.DUMMYFUNCTION("""COMPUTED_VALUE"""),"ITBISA-JUMPER-MF-20CM")</f>
        <v>ITBISA-JUMPER-MF-20CM</v>
      </c>
      <c r="B7350" s="266">
        <f>IFERROR(__xludf.DUMMYFUNCTION("""COMPUTED_VALUE"""),45946.0)</f>
        <v>45946</v>
      </c>
      <c r="C7350" s="266" t="str">
        <f>IFERROR(__xludf.DUMMYFUNCTION("""COMPUTED_VALUE"""),"KYAI KONTONG")</f>
        <v>KYAI KONTONG</v>
      </c>
      <c r="D7350" s="186">
        <f>IFERROR(__xludf.DUMMYFUNCTION("""COMPUTED_VALUE"""),40.0)</f>
        <v>40</v>
      </c>
    </row>
    <row r="7351">
      <c r="A7351" s="178" t="str">
        <f>IFERROR(__xludf.DUMMYFUNCTION("""COMPUTED_VALUE"""),"ITBISA-JUMPER-MF-20CM")</f>
        <v>ITBISA-JUMPER-MF-20CM</v>
      </c>
      <c r="B7351" s="266">
        <f>IFERROR(__xludf.DUMMYFUNCTION("""COMPUTED_VALUE"""),45946.0)</f>
        <v>45946</v>
      </c>
      <c r="C7351" s="266" t="str">
        <f>IFERROR(__xludf.DUMMYFUNCTION("""COMPUTED_VALUE"""),"KYAI KONTONG")</f>
        <v>KYAI KONTONG</v>
      </c>
      <c r="D7351" s="186">
        <f>IFERROR(__xludf.DUMMYFUNCTION("""COMPUTED_VALUE"""),40.0)</f>
        <v>40</v>
      </c>
    </row>
    <row r="7352">
      <c r="A7352" s="178" t="str">
        <f>IFERROR(__xludf.DUMMYFUNCTION("""COMPUTED_VALUE"""),"ITBISA-JUMPER-MF-20CM")</f>
        <v>ITBISA-JUMPER-MF-20CM</v>
      </c>
      <c r="B7352" s="266">
        <f>IFERROR(__xludf.DUMMYFUNCTION("""COMPUTED_VALUE"""),45949.0)</f>
        <v>45949</v>
      </c>
      <c r="C7352" s="266" t="str">
        <f>IFERROR(__xludf.DUMMYFUNCTION("""COMPUTED_VALUE"""),"KERTASARI CIAMIS")</f>
        <v>KERTASARI CIAMIS</v>
      </c>
      <c r="D7352" s="186">
        <f>IFERROR(__xludf.DUMMYFUNCTION("""COMPUTED_VALUE"""),40.0)</f>
        <v>40</v>
      </c>
    </row>
    <row r="7353">
      <c r="A7353" s="178" t="str">
        <f>IFERROR(__xludf.DUMMYFUNCTION("""COMPUTED_VALUE"""),"ITBISA-JUMPER-MF-20CM")</f>
        <v>ITBISA-JUMPER-MF-20CM</v>
      </c>
      <c r="B7353" s="266">
        <f>IFERROR(__xludf.DUMMYFUNCTION("""COMPUTED_VALUE"""),45952.0)</f>
        <v>45952</v>
      </c>
      <c r="C7353" s="266" t="str">
        <f>IFERROR(__xludf.DUMMYFUNCTION("""COMPUTED_VALUE"""),"KYAI KONTONG")</f>
        <v>KYAI KONTONG</v>
      </c>
      <c r="D7353" s="186">
        <f>IFERROR(__xludf.DUMMYFUNCTION("""COMPUTED_VALUE"""),80.0)</f>
        <v>80</v>
      </c>
    </row>
    <row r="7354">
      <c r="A7354" s="178" t="str">
        <f>IFERROR(__xludf.DUMMYFUNCTION("""COMPUTED_VALUE"""),"ITBISA-JUMPER-MF-20CM")</f>
        <v>ITBISA-JUMPER-MF-20CM</v>
      </c>
      <c r="B7354" s="266">
        <f>IFERROR(__xludf.DUMMYFUNCTION("""COMPUTED_VALUE"""),45954.0)</f>
        <v>45954</v>
      </c>
      <c r="C7354" s="266" t="str">
        <f>IFERROR(__xludf.DUMMYFUNCTION("""COMPUTED_VALUE"""),"KERTASARI CIAMIS")</f>
        <v>KERTASARI CIAMIS</v>
      </c>
      <c r="D7354" s="186">
        <f>IFERROR(__xludf.DUMMYFUNCTION("""COMPUTED_VALUE"""),40.0)</f>
        <v>40</v>
      </c>
    </row>
    <row r="7355">
      <c r="A7355" s="178" t="str">
        <f>IFERROR(__xludf.DUMMYFUNCTION("""COMPUTED_VALUE"""),"ITBISA-JUMPER-MF-20CM")</f>
        <v>ITBISA-JUMPER-MF-20CM</v>
      </c>
      <c r="B7355" s="266">
        <f>IFERROR(__xludf.DUMMYFUNCTION("""COMPUTED_VALUE"""),45954.0)</f>
        <v>45954</v>
      </c>
      <c r="C7355" s="266" t="str">
        <f>IFERROR(__xludf.DUMMYFUNCTION("""COMPUTED_VALUE"""),"KYAI KONTONG")</f>
        <v>KYAI KONTONG</v>
      </c>
      <c r="D7355" s="186">
        <f>IFERROR(__xludf.DUMMYFUNCTION("""COMPUTED_VALUE"""),40.0)</f>
        <v>40</v>
      </c>
    </row>
    <row r="7356">
      <c r="A7356" s="178" t="str">
        <f>IFERROR(__xludf.DUMMYFUNCTION("""COMPUTED_VALUE"""),"ITBISA-JUMPER-MF-20CM")</f>
        <v>ITBISA-JUMPER-MF-20CM</v>
      </c>
      <c r="B7356" s="266">
        <f>IFERROR(__xludf.DUMMYFUNCTION("""COMPUTED_VALUE"""),45960.0)</f>
        <v>45960</v>
      </c>
      <c r="C7356" s="266" t="str">
        <f>IFERROR(__xludf.DUMMYFUNCTION("""COMPUTED_VALUE"""),"KYAI KONTONG")</f>
        <v>KYAI KONTONG</v>
      </c>
      <c r="D7356" s="186">
        <f>IFERROR(__xludf.DUMMYFUNCTION("""COMPUTED_VALUE"""),40.0)</f>
        <v>40</v>
      </c>
    </row>
    <row r="7357">
      <c r="A7357" s="178" t="str">
        <f>IFERROR(__xludf.DUMMYFUNCTION("""COMPUTED_VALUE"""),"ITBISA-JUMPER-MF-20CM")</f>
        <v>ITBISA-JUMPER-MF-20CM</v>
      </c>
      <c r="B7357" s="266">
        <f>IFERROR(__xludf.DUMMYFUNCTION("""COMPUTED_VALUE"""),45960.0)</f>
        <v>45960</v>
      </c>
      <c r="C7357" s="266" t="str">
        <f>IFERROR(__xludf.DUMMYFUNCTION("""COMPUTED_VALUE"""),"KYAI KONTONG")</f>
        <v>KYAI KONTONG</v>
      </c>
      <c r="D7357" s="186">
        <f>IFERROR(__xludf.DUMMYFUNCTION("""COMPUTED_VALUE"""),40.0)</f>
        <v>40</v>
      </c>
    </row>
    <row r="7358">
      <c r="A7358" s="178" t="str">
        <f>IFERROR(__xludf.DUMMYFUNCTION("""COMPUTED_VALUE"""),"ITBISA-JUMPER-MF-20CM")</f>
        <v>ITBISA-JUMPER-MF-20CM</v>
      </c>
      <c r="B7358" s="266">
        <f>IFERROR(__xludf.DUMMYFUNCTION("""COMPUTED_VALUE"""),45970.0)</f>
        <v>45970</v>
      </c>
      <c r="C7358" s="266" t="str">
        <f>IFERROR(__xludf.DUMMYFUNCTION("""COMPUTED_VALUE"""),"KERTASARI CIAMIS")</f>
        <v>KERTASARI CIAMIS</v>
      </c>
      <c r="D7358" s="186">
        <f>IFERROR(__xludf.DUMMYFUNCTION("""COMPUTED_VALUE"""),80.0)</f>
        <v>80</v>
      </c>
    </row>
    <row r="7359">
      <c r="A7359" s="178" t="str">
        <f>IFERROR(__xludf.DUMMYFUNCTION("""COMPUTED_VALUE"""),"ITBISA-JUMPER-MF-20CM")</f>
        <v>ITBISA-JUMPER-MF-20CM</v>
      </c>
      <c r="B7359" s="266">
        <f>IFERROR(__xludf.DUMMYFUNCTION("""COMPUTED_VALUE"""),45973.0)</f>
        <v>45973</v>
      </c>
      <c r="C7359" s="266" t="str">
        <f>IFERROR(__xludf.DUMMYFUNCTION("""COMPUTED_VALUE"""),"KERTASARI CIAMIS")</f>
        <v>KERTASARI CIAMIS</v>
      </c>
      <c r="D7359" s="186">
        <f>IFERROR(__xludf.DUMMYFUNCTION("""COMPUTED_VALUE"""),40.0)</f>
        <v>40</v>
      </c>
    </row>
    <row r="7360">
      <c r="A7360" s="178" t="str">
        <f>IFERROR(__xludf.DUMMYFUNCTION("""COMPUTED_VALUE"""),"ITBISA-JUMPER-MF-20CM")</f>
        <v>ITBISA-JUMPER-MF-20CM</v>
      </c>
      <c r="B7360" s="266">
        <f>IFERROR(__xludf.DUMMYFUNCTION("""COMPUTED_VALUE"""),45974.0)</f>
        <v>45974</v>
      </c>
      <c r="C7360" s="266" t="str">
        <f>IFERROR(__xludf.DUMMYFUNCTION("""COMPUTED_VALUE"""),"KYAI KONTONG")</f>
        <v>KYAI KONTONG</v>
      </c>
      <c r="D7360" s="186">
        <f>IFERROR(__xludf.DUMMYFUNCTION("""COMPUTED_VALUE"""),40.0)</f>
        <v>40</v>
      </c>
    </row>
    <row r="7361">
      <c r="A7361" s="178" t="str">
        <f>IFERROR(__xludf.DUMMYFUNCTION("""COMPUTED_VALUE"""),"ITBISA-JUMPER-MF-20CM")</f>
        <v>ITBISA-JUMPER-MF-20CM</v>
      </c>
      <c r="B7361" s="266">
        <f>IFERROR(__xludf.DUMMYFUNCTION("""COMPUTED_VALUE"""),45975.0)</f>
        <v>45975</v>
      </c>
      <c r="C7361" s="266" t="str">
        <f>IFERROR(__xludf.DUMMYFUNCTION("""COMPUTED_VALUE"""),"KYAI KONTONG")</f>
        <v>KYAI KONTONG</v>
      </c>
      <c r="D7361" s="186">
        <f>IFERROR(__xludf.DUMMYFUNCTION("""COMPUTED_VALUE"""),40.0)</f>
        <v>40</v>
      </c>
    </row>
    <row r="7362">
      <c r="A7362" s="178" t="str">
        <f>IFERROR(__xludf.DUMMYFUNCTION("""COMPUTED_VALUE"""),"ITBISA-JUMPER-MF-20CM")</f>
        <v>ITBISA-JUMPER-MF-20CM</v>
      </c>
      <c r="B7362" s="266">
        <f>IFERROR(__xludf.DUMMYFUNCTION("""COMPUTED_VALUE"""),45979.0)</f>
        <v>45979</v>
      </c>
      <c r="C7362" s="266" t="str">
        <f>IFERROR(__xludf.DUMMYFUNCTION("""COMPUTED_VALUE"""),"KERTASARI CIAMIS")</f>
        <v>KERTASARI CIAMIS</v>
      </c>
      <c r="D7362" s="186">
        <f>IFERROR(__xludf.DUMMYFUNCTION("""COMPUTED_VALUE"""),40.0)</f>
        <v>40</v>
      </c>
    </row>
    <row r="7363">
      <c r="A7363" s="178" t="str">
        <f>IFERROR(__xludf.DUMMYFUNCTION("""COMPUTED_VALUE"""),"ITBISA-JUMPER-MF-20CM")</f>
        <v>ITBISA-JUMPER-MF-20CM</v>
      </c>
      <c r="B7363" s="266">
        <f>IFERROR(__xludf.DUMMYFUNCTION("""COMPUTED_VALUE"""),45994.0)</f>
        <v>45994</v>
      </c>
      <c r="C7363" s="266" t="str">
        <f>IFERROR(__xludf.DUMMYFUNCTION("""COMPUTED_VALUE"""),"KYAI KONTONG")</f>
        <v>KYAI KONTONG</v>
      </c>
      <c r="D7363" s="186">
        <f>IFERROR(__xludf.DUMMYFUNCTION("""COMPUTED_VALUE"""),80.0)</f>
        <v>80</v>
      </c>
    </row>
    <row r="7364">
      <c r="A7364" s="178" t="str">
        <f>IFERROR(__xludf.DUMMYFUNCTION("""COMPUTED_VALUE"""),"ITBISA-JUMPER-MF-20CM")</f>
        <v>ITBISA-JUMPER-MF-20CM</v>
      </c>
      <c r="B7364" s="266">
        <f>IFERROR(__xludf.DUMMYFUNCTION("""COMPUTED_VALUE"""),46005.0)</f>
        <v>46005</v>
      </c>
      <c r="C7364" s="266" t="str">
        <f>IFERROR(__xludf.DUMMYFUNCTION("""COMPUTED_VALUE"""),"KYAI KONTONG")</f>
        <v>KYAI KONTONG</v>
      </c>
      <c r="D7364" s="186">
        <f>IFERROR(__xludf.DUMMYFUNCTION("""COMPUTED_VALUE"""),40.0)</f>
        <v>40</v>
      </c>
    </row>
    <row r="7365">
      <c r="A7365" s="178" t="str">
        <f>IFERROR(__xludf.DUMMYFUNCTION("""COMPUTED_VALUE"""),"ITBISA-JUMPER-MF-20CM")</f>
        <v>ITBISA-JUMPER-MF-20CM</v>
      </c>
      <c r="B7365" s="266">
        <f>IFERROR(__xludf.DUMMYFUNCTION("""COMPUTED_VALUE"""),46010.0)</f>
        <v>46010</v>
      </c>
      <c r="C7365" s="266" t="str">
        <f>IFERROR(__xludf.DUMMYFUNCTION("""COMPUTED_VALUE"""),"KYAI KONTONG")</f>
        <v>KYAI KONTONG</v>
      </c>
      <c r="D7365" s="186">
        <f>IFERROR(__xludf.DUMMYFUNCTION("""COMPUTED_VALUE"""),40.0)</f>
        <v>40</v>
      </c>
    </row>
    <row r="7366">
      <c r="A7366" s="178" t="str">
        <f>IFERROR(__xludf.DUMMYFUNCTION("""COMPUTED_VALUE"""),"ITBISA-JUMPER-MM-10CM")</f>
        <v>ITBISA-JUMPER-MM-10CM</v>
      </c>
      <c r="B7366" s="266">
        <f>IFERROR(__xludf.DUMMYFUNCTION("""COMPUTED_VALUE"""),43424.0)</f>
        <v>43424</v>
      </c>
      <c r="C7366" s="266" t="str">
        <f>IFERROR(__xludf.DUMMYFUNCTION("""COMPUTED_VALUE"""),"AVRG ITB")</f>
        <v>AVRG ITB</v>
      </c>
      <c r="D7366" s="186">
        <f>IFERROR(__xludf.DUMMYFUNCTION("""COMPUTED_VALUE"""),500.0)</f>
        <v>500</v>
      </c>
    </row>
    <row r="7367">
      <c r="A7367" s="178" t="str">
        <f>IFERROR(__xludf.DUMMYFUNCTION("""COMPUTED_VALUE"""),"ITBISA-JUMPER-MM-10CM")</f>
        <v>ITBISA-JUMPER-MM-10CM</v>
      </c>
      <c r="B7367" s="266">
        <f>IFERROR(__xludf.DUMMYFUNCTION("""COMPUTED_VALUE"""),43430.0)</f>
        <v>43430</v>
      </c>
      <c r="C7367" s="266" t="str">
        <f>IFERROR(__xludf.DUMMYFUNCTION("""COMPUTED_VALUE"""),"AVRG ITB")</f>
        <v>AVRG ITB</v>
      </c>
      <c r="D7367" s="186">
        <f>IFERROR(__xludf.DUMMYFUNCTION("""COMPUTED_VALUE"""),20.0)</f>
        <v>20</v>
      </c>
    </row>
    <row r="7368">
      <c r="A7368" s="178" t="str">
        <f>IFERROR(__xludf.DUMMYFUNCTION("""COMPUTED_VALUE"""),"ITBISA-JUMPER-MM-10CM")</f>
        <v>ITBISA-JUMPER-MM-10CM</v>
      </c>
      <c r="B7368" s="266">
        <f>IFERROR(__xludf.DUMMYFUNCTION("""COMPUTED_VALUE"""),43447.0)</f>
        <v>43447</v>
      </c>
      <c r="C7368" s="266" t="str">
        <f>IFERROR(__xludf.DUMMYFUNCTION("""COMPUTED_VALUE"""),"AVRG ITB")</f>
        <v>AVRG ITB</v>
      </c>
      <c r="D7368" s="186">
        <f>IFERROR(__xludf.DUMMYFUNCTION("""COMPUTED_VALUE"""),600.0)</f>
        <v>600</v>
      </c>
    </row>
    <row r="7369">
      <c r="A7369" s="178" t="str">
        <f>IFERROR(__xludf.DUMMYFUNCTION("""COMPUTED_VALUE"""),"ITBISA-JUMPER-MM-10CM")</f>
        <v>ITBISA-JUMPER-MM-10CM</v>
      </c>
      <c r="B7369" s="266">
        <f>IFERROR(__xludf.DUMMYFUNCTION("""COMPUTED_VALUE"""),43586.0)</f>
        <v>43586</v>
      </c>
      <c r="C7369" s="266" t="str">
        <f>IFERROR(__xludf.DUMMYFUNCTION("""COMPUTED_VALUE"""),"AVRG ITB")</f>
        <v>AVRG ITB</v>
      </c>
      <c r="D7369" s="186">
        <f>IFERROR(__xludf.DUMMYFUNCTION("""COMPUTED_VALUE"""),40.0)</f>
        <v>40</v>
      </c>
    </row>
    <row r="7370">
      <c r="A7370" s="178" t="str">
        <f>IFERROR(__xludf.DUMMYFUNCTION("""COMPUTED_VALUE"""),"ITBISA-JUMPER-MM-10CM")</f>
        <v>ITBISA-JUMPER-MM-10CM</v>
      </c>
      <c r="B7370" s="266">
        <f>IFERROR(__xludf.DUMMYFUNCTION("""COMPUTED_VALUE"""),43593.0)</f>
        <v>43593</v>
      </c>
      <c r="C7370" s="266" t="str">
        <f>IFERROR(__xludf.DUMMYFUNCTION("""COMPUTED_VALUE"""),"AVRG ITB")</f>
        <v>AVRG ITB</v>
      </c>
      <c r="D7370" s="186">
        <f>IFERROR(__xludf.DUMMYFUNCTION("""COMPUTED_VALUE"""),40.0)</f>
        <v>40</v>
      </c>
    </row>
    <row r="7371">
      <c r="A7371" s="178" t="str">
        <f>IFERROR(__xludf.DUMMYFUNCTION("""COMPUTED_VALUE"""),"ITBISA-JUMPER-MM-10CM")</f>
        <v>ITBISA-JUMPER-MM-10CM</v>
      </c>
      <c r="B7371" s="266">
        <f>IFERROR(__xludf.DUMMYFUNCTION("""COMPUTED_VALUE"""),43610.0)</f>
        <v>43610</v>
      </c>
      <c r="C7371" s="266" t="str">
        <f>IFERROR(__xludf.DUMMYFUNCTION("""COMPUTED_VALUE"""),"AVRG ITB")</f>
        <v>AVRG ITB</v>
      </c>
      <c r="D7371" s="186">
        <f>IFERROR(__xludf.DUMMYFUNCTION("""COMPUTED_VALUE"""),40.0)</f>
        <v>40</v>
      </c>
    </row>
    <row r="7372">
      <c r="A7372" s="178" t="str">
        <f>IFERROR(__xludf.DUMMYFUNCTION("""COMPUTED_VALUE"""),"ITBISA-JUMPER-MM-10CM")</f>
        <v>ITBISA-JUMPER-MM-10CM</v>
      </c>
      <c r="B7372" s="266">
        <f>IFERROR(__xludf.DUMMYFUNCTION("""COMPUTED_VALUE"""),43690.0)</f>
        <v>43690</v>
      </c>
      <c r="C7372" s="266" t="str">
        <f>IFERROR(__xludf.DUMMYFUNCTION("""COMPUTED_VALUE"""),"RUMAH MUZAKKI")</f>
        <v>RUMAH MUZAKKI</v>
      </c>
      <c r="D7372" s="186">
        <f>IFERROR(__xludf.DUMMYFUNCTION("""COMPUTED_VALUE"""),40.0)</f>
        <v>40</v>
      </c>
    </row>
    <row r="7373">
      <c r="A7373" s="178" t="str">
        <f>IFERROR(__xludf.DUMMYFUNCTION("""COMPUTED_VALUE"""),"ITBISA-JUMPER-MM-10CM")</f>
        <v>ITBISA-JUMPER-MM-10CM</v>
      </c>
      <c r="B7373" s="266">
        <f>IFERROR(__xludf.DUMMYFUNCTION("""COMPUTED_VALUE"""),43726.0)</f>
        <v>43726</v>
      </c>
      <c r="C7373" s="266" t="str">
        <f>IFERROR(__xludf.DUMMYFUNCTION("""COMPUTED_VALUE"""),"RUMAH MUZAKKI")</f>
        <v>RUMAH MUZAKKI</v>
      </c>
      <c r="D7373" s="186">
        <f>IFERROR(__xludf.DUMMYFUNCTION("""COMPUTED_VALUE"""),200.0)</f>
        <v>200</v>
      </c>
    </row>
    <row r="7374">
      <c r="A7374" s="178" t="str">
        <f>IFERROR(__xludf.DUMMYFUNCTION("""COMPUTED_VALUE"""),"ITBISA-JUMPER-MM-10CM")</f>
        <v>ITBISA-JUMPER-MM-10CM</v>
      </c>
      <c r="B7374" s="266">
        <f>IFERROR(__xludf.DUMMYFUNCTION("""COMPUTED_VALUE"""),43732.0)</f>
        <v>43732</v>
      </c>
      <c r="C7374" s="266" t="str">
        <f>IFERROR(__xludf.DUMMYFUNCTION("""COMPUTED_VALUE"""),"RUMAH MUZAKKI")</f>
        <v>RUMAH MUZAKKI</v>
      </c>
      <c r="D7374" s="186">
        <f>IFERROR(__xludf.DUMMYFUNCTION("""COMPUTED_VALUE"""),40.0)</f>
        <v>40</v>
      </c>
    </row>
    <row r="7375">
      <c r="A7375" s="178" t="str">
        <f>IFERROR(__xludf.DUMMYFUNCTION("""COMPUTED_VALUE"""),"ITBISA-JUMPER-MM-10CM")</f>
        <v>ITBISA-JUMPER-MM-10CM</v>
      </c>
      <c r="B7375" s="266">
        <f>IFERROR(__xludf.DUMMYFUNCTION("""COMPUTED_VALUE"""),43733.0)</f>
        <v>43733</v>
      </c>
      <c r="C7375" s="266" t="str">
        <f>IFERROR(__xludf.DUMMYFUNCTION("""COMPUTED_VALUE"""),"RUMAH MUZAKKI")</f>
        <v>RUMAH MUZAKKI</v>
      </c>
      <c r="D7375" s="186">
        <f>IFERROR(__xludf.DUMMYFUNCTION("""COMPUTED_VALUE"""),40.0)</f>
        <v>40</v>
      </c>
    </row>
    <row r="7376">
      <c r="A7376" s="178" t="str">
        <f>IFERROR(__xludf.DUMMYFUNCTION("""COMPUTED_VALUE"""),"ITBISA-JUMPER-MM-10CM")</f>
        <v>ITBISA-JUMPER-MM-10CM</v>
      </c>
      <c r="B7376" s="266">
        <f>IFERROR(__xludf.DUMMYFUNCTION("""COMPUTED_VALUE"""),43750.0)</f>
        <v>43750</v>
      </c>
      <c r="C7376" s="266" t="str">
        <f>IFERROR(__xludf.DUMMYFUNCTION("""COMPUTED_VALUE"""),"RUMAH MUZAKKI")</f>
        <v>RUMAH MUZAKKI</v>
      </c>
      <c r="D7376" s="186">
        <f>IFERROR(__xludf.DUMMYFUNCTION("""COMPUTED_VALUE"""),40.0)</f>
        <v>40</v>
      </c>
    </row>
    <row r="7377">
      <c r="A7377" s="178" t="str">
        <f>IFERROR(__xludf.DUMMYFUNCTION("""COMPUTED_VALUE"""),"ITBISA-JUMPER-MM-10CM")</f>
        <v>ITBISA-JUMPER-MM-10CM</v>
      </c>
      <c r="B7377" s="266">
        <f>IFERROR(__xludf.DUMMYFUNCTION("""COMPUTED_VALUE"""),43765.0)</f>
        <v>43765</v>
      </c>
      <c r="C7377" s="266" t="str">
        <f>IFERROR(__xludf.DUMMYFUNCTION("""COMPUTED_VALUE"""),"AVRG ITB")</f>
        <v>AVRG ITB</v>
      </c>
      <c r="D7377" s="186">
        <f>IFERROR(__xludf.DUMMYFUNCTION("""COMPUTED_VALUE"""),200.0)</f>
        <v>200</v>
      </c>
    </row>
    <row r="7378">
      <c r="A7378" s="178" t="str">
        <f>IFERROR(__xludf.DUMMYFUNCTION("""COMPUTED_VALUE"""),"ITBISA-JUMPER-MM-10CM")</f>
        <v>ITBISA-JUMPER-MM-10CM</v>
      </c>
      <c r="B7378" s="266">
        <f>IFERROR(__xludf.DUMMYFUNCTION("""COMPUTED_VALUE"""),43768.0)</f>
        <v>43768</v>
      </c>
      <c r="C7378" s="266" t="str">
        <f>IFERROR(__xludf.DUMMYFUNCTION("""COMPUTED_VALUE"""),"RUMAH MUZAKKI")</f>
        <v>RUMAH MUZAKKI</v>
      </c>
      <c r="D7378" s="186">
        <f>IFERROR(__xludf.DUMMYFUNCTION("""COMPUTED_VALUE"""),40.0)</f>
        <v>40</v>
      </c>
    </row>
    <row r="7379">
      <c r="A7379" s="178" t="str">
        <f>IFERROR(__xludf.DUMMYFUNCTION("""COMPUTED_VALUE"""),"ITBISA-JUMPER-MM-10CM")</f>
        <v>ITBISA-JUMPER-MM-10CM</v>
      </c>
      <c r="B7379" s="266">
        <f>IFERROR(__xludf.DUMMYFUNCTION("""COMPUTED_VALUE"""),43788.0)</f>
        <v>43788</v>
      </c>
      <c r="C7379" s="266" t="str">
        <f>IFERROR(__xludf.DUMMYFUNCTION("""COMPUTED_VALUE"""),"RUMAH MUZAKKI")</f>
        <v>RUMAH MUZAKKI</v>
      </c>
      <c r="D7379" s="186">
        <f>IFERROR(__xludf.DUMMYFUNCTION("""COMPUTED_VALUE"""),40.0)</f>
        <v>40</v>
      </c>
    </row>
    <row r="7380">
      <c r="A7380" s="178" t="str">
        <f>IFERROR(__xludf.DUMMYFUNCTION("""COMPUTED_VALUE"""),"ITBISA-JUMPER-MM-10CM")</f>
        <v>ITBISA-JUMPER-MM-10CM</v>
      </c>
      <c r="B7380" s="266">
        <f>IFERROR(__xludf.DUMMYFUNCTION("""COMPUTED_VALUE"""),43802.0)</f>
        <v>43802</v>
      </c>
      <c r="C7380" s="266" t="str">
        <f>IFERROR(__xludf.DUMMYFUNCTION("""COMPUTED_VALUE"""),"AVRG ITB")</f>
        <v>AVRG ITB</v>
      </c>
      <c r="D7380" s="186">
        <f>IFERROR(__xludf.DUMMYFUNCTION("""COMPUTED_VALUE"""),120.0)</f>
        <v>120</v>
      </c>
    </row>
    <row r="7381">
      <c r="A7381" s="178" t="str">
        <f>IFERROR(__xludf.DUMMYFUNCTION("""COMPUTED_VALUE"""),"ITBISA-JUMPER-MM-10CM")</f>
        <v>ITBISA-JUMPER-MM-10CM</v>
      </c>
      <c r="B7381" s="266">
        <f>IFERROR(__xludf.DUMMYFUNCTION("""COMPUTED_VALUE"""),43802.0)</f>
        <v>43802</v>
      </c>
      <c r="C7381" s="266" t="str">
        <f>IFERROR(__xludf.DUMMYFUNCTION("""COMPUTED_VALUE"""),"AVRG ITB")</f>
        <v>AVRG ITB</v>
      </c>
      <c r="D7381" s="186">
        <f>IFERROR(__xludf.DUMMYFUNCTION("""COMPUTED_VALUE"""),400.0)</f>
        <v>400</v>
      </c>
    </row>
    <row r="7382">
      <c r="A7382" s="178" t="str">
        <f>IFERROR(__xludf.DUMMYFUNCTION("""COMPUTED_VALUE"""),"ITBISA-JUMPER-MM-10CM")</f>
        <v>ITBISA-JUMPER-MM-10CM</v>
      </c>
      <c r="B7382" s="266">
        <f>IFERROR(__xludf.DUMMYFUNCTION("""COMPUTED_VALUE"""),43803.0)</f>
        <v>43803</v>
      </c>
      <c r="C7382" s="266" t="str">
        <f>IFERROR(__xludf.DUMMYFUNCTION("""COMPUTED_VALUE"""),"AVRG ITB")</f>
        <v>AVRG ITB</v>
      </c>
      <c r="D7382" s="186">
        <f>IFERROR(__xludf.DUMMYFUNCTION("""COMPUTED_VALUE"""),680.0)</f>
        <v>680</v>
      </c>
    </row>
    <row r="7383">
      <c r="A7383" s="178" t="str">
        <f>IFERROR(__xludf.DUMMYFUNCTION("""COMPUTED_VALUE"""),"ITBISA-JUMPER-MM-10CM")</f>
        <v>ITBISA-JUMPER-MM-10CM</v>
      </c>
      <c r="B7383" s="266">
        <f>IFERROR(__xludf.DUMMYFUNCTION("""COMPUTED_VALUE"""),43877.0)</f>
        <v>43877</v>
      </c>
      <c r="C7383" s="266" t="str">
        <f>IFERROR(__xludf.DUMMYFUNCTION("""COMPUTED_VALUE"""),"AVRG ITB")</f>
        <v>AVRG ITB</v>
      </c>
      <c r="D7383" s="186">
        <f>IFERROR(__xludf.DUMMYFUNCTION("""COMPUTED_VALUE"""),400.0)</f>
        <v>400</v>
      </c>
    </row>
    <row r="7384">
      <c r="A7384" s="178" t="str">
        <f>IFERROR(__xludf.DUMMYFUNCTION("""COMPUTED_VALUE"""),"ITBISA-JUMPER-MM-10CM")</f>
        <v>ITBISA-JUMPER-MM-10CM</v>
      </c>
      <c r="B7384" s="266">
        <f>IFERROR(__xludf.DUMMYFUNCTION("""COMPUTED_VALUE"""),44013.0)</f>
        <v>44013</v>
      </c>
      <c r="C7384" s="266" t="str">
        <f>IFERROR(__xludf.DUMMYFUNCTION("""COMPUTED_VALUE"""),"KAETOBO RESIDENCE")</f>
        <v>KAETOBO RESIDENCE</v>
      </c>
      <c r="D7384" s="186">
        <f>IFERROR(__xludf.DUMMYFUNCTION("""COMPUTED_VALUE"""),40.0)</f>
        <v>40</v>
      </c>
    </row>
    <row r="7385">
      <c r="A7385" s="178" t="str">
        <f>IFERROR(__xludf.DUMMYFUNCTION("""COMPUTED_VALUE"""),"ITBISA-JUMPER-MM-10CM")</f>
        <v>ITBISA-JUMPER-MM-10CM</v>
      </c>
      <c r="B7385" s="266">
        <f>IFERROR(__xludf.DUMMYFUNCTION("""COMPUTED_VALUE"""),44027.0)</f>
        <v>44027</v>
      </c>
      <c r="C7385" s="266" t="str">
        <f>IFERROR(__xludf.DUMMYFUNCTION("""COMPUTED_VALUE"""),"KAETOBO RESIDENCE")</f>
        <v>KAETOBO RESIDENCE</v>
      </c>
      <c r="D7385" s="186">
        <f>IFERROR(__xludf.DUMMYFUNCTION("""COMPUTED_VALUE"""),40.0)</f>
        <v>40</v>
      </c>
    </row>
    <row r="7386">
      <c r="A7386" s="178" t="str">
        <f>IFERROR(__xludf.DUMMYFUNCTION("""COMPUTED_VALUE"""),"ITBISA-JUMPER-MM-10CM")</f>
        <v>ITBISA-JUMPER-MM-10CM</v>
      </c>
      <c r="B7386" s="266">
        <f>IFERROR(__xludf.DUMMYFUNCTION("""COMPUTED_VALUE"""),44042.0)</f>
        <v>44042</v>
      </c>
      <c r="C7386" s="266" t="str">
        <f>IFERROR(__xludf.DUMMYFUNCTION("""COMPUTED_VALUE"""),"KAETOBO RESIDENCE")</f>
        <v>KAETOBO RESIDENCE</v>
      </c>
      <c r="D7386" s="186">
        <f>IFERROR(__xludf.DUMMYFUNCTION("""COMPUTED_VALUE"""),120.0)</f>
        <v>120</v>
      </c>
    </row>
    <row r="7387">
      <c r="A7387" s="178" t="str">
        <f>IFERROR(__xludf.DUMMYFUNCTION("""COMPUTED_VALUE"""),"ITBISA-JUMPER-MM-10CM")</f>
        <v>ITBISA-JUMPER-MM-10CM</v>
      </c>
      <c r="B7387" s="266">
        <f>IFERROR(__xludf.DUMMYFUNCTION("""COMPUTED_VALUE"""),44110.0)</f>
        <v>44110</v>
      </c>
      <c r="C7387" s="266" t="str">
        <f>IFERROR(__xludf.DUMMYFUNCTION("""COMPUTED_VALUE"""),"KOST RUMAHUMI")</f>
        <v>KOST RUMAHUMI</v>
      </c>
      <c r="D7387" s="186">
        <f>IFERROR(__xludf.DUMMYFUNCTION("""COMPUTED_VALUE"""),600.0)</f>
        <v>600</v>
      </c>
    </row>
    <row r="7388">
      <c r="A7388" s="178" t="str">
        <f>IFERROR(__xludf.DUMMYFUNCTION("""COMPUTED_VALUE"""),"ITBISA-JUMPER-MM-10CM")</f>
        <v>ITBISA-JUMPER-MM-10CM</v>
      </c>
      <c r="B7388" s="266">
        <f>IFERROR(__xludf.DUMMYFUNCTION("""COMPUTED_VALUE"""),44119.0)</f>
        <v>44119</v>
      </c>
      <c r="C7388" s="266" t="str">
        <f>IFERROR(__xludf.DUMMYFUNCTION("""COMPUTED_VALUE"""),"KOST RUMAHUMI")</f>
        <v>KOST RUMAHUMI</v>
      </c>
      <c r="D7388" s="186">
        <f>IFERROR(__xludf.DUMMYFUNCTION("""COMPUTED_VALUE"""),240.0)</f>
        <v>240</v>
      </c>
    </row>
    <row r="7389">
      <c r="A7389" s="178" t="str">
        <f>IFERROR(__xludf.DUMMYFUNCTION("""COMPUTED_VALUE"""),"ITBISA-JUMPER-MM-10CM")</f>
        <v>ITBISA-JUMPER-MM-10CM</v>
      </c>
      <c r="B7389" s="266">
        <f>IFERROR(__xludf.DUMMYFUNCTION("""COMPUTED_VALUE"""),44159.0)</f>
        <v>44159</v>
      </c>
      <c r="C7389" s="266" t="str">
        <f>IFERROR(__xludf.DUMMYFUNCTION("""COMPUTED_VALUE"""),"KOST RUMAHUMI")</f>
        <v>KOST RUMAHUMI</v>
      </c>
      <c r="D7389" s="186">
        <f>IFERROR(__xludf.DUMMYFUNCTION("""COMPUTED_VALUE"""),680.0)</f>
        <v>680</v>
      </c>
    </row>
    <row r="7390">
      <c r="A7390" s="178" t="str">
        <f>IFERROR(__xludf.DUMMYFUNCTION("""COMPUTED_VALUE"""),"ITBISA-JUMPER-MM-10CM")</f>
        <v>ITBISA-JUMPER-MM-10CM</v>
      </c>
      <c r="B7390" s="266">
        <f>IFERROR(__xludf.DUMMYFUNCTION("""COMPUTED_VALUE"""),44236.0)</f>
        <v>44236</v>
      </c>
      <c r="C7390" s="266" t="str">
        <f>IFERROR(__xludf.DUMMYFUNCTION("""COMPUTED_VALUE"""),"KOST RUMAHUMI")</f>
        <v>KOST RUMAHUMI</v>
      </c>
      <c r="D7390" s="186">
        <f>IFERROR(__xludf.DUMMYFUNCTION("""COMPUTED_VALUE"""),40.0)</f>
        <v>40</v>
      </c>
    </row>
    <row r="7391">
      <c r="A7391" s="178" t="str">
        <f>IFERROR(__xludf.DUMMYFUNCTION("""COMPUTED_VALUE"""),"ITBISA-JUMPER-MM-10CM")</f>
        <v>ITBISA-JUMPER-MM-10CM</v>
      </c>
      <c r="B7391" s="266">
        <f>IFERROR(__xludf.DUMMYFUNCTION("""COMPUTED_VALUE"""),44239.0)</f>
        <v>44239</v>
      </c>
      <c r="C7391" s="266" t="str">
        <f>IFERROR(__xludf.DUMMYFUNCTION("""COMPUTED_VALUE"""),"KOST RUMAHUMI")</f>
        <v>KOST RUMAHUMI</v>
      </c>
      <c r="D7391" s="186">
        <f>IFERROR(__xludf.DUMMYFUNCTION("""COMPUTED_VALUE"""),40.0)</f>
        <v>40</v>
      </c>
    </row>
    <row r="7392">
      <c r="A7392" s="178" t="str">
        <f>IFERROR(__xludf.DUMMYFUNCTION("""COMPUTED_VALUE"""),"ITBISA-JUMPER-MM-10CM")</f>
        <v>ITBISA-JUMPER-MM-10CM</v>
      </c>
      <c r="B7392" s="266">
        <f>IFERROR(__xludf.DUMMYFUNCTION("""COMPUTED_VALUE"""),44293.0)</f>
        <v>44293</v>
      </c>
      <c r="C7392" s="266" t="str">
        <f>IFERROR(__xludf.DUMMYFUNCTION("""COMPUTED_VALUE"""),"KOST RUMAHUMI")</f>
        <v>KOST RUMAHUMI</v>
      </c>
      <c r="D7392" s="186">
        <f>IFERROR(__xludf.DUMMYFUNCTION("""COMPUTED_VALUE"""),40.0)</f>
        <v>40</v>
      </c>
    </row>
    <row r="7393">
      <c r="A7393" s="178" t="str">
        <f>IFERROR(__xludf.DUMMYFUNCTION("""COMPUTED_VALUE"""),"ITBISA-JUMPER-MM-10CM")</f>
        <v>ITBISA-JUMPER-MM-10CM</v>
      </c>
      <c r="B7393" s="266">
        <f>IFERROR(__xludf.DUMMYFUNCTION("""COMPUTED_VALUE"""),44422.0)</f>
        <v>44422</v>
      </c>
      <c r="C7393" s="266" t="str">
        <f>IFERROR(__xludf.DUMMYFUNCTION("""COMPUTED_VALUE"""),"KOST RUMAHUMI")</f>
        <v>KOST RUMAHUMI</v>
      </c>
      <c r="D7393" s="186">
        <f>IFERROR(__xludf.DUMMYFUNCTION("""COMPUTED_VALUE"""),40.0)</f>
        <v>40</v>
      </c>
    </row>
    <row r="7394">
      <c r="A7394" s="178" t="str">
        <f>IFERROR(__xludf.DUMMYFUNCTION("""COMPUTED_VALUE"""),"ITBISA-JUMPER-MM-10CM")</f>
        <v>ITBISA-JUMPER-MM-10CM</v>
      </c>
      <c r="B7394" s="266">
        <f>IFERROR(__xludf.DUMMYFUNCTION("""COMPUTED_VALUE"""),44815.0)</f>
        <v>44815</v>
      </c>
      <c r="C7394" s="266" t="str">
        <f>IFERROR(__xludf.DUMMYFUNCTION("""COMPUTED_VALUE"""),"KYAI KONTONG")</f>
        <v>KYAI KONTONG</v>
      </c>
      <c r="D7394" s="186">
        <f>IFERROR(__xludf.DUMMYFUNCTION("""COMPUTED_VALUE"""),1000.0)</f>
        <v>1000</v>
      </c>
    </row>
    <row r="7395">
      <c r="A7395" s="178" t="str">
        <f>IFERROR(__xludf.DUMMYFUNCTION("""COMPUTED_VALUE"""),"ITBISA-JUMPER-MM-10CM")</f>
        <v>ITBISA-JUMPER-MM-10CM</v>
      </c>
      <c r="B7395" s="266">
        <f>IFERROR(__xludf.DUMMYFUNCTION("""COMPUTED_VALUE"""),44833.0)</f>
        <v>44833</v>
      </c>
      <c r="C7395" s="266" t="str">
        <f>IFERROR(__xludf.DUMMYFUNCTION("""COMPUTED_VALUE"""),"KYAI KONTONG")</f>
        <v>KYAI KONTONG</v>
      </c>
      <c r="D7395" s="186">
        <f>IFERROR(__xludf.DUMMYFUNCTION("""COMPUTED_VALUE"""),40.0)</f>
        <v>40</v>
      </c>
    </row>
    <row r="7396">
      <c r="A7396" s="178" t="str">
        <f>IFERROR(__xludf.DUMMYFUNCTION("""COMPUTED_VALUE"""),"ITBISA-JUMPER-MM-10CM")</f>
        <v>ITBISA-JUMPER-MM-10CM</v>
      </c>
      <c r="B7396" s="266">
        <f>IFERROR(__xludf.DUMMYFUNCTION("""COMPUTED_VALUE"""),44957.0)</f>
        <v>44957</v>
      </c>
      <c r="C7396" s="266" t="str">
        <f>IFERROR(__xludf.DUMMYFUNCTION("""COMPUTED_VALUE"""),"KYAI KONTONG")</f>
        <v>KYAI KONTONG</v>
      </c>
      <c r="D7396" s="186">
        <f>IFERROR(__xludf.DUMMYFUNCTION("""COMPUTED_VALUE"""),40.0)</f>
        <v>40</v>
      </c>
    </row>
    <row r="7397">
      <c r="A7397" s="178" t="str">
        <f>IFERROR(__xludf.DUMMYFUNCTION("""COMPUTED_VALUE"""),"ITBISA-JUMPER-MM-10CM")</f>
        <v>ITBISA-JUMPER-MM-10CM</v>
      </c>
      <c r="B7397" s="266">
        <f>IFERROR(__xludf.DUMMYFUNCTION("""COMPUTED_VALUE"""),45380.0)</f>
        <v>45380</v>
      </c>
      <c r="C7397" s="266" t="str">
        <f>IFERROR(__xludf.DUMMYFUNCTION("""COMPUTED_VALUE"""),"KERTASARI CIAMIS")</f>
        <v>KERTASARI CIAMIS</v>
      </c>
      <c r="D7397" s="186">
        <f>IFERROR(__xludf.DUMMYFUNCTION("""COMPUTED_VALUE"""),40.0)</f>
        <v>40</v>
      </c>
    </row>
    <row r="7398">
      <c r="A7398" s="178" t="str">
        <f>IFERROR(__xludf.DUMMYFUNCTION("""COMPUTED_VALUE"""),"ITBISA-JUMPER-MM-10CM")</f>
        <v>ITBISA-JUMPER-MM-10CM</v>
      </c>
      <c r="B7398" s="266">
        <f>IFERROR(__xludf.DUMMYFUNCTION("""COMPUTED_VALUE"""),45381.0)</f>
        <v>45381</v>
      </c>
      <c r="C7398" s="266" t="str">
        <f>IFERROR(__xludf.DUMMYFUNCTION("""COMPUTED_VALUE"""),"KYAI KONTONG")</f>
        <v>KYAI KONTONG</v>
      </c>
      <c r="D7398" s="186">
        <f>IFERROR(__xludf.DUMMYFUNCTION("""COMPUTED_VALUE"""),40.0)</f>
        <v>40</v>
      </c>
    </row>
    <row r="7399">
      <c r="A7399" s="178" t="str">
        <f>IFERROR(__xludf.DUMMYFUNCTION("""COMPUTED_VALUE"""),"ITBISA-JUMPER-MM-10CM")</f>
        <v>ITBISA-JUMPER-MM-10CM</v>
      </c>
      <c r="B7399" s="266">
        <f>IFERROR(__xludf.DUMMYFUNCTION("""COMPUTED_VALUE"""),45381.0)</f>
        <v>45381</v>
      </c>
      <c r="C7399" s="266" t="str">
        <f>IFERROR(__xludf.DUMMYFUNCTION("""COMPUTED_VALUE"""),"KYAI KONTONG")</f>
        <v>KYAI KONTONG</v>
      </c>
      <c r="D7399" s="186">
        <f>IFERROR(__xludf.DUMMYFUNCTION("""COMPUTED_VALUE"""),40.0)</f>
        <v>40</v>
      </c>
    </row>
    <row r="7400">
      <c r="A7400" s="178" t="str">
        <f>IFERROR(__xludf.DUMMYFUNCTION("""COMPUTED_VALUE"""),"ITBISA-JUMPER-MM-10CM")</f>
        <v>ITBISA-JUMPER-MM-10CM</v>
      </c>
      <c r="B7400" s="266">
        <f>IFERROR(__xludf.DUMMYFUNCTION("""COMPUTED_VALUE"""),45390.0)</f>
        <v>45390</v>
      </c>
      <c r="C7400" s="266" t="str">
        <f>IFERROR(__xludf.DUMMYFUNCTION("""COMPUTED_VALUE"""),"KYAI KONTONG")</f>
        <v>KYAI KONTONG</v>
      </c>
      <c r="D7400" s="186">
        <f>IFERROR(__xludf.DUMMYFUNCTION("""COMPUTED_VALUE"""),40.0)</f>
        <v>40</v>
      </c>
    </row>
    <row r="7401">
      <c r="A7401" s="178" t="str">
        <f>IFERROR(__xludf.DUMMYFUNCTION("""COMPUTED_VALUE"""),"ITBISA-JUMPER-MM-10CM")</f>
        <v>ITBISA-JUMPER-MM-10CM</v>
      </c>
      <c r="B7401" s="266">
        <f>IFERROR(__xludf.DUMMYFUNCTION("""COMPUTED_VALUE"""),45420.0)</f>
        <v>45420</v>
      </c>
      <c r="C7401" s="266" t="str">
        <f>IFERROR(__xludf.DUMMYFUNCTION("""COMPUTED_VALUE"""),"KERTASARI CIAMIS")</f>
        <v>KERTASARI CIAMIS</v>
      </c>
      <c r="D7401" s="186">
        <f>IFERROR(__xludf.DUMMYFUNCTION("""COMPUTED_VALUE"""),40.0)</f>
        <v>40</v>
      </c>
    </row>
    <row r="7402">
      <c r="A7402" s="178" t="str">
        <f>IFERROR(__xludf.DUMMYFUNCTION("""COMPUTED_VALUE"""),"ITBISA-JUMPER-MM-10CM")</f>
        <v>ITBISA-JUMPER-MM-10CM</v>
      </c>
      <c r="B7402" s="266">
        <f>IFERROR(__xludf.DUMMYFUNCTION("""COMPUTED_VALUE"""),45429.0)</f>
        <v>45429</v>
      </c>
      <c r="C7402" s="266" t="str">
        <f>IFERROR(__xludf.DUMMYFUNCTION("""COMPUTED_VALUE"""),"KYAI KONTONG")</f>
        <v>KYAI KONTONG</v>
      </c>
      <c r="D7402" s="186">
        <f>IFERROR(__xludf.DUMMYFUNCTION("""COMPUTED_VALUE"""),40.0)</f>
        <v>40</v>
      </c>
    </row>
    <row r="7403">
      <c r="A7403" s="178" t="str">
        <f>IFERROR(__xludf.DUMMYFUNCTION("""COMPUTED_VALUE"""),"ITBISA-JUMPER-MM-10CM")</f>
        <v>ITBISA-JUMPER-MM-10CM</v>
      </c>
      <c r="B7403" s="266">
        <f>IFERROR(__xludf.DUMMYFUNCTION("""COMPUTED_VALUE"""),45430.0)</f>
        <v>45430</v>
      </c>
      <c r="C7403" s="266" t="str">
        <f>IFERROR(__xludf.DUMMYFUNCTION("""COMPUTED_VALUE"""),"KYAI KONTONG")</f>
        <v>KYAI KONTONG</v>
      </c>
      <c r="D7403" s="186">
        <f>IFERROR(__xludf.DUMMYFUNCTION("""COMPUTED_VALUE"""),40.0)</f>
        <v>40</v>
      </c>
    </row>
    <row r="7404">
      <c r="A7404" s="178" t="str">
        <f>IFERROR(__xludf.DUMMYFUNCTION("""COMPUTED_VALUE"""),"ITBISA-JUMPER-MM-10CM")</f>
        <v>ITBISA-JUMPER-MM-10CM</v>
      </c>
      <c r="B7404" s="266">
        <f>IFERROR(__xludf.DUMMYFUNCTION("""COMPUTED_VALUE"""),45433.0)</f>
        <v>45433</v>
      </c>
      <c r="C7404" s="266" t="str">
        <f>IFERROR(__xludf.DUMMYFUNCTION("""COMPUTED_VALUE"""),"KYAI KONTONG")</f>
        <v>KYAI KONTONG</v>
      </c>
      <c r="D7404" s="186">
        <f>IFERROR(__xludf.DUMMYFUNCTION("""COMPUTED_VALUE"""),40.0)</f>
        <v>40</v>
      </c>
    </row>
    <row r="7405">
      <c r="A7405" s="178" t="str">
        <f>IFERROR(__xludf.DUMMYFUNCTION("""COMPUTED_VALUE"""),"ITBISA-JUMPER-MM-10CM")</f>
        <v>ITBISA-JUMPER-MM-10CM</v>
      </c>
      <c r="B7405" s="266">
        <f>IFERROR(__xludf.DUMMYFUNCTION("""COMPUTED_VALUE"""),45439.0)</f>
        <v>45439</v>
      </c>
      <c r="C7405" s="266" t="str">
        <f>IFERROR(__xludf.DUMMYFUNCTION("""COMPUTED_VALUE"""),"KYAI KONTONG")</f>
        <v>KYAI KONTONG</v>
      </c>
      <c r="D7405" s="186">
        <f>IFERROR(__xludf.DUMMYFUNCTION("""COMPUTED_VALUE"""),40.0)</f>
        <v>40</v>
      </c>
    </row>
    <row r="7406">
      <c r="A7406" s="178" t="str">
        <f>IFERROR(__xludf.DUMMYFUNCTION("""COMPUTED_VALUE"""),"ITBISA-JUMPER-MM-10CM")</f>
        <v>ITBISA-JUMPER-MM-10CM</v>
      </c>
      <c r="B7406" s="266">
        <f>IFERROR(__xludf.DUMMYFUNCTION("""COMPUTED_VALUE"""),45446.0)</f>
        <v>45446</v>
      </c>
      <c r="C7406" s="266" t="str">
        <f>IFERROR(__xludf.DUMMYFUNCTION("""COMPUTED_VALUE"""),"KERTASARI CIAMIS")</f>
        <v>KERTASARI CIAMIS</v>
      </c>
      <c r="D7406" s="186">
        <f>IFERROR(__xludf.DUMMYFUNCTION("""COMPUTED_VALUE"""),80.0)</f>
        <v>80</v>
      </c>
    </row>
    <row r="7407">
      <c r="A7407" s="178" t="str">
        <f>IFERROR(__xludf.DUMMYFUNCTION("""COMPUTED_VALUE"""),"ITBISA-JUMPER-MM-10CM")</f>
        <v>ITBISA-JUMPER-MM-10CM</v>
      </c>
      <c r="B7407" s="266">
        <f>IFERROR(__xludf.DUMMYFUNCTION("""COMPUTED_VALUE"""),45447.0)</f>
        <v>45447</v>
      </c>
      <c r="C7407" s="266" t="str">
        <f>IFERROR(__xludf.DUMMYFUNCTION("""COMPUTED_VALUE"""),"KERTASARI CIAMIS")</f>
        <v>KERTASARI CIAMIS</v>
      </c>
      <c r="D7407" s="186">
        <f>IFERROR(__xludf.DUMMYFUNCTION("""COMPUTED_VALUE"""),40.0)</f>
        <v>40</v>
      </c>
    </row>
    <row r="7408">
      <c r="A7408" s="178" t="str">
        <f>IFERROR(__xludf.DUMMYFUNCTION("""COMPUTED_VALUE"""),"ITBISA-JUMPER-MM-10CM")</f>
        <v>ITBISA-JUMPER-MM-10CM</v>
      </c>
      <c r="B7408" s="266">
        <f>IFERROR(__xludf.DUMMYFUNCTION("""COMPUTED_VALUE"""),45448.0)</f>
        <v>45448</v>
      </c>
      <c r="C7408" s="266" t="str">
        <f>IFERROR(__xludf.DUMMYFUNCTION("""COMPUTED_VALUE"""),"KYAI KONTONG")</f>
        <v>KYAI KONTONG</v>
      </c>
      <c r="D7408" s="186">
        <f>IFERROR(__xludf.DUMMYFUNCTION("""COMPUTED_VALUE"""),40.0)</f>
        <v>40</v>
      </c>
    </row>
    <row r="7409">
      <c r="A7409" s="178" t="str">
        <f>IFERROR(__xludf.DUMMYFUNCTION("""COMPUTED_VALUE"""),"ITBISA-JUMPER-MM-10CM")</f>
        <v>ITBISA-JUMPER-MM-10CM</v>
      </c>
      <c r="B7409" s="266">
        <f>IFERROR(__xludf.DUMMYFUNCTION("""COMPUTED_VALUE"""),45452.0)</f>
        <v>45452</v>
      </c>
      <c r="C7409" s="266" t="str">
        <f>IFERROR(__xludf.DUMMYFUNCTION("""COMPUTED_VALUE"""),"KYAI KONTONG")</f>
        <v>KYAI KONTONG</v>
      </c>
      <c r="D7409" s="186">
        <f>IFERROR(__xludf.DUMMYFUNCTION("""COMPUTED_VALUE"""),40.0)</f>
        <v>40</v>
      </c>
    </row>
    <row r="7410">
      <c r="A7410" s="178" t="str">
        <f>IFERROR(__xludf.DUMMYFUNCTION("""COMPUTED_VALUE"""),"ITBISA-JUMPER-MM-10CM")</f>
        <v>ITBISA-JUMPER-MM-10CM</v>
      </c>
      <c r="B7410" s="266">
        <f>IFERROR(__xludf.DUMMYFUNCTION("""COMPUTED_VALUE"""),45453.0)</f>
        <v>45453</v>
      </c>
      <c r="C7410" s="266" t="str">
        <f>IFERROR(__xludf.DUMMYFUNCTION("""COMPUTED_VALUE"""),"KYAI KONTONG")</f>
        <v>KYAI KONTONG</v>
      </c>
      <c r="D7410" s="186">
        <f>IFERROR(__xludf.DUMMYFUNCTION("""COMPUTED_VALUE"""),40.0)</f>
        <v>40</v>
      </c>
    </row>
    <row r="7411">
      <c r="A7411" s="178" t="str">
        <f>IFERROR(__xludf.DUMMYFUNCTION("""COMPUTED_VALUE"""),"ITBISA-JUMPER-MM-10CM")</f>
        <v>ITBISA-JUMPER-MM-10CM</v>
      </c>
      <c r="B7411" s="266">
        <f>IFERROR(__xludf.DUMMYFUNCTION("""COMPUTED_VALUE"""),45468.0)</f>
        <v>45468</v>
      </c>
      <c r="C7411" s="266" t="str">
        <f>IFERROR(__xludf.DUMMYFUNCTION("""COMPUTED_VALUE"""),"KERTASARI CIAMIS")</f>
        <v>KERTASARI CIAMIS</v>
      </c>
      <c r="D7411" s="186">
        <f>IFERROR(__xludf.DUMMYFUNCTION("""COMPUTED_VALUE"""),2160.0)</f>
        <v>2160</v>
      </c>
    </row>
    <row r="7412">
      <c r="A7412" s="178" t="str">
        <f>IFERROR(__xludf.DUMMYFUNCTION("""COMPUTED_VALUE"""),"ITBISA-JUMPER-MM-10CM")</f>
        <v>ITBISA-JUMPER-MM-10CM</v>
      </c>
      <c r="B7412" s="266">
        <f>IFERROR(__xludf.DUMMYFUNCTION("""COMPUTED_VALUE"""),45474.0)</f>
        <v>45474</v>
      </c>
      <c r="C7412" s="266" t="str">
        <f>IFERROR(__xludf.DUMMYFUNCTION("""COMPUTED_VALUE"""),"KERTASARI CIAMIS")</f>
        <v>KERTASARI CIAMIS</v>
      </c>
      <c r="D7412" s="186">
        <f>IFERROR(__xludf.DUMMYFUNCTION("""COMPUTED_VALUE"""),40.0)</f>
        <v>40</v>
      </c>
    </row>
    <row r="7413">
      <c r="A7413" s="178" t="str">
        <f>IFERROR(__xludf.DUMMYFUNCTION("""COMPUTED_VALUE"""),"ITBISA-JUMPER-MM-10CM")</f>
        <v>ITBISA-JUMPER-MM-10CM</v>
      </c>
      <c r="B7413" s="266">
        <f>IFERROR(__xludf.DUMMYFUNCTION("""COMPUTED_VALUE"""),45475.0)</f>
        <v>45475</v>
      </c>
      <c r="C7413" s="266" t="str">
        <f>IFERROR(__xludf.DUMMYFUNCTION("""COMPUTED_VALUE"""),"KYAI KONTONG")</f>
        <v>KYAI KONTONG</v>
      </c>
      <c r="D7413" s="186">
        <f>IFERROR(__xludf.DUMMYFUNCTION("""COMPUTED_VALUE"""),40.0)</f>
        <v>40</v>
      </c>
    </row>
    <row r="7414">
      <c r="A7414" s="178" t="str">
        <f>IFERROR(__xludf.DUMMYFUNCTION("""COMPUTED_VALUE"""),"ITBISA-JUMPER-MM-10CM")</f>
        <v>ITBISA-JUMPER-MM-10CM</v>
      </c>
      <c r="B7414" s="266">
        <f>IFERROR(__xludf.DUMMYFUNCTION("""COMPUTED_VALUE"""),45480.0)</f>
        <v>45480</v>
      </c>
      <c r="C7414" s="266" t="str">
        <f>IFERROR(__xludf.DUMMYFUNCTION("""COMPUTED_VALUE"""),"KERTASARI CIAMIS")</f>
        <v>KERTASARI CIAMIS</v>
      </c>
      <c r="D7414" s="186">
        <f>IFERROR(__xludf.DUMMYFUNCTION("""COMPUTED_VALUE"""),40.0)</f>
        <v>40</v>
      </c>
    </row>
    <row r="7415">
      <c r="A7415" s="178" t="str">
        <f>IFERROR(__xludf.DUMMYFUNCTION("""COMPUTED_VALUE"""),"ITBISA-JUMPER-MM-10CM")</f>
        <v>ITBISA-JUMPER-MM-10CM</v>
      </c>
      <c r="B7415" s="266">
        <f>IFERROR(__xludf.DUMMYFUNCTION("""COMPUTED_VALUE"""),45485.0)</f>
        <v>45485</v>
      </c>
      <c r="C7415" s="266" t="str">
        <f>IFERROR(__xludf.DUMMYFUNCTION("""COMPUTED_VALUE"""),"KYAI KONTONG")</f>
        <v>KYAI KONTONG</v>
      </c>
      <c r="D7415" s="186">
        <f>IFERROR(__xludf.DUMMYFUNCTION("""COMPUTED_VALUE"""),40.0)</f>
        <v>40</v>
      </c>
    </row>
    <row r="7416">
      <c r="A7416" s="178" t="str">
        <f>IFERROR(__xludf.DUMMYFUNCTION("""COMPUTED_VALUE"""),"ITBISA-JUMPER-MM-10CM")</f>
        <v>ITBISA-JUMPER-MM-10CM</v>
      </c>
      <c r="B7416" s="266">
        <f>IFERROR(__xludf.DUMMYFUNCTION("""COMPUTED_VALUE"""),45489.0)</f>
        <v>45489</v>
      </c>
      <c r="C7416" s="266" t="str">
        <f>IFERROR(__xludf.DUMMYFUNCTION("""COMPUTED_VALUE"""),"KYAI KONTONG")</f>
        <v>KYAI KONTONG</v>
      </c>
      <c r="D7416" s="186">
        <f>IFERROR(__xludf.DUMMYFUNCTION("""COMPUTED_VALUE"""),40.0)</f>
        <v>40</v>
      </c>
    </row>
    <row r="7417">
      <c r="A7417" s="178" t="str">
        <f>IFERROR(__xludf.DUMMYFUNCTION("""COMPUTED_VALUE"""),"ITBISA-JUMPER-MM-10CM")</f>
        <v>ITBISA-JUMPER-MM-10CM</v>
      </c>
      <c r="B7417" s="266">
        <f>IFERROR(__xludf.DUMMYFUNCTION("""COMPUTED_VALUE"""),45491.0)</f>
        <v>45491</v>
      </c>
      <c r="C7417" s="266" t="str">
        <f>IFERROR(__xludf.DUMMYFUNCTION("""COMPUTED_VALUE"""),"KERTASARI CIAMIS")</f>
        <v>KERTASARI CIAMIS</v>
      </c>
      <c r="D7417" s="186">
        <f>IFERROR(__xludf.DUMMYFUNCTION("""COMPUTED_VALUE"""),40.0)</f>
        <v>40</v>
      </c>
    </row>
    <row r="7418">
      <c r="A7418" s="178" t="str">
        <f>IFERROR(__xludf.DUMMYFUNCTION("""COMPUTED_VALUE"""),"ITBISA-JUMPER-MM-10CM")</f>
        <v>ITBISA-JUMPER-MM-10CM</v>
      </c>
      <c r="B7418" s="266">
        <f>IFERROR(__xludf.DUMMYFUNCTION("""COMPUTED_VALUE"""),45499.0)</f>
        <v>45499</v>
      </c>
      <c r="C7418" s="266" t="str">
        <f>IFERROR(__xludf.DUMMYFUNCTION("""COMPUTED_VALUE"""),"KYAI KONTONG")</f>
        <v>KYAI KONTONG</v>
      </c>
      <c r="D7418" s="186">
        <f>IFERROR(__xludf.DUMMYFUNCTION("""COMPUTED_VALUE"""),40.0)</f>
        <v>40</v>
      </c>
    </row>
    <row r="7419">
      <c r="A7419" s="178" t="str">
        <f>IFERROR(__xludf.DUMMYFUNCTION("""COMPUTED_VALUE"""),"ITBISA-JUMPER-MM-10CM")</f>
        <v>ITBISA-JUMPER-MM-10CM</v>
      </c>
      <c r="B7419" s="266">
        <f>IFERROR(__xludf.DUMMYFUNCTION("""COMPUTED_VALUE"""),45500.0)</f>
        <v>45500</v>
      </c>
      <c r="C7419" s="266" t="str">
        <f>IFERROR(__xludf.DUMMYFUNCTION("""COMPUTED_VALUE"""),"KYAI KONTONG")</f>
        <v>KYAI KONTONG</v>
      </c>
      <c r="D7419" s="186">
        <f>IFERROR(__xludf.DUMMYFUNCTION("""COMPUTED_VALUE"""),120.0)</f>
        <v>120</v>
      </c>
    </row>
    <row r="7420">
      <c r="A7420" s="178" t="str">
        <f>IFERROR(__xludf.DUMMYFUNCTION("""COMPUTED_VALUE"""),"ITBISA-JUMPER-MM-10CM")</f>
        <v>ITBISA-JUMPER-MM-10CM</v>
      </c>
      <c r="B7420" s="266">
        <f>IFERROR(__xludf.DUMMYFUNCTION("""COMPUTED_VALUE"""),45502.0)</f>
        <v>45502</v>
      </c>
      <c r="C7420" s="266" t="str">
        <f>IFERROR(__xludf.DUMMYFUNCTION("""COMPUTED_VALUE"""),"KERTASARI CIAMIS")</f>
        <v>KERTASARI CIAMIS</v>
      </c>
      <c r="D7420" s="186">
        <f>IFERROR(__xludf.DUMMYFUNCTION("""COMPUTED_VALUE"""),600.0)</f>
        <v>600</v>
      </c>
    </row>
    <row r="7421">
      <c r="A7421" s="178" t="str">
        <f>IFERROR(__xludf.DUMMYFUNCTION("""COMPUTED_VALUE"""),"ITBISA-JUMPER-MM-10CM")</f>
        <v>ITBISA-JUMPER-MM-10CM</v>
      </c>
      <c r="B7421" s="266">
        <f>IFERROR(__xludf.DUMMYFUNCTION("""COMPUTED_VALUE"""),45506.0)</f>
        <v>45506</v>
      </c>
      <c r="C7421" s="266" t="str">
        <f>IFERROR(__xludf.DUMMYFUNCTION("""COMPUTED_VALUE"""),"KYAI KONTONG")</f>
        <v>KYAI KONTONG</v>
      </c>
      <c r="D7421" s="186">
        <f>IFERROR(__xludf.DUMMYFUNCTION("""COMPUTED_VALUE"""),40.0)</f>
        <v>40</v>
      </c>
    </row>
    <row r="7422">
      <c r="A7422" s="178" t="str">
        <f>IFERROR(__xludf.DUMMYFUNCTION("""COMPUTED_VALUE"""),"ITBISA-JUMPER-MM-10CM")</f>
        <v>ITBISA-JUMPER-MM-10CM</v>
      </c>
      <c r="B7422" s="266">
        <f>IFERROR(__xludf.DUMMYFUNCTION("""COMPUTED_VALUE"""),45518.0)</f>
        <v>45518</v>
      </c>
      <c r="C7422" s="266" t="str">
        <f>IFERROR(__xludf.DUMMYFUNCTION("""COMPUTED_VALUE"""),"KYAI KONTONG")</f>
        <v>KYAI KONTONG</v>
      </c>
      <c r="D7422" s="186">
        <f>IFERROR(__xludf.DUMMYFUNCTION("""COMPUTED_VALUE"""),40.0)</f>
        <v>40</v>
      </c>
    </row>
    <row r="7423">
      <c r="A7423" s="178" t="str">
        <f>IFERROR(__xludf.DUMMYFUNCTION("""COMPUTED_VALUE"""),"ITBISA-JUMPER-MM-10CM")</f>
        <v>ITBISA-JUMPER-MM-10CM</v>
      </c>
      <c r="B7423" s="266">
        <f>IFERROR(__xludf.DUMMYFUNCTION("""COMPUTED_VALUE"""),45520.0)</f>
        <v>45520</v>
      </c>
      <c r="C7423" s="266" t="str">
        <f>IFERROR(__xludf.DUMMYFUNCTION("""COMPUTED_VALUE"""),"KERTASARI CIAMIS")</f>
        <v>KERTASARI CIAMIS</v>
      </c>
      <c r="D7423" s="186">
        <f>IFERROR(__xludf.DUMMYFUNCTION("""COMPUTED_VALUE"""),80.0)</f>
        <v>80</v>
      </c>
    </row>
    <row r="7424">
      <c r="A7424" s="178" t="str">
        <f>IFERROR(__xludf.DUMMYFUNCTION("""COMPUTED_VALUE"""),"ITBISA-JUMPER-MM-10CM")</f>
        <v>ITBISA-JUMPER-MM-10CM</v>
      </c>
      <c r="B7424" s="266">
        <f>IFERROR(__xludf.DUMMYFUNCTION("""COMPUTED_VALUE"""),45522.0)</f>
        <v>45522</v>
      </c>
      <c r="C7424" s="266" t="str">
        <f>IFERROR(__xludf.DUMMYFUNCTION("""COMPUTED_VALUE"""),"KYAI KONTONG")</f>
        <v>KYAI KONTONG</v>
      </c>
      <c r="D7424" s="186">
        <f>IFERROR(__xludf.DUMMYFUNCTION("""COMPUTED_VALUE"""),40.0)</f>
        <v>40</v>
      </c>
    </row>
    <row r="7425">
      <c r="A7425" s="178" t="str">
        <f>IFERROR(__xludf.DUMMYFUNCTION("""COMPUTED_VALUE"""),"ITBISA-JUMPER-MM-10CM")</f>
        <v>ITBISA-JUMPER-MM-10CM</v>
      </c>
      <c r="B7425" s="266">
        <f>IFERROR(__xludf.DUMMYFUNCTION("""COMPUTED_VALUE"""),45539.0)</f>
        <v>45539</v>
      </c>
      <c r="C7425" s="266" t="str">
        <f>IFERROR(__xludf.DUMMYFUNCTION("""COMPUTED_VALUE"""),"KERTASARI CIAMIS")</f>
        <v>KERTASARI CIAMIS</v>
      </c>
      <c r="D7425" s="186">
        <f>IFERROR(__xludf.DUMMYFUNCTION("""COMPUTED_VALUE"""),40.0)</f>
        <v>40</v>
      </c>
    </row>
    <row r="7426">
      <c r="A7426" s="178" t="str">
        <f>IFERROR(__xludf.DUMMYFUNCTION("""COMPUTED_VALUE"""),"ITBISA-JUMPER-MM-10CM")</f>
        <v>ITBISA-JUMPER-MM-10CM</v>
      </c>
      <c r="B7426" s="266">
        <f>IFERROR(__xludf.DUMMYFUNCTION("""COMPUTED_VALUE"""),45540.0)</f>
        <v>45540</v>
      </c>
      <c r="C7426" s="266" t="str">
        <f>IFERROR(__xludf.DUMMYFUNCTION("""COMPUTED_VALUE"""),"KYAI KONTONG")</f>
        <v>KYAI KONTONG</v>
      </c>
      <c r="D7426" s="186">
        <f>IFERROR(__xludf.DUMMYFUNCTION("""COMPUTED_VALUE"""),40.0)</f>
        <v>40</v>
      </c>
    </row>
    <row r="7427">
      <c r="A7427" s="178" t="str">
        <f>IFERROR(__xludf.DUMMYFUNCTION("""COMPUTED_VALUE"""),"ITBISA-JUMPER-MM-10CM")</f>
        <v>ITBISA-JUMPER-MM-10CM</v>
      </c>
      <c r="B7427" s="266">
        <f>IFERROR(__xludf.DUMMYFUNCTION("""COMPUTED_VALUE"""),45545.0)</f>
        <v>45545</v>
      </c>
      <c r="C7427" s="266" t="str">
        <f>IFERROR(__xludf.DUMMYFUNCTION("""COMPUTED_VALUE"""),"KYAI KONTONG")</f>
        <v>KYAI KONTONG</v>
      </c>
      <c r="D7427" s="186">
        <f>IFERROR(__xludf.DUMMYFUNCTION("""COMPUTED_VALUE"""),40.0)</f>
        <v>40</v>
      </c>
    </row>
    <row r="7428">
      <c r="A7428" s="178" t="str">
        <f>IFERROR(__xludf.DUMMYFUNCTION("""COMPUTED_VALUE"""),"ITBISA-JUMPER-MM-10CM")</f>
        <v>ITBISA-JUMPER-MM-10CM</v>
      </c>
      <c r="B7428" s="266">
        <f>IFERROR(__xludf.DUMMYFUNCTION("""COMPUTED_VALUE"""),45550.0)</f>
        <v>45550</v>
      </c>
      <c r="C7428" s="266" t="str">
        <f>IFERROR(__xludf.DUMMYFUNCTION("""COMPUTED_VALUE"""),"KYAI KONTONG")</f>
        <v>KYAI KONTONG</v>
      </c>
      <c r="D7428" s="186">
        <f>IFERROR(__xludf.DUMMYFUNCTION("""COMPUTED_VALUE"""),40.0)</f>
        <v>40</v>
      </c>
    </row>
    <row r="7429">
      <c r="A7429" s="178" t="str">
        <f>IFERROR(__xludf.DUMMYFUNCTION("""COMPUTED_VALUE"""),"ITBISA-JUMPER-MM-10CM")</f>
        <v>ITBISA-JUMPER-MM-10CM</v>
      </c>
      <c r="B7429" s="266">
        <f>IFERROR(__xludf.DUMMYFUNCTION("""COMPUTED_VALUE"""),45555.0)</f>
        <v>45555</v>
      </c>
      <c r="C7429" s="266" t="str">
        <f>IFERROR(__xludf.DUMMYFUNCTION("""COMPUTED_VALUE"""),"KYAI KONTONG")</f>
        <v>KYAI KONTONG</v>
      </c>
      <c r="D7429" s="186">
        <f>IFERROR(__xludf.DUMMYFUNCTION("""COMPUTED_VALUE"""),40.0)</f>
        <v>40</v>
      </c>
    </row>
    <row r="7430">
      <c r="A7430" s="178" t="str">
        <f>IFERROR(__xludf.DUMMYFUNCTION("""COMPUTED_VALUE"""),"ITBISA-JUMPER-MM-10CM")</f>
        <v>ITBISA-JUMPER-MM-10CM</v>
      </c>
      <c r="B7430" s="266">
        <f>IFERROR(__xludf.DUMMYFUNCTION("""COMPUTED_VALUE"""),45575.0)</f>
        <v>45575</v>
      </c>
      <c r="C7430" s="266" t="str">
        <f>IFERROR(__xludf.DUMMYFUNCTION("""COMPUTED_VALUE"""),"KYAI KONTONG")</f>
        <v>KYAI KONTONG</v>
      </c>
      <c r="D7430" s="186">
        <f>IFERROR(__xludf.DUMMYFUNCTION("""COMPUTED_VALUE"""),80.0)</f>
        <v>80</v>
      </c>
    </row>
    <row r="7431">
      <c r="A7431" s="178" t="str">
        <f>IFERROR(__xludf.DUMMYFUNCTION("""COMPUTED_VALUE"""),"ITBISA-JUMPER-MM-10CM")</f>
        <v>ITBISA-JUMPER-MM-10CM</v>
      </c>
      <c r="B7431" s="266">
        <f>IFERROR(__xludf.DUMMYFUNCTION("""COMPUTED_VALUE"""),45580.0)</f>
        <v>45580</v>
      </c>
      <c r="C7431" s="266" t="str">
        <f>IFERROR(__xludf.DUMMYFUNCTION("""COMPUTED_VALUE"""),"KYAI KONTONG")</f>
        <v>KYAI KONTONG</v>
      </c>
      <c r="D7431" s="186">
        <f>IFERROR(__xludf.DUMMYFUNCTION("""COMPUTED_VALUE"""),400.0)</f>
        <v>400</v>
      </c>
    </row>
    <row r="7432">
      <c r="A7432" s="178" t="str">
        <f>IFERROR(__xludf.DUMMYFUNCTION("""COMPUTED_VALUE"""),"ITBISA-JUMPER-MM-10CM")</f>
        <v>ITBISA-JUMPER-MM-10CM</v>
      </c>
      <c r="B7432" s="266">
        <f>IFERROR(__xludf.DUMMYFUNCTION("""COMPUTED_VALUE"""),45614.0)</f>
        <v>45614</v>
      </c>
      <c r="C7432" s="266" t="str">
        <f>IFERROR(__xludf.DUMMYFUNCTION("""COMPUTED_VALUE"""),"KERTASARI CIAMIS")</f>
        <v>KERTASARI CIAMIS</v>
      </c>
      <c r="D7432" s="186">
        <f>IFERROR(__xludf.DUMMYFUNCTION("""COMPUTED_VALUE"""),40.0)</f>
        <v>40</v>
      </c>
    </row>
    <row r="7433">
      <c r="A7433" s="178" t="str">
        <f>IFERROR(__xludf.DUMMYFUNCTION("""COMPUTED_VALUE"""),"ITBISA-JUMPER-MM-10CM")</f>
        <v>ITBISA-JUMPER-MM-10CM</v>
      </c>
      <c r="B7433" s="266">
        <f>IFERROR(__xludf.DUMMYFUNCTION("""COMPUTED_VALUE"""),45615.0)</f>
        <v>45615</v>
      </c>
      <c r="C7433" s="266" t="str">
        <f>IFERROR(__xludf.DUMMYFUNCTION("""COMPUTED_VALUE"""),"KERTASARI CIAMIS")</f>
        <v>KERTASARI CIAMIS</v>
      </c>
      <c r="D7433" s="186">
        <f>IFERROR(__xludf.DUMMYFUNCTION("""COMPUTED_VALUE"""),40.0)</f>
        <v>40</v>
      </c>
    </row>
    <row r="7434">
      <c r="A7434" s="178" t="str">
        <f>IFERROR(__xludf.DUMMYFUNCTION("""COMPUTED_VALUE"""),"ITBISA-JUMPER-MM-10CM")</f>
        <v>ITBISA-JUMPER-MM-10CM</v>
      </c>
      <c r="B7434" s="266">
        <f>IFERROR(__xludf.DUMMYFUNCTION("""COMPUTED_VALUE"""),45622.0)</f>
        <v>45622</v>
      </c>
      <c r="C7434" s="266" t="str">
        <f>IFERROR(__xludf.DUMMYFUNCTION("""COMPUTED_VALUE"""),"KYAI KONTONG")</f>
        <v>KYAI KONTONG</v>
      </c>
      <c r="D7434" s="186">
        <f>IFERROR(__xludf.DUMMYFUNCTION("""COMPUTED_VALUE"""),40.0)</f>
        <v>40</v>
      </c>
    </row>
    <row r="7435">
      <c r="A7435" s="178" t="str">
        <f>IFERROR(__xludf.DUMMYFUNCTION("""COMPUTED_VALUE"""),"ITBISA-JUMPER-MM-10CM")</f>
        <v>ITBISA-JUMPER-MM-10CM</v>
      </c>
      <c r="B7435" s="266">
        <f>IFERROR(__xludf.DUMMYFUNCTION("""COMPUTED_VALUE"""),45622.0)</f>
        <v>45622</v>
      </c>
      <c r="C7435" s="266" t="str">
        <f>IFERROR(__xludf.DUMMYFUNCTION("""COMPUTED_VALUE"""),"KYAI KONTONG")</f>
        <v>KYAI KONTONG</v>
      </c>
      <c r="D7435" s="186">
        <f>IFERROR(__xludf.DUMMYFUNCTION("""COMPUTED_VALUE"""),40.0)</f>
        <v>40</v>
      </c>
    </row>
    <row r="7436">
      <c r="A7436" s="178" t="str">
        <f>IFERROR(__xludf.DUMMYFUNCTION("""COMPUTED_VALUE"""),"ITBISA-JUMPER-MM-10CM")</f>
        <v>ITBISA-JUMPER-MM-10CM</v>
      </c>
      <c r="B7436" s="266">
        <f>IFERROR(__xludf.DUMMYFUNCTION("""COMPUTED_VALUE"""),45626.0)</f>
        <v>45626</v>
      </c>
      <c r="C7436" s="266" t="str">
        <f>IFERROR(__xludf.DUMMYFUNCTION("""COMPUTED_VALUE"""),"KERTASARI CIAMIS")</f>
        <v>KERTASARI CIAMIS</v>
      </c>
      <c r="D7436" s="186">
        <f>IFERROR(__xludf.DUMMYFUNCTION("""COMPUTED_VALUE"""),40.0)</f>
        <v>40</v>
      </c>
    </row>
    <row r="7437">
      <c r="A7437" s="178" t="str">
        <f>IFERROR(__xludf.DUMMYFUNCTION("""COMPUTED_VALUE"""),"ITBISA-JUMPER-MM-10CM")</f>
        <v>ITBISA-JUMPER-MM-10CM</v>
      </c>
      <c r="B7437" s="266">
        <f>IFERROR(__xludf.DUMMYFUNCTION("""COMPUTED_VALUE"""),45636.0)</f>
        <v>45636</v>
      </c>
      <c r="C7437" s="266" t="str">
        <f>IFERROR(__xludf.DUMMYFUNCTION("""COMPUTED_VALUE"""),"KYAI KONTONG")</f>
        <v>KYAI KONTONG</v>
      </c>
      <c r="D7437" s="186">
        <f>IFERROR(__xludf.DUMMYFUNCTION("""COMPUTED_VALUE"""),40.0)</f>
        <v>40</v>
      </c>
    </row>
    <row r="7438">
      <c r="A7438" s="178" t="str">
        <f>IFERROR(__xludf.DUMMYFUNCTION("""COMPUTED_VALUE"""),"ITBISA-JUMPER-MM-10CM")</f>
        <v>ITBISA-JUMPER-MM-10CM</v>
      </c>
      <c r="B7438" s="266">
        <f>IFERROR(__xludf.DUMMYFUNCTION("""COMPUTED_VALUE"""),45641.0)</f>
        <v>45641</v>
      </c>
      <c r="C7438" s="266" t="str">
        <f>IFERROR(__xludf.DUMMYFUNCTION("""COMPUTED_VALUE"""),"KYAI KONTONG")</f>
        <v>KYAI KONTONG</v>
      </c>
      <c r="D7438" s="186">
        <f>IFERROR(__xludf.DUMMYFUNCTION("""COMPUTED_VALUE"""),40.0)</f>
        <v>40</v>
      </c>
    </row>
    <row r="7439">
      <c r="A7439" s="178" t="str">
        <f>IFERROR(__xludf.DUMMYFUNCTION("""COMPUTED_VALUE"""),"ITBISA-JUMPER-MM-10CM")</f>
        <v>ITBISA-JUMPER-MM-10CM</v>
      </c>
      <c r="B7439" s="266">
        <f>IFERROR(__xludf.DUMMYFUNCTION("""COMPUTED_VALUE"""),45643.0)</f>
        <v>45643</v>
      </c>
      <c r="C7439" s="266" t="str">
        <f>IFERROR(__xludf.DUMMYFUNCTION("""COMPUTED_VALUE"""),"KYAI KONTONG")</f>
        <v>KYAI KONTONG</v>
      </c>
      <c r="D7439" s="186">
        <f>IFERROR(__xludf.DUMMYFUNCTION("""COMPUTED_VALUE"""),40.0)</f>
        <v>40</v>
      </c>
    </row>
    <row r="7440">
      <c r="A7440" s="178" t="str">
        <f>IFERROR(__xludf.DUMMYFUNCTION("""COMPUTED_VALUE"""),"ITBISA-JUMPER-MM-10CM")</f>
        <v>ITBISA-JUMPER-MM-10CM</v>
      </c>
      <c r="B7440" s="266">
        <f>IFERROR(__xludf.DUMMYFUNCTION("""COMPUTED_VALUE"""),45644.0)</f>
        <v>45644</v>
      </c>
      <c r="C7440" s="266" t="str">
        <f>IFERROR(__xludf.DUMMYFUNCTION("""COMPUTED_VALUE"""),"KYAI KONTONG")</f>
        <v>KYAI KONTONG</v>
      </c>
      <c r="D7440" s="186">
        <f>IFERROR(__xludf.DUMMYFUNCTION("""COMPUTED_VALUE"""),40.0)</f>
        <v>40</v>
      </c>
    </row>
    <row r="7441">
      <c r="A7441" s="178" t="str">
        <f>IFERROR(__xludf.DUMMYFUNCTION("""COMPUTED_VALUE"""),"ITBISA-JUMPER-MM-10CM")</f>
        <v>ITBISA-JUMPER-MM-10CM</v>
      </c>
      <c r="B7441" s="266">
        <f>IFERROR(__xludf.DUMMYFUNCTION("""COMPUTED_VALUE"""),45645.0)</f>
        <v>45645</v>
      </c>
      <c r="C7441" s="266" t="str">
        <f>IFERROR(__xludf.DUMMYFUNCTION("""COMPUTED_VALUE"""),"KYAI KONTONG")</f>
        <v>KYAI KONTONG</v>
      </c>
      <c r="D7441" s="186">
        <f>IFERROR(__xludf.DUMMYFUNCTION("""COMPUTED_VALUE"""),40.0)</f>
        <v>40</v>
      </c>
    </row>
    <row r="7442">
      <c r="A7442" s="178" t="str">
        <f>IFERROR(__xludf.DUMMYFUNCTION("""COMPUTED_VALUE"""),"ITBISA-JUMPER-MM-10CM")</f>
        <v>ITBISA-JUMPER-MM-10CM</v>
      </c>
      <c r="B7442" s="266">
        <f>IFERROR(__xludf.DUMMYFUNCTION("""COMPUTED_VALUE"""),45645.0)</f>
        <v>45645</v>
      </c>
      <c r="C7442" s="266" t="str">
        <f>IFERROR(__xludf.DUMMYFUNCTION("""COMPUTED_VALUE"""),"KYAI KONTONG")</f>
        <v>KYAI KONTONG</v>
      </c>
      <c r="D7442" s="186">
        <f>IFERROR(__xludf.DUMMYFUNCTION("""COMPUTED_VALUE"""),120.0)</f>
        <v>120</v>
      </c>
    </row>
    <row r="7443">
      <c r="A7443" s="178" t="str">
        <f>IFERROR(__xludf.DUMMYFUNCTION("""COMPUTED_VALUE"""),"ITBISA-JUMPER-MM-10CM")</f>
        <v>ITBISA-JUMPER-MM-10CM</v>
      </c>
      <c r="B7443" s="266">
        <f>IFERROR(__xludf.DUMMYFUNCTION("""COMPUTED_VALUE"""),45650.0)</f>
        <v>45650</v>
      </c>
      <c r="C7443" s="266" t="str">
        <f>IFERROR(__xludf.DUMMYFUNCTION("""COMPUTED_VALUE"""),"KERTASARI CIAMIS")</f>
        <v>KERTASARI CIAMIS</v>
      </c>
      <c r="D7443" s="186">
        <f>IFERROR(__xludf.DUMMYFUNCTION("""COMPUTED_VALUE"""),40.0)</f>
        <v>40</v>
      </c>
    </row>
    <row r="7444">
      <c r="A7444" s="178" t="str">
        <f>IFERROR(__xludf.DUMMYFUNCTION("""COMPUTED_VALUE"""),"ITBISA-JUMPER-MM-10CM")</f>
        <v>ITBISA-JUMPER-MM-10CM</v>
      </c>
      <c r="B7444" s="266">
        <f>IFERROR(__xludf.DUMMYFUNCTION("""COMPUTED_VALUE"""),45651.0)</f>
        <v>45651</v>
      </c>
      <c r="C7444" s="266" t="str">
        <f>IFERROR(__xludf.DUMMYFUNCTION("""COMPUTED_VALUE"""),"KYAI KONTONG")</f>
        <v>KYAI KONTONG</v>
      </c>
      <c r="D7444" s="186">
        <f>IFERROR(__xludf.DUMMYFUNCTION("""COMPUTED_VALUE"""),40.0)</f>
        <v>40</v>
      </c>
    </row>
    <row r="7445">
      <c r="A7445" s="178" t="str">
        <f>IFERROR(__xludf.DUMMYFUNCTION("""COMPUTED_VALUE"""),"ITBISA-JUMPER-MM-10CM")</f>
        <v>ITBISA-JUMPER-MM-10CM</v>
      </c>
      <c r="B7445" s="266">
        <f>IFERROR(__xludf.DUMMYFUNCTION("""COMPUTED_VALUE"""),45666.0)</f>
        <v>45666</v>
      </c>
      <c r="C7445" s="266" t="str">
        <f>IFERROR(__xludf.DUMMYFUNCTION("""COMPUTED_VALUE"""),"KYAI KONTONG")</f>
        <v>KYAI KONTONG</v>
      </c>
      <c r="D7445" s="186">
        <f>IFERROR(__xludf.DUMMYFUNCTION("""COMPUTED_VALUE"""),40.0)</f>
        <v>40</v>
      </c>
    </row>
    <row r="7446">
      <c r="A7446" s="178" t="str">
        <f>IFERROR(__xludf.DUMMYFUNCTION("""COMPUTED_VALUE"""),"ITBISA-JUMPER-MM-10CM")</f>
        <v>ITBISA-JUMPER-MM-10CM</v>
      </c>
      <c r="B7446" s="266">
        <f>IFERROR(__xludf.DUMMYFUNCTION("""COMPUTED_VALUE"""),45704.0)</f>
        <v>45704</v>
      </c>
      <c r="C7446" s="266" t="str">
        <f>IFERROR(__xludf.DUMMYFUNCTION("""COMPUTED_VALUE"""),"KYAI KONTONG")</f>
        <v>KYAI KONTONG</v>
      </c>
      <c r="D7446" s="186">
        <f>IFERROR(__xludf.DUMMYFUNCTION("""COMPUTED_VALUE"""),400.0)</f>
        <v>400</v>
      </c>
    </row>
    <row r="7447">
      <c r="A7447" s="178" t="str">
        <f>IFERROR(__xludf.DUMMYFUNCTION("""COMPUTED_VALUE"""),"ITBISA-JUMPER-MM-10CM")</f>
        <v>ITBISA-JUMPER-MM-10CM</v>
      </c>
      <c r="B7447" s="266">
        <f>IFERROR(__xludf.DUMMYFUNCTION("""COMPUTED_VALUE"""),45733.0)</f>
        <v>45733</v>
      </c>
      <c r="C7447" s="266" t="str">
        <f>IFERROR(__xludf.DUMMYFUNCTION("""COMPUTED_VALUE"""),"KERTASARI CIAMIS")</f>
        <v>KERTASARI CIAMIS</v>
      </c>
      <c r="D7447" s="186">
        <f>IFERROR(__xludf.DUMMYFUNCTION("""COMPUTED_VALUE"""),40.0)</f>
        <v>40</v>
      </c>
    </row>
    <row r="7448">
      <c r="A7448" s="178" t="str">
        <f>IFERROR(__xludf.DUMMYFUNCTION("""COMPUTED_VALUE"""),"ITBISA-JUMPER-MM-10CM")</f>
        <v>ITBISA-JUMPER-MM-10CM</v>
      </c>
      <c r="B7448" s="266">
        <f>IFERROR(__xludf.DUMMYFUNCTION("""COMPUTED_VALUE"""),45773.0)</f>
        <v>45773</v>
      </c>
      <c r="C7448" s="266" t="str">
        <f>IFERROR(__xludf.DUMMYFUNCTION("""COMPUTED_VALUE"""),"KERTASARI CIAMIS")</f>
        <v>KERTASARI CIAMIS</v>
      </c>
      <c r="D7448" s="186">
        <f>IFERROR(__xludf.DUMMYFUNCTION("""COMPUTED_VALUE"""),40.0)</f>
        <v>40</v>
      </c>
    </row>
    <row r="7449">
      <c r="A7449" s="178" t="str">
        <f>IFERROR(__xludf.DUMMYFUNCTION("""COMPUTED_VALUE"""),"ITBISA-JUMPER-MM-10CM")</f>
        <v>ITBISA-JUMPER-MM-10CM</v>
      </c>
      <c r="B7449" s="266">
        <f>IFERROR(__xludf.DUMMYFUNCTION("""COMPUTED_VALUE"""),45778.0)</f>
        <v>45778</v>
      </c>
      <c r="C7449" s="266" t="str">
        <f>IFERROR(__xludf.DUMMYFUNCTION("""COMPUTED_VALUE"""),"KYAI KONTONG")</f>
        <v>KYAI KONTONG</v>
      </c>
      <c r="D7449" s="186">
        <f>IFERROR(__xludf.DUMMYFUNCTION("""COMPUTED_VALUE"""),40.0)</f>
        <v>40</v>
      </c>
    </row>
    <row r="7450">
      <c r="A7450" s="178" t="str">
        <f>IFERROR(__xludf.DUMMYFUNCTION("""COMPUTED_VALUE"""),"ITBISA-JUMPER-MM-10CM")</f>
        <v>ITBISA-JUMPER-MM-10CM</v>
      </c>
      <c r="B7450" s="266">
        <f>IFERROR(__xludf.DUMMYFUNCTION("""COMPUTED_VALUE"""),45785.0)</f>
        <v>45785</v>
      </c>
      <c r="C7450" s="266" t="str">
        <f>IFERROR(__xludf.DUMMYFUNCTION("""COMPUTED_VALUE"""),"KERTASARI CIAMIS")</f>
        <v>KERTASARI CIAMIS</v>
      </c>
      <c r="D7450" s="186">
        <f>IFERROR(__xludf.DUMMYFUNCTION("""COMPUTED_VALUE"""),40.0)</f>
        <v>40</v>
      </c>
    </row>
    <row r="7451">
      <c r="A7451" s="178" t="str">
        <f>IFERROR(__xludf.DUMMYFUNCTION("""COMPUTED_VALUE"""),"ITBISA-JUMPER-MM-10CM")</f>
        <v>ITBISA-JUMPER-MM-10CM</v>
      </c>
      <c r="B7451" s="266">
        <f>IFERROR(__xludf.DUMMYFUNCTION("""COMPUTED_VALUE"""),45792.0)</f>
        <v>45792</v>
      </c>
      <c r="C7451" s="266" t="str">
        <f>IFERROR(__xludf.DUMMYFUNCTION("""COMPUTED_VALUE"""),"KYAI KONTONG")</f>
        <v>KYAI KONTONG</v>
      </c>
      <c r="D7451" s="186">
        <f>IFERROR(__xludf.DUMMYFUNCTION("""COMPUTED_VALUE"""),80.0)</f>
        <v>80</v>
      </c>
    </row>
    <row r="7452">
      <c r="A7452" s="178" t="str">
        <f>IFERROR(__xludf.DUMMYFUNCTION("""COMPUTED_VALUE"""),"ITBISA-JUMPER-MM-10CM")</f>
        <v>ITBISA-JUMPER-MM-10CM</v>
      </c>
      <c r="B7452" s="266">
        <f>IFERROR(__xludf.DUMMYFUNCTION("""COMPUTED_VALUE"""),45801.0)</f>
        <v>45801</v>
      </c>
      <c r="C7452" s="266" t="str">
        <f>IFERROR(__xludf.DUMMYFUNCTION("""COMPUTED_VALUE"""),"KYAI KONTONG")</f>
        <v>KYAI KONTONG</v>
      </c>
      <c r="D7452" s="186">
        <f>IFERROR(__xludf.DUMMYFUNCTION("""COMPUTED_VALUE"""),40.0)</f>
        <v>40</v>
      </c>
    </row>
    <row r="7453">
      <c r="A7453" s="178" t="str">
        <f>IFERROR(__xludf.DUMMYFUNCTION("""COMPUTED_VALUE"""),"ITBISA-JUMPER-MM-10CM")</f>
        <v>ITBISA-JUMPER-MM-10CM</v>
      </c>
      <c r="B7453" s="266">
        <f>IFERROR(__xludf.DUMMYFUNCTION("""COMPUTED_VALUE"""),45809.0)</f>
        <v>45809</v>
      </c>
      <c r="C7453" s="266" t="str">
        <f>IFERROR(__xludf.DUMMYFUNCTION("""COMPUTED_VALUE"""),"KERTASARI CIAMIS")</f>
        <v>KERTASARI CIAMIS</v>
      </c>
      <c r="D7453" s="186">
        <f>IFERROR(__xludf.DUMMYFUNCTION("""COMPUTED_VALUE"""),80.0)</f>
        <v>80</v>
      </c>
    </row>
    <row r="7454">
      <c r="A7454" s="178" t="str">
        <f>IFERROR(__xludf.DUMMYFUNCTION("""COMPUTED_VALUE"""),"ITBISA-JUMPER-MM-10CM")</f>
        <v>ITBISA-JUMPER-MM-10CM</v>
      </c>
      <c r="B7454" s="266">
        <f>IFERROR(__xludf.DUMMYFUNCTION("""COMPUTED_VALUE"""),45814.0)</f>
        <v>45814</v>
      </c>
      <c r="C7454" s="266" t="str">
        <f>IFERROR(__xludf.DUMMYFUNCTION("""COMPUTED_VALUE"""),"KYAI KONTONG")</f>
        <v>KYAI KONTONG</v>
      </c>
      <c r="D7454" s="186">
        <f>IFERROR(__xludf.DUMMYFUNCTION("""COMPUTED_VALUE"""),40.0)</f>
        <v>40</v>
      </c>
    </row>
    <row r="7455">
      <c r="A7455" s="178" t="str">
        <f>IFERROR(__xludf.DUMMYFUNCTION("""COMPUTED_VALUE"""),"ITBISA-JUMPER-MM-10CM")</f>
        <v>ITBISA-JUMPER-MM-10CM</v>
      </c>
      <c r="B7455" s="266">
        <f>IFERROR(__xludf.DUMMYFUNCTION("""COMPUTED_VALUE"""),45824.0)</f>
        <v>45824</v>
      </c>
      <c r="C7455" s="266" t="str">
        <f>IFERROR(__xludf.DUMMYFUNCTION("""COMPUTED_VALUE"""),"KERTASARI CIAMIS")</f>
        <v>KERTASARI CIAMIS</v>
      </c>
      <c r="D7455" s="186">
        <f>IFERROR(__xludf.DUMMYFUNCTION("""COMPUTED_VALUE"""),40.0)</f>
        <v>40</v>
      </c>
    </row>
    <row r="7456">
      <c r="A7456" s="178" t="str">
        <f>IFERROR(__xludf.DUMMYFUNCTION("""COMPUTED_VALUE"""),"ITBISA-JUMPER-MM-10CM")</f>
        <v>ITBISA-JUMPER-MM-10CM</v>
      </c>
      <c r="B7456" s="266">
        <f>IFERROR(__xludf.DUMMYFUNCTION("""COMPUTED_VALUE"""),45830.0)</f>
        <v>45830</v>
      </c>
      <c r="C7456" s="266" t="str">
        <f>IFERROR(__xludf.DUMMYFUNCTION("""COMPUTED_VALUE"""),"KYAI KONTONG")</f>
        <v>KYAI KONTONG</v>
      </c>
      <c r="D7456" s="186">
        <f>IFERROR(__xludf.DUMMYFUNCTION("""COMPUTED_VALUE"""),80.0)</f>
        <v>80</v>
      </c>
    </row>
    <row r="7457">
      <c r="A7457" s="178" t="str">
        <f>IFERROR(__xludf.DUMMYFUNCTION("""COMPUTED_VALUE"""),"ITBISA-JUMPER-MM-10CM")</f>
        <v>ITBISA-JUMPER-MM-10CM</v>
      </c>
      <c r="B7457" s="266">
        <f>IFERROR(__xludf.DUMMYFUNCTION("""COMPUTED_VALUE"""),45849.0)</f>
        <v>45849</v>
      </c>
      <c r="C7457" s="266" t="str">
        <f>IFERROR(__xludf.DUMMYFUNCTION("""COMPUTED_VALUE"""),"KYAI KONTONG")</f>
        <v>KYAI KONTONG</v>
      </c>
      <c r="D7457" s="186">
        <f>IFERROR(__xludf.DUMMYFUNCTION("""COMPUTED_VALUE"""),40.0)</f>
        <v>40</v>
      </c>
    </row>
    <row r="7458">
      <c r="A7458" s="178" t="str">
        <f>IFERROR(__xludf.DUMMYFUNCTION("""COMPUTED_VALUE"""),"ITBISA-JUMPER-MM-10CM")</f>
        <v>ITBISA-JUMPER-MM-10CM</v>
      </c>
      <c r="B7458" s="266">
        <f>IFERROR(__xludf.DUMMYFUNCTION("""COMPUTED_VALUE"""),45874.0)</f>
        <v>45874</v>
      </c>
      <c r="C7458" s="266" t="str">
        <f>IFERROR(__xludf.DUMMYFUNCTION("""COMPUTED_VALUE"""),"KERTASARI CIAMIS")</f>
        <v>KERTASARI CIAMIS</v>
      </c>
      <c r="D7458" s="186">
        <f>IFERROR(__xludf.DUMMYFUNCTION("""COMPUTED_VALUE"""),40.0)</f>
        <v>40</v>
      </c>
    </row>
    <row r="7459">
      <c r="A7459" s="178" t="str">
        <f>IFERROR(__xludf.DUMMYFUNCTION("""COMPUTED_VALUE"""),"ITBISA-JUMPER-MM-10CM")</f>
        <v>ITBISA-JUMPER-MM-10CM</v>
      </c>
      <c r="B7459" s="266">
        <f>IFERROR(__xludf.DUMMYFUNCTION("""COMPUTED_VALUE"""),45877.0)</f>
        <v>45877</v>
      </c>
      <c r="C7459" s="266" t="str">
        <f>IFERROR(__xludf.DUMMYFUNCTION("""COMPUTED_VALUE"""),"KYAI KONTONG")</f>
        <v>KYAI KONTONG</v>
      </c>
      <c r="D7459" s="186">
        <f>IFERROR(__xludf.DUMMYFUNCTION("""COMPUTED_VALUE"""),40.0)</f>
        <v>40</v>
      </c>
    </row>
    <row r="7460">
      <c r="A7460" s="178" t="str">
        <f>IFERROR(__xludf.DUMMYFUNCTION("""COMPUTED_VALUE"""),"ITBISA-JUMPER-MM-10CM")</f>
        <v>ITBISA-JUMPER-MM-10CM</v>
      </c>
      <c r="B7460" s="266">
        <f>IFERROR(__xludf.DUMMYFUNCTION("""COMPUTED_VALUE"""),45917.0)</f>
        <v>45917</v>
      </c>
      <c r="C7460" s="266" t="str">
        <f>IFERROR(__xludf.DUMMYFUNCTION("""COMPUTED_VALUE"""),"KERTASARI CIAMIS")</f>
        <v>KERTASARI CIAMIS</v>
      </c>
      <c r="D7460" s="186">
        <f>IFERROR(__xludf.DUMMYFUNCTION("""COMPUTED_VALUE"""),80.0)</f>
        <v>80</v>
      </c>
    </row>
    <row r="7461">
      <c r="A7461" s="178" t="str">
        <f>IFERROR(__xludf.DUMMYFUNCTION("""COMPUTED_VALUE"""),"ITBISA-JUMPER-MM-10CM")</f>
        <v>ITBISA-JUMPER-MM-10CM</v>
      </c>
      <c r="B7461" s="266">
        <f>IFERROR(__xludf.DUMMYFUNCTION("""COMPUTED_VALUE"""),45918.0)</f>
        <v>45918</v>
      </c>
      <c r="C7461" s="266" t="str">
        <f>IFERROR(__xludf.DUMMYFUNCTION("""COMPUTED_VALUE"""),"KERTASARI CIAMIS")</f>
        <v>KERTASARI CIAMIS</v>
      </c>
      <c r="D7461" s="186">
        <f>IFERROR(__xludf.DUMMYFUNCTION("""COMPUTED_VALUE"""),40.0)</f>
        <v>40</v>
      </c>
    </row>
    <row r="7462">
      <c r="A7462" s="178" t="str">
        <f>IFERROR(__xludf.DUMMYFUNCTION("""COMPUTED_VALUE"""),"ITBISA-JUMPER-MM-10CM")</f>
        <v>ITBISA-JUMPER-MM-10CM</v>
      </c>
      <c r="B7462" s="266">
        <f>IFERROR(__xludf.DUMMYFUNCTION("""COMPUTED_VALUE"""),45947.0)</f>
        <v>45947</v>
      </c>
      <c r="C7462" s="266" t="str">
        <f>IFERROR(__xludf.DUMMYFUNCTION("""COMPUTED_VALUE"""),"KERTASARI CIAMIS")</f>
        <v>KERTASARI CIAMIS</v>
      </c>
      <c r="D7462" s="186">
        <f>IFERROR(__xludf.DUMMYFUNCTION("""COMPUTED_VALUE"""),80.0)</f>
        <v>80</v>
      </c>
    </row>
    <row r="7463">
      <c r="A7463" s="178" t="str">
        <f>IFERROR(__xludf.DUMMYFUNCTION("""COMPUTED_VALUE"""),"ITBISA-JUMPER-MM-10CM")</f>
        <v>ITBISA-JUMPER-MM-10CM</v>
      </c>
      <c r="B7463" s="266">
        <f>IFERROR(__xludf.DUMMYFUNCTION("""COMPUTED_VALUE"""),45963.0)</f>
        <v>45963</v>
      </c>
      <c r="C7463" s="266" t="str">
        <f>IFERROR(__xludf.DUMMYFUNCTION("""COMPUTED_VALUE"""),"KYAI KONTONG")</f>
        <v>KYAI KONTONG</v>
      </c>
      <c r="D7463" s="186">
        <f>IFERROR(__xludf.DUMMYFUNCTION("""COMPUTED_VALUE"""),40.0)</f>
        <v>40</v>
      </c>
    </row>
    <row r="7464">
      <c r="A7464" s="178" t="str">
        <f>IFERROR(__xludf.DUMMYFUNCTION("""COMPUTED_VALUE"""),"ITBISA-JUMPER-MM-10CM")</f>
        <v>ITBISA-JUMPER-MM-10CM</v>
      </c>
      <c r="B7464" s="266">
        <f>IFERROR(__xludf.DUMMYFUNCTION("""COMPUTED_VALUE"""),45964.0)</f>
        <v>45964</v>
      </c>
      <c r="C7464" s="266" t="str">
        <f>IFERROR(__xludf.DUMMYFUNCTION("""COMPUTED_VALUE"""),"KERTASARI CIAMIS")</f>
        <v>KERTASARI CIAMIS</v>
      </c>
      <c r="D7464" s="186">
        <f>IFERROR(__xludf.DUMMYFUNCTION("""COMPUTED_VALUE"""),80.0)</f>
        <v>80</v>
      </c>
    </row>
    <row r="7465">
      <c r="A7465" s="178" t="str">
        <f>IFERROR(__xludf.DUMMYFUNCTION("""COMPUTED_VALUE"""),"ITBISA-JUMPER-MM-10CM")</f>
        <v>ITBISA-JUMPER-MM-10CM</v>
      </c>
      <c r="B7465" s="266">
        <f>IFERROR(__xludf.DUMMYFUNCTION("""COMPUTED_VALUE"""),45972.0)</f>
        <v>45972</v>
      </c>
      <c r="C7465" s="266" t="str">
        <f>IFERROR(__xludf.DUMMYFUNCTION("""COMPUTED_VALUE"""),"KYAI KONTONG")</f>
        <v>KYAI KONTONG</v>
      </c>
      <c r="D7465" s="186">
        <f>IFERROR(__xludf.DUMMYFUNCTION("""COMPUTED_VALUE"""),40.0)</f>
        <v>40</v>
      </c>
    </row>
    <row r="7466">
      <c r="A7466" s="178" t="str">
        <f>IFERROR(__xludf.DUMMYFUNCTION("""COMPUTED_VALUE"""),"ITBISA-JUMPER-MM-10CM")</f>
        <v>ITBISA-JUMPER-MM-10CM</v>
      </c>
      <c r="B7466" s="266">
        <f>IFERROR(__xludf.DUMMYFUNCTION("""COMPUTED_VALUE"""),45972.0)</f>
        <v>45972</v>
      </c>
      <c r="C7466" s="266" t="str">
        <f>IFERROR(__xludf.DUMMYFUNCTION("""COMPUTED_VALUE"""),"KYAI KONTONG")</f>
        <v>KYAI KONTONG</v>
      </c>
      <c r="D7466" s="186">
        <f>IFERROR(__xludf.DUMMYFUNCTION("""COMPUTED_VALUE"""),160.0)</f>
        <v>160</v>
      </c>
    </row>
    <row r="7467">
      <c r="A7467" s="178" t="str">
        <f>IFERROR(__xludf.DUMMYFUNCTION("""COMPUTED_VALUE"""),"ITBISA-JUMPER-MM-10CM")</f>
        <v>ITBISA-JUMPER-MM-10CM</v>
      </c>
      <c r="B7467" s="266">
        <f>IFERROR(__xludf.DUMMYFUNCTION("""COMPUTED_VALUE"""),45974.0)</f>
        <v>45974</v>
      </c>
      <c r="C7467" s="266" t="str">
        <f>IFERROR(__xludf.DUMMYFUNCTION("""COMPUTED_VALUE"""),"KYAI KONTONG")</f>
        <v>KYAI KONTONG</v>
      </c>
      <c r="D7467" s="186">
        <f>IFERROR(__xludf.DUMMYFUNCTION("""COMPUTED_VALUE"""),80.0)</f>
        <v>80</v>
      </c>
    </row>
    <row r="7468">
      <c r="A7468" s="178" t="str">
        <f>IFERROR(__xludf.DUMMYFUNCTION("""COMPUTED_VALUE"""),"ITBISA-JUMPER-MM-10CM")</f>
        <v>ITBISA-JUMPER-MM-10CM</v>
      </c>
      <c r="B7468" s="266">
        <f>IFERROR(__xludf.DUMMYFUNCTION("""COMPUTED_VALUE"""),45976.0)</f>
        <v>45976</v>
      </c>
      <c r="C7468" s="266" t="str">
        <f>IFERROR(__xludf.DUMMYFUNCTION("""COMPUTED_VALUE"""),"KYAI KONTONG")</f>
        <v>KYAI KONTONG</v>
      </c>
      <c r="D7468" s="186">
        <f>IFERROR(__xludf.DUMMYFUNCTION("""COMPUTED_VALUE"""),40.0)</f>
        <v>40</v>
      </c>
    </row>
    <row r="7469">
      <c r="A7469" s="178" t="str">
        <f>IFERROR(__xludf.DUMMYFUNCTION("""COMPUTED_VALUE"""),"ITBISA-JUMPER-MM-10CM")</f>
        <v>ITBISA-JUMPER-MM-10CM</v>
      </c>
      <c r="B7469" s="266">
        <f>IFERROR(__xludf.DUMMYFUNCTION("""COMPUTED_VALUE"""),45979.0)</f>
        <v>45979</v>
      </c>
      <c r="C7469" s="266" t="str">
        <f>IFERROR(__xludf.DUMMYFUNCTION("""COMPUTED_VALUE"""),"KERTASARI CIAMIS")</f>
        <v>KERTASARI CIAMIS</v>
      </c>
      <c r="D7469" s="186">
        <f>IFERROR(__xludf.DUMMYFUNCTION("""COMPUTED_VALUE"""),80.0)</f>
        <v>80</v>
      </c>
    </row>
    <row r="7470">
      <c r="A7470" s="178" t="str">
        <f>IFERROR(__xludf.DUMMYFUNCTION("""COMPUTED_VALUE"""),"ITBISA-JUMPER-MM-10CM")</f>
        <v>ITBISA-JUMPER-MM-10CM</v>
      </c>
      <c r="B7470" s="266">
        <f>IFERROR(__xludf.DUMMYFUNCTION("""COMPUTED_VALUE"""),45980.0)</f>
        <v>45980</v>
      </c>
      <c r="C7470" s="266" t="str">
        <f>IFERROR(__xludf.DUMMYFUNCTION("""COMPUTED_VALUE"""),"KYAI KONTONG")</f>
        <v>KYAI KONTONG</v>
      </c>
      <c r="D7470" s="186">
        <f>IFERROR(__xludf.DUMMYFUNCTION("""COMPUTED_VALUE"""),40.0)</f>
        <v>40</v>
      </c>
    </row>
    <row r="7471">
      <c r="A7471" s="178" t="str">
        <f>IFERROR(__xludf.DUMMYFUNCTION("""COMPUTED_VALUE"""),"ITBISA-JUMPER-MM-10CM")</f>
        <v>ITBISA-JUMPER-MM-10CM</v>
      </c>
      <c r="B7471" s="266">
        <f>IFERROR(__xludf.DUMMYFUNCTION("""COMPUTED_VALUE"""),45987.0)</f>
        <v>45987</v>
      </c>
      <c r="C7471" s="266" t="str">
        <f>IFERROR(__xludf.DUMMYFUNCTION("""COMPUTED_VALUE"""),"KERTASARI CIAMIS")</f>
        <v>KERTASARI CIAMIS</v>
      </c>
      <c r="D7471" s="186">
        <f>IFERROR(__xludf.DUMMYFUNCTION("""COMPUTED_VALUE"""),240.0)</f>
        <v>240</v>
      </c>
    </row>
    <row r="7472">
      <c r="A7472" s="178" t="str">
        <f>IFERROR(__xludf.DUMMYFUNCTION("""COMPUTED_VALUE"""),"ITBISA-JUMPER-MM-10CM")</f>
        <v>ITBISA-JUMPER-MM-10CM</v>
      </c>
      <c r="B7472" s="266">
        <f>IFERROR(__xludf.DUMMYFUNCTION("""COMPUTED_VALUE"""),45988.0)</f>
        <v>45988</v>
      </c>
      <c r="C7472" s="266" t="str">
        <f>IFERROR(__xludf.DUMMYFUNCTION("""COMPUTED_VALUE"""),"KERTASARI CIAMIS")</f>
        <v>KERTASARI CIAMIS</v>
      </c>
      <c r="D7472" s="186">
        <f>IFERROR(__xludf.DUMMYFUNCTION("""COMPUTED_VALUE"""),40.0)</f>
        <v>40</v>
      </c>
    </row>
    <row r="7473">
      <c r="A7473" s="178" t="str">
        <f>IFERROR(__xludf.DUMMYFUNCTION("""COMPUTED_VALUE"""),"ITBISA-JUMPER-MM-10CM")</f>
        <v>ITBISA-JUMPER-MM-10CM</v>
      </c>
      <c r="B7473" s="266">
        <f>IFERROR(__xludf.DUMMYFUNCTION("""COMPUTED_VALUE"""),45992.0)</f>
        <v>45992</v>
      </c>
      <c r="C7473" s="266" t="str">
        <f>IFERROR(__xludf.DUMMYFUNCTION("""COMPUTED_VALUE"""),"KYAI KONTONG")</f>
        <v>KYAI KONTONG</v>
      </c>
      <c r="D7473" s="186">
        <f>IFERROR(__xludf.DUMMYFUNCTION("""COMPUTED_VALUE"""),40.0)</f>
        <v>40</v>
      </c>
    </row>
    <row r="7474">
      <c r="A7474" s="178" t="str">
        <f>IFERROR(__xludf.DUMMYFUNCTION("""COMPUTED_VALUE"""),"ITBISA-JUMPER-MM-10CM")</f>
        <v>ITBISA-JUMPER-MM-10CM</v>
      </c>
      <c r="B7474" s="266">
        <f>IFERROR(__xludf.DUMMYFUNCTION("""COMPUTED_VALUE"""),45995.0)</f>
        <v>45995</v>
      </c>
      <c r="C7474" s="266" t="str">
        <f>IFERROR(__xludf.DUMMYFUNCTION("""COMPUTED_VALUE"""),"KERTASARI CIAMIS")</f>
        <v>KERTASARI CIAMIS</v>
      </c>
      <c r="D7474" s="186">
        <f>IFERROR(__xludf.DUMMYFUNCTION("""COMPUTED_VALUE"""),40.0)</f>
        <v>40</v>
      </c>
    </row>
    <row r="7475">
      <c r="A7475" s="178" t="str">
        <f>IFERROR(__xludf.DUMMYFUNCTION("""COMPUTED_VALUE"""),"ITBISA-JUMPER-MM-10CM")</f>
        <v>ITBISA-JUMPER-MM-10CM</v>
      </c>
      <c r="B7475" s="266">
        <f>IFERROR(__xludf.DUMMYFUNCTION("""COMPUTED_VALUE"""),46003.0)</f>
        <v>46003</v>
      </c>
      <c r="C7475" s="266" t="str">
        <f>IFERROR(__xludf.DUMMYFUNCTION("""COMPUTED_VALUE"""),"KYAI KONTONG")</f>
        <v>KYAI KONTONG</v>
      </c>
      <c r="D7475" s="186">
        <f>IFERROR(__xludf.DUMMYFUNCTION("""COMPUTED_VALUE"""),40.0)</f>
        <v>40</v>
      </c>
    </row>
    <row r="7476">
      <c r="A7476" s="178" t="str">
        <f>IFERROR(__xludf.DUMMYFUNCTION("""COMPUTED_VALUE"""),"ITBISA-JUMPER-MM-10CM")</f>
        <v>ITBISA-JUMPER-MM-10CM</v>
      </c>
      <c r="B7476" s="266">
        <f>IFERROR(__xludf.DUMMYFUNCTION("""COMPUTED_VALUE"""),46011.0)</f>
        <v>46011</v>
      </c>
      <c r="C7476" s="266" t="str">
        <f>IFERROR(__xludf.DUMMYFUNCTION("""COMPUTED_VALUE"""),"KYAI KONTONG")</f>
        <v>KYAI KONTONG</v>
      </c>
      <c r="D7476" s="186">
        <f>IFERROR(__xludf.DUMMYFUNCTION("""COMPUTED_VALUE"""),40.0)</f>
        <v>40</v>
      </c>
    </row>
    <row r="7477">
      <c r="A7477" s="178" t="str">
        <f>IFERROR(__xludf.DUMMYFUNCTION("""COMPUTED_VALUE"""),"ITBISA-JUMPER-MM-10CM")</f>
        <v>ITBISA-JUMPER-MM-10CM</v>
      </c>
      <c r="B7477" s="266">
        <f>IFERROR(__xludf.DUMMYFUNCTION("""COMPUTED_VALUE"""),46017.0)</f>
        <v>46017</v>
      </c>
      <c r="C7477" s="266" t="str">
        <f>IFERROR(__xludf.DUMMYFUNCTION("""COMPUTED_VALUE"""),"KYAI KONTONG")</f>
        <v>KYAI KONTONG</v>
      </c>
      <c r="D7477" s="186">
        <f>IFERROR(__xludf.DUMMYFUNCTION("""COMPUTED_VALUE"""),400.0)</f>
        <v>400</v>
      </c>
    </row>
    <row r="7478">
      <c r="A7478" s="178" t="str">
        <f>IFERROR(__xludf.DUMMYFUNCTION("""COMPUTED_VALUE"""),"ITBISA-JUMPER-MM-20CM")</f>
        <v>ITBISA-JUMPER-MM-20CM</v>
      </c>
      <c r="B7478" s="266">
        <f>IFERROR(__xludf.DUMMYFUNCTION("""COMPUTED_VALUE"""),43988.0)</f>
        <v>43988</v>
      </c>
      <c r="C7478" s="266" t="str">
        <f>IFERROR(__xludf.DUMMYFUNCTION("""COMPUTED_VALUE"""),"KAETOBO RESIDENCE")</f>
        <v>KAETOBO RESIDENCE</v>
      </c>
      <c r="D7478" s="186">
        <f>IFERROR(__xludf.DUMMYFUNCTION("""COMPUTED_VALUE"""),40.0)</f>
        <v>40</v>
      </c>
    </row>
    <row r="7479">
      <c r="A7479" s="178" t="str">
        <f>IFERROR(__xludf.DUMMYFUNCTION("""COMPUTED_VALUE"""),"ITBISA-JUMPER-MM-20CM")</f>
        <v>ITBISA-JUMPER-MM-20CM</v>
      </c>
      <c r="B7479" s="266">
        <f>IFERROR(__xludf.DUMMYFUNCTION("""COMPUTED_VALUE"""),44005.0)</f>
        <v>44005</v>
      </c>
      <c r="C7479" s="266" t="str">
        <f>IFERROR(__xludf.DUMMYFUNCTION("""COMPUTED_VALUE"""),"KAETOBO RESIDENCE")</f>
        <v>KAETOBO RESIDENCE</v>
      </c>
      <c r="D7479" s="186">
        <f>IFERROR(__xludf.DUMMYFUNCTION("""COMPUTED_VALUE"""),40.0)</f>
        <v>40</v>
      </c>
    </row>
    <row r="7480">
      <c r="A7480" s="178" t="str">
        <f>IFERROR(__xludf.DUMMYFUNCTION("""COMPUTED_VALUE"""),"ITBISA-JUMPER-MM-20CM")</f>
        <v>ITBISA-JUMPER-MM-20CM</v>
      </c>
      <c r="B7480" s="266">
        <f>IFERROR(__xludf.DUMMYFUNCTION("""COMPUTED_VALUE"""),44013.0)</f>
        <v>44013</v>
      </c>
      <c r="C7480" s="266" t="str">
        <f>IFERROR(__xludf.DUMMYFUNCTION("""COMPUTED_VALUE"""),"KAETOBO RESIDENCE")</f>
        <v>KAETOBO RESIDENCE</v>
      </c>
      <c r="D7480" s="186">
        <f>IFERROR(__xludf.DUMMYFUNCTION("""COMPUTED_VALUE"""),40.0)</f>
        <v>40</v>
      </c>
    </row>
    <row r="7481">
      <c r="A7481" s="178" t="str">
        <f>IFERROR(__xludf.DUMMYFUNCTION("""COMPUTED_VALUE"""),"ITBISA-JUMPER-MM-20CM")</f>
        <v>ITBISA-JUMPER-MM-20CM</v>
      </c>
      <c r="B7481" s="266">
        <f>IFERROR(__xludf.DUMMYFUNCTION("""COMPUTED_VALUE"""),44042.0)</f>
        <v>44042</v>
      </c>
      <c r="C7481" s="266" t="str">
        <f>IFERROR(__xludf.DUMMYFUNCTION("""COMPUTED_VALUE"""),"KAETOBO RESIDENCE")</f>
        <v>KAETOBO RESIDENCE</v>
      </c>
      <c r="D7481" s="186">
        <f>IFERROR(__xludf.DUMMYFUNCTION("""COMPUTED_VALUE"""),120.0)</f>
        <v>120</v>
      </c>
    </row>
    <row r="7482">
      <c r="A7482" s="178" t="str">
        <f>IFERROR(__xludf.DUMMYFUNCTION("""COMPUTED_VALUE"""),"ITBISA-JUMPER-MM-20CM")</f>
        <v>ITBISA-JUMPER-MM-20CM</v>
      </c>
      <c r="B7482" s="266">
        <f>IFERROR(__xludf.DUMMYFUNCTION("""COMPUTED_VALUE"""),44058.0)</f>
        <v>44058</v>
      </c>
      <c r="C7482" s="266" t="str">
        <f>IFERROR(__xludf.DUMMYFUNCTION("""COMPUTED_VALUE"""),"KOST SRITUNGGAL")</f>
        <v>KOST SRITUNGGAL</v>
      </c>
      <c r="D7482" s="186">
        <f>IFERROR(__xludf.DUMMYFUNCTION("""COMPUTED_VALUE"""),40.0)</f>
        <v>40</v>
      </c>
    </row>
    <row r="7483">
      <c r="A7483" s="178" t="str">
        <f>IFERROR(__xludf.DUMMYFUNCTION("""COMPUTED_VALUE"""),"ITBISA-JUMPER-MM-20CM")</f>
        <v>ITBISA-JUMPER-MM-20CM</v>
      </c>
      <c r="B7483" s="266">
        <f>IFERROR(__xludf.DUMMYFUNCTION("""COMPUTED_VALUE"""),44146.0)</f>
        <v>44146</v>
      </c>
      <c r="C7483" s="266" t="str">
        <f>IFERROR(__xludf.DUMMYFUNCTION("""COMPUTED_VALUE"""),"KOST RUMAHUMI")</f>
        <v>KOST RUMAHUMI</v>
      </c>
      <c r="D7483" s="186">
        <f>IFERROR(__xludf.DUMMYFUNCTION("""COMPUTED_VALUE"""),800.0)</f>
        <v>800</v>
      </c>
    </row>
    <row r="7484">
      <c r="A7484" s="178" t="str">
        <f>IFERROR(__xludf.DUMMYFUNCTION("""COMPUTED_VALUE"""),"ITBISA-JUMPER-MM-20CM")</f>
        <v>ITBISA-JUMPER-MM-20CM</v>
      </c>
      <c r="B7484" s="266">
        <f>IFERROR(__xludf.DUMMYFUNCTION("""COMPUTED_VALUE"""),44155.0)</f>
        <v>44155</v>
      </c>
      <c r="C7484" s="266" t="str">
        <f>IFERROR(__xludf.DUMMYFUNCTION("""COMPUTED_VALUE"""),"KOST RUMAHUMI")</f>
        <v>KOST RUMAHUMI</v>
      </c>
      <c r="D7484" s="186">
        <f>IFERROR(__xludf.DUMMYFUNCTION("""COMPUTED_VALUE"""),80.0)</f>
        <v>80</v>
      </c>
    </row>
    <row r="7485">
      <c r="A7485" s="178" t="str">
        <f>IFERROR(__xludf.DUMMYFUNCTION("""COMPUTED_VALUE"""),"ITBISA-JUMPER-MM-20CM")</f>
        <v>ITBISA-JUMPER-MM-20CM</v>
      </c>
      <c r="B7485" s="266">
        <f>IFERROR(__xludf.DUMMYFUNCTION("""COMPUTED_VALUE"""),44178.0)</f>
        <v>44178</v>
      </c>
      <c r="C7485" s="266" t="str">
        <f>IFERROR(__xludf.DUMMYFUNCTION("""COMPUTED_VALUE"""),"KOST RUMAHUMI")</f>
        <v>KOST RUMAHUMI</v>
      </c>
      <c r="D7485" s="186">
        <f>IFERROR(__xludf.DUMMYFUNCTION("""COMPUTED_VALUE"""),320.0)</f>
        <v>320</v>
      </c>
    </row>
    <row r="7486">
      <c r="A7486" s="178" t="str">
        <f>IFERROR(__xludf.DUMMYFUNCTION("""COMPUTED_VALUE"""),"ITBISA-JUMPER-MM-20CM")</f>
        <v>ITBISA-JUMPER-MM-20CM</v>
      </c>
      <c r="B7486" s="266">
        <f>IFERROR(__xludf.DUMMYFUNCTION("""COMPUTED_VALUE"""),44293.0)</f>
        <v>44293</v>
      </c>
      <c r="C7486" s="266" t="str">
        <f>IFERROR(__xludf.DUMMYFUNCTION("""COMPUTED_VALUE"""),"KOST RUMAHUMI")</f>
        <v>KOST RUMAHUMI</v>
      </c>
      <c r="D7486" s="186">
        <f>IFERROR(__xludf.DUMMYFUNCTION("""COMPUTED_VALUE"""),40.0)</f>
        <v>40</v>
      </c>
    </row>
    <row r="7487">
      <c r="A7487" s="178" t="str">
        <f>IFERROR(__xludf.DUMMYFUNCTION("""COMPUTED_VALUE"""),"ITBISA-JUMPER-MM-20CM")</f>
        <v>ITBISA-JUMPER-MM-20CM</v>
      </c>
      <c r="B7487" s="266">
        <f>IFERROR(__xludf.DUMMYFUNCTION("""COMPUTED_VALUE"""),44823.0)</f>
        <v>44823</v>
      </c>
      <c r="C7487" s="266" t="str">
        <f>IFERROR(__xludf.DUMMYFUNCTION("""COMPUTED_VALUE"""),"KYAI KONTONG")</f>
        <v>KYAI KONTONG</v>
      </c>
      <c r="D7487" s="186">
        <f>IFERROR(__xludf.DUMMYFUNCTION("""COMPUTED_VALUE"""),40.0)</f>
        <v>40</v>
      </c>
    </row>
    <row r="7488">
      <c r="A7488" s="178" t="str">
        <f>IFERROR(__xludf.DUMMYFUNCTION("""COMPUTED_VALUE"""),"ITBISA-JUMPER-MM-20CM")</f>
        <v>ITBISA-JUMPER-MM-20CM</v>
      </c>
      <c r="B7488" s="266">
        <f>IFERROR(__xludf.DUMMYFUNCTION("""COMPUTED_VALUE"""),44917.0)</f>
        <v>44917</v>
      </c>
      <c r="C7488" s="266" t="str">
        <f>IFERROR(__xludf.DUMMYFUNCTION("""COMPUTED_VALUE"""),"KYAI KONTONG")</f>
        <v>KYAI KONTONG</v>
      </c>
      <c r="D7488" s="186">
        <f>IFERROR(__xludf.DUMMYFUNCTION("""COMPUTED_VALUE"""),40.0)</f>
        <v>40</v>
      </c>
    </row>
    <row r="7489">
      <c r="A7489" s="178" t="str">
        <f>IFERROR(__xludf.DUMMYFUNCTION("""COMPUTED_VALUE"""),"ITBISA-JUMPER-MM-20CM")</f>
        <v>ITBISA-JUMPER-MM-20CM</v>
      </c>
      <c r="B7489" s="266">
        <f>IFERROR(__xludf.DUMMYFUNCTION("""COMPUTED_VALUE"""),44964.0)</f>
        <v>44964</v>
      </c>
      <c r="C7489" s="266" t="str">
        <f>IFERROR(__xludf.DUMMYFUNCTION("""COMPUTED_VALUE"""),"KYAI KONTONG")</f>
        <v>KYAI KONTONG</v>
      </c>
      <c r="D7489" s="186">
        <f>IFERROR(__xludf.DUMMYFUNCTION("""COMPUTED_VALUE"""),40.0)</f>
        <v>40</v>
      </c>
    </row>
    <row r="7490">
      <c r="A7490" s="178" t="str">
        <f>IFERROR(__xludf.DUMMYFUNCTION("""COMPUTED_VALUE"""),"ITBISA-JUMPER-MM-20CM")</f>
        <v>ITBISA-JUMPER-MM-20CM</v>
      </c>
      <c r="B7490" s="266">
        <f>IFERROR(__xludf.DUMMYFUNCTION("""COMPUTED_VALUE"""),44970.0)</f>
        <v>44970</v>
      </c>
      <c r="C7490" s="266" t="str">
        <f>IFERROR(__xludf.DUMMYFUNCTION("""COMPUTED_VALUE"""),"KYAI KONTONG")</f>
        <v>KYAI KONTONG</v>
      </c>
      <c r="D7490" s="186">
        <f>IFERROR(__xludf.DUMMYFUNCTION("""COMPUTED_VALUE"""),40.0)</f>
        <v>40</v>
      </c>
    </row>
    <row r="7491">
      <c r="A7491" s="178" t="str">
        <f>IFERROR(__xludf.DUMMYFUNCTION("""COMPUTED_VALUE"""),"ITBISA-JUMPER-MM-20CM")</f>
        <v>ITBISA-JUMPER-MM-20CM</v>
      </c>
      <c r="B7491" s="266">
        <f>IFERROR(__xludf.DUMMYFUNCTION("""COMPUTED_VALUE"""),45021.0)</f>
        <v>45021</v>
      </c>
      <c r="C7491" s="266" t="str">
        <f>IFERROR(__xludf.DUMMYFUNCTION("""COMPUTED_VALUE"""),"KYAI KONTONG")</f>
        <v>KYAI KONTONG</v>
      </c>
      <c r="D7491" s="186">
        <f>IFERROR(__xludf.DUMMYFUNCTION("""COMPUTED_VALUE"""),40.0)</f>
        <v>40</v>
      </c>
    </row>
    <row r="7492">
      <c r="A7492" s="178" t="str">
        <f>IFERROR(__xludf.DUMMYFUNCTION("""COMPUTED_VALUE"""),"ITBISA-JUMPER-MM-20CM")</f>
        <v>ITBISA-JUMPER-MM-20CM</v>
      </c>
      <c r="B7492" s="266">
        <f>IFERROR(__xludf.DUMMYFUNCTION("""COMPUTED_VALUE"""),45343.0)</f>
        <v>45343</v>
      </c>
      <c r="C7492" s="266" t="str">
        <f>IFERROR(__xludf.DUMMYFUNCTION("""COMPUTED_VALUE"""),"KYAI KONTONG")</f>
        <v>KYAI KONTONG</v>
      </c>
      <c r="D7492" s="186">
        <f>IFERROR(__xludf.DUMMYFUNCTION("""COMPUTED_VALUE"""),320.0)</f>
        <v>320</v>
      </c>
    </row>
    <row r="7493">
      <c r="A7493" s="178" t="str">
        <f>IFERROR(__xludf.DUMMYFUNCTION("""COMPUTED_VALUE"""),"ITBISA-JUMPER-MM-20CM")</f>
        <v>ITBISA-JUMPER-MM-20CM</v>
      </c>
      <c r="B7493" s="266">
        <f>IFERROR(__xludf.DUMMYFUNCTION("""COMPUTED_VALUE"""),45380.0)</f>
        <v>45380</v>
      </c>
      <c r="C7493" s="266" t="str">
        <f>IFERROR(__xludf.DUMMYFUNCTION("""COMPUTED_VALUE"""),"KERTASARI CIAMIS")</f>
        <v>KERTASARI CIAMIS</v>
      </c>
      <c r="D7493" s="186">
        <f>IFERROR(__xludf.DUMMYFUNCTION("""COMPUTED_VALUE"""),40.0)</f>
        <v>40</v>
      </c>
    </row>
    <row r="7494">
      <c r="A7494" s="178" t="str">
        <f>IFERROR(__xludf.DUMMYFUNCTION("""COMPUTED_VALUE"""),"ITBISA-JUMPER-MM-20CM")</f>
        <v>ITBISA-JUMPER-MM-20CM</v>
      </c>
      <c r="B7494" s="266">
        <f>IFERROR(__xludf.DUMMYFUNCTION("""COMPUTED_VALUE"""),45453.0)</f>
        <v>45453</v>
      </c>
      <c r="C7494" s="266" t="str">
        <f>IFERROR(__xludf.DUMMYFUNCTION("""COMPUTED_VALUE"""),"KYAI KONTONG")</f>
        <v>KYAI KONTONG</v>
      </c>
      <c r="D7494" s="186">
        <f>IFERROR(__xludf.DUMMYFUNCTION("""COMPUTED_VALUE"""),40.0)</f>
        <v>40</v>
      </c>
    </row>
    <row r="7495">
      <c r="A7495" s="178" t="str">
        <f>IFERROR(__xludf.DUMMYFUNCTION("""COMPUTED_VALUE"""),"ITBISA-JUMPER-MM-20CM")</f>
        <v>ITBISA-JUMPER-MM-20CM</v>
      </c>
      <c r="B7495" s="266">
        <f>IFERROR(__xludf.DUMMYFUNCTION("""COMPUTED_VALUE"""),45457.0)</f>
        <v>45457</v>
      </c>
      <c r="C7495" s="266" t="str">
        <f>IFERROR(__xludf.DUMMYFUNCTION("""COMPUTED_VALUE"""),"KERTASARI CIAMIS")</f>
        <v>KERTASARI CIAMIS</v>
      </c>
      <c r="D7495" s="186">
        <f>IFERROR(__xludf.DUMMYFUNCTION("""COMPUTED_VALUE"""),40.0)</f>
        <v>40</v>
      </c>
    </row>
    <row r="7496">
      <c r="A7496" s="178" t="str">
        <f>IFERROR(__xludf.DUMMYFUNCTION("""COMPUTED_VALUE"""),"ITBISA-JUMPER-MM-20CM")</f>
        <v>ITBISA-JUMPER-MM-20CM</v>
      </c>
      <c r="B7496" s="266">
        <f>IFERROR(__xludf.DUMMYFUNCTION("""COMPUTED_VALUE"""),45473.0)</f>
        <v>45473</v>
      </c>
      <c r="C7496" s="266" t="str">
        <f>IFERROR(__xludf.DUMMYFUNCTION("""COMPUTED_VALUE"""),"KYAI KONTONG")</f>
        <v>KYAI KONTONG</v>
      </c>
      <c r="D7496" s="186">
        <f>IFERROR(__xludf.DUMMYFUNCTION("""COMPUTED_VALUE"""),40.0)</f>
        <v>40</v>
      </c>
    </row>
    <row r="7497">
      <c r="A7497" s="178" t="str">
        <f>IFERROR(__xludf.DUMMYFUNCTION("""COMPUTED_VALUE"""),"ITBISA-JUMPER-MM-20CM")</f>
        <v>ITBISA-JUMPER-MM-20CM</v>
      </c>
      <c r="B7497" s="266">
        <f>IFERROR(__xludf.DUMMYFUNCTION("""COMPUTED_VALUE"""),45487.0)</f>
        <v>45487</v>
      </c>
      <c r="C7497" s="266" t="str">
        <f>IFERROR(__xludf.DUMMYFUNCTION("""COMPUTED_VALUE"""),"KERTASARI CIAMIS")</f>
        <v>KERTASARI CIAMIS</v>
      </c>
      <c r="D7497" s="186">
        <f>IFERROR(__xludf.DUMMYFUNCTION("""COMPUTED_VALUE"""),40.0)</f>
        <v>40</v>
      </c>
    </row>
    <row r="7498">
      <c r="A7498" s="178" t="str">
        <f>IFERROR(__xludf.DUMMYFUNCTION("""COMPUTED_VALUE"""),"ITBISA-JUMPER-MM-20CM")</f>
        <v>ITBISA-JUMPER-MM-20CM</v>
      </c>
      <c r="B7498" s="266">
        <f>IFERROR(__xludf.DUMMYFUNCTION("""COMPUTED_VALUE"""),45500.0)</f>
        <v>45500</v>
      </c>
      <c r="C7498" s="266" t="str">
        <f>IFERROR(__xludf.DUMMYFUNCTION("""COMPUTED_VALUE"""),"KERTASARI CIAMIS")</f>
        <v>KERTASARI CIAMIS</v>
      </c>
      <c r="D7498" s="186">
        <f>IFERROR(__xludf.DUMMYFUNCTION("""COMPUTED_VALUE"""),40.0)</f>
        <v>40</v>
      </c>
    </row>
    <row r="7499">
      <c r="A7499" s="178" t="str">
        <f>IFERROR(__xludf.DUMMYFUNCTION("""COMPUTED_VALUE"""),"ITBISA-JUMPER-MM-20CM")</f>
        <v>ITBISA-JUMPER-MM-20CM</v>
      </c>
      <c r="B7499" s="266">
        <f>IFERROR(__xludf.DUMMYFUNCTION("""COMPUTED_VALUE"""),45500.0)</f>
        <v>45500</v>
      </c>
      <c r="C7499" s="266" t="str">
        <f>IFERROR(__xludf.DUMMYFUNCTION("""COMPUTED_VALUE"""),"KYAI KONTONG")</f>
        <v>KYAI KONTONG</v>
      </c>
      <c r="D7499" s="186">
        <f>IFERROR(__xludf.DUMMYFUNCTION("""COMPUTED_VALUE"""),120.0)</f>
        <v>120</v>
      </c>
    </row>
    <row r="7500">
      <c r="A7500" s="178" t="str">
        <f>IFERROR(__xludf.DUMMYFUNCTION("""COMPUTED_VALUE"""),"ITBISA-JUMPER-MM-20CM")</f>
        <v>ITBISA-JUMPER-MM-20CM</v>
      </c>
      <c r="B7500" s="266">
        <f>IFERROR(__xludf.DUMMYFUNCTION("""COMPUTED_VALUE"""),45503.0)</f>
        <v>45503</v>
      </c>
      <c r="C7500" s="266" t="str">
        <f>IFERROR(__xludf.DUMMYFUNCTION("""COMPUTED_VALUE"""),"KYAI KONTONG")</f>
        <v>KYAI KONTONG</v>
      </c>
      <c r="D7500" s="186">
        <f>IFERROR(__xludf.DUMMYFUNCTION("""COMPUTED_VALUE"""),40.0)</f>
        <v>40</v>
      </c>
    </row>
    <row r="7501">
      <c r="A7501" s="178" t="str">
        <f>IFERROR(__xludf.DUMMYFUNCTION("""COMPUTED_VALUE"""),"ITBISA-JUMPER-MM-20CM")</f>
        <v>ITBISA-JUMPER-MM-20CM</v>
      </c>
      <c r="B7501" s="266">
        <f>IFERROR(__xludf.DUMMYFUNCTION("""COMPUTED_VALUE"""),45509.0)</f>
        <v>45509</v>
      </c>
      <c r="C7501" s="266" t="str">
        <f>IFERROR(__xludf.DUMMYFUNCTION("""COMPUTED_VALUE"""),"KYAI KONTONG")</f>
        <v>KYAI KONTONG</v>
      </c>
      <c r="D7501" s="186">
        <f>IFERROR(__xludf.DUMMYFUNCTION("""COMPUTED_VALUE"""),40.0)</f>
        <v>40</v>
      </c>
    </row>
    <row r="7502">
      <c r="A7502" s="178" t="str">
        <f>IFERROR(__xludf.DUMMYFUNCTION("""COMPUTED_VALUE"""),"ITBISA-JUMPER-MM-20CM")</f>
        <v>ITBISA-JUMPER-MM-20CM</v>
      </c>
      <c r="B7502" s="266">
        <f>IFERROR(__xludf.DUMMYFUNCTION("""COMPUTED_VALUE"""),45513.0)</f>
        <v>45513</v>
      </c>
      <c r="C7502" s="266" t="str">
        <f>IFERROR(__xludf.DUMMYFUNCTION("""COMPUTED_VALUE"""),"KYAI KONTONG")</f>
        <v>KYAI KONTONG</v>
      </c>
      <c r="D7502" s="186">
        <f>IFERROR(__xludf.DUMMYFUNCTION("""COMPUTED_VALUE"""),40.0)</f>
        <v>40</v>
      </c>
    </row>
    <row r="7503">
      <c r="A7503" s="178" t="str">
        <f>IFERROR(__xludf.DUMMYFUNCTION("""COMPUTED_VALUE"""),"ITBISA-JUMPER-MM-20CM")</f>
        <v>ITBISA-JUMPER-MM-20CM</v>
      </c>
      <c r="B7503" s="266">
        <f>IFERROR(__xludf.DUMMYFUNCTION("""COMPUTED_VALUE"""),45525.0)</f>
        <v>45525</v>
      </c>
      <c r="C7503" s="266" t="str">
        <f>IFERROR(__xludf.DUMMYFUNCTION("""COMPUTED_VALUE"""),"KYAI KONTONG")</f>
        <v>KYAI KONTONG</v>
      </c>
      <c r="D7503" s="186">
        <f>IFERROR(__xludf.DUMMYFUNCTION("""COMPUTED_VALUE"""),200.0)</f>
        <v>200</v>
      </c>
    </row>
    <row r="7504">
      <c r="A7504" s="178" t="str">
        <f>IFERROR(__xludf.DUMMYFUNCTION("""COMPUTED_VALUE"""),"ITBISA-JUMPER-MM-20CM")</f>
        <v>ITBISA-JUMPER-MM-20CM</v>
      </c>
      <c r="B7504" s="266">
        <f>IFERROR(__xludf.DUMMYFUNCTION("""COMPUTED_VALUE"""),45531.0)</f>
        <v>45531</v>
      </c>
      <c r="C7504" s="266" t="str">
        <f>IFERROR(__xludf.DUMMYFUNCTION("""COMPUTED_VALUE"""),"KYAI KONTONG")</f>
        <v>KYAI KONTONG</v>
      </c>
      <c r="D7504" s="186">
        <f>IFERROR(__xludf.DUMMYFUNCTION("""COMPUTED_VALUE"""),80.0)</f>
        <v>80</v>
      </c>
    </row>
    <row r="7505">
      <c r="A7505" s="178" t="str">
        <f>IFERROR(__xludf.DUMMYFUNCTION("""COMPUTED_VALUE"""),"ITBISA-JUMPER-MM-20CM")</f>
        <v>ITBISA-JUMPER-MM-20CM</v>
      </c>
      <c r="B7505" s="266">
        <f>IFERROR(__xludf.DUMMYFUNCTION("""COMPUTED_VALUE"""),45534.0)</f>
        <v>45534</v>
      </c>
      <c r="C7505" s="266" t="str">
        <f>IFERROR(__xludf.DUMMYFUNCTION("""COMPUTED_VALUE"""),"KYAI KONTONG")</f>
        <v>KYAI KONTONG</v>
      </c>
      <c r="D7505" s="186">
        <f>IFERROR(__xludf.DUMMYFUNCTION("""COMPUTED_VALUE"""),80.0)</f>
        <v>80</v>
      </c>
    </row>
    <row r="7506">
      <c r="A7506" s="178" t="str">
        <f>IFERROR(__xludf.DUMMYFUNCTION("""COMPUTED_VALUE"""),"ITBISA-JUMPER-MM-20CM")</f>
        <v>ITBISA-JUMPER-MM-20CM</v>
      </c>
      <c r="B7506" s="266">
        <f>IFERROR(__xludf.DUMMYFUNCTION("""COMPUTED_VALUE"""),45539.0)</f>
        <v>45539</v>
      </c>
      <c r="C7506" s="266" t="str">
        <f>IFERROR(__xludf.DUMMYFUNCTION("""COMPUTED_VALUE"""),"KERTASARI CIAMIS")</f>
        <v>KERTASARI CIAMIS</v>
      </c>
      <c r="D7506" s="186">
        <f>IFERROR(__xludf.DUMMYFUNCTION("""COMPUTED_VALUE"""),40.0)</f>
        <v>40</v>
      </c>
    </row>
    <row r="7507">
      <c r="A7507" s="178" t="str">
        <f>IFERROR(__xludf.DUMMYFUNCTION("""COMPUTED_VALUE"""),"ITBISA-JUMPER-MM-20CM")</f>
        <v>ITBISA-JUMPER-MM-20CM</v>
      </c>
      <c r="B7507" s="266">
        <f>IFERROR(__xludf.DUMMYFUNCTION("""COMPUTED_VALUE"""),45540.0)</f>
        <v>45540</v>
      </c>
      <c r="C7507" s="266" t="str">
        <f>IFERROR(__xludf.DUMMYFUNCTION("""COMPUTED_VALUE"""),"KERTASARI CIAMIS")</f>
        <v>KERTASARI CIAMIS</v>
      </c>
      <c r="D7507" s="186">
        <f>IFERROR(__xludf.DUMMYFUNCTION("""COMPUTED_VALUE"""),120.0)</f>
        <v>120</v>
      </c>
    </row>
    <row r="7508">
      <c r="A7508" s="178" t="str">
        <f>IFERROR(__xludf.DUMMYFUNCTION("""COMPUTED_VALUE"""),"ITBISA-JUMPER-MM-20CM")</f>
        <v>ITBISA-JUMPER-MM-20CM</v>
      </c>
      <c r="B7508" s="266">
        <f>IFERROR(__xludf.DUMMYFUNCTION("""COMPUTED_VALUE"""),45552.0)</f>
        <v>45552</v>
      </c>
      <c r="C7508" s="266" t="str">
        <f>IFERROR(__xludf.DUMMYFUNCTION("""COMPUTED_VALUE"""),"KYAI KONTONG")</f>
        <v>KYAI KONTONG</v>
      </c>
      <c r="D7508" s="186">
        <f>IFERROR(__xludf.DUMMYFUNCTION("""COMPUTED_VALUE"""),40.0)</f>
        <v>40</v>
      </c>
    </row>
    <row r="7509">
      <c r="A7509" s="178" t="str">
        <f>IFERROR(__xludf.DUMMYFUNCTION("""COMPUTED_VALUE"""),"ITBISA-JUMPER-MM-20CM")</f>
        <v>ITBISA-JUMPER-MM-20CM</v>
      </c>
      <c r="B7509" s="266">
        <f>IFERROR(__xludf.DUMMYFUNCTION("""COMPUTED_VALUE"""),45565.0)</f>
        <v>45565</v>
      </c>
      <c r="C7509" s="266" t="str">
        <f>IFERROR(__xludf.DUMMYFUNCTION("""COMPUTED_VALUE"""),"KERTASARI CIAMIS")</f>
        <v>KERTASARI CIAMIS</v>
      </c>
      <c r="D7509" s="186">
        <f>IFERROR(__xludf.DUMMYFUNCTION("""COMPUTED_VALUE"""),40.0)</f>
        <v>40</v>
      </c>
    </row>
    <row r="7510">
      <c r="A7510" s="178" t="str">
        <f>IFERROR(__xludf.DUMMYFUNCTION("""COMPUTED_VALUE"""),"ITBISA-JUMPER-MM-20CM")</f>
        <v>ITBISA-JUMPER-MM-20CM</v>
      </c>
      <c r="B7510" s="266">
        <f>IFERROR(__xludf.DUMMYFUNCTION("""COMPUTED_VALUE"""),45565.0)</f>
        <v>45565</v>
      </c>
      <c r="C7510" s="266" t="str">
        <f>IFERROR(__xludf.DUMMYFUNCTION("""COMPUTED_VALUE"""),"KERTASARI CIAMIS")</f>
        <v>KERTASARI CIAMIS</v>
      </c>
      <c r="D7510" s="186">
        <f>IFERROR(__xludf.DUMMYFUNCTION("""COMPUTED_VALUE"""),80.0)</f>
        <v>80</v>
      </c>
    </row>
    <row r="7511">
      <c r="A7511" s="178" t="str">
        <f>IFERROR(__xludf.DUMMYFUNCTION("""COMPUTED_VALUE"""),"ITBISA-JUMPER-MM-20CM")</f>
        <v>ITBISA-JUMPER-MM-20CM</v>
      </c>
      <c r="B7511" s="266">
        <f>IFERROR(__xludf.DUMMYFUNCTION("""COMPUTED_VALUE"""),45603.0)</f>
        <v>45603</v>
      </c>
      <c r="C7511" s="266" t="str">
        <f>IFERROR(__xludf.DUMMYFUNCTION("""COMPUTED_VALUE"""),"KERTASARI CIAMIS")</f>
        <v>KERTASARI CIAMIS</v>
      </c>
      <c r="D7511" s="186">
        <f>IFERROR(__xludf.DUMMYFUNCTION("""COMPUTED_VALUE"""),40.0)</f>
        <v>40</v>
      </c>
    </row>
    <row r="7512">
      <c r="A7512" s="178" t="str">
        <f>IFERROR(__xludf.DUMMYFUNCTION("""COMPUTED_VALUE"""),"ITBISA-JUMPER-MM-20CM")</f>
        <v>ITBISA-JUMPER-MM-20CM</v>
      </c>
      <c r="B7512" s="266">
        <f>IFERROR(__xludf.DUMMYFUNCTION("""COMPUTED_VALUE"""),45607.0)</f>
        <v>45607</v>
      </c>
      <c r="C7512" s="266" t="str">
        <f>IFERROR(__xludf.DUMMYFUNCTION("""COMPUTED_VALUE"""),"KERTASARI CIAMIS")</f>
        <v>KERTASARI CIAMIS</v>
      </c>
      <c r="D7512" s="186">
        <f>IFERROR(__xludf.DUMMYFUNCTION("""COMPUTED_VALUE"""),40.0)</f>
        <v>40</v>
      </c>
    </row>
    <row r="7513">
      <c r="A7513" s="178" t="str">
        <f>IFERROR(__xludf.DUMMYFUNCTION("""COMPUTED_VALUE"""),"ITBISA-JUMPER-MM-20CM")</f>
        <v>ITBISA-JUMPER-MM-20CM</v>
      </c>
      <c r="B7513" s="266">
        <f>IFERROR(__xludf.DUMMYFUNCTION("""COMPUTED_VALUE"""),45609.0)</f>
        <v>45609</v>
      </c>
      <c r="C7513" s="266" t="str">
        <f>IFERROR(__xludf.DUMMYFUNCTION("""COMPUTED_VALUE"""),"KYAI KONTONG")</f>
        <v>KYAI KONTONG</v>
      </c>
      <c r="D7513" s="186">
        <f>IFERROR(__xludf.DUMMYFUNCTION("""COMPUTED_VALUE"""),40.0)</f>
        <v>40</v>
      </c>
    </row>
    <row r="7514">
      <c r="A7514" s="178" t="str">
        <f>IFERROR(__xludf.DUMMYFUNCTION("""COMPUTED_VALUE"""),"ITBISA-JUMPER-MM-20CM")</f>
        <v>ITBISA-JUMPER-MM-20CM</v>
      </c>
      <c r="B7514" s="266">
        <f>IFERROR(__xludf.DUMMYFUNCTION("""COMPUTED_VALUE"""),45611.0)</f>
        <v>45611</v>
      </c>
      <c r="C7514" s="266" t="str">
        <f>IFERROR(__xludf.DUMMYFUNCTION("""COMPUTED_VALUE"""),"KYAI KONTONG")</f>
        <v>KYAI KONTONG</v>
      </c>
      <c r="D7514" s="186">
        <f>IFERROR(__xludf.DUMMYFUNCTION("""COMPUTED_VALUE"""),40.0)</f>
        <v>40</v>
      </c>
    </row>
    <row r="7515">
      <c r="A7515" s="178" t="str">
        <f>IFERROR(__xludf.DUMMYFUNCTION("""COMPUTED_VALUE"""),"ITBISA-JUMPER-MM-20CM")</f>
        <v>ITBISA-JUMPER-MM-20CM</v>
      </c>
      <c r="B7515" s="266">
        <f>IFERROR(__xludf.DUMMYFUNCTION("""COMPUTED_VALUE"""),45611.0)</f>
        <v>45611</v>
      </c>
      <c r="C7515" s="266" t="str">
        <f>IFERROR(__xludf.DUMMYFUNCTION("""COMPUTED_VALUE"""),"KYAI KONTONG")</f>
        <v>KYAI KONTONG</v>
      </c>
      <c r="D7515" s="186">
        <f>IFERROR(__xludf.DUMMYFUNCTION("""COMPUTED_VALUE"""),120.0)</f>
        <v>120</v>
      </c>
    </row>
    <row r="7516">
      <c r="A7516" s="178" t="str">
        <f>IFERROR(__xludf.DUMMYFUNCTION("""COMPUTED_VALUE"""),"ITBISA-JUMPER-MM-20CM")</f>
        <v>ITBISA-JUMPER-MM-20CM</v>
      </c>
      <c r="B7516" s="266">
        <f>IFERROR(__xludf.DUMMYFUNCTION("""COMPUTED_VALUE"""),45617.0)</f>
        <v>45617</v>
      </c>
      <c r="C7516" s="266" t="str">
        <f>IFERROR(__xludf.DUMMYFUNCTION("""COMPUTED_VALUE"""),"KERTASARI CIAMIS")</f>
        <v>KERTASARI CIAMIS</v>
      </c>
      <c r="D7516" s="186">
        <f>IFERROR(__xludf.DUMMYFUNCTION("""COMPUTED_VALUE"""),40.0)</f>
        <v>40</v>
      </c>
    </row>
    <row r="7517">
      <c r="A7517" s="178" t="str">
        <f>IFERROR(__xludf.DUMMYFUNCTION("""COMPUTED_VALUE"""),"ITBISA-JUMPER-MM-20CM")</f>
        <v>ITBISA-JUMPER-MM-20CM</v>
      </c>
      <c r="B7517" s="266">
        <f>IFERROR(__xludf.DUMMYFUNCTION("""COMPUTED_VALUE"""),45624.0)</f>
        <v>45624</v>
      </c>
      <c r="C7517" s="266" t="str">
        <f>IFERROR(__xludf.DUMMYFUNCTION("""COMPUTED_VALUE"""),"KYAI KONTONG")</f>
        <v>KYAI KONTONG</v>
      </c>
      <c r="D7517" s="186">
        <f>IFERROR(__xludf.DUMMYFUNCTION("""COMPUTED_VALUE"""),40.0)</f>
        <v>40</v>
      </c>
    </row>
    <row r="7518">
      <c r="A7518" s="178" t="str">
        <f>IFERROR(__xludf.DUMMYFUNCTION("""COMPUTED_VALUE"""),"ITBISA-JUMPER-MM-20CM")</f>
        <v>ITBISA-JUMPER-MM-20CM</v>
      </c>
      <c r="B7518" s="266">
        <f>IFERROR(__xludf.DUMMYFUNCTION("""COMPUTED_VALUE"""),45629.0)</f>
        <v>45629</v>
      </c>
      <c r="C7518" s="266" t="str">
        <f>IFERROR(__xludf.DUMMYFUNCTION("""COMPUTED_VALUE"""),"KYAI KONTONG")</f>
        <v>KYAI KONTONG</v>
      </c>
      <c r="D7518" s="186">
        <f>IFERROR(__xludf.DUMMYFUNCTION("""COMPUTED_VALUE"""),40.0)</f>
        <v>40</v>
      </c>
    </row>
    <row r="7519">
      <c r="A7519" s="178" t="str">
        <f>IFERROR(__xludf.DUMMYFUNCTION("""COMPUTED_VALUE"""),"ITBISA-JUMPER-MM-20CM")</f>
        <v>ITBISA-JUMPER-MM-20CM</v>
      </c>
      <c r="B7519" s="266">
        <f>IFERROR(__xludf.DUMMYFUNCTION("""COMPUTED_VALUE"""),45635.0)</f>
        <v>45635</v>
      </c>
      <c r="C7519" s="266" t="str">
        <f>IFERROR(__xludf.DUMMYFUNCTION("""COMPUTED_VALUE"""),"KYAI KONTONG")</f>
        <v>KYAI KONTONG</v>
      </c>
      <c r="D7519" s="186">
        <f>IFERROR(__xludf.DUMMYFUNCTION("""COMPUTED_VALUE"""),40.0)</f>
        <v>40</v>
      </c>
    </row>
    <row r="7520">
      <c r="A7520" s="178" t="str">
        <f>IFERROR(__xludf.DUMMYFUNCTION("""COMPUTED_VALUE"""),"ITBISA-JUMPER-MM-20CM")</f>
        <v>ITBISA-JUMPER-MM-20CM</v>
      </c>
      <c r="B7520" s="266">
        <f>IFERROR(__xludf.DUMMYFUNCTION("""COMPUTED_VALUE"""),45641.0)</f>
        <v>45641</v>
      </c>
      <c r="C7520" s="266" t="str">
        <f>IFERROR(__xludf.DUMMYFUNCTION("""COMPUTED_VALUE"""),"KYAI KONTONG")</f>
        <v>KYAI KONTONG</v>
      </c>
      <c r="D7520" s="186">
        <f>IFERROR(__xludf.DUMMYFUNCTION("""COMPUTED_VALUE"""),40.0)</f>
        <v>40</v>
      </c>
    </row>
    <row r="7521">
      <c r="A7521" s="178" t="str">
        <f>IFERROR(__xludf.DUMMYFUNCTION("""COMPUTED_VALUE"""),"ITBISA-JUMPER-MM-20CM")</f>
        <v>ITBISA-JUMPER-MM-20CM</v>
      </c>
      <c r="B7521" s="266">
        <f>IFERROR(__xludf.DUMMYFUNCTION("""COMPUTED_VALUE"""),45643.0)</f>
        <v>45643</v>
      </c>
      <c r="C7521" s="266" t="str">
        <f>IFERROR(__xludf.DUMMYFUNCTION("""COMPUTED_VALUE"""),"KYAI KONTONG")</f>
        <v>KYAI KONTONG</v>
      </c>
      <c r="D7521" s="186">
        <f>IFERROR(__xludf.DUMMYFUNCTION("""COMPUTED_VALUE"""),400.0)</f>
        <v>400</v>
      </c>
    </row>
    <row r="7522">
      <c r="A7522" s="178" t="str">
        <f>IFERROR(__xludf.DUMMYFUNCTION("""COMPUTED_VALUE"""),"ITBISA-JUMPER-MM-20CM")</f>
        <v>ITBISA-JUMPER-MM-20CM</v>
      </c>
      <c r="B7522" s="266">
        <f>IFERROR(__xludf.DUMMYFUNCTION("""COMPUTED_VALUE"""),45644.0)</f>
        <v>45644</v>
      </c>
      <c r="C7522" s="266" t="str">
        <f>IFERROR(__xludf.DUMMYFUNCTION("""COMPUTED_VALUE"""),"KYAI KONTONG")</f>
        <v>KYAI KONTONG</v>
      </c>
      <c r="D7522" s="186">
        <f>IFERROR(__xludf.DUMMYFUNCTION("""COMPUTED_VALUE"""),120.0)</f>
        <v>120</v>
      </c>
    </row>
    <row r="7523">
      <c r="A7523" s="178" t="str">
        <f>IFERROR(__xludf.DUMMYFUNCTION("""COMPUTED_VALUE"""),"ITBISA-JUMPER-MM-20CM")</f>
        <v>ITBISA-JUMPER-MM-20CM</v>
      </c>
      <c r="B7523" s="266">
        <f>IFERROR(__xludf.DUMMYFUNCTION("""COMPUTED_VALUE"""),45659.0)</f>
        <v>45659</v>
      </c>
      <c r="C7523" s="266" t="str">
        <f>IFERROR(__xludf.DUMMYFUNCTION("""COMPUTED_VALUE"""),"KERTASARI CIAMIS")</f>
        <v>KERTASARI CIAMIS</v>
      </c>
      <c r="D7523" s="186">
        <f>IFERROR(__xludf.DUMMYFUNCTION("""COMPUTED_VALUE"""),40.0)</f>
        <v>40</v>
      </c>
    </row>
    <row r="7524">
      <c r="A7524" s="178" t="str">
        <f>IFERROR(__xludf.DUMMYFUNCTION("""COMPUTED_VALUE"""),"ITBISA-JUMPER-MM-20CM")</f>
        <v>ITBISA-JUMPER-MM-20CM</v>
      </c>
      <c r="B7524" s="266">
        <f>IFERROR(__xludf.DUMMYFUNCTION("""COMPUTED_VALUE"""),45667.0)</f>
        <v>45667</v>
      </c>
      <c r="C7524" s="266" t="str">
        <f>IFERROR(__xludf.DUMMYFUNCTION("""COMPUTED_VALUE"""),"KYAI KONTONG")</f>
        <v>KYAI KONTONG</v>
      </c>
      <c r="D7524" s="186">
        <f>IFERROR(__xludf.DUMMYFUNCTION("""COMPUTED_VALUE"""),40.0)</f>
        <v>40</v>
      </c>
    </row>
    <row r="7525">
      <c r="A7525" s="178" t="str">
        <f>IFERROR(__xludf.DUMMYFUNCTION("""COMPUTED_VALUE"""),"ITBISA-JUMPER-MM-20CM")</f>
        <v>ITBISA-JUMPER-MM-20CM</v>
      </c>
      <c r="B7525" s="266">
        <f>IFERROR(__xludf.DUMMYFUNCTION("""COMPUTED_VALUE"""),45674.0)</f>
        <v>45674</v>
      </c>
      <c r="C7525" s="266" t="str">
        <f>IFERROR(__xludf.DUMMYFUNCTION("""COMPUTED_VALUE"""),"KYAI KONTONG")</f>
        <v>KYAI KONTONG</v>
      </c>
      <c r="D7525" s="186">
        <f>IFERROR(__xludf.DUMMYFUNCTION("""COMPUTED_VALUE"""),40.0)</f>
        <v>40</v>
      </c>
    </row>
    <row r="7526">
      <c r="A7526" s="178" t="str">
        <f>IFERROR(__xludf.DUMMYFUNCTION("""COMPUTED_VALUE"""),"ITBISA-JUMPER-MM-20CM")</f>
        <v>ITBISA-JUMPER-MM-20CM</v>
      </c>
      <c r="B7526" s="266">
        <f>IFERROR(__xludf.DUMMYFUNCTION("""COMPUTED_VALUE"""),45674.0)</f>
        <v>45674</v>
      </c>
      <c r="C7526" s="266" t="str">
        <f>IFERROR(__xludf.DUMMYFUNCTION("""COMPUTED_VALUE"""),"KYAI KONTONG")</f>
        <v>KYAI KONTONG</v>
      </c>
      <c r="D7526" s="186">
        <f>IFERROR(__xludf.DUMMYFUNCTION("""COMPUTED_VALUE"""),40.0)</f>
        <v>40</v>
      </c>
    </row>
    <row r="7527">
      <c r="A7527" s="178" t="str">
        <f>IFERROR(__xludf.DUMMYFUNCTION("""COMPUTED_VALUE"""),"ITBISA-JUMPER-MM-20CM")</f>
        <v>ITBISA-JUMPER-MM-20CM</v>
      </c>
      <c r="B7527" s="266">
        <f>IFERROR(__xludf.DUMMYFUNCTION("""COMPUTED_VALUE"""),45707.0)</f>
        <v>45707</v>
      </c>
      <c r="C7527" s="266" t="str">
        <f>IFERROR(__xludf.DUMMYFUNCTION("""COMPUTED_VALUE"""),"KERTASARI CIAMIS")</f>
        <v>KERTASARI CIAMIS</v>
      </c>
      <c r="D7527" s="186">
        <f>IFERROR(__xludf.DUMMYFUNCTION("""COMPUTED_VALUE"""),40.0)</f>
        <v>40</v>
      </c>
    </row>
    <row r="7528">
      <c r="A7528" s="178" t="str">
        <f>IFERROR(__xludf.DUMMYFUNCTION("""COMPUTED_VALUE"""),"ITBISA-JUMPER-MM-20CM")</f>
        <v>ITBISA-JUMPER-MM-20CM</v>
      </c>
      <c r="B7528" s="266">
        <f>IFERROR(__xludf.DUMMYFUNCTION("""COMPUTED_VALUE"""),45709.0)</f>
        <v>45709</v>
      </c>
      <c r="C7528" s="266" t="str">
        <f>IFERROR(__xludf.DUMMYFUNCTION("""COMPUTED_VALUE"""),"KERTASARI CIAMIS")</f>
        <v>KERTASARI CIAMIS</v>
      </c>
      <c r="D7528" s="186">
        <f>IFERROR(__xludf.DUMMYFUNCTION("""COMPUTED_VALUE"""),200.0)</f>
        <v>200</v>
      </c>
    </row>
    <row r="7529">
      <c r="A7529" s="178" t="str">
        <f>IFERROR(__xludf.DUMMYFUNCTION("""COMPUTED_VALUE"""),"ITBISA-JUMPER-MM-20CM")</f>
        <v>ITBISA-JUMPER-MM-20CM</v>
      </c>
      <c r="B7529" s="266">
        <f>IFERROR(__xludf.DUMMYFUNCTION("""COMPUTED_VALUE"""),45714.0)</f>
        <v>45714</v>
      </c>
      <c r="C7529" s="266" t="str">
        <f>IFERROR(__xludf.DUMMYFUNCTION("""COMPUTED_VALUE"""),"KERTASARI CIAMIS")</f>
        <v>KERTASARI CIAMIS</v>
      </c>
      <c r="D7529" s="186">
        <f>IFERROR(__xludf.DUMMYFUNCTION("""COMPUTED_VALUE"""),40.0)</f>
        <v>40</v>
      </c>
    </row>
    <row r="7530">
      <c r="A7530" s="178" t="str">
        <f>IFERROR(__xludf.DUMMYFUNCTION("""COMPUTED_VALUE"""),"ITBISA-JUMPER-MM-20CM")</f>
        <v>ITBISA-JUMPER-MM-20CM</v>
      </c>
      <c r="B7530" s="266">
        <f>IFERROR(__xludf.DUMMYFUNCTION("""COMPUTED_VALUE"""),45727.0)</f>
        <v>45727</v>
      </c>
      <c r="C7530" s="266" t="str">
        <f>IFERROR(__xludf.DUMMYFUNCTION("""COMPUTED_VALUE"""),"KERTASARI CIAMIS")</f>
        <v>KERTASARI CIAMIS</v>
      </c>
      <c r="D7530" s="186">
        <f>IFERROR(__xludf.DUMMYFUNCTION("""COMPUTED_VALUE"""),80.0)</f>
        <v>80</v>
      </c>
    </row>
    <row r="7531">
      <c r="A7531" s="178" t="str">
        <f>IFERROR(__xludf.DUMMYFUNCTION("""COMPUTED_VALUE"""),"ITBISA-JUMPER-MM-20CM")</f>
        <v>ITBISA-JUMPER-MM-20CM</v>
      </c>
      <c r="B7531" s="266">
        <f>IFERROR(__xludf.DUMMYFUNCTION("""COMPUTED_VALUE"""),45728.0)</f>
        <v>45728</v>
      </c>
      <c r="C7531" s="266" t="str">
        <f>IFERROR(__xludf.DUMMYFUNCTION("""COMPUTED_VALUE"""),"KERTASARI CIAMIS")</f>
        <v>KERTASARI CIAMIS</v>
      </c>
      <c r="D7531" s="186">
        <f>IFERROR(__xludf.DUMMYFUNCTION("""COMPUTED_VALUE"""),80.0)</f>
        <v>80</v>
      </c>
    </row>
    <row r="7532">
      <c r="A7532" s="178" t="str">
        <f>IFERROR(__xludf.DUMMYFUNCTION("""COMPUTED_VALUE"""),"ITBISA-JUMPER-MM-20CM")</f>
        <v>ITBISA-JUMPER-MM-20CM</v>
      </c>
      <c r="B7532" s="266">
        <f>IFERROR(__xludf.DUMMYFUNCTION("""COMPUTED_VALUE"""),45730.0)</f>
        <v>45730</v>
      </c>
      <c r="C7532" s="266" t="str">
        <f>IFERROR(__xludf.DUMMYFUNCTION("""COMPUTED_VALUE"""),"KERTASARI CIAMIS")</f>
        <v>KERTASARI CIAMIS</v>
      </c>
      <c r="D7532" s="186">
        <f>IFERROR(__xludf.DUMMYFUNCTION("""COMPUTED_VALUE"""),40.0)</f>
        <v>40</v>
      </c>
    </row>
    <row r="7533">
      <c r="A7533" s="178" t="str">
        <f>IFERROR(__xludf.DUMMYFUNCTION("""COMPUTED_VALUE"""),"ITBISA-JUMPER-MM-20CM")</f>
        <v>ITBISA-JUMPER-MM-20CM</v>
      </c>
      <c r="B7533" s="266">
        <f>IFERROR(__xludf.DUMMYFUNCTION("""COMPUTED_VALUE"""),45742.0)</f>
        <v>45742</v>
      </c>
      <c r="C7533" s="266" t="str">
        <f>IFERROR(__xludf.DUMMYFUNCTION("""COMPUTED_VALUE"""),"KERTASARI CIAMIS")</f>
        <v>KERTASARI CIAMIS</v>
      </c>
      <c r="D7533" s="186">
        <f>IFERROR(__xludf.DUMMYFUNCTION("""COMPUTED_VALUE"""),120.0)</f>
        <v>120</v>
      </c>
    </row>
    <row r="7534">
      <c r="A7534" s="178" t="str">
        <f>IFERROR(__xludf.DUMMYFUNCTION("""COMPUTED_VALUE"""),"ITBISA-JUMPER-MM-20CM")</f>
        <v>ITBISA-JUMPER-MM-20CM</v>
      </c>
      <c r="B7534" s="266">
        <f>IFERROR(__xludf.DUMMYFUNCTION("""COMPUTED_VALUE"""),45747.0)</f>
        <v>45747</v>
      </c>
      <c r="C7534" s="266" t="str">
        <f>IFERROR(__xludf.DUMMYFUNCTION("""COMPUTED_VALUE"""),"KERTASARI CIAMIS")</f>
        <v>KERTASARI CIAMIS</v>
      </c>
      <c r="D7534" s="186">
        <f>IFERROR(__xludf.DUMMYFUNCTION("""COMPUTED_VALUE"""),40.0)</f>
        <v>40</v>
      </c>
    </row>
    <row r="7535">
      <c r="A7535" s="178" t="str">
        <f>IFERROR(__xludf.DUMMYFUNCTION("""COMPUTED_VALUE"""),"ITBISA-JUMPER-MM-20CM")</f>
        <v>ITBISA-JUMPER-MM-20CM</v>
      </c>
      <c r="B7535" s="266">
        <f>IFERROR(__xludf.DUMMYFUNCTION("""COMPUTED_VALUE"""),45769.0)</f>
        <v>45769</v>
      </c>
      <c r="C7535" s="266" t="str">
        <f>IFERROR(__xludf.DUMMYFUNCTION("""COMPUTED_VALUE"""),"KERTASARI CIAMIS")</f>
        <v>KERTASARI CIAMIS</v>
      </c>
      <c r="D7535" s="186">
        <f>IFERROR(__xludf.DUMMYFUNCTION("""COMPUTED_VALUE"""),120.0)</f>
        <v>120</v>
      </c>
    </row>
    <row r="7536">
      <c r="A7536" s="178" t="str">
        <f>IFERROR(__xludf.DUMMYFUNCTION("""COMPUTED_VALUE"""),"ITBISA-JUMPER-MM-20CM")</f>
        <v>ITBISA-JUMPER-MM-20CM</v>
      </c>
      <c r="B7536" s="266">
        <f>IFERROR(__xludf.DUMMYFUNCTION("""COMPUTED_VALUE"""),45775.0)</f>
        <v>45775</v>
      </c>
      <c r="C7536" s="266" t="str">
        <f>IFERROR(__xludf.DUMMYFUNCTION("""COMPUTED_VALUE"""),"KYAI KONTONG")</f>
        <v>KYAI KONTONG</v>
      </c>
      <c r="D7536" s="186">
        <f>IFERROR(__xludf.DUMMYFUNCTION("""COMPUTED_VALUE"""),40.0)</f>
        <v>40</v>
      </c>
    </row>
    <row r="7537">
      <c r="A7537" s="178" t="str">
        <f>IFERROR(__xludf.DUMMYFUNCTION("""COMPUTED_VALUE"""),"ITBISA-JUMPER-MM-20CM")</f>
        <v>ITBISA-JUMPER-MM-20CM</v>
      </c>
      <c r="B7537" s="266">
        <f>IFERROR(__xludf.DUMMYFUNCTION("""COMPUTED_VALUE"""),45811.0)</f>
        <v>45811</v>
      </c>
      <c r="C7537" s="266" t="str">
        <f>IFERROR(__xludf.DUMMYFUNCTION("""COMPUTED_VALUE"""),"KYAI KONTONG")</f>
        <v>KYAI KONTONG</v>
      </c>
      <c r="D7537" s="186">
        <f>IFERROR(__xludf.DUMMYFUNCTION("""COMPUTED_VALUE"""),80.0)</f>
        <v>80</v>
      </c>
    </row>
    <row r="7538">
      <c r="A7538" s="178" t="str">
        <f>IFERROR(__xludf.DUMMYFUNCTION("""COMPUTED_VALUE"""),"ITBISA-JUMPER-MM-20CM")</f>
        <v>ITBISA-JUMPER-MM-20CM</v>
      </c>
      <c r="B7538" s="266">
        <f>IFERROR(__xludf.DUMMYFUNCTION("""COMPUTED_VALUE"""),45822.0)</f>
        <v>45822</v>
      </c>
      <c r="C7538" s="266" t="str">
        <f>IFERROR(__xludf.DUMMYFUNCTION("""COMPUTED_VALUE"""),"KYAI KONTONG")</f>
        <v>KYAI KONTONG</v>
      </c>
      <c r="D7538" s="186">
        <f>IFERROR(__xludf.DUMMYFUNCTION("""COMPUTED_VALUE"""),40.0)</f>
        <v>40</v>
      </c>
    </row>
    <row r="7539">
      <c r="A7539" s="178" t="str">
        <f>IFERROR(__xludf.DUMMYFUNCTION("""COMPUTED_VALUE"""),"ITBISA-JUMPER-MM-20CM")</f>
        <v>ITBISA-JUMPER-MM-20CM</v>
      </c>
      <c r="B7539" s="266">
        <f>IFERROR(__xludf.DUMMYFUNCTION("""COMPUTED_VALUE"""),45878.0)</f>
        <v>45878</v>
      </c>
      <c r="C7539" s="266" t="str">
        <f>IFERROR(__xludf.DUMMYFUNCTION("""COMPUTED_VALUE"""),"KERTASARI CIAMIS")</f>
        <v>KERTASARI CIAMIS</v>
      </c>
      <c r="D7539" s="186">
        <f>IFERROR(__xludf.DUMMYFUNCTION("""COMPUTED_VALUE"""),80.0)</f>
        <v>80</v>
      </c>
    </row>
    <row r="7540">
      <c r="A7540" s="178" t="str">
        <f>IFERROR(__xludf.DUMMYFUNCTION("""COMPUTED_VALUE"""),"ITBISA-JUMPER-MM-20CM")</f>
        <v>ITBISA-JUMPER-MM-20CM</v>
      </c>
      <c r="B7540" s="266">
        <f>IFERROR(__xludf.DUMMYFUNCTION("""COMPUTED_VALUE"""),45882.0)</f>
        <v>45882</v>
      </c>
      <c r="C7540" s="266" t="str">
        <f>IFERROR(__xludf.DUMMYFUNCTION("""COMPUTED_VALUE"""),"KERTASARI CIAMIS")</f>
        <v>KERTASARI CIAMIS</v>
      </c>
      <c r="D7540" s="186">
        <f>IFERROR(__xludf.DUMMYFUNCTION("""COMPUTED_VALUE"""),120.0)</f>
        <v>120</v>
      </c>
    </row>
    <row r="7541">
      <c r="A7541" s="178" t="str">
        <f>IFERROR(__xludf.DUMMYFUNCTION("""COMPUTED_VALUE"""),"ITBISA-JUMPER-MM-20CM")</f>
        <v>ITBISA-JUMPER-MM-20CM</v>
      </c>
      <c r="B7541" s="266">
        <f>IFERROR(__xludf.DUMMYFUNCTION("""COMPUTED_VALUE"""),45936.0)</f>
        <v>45936</v>
      </c>
      <c r="C7541" s="266" t="str">
        <f>IFERROR(__xludf.DUMMYFUNCTION("""COMPUTED_VALUE"""),"KERTASARI CIAMIS")</f>
        <v>KERTASARI CIAMIS</v>
      </c>
      <c r="D7541" s="186">
        <f>IFERROR(__xludf.DUMMYFUNCTION("""COMPUTED_VALUE"""),40.0)</f>
        <v>40</v>
      </c>
    </row>
    <row r="7542">
      <c r="A7542" s="178" t="str">
        <f>IFERROR(__xludf.DUMMYFUNCTION("""COMPUTED_VALUE"""),"ITBISA-JUMPER-MM-20CM")</f>
        <v>ITBISA-JUMPER-MM-20CM</v>
      </c>
      <c r="B7542" s="266">
        <f>IFERROR(__xludf.DUMMYFUNCTION("""COMPUTED_VALUE"""),45940.0)</f>
        <v>45940</v>
      </c>
      <c r="C7542" s="266" t="str">
        <f>IFERROR(__xludf.DUMMYFUNCTION("""COMPUTED_VALUE"""),"KERTASARI CIAMIS")</f>
        <v>KERTASARI CIAMIS</v>
      </c>
      <c r="D7542" s="186">
        <f>IFERROR(__xludf.DUMMYFUNCTION("""COMPUTED_VALUE"""),40.0)</f>
        <v>40</v>
      </c>
    </row>
    <row r="7543">
      <c r="A7543" s="178" t="str">
        <f>IFERROR(__xludf.DUMMYFUNCTION("""COMPUTED_VALUE"""),"ITBISA-JUMPER-MM-20CM")</f>
        <v>ITBISA-JUMPER-MM-20CM</v>
      </c>
      <c r="B7543" s="266">
        <f>IFERROR(__xludf.DUMMYFUNCTION("""COMPUTED_VALUE"""),45944.0)</f>
        <v>45944</v>
      </c>
      <c r="C7543" s="266" t="str">
        <f>IFERROR(__xludf.DUMMYFUNCTION("""COMPUTED_VALUE"""),"KYAI KONTONG")</f>
        <v>KYAI KONTONG</v>
      </c>
      <c r="D7543" s="186">
        <f>IFERROR(__xludf.DUMMYFUNCTION("""COMPUTED_VALUE"""),40.0)</f>
        <v>40</v>
      </c>
    </row>
    <row r="7544">
      <c r="A7544" s="178" t="str">
        <f>IFERROR(__xludf.DUMMYFUNCTION("""COMPUTED_VALUE"""),"ITBISA-JUMPER-MM-20CM")</f>
        <v>ITBISA-JUMPER-MM-20CM</v>
      </c>
      <c r="B7544" s="266">
        <f>IFERROR(__xludf.DUMMYFUNCTION("""COMPUTED_VALUE"""),45952.0)</f>
        <v>45952</v>
      </c>
      <c r="C7544" s="266" t="str">
        <f>IFERROR(__xludf.DUMMYFUNCTION("""COMPUTED_VALUE"""),"KYAI KONTONG")</f>
        <v>KYAI KONTONG</v>
      </c>
      <c r="D7544" s="186">
        <f>IFERROR(__xludf.DUMMYFUNCTION("""COMPUTED_VALUE"""),80.0)</f>
        <v>80</v>
      </c>
    </row>
    <row r="7545">
      <c r="A7545" s="178" t="str">
        <f>IFERROR(__xludf.DUMMYFUNCTION("""COMPUTED_VALUE"""),"ITBISA-JUMPER-MM-20CM")</f>
        <v>ITBISA-JUMPER-MM-20CM</v>
      </c>
      <c r="B7545" s="266">
        <f>IFERROR(__xludf.DUMMYFUNCTION("""COMPUTED_VALUE"""),45962.0)</f>
        <v>45962</v>
      </c>
      <c r="C7545" s="266" t="str">
        <f>IFERROR(__xludf.DUMMYFUNCTION("""COMPUTED_VALUE"""),"KYAI KONTONG")</f>
        <v>KYAI KONTONG</v>
      </c>
      <c r="D7545" s="186">
        <f>IFERROR(__xludf.DUMMYFUNCTION("""COMPUTED_VALUE"""),40.0)</f>
        <v>40</v>
      </c>
    </row>
    <row r="7546">
      <c r="A7546" s="178" t="str">
        <f>IFERROR(__xludf.DUMMYFUNCTION("""COMPUTED_VALUE"""),"ITBISA-JUMPER-MM-20CM")</f>
        <v>ITBISA-JUMPER-MM-20CM</v>
      </c>
      <c r="B7546" s="266">
        <f>IFERROR(__xludf.DUMMYFUNCTION("""COMPUTED_VALUE"""),45964.0)</f>
        <v>45964</v>
      </c>
      <c r="C7546" s="266" t="str">
        <f>IFERROR(__xludf.DUMMYFUNCTION("""COMPUTED_VALUE"""),"KYAI KONTONG")</f>
        <v>KYAI KONTONG</v>
      </c>
      <c r="D7546" s="186">
        <f>IFERROR(__xludf.DUMMYFUNCTION("""COMPUTED_VALUE"""),40.0)</f>
        <v>40</v>
      </c>
    </row>
    <row r="7547">
      <c r="A7547" s="178" t="str">
        <f>IFERROR(__xludf.DUMMYFUNCTION("""COMPUTED_VALUE"""),"ITBISA-JUMPER-MM-20CM")</f>
        <v>ITBISA-JUMPER-MM-20CM</v>
      </c>
      <c r="B7547" s="266">
        <f>IFERROR(__xludf.DUMMYFUNCTION("""COMPUTED_VALUE"""),45968.0)</f>
        <v>45968</v>
      </c>
      <c r="C7547" s="266" t="str">
        <f>IFERROR(__xludf.DUMMYFUNCTION("""COMPUTED_VALUE"""),"KYAI KONTONG")</f>
        <v>KYAI KONTONG</v>
      </c>
      <c r="D7547" s="186">
        <f>IFERROR(__xludf.DUMMYFUNCTION("""COMPUTED_VALUE"""),40.0)</f>
        <v>40</v>
      </c>
    </row>
    <row r="7548">
      <c r="A7548" s="178" t="str">
        <f>IFERROR(__xludf.DUMMYFUNCTION("""COMPUTED_VALUE"""),"ITBISA-JUMPER-MM-20CM")</f>
        <v>ITBISA-JUMPER-MM-20CM</v>
      </c>
      <c r="B7548" s="266">
        <f>IFERROR(__xludf.DUMMYFUNCTION("""COMPUTED_VALUE"""),45970.0)</f>
        <v>45970</v>
      </c>
      <c r="C7548" s="266" t="str">
        <f>IFERROR(__xludf.DUMMYFUNCTION("""COMPUTED_VALUE"""),"KYAI KONTONG")</f>
        <v>KYAI KONTONG</v>
      </c>
      <c r="D7548" s="186">
        <f>IFERROR(__xludf.DUMMYFUNCTION("""COMPUTED_VALUE"""),40.0)</f>
        <v>40</v>
      </c>
    </row>
    <row r="7549">
      <c r="A7549" s="178" t="str">
        <f>IFERROR(__xludf.DUMMYFUNCTION("""COMPUTED_VALUE"""),"ITBISA-JUMPER-MM-20CM")</f>
        <v>ITBISA-JUMPER-MM-20CM</v>
      </c>
      <c r="B7549" s="266">
        <f>IFERROR(__xludf.DUMMYFUNCTION("""COMPUTED_VALUE"""),45975.0)</f>
        <v>45975</v>
      </c>
      <c r="C7549" s="266" t="str">
        <f>IFERROR(__xludf.DUMMYFUNCTION("""COMPUTED_VALUE"""),"KYAI KONTONG")</f>
        <v>KYAI KONTONG</v>
      </c>
      <c r="D7549" s="186">
        <f>IFERROR(__xludf.DUMMYFUNCTION("""COMPUTED_VALUE"""),280.0)</f>
        <v>280</v>
      </c>
    </row>
    <row r="7550">
      <c r="A7550" s="178" t="str">
        <f>IFERROR(__xludf.DUMMYFUNCTION("""COMPUTED_VALUE"""),"ITBISA-JUMPER-MM-20CM")</f>
        <v>ITBISA-JUMPER-MM-20CM</v>
      </c>
      <c r="B7550" s="266">
        <f>IFERROR(__xludf.DUMMYFUNCTION("""COMPUTED_VALUE"""),45977.0)</f>
        <v>45977</v>
      </c>
      <c r="C7550" s="266" t="str">
        <f>IFERROR(__xludf.DUMMYFUNCTION("""COMPUTED_VALUE"""),"KYAI KONTONG")</f>
        <v>KYAI KONTONG</v>
      </c>
      <c r="D7550" s="186">
        <f>IFERROR(__xludf.DUMMYFUNCTION("""COMPUTED_VALUE"""),40.0)</f>
        <v>40</v>
      </c>
    </row>
    <row r="7551">
      <c r="A7551" s="178" t="str">
        <f>IFERROR(__xludf.DUMMYFUNCTION("""COMPUTED_VALUE"""),"ITBISA-JUMPER-MM-20CM")</f>
        <v>ITBISA-JUMPER-MM-20CM</v>
      </c>
      <c r="B7551" s="266">
        <f>IFERROR(__xludf.DUMMYFUNCTION("""COMPUTED_VALUE"""),45979.0)</f>
        <v>45979</v>
      </c>
      <c r="C7551" s="266" t="str">
        <f>IFERROR(__xludf.DUMMYFUNCTION("""COMPUTED_VALUE"""),"KERTASARI CIAMIS")</f>
        <v>KERTASARI CIAMIS</v>
      </c>
      <c r="D7551" s="186">
        <f>IFERROR(__xludf.DUMMYFUNCTION("""COMPUTED_VALUE"""),40.0)</f>
        <v>40</v>
      </c>
    </row>
    <row r="7552">
      <c r="A7552" s="178" t="str">
        <f>IFERROR(__xludf.DUMMYFUNCTION("""COMPUTED_VALUE"""),"ITBISA-JUMPER-MM-20CM")</f>
        <v>ITBISA-JUMPER-MM-20CM</v>
      </c>
      <c r="B7552" s="266">
        <f>IFERROR(__xludf.DUMMYFUNCTION("""COMPUTED_VALUE"""),45980.0)</f>
        <v>45980</v>
      </c>
      <c r="C7552" s="266" t="str">
        <f>IFERROR(__xludf.DUMMYFUNCTION("""COMPUTED_VALUE"""),"KYAI KONTONG")</f>
        <v>KYAI KONTONG</v>
      </c>
      <c r="D7552" s="186">
        <f>IFERROR(__xludf.DUMMYFUNCTION("""COMPUTED_VALUE"""),40.0)</f>
        <v>40</v>
      </c>
    </row>
    <row r="7553">
      <c r="A7553" s="178" t="str">
        <f>IFERROR(__xludf.DUMMYFUNCTION("""COMPUTED_VALUE"""),"ITBISA-JUMPER-MM-20CM")</f>
        <v>ITBISA-JUMPER-MM-20CM</v>
      </c>
      <c r="B7553" s="266">
        <f>IFERROR(__xludf.DUMMYFUNCTION("""COMPUTED_VALUE"""),45982.0)</f>
        <v>45982</v>
      </c>
      <c r="C7553" s="266" t="str">
        <f>IFERROR(__xludf.DUMMYFUNCTION("""COMPUTED_VALUE"""),"KERTASARI CIAMIS")</f>
        <v>KERTASARI CIAMIS</v>
      </c>
      <c r="D7553" s="186">
        <f>IFERROR(__xludf.DUMMYFUNCTION("""COMPUTED_VALUE"""),40.0)</f>
        <v>40</v>
      </c>
    </row>
    <row r="7554">
      <c r="A7554" s="178" t="str">
        <f>IFERROR(__xludf.DUMMYFUNCTION("""COMPUTED_VALUE"""),"ITBISA-JUMPER-MM-20CM")</f>
        <v>ITBISA-JUMPER-MM-20CM</v>
      </c>
      <c r="B7554" s="266">
        <f>IFERROR(__xludf.DUMMYFUNCTION("""COMPUTED_VALUE"""),45989.0)</f>
        <v>45989</v>
      </c>
      <c r="C7554" s="266" t="str">
        <f>IFERROR(__xludf.DUMMYFUNCTION("""COMPUTED_VALUE"""),"KERTASARI CIAMIS")</f>
        <v>KERTASARI CIAMIS</v>
      </c>
      <c r="D7554" s="186">
        <f>IFERROR(__xludf.DUMMYFUNCTION("""COMPUTED_VALUE"""),40.0)</f>
        <v>40</v>
      </c>
    </row>
    <row r="7555">
      <c r="A7555" s="178" t="str">
        <f>IFERROR(__xludf.DUMMYFUNCTION("""COMPUTED_VALUE"""),"ITBISA-JUMPER-MM-20CM")</f>
        <v>ITBISA-JUMPER-MM-20CM</v>
      </c>
      <c r="B7555" s="266">
        <f>IFERROR(__xludf.DUMMYFUNCTION("""COMPUTED_VALUE"""),46002.0)</f>
        <v>46002</v>
      </c>
      <c r="C7555" s="266" t="str">
        <f>IFERROR(__xludf.DUMMYFUNCTION("""COMPUTED_VALUE"""),"KYAI KONTONG")</f>
        <v>KYAI KONTONG</v>
      </c>
      <c r="D7555" s="186">
        <f>IFERROR(__xludf.DUMMYFUNCTION("""COMPUTED_VALUE"""),40.0)</f>
        <v>40</v>
      </c>
    </row>
    <row r="7556">
      <c r="A7556" s="178" t="str">
        <f>IFERROR(__xludf.DUMMYFUNCTION("""COMPUTED_VALUE"""),"ITBISA-JUMPER-MM-20CM")</f>
        <v>ITBISA-JUMPER-MM-20CM</v>
      </c>
      <c r="B7556" s="266">
        <f>IFERROR(__xludf.DUMMYFUNCTION("""COMPUTED_VALUE"""),46010.0)</f>
        <v>46010</v>
      </c>
      <c r="C7556" s="266" t="str">
        <f>IFERROR(__xludf.DUMMYFUNCTION("""COMPUTED_VALUE"""),"KYAI KONTONG")</f>
        <v>KYAI KONTONG</v>
      </c>
      <c r="D7556" s="186">
        <f>IFERROR(__xludf.DUMMYFUNCTION("""COMPUTED_VALUE"""),80.0)</f>
        <v>80</v>
      </c>
    </row>
    <row r="7557">
      <c r="A7557" s="178" t="str">
        <f>IFERROR(__xludf.DUMMYFUNCTION("""COMPUTED_VALUE"""),"ITBISA-KAPASITOR-ELCO-2200UF-25V")</f>
        <v>ITBISA-KAPASITOR-ELCO-2200UF-25V</v>
      </c>
      <c r="B7557" s="266">
        <f>IFERROR(__xludf.DUMMYFUNCTION("""COMPUTED_VALUE"""),45996.0)</f>
        <v>45996</v>
      </c>
      <c r="C7557" s="266" t="str">
        <f>IFERROR(__xludf.DUMMYFUNCTION("""COMPUTED_VALUE"""),"KYAI KONTONG")</f>
        <v>KYAI KONTONG</v>
      </c>
      <c r="D7557" s="186">
        <f>IFERROR(__xludf.DUMMYFUNCTION("""COMPUTED_VALUE"""),2.0)</f>
        <v>2</v>
      </c>
    </row>
    <row r="7558">
      <c r="A7558" s="178" t="str">
        <f>IFERROR(__xludf.DUMMYFUNCTION("""COMPUTED_VALUE"""),"ITBISA-KAPASITOR-ELCO-2200UF-25V")</f>
        <v>ITBISA-KAPASITOR-ELCO-2200UF-25V</v>
      </c>
      <c r="B7558" s="266">
        <f>IFERROR(__xludf.DUMMYFUNCTION("""COMPUTED_VALUE"""),45997.0)</f>
        <v>45997</v>
      </c>
      <c r="C7558" s="266" t="str">
        <f>IFERROR(__xludf.DUMMYFUNCTION("""COMPUTED_VALUE"""),"KYAI KONTONG")</f>
        <v>KYAI KONTONG</v>
      </c>
      <c r="D7558" s="186">
        <f>IFERROR(__xludf.DUMMYFUNCTION("""COMPUTED_VALUE"""),1.0)</f>
        <v>1</v>
      </c>
    </row>
    <row r="7559">
      <c r="A7559" s="178" t="str">
        <f>IFERROR(__xludf.DUMMYFUNCTION("""COMPUTED_VALUE"""),"ITBISA-KAPASITOR-ELCO-2200UF-25V")</f>
        <v>ITBISA-KAPASITOR-ELCO-2200UF-25V</v>
      </c>
      <c r="B7559" s="266">
        <f>IFERROR(__xludf.DUMMYFUNCTION("""COMPUTED_VALUE"""),45997.0)</f>
        <v>45997</v>
      </c>
      <c r="C7559" s="266" t="str">
        <f>IFERROR(__xludf.DUMMYFUNCTION("""COMPUTED_VALUE"""),"KYAI KONTONG")</f>
        <v>KYAI KONTONG</v>
      </c>
      <c r="D7559" s="186">
        <f>IFERROR(__xludf.DUMMYFUNCTION("""COMPUTED_VALUE"""),3.0)</f>
        <v>3</v>
      </c>
    </row>
    <row r="7560">
      <c r="A7560" s="178" t="str">
        <f>IFERROR(__xludf.DUMMYFUNCTION("""COMPUTED_VALUE"""),"ITBISA-KAPASITOR-ELCO-2200UF-25V")</f>
        <v>ITBISA-KAPASITOR-ELCO-2200UF-25V</v>
      </c>
      <c r="B7560" s="266">
        <f>IFERROR(__xludf.DUMMYFUNCTION("""COMPUTED_VALUE"""),45997.0)</f>
        <v>45997</v>
      </c>
      <c r="C7560" s="266" t="str">
        <f>IFERROR(__xludf.DUMMYFUNCTION("""COMPUTED_VALUE"""),"KYAI KONTONG")</f>
        <v>KYAI KONTONG</v>
      </c>
      <c r="D7560" s="186">
        <f>IFERROR(__xludf.DUMMYFUNCTION("""COMPUTED_VALUE"""),10.0)</f>
        <v>10</v>
      </c>
    </row>
    <row r="7561">
      <c r="A7561" s="178" t="str">
        <f>IFERROR(__xludf.DUMMYFUNCTION("""COMPUTED_VALUE"""),"ITBISA-KAPASITOR-ELCO-2200UF-25V")</f>
        <v>ITBISA-KAPASITOR-ELCO-2200UF-25V</v>
      </c>
      <c r="B7561" s="266">
        <f>IFERROR(__xludf.DUMMYFUNCTION("""COMPUTED_VALUE"""),45998.0)</f>
        <v>45998</v>
      </c>
      <c r="C7561" s="266" t="str">
        <f>IFERROR(__xludf.DUMMYFUNCTION("""COMPUTED_VALUE"""),"KYAI KONTONG")</f>
        <v>KYAI KONTONG</v>
      </c>
      <c r="D7561" s="186">
        <f>IFERROR(__xludf.DUMMYFUNCTION("""COMPUTED_VALUE"""),2.0)</f>
        <v>2</v>
      </c>
    </row>
    <row r="7562">
      <c r="A7562" s="178" t="str">
        <f>IFERROR(__xludf.DUMMYFUNCTION("""COMPUTED_VALUE"""),"ITBISA-KAPASITOR-ELCO-2200UF-25V")</f>
        <v>ITBISA-KAPASITOR-ELCO-2200UF-25V</v>
      </c>
      <c r="B7562" s="266">
        <f>IFERROR(__xludf.DUMMYFUNCTION("""COMPUTED_VALUE"""),46003.0)</f>
        <v>46003</v>
      </c>
      <c r="C7562" s="266" t="str">
        <f>IFERROR(__xludf.DUMMYFUNCTION("""COMPUTED_VALUE"""),"KYAI KONTONG")</f>
        <v>KYAI KONTONG</v>
      </c>
      <c r="D7562" s="186">
        <f>IFERROR(__xludf.DUMMYFUNCTION("""COMPUTED_VALUE"""),5.0)</f>
        <v>5</v>
      </c>
    </row>
    <row r="7563">
      <c r="A7563" s="178" t="str">
        <f>IFERROR(__xludf.DUMMYFUNCTION("""COMPUTED_VALUE"""),"ITBISA-KAPASITOR-ELCO-2200UF-25V")</f>
        <v>ITBISA-KAPASITOR-ELCO-2200UF-25V</v>
      </c>
      <c r="B7563" s="266">
        <f>IFERROR(__xludf.DUMMYFUNCTION("""COMPUTED_VALUE"""),46003.0)</f>
        <v>46003</v>
      </c>
      <c r="C7563" s="266" t="str">
        <f>IFERROR(__xludf.DUMMYFUNCTION("""COMPUTED_VALUE"""),"KYAI KONTONG")</f>
        <v>KYAI KONTONG</v>
      </c>
      <c r="D7563" s="186">
        <f>IFERROR(__xludf.DUMMYFUNCTION("""COMPUTED_VALUE"""),5.0)</f>
        <v>5</v>
      </c>
    </row>
    <row r="7564">
      <c r="A7564" s="178" t="str">
        <f>IFERROR(__xludf.DUMMYFUNCTION("""COMPUTED_VALUE"""),"ITBISA-KAPASITOR-ELCO-2200UF-25V")</f>
        <v>ITBISA-KAPASITOR-ELCO-2200UF-25V</v>
      </c>
      <c r="B7564" s="266">
        <f>IFERROR(__xludf.DUMMYFUNCTION("""COMPUTED_VALUE"""),46006.0)</f>
        <v>46006</v>
      </c>
      <c r="C7564" s="266" t="str">
        <f>IFERROR(__xludf.DUMMYFUNCTION("""COMPUTED_VALUE"""),"KYAI KONTONG")</f>
        <v>KYAI KONTONG</v>
      </c>
      <c r="D7564" s="186">
        <f>IFERROR(__xludf.DUMMYFUNCTION("""COMPUTED_VALUE"""),2.0)</f>
        <v>2</v>
      </c>
    </row>
    <row r="7565">
      <c r="A7565" s="178" t="str">
        <f>IFERROR(__xludf.DUMMYFUNCTION("""COMPUTED_VALUE"""),"ITBISA-KAPASITOR-ELCO-2200UF-25V")</f>
        <v>ITBISA-KAPASITOR-ELCO-2200UF-25V</v>
      </c>
      <c r="B7565" s="266">
        <f>IFERROR(__xludf.DUMMYFUNCTION("""COMPUTED_VALUE"""),46009.0)</f>
        <v>46009</v>
      </c>
      <c r="C7565" s="266" t="str">
        <f>IFERROR(__xludf.DUMMYFUNCTION("""COMPUTED_VALUE"""),"KYAI KONTONG")</f>
        <v>KYAI KONTONG</v>
      </c>
      <c r="D7565" s="186">
        <f>IFERROR(__xludf.DUMMYFUNCTION("""COMPUTED_VALUE"""),2.0)</f>
        <v>2</v>
      </c>
    </row>
    <row r="7566">
      <c r="A7566" s="178" t="str">
        <f>IFERROR(__xludf.DUMMYFUNCTION("""COMPUTED_VALUE"""),"ITBISA-KAPASITOR-ELCO-2200UF-25V")</f>
        <v>ITBISA-KAPASITOR-ELCO-2200UF-25V</v>
      </c>
      <c r="B7566" s="266">
        <f>IFERROR(__xludf.DUMMYFUNCTION("""COMPUTED_VALUE"""),46011.0)</f>
        <v>46011</v>
      </c>
      <c r="C7566" s="266" t="str">
        <f>IFERROR(__xludf.DUMMYFUNCTION("""COMPUTED_VALUE"""),"KYAI KONTONG")</f>
        <v>KYAI KONTONG</v>
      </c>
      <c r="D7566" s="186">
        <f>IFERROR(__xludf.DUMMYFUNCTION("""COMPUTED_VALUE"""),2.0)</f>
        <v>2</v>
      </c>
    </row>
    <row r="7567">
      <c r="A7567" s="178" t="str">
        <f>IFERROR(__xludf.DUMMYFUNCTION("""COMPUTED_VALUE"""),"ITBISA-LCD-16X2-BLUE")</f>
        <v>ITBISA-LCD-16X2-BLUE</v>
      </c>
      <c r="B7567" s="266">
        <f>IFERROR(__xludf.DUMMYFUNCTION("""COMPUTED_VALUE"""),45443.0)</f>
        <v>45443</v>
      </c>
      <c r="C7567" s="266" t="str">
        <f>IFERROR(__xludf.DUMMYFUNCTION("""COMPUTED_VALUE"""),"KYAI KONTONG")</f>
        <v>KYAI KONTONG</v>
      </c>
      <c r="D7567" s="186">
        <f>IFERROR(__xludf.DUMMYFUNCTION("""COMPUTED_VALUE"""),1.0)</f>
        <v>1</v>
      </c>
    </row>
    <row r="7568">
      <c r="A7568" s="178" t="str">
        <f>IFERROR(__xludf.DUMMYFUNCTION("""COMPUTED_VALUE"""),"ITBISA-LCD-16X2-BLUE")</f>
        <v>ITBISA-LCD-16X2-BLUE</v>
      </c>
      <c r="B7568" s="266">
        <f>IFERROR(__xludf.DUMMYFUNCTION("""COMPUTED_VALUE"""),45444.0)</f>
        <v>45444</v>
      </c>
      <c r="C7568" s="266" t="str">
        <f>IFERROR(__xludf.DUMMYFUNCTION("""COMPUTED_VALUE"""),"KYAI KONTONG")</f>
        <v>KYAI KONTONG</v>
      </c>
      <c r="D7568" s="186">
        <f>IFERROR(__xludf.DUMMYFUNCTION("""COMPUTED_VALUE"""),8.0)</f>
        <v>8</v>
      </c>
    </row>
    <row r="7569">
      <c r="A7569" s="178" t="str">
        <f>IFERROR(__xludf.DUMMYFUNCTION("""COMPUTED_VALUE"""),"ITBISA-LCD-16X2-BLUE")</f>
        <v>ITBISA-LCD-16X2-BLUE</v>
      </c>
      <c r="B7569" s="266">
        <f>IFERROR(__xludf.DUMMYFUNCTION("""COMPUTED_VALUE"""),45446.0)</f>
        <v>45446</v>
      </c>
      <c r="C7569" s="266" t="str">
        <f>IFERROR(__xludf.DUMMYFUNCTION("""COMPUTED_VALUE"""),"KYAI KONTONG")</f>
        <v>KYAI KONTONG</v>
      </c>
      <c r="D7569" s="186">
        <f>IFERROR(__xludf.DUMMYFUNCTION("""COMPUTED_VALUE"""),9.0)</f>
        <v>9</v>
      </c>
    </row>
    <row r="7570">
      <c r="A7570" s="178" t="str">
        <f>IFERROR(__xludf.DUMMYFUNCTION("""COMPUTED_VALUE"""),"ITBISA-LCD-16X2-BLUE")</f>
        <v>ITBISA-LCD-16X2-BLUE</v>
      </c>
      <c r="B7570" s="266">
        <f>IFERROR(__xludf.DUMMYFUNCTION("""COMPUTED_VALUE"""),45448.0)</f>
        <v>45448</v>
      </c>
      <c r="C7570" s="266" t="str">
        <f>IFERROR(__xludf.DUMMYFUNCTION("""COMPUTED_VALUE"""),"KYAI KONTONG")</f>
        <v>KYAI KONTONG</v>
      </c>
      <c r="D7570" s="186">
        <f>IFERROR(__xludf.DUMMYFUNCTION("""COMPUTED_VALUE"""),1.0)</f>
        <v>1</v>
      </c>
    </row>
    <row r="7571">
      <c r="A7571" s="178" t="str">
        <f>IFERROR(__xludf.DUMMYFUNCTION("""COMPUTED_VALUE"""),"ITBISA-LCD-16X2-BLUE")</f>
        <v>ITBISA-LCD-16X2-BLUE</v>
      </c>
      <c r="B7571" s="266">
        <f>IFERROR(__xludf.DUMMYFUNCTION("""COMPUTED_VALUE"""),45452.0)</f>
        <v>45452</v>
      </c>
      <c r="C7571" s="266" t="str">
        <f>IFERROR(__xludf.DUMMYFUNCTION("""COMPUTED_VALUE"""),"KYAI KONTONG")</f>
        <v>KYAI KONTONG</v>
      </c>
      <c r="D7571" s="186">
        <f>IFERROR(__xludf.DUMMYFUNCTION("""COMPUTED_VALUE"""),1.0)</f>
        <v>1</v>
      </c>
    </row>
    <row r="7572">
      <c r="A7572" s="178" t="str">
        <f>IFERROR(__xludf.DUMMYFUNCTION("""COMPUTED_VALUE"""),"ITBISA-LCD-16X2-BLUE")</f>
        <v>ITBISA-LCD-16X2-BLUE</v>
      </c>
      <c r="B7572" s="266">
        <f>IFERROR(__xludf.DUMMYFUNCTION("""COMPUTED_VALUE"""),45452.0)</f>
        <v>45452</v>
      </c>
      <c r="C7572" s="266" t="str">
        <f>IFERROR(__xludf.DUMMYFUNCTION("""COMPUTED_VALUE"""),"KYAI KONTONG")</f>
        <v>KYAI KONTONG</v>
      </c>
      <c r="D7572" s="186">
        <f>IFERROR(__xludf.DUMMYFUNCTION("""COMPUTED_VALUE"""),1.0)</f>
        <v>1</v>
      </c>
    </row>
    <row r="7573">
      <c r="A7573" s="178" t="str">
        <f>IFERROR(__xludf.DUMMYFUNCTION("""COMPUTED_VALUE"""),"ITBISA-LCD-16X2-BLUE")</f>
        <v>ITBISA-LCD-16X2-BLUE</v>
      </c>
      <c r="B7573" s="266">
        <f>IFERROR(__xludf.DUMMYFUNCTION("""COMPUTED_VALUE"""),45453.0)</f>
        <v>45453</v>
      </c>
      <c r="C7573" s="266" t="str">
        <f>IFERROR(__xludf.DUMMYFUNCTION("""COMPUTED_VALUE"""),"KYAI KONTONG")</f>
        <v>KYAI KONTONG</v>
      </c>
      <c r="D7573" s="186">
        <f>IFERROR(__xludf.DUMMYFUNCTION("""COMPUTED_VALUE"""),1.0)</f>
        <v>1</v>
      </c>
    </row>
    <row r="7574">
      <c r="A7574" s="178" t="str">
        <f>IFERROR(__xludf.DUMMYFUNCTION("""COMPUTED_VALUE"""),"ITBISA-LCD-16X2-BLUE")</f>
        <v>ITBISA-LCD-16X2-BLUE</v>
      </c>
      <c r="B7574" s="266">
        <f>IFERROR(__xludf.DUMMYFUNCTION("""COMPUTED_VALUE"""),45453.0)</f>
        <v>45453</v>
      </c>
      <c r="C7574" s="266" t="str">
        <f>IFERROR(__xludf.DUMMYFUNCTION("""COMPUTED_VALUE"""),"KYAI KONTONG")</f>
        <v>KYAI KONTONG</v>
      </c>
      <c r="D7574" s="186">
        <f>IFERROR(__xludf.DUMMYFUNCTION("""COMPUTED_VALUE"""),1.0)</f>
        <v>1</v>
      </c>
    </row>
    <row r="7575">
      <c r="A7575" s="178" t="str">
        <f>IFERROR(__xludf.DUMMYFUNCTION("""COMPUTED_VALUE"""),"ITBISA-LCD-16X2-BLUE")</f>
        <v>ITBISA-LCD-16X2-BLUE</v>
      </c>
      <c r="B7575" s="266">
        <f>IFERROR(__xludf.DUMMYFUNCTION("""COMPUTED_VALUE"""),45473.0)</f>
        <v>45473</v>
      </c>
      <c r="C7575" s="266" t="str">
        <f>IFERROR(__xludf.DUMMYFUNCTION("""COMPUTED_VALUE"""),"KYAI KONTONG")</f>
        <v>KYAI KONTONG</v>
      </c>
      <c r="D7575" s="186">
        <f>IFERROR(__xludf.DUMMYFUNCTION("""COMPUTED_VALUE"""),1.0)</f>
        <v>1</v>
      </c>
    </row>
    <row r="7576">
      <c r="A7576" s="178" t="str">
        <f>IFERROR(__xludf.DUMMYFUNCTION("""COMPUTED_VALUE"""),"ITBISA-LCD-16X2-BLUE")</f>
        <v>ITBISA-LCD-16X2-BLUE</v>
      </c>
      <c r="B7576" s="266">
        <f>IFERROR(__xludf.DUMMYFUNCTION("""COMPUTED_VALUE"""),45477.0)</f>
        <v>45477</v>
      </c>
      <c r="C7576" s="266" t="str">
        <f>IFERROR(__xludf.DUMMYFUNCTION("""COMPUTED_VALUE"""),"KYAI KONTONG")</f>
        <v>KYAI KONTONG</v>
      </c>
      <c r="D7576" s="186">
        <f>IFERROR(__xludf.DUMMYFUNCTION("""COMPUTED_VALUE"""),1.0)</f>
        <v>1</v>
      </c>
    </row>
    <row r="7577">
      <c r="A7577" s="178" t="str">
        <f>IFERROR(__xludf.DUMMYFUNCTION("""COMPUTED_VALUE"""),"ITBISA-LCD-16X2-BLUE")</f>
        <v>ITBISA-LCD-16X2-BLUE</v>
      </c>
      <c r="B7577" s="266">
        <f>IFERROR(__xludf.DUMMYFUNCTION("""COMPUTED_VALUE"""),45477.0)</f>
        <v>45477</v>
      </c>
      <c r="C7577" s="266" t="str">
        <f>IFERROR(__xludf.DUMMYFUNCTION("""COMPUTED_VALUE"""),"KYAI KONTONG")</f>
        <v>KYAI KONTONG</v>
      </c>
      <c r="D7577" s="186">
        <f>IFERROR(__xludf.DUMMYFUNCTION("""COMPUTED_VALUE"""),2.0)</f>
        <v>2</v>
      </c>
    </row>
    <row r="7578">
      <c r="A7578" s="178" t="str">
        <f>IFERROR(__xludf.DUMMYFUNCTION("""COMPUTED_VALUE"""),"ITBISA-LCD-16X2-BLUE")</f>
        <v>ITBISA-LCD-16X2-BLUE</v>
      </c>
      <c r="B7578" s="266">
        <f>IFERROR(__xludf.DUMMYFUNCTION("""COMPUTED_VALUE"""),45486.0)</f>
        <v>45486</v>
      </c>
      <c r="C7578" s="266" t="str">
        <f>IFERROR(__xludf.DUMMYFUNCTION("""COMPUTED_VALUE"""),"KYAI KONTONG")</f>
        <v>KYAI KONTONG</v>
      </c>
      <c r="D7578" s="186">
        <f>IFERROR(__xludf.DUMMYFUNCTION("""COMPUTED_VALUE"""),4.0)</f>
        <v>4</v>
      </c>
    </row>
    <row r="7579">
      <c r="A7579" s="178" t="str">
        <f>IFERROR(__xludf.DUMMYFUNCTION("""COMPUTED_VALUE"""),"ITBISA-LCD-16X2-BLUE")</f>
        <v>ITBISA-LCD-16X2-BLUE</v>
      </c>
      <c r="B7579" s="266">
        <f>IFERROR(__xludf.DUMMYFUNCTION("""COMPUTED_VALUE"""),45496.0)</f>
        <v>45496</v>
      </c>
      <c r="C7579" s="266" t="str">
        <f>IFERROR(__xludf.DUMMYFUNCTION("""COMPUTED_VALUE"""),"KYAI KONTONG")</f>
        <v>KYAI KONTONG</v>
      </c>
      <c r="D7579" s="186">
        <f>IFERROR(__xludf.DUMMYFUNCTION("""COMPUTED_VALUE"""),11.0)</f>
        <v>11</v>
      </c>
    </row>
    <row r="7580">
      <c r="A7580" s="178" t="str">
        <f>IFERROR(__xludf.DUMMYFUNCTION("""COMPUTED_VALUE"""),"ITBISA-LCD-16X2-BLUE")</f>
        <v>ITBISA-LCD-16X2-BLUE</v>
      </c>
      <c r="B7580" s="266">
        <f>IFERROR(__xludf.DUMMYFUNCTION("""COMPUTED_VALUE"""),45509.0)</f>
        <v>45509</v>
      </c>
      <c r="C7580" s="266" t="str">
        <f>IFERROR(__xludf.DUMMYFUNCTION("""COMPUTED_VALUE"""),"KYAI KONTONG")</f>
        <v>KYAI KONTONG</v>
      </c>
      <c r="D7580" s="186">
        <f>IFERROR(__xludf.DUMMYFUNCTION("""COMPUTED_VALUE"""),1.0)</f>
        <v>1</v>
      </c>
    </row>
    <row r="7581">
      <c r="A7581" s="178" t="str">
        <f>IFERROR(__xludf.DUMMYFUNCTION("""COMPUTED_VALUE"""),"ITBISA-LCD-16X2-BLUE")</f>
        <v>ITBISA-LCD-16X2-BLUE</v>
      </c>
      <c r="B7581" s="266">
        <f>IFERROR(__xludf.DUMMYFUNCTION("""COMPUTED_VALUE"""),45525.0)</f>
        <v>45525</v>
      </c>
      <c r="C7581" s="266" t="str">
        <f>IFERROR(__xludf.DUMMYFUNCTION("""COMPUTED_VALUE"""),"KYAI KONTONG")</f>
        <v>KYAI KONTONG</v>
      </c>
      <c r="D7581" s="186">
        <f>IFERROR(__xludf.DUMMYFUNCTION("""COMPUTED_VALUE"""),3.0)</f>
        <v>3</v>
      </c>
    </row>
    <row r="7582">
      <c r="A7582" s="178" t="str">
        <f>IFERROR(__xludf.DUMMYFUNCTION("""COMPUTED_VALUE"""),"ITBISA-LCD-16X2-BLUE")</f>
        <v>ITBISA-LCD-16X2-BLUE</v>
      </c>
      <c r="B7582" s="266">
        <f>IFERROR(__xludf.DUMMYFUNCTION("""COMPUTED_VALUE"""),45526.0)</f>
        <v>45526</v>
      </c>
      <c r="C7582" s="266" t="str">
        <f>IFERROR(__xludf.DUMMYFUNCTION("""COMPUTED_VALUE"""),"KERTASARI CIAMIS")</f>
        <v>KERTASARI CIAMIS</v>
      </c>
      <c r="D7582" s="186">
        <f>IFERROR(__xludf.DUMMYFUNCTION("""COMPUTED_VALUE"""),4.0)</f>
        <v>4</v>
      </c>
    </row>
    <row r="7583">
      <c r="A7583" s="178" t="str">
        <f>IFERROR(__xludf.DUMMYFUNCTION("""COMPUTED_VALUE"""),"ITBISA-LCD-16X2-BLUE")</f>
        <v>ITBISA-LCD-16X2-BLUE</v>
      </c>
      <c r="B7583" s="266">
        <f>IFERROR(__xludf.DUMMYFUNCTION("""COMPUTED_VALUE"""),45532.0)</f>
        <v>45532</v>
      </c>
      <c r="C7583" s="266" t="str">
        <f>IFERROR(__xludf.DUMMYFUNCTION("""COMPUTED_VALUE"""),"KYAI KONTONG")</f>
        <v>KYAI KONTONG</v>
      </c>
      <c r="D7583" s="186">
        <f>IFERROR(__xludf.DUMMYFUNCTION("""COMPUTED_VALUE"""),3.0)</f>
        <v>3</v>
      </c>
    </row>
    <row r="7584">
      <c r="A7584" s="178" t="str">
        <f>IFERROR(__xludf.DUMMYFUNCTION("""COMPUTED_VALUE"""),"ITBISA-LCD-16X2-BLUE")</f>
        <v>ITBISA-LCD-16X2-BLUE</v>
      </c>
      <c r="B7584" s="266">
        <f>IFERROR(__xludf.DUMMYFUNCTION("""COMPUTED_VALUE"""),45544.0)</f>
        <v>45544</v>
      </c>
      <c r="C7584" s="266" t="str">
        <f>IFERROR(__xludf.DUMMYFUNCTION("""COMPUTED_VALUE"""),"KERTASARI CIAMIS")</f>
        <v>KERTASARI CIAMIS</v>
      </c>
      <c r="D7584" s="186">
        <f>IFERROR(__xludf.DUMMYFUNCTION("""COMPUTED_VALUE"""),3.0)</f>
        <v>3</v>
      </c>
    </row>
    <row r="7585">
      <c r="A7585" s="178" t="str">
        <f>IFERROR(__xludf.DUMMYFUNCTION("""COMPUTED_VALUE"""),"ITBISA-LCD-16X2-BLUE")</f>
        <v>ITBISA-LCD-16X2-BLUE</v>
      </c>
      <c r="B7585" s="266">
        <f>IFERROR(__xludf.DUMMYFUNCTION("""COMPUTED_VALUE"""),45545.0)</f>
        <v>45545</v>
      </c>
      <c r="C7585" s="266" t="str">
        <f>IFERROR(__xludf.DUMMYFUNCTION("""COMPUTED_VALUE"""),"KYAI KONTONG")</f>
        <v>KYAI KONTONG</v>
      </c>
      <c r="D7585" s="186">
        <f>IFERROR(__xludf.DUMMYFUNCTION("""COMPUTED_VALUE"""),1.0)</f>
        <v>1</v>
      </c>
    </row>
    <row r="7586">
      <c r="A7586" s="178" t="str">
        <f>IFERROR(__xludf.DUMMYFUNCTION("""COMPUTED_VALUE"""),"ITBISA-LCD-16X2-BLUE")</f>
        <v>ITBISA-LCD-16X2-BLUE</v>
      </c>
      <c r="B7586" s="266">
        <f>IFERROR(__xludf.DUMMYFUNCTION("""COMPUTED_VALUE"""),45547.0)</f>
        <v>45547</v>
      </c>
      <c r="C7586" s="266" t="str">
        <f>IFERROR(__xludf.DUMMYFUNCTION("""COMPUTED_VALUE"""),"KYAI KONTONG")</f>
        <v>KYAI KONTONG</v>
      </c>
      <c r="D7586" s="186">
        <f>IFERROR(__xludf.DUMMYFUNCTION("""COMPUTED_VALUE"""),1.0)</f>
        <v>1</v>
      </c>
    </row>
    <row r="7587">
      <c r="A7587" s="178" t="str">
        <f>IFERROR(__xludf.DUMMYFUNCTION("""COMPUTED_VALUE"""),"ITBISA-LCD-16X2-BLUE")</f>
        <v>ITBISA-LCD-16X2-BLUE</v>
      </c>
      <c r="B7587" s="266">
        <f>IFERROR(__xludf.DUMMYFUNCTION("""COMPUTED_VALUE"""),45562.0)</f>
        <v>45562</v>
      </c>
      <c r="C7587" s="266" t="str">
        <f>IFERROR(__xludf.DUMMYFUNCTION("""COMPUTED_VALUE"""),"KERTASARI CIAMIS")</f>
        <v>KERTASARI CIAMIS</v>
      </c>
      <c r="D7587" s="186">
        <f>IFERROR(__xludf.DUMMYFUNCTION("""COMPUTED_VALUE"""),1.0)</f>
        <v>1</v>
      </c>
    </row>
    <row r="7588">
      <c r="A7588" s="178" t="str">
        <f>IFERROR(__xludf.DUMMYFUNCTION("""COMPUTED_VALUE"""),"ITBISA-LCD-16X2-BLUE")</f>
        <v>ITBISA-LCD-16X2-BLUE</v>
      </c>
      <c r="B7588" s="266">
        <f>IFERROR(__xludf.DUMMYFUNCTION("""COMPUTED_VALUE"""),45565.0)</f>
        <v>45565</v>
      </c>
      <c r="C7588" s="266" t="str">
        <f>IFERROR(__xludf.DUMMYFUNCTION("""COMPUTED_VALUE"""),"KYAI KONTONG")</f>
        <v>KYAI KONTONG</v>
      </c>
      <c r="D7588" s="186">
        <f>IFERROR(__xludf.DUMMYFUNCTION("""COMPUTED_VALUE"""),2.0)</f>
        <v>2</v>
      </c>
    </row>
    <row r="7589">
      <c r="A7589" s="178" t="str">
        <f>IFERROR(__xludf.DUMMYFUNCTION("""COMPUTED_VALUE"""),"ITBISA-LCD-16X2-BLUE")</f>
        <v>ITBISA-LCD-16X2-BLUE</v>
      </c>
      <c r="B7589" s="266">
        <f>IFERROR(__xludf.DUMMYFUNCTION("""COMPUTED_VALUE"""),45568.0)</f>
        <v>45568</v>
      </c>
      <c r="C7589" s="266" t="str">
        <f>IFERROR(__xludf.DUMMYFUNCTION("""COMPUTED_VALUE"""),"KYAI KONTONG")</f>
        <v>KYAI KONTONG</v>
      </c>
      <c r="D7589" s="186">
        <f>IFERROR(__xludf.DUMMYFUNCTION("""COMPUTED_VALUE"""),2.0)</f>
        <v>2</v>
      </c>
    </row>
    <row r="7590">
      <c r="A7590" s="178" t="str">
        <f>IFERROR(__xludf.DUMMYFUNCTION("""COMPUTED_VALUE"""),"ITBISA-LCD-16X2-BLUE")</f>
        <v>ITBISA-LCD-16X2-BLUE</v>
      </c>
      <c r="B7590" s="266">
        <f>IFERROR(__xludf.DUMMYFUNCTION("""COMPUTED_VALUE"""),45596.0)</f>
        <v>45596</v>
      </c>
      <c r="C7590" s="266" t="str">
        <f>IFERROR(__xludf.DUMMYFUNCTION("""COMPUTED_VALUE"""),"KERTASARI CIAMIS")</f>
        <v>KERTASARI CIAMIS</v>
      </c>
      <c r="D7590" s="186">
        <f>IFERROR(__xludf.DUMMYFUNCTION("""COMPUTED_VALUE"""),5.0)</f>
        <v>5</v>
      </c>
    </row>
    <row r="7591">
      <c r="A7591" s="178" t="str">
        <f>IFERROR(__xludf.DUMMYFUNCTION("""COMPUTED_VALUE"""),"ITBISA-LCD-16X2-BLUE")</f>
        <v>ITBISA-LCD-16X2-BLUE</v>
      </c>
      <c r="B7591" s="266">
        <f>IFERROR(__xludf.DUMMYFUNCTION("""COMPUTED_VALUE"""),45619.0)</f>
        <v>45619</v>
      </c>
      <c r="C7591" s="266" t="str">
        <f>IFERROR(__xludf.DUMMYFUNCTION("""COMPUTED_VALUE"""),"KYAI KONTONG")</f>
        <v>KYAI KONTONG</v>
      </c>
      <c r="D7591" s="186">
        <f>IFERROR(__xludf.DUMMYFUNCTION("""COMPUTED_VALUE"""),1.0)</f>
        <v>1</v>
      </c>
    </row>
    <row r="7592">
      <c r="A7592" s="178" t="str">
        <f>IFERROR(__xludf.DUMMYFUNCTION("""COMPUTED_VALUE"""),"ITBISA-LCD-16X2-BLUE")</f>
        <v>ITBISA-LCD-16X2-BLUE</v>
      </c>
      <c r="B7592" s="266">
        <f>IFERROR(__xludf.DUMMYFUNCTION("""COMPUTED_VALUE"""),45619.0)</f>
        <v>45619</v>
      </c>
      <c r="C7592" s="266" t="str">
        <f>IFERROR(__xludf.DUMMYFUNCTION("""COMPUTED_VALUE"""),"KYAI KONTONG")</f>
        <v>KYAI KONTONG</v>
      </c>
      <c r="D7592" s="186">
        <f>IFERROR(__xludf.DUMMYFUNCTION("""COMPUTED_VALUE"""),3.0)</f>
        <v>3</v>
      </c>
    </row>
    <row r="7593">
      <c r="A7593" s="178" t="str">
        <f>IFERROR(__xludf.DUMMYFUNCTION("""COMPUTED_VALUE"""),"ITBISA-LCD-16X2-BLUE")</f>
        <v>ITBISA-LCD-16X2-BLUE</v>
      </c>
      <c r="B7593" s="266">
        <f>IFERROR(__xludf.DUMMYFUNCTION("""COMPUTED_VALUE"""),45620.0)</f>
        <v>45620</v>
      </c>
      <c r="C7593" s="266" t="str">
        <f>IFERROR(__xludf.DUMMYFUNCTION("""COMPUTED_VALUE"""),"KYAI KONTONG")</f>
        <v>KYAI KONTONG</v>
      </c>
      <c r="D7593" s="186">
        <f>IFERROR(__xludf.DUMMYFUNCTION("""COMPUTED_VALUE"""),1.0)</f>
        <v>1</v>
      </c>
    </row>
    <row r="7594">
      <c r="A7594" s="178" t="str">
        <f>IFERROR(__xludf.DUMMYFUNCTION("""COMPUTED_VALUE"""),"ITBISA-LCD-16X2-BLUE")</f>
        <v>ITBISA-LCD-16X2-BLUE</v>
      </c>
      <c r="B7594" s="266">
        <f>IFERROR(__xludf.DUMMYFUNCTION("""COMPUTED_VALUE"""),45621.0)</f>
        <v>45621</v>
      </c>
      <c r="C7594" s="266" t="str">
        <f>IFERROR(__xludf.DUMMYFUNCTION("""COMPUTED_VALUE"""),"KYAI KONTONG")</f>
        <v>KYAI KONTONG</v>
      </c>
      <c r="D7594" s="186">
        <f>IFERROR(__xludf.DUMMYFUNCTION("""COMPUTED_VALUE"""),1.0)</f>
        <v>1</v>
      </c>
    </row>
    <row r="7595">
      <c r="A7595" s="178" t="str">
        <f>IFERROR(__xludf.DUMMYFUNCTION("""COMPUTED_VALUE"""),"ITBISA-LCD-16X2-BLUE")</f>
        <v>ITBISA-LCD-16X2-BLUE</v>
      </c>
      <c r="B7595" s="266">
        <f>IFERROR(__xludf.DUMMYFUNCTION("""COMPUTED_VALUE"""),45624.0)</f>
        <v>45624</v>
      </c>
      <c r="C7595" s="266" t="str">
        <f>IFERROR(__xludf.DUMMYFUNCTION("""COMPUTED_VALUE"""),"KERTASARI CIAMIS")</f>
        <v>KERTASARI CIAMIS</v>
      </c>
      <c r="D7595" s="186">
        <f>IFERROR(__xludf.DUMMYFUNCTION("""COMPUTED_VALUE"""),1.0)</f>
        <v>1</v>
      </c>
    </row>
    <row r="7596">
      <c r="A7596" s="178" t="str">
        <f>IFERROR(__xludf.DUMMYFUNCTION("""COMPUTED_VALUE"""),"ITBISA-LCD-16X2-BLUE")</f>
        <v>ITBISA-LCD-16X2-BLUE</v>
      </c>
      <c r="B7596" s="266">
        <f>IFERROR(__xludf.DUMMYFUNCTION("""COMPUTED_VALUE"""),45650.0)</f>
        <v>45650</v>
      </c>
      <c r="C7596" s="266" t="str">
        <f>IFERROR(__xludf.DUMMYFUNCTION("""COMPUTED_VALUE"""),"KYAI KONTONG")</f>
        <v>KYAI KONTONG</v>
      </c>
      <c r="D7596" s="186">
        <f>IFERROR(__xludf.DUMMYFUNCTION("""COMPUTED_VALUE"""),1.0)</f>
        <v>1</v>
      </c>
    </row>
    <row r="7597">
      <c r="A7597" s="178" t="str">
        <f>IFERROR(__xludf.DUMMYFUNCTION("""COMPUTED_VALUE"""),"ITBISA-LCD-16X2-BLUE")</f>
        <v>ITBISA-LCD-16X2-BLUE</v>
      </c>
      <c r="B7597" s="266">
        <f>IFERROR(__xludf.DUMMYFUNCTION("""COMPUTED_VALUE"""),45656.0)</f>
        <v>45656</v>
      </c>
      <c r="C7597" s="266" t="str">
        <f>IFERROR(__xludf.DUMMYFUNCTION("""COMPUTED_VALUE"""),"KYAI KONTONG")</f>
        <v>KYAI KONTONG</v>
      </c>
      <c r="D7597" s="186">
        <f>IFERROR(__xludf.DUMMYFUNCTION("""COMPUTED_VALUE"""),1.0)</f>
        <v>1</v>
      </c>
    </row>
    <row r="7598">
      <c r="A7598" s="178" t="str">
        <f>IFERROR(__xludf.DUMMYFUNCTION("""COMPUTED_VALUE"""),"ITBISA-LCD-16X2-BLUE")</f>
        <v>ITBISA-LCD-16X2-BLUE</v>
      </c>
      <c r="B7598" s="266">
        <f>IFERROR(__xludf.DUMMYFUNCTION("""COMPUTED_VALUE"""),45661.0)</f>
        <v>45661</v>
      </c>
      <c r="C7598" s="266" t="str">
        <f>IFERROR(__xludf.DUMMYFUNCTION("""COMPUTED_VALUE"""),"KYAI KONTONG")</f>
        <v>KYAI KONTONG</v>
      </c>
      <c r="D7598" s="186">
        <f>IFERROR(__xludf.DUMMYFUNCTION("""COMPUTED_VALUE"""),2.0)</f>
        <v>2</v>
      </c>
    </row>
    <row r="7599">
      <c r="A7599" s="178" t="str">
        <f>IFERROR(__xludf.DUMMYFUNCTION("""COMPUTED_VALUE"""),"ITBISA-LCD-16X2-BLUE")</f>
        <v>ITBISA-LCD-16X2-BLUE</v>
      </c>
      <c r="B7599" s="266">
        <f>IFERROR(__xludf.DUMMYFUNCTION("""COMPUTED_VALUE"""),45667.0)</f>
        <v>45667</v>
      </c>
      <c r="C7599" s="266" t="str">
        <f>IFERROR(__xludf.DUMMYFUNCTION("""COMPUTED_VALUE"""),"KYAI KONTONG")</f>
        <v>KYAI KONTONG</v>
      </c>
      <c r="D7599" s="186">
        <f>IFERROR(__xludf.DUMMYFUNCTION("""COMPUTED_VALUE"""),1.0)</f>
        <v>1</v>
      </c>
    </row>
    <row r="7600">
      <c r="A7600" s="178" t="str">
        <f>IFERROR(__xludf.DUMMYFUNCTION("""COMPUTED_VALUE"""),"ITBISA-LCD-16X2-BLUE")</f>
        <v>ITBISA-LCD-16X2-BLUE</v>
      </c>
      <c r="B7600" s="266">
        <f>IFERROR(__xludf.DUMMYFUNCTION("""COMPUTED_VALUE"""),45680.0)</f>
        <v>45680</v>
      </c>
      <c r="C7600" s="266" t="str">
        <f>IFERROR(__xludf.DUMMYFUNCTION("""COMPUTED_VALUE"""),"KERTASARI CIAMIS")</f>
        <v>KERTASARI CIAMIS</v>
      </c>
      <c r="D7600" s="186">
        <f>IFERROR(__xludf.DUMMYFUNCTION("""COMPUTED_VALUE"""),5.0)</f>
        <v>5</v>
      </c>
    </row>
    <row r="7601">
      <c r="A7601" s="178" t="str">
        <f>IFERROR(__xludf.DUMMYFUNCTION("""COMPUTED_VALUE"""),"ITBISA-LCD-16X2-BLUE")</f>
        <v>ITBISA-LCD-16X2-BLUE</v>
      </c>
      <c r="B7601" s="266">
        <f>IFERROR(__xludf.DUMMYFUNCTION("""COMPUTED_VALUE"""),45684.0)</f>
        <v>45684</v>
      </c>
      <c r="C7601" s="266" t="str">
        <f>IFERROR(__xludf.DUMMYFUNCTION("""COMPUTED_VALUE"""),"KYAI KONTONG")</f>
        <v>KYAI KONTONG</v>
      </c>
      <c r="D7601" s="186">
        <f>IFERROR(__xludf.DUMMYFUNCTION("""COMPUTED_VALUE"""),1.0)</f>
        <v>1</v>
      </c>
    </row>
    <row r="7602">
      <c r="A7602" s="178" t="str">
        <f>IFERROR(__xludf.DUMMYFUNCTION("""COMPUTED_VALUE"""),"ITBISA-LCD-16X2-BLUE")</f>
        <v>ITBISA-LCD-16X2-BLUE</v>
      </c>
      <c r="B7602" s="266">
        <f>IFERROR(__xludf.DUMMYFUNCTION("""COMPUTED_VALUE"""),45688.0)</f>
        <v>45688</v>
      </c>
      <c r="C7602" s="266" t="str">
        <f>IFERROR(__xludf.DUMMYFUNCTION("""COMPUTED_VALUE"""),"KYAI KONTONG")</f>
        <v>KYAI KONTONG</v>
      </c>
      <c r="D7602" s="186">
        <f>IFERROR(__xludf.DUMMYFUNCTION("""COMPUTED_VALUE"""),1.0)</f>
        <v>1</v>
      </c>
    </row>
    <row r="7603">
      <c r="A7603" s="178" t="str">
        <f>IFERROR(__xludf.DUMMYFUNCTION("""COMPUTED_VALUE"""),"ITBISA-LCD-16X2-BLUE")</f>
        <v>ITBISA-LCD-16X2-BLUE</v>
      </c>
      <c r="B7603" s="266">
        <f>IFERROR(__xludf.DUMMYFUNCTION("""COMPUTED_VALUE"""),45774.0)</f>
        <v>45774</v>
      </c>
      <c r="C7603" s="266" t="str">
        <f>IFERROR(__xludf.DUMMYFUNCTION("""COMPUTED_VALUE"""),"KERTASARI CIAMIS")</f>
        <v>KERTASARI CIAMIS</v>
      </c>
      <c r="D7603" s="186">
        <f>IFERROR(__xludf.DUMMYFUNCTION("""COMPUTED_VALUE"""),1.0)</f>
        <v>1</v>
      </c>
    </row>
    <row r="7604">
      <c r="A7604" s="178" t="str">
        <f>IFERROR(__xludf.DUMMYFUNCTION("""COMPUTED_VALUE"""),"ITBISA-LCD-16X2-BLUE")</f>
        <v>ITBISA-LCD-16X2-BLUE</v>
      </c>
      <c r="B7604" s="266">
        <f>IFERROR(__xludf.DUMMYFUNCTION("""COMPUTED_VALUE"""),45785.0)</f>
        <v>45785</v>
      </c>
      <c r="C7604" s="266" t="str">
        <f>IFERROR(__xludf.DUMMYFUNCTION("""COMPUTED_VALUE"""),"KYAI KONTONG")</f>
        <v>KYAI KONTONG</v>
      </c>
      <c r="D7604" s="186">
        <f>IFERROR(__xludf.DUMMYFUNCTION("""COMPUTED_VALUE"""),1.0)</f>
        <v>1</v>
      </c>
    </row>
    <row r="7605">
      <c r="A7605" s="178" t="str">
        <f>IFERROR(__xludf.DUMMYFUNCTION("""COMPUTED_VALUE"""),"ITBISA-LCD-16X2-BLUE")</f>
        <v>ITBISA-LCD-16X2-BLUE</v>
      </c>
      <c r="B7605" s="266">
        <f>IFERROR(__xludf.DUMMYFUNCTION("""COMPUTED_VALUE"""),45805.0)</f>
        <v>45805</v>
      </c>
      <c r="C7605" s="266" t="str">
        <f>IFERROR(__xludf.DUMMYFUNCTION("""COMPUTED_VALUE"""),"KERTASARI CIAMIS")</f>
        <v>KERTASARI CIAMIS</v>
      </c>
      <c r="D7605" s="186">
        <f>IFERROR(__xludf.DUMMYFUNCTION("""COMPUTED_VALUE"""),7.0)</f>
        <v>7</v>
      </c>
    </row>
    <row r="7606">
      <c r="A7606" s="178" t="str">
        <f>IFERROR(__xludf.DUMMYFUNCTION("""COMPUTED_VALUE"""),"ITBISA-LCD-16X2-BLUE")</f>
        <v>ITBISA-LCD-16X2-BLUE</v>
      </c>
      <c r="B7606" s="266">
        <f>IFERROR(__xludf.DUMMYFUNCTION("""COMPUTED_VALUE"""),45816.0)</f>
        <v>45816</v>
      </c>
      <c r="C7606" s="266" t="str">
        <f>IFERROR(__xludf.DUMMYFUNCTION("""COMPUTED_VALUE"""),"KERTASARI CIAMIS")</f>
        <v>KERTASARI CIAMIS</v>
      </c>
      <c r="D7606" s="186">
        <f>IFERROR(__xludf.DUMMYFUNCTION("""COMPUTED_VALUE"""),1.0)</f>
        <v>1</v>
      </c>
    </row>
    <row r="7607">
      <c r="A7607" s="178" t="str">
        <f>IFERROR(__xludf.DUMMYFUNCTION("""COMPUTED_VALUE"""),"ITBISA-LCD-16X2-BLUE")</f>
        <v>ITBISA-LCD-16X2-BLUE</v>
      </c>
      <c r="B7607" s="266">
        <f>IFERROR(__xludf.DUMMYFUNCTION("""COMPUTED_VALUE"""),45825.0)</f>
        <v>45825</v>
      </c>
      <c r="C7607" s="266" t="str">
        <f>IFERROR(__xludf.DUMMYFUNCTION("""COMPUTED_VALUE"""),"KYAI KONTONG")</f>
        <v>KYAI KONTONG</v>
      </c>
      <c r="D7607" s="186">
        <f>IFERROR(__xludf.DUMMYFUNCTION("""COMPUTED_VALUE"""),15.0)</f>
        <v>15</v>
      </c>
    </row>
    <row r="7608">
      <c r="A7608" s="178" t="str">
        <f>IFERROR(__xludf.DUMMYFUNCTION("""COMPUTED_VALUE"""),"ITBISA-LCD-16X2-BLUE")</f>
        <v>ITBISA-LCD-16X2-BLUE</v>
      </c>
      <c r="B7608" s="266">
        <f>IFERROR(__xludf.DUMMYFUNCTION("""COMPUTED_VALUE"""),45826.0)</f>
        <v>45826</v>
      </c>
      <c r="C7608" s="266" t="str">
        <f>IFERROR(__xludf.DUMMYFUNCTION("""COMPUTED_VALUE"""),"KERTASARI CIAMIS")</f>
        <v>KERTASARI CIAMIS</v>
      </c>
      <c r="D7608" s="186">
        <f>IFERROR(__xludf.DUMMYFUNCTION("""COMPUTED_VALUE"""),8.0)</f>
        <v>8</v>
      </c>
    </row>
    <row r="7609">
      <c r="A7609" s="178" t="str">
        <f>IFERROR(__xludf.DUMMYFUNCTION("""COMPUTED_VALUE"""),"ITBISA-LCD-16X2-BLUE")</f>
        <v>ITBISA-LCD-16X2-BLUE</v>
      </c>
      <c r="B7609" s="266">
        <f>IFERROR(__xludf.DUMMYFUNCTION("""COMPUTED_VALUE"""),45830.0)</f>
        <v>45830</v>
      </c>
      <c r="C7609" s="266" t="str">
        <f>IFERROR(__xludf.DUMMYFUNCTION("""COMPUTED_VALUE"""),"KYAI KONTONG")</f>
        <v>KYAI KONTONG</v>
      </c>
      <c r="D7609" s="186">
        <f>IFERROR(__xludf.DUMMYFUNCTION("""COMPUTED_VALUE"""),2.0)</f>
        <v>2</v>
      </c>
    </row>
    <row r="7610">
      <c r="A7610" s="178" t="str">
        <f>IFERROR(__xludf.DUMMYFUNCTION("""COMPUTED_VALUE"""),"ITBISA-LCD-16X2-BLUE")</f>
        <v>ITBISA-LCD-16X2-BLUE</v>
      </c>
      <c r="B7610" s="266">
        <f>IFERROR(__xludf.DUMMYFUNCTION("""COMPUTED_VALUE"""),45830.0)</f>
        <v>45830</v>
      </c>
      <c r="C7610" s="266" t="str">
        <f>IFERROR(__xludf.DUMMYFUNCTION("""COMPUTED_VALUE"""),"KYAI KONTONG")</f>
        <v>KYAI KONTONG</v>
      </c>
      <c r="D7610" s="186">
        <f>IFERROR(__xludf.DUMMYFUNCTION("""COMPUTED_VALUE"""),3.0)</f>
        <v>3</v>
      </c>
    </row>
    <row r="7611">
      <c r="A7611" s="178" t="str">
        <f>IFERROR(__xludf.DUMMYFUNCTION("""COMPUTED_VALUE"""),"ITBISA-LCD-16X2-BLUE")</f>
        <v>ITBISA-LCD-16X2-BLUE</v>
      </c>
      <c r="B7611" s="266">
        <f>IFERROR(__xludf.DUMMYFUNCTION("""COMPUTED_VALUE"""),45930.0)</f>
        <v>45930</v>
      </c>
      <c r="C7611" s="266" t="str">
        <f>IFERROR(__xludf.DUMMYFUNCTION("""COMPUTED_VALUE"""),"KERTASARI CIAMIS")</f>
        <v>KERTASARI CIAMIS</v>
      </c>
      <c r="D7611" s="186">
        <f>IFERROR(__xludf.DUMMYFUNCTION("""COMPUTED_VALUE"""),1.0)</f>
        <v>1</v>
      </c>
    </row>
    <row r="7612">
      <c r="A7612" s="178" t="str">
        <f>IFERROR(__xludf.DUMMYFUNCTION("""COMPUTED_VALUE"""),"ITBISA-LCD-16X2-BLUE")</f>
        <v>ITBISA-LCD-16X2-BLUE</v>
      </c>
      <c r="B7612" s="266">
        <f>IFERROR(__xludf.DUMMYFUNCTION("""COMPUTED_VALUE"""),45940.0)</f>
        <v>45940</v>
      </c>
      <c r="C7612" s="266" t="str">
        <f>IFERROR(__xludf.DUMMYFUNCTION("""COMPUTED_VALUE"""),"KYAI KONTONG")</f>
        <v>KYAI KONTONG</v>
      </c>
      <c r="D7612" s="186">
        <f>IFERROR(__xludf.DUMMYFUNCTION("""COMPUTED_VALUE"""),1.0)</f>
        <v>1</v>
      </c>
    </row>
    <row r="7613">
      <c r="A7613" s="178" t="str">
        <f>IFERROR(__xludf.DUMMYFUNCTION("""COMPUTED_VALUE"""),"ITBISA-LCD-16X2-BLUE")</f>
        <v>ITBISA-LCD-16X2-BLUE</v>
      </c>
      <c r="B7613" s="266">
        <f>IFERROR(__xludf.DUMMYFUNCTION("""COMPUTED_VALUE"""),45942.0)</f>
        <v>45942</v>
      </c>
      <c r="C7613" s="266" t="str">
        <f>IFERROR(__xludf.DUMMYFUNCTION("""COMPUTED_VALUE"""),"KYAI KONTONG")</f>
        <v>KYAI KONTONG</v>
      </c>
      <c r="D7613" s="186">
        <f>IFERROR(__xludf.DUMMYFUNCTION("""COMPUTED_VALUE"""),1.0)</f>
        <v>1</v>
      </c>
    </row>
    <row r="7614">
      <c r="A7614" s="178" t="str">
        <f>IFERROR(__xludf.DUMMYFUNCTION("""COMPUTED_VALUE"""),"ITBISA-LCD-16X2-BLUE")</f>
        <v>ITBISA-LCD-16X2-BLUE</v>
      </c>
      <c r="B7614" s="266">
        <f>IFERROR(__xludf.DUMMYFUNCTION("""COMPUTED_VALUE"""),45950.0)</f>
        <v>45950</v>
      </c>
      <c r="C7614" s="266" t="str">
        <f>IFERROR(__xludf.DUMMYFUNCTION("""COMPUTED_VALUE"""),"KERTASARI CIAMIS")</f>
        <v>KERTASARI CIAMIS</v>
      </c>
      <c r="D7614" s="186">
        <f>IFERROR(__xludf.DUMMYFUNCTION("""COMPUTED_VALUE"""),1.0)</f>
        <v>1</v>
      </c>
    </row>
    <row r="7615">
      <c r="A7615" s="178" t="str">
        <f>IFERROR(__xludf.DUMMYFUNCTION("""COMPUTED_VALUE"""),"ITBISA-LCD-16X2-BLUE")</f>
        <v>ITBISA-LCD-16X2-BLUE</v>
      </c>
      <c r="B7615" s="266">
        <f>IFERROR(__xludf.DUMMYFUNCTION("""COMPUTED_VALUE"""),45955.0)</f>
        <v>45955</v>
      </c>
      <c r="C7615" s="266" t="str">
        <f>IFERROR(__xludf.DUMMYFUNCTION("""COMPUTED_VALUE"""),"KYAI KONTONG")</f>
        <v>KYAI KONTONG</v>
      </c>
      <c r="D7615" s="186">
        <f>IFERROR(__xludf.DUMMYFUNCTION("""COMPUTED_VALUE"""),1.0)</f>
        <v>1</v>
      </c>
    </row>
    <row r="7616">
      <c r="A7616" s="178" t="str">
        <f>IFERROR(__xludf.DUMMYFUNCTION("""COMPUTED_VALUE"""),"ITBISA-LCD-16X2-BLUE")</f>
        <v>ITBISA-LCD-16X2-BLUE</v>
      </c>
      <c r="B7616" s="266">
        <f>IFERROR(__xludf.DUMMYFUNCTION("""COMPUTED_VALUE"""),45956.0)</f>
        <v>45956</v>
      </c>
      <c r="C7616" s="266" t="str">
        <f>IFERROR(__xludf.DUMMYFUNCTION("""COMPUTED_VALUE"""),"KYAI KONTONG")</f>
        <v>KYAI KONTONG</v>
      </c>
      <c r="D7616" s="186">
        <f>IFERROR(__xludf.DUMMYFUNCTION("""COMPUTED_VALUE"""),1.0)</f>
        <v>1</v>
      </c>
    </row>
    <row r="7617">
      <c r="A7617" s="178" t="str">
        <f>IFERROR(__xludf.DUMMYFUNCTION("""COMPUTED_VALUE"""),"ITBISA-LCD-16X2-BLUE")</f>
        <v>ITBISA-LCD-16X2-BLUE</v>
      </c>
      <c r="B7617" s="266">
        <f>IFERROR(__xludf.DUMMYFUNCTION("""COMPUTED_VALUE"""),45965.0)</f>
        <v>45965</v>
      </c>
      <c r="C7617" s="266" t="str">
        <f>IFERROR(__xludf.DUMMYFUNCTION("""COMPUTED_VALUE"""),"KYAI KONTONG")</f>
        <v>KYAI KONTONG</v>
      </c>
      <c r="D7617" s="186">
        <f>IFERROR(__xludf.DUMMYFUNCTION("""COMPUTED_VALUE"""),1.0)</f>
        <v>1</v>
      </c>
    </row>
    <row r="7618">
      <c r="A7618" s="178" t="str">
        <f>IFERROR(__xludf.DUMMYFUNCTION("""COMPUTED_VALUE"""),"ITBISA-LCD-16X2-BLUE")</f>
        <v>ITBISA-LCD-16X2-BLUE</v>
      </c>
      <c r="B7618" s="266">
        <f>IFERROR(__xludf.DUMMYFUNCTION("""COMPUTED_VALUE"""),45967.0)</f>
        <v>45967</v>
      </c>
      <c r="C7618" s="266" t="str">
        <f>IFERROR(__xludf.DUMMYFUNCTION("""COMPUTED_VALUE"""),"KYAI KONTONG")</f>
        <v>KYAI KONTONG</v>
      </c>
      <c r="D7618" s="186">
        <f>IFERROR(__xludf.DUMMYFUNCTION("""COMPUTED_VALUE"""),1.0)</f>
        <v>1</v>
      </c>
    </row>
    <row r="7619">
      <c r="A7619" s="178" t="str">
        <f>IFERROR(__xludf.DUMMYFUNCTION("""COMPUTED_VALUE"""),"ITBISA-LCD-16X2-BLUE")</f>
        <v>ITBISA-LCD-16X2-BLUE</v>
      </c>
      <c r="B7619" s="266">
        <f>IFERROR(__xludf.DUMMYFUNCTION("""COMPUTED_VALUE"""),45968.0)</f>
        <v>45968</v>
      </c>
      <c r="C7619" s="266" t="str">
        <f>IFERROR(__xludf.DUMMYFUNCTION("""COMPUTED_VALUE"""),"KYAI KONTONG")</f>
        <v>KYAI KONTONG</v>
      </c>
      <c r="D7619" s="186">
        <f>IFERROR(__xludf.DUMMYFUNCTION("""COMPUTED_VALUE"""),10.0)</f>
        <v>10</v>
      </c>
    </row>
    <row r="7620">
      <c r="A7620" s="178" t="str">
        <f>IFERROR(__xludf.DUMMYFUNCTION("""COMPUTED_VALUE"""),"ITBISA-LCD-16X2-BLUE")</f>
        <v>ITBISA-LCD-16X2-BLUE</v>
      </c>
      <c r="B7620" s="266">
        <f>IFERROR(__xludf.DUMMYFUNCTION("""COMPUTED_VALUE"""),45969.0)</f>
        <v>45969</v>
      </c>
      <c r="C7620" s="266" t="str">
        <f>IFERROR(__xludf.DUMMYFUNCTION("""COMPUTED_VALUE"""),"KERTASARI CIAMIS")</f>
        <v>KERTASARI CIAMIS</v>
      </c>
      <c r="D7620" s="186">
        <f>IFERROR(__xludf.DUMMYFUNCTION("""COMPUTED_VALUE"""),10.0)</f>
        <v>10</v>
      </c>
    </row>
    <row r="7621">
      <c r="A7621" s="178" t="str">
        <f>IFERROR(__xludf.DUMMYFUNCTION("""COMPUTED_VALUE"""),"ITBISA-LCD-16X2-BLUE")</f>
        <v>ITBISA-LCD-16X2-BLUE</v>
      </c>
      <c r="B7621" s="266">
        <f>IFERROR(__xludf.DUMMYFUNCTION("""COMPUTED_VALUE"""),45974.0)</f>
        <v>45974</v>
      </c>
      <c r="C7621" s="266" t="str">
        <f>IFERROR(__xludf.DUMMYFUNCTION("""COMPUTED_VALUE"""),"KERTASARI CIAMIS")</f>
        <v>KERTASARI CIAMIS</v>
      </c>
      <c r="D7621" s="186">
        <f>IFERROR(__xludf.DUMMYFUNCTION("""COMPUTED_VALUE"""),2.0)</f>
        <v>2</v>
      </c>
    </row>
    <row r="7622">
      <c r="A7622" s="178" t="str">
        <f>IFERROR(__xludf.DUMMYFUNCTION("""COMPUTED_VALUE"""),"ITBISA-LCD-16X2-BLUE")</f>
        <v>ITBISA-LCD-16X2-BLUE</v>
      </c>
      <c r="B7622" s="266">
        <f>IFERROR(__xludf.DUMMYFUNCTION("""COMPUTED_VALUE"""),45987.0)</f>
        <v>45987</v>
      </c>
      <c r="C7622" s="266" t="str">
        <f>IFERROR(__xludf.DUMMYFUNCTION("""COMPUTED_VALUE"""),"KERTASARI CIAMIS")</f>
        <v>KERTASARI CIAMIS</v>
      </c>
      <c r="D7622" s="186">
        <f>IFERROR(__xludf.DUMMYFUNCTION("""COMPUTED_VALUE"""),1.0)</f>
        <v>1</v>
      </c>
    </row>
    <row r="7623">
      <c r="A7623" s="178" t="str">
        <f>IFERROR(__xludf.DUMMYFUNCTION("""COMPUTED_VALUE"""),"ITBISA-LCD-16X2-BLUE")</f>
        <v>ITBISA-LCD-16X2-BLUE</v>
      </c>
      <c r="B7623" s="266">
        <f>IFERROR(__xludf.DUMMYFUNCTION("""COMPUTED_VALUE"""),45992.0)</f>
        <v>45992</v>
      </c>
      <c r="C7623" s="266" t="str">
        <f>IFERROR(__xludf.DUMMYFUNCTION("""COMPUTED_VALUE"""),"KERTASARI CIAMIS")</f>
        <v>KERTASARI CIAMIS</v>
      </c>
      <c r="D7623" s="186">
        <f>IFERROR(__xludf.DUMMYFUNCTION("""COMPUTED_VALUE"""),1.0)</f>
        <v>1</v>
      </c>
    </row>
    <row r="7624">
      <c r="A7624" s="178" t="str">
        <f>IFERROR(__xludf.DUMMYFUNCTION("""COMPUTED_VALUE"""),"ITBISA-LCD-16X2-BLUE")</f>
        <v>ITBISA-LCD-16X2-BLUE</v>
      </c>
      <c r="B7624" s="266">
        <f>IFERROR(__xludf.DUMMYFUNCTION("""COMPUTED_VALUE"""),45994.0)</f>
        <v>45994</v>
      </c>
      <c r="C7624" s="266" t="str">
        <f>IFERROR(__xludf.DUMMYFUNCTION("""COMPUTED_VALUE"""),"KERTASARI CIAMIS")</f>
        <v>KERTASARI CIAMIS</v>
      </c>
      <c r="D7624" s="186">
        <f>IFERROR(__xludf.DUMMYFUNCTION("""COMPUTED_VALUE"""),25.0)</f>
        <v>25</v>
      </c>
    </row>
    <row r="7625">
      <c r="A7625" s="178" t="str">
        <f>IFERROR(__xludf.DUMMYFUNCTION("""COMPUTED_VALUE"""),"ITBISA-LCD-16X2-GREEN")</f>
        <v>ITBISA-LCD-16X2-GREEN</v>
      </c>
      <c r="B7625" s="266">
        <f>IFERROR(__xludf.DUMMYFUNCTION("""COMPUTED_VALUE"""),45446.0)</f>
        <v>45446</v>
      </c>
      <c r="C7625" s="266" t="str">
        <f>IFERROR(__xludf.DUMMYFUNCTION("""COMPUTED_VALUE"""),"KYAI KONTONG")</f>
        <v>KYAI KONTONG</v>
      </c>
      <c r="D7625" s="186">
        <f>IFERROR(__xludf.DUMMYFUNCTION("""COMPUTED_VALUE"""),7.0)</f>
        <v>7</v>
      </c>
    </row>
    <row r="7626">
      <c r="A7626" s="178" t="str">
        <f>IFERROR(__xludf.DUMMYFUNCTION("""COMPUTED_VALUE"""),"ITBISA-LCD-16X2-GREEN")</f>
        <v>ITBISA-LCD-16X2-GREEN</v>
      </c>
      <c r="B7626" s="266">
        <f>IFERROR(__xludf.DUMMYFUNCTION("""COMPUTED_VALUE"""),45448.0)</f>
        <v>45448</v>
      </c>
      <c r="C7626" s="266" t="str">
        <f>IFERROR(__xludf.DUMMYFUNCTION("""COMPUTED_VALUE"""),"KYAI KONTONG")</f>
        <v>KYAI KONTONG</v>
      </c>
      <c r="D7626" s="186">
        <f>IFERROR(__xludf.DUMMYFUNCTION("""COMPUTED_VALUE"""),1.0)</f>
        <v>1</v>
      </c>
    </row>
    <row r="7627">
      <c r="A7627" s="178" t="str">
        <f>IFERROR(__xludf.DUMMYFUNCTION("""COMPUTED_VALUE"""),"ITBISA-LCD-16X2-GREEN")</f>
        <v>ITBISA-LCD-16X2-GREEN</v>
      </c>
      <c r="B7627" s="266">
        <f>IFERROR(__xludf.DUMMYFUNCTION("""COMPUTED_VALUE"""),45478.0)</f>
        <v>45478</v>
      </c>
      <c r="C7627" s="266" t="str">
        <f>IFERROR(__xludf.DUMMYFUNCTION("""COMPUTED_VALUE"""),"KYAI KONTONG")</f>
        <v>KYAI KONTONG</v>
      </c>
      <c r="D7627" s="186">
        <f>IFERROR(__xludf.DUMMYFUNCTION("""COMPUTED_VALUE"""),1.0)</f>
        <v>1</v>
      </c>
    </row>
    <row r="7628">
      <c r="A7628" s="178" t="str">
        <f>IFERROR(__xludf.DUMMYFUNCTION("""COMPUTED_VALUE"""),"ITBISA-LCD-16X2-GREEN")</f>
        <v>ITBISA-LCD-16X2-GREEN</v>
      </c>
      <c r="B7628" s="266">
        <f>IFERROR(__xludf.DUMMYFUNCTION("""COMPUTED_VALUE"""),45484.0)</f>
        <v>45484</v>
      </c>
      <c r="C7628" s="266" t="str">
        <f>IFERROR(__xludf.DUMMYFUNCTION("""COMPUTED_VALUE"""),"KYAI KONTONG")</f>
        <v>KYAI KONTONG</v>
      </c>
      <c r="D7628" s="186">
        <f>IFERROR(__xludf.DUMMYFUNCTION("""COMPUTED_VALUE"""),1.0)</f>
        <v>1</v>
      </c>
    </row>
    <row r="7629">
      <c r="A7629" s="178" t="str">
        <f>IFERROR(__xludf.DUMMYFUNCTION("""COMPUTED_VALUE"""),"ITBISA-LCD-16X2-GREEN")</f>
        <v>ITBISA-LCD-16X2-GREEN</v>
      </c>
      <c r="B7629" s="266">
        <f>IFERROR(__xludf.DUMMYFUNCTION("""COMPUTED_VALUE"""),45488.0)</f>
        <v>45488</v>
      </c>
      <c r="C7629" s="266" t="str">
        <f>IFERROR(__xludf.DUMMYFUNCTION("""COMPUTED_VALUE"""),"KYAI KONTONG")</f>
        <v>KYAI KONTONG</v>
      </c>
      <c r="D7629" s="186">
        <f>IFERROR(__xludf.DUMMYFUNCTION("""COMPUTED_VALUE"""),1.0)</f>
        <v>1</v>
      </c>
    </row>
    <row r="7630">
      <c r="A7630" s="178" t="str">
        <f>IFERROR(__xludf.DUMMYFUNCTION("""COMPUTED_VALUE"""),"ITBISA-LCD-16X2-GREEN")</f>
        <v>ITBISA-LCD-16X2-GREEN</v>
      </c>
      <c r="B7630" s="266">
        <f>IFERROR(__xludf.DUMMYFUNCTION("""COMPUTED_VALUE"""),45500.0)</f>
        <v>45500</v>
      </c>
      <c r="C7630" s="266" t="str">
        <f>IFERROR(__xludf.DUMMYFUNCTION("""COMPUTED_VALUE"""),"KYAI KONTONG")</f>
        <v>KYAI KONTONG</v>
      </c>
      <c r="D7630" s="186">
        <f>IFERROR(__xludf.DUMMYFUNCTION("""COMPUTED_VALUE"""),6.0)</f>
        <v>6</v>
      </c>
    </row>
    <row r="7631">
      <c r="A7631" s="178" t="str">
        <f>IFERROR(__xludf.DUMMYFUNCTION("""COMPUTED_VALUE"""),"ITBISA-LCD-16X2-GREEN")</f>
        <v>ITBISA-LCD-16X2-GREEN</v>
      </c>
      <c r="B7631" s="266">
        <f>IFERROR(__xludf.DUMMYFUNCTION("""COMPUTED_VALUE"""),45501.0)</f>
        <v>45501</v>
      </c>
      <c r="C7631" s="266" t="str">
        <f>IFERROR(__xludf.DUMMYFUNCTION("""COMPUTED_VALUE"""),"KYAI KONTONG")</f>
        <v>KYAI KONTONG</v>
      </c>
      <c r="D7631" s="186">
        <f>IFERROR(__xludf.DUMMYFUNCTION("""COMPUTED_VALUE"""),1.0)</f>
        <v>1</v>
      </c>
    </row>
    <row r="7632">
      <c r="A7632" s="178" t="str">
        <f>IFERROR(__xludf.DUMMYFUNCTION("""COMPUTED_VALUE"""),"ITBISA-LCD-16X2-GREEN")</f>
        <v>ITBISA-LCD-16X2-GREEN</v>
      </c>
      <c r="B7632" s="266">
        <f>IFERROR(__xludf.DUMMYFUNCTION("""COMPUTED_VALUE"""),45502.0)</f>
        <v>45502</v>
      </c>
      <c r="C7632" s="266" t="str">
        <f>IFERROR(__xludf.DUMMYFUNCTION("""COMPUTED_VALUE"""),"KYAI KONTONG")</f>
        <v>KYAI KONTONG</v>
      </c>
      <c r="D7632" s="186">
        <f>IFERROR(__xludf.DUMMYFUNCTION("""COMPUTED_VALUE"""),1.0)</f>
        <v>1</v>
      </c>
    </row>
    <row r="7633">
      <c r="A7633" s="178" t="str">
        <f>IFERROR(__xludf.DUMMYFUNCTION("""COMPUTED_VALUE"""),"ITBISA-LCD-16X2-GREEN")</f>
        <v>ITBISA-LCD-16X2-GREEN</v>
      </c>
      <c r="B7633" s="266">
        <f>IFERROR(__xludf.DUMMYFUNCTION("""COMPUTED_VALUE"""),45512.0)</f>
        <v>45512</v>
      </c>
      <c r="C7633" s="266" t="str">
        <f>IFERROR(__xludf.DUMMYFUNCTION("""COMPUTED_VALUE"""),"KYAI KONTONG")</f>
        <v>KYAI KONTONG</v>
      </c>
      <c r="D7633" s="186">
        <f>IFERROR(__xludf.DUMMYFUNCTION("""COMPUTED_VALUE"""),1.0)</f>
        <v>1</v>
      </c>
    </row>
    <row r="7634">
      <c r="A7634" s="178" t="str">
        <f>IFERROR(__xludf.DUMMYFUNCTION("""COMPUTED_VALUE"""),"ITBISA-LCD-16X2-GREEN")</f>
        <v>ITBISA-LCD-16X2-GREEN</v>
      </c>
      <c r="B7634" s="266">
        <f>IFERROR(__xludf.DUMMYFUNCTION("""COMPUTED_VALUE"""),45522.0)</f>
        <v>45522</v>
      </c>
      <c r="C7634" s="266" t="str">
        <f>IFERROR(__xludf.DUMMYFUNCTION("""COMPUTED_VALUE"""),"KYAI KONTONG")</f>
        <v>KYAI KONTONG</v>
      </c>
      <c r="D7634" s="186">
        <f>IFERROR(__xludf.DUMMYFUNCTION("""COMPUTED_VALUE"""),1.0)</f>
        <v>1</v>
      </c>
    </row>
    <row r="7635">
      <c r="A7635" s="178" t="str">
        <f>IFERROR(__xludf.DUMMYFUNCTION("""COMPUTED_VALUE"""),"ITBISA-LCD-16X2-GREEN")</f>
        <v>ITBISA-LCD-16X2-GREEN</v>
      </c>
      <c r="B7635" s="266">
        <f>IFERROR(__xludf.DUMMYFUNCTION("""COMPUTED_VALUE"""),45527.0)</f>
        <v>45527</v>
      </c>
      <c r="C7635" s="266" t="str">
        <f>IFERROR(__xludf.DUMMYFUNCTION("""COMPUTED_VALUE"""),"KYAI KONTONG")</f>
        <v>KYAI KONTONG</v>
      </c>
      <c r="D7635" s="186">
        <f>IFERROR(__xludf.DUMMYFUNCTION("""COMPUTED_VALUE"""),5.0)</f>
        <v>5</v>
      </c>
    </row>
    <row r="7636">
      <c r="A7636" s="178" t="str">
        <f>IFERROR(__xludf.DUMMYFUNCTION("""COMPUTED_VALUE"""),"ITBISA-LCD-16X2-GREEN")</f>
        <v>ITBISA-LCD-16X2-GREEN</v>
      </c>
      <c r="B7636" s="266">
        <f>IFERROR(__xludf.DUMMYFUNCTION("""COMPUTED_VALUE"""),45531.0)</f>
        <v>45531</v>
      </c>
      <c r="C7636" s="266" t="str">
        <f>IFERROR(__xludf.DUMMYFUNCTION("""COMPUTED_VALUE"""),"KYAI KONTONG")</f>
        <v>KYAI KONTONG</v>
      </c>
      <c r="D7636" s="186">
        <f>IFERROR(__xludf.DUMMYFUNCTION("""COMPUTED_VALUE"""),2.0)</f>
        <v>2</v>
      </c>
    </row>
    <row r="7637">
      <c r="A7637" s="178" t="str">
        <f>IFERROR(__xludf.DUMMYFUNCTION("""COMPUTED_VALUE"""),"ITBISA-LCD-16X2-GREEN")</f>
        <v>ITBISA-LCD-16X2-GREEN</v>
      </c>
      <c r="B7637" s="266">
        <f>IFERROR(__xludf.DUMMYFUNCTION("""COMPUTED_VALUE"""),45535.0)</f>
        <v>45535</v>
      </c>
      <c r="C7637" s="266" t="str">
        <f>IFERROR(__xludf.DUMMYFUNCTION("""COMPUTED_VALUE"""),"KYAI KONTONG")</f>
        <v>KYAI KONTONG</v>
      </c>
      <c r="D7637" s="186">
        <f>IFERROR(__xludf.DUMMYFUNCTION("""COMPUTED_VALUE"""),1.0)</f>
        <v>1</v>
      </c>
    </row>
    <row r="7638">
      <c r="A7638" s="178" t="str">
        <f>IFERROR(__xludf.DUMMYFUNCTION("""COMPUTED_VALUE"""),"ITBISA-LCD-16X2-GREEN")</f>
        <v>ITBISA-LCD-16X2-GREEN</v>
      </c>
      <c r="B7638" s="266">
        <f>IFERROR(__xludf.DUMMYFUNCTION("""COMPUTED_VALUE"""),45545.0)</f>
        <v>45545</v>
      </c>
      <c r="C7638" s="266" t="str">
        <f>IFERROR(__xludf.DUMMYFUNCTION("""COMPUTED_VALUE"""),"KYAI KONTONG")</f>
        <v>KYAI KONTONG</v>
      </c>
      <c r="D7638" s="186">
        <f>IFERROR(__xludf.DUMMYFUNCTION("""COMPUTED_VALUE"""),1.0)</f>
        <v>1</v>
      </c>
    </row>
    <row r="7639">
      <c r="A7639" s="178" t="str">
        <f>IFERROR(__xludf.DUMMYFUNCTION("""COMPUTED_VALUE"""),"ITBISA-LCD-16X2-GREEN")</f>
        <v>ITBISA-LCD-16X2-GREEN</v>
      </c>
      <c r="B7639" s="266">
        <f>IFERROR(__xludf.DUMMYFUNCTION("""COMPUTED_VALUE"""),45582.0)</f>
        <v>45582</v>
      </c>
      <c r="C7639" s="266" t="str">
        <f>IFERROR(__xludf.DUMMYFUNCTION("""COMPUTED_VALUE"""),"KYAI KONTONG")</f>
        <v>KYAI KONTONG</v>
      </c>
      <c r="D7639" s="186">
        <f>IFERROR(__xludf.DUMMYFUNCTION("""COMPUTED_VALUE"""),1.0)</f>
        <v>1</v>
      </c>
    </row>
    <row r="7640">
      <c r="A7640" s="178" t="str">
        <f>IFERROR(__xludf.DUMMYFUNCTION("""COMPUTED_VALUE"""),"ITBISA-LCD-16X2-GREEN")</f>
        <v>ITBISA-LCD-16X2-GREEN</v>
      </c>
      <c r="B7640" s="266">
        <f>IFERROR(__xludf.DUMMYFUNCTION("""COMPUTED_VALUE"""),45592.0)</f>
        <v>45592</v>
      </c>
      <c r="C7640" s="266" t="str">
        <f>IFERROR(__xludf.DUMMYFUNCTION("""COMPUTED_VALUE"""),"KERTASARI CIAMIS")</f>
        <v>KERTASARI CIAMIS</v>
      </c>
      <c r="D7640" s="186">
        <f>IFERROR(__xludf.DUMMYFUNCTION("""COMPUTED_VALUE"""),1.0)</f>
        <v>1</v>
      </c>
    </row>
    <row r="7641">
      <c r="A7641" s="178" t="str">
        <f>IFERROR(__xludf.DUMMYFUNCTION("""COMPUTED_VALUE"""),"ITBISA-LCD-16X2-GREEN")</f>
        <v>ITBISA-LCD-16X2-GREEN</v>
      </c>
      <c r="B7641" s="266">
        <f>IFERROR(__xludf.DUMMYFUNCTION("""COMPUTED_VALUE"""),45617.0)</f>
        <v>45617</v>
      </c>
      <c r="C7641" s="266" t="str">
        <f>IFERROR(__xludf.DUMMYFUNCTION("""COMPUTED_VALUE"""),"KERTASARI CIAMIS")</f>
        <v>KERTASARI CIAMIS</v>
      </c>
      <c r="D7641" s="186">
        <f>IFERROR(__xludf.DUMMYFUNCTION("""COMPUTED_VALUE"""),6.0)</f>
        <v>6</v>
      </c>
    </row>
    <row r="7642">
      <c r="A7642" s="178" t="str">
        <f>IFERROR(__xludf.DUMMYFUNCTION("""COMPUTED_VALUE"""),"ITBISA-LCD-16X2-GREEN")</f>
        <v>ITBISA-LCD-16X2-GREEN</v>
      </c>
      <c r="B7642" s="266">
        <f>IFERROR(__xludf.DUMMYFUNCTION("""COMPUTED_VALUE"""),45619.0)</f>
        <v>45619</v>
      </c>
      <c r="C7642" s="266" t="str">
        <f>IFERROR(__xludf.DUMMYFUNCTION("""COMPUTED_VALUE"""),"KYAI KONTONG")</f>
        <v>KYAI KONTONG</v>
      </c>
      <c r="D7642" s="186">
        <f>IFERROR(__xludf.DUMMYFUNCTION("""COMPUTED_VALUE"""),2.0)</f>
        <v>2</v>
      </c>
    </row>
    <row r="7643">
      <c r="A7643" s="178" t="str">
        <f>IFERROR(__xludf.DUMMYFUNCTION("""COMPUTED_VALUE"""),"ITBISA-LCD-16X2-GREEN")</f>
        <v>ITBISA-LCD-16X2-GREEN</v>
      </c>
      <c r="B7643" s="266">
        <f>IFERROR(__xludf.DUMMYFUNCTION("""COMPUTED_VALUE"""),45643.0)</f>
        <v>45643</v>
      </c>
      <c r="C7643" s="266" t="str">
        <f>IFERROR(__xludf.DUMMYFUNCTION("""COMPUTED_VALUE"""),"KYAI KONTONG")</f>
        <v>KYAI KONTONG</v>
      </c>
      <c r="D7643" s="186">
        <f>IFERROR(__xludf.DUMMYFUNCTION("""COMPUTED_VALUE"""),2.0)</f>
        <v>2</v>
      </c>
    </row>
    <row r="7644">
      <c r="A7644" s="178" t="str">
        <f>IFERROR(__xludf.DUMMYFUNCTION("""COMPUTED_VALUE"""),"ITBISA-LCD-16X2-GREEN")</f>
        <v>ITBISA-LCD-16X2-GREEN</v>
      </c>
      <c r="B7644" s="266">
        <f>IFERROR(__xludf.DUMMYFUNCTION("""COMPUTED_VALUE"""),45643.0)</f>
        <v>45643</v>
      </c>
      <c r="C7644" s="266" t="str">
        <f>IFERROR(__xludf.DUMMYFUNCTION("""COMPUTED_VALUE"""),"KYAI KONTONG")</f>
        <v>KYAI KONTONG</v>
      </c>
      <c r="D7644" s="186">
        <f>IFERROR(__xludf.DUMMYFUNCTION("""COMPUTED_VALUE"""),5.0)</f>
        <v>5</v>
      </c>
    </row>
    <row r="7645">
      <c r="A7645" s="178" t="str">
        <f>IFERROR(__xludf.DUMMYFUNCTION("""COMPUTED_VALUE"""),"ITBISA-LCD-16X2-GREEN")</f>
        <v>ITBISA-LCD-16X2-GREEN</v>
      </c>
      <c r="B7645" s="266">
        <f>IFERROR(__xludf.DUMMYFUNCTION("""COMPUTED_VALUE"""),45664.0)</f>
        <v>45664</v>
      </c>
      <c r="C7645" s="266" t="str">
        <f>IFERROR(__xludf.DUMMYFUNCTION("""COMPUTED_VALUE"""),"KYAI KONTONG")</f>
        <v>KYAI KONTONG</v>
      </c>
      <c r="D7645" s="186">
        <f>IFERROR(__xludf.DUMMYFUNCTION("""COMPUTED_VALUE"""),1.0)</f>
        <v>1</v>
      </c>
    </row>
    <row r="7646">
      <c r="A7646" s="178" t="str">
        <f>IFERROR(__xludf.DUMMYFUNCTION("""COMPUTED_VALUE"""),"ITBISA-LCD-16X2-GREEN")</f>
        <v>ITBISA-LCD-16X2-GREEN</v>
      </c>
      <c r="B7646" s="266">
        <f>IFERROR(__xludf.DUMMYFUNCTION("""COMPUTED_VALUE"""),45680.0)</f>
        <v>45680</v>
      </c>
      <c r="C7646" s="266" t="str">
        <f>IFERROR(__xludf.DUMMYFUNCTION("""COMPUTED_VALUE"""),"KERTASARI CIAMIS")</f>
        <v>KERTASARI CIAMIS</v>
      </c>
      <c r="D7646" s="186">
        <f>IFERROR(__xludf.DUMMYFUNCTION("""COMPUTED_VALUE"""),1.0)</f>
        <v>1</v>
      </c>
    </row>
    <row r="7647">
      <c r="A7647" s="178" t="str">
        <f>IFERROR(__xludf.DUMMYFUNCTION("""COMPUTED_VALUE"""),"ITBISA-LCD-16X2-GREEN")</f>
        <v>ITBISA-LCD-16X2-GREEN</v>
      </c>
      <c r="B7647" s="266">
        <f>IFERROR(__xludf.DUMMYFUNCTION("""COMPUTED_VALUE"""),45692.0)</f>
        <v>45692</v>
      </c>
      <c r="C7647" s="266" t="str">
        <f>IFERROR(__xludf.DUMMYFUNCTION("""COMPUTED_VALUE"""),"KYAI KONTONG")</f>
        <v>KYAI KONTONG</v>
      </c>
      <c r="D7647" s="186">
        <f>IFERROR(__xludf.DUMMYFUNCTION("""COMPUTED_VALUE"""),30.0)</f>
        <v>30</v>
      </c>
    </row>
    <row r="7648">
      <c r="A7648" s="178" t="str">
        <f>IFERROR(__xludf.DUMMYFUNCTION("""COMPUTED_VALUE"""),"ITBISA-LCD-16X2-GREEN")</f>
        <v>ITBISA-LCD-16X2-GREEN</v>
      </c>
      <c r="B7648" s="266">
        <f>IFERROR(__xludf.DUMMYFUNCTION("""COMPUTED_VALUE"""),45710.0)</f>
        <v>45710</v>
      </c>
      <c r="C7648" s="266" t="str">
        <f>IFERROR(__xludf.DUMMYFUNCTION("""COMPUTED_VALUE"""),"KERTASARI CIAMIS")</f>
        <v>KERTASARI CIAMIS</v>
      </c>
      <c r="D7648" s="186">
        <f>IFERROR(__xludf.DUMMYFUNCTION("""COMPUTED_VALUE"""),1.0)</f>
        <v>1</v>
      </c>
    </row>
    <row r="7649">
      <c r="A7649" s="178" t="str">
        <f>IFERROR(__xludf.DUMMYFUNCTION("""COMPUTED_VALUE"""),"ITBISA-LCD-16X2-GREEN")</f>
        <v>ITBISA-LCD-16X2-GREEN</v>
      </c>
      <c r="B7649" s="266">
        <f>IFERROR(__xludf.DUMMYFUNCTION("""COMPUTED_VALUE"""),45718.0)</f>
        <v>45718</v>
      </c>
      <c r="C7649" s="266" t="str">
        <f>IFERROR(__xludf.DUMMYFUNCTION("""COMPUTED_VALUE"""),"KYAI KONTONG")</f>
        <v>KYAI KONTONG</v>
      </c>
      <c r="D7649" s="186">
        <f>IFERROR(__xludf.DUMMYFUNCTION("""COMPUTED_VALUE"""),1.0)</f>
        <v>1</v>
      </c>
    </row>
    <row r="7650">
      <c r="A7650" s="178" t="str">
        <f>IFERROR(__xludf.DUMMYFUNCTION("""COMPUTED_VALUE"""),"ITBISA-LCD-16X2-GREEN")</f>
        <v>ITBISA-LCD-16X2-GREEN</v>
      </c>
      <c r="B7650" s="266">
        <f>IFERROR(__xludf.DUMMYFUNCTION("""COMPUTED_VALUE"""),45774.0)</f>
        <v>45774</v>
      </c>
      <c r="C7650" s="266" t="str">
        <f>IFERROR(__xludf.DUMMYFUNCTION("""COMPUTED_VALUE"""),"KERTASARI CIAMIS")</f>
        <v>KERTASARI CIAMIS</v>
      </c>
      <c r="D7650" s="186">
        <f>IFERROR(__xludf.DUMMYFUNCTION("""COMPUTED_VALUE"""),1.0)</f>
        <v>1</v>
      </c>
    </row>
    <row r="7651">
      <c r="A7651" s="178" t="str">
        <f>IFERROR(__xludf.DUMMYFUNCTION("""COMPUTED_VALUE"""),"ITBISA-LCD-16X2-GREEN")</f>
        <v>ITBISA-LCD-16X2-GREEN</v>
      </c>
      <c r="B7651" s="266">
        <f>IFERROR(__xludf.DUMMYFUNCTION("""COMPUTED_VALUE"""),45781.0)</f>
        <v>45781</v>
      </c>
      <c r="C7651" s="266" t="str">
        <f>IFERROR(__xludf.DUMMYFUNCTION("""COMPUTED_VALUE"""),"KERTASARI CIAMIS")</f>
        <v>KERTASARI CIAMIS</v>
      </c>
      <c r="D7651" s="186">
        <f>IFERROR(__xludf.DUMMYFUNCTION("""COMPUTED_VALUE"""),4.0)</f>
        <v>4</v>
      </c>
    </row>
    <row r="7652">
      <c r="A7652" s="178" t="str">
        <f>IFERROR(__xludf.DUMMYFUNCTION("""COMPUTED_VALUE"""),"ITBISA-LCD-16X2-GREEN")</f>
        <v>ITBISA-LCD-16X2-GREEN</v>
      </c>
      <c r="B7652" s="266">
        <f>IFERROR(__xludf.DUMMYFUNCTION("""COMPUTED_VALUE"""),45791.0)</f>
        <v>45791</v>
      </c>
      <c r="C7652" s="266" t="str">
        <f>IFERROR(__xludf.DUMMYFUNCTION("""COMPUTED_VALUE"""),"KYAI KONTONG")</f>
        <v>KYAI KONTONG</v>
      </c>
      <c r="D7652" s="186">
        <f>IFERROR(__xludf.DUMMYFUNCTION("""COMPUTED_VALUE"""),1.0)</f>
        <v>1</v>
      </c>
    </row>
    <row r="7653">
      <c r="A7653" s="178" t="str">
        <f>IFERROR(__xludf.DUMMYFUNCTION("""COMPUTED_VALUE"""),"ITBISA-LCD-16X2-GREEN")</f>
        <v>ITBISA-LCD-16X2-GREEN</v>
      </c>
      <c r="B7653" s="266">
        <f>IFERROR(__xludf.DUMMYFUNCTION("""COMPUTED_VALUE"""),45822.0)</f>
        <v>45822</v>
      </c>
      <c r="C7653" s="266" t="str">
        <f>IFERROR(__xludf.DUMMYFUNCTION("""COMPUTED_VALUE"""),"KYAI KONTONG")</f>
        <v>KYAI KONTONG</v>
      </c>
      <c r="D7653" s="186">
        <f>IFERROR(__xludf.DUMMYFUNCTION("""COMPUTED_VALUE"""),10.0)</f>
        <v>10</v>
      </c>
    </row>
    <row r="7654">
      <c r="A7654" s="178" t="str">
        <f>IFERROR(__xludf.DUMMYFUNCTION("""COMPUTED_VALUE"""),"ITBISA-LCD-16X2-GREEN")</f>
        <v>ITBISA-LCD-16X2-GREEN</v>
      </c>
      <c r="B7654" s="266">
        <f>IFERROR(__xludf.DUMMYFUNCTION("""COMPUTED_VALUE"""),45874.0)</f>
        <v>45874</v>
      </c>
      <c r="C7654" s="266" t="str">
        <f>IFERROR(__xludf.DUMMYFUNCTION("""COMPUTED_VALUE"""),"KERTASARI CIAMIS")</f>
        <v>KERTASARI CIAMIS</v>
      </c>
      <c r="D7654" s="186">
        <f>IFERROR(__xludf.DUMMYFUNCTION("""COMPUTED_VALUE"""),1.0)</f>
        <v>1</v>
      </c>
    </row>
    <row r="7655">
      <c r="A7655" s="178" t="str">
        <f>IFERROR(__xludf.DUMMYFUNCTION("""COMPUTED_VALUE"""),"ITBISA-LCD-16X2-GREEN")</f>
        <v>ITBISA-LCD-16X2-GREEN</v>
      </c>
      <c r="B7655" s="266">
        <f>IFERROR(__xludf.DUMMYFUNCTION("""COMPUTED_VALUE"""),45881.0)</f>
        <v>45881</v>
      </c>
      <c r="C7655" s="266" t="str">
        <f>IFERROR(__xludf.DUMMYFUNCTION("""COMPUTED_VALUE"""),"KERTASARI CIAMIS")</f>
        <v>KERTASARI CIAMIS</v>
      </c>
      <c r="D7655" s="186">
        <f>IFERROR(__xludf.DUMMYFUNCTION("""COMPUTED_VALUE"""),4.0)</f>
        <v>4</v>
      </c>
    </row>
    <row r="7656">
      <c r="A7656" s="178" t="str">
        <f>IFERROR(__xludf.DUMMYFUNCTION("""COMPUTED_VALUE"""),"ITBISA-LCD-16X2-GREEN")</f>
        <v>ITBISA-LCD-16X2-GREEN</v>
      </c>
      <c r="B7656" s="266">
        <f>IFERROR(__xludf.DUMMYFUNCTION("""COMPUTED_VALUE"""),45900.0)</f>
        <v>45900</v>
      </c>
      <c r="C7656" s="266" t="str">
        <f>IFERROR(__xludf.DUMMYFUNCTION("""COMPUTED_VALUE"""),"KERTASARI CIAMIS")</f>
        <v>KERTASARI CIAMIS</v>
      </c>
      <c r="D7656" s="186">
        <f>IFERROR(__xludf.DUMMYFUNCTION("""COMPUTED_VALUE"""),1.0)</f>
        <v>1</v>
      </c>
    </row>
    <row r="7657">
      <c r="A7657" s="178" t="str">
        <f>IFERROR(__xludf.DUMMYFUNCTION("""COMPUTED_VALUE"""),"ITBISA-LCD-16X2-GREEN")</f>
        <v>ITBISA-LCD-16X2-GREEN</v>
      </c>
      <c r="B7657" s="266">
        <f>IFERROR(__xludf.DUMMYFUNCTION("""COMPUTED_VALUE"""),45948.0)</f>
        <v>45948</v>
      </c>
      <c r="C7657" s="266" t="str">
        <f>IFERROR(__xludf.DUMMYFUNCTION("""COMPUTED_VALUE"""),"KYAI KONTONG")</f>
        <v>KYAI KONTONG</v>
      </c>
      <c r="D7657" s="186">
        <f>IFERROR(__xludf.DUMMYFUNCTION("""COMPUTED_VALUE"""),1.0)</f>
        <v>1</v>
      </c>
    </row>
    <row r="7658">
      <c r="A7658" s="178" t="str">
        <f>IFERROR(__xludf.DUMMYFUNCTION("""COMPUTED_VALUE"""),"ITBISA-LCD-16X2-GREEN")</f>
        <v>ITBISA-LCD-16X2-GREEN</v>
      </c>
      <c r="B7658" s="266">
        <f>IFERROR(__xludf.DUMMYFUNCTION("""COMPUTED_VALUE"""),45954.0)</f>
        <v>45954</v>
      </c>
      <c r="C7658" s="266" t="str">
        <f>IFERROR(__xludf.DUMMYFUNCTION("""COMPUTED_VALUE"""),"KYAI KONTONG")</f>
        <v>KYAI KONTONG</v>
      </c>
      <c r="D7658" s="186">
        <f>IFERROR(__xludf.DUMMYFUNCTION("""COMPUTED_VALUE"""),1.0)</f>
        <v>1</v>
      </c>
    </row>
    <row r="7659">
      <c r="A7659" s="178" t="str">
        <f>IFERROR(__xludf.DUMMYFUNCTION("""COMPUTED_VALUE"""),"ITBISA-LCD-16X2-GREEN")</f>
        <v>ITBISA-LCD-16X2-GREEN</v>
      </c>
      <c r="B7659" s="266">
        <f>IFERROR(__xludf.DUMMYFUNCTION("""COMPUTED_VALUE"""),45965.0)</f>
        <v>45965</v>
      </c>
      <c r="C7659" s="266" t="str">
        <f>IFERROR(__xludf.DUMMYFUNCTION("""COMPUTED_VALUE"""),"KYAI KONTONG")</f>
        <v>KYAI KONTONG</v>
      </c>
      <c r="D7659" s="186">
        <f>IFERROR(__xludf.DUMMYFUNCTION("""COMPUTED_VALUE"""),1.0)</f>
        <v>1</v>
      </c>
    </row>
    <row r="7660">
      <c r="A7660" s="178" t="str">
        <f>IFERROR(__xludf.DUMMYFUNCTION("""COMPUTED_VALUE"""),"ITBISA-LCD-16X2-GREEN")</f>
        <v>ITBISA-LCD-16X2-GREEN</v>
      </c>
      <c r="B7660" s="266">
        <f>IFERROR(__xludf.DUMMYFUNCTION("""COMPUTED_VALUE"""),45966.0)</f>
        <v>45966</v>
      </c>
      <c r="C7660" s="266" t="str">
        <f>IFERROR(__xludf.DUMMYFUNCTION("""COMPUTED_VALUE"""),"KYAI KONTONG")</f>
        <v>KYAI KONTONG</v>
      </c>
      <c r="D7660" s="186">
        <f>IFERROR(__xludf.DUMMYFUNCTION("""COMPUTED_VALUE"""),1.0)</f>
        <v>1</v>
      </c>
    </row>
    <row r="7661">
      <c r="A7661" s="178" t="str">
        <f>IFERROR(__xludf.DUMMYFUNCTION("""COMPUTED_VALUE"""),"ITBISA-LCD-16X2-GREEN")</f>
        <v>ITBISA-LCD-16X2-GREEN</v>
      </c>
      <c r="B7661" s="266">
        <f>IFERROR(__xludf.DUMMYFUNCTION("""COMPUTED_VALUE"""),45972.0)</f>
        <v>45972</v>
      </c>
      <c r="C7661" s="266" t="str">
        <f>IFERROR(__xludf.DUMMYFUNCTION("""COMPUTED_VALUE"""),"KYAI KONTONG")</f>
        <v>KYAI KONTONG</v>
      </c>
      <c r="D7661" s="186">
        <f>IFERROR(__xludf.DUMMYFUNCTION("""COMPUTED_VALUE"""),1.0)</f>
        <v>1</v>
      </c>
    </row>
    <row r="7662">
      <c r="A7662" s="178" t="str">
        <f>IFERROR(__xludf.DUMMYFUNCTION("""COMPUTED_VALUE"""),"ITBISA-LCD-16X2-GREEN")</f>
        <v>ITBISA-LCD-16X2-GREEN</v>
      </c>
      <c r="B7662" s="266">
        <f>IFERROR(__xludf.DUMMYFUNCTION("""COMPUTED_VALUE"""),45972.0)</f>
        <v>45972</v>
      </c>
      <c r="C7662" s="266" t="str">
        <f>IFERROR(__xludf.DUMMYFUNCTION("""COMPUTED_VALUE"""),"KYAI KONTONG")</f>
        <v>KYAI KONTONG</v>
      </c>
      <c r="D7662" s="186">
        <f>IFERROR(__xludf.DUMMYFUNCTION("""COMPUTED_VALUE"""),1.0)</f>
        <v>1</v>
      </c>
    </row>
    <row r="7663">
      <c r="A7663" s="178" t="str">
        <f>IFERROR(__xludf.DUMMYFUNCTION("""COMPUTED_VALUE"""),"ITBISA-LCD-16X2-GREEN")</f>
        <v>ITBISA-LCD-16X2-GREEN</v>
      </c>
      <c r="B7663" s="266">
        <f>IFERROR(__xludf.DUMMYFUNCTION("""COMPUTED_VALUE"""),45977.0)</f>
        <v>45977</v>
      </c>
      <c r="C7663" s="266" t="str">
        <f>IFERROR(__xludf.DUMMYFUNCTION("""COMPUTED_VALUE"""),"KYAI KONTONG")</f>
        <v>KYAI KONTONG</v>
      </c>
      <c r="D7663" s="186">
        <f>IFERROR(__xludf.DUMMYFUNCTION("""COMPUTED_VALUE"""),1.0)</f>
        <v>1</v>
      </c>
    </row>
    <row r="7664">
      <c r="A7664" s="178" t="str">
        <f>IFERROR(__xludf.DUMMYFUNCTION("""COMPUTED_VALUE"""),"ITBISA-LCD-16X2-GREEN")</f>
        <v>ITBISA-LCD-16X2-GREEN</v>
      </c>
      <c r="B7664" s="266">
        <f>IFERROR(__xludf.DUMMYFUNCTION("""COMPUTED_VALUE"""),45980.0)</f>
        <v>45980</v>
      </c>
      <c r="C7664" s="266" t="str">
        <f>IFERROR(__xludf.DUMMYFUNCTION("""COMPUTED_VALUE"""),"KYAI KONTONG")</f>
        <v>KYAI KONTONG</v>
      </c>
      <c r="D7664" s="186">
        <f>IFERROR(__xludf.DUMMYFUNCTION("""COMPUTED_VALUE"""),1.0)</f>
        <v>1</v>
      </c>
    </row>
    <row r="7665">
      <c r="A7665" s="178" t="str">
        <f>IFERROR(__xludf.DUMMYFUNCTION("""COMPUTED_VALUE"""),"ITBISA-LCD-16X2-GREEN")</f>
        <v>ITBISA-LCD-16X2-GREEN</v>
      </c>
      <c r="B7665" s="266">
        <f>IFERROR(__xludf.DUMMYFUNCTION("""COMPUTED_VALUE"""),45981.0)</f>
        <v>45981</v>
      </c>
      <c r="C7665" s="266" t="str">
        <f>IFERROR(__xludf.DUMMYFUNCTION("""COMPUTED_VALUE"""),"KYAI KONTONG")</f>
        <v>KYAI KONTONG</v>
      </c>
      <c r="D7665" s="186">
        <f>IFERROR(__xludf.DUMMYFUNCTION("""COMPUTED_VALUE"""),1.0)</f>
        <v>1</v>
      </c>
    </row>
    <row r="7666">
      <c r="A7666" s="178" t="str">
        <f>IFERROR(__xludf.DUMMYFUNCTION("""COMPUTED_VALUE"""),"ITBISA-LCD-16X2-GREEN")</f>
        <v>ITBISA-LCD-16X2-GREEN</v>
      </c>
      <c r="B7666" s="266">
        <f>IFERROR(__xludf.DUMMYFUNCTION("""COMPUTED_VALUE"""),45994.0)</f>
        <v>45994</v>
      </c>
      <c r="C7666" s="266" t="str">
        <f>IFERROR(__xludf.DUMMYFUNCTION("""COMPUTED_VALUE"""),"KYAI KONTONG")</f>
        <v>KYAI KONTONG</v>
      </c>
      <c r="D7666" s="186">
        <f>IFERROR(__xludf.DUMMYFUNCTION("""COMPUTED_VALUE"""),2.0)</f>
        <v>2</v>
      </c>
    </row>
    <row r="7667">
      <c r="A7667" s="178" t="str">
        <f>IFERROR(__xludf.DUMMYFUNCTION("""COMPUTED_VALUE"""),"ITBISA-LCD-16X2-GREEN")</f>
        <v>ITBISA-LCD-16X2-GREEN</v>
      </c>
      <c r="B7667" s="266">
        <f>IFERROR(__xludf.DUMMYFUNCTION("""COMPUTED_VALUE"""),45996.0)</f>
        <v>45996</v>
      </c>
      <c r="C7667" s="266" t="str">
        <f>IFERROR(__xludf.DUMMYFUNCTION("""COMPUTED_VALUE"""),"KERTASARI CIAMIS")</f>
        <v>KERTASARI CIAMIS</v>
      </c>
      <c r="D7667" s="186">
        <f>IFERROR(__xludf.DUMMYFUNCTION("""COMPUTED_VALUE"""),1.0)</f>
        <v>1</v>
      </c>
    </row>
    <row r="7668">
      <c r="A7668" s="178" t="str">
        <f>IFERROR(__xludf.DUMMYFUNCTION("""COMPUTED_VALUE"""),"ITBISA-LCD-16X2-GREEN")</f>
        <v>ITBISA-LCD-16X2-GREEN</v>
      </c>
      <c r="B7668" s="266">
        <f>IFERROR(__xludf.DUMMYFUNCTION("""COMPUTED_VALUE"""),45996.0)</f>
        <v>45996</v>
      </c>
      <c r="C7668" s="266" t="str">
        <f>IFERROR(__xludf.DUMMYFUNCTION("""COMPUTED_VALUE"""),"KYAI KONTONG")</f>
        <v>KYAI KONTONG</v>
      </c>
      <c r="D7668" s="186">
        <f>IFERROR(__xludf.DUMMYFUNCTION("""COMPUTED_VALUE"""),1.0)</f>
        <v>1</v>
      </c>
    </row>
    <row r="7669">
      <c r="A7669" s="178" t="str">
        <f>IFERROR(__xludf.DUMMYFUNCTION("""COMPUTED_VALUE"""),"ITBISA-LCD-16X2-GREEN")</f>
        <v>ITBISA-LCD-16X2-GREEN</v>
      </c>
      <c r="B7669" s="266">
        <f>IFERROR(__xludf.DUMMYFUNCTION("""COMPUTED_VALUE"""),46001.0)</f>
        <v>46001</v>
      </c>
      <c r="C7669" s="266" t="str">
        <f>IFERROR(__xludf.DUMMYFUNCTION("""COMPUTED_VALUE"""),"KERTASARI CIAMIS")</f>
        <v>KERTASARI CIAMIS</v>
      </c>
      <c r="D7669" s="186">
        <f>IFERROR(__xludf.DUMMYFUNCTION("""COMPUTED_VALUE"""),30.0)</f>
        <v>30</v>
      </c>
    </row>
    <row r="7670">
      <c r="A7670" s="178" t="str">
        <f>IFERROR(__xludf.DUMMYFUNCTION("""COMPUTED_VALUE"""),"ITBISA-LCD-16X2-GREEN")</f>
        <v>ITBISA-LCD-16X2-GREEN</v>
      </c>
      <c r="B7670" s="266">
        <f>IFERROR(__xludf.DUMMYFUNCTION("""COMPUTED_VALUE"""),46002.0)</f>
        <v>46002</v>
      </c>
      <c r="C7670" s="266" t="str">
        <f>IFERROR(__xludf.DUMMYFUNCTION("""COMPUTED_VALUE"""),"KYAI KONTONG")</f>
        <v>KYAI KONTONG</v>
      </c>
      <c r="D7670" s="186">
        <f>IFERROR(__xludf.DUMMYFUNCTION("""COMPUTED_VALUE"""),2.0)</f>
        <v>2</v>
      </c>
    </row>
    <row r="7671">
      <c r="A7671" s="178" t="str">
        <f>IFERROR(__xludf.DUMMYFUNCTION("""COMPUTED_VALUE"""),"ITBISA-LCD-16X2-GREEN")</f>
        <v>ITBISA-LCD-16X2-GREEN</v>
      </c>
      <c r="B7671" s="266">
        <f>IFERROR(__xludf.DUMMYFUNCTION("""COMPUTED_VALUE"""),46003.0)</f>
        <v>46003</v>
      </c>
      <c r="C7671" s="266" t="str">
        <f>IFERROR(__xludf.DUMMYFUNCTION("""COMPUTED_VALUE"""),"KYAI KONTONG")</f>
        <v>KYAI KONTONG</v>
      </c>
      <c r="D7671" s="186">
        <f>IFERROR(__xludf.DUMMYFUNCTION("""COMPUTED_VALUE"""),15.0)</f>
        <v>15</v>
      </c>
    </row>
    <row r="7672">
      <c r="A7672" s="178" t="str">
        <f>IFERROR(__xludf.DUMMYFUNCTION("""COMPUTED_VALUE"""),"ITBISA-LCD-16X2-GREEN")</f>
        <v>ITBISA-LCD-16X2-GREEN</v>
      </c>
      <c r="B7672" s="266">
        <f>IFERROR(__xludf.DUMMYFUNCTION("""COMPUTED_VALUE"""),46007.0)</f>
        <v>46007</v>
      </c>
      <c r="C7672" s="266" t="str">
        <f>IFERROR(__xludf.DUMMYFUNCTION("""COMPUTED_VALUE"""),"KYAI KONTONG")</f>
        <v>KYAI KONTONG</v>
      </c>
      <c r="D7672" s="186">
        <f>IFERROR(__xludf.DUMMYFUNCTION("""COMPUTED_VALUE"""),1.0)</f>
        <v>1</v>
      </c>
    </row>
    <row r="7673">
      <c r="A7673" s="178" t="str">
        <f>IFERROR(__xludf.DUMMYFUNCTION("""COMPUTED_VALUE"""),"ITBISA-LCD-16X2-GREEN")</f>
        <v>ITBISA-LCD-16X2-GREEN</v>
      </c>
      <c r="B7673" s="266">
        <f>IFERROR(__xludf.DUMMYFUNCTION("""COMPUTED_VALUE"""),46015.0)</f>
        <v>46015</v>
      </c>
      <c r="C7673" s="266" t="str">
        <f>IFERROR(__xludf.DUMMYFUNCTION("""COMPUTED_VALUE"""),"KYAI KONTONG")</f>
        <v>KYAI KONTONG</v>
      </c>
      <c r="D7673" s="186">
        <f>IFERROR(__xludf.DUMMYFUNCTION("""COMPUTED_VALUE"""),2.0)</f>
        <v>2</v>
      </c>
    </row>
    <row r="7674">
      <c r="A7674" s="178" t="str">
        <f>IFERROR(__xludf.DUMMYFUNCTION("""COMPUTED_VALUE"""),"ITBISA-LCD-16X2-GREEN")</f>
        <v>ITBISA-LCD-16X2-GREEN</v>
      </c>
      <c r="B7674" s="266">
        <f>IFERROR(__xludf.DUMMYFUNCTION("""COMPUTED_VALUE"""),46019.0)</f>
        <v>46019</v>
      </c>
      <c r="C7674" s="266" t="str">
        <f>IFERROR(__xludf.DUMMYFUNCTION("""COMPUTED_VALUE"""),"KYAI KONTONG")</f>
        <v>KYAI KONTONG</v>
      </c>
      <c r="D7674" s="186">
        <f>IFERROR(__xludf.DUMMYFUNCTION("""COMPUTED_VALUE"""),1.0)</f>
        <v>1</v>
      </c>
    </row>
    <row r="7675">
      <c r="A7675" s="178" t="str">
        <f>IFERROR(__xludf.DUMMYFUNCTION("""COMPUTED_VALUE"""),"ITBISA-LDR-GL5516")</f>
        <v>ITBISA-LDR-GL5516</v>
      </c>
      <c r="B7675" s="266">
        <f>IFERROR(__xludf.DUMMYFUNCTION("""COMPUTED_VALUE"""),45438.0)</f>
        <v>45438</v>
      </c>
      <c r="C7675" s="266" t="str">
        <f>IFERROR(__xludf.DUMMYFUNCTION("""COMPUTED_VALUE"""),"KERTASARI CIAMIS")</f>
        <v>KERTASARI CIAMIS</v>
      </c>
      <c r="D7675" s="186">
        <f>IFERROR(__xludf.DUMMYFUNCTION("""COMPUTED_VALUE"""),50.0)</f>
        <v>50</v>
      </c>
    </row>
    <row r="7676">
      <c r="A7676" s="178" t="str">
        <f>IFERROR(__xludf.DUMMYFUNCTION("""COMPUTED_VALUE"""),"ITBISA-LDR-GL5516")</f>
        <v>ITBISA-LDR-GL5516</v>
      </c>
      <c r="B7676" s="266">
        <f>IFERROR(__xludf.DUMMYFUNCTION("""COMPUTED_VALUE"""),45447.0)</f>
        <v>45447</v>
      </c>
      <c r="C7676" s="266" t="str">
        <f>IFERROR(__xludf.DUMMYFUNCTION("""COMPUTED_VALUE"""),"KERTASARI CIAMIS")</f>
        <v>KERTASARI CIAMIS</v>
      </c>
      <c r="D7676" s="186">
        <f>IFERROR(__xludf.DUMMYFUNCTION("""COMPUTED_VALUE"""),10.0)</f>
        <v>10</v>
      </c>
    </row>
    <row r="7677">
      <c r="A7677" s="178" t="str">
        <f>IFERROR(__xludf.DUMMYFUNCTION("""COMPUTED_VALUE"""),"ITBISA-LDR-GL5516")</f>
        <v>ITBISA-LDR-GL5516</v>
      </c>
      <c r="B7677" s="266">
        <f>IFERROR(__xludf.DUMMYFUNCTION("""COMPUTED_VALUE"""),45454.0)</f>
        <v>45454</v>
      </c>
      <c r="C7677" s="266" t="str">
        <f>IFERROR(__xludf.DUMMYFUNCTION("""COMPUTED_VALUE"""),"KYAI KONTONG")</f>
        <v>KYAI KONTONG</v>
      </c>
      <c r="D7677" s="186">
        <f>IFERROR(__xludf.DUMMYFUNCTION("""COMPUTED_VALUE"""),40.0)</f>
        <v>40</v>
      </c>
    </row>
    <row r="7678">
      <c r="A7678" s="178" t="str">
        <f>IFERROR(__xludf.DUMMYFUNCTION("""COMPUTED_VALUE"""),"ITBISA-LDR-GL5516")</f>
        <v>ITBISA-LDR-GL5516</v>
      </c>
      <c r="B7678" s="266">
        <f>IFERROR(__xludf.DUMMYFUNCTION("""COMPUTED_VALUE"""),45460.0)</f>
        <v>45460</v>
      </c>
      <c r="C7678" s="266" t="str">
        <f>IFERROR(__xludf.DUMMYFUNCTION("""COMPUTED_VALUE"""),"KYAI KONTONG")</f>
        <v>KYAI KONTONG</v>
      </c>
      <c r="D7678" s="186">
        <f>IFERROR(__xludf.DUMMYFUNCTION("""COMPUTED_VALUE"""),20.0)</f>
        <v>20</v>
      </c>
    </row>
    <row r="7679">
      <c r="A7679" s="178" t="str">
        <f>IFERROR(__xludf.DUMMYFUNCTION("""COMPUTED_VALUE"""),"ITBISA-LDR-GL5516")</f>
        <v>ITBISA-LDR-GL5516</v>
      </c>
      <c r="B7679" s="266">
        <f>IFERROR(__xludf.DUMMYFUNCTION("""COMPUTED_VALUE"""),45468.0)</f>
        <v>45468</v>
      </c>
      <c r="C7679" s="266" t="str">
        <f>IFERROR(__xludf.DUMMYFUNCTION("""COMPUTED_VALUE"""),"KERTASARI CIAMIS")</f>
        <v>KERTASARI CIAMIS</v>
      </c>
      <c r="D7679" s="186">
        <f>IFERROR(__xludf.DUMMYFUNCTION("""COMPUTED_VALUE"""),10.0)</f>
        <v>10</v>
      </c>
    </row>
    <row r="7680">
      <c r="A7680" s="178" t="str">
        <f>IFERROR(__xludf.DUMMYFUNCTION("""COMPUTED_VALUE"""),"ITBISA-LDR-GL5516")</f>
        <v>ITBISA-LDR-GL5516</v>
      </c>
      <c r="B7680" s="266">
        <f>IFERROR(__xludf.DUMMYFUNCTION("""COMPUTED_VALUE"""),45500.0)</f>
        <v>45500</v>
      </c>
      <c r="C7680" s="266" t="str">
        <f>IFERROR(__xludf.DUMMYFUNCTION("""COMPUTED_VALUE"""),"KYAI KONTONG")</f>
        <v>KYAI KONTONG</v>
      </c>
      <c r="D7680" s="186">
        <f>IFERROR(__xludf.DUMMYFUNCTION("""COMPUTED_VALUE"""),12.0)</f>
        <v>12</v>
      </c>
    </row>
    <row r="7681">
      <c r="A7681" s="178" t="str">
        <f>IFERROR(__xludf.DUMMYFUNCTION("""COMPUTED_VALUE"""),"ITBISA-LDR-GL5516")</f>
        <v>ITBISA-LDR-GL5516</v>
      </c>
      <c r="B7681" s="266">
        <f>IFERROR(__xludf.DUMMYFUNCTION("""COMPUTED_VALUE"""),45515.0)</f>
        <v>45515</v>
      </c>
      <c r="C7681" s="266" t="str">
        <f>IFERROR(__xludf.DUMMYFUNCTION("""COMPUTED_VALUE"""),"KYAI KONTONG")</f>
        <v>KYAI KONTONG</v>
      </c>
      <c r="D7681" s="186">
        <f>IFERROR(__xludf.DUMMYFUNCTION("""COMPUTED_VALUE"""),30.0)</f>
        <v>30</v>
      </c>
    </row>
    <row r="7682">
      <c r="A7682" s="178" t="str">
        <f>IFERROR(__xludf.DUMMYFUNCTION("""COMPUTED_VALUE"""),"ITBISA-LDR-GL5516")</f>
        <v>ITBISA-LDR-GL5516</v>
      </c>
      <c r="B7682" s="266">
        <f>IFERROR(__xludf.DUMMYFUNCTION("""COMPUTED_VALUE"""),45523.0)</f>
        <v>45523</v>
      </c>
      <c r="C7682" s="266" t="str">
        <f>IFERROR(__xludf.DUMMYFUNCTION("""COMPUTED_VALUE"""),"KYAI KONTONG")</f>
        <v>KYAI KONTONG</v>
      </c>
      <c r="D7682" s="186">
        <f>IFERROR(__xludf.DUMMYFUNCTION("""COMPUTED_VALUE"""),100.0)</f>
        <v>100</v>
      </c>
    </row>
    <row r="7683">
      <c r="A7683" s="178" t="str">
        <f>IFERROR(__xludf.DUMMYFUNCTION("""COMPUTED_VALUE"""),"ITBISA-LDR-GL5516")</f>
        <v>ITBISA-LDR-GL5516</v>
      </c>
      <c r="B7683" s="266">
        <f>IFERROR(__xludf.DUMMYFUNCTION("""COMPUTED_VALUE"""),45524.0)</f>
        <v>45524</v>
      </c>
      <c r="C7683" s="266" t="str">
        <f>IFERROR(__xludf.DUMMYFUNCTION("""COMPUTED_VALUE"""),"KERTASARI CIAMIS")</f>
        <v>KERTASARI CIAMIS</v>
      </c>
      <c r="D7683" s="186">
        <f>IFERROR(__xludf.DUMMYFUNCTION("""COMPUTED_VALUE"""),10.0)</f>
        <v>10</v>
      </c>
    </row>
    <row r="7684">
      <c r="A7684" s="178" t="str">
        <f>IFERROR(__xludf.DUMMYFUNCTION("""COMPUTED_VALUE"""),"ITBISA-LDR-GL5516")</f>
        <v>ITBISA-LDR-GL5516</v>
      </c>
      <c r="B7684" s="266">
        <f>IFERROR(__xludf.DUMMYFUNCTION("""COMPUTED_VALUE"""),45524.0)</f>
        <v>45524</v>
      </c>
      <c r="C7684" s="266" t="str">
        <f>IFERROR(__xludf.DUMMYFUNCTION("""COMPUTED_VALUE"""),"KYAI KONTONG")</f>
        <v>KYAI KONTONG</v>
      </c>
      <c r="D7684" s="186">
        <f>IFERROR(__xludf.DUMMYFUNCTION("""COMPUTED_VALUE"""),10.0)</f>
        <v>10</v>
      </c>
    </row>
    <row r="7685">
      <c r="A7685" s="178" t="str">
        <f>IFERROR(__xludf.DUMMYFUNCTION("""COMPUTED_VALUE"""),"ITBISA-LDR-GL5516")</f>
        <v>ITBISA-LDR-GL5516</v>
      </c>
      <c r="B7685" s="266">
        <f>IFERROR(__xludf.DUMMYFUNCTION("""COMPUTED_VALUE"""),45539.0)</f>
        <v>45539</v>
      </c>
      <c r="C7685" s="266" t="str">
        <f>IFERROR(__xludf.DUMMYFUNCTION("""COMPUTED_VALUE"""),"KERTASARI CIAMIS")</f>
        <v>KERTASARI CIAMIS</v>
      </c>
      <c r="D7685" s="186">
        <f>IFERROR(__xludf.DUMMYFUNCTION("""COMPUTED_VALUE"""),10.0)</f>
        <v>10</v>
      </c>
    </row>
    <row r="7686">
      <c r="A7686" s="178" t="str">
        <f>IFERROR(__xludf.DUMMYFUNCTION("""COMPUTED_VALUE"""),"ITBISA-LDR-GL5516")</f>
        <v>ITBISA-LDR-GL5516</v>
      </c>
      <c r="B7686" s="266">
        <f>IFERROR(__xludf.DUMMYFUNCTION("""COMPUTED_VALUE"""),45565.0)</f>
        <v>45565</v>
      </c>
      <c r="C7686" s="266" t="str">
        <f>IFERROR(__xludf.DUMMYFUNCTION("""COMPUTED_VALUE"""),"KERTASARI CIAMIS")</f>
        <v>KERTASARI CIAMIS</v>
      </c>
      <c r="D7686" s="186">
        <f>IFERROR(__xludf.DUMMYFUNCTION("""COMPUTED_VALUE"""),5.0)</f>
        <v>5</v>
      </c>
    </row>
    <row r="7687">
      <c r="A7687" s="178" t="str">
        <f>IFERROR(__xludf.DUMMYFUNCTION("""COMPUTED_VALUE"""),"ITBISA-LDR-GL5516")</f>
        <v>ITBISA-LDR-GL5516</v>
      </c>
      <c r="B7687" s="266">
        <f>IFERROR(__xludf.DUMMYFUNCTION("""COMPUTED_VALUE"""),45572.0)</f>
        <v>45572</v>
      </c>
      <c r="C7687" s="266" t="str">
        <f>IFERROR(__xludf.DUMMYFUNCTION("""COMPUTED_VALUE"""),"KYAI KONTONG")</f>
        <v>KYAI KONTONG</v>
      </c>
      <c r="D7687" s="186">
        <f>IFERROR(__xludf.DUMMYFUNCTION("""COMPUTED_VALUE"""),10.0)</f>
        <v>10</v>
      </c>
    </row>
    <row r="7688">
      <c r="A7688" s="178" t="str">
        <f>IFERROR(__xludf.DUMMYFUNCTION("""COMPUTED_VALUE"""),"ITBISA-LDR-GL5516")</f>
        <v>ITBISA-LDR-GL5516</v>
      </c>
      <c r="B7688" s="266">
        <f>IFERROR(__xludf.DUMMYFUNCTION("""COMPUTED_VALUE"""),45594.0)</f>
        <v>45594</v>
      </c>
      <c r="C7688" s="266" t="str">
        <f>IFERROR(__xludf.DUMMYFUNCTION("""COMPUTED_VALUE"""),"KERTASARI CIAMIS")</f>
        <v>KERTASARI CIAMIS</v>
      </c>
      <c r="D7688" s="186">
        <f>IFERROR(__xludf.DUMMYFUNCTION("""COMPUTED_VALUE"""),10.0)</f>
        <v>10</v>
      </c>
    </row>
    <row r="7689">
      <c r="A7689" s="178" t="str">
        <f>IFERROR(__xludf.DUMMYFUNCTION("""COMPUTED_VALUE"""),"ITBISA-LDR-GL5516")</f>
        <v>ITBISA-LDR-GL5516</v>
      </c>
      <c r="B7689" s="266">
        <f>IFERROR(__xludf.DUMMYFUNCTION("""COMPUTED_VALUE"""),45607.0)</f>
        <v>45607</v>
      </c>
      <c r="C7689" s="266" t="str">
        <f>IFERROR(__xludf.DUMMYFUNCTION("""COMPUTED_VALUE"""),"KERTASARI CIAMIS")</f>
        <v>KERTASARI CIAMIS</v>
      </c>
      <c r="D7689" s="186">
        <f>IFERROR(__xludf.DUMMYFUNCTION("""COMPUTED_VALUE"""),2.0)</f>
        <v>2</v>
      </c>
    </row>
    <row r="7690">
      <c r="A7690" s="178" t="str">
        <f>IFERROR(__xludf.DUMMYFUNCTION("""COMPUTED_VALUE"""),"ITBISA-LDR-GL5516")</f>
        <v>ITBISA-LDR-GL5516</v>
      </c>
      <c r="B7690" s="266">
        <f>IFERROR(__xludf.DUMMYFUNCTION("""COMPUTED_VALUE"""),45615.0)</f>
        <v>45615</v>
      </c>
      <c r="C7690" s="266" t="str">
        <f>IFERROR(__xludf.DUMMYFUNCTION("""COMPUTED_VALUE"""),"KYAI KONTONG")</f>
        <v>KYAI KONTONG</v>
      </c>
      <c r="D7690" s="186">
        <f>IFERROR(__xludf.DUMMYFUNCTION("""COMPUTED_VALUE"""),10.0)</f>
        <v>10</v>
      </c>
    </row>
    <row r="7691">
      <c r="A7691" s="178" t="str">
        <f>IFERROR(__xludf.DUMMYFUNCTION("""COMPUTED_VALUE"""),"ITBISA-LDR-GL5516")</f>
        <v>ITBISA-LDR-GL5516</v>
      </c>
      <c r="B7691" s="266">
        <f>IFERROR(__xludf.DUMMYFUNCTION("""COMPUTED_VALUE"""),45623.0)</f>
        <v>45623</v>
      </c>
      <c r="C7691" s="266" t="str">
        <f>IFERROR(__xludf.DUMMYFUNCTION("""COMPUTED_VALUE"""),"KERTASARI CIAMIS")</f>
        <v>KERTASARI CIAMIS</v>
      </c>
      <c r="D7691" s="186">
        <f>IFERROR(__xludf.DUMMYFUNCTION("""COMPUTED_VALUE"""),10.0)</f>
        <v>10</v>
      </c>
    </row>
    <row r="7692">
      <c r="A7692" s="178" t="str">
        <f>IFERROR(__xludf.DUMMYFUNCTION("""COMPUTED_VALUE"""),"ITBISA-LDR-GL5516")</f>
        <v>ITBISA-LDR-GL5516</v>
      </c>
      <c r="B7692" s="266">
        <f>IFERROR(__xludf.DUMMYFUNCTION("""COMPUTED_VALUE"""),45676.0)</f>
        <v>45676</v>
      </c>
      <c r="C7692" s="266" t="str">
        <f>IFERROR(__xludf.DUMMYFUNCTION("""COMPUTED_VALUE"""),"KYAI KONTONG")</f>
        <v>KYAI KONTONG</v>
      </c>
      <c r="D7692" s="186">
        <f>IFERROR(__xludf.DUMMYFUNCTION("""COMPUTED_VALUE"""),30.0)</f>
        <v>30</v>
      </c>
    </row>
    <row r="7693">
      <c r="A7693" s="178" t="str">
        <f>IFERROR(__xludf.DUMMYFUNCTION("""COMPUTED_VALUE"""),"ITBISA-LDR-GL5516")</f>
        <v>ITBISA-LDR-GL5516</v>
      </c>
      <c r="B7693" s="266">
        <f>IFERROR(__xludf.DUMMYFUNCTION("""COMPUTED_VALUE"""),45703.0)</f>
        <v>45703</v>
      </c>
      <c r="C7693" s="266" t="str">
        <f>IFERROR(__xludf.DUMMYFUNCTION("""COMPUTED_VALUE"""),"KYAI KONTONG")</f>
        <v>KYAI KONTONG</v>
      </c>
      <c r="D7693" s="186">
        <f>IFERROR(__xludf.DUMMYFUNCTION("""COMPUTED_VALUE"""),15.0)</f>
        <v>15</v>
      </c>
    </row>
    <row r="7694">
      <c r="A7694" s="178" t="str">
        <f>IFERROR(__xludf.DUMMYFUNCTION("""COMPUTED_VALUE"""),"ITBISA-LDR-GL5516")</f>
        <v>ITBISA-LDR-GL5516</v>
      </c>
      <c r="B7694" s="266">
        <f>IFERROR(__xludf.DUMMYFUNCTION("""COMPUTED_VALUE"""),45704.0)</f>
        <v>45704</v>
      </c>
      <c r="C7694" s="266" t="str">
        <f>IFERROR(__xludf.DUMMYFUNCTION("""COMPUTED_VALUE"""),"KERTASARI CIAMIS")</f>
        <v>KERTASARI CIAMIS</v>
      </c>
      <c r="D7694" s="186">
        <f>IFERROR(__xludf.DUMMYFUNCTION("""COMPUTED_VALUE"""),50.0)</f>
        <v>50</v>
      </c>
    </row>
    <row r="7695">
      <c r="A7695" s="178" t="str">
        <f>IFERROR(__xludf.DUMMYFUNCTION("""COMPUTED_VALUE"""),"ITBISA-LDR-GL5516")</f>
        <v>ITBISA-LDR-GL5516</v>
      </c>
      <c r="B7695" s="266">
        <f>IFERROR(__xludf.DUMMYFUNCTION("""COMPUTED_VALUE"""),45705.0)</f>
        <v>45705</v>
      </c>
      <c r="C7695" s="266" t="str">
        <f>IFERROR(__xludf.DUMMYFUNCTION("""COMPUTED_VALUE"""),"KERTASARI CIAMIS")</f>
        <v>KERTASARI CIAMIS</v>
      </c>
      <c r="D7695" s="186">
        <f>IFERROR(__xludf.DUMMYFUNCTION("""COMPUTED_VALUE"""),0.0)</f>
        <v>0</v>
      </c>
    </row>
    <row r="7696">
      <c r="A7696" s="178" t="str">
        <f>IFERROR(__xludf.DUMMYFUNCTION("""COMPUTED_VALUE"""),"ITBISA-LDR-GL5516")</f>
        <v>ITBISA-LDR-GL5516</v>
      </c>
      <c r="B7696" s="266">
        <f>IFERROR(__xludf.DUMMYFUNCTION("""COMPUTED_VALUE"""),45717.0)</f>
        <v>45717</v>
      </c>
      <c r="C7696" s="266" t="str">
        <f>IFERROR(__xludf.DUMMYFUNCTION("""COMPUTED_VALUE"""),"KERTASARI CIAMIS")</f>
        <v>KERTASARI CIAMIS</v>
      </c>
      <c r="D7696" s="186">
        <f>IFERROR(__xludf.DUMMYFUNCTION("""COMPUTED_VALUE"""),10.0)</f>
        <v>10</v>
      </c>
    </row>
    <row r="7697">
      <c r="A7697" s="178" t="str">
        <f>IFERROR(__xludf.DUMMYFUNCTION("""COMPUTED_VALUE"""),"ITBISA-LDR-GL5516")</f>
        <v>ITBISA-LDR-GL5516</v>
      </c>
      <c r="B7697" s="266">
        <f>IFERROR(__xludf.DUMMYFUNCTION("""COMPUTED_VALUE"""),45751.0)</f>
        <v>45751</v>
      </c>
      <c r="C7697" s="266" t="str">
        <f>IFERROR(__xludf.DUMMYFUNCTION("""COMPUTED_VALUE"""),"KERTASARI CIAMIS")</f>
        <v>KERTASARI CIAMIS</v>
      </c>
      <c r="D7697" s="186">
        <f>IFERROR(__xludf.DUMMYFUNCTION("""COMPUTED_VALUE"""),2.0)</f>
        <v>2</v>
      </c>
    </row>
    <row r="7698">
      <c r="A7698" s="178" t="str">
        <f>IFERROR(__xludf.DUMMYFUNCTION("""COMPUTED_VALUE"""),"ITBISA-LDR-GL5516")</f>
        <v>ITBISA-LDR-GL5516</v>
      </c>
      <c r="B7698" s="266">
        <f>IFERROR(__xludf.DUMMYFUNCTION("""COMPUTED_VALUE"""),45792.0)</f>
        <v>45792</v>
      </c>
      <c r="C7698" s="266" t="str">
        <f>IFERROR(__xludf.DUMMYFUNCTION("""COMPUTED_VALUE"""),"KERTASARI CIAMIS")</f>
        <v>KERTASARI CIAMIS</v>
      </c>
      <c r="D7698" s="186">
        <f>IFERROR(__xludf.DUMMYFUNCTION("""COMPUTED_VALUE"""),5.0)</f>
        <v>5</v>
      </c>
    </row>
    <row r="7699">
      <c r="A7699" s="178" t="str">
        <f>IFERROR(__xludf.DUMMYFUNCTION("""COMPUTED_VALUE"""),"ITBISA-LDR-GL5516")</f>
        <v>ITBISA-LDR-GL5516</v>
      </c>
      <c r="B7699" s="266">
        <f>IFERROR(__xludf.DUMMYFUNCTION("""COMPUTED_VALUE"""),45814.0)</f>
        <v>45814</v>
      </c>
      <c r="C7699" s="266" t="str">
        <f>IFERROR(__xludf.DUMMYFUNCTION("""COMPUTED_VALUE"""),"KYAI KONTONG")</f>
        <v>KYAI KONTONG</v>
      </c>
      <c r="D7699" s="186">
        <f>IFERROR(__xludf.DUMMYFUNCTION("""COMPUTED_VALUE"""),10.0)</f>
        <v>10</v>
      </c>
    </row>
    <row r="7700">
      <c r="A7700" s="178" t="str">
        <f>IFERROR(__xludf.DUMMYFUNCTION("""COMPUTED_VALUE"""),"ITBISA-LDR-GL5516")</f>
        <v>ITBISA-LDR-GL5516</v>
      </c>
      <c r="B7700" s="266">
        <f>IFERROR(__xludf.DUMMYFUNCTION("""COMPUTED_VALUE"""),45825.0)</f>
        <v>45825</v>
      </c>
      <c r="C7700" s="266" t="str">
        <f>IFERROR(__xludf.DUMMYFUNCTION("""COMPUTED_VALUE"""),"KYAI KONTONG")</f>
        <v>KYAI KONTONG</v>
      </c>
      <c r="D7700" s="186">
        <f>IFERROR(__xludf.DUMMYFUNCTION("""COMPUTED_VALUE"""),100.0)</f>
        <v>100</v>
      </c>
    </row>
    <row r="7701">
      <c r="A7701" s="178" t="str">
        <f>IFERROR(__xludf.DUMMYFUNCTION("""COMPUTED_VALUE"""),"ITBISA-LDR-GL5516")</f>
        <v>ITBISA-LDR-GL5516</v>
      </c>
      <c r="B7701" s="266">
        <f>IFERROR(__xludf.DUMMYFUNCTION("""COMPUTED_VALUE"""),45830.0)</f>
        <v>45830</v>
      </c>
      <c r="C7701" s="266" t="str">
        <f>IFERROR(__xludf.DUMMYFUNCTION("""COMPUTED_VALUE"""),"KYAI KONTONG")</f>
        <v>KYAI KONTONG</v>
      </c>
      <c r="D7701" s="186">
        <f>IFERROR(__xludf.DUMMYFUNCTION("""COMPUTED_VALUE"""),100.0)</f>
        <v>100</v>
      </c>
    </row>
    <row r="7702">
      <c r="A7702" s="178" t="str">
        <f>IFERROR(__xludf.DUMMYFUNCTION("""COMPUTED_VALUE"""),"ITBISA-LDR-GL5516")</f>
        <v>ITBISA-LDR-GL5516</v>
      </c>
      <c r="B7702" s="266">
        <f>IFERROR(__xludf.DUMMYFUNCTION("""COMPUTED_VALUE"""),45856.0)</f>
        <v>45856</v>
      </c>
      <c r="C7702" s="266" t="str">
        <f>IFERROR(__xludf.DUMMYFUNCTION("""COMPUTED_VALUE"""),"KYAI KONTONG")</f>
        <v>KYAI KONTONG</v>
      </c>
      <c r="D7702" s="186">
        <f>IFERROR(__xludf.DUMMYFUNCTION("""COMPUTED_VALUE"""),13.0)</f>
        <v>13</v>
      </c>
    </row>
    <row r="7703">
      <c r="A7703" s="178" t="str">
        <f>IFERROR(__xludf.DUMMYFUNCTION("""COMPUTED_VALUE"""),"ITBISA-LDR-GL5516")</f>
        <v>ITBISA-LDR-GL5516</v>
      </c>
      <c r="B7703" s="266">
        <f>IFERROR(__xludf.DUMMYFUNCTION("""COMPUTED_VALUE"""),45877.0)</f>
        <v>45877</v>
      </c>
      <c r="C7703" s="266" t="str">
        <f>IFERROR(__xludf.DUMMYFUNCTION("""COMPUTED_VALUE"""),"KYAI KONTONG")</f>
        <v>KYAI KONTONG</v>
      </c>
      <c r="D7703" s="186">
        <f>IFERROR(__xludf.DUMMYFUNCTION("""COMPUTED_VALUE"""),10.0)</f>
        <v>10</v>
      </c>
    </row>
    <row r="7704">
      <c r="A7704" s="178" t="str">
        <f>IFERROR(__xludf.DUMMYFUNCTION("""COMPUTED_VALUE"""),"ITBISA-LDR-GL5516")</f>
        <v>ITBISA-LDR-GL5516</v>
      </c>
      <c r="B7704" s="266">
        <f>IFERROR(__xludf.DUMMYFUNCTION("""COMPUTED_VALUE"""),45935.0)</f>
        <v>45935</v>
      </c>
      <c r="C7704" s="266" t="str">
        <f>IFERROR(__xludf.DUMMYFUNCTION("""COMPUTED_VALUE"""),"KYAI KONTONG")</f>
        <v>KYAI KONTONG</v>
      </c>
      <c r="D7704" s="186">
        <f>IFERROR(__xludf.DUMMYFUNCTION("""COMPUTED_VALUE"""),10.0)</f>
        <v>10</v>
      </c>
    </row>
    <row r="7705">
      <c r="A7705" s="178" t="str">
        <f>IFERROR(__xludf.DUMMYFUNCTION("""COMPUTED_VALUE"""),"ITBISA-LDR-GL5516")</f>
        <v>ITBISA-LDR-GL5516</v>
      </c>
      <c r="B7705" s="266">
        <f>IFERROR(__xludf.DUMMYFUNCTION("""COMPUTED_VALUE"""),45952.0)</f>
        <v>45952</v>
      </c>
      <c r="C7705" s="266" t="str">
        <f>IFERROR(__xludf.DUMMYFUNCTION("""COMPUTED_VALUE"""),"KYAI KONTONG")</f>
        <v>KYAI KONTONG</v>
      </c>
      <c r="D7705" s="186">
        <f>IFERROR(__xludf.DUMMYFUNCTION("""COMPUTED_VALUE"""),5.0)</f>
        <v>5</v>
      </c>
    </row>
    <row r="7706">
      <c r="A7706" s="178" t="str">
        <f>IFERROR(__xludf.DUMMYFUNCTION("""COMPUTED_VALUE"""),"ITBISA-LDR-GL5516")</f>
        <v>ITBISA-LDR-GL5516</v>
      </c>
      <c r="B7706" s="266">
        <f>IFERROR(__xludf.DUMMYFUNCTION("""COMPUTED_VALUE"""),45953.0)</f>
        <v>45953</v>
      </c>
      <c r="C7706" s="266" t="str">
        <f>IFERROR(__xludf.DUMMYFUNCTION("""COMPUTED_VALUE"""),"KYAI KONTONG")</f>
        <v>KYAI KONTONG</v>
      </c>
      <c r="D7706" s="186">
        <f>IFERROR(__xludf.DUMMYFUNCTION("""COMPUTED_VALUE"""),5.0)</f>
        <v>5</v>
      </c>
    </row>
    <row r="7707">
      <c r="A7707" s="178" t="str">
        <f>IFERROR(__xludf.DUMMYFUNCTION("""COMPUTED_VALUE"""),"ITBISA-LDR-GL5516")</f>
        <v>ITBISA-LDR-GL5516</v>
      </c>
      <c r="B7707" s="266">
        <f>IFERROR(__xludf.DUMMYFUNCTION("""COMPUTED_VALUE"""),45955.0)</f>
        <v>45955</v>
      </c>
      <c r="C7707" s="266" t="str">
        <f>IFERROR(__xludf.DUMMYFUNCTION("""COMPUTED_VALUE"""),"KYAI KONTONG")</f>
        <v>KYAI KONTONG</v>
      </c>
      <c r="D7707" s="186">
        <f>IFERROR(__xludf.DUMMYFUNCTION("""COMPUTED_VALUE"""),5.0)</f>
        <v>5</v>
      </c>
    </row>
    <row r="7708">
      <c r="A7708" s="178" t="str">
        <f>IFERROR(__xludf.DUMMYFUNCTION("""COMPUTED_VALUE"""),"ITBISA-LDR-GL5516")</f>
        <v>ITBISA-LDR-GL5516</v>
      </c>
      <c r="B7708" s="266">
        <f>IFERROR(__xludf.DUMMYFUNCTION("""COMPUTED_VALUE"""),45957.0)</f>
        <v>45957</v>
      </c>
      <c r="C7708" s="266" t="str">
        <f>IFERROR(__xludf.DUMMYFUNCTION("""COMPUTED_VALUE"""),"KYAI KONTONG")</f>
        <v>KYAI KONTONG</v>
      </c>
      <c r="D7708" s="186">
        <f>IFERROR(__xludf.DUMMYFUNCTION("""COMPUTED_VALUE"""),5.0)</f>
        <v>5</v>
      </c>
    </row>
    <row r="7709">
      <c r="A7709" s="178" t="str">
        <f>IFERROR(__xludf.DUMMYFUNCTION("""COMPUTED_VALUE"""),"ITBISA-LDR-GL5516")</f>
        <v>ITBISA-LDR-GL5516</v>
      </c>
      <c r="B7709" s="266">
        <f>IFERROR(__xludf.DUMMYFUNCTION("""COMPUTED_VALUE"""),45957.0)</f>
        <v>45957</v>
      </c>
      <c r="C7709" s="266" t="str">
        <f>IFERROR(__xludf.DUMMYFUNCTION("""COMPUTED_VALUE"""),"KYAI KONTONG")</f>
        <v>KYAI KONTONG</v>
      </c>
      <c r="D7709" s="186">
        <f>IFERROR(__xludf.DUMMYFUNCTION("""COMPUTED_VALUE"""),10.0)</f>
        <v>10</v>
      </c>
    </row>
    <row r="7710">
      <c r="A7710" s="178" t="str">
        <f>IFERROR(__xludf.DUMMYFUNCTION("""COMPUTED_VALUE"""),"ITBISA-LDR-GL5516")</f>
        <v>ITBISA-LDR-GL5516</v>
      </c>
      <c r="B7710" s="266">
        <f>IFERROR(__xludf.DUMMYFUNCTION("""COMPUTED_VALUE"""),45957.0)</f>
        <v>45957</v>
      </c>
      <c r="C7710" s="266" t="str">
        <f>IFERROR(__xludf.DUMMYFUNCTION("""COMPUTED_VALUE"""),"KYAI KONTONG")</f>
        <v>KYAI KONTONG</v>
      </c>
      <c r="D7710" s="186">
        <f>IFERROR(__xludf.DUMMYFUNCTION("""COMPUTED_VALUE"""),20.0)</f>
        <v>20</v>
      </c>
    </row>
    <row r="7711">
      <c r="A7711" s="178" t="str">
        <f>IFERROR(__xludf.DUMMYFUNCTION("""COMPUTED_VALUE"""),"ITBISA-LDR-GL5516")</f>
        <v>ITBISA-LDR-GL5516</v>
      </c>
      <c r="B7711" s="266">
        <f>IFERROR(__xludf.DUMMYFUNCTION("""COMPUTED_VALUE"""),45960.0)</f>
        <v>45960</v>
      </c>
      <c r="C7711" s="266" t="str">
        <f>IFERROR(__xludf.DUMMYFUNCTION("""COMPUTED_VALUE"""),"KYAI KONTONG")</f>
        <v>KYAI KONTONG</v>
      </c>
      <c r="D7711" s="186">
        <f>IFERROR(__xludf.DUMMYFUNCTION("""COMPUTED_VALUE"""),10.0)</f>
        <v>10</v>
      </c>
    </row>
    <row r="7712">
      <c r="A7712" s="178" t="str">
        <f>IFERROR(__xludf.DUMMYFUNCTION("""COMPUTED_VALUE"""),"ITBISA-LDR-GL5516")</f>
        <v>ITBISA-LDR-GL5516</v>
      </c>
      <c r="B7712" s="266">
        <f>IFERROR(__xludf.DUMMYFUNCTION("""COMPUTED_VALUE"""),45960.0)</f>
        <v>45960</v>
      </c>
      <c r="C7712" s="266" t="str">
        <f>IFERROR(__xludf.DUMMYFUNCTION("""COMPUTED_VALUE"""),"KYAI KONTONG")</f>
        <v>KYAI KONTONG</v>
      </c>
      <c r="D7712" s="186">
        <f>IFERROR(__xludf.DUMMYFUNCTION("""COMPUTED_VALUE"""),20.0)</f>
        <v>20</v>
      </c>
    </row>
    <row r="7713">
      <c r="A7713" s="178" t="str">
        <f>IFERROR(__xludf.DUMMYFUNCTION("""COMPUTED_VALUE"""),"ITBISA-LDR-GL5516")</f>
        <v>ITBISA-LDR-GL5516</v>
      </c>
      <c r="B7713" s="266">
        <f>IFERROR(__xludf.DUMMYFUNCTION("""COMPUTED_VALUE"""),45961.0)</f>
        <v>45961</v>
      </c>
      <c r="C7713" s="266" t="str">
        <f>IFERROR(__xludf.DUMMYFUNCTION("""COMPUTED_VALUE"""),"KYAI KONTONG")</f>
        <v>KYAI KONTONG</v>
      </c>
      <c r="D7713" s="186">
        <f>IFERROR(__xludf.DUMMYFUNCTION("""COMPUTED_VALUE"""),5.0)</f>
        <v>5</v>
      </c>
    </row>
    <row r="7714">
      <c r="A7714" s="178" t="str">
        <f>IFERROR(__xludf.DUMMYFUNCTION("""COMPUTED_VALUE"""),"ITBISA-LDR-GL5516")</f>
        <v>ITBISA-LDR-GL5516</v>
      </c>
      <c r="B7714" s="266">
        <f>IFERROR(__xludf.DUMMYFUNCTION("""COMPUTED_VALUE"""),45961.0)</f>
        <v>45961</v>
      </c>
      <c r="C7714" s="266" t="str">
        <f>IFERROR(__xludf.DUMMYFUNCTION("""COMPUTED_VALUE"""),"KYAI KONTONG")</f>
        <v>KYAI KONTONG</v>
      </c>
      <c r="D7714" s="186">
        <f>IFERROR(__xludf.DUMMYFUNCTION("""COMPUTED_VALUE"""),5.0)</f>
        <v>5</v>
      </c>
    </row>
    <row r="7715">
      <c r="A7715" s="178" t="str">
        <f>IFERROR(__xludf.DUMMYFUNCTION("""COMPUTED_VALUE"""),"ITBISA-LDR-GL5516")</f>
        <v>ITBISA-LDR-GL5516</v>
      </c>
      <c r="B7715" s="266">
        <f>IFERROR(__xludf.DUMMYFUNCTION("""COMPUTED_VALUE"""),45961.0)</f>
        <v>45961</v>
      </c>
      <c r="C7715" s="266" t="str">
        <f>IFERROR(__xludf.DUMMYFUNCTION("""COMPUTED_VALUE"""),"KYAI KONTONG")</f>
        <v>KYAI KONTONG</v>
      </c>
      <c r="D7715" s="186">
        <f>IFERROR(__xludf.DUMMYFUNCTION("""COMPUTED_VALUE"""),5.0)</f>
        <v>5</v>
      </c>
    </row>
    <row r="7716">
      <c r="A7716" s="178" t="str">
        <f>IFERROR(__xludf.DUMMYFUNCTION("""COMPUTED_VALUE"""),"ITBISA-LDR-GL5516")</f>
        <v>ITBISA-LDR-GL5516</v>
      </c>
      <c r="B7716" s="266">
        <f>IFERROR(__xludf.DUMMYFUNCTION("""COMPUTED_VALUE"""),45962.0)</f>
        <v>45962</v>
      </c>
      <c r="C7716" s="266" t="str">
        <f>IFERROR(__xludf.DUMMYFUNCTION("""COMPUTED_VALUE"""),"KYAI KONTONG")</f>
        <v>KYAI KONTONG</v>
      </c>
      <c r="D7716" s="186">
        <f>IFERROR(__xludf.DUMMYFUNCTION("""COMPUTED_VALUE"""),5.0)</f>
        <v>5</v>
      </c>
    </row>
    <row r="7717">
      <c r="A7717" s="178" t="str">
        <f>IFERROR(__xludf.DUMMYFUNCTION("""COMPUTED_VALUE"""),"ITBISA-LDR-GL5516")</f>
        <v>ITBISA-LDR-GL5516</v>
      </c>
      <c r="B7717" s="266">
        <f>IFERROR(__xludf.DUMMYFUNCTION("""COMPUTED_VALUE"""),45962.0)</f>
        <v>45962</v>
      </c>
      <c r="C7717" s="266" t="str">
        <f>IFERROR(__xludf.DUMMYFUNCTION("""COMPUTED_VALUE"""),"KYAI KONTONG")</f>
        <v>KYAI KONTONG</v>
      </c>
      <c r="D7717" s="186">
        <f>IFERROR(__xludf.DUMMYFUNCTION("""COMPUTED_VALUE"""),5.0)</f>
        <v>5</v>
      </c>
    </row>
    <row r="7718">
      <c r="A7718" s="178" t="str">
        <f>IFERROR(__xludf.DUMMYFUNCTION("""COMPUTED_VALUE"""),"ITBISA-LDR-GL5516")</f>
        <v>ITBISA-LDR-GL5516</v>
      </c>
      <c r="B7718" s="266">
        <f>IFERROR(__xludf.DUMMYFUNCTION("""COMPUTED_VALUE"""),45963.0)</f>
        <v>45963</v>
      </c>
      <c r="C7718" s="266" t="str">
        <f>IFERROR(__xludf.DUMMYFUNCTION("""COMPUTED_VALUE"""),"KYAI KONTONG")</f>
        <v>KYAI KONTONG</v>
      </c>
      <c r="D7718" s="186">
        <f>IFERROR(__xludf.DUMMYFUNCTION("""COMPUTED_VALUE"""),10.0)</f>
        <v>10</v>
      </c>
    </row>
    <row r="7719">
      <c r="A7719" s="178" t="str">
        <f>IFERROR(__xludf.DUMMYFUNCTION("""COMPUTED_VALUE"""),"ITBISA-LDR-GL5516")</f>
        <v>ITBISA-LDR-GL5516</v>
      </c>
      <c r="B7719" s="266">
        <f>IFERROR(__xludf.DUMMYFUNCTION("""COMPUTED_VALUE"""),45965.0)</f>
        <v>45965</v>
      </c>
      <c r="C7719" s="266" t="str">
        <f>IFERROR(__xludf.DUMMYFUNCTION("""COMPUTED_VALUE"""),"KYAI KONTONG")</f>
        <v>KYAI KONTONG</v>
      </c>
      <c r="D7719" s="186">
        <f>IFERROR(__xludf.DUMMYFUNCTION("""COMPUTED_VALUE"""),5.0)</f>
        <v>5</v>
      </c>
    </row>
    <row r="7720">
      <c r="A7720" s="178" t="str">
        <f>IFERROR(__xludf.DUMMYFUNCTION("""COMPUTED_VALUE"""),"ITBISA-LDR-GL5516")</f>
        <v>ITBISA-LDR-GL5516</v>
      </c>
      <c r="B7720" s="266">
        <f>IFERROR(__xludf.DUMMYFUNCTION("""COMPUTED_VALUE"""),45966.0)</f>
        <v>45966</v>
      </c>
      <c r="C7720" s="266" t="str">
        <f>IFERROR(__xludf.DUMMYFUNCTION("""COMPUTED_VALUE"""),"KYAI KONTONG")</f>
        <v>KYAI KONTONG</v>
      </c>
      <c r="D7720" s="186">
        <f>IFERROR(__xludf.DUMMYFUNCTION("""COMPUTED_VALUE"""),10.0)</f>
        <v>10</v>
      </c>
    </row>
    <row r="7721">
      <c r="A7721" s="178" t="str">
        <f>IFERROR(__xludf.DUMMYFUNCTION("""COMPUTED_VALUE"""),"ITBISA-LDR-GL5516")</f>
        <v>ITBISA-LDR-GL5516</v>
      </c>
      <c r="B7721" s="266">
        <f>IFERROR(__xludf.DUMMYFUNCTION("""COMPUTED_VALUE"""),45968.0)</f>
        <v>45968</v>
      </c>
      <c r="C7721" s="266" t="str">
        <f>IFERROR(__xludf.DUMMYFUNCTION("""COMPUTED_VALUE"""),"KERTASARI CIAMIS")</f>
        <v>KERTASARI CIAMIS</v>
      </c>
      <c r="D7721" s="186">
        <f>IFERROR(__xludf.DUMMYFUNCTION("""COMPUTED_VALUE"""),15.0)</f>
        <v>15</v>
      </c>
    </row>
    <row r="7722">
      <c r="A7722" s="178" t="str">
        <f>IFERROR(__xludf.DUMMYFUNCTION("""COMPUTED_VALUE"""),"ITBISA-LDR-GL5516")</f>
        <v>ITBISA-LDR-GL5516</v>
      </c>
      <c r="B7722" s="266">
        <f>IFERROR(__xludf.DUMMYFUNCTION("""COMPUTED_VALUE"""),45968.0)</f>
        <v>45968</v>
      </c>
      <c r="C7722" s="266" t="str">
        <f>IFERROR(__xludf.DUMMYFUNCTION("""COMPUTED_VALUE"""),"KERTASARI CIAMIS")</f>
        <v>KERTASARI CIAMIS</v>
      </c>
      <c r="D7722" s="186">
        <f>IFERROR(__xludf.DUMMYFUNCTION("""COMPUTED_VALUE"""),100.0)</f>
        <v>100</v>
      </c>
    </row>
    <row r="7723">
      <c r="A7723" s="178" t="str">
        <f>IFERROR(__xludf.DUMMYFUNCTION("""COMPUTED_VALUE"""),"ITBISA-LDR-GL5516")</f>
        <v>ITBISA-LDR-GL5516</v>
      </c>
      <c r="B7723" s="266">
        <f>IFERROR(__xludf.DUMMYFUNCTION("""COMPUTED_VALUE"""),45968.0)</f>
        <v>45968</v>
      </c>
      <c r="C7723" s="266" t="str">
        <f>IFERROR(__xludf.DUMMYFUNCTION("""COMPUTED_VALUE"""),"KYAI KONTONG")</f>
        <v>KYAI KONTONG</v>
      </c>
      <c r="D7723" s="186">
        <f>IFERROR(__xludf.DUMMYFUNCTION("""COMPUTED_VALUE"""),5.0)</f>
        <v>5</v>
      </c>
    </row>
    <row r="7724">
      <c r="A7724" s="178" t="str">
        <f>IFERROR(__xludf.DUMMYFUNCTION("""COMPUTED_VALUE"""),"ITBISA-LDR-GL5516")</f>
        <v>ITBISA-LDR-GL5516</v>
      </c>
      <c r="B7724" s="266">
        <f>IFERROR(__xludf.DUMMYFUNCTION("""COMPUTED_VALUE"""),45969.0)</f>
        <v>45969</v>
      </c>
      <c r="C7724" s="266" t="str">
        <f>IFERROR(__xludf.DUMMYFUNCTION("""COMPUTED_VALUE"""),"KYAI KONTONG")</f>
        <v>KYAI KONTONG</v>
      </c>
      <c r="D7724" s="186">
        <f>IFERROR(__xludf.DUMMYFUNCTION("""COMPUTED_VALUE"""),5.0)</f>
        <v>5</v>
      </c>
    </row>
    <row r="7725">
      <c r="A7725" s="178" t="str">
        <f>IFERROR(__xludf.DUMMYFUNCTION("""COMPUTED_VALUE"""),"ITBISA-LDR-GL5516")</f>
        <v>ITBISA-LDR-GL5516</v>
      </c>
      <c r="B7725" s="266">
        <f>IFERROR(__xludf.DUMMYFUNCTION("""COMPUTED_VALUE"""),45975.0)</f>
        <v>45975</v>
      </c>
      <c r="C7725" s="266" t="str">
        <f>IFERROR(__xludf.DUMMYFUNCTION("""COMPUTED_VALUE"""),"KYAI KONTONG")</f>
        <v>KYAI KONTONG</v>
      </c>
      <c r="D7725" s="186">
        <f>IFERROR(__xludf.DUMMYFUNCTION("""COMPUTED_VALUE"""),12.0)</f>
        <v>12</v>
      </c>
    </row>
    <row r="7726">
      <c r="A7726" s="178" t="str">
        <f>IFERROR(__xludf.DUMMYFUNCTION("""COMPUTED_VALUE"""),"ITBISA-LDR-GL5516")</f>
        <v>ITBISA-LDR-GL5516</v>
      </c>
      <c r="B7726" s="266">
        <f>IFERROR(__xludf.DUMMYFUNCTION("""COMPUTED_VALUE"""),45976.0)</f>
        <v>45976</v>
      </c>
      <c r="C7726" s="266" t="str">
        <f>IFERROR(__xludf.DUMMYFUNCTION("""COMPUTED_VALUE"""),"KYAI KONTONG")</f>
        <v>KYAI KONTONG</v>
      </c>
      <c r="D7726" s="186">
        <f>IFERROR(__xludf.DUMMYFUNCTION("""COMPUTED_VALUE"""),5.0)</f>
        <v>5</v>
      </c>
    </row>
    <row r="7727">
      <c r="A7727" s="178" t="str">
        <f>IFERROR(__xludf.DUMMYFUNCTION("""COMPUTED_VALUE"""),"ITBISA-LDR-GL5516")</f>
        <v>ITBISA-LDR-GL5516</v>
      </c>
      <c r="B7727" s="266">
        <f>IFERROR(__xludf.DUMMYFUNCTION("""COMPUTED_VALUE"""),45976.0)</f>
        <v>45976</v>
      </c>
      <c r="C7727" s="266" t="str">
        <f>IFERROR(__xludf.DUMMYFUNCTION("""COMPUTED_VALUE"""),"KYAI KONTONG")</f>
        <v>KYAI KONTONG</v>
      </c>
      <c r="D7727" s="186">
        <f>IFERROR(__xludf.DUMMYFUNCTION("""COMPUTED_VALUE"""),5.0)</f>
        <v>5</v>
      </c>
    </row>
    <row r="7728">
      <c r="A7728" s="178" t="str">
        <f>IFERROR(__xludf.DUMMYFUNCTION("""COMPUTED_VALUE"""),"ITBISA-LDR-GL5516")</f>
        <v>ITBISA-LDR-GL5516</v>
      </c>
      <c r="B7728" s="266">
        <f>IFERROR(__xludf.DUMMYFUNCTION("""COMPUTED_VALUE"""),45976.0)</f>
        <v>45976</v>
      </c>
      <c r="C7728" s="266" t="str">
        <f>IFERROR(__xludf.DUMMYFUNCTION("""COMPUTED_VALUE"""),"KYAI KONTONG")</f>
        <v>KYAI KONTONG</v>
      </c>
      <c r="D7728" s="186">
        <f>IFERROR(__xludf.DUMMYFUNCTION("""COMPUTED_VALUE"""),6.0)</f>
        <v>6</v>
      </c>
    </row>
    <row r="7729">
      <c r="A7729" s="178" t="str">
        <f>IFERROR(__xludf.DUMMYFUNCTION("""COMPUTED_VALUE"""),"ITBISA-LDR-GL5516")</f>
        <v>ITBISA-LDR-GL5516</v>
      </c>
      <c r="B7729" s="266">
        <f>IFERROR(__xludf.DUMMYFUNCTION("""COMPUTED_VALUE"""),45977.0)</f>
        <v>45977</v>
      </c>
      <c r="C7729" s="266" t="str">
        <f>IFERROR(__xludf.DUMMYFUNCTION("""COMPUTED_VALUE"""),"KYAI KONTONG")</f>
        <v>KYAI KONTONG</v>
      </c>
      <c r="D7729" s="186">
        <f>IFERROR(__xludf.DUMMYFUNCTION("""COMPUTED_VALUE"""),5.0)</f>
        <v>5</v>
      </c>
    </row>
    <row r="7730">
      <c r="A7730" s="178" t="str">
        <f>IFERROR(__xludf.DUMMYFUNCTION("""COMPUTED_VALUE"""),"ITBISA-LDR-GL5516")</f>
        <v>ITBISA-LDR-GL5516</v>
      </c>
      <c r="B7730" s="266">
        <f>IFERROR(__xludf.DUMMYFUNCTION("""COMPUTED_VALUE"""),45977.0)</f>
        <v>45977</v>
      </c>
      <c r="C7730" s="266" t="str">
        <f>IFERROR(__xludf.DUMMYFUNCTION("""COMPUTED_VALUE"""),"KYAI KONTONG")</f>
        <v>KYAI KONTONG</v>
      </c>
      <c r="D7730" s="186">
        <f>IFERROR(__xludf.DUMMYFUNCTION("""COMPUTED_VALUE"""),5.0)</f>
        <v>5</v>
      </c>
    </row>
    <row r="7731">
      <c r="A7731" s="178" t="str">
        <f>IFERROR(__xludf.DUMMYFUNCTION("""COMPUTED_VALUE"""),"ITBISA-LDR-GL5516")</f>
        <v>ITBISA-LDR-GL5516</v>
      </c>
      <c r="B7731" s="266">
        <f>IFERROR(__xludf.DUMMYFUNCTION("""COMPUTED_VALUE"""),45978.0)</f>
        <v>45978</v>
      </c>
      <c r="C7731" s="266" t="str">
        <f>IFERROR(__xludf.DUMMYFUNCTION("""COMPUTED_VALUE"""),"KERTASARI CIAMIS")</f>
        <v>KERTASARI CIAMIS</v>
      </c>
      <c r="D7731" s="186">
        <f>IFERROR(__xludf.DUMMYFUNCTION("""COMPUTED_VALUE"""),20.0)</f>
        <v>20</v>
      </c>
    </row>
    <row r="7732">
      <c r="A7732" s="178" t="str">
        <f>IFERROR(__xludf.DUMMYFUNCTION("""COMPUTED_VALUE"""),"ITBISA-LDR-GL5516")</f>
        <v>ITBISA-LDR-GL5516</v>
      </c>
      <c r="B7732" s="266">
        <f>IFERROR(__xludf.DUMMYFUNCTION("""COMPUTED_VALUE"""),45978.0)</f>
        <v>45978</v>
      </c>
      <c r="C7732" s="266" t="str">
        <f>IFERROR(__xludf.DUMMYFUNCTION("""COMPUTED_VALUE"""),"KYAI KONTONG")</f>
        <v>KYAI KONTONG</v>
      </c>
      <c r="D7732" s="186">
        <f>IFERROR(__xludf.DUMMYFUNCTION("""COMPUTED_VALUE"""),5.0)</f>
        <v>5</v>
      </c>
    </row>
    <row r="7733">
      <c r="A7733" s="178" t="str">
        <f>IFERROR(__xludf.DUMMYFUNCTION("""COMPUTED_VALUE"""),"ITBISA-LDR-GL5516")</f>
        <v>ITBISA-LDR-GL5516</v>
      </c>
      <c r="B7733" s="266">
        <f>IFERROR(__xludf.DUMMYFUNCTION("""COMPUTED_VALUE"""),45981.0)</f>
        <v>45981</v>
      </c>
      <c r="C7733" s="266" t="str">
        <f>IFERROR(__xludf.DUMMYFUNCTION("""COMPUTED_VALUE"""),"KERTASARI CIAMIS")</f>
        <v>KERTASARI CIAMIS</v>
      </c>
      <c r="D7733" s="186">
        <f>IFERROR(__xludf.DUMMYFUNCTION("""COMPUTED_VALUE"""),5.0)</f>
        <v>5</v>
      </c>
    </row>
    <row r="7734">
      <c r="A7734" s="178" t="str">
        <f>IFERROR(__xludf.DUMMYFUNCTION("""COMPUTED_VALUE"""),"ITBISA-LDR-GL5516")</f>
        <v>ITBISA-LDR-GL5516</v>
      </c>
      <c r="B7734" s="266">
        <f>IFERROR(__xludf.DUMMYFUNCTION("""COMPUTED_VALUE"""),45988.0)</f>
        <v>45988</v>
      </c>
      <c r="C7734" s="266" t="str">
        <f>IFERROR(__xludf.DUMMYFUNCTION("""COMPUTED_VALUE"""),"KERTASARI CIAMIS")</f>
        <v>KERTASARI CIAMIS</v>
      </c>
      <c r="D7734" s="186">
        <f>IFERROR(__xludf.DUMMYFUNCTION("""COMPUTED_VALUE"""),19.0)</f>
        <v>19</v>
      </c>
    </row>
    <row r="7735">
      <c r="A7735" s="178" t="str">
        <f>IFERROR(__xludf.DUMMYFUNCTION("""COMPUTED_VALUE"""),"ITBISA-LDR-GL5516")</f>
        <v>ITBISA-LDR-GL5516</v>
      </c>
      <c r="B7735" s="266">
        <f>IFERROR(__xludf.DUMMYFUNCTION("""COMPUTED_VALUE"""),45988.0)</f>
        <v>45988</v>
      </c>
      <c r="C7735" s="266" t="str">
        <f>IFERROR(__xludf.DUMMYFUNCTION("""COMPUTED_VALUE"""),"KYAI KONTONG")</f>
        <v>KYAI KONTONG</v>
      </c>
      <c r="D7735" s="186">
        <f>IFERROR(__xludf.DUMMYFUNCTION("""COMPUTED_VALUE"""),27.0)</f>
        <v>27</v>
      </c>
    </row>
    <row r="7736">
      <c r="A7736" s="178" t="str">
        <f>IFERROR(__xludf.DUMMYFUNCTION("""COMPUTED_VALUE"""),"ITBISA-LDR-GL5516")</f>
        <v>ITBISA-LDR-GL5516</v>
      </c>
      <c r="B7736" s="266">
        <f>IFERROR(__xludf.DUMMYFUNCTION("""COMPUTED_VALUE"""),45991.0)</f>
        <v>45991</v>
      </c>
      <c r="C7736" s="266" t="str">
        <f>IFERROR(__xludf.DUMMYFUNCTION("""COMPUTED_VALUE"""),"KERTASARI CIAMIS")</f>
        <v>KERTASARI CIAMIS</v>
      </c>
      <c r="D7736" s="186">
        <f>IFERROR(__xludf.DUMMYFUNCTION("""COMPUTED_VALUE"""),19.0)</f>
        <v>19</v>
      </c>
    </row>
    <row r="7737">
      <c r="A7737" s="178" t="str">
        <f>IFERROR(__xludf.DUMMYFUNCTION("""COMPUTED_VALUE"""),"ITBISA-LDR-GL5516")</f>
        <v>ITBISA-LDR-GL5516</v>
      </c>
      <c r="B7737" s="266">
        <f>IFERROR(__xludf.DUMMYFUNCTION("""COMPUTED_VALUE"""),45994.0)</f>
        <v>45994</v>
      </c>
      <c r="C7737" s="266" t="str">
        <f>IFERROR(__xludf.DUMMYFUNCTION("""COMPUTED_VALUE"""),"KERTASARI CIAMIS")</f>
        <v>KERTASARI CIAMIS</v>
      </c>
      <c r="D7737" s="186">
        <f>IFERROR(__xludf.DUMMYFUNCTION("""COMPUTED_VALUE"""),5.0)</f>
        <v>5</v>
      </c>
    </row>
    <row r="7738">
      <c r="A7738" s="178" t="str">
        <f>IFERROR(__xludf.DUMMYFUNCTION("""COMPUTED_VALUE"""),"ITBISA-LDR-GL5516")</f>
        <v>ITBISA-LDR-GL5516</v>
      </c>
      <c r="B7738" s="266">
        <f>IFERROR(__xludf.DUMMYFUNCTION("""COMPUTED_VALUE"""),45995.0)</f>
        <v>45995</v>
      </c>
      <c r="C7738" s="266" t="str">
        <f>IFERROR(__xludf.DUMMYFUNCTION("""COMPUTED_VALUE"""),"KERTASARI CIAMIS")</f>
        <v>KERTASARI CIAMIS</v>
      </c>
      <c r="D7738" s="186">
        <f>IFERROR(__xludf.DUMMYFUNCTION("""COMPUTED_VALUE"""),5.0)</f>
        <v>5</v>
      </c>
    </row>
    <row r="7739">
      <c r="A7739" s="178" t="str">
        <f>IFERROR(__xludf.DUMMYFUNCTION("""COMPUTED_VALUE"""),"ITBISA-LED-MAX7219-4IN1-GAP")</f>
        <v>ITBISA-LED-MAX7219-4IN1-GAP</v>
      </c>
      <c r="B7739" s="266">
        <f>IFERROR(__xludf.DUMMYFUNCTION("""COMPUTED_VALUE"""),45373.0)</f>
        <v>45373</v>
      </c>
      <c r="C7739" s="266" t="str">
        <f>IFERROR(__xludf.DUMMYFUNCTION("""COMPUTED_VALUE"""),"KERTASARI CIAMIS")</f>
        <v>KERTASARI CIAMIS</v>
      </c>
      <c r="D7739" s="186">
        <f>IFERROR(__xludf.DUMMYFUNCTION("""COMPUTED_VALUE"""),2.0)</f>
        <v>2</v>
      </c>
    </row>
    <row r="7740">
      <c r="A7740" s="178" t="str">
        <f>IFERROR(__xludf.DUMMYFUNCTION("""COMPUTED_VALUE"""),"ITBISA-LED-MAX7219-4IN1-GAP")</f>
        <v>ITBISA-LED-MAX7219-4IN1-GAP</v>
      </c>
      <c r="B7740" s="266">
        <f>IFERROR(__xludf.DUMMYFUNCTION("""COMPUTED_VALUE"""),45407.0)</f>
        <v>45407</v>
      </c>
      <c r="C7740" s="266" t="str">
        <f>IFERROR(__xludf.DUMMYFUNCTION("""COMPUTED_VALUE"""),"KERTASARI CIAMIS")</f>
        <v>KERTASARI CIAMIS</v>
      </c>
      <c r="D7740" s="186">
        <f>IFERROR(__xludf.DUMMYFUNCTION("""COMPUTED_VALUE"""),3.0)</f>
        <v>3</v>
      </c>
    </row>
    <row r="7741">
      <c r="A7741" s="178" t="str">
        <f>IFERROR(__xludf.DUMMYFUNCTION("""COMPUTED_VALUE"""),"ITBISA-LED-MAX7219-4IN1-GAP")</f>
        <v>ITBISA-LED-MAX7219-4IN1-GAP</v>
      </c>
      <c r="B7741" s="266">
        <f>IFERROR(__xludf.DUMMYFUNCTION("""COMPUTED_VALUE"""),45505.0)</f>
        <v>45505</v>
      </c>
      <c r="C7741" s="266" t="str">
        <f>IFERROR(__xludf.DUMMYFUNCTION("""COMPUTED_VALUE"""),"KYAI KONTONG")</f>
        <v>KYAI KONTONG</v>
      </c>
      <c r="D7741" s="186">
        <f>IFERROR(__xludf.DUMMYFUNCTION("""COMPUTED_VALUE"""),1.0)</f>
        <v>1</v>
      </c>
    </row>
    <row r="7742">
      <c r="A7742" s="178" t="str">
        <f>IFERROR(__xludf.DUMMYFUNCTION("""COMPUTED_VALUE"""),"ITBISA-LED-MAX7219-4IN1-TIGHT")</f>
        <v>ITBISA-LED-MAX7219-4IN1-TIGHT</v>
      </c>
      <c r="B7742" s="266">
        <f>IFERROR(__xludf.DUMMYFUNCTION("""COMPUTED_VALUE"""),45374.0)</f>
        <v>45374</v>
      </c>
      <c r="C7742" s="266" t="str">
        <f>IFERROR(__xludf.DUMMYFUNCTION("""COMPUTED_VALUE"""),"KYAI KONTONG")</f>
        <v>KYAI KONTONG</v>
      </c>
      <c r="D7742" s="186">
        <f>IFERROR(__xludf.DUMMYFUNCTION("""COMPUTED_VALUE"""),1.0)</f>
        <v>1</v>
      </c>
    </row>
    <row r="7743">
      <c r="A7743" s="178" t="str">
        <f>IFERROR(__xludf.DUMMYFUNCTION("""COMPUTED_VALUE"""),"ITBISA-LED-MAX7219-4IN1-TIGHT")</f>
        <v>ITBISA-LED-MAX7219-4IN1-TIGHT</v>
      </c>
      <c r="B7743" s="266">
        <f>IFERROR(__xludf.DUMMYFUNCTION("""COMPUTED_VALUE"""),45398.0)</f>
        <v>45398</v>
      </c>
      <c r="C7743" s="266" t="str">
        <f>IFERROR(__xludf.DUMMYFUNCTION("""COMPUTED_VALUE"""),"KERTASARI CIAMIS")</f>
        <v>KERTASARI CIAMIS</v>
      </c>
      <c r="D7743" s="186">
        <f>IFERROR(__xludf.DUMMYFUNCTION("""COMPUTED_VALUE"""),14.0)</f>
        <v>14</v>
      </c>
    </row>
    <row r="7744">
      <c r="A7744" s="178" t="str">
        <f>IFERROR(__xludf.DUMMYFUNCTION("""COMPUTED_VALUE"""),"ITBISA-LED-MAX7219-4IN1-TIGHT")</f>
        <v>ITBISA-LED-MAX7219-4IN1-TIGHT</v>
      </c>
      <c r="B7744" s="266">
        <f>IFERROR(__xludf.DUMMYFUNCTION("""COMPUTED_VALUE"""),45406.0)</f>
        <v>45406</v>
      </c>
      <c r="C7744" s="266" t="str">
        <f>IFERROR(__xludf.DUMMYFUNCTION("""COMPUTED_VALUE"""),"KYAI KONTONG")</f>
        <v>KYAI KONTONG</v>
      </c>
      <c r="D7744" s="186">
        <f>IFERROR(__xludf.DUMMYFUNCTION("""COMPUTED_VALUE"""),1.0)</f>
        <v>1</v>
      </c>
    </row>
    <row r="7745">
      <c r="A7745" s="178" t="str">
        <f>IFERROR(__xludf.DUMMYFUNCTION("""COMPUTED_VALUE"""),"ITBISA-LED-MAX7219-4IN1-TIGHT")</f>
        <v>ITBISA-LED-MAX7219-4IN1-TIGHT</v>
      </c>
      <c r="B7745" s="266">
        <f>IFERROR(__xludf.DUMMYFUNCTION("""COMPUTED_VALUE"""),45410.0)</f>
        <v>45410</v>
      </c>
      <c r="C7745" s="266" t="str">
        <f>IFERROR(__xludf.DUMMYFUNCTION("""COMPUTED_VALUE"""),"KERTASARI CIAMIS")</f>
        <v>KERTASARI CIAMIS</v>
      </c>
      <c r="D7745" s="186">
        <f>IFERROR(__xludf.DUMMYFUNCTION("""COMPUTED_VALUE"""),3.0)</f>
        <v>3</v>
      </c>
    </row>
    <row r="7746">
      <c r="A7746" s="178" t="str">
        <f>IFERROR(__xludf.DUMMYFUNCTION("""COMPUTED_VALUE"""),"ITBISA-LED-MAX7219-4IN1-TIGHT")</f>
        <v>ITBISA-LED-MAX7219-4IN1-TIGHT</v>
      </c>
      <c r="B7746" s="266">
        <f>IFERROR(__xludf.DUMMYFUNCTION("""COMPUTED_VALUE"""),45450.0)</f>
        <v>45450</v>
      </c>
      <c r="C7746" s="266" t="str">
        <f>IFERROR(__xludf.DUMMYFUNCTION("""COMPUTED_VALUE"""),"KERTASARI CIAMIS")</f>
        <v>KERTASARI CIAMIS</v>
      </c>
      <c r="D7746" s="186">
        <f>IFERROR(__xludf.DUMMYFUNCTION("""COMPUTED_VALUE"""),1.0)</f>
        <v>1</v>
      </c>
    </row>
    <row r="7747">
      <c r="A7747" s="178" t="str">
        <f>IFERROR(__xludf.DUMMYFUNCTION("""COMPUTED_VALUE"""),"ITBISA-LED-MAX7219-4IN1-TIGHT")</f>
        <v>ITBISA-LED-MAX7219-4IN1-TIGHT</v>
      </c>
      <c r="B7747" s="266">
        <f>IFERROR(__xludf.DUMMYFUNCTION("""COMPUTED_VALUE"""),45463.0)</f>
        <v>45463</v>
      </c>
      <c r="C7747" s="266" t="str">
        <f>IFERROR(__xludf.DUMMYFUNCTION("""COMPUTED_VALUE"""),"KYAI KONTONG")</f>
        <v>KYAI KONTONG</v>
      </c>
      <c r="D7747" s="186">
        <f>IFERROR(__xludf.DUMMYFUNCTION("""COMPUTED_VALUE"""),1.0)</f>
        <v>1</v>
      </c>
    </row>
    <row r="7748">
      <c r="A7748" s="178" t="str">
        <f>IFERROR(__xludf.DUMMYFUNCTION("""COMPUTED_VALUE"""),"ITBISA-LED-MAX7219-4IN1-TIGHT")</f>
        <v>ITBISA-LED-MAX7219-4IN1-TIGHT</v>
      </c>
      <c r="B7748" s="266">
        <f>IFERROR(__xludf.DUMMYFUNCTION("""COMPUTED_VALUE"""),45477.0)</f>
        <v>45477</v>
      </c>
      <c r="C7748" s="266" t="str">
        <f>IFERROR(__xludf.DUMMYFUNCTION("""COMPUTED_VALUE"""),"KYAI KONTONG")</f>
        <v>KYAI KONTONG</v>
      </c>
      <c r="D7748" s="186">
        <f>IFERROR(__xludf.DUMMYFUNCTION("""COMPUTED_VALUE"""),1.0)</f>
        <v>1</v>
      </c>
    </row>
    <row r="7749">
      <c r="A7749" s="178" t="str">
        <f>IFERROR(__xludf.DUMMYFUNCTION("""COMPUTED_VALUE"""),"ITBISA-LED-MAX7219-4IN1-TIGHT")</f>
        <v>ITBISA-LED-MAX7219-4IN1-TIGHT</v>
      </c>
      <c r="B7749" s="266">
        <f>IFERROR(__xludf.DUMMYFUNCTION("""COMPUTED_VALUE"""),45480.0)</f>
        <v>45480</v>
      </c>
      <c r="C7749" s="266" t="str">
        <f>IFERROR(__xludf.DUMMYFUNCTION("""COMPUTED_VALUE"""),"KERTASARI CIAMIS")</f>
        <v>KERTASARI CIAMIS</v>
      </c>
      <c r="D7749" s="186">
        <f>IFERROR(__xludf.DUMMYFUNCTION("""COMPUTED_VALUE"""),1.0)</f>
        <v>1</v>
      </c>
    </row>
    <row r="7750">
      <c r="A7750" s="178" t="str">
        <f>IFERROR(__xludf.DUMMYFUNCTION("""COMPUTED_VALUE"""),"ITBISA-LED-MAX7219-4IN1-TIGHT")</f>
        <v>ITBISA-LED-MAX7219-4IN1-TIGHT</v>
      </c>
      <c r="B7750" s="266">
        <f>IFERROR(__xludf.DUMMYFUNCTION("""COMPUTED_VALUE"""),45491.0)</f>
        <v>45491</v>
      </c>
      <c r="C7750" s="266" t="str">
        <f>IFERROR(__xludf.DUMMYFUNCTION("""COMPUTED_VALUE"""),"KERTASARI CIAMIS")</f>
        <v>KERTASARI CIAMIS</v>
      </c>
      <c r="D7750" s="186">
        <f>IFERROR(__xludf.DUMMYFUNCTION("""COMPUTED_VALUE"""),1.0)</f>
        <v>1</v>
      </c>
    </row>
    <row r="7751">
      <c r="A7751" s="178" t="str">
        <f>IFERROR(__xludf.DUMMYFUNCTION("""COMPUTED_VALUE"""),"ITBISA-LED-MAX7219-4IN1-TIGHT")</f>
        <v>ITBISA-LED-MAX7219-4IN1-TIGHT</v>
      </c>
      <c r="B7751" s="266">
        <f>IFERROR(__xludf.DUMMYFUNCTION("""COMPUTED_VALUE"""),45497.0)</f>
        <v>45497</v>
      </c>
      <c r="C7751" s="266" t="str">
        <f>IFERROR(__xludf.DUMMYFUNCTION("""COMPUTED_VALUE"""),"KYAI KONTONG")</f>
        <v>KYAI KONTONG</v>
      </c>
      <c r="D7751" s="186">
        <f>IFERROR(__xludf.DUMMYFUNCTION("""COMPUTED_VALUE"""),2.0)</f>
        <v>2</v>
      </c>
    </row>
    <row r="7752">
      <c r="A7752" s="178" t="str">
        <f>IFERROR(__xludf.DUMMYFUNCTION("""COMPUTED_VALUE"""),"ITBISA-LED-MAX7219-4IN1-TIGHT")</f>
        <v>ITBISA-LED-MAX7219-4IN1-TIGHT</v>
      </c>
      <c r="B7752" s="266">
        <f>IFERROR(__xludf.DUMMYFUNCTION("""COMPUTED_VALUE"""),45498.0)</f>
        <v>45498</v>
      </c>
      <c r="C7752" s="266" t="str">
        <f>IFERROR(__xludf.DUMMYFUNCTION("""COMPUTED_VALUE"""),"KYAI KONTONG")</f>
        <v>KYAI KONTONG</v>
      </c>
      <c r="D7752" s="186">
        <f>IFERROR(__xludf.DUMMYFUNCTION("""COMPUTED_VALUE"""),4.0)</f>
        <v>4</v>
      </c>
    </row>
    <row r="7753">
      <c r="A7753" s="178" t="str">
        <f>IFERROR(__xludf.DUMMYFUNCTION("""COMPUTED_VALUE"""),"ITBISA-LED-MAX7219-4IN1-TIGHT")</f>
        <v>ITBISA-LED-MAX7219-4IN1-TIGHT</v>
      </c>
      <c r="B7753" s="266">
        <f>IFERROR(__xludf.DUMMYFUNCTION("""COMPUTED_VALUE"""),45502.0)</f>
        <v>45502</v>
      </c>
      <c r="C7753" s="266" t="str">
        <f>IFERROR(__xludf.DUMMYFUNCTION("""COMPUTED_VALUE"""),"KYAI KONTONG")</f>
        <v>KYAI KONTONG</v>
      </c>
      <c r="D7753" s="186">
        <f>IFERROR(__xludf.DUMMYFUNCTION("""COMPUTED_VALUE"""),2.0)</f>
        <v>2</v>
      </c>
    </row>
    <row r="7754">
      <c r="A7754" s="178" t="str">
        <f>IFERROR(__xludf.DUMMYFUNCTION("""COMPUTED_VALUE"""),"ITBISA-LED-MAX7219-4IN1-TIGHT")</f>
        <v>ITBISA-LED-MAX7219-4IN1-TIGHT</v>
      </c>
      <c r="B7754" s="266">
        <f>IFERROR(__xludf.DUMMYFUNCTION("""COMPUTED_VALUE"""),45509.0)</f>
        <v>45509</v>
      </c>
      <c r="C7754" s="266" t="str">
        <f>IFERROR(__xludf.DUMMYFUNCTION("""COMPUTED_VALUE"""),"KYAI KONTONG")</f>
        <v>KYAI KONTONG</v>
      </c>
      <c r="D7754" s="186">
        <f>IFERROR(__xludf.DUMMYFUNCTION("""COMPUTED_VALUE"""),4.0)</f>
        <v>4</v>
      </c>
    </row>
    <row r="7755">
      <c r="A7755" s="178" t="str">
        <f>IFERROR(__xludf.DUMMYFUNCTION("""COMPUTED_VALUE"""),"ITBISA-LED-MAX7219-4IN1-TIGHT")</f>
        <v>ITBISA-LED-MAX7219-4IN1-TIGHT</v>
      </c>
      <c r="B7755" s="266">
        <f>IFERROR(__xludf.DUMMYFUNCTION("""COMPUTED_VALUE"""),45524.0)</f>
        <v>45524</v>
      </c>
      <c r="C7755" s="266" t="str">
        <f>IFERROR(__xludf.DUMMYFUNCTION("""COMPUTED_VALUE"""),"KYAI KONTONG")</f>
        <v>KYAI KONTONG</v>
      </c>
      <c r="D7755" s="186">
        <f>IFERROR(__xludf.DUMMYFUNCTION("""COMPUTED_VALUE"""),3.0)</f>
        <v>3</v>
      </c>
    </row>
    <row r="7756">
      <c r="A7756" s="178" t="str">
        <f>IFERROR(__xludf.DUMMYFUNCTION("""COMPUTED_VALUE"""),"ITBISA-LED-MAX7219-4IN1-TIGHT")</f>
        <v>ITBISA-LED-MAX7219-4IN1-TIGHT</v>
      </c>
      <c r="B7756" s="266">
        <f>IFERROR(__xludf.DUMMYFUNCTION("""COMPUTED_VALUE"""),45525.0)</f>
        <v>45525</v>
      </c>
      <c r="C7756" s="266" t="str">
        <f>IFERROR(__xludf.DUMMYFUNCTION("""COMPUTED_VALUE"""),"KERTASARI CIAMIS")</f>
        <v>KERTASARI CIAMIS</v>
      </c>
      <c r="D7756" s="186">
        <f>IFERROR(__xludf.DUMMYFUNCTION("""COMPUTED_VALUE"""),1.0)</f>
        <v>1</v>
      </c>
    </row>
    <row r="7757">
      <c r="A7757" s="178" t="str">
        <f>IFERROR(__xludf.DUMMYFUNCTION("""COMPUTED_VALUE"""),"ITBISA-LED-MAX7219-4IN1-TIGHT")</f>
        <v>ITBISA-LED-MAX7219-4IN1-TIGHT</v>
      </c>
      <c r="B7757" s="266">
        <f>IFERROR(__xludf.DUMMYFUNCTION("""COMPUTED_VALUE"""),45532.0)</f>
        <v>45532</v>
      </c>
      <c r="C7757" s="266" t="str">
        <f>IFERROR(__xludf.DUMMYFUNCTION("""COMPUTED_VALUE"""),"KYAI KONTONG")</f>
        <v>KYAI KONTONG</v>
      </c>
      <c r="D7757" s="186">
        <f>IFERROR(__xludf.DUMMYFUNCTION("""COMPUTED_VALUE"""),1.0)</f>
        <v>1</v>
      </c>
    </row>
    <row r="7758">
      <c r="A7758" s="178" t="str">
        <f>IFERROR(__xludf.DUMMYFUNCTION("""COMPUTED_VALUE"""),"ITBISA-LED-MAX7219-4IN1-TIGHT")</f>
        <v>ITBISA-LED-MAX7219-4IN1-TIGHT</v>
      </c>
      <c r="B7758" s="266">
        <f>IFERROR(__xludf.DUMMYFUNCTION("""COMPUTED_VALUE"""),45533.0)</f>
        <v>45533</v>
      </c>
      <c r="C7758" s="266" t="str">
        <f>IFERROR(__xludf.DUMMYFUNCTION("""COMPUTED_VALUE"""),"KYAI KONTONG")</f>
        <v>KYAI KONTONG</v>
      </c>
      <c r="D7758" s="186">
        <f>IFERROR(__xludf.DUMMYFUNCTION("""COMPUTED_VALUE"""),1.0)</f>
        <v>1</v>
      </c>
    </row>
    <row r="7759">
      <c r="A7759" s="178" t="str">
        <f>IFERROR(__xludf.DUMMYFUNCTION("""COMPUTED_VALUE"""),"ITBISA-LED-MAX7219-4IN1-TIGHT")</f>
        <v>ITBISA-LED-MAX7219-4IN1-TIGHT</v>
      </c>
      <c r="B7759" s="266">
        <f>IFERROR(__xludf.DUMMYFUNCTION("""COMPUTED_VALUE"""),45538.0)</f>
        <v>45538</v>
      </c>
      <c r="C7759" s="266" t="str">
        <f>IFERROR(__xludf.DUMMYFUNCTION("""COMPUTED_VALUE"""),"KYAI KONTONG")</f>
        <v>KYAI KONTONG</v>
      </c>
      <c r="D7759" s="186">
        <f>IFERROR(__xludf.DUMMYFUNCTION("""COMPUTED_VALUE"""),2.0)</f>
        <v>2</v>
      </c>
    </row>
    <row r="7760">
      <c r="A7760" s="178" t="str">
        <f>IFERROR(__xludf.DUMMYFUNCTION("""COMPUTED_VALUE"""),"ITBISA-LED-MAX7219-4IN1-TIGHT")</f>
        <v>ITBISA-LED-MAX7219-4IN1-TIGHT</v>
      </c>
      <c r="B7760" s="266">
        <f>IFERROR(__xludf.DUMMYFUNCTION("""COMPUTED_VALUE"""),45608.0)</f>
        <v>45608</v>
      </c>
      <c r="C7760" s="266" t="str">
        <f>IFERROR(__xludf.DUMMYFUNCTION("""COMPUTED_VALUE"""),"KYAI KONTONG")</f>
        <v>KYAI KONTONG</v>
      </c>
      <c r="D7760" s="186">
        <f>IFERROR(__xludf.DUMMYFUNCTION("""COMPUTED_VALUE"""),0.0)</f>
        <v>0</v>
      </c>
    </row>
    <row r="7761">
      <c r="A7761" s="178" t="str">
        <f>IFERROR(__xludf.DUMMYFUNCTION("""COMPUTED_VALUE"""),"ITBISA-LED-MAX7219-4IN1-TIGHT")</f>
        <v>ITBISA-LED-MAX7219-4IN1-TIGHT</v>
      </c>
      <c r="B7761" s="266">
        <f>IFERROR(__xludf.DUMMYFUNCTION("""COMPUTED_VALUE"""),45724.0)</f>
        <v>45724</v>
      </c>
      <c r="C7761" s="266" t="str">
        <f>IFERROR(__xludf.DUMMYFUNCTION("""COMPUTED_VALUE"""),"KERTASARI CIAMIS")</f>
        <v>KERTASARI CIAMIS</v>
      </c>
      <c r="D7761" s="186">
        <f>IFERROR(__xludf.DUMMYFUNCTION("""COMPUTED_VALUE"""),4.0)</f>
        <v>4</v>
      </c>
    </row>
    <row r="7762">
      <c r="A7762" s="178" t="str">
        <f>IFERROR(__xludf.DUMMYFUNCTION("""COMPUTED_VALUE"""),"ITBISA-LED-MAX7219-4IN1-TIGHT")</f>
        <v>ITBISA-LED-MAX7219-4IN1-TIGHT</v>
      </c>
      <c r="B7762" s="266">
        <f>IFERROR(__xludf.DUMMYFUNCTION("""COMPUTED_VALUE"""),45728.0)</f>
        <v>45728</v>
      </c>
      <c r="C7762" s="266" t="str">
        <f>IFERROR(__xludf.DUMMYFUNCTION("""COMPUTED_VALUE"""),"KERTASARI CIAMIS")</f>
        <v>KERTASARI CIAMIS</v>
      </c>
      <c r="D7762" s="186">
        <f>IFERROR(__xludf.DUMMYFUNCTION("""COMPUTED_VALUE"""),1.0)</f>
        <v>1</v>
      </c>
    </row>
    <row r="7763">
      <c r="A7763" s="178" t="str">
        <f>IFERROR(__xludf.DUMMYFUNCTION("""COMPUTED_VALUE"""),"ITBISA-LED-MAX7219-4IN1-TIGHT")</f>
        <v>ITBISA-LED-MAX7219-4IN1-TIGHT</v>
      </c>
      <c r="B7763" s="266">
        <f>IFERROR(__xludf.DUMMYFUNCTION("""COMPUTED_VALUE"""),45733.0)</f>
        <v>45733</v>
      </c>
      <c r="C7763" s="266" t="str">
        <f>IFERROR(__xludf.DUMMYFUNCTION("""COMPUTED_VALUE"""),"KYAI KONTONG")</f>
        <v>KYAI KONTONG</v>
      </c>
      <c r="D7763" s="186">
        <f>IFERROR(__xludf.DUMMYFUNCTION("""COMPUTED_VALUE"""),2.0)</f>
        <v>2</v>
      </c>
    </row>
    <row r="7764">
      <c r="A7764" s="178" t="str">
        <f>IFERROR(__xludf.DUMMYFUNCTION("""COMPUTED_VALUE"""),"ITBISA-LED-MAX7219-4IN1-TIGHT")</f>
        <v>ITBISA-LED-MAX7219-4IN1-TIGHT</v>
      </c>
      <c r="B7764" s="266">
        <f>IFERROR(__xludf.DUMMYFUNCTION("""COMPUTED_VALUE"""),45735.0)</f>
        <v>45735</v>
      </c>
      <c r="C7764" s="266" t="str">
        <f>IFERROR(__xludf.DUMMYFUNCTION("""COMPUTED_VALUE"""),"KYAI KONTONG")</f>
        <v>KYAI KONTONG</v>
      </c>
      <c r="D7764" s="186">
        <f>IFERROR(__xludf.DUMMYFUNCTION("""COMPUTED_VALUE"""),1.0)</f>
        <v>1</v>
      </c>
    </row>
    <row r="7765">
      <c r="A7765" s="178" t="str">
        <f>IFERROR(__xludf.DUMMYFUNCTION("""COMPUTED_VALUE"""),"ITBISA-LED-MAX7219-4IN1-TIGHT")</f>
        <v>ITBISA-LED-MAX7219-4IN1-TIGHT</v>
      </c>
      <c r="B7765" s="266">
        <f>IFERROR(__xludf.DUMMYFUNCTION("""COMPUTED_VALUE"""),45738.0)</f>
        <v>45738</v>
      </c>
      <c r="C7765" s="266" t="str">
        <f>IFERROR(__xludf.DUMMYFUNCTION("""COMPUTED_VALUE"""),"KERTASARI CIAMIS")</f>
        <v>KERTASARI CIAMIS</v>
      </c>
      <c r="D7765" s="186">
        <f>IFERROR(__xludf.DUMMYFUNCTION("""COMPUTED_VALUE"""),5.0)</f>
        <v>5</v>
      </c>
    </row>
    <row r="7766">
      <c r="A7766" s="178" t="str">
        <f>IFERROR(__xludf.DUMMYFUNCTION("""COMPUTED_VALUE"""),"ITBISA-LED-MAX7219-4IN1-TIGHT")</f>
        <v>ITBISA-LED-MAX7219-4IN1-TIGHT</v>
      </c>
      <c r="B7766" s="266">
        <f>IFERROR(__xludf.DUMMYFUNCTION("""COMPUTED_VALUE"""),45741.0)</f>
        <v>45741</v>
      </c>
      <c r="C7766" s="266" t="str">
        <f>IFERROR(__xludf.DUMMYFUNCTION("""COMPUTED_VALUE"""),"KERTASARI CIAMIS")</f>
        <v>KERTASARI CIAMIS</v>
      </c>
      <c r="D7766" s="186">
        <f>IFERROR(__xludf.DUMMYFUNCTION("""COMPUTED_VALUE"""),2.0)</f>
        <v>2</v>
      </c>
    </row>
    <row r="7767">
      <c r="A7767" s="178" t="str">
        <f>IFERROR(__xludf.DUMMYFUNCTION("""COMPUTED_VALUE"""),"ITBISA-LED-MAX7219-4IN1-TIGHT")</f>
        <v>ITBISA-LED-MAX7219-4IN1-TIGHT</v>
      </c>
      <c r="B7767" s="266">
        <f>IFERROR(__xludf.DUMMYFUNCTION("""COMPUTED_VALUE"""),45746.0)</f>
        <v>45746</v>
      </c>
      <c r="C7767" s="266" t="str">
        <f>IFERROR(__xludf.DUMMYFUNCTION("""COMPUTED_VALUE"""),"KERTASARI CIAMIS")</f>
        <v>KERTASARI CIAMIS</v>
      </c>
      <c r="D7767" s="186">
        <f>IFERROR(__xludf.DUMMYFUNCTION("""COMPUTED_VALUE"""),3.0)</f>
        <v>3</v>
      </c>
    </row>
    <row r="7768">
      <c r="A7768" s="178" t="str">
        <f>IFERROR(__xludf.DUMMYFUNCTION("""COMPUTED_VALUE"""),"ITBISA-LED-MAX7219-4IN1-TIGHT")</f>
        <v>ITBISA-LED-MAX7219-4IN1-TIGHT</v>
      </c>
      <c r="B7768" s="266">
        <f>IFERROR(__xludf.DUMMYFUNCTION("""COMPUTED_VALUE"""),45749.0)</f>
        <v>45749</v>
      </c>
      <c r="C7768" s="266" t="str">
        <f>IFERROR(__xludf.DUMMYFUNCTION("""COMPUTED_VALUE"""),"KERTASARI CIAMIS")</f>
        <v>KERTASARI CIAMIS</v>
      </c>
      <c r="D7768" s="186">
        <f>IFERROR(__xludf.DUMMYFUNCTION("""COMPUTED_VALUE"""),2.0)</f>
        <v>2</v>
      </c>
    </row>
    <row r="7769">
      <c r="A7769" s="178" t="str">
        <f>IFERROR(__xludf.DUMMYFUNCTION("""COMPUTED_VALUE"""),"ITBISA-LED-MAX7219-4IN1-TIGHT")</f>
        <v>ITBISA-LED-MAX7219-4IN1-TIGHT</v>
      </c>
      <c r="B7769" s="266">
        <f>IFERROR(__xludf.DUMMYFUNCTION("""COMPUTED_VALUE"""),45750.0)</f>
        <v>45750</v>
      </c>
      <c r="C7769" s="266" t="str">
        <f>IFERROR(__xludf.DUMMYFUNCTION("""COMPUTED_VALUE"""),"KERTASARI CIAMIS")</f>
        <v>KERTASARI CIAMIS</v>
      </c>
      <c r="D7769" s="186">
        <f>IFERROR(__xludf.DUMMYFUNCTION("""COMPUTED_VALUE"""),19.0)</f>
        <v>19</v>
      </c>
    </row>
    <row r="7770">
      <c r="A7770" s="178" t="str">
        <f>IFERROR(__xludf.DUMMYFUNCTION("""COMPUTED_VALUE"""),"ITBISA-LED-MAX7219-4IN1-TIGHT")</f>
        <v>ITBISA-LED-MAX7219-4IN1-TIGHT</v>
      </c>
      <c r="B7770" s="266">
        <f>IFERROR(__xludf.DUMMYFUNCTION("""COMPUTED_VALUE"""),45770.0)</f>
        <v>45770</v>
      </c>
      <c r="C7770" s="266" t="str">
        <f>IFERROR(__xludf.DUMMYFUNCTION("""COMPUTED_VALUE"""),"KYAI KONTONG")</f>
        <v>KYAI KONTONG</v>
      </c>
      <c r="D7770" s="186">
        <f>IFERROR(__xludf.DUMMYFUNCTION("""COMPUTED_VALUE"""),2.0)</f>
        <v>2</v>
      </c>
    </row>
    <row r="7771">
      <c r="A7771" s="178" t="str">
        <f>IFERROR(__xludf.DUMMYFUNCTION("""COMPUTED_VALUE"""),"ITBISA-LED-MAX7219-4IN1-TIGHT")</f>
        <v>ITBISA-LED-MAX7219-4IN1-TIGHT</v>
      </c>
      <c r="B7771" s="266">
        <f>IFERROR(__xludf.DUMMYFUNCTION("""COMPUTED_VALUE"""),45785.0)</f>
        <v>45785</v>
      </c>
      <c r="C7771" s="266" t="str">
        <f>IFERROR(__xludf.DUMMYFUNCTION("""COMPUTED_VALUE"""),"KERTASARI CIAMIS")</f>
        <v>KERTASARI CIAMIS</v>
      </c>
      <c r="D7771" s="186">
        <f>IFERROR(__xludf.DUMMYFUNCTION("""COMPUTED_VALUE"""),1.0)</f>
        <v>1</v>
      </c>
    </row>
    <row r="7772">
      <c r="A7772" s="178" t="str">
        <f>IFERROR(__xludf.DUMMYFUNCTION("""COMPUTED_VALUE"""),"ITBISA-LED-MAX7219-4IN1-TIGHT")</f>
        <v>ITBISA-LED-MAX7219-4IN1-TIGHT</v>
      </c>
      <c r="B7772" s="266">
        <f>IFERROR(__xludf.DUMMYFUNCTION("""COMPUTED_VALUE"""),45963.0)</f>
        <v>45963</v>
      </c>
      <c r="C7772" s="266" t="str">
        <f>IFERROR(__xludf.DUMMYFUNCTION("""COMPUTED_VALUE"""),"KERTASARI CIAMIS")</f>
        <v>KERTASARI CIAMIS</v>
      </c>
      <c r="D7772" s="186">
        <f>IFERROR(__xludf.DUMMYFUNCTION("""COMPUTED_VALUE"""),1.0)</f>
        <v>1</v>
      </c>
    </row>
    <row r="7773">
      <c r="A7773" s="178" t="str">
        <f>IFERROR(__xludf.DUMMYFUNCTION("""COMPUTED_VALUE"""),"ITBISA-LED-MAX7219-4IN1-TIGHT")</f>
        <v>ITBISA-LED-MAX7219-4IN1-TIGHT</v>
      </c>
      <c r="B7773" s="266">
        <f>IFERROR(__xludf.DUMMYFUNCTION("""COMPUTED_VALUE"""),45966.0)</f>
        <v>45966</v>
      </c>
      <c r="C7773" s="266" t="str">
        <f>IFERROR(__xludf.DUMMYFUNCTION("""COMPUTED_VALUE"""),"KYAI KONTONG")</f>
        <v>KYAI KONTONG</v>
      </c>
      <c r="D7773" s="186">
        <f>IFERROR(__xludf.DUMMYFUNCTION("""COMPUTED_VALUE"""),1.0)</f>
        <v>1</v>
      </c>
    </row>
    <row r="7774">
      <c r="A7774" s="178" t="str">
        <f>IFERROR(__xludf.DUMMYFUNCTION("""COMPUTED_VALUE"""),"ITBISA-LED-MAX7219-4IN1-TIGHT")</f>
        <v>ITBISA-LED-MAX7219-4IN1-TIGHT</v>
      </c>
      <c r="B7774" s="266">
        <f>IFERROR(__xludf.DUMMYFUNCTION("""COMPUTED_VALUE"""),45970.0)</f>
        <v>45970</v>
      </c>
      <c r="C7774" s="266" t="str">
        <f>IFERROR(__xludf.DUMMYFUNCTION("""COMPUTED_VALUE"""),"KERTASARI CIAMIS")</f>
        <v>KERTASARI CIAMIS</v>
      </c>
      <c r="D7774" s="186">
        <f>IFERROR(__xludf.DUMMYFUNCTION("""COMPUTED_VALUE"""),1.0)</f>
        <v>1</v>
      </c>
    </row>
    <row r="7775">
      <c r="A7775" s="178" t="str">
        <f>IFERROR(__xludf.DUMMYFUNCTION("""COMPUTED_VALUE"""),"ITBISA-LED-SUPERBRIGHT-5MM-BLUE")</f>
        <v>ITBISA-LED-SUPERBRIGHT-5MM-BLUE</v>
      </c>
      <c r="B7775" s="266">
        <f>IFERROR(__xludf.DUMMYFUNCTION("""COMPUTED_VALUE"""),45473.0)</f>
        <v>45473</v>
      </c>
      <c r="C7775" s="266" t="str">
        <f>IFERROR(__xludf.DUMMYFUNCTION("""COMPUTED_VALUE"""),"KYAI KONTONG")</f>
        <v>KYAI KONTONG</v>
      </c>
      <c r="D7775" s="186">
        <f>IFERROR(__xludf.DUMMYFUNCTION("""COMPUTED_VALUE"""),10.0)</f>
        <v>10</v>
      </c>
    </row>
    <row r="7776">
      <c r="A7776" s="178" t="str">
        <f>IFERROR(__xludf.DUMMYFUNCTION("""COMPUTED_VALUE"""),"ITBISA-LED-SUPERBRIGHT-5MM-BLUE")</f>
        <v>ITBISA-LED-SUPERBRIGHT-5MM-BLUE</v>
      </c>
      <c r="B7776" s="266">
        <f>IFERROR(__xludf.DUMMYFUNCTION("""COMPUTED_VALUE"""),45484.0)</f>
        <v>45484</v>
      </c>
      <c r="C7776" s="266" t="str">
        <f>IFERROR(__xludf.DUMMYFUNCTION("""COMPUTED_VALUE"""),"KYAI KONTONG")</f>
        <v>KYAI KONTONG</v>
      </c>
      <c r="D7776" s="186">
        <f>IFERROR(__xludf.DUMMYFUNCTION("""COMPUTED_VALUE"""),10.0)</f>
        <v>10</v>
      </c>
    </row>
    <row r="7777">
      <c r="A7777" s="178" t="str">
        <f>IFERROR(__xludf.DUMMYFUNCTION("""COMPUTED_VALUE"""),"ITBISA-LED-SUPERBRIGHT-5MM-BLUE")</f>
        <v>ITBISA-LED-SUPERBRIGHT-5MM-BLUE</v>
      </c>
      <c r="B7777" s="266">
        <f>IFERROR(__xludf.DUMMYFUNCTION("""COMPUTED_VALUE"""),45487.0)</f>
        <v>45487</v>
      </c>
      <c r="C7777" s="266" t="str">
        <f>IFERROR(__xludf.DUMMYFUNCTION("""COMPUTED_VALUE"""),"KYAI KONTONG")</f>
        <v>KYAI KONTONG</v>
      </c>
      <c r="D7777" s="186">
        <f>IFERROR(__xludf.DUMMYFUNCTION("""COMPUTED_VALUE"""),20.0)</f>
        <v>20</v>
      </c>
    </row>
    <row r="7778">
      <c r="A7778" s="178" t="str">
        <f>IFERROR(__xludf.DUMMYFUNCTION("""COMPUTED_VALUE"""),"ITBISA-LED-SUPERBRIGHT-5MM-BLUE")</f>
        <v>ITBISA-LED-SUPERBRIGHT-5MM-BLUE</v>
      </c>
      <c r="B7778" s="266">
        <f>IFERROR(__xludf.DUMMYFUNCTION("""COMPUTED_VALUE"""),45497.0)</f>
        <v>45497</v>
      </c>
      <c r="C7778" s="266" t="str">
        <f>IFERROR(__xludf.DUMMYFUNCTION("""COMPUTED_VALUE"""),"KYAI KONTONG")</f>
        <v>KYAI KONTONG</v>
      </c>
      <c r="D7778" s="186">
        <f>IFERROR(__xludf.DUMMYFUNCTION("""COMPUTED_VALUE"""),10.0)</f>
        <v>10</v>
      </c>
    </row>
    <row r="7779">
      <c r="A7779" s="178" t="str">
        <f>IFERROR(__xludf.DUMMYFUNCTION("""COMPUTED_VALUE"""),"ITBISA-LED-SUPERBRIGHT-5MM-BLUE")</f>
        <v>ITBISA-LED-SUPERBRIGHT-5MM-BLUE</v>
      </c>
      <c r="B7779" s="266">
        <f>IFERROR(__xludf.DUMMYFUNCTION("""COMPUTED_VALUE"""),45499.0)</f>
        <v>45499</v>
      </c>
      <c r="C7779" s="266" t="str">
        <f>IFERROR(__xludf.DUMMYFUNCTION("""COMPUTED_VALUE"""),"KYAI KONTONG")</f>
        <v>KYAI KONTONG</v>
      </c>
      <c r="D7779" s="186">
        <f>IFERROR(__xludf.DUMMYFUNCTION("""COMPUTED_VALUE"""),15.0)</f>
        <v>15</v>
      </c>
    </row>
    <row r="7780">
      <c r="A7780" s="178" t="str">
        <f>IFERROR(__xludf.DUMMYFUNCTION("""COMPUTED_VALUE"""),"ITBISA-LED-SUPERBRIGHT-5MM-BLUE")</f>
        <v>ITBISA-LED-SUPERBRIGHT-5MM-BLUE</v>
      </c>
      <c r="B7780" s="266">
        <f>IFERROR(__xludf.DUMMYFUNCTION("""COMPUTED_VALUE"""),45500.0)</f>
        <v>45500</v>
      </c>
      <c r="C7780" s="266" t="str">
        <f>IFERROR(__xludf.DUMMYFUNCTION("""COMPUTED_VALUE"""),"KYAI KONTONG")</f>
        <v>KYAI KONTONG</v>
      </c>
      <c r="D7780" s="186">
        <f>IFERROR(__xludf.DUMMYFUNCTION("""COMPUTED_VALUE"""),24.0)</f>
        <v>24</v>
      </c>
    </row>
    <row r="7781">
      <c r="A7781" s="178" t="str">
        <f>IFERROR(__xludf.DUMMYFUNCTION("""COMPUTED_VALUE"""),"ITBISA-LED-SUPERBRIGHT-5MM-BLUE")</f>
        <v>ITBISA-LED-SUPERBRIGHT-5MM-BLUE</v>
      </c>
      <c r="B7781" s="266">
        <f>IFERROR(__xludf.DUMMYFUNCTION("""COMPUTED_VALUE"""),45501.0)</f>
        <v>45501</v>
      </c>
      <c r="C7781" s="266" t="str">
        <f>IFERROR(__xludf.DUMMYFUNCTION("""COMPUTED_VALUE"""),"KYAI KONTONG")</f>
        <v>KYAI KONTONG</v>
      </c>
      <c r="D7781" s="186">
        <f>IFERROR(__xludf.DUMMYFUNCTION("""COMPUTED_VALUE"""),10.0)</f>
        <v>10</v>
      </c>
    </row>
    <row r="7782">
      <c r="A7782" s="178" t="str">
        <f>IFERROR(__xludf.DUMMYFUNCTION("""COMPUTED_VALUE"""),"ITBISA-LED-SUPERBRIGHT-5MM-BLUE")</f>
        <v>ITBISA-LED-SUPERBRIGHT-5MM-BLUE</v>
      </c>
      <c r="B7782" s="266">
        <f>IFERROR(__xludf.DUMMYFUNCTION("""COMPUTED_VALUE"""),45502.0)</f>
        <v>45502</v>
      </c>
      <c r="C7782" s="266" t="str">
        <f>IFERROR(__xludf.DUMMYFUNCTION("""COMPUTED_VALUE"""),"KYAI KONTONG")</f>
        <v>KYAI KONTONG</v>
      </c>
      <c r="D7782" s="186">
        <f>IFERROR(__xludf.DUMMYFUNCTION("""COMPUTED_VALUE"""),75.0)</f>
        <v>75</v>
      </c>
    </row>
    <row r="7783">
      <c r="A7783" s="178" t="str">
        <f>IFERROR(__xludf.DUMMYFUNCTION("""COMPUTED_VALUE"""),"ITBISA-LED-SUPERBRIGHT-5MM-BLUE")</f>
        <v>ITBISA-LED-SUPERBRIGHT-5MM-BLUE</v>
      </c>
      <c r="B7783" s="266">
        <f>IFERROR(__xludf.DUMMYFUNCTION("""COMPUTED_VALUE"""),45508.0)</f>
        <v>45508</v>
      </c>
      <c r="C7783" s="266" t="str">
        <f>IFERROR(__xludf.DUMMYFUNCTION("""COMPUTED_VALUE"""),"KERTASARI CIAMIS")</f>
        <v>KERTASARI CIAMIS</v>
      </c>
      <c r="D7783" s="186">
        <f>IFERROR(__xludf.DUMMYFUNCTION("""COMPUTED_VALUE"""),20.0)</f>
        <v>20</v>
      </c>
    </row>
    <row r="7784">
      <c r="A7784" s="178" t="str">
        <f>IFERROR(__xludf.DUMMYFUNCTION("""COMPUTED_VALUE"""),"ITBISA-LED-SUPERBRIGHT-5MM-BLUE")</f>
        <v>ITBISA-LED-SUPERBRIGHT-5MM-BLUE</v>
      </c>
      <c r="B7784" s="266">
        <f>IFERROR(__xludf.DUMMYFUNCTION("""COMPUTED_VALUE"""),45522.0)</f>
        <v>45522</v>
      </c>
      <c r="C7784" s="266" t="str">
        <f>IFERROR(__xludf.DUMMYFUNCTION("""COMPUTED_VALUE"""),"KYAI KONTONG")</f>
        <v>KYAI KONTONG</v>
      </c>
      <c r="D7784" s="186">
        <f>IFERROR(__xludf.DUMMYFUNCTION("""COMPUTED_VALUE"""),10.0)</f>
        <v>10</v>
      </c>
    </row>
    <row r="7785">
      <c r="A7785" s="178" t="str">
        <f>IFERROR(__xludf.DUMMYFUNCTION("""COMPUTED_VALUE"""),"ITBISA-LED-SUPERBRIGHT-5MM-BLUE")</f>
        <v>ITBISA-LED-SUPERBRIGHT-5MM-BLUE</v>
      </c>
      <c r="B7785" s="266">
        <f>IFERROR(__xludf.DUMMYFUNCTION("""COMPUTED_VALUE"""),45524.0)</f>
        <v>45524</v>
      </c>
      <c r="C7785" s="266" t="str">
        <f>IFERROR(__xludf.DUMMYFUNCTION("""COMPUTED_VALUE"""),"KERTASARI CIAMIS")</f>
        <v>KERTASARI CIAMIS</v>
      </c>
      <c r="D7785" s="186">
        <f>IFERROR(__xludf.DUMMYFUNCTION("""COMPUTED_VALUE"""),3.0)</f>
        <v>3</v>
      </c>
    </row>
    <row r="7786">
      <c r="A7786" s="178" t="str">
        <f>IFERROR(__xludf.DUMMYFUNCTION("""COMPUTED_VALUE"""),"ITBISA-LED-SUPERBRIGHT-5MM-BLUE")</f>
        <v>ITBISA-LED-SUPERBRIGHT-5MM-BLUE</v>
      </c>
      <c r="B7786" s="266">
        <f>IFERROR(__xludf.DUMMYFUNCTION("""COMPUTED_VALUE"""),45529.0)</f>
        <v>45529</v>
      </c>
      <c r="C7786" s="266" t="str">
        <f>IFERROR(__xludf.DUMMYFUNCTION("""COMPUTED_VALUE"""),"KYAI KONTONG")</f>
        <v>KYAI KONTONG</v>
      </c>
      <c r="D7786" s="186">
        <f>IFERROR(__xludf.DUMMYFUNCTION("""COMPUTED_VALUE"""),10.0)</f>
        <v>10</v>
      </c>
    </row>
    <row r="7787">
      <c r="A7787" s="178" t="str">
        <f>IFERROR(__xludf.DUMMYFUNCTION("""COMPUTED_VALUE"""),"ITBISA-LED-SUPERBRIGHT-5MM-BLUE")</f>
        <v>ITBISA-LED-SUPERBRIGHT-5MM-BLUE</v>
      </c>
      <c r="B7787" s="266">
        <f>IFERROR(__xludf.DUMMYFUNCTION("""COMPUTED_VALUE"""),45539.0)</f>
        <v>45539</v>
      </c>
      <c r="C7787" s="266" t="str">
        <f>IFERROR(__xludf.DUMMYFUNCTION("""COMPUTED_VALUE"""),"KERTASARI CIAMIS")</f>
        <v>KERTASARI CIAMIS</v>
      </c>
      <c r="D7787" s="186">
        <f>IFERROR(__xludf.DUMMYFUNCTION("""COMPUTED_VALUE"""),10.0)</f>
        <v>10</v>
      </c>
    </row>
    <row r="7788">
      <c r="A7788" s="178" t="str">
        <f>IFERROR(__xludf.DUMMYFUNCTION("""COMPUTED_VALUE"""),"ITBISA-LED-SUPERBRIGHT-5MM-BLUE")</f>
        <v>ITBISA-LED-SUPERBRIGHT-5MM-BLUE</v>
      </c>
      <c r="B7788" s="266">
        <f>IFERROR(__xludf.DUMMYFUNCTION("""COMPUTED_VALUE"""),45565.0)</f>
        <v>45565</v>
      </c>
      <c r="C7788" s="266" t="str">
        <f>IFERROR(__xludf.DUMMYFUNCTION("""COMPUTED_VALUE"""),"KYAI KONTONG")</f>
        <v>KYAI KONTONG</v>
      </c>
      <c r="D7788" s="186">
        <f>IFERROR(__xludf.DUMMYFUNCTION("""COMPUTED_VALUE"""),10.0)</f>
        <v>10</v>
      </c>
    </row>
    <row r="7789">
      <c r="A7789" s="178" t="str">
        <f>IFERROR(__xludf.DUMMYFUNCTION("""COMPUTED_VALUE"""),"ITBISA-LED-SUPERBRIGHT-5MM-BLUE")</f>
        <v>ITBISA-LED-SUPERBRIGHT-5MM-BLUE</v>
      </c>
      <c r="B7789" s="266">
        <f>IFERROR(__xludf.DUMMYFUNCTION("""COMPUTED_VALUE"""),45566.0)</f>
        <v>45566</v>
      </c>
      <c r="C7789" s="266" t="str">
        <f>IFERROR(__xludf.DUMMYFUNCTION("""COMPUTED_VALUE"""),"KERTASARI CIAMIS")</f>
        <v>KERTASARI CIAMIS</v>
      </c>
      <c r="D7789" s="186">
        <f>IFERROR(__xludf.DUMMYFUNCTION("""COMPUTED_VALUE"""),25.0)</f>
        <v>25</v>
      </c>
    </row>
    <row r="7790">
      <c r="A7790" s="178" t="str">
        <f>IFERROR(__xludf.DUMMYFUNCTION("""COMPUTED_VALUE"""),"ITBISA-LED-SUPERBRIGHT-5MM-BLUE")</f>
        <v>ITBISA-LED-SUPERBRIGHT-5MM-BLUE</v>
      </c>
      <c r="B7790" s="266">
        <f>IFERROR(__xludf.DUMMYFUNCTION("""COMPUTED_VALUE"""),45603.0)</f>
        <v>45603</v>
      </c>
      <c r="C7790" s="266" t="str">
        <f>IFERROR(__xludf.DUMMYFUNCTION("""COMPUTED_VALUE"""),"KERTASARI CIAMIS")</f>
        <v>KERTASARI CIAMIS</v>
      </c>
      <c r="D7790" s="186">
        <f>IFERROR(__xludf.DUMMYFUNCTION("""COMPUTED_VALUE"""),4.0)</f>
        <v>4</v>
      </c>
    </row>
    <row r="7791">
      <c r="A7791" s="178" t="str">
        <f>IFERROR(__xludf.DUMMYFUNCTION("""COMPUTED_VALUE"""),"ITBISA-LED-SUPERBRIGHT-5MM-BLUE")</f>
        <v>ITBISA-LED-SUPERBRIGHT-5MM-BLUE</v>
      </c>
      <c r="B7791" s="266">
        <f>IFERROR(__xludf.DUMMYFUNCTION("""COMPUTED_VALUE"""),45618.0)</f>
        <v>45618</v>
      </c>
      <c r="C7791" s="266" t="str">
        <f>IFERROR(__xludf.DUMMYFUNCTION("""COMPUTED_VALUE"""),"KYAI KONTONG")</f>
        <v>KYAI KONTONG</v>
      </c>
      <c r="D7791" s="186">
        <f>IFERROR(__xludf.DUMMYFUNCTION("""COMPUTED_VALUE"""),6.0)</f>
        <v>6</v>
      </c>
    </row>
    <row r="7792">
      <c r="A7792" s="178" t="str">
        <f>IFERROR(__xludf.DUMMYFUNCTION("""COMPUTED_VALUE"""),"ITBISA-LED-SUPERBRIGHT-5MM-BLUE")</f>
        <v>ITBISA-LED-SUPERBRIGHT-5MM-BLUE</v>
      </c>
      <c r="B7792" s="266">
        <f>IFERROR(__xludf.DUMMYFUNCTION("""COMPUTED_VALUE"""),45627.0)</f>
        <v>45627</v>
      </c>
      <c r="C7792" s="266" t="str">
        <f>IFERROR(__xludf.DUMMYFUNCTION("""COMPUTED_VALUE"""),"KERTASARI CIAMIS")</f>
        <v>KERTASARI CIAMIS</v>
      </c>
      <c r="D7792" s="186">
        <f>IFERROR(__xludf.DUMMYFUNCTION("""COMPUTED_VALUE"""),10.0)</f>
        <v>10</v>
      </c>
    </row>
    <row r="7793">
      <c r="A7793" s="178" t="str">
        <f>IFERROR(__xludf.DUMMYFUNCTION("""COMPUTED_VALUE"""),"ITBISA-LED-SUPERBRIGHT-5MM-BLUE")</f>
        <v>ITBISA-LED-SUPERBRIGHT-5MM-BLUE</v>
      </c>
      <c r="B7793" s="266">
        <f>IFERROR(__xludf.DUMMYFUNCTION("""COMPUTED_VALUE"""),45627.0)</f>
        <v>45627</v>
      </c>
      <c r="C7793" s="266" t="str">
        <f>IFERROR(__xludf.DUMMYFUNCTION("""COMPUTED_VALUE"""),"KERTASARI CIAMIS")</f>
        <v>KERTASARI CIAMIS</v>
      </c>
      <c r="D7793" s="186">
        <f>IFERROR(__xludf.DUMMYFUNCTION("""COMPUTED_VALUE"""),50.0)</f>
        <v>50</v>
      </c>
    </row>
    <row r="7794">
      <c r="A7794" s="178" t="str">
        <f>IFERROR(__xludf.DUMMYFUNCTION("""COMPUTED_VALUE"""),"ITBISA-LED-SUPERBRIGHT-5MM-BLUE")</f>
        <v>ITBISA-LED-SUPERBRIGHT-5MM-BLUE</v>
      </c>
      <c r="B7794" s="266">
        <f>IFERROR(__xludf.DUMMYFUNCTION("""COMPUTED_VALUE"""),45628.0)</f>
        <v>45628</v>
      </c>
      <c r="C7794" s="266" t="str">
        <f>IFERROR(__xludf.DUMMYFUNCTION("""COMPUTED_VALUE"""),"KYAI KONTONG")</f>
        <v>KYAI KONTONG</v>
      </c>
      <c r="D7794" s="186">
        <f>IFERROR(__xludf.DUMMYFUNCTION("""COMPUTED_VALUE"""),0.0)</f>
        <v>0</v>
      </c>
    </row>
    <row r="7795">
      <c r="A7795" s="178" t="str">
        <f>IFERROR(__xludf.DUMMYFUNCTION("""COMPUTED_VALUE"""),"ITBISA-LED-SUPERBRIGHT-5MM-BLUE")</f>
        <v>ITBISA-LED-SUPERBRIGHT-5MM-BLUE</v>
      </c>
      <c r="B7795" s="266">
        <f>IFERROR(__xludf.DUMMYFUNCTION("""COMPUTED_VALUE"""),45629.0)</f>
        <v>45629</v>
      </c>
      <c r="C7795" s="266" t="str">
        <f>IFERROR(__xludf.DUMMYFUNCTION("""COMPUTED_VALUE"""),"KYAI KONTONG")</f>
        <v>KYAI KONTONG</v>
      </c>
      <c r="D7795" s="186">
        <f>IFERROR(__xludf.DUMMYFUNCTION("""COMPUTED_VALUE"""),10.0)</f>
        <v>10</v>
      </c>
    </row>
    <row r="7796">
      <c r="A7796" s="178" t="str">
        <f>IFERROR(__xludf.DUMMYFUNCTION("""COMPUTED_VALUE"""),"ITBISA-LED-SUPERBRIGHT-5MM-BLUE")</f>
        <v>ITBISA-LED-SUPERBRIGHT-5MM-BLUE</v>
      </c>
      <c r="B7796" s="266">
        <f>IFERROR(__xludf.DUMMYFUNCTION("""COMPUTED_VALUE"""),45638.0)</f>
        <v>45638</v>
      </c>
      <c r="C7796" s="266" t="str">
        <f>IFERROR(__xludf.DUMMYFUNCTION("""COMPUTED_VALUE"""),"KYAI KONTONG")</f>
        <v>KYAI KONTONG</v>
      </c>
      <c r="D7796" s="186">
        <f>IFERROR(__xludf.DUMMYFUNCTION("""COMPUTED_VALUE"""),6.0)</f>
        <v>6</v>
      </c>
    </row>
    <row r="7797">
      <c r="A7797" s="178" t="str">
        <f>IFERROR(__xludf.DUMMYFUNCTION("""COMPUTED_VALUE"""),"ITBISA-LED-SUPERBRIGHT-5MM-BLUE")</f>
        <v>ITBISA-LED-SUPERBRIGHT-5MM-BLUE</v>
      </c>
      <c r="B7797" s="266">
        <f>IFERROR(__xludf.DUMMYFUNCTION("""COMPUTED_VALUE"""),45641.0)</f>
        <v>45641</v>
      </c>
      <c r="C7797" s="266" t="str">
        <f>IFERROR(__xludf.DUMMYFUNCTION("""COMPUTED_VALUE"""),"KYAI KONTONG")</f>
        <v>KYAI KONTONG</v>
      </c>
      <c r="D7797" s="186">
        <f>IFERROR(__xludf.DUMMYFUNCTION("""COMPUTED_VALUE"""),5.0)</f>
        <v>5</v>
      </c>
    </row>
    <row r="7798">
      <c r="A7798" s="178" t="str">
        <f>IFERROR(__xludf.DUMMYFUNCTION("""COMPUTED_VALUE"""),"ITBISA-LED-SUPERBRIGHT-5MM-BLUE")</f>
        <v>ITBISA-LED-SUPERBRIGHT-5MM-BLUE</v>
      </c>
      <c r="B7798" s="266">
        <f>IFERROR(__xludf.DUMMYFUNCTION("""COMPUTED_VALUE"""),45658.0)</f>
        <v>45658</v>
      </c>
      <c r="C7798" s="266" t="str">
        <f>IFERROR(__xludf.DUMMYFUNCTION("""COMPUTED_VALUE"""),"KYAI KONTONG")</f>
        <v>KYAI KONTONG</v>
      </c>
      <c r="D7798" s="186">
        <f>IFERROR(__xludf.DUMMYFUNCTION("""COMPUTED_VALUE"""),50.0)</f>
        <v>50</v>
      </c>
    </row>
    <row r="7799">
      <c r="A7799" s="178" t="str">
        <f>IFERROR(__xludf.DUMMYFUNCTION("""COMPUTED_VALUE"""),"ITBISA-LED-SUPERBRIGHT-5MM-BLUE")</f>
        <v>ITBISA-LED-SUPERBRIGHT-5MM-BLUE</v>
      </c>
      <c r="B7799" s="266">
        <f>IFERROR(__xludf.DUMMYFUNCTION("""COMPUTED_VALUE"""),45666.0)</f>
        <v>45666</v>
      </c>
      <c r="C7799" s="266" t="str">
        <f>IFERROR(__xludf.DUMMYFUNCTION("""COMPUTED_VALUE"""),"KYAI KONTONG")</f>
        <v>KYAI KONTONG</v>
      </c>
      <c r="D7799" s="186">
        <f>IFERROR(__xludf.DUMMYFUNCTION("""COMPUTED_VALUE"""),12.0)</f>
        <v>12</v>
      </c>
    </row>
    <row r="7800">
      <c r="A7800" s="178" t="str">
        <f>IFERROR(__xludf.DUMMYFUNCTION("""COMPUTED_VALUE"""),"ITBISA-LED-SUPERBRIGHT-5MM-BLUE")</f>
        <v>ITBISA-LED-SUPERBRIGHT-5MM-BLUE</v>
      </c>
      <c r="B7800" s="266">
        <f>IFERROR(__xludf.DUMMYFUNCTION("""COMPUTED_VALUE"""),45669.0)</f>
        <v>45669</v>
      </c>
      <c r="C7800" s="266" t="str">
        <f>IFERROR(__xludf.DUMMYFUNCTION("""COMPUTED_VALUE"""),"KERTASARI CIAMIS")</f>
        <v>KERTASARI CIAMIS</v>
      </c>
      <c r="D7800" s="186">
        <f>IFERROR(__xludf.DUMMYFUNCTION("""COMPUTED_VALUE"""),100.0)</f>
        <v>100</v>
      </c>
    </row>
    <row r="7801">
      <c r="A7801" s="178" t="str">
        <f>IFERROR(__xludf.DUMMYFUNCTION("""COMPUTED_VALUE"""),"ITBISA-LED-SUPERBRIGHT-5MM-BLUE")</f>
        <v>ITBISA-LED-SUPERBRIGHT-5MM-BLUE</v>
      </c>
      <c r="B7801" s="266">
        <f>IFERROR(__xludf.DUMMYFUNCTION("""COMPUTED_VALUE"""),45676.0)</f>
        <v>45676</v>
      </c>
      <c r="C7801" s="266" t="str">
        <f>IFERROR(__xludf.DUMMYFUNCTION("""COMPUTED_VALUE"""),"KYAI KONTONG")</f>
        <v>KYAI KONTONG</v>
      </c>
      <c r="D7801" s="186">
        <f>IFERROR(__xludf.DUMMYFUNCTION("""COMPUTED_VALUE"""),50.0)</f>
        <v>50</v>
      </c>
    </row>
    <row r="7802">
      <c r="A7802" s="178" t="str">
        <f>IFERROR(__xludf.DUMMYFUNCTION("""COMPUTED_VALUE"""),"ITBISA-LED-SUPERBRIGHT-5MM-BLUE")</f>
        <v>ITBISA-LED-SUPERBRIGHT-5MM-BLUE</v>
      </c>
      <c r="B7802" s="266">
        <f>IFERROR(__xludf.DUMMYFUNCTION("""COMPUTED_VALUE"""),45688.0)</f>
        <v>45688</v>
      </c>
      <c r="C7802" s="266" t="str">
        <f>IFERROR(__xludf.DUMMYFUNCTION("""COMPUTED_VALUE"""),"KERTASARI CIAMIS")</f>
        <v>KERTASARI CIAMIS</v>
      </c>
      <c r="D7802" s="186">
        <f>IFERROR(__xludf.DUMMYFUNCTION("""COMPUTED_VALUE"""),200.0)</f>
        <v>200</v>
      </c>
    </row>
    <row r="7803">
      <c r="A7803" s="178" t="str">
        <f>IFERROR(__xludf.DUMMYFUNCTION("""COMPUTED_VALUE"""),"ITBISA-LED-SUPERBRIGHT-5MM-BLUE")</f>
        <v>ITBISA-LED-SUPERBRIGHT-5MM-BLUE</v>
      </c>
      <c r="B7803" s="266">
        <f>IFERROR(__xludf.DUMMYFUNCTION("""COMPUTED_VALUE"""),45693.0)</f>
        <v>45693</v>
      </c>
      <c r="C7803" s="266" t="str">
        <f>IFERROR(__xludf.DUMMYFUNCTION("""COMPUTED_VALUE"""),"KERTASARI CIAMIS")</f>
        <v>KERTASARI CIAMIS</v>
      </c>
      <c r="D7803" s="186">
        <f>IFERROR(__xludf.DUMMYFUNCTION("""COMPUTED_VALUE"""),5.0)</f>
        <v>5</v>
      </c>
    </row>
    <row r="7804">
      <c r="A7804" s="178" t="str">
        <f>IFERROR(__xludf.DUMMYFUNCTION("""COMPUTED_VALUE"""),"ITBISA-LED-SUPERBRIGHT-5MM-BLUE")</f>
        <v>ITBISA-LED-SUPERBRIGHT-5MM-BLUE</v>
      </c>
      <c r="B7804" s="266">
        <f>IFERROR(__xludf.DUMMYFUNCTION("""COMPUTED_VALUE"""),45701.0)</f>
        <v>45701</v>
      </c>
      <c r="C7804" s="266" t="str">
        <f>IFERROR(__xludf.DUMMYFUNCTION("""COMPUTED_VALUE"""),"KYAI KONTONG")</f>
        <v>KYAI KONTONG</v>
      </c>
      <c r="D7804" s="186">
        <f>IFERROR(__xludf.DUMMYFUNCTION("""COMPUTED_VALUE"""),8.0)</f>
        <v>8</v>
      </c>
    </row>
    <row r="7805">
      <c r="A7805" s="178" t="str">
        <f>IFERROR(__xludf.DUMMYFUNCTION("""COMPUTED_VALUE"""),"ITBISA-LED-SUPERBRIGHT-5MM-BLUE")</f>
        <v>ITBISA-LED-SUPERBRIGHT-5MM-BLUE</v>
      </c>
      <c r="B7805" s="266">
        <f>IFERROR(__xludf.DUMMYFUNCTION("""COMPUTED_VALUE"""),45705.0)</f>
        <v>45705</v>
      </c>
      <c r="C7805" s="266" t="str">
        <f>IFERROR(__xludf.DUMMYFUNCTION("""COMPUTED_VALUE"""),"KYAI KONTONG")</f>
        <v>KYAI KONTONG</v>
      </c>
      <c r="D7805" s="186">
        <f>IFERROR(__xludf.DUMMYFUNCTION("""COMPUTED_VALUE"""),20.0)</f>
        <v>20</v>
      </c>
    </row>
    <row r="7806">
      <c r="A7806" s="178" t="str">
        <f>IFERROR(__xludf.DUMMYFUNCTION("""COMPUTED_VALUE"""),"ITBISA-LED-SUPERBRIGHT-5MM-BLUE")</f>
        <v>ITBISA-LED-SUPERBRIGHT-5MM-BLUE</v>
      </c>
      <c r="B7806" s="266">
        <f>IFERROR(__xludf.DUMMYFUNCTION("""COMPUTED_VALUE"""),45712.0)</f>
        <v>45712</v>
      </c>
      <c r="C7806" s="266" t="str">
        <f>IFERROR(__xludf.DUMMYFUNCTION("""COMPUTED_VALUE"""),"KYAI KONTONG")</f>
        <v>KYAI KONTONG</v>
      </c>
      <c r="D7806" s="186">
        <f>IFERROR(__xludf.DUMMYFUNCTION("""COMPUTED_VALUE"""),2.0)</f>
        <v>2</v>
      </c>
    </row>
    <row r="7807">
      <c r="A7807" s="178" t="str">
        <f>IFERROR(__xludf.DUMMYFUNCTION("""COMPUTED_VALUE"""),"ITBISA-LED-SUPERBRIGHT-5MM-BLUE")</f>
        <v>ITBISA-LED-SUPERBRIGHT-5MM-BLUE</v>
      </c>
      <c r="B7807" s="266">
        <f>IFERROR(__xludf.DUMMYFUNCTION("""COMPUTED_VALUE"""),45716.0)</f>
        <v>45716</v>
      </c>
      <c r="C7807" s="266" t="str">
        <f>IFERROR(__xludf.DUMMYFUNCTION("""COMPUTED_VALUE"""),"KYAI KONTONG")</f>
        <v>KYAI KONTONG</v>
      </c>
      <c r="D7807" s="186">
        <f>IFERROR(__xludf.DUMMYFUNCTION("""COMPUTED_VALUE"""),50.0)</f>
        <v>50</v>
      </c>
    </row>
    <row r="7808">
      <c r="A7808" s="178" t="str">
        <f>IFERROR(__xludf.DUMMYFUNCTION("""COMPUTED_VALUE"""),"ITBISA-LED-SUPERBRIGHT-5MM-BLUE")</f>
        <v>ITBISA-LED-SUPERBRIGHT-5MM-BLUE</v>
      </c>
      <c r="B7808" s="266">
        <f>IFERROR(__xludf.DUMMYFUNCTION("""COMPUTED_VALUE"""),45718.0)</f>
        <v>45718</v>
      </c>
      <c r="C7808" s="266" t="str">
        <f>IFERROR(__xludf.DUMMYFUNCTION("""COMPUTED_VALUE"""),"KERTASARI CIAMIS")</f>
        <v>KERTASARI CIAMIS</v>
      </c>
      <c r="D7808" s="186">
        <f>IFERROR(__xludf.DUMMYFUNCTION("""COMPUTED_VALUE"""),20.0)</f>
        <v>20</v>
      </c>
    </row>
    <row r="7809">
      <c r="A7809" s="178" t="str">
        <f>IFERROR(__xludf.DUMMYFUNCTION("""COMPUTED_VALUE"""),"ITBISA-LED-SUPERBRIGHT-5MM-BLUE")</f>
        <v>ITBISA-LED-SUPERBRIGHT-5MM-BLUE</v>
      </c>
      <c r="B7809" s="266">
        <f>IFERROR(__xludf.DUMMYFUNCTION("""COMPUTED_VALUE"""),45726.0)</f>
        <v>45726</v>
      </c>
      <c r="C7809" s="266" t="str">
        <f>IFERROR(__xludf.DUMMYFUNCTION("""COMPUTED_VALUE"""),"KERTASARI CIAMIS")</f>
        <v>KERTASARI CIAMIS</v>
      </c>
      <c r="D7809" s="186">
        <f>IFERROR(__xludf.DUMMYFUNCTION("""COMPUTED_VALUE"""),1.0)</f>
        <v>1</v>
      </c>
    </row>
    <row r="7810">
      <c r="A7810" s="178" t="str">
        <f>IFERROR(__xludf.DUMMYFUNCTION("""COMPUTED_VALUE"""),"ITBISA-LED-SUPERBRIGHT-5MM-BLUE")</f>
        <v>ITBISA-LED-SUPERBRIGHT-5MM-BLUE</v>
      </c>
      <c r="B7810" s="266">
        <f>IFERROR(__xludf.DUMMYFUNCTION("""COMPUTED_VALUE"""),45726.0)</f>
        <v>45726</v>
      </c>
      <c r="C7810" s="266" t="str">
        <f>IFERROR(__xludf.DUMMYFUNCTION("""COMPUTED_VALUE"""),"KERTASARI CIAMIS")</f>
        <v>KERTASARI CIAMIS</v>
      </c>
      <c r="D7810" s="186">
        <f>IFERROR(__xludf.DUMMYFUNCTION("""COMPUTED_VALUE"""),40.0)</f>
        <v>40</v>
      </c>
    </row>
    <row r="7811">
      <c r="A7811" s="178" t="str">
        <f>IFERROR(__xludf.DUMMYFUNCTION("""COMPUTED_VALUE"""),"ITBISA-LED-SUPERBRIGHT-5MM-BLUE")</f>
        <v>ITBISA-LED-SUPERBRIGHT-5MM-BLUE</v>
      </c>
      <c r="B7811" s="266">
        <f>IFERROR(__xludf.DUMMYFUNCTION("""COMPUTED_VALUE"""),45730.0)</f>
        <v>45730</v>
      </c>
      <c r="C7811" s="266" t="str">
        <f>IFERROR(__xludf.DUMMYFUNCTION("""COMPUTED_VALUE"""),"KERTASARI CIAMIS")</f>
        <v>KERTASARI CIAMIS</v>
      </c>
      <c r="D7811" s="186">
        <f>IFERROR(__xludf.DUMMYFUNCTION("""COMPUTED_VALUE"""),15.0)</f>
        <v>15</v>
      </c>
    </row>
    <row r="7812">
      <c r="A7812" s="178" t="str">
        <f>IFERROR(__xludf.DUMMYFUNCTION("""COMPUTED_VALUE"""),"ITBISA-LED-SUPERBRIGHT-5MM-BLUE")</f>
        <v>ITBISA-LED-SUPERBRIGHT-5MM-BLUE</v>
      </c>
      <c r="B7812" s="266">
        <f>IFERROR(__xludf.DUMMYFUNCTION("""COMPUTED_VALUE"""),45733.0)</f>
        <v>45733</v>
      </c>
      <c r="C7812" s="266" t="str">
        <f>IFERROR(__xludf.DUMMYFUNCTION("""COMPUTED_VALUE"""),"KYAI KONTONG")</f>
        <v>KYAI KONTONG</v>
      </c>
      <c r="D7812" s="186">
        <f>IFERROR(__xludf.DUMMYFUNCTION("""COMPUTED_VALUE"""),15.0)</f>
        <v>15</v>
      </c>
    </row>
    <row r="7813">
      <c r="A7813" s="178" t="str">
        <f>IFERROR(__xludf.DUMMYFUNCTION("""COMPUTED_VALUE"""),"ITBISA-LED-SUPERBRIGHT-5MM-BLUE")</f>
        <v>ITBISA-LED-SUPERBRIGHT-5MM-BLUE</v>
      </c>
      <c r="B7813" s="266">
        <f>IFERROR(__xludf.DUMMYFUNCTION("""COMPUTED_VALUE"""),45734.0)</f>
        <v>45734</v>
      </c>
      <c r="C7813" s="266" t="str">
        <f>IFERROR(__xludf.DUMMYFUNCTION("""COMPUTED_VALUE"""),"KYAI KONTONG")</f>
        <v>KYAI KONTONG</v>
      </c>
      <c r="D7813" s="186">
        <f>IFERROR(__xludf.DUMMYFUNCTION("""COMPUTED_VALUE"""),6.0)</f>
        <v>6</v>
      </c>
    </row>
    <row r="7814">
      <c r="A7814" s="178" t="str">
        <f>IFERROR(__xludf.DUMMYFUNCTION("""COMPUTED_VALUE"""),"ITBISA-LED-SUPERBRIGHT-5MM-BLUE")</f>
        <v>ITBISA-LED-SUPERBRIGHT-5MM-BLUE</v>
      </c>
      <c r="B7814" s="266">
        <f>IFERROR(__xludf.DUMMYFUNCTION("""COMPUTED_VALUE"""),45749.0)</f>
        <v>45749</v>
      </c>
      <c r="C7814" s="266" t="str">
        <f>IFERROR(__xludf.DUMMYFUNCTION("""COMPUTED_VALUE"""),"KERTASARI CIAMIS")</f>
        <v>KERTASARI CIAMIS</v>
      </c>
      <c r="D7814" s="186">
        <f>IFERROR(__xludf.DUMMYFUNCTION("""COMPUTED_VALUE"""),20.0)</f>
        <v>20</v>
      </c>
    </row>
    <row r="7815">
      <c r="A7815" s="178" t="str">
        <f>IFERROR(__xludf.DUMMYFUNCTION("""COMPUTED_VALUE"""),"ITBISA-LED-SUPERBRIGHT-5MM-BLUE")</f>
        <v>ITBISA-LED-SUPERBRIGHT-5MM-BLUE</v>
      </c>
      <c r="B7815" s="266">
        <f>IFERROR(__xludf.DUMMYFUNCTION("""COMPUTED_VALUE"""),45751.0)</f>
        <v>45751</v>
      </c>
      <c r="C7815" s="266" t="str">
        <f>IFERROR(__xludf.DUMMYFUNCTION("""COMPUTED_VALUE"""),"KERTASARI CIAMIS")</f>
        <v>KERTASARI CIAMIS</v>
      </c>
      <c r="D7815" s="186">
        <f>IFERROR(__xludf.DUMMYFUNCTION("""COMPUTED_VALUE"""),100.0)</f>
        <v>100</v>
      </c>
    </row>
    <row r="7816">
      <c r="A7816" s="178" t="str">
        <f>IFERROR(__xludf.DUMMYFUNCTION("""COMPUTED_VALUE"""),"ITBISA-LED-SUPERBRIGHT-5MM-BLUE")</f>
        <v>ITBISA-LED-SUPERBRIGHT-5MM-BLUE</v>
      </c>
      <c r="B7816" s="266">
        <f>IFERROR(__xludf.DUMMYFUNCTION("""COMPUTED_VALUE"""),45758.0)</f>
        <v>45758</v>
      </c>
      <c r="C7816" s="266" t="str">
        <f>IFERROR(__xludf.DUMMYFUNCTION("""COMPUTED_VALUE"""),"KYAI KONTONG")</f>
        <v>KYAI KONTONG</v>
      </c>
      <c r="D7816" s="186">
        <f>IFERROR(__xludf.DUMMYFUNCTION("""COMPUTED_VALUE"""),25.0)</f>
        <v>25</v>
      </c>
    </row>
    <row r="7817">
      <c r="A7817" s="178" t="str">
        <f>IFERROR(__xludf.DUMMYFUNCTION("""COMPUTED_VALUE"""),"ITBISA-LED-SUPERBRIGHT-5MM-BLUE")</f>
        <v>ITBISA-LED-SUPERBRIGHT-5MM-BLUE</v>
      </c>
      <c r="B7817" s="266">
        <f>IFERROR(__xludf.DUMMYFUNCTION("""COMPUTED_VALUE"""),45773.0)</f>
        <v>45773</v>
      </c>
      <c r="C7817" s="266" t="str">
        <f>IFERROR(__xludf.DUMMYFUNCTION("""COMPUTED_VALUE"""),"KERTASARI CIAMIS")</f>
        <v>KERTASARI CIAMIS</v>
      </c>
      <c r="D7817" s="186">
        <f>IFERROR(__xludf.DUMMYFUNCTION("""COMPUTED_VALUE"""),10.0)</f>
        <v>10</v>
      </c>
    </row>
    <row r="7818">
      <c r="A7818" s="178" t="str">
        <f>IFERROR(__xludf.DUMMYFUNCTION("""COMPUTED_VALUE"""),"ITBISA-LED-SUPERBRIGHT-5MM-BLUE")</f>
        <v>ITBISA-LED-SUPERBRIGHT-5MM-BLUE</v>
      </c>
      <c r="B7818" s="266">
        <f>IFERROR(__xludf.DUMMYFUNCTION("""COMPUTED_VALUE"""),45777.0)</f>
        <v>45777</v>
      </c>
      <c r="C7818" s="266" t="str">
        <f>IFERROR(__xludf.DUMMYFUNCTION("""COMPUTED_VALUE"""),"KERTASARI CIAMIS")</f>
        <v>KERTASARI CIAMIS</v>
      </c>
      <c r="D7818" s="186">
        <f>IFERROR(__xludf.DUMMYFUNCTION("""COMPUTED_VALUE"""),1.0)</f>
        <v>1</v>
      </c>
    </row>
    <row r="7819">
      <c r="A7819" s="178" t="str">
        <f>IFERROR(__xludf.DUMMYFUNCTION("""COMPUTED_VALUE"""),"ITBISA-LED-SUPERBRIGHT-5MM-BLUE")</f>
        <v>ITBISA-LED-SUPERBRIGHT-5MM-BLUE</v>
      </c>
      <c r="B7819" s="266">
        <f>IFERROR(__xludf.DUMMYFUNCTION("""COMPUTED_VALUE"""),45780.0)</f>
        <v>45780</v>
      </c>
      <c r="C7819" s="266" t="str">
        <f>IFERROR(__xludf.DUMMYFUNCTION("""COMPUTED_VALUE"""),"KYAI KONTONG")</f>
        <v>KYAI KONTONG</v>
      </c>
      <c r="D7819" s="186">
        <f>IFERROR(__xludf.DUMMYFUNCTION("""COMPUTED_VALUE"""),1.0)</f>
        <v>1</v>
      </c>
    </row>
    <row r="7820">
      <c r="A7820" s="178" t="str">
        <f>IFERROR(__xludf.DUMMYFUNCTION("""COMPUTED_VALUE"""),"ITBISA-LED-SUPERBRIGHT-5MM-BLUE")</f>
        <v>ITBISA-LED-SUPERBRIGHT-5MM-BLUE</v>
      </c>
      <c r="B7820" s="266">
        <f>IFERROR(__xludf.DUMMYFUNCTION("""COMPUTED_VALUE"""),45785.0)</f>
        <v>45785</v>
      </c>
      <c r="C7820" s="266" t="str">
        <f>IFERROR(__xludf.DUMMYFUNCTION("""COMPUTED_VALUE"""),"KERTASARI CIAMIS")</f>
        <v>KERTASARI CIAMIS</v>
      </c>
      <c r="D7820" s="186">
        <f>IFERROR(__xludf.DUMMYFUNCTION("""COMPUTED_VALUE"""),1.0)</f>
        <v>1</v>
      </c>
    </row>
    <row r="7821">
      <c r="A7821" s="178" t="str">
        <f>IFERROR(__xludf.DUMMYFUNCTION("""COMPUTED_VALUE"""),"ITBISA-LED-SUPERBRIGHT-5MM-BLUE")</f>
        <v>ITBISA-LED-SUPERBRIGHT-5MM-BLUE</v>
      </c>
      <c r="B7821" s="266">
        <f>IFERROR(__xludf.DUMMYFUNCTION("""COMPUTED_VALUE"""),45792.0)</f>
        <v>45792</v>
      </c>
      <c r="C7821" s="266" t="str">
        <f>IFERROR(__xludf.DUMMYFUNCTION("""COMPUTED_VALUE"""),"KERTASARI CIAMIS")</f>
        <v>KERTASARI CIAMIS</v>
      </c>
      <c r="D7821" s="186">
        <f>IFERROR(__xludf.DUMMYFUNCTION("""COMPUTED_VALUE"""),25.0)</f>
        <v>25</v>
      </c>
    </row>
    <row r="7822">
      <c r="A7822" s="178" t="str">
        <f>IFERROR(__xludf.DUMMYFUNCTION("""COMPUTED_VALUE"""),"ITBISA-LED-SUPERBRIGHT-5MM-BLUE")</f>
        <v>ITBISA-LED-SUPERBRIGHT-5MM-BLUE</v>
      </c>
      <c r="B7822" s="266">
        <f>IFERROR(__xludf.DUMMYFUNCTION("""COMPUTED_VALUE"""),45803.0)</f>
        <v>45803</v>
      </c>
      <c r="C7822" s="266" t="str">
        <f>IFERROR(__xludf.DUMMYFUNCTION("""COMPUTED_VALUE"""),"KYAI KONTONG")</f>
        <v>KYAI KONTONG</v>
      </c>
      <c r="D7822" s="186">
        <f>IFERROR(__xludf.DUMMYFUNCTION("""COMPUTED_VALUE"""),2.0)</f>
        <v>2</v>
      </c>
    </row>
    <row r="7823">
      <c r="A7823" s="178" t="str">
        <f>IFERROR(__xludf.DUMMYFUNCTION("""COMPUTED_VALUE"""),"ITBISA-LED-SUPERBRIGHT-5MM-BLUE")</f>
        <v>ITBISA-LED-SUPERBRIGHT-5MM-BLUE</v>
      </c>
      <c r="B7823" s="266">
        <f>IFERROR(__xludf.DUMMYFUNCTION("""COMPUTED_VALUE"""),45810.0)</f>
        <v>45810</v>
      </c>
      <c r="C7823" s="266" t="str">
        <f>IFERROR(__xludf.DUMMYFUNCTION("""COMPUTED_VALUE"""),"KYAI KONTONG")</f>
        <v>KYAI KONTONG</v>
      </c>
      <c r="D7823" s="186">
        <f>IFERROR(__xludf.DUMMYFUNCTION("""COMPUTED_VALUE"""),20.0)</f>
        <v>20</v>
      </c>
    </row>
    <row r="7824">
      <c r="A7824" s="178" t="str">
        <f>IFERROR(__xludf.DUMMYFUNCTION("""COMPUTED_VALUE"""),"ITBISA-LED-SUPERBRIGHT-5MM-BLUE")</f>
        <v>ITBISA-LED-SUPERBRIGHT-5MM-BLUE</v>
      </c>
      <c r="B7824" s="266">
        <f>IFERROR(__xludf.DUMMYFUNCTION("""COMPUTED_VALUE"""),45824.0)</f>
        <v>45824</v>
      </c>
      <c r="C7824" s="266" t="str">
        <f>IFERROR(__xludf.DUMMYFUNCTION("""COMPUTED_VALUE"""),"KERTASARI CIAMIS")</f>
        <v>KERTASARI CIAMIS</v>
      </c>
      <c r="D7824" s="186">
        <f>IFERROR(__xludf.DUMMYFUNCTION("""COMPUTED_VALUE"""),5.0)</f>
        <v>5</v>
      </c>
    </row>
    <row r="7825">
      <c r="A7825" s="178" t="str">
        <f>IFERROR(__xludf.DUMMYFUNCTION("""COMPUTED_VALUE"""),"ITBISA-LED-SUPERBRIGHT-5MM-BLUE")</f>
        <v>ITBISA-LED-SUPERBRIGHT-5MM-BLUE</v>
      </c>
      <c r="B7825" s="266">
        <f>IFERROR(__xludf.DUMMYFUNCTION("""COMPUTED_VALUE"""),45827.0)</f>
        <v>45827</v>
      </c>
      <c r="C7825" s="266" t="str">
        <f>IFERROR(__xludf.DUMMYFUNCTION("""COMPUTED_VALUE"""),"KERTASARI CIAMIS")</f>
        <v>KERTASARI CIAMIS</v>
      </c>
      <c r="D7825" s="186">
        <f>IFERROR(__xludf.DUMMYFUNCTION("""COMPUTED_VALUE"""),10.0)</f>
        <v>10</v>
      </c>
    </row>
    <row r="7826">
      <c r="A7826" s="178" t="str">
        <f>IFERROR(__xludf.DUMMYFUNCTION("""COMPUTED_VALUE"""),"ITBISA-LED-SUPERBRIGHT-5MM-BLUE")</f>
        <v>ITBISA-LED-SUPERBRIGHT-5MM-BLUE</v>
      </c>
      <c r="B7826" s="266">
        <f>IFERROR(__xludf.DUMMYFUNCTION("""COMPUTED_VALUE"""),45849.0)</f>
        <v>45849</v>
      </c>
      <c r="C7826" s="266" t="str">
        <f>IFERROR(__xludf.DUMMYFUNCTION("""COMPUTED_VALUE"""),"KYAI KONTONG")</f>
        <v>KYAI KONTONG</v>
      </c>
      <c r="D7826" s="186">
        <f>IFERROR(__xludf.DUMMYFUNCTION("""COMPUTED_VALUE"""),100.0)</f>
        <v>100</v>
      </c>
    </row>
    <row r="7827">
      <c r="A7827" s="178" t="str">
        <f>IFERROR(__xludf.DUMMYFUNCTION("""COMPUTED_VALUE"""),"ITBISA-LED-SUPERBRIGHT-5MM-BLUE")</f>
        <v>ITBISA-LED-SUPERBRIGHT-5MM-BLUE</v>
      </c>
      <c r="B7827" s="266">
        <f>IFERROR(__xludf.DUMMYFUNCTION("""COMPUTED_VALUE"""),45867.0)</f>
        <v>45867</v>
      </c>
      <c r="C7827" s="266" t="str">
        <f>IFERROR(__xludf.DUMMYFUNCTION("""COMPUTED_VALUE"""),"KYAI KONTONG")</f>
        <v>KYAI KONTONG</v>
      </c>
      <c r="D7827" s="186">
        <f>IFERROR(__xludf.DUMMYFUNCTION("""COMPUTED_VALUE"""),21.0)</f>
        <v>21</v>
      </c>
    </row>
    <row r="7828">
      <c r="A7828" s="178" t="str">
        <f>IFERROR(__xludf.DUMMYFUNCTION("""COMPUTED_VALUE"""),"ITBISA-LED-SUPERBRIGHT-5MM-BLUE")</f>
        <v>ITBISA-LED-SUPERBRIGHT-5MM-BLUE</v>
      </c>
      <c r="B7828" s="266">
        <f>IFERROR(__xludf.DUMMYFUNCTION("""COMPUTED_VALUE"""),45877.0)</f>
        <v>45877</v>
      </c>
      <c r="C7828" s="266" t="str">
        <f>IFERROR(__xludf.DUMMYFUNCTION("""COMPUTED_VALUE"""),"KYAI KONTONG")</f>
        <v>KYAI KONTONG</v>
      </c>
      <c r="D7828" s="186">
        <f>IFERROR(__xludf.DUMMYFUNCTION("""COMPUTED_VALUE"""),1.0)</f>
        <v>1</v>
      </c>
    </row>
    <row r="7829">
      <c r="A7829" s="178" t="str">
        <f>IFERROR(__xludf.DUMMYFUNCTION("""COMPUTED_VALUE"""),"ITBISA-LED-SUPERBRIGHT-5MM-BLUE")</f>
        <v>ITBISA-LED-SUPERBRIGHT-5MM-BLUE</v>
      </c>
      <c r="B7829" s="266">
        <f>IFERROR(__xludf.DUMMYFUNCTION("""COMPUTED_VALUE"""),45880.0)</f>
        <v>45880</v>
      </c>
      <c r="C7829" s="266" t="str">
        <f>IFERROR(__xludf.DUMMYFUNCTION("""COMPUTED_VALUE"""),"KYAI KONTONG")</f>
        <v>KYAI KONTONG</v>
      </c>
      <c r="D7829" s="186">
        <f>IFERROR(__xludf.DUMMYFUNCTION("""COMPUTED_VALUE"""),5.0)</f>
        <v>5</v>
      </c>
    </row>
    <row r="7830">
      <c r="A7830" s="178" t="str">
        <f>IFERROR(__xludf.DUMMYFUNCTION("""COMPUTED_VALUE"""),"ITBISA-LED-SUPERBRIGHT-5MM-BLUE")</f>
        <v>ITBISA-LED-SUPERBRIGHT-5MM-BLUE</v>
      </c>
      <c r="B7830" s="266">
        <f>IFERROR(__xludf.DUMMYFUNCTION("""COMPUTED_VALUE"""),45882.0)</f>
        <v>45882</v>
      </c>
      <c r="C7830" s="266" t="str">
        <f>IFERROR(__xludf.DUMMYFUNCTION("""COMPUTED_VALUE"""),"KERTASARI CIAMIS")</f>
        <v>KERTASARI CIAMIS</v>
      </c>
      <c r="D7830" s="186">
        <f>IFERROR(__xludf.DUMMYFUNCTION("""COMPUTED_VALUE"""),11.0)</f>
        <v>11</v>
      </c>
    </row>
    <row r="7831">
      <c r="A7831" s="178" t="str">
        <f>IFERROR(__xludf.DUMMYFUNCTION("""COMPUTED_VALUE"""),"ITBISA-LED-SUPERBRIGHT-5MM-BLUE")</f>
        <v>ITBISA-LED-SUPERBRIGHT-5MM-BLUE</v>
      </c>
      <c r="B7831" s="266">
        <f>IFERROR(__xludf.DUMMYFUNCTION("""COMPUTED_VALUE"""),45882.0)</f>
        <v>45882</v>
      </c>
      <c r="C7831" s="266" t="str">
        <f>IFERROR(__xludf.DUMMYFUNCTION("""COMPUTED_VALUE"""),"KYAI KONTONG")</f>
        <v>KYAI KONTONG</v>
      </c>
      <c r="D7831" s="186">
        <f>IFERROR(__xludf.DUMMYFUNCTION("""COMPUTED_VALUE"""),20.0)</f>
        <v>20</v>
      </c>
    </row>
    <row r="7832">
      <c r="A7832" s="178" t="str">
        <f>IFERROR(__xludf.DUMMYFUNCTION("""COMPUTED_VALUE"""),"ITBISA-LED-SUPERBRIGHT-5MM-BLUE")</f>
        <v>ITBISA-LED-SUPERBRIGHT-5MM-BLUE</v>
      </c>
      <c r="B7832" s="266">
        <f>IFERROR(__xludf.DUMMYFUNCTION("""COMPUTED_VALUE"""),45883.0)</f>
        <v>45883</v>
      </c>
      <c r="C7832" s="266" t="str">
        <f>IFERROR(__xludf.DUMMYFUNCTION("""COMPUTED_VALUE"""),"KYAI KONTONG")</f>
        <v>KYAI KONTONG</v>
      </c>
      <c r="D7832" s="186">
        <f>IFERROR(__xludf.DUMMYFUNCTION("""COMPUTED_VALUE"""),4.0)</f>
        <v>4</v>
      </c>
    </row>
    <row r="7833">
      <c r="A7833" s="178" t="str">
        <f>IFERROR(__xludf.DUMMYFUNCTION("""COMPUTED_VALUE"""),"ITBISA-LED-SUPERBRIGHT-5MM-BLUE")</f>
        <v>ITBISA-LED-SUPERBRIGHT-5MM-BLUE</v>
      </c>
      <c r="B7833" s="266">
        <f>IFERROR(__xludf.DUMMYFUNCTION("""COMPUTED_VALUE"""),45887.0)</f>
        <v>45887</v>
      </c>
      <c r="C7833" s="266" t="str">
        <f>IFERROR(__xludf.DUMMYFUNCTION("""COMPUTED_VALUE"""),"KERTASARI CIAMIS")</f>
        <v>KERTASARI CIAMIS</v>
      </c>
      <c r="D7833" s="186">
        <f>IFERROR(__xludf.DUMMYFUNCTION("""COMPUTED_VALUE"""),5.0)</f>
        <v>5</v>
      </c>
    </row>
    <row r="7834">
      <c r="A7834" s="178" t="str">
        <f>IFERROR(__xludf.DUMMYFUNCTION("""COMPUTED_VALUE"""),"ITBISA-LED-SUPERBRIGHT-5MM-BLUE")</f>
        <v>ITBISA-LED-SUPERBRIGHT-5MM-BLUE</v>
      </c>
      <c r="B7834" s="266">
        <f>IFERROR(__xludf.DUMMYFUNCTION("""COMPUTED_VALUE"""),45890.0)</f>
        <v>45890</v>
      </c>
      <c r="C7834" s="266" t="str">
        <f>IFERROR(__xludf.DUMMYFUNCTION("""COMPUTED_VALUE"""),"KYAI KONTONG")</f>
        <v>KYAI KONTONG</v>
      </c>
      <c r="D7834" s="186">
        <f>IFERROR(__xludf.DUMMYFUNCTION("""COMPUTED_VALUE"""),100.0)</f>
        <v>100</v>
      </c>
    </row>
    <row r="7835">
      <c r="A7835" s="178" t="str">
        <f>IFERROR(__xludf.DUMMYFUNCTION("""COMPUTED_VALUE"""),"ITBISA-LED-SUPERBRIGHT-5MM-BLUE")</f>
        <v>ITBISA-LED-SUPERBRIGHT-5MM-BLUE</v>
      </c>
      <c r="B7835" s="266">
        <f>IFERROR(__xludf.DUMMYFUNCTION("""COMPUTED_VALUE"""),45906.0)</f>
        <v>45906</v>
      </c>
      <c r="C7835" s="266" t="str">
        <f>IFERROR(__xludf.DUMMYFUNCTION("""COMPUTED_VALUE"""),"KERTASARI CIAMIS")</f>
        <v>KERTASARI CIAMIS</v>
      </c>
      <c r="D7835" s="186">
        <f>IFERROR(__xludf.DUMMYFUNCTION("""COMPUTED_VALUE"""),200.0)</f>
        <v>200</v>
      </c>
    </row>
    <row r="7836">
      <c r="A7836" s="178" t="str">
        <f>IFERROR(__xludf.DUMMYFUNCTION("""COMPUTED_VALUE"""),"ITBISA-LED-SUPERBRIGHT-5MM-BLUE")</f>
        <v>ITBISA-LED-SUPERBRIGHT-5MM-BLUE</v>
      </c>
      <c r="B7836" s="266">
        <f>IFERROR(__xludf.DUMMYFUNCTION("""COMPUTED_VALUE"""),45908.0)</f>
        <v>45908</v>
      </c>
      <c r="C7836" s="266" t="str">
        <f>IFERROR(__xludf.DUMMYFUNCTION("""COMPUTED_VALUE"""),"KYAI KONTONG")</f>
        <v>KYAI KONTONG</v>
      </c>
      <c r="D7836" s="186">
        <f>IFERROR(__xludf.DUMMYFUNCTION("""COMPUTED_VALUE"""),20.0)</f>
        <v>20</v>
      </c>
    </row>
    <row r="7837">
      <c r="A7837" s="178" t="str">
        <f>IFERROR(__xludf.DUMMYFUNCTION("""COMPUTED_VALUE"""),"ITBISA-LED-SUPERBRIGHT-5MM-BLUE")</f>
        <v>ITBISA-LED-SUPERBRIGHT-5MM-BLUE</v>
      </c>
      <c r="B7837" s="266">
        <f>IFERROR(__xludf.DUMMYFUNCTION("""COMPUTED_VALUE"""),45910.0)</f>
        <v>45910</v>
      </c>
      <c r="C7837" s="266" t="str">
        <f>IFERROR(__xludf.DUMMYFUNCTION("""COMPUTED_VALUE"""),"KYAI KONTONG")</f>
        <v>KYAI KONTONG</v>
      </c>
      <c r="D7837" s="186">
        <f>IFERROR(__xludf.DUMMYFUNCTION("""COMPUTED_VALUE"""),10.0)</f>
        <v>10</v>
      </c>
    </row>
    <row r="7838">
      <c r="A7838" s="178" t="str">
        <f>IFERROR(__xludf.DUMMYFUNCTION("""COMPUTED_VALUE"""),"ITBISA-LED-SUPERBRIGHT-5MM-BLUE")</f>
        <v>ITBISA-LED-SUPERBRIGHT-5MM-BLUE</v>
      </c>
      <c r="B7838" s="266">
        <f>IFERROR(__xludf.DUMMYFUNCTION("""COMPUTED_VALUE"""),45923.0)</f>
        <v>45923</v>
      </c>
      <c r="C7838" s="266" t="str">
        <f>IFERROR(__xludf.DUMMYFUNCTION("""COMPUTED_VALUE"""),"KYAI KONTONG")</f>
        <v>KYAI KONTONG</v>
      </c>
      <c r="D7838" s="186">
        <f>IFERROR(__xludf.DUMMYFUNCTION("""COMPUTED_VALUE"""),10.0)</f>
        <v>10</v>
      </c>
    </row>
    <row r="7839">
      <c r="A7839" s="178" t="str">
        <f>IFERROR(__xludf.DUMMYFUNCTION("""COMPUTED_VALUE"""),"ITBISA-LED-SUPERBRIGHT-5MM-BLUE")</f>
        <v>ITBISA-LED-SUPERBRIGHT-5MM-BLUE</v>
      </c>
      <c r="B7839" s="266">
        <f>IFERROR(__xludf.DUMMYFUNCTION("""COMPUTED_VALUE"""),45924.0)</f>
        <v>45924</v>
      </c>
      <c r="C7839" s="266" t="str">
        <f>IFERROR(__xludf.DUMMYFUNCTION("""COMPUTED_VALUE"""),"KERTASARI CIAMIS")</f>
        <v>KERTASARI CIAMIS</v>
      </c>
      <c r="D7839" s="186">
        <f>IFERROR(__xludf.DUMMYFUNCTION("""COMPUTED_VALUE"""),100.0)</f>
        <v>100</v>
      </c>
    </row>
    <row r="7840">
      <c r="A7840" s="178" t="str">
        <f>IFERROR(__xludf.DUMMYFUNCTION("""COMPUTED_VALUE"""),"ITBISA-LED-SUPERBRIGHT-5MM-BLUE")</f>
        <v>ITBISA-LED-SUPERBRIGHT-5MM-BLUE</v>
      </c>
      <c r="B7840" s="266">
        <f>IFERROR(__xludf.DUMMYFUNCTION("""COMPUTED_VALUE"""),45925.0)</f>
        <v>45925</v>
      </c>
      <c r="C7840" s="266" t="str">
        <f>IFERROR(__xludf.DUMMYFUNCTION("""COMPUTED_VALUE"""),"KERTASARI CIAMIS")</f>
        <v>KERTASARI CIAMIS</v>
      </c>
      <c r="D7840" s="186">
        <f>IFERROR(__xludf.DUMMYFUNCTION("""COMPUTED_VALUE"""),20.0)</f>
        <v>20</v>
      </c>
    </row>
    <row r="7841">
      <c r="A7841" s="178" t="str">
        <f>IFERROR(__xludf.DUMMYFUNCTION("""COMPUTED_VALUE"""),"ITBISA-LED-SUPERBRIGHT-5MM-BLUE")</f>
        <v>ITBISA-LED-SUPERBRIGHT-5MM-BLUE</v>
      </c>
      <c r="B7841" s="266">
        <f>IFERROR(__xludf.DUMMYFUNCTION("""COMPUTED_VALUE"""),45931.0)</f>
        <v>45931</v>
      </c>
      <c r="C7841" s="266" t="str">
        <f>IFERROR(__xludf.DUMMYFUNCTION("""COMPUTED_VALUE"""),"KERTASARI CIAMIS")</f>
        <v>KERTASARI CIAMIS</v>
      </c>
      <c r="D7841" s="186">
        <f>IFERROR(__xludf.DUMMYFUNCTION("""COMPUTED_VALUE"""),11.0)</f>
        <v>11</v>
      </c>
    </row>
    <row r="7842">
      <c r="A7842" s="178" t="str">
        <f>IFERROR(__xludf.DUMMYFUNCTION("""COMPUTED_VALUE"""),"ITBISA-LED-SUPERBRIGHT-5MM-BLUE")</f>
        <v>ITBISA-LED-SUPERBRIGHT-5MM-BLUE</v>
      </c>
      <c r="B7842" s="266">
        <f>IFERROR(__xludf.DUMMYFUNCTION("""COMPUTED_VALUE"""),45934.0)</f>
        <v>45934</v>
      </c>
      <c r="C7842" s="266" t="str">
        <f>IFERROR(__xludf.DUMMYFUNCTION("""COMPUTED_VALUE"""),"KERTASARI CIAMIS")</f>
        <v>KERTASARI CIAMIS</v>
      </c>
      <c r="D7842" s="186">
        <f>IFERROR(__xludf.DUMMYFUNCTION("""COMPUTED_VALUE"""),100.0)</f>
        <v>100</v>
      </c>
    </row>
    <row r="7843">
      <c r="A7843" s="178" t="str">
        <f>IFERROR(__xludf.DUMMYFUNCTION("""COMPUTED_VALUE"""),"ITBISA-LED-SUPERBRIGHT-5MM-BLUE")</f>
        <v>ITBISA-LED-SUPERBRIGHT-5MM-BLUE</v>
      </c>
      <c r="B7843" s="266">
        <f>IFERROR(__xludf.DUMMYFUNCTION("""COMPUTED_VALUE"""),45936.0)</f>
        <v>45936</v>
      </c>
      <c r="C7843" s="266" t="str">
        <f>IFERROR(__xludf.DUMMYFUNCTION("""COMPUTED_VALUE"""),"KERTASARI CIAMIS")</f>
        <v>KERTASARI CIAMIS</v>
      </c>
      <c r="D7843" s="186">
        <f>IFERROR(__xludf.DUMMYFUNCTION("""COMPUTED_VALUE"""),5.0)</f>
        <v>5</v>
      </c>
    </row>
    <row r="7844">
      <c r="A7844" s="178" t="str">
        <f>IFERROR(__xludf.DUMMYFUNCTION("""COMPUTED_VALUE"""),"ITBISA-LED-SUPERBRIGHT-5MM-BLUE")</f>
        <v>ITBISA-LED-SUPERBRIGHT-5MM-BLUE</v>
      </c>
      <c r="B7844" s="266">
        <f>IFERROR(__xludf.DUMMYFUNCTION("""COMPUTED_VALUE"""),45937.0)</f>
        <v>45937</v>
      </c>
      <c r="C7844" s="266" t="str">
        <f>IFERROR(__xludf.DUMMYFUNCTION("""COMPUTED_VALUE"""),"KYAI KONTONG")</f>
        <v>KYAI KONTONG</v>
      </c>
      <c r="D7844" s="186">
        <f>IFERROR(__xludf.DUMMYFUNCTION("""COMPUTED_VALUE"""),30.0)</f>
        <v>30</v>
      </c>
    </row>
    <row r="7845">
      <c r="A7845" s="178" t="str">
        <f>IFERROR(__xludf.DUMMYFUNCTION("""COMPUTED_VALUE"""),"ITBISA-LED-SUPERBRIGHT-5MM-BLUE")</f>
        <v>ITBISA-LED-SUPERBRIGHT-5MM-BLUE</v>
      </c>
      <c r="B7845" s="266">
        <f>IFERROR(__xludf.DUMMYFUNCTION("""COMPUTED_VALUE"""),45940.0)</f>
        <v>45940</v>
      </c>
      <c r="C7845" s="266" t="str">
        <f>IFERROR(__xludf.DUMMYFUNCTION("""COMPUTED_VALUE"""),"KERTASARI CIAMIS")</f>
        <v>KERTASARI CIAMIS</v>
      </c>
      <c r="D7845" s="186">
        <f>IFERROR(__xludf.DUMMYFUNCTION("""COMPUTED_VALUE"""),6.0)</f>
        <v>6</v>
      </c>
    </row>
    <row r="7846">
      <c r="A7846" s="178" t="str">
        <f>IFERROR(__xludf.DUMMYFUNCTION("""COMPUTED_VALUE"""),"ITBISA-LED-SUPERBRIGHT-5MM-BLUE")</f>
        <v>ITBISA-LED-SUPERBRIGHT-5MM-BLUE</v>
      </c>
      <c r="B7846" s="266">
        <f>IFERROR(__xludf.DUMMYFUNCTION("""COMPUTED_VALUE"""),45940.0)</f>
        <v>45940</v>
      </c>
      <c r="C7846" s="266" t="str">
        <f>IFERROR(__xludf.DUMMYFUNCTION("""COMPUTED_VALUE"""),"KYAI KONTONG")</f>
        <v>KYAI KONTONG</v>
      </c>
      <c r="D7846" s="186">
        <f>IFERROR(__xludf.DUMMYFUNCTION("""COMPUTED_VALUE"""),20.0)</f>
        <v>20</v>
      </c>
    </row>
    <row r="7847">
      <c r="A7847" s="178" t="str">
        <f>IFERROR(__xludf.DUMMYFUNCTION("""COMPUTED_VALUE"""),"ITBISA-LED-SUPERBRIGHT-5MM-BLUE")</f>
        <v>ITBISA-LED-SUPERBRIGHT-5MM-BLUE</v>
      </c>
      <c r="B7847" s="266">
        <f>IFERROR(__xludf.DUMMYFUNCTION("""COMPUTED_VALUE"""),45943.0)</f>
        <v>45943</v>
      </c>
      <c r="C7847" s="266" t="str">
        <f>IFERROR(__xludf.DUMMYFUNCTION("""COMPUTED_VALUE"""),"KYAI KONTONG")</f>
        <v>KYAI KONTONG</v>
      </c>
      <c r="D7847" s="186">
        <f>IFERROR(__xludf.DUMMYFUNCTION("""COMPUTED_VALUE"""),5.0)</f>
        <v>5</v>
      </c>
    </row>
    <row r="7848">
      <c r="A7848" s="178" t="str">
        <f>IFERROR(__xludf.DUMMYFUNCTION("""COMPUTED_VALUE"""),"ITBISA-LED-SUPERBRIGHT-5MM-BLUE")</f>
        <v>ITBISA-LED-SUPERBRIGHT-5MM-BLUE</v>
      </c>
      <c r="B7848" s="266">
        <f>IFERROR(__xludf.DUMMYFUNCTION("""COMPUTED_VALUE"""),45946.0)</f>
        <v>45946</v>
      </c>
      <c r="C7848" s="266" t="str">
        <f>IFERROR(__xludf.DUMMYFUNCTION("""COMPUTED_VALUE"""),"KYAI KONTONG")</f>
        <v>KYAI KONTONG</v>
      </c>
      <c r="D7848" s="186">
        <f>IFERROR(__xludf.DUMMYFUNCTION("""COMPUTED_VALUE"""),5.0)</f>
        <v>5</v>
      </c>
    </row>
    <row r="7849">
      <c r="A7849" s="178" t="str">
        <f>IFERROR(__xludf.DUMMYFUNCTION("""COMPUTED_VALUE"""),"ITBISA-LED-SUPERBRIGHT-5MM-BLUE")</f>
        <v>ITBISA-LED-SUPERBRIGHT-5MM-BLUE</v>
      </c>
      <c r="B7849" s="266">
        <f>IFERROR(__xludf.DUMMYFUNCTION("""COMPUTED_VALUE"""),45947.0)</f>
        <v>45947</v>
      </c>
      <c r="C7849" s="266" t="str">
        <f>IFERROR(__xludf.DUMMYFUNCTION("""COMPUTED_VALUE"""),"KYAI KONTONG")</f>
        <v>KYAI KONTONG</v>
      </c>
      <c r="D7849" s="186">
        <f>IFERROR(__xludf.DUMMYFUNCTION("""COMPUTED_VALUE"""),9.0)</f>
        <v>9</v>
      </c>
    </row>
    <row r="7850">
      <c r="A7850" s="178" t="str">
        <f>IFERROR(__xludf.DUMMYFUNCTION("""COMPUTED_VALUE"""),"ITBISA-LED-SUPERBRIGHT-5MM-BLUE")</f>
        <v>ITBISA-LED-SUPERBRIGHT-5MM-BLUE</v>
      </c>
      <c r="B7850" s="266">
        <f>IFERROR(__xludf.DUMMYFUNCTION("""COMPUTED_VALUE"""),45948.0)</f>
        <v>45948</v>
      </c>
      <c r="C7850" s="266" t="str">
        <f>IFERROR(__xludf.DUMMYFUNCTION("""COMPUTED_VALUE"""),"KYAI KONTONG")</f>
        <v>KYAI KONTONG</v>
      </c>
      <c r="D7850" s="186">
        <f>IFERROR(__xludf.DUMMYFUNCTION("""COMPUTED_VALUE"""),1.0)</f>
        <v>1</v>
      </c>
    </row>
    <row r="7851">
      <c r="A7851" s="178" t="str">
        <f>IFERROR(__xludf.DUMMYFUNCTION("""COMPUTED_VALUE"""),"ITBISA-LED-SUPERBRIGHT-5MM-BLUE")</f>
        <v>ITBISA-LED-SUPERBRIGHT-5MM-BLUE</v>
      </c>
      <c r="B7851" s="266">
        <f>IFERROR(__xludf.DUMMYFUNCTION("""COMPUTED_VALUE"""),45950.0)</f>
        <v>45950</v>
      </c>
      <c r="C7851" s="266" t="str">
        <f>IFERROR(__xludf.DUMMYFUNCTION("""COMPUTED_VALUE"""),"KYAI KONTONG")</f>
        <v>KYAI KONTONG</v>
      </c>
      <c r="D7851" s="186">
        <f>IFERROR(__xludf.DUMMYFUNCTION("""COMPUTED_VALUE"""),5.0)</f>
        <v>5</v>
      </c>
    </row>
    <row r="7852">
      <c r="A7852" s="178" t="str">
        <f>IFERROR(__xludf.DUMMYFUNCTION("""COMPUTED_VALUE"""),"ITBISA-LED-SUPERBRIGHT-5MM-BLUE")</f>
        <v>ITBISA-LED-SUPERBRIGHT-5MM-BLUE</v>
      </c>
      <c r="B7852" s="266">
        <f>IFERROR(__xludf.DUMMYFUNCTION("""COMPUTED_VALUE"""),45950.0)</f>
        <v>45950</v>
      </c>
      <c r="C7852" s="266" t="str">
        <f>IFERROR(__xludf.DUMMYFUNCTION("""COMPUTED_VALUE"""),"KYAI KONTONG")</f>
        <v>KYAI KONTONG</v>
      </c>
      <c r="D7852" s="186">
        <f>IFERROR(__xludf.DUMMYFUNCTION("""COMPUTED_VALUE"""),6.0)</f>
        <v>6</v>
      </c>
    </row>
    <row r="7853">
      <c r="A7853" s="178" t="str">
        <f>IFERROR(__xludf.DUMMYFUNCTION("""COMPUTED_VALUE"""),"ITBISA-LED-SUPERBRIGHT-5MM-BLUE")</f>
        <v>ITBISA-LED-SUPERBRIGHT-5MM-BLUE</v>
      </c>
      <c r="B7853" s="266">
        <f>IFERROR(__xludf.DUMMYFUNCTION("""COMPUTED_VALUE"""),45951.0)</f>
        <v>45951</v>
      </c>
      <c r="C7853" s="266" t="str">
        <f>IFERROR(__xludf.DUMMYFUNCTION("""COMPUTED_VALUE"""),"KYAI KONTONG")</f>
        <v>KYAI KONTONG</v>
      </c>
      <c r="D7853" s="186">
        <f>IFERROR(__xludf.DUMMYFUNCTION("""COMPUTED_VALUE"""),5.0)</f>
        <v>5</v>
      </c>
    </row>
    <row r="7854">
      <c r="A7854" s="178" t="str">
        <f>IFERROR(__xludf.DUMMYFUNCTION("""COMPUTED_VALUE"""),"ITBISA-LED-SUPERBRIGHT-5MM-BLUE")</f>
        <v>ITBISA-LED-SUPERBRIGHT-5MM-BLUE</v>
      </c>
      <c r="B7854" s="266">
        <f>IFERROR(__xludf.DUMMYFUNCTION("""COMPUTED_VALUE"""),45952.0)</f>
        <v>45952</v>
      </c>
      <c r="C7854" s="266" t="str">
        <f>IFERROR(__xludf.DUMMYFUNCTION("""COMPUTED_VALUE"""),"KYAI KONTONG")</f>
        <v>KYAI KONTONG</v>
      </c>
      <c r="D7854" s="186">
        <f>IFERROR(__xludf.DUMMYFUNCTION("""COMPUTED_VALUE"""),50.0)</f>
        <v>50</v>
      </c>
    </row>
    <row r="7855">
      <c r="A7855" s="178" t="str">
        <f>IFERROR(__xludf.DUMMYFUNCTION("""COMPUTED_VALUE"""),"ITBISA-LED-SUPERBRIGHT-5MM-BLUE")</f>
        <v>ITBISA-LED-SUPERBRIGHT-5MM-BLUE</v>
      </c>
      <c r="B7855" s="266">
        <f>IFERROR(__xludf.DUMMYFUNCTION("""COMPUTED_VALUE"""),45953.0)</f>
        <v>45953</v>
      </c>
      <c r="C7855" s="266" t="str">
        <f>IFERROR(__xludf.DUMMYFUNCTION("""COMPUTED_VALUE"""),"KERTASARI CIAMIS")</f>
        <v>KERTASARI CIAMIS</v>
      </c>
      <c r="D7855" s="186">
        <f>IFERROR(__xludf.DUMMYFUNCTION("""COMPUTED_VALUE"""),2.0)</f>
        <v>2</v>
      </c>
    </row>
    <row r="7856">
      <c r="A7856" s="178" t="str">
        <f>IFERROR(__xludf.DUMMYFUNCTION("""COMPUTED_VALUE"""),"ITBISA-LED-SUPERBRIGHT-5MM-BLUE")</f>
        <v>ITBISA-LED-SUPERBRIGHT-5MM-BLUE</v>
      </c>
      <c r="B7856" s="266">
        <f>IFERROR(__xludf.DUMMYFUNCTION("""COMPUTED_VALUE"""),45953.0)</f>
        <v>45953</v>
      </c>
      <c r="C7856" s="266" t="str">
        <f>IFERROR(__xludf.DUMMYFUNCTION("""COMPUTED_VALUE"""),"KYAI KONTONG")</f>
        <v>KYAI KONTONG</v>
      </c>
      <c r="D7856" s="186">
        <f>IFERROR(__xludf.DUMMYFUNCTION("""COMPUTED_VALUE"""),5.0)</f>
        <v>5</v>
      </c>
    </row>
    <row r="7857">
      <c r="A7857" s="178" t="str">
        <f>IFERROR(__xludf.DUMMYFUNCTION("""COMPUTED_VALUE"""),"ITBISA-LED-SUPERBRIGHT-5MM-BLUE")</f>
        <v>ITBISA-LED-SUPERBRIGHT-5MM-BLUE</v>
      </c>
      <c r="B7857" s="266">
        <f>IFERROR(__xludf.DUMMYFUNCTION("""COMPUTED_VALUE"""),45954.0)</f>
        <v>45954</v>
      </c>
      <c r="C7857" s="266" t="str">
        <f>IFERROR(__xludf.DUMMYFUNCTION("""COMPUTED_VALUE"""),"KYAI KONTONG")</f>
        <v>KYAI KONTONG</v>
      </c>
      <c r="D7857" s="186">
        <f>IFERROR(__xludf.DUMMYFUNCTION("""COMPUTED_VALUE"""),3.0)</f>
        <v>3</v>
      </c>
    </row>
    <row r="7858">
      <c r="A7858" s="178" t="str">
        <f>IFERROR(__xludf.DUMMYFUNCTION("""COMPUTED_VALUE"""),"ITBISA-LED-SUPERBRIGHT-5MM-BLUE")</f>
        <v>ITBISA-LED-SUPERBRIGHT-5MM-BLUE</v>
      </c>
      <c r="B7858" s="266">
        <f>IFERROR(__xludf.DUMMYFUNCTION("""COMPUTED_VALUE"""),45955.0)</f>
        <v>45955</v>
      </c>
      <c r="C7858" s="266" t="str">
        <f>IFERROR(__xludf.DUMMYFUNCTION("""COMPUTED_VALUE"""),"KERTASARI CIAMIS")</f>
        <v>KERTASARI CIAMIS</v>
      </c>
      <c r="D7858" s="186">
        <f>IFERROR(__xludf.DUMMYFUNCTION("""COMPUTED_VALUE"""),10.0)</f>
        <v>10</v>
      </c>
    </row>
    <row r="7859">
      <c r="A7859" s="178" t="str">
        <f>IFERROR(__xludf.DUMMYFUNCTION("""COMPUTED_VALUE"""),"ITBISA-LED-SUPERBRIGHT-5MM-BLUE")</f>
        <v>ITBISA-LED-SUPERBRIGHT-5MM-BLUE</v>
      </c>
      <c r="B7859" s="266">
        <f>IFERROR(__xludf.DUMMYFUNCTION("""COMPUTED_VALUE"""),45956.0)</f>
        <v>45956</v>
      </c>
      <c r="C7859" s="266" t="str">
        <f>IFERROR(__xludf.DUMMYFUNCTION("""COMPUTED_VALUE"""),"KYAI KONTONG")</f>
        <v>KYAI KONTONG</v>
      </c>
      <c r="D7859" s="186">
        <f>IFERROR(__xludf.DUMMYFUNCTION("""COMPUTED_VALUE"""),5.0)</f>
        <v>5</v>
      </c>
    </row>
    <row r="7860">
      <c r="A7860" s="178" t="str">
        <f>IFERROR(__xludf.DUMMYFUNCTION("""COMPUTED_VALUE"""),"ITBISA-LED-SUPERBRIGHT-5MM-BLUE")</f>
        <v>ITBISA-LED-SUPERBRIGHT-5MM-BLUE</v>
      </c>
      <c r="B7860" s="266">
        <f>IFERROR(__xludf.DUMMYFUNCTION("""COMPUTED_VALUE"""),45956.0)</f>
        <v>45956</v>
      </c>
      <c r="C7860" s="266" t="str">
        <f>IFERROR(__xludf.DUMMYFUNCTION("""COMPUTED_VALUE"""),"KYAI KONTONG")</f>
        <v>KYAI KONTONG</v>
      </c>
      <c r="D7860" s="186">
        <f>IFERROR(__xludf.DUMMYFUNCTION("""COMPUTED_VALUE"""),6.0)</f>
        <v>6</v>
      </c>
    </row>
    <row r="7861">
      <c r="A7861" s="178" t="str">
        <f>IFERROR(__xludf.DUMMYFUNCTION("""COMPUTED_VALUE"""),"ITBISA-LED-SUPERBRIGHT-5MM-BLUE")</f>
        <v>ITBISA-LED-SUPERBRIGHT-5MM-BLUE</v>
      </c>
      <c r="B7861" s="266">
        <f>IFERROR(__xludf.DUMMYFUNCTION("""COMPUTED_VALUE"""),45958.0)</f>
        <v>45958</v>
      </c>
      <c r="C7861" s="266" t="str">
        <f>IFERROR(__xludf.DUMMYFUNCTION("""COMPUTED_VALUE"""),"KYAI KONTONG")</f>
        <v>KYAI KONTONG</v>
      </c>
      <c r="D7861" s="186">
        <f>IFERROR(__xludf.DUMMYFUNCTION("""COMPUTED_VALUE"""),5.0)</f>
        <v>5</v>
      </c>
    </row>
    <row r="7862">
      <c r="A7862" s="178" t="str">
        <f>IFERROR(__xludf.DUMMYFUNCTION("""COMPUTED_VALUE"""),"ITBISA-LED-SUPERBRIGHT-5MM-BLUE")</f>
        <v>ITBISA-LED-SUPERBRIGHT-5MM-BLUE</v>
      </c>
      <c r="B7862" s="266">
        <f>IFERROR(__xludf.DUMMYFUNCTION("""COMPUTED_VALUE"""),45959.0)</f>
        <v>45959</v>
      </c>
      <c r="C7862" s="266" t="str">
        <f>IFERROR(__xludf.DUMMYFUNCTION("""COMPUTED_VALUE"""),"KYAI KONTONG")</f>
        <v>KYAI KONTONG</v>
      </c>
      <c r="D7862" s="186">
        <f>IFERROR(__xludf.DUMMYFUNCTION("""COMPUTED_VALUE"""),2.0)</f>
        <v>2</v>
      </c>
    </row>
    <row r="7863">
      <c r="A7863" s="178" t="str">
        <f>IFERROR(__xludf.DUMMYFUNCTION("""COMPUTED_VALUE"""),"ITBISA-LED-SUPERBRIGHT-5MM-BLUE")</f>
        <v>ITBISA-LED-SUPERBRIGHT-5MM-BLUE</v>
      </c>
      <c r="B7863" s="266">
        <f>IFERROR(__xludf.DUMMYFUNCTION("""COMPUTED_VALUE"""),45960.0)</f>
        <v>45960</v>
      </c>
      <c r="C7863" s="266" t="str">
        <f>IFERROR(__xludf.DUMMYFUNCTION("""COMPUTED_VALUE"""),"KYAI KONTONG")</f>
        <v>KYAI KONTONG</v>
      </c>
      <c r="D7863" s="186">
        <f>IFERROR(__xludf.DUMMYFUNCTION("""COMPUTED_VALUE"""),1.0)</f>
        <v>1</v>
      </c>
    </row>
    <row r="7864">
      <c r="A7864" s="178" t="str">
        <f>IFERROR(__xludf.DUMMYFUNCTION("""COMPUTED_VALUE"""),"ITBISA-LED-SUPERBRIGHT-5MM-BLUE")</f>
        <v>ITBISA-LED-SUPERBRIGHT-5MM-BLUE</v>
      </c>
      <c r="B7864" s="266">
        <f>IFERROR(__xludf.DUMMYFUNCTION("""COMPUTED_VALUE"""),45960.0)</f>
        <v>45960</v>
      </c>
      <c r="C7864" s="266" t="str">
        <f>IFERROR(__xludf.DUMMYFUNCTION("""COMPUTED_VALUE"""),"KYAI KONTONG")</f>
        <v>KYAI KONTONG</v>
      </c>
      <c r="D7864" s="186">
        <f>IFERROR(__xludf.DUMMYFUNCTION("""COMPUTED_VALUE"""),20.0)</f>
        <v>20</v>
      </c>
    </row>
    <row r="7865">
      <c r="A7865" s="178" t="str">
        <f>IFERROR(__xludf.DUMMYFUNCTION("""COMPUTED_VALUE"""),"ITBISA-LED-SUPERBRIGHT-5MM-BLUE")</f>
        <v>ITBISA-LED-SUPERBRIGHT-5MM-BLUE</v>
      </c>
      <c r="B7865" s="266">
        <f>IFERROR(__xludf.DUMMYFUNCTION("""COMPUTED_VALUE"""),45962.0)</f>
        <v>45962</v>
      </c>
      <c r="C7865" s="266" t="str">
        <f>IFERROR(__xludf.DUMMYFUNCTION("""COMPUTED_VALUE"""),"KYAI KONTONG")</f>
        <v>KYAI KONTONG</v>
      </c>
      <c r="D7865" s="186">
        <f>IFERROR(__xludf.DUMMYFUNCTION("""COMPUTED_VALUE"""),1.0)</f>
        <v>1</v>
      </c>
    </row>
    <row r="7866">
      <c r="A7866" s="178" t="str">
        <f>IFERROR(__xludf.DUMMYFUNCTION("""COMPUTED_VALUE"""),"ITBISA-LED-SUPERBRIGHT-5MM-BLUE")</f>
        <v>ITBISA-LED-SUPERBRIGHT-5MM-BLUE</v>
      </c>
      <c r="B7866" s="266">
        <f>IFERROR(__xludf.DUMMYFUNCTION("""COMPUTED_VALUE"""),45962.0)</f>
        <v>45962</v>
      </c>
      <c r="C7866" s="266" t="str">
        <f>IFERROR(__xludf.DUMMYFUNCTION("""COMPUTED_VALUE"""),"KYAI KONTONG")</f>
        <v>KYAI KONTONG</v>
      </c>
      <c r="D7866" s="186">
        <f>IFERROR(__xludf.DUMMYFUNCTION("""COMPUTED_VALUE"""),5.0)</f>
        <v>5</v>
      </c>
    </row>
    <row r="7867">
      <c r="A7867" s="178" t="str">
        <f>IFERROR(__xludf.DUMMYFUNCTION("""COMPUTED_VALUE"""),"ITBISA-LED-SUPERBRIGHT-5MM-BLUE")</f>
        <v>ITBISA-LED-SUPERBRIGHT-5MM-BLUE</v>
      </c>
      <c r="B7867" s="266">
        <f>IFERROR(__xludf.DUMMYFUNCTION("""COMPUTED_VALUE"""),45962.0)</f>
        <v>45962</v>
      </c>
      <c r="C7867" s="266" t="str">
        <f>IFERROR(__xludf.DUMMYFUNCTION("""COMPUTED_VALUE"""),"KYAI KONTONG")</f>
        <v>KYAI KONTONG</v>
      </c>
      <c r="D7867" s="186">
        <f>IFERROR(__xludf.DUMMYFUNCTION("""COMPUTED_VALUE"""),5.0)</f>
        <v>5</v>
      </c>
    </row>
    <row r="7868">
      <c r="A7868" s="178" t="str">
        <f>IFERROR(__xludf.DUMMYFUNCTION("""COMPUTED_VALUE"""),"ITBISA-LED-SUPERBRIGHT-5MM-BLUE")</f>
        <v>ITBISA-LED-SUPERBRIGHT-5MM-BLUE</v>
      </c>
      <c r="B7868" s="266">
        <f>IFERROR(__xludf.DUMMYFUNCTION("""COMPUTED_VALUE"""),45964.0)</f>
        <v>45964</v>
      </c>
      <c r="C7868" s="266" t="str">
        <f>IFERROR(__xludf.DUMMYFUNCTION("""COMPUTED_VALUE"""),"KERTASARI CIAMIS")</f>
        <v>KERTASARI CIAMIS</v>
      </c>
      <c r="D7868" s="186">
        <f>IFERROR(__xludf.DUMMYFUNCTION("""COMPUTED_VALUE"""),20.0)</f>
        <v>20</v>
      </c>
    </row>
    <row r="7869">
      <c r="A7869" s="178" t="str">
        <f>IFERROR(__xludf.DUMMYFUNCTION("""COMPUTED_VALUE"""),"ITBISA-LED-SUPERBRIGHT-5MM-BLUE")</f>
        <v>ITBISA-LED-SUPERBRIGHT-5MM-BLUE</v>
      </c>
      <c r="B7869" s="266">
        <f>IFERROR(__xludf.DUMMYFUNCTION("""COMPUTED_VALUE"""),45964.0)</f>
        <v>45964</v>
      </c>
      <c r="C7869" s="266" t="str">
        <f>IFERROR(__xludf.DUMMYFUNCTION("""COMPUTED_VALUE"""),"KYAI KONTONG")</f>
        <v>KYAI KONTONG</v>
      </c>
      <c r="D7869" s="186">
        <f>IFERROR(__xludf.DUMMYFUNCTION("""COMPUTED_VALUE"""),6.0)</f>
        <v>6</v>
      </c>
    </row>
    <row r="7870">
      <c r="A7870" s="178" t="str">
        <f>IFERROR(__xludf.DUMMYFUNCTION("""COMPUTED_VALUE"""),"ITBISA-LED-SUPERBRIGHT-5MM-BLUE")</f>
        <v>ITBISA-LED-SUPERBRIGHT-5MM-BLUE</v>
      </c>
      <c r="B7870" s="266">
        <f>IFERROR(__xludf.DUMMYFUNCTION("""COMPUTED_VALUE"""),45966.0)</f>
        <v>45966</v>
      </c>
      <c r="C7870" s="266" t="str">
        <f>IFERROR(__xludf.DUMMYFUNCTION("""COMPUTED_VALUE"""),"KYAI KONTONG")</f>
        <v>KYAI KONTONG</v>
      </c>
      <c r="D7870" s="186">
        <f>IFERROR(__xludf.DUMMYFUNCTION("""COMPUTED_VALUE"""),5.0)</f>
        <v>5</v>
      </c>
    </row>
    <row r="7871">
      <c r="A7871" s="178" t="str">
        <f>IFERROR(__xludf.DUMMYFUNCTION("""COMPUTED_VALUE"""),"ITBISA-LED-SUPERBRIGHT-5MM-BLUE")</f>
        <v>ITBISA-LED-SUPERBRIGHT-5MM-BLUE</v>
      </c>
      <c r="B7871" s="266">
        <f>IFERROR(__xludf.DUMMYFUNCTION("""COMPUTED_VALUE"""),45967.0)</f>
        <v>45967</v>
      </c>
      <c r="C7871" s="266" t="str">
        <f>IFERROR(__xludf.DUMMYFUNCTION("""COMPUTED_VALUE"""),"KYAI KONTONG")</f>
        <v>KYAI KONTONG</v>
      </c>
      <c r="D7871" s="186">
        <f>IFERROR(__xludf.DUMMYFUNCTION("""COMPUTED_VALUE"""),5.0)</f>
        <v>5</v>
      </c>
    </row>
    <row r="7872">
      <c r="A7872" s="178" t="str">
        <f>IFERROR(__xludf.DUMMYFUNCTION("""COMPUTED_VALUE"""),"ITBISA-LED-SUPERBRIGHT-5MM-BLUE")</f>
        <v>ITBISA-LED-SUPERBRIGHT-5MM-BLUE</v>
      </c>
      <c r="B7872" s="266">
        <f>IFERROR(__xludf.DUMMYFUNCTION("""COMPUTED_VALUE"""),45977.0)</f>
        <v>45977</v>
      </c>
      <c r="C7872" s="266" t="str">
        <f>IFERROR(__xludf.DUMMYFUNCTION("""COMPUTED_VALUE"""),"KERTASARI CIAMIS")</f>
        <v>KERTASARI CIAMIS</v>
      </c>
      <c r="D7872" s="186">
        <f>IFERROR(__xludf.DUMMYFUNCTION("""COMPUTED_VALUE"""),100.0)</f>
        <v>100</v>
      </c>
    </row>
    <row r="7873">
      <c r="A7873" s="178" t="str">
        <f>IFERROR(__xludf.DUMMYFUNCTION("""COMPUTED_VALUE"""),"ITBISA-LED-SUPERBRIGHT-5MM-BLUE")</f>
        <v>ITBISA-LED-SUPERBRIGHT-5MM-BLUE</v>
      </c>
      <c r="B7873" s="266">
        <f>IFERROR(__xludf.DUMMYFUNCTION("""COMPUTED_VALUE"""),45979.0)</f>
        <v>45979</v>
      </c>
      <c r="C7873" s="266" t="str">
        <f>IFERROR(__xludf.DUMMYFUNCTION("""COMPUTED_VALUE"""),"KERTASARI CIAMIS")</f>
        <v>KERTASARI CIAMIS</v>
      </c>
      <c r="D7873" s="186">
        <f>IFERROR(__xludf.DUMMYFUNCTION("""COMPUTED_VALUE"""),6.0)</f>
        <v>6</v>
      </c>
    </row>
    <row r="7874">
      <c r="A7874" s="178" t="str">
        <f>IFERROR(__xludf.DUMMYFUNCTION("""COMPUTED_VALUE"""),"ITBISA-LED-SUPERBRIGHT-5MM-BLUE")</f>
        <v>ITBISA-LED-SUPERBRIGHT-5MM-BLUE</v>
      </c>
      <c r="B7874" s="266">
        <f>IFERROR(__xludf.DUMMYFUNCTION("""COMPUTED_VALUE"""),45984.0)</f>
        <v>45984</v>
      </c>
      <c r="C7874" s="266" t="str">
        <f>IFERROR(__xludf.DUMMYFUNCTION("""COMPUTED_VALUE"""),"KERTASARI CIAMIS")</f>
        <v>KERTASARI CIAMIS</v>
      </c>
      <c r="D7874" s="186">
        <f>IFERROR(__xludf.DUMMYFUNCTION("""COMPUTED_VALUE"""),5.0)</f>
        <v>5</v>
      </c>
    </row>
    <row r="7875">
      <c r="A7875" s="178" t="str">
        <f>IFERROR(__xludf.DUMMYFUNCTION("""COMPUTED_VALUE"""),"ITBISA-LED-SUPERBRIGHT-5MM-BLUE")</f>
        <v>ITBISA-LED-SUPERBRIGHT-5MM-BLUE</v>
      </c>
      <c r="B7875" s="266">
        <f>IFERROR(__xludf.DUMMYFUNCTION("""COMPUTED_VALUE"""),45994.0)</f>
        <v>45994</v>
      </c>
      <c r="C7875" s="266" t="str">
        <f>IFERROR(__xludf.DUMMYFUNCTION("""COMPUTED_VALUE"""),"KERTASARI CIAMIS")</f>
        <v>KERTASARI CIAMIS</v>
      </c>
      <c r="D7875" s="186">
        <f>IFERROR(__xludf.DUMMYFUNCTION("""COMPUTED_VALUE"""),15.0)</f>
        <v>15</v>
      </c>
    </row>
    <row r="7876">
      <c r="A7876" s="178" t="str">
        <f>IFERROR(__xludf.DUMMYFUNCTION("""COMPUTED_VALUE"""),"ITBISA-LED-SUPERBRIGHT-5MM-BLUE")</f>
        <v>ITBISA-LED-SUPERBRIGHT-5MM-BLUE</v>
      </c>
      <c r="B7876" s="266">
        <f>IFERROR(__xludf.DUMMYFUNCTION("""COMPUTED_VALUE"""),45996.0)</f>
        <v>45996</v>
      </c>
      <c r="C7876" s="266" t="str">
        <f>IFERROR(__xludf.DUMMYFUNCTION("""COMPUTED_VALUE"""),"KYAI KONTONG")</f>
        <v>KYAI KONTONG</v>
      </c>
      <c r="D7876" s="186">
        <f>IFERROR(__xludf.DUMMYFUNCTION("""COMPUTED_VALUE"""),3.0)</f>
        <v>3</v>
      </c>
    </row>
    <row r="7877">
      <c r="A7877" s="178" t="str">
        <f>IFERROR(__xludf.DUMMYFUNCTION("""COMPUTED_VALUE"""),"ITBISA-LED-SUPERBRIGHT-5MM-BLUE")</f>
        <v>ITBISA-LED-SUPERBRIGHT-5MM-BLUE</v>
      </c>
      <c r="B7877" s="266">
        <f>IFERROR(__xludf.DUMMYFUNCTION("""COMPUTED_VALUE"""),45998.0)</f>
        <v>45998</v>
      </c>
      <c r="C7877" s="266" t="str">
        <f>IFERROR(__xludf.DUMMYFUNCTION("""COMPUTED_VALUE"""),"KERTASARI CIAMIS")</f>
        <v>KERTASARI CIAMIS</v>
      </c>
      <c r="D7877" s="186">
        <f>IFERROR(__xludf.DUMMYFUNCTION("""COMPUTED_VALUE"""),4.0)</f>
        <v>4</v>
      </c>
    </row>
    <row r="7878">
      <c r="A7878" s="178" t="str">
        <f>IFERROR(__xludf.DUMMYFUNCTION("""COMPUTED_VALUE"""),"ITBISA-LED-SUPERBRIGHT-5MM-BLUE")</f>
        <v>ITBISA-LED-SUPERBRIGHT-5MM-BLUE</v>
      </c>
      <c r="B7878" s="266">
        <f>IFERROR(__xludf.DUMMYFUNCTION("""COMPUTED_VALUE"""),46002.0)</f>
        <v>46002</v>
      </c>
      <c r="C7878" s="266" t="str">
        <f>IFERROR(__xludf.DUMMYFUNCTION("""COMPUTED_VALUE"""),"KYAI KONTONG")</f>
        <v>KYAI KONTONG</v>
      </c>
      <c r="D7878" s="186">
        <f>IFERROR(__xludf.DUMMYFUNCTION("""COMPUTED_VALUE"""),35.0)</f>
        <v>35</v>
      </c>
    </row>
    <row r="7879">
      <c r="A7879" s="178" t="str">
        <f>IFERROR(__xludf.DUMMYFUNCTION("""COMPUTED_VALUE"""),"ITBISA-LED-SUPERBRIGHT-5MM-BLUE")</f>
        <v>ITBISA-LED-SUPERBRIGHT-5MM-BLUE</v>
      </c>
      <c r="B7879" s="266">
        <f>IFERROR(__xludf.DUMMYFUNCTION("""COMPUTED_VALUE"""),46003.0)</f>
        <v>46003</v>
      </c>
      <c r="C7879" s="266" t="str">
        <f>IFERROR(__xludf.DUMMYFUNCTION("""COMPUTED_VALUE"""),"KYAI KONTONG")</f>
        <v>KYAI KONTONG</v>
      </c>
      <c r="D7879" s="186">
        <f>IFERROR(__xludf.DUMMYFUNCTION("""COMPUTED_VALUE"""),10.0)</f>
        <v>10</v>
      </c>
    </row>
    <row r="7880">
      <c r="A7880" s="178" t="str">
        <f>IFERROR(__xludf.DUMMYFUNCTION("""COMPUTED_VALUE"""),"ITBISA-LED-SUPERBRIGHT-5MM-BLUE")</f>
        <v>ITBISA-LED-SUPERBRIGHT-5MM-BLUE</v>
      </c>
      <c r="B7880" s="266">
        <f>IFERROR(__xludf.DUMMYFUNCTION("""COMPUTED_VALUE"""),46005.0)</f>
        <v>46005</v>
      </c>
      <c r="C7880" s="266" t="str">
        <f>IFERROR(__xludf.DUMMYFUNCTION("""COMPUTED_VALUE"""),"KYAI KONTONG")</f>
        <v>KYAI KONTONG</v>
      </c>
      <c r="D7880" s="186">
        <f>IFERROR(__xludf.DUMMYFUNCTION("""COMPUTED_VALUE"""),5.0)</f>
        <v>5</v>
      </c>
    </row>
    <row r="7881">
      <c r="A7881" s="178" t="str">
        <f>IFERROR(__xludf.DUMMYFUNCTION("""COMPUTED_VALUE"""),"ITBISA-LED-SUPERBRIGHT-5MM-BLUE")</f>
        <v>ITBISA-LED-SUPERBRIGHT-5MM-BLUE</v>
      </c>
      <c r="B7881" s="266">
        <f>IFERROR(__xludf.DUMMYFUNCTION("""COMPUTED_VALUE"""),46006.0)</f>
        <v>46006</v>
      </c>
      <c r="C7881" s="266" t="str">
        <f>IFERROR(__xludf.DUMMYFUNCTION("""COMPUTED_VALUE"""),"KYAI KONTONG")</f>
        <v>KYAI KONTONG</v>
      </c>
      <c r="D7881" s="186">
        <f>IFERROR(__xludf.DUMMYFUNCTION("""COMPUTED_VALUE"""),20.0)</f>
        <v>20</v>
      </c>
    </row>
    <row r="7882">
      <c r="A7882" s="178" t="str">
        <f>IFERROR(__xludf.DUMMYFUNCTION("""COMPUTED_VALUE"""),"ITBISA-LED-SUPERBRIGHT-5MM-BLUE")</f>
        <v>ITBISA-LED-SUPERBRIGHT-5MM-BLUE</v>
      </c>
      <c r="B7882" s="266">
        <f>IFERROR(__xludf.DUMMYFUNCTION("""COMPUTED_VALUE"""),46007.0)</f>
        <v>46007</v>
      </c>
      <c r="C7882" s="266" t="str">
        <f>IFERROR(__xludf.DUMMYFUNCTION("""COMPUTED_VALUE"""),"KYAI KONTONG")</f>
        <v>KYAI KONTONG</v>
      </c>
      <c r="D7882" s="186">
        <f>IFERROR(__xludf.DUMMYFUNCTION("""COMPUTED_VALUE"""),5.0)</f>
        <v>5</v>
      </c>
    </row>
    <row r="7883">
      <c r="A7883" s="178" t="str">
        <f>IFERROR(__xludf.DUMMYFUNCTION("""COMPUTED_VALUE"""),"ITBISA-LED-SUPERBRIGHT-5MM-BLUE")</f>
        <v>ITBISA-LED-SUPERBRIGHT-5MM-BLUE</v>
      </c>
      <c r="B7883" s="266">
        <f>IFERROR(__xludf.DUMMYFUNCTION("""COMPUTED_VALUE"""),46008.0)</f>
        <v>46008</v>
      </c>
      <c r="C7883" s="266" t="str">
        <f>IFERROR(__xludf.DUMMYFUNCTION("""COMPUTED_VALUE"""),"KYAI KONTONG")</f>
        <v>KYAI KONTONG</v>
      </c>
      <c r="D7883" s="186">
        <f>IFERROR(__xludf.DUMMYFUNCTION("""COMPUTED_VALUE"""),100.0)</f>
        <v>100</v>
      </c>
    </row>
    <row r="7884">
      <c r="A7884" s="178" t="str">
        <f>IFERROR(__xludf.DUMMYFUNCTION("""COMPUTED_VALUE"""),"ITBISA-LED-SUPERBRIGHT-5MM-BLUE")</f>
        <v>ITBISA-LED-SUPERBRIGHT-5MM-BLUE</v>
      </c>
      <c r="B7884" s="266">
        <f>IFERROR(__xludf.DUMMYFUNCTION("""COMPUTED_VALUE"""),46009.0)</f>
        <v>46009</v>
      </c>
      <c r="C7884" s="266" t="str">
        <f>IFERROR(__xludf.DUMMYFUNCTION("""COMPUTED_VALUE"""),"KYAI KONTONG")</f>
        <v>KYAI KONTONG</v>
      </c>
      <c r="D7884" s="186">
        <f>IFERROR(__xludf.DUMMYFUNCTION("""COMPUTED_VALUE"""),10.0)</f>
        <v>10</v>
      </c>
    </row>
    <row r="7885">
      <c r="A7885" s="178" t="str">
        <f>IFERROR(__xludf.DUMMYFUNCTION("""COMPUTED_VALUE"""),"ITBISA-LED-SUPERBRIGHT-5MM-BLUE")</f>
        <v>ITBISA-LED-SUPERBRIGHT-5MM-BLUE</v>
      </c>
      <c r="B7885" s="266">
        <f>IFERROR(__xludf.DUMMYFUNCTION("""COMPUTED_VALUE"""),46009.0)</f>
        <v>46009</v>
      </c>
      <c r="C7885" s="266" t="str">
        <f>IFERROR(__xludf.DUMMYFUNCTION("""COMPUTED_VALUE"""),"KYAI KONTONG")</f>
        <v>KYAI KONTONG</v>
      </c>
      <c r="D7885" s="186">
        <f>IFERROR(__xludf.DUMMYFUNCTION("""COMPUTED_VALUE"""),50.0)</f>
        <v>50</v>
      </c>
    </row>
    <row r="7886">
      <c r="A7886" s="178" t="str">
        <f>IFERROR(__xludf.DUMMYFUNCTION("""COMPUTED_VALUE"""),"ITBISA-LED-SUPERBRIGHT-5MM-BLUE")</f>
        <v>ITBISA-LED-SUPERBRIGHT-5MM-BLUE</v>
      </c>
      <c r="B7886" s="266">
        <f>IFERROR(__xludf.DUMMYFUNCTION("""COMPUTED_VALUE"""),46010.0)</f>
        <v>46010</v>
      </c>
      <c r="C7886" s="266" t="str">
        <f>IFERROR(__xludf.DUMMYFUNCTION("""COMPUTED_VALUE"""),"KYAI KONTONG")</f>
        <v>KYAI KONTONG</v>
      </c>
      <c r="D7886" s="186">
        <f>IFERROR(__xludf.DUMMYFUNCTION("""COMPUTED_VALUE"""),5.0)</f>
        <v>5</v>
      </c>
    </row>
    <row r="7887">
      <c r="A7887" s="178" t="str">
        <f>IFERROR(__xludf.DUMMYFUNCTION("""COMPUTED_VALUE"""),"ITBISA-LED-SUPERBRIGHT-5MM-BLUE")</f>
        <v>ITBISA-LED-SUPERBRIGHT-5MM-BLUE</v>
      </c>
      <c r="B7887" s="266">
        <f>IFERROR(__xludf.DUMMYFUNCTION("""COMPUTED_VALUE"""),46011.0)</f>
        <v>46011</v>
      </c>
      <c r="C7887" s="266" t="str">
        <f>IFERROR(__xludf.DUMMYFUNCTION("""COMPUTED_VALUE"""),"KYAI KONTONG")</f>
        <v>KYAI KONTONG</v>
      </c>
      <c r="D7887" s="186">
        <f>IFERROR(__xludf.DUMMYFUNCTION("""COMPUTED_VALUE"""),4.0)</f>
        <v>4</v>
      </c>
    </row>
    <row r="7888">
      <c r="A7888" s="178" t="str">
        <f>IFERROR(__xludf.DUMMYFUNCTION("""COMPUTED_VALUE"""),"ITBISA-LED-SUPERBRIGHT-5MM-BLUE")</f>
        <v>ITBISA-LED-SUPERBRIGHT-5MM-BLUE</v>
      </c>
      <c r="B7888" s="266">
        <f>IFERROR(__xludf.DUMMYFUNCTION("""COMPUTED_VALUE"""),46012.0)</f>
        <v>46012</v>
      </c>
      <c r="C7888" s="266" t="str">
        <f>IFERROR(__xludf.DUMMYFUNCTION("""COMPUTED_VALUE"""),"KYAI KONTONG")</f>
        <v>KYAI KONTONG</v>
      </c>
      <c r="D7888" s="186">
        <f>IFERROR(__xludf.DUMMYFUNCTION("""COMPUTED_VALUE"""),15.0)</f>
        <v>15</v>
      </c>
    </row>
    <row r="7889">
      <c r="A7889" s="178" t="str">
        <f>IFERROR(__xludf.DUMMYFUNCTION("""COMPUTED_VALUE"""),"ITBISA-LED-SUPERBRIGHT-5MM-BLUE")</f>
        <v>ITBISA-LED-SUPERBRIGHT-5MM-BLUE</v>
      </c>
      <c r="B7889" s="266">
        <f>IFERROR(__xludf.DUMMYFUNCTION("""COMPUTED_VALUE"""),46013.0)</f>
        <v>46013</v>
      </c>
      <c r="C7889" s="266" t="str">
        <f>IFERROR(__xludf.DUMMYFUNCTION("""COMPUTED_VALUE"""),"KYAI KONTONG")</f>
        <v>KYAI KONTONG</v>
      </c>
      <c r="D7889" s="186">
        <f>IFERROR(__xludf.DUMMYFUNCTION("""COMPUTED_VALUE"""),10.0)</f>
        <v>10</v>
      </c>
    </row>
    <row r="7890">
      <c r="A7890" s="178" t="str">
        <f>IFERROR(__xludf.DUMMYFUNCTION("""COMPUTED_VALUE"""),"ITBISA-LED-SUPERBRIGHT-5MM-BLUE")</f>
        <v>ITBISA-LED-SUPERBRIGHT-5MM-BLUE</v>
      </c>
      <c r="B7890" s="266">
        <f>IFERROR(__xludf.DUMMYFUNCTION("""COMPUTED_VALUE"""),46014.0)</f>
        <v>46014</v>
      </c>
      <c r="C7890" s="266" t="str">
        <f>IFERROR(__xludf.DUMMYFUNCTION("""COMPUTED_VALUE"""),"KERTASARI CIAMIS")</f>
        <v>KERTASARI CIAMIS</v>
      </c>
      <c r="D7890" s="186">
        <f>IFERROR(__xludf.DUMMYFUNCTION("""COMPUTED_VALUE"""),5.0)</f>
        <v>5</v>
      </c>
    </row>
    <row r="7891">
      <c r="A7891" s="178" t="str">
        <f>IFERROR(__xludf.DUMMYFUNCTION("""COMPUTED_VALUE"""),"ITBISA-LED-SUPERBRIGHT-5MM-BLUE")</f>
        <v>ITBISA-LED-SUPERBRIGHT-5MM-BLUE</v>
      </c>
      <c r="B7891" s="266">
        <f>IFERROR(__xludf.DUMMYFUNCTION("""COMPUTED_VALUE"""),46016.0)</f>
        <v>46016</v>
      </c>
      <c r="C7891" s="266" t="str">
        <f>IFERROR(__xludf.DUMMYFUNCTION("""COMPUTED_VALUE"""),"KERTASARI CIAMIS")</f>
        <v>KERTASARI CIAMIS</v>
      </c>
      <c r="D7891" s="186">
        <f>IFERROR(__xludf.DUMMYFUNCTION("""COMPUTED_VALUE"""),10.0)</f>
        <v>10</v>
      </c>
    </row>
    <row r="7892">
      <c r="A7892" s="178" t="str">
        <f>IFERROR(__xludf.DUMMYFUNCTION("""COMPUTED_VALUE"""),"ITBISA-LED-SUPERBRIGHT-5MM-BLUE")</f>
        <v>ITBISA-LED-SUPERBRIGHT-5MM-BLUE</v>
      </c>
      <c r="B7892" s="266">
        <f>IFERROR(__xludf.DUMMYFUNCTION("""COMPUTED_VALUE"""),46017.0)</f>
        <v>46017</v>
      </c>
      <c r="C7892" s="266" t="str">
        <f>IFERROR(__xludf.DUMMYFUNCTION("""COMPUTED_VALUE"""),"KYAI KONTONG")</f>
        <v>KYAI KONTONG</v>
      </c>
      <c r="D7892" s="186">
        <f>IFERROR(__xludf.DUMMYFUNCTION("""COMPUTED_VALUE"""),10.0)</f>
        <v>10</v>
      </c>
    </row>
    <row r="7893">
      <c r="A7893" s="178" t="str">
        <f>IFERROR(__xludf.DUMMYFUNCTION("""COMPUTED_VALUE"""),"ITBISA-LED-SUPERBRIGHT-5MM-BLUE")</f>
        <v>ITBISA-LED-SUPERBRIGHT-5MM-BLUE</v>
      </c>
      <c r="B7893" s="266">
        <f>IFERROR(__xludf.DUMMYFUNCTION("""COMPUTED_VALUE"""),46020.0)</f>
        <v>46020</v>
      </c>
      <c r="C7893" s="266" t="str">
        <f>IFERROR(__xludf.DUMMYFUNCTION("""COMPUTED_VALUE"""),"KYAI KONTONG")</f>
        <v>KYAI KONTONG</v>
      </c>
      <c r="D7893" s="186">
        <f>IFERROR(__xludf.DUMMYFUNCTION("""COMPUTED_VALUE"""),5.0)</f>
        <v>5</v>
      </c>
    </row>
    <row r="7894">
      <c r="A7894" s="178" t="str">
        <f>IFERROR(__xludf.DUMMYFUNCTION("""COMPUTED_VALUE"""),"ITBISA-LED-SUPERBRIGHT-5MM-BLUE")</f>
        <v>ITBISA-LED-SUPERBRIGHT-5MM-BLUE</v>
      </c>
      <c r="B7894" s="266">
        <f>IFERROR(__xludf.DUMMYFUNCTION("""COMPUTED_VALUE"""),46020.0)</f>
        <v>46020</v>
      </c>
      <c r="C7894" s="266" t="str">
        <f>IFERROR(__xludf.DUMMYFUNCTION("""COMPUTED_VALUE"""),"KYAI KONTONG")</f>
        <v>KYAI KONTONG</v>
      </c>
      <c r="D7894" s="186">
        <f>IFERROR(__xludf.DUMMYFUNCTION("""COMPUTED_VALUE"""),10.0)</f>
        <v>10</v>
      </c>
    </row>
    <row r="7895">
      <c r="A7895" s="178" t="str">
        <f>IFERROR(__xludf.DUMMYFUNCTION("""COMPUTED_VALUE"""),"ITBISA-LED-SUPERBRIGHT-5MM-BLUE")</f>
        <v>ITBISA-LED-SUPERBRIGHT-5MM-BLUE</v>
      </c>
      <c r="B7895" s="266">
        <f>IFERROR(__xludf.DUMMYFUNCTION("""COMPUTED_VALUE"""),46020.0)</f>
        <v>46020</v>
      </c>
      <c r="C7895" s="266" t="str">
        <f>IFERROR(__xludf.DUMMYFUNCTION("""COMPUTED_VALUE"""),"KYAI KONTONG")</f>
        <v>KYAI KONTONG</v>
      </c>
      <c r="D7895" s="186">
        <f>IFERROR(__xludf.DUMMYFUNCTION("""COMPUTED_VALUE"""),10.0)</f>
        <v>10</v>
      </c>
    </row>
    <row r="7896">
      <c r="A7896" s="178" t="str">
        <f>IFERROR(__xludf.DUMMYFUNCTION("""COMPUTED_VALUE"""),"ITBISA-LED-SUPERBRIGHT-5MM-BLUE")</f>
        <v>ITBISA-LED-SUPERBRIGHT-5MM-BLUE</v>
      </c>
      <c r="B7896" s="266">
        <f>IFERROR(__xludf.DUMMYFUNCTION("""COMPUTED_VALUE"""),46020.0)</f>
        <v>46020</v>
      </c>
      <c r="C7896" s="266" t="str">
        <f>IFERROR(__xludf.DUMMYFUNCTION("""COMPUTED_VALUE"""),"KYAI KONTONG")</f>
        <v>KYAI KONTONG</v>
      </c>
      <c r="D7896" s="186">
        <f>IFERROR(__xludf.DUMMYFUNCTION("""COMPUTED_VALUE"""),20.0)</f>
        <v>20</v>
      </c>
    </row>
    <row r="7897">
      <c r="A7897" s="178" t="str">
        <f>IFERROR(__xludf.DUMMYFUNCTION("""COMPUTED_VALUE"""),"ITBISA-LED-SUPERBRIGHT-5MM-BLUE")</f>
        <v>ITBISA-LED-SUPERBRIGHT-5MM-BLUE</v>
      </c>
      <c r="B7897" s="266">
        <f>IFERROR(__xludf.DUMMYFUNCTION("""COMPUTED_VALUE"""),46021.0)</f>
        <v>46021</v>
      </c>
      <c r="C7897" s="266" t="str">
        <f>IFERROR(__xludf.DUMMYFUNCTION("""COMPUTED_VALUE"""),"KYAI KONTONG")</f>
        <v>KYAI KONTONG</v>
      </c>
      <c r="D7897" s="186">
        <f>IFERROR(__xludf.DUMMYFUNCTION("""COMPUTED_VALUE"""),10.0)</f>
        <v>10</v>
      </c>
    </row>
    <row r="7898">
      <c r="A7898" s="178" t="str">
        <f>IFERROR(__xludf.DUMMYFUNCTION("""COMPUTED_VALUE"""),"ITBISA-LED-SUPERBRIGHT-5MM-BLUE")</f>
        <v>ITBISA-LED-SUPERBRIGHT-5MM-BLUE</v>
      </c>
      <c r="B7898" s="266">
        <f>IFERROR(__xludf.DUMMYFUNCTION("""COMPUTED_VALUE"""),46021.0)</f>
        <v>46021</v>
      </c>
      <c r="C7898" s="266" t="str">
        <f>IFERROR(__xludf.DUMMYFUNCTION("""COMPUTED_VALUE"""),"KYAI KONTONG")</f>
        <v>KYAI KONTONG</v>
      </c>
      <c r="D7898" s="186">
        <f>IFERROR(__xludf.DUMMYFUNCTION("""COMPUTED_VALUE"""),11.0)</f>
        <v>11</v>
      </c>
    </row>
    <row r="7899">
      <c r="A7899" s="178" t="str">
        <f>IFERROR(__xludf.DUMMYFUNCTION("""COMPUTED_VALUE"""),"ITBISA-LED-SUPERBRIGHT-5MM-BLUE")</f>
        <v>ITBISA-LED-SUPERBRIGHT-5MM-BLUE</v>
      </c>
      <c r="B7899" s="266">
        <f>IFERROR(__xludf.DUMMYFUNCTION("""COMPUTED_VALUE"""),46022.0)</f>
        <v>46022</v>
      </c>
      <c r="C7899" s="266" t="str">
        <f>IFERROR(__xludf.DUMMYFUNCTION("""COMPUTED_VALUE"""),"KYAI KONTONG")</f>
        <v>KYAI KONTONG</v>
      </c>
      <c r="D7899" s="186">
        <f>IFERROR(__xludf.DUMMYFUNCTION("""COMPUTED_VALUE"""),2.0)</f>
        <v>2</v>
      </c>
    </row>
    <row r="7900">
      <c r="A7900" s="178" t="str">
        <f>IFERROR(__xludf.DUMMYFUNCTION("""COMPUTED_VALUE"""),"ITBISA-LED-SUPERBRIGHT-5MM-GREEN")</f>
        <v>ITBISA-LED-SUPERBRIGHT-5MM-GREEN</v>
      </c>
      <c r="B7900" s="266">
        <f>IFERROR(__xludf.DUMMYFUNCTION("""COMPUTED_VALUE"""),45484.0)</f>
        <v>45484</v>
      </c>
      <c r="C7900" s="266" t="str">
        <f>IFERROR(__xludf.DUMMYFUNCTION("""COMPUTED_VALUE"""),"KYAI KONTONG")</f>
        <v>KYAI KONTONG</v>
      </c>
      <c r="D7900" s="186">
        <f>IFERROR(__xludf.DUMMYFUNCTION("""COMPUTED_VALUE"""),10.0)</f>
        <v>10</v>
      </c>
    </row>
    <row r="7901">
      <c r="A7901" s="178" t="str">
        <f>IFERROR(__xludf.DUMMYFUNCTION("""COMPUTED_VALUE"""),"ITBISA-LED-SUPERBRIGHT-5MM-GREEN")</f>
        <v>ITBISA-LED-SUPERBRIGHT-5MM-GREEN</v>
      </c>
      <c r="B7901" s="266">
        <f>IFERROR(__xludf.DUMMYFUNCTION("""COMPUTED_VALUE"""),45497.0)</f>
        <v>45497</v>
      </c>
      <c r="C7901" s="266" t="str">
        <f>IFERROR(__xludf.DUMMYFUNCTION("""COMPUTED_VALUE"""),"KYAI KONTONG")</f>
        <v>KYAI KONTONG</v>
      </c>
      <c r="D7901" s="186">
        <f>IFERROR(__xludf.DUMMYFUNCTION("""COMPUTED_VALUE"""),10.0)</f>
        <v>10</v>
      </c>
    </row>
    <row r="7902">
      <c r="A7902" s="178" t="str">
        <f>IFERROR(__xludf.DUMMYFUNCTION("""COMPUTED_VALUE"""),"ITBISA-LED-SUPERBRIGHT-5MM-GREEN")</f>
        <v>ITBISA-LED-SUPERBRIGHT-5MM-GREEN</v>
      </c>
      <c r="B7902" s="266">
        <f>IFERROR(__xludf.DUMMYFUNCTION("""COMPUTED_VALUE"""),45499.0)</f>
        <v>45499</v>
      </c>
      <c r="C7902" s="266" t="str">
        <f>IFERROR(__xludf.DUMMYFUNCTION("""COMPUTED_VALUE"""),"KYAI KONTONG")</f>
        <v>KYAI KONTONG</v>
      </c>
      <c r="D7902" s="186">
        <f>IFERROR(__xludf.DUMMYFUNCTION("""COMPUTED_VALUE"""),15.0)</f>
        <v>15</v>
      </c>
    </row>
    <row r="7903">
      <c r="A7903" s="178" t="str">
        <f>IFERROR(__xludf.DUMMYFUNCTION("""COMPUTED_VALUE"""),"ITBISA-LED-SUPERBRIGHT-5MM-GREEN")</f>
        <v>ITBISA-LED-SUPERBRIGHT-5MM-GREEN</v>
      </c>
      <c r="B7903" s="266">
        <f>IFERROR(__xludf.DUMMYFUNCTION("""COMPUTED_VALUE"""),45500.0)</f>
        <v>45500</v>
      </c>
      <c r="C7903" s="266" t="str">
        <f>IFERROR(__xludf.DUMMYFUNCTION("""COMPUTED_VALUE"""),"KYAI KONTONG")</f>
        <v>KYAI KONTONG</v>
      </c>
      <c r="D7903" s="186">
        <f>IFERROR(__xludf.DUMMYFUNCTION("""COMPUTED_VALUE"""),24.0)</f>
        <v>24</v>
      </c>
    </row>
    <row r="7904">
      <c r="A7904" s="178" t="str">
        <f>IFERROR(__xludf.DUMMYFUNCTION("""COMPUTED_VALUE"""),"ITBISA-LED-SUPERBRIGHT-5MM-GREEN")</f>
        <v>ITBISA-LED-SUPERBRIGHT-5MM-GREEN</v>
      </c>
      <c r="B7904" s="266">
        <f>IFERROR(__xludf.DUMMYFUNCTION("""COMPUTED_VALUE"""),45501.0)</f>
        <v>45501</v>
      </c>
      <c r="C7904" s="266" t="str">
        <f>IFERROR(__xludf.DUMMYFUNCTION("""COMPUTED_VALUE"""),"KYAI KONTONG")</f>
        <v>KYAI KONTONG</v>
      </c>
      <c r="D7904" s="186">
        <f>IFERROR(__xludf.DUMMYFUNCTION("""COMPUTED_VALUE"""),10.0)</f>
        <v>10</v>
      </c>
    </row>
    <row r="7905">
      <c r="A7905" s="178" t="str">
        <f>IFERROR(__xludf.DUMMYFUNCTION("""COMPUTED_VALUE"""),"ITBISA-LED-SUPERBRIGHT-5MM-GREEN")</f>
        <v>ITBISA-LED-SUPERBRIGHT-5MM-GREEN</v>
      </c>
      <c r="B7905" s="266">
        <f>IFERROR(__xludf.DUMMYFUNCTION("""COMPUTED_VALUE"""),45502.0)</f>
        <v>45502</v>
      </c>
      <c r="C7905" s="266" t="str">
        <f>IFERROR(__xludf.DUMMYFUNCTION("""COMPUTED_VALUE"""),"KYAI KONTONG")</f>
        <v>KYAI KONTONG</v>
      </c>
      <c r="D7905" s="186">
        <f>IFERROR(__xludf.DUMMYFUNCTION("""COMPUTED_VALUE"""),75.0)</f>
        <v>75</v>
      </c>
    </row>
    <row r="7906">
      <c r="A7906" s="178" t="str">
        <f>IFERROR(__xludf.DUMMYFUNCTION("""COMPUTED_VALUE"""),"ITBISA-LED-SUPERBRIGHT-5MM-GREEN")</f>
        <v>ITBISA-LED-SUPERBRIGHT-5MM-GREEN</v>
      </c>
      <c r="B7906" s="266">
        <f>IFERROR(__xludf.DUMMYFUNCTION("""COMPUTED_VALUE"""),45504.0)</f>
        <v>45504</v>
      </c>
      <c r="C7906" s="266" t="str">
        <f>IFERROR(__xludf.DUMMYFUNCTION("""COMPUTED_VALUE"""),"KYAI KONTONG")</f>
        <v>KYAI KONTONG</v>
      </c>
      <c r="D7906" s="186">
        <f>IFERROR(__xludf.DUMMYFUNCTION("""COMPUTED_VALUE"""),10.0)</f>
        <v>10</v>
      </c>
    </row>
    <row r="7907">
      <c r="A7907" s="178" t="str">
        <f>IFERROR(__xludf.DUMMYFUNCTION("""COMPUTED_VALUE"""),"ITBISA-LED-SUPERBRIGHT-5MM-GREEN")</f>
        <v>ITBISA-LED-SUPERBRIGHT-5MM-GREEN</v>
      </c>
      <c r="B7907" s="266">
        <f>IFERROR(__xludf.DUMMYFUNCTION("""COMPUTED_VALUE"""),45504.0)</f>
        <v>45504</v>
      </c>
      <c r="C7907" s="266" t="str">
        <f>IFERROR(__xludf.DUMMYFUNCTION("""COMPUTED_VALUE"""),"KYAI KONTONG")</f>
        <v>KYAI KONTONG</v>
      </c>
      <c r="D7907" s="186">
        <f>IFERROR(__xludf.DUMMYFUNCTION("""COMPUTED_VALUE"""),10.0)</f>
        <v>10</v>
      </c>
    </row>
    <row r="7908">
      <c r="A7908" s="178" t="str">
        <f>IFERROR(__xludf.DUMMYFUNCTION("""COMPUTED_VALUE"""),"ITBISA-LED-SUPERBRIGHT-5MM-GREEN")</f>
        <v>ITBISA-LED-SUPERBRIGHT-5MM-GREEN</v>
      </c>
      <c r="B7908" s="266">
        <f>IFERROR(__xludf.DUMMYFUNCTION("""COMPUTED_VALUE"""),45508.0)</f>
        <v>45508</v>
      </c>
      <c r="C7908" s="266" t="str">
        <f>IFERROR(__xludf.DUMMYFUNCTION("""COMPUTED_VALUE"""),"KERTASARI CIAMIS")</f>
        <v>KERTASARI CIAMIS</v>
      </c>
      <c r="D7908" s="186">
        <f>IFERROR(__xludf.DUMMYFUNCTION("""COMPUTED_VALUE"""),20.0)</f>
        <v>20</v>
      </c>
    </row>
    <row r="7909">
      <c r="A7909" s="178" t="str">
        <f>IFERROR(__xludf.DUMMYFUNCTION("""COMPUTED_VALUE"""),"ITBISA-LED-SUPERBRIGHT-5MM-GREEN")</f>
        <v>ITBISA-LED-SUPERBRIGHT-5MM-GREEN</v>
      </c>
      <c r="B7909" s="266">
        <f>IFERROR(__xludf.DUMMYFUNCTION("""COMPUTED_VALUE"""),45516.0)</f>
        <v>45516</v>
      </c>
      <c r="C7909" s="266" t="str">
        <f>IFERROR(__xludf.DUMMYFUNCTION("""COMPUTED_VALUE"""),"KYAI KONTONG")</f>
        <v>KYAI KONTONG</v>
      </c>
      <c r="D7909" s="186">
        <f>IFERROR(__xludf.DUMMYFUNCTION("""COMPUTED_VALUE"""),20.0)</f>
        <v>20</v>
      </c>
    </row>
    <row r="7910">
      <c r="A7910" s="178" t="str">
        <f>IFERROR(__xludf.DUMMYFUNCTION("""COMPUTED_VALUE"""),"ITBISA-LED-SUPERBRIGHT-5MM-GREEN")</f>
        <v>ITBISA-LED-SUPERBRIGHT-5MM-GREEN</v>
      </c>
      <c r="B7910" s="266">
        <f>IFERROR(__xludf.DUMMYFUNCTION("""COMPUTED_VALUE"""),45524.0)</f>
        <v>45524</v>
      </c>
      <c r="C7910" s="266" t="str">
        <f>IFERROR(__xludf.DUMMYFUNCTION("""COMPUTED_VALUE"""),"KERTASARI CIAMIS")</f>
        <v>KERTASARI CIAMIS</v>
      </c>
      <c r="D7910" s="186">
        <f>IFERROR(__xludf.DUMMYFUNCTION("""COMPUTED_VALUE"""),2.0)</f>
        <v>2</v>
      </c>
    </row>
    <row r="7911">
      <c r="A7911" s="178" t="str">
        <f>IFERROR(__xludf.DUMMYFUNCTION("""COMPUTED_VALUE"""),"ITBISA-LED-SUPERBRIGHT-5MM-GREEN")</f>
        <v>ITBISA-LED-SUPERBRIGHT-5MM-GREEN</v>
      </c>
      <c r="B7911" s="266">
        <f>IFERROR(__xludf.DUMMYFUNCTION("""COMPUTED_VALUE"""),45539.0)</f>
        <v>45539</v>
      </c>
      <c r="C7911" s="266" t="str">
        <f>IFERROR(__xludf.DUMMYFUNCTION("""COMPUTED_VALUE"""),"KERTASARI CIAMIS")</f>
        <v>KERTASARI CIAMIS</v>
      </c>
      <c r="D7911" s="186">
        <f>IFERROR(__xludf.DUMMYFUNCTION("""COMPUTED_VALUE"""),10.0)</f>
        <v>10</v>
      </c>
    </row>
    <row r="7912">
      <c r="A7912" s="178" t="str">
        <f>IFERROR(__xludf.DUMMYFUNCTION("""COMPUTED_VALUE"""),"ITBISA-LED-SUPERBRIGHT-5MM-GREEN")</f>
        <v>ITBISA-LED-SUPERBRIGHT-5MM-GREEN</v>
      </c>
      <c r="B7912" s="266">
        <f>IFERROR(__xludf.DUMMYFUNCTION("""COMPUTED_VALUE"""),45565.0)</f>
        <v>45565</v>
      </c>
      <c r="C7912" s="266" t="str">
        <f>IFERROR(__xludf.DUMMYFUNCTION("""COMPUTED_VALUE"""),"KYAI KONTONG")</f>
        <v>KYAI KONTONG</v>
      </c>
      <c r="D7912" s="186">
        <f>IFERROR(__xludf.DUMMYFUNCTION("""COMPUTED_VALUE"""),10.0)</f>
        <v>10</v>
      </c>
    </row>
    <row r="7913">
      <c r="A7913" s="178" t="str">
        <f>IFERROR(__xludf.DUMMYFUNCTION("""COMPUTED_VALUE"""),"ITBISA-LED-SUPERBRIGHT-5MM-GREEN")</f>
        <v>ITBISA-LED-SUPERBRIGHT-5MM-GREEN</v>
      </c>
      <c r="B7913" s="266">
        <f>IFERROR(__xludf.DUMMYFUNCTION("""COMPUTED_VALUE"""),45566.0)</f>
        <v>45566</v>
      </c>
      <c r="C7913" s="266" t="str">
        <f>IFERROR(__xludf.DUMMYFUNCTION("""COMPUTED_VALUE"""),"KYAI KONTONG")</f>
        <v>KYAI KONTONG</v>
      </c>
      <c r="D7913" s="186">
        <f>IFERROR(__xludf.DUMMYFUNCTION("""COMPUTED_VALUE"""),100.0)</f>
        <v>100</v>
      </c>
    </row>
    <row r="7914">
      <c r="A7914" s="178" t="str">
        <f>IFERROR(__xludf.DUMMYFUNCTION("""COMPUTED_VALUE"""),"ITBISA-LED-SUPERBRIGHT-5MM-GREEN")</f>
        <v>ITBISA-LED-SUPERBRIGHT-5MM-GREEN</v>
      </c>
      <c r="B7914" s="266">
        <f>IFERROR(__xludf.DUMMYFUNCTION("""COMPUTED_VALUE"""),45575.0)</f>
        <v>45575</v>
      </c>
      <c r="C7914" s="266" t="str">
        <f>IFERROR(__xludf.DUMMYFUNCTION("""COMPUTED_VALUE"""),"KYAI KONTONG")</f>
        <v>KYAI KONTONG</v>
      </c>
      <c r="D7914" s="186">
        <f>IFERROR(__xludf.DUMMYFUNCTION("""COMPUTED_VALUE"""),10.0)</f>
        <v>10</v>
      </c>
    </row>
    <row r="7915">
      <c r="A7915" s="178" t="str">
        <f>IFERROR(__xludf.DUMMYFUNCTION("""COMPUTED_VALUE"""),"ITBISA-LED-SUPERBRIGHT-5MM-GREEN")</f>
        <v>ITBISA-LED-SUPERBRIGHT-5MM-GREEN</v>
      </c>
      <c r="B7915" s="266">
        <f>IFERROR(__xludf.DUMMYFUNCTION("""COMPUTED_VALUE"""),45600.0)</f>
        <v>45600</v>
      </c>
      <c r="C7915" s="266" t="str">
        <f>IFERROR(__xludf.DUMMYFUNCTION("""COMPUTED_VALUE"""),"KERTASARI CIAMIS")</f>
        <v>KERTASARI CIAMIS</v>
      </c>
      <c r="D7915" s="186">
        <f>IFERROR(__xludf.DUMMYFUNCTION("""COMPUTED_VALUE"""),200.0)</f>
        <v>200</v>
      </c>
    </row>
    <row r="7916">
      <c r="A7916" s="178" t="str">
        <f>IFERROR(__xludf.DUMMYFUNCTION("""COMPUTED_VALUE"""),"ITBISA-LED-SUPERBRIGHT-5MM-GREEN")</f>
        <v>ITBISA-LED-SUPERBRIGHT-5MM-GREEN</v>
      </c>
      <c r="B7916" s="266">
        <f>IFERROR(__xludf.DUMMYFUNCTION("""COMPUTED_VALUE"""),45603.0)</f>
        <v>45603</v>
      </c>
      <c r="C7916" s="266" t="str">
        <f>IFERROR(__xludf.DUMMYFUNCTION("""COMPUTED_VALUE"""),"KERTASARI CIAMIS")</f>
        <v>KERTASARI CIAMIS</v>
      </c>
      <c r="D7916" s="186">
        <f>IFERROR(__xludf.DUMMYFUNCTION("""COMPUTED_VALUE"""),4.0)</f>
        <v>4</v>
      </c>
    </row>
    <row r="7917">
      <c r="A7917" s="178" t="str">
        <f>IFERROR(__xludf.DUMMYFUNCTION("""COMPUTED_VALUE"""),"ITBISA-LED-SUPERBRIGHT-5MM-GREEN")</f>
        <v>ITBISA-LED-SUPERBRIGHT-5MM-GREEN</v>
      </c>
      <c r="B7917" s="266">
        <f>IFERROR(__xludf.DUMMYFUNCTION("""COMPUTED_VALUE"""),45618.0)</f>
        <v>45618</v>
      </c>
      <c r="C7917" s="266" t="str">
        <f>IFERROR(__xludf.DUMMYFUNCTION("""COMPUTED_VALUE"""),"KYAI KONTONG")</f>
        <v>KYAI KONTONG</v>
      </c>
      <c r="D7917" s="186">
        <f>IFERROR(__xludf.DUMMYFUNCTION("""COMPUTED_VALUE"""),6.0)</f>
        <v>6</v>
      </c>
    </row>
    <row r="7918">
      <c r="A7918" s="178" t="str">
        <f>IFERROR(__xludf.DUMMYFUNCTION("""COMPUTED_VALUE"""),"ITBISA-LED-SUPERBRIGHT-5MM-GREEN")</f>
        <v>ITBISA-LED-SUPERBRIGHT-5MM-GREEN</v>
      </c>
      <c r="B7918" s="266">
        <f>IFERROR(__xludf.DUMMYFUNCTION("""COMPUTED_VALUE"""),45619.0)</f>
        <v>45619</v>
      </c>
      <c r="C7918" s="266" t="str">
        <f>IFERROR(__xludf.DUMMYFUNCTION("""COMPUTED_VALUE"""),"KERTASARI CIAMIS")</f>
        <v>KERTASARI CIAMIS</v>
      </c>
      <c r="D7918" s="186">
        <f>IFERROR(__xludf.DUMMYFUNCTION("""COMPUTED_VALUE"""),1.0)</f>
        <v>1</v>
      </c>
    </row>
    <row r="7919">
      <c r="A7919" s="178" t="str">
        <f>IFERROR(__xludf.DUMMYFUNCTION("""COMPUTED_VALUE"""),"ITBISA-LED-SUPERBRIGHT-5MM-GREEN")</f>
        <v>ITBISA-LED-SUPERBRIGHT-5MM-GREEN</v>
      </c>
      <c r="B7919" s="266">
        <f>IFERROR(__xludf.DUMMYFUNCTION("""COMPUTED_VALUE"""),45622.0)</f>
        <v>45622</v>
      </c>
      <c r="C7919" s="266" t="str">
        <f>IFERROR(__xludf.DUMMYFUNCTION("""COMPUTED_VALUE"""),"KYAI KONTONG")</f>
        <v>KYAI KONTONG</v>
      </c>
      <c r="D7919" s="186">
        <f>IFERROR(__xludf.DUMMYFUNCTION("""COMPUTED_VALUE"""),8.0)</f>
        <v>8</v>
      </c>
    </row>
    <row r="7920">
      <c r="A7920" s="178" t="str">
        <f>IFERROR(__xludf.DUMMYFUNCTION("""COMPUTED_VALUE"""),"ITBISA-LED-SUPERBRIGHT-5MM-GREEN")</f>
        <v>ITBISA-LED-SUPERBRIGHT-5MM-GREEN</v>
      </c>
      <c r="B7920" s="266">
        <f>IFERROR(__xludf.DUMMYFUNCTION("""COMPUTED_VALUE"""),45623.0)</f>
        <v>45623</v>
      </c>
      <c r="C7920" s="266" t="str">
        <f>IFERROR(__xludf.DUMMYFUNCTION("""COMPUTED_VALUE"""),"KYAI KONTONG")</f>
        <v>KYAI KONTONG</v>
      </c>
      <c r="D7920" s="186">
        <f>IFERROR(__xludf.DUMMYFUNCTION("""COMPUTED_VALUE"""),10.0)</f>
        <v>10</v>
      </c>
    </row>
    <row r="7921">
      <c r="A7921" s="178" t="str">
        <f>IFERROR(__xludf.DUMMYFUNCTION("""COMPUTED_VALUE"""),"ITBISA-LED-SUPERBRIGHT-5MM-GREEN")</f>
        <v>ITBISA-LED-SUPERBRIGHT-5MM-GREEN</v>
      </c>
      <c r="B7921" s="266">
        <f>IFERROR(__xludf.DUMMYFUNCTION("""COMPUTED_VALUE"""),45627.0)</f>
        <v>45627</v>
      </c>
      <c r="C7921" s="266" t="str">
        <f>IFERROR(__xludf.DUMMYFUNCTION("""COMPUTED_VALUE"""),"KERTASARI CIAMIS")</f>
        <v>KERTASARI CIAMIS</v>
      </c>
      <c r="D7921" s="186">
        <f>IFERROR(__xludf.DUMMYFUNCTION("""COMPUTED_VALUE"""),10.0)</f>
        <v>10</v>
      </c>
    </row>
    <row r="7922">
      <c r="A7922" s="178" t="str">
        <f>IFERROR(__xludf.DUMMYFUNCTION("""COMPUTED_VALUE"""),"ITBISA-LED-SUPERBRIGHT-5MM-GREEN")</f>
        <v>ITBISA-LED-SUPERBRIGHT-5MM-GREEN</v>
      </c>
      <c r="B7922" s="266">
        <f>IFERROR(__xludf.DUMMYFUNCTION("""COMPUTED_VALUE"""),45627.0)</f>
        <v>45627</v>
      </c>
      <c r="C7922" s="266" t="str">
        <f>IFERROR(__xludf.DUMMYFUNCTION("""COMPUTED_VALUE"""),"KERTASARI CIAMIS")</f>
        <v>KERTASARI CIAMIS</v>
      </c>
      <c r="D7922" s="186">
        <f>IFERROR(__xludf.DUMMYFUNCTION("""COMPUTED_VALUE"""),50.0)</f>
        <v>50</v>
      </c>
    </row>
    <row r="7923">
      <c r="A7923" s="178" t="str">
        <f>IFERROR(__xludf.DUMMYFUNCTION("""COMPUTED_VALUE"""),"ITBISA-LED-SUPERBRIGHT-5MM-GREEN")</f>
        <v>ITBISA-LED-SUPERBRIGHT-5MM-GREEN</v>
      </c>
      <c r="B7923" s="266">
        <f>IFERROR(__xludf.DUMMYFUNCTION("""COMPUTED_VALUE"""),45641.0)</f>
        <v>45641</v>
      </c>
      <c r="C7923" s="266" t="str">
        <f>IFERROR(__xludf.DUMMYFUNCTION("""COMPUTED_VALUE"""),"KYAI KONTONG")</f>
        <v>KYAI KONTONG</v>
      </c>
      <c r="D7923" s="186">
        <f>IFERROR(__xludf.DUMMYFUNCTION("""COMPUTED_VALUE"""),5.0)</f>
        <v>5</v>
      </c>
    </row>
    <row r="7924">
      <c r="A7924" s="178" t="str">
        <f>IFERROR(__xludf.DUMMYFUNCTION("""COMPUTED_VALUE"""),"ITBISA-LED-SUPERBRIGHT-5MM-GREEN")</f>
        <v>ITBISA-LED-SUPERBRIGHT-5MM-GREEN</v>
      </c>
      <c r="B7924" s="266">
        <f>IFERROR(__xludf.DUMMYFUNCTION("""COMPUTED_VALUE"""),45658.0)</f>
        <v>45658</v>
      </c>
      <c r="C7924" s="266" t="str">
        <f>IFERROR(__xludf.DUMMYFUNCTION("""COMPUTED_VALUE"""),"KYAI KONTONG")</f>
        <v>KYAI KONTONG</v>
      </c>
      <c r="D7924" s="186">
        <f>IFERROR(__xludf.DUMMYFUNCTION("""COMPUTED_VALUE"""),50.0)</f>
        <v>50</v>
      </c>
    </row>
    <row r="7925">
      <c r="A7925" s="178" t="str">
        <f>IFERROR(__xludf.DUMMYFUNCTION("""COMPUTED_VALUE"""),"ITBISA-LED-SUPERBRIGHT-5MM-GREEN")</f>
        <v>ITBISA-LED-SUPERBRIGHT-5MM-GREEN</v>
      </c>
      <c r="B7925" s="266">
        <f>IFERROR(__xludf.DUMMYFUNCTION("""COMPUTED_VALUE"""),45666.0)</f>
        <v>45666</v>
      </c>
      <c r="C7925" s="266" t="str">
        <f>IFERROR(__xludf.DUMMYFUNCTION("""COMPUTED_VALUE"""),"KYAI KONTONG")</f>
        <v>KYAI KONTONG</v>
      </c>
      <c r="D7925" s="186">
        <f>IFERROR(__xludf.DUMMYFUNCTION("""COMPUTED_VALUE"""),5.0)</f>
        <v>5</v>
      </c>
    </row>
    <row r="7926">
      <c r="A7926" s="178" t="str">
        <f>IFERROR(__xludf.DUMMYFUNCTION("""COMPUTED_VALUE"""),"ITBISA-LED-SUPERBRIGHT-5MM-GREEN")</f>
        <v>ITBISA-LED-SUPERBRIGHT-5MM-GREEN</v>
      </c>
      <c r="B7926" s="266">
        <f>IFERROR(__xludf.DUMMYFUNCTION("""COMPUTED_VALUE"""),45667.0)</f>
        <v>45667</v>
      </c>
      <c r="C7926" s="266" t="str">
        <f>IFERROR(__xludf.DUMMYFUNCTION("""COMPUTED_VALUE"""),"KYAI KONTONG")</f>
        <v>KYAI KONTONG</v>
      </c>
      <c r="D7926" s="186">
        <f>IFERROR(__xludf.DUMMYFUNCTION("""COMPUTED_VALUE"""),10.0)</f>
        <v>10</v>
      </c>
    </row>
    <row r="7927">
      <c r="A7927" s="178" t="str">
        <f>IFERROR(__xludf.DUMMYFUNCTION("""COMPUTED_VALUE"""),"ITBISA-LED-SUPERBRIGHT-5MM-GREEN")</f>
        <v>ITBISA-LED-SUPERBRIGHT-5MM-GREEN</v>
      </c>
      <c r="B7927" s="266">
        <f>IFERROR(__xludf.DUMMYFUNCTION("""COMPUTED_VALUE"""),45670.0)</f>
        <v>45670</v>
      </c>
      <c r="C7927" s="266" t="str">
        <f>IFERROR(__xludf.DUMMYFUNCTION("""COMPUTED_VALUE"""),"KYAI KONTONG")</f>
        <v>KYAI KONTONG</v>
      </c>
      <c r="D7927" s="186">
        <f>IFERROR(__xludf.DUMMYFUNCTION("""COMPUTED_VALUE"""),11.0)</f>
        <v>11</v>
      </c>
    </row>
    <row r="7928">
      <c r="A7928" s="178" t="str">
        <f>IFERROR(__xludf.DUMMYFUNCTION("""COMPUTED_VALUE"""),"ITBISA-LED-SUPERBRIGHT-5MM-GREEN")</f>
        <v>ITBISA-LED-SUPERBRIGHT-5MM-GREEN</v>
      </c>
      <c r="B7928" s="266">
        <f>IFERROR(__xludf.DUMMYFUNCTION("""COMPUTED_VALUE"""),45676.0)</f>
        <v>45676</v>
      </c>
      <c r="C7928" s="266" t="str">
        <f>IFERROR(__xludf.DUMMYFUNCTION("""COMPUTED_VALUE"""),"KYAI KONTONG")</f>
        <v>KYAI KONTONG</v>
      </c>
      <c r="D7928" s="186">
        <f>IFERROR(__xludf.DUMMYFUNCTION("""COMPUTED_VALUE"""),50.0)</f>
        <v>50</v>
      </c>
    </row>
    <row r="7929">
      <c r="A7929" s="178" t="str">
        <f>IFERROR(__xludf.DUMMYFUNCTION("""COMPUTED_VALUE"""),"ITBISA-LED-SUPERBRIGHT-5MM-GREEN")</f>
        <v>ITBISA-LED-SUPERBRIGHT-5MM-GREEN</v>
      </c>
      <c r="B7929" s="266">
        <f>IFERROR(__xludf.DUMMYFUNCTION("""COMPUTED_VALUE"""),45688.0)</f>
        <v>45688</v>
      </c>
      <c r="C7929" s="266" t="str">
        <f>IFERROR(__xludf.DUMMYFUNCTION("""COMPUTED_VALUE"""),"KERTASARI CIAMIS")</f>
        <v>KERTASARI CIAMIS</v>
      </c>
      <c r="D7929" s="186">
        <f>IFERROR(__xludf.DUMMYFUNCTION("""COMPUTED_VALUE"""),250.0)</f>
        <v>250</v>
      </c>
    </row>
    <row r="7930">
      <c r="A7930" s="178" t="str">
        <f>IFERROR(__xludf.DUMMYFUNCTION("""COMPUTED_VALUE"""),"ITBISA-LED-SUPERBRIGHT-5MM-GREEN")</f>
        <v>ITBISA-LED-SUPERBRIGHT-5MM-GREEN</v>
      </c>
      <c r="B7930" s="266">
        <f>IFERROR(__xludf.DUMMYFUNCTION("""COMPUTED_VALUE"""),45697.0)</f>
        <v>45697</v>
      </c>
      <c r="C7930" s="266" t="str">
        <f>IFERROR(__xludf.DUMMYFUNCTION("""COMPUTED_VALUE"""),"KERTASARI CIAMIS")</f>
        <v>KERTASARI CIAMIS</v>
      </c>
      <c r="D7930" s="186">
        <f>IFERROR(__xludf.DUMMYFUNCTION("""COMPUTED_VALUE"""),10.0)</f>
        <v>10</v>
      </c>
    </row>
    <row r="7931">
      <c r="A7931" s="178" t="str">
        <f>IFERROR(__xludf.DUMMYFUNCTION("""COMPUTED_VALUE"""),"ITBISA-LED-SUPERBRIGHT-5MM-GREEN")</f>
        <v>ITBISA-LED-SUPERBRIGHT-5MM-GREEN</v>
      </c>
      <c r="B7931" s="266">
        <f>IFERROR(__xludf.DUMMYFUNCTION("""COMPUTED_VALUE"""),45701.0)</f>
        <v>45701</v>
      </c>
      <c r="C7931" s="266" t="str">
        <f>IFERROR(__xludf.DUMMYFUNCTION("""COMPUTED_VALUE"""),"KYAI KONTONG")</f>
        <v>KYAI KONTONG</v>
      </c>
      <c r="D7931" s="186">
        <f>IFERROR(__xludf.DUMMYFUNCTION("""COMPUTED_VALUE"""),8.0)</f>
        <v>8</v>
      </c>
    </row>
    <row r="7932">
      <c r="A7932" s="178" t="str">
        <f>IFERROR(__xludf.DUMMYFUNCTION("""COMPUTED_VALUE"""),"ITBISA-LED-SUPERBRIGHT-5MM-GREEN")</f>
        <v>ITBISA-LED-SUPERBRIGHT-5MM-GREEN</v>
      </c>
      <c r="B7932" s="266">
        <f>IFERROR(__xludf.DUMMYFUNCTION("""COMPUTED_VALUE"""),45705.0)</f>
        <v>45705</v>
      </c>
      <c r="C7932" s="266" t="str">
        <f>IFERROR(__xludf.DUMMYFUNCTION("""COMPUTED_VALUE"""),"KERTASARI CIAMIS")</f>
        <v>KERTASARI CIAMIS</v>
      </c>
      <c r="D7932" s="186">
        <f>IFERROR(__xludf.DUMMYFUNCTION("""COMPUTED_VALUE"""),40.0)</f>
        <v>40</v>
      </c>
    </row>
    <row r="7933">
      <c r="A7933" s="178" t="str">
        <f>IFERROR(__xludf.DUMMYFUNCTION("""COMPUTED_VALUE"""),"ITBISA-LED-SUPERBRIGHT-5MM-GREEN")</f>
        <v>ITBISA-LED-SUPERBRIGHT-5MM-GREEN</v>
      </c>
      <c r="B7933" s="266">
        <f>IFERROR(__xludf.DUMMYFUNCTION("""COMPUTED_VALUE"""),45705.0)</f>
        <v>45705</v>
      </c>
      <c r="C7933" s="266" t="str">
        <f>IFERROR(__xludf.DUMMYFUNCTION("""COMPUTED_VALUE"""),"KYAI KONTONG")</f>
        <v>KYAI KONTONG</v>
      </c>
      <c r="D7933" s="186">
        <f>IFERROR(__xludf.DUMMYFUNCTION("""COMPUTED_VALUE"""),20.0)</f>
        <v>20</v>
      </c>
    </row>
    <row r="7934">
      <c r="A7934" s="178" t="str">
        <f>IFERROR(__xludf.DUMMYFUNCTION("""COMPUTED_VALUE"""),"ITBISA-LED-SUPERBRIGHT-5MM-GREEN")</f>
        <v>ITBISA-LED-SUPERBRIGHT-5MM-GREEN</v>
      </c>
      <c r="B7934" s="266">
        <f>IFERROR(__xludf.DUMMYFUNCTION("""COMPUTED_VALUE"""),45712.0)</f>
        <v>45712</v>
      </c>
      <c r="C7934" s="266" t="str">
        <f>IFERROR(__xludf.DUMMYFUNCTION("""COMPUTED_VALUE"""),"KYAI KONTONG")</f>
        <v>KYAI KONTONG</v>
      </c>
      <c r="D7934" s="186">
        <f>IFERROR(__xludf.DUMMYFUNCTION("""COMPUTED_VALUE"""),2.0)</f>
        <v>2</v>
      </c>
    </row>
    <row r="7935">
      <c r="A7935" s="178" t="str">
        <f>IFERROR(__xludf.DUMMYFUNCTION("""COMPUTED_VALUE"""),"ITBISA-LED-SUPERBRIGHT-5MM-GREEN")</f>
        <v>ITBISA-LED-SUPERBRIGHT-5MM-GREEN</v>
      </c>
      <c r="B7935" s="266">
        <f>IFERROR(__xludf.DUMMYFUNCTION("""COMPUTED_VALUE"""),45716.0)</f>
        <v>45716</v>
      </c>
      <c r="C7935" s="266" t="str">
        <f>IFERROR(__xludf.DUMMYFUNCTION("""COMPUTED_VALUE"""),"KYAI KONTONG")</f>
        <v>KYAI KONTONG</v>
      </c>
      <c r="D7935" s="186">
        <f>IFERROR(__xludf.DUMMYFUNCTION("""COMPUTED_VALUE"""),60.0)</f>
        <v>60</v>
      </c>
    </row>
    <row r="7936">
      <c r="A7936" s="178" t="str">
        <f>IFERROR(__xludf.DUMMYFUNCTION("""COMPUTED_VALUE"""),"ITBISA-LED-SUPERBRIGHT-5MM-GREEN")</f>
        <v>ITBISA-LED-SUPERBRIGHT-5MM-GREEN</v>
      </c>
      <c r="B7936" s="266">
        <f>IFERROR(__xludf.DUMMYFUNCTION("""COMPUTED_VALUE"""),45717.0)</f>
        <v>45717</v>
      </c>
      <c r="C7936" s="266" t="str">
        <f>IFERROR(__xludf.DUMMYFUNCTION("""COMPUTED_VALUE"""),"KERTASARI CIAMIS")</f>
        <v>KERTASARI CIAMIS</v>
      </c>
      <c r="D7936" s="186">
        <f>IFERROR(__xludf.DUMMYFUNCTION("""COMPUTED_VALUE"""),10.0)</f>
        <v>10</v>
      </c>
    </row>
    <row r="7937">
      <c r="A7937" s="178" t="str">
        <f>IFERROR(__xludf.DUMMYFUNCTION("""COMPUTED_VALUE"""),"ITBISA-LED-SUPERBRIGHT-5MM-GREEN")</f>
        <v>ITBISA-LED-SUPERBRIGHT-5MM-GREEN</v>
      </c>
      <c r="B7937" s="266">
        <f>IFERROR(__xludf.DUMMYFUNCTION("""COMPUTED_VALUE"""),45718.0)</f>
        <v>45718</v>
      </c>
      <c r="C7937" s="266" t="str">
        <f>IFERROR(__xludf.DUMMYFUNCTION("""COMPUTED_VALUE"""),"KERTASARI CIAMIS")</f>
        <v>KERTASARI CIAMIS</v>
      </c>
      <c r="D7937" s="186">
        <f>IFERROR(__xludf.DUMMYFUNCTION("""COMPUTED_VALUE"""),20.0)</f>
        <v>20</v>
      </c>
    </row>
    <row r="7938">
      <c r="A7938" s="178" t="str">
        <f>IFERROR(__xludf.DUMMYFUNCTION("""COMPUTED_VALUE"""),"ITBISA-LED-SUPERBRIGHT-5MM-GREEN")</f>
        <v>ITBISA-LED-SUPERBRIGHT-5MM-GREEN</v>
      </c>
      <c r="B7938" s="266">
        <f>IFERROR(__xludf.DUMMYFUNCTION("""COMPUTED_VALUE"""),45720.0)</f>
        <v>45720</v>
      </c>
      <c r="C7938" s="266" t="str">
        <f>IFERROR(__xludf.DUMMYFUNCTION("""COMPUTED_VALUE"""),"KERTASARI CIAMIS")</f>
        <v>KERTASARI CIAMIS</v>
      </c>
      <c r="D7938" s="186">
        <f>IFERROR(__xludf.DUMMYFUNCTION("""COMPUTED_VALUE"""),50.0)</f>
        <v>50</v>
      </c>
    </row>
    <row r="7939">
      <c r="A7939" s="178" t="str">
        <f>IFERROR(__xludf.DUMMYFUNCTION("""COMPUTED_VALUE"""),"ITBISA-LED-SUPERBRIGHT-5MM-GREEN")</f>
        <v>ITBISA-LED-SUPERBRIGHT-5MM-GREEN</v>
      </c>
      <c r="B7939" s="266">
        <f>IFERROR(__xludf.DUMMYFUNCTION("""COMPUTED_VALUE"""),45726.0)</f>
        <v>45726</v>
      </c>
      <c r="C7939" s="266" t="str">
        <f>IFERROR(__xludf.DUMMYFUNCTION("""COMPUTED_VALUE"""),"KERTASARI CIAMIS")</f>
        <v>KERTASARI CIAMIS</v>
      </c>
      <c r="D7939" s="186">
        <f>IFERROR(__xludf.DUMMYFUNCTION("""COMPUTED_VALUE"""),5.0)</f>
        <v>5</v>
      </c>
    </row>
    <row r="7940">
      <c r="A7940" s="178" t="str">
        <f>IFERROR(__xludf.DUMMYFUNCTION("""COMPUTED_VALUE"""),"ITBISA-LED-SUPERBRIGHT-5MM-GREEN")</f>
        <v>ITBISA-LED-SUPERBRIGHT-5MM-GREEN</v>
      </c>
      <c r="B7940" s="266">
        <f>IFERROR(__xludf.DUMMYFUNCTION("""COMPUTED_VALUE"""),45726.0)</f>
        <v>45726</v>
      </c>
      <c r="C7940" s="266" t="str">
        <f>IFERROR(__xludf.DUMMYFUNCTION("""COMPUTED_VALUE"""),"KERTASARI CIAMIS")</f>
        <v>KERTASARI CIAMIS</v>
      </c>
      <c r="D7940" s="186">
        <f>IFERROR(__xludf.DUMMYFUNCTION("""COMPUTED_VALUE"""),40.0)</f>
        <v>40</v>
      </c>
    </row>
    <row r="7941">
      <c r="A7941" s="178" t="str">
        <f>IFERROR(__xludf.DUMMYFUNCTION("""COMPUTED_VALUE"""),"ITBISA-LED-SUPERBRIGHT-5MM-GREEN")</f>
        <v>ITBISA-LED-SUPERBRIGHT-5MM-GREEN</v>
      </c>
      <c r="B7941" s="266">
        <f>IFERROR(__xludf.DUMMYFUNCTION("""COMPUTED_VALUE"""),45730.0)</f>
        <v>45730</v>
      </c>
      <c r="C7941" s="266" t="str">
        <f>IFERROR(__xludf.DUMMYFUNCTION("""COMPUTED_VALUE"""),"KERTASARI CIAMIS")</f>
        <v>KERTASARI CIAMIS</v>
      </c>
      <c r="D7941" s="186">
        <f>IFERROR(__xludf.DUMMYFUNCTION("""COMPUTED_VALUE"""),15.0)</f>
        <v>15</v>
      </c>
    </row>
    <row r="7942">
      <c r="A7942" s="178" t="str">
        <f>IFERROR(__xludf.DUMMYFUNCTION("""COMPUTED_VALUE"""),"ITBISA-LED-SUPERBRIGHT-5MM-GREEN")</f>
        <v>ITBISA-LED-SUPERBRIGHT-5MM-GREEN</v>
      </c>
      <c r="B7942" s="266">
        <f>IFERROR(__xludf.DUMMYFUNCTION("""COMPUTED_VALUE"""),45730.0)</f>
        <v>45730</v>
      </c>
      <c r="C7942" s="266" t="str">
        <f>IFERROR(__xludf.DUMMYFUNCTION("""COMPUTED_VALUE"""),"KYAI KONTONG")</f>
        <v>KYAI KONTONG</v>
      </c>
      <c r="D7942" s="186">
        <f>IFERROR(__xludf.DUMMYFUNCTION("""COMPUTED_VALUE"""),30.0)</f>
        <v>30</v>
      </c>
    </row>
    <row r="7943">
      <c r="A7943" s="178" t="str">
        <f>IFERROR(__xludf.DUMMYFUNCTION("""COMPUTED_VALUE"""),"ITBISA-LED-SUPERBRIGHT-5MM-GREEN")</f>
        <v>ITBISA-LED-SUPERBRIGHT-5MM-GREEN</v>
      </c>
      <c r="B7943" s="266">
        <f>IFERROR(__xludf.DUMMYFUNCTION("""COMPUTED_VALUE"""),45734.0)</f>
        <v>45734</v>
      </c>
      <c r="C7943" s="266" t="str">
        <f>IFERROR(__xludf.DUMMYFUNCTION("""COMPUTED_VALUE"""),"KYAI KONTONG")</f>
        <v>KYAI KONTONG</v>
      </c>
      <c r="D7943" s="186">
        <f>IFERROR(__xludf.DUMMYFUNCTION("""COMPUTED_VALUE"""),7.0)</f>
        <v>7</v>
      </c>
    </row>
    <row r="7944">
      <c r="A7944" s="178" t="str">
        <f>IFERROR(__xludf.DUMMYFUNCTION("""COMPUTED_VALUE"""),"ITBISA-LED-SUPERBRIGHT-5MM-GREEN")</f>
        <v>ITBISA-LED-SUPERBRIGHT-5MM-GREEN</v>
      </c>
      <c r="B7944" s="266">
        <f>IFERROR(__xludf.DUMMYFUNCTION("""COMPUTED_VALUE"""),45742.0)</f>
        <v>45742</v>
      </c>
      <c r="C7944" s="266" t="str">
        <f>IFERROR(__xludf.DUMMYFUNCTION("""COMPUTED_VALUE"""),"KERTASARI CIAMIS")</f>
        <v>KERTASARI CIAMIS</v>
      </c>
      <c r="D7944" s="186">
        <f>IFERROR(__xludf.DUMMYFUNCTION("""COMPUTED_VALUE"""),10.0)</f>
        <v>10</v>
      </c>
    </row>
    <row r="7945">
      <c r="A7945" s="178" t="str">
        <f>IFERROR(__xludf.DUMMYFUNCTION("""COMPUTED_VALUE"""),"ITBISA-LED-SUPERBRIGHT-5MM-GREEN")</f>
        <v>ITBISA-LED-SUPERBRIGHT-5MM-GREEN</v>
      </c>
      <c r="B7945" s="266">
        <f>IFERROR(__xludf.DUMMYFUNCTION("""COMPUTED_VALUE"""),45749.0)</f>
        <v>45749</v>
      </c>
      <c r="C7945" s="266" t="str">
        <f>IFERROR(__xludf.DUMMYFUNCTION("""COMPUTED_VALUE"""),"KERTASARI CIAMIS")</f>
        <v>KERTASARI CIAMIS</v>
      </c>
      <c r="D7945" s="186">
        <f>IFERROR(__xludf.DUMMYFUNCTION("""COMPUTED_VALUE"""),20.0)</f>
        <v>20</v>
      </c>
    </row>
    <row r="7946">
      <c r="A7946" s="178" t="str">
        <f>IFERROR(__xludf.DUMMYFUNCTION("""COMPUTED_VALUE"""),"ITBISA-LED-SUPERBRIGHT-5MM-GREEN")</f>
        <v>ITBISA-LED-SUPERBRIGHT-5MM-GREEN</v>
      </c>
      <c r="B7946" s="266">
        <f>IFERROR(__xludf.DUMMYFUNCTION("""COMPUTED_VALUE"""),45750.0)</f>
        <v>45750</v>
      </c>
      <c r="C7946" s="266" t="str">
        <f>IFERROR(__xludf.DUMMYFUNCTION("""COMPUTED_VALUE"""),"KERTASARI CIAMIS")</f>
        <v>KERTASARI CIAMIS</v>
      </c>
      <c r="D7946" s="186">
        <f>IFERROR(__xludf.DUMMYFUNCTION("""COMPUTED_VALUE"""),10.0)</f>
        <v>10</v>
      </c>
    </row>
    <row r="7947">
      <c r="A7947" s="178" t="str">
        <f>IFERROR(__xludf.DUMMYFUNCTION("""COMPUTED_VALUE"""),"ITBISA-LED-SUPERBRIGHT-5MM-GREEN")</f>
        <v>ITBISA-LED-SUPERBRIGHT-5MM-GREEN</v>
      </c>
      <c r="B7947" s="266">
        <f>IFERROR(__xludf.DUMMYFUNCTION("""COMPUTED_VALUE"""),45758.0)</f>
        <v>45758</v>
      </c>
      <c r="C7947" s="266" t="str">
        <f>IFERROR(__xludf.DUMMYFUNCTION("""COMPUTED_VALUE"""),"KYAI KONTONG")</f>
        <v>KYAI KONTONG</v>
      </c>
      <c r="D7947" s="186">
        <f>IFERROR(__xludf.DUMMYFUNCTION("""COMPUTED_VALUE"""),10.0)</f>
        <v>10</v>
      </c>
    </row>
    <row r="7948">
      <c r="A7948" s="178" t="str">
        <f>IFERROR(__xludf.DUMMYFUNCTION("""COMPUTED_VALUE"""),"ITBISA-LED-SUPERBRIGHT-5MM-GREEN")</f>
        <v>ITBISA-LED-SUPERBRIGHT-5MM-GREEN</v>
      </c>
      <c r="B7948" s="266">
        <f>IFERROR(__xludf.DUMMYFUNCTION("""COMPUTED_VALUE"""),45768.0)</f>
        <v>45768</v>
      </c>
      <c r="C7948" s="266" t="str">
        <f>IFERROR(__xludf.DUMMYFUNCTION("""COMPUTED_VALUE"""),"KERTASARI CIAMIS")</f>
        <v>KERTASARI CIAMIS</v>
      </c>
      <c r="D7948" s="186">
        <f>IFERROR(__xludf.DUMMYFUNCTION("""COMPUTED_VALUE"""),100.0)</f>
        <v>100</v>
      </c>
    </row>
    <row r="7949">
      <c r="A7949" s="178" t="str">
        <f>IFERROR(__xludf.DUMMYFUNCTION("""COMPUTED_VALUE"""),"ITBISA-LED-SUPERBRIGHT-5MM-GREEN")</f>
        <v>ITBISA-LED-SUPERBRIGHT-5MM-GREEN</v>
      </c>
      <c r="B7949" s="266">
        <f>IFERROR(__xludf.DUMMYFUNCTION("""COMPUTED_VALUE"""),45773.0)</f>
        <v>45773</v>
      </c>
      <c r="C7949" s="266" t="str">
        <f>IFERROR(__xludf.DUMMYFUNCTION("""COMPUTED_VALUE"""),"KERTASARI CIAMIS")</f>
        <v>KERTASARI CIAMIS</v>
      </c>
      <c r="D7949" s="186">
        <f>IFERROR(__xludf.DUMMYFUNCTION("""COMPUTED_VALUE"""),10.0)</f>
        <v>10</v>
      </c>
    </row>
    <row r="7950">
      <c r="A7950" s="178" t="str">
        <f>IFERROR(__xludf.DUMMYFUNCTION("""COMPUTED_VALUE"""),"ITBISA-LED-SUPERBRIGHT-5MM-GREEN")</f>
        <v>ITBISA-LED-SUPERBRIGHT-5MM-GREEN</v>
      </c>
      <c r="B7950" s="266">
        <f>IFERROR(__xludf.DUMMYFUNCTION("""COMPUTED_VALUE"""),45783.0)</f>
        <v>45783</v>
      </c>
      <c r="C7950" s="266" t="str">
        <f>IFERROR(__xludf.DUMMYFUNCTION("""COMPUTED_VALUE"""),"KYAI KONTONG")</f>
        <v>KYAI KONTONG</v>
      </c>
      <c r="D7950" s="186">
        <f>IFERROR(__xludf.DUMMYFUNCTION("""COMPUTED_VALUE"""),12.0)</f>
        <v>12</v>
      </c>
    </row>
    <row r="7951">
      <c r="A7951" s="178" t="str">
        <f>IFERROR(__xludf.DUMMYFUNCTION("""COMPUTED_VALUE"""),"ITBISA-LED-SUPERBRIGHT-5MM-GREEN")</f>
        <v>ITBISA-LED-SUPERBRIGHT-5MM-GREEN</v>
      </c>
      <c r="B7951" s="266">
        <f>IFERROR(__xludf.DUMMYFUNCTION("""COMPUTED_VALUE"""),45792.0)</f>
        <v>45792</v>
      </c>
      <c r="C7951" s="266" t="str">
        <f>IFERROR(__xludf.DUMMYFUNCTION("""COMPUTED_VALUE"""),"KERTASARI CIAMIS")</f>
        <v>KERTASARI CIAMIS</v>
      </c>
      <c r="D7951" s="186">
        <f>IFERROR(__xludf.DUMMYFUNCTION("""COMPUTED_VALUE"""),25.0)</f>
        <v>25</v>
      </c>
    </row>
    <row r="7952">
      <c r="A7952" s="178" t="str">
        <f>IFERROR(__xludf.DUMMYFUNCTION("""COMPUTED_VALUE"""),"ITBISA-LED-SUPERBRIGHT-5MM-GREEN")</f>
        <v>ITBISA-LED-SUPERBRIGHT-5MM-GREEN</v>
      </c>
      <c r="B7952" s="266">
        <f>IFERROR(__xludf.DUMMYFUNCTION("""COMPUTED_VALUE"""),45792.0)</f>
        <v>45792</v>
      </c>
      <c r="C7952" s="266" t="str">
        <f>IFERROR(__xludf.DUMMYFUNCTION("""COMPUTED_VALUE"""),"KYAI KONTONG")</f>
        <v>KYAI KONTONG</v>
      </c>
      <c r="D7952" s="186">
        <f>IFERROR(__xludf.DUMMYFUNCTION("""COMPUTED_VALUE"""),15.0)</f>
        <v>15</v>
      </c>
    </row>
    <row r="7953">
      <c r="A7953" s="178" t="str">
        <f>IFERROR(__xludf.DUMMYFUNCTION("""COMPUTED_VALUE"""),"ITBISA-LED-SUPERBRIGHT-5MM-GREEN")</f>
        <v>ITBISA-LED-SUPERBRIGHT-5MM-GREEN</v>
      </c>
      <c r="B7953" s="266">
        <f>IFERROR(__xludf.DUMMYFUNCTION("""COMPUTED_VALUE"""),45803.0)</f>
        <v>45803</v>
      </c>
      <c r="C7953" s="266" t="str">
        <f>IFERROR(__xludf.DUMMYFUNCTION("""COMPUTED_VALUE"""),"KYAI KONTONG")</f>
        <v>KYAI KONTONG</v>
      </c>
      <c r="D7953" s="186">
        <f>IFERROR(__xludf.DUMMYFUNCTION("""COMPUTED_VALUE"""),2.0)</f>
        <v>2</v>
      </c>
    </row>
    <row r="7954">
      <c r="A7954" s="178" t="str">
        <f>IFERROR(__xludf.DUMMYFUNCTION("""COMPUTED_VALUE"""),"ITBISA-LED-SUPERBRIGHT-5MM-GREEN")</f>
        <v>ITBISA-LED-SUPERBRIGHT-5MM-GREEN</v>
      </c>
      <c r="B7954" s="266">
        <f>IFERROR(__xludf.DUMMYFUNCTION("""COMPUTED_VALUE"""),45810.0)</f>
        <v>45810</v>
      </c>
      <c r="C7954" s="266" t="str">
        <f>IFERROR(__xludf.DUMMYFUNCTION("""COMPUTED_VALUE"""),"KYAI KONTONG")</f>
        <v>KYAI KONTONG</v>
      </c>
      <c r="D7954" s="186">
        <f>IFERROR(__xludf.DUMMYFUNCTION("""COMPUTED_VALUE"""),20.0)</f>
        <v>20</v>
      </c>
    </row>
    <row r="7955">
      <c r="A7955" s="178" t="str">
        <f>IFERROR(__xludf.DUMMYFUNCTION("""COMPUTED_VALUE"""),"ITBISA-LED-SUPERBRIGHT-5MM-GREEN")</f>
        <v>ITBISA-LED-SUPERBRIGHT-5MM-GREEN</v>
      </c>
      <c r="B7955" s="266">
        <f>IFERROR(__xludf.DUMMYFUNCTION("""COMPUTED_VALUE"""),45827.0)</f>
        <v>45827</v>
      </c>
      <c r="C7955" s="266" t="str">
        <f>IFERROR(__xludf.DUMMYFUNCTION("""COMPUTED_VALUE"""),"KERTASARI CIAMIS")</f>
        <v>KERTASARI CIAMIS</v>
      </c>
      <c r="D7955" s="186">
        <f>IFERROR(__xludf.DUMMYFUNCTION("""COMPUTED_VALUE"""),5.0)</f>
        <v>5</v>
      </c>
    </row>
    <row r="7956">
      <c r="A7956" s="178" t="str">
        <f>IFERROR(__xludf.DUMMYFUNCTION("""COMPUTED_VALUE"""),"ITBISA-LED-SUPERBRIGHT-5MM-GREEN")</f>
        <v>ITBISA-LED-SUPERBRIGHT-5MM-GREEN</v>
      </c>
      <c r="B7956" s="266">
        <f>IFERROR(__xludf.DUMMYFUNCTION("""COMPUTED_VALUE"""),45843.0)</f>
        <v>45843</v>
      </c>
      <c r="C7956" s="266" t="str">
        <f>IFERROR(__xludf.DUMMYFUNCTION("""COMPUTED_VALUE"""),"KERTASARI CIAMIS")</f>
        <v>KERTASARI CIAMIS</v>
      </c>
      <c r="D7956" s="186">
        <f>IFERROR(__xludf.DUMMYFUNCTION("""COMPUTED_VALUE"""),4.0)</f>
        <v>4</v>
      </c>
    </row>
    <row r="7957">
      <c r="A7957" s="178" t="str">
        <f>IFERROR(__xludf.DUMMYFUNCTION("""COMPUTED_VALUE"""),"ITBISA-LED-SUPERBRIGHT-5MM-GREEN")</f>
        <v>ITBISA-LED-SUPERBRIGHT-5MM-GREEN</v>
      </c>
      <c r="B7957" s="266">
        <f>IFERROR(__xludf.DUMMYFUNCTION("""COMPUTED_VALUE"""),45847.0)</f>
        <v>45847</v>
      </c>
      <c r="C7957" s="266" t="str">
        <f>IFERROR(__xludf.DUMMYFUNCTION("""COMPUTED_VALUE"""),"KERTASARI CIAMIS")</f>
        <v>KERTASARI CIAMIS</v>
      </c>
      <c r="D7957" s="186">
        <f>IFERROR(__xludf.DUMMYFUNCTION("""COMPUTED_VALUE"""),20.0)</f>
        <v>20</v>
      </c>
    </row>
    <row r="7958">
      <c r="A7958" s="178" t="str">
        <f>IFERROR(__xludf.DUMMYFUNCTION("""COMPUTED_VALUE"""),"ITBISA-LED-SUPERBRIGHT-5MM-GREEN")</f>
        <v>ITBISA-LED-SUPERBRIGHT-5MM-GREEN</v>
      </c>
      <c r="B7958" s="266">
        <f>IFERROR(__xludf.DUMMYFUNCTION("""COMPUTED_VALUE"""),45867.0)</f>
        <v>45867</v>
      </c>
      <c r="C7958" s="266" t="str">
        <f>IFERROR(__xludf.DUMMYFUNCTION("""COMPUTED_VALUE"""),"KYAI KONTONG")</f>
        <v>KYAI KONTONG</v>
      </c>
      <c r="D7958" s="186">
        <f>IFERROR(__xludf.DUMMYFUNCTION("""COMPUTED_VALUE"""),5.0)</f>
        <v>5</v>
      </c>
    </row>
    <row r="7959">
      <c r="A7959" s="178" t="str">
        <f>IFERROR(__xludf.DUMMYFUNCTION("""COMPUTED_VALUE"""),"ITBISA-LED-SUPERBRIGHT-5MM-GREEN")</f>
        <v>ITBISA-LED-SUPERBRIGHT-5MM-GREEN</v>
      </c>
      <c r="B7959" s="266">
        <f>IFERROR(__xludf.DUMMYFUNCTION("""COMPUTED_VALUE"""),45867.0)</f>
        <v>45867</v>
      </c>
      <c r="C7959" s="266" t="str">
        <f>IFERROR(__xludf.DUMMYFUNCTION("""COMPUTED_VALUE"""),"KYAI KONTONG")</f>
        <v>KYAI KONTONG</v>
      </c>
      <c r="D7959" s="186">
        <f>IFERROR(__xludf.DUMMYFUNCTION("""COMPUTED_VALUE"""),10.0)</f>
        <v>10</v>
      </c>
    </row>
    <row r="7960">
      <c r="A7960" s="178" t="str">
        <f>IFERROR(__xludf.DUMMYFUNCTION("""COMPUTED_VALUE"""),"ITBISA-LED-SUPERBRIGHT-5MM-GREEN")</f>
        <v>ITBISA-LED-SUPERBRIGHT-5MM-GREEN</v>
      </c>
      <c r="B7960" s="266">
        <f>IFERROR(__xludf.DUMMYFUNCTION("""COMPUTED_VALUE"""),45874.0)</f>
        <v>45874</v>
      </c>
      <c r="C7960" s="266" t="str">
        <f>IFERROR(__xludf.DUMMYFUNCTION("""COMPUTED_VALUE"""),"KERTASARI CIAMIS")</f>
        <v>KERTASARI CIAMIS</v>
      </c>
      <c r="D7960" s="186">
        <f>IFERROR(__xludf.DUMMYFUNCTION("""COMPUTED_VALUE"""),5.0)</f>
        <v>5</v>
      </c>
    </row>
    <row r="7961">
      <c r="A7961" s="178" t="str">
        <f>IFERROR(__xludf.DUMMYFUNCTION("""COMPUTED_VALUE"""),"ITBISA-LED-SUPERBRIGHT-5MM-GREEN")</f>
        <v>ITBISA-LED-SUPERBRIGHT-5MM-GREEN</v>
      </c>
      <c r="B7961" s="266">
        <f>IFERROR(__xludf.DUMMYFUNCTION("""COMPUTED_VALUE"""),45877.0)</f>
        <v>45877</v>
      </c>
      <c r="C7961" s="266" t="str">
        <f>IFERROR(__xludf.DUMMYFUNCTION("""COMPUTED_VALUE"""),"KYAI KONTONG")</f>
        <v>KYAI KONTONG</v>
      </c>
      <c r="D7961" s="186">
        <f>IFERROR(__xludf.DUMMYFUNCTION("""COMPUTED_VALUE"""),1.0)</f>
        <v>1</v>
      </c>
    </row>
    <row r="7962">
      <c r="A7962" s="178" t="str">
        <f>IFERROR(__xludf.DUMMYFUNCTION("""COMPUTED_VALUE"""),"ITBISA-LED-SUPERBRIGHT-5MM-GREEN")</f>
        <v>ITBISA-LED-SUPERBRIGHT-5MM-GREEN</v>
      </c>
      <c r="B7962" s="266">
        <f>IFERROR(__xludf.DUMMYFUNCTION("""COMPUTED_VALUE"""),45940.0)</f>
        <v>45940</v>
      </c>
      <c r="C7962" s="266" t="str">
        <f>IFERROR(__xludf.DUMMYFUNCTION("""COMPUTED_VALUE"""),"KERTASARI CIAMIS")</f>
        <v>KERTASARI CIAMIS</v>
      </c>
      <c r="D7962" s="186">
        <f>IFERROR(__xludf.DUMMYFUNCTION("""COMPUTED_VALUE"""),6.0)</f>
        <v>6</v>
      </c>
    </row>
    <row r="7963">
      <c r="A7963" s="178" t="str">
        <f>IFERROR(__xludf.DUMMYFUNCTION("""COMPUTED_VALUE"""),"ITBISA-LED-SUPERBRIGHT-5MM-GREEN")</f>
        <v>ITBISA-LED-SUPERBRIGHT-5MM-GREEN</v>
      </c>
      <c r="B7963" s="266">
        <f>IFERROR(__xludf.DUMMYFUNCTION("""COMPUTED_VALUE"""),45943.0)</f>
        <v>45943</v>
      </c>
      <c r="C7963" s="266" t="str">
        <f>IFERROR(__xludf.DUMMYFUNCTION("""COMPUTED_VALUE"""),"KYAI KONTONG")</f>
        <v>KYAI KONTONG</v>
      </c>
      <c r="D7963" s="186">
        <f>IFERROR(__xludf.DUMMYFUNCTION("""COMPUTED_VALUE"""),5.0)</f>
        <v>5</v>
      </c>
    </row>
    <row r="7964">
      <c r="A7964" s="178" t="str">
        <f>IFERROR(__xludf.DUMMYFUNCTION("""COMPUTED_VALUE"""),"ITBISA-LED-SUPERBRIGHT-5MM-GREEN")</f>
        <v>ITBISA-LED-SUPERBRIGHT-5MM-GREEN</v>
      </c>
      <c r="B7964" s="266">
        <f>IFERROR(__xludf.DUMMYFUNCTION("""COMPUTED_VALUE"""),45944.0)</f>
        <v>45944</v>
      </c>
      <c r="C7964" s="266" t="str">
        <f>IFERROR(__xludf.DUMMYFUNCTION("""COMPUTED_VALUE"""),"KERTASARI CIAMIS")</f>
        <v>KERTASARI CIAMIS</v>
      </c>
      <c r="D7964" s="186">
        <f>IFERROR(__xludf.DUMMYFUNCTION("""COMPUTED_VALUE"""),25.0)</f>
        <v>25</v>
      </c>
    </row>
    <row r="7965">
      <c r="A7965" s="178" t="str">
        <f>IFERROR(__xludf.DUMMYFUNCTION("""COMPUTED_VALUE"""),"ITBISA-LED-SUPERBRIGHT-5MM-GREEN")</f>
        <v>ITBISA-LED-SUPERBRIGHT-5MM-GREEN</v>
      </c>
      <c r="B7965" s="266">
        <f>IFERROR(__xludf.DUMMYFUNCTION("""COMPUTED_VALUE"""),45945.0)</f>
        <v>45945</v>
      </c>
      <c r="C7965" s="266" t="str">
        <f>IFERROR(__xludf.DUMMYFUNCTION("""COMPUTED_VALUE"""),"KYAI KONTONG")</f>
        <v>KYAI KONTONG</v>
      </c>
      <c r="D7965" s="186">
        <f>IFERROR(__xludf.DUMMYFUNCTION("""COMPUTED_VALUE"""),3.0)</f>
        <v>3</v>
      </c>
    </row>
    <row r="7966">
      <c r="A7966" s="178" t="str">
        <f>IFERROR(__xludf.DUMMYFUNCTION("""COMPUTED_VALUE"""),"ITBISA-LED-SUPERBRIGHT-5MM-GREEN")</f>
        <v>ITBISA-LED-SUPERBRIGHT-5MM-GREEN</v>
      </c>
      <c r="B7966" s="266">
        <f>IFERROR(__xludf.DUMMYFUNCTION("""COMPUTED_VALUE"""),45946.0)</f>
        <v>45946</v>
      </c>
      <c r="C7966" s="266" t="str">
        <f>IFERROR(__xludf.DUMMYFUNCTION("""COMPUTED_VALUE"""),"KYAI KONTONG")</f>
        <v>KYAI KONTONG</v>
      </c>
      <c r="D7966" s="186">
        <f>IFERROR(__xludf.DUMMYFUNCTION("""COMPUTED_VALUE"""),5.0)</f>
        <v>5</v>
      </c>
    </row>
    <row r="7967">
      <c r="A7967" s="178" t="str">
        <f>IFERROR(__xludf.DUMMYFUNCTION("""COMPUTED_VALUE"""),"ITBISA-LED-SUPERBRIGHT-5MM-GREEN")</f>
        <v>ITBISA-LED-SUPERBRIGHT-5MM-GREEN</v>
      </c>
      <c r="B7967" s="266">
        <f>IFERROR(__xludf.DUMMYFUNCTION("""COMPUTED_VALUE"""),45946.0)</f>
        <v>45946</v>
      </c>
      <c r="C7967" s="266" t="str">
        <f>IFERROR(__xludf.DUMMYFUNCTION("""COMPUTED_VALUE"""),"KYAI KONTONG")</f>
        <v>KYAI KONTONG</v>
      </c>
      <c r="D7967" s="186">
        <f>IFERROR(__xludf.DUMMYFUNCTION("""COMPUTED_VALUE"""),50.0)</f>
        <v>50</v>
      </c>
    </row>
    <row r="7968">
      <c r="A7968" s="178" t="str">
        <f>IFERROR(__xludf.DUMMYFUNCTION("""COMPUTED_VALUE"""),"ITBISA-LED-SUPERBRIGHT-5MM-GREEN")</f>
        <v>ITBISA-LED-SUPERBRIGHT-5MM-GREEN</v>
      </c>
      <c r="B7968" s="266">
        <f>IFERROR(__xludf.DUMMYFUNCTION("""COMPUTED_VALUE"""),45946.0)</f>
        <v>45946</v>
      </c>
      <c r="C7968" s="266" t="str">
        <f>IFERROR(__xludf.DUMMYFUNCTION("""COMPUTED_VALUE"""),"KYAI KONTONG")</f>
        <v>KYAI KONTONG</v>
      </c>
      <c r="D7968" s="186">
        <f>IFERROR(__xludf.DUMMYFUNCTION("""COMPUTED_VALUE"""),100.0)</f>
        <v>100</v>
      </c>
    </row>
    <row r="7969">
      <c r="A7969" s="178" t="str">
        <f>IFERROR(__xludf.DUMMYFUNCTION("""COMPUTED_VALUE"""),"ITBISA-LED-SUPERBRIGHT-5MM-GREEN")</f>
        <v>ITBISA-LED-SUPERBRIGHT-5MM-GREEN</v>
      </c>
      <c r="B7969" s="266">
        <f>IFERROR(__xludf.DUMMYFUNCTION("""COMPUTED_VALUE"""),45948.0)</f>
        <v>45948</v>
      </c>
      <c r="C7969" s="266" t="str">
        <f>IFERROR(__xludf.DUMMYFUNCTION("""COMPUTED_VALUE"""),"KYAI KONTONG")</f>
        <v>KYAI KONTONG</v>
      </c>
      <c r="D7969" s="186">
        <f>IFERROR(__xludf.DUMMYFUNCTION("""COMPUTED_VALUE"""),1.0)</f>
        <v>1</v>
      </c>
    </row>
    <row r="7970">
      <c r="A7970" s="178" t="str">
        <f>IFERROR(__xludf.DUMMYFUNCTION("""COMPUTED_VALUE"""),"ITBISA-LED-SUPERBRIGHT-5MM-GREEN")</f>
        <v>ITBISA-LED-SUPERBRIGHT-5MM-GREEN</v>
      </c>
      <c r="B7970" s="266">
        <f>IFERROR(__xludf.DUMMYFUNCTION("""COMPUTED_VALUE"""),45948.0)</f>
        <v>45948</v>
      </c>
      <c r="C7970" s="266" t="str">
        <f>IFERROR(__xludf.DUMMYFUNCTION("""COMPUTED_VALUE"""),"KYAI KONTONG")</f>
        <v>KYAI KONTONG</v>
      </c>
      <c r="D7970" s="186">
        <f>IFERROR(__xludf.DUMMYFUNCTION("""COMPUTED_VALUE"""),13.0)</f>
        <v>13</v>
      </c>
    </row>
    <row r="7971">
      <c r="A7971" s="178" t="str">
        <f>IFERROR(__xludf.DUMMYFUNCTION("""COMPUTED_VALUE"""),"ITBISA-LED-SUPERBRIGHT-5MM-GREEN")</f>
        <v>ITBISA-LED-SUPERBRIGHT-5MM-GREEN</v>
      </c>
      <c r="B7971" s="266">
        <f>IFERROR(__xludf.DUMMYFUNCTION("""COMPUTED_VALUE"""),45949.0)</f>
        <v>45949</v>
      </c>
      <c r="C7971" s="266" t="str">
        <f>IFERROR(__xludf.DUMMYFUNCTION("""COMPUTED_VALUE"""),"KYAI KONTONG")</f>
        <v>KYAI KONTONG</v>
      </c>
      <c r="D7971" s="186">
        <f>IFERROR(__xludf.DUMMYFUNCTION("""COMPUTED_VALUE"""),1.0)</f>
        <v>1</v>
      </c>
    </row>
    <row r="7972">
      <c r="A7972" s="178" t="str">
        <f>IFERROR(__xludf.DUMMYFUNCTION("""COMPUTED_VALUE"""),"ITBISA-LED-SUPERBRIGHT-5MM-GREEN")</f>
        <v>ITBISA-LED-SUPERBRIGHT-5MM-GREEN</v>
      </c>
      <c r="B7972" s="266">
        <f>IFERROR(__xludf.DUMMYFUNCTION("""COMPUTED_VALUE"""),45952.0)</f>
        <v>45952</v>
      </c>
      <c r="C7972" s="266" t="str">
        <f>IFERROR(__xludf.DUMMYFUNCTION("""COMPUTED_VALUE"""),"KYAI KONTONG")</f>
        <v>KYAI KONTONG</v>
      </c>
      <c r="D7972" s="186">
        <f>IFERROR(__xludf.DUMMYFUNCTION("""COMPUTED_VALUE"""),30.0)</f>
        <v>30</v>
      </c>
    </row>
    <row r="7973">
      <c r="A7973" s="178" t="str">
        <f>IFERROR(__xludf.DUMMYFUNCTION("""COMPUTED_VALUE"""),"ITBISA-LED-SUPERBRIGHT-5MM-GREEN")</f>
        <v>ITBISA-LED-SUPERBRIGHT-5MM-GREEN</v>
      </c>
      <c r="B7973" s="266">
        <f>IFERROR(__xludf.DUMMYFUNCTION("""COMPUTED_VALUE"""),45953.0)</f>
        <v>45953</v>
      </c>
      <c r="C7973" s="266" t="str">
        <f>IFERROR(__xludf.DUMMYFUNCTION("""COMPUTED_VALUE"""),"KERTASARI CIAMIS")</f>
        <v>KERTASARI CIAMIS</v>
      </c>
      <c r="D7973" s="186">
        <f>IFERROR(__xludf.DUMMYFUNCTION("""COMPUTED_VALUE"""),2.0)</f>
        <v>2</v>
      </c>
    </row>
    <row r="7974">
      <c r="A7974" s="178" t="str">
        <f>IFERROR(__xludf.DUMMYFUNCTION("""COMPUTED_VALUE"""),"ITBISA-LED-SUPERBRIGHT-5MM-GREEN")</f>
        <v>ITBISA-LED-SUPERBRIGHT-5MM-GREEN</v>
      </c>
      <c r="B7974" s="266">
        <f>IFERROR(__xludf.DUMMYFUNCTION("""COMPUTED_VALUE"""),45954.0)</f>
        <v>45954</v>
      </c>
      <c r="C7974" s="266" t="str">
        <f>IFERROR(__xludf.DUMMYFUNCTION("""COMPUTED_VALUE"""),"KYAI KONTONG")</f>
        <v>KYAI KONTONG</v>
      </c>
      <c r="D7974" s="186">
        <f>IFERROR(__xludf.DUMMYFUNCTION("""COMPUTED_VALUE"""),3.0)</f>
        <v>3</v>
      </c>
    </row>
    <row r="7975">
      <c r="A7975" s="178" t="str">
        <f>IFERROR(__xludf.DUMMYFUNCTION("""COMPUTED_VALUE"""),"ITBISA-LED-SUPERBRIGHT-5MM-GREEN")</f>
        <v>ITBISA-LED-SUPERBRIGHT-5MM-GREEN</v>
      </c>
      <c r="B7975" s="266">
        <f>IFERROR(__xludf.DUMMYFUNCTION("""COMPUTED_VALUE"""),45955.0)</f>
        <v>45955</v>
      </c>
      <c r="C7975" s="266" t="str">
        <f>IFERROR(__xludf.DUMMYFUNCTION("""COMPUTED_VALUE"""),"KYAI KONTONG")</f>
        <v>KYAI KONTONG</v>
      </c>
      <c r="D7975" s="186">
        <f>IFERROR(__xludf.DUMMYFUNCTION("""COMPUTED_VALUE"""),1.0)</f>
        <v>1</v>
      </c>
    </row>
    <row r="7976">
      <c r="A7976" s="178" t="str">
        <f>IFERROR(__xludf.DUMMYFUNCTION("""COMPUTED_VALUE"""),"ITBISA-LED-SUPERBRIGHT-5MM-GREEN")</f>
        <v>ITBISA-LED-SUPERBRIGHT-5MM-GREEN</v>
      </c>
      <c r="B7976" s="266">
        <f>IFERROR(__xludf.DUMMYFUNCTION("""COMPUTED_VALUE"""),45958.0)</f>
        <v>45958</v>
      </c>
      <c r="C7976" s="266" t="str">
        <f>IFERROR(__xludf.DUMMYFUNCTION("""COMPUTED_VALUE"""),"KYAI KONTONG")</f>
        <v>KYAI KONTONG</v>
      </c>
      <c r="D7976" s="186">
        <f>IFERROR(__xludf.DUMMYFUNCTION("""COMPUTED_VALUE"""),5.0)</f>
        <v>5</v>
      </c>
    </row>
    <row r="7977">
      <c r="A7977" s="178" t="str">
        <f>IFERROR(__xludf.DUMMYFUNCTION("""COMPUTED_VALUE"""),"ITBISA-LED-SUPERBRIGHT-5MM-GREEN")</f>
        <v>ITBISA-LED-SUPERBRIGHT-5MM-GREEN</v>
      </c>
      <c r="B7977" s="266">
        <f>IFERROR(__xludf.DUMMYFUNCTION("""COMPUTED_VALUE"""),45959.0)</f>
        <v>45959</v>
      </c>
      <c r="C7977" s="266" t="str">
        <f>IFERROR(__xludf.DUMMYFUNCTION("""COMPUTED_VALUE"""),"KERTASARI CIAMIS")</f>
        <v>KERTASARI CIAMIS</v>
      </c>
      <c r="D7977" s="186">
        <f>IFERROR(__xludf.DUMMYFUNCTION("""COMPUTED_VALUE"""),3.0)</f>
        <v>3</v>
      </c>
    </row>
    <row r="7978">
      <c r="A7978" s="178" t="str">
        <f>IFERROR(__xludf.DUMMYFUNCTION("""COMPUTED_VALUE"""),"ITBISA-LED-SUPERBRIGHT-5MM-GREEN")</f>
        <v>ITBISA-LED-SUPERBRIGHT-5MM-GREEN</v>
      </c>
      <c r="B7978" s="266">
        <f>IFERROR(__xludf.DUMMYFUNCTION("""COMPUTED_VALUE"""),45959.0)</f>
        <v>45959</v>
      </c>
      <c r="C7978" s="266" t="str">
        <f>IFERROR(__xludf.DUMMYFUNCTION("""COMPUTED_VALUE"""),"KYAI KONTONG")</f>
        <v>KYAI KONTONG</v>
      </c>
      <c r="D7978" s="186">
        <f>IFERROR(__xludf.DUMMYFUNCTION("""COMPUTED_VALUE"""),2.0)</f>
        <v>2</v>
      </c>
    </row>
    <row r="7979">
      <c r="A7979" s="178" t="str">
        <f>IFERROR(__xludf.DUMMYFUNCTION("""COMPUTED_VALUE"""),"ITBISA-LED-SUPERBRIGHT-5MM-GREEN")</f>
        <v>ITBISA-LED-SUPERBRIGHT-5MM-GREEN</v>
      </c>
      <c r="B7979" s="266">
        <f>IFERROR(__xludf.DUMMYFUNCTION("""COMPUTED_VALUE"""),45959.0)</f>
        <v>45959</v>
      </c>
      <c r="C7979" s="266" t="str">
        <f>IFERROR(__xludf.DUMMYFUNCTION("""COMPUTED_VALUE"""),"KYAI KONTONG")</f>
        <v>KYAI KONTONG</v>
      </c>
      <c r="D7979" s="186">
        <f>IFERROR(__xludf.DUMMYFUNCTION("""COMPUTED_VALUE"""),5.0)</f>
        <v>5</v>
      </c>
    </row>
    <row r="7980">
      <c r="A7980" s="178" t="str">
        <f>IFERROR(__xludf.DUMMYFUNCTION("""COMPUTED_VALUE"""),"ITBISA-LED-SUPERBRIGHT-5MM-GREEN")</f>
        <v>ITBISA-LED-SUPERBRIGHT-5MM-GREEN</v>
      </c>
      <c r="B7980" s="266">
        <f>IFERROR(__xludf.DUMMYFUNCTION("""COMPUTED_VALUE"""),45960.0)</f>
        <v>45960</v>
      </c>
      <c r="C7980" s="266" t="str">
        <f>IFERROR(__xludf.DUMMYFUNCTION("""COMPUTED_VALUE"""),"KYAI KONTONG")</f>
        <v>KYAI KONTONG</v>
      </c>
      <c r="D7980" s="186">
        <f>IFERROR(__xludf.DUMMYFUNCTION("""COMPUTED_VALUE"""),1.0)</f>
        <v>1</v>
      </c>
    </row>
    <row r="7981">
      <c r="A7981" s="178" t="str">
        <f>IFERROR(__xludf.DUMMYFUNCTION("""COMPUTED_VALUE"""),"ITBISA-LED-SUPERBRIGHT-5MM-GREEN")</f>
        <v>ITBISA-LED-SUPERBRIGHT-5MM-GREEN</v>
      </c>
      <c r="B7981" s="266">
        <f>IFERROR(__xludf.DUMMYFUNCTION("""COMPUTED_VALUE"""),45962.0)</f>
        <v>45962</v>
      </c>
      <c r="C7981" s="266" t="str">
        <f>IFERROR(__xludf.DUMMYFUNCTION("""COMPUTED_VALUE"""),"KYAI KONTONG")</f>
        <v>KYAI KONTONG</v>
      </c>
      <c r="D7981" s="186">
        <f>IFERROR(__xludf.DUMMYFUNCTION("""COMPUTED_VALUE"""),1.0)</f>
        <v>1</v>
      </c>
    </row>
    <row r="7982">
      <c r="A7982" s="178" t="str">
        <f>IFERROR(__xludf.DUMMYFUNCTION("""COMPUTED_VALUE"""),"ITBISA-LED-SUPERBRIGHT-5MM-GREEN")</f>
        <v>ITBISA-LED-SUPERBRIGHT-5MM-GREEN</v>
      </c>
      <c r="B7982" s="266">
        <f>IFERROR(__xludf.DUMMYFUNCTION("""COMPUTED_VALUE"""),45964.0)</f>
        <v>45964</v>
      </c>
      <c r="C7982" s="266" t="str">
        <f>IFERROR(__xludf.DUMMYFUNCTION("""COMPUTED_VALUE"""),"KYAI KONTONG")</f>
        <v>KYAI KONTONG</v>
      </c>
      <c r="D7982" s="186">
        <f>IFERROR(__xludf.DUMMYFUNCTION("""COMPUTED_VALUE"""),4.0)</f>
        <v>4</v>
      </c>
    </row>
    <row r="7983">
      <c r="A7983" s="178" t="str">
        <f>IFERROR(__xludf.DUMMYFUNCTION("""COMPUTED_VALUE"""),"ITBISA-LED-SUPERBRIGHT-5MM-GREEN")</f>
        <v>ITBISA-LED-SUPERBRIGHT-5MM-GREEN</v>
      </c>
      <c r="B7983" s="266">
        <f>IFERROR(__xludf.DUMMYFUNCTION("""COMPUTED_VALUE"""),45979.0)</f>
        <v>45979</v>
      </c>
      <c r="C7983" s="266" t="str">
        <f>IFERROR(__xludf.DUMMYFUNCTION("""COMPUTED_VALUE"""),"KERTASARI CIAMIS")</f>
        <v>KERTASARI CIAMIS</v>
      </c>
      <c r="D7983" s="186">
        <f>IFERROR(__xludf.DUMMYFUNCTION("""COMPUTED_VALUE"""),6.0)</f>
        <v>6</v>
      </c>
    </row>
    <row r="7984">
      <c r="A7984" s="178" t="str">
        <f>IFERROR(__xludf.DUMMYFUNCTION("""COMPUTED_VALUE"""),"ITBISA-LED-SUPERBRIGHT-5MM-GREEN")</f>
        <v>ITBISA-LED-SUPERBRIGHT-5MM-GREEN</v>
      </c>
      <c r="B7984" s="266">
        <f>IFERROR(__xludf.DUMMYFUNCTION("""COMPUTED_VALUE"""),45991.0)</f>
        <v>45991</v>
      </c>
      <c r="C7984" s="266" t="str">
        <f>IFERROR(__xludf.DUMMYFUNCTION("""COMPUTED_VALUE"""),"KERTASARI CIAMIS")</f>
        <v>KERTASARI CIAMIS</v>
      </c>
      <c r="D7984" s="186">
        <f>IFERROR(__xludf.DUMMYFUNCTION("""COMPUTED_VALUE"""),20.0)</f>
        <v>20</v>
      </c>
    </row>
    <row r="7985">
      <c r="A7985" s="178" t="str">
        <f>IFERROR(__xludf.DUMMYFUNCTION("""COMPUTED_VALUE"""),"ITBISA-LED-SUPERBRIGHT-5MM-GREEN")</f>
        <v>ITBISA-LED-SUPERBRIGHT-5MM-GREEN</v>
      </c>
      <c r="B7985" s="266">
        <f>IFERROR(__xludf.DUMMYFUNCTION("""COMPUTED_VALUE"""),45994.0)</f>
        <v>45994</v>
      </c>
      <c r="C7985" s="266" t="str">
        <f>IFERROR(__xludf.DUMMYFUNCTION("""COMPUTED_VALUE"""),"KERTASARI CIAMIS")</f>
        <v>KERTASARI CIAMIS</v>
      </c>
      <c r="D7985" s="186">
        <f>IFERROR(__xludf.DUMMYFUNCTION("""COMPUTED_VALUE"""),5.0)</f>
        <v>5</v>
      </c>
    </row>
    <row r="7986">
      <c r="A7986" s="178" t="str">
        <f>IFERROR(__xludf.DUMMYFUNCTION("""COMPUTED_VALUE"""),"ITBISA-LED-SUPERBRIGHT-5MM-GREEN")</f>
        <v>ITBISA-LED-SUPERBRIGHT-5MM-GREEN</v>
      </c>
      <c r="B7986" s="266">
        <f>IFERROR(__xludf.DUMMYFUNCTION("""COMPUTED_VALUE"""),45996.0)</f>
        <v>45996</v>
      </c>
      <c r="C7986" s="266" t="str">
        <f>IFERROR(__xludf.DUMMYFUNCTION("""COMPUTED_VALUE"""),"KYAI KONTONG")</f>
        <v>KYAI KONTONG</v>
      </c>
      <c r="D7986" s="186">
        <f>IFERROR(__xludf.DUMMYFUNCTION("""COMPUTED_VALUE"""),3.0)</f>
        <v>3</v>
      </c>
    </row>
    <row r="7987">
      <c r="A7987" s="178" t="str">
        <f>IFERROR(__xludf.DUMMYFUNCTION("""COMPUTED_VALUE"""),"ITBISA-LED-SUPERBRIGHT-5MM-GREEN")</f>
        <v>ITBISA-LED-SUPERBRIGHT-5MM-GREEN</v>
      </c>
      <c r="B7987" s="266">
        <f>IFERROR(__xludf.DUMMYFUNCTION("""COMPUTED_VALUE"""),46003.0)</f>
        <v>46003</v>
      </c>
      <c r="C7987" s="266" t="str">
        <f>IFERROR(__xludf.DUMMYFUNCTION("""COMPUTED_VALUE"""),"KYAI KONTONG")</f>
        <v>KYAI KONTONG</v>
      </c>
      <c r="D7987" s="186">
        <f>IFERROR(__xludf.DUMMYFUNCTION("""COMPUTED_VALUE"""),10.0)</f>
        <v>10</v>
      </c>
    </row>
    <row r="7988">
      <c r="A7988" s="178" t="str">
        <f>IFERROR(__xludf.DUMMYFUNCTION("""COMPUTED_VALUE"""),"ITBISA-LED-SUPERBRIGHT-5MM-GREEN")</f>
        <v>ITBISA-LED-SUPERBRIGHT-5MM-GREEN</v>
      </c>
      <c r="B7988" s="266">
        <f>IFERROR(__xludf.DUMMYFUNCTION("""COMPUTED_VALUE"""),46005.0)</f>
        <v>46005</v>
      </c>
      <c r="C7988" s="266" t="str">
        <f>IFERROR(__xludf.DUMMYFUNCTION("""COMPUTED_VALUE"""),"KYAI KONTONG")</f>
        <v>KYAI KONTONG</v>
      </c>
      <c r="D7988" s="186">
        <f>IFERROR(__xludf.DUMMYFUNCTION("""COMPUTED_VALUE"""),3.0)</f>
        <v>3</v>
      </c>
    </row>
    <row r="7989">
      <c r="A7989" s="178" t="str">
        <f>IFERROR(__xludf.DUMMYFUNCTION("""COMPUTED_VALUE"""),"ITBISA-LED-SUPERBRIGHT-5MM-GREEN")</f>
        <v>ITBISA-LED-SUPERBRIGHT-5MM-GREEN</v>
      </c>
      <c r="B7989" s="266">
        <f>IFERROR(__xludf.DUMMYFUNCTION("""COMPUTED_VALUE"""),46008.0)</f>
        <v>46008</v>
      </c>
      <c r="C7989" s="266" t="str">
        <f>IFERROR(__xludf.DUMMYFUNCTION("""COMPUTED_VALUE"""),"KERTASARI CIAMIS")</f>
        <v>KERTASARI CIAMIS</v>
      </c>
      <c r="D7989" s="186">
        <f>IFERROR(__xludf.DUMMYFUNCTION("""COMPUTED_VALUE"""),10.0)</f>
        <v>10</v>
      </c>
    </row>
    <row r="7990">
      <c r="A7990" s="178" t="str">
        <f>IFERROR(__xludf.DUMMYFUNCTION("""COMPUTED_VALUE"""),"ITBISA-LED-SUPERBRIGHT-5MM-GREEN")</f>
        <v>ITBISA-LED-SUPERBRIGHT-5MM-GREEN</v>
      </c>
      <c r="B7990" s="266">
        <f>IFERROR(__xludf.DUMMYFUNCTION("""COMPUTED_VALUE"""),46010.0)</f>
        <v>46010</v>
      </c>
      <c r="C7990" s="266" t="str">
        <f>IFERROR(__xludf.DUMMYFUNCTION("""COMPUTED_VALUE"""),"KYAI KONTONG")</f>
        <v>KYAI KONTONG</v>
      </c>
      <c r="D7990" s="186">
        <f>IFERROR(__xludf.DUMMYFUNCTION("""COMPUTED_VALUE"""),5.0)</f>
        <v>5</v>
      </c>
    </row>
    <row r="7991">
      <c r="A7991" s="178" t="str">
        <f>IFERROR(__xludf.DUMMYFUNCTION("""COMPUTED_VALUE"""),"ITBISA-LED-SUPERBRIGHT-5MM-GREEN")</f>
        <v>ITBISA-LED-SUPERBRIGHT-5MM-GREEN</v>
      </c>
      <c r="B7991" s="266">
        <f>IFERROR(__xludf.DUMMYFUNCTION("""COMPUTED_VALUE"""),46011.0)</f>
        <v>46011</v>
      </c>
      <c r="C7991" s="266" t="str">
        <f>IFERROR(__xludf.DUMMYFUNCTION("""COMPUTED_VALUE"""),"KYAI KONTONG")</f>
        <v>KYAI KONTONG</v>
      </c>
      <c r="D7991" s="186">
        <f>IFERROR(__xludf.DUMMYFUNCTION("""COMPUTED_VALUE"""),4.0)</f>
        <v>4</v>
      </c>
    </row>
    <row r="7992">
      <c r="A7992" s="178" t="str">
        <f>IFERROR(__xludf.DUMMYFUNCTION("""COMPUTED_VALUE"""),"ITBISA-LED-SUPERBRIGHT-5MM-GREEN")</f>
        <v>ITBISA-LED-SUPERBRIGHT-5MM-GREEN</v>
      </c>
      <c r="B7992" s="266">
        <f>IFERROR(__xludf.DUMMYFUNCTION("""COMPUTED_VALUE"""),46016.0)</f>
        <v>46016</v>
      </c>
      <c r="C7992" s="266" t="str">
        <f>IFERROR(__xludf.DUMMYFUNCTION("""COMPUTED_VALUE"""),"KERTASARI CIAMIS")</f>
        <v>KERTASARI CIAMIS</v>
      </c>
      <c r="D7992" s="186">
        <f>IFERROR(__xludf.DUMMYFUNCTION("""COMPUTED_VALUE"""),10.0)</f>
        <v>10</v>
      </c>
    </row>
    <row r="7993">
      <c r="A7993" s="178" t="str">
        <f>IFERROR(__xludf.DUMMYFUNCTION("""COMPUTED_VALUE"""),"ITBISA-LED-SUPERBRIGHT-5MM-GREEN")</f>
        <v>ITBISA-LED-SUPERBRIGHT-5MM-GREEN</v>
      </c>
      <c r="B7993" s="266">
        <f>IFERROR(__xludf.DUMMYFUNCTION("""COMPUTED_VALUE"""),46017.0)</f>
        <v>46017</v>
      </c>
      <c r="C7993" s="266" t="str">
        <f>IFERROR(__xludf.DUMMYFUNCTION("""COMPUTED_VALUE"""),"KYAI KONTONG")</f>
        <v>KYAI KONTONG</v>
      </c>
      <c r="D7993" s="186">
        <f>IFERROR(__xludf.DUMMYFUNCTION("""COMPUTED_VALUE"""),10.0)</f>
        <v>10</v>
      </c>
    </row>
    <row r="7994">
      <c r="A7994" s="178" t="str">
        <f>IFERROR(__xludf.DUMMYFUNCTION("""COMPUTED_VALUE"""),"ITBISA-LED-SUPERBRIGHT-5MM-GREEN")</f>
        <v>ITBISA-LED-SUPERBRIGHT-5MM-GREEN</v>
      </c>
      <c r="B7994" s="266">
        <f>IFERROR(__xludf.DUMMYFUNCTION("""COMPUTED_VALUE"""),46020.0)</f>
        <v>46020</v>
      </c>
      <c r="C7994" s="266" t="str">
        <f>IFERROR(__xludf.DUMMYFUNCTION("""COMPUTED_VALUE"""),"KYAI KONTONG")</f>
        <v>KYAI KONTONG</v>
      </c>
      <c r="D7994" s="186">
        <f>IFERROR(__xludf.DUMMYFUNCTION("""COMPUTED_VALUE"""),5.0)</f>
        <v>5</v>
      </c>
    </row>
    <row r="7995">
      <c r="A7995" s="178" t="str">
        <f>IFERROR(__xludf.DUMMYFUNCTION("""COMPUTED_VALUE"""),"ITBISA-LED-SUPERBRIGHT-5MM-GREEN")</f>
        <v>ITBISA-LED-SUPERBRIGHT-5MM-GREEN</v>
      </c>
      <c r="B7995" s="266">
        <f>IFERROR(__xludf.DUMMYFUNCTION("""COMPUTED_VALUE"""),46020.0)</f>
        <v>46020</v>
      </c>
      <c r="C7995" s="266" t="str">
        <f>IFERROR(__xludf.DUMMYFUNCTION("""COMPUTED_VALUE"""),"KYAI KONTONG")</f>
        <v>KYAI KONTONG</v>
      </c>
      <c r="D7995" s="186">
        <f>IFERROR(__xludf.DUMMYFUNCTION("""COMPUTED_VALUE"""),20.0)</f>
        <v>20</v>
      </c>
    </row>
    <row r="7996">
      <c r="A7996" s="178" t="str">
        <f>IFERROR(__xludf.DUMMYFUNCTION("""COMPUTED_VALUE"""),"ITBISA-LED-SUPERBRIGHT-5MM-RED")</f>
        <v>ITBISA-LED-SUPERBRIGHT-5MM-RED</v>
      </c>
      <c r="B7996" s="266">
        <f>IFERROR(__xludf.DUMMYFUNCTION("""COMPUTED_VALUE"""),45483.0)</f>
        <v>45483</v>
      </c>
      <c r="C7996" s="266" t="str">
        <f>IFERROR(__xludf.DUMMYFUNCTION("""COMPUTED_VALUE"""),"KYAI KONTONG")</f>
        <v>KYAI KONTONG</v>
      </c>
      <c r="D7996" s="186">
        <f>IFERROR(__xludf.DUMMYFUNCTION("""COMPUTED_VALUE"""),10.0)</f>
        <v>10</v>
      </c>
    </row>
    <row r="7997">
      <c r="A7997" s="178" t="str">
        <f>IFERROR(__xludf.DUMMYFUNCTION("""COMPUTED_VALUE"""),"ITBISA-LED-SUPERBRIGHT-5MM-RED")</f>
        <v>ITBISA-LED-SUPERBRIGHT-5MM-RED</v>
      </c>
      <c r="B7997" s="266">
        <f>IFERROR(__xludf.DUMMYFUNCTION("""COMPUTED_VALUE"""),45484.0)</f>
        <v>45484</v>
      </c>
      <c r="C7997" s="266" t="str">
        <f>IFERROR(__xludf.DUMMYFUNCTION("""COMPUTED_VALUE"""),"KYAI KONTONG")</f>
        <v>KYAI KONTONG</v>
      </c>
      <c r="D7997" s="186">
        <f>IFERROR(__xludf.DUMMYFUNCTION("""COMPUTED_VALUE"""),10.0)</f>
        <v>10</v>
      </c>
    </row>
    <row r="7998">
      <c r="A7998" s="178" t="str">
        <f>IFERROR(__xludf.DUMMYFUNCTION("""COMPUTED_VALUE"""),"ITBISA-LED-SUPERBRIGHT-5MM-RED")</f>
        <v>ITBISA-LED-SUPERBRIGHT-5MM-RED</v>
      </c>
      <c r="B7998" s="266">
        <f>IFERROR(__xludf.DUMMYFUNCTION("""COMPUTED_VALUE"""),45489.0)</f>
        <v>45489</v>
      </c>
      <c r="C7998" s="266" t="str">
        <f>IFERROR(__xludf.DUMMYFUNCTION("""COMPUTED_VALUE"""),"KERTASARI CIAMIS")</f>
        <v>KERTASARI CIAMIS</v>
      </c>
      <c r="D7998" s="186">
        <f>IFERROR(__xludf.DUMMYFUNCTION("""COMPUTED_VALUE"""),30.0)</f>
        <v>30</v>
      </c>
    </row>
    <row r="7999">
      <c r="A7999" s="178" t="str">
        <f>IFERROR(__xludf.DUMMYFUNCTION("""COMPUTED_VALUE"""),"ITBISA-LED-SUPERBRIGHT-5MM-RED")</f>
        <v>ITBISA-LED-SUPERBRIGHT-5MM-RED</v>
      </c>
      <c r="B7999" s="266">
        <f>IFERROR(__xludf.DUMMYFUNCTION("""COMPUTED_VALUE"""),45489.0)</f>
        <v>45489</v>
      </c>
      <c r="C7999" s="266" t="str">
        <f>IFERROR(__xludf.DUMMYFUNCTION("""COMPUTED_VALUE"""),"KYAI KONTONG")</f>
        <v>KYAI KONTONG</v>
      </c>
      <c r="D7999" s="186">
        <f>IFERROR(__xludf.DUMMYFUNCTION("""COMPUTED_VALUE"""),25.0)</f>
        <v>25</v>
      </c>
    </row>
    <row r="8000">
      <c r="A8000" s="178" t="str">
        <f>IFERROR(__xludf.DUMMYFUNCTION("""COMPUTED_VALUE"""),"ITBISA-LED-SUPERBRIGHT-5MM-RED")</f>
        <v>ITBISA-LED-SUPERBRIGHT-5MM-RED</v>
      </c>
      <c r="B8000" s="266">
        <f>IFERROR(__xludf.DUMMYFUNCTION("""COMPUTED_VALUE"""),45492.0)</f>
        <v>45492</v>
      </c>
      <c r="C8000" s="266" t="str">
        <f>IFERROR(__xludf.DUMMYFUNCTION("""COMPUTED_VALUE"""),"KYAI KONTONG")</f>
        <v>KYAI KONTONG</v>
      </c>
      <c r="D8000" s="186">
        <f>IFERROR(__xludf.DUMMYFUNCTION("""COMPUTED_VALUE"""),10.0)</f>
        <v>10</v>
      </c>
    </row>
    <row r="8001">
      <c r="A8001" s="178" t="str">
        <f>IFERROR(__xludf.DUMMYFUNCTION("""COMPUTED_VALUE"""),"ITBISA-LED-SUPERBRIGHT-5MM-RED")</f>
        <v>ITBISA-LED-SUPERBRIGHT-5MM-RED</v>
      </c>
      <c r="B8001" s="266">
        <f>IFERROR(__xludf.DUMMYFUNCTION("""COMPUTED_VALUE"""),45494.0)</f>
        <v>45494</v>
      </c>
      <c r="C8001" s="266" t="str">
        <f>IFERROR(__xludf.DUMMYFUNCTION("""COMPUTED_VALUE"""),"KERTASARI CIAMIS")</f>
        <v>KERTASARI CIAMIS</v>
      </c>
      <c r="D8001" s="186">
        <f>IFERROR(__xludf.DUMMYFUNCTION("""COMPUTED_VALUE"""),20.0)</f>
        <v>20</v>
      </c>
    </row>
    <row r="8002">
      <c r="A8002" s="178" t="str">
        <f>IFERROR(__xludf.DUMMYFUNCTION("""COMPUTED_VALUE"""),"ITBISA-LED-SUPERBRIGHT-5MM-RED")</f>
        <v>ITBISA-LED-SUPERBRIGHT-5MM-RED</v>
      </c>
      <c r="B8002" s="266">
        <f>IFERROR(__xludf.DUMMYFUNCTION("""COMPUTED_VALUE"""),45495.0)</f>
        <v>45495</v>
      </c>
      <c r="C8002" s="266" t="str">
        <f>IFERROR(__xludf.DUMMYFUNCTION("""COMPUTED_VALUE"""),"KYAI KONTONG")</f>
        <v>KYAI KONTONG</v>
      </c>
      <c r="D8002" s="186">
        <f>IFERROR(__xludf.DUMMYFUNCTION("""COMPUTED_VALUE"""),20.0)</f>
        <v>20</v>
      </c>
    </row>
    <row r="8003">
      <c r="A8003" s="178" t="str">
        <f>IFERROR(__xludf.DUMMYFUNCTION("""COMPUTED_VALUE"""),"ITBISA-LED-SUPERBRIGHT-5MM-RED")</f>
        <v>ITBISA-LED-SUPERBRIGHT-5MM-RED</v>
      </c>
      <c r="B8003" s="266">
        <f>IFERROR(__xludf.DUMMYFUNCTION("""COMPUTED_VALUE"""),45497.0)</f>
        <v>45497</v>
      </c>
      <c r="C8003" s="266" t="str">
        <f>IFERROR(__xludf.DUMMYFUNCTION("""COMPUTED_VALUE"""),"KYAI KONTONG")</f>
        <v>KYAI KONTONG</v>
      </c>
      <c r="D8003" s="186">
        <f>IFERROR(__xludf.DUMMYFUNCTION("""COMPUTED_VALUE"""),10.0)</f>
        <v>10</v>
      </c>
    </row>
    <row r="8004">
      <c r="A8004" s="178" t="str">
        <f>IFERROR(__xludf.DUMMYFUNCTION("""COMPUTED_VALUE"""),"ITBISA-LED-SUPERBRIGHT-5MM-RED")</f>
        <v>ITBISA-LED-SUPERBRIGHT-5MM-RED</v>
      </c>
      <c r="B8004" s="266">
        <f>IFERROR(__xludf.DUMMYFUNCTION("""COMPUTED_VALUE"""),45498.0)</f>
        <v>45498</v>
      </c>
      <c r="C8004" s="266" t="str">
        <f>IFERROR(__xludf.DUMMYFUNCTION("""COMPUTED_VALUE"""),"KERTASARI CIAMIS")</f>
        <v>KERTASARI CIAMIS</v>
      </c>
      <c r="D8004" s="186">
        <f>IFERROR(__xludf.DUMMYFUNCTION("""COMPUTED_VALUE"""),850.0)</f>
        <v>850</v>
      </c>
    </row>
    <row r="8005">
      <c r="A8005" s="178" t="str">
        <f>IFERROR(__xludf.DUMMYFUNCTION("""COMPUTED_VALUE"""),"ITBISA-LED-SUPERBRIGHT-5MM-RED")</f>
        <v>ITBISA-LED-SUPERBRIGHT-5MM-RED</v>
      </c>
      <c r="B8005" s="266">
        <f>IFERROR(__xludf.DUMMYFUNCTION("""COMPUTED_VALUE"""),45499.0)</f>
        <v>45499</v>
      </c>
      <c r="C8005" s="266" t="str">
        <f>IFERROR(__xludf.DUMMYFUNCTION("""COMPUTED_VALUE"""),"KYAI KONTONG")</f>
        <v>KYAI KONTONG</v>
      </c>
      <c r="D8005" s="186">
        <f>IFERROR(__xludf.DUMMYFUNCTION("""COMPUTED_VALUE"""),15.0)</f>
        <v>15</v>
      </c>
    </row>
    <row r="8006">
      <c r="A8006" s="178" t="str">
        <f>IFERROR(__xludf.DUMMYFUNCTION("""COMPUTED_VALUE"""),"ITBISA-LED-SUPERBRIGHT-5MM-RED")</f>
        <v>ITBISA-LED-SUPERBRIGHT-5MM-RED</v>
      </c>
      <c r="B8006" s="266">
        <f>IFERROR(__xludf.DUMMYFUNCTION("""COMPUTED_VALUE"""),45511.0)</f>
        <v>45511</v>
      </c>
      <c r="C8006" s="266" t="str">
        <f>IFERROR(__xludf.DUMMYFUNCTION("""COMPUTED_VALUE"""),"KYAI KONTONG")</f>
        <v>KYAI KONTONG</v>
      </c>
      <c r="D8006" s="186">
        <f>IFERROR(__xludf.DUMMYFUNCTION("""COMPUTED_VALUE"""),12.0)</f>
        <v>12</v>
      </c>
    </row>
    <row r="8007">
      <c r="A8007" s="178" t="str">
        <f>IFERROR(__xludf.DUMMYFUNCTION("""COMPUTED_VALUE"""),"ITBISA-LED-SUPERBRIGHT-5MM-RED")</f>
        <v>ITBISA-LED-SUPERBRIGHT-5MM-RED</v>
      </c>
      <c r="B8007" s="266">
        <f>IFERROR(__xludf.DUMMYFUNCTION("""COMPUTED_VALUE"""),45516.0)</f>
        <v>45516</v>
      </c>
      <c r="C8007" s="266" t="str">
        <f>IFERROR(__xludf.DUMMYFUNCTION("""COMPUTED_VALUE"""),"KYAI KONTONG")</f>
        <v>KYAI KONTONG</v>
      </c>
      <c r="D8007" s="186">
        <f>IFERROR(__xludf.DUMMYFUNCTION("""COMPUTED_VALUE"""),20.0)</f>
        <v>20</v>
      </c>
    </row>
    <row r="8008">
      <c r="A8008" s="178" t="str">
        <f>IFERROR(__xludf.DUMMYFUNCTION("""COMPUTED_VALUE"""),"ITBISA-LED-SUPERBRIGHT-5MM-RED")</f>
        <v>ITBISA-LED-SUPERBRIGHT-5MM-RED</v>
      </c>
      <c r="B8008" s="266">
        <f>IFERROR(__xludf.DUMMYFUNCTION("""COMPUTED_VALUE"""),45522.0)</f>
        <v>45522</v>
      </c>
      <c r="C8008" s="266" t="str">
        <f>IFERROR(__xludf.DUMMYFUNCTION("""COMPUTED_VALUE"""),"KYAI KONTONG")</f>
        <v>KYAI KONTONG</v>
      </c>
      <c r="D8008" s="186">
        <f>IFERROR(__xludf.DUMMYFUNCTION("""COMPUTED_VALUE"""),10.0)</f>
        <v>10</v>
      </c>
    </row>
    <row r="8009">
      <c r="A8009" s="178" t="str">
        <f>IFERROR(__xludf.DUMMYFUNCTION("""COMPUTED_VALUE"""),"ITBISA-LED-SUPERBRIGHT-5MM-RED")</f>
        <v>ITBISA-LED-SUPERBRIGHT-5MM-RED</v>
      </c>
      <c r="B8009" s="266">
        <f>IFERROR(__xludf.DUMMYFUNCTION("""COMPUTED_VALUE"""),45524.0)</f>
        <v>45524</v>
      </c>
      <c r="C8009" s="266" t="str">
        <f>IFERROR(__xludf.DUMMYFUNCTION("""COMPUTED_VALUE"""),"KERTASARI CIAMIS")</f>
        <v>KERTASARI CIAMIS</v>
      </c>
      <c r="D8009" s="186">
        <f>IFERROR(__xludf.DUMMYFUNCTION("""COMPUTED_VALUE"""),2.0)</f>
        <v>2</v>
      </c>
    </row>
    <row r="8010">
      <c r="A8010" s="178" t="str">
        <f>IFERROR(__xludf.DUMMYFUNCTION("""COMPUTED_VALUE"""),"ITBISA-LED-SUPERBRIGHT-5MM-RED")</f>
        <v>ITBISA-LED-SUPERBRIGHT-5MM-RED</v>
      </c>
      <c r="B8010" s="266">
        <f>IFERROR(__xludf.DUMMYFUNCTION("""COMPUTED_VALUE"""),45539.0)</f>
        <v>45539</v>
      </c>
      <c r="C8010" s="266" t="str">
        <f>IFERROR(__xludf.DUMMYFUNCTION("""COMPUTED_VALUE"""),"KERTASARI CIAMIS")</f>
        <v>KERTASARI CIAMIS</v>
      </c>
      <c r="D8010" s="186">
        <f>IFERROR(__xludf.DUMMYFUNCTION("""COMPUTED_VALUE"""),10.0)</f>
        <v>10</v>
      </c>
    </row>
    <row r="8011">
      <c r="A8011" s="178" t="str">
        <f>IFERROR(__xludf.DUMMYFUNCTION("""COMPUTED_VALUE"""),"ITBISA-LED-SUPERBRIGHT-5MM-RED")</f>
        <v>ITBISA-LED-SUPERBRIGHT-5MM-RED</v>
      </c>
      <c r="B8011" s="266">
        <f>IFERROR(__xludf.DUMMYFUNCTION("""COMPUTED_VALUE"""),45540.0)</f>
        <v>45540</v>
      </c>
      <c r="C8011" s="266" t="str">
        <f>IFERROR(__xludf.DUMMYFUNCTION("""COMPUTED_VALUE"""),"KERTASARI CIAMIS")</f>
        <v>KERTASARI CIAMIS</v>
      </c>
      <c r="D8011" s="186">
        <f>IFERROR(__xludf.DUMMYFUNCTION("""COMPUTED_VALUE"""),20.0)</f>
        <v>20</v>
      </c>
    </row>
    <row r="8012">
      <c r="A8012" s="178" t="str">
        <f>IFERROR(__xludf.DUMMYFUNCTION("""COMPUTED_VALUE"""),"ITBISA-LED-SUPERBRIGHT-5MM-RED")</f>
        <v>ITBISA-LED-SUPERBRIGHT-5MM-RED</v>
      </c>
      <c r="B8012" s="266">
        <f>IFERROR(__xludf.DUMMYFUNCTION("""COMPUTED_VALUE"""),45565.0)</f>
        <v>45565</v>
      </c>
      <c r="C8012" s="266" t="str">
        <f>IFERROR(__xludf.DUMMYFUNCTION("""COMPUTED_VALUE"""),"KYAI KONTONG")</f>
        <v>KYAI KONTONG</v>
      </c>
      <c r="D8012" s="186">
        <f>IFERROR(__xludf.DUMMYFUNCTION("""COMPUTED_VALUE"""),10.0)</f>
        <v>10</v>
      </c>
    </row>
    <row r="8013">
      <c r="A8013" s="178" t="str">
        <f>IFERROR(__xludf.DUMMYFUNCTION("""COMPUTED_VALUE"""),"ITBISA-LED-SUPERBRIGHT-5MM-RED")</f>
        <v>ITBISA-LED-SUPERBRIGHT-5MM-RED</v>
      </c>
      <c r="B8013" s="266">
        <f>IFERROR(__xludf.DUMMYFUNCTION("""COMPUTED_VALUE"""),45565.0)</f>
        <v>45565</v>
      </c>
      <c r="C8013" s="266" t="str">
        <f>IFERROR(__xludf.DUMMYFUNCTION("""COMPUTED_VALUE"""),"KYAI KONTONG")</f>
        <v>KYAI KONTONG</v>
      </c>
      <c r="D8013" s="186">
        <f>IFERROR(__xludf.DUMMYFUNCTION("""COMPUTED_VALUE"""),10.0)</f>
        <v>10</v>
      </c>
    </row>
    <row r="8014">
      <c r="A8014" s="178" t="str">
        <f>IFERROR(__xludf.DUMMYFUNCTION("""COMPUTED_VALUE"""),"ITBISA-LED-SUPERBRIGHT-5MM-RED")</f>
        <v>ITBISA-LED-SUPERBRIGHT-5MM-RED</v>
      </c>
      <c r="B8014" s="266">
        <f>IFERROR(__xludf.DUMMYFUNCTION("""COMPUTED_VALUE"""),45566.0)</f>
        <v>45566</v>
      </c>
      <c r="C8014" s="266" t="str">
        <f>IFERROR(__xludf.DUMMYFUNCTION("""COMPUTED_VALUE"""),"KYAI KONTONG")</f>
        <v>KYAI KONTONG</v>
      </c>
      <c r="D8014" s="186">
        <f>IFERROR(__xludf.DUMMYFUNCTION("""COMPUTED_VALUE"""),100.0)</f>
        <v>100</v>
      </c>
    </row>
    <row r="8015">
      <c r="A8015" s="178" t="str">
        <f>IFERROR(__xludf.DUMMYFUNCTION("""COMPUTED_VALUE"""),"ITBISA-LED-SUPERBRIGHT-5MM-RED")</f>
        <v>ITBISA-LED-SUPERBRIGHT-5MM-RED</v>
      </c>
      <c r="B8015" s="266">
        <f>IFERROR(__xludf.DUMMYFUNCTION("""COMPUTED_VALUE"""),45575.0)</f>
        <v>45575</v>
      </c>
      <c r="C8015" s="266" t="str">
        <f>IFERROR(__xludf.DUMMYFUNCTION("""COMPUTED_VALUE"""),"KYAI KONTONG")</f>
        <v>KYAI KONTONG</v>
      </c>
      <c r="D8015" s="186">
        <f>IFERROR(__xludf.DUMMYFUNCTION("""COMPUTED_VALUE"""),10.0)</f>
        <v>10</v>
      </c>
    </row>
    <row r="8016">
      <c r="A8016" s="178" t="str">
        <f>IFERROR(__xludf.DUMMYFUNCTION("""COMPUTED_VALUE"""),"ITBISA-LED-SUPERBRIGHT-5MM-RED")</f>
        <v>ITBISA-LED-SUPERBRIGHT-5MM-RED</v>
      </c>
      <c r="B8016" s="266">
        <f>IFERROR(__xludf.DUMMYFUNCTION("""COMPUTED_VALUE"""),45600.0)</f>
        <v>45600</v>
      </c>
      <c r="C8016" s="266" t="str">
        <f>IFERROR(__xludf.DUMMYFUNCTION("""COMPUTED_VALUE"""),"KERTASARI CIAMIS")</f>
        <v>KERTASARI CIAMIS</v>
      </c>
      <c r="D8016" s="186">
        <f>IFERROR(__xludf.DUMMYFUNCTION("""COMPUTED_VALUE"""),250.0)</f>
        <v>250</v>
      </c>
    </row>
    <row r="8017">
      <c r="A8017" s="178" t="str">
        <f>IFERROR(__xludf.DUMMYFUNCTION("""COMPUTED_VALUE"""),"ITBISA-LED-SUPERBRIGHT-5MM-RED")</f>
        <v>ITBISA-LED-SUPERBRIGHT-5MM-RED</v>
      </c>
      <c r="B8017" s="266">
        <f>IFERROR(__xludf.DUMMYFUNCTION("""COMPUTED_VALUE"""),45603.0)</f>
        <v>45603</v>
      </c>
      <c r="C8017" s="266" t="str">
        <f>IFERROR(__xludf.DUMMYFUNCTION("""COMPUTED_VALUE"""),"KERTASARI CIAMIS")</f>
        <v>KERTASARI CIAMIS</v>
      </c>
      <c r="D8017" s="186">
        <f>IFERROR(__xludf.DUMMYFUNCTION("""COMPUTED_VALUE"""),4.0)</f>
        <v>4</v>
      </c>
    </row>
    <row r="8018">
      <c r="A8018" s="178" t="str">
        <f>IFERROR(__xludf.DUMMYFUNCTION("""COMPUTED_VALUE"""),"ITBISA-LED-SUPERBRIGHT-5MM-RED")</f>
        <v>ITBISA-LED-SUPERBRIGHT-5MM-RED</v>
      </c>
      <c r="B8018" s="266">
        <f>IFERROR(__xludf.DUMMYFUNCTION("""COMPUTED_VALUE"""),45608.0)</f>
        <v>45608</v>
      </c>
      <c r="C8018" s="266" t="str">
        <f>IFERROR(__xludf.DUMMYFUNCTION("""COMPUTED_VALUE"""),"KYAI KONTONG")</f>
        <v>KYAI KONTONG</v>
      </c>
      <c r="D8018" s="186">
        <f>IFERROR(__xludf.DUMMYFUNCTION("""COMPUTED_VALUE"""),10.0)</f>
        <v>10</v>
      </c>
    </row>
    <row r="8019">
      <c r="A8019" s="178" t="str">
        <f>IFERROR(__xludf.DUMMYFUNCTION("""COMPUTED_VALUE"""),"ITBISA-LED-SUPERBRIGHT-5MM-RED")</f>
        <v>ITBISA-LED-SUPERBRIGHT-5MM-RED</v>
      </c>
      <c r="B8019" s="266">
        <f>IFERROR(__xludf.DUMMYFUNCTION("""COMPUTED_VALUE"""),45614.0)</f>
        <v>45614</v>
      </c>
      <c r="C8019" s="266" t="str">
        <f>IFERROR(__xludf.DUMMYFUNCTION("""COMPUTED_VALUE"""),"KERTASARI CIAMIS")</f>
        <v>KERTASARI CIAMIS</v>
      </c>
      <c r="D8019" s="186">
        <f>IFERROR(__xludf.DUMMYFUNCTION("""COMPUTED_VALUE"""),5.0)</f>
        <v>5</v>
      </c>
    </row>
    <row r="8020">
      <c r="A8020" s="178" t="str">
        <f>IFERROR(__xludf.DUMMYFUNCTION("""COMPUTED_VALUE"""),"ITBISA-LED-SUPERBRIGHT-5MM-RED")</f>
        <v>ITBISA-LED-SUPERBRIGHT-5MM-RED</v>
      </c>
      <c r="B8020" s="266">
        <f>IFERROR(__xludf.DUMMYFUNCTION("""COMPUTED_VALUE"""),45616.0)</f>
        <v>45616</v>
      </c>
      <c r="C8020" s="266" t="str">
        <f>IFERROR(__xludf.DUMMYFUNCTION("""COMPUTED_VALUE"""),"KERTASARI CIAMIS")</f>
        <v>KERTASARI CIAMIS</v>
      </c>
      <c r="D8020" s="186">
        <f>IFERROR(__xludf.DUMMYFUNCTION("""COMPUTED_VALUE"""),4.0)</f>
        <v>4</v>
      </c>
    </row>
    <row r="8021">
      <c r="A8021" s="178" t="str">
        <f>IFERROR(__xludf.DUMMYFUNCTION("""COMPUTED_VALUE"""),"ITBISA-LED-SUPERBRIGHT-5MM-RED")</f>
        <v>ITBISA-LED-SUPERBRIGHT-5MM-RED</v>
      </c>
      <c r="B8021" s="266">
        <f>IFERROR(__xludf.DUMMYFUNCTION("""COMPUTED_VALUE"""),45618.0)</f>
        <v>45618</v>
      </c>
      <c r="C8021" s="266" t="str">
        <f>IFERROR(__xludf.DUMMYFUNCTION("""COMPUTED_VALUE"""),"KYAI KONTONG")</f>
        <v>KYAI KONTONG</v>
      </c>
      <c r="D8021" s="186">
        <f>IFERROR(__xludf.DUMMYFUNCTION("""COMPUTED_VALUE"""),6.0)</f>
        <v>6</v>
      </c>
    </row>
    <row r="8022">
      <c r="A8022" s="178" t="str">
        <f>IFERROR(__xludf.DUMMYFUNCTION("""COMPUTED_VALUE"""),"ITBISA-LED-SUPERBRIGHT-5MM-RED")</f>
        <v>ITBISA-LED-SUPERBRIGHT-5MM-RED</v>
      </c>
      <c r="B8022" s="266">
        <f>IFERROR(__xludf.DUMMYFUNCTION("""COMPUTED_VALUE"""),45622.0)</f>
        <v>45622</v>
      </c>
      <c r="C8022" s="266" t="str">
        <f>IFERROR(__xludf.DUMMYFUNCTION("""COMPUTED_VALUE"""),"KYAI KONTONG")</f>
        <v>KYAI KONTONG</v>
      </c>
      <c r="D8022" s="186">
        <f>IFERROR(__xludf.DUMMYFUNCTION("""COMPUTED_VALUE"""),8.0)</f>
        <v>8</v>
      </c>
    </row>
    <row r="8023">
      <c r="A8023" s="178" t="str">
        <f>IFERROR(__xludf.DUMMYFUNCTION("""COMPUTED_VALUE"""),"ITBISA-LED-SUPERBRIGHT-5MM-RED")</f>
        <v>ITBISA-LED-SUPERBRIGHT-5MM-RED</v>
      </c>
      <c r="B8023" s="266">
        <f>IFERROR(__xludf.DUMMYFUNCTION("""COMPUTED_VALUE"""),45623.0)</f>
        <v>45623</v>
      </c>
      <c r="C8023" s="266" t="str">
        <f>IFERROR(__xludf.DUMMYFUNCTION("""COMPUTED_VALUE"""),"KYAI KONTONG")</f>
        <v>KYAI KONTONG</v>
      </c>
      <c r="D8023" s="186">
        <f>IFERROR(__xludf.DUMMYFUNCTION("""COMPUTED_VALUE"""),10.0)</f>
        <v>10</v>
      </c>
    </row>
    <row r="8024">
      <c r="A8024" s="178" t="str">
        <f>IFERROR(__xludf.DUMMYFUNCTION("""COMPUTED_VALUE"""),"ITBISA-LED-SUPERBRIGHT-5MM-RED")</f>
        <v>ITBISA-LED-SUPERBRIGHT-5MM-RED</v>
      </c>
      <c r="B8024" s="266">
        <f>IFERROR(__xludf.DUMMYFUNCTION("""COMPUTED_VALUE"""),45627.0)</f>
        <v>45627</v>
      </c>
      <c r="C8024" s="266" t="str">
        <f>IFERROR(__xludf.DUMMYFUNCTION("""COMPUTED_VALUE"""),"KERTASARI CIAMIS")</f>
        <v>KERTASARI CIAMIS</v>
      </c>
      <c r="D8024" s="186">
        <f>IFERROR(__xludf.DUMMYFUNCTION("""COMPUTED_VALUE"""),10.0)</f>
        <v>10</v>
      </c>
    </row>
    <row r="8025">
      <c r="A8025" s="178" t="str">
        <f>IFERROR(__xludf.DUMMYFUNCTION("""COMPUTED_VALUE"""),"ITBISA-LED-SUPERBRIGHT-5MM-RED")</f>
        <v>ITBISA-LED-SUPERBRIGHT-5MM-RED</v>
      </c>
      <c r="B8025" s="266">
        <f>IFERROR(__xludf.DUMMYFUNCTION("""COMPUTED_VALUE"""),45627.0)</f>
        <v>45627</v>
      </c>
      <c r="C8025" s="266" t="str">
        <f>IFERROR(__xludf.DUMMYFUNCTION("""COMPUTED_VALUE"""),"KERTASARI CIAMIS")</f>
        <v>KERTASARI CIAMIS</v>
      </c>
      <c r="D8025" s="186">
        <f>IFERROR(__xludf.DUMMYFUNCTION("""COMPUTED_VALUE"""),50.0)</f>
        <v>50</v>
      </c>
    </row>
    <row r="8026">
      <c r="A8026" s="178" t="str">
        <f>IFERROR(__xludf.DUMMYFUNCTION("""COMPUTED_VALUE"""),"ITBISA-LED-SUPERBRIGHT-5MM-RED")</f>
        <v>ITBISA-LED-SUPERBRIGHT-5MM-RED</v>
      </c>
      <c r="B8026" s="266">
        <f>IFERROR(__xludf.DUMMYFUNCTION("""COMPUTED_VALUE"""),45641.0)</f>
        <v>45641</v>
      </c>
      <c r="C8026" s="266" t="str">
        <f>IFERROR(__xludf.DUMMYFUNCTION("""COMPUTED_VALUE"""),"KYAI KONTONG")</f>
        <v>KYAI KONTONG</v>
      </c>
      <c r="D8026" s="186">
        <f>IFERROR(__xludf.DUMMYFUNCTION("""COMPUTED_VALUE"""),10.0)</f>
        <v>10</v>
      </c>
    </row>
    <row r="8027">
      <c r="A8027" s="178" t="str">
        <f>IFERROR(__xludf.DUMMYFUNCTION("""COMPUTED_VALUE"""),"ITBISA-LED-SUPERBRIGHT-5MM-RED")</f>
        <v>ITBISA-LED-SUPERBRIGHT-5MM-RED</v>
      </c>
      <c r="B8027" s="266">
        <f>IFERROR(__xludf.DUMMYFUNCTION("""COMPUTED_VALUE"""),45658.0)</f>
        <v>45658</v>
      </c>
      <c r="C8027" s="266" t="str">
        <f>IFERROR(__xludf.DUMMYFUNCTION("""COMPUTED_VALUE"""),"KYAI KONTONG")</f>
        <v>KYAI KONTONG</v>
      </c>
      <c r="D8027" s="186">
        <f>IFERROR(__xludf.DUMMYFUNCTION("""COMPUTED_VALUE"""),50.0)</f>
        <v>50</v>
      </c>
    </row>
    <row r="8028">
      <c r="A8028" s="178" t="str">
        <f>IFERROR(__xludf.DUMMYFUNCTION("""COMPUTED_VALUE"""),"ITBISA-LED-SUPERBRIGHT-5MM-RED")</f>
        <v>ITBISA-LED-SUPERBRIGHT-5MM-RED</v>
      </c>
      <c r="B8028" s="266">
        <f>IFERROR(__xludf.DUMMYFUNCTION("""COMPUTED_VALUE"""),45666.0)</f>
        <v>45666</v>
      </c>
      <c r="C8028" s="266" t="str">
        <f>IFERROR(__xludf.DUMMYFUNCTION("""COMPUTED_VALUE"""),"KYAI KONTONG")</f>
        <v>KYAI KONTONG</v>
      </c>
      <c r="D8028" s="186">
        <f>IFERROR(__xludf.DUMMYFUNCTION("""COMPUTED_VALUE"""),4.0)</f>
        <v>4</v>
      </c>
    </row>
    <row r="8029">
      <c r="A8029" s="178" t="str">
        <f>IFERROR(__xludf.DUMMYFUNCTION("""COMPUTED_VALUE"""),"ITBISA-LED-SUPERBRIGHT-5MM-RED")</f>
        <v>ITBISA-LED-SUPERBRIGHT-5MM-RED</v>
      </c>
      <c r="B8029" s="266">
        <f>IFERROR(__xludf.DUMMYFUNCTION("""COMPUTED_VALUE"""),45667.0)</f>
        <v>45667</v>
      </c>
      <c r="C8029" s="266" t="str">
        <f>IFERROR(__xludf.DUMMYFUNCTION("""COMPUTED_VALUE"""),"KYAI KONTONG")</f>
        <v>KYAI KONTONG</v>
      </c>
      <c r="D8029" s="186">
        <f>IFERROR(__xludf.DUMMYFUNCTION("""COMPUTED_VALUE"""),10.0)</f>
        <v>10</v>
      </c>
    </row>
    <row r="8030">
      <c r="A8030" s="178" t="str">
        <f>IFERROR(__xludf.DUMMYFUNCTION("""COMPUTED_VALUE"""),"ITBISA-LED-SUPERBRIGHT-5MM-RED")</f>
        <v>ITBISA-LED-SUPERBRIGHT-5MM-RED</v>
      </c>
      <c r="B8030" s="266">
        <f>IFERROR(__xludf.DUMMYFUNCTION("""COMPUTED_VALUE"""),45670.0)</f>
        <v>45670</v>
      </c>
      <c r="C8030" s="266" t="str">
        <f>IFERROR(__xludf.DUMMYFUNCTION("""COMPUTED_VALUE"""),"KYAI KONTONG")</f>
        <v>KYAI KONTONG</v>
      </c>
      <c r="D8030" s="186">
        <f>IFERROR(__xludf.DUMMYFUNCTION("""COMPUTED_VALUE"""),10.0)</f>
        <v>10</v>
      </c>
    </row>
    <row r="8031">
      <c r="A8031" s="178" t="str">
        <f>IFERROR(__xludf.DUMMYFUNCTION("""COMPUTED_VALUE"""),"ITBISA-LED-SUPERBRIGHT-5MM-RED")</f>
        <v>ITBISA-LED-SUPERBRIGHT-5MM-RED</v>
      </c>
      <c r="B8031" s="266">
        <f>IFERROR(__xludf.DUMMYFUNCTION("""COMPUTED_VALUE"""),45676.0)</f>
        <v>45676</v>
      </c>
      <c r="C8031" s="266" t="str">
        <f>IFERROR(__xludf.DUMMYFUNCTION("""COMPUTED_VALUE"""),"KYAI KONTONG")</f>
        <v>KYAI KONTONG</v>
      </c>
      <c r="D8031" s="186">
        <f>IFERROR(__xludf.DUMMYFUNCTION("""COMPUTED_VALUE"""),50.0)</f>
        <v>50</v>
      </c>
    </row>
    <row r="8032">
      <c r="A8032" s="178" t="str">
        <f>IFERROR(__xludf.DUMMYFUNCTION("""COMPUTED_VALUE"""),"ITBISA-LED-SUPERBRIGHT-5MM-RED")</f>
        <v>ITBISA-LED-SUPERBRIGHT-5MM-RED</v>
      </c>
      <c r="B8032" s="266">
        <f>IFERROR(__xludf.DUMMYFUNCTION("""COMPUTED_VALUE"""),45688.0)</f>
        <v>45688</v>
      </c>
      <c r="C8032" s="266" t="str">
        <f>IFERROR(__xludf.DUMMYFUNCTION("""COMPUTED_VALUE"""),"KERTASARI CIAMIS")</f>
        <v>KERTASARI CIAMIS</v>
      </c>
      <c r="D8032" s="186">
        <f>IFERROR(__xludf.DUMMYFUNCTION("""COMPUTED_VALUE"""),300.0)</f>
        <v>300</v>
      </c>
    </row>
    <row r="8033">
      <c r="A8033" s="178" t="str">
        <f>IFERROR(__xludf.DUMMYFUNCTION("""COMPUTED_VALUE"""),"ITBISA-LED-SUPERBRIGHT-5MM-RED")</f>
        <v>ITBISA-LED-SUPERBRIGHT-5MM-RED</v>
      </c>
      <c r="B8033" s="266">
        <f>IFERROR(__xludf.DUMMYFUNCTION("""COMPUTED_VALUE"""),45697.0)</f>
        <v>45697</v>
      </c>
      <c r="C8033" s="266" t="str">
        <f>IFERROR(__xludf.DUMMYFUNCTION("""COMPUTED_VALUE"""),"KERTASARI CIAMIS")</f>
        <v>KERTASARI CIAMIS</v>
      </c>
      <c r="D8033" s="186">
        <f>IFERROR(__xludf.DUMMYFUNCTION("""COMPUTED_VALUE"""),3.0)</f>
        <v>3</v>
      </c>
    </row>
    <row r="8034">
      <c r="A8034" s="178" t="str">
        <f>IFERROR(__xludf.DUMMYFUNCTION("""COMPUTED_VALUE"""),"ITBISA-LED-SUPERBRIGHT-5MM-RED")</f>
        <v>ITBISA-LED-SUPERBRIGHT-5MM-RED</v>
      </c>
      <c r="B8034" s="266">
        <f>IFERROR(__xludf.DUMMYFUNCTION("""COMPUTED_VALUE"""),45697.0)</f>
        <v>45697</v>
      </c>
      <c r="C8034" s="266" t="str">
        <f>IFERROR(__xludf.DUMMYFUNCTION("""COMPUTED_VALUE"""),"KERTASARI CIAMIS")</f>
        <v>KERTASARI CIAMIS</v>
      </c>
      <c r="D8034" s="186">
        <f>IFERROR(__xludf.DUMMYFUNCTION("""COMPUTED_VALUE"""),10.0)</f>
        <v>10</v>
      </c>
    </row>
    <row r="8035">
      <c r="A8035" s="178" t="str">
        <f>IFERROR(__xludf.DUMMYFUNCTION("""COMPUTED_VALUE"""),"ITBISA-LED-SUPERBRIGHT-5MM-RED")</f>
        <v>ITBISA-LED-SUPERBRIGHT-5MM-RED</v>
      </c>
      <c r="B8035" s="266">
        <f>IFERROR(__xludf.DUMMYFUNCTION("""COMPUTED_VALUE"""),45701.0)</f>
        <v>45701</v>
      </c>
      <c r="C8035" s="266" t="str">
        <f>IFERROR(__xludf.DUMMYFUNCTION("""COMPUTED_VALUE"""),"KYAI KONTONG")</f>
        <v>KYAI KONTONG</v>
      </c>
      <c r="D8035" s="186">
        <f>IFERROR(__xludf.DUMMYFUNCTION("""COMPUTED_VALUE"""),8.0)</f>
        <v>8</v>
      </c>
    </row>
    <row r="8036">
      <c r="A8036" s="178" t="str">
        <f>IFERROR(__xludf.DUMMYFUNCTION("""COMPUTED_VALUE"""),"ITBISA-LED-SUPERBRIGHT-5MM-RED")</f>
        <v>ITBISA-LED-SUPERBRIGHT-5MM-RED</v>
      </c>
      <c r="B8036" s="266">
        <f>IFERROR(__xludf.DUMMYFUNCTION("""COMPUTED_VALUE"""),45705.0)</f>
        <v>45705</v>
      </c>
      <c r="C8036" s="266" t="str">
        <f>IFERROR(__xludf.DUMMYFUNCTION("""COMPUTED_VALUE"""),"KERTASARI CIAMIS")</f>
        <v>KERTASARI CIAMIS</v>
      </c>
      <c r="D8036" s="186">
        <f>IFERROR(__xludf.DUMMYFUNCTION("""COMPUTED_VALUE"""),40.0)</f>
        <v>40</v>
      </c>
    </row>
    <row r="8037">
      <c r="A8037" s="178" t="str">
        <f>IFERROR(__xludf.DUMMYFUNCTION("""COMPUTED_VALUE"""),"ITBISA-LED-SUPERBRIGHT-5MM-RED")</f>
        <v>ITBISA-LED-SUPERBRIGHT-5MM-RED</v>
      </c>
      <c r="B8037" s="266">
        <f>IFERROR(__xludf.DUMMYFUNCTION("""COMPUTED_VALUE"""),45705.0)</f>
        <v>45705</v>
      </c>
      <c r="C8037" s="266" t="str">
        <f>IFERROR(__xludf.DUMMYFUNCTION("""COMPUTED_VALUE"""),"KYAI KONTONG")</f>
        <v>KYAI KONTONG</v>
      </c>
      <c r="D8037" s="186">
        <f>IFERROR(__xludf.DUMMYFUNCTION("""COMPUTED_VALUE"""),20.0)</f>
        <v>20</v>
      </c>
    </row>
    <row r="8038">
      <c r="A8038" s="178" t="str">
        <f>IFERROR(__xludf.DUMMYFUNCTION("""COMPUTED_VALUE"""),"ITBISA-LED-SUPERBRIGHT-5MM-RED")</f>
        <v>ITBISA-LED-SUPERBRIGHT-5MM-RED</v>
      </c>
      <c r="B8038" s="266">
        <f>IFERROR(__xludf.DUMMYFUNCTION("""COMPUTED_VALUE"""),45712.0)</f>
        <v>45712</v>
      </c>
      <c r="C8038" s="266" t="str">
        <f>IFERROR(__xludf.DUMMYFUNCTION("""COMPUTED_VALUE"""),"KYAI KONTONG")</f>
        <v>KYAI KONTONG</v>
      </c>
      <c r="D8038" s="186">
        <f>IFERROR(__xludf.DUMMYFUNCTION("""COMPUTED_VALUE"""),2.0)</f>
        <v>2</v>
      </c>
    </row>
    <row r="8039">
      <c r="A8039" s="178" t="str">
        <f>IFERROR(__xludf.DUMMYFUNCTION("""COMPUTED_VALUE"""),"ITBISA-LED-SUPERBRIGHT-5MM-RED")</f>
        <v>ITBISA-LED-SUPERBRIGHT-5MM-RED</v>
      </c>
      <c r="B8039" s="266">
        <f>IFERROR(__xludf.DUMMYFUNCTION("""COMPUTED_VALUE"""),45715.0)</f>
        <v>45715</v>
      </c>
      <c r="C8039" s="266" t="str">
        <f>IFERROR(__xludf.DUMMYFUNCTION("""COMPUTED_VALUE"""),"KYAI KONTONG")</f>
        <v>KYAI KONTONG</v>
      </c>
      <c r="D8039" s="186">
        <f>IFERROR(__xludf.DUMMYFUNCTION("""COMPUTED_VALUE"""),25.0)</f>
        <v>25</v>
      </c>
    </row>
    <row r="8040">
      <c r="A8040" s="178" t="str">
        <f>IFERROR(__xludf.DUMMYFUNCTION("""COMPUTED_VALUE"""),"ITBISA-LED-SUPERBRIGHT-5MM-RED")</f>
        <v>ITBISA-LED-SUPERBRIGHT-5MM-RED</v>
      </c>
      <c r="B8040" s="266">
        <f>IFERROR(__xludf.DUMMYFUNCTION("""COMPUTED_VALUE"""),45716.0)</f>
        <v>45716</v>
      </c>
      <c r="C8040" s="266" t="str">
        <f>IFERROR(__xludf.DUMMYFUNCTION("""COMPUTED_VALUE"""),"KYAI KONTONG")</f>
        <v>KYAI KONTONG</v>
      </c>
      <c r="D8040" s="186">
        <f>IFERROR(__xludf.DUMMYFUNCTION("""COMPUTED_VALUE"""),50.0)</f>
        <v>50</v>
      </c>
    </row>
    <row r="8041">
      <c r="A8041" s="178" t="str">
        <f>IFERROR(__xludf.DUMMYFUNCTION("""COMPUTED_VALUE"""),"ITBISA-LED-SUPERBRIGHT-5MM-RED")</f>
        <v>ITBISA-LED-SUPERBRIGHT-5MM-RED</v>
      </c>
      <c r="B8041" s="266">
        <f>IFERROR(__xludf.DUMMYFUNCTION("""COMPUTED_VALUE"""),45717.0)</f>
        <v>45717</v>
      </c>
      <c r="C8041" s="266" t="str">
        <f>IFERROR(__xludf.DUMMYFUNCTION("""COMPUTED_VALUE"""),"KERTASARI CIAMIS")</f>
        <v>KERTASARI CIAMIS</v>
      </c>
      <c r="D8041" s="186">
        <f>IFERROR(__xludf.DUMMYFUNCTION("""COMPUTED_VALUE"""),10.0)</f>
        <v>10</v>
      </c>
    </row>
    <row r="8042">
      <c r="A8042" s="178" t="str">
        <f>IFERROR(__xludf.DUMMYFUNCTION("""COMPUTED_VALUE"""),"ITBISA-LED-SUPERBRIGHT-5MM-RED")</f>
        <v>ITBISA-LED-SUPERBRIGHT-5MM-RED</v>
      </c>
      <c r="B8042" s="266">
        <f>IFERROR(__xludf.DUMMYFUNCTION("""COMPUTED_VALUE"""),45718.0)</f>
        <v>45718</v>
      </c>
      <c r="C8042" s="266" t="str">
        <f>IFERROR(__xludf.DUMMYFUNCTION("""COMPUTED_VALUE"""),"KERTASARI CIAMIS")</f>
        <v>KERTASARI CIAMIS</v>
      </c>
      <c r="D8042" s="186">
        <f>IFERROR(__xludf.DUMMYFUNCTION("""COMPUTED_VALUE"""),20.0)</f>
        <v>20</v>
      </c>
    </row>
    <row r="8043">
      <c r="A8043" s="178" t="str">
        <f>IFERROR(__xludf.DUMMYFUNCTION("""COMPUTED_VALUE"""),"ITBISA-LED-SUPERBRIGHT-5MM-RED")</f>
        <v>ITBISA-LED-SUPERBRIGHT-5MM-RED</v>
      </c>
      <c r="B8043" s="266">
        <f>IFERROR(__xludf.DUMMYFUNCTION("""COMPUTED_VALUE"""),45726.0)</f>
        <v>45726</v>
      </c>
      <c r="C8043" s="266" t="str">
        <f>IFERROR(__xludf.DUMMYFUNCTION("""COMPUTED_VALUE"""),"KERTASARI CIAMIS")</f>
        <v>KERTASARI CIAMIS</v>
      </c>
      <c r="D8043" s="186">
        <f>IFERROR(__xludf.DUMMYFUNCTION("""COMPUTED_VALUE"""),5.0)</f>
        <v>5</v>
      </c>
    </row>
    <row r="8044">
      <c r="A8044" s="178" t="str">
        <f>IFERROR(__xludf.DUMMYFUNCTION("""COMPUTED_VALUE"""),"ITBISA-LED-SUPERBRIGHT-5MM-RED")</f>
        <v>ITBISA-LED-SUPERBRIGHT-5MM-RED</v>
      </c>
      <c r="B8044" s="266">
        <f>IFERROR(__xludf.DUMMYFUNCTION("""COMPUTED_VALUE"""),45726.0)</f>
        <v>45726</v>
      </c>
      <c r="C8044" s="266" t="str">
        <f>IFERROR(__xludf.DUMMYFUNCTION("""COMPUTED_VALUE"""),"KERTASARI CIAMIS")</f>
        <v>KERTASARI CIAMIS</v>
      </c>
      <c r="D8044" s="186">
        <f>IFERROR(__xludf.DUMMYFUNCTION("""COMPUTED_VALUE"""),40.0)</f>
        <v>40</v>
      </c>
    </row>
    <row r="8045">
      <c r="A8045" s="178" t="str">
        <f>IFERROR(__xludf.DUMMYFUNCTION("""COMPUTED_VALUE"""),"ITBISA-LED-SUPERBRIGHT-5MM-RED")</f>
        <v>ITBISA-LED-SUPERBRIGHT-5MM-RED</v>
      </c>
      <c r="B8045" s="266">
        <f>IFERROR(__xludf.DUMMYFUNCTION("""COMPUTED_VALUE"""),45730.0)</f>
        <v>45730</v>
      </c>
      <c r="C8045" s="266" t="str">
        <f>IFERROR(__xludf.DUMMYFUNCTION("""COMPUTED_VALUE"""),"KERTASARI CIAMIS")</f>
        <v>KERTASARI CIAMIS</v>
      </c>
      <c r="D8045" s="186">
        <f>IFERROR(__xludf.DUMMYFUNCTION("""COMPUTED_VALUE"""),15.0)</f>
        <v>15</v>
      </c>
    </row>
    <row r="8046">
      <c r="A8046" s="178" t="str">
        <f>IFERROR(__xludf.DUMMYFUNCTION("""COMPUTED_VALUE"""),"ITBISA-LED-SUPERBRIGHT-5MM-RED")</f>
        <v>ITBISA-LED-SUPERBRIGHT-5MM-RED</v>
      </c>
      <c r="B8046" s="266">
        <f>IFERROR(__xludf.DUMMYFUNCTION("""COMPUTED_VALUE"""),45730.0)</f>
        <v>45730</v>
      </c>
      <c r="C8046" s="266" t="str">
        <f>IFERROR(__xludf.DUMMYFUNCTION("""COMPUTED_VALUE"""),"KYAI KONTONG")</f>
        <v>KYAI KONTONG</v>
      </c>
      <c r="D8046" s="186">
        <f>IFERROR(__xludf.DUMMYFUNCTION("""COMPUTED_VALUE"""),30.0)</f>
        <v>30</v>
      </c>
    </row>
    <row r="8047">
      <c r="A8047" s="178" t="str">
        <f>IFERROR(__xludf.DUMMYFUNCTION("""COMPUTED_VALUE"""),"ITBISA-LED-SUPERBRIGHT-5MM-RED")</f>
        <v>ITBISA-LED-SUPERBRIGHT-5MM-RED</v>
      </c>
      <c r="B8047" s="266">
        <f>IFERROR(__xludf.DUMMYFUNCTION("""COMPUTED_VALUE"""),45734.0)</f>
        <v>45734</v>
      </c>
      <c r="C8047" s="266" t="str">
        <f>IFERROR(__xludf.DUMMYFUNCTION("""COMPUTED_VALUE"""),"KYAI KONTONG")</f>
        <v>KYAI KONTONG</v>
      </c>
      <c r="D8047" s="186">
        <f>IFERROR(__xludf.DUMMYFUNCTION("""COMPUTED_VALUE"""),9.0)</f>
        <v>9</v>
      </c>
    </row>
    <row r="8048">
      <c r="A8048" s="178" t="str">
        <f>IFERROR(__xludf.DUMMYFUNCTION("""COMPUTED_VALUE"""),"ITBISA-LED-SUPERBRIGHT-5MM-RED")</f>
        <v>ITBISA-LED-SUPERBRIGHT-5MM-RED</v>
      </c>
      <c r="B8048" s="266">
        <f>IFERROR(__xludf.DUMMYFUNCTION("""COMPUTED_VALUE"""),45742.0)</f>
        <v>45742</v>
      </c>
      <c r="C8048" s="266" t="str">
        <f>IFERROR(__xludf.DUMMYFUNCTION("""COMPUTED_VALUE"""),"KERTASARI CIAMIS")</f>
        <v>KERTASARI CIAMIS</v>
      </c>
      <c r="D8048" s="186">
        <f>IFERROR(__xludf.DUMMYFUNCTION("""COMPUTED_VALUE"""),10.0)</f>
        <v>10</v>
      </c>
    </row>
    <row r="8049">
      <c r="A8049" s="178" t="str">
        <f>IFERROR(__xludf.DUMMYFUNCTION("""COMPUTED_VALUE"""),"ITBISA-LED-SUPERBRIGHT-5MM-RED")</f>
        <v>ITBISA-LED-SUPERBRIGHT-5MM-RED</v>
      </c>
      <c r="B8049" s="266">
        <f>IFERROR(__xludf.DUMMYFUNCTION("""COMPUTED_VALUE"""),45749.0)</f>
        <v>45749</v>
      </c>
      <c r="C8049" s="266" t="str">
        <f>IFERROR(__xludf.DUMMYFUNCTION("""COMPUTED_VALUE"""),"KERTASARI CIAMIS")</f>
        <v>KERTASARI CIAMIS</v>
      </c>
      <c r="D8049" s="186">
        <f>IFERROR(__xludf.DUMMYFUNCTION("""COMPUTED_VALUE"""),20.0)</f>
        <v>20</v>
      </c>
    </row>
    <row r="8050">
      <c r="A8050" s="178" t="str">
        <f>IFERROR(__xludf.DUMMYFUNCTION("""COMPUTED_VALUE"""),"ITBISA-LED-SUPERBRIGHT-5MM-RED")</f>
        <v>ITBISA-LED-SUPERBRIGHT-5MM-RED</v>
      </c>
      <c r="B8050" s="266">
        <f>IFERROR(__xludf.DUMMYFUNCTION("""COMPUTED_VALUE"""),45750.0)</f>
        <v>45750</v>
      </c>
      <c r="C8050" s="266" t="str">
        <f>IFERROR(__xludf.DUMMYFUNCTION("""COMPUTED_VALUE"""),"KERTASARI CIAMIS")</f>
        <v>KERTASARI CIAMIS</v>
      </c>
      <c r="D8050" s="186">
        <f>IFERROR(__xludf.DUMMYFUNCTION("""COMPUTED_VALUE"""),10.0)</f>
        <v>10</v>
      </c>
    </row>
    <row r="8051">
      <c r="A8051" s="178" t="str">
        <f>IFERROR(__xludf.DUMMYFUNCTION("""COMPUTED_VALUE"""),"ITBISA-LED-SUPERBRIGHT-5MM-RED")</f>
        <v>ITBISA-LED-SUPERBRIGHT-5MM-RED</v>
      </c>
      <c r="B8051" s="266">
        <f>IFERROR(__xludf.DUMMYFUNCTION("""COMPUTED_VALUE"""),45751.0)</f>
        <v>45751</v>
      </c>
      <c r="C8051" s="266" t="str">
        <f>IFERROR(__xludf.DUMMYFUNCTION("""COMPUTED_VALUE"""),"KERTASARI CIAMIS")</f>
        <v>KERTASARI CIAMIS</v>
      </c>
      <c r="D8051" s="186">
        <f>IFERROR(__xludf.DUMMYFUNCTION("""COMPUTED_VALUE"""),100.0)</f>
        <v>100</v>
      </c>
    </row>
    <row r="8052">
      <c r="A8052" s="178" t="str">
        <f>IFERROR(__xludf.DUMMYFUNCTION("""COMPUTED_VALUE"""),"ITBISA-LED-SUPERBRIGHT-5MM-RED")</f>
        <v>ITBISA-LED-SUPERBRIGHT-5MM-RED</v>
      </c>
      <c r="B8052" s="266">
        <f>IFERROR(__xludf.DUMMYFUNCTION("""COMPUTED_VALUE"""),45758.0)</f>
        <v>45758</v>
      </c>
      <c r="C8052" s="266" t="str">
        <f>IFERROR(__xludf.DUMMYFUNCTION("""COMPUTED_VALUE"""),"KYAI KONTONG")</f>
        <v>KYAI KONTONG</v>
      </c>
      <c r="D8052" s="186">
        <f>IFERROR(__xludf.DUMMYFUNCTION("""COMPUTED_VALUE"""),10.0)</f>
        <v>10</v>
      </c>
    </row>
    <row r="8053">
      <c r="A8053" s="178" t="str">
        <f>IFERROR(__xludf.DUMMYFUNCTION("""COMPUTED_VALUE"""),"ITBISA-LED-SUPERBRIGHT-5MM-RED")</f>
        <v>ITBISA-LED-SUPERBRIGHT-5MM-RED</v>
      </c>
      <c r="B8053" s="266">
        <f>IFERROR(__xludf.DUMMYFUNCTION("""COMPUTED_VALUE"""),45759.0)</f>
        <v>45759</v>
      </c>
      <c r="C8053" s="266" t="str">
        <f>IFERROR(__xludf.DUMMYFUNCTION("""COMPUTED_VALUE"""),"KERTASARI CIAMIS")</f>
        <v>KERTASARI CIAMIS</v>
      </c>
      <c r="D8053" s="186">
        <f>IFERROR(__xludf.DUMMYFUNCTION("""COMPUTED_VALUE"""),100.0)</f>
        <v>100</v>
      </c>
    </row>
    <row r="8054">
      <c r="A8054" s="178" t="str">
        <f>IFERROR(__xludf.DUMMYFUNCTION("""COMPUTED_VALUE"""),"ITBISA-LED-SUPERBRIGHT-5MM-RED")</f>
        <v>ITBISA-LED-SUPERBRIGHT-5MM-RED</v>
      </c>
      <c r="B8054" s="266">
        <f>IFERROR(__xludf.DUMMYFUNCTION("""COMPUTED_VALUE"""),45768.0)</f>
        <v>45768</v>
      </c>
      <c r="C8054" s="266" t="str">
        <f>IFERROR(__xludf.DUMMYFUNCTION("""COMPUTED_VALUE"""),"KERTASARI CIAMIS")</f>
        <v>KERTASARI CIAMIS</v>
      </c>
      <c r="D8054" s="186">
        <f>IFERROR(__xludf.DUMMYFUNCTION("""COMPUTED_VALUE"""),200.0)</f>
        <v>200</v>
      </c>
    </row>
    <row r="8055">
      <c r="A8055" s="178" t="str">
        <f>IFERROR(__xludf.DUMMYFUNCTION("""COMPUTED_VALUE"""),"ITBISA-LED-SUPERBRIGHT-5MM-RED")</f>
        <v>ITBISA-LED-SUPERBRIGHT-5MM-RED</v>
      </c>
      <c r="B8055" s="266">
        <f>IFERROR(__xludf.DUMMYFUNCTION("""COMPUTED_VALUE"""),45773.0)</f>
        <v>45773</v>
      </c>
      <c r="C8055" s="266" t="str">
        <f>IFERROR(__xludf.DUMMYFUNCTION("""COMPUTED_VALUE"""),"KERTASARI CIAMIS")</f>
        <v>KERTASARI CIAMIS</v>
      </c>
      <c r="D8055" s="186">
        <f>IFERROR(__xludf.DUMMYFUNCTION("""COMPUTED_VALUE"""),10.0)</f>
        <v>10</v>
      </c>
    </row>
    <row r="8056">
      <c r="A8056" s="178" t="str">
        <f>IFERROR(__xludf.DUMMYFUNCTION("""COMPUTED_VALUE"""),"ITBISA-LED-SUPERBRIGHT-5MM-RED")</f>
        <v>ITBISA-LED-SUPERBRIGHT-5MM-RED</v>
      </c>
      <c r="B8056" s="266">
        <f>IFERROR(__xludf.DUMMYFUNCTION("""COMPUTED_VALUE"""),45773.0)</f>
        <v>45773</v>
      </c>
      <c r="C8056" s="266" t="str">
        <f>IFERROR(__xludf.DUMMYFUNCTION("""COMPUTED_VALUE"""),"KYAI KONTONG")</f>
        <v>KYAI KONTONG</v>
      </c>
      <c r="D8056" s="186">
        <f>IFERROR(__xludf.DUMMYFUNCTION("""COMPUTED_VALUE"""),5.0)</f>
        <v>5</v>
      </c>
    </row>
    <row r="8057">
      <c r="A8057" s="178" t="str">
        <f>IFERROR(__xludf.DUMMYFUNCTION("""COMPUTED_VALUE"""),"ITBISA-LED-SUPERBRIGHT-5MM-RED")</f>
        <v>ITBISA-LED-SUPERBRIGHT-5MM-RED</v>
      </c>
      <c r="B8057" s="266">
        <f>IFERROR(__xludf.DUMMYFUNCTION("""COMPUTED_VALUE"""),45777.0)</f>
        <v>45777</v>
      </c>
      <c r="C8057" s="266" t="str">
        <f>IFERROR(__xludf.DUMMYFUNCTION("""COMPUTED_VALUE"""),"KERTASARI CIAMIS")</f>
        <v>KERTASARI CIAMIS</v>
      </c>
      <c r="D8057" s="186">
        <f>IFERROR(__xludf.DUMMYFUNCTION("""COMPUTED_VALUE"""),1.0)</f>
        <v>1</v>
      </c>
    </row>
    <row r="8058">
      <c r="A8058" s="178" t="str">
        <f>IFERROR(__xludf.DUMMYFUNCTION("""COMPUTED_VALUE"""),"ITBISA-LED-SUPERBRIGHT-5MM-RED")</f>
        <v>ITBISA-LED-SUPERBRIGHT-5MM-RED</v>
      </c>
      <c r="B8058" s="266">
        <f>IFERROR(__xludf.DUMMYFUNCTION("""COMPUTED_VALUE"""),45785.0)</f>
        <v>45785</v>
      </c>
      <c r="C8058" s="266" t="str">
        <f>IFERROR(__xludf.DUMMYFUNCTION("""COMPUTED_VALUE"""),"KERTASARI CIAMIS")</f>
        <v>KERTASARI CIAMIS</v>
      </c>
      <c r="D8058" s="186">
        <f>IFERROR(__xludf.DUMMYFUNCTION("""COMPUTED_VALUE"""),1.0)</f>
        <v>1</v>
      </c>
    </row>
    <row r="8059">
      <c r="A8059" s="178" t="str">
        <f>IFERROR(__xludf.DUMMYFUNCTION("""COMPUTED_VALUE"""),"ITBISA-LED-SUPERBRIGHT-5MM-RED")</f>
        <v>ITBISA-LED-SUPERBRIGHT-5MM-RED</v>
      </c>
      <c r="B8059" s="266">
        <f>IFERROR(__xludf.DUMMYFUNCTION("""COMPUTED_VALUE"""),45786.0)</f>
        <v>45786</v>
      </c>
      <c r="C8059" s="266" t="str">
        <f>IFERROR(__xludf.DUMMYFUNCTION("""COMPUTED_VALUE"""),"KERTASARI CIAMIS")</f>
        <v>KERTASARI CIAMIS</v>
      </c>
      <c r="D8059" s="186">
        <f>IFERROR(__xludf.DUMMYFUNCTION("""COMPUTED_VALUE"""),5.0)</f>
        <v>5</v>
      </c>
    </row>
    <row r="8060">
      <c r="A8060" s="178" t="str">
        <f>IFERROR(__xludf.DUMMYFUNCTION("""COMPUTED_VALUE"""),"ITBISA-LED-SUPERBRIGHT-5MM-RED")</f>
        <v>ITBISA-LED-SUPERBRIGHT-5MM-RED</v>
      </c>
      <c r="B8060" s="266">
        <f>IFERROR(__xludf.DUMMYFUNCTION("""COMPUTED_VALUE"""),45792.0)</f>
        <v>45792</v>
      </c>
      <c r="C8060" s="266" t="str">
        <f>IFERROR(__xludf.DUMMYFUNCTION("""COMPUTED_VALUE"""),"KERTASARI CIAMIS")</f>
        <v>KERTASARI CIAMIS</v>
      </c>
      <c r="D8060" s="186">
        <f>IFERROR(__xludf.DUMMYFUNCTION("""COMPUTED_VALUE"""),25.0)</f>
        <v>25</v>
      </c>
    </row>
    <row r="8061">
      <c r="A8061" s="178" t="str">
        <f>IFERROR(__xludf.DUMMYFUNCTION("""COMPUTED_VALUE"""),"ITBISA-LED-SUPERBRIGHT-5MM-RED")</f>
        <v>ITBISA-LED-SUPERBRIGHT-5MM-RED</v>
      </c>
      <c r="B8061" s="266">
        <f>IFERROR(__xludf.DUMMYFUNCTION("""COMPUTED_VALUE"""),45803.0)</f>
        <v>45803</v>
      </c>
      <c r="C8061" s="266" t="str">
        <f>IFERROR(__xludf.DUMMYFUNCTION("""COMPUTED_VALUE"""),"KYAI KONTONG")</f>
        <v>KYAI KONTONG</v>
      </c>
      <c r="D8061" s="186">
        <f>IFERROR(__xludf.DUMMYFUNCTION("""COMPUTED_VALUE"""),2.0)</f>
        <v>2</v>
      </c>
    </row>
    <row r="8062">
      <c r="A8062" s="178" t="str">
        <f>IFERROR(__xludf.DUMMYFUNCTION("""COMPUTED_VALUE"""),"ITBISA-LED-SUPERBRIGHT-5MM-RED")</f>
        <v>ITBISA-LED-SUPERBRIGHT-5MM-RED</v>
      </c>
      <c r="B8062" s="266">
        <f>IFERROR(__xludf.DUMMYFUNCTION("""COMPUTED_VALUE"""),45810.0)</f>
        <v>45810</v>
      </c>
      <c r="C8062" s="266" t="str">
        <f>IFERROR(__xludf.DUMMYFUNCTION("""COMPUTED_VALUE"""),"KYAI KONTONG")</f>
        <v>KYAI KONTONG</v>
      </c>
      <c r="D8062" s="186">
        <f>IFERROR(__xludf.DUMMYFUNCTION("""COMPUTED_VALUE"""),20.0)</f>
        <v>20</v>
      </c>
    </row>
    <row r="8063">
      <c r="A8063" s="178" t="str">
        <f>IFERROR(__xludf.DUMMYFUNCTION("""COMPUTED_VALUE"""),"ITBISA-LED-SUPERBRIGHT-5MM-RED")</f>
        <v>ITBISA-LED-SUPERBRIGHT-5MM-RED</v>
      </c>
      <c r="B8063" s="266">
        <f>IFERROR(__xludf.DUMMYFUNCTION("""COMPUTED_VALUE"""),45827.0)</f>
        <v>45827</v>
      </c>
      <c r="C8063" s="266" t="str">
        <f>IFERROR(__xludf.DUMMYFUNCTION("""COMPUTED_VALUE"""),"KERTASARI CIAMIS")</f>
        <v>KERTASARI CIAMIS</v>
      </c>
      <c r="D8063" s="186">
        <f>IFERROR(__xludf.DUMMYFUNCTION("""COMPUTED_VALUE"""),5.0)</f>
        <v>5</v>
      </c>
    </row>
    <row r="8064">
      <c r="A8064" s="178" t="str">
        <f>IFERROR(__xludf.DUMMYFUNCTION("""COMPUTED_VALUE"""),"ITBISA-LED-SUPERBRIGHT-5MM-RED")</f>
        <v>ITBISA-LED-SUPERBRIGHT-5MM-RED</v>
      </c>
      <c r="B8064" s="266">
        <f>IFERROR(__xludf.DUMMYFUNCTION("""COMPUTED_VALUE"""),45837.0)</f>
        <v>45837</v>
      </c>
      <c r="C8064" s="266" t="str">
        <f>IFERROR(__xludf.DUMMYFUNCTION("""COMPUTED_VALUE"""),"KERTASARI CIAMIS")</f>
        <v>KERTASARI CIAMIS</v>
      </c>
      <c r="D8064" s="186">
        <f>IFERROR(__xludf.DUMMYFUNCTION("""COMPUTED_VALUE"""),50.0)</f>
        <v>50</v>
      </c>
    </row>
    <row r="8065">
      <c r="A8065" s="178" t="str">
        <f>IFERROR(__xludf.DUMMYFUNCTION("""COMPUTED_VALUE"""),"ITBISA-LED-SUPERBRIGHT-5MM-RED")</f>
        <v>ITBISA-LED-SUPERBRIGHT-5MM-RED</v>
      </c>
      <c r="B8065" s="266">
        <f>IFERROR(__xludf.DUMMYFUNCTION("""COMPUTED_VALUE"""),45839.0)</f>
        <v>45839</v>
      </c>
      <c r="C8065" s="266" t="str">
        <f>IFERROR(__xludf.DUMMYFUNCTION("""COMPUTED_VALUE"""),"KERTASARI CIAMIS")</f>
        <v>KERTASARI CIAMIS</v>
      </c>
      <c r="D8065" s="186">
        <f>IFERROR(__xludf.DUMMYFUNCTION("""COMPUTED_VALUE"""),25.0)</f>
        <v>25</v>
      </c>
    </row>
    <row r="8066">
      <c r="A8066" s="178" t="str">
        <f>IFERROR(__xludf.DUMMYFUNCTION("""COMPUTED_VALUE"""),"ITBISA-LED-SUPERBRIGHT-5MM-RED")</f>
        <v>ITBISA-LED-SUPERBRIGHT-5MM-RED</v>
      </c>
      <c r="B8066" s="266">
        <f>IFERROR(__xludf.DUMMYFUNCTION("""COMPUTED_VALUE"""),45843.0)</f>
        <v>45843</v>
      </c>
      <c r="C8066" s="266" t="str">
        <f>IFERROR(__xludf.DUMMYFUNCTION("""COMPUTED_VALUE"""),"KERTASARI CIAMIS")</f>
        <v>KERTASARI CIAMIS</v>
      </c>
      <c r="D8066" s="186">
        <f>IFERROR(__xludf.DUMMYFUNCTION("""COMPUTED_VALUE"""),4.0)</f>
        <v>4</v>
      </c>
    </row>
    <row r="8067">
      <c r="A8067" s="178" t="str">
        <f>IFERROR(__xludf.DUMMYFUNCTION("""COMPUTED_VALUE"""),"ITBISA-LED-SUPERBRIGHT-5MM-RED")</f>
        <v>ITBISA-LED-SUPERBRIGHT-5MM-RED</v>
      </c>
      <c r="B8067" s="266">
        <f>IFERROR(__xludf.DUMMYFUNCTION("""COMPUTED_VALUE"""),45849.0)</f>
        <v>45849</v>
      </c>
      <c r="C8067" s="266" t="str">
        <f>IFERROR(__xludf.DUMMYFUNCTION("""COMPUTED_VALUE"""),"KYAI KONTONG")</f>
        <v>KYAI KONTONG</v>
      </c>
      <c r="D8067" s="186">
        <f>IFERROR(__xludf.DUMMYFUNCTION("""COMPUTED_VALUE"""),100.0)</f>
        <v>100</v>
      </c>
    </row>
    <row r="8068">
      <c r="A8068" s="178" t="str">
        <f>IFERROR(__xludf.DUMMYFUNCTION("""COMPUTED_VALUE"""),"ITBISA-LED-SUPERBRIGHT-5MM-RED")</f>
        <v>ITBISA-LED-SUPERBRIGHT-5MM-RED</v>
      </c>
      <c r="B8068" s="266">
        <f>IFERROR(__xludf.DUMMYFUNCTION("""COMPUTED_VALUE"""),45861.0)</f>
        <v>45861</v>
      </c>
      <c r="C8068" s="266" t="str">
        <f>IFERROR(__xludf.DUMMYFUNCTION("""COMPUTED_VALUE"""),"KERTASARI CIAMIS")</f>
        <v>KERTASARI CIAMIS</v>
      </c>
      <c r="D8068" s="186">
        <f>IFERROR(__xludf.DUMMYFUNCTION("""COMPUTED_VALUE"""),50.0)</f>
        <v>50</v>
      </c>
    </row>
    <row r="8069">
      <c r="A8069" s="178" t="str">
        <f>IFERROR(__xludf.DUMMYFUNCTION("""COMPUTED_VALUE"""),"ITBISA-LED-SUPERBRIGHT-5MM-RED")</f>
        <v>ITBISA-LED-SUPERBRIGHT-5MM-RED</v>
      </c>
      <c r="B8069" s="266">
        <f>IFERROR(__xludf.DUMMYFUNCTION("""COMPUTED_VALUE"""),45867.0)</f>
        <v>45867</v>
      </c>
      <c r="C8069" s="266" t="str">
        <f>IFERROR(__xludf.DUMMYFUNCTION("""COMPUTED_VALUE"""),"KYAI KONTONG")</f>
        <v>KYAI KONTONG</v>
      </c>
      <c r="D8069" s="186">
        <f>IFERROR(__xludf.DUMMYFUNCTION("""COMPUTED_VALUE"""),10.0)</f>
        <v>10</v>
      </c>
    </row>
    <row r="8070">
      <c r="A8070" s="178" t="str">
        <f>IFERROR(__xludf.DUMMYFUNCTION("""COMPUTED_VALUE"""),"ITBISA-LED-SUPERBRIGHT-5MM-RED")</f>
        <v>ITBISA-LED-SUPERBRIGHT-5MM-RED</v>
      </c>
      <c r="B8070" s="266">
        <f>IFERROR(__xludf.DUMMYFUNCTION("""COMPUTED_VALUE"""),45867.0)</f>
        <v>45867</v>
      </c>
      <c r="C8070" s="266" t="str">
        <f>IFERROR(__xludf.DUMMYFUNCTION("""COMPUTED_VALUE"""),"KYAI KONTONG")</f>
        <v>KYAI KONTONG</v>
      </c>
      <c r="D8070" s="186">
        <f>IFERROR(__xludf.DUMMYFUNCTION("""COMPUTED_VALUE"""),15.0)</f>
        <v>15</v>
      </c>
    </row>
    <row r="8071">
      <c r="A8071" s="178" t="str">
        <f>IFERROR(__xludf.DUMMYFUNCTION("""COMPUTED_VALUE"""),"ITBISA-LED-SUPERBRIGHT-5MM-RED")</f>
        <v>ITBISA-LED-SUPERBRIGHT-5MM-RED</v>
      </c>
      <c r="B8071" s="266">
        <f>IFERROR(__xludf.DUMMYFUNCTION("""COMPUTED_VALUE"""),45874.0)</f>
        <v>45874</v>
      </c>
      <c r="C8071" s="266" t="str">
        <f>IFERROR(__xludf.DUMMYFUNCTION("""COMPUTED_VALUE"""),"KERTASARI CIAMIS")</f>
        <v>KERTASARI CIAMIS</v>
      </c>
      <c r="D8071" s="186">
        <f>IFERROR(__xludf.DUMMYFUNCTION("""COMPUTED_VALUE"""),5.0)</f>
        <v>5</v>
      </c>
    </row>
    <row r="8072">
      <c r="A8072" s="178" t="str">
        <f>IFERROR(__xludf.DUMMYFUNCTION("""COMPUTED_VALUE"""),"ITBISA-LED-SUPERBRIGHT-5MM-RED")</f>
        <v>ITBISA-LED-SUPERBRIGHT-5MM-RED</v>
      </c>
      <c r="B8072" s="266">
        <f>IFERROR(__xludf.DUMMYFUNCTION("""COMPUTED_VALUE"""),45877.0)</f>
        <v>45877</v>
      </c>
      <c r="C8072" s="266" t="str">
        <f>IFERROR(__xludf.DUMMYFUNCTION("""COMPUTED_VALUE"""),"KYAI KONTONG")</f>
        <v>KYAI KONTONG</v>
      </c>
      <c r="D8072" s="186">
        <f>IFERROR(__xludf.DUMMYFUNCTION("""COMPUTED_VALUE"""),1.0)</f>
        <v>1</v>
      </c>
    </row>
    <row r="8073">
      <c r="A8073" s="178" t="str">
        <f>IFERROR(__xludf.DUMMYFUNCTION("""COMPUTED_VALUE"""),"ITBISA-LED-SUPERBRIGHT-5MM-RED")</f>
        <v>ITBISA-LED-SUPERBRIGHT-5MM-RED</v>
      </c>
      <c r="B8073" s="266">
        <f>IFERROR(__xludf.DUMMYFUNCTION("""COMPUTED_VALUE"""),45883.0)</f>
        <v>45883</v>
      </c>
      <c r="C8073" s="266" t="str">
        <f>IFERROR(__xludf.DUMMYFUNCTION("""COMPUTED_VALUE"""),"KYAI KONTONG")</f>
        <v>KYAI KONTONG</v>
      </c>
      <c r="D8073" s="186">
        <f>IFERROR(__xludf.DUMMYFUNCTION("""COMPUTED_VALUE"""),3.0)</f>
        <v>3</v>
      </c>
    </row>
    <row r="8074">
      <c r="A8074" s="178" t="str">
        <f>IFERROR(__xludf.DUMMYFUNCTION("""COMPUTED_VALUE"""),"ITBISA-LED-SUPERBRIGHT-5MM-RED")</f>
        <v>ITBISA-LED-SUPERBRIGHT-5MM-RED</v>
      </c>
      <c r="B8074" s="266">
        <f>IFERROR(__xludf.DUMMYFUNCTION("""COMPUTED_VALUE"""),45887.0)</f>
        <v>45887</v>
      </c>
      <c r="C8074" s="266" t="str">
        <f>IFERROR(__xludf.DUMMYFUNCTION("""COMPUTED_VALUE"""),"KERTASARI CIAMIS")</f>
        <v>KERTASARI CIAMIS</v>
      </c>
      <c r="D8074" s="186">
        <f>IFERROR(__xludf.DUMMYFUNCTION("""COMPUTED_VALUE"""),5.0)</f>
        <v>5</v>
      </c>
    </row>
    <row r="8075">
      <c r="A8075" s="178" t="str">
        <f>IFERROR(__xludf.DUMMYFUNCTION("""COMPUTED_VALUE"""),"ITBISA-LED-SUPERBRIGHT-5MM-RED")</f>
        <v>ITBISA-LED-SUPERBRIGHT-5MM-RED</v>
      </c>
      <c r="B8075" s="266">
        <f>IFERROR(__xludf.DUMMYFUNCTION("""COMPUTED_VALUE"""),45889.0)</f>
        <v>45889</v>
      </c>
      <c r="C8075" s="266" t="str">
        <f>IFERROR(__xludf.DUMMYFUNCTION("""COMPUTED_VALUE"""),"KERTASARI CIAMIS")</f>
        <v>KERTASARI CIAMIS</v>
      </c>
      <c r="D8075" s="186">
        <f>IFERROR(__xludf.DUMMYFUNCTION("""COMPUTED_VALUE"""),100.0)</f>
        <v>100</v>
      </c>
    </row>
    <row r="8076">
      <c r="A8076" s="178" t="str">
        <f>IFERROR(__xludf.DUMMYFUNCTION("""COMPUTED_VALUE"""),"ITBISA-LED-SUPERBRIGHT-5MM-RED")</f>
        <v>ITBISA-LED-SUPERBRIGHT-5MM-RED</v>
      </c>
      <c r="B8076" s="266">
        <f>IFERROR(__xludf.DUMMYFUNCTION("""COMPUTED_VALUE"""),45890.0)</f>
        <v>45890</v>
      </c>
      <c r="C8076" s="266" t="str">
        <f>IFERROR(__xludf.DUMMYFUNCTION("""COMPUTED_VALUE"""),"KYAI KONTONG")</f>
        <v>KYAI KONTONG</v>
      </c>
      <c r="D8076" s="186">
        <f>IFERROR(__xludf.DUMMYFUNCTION("""COMPUTED_VALUE"""),200.0)</f>
        <v>200</v>
      </c>
    </row>
    <row r="8077">
      <c r="A8077" s="178" t="str">
        <f>IFERROR(__xludf.DUMMYFUNCTION("""COMPUTED_VALUE"""),"ITBISA-LED-SUPERBRIGHT-5MM-RED")</f>
        <v>ITBISA-LED-SUPERBRIGHT-5MM-RED</v>
      </c>
      <c r="B8077" s="266">
        <f>IFERROR(__xludf.DUMMYFUNCTION("""COMPUTED_VALUE"""),45891.0)</f>
        <v>45891</v>
      </c>
      <c r="C8077" s="266" t="str">
        <f>IFERROR(__xludf.DUMMYFUNCTION("""COMPUTED_VALUE"""),"KYAI KONTONG")</f>
        <v>KYAI KONTONG</v>
      </c>
      <c r="D8077" s="186">
        <f>IFERROR(__xludf.DUMMYFUNCTION("""COMPUTED_VALUE"""),5.0)</f>
        <v>5</v>
      </c>
    </row>
    <row r="8078">
      <c r="A8078" s="178" t="str">
        <f>IFERROR(__xludf.DUMMYFUNCTION("""COMPUTED_VALUE"""),"ITBISA-LED-SUPERBRIGHT-5MM-RED")</f>
        <v>ITBISA-LED-SUPERBRIGHT-5MM-RED</v>
      </c>
      <c r="B8078" s="266">
        <f>IFERROR(__xludf.DUMMYFUNCTION("""COMPUTED_VALUE"""),45894.0)</f>
        <v>45894</v>
      </c>
      <c r="C8078" s="266" t="str">
        <f>IFERROR(__xludf.DUMMYFUNCTION("""COMPUTED_VALUE"""),"KERTASARI CIAMIS")</f>
        <v>KERTASARI CIAMIS</v>
      </c>
      <c r="D8078" s="186">
        <f>IFERROR(__xludf.DUMMYFUNCTION("""COMPUTED_VALUE"""),24.0)</f>
        <v>24</v>
      </c>
    </row>
    <row r="8079">
      <c r="A8079" s="178" t="str">
        <f>IFERROR(__xludf.DUMMYFUNCTION("""COMPUTED_VALUE"""),"ITBISA-LED-SUPERBRIGHT-5MM-RED")</f>
        <v>ITBISA-LED-SUPERBRIGHT-5MM-RED</v>
      </c>
      <c r="B8079" s="266">
        <f>IFERROR(__xludf.DUMMYFUNCTION("""COMPUTED_VALUE"""),45902.0)</f>
        <v>45902</v>
      </c>
      <c r="C8079" s="266" t="str">
        <f>IFERROR(__xludf.DUMMYFUNCTION("""COMPUTED_VALUE"""),"KERTASARI CIAMIS")</f>
        <v>KERTASARI CIAMIS</v>
      </c>
      <c r="D8079" s="186">
        <f>IFERROR(__xludf.DUMMYFUNCTION("""COMPUTED_VALUE"""),5.0)</f>
        <v>5</v>
      </c>
    </row>
    <row r="8080">
      <c r="A8080" s="178" t="str">
        <f>IFERROR(__xludf.DUMMYFUNCTION("""COMPUTED_VALUE"""),"ITBISA-LED-SUPERBRIGHT-5MM-RED")</f>
        <v>ITBISA-LED-SUPERBRIGHT-5MM-RED</v>
      </c>
      <c r="B8080" s="266">
        <f>IFERROR(__xludf.DUMMYFUNCTION("""COMPUTED_VALUE"""),45906.0)</f>
        <v>45906</v>
      </c>
      <c r="C8080" s="266" t="str">
        <f>IFERROR(__xludf.DUMMYFUNCTION("""COMPUTED_VALUE"""),"KERTASARI CIAMIS")</f>
        <v>KERTASARI CIAMIS</v>
      </c>
      <c r="D8080" s="186">
        <f>IFERROR(__xludf.DUMMYFUNCTION("""COMPUTED_VALUE"""),300.0)</f>
        <v>300</v>
      </c>
    </row>
    <row r="8081">
      <c r="A8081" s="178" t="str">
        <f>IFERROR(__xludf.DUMMYFUNCTION("""COMPUTED_VALUE"""),"ITBISA-LED-SUPERBRIGHT-5MM-RED")</f>
        <v>ITBISA-LED-SUPERBRIGHT-5MM-RED</v>
      </c>
      <c r="B8081" s="266">
        <f>IFERROR(__xludf.DUMMYFUNCTION("""COMPUTED_VALUE"""),45910.0)</f>
        <v>45910</v>
      </c>
      <c r="C8081" s="266" t="str">
        <f>IFERROR(__xludf.DUMMYFUNCTION("""COMPUTED_VALUE"""),"KYAI KONTONG")</f>
        <v>KYAI KONTONG</v>
      </c>
      <c r="D8081" s="186">
        <f>IFERROR(__xludf.DUMMYFUNCTION("""COMPUTED_VALUE"""),10.0)</f>
        <v>10</v>
      </c>
    </row>
    <row r="8082">
      <c r="A8082" s="178" t="str">
        <f>IFERROR(__xludf.DUMMYFUNCTION("""COMPUTED_VALUE"""),"ITBISA-LED-SUPERBRIGHT-5MM-RED")</f>
        <v>ITBISA-LED-SUPERBRIGHT-5MM-RED</v>
      </c>
      <c r="B8082" s="266">
        <f>IFERROR(__xludf.DUMMYFUNCTION("""COMPUTED_VALUE"""),45918.0)</f>
        <v>45918</v>
      </c>
      <c r="C8082" s="266" t="str">
        <f>IFERROR(__xludf.DUMMYFUNCTION("""COMPUTED_VALUE"""),"KYAI KONTONG")</f>
        <v>KYAI KONTONG</v>
      </c>
      <c r="D8082" s="186">
        <f>IFERROR(__xludf.DUMMYFUNCTION("""COMPUTED_VALUE"""),20.0)</f>
        <v>20</v>
      </c>
    </row>
    <row r="8083">
      <c r="A8083" s="178" t="str">
        <f>IFERROR(__xludf.DUMMYFUNCTION("""COMPUTED_VALUE"""),"ITBISA-LED-SUPERBRIGHT-5MM-RED")</f>
        <v>ITBISA-LED-SUPERBRIGHT-5MM-RED</v>
      </c>
      <c r="B8083" s="266">
        <f>IFERROR(__xludf.DUMMYFUNCTION("""COMPUTED_VALUE"""),45923.0)</f>
        <v>45923</v>
      </c>
      <c r="C8083" s="266" t="str">
        <f>IFERROR(__xludf.DUMMYFUNCTION("""COMPUTED_VALUE"""),"KYAI KONTONG")</f>
        <v>KYAI KONTONG</v>
      </c>
      <c r="D8083" s="186">
        <f>IFERROR(__xludf.DUMMYFUNCTION("""COMPUTED_VALUE"""),10.0)</f>
        <v>10</v>
      </c>
    </row>
    <row r="8084">
      <c r="A8084" s="178" t="str">
        <f>IFERROR(__xludf.DUMMYFUNCTION("""COMPUTED_VALUE"""),"ITBISA-LED-SUPERBRIGHT-5MM-RED")</f>
        <v>ITBISA-LED-SUPERBRIGHT-5MM-RED</v>
      </c>
      <c r="B8084" s="266">
        <f>IFERROR(__xludf.DUMMYFUNCTION("""COMPUTED_VALUE"""),45924.0)</f>
        <v>45924</v>
      </c>
      <c r="C8084" s="266" t="str">
        <f>IFERROR(__xludf.DUMMYFUNCTION("""COMPUTED_VALUE"""),"KERTASARI CIAMIS")</f>
        <v>KERTASARI CIAMIS</v>
      </c>
      <c r="D8084" s="186">
        <f>IFERROR(__xludf.DUMMYFUNCTION("""COMPUTED_VALUE"""),50.0)</f>
        <v>50</v>
      </c>
    </row>
    <row r="8085">
      <c r="A8085" s="178" t="str">
        <f>IFERROR(__xludf.DUMMYFUNCTION("""COMPUTED_VALUE"""),"ITBISA-LED-SUPERBRIGHT-5MM-RED")</f>
        <v>ITBISA-LED-SUPERBRIGHT-5MM-RED</v>
      </c>
      <c r="B8085" s="266">
        <f>IFERROR(__xludf.DUMMYFUNCTION("""COMPUTED_VALUE"""),45925.0)</f>
        <v>45925</v>
      </c>
      <c r="C8085" s="266" t="str">
        <f>IFERROR(__xludf.DUMMYFUNCTION("""COMPUTED_VALUE"""),"KERTASARI CIAMIS")</f>
        <v>KERTASARI CIAMIS</v>
      </c>
      <c r="D8085" s="186">
        <f>IFERROR(__xludf.DUMMYFUNCTION("""COMPUTED_VALUE"""),10.0)</f>
        <v>10</v>
      </c>
    </row>
    <row r="8086">
      <c r="A8086" s="178" t="str">
        <f>IFERROR(__xludf.DUMMYFUNCTION("""COMPUTED_VALUE"""),"ITBISA-LED-SUPERBRIGHT-5MM-RED")</f>
        <v>ITBISA-LED-SUPERBRIGHT-5MM-RED</v>
      </c>
      <c r="B8086" s="266">
        <f>IFERROR(__xludf.DUMMYFUNCTION("""COMPUTED_VALUE"""),45931.0)</f>
        <v>45931</v>
      </c>
      <c r="C8086" s="266" t="str">
        <f>IFERROR(__xludf.DUMMYFUNCTION("""COMPUTED_VALUE"""),"KERTASARI CIAMIS")</f>
        <v>KERTASARI CIAMIS</v>
      </c>
      <c r="D8086" s="186">
        <f>IFERROR(__xludf.DUMMYFUNCTION("""COMPUTED_VALUE"""),10.0)</f>
        <v>10</v>
      </c>
    </row>
    <row r="8087">
      <c r="A8087" s="178" t="str">
        <f>IFERROR(__xludf.DUMMYFUNCTION("""COMPUTED_VALUE"""),"ITBISA-LED-SUPERBRIGHT-5MM-RED")</f>
        <v>ITBISA-LED-SUPERBRIGHT-5MM-RED</v>
      </c>
      <c r="B8087" s="266">
        <f>IFERROR(__xludf.DUMMYFUNCTION("""COMPUTED_VALUE"""),45936.0)</f>
        <v>45936</v>
      </c>
      <c r="C8087" s="266" t="str">
        <f>IFERROR(__xludf.DUMMYFUNCTION("""COMPUTED_VALUE"""),"KERTASARI CIAMIS")</f>
        <v>KERTASARI CIAMIS</v>
      </c>
      <c r="D8087" s="186">
        <f>IFERROR(__xludf.DUMMYFUNCTION("""COMPUTED_VALUE"""),5.0)</f>
        <v>5</v>
      </c>
    </row>
    <row r="8088">
      <c r="A8088" s="178" t="str">
        <f>IFERROR(__xludf.DUMMYFUNCTION("""COMPUTED_VALUE"""),"ITBISA-LED-SUPERBRIGHT-5MM-RED")</f>
        <v>ITBISA-LED-SUPERBRIGHT-5MM-RED</v>
      </c>
      <c r="B8088" s="266">
        <f>IFERROR(__xludf.DUMMYFUNCTION("""COMPUTED_VALUE"""),45937.0)</f>
        <v>45937</v>
      </c>
      <c r="C8088" s="266" t="str">
        <f>IFERROR(__xludf.DUMMYFUNCTION("""COMPUTED_VALUE"""),"KYAI KONTONG")</f>
        <v>KYAI KONTONG</v>
      </c>
      <c r="D8088" s="186">
        <f>IFERROR(__xludf.DUMMYFUNCTION("""COMPUTED_VALUE"""),30.0)</f>
        <v>30</v>
      </c>
    </row>
    <row r="8089">
      <c r="A8089" s="178" t="str">
        <f>IFERROR(__xludf.DUMMYFUNCTION("""COMPUTED_VALUE"""),"ITBISA-LED-SUPERBRIGHT-5MM-RED")</f>
        <v>ITBISA-LED-SUPERBRIGHT-5MM-RED</v>
      </c>
      <c r="B8089" s="266">
        <f>IFERROR(__xludf.DUMMYFUNCTION("""COMPUTED_VALUE"""),45940.0)</f>
        <v>45940</v>
      </c>
      <c r="C8089" s="266" t="str">
        <f>IFERROR(__xludf.DUMMYFUNCTION("""COMPUTED_VALUE"""),"KERTASARI CIAMIS")</f>
        <v>KERTASARI CIAMIS</v>
      </c>
      <c r="D8089" s="186">
        <f>IFERROR(__xludf.DUMMYFUNCTION("""COMPUTED_VALUE"""),6.0)</f>
        <v>6</v>
      </c>
    </row>
    <row r="8090">
      <c r="A8090" s="178" t="str">
        <f>IFERROR(__xludf.DUMMYFUNCTION("""COMPUTED_VALUE"""),"ITBISA-LED-SUPERBRIGHT-5MM-RED")</f>
        <v>ITBISA-LED-SUPERBRIGHT-5MM-RED</v>
      </c>
      <c r="B8090" s="266">
        <f>IFERROR(__xludf.DUMMYFUNCTION("""COMPUTED_VALUE"""),45940.0)</f>
        <v>45940</v>
      </c>
      <c r="C8090" s="266" t="str">
        <f>IFERROR(__xludf.DUMMYFUNCTION("""COMPUTED_VALUE"""),"KYAI KONTONG")</f>
        <v>KYAI KONTONG</v>
      </c>
      <c r="D8090" s="186">
        <f>IFERROR(__xludf.DUMMYFUNCTION("""COMPUTED_VALUE"""),20.0)</f>
        <v>20</v>
      </c>
    </row>
    <row r="8091">
      <c r="A8091" s="178" t="str">
        <f>IFERROR(__xludf.DUMMYFUNCTION("""COMPUTED_VALUE"""),"ITBISA-LED-SUPERBRIGHT-5MM-RED")</f>
        <v>ITBISA-LED-SUPERBRIGHT-5MM-RED</v>
      </c>
      <c r="B8091" s="266">
        <f>IFERROR(__xludf.DUMMYFUNCTION("""COMPUTED_VALUE"""),45943.0)</f>
        <v>45943</v>
      </c>
      <c r="C8091" s="266" t="str">
        <f>IFERROR(__xludf.DUMMYFUNCTION("""COMPUTED_VALUE"""),"KYAI KONTONG")</f>
        <v>KYAI KONTONG</v>
      </c>
      <c r="D8091" s="186">
        <f>IFERROR(__xludf.DUMMYFUNCTION("""COMPUTED_VALUE"""),5.0)</f>
        <v>5</v>
      </c>
    </row>
    <row r="8092">
      <c r="A8092" s="178" t="str">
        <f>IFERROR(__xludf.DUMMYFUNCTION("""COMPUTED_VALUE"""),"ITBISA-LED-SUPERBRIGHT-5MM-RED")</f>
        <v>ITBISA-LED-SUPERBRIGHT-5MM-RED</v>
      </c>
      <c r="B8092" s="266">
        <f>IFERROR(__xludf.DUMMYFUNCTION("""COMPUTED_VALUE"""),45944.0)</f>
        <v>45944</v>
      </c>
      <c r="C8092" s="266" t="str">
        <f>IFERROR(__xludf.DUMMYFUNCTION("""COMPUTED_VALUE"""),"KERTASARI CIAMIS")</f>
        <v>KERTASARI CIAMIS</v>
      </c>
      <c r="D8092" s="186">
        <f>IFERROR(__xludf.DUMMYFUNCTION("""COMPUTED_VALUE"""),25.0)</f>
        <v>25</v>
      </c>
    </row>
    <row r="8093">
      <c r="A8093" s="178" t="str">
        <f>IFERROR(__xludf.DUMMYFUNCTION("""COMPUTED_VALUE"""),"ITBISA-LED-SUPERBRIGHT-5MM-RED")</f>
        <v>ITBISA-LED-SUPERBRIGHT-5MM-RED</v>
      </c>
      <c r="B8093" s="266">
        <f>IFERROR(__xludf.DUMMYFUNCTION("""COMPUTED_VALUE"""),45945.0)</f>
        <v>45945</v>
      </c>
      <c r="C8093" s="266" t="str">
        <f>IFERROR(__xludf.DUMMYFUNCTION("""COMPUTED_VALUE"""),"KYAI KONTONG")</f>
        <v>KYAI KONTONG</v>
      </c>
      <c r="D8093" s="186">
        <f>IFERROR(__xludf.DUMMYFUNCTION("""COMPUTED_VALUE"""),4.0)</f>
        <v>4</v>
      </c>
    </row>
    <row r="8094">
      <c r="A8094" s="178" t="str">
        <f>IFERROR(__xludf.DUMMYFUNCTION("""COMPUTED_VALUE"""),"ITBISA-LED-SUPERBRIGHT-5MM-RED")</f>
        <v>ITBISA-LED-SUPERBRIGHT-5MM-RED</v>
      </c>
      <c r="B8094" s="266">
        <f>IFERROR(__xludf.DUMMYFUNCTION("""COMPUTED_VALUE"""),45946.0)</f>
        <v>45946</v>
      </c>
      <c r="C8094" s="266" t="str">
        <f>IFERROR(__xludf.DUMMYFUNCTION("""COMPUTED_VALUE"""),"KYAI KONTONG")</f>
        <v>KYAI KONTONG</v>
      </c>
      <c r="D8094" s="186">
        <f>IFERROR(__xludf.DUMMYFUNCTION("""COMPUTED_VALUE"""),5.0)</f>
        <v>5</v>
      </c>
    </row>
    <row r="8095">
      <c r="A8095" s="178" t="str">
        <f>IFERROR(__xludf.DUMMYFUNCTION("""COMPUTED_VALUE"""),"ITBISA-LED-SUPERBRIGHT-5MM-RED")</f>
        <v>ITBISA-LED-SUPERBRIGHT-5MM-RED</v>
      </c>
      <c r="B8095" s="266">
        <f>IFERROR(__xludf.DUMMYFUNCTION("""COMPUTED_VALUE"""),45947.0)</f>
        <v>45947</v>
      </c>
      <c r="C8095" s="266" t="str">
        <f>IFERROR(__xludf.DUMMYFUNCTION("""COMPUTED_VALUE"""),"KYAI KONTONG")</f>
        <v>KYAI KONTONG</v>
      </c>
      <c r="D8095" s="186">
        <f>IFERROR(__xludf.DUMMYFUNCTION("""COMPUTED_VALUE"""),9.0)</f>
        <v>9</v>
      </c>
    </row>
    <row r="8096">
      <c r="A8096" s="178" t="str">
        <f>IFERROR(__xludf.DUMMYFUNCTION("""COMPUTED_VALUE"""),"ITBISA-LED-SUPERBRIGHT-5MM-RED")</f>
        <v>ITBISA-LED-SUPERBRIGHT-5MM-RED</v>
      </c>
      <c r="B8096" s="266">
        <f>IFERROR(__xludf.DUMMYFUNCTION("""COMPUTED_VALUE"""),45948.0)</f>
        <v>45948</v>
      </c>
      <c r="C8096" s="266" t="str">
        <f>IFERROR(__xludf.DUMMYFUNCTION("""COMPUTED_VALUE"""),"KYAI KONTONG")</f>
        <v>KYAI KONTONG</v>
      </c>
      <c r="D8096" s="186">
        <f>IFERROR(__xludf.DUMMYFUNCTION("""COMPUTED_VALUE"""),1.0)</f>
        <v>1</v>
      </c>
    </row>
    <row r="8097">
      <c r="A8097" s="178" t="str">
        <f>IFERROR(__xludf.DUMMYFUNCTION("""COMPUTED_VALUE"""),"ITBISA-LED-SUPERBRIGHT-5MM-RED")</f>
        <v>ITBISA-LED-SUPERBRIGHT-5MM-RED</v>
      </c>
      <c r="B8097" s="266">
        <f>IFERROR(__xludf.DUMMYFUNCTION("""COMPUTED_VALUE"""),45949.0)</f>
        <v>45949</v>
      </c>
      <c r="C8097" s="266" t="str">
        <f>IFERROR(__xludf.DUMMYFUNCTION("""COMPUTED_VALUE"""),"KYAI KONTONG")</f>
        <v>KYAI KONTONG</v>
      </c>
      <c r="D8097" s="186">
        <f>IFERROR(__xludf.DUMMYFUNCTION("""COMPUTED_VALUE"""),2.0)</f>
        <v>2</v>
      </c>
    </row>
    <row r="8098">
      <c r="A8098" s="178" t="str">
        <f>IFERROR(__xludf.DUMMYFUNCTION("""COMPUTED_VALUE"""),"ITBISA-LED-SUPERBRIGHT-5MM-RED")</f>
        <v>ITBISA-LED-SUPERBRIGHT-5MM-RED</v>
      </c>
      <c r="B8098" s="266">
        <f>IFERROR(__xludf.DUMMYFUNCTION("""COMPUTED_VALUE"""),45950.0)</f>
        <v>45950</v>
      </c>
      <c r="C8098" s="266" t="str">
        <f>IFERROR(__xludf.DUMMYFUNCTION("""COMPUTED_VALUE"""),"KYAI KONTONG")</f>
        <v>KYAI KONTONG</v>
      </c>
      <c r="D8098" s="186">
        <f>IFERROR(__xludf.DUMMYFUNCTION("""COMPUTED_VALUE"""),5.0)</f>
        <v>5</v>
      </c>
    </row>
    <row r="8099">
      <c r="A8099" s="178" t="str">
        <f>IFERROR(__xludf.DUMMYFUNCTION("""COMPUTED_VALUE"""),"ITBISA-LED-SUPERBRIGHT-5MM-RED")</f>
        <v>ITBISA-LED-SUPERBRIGHT-5MM-RED</v>
      </c>
      <c r="B8099" s="266">
        <f>IFERROR(__xludf.DUMMYFUNCTION("""COMPUTED_VALUE"""),45952.0)</f>
        <v>45952</v>
      </c>
      <c r="C8099" s="266" t="str">
        <f>IFERROR(__xludf.DUMMYFUNCTION("""COMPUTED_VALUE"""),"KYAI KONTONG")</f>
        <v>KYAI KONTONG</v>
      </c>
      <c r="D8099" s="186">
        <f>IFERROR(__xludf.DUMMYFUNCTION("""COMPUTED_VALUE"""),50.0)</f>
        <v>50</v>
      </c>
    </row>
    <row r="8100">
      <c r="A8100" s="178" t="str">
        <f>IFERROR(__xludf.DUMMYFUNCTION("""COMPUTED_VALUE"""),"ITBISA-LED-SUPERBRIGHT-5MM-RED")</f>
        <v>ITBISA-LED-SUPERBRIGHT-5MM-RED</v>
      </c>
      <c r="B8100" s="266">
        <f>IFERROR(__xludf.DUMMYFUNCTION("""COMPUTED_VALUE"""),45953.0)</f>
        <v>45953</v>
      </c>
      <c r="C8100" s="266" t="str">
        <f>IFERROR(__xludf.DUMMYFUNCTION("""COMPUTED_VALUE"""),"KERTASARI CIAMIS")</f>
        <v>KERTASARI CIAMIS</v>
      </c>
      <c r="D8100" s="186">
        <f>IFERROR(__xludf.DUMMYFUNCTION("""COMPUTED_VALUE"""),2.0)</f>
        <v>2</v>
      </c>
    </row>
    <row r="8101">
      <c r="A8101" s="178" t="str">
        <f>IFERROR(__xludf.DUMMYFUNCTION("""COMPUTED_VALUE"""),"ITBISA-LED-SUPERBRIGHT-5MM-RED")</f>
        <v>ITBISA-LED-SUPERBRIGHT-5MM-RED</v>
      </c>
      <c r="B8101" s="266">
        <f>IFERROR(__xludf.DUMMYFUNCTION("""COMPUTED_VALUE"""),45953.0)</f>
        <v>45953</v>
      </c>
      <c r="C8101" s="266" t="str">
        <f>IFERROR(__xludf.DUMMYFUNCTION("""COMPUTED_VALUE"""),"KYAI KONTONG")</f>
        <v>KYAI KONTONG</v>
      </c>
      <c r="D8101" s="186">
        <f>IFERROR(__xludf.DUMMYFUNCTION("""COMPUTED_VALUE"""),5.0)</f>
        <v>5</v>
      </c>
    </row>
    <row r="8102">
      <c r="A8102" s="178" t="str">
        <f>IFERROR(__xludf.DUMMYFUNCTION("""COMPUTED_VALUE"""),"ITBISA-LED-SUPERBRIGHT-5MM-RED")</f>
        <v>ITBISA-LED-SUPERBRIGHT-5MM-RED</v>
      </c>
      <c r="B8102" s="266">
        <f>IFERROR(__xludf.DUMMYFUNCTION("""COMPUTED_VALUE"""),45953.0)</f>
        <v>45953</v>
      </c>
      <c r="C8102" s="266" t="str">
        <f>IFERROR(__xludf.DUMMYFUNCTION("""COMPUTED_VALUE"""),"KYAI KONTONG")</f>
        <v>KYAI KONTONG</v>
      </c>
      <c r="D8102" s="186">
        <f>IFERROR(__xludf.DUMMYFUNCTION("""COMPUTED_VALUE"""),5.0)</f>
        <v>5</v>
      </c>
    </row>
    <row r="8103">
      <c r="A8103" s="178" t="str">
        <f>IFERROR(__xludf.DUMMYFUNCTION("""COMPUTED_VALUE"""),"ITBISA-LED-SUPERBRIGHT-5MM-RED")</f>
        <v>ITBISA-LED-SUPERBRIGHT-5MM-RED</v>
      </c>
      <c r="B8103" s="266">
        <f>IFERROR(__xludf.DUMMYFUNCTION("""COMPUTED_VALUE"""),45954.0)</f>
        <v>45954</v>
      </c>
      <c r="C8103" s="266" t="str">
        <f>IFERROR(__xludf.DUMMYFUNCTION("""COMPUTED_VALUE"""),"KYAI KONTONG")</f>
        <v>KYAI KONTONG</v>
      </c>
      <c r="D8103" s="186">
        <f>IFERROR(__xludf.DUMMYFUNCTION("""COMPUTED_VALUE"""),3.0)</f>
        <v>3</v>
      </c>
    </row>
    <row r="8104">
      <c r="A8104" s="178" t="str">
        <f>IFERROR(__xludf.DUMMYFUNCTION("""COMPUTED_VALUE"""),"ITBISA-LED-SUPERBRIGHT-5MM-RED")</f>
        <v>ITBISA-LED-SUPERBRIGHT-5MM-RED</v>
      </c>
      <c r="B8104" s="266">
        <f>IFERROR(__xludf.DUMMYFUNCTION("""COMPUTED_VALUE"""),45955.0)</f>
        <v>45955</v>
      </c>
      <c r="C8104" s="266" t="str">
        <f>IFERROR(__xludf.DUMMYFUNCTION("""COMPUTED_VALUE"""),"KYAI KONTONG")</f>
        <v>KYAI KONTONG</v>
      </c>
      <c r="D8104" s="186">
        <f>IFERROR(__xludf.DUMMYFUNCTION("""COMPUTED_VALUE"""),4.0)</f>
        <v>4</v>
      </c>
    </row>
    <row r="8105">
      <c r="A8105" s="178" t="str">
        <f>IFERROR(__xludf.DUMMYFUNCTION("""COMPUTED_VALUE"""),"ITBISA-LED-SUPERBRIGHT-5MM-RED")</f>
        <v>ITBISA-LED-SUPERBRIGHT-5MM-RED</v>
      </c>
      <c r="B8105" s="266">
        <f>IFERROR(__xludf.DUMMYFUNCTION("""COMPUTED_VALUE"""),45957.0)</f>
        <v>45957</v>
      </c>
      <c r="C8105" s="266" t="str">
        <f>IFERROR(__xludf.DUMMYFUNCTION("""COMPUTED_VALUE"""),"KERTASARI CIAMIS")</f>
        <v>KERTASARI CIAMIS</v>
      </c>
      <c r="D8105" s="186">
        <f>IFERROR(__xludf.DUMMYFUNCTION("""COMPUTED_VALUE"""),20.0)</f>
        <v>20</v>
      </c>
    </row>
    <row r="8106">
      <c r="A8106" s="178" t="str">
        <f>IFERROR(__xludf.DUMMYFUNCTION("""COMPUTED_VALUE"""),"ITBISA-LED-SUPERBRIGHT-5MM-RED")</f>
        <v>ITBISA-LED-SUPERBRIGHT-5MM-RED</v>
      </c>
      <c r="B8106" s="266">
        <f>IFERROR(__xludf.DUMMYFUNCTION("""COMPUTED_VALUE"""),45958.0)</f>
        <v>45958</v>
      </c>
      <c r="C8106" s="266" t="str">
        <f>IFERROR(__xludf.DUMMYFUNCTION("""COMPUTED_VALUE"""),"KYAI KONTONG")</f>
        <v>KYAI KONTONG</v>
      </c>
      <c r="D8106" s="186">
        <f>IFERROR(__xludf.DUMMYFUNCTION("""COMPUTED_VALUE"""),5.0)</f>
        <v>5</v>
      </c>
    </row>
    <row r="8107">
      <c r="A8107" s="178" t="str">
        <f>IFERROR(__xludf.DUMMYFUNCTION("""COMPUTED_VALUE"""),"ITBISA-LED-SUPERBRIGHT-5MM-RED")</f>
        <v>ITBISA-LED-SUPERBRIGHT-5MM-RED</v>
      </c>
      <c r="B8107" s="266">
        <f>IFERROR(__xludf.DUMMYFUNCTION("""COMPUTED_VALUE"""),45958.0)</f>
        <v>45958</v>
      </c>
      <c r="C8107" s="266" t="str">
        <f>IFERROR(__xludf.DUMMYFUNCTION("""COMPUTED_VALUE"""),"KYAI KONTONG")</f>
        <v>KYAI KONTONG</v>
      </c>
      <c r="D8107" s="186">
        <f>IFERROR(__xludf.DUMMYFUNCTION("""COMPUTED_VALUE"""),10.0)</f>
        <v>10</v>
      </c>
    </row>
    <row r="8108">
      <c r="A8108" s="178" t="str">
        <f>IFERROR(__xludf.DUMMYFUNCTION("""COMPUTED_VALUE"""),"ITBISA-LED-SUPERBRIGHT-5MM-RED")</f>
        <v>ITBISA-LED-SUPERBRIGHT-5MM-RED</v>
      </c>
      <c r="B8108" s="266">
        <f>IFERROR(__xludf.DUMMYFUNCTION("""COMPUTED_VALUE"""),45959.0)</f>
        <v>45959</v>
      </c>
      <c r="C8108" s="266" t="str">
        <f>IFERROR(__xludf.DUMMYFUNCTION("""COMPUTED_VALUE"""),"KERTASARI CIAMIS")</f>
        <v>KERTASARI CIAMIS</v>
      </c>
      <c r="D8108" s="186">
        <f>IFERROR(__xludf.DUMMYFUNCTION("""COMPUTED_VALUE"""),3.0)</f>
        <v>3</v>
      </c>
    </row>
    <row r="8109">
      <c r="A8109" s="178" t="str">
        <f>IFERROR(__xludf.DUMMYFUNCTION("""COMPUTED_VALUE"""),"ITBISA-LED-SUPERBRIGHT-5MM-RED")</f>
        <v>ITBISA-LED-SUPERBRIGHT-5MM-RED</v>
      </c>
      <c r="B8109" s="266">
        <f>IFERROR(__xludf.DUMMYFUNCTION("""COMPUTED_VALUE"""),45959.0)</f>
        <v>45959</v>
      </c>
      <c r="C8109" s="266" t="str">
        <f>IFERROR(__xludf.DUMMYFUNCTION("""COMPUTED_VALUE"""),"KYAI KONTONG")</f>
        <v>KYAI KONTONG</v>
      </c>
      <c r="D8109" s="186">
        <f>IFERROR(__xludf.DUMMYFUNCTION("""COMPUTED_VALUE"""),2.0)</f>
        <v>2</v>
      </c>
    </row>
    <row r="8110">
      <c r="A8110" s="178" t="str">
        <f>IFERROR(__xludf.DUMMYFUNCTION("""COMPUTED_VALUE"""),"ITBISA-LED-SUPERBRIGHT-5MM-RED")</f>
        <v>ITBISA-LED-SUPERBRIGHT-5MM-RED</v>
      </c>
      <c r="B8110" s="266">
        <f>IFERROR(__xludf.DUMMYFUNCTION("""COMPUTED_VALUE"""),45959.0)</f>
        <v>45959</v>
      </c>
      <c r="C8110" s="266" t="str">
        <f>IFERROR(__xludf.DUMMYFUNCTION("""COMPUTED_VALUE"""),"KYAI KONTONG")</f>
        <v>KYAI KONTONG</v>
      </c>
      <c r="D8110" s="186">
        <f>IFERROR(__xludf.DUMMYFUNCTION("""COMPUTED_VALUE"""),5.0)</f>
        <v>5</v>
      </c>
    </row>
    <row r="8111">
      <c r="A8111" s="178" t="str">
        <f>IFERROR(__xludf.DUMMYFUNCTION("""COMPUTED_VALUE"""),"ITBISA-LED-SUPERBRIGHT-5MM-RED")</f>
        <v>ITBISA-LED-SUPERBRIGHT-5MM-RED</v>
      </c>
      <c r="B8111" s="266">
        <f>IFERROR(__xludf.DUMMYFUNCTION("""COMPUTED_VALUE"""),45960.0)</f>
        <v>45960</v>
      </c>
      <c r="C8111" s="266" t="str">
        <f>IFERROR(__xludf.DUMMYFUNCTION("""COMPUTED_VALUE"""),"KYAI KONTONG")</f>
        <v>KYAI KONTONG</v>
      </c>
      <c r="D8111" s="186">
        <f>IFERROR(__xludf.DUMMYFUNCTION("""COMPUTED_VALUE"""),1.0)</f>
        <v>1</v>
      </c>
    </row>
    <row r="8112">
      <c r="A8112" s="178" t="str">
        <f>IFERROR(__xludf.DUMMYFUNCTION("""COMPUTED_VALUE"""),"ITBISA-LED-SUPERBRIGHT-5MM-RED")</f>
        <v>ITBISA-LED-SUPERBRIGHT-5MM-RED</v>
      </c>
      <c r="B8112" s="266">
        <f>IFERROR(__xludf.DUMMYFUNCTION("""COMPUTED_VALUE"""),45960.0)</f>
        <v>45960</v>
      </c>
      <c r="C8112" s="266" t="str">
        <f>IFERROR(__xludf.DUMMYFUNCTION("""COMPUTED_VALUE"""),"KYAI KONTONG")</f>
        <v>KYAI KONTONG</v>
      </c>
      <c r="D8112" s="186">
        <f>IFERROR(__xludf.DUMMYFUNCTION("""COMPUTED_VALUE"""),2.0)</f>
        <v>2</v>
      </c>
    </row>
    <row r="8113">
      <c r="A8113" s="178" t="str">
        <f>IFERROR(__xludf.DUMMYFUNCTION("""COMPUTED_VALUE"""),"ITBISA-LED-SUPERBRIGHT-5MM-RED")</f>
        <v>ITBISA-LED-SUPERBRIGHT-5MM-RED</v>
      </c>
      <c r="B8113" s="266">
        <f>IFERROR(__xludf.DUMMYFUNCTION("""COMPUTED_VALUE"""),45962.0)</f>
        <v>45962</v>
      </c>
      <c r="C8113" s="266" t="str">
        <f>IFERROR(__xludf.DUMMYFUNCTION("""COMPUTED_VALUE"""),"KYAI KONTONG")</f>
        <v>KYAI KONTONG</v>
      </c>
      <c r="D8113" s="186">
        <f>IFERROR(__xludf.DUMMYFUNCTION("""COMPUTED_VALUE"""),1.0)</f>
        <v>1</v>
      </c>
    </row>
    <row r="8114">
      <c r="A8114" s="178" t="str">
        <f>IFERROR(__xludf.DUMMYFUNCTION("""COMPUTED_VALUE"""),"ITBISA-LED-SUPERBRIGHT-5MM-RED")</f>
        <v>ITBISA-LED-SUPERBRIGHT-5MM-RED</v>
      </c>
      <c r="B8114" s="266">
        <f>IFERROR(__xludf.DUMMYFUNCTION("""COMPUTED_VALUE"""),45962.0)</f>
        <v>45962</v>
      </c>
      <c r="C8114" s="266" t="str">
        <f>IFERROR(__xludf.DUMMYFUNCTION("""COMPUTED_VALUE"""),"KYAI KONTONG")</f>
        <v>KYAI KONTONG</v>
      </c>
      <c r="D8114" s="186">
        <f>IFERROR(__xludf.DUMMYFUNCTION("""COMPUTED_VALUE"""),5.0)</f>
        <v>5</v>
      </c>
    </row>
    <row r="8115">
      <c r="A8115" s="178" t="str">
        <f>IFERROR(__xludf.DUMMYFUNCTION("""COMPUTED_VALUE"""),"ITBISA-LED-SUPERBRIGHT-5MM-RED")</f>
        <v>ITBISA-LED-SUPERBRIGHT-5MM-RED</v>
      </c>
      <c r="B8115" s="266">
        <f>IFERROR(__xludf.DUMMYFUNCTION("""COMPUTED_VALUE"""),45964.0)</f>
        <v>45964</v>
      </c>
      <c r="C8115" s="266" t="str">
        <f>IFERROR(__xludf.DUMMYFUNCTION("""COMPUTED_VALUE"""),"KERTASARI CIAMIS")</f>
        <v>KERTASARI CIAMIS</v>
      </c>
      <c r="D8115" s="186">
        <f>IFERROR(__xludf.DUMMYFUNCTION("""COMPUTED_VALUE"""),45.0)</f>
        <v>45</v>
      </c>
    </row>
    <row r="8116">
      <c r="A8116" s="178" t="str">
        <f>IFERROR(__xludf.DUMMYFUNCTION("""COMPUTED_VALUE"""),"ITBISA-LED-SUPERBRIGHT-5MM-RED")</f>
        <v>ITBISA-LED-SUPERBRIGHT-5MM-RED</v>
      </c>
      <c r="B8116" s="266">
        <f>IFERROR(__xludf.DUMMYFUNCTION("""COMPUTED_VALUE"""),45964.0)</f>
        <v>45964</v>
      </c>
      <c r="C8116" s="266" t="str">
        <f>IFERROR(__xludf.DUMMYFUNCTION("""COMPUTED_VALUE"""),"KYAI KONTONG")</f>
        <v>KYAI KONTONG</v>
      </c>
      <c r="D8116" s="186">
        <f>IFERROR(__xludf.DUMMYFUNCTION("""COMPUTED_VALUE"""),6.0)</f>
        <v>6</v>
      </c>
    </row>
    <row r="8117">
      <c r="A8117" s="178" t="str">
        <f>IFERROR(__xludf.DUMMYFUNCTION("""COMPUTED_VALUE"""),"ITBISA-LED-SUPERBRIGHT-5MM-RED")</f>
        <v>ITBISA-LED-SUPERBRIGHT-5MM-RED</v>
      </c>
      <c r="B8117" s="266">
        <f>IFERROR(__xludf.DUMMYFUNCTION("""COMPUTED_VALUE"""),45966.0)</f>
        <v>45966</v>
      </c>
      <c r="C8117" s="266" t="str">
        <f>IFERROR(__xludf.DUMMYFUNCTION("""COMPUTED_VALUE"""),"KYAI KONTONG")</f>
        <v>KYAI KONTONG</v>
      </c>
      <c r="D8117" s="186">
        <f>IFERROR(__xludf.DUMMYFUNCTION("""COMPUTED_VALUE"""),5.0)</f>
        <v>5</v>
      </c>
    </row>
    <row r="8118">
      <c r="A8118" s="178" t="str">
        <f>IFERROR(__xludf.DUMMYFUNCTION("""COMPUTED_VALUE"""),"ITBISA-LED-SUPERBRIGHT-5MM-RED")</f>
        <v>ITBISA-LED-SUPERBRIGHT-5MM-RED</v>
      </c>
      <c r="B8118" s="266">
        <f>IFERROR(__xludf.DUMMYFUNCTION("""COMPUTED_VALUE"""),45970.0)</f>
        <v>45970</v>
      </c>
      <c r="C8118" s="266" t="str">
        <f>IFERROR(__xludf.DUMMYFUNCTION("""COMPUTED_VALUE"""),"KYAI KONTONG")</f>
        <v>KYAI KONTONG</v>
      </c>
      <c r="D8118" s="186">
        <f>IFERROR(__xludf.DUMMYFUNCTION("""COMPUTED_VALUE"""),5.0)</f>
        <v>5</v>
      </c>
    </row>
    <row r="8119">
      <c r="A8119" s="178" t="str">
        <f>IFERROR(__xludf.DUMMYFUNCTION("""COMPUTED_VALUE"""),"ITBISA-LED-SUPERBRIGHT-5MM-RED")</f>
        <v>ITBISA-LED-SUPERBRIGHT-5MM-RED</v>
      </c>
      <c r="B8119" s="266">
        <f>IFERROR(__xludf.DUMMYFUNCTION("""COMPUTED_VALUE"""),45973.0)</f>
        <v>45973</v>
      </c>
      <c r="C8119" s="266" t="str">
        <f>IFERROR(__xludf.DUMMYFUNCTION("""COMPUTED_VALUE"""),"KERTASARI CIAMIS")</f>
        <v>KERTASARI CIAMIS</v>
      </c>
      <c r="D8119" s="186">
        <f>IFERROR(__xludf.DUMMYFUNCTION("""COMPUTED_VALUE"""),2.0)</f>
        <v>2</v>
      </c>
    </row>
    <row r="8120">
      <c r="A8120" s="178" t="str">
        <f>IFERROR(__xludf.DUMMYFUNCTION("""COMPUTED_VALUE"""),"ITBISA-LED-SUPERBRIGHT-5MM-RED")</f>
        <v>ITBISA-LED-SUPERBRIGHT-5MM-RED</v>
      </c>
      <c r="B8120" s="266">
        <f>IFERROR(__xludf.DUMMYFUNCTION("""COMPUTED_VALUE"""),45979.0)</f>
        <v>45979</v>
      </c>
      <c r="C8120" s="266" t="str">
        <f>IFERROR(__xludf.DUMMYFUNCTION("""COMPUTED_VALUE"""),"KERTASARI CIAMIS")</f>
        <v>KERTASARI CIAMIS</v>
      </c>
      <c r="D8120" s="186">
        <f>IFERROR(__xludf.DUMMYFUNCTION("""COMPUTED_VALUE"""),6.0)</f>
        <v>6</v>
      </c>
    </row>
    <row r="8121">
      <c r="A8121" s="178" t="str">
        <f>IFERROR(__xludf.DUMMYFUNCTION("""COMPUTED_VALUE"""),"ITBISA-LED-SUPERBRIGHT-5MM-RED")</f>
        <v>ITBISA-LED-SUPERBRIGHT-5MM-RED</v>
      </c>
      <c r="B8121" s="266">
        <f>IFERROR(__xludf.DUMMYFUNCTION("""COMPUTED_VALUE"""),45991.0)</f>
        <v>45991</v>
      </c>
      <c r="C8121" s="266" t="str">
        <f>IFERROR(__xludf.DUMMYFUNCTION("""COMPUTED_VALUE"""),"KERTASARI CIAMIS")</f>
        <v>KERTASARI CIAMIS</v>
      </c>
      <c r="D8121" s="186">
        <f>IFERROR(__xludf.DUMMYFUNCTION("""COMPUTED_VALUE"""),20.0)</f>
        <v>20</v>
      </c>
    </row>
    <row r="8122">
      <c r="A8122" s="178" t="str">
        <f>IFERROR(__xludf.DUMMYFUNCTION("""COMPUTED_VALUE"""),"ITBISA-LED-SUPERBRIGHT-5MM-RED")</f>
        <v>ITBISA-LED-SUPERBRIGHT-5MM-RED</v>
      </c>
      <c r="B8122" s="266">
        <f>IFERROR(__xludf.DUMMYFUNCTION("""COMPUTED_VALUE"""),45994.0)</f>
        <v>45994</v>
      </c>
      <c r="C8122" s="266" t="str">
        <f>IFERROR(__xludf.DUMMYFUNCTION("""COMPUTED_VALUE"""),"KERTASARI CIAMIS")</f>
        <v>KERTASARI CIAMIS</v>
      </c>
      <c r="D8122" s="186">
        <f>IFERROR(__xludf.DUMMYFUNCTION("""COMPUTED_VALUE"""),10.0)</f>
        <v>10</v>
      </c>
    </row>
    <row r="8123">
      <c r="A8123" s="178" t="str">
        <f>IFERROR(__xludf.DUMMYFUNCTION("""COMPUTED_VALUE"""),"ITBISA-LED-SUPERBRIGHT-5MM-RED")</f>
        <v>ITBISA-LED-SUPERBRIGHT-5MM-RED</v>
      </c>
      <c r="B8123" s="266">
        <f>IFERROR(__xludf.DUMMYFUNCTION("""COMPUTED_VALUE"""),45994.0)</f>
        <v>45994</v>
      </c>
      <c r="C8123" s="266" t="str">
        <f>IFERROR(__xludf.DUMMYFUNCTION("""COMPUTED_VALUE"""),"KYAI KONTONG")</f>
        <v>KYAI KONTONG</v>
      </c>
      <c r="D8123" s="186">
        <f>IFERROR(__xludf.DUMMYFUNCTION("""COMPUTED_VALUE"""),20.0)</f>
        <v>20</v>
      </c>
    </row>
    <row r="8124">
      <c r="A8124" s="178" t="str">
        <f>IFERROR(__xludf.DUMMYFUNCTION("""COMPUTED_VALUE"""),"ITBISA-LED-SUPERBRIGHT-5MM-RED")</f>
        <v>ITBISA-LED-SUPERBRIGHT-5MM-RED</v>
      </c>
      <c r="B8124" s="266">
        <f>IFERROR(__xludf.DUMMYFUNCTION("""COMPUTED_VALUE"""),45996.0)</f>
        <v>45996</v>
      </c>
      <c r="C8124" s="266" t="str">
        <f>IFERROR(__xludf.DUMMYFUNCTION("""COMPUTED_VALUE"""),"KYAI KONTONG")</f>
        <v>KYAI KONTONG</v>
      </c>
      <c r="D8124" s="186">
        <f>IFERROR(__xludf.DUMMYFUNCTION("""COMPUTED_VALUE"""),3.0)</f>
        <v>3</v>
      </c>
    </row>
    <row r="8125">
      <c r="A8125" s="178" t="str">
        <f>IFERROR(__xludf.DUMMYFUNCTION("""COMPUTED_VALUE"""),"ITBISA-LED-SUPERBRIGHT-5MM-RED")</f>
        <v>ITBISA-LED-SUPERBRIGHT-5MM-RED</v>
      </c>
      <c r="B8125" s="266">
        <f>IFERROR(__xludf.DUMMYFUNCTION("""COMPUTED_VALUE"""),46003.0)</f>
        <v>46003</v>
      </c>
      <c r="C8125" s="266" t="str">
        <f>IFERROR(__xludf.DUMMYFUNCTION("""COMPUTED_VALUE"""),"KYAI KONTONG")</f>
        <v>KYAI KONTONG</v>
      </c>
      <c r="D8125" s="186">
        <f>IFERROR(__xludf.DUMMYFUNCTION("""COMPUTED_VALUE"""),10.0)</f>
        <v>10</v>
      </c>
    </row>
    <row r="8126">
      <c r="A8126" s="178" t="str">
        <f>IFERROR(__xludf.DUMMYFUNCTION("""COMPUTED_VALUE"""),"ITBISA-LED-SUPERBRIGHT-5MM-RED")</f>
        <v>ITBISA-LED-SUPERBRIGHT-5MM-RED</v>
      </c>
      <c r="B8126" s="266">
        <f>IFERROR(__xludf.DUMMYFUNCTION("""COMPUTED_VALUE"""),46005.0)</f>
        <v>46005</v>
      </c>
      <c r="C8126" s="266" t="str">
        <f>IFERROR(__xludf.DUMMYFUNCTION("""COMPUTED_VALUE"""),"KYAI KONTONG")</f>
        <v>KYAI KONTONG</v>
      </c>
      <c r="D8126" s="186">
        <f>IFERROR(__xludf.DUMMYFUNCTION("""COMPUTED_VALUE"""),1.0)</f>
        <v>1</v>
      </c>
    </row>
    <row r="8127">
      <c r="A8127" s="178" t="str">
        <f>IFERROR(__xludf.DUMMYFUNCTION("""COMPUTED_VALUE"""),"ITBISA-LED-SUPERBRIGHT-5MM-RED")</f>
        <v>ITBISA-LED-SUPERBRIGHT-5MM-RED</v>
      </c>
      <c r="B8127" s="266">
        <f>IFERROR(__xludf.DUMMYFUNCTION("""COMPUTED_VALUE"""),46009.0)</f>
        <v>46009</v>
      </c>
      <c r="C8127" s="266" t="str">
        <f>IFERROR(__xludf.DUMMYFUNCTION("""COMPUTED_VALUE"""),"KYAI KONTONG")</f>
        <v>KYAI KONTONG</v>
      </c>
      <c r="D8127" s="186">
        <f>IFERROR(__xludf.DUMMYFUNCTION("""COMPUTED_VALUE"""),5.0)</f>
        <v>5</v>
      </c>
    </row>
    <row r="8128">
      <c r="A8128" s="178" t="str">
        <f>IFERROR(__xludf.DUMMYFUNCTION("""COMPUTED_VALUE"""),"ITBISA-LED-SUPERBRIGHT-5MM-RED")</f>
        <v>ITBISA-LED-SUPERBRIGHT-5MM-RED</v>
      </c>
      <c r="B8128" s="266">
        <f>IFERROR(__xludf.DUMMYFUNCTION("""COMPUTED_VALUE"""),46009.0)</f>
        <v>46009</v>
      </c>
      <c r="C8128" s="266" t="str">
        <f>IFERROR(__xludf.DUMMYFUNCTION("""COMPUTED_VALUE"""),"KYAI KONTONG")</f>
        <v>KYAI KONTONG</v>
      </c>
      <c r="D8128" s="186">
        <f>IFERROR(__xludf.DUMMYFUNCTION("""COMPUTED_VALUE"""),5.0)</f>
        <v>5</v>
      </c>
    </row>
    <row r="8129">
      <c r="A8129" s="178" t="str">
        <f>IFERROR(__xludf.DUMMYFUNCTION("""COMPUTED_VALUE"""),"ITBISA-LED-SUPERBRIGHT-5MM-RED")</f>
        <v>ITBISA-LED-SUPERBRIGHT-5MM-RED</v>
      </c>
      <c r="B8129" s="266">
        <f>IFERROR(__xludf.DUMMYFUNCTION("""COMPUTED_VALUE"""),46009.0)</f>
        <v>46009</v>
      </c>
      <c r="C8129" s="266" t="str">
        <f>IFERROR(__xludf.DUMMYFUNCTION("""COMPUTED_VALUE"""),"KYAI KONTONG")</f>
        <v>KYAI KONTONG</v>
      </c>
      <c r="D8129" s="186">
        <f>IFERROR(__xludf.DUMMYFUNCTION("""COMPUTED_VALUE"""),17.0)</f>
        <v>17</v>
      </c>
    </row>
    <row r="8130">
      <c r="A8130" s="178" t="str">
        <f>IFERROR(__xludf.DUMMYFUNCTION("""COMPUTED_VALUE"""),"ITBISA-LED-SUPERBRIGHT-5MM-RED")</f>
        <v>ITBISA-LED-SUPERBRIGHT-5MM-RED</v>
      </c>
      <c r="B8130" s="266">
        <f>IFERROR(__xludf.DUMMYFUNCTION("""COMPUTED_VALUE"""),46010.0)</f>
        <v>46010</v>
      </c>
      <c r="C8130" s="266" t="str">
        <f>IFERROR(__xludf.DUMMYFUNCTION("""COMPUTED_VALUE"""),"KYAI KONTONG")</f>
        <v>KYAI KONTONG</v>
      </c>
      <c r="D8130" s="186">
        <f>IFERROR(__xludf.DUMMYFUNCTION("""COMPUTED_VALUE"""),5.0)</f>
        <v>5</v>
      </c>
    </row>
    <row r="8131">
      <c r="A8131" s="178" t="str">
        <f>IFERROR(__xludf.DUMMYFUNCTION("""COMPUTED_VALUE"""),"ITBISA-LED-SUPERBRIGHT-5MM-RED")</f>
        <v>ITBISA-LED-SUPERBRIGHT-5MM-RED</v>
      </c>
      <c r="B8131" s="266">
        <f>IFERROR(__xludf.DUMMYFUNCTION("""COMPUTED_VALUE"""),46011.0)</f>
        <v>46011</v>
      </c>
      <c r="C8131" s="266" t="str">
        <f>IFERROR(__xludf.DUMMYFUNCTION("""COMPUTED_VALUE"""),"KYAI KONTONG")</f>
        <v>KYAI KONTONG</v>
      </c>
      <c r="D8131" s="186">
        <f>IFERROR(__xludf.DUMMYFUNCTION("""COMPUTED_VALUE"""),4.0)</f>
        <v>4</v>
      </c>
    </row>
    <row r="8132">
      <c r="A8132" s="178" t="str">
        <f>IFERROR(__xludf.DUMMYFUNCTION("""COMPUTED_VALUE"""),"ITBISA-LED-SUPERBRIGHT-5MM-RED")</f>
        <v>ITBISA-LED-SUPERBRIGHT-5MM-RED</v>
      </c>
      <c r="B8132" s="266">
        <f>IFERROR(__xludf.DUMMYFUNCTION("""COMPUTED_VALUE"""),46012.0)</f>
        <v>46012</v>
      </c>
      <c r="C8132" s="266" t="str">
        <f>IFERROR(__xludf.DUMMYFUNCTION("""COMPUTED_VALUE"""),"KYAI KONTONG")</f>
        <v>KYAI KONTONG</v>
      </c>
      <c r="D8132" s="186">
        <f>IFERROR(__xludf.DUMMYFUNCTION("""COMPUTED_VALUE"""),6.0)</f>
        <v>6</v>
      </c>
    </row>
    <row r="8133">
      <c r="A8133" s="178" t="str">
        <f>IFERROR(__xludf.DUMMYFUNCTION("""COMPUTED_VALUE"""),"ITBISA-LED-SUPERBRIGHT-5MM-RED")</f>
        <v>ITBISA-LED-SUPERBRIGHT-5MM-RED</v>
      </c>
      <c r="B8133" s="266">
        <f>IFERROR(__xludf.DUMMYFUNCTION("""COMPUTED_VALUE"""),46015.0)</f>
        <v>46015</v>
      </c>
      <c r="C8133" s="266" t="str">
        <f>IFERROR(__xludf.DUMMYFUNCTION("""COMPUTED_VALUE"""),"KERTASARI CIAMIS")</f>
        <v>KERTASARI CIAMIS</v>
      </c>
      <c r="D8133" s="186">
        <f>IFERROR(__xludf.DUMMYFUNCTION("""COMPUTED_VALUE"""),10.0)</f>
        <v>10</v>
      </c>
    </row>
    <row r="8134">
      <c r="A8134" s="178" t="str">
        <f>IFERROR(__xludf.DUMMYFUNCTION("""COMPUTED_VALUE"""),"ITBISA-LED-SUPERBRIGHT-5MM-RED")</f>
        <v>ITBISA-LED-SUPERBRIGHT-5MM-RED</v>
      </c>
      <c r="B8134" s="266">
        <f>IFERROR(__xludf.DUMMYFUNCTION("""COMPUTED_VALUE"""),46015.0)</f>
        <v>46015</v>
      </c>
      <c r="C8134" s="266" t="str">
        <f>IFERROR(__xludf.DUMMYFUNCTION("""COMPUTED_VALUE"""),"KERTASARI CIAMIS")</f>
        <v>KERTASARI CIAMIS</v>
      </c>
      <c r="D8134" s="186">
        <f>IFERROR(__xludf.DUMMYFUNCTION("""COMPUTED_VALUE"""),10.0)</f>
        <v>10</v>
      </c>
    </row>
    <row r="8135">
      <c r="A8135" s="178" t="str">
        <f>IFERROR(__xludf.DUMMYFUNCTION("""COMPUTED_VALUE"""),"ITBISA-LED-SUPERBRIGHT-5MM-RED")</f>
        <v>ITBISA-LED-SUPERBRIGHT-5MM-RED</v>
      </c>
      <c r="B8135" s="266">
        <f>IFERROR(__xludf.DUMMYFUNCTION("""COMPUTED_VALUE"""),46016.0)</f>
        <v>46016</v>
      </c>
      <c r="C8135" s="266" t="str">
        <f>IFERROR(__xludf.DUMMYFUNCTION("""COMPUTED_VALUE"""),"KERTASARI CIAMIS")</f>
        <v>KERTASARI CIAMIS</v>
      </c>
      <c r="D8135" s="186">
        <f>IFERROR(__xludf.DUMMYFUNCTION("""COMPUTED_VALUE"""),10.0)</f>
        <v>10</v>
      </c>
    </row>
    <row r="8136">
      <c r="A8136" s="178" t="str">
        <f>IFERROR(__xludf.DUMMYFUNCTION("""COMPUTED_VALUE"""),"ITBISA-LED-SUPERBRIGHT-5MM-RED")</f>
        <v>ITBISA-LED-SUPERBRIGHT-5MM-RED</v>
      </c>
      <c r="B8136" s="266">
        <f>IFERROR(__xludf.DUMMYFUNCTION("""COMPUTED_VALUE"""),46016.0)</f>
        <v>46016</v>
      </c>
      <c r="C8136" s="266" t="str">
        <f>IFERROR(__xludf.DUMMYFUNCTION("""COMPUTED_VALUE"""),"KERTASARI CIAMIS")</f>
        <v>KERTASARI CIAMIS</v>
      </c>
      <c r="D8136" s="186">
        <f>IFERROR(__xludf.DUMMYFUNCTION("""COMPUTED_VALUE"""),10.0)</f>
        <v>10</v>
      </c>
    </row>
    <row r="8137">
      <c r="A8137" s="178" t="str">
        <f>IFERROR(__xludf.DUMMYFUNCTION("""COMPUTED_VALUE"""),"ITBISA-LED-SUPERBRIGHT-5MM-RED")</f>
        <v>ITBISA-LED-SUPERBRIGHT-5MM-RED</v>
      </c>
      <c r="B8137" s="266">
        <f>IFERROR(__xludf.DUMMYFUNCTION("""COMPUTED_VALUE"""),46016.0)</f>
        <v>46016</v>
      </c>
      <c r="C8137" s="266" t="str">
        <f>IFERROR(__xludf.DUMMYFUNCTION("""COMPUTED_VALUE"""),"KERTASARI CIAMIS")</f>
        <v>KERTASARI CIAMIS</v>
      </c>
      <c r="D8137" s="186">
        <f>IFERROR(__xludf.DUMMYFUNCTION("""COMPUTED_VALUE"""),10.0)</f>
        <v>10</v>
      </c>
    </row>
    <row r="8138">
      <c r="A8138" s="178" t="str">
        <f>IFERROR(__xludf.DUMMYFUNCTION("""COMPUTED_VALUE"""),"ITBISA-LED-SUPERBRIGHT-5MM-RED")</f>
        <v>ITBISA-LED-SUPERBRIGHT-5MM-RED</v>
      </c>
      <c r="B8138" s="266">
        <f>IFERROR(__xludf.DUMMYFUNCTION("""COMPUTED_VALUE"""),46017.0)</f>
        <v>46017</v>
      </c>
      <c r="C8138" s="266" t="str">
        <f>IFERROR(__xludf.DUMMYFUNCTION("""COMPUTED_VALUE"""),"KYAI KONTONG")</f>
        <v>KYAI KONTONG</v>
      </c>
      <c r="D8138" s="186">
        <f>IFERROR(__xludf.DUMMYFUNCTION("""COMPUTED_VALUE"""),10.0)</f>
        <v>10</v>
      </c>
    </row>
    <row r="8139">
      <c r="A8139" s="178" t="str">
        <f>IFERROR(__xludf.DUMMYFUNCTION("""COMPUTED_VALUE"""),"ITBISA-LED-SUPERBRIGHT-5MM-RED")</f>
        <v>ITBISA-LED-SUPERBRIGHT-5MM-RED</v>
      </c>
      <c r="B8139" s="266">
        <f>IFERROR(__xludf.DUMMYFUNCTION("""COMPUTED_VALUE"""),46020.0)</f>
        <v>46020</v>
      </c>
      <c r="C8139" s="266" t="str">
        <f>IFERROR(__xludf.DUMMYFUNCTION("""COMPUTED_VALUE"""),"KYAI KONTONG")</f>
        <v>KYAI KONTONG</v>
      </c>
      <c r="D8139" s="186">
        <f>IFERROR(__xludf.DUMMYFUNCTION("""COMPUTED_VALUE"""),5.0)</f>
        <v>5</v>
      </c>
    </row>
    <row r="8140">
      <c r="A8140" s="178" t="str">
        <f>IFERROR(__xludf.DUMMYFUNCTION("""COMPUTED_VALUE"""),"ITBISA-LED-SUPERBRIGHT-5MM-RED")</f>
        <v>ITBISA-LED-SUPERBRIGHT-5MM-RED</v>
      </c>
      <c r="B8140" s="266">
        <f>IFERROR(__xludf.DUMMYFUNCTION("""COMPUTED_VALUE"""),46020.0)</f>
        <v>46020</v>
      </c>
      <c r="C8140" s="266" t="str">
        <f>IFERROR(__xludf.DUMMYFUNCTION("""COMPUTED_VALUE"""),"KYAI KONTONG")</f>
        <v>KYAI KONTONG</v>
      </c>
      <c r="D8140" s="186">
        <f>IFERROR(__xludf.DUMMYFUNCTION("""COMPUTED_VALUE"""),20.0)</f>
        <v>20</v>
      </c>
    </row>
    <row r="8141">
      <c r="A8141" s="178" t="str">
        <f>IFERROR(__xludf.DUMMYFUNCTION("""COMPUTED_VALUE"""),"ITBISA-LED-SUPERBRIGHT-5MM-RED")</f>
        <v>ITBISA-LED-SUPERBRIGHT-5MM-RED</v>
      </c>
      <c r="B8141" s="266">
        <f>IFERROR(__xludf.DUMMYFUNCTION("""COMPUTED_VALUE"""),46021.0)</f>
        <v>46021</v>
      </c>
      <c r="C8141" s="266" t="str">
        <f>IFERROR(__xludf.DUMMYFUNCTION("""COMPUTED_VALUE"""),"KYAI KONTONG")</f>
        <v>KYAI KONTONG</v>
      </c>
      <c r="D8141" s="186">
        <f>IFERROR(__xludf.DUMMYFUNCTION("""COMPUTED_VALUE"""),3.0)</f>
        <v>3</v>
      </c>
    </row>
    <row r="8142">
      <c r="A8142" s="178" t="str">
        <f>IFERROR(__xludf.DUMMYFUNCTION("""COMPUTED_VALUE"""),"ITBISA-LED-SUPERBRIGHT-5MM-WHITE")</f>
        <v>ITBISA-LED-SUPERBRIGHT-5MM-WHITE</v>
      </c>
      <c r="B8142" s="266">
        <f>IFERROR(__xludf.DUMMYFUNCTION("""COMPUTED_VALUE"""),45438.0)</f>
        <v>45438</v>
      </c>
      <c r="C8142" s="266" t="str">
        <f>IFERROR(__xludf.DUMMYFUNCTION("""COMPUTED_VALUE"""),"KERTASARI CIAMIS")</f>
        <v>KERTASARI CIAMIS</v>
      </c>
      <c r="D8142" s="186">
        <f>IFERROR(__xludf.DUMMYFUNCTION("""COMPUTED_VALUE"""),500.0)</f>
        <v>500</v>
      </c>
    </row>
    <row r="8143">
      <c r="A8143" s="178" t="str">
        <f>IFERROR(__xludf.DUMMYFUNCTION("""COMPUTED_VALUE"""),"ITBISA-LED-SUPERBRIGHT-5MM-WHITE")</f>
        <v>ITBISA-LED-SUPERBRIGHT-5MM-WHITE</v>
      </c>
      <c r="B8143" s="266">
        <f>IFERROR(__xludf.DUMMYFUNCTION("""COMPUTED_VALUE"""),45445.0)</f>
        <v>45445</v>
      </c>
      <c r="C8143" s="266" t="str">
        <f>IFERROR(__xludf.DUMMYFUNCTION("""COMPUTED_VALUE"""),"KERTASARI CIAMIS")</f>
        <v>KERTASARI CIAMIS</v>
      </c>
      <c r="D8143" s="186">
        <f>IFERROR(__xludf.DUMMYFUNCTION("""COMPUTED_VALUE"""),10.0)</f>
        <v>10</v>
      </c>
    </row>
    <row r="8144">
      <c r="A8144" s="178" t="str">
        <f>IFERROR(__xludf.DUMMYFUNCTION("""COMPUTED_VALUE"""),"ITBISA-LED-SUPERBRIGHT-5MM-WHITE")</f>
        <v>ITBISA-LED-SUPERBRIGHT-5MM-WHITE</v>
      </c>
      <c r="B8144" s="266">
        <f>IFERROR(__xludf.DUMMYFUNCTION("""COMPUTED_VALUE"""),45447.0)</f>
        <v>45447</v>
      </c>
      <c r="C8144" s="266" t="str">
        <f>IFERROR(__xludf.DUMMYFUNCTION("""COMPUTED_VALUE"""),"KERTASARI CIAMIS")</f>
        <v>KERTASARI CIAMIS</v>
      </c>
      <c r="D8144" s="186">
        <f>IFERROR(__xludf.DUMMYFUNCTION("""COMPUTED_VALUE"""),10.0)</f>
        <v>10</v>
      </c>
    </row>
    <row r="8145">
      <c r="A8145" s="178" t="str">
        <f>IFERROR(__xludf.DUMMYFUNCTION("""COMPUTED_VALUE"""),"ITBISA-LED-SUPERBRIGHT-5MM-WHITE")</f>
        <v>ITBISA-LED-SUPERBRIGHT-5MM-WHITE</v>
      </c>
      <c r="B8145" s="266">
        <f>IFERROR(__xludf.DUMMYFUNCTION("""COMPUTED_VALUE"""),45448.0)</f>
        <v>45448</v>
      </c>
      <c r="C8145" s="266" t="str">
        <f>IFERROR(__xludf.DUMMYFUNCTION("""COMPUTED_VALUE"""),"KYAI KONTONG")</f>
        <v>KYAI KONTONG</v>
      </c>
      <c r="D8145" s="186">
        <f>IFERROR(__xludf.DUMMYFUNCTION("""COMPUTED_VALUE"""),0.0)</f>
        <v>0</v>
      </c>
    </row>
    <row r="8146">
      <c r="A8146" s="178" t="str">
        <f>IFERROR(__xludf.DUMMYFUNCTION("""COMPUTED_VALUE"""),"ITBISA-LED-SUPERBRIGHT-5MM-WHITE")</f>
        <v>ITBISA-LED-SUPERBRIGHT-5MM-WHITE</v>
      </c>
      <c r="B8146" s="266">
        <f>IFERROR(__xludf.DUMMYFUNCTION("""COMPUTED_VALUE"""),45455.0)</f>
        <v>45455</v>
      </c>
      <c r="C8146" s="266" t="str">
        <f>IFERROR(__xludf.DUMMYFUNCTION("""COMPUTED_VALUE"""),"KYAI KONTONG")</f>
        <v>KYAI KONTONG</v>
      </c>
      <c r="D8146" s="186">
        <f>IFERROR(__xludf.DUMMYFUNCTION("""COMPUTED_VALUE"""),20.0)</f>
        <v>20</v>
      </c>
    </row>
    <row r="8147">
      <c r="A8147" s="178" t="str">
        <f>IFERROR(__xludf.DUMMYFUNCTION("""COMPUTED_VALUE"""),"ITBISA-LED-SUPERBRIGHT-5MM-WHITE")</f>
        <v>ITBISA-LED-SUPERBRIGHT-5MM-WHITE</v>
      </c>
      <c r="B8147" s="266">
        <f>IFERROR(__xludf.DUMMYFUNCTION("""COMPUTED_VALUE"""),45468.0)</f>
        <v>45468</v>
      </c>
      <c r="C8147" s="266" t="str">
        <f>IFERROR(__xludf.DUMMYFUNCTION("""COMPUTED_VALUE"""),"KERTASARI CIAMIS")</f>
        <v>KERTASARI CIAMIS</v>
      </c>
      <c r="D8147" s="186">
        <f>IFERROR(__xludf.DUMMYFUNCTION("""COMPUTED_VALUE"""),100.0)</f>
        <v>100</v>
      </c>
    </row>
    <row r="8148">
      <c r="A8148" s="178" t="str">
        <f>IFERROR(__xludf.DUMMYFUNCTION("""COMPUTED_VALUE"""),"ITBISA-LED-SUPERBRIGHT-5MM-WHITE")</f>
        <v>ITBISA-LED-SUPERBRIGHT-5MM-WHITE</v>
      </c>
      <c r="B8148" s="266">
        <f>IFERROR(__xludf.DUMMYFUNCTION("""COMPUTED_VALUE"""),45475.0)</f>
        <v>45475</v>
      </c>
      <c r="C8148" s="266" t="str">
        <f>IFERROR(__xludf.DUMMYFUNCTION("""COMPUTED_VALUE"""),"KYAI KONTONG")</f>
        <v>KYAI KONTONG</v>
      </c>
      <c r="D8148" s="186">
        <f>IFERROR(__xludf.DUMMYFUNCTION("""COMPUTED_VALUE"""),10.0)</f>
        <v>10</v>
      </c>
    </row>
    <row r="8149">
      <c r="A8149" s="178" t="str">
        <f>IFERROR(__xludf.DUMMYFUNCTION("""COMPUTED_VALUE"""),"ITBISA-LED-SUPERBRIGHT-5MM-WHITE")</f>
        <v>ITBISA-LED-SUPERBRIGHT-5MM-WHITE</v>
      </c>
      <c r="B8149" s="266">
        <f>IFERROR(__xludf.DUMMYFUNCTION("""COMPUTED_VALUE"""),45476.0)</f>
        <v>45476</v>
      </c>
      <c r="C8149" s="266" t="str">
        <f>IFERROR(__xludf.DUMMYFUNCTION("""COMPUTED_VALUE"""),"KYAI KONTONG")</f>
        <v>KYAI KONTONG</v>
      </c>
      <c r="D8149" s="186">
        <f>IFERROR(__xludf.DUMMYFUNCTION("""COMPUTED_VALUE"""),10.0)</f>
        <v>10</v>
      </c>
    </row>
    <row r="8150">
      <c r="A8150" s="178" t="str">
        <f>IFERROR(__xludf.DUMMYFUNCTION("""COMPUTED_VALUE"""),"ITBISA-LED-SUPERBRIGHT-5MM-WHITE")</f>
        <v>ITBISA-LED-SUPERBRIGHT-5MM-WHITE</v>
      </c>
      <c r="B8150" s="266">
        <f>IFERROR(__xludf.DUMMYFUNCTION("""COMPUTED_VALUE"""),45477.0)</f>
        <v>45477</v>
      </c>
      <c r="C8150" s="266" t="str">
        <f>IFERROR(__xludf.DUMMYFUNCTION("""COMPUTED_VALUE"""),"KYAI KONTONG")</f>
        <v>KYAI KONTONG</v>
      </c>
      <c r="D8150" s="186">
        <f>IFERROR(__xludf.DUMMYFUNCTION("""COMPUTED_VALUE"""),2.0)</f>
        <v>2</v>
      </c>
    </row>
    <row r="8151">
      <c r="A8151" s="178" t="str">
        <f>IFERROR(__xludf.DUMMYFUNCTION("""COMPUTED_VALUE"""),"ITBISA-LED-SUPERBRIGHT-5MM-WHITE")</f>
        <v>ITBISA-LED-SUPERBRIGHT-5MM-WHITE</v>
      </c>
      <c r="B8151" s="266">
        <f>IFERROR(__xludf.DUMMYFUNCTION("""COMPUTED_VALUE"""),45477.0)</f>
        <v>45477</v>
      </c>
      <c r="C8151" s="266" t="str">
        <f>IFERROR(__xludf.DUMMYFUNCTION("""COMPUTED_VALUE"""),"KYAI KONTONG")</f>
        <v>KYAI KONTONG</v>
      </c>
      <c r="D8151" s="186">
        <f>IFERROR(__xludf.DUMMYFUNCTION("""COMPUTED_VALUE"""),25.0)</f>
        <v>25</v>
      </c>
    </row>
    <row r="8152">
      <c r="A8152" s="178" t="str">
        <f>IFERROR(__xludf.DUMMYFUNCTION("""COMPUTED_VALUE"""),"ITBISA-LED-SUPERBRIGHT-5MM-WHITE")</f>
        <v>ITBISA-LED-SUPERBRIGHT-5MM-WHITE</v>
      </c>
      <c r="B8152" s="266">
        <f>IFERROR(__xludf.DUMMYFUNCTION("""COMPUTED_VALUE"""),45479.0)</f>
        <v>45479</v>
      </c>
      <c r="C8152" s="266" t="str">
        <f>IFERROR(__xludf.DUMMYFUNCTION("""COMPUTED_VALUE"""),"KYAI KONTONG")</f>
        <v>KYAI KONTONG</v>
      </c>
      <c r="D8152" s="186">
        <f>IFERROR(__xludf.DUMMYFUNCTION("""COMPUTED_VALUE"""),16.0)</f>
        <v>16</v>
      </c>
    </row>
    <row r="8153">
      <c r="A8153" s="178" t="str">
        <f>IFERROR(__xludf.DUMMYFUNCTION("""COMPUTED_VALUE"""),"ITBISA-LED-SUPERBRIGHT-5MM-WHITE")</f>
        <v>ITBISA-LED-SUPERBRIGHT-5MM-WHITE</v>
      </c>
      <c r="B8153" s="266">
        <f>IFERROR(__xludf.DUMMYFUNCTION("""COMPUTED_VALUE"""),45483.0)</f>
        <v>45483</v>
      </c>
      <c r="C8153" s="266" t="str">
        <f>IFERROR(__xludf.DUMMYFUNCTION("""COMPUTED_VALUE"""),"KYAI KONTONG")</f>
        <v>KYAI KONTONG</v>
      </c>
      <c r="D8153" s="186">
        <f>IFERROR(__xludf.DUMMYFUNCTION("""COMPUTED_VALUE"""),50.0)</f>
        <v>50</v>
      </c>
    </row>
    <row r="8154">
      <c r="A8154" s="178" t="str">
        <f>IFERROR(__xludf.DUMMYFUNCTION("""COMPUTED_VALUE"""),"ITBISA-LED-SUPERBRIGHT-5MM-WHITE")</f>
        <v>ITBISA-LED-SUPERBRIGHT-5MM-WHITE</v>
      </c>
      <c r="B8154" s="266">
        <f>IFERROR(__xludf.DUMMYFUNCTION("""COMPUTED_VALUE"""),45484.0)</f>
        <v>45484</v>
      </c>
      <c r="C8154" s="266" t="str">
        <f>IFERROR(__xludf.DUMMYFUNCTION("""COMPUTED_VALUE"""),"KYAI KONTONG")</f>
        <v>KYAI KONTONG</v>
      </c>
      <c r="D8154" s="186">
        <f>IFERROR(__xludf.DUMMYFUNCTION("""COMPUTED_VALUE"""),20.0)</f>
        <v>20</v>
      </c>
    </row>
    <row r="8155">
      <c r="A8155" s="178" t="str">
        <f>IFERROR(__xludf.DUMMYFUNCTION("""COMPUTED_VALUE"""),"ITBISA-LED-SUPERBRIGHT-5MM-WHITE")</f>
        <v>ITBISA-LED-SUPERBRIGHT-5MM-WHITE</v>
      </c>
      <c r="B8155" s="266">
        <f>IFERROR(__xludf.DUMMYFUNCTION("""COMPUTED_VALUE"""),45485.0)</f>
        <v>45485</v>
      </c>
      <c r="C8155" s="266" t="str">
        <f>IFERROR(__xludf.DUMMYFUNCTION("""COMPUTED_VALUE"""),"KYAI KONTONG")</f>
        <v>KYAI KONTONG</v>
      </c>
      <c r="D8155" s="186">
        <f>IFERROR(__xludf.DUMMYFUNCTION("""COMPUTED_VALUE"""),100.0)</f>
        <v>100</v>
      </c>
    </row>
    <row r="8156">
      <c r="A8156" s="178" t="str">
        <f>IFERROR(__xludf.DUMMYFUNCTION("""COMPUTED_VALUE"""),"ITBISA-LED-SUPERBRIGHT-5MM-WHITE")</f>
        <v>ITBISA-LED-SUPERBRIGHT-5MM-WHITE</v>
      </c>
      <c r="B8156" s="266">
        <f>IFERROR(__xludf.DUMMYFUNCTION("""COMPUTED_VALUE"""),45488.0)</f>
        <v>45488</v>
      </c>
      <c r="C8156" s="266" t="str">
        <f>IFERROR(__xludf.DUMMYFUNCTION("""COMPUTED_VALUE"""),"KERTASARI CIAMIS")</f>
        <v>KERTASARI CIAMIS</v>
      </c>
      <c r="D8156" s="186">
        <f>IFERROR(__xludf.DUMMYFUNCTION("""COMPUTED_VALUE"""),10.0)</f>
        <v>10</v>
      </c>
    </row>
    <row r="8157">
      <c r="A8157" s="178" t="str">
        <f>IFERROR(__xludf.DUMMYFUNCTION("""COMPUTED_VALUE"""),"ITBISA-LED-SUPERBRIGHT-5MM-WHITE")</f>
        <v>ITBISA-LED-SUPERBRIGHT-5MM-WHITE</v>
      </c>
      <c r="B8157" s="266">
        <f>IFERROR(__xludf.DUMMYFUNCTION("""COMPUTED_VALUE"""),45488.0)</f>
        <v>45488</v>
      </c>
      <c r="C8157" s="266" t="str">
        <f>IFERROR(__xludf.DUMMYFUNCTION("""COMPUTED_VALUE"""),"KYAI KONTONG")</f>
        <v>KYAI KONTONG</v>
      </c>
      <c r="D8157" s="186">
        <f>IFERROR(__xludf.DUMMYFUNCTION("""COMPUTED_VALUE"""),10.0)</f>
        <v>10</v>
      </c>
    </row>
    <row r="8158">
      <c r="A8158" s="178" t="str">
        <f>IFERROR(__xludf.DUMMYFUNCTION("""COMPUTED_VALUE"""),"ITBISA-LED-SUPERBRIGHT-5MM-WHITE")</f>
        <v>ITBISA-LED-SUPERBRIGHT-5MM-WHITE</v>
      </c>
      <c r="B8158" s="266">
        <f>IFERROR(__xludf.DUMMYFUNCTION("""COMPUTED_VALUE"""),45489.0)</f>
        <v>45489</v>
      </c>
      <c r="C8158" s="266" t="str">
        <f>IFERROR(__xludf.DUMMYFUNCTION("""COMPUTED_VALUE"""),"KYAI KONTONG")</f>
        <v>KYAI KONTONG</v>
      </c>
      <c r="D8158" s="186">
        <f>IFERROR(__xludf.DUMMYFUNCTION("""COMPUTED_VALUE"""),10.0)</f>
        <v>10</v>
      </c>
    </row>
    <row r="8159">
      <c r="A8159" s="178" t="str">
        <f>IFERROR(__xludf.DUMMYFUNCTION("""COMPUTED_VALUE"""),"ITBISA-LED-SUPERBRIGHT-5MM-WHITE")</f>
        <v>ITBISA-LED-SUPERBRIGHT-5MM-WHITE</v>
      </c>
      <c r="B8159" s="266">
        <f>IFERROR(__xludf.DUMMYFUNCTION("""COMPUTED_VALUE"""),45496.0)</f>
        <v>45496</v>
      </c>
      <c r="C8159" s="266" t="str">
        <f>IFERROR(__xludf.DUMMYFUNCTION("""COMPUTED_VALUE"""),"KYAI KONTONG")</f>
        <v>KYAI KONTONG</v>
      </c>
      <c r="D8159" s="186">
        <f>IFERROR(__xludf.DUMMYFUNCTION("""COMPUTED_VALUE"""),10.0)</f>
        <v>10</v>
      </c>
    </row>
    <row r="8160">
      <c r="A8160" s="178" t="str">
        <f>IFERROR(__xludf.DUMMYFUNCTION("""COMPUTED_VALUE"""),"ITBISA-LED-SUPERBRIGHT-5MM-WHITE")</f>
        <v>ITBISA-LED-SUPERBRIGHT-5MM-WHITE</v>
      </c>
      <c r="B8160" s="266">
        <f>IFERROR(__xludf.DUMMYFUNCTION("""COMPUTED_VALUE"""),45497.0)</f>
        <v>45497</v>
      </c>
      <c r="C8160" s="266" t="str">
        <f>IFERROR(__xludf.DUMMYFUNCTION("""COMPUTED_VALUE"""),"KYAI KONTONG")</f>
        <v>KYAI KONTONG</v>
      </c>
      <c r="D8160" s="186">
        <f>IFERROR(__xludf.DUMMYFUNCTION("""COMPUTED_VALUE"""),10.0)</f>
        <v>10</v>
      </c>
    </row>
    <row r="8161">
      <c r="A8161" s="178" t="str">
        <f>IFERROR(__xludf.DUMMYFUNCTION("""COMPUTED_VALUE"""),"ITBISA-LED-SUPERBRIGHT-5MM-WHITE")</f>
        <v>ITBISA-LED-SUPERBRIGHT-5MM-WHITE</v>
      </c>
      <c r="B8161" s="266">
        <f>IFERROR(__xludf.DUMMYFUNCTION("""COMPUTED_VALUE"""),45499.0)</f>
        <v>45499</v>
      </c>
      <c r="C8161" s="266" t="str">
        <f>IFERROR(__xludf.DUMMYFUNCTION("""COMPUTED_VALUE"""),"KYAI KONTONG")</f>
        <v>KYAI KONTONG</v>
      </c>
      <c r="D8161" s="186">
        <f>IFERROR(__xludf.DUMMYFUNCTION("""COMPUTED_VALUE"""),50.0)</f>
        <v>50</v>
      </c>
    </row>
    <row r="8162">
      <c r="A8162" s="178" t="str">
        <f>IFERROR(__xludf.DUMMYFUNCTION("""COMPUTED_VALUE"""),"ITBISA-LED-SUPERBRIGHT-5MM-WHITE")</f>
        <v>ITBISA-LED-SUPERBRIGHT-5MM-WHITE</v>
      </c>
      <c r="B8162" s="266">
        <f>IFERROR(__xludf.DUMMYFUNCTION("""COMPUTED_VALUE"""),45500.0)</f>
        <v>45500</v>
      </c>
      <c r="C8162" s="266" t="str">
        <f>IFERROR(__xludf.DUMMYFUNCTION("""COMPUTED_VALUE"""),"KYAI KONTONG")</f>
        <v>KYAI KONTONG</v>
      </c>
      <c r="D8162" s="186">
        <f>IFERROR(__xludf.DUMMYFUNCTION("""COMPUTED_VALUE"""),12.0)</f>
        <v>12</v>
      </c>
    </row>
    <row r="8163">
      <c r="A8163" s="178" t="str">
        <f>IFERROR(__xludf.DUMMYFUNCTION("""COMPUTED_VALUE"""),"ITBISA-LED-SUPERBRIGHT-5MM-WHITE")</f>
        <v>ITBISA-LED-SUPERBRIGHT-5MM-WHITE</v>
      </c>
      <c r="B8163" s="266">
        <f>IFERROR(__xludf.DUMMYFUNCTION("""COMPUTED_VALUE"""),45501.0)</f>
        <v>45501</v>
      </c>
      <c r="C8163" s="266" t="str">
        <f>IFERROR(__xludf.DUMMYFUNCTION("""COMPUTED_VALUE"""),"KYAI KONTONG")</f>
        <v>KYAI KONTONG</v>
      </c>
      <c r="D8163" s="186">
        <f>IFERROR(__xludf.DUMMYFUNCTION("""COMPUTED_VALUE"""),10.0)</f>
        <v>10</v>
      </c>
    </row>
    <row r="8164">
      <c r="A8164" s="178" t="str">
        <f>IFERROR(__xludf.DUMMYFUNCTION("""COMPUTED_VALUE"""),"ITBISA-LED-SUPERBRIGHT-5MM-WHITE")</f>
        <v>ITBISA-LED-SUPERBRIGHT-5MM-WHITE</v>
      </c>
      <c r="B8164" s="266">
        <f>IFERROR(__xludf.DUMMYFUNCTION("""COMPUTED_VALUE"""),45505.0)</f>
        <v>45505</v>
      </c>
      <c r="C8164" s="266" t="str">
        <f>IFERROR(__xludf.DUMMYFUNCTION("""COMPUTED_VALUE"""),"KYAI KONTONG")</f>
        <v>KYAI KONTONG</v>
      </c>
      <c r="D8164" s="186">
        <f>IFERROR(__xludf.DUMMYFUNCTION("""COMPUTED_VALUE"""),50.0)</f>
        <v>50</v>
      </c>
    </row>
    <row r="8165">
      <c r="A8165" s="178" t="str">
        <f>IFERROR(__xludf.DUMMYFUNCTION("""COMPUTED_VALUE"""),"ITBISA-LED-SUPERBRIGHT-5MM-WHITE")</f>
        <v>ITBISA-LED-SUPERBRIGHT-5MM-WHITE</v>
      </c>
      <c r="B8165" s="266">
        <f>IFERROR(__xludf.DUMMYFUNCTION("""COMPUTED_VALUE"""),45508.0)</f>
        <v>45508</v>
      </c>
      <c r="C8165" s="266" t="str">
        <f>IFERROR(__xludf.DUMMYFUNCTION("""COMPUTED_VALUE"""),"KYAI KONTONG")</f>
        <v>KYAI KONTONG</v>
      </c>
      <c r="D8165" s="186">
        <f>IFERROR(__xludf.DUMMYFUNCTION("""COMPUTED_VALUE"""),10.0)</f>
        <v>10</v>
      </c>
    </row>
    <row r="8166">
      <c r="A8166" s="178" t="str">
        <f>IFERROR(__xludf.DUMMYFUNCTION("""COMPUTED_VALUE"""),"ITBISA-LED-SUPERBRIGHT-5MM-WHITE")</f>
        <v>ITBISA-LED-SUPERBRIGHT-5MM-WHITE</v>
      </c>
      <c r="B8166" s="266">
        <f>IFERROR(__xludf.DUMMYFUNCTION("""COMPUTED_VALUE"""),45511.0)</f>
        <v>45511</v>
      </c>
      <c r="C8166" s="266" t="str">
        <f>IFERROR(__xludf.DUMMYFUNCTION("""COMPUTED_VALUE"""),"KYAI KONTONG")</f>
        <v>KYAI KONTONG</v>
      </c>
      <c r="D8166" s="186">
        <f>IFERROR(__xludf.DUMMYFUNCTION("""COMPUTED_VALUE"""),12.0)</f>
        <v>12</v>
      </c>
    </row>
    <row r="8167">
      <c r="A8167" s="178" t="str">
        <f>IFERROR(__xludf.DUMMYFUNCTION("""COMPUTED_VALUE"""),"ITBISA-LED-SUPERBRIGHT-5MM-WHITE")</f>
        <v>ITBISA-LED-SUPERBRIGHT-5MM-WHITE</v>
      </c>
      <c r="B8167" s="266">
        <f>IFERROR(__xludf.DUMMYFUNCTION("""COMPUTED_VALUE"""),45513.0)</f>
        <v>45513</v>
      </c>
      <c r="C8167" s="266" t="str">
        <f>IFERROR(__xludf.DUMMYFUNCTION("""COMPUTED_VALUE"""),"KYAI KONTONG")</f>
        <v>KYAI KONTONG</v>
      </c>
      <c r="D8167" s="186">
        <f>IFERROR(__xludf.DUMMYFUNCTION("""COMPUTED_VALUE"""),13.0)</f>
        <v>13</v>
      </c>
    </row>
    <row r="8168">
      <c r="A8168" s="178" t="str">
        <f>IFERROR(__xludf.DUMMYFUNCTION("""COMPUTED_VALUE"""),"ITBISA-LED-SUPERBRIGHT-5MM-WHITE")</f>
        <v>ITBISA-LED-SUPERBRIGHT-5MM-WHITE</v>
      </c>
      <c r="B8168" s="266">
        <f>IFERROR(__xludf.DUMMYFUNCTION("""COMPUTED_VALUE"""),45516.0)</f>
        <v>45516</v>
      </c>
      <c r="C8168" s="266" t="str">
        <f>IFERROR(__xludf.DUMMYFUNCTION("""COMPUTED_VALUE"""),"KYAI KONTONG")</f>
        <v>KYAI KONTONG</v>
      </c>
      <c r="D8168" s="186">
        <f>IFERROR(__xludf.DUMMYFUNCTION("""COMPUTED_VALUE"""),20.0)</f>
        <v>20</v>
      </c>
    </row>
    <row r="8169">
      <c r="A8169" s="178" t="str">
        <f>IFERROR(__xludf.DUMMYFUNCTION("""COMPUTED_VALUE"""),"ITBISA-LED-SUPERBRIGHT-5MM-WHITE")</f>
        <v>ITBISA-LED-SUPERBRIGHT-5MM-WHITE</v>
      </c>
      <c r="B8169" s="266">
        <f>IFERROR(__xludf.DUMMYFUNCTION("""COMPUTED_VALUE"""),45522.0)</f>
        <v>45522</v>
      </c>
      <c r="C8169" s="266" t="str">
        <f>IFERROR(__xludf.DUMMYFUNCTION("""COMPUTED_VALUE"""),"KYAI KONTONG")</f>
        <v>KYAI KONTONG</v>
      </c>
      <c r="D8169" s="186">
        <f>IFERROR(__xludf.DUMMYFUNCTION("""COMPUTED_VALUE"""),10.0)</f>
        <v>10</v>
      </c>
    </row>
    <row r="8170">
      <c r="A8170" s="178" t="str">
        <f>IFERROR(__xludf.DUMMYFUNCTION("""COMPUTED_VALUE"""),"ITBISA-LED-SUPERBRIGHT-5MM-WHITE")</f>
        <v>ITBISA-LED-SUPERBRIGHT-5MM-WHITE</v>
      </c>
      <c r="B8170" s="266">
        <f>IFERROR(__xludf.DUMMYFUNCTION("""COMPUTED_VALUE"""),45524.0)</f>
        <v>45524</v>
      </c>
      <c r="C8170" s="266" t="str">
        <f>IFERROR(__xludf.DUMMYFUNCTION("""COMPUTED_VALUE"""),"KERTASARI CIAMIS")</f>
        <v>KERTASARI CIAMIS</v>
      </c>
      <c r="D8170" s="186">
        <f>IFERROR(__xludf.DUMMYFUNCTION("""COMPUTED_VALUE"""),3.0)</f>
        <v>3</v>
      </c>
    </row>
    <row r="8171">
      <c r="A8171" s="178" t="str">
        <f>IFERROR(__xludf.DUMMYFUNCTION("""COMPUTED_VALUE"""),"ITBISA-LED-SUPERBRIGHT-5MM-WHITE")</f>
        <v>ITBISA-LED-SUPERBRIGHT-5MM-WHITE</v>
      </c>
      <c r="B8171" s="266">
        <f>IFERROR(__xludf.DUMMYFUNCTION("""COMPUTED_VALUE"""),45531.0)</f>
        <v>45531</v>
      </c>
      <c r="C8171" s="266" t="str">
        <f>IFERROR(__xludf.DUMMYFUNCTION("""COMPUTED_VALUE"""),"KYAI KONTONG")</f>
        <v>KYAI KONTONG</v>
      </c>
      <c r="D8171" s="186">
        <f>IFERROR(__xludf.DUMMYFUNCTION("""COMPUTED_VALUE"""),100.0)</f>
        <v>100</v>
      </c>
    </row>
    <row r="8172">
      <c r="A8172" s="178" t="str">
        <f>IFERROR(__xludf.DUMMYFUNCTION("""COMPUTED_VALUE"""),"ITBISA-LED-SUPERBRIGHT-5MM-WHITE")</f>
        <v>ITBISA-LED-SUPERBRIGHT-5MM-WHITE</v>
      </c>
      <c r="B8172" s="266">
        <f>IFERROR(__xludf.DUMMYFUNCTION("""COMPUTED_VALUE"""),45534.0)</f>
        <v>45534</v>
      </c>
      <c r="C8172" s="266" t="str">
        <f>IFERROR(__xludf.DUMMYFUNCTION("""COMPUTED_VALUE"""),"KYAI KONTONG")</f>
        <v>KYAI KONTONG</v>
      </c>
      <c r="D8172" s="186">
        <f>IFERROR(__xludf.DUMMYFUNCTION("""COMPUTED_VALUE"""),20.0)</f>
        <v>20</v>
      </c>
    </row>
    <row r="8173">
      <c r="A8173" s="178" t="str">
        <f>IFERROR(__xludf.DUMMYFUNCTION("""COMPUTED_VALUE"""),"ITBISA-LED-SUPERBRIGHT-5MM-WHITE")</f>
        <v>ITBISA-LED-SUPERBRIGHT-5MM-WHITE</v>
      </c>
      <c r="B8173" s="266">
        <f>IFERROR(__xludf.DUMMYFUNCTION("""COMPUTED_VALUE"""),45539.0)</f>
        <v>45539</v>
      </c>
      <c r="C8173" s="266" t="str">
        <f>IFERROR(__xludf.DUMMYFUNCTION("""COMPUTED_VALUE"""),"KERTASARI CIAMIS")</f>
        <v>KERTASARI CIAMIS</v>
      </c>
      <c r="D8173" s="186">
        <f>IFERROR(__xludf.DUMMYFUNCTION("""COMPUTED_VALUE"""),10.0)</f>
        <v>10</v>
      </c>
    </row>
    <row r="8174">
      <c r="A8174" s="178" t="str">
        <f>IFERROR(__xludf.DUMMYFUNCTION("""COMPUTED_VALUE"""),"ITBISA-LED-SUPERBRIGHT-5MM-WHITE")</f>
        <v>ITBISA-LED-SUPERBRIGHT-5MM-WHITE</v>
      </c>
      <c r="B8174" s="266">
        <f>IFERROR(__xludf.DUMMYFUNCTION("""COMPUTED_VALUE"""),45547.0)</f>
        <v>45547</v>
      </c>
      <c r="C8174" s="266" t="str">
        <f>IFERROR(__xludf.DUMMYFUNCTION("""COMPUTED_VALUE"""),"KYAI KONTONG")</f>
        <v>KYAI KONTONG</v>
      </c>
      <c r="D8174" s="186">
        <f>IFERROR(__xludf.DUMMYFUNCTION("""COMPUTED_VALUE"""),25.0)</f>
        <v>25</v>
      </c>
    </row>
    <row r="8175">
      <c r="A8175" s="178" t="str">
        <f>IFERROR(__xludf.DUMMYFUNCTION("""COMPUTED_VALUE"""),"ITBISA-LED-SUPERBRIGHT-5MM-WHITE")</f>
        <v>ITBISA-LED-SUPERBRIGHT-5MM-WHITE</v>
      </c>
      <c r="B8175" s="266">
        <f>IFERROR(__xludf.DUMMYFUNCTION("""COMPUTED_VALUE"""),45553.0)</f>
        <v>45553</v>
      </c>
      <c r="C8175" s="266" t="str">
        <f>IFERROR(__xludf.DUMMYFUNCTION("""COMPUTED_VALUE"""),"KYAI KONTONG")</f>
        <v>KYAI KONTONG</v>
      </c>
      <c r="D8175" s="186">
        <f>IFERROR(__xludf.DUMMYFUNCTION("""COMPUTED_VALUE"""),20.0)</f>
        <v>20</v>
      </c>
    </row>
    <row r="8176">
      <c r="A8176" s="178" t="str">
        <f>IFERROR(__xludf.DUMMYFUNCTION("""COMPUTED_VALUE"""),"ITBISA-LED-SUPERBRIGHT-5MM-WHITE")</f>
        <v>ITBISA-LED-SUPERBRIGHT-5MM-WHITE</v>
      </c>
      <c r="B8176" s="266">
        <f>IFERROR(__xludf.DUMMYFUNCTION("""COMPUTED_VALUE"""),45565.0)</f>
        <v>45565</v>
      </c>
      <c r="C8176" s="266" t="str">
        <f>IFERROR(__xludf.DUMMYFUNCTION("""COMPUTED_VALUE"""),"KYAI KONTONG")</f>
        <v>KYAI KONTONG</v>
      </c>
      <c r="D8176" s="186">
        <f>IFERROR(__xludf.DUMMYFUNCTION("""COMPUTED_VALUE"""),10.0)</f>
        <v>10</v>
      </c>
    </row>
    <row r="8177">
      <c r="A8177" s="178" t="str">
        <f>IFERROR(__xludf.DUMMYFUNCTION("""COMPUTED_VALUE"""),"ITBISA-LED-SUPERBRIGHT-5MM-WHITE")</f>
        <v>ITBISA-LED-SUPERBRIGHT-5MM-WHITE</v>
      </c>
      <c r="B8177" s="266">
        <f>IFERROR(__xludf.DUMMYFUNCTION("""COMPUTED_VALUE"""),45587.0)</f>
        <v>45587</v>
      </c>
      <c r="C8177" s="266" t="str">
        <f>IFERROR(__xludf.DUMMYFUNCTION("""COMPUTED_VALUE"""),"KERTASARI CIAMIS")</f>
        <v>KERTASARI CIAMIS</v>
      </c>
      <c r="D8177" s="186">
        <f>IFERROR(__xludf.DUMMYFUNCTION("""COMPUTED_VALUE"""),50.0)</f>
        <v>50</v>
      </c>
    </row>
    <row r="8178">
      <c r="A8178" s="178" t="str">
        <f>IFERROR(__xludf.DUMMYFUNCTION("""COMPUTED_VALUE"""),"ITBISA-LED-SUPERBRIGHT-5MM-WHITE")</f>
        <v>ITBISA-LED-SUPERBRIGHT-5MM-WHITE</v>
      </c>
      <c r="B8178" s="266">
        <f>IFERROR(__xludf.DUMMYFUNCTION("""COMPUTED_VALUE"""),45595.0)</f>
        <v>45595</v>
      </c>
      <c r="C8178" s="266" t="str">
        <f>IFERROR(__xludf.DUMMYFUNCTION("""COMPUTED_VALUE"""),"KERTASARI CIAMIS")</f>
        <v>KERTASARI CIAMIS</v>
      </c>
      <c r="D8178" s="186">
        <f>IFERROR(__xludf.DUMMYFUNCTION("""COMPUTED_VALUE"""),600.0)</f>
        <v>600</v>
      </c>
    </row>
    <row r="8179">
      <c r="A8179" s="178" t="str">
        <f>IFERROR(__xludf.DUMMYFUNCTION("""COMPUTED_VALUE"""),"ITBISA-LED-SUPERBRIGHT-5MM-WHITE")</f>
        <v>ITBISA-LED-SUPERBRIGHT-5MM-WHITE</v>
      </c>
      <c r="B8179" s="266">
        <f>IFERROR(__xludf.DUMMYFUNCTION("""COMPUTED_VALUE"""),45603.0)</f>
        <v>45603</v>
      </c>
      <c r="C8179" s="266" t="str">
        <f>IFERROR(__xludf.DUMMYFUNCTION("""COMPUTED_VALUE"""),"KERTASARI CIAMIS")</f>
        <v>KERTASARI CIAMIS</v>
      </c>
      <c r="D8179" s="186">
        <f>IFERROR(__xludf.DUMMYFUNCTION("""COMPUTED_VALUE"""),4.0)</f>
        <v>4</v>
      </c>
    </row>
    <row r="8180">
      <c r="A8180" s="178" t="str">
        <f>IFERROR(__xludf.DUMMYFUNCTION("""COMPUTED_VALUE"""),"ITBISA-LED-SUPERBRIGHT-5MM-WHITE")</f>
        <v>ITBISA-LED-SUPERBRIGHT-5MM-WHITE</v>
      </c>
      <c r="B8180" s="266">
        <f>IFERROR(__xludf.DUMMYFUNCTION("""COMPUTED_VALUE"""),45614.0)</f>
        <v>45614</v>
      </c>
      <c r="C8180" s="266" t="str">
        <f>IFERROR(__xludf.DUMMYFUNCTION("""COMPUTED_VALUE"""),"KERTASARI CIAMIS")</f>
        <v>KERTASARI CIAMIS</v>
      </c>
      <c r="D8180" s="186">
        <f>IFERROR(__xludf.DUMMYFUNCTION("""COMPUTED_VALUE"""),5.0)</f>
        <v>5</v>
      </c>
    </row>
    <row r="8181">
      <c r="A8181" s="178" t="str">
        <f>IFERROR(__xludf.DUMMYFUNCTION("""COMPUTED_VALUE"""),"ITBISA-LED-SUPERBRIGHT-5MM-WHITE")</f>
        <v>ITBISA-LED-SUPERBRIGHT-5MM-WHITE</v>
      </c>
      <c r="B8181" s="266">
        <f>IFERROR(__xludf.DUMMYFUNCTION("""COMPUTED_VALUE"""),45616.0)</f>
        <v>45616</v>
      </c>
      <c r="C8181" s="266" t="str">
        <f>IFERROR(__xludf.DUMMYFUNCTION("""COMPUTED_VALUE"""),"KERTASARI CIAMIS")</f>
        <v>KERTASARI CIAMIS</v>
      </c>
      <c r="D8181" s="186">
        <f>IFERROR(__xludf.DUMMYFUNCTION("""COMPUTED_VALUE"""),6.0)</f>
        <v>6</v>
      </c>
    </row>
    <row r="8182">
      <c r="A8182" s="178" t="str">
        <f>IFERROR(__xludf.DUMMYFUNCTION("""COMPUTED_VALUE"""),"ITBISA-LED-SUPERBRIGHT-5MM-WHITE")</f>
        <v>ITBISA-LED-SUPERBRIGHT-5MM-WHITE</v>
      </c>
      <c r="B8182" s="266">
        <f>IFERROR(__xludf.DUMMYFUNCTION("""COMPUTED_VALUE"""),45618.0)</f>
        <v>45618</v>
      </c>
      <c r="C8182" s="266" t="str">
        <f>IFERROR(__xludf.DUMMYFUNCTION("""COMPUTED_VALUE"""),"KYAI KONTONG")</f>
        <v>KYAI KONTONG</v>
      </c>
      <c r="D8182" s="186">
        <f>IFERROR(__xludf.DUMMYFUNCTION("""COMPUTED_VALUE"""),5.0)</f>
        <v>5</v>
      </c>
    </row>
    <row r="8183">
      <c r="A8183" s="178" t="str">
        <f>IFERROR(__xludf.DUMMYFUNCTION("""COMPUTED_VALUE"""),"ITBISA-LED-SUPERBRIGHT-5MM-WHITE")</f>
        <v>ITBISA-LED-SUPERBRIGHT-5MM-WHITE</v>
      </c>
      <c r="B8183" s="266">
        <f>IFERROR(__xludf.DUMMYFUNCTION("""COMPUTED_VALUE"""),45621.0)</f>
        <v>45621</v>
      </c>
      <c r="C8183" s="266" t="str">
        <f>IFERROR(__xludf.DUMMYFUNCTION("""COMPUTED_VALUE"""),"KYAI KONTONG")</f>
        <v>KYAI KONTONG</v>
      </c>
      <c r="D8183" s="186">
        <f>IFERROR(__xludf.DUMMYFUNCTION("""COMPUTED_VALUE"""),30.0)</f>
        <v>30</v>
      </c>
    </row>
    <row r="8184">
      <c r="A8184" s="178" t="str">
        <f>IFERROR(__xludf.DUMMYFUNCTION("""COMPUTED_VALUE"""),"ITBISA-LED-SUPERBRIGHT-5MM-WHITE")</f>
        <v>ITBISA-LED-SUPERBRIGHT-5MM-WHITE</v>
      </c>
      <c r="B8184" s="266">
        <f>IFERROR(__xludf.DUMMYFUNCTION("""COMPUTED_VALUE"""),45621.0)</f>
        <v>45621</v>
      </c>
      <c r="C8184" s="266" t="str">
        <f>IFERROR(__xludf.DUMMYFUNCTION("""COMPUTED_VALUE"""),"KYAI KONTONG")</f>
        <v>KYAI KONTONG</v>
      </c>
      <c r="D8184" s="186">
        <f>IFERROR(__xludf.DUMMYFUNCTION("""COMPUTED_VALUE"""),150.0)</f>
        <v>150</v>
      </c>
    </row>
    <row r="8185">
      <c r="A8185" s="178" t="str">
        <f>IFERROR(__xludf.DUMMYFUNCTION("""COMPUTED_VALUE"""),"ITBISA-LED-SUPERBRIGHT-5MM-WHITE")</f>
        <v>ITBISA-LED-SUPERBRIGHT-5MM-WHITE</v>
      </c>
      <c r="B8185" s="266">
        <f>IFERROR(__xludf.DUMMYFUNCTION("""COMPUTED_VALUE"""),45624.0)</f>
        <v>45624</v>
      </c>
      <c r="C8185" s="266" t="str">
        <f>IFERROR(__xludf.DUMMYFUNCTION("""COMPUTED_VALUE"""),"KERTASARI CIAMIS")</f>
        <v>KERTASARI CIAMIS</v>
      </c>
      <c r="D8185" s="186">
        <f>IFERROR(__xludf.DUMMYFUNCTION("""COMPUTED_VALUE"""),50.0)</f>
        <v>50</v>
      </c>
    </row>
    <row r="8186">
      <c r="A8186" s="178" t="str">
        <f>IFERROR(__xludf.DUMMYFUNCTION("""COMPUTED_VALUE"""),"ITBISA-LED-SUPERBRIGHT-5MM-WHITE")</f>
        <v>ITBISA-LED-SUPERBRIGHT-5MM-WHITE</v>
      </c>
      <c r="B8186" s="266">
        <f>IFERROR(__xludf.DUMMYFUNCTION("""COMPUTED_VALUE"""),45625.0)</f>
        <v>45625</v>
      </c>
      <c r="C8186" s="266" t="str">
        <f>IFERROR(__xludf.DUMMYFUNCTION("""COMPUTED_VALUE"""),"KYAI KONTONG")</f>
        <v>KYAI KONTONG</v>
      </c>
      <c r="D8186" s="186">
        <f>IFERROR(__xludf.DUMMYFUNCTION("""COMPUTED_VALUE"""),10.0)</f>
        <v>10</v>
      </c>
    </row>
    <row r="8187">
      <c r="A8187" s="178" t="str">
        <f>IFERROR(__xludf.DUMMYFUNCTION("""COMPUTED_VALUE"""),"ITBISA-LED-SUPERBRIGHT-5MM-WHITE")</f>
        <v>ITBISA-LED-SUPERBRIGHT-5MM-WHITE</v>
      </c>
      <c r="B8187" s="266">
        <f>IFERROR(__xludf.DUMMYFUNCTION("""COMPUTED_VALUE"""),45627.0)</f>
        <v>45627</v>
      </c>
      <c r="C8187" s="266" t="str">
        <f>IFERROR(__xludf.DUMMYFUNCTION("""COMPUTED_VALUE"""),"KERTASARI CIAMIS")</f>
        <v>KERTASARI CIAMIS</v>
      </c>
      <c r="D8187" s="186">
        <f>IFERROR(__xludf.DUMMYFUNCTION("""COMPUTED_VALUE"""),50.0)</f>
        <v>50</v>
      </c>
    </row>
    <row r="8188">
      <c r="A8188" s="178" t="str">
        <f>IFERROR(__xludf.DUMMYFUNCTION("""COMPUTED_VALUE"""),"ITBISA-LED-SUPERBRIGHT-5MM-WHITE")</f>
        <v>ITBISA-LED-SUPERBRIGHT-5MM-WHITE</v>
      </c>
      <c r="B8188" s="266">
        <f>IFERROR(__xludf.DUMMYFUNCTION("""COMPUTED_VALUE"""),45636.0)</f>
        <v>45636</v>
      </c>
      <c r="C8188" s="266" t="str">
        <f>IFERROR(__xludf.DUMMYFUNCTION("""COMPUTED_VALUE"""),"KERTASARI CIAMIS")</f>
        <v>KERTASARI CIAMIS</v>
      </c>
      <c r="D8188" s="186">
        <f>IFERROR(__xludf.DUMMYFUNCTION("""COMPUTED_VALUE"""),100.0)</f>
        <v>100</v>
      </c>
    </row>
    <row r="8189">
      <c r="A8189" s="178" t="str">
        <f>IFERROR(__xludf.DUMMYFUNCTION("""COMPUTED_VALUE"""),"ITBISA-LED-SUPERBRIGHT-5MM-WHITE")</f>
        <v>ITBISA-LED-SUPERBRIGHT-5MM-WHITE</v>
      </c>
      <c r="B8189" s="266">
        <f>IFERROR(__xludf.DUMMYFUNCTION("""COMPUTED_VALUE"""),45638.0)</f>
        <v>45638</v>
      </c>
      <c r="C8189" s="266" t="str">
        <f>IFERROR(__xludf.DUMMYFUNCTION("""COMPUTED_VALUE"""),"KYAI KONTONG")</f>
        <v>KYAI KONTONG</v>
      </c>
      <c r="D8189" s="186">
        <f>IFERROR(__xludf.DUMMYFUNCTION("""COMPUTED_VALUE"""),3.0)</f>
        <v>3</v>
      </c>
    </row>
    <row r="8190">
      <c r="A8190" s="178" t="str">
        <f>IFERROR(__xludf.DUMMYFUNCTION("""COMPUTED_VALUE"""),"ITBISA-LED-SUPERBRIGHT-5MM-WHITE")</f>
        <v>ITBISA-LED-SUPERBRIGHT-5MM-WHITE</v>
      </c>
      <c r="B8190" s="266">
        <f>IFERROR(__xludf.DUMMYFUNCTION("""COMPUTED_VALUE"""),45640.0)</f>
        <v>45640</v>
      </c>
      <c r="C8190" s="266" t="str">
        <f>IFERROR(__xludf.DUMMYFUNCTION("""COMPUTED_VALUE"""),"KERTASARI CIAMIS")</f>
        <v>KERTASARI CIAMIS</v>
      </c>
      <c r="D8190" s="186">
        <f>IFERROR(__xludf.DUMMYFUNCTION("""COMPUTED_VALUE"""),100.0)</f>
        <v>100</v>
      </c>
    </row>
    <row r="8191">
      <c r="A8191" s="178" t="str">
        <f>IFERROR(__xludf.DUMMYFUNCTION("""COMPUTED_VALUE"""),"ITBISA-LED-SUPERBRIGHT-5MM-WHITE")</f>
        <v>ITBISA-LED-SUPERBRIGHT-5MM-WHITE</v>
      </c>
      <c r="B8191" s="266">
        <f>IFERROR(__xludf.DUMMYFUNCTION("""COMPUTED_VALUE"""),45658.0)</f>
        <v>45658</v>
      </c>
      <c r="C8191" s="266" t="str">
        <f>IFERROR(__xludf.DUMMYFUNCTION("""COMPUTED_VALUE"""),"KYAI KONTONG")</f>
        <v>KYAI KONTONG</v>
      </c>
      <c r="D8191" s="186">
        <f>IFERROR(__xludf.DUMMYFUNCTION("""COMPUTED_VALUE"""),60.0)</f>
        <v>60</v>
      </c>
    </row>
    <row r="8192">
      <c r="A8192" s="178" t="str">
        <f>IFERROR(__xludf.DUMMYFUNCTION("""COMPUTED_VALUE"""),"ITBISA-LED-SUPERBRIGHT-5MM-WHITE")</f>
        <v>ITBISA-LED-SUPERBRIGHT-5MM-WHITE</v>
      </c>
      <c r="B8192" s="266">
        <f>IFERROR(__xludf.DUMMYFUNCTION("""COMPUTED_VALUE"""),45676.0)</f>
        <v>45676</v>
      </c>
      <c r="C8192" s="266" t="str">
        <f>IFERROR(__xludf.DUMMYFUNCTION("""COMPUTED_VALUE"""),"KYAI KONTONG")</f>
        <v>KYAI KONTONG</v>
      </c>
      <c r="D8192" s="186">
        <f>IFERROR(__xludf.DUMMYFUNCTION("""COMPUTED_VALUE"""),50.0)</f>
        <v>50</v>
      </c>
    </row>
    <row r="8193">
      <c r="A8193" s="178" t="str">
        <f>IFERROR(__xludf.DUMMYFUNCTION("""COMPUTED_VALUE"""),"ITBISA-LED-SUPERBRIGHT-5MM-WHITE")</f>
        <v>ITBISA-LED-SUPERBRIGHT-5MM-WHITE</v>
      </c>
      <c r="B8193" s="266">
        <f>IFERROR(__xludf.DUMMYFUNCTION("""COMPUTED_VALUE"""),45676.0)</f>
        <v>45676</v>
      </c>
      <c r="C8193" s="266" t="str">
        <f>IFERROR(__xludf.DUMMYFUNCTION("""COMPUTED_VALUE"""),"KYAI KONTONG")</f>
        <v>KYAI KONTONG</v>
      </c>
      <c r="D8193" s="186">
        <f>IFERROR(__xludf.DUMMYFUNCTION("""COMPUTED_VALUE"""),70.0)</f>
        <v>70</v>
      </c>
    </row>
    <row r="8194">
      <c r="A8194" s="178" t="str">
        <f>IFERROR(__xludf.DUMMYFUNCTION("""COMPUTED_VALUE"""),"ITBISA-LED-SUPERBRIGHT-5MM-WHITE")</f>
        <v>ITBISA-LED-SUPERBRIGHT-5MM-WHITE</v>
      </c>
      <c r="B8194" s="266">
        <f>IFERROR(__xludf.DUMMYFUNCTION("""COMPUTED_VALUE"""),45679.0)</f>
        <v>45679</v>
      </c>
      <c r="C8194" s="266" t="str">
        <f>IFERROR(__xludf.DUMMYFUNCTION("""COMPUTED_VALUE"""),"KYAI KONTONG")</f>
        <v>KYAI KONTONG</v>
      </c>
      <c r="D8194" s="186">
        <f>IFERROR(__xludf.DUMMYFUNCTION("""COMPUTED_VALUE"""),10.0)</f>
        <v>10</v>
      </c>
    </row>
    <row r="8195">
      <c r="A8195" s="178" t="str">
        <f>IFERROR(__xludf.DUMMYFUNCTION("""COMPUTED_VALUE"""),"ITBISA-LED-SUPERBRIGHT-5MM-WHITE")</f>
        <v>ITBISA-LED-SUPERBRIGHT-5MM-WHITE</v>
      </c>
      <c r="B8195" s="266">
        <f>IFERROR(__xludf.DUMMYFUNCTION("""COMPUTED_VALUE"""),45682.0)</f>
        <v>45682</v>
      </c>
      <c r="C8195" s="266" t="str">
        <f>IFERROR(__xludf.DUMMYFUNCTION("""COMPUTED_VALUE"""),"KYAI KONTONG")</f>
        <v>KYAI KONTONG</v>
      </c>
      <c r="D8195" s="186">
        <f>IFERROR(__xludf.DUMMYFUNCTION("""COMPUTED_VALUE"""),20.0)</f>
        <v>20</v>
      </c>
    </row>
    <row r="8196">
      <c r="A8196" s="178" t="str">
        <f>IFERROR(__xludf.DUMMYFUNCTION("""COMPUTED_VALUE"""),"ITBISA-LED-SUPERBRIGHT-5MM-WHITE")</f>
        <v>ITBISA-LED-SUPERBRIGHT-5MM-WHITE</v>
      </c>
      <c r="B8196" s="266">
        <f>IFERROR(__xludf.DUMMYFUNCTION("""COMPUTED_VALUE"""),45685.0)</f>
        <v>45685</v>
      </c>
      <c r="C8196" s="266" t="str">
        <f>IFERROR(__xludf.DUMMYFUNCTION("""COMPUTED_VALUE"""),"KYAI KONTONG")</f>
        <v>KYAI KONTONG</v>
      </c>
      <c r="D8196" s="186">
        <f>IFERROR(__xludf.DUMMYFUNCTION("""COMPUTED_VALUE"""),80.0)</f>
        <v>80</v>
      </c>
    </row>
    <row r="8197">
      <c r="A8197" s="178" t="str">
        <f>IFERROR(__xludf.DUMMYFUNCTION("""COMPUTED_VALUE"""),"ITBISA-LED-SUPERBRIGHT-5MM-WHITE")</f>
        <v>ITBISA-LED-SUPERBRIGHT-5MM-WHITE</v>
      </c>
      <c r="B8197" s="266">
        <f>IFERROR(__xludf.DUMMYFUNCTION("""COMPUTED_VALUE"""),45693.0)</f>
        <v>45693</v>
      </c>
      <c r="C8197" s="266" t="str">
        <f>IFERROR(__xludf.DUMMYFUNCTION("""COMPUTED_VALUE"""),"KERTASARI CIAMIS")</f>
        <v>KERTASARI CIAMIS</v>
      </c>
      <c r="D8197" s="186">
        <f>IFERROR(__xludf.DUMMYFUNCTION("""COMPUTED_VALUE"""),5.0)</f>
        <v>5</v>
      </c>
    </row>
    <row r="8198">
      <c r="A8198" s="178" t="str">
        <f>IFERROR(__xludf.DUMMYFUNCTION("""COMPUTED_VALUE"""),"ITBISA-LED-SUPERBRIGHT-5MM-WHITE")</f>
        <v>ITBISA-LED-SUPERBRIGHT-5MM-WHITE</v>
      </c>
      <c r="B8198" s="266">
        <f>IFERROR(__xludf.DUMMYFUNCTION("""COMPUTED_VALUE"""),45697.0)</f>
        <v>45697</v>
      </c>
      <c r="C8198" s="266" t="str">
        <f>IFERROR(__xludf.DUMMYFUNCTION("""COMPUTED_VALUE"""),"KERTASARI CIAMIS")</f>
        <v>KERTASARI CIAMIS</v>
      </c>
      <c r="D8198" s="186">
        <f>IFERROR(__xludf.DUMMYFUNCTION("""COMPUTED_VALUE"""),10.0)</f>
        <v>10</v>
      </c>
    </row>
    <row r="8199">
      <c r="A8199" s="178" t="str">
        <f>IFERROR(__xludf.DUMMYFUNCTION("""COMPUTED_VALUE"""),"ITBISA-LED-SUPERBRIGHT-5MM-WHITE")</f>
        <v>ITBISA-LED-SUPERBRIGHT-5MM-WHITE</v>
      </c>
      <c r="B8199" s="266">
        <f>IFERROR(__xludf.DUMMYFUNCTION("""COMPUTED_VALUE"""),45705.0)</f>
        <v>45705</v>
      </c>
      <c r="C8199" s="266" t="str">
        <f>IFERROR(__xludf.DUMMYFUNCTION("""COMPUTED_VALUE"""),"KYAI KONTONG")</f>
        <v>KYAI KONTONG</v>
      </c>
      <c r="D8199" s="186">
        <f>IFERROR(__xludf.DUMMYFUNCTION("""COMPUTED_VALUE"""),20.0)</f>
        <v>20</v>
      </c>
    </row>
    <row r="8200">
      <c r="A8200" s="178" t="str">
        <f>IFERROR(__xludf.DUMMYFUNCTION("""COMPUTED_VALUE"""),"ITBISA-LED-SUPERBRIGHT-5MM-WHITE")</f>
        <v>ITBISA-LED-SUPERBRIGHT-5MM-WHITE</v>
      </c>
      <c r="B8200" s="266">
        <f>IFERROR(__xludf.DUMMYFUNCTION("""COMPUTED_VALUE"""),45706.0)</f>
        <v>45706</v>
      </c>
      <c r="C8200" s="266" t="str">
        <f>IFERROR(__xludf.DUMMYFUNCTION("""COMPUTED_VALUE"""),"KYAI KONTONG")</f>
        <v>KYAI KONTONG</v>
      </c>
      <c r="D8200" s="186">
        <f>IFERROR(__xludf.DUMMYFUNCTION("""COMPUTED_VALUE"""),8.0)</f>
        <v>8</v>
      </c>
    </row>
    <row r="8201">
      <c r="A8201" s="178" t="str">
        <f>IFERROR(__xludf.DUMMYFUNCTION("""COMPUTED_VALUE"""),"ITBISA-LED-SUPERBRIGHT-5MM-WHITE")</f>
        <v>ITBISA-LED-SUPERBRIGHT-5MM-WHITE</v>
      </c>
      <c r="B8201" s="266">
        <f>IFERROR(__xludf.DUMMYFUNCTION("""COMPUTED_VALUE"""),45707.0)</f>
        <v>45707</v>
      </c>
      <c r="C8201" s="266" t="str">
        <f>IFERROR(__xludf.DUMMYFUNCTION("""COMPUTED_VALUE"""),"KERTASARI CIAMIS")</f>
        <v>KERTASARI CIAMIS</v>
      </c>
      <c r="D8201" s="186">
        <f>IFERROR(__xludf.DUMMYFUNCTION("""COMPUTED_VALUE"""),10.0)</f>
        <v>10</v>
      </c>
    </row>
    <row r="8202">
      <c r="A8202" s="178" t="str">
        <f>IFERROR(__xludf.DUMMYFUNCTION("""COMPUTED_VALUE"""),"ITBISA-LED-SUPERBRIGHT-5MM-WHITE")</f>
        <v>ITBISA-LED-SUPERBRIGHT-5MM-WHITE</v>
      </c>
      <c r="B8202" s="266">
        <f>IFERROR(__xludf.DUMMYFUNCTION("""COMPUTED_VALUE"""),45716.0)</f>
        <v>45716</v>
      </c>
      <c r="C8202" s="266" t="str">
        <f>IFERROR(__xludf.DUMMYFUNCTION("""COMPUTED_VALUE"""),"KYAI KONTONG")</f>
        <v>KYAI KONTONG</v>
      </c>
      <c r="D8202" s="186">
        <f>IFERROR(__xludf.DUMMYFUNCTION("""COMPUTED_VALUE"""),50.0)</f>
        <v>50</v>
      </c>
    </row>
    <row r="8203">
      <c r="A8203" s="178" t="str">
        <f>IFERROR(__xludf.DUMMYFUNCTION("""COMPUTED_VALUE"""),"ITBISA-LED-SUPERBRIGHT-5MM-WHITE")</f>
        <v>ITBISA-LED-SUPERBRIGHT-5MM-WHITE</v>
      </c>
      <c r="B8203" s="266">
        <f>IFERROR(__xludf.DUMMYFUNCTION("""COMPUTED_VALUE"""),45718.0)</f>
        <v>45718</v>
      </c>
      <c r="C8203" s="266" t="str">
        <f>IFERROR(__xludf.DUMMYFUNCTION("""COMPUTED_VALUE"""),"KERTASARI CIAMIS")</f>
        <v>KERTASARI CIAMIS</v>
      </c>
      <c r="D8203" s="186">
        <f>IFERROR(__xludf.DUMMYFUNCTION("""COMPUTED_VALUE"""),20.0)</f>
        <v>20</v>
      </c>
    </row>
    <row r="8204">
      <c r="A8204" s="178" t="str">
        <f>IFERROR(__xludf.DUMMYFUNCTION("""COMPUTED_VALUE"""),"ITBISA-LED-SUPERBRIGHT-5MM-WHITE")</f>
        <v>ITBISA-LED-SUPERBRIGHT-5MM-WHITE</v>
      </c>
      <c r="B8204" s="266">
        <f>IFERROR(__xludf.DUMMYFUNCTION("""COMPUTED_VALUE"""),45726.0)</f>
        <v>45726</v>
      </c>
      <c r="C8204" s="266" t="str">
        <f>IFERROR(__xludf.DUMMYFUNCTION("""COMPUTED_VALUE"""),"KERTASARI CIAMIS")</f>
        <v>KERTASARI CIAMIS</v>
      </c>
      <c r="D8204" s="186">
        <f>IFERROR(__xludf.DUMMYFUNCTION("""COMPUTED_VALUE"""),5.0)</f>
        <v>5</v>
      </c>
    </row>
    <row r="8205">
      <c r="A8205" s="178" t="str">
        <f>IFERROR(__xludf.DUMMYFUNCTION("""COMPUTED_VALUE"""),"ITBISA-LED-SUPERBRIGHT-5MM-WHITE")</f>
        <v>ITBISA-LED-SUPERBRIGHT-5MM-WHITE</v>
      </c>
      <c r="B8205" s="266">
        <f>IFERROR(__xludf.DUMMYFUNCTION("""COMPUTED_VALUE"""),45726.0)</f>
        <v>45726</v>
      </c>
      <c r="C8205" s="266" t="str">
        <f>IFERROR(__xludf.DUMMYFUNCTION("""COMPUTED_VALUE"""),"KERTASARI CIAMIS")</f>
        <v>KERTASARI CIAMIS</v>
      </c>
      <c r="D8205" s="186">
        <f>IFERROR(__xludf.DUMMYFUNCTION("""COMPUTED_VALUE"""),10.0)</f>
        <v>10</v>
      </c>
    </row>
    <row r="8206">
      <c r="A8206" s="178" t="str">
        <f>IFERROR(__xludf.DUMMYFUNCTION("""COMPUTED_VALUE"""),"ITBISA-LED-SUPERBRIGHT-5MM-WHITE")</f>
        <v>ITBISA-LED-SUPERBRIGHT-5MM-WHITE</v>
      </c>
      <c r="B8206" s="266">
        <f>IFERROR(__xludf.DUMMYFUNCTION("""COMPUTED_VALUE"""),45726.0)</f>
        <v>45726</v>
      </c>
      <c r="C8206" s="266" t="str">
        <f>IFERROR(__xludf.DUMMYFUNCTION("""COMPUTED_VALUE"""),"KERTASARI CIAMIS")</f>
        <v>KERTASARI CIAMIS</v>
      </c>
      <c r="D8206" s="186">
        <f>IFERROR(__xludf.DUMMYFUNCTION("""COMPUTED_VALUE"""),40.0)</f>
        <v>40</v>
      </c>
    </row>
    <row r="8207">
      <c r="A8207" s="178" t="str">
        <f>IFERROR(__xludf.DUMMYFUNCTION("""COMPUTED_VALUE"""),"ITBISA-LED-SUPERBRIGHT-5MM-WHITE")</f>
        <v>ITBISA-LED-SUPERBRIGHT-5MM-WHITE</v>
      </c>
      <c r="B8207" s="266">
        <f>IFERROR(__xludf.DUMMYFUNCTION("""COMPUTED_VALUE"""),45729.0)</f>
        <v>45729</v>
      </c>
      <c r="C8207" s="266" t="str">
        <f>IFERROR(__xludf.DUMMYFUNCTION("""COMPUTED_VALUE"""),"KERTASARI CIAMIS")</f>
        <v>KERTASARI CIAMIS</v>
      </c>
      <c r="D8207" s="186">
        <f>IFERROR(__xludf.DUMMYFUNCTION("""COMPUTED_VALUE"""),100.0)</f>
        <v>100</v>
      </c>
    </row>
    <row r="8208">
      <c r="A8208" s="178" t="str">
        <f>IFERROR(__xludf.DUMMYFUNCTION("""COMPUTED_VALUE"""),"ITBISA-LED-SUPERBRIGHT-5MM-WHITE")</f>
        <v>ITBISA-LED-SUPERBRIGHT-5MM-WHITE</v>
      </c>
      <c r="B8208" s="266">
        <f>IFERROR(__xludf.DUMMYFUNCTION("""COMPUTED_VALUE"""),45730.0)</f>
        <v>45730</v>
      </c>
      <c r="C8208" s="266" t="str">
        <f>IFERROR(__xludf.DUMMYFUNCTION("""COMPUTED_VALUE"""),"KERTASARI CIAMIS")</f>
        <v>KERTASARI CIAMIS</v>
      </c>
      <c r="D8208" s="186">
        <f>IFERROR(__xludf.DUMMYFUNCTION("""COMPUTED_VALUE"""),25.0)</f>
        <v>25</v>
      </c>
    </row>
    <row r="8209">
      <c r="A8209" s="178" t="str">
        <f>IFERROR(__xludf.DUMMYFUNCTION("""COMPUTED_VALUE"""),"ITBISA-LED-SUPERBRIGHT-5MM-WHITE")</f>
        <v>ITBISA-LED-SUPERBRIGHT-5MM-WHITE</v>
      </c>
      <c r="B8209" s="266">
        <f>IFERROR(__xludf.DUMMYFUNCTION("""COMPUTED_VALUE"""),45730.0)</f>
        <v>45730</v>
      </c>
      <c r="C8209" s="266" t="str">
        <f>IFERROR(__xludf.DUMMYFUNCTION("""COMPUTED_VALUE"""),"KYAI KONTONG")</f>
        <v>KYAI KONTONG</v>
      </c>
      <c r="D8209" s="186">
        <f>IFERROR(__xludf.DUMMYFUNCTION("""COMPUTED_VALUE"""),30.0)</f>
        <v>30</v>
      </c>
    </row>
    <row r="8210">
      <c r="A8210" s="178" t="str">
        <f>IFERROR(__xludf.DUMMYFUNCTION("""COMPUTED_VALUE"""),"ITBISA-LED-SUPERBRIGHT-5MM-WHITE")</f>
        <v>ITBISA-LED-SUPERBRIGHT-5MM-WHITE</v>
      </c>
      <c r="B8210" s="266">
        <f>IFERROR(__xludf.DUMMYFUNCTION("""COMPUTED_VALUE"""),45734.0)</f>
        <v>45734</v>
      </c>
      <c r="C8210" s="266" t="str">
        <f>IFERROR(__xludf.DUMMYFUNCTION("""COMPUTED_VALUE"""),"KYAI KONTONG")</f>
        <v>KYAI KONTONG</v>
      </c>
      <c r="D8210" s="186">
        <f>IFERROR(__xludf.DUMMYFUNCTION("""COMPUTED_VALUE"""),1.0)</f>
        <v>1</v>
      </c>
    </row>
    <row r="8211">
      <c r="A8211" s="178" t="str">
        <f>IFERROR(__xludf.DUMMYFUNCTION("""COMPUTED_VALUE"""),"ITBISA-LED-SUPERBRIGHT-5MM-WHITE")</f>
        <v>ITBISA-LED-SUPERBRIGHT-5MM-WHITE</v>
      </c>
      <c r="B8211" s="266">
        <f>IFERROR(__xludf.DUMMYFUNCTION("""COMPUTED_VALUE"""),45749.0)</f>
        <v>45749</v>
      </c>
      <c r="C8211" s="266" t="str">
        <f>IFERROR(__xludf.DUMMYFUNCTION("""COMPUTED_VALUE"""),"KERTASARI CIAMIS")</f>
        <v>KERTASARI CIAMIS</v>
      </c>
      <c r="D8211" s="186">
        <f>IFERROR(__xludf.DUMMYFUNCTION("""COMPUTED_VALUE"""),20.0)</f>
        <v>20</v>
      </c>
    </row>
    <row r="8212">
      <c r="A8212" s="178" t="str">
        <f>IFERROR(__xludf.DUMMYFUNCTION("""COMPUTED_VALUE"""),"ITBISA-LED-SUPERBRIGHT-5MM-WHITE")</f>
        <v>ITBISA-LED-SUPERBRIGHT-5MM-WHITE</v>
      </c>
      <c r="B8212" s="266">
        <f>IFERROR(__xludf.DUMMYFUNCTION("""COMPUTED_VALUE"""),45751.0)</f>
        <v>45751</v>
      </c>
      <c r="C8212" s="266" t="str">
        <f>IFERROR(__xludf.DUMMYFUNCTION("""COMPUTED_VALUE"""),"KERTASARI CIAMIS")</f>
        <v>KERTASARI CIAMIS</v>
      </c>
      <c r="D8212" s="186">
        <f>IFERROR(__xludf.DUMMYFUNCTION("""COMPUTED_VALUE"""),50.0)</f>
        <v>50</v>
      </c>
    </row>
    <row r="8213">
      <c r="A8213" s="178" t="str">
        <f>IFERROR(__xludf.DUMMYFUNCTION("""COMPUTED_VALUE"""),"ITBISA-LED-SUPERBRIGHT-5MM-WHITE")</f>
        <v>ITBISA-LED-SUPERBRIGHT-5MM-WHITE</v>
      </c>
      <c r="B8213" s="266">
        <f>IFERROR(__xludf.DUMMYFUNCTION("""COMPUTED_VALUE"""),45758.0)</f>
        <v>45758</v>
      </c>
      <c r="C8213" s="266" t="str">
        <f>IFERROR(__xludf.DUMMYFUNCTION("""COMPUTED_VALUE"""),"KYAI KONTONG")</f>
        <v>KYAI KONTONG</v>
      </c>
      <c r="D8213" s="186">
        <f>IFERROR(__xludf.DUMMYFUNCTION("""COMPUTED_VALUE"""),10.0)</f>
        <v>10</v>
      </c>
    </row>
    <row r="8214">
      <c r="A8214" s="178" t="str">
        <f>IFERROR(__xludf.DUMMYFUNCTION("""COMPUTED_VALUE"""),"ITBISA-LED-SUPERBRIGHT-5MM-WHITE")</f>
        <v>ITBISA-LED-SUPERBRIGHT-5MM-WHITE</v>
      </c>
      <c r="B8214" s="266">
        <f>IFERROR(__xludf.DUMMYFUNCTION("""COMPUTED_VALUE"""),45773.0)</f>
        <v>45773</v>
      </c>
      <c r="C8214" s="266" t="str">
        <f>IFERROR(__xludf.DUMMYFUNCTION("""COMPUTED_VALUE"""),"KERTASARI CIAMIS")</f>
        <v>KERTASARI CIAMIS</v>
      </c>
      <c r="D8214" s="186">
        <f>IFERROR(__xludf.DUMMYFUNCTION("""COMPUTED_VALUE"""),10.0)</f>
        <v>10</v>
      </c>
    </row>
    <row r="8215">
      <c r="A8215" s="178" t="str">
        <f>IFERROR(__xludf.DUMMYFUNCTION("""COMPUTED_VALUE"""),"ITBISA-LED-SUPERBRIGHT-5MM-WHITE")</f>
        <v>ITBISA-LED-SUPERBRIGHT-5MM-WHITE</v>
      </c>
      <c r="B8215" s="266">
        <f>IFERROR(__xludf.DUMMYFUNCTION("""COMPUTED_VALUE"""),45792.0)</f>
        <v>45792</v>
      </c>
      <c r="C8215" s="266" t="str">
        <f>IFERROR(__xludf.DUMMYFUNCTION("""COMPUTED_VALUE"""),"KERTASARI CIAMIS")</f>
        <v>KERTASARI CIAMIS</v>
      </c>
      <c r="D8215" s="186">
        <f>IFERROR(__xludf.DUMMYFUNCTION("""COMPUTED_VALUE"""),25.0)</f>
        <v>25</v>
      </c>
    </row>
    <row r="8216">
      <c r="A8216" s="178" t="str">
        <f>IFERROR(__xludf.DUMMYFUNCTION("""COMPUTED_VALUE"""),"ITBISA-LED-SUPERBRIGHT-5MM-WHITE")</f>
        <v>ITBISA-LED-SUPERBRIGHT-5MM-WHITE</v>
      </c>
      <c r="B8216" s="266">
        <f>IFERROR(__xludf.DUMMYFUNCTION("""COMPUTED_VALUE"""),45792.0)</f>
        <v>45792</v>
      </c>
      <c r="C8216" s="266" t="str">
        <f>IFERROR(__xludf.DUMMYFUNCTION("""COMPUTED_VALUE"""),"KYAI KONTONG")</f>
        <v>KYAI KONTONG</v>
      </c>
      <c r="D8216" s="186">
        <f>IFERROR(__xludf.DUMMYFUNCTION("""COMPUTED_VALUE"""),50.0)</f>
        <v>50</v>
      </c>
    </row>
    <row r="8217">
      <c r="A8217" s="178" t="str">
        <f>IFERROR(__xludf.DUMMYFUNCTION("""COMPUTED_VALUE"""),"ITBISA-LED-SUPERBRIGHT-5MM-WHITE")</f>
        <v>ITBISA-LED-SUPERBRIGHT-5MM-WHITE</v>
      </c>
      <c r="B8217" s="266">
        <f>IFERROR(__xludf.DUMMYFUNCTION("""COMPUTED_VALUE"""),45795.0)</f>
        <v>45795</v>
      </c>
      <c r="C8217" s="266" t="str">
        <f>IFERROR(__xludf.DUMMYFUNCTION("""COMPUTED_VALUE"""),"KYAI KONTONG")</f>
        <v>KYAI KONTONG</v>
      </c>
      <c r="D8217" s="186">
        <f>IFERROR(__xludf.DUMMYFUNCTION("""COMPUTED_VALUE"""),35.0)</f>
        <v>35</v>
      </c>
    </row>
    <row r="8218">
      <c r="A8218" s="178" t="str">
        <f>IFERROR(__xludf.DUMMYFUNCTION("""COMPUTED_VALUE"""),"ITBISA-LED-SUPERBRIGHT-5MM-WHITE")</f>
        <v>ITBISA-LED-SUPERBRIGHT-5MM-WHITE</v>
      </c>
      <c r="B8218" s="266">
        <f>IFERROR(__xludf.DUMMYFUNCTION("""COMPUTED_VALUE"""),45803.0)</f>
        <v>45803</v>
      </c>
      <c r="C8218" s="266" t="str">
        <f>IFERROR(__xludf.DUMMYFUNCTION("""COMPUTED_VALUE"""),"KYAI KONTONG")</f>
        <v>KYAI KONTONG</v>
      </c>
      <c r="D8218" s="186">
        <f>IFERROR(__xludf.DUMMYFUNCTION("""COMPUTED_VALUE"""),2.0)</f>
        <v>2</v>
      </c>
    </row>
    <row r="8219">
      <c r="A8219" s="178" t="str">
        <f>IFERROR(__xludf.DUMMYFUNCTION("""COMPUTED_VALUE"""),"ITBISA-LED-SUPERBRIGHT-5MM-WHITE")</f>
        <v>ITBISA-LED-SUPERBRIGHT-5MM-WHITE</v>
      </c>
      <c r="B8219" s="266">
        <f>IFERROR(__xludf.DUMMYFUNCTION("""COMPUTED_VALUE"""),45810.0)</f>
        <v>45810</v>
      </c>
      <c r="C8219" s="266" t="str">
        <f>IFERROR(__xludf.DUMMYFUNCTION("""COMPUTED_VALUE"""),"KYAI KONTONG")</f>
        <v>KYAI KONTONG</v>
      </c>
      <c r="D8219" s="186">
        <f>IFERROR(__xludf.DUMMYFUNCTION("""COMPUTED_VALUE"""),20.0)</f>
        <v>20</v>
      </c>
    </row>
    <row r="8220">
      <c r="A8220" s="178" t="str">
        <f>IFERROR(__xludf.DUMMYFUNCTION("""COMPUTED_VALUE"""),"ITBISA-LED-SUPERBRIGHT-5MM-WHITE")</f>
        <v>ITBISA-LED-SUPERBRIGHT-5MM-WHITE</v>
      </c>
      <c r="B8220" s="266">
        <f>IFERROR(__xludf.DUMMYFUNCTION("""COMPUTED_VALUE"""),45812.0)</f>
        <v>45812</v>
      </c>
      <c r="C8220" s="266" t="str">
        <f>IFERROR(__xludf.DUMMYFUNCTION("""COMPUTED_VALUE"""),"KERTASARI CIAMIS")</f>
        <v>KERTASARI CIAMIS</v>
      </c>
      <c r="D8220" s="186">
        <f>IFERROR(__xludf.DUMMYFUNCTION("""COMPUTED_VALUE"""),50.0)</f>
        <v>50</v>
      </c>
    </row>
    <row r="8221">
      <c r="A8221" s="178" t="str">
        <f>IFERROR(__xludf.DUMMYFUNCTION("""COMPUTED_VALUE"""),"ITBISA-LED-SUPERBRIGHT-5MM-WHITE")</f>
        <v>ITBISA-LED-SUPERBRIGHT-5MM-WHITE</v>
      </c>
      <c r="B8221" s="266">
        <f>IFERROR(__xludf.DUMMYFUNCTION("""COMPUTED_VALUE"""),45827.0)</f>
        <v>45827</v>
      </c>
      <c r="C8221" s="266" t="str">
        <f>IFERROR(__xludf.DUMMYFUNCTION("""COMPUTED_VALUE"""),"KERTASARI CIAMIS")</f>
        <v>KERTASARI CIAMIS</v>
      </c>
      <c r="D8221" s="186">
        <f>IFERROR(__xludf.DUMMYFUNCTION("""COMPUTED_VALUE"""),10.0)</f>
        <v>10</v>
      </c>
    </row>
    <row r="8222">
      <c r="A8222" s="178" t="str">
        <f>IFERROR(__xludf.DUMMYFUNCTION("""COMPUTED_VALUE"""),"ITBISA-LED-SUPERBRIGHT-5MM-WHITE")</f>
        <v>ITBISA-LED-SUPERBRIGHT-5MM-WHITE</v>
      </c>
      <c r="B8222" s="266">
        <f>IFERROR(__xludf.DUMMYFUNCTION("""COMPUTED_VALUE"""),45832.0)</f>
        <v>45832</v>
      </c>
      <c r="C8222" s="266" t="str">
        <f>IFERROR(__xludf.DUMMYFUNCTION("""COMPUTED_VALUE"""),"KERTASARI CIAMIS")</f>
        <v>KERTASARI CIAMIS</v>
      </c>
      <c r="D8222" s="186">
        <f>IFERROR(__xludf.DUMMYFUNCTION("""COMPUTED_VALUE"""),100.0)</f>
        <v>100</v>
      </c>
    </row>
    <row r="8223">
      <c r="A8223" s="178" t="str">
        <f>IFERROR(__xludf.DUMMYFUNCTION("""COMPUTED_VALUE"""),"ITBISA-LED-SUPERBRIGHT-5MM-WHITE")</f>
        <v>ITBISA-LED-SUPERBRIGHT-5MM-WHITE</v>
      </c>
      <c r="B8223" s="266">
        <f>IFERROR(__xludf.DUMMYFUNCTION("""COMPUTED_VALUE"""),45837.0)</f>
        <v>45837</v>
      </c>
      <c r="C8223" s="266" t="str">
        <f>IFERROR(__xludf.DUMMYFUNCTION("""COMPUTED_VALUE"""),"KERTASARI CIAMIS")</f>
        <v>KERTASARI CIAMIS</v>
      </c>
      <c r="D8223" s="186">
        <f>IFERROR(__xludf.DUMMYFUNCTION("""COMPUTED_VALUE"""),50.0)</f>
        <v>50</v>
      </c>
    </row>
    <row r="8224">
      <c r="A8224" s="178" t="str">
        <f>IFERROR(__xludf.DUMMYFUNCTION("""COMPUTED_VALUE"""),"ITBISA-LED-SUPERBRIGHT-5MM-WHITE")</f>
        <v>ITBISA-LED-SUPERBRIGHT-5MM-WHITE</v>
      </c>
      <c r="B8224" s="266">
        <f>IFERROR(__xludf.DUMMYFUNCTION("""COMPUTED_VALUE"""),45861.0)</f>
        <v>45861</v>
      </c>
      <c r="C8224" s="266" t="str">
        <f>IFERROR(__xludf.DUMMYFUNCTION("""COMPUTED_VALUE"""),"KERTASARI CIAMIS")</f>
        <v>KERTASARI CIAMIS</v>
      </c>
      <c r="D8224" s="186">
        <f>IFERROR(__xludf.DUMMYFUNCTION("""COMPUTED_VALUE"""),50.0)</f>
        <v>50</v>
      </c>
    </row>
    <row r="8225">
      <c r="A8225" s="178" t="str">
        <f>IFERROR(__xludf.DUMMYFUNCTION("""COMPUTED_VALUE"""),"ITBISA-LED-SUPERBRIGHT-5MM-WHITE")</f>
        <v>ITBISA-LED-SUPERBRIGHT-5MM-WHITE</v>
      </c>
      <c r="B8225" s="266">
        <f>IFERROR(__xludf.DUMMYFUNCTION("""COMPUTED_VALUE"""),45864.0)</f>
        <v>45864</v>
      </c>
      <c r="C8225" s="266" t="str">
        <f>IFERROR(__xludf.DUMMYFUNCTION("""COMPUTED_VALUE"""),"KYAI KONTONG")</f>
        <v>KYAI KONTONG</v>
      </c>
      <c r="D8225" s="186">
        <f>IFERROR(__xludf.DUMMYFUNCTION("""COMPUTED_VALUE"""),20.0)</f>
        <v>20</v>
      </c>
    </row>
    <row r="8226">
      <c r="A8226" s="178" t="str">
        <f>IFERROR(__xludf.DUMMYFUNCTION("""COMPUTED_VALUE"""),"ITBISA-LED-SUPERBRIGHT-5MM-WHITE")</f>
        <v>ITBISA-LED-SUPERBRIGHT-5MM-WHITE</v>
      </c>
      <c r="B8226" s="266">
        <f>IFERROR(__xludf.DUMMYFUNCTION("""COMPUTED_VALUE"""),45867.0)</f>
        <v>45867</v>
      </c>
      <c r="C8226" s="266" t="str">
        <f>IFERROR(__xludf.DUMMYFUNCTION("""COMPUTED_VALUE"""),"KYAI KONTONG")</f>
        <v>KYAI KONTONG</v>
      </c>
      <c r="D8226" s="186">
        <f>IFERROR(__xludf.DUMMYFUNCTION("""COMPUTED_VALUE"""),20.0)</f>
        <v>20</v>
      </c>
    </row>
    <row r="8227">
      <c r="A8227" s="178" t="str">
        <f>IFERROR(__xludf.DUMMYFUNCTION("""COMPUTED_VALUE"""),"ITBISA-LED-SUPERBRIGHT-5MM-WHITE")</f>
        <v>ITBISA-LED-SUPERBRIGHT-5MM-WHITE</v>
      </c>
      <c r="B8227" s="266">
        <f>IFERROR(__xludf.DUMMYFUNCTION("""COMPUTED_VALUE"""),45874.0)</f>
        <v>45874</v>
      </c>
      <c r="C8227" s="266" t="str">
        <f>IFERROR(__xludf.DUMMYFUNCTION("""COMPUTED_VALUE"""),"KERTASARI CIAMIS")</f>
        <v>KERTASARI CIAMIS</v>
      </c>
      <c r="D8227" s="186">
        <f>IFERROR(__xludf.DUMMYFUNCTION("""COMPUTED_VALUE"""),1.0)</f>
        <v>1</v>
      </c>
    </row>
    <row r="8228">
      <c r="A8228" s="178" t="str">
        <f>IFERROR(__xludf.DUMMYFUNCTION("""COMPUTED_VALUE"""),"ITBISA-LED-SUPERBRIGHT-5MM-WHITE")</f>
        <v>ITBISA-LED-SUPERBRIGHT-5MM-WHITE</v>
      </c>
      <c r="B8228" s="266">
        <f>IFERROR(__xludf.DUMMYFUNCTION("""COMPUTED_VALUE"""),45875.0)</f>
        <v>45875</v>
      </c>
      <c r="C8228" s="266" t="str">
        <f>IFERROR(__xludf.DUMMYFUNCTION("""COMPUTED_VALUE"""),"KERTASARI CIAMIS")</f>
        <v>KERTASARI CIAMIS</v>
      </c>
      <c r="D8228" s="186">
        <f>IFERROR(__xludf.DUMMYFUNCTION("""COMPUTED_VALUE"""),10.0)</f>
        <v>10</v>
      </c>
    </row>
    <row r="8229">
      <c r="A8229" s="178" t="str">
        <f>IFERROR(__xludf.DUMMYFUNCTION("""COMPUTED_VALUE"""),"ITBISA-LED-SUPERBRIGHT-5MM-WHITE")</f>
        <v>ITBISA-LED-SUPERBRIGHT-5MM-WHITE</v>
      </c>
      <c r="B8229" s="266">
        <f>IFERROR(__xludf.DUMMYFUNCTION("""COMPUTED_VALUE"""),45877.0)</f>
        <v>45877</v>
      </c>
      <c r="C8229" s="266" t="str">
        <f>IFERROR(__xludf.DUMMYFUNCTION("""COMPUTED_VALUE"""),"KYAI KONTONG")</f>
        <v>KYAI KONTONG</v>
      </c>
      <c r="D8229" s="186">
        <f>IFERROR(__xludf.DUMMYFUNCTION("""COMPUTED_VALUE"""),1.0)</f>
        <v>1</v>
      </c>
    </row>
    <row r="8230">
      <c r="A8230" s="178" t="str">
        <f>IFERROR(__xludf.DUMMYFUNCTION("""COMPUTED_VALUE"""),"ITBISA-LED-SUPERBRIGHT-5MM-WHITE")</f>
        <v>ITBISA-LED-SUPERBRIGHT-5MM-WHITE</v>
      </c>
      <c r="B8230" s="266">
        <f>IFERROR(__xludf.DUMMYFUNCTION("""COMPUTED_VALUE"""),45883.0)</f>
        <v>45883</v>
      </c>
      <c r="C8230" s="266" t="str">
        <f>IFERROR(__xludf.DUMMYFUNCTION("""COMPUTED_VALUE"""),"KYAI KONTONG")</f>
        <v>KYAI KONTONG</v>
      </c>
      <c r="D8230" s="186">
        <f>IFERROR(__xludf.DUMMYFUNCTION("""COMPUTED_VALUE"""),10.0)</f>
        <v>10</v>
      </c>
    </row>
    <row r="8231">
      <c r="A8231" s="178" t="str">
        <f>IFERROR(__xludf.DUMMYFUNCTION("""COMPUTED_VALUE"""),"ITBISA-LED-SUPERBRIGHT-5MM-WHITE")</f>
        <v>ITBISA-LED-SUPERBRIGHT-5MM-WHITE</v>
      </c>
      <c r="B8231" s="266">
        <f>IFERROR(__xludf.DUMMYFUNCTION("""COMPUTED_VALUE"""),45900.0)</f>
        <v>45900</v>
      </c>
      <c r="C8231" s="266" t="str">
        <f>IFERROR(__xludf.DUMMYFUNCTION("""COMPUTED_VALUE"""),"KERTASARI CIAMIS")</f>
        <v>KERTASARI CIAMIS</v>
      </c>
      <c r="D8231" s="186">
        <f>IFERROR(__xludf.DUMMYFUNCTION("""COMPUTED_VALUE"""),50.0)</f>
        <v>50</v>
      </c>
    </row>
    <row r="8232">
      <c r="A8232" s="178" t="str">
        <f>IFERROR(__xludf.DUMMYFUNCTION("""COMPUTED_VALUE"""),"ITBISA-LED-SUPERBRIGHT-5MM-WHITE")</f>
        <v>ITBISA-LED-SUPERBRIGHT-5MM-WHITE</v>
      </c>
      <c r="B8232" s="266">
        <f>IFERROR(__xludf.DUMMYFUNCTION("""COMPUTED_VALUE"""),45902.0)</f>
        <v>45902</v>
      </c>
      <c r="C8232" s="266" t="str">
        <f>IFERROR(__xludf.DUMMYFUNCTION("""COMPUTED_VALUE"""),"KERTASARI CIAMIS")</f>
        <v>KERTASARI CIAMIS</v>
      </c>
      <c r="D8232" s="186">
        <f>IFERROR(__xludf.DUMMYFUNCTION("""COMPUTED_VALUE"""),5.0)</f>
        <v>5</v>
      </c>
    </row>
    <row r="8233">
      <c r="A8233" s="178" t="str">
        <f>IFERROR(__xludf.DUMMYFUNCTION("""COMPUTED_VALUE"""),"ITBISA-LED-SUPERBRIGHT-5MM-WHITE")</f>
        <v>ITBISA-LED-SUPERBRIGHT-5MM-WHITE</v>
      </c>
      <c r="B8233" s="266">
        <f>IFERROR(__xludf.DUMMYFUNCTION("""COMPUTED_VALUE"""),45910.0)</f>
        <v>45910</v>
      </c>
      <c r="C8233" s="266" t="str">
        <f>IFERROR(__xludf.DUMMYFUNCTION("""COMPUTED_VALUE"""),"KYAI KONTONG")</f>
        <v>KYAI KONTONG</v>
      </c>
      <c r="D8233" s="186">
        <f>IFERROR(__xludf.DUMMYFUNCTION("""COMPUTED_VALUE"""),10.0)</f>
        <v>10</v>
      </c>
    </row>
    <row r="8234">
      <c r="A8234" s="178" t="str">
        <f>IFERROR(__xludf.DUMMYFUNCTION("""COMPUTED_VALUE"""),"ITBISA-LED-SUPERBRIGHT-5MM-WHITE")</f>
        <v>ITBISA-LED-SUPERBRIGHT-5MM-WHITE</v>
      </c>
      <c r="B8234" s="266">
        <f>IFERROR(__xludf.DUMMYFUNCTION("""COMPUTED_VALUE"""),45910.0)</f>
        <v>45910</v>
      </c>
      <c r="C8234" s="266" t="str">
        <f>IFERROR(__xludf.DUMMYFUNCTION("""COMPUTED_VALUE"""),"KYAI KONTONG")</f>
        <v>KYAI KONTONG</v>
      </c>
      <c r="D8234" s="186">
        <f>IFERROR(__xludf.DUMMYFUNCTION("""COMPUTED_VALUE"""),25.0)</f>
        <v>25</v>
      </c>
    </row>
    <row r="8235">
      <c r="A8235" s="178" t="str">
        <f>IFERROR(__xludf.DUMMYFUNCTION("""COMPUTED_VALUE"""),"ITBISA-LED-SUPERBRIGHT-5MM-WHITE")</f>
        <v>ITBISA-LED-SUPERBRIGHT-5MM-WHITE</v>
      </c>
      <c r="B8235" s="266">
        <f>IFERROR(__xludf.DUMMYFUNCTION("""COMPUTED_VALUE"""),45915.0)</f>
        <v>45915</v>
      </c>
      <c r="C8235" s="266" t="str">
        <f>IFERROR(__xludf.DUMMYFUNCTION("""COMPUTED_VALUE"""),"KYAI KONTONG")</f>
        <v>KYAI KONTONG</v>
      </c>
      <c r="D8235" s="186">
        <f>IFERROR(__xludf.DUMMYFUNCTION("""COMPUTED_VALUE"""),5.0)</f>
        <v>5</v>
      </c>
    </row>
    <row r="8236">
      <c r="A8236" s="178" t="str">
        <f>IFERROR(__xludf.DUMMYFUNCTION("""COMPUTED_VALUE"""),"ITBISA-LED-SUPERBRIGHT-5MM-WHITE")</f>
        <v>ITBISA-LED-SUPERBRIGHT-5MM-WHITE</v>
      </c>
      <c r="B8236" s="266">
        <f>IFERROR(__xludf.DUMMYFUNCTION("""COMPUTED_VALUE"""),45917.0)</f>
        <v>45917</v>
      </c>
      <c r="C8236" s="266" t="str">
        <f>IFERROR(__xludf.DUMMYFUNCTION("""COMPUTED_VALUE"""),"KYAI KONTONG")</f>
        <v>KYAI KONTONG</v>
      </c>
      <c r="D8236" s="186">
        <f>IFERROR(__xludf.DUMMYFUNCTION("""COMPUTED_VALUE"""),60.0)</f>
        <v>60</v>
      </c>
    </row>
    <row r="8237">
      <c r="A8237" s="178" t="str">
        <f>IFERROR(__xludf.DUMMYFUNCTION("""COMPUTED_VALUE"""),"ITBISA-LED-SUPERBRIGHT-5MM-WHITE")</f>
        <v>ITBISA-LED-SUPERBRIGHT-5MM-WHITE</v>
      </c>
      <c r="B8237" s="266">
        <f>IFERROR(__xludf.DUMMYFUNCTION("""COMPUTED_VALUE"""),45920.0)</f>
        <v>45920</v>
      </c>
      <c r="C8237" s="266" t="str">
        <f>IFERROR(__xludf.DUMMYFUNCTION("""COMPUTED_VALUE"""),"KYAI KONTONG")</f>
        <v>KYAI KONTONG</v>
      </c>
      <c r="D8237" s="186">
        <f>IFERROR(__xludf.DUMMYFUNCTION("""COMPUTED_VALUE"""),6.0)</f>
        <v>6</v>
      </c>
    </row>
    <row r="8238">
      <c r="A8238" s="178" t="str">
        <f>IFERROR(__xludf.DUMMYFUNCTION("""COMPUTED_VALUE"""),"ITBISA-LED-SUPERBRIGHT-5MM-WHITE")</f>
        <v>ITBISA-LED-SUPERBRIGHT-5MM-WHITE</v>
      </c>
      <c r="B8238" s="266">
        <f>IFERROR(__xludf.DUMMYFUNCTION("""COMPUTED_VALUE"""),45921.0)</f>
        <v>45921</v>
      </c>
      <c r="C8238" s="266" t="str">
        <f>IFERROR(__xludf.DUMMYFUNCTION("""COMPUTED_VALUE"""),"KYAI KONTONG")</f>
        <v>KYAI KONTONG</v>
      </c>
      <c r="D8238" s="186">
        <f>IFERROR(__xludf.DUMMYFUNCTION("""COMPUTED_VALUE"""),20.0)</f>
        <v>20</v>
      </c>
    </row>
    <row r="8239">
      <c r="A8239" s="178" t="str">
        <f>IFERROR(__xludf.DUMMYFUNCTION("""COMPUTED_VALUE"""),"ITBISA-LED-SUPERBRIGHT-5MM-WHITE")</f>
        <v>ITBISA-LED-SUPERBRIGHT-5MM-WHITE</v>
      </c>
      <c r="B8239" s="266">
        <f>IFERROR(__xludf.DUMMYFUNCTION("""COMPUTED_VALUE"""),45922.0)</f>
        <v>45922</v>
      </c>
      <c r="C8239" s="266" t="str">
        <f>IFERROR(__xludf.DUMMYFUNCTION("""COMPUTED_VALUE"""),"KYAI KONTONG")</f>
        <v>KYAI KONTONG</v>
      </c>
      <c r="D8239" s="186">
        <f>IFERROR(__xludf.DUMMYFUNCTION("""COMPUTED_VALUE"""),10.0)</f>
        <v>10</v>
      </c>
    </row>
    <row r="8240">
      <c r="A8240" s="178" t="str">
        <f>IFERROR(__xludf.DUMMYFUNCTION("""COMPUTED_VALUE"""),"ITBISA-LED-SUPERBRIGHT-5MM-WHITE")</f>
        <v>ITBISA-LED-SUPERBRIGHT-5MM-WHITE</v>
      </c>
      <c r="B8240" s="266">
        <f>IFERROR(__xludf.DUMMYFUNCTION("""COMPUTED_VALUE"""),45923.0)</f>
        <v>45923</v>
      </c>
      <c r="C8240" s="266" t="str">
        <f>IFERROR(__xludf.DUMMYFUNCTION("""COMPUTED_VALUE"""),"KYAI KONTONG")</f>
        <v>KYAI KONTONG</v>
      </c>
      <c r="D8240" s="186">
        <f>IFERROR(__xludf.DUMMYFUNCTION("""COMPUTED_VALUE"""),10.0)</f>
        <v>10</v>
      </c>
    </row>
    <row r="8241">
      <c r="A8241" s="178" t="str">
        <f>IFERROR(__xludf.DUMMYFUNCTION("""COMPUTED_VALUE"""),"ITBISA-LED-SUPERBRIGHT-5MM-WHITE")</f>
        <v>ITBISA-LED-SUPERBRIGHT-5MM-WHITE</v>
      </c>
      <c r="B8241" s="266">
        <f>IFERROR(__xludf.DUMMYFUNCTION("""COMPUTED_VALUE"""),45924.0)</f>
        <v>45924</v>
      </c>
      <c r="C8241" s="266" t="str">
        <f>IFERROR(__xludf.DUMMYFUNCTION("""COMPUTED_VALUE"""),"KERTASARI CIAMIS")</f>
        <v>KERTASARI CIAMIS</v>
      </c>
      <c r="D8241" s="186">
        <f>IFERROR(__xludf.DUMMYFUNCTION("""COMPUTED_VALUE"""),20.0)</f>
        <v>20</v>
      </c>
    </row>
    <row r="8242">
      <c r="A8242" s="178" t="str">
        <f>IFERROR(__xludf.DUMMYFUNCTION("""COMPUTED_VALUE"""),"ITBISA-LED-SUPERBRIGHT-5MM-WHITE")</f>
        <v>ITBISA-LED-SUPERBRIGHT-5MM-WHITE</v>
      </c>
      <c r="B8242" s="266">
        <f>IFERROR(__xludf.DUMMYFUNCTION("""COMPUTED_VALUE"""),45925.0)</f>
        <v>45925</v>
      </c>
      <c r="C8242" s="266" t="str">
        <f>IFERROR(__xludf.DUMMYFUNCTION("""COMPUTED_VALUE"""),"KERTASARI CIAMIS")</f>
        <v>KERTASARI CIAMIS</v>
      </c>
      <c r="D8242" s="186">
        <f>IFERROR(__xludf.DUMMYFUNCTION("""COMPUTED_VALUE"""),10.0)</f>
        <v>10</v>
      </c>
    </row>
    <row r="8243">
      <c r="A8243" s="178" t="str">
        <f>IFERROR(__xludf.DUMMYFUNCTION("""COMPUTED_VALUE"""),"ITBISA-LED-SUPERBRIGHT-5MM-WHITE")</f>
        <v>ITBISA-LED-SUPERBRIGHT-5MM-WHITE</v>
      </c>
      <c r="B8243" s="266">
        <f>IFERROR(__xludf.DUMMYFUNCTION("""COMPUTED_VALUE"""),45929.0)</f>
        <v>45929</v>
      </c>
      <c r="C8243" s="266" t="str">
        <f>IFERROR(__xludf.DUMMYFUNCTION("""COMPUTED_VALUE"""),"KYAI KONTONG")</f>
        <v>KYAI KONTONG</v>
      </c>
      <c r="D8243" s="186">
        <f>IFERROR(__xludf.DUMMYFUNCTION("""COMPUTED_VALUE"""),26.0)</f>
        <v>26</v>
      </c>
    </row>
    <row r="8244">
      <c r="A8244" s="178" t="str">
        <f>IFERROR(__xludf.DUMMYFUNCTION("""COMPUTED_VALUE"""),"ITBISA-LED-SUPERBRIGHT-5MM-WHITE")</f>
        <v>ITBISA-LED-SUPERBRIGHT-5MM-WHITE</v>
      </c>
      <c r="B8244" s="266">
        <f>IFERROR(__xludf.DUMMYFUNCTION("""COMPUTED_VALUE"""),45938.0)</f>
        <v>45938</v>
      </c>
      <c r="C8244" s="266" t="str">
        <f>IFERROR(__xludf.DUMMYFUNCTION("""COMPUTED_VALUE"""),"KYAI KONTONG")</f>
        <v>KYAI KONTONG</v>
      </c>
      <c r="D8244" s="186">
        <f>IFERROR(__xludf.DUMMYFUNCTION("""COMPUTED_VALUE"""),70.0)</f>
        <v>70</v>
      </c>
    </row>
    <row r="8245">
      <c r="A8245" s="178" t="str">
        <f>IFERROR(__xludf.DUMMYFUNCTION("""COMPUTED_VALUE"""),"ITBISA-LED-SUPERBRIGHT-5MM-WHITE")</f>
        <v>ITBISA-LED-SUPERBRIGHT-5MM-WHITE</v>
      </c>
      <c r="B8245" s="266">
        <f>IFERROR(__xludf.DUMMYFUNCTION("""COMPUTED_VALUE"""),45940.0)</f>
        <v>45940</v>
      </c>
      <c r="C8245" s="266" t="str">
        <f>IFERROR(__xludf.DUMMYFUNCTION("""COMPUTED_VALUE"""),"KYAI KONTONG")</f>
        <v>KYAI KONTONG</v>
      </c>
      <c r="D8245" s="186">
        <f>IFERROR(__xludf.DUMMYFUNCTION("""COMPUTED_VALUE"""),20.0)</f>
        <v>20</v>
      </c>
    </row>
    <row r="8246">
      <c r="A8246" s="178" t="str">
        <f>IFERROR(__xludf.DUMMYFUNCTION("""COMPUTED_VALUE"""),"ITBISA-LED-SUPERBRIGHT-5MM-WHITE")</f>
        <v>ITBISA-LED-SUPERBRIGHT-5MM-WHITE</v>
      </c>
      <c r="B8246" s="266">
        <f>IFERROR(__xludf.DUMMYFUNCTION("""COMPUTED_VALUE"""),45941.0)</f>
        <v>45941</v>
      </c>
      <c r="C8246" s="266" t="str">
        <f>IFERROR(__xludf.DUMMYFUNCTION("""COMPUTED_VALUE"""),"KYAI KONTONG")</f>
        <v>KYAI KONTONG</v>
      </c>
      <c r="D8246" s="186">
        <f>IFERROR(__xludf.DUMMYFUNCTION("""COMPUTED_VALUE"""),24.0)</f>
        <v>24</v>
      </c>
    </row>
    <row r="8247">
      <c r="A8247" s="178" t="str">
        <f>IFERROR(__xludf.DUMMYFUNCTION("""COMPUTED_VALUE"""),"ITBISA-LED-SUPERBRIGHT-5MM-WHITE")</f>
        <v>ITBISA-LED-SUPERBRIGHT-5MM-WHITE</v>
      </c>
      <c r="B8247" s="266">
        <f>IFERROR(__xludf.DUMMYFUNCTION("""COMPUTED_VALUE"""),45942.0)</f>
        <v>45942</v>
      </c>
      <c r="C8247" s="266" t="str">
        <f>IFERROR(__xludf.DUMMYFUNCTION("""COMPUTED_VALUE"""),"KYAI KONTONG")</f>
        <v>KYAI KONTONG</v>
      </c>
      <c r="D8247" s="186">
        <f>IFERROR(__xludf.DUMMYFUNCTION("""COMPUTED_VALUE"""),60.0)</f>
        <v>60</v>
      </c>
    </row>
    <row r="8248">
      <c r="A8248" s="178" t="str">
        <f>IFERROR(__xludf.DUMMYFUNCTION("""COMPUTED_VALUE"""),"ITBISA-LED-SUPERBRIGHT-5MM-WHITE")</f>
        <v>ITBISA-LED-SUPERBRIGHT-5MM-WHITE</v>
      </c>
      <c r="B8248" s="266">
        <f>IFERROR(__xludf.DUMMYFUNCTION("""COMPUTED_VALUE"""),45943.0)</f>
        <v>45943</v>
      </c>
      <c r="C8248" s="266" t="str">
        <f>IFERROR(__xludf.DUMMYFUNCTION("""COMPUTED_VALUE"""),"KYAI KONTONG")</f>
        <v>KYAI KONTONG</v>
      </c>
      <c r="D8248" s="186">
        <f>IFERROR(__xludf.DUMMYFUNCTION("""COMPUTED_VALUE"""),5.0)</f>
        <v>5</v>
      </c>
    </row>
    <row r="8249">
      <c r="A8249" s="178" t="str">
        <f>IFERROR(__xludf.DUMMYFUNCTION("""COMPUTED_VALUE"""),"ITBISA-LED-SUPERBRIGHT-5MM-WHITE")</f>
        <v>ITBISA-LED-SUPERBRIGHT-5MM-WHITE</v>
      </c>
      <c r="B8249" s="266">
        <f>IFERROR(__xludf.DUMMYFUNCTION("""COMPUTED_VALUE"""),45943.0)</f>
        <v>45943</v>
      </c>
      <c r="C8249" s="266" t="str">
        <f>IFERROR(__xludf.DUMMYFUNCTION("""COMPUTED_VALUE"""),"KYAI KONTONG")</f>
        <v>KYAI KONTONG</v>
      </c>
      <c r="D8249" s="186">
        <f>IFERROR(__xludf.DUMMYFUNCTION("""COMPUTED_VALUE"""),100.0)</f>
        <v>100</v>
      </c>
    </row>
    <row r="8250">
      <c r="A8250" s="178" t="str">
        <f>IFERROR(__xludf.DUMMYFUNCTION("""COMPUTED_VALUE"""),"ITBISA-LED-SUPERBRIGHT-5MM-WHITE")</f>
        <v>ITBISA-LED-SUPERBRIGHT-5MM-WHITE</v>
      </c>
      <c r="B8250" s="266">
        <f>IFERROR(__xludf.DUMMYFUNCTION("""COMPUTED_VALUE"""),45945.0)</f>
        <v>45945</v>
      </c>
      <c r="C8250" s="266" t="str">
        <f>IFERROR(__xludf.DUMMYFUNCTION("""COMPUTED_VALUE"""),"KYAI KONTONG")</f>
        <v>KYAI KONTONG</v>
      </c>
      <c r="D8250" s="186">
        <f>IFERROR(__xludf.DUMMYFUNCTION("""COMPUTED_VALUE"""),6.0)</f>
        <v>6</v>
      </c>
    </row>
    <row r="8251">
      <c r="A8251" s="178" t="str">
        <f>IFERROR(__xludf.DUMMYFUNCTION("""COMPUTED_VALUE"""),"ITBISA-LED-SUPERBRIGHT-5MM-WHITE")</f>
        <v>ITBISA-LED-SUPERBRIGHT-5MM-WHITE</v>
      </c>
      <c r="B8251" s="266">
        <f>IFERROR(__xludf.DUMMYFUNCTION("""COMPUTED_VALUE"""),45946.0)</f>
        <v>45946</v>
      </c>
      <c r="C8251" s="266" t="str">
        <f>IFERROR(__xludf.DUMMYFUNCTION("""COMPUTED_VALUE"""),"KYAI KONTONG")</f>
        <v>KYAI KONTONG</v>
      </c>
      <c r="D8251" s="186">
        <f>IFERROR(__xludf.DUMMYFUNCTION("""COMPUTED_VALUE"""),5.0)</f>
        <v>5</v>
      </c>
    </row>
    <row r="8252">
      <c r="A8252" s="178" t="str">
        <f>IFERROR(__xludf.DUMMYFUNCTION("""COMPUTED_VALUE"""),"ITBISA-LED-SUPERBRIGHT-5MM-WHITE")</f>
        <v>ITBISA-LED-SUPERBRIGHT-5MM-WHITE</v>
      </c>
      <c r="B8252" s="266">
        <f>IFERROR(__xludf.DUMMYFUNCTION("""COMPUTED_VALUE"""),45946.0)</f>
        <v>45946</v>
      </c>
      <c r="C8252" s="266" t="str">
        <f>IFERROR(__xludf.DUMMYFUNCTION("""COMPUTED_VALUE"""),"KYAI KONTONG")</f>
        <v>KYAI KONTONG</v>
      </c>
      <c r="D8252" s="186">
        <f>IFERROR(__xludf.DUMMYFUNCTION("""COMPUTED_VALUE"""),100.0)</f>
        <v>100</v>
      </c>
    </row>
    <row r="8253">
      <c r="A8253" s="178" t="str">
        <f>IFERROR(__xludf.DUMMYFUNCTION("""COMPUTED_VALUE"""),"ITBISA-LED-SUPERBRIGHT-5MM-WHITE")</f>
        <v>ITBISA-LED-SUPERBRIGHT-5MM-WHITE</v>
      </c>
      <c r="B8253" s="266">
        <f>IFERROR(__xludf.DUMMYFUNCTION("""COMPUTED_VALUE"""),45947.0)</f>
        <v>45947</v>
      </c>
      <c r="C8253" s="266" t="str">
        <f>IFERROR(__xludf.DUMMYFUNCTION("""COMPUTED_VALUE"""),"KYAI KONTONG")</f>
        <v>KYAI KONTONG</v>
      </c>
      <c r="D8253" s="186">
        <f>IFERROR(__xludf.DUMMYFUNCTION("""COMPUTED_VALUE"""),5.0)</f>
        <v>5</v>
      </c>
    </row>
    <row r="8254">
      <c r="A8254" s="178" t="str">
        <f>IFERROR(__xludf.DUMMYFUNCTION("""COMPUTED_VALUE"""),"ITBISA-LED-SUPERBRIGHT-5MM-WHITE")</f>
        <v>ITBISA-LED-SUPERBRIGHT-5MM-WHITE</v>
      </c>
      <c r="B8254" s="266">
        <f>IFERROR(__xludf.DUMMYFUNCTION("""COMPUTED_VALUE"""),45948.0)</f>
        <v>45948</v>
      </c>
      <c r="C8254" s="266" t="str">
        <f>IFERROR(__xludf.DUMMYFUNCTION("""COMPUTED_VALUE"""),"KYAI KONTONG")</f>
        <v>KYAI KONTONG</v>
      </c>
      <c r="D8254" s="186">
        <f>IFERROR(__xludf.DUMMYFUNCTION("""COMPUTED_VALUE"""),1.0)</f>
        <v>1</v>
      </c>
    </row>
    <row r="8255">
      <c r="A8255" s="178" t="str">
        <f>IFERROR(__xludf.DUMMYFUNCTION("""COMPUTED_VALUE"""),"ITBISA-LED-SUPERBRIGHT-5MM-WHITE")</f>
        <v>ITBISA-LED-SUPERBRIGHT-5MM-WHITE</v>
      </c>
      <c r="B8255" s="266">
        <f>IFERROR(__xludf.DUMMYFUNCTION("""COMPUTED_VALUE"""),45949.0)</f>
        <v>45949</v>
      </c>
      <c r="C8255" s="266" t="str">
        <f>IFERROR(__xludf.DUMMYFUNCTION("""COMPUTED_VALUE"""),"KYAI KONTONG")</f>
        <v>KYAI KONTONG</v>
      </c>
      <c r="D8255" s="186">
        <f>IFERROR(__xludf.DUMMYFUNCTION("""COMPUTED_VALUE"""),2.0)</f>
        <v>2</v>
      </c>
    </row>
    <row r="8256">
      <c r="A8256" s="178" t="str">
        <f>IFERROR(__xludf.DUMMYFUNCTION("""COMPUTED_VALUE"""),"ITBISA-LED-SUPERBRIGHT-5MM-WHITE")</f>
        <v>ITBISA-LED-SUPERBRIGHT-5MM-WHITE</v>
      </c>
      <c r="B8256" s="266">
        <f>IFERROR(__xludf.DUMMYFUNCTION("""COMPUTED_VALUE"""),45949.0)</f>
        <v>45949</v>
      </c>
      <c r="C8256" s="266" t="str">
        <f>IFERROR(__xludf.DUMMYFUNCTION("""COMPUTED_VALUE"""),"KYAI KONTONG")</f>
        <v>KYAI KONTONG</v>
      </c>
      <c r="D8256" s="186">
        <f>IFERROR(__xludf.DUMMYFUNCTION("""COMPUTED_VALUE"""),20.0)</f>
        <v>20</v>
      </c>
    </row>
    <row r="8257">
      <c r="A8257" s="178" t="str">
        <f>IFERROR(__xludf.DUMMYFUNCTION("""COMPUTED_VALUE"""),"ITBISA-LED-SUPERBRIGHT-5MM-WHITE")</f>
        <v>ITBISA-LED-SUPERBRIGHT-5MM-WHITE</v>
      </c>
      <c r="B8257" s="266">
        <f>IFERROR(__xludf.DUMMYFUNCTION("""COMPUTED_VALUE"""),45949.0)</f>
        <v>45949</v>
      </c>
      <c r="C8257" s="266" t="str">
        <f>IFERROR(__xludf.DUMMYFUNCTION("""COMPUTED_VALUE"""),"KYAI KONTONG")</f>
        <v>KYAI KONTONG</v>
      </c>
      <c r="D8257" s="186">
        <f>IFERROR(__xludf.DUMMYFUNCTION("""COMPUTED_VALUE"""),45.0)</f>
        <v>45</v>
      </c>
    </row>
    <row r="8258">
      <c r="A8258" s="178" t="str">
        <f>IFERROR(__xludf.DUMMYFUNCTION("""COMPUTED_VALUE"""),"ITBISA-LED-SUPERBRIGHT-5MM-WHITE")</f>
        <v>ITBISA-LED-SUPERBRIGHT-5MM-WHITE</v>
      </c>
      <c r="B8258" s="266">
        <f>IFERROR(__xludf.DUMMYFUNCTION("""COMPUTED_VALUE"""),45950.0)</f>
        <v>45950</v>
      </c>
      <c r="C8258" s="266" t="str">
        <f>IFERROR(__xludf.DUMMYFUNCTION("""COMPUTED_VALUE"""),"KYAI KONTONG")</f>
        <v>KYAI KONTONG</v>
      </c>
      <c r="D8258" s="186">
        <f>IFERROR(__xludf.DUMMYFUNCTION("""COMPUTED_VALUE"""),5.0)</f>
        <v>5</v>
      </c>
    </row>
    <row r="8259">
      <c r="A8259" s="178" t="str">
        <f>IFERROR(__xludf.DUMMYFUNCTION("""COMPUTED_VALUE"""),"ITBISA-LED-SUPERBRIGHT-5MM-WHITE")</f>
        <v>ITBISA-LED-SUPERBRIGHT-5MM-WHITE</v>
      </c>
      <c r="B8259" s="266">
        <f>IFERROR(__xludf.DUMMYFUNCTION("""COMPUTED_VALUE"""),45950.0)</f>
        <v>45950</v>
      </c>
      <c r="C8259" s="266" t="str">
        <f>IFERROR(__xludf.DUMMYFUNCTION("""COMPUTED_VALUE"""),"KYAI KONTONG")</f>
        <v>KYAI KONTONG</v>
      </c>
      <c r="D8259" s="186">
        <f>IFERROR(__xludf.DUMMYFUNCTION("""COMPUTED_VALUE"""),10.0)</f>
        <v>10</v>
      </c>
    </row>
    <row r="8260">
      <c r="A8260" s="178" t="str">
        <f>IFERROR(__xludf.DUMMYFUNCTION("""COMPUTED_VALUE"""),"ITBISA-LED-SUPERBRIGHT-5MM-WHITE")</f>
        <v>ITBISA-LED-SUPERBRIGHT-5MM-WHITE</v>
      </c>
      <c r="B8260" s="266">
        <f>IFERROR(__xludf.DUMMYFUNCTION("""COMPUTED_VALUE"""),45952.0)</f>
        <v>45952</v>
      </c>
      <c r="C8260" s="266" t="str">
        <f>IFERROR(__xludf.DUMMYFUNCTION("""COMPUTED_VALUE"""),"KYAI KONTONG")</f>
        <v>KYAI KONTONG</v>
      </c>
      <c r="D8260" s="186">
        <f>IFERROR(__xludf.DUMMYFUNCTION("""COMPUTED_VALUE"""),50.0)</f>
        <v>50</v>
      </c>
    </row>
    <row r="8261">
      <c r="A8261" s="178" t="str">
        <f>IFERROR(__xludf.DUMMYFUNCTION("""COMPUTED_VALUE"""),"ITBISA-LED-SUPERBRIGHT-5MM-WHITE")</f>
        <v>ITBISA-LED-SUPERBRIGHT-5MM-WHITE</v>
      </c>
      <c r="B8261" s="266">
        <f>IFERROR(__xludf.DUMMYFUNCTION("""COMPUTED_VALUE"""),45953.0)</f>
        <v>45953</v>
      </c>
      <c r="C8261" s="266" t="str">
        <f>IFERROR(__xludf.DUMMYFUNCTION("""COMPUTED_VALUE"""),"KERTASARI CIAMIS")</f>
        <v>KERTASARI CIAMIS</v>
      </c>
      <c r="D8261" s="186">
        <f>IFERROR(__xludf.DUMMYFUNCTION("""COMPUTED_VALUE"""),2.0)</f>
        <v>2</v>
      </c>
    </row>
    <row r="8262">
      <c r="A8262" s="178" t="str">
        <f>IFERROR(__xludf.DUMMYFUNCTION("""COMPUTED_VALUE"""),"ITBISA-LED-SUPERBRIGHT-5MM-WHITE")</f>
        <v>ITBISA-LED-SUPERBRIGHT-5MM-WHITE</v>
      </c>
      <c r="B8262" s="266">
        <f>IFERROR(__xludf.DUMMYFUNCTION("""COMPUTED_VALUE"""),45954.0)</f>
        <v>45954</v>
      </c>
      <c r="C8262" s="266" t="str">
        <f>IFERROR(__xludf.DUMMYFUNCTION("""COMPUTED_VALUE"""),"KERTASARI CIAMIS")</f>
        <v>KERTASARI CIAMIS</v>
      </c>
      <c r="D8262" s="186">
        <f>IFERROR(__xludf.DUMMYFUNCTION("""COMPUTED_VALUE"""),20.0)</f>
        <v>20</v>
      </c>
    </row>
    <row r="8263">
      <c r="A8263" s="178" t="str">
        <f>IFERROR(__xludf.DUMMYFUNCTION("""COMPUTED_VALUE"""),"ITBISA-LED-SUPERBRIGHT-5MM-WHITE")</f>
        <v>ITBISA-LED-SUPERBRIGHT-5MM-WHITE</v>
      </c>
      <c r="B8263" s="266">
        <f>IFERROR(__xludf.DUMMYFUNCTION("""COMPUTED_VALUE"""),45954.0)</f>
        <v>45954</v>
      </c>
      <c r="C8263" s="266" t="str">
        <f>IFERROR(__xludf.DUMMYFUNCTION("""COMPUTED_VALUE"""),"KYAI KONTONG")</f>
        <v>KYAI KONTONG</v>
      </c>
      <c r="D8263" s="186">
        <f>IFERROR(__xludf.DUMMYFUNCTION("""COMPUTED_VALUE"""),3.0)</f>
        <v>3</v>
      </c>
    </row>
    <row r="8264">
      <c r="A8264" s="178" t="str">
        <f>IFERROR(__xludf.DUMMYFUNCTION("""COMPUTED_VALUE"""),"ITBISA-LED-SUPERBRIGHT-5MM-WHITE")</f>
        <v>ITBISA-LED-SUPERBRIGHT-5MM-WHITE</v>
      </c>
      <c r="B8264" s="266">
        <f>IFERROR(__xludf.DUMMYFUNCTION("""COMPUTED_VALUE"""),45954.0)</f>
        <v>45954</v>
      </c>
      <c r="C8264" s="266" t="str">
        <f>IFERROR(__xludf.DUMMYFUNCTION("""COMPUTED_VALUE"""),"KYAI KONTONG")</f>
        <v>KYAI KONTONG</v>
      </c>
      <c r="D8264" s="186">
        <f>IFERROR(__xludf.DUMMYFUNCTION("""COMPUTED_VALUE"""),5.0)</f>
        <v>5</v>
      </c>
    </row>
    <row r="8265">
      <c r="A8265" s="178" t="str">
        <f>IFERROR(__xludf.DUMMYFUNCTION("""COMPUTED_VALUE"""),"ITBISA-LED-SUPERBRIGHT-5MM-WHITE")</f>
        <v>ITBISA-LED-SUPERBRIGHT-5MM-WHITE</v>
      </c>
      <c r="B8265" s="266">
        <f>IFERROR(__xludf.DUMMYFUNCTION("""COMPUTED_VALUE"""),45955.0)</f>
        <v>45955</v>
      </c>
      <c r="C8265" s="266" t="str">
        <f>IFERROR(__xludf.DUMMYFUNCTION("""COMPUTED_VALUE"""),"KERTASARI CIAMIS")</f>
        <v>KERTASARI CIAMIS</v>
      </c>
      <c r="D8265" s="186">
        <f>IFERROR(__xludf.DUMMYFUNCTION("""COMPUTED_VALUE"""),10.0)</f>
        <v>10</v>
      </c>
    </row>
    <row r="8266">
      <c r="A8266" s="178" t="str">
        <f>IFERROR(__xludf.DUMMYFUNCTION("""COMPUTED_VALUE"""),"ITBISA-LED-SUPERBRIGHT-5MM-WHITE")</f>
        <v>ITBISA-LED-SUPERBRIGHT-5MM-WHITE</v>
      </c>
      <c r="B8266" s="266">
        <f>IFERROR(__xludf.DUMMYFUNCTION("""COMPUTED_VALUE"""),45955.0)</f>
        <v>45955</v>
      </c>
      <c r="C8266" s="266" t="str">
        <f>IFERROR(__xludf.DUMMYFUNCTION("""COMPUTED_VALUE"""),"KYAI KONTONG")</f>
        <v>KYAI KONTONG</v>
      </c>
      <c r="D8266" s="186">
        <f>IFERROR(__xludf.DUMMYFUNCTION("""COMPUTED_VALUE"""),5.0)</f>
        <v>5</v>
      </c>
    </row>
    <row r="8267">
      <c r="A8267" s="178" t="str">
        <f>IFERROR(__xludf.DUMMYFUNCTION("""COMPUTED_VALUE"""),"ITBISA-LED-SUPERBRIGHT-5MM-WHITE")</f>
        <v>ITBISA-LED-SUPERBRIGHT-5MM-WHITE</v>
      </c>
      <c r="B8267" s="266">
        <f>IFERROR(__xludf.DUMMYFUNCTION("""COMPUTED_VALUE"""),45956.0)</f>
        <v>45956</v>
      </c>
      <c r="C8267" s="266" t="str">
        <f>IFERROR(__xludf.DUMMYFUNCTION("""COMPUTED_VALUE"""),"KYAI KONTONG")</f>
        <v>KYAI KONTONG</v>
      </c>
      <c r="D8267" s="186">
        <f>IFERROR(__xludf.DUMMYFUNCTION("""COMPUTED_VALUE"""),40.0)</f>
        <v>40</v>
      </c>
    </row>
    <row r="8268">
      <c r="A8268" s="178" t="str">
        <f>IFERROR(__xludf.DUMMYFUNCTION("""COMPUTED_VALUE"""),"ITBISA-LED-SUPERBRIGHT-5MM-WHITE")</f>
        <v>ITBISA-LED-SUPERBRIGHT-5MM-WHITE</v>
      </c>
      <c r="B8268" s="266">
        <f>IFERROR(__xludf.DUMMYFUNCTION("""COMPUTED_VALUE"""),45957.0)</f>
        <v>45957</v>
      </c>
      <c r="C8268" s="266" t="str">
        <f>IFERROR(__xludf.DUMMYFUNCTION("""COMPUTED_VALUE"""),"KYAI KONTONG")</f>
        <v>KYAI KONTONG</v>
      </c>
      <c r="D8268" s="186">
        <f>IFERROR(__xludf.DUMMYFUNCTION("""COMPUTED_VALUE"""),10.0)</f>
        <v>10</v>
      </c>
    </row>
    <row r="8269">
      <c r="A8269" s="178" t="str">
        <f>IFERROR(__xludf.DUMMYFUNCTION("""COMPUTED_VALUE"""),"ITBISA-LED-SUPERBRIGHT-5MM-WHITE")</f>
        <v>ITBISA-LED-SUPERBRIGHT-5MM-WHITE</v>
      </c>
      <c r="B8269" s="266">
        <f>IFERROR(__xludf.DUMMYFUNCTION("""COMPUTED_VALUE"""),45958.0)</f>
        <v>45958</v>
      </c>
      <c r="C8269" s="266" t="str">
        <f>IFERROR(__xludf.DUMMYFUNCTION("""COMPUTED_VALUE"""),"KYAI KONTONG")</f>
        <v>KYAI KONTONG</v>
      </c>
      <c r="D8269" s="186">
        <f>IFERROR(__xludf.DUMMYFUNCTION("""COMPUTED_VALUE"""),5.0)</f>
        <v>5</v>
      </c>
    </row>
    <row r="8270">
      <c r="A8270" s="178" t="str">
        <f>IFERROR(__xludf.DUMMYFUNCTION("""COMPUTED_VALUE"""),"ITBISA-LED-SUPERBRIGHT-5MM-WHITE")</f>
        <v>ITBISA-LED-SUPERBRIGHT-5MM-WHITE</v>
      </c>
      <c r="B8270" s="266">
        <f>IFERROR(__xludf.DUMMYFUNCTION("""COMPUTED_VALUE"""),45959.0)</f>
        <v>45959</v>
      </c>
      <c r="C8270" s="266" t="str">
        <f>IFERROR(__xludf.DUMMYFUNCTION("""COMPUTED_VALUE"""),"KERTASARI CIAMIS")</f>
        <v>KERTASARI CIAMIS</v>
      </c>
      <c r="D8270" s="186">
        <f>IFERROR(__xludf.DUMMYFUNCTION("""COMPUTED_VALUE"""),3.0)</f>
        <v>3</v>
      </c>
    </row>
    <row r="8271">
      <c r="A8271" s="178" t="str">
        <f>IFERROR(__xludf.DUMMYFUNCTION("""COMPUTED_VALUE"""),"ITBISA-LED-SUPERBRIGHT-5MM-WHITE")</f>
        <v>ITBISA-LED-SUPERBRIGHT-5MM-WHITE</v>
      </c>
      <c r="B8271" s="266">
        <f>IFERROR(__xludf.DUMMYFUNCTION("""COMPUTED_VALUE"""),45959.0)</f>
        <v>45959</v>
      </c>
      <c r="C8271" s="266" t="str">
        <f>IFERROR(__xludf.DUMMYFUNCTION("""COMPUTED_VALUE"""),"KYAI KONTONG")</f>
        <v>KYAI KONTONG</v>
      </c>
      <c r="D8271" s="186">
        <f>IFERROR(__xludf.DUMMYFUNCTION("""COMPUTED_VALUE"""),5.0)</f>
        <v>5</v>
      </c>
    </row>
    <row r="8272">
      <c r="A8272" s="178" t="str">
        <f>IFERROR(__xludf.DUMMYFUNCTION("""COMPUTED_VALUE"""),"ITBISA-LED-SUPERBRIGHT-5MM-WHITE")</f>
        <v>ITBISA-LED-SUPERBRIGHT-5MM-WHITE</v>
      </c>
      <c r="B8272" s="266">
        <f>IFERROR(__xludf.DUMMYFUNCTION("""COMPUTED_VALUE"""),45959.0)</f>
        <v>45959</v>
      </c>
      <c r="C8272" s="266" t="str">
        <f>IFERROR(__xludf.DUMMYFUNCTION("""COMPUTED_VALUE"""),"KYAI KONTONG")</f>
        <v>KYAI KONTONG</v>
      </c>
      <c r="D8272" s="186">
        <f>IFERROR(__xludf.DUMMYFUNCTION("""COMPUTED_VALUE"""),7.0)</f>
        <v>7</v>
      </c>
    </row>
    <row r="8273">
      <c r="A8273" s="178" t="str">
        <f>IFERROR(__xludf.DUMMYFUNCTION("""COMPUTED_VALUE"""),"ITBISA-LED-SUPERBRIGHT-5MM-WHITE")</f>
        <v>ITBISA-LED-SUPERBRIGHT-5MM-WHITE</v>
      </c>
      <c r="B8273" s="266">
        <f>IFERROR(__xludf.DUMMYFUNCTION("""COMPUTED_VALUE"""),45960.0)</f>
        <v>45960</v>
      </c>
      <c r="C8273" s="266" t="str">
        <f>IFERROR(__xludf.DUMMYFUNCTION("""COMPUTED_VALUE"""),"KYAI KONTONG")</f>
        <v>KYAI KONTONG</v>
      </c>
      <c r="D8273" s="186">
        <f>IFERROR(__xludf.DUMMYFUNCTION("""COMPUTED_VALUE"""),1.0)</f>
        <v>1</v>
      </c>
    </row>
    <row r="8274">
      <c r="A8274" s="178" t="str">
        <f>IFERROR(__xludf.DUMMYFUNCTION("""COMPUTED_VALUE"""),"ITBISA-LED-SUPERBRIGHT-5MM-WHITE")</f>
        <v>ITBISA-LED-SUPERBRIGHT-5MM-WHITE</v>
      </c>
      <c r="B8274" s="266">
        <f>IFERROR(__xludf.DUMMYFUNCTION("""COMPUTED_VALUE"""),45960.0)</f>
        <v>45960</v>
      </c>
      <c r="C8274" s="266" t="str">
        <f>IFERROR(__xludf.DUMMYFUNCTION("""COMPUTED_VALUE"""),"KYAI KONTONG")</f>
        <v>KYAI KONTONG</v>
      </c>
      <c r="D8274" s="186">
        <f>IFERROR(__xludf.DUMMYFUNCTION("""COMPUTED_VALUE"""),10.0)</f>
        <v>10</v>
      </c>
    </row>
    <row r="8275">
      <c r="A8275" s="178" t="str">
        <f>IFERROR(__xludf.DUMMYFUNCTION("""COMPUTED_VALUE"""),"ITBISA-LED-SUPERBRIGHT-5MM-WHITE")</f>
        <v>ITBISA-LED-SUPERBRIGHT-5MM-WHITE</v>
      </c>
      <c r="B8275" s="266">
        <f>IFERROR(__xludf.DUMMYFUNCTION("""COMPUTED_VALUE"""),45961.0)</f>
        <v>45961</v>
      </c>
      <c r="C8275" s="266" t="str">
        <f>IFERROR(__xludf.DUMMYFUNCTION("""COMPUTED_VALUE"""),"KYAI KONTONG")</f>
        <v>KYAI KONTONG</v>
      </c>
      <c r="D8275" s="186">
        <f>IFERROR(__xludf.DUMMYFUNCTION("""COMPUTED_VALUE"""),5.0)</f>
        <v>5</v>
      </c>
    </row>
    <row r="8276">
      <c r="A8276" s="178" t="str">
        <f>IFERROR(__xludf.DUMMYFUNCTION("""COMPUTED_VALUE"""),"ITBISA-LED-SUPERBRIGHT-5MM-WHITE")</f>
        <v>ITBISA-LED-SUPERBRIGHT-5MM-WHITE</v>
      </c>
      <c r="B8276" s="266">
        <f>IFERROR(__xludf.DUMMYFUNCTION("""COMPUTED_VALUE"""),45962.0)</f>
        <v>45962</v>
      </c>
      <c r="C8276" s="266" t="str">
        <f>IFERROR(__xludf.DUMMYFUNCTION("""COMPUTED_VALUE"""),"KYAI KONTONG")</f>
        <v>KYAI KONTONG</v>
      </c>
      <c r="D8276" s="186">
        <f>IFERROR(__xludf.DUMMYFUNCTION("""COMPUTED_VALUE"""),5.0)</f>
        <v>5</v>
      </c>
    </row>
    <row r="8277">
      <c r="A8277" s="178" t="str">
        <f>IFERROR(__xludf.DUMMYFUNCTION("""COMPUTED_VALUE"""),"ITBISA-LED-SUPERBRIGHT-5MM-WHITE")</f>
        <v>ITBISA-LED-SUPERBRIGHT-5MM-WHITE</v>
      </c>
      <c r="B8277" s="266">
        <f>IFERROR(__xludf.DUMMYFUNCTION("""COMPUTED_VALUE"""),45962.0)</f>
        <v>45962</v>
      </c>
      <c r="C8277" s="266" t="str">
        <f>IFERROR(__xludf.DUMMYFUNCTION("""COMPUTED_VALUE"""),"KYAI KONTONG")</f>
        <v>KYAI KONTONG</v>
      </c>
      <c r="D8277" s="186">
        <f>IFERROR(__xludf.DUMMYFUNCTION("""COMPUTED_VALUE"""),10.0)</f>
        <v>10</v>
      </c>
    </row>
    <row r="8278">
      <c r="A8278" s="178" t="str">
        <f>IFERROR(__xludf.DUMMYFUNCTION("""COMPUTED_VALUE"""),"ITBISA-LED-SUPERBRIGHT-5MM-WHITE")</f>
        <v>ITBISA-LED-SUPERBRIGHT-5MM-WHITE</v>
      </c>
      <c r="B8278" s="266">
        <f>IFERROR(__xludf.DUMMYFUNCTION("""COMPUTED_VALUE"""),45963.0)</f>
        <v>45963</v>
      </c>
      <c r="C8278" s="266" t="str">
        <f>IFERROR(__xludf.DUMMYFUNCTION("""COMPUTED_VALUE"""),"KYAI KONTONG")</f>
        <v>KYAI KONTONG</v>
      </c>
      <c r="D8278" s="186">
        <f>IFERROR(__xludf.DUMMYFUNCTION("""COMPUTED_VALUE"""),7.0)</f>
        <v>7</v>
      </c>
    </row>
    <row r="8279">
      <c r="A8279" s="178" t="str">
        <f>IFERROR(__xludf.DUMMYFUNCTION("""COMPUTED_VALUE"""),"ITBISA-LED-SUPERBRIGHT-5MM-WHITE")</f>
        <v>ITBISA-LED-SUPERBRIGHT-5MM-WHITE</v>
      </c>
      <c r="B8279" s="266">
        <f>IFERROR(__xludf.DUMMYFUNCTION("""COMPUTED_VALUE"""),45964.0)</f>
        <v>45964</v>
      </c>
      <c r="C8279" s="266" t="str">
        <f>IFERROR(__xludf.DUMMYFUNCTION("""COMPUTED_VALUE"""),"KERTASARI CIAMIS")</f>
        <v>KERTASARI CIAMIS</v>
      </c>
      <c r="D8279" s="186">
        <f>IFERROR(__xludf.DUMMYFUNCTION("""COMPUTED_VALUE"""),20.0)</f>
        <v>20</v>
      </c>
    </row>
    <row r="8280">
      <c r="A8280" s="178" t="str">
        <f>IFERROR(__xludf.DUMMYFUNCTION("""COMPUTED_VALUE"""),"ITBISA-LED-SUPERBRIGHT-5MM-WHITE")</f>
        <v>ITBISA-LED-SUPERBRIGHT-5MM-WHITE</v>
      </c>
      <c r="B8280" s="266">
        <f>IFERROR(__xludf.DUMMYFUNCTION("""COMPUTED_VALUE"""),45967.0)</f>
        <v>45967</v>
      </c>
      <c r="C8280" s="266" t="str">
        <f>IFERROR(__xludf.DUMMYFUNCTION("""COMPUTED_VALUE"""),"KYAI KONTONG")</f>
        <v>KYAI KONTONG</v>
      </c>
      <c r="D8280" s="186">
        <f>IFERROR(__xludf.DUMMYFUNCTION("""COMPUTED_VALUE"""),6.0)</f>
        <v>6</v>
      </c>
    </row>
    <row r="8281">
      <c r="A8281" s="178" t="str">
        <f>IFERROR(__xludf.DUMMYFUNCTION("""COMPUTED_VALUE"""),"ITBISA-LED-SUPERBRIGHT-5MM-WHITE")</f>
        <v>ITBISA-LED-SUPERBRIGHT-5MM-WHITE</v>
      </c>
      <c r="B8281" s="266">
        <f>IFERROR(__xludf.DUMMYFUNCTION("""COMPUTED_VALUE"""),45968.0)</f>
        <v>45968</v>
      </c>
      <c r="C8281" s="266" t="str">
        <f>IFERROR(__xludf.DUMMYFUNCTION("""COMPUTED_VALUE"""),"KERTASARI CIAMIS")</f>
        <v>KERTASARI CIAMIS</v>
      </c>
      <c r="D8281" s="186">
        <f>IFERROR(__xludf.DUMMYFUNCTION("""COMPUTED_VALUE"""),15.0)</f>
        <v>15</v>
      </c>
    </row>
    <row r="8282">
      <c r="A8282" s="178" t="str">
        <f>IFERROR(__xludf.DUMMYFUNCTION("""COMPUTED_VALUE"""),"ITBISA-LED-SUPERBRIGHT-5MM-WHITE")</f>
        <v>ITBISA-LED-SUPERBRIGHT-5MM-WHITE</v>
      </c>
      <c r="B8282" s="266">
        <f>IFERROR(__xludf.DUMMYFUNCTION("""COMPUTED_VALUE"""),45971.0)</f>
        <v>45971</v>
      </c>
      <c r="C8282" s="266" t="str">
        <f>IFERROR(__xludf.DUMMYFUNCTION("""COMPUTED_VALUE"""),"KYAI KONTONG")</f>
        <v>KYAI KONTONG</v>
      </c>
      <c r="D8282" s="186">
        <f>IFERROR(__xludf.DUMMYFUNCTION("""COMPUTED_VALUE"""),5.0)</f>
        <v>5</v>
      </c>
    </row>
    <row r="8283">
      <c r="A8283" s="178" t="str">
        <f>IFERROR(__xludf.DUMMYFUNCTION("""COMPUTED_VALUE"""),"ITBISA-LED-SUPERBRIGHT-5MM-WHITE")</f>
        <v>ITBISA-LED-SUPERBRIGHT-5MM-WHITE</v>
      </c>
      <c r="B8283" s="266">
        <f>IFERROR(__xludf.DUMMYFUNCTION("""COMPUTED_VALUE"""),45974.0)</f>
        <v>45974</v>
      </c>
      <c r="C8283" s="266" t="str">
        <f>IFERROR(__xludf.DUMMYFUNCTION("""COMPUTED_VALUE"""),"KYAI KONTONG")</f>
        <v>KYAI KONTONG</v>
      </c>
      <c r="D8283" s="186">
        <f>IFERROR(__xludf.DUMMYFUNCTION("""COMPUTED_VALUE"""),15.0)</f>
        <v>15</v>
      </c>
    </row>
    <row r="8284">
      <c r="A8284" s="178" t="str">
        <f>IFERROR(__xludf.DUMMYFUNCTION("""COMPUTED_VALUE"""),"ITBISA-LED-SUPERBRIGHT-5MM-WHITE")</f>
        <v>ITBISA-LED-SUPERBRIGHT-5MM-WHITE</v>
      </c>
      <c r="B8284" s="266">
        <f>IFERROR(__xludf.DUMMYFUNCTION("""COMPUTED_VALUE"""),45976.0)</f>
        <v>45976</v>
      </c>
      <c r="C8284" s="266" t="str">
        <f>IFERROR(__xludf.DUMMYFUNCTION("""COMPUTED_VALUE"""),"KYAI KONTONG")</f>
        <v>KYAI KONTONG</v>
      </c>
      <c r="D8284" s="186">
        <f>IFERROR(__xludf.DUMMYFUNCTION("""COMPUTED_VALUE"""),5.0)</f>
        <v>5</v>
      </c>
    </row>
    <row r="8285">
      <c r="A8285" s="178" t="str">
        <f>IFERROR(__xludf.DUMMYFUNCTION("""COMPUTED_VALUE"""),"ITBISA-LED-SUPERBRIGHT-5MM-WHITE")</f>
        <v>ITBISA-LED-SUPERBRIGHT-5MM-WHITE</v>
      </c>
      <c r="B8285" s="266">
        <f>IFERROR(__xludf.DUMMYFUNCTION("""COMPUTED_VALUE"""),45976.0)</f>
        <v>45976</v>
      </c>
      <c r="C8285" s="266" t="str">
        <f>IFERROR(__xludf.DUMMYFUNCTION("""COMPUTED_VALUE"""),"KYAI KONTONG")</f>
        <v>KYAI KONTONG</v>
      </c>
      <c r="D8285" s="186">
        <f>IFERROR(__xludf.DUMMYFUNCTION("""COMPUTED_VALUE"""),35.0)</f>
        <v>35</v>
      </c>
    </row>
    <row r="8286">
      <c r="A8286" s="178" t="str">
        <f>IFERROR(__xludf.DUMMYFUNCTION("""COMPUTED_VALUE"""),"ITBISA-LED-SUPERBRIGHT-5MM-WHITE")</f>
        <v>ITBISA-LED-SUPERBRIGHT-5MM-WHITE</v>
      </c>
      <c r="B8286" s="266">
        <f>IFERROR(__xludf.DUMMYFUNCTION("""COMPUTED_VALUE"""),45977.0)</f>
        <v>45977</v>
      </c>
      <c r="C8286" s="266" t="str">
        <f>IFERROR(__xludf.DUMMYFUNCTION("""COMPUTED_VALUE"""),"KYAI KONTONG")</f>
        <v>KYAI KONTONG</v>
      </c>
      <c r="D8286" s="186">
        <f>IFERROR(__xludf.DUMMYFUNCTION("""COMPUTED_VALUE"""),5.0)</f>
        <v>5</v>
      </c>
    </row>
    <row r="8287">
      <c r="A8287" s="178" t="str">
        <f>IFERROR(__xludf.DUMMYFUNCTION("""COMPUTED_VALUE"""),"ITBISA-LED-SUPERBRIGHT-5MM-WHITE")</f>
        <v>ITBISA-LED-SUPERBRIGHT-5MM-WHITE</v>
      </c>
      <c r="B8287" s="266">
        <f>IFERROR(__xludf.DUMMYFUNCTION("""COMPUTED_VALUE"""),45979.0)</f>
        <v>45979</v>
      </c>
      <c r="C8287" s="266" t="str">
        <f>IFERROR(__xludf.DUMMYFUNCTION("""COMPUTED_VALUE"""),"KERTASARI CIAMIS")</f>
        <v>KERTASARI CIAMIS</v>
      </c>
      <c r="D8287" s="186">
        <f>IFERROR(__xludf.DUMMYFUNCTION("""COMPUTED_VALUE"""),6.0)</f>
        <v>6</v>
      </c>
    </row>
    <row r="8288">
      <c r="A8288" s="178" t="str">
        <f>IFERROR(__xludf.DUMMYFUNCTION("""COMPUTED_VALUE"""),"ITBISA-LED-SUPERBRIGHT-5MM-WHITE")</f>
        <v>ITBISA-LED-SUPERBRIGHT-5MM-WHITE</v>
      </c>
      <c r="B8288" s="266">
        <f>IFERROR(__xludf.DUMMYFUNCTION("""COMPUTED_VALUE"""),45983.0)</f>
        <v>45983</v>
      </c>
      <c r="C8288" s="266" t="str">
        <f>IFERROR(__xludf.DUMMYFUNCTION("""COMPUTED_VALUE"""),"KERTASARI CIAMIS")</f>
        <v>KERTASARI CIAMIS</v>
      </c>
      <c r="D8288" s="186">
        <f>IFERROR(__xludf.DUMMYFUNCTION("""COMPUTED_VALUE"""),4.0)</f>
        <v>4</v>
      </c>
    </row>
    <row r="8289">
      <c r="A8289" s="178" t="str">
        <f>IFERROR(__xludf.DUMMYFUNCTION("""COMPUTED_VALUE"""),"ITBISA-LED-SUPERBRIGHT-5MM-WHITE")</f>
        <v>ITBISA-LED-SUPERBRIGHT-5MM-WHITE</v>
      </c>
      <c r="B8289" s="266">
        <f>IFERROR(__xludf.DUMMYFUNCTION("""COMPUTED_VALUE"""),45988.0)</f>
        <v>45988</v>
      </c>
      <c r="C8289" s="266" t="str">
        <f>IFERROR(__xludf.DUMMYFUNCTION("""COMPUTED_VALUE"""),"KERTASARI CIAMIS")</f>
        <v>KERTASARI CIAMIS</v>
      </c>
      <c r="D8289" s="186">
        <f>IFERROR(__xludf.DUMMYFUNCTION("""COMPUTED_VALUE"""),1.0)</f>
        <v>1</v>
      </c>
    </row>
    <row r="8290">
      <c r="A8290" s="178" t="str">
        <f>IFERROR(__xludf.DUMMYFUNCTION("""COMPUTED_VALUE"""),"ITBISA-LED-SUPERBRIGHT-5MM-WHITE")</f>
        <v>ITBISA-LED-SUPERBRIGHT-5MM-WHITE</v>
      </c>
      <c r="B8290" s="266">
        <f>IFERROR(__xludf.DUMMYFUNCTION("""COMPUTED_VALUE"""),45994.0)</f>
        <v>45994</v>
      </c>
      <c r="C8290" s="266" t="str">
        <f>IFERROR(__xludf.DUMMYFUNCTION("""COMPUTED_VALUE"""),"KYAI KONTONG")</f>
        <v>KYAI KONTONG</v>
      </c>
      <c r="D8290" s="186">
        <f>IFERROR(__xludf.DUMMYFUNCTION("""COMPUTED_VALUE"""),20.0)</f>
        <v>20</v>
      </c>
    </row>
    <row r="8291">
      <c r="A8291" s="178" t="str">
        <f>IFERROR(__xludf.DUMMYFUNCTION("""COMPUTED_VALUE"""),"ITBISA-LED-SUPERBRIGHT-5MM-WHITE")</f>
        <v>ITBISA-LED-SUPERBRIGHT-5MM-WHITE</v>
      </c>
      <c r="B8291" s="266">
        <f>IFERROR(__xludf.DUMMYFUNCTION("""COMPUTED_VALUE"""),46003.0)</f>
        <v>46003</v>
      </c>
      <c r="C8291" s="266" t="str">
        <f>IFERROR(__xludf.DUMMYFUNCTION("""COMPUTED_VALUE"""),"KYAI KONTONG")</f>
        <v>KYAI KONTONG</v>
      </c>
      <c r="D8291" s="186">
        <f>IFERROR(__xludf.DUMMYFUNCTION("""COMPUTED_VALUE"""),5.0)</f>
        <v>5</v>
      </c>
    </row>
    <row r="8292">
      <c r="A8292" s="178" t="str">
        <f>IFERROR(__xludf.DUMMYFUNCTION("""COMPUTED_VALUE"""),"ITBISA-LED-SUPERBRIGHT-5MM-WHITE")</f>
        <v>ITBISA-LED-SUPERBRIGHT-5MM-WHITE</v>
      </c>
      <c r="B8292" s="266">
        <f>IFERROR(__xludf.DUMMYFUNCTION("""COMPUTED_VALUE"""),46005.0)</f>
        <v>46005</v>
      </c>
      <c r="C8292" s="266" t="str">
        <f>IFERROR(__xludf.DUMMYFUNCTION("""COMPUTED_VALUE"""),"KYAI KONTONG")</f>
        <v>KYAI KONTONG</v>
      </c>
      <c r="D8292" s="186">
        <f>IFERROR(__xludf.DUMMYFUNCTION("""COMPUTED_VALUE"""),2.0)</f>
        <v>2</v>
      </c>
    </row>
    <row r="8293">
      <c r="A8293" s="178" t="str">
        <f>IFERROR(__xludf.DUMMYFUNCTION("""COMPUTED_VALUE"""),"ITBISA-LED-SUPERBRIGHT-5MM-WHITE")</f>
        <v>ITBISA-LED-SUPERBRIGHT-5MM-WHITE</v>
      </c>
      <c r="B8293" s="266">
        <f>IFERROR(__xludf.DUMMYFUNCTION("""COMPUTED_VALUE"""),46005.0)</f>
        <v>46005</v>
      </c>
      <c r="C8293" s="266" t="str">
        <f>IFERROR(__xludf.DUMMYFUNCTION("""COMPUTED_VALUE"""),"KYAI KONTONG")</f>
        <v>KYAI KONTONG</v>
      </c>
      <c r="D8293" s="186">
        <f>IFERROR(__xludf.DUMMYFUNCTION("""COMPUTED_VALUE"""),3.0)</f>
        <v>3</v>
      </c>
    </row>
    <row r="8294">
      <c r="A8294" s="178" t="str">
        <f>IFERROR(__xludf.DUMMYFUNCTION("""COMPUTED_VALUE"""),"ITBISA-LED-SUPERBRIGHT-5MM-WHITE")</f>
        <v>ITBISA-LED-SUPERBRIGHT-5MM-WHITE</v>
      </c>
      <c r="B8294" s="266">
        <f>IFERROR(__xludf.DUMMYFUNCTION("""COMPUTED_VALUE"""),46009.0)</f>
        <v>46009</v>
      </c>
      <c r="C8294" s="266" t="str">
        <f>IFERROR(__xludf.DUMMYFUNCTION("""COMPUTED_VALUE"""),"KYAI KONTONG")</f>
        <v>KYAI KONTONG</v>
      </c>
      <c r="D8294" s="186">
        <f>IFERROR(__xludf.DUMMYFUNCTION("""COMPUTED_VALUE"""),5.0)</f>
        <v>5</v>
      </c>
    </row>
    <row r="8295">
      <c r="A8295" s="178" t="str">
        <f>IFERROR(__xludf.DUMMYFUNCTION("""COMPUTED_VALUE"""),"ITBISA-LED-SUPERBRIGHT-5MM-WHITE")</f>
        <v>ITBISA-LED-SUPERBRIGHT-5MM-WHITE</v>
      </c>
      <c r="B8295" s="266">
        <f>IFERROR(__xludf.DUMMYFUNCTION("""COMPUTED_VALUE"""),46009.0)</f>
        <v>46009</v>
      </c>
      <c r="C8295" s="266" t="str">
        <f>IFERROR(__xludf.DUMMYFUNCTION("""COMPUTED_VALUE"""),"KYAI KONTONG")</f>
        <v>KYAI KONTONG</v>
      </c>
      <c r="D8295" s="186">
        <f>IFERROR(__xludf.DUMMYFUNCTION("""COMPUTED_VALUE"""),50.0)</f>
        <v>50</v>
      </c>
    </row>
    <row r="8296">
      <c r="A8296" s="178" t="str">
        <f>IFERROR(__xludf.DUMMYFUNCTION("""COMPUTED_VALUE"""),"ITBISA-LED-SUPERBRIGHT-5MM-WHITE")</f>
        <v>ITBISA-LED-SUPERBRIGHT-5MM-WHITE</v>
      </c>
      <c r="B8296" s="266">
        <f>IFERROR(__xludf.DUMMYFUNCTION("""COMPUTED_VALUE"""),46010.0)</f>
        <v>46010</v>
      </c>
      <c r="C8296" s="266" t="str">
        <f>IFERROR(__xludf.DUMMYFUNCTION("""COMPUTED_VALUE"""),"KYAI KONTONG")</f>
        <v>KYAI KONTONG</v>
      </c>
      <c r="D8296" s="186">
        <f>IFERROR(__xludf.DUMMYFUNCTION("""COMPUTED_VALUE"""),5.0)</f>
        <v>5</v>
      </c>
    </row>
    <row r="8297">
      <c r="A8297" s="178" t="str">
        <f>IFERROR(__xludf.DUMMYFUNCTION("""COMPUTED_VALUE"""),"ITBISA-LED-SUPERBRIGHT-5MM-WHITE")</f>
        <v>ITBISA-LED-SUPERBRIGHT-5MM-WHITE</v>
      </c>
      <c r="B8297" s="266">
        <f>IFERROR(__xludf.DUMMYFUNCTION("""COMPUTED_VALUE"""),46011.0)</f>
        <v>46011</v>
      </c>
      <c r="C8297" s="266" t="str">
        <f>IFERROR(__xludf.DUMMYFUNCTION("""COMPUTED_VALUE"""),"KYAI KONTONG")</f>
        <v>KYAI KONTONG</v>
      </c>
      <c r="D8297" s="186">
        <f>IFERROR(__xludf.DUMMYFUNCTION("""COMPUTED_VALUE"""),4.0)</f>
        <v>4</v>
      </c>
    </row>
    <row r="8298">
      <c r="A8298" s="178" t="str">
        <f>IFERROR(__xludf.DUMMYFUNCTION("""COMPUTED_VALUE"""),"ITBISA-LED-SUPERBRIGHT-5MM-WHITE")</f>
        <v>ITBISA-LED-SUPERBRIGHT-5MM-WHITE</v>
      </c>
      <c r="B8298" s="266">
        <f>IFERROR(__xludf.DUMMYFUNCTION("""COMPUTED_VALUE"""),46012.0)</f>
        <v>46012</v>
      </c>
      <c r="C8298" s="266" t="str">
        <f>IFERROR(__xludf.DUMMYFUNCTION("""COMPUTED_VALUE"""),"KYAI KONTONG")</f>
        <v>KYAI KONTONG</v>
      </c>
      <c r="D8298" s="186">
        <f>IFERROR(__xludf.DUMMYFUNCTION("""COMPUTED_VALUE"""),10.0)</f>
        <v>10</v>
      </c>
    </row>
    <row r="8299">
      <c r="A8299" s="178" t="str">
        <f>IFERROR(__xludf.DUMMYFUNCTION("""COMPUTED_VALUE"""),"ITBISA-LED-SUPERBRIGHT-5MM-WHITE")</f>
        <v>ITBISA-LED-SUPERBRIGHT-5MM-WHITE</v>
      </c>
      <c r="B8299" s="266">
        <f>IFERROR(__xludf.DUMMYFUNCTION("""COMPUTED_VALUE"""),46012.0)</f>
        <v>46012</v>
      </c>
      <c r="C8299" s="266" t="str">
        <f>IFERROR(__xludf.DUMMYFUNCTION("""COMPUTED_VALUE"""),"KYAI KONTONG")</f>
        <v>KYAI KONTONG</v>
      </c>
      <c r="D8299" s="186">
        <f>IFERROR(__xludf.DUMMYFUNCTION("""COMPUTED_VALUE"""),20.0)</f>
        <v>20</v>
      </c>
    </row>
    <row r="8300">
      <c r="A8300" s="178" t="str">
        <f>IFERROR(__xludf.DUMMYFUNCTION("""COMPUTED_VALUE"""),"ITBISA-LED-SUPERBRIGHT-5MM-WHITE")</f>
        <v>ITBISA-LED-SUPERBRIGHT-5MM-WHITE</v>
      </c>
      <c r="B8300" s="266">
        <f>IFERROR(__xludf.DUMMYFUNCTION("""COMPUTED_VALUE"""),46014.0)</f>
        <v>46014</v>
      </c>
      <c r="C8300" s="266" t="str">
        <f>IFERROR(__xludf.DUMMYFUNCTION("""COMPUTED_VALUE"""),"KYAI KONTONG")</f>
        <v>KYAI KONTONG</v>
      </c>
      <c r="D8300" s="186">
        <f>IFERROR(__xludf.DUMMYFUNCTION("""COMPUTED_VALUE"""),5.0)</f>
        <v>5</v>
      </c>
    </row>
    <row r="8301">
      <c r="A8301" s="178" t="str">
        <f>IFERROR(__xludf.DUMMYFUNCTION("""COMPUTED_VALUE"""),"ITBISA-LED-SUPERBRIGHT-5MM-WHITE")</f>
        <v>ITBISA-LED-SUPERBRIGHT-5MM-WHITE</v>
      </c>
      <c r="B8301" s="266">
        <f>IFERROR(__xludf.DUMMYFUNCTION("""COMPUTED_VALUE"""),46015.0)</f>
        <v>46015</v>
      </c>
      <c r="C8301" s="266" t="str">
        <f>IFERROR(__xludf.DUMMYFUNCTION("""COMPUTED_VALUE"""),"KERTASARI CIAMIS")</f>
        <v>KERTASARI CIAMIS</v>
      </c>
      <c r="D8301" s="186">
        <f>IFERROR(__xludf.DUMMYFUNCTION("""COMPUTED_VALUE"""),10.0)</f>
        <v>10</v>
      </c>
    </row>
    <row r="8302">
      <c r="A8302" s="178" t="str">
        <f>IFERROR(__xludf.DUMMYFUNCTION("""COMPUTED_VALUE"""),"ITBISA-LED-SUPERBRIGHT-5MM-WHITE")</f>
        <v>ITBISA-LED-SUPERBRIGHT-5MM-WHITE</v>
      </c>
      <c r="B8302" s="266">
        <f>IFERROR(__xludf.DUMMYFUNCTION("""COMPUTED_VALUE"""),46016.0)</f>
        <v>46016</v>
      </c>
      <c r="C8302" s="266" t="str">
        <f>IFERROR(__xludf.DUMMYFUNCTION("""COMPUTED_VALUE"""),"KERTASARI CIAMIS")</f>
        <v>KERTASARI CIAMIS</v>
      </c>
      <c r="D8302" s="186">
        <f>IFERROR(__xludf.DUMMYFUNCTION("""COMPUTED_VALUE"""),10.0)</f>
        <v>10</v>
      </c>
    </row>
    <row r="8303">
      <c r="A8303" s="178" t="str">
        <f>IFERROR(__xludf.DUMMYFUNCTION("""COMPUTED_VALUE"""),"ITBISA-LED-SUPERBRIGHT-5MM-WHITE")</f>
        <v>ITBISA-LED-SUPERBRIGHT-5MM-WHITE</v>
      </c>
      <c r="B8303" s="266">
        <f>IFERROR(__xludf.DUMMYFUNCTION("""COMPUTED_VALUE"""),46016.0)</f>
        <v>46016</v>
      </c>
      <c r="C8303" s="266" t="str">
        <f>IFERROR(__xludf.DUMMYFUNCTION("""COMPUTED_VALUE"""),"KERTASARI CIAMIS")</f>
        <v>KERTASARI CIAMIS</v>
      </c>
      <c r="D8303" s="186">
        <f>IFERROR(__xludf.DUMMYFUNCTION("""COMPUTED_VALUE"""),20.0)</f>
        <v>20</v>
      </c>
    </row>
    <row r="8304">
      <c r="A8304" s="178" t="str">
        <f>IFERROR(__xludf.DUMMYFUNCTION("""COMPUTED_VALUE"""),"ITBISA-LED-SUPERBRIGHT-5MM-WHITE")</f>
        <v>ITBISA-LED-SUPERBRIGHT-5MM-WHITE</v>
      </c>
      <c r="B8304" s="266">
        <f>IFERROR(__xludf.DUMMYFUNCTION("""COMPUTED_VALUE"""),46016.0)</f>
        <v>46016</v>
      </c>
      <c r="C8304" s="266" t="str">
        <f>IFERROR(__xludf.DUMMYFUNCTION("""COMPUTED_VALUE"""),"KERTASARI CIAMIS")</f>
        <v>KERTASARI CIAMIS</v>
      </c>
      <c r="D8304" s="186">
        <f>IFERROR(__xludf.DUMMYFUNCTION("""COMPUTED_VALUE"""),60.0)</f>
        <v>60</v>
      </c>
    </row>
    <row r="8305">
      <c r="A8305" s="178" t="str">
        <f>IFERROR(__xludf.DUMMYFUNCTION("""COMPUTED_VALUE"""),"ITBISA-LED-SUPERBRIGHT-5MM-WHITE")</f>
        <v>ITBISA-LED-SUPERBRIGHT-5MM-WHITE</v>
      </c>
      <c r="B8305" s="266">
        <f>IFERROR(__xludf.DUMMYFUNCTION("""COMPUTED_VALUE"""),46017.0)</f>
        <v>46017</v>
      </c>
      <c r="C8305" s="266" t="str">
        <f>IFERROR(__xludf.DUMMYFUNCTION("""COMPUTED_VALUE"""),"KYAI KONTONG")</f>
        <v>KYAI KONTONG</v>
      </c>
      <c r="D8305" s="186">
        <f>IFERROR(__xludf.DUMMYFUNCTION("""COMPUTED_VALUE"""),10.0)</f>
        <v>10</v>
      </c>
    </row>
    <row r="8306">
      <c r="A8306" s="178" t="str">
        <f>IFERROR(__xludf.DUMMYFUNCTION("""COMPUTED_VALUE"""),"ITBISA-LED-SUPERBRIGHT-5MM-WHITE")</f>
        <v>ITBISA-LED-SUPERBRIGHT-5MM-WHITE</v>
      </c>
      <c r="B8306" s="266">
        <f>IFERROR(__xludf.DUMMYFUNCTION("""COMPUTED_VALUE"""),46017.0)</f>
        <v>46017</v>
      </c>
      <c r="C8306" s="266" t="str">
        <f>IFERROR(__xludf.DUMMYFUNCTION("""COMPUTED_VALUE"""),"KYAI KONTONG")</f>
        <v>KYAI KONTONG</v>
      </c>
      <c r="D8306" s="186">
        <f>IFERROR(__xludf.DUMMYFUNCTION("""COMPUTED_VALUE"""),10.0)</f>
        <v>10</v>
      </c>
    </row>
    <row r="8307">
      <c r="A8307" s="178" t="str">
        <f>IFERROR(__xludf.DUMMYFUNCTION("""COMPUTED_VALUE"""),"ITBISA-LED-SUPERBRIGHT-5MM-WHITE")</f>
        <v>ITBISA-LED-SUPERBRIGHT-5MM-WHITE</v>
      </c>
      <c r="B8307" s="266">
        <f>IFERROR(__xludf.DUMMYFUNCTION("""COMPUTED_VALUE"""),46018.0)</f>
        <v>46018</v>
      </c>
      <c r="C8307" s="266" t="str">
        <f>IFERROR(__xludf.DUMMYFUNCTION("""COMPUTED_VALUE"""),"KYAI KONTONG")</f>
        <v>KYAI KONTONG</v>
      </c>
      <c r="D8307" s="186">
        <f>IFERROR(__xludf.DUMMYFUNCTION("""COMPUTED_VALUE"""),10.0)</f>
        <v>10</v>
      </c>
    </row>
    <row r="8308">
      <c r="A8308" s="178" t="str">
        <f>IFERROR(__xludf.DUMMYFUNCTION("""COMPUTED_VALUE"""),"ITBISA-LED-SUPERBRIGHT-5MM-WHITE")</f>
        <v>ITBISA-LED-SUPERBRIGHT-5MM-WHITE</v>
      </c>
      <c r="B8308" s="266">
        <f>IFERROR(__xludf.DUMMYFUNCTION("""COMPUTED_VALUE"""),46018.0)</f>
        <v>46018</v>
      </c>
      <c r="C8308" s="266" t="str">
        <f>IFERROR(__xludf.DUMMYFUNCTION("""COMPUTED_VALUE"""),"KYAI KONTONG")</f>
        <v>KYAI KONTONG</v>
      </c>
      <c r="D8308" s="186">
        <f>IFERROR(__xludf.DUMMYFUNCTION("""COMPUTED_VALUE"""),100.0)</f>
        <v>100</v>
      </c>
    </row>
    <row r="8309">
      <c r="A8309" s="178" t="str">
        <f>IFERROR(__xludf.DUMMYFUNCTION("""COMPUTED_VALUE"""),"ITBISA-LED-SUPERBRIGHT-5MM-WHITE")</f>
        <v>ITBISA-LED-SUPERBRIGHT-5MM-WHITE</v>
      </c>
      <c r="B8309" s="266">
        <f>IFERROR(__xludf.DUMMYFUNCTION("""COMPUTED_VALUE"""),46019.0)</f>
        <v>46019</v>
      </c>
      <c r="C8309" s="266" t="str">
        <f>IFERROR(__xludf.DUMMYFUNCTION("""COMPUTED_VALUE"""),"KYAI KONTONG")</f>
        <v>KYAI KONTONG</v>
      </c>
      <c r="D8309" s="186">
        <f>IFERROR(__xludf.DUMMYFUNCTION("""COMPUTED_VALUE"""),20.0)</f>
        <v>20</v>
      </c>
    </row>
    <row r="8310">
      <c r="A8310" s="178" t="str">
        <f>IFERROR(__xludf.DUMMYFUNCTION("""COMPUTED_VALUE"""),"ITBISA-LED-SUPERBRIGHT-5MM-WHITE")</f>
        <v>ITBISA-LED-SUPERBRIGHT-5MM-WHITE</v>
      </c>
      <c r="B8310" s="266">
        <f>IFERROR(__xludf.DUMMYFUNCTION("""COMPUTED_VALUE"""),46020.0)</f>
        <v>46020</v>
      </c>
      <c r="C8310" s="266" t="str">
        <f>IFERROR(__xludf.DUMMYFUNCTION("""COMPUTED_VALUE"""),"KYAI KONTONG")</f>
        <v>KYAI KONTONG</v>
      </c>
      <c r="D8310" s="186">
        <f>IFERROR(__xludf.DUMMYFUNCTION("""COMPUTED_VALUE"""),10.0)</f>
        <v>10</v>
      </c>
    </row>
    <row r="8311">
      <c r="A8311" s="178" t="str">
        <f>IFERROR(__xludf.DUMMYFUNCTION("""COMPUTED_VALUE"""),"ITBISA-LED-SUPERBRIGHT-5MM-WHITE")</f>
        <v>ITBISA-LED-SUPERBRIGHT-5MM-WHITE</v>
      </c>
      <c r="B8311" s="266">
        <f>IFERROR(__xludf.DUMMYFUNCTION("""COMPUTED_VALUE"""),46020.0)</f>
        <v>46020</v>
      </c>
      <c r="C8311" s="266" t="str">
        <f>IFERROR(__xludf.DUMMYFUNCTION("""COMPUTED_VALUE"""),"KYAI KONTONG")</f>
        <v>KYAI KONTONG</v>
      </c>
      <c r="D8311" s="186">
        <f>IFERROR(__xludf.DUMMYFUNCTION("""COMPUTED_VALUE"""),20.0)</f>
        <v>20</v>
      </c>
    </row>
    <row r="8312">
      <c r="A8312" s="178" t="str">
        <f>IFERROR(__xludf.DUMMYFUNCTION("""COMPUTED_VALUE"""),"ITBISA-LED-SUPERBRIGHT-5MM-WHITE")</f>
        <v>ITBISA-LED-SUPERBRIGHT-5MM-WHITE</v>
      </c>
      <c r="B8312" s="266">
        <f>IFERROR(__xludf.DUMMYFUNCTION("""COMPUTED_VALUE"""),46021.0)</f>
        <v>46021</v>
      </c>
      <c r="C8312" s="266" t="str">
        <f>IFERROR(__xludf.DUMMYFUNCTION("""COMPUTED_VALUE"""),"KYAI KONTONG")</f>
        <v>KYAI KONTONG</v>
      </c>
      <c r="D8312" s="186">
        <f>IFERROR(__xludf.DUMMYFUNCTION("""COMPUTED_VALUE"""),7.0)</f>
        <v>7</v>
      </c>
    </row>
    <row r="8313">
      <c r="A8313" s="178" t="str">
        <f>IFERROR(__xludf.DUMMYFUNCTION("""COMPUTED_VALUE"""),"ITBISA-LED-SUPERBRIGHT-5MM-WHITE")</f>
        <v>ITBISA-LED-SUPERBRIGHT-5MM-WHITE</v>
      </c>
      <c r="B8313" s="266">
        <f>IFERROR(__xludf.DUMMYFUNCTION("""COMPUTED_VALUE"""),46022.0)</f>
        <v>46022</v>
      </c>
      <c r="C8313" s="266" t="str">
        <f>IFERROR(__xludf.DUMMYFUNCTION("""COMPUTED_VALUE"""),"KYAI KONTONG")</f>
        <v>KYAI KONTONG</v>
      </c>
      <c r="D8313" s="186">
        <f>IFERROR(__xludf.DUMMYFUNCTION("""COMPUTED_VALUE"""),2.0)</f>
        <v>2</v>
      </c>
    </row>
    <row r="8314">
      <c r="A8314" s="178" t="str">
        <f>IFERROR(__xludf.DUMMYFUNCTION("""COMPUTED_VALUE"""),"ITBISA-LED-SUPERBRIGHT-5MM-WHITE")</f>
        <v>ITBISA-LED-SUPERBRIGHT-5MM-WHITE</v>
      </c>
      <c r="B8314" s="266">
        <f>IFERROR(__xludf.DUMMYFUNCTION("""COMPUTED_VALUE"""),46022.0)</f>
        <v>46022</v>
      </c>
      <c r="C8314" s="266" t="str">
        <f>IFERROR(__xludf.DUMMYFUNCTION("""COMPUTED_VALUE"""),"KYAI KONTONG")</f>
        <v>KYAI KONTONG</v>
      </c>
      <c r="D8314" s="186">
        <f>IFERROR(__xludf.DUMMYFUNCTION("""COMPUTED_VALUE"""),10.0)</f>
        <v>10</v>
      </c>
    </row>
    <row r="8315">
      <c r="A8315" s="178" t="str">
        <f>IFERROR(__xludf.DUMMYFUNCTION("""COMPUTED_VALUE"""),"ITBISA-LED-SUPERBRIGHT-5MM-YELLOW")</f>
        <v>ITBISA-LED-SUPERBRIGHT-5MM-YELLOW</v>
      </c>
      <c r="B8315" s="266">
        <f>IFERROR(__xludf.DUMMYFUNCTION("""COMPUTED_VALUE"""),45603.0)</f>
        <v>45603</v>
      </c>
      <c r="C8315" s="266" t="str">
        <f>IFERROR(__xludf.DUMMYFUNCTION("""COMPUTED_VALUE"""),"KERTASARI CIAMIS")</f>
        <v>KERTASARI CIAMIS</v>
      </c>
      <c r="D8315" s="186">
        <f>IFERROR(__xludf.DUMMYFUNCTION("""COMPUTED_VALUE"""),4.0)</f>
        <v>4</v>
      </c>
    </row>
    <row r="8316">
      <c r="A8316" s="178" t="str">
        <f>IFERROR(__xludf.DUMMYFUNCTION("""COMPUTED_VALUE"""),"ITBISA-LED-SUPERBRIGHT-5MM-YELLOW")</f>
        <v>ITBISA-LED-SUPERBRIGHT-5MM-YELLOW</v>
      </c>
      <c r="B8316" s="266">
        <f>IFERROR(__xludf.DUMMYFUNCTION("""COMPUTED_VALUE"""),45618.0)</f>
        <v>45618</v>
      </c>
      <c r="C8316" s="266" t="str">
        <f>IFERROR(__xludf.DUMMYFUNCTION("""COMPUTED_VALUE"""),"KYAI KONTONG")</f>
        <v>KYAI KONTONG</v>
      </c>
      <c r="D8316" s="186">
        <f>IFERROR(__xludf.DUMMYFUNCTION("""COMPUTED_VALUE"""),5.0)</f>
        <v>5</v>
      </c>
    </row>
    <row r="8317">
      <c r="A8317" s="178" t="str">
        <f>IFERROR(__xludf.DUMMYFUNCTION("""COMPUTED_VALUE"""),"ITBISA-LED-SUPERBRIGHT-5MM-YELLOW")</f>
        <v>ITBISA-LED-SUPERBRIGHT-5MM-YELLOW</v>
      </c>
      <c r="B8317" s="266">
        <f>IFERROR(__xludf.DUMMYFUNCTION("""COMPUTED_VALUE"""),45622.0)</f>
        <v>45622</v>
      </c>
      <c r="C8317" s="266" t="str">
        <f>IFERROR(__xludf.DUMMYFUNCTION("""COMPUTED_VALUE"""),"KYAI KONTONG")</f>
        <v>KYAI KONTONG</v>
      </c>
      <c r="D8317" s="186">
        <f>IFERROR(__xludf.DUMMYFUNCTION("""COMPUTED_VALUE"""),8.0)</f>
        <v>8</v>
      </c>
    </row>
    <row r="8318">
      <c r="A8318" s="178" t="str">
        <f>IFERROR(__xludf.DUMMYFUNCTION("""COMPUTED_VALUE"""),"ITBISA-LED-SUPERBRIGHT-5MM-YELLOW")</f>
        <v>ITBISA-LED-SUPERBRIGHT-5MM-YELLOW</v>
      </c>
      <c r="B8318" s="266">
        <f>IFERROR(__xludf.DUMMYFUNCTION("""COMPUTED_VALUE"""),45627.0)</f>
        <v>45627</v>
      </c>
      <c r="C8318" s="266" t="str">
        <f>IFERROR(__xludf.DUMMYFUNCTION("""COMPUTED_VALUE"""),"KERTASARI CIAMIS")</f>
        <v>KERTASARI CIAMIS</v>
      </c>
      <c r="D8318" s="186">
        <f>IFERROR(__xludf.DUMMYFUNCTION("""COMPUTED_VALUE"""),50.0)</f>
        <v>50</v>
      </c>
    </row>
    <row r="8319">
      <c r="A8319" s="178" t="str">
        <f>IFERROR(__xludf.DUMMYFUNCTION("""COMPUTED_VALUE"""),"ITBISA-LED-SUPERBRIGHT-5MM-YELLOW")</f>
        <v>ITBISA-LED-SUPERBRIGHT-5MM-YELLOW</v>
      </c>
      <c r="B8319" s="266">
        <f>IFERROR(__xludf.DUMMYFUNCTION("""COMPUTED_VALUE"""),45640.0)</f>
        <v>45640</v>
      </c>
      <c r="C8319" s="266" t="str">
        <f>IFERROR(__xludf.DUMMYFUNCTION("""COMPUTED_VALUE"""),"KERTASARI CIAMIS")</f>
        <v>KERTASARI CIAMIS</v>
      </c>
      <c r="D8319" s="186">
        <f>IFERROR(__xludf.DUMMYFUNCTION("""COMPUTED_VALUE"""),100.0)</f>
        <v>100</v>
      </c>
    </row>
    <row r="8320">
      <c r="A8320" s="178" t="str">
        <f>IFERROR(__xludf.DUMMYFUNCTION("""COMPUTED_VALUE"""),"ITBISA-LED-SUPERBRIGHT-5MM-YELLOW")</f>
        <v>ITBISA-LED-SUPERBRIGHT-5MM-YELLOW</v>
      </c>
      <c r="B8320" s="266">
        <f>IFERROR(__xludf.DUMMYFUNCTION("""COMPUTED_VALUE"""),45658.0)</f>
        <v>45658</v>
      </c>
      <c r="C8320" s="266" t="str">
        <f>IFERROR(__xludf.DUMMYFUNCTION("""COMPUTED_VALUE"""),"KYAI KONTONG")</f>
        <v>KYAI KONTONG</v>
      </c>
      <c r="D8320" s="186">
        <f>IFERROR(__xludf.DUMMYFUNCTION("""COMPUTED_VALUE"""),50.0)</f>
        <v>50</v>
      </c>
    </row>
    <row r="8321">
      <c r="A8321" s="178" t="str">
        <f>IFERROR(__xludf.DUMMYFUNCTION("""COMPUTED_VALUE"""),"ITBISA-LED-SUPERBRIGHT-5MM-YELLOW")</f>
        <v>ITBISA-LED-SUPERBRIGHT-5MM-YELLOW</v>
      </c>
      <c r="B8321" s="266">
        <f>IFERROR(__xludf.DUMMYFUNCTION("""COMPUTED_VALUE"""),45669.0)</f>
        <v>45669</v>
      </c>
      <c r="C8321" s="266" t="str">
        <f>IFERROR(__xludf.DUMMYFUNCTION("""COMPUTED_VALUE"""),"KERTASARI CIAMIS")</f>
        <v>KERTASARI CIAMIS</v>
      </c>
      <c r="D8321" s="186">
        <f>IFERROR(__xludf.DUMMYFUNCTION("""COMPUTED_VALUE"""),100.0)</f>
        <v>100</v>
      </c>
    </row>
    <row r="8322">
      <c r="A8322" s="178" t="str">
        <f>IFERROR(__xludf.DUMMYFUNCTION("""COMPUTED_VALUE"""),"ITBISA-LED-SUPERBRIGHT-5MM-YELLOW")</f>
        <v>ITBISA-LED-SUPERBRIGHT-5MM-YELLOW</v>
      </c>
      <c r="B8322" s="266">
        <f>IFERROR(__xludf.DUMMYFUNCTION("""COMPUTED_VALUE"""),45676.0)</f>
        <v>45676</v>
      </c>
      <c r="C8322" s="266" t="str">
        <f>IFERROR(__xludf.DUMMYFUNCTION("""COMPUTED_VALUE"""),"KYAI KONTONG")</f>
        <v>KYAI KONTONG</v>
      </c>
      <c r="D8322" s="186">
        <f>IFERROR(__xludf.DUMMYFUNCTION("""COMPUTED_VALUE"""),50.0)</f>
        <v>50</v>
      </c>
    </row>
    <row r="8323">
      <c r="A8323" s="178" t="str">
        <f>IFERROR(__xludf.DUMMYFUNCTION("""COMPUTED_VALUE"""),"ITBISA-LED-SUPERBRIGHT-5MM-YELLOW")</f>
        <v>ITBISA-LED-SUPERBRIGHT-5MM-YELLOW</v>
      </c>
      <c r="B8323" s="266">
        <f>IFERROR(__xludf.DUMMYFUNCTION("""COMPUTED_VALUE"""),45688.0)</f>
        <v>45688</v>
      </c>
      <c r="C8323" s="266" t="str">
        <f>IFERROR(__xludf.DUMMYFUNCTION("""COMPUTED_VALUE"""),"KERTASARI CIAMIS")</f>
        <v>KERTASARI CIAMIS</v>
      </c>
      <c r="D8323" s="186">
        <f>IFERROR(__xludf.DUMMYFUNCTION("""COMPUTED_VALUE"""),300.0)</f>
        <v>300</v>
      </c>
    </row>
    <row r="8324">
      <c r="A8324" s="178" t="str">
        <f>IFERROR(__xludf.DUMMYFUNCTION("""COMPUTED_VALUE"""),"ITBISA-LED-SUPERBRIGHT-5MM-YELLOW")</f>
        <v>ITBISA-LED-SUPERBRIGHT-5MM-YELLOW</v>
      </c>
      <c r="B8324" s="266">
        <f>IFERROR(__xludf.DUMMYFUNCTION("""COMPUTED_VALUE"""),45693.0)</f>
        <v>45693</v>
      </c>
      <c r="C8324" s="266" t="str">
        <f>IFERROR(__xludf.DUMMYFUNCTION("""COMPUTED_VALUE"""),"KERTASARI CIAMIS")</f>
        <v>KERTASARI CIAMIS</v>
      </c>
      <c r="D8324" s="186">
        <f>IFERROR(__xludf.DUMMYFUNCTION("""COMPUTED_VALUE"""),5.0)</f>
        <v>5</v>
      </c>
    </row>
    <row r="8325">
      <c r="A8325" s="178" t="str">
        <f>IFERROR(__xludf.DUMMYFUNCTION("""COMPUTED_VALUE"""),"ITBISA-LED-SUPERBRIGHT-5MM-YELLOW")</f>
        <v>ITBISA-LED-SUPERBRIGHT-5MM-YELLOW</v>
      </c>
      <c r="B8325" s="266">
        <f>IFERROR(__xludf.DUMMYFUNCTION("""COMPUTED_VALUE"""),45701.0)</f>
        <v>45701</v>
      </c>
      <c r="C8325" s="266" t="str">
        <f>IFERROR(__xludf.DUMMYFUNCTION("""COMPUTED_VALUE"""),"KYAI KONTONG")</f>
        <v>KYAI KONTONG</v>
      </c>
      <c r="D8325" s="186">
        <f>IFERROR(__xludf.DUMMYFUNCTION("""COMPUTED_VALUE"""),8.0)</f>
        <v>8</v>
      </c>
    </row>
    <row r="8326">
      <c r="A8326" s="178" t="str">
        <f>IFERROR(__xludf.DUMMYFUNCTION("""COMPUTED_VALUE"""),"ITBISA-LED-SUPERBRIGHT-5MM-YELLOW")</f>
        <v>ITBISA-LED-SUPERBRIGHT-5MM-YELLOW</v>
      </c>
      <c r="B8326" s="266">
        <f>IFERROR(__xludf.DUMMYFUNCTION("""COMPUTED_VALUE"""),45705.0)</f>
        <v>45705</v>
      </c>
      <c r="C8326" s="266" t="str">
        <f>IFERROR(__xludf.DUMMYFUNCTION("""COMPUTED_VALUE"""),"KYAI KONTONG")</f>
        <v>KYAI KONTONG</v>
      </c>
      <c r="D8326" s="186">
        <f>IFERROR(__xludf.DUMMYFUNCTION("""COMPUTED_VALUE"""),20.0)</f>
        <v>20</v>
      </c>
    </row>
    <row r="8327">
      <c r="A8327" s="178" t="str">
        <f>IFERROR(__xludf.DUMMYFUNCTION("""COMPUTED_VALUE"""),"ITBISA-LED-SUPERBRIGHT-5MM-YELLOW")</f>
        <v>ITBISA-LED-SUPERBRIGHT-5MM-YELLOW</v>
      </c>
      <c r="B8327" s="266">
        <f>IFERROR(__xludf.DUMMYFUNCTION("""COMPUTED_VALUE"""),45712.0)</f>
        <v>45712</v>
      </c>
      <c r="C8327" s="266" t="str">
        <f>IFERROR(__xludf.DUMMYFUNCTION("""COMPUTED_VALUE"""),"KYAI KONTONG")</f>
        <v>KYAI KONTONG</v>
      </c>
      <c r="D8327" s="186">
        <f>IFERROR(__xludf.DUMMYFUNCTION("""COMPUTED_VALUE"""),2.0)</f>
        <v>2</v>
      </c>
    </row>
    <row r="8328">
      <c r="A8328" s="178" t="str">
        <f>IFERROR(__xludf.DUMMYFUNCTION("""COMPUTED_VALUE"""),"ITBISA-LED-SUPERBRIGHT-5MM-YELLOW")</f>
        <v>ITBISA-LED-SUPERBRIGHT-5MM-YELLOW</v>
      </c>
      <c r="B8328" s="266">
        <f>IFERROR(__xludf.DUMMYFUNCTION("""COMPUTED_VALUE"""),45716.0)</f>
        <v>45716</v>
      </c>
      <c r="C8328" s="266" t="str">
        <f>IFERROR(__xludf.DUMMYFUNCTION("""COMPUTED_VALUE"""),"KYAI KONTONG")</f>
        <v>KYAI KONTONG</v>
      </c>
      <c r="D8328" s="186">
        <f>IFERROR(__xludf.DUMMYFUNCTION("""COMPUTED_VALUE"""),50.0)</f>
        <v>50</v>
      </c>
    </row>
    <row r="8329">
      <c r="A8329" s="178" t="str">
        <f>IFERROR(__xludf.DUMMYFUNCTION("""COMPUTED_VALUE"""),"ITBISA-LED-SUPERBRIGHT-5MM-YELLOW")</f>
        <v>ITBISA-LED-SUPERBRIGHT-5MM-YELLOW</v>
      </c>
      <c r="B8329" s="266">
        <f>IFERROR(__xludf.DUMMYFUNCTION("""COMPUTED_VALUE"""),45718.0)</f>
        <v>45718</v>
      </c>
      <c r="C8329" s="266" t="str">
        <f>IFERROR(__xludf.DUMMYFUNCTION("""COMPUTED_VALUE"""),"KERTASARI CIAMIS")</f>
        <v>KERTASARI CIAMIS</v>
      </c>
      <c r="D8329" s="186">
        <f>IFERROR(__xludf.DUMMYFUNCTION("""COMPUTED_VALUE"""),20.0)</f>
        <v>20</v>
      </c>
    </row>
    <row r="8330">
      <c r="A8330" s="178" t="str">
        <f>IFERROR(__xludf.DUMMYFUNCTION("""COMPUTED_VALUE"""),"ITBISA-LED-SUPERBRIGHT-5MM-YELLOW")</f>
        <v>ITBISA-LED-SUPERBRIGHT-5MM-YELLOW</v>
      </c>
      <c r="B8330" s="266">
        <f>IFERROR(__xludf.DUMMYFUNCTION("""COMPUTED_VALUE"""),45720.0)</f>
        <v>45720</v>
      </c>
      <c r="C8330" s="266" t="str">
        <f>IFERROR(__xludf.DUMMYFUNCTION("""COMPUTED_VALUE"""),"KERTASARI CIAMIS")</f>
        <v>KERTASARI CIAMIS</v>
      </c>
      <c r="D8330" s="186">
        <f>IFERROR(__xludf.DUMMYFUNCTION("""COMPUTED_VALUE"""),50.0)</f>
        <v>50</v>
      </c>
    </row>
    <row r="8331">
      <c r="A8331" s="178" t="str">
        <f>IFERROR(__xludf.DUMMYFUNCTION("""COMPUTED_VALUE"""),"ITBISA-LED-SUPERBRIGHT-5MM-YELLOW")</f>
        <v>ITBISA-LED-SUPERBRIGHT-5MM-YELLOW</v>
      </c>
      <c r="B8331" s="266">
        <f>IFERROR(__xludf.DUMMYFUNCTION("""COMPUTED_VALUE"""),45725.0)</f>
        <v>45725</v>
      </c>
      <c r="C8331" s="266" t="str">
        <f>IFERROR(__xludf.DUMMYFUNCTION("""COMPUTED_VALUE"""),"KYAI KONTONG")</f>
        <v>KYAI KONTONG</v>
      </c>
      <c r="D8331" s="186">
        <f>IFERROR(__xludf.DUMMYFUNCTION("""COMPUTED_VALUE"""),5.0)</f>
        <v>5</v>
      </c>
    </row>
    <row r="8332">
      <c r="A8332" s="178" t="str">
        <f>IFERROR(__xludf.DUMMYFUNCTION("""COMPUTED_VALUE"""),"ITBISA-LED-SUPERBRIGHT-5MM-YELLOW")</f>
        <v>ITBISA-LED-SUPERBRIGHT-5MM-YELLOW</v>
      </c>
      <c r="B8332" s="266">
        <f>IFERROR(__xludf.DUMMYFUNCTION("""COMPUTED_VALUE"""),45726.0)</f>
        <v>45726</v>
      </c>
      <c r="C8332" s="266" t="str">
        <f>IFERROR(__xludf.DUMMYFUNCTION("""COMPUTED_VALUE"""),"KERTASARI CIAMIS")</f>
        <v>KERTASARI CIAMIS</v>
      </c>
      <c r="D8332" s="186">
        <f>IFERROR(__xludf.DUMMYFUNCTION("""COMPUTED_VALUE"""),5.0)</f>
        <v>5</v>
      </c>
    </row>
    <row r="8333">
      <c r="A8333" s="178" t="str">
        <f>IFERROR(__xludf.DUMMYFUNCTION("""COMPUTED_VALUE"""),"ITBISA-LED-SUPERBRIGHT-5MM-YELLOW")</f>
        <v>ITBISA-LED-SUPERBRIGHT-5MM-YELLOW</v>
      </c>
      <c r="B8333" s="266">
        <f>IFERROR(__xludf.DUMMYFUNCTION("""COMPUTED_VALUE"""),45730.0)</f>
        <v>45730</v>
      </c>
      <c r="C8333" s="266" t="str">
        <f>IFERROR(__xludf.DUMMYFUNCTION("""COMPUTED_VALUE"""),"KERTASARI CIAMIS")</f>
        <v>KERTASARI CIAMIS</v>
      </c>
      <c r="D8333" s="186">
        <f>IFERROR(__xludf.DUMMYFUNCTION("""COMPUTED_VALUE"""),15.0)</f>
        <v>15</v>
      </c>
    </row>
    <row r="8334">
      <c r="A8334" s="178" t="str">
        <f>IFERROR(__xludf.DUMMYFUNCTION("""COMPUTED_VALUE"""),"ITBISA-LED-SUPERBRIGHT-5MM-YELLOW")</f>
        <v>ITBISA-LED-SUPERBRIGHT-5MM-YELLOW</v>
      </c>
      <c r="B8334" s="266">
        <f>IFERROR(__xludf.DUMMYFUNCTION("""COMPUTED_VALUE"""),45733.0)</f>
        <v>45733</v>
      </c>
      <c r="C8334" s="266" t="str">
        <f>IFERROR(__xludf.DUMMYFUNCTION("""COMPUTED_VALUE"""),"KYAI KONTONG")</f>
        <v>KYAI KONTONG</v>
      </c>
      <c r="D8334" s="186">
        <f>IFERROR(__xludf.DUMMYFUNCTION("""COMPUTED_VALUE"""),15.0)</f>
        <v>15</v>
      </c>
    </row>
    <row r="8335">
      <c r="A8335" s="178" t="str">
        <f>IFERROR(__xludf.DUMMYFUNCTION("""COMPUTED_VALUE"""),"ITBISA-LED-SUPERBRIGHT-5MM-YELLOW")</f>
        <v>ITBISA-LED-SUPERBRIGHT-5MM-YELLOW</v>
      </c>
      <c r="B8335" s="266">
        <f>IFERROR(__xludf.DUMMYFUNCTION("""COMPUTED_VALUE"""),45746.0)</f>
        <v>45746</v>
      </c>
      <c r="C8335" s="266" t="str">
        <f>IFERROR(__xludf.DUMMYFUNCTION("""COMPUTED_VALUE"""),"KERTASARI CIAMIS")</f>
        <v>KERTASARI CIAMIS</v>
      </c>
      <c r="D8335" s="186">
        <f>IFERROR(__xludf.DUMMYFUNCTION("""COMPUTED_VALUE"""),10.0)</f>
        <v>10</v>
      </c>
    </row>
    <row r="8336">
      <c r="A8336" s="178" t="str">
        <f>IFERROR(__xludf.DUMMYFUNCTION("""COMPUTED_VALUE"""),"ITBISA-LED-SUPERBRIGHT-5MM-YELLOW")</f>
        <v>ITBISA-LED-SUPERBRIGHT-5MM-YELLOW</v>
      </c>
      <c r="B8336" s="266">
        <f>IFERROR(__xludf.DUMMYFUNCTION("""COMPUTED_VALUE"""),45749.0)</f>
        <v>45749</v>
      </c>
      <c r="C8336" s="266" t="str">
        <f>IFERROR(__xludf.DUMMYFUNCTION("""COMPUTED_VALUE"""),"KERTASARI CIAMIS")</f>
        <v>KERTASARI CIAMIS</v>
      </c>
      <c r="D8336" s="186">
        <f>IFERROR(__xludf.DUMMYFUNCTION("""COMPUTED_VALUE"""),20.0)</f>
        <v>20</v>
      </c>
    </row>
    <row r="8337">
      <c r="A8337" s="178" t="str">
        <f>IFERROR(__xludf.DUMMYFUNCTION("""COMPUTED_VALUE"""),"ITBISA-LED-SUPERBRIGHT-5MM-YELLOW")</f>
        <v>ITBISA-LED-SUPERBRIGHT-5MM-YELLOW</v>
      </c>
      <c r="B8337" s="266">
        <f>IFERROR(__xludf.DUMMYFUNCTION("""COMPUTED_VALUE"""),45751.0)</f>
        <v>45751</v>
      </c>
      <c r="C8337" s="266" t="str">
        <f>IFERROR(__xludf.DUMMYFUNCTION("""COMPUTED_VALUE"""),"KERTASARI CIAMIS")</f>
        <v>KERTASARI CIAMIS</v>
      </c>
      <c r="D8337" s="186">
        <f>IFERROR(__xludf.DUMMYFUNCTION("""COMPUTED_VALUE"""),100.0)</f>
        <v>100</v>
      </c>
    </row>
    <row r="8338">
      <c r="A8338" s="178" t="str">
        <f>IFERROR(__xludf.DUMMYFUNCTION("""COMPUTED_VALUE"""),"ITBISA-LED-SUPERBRIGHT-5MM-YELLOW")</f>
        <v>ITBISA-LED-SUPERBRIGHT-5MM-YELLOW</v>
      </c>
      <c r="B8338" s="266">
        <f>IFERROR(__xludf.DUMMYFUNCTION("""COMPUTED_VALUE"""),45753.0)</f>
        <v>45753</v>
      </c>
      <c r="C8338" s="266" t="str">
        <f>IFERROR(__xludf.DUMMYFUNCTION("""COMPUTED_VALUE"""),"KERTASARI CIAMIS")</f>
        <v>KERTASARI CIAMIS</v>
      </c>
      <c r="D8338" s="186">
        <f>IFERROR(__xludf.DUMMYFUNCTION("""COMPUTED_VALUE"""),10.0)</f>
        <v>10</v>
      </c>
    </row>
    <row r="8339">
      <c r="A8339" s="178" t="str">
        <f>IFERROR(__xludf.DUMMYFUNCTION("""COMPUTED_VALUE"""),"ITBISA-LED-SUPERBRIGHT-5MM-YELLOW")</f>
        <v>ITBISA-LED-SUPERBRIGHT-5MM-YELLOW</v>
      </c>
      <c r="B8339" s="266">
        <f>IFERROR(__xludf.DUMMYFUNCTION("""COMPUTED_VALUE"""),45758.0)</f>
        <v>45758</v>
      </c>
      <c r="C8339" s="266" t="str">
        <f>IFERROR(__xludf.DUMMYFUNCTION("""COMPUTED_VALUE"""),"KYAI KONTONG")</f>
        <v>KYAI KONTONG</v>
      </c>
      <c r="D8339" s="186">
        <f>IFERROR(__xludf.DUMMYFUNCTION("""COMPUTED_VALUE"""),10.0)</f>
        <v>10</v>
      </c>
    </row>
    <row r="8340">
      <c r="A8340" s="178" t="str">
        <f>IFERROR(__xludf.DUMMYFUNCTION("""COMPUTED_VALUE"""),"ITBISA-LED-SUPERBRIGHT-5MM-YELLOW")</f>
        <v>ITBISA-LED-SUPERBRIGHT-5MM-YELLOW</v>
      </c>
      <c r="B8340" s="266">
        <f>IFERROR(__xludf.DUMMYFUNCTION("""COMPUTED_VALUE"""),45768.0)</f>
        <v>45768</v>
      </c>
      <c r="C8340" s="266" t="str">
        <f>IFERROR(__xludf.DUMMYFUNCTION("""COMPUTED_VALUE"""),"KERTASARI CIAMIS")</f>
        <v>KERTASARI CIAMIS</v>
      </c>
      <c r="D8340" s="186">
        <f>IFERROR(__xludf.DUMMYFUNCTION("""COMPUTED_VALUE"""),100.0)</f>
        <v>100</v>
      </c>
    </row>
    <row r="8341">
      <c r="A8341" s="178" t="str">
        <f>IFERROR(__xludf.DUMMYFUNCTION("""COMPUTED_VALUE"""),"ITBISA-LED-SUPERBRIGHT-5MM-YELLOW")</f>
        <v>ITBISA-LED-SUPERBRIGHT-5MM-YELLOW</v>
      </c>
      <c r="B8341" s="266">
        <f>IFERROR(__xludf.DUMMYFUNCTION("""COMPUTED_VALUE"""),45773.0)</f>
        <v>45773</v>
      </c>
      <c r="C8341" s="266" t="str">
        <f>IFERROR(__xludf.DUMMYFUNCTION("""COMPUTED_VALUE"""),"KERTASARI CIAMIS")</f>
        <v>KERTASARI CIAMIS</v>
      </c>
      <c r="D8341" s="186">
        <f>IFERROR(__xludf.DUMMYFUNCTION("""COMPUTED_VALUE"""),10.0)</f>
        <v>10</v>
      </c>
    </row>
    <row r="8342">
      <c r="A8342" s="178" t="str">
        <f>IFERROR(__xludf.DUMMYFUNCTION("""COMPUTED_VALUE"""),"ITBISA-LED-SUPERBRIGHT-5MM-YELLOW")</f>
        <v>ITBISA-LED-SUPERBRIGHT-5MM-YELLOW</v>
      </c>
      <c r="B8342" s="266">
        <f>IFERROR(__xludf.DUMMYFUNCTION("""COMPUTED_VALUE"""),45792.0)</f>
        <v>45792</v>
      </c>
      <c r="C8342" s="266" t="str">
        <f>IFERROR(__xludf.DUMMYFUNCTION("""COMPUTED_VALUE"""),"KERTASARI CIAMIS")</f>
        <v>KERTASARI CIAMIS</v>
      </c>
      <c r="D8342" s="186">
        <f>IFERROR(__xludf.DUMMYFUNCTION("""COMPUTED_VALUE"""),15.0)</f>
        <v>15</v>
      </c>
    </row>
    <row r="8343">
      <c r="A8343" s="178" t="str">
        <f>IFERROR(__xludf.DUMMYFUNCTION("""COMPUTED_VALUE"""),"ITBISA-LED-SUPERBRIGHT-5MM-YELLOW")</f>
        <v>ITBISA-LED-SUPERBRIGHT-5MM-YELLOW</v>
      </c>
      <c r="B8343" s="266">
        <f>IFERROR(__xludf.DUMMYFUNCTION("""COMPUTED_VALUE"""),45803.0)</f>
        <v>45803</v>
      </c>
      <c r="C8343" s="266" t="str">
        <f>IFERROR(__xludf.DUMMYFUNCTION("""COMPUTED_VALUE"""),"KYAI KONTONG")</f>
        <v>KYAI KONTONG</v>
      </c>
      <c r="D8343" s="186">
        <f>IFERROR(__xludf.DUMMYFUNCTION("""COMPUTED_VALUE"""),2.0)</f>
        <v>2</v>
      </c>
    </row>
    <row r="8344">
      <c r="A8344" s="178" t="str">
        <f>IFERROR(__xludf.DUMMYFUNCTION("""COMPUTED_VALUE"""),"ITBISA-LED-SUPERBRIGHT-5MM-YELLOW")</f>
        <v>ITBISA-LED-SUPERBRIGHT-5MM-YELLOW</v>
      </c>
      <c r="B8344" s="266">
        <f>IFERROR(__xludf.DUMMYFUNCTION("""COMPUTED_VALUE"""),45810.0)</f>
        <v>45810</v>
      </c>
      <c r="C8344" s="266" t="str">
        <f>IFERROR(__xludf.DUMMYFUNCTION("""COMPUTED_VALUE"""),"KYAI KONTONG")</f>
        <v>KYAI KONTONG</v>
      </c>
      <c r="D8344" s="186">
        <f>IFERROR(__xludf.DUMMYFUNCTION("""COMPUTED_VALUE"""),20.0)</f>
        <v>20</v>
      </c>
    </row>
    <row r="8345">
      <c r="A8345" s="178" t="str">
        <f>IFERROR(__xludf.DUMMYFUNCTION("""COMPUTED_VALUE"""),"ITBISA-LED-SUPERBRIGHT-5MM-YELLOW")</f>
        <v>ITBISA-LED-SUPERBRIGHT-5MM-YELLOW</v>
      </c>
      <c r="B8345" s="266">
        <f>IFERROR(__xludf.DUMMYFUNCTION("""COMPUTED_VALUE"""),45812.0)</f>
        <v>45812</v>
      </c>
      <c r="C8345" s="266" t="str">
        <f>IFERROR(__xludf.DUMMYFUNCTION("""COMPUTED_VALUE"""),"KERTASARI CIAMIS")</f>
        <v>KERTASARI CIAMIS</v>
      </c>
      <c r="D8345" s="186">
        <f>IFERROR(__xludf.DUMMYFUNCTION("""COMPUTED_VALUE"""),50.0)</f>
        <v>50</v>
      </c>
    </row>
    <row r="8346">
      <c r="A8346" s="178" t="str">
        <f>IFERROR(__xludf.DUMMYFUNCTION("""COMPUTED_VALUE"""),"ITBISA-LED-SUPERBRIGHT-5MM-YELLOW")</f>
        <v>ITBISA-LED-SUPERBRIGHT-5MM-YELLOW</v>
      </c>
      <c r="B8346" s="266">
        <f>IFERROR(__xludf.DUMMYFUNCTION("""COMPUTED_VALUE"""),45827.0)</f>
        <v>45827</v>
      </c>
      <c r="C8346" s="266" t="str">
        <f>IFERROR(__xludf.DUMMYFUNCTION("""COMPUTED_VALUE"""),"KERTASARI CIAMIS")</f>
        <v>KERTASARI CIAMIS</v>
      </c>
      <c r="D8346" s="186">
        <f>IFERROR(__xludf.DUMMYFUNCTION("""COMPUTED_VALUE"""),5.0)</f>
        <v>5</v>
      </c>
    </row>
    <row r="8347">
      <c r="A8347" s="178" t="str">
        <f>IFERROR(__xludf.DUMMYFUNCTION("""COMPUTED_VALUE"""),"ITBISA-LED-SUPERBRIGHT-5MM-YELLOW")</f>
        <v>ITBISA-LED-SUPERBRIGHT-5MM-YELLOW</v>
      </c>
      <c r="B8347" s="266">
        <f>IFERROR(__xludf.DUMMYFUNCTION("""COMPUTED_VALUE"""),45837.0)</f>
        <v>45837</v>
      </c>
      <c r="C8347" s="266" t="str">
        <f>IFERROR(__xludf.DUMMYFUNCTION("""COMPUTED_VALUE"""),"KERTASARI CIAMIS")</f>
        <v>KERTASARI CIAMIS</v>
      </c>
      <c r="D8347" s="186">
        <f>IFERROR(__xludf.DUMMYFUNCTION("""COMPUTED_VALUE"""),50.0)</f>
        <v>50</v>
      </c>
    </row>
    <row r="8348">
      <c r="A8348" s="178" t="str">
        <f>IFERROR(__xludf.DUMMYFUNCTION("""COMPUTED_VALUE"""),"ITBISA-LED-SUPERBRIGHT-5MM-YELLOW")</f>
        <v>ITBISA-LED-SUPERBRIGHT-5MM-YELLOW</v>
      </c>
      <c r="B8348" s="266">
        <f>IFERROR(__xludf.DUMMYFUNCTION("""COMPUTED_VALUE"""),45849.0)</f>
        <v>45849</v>
      </c>
      <c r="C8348" s="266" t="str">
        <f>IFERROR(__xludf.DUMMYFUNCTION("""COMPUTED_VALUE"""),"KYAI KONTONG")</f>
        <v>KYAI KONTONG</v>
      </c>
      <c r="D8348" s="186">
        <f>IFERROR(__xludf.DUMMYFUNCTION("""COMPUTED_VALUE"""),100.0)</f>
        <v>100</v>
      </c>
    </row>
    <row r="8349">
      <c r="A8349" s="178" t="str">
        <f>IFERROR(__xludf.DUMMYFUNCTION("""COMPUTED_VALUE"""),"ITBISA-LED-SUPERBRIGHT-5MM-YELLOW")</f>
        <v>ITBISA-LED-SUPERBRIGHT-5MM-YELLOW</v>
      </c>
      <c r="B8349" s="266">
        <f>IFERROR(__xludf.DUMMYFUNCTION("""COMPUTED_VALUE"""),45861.0)</f>
        <v>45861</v>
      </c>
      <c r="C8349" s="266" t="str">
        <f>IFERROR(__xludf.DUMMYFUNCTION("""COMPUTED_VALUE"""),"KERTASARI CIAMIS")</f>
        <v>KERTASARI CIAMIS</v>
      </c>
      <c r="D8349" s="186">
        <f>IFERROR(__xludf.DUMMYFUNCTION("""COMPUTED_VALUE"""),50.0)</f>
        <v>50</v>
      </c>
    </row>
    <row r="8350">
      <c r="A8350" s="178" t="str">
        <f>IFERROR(__xludf.DUMMYFUNCTION("""COMPUTED_VALUE"""),"ITBISA-LED-SUPERBRIGHT-5MM-YELLOW")</f>
        <v>ITBISA-LED-SUPERBRIGHT-5MM-YELLOW</v>
      </c>
      <c r="B8350" s="266">
        <f>IFERROR(__xludf.DUMMYFUNCTION("""COMPUTED_VALUE"""),45867.0)</f>
        <v>45867</v>
      </c>
      <c r="C8350" s="266" t="str">
        <f>IFERROR(__xludf.DUMMYFUNCTION("""COMPUTED_VALUE"""),"KYAI KONTONG")</f>
        <v>KYAI KONTONG</v>
      </c>
      <c r="D8350" s="186">
        <f>IFERROR(__xludf.DUMMYFUNCTION("""COMPUTED_VALUE"""),10.0)</f>
        <v>10</v>
      </c>
    </row>
    <row r="8351">
      <c r="A8351" s="178" t="str">
        <f>IFERROR(__xludf.DUMMYFUNCTION("""COMPUTED_VALUE"""),"ITBISA-LED-SUPERBRIGHT-5MM-YELLOW")</f>
        <v>ITBISA-LED-SUPERBRIGHT-5MM-YELLOW</v>
      </c>
      <c r="B8351" s="266">
        <f>IFERROR(__xludf.DUMMYFUNCTION("""COMPUTED_VALUE"""),45869.0)</f>
        <v>45869</v>
      </c>
      <c r="C8351" s="266" t="str">
        <f>IFERROR(__xludf.DUMMYFUNCTION("""COMPUTED_VALUE"""),"KYAI KONTONG")</f>
        <v>KYAI KONTONG</v>
      </c>
      <c r="D8351" s="186">
        <f>IFERROR(__xludf.DUMMYFUNCTION("""COMPUTED_VALUE"""),18.0)</f>
        <v>18</v>
      </c>
    </row>
    <row r="8352">
      <c r="A8352" s="178" t="str">
        <f>IFERROR(__xludf.DUMMYFUNCTION("""COMPUTED_VALUE"""),"ITBISA-LED-SUPERBRIGHT-5MM-YELLOW")</f>
        <v>ITBISA-LED-SUPERBRIGHT-5MM-YELLOW</v>
      </c>
      <c r="B8352" s="266">
        <f>IFERROR(__xludf.DUMMYFUNCTION("""COMPUTED_VALUE"""),45874.0)</f>
        <v>45874</v>
      </c>
      <c r="C8352" s="266" t="str">
        <f>IFERROR(__xludf.DUMMYFUNCTION("""COMPUTED_VALUE"""),"KERTASARI CIAMIS")</f>
        <v>KERTASARI CIAMIS</v>
      </c>
      <c r="D8352" s="186">
        <f>IFERROR(__xludf.DUMMYFUNCTION("""COMPUTED_VALUE"""),5.0)</f>
        <v>5</v>
      </c>
    </row>
    <row r="8353">
      <c r="A8353" s="178" t="str">
        <f>IFERROR(__xludf.DUMMYFUNCTION("""COMPUTED_VALUE"""),"ITBISA-LED-SUPERBRIGHT-5MM-YELLOW")</f>
        <v>ITBISA-LED-SUPERBRIGHT-5MM-YELLOW</v>
      </c>
      <c r="B8353" s="266">
        <f>IFERROR(__xludf.DUMMYFUNCTION("""COMPUTED_VALUE"""),45877.0)</f>
        <v>45877</v>
      </c>
      <c r="C8353" s="266" t="str">
        <f>IFERROR(__xludf.DUMMYFUNCTION("""COMPUTED_VALUE"""),"KYAI KONTONG")</f>
        <v>KYAI KONTONG</v>
      </c>
      <c r="D8353" s="186">
        <f>IFERROR(__xludf.DUMMYFUNCTION("""COMPUTED_VALUE"""),1.0)</f>
        <v>1</v>
      </c>
    </row>
    <row r="8354">
      <c r="A8354" s="178" t="str">
        <f>IFERROR(__xludf.DUMMYFUNCTION("""COMPUTED_VALUE"""),"ITBISA-LED-SUPERBRIGHT-5MM-YELLOW")</f>
        <v>ITBISA-LED-SUPERBRIGHT-5MM-YELLOW</v>
      </c>
      <c r="B8354" s="266">
        <f>IFERROR(__xludf.DUMMYFUNCTION("""COMPUTED_VALUE"""),45883.0)</f>
        <v>45883</v>
      </c>
      <c r="C8354" s="266" t="str">
        <f>IFERROR(__xludf.DUMMYFUNCTION("""COMPUTED_VALUE"""),"KYAI KONTONG")</f>
        <v>KYAI KONTONG</v>
      </c>
      <c r="D8354" s="186">
        <f>IFERROR(__xludf.DUMMYFUNCTION("""COMPUTED_VALUE"""),3.0)</f>
        <v>3</v>
      </c>
    </row>
    <row r="8355">
      <c r="A8355" s="178" t="str">
        <f>IFERROR(__xludf.DUMMYFUNCTION("""COMPUTED_VALUE"""),"ITBISA-LED-SUPERBRIGHT-5MM-YELLOW")</f>
        <v>ITBISA-LED-SUPERBRIGHT-5MM-YELLOW</v>
      </c>
      <c r="B8355" s="266">
        <f>IFERROR(__xludf.DUMMYFUNCTION("""COMPUTED_VALUE"""),45887.0)</f>
        <v>45887</v>
      </c>
      <c r="C8355" s="266" t="str">
        <f>IFERROR(__xludf.DUMMYFUNCTION("""COMPUTED_VALUE"""),"KERTASARI CIAMIS")</f>
        <v>KERTASARI CIAMIS</v>
      </c>
      <c r="D8355" s="186">
        <f>IFERROR(__xludf.DUMMYFUNCTION("""COMPUTED_VALUE"""),5.0)</f>
        <v>5</v>
      </c>
    </row>
    <row r="8356">
      <c r="A8356" s="178" t="str">
        <f>IFERROR(__xludf.DUMMYFUNCTION("""COMPUTED_VALUE"""),"ITBISA-LED-SUPERBRIGHT-5MM-YELLOW")</f>
        <v>ITBISA-LED-SUPERBRIGHT-5MM-YELLOW</v>
      </c>
      <c r="B8356" s="266">
        <f>IFERROR(__xludf.DUMMYFUNCTION("""COMPUTED_VALUE"""),45902.0)</f>
        <v>45902</v>
      </c>
      <c r="C8356" s="266" t="str">
        <f>IFERROR(__xludf.DUMMYFUNCTION("""COMPUTED_VALUE"""),"KERTASARI CIAMIS")</f>
        <v>KERTASARI CIAMIS</v>
      </c>
      <c r="D8356" s="186">
        <f>IFERROR(__xludf.DUMMYFUNCTION("""COMPUTED_VALUE"""),5.0)</f>
        <v>5</v>
      </c>
    </row>
    <row r="8357">
      <c r="A8357" s="178" t="str">
        <f>IFERROR(__xludf.DUMMYFUNCTION("""COMPUTED_VALUE"""),"ITBISA-LED-SUPERBRIGHT-5MM-YELLOW")</f>
        <v>ITBISA-LED-SUPERBRIGHT-5MM-YELLOW</v>
      </c>
      <c r="B8357" s="266">
        <f>IFERROR(__xludf.DUMMYFUNCTION("""COMPUTED_VALUE"""),45906.0)</f>
        <v>45906</v>
      </c>
      <c r="C8357" s="266" t="str">
        <f>IFERROR(__xludf.DUMMYFUNCTION("""COMPUTED_VALUE"""),"KERTASARI CIAMIS")</f>
        <v>KERTASARI CIAMIS</v>
      </c>
      <c r="D8357" s="186">
        <f>IFERROR(__xludf.DUMMYFUNCTION("""COMPUTED_VALUE"""),200.0)</f>
        <v>200</v>
      </c>
    </row>
    <row r="8358">
      <c r="A8358" s="178" t="str">
        <f>IFERROR(__xludf.DUMMYFUNCTION("""COMPUTED_VALUE"""),"ITBISA-LED-SUPERBRIGHT-5MM-YELLOW")</f>
        <v>ITBISA-LED-SUPERBRIGHT-5MM-YELLOW</v>
      </c>
      <c r="B8358" s="266">
        <f>IFERROR(__xludf.DUMMYFUNCTION("""COMPUTED_VALUE"""),45910.0)</f>
        <v>45910</v>
      </c>
      <c r="C8358" s="266" t="str">
        <f>IFERROR(__xludf.DUMMYFUNCTION("""COMPUTED_VALUE"""),"KYAI KONTONG")</f>
        <v>KYAI KONTONG</v>
      </c>
      <c r="D8358" s="186">
        <f>IFERROR(__xludf.DUMMYFUNCTION("""COMPUTED_VALUE"""),10.0)</f>
        <v>10</v>
      </c>
    </row>
    <row r="8359">
      <c r="A8359" s="178" t="str">
        <f>IFERROR(__xludf.DUMMYFUNCTION("""COMPUTED_VALUE"""),"ITBISA-LED-SUPERBRIGHT-5MM-YELLOW")</f>
        <v>ITBISA-LED-SUPERBRIGHT-5MM-YELLOW</v>
      </c>
      <c r="B8359" s="266">
        <f>IFERROR(__xludf.DUMMYFUNCTION("""COMPUTED_VALUE"""),45925.0)</f>
        <v>45925</v>
      </c>
      <c r="C8359" s="266" t="str">
        <f>IFERROR(__xludf.DUMMYFUNCTION("""COMPUTED_VALUE"""),"KERTASARI CIAMIS")</f>
        <v>KERTASARI CIAMIS</v>
      </c>
      <c r="D8359" s="186">
        <f>IFERROR(__xludf.DUMMYFUNCTION("""COMPUTED_VALUE"""),10.0)</f>
        <v>10</v>
      </c>
    </row>
    <row r="8360">
      <c r="A8360" s="178" t="str">
        <f>IFERROR(__xludf.DUMMYFUNCTION("""COMPUTED_VALUE"""),"ITBISA-LED-SUPERBRIGHT-5MM-YELLOW")</f>
        <v>ITBISA-LED-SUPERBRIGHT-5MM-YELLOW</v>
      </c>
      <c r="B8360" s="266">
        <f>IFERROR(__xludf.DUMMYFUNCTION("""COMPUTED_VALUE"""),45931.0)</f>
        <v>45931</v>
      </c>
      <c r="C8360" s="266" t="str">
        <f>IFERROR(__xludf.DUMMYFUNCTION("""COMPUTED_VALUE"""),"KERTASARI CIAMIS")</f>
        <v>KERTASARI CIAMIS</v>
      </c>
      <c r="D8360" s="186">
        <f>IFERROR(__xludf.DUMMYFUNCTION("""COMPUTED_VALUE"""),10.0)</f>
        <v>10</v>
      </c>
    </row>
    <row r="8361">
      <c r="A8361" s="178" t="str">
        <f>IFERROR(__xludf.DUMMYFUNCTION("""COMPUTED_VALUE"""),"ITBISA-LED-SUPERBRIGHT-5MM-YELLOW")</f>
        <v>ITBISA-LED-SUPERBRIGHT-5MM-YELLOW</v>
      </c>
      <c r="B8361" s="266">
        <f>IFERROR(__xludf.DUMMYFUNCTION("""COMPUTED_VALUE"""),45934.0)</f>
        <v>45934</v>
      </c>
      <c r="C8361" s="266" t="str">
        <f>IFERROR(__xludf.DUMMYFUNCTION("""COMPUTED_VALUE"""),"KERTASARI CIAMIS")</f>
        <v>KERTASARI CIAMIS</v>
      </c>
      <c r="D8361" s="186">
        <f>IFERROR(__xludf.DUMMYFUNCTION("""COMPUTED_VALUE"""),100.0)</f>
        <v>100</v>
      </c>
    </row>
    <row r="8362">
      <c r="A8362" s="178" t="str">
        <f>IFERROR(__xludf.DUMMYFUNCTION("""COMPUTED_VALUE"""),"ITBISA-LED-SUPERBRIGHT-5MM-YELLOW")</f>
        <v>ITBISA-LED-SUPERBRIGHT-5MM-YELLOW</v>
      </c>
      <c r="B8362" s="266">
        <f>IFERROR(__xludf.DUMMYFUNCTION("""COMPUTED_VALUE"""),45936.0)</f>
        <v>45936</v>
      </c>
      <c r="C8362" s="266" t="str">
        <f>IFERROR(__xludf.DUMMYFUNCTION("""COMPUTED_VALUE"""),"KERTASARI CIAMIS")</f>
        <v>KERTASARI CIAMIS</v>
      </c>
      <c r="D8362" s="186">
        <f>IFERROR(__xludf.DUMMYFUNCTION("""COMPUTED_VALUE"""),5.0)</f>
        <v>5</v>
      </c>
    </row>
    <row r="8363">
      <c r="A8363" s="178" t="str">
        <f>IFERROR(__xludf.DUMMYFUNCTION("""COMPUTED_VALUE"""),"ITBISA-LED-SUPERBRIGHT-5MM-YELLOW")</f>
        <v>ITBISA-LED-SUPERBRIGHT-5MM-YELLOW</v>
      </c>
      <c r="B8363" s="266">
        <f>IFERROR(__xludf.DUMMYFUNCTION("""COMPUTED_VALUE"""),45937.0)</f>
        <v>45937</v>
      </c>
      <c r="C8363" s="266" t="str">
        <f>IFERROR(__xludf.DUMMYFUNCTION("""COMPUTED_VALUE"""),"KYAI KONTONG")</f>
        <v>KYAI KONTONG</v>
      </c>
      <c r="D8363" s="186">
        <f>IFERROR(__xludf.DUMMYFUNCTION("""COMPUTED_VALUE"""),30.0)</f>
        <v>30</v>
      </c>
    </row>
    <row r="8364">
      <c r="A8364" s="178" t="str">
        <f>IFERROR(__xludf.DUMMYFUNCTION("""COMPUTED_VALUE"""),"ITBISA-LED-SUPERBRIGHT-5MM-YELLOW")</f>
        <v>ITBISA-LED-SUPERBRIGHT-5MM-YELLOW</v>
      </c>
      <c r="B8364" s="266">
        <f>IFERROR(__xludf.DUMMYFUNCTION("""COMPUTED_VALUE"""),45939.0)</f>
        <v>45939</v>
      </c>
      <c r="C8364" s="266" t="str">
        <f>IFERROR(__xludf.DUMMYFUNCTION("""COMPUTED_VALUE"""),"KYAI KONTONG")</f>
        <v>KYAI KONTONG</v>
      </c>
      <c r="D8364" s="186">
        <f>IFERROR(__xludf.DUMMYFUNCTION("""COMPUTED_VALUE"""),5.0)</f>
        <v>5</v>
      </c>
    </row>
    <row r="8365">
      <c r="A8365" s="178" t="str">
        <f>IFERROR(__xludf.DUMMYFUNCTION("""COMPUTED_VALUE"""),"ITBISA-LED-SUPERBRIGHT-5MM-YELLOW")</f>
        <v>ITBISA-LED-SUPERBRIGHT-5MM-YELLOW</v>
      </c>
      <c r="B8365" s="266">
        <f>IFERROR(__xludf.DUMMYFUNCTION("""COMPUTED_VALUE"""),45940.0)</f>
        <v>45940</v>
      </c>
      <c r="C8365" s="266" t="str">
        <f>IFERROR(__xludf.DUMMYFUNCTION("""COMPUTED_VALUE"""),"KERTASARI CIAMIS")</f>
        <v>KERTASARI CIAMIS</v>
      </c>
      <c r="D8365" s="186">
        <f>IFERROR(__xludf.DUMMYFUNCTION("""COMPUTED_VALUE"""),6.0)</f>
        <v>6</v>
      </c>
    </row>
    <row r="8366">
      <c r="A8366" s="178" t="str">
        <f>IFERROR(__xludf.DUMMYFUNCTION("""COMPUTED_VALUE"""),"ITBISA-LED-SUPERBRIGHT-5MM-YELLOW")</f>
        <v>ITBISA-LED-SUPERBRIGHT-5MM-YELLOW</v>
      </c>
      <c r="B8366" s="266">
        <f>IFERROR(__xludf.DUMMYFUNCTION("""COMPUTED_VALUE"""),45944.0)</f>
        <v>45944</v>
      </c>
      <c r="C8366" s="266" t="str">
        <f>IFERROR(__xludf.DUMMYFUNCTION("""COMPUTED_VALUE"""),"KERTASARI CIAMIS")</f>
        <v>KERTASARI CIAMIS</v>
      </c>
      <c r="D8366" s="186">
        <f>IFERROR(__xludf.DUMMYFUNCTION("""COMPUTED_VALUE"""),25.0)</f>
        <v>25</v>
      </c>
    </row>
    <row r="8367">
      <c r="A8367" s="178" t="str">
        <f>IFERROR(__xludf.DUMMYFUNCTION("""COMPUTED_VALUE"""),"ITBISA-LED-SUPERBRIGHT-5MM-YELLOW")</f>
        <v>ITBISA-LED-SUPERBRIGHT-5MM-YELLOW</v>
      </c>
      <c r="B8367" s="266">
        <f>IFERROR(__xludf.DUMMYFUNCTION("""COMPUTED_VALUE"""),45945.0)</f>
        <v>45945</v>
      </c>
      <c r="C8367" s="266" t="str">
        <f>IFERROR(__xludf.DUMMYFUNCTION("""COMPUTED_VALUE"""),"KYAI KONTONG")</f>
        <v>KYAI KONTONG</v>
      </c>
      <c r="D8367" s="186">
        <f>IFERROR(__xludf.DUMMYFUNCTION("""COMPUTED_VALUE"""),8.0)</f>
        <v>8</v>
      </c>
    </row>
    <row r="8368">
      <c r="A8368" s="178" t="str">
        <f>IFERROR(__xludf.DUMMYFUNCTION("""COMPUTED_VALUE"""),"ITBISA-LED-SUPERBRIGHT-5MM-YELLOW")</f>
        <v>ITBISA-LED-SUPERBRIGHT-5MM-YELLOW</v>
      </c>
      <c r="B8368" s="266">
        <f>IFERROR(__xludf.DUMMYFUNCTION("""COMPUTED_VALUE"""),45946.0)</f>
        <v>45946</v>
      </c>
      <c r="C8368" s="266" t="str">
        <f>IFERROR(__xludf.DUMMYFUNCTION("""COMPUTED_VALUE"""),"KYAI KONTONG")</f>
        <v>KYAI KONTONG</v>
      </c>
      <c r="D8368" s="186">
        <f>IFERROR(__xludf.DUMMYFUNCTION("""COMPUTED_VALUE"""),5.0)</f>
        <v>5</v>
      </c>
    </row>
    <row r="8369">
      <c r="A8369" s="178" t="str">
        <f>IFERROR(__xludf.DUMMYFUNCTION("""COMPUTED_VALUE"""),"ITBISA-LED-SUPERBRIGHT-5MM-YELLOW")</f>
        <v>ITBISA-LED-SUPERBRIGHT-5MM-YELLOW</v>
      </c>
      <c r="B8369" s="266">
        <f>IFERROR(__xludf.DUMMYFUNCTION("""COMPUTED_VALUE"""),45946.0)</f>
        <v>45946</v>
      </c>
      <c r="C8369" s="266" t="str">
        <f>IFERROR(__xludf.DUMMYFUNCTION("""COMPUTED_VALUE"""),"KYAI KONTONG")</f>
        <v>KYAI KONTONG</v>
      </c>
      <c r="D8369" s="186">
        <f>IFERROR(__xludf.DUMMYFUNCTION("""COMPUTED_VALUE"""),50.0)</f>
        <v>50</v>
      </c>
    </row>
    <row r="8370">
      <c r="A8370" s="178" t="str">
        <f>IFERROR(__xludf.DUMMYFUNCTION("""COMPUTED_VALUE"""),"ITBISA-LED-SUPERBRIGHT-5MM-YELLOW")</f>
        <v>ITBISA-LED-SUPERBRIGHT-5MM-YELLOW</v>
      </c>
      <c r="B8370" s="266">
        <f>IFERROR(__xludf.DUMMYFUNCTION("""COMPUTED_VALUE"""),45948.0)</f>
        <v>45948</v>
      </c>
      <c r="C8370" s="266" t="str">
        <f>IFERROR(__xludf.DUMMYFUNCTION("""COMPUTED_VALUE"""),"KYAI KONTONG")</f>
        <v>KYAI KONTONG</v>
      </c>
      <c r="D8370" s="186">
        <f>IFERROR(__xludf.DUMMYFUNCTION("""COMPUTED_VALUE"""),1.0)</f>
        <v>1</v>
      </c>
    </row>
    <row r="8371">
      <c r="A8371" s="178" t="str">
        <f>IFERROR(__xludf.DUMMYFUNCTION("""COMPUTED_VALUE"""),"ITBISA-LED-SUPERBRIGHT-5MM-YELLOW")</f>
        <v>ITBISA-LED-SUPERBRIGHT-5MM-YELLOW</v>
      </c>
      <c r="B8371" s="266">
        <f>IFERROR(__xludf.DUMMYFUNCTION("""COMPUTED_VALUE"""),45952.0)</f>
        <v>45952</v>
      </c>
      <c r="C8371" s="266" t="str">
        <f>IFERROR(__xludf.DUMMYFUNCTION("""COMPUTED_VALUE"""),"KYAI KONTONG")</f>
        <v>KYAI KONTONG</v>
      </c>
      <c r="D8371" s="186">
        <f>IFERROR(__xludf.DUMMYFUNCTION("""COMPUTED_VALUE"""),50.0)</f>
        <v>50</v>
      </c>
    </row>
    <row r="8372">
      <c r="A8372" s="178" t="str">
        <f>IFERROR(__xludf.DUMMYFUNCTION("""COMPUTED_VALUE"""),"ITBISA-LED-SUPERBRIGHT-5MM-YELLOW")</f>
        <v>ITBISA-LED-SUPERBRIGHT-5MM-YELLOW</v>
      </c>
      <c r="B8372" s="266">
        <f>IFERROR(__xludf.DUMMYFUNCTION("""COMPUTED_VALUE"""),45953.0)</f>
        <v>45953</v>
      </c>
      <c r="C8372" s="266" t="str">
        <f>IFERROR(__xludf.DUMMYFUNCTION("""COMPUTED_VALUE"""),"KERTASARI CIAMIS")</f>
        <v>KERTASARI CIAMIS</v>
      </c>
      <c r="D8372" s="186">
        <f>IFERROR(__xludf.DUMMYFUNCTION("""COMPUTED_VALUE"""),2.0)</f>
        <v>2</v>
      </c>
    </row>
    <row r="8373">
      <c r="A8373" s="178" t="str">
        <f>IFERROR(__xludf.DUMMYFUNCTION("""COMPUTED_VALUE"""),"ITBISA-LED-SUPERBRIGHT-5MM-YELLOW")</f>
        <v>ITBISA-LED-SUPERBRIGHT-5MM-YELLOW</v>
      </c>
      <c r="B8373" s="266">
        <f>IFERROR(__xludf.DUMMYFUNCTION("""COMPUTED_VALUE"""),45953.0)</f>
        <v>45953</v>
      </c>
      <c r="C8373" s="266" t="str">
        <f>IFERROR(__xludf.DUMMYFUNCTION("""COMPUTED_VALUE"""),"KYAI KONTONG")</f>
        <v>KYAI KONTONG</v>
      </c>
      <c r="D8373" s="186">
        <f>IFERROR(__xludf.DUMMYFUNCTION("""COMPUTED_VALUE"""),5.0)</f>
        <v>5</v>
      </c>
    </row>
    <row r="8374">
      <c r="A8374" s="178" t="str">
        <f>IFERROR(__xludf.DUMMYFUNCTION("""COMPUTED_VALUE"""),"ITBISA-LED-SUPERBRIGHT-5MM-YELLOW")</f>
        <v>ITBISA-LED-SUPERBRIGHT-5MM-YELLOW</v>
      </c>
      <c r="B8374" s="266">
        <f>IFERROR(__xludf.DUMMYFUNCTION("""COMPUTED_VALUE"""),45954.0)</f>
        <v>45954</v>
      </c>
      <c r="C8374" s="266" t="str">
        <f>IFERROR(__xludf.DUMMYFUNCTION("""COMPUTED_VALUE"""),"KYAI KONTONG")</f>
        <v>KYAI KONTONG</v>
      </c>
      <c r="D8374" s="186">
        <f>IFERROR(__xludf.DUMMYFUNCTION("""COMPUTED_VALUE"""),3.0)</f>
        <v>3</v>
      </c>
    </row>
    <row r="8375">
      <c r="A8375" s="178" t="str">
        <f>IFERROR(__xludf.DUMMYFUNCTION("""COMPUTED_VALUE"""),"ITBISA-LED-SUPERBRIGHT-5MM-YELLOW")</f>
        <v>ITBISA-LED-SUPERBRIGHT-5MM-YELLOW</v>
      </c>
      <c r="B8375" s="266">
        <f>IFERROR(__xludf.DUMMYFUNCTION("""COMPUTED_VALUE"""),45958.0)</f>
        <v>45958</v>
      </c>
      <c r="C8375" s="266" t="str">
        <f>IFERROR(__xludf.DUMMYFUNCTION("""COMPUTED_VALUE"""),"KYAI KONTONG")</f>
        <v>KYAI KONTONG</v>
      </c>
      <c r="D8375" s="186">
        <f>IFERROR(__xludf.DUMMYFUNCTION("""COMPUTED_VALUE"""),5.0)</f>
        <v>5</v>
      </c>
    </row>
    <row r="8376">
      <c r="A8376" s="178" t="str">
        <f>IFERROR(__xludf.DUMMYFUNCTION("""COMPUTED_VALUE"""),"ITBISA-LED-SUPERBRIGHT-5MM-YELLOW")</f>
        <v>ITBISA-LED-SUPERBRIGHT-5MM-YELLOW</v>
      </c>
      <c r="B8376" s="266">
        <f>IFERROR(__xludf.DUMMYFUNCTION("""COMPUTED_VALUE"""),45959.0)</f>
        <v>45959</v>
      </c>
      <c r="C8376" s="266" t="str">
        <f>IFERROR(__xludf.DUMMYFUNCTION("""COMPUTED_VALUE"""),"KERTASARI CIAMIS")</f>
        <v>KERTASARI CIAMIS</v>
      </c>
      <c r="D8376" s="186">
        <f>IFERROR(__xludf.DUMMYFUNCTION("""COMPUTED_VALUE"""),3.0)</f>
        <v>3</v>
      </c>
    </row>
    <row r="8377">
      <c r="A8377" s="178" t="str">
        <f>IFERROR(__xludf.DUMMYFUNCTION("""COMPUTED_VALUE"""),"ITBISA-LED-SUPERBRIGHT-5MM-YELLOW")</f>
        <v>ITBISA-LED-SUPERBRIGHT-5MM-YELLOW</v>
      </c>
      <c r="B8377" s="266">
        <f>IFERROR(__xludf.DUMMYFUNCTION("""COMPUTED_VALUE"""),45960.0)</f>
        <v>45960</v>
      </c>
      <c r="C8377" s="266" t="str">
        <f>IFERROR(__xludf.DUMMYFUNCTION("""COMPUTED_VALUE"""),"KYAI KONTONG")</f>
        <v>KYAI KONTONG</v>
      </c>
      <c r="D8377" s="186">
        <f>IFERROR(__xludf.DUMMYFUNCTION("""COMPUTED_VALUE"""),2.0)</f>
        <v>2</v>
      </c>
    </row>
    <row r="8378">
      <c r="A8378" s="178" t="str">
        <f>IFERROR(__xludf.DUMMYFUNCTION("""COMPUTED_VALUE"""),"ITBISA-LED-SUPERBRIGHT-5MM-YELLOW")</f>
        <v>ITBISA-LED-SUPERBRIGHT-5MM-YELLOW</v>
      </c>
      <c r="B8378" s="266">
        <f>IFERROR(__xludf.DUMMYFUNCTION("""COMPUTED_VALUE"""),45961.0)</f>
        <v>45961</v>
      </c>
      <c r="C8378" s="266" t="str">
        <f>IFERROR(__xludf.DUMMYFUNCTION("""COMPUTED_VALUE"""),"KYAI KONTONG")</f>
        <v>KYAI KONTONG</v>
      </c>
      <c r="D8378" s="186">
        <f>IFERROR(__xludf.DUMMYFUNCTION("""COMPUTED_VALUE"""),30.0)</f>
        <v>30</v>
      </c>
    </row>
    <row r="8379">
      <c r="A8379" s="178" t="str">
        <f>IFERROR(__xludf.DUMMYFUNCTION("""COMPUTED_VALUE"""),"ITBISA-LED-SUPERBRIGHT-5MM-YELLOW")</f>
        <v>ITBISA-LED-SUPERBRIGHT-5MM-YELLOW</v>
      </c>
      <c r="B8379" s="266">
        <f>IFERROR(__xludf.DUMMYFUNCTION("""COMPUTED_VALUE"""),45962.0)</f>
        <v>45962</v>
      </c>
      <c r="C8379" s="266" t="str">
        <f>IFERROR(__xludf.DUMMYFUNCTION("""COMPUTED_VALUE"""),"KYAI KONTONG")</f>
        <v>KYAI KONTONG</v>
      </c>
      <c r="D8379" s="186">
        <f>IFERROR(__xludf.DUMMYFUNCTION("""COMPUTED_VALUE"""),1.0)</f>
        <v>1</v>
      </c>
    </row>
    <row r="8380">
      <c r="A8380" s="178" t="str">
        <f>IFERROR(__xludf.DUMMYFUNCTION("""COMPUTED_VALUE"""),"ITBISA-LED-SUPERBRIGHT-5MM-YELLOW")</f>
        <v>ITBISA-LED-SUPERBRIGHT-5MM-YELLOW</v>
      </c>
      <c r="B8380" s="266">
        <f>IFERROR(__xludf.DUMMYFUNCTION("""COMPUTED_VALUE"""),45964.0)</f>
        <v>45964</v>
      </c>
      <c r="C8380" s="266" t="str">
        <f>IFERROR(__xludf.DUMMYFUNCTION("""COMPUTED_VALUE"""),"KERTASARI CIAMIS")</f>
        <v>KERTASARI CIAMIS</v>
      </c>
      <c r="D8380" s="186">
        <f>IFERROR(__xludf.DUMMYFUNCTION("""COMPUTED_VALUE"""),20.0)</f>
        <v>20</v>
      </c>
    </row>
    <row r="8381">
      <c r="A8381" s="178" t="str">
        <f>IFERROR(__xludf.DUMMYFUNCTION("""COMPUTED_VALUE"""),"ITBISA-LED-SUPERBRIGHT-5MM-YELLOW")</f>
        <v>ITBISA-LED-SUPERBRIGHT-5MM-YELLOW</v>
      </c>
      <c r="B8381" s="266">
        <f>IFERROR(__xludf.DUMMYFUNCTION("""COMPUTED_VALUE"""),45966.0)</f>
        <v>45966</v>
      </c>
      <c r="C8381" s="266" t="str">
        <f>IFERROR(__xludf.DUMMYFUNCTION("""COMPUTED_VALUE"""),"KYAI KONTONG")</f>
        <v>KYAI KONTONG</v>
      </c>
      <c r="D8381" s="186">
        <f>IFERROR(__xludf.DUMMYFUNCTION("""COMPUTED_VALUE"""),5.0)</f>
        <v>5</v>
      </c>
    </row>
    <row r="8382">
      <c r="A8382" s="178" t="str">
        <f>IFERROR(__xludf.DUMMYFUNCTION("""COMPUTED_VALUE"""),"ITBISA-LED-SUPERBRIGHT-5MM-YELLOW")</f>
        <v>ITBISA-LED-SUPERBRIGHT-5MM-YELLOW</v>
      </c>
      <c r="B8382" s="266">
        <f>IFERROR(__xludf.DUMMYFUNCTION("""COMPUTED_VALUE"""),45971.0)</f>
        <v>45971</v>
      </c>
      <c r="C8382" s="266" t="str">
        <f>IFERROR(__xludf.DUMMYFUNCTION("""COMPUTED_VALUE"""),"KERTASARI CIAMIS")</f>
        <v>KERTASARI CIAMIS</v>
      </c>
      <c r="D8382" s="186">
        <f>IFERROR(__xludf.DUMMYFUNCTION("""COMPUTED_VALUE"""),20.0)</f>
        <v>20</v>
      </c>
    </row>
    <row r="8383">
      <c r="A8383" s="178" t="str">
        <f>IFERROR(__xludf.DUMMYFUNCTION("""COMPUTED_VALUE"""),"ITBISA-LED-SUPERBRIGHT-5MM-YELLOW")</f>
        <v>ITBISA-LED-SUPERBRIGHT-5MM-YELLOW</v>
      </c>
      <c r="B8383" s="266">
        <f>IFERROR(__xludf.DUMMYFUNCTION("""COMPUTED_VALUE"""),45977.0)</f>
        <v>45977</v>
      </c>
      <c r="C8383" s="266" t="str">
        <f>IFERROR(__xludf.DUMMYFUNCTION("""COMPUTED_VALUE"""),"KERTASARI CIAMIS")</f>
        <v>KERTASARI CIAMIS</v>
      </c>
      <c r="D8383" s="186">
        <f>IFERROR(__xludf.DUMMYFUNCTION("""COMPUTED_VALUE"""),4.0)</f>
        <v>4</v>
      </c>
    </row>
    <row r="8384">
      <c r="A8384" s="178" t="str">
        <f>IFERROR(__xludf.DUMMYFUNCTION("""COMPUTED_VALUE"""),"ITBISA-LED-SUPERBRIGHT-5MM-YELLOW")</f>
        <v>ITBISA-LED-SUPERBRIGHT-5MM-YELLOW</v>
      </c>
      <c r="B8384" s="266">
        <f>IFERROR(__xludf.DUMMYFUNCTION("""COMPUTED_VALUE"""),45979.0)</f>
        <v>45979</v>
      </c>
      <c r="C8384" s="266" t="str">
        <f>IFERROR(__xludf.DUMMYFUNCTION("""COMPUTED_VALUE"""),"KERTASARI CIAMIS")</f>
        <v>KERTASARI CIAMIS</v>
      </c>
      <c r="D8384" s="186">
        <f>IFERROR(__xludf.DUMMYFUNCTION("""COMPUTED_VALUE"""),6.0)</f>
        <v>6</v>
      </c>
    </row>
    <row r="8385">
      <c r="A8385" s="178" t="str">
        <f>IFERROR(__xludf.DUMMYFUNCTION("""COMPUTED_VALUE"""),"ITBISA-LED-SUPERBRIGHT-5MM-YELLOW")</f>
        <v>ITBISA-LED-SUPERBRIGHT-5MM-YELLOW</v>
      </c>
      <c r="B8385" s="266">
        <f>IFERROR(__xludf.DUMMYFUNCTION("""COMPUTED_VALUE"""),45994.0)</f>
        <v>45994</v>
      </c>
      <c r="C8385" s="266" t="str">
        <f>IFERROR(__xludf.DUMMYFUNCTION("""COMPUTED_VALUE"""),"KERTASARI CIAMIS")</f>
        <v>KERTASARI CIAMIS</v>
      </c>
      <c r="D8385" s="186">
        <f>IFERROR(__xludf.DUMMYFUNCTION("""COMPUTED_VALUE"""),5.0)</f>
        <v>5</v>
      </c>
    </row>
    <row r="8386">
      <c r="A8386" s="178" t="str">
        <f>IFERROR(__xludf.DUMMYFUNCTION("""COMPUTED_VALUE"""),"ITBISA-LED-SUPERBRIGHT-5MM-YELLOW")</f>
        <v>ITBISA-LED-SUPERBRIGHT-5MM-YELLOW</v>
      </c>
      <c r="B8386" s="266">
        <f>IFERROR(__xludf.DUMMYFUNCTION("""COMPUTED_VALUE"""),46005.0)</f>
        <v>46005</v>
      </c>
      <c r="C8386" s="266" t="str">
        <f>IFERROR(__xludf.DUMMYFUNCTION("""COMPUTED_VALUE"""),"KYAI KONTONG")</f>
        <v>KYAI KONTONG</v>
      </c>
      <c r="D8386" s="186">
        <f>IFERROR(__xludf.DUMMYFUNCTION("""COMPUTED_VALUE"""),2.0)</f>
        <v>2</v>
      </c>
    </row>
    <row r="8387">
      <c r="A8387" s="178" t="str">
        <f>IFERROR(__xludf.DUMMYFUNCTION("""COMPUTED_VALUE"""),"ITBISA-LED-SUPERBRIGHT-5MM-YELLOW")</f>
        <v>ITBISA-LED-SUPERBRIGHT-5MM-YELLOW</v>
      </c>
      <c r="B8387" s="266">
        <f>IFERROR(__xludf.DUMMYFUNCTION("""COMPUTED_VALUE"""),46005.0)</f>
        <v>46005</v>
      </c>
      <c r="C8387" s="266" t="str">
        <f>IFERROR(__xludf.DUMMYFUNCTION("""COMPUTED_VALUE"""),"KYAI KONTONG")</f>
        <v>KYAI KONTONG</v>
      </c>
      <c r="D8387" s="186">
        <f>IFERROR(__xludf.DUMMYFUNCTION("""COMPUTED_VALUE"""),4.0)</f>
        <v>4</v>
      </c>
    </row>
    <row r="8388">
      <c r="A8388" s="178" t="str">
        <f>IFERROR(__xludf.DUMMYFUNCTION("""COMPUTED_VALUE"""),"ITBISA-LED-SUPERBRIGHT-5MM-YELLOW")</f>
        <v>ITBISA-LED-SUPERBRIGHT-5MM-YELLOW</v>
      </c>
      <c r="B8388" s="266">
        <f>IFERROR(__xludf.DUMMYFUNCTION("""COMPUTED_VALUE"""),46009.0)</f>
        <v>46009</v>
      </c>
      <c r="C8388" s="266" t="str">
        <f>IFERROR(__xludf.DUMMYFUNCTION("""COMPUTED_VALUE"""),"KYAI KONTONG")</f>
        <v>KYAI KONTONG</v>
      </c>
      <c r="D8388" s="186">
        <f>IFERROR(__xludf.DUMMYFUNCTION("""COMPUTED_VALUE"""),12.0)</f>
        <v>12</v>
      </c>
    </row>
    <row r="8389">
      <c r="A8389" s="178" t="str">
        <f>IFERROR(__xludf.DUMMYFUNCTION("""COMPUTED_VALUE"""),"ITBISA-LED-SUPERBRIGHT-5MM-YELLOW")</f>
        <v>ITBISA-LED-SUPERBRIGHT-5MM-YELLOW</v>
      </c>
      <c r="B8389" s="266">
        <f>IFERROR(__xludf.DUMMYFUNCTION("""COMPUTED_VALUE"""),46010.0)</f>
        <v>46010</v>
      </c>
      <c r="C8389" s="266" t="str">
        <f>IFERROR(__xludf.DUMMYFUNCTION("""COMPUTED_VALUE"""),"KYAI KONTONG")</f>
        <v>KYAI KONTONG</v>
      </c>
      <c r="D8389" s="186">
        <f>IFERROR(__xludf.DUMMYFUNCTION("""COMPUTED_VALUE"""),5.0)</f>
        <v>5</v>
      </c>
    </row>
    <row r="8390">
      <c r="A8390" s="178" t="str">
        <f>IFERROR(__xludf.DUMMYFUNCTION("""COMPUTED_VALUE"""),"ITBISA-LED-SUPERBRIGHT-5MM-YELLOW")</f>
        <v>ITBISA-LED-SUPERBRIGHT-5MM-YELLOW</v>
      </c>
      <c r="B8390" s="266">
        <f>IFERROR(__xludf.DUMMYFUNCTION("""COMPUTED_VALUE"""),46011.0)</f>
        <v>46011</v>
      </c>
      <c r="C8390" s="266" t="str">
        <f>IFERROR(__xludf.DUMMYFUNCTION("""COMPUTED_VALUE"""),"KYAI KONTONG")</f>
        <v>KYAI KONTONG</v>
      </c>
      <c r="D8390" s="186">
        <f>IFERROR(__xludf.DUMMYFUNCTION("""COMPUTED_VALUE"""),4.0)</f>
        <v>4</v>
      </c>
    </row>
    <row r="8391">
      <c r="A8391" s="178" t="str">
        <f>IFERROR(__xludf.DUMMYFUNCTION("""COMPUTED_VALUE"""),"ITBISA-LED-SUPERBRIGHT-5MM-YELLOW")</f>
        <v>ITBISA-LED-SUPERBRIGHT-5MM-YELLOW</v>
      </c>
      <c r="B8391" s="266">
        <f>IFERROR(__xludf.DUMMYFUNCTION("""COMPUTED_VALUE"""),46016.0)</f>
        <v>46016</v>
      </c>
      <c r="C8391" s="266" t="str">
        <f>IFERROR(__xludf.DUMMYFUNCTION("""COMPUTED_VALUE"""),"KERTASARI CIAMIS")</f>
        <v>KERTASARI CIAMIS</v>
      </c>
      <c r="D8391" s="186">
        <f>IFERROR(__xludf.DUMMYFUNCTION("""COMPUTED_VALUE"""),10.0)</f>
        <v>10</v>
      </c>
    </row>
    <row r="8392">
      <c r="A8392" s="178" t="str">
        <f>IFERROR(__xludf.DUMMYFUNCTION("""COMPUTED_VALUE"""),"ITBISA-LED-SUPERBRIGHT-5MM-YELLOW")</f>
        <v>ITBISA-LED-SUPERBRIGHT-5MM-YELLOW</v>
      </c>
      <c r="B8392" s="266">
        <f>IFERROR(__xludf.DUMMYFUNCTION("""COMPUTED_VALUE"""),46017.0)</f>
        <v>46017</v>
      </c>
      <c r="C8392" s="266" t="str">
        <f>IFERROR(__xludf.DUMMYFUNCTION("""COMPUTED_VALUE"""),"KYAI KONTONG")</f>
        <v>KYAI KONTONG</v>
      </c>
      <c r="D8392" s="186">
        <f>IFERROR(__xludf.DUMMYFUNCTION("""COMPUTED_VALUE"""),10.0)</f>
        <v>10</v>
      </c>
    </row>
    <row r="8393">
      <c r="A8393" s="178" t="str">
        <f>IFERROR(__xludf.DUMMYFUNCTION("""COMPUTED_VALUE"""),"ITBISA-LED-SUPERBRIGHT-5MM-YELLOW")</f>
        <v>ITBISA-LED-SUPERBRIGHT-5MM-YELLOW</v>
      </c>
      <c r="B8393" s="266">
        <f>IFERROR(__xludf.DUMMYFUNCTION("""COMPUTED_VALUE"""),46017.0)</f>
        <v>46017</v>
      </c>
      <c r="C8393" s="266" t="str">
        <f>IFERROR(__xludf.DUMMYFUNCTION("""COMPUTED_VALUE"""),"KYAI KONTONG")</f>
        <v>KYAI KONTONG</v>
      </c>
      <c r="D8393" s="186">
        <f>IFERROR(__xludf.DUMMYFUNCTION("""COMPUTED_VALUE"""),10.0)</f>
        <v>10</v>
      </c>
    </row>
    <row r="8394">
      <c r="A8394" s="178" t="str">
        <f>IFERROR(__xludf.DUMMYFUNCTION("""COMPUTED_VALUE"""),"ITBISA-LED-SUPERBRIGHT-5MM-YELLOW")</f>
        <v>ITBISA-LED-SUPERBRIGHT-5MM-YELLOW</v>
      </c>
      <c r="B8394" s="266">
        <f>IFERROR(__xludf.DUMMYFUNCTION("""COMPUTED_VALUE"""),46020.0)</f>
        <v>46020</v>
      </c>
      <c r="C8394" s="266" t="str">
        <f>IFERROR(__xludf.DUMMYFUNCTION("""COMPUTED_VALUE"""),"KYAI KONTONG")</f>
        <v>KYAI KONTONG</v>
      </c>
      <c r="D8394" s="186">
        <f>IFERROR(__xludf.DUMMYFUNCTION("""COMPUTED_VALUE"""),20.0)</f>
        <v>20</v>
      </c>
    </row>
    <row r="8395">
      <c r="A8395" s="178" t="str">
        <f>IFERROR(__xludf.DUMMYFUNCTION("""COMPUTED_VALUE"""),"ITBISA-LED-SUPERBRIGHT-5MM-YELLOW")</f>
        <v>ITBISA-LED-SUPERBRIGHT-5MM-YELLOW</v>
      </c>
      <c r="B8395" s="266">
        <f>IFERROR(__xludf.DUMMYFUNCTION("""COMPUTED_VALUE"""),46021.0)</f>
        <v>46021</v>
      </c>
      <c r="C8395" s="266" t="str">
        <f>IFERROR(__xludf.DUMMYFUNCTION("""COMPUTED_VALUE"""),"KYAI KONTONG")</f>
        <v>KYAI KONTONG</v>
      </c>
      <c r="D8395" s="186">
        <f>IFERROR(__xludf.DUMMYFUNCTION("""COMPUTED_VALUE"""),30.0)</f>
        <v>30</v>
      </c>
    </row>
    <row r="8396">
      <c r="A8396" s="178" t="str">
        <f>IFERROR(__xludf.DUMMYFUNCTION("""COMPUTED_VALUE"""),"ITBISA-LOGITECH-F710")</f>
        <v>ITBISA-LOGITECH-F710</v>
      </c>
      <c r="B8396" s="266">
        <f>IFERROR(__xludf.DUMMYFUNCTION("""COMPUTED_VALUE"""),43458.0)</f>
        <v>43458</v>
      </c>
      <c r="C8396" s="266" t="str">
        <f>IFERROR(__xludf.DUMMYFUNCTION("""COMPUTED_VALUE"""),"RUMAH MUZAKKI")</f>
        <v>RUMAH MUZAKKI</v>
      </c>
      <c r="D8396" s="186">
        <f>IFERROR(__xludf.DUMMYFUNCTION("""COMPUTED_VALUE"""),1.0)</f>
        <v>1</v>
      </c>
    </row>
    <row r="8397">
      <c r="A8397" s="178" t="str">
        <f>IFERROR(__xludf.DUMMYFUNCTION("""COMPUTED_VALUE"""),"ITBISA-MICRO-SD-READER-MINI")</f>
        <v>ITBISA-MICRO-SD-READER-MINI</v>
      </c>
      <c r="B8397" s="266">
        <f>IFERROR(__xludf.DUMMYFUNCTION("""COMPUTED_VALUE"""),45443.0)</f>
        <v>45443</v>
      </c>
      <c r="C8397" s="266" t="str">
        <f>IFERROR(__xludf.DUMMYFUNCTION("""COMPUTED_VALUE"""),"KYAI KONTONG")</f>
        <v>KYAI KONTONG</v>
      </c>
      <c r="D8397" s="186">
        <f>IFERROR(__xludf.DUMMYFUNCTION("""COMPUTED_VALUE"""),1.0)</f>
        <v>1</v>
      </c>
    </row>
    <row r="8398">
      <c r="A8398" s="178" t="str">
        <f>IFERROR(__xludf.DUMMYFUNCTION("""COMPUTED_VALUE"""),"ITBISA-MICRO-SD-READER-MINI")</f>
        <v>ITBISA-MICRO-SD-READER-MINI</v>
      </c>
      <c r="B8398" s="266">
        <f>IFERROR(__xludf.DUMMYFUNCTION("""COMPUTED_VALUE"""),45458.0)</f>
        <v>45458</v>
      </c>
      <c r="C8398" s="266" t="str">
        <f>IFERROR(__xludf.DUMMYFUNCTION("""COMPUTED_VALUE"""),"KYAI KONTONG")</f>
        <v>KYAI KONTONG</v>
      </c>
      <c r="D8398" s="186">
        <f>IFERROR(__xludf.DUMMYFUNCTION("""COMPUTED_VALUE"""),1.0)</f>
        <v>1</v>
      </c>
    </row>
    <row r="8399">
      <c r="A8399" s="178" t="str">
        <f>IFERROR(__xludf.DUMMYFUNCTION("""COMPUTED_VALUE"""),"ITBISA-MICRO-SD-READER-MINI")</f>
        <v>ITBISA-MICRO-SD-READER-MINI</v>
      </c>
      <c r="B8399" s="266">
        <f>IFERROR(__xludf.DUMMYFUNCTION("""COMPUTED_VALUE"""),45477.0)</f>
        <v>45477</v>
      </c>
      <c r="C8399" s="266" t="str">
        <f>IFERROR(__xludf.DUMMYFUNCTION("""COMPUTED_VALUE"""),"KYAI KONTONG")</f>
        <v>KYAI KONTONG</v>
      </c>
      <c r="D8399" s="186">
        <f>IFERROR(__xludf.DUMMYFUNCTION("""COMPUTED_VALUE"""),1.0)</f>
        <v>1</v>
      </c>
    </row>
    <row r="8400">
      <c r="A8400" s="178" t="str">
        <f>IFERROR(__xludf.DUMMYFUNCTION("""COMPUTED_VALUE"""),"ITBISA-MICRO-SD-READER-MINI")</f>
        <v>ITBISA-MICRO-SD-READER-MINI</v>
      </c>
      <c r="B8400" s="266">
        <f>IFERROR(__xludf.DUMMYFUNCTION("""COMPUTED_VALUE"""),45482.0)</f>
        <v>45482</v>
      </c>
      <c r="C8400" s="266" t="str">
        <f>IFERROR(__xludf.DUMMYFUNCTION("""COMPUTED_VALUE"""),"KYAI KONTONG")</f>
        <v>KYAI KONTONG</v>
      </c>
      <c r="D8400" s="186">
        <f>IFERROR(__xludf.DUMMYFUNCTION("""COMPUTED_VALUE"""),2.0)</f>
        <v>2</v>
      </c>
    </row>
    <row r="8401">
      <c r="A8401" s="178" t="str">
        <f>IFERROR(__xludf.DUMMYFUNCTION("""COMPUTED_VALUE"""),"ITBISA-MICRO-SD-READER-MINI")</f>
        <v>ITBISA-MICRO-SD-READER-MINI</v>
      </c>
      <c r="B8401" s="266">
        <f>IFERROR(__xludf.DUMMYFUNCTION("""COMPUTED_VALUE"""),45582.0)</f>
        <v>45582</v>
      </c>
      <c r="C8401" s="266" t="str">
        <f>IFERROR(__xludf.DUMMYFUNCTION("""COMPUTED_VALUE"""),"KYAI KONTONG")</f>
        <v>KYAI KONTONG</v>
      </c>
      <c r="D8401" s="186">
        <f>IFERROR(__xludf.DUMMYFUNCTION("""COMPUTED_VALUE"""),1.0)</f>
        <v>1</v>
      </c>
    </row>
    <row r="8402">
      <c r="A8402" s="178" t="str">
        <f>IFERROR(__xludf.DUMMYFUNCTION("""COMPUTED_VALUE"""),"ITBISA-MICRO-SD-READER-MINI")</f>
        <v>ITBISA-MICRO-SD-READER-MINI</v>
      </c>
      <c r="B8402" s="266">
        <f>IFERROR(__xludf.DUMMYFUNCTION("""COMPUTED_VALUE"""),45615.0)</f>
        <v>45615</v>
      </c>
      <c r="C8402" s="266" t="str">
        <f>IFERROR(__xludf.DUMMYFUNCTION("""COMPUTED_VALUE"""),"KYAI KONTONG")</f>
        <v>KYAI KONTONG</v>
      </c>
      <c r="D8402" s="186">
        <f>IFERROR(__xludf.DUMMYFUNCTION("""COMPUTED_VALUE"""),1.0)</f>
        <v>1</v>
      </c>
    </row>
    <row r="8403">
      <c r="A8403" s="178" t="str">
        <f>IFERROR(__xludf.DUMMYFUNCTION("""COMPUTED_VALUE"""),"ITBISA-MICRO-SD-READER-MINI")</f>
        <v>ITBISA-MICRO-SD-READER-MINI</v>
      </c>
      <c r="B8403" s="266">
        <f>IFERROR(__xludf.DUMMYFUNCTION("""COMPUTED_VALUE"""),45618.0)</f>
        <v>45618</v>
      </c>
      <c r="C8403" s="266" t="str">
        <f>IFERROR(__xludf.DUMMYFUNCTION("""COMPUTED_VALUE"""),"KYAI KONTONG")</f>
        <v>KYAI KONTONG</v>
      </c>
      <c r="D8403" s="186">
        <f>IFERROR(__xludf.DUMMYFUNCTION("""COMPUTED_VALUE"""),1.0)</f>
        <v>1</v>
      </c>
    </row>
    <row r="8404">
      <c r="A8404" s="178" t="str">
        <f>IFERROR(__xludf.DUMMYFUNCTION("""COMPUTED_VALUE"""),"ITBISA-MICRO-SD-READER-MINI")</f>
        <v>ITBISA-MICRO-SD-READER-MINI</v>
      </c>
      <c r="B8404" s="266">
        <f>IFERROR(__xludf.DUMMYFUNCTION("""COMPUTED_VALUE"""),45957.0)</f>
        <v>45957</v>
      </c>
      <c r="C8404" s="266" t="str">
        <f>IFERROR(__xludf.DUMMYFUNCTION("""COMPUTED_VALUE"""),"KYAI KONTONG")</f>
        <v>KYAI KONTONG</v>
      </c>
      <c r="D8404" s="186">
        <f>IFERROR(__xludf.DUMMYFUNCTION("""COMPUTED_VALUE"""),1.0)</f>
        <v>1</v>
      </c>
    </row>
    <row r="8405">
      <c r="A8405" s="178" t="str">
        <f>IFERROR(__xludf.DUMMYFUNCTION("""COMPUTED_VALUE"""),"ITBISA-MOTORDRIVER-L298N-WITH-HEATSINK")</f>
        <v>ITBISA-MOTORDRIVER-L298N-WITH-HEATSINK</v>
      </c>
      <c r="B8405" s="266">
        <f>IFERROR(__xludf.DUMMYFUNCTION("""COMPUTED_VALUE"""),43593.0)</f>
        <v>43593</v>
      </c>
      <c r="C8405" s="266" t="str">
        <f>IFERROR(__xludf.DUMMYFUNCTION("""COMPUTED_VALUE"""),"AVRG ITB")</f>
        <v>AVRG ITB</v>
      </c>
      <c r="D8405" s="186">
        <f>IFERROR(__xludf.DUMMYFUNCTION("""COMPUTED_VALUE"""),1.0)</f>
        <v>1</v>
      </c>
    </row>
    <row r="8406">
      <c r="A8406" s="178" t="str">
        <f>IFERROR(__xludf.DUMMYFUNCTION("""COMPUTED_VALUE"""),"ITBISA-MOTORDRIVER-L298N-WITH-HEATSINK")</f>
        <v>ITBISA-MOTORDRIVER-L298N-WITH-HEATSINK</v>
      </c>
      <c r="B8406" s="266">
        <f>IFERROR(__xludf.DUMMYFUNCTION("""COMPUTED_VALUE"""),43593.0)</f>
        <v>43593</v>
      </c>
      <c r="C8406" s="266" t="str">
        <f>IFERROR(__xludf.DUMMYFUNCTION("""COMPUTED_VALUE"""),"AVRG ITB")</f>
        <v>AVRG ITB</v>
      </c>
      <c r="D8406" s="186">
        <f>IFERROR(__xludf.DUMMYFUNCTION("""COMPUTED_VALUE"""),1.0)</f>
        <v>1</v>
      </c>
    </row>
    <row r="8407">
      <c r="A8407" s="178" t="str">
        <f>IFERROR(__xludf.DUMMYFUNCTION("""COMPUTED_VALUE"""),"ITBISA-MOTORDRIVER-L298N-WITH-HEATSINK")</f>
        <v>ITBISA-MOTORDRIVER-L298N-WITH-HEATSINK</v>
      </c>
      <c r="B8407" s="266">
        <f>IFERROR(__xludf.DUMMYFUNCTION("""COMPUTED_VALUE"""),43593.0)</f>
        <v>43593</v>
      </c>
      <c r="C8407" s="266" t="str">
        <f>IFERROR(__xludf.DUMMYFUNCTION("""COMPUTED_VALUE"""),"AVRG ITB")</f>
        <v>AVRG ITB</v>
      </c>
      <c r="D8407" s="186">
        <f>IFERROR(__xludf.DUMMYFUNCTION("""COMPUTED_VALUE"""),1.0)</f>
        <v>1</v>
      </c>
    </row>
    <row r="8408">
      <c r="A8408" s="178" t="str">
        <f>IFERROR(__xludf.DUMMYFUNCTION("""COMPUTED_VALUE"""),"ITBISA-MOTORDRIVER-L298N-WITH-HEATSINK")</f>
        <v>ITBISA-MOTORDRIVER-L298N-WITH-HEATSINK</v>
      </c>
      <c r="B8408" s="266">
        <f>IFERROR(__xludf.DUMMYFUNCTION("""COMPUTED_VALUE"""),43593.0)</f>
        <v>43593</v>
      </c>
      <c r="C8408" s="266" t="str">
        <f>IFERROR(__xludf.DUMMYFUNCTION("""COMPUTED_VALUE"""),"AVRG ITB")</f>
        <v>AVRG ITB</v>
      </c>
      <c r="D8408" s="186">
        <f>IFERROR(__xludf.DUMMYFUNCTION("""COMPUTED_VALUE"""),1.0)</f>
        <v>1</v>
      </c>
    </row>
    <row r="8409">
      <c r="A8409" s="178" t="str">
        <f>IFERROR(__xludf.DUMMYFUNCTION("""COMPUTED_VALUE"""),"ITBISA-MOTORDRIVER-L298N-WITH-HEATSINK")</f>
        <v>ITBISA-MOTORDRIVER-L298N-WITH-HEATSINK</v>
      </c>
      <c r="B8409" s="266">
        <f>IFERROR(__xludf.DUMMYFUNCTION("""COMPUTED_VALUE"""),43603.0)</f>
        <v>43603</v>
      </c>
      <c r="C8409" s="266" t="str">
        <f>IFERROR(__xludf.DUMMYFUNCTION("""COMPUTED_VALUE"""),"RUMAH MUZAKKI")</f>
        <v>RUMAH MUZAKKI</v>
      </c>
      <c r="D8409" s="186">
        <f>IFERROR(__xludf.DUMMYFUNCTION("""COMPUTED_VALUE"""),8.0)</f>
        <v>8</v>
      </c>
    </row>
    <row r="8410">
      <c r="A8410" s="178" t="str">
        <f>IFERROR(__xludf.DUMMYFUNCTION("""COMPUTED_VALUE"""),"ITBISA-MOTORDRIVER-L298N-WITH-HEATSINK")</f>
        <v>ITBISA-MOTORDRIVER-L298N-WITH-HEATSINK</v>
      </c>
      <c r="B8410" s="266">
        <f>IFERROR(__xludf.DUMMYFUNCTION("""COMPUTED_VALUE"""),43606.0)</f>
        <v>43606</v>
      </c>
      <c r="C8410" s="266" t="str">
        <f>IFERROR(__xludf.DUMMYFUNCTION("""COMPUTED_VALUE"""),"AVRG ITB")</f>
        <v>AVRG ITB</v>
      </c>
      <c r="D8410" s="186">
        <f>IFERROR(__xludf.DUMMYFUNCTION("""COMPUTED_VALUE"""),14.0)</f>
        <v>14</v>
      </c>
    </row>
    <row r="8411">
      <c r="A8411" s="178" t="str">
        <f>IFERROR(__xludf.DUMMYFUNCTION("""COMPUTED_VALUE"""),"ITBISA-MOTORDRIVER-L298N-WITH-HEATSINK")</f>
        <v>ITBISA-MOTORDRIVER-L298N-WITH-HEATSINK</v>
      </c>
      <c r="B8411" s="266">
        <f>IFERROR(__xludf.DUMMYFUNCTION("""COMPUTED_VALUE"""),43614.0)</f>
        <v>43614</v>
      </c>
      <c r="C8411" s="266" t="str">
        <f>IFERROR(__xludf.DUMMYFUNCTION("""COMPUTED_VALUE"""),"AVRG ITB")</f>
        <v>AVRG ITB</v>
      </c>
      <c r="D8411" s="186">
        <f>IFERROR(__xludf.DUMMYFUNCTION("""COMPUTED_VALUE"""),1.0)</f>
        <v>1</v>
      </c>
    </row>
    <row r="8412">
      <c r="A8412" s="178" t="str">
        <f>IFERROR(__xludf.DUMMYFUNCTION("""COMPUTED_VALUE"""),"ITBISA-MOTORDRIVER-L298N-WITH-HEATSINK")</f>
        <v>ITBISA-MOTORDRIVER-L298N-WITH-HEATSINK</v>
      </c>
      <c r="B8412" s="266">
        <f>IFERROR(__xludf.DUMMYFUNCTION("""COMPUTED_VALUE"""),43679.0)</f>
        <v>43679</v>
      </c>
      <c r="C8412" s="266" t="str">
        <f>IFERROR(__xludf.DUMMYFUNCTION("""COMPUTED_VALUE"""),"RUMAH MUZAKKI")</f>
        <v>RUMAH MUZAKKI</v>
      </c>
      <c r="D8412" s="186">
        <f>IFERROR(__xludf.DUMMYFUNCTION("""COMPUTED_VALUE"""),1.0)</f>
        <v>1</v>
      </c>
    </row>
    <row r="8413">
      <c r="A8413" s="178" t="str">
        <f>IFERROR(__xludf.DUMMYFUNCTION("""COMPUTED_VALUE"""),"ITBISA-MOTORDRIVER-L298N-WITH-HEATSINK")</f>
        <v>ITBISA-MOTORDRIVER-L298N-WITH-HEATSINK</v>
      </c>
      <c r="B8413" s="266">
        <f>IFERROR(__xludf.DUMMYFUNCTION("""COMPUTED_VALUE"""),43685.0)</f>
        <v>43685</v>
      </c>
      <c r="C8413" s="266" t="str">
        <f>IFERROR(__xludf.DUMMYFUNCTION("""COMPUTED_VALUE"""),"RUMAH MUZAKKI")</f>
        <v>RUMAH MUZAKKI</v>
      </c>
      <c r="D8413" s="186">
        <f>IFERROR(__xludf.DUMMYFUNCTION("""COMPUTED_VALUE"""),2.0)</f>
        <v>2</v>
      </c>
    </row>
    <row r="8414">
      <c r="A8414" s="178" t="str">
        <f>IFERROR(__xludf.DUMMYFUNCTION("""COMPUTED_VALUE"""),"ITBISA-MOTORDRIVER-L298N-WITH-HEATSINK")</f>
        <v>ITBISA-MOTORDRIVER-L298N-WITH-HEATSINK</v>
      </c>
      <c r="B8414" s="266">
        <f>IFERROR(__xludf.DUMMYFUNCTION("""COMPUTED_VALUE"""),43732.0)</f>
        <v>43732</v>
      </c>
      <c r="C8414" s="266" t="str">
        <f>IFERROR(__xludf.DUMMYFUNCTION("""COMPUTED_VALUE"""),"RUMAH MUZAKKI")</f>
        <v>RUMAH MUZAKKI</v>
      </c>
      <c r="D8414" s="186">
        <f>IFERROR(__xludf.DUMMYFUNCTION("""COMPUTED_VALUE"""),1.0)</f>
        <v>1</v>
      </c>
    </row>
    <row r="8415">
      <c r="A8415" s="178" t="str">
        <f>IFERROR(__xludf.DUMMYFUNCTION("""COMPUTED_VALUE"""),"ITBISA-MOTORDRIVER-L298N-WITH-HEATSINK")</f>
        <v>ITBISA-MOTORDRIVER-L298N-WITH-HEATSINK</v>
      </c>
      <c r="B8415" s="266">
        <f>IFERROR(__xludf.DUMMYFUNCTION("""COMPUTED_VALUE"""),43733.0)</f>
        <v>43733</v>
      </c>
      <c r="C8415" s="266" t="str">
        <f>IFERROR(__xludf.DUMMYFUNCTION("""COMPUTED_VALUE"""),"RUMAH MUZAKKI")</f>
        <v>RUMAH MUZAKKI</v>
      </c>
      <c r="D8415" s="186">
        <f>IFERROR(__xludf.DUMMYFUNCTION("""COMPUTED_VALUE"""),1.0)</f>
        <v>1</v>
      </c>
    </row>
    <row r="8416">
      <c r="A8416" s="178" t="str">
        <f>IFERROR(__xludf.DUMMYFUNCTION("""COMPUTED_VALUE"""),"ITBISA-MOTORDRIVER-L298N-WITH-HEATSINK")</f>
        <v>ITBISA-MOTORDRIVER-L298N-WITH-HEATSINK</v>
      </c>
      <c r="B8416" s="266">
        <f>IFERROR(__xludf.DUMMYFUNCTION("""COMPUTED_VALUE"""),43746.0)</f>
        <v>43746</v>
      </c>
      <c r="C8416" s="266" t="str">
        <f>IFERROR(__xludf.DUMMYFUNCTION("""COMPUTED_VALUE"""),"RUMAH MUZAKKI")</f>
        <v>RUMAH MUZAKKI</v>
      </c>
      <c r="D8416" s="186">
        <f>IFERROR(__xludf.DUMMYFUNCTION("""COMPUTED_VALUE"""),3.0)</f>
        <v>3</v>
      </c>
    </row>
    <row r="8417">
      <c r="A8417" s="178" t="str">
        <f>IFERROR(__xludf.DUMMYFUNCTION("""COMPUTED_VALUE"""),"ITBISA-MOTORDRIVER-L298N-WITH-HEATSINK")</f>
        <v>ITBISA-MOTORDRIVER-L298N-WITH-HEATSINK</v>
      </c>
      <c r="B8417" s="266">
        <f>IFERROR(__xludf.DUMMYFUNCTION("""COMPUTED_VALUE"""),43746.0)</f>
        <v>43746</v>
      </c>
      <c r="C8417" s="266" t="str">
        <f>IFERROR(__xludf.DUMMYFUNCTION("""COMPUTED_VALUE"""),"RUMAH MUZAKKI")</f>
        <v>RUMAH MUZAKKI</v>
      </c>
      <c r="D8417" s="186">
        <f>IFERROR(__xludf.DUMMYFUNCTION("""COMPUTED_VALUE"""),5.0)</f>
        <v>5</v>
      </c>
    </row>
    <row r="8418">
      <c r="A8418" s="178" t="str">
        <f>IFERROR(__xludf.DUMMYFUNCTION("""COMPUTED_VALUE"""),"ITBISA-MOTORDRIVER-L298N-WITH-HEATSINK")</f>
        <v>ITBISA-MOTORDRIVER-L298N-WITH-HEATSINK</v>
      </c>
      <c r="B8418" s="266">
        <f>IFERROR(__xludf.DUMMYFUNCTION("""COMPUTED_VALUE"""),43763.0)</f>
        <v>43763</v>
      </c>
      <c r="C8418" s="266" t="str">
        <f>IFERROR(__xludf.DUMMYFUNCTION("""COMPUTED_VALUE"""),"RUMAH MUZAKKI")</f>
        <v>RUMAH MUZAKKI</v>
      </c>
      <c r="D8418" s="186">
        <f>IFERROR(__xludf.DUMMYFUNCTION("""COMPUTED_VALUE"""),3.0)</f>
        <v>3</v>
      </c>
    </row>
    <row r="8419">
      <c r="A8419" s="178" t="str">
        <f>IFERROR(__xludf.DUMMYFUNCTION("""COMPUTED_VALUE"""),"ITBISA-MOTORDRIVER-L298N-WITH-HEATSINK")</f>
        <v>ITBISA-MOTORDRIVER-L298N-WITH-HEATSINK</v>
      </c>
      <c r="B8419" s="266">
        <f>IFERROR(__xludf.DUMMYFUNCTION("""COMPUTED_VALUE"""),43763.0)</f>
        <v>43763</v>
      </c>
      <c r="C8419" s="266" t="str">
        <f>IFERROR(__xludf.DUMMYFUNCTION("""COMPUTED_VALUE"""),"RUMAH MUZAKKI")</f>
        <v>RUMAH MUZAKKI</v>
      </c>
      <c r="D8419" s="186">
        <f>IFERROR(__xludf.DUMMYFUNCTION("""COMPUTED_VALUE"""),4.0)</f>
        <v>4</v>
      </c>
    </row>
    <row r="8420">
      <c r="A8420" s="178" t="str">
        <f>IFERROR(__xludf.DUMMYFUNCTION("""COMPUTED_VALUE"""),"ITBISA-MOTORDRIVER-L298N-WITH-HEATSINK")</f>
        <v>ITBISA-MOTORDRIVER-L298N-WITH-HEATSINK</v>
      </c>
      <c r="B8420" s="266">
        <f>IFERROR(__xludf.DUMMYFUNCTION("""COMPUTED_VALUE"""),43777.0)</f>
        <v>43777</v>
      </c>
      <c r="C8420" s="266" t="str">
        <f>IFERROR(__xludf.DUMMYFUNCTION("""COMPUTED_VALUE"""),"RUMAH MUZAKKI")</f>
        <v>RUMAH MUZAKKI</v>
      </c>
      <c r="D8420" s="186">
        <f>IFERROR(__xludf.DUMMYFUNCTION("""COMPUTED_VALUE"""),6.0)</f>
        <v>6</v>
      </c>
    </row>
    <row r="8421">
      <c r="A8421" s="178" t="str">
        <f>IFERROR(__xludf.DUMMYFUNCTION("""COMPUTED_VALUE"""),"ITBISA-MOTORDRIVER-L298N-WITH-HEATSINK")</f>
        <v>ITBISA-MOTORDRIVER-L298N-WITH-HEATSINK</v>
      </c>
      <c r="B8421" s="266">
        <f>IFERROR(__xludf.DUMMYFUNCTION("""COMPUTED_VALUE"""),43786.0)</f>
        <v>43786</v>
      </c>
      <c r="C8421" s="266" t="str">
        <f>IFERROR(__xludf.DUMMYFUNCTION("""COMPUTED_VALUE"""),"AVRG ITB")</f>
        <v>AVRG ITB</v>
      </c>
      <c r="D8421" s="186">
        <f>IFERROR(__xludf.DUMMYFUNCTION("""COMPUTED_VALUE"""),2.0)</f>
        <v>2</v>
      </c>
    </row>
    <row r="8422">
      <c r="A8422" s="178" t="str">
        <f>IFERROR(__xludf.DUMMYFUNCTION("""COMPUTED_VALUE"""),"ITBISA-MOTORDRIVER-L298N-WITH-HEATSINK")</f>
        <v>ITBISA-MOTORDRIVER-L298N-WITH-HEATSINK</v>
      </c>
      <c r="B8422" s="266">
        <f>IFERROR(__xludf.DUMMYFUNCTION("""COMPUTED_VALUE"""),43816.0)</f>
        <v>43816</v>
      </c>
      <c r="C8422" s="266" t="str">
        <f>IFERROR(__xludf.DUMMYFUNCTION("""COMPUTED_VALUE"""),"AVRG ITB")</f>
        <v>AVRG ITB</v>
      </c>
      <c r="D8422" s="186">
        <f>IFERROR(__xludf.DUMMYFUNCTION("""COMPUTED_VALUE"""),1.0)</f>
        <v>1</v>
      </c>
    </row>
    <row r="8423">
      <c r="A8423" s="178" t="str">
        <f>IFERROR(__xludf.DUMMYFUNCTION("""COMPUTED_VALUE"""),"ITBISA-MOTORDRIVER-L298N-WITH-HEATSINK")</f>
        <v>ITBISA-MOTORDRIVER-L298N-WITH-HEATSINK</v>
      </c>
      <c r="B8423" s="266">
        <f>IFERROR(__xludf.DUMMYFUNCTION("""COMPUTED_VALUE"""),43850.0)</f>
        <v>43850</v>
      </c>
      <c r="C8423" s="266" t="str">
        <f>IFERROR(__xludf.DUMMYFUNCTION("""COMPUTED_VALUE"""),"AVRG ITB")</f>
        <v>AVRG ITB</v>
      </c>
      <c r="D8423" s="186">
        <f>IFERROR(__xludf.DUMMYFUNCTION("""COMPUTED_VALUE"""),2.0)</f>
        <v>2</v>
      </c>
    </row>
    <row r="8424">
      <c r="A8424" s="178" t="str">
        <f>IFERROR(__xludf.DUMMYFUNCTION("""COMPUTED_VALUE"""),"ITBISA-MOTORDRIVER-L298N-WITH-HEATSINK")</f>
        <v>ITBISA-MOTORDRIVER-L298N-WITH-HEATSINK</v>
      </c>
      <c r="B8424" s="266">
        <f>IFERROR(__xludf.DUMMYFUNCTION("""COMPUTED_VALUE"""),43890.0)</f>
        <v>43890</v>
      </c>
      <c r="C8424" s="266" t="str">
        <f>IFERROR(__xludf.DUMMYFUNCTION("""COMPUTED_VALUE"""),"AVRG ITB")</f>
        <v>AVRG ITB</v>
      </c>
      <c r="D8424" s="186">
        <f>IFERROR(__xludf.DUMMYFUNCTION("""COMPUTED_VALUE"""),2.0)</f>
        <v>2</v>
      </c>
    </row>
    <row r="8425">
      <c r="A8425" s="178" t="str">
        <f>IFERROR(__xludf.DUMMYFUNCTION("""COMPUTED_VALUE"""),"ITBISA-MOTORDRIVER-L298N-WITH-HEATSINK")</f>
        <v>ITBISA-MOTORDRIVER-L298N-WITH-HEATSINK</v>
      </c>
      <c r="B8425" s="266">
        <f>IFERROR(__xludf.DUMMYFUNCTION("""COMPUTED_VALUE"""),43925.0)</f>
        <v>43925</v>
      </c>
      <c r="C8425" s="266" t="str">
        <f>IFERROR(__xludf.DUMMYFUNCTION("""COMPUTED_VALUE"""),"KAETOBO RESIDENCE")</f>
        <v>KAETOBO RESIDENCE</v>
      </c>
      <c r="D8425" s="186">
        <f>IFERROR(__xludf.DUMMYFUNCTION("""COMPUTED_VALUE"""),7.0)</f>
        <v>7</v>
      </c>
    </row>
    <row r="8426">
      <c r="A8426" s="178" t="str">
        <f>IFERROR(__xludf.DUMMYFUNCTION("""COMPUTED_VALUE"""),"ITBISA-NODEMCU-ESP32-MICRO")</f>
        <v>ITBISA-NODEMCU-ESP32-MICRO</v>
      </c>
      <c r="B8426" s="266">
        <f>IFERROR(__xludf.DUMMYFUNCTION("""COMPUTED_VALUE"""),45389.0)</f>
        <v>45389</v>
      </c>
      <c r="C8426" s="266" t="str">
        <f>IFERROR(__xludf.DUMMYFUNCTION("""COMPUTED_VALUE"""),"KERTASARI CIAMIS")</f>
        <v>KERTASARI CIAMIS</v>
      </c>
      <c r="D8426" s="186">
        <f>IFERROR(__xludf.DUMMYFUNCTION("""COMPUTED_VALUE"""),1.0)</f>
        <v>1</v>
      </c>
    </row>
    <row r="8427">
      <c r="A8427" s="178" t="str">
        <f>IFERROR(__xludf.DUMMYFUNCTION("""COMPUTED_VALUE"""),"ITBISA-NODEMCU-ESP32-MICRO")</f>
        <v>ITBISA-NODEMCU-ESP32-MICRO</v>
      </c>
      <c r="B8427" s="266">
        <f>IFERROR(__xludf.DUMMYFUNCTION("""COMPUTED_VALUE"""),45420.0)</f>
        <v>45420</v>
      </c>
      <c r="C8427" s="266" t="str">
        <f>IFERROR(__xludf.DUMMYFUNCTION("""COMPUTED_VALUE"""),"KERTASARI CIAMIS")</f>
        <v>KERTASARI CIAMIS</v>
      </c>
      <c r="D8427" s="186">
        <f>IFERROR(__xludf.DUMMYFUNCTION("""COMPUTED_VALUE"""),1.0)</f>
        <v>1</v>
      </c>
    </row>
    <row r="8428">
      <c r="A8428" s="178" t="str">
        <f>IFERROR(__xludf.DUMMYFUNCTION("""COMPUTED_VALUE"""),"ITBISA-NODEMCU-ESP32-MICRO")</f>
        <v>ITBISA-NODEMCU-ESP32-MICRO</v>
      </c>
      <c r="B8428" s="266">
        <f>IFERROR(__xludf.DUMMYFUNCTION("""COMPUTED_VALUE"""),45429.0)</f>
        <v>45429</v>
      </c>
      <c r="C8428" s="266" t="str">
        <f>IFERROR(__xludf.DUMMYFUNCTION("""COMPUTED_VALUE"""),"KYAI KONTONG")</f>
        <v>KYAI KONTONG</v>
      </c>
      <c r="D8428" s="186">
        <f>IFERROR(__xludf.DUMMYFUNCTION("""COMPUTED_VALUE"""),10.0)</f>
        <v>10</v>
      </c>
    </row>
    <row r="8429">
      <c r="A8429" s="178" t="str">
        <f>IFERROR(__xludf.DUMMYFUNCTION("""COMPUTED_VALUE"""),"ITBISA-NODEMCU-ESP32-MICRO")</f>
        <v>ITBISA-NODEMCU-ESP32-MICRO</v>
      </c>
      <c r="B8429" s="266">
        <f>IFERROR(__xludf.DUMMYFUNCTION("""COMPUTED_VALUE"""),45430.0)</f>
        <v>45430</v>
      </c>
      <c r="C8429" s="266" t="str">
        <f>IFERROR(__xludf.DUMMYFUNCTION("""COMPUTED_VALUE"""),"KYAI KONTONG")</f>
        <v>KYAI KONTONG</v>
      </c>
      <c r="D8429" s="186">
        <f>IFERROR(__xludf.DUMMYFUNCTION("""COMPUTED_VALUE"""),1.0)</f>
        <v>1</v>
      </c>
    </row>
    <row r="8430">
      <c r="A8430" s="178" t="str">
        <f>IFERROR(__xludf.DUMMYFUNCTION("""COMPUTED_VALUE"""),"ITBISA-NODEMCU-ESP32-MICRO")</f>
        <v>ITBISA-NODEMCU-ESP32-MICRO</v>
      </c>
      <c r="B8430" s="266">
        <f>IFERROR(__xludf.DUMMYFUNCTION("""COMPUTED_VALUE"""),45432.0)</f>
        <v>45432</v>
      </c>
      <c r="C8430" s="266" t="str">
        <f>IFERROR(__xludf.DUMMYFUNCTION("""COMPUTED_VALUE"""),"KERTASARI CIAMIS")</f>
        <v>KERTASARI CIAMIS</v>
      </c>
      <c r="D8430" s="186">
        <f>IFERROR(__xludf.DUMMYFUNCTION("""COMPUTED_VALUE"""),1.0)</f>
        <v>1</v>
      </c>
    </row>
    <row r="8431">
      <c r="A8431" s="178" t="str">
        <f>IFERROR(__xludf.DUMMYFUNCTION("""COMPUTED_VALUE"""),"ITBISA-NODEMCU-ESP32-MICRO")</f>
        <v>ITBISA-NODEMCU-ESP32-MICRO</v>
      </c>
      <c r="B8431" s="266">
        <f>IFERROR(__xludf.DUMMYFUNCTION("""COMPUTED_VALUE"""),45432.0)</f>
        <v>45432</v>
      </c>
      <c r="C8431" s="266" t="str">
        <f>IFERROR(__xludf.DUMMYFUNCTION("""COMPUTED_VALUE"""),"KYAI KONTONG")</f>
        <v>KYAI KONTONG</v>
      </c>
      <c r="D8431" s="186">
        <f>IFERROR(__xludf.DUMMYFUNCTION("""COMPUTED_VALUE"""),1.0)</f>
        <v>1</v>
      </c>
    </row>
    <row r="8432">
      <c r="A8432" s="178" t="str">
        <f>IFERROR(__xludf.DUMMYFUNCTION("""COMPUTED_VALUE"""),"ITBISA-NODEMCU-ESP32-MICRO")</f>
        <v>ITBISA-NODEMCU-ESP32-MICRO</v>
      </c>
      <c r="B8432" s="266">
        <f>IFERROR(__xludf.DUMMYFUNCTION("""COMPUTED_VALUE"""),45435.0)</f>
        <v>45435</v>
      </c>
      <c r="C8432" s="266" t="str">
        <f>IFERROR(__xludf.DUMMYFUNCTION("""COMPUTED_VALUE"""),"KYAI KONTONG")</f>
        <v>KYAI KONTONG</v>
      </c>
      <c r="D8432" s="186">
        <f>IFERROR(__xludf.DUMMYFUNCTION("""COMPUTED_VALUE"""),1.0)</f>
        <v>1</v>
      </c>
    </row>
    <row r="8433">
      <c r="A8433" s="178" t="str">
        <f>IFERROR(__xludf.DUMMYFUNCTION("""COMPUTED_VALUE"""),"ITBISA-NODEMCU-ESP32-MICRO")</f>
        <v>ITBISA-NODEMCU-ESP32-MICRO</v>
      </c>
      <c r="B8433" s="266">
        <f>IFERROR(__xludf.DUMMYFUNCTION("""COMPUTED_VALUE"""),45468.0)</f>
        <v>45468</v>
      </c>
      <c r="C8433" s="266" t="str">
        <f>IFERROR(__xludf.DUMMYFUNCTION("""COMPUTED_VALUE"""),"KERTASARI CIAMIS")</f>
        <v>KERTASARI CIAMIS</v>
      </c>
      <c r="D8433" s="186">
        <f>IFERROR(__xludf.DUMMYFUNCTION("""COMPUTED_VALUE"""),1.0)</f>
        <v>1</v>
      </c>
    </row>
    <row r="8434">
      <c r="A8434" s="178" t="str">
        <f>IFERROR(__xludf.DUMMYFUNCTION("""COMPUTED_VALUE"""),"ITBISA-NODEMCU-ESP32-MICRO")</f>
        <v>ITBISA-NODEMCU-ESP32-MICRO</v>
      </c>
      <c r="B8434" s="266">
        <f>IFERROR(__xludf.DUMMYFUNCTION("""COMPUTED_VALUE"""),45468.0)</f>
        <v>45468</v>
      </c>
      <c r="C8434" s="266" t="str">
        <f>IFERROR(__xludf.DUMMYFUNCTION("""COMPUTED_VALUE"""),"KERTASARI CIAMIS")</f>
        <v>KERTASARI CIAMIS</v>
      </c>
      <c r="D8434" s="186">
        <f>IFERROR(__xludf.DUMMYFUNCTION("""COMPUTED_VALUE"""),1.0)</f>
        <v>1</v>
      </c>
    </row>
    <row r="8435">
      <c r="A8435" s="178" t="str">
        <f>IFERROR(__xludf.DUMMYFUNCTION("""COMPUTED_VALUE"""),"ITBISA-NODEMCU-ESP32-MICRO-30PIN")</f>
        <v>ITBISA-NODEMCU-ESP32-MICRO-30PIN</v>
      </c>
      <c r="B8435" s="266">
        <f>IFERROR(__xludf.DUMMYFUNCTION("""COMPUTED_VALUE"""),45434.0)</f>
        <v>45434</v>
      </c>
      <c r="C8435" s="266" t="str">
        <f>IFERROR(__xludf.DUMMYFUNCTION("""COMPUTED_VALUE"""),"KYAI KONTONG")</f>
        <v>KYAI KONTONG</v>
      </c>
      <c r="D8435" s="186">
        <f>IFERROR(__xludf.DUMMYFUNCTION("""COMPUTED_VALUE"""),2.0)</f>
        <v>2</v>
      </c>
    </row>
    <row r="8436">
      <c r="A8436" s="178" t="str">
        <f>IFERROR(__xludf.DUMMYFUNCTION("""COMPUTED_VALUE"""),"ITBISA-NODEMCU-ESP32-MICRO-30PIN")</f>
        <v>ITBISA-NODEMCU-ESP32-MICRO-30PIN</v>
      </c>
      <c r="B8436" s="266">
        <f>IFERROR(__xludf.DUMMYFUNCTION("""COMPUTED_VALUE"""),45438.0)</f>
        <v>45438</v>
      </c>
      <c r="C8436" s="266" t="str">
        <f>IFERROR(__xludf.DUMMYFUNCTION("""COMPUTED_VALUE"""),"KYAI KONTONG")</f>
        <v>KYAI KONTONG</v>
      </c>
      <c r="D8436" s="186">
        <f>IFERROR(__xludf.DUMMYFUNCTION("""COMPUTED_VALUE"""),1.0)</f>
        <v>1</v>
      </c>
    </row>
    <row r="8437">
      <c r="A8437" s="178" t="str">
        <f>IFERROR(__xludf.DUMMYFUNCTION("""COMPUTED_VALUE"""),"ITBISA-NODEMCU-ESP32-MICRO-30PIN")</f>
        <v>ITBISA-NODEMCU-ESP32-MICRO-30PIN</v>
      </c>
      <c r="B8437" s="266">
        <f>IFERROR(__xludf.DUMMYFUNCTION("""COMPUTED_VALUE"""),45445.0)</f>
        <v>45445</v>
      </c>
      <c r="C8437" s="266" t="str">
        <f>IFERROR(__xludf.DUMMYFUNCTION("""COMPUTED_VALUE"""),"KYAI KONTONG")</f>
        <v>KYAI KONTONG</v>
      </c>
      <c r="D8437" s="186">
        <f>IFERROR(__xludf.DUMMYFUNCTION("""COMPUTED_VALUE"""),3.0)</f>
        <v>3</v>
      </c>
    </row>
    <row r="8438">
      <c r="A8438" s="178" t="str">
        <f>IFERROR(__xludf.DUMMYFUNCTION("""COMPUTED_VALUE"""),"ITBISA-NODEMCU-ESP32-MICRO-30PIN")</f>
        <v>ITBISA-NODEMCU-ESP32-MICRO-30PIN</v>
      </c>
      <c r="B8438" s="266">
        <f>IFERROR(__xludf.DUMMYFUNCTION("""COMPUTED_VALUE"""),45449.0)</f>
        <v>45449</v>
      </c>
      <c r="C8438" s="266" t="str">
        <f>IFERROR(__xludf.DUMMYFUNCTION("""COMPUTED_VALUE"""),"KYAI KONTONG")</f>
        <v>KYAI KONTONG</v>
      </c>
      <c r="D8438" s="186">
        <f>IFERROR(__xludf.DUMMYFUNCTION("""COMPUTED_VALUE"""),1.0)</f>
        <v>1</v>
      </c>
    </row>
    <row r="8439">
      <c r="A8439" s="178" t="str">
        <f>IFERROR(__xludf.DUMMYFUNCTION("""COMPUTED_VALUE"""),"ITBISA-NODEMCU-ESP32-MICRO-30PIN")</f>
        <v>ITBISA-NODEMCU-ESP32-MICRO-30PIN</v>
      </c>
      <c r="B8439" s="266">
        <f>IFERROR(__xludf.DUMMYFUNCTION("""COMPUTED_VALUE"""),45456.0)</f>
        <v>45456</v>
      </c>
      <c r="C8439" s="266" t="str">
        <f>IFERROR(__xludf.DUMMYFUNCTION("""COMPUTED_VALUE"""),"KYAI KONTONG")</f>
        <v>KYAI KONTONG</v>
      </c>
      <c r="D8439" s="186">
        <f>IFERROR(__xludf.DUMMYFUNCTION("""COMPUTED_VALUE"""),1.0)</f>
        <v>1</v>
      </c>
    </row>
    <row r="8440">
      <c r="A8440" s="178" t="str">
        <f>IFERROR(__xludf.DUMMYFUNCTION("""COMPUTED_VALUE"""),"ITBISA-NODEMCU-ESP32-MICRO-30PIN")</f>
        <v>ITBISA-NODEMCU-ESP32-MICRO-30PIN</v>
      </c>
      <c r="B8440" s="266">
        <f>IFERROR(__xludf.DUMMYFUNCTION("""COMPUTED_VALUE"""),45458.0)</f>
        <v>45458</v>
      </c>
      <c r="C8440" s="266" t="str">
        <f>IFERROR(__xludf.DUMMYFUNCTION("""COMPUTED_VALUE"""),"KERTASARI CIAMIS")</f>
        <v>KERTASARI CIAMIS</v>
      </c>
      <c r="D8440" s="186">
        <f>IFERROR(__xludf.DUMMYFUNCTION("""COMPUTED_VALUE"""),1.0)</f>
        <v>1</v>
      </c>
    </row>
    <row r="8441">
      <c r="A8441" s="178" t="str">
        <f>IFERROR(__xludf.DUMMYFUNCTION("""COMPUTED_VALUE"""),"ITBISA-NODEMCU-ESP32-MICRO-30PIN")</f>
        <v>ITBISA-NODEMCU-ESP32-MICRO-30PIN</v>
      </c>
      <c r="B8441" s="266">
        <f>IFERROR(__xludf.DUMMYFUNCTION("""COMPUTED_VALUE"""),45463.0)</f>
        <v>45463</v>
      </c>
      <c r="C8441" s="266" t="str">
        <f>IFERROR(__xludf.DUMMYFUNCTION("""COMPUTED_VALUE"""),"KYAI KONTONG")</f>
        <v>KYAI KONTONG</v>
      </c>
      <c r="D8441" s="186">
        <f>IFERROR(__xludf.DUMMYFUNCTION("""COMPUTED_VALUE"""),6.0)</f>
        <v>6</v>
      </c>
    </row>
    <row r="8442">
      <c r="A8442" s="178" t="str">
        <f>IFERROR(__xludf.DUMMYFUNCTION("""COMPUTED_VALUE"""),"ITBISA-NODEMCU-ESP32-MICRO-30PIN")</f>
        <v>ITBISA-NODEMCU-ESP32-MICRO-30PIN</v>
      </c>
      <c r="B8442" s="266">
        <f>IFERROR(__xludf.DUMMYFUNCTION("""COMPUTED_VALUE"""),45464.0)</f>
        <v>45464</v>
      </c>
      <c r="C8442" s="266" t="str">
        <f>IFERROR(__xludf.DUMMYFUNCTION("""COMPUTED_VALUE"""),"KYAI KONTONG")</f>
        <v>KYAI KONTONG</v>
      </c>
      <c r="D8442" s="186">
        <f>IFERROR(__xludf.DUMMYFUNCTION("""COMPUTED_VALUE"""),1.0)</f>
        <v>1</v>
      </c>
    </row>
    <row r="8443">
      <c r="A8443" s="178" t="str">
        <f>IFERROR(__xludf.DUMMYFUNCTION("""COMPUTED_VALUE"""),"ITBISA-NODEMCU-ESP32-MICRO-30PIN")</f>
        <v>ITBISA-NODEMCU-ESP32-MICRO-30PIN</v>
      </c>
      <c r="B8443" s="266">
        <f>IFERROR(__xludf.DUMMYFUNCTION("""COMPUTED_VALUE"""),45466.0)</f>
        <v>45466</v>
      </c>
      <c r="C8443" s="266" t="str">
        <f>IFERROR(__xludf.DUMMYFUNCTION("""COMPUTED_VALUE"""),"KERTASARI CIAMIS")</f>
        <v>KERTASARI CIAMIS</v>
      </c>
      <c r="D8443" s="186">
        <f>IFERROR(__xludf.DUMMYFUNCTION("""COMPUTED_VALUE"""),2.0)</f>
        <v>2</v>
      </c>
    </row>
    <row r="8444">
      <c r="A8444" s="178" t="str">
        <f>IFERROR(__xludf.DUMMYFUNCTION("""COMPUTED_VALUE"""),"ITBISA-NODEMCU-ESP32-MICRO-30PIN")</f>
        <v>ITBISA-NODEMCU-ESP32-MICRO-30PIN</v>
      </c>
      <c r="B8444" s="266">
        <f>IFERROR(__xludf.DUMMYFUNCTION("""COMPUTED_VALUE"""),45473.0)</f>
        <v>45473</v>
      </c>
      <c r="C8444" s="266" t="str">
        <f>IFERROR(__xludf.DUMMYFUNCTION("""COMPUTED_VALUE"""),"KERTASARI CIAMIS")</f>
        <v>KERTASARI CIAMIS</v>
      </c>
      <c r="D8444" s="186">
        <f>IFERROR(__xludf.DUMMYFUNCTION("""COMPUTED_VALUE"""),5.0)</f>
        <v>5</v>
      </c>
    </row>
    <row r="8445">
      <c r="A8445" s="178" t="str">
        <f>IFERROR(__xludf.DUMMYFUNCTION("""COMPUTED_VALUE"""),"ITBISA-NODEMCU-ESP32-MICRO-30PIN")</f>
        <v>ITBISA-NODEMCU-ESP32-MICRO-30PIN</v>
      </c>
      <c r="B8445" s="266">
        <f>IFERROR(__xludf.DUMMYFUNCTION("""COMPUTED_VALUE"""),45475.0)</f>
        <v>45475</v>
      </c>
      <c r="C8445" s="266" t="str">
        <f>IFERROR(__xludf.DUMMYFUNCTION("""COMPUTED_VALUE"""),"KYAI KONTONG")</f>
        <v>KYAI KONTONG</v>
      </c>
      <c r="D8445" s="186">
        <f>IFERROR(__xludf.DUMMYFUNCTION("""COMPUTED_VALUE"""),1.0)</f>
        <v>1</v>
      </c>
    </row>
    <row r="8446">
      <c r="A8446" s="178" t="str">
        <f>IFERROR(__xludf.DUMMYFUNCTION("""COMPUTED_VALUE"""),"ITBISA-NODEMCU-ESP32-MICRO-30PIN")</f>
        <v>ITBISA-NODEMCU-ESP32-MICRO-30PIN</v>
      </c>
      <c r="B8446" s="266">
        <f>IFERROR(__xludf.DUMMYFUNCTION("""COMPUTED_VALUE"""),45476.0)</f>
        <v>45476</v>
      </c>
      <c r="C8446" s="266" t="str">
        <f>IFERROR(__xludf.DUMMYFUNCTION("""COMPUTED_VALUE"""),"KYAI KONTONG")</f>
        <v>KYAI KONTONG</v>
      </c>
      <c r="D8446" s="186">
        <f>IFERROR(__xludf.DUMMYFUNCTION("""COMPUTED_VALUE"""),2.0)</f>
        <v>2</v>
      </c>
    </row>
    <row r="8447">
      <c r="A8447" s="178" t="str">
        <f>IFERROR(__xludf.DUMMYFUNCTION("""COMPUTED_VALUE"""),"ITBISA-NODEMCU-ESP32-MICRO-30PIN")</f>
        <v>ITBISA-NODEMCU-ESP32-MICRO-30PIN</v>
      </c>
      <c r="B8447" s="266">
        <f>IFERROR(__xludf.DUMMYFUNCTION("""COMPUTED_VALUE"""),45477.0)</f>
        <v>45477</v>
      </c>
      <c r="C8447" s="266" t="str">
        <f>IFERROR(__xludf.DUMMYFUNCTION("""COMPUTED_VALUE"""),"KYAI KONTONG")</f>
        <v>KYAI KONTONG</v>
      </c>
      <c r="D8447" s="186">
        <f>IFERROR(__xludf.DUMMYFUNCTION("""COMPUTED_VALUE"""),1.0)</f>
        <v>1</v>
      </c>
    </row>
    <row r="8448">
      <c r="A8448" s="178" t="str">
        <f>IFERROR(__xludf.DUMMYFUNCTION("""COMPUTED_VALUE"""),"ITBISA-NODEMCU-ESP32-MICRO-30PIN")</f>
        <v>ITBISA-NODEMCU-ESP32-MICRO-30PIN</v>
      </c>
      <c r="B8448" s="266">
        <f>IFERROR(__xludf.DUMMYFUNCTION("""COMPUTED_VALUE"""),45479.0)</f>
        <v>45479</v>
      </c>
      <c r="C8448" s="266" t="str">
        <f>IFERROR(__xludf.DUMMYFUNCTION("""COMPUTED_VALUE"""),"KERTASARI CIAMIS")</f>
        <v>KERTASARI CIAMIS</v>
      </c>
      <c r="D8448" s="186">
        <f>IFERROR(__xludf.DUMMYFUNCTION("""COMPUTED_VALUE"""),1.0)</f>
        <v>1</v>
      </c>
    </row>
    <row r="8449">
      <c r="A8449" s="178" t="str">
        <f>IFERROR(__xludf.DUMMYFUNCTION("""COMPUTED_VALUE"""),"ITBISA-NODEMCU-ESP32-MICRO-30PIN")</f>
        <v>ITBISA-NODEMCU-ESP32-MICRO-30PIN</v>
      </c>
      <c r="B8449" s="266">
        <f>IFERROR(__xludf.DUMMYFUNCTION("""COMPUTED_VALUE"""),45480.0)</f>
        <v>45480</v>
      </c>
      <c r="C8449" s="266" t="str">
        <f>IFERROR(__xludf.DUMMYFUNCTION("""COMPUTED_VALUE"""),"KERTASARI CIAMIS")</f>
        <v>KERTASARI CIAMIS</v>
      </c>
      <c r="D8449" s="186">
        <f>IFERROR(__xludf.DUMMYFUNCTION("""COMPUTED_VALUE"""),1.0)</f>
        <v>1</v>
      </c>
    </row>
    <row r="8450">
      <c r="A8450" s="178" t="str">
        <f>IFERROR(__xludf.DUMMYFUNCTION("""COMPUTED_VALUE"""),"ITBISA-NODEMCU-ESP32-MICRO-30PIN")</f>
        <v>ITBISA-NODEMCU-ESP32-MICRO-30PIN</v>
      </c>
      <c r="B8450" s="266">
        <f>IFERROR(__xludf.DUMMYFUNCTION("""COMPUTED_VALUE"""),45480.0)</f>
        <v>45480</v>
      </c>
      <c r="C8450" s="266" t="str">
        <f>IFERROR(__xludf.DUMMYFUNCTION("""COMPUTED_VALUE"""),"KYAI KONTONG")</f>
        <v>KYAI KONTONG</v>
      </c>
      <c r="D8450" s="186">
        <f>IFERROR(__xludf.DUMMYFUNCTION("""COMPUTED_VALUE"""),1.0)</f>
        <v>1</v>
      </c>
    </row>
    <row r="8451">
      <c r="A8451" s="178" t="str">
        <f>IFERROR(__xludf.DUMMYFUNCTION("""COMPUTED_VALUE"""),"ITBISA-NODEMCU-ESP32-MICRO-30PIN")</f>
        <v>ITBISA-NODEMCU-ESP32-MICRO-30PIN</v>
      </c>
      <c r="B8451" s="266">
        <f>IFERROR(__xludf.DUMMYFUNCTION("""COMPUTED_VALUE"""),45566.0)</f>
        <v>45566</v>
      </c>
      <c r="C8451" s="266" t="str">
        <f>IFERROR(__xludf.DUMMYFUNCTION("""COMPUTED_VALUE"""),"KERTASARI CIAMIS")</f>
        <v>KERTASARI CIAMIS</v>
      </c>
      <c r="D8451" s="186">
        <f>IFERROR(__xludf.DUMMYFUNCTION("""COMPUTED_VALUE"""),10.0)</f>
        <v>10</v>
      </c>
    </row>
    <row r="8452">
      <c r="A8452" s="178" t="str">
        <f>IFERROR(__xludf.DUMMYFUNCTION("""COMPUTED_VALUE"""),"ITBISA-NODEMCU-ESP32-MICRO-30PIN")</f>
        <v>ITBISA-NODEMCU-ESP32-MICRO-30PIN</v>
      </c>
      <c r="B8452" s="266">
        <f>IFERROR(__xludf.DUMMYFUNCTION("""COMPUTED_VALUE"""),45650.0)</f>
        <v>45650</v>
      </c>
      <c r="C8452" s="266" t="str">
        <f>IFERROR(__xludf.DUMMYFUNCTION("""COMPUTED_VALUE"""),"KYAI KONTONG")</f>
        <v>KYAI KONTONG</v>
      </c>
      <c r="D8452" s="186">
        <f>IFERROR(__xludf.DUMMYFUNCTION("""COMPUTED_VALUE"""),1.0)</f>
        <v>1</v>
      </c>
    </row>
    <row r="8453">
      <c r="A8453" s="178" t="str">
        <f>IFERROR(__xludf.DUMMYFUNCTION("""COMPUTED_VALUE"""),"ITBISA-NODEMCU-ESP32-MICRO-38PIN")</f>
        <v>ITBISA-NODEMCU-ESP32-MICRO-38PIN</v>
      </c>
      <c r="B8453" s="266">
        <f>IFERROR(__xludf.DUMMYFUNCTION("""COMPUTED_VALUE"""),45448.0)</f>
        <v>45448</v>
      </c>
      <c r="C8453" s="266" t="str">
        <f>IFERROR(__xludf.DUMMYFUNCTION("""COMPUTED_VALUE"""),"KYAI KONTONG")</f>
        <v>KYAI KONTONG</v>
      </c>
      <c r="D8453" s="186">
        <f>IFERROR(__xludf.DUMMYFUNCTION("""COMPUTED_VALUE"""),1.0)</f>
        <v>1</v>
      </c>
    </row>
    <row r="8454">
      <c r="A8454" s="178" t="str">
        <f>IFERROR(__xludf.DUMMYFUNCTION("""COMPUTED_VALUE"""),"ITBISA-NODEMCU-ESP32-MICRO-38PIN")</f>
        <v>ITBISA-NODEMCU-ESP32-MICRO-38PIN</v>
      </c>
      <c r="B8454" s="266">
        <f>IFERROR(__xludf.DUMMYFUNCTION("""COMPUTED_VALUE"""),45456.0)</f>
        <v>45456</v>
      </c>
      <c r="C8454" s="266" t="str">
        <f>IFERROR(__xludf.DUMMYFUNCTION("""COMPUTED_VALUE"""),"KYAI KONTONG")</f>
        <v>KYAI KONTONG</v>
      </c>
      <c r="D8454" s="186">
        <f>IFERROR(__xludf.DUMMYFUNCTION("""COMPUTED_VALUE"""),1.0)</f>
        <v>1</v>
      </c>
    </row>
    <row r="8455">
      <c r="A8455" s="178" t="str">
        <f>IFERROR(__xludf.DUMMYFUNCTION("""COMPUTED_VALUE"""),"ITBISA-NODEMCU-ESP32-MICRO-38PIN")</f>
        <v>ITBISA-NODEMCU-ESP32-MICRO-38PIN</v>
      </c>
      <c r="B8455" s="266">
        <f>IFERROR(__xludf.DUMMYFUNCTION("""COMPUTED_VALUE"""),45456.0)</f>
        <v>45456</v>
      </c>
      <c r="C8455" s="266" t="str">
        <f>IFERROR(__xludf.DUMMYFUNCTION("""COMPUTED_VALUE"""),"KYAI KONTONG")</f>
        <v>KYAI KONTONG</v>
      </c>
      <c r="D8455" s="186">
        <f>IFERROR(__xludf.DUMMYFUNCTION("""COMPUTED_VALUE"""),1.0)</f>
        <v>1</v>
      </c>
    </row>
    <row r="8456">
      <c r="A8456" s="178" t="str">
        <f>IFERROR(__xludf.DUMMYFUNCTION("""COMPUTED_VALUE"""),"ITBISA-NODEMCU-ESP32-MICRO-38PIN")</f>
        <v>ITBISA-NODEMCU-ESP32-MICRO-38PIN</v>
      </c>
      <c r="B8456" s="266">
        <f>IFERROR(__xludf.DUMMYFUNCTION("""COMPUTED_VALUE"""),45459.0)</f>
        <v>45459</v>
      </c>
      <c r="C8456" s="266" t="str">
        <f>IFERROR(__xludf.DUMMYFUNCTION("""COMPUTED_VALUE"""),"KYAI KONTONG")</f>
        <v>KYAI KONTONG</v>
      </c>
      <c r="D8456" s="186">
        <f>IFERROR(__xludf.DUMMYFUNCTION("""COMPUTED_VALUE"""),1.0)</f>
        <v>1</v>
      </c>
    </row>
    <row r="8457">
      <c r="A8457" s="178" t="str">
        <f>IFERROR(__xludf.DUMMYFUNCTION("""COMPUTED_VALUE"""),"ITBISA-NODEMCU-ESP32-MICRO-38PIN")</f>
        <v>ITBISA-NODEMCU-ESP32-MICRO-38PIN</v>
      </c>
      <c r="B8457" s="266">
        <f>IFERROR(__xludf.DUMMYFUNCTION("""COMPUTED_VALUE"""),45461.0)</f>
        <v>45461</v>
      </c>
      <c r="C8457" s="266" t="str">
        <f>IFERROR(__xludf.DUMMYFUNCTION("""COMPUTED_VALUE"""),"KYAI KONTONG")</f>
        <v>KYAI KONTONG</v>
      </c>
      <c r="D8457" s="186">
        <f>IFERROR(__xludf.DUMMYFUNCTION("""COMPUTED_VALUE"""),1.0)</f>
        <v>1</v>
      </c>
    </row>
    <row r="8458">
      <c r="A8458" s="178" t="str">
        <f>IFERROR(__xludf.DUMMYFUNCTION("""COMPUTED_VALUE"""),"ITBISA-NODEMCU-ESP32-MICRO-38PIN")</f>
        <v>ITBISA-NODEMCU-ESP32-MICRO-38PIN</v>
      </c>
      <c r="B8458" s="266">
        <f>IFERROR(__xludf.DUMMYFUNCTION("""COMPUTED_VALUE"""),45471.0)</f>
        <v>45471</v>
      </c>
      <c r="C8458" s="266" t="str">
        <f>IFERROR(__xludf.DUMMYFUNCTION("""COMPUTED_VALUE"""),"KYAI KONTONG")</f>
        <v>KYAI KONTONG</v>
      </c>
      <c r="D8458" s="186">
        <f>IFERROR(__xludf.DUMMYFUNCTION("""COMPUTED_VALUE"""),1.0)</f>
        <v>1</v>
      </c>
    </row>
    <row r="8459">
      <c r="A8459" s="178" t="str">
        <f>IFERROR(__xludf.DUMMYFUNCTION("""COMPUTED_VALUE"""),"ITBISA-NODEMCU-ESP32-MICRO-38PIN")</f>
        <v>ITBISA-NODEMCU-ESP32-MICRO-38PIN</v>
      </c>
      <c r="B8459" s="266">
        <f>IFERROR(__xludf.DUMMYFUNCTION("""COMPUTED_VALUE"""),45475.0)</f>
        <v>45475</v>
      </c>
      <c r="C8459" s="266" t="str">
        <f>IFERROR(__xludf.DUMMYFUNCTION("""COMPUTED_VALUE"""),"KYAI KONTONG")</f>
        <v>KYAI KONTONG</v>
      </c>
      <c r="D8459" s="186">
        <f>IFERROR(__xludf.DUMMYFUNCTION("""COMPUTED_VALUE"""),1.0)</f>
        <v>1</v>
      </c>
    </row>
    <row r="8460">
      <c r="A8460" s="178" t="str">
        <f>IFERROR(__xludf.DUMMYFUNCTION("""COMPUTED_VALUE"""),"ITBISA-NODEMCU-ESP32-MICRO-38PIN")</f>
        <v>ITBISA-NODEMCU-ESP32-MICRO-38PIN</v>
      </c>
      <c r="B8460" s="266">
        <f>IFERROR(__xludf.DUMMYFUNCTION("""COMPUTED_VALUE"""),45475.0)</f>
        <v>45475</v>
      </c>
      <c r="C8460" s="266" t="str">
        <f>IFERROR(__xludf.DUMMYFUNCTION("""COMPUTED_VALUE"""),"KYAI KONTONG")</f>
        <v>KYAI KONTONG</v>
      </c>
      <c r="D8460" s="186">
        <f>IFERROR(__xludf.DUMMYFUNCTION("""COMPUTED_VALUE"""),1.0)</f>
        <v>1</v>
      </c>
    </row>
    <row r="8461">
      <c r="A8461" s="178" t="str">
        <f>IFERROR(__xludf.DUMMYFUNCTION("""COMPUTED_VALUE"""),"ITBISA-NODEMCU-ESP32-MICRO-38PIN")</f>
        <v>ITBISA-NODEMCU-ESP32-MICRO-38PIN</v>
      </c>
      <c r="B8461" s="266">
        <f>IFERROR(__xludf.DUMMYFUNCTION("""COMPUTED_VALUE"""),45476.0)</f>
        <v>45476</v>
      </c>
      <c r="C8461" s="266" t="str">
        <f>IFERROR(__xludf.DUMMYFUNCTION("""COMPUTED_VALUE"""),"KYAI KONTONG")</f>
        <v>KYAI KONTONG</v>
      </c>
      <c r="D8461" s="186">
        <f>IFERROR(__xludf.DUMMYFUNCTION("""COMPUTED_VALUE"""),2.0)</f>
        <v>2</v>
      </c>
    </row>
    <row r="8462">
      <c r="A8462" s="178" t="str">
        <f>IFERROR(__xludf.DUMMYFUNCTION("""COMPUTED_VALUE"""),"ITBISA-NODEMCU-ESP32-MICRO-38PIN")</f>
        <v>ITBISA-NODEMCU-ESP32-MICRO-38PIN</v>
      </c>
      <c r="B8462" s="266">
        <f>IFERROR(__xludf.DUMMYFUNCTION("""COMPUTED_VALUE"""),45478.0)</f>
        <v>45478</v>
      </c>
      <c r="C8462" s="266" t="str">
        <f>IFERROR(__xludf.DUMMYFUNCTION("""COMPUTED_VALUE"""),"KYAI KONTONG")</f>
        <v>KYAI KONTONG</v>
      </c>
      <c r="D8462" s="186">
        <f>IFERROR(__xludf.DUMMYFUNCTION("""COMPUTED_VALUE"""),1.0)</f>
        <v>1</v>
      </c>
    </row>
    <row r="8463">
      <c r="A8463" s="178" t="str">
        <f>IFERROR(__xludf.DUMMYFUNCTION("""COMPUTED_VALUE"""),"ITBISA-NODEMCU-ESP32-MICRO-38PIN")</f>
        <v>ITBISA-NODEMCU-ESP32-MICRO-38PIN</v>
      </c>
      <c r="B8463" s="266">
        <f>IFERROR(__xludf.DUMMYFUNCTION("""COMPUTED_VALUE"""),45483.0)</f>
        <v>45483</v>
      </c>
      <c r="C8463" s="266" t="str">
        <f>IFERROR(__xludf.DUMMYFUNCTION("""COMPUTED_VALUE"""),"KYAI KONTONG")</f>
        <v>KYAI KONTONG</v>
      </c>
      <c r="D8463" s="186">
        <f>IFERROR(__xludf.DUMMYFUNCTION("""COMPUTED_VALUE"""),1.0)</f>
        <v>1</v>
      </c>
    </row>
    <row r="8464">
      <c r="A8464" s="178" t="str">
        <f>IFERROR(__xludf.DUMMYFUNCTION("""COMPUTED_VALUE"""),"ITBISA-NODEMCU-ESP32-MICRO-38PIN")</f>
        <v>ITBISA-NODEMCU-ESP32-MICRO-38PIN</v>
      </c>
      <c r="B8464" s="266">
        <f>IFERROR(__xludf.DUMMYFUNCTION("""COMPUTED_VALUE"""),45488.0)</f>
        <v>45488</v>
      </c>
      <c r="C8464" s="266" t="str">
        <f>IFERROR(__xludf.DUMMYFUNCTION("""COMPUTED_VALUE"""),"KYAI KONTONG")</f>
        <v>KYAI KONTONG</v>
      </c>
      <c r="D8464" s="186">
        <f>IFERROR(__xludf.DUMMYFUNCTION("""COMPUTED_VALUE"""),1.0)</f>
        <v>1</v>
      </c>
    </row>
    <row r="8465">
      <c r="A8465" s="178" t="str">
        <f>IFERROR(__xludf.DUMMYFUNCTION("""COMPUTED_VALUE"""),"ITBISA-NODEMCU-ESP32-MICRO-38PIN")</f>
        <v>ITBISA-NODEMCU-ESP32-MICRO-38PIN</v>
      </c>
      <c r="B8465" s="266">
        <f>IFERROR(__xludf.DUMMYFUNCTION("""COMPUTED_VALUE"""),45501.0)</f>
        <v>45501</v>
      </c>
      <c r="C8465" s="266" t="str">
        <f>IFERROR(__xludf.DUMMYFUNCTION("""COMPUTED_VALUE"""),"KYAI KONTONG")</f>
        <v>KYAI KONTONG</v>
      </c>
      <c r="D8465" s="186">
        <f>IFERROR(__xludf.DUMMYFUNCTION("""COMPUTED_VALUE"""),1.0)</f>
        <v>1</v>
      </c>
    </row>
    <row r="8466">
      <c r="A8466" s="178" t="str">
        <f>IFERROR(__xludf.DUMMYFUNCTION("""COMPUTED_VALUE"""),"ITBISA-NODEMCU-ESP32-MICRO-38PIN")</f>
        <v>ITBISA-NODEMCU-ESP32-MICRO-38PIN</v>
      </c>
      <c r="B8466" s="266">
        <f>IFERROR(__xludf.DUMMYFUNCTION("""COMPUTED_VALUE"""),45521.0)</f>
        <v>45521</v>
      </c>
      <c r="C8466" s="266" t="str">
        <f>IFERROR(__xludf.DUMMYFUNCTION("""COMPUTED_VALUE"""),"KYAI KONTONG")</f>
        <v>KYAI KONTONG</v>
      </c>
      <c r="D8466" s="186">
        <f>IFERROR(__xludf.DUMMYFUNCTION("""COMPUTED_VALUE"""),1.0)</f>
        <v>1</v>
      </c>
    </row>
    <row r="8467">
      <c r="A8467" s="178" t="str">
        <f>IFERROR(__xludf.DUMMYFUNCTION("""COMPUTED_VALUE"""),"ITBISA-NODEMCU-ESP32-MICRO-38PIN")</f>
        <v>ITBISA-NODEMCU-ESP32-MICRO-38PIN</v>
      </c>
      <c r="B8467" s="266">
        <f>IFERROR(__xludf.DUMMYFUNCTION("""COMPUTED_VALUE"""),45521.0)</f>
        <v>45521</v>
      </c>
      <c r="C8467" s="266" t="str">
        <f>IFERROR(__xludf.DUMMYFUNCTION("""COMPUTED_VALUE"""),"KYAI KONTONG")</f>
        <v>KYAI KONTONG</v>
      </c>
      <c r="D8467" s="186">
        <f>IFERROR(__xludf.DUMMYFUNCTION("""COMPUTED_VALUE"""),2.0)</f>
        <v>2</v>
      </c>
    </row>
    <row r="8468">
      <c r="A8468" s="178" t="str">
        <f>IFERROR(__xludf.DUMMYFUNCTION("""COMPUTED_VALUE"""),"ITBISA-NODEMCU-ESP32-MICRO-38PIN")</f>
        <v>ITBISA-NODEMCU-ESP32-MICRO-38PIN</v>
      </c>
      <c r="B8468" s="266">
        <f>IFERROR(__xludf.DUMMYFUNCTION("""COMPUTED_VALUE"""),45523.0)</f>
        <v>45523</v>
      </c>
      <c r="C8468" s="266" t="str">
        <f>IFERROR(__xludf.DUMMYFUNCTION("""COMPUTED_VALUE"""),"KYAI KONTONG")</f>
        <v>KYAI KONTONG</v>
      </c>
      <c r="D8468" s="186">
        <f>IFERROR(__xludf.DUMMYFUNCTION("""COMPUTED_VALUE"""),1.0)</f>
        <v>1</v>
      </c>
    </row>
    <row r="8469">
      <c r="A8469" s="178" t="str">
        <f>IFERROR(__xludf.DUMMYFUNCTION("""COMPUTED_VALUE"""),"ITBISA-NODEMCU-V3-CH340G-ESP8266-MICRO")</f>
        <v>ITBISA-NODEMCU-V3-CH340G-ESP8266-MICRO</v>
      </c>
      <c r="B8469" s="266">
        <f>IFERROR(__xludf.DUMMYFUNCTION("""COMPUTED_VALUE"""),45346.0)</f>
        <v>45346</v>
      </c>
      <c r="C8469" s="266" t="str">
        <f>IFERROR(__xludf.DUMMYFUNCTION("""COMPUTED_VALUE"""),"KYAI KONTONG")</f>
        <v>KYAI KONTONG</v>
      </c>
      <c r="D8469" s="186">
        <f>IFERROR(__xludf.DUMMYFUNCTION("""COMPUTED_VALUE"""),1.0)</f>
        <v>1</v>
      </c>
    </row>
    <row r="8470">
      <c r="A8470" s="178" t="str">
        <f>IFERROR(__xludf.DUMMYFUNCTION("""COMPUTED_VALUE"""),"ITBISA-NODEMCU-V3-CH340G-ESP8266-MICRO")</f>
        <v>ITBISA-NODEMCU-V3-CH340G-ESP8266-MICRO</v>
      </c>
      <c r="B8470" s="266">
        <f>IFERROR(__xludf.DUMMYFUNCTION("""COMPUTED_VALUE"""),45366.0)</f>
        <v>45366</v>
      </c>
      <c r="C8470" s="266" t="str">
        <f>IFERROR(__xludf.DUMMYFUNCTION("""COMPUTED_VALUE"""),"KYAI KONTONG")</f>
        <v>KYAI KONTONG</v>
      </c>
      <c r="D8470" s="186">
        <f>IFERROR(__xludf.DUMMYFUNCTION("""COMPUTED_VALUE"""),5.0)</f>
        <v>5</v>
      </c>
    </row>
    <row r="8471">
      <c r="A8471" s="178" t="str">
        <f>IFERROR(__xludf.DUMMYFUNCTION("""COMPUTED_VALUE"""),"ITBISA-NODEMCU-V3-CH340G-ESP8266-MICRO")</f>
        <v>ITBISA-NODEMCU-V3-CH340G-ESP8266-MICRO</v>
      </c>
      <c r="B8471" s="266">
        <f>IFERROR(__xludf.DUMMYFUNCTION("""COMPUTED_VALUE"""),45367.0)</f>
        <v>45367</v>
      </c>
      <c r="C8471" s="266" t="str">
        <f>IFERROR(__xludf.DUMMYFUNCTION("""COMPUTED_VALUE"""),"KYAI KONTONG")</f>
        <v>KYAI KONTONG</v>
      </c>
      <c r="D8471" s="186">
        <f>IFERROR(__xludf.DUMMYFUNCTION("""COMPUTED_VALUE"""),4.0)</f>
        <v>4</v>
      </c>
    </row>
    <row r="8472">
      <c r="A8472" s="178" t="str">
        <f>IFERROR(__xludf.DUMMYFUNCTION("""COMPUTED_VALUE"""),"ITBISA-NODEMCU-V3-CH340G-ESP8266-MICRO")</f>
        <v>ITBISA-NODEMCU-V3-CH340G-ESP8266-MICRO</v>
      </c>
      <c r="B8472" s="266">
        <f>IFERROR(__xludf.DUMMYFUNCTION("""COMPUTED_VALUE"""),45380.0)</f>
        <v>45380</v>
      </c>
      <c r="C8472" s="266" t="str">
        <f>IFERROR(__xludf.DUMMYFUNCTION("""COMPUTED_VALUE"""),"KYAI KONTONG")</f>
        <v>KYAI KONTONG</v>
      </c>
      <c r="D8472" s="186">
        <f>IFERROR(__xludf.DUMMYFUNCTION("""COMPUTED_VALUE"""),5.0)</f>
        <v>5</v>
      </c>
    </row>
    <row r="8473">
      <c r="A8473" s="178" t="str">
        <f>IFERROR(__xludf.DUMMYFUNCTION("""COMPUTED_VALUE"""),"ITBISA-NODEMCU-V3-CH340G-ESP8266-MICRO")</f>
        <v>ITBISA-NODEMCU-V3-CH340G-ESP8266-MICRO</v>
      </c>
      <c r="B8473" s="266">
        <f>IFERROR(__xludf.DUMMYFUNCTION("""COMPUTED_VALUE"""),45385.0)</f>
        <v>45385</v>
      </c>
      <c r="C8473" s="266" t="str">
        <f>IFERROR(__xludf.DUMMYFUNCTION("""COMPUTED_VALUE"""),"KYAI KONTONG")</f>
        <v>KYAI KONTONG</v>
      </c>
      <c r="D8473" s="186">
        <f>IFERROR(__xludf.DUMMYFUNCTION("""COMPUTED_VALUE"""),2.0)</f>
        <v>2</v>
      </c>
    </row>
    <row r="8474">
      <c r="A8474" s="178" t="str">
        <f>IFERROR(__xludf.DUMMYFUNCTION("""COMPUTED_VALUE"""),"ITBISA-NODEMCU-V3-CH340G-ESP8266-MICRO")</f>
        <v>ITBISA-NODEMCU-V3-CH340G-ESP8266-MICRO</v>
      </c>
      <c r="B8474" s="266">
        <f>IFERROR(__xludf.DUMMYFUNCTION("""COMPUTED_VALUE"""),45387.0)</f>
        <v>45387</v>
      </c>
      <c r="C8474" s="266" t="str">
        <f>IFERROR(__xludf.DUMMYFUNCTION("""COMPUTED_VALUE"""),"KERTASARI CIAMIS")</f>
        <v>KERTASARI CIAMIS</v>
      </c>
      <c r="D8474" s="186">
        <f>IFERROR(__xludf.DUMMYFUNCTION("""COMPUTED_VALUE"""),1.0)</f>
        <v>1</v>
      </c>
    </row>
    <row r="8475">
      <c r="A8475" s="178" t="str">
        <f>IFERROR(__xludf.DUMMYFUNCTION("""COMPUTED_VALUE"""),"ITBISA-NODEMCU-V3-CH340G-ESP8266-MICRO")</f>
        <v>ITBISA-NODEMCU-V3-CH340G-ESP8266-MICRO</v>
      </c>
      <c r="B8475" s="266">
        <f>IFERROR(__xludf.DUMMYFUNCTION("""COMPUTED_VALUE"""),45397.0)</f>
        <v>45397</v>
      </c>
      <c r="C8475" s="266" t="str">
        <f>IFERROR(__xludf.DUMMYFUNCTION("""COMPUTED_VALUE"""),"KYAI KONTONG")</f>
        <v>KYAI KONTONG</v>
      </c>
      <c r="D8475" s="186">
        <f>IFERROR(__xludf.DUMMYFUNCTION("""COMPUTED_VALUE"""),1.0)</f>
        <v>1</v>
      </c>
    </row>
    <row r="8476">
      <c r="A8476" s="178" t="str">
        <f>IFERROR(__xludf.DUMMYFUNCTION("""COMPUTED_VALUE"""),"ITBISA-NODEMCU-V3-CH340G-ESP8266-MICRO")</f>
        <v>ITBISA-NODEMCU-V3-CH340G-ESP8266-MICRO</v>
      </c>
      <c r="B8476" s="266">
        <f>IFERROR(__xludf.DUMMYFUNCTION("""COMPUTED_VALUE"""),45397.0)</f>
        <v>45397</v>
      </c>
      <c r="C8476" s="266" t="str">
        <f>IFERROR(__xludf.DUMMYFUNCTION("""COMPUTED_VALUE"""),"KYAI KONTONG")</f>
        <v>KYAI KONTONG</v>
      </c>
      <c r="D8476" s="186">
        <f>IFERROR(__xludf.DUMMYFUNCTION("""COMPUTED_VALUE"""),1.0)</f>
        <v>1</v>
      </c>
    </row>
    <row r="8477">
      <c r="A8477" s="178" t="str">
        <f>IFERROR(__xludf.DUMMYFUNCTION("""COMPUTED_VALUE"""),"ITBISA-NODEMCU-V3-CH340G-ESP8266-MICRO")</f>
        <v>ITBISA-NODEMCU-V3-CH340G-ESP8266-MICRO</v>
      </c>
      <c r="B8477" s="266">
        <f>IFERROR(__xludf.DUMMYFUNCTION("""COMPUTED_VALUE"""),45411.0)</f>
        <v>45411</v>
      </c>
      <c r="C8477" s="266" t="str">
        <f>IFERROR(__xludf.DUMMYFUNCTION("""COMPUTED_VALUE"""),"KYAI KONTONG")</f>
        <v>KYAI KONTONG</v>
      </c>
      <c r="D8477" s="186">
        <f>IFERROR(__xludf.DUMMYFUNCTION("""COMPUTED_VALUE"""),2.0)</f>
        <v>2</v>
      </c>
    </row>
    <row r="8478">
      <c r="A8478" s="178" t="str">
        <f>IFERROR(__xludf.DUMMYFUNCTION("""COMPUTED_VALUE"""),"ITBISA-NODEMCU-V3-CH340G-ESP8266-MICRO")</f>
        <v>ITBISA-NODEMCU-V3-CH340G-ESP8266-MICRO</v>
      </c>
      <c r="B8478" s="266">
        <f>IFERROR(__xludf.DUMMYFUNCTION("""COMPUTED_VALUE"""),45420.0)</f>
        <v>45420</v>
      </c>
      <c r="C8478" s="266" t="str">
        <f>IFERROR(__xludf.DUMMYFUNCTION("""COMPUTED_VALUE"""),"KYAI KONTONG")</f>
        <v>KYAI KONTONG</v>
      </c>
      <c r="D8478" s="186">
        <f>IFERROR(__xludf.DUMMYFUNCTION("""COMPUTED_VALUE"""),1.0)</f>
        <v>1</v>
      </c>
    </row>
    <row r="8479">
      <c r="A8479" s="178" t="str">
        <f>IFERROR(__xludf.DUMMYFUNCTION("""COMPUTED_VALUE"""),"ITBISA-NODEMCU-V3-CH340G-ESP8266-MICRO")</f>
        <v>ITBISA-NODEMCU-V3-CH340G-ESP8266-MICRO</v>
      </c>
      <c r="B8479" s="266">
        <f>IFERROR(__xludf.DUMMYFUNCTION("""COMPUTED_VALUE"""),45429.0)</f>
        <v>45429</v>
      </c>
      <c r="C8479" s="266" t="str">
        <f>IFERROR(__xludf.DUMMYFUNCTION("""COMPUTED_VALUE"""),"KYAI KONTONG")</f>
        <v>KYAI KONTONG</v>
      </c>
      <c r="D8479" s="186">
        <f>IFERROR(__xludf.DUMMYFUNCTION("""COMPUTED_VALUE"""),1.0)</f>
        <v>1</v>
      </c>
    </row>
    <row r="8480">
      <c r="A8480" s="178" t="str">
        <f>IFERROR(__xludf.DUMMYFUNCTION("""COMPUTED_VALUE"""),"ITBISA-NODEMCU-V3-CH340G-ESP8266-MICRO")</f>
        <v>ITBISA-NODEMCU-V3-CH340G-ESP8266-MICRO</v>
      </c>
      <c r="B8480" s="266">
        <f>IFERROR(__xludf.DUMMYFUNCTION("""COMPUTED_VALUE"""),45434.0)</f>
        <v>45434</v>
      </c>
      <c r="C8480" s="266" t="str">
        <f>IFERROR(__xludf.DUMMYFUNCTION("""COMPUTED_VALUE"""),"KYAI KONTONG")</f>
        <v>KYAI KONTONG</v>
      </c>
      <c r="D8480" s="186">
        <f>IFERROR(__xludf.DUMMYFUNCTION("""COMPUTED_VALUE"""),2.0)</f>
        <v>2</v>
      </c>
    </row>
    <row r="8481">
      <c r="A8481" s="178" t="str">
        <f>IFERROR(__xludf.DUMMYFUNCTION("""COMPUTED_VALUE"""),"ITBISA-NODEMCU-V3-CH340G-ESP8266-MICRO")</f>
        <v>ITBISA-NODEMCU-V3-CH340G-ESP8266-MICRO</v>
      </c>
      <c r="B8481" s="266">
        <f>IFERROR(__xludf.DUMMYFUNCTION("""COMPUTED_VALUE"""),45452.0)</f>
        <v>45452</v>
      </c>
      <c r="C8481" s="266" t="str">
        <f>IFERROR(__xludf.DUMMYFUNCTION("""COMPUTED_VALUE"""),"KYAI KONTONG")</f>
        <v>KYAI KONTONG</v>
      </c>
      <c r="D8481" s="186">
        <f>IFERROR(__xludf.DUMMYFUNCTION("""COMPUTED_VALUE"""),1.0)</f>
        <v>1</v>
      </c>
    </row>
    <row r="8482">
      <c r="A8482" s="178" t="str">
        <f>IFERROR(__xludf.DUMMYFUNCTION("""COMPUTED_VALUE"""),"ITBISA-NODEMCU-V3-CH340G-ESP8266-MICRO")</f>
        <v>ITBISA-NODEMCU-V3-CH340G-ESP8266-MICRO</v>
      </c>
      <c r="B8482" s="266">
        <f>IFERROR(__xludf.DUMMYFUNCTION("""COMPUTED_VALUE"""),45452.0)</f>
        <v>45452</v>
      </c>
      <c r="C8482" s="266" t="str">
        <f>IFERROR(__xludf.DUMMYFUNCTION("""COMPUTED_VALUE"""),"KYAI KONTONG")</f>
        <v>KYAI KONTONG</v>
      </c>
      <c r="D8482" s="186">
        <f>IFERROR(__xludf.DUMMYFUNCTION("""COMPUTED_VALUE"""),2.0)</f>
        <v>2</v>
      </c>
    </row>
    <row r="8483">
      <c r="A8483" s="178" t="str">
        <f>IFERROR(__xludf.DUMMYFUNCTION("""COMPUTED_VALUE"""),"ITBISA-NODEMCU-V3-CH340G-ESP8266-MICRO")</f>
        <v>ITBISA-NODEMCU-V3-CH340G-ESP8266-MICRO</v>
      </c>
      <c r="B8483" s="266">
        <f>IFERROR(__xludf.DUMMYFUNCTION("""COMPUTED_VALUE"""),45455.0)</f>
        <v>45455</v>
      </c>
      <c r="C8483" s="266" t="str">
        <f>IFERROR(__xludf.DUMMYFUNCTION("""COMPUTED_VALUE"""),"KYAI KONTONG")</f>
        <v>KYAI KONTONG</v>
      </c>
      <c r="D8483" s="186">
        <f>IFERROR(__xludf.DUMMYFUNCTION("""COMPUTED_VALUE"""),1.0)</f>
        <v>1</v>
      </c>
    </row>
    <row r="8484">
      <c r="A8484" s="178" t="str">
        <f>IFERROR(__xludf.DUMMYFUNCTION("""COMPUTED_VALUE"""),"ITBISA-NODEMCU-V3-CH340G-ESP8266-MICRO")</f>
        <v>ITBISA-NODEMCU-V3-CH340G-ESP8266-MICRO</v>
      </c>
      <c r="B8484" s="266">
        <f>IFERROR(__xludf.DUMMYFUNCTION("""COMPUTED_VALUE"""),45458.0)</f>
        <v>45458</v>
      </c>
      <c r="C8484" s="266" t="str">
        <f>IFERROR(__xludf.DUMMYFUNCTION("""COMPUTED_VALUE"""),"KERTASARI CIAMIS")</f>
        <v>KERTASARI CIAMIS</v>
      </c>
      <c r="D8484" s="186">
        <f>IFERROR(__xludf.DUMMYFUNCTION("""COMPUTED_VALUE"""),1.0)</f>
        <v>1</v>
      </c>
    </row>
    <row r="8485">
      <c r="A8485" s="178" t="str">
        <f>IFERROR(__xludf.DUMMYFUNCTION("""COMPUTED_VALUE"""),"ITBISA-NODEMCU-V3-CH340G-ESP8266-MICRO")</f>
        <v>ITBISA-NODEMCU-V3-CH340G-ESP8266-MICRO</v>
      </c>
      <c r="B8485" s="266">
        <f>IFERROR(__xludf.DUMMYFUNCTION("""COMPUTED_VALUE"""),45462.0)</f>
        <v>45462</v>
      </c>
      <c r="C8485" s="266" t="str">
        <f>IFERROR(__xludf.DUMMYFUNCTION("""COMPUTED_VALUE"""),"KYAI KONTONG")</f>
        <v>KYAI KONTONG</v>
      </c>
      <c r="D8485" s="186">
        <f>IFERROR(__xludf.DUMMYFUNCTION("""COMPUTED_VALUE"""),2.0)</f>
        <v>2</v>
      </c>
    </row>
    <row r="8486">
      <c r="A8486" s="178" t="str">
        <f>IFERROR(__xludf.DUMMYFUNCTION("""COMPUTED_VALUE"""),"ITBISA-NODEMCU-V3-CH340G-ESP8266-MICRO")</f>
        <v>ITBISA-NODEMCU-V3-CH340G-ESP8266-MICRO</v>
      </c>
      <c r="B8486" s="266">
        <f>IFERROR(__xludf.DUMMYFUNCTION("""COMPUTED_VALUE"""),45465.0)</f>
        <v>45465</v>
      </c>
      <c r="C8486" s="266" t="str">
        <f>IFERROR(__xludf.DUMMYFUNCTION("""COMPUTED_VALUE"""),"KERTASARI CIAMIS")</f>
        <v>KERTASARI CIAMIS</v>
      </c>
      <c r="D8486" s="186">
        <f>IFERROR(__xludf.DUMMYFUNCTION("""COMPUTED_VALUE"""),2.0)</f>
        <v>2</v>
      </c>
    </row>
    <row r="8487">
      <c r="A8487" s="178" t="str">
        <f>IFERROR(__xludf.DUMMYFUNCTION("""COMPUTED_VALUE"""),"ITBISA-NODEMCU-V3-CH340G-ESP8266-MICRO")</f>
        <v>ITBISA-NODEMCU-V3-CH340G-ESP8266-MICRO</v>
      </c>
      <c r="B8487" s="266">
        <f>IFERROR(__xludf.DUMMYFUNCTION("""COMPUTED_VALUE"""),45472.0)</f>
        <v>45472</v>
      </c>
      <c r="C8487" s="266" t="str">
        <f>IFERROR(__xludf.DUMMYFUNCTION("""COMPUTED_VALUE"""),"KERTASARI CIAMIS")</f>
        <v>KERTASARI CIAMIS</v>
      </c>
      <c r="D8487" s="186">
        <f>IFERROR(__xludf.DUMMYFUNCTION("""COMPUTED_VALUE"""),1.0)</f>
        <v>1</v>
      </c>
    </row>
    <row r="8488">
      <c r="A8488" s="178" t="str">
        <f>IFERROR(__xludf.DUMMYFUNCTION("""COMPUTED_VALUE"""),"ITBISA-NODEMCU-V3-CH340G-ESP8266-MICRO")</f>
        <v>ITBISA-NODEMCU-V3-CH340G-ESP8266-MICRO</v>
      </c>
      <c r="B8488" s="266">
        <f>IFERROR(__xludf.DUMMYFUNCTION("""COMPUTED_VALUE"""),45473.0)</f>
        <v>45473</v>
      </c>
      <c r="C8488" s="266" t="str">
        <f>IFERROR(__xludf.DUMMYFUNCTION("""COMPUTED_VALUE"""),"KYAI KONTONG")</f>
        <v>KYAI KONTONG</v>
      </c>
      <c r="D8488" s="186">
        <f>IFERROR(__xludf.DUMMYFUNCTION("""COMPUTED_VALUE"""),1.0)</f>
        <v>1</v>
      </c>
    </row>
    <row r="8489">
      <c r="A8489" s="178" t="str">
        <f>IFERROR(__xludf.DUMMYFUNCTION("""COMPUTED_VALUE"""),"ITBISA-NODEMCU-V3-CH340G-ESP8266-MICRO")</f>
        <v>ITBISA-NODEMCU-V3-CH340G-ESP8266-MICRO</v>
      </c>
      <c r="B8489" s="266">
        <f>IFERROR(__xludf.DUMMYFUNCTION("""COMPUTED_VALUE"""),45473.0)</f>
        <v>45473</v>
      </c>
      <c r="C8489" s="266" t="str">
        <f>IFERROR(__xludf.DUMMYFUNCTION("""COMPUTED_VALUE"""),"KYAI KONTONG")</f>
        <v>KYAI KONTONG</v>
      </c>
      <c r="D8489" s="186">
        <f>IFERROR(__xludf.DUMMYFUNCTION("""COMPUTED_VALUE"""),5.0)</f>
        <v>5</v>
      </c>
    </row>
    <row r="8490">
      <c r="A8490" s="178" t="str">
        <f>IFERROR(__xludf.DUMMYFUNCTION("""COMPUTED_VALUE"""),"ITBISA-NODEMCU-V3-CH340G-ESP8266-MICRO")</f>
        <v>ITBISA-NODEMCU-V3-CH340G-ESP8266-MICRO</v>
      </c>
      <c r="B8490" s="266">
        <f>IFERROR(__xludf.DUMMYFUNCTION("""COMPUTED_VALUE"""),45475.0)</f>
        <v>45475</v>
      </c>
      <c r="C8490" s="266" t="str">
        <f>IFERROR(__xludf.DUMMYFUNCTION("""COMPUTED_VALUE"""),"KYAI KONTONG")</f>
        <v>KYAI KONTONG</v>
      </c>
      <c r="D8490" s="186">
        <f>IFERROR(__xludf.DUMMYFUNCTION("""COMPUTED_VALUE"""),1.0)</f>
        <v>1</v>
      </c>
    </row>
    <row r="8491">
      <c r="A8491" s="178" t="str">
        <f>IFERROR(__xludf.DUMMYFUNCTION("""COMPUTED_VALUE"""),"ITBISA-NODEMCU-V3-CH340G-ESP8266-MICRO")</f>
        <v>ITBISA-NODEMCU-V3-CH340G-ESP8266-MICRO</v>
      </c>
      <c r="B8491" s="266">
        <f>IFERROR(__xludf.DUMMYFUNCTION("""COMPUTED_VALUE"""),45476.0)</f>
        <v>45476</v>
      </c>
      <c r="C8491" s="266" t="str">
        <f>IFERROR(__xludf.DUMMYFUNCTION("""COMPUTED_VALUE"""),"KYAI KONTONG")</f>
        <v>KYAI KONTONG</v>
      </c>
      <c r="D8491" s="186">
        <f>IFERROR(__xludf.DUMMYFUNCTION("""COMPUTED_VALUE"""),1.0)</f>
        <v>1</v>
      </c>
    </row>
    <row r="8492">
      <c r="A8492" s="178" t="str">
        <f>IFERROR(__xludf.DUMMYFUNCTION("""COMPUTED_VALUE"""),"ITBISA-NODEMCU-V3-CH340G-ESP8266-MICRO")</f>
        <v>ITBISA-NODEMCU-V3-CH340G-ESP8266-MICRO</v>
      </c>
      <c r="B8492" s="266">
        <f>IFERROR(__xludf.DUMMYFUNCTION("""COMPUTED_VALUE"""),45477.0)</f>
        <v>45477</v>
      </c>
      <c r="C8492" s="266" t="str">
        <f>IFERROR(__xludf.DUMMYFUNCTION("""COMPUTED_VALUE"""),"KYAI KONTONG")</f>
        <v>KYAI KONTONG</v>
      </c>
      <c r="D8492" s="186">
        <f>IFERROR(__xludf.DUMMYFUNCTION("""COMPUTED_VALUE"""),1.0)</f>
        <v>1</v>
      </c>
    </row>
    <row r="8493">
      <c r="A8493" s="178" t="str">
        <f>IFERROR(__xludf.DUMMYFUNCTION("""COMPUTED_VALUE"""),"ITBISA-NODEMCU-V3-CH340G-ESP8266-MICRO")</f>
        <v>ITBISA-NODEMCU-V3-CH340G-ESP8266-MICRO</v>
      </c>
      <c r="B8493" s="266">
        <f>IFERROR(__xludf.DUMMYFUNCTION("""COMPUTED_VALUE"""),45483.0)</f>
        <v>45483</v>
      </c>
      <c r="C8493" s="266" t="str">
        <f>IFERROR(__xludf.DUMMYFUNCTION("""COMPUTED_VALUE"""),"KYAI KONTONG")</f>
        <v>KYAI KONTONG</v>
      </c>
      <c r="D8493" s="186">
        <f>IFERROR(__xludf.DUMMYFUNCTION("""COMPUTED_VALUE"""),1.0)</f>
        <v>1</v>
      </c>
    </row>
    <row r="8494">
      <c r="A8494" s="178" t="str">
        <f>IFERROR(__xludf.DUMMYFUNCTION("""COMPUTED_VALUE"""),"ITBISA-NODEMCU-V3-CH340G-ESP8266-MICRO")</f>
        <v>ITBISA-NODEMCU-V3-CH340G-ESP8266-MICRO</v>
      </c>
      <c r="B8494" s="266">
        <f>IFERROR(__xludf.DUMMYFUNCTION("""COMPUTED_VALUE"""),45484.0)</f>
        <v>45484</v>
      </c>
      <c r="C8494" s="266" t="str">
        <f>IFERROR(__xludf.DUMMYFUNCTION("""COMPUTED_VALUE"""),"KYAI KONTONG")</f>
        <v>KYAI KONTONG</v>
      </c>
      <c r="D8494" s="186">
        <f>IFERROR(__xludf.DUMMYFUNCTION("""COMPUTED_VALUE"""),1.0)</f>
        <v>1</v>
      </c>
    </row>
    <row r="8495">
      <c r="A8495" s="178" t="str">
        <f>IFERROR(__xludf.DUMMYFUNCTION("""COMPUTED_VALUE"""),"ITBISA-NODEMCU-V3-CH340G-ESP8266-MICRO")</f>
        <v>ITBISA-NODEMCU-V3-CH340G-ESP8266-MICRO</v>
      </c>
      <c r="B8495" s="266">
        <f>IFERROR(__xludf.DUMMYFUNCTION("""COMPUTED_VALUE"""),45500.0)</f>
        <v>45500</v>
      </c>
      <c r="C8495" s="266" t="str">
        <f>IFERROR(__xludf.DUMMYFUNCTION("""COMPUTED_VALUE"""),"KYAI KONTONG")</f>
        <v>KYAI KONTONG</v>
      </c>
      <c r="D8495" s="186">
        <f>IFERROR(__xludf.DUMMYFUNCTION("""COMPUTED_VALUE"""),1.0)</f>
        <v>1</v>
      </c>
    </row>
    <row r="8496">
      <c r="A8496" s="178" t="str">
        <f>IFERROR(__xludf.DUMMYFUNCTION("""COMPUTED_VALUE"""),"ITBISA-NODEMCU-V3-CH340G-ESP8266-MICRO")</f>
        <v>ITBISA-NODEMCU-V3-CH340G-ESP8266-MICRO</v>
      </c>
      <c r="B8496" s="266">
        <f>IFERROR(__xludf.DUMMYFUNCTION("""COMPUTED_VALUE"""),45525.0)</f>
        <v>45525</v>
      </c>
      <c r="C8496" s="266" t="str">
        <f>IFERROR(__xludf.DUMMYFUNCTION("""COMPUTED_VALUE"""),"KYAI KONTONG")</f>
        <v>KYAI KONTONG</v>
      </c>
      <c r="D8496" s="186">
        <f>IFERROR(__xludf.DUMMYFUNCTION("""COMPUTED_VALUE"""),3.0)</f>
        <v>3</v>
      </c>
    </row>
    <row r="8497">
      <c r="A8497" s="178" t="str">
        <f>IFERROR(__xludf.DUMMYFUNCTION("""COMPUTED_VALUE"""),"ITBISA-NODEMCU-V3-CH340G-ESP8266-MICRO")</f>
        <v>ITBISA-NODEMCU-V3-CH340G-ESP8266-MICRO</v>
      </c>
      <c r="B8497" s="266">
        <f>IFERROR(__xludf.DUMMYFUNCTION("""COMPUTED_VALUE"""),45528.0)</f>
        <v>45528</v>
      </c>
      <c r="C8497" s="266" t="str">
        <f>IFERROR(__xludf.DUMMYFUNCTION("""COMPUTED_VALUE"""),"KYAI KONTONG")</f>
        <v>KYAI KONTONG</v>
      </c>
      <c r="D8497" s="186">
        <f>IFERROR(__xludf.DUMMYFUNCTION("""COMPUTED_VALUE"""),1.0)</f>
        <v>1</v>
      </c>
    </row>
    <row r="8498">
      <c r="A8498" s="178" t="str">
        <f>IFERROR(__xludf.DUMMYFUNCTION("""COMPUTED_VALUE"""),"ITBISA-NODEMCU-V3-CH340G-ESP8266-MICRO")</f>
        <v>ITBISA-NODEMCU-V3-CH340G-ESP8266-MICRO</v>
      </c>
      <c r="B8498" s="266">
        <f>IFERROR(__xludf.DUMMYFUNCTION("""COMPUTED_VALUE"""),45532.0)</f>
        <v>45532</v>
      </c>
      <c r="C8498" s="266" t="str">
        <f>IFERROR(__xludf.DUMMYFUNCTION("""COMPUTED_VALUE"""),"KYAI KONTONG")</f>
        <v>KYAI KONTONG</v>
      </c>
      <c r="D8498" s="186">
        <f>IFERROR(__xludf.DUMMYFUNCTION("""COMPUTED_VALUE"""),1.0)</f>
        <v>1</v>
      </c>
    </row>
    <row r="8499">
      <c r="A8499" s="178" t="str">
        <f>IFERROR(__xludf.DUMMYFUNCTION("""COMPUTED_VALUE"""),"ITBISA-NODEMCU-V3-CH340G-ESP8266-MICRO")</f>
        <v>ITBISA-NODEMCU-V3-CH340G-ESP8266-MICRO</v>
      </c>
      <c r="B8499" s="266">
        <f>IFERROR(__xludf.DUMMYFUNCTION("""COMPUTED_VALUE"""),45553.0)</f>
        <v>45553</v>
      </c>
      <c r="C8499" s="266" t="str">
        <f>IFERROR(__xludf.DUMMYFUNCTION("""COMPUTED_VALUE"""),"KYAI KONTONG")</f>
        <v>KYAI KONTONG</v>
      </c>
      <c r="D8499" s="186">
        <f>IFERROR(__xludf.DUMMYFUNCTION("""COMPUTED_VALUE"""),1.0)</f>
        <v>1</v>
      </c>
    </row>
    <row r="8500">
      <c r="A8500" s="178" t="str">
        <f>IFERROR(__xludf.DUMMYFUNCTION("""COMPUTED_VALUE"""),"ITBISA-NODEMCU-V3-CH340G-ESP8266-MICRO")</f>
        <v>ITBISA-NODEMCU-V3-CH340G-ESP8266-MICRO</v>
      </c>
      <c r="B8500" s="266">
        <f>IFERROR(__xludf.DUMMYFUNCTION("""COMPUTED_VALUE"""),45564.0)</f>
        <v>45564</v>
      </c>
      <c r="C8500" s="266" t="str">
        <f>IFERROR(__xludf.DUMMYFUNCTION("""COMPUTED_VALUE"""),"KERTASARI CIAMIS")</f>
        <v>KERTASARI CIAMIS</v>
      </c>
      <c r="D8500" s="186">
        <f>IFERROR(__xludf.DUMMYFUNCTION("""COMPUTED_VALUE"""),1.0)</f>
        <v>1</v>
      </c>
    </row>
    <row r="8501">
      <c r="A8501" s="178" t="str">
        <f>IFERROR(__xludf.DUMMYFUNCTION("""COMPUTED_VALUE"""),"ITBISA-NODEMCU-V3-CH340G-ESP8266-MICRO")</f>
        <v>ITBISA-NODEMCU-V3-CH340G-ESP8266-MICRO</v>
      </c>
      <c r="B8501" s="266">
        <f>IFERROR(__xludf.DUMMYFUNCTION("""COMPUTED_VALUE"""),45583.0)</f>
        <v>45583</v>
      </c>
      <c r="C8501" s="266" t="str">
        <f>IFERROR(__xludf.DUMMYFUNCTION("""COMPUTED_VALUE"""),"KERTASARI CIAMIS")</f>
        <v>KERTASARI CIAMIS</v>
      </c>
      <c r="D8501" s="186">
        <f>IFERROR(__xludf.DUMMYFUNCTION("""COMPUTED_VALUE"""),1.0)</f>
        <v>1</v>
      </c>
    </row>
    <row r="8502">
      <c r="A8502" s="178" t="str">
        <f>IFERROR(__xludf.DUMMYFUNCTION("""COMPUTED_VALUE"""),"ITBISA-NODEMCU-V3-CH340G-ESP8266-MICRO")</f>
        <v>ITBISA-NODEMCU-V3-CH340G-ESP8266-MICRO</v>
      </c>
      <c r="B8502" s="266">
        <f>IFERROR(__xludf.DUMMYFUNCTION("""COMPUTED_VALUE"""),45626.0)</f>
        <v>45626</v>
      </c>
      <c r="C8502" s="266" t="str">
        <f>IFERROR(__xludf.DUMMYFUNCTION("""COMPUTED_VALUE"""),"KERTASARI CIAMIS")</f>
        <v>KERTASARI CIAMIS</v>
      </c>
      <c r="D8502" s="186">
        <f>IFERROR(__xludf.DUMMYFUNCTION("""COMPUTED_VALUE"""),1.0)</f>
        <v>1</v>
      </c>
    </row>
    <row r="8503">
      <c r="A8503" s="178" t="str">
        <f>IFERROR(__xludf.DUMMYFUNCTION("""COMPUTED_VALUE"""),"ITBISA-NODEMCU-V3-CH340G-ESP8266-MICRO")</f>
        <v>ITBISA-NODEMCU-V3-CH340G-ESP8266-MICRO</v>
      </c>
      <c r="B8503" s="266">
        <f>IFERROR(__xludf.DUMMYFUNCTION("""COMPUTED_VALUE"""),45635.0)</f>
        <v>45635</v>
      </c>
      <c r="C8503" s="266" t="str">
        <f>IFERROR(__xludf.DUMMYFUNCTION("""COMPUTED_VALUE"""),"KYAI KONTONG")</f>
        <v>KYAI KONTONG</v>
      </c>
      <c r="D8503" s="186">
        <f>IFERROR(__xludf.DUMMYFUNCTION("""COMPUTED_VALUE"""),1.0)</f>
        <v>1</v>
      </c>
    </row>
    <row r="8504">
      <c r="A8504" s="178" t="str">
        <f>IFERROR(__xludf.DUMMYFUNCTION("""COMPUTED_VALUE"""),"ITBISA-NODEMCU-V3-CH340G-ESP8266-MICRO")</f>
        <v>ITBISA-NODEMCU-V3-CH340G-ESP8266-MICRO</v>
      </c>
      <c r="B8504" s="266">
        <f>IFERROR(__xludf.DUMMYFUNCTION("""COMPUTED_VALUE"""),45664.0)</f>
        <v>45664</v>
      </c>
      <c r="C8504" s="266" t="str">
        <f>IFERROR(__xludf.DUMMYFUNCTION("""COMPUTED_VALUE"""),"KERTASARI CIAMIS")</f>
        <v>KERTASARI CIAMIS</v>
      </c>
      <c r="D8504" s="186">
        <f>IFERROR(__xludf.DUMMYFUNCTION("""COMPUTED_VALUE"""),1.0)</f>
        <v>1</v>
      </c>
    </row>
    <row r="8505">
      <c r="A8505" s="178" t="str">
        <f>IFERROR(__xludf.DUMMYFUNCTION("""COMPUTED_VALUE"""),"ITBISA-NODEMCU-V3-CH340G-ESP8266-MICRO")</f>
        <v>ITBISA-NODEMCU-V3-CH340G-ESP8266-MICRO</v>
      </c>
      <c r="B8505" s="266">
        <f>IFERROR(__xludf.DUMMYFUNCTION("""COMPUTED_VALUE"""),45674.0)</f>
        <v>45674</v>
      </c>
      <c r="C8505" s="266" t="str">
        <f>IFERROR(__xludf.DUMMYFUNCTION("""COMPUTED_VALUE"""),"KYAI KONTONG")</f>
        <v>KYAI KONTONG</v>
      </c>
      <c r="D8505" s="186">
        <f>IFERROR(__xludf.DUMMYFUNCTION("""COMPUTED_VALUE"""),1.0)</f>
        <v>1</v>
      </c>
    </row>
    <row r="8506">
      <c r="A8506" s="178" t="str">
        <f>IFERROR(__xludf.DUMMYFUNCTION("""COMPUTED_VALUE"""),"ITBISA-NODEMCU-V3-CH340G-ESP8266-MICRO")</f>
        <v>ITBISA-NODEMCU-V3-CH340G-ESP8266-MICRO</v>
      </c>
      <c r="B8506" s="266">
        <f>IFERROR(__xludf.DUMMYFUNCTION("""COMPUTED_VALUE"""),45679.0)</f>
        <v>45679</v>
      </c>
      <c r="C8506" s="266" t="str">
        <f>IFERROR(__xludf.DUMMYFUNCTION("""COMPUTED_VALUE"""),"KYAI KONTONG")</f>
        <v>KYAI KONTONG</v>
      </c>
      <c r="D8506" s="186">
        <f>IFERROR(__xludf.DUMMYFUNCTION("""COMPUTED_VALUE"""),1.0)</f>
        <v>1</v>
      </c>
    </row>
    <row r="8507">
      <c r="A8507" s="178" t="str">
        <f>IFERROR(__xludf.DUMMYFUNCTION("""COMPUTED_VALUE"""),"ITBISA-NODEMCU-V3-CH340G-ESP8266-MICRO")</f>
        <v>ITBISA-NODEMCU-V3-CH340G-ESP8266-MICRO</v>
      </c>
      <c r="B8507" s="266">
        <f>IFERROR(__xludf.DUMMYFUNCTION("""COMPUTED_VALUE"""),45702.0)</f>
        <v>45702</v>
      </c>
      <c r="C8507" s="266" t="str">
        <f>IFERROR(__xludf.DUMMYFUNCTION("""COMPUTED_VALUE"""),"KYAI KONTONG")</f>
        <v>KYAI KONTONG</v>
      </c>
      <c r="D8507" s="186">
        <f>IFERROR(__xludf.DUMMYFUNCTION("""COMPUTED_VALUE"""),1.0)</f>
        <v>1</v>
      </c>
    </row>
    <row r="8508">
      <c r="A8508" s="178" t="str">
        <f>IFERROR(__xludf.DUMMYFUNCTION("""COMPUTED_VALUE"""),"ITBISA-NODEMCU-V3-CH340G-ESP8266-MICRO")</f>
        <v>ITBISA-NODEMCU-V3-CH340G-ESP8266-MICRO</v>
      </c>
      <c r="B8508" s="266">
        <f>IFERROR(__xludf.DUMMYFUNCTION("""COMPUTED_VALUE"""),45708.0)</f>
        <v>45708</v>
      </c>
      <c r="C8508" s="266" t="str">
        <f>IFERROR(__xludf.DUMMYFUNCTION("""COMPUTED_VALUE"""),"KYAI KONTONG")</f>
        <v>KYAI KONTONG</v>
      </c>
      <c r="D8508" s="186">
        <f>IFERROR(__xludf.DUMMYFUNCTION("""COMPUTED_VALUE"""),3.0)</f>
        <v>3</v>
      </c>
    </row>
    <row r="8509">
      <c r="A8509" s="178" t="str">
        <f>IFERROR(__xludf.DUMMYFUNCTION("""COMPUTED_VALUE"""),"ITBISA-NODEMCU-V3-CH340G-ESP8266-MICRO")</f>
        <v>ITBISA-NODEMCU-V3-CH340G-ESP8266-MICRO</v>
      </c>
      <c r="B8509" s="266">
        <f>IFERROR(__xludf.DUMMYFUNCTION("""COMPUTED_VALUE"""),45714.0)</f>
        <v>45714</v>
      </c>
      <c r="C8509" s="266" t="str">
        <f>IFERROR(__xludf.DUMMYFUNCTION("""COMPUTED_VALUE"""),"KYAI KONTONG")</f>
        <v>KYAI KONTONG</v>
      </c>
      <c r="D8509" s="186">
        <f>IFERROR(__xludf.DUMMYFUNCTION("""COMPUTED_VALUE"""),5.0)</f>
        <v>5</v>
      </c>
    </row>
    <row r="8510">
      <c r="A8510" s="178" t="str">
        <f>IFERROR(__xludf.DUMMYFUNCTION("""COMPUTED_VALUE"""),"ITBISA-NODEMCU-V3-CH340G-ESP8266-MICRO")</f>
        <v>ITBISA-NODEMCU-V3-CH340G-ESP8266-MICRO</v>
      </c>
      <c r="B8510" s="266">
        <f>IFERROR(__xludf.DUMMYFUNCTION("""COMPUTED_VALUE"""),45769.0)</f>
        <v>45769</v>
      </c>
      <c r="C8510" s="266" t="str">
        <f>IFERROR(__xludf.DUMMYFUNCTION("""COMPUTED_VALUE"""),"KERTASARI CIAMIS")</f>
        <v>KERTASARI CIAMIS</v>
      </c>
      <c r="D8510" s="186">
        <f>IFERROR(__xludf.DUMMYFUNCTION("""COMPUTED_VALUE"""),1.0)</f>
        <v>1</v>
      </c>
    </row>
    <row r="8511">
      <c r="A8511" s="178" t="str">
        <f>IFERROR(__xludf.DUMMYFUNCTION("""COMPUTED_VALUE"""),"ITBISA-NODEMCU-V3-CH340G-ESP8266-MICRO")</f>
        <v>ITBISA-NODEMCU-V3-CH340G-ESP8266-MICRO</v>
      </c>
      <c r="B8511" s="266">
        <f>IFERROR(__xludf.DUMMYFUNCTION("""COMPUTED_VALUE"""),45800.0)</f>
        <v>45800</v>
      </c>
      <c r="C8511" s="266" t="str">
        <f>IFERROR(__xludf.DUMMYFUNCTION("""COMPUTED_VALUE"""),"KYAI KONTONG")</f>
        <v>KYAI KONTONG</v>
      </c>
      <c r="D8511" s="186">
        <f>IFERROR(__xludf.DUMMYFUNCTION("""COMPUTED_VALUE"""),2.0)</f>
        <v>2</v>
      </c>
    </row>
    <row r="8512">
      <c r="A8512" s="178" t="str">
        <f>IFERROR(__xludf.DUMMYFUNCTION("""COMPUTED_VALUE"""),"ITBISA-NODEMCU-V3-CH340G-ESP8266-MICRO")</f>
        <v>ITBISA-NODEMCU-V3-CH340G-ESP8266-MICRO</v>
      </c>
      <c r="B8512" s="266">
        <f>IFERROR(__xludf.DUMMYFUNCTION("""COMPUTED_VALUE"""),45860.0)</f>
        <v>45860</v>
      </c>
      <c r="C8512" s="266" t="str">
        <f>IFERROR(__xludf.DUMMYFUNCTION("""COMPUTED_VALUE"""),"KYAI KONTONG")</f>
        <v>KYAI KONTONG</v>
      </c>
      <c r="D8512" s="186">
        <f>IFERROR(__xludf.DUMMYFUNCTION("""COMPUTED_VALUE"""),1.0)</f>
        <v>1</v>
      </c>
    </row>
    <row r="8513">
      <c r="A8513" s="178" t="str">
        <f>IFERROR(__xludf.DUMMYFUNCTION("""COMPUTED_VALUE"""),"ITBISA-NODEMCU-V3-CH340G-ESP8266-MICRO")</f>
        <v>ITBISA-NODEMCU-V3-CH340G-ESP8266-MICRO</v>
      </c>
      <c r="B8513" s="266">
        <f>IFERROR(__xludf.DUMMYFUNCTION("""COMPUTED_VALUE"""),45905.0)</f>
        <v>45905</v>
      </c>
      <c r="C8513" s="266" t="str">
        <f>IFERROR(__xludf.DUMMYFUNCTION("""COMPUTED_VALUE"""),"KYAI KONTONG")</f>
        <v>KYAI KONTONG</v>
      </c>
      <c r="D8513" s="186">
        <f>IFERROR(__xludf.DUMMYFUNCTION("""COMPUTED_VALUE"""),1.0)</f>
        <v>1</v>
      </c>
    </row>
    <row r="8514">
      <c r="A8514" s="178" t="str">
        <f>IFERROR(__xludf.DUMMYFUNCTION("""COMPUTED_VALUE"""),"ITBISA-NODEMCU-V3-CH340G-ESP8266-MICRO")</f>
        <v>ITBISA-NODEMCU-V3-CH340G-ESP8266-MICRO</v>
      </c>
      <c r="B8514" s="266">
        <f>IFERROR(__xludf.DUMMYFUNCTION("""COMPUTED_VALUE"""),46000.0)</f>
        <v>46000</v>
      </c>
      <c r="C8514" s="266" t="str">
        <f>IFERROR(__xludf.DUMMYFUNCTION("""COMPUTED_VALUE"""),"KERTASARI CIAMIS")</f>
        <v>KERTASARI CIAMIS</v>
      </c>
      <c r="D8514" s="186">
        <f>IFERROR(__xludf.DUMMYFUNCTION("""COMPUTED_VALUE"""),1.0)</f>
        <v>1</v>
      </c>
    </row>
    <row r="8515">
      <c r="A8515" s="178" t="str">
        <f>IFERROR(__xludf.DUMMYFUNCTION("""COMPUTED_VALUE"""),"ITBISA-NPN-2N2222-TO92")</f>
        <v>ITBISA-NPN-2N2222-TO92</v>
      </c>
      <c r="B8515" s="266">
        <f>IFERROR(__xludf.DUMMYFUNCTION("""COMPUTED_VALUE"""),43529.0)</f>
        <v>43529</v>
      </c>
      <c r="C8515" s="266" t="str">
        <f>IFERROR(__xludf.DUMMYFUNCTION("""COMPUTED_VALUE"""),"AVRG ITB")</f>
        <v>AVRG ITB</v>
      </c>
      <c r="D8515" s="186">
        <f>IFERROR(__xludf.DUMMYFUNCTION("""COMPUTED_VALUE"""),100.0)</f>
        <v>100</v>
      </c>
    </row>
    <row r="8516">
      <c r="A8516" s="178" t="str">
        <f>IFERROR(__xludf.DUMMYFUNCTION("""COMPUTED_VALUE"""),"ITBISA-NPN-2N2222-TO92")</f>
        <v>ITBISA-NPN-2N2222-TO92</v>
      </c>
      <c r="B8516" s="266">
        <f>IFERROR(__xludf.DUMMYFUNCTION("""COMPUTED_VALUE"""),43536.0)</f>
        <v>43536</v>
      </c>
      <c r="C8516" s="266" t="str">
        <f>IFERROR(__xludf.DUMMYFUNCTION("""COMPUTED_VALUE"""),"AVRG ITB")</f>
        <v>AVRG ITB</v>
      </c>
      <c r="D8516" s="186">
        <f>IFERROR(__xludf.DUMMYFUNCTION("""COMPUTED_VALUE"""),20.0)</f>
        <v>20</v>
      </c>
    </row>
    <row r="8517">
      <c r="A8517" s="178" t="str">
        <f>IFERROR(__xludf.DUMMYFUNCTION("""COMPUTED_VALUE"""),"ITBISA-NPN-2N2222-TO92")</f>
        <v>ITBISA-NPN-2N2222-TO92</v>
      </c>
      <c r="B8517" s="266">
        <f>IFERROR(__xludf.DUMMYFUNCTION("""COMPUTED_VALUE"""),43536.0)</f>
        <v>43536</v>
      </c>
      <c r="C8517" s="266" t="str">
        <f>IFERROR(__xludf.DUMMYFUNCTION("""COMPUTED_VALUE"""),"AVRG ITB")</f>
        <v>AVRG ITB</v>
      </c>
      <c r="D8517" s="186">
        <f>IFERROR(__xludf.DUMMYFUNCTION("""COMPUTED_VALUE"""),90.0)</f>
        <v>90</v>
      </c>
    </row>
    <row r="8518">
      <c r="A8518" s="178" t="str">
        <f>IFERROR(__xludf.DUMMYFUNCTION("""COMPUTED_VALUE"""),"ITBISA-NPN-2N2222-TO92")</f>
        <v>ITBISA-NPN-2N2222-TO92</v>
      </c>
      <c r="B8518" s="266">
        <f>IFERROR(__xludf.DUMMYFUNCTION("""COMPUTED_VALUE"""),43544.0)</f>
        <v>43544</v>
      </c>
      <c r="C8518" s="266" t="str">
        <f>IFERROR(__xludf.DUMMYFUNCTION("""COMPUTED_VALUE"""),"AVRG ITB")</f>
        <v>AVRG ITB</v>
      </c>
      <c r="D8518" s="186">
        <f>IFERROR(__xludf.DUMMYFUNCTION("""COMPUTED_VALUE"""),50.0)</f>
        <v>50</v>
      </c>
    </row>
    <row r="8519">
      <c r="A8519" s="178" t="str">
        <f>IFERROR(__xludf.DUMMYFUNCTION("""COMPUTED_VALUE"""),"ITBISA-NPN-2N2222-TO92")</f>
        <v>ITBISA-NPN-2N2222-TO92</v>
      </c>
      <c r="B8519" s="266">
        <f>IFERROR(__xludf.DUMMYFUNCTION("""COMPUTED_VALUE"""),43553.0)</f>
        <v>43553</v>
      </c>
      <c r="C8519" s="266" t="str">
        <f>IFERROR(__xludf.DUMMYFUNCTION("""COMPUTED_VALUE"""),"AVRG ITB")</f>
        <v>AVRG ITB</v>
      </c>
      <c r="D8519" s="186">
        <f>IFERROR(__xludf.DUMMYFUNCTION("""COMPUTED_VALUE"""),20.0)</f>
        <v>20</v>
      </c>
    </row>
    <row r="8520">
      <c r="A8520" s="178" t="str">
        <f>IFERROR(__xludf.DUMMYFUNCTION("""COMPUTED_VALUE"""),"ITBISA-NPN-2N2222-TO92")</f>
        <v>ITBISA-NPN-2N2222-TO92</v>
      </c>
      <c r="B8520" s="266">
        <f>IFERROR(__xludf.DUMMYFUNCTION("""COMPUTED_VALUE"""),43554.0)</f>
        <v>43554</v>
      </c>
      <c r="C8520" s="266" t="str">
        <f>IFERROR(__xludf.DUMMYFUNCTION("""COMPUTED_VALUE"""),"AVRG ITB")</f>
        <v>AVRG ITB</v>
      </c>
      <c r="D8520" s="186">
        <f>IFERROR(__xludf.DUMMYFUNCTION("""COMPUTED_VALUE"""),125.0)</f>
        <v>125</v>
      </c>
    </row>
    <row r="8521">
      <c r="A8521" s="178" t="str">
        <f>IFERROR(__xludf.DUMMYFUNCTION("""COMPUTED_VALUE"""),"ITBISA-NPN-2N2222-TO92")</f>
        <v>ITBISA-NPN-2N2222-TO92</v>
      </c>
      <c r="B8521" s="266">
        <f>IFERROR(__xludf.DUMMYFUNCTION("""COMPUTED_VALUE"""),43566.0)</f>
        <v>43566</v>
      </c>
      <c r="C8521" s="266" t="str">
        <f>IFERROR(__xludf.DUMMYFUNCTION("""COMPUTED_VALUE"""),"AVRG ITB")</f>
        <v>AVRG ITB</v>
      </c>
      <c r="D8521" s="186">
        <f>IFERROR(__xludf.DUMMYFUNCTION("""COMPUTED_VALUE"""),182.0)</f>
        <v>182</v>
      </c>
    </row>
    <row r="8522">
      <c r="A8522" s="178" t="str">
        <f>IFERROR(__xludf.DUMMYFUNCTION("""COMPUTED_VALUE"""),"ITBISA-NPN-2N2222-TO92")</f>
        <v>ITBISA-NPN-2N2222-TO92</v>
      </c>
      <c r="B8522" s="266">
        <f>IFERROR(__xludf.DUMMYFUNCTION("""COMPUTED_VALUE"""),43568.0)</f>
        <v>43568</v>
      </c>
      <c r="C8522" s="266" t="str">
        <f>IFERROR(__xludf.DUMMYFUNCTION("""COMPUTED_VALUE"""),"AVRG ITB")</f>
        <v>AVRG ITB</v>
      </c>
      <c r="D8522" s="186">
        <f>IFERROR(__xludf.DUMMYFUNCTION("""COMPUTED_VALUE"""),200.0)</f>
        <v>200</v>
      </c>
    </row>
    <row r="8523">
      <c r="A8523" s="178" t="str">
        <f>IFERROR(__xludf.DUMMYFUNCTION("""COMPUTED_VALUE"""),"ITBISA-NPN-2N2222-TO92")</f>
        <v>ITBISA-NPN-2N2222-TO92</v>
      </c>
      <c r="B8523" s="266">
        <f>IFERROR(__xludf.DUMMYFUNCTION("""COMPUTED_VALUE"""),43577.0)</f>
        <v>43577</v>
      </c>
      <c r="C8523" s="266" t="str">
        <f>IFERROR(__xludf.DUMMYFUNCTION("""COMPUTED_VALUE"""),"AVRG ITB")</f>
        <v>AVRG ITB</v>
      </c>
      <c r="D8523" s="186">
        <f>IFERROR(__xludf.DUMMYFUNCTION("""COMPUTED_VALUE"""),200.0)</f>
        <v>200</v>
      </c>
    </row>
    <row r="8524">
      <c r="A8524" s="178" t="str">
        <f>IFERROR(__xludf.DUMMYFUNCTION("""COMPUTED_VALUE"""),"ITBISA-NPN-2N2222-TO92")</f>
        <v>ITBISA-NPN-2N2222-TO92</v>
      </c>
      <c r="B8524" s="266">
        <f>IFERROR(__xludf.DUMMYFUNCTION("""COMPUTED_VALUE"""),43578.0)</f>
        <v>43578</v>
      </c>
      <c r="C8524" s="266" t="str">
        <f>IFERROR(__xludf.DUMMYFUNCTION("""COMPUTED_VALUE"""),"AVRG ITB")</f>
        <v>AVRG ITB</v>
      </c>
      <c r="D8524" s="186">
        <f>IFERROR(__xludf.DUMMYFUNCTION("""COMPUTED_VALUE"""),15.0)</f>
        <v>15</v>
      </c>
    </row>
    <row r="8525">
      <c r="A8525" s="178" t="str">
        <f>IFERROR(__xludf.DUMMYFUNCTION("""COMPUTED_VALUE"""),"ITBISA-NPN-2N2222-TO92")</f>
        <v>ITBISA-NPN-2N2222-TO92</v>
      </c>
      <c r="B8525" s="266">
        <f>IFERROR(__xludf.DUMMYFUNCTION("""COMPUTED_VALUE"""),43592.0)</f>
        <v>43592</v>
      </c>
      <c r="C8525" s="266" t="str">
        <f>IFERROR(__xludf.DUMMYFUNCTION("""COMPUTED_VALUE"""),"AVRG ITB")</f>
        <v>AVRG ITB</v>
      </c>
      <c r="D8525" s="186">
        <f>IFERROR(__xludf.DUMMYFUNCTION("""COMPUTED_VALUE"""),30.0)</f>
        <v>30</v>
      </c>
    </row>
    <row r="8526">
      <c r="A8526" s="178" t="str">
        <f>IFERROR(__xludf.DUMMYFUNCTION("""COMPUTED_VALUE"""),"ITBISA-NPN-2N2222-TO92")</f>
        <v>ITBISA-NPN-2N2222-TO92</v>
      </c>
      <c r="B8526" s="266">
        <f>IFERROR(__xludf.DUMMYFUNCTION("""COMPUTED_VALUE"""),43596.0)</f>
        <v>43596</v>
      </c>
      <c r="C8526" s="266" t="str">
        <f>IFERROR(__xludf.DUMMYFUNCTION("""COMPUTED_VALUE"""),"AVRG ITB")</f>
        <v>AVRG ITB</v>
      </c>
      <c r="D8526" s="186">
        <f>IFERROR(__xludf.DUMMYFUNCTION("""COMPUTED_VALUE"""),2.0)</f>
        <v>2</v>
      </c>
    </row>
    <row r="8527">
      <c r="A8527" s="178" t="str">
        <f>IFERROR(__xludf.DUMMYFUNCTION("""COMPUTED_VALUE"""),"ITBISA-NPN-2N2222-TO92")</f>
        <v>ITBISA-NPN-2N2222-TO92</v>
      </c>
      <c r="B8527" s="266">
        <f>IFERROR(__xludf.DUMMYFUNCTION("""COMPUTED_VALUE"""),43602.0)</f>
        <v>43602</v>
      </c>
      <c r="C8527" s="266" t="str">
        <f>IFERROR(__xludf.DUMMYFUNCTION("""COMPUTED_VALUE"""),"RUMAH MUZAKKI")</f>
        <v>RUMAH MUZAKKI</v>
      </c>
      <c r="D8527" s="186">
        <f>IFERROR(__xludf.DUMMYFUNCTION("""COMPUTED_VALUE"""),100.0)</f>
        <v>100</v>
      </c>
    </row>
    <row r="8528">
      <c r="A8528" s="178" t="str">
        <f>IFERROR(__xludf.DUMMYFUNCTION("""COMPUTED_VALUE"""),"ITBISA-NPN-2N2222-TO92")</f>
        <v>ITBISA-NPN-2N2222-TO92</v>
      </c>
      <c r="B8528" s="266">
        <f>IFERROR(__xludf.DUMMYFUNCTION("""COMPUTED_VALUE"""),43641.0)</f>
        <v>43641</v>
      </c>
      <c r="C8528" s="266" t="str">
        <f>IFERROR(__xludf.DUMMYFUNCTION("""COMPUTED_VALUE"""),"RUMAH MUZAKKI")</f>
        <v>RUMAH MUZAKKI</v>
      </c>
      <c r="D8528" s="186">
        <f>IFERROR(__xludf.DUMMYFUNCTION("""COMPUTED_VALUE"""),5.0)</f>
        <v>5</v>
      </c>
    </row>
    <row r="8529">
      <c r="A8529" s="178" t="str">
        <f>IFERROR(__xludf.DUMMYFUNCTION("""COMPUTED_VALUE"""),"ITBISA-NPN-2N2222-TO92")</f>
        <v>ITBISA-NPN-2N2222-TO92</v>
      </c>
      <c r="B8529" s="266">
        <f>IFERROR(__xludf.DUMMYFUNCTION("""COMPUTED_VALUE"""),43652.0)</f>
        <v>43652</v>
      </c>
      <c r="C8529" s="266" t="str">
        <f>IFERROR(__xludf.DUMMYFUNCTION("""COMPUTED_VALUE"""),"RUMAH MUZAKKI")</f>
        <v>RUMAH MUZAKKI</v>
      </c>
      <c r="D8529" s="186">
        <f>IFERROR(__xludf.DUMMYFUNCTION("""COMPUTED_VALUE"""),4.0)</f>
        <v>4</v>
      </c>
    </row>
    <row r="8530">
      <c r="A8530" s="178" t="str">
        <f>IFERROR(__xludf.DUMMYFUNCTION("""COMPUTED_VALUE"""),"ITBISA-NPN-2N2222-TO92")</f>
        <v>ITBISA-NPN-2N2222-TO92</v>
      </c>
      <c r="B8530" s="266">
        <f>IFERROR(__xludf.DUMMYFUNCTION("""COMPUTED_VALUE"""),43732.0)</f>
        <v>43732</v>
      </c>
      <c r="C8530" s="266" t="str">
        <f>IFERROR(__xludf.DUMMYFUNCTION("""COMPUTED_VALUE"""),"RUMAH MUZAKKI")</f>
        <v>RUMAH MUZAKKI</v>
      </c>
      <c r="D8530" s="186">
        <f>IFERROR(__xludf.DUMMYFUNCTION("""COMPUTED_VALUE"""),10.0)</f>
        <v>10</v>
      </c>
    </row>
    <row r="8531">
      <c r="A8531" s="178" t="str">
        <f>IFERROR(__xludf.DUMMYFUNCTION("""COMPUTED_VALUE"""),"ITBISA-NPN-2N2222-TO92")</f>
        <v>ITBISA-NPN-2N2222-TO92</v>
      </c>
      <c r="B8531" s="266">
        <f>IFERROR(__xludf.DUMMYFUNCTION("""COMPUTED_VALUE"""),43733.0)</f>
        <v>43733</v>
      </c>
      <c r="C8531" s="266" t="str">
        <f>IFERROR(__xludf.DUMMYFUNCTION("""COMPUTED_VALUE"""),"RUMAH MUZAKKI")</f>
        <v>RUMAH MUZAKKI</v>
      </c>
      <c r="D8531" s="186">
        <f>IFERROR(__xludf.DUMMYFUNCTION("""COMPUTED_VALUE"""),1.0)</f>
        <v>1</v>
      </c>
    </row>
    <row r="8532">
      <c r="A8532" s="178" t="str">
        <f>IFERROR(__xludf.DUMMYFUNCTION("""COMPUTED_VALUE"""),"ITBISA-NPN-2N2222-TO92")</f>
        <v>ITBISA-NPN-2N2222-TO92</v>
      </c>
      <c r="B8532" s="266">
        <f>IFERROR(__xludf.DUMMYFUNCTION("""COMPUTED_VALUE"""),43740.0)</f>
        <v>43740</v>
      </c>
      <c r="C8532" s="266" t="str">
        <f>IFERROR(__xludf.DUMMYFUNCTION("""COMPUTED_VALUE"""),"RUMAH MUZAKKI")</f>
        <v>RUMAH MUZAKKI</v>
      </c>
      <c r="D8532" s="186">
        <f>IFERROR(__xludf.DUMMYFUNCTION("""COMPUTED_VALUE"""),15.0)</f>
        <v>15</v>
      </c>
    </row>
    <row r="8533">
      <c r="A8533" s="178" t="str">
        <f>IFERROR(__xludf.DUMMYFUNCTION("""COMPUTED_VALUE"""),"ITBISA-NPN-2N2222-TO92")</f>
        <v>ITBISA-NPN-2N2222-TO92</v>
      </c>
      <c r="B8533" s="266">
        <f>IFERROR(__xludf.DUMMYFUNCTION("""COMPUTED_VALUE"""),43743.0)</f>
        <v>43743</v>
      </c>
      <c r="C8533" s="266" t="str">
        <f>IFERROR(__xludf.DUMMYFUNCTION("""COMPUTED_VALUE"""),"RUMAH MUZAKKI")</f>
        <v>RUMAH MUZAKKI</v>
      </c>
      <c r="D8533" s="186">
        <f>IFERROR(__xludf.DUMMYFUNCTION("""COMPUTED_VALUE"""),50.0)</f>
        <v>50</v>
      </c>
    </row>
    <row r="8534">
      <c r="A8534" s="178" t="str">
        <f>IFERROR(__xludf.DUMMYFUNCTION("""COMPUTED_VALUE"""),"ITBISA-NPN-2N2222-TO92")</f>
        <v>ITBISA-NPN-2N2222-TO92</v>
      </c>
      <c r="B8534" s="266">
        <f>IFERROR(__xludf.DUMMYFUNCTION("""COMPUTED_VALUE"""),43752.0)</f>
        <v>43752</v>
      </c>
      <c r="C8534" s="266" t="str">
        <f>IFERROR(__xludf.DUMMYFUNCTION("""COMPUTED_VALUE"""),"RUMAH MUZAKKI")</f>
        <v>RUMAH MUZAKKI</v>
      </c>
      <c r="D8534" s="186">
        <f>IFERROR(__xludf.DUMMYFUNCTION("""COMPUTED_VALUE"""),2.0)</f>
        <v>2</v>
      </c>
    </row>
    <row r="8535">
      <c r="A8535" s="178" t="str">
        <f>IFERROR(__xludf.DUMMYFUNCTION("""COMPUTED_VALUE"""),"ITBISA-NPN-2N2222-TO92")</f>
        <v>ITBISA-NPN-2N2222-TO92</v>
      </c>
      <c r="B8535" s="266">
        <f>IFERROR(__xludf.DUMMYFUNCTION("""COMPUTED_VALUE"""),43753.0)</f>
        <v>43753</v>
      </c>
      <c r="C8535" s="266" t="str">
        <f>IFERROR(__xludf.DUMMYFUNCTION("""COMPUTED_VALUE"""),"RUMAH MUZAKKI")</f>
        <v>RUMAH MUZAKKI</v>
      </c>
      <c r="D8535" s="186">
        <f>IFERROR(__xludf.DUMMYFUNCTION("""COMPUTED_VALUE"""),1.0)</f>
        <v>1</v>
      </c>
    </row>
    <row r="8536">
      <c r="A8536" s="178" t="str">
        <f>IFERROR(__xludf.DUMMYFUNCTION("""COMPUTED_VALUE"""),"ITBISA-NPN-2N2222-TO92")</f>
        <v>ITBISA-NPN-2N2222-TO92</v>
      </c>
      <c r="B8536" s="266">
        <f>IFERROR(__xludf.DUMMYFUNCTION("""COMPUTED_VALUE"""),43757.0)</f>
        <v>43757</v>
      </c>
      <c r="C8536" s="266" t="str">
        <f>IFERROR(__xludf.DUMMYFUNCTION("""COMPUTED_VALUE"""),"RUMAH MUZAKKI")</f>
        <v>RUMAH MUZAKKI</v>
      </c>
      <c r="D8536" s="186">
        <f>IFERROR(__xludf.DUMMYFUNCTION("""COMPUTED_VALUE"""),2.0)</f>
        <v>2</v>
      </c>
    </row>
    <row r="8537">
      <c r="A8537" s="178" t="str">
        <f>IFERROR(__xludf.DUMMYFUNCTION("""COMPUTED_VALUE"""),"ITBISA-NPN-2N2222-TO92")</f>
        <v>ITBISA-NPN-2N2222-TO92</v>
      </c>
      <c r="B8537" s="266">
        <f>IFERROR(__xludf.DUMMYFUNCTION("""COMPUTED_VALUE"""),43759.0)</f>
        <v>43759</v>
      </c>
      <c r="C8537" s="266" t="str">
        <f>IFERROR(__xludf.DUMMYFUNCTION("""COMPUTED_VALUE"""),"RUMAH MUZAKKI")</f>
        <v>RUMAH MUZAKKI</v>
      </c>
      <c r="D8537" s="186">
        <f>IFERROR(__xludf.DUMMYFUNCTION("""COMPUTED_VALUE"""),50.0)</f>
        <v>50</v>
      </c>
    </row>
    <row r="8538">
      <c r="A8538" s="178" t="str">
        <f>IFERROR(__xludf.DUMMYFUNCTION("""COMPUTED_VALUE"""),"ITBISA-NPN-2N2222-TO92")</f>
        <v>ITBISA-NPN-2N2222-TO92</v>
      </c>
      <c r="B8538" s="266">
        <f>IFERROR(__xludf.DUMMYFUNCTION("""COMPUTED_VALUE"""),43763.0)</f>
        <v>43763</v>
      </c>
      <c r="C8538" s="266" t="str">
        <f>IFERROR(__xludf.DUMMYFUNCTION("""COMPUTED_VALUE"""),"RUMAH MUZAKKI")</f>
        <v>RUMAH MUZAKKI</v>
      </c>
      <c r="D8538" s="186">
        <f>IFERROR(__xludf.DUMMYFUNCTION("""COMPUTED_VALUE"""),30.0)</f>
        <v>30</v>
      </c>
    </row>
    <row r="8539">
      <c r="A8539" s="178" t="str">
        <f>IFERROR(__xludf.DUMMYFUNCTION("""COMPUTED_VALUE"""),"ITBISA-NPN-2N2222-TO92")</f>
        <v>ITBISA-NPN-2N2222-TO92</v>
      </c>
      <c r="B8539" s="266">
        <f>IFERROR(__xludf.DUMMYFUNCTION("""COMPUTED_VALUE"""),43785.0)</f>
        <v>43785</v>
      </c>
      <c r="C8539" s="266" t="str">
        <f>IFERROR(__xludf.DUMMYFUNCTION("""COMPUTED_VALUE"""),"RUMAH MUZAKKI")</f>
        <v>RUMAH MUZAKKI</v>
      </c>
      <c r="D8539" s="186">
        <f>IFERROR(__xludf.DUMMYFUNCTION("""COMPUTED_VALUE"""),10.0)</f>
        <v>10</v>
      </c>
    </row>
    <row r="8540">
      <c r="A8540" s="178" t="str">
        <f>IFERROR(__xludf.DUMMYFUNCTION("""COMPUTED_VALUE"""),"ITBISA-NPN-2N2222-TO92")</f>
        <v>ITBISA-NPN-2N2222-TO92</v>
      </c>
      <c r="B8540" s="266">
        <f>IFERROR(__xludf.DUMMYFUNCTION("""COMPUTED_VALUE"""),43791.0)</f>
        <v>43791</v>
      </c>
      <c r="C8540" s="266" t="str">
        <f>IFERROR(__xludf.DUMMYFUNCTION("""COMPUTED_VALUE"""),"RUMAH MUZAKKI")</f>
        <v>RUMAH MUZAKKI</v>
      </c>
      <c r="D8540" s="186">
        <f>IFERROR(__xludf.DUMMYFUNCTION("""COMPUTED_VALUE"""),1.0)</f>
        <v>1</v>
      </c>
    </row>
    <row r="8541">
      <c r="A8541" s="178" t="str">
        <f>IFERROR(__xludf.DUMMYFUNCTION("""COMPUTED_VALUE"""),"ITBISA-NPN-2N2222-TO92")</f>
        <v>ITBISA-NPN-2N2222-TO92</v>
      </c>
      <c r="B8541" s="266">
        <f>IFERROR(__xludf.DUMMYFUNCTION("""COMPUTED_VALUE"""),43797.0)</f>
        <v>43797</v>
      </c>
      <c r="C8541" s="266" t="str">
        <f>IFERROR(__xludf.DUMMYFUNCTION("""COMPUTED_VALUE"""),"RUMAH MUZAKKI")</f>
        <v>RUMAH MUZAKKI</v>
      </c>
      <c r="D8541" s="186">
        <f>IFERROR(__xludf.DUMMYFUNCTION("""COMPUTED_VALUE"""),5.0)</f>
        <v>5</v>
      </c>
    </row>
    <row r="8542">
      <c r="A8542" s="178" t="str">
        <f>IFERROR(__xludf.DUMMYFUNCTION("""COMPUTED_VALUE"""),"ITBISA-NPN-2N2222-TO92")</f>
        <v>ITBISA-NPN-2N2222-TO92</v>
      </c>
      <c r="B8542" s="266">
        <f>IFERROR(__xludf.DUMMYFUNCTION("""COMPUTED_VALUE"""),43813.0)</f>
        <v>43813</v>
      </c>
      <c r="C8542" s="266" t="str">
        <f>IFERROR(__xludf.DUMMYFUNCTION("""COMPUTED_VALUE"""),"AVRG ITB")</f>
        <v>AVRG ITB</v>
      </c>
      <c r="D8542" s="186">
        <f>IFERROR(__xludf.DUMMYFUNCTION("""COMPUTED_VALUE"""),50.0)</f>
        <v>50</v>
      </c>
    </row>
    <row r="8543">
      <c r="A8543" s="178" t="str">
        <f>IFERROR(__xludf.DUMMYFUNCTION("""COMPUTED_VALUE"""),"ITBISA-NPN-2N2222-TO92")</f>
        <v>ITBISA-NPN-2N2222-TO92</v>
      </c>
      <c r="B8543" s="266">
        <f>IFERROR(__xludf.DUMMYFUNCTION("""COMPUTED_VALUE"""),43817.0)</f>
        <v>43817</v>
      </c>
      <c r="C8543" s="266" t="str">
        <f>IFERROR(__xludf.DUMMYFUNCTION("""COMPUTED_VALUE"""),"AVRG ITB")</f>
        <v>AVRG ITB</v>
      </c>
      <c r="D8543" s="186">
        <f>IFERROR(__xludf.DUMMYFUNCTION("""COMPUTED_VALUE"""),100.0)</f>
        <v>100</v>
      </c>
    </row>
    <row r="8544">
      <c r="A8544" s="178" t="str">
        <f>IFERROR(__xludf.DUMMYFUNCTION("""COMPUTED_VALUE"""),"ITBISA-NPN-2N2222-TO92")</f>
        <v>ITBISA-NPN-2N2222-TO92</v>
      </c>
      <c r="B8544" s="266">
        <f>IFERROR(__xludf.DUMMYFUNCTION("""COMPUTED_VALUE"""),43837.0)</f>
        <v>43837</v>
      </c>
      <c r="C8544" s="266" t="str">
        <f>IFERROR(__xludf.DUMMYFUNCTION("""COMPUTED_VALUE"""),"AVRG ITB")</f>
        <v>AVRG ITB</v>
      </c>
      <c r="D8544" s="186">
        <f>IFERROR(__xludf.DUMMYFUNCTION("""COMPUTED_VALUE"""),1000.0)</f>
        <v>1000</v>
      </c>
    </row>
    <row r="8545">
      <c r="A8545" s="178" t="str">
        <f>IFERROR(__xludf.DUMMYFUNCTION("""COMPUTED_VALUE"""),"ITBISA-NPN-2N2222-TO92")</f>
        <v>ITBISA-NPN-2N2222-TO92</v>
      </c>
      <c r="B8545" s="266">
        <f>IFERROR(__xludf.DUMMYFUNCTION("""COMPUTED_VALUE"""),43849.0)</f>
        <v>43849</v>
      </c>
      <c r="C8545" s="266" t="str">
        <f>IFERROR(__xludf.DUMMYFUNCTION("""COMPUTED_VALUE"""),"AVRG ITB")</f>
        <v>AVRG ITB</v>
      </c>
      <c r="D8545" s="186">
        <f>IFERROR(__xludf.DUMMYFUNCTION("""COMPUTED_VALUE"""),10.0)</f>
        <v>10</v>
      </c>
    </row>
    <row r="8546">
      <c r="A8546" s="178" t="str">
        <f>IFERROR(__xludf.DUMMYFUNCTION("""COMPUTED_VALUE"""),"ITBISA-NPN-2N2222-TO92")</f>
        <v>ITBISA-NPN-2N2222-TO92</v>
      </c>
      <c r="B8546" s="266">
        <f>IFERROR(__xludf.DUMMYFUNCTION("""COMPUTED_VALUE"""),43926.0)</f>
        <v>43926</v>
      </c>
      <c r="C8546" s="266" t="str">
        <f>IFERROR(__xludf.DUMMYFUNCTION("""COMPUTED_VALUE"""),"KAETOBO RESIDENCE")</f>
        <v>KAETOBO RESIDENCE</v>
      </c>
      <c r="D8546" s="186">
        <f>IFERROR(__xludf.DUMMYFUNCTION("""COMPUTED_VALUE"""),1000.0)</f>
        <v>1000</v>
      </c>
    </row>
    <row r="8547">
      <c r="A8547" s="178" t="str">
        <f>IFERROR(__xludf.DUMMYFUNCTION("""COMPUTED_VALUE"""),"ITBISA-NPN-2N2222-TO92")</f>
        <v>ITBISA-NPN-2N2222-TO92</v>
      </c>
      <c r="B8547" s="266">
        <f>IFERROR(__xludf.DUMMYFUNCTION("""COMPUTED_VALUE"""),43927.0)</f>
        <v>43927</v>
      </c>
      <c r="C8547" s="266" t="str">
        <f>IFERROR(__xludf.DUMMYFUNCTION("""COMPUTED_VALUE"""),"KAETOBO RESIDENCE")</f>
        <v>KAETOBO RESIDENCE</v>
      </c>
      <c r="D8547" s="186">
        <f>IFERROR(__xludf.DUMMYFUNCTION("""COMPUTED_VALUE"""),500.0)</f>
        <v>500</v>
      </c>
    </row>
    <row r="8548">
      <c r="A8548" s="178" t="str">
        <f>IFERROR(__xludf.DUMMYFUNCTION("""COMPUTED_VALUE"""),"ITBISA-NPN-2N2222-TO92")</f>
        <v>ITBISA-NPN-2N2222-TO92</v>
      </c>
      <c r="B8548" s="266">
        <f>IFERROR(__xludf.DUMMYFUNCTION("""COMPUTED_VALUE"""),43929.0)</f>
        <v>43929</v>
      </c>
      <c r="C8548" s="266" t="str">
        <f>IFERROR(__xludf.DUMMYFUNCTION("""COMPUTED_VALUE"""),"KAETOBO RESIDENCE")</f>
        <v>KAETOBO RESIDENCE</v>
      </c>
      <c r="D8548" s="186">
        <f>IFERROR(__xludf.DUMMYFUNCTION("""COMPUTED_VALUE"""),650.0)</f>
        <v>650</v>
      </c>
    </row>
    <row r="8549">
      <c r="A8549" s="178" t="str">
        <f>IFERROR(__xludf.DUMMYFUNCTION("""COMPUTED_VALUE"""),"ITBISA-NPN-2N2222-TO92")</f>
        <v>ITBISA-NPN-2N2222-TO92</v>
      </c>
      <c r="B8549" s="266">
        <f>IFERROR(__xludf.DUMMYFUNCTION("""COMPUTED_VALUE"""),43955.0)</f>
        <v>43955</v>
      </c>
      <c r="C8549" s="266" t="str">
        <f>IFERROR(__xludf.DUMMYFUNCTION("""COMPUTED_VALUE"""),"KAETOBO RESIDENCE")</f>
        <v>KAETOBO RESIDENCE</v>
      </c>
      <c r="D8549" s="186">
        <f>IFERROR(__xludf.DUMMYFUNCTION("""COMPUTED_VALUE"""),100.0)</f>
        <v>100</v>
      </c>
    </row>
    <row r="8550">
      <c r="A8550" s="178" t="str">
        <f>IFERROR(__xludf.DUMMYFUNCTION("""COMPUTED_VALUE"""),"ITBISA-NPN-2N2222-TO92")</f>
        <v>ITBISA-NPN-2N2222-TO92</v>
      </c>
      <c r="B8550" s="266">
        <f>IFERROR(__xludf.DUMMYFUNCTION("""COMPUTED_VALUE"""),43968.0)</f>
        <v>43968</v>
      </c>
      <c r="C8550" s="266" t="str">
        <f>IFERROR(__xludf.DUMMYFUNCTION("""COMPUTED_VALUE"""),"KAETOBO RESIDENCE")</f>
        <v>KAETOBO RESIDENCE</v>
      </c>
      <c r="D8550" s="186">
        <f>IFERROR(__xludf.DUMMYFUNCTION("""COMPUTED_VALUE"""),100.0)</f>
        <v>100</v>
      </c>
    </row>
    <row r="8551">
      <c r="A8551" s="178" t="str">
        <f>IFERROR(__xludf.DUMMYFUNCTION("""COMPUTED_VALUE"""),"ITBISA-NPN-2N2222-TO92")</f>
        <v>ITBISA-NPN-2N2222-TO92</v>
      </c>
      <c r="B8551" s="266">
        <f>IFERROR(__xludf.DUMMYFUNCTION("""COMPUTED_VALUE"""),43978.0)</f>
        <v>43978</v>
      </c>
      <c r="C8551" s="266" t="str">
        <f>IFERROR(__xludf.DUMMYFUNCTION("""COMPUTED_VALUE"""),"KAETOBO RESIDENCE")</f>
        <v>KAETOBO RESIDENCE</v>
      </c>
      <c r="D8551" s="186">
        <f>IFERROR(__xludf.DUMMYFUNCTION("""COMPUTED_VALUE"""),200.0)</f>
        <v>200</v>
      </c>
    </row>
    <row r="8552">
      <c r="A8552" s="178" t="str">
        <f>IFERROR(__xludf.DUMMYFUNCTION("""COMPUTED_VALUE"""),"ITBISA-NPN-2N2222-TO92")</f>
        <v>ITBISA-NPN-2N2222-TO92</v>
      </c>
      <c r="B8552" s="266">
        <f>IFERROR(__xludf.DUMMYFUNCTION("""COMPUTED_VALUE"""),43979.0)</f>
        <v>43979</v>
      </c>
      <c r="C8552" s="266" t="str">
        <f>IFERROR(__xludf.DUMMYFUNCTION("""COMPUTED_VALUE"""),"KAETOBO RESIDENCE")</f>
        <v>KAETOBO RESIDENCE</v>
      </c>
      <c r="D8552" s="186">
        <f>IFERROR(__xludf.DUMMYFUNCTION("""COMPUTED_VALUE"""),15.0)</f>
        <v>15</v>
      </c>
    </row>
    <row r="8553">
      <c r="A8553" s="178" t="str">
        <f>IFERROR(__xludf.DUMMYFUNCTION("""COMPUTED_VALUE"""),"ITBISA-NPN-2N2222-TO92")</f>
        <v>ITBISA-NPN-2N2222-TO92</v>
      </c>
      <c r="B8553" s="266">
        <f>IFERROR(__xludf.DUMMYFUNCTION("""COMPUTED_VALUE"""),43983.0)</f>
        <v>43983</v>
      </c>
      <c r="C8553" s="266" t="str">
        <f>IFERROR(__xludf.DUMMYFUNCTION("""COMPUTED_VALUE"""),"KAETOBO RESIDENCE")</f>
        <v>KAETOBO RESIDENCE</v>
      </c>
      <c r="D8553" s="186">
        <f>IFERROR(__xludf.DUMMYFUNCTION("""COMPUTED_VALUE"""),300.0)</f>
        <v>300</v>
      </c>
    </row>
    <row r="8554">
      <c r="A8554" s="178" t="str">
        <f>IFERROR(__xludf.DUMMYFUNCTION("""COMPUTED_VALUE"""),"ITBISA-NPN-2N2222-TO92")</f>
        <v>ITBISA-NPN-2N2222-TO92</v>
      </c>
      <c r="B8554" s="266">
        <f>IFERROR(__xludf.DUMMYFUNCTION("""COMPUTED_VALUE"""),43988.0)</f>
        <v>43988</v>
      </c>
      <c r="C8554" s="266" t="str">
        <f>IFERROR(__xludf.DUMMYFUNCTION("""COMPUTED_VALUE"""),"KAETOBO RESIDENCE")</f>
        <v>KAETOBO RESIDENCE</v>
      </c>
      <c r="D8554" s="186">
        <f>IFERROR(__xludf.DUMMYFUNCTION("""COMPUTED_VALUE"""),200.0)</f>
        <v>200</v>
      </c>
    </row>
    <row r="8555">
      <c r="A8555" s="178" t="str">
        <f>IFERROR(__xludf.DUMMYFUNCTION("""COMPUTED_VALUE"""),"ITBISA-NPN-2N2222-TO92")</f>
        <v>ITBISA-NPN-2N2222-TO92</v>
      </c>
      <c r="B8555" s="266">
        <f>IFERROR(__xludf.DUMMYFUNCTION("""COMPUTED_VALUE"""),43991.0)</f>
        <v>43991</v>
      </c>
      <c r="C8555" s="266" t="str">
        <f>IFERROR(__xludf.DUMMYFUNCTION("""COMPUTED_VALUE"""),"KAETOBO RESIDENCE")</f>
        <v>KAETOBO RESIDENCE</v>
      </c>
      <c r="D8555" s="186">
        <f>IFERROR(__xludf.DUMMYFUNCTION("""COMPUTED_VALUE"""),200.0)</f>
        <v>200</v>
      </c>
    </row>
    <row r="8556">
      <c r="A8556" s="178" t="str">
        <f>IFERROR(__xludf.DUMMYFUNCTION("""COMPUTED_VALUE"""),"ITBISA-NPN-2N2222-TO92")</f>
        <v>ITBISA-NPN-2N2222-TO92</v>
      </c>
      <c r="B8556" s="266">
        <f>IFERROR(__xludf.DUMMYFUNCTION("""COMPUTED_VALUE"""),43994.0)</f>
        <v>43994</v>
      </c>
      <c r="C8556" s="266" t="str">
        <f>IFERROR(__xludf.DUMMYFUNCTION("""COMPUTED_VALUE"""),"KAETOBO RESIDENCE")</f>
        <v>KAETOBO RESIDENCE</v>
      </c>
      <c r="D8556" s="186">
        <f>IFERROR(__xludf.DUMMYFUNCTION("""COMPUTED_VALUE"""),295.0)</f>
        <v>295</v>
      </c>
    </row>
    <row r="8557">
      <c r="A8557" s="178" t="str">
        <f>IFERROR(__xludf.DUMMYFUNCTION("""COMPUTED_VALUE"""),"ITBISA-NPN-2N2222-TO92")</f>
        <v>ITBISA-NPN-2N2222-TO92</v>
      </c>
      <c r="B8557" s="266">
        <f>IFERROR(__xludf.DUMMYFUNCTION("""COMPUTED_VALUE"""),44002.0)</f>
        <v>44002</v>
      </c>
      <c r="C8557" s="266" t="str">
        <f>IFERROR(__xludf.DUMMYFUNCTION("""COMPUTED_VALUE"""),"KAETOBO RESIDENCE")</f>
        <v>KAETOBO RESIDENCE</v>
      </c>
      <c r="D8557" s="186">
        <f>IFERROR(__xludf.DUMMYFUNCTION("""COMPUTED_VALUE"""),14.0)</f>
        <v>14</v>
      </c>
    </row>
    <row r="8558">
      <c r="A8558" s="178" t="str">
        <f>IFERROR(__xludf.DUMMYFUNCTION("""COMPUTED_VALUE"""),"ITBISA-NPN-2N2222-TO92")</f>
        <v>ITBISA-NPN-2N2222-TO92</v>
      </c>
      <c r="B8558" s="266">
        <f>IFERROR(__xludf.DUMMYFUNCTION("""COMPUTED_VALUE"""),44005.0)</f>
        <v>44005</v>
      </c>
      <c r="C8558" s="266" t="str">
        <f>IFERROR(__xludf.DUMMYFUNCTION("""COMPUTED_VALUE"""),"KAETOBO RESIDENCE")</f>
        <v>KAETOBO RESIDENCE</v>
      </c>
      <c r="D8558" s="186">
        <f>IFERROR(__xludf.DUMMYFUNCTION("""COMPUTED_VALUE"""),50.0)</f>
        <v>50</v>
      </c>
    </row>
    <row r="8559">
      <c r="A8559" s="178" t="str">
        <f>IFERROR(__xludf.DUMMYFUNCTION("""COMPUTED_VALUE"""),"ITBISA-NPN-2N2222-TO92")</f>
        <v>ITBISA-NPN-2N2222-TO92</v>
      </c>
      <c r="B8559" s="266">
        <f>IFERROR(__xludf.DUMMYFUNCTION("""COMPUTED_VALUE"""),44008.0)</f>
        <v>44008</v>
      </c>
      <c r="C8559" s="266" t="str">
        <f>IFERROR(__xludf.DUMMYFUNCTION("""COMPUTED_VALUE"""),"KAETOBO RESIDENCE")</f>
        <v>KAETOBO RESIDENCE</v>
      </c>
      <c r="D8559" s="186">
        <f>IFERROR(__xludf.DUMMYFUNCTION("""COMPUTED_VALUE"""),50.0)</f>
        <v>50</v>
      </c>
    </row>
    <row r="8560">
      <c r="A8560" s="178" t="str">
        <f>IFERROR(__xludf.DUMMYFUNCTION("""COMPUTED_VALUE"""),"ITBISA-NPN-2N2222-TO92")</f>
        <v>ITBISA-NPN-2N2222-TO92</v>
      </c>
      <c r="B8560" s="266">
        <f>IFERROR(__xludf.DUMMYFUNCTION("""COMPUTED_VALUE"""),44008.0)</f>
        <v>44008</v>
      </c>
      <c r="C8560" s="266" t="str">
        <f>IFERROR(__xludf.DUMMYFUNCTION("""COMPUTED_VALUE"""),"KAETOBO RESIDENCE")</f>
        <v>KAETOBO RESIDENCE</v>
      </c>
      <c r="D8560" s="186">
        <f>IFERROR(__xludf.DUMMYFUNCTION("""COMPUTED_VALUE"""),50.0)</f>
        <v>50</v>
      </c>
    </row>
    <row r="8561">
      <c r="A8561" s="178" t="str">
        <f>IFERROR(__xludf.DUMMYFUNCTION("""COMPUTED_VALUE"""),"ITBISA-NPN-2N2222-TO92")</f>
        <v>ITBISA-NPN-2N2222-TO92</v>
      </c>
      <c r="B8561" s="266">
        <f>IFERROR(__xludf.DUMMYFUNCTION("""COMPUTED_VALUE"""),44009.0)</f>
        <v>44009</v>
      </c>
      <c r="C8561" s="266" t="str">
        <f>IFERROR(__xludf.DUMMYFUNCTION("""COMPUTED_VALUE"""),"KAETOBO RESIDENCE")</f>
        <v>KAETOBO RESIDENCE</v>
      </c>
      <c r="D8561" s="186">
        <f>IFERROR(__xludf.DUMMYFUNCTION("""COMPUTED_VALUE"""),6.0)</f>
        <v>6</v>
      </c>
    </row>
    <row r="8562">
      <c r="A8562" s="178" t="str">
        <f>IFERROR(__xludf.DUMMYFUNCTION("""COMPUTED_VALUE"""),"ITBISA-NPN-2N2222-TO92")</f>
        <v>ITBISA-NPN-2N2222-TO92</v>
      </c>
      <c r="B8562" s="266">
        <f>IFERROR(__xludf.DUMMYFUNCTION("""COMPUTED_VALUE"""),44009.0)</f>
        <v>44009</v>
      </c>
      <c r="C8562" s="266" t="str">
        <f>IFERROR(__xludf.DUMMYFUNCTION("""COMPUTED_VALUE"""),"KAETOBO RESIDENCE")</f>
        <v>KAETOBO RESIDENCE</v>
      </c>
      <c r="D8562" s="186">
        <f>IFERROR(__xludf.DUMMYFUNCTION("""COMPUTED_VALUE"""),21.0)</f>
        <v>21</v>
      </c>
    </row>
    <row r="8563">
      <c r="A8563" s="178" t="str">
        <f>IFERROR(__xludf.DUMMYFUNCTION("""COMPUTED_VALUE"""),"ITBISA-NPN-2N2222-TO92")</f>
        <v>ITBISA-NPN-2N2222-TO92</v>
      </c>
      <c r="B8563" s="266">
        <f>IFERROR(__xludf.DUMMYFUNCTION("""COMPUTED_VALUE"""),44010.0)</f>
        <v>44010</v>
      </c>
      <c r="C8563" s="266" t="str">
        <f>IFERROR(__xludf.DUMMYFUNCTION("""COMPUTED_VALUE"""),"KAETOBO RESIDENCE")</f>
        <v>KAETOBO RESIDENCE</v>
      </c>
      <c r="D8563" s="186">
        <f>IFERROR(__xludf.DUMMYFUNCTION("""COMPUTED_VALUE"""),10.0)</f>
        <v>10</v>
      </c>
    </row>
    <row r="8564">
      <c r="A8564" s="178" t="str">
        <f>IFERROR(__xludf.DUMMYFUNCTION("""COMPUTED_VALUE"""),"ITBISA-NPN-2N2222-TO92")</f>
        <v>ITBISA-NPN-2N2222-TO92</v>
      </c>
      <c r="B8564" s="266">
        <f>IFERROR(__xludf.DUMMYFUNCTION("""COMPUTED_VALUE"""),44015.0)</f>
        <v>44015</v>
      </c>
      <c r="C8564" s="266" t="str">
        <f>IFERROR(__xludf.DUMMYFUNCTION("""COMPUTED_VALUE"""),"KAETOBO RESIDENCE")</f>
        <v>KAETOBO RESIDENCE</v>
      </c>
      <c r="D8564" s="186">
        <f>IFERROR(__xludf.DUMMYFUNCTION("""COMPUTED_VALUE"""),26.0)</f>
        <v>26</v>
      </c>
    </row>
    <row r="8565">
      <c r="A8565" s="178" t="str">
        <f>IFERROR(__xludf.DUMMYFUNCTION("""COMPUTED_VALUE"""),"ITBISA-NPN-2N2222-TO92")</f>
        <v>ITBISA-NPN-2N2222-TO92</v>
      </c>
      <c r="B8565" s="266">
        <f>IFERROR(__xludf.DUMMYFUNCTION("""COMPUTED_VALUE"""),44015.0)</f>
        <v>44015</v>
      </c>
      <c r="C8565" s="266" t="str">
        <f>IFERROR(__xludf.DUMMYFUNCTION("""COMPUTED_VALUE"""),"KAETOBO RESIDENCE")</f>
        <v>KAETOBO RESIDENCE</v>
      </c>
      <c r="D8565" s="186">
        <f>IFERROR(__xludf.DUMMYFUNCTION("""COMPUTED_VALUE"""),100.0)</f>
        <v>100</v>
      </c>
    </row>
    <row r="8566">
      <c r="A8566" s="178" t="str">
        <f>IFERROR(__xludf.DUMMYFUNCTION("""COMPUTED_VALUE"""),"ITBISA-NPN-2N2222-TO92")</f>
        <v>ITBISA-NPN-2N2222-TO92</v>
      </c>
      <c r="B8566" s="266">
        <f>IFERROR(__xludf.DUMMYFUNCTION("""COMPUTED_VALUE"""),44015.0)</f>
        <v>44015</v>
      </c>
      <c r="C8566" s="266" t="str">
        <f>IFERROR(__xludf.DUMMYFUNCTION("""COMPUTED_VALUE"""),"KAETOBO RESIDENCE")</f>
        <v>KAETOBO RESIDENCE</v>
      </c>
      <c r="D8566" s="186">
        <f>IFERROR(__xludf.DUMMYFUNCTION("""COMPUTED_VALUE"""),500.0)</f>
        <v>500</v>
      </c>
    </row>
    <row r="8567">
      <c r="A8567" s="178" t="str">
        <f>IFERROR(__xludf.DUMMYFUNCTION("""COMPUTED_VALUE"""),"ITBISA-NPN-2N2222-TO92")</f>
        <v>ITBISA-NPN-2N2222-TO92</v>
      </c>
      <c r="B8567" s="266">
        <f>IFERROR(__xludf.DUMMYFUNCTION("""COMPUTED_VALUE"""),44036.0)</f>
        <v>44036</v>
      </c>
      <c r="C8567" s="266" t="str">
        <f>IFERROR(__xludf.DUMMYFUNCTION("""COMPUTED_VALUE"""),"KAETOBO RESIDENCE")</f>
        <v>KAETOBO RESIDENCE</v>
      </c>
      <c r="D8567" s="186">
        <f>IFERROR(__xludf.DUMMYFUNCTION("""COMPUTED_VALUE"""),500.0)</f>
        <v>500</v>
      </c>
    </row>
    <row r="8568">
      <c r="A8568" s="178" t="str">
        <f>IFERROR(__xludf.DUMMYFUNCTION("""COMPUTED_VALUE"""),"ITBISA-NPN-2N2222-TO92")</f>
        <v>ITBISA-NPN-2N2222-TO92</v>
      </c>
      <c r="B8568" s="266">
        <f>IFERROR(__xludf.DUMMYFUNCTION("""COMPUTED_VALUE"""),44048.0)</f>
        <v>44048</v>
      </c>
      <c r="C8568" s="266" t="str">
        <f>IFERROR(__xludf.DUMMYFUNCTION("""COMPUTED_VALUE"""),"KAETOBO RESIDENCE")</f>
        <v>KAETOBO RESIDENCE</v>
      </c>
      <c r="D8568" s="186">
        <f>IFERROR(__xludf.DUMMYFUNCTION("""COMPUTED_VALUE"""),1000.0)</f>
        <v>1000</v>
      </c>
    </row>
    <row r="8569">
      <c r="A8569" s="178" t="str">
        <f>IFERROR(__xludf.DUMMYFUNCTION("""COMPUTED_VALUE"""),"ITBISA-NPN-2N2222-TO92")</f>
        <v>ITBISA-NPN-2N2222-TO92</v>
      </c>
      <c r="B8569" s="266">
        <f>IFERROR(__xludf.DUMMYFUNCTION("""COMPUTED_VALUE"""),44055.0)</f>
        <v>44055</v>
      </c>
      <c r="C8569" s="266" t="str">
        <f>IFERROR(__xludf.DUMMYFUNCTION("""COMPUTED_VALUE"""),"KOST SRITUNGGAL")</f>
        <v>KOST SRITUNGGAL</v>
      </c>
      <c r="D8569" s="186">
        <f>IFERROR(__xludf.DUMMYFUNCTION("""COMPUTED_VALUE"""),20.0)</f>
        <v>20</v>
      </c>
    </row>
    <row r="8570">
      <c r="A8570" s="178" t="str">
        <f>IFERROR(__xludf.DUMMYFUNCTION("""COMPUTED_VALUE"""),"ITBISA-NPN-2N2222-TO92")</f>
        <v>ITBISA-NPN-2N2222-TO92</v>
      </c>
      <c r="B8570" s="266">
        <f>IFERROR(__xludf.DUMMYFUNCTION("""COMPUTED_VALUE"""),44058.0)</f>
        <v>44058</v>
      </c>
      <c r="C8570" s="266" t="str">
        <f>IFERROR(__xludf.DUMMYFUNCTION("""COMPUTED_VALUE"""),"KOST SRITUNGGAL")</f>
        <v>KOST SRITUNGGAL</v>
      </c>
      <c r="D8570" s="186">
        <f>IFERROR(__xludf.DUMMYFUNCTION("""COMPUTED_VALUE"""),4.0)</f>
        <v>4</v>
      </c>
    </row>
    <row r="8571">
      <c r="A8571" s="178" t="str">
        <f>IFERROR(__xludf.DUMMYFUNCTION("""COMPUTED_VALUE"""),"ITBISA-NPN-2N2222-TO92")</f>
        <v>ITBISA-NPN-2N2222-TO92</v>
      </c>
      <c r="B8571" s="266">
        <f>IFERROR(__xludf.DUMMYFUNCTION("""COMPUTED_VALUE"""),44145.0)</f>
        <v>44145</v>
      </c>
      <c r="C8571" s="266" t="str">
        <f>IFERROR(__xludf.DUMMYFUNCTION("""COMPUTED_VALUE"""),"KOST RUMAHUMI")</f>
        <v>KOST RUMAHUMI</v>
      </c>
      <c r="D8571" s="186">
        <f>IFERROR(__xludf.DUMMYFUNCTION("""COMPUTED_VALUE"""),500.0)</f>
        <v>500</v>
      </c>
    </row>
    <row r="8572">
      <c r="A8572" s="178" t="str">
        <f>IFERROR(__xludf.DUMMYFUNCTION("""COMPUTED_VALUE"""),"ITBISA-NPN-2N2222-TO92")</f>
        <v>ITBISA-NPN-2N2222-TO92</v>
      </c>
      <c r="B8572" s="266">
        <f>IFERROR(__xludf.DUMMYFUNCTION("""COMPUTED_VALUE"""),44146.0)</f>
        <v>44146</v>
      </c>
      <c r="C8572" s="266" t="str">
        <f>IFERROR(__xludf.DUMMYFUNCTION("""COMPUTED_VALUE"""),"KOST RUMAHUMI")</f>
        <v>KOST RUMAHUMI</v>
      </c>
      <c r="D8572" s="186">
        <f>IFERROR(__xludf.DUMMYFUNCTION("""COMPUTED_VALUE"""),750.0)</f>
        <v>750</v>
      </c>
    </row>
    <row r="8573">
      <c r="A8573" s="178" t="str">
        <f>IFERROR(__xludf.DUMMYFUNCTION("""COMPUTED_VALUE"""),"ITBISA-NPN-2N2222-TO92")</f>
        <v>ITBISA-NPN-2N2222-TO92</v>
      </c>
      <c r="B8573" s="266">
        <f>IFERROR(__xludf.DUMMYFUNCTION("""COMPUTED_VALUE"""),44147.0)</f>
        <v>44147</v>
      </c>
      <c r="C8573" s="266" t="str">
        <f>IFERROR(__xludf.DUMMYFUNCTION("""COMPUTED_VALUE"""),"KOST RUMAHUMI")</f>
        <v>KOST RUMAHUMI</v>
      </c>
      <c r="D8573" s="186">
        <f>IFERROR(__xludf.DUMMYFUNCTION("""COMPUTED_VALUE"""),25.0)</f>
        <v>25</v>
      </c>
    </row>
    <row r="8574">
      <c r="A8574" s="178" t="str">
        <f>IFERROR(__xludf.DUMMYFUNCTION("""COMPUTED_VALUE"""),"ITBISA-NPN-2N2222-TO92")</f>
        <v>ITBISA-NPN-2N2222-TO92</v>
      </c>
      <c r="B8574" s="266">
        <f>IFERROR(__xludf.DUMMYFUNCTION("""COMPUTED_VALUE"""),44152.0)</f>
        <v>44152</v>
      </c>
      <c r="C8574" s="266" t="str">
        <f>IFERROR(__xludf.DUMMYFUNCTION("""COMPUTED_VALUE"""),"KOST RUMAHUMI")</f>
        <v>KOST RUMAHUMI</v>
      </c>
      <c r="D8574" s="186">
        <f>IFERROR(__xludf.DUMMYFUNCTION("""COMPUTED_VALUE"""),1.0)</f>
        <v>1</v>
      </c>
    </row>
    <row r="8575">
      <c r="A8575" s="178" t="str">
        <f>IFERROR(__xludf.DUMMYFUNCTION("""COMPUTED_VALUE"""),"ITBISA-NPN-2N2222-TO92")</f>
        <v>ITBISA-NPN-2N2222-TO92</v>
      </c>
      <c r="B8575" s="266">
        <f>IFERROR(__xludf.DUMMYFUNCTION("""COMPUTED_VALUE"""),44158.0)</f>
        <v>44158</v>
      </c>
      <c r="C8575" s="266" t="str">
        <f>IFERROR(__xludf.DUMMYFUNCTION("""COMPUTED_VALUE"""),"KOST RUMAHUMI")</f>
        <v>KOST RUMAHUMI</v>
      </c>
      <c r="D8575" s="186">
        <f>IFERROR(__xludf.DUMMYFUNCTION("""COMPUTED_VALUE"""),1.0)</f>
        <v>1</v>
      </c>
    </row>
    <row r="8576">
      <c r="A8576" s="178" t="str">
        <f>IFERROR(__xludf.DUMMYFUNCTION("""COMPUTED_VALUE"""),"ITBISA-NPN-2N2222-TO92")</f>
        <v>ITBISA-NPN-2N2222-TO92</v>
      </c>
      <c r="B8576" s="266">
        <f>IFERROR(__xludf.DUMMYFUNCTION("""COMPUTED_VALUE"""),44158.0)</f>
        <v>44158</v>
      </c>
      <c r="C8576" s="266" t="str">
        <f>IFERROR(__xludf.DUMMYFUNCTION("""COMPUTED_VALUE"""),"KOST RUMAHUMI")</f>
        <v>KOST RUMAHUMI</v>
      </c>
      <c r="D8576" s="186">
        <f>IFERROR(__xludf.DUMMYFUNCTION("""COMPUTED_VALUE"""),1.0)</f>
        <v>1</v>
      </c>
    </row>
    <row r="8577">
      <c r="A8577" s="178" t="str">
        <f>IFERROR(__xludf.DUMMYFUNCTION("""COMPUTED_VALUE"""),"ITBISA-NPN-2N2222-TO92")</f>
        <v>ITBISA-NPN-2N2222-TO92</v>
      </c>
      <c r="B8577" s="266">
        <f>IFERROR(__xludf.DUMMYFUNCTION("""COMPUTED_VALUE"""),44168.0)</f>
        <v>44168</v>
      </c>
      <c r="C8577" s="266" t="str">
        <f>IFERROR(__xludf.DUMMYFUNCTION("""COMPUTED_VALUE"""),"KOST RUMAHUMI")</f>
        <v>KOST RUMAHUMI</v>
      </c>
      <c r="D8577" s="186">
        <f>IFERROR(__xludf.DUMMYFUNCTION("""COMPUTED_VALUE"""),150.0)</f>
        <v>150</v>
      </c>
    </row>
    <row r="8578">
      <c r="A8578" s="178" t="str">
        <f>IFERROR(__xludf.DUMMYFUNCTION("""COMPUTED_VALUE"""),"ITBISA-NPN-2N2222-TO92")</f>
        <v>ITBISA-NPN-2N2222-TO92</v>
      </c>
      <c r="B8578" s="266">
        <f>IFERROR(__xludf.DUMMYFUNCTION("""COMPUTED_VALUE"""),44175.0)</f>
        <v>44175</v>
      </c>
      <c r="C8578" s="266" t="str">
        <f>IFERROR(__xludf.DUMMYFUNCTION("""COMPUTED_VALUE"""),"KOST RUMAHUMI")</f>
        <v>KOST RUMAHUMI</v>
      </c>
      <c r="D8578" s="186">
        <f>IFERROR(__xludf.DUMMYFUNCTION("""COMPUTED_VALUE"""),100.0)</f>
        <v>100</v>
      </c>
    </row>
    <row r="8579">
      <c r="A8579" s="178" t="str">
        <f>IFERROR(__xludf.DUMMYFUNCTION("""COMPUTED_VALUE"""),"ITBISA-NPN-2N2222-TO92")</f>
        <v>ITBISA-NPN-2N2222-TO92</v>
      </c>
      <c r="B8579" s="266">
        <f>IFERROR(__xludf.DUMMYFUNCTION("""COMPUTED_VALUE"""),44175.0)</f>
        <v>44175</v>
      </c>
      <c r="C8579" s="266" t="str">
        <f>IFERROR(__xludf.DUMMYFUNCTION("""COMPUTED_VALUE"""),"KYAI KONTONG")</f>
        <v>KYAI KONTONG</v>
      </c>
      <c r="D8579" s="186">
        <f>IFERROR(__xludf.DUMMYFUNCTION("""COMPUTED_VALUE"""),1.0)</f>
        <v>1</v>
      </c>
    </row>
    <row r="8580">
      <c r="A8580" s="178" t="str">
        <f>IFERROR(__xludf.DUMMYFUNCTION("""COMPUTED_VALUE"""),"ITBISA-NPN-2N2222-TO92")</f>
        <v>ITBISA-NPN-2N2222-TO92</v>
      </c>
      <c r="B8580" s="266">
        <f>IFERROR(__xludf.DUMMYFUNCTION("""COMPUTED_VALUE"""),44182.0)</f>
        <v>44182</v>
      </c>
      <c r="C8580" s="266" t="str">
        <f>IFERROR(__xludf.DUMMYFUNCTION("""COMPUTED_VALUE"""),"KYAI KONTONG")</f>
        <v>KYAI KONTONG</v>
      </c>
      <c r="D8580" s="186">
        <f>IFERROR(__xludf.DUMMYFUNCTION("""COMPUTED_VALUE"""),10.0)</f>
        <v>10</v>
      </c>
    </row>
    <row r="8581">
      <c r="A8581" s="178" t="str">
        <f>IFERROR(__xludf.DUMMYFUNCTION("""COMPUTED_VALUE"""),"ITBISA-NPN-2N2222-TO92")</f>
        <v>ITBISA-NPN-2N2222-TO92</v>
      </c>
      <c r="B8581" s="266">
        <f>IFERROR(__xludf.DUMMYFUNCTION("""COMPUTED_VALUE"""),44184.0)</f>
        <v>44184</v>
      </c>
      <c r="C8581" s="266" t="str">
        <f>IFERROR(__xludf.DUMMYFUNCTION("""COMPUTED_VALUE"""),"KYAI KONTONG")</f>
        <v>KYAI KONTONG</v>
      </c>
      <c r="D8581" s="186">
        <f>IFERROR(__xludf.DUMMYFUNCTION("""COMPUTED_VALUE"""),38.0)</f>
        <v>38</v>
      </c>
    </row>
    <row r="8582">
      <c r="A8582" s="178" t="str">
        <f>IFERROR(__xludf.DUMMYFUNCTION("""COMPUTED_VALUE"""),"ITBISA-NPN-2N2222-TO92")</f>
        <v>ITBISA-NPN-2N2222-TO92</v>
      </c>
      <c r="B8582" s="266">
        <f>IFERROR(__xludf.DUMMYFUNCTION("""COMPUTED_VALUE"""),44218.0)</f>
        <v>44218</v>
      </c>
      <c r="C8582" s="266" t="str">
        <f>IFERROR(__xludf.DUMMYFUNCTION("""COMPUTED_VALUE"""),"KOST RUMAHUMI")</f>
        <v>KOST RUMAHUMI</v>
      </c>
      <c r="D8582" s="186">
        <f>IFERROR(__xludf.DUMMYFUNCTION("""COMPUTED_VALUE"""),100.0)</f>
        <v>100</v>
      </c>
    </row>
    <row r="8583">
      <c r="A8583" s="178" t="str">
        <f>IFERROR(__xludf.DUMMYFUNCTION("""COMPUTED_VALUE"""),"ITBISA-NPN-2N2222-TO92")</f>
        <v>ITBISA-NPN-2N2222-TO92</v>
      </c>
      <c r="B8583" s="266">
        <f>IFERROR(__xludf.DUMMYFUNCTION("""COMPUTED_VALUE"""),44225.0)</f>
        <v>44225</v>
      </c>
      <c r="C8583" s="266" t="str">
        <f>IFERROR(__xludf.DUMMYFUNCTION("""COMPUTED_VALUE"""),"KOST RUMAHUMI")</f>
        <v>KOST RUMAHUMI</v>
      </c>
      <c r="D8583" s="186">
        <f>IFERROR(__xludf.DUMMYFUNCTION("""COMPUTED_VALUE"""),70.0)</f>
        <v>70</v>
      </c>
    </row>
    <row r="8584">
      <c r="A8584" s="178" t="str">
        <f>IFERROR(__xludf.DUMMYFUNCTION("""COMPUTED_VALUE"""),"ITBISA-NPN-2N2222-TO92")</f>
        <v>ITBISA-NPN-2N2222-TO92</v>
      </c>
      <c r="B8584" s="266">
        <f>IFERROR(__xludf.DUMMYFUNCTION("""COMPUTED_VALUE"""),44234.0)</f>
        <v>44234</v>
      </c>
      <c r="C8584" s="266" t="str">
        <f>IFERROR(__xludf.DUMMYFUNCTION("""COMPUTED_VALUE"""),"KOST RUMAHUMI")</f>
        <v>KOST RUMAHUMI</v>
      </c>
      <c r="D8584" s="186">
        <f>IFERROR(__xludf.DUMMYFUNCTION("""COMPUTED_VALUE"""),200.0)</f>
        <v>200</v>
      </c>
    </row>
    <row r="8585">
      <c r="A8585" s="178" t="str">
        <f>IFERROR(__xludf.DUMMYFUNCTION("""COMPUTED_VALUE"""),"ITBISA-NPN-2N2222-TO92")</f>
        <v>ITBISA-NPN-2N2222-TO92</v>
      </c>
      <c r="B8585" s="266">
        <f>IFERROR(__xludf.DUMMYFUNCTION("""COMPUTED_VALUE"""),44293.0)</f>
        <v>44293</v>
      </c>
      <c r="C8585" s="266" t="str">
        <f>IFERROR(__xludf.DUMMYFUNCTION("""COMPUTED_VALUE"""),"KOST RUMAHUMI")</f>
        <v>KOST RUMAHUMI</v>
      </c>
      <c r="D8585" s="186">
        <f>IFERROR(__xludf.DUMMYFUNCTION("""COMPUTED_VALUE"""),100.0)</f>
        <v>100</v>
      </c>
    </row>
    <row r="8586">
      <c r="A8586" s="178" t="str">
        <f>IFERROR(__xludf.DUMMYFUNCTION("""COMPUTED_VALUE"""),"ITBISA-NPN-2N2222-TO92")</f>
        <v>ITBISA-NPN-2N2222-TO92</v>
      </c>
      <c r="B8586" s="266">
        <f>IFERROR(__xludf.DUMMYFUNCTION("""COMPUTED_VALUE"""),44353.0)</f>
        <v>44353</v>
      </c>
      <c r="C8586" s="266" t="str">
        <f>IFERROR(__xludf.DUMMYFUNCTION("""COMPUTED_VALUE"""),"KOST RUMAHUMI")</f>
        <v>KOST RUMAHUMI</v>
      </c>
      <c r="D8586" s="186">
        <f>IFERROR(__xludf.DUMMYFUNCTION("""COMPUTED_VALUE"""),326.0)</f>
        <v>326</v>
      </c>
    </row>
    <row r="8587">
      <c r="A8587" s="178" t="str">
        <f>IFERROR(__xludf.DUMMYFUNCTION("""COMPUTED_VALUE"""),"ITBISA-NPN-2N2222-TO92")</f>
        <v>ITBISA-NPN-2N2222-TO92</v>
      </c>
      <c r="B8587" s="266">
        <f>IFERROR(__xludf.DUMMYFUNCTION("""COMPUTED_VALUE"""),44441.0)</f>
        <v>44441</v>
      </c>
      <c r="C8587" s="266" t="str">
        <f>IFERROR(__xludf.DUMMYFUNCTION("""COMPUTED_VALUE"""),"KOST RUMAHUMI")</f>
        <v>KOST RUMAHUMI</v>
      </c>
      <c r="D8587" s="186">
        <f>IFERROR(__xludf.DUMMYFUNCTION("""COMPUTED_VALUE"""),150.0)</f>
        <v>150</v>
      </c>
    </row>
    <row r="8588">
      <c r="A8588" s="178" t="str">
        <f>IFERROR(__xludf.DUMMYFUNCTION("""COMPUTED_VALUE"""),"ITBISA-NPN-2N2222-TO92")</f>
        <v>ITBISA-NPN-2N2222-TO92</v>
      </c>
      <c r="B8588" s="266">
        <f>IFERROR(__xludf.DUMMYFUNCTION("""COMPUTED_VALUE"""),44826.0)</f>
        <v>44826</v>
      </c>
      <c r="C8588" s="266" t="str">
        <f>IFERROR(__xludf.DUMMYFUNCTION("""COMPUTED_VALUE"""),"KYAI KONTONG")</f>
        <v>KYAI KONTONG</v>
      </c>
      <c r="D8588" s="186">
        <f>IFERROR(__xludf.DUMMYFUNCTION("""COMPUTED_VALUE"""),20.0)</f>
        <v>20</v>
      </c>
    </row>
    <row r="8589">
      <c r="A8589" s="178" t="str">
        <f>IFERROR(__xludf.DUMMYFUNCTION("""COMPUTED_VALUE"""),"ITBISA-NPN-2N2222-TO92")</f>
        <v>ITBISA-NPN-2N2222-TO92</v>
      </c>
      <c r="B8589" s="266">
        <f>IFERROR(__xludf.DUMMYFUNCTION("""COMPUTED_VALUE"""),44831.0)</f>
        <v>44831</v>
      </c>
      <c r="C8589" s="266" t="str">
        <f>IFERROR(__xludf.DUMMYFUNCTION("""COMPUTED_VALUE"""),"KYAI KONTONG")</f>
        <v>KYAI KONTONG</v>
      </c>
      <c r="D8589" s="186">
        <f>IFERROR(__xludf.DUMMYFUNCTION("""COMPUTED_VALUE"""),50.0)</f>
        <v>50</v>
      </c>
    </row>
    <row r="8590">
      <c r="A8590" s="178" t="str">
        <f>IFERROR(__xludf.DUMMYFUNCTION("""COMPUTED_VALUE"""),"ITBISA-NPN-2N2222-TO92")</f>
        <v>ITBISA-NPN-2N2222-TO92</v>
      </c>
      <c r="B8590" s="266">
        <f>IFERROR(__xludf.DUMMYFUNCTION("""COMPUTED_VALUE"""),44832.0)</f>
        <v>44832</v>
      </c>
      <c r="C8590" s="266" t="str">
        <f>IFERROR(__xludf.DUMMYFUNCTION("""COMPUTED_VALUE"""),"KYAI KONTONG")</f>
        <v>KYAI KONTONG</v>
      </c>
      <c r="D8590" s="186">
        <f>IFERROR(__xludf.DUMMYFUNCTION("""COMPUTED_VALUE"""),45.0)</f>
        <v>45</v>
      </c>
    </row>
    <row r="8591">
      <c r="A8591" s="178" t="str">
        <f>IFERROR(__xludf.DUMMYFUNCTION("""COMPUTED_VALUE"""),"ITBISA-NPN-2N2222-TO92")</f>
        <v>ITBISA-NPN-2N2222-TO92</v>
      </c>
      <c r="B8591" s="266">
        <f>IFERROR(__xludf.DUMMYFUNCTION("""COMPUTED_VALUE"""),44833.0)</f>
        <v>44833</v>
      </c>
      <c r="C8591" s="266" t="str">
        <f>IFERROR(__xludf.DUMMYFUNCTION("""COMPUTED_VALUE"""),"KYAI KONTONG")</f>
        <v>KYAI KONTONG</v>
      </c>
      <c r="D8591" s="186">
        <f>IFERROR(__xludf.DUMMYFUNCTION("""COMPUTED_VALUE"""),10.0)</f>
        <v>10</v>
      </c>
    </row>
    <row r="8592">
      <c r="A8592" s="178" t="str">
        <f>IFERROR(__xludf.DUMMYFUNCTION("""COMPUTED_VALUE"""),"ITBISA-NPN-2N2222-TO92")</f>
        <v>ITBISA-NPN-2N2222-TO92</v>
      </c>
      <c r="B8592" s="266">
        <f>IFERROR(__xludf.DUMMYFUNCTION("""COMPUTED_VALUE"""),44834.0)</f>
        <v>44834</v>
      </c>
      <c r="C8592" s="266" t="str">
        <f>IFERROR(__xludf.DUMMYFUNCTION("""COMPUTED_VALUE"""),"KYAI KONTONG")</f>
        <v>KYAI KONTONG</v>
      </c>
      <c r="D8592" s="186">
        <f>IFERROR(__xludf.DUMMYFUNCTION("""COMPUTED_VALUE"""),350.0)</f>
        <v>350</v>
      </c>
    </row>
    <row r="8593">
      <c r="A8593" s="178" t="str">
        <f>IFERROR(__xludf.DUMMYFUNCTION("""COMPUTED_VALUE"""),"ITBISA-NPN-2N2222-TO92")</f>
        <v>ITBISA-NPN-2N2222-TO92</v>
      </c>
      <c r="B8593" s="266">
        <f>IFERROR(__xludf.DUMMYFUNCTION("""COMPUTED_VALUE"""),44844.0)</f>
        <v>44844</v>
      </c>
      <c r="C8593" s="266" t="str">
        <f>IFERROR(__xludf.DUMMYFUNCTION("""COMPUTED_VALUE"""),"KYAI KONTONG")</f>
        <v>KYAI KONTONG</v>
      </c>
      <c r="D8593" s="186">
        <f>IFERROR(__xludf.DUMMYFUNCTION("""COMPUTED_VALUE"""),16.0)</f>
        <v>16</v>
      </c>
    </row>
    <row r="8594">
      <c r="A8594" s="178" t="str">
        <f>IFERROR(__xludf.DUMMYFUNCTION("""COMPUTED_VALUE"""),"ITBISA-NPN-2N2222-TO92")</f>
        <v>ITBISA-NPN-2N2222-TO92</v>
      </c>
      <c r="B8594" s="266">
        <f>IFERROR(__xludf.DUMMYFUNCTION("""COMPUTED_VALUE"""),44932.0)</f>
        <v>44932</v>
      </c>
      <c r="C8594" s="266" t="str">
        <f>IFERROR(__xludf.DUMMYFUNCTION("""COMPUTED_VALUE"""),"KYAI KONTONG")</f>
        <v>KYAI KONTONG</v>
      </c>
      <c r="D8594" s="186">
        <f>IFERROR(__xludf.DUMMYFUNCTION("""COMPUTED_VALUE"""),40.0)</f>
        <v>40</v>
      </c>
    </row>
    <row r="8595">
      <c r="A8595" s="178" t="str">
        <f>IFERROR(__xludf.DUMMYFUNCTION("""COMPUTED_VALUE"""),"ITBISA-NPN-2N2222-TO92")</f>
        <v>ITBISA-NPN-2N2222-TO92</v>
      </c>
      <c r="B8595" s="266">
        <f>IFERROR(__xludf.DUMMYFUNCTION("""COMPUTED_VALUE"""),44946.0)</f>
        <v>44946</v>
      </c>
      <c r="C8595" s="266" t="str">
        <f>IFERROR(__xludf.DUMMYFUNCTION("""COMPUTED_VALUE"""),"KYAI KONTONG")</f>
        <v>KYAI KONTONG</v>
      </c>
      <c r="D8595" s="186">
        <f>IFERROR(__xludf.DUMMYFUNCTION("""COMPUTED_VALUE"""),20.0)</f>
        <v>20</v>
      </c>
    </row>
    <row r="8596">
      <c r="A8596" s="178" t="str">
        <f>IFERROR(__xludf.DUMMYFUNCTION("""COMPUTED_VALUE"""),"ITBISA-NPN-2N2222-TO92")</f>
        <v>ITBISA-NPN-2N2222-TO92</v>
      </c>
      <c r="B8596" s="266">
        <f>IFERROR(__xludf.DUMMYFUNCTION("""COMPUTED_VALUE"""),44950.0)</f>
        <v>44950</v>
      </c>
      <c r="C8596" s="266" t="str">
        <f>IFERROR(__xludf.DUMMYFUNCTION("""COMPUTED_VALUE"""),"KYAI KONTONG")</f>
        <v>KYAI KONTONG</v>
      </c>
      <c r="D8596" s="186">
        <f>IFERROR(__xludf.DUMMYFUNCTION("""COMPUTED_VALUE"""),300.0)</f>
        <v>300</v>
      </c>
    </row>
    <row r="8597">
      <c r="A8597" s="178" t="str">
        <f>IFERROR(__xludf.DUMMYFUNCTION("""COMPUTED_VALUE"""),"ITBISA-NPN-2N2222-TO92")</f>
        <v>ITBISA-NPN-2N2222-TO92</v>
      </c>
      <c r="B8597" s="266">
        <f>IFERROR(__xludf.DUMMYFUNCTION("""COMPUTED_VALUE"""),44951.0)</f>
        <v>44951</v>
      </c>
      <c r="C8597" s="266" t="str">
        <f>IFERROR(__xludf.DUMMYFUNCTION("""COMPUTED_VALUE"""),"KYAI KONTONG")</f>
        <v>KYAI KONTONG</v>
      </c>
      <c r="D8597" s="186">
        <f>IFERROR(__xludf.DUMMYFUNCTION("""COMPUTED_VALUE"""),30.0)</f>
        <v>30</v>
      </c>
    </row>
    <row r="8598">
      <c r="A8598" s="178" t="str">
        <f>IFERROR(__xludf.DUMMYFUNCTION("""COMPUTED_VALUE"""),"ITBISA-NPN-2N2222-TO92")</f>
        <v>ITBISA-NPN-2N2222-TO92</v>
      </c>
      <c r="B8598" s="266">
        <f>IFERROR(__xludf.DUMMYFUNCTION("""COMPUTED_VALUE"""),44953.0)</f>
        <v>44953</v>
      </c>
      <c r="C8598" s="266" t="str">
        <f>IFERROR(__xludf.DUMMYFUNCTION("""COMPUTED_VALUE"""),"KYAI KONTONG")</f>
        <v>KYAI KONTONG</v>
      </c>
      <c r="D8598" s="186">
        <f>IFERROR(__xludf.DUMMYFUNCTION("""COMPUTED_VALUE"""),5.0)</f>
        <v>5</v>
      </c>
    </row>
    <row r="8599">
      <c r="A8599" s="178" t="str">
        <f>IFERROR(__xludf.DUMMYFUNCTION("""COMPUTED_VALUE"""),"ITBISA-NPN-2N2222-TO92")</f>
        <v>ITBISA-NPN-2N2222-TO92</v>
      </c>
      <c r="B8599" s="266">
        <f>IFERROR(__xludf.DUMMYFUNCTION("""COMPUTED_VALUE"""),44964.0)</f>
        <v>44964</v>
      </c>
      <c r="C8599" s="266" t="str">
        <f>IFERROR(__xludf.DUMMYFUNCTION("""COMPUTED_VALUE"""),"KYAI KONTONG")</f>
        <v>KYAI KONTONG</v>
      </c>
      <c r="D8599" s="186">
        <f>IFERROR(__xludf.DUMMYFUNCTION("""COMPUTED_VALUE"""),10.0)</f>
        <v>10</v>
      </c>
    </row>
    <row r="8600">
      <c r="A8600" s="178" t="str">
        <f>IFERROR(__xludf.DUMMYFUNCTION("""COMPUTED_VALUE"""),"ITBISA-NPN-2N2222-TO92")</f>
        <v>ITBISA-NPN-2N2222-TO92</v>
      </c>
      <c r="B8600" s="266">
        <f>IFERROR(__xludf.DUMMYFUNCTION("""COMPUTED_VALUE"""),44970.0)</f>
        <v>44970</v>
      </c>
      <c r="C8600" s="266" t="str">
        <f>IFERROR(__xludf.DUMMYFUNCTION("""COMPUTED_VALUE"""),"KYAI KONTONG")</f>
        <v>KYAI KONTONG</v>
      </c>
      <c r="D8600" s="186">
        <f>IFERROR(__xludf.DUMMYFUNCTION("""COMPUTED_VALUE"""),500.0)</f>
        <v>500</v>
      </c>
    </row>
    <row r="8601">
      <c r="A8601" s="178" t="str">
        <f>IFERROR(__xludf.DUMMYFUNCTION("""COMPUTED_VALUE"""),"ITBISA-NPN-2N2222-TO92")</f>
        <v>ITBISA-NPN-2N2222-TO92</v>
      </c>
      <c r="B8601" s="266">
        <f>IFERROR(__xludf.DUMMYFUNCTION("""COMPUTED_VALUE"""),44976.0)</f>
        <v>44976</v>
      </c>
      <c r="C8601" s="266" t="str">
        <f>IFERROR(__xludf.DUMMYFUNCTION("""COMPUTED_VALUE"""),"KYAI KONTONG")</f>
        <v>KYAI KONTONG</v>
      </c>
      <c r="D8601" s="186">
        <f>IFERROR(__xludf.DUMMYFUNCTION("""COMPUTED_VALUE"""),12.0)</f>
        <v>12</v>
      </c>
    </row>
    <row r="8602">
      <c r="A8602" s="178" t="str">
        <f>IFERROR(__xludf.DUMMYFUNCTION("""COMPUTED_VALUE"""),"ITBISA-NPN-2N2222-TO92")</f>
        <v>ITBISA-NPN-2N2222-TO92</v>
      </c>
      <c r="B8602" s="266">
        <f>IFERROR(__xludf.DUMMYFUNCTION("""COMPUTED_VALUE"""),44977.0)</f>
        <v>44977</v>
      </c>
      <c r="C8602" s="266" t="str">
        <f>IFERROR(__xludf.DUMMYFUNCTION("""COMPUTED_VALUE"""),"KYAI KONTONG")</f>
        <v>KYAI KONTONG</v>
      </c>
      <c r="D8602" s="186">
        <f>IFERROR(__xludf.DUMMYFUNCTION("""COMPUTED_VALUE"""),2.0)</f>
        <v>2</v>
      </c>
    </row>
    <row r="8603">
      <c r="A8603" s="178" t="str">
        <f>IFERROR(__xludf.DUMMYFUNCTION("""COMPUTED_VALUE"""),"ITBISA-NPN-2N2222-TO92")</f>
        <v>ITBISA-NPN-2N2222-TO92</v>
      </c>
      <c r="B8603" s="266">
        <f>IFERROR(__xludf.DUMMYFUNCTION("""COMPUTED_VALUE"""),44979.0)</f>
        <v>44979</v>
      </c>
      <c r="C8603" s="266" t="str">
        <f>IFERROR(__xludf.DUMMYFUNCTION("""COMPUTED_VALUE"""),"KYAI KONTONG")</f>
        <v>KYAI KONTONG</v>
      </c>
      <c r="D8603" s="186">
        <f>IFERROR(__xludf.DUMMYFUNCTION("""COMPUTED_VALUE"""),5.0)</f>
        <v>5</v>
      </c>
    </row>
    <row r="8604">
      <c r="A8604" s="178" t="str">
        <f>IFERROR(__xludf.DUMMYFUNCTION("""COMPUTED_VALUE"""),"ITBISA-NPN-2N2222-TO92")</f>
        <v>ITBISA-NPN-2N2222-TO92</v>
      </c>
      <c r="B8604" s="266">
        <f>IFERROR(__xludf.DUMMYFUNCTION("""COMPUTED_VALUE"""),44981.0)</f>
        <v>44981</v>
      </c>
      <c r="C8604" s="266" t="str">
        <f>IFERROR(__xludf.DUMMYFUNCTION("""COMPUTED_VALUE"""),"KYAI KONTONG")</f>
        <v>KYAI KONTONG</v>
      </c>
      <c r="D8604" s="186">
        <f>IFERROR(__xludf.DUMMYFUNCTION("""COMPUTED_VALUE"""),15.0)</f>
        <v>15</v>
      </c>
    </row>
    <row r="8605">
      <c r="A8605" s="178" t="str">
        <f>IFERROR(__xludf.DUMMYFUNCTION("""COMPUTED_VALUE"""),"ITBISA-NPN-2N2222-TO92")</f>
        <v>ITBISA-NPN-2N2222-TO92</v>
      </c>
      <c r="B8605" s="266">
        <f>IFERROR(__xludf.DUMMYFUNCTION("""COMPUTED_VALUE"""),44982.0)</f>
        <v>44982</v>
      </c>
      <c r="C8605" s="266" t="str">
        <f>IFERROR(__xludf.DUMMYFUNCTION("""COMPUTED_VALUE"""),"KYAI KONTONG")</f>
        <v>KYAI KONTONG</v>
      </c>
      <c r="D8605" s="186">
        <f>IFERROR(__xludf.DUMMYFUNCTION("""COMPUTED_VALUE"""),5.0)</f>
        <v>5</v>
      </c>
    </row>
    <row r="8606">
      <c r="A8606" s="178" t="str">
        <f>IFERROR(__xludf.DUMMYFUNCTION("""COMPUTED_VALUE"""),"ITBISA-NPN-2N2222-TO92")</f>
        <v>ITBISA-NPN-2N2222-TO92</v>
      </c>
      <c r="B8606" s="266">
        <f>IFERROR(__xludf.DUMMYFUNCTION("""COMPUTED_VALUE"""),44983.0)</f>
        <v>44983</v>
      </c>
      <c r="C8606" s="266" t="str">
        <f>IFERROR(__xludf.DUMMYFUNCTION("""COMPUTED_VALUE"""),"KYAI KONTONG")</f>
        <v>KYAI KONTONG</v>
      </c>
      <c r="D8606" s="186">
        <f>IFERROR(__xludf.DUMMYFUNCTION("""COMPUTED_VALUE"""),12.0)</f>
        <v>12</v>
      </c>
    </row>
    <row r="8607">
      <c r="A8607" s="178" t="str">
        <f>IFERROR(__xludf.DUMMYFUNCTION("""COMPUTED_VALUE"""),"ITBISA-NPN-2N2222-TO92")</f>
        <v>ITBISA-NPN-2N2222-TO92</v>
      </c>
      <c r="B8607" s="266">
        <f>IFERROR(__xludf.DUMMYFUNCTION("""COMPUTED_VALUE"""),44984.0)</f>
        <v>44984</v>
      </c>
      <c r="C8607" s="266" t="str">
        <f>IFERROR(__xludf.DUMMYFUNCTION("""COMPUTED_VALUE"""),"KYAI KONTONG")</f>
        <v>KYAI KONTONG</v>
      </c>
      <c r="D8607" s="186">
        <f>IFERROR(__xludf.DUMMYFUNCTION("""COMPUTED_VALUE"""),20.0)</f>
        <v>20</v>
      </c>
    </row>
    <row r="8608">
      <c r="A8608" s="178" t="str">
        <f>IFERROR(__xludf.DUMMYFUNCTION("""COMPUTED_VALUE"""),"ITBISA-NPN-2N2222-TO92")</f>
        <v>ITBISA-NPN-2N2222-TO92</v>
      </c>
      <c r="B8608" s="266">
        <f>IFERROR(__xludf.DUMMYFUNCTION("""COMPUTED_VALUE"""),44986.0)</f>
        <v>44986</v>
      </c>
      <c r="C8608" s="266" t="str">
        <f>IFERROR(__xludf.DUMMYFUNCTION("""COMPUTED_VALUE"""),"KYAI KONTONG")</f>
        <v>KYAI KONTONG</v>
      </c>
      <c r="D8608" s="186">
        <f>IFERROR(__xludf.DUMMYFUNCTION("""COMPUTED_VALUE"""),5.0)</f>
        <v>5</v>
      </c>
    </row>
    <row r="8609">
      <c r="A8609" s="178" t="str">
        <f>IFERROR(__xludf.DUMMYFUNCTION("""COMPUTED_VALUE"""),"ITBISA-NPN-2N2222-TO92")</f>
        <v>ITBISA-NPN-2N2222-TO92</v>
      </c>
      <c r="B8609" s="266">
        <f>IFERROR(__xludf.DUMMYFUNCTION("""COMPUTED_VALUE"""),44986.0)</f>
        <v>44986</v>
      </c>
      <c r="C8609" s="266" t="str">
        <f>IFERROR(__xludf.DUMMYFUNCTION("""COMPUTED_VALUE"""),"KYAI KONTONG")</f>
        <v>KYAI KONTONG</v>
      </c>
      <c r="D8609" s="186">
        <f>IFERROR(__xludf.DUMMYFUNCTION("""COMPUTED_VALUE"""),10.0)</f>
        <v>10</v>
      </c>
    </row>
    <row r="8610">
      <c r="A8610" s="178" t="str">
        <f>IFERROR(__xludf.DUMMYFUNCTION("""COMPUTED_VALUE"""),"ITBISA-NPN-2N2222-TO92")</f>
        <v>ITBISA-NPN-2N2222-TO92</v>
      </c>
      <c r="B8610" s="266">
        <f>IFERROR(__xludf.DUMMYFUNCTION("""COMPUTED_VALUE"""),44987.0)</f>
        <v>44987</v>
      </c>
      <c r="C8610" s="266" t="str">
        <f>IFERROR(__xludf.DUMMYFUNCTION("""COMPUTED_VALUE"""),"KYAI KONTONG")</f>
        <v>KYAI KONTONG</v>
      </c>
      <c r="D8610" s="186">
        <f>IFERROR(__xludf.DUMMYFUNCTION("""COMPUTED_VALUE"""),10.0)</f>
        <v>10</v>
      </c>
    </row>
    <row r="8611">
      <c r="A8611" s="178" t="str">
        <f>IFERROR(__xludf.DUMMYFUNCTION("""COMPUTED_VALUE"""),"ITBISA-NPN-2N2222-TO92")</f>
        <v>ITBISA-NPN-2N2222-TO92</v>
      </c>
      <c r="B8611" s="266">
        <f>IFERROR(__xludf.DUMMYFUNCTION("""COMPUTED_VALUE"""),44989.0)</f>
        <v>44989</v>
      </c>
      <c r="C8611" s="266" t="str">
        <f>IFERROR(__xludf.DUMMYFUNCTION("""COMPUTED_VALUE"""),"KYAI KONTONG")</f>
        <v>KYAI KONTONG</v>
      </c>
      <c r="D8611" s="186">
        <f>IFERROR(__xludf.DUMMYFUNCTION("""COMPUTED_VALUE"""),3.0)</f>
        <v>3</v>
      </c>
    </row>
    <row r="8612">
      <c r="A8612" s="178" t="str">
        <f>IFERROR(__xludf.DUMMYFUNCTION("""COMPUTED_VALUE"""),"ITBISA-NPN-2N2222-TO92")</f>
        <v>ITBISA-NPN-2N2222-TO92</v>
      </c>
      <c r="B8612" s="266">
        <f>IFERROR(__xludf.DUMMYFUNCTION("""COMPUTED_VALUE"""),44995.0)</f>
        <v>44995</v>
      </c>
      <c r="C8612" s="266" t="str">
        <f>IFERROR(__xludf.DUMMYFUNCTION("""COMPUTED_VALUE"""),"KYAI KONTONG")</f>
        <v>KYAI KONTONG</v>
      </c>
      <c r="D8612" s="186">
        <f>IFERROR(__xludf.DUMMYFUNCTION("""COMPUTED_VALUE"""),5.0)</f>
        <v>5</v>
      </c>
    </row>
    <row r="8613">
      <c r="A8613" s="178" t="str">
        <f>IFERROR(__xludf.DUMMYFUNCTION("""COMPUTED_VALUE"""),"ITBISA-NPN-2N2222-TO92")</f>
        <v>ITBISA-NPN-2N2222-TO92</v>
      </c>
      <c r="B8613" s="266">
        <f>IFERROR(__xludf.DUMMYFUNCTION("""COMPUTED_VALUE"""),44997.0)</f>
        <v>44997</v>
      </c>
      <c r="C8613" s="266" t="str">
        <f>IFERROR(__xludf.DUMMYFUNCTION("""COMPUTED_VALUE"""),"KYAI KONTONG")</f>
        <v>KYAI KONTONG</v>
      </c>
      <c r="D8613" s="186">
        <f>IFERROR(__xludf.DUMMYFUNCTION("""COMPUTED_VALUE"""),20.0)</f>
        <v>20</v>
      </c>
    </row>
    <row r="8614">
      <c r="A8614" s="178" t="str">
        <f>IFERROR(__xludf.DUMMYFUNCTION("""COMPUTED_VALUE"""),"ITBISA-NPN-2N2222-TO92")</f>
        <v>ITBISA-NPN-2N2222-TO92</v>
      </c>
      <c r="B8614" s="266">
        <f>IFERROR(__xludf.DUMMYFUNCTION("""COMPUTED_VALUE"""),44997.0)</f>
        <v>44997</v>
      </c>
      <c r="C8614" s="266" t="str">
        <f>IFERROR(__xludf.DUMMYFUNCTION("""COMPUTED_VALUE"""),"KYAI KONTONG")</f>
        <v>KYAI KONTONG</v>
      </c>
      <c r="D8614" s="186">
        <f>IFERROR(__xludf.DUMMYFUNCTION("""COMPUTED_VALUE"""),40.0)</f>
        <v>40</v>
      </c>
    </row>
    <row r="8615">
      <c r="A8615" s="178" t="str">
        <f>IFERROR(__xludf.DUMMYFUNCTION("""COMPUTED_VALUE"""),"ITBISA-NPN-2N2222-TO92")</f>
        <v>ITBISA-NPN-2N2222-TO92</v>
      </c>
      <c r="B8615" s="266">
        <f>IFERROR(__xludf.DUMMYFUNCTION("""COMPUTED_VALUE"""),45000.0)</f>
        <v>45000</v>
      </c>
      <c r="C8615" s="266" t="str">
        <f>IFERROR(__xludf.DUMMYFUNCTION("""COMPUTED_VALUE"""),"KYAI KONTONG")</f>
        <v>KYAI KONTONG</v>
      </c>
      <c r="D8615" s="186">
        <f>IFERROR(__xludf.DUMMYFUNCTION("""COMPUTED_VALUE"""),500.0)</f>
        <v>500</v>
      </c>
    </row>
    <row r="8616">
      <c r="A8616" s="178" t="str">
        <f>IFERROR(__xludf.DUMMYFUNCTION("""COMPUTED_VALUE"""),"ITBISA-NPN-2N2222-TO92")</f>
        <v>ITBISA-NPN-2N2222-TO92</v>
      </c>
      <c r="B8616" s="266">
        <f>IFERROR(__xludf.DUMMYFUNCTION("""COMPUTED_VALUE"""),45002.0)</f>
        <v>45002</v>
      </c>
      <c r="C8616" s="266" t="str">
        <f>IFERROR(__xludf.DUMMYFUNCTION("""COMPUTED_VALUE"""),"KYAI KONTONG")</f>
        <v>KYAI KONTONG</v>
      </c>
      <c r="D8616" s="186">
        <f>IFERROR(__xludf.DUMMYFUNCTION("""COMPUTED_VALUE"""),120.0)</f>
        <v>120</v>
      </c>
    </row>
    <row r="8617">
      <c r="A8617" s="178" t="str">
        <f>IFERROR(__xludf.DUMMYFUNCTION("""COMPUTED_VALUE"""),"ITBISA-NPN-2N2222-TO92")</f>
        <v>ITBISA-NPN-2N2222-TO92</v>
      </c>
      <c r="B8617" s="266">
        <f>IFERROR(__xludf.DUMMYFUNCTION("""COMPUTED_VALUE"""),45006.0)</f>
        <v>45006</v>
      </c>
      <c r="C8617" s="266" t="str">
        <f>IFERROR(__xludf.DUMMYFUNCTION("""COMPUTED_VALUE"""),"KYAI KONTONG")</f>
        <v>KYAI KONTONG</v>
      </c>
      <c r="D8617" s="186">
        <f>IFERROR(__xludf.DUMMYFUNCTION("""COMPUTED_VALUE"""),4.0)</f>
        <v>4</v>
      </c>
    </row>
    <row r="8618">
      <c r="A8618" s="178" t="str">
        <f>IFERROR(__xludf.DUMMYFUNCTION("""COMPUTED_VALUE"""),"ITBISA-NPN-2N2222-TO92")</f>
        <v>ITBISA-NPN-2N2222-TO92</v>
      </c>
      <c r="B8618" s="266">
        <f>IFERROR(__xludf.DUMMYFUNCTION("""COMPUTED_VALUE"""),45008.0)</f>
        <v>45008</v>
      </c>
      <c r="C8618" s="266" t="str">
        <f>IFERROR(__xludf.DUMMYFUNCTION("""COMPUTED_VALUE"""),"KYAI KONTONG")</f>
        <v>KYAI KONTONG</v>
      </c>
      <c r="D8618" s="186">
        <f>IFERROR(__xludf.DUMMYFUNCTION("""COMPUTED_VALUE"""),10.0)</f>
        <v>10</v>
      </c>
    </row>
    <row r="8619">
      <c r="A8619" s="178" t="str">
        <f>IFERROR(__xludf.DUMMYFUNCTION("""COMPUTED_VALUE"""),"ITBISA-NPN-2N2222-TO92")</f>
        <v>ITBISA-NPN-2N2222-TO92</v>
      </c>
      <c r="B8619" s="266">
        <f>IFERROR(__xludf.DUMMYFUNCTION("""COMPUTED_VALUE"""),45008.0)</f>
        <v>45008</v>
      </c>
      <c r="C8619" s="266" t="str">
        <f>IFERROR(__xludf.DUMMYFUNCTION("""COMPUTED_VALUE"""),"KYAI KONTONG")</f>
        <v>KYAI KONTONG</v>
      </c>
      <c r="D8619" s="186">
        <f>IFERROR(__xludf.DUMMYFUNCTION("""COMPUTED_VALUE"""),20.0)</f>
        <v>20</v>
      </c>
    </row>
    <row r="8620">
      <c r="A8620" s="178" t="str">
        <f>IFERROR(__xludf.DUMMYFUNCTION("""COMPUTED_VALUE"""),"ITBISA-NPN-2N2222-TO92")</f>
        <v>ITBISA-NPN-2N2222-TO92</v>
      </c>
      <c r="B8620" s="266">
        <f>IFERROR(__xludf.DUMMYFUNCTION("""COMPUTED_VALUE"""),45010.0)</f>
        <v>45010</v>
      </c>
      <c r="C8620" s="266" t="str">
        <f>IFERROR(__xludf.DUMMYFUNCTION("""COMPUTED_VALUE"""),"KYAI KONTONG")</f>
        <v>KYAI KONTONG</v>
      </c>
      <c r="D8620" s="186">
        <f>IFERROR(__xludf.DUMMYFUNCTION("""COMPUTED_VALUE"""),8.0)</f>
        <v>8</v>
      </c>
    </row>
    <row r="8621">
      <c r="A8621" s="178" t="str">
        <f>IFERROR(__xludf.DUMMYFUNCTION("""COMPUTED_VALUE"""),"ITBISA-NPN-2N2222-TO92")</f>
        <v>ITBISA-NPN-2N2222-TO92</v>
      </c>
      <c r="B8621" s="266">
        <f>IFERROR(__xludf.DUMMYFUNCTION("""COMPUTED_VALUE"""),45020.0)</f>
        <v>45020</v>
      </c>
      <c r="C8621" s="266" t="str">
        <f>IFERROR(__xludf.DUMMYFUNCTION("""COMPUTED_VALUE"""),"KYAI KONTONG")</f>
        <v>KYAI KONTONG</v>
      </c>
      <c r="D8621" s="186">
        <f>IFERROR(__xludf.DUMMYFUNCTION("""COMPUTED_VALUE"""),1000.0)</f>
        <v>1000</v>
      </c>
    </row>
    <row r="8622">
      <c r="A8622" s="178" t="str">
        <f>IFERROR(__xludf.DUMMYFUNCTION("""COMPUTED_VALUE"""),"ITBISA-NPN-2N2222-TO92")</f>
        <v>ITBISA-NPN-2N2222-TO92</v>
      </c>
      <c r="B8622" s="266">
        <f>IFERROR(__xludf.DUMMYFUNCTION("""COMPUTED_VALUE"""),45021.0)</f>
        <v>45021</v>
      </c>
      <c r="C8622" s="266" t="str">
        <f>IFERROR(__xludf.DUMMYFUNCTION("""COMPUTED_VALUE"""),"KYAI KONTONG")</f>
        <v>KYAI KONTONG</v>
      </c>
      <c r="D8622" s="186">
        <f>IFERROR(__xludf.DUMMYFUNCTION("""COMPUTED_VALUE"""),10.0)</f>
        <v>10</v>
      </c>
    </row>
    <row r="8623">
      <c r="A8623" s="178" t="str">
        <f>IFERROR(__xludf.DUMMYFUNCTION("""COMPUTED_VALUE"""),"ITBISA-NPN-2N2222-TO92")</f>
        <v>ITBISA-NPN-2N2222-TO92</v>
      </c>
      <c r="B8623" s="266">
        <f>IFERROR(__xludf.DUMMYFUNCTION("""COMPUTED_VALUE"""),45022.0)</f>
        <v>45022</v>
      </c>
      <c r="C8623" s="266" t="str">
        <f>IFERROR(__xludf.DUMMYFUNCTION("""COMPUTED_VALUE"""),"KYAI KONTONG")</f>
        <v>KYAI KONTONG</v>
      </c>
      <c r="D8623" s="186">
        <f>IFERROR(__xludf.DUMMYFUNCTION("""COMPUTED_VALUE"""),11.0)</f>
        <v>11</v>
      </c>
    </row>
    <row r="8624">
      <c r="A8624" s="178" t="str">
        <f>IFERROR(__xludf.DUMMYFUNCTION("""COMPUTED_VALUE"""),"ITBISA-NPN-2N2222-TO92")</f>
        <v>ITBISA-NPN-2N2222-TO92</v>
      </c>
      <c r="B8624" s="266">
        <f>IFERROR(__xludf.DUMMYFUNCTION("""COMPUTED_VALUE"""),45022.0)</f>
        <v>45022</v>
      </c>
      <c r="C8624" s="266" t="str">
        <f>IFERROR(__xludf.DUMMYFUNCTION("""COMPUTED_VALUE"""),"KYAI KONTONG")</f>
        <v>KYAI KONTONG</v>
      </c>
      <c r="D8624" s="186">
        <f>IFERROR(__xludf.DUMMYFUNCTION("""COMPUTED_VALUE"""),15.0)</f>
        <v>15</v>
      </c>
    </row>
    <row r="8625">
      <c r="A8625" s="178" t="str">
        <f>IFERROR(__xludf.DUMMYFUNCTION("""COMPUTED_VALUE"""),"ITBISA-NPN-2N2222-TO92")</f>
        <v>ITBISA-NPN-2N2222-TO92</v>
      </c>
      <c r="B8625" s="266">
        <f>IFERROR(__xludf.DUMMYFUNCTION("""COMPUTED_VALUE"""),45025.0)</f>
        <v>45025</v>
      </c>
      <c r="C8625" s="266" t="str">
        <f>IFERROR(__xludf.DUMMYFUNCTION("""COMPUTED_VALUE"""),"KYAI KONTONG")</f>
        <v>KYAI KONTONG</v>
      </c>
      <c r="D8625" s="186">
        <f>IFERROR(__xludf.DUMMYFUNCTION("""COMPUTED_VALUE"""),2000.0)</f>
        <v>2000</v>
      </c>
    </row>
    <row r="8626">
      <c r="A8626" s="178" t="str">
        <f>IFERROR(__xludf.DUMMYFUNCTION("""COMPUTED_VALUE"""),"ITBISA-NPN-2N2222-TO92")</f>
        <v>ITBISA-NPN-2N2222-TO92</v>
      </c>
      <c r="B8626" s="266">
        <f>IFERROR(__xludf.DUMMYFUNCTION("""COMPUTED_VALUE"""),45026.0)</f>
        <v>45026</v>
      </c>
      <c r="C8626" s="266" t="str">
        <f>IFERROR(__xludf.DUMMYFUNCTION("""COMPUTED_VALUE"""),"KYAI KONTONG")</f>
        <v>KYAI KONTONG</v>
      </c>
      <c r="D8626" s="186">
        <f>IFERROR(__xludf.DUMMYFUNCTION("""COMPUTED_VALUE"""),1.0)</f>
        <v>1</v>
      </c>
    </row>
    <row r="8627">
      <c r="A8627" s="178" t="str">
        <f>IFERROR(__xludf.DUMMYFUNCTION("""COMPUTED_VALUE"""),"ITBISA-NPN-2N2222-TO92")</f>
        <v>ITBISA-NPN-2N2222-TO92</v>
      </c>
      <c r="B8627" s="266">
        <f>IFERROR(__xludf.DUMMYFUNCTION("""COMPUTED_VALUE"""),45061.0)</f>
        <v>45061</v>
      </c>
      <c r="C8627" s="266" t="str">
        <f>IFERROR(__xludf.DUMMYFUNCTION("""COMPUTED_VALUE"""),"KYAI KONTONG")</f>
        <v>KYAI KONTONG</v>
      </c>
      <c r="D8627" s="186">
        <f>IFERROR(__xludf.DUMMYFUNCTION("""COMPUTED_VALUE"""),4.0)</f>
        <v>4</v>
      </c>
    </row>
    <row r="8628">
      <c r="A8628" s="178" t="str">
        <f>IFERROR(__xludf.DUMMYFUNCTION("""COMPUTED_VALUE"""),"ITBISA-NPN-2N2222-TO92")</f>
        <v>ITBISA-NPN-2N2222-TO92</v>
      </c>
      <c r="B8628" s="266">
        <f>IFERROR(__xludf.DUMMYFUNCTION("""COMPUTED_VALUE"""),45061.0)</f>
        <v>45061</v>
      </c>
      <c r="C8628" s="266" t="str">
        <f>IFERROR(__xludf.DUMMYFUNCTION("""COMPUTED_VALUE"""),"KYAI KONTONG")</f>
        <v>KYAI KONTONG</v>
      </c>
      <c r="D8628" s="186">
        <f>IFERROR(__xludf.DUMMYFUNCTION("""COMPUTED_VALUE"""),10.0)</f>
        <v>10</v>
      </c>
    </row>
    <row r="8629">
      <c r="A8629" s="178" t="str">
        <f>IFERROR(__xludf.DUMMYFUNCTION("""COMPUTED_VALUE"""),"ITBISA-NPN-2N2222-TO92")</f>
        <v>ITBISA-NPN-2N2222-TO92</v>
      </c>
      <c r="B8629" s="266">
        <f>IFERROR(__xludf.DUMMYFUNCTION("""COMPUTED_VALUE"""),45061.0)</f>
        <v>45061</v>
      </c>
      <c r="C8629" s="266" t="str">
        <f>IFERROR(__xludf.DUMMYFUNCTION("""COMPUTED_VALUE"""),"KYAI KONTONG")</f>
        <v>KYAI KONTONG</v>
      </c>
      <c r="D8629" s="186">
        <f>IFERROR(__xludf.DUMMYFUNCTION("""COMPUTED_VALUE"""),1000.0)</f>
        <v>1000</v>
      </c>
    </row>
    <row r="8630">
      <c r="A8630" s="178" t="str">
        <f>IFERROR(__xludf.DUMMYFUNCTION("""COMPUTED_VALUE"""),"ITBISA-NPN-2N2222-TO92")</f>
        <v>ITBISA-NPN-2N2222-TO92</v>
      </c>
      <c r="B8630" s="266">
        <f>IFERROR(__xludf.DUMMYFUNCTION("""COMPUTED_VALUE"""),45076.0)</f>
        <v>45076</v>
      </c>
      <c r="C8630" s="266" t="str">
        <f>IFERROR(__xludf.DUMMYFUNCTION("""COMPUTED_VALUE"""),"KYAI KONTONG")</f>
        <v>KYAI KONTONG</v>
      </c>
      <c r="D8630" s="186">
        <f>IFERROR(__xludf.DUMMYFUNCTION("""COMPUTED_VALUE"""),25.0)</f>
        <v>25</v>
      </c>
    </row>
    <row r="8631">
      <c r="A8631" s="178" t="str">
        <f>IFERROR(__xludf.DUMMYFUNCTION("""COMPUTED_VALUE"""),"ITBISA-NPN-2N2222-TO92")</f>
        <v>ITBISA-NPN-2N2222-TO92</v>
      </c>
      <c r="B8631" s="266">
        <f>IFERROR(__xludf.DUMMYFUNCTION("""COMPUTED_VALUE"""),45077.0)</f>
        <v>45077</v>
      </c>
      <c r="C8631" s="266" t="str">
        <f>IFERROR(__xludf.DUMMYFUNCTION("""COMPUTED_VALUE"""),"KYAI KONTONG")</f>
        <v>KYAI KONTONG</v>
      </c>
      <c r="D8631" s="186">
        <f>IFERROR(__xludf.DUMMYFUNCTION("""COMPUTED_VALUE"""),10.0)</f>
        <v>10</v>
      </c>
    </row>
    <row r="8632">
      <c r="A8632" s="178" t="str">
        <f>IFERROR(__xludf.DUMMYFUNCTION("""COMPUTED_VALUE"""),"ITBISA-NPN-2N2222-TO92")</f>
        <v>ITBISA-NPN-2N2222-TO92</v>
      </c>
      <c r="B8632" s="266">
        <f>IFERROR(__xludf.DUMMYFUNCTION("""COMPUTED_VALUE"""),45077.0)</f>
        <v>45077</v>
      </c>
      <c r="C8632" s="266" t="str">
        <f>IFERROR(__xludf.DUMMYFUNCTION("""COMPUTED_VALUE"""),"KYAI KONTONG")</f>
        <v>KYAI KONTONG</v>
      </c>
      <c r="D8632" s="186">
        <f>IFERROR(__xludf.DUMMYFUNCTION("""COMPUTED_VALUE"""),100.0)</f>
        <v>100</v>
      </c>
    </row>
    <row r="8633">
      <c r="A8633" s="178" t="str">
        <f>IFERROR(__xludf.DUMMYFUNCTION("""COMPUTED_VALUE"""),"ITBISA-NPN-2N2222-TO92")</f>
        <v>ITBISA-NPN-2N2222-TO92</v>
      </c>
      <c r="B8633" s="266">
        <f>IFERROR(__xludf.DUMMYFUNCTION("""COMPUTED_VALUE"""),45078.0)</f>
        <v>45078</v>
      </c>
      <c r="C8633" s="266" t="str">
        <f>IFERROR(__xludf.DUMMYFUNCTION("""COMPUTED_VALUE"""),"KYAI KONTONG")</f>
        <v>KYAI KONTONG</v>
      </c>
      <c r="D8633" s="186">
        <f>IFERROR(__xludf.DUMMYFUNCTION("""COMPUTED_VALUE"""),55.0)</f>
        <v>55</v>
      </c>
    </row>
    <row r="8634">
      <c r="A8634" s="178" t="str">
        <f>IFERROR(__xludf.DUMMYFUNCTION("""COMPUTED_VALUE"""),"ITBISA-NPN-2N2222-TO92")</f>
        <v>ITBISA-NPN-2N2222-TO92</v>
      </c>
      <c r="B8634" s="266">
        <f>IFERROR(__xludf.DUMMYFUNCTION("""COMPUTED_VALUE"""),45084.0)</f>
        <v>45084</v>
      </c>
      <c r="C8634" s="266" t="str">
        <f>IFERROR(__xludf.DUMMYFUNCTION("""COMPUTED_VALUE"""),"KYAI KONTONG")</f>
        <v>KYAI KONTONG</v>
      </c>
      <c r="D8634" s="186">
        <f>IFERROR(__xludf.DUMMYFUNCTION("""COMPUTED_VALUE"""),10.0)</f>
        <v>10</v>
      </c>
    </row>
    <row r="8635">
      <c r="A8635" s="178" t="str">
        <f>IFERROR(__xludf.DUMMYFUNCTION("""COMPUTED_VALUE"""),"ITBISA-NPN-2N2222-TO92")</f>
        <v>ITBISA-NPN-2N2222-TO92</v>
      </c>
      <c r="B8635" s="266">
        <f>IFERROR(__xludf.DUMMYFUNCTION("""COMPUTED_VALUE"""),45090.0)</f>
        <v>45090</v>
      </c>
      <c r="C8635" s="266" t="str">
        <f>IFERROR(__xludf.DUMMYFUNCTION("""COMPUTED_VALUE"""),"KYAI KONTONG")</f>
        <v>KYAI KONTONG</v>
      </c>
      <c r="D8635" s="186">
        <f>IFERROR(__xludf.DUMMYFUNCTION("""COMPUTED_VALUE"""),1000.0)</f>
        <v>1000</v>
      </c>
    </row>
    <row r="8636">
      <c r="A8636" s="178" t="str">
        <f>IFERROR(__xludf.DUMMYFUNCTION("""COMPUTED_VALUE"""),"ITBISA-NPN-2N2222-TO92")</f>
        <v>ITBISA-NPN-2N2222-TO92</v>
      </c>
      <c r="B8636" s="266">
        <f>IFERROR(__xludf.DUMMYFUNCTION("""COMPUTED_VALUE"""),45091.0)</f>
        <v>45091</v>
      </c>
      <c r="C8636" s="266" t="str">
        <f>IFERROR(__xludf.DUMMYFUNCTION("""COMPUTED_VALUE"""),"KYAI KONTONG")</f>
        <v>KYAI KONTONG</v>
      </c>
      <c r="D8636" s="186">
        <f>IFERROR(__xludf.DUMMYFUNCTION("""COMPUTED_VALUE"""),3.0)</f>
        <v>3</v>
      </c>
    </row>
    <row r="8637">
      <c r="A8637" s="178" t="str">
        <f>IFERROR(__xludf.DUMMYFUNCTION("""COMPUTED_VALUE"""),"ITBISA-NPN-2N2222-TO92")</f>
        <v>ITBISA-NPN-2N2222-TO92</v>
      </c>
      <c r="B8637" s="266">
        <f>IFERROR(__xludf.DUMMYFUNCTION("""COMPUTED_VALUE"""),45094.0)</f>
        <v>45094</v>
      </c>
      <c r="C8637" s="266" t="str">
        <f>IFERROR(__xludf.DUMMYFUNCTION("""COMPUTED_VALUE"""),"KYAI KONTONG")</f>
        <v>KYAI KONTONG</v>
      </c>
      <c r="D8637" s="186">
        <f>IFERROR(__xludf.DUMMYFUNCTION("""COMPUTED_VALUE"""),6.0)</f>
        <v>6</v>
      </c>
    </row>
    <row r="8638">
      <c r="A8638" s="178" t="str">
        <f>IFERROR(__xludf.DUMMYFUNCTION("""COMPUTED_VALUE"""),"ITBISA-NPN-2N2222-TO92")</f>
        <v>ITBISA-NPN-2N2222-TO92</v>
      </c>
      <c r="B8638" s="266">
        <f>IFERROR(__xludf.DUMMYFUNCTION("""COMPUTED_VALUE"""),45094.0)</f>
        <v>45094</v>
      </c>
      <c r="C8638" s="266" t="str">
        <f>IFERROR(__xludf.DUMMYFUNCTION("""COMPUTED_VALUE"""),"KYAI KONTONG")</f>
        <v>KYAI KONTONG</v>
      </c>
      <c r="D8638" s="186">
        <f>IFERROR(__xludf.DUMMYFUNCTION("""COMPUTED_VALUE"""),56.0)</f>
        <v>56</v>
      </c>
    </row>
    <row r="8639">
      <c r="A8639" s="178" t="str">
        <f>IFERROR(__xludf.DUMMYFUNCTION("""COMPUTED_VALUE"""),"ITBISA-NPN-2N2222-TO92")</f>
        <v>ITBISA-NPN-2N2222-TO92</v>
      </c>
      <c r="B8639" s="266">
        <f>IFERROR(__xludf.DUMMYFUNCTION("""COMPUTED_VALUE"""),45103.0)</f>
        <v>45103</v>
      </c>
      <c r="C8639" s="266" t="str">
        <f>IFERROR(__xludf.DUMMYFUNCTION("""COMPUTED_VALUE"""),"KYAI KONTONG")</f>
        <v>KYAI KONTONG</v>
      </c>
      <c r="D8639" s="186">
        <f>IFERROR(__xludf.DUMMYFUNCTION("""COMPUTED_VALUE"""),3.0)</f>
        <v>3</v>
      </c>
    </row>
    <row r="8640">
      <c r="A8640" s="178" t="str">
        <f>IFERROR(__xludf.DUMMYFUNCTION("""COMPUTED_VALUE"""),"ITBISA-NPN-2N2222-TO92")</f>
        <v>ITBISA-NPN-2N2222-TO92</v>
      </c>
      <c r="B8640" s="266">
        <f>IFERROR(__xludf.DUMMYFUNCTION("""COMPUTED_VALUE"""),45103.0)</f>
        <v>45103</v>
      </c>
      <c r="C8640" s="266" t="str">
        <f>IFERROR(__xludf.DUMMYFUNCTION("""COMPUTED_VALUE"""),"KYAI KONTONG")</f>
        <v>KYAI KONTONG</v>
      </c>
      <c r="D8640" s="186">
        <f>IFERROR(__xludf.DUMMYFUNCTION("""COMPUTED_VALUE"""),500.0)</f>
        <v>500</v>
      </c>
    </row>
    <row r="8641">
      <c r="A8641" s="178" t="str">
        <f>IFERROR(__xludf.DUMMYFUNCTION("""COMPUTED_VALUE"""),"ITBISA-NPN-2N2222-TO92")</f>
        <v>ITBISA-NPN-2N2222-TO92</v>
      </c>
      <c r="B8641" s="266">
        <f>IFERROR(__xludf.DUMMYFUNCTION("""COMPUTED_VALUE"""),45104.0)</f>
        <v>45104</v>
      </c>
      <c r="C8641" s="266" t="str">
        <f>IFERROR(__xludf.DUMMYFUNCTION("""COMPUTED_VALUE"""),"KYAI KONTONG")</f>
        <v>KYAI KONTONG</v>
      </c>
      <c r="D8641" s="186">
        <f>IFERROR(__xludf.DUMMYFUNCTION("""COMPUTED_VALUE"""),1.0)</f>
        <v>1</v>
      </c>
    </row>
    <row r="8642">
      <c r="A8642" s="178" t="str">
        <f>IFERROR(__xludf.DUMMYFUNCTION("""COMPUTED_VALUE"""),"ITBISA-NPN-2N2222-TO92")</f>
        <v>ITBISA-NPN-2N2222-TO92</v>
      </c>
      <c r="B8642" s="266">
        <f>IFERROR(__xludf.DUMMYFUNCTION("""COMPUTED_VALUE"""),45108.0)</f>
        <v>45108</v>
      </c>
      <c r="C8642" s="266" t="str">
        <f>IFERROR(__xludf.DUMMYFUNCTION("""COMPUTED_VALUE"""),"KYAI KONTONG")</f>
        <v>KYAI KONTONG</v>
      </c>
      <c r="D8642" s="186">
        <f>IFERROR(__xludf.DUMMYFUNCTION("""COMPUTED_VALUE"""),30.0)</f>
        <v>30</v>
      </c>
    </row>
    <row r="8643">
      <c r="A8643" s="178" t="str">
        <f>IFERROR(__xludf.DUMMYFUNCTION("""COMPUTED_VALUE"""),"ITBISA-NPN-2N2222-TO92")</f>
        <v>ITBISA-NPN-2N2222-TO92</v>
      </c>
      <c r="B8643" s="266">
        <f>IFERROR(__xludf.DUMMYFUNCTION("""COMPUTED_VALUE"""),45109.0)</f>
        <v>45109</v>
      </c>
      <c r="C8643" s="266" t="str">
        <f>IFERROR(__xludf.DUMMYFUNCTION("""COMPUTED_VALUE"""),"KYAI KONTONG")</f>
        <v>KYAI KONTONG</v>
      </c>
      <c r="D8643" s="186">
        <f>IFERROR(__xludf.DUMMYFUNCTION("""COMPUTED_VALUE"""),10.0)</f>
        <v>10</v>
      </c>
    </row>
    <row r="8644">
      <c r="A8644" s="178" t="str">
        <f>IFERROR(__xludf.DUMMYFUNCTION("""COMPUTED_VALUE"""),"ITBISA-NPN-2N2222-TO92")</f>
        <v>ITBISA-NPN-2N2222-TO92</v>
      </c>
      <c r="B8644" s="266">
        <f>IFERROR(__xludf.DUMMYFUNCTION("""COMPUTED_VALUE"""),45112.0)</f>
        <v>45112</v>
      </c>
      <c r="C8644" s="266" t="str">
        <f>IFERROR(__xludf.DUMMYFUNCTION("""COMPUTED_VALUE"""),"KYAI KONTONG")</f>
        <v>KYAI KONTONG</v>
      </c>
      <c r="D8644" s="186">
        <f>IFERROR(__xludf.DUMMYFUNCTION("""COMPUTED_VALUE"""),5.0)</f>
        <v>5</v>
      </c>
    </row>
    <row r="8645">
      <c r="A8645" s="178" t="str">
        <f>IFERROR(__xludf.DUMMYFUNCTION("""COMPUTED_VALUE"""),"ITBISA-NPN-2N2222-TO92")</f>
        <v>ITBISA-NPN-2N2222-TO92</v>
      </c>
      <c r="B8645" s="266">
        <f>IFERROR(__xludf.DUMMYFUNCTION("""COMPUTED_VALUE"""),45112.0)</f>
        <v>45112</v>
      </c>
      <c r="C8645" s="266" t="str">
        <f>IFERROR(__xludf.DUMMYFUNCTION("""COMPUTED_VALUE"""),"KYAI KONTONG")</f>
        <v>KYAI KONTONG</v>
      </c>
      <c r="D8645" s="186">
        <f>IFERROR(__xludf.DUMMYFUNCTION("""COMPUTED_VALUE"""),30.0)</f>
        <v>30</v>
      </c>
    </row>
    <row r="8646">
      <c r="A8646" s="178" t="str">
        <f>IFERROR(__xludf.DUMMYFUNCTION("""COMPUTED_VALUE"""),"ITBISA-NPN-2N2222-TO92")</f>
        <v>ITBISA-NPN-2N2222-TO92</v>
      </c>
      <c r="B8646" s="266">
        <f>IFERROR(__xludf.DUMMYFUNCTION("""COMPUTED_VALUE"""),45115.0)</f>
        <v>45115</v>
      </c>
      <c r="C8646" s="266" t="str">
        <f>IFERROR(__xludf.DUMMYFUNCTION("""COMPUTED_VALUE"""),"KYAI KONTONG")</f>
        <v>KYAI KONTONG</v>
      </c>
      <c r="D8646" s="186">
        <f>IFERROR(__xludf.DUMMYFUNCTION("""COMPUTED_VALUE"""),4.0)</f>
        <v>4</v>
      </c>
    </row>
    <row r="8647">
      <c r="A8647" s="178" t="str">
        <f>IFERROR(__xludf.DUMMYFUNCTION("""COMPUTED_VALUE"""),"ITBISA-NPN-2N2222-TO92")</f>
        <v>ITBISA-NPN-2N2222-TO92</v>
      </c>
      <c r="B8647" s="266">
        <f>IFERROR(__xludf.DUMMYFUNCTION("""COMPUTED_VALUE"""),45117.0)</f>
        <v>45117</v>
      </c>
      <c r="C8647" s="266" t="str">
        <f>IFERROR(__xludf.DUMMYFUNCTION("""COMPUTED_VALUE"""),"KYAI KONTONG")</f>
        <v>KYAI KONTONG</v>
      </c>
      <c r="D8647" s="186">
        <f>IFERROR(__xludf.DUMMYFUNCTION("""COMPUTED_VALUE"""),1000.0)</f>
        <v>1000</v>
      </c>
    </row>
    <row r="8648">
      <c r="A8648" s="178" t="str">
        <f>IFERROR(__xludf.DUMMYFUNCTION("""COMPUTED_VALUE"""),"ITBISA-NPN-2N2222-TO92")</f>
        <v>ITBISA-NPN-2N2222-TO92</v>
      </c>
      <c r="B8648" s="266">
        <f>IFERROR(__xludf.DUMMYFUNCTION("""COMPUTED_VALUE"""),45117.0)</f>
        <v>45117</v>
      </c>
      <c r="C8648" s="266" t="str">
        <f>IFERROR(__xludf.DUMMYFUNCTION("""COMPUTED_VALUE"""),"KYAI KONTONG")</f>
        <v>KYAI KONTONG</v>
      </c>
      <c r="D8648" s="186">
        <f>IFERROR(__xludf.DUMMYFUNCTION("""COMPUTED_VALUE"""),1000.0)</f>
        <v>1000</v>
      </c>
    </row>
    <row r="8649">
      <c r="A8649" s="178" t="str">
        <f>IFERROR(__xludf.DUMMYFUNCTION("""COMPUTED_VALUE"""),"ITBISA-NPN-2N2222-TO92")</f>
        <v>ITBISA-NPN-2N2222-TO92</v>
      </c>
      <c r="B8649" s="266">
        <f>IFERROR(__xludf.DUMMYFUNCTION("""COMPUTED_VALUE"""),45120.0)</f>
        <v>45120</v>
      </c>
      <c r="C8649" s="266" t="str">
        <f>IFERROR(__xludf.DUMMYFUNCTION("""COMPUTED_VALUE"""),"KYAI KONTONG")</f>
        <v>KYAI KONTONG</v>
      </c>
      <c r="D8649" s="186">
        <f>IFERROR(__xludf.DUMMYFUNCTION("""COMPUTED_VALUE"""),450.0)</f>
        <v>450</v>
      </c>
    </row>
    <row r="8650">
      <c r="A8650" s="178" t="str">
        <f>IFERROR(__xludf.DUMMYFUNCTION("""COMPUTED_VALUE"""),"ITBISA-NPN-2N2222-TO92")</f>
        <v>ITBISA-NPN-2N2222-TO92</v>
      </c>
      <c r="B8650" s="266">
        <f>IFERROR(__xludf.DUMMYFUNCTION("""COMPUTED_VALUE"""),45206.0)</f>
        <v>45206</v>
      </c>
      <c r="C8650" s="266" t="str">
        <f>IFERROR(__xludf.DUMMYFUNCTION("""COMPUTED_VALUE"""),"KYAI KONTONG")</f>
        <v>KYAI KONTONG</v>
      </c>
      <c r="D8650" s="186">
        <f>IFERROR(__xludf.DUMMYFUNCTION("""COMPUTED_VALUE"""),2.0)</f>
        <v>2</v>
      </c>
    </row>
    <row r="8651">
      <c r="A8651" s="178" t="str">
        <f>IFERROR(__xludf.DUMMYFUNCTION("""COMPUTED_VALUE"""),"ITBISA-NPN-2N2222-TO92")</f>
        <v>ITBISA-NPN-2N2222-TO92</v>
      </c>
      <c r="B8651" s="266">
        <f>IFERROR(__xludf.DUMMYFUNCTION("""COMPUTED_VALUE"""),45209.0)</f>
        <v>45209</v>
      </c>
      <c r="C8651" s="266" t="str">
        <f>IFERROR(__xludf.DUMMYFUNCTION("""COMPUTED_VALUE"""),"KYAI KONTONG")</f>
        <v>KYAI KONTONG</v>
      </c>
      <c r="D8651" s="186">
        <f>IFERROR(__xludf.DUMMYFUNCTION("""COMPUTED_VALUE"""),10.0)</f>
        <v>10</v>
      </c>
    </row>
    <row r="8652">
      <c r="A8652" s="178" t="str">
        <f>IFERROR(__xludf.DUMMYFUNCTION("""COMPUTED_VALUE"""),"ITBISA-NPN-2N2222-TO92")</f>
        <v>ITBISA-NPN-2N2222-TO92</v>
      </c>
      <c r="B8652" s="266">
        <f>IFERROR(__xludf.DUMMYFUNCTION("""COMPUTED_VALUE"""),45214.0)</f>
        <v>45214</v>
      </c>
      <c r="C8652" s="266" t="str">
        <f>IFERROR(__xludf.DUMMYFUNCTION("""COMPUTED_VALUE"""),"KYAI KONTONG")</f>
        <v>KYAI KONTONG</v>
      </c>
      <c r="D8652" s="186">
        <f>IFERROR(__xludf.DUMMYFUNCTION("""COMPUTED_VALUE"""),20.0)</f>
        <v>20</v>
      </c>
    </row>
    <row r="8653">
      <c r="A8653" s="178" t="str">
        <f>IFERROR(__xludf.DUMMYFUNCTION("""COMPUTED_VALUE"""),"ITBISA-NPN-2N2222-TO92")</f>
        <v>ITBISA-NPN-2N2222-TO92</v>
      </c>
      <c r="B8653" s="266">
        <f>IFERROR(__xludf.DUMMYFUNCTION("""COMPUTED_VALUE"""),45216.0)</f>
        <v>45216</v>
      </c>
      <c r="C8653" s="266" t="str">
        <f>IFERROR(__xludf.DUMMYFUNCTION("""COMPUTED_VALUE"""),"KYAI KONTONG")</f>
        <v>KYAI KONTONG</v>
      </c>
      <c r="D8653" s="186">
        <f>IFERROR(__xludf.DUMMYFUNCTION("""COMPUTED_VALUE"""),2.0)</f>
        <v>2</v>
      </c>
    </row>
    <row r="8654">
      <c r="A8654" s="178" t="str">
        <f>IFERROR(__xludf.DUMMYFUNCTION("""COMPUTED_VALUE"""),"ITBISA-NPN-2N2222-TO92")</f>
        <v>ITBISA-NPN-2N2222-TO92</v>
      </c>
      <c r="B8654" s="266">
        <f>IFERROR(__xludf.DUMMYFUNCTION("""COMPUTED_VALUE"""),45224.0)</f>
        <v>45224</v>
      </c>
      <c r="C8654" s="266" t="str">
        <f>IFERROR(__xludf.DUMMYFUNCTION("""COMPUTED_VALUE"""),"KYAI KONTONG")</f>
        <v>KYAI KONTONG</v>
      </c>
      <c r="D8654" s="186">
        <f>IFERROR(__xludf.DUMMYFUNCTION("""COMPUTED_VALUE"""),6.0)</f>
        <v>6</v>
      </c>
    </row>
    <row r="8655">
      <c r="A8655" s="178" t="str">
        <f>IFERROR(__xludf.DUMMYFUNCTION("""COMPUTED_VALUE"""),"ITBISA-NPN-2N2222-TO92")</f>
        <v>ITBISA-NPN-2N2222-TO92</v>
      </c>
      <c r="B8655" s="266">
        <f>IFERROR(__xludf.DUMMYFUNCTION("""COMPUTED_VALUE"""),45224.0)</f>
        <v>45224</v>
      </c>
      <c r="C8655" s="266" t="str">
        <f>IFERROR(__xludf.DUMMYFUNCTION("""COMPUTED_VALUE"""),"KYAI KONTONG")</f>
        <v>KYAI KONTONG</v>
      </c>
      <c r="D8655" s="186">
        <f>IFERROR(__xludf.DUMMYFUNCTION("""COMPUTED_VALUE"""),20.0)</f>
        <v>20</v>
      </c>
    </row>
    <row r="8656">
      <c r="A8656" s="178" t="str">
        <f>IFERROR(__xludf.DUMMYFUNCTION("""COMPUTED_VALUE"""),"ITBISA-NPN-2N2222-TO92")</f>
        <v>ITBISA-NPN-2N2222-TO92</v>
      </c>
      <c r="B8656" s="266">
        <f>IFERROR(__xludf.DUMMYFUNCTION("""COMPUTED_VALUE"""),45226.0)</f>
        <v>45226</v>
      </c>
      <c r="C8656" s="266" t="str">
        <f>IFERROR(__xludf.DUMMYFUNCTION("""COMPUTED_VALUE"""),"KYAI KONTONG")</f>
        <v>KYAI KONTONG</v>
      </c>
      <c r="D8656" s="186">
        <f>IFERROR(__xludf.DUMMYFUNCTION("""COMPUTED_VALUE"""),5.0)</f>
        <v>5</v>
      </c>
    </row>
    <row r="8657">
      <c r="A8657" s="178" t="str">
        <f>IFERROR(__xludf.DUMMYFUNCTION("""COMPUTED_VALUE"""),"ITBISA-NPN-2N2222-TO92")</f>
        <v>ITBISA-NPN-2N2222-TO92</v>
      </c>
      <c r="B8657" s="266">
        <f>IFERROR(__xludf.DUMMYFUNCTION("""COMPUTED_VALUE"""),45236.0)</f>
        <v>45236</v>
      </c>
      <c r="C8657" s="266" t="str">
        <f>IFERROR(__xludf.DUMMYFUNCTION("""COMPUTED_VALUE"""),"KYAI KONTONG")</f>
        <v>KYAI KONTONG</v>
      </c>
      <c r="D8657" s="186">
        <f>IFERROR(__xludf.DUMMYFUNCTION("""COMPUTED_VALUE"""),10.0)</f>
        <v>10</v>
      </c>
    </row>
    <row r="8658">
      <c r="A8658" s="178" t="str">
        <f>IFERROR(__xludf.DUMMYFUNCTION("""COMPUTED_VALUE"""),"ITBISA-NPN-2N2222-TO92")</f>
        <v>ITBISA-NPN-2N2222-TO92</v>
      </c>
      <c r="B8658" s="266">
        <f>IFERROR(__xludf.DUMMYFUNCTION("""COMPUTED_VALUE"""),45241.0)</f>
        <v>45241</v>
      </c>
      <c r="C8658" s="266" t="str">
        <f>IFERROR(__xludf.DUMMYFUNCTION("""COMPUTED_VALUE"""),"KYAI KONTONG")</f>
        <v>KYAI KONTONG</v>
      </c>
      <c r="D8658" s="186">
        <f>IFERROR(__xludf.DUMMYFUNCTION("""COMPUTED_VALUE"""),100.0)</f>
        <v>100</v>
      </c>
    </row>
    <row r="8659">
      <c r="A8659" s="178" t="str">
        <f>IFERROR(__xludf.DUMMYFUNCTION("""COMPUTED_VALUE"""),"ITBISA-NPN-2N2222-TO92")</f>
        <v>ITBISA-NPN-2N2222-TO92</v>
      </c>
      <c r="B8659" s="266">
        <f>IFERROR(__xludf.DUMMYFUNCTION("""COMPUTED_VALUE"""),45244.0)</f>
        <v>45244</v>
      </c>
      <c r="C8659" s="266" t="str">
        <f>IFERROR(__xludf.DUMMYFUNCTION("""COMPUTED_VALUE"""),"KYAI KONTONG")</f>
        <v>KYAI KONTONG</v>
      </c>
      <c r="D8659" s="186">
        <f>IFERROR(__xludf.DUMMYFUNCTION("""COMPUTED_VALUE"""),50.0)</f>
        <v>50</v>
      </c>
    </row>
    <row r="8660">
      <c r="A8660" s="178" t="str">
        <f>IFERROR(__xludf.DUMMYFUNCTION("""COMPUTED_VALUE"""),"ITBISA-NPN-2N2222-TO92")</f>
        <v>ITBISA-NPN-2N2222-TO92</v>
      </c>
      <c r="B8660" s="266">
        <f>IFERROR(__xludf.DUMMYFUNCTION("""COMPUTED_VALUE"""),45253.0)</f>
        <v>45253</v>
      </c>
      <c r="C8660" s="266" t="str">
        <f>IFERROR(__xludf.DUMMYFUNCTION("""COMPUTED_VALUE"""),"KYAI KONTONG")</f>
        <v>KYAI KONTONG</v>
      </c>
      <c r="D8660" s="186">
        <f>IFERROR(__xludf.DUMMYFUNCTION("""COMPUTED_VALUE"""),100.0)</f>
        <v>100</v>
      </c>
    </row>
    <row r="8661">
      <c r="A8661" s="178" t="str">
        <f>IFERROR(__xludf.DUMMYFUNCTION("""COMPUTED_VALUE"""),"ITBISA-NPN-2N2222-TO92")</f>
        <v>ITBISA-NPN-2N2222-TO92</v>
      </c>
      <c r="B8661" s="266">
        <f>IFERROR(__xludf.DUMMYFUNCTION("""COMPUTED_VALUE"""),45269.0)</f>
        <v>45269</v>
      </c>
      <c r="C8661" s="266" t="str">
        <f>IFERROR(__xludf.DUMMYFUNCTION("""COMPUTED_VALUE"""),"KYAI KONTONG")</f>
        <v>KYAI KONTONG</v>
      </c>
      <c r="D8661" s="186">
        <f>IFERROR(__xludf.DUMMYFUNCTION("""COMPUTED_VALUE"""),20.0)</f>
        <v>20</v>
      </c>
    </row>
    <row r="8662">
      <c r="A8662" s="178" t="str">
        <f>IFERROR(__xludf.DUMMYFUNCTION("""COMPUTED_VALUE"""),"ITBISA-NPN-2N2222-TO92")</f>
        <v>ITBISA-NPN-2N2222-TO92</v>
      </c>
      <c r="B8662" s="266">
        <f>IFERROR(__xludf.DUMMYFUNCTION("""COMPUTED_VALUE"""),45272.0)</f>
        <v>45272</v>
      </c>
      <c r="C8662" s="266" t="str">
        <f>IFERROR(__xludf.DUMMYFUNCTION("""COMPUTED_VALUE"""),"KYAI KONTONG")</f>
        <v>KYAI KONTONG</v>
      </c>
      <c r="D8662" s="186">
        <f>IFERROR(__xludf.DUMMYFUNCTION("""COMPUTED_VALUE"""),2.0)</f>
        <v>2</v>
      </c>
    </row>
    <row r="8663">
      <c r="A8663" s="178" t="str">
        <f>IFERROR(__xludf.DUMMYFUNCTION("""COMPUTED_VALUE"""),"ITBISA-NPN-2N2222-TO92")</f>
        <v>ITBISA-NPN-2N2222-TO92</v>
      </c>
      <c r="B8663" s="266">
        <f>IFERROR(__xludf.DUMMYFUNCTION("""COMPUTED_VALUE"""),45278.0)</f>
        <v>45278</v>
      </c>
      <c r="C8663" s="266" t="str">
        <f>IFERROR(__xludf.DUMMYFUNCTION("""COMPUTED_VALUE"""),"KYAI KONTONG")</f>
        <v>KYAI KONTONG</v>
      </c>
      <c r="D8663" s="186">
        <f>IFERROR(__xludf.DUMMYFUNCTION("""COMPUTED_VALUE"""),1.0)</f>
        <v>1</v>
      </c>
    </row>
    <row r="8664">
      <c r="A8664" s="178" t="str">
        <f>IFERROR(__xludf.DUMMYFUNCTION("""COMPUTED_VALUE"""),"ITBISA-NPN-2N2222-TO92")</f>
        <v>ITBISA-NPN-2N2222-TO92</v>
      </c>
      <c r="B8664" s="266">
        <f>IFERROR(__xludf.DUMMYFUNCTION("""COMPUTED_VALUE"""),45285.0)</f>
        <v>45285</v>
      </c>
      <c r="C8664" s="266" t="str">
        <f>IFERROR(__xludf.DUMMYFUNCTION("""COMPUTED_VALUE"""),"KYAI KONTONG")</f>
        <v>KYAI KONTONG</v>
      </c>
      <c r="D8664" s="186">
        <f>IFERROR(__xludf.DUMMYFUNCTION("""COMPUTED_VALUE"""),20.0)</f>
        <v>20</v>
      </c>
    </row>
    <row r="8665">
      <c r="A8665" s="178" t="str">
        <f>IFERROR(__xludf.DUMMYFUNCTION("""COMPUTED_VALUE"""),"ITBISA-NPN-2N2222-TO92")</f>
        <v>ITBISA-NPN-2N2222-TO92</v>
      </c>
      <c r="B8665" s="266">
        <f>IFERROR(__xludf.DUMMYFUNCTION("""COMPUTED_VALUE"""),45285.0)</f>
        <v>45285</v>
      </c>
      <c r="C8665" s="266" t="str">
        <f>IFERROR(__xludf.DUMMYFUNCTION("""COMPUTED_VALUE"""),"KYAI KONTONG")</f>
        <v>KYAI KONTONG</v>
      </c>
      <c r="D8665" s="186">
        <f>IFERROR(__xludf.DUMMYFUNCTION("""COMPUTED_VALUE"""),1000.0)</f>
        <v>1000</v>
      </c>
    </row>
    <row r="8666">
      <c r="A8666" s="178" t="str">
        <f>IFERROR(__xludf.DUMMYFUNCTION("""COMPUTED_VALUE"""),"ITBISA-NPN-2N2222-TO92")</f>
        <v>ITBISA-NPN-2N2222-TO92</v>
      </c>
      <c r="B8666" s="266">
        <f>IFERROR(__xludf.DUMMYFUNCTION("""COMPUTED_VALUE"""),45302.0)</f>
        <v>45302</v>
      </c>
      <c r="C8666" s="266" t="str">
        <f>IFERROR(__xludf.DUMMYFUNCTION("""COMPUTED_VALUE"""),"KERTASARI CIAMIS")</f>
        <v>KERTASARI CIAMIS</v>
      </c>
      <c r="D8666" s="186">
        <f>IFERROR(__xludf.DUMMYFUNCTION("""COMPUTED_VALUE"""),200.0)</f>
        <v>200</v>
      </c>
    </row>
    <row r="8667">
      <c r="A8667" s="178" t="str">
        <f>IFERROR(__xludf.DUMMYFUNCTION("""COMPUTED_VALUE"""),"ITBISA-NPN-2N2222-TO92")</f>
        <v>ITBISA-NPN-2N2222-TO92</v>
      </c>
      <c r="B8667" s="266">
        <f>IFERROR(__xludf.DUMMYFUNCTION("""COMPUTED_VALUE"""),45319.0)</f>
        <v>45319</v>
      </c>
      <c r="C8667" s="266" t="str">
        <f>IFERROR(__xludf.DUMMYFUNCTION("""COMPUTED_VALUE"""),"KERTASARI CIAMIS")</f>
        <v>KERTASARI CIAMIS</v>
      </c>
      <c r="D8667" s="186">
        <f>IFERROR(__xludf.DUMMYFUNCTION("""COMPUTED_VALUE"""),250.0)</f>
        <v>250</v>
      </c>
    </row>
    <row r="8668">
      <c r="A8668" s="178" t="str">
        <f>IFERROR(__xludf.DUMMYFUNCTION("""COMPUTED_VALUE"""),"ITBISA-NPN-2N2222-TO92")</f>
        <v>ITBISA-NPN-2N2222-TO92</v>
      </c>
      <c r="B8668" s="266">
        <f>IFERROR(__xludf.DUMMYFUNCTION("""COMPUTED_VALUE"""),45322.0)</f>
        <v>45322</v>
      </c>
      <c r="C8668" s="266" t="str">
        <f>IFERROR(__xludf.DUMMYFUNCTION("""COMPUTED_VALUE"""),"KYAI KONTONG")</f>
        <v>KYAI KONTONG</v>
      </c>
      <c r="D8668" s="186">
        <f>IFERROR(__xludf.DUMMYFUNCTION("""COMPUTED_VALUE"""),32.0)</f>
        <v>32</v>
      </c>
    </row>
    <row r="8669">
      <c r="A8669" s="178" t="str">
        <f>IFERROR(__xludf.DUMMYFUNCTION("""COMPUTED_VALUE"""),"ITBISA-NPN-2N2222-TO92")</f>
        <v>ITBISA-NPN-2N2222-TO92</v>
      </c>
      <c r="B8669" s="266">
        <f>IFERROR(__xludf.DUMMYFUNCTION("""COMPUTED_VALUE"""),45324.0)</f>
        <v>45324</v>
      </c>
      <c r="C8669" s="266" t="str">
        <f>IFERROR(__xludf.DUMMYFUNCTION("""COMPUTED_VALUE"""),"KERTASARI CIAMIS")</f>
        <v>KERTASARI CIAMIS</v>
      </c>
      <c r="D8669" s="186">
        <f>IFERROR(__xludf.DUMMYFUNCTION("""COMPUTED_VALUE"""),10.0)</f>
        <v>10</v>
      </c>
    </row>
    <row r="8670">
      <c r="A8670" s="178" t="str">
        <f>IFERROR(__xludf.DUMMYFUNCTION("""COMPUTED_VALUE"""),"ITBISA-NPN-2N2222-TO92")</f>
        <v>ITBISA-NPN-2N2222-TO92</v>
      </c>
      <c r="B8670" s="266">
        <f>IFERROR(__xludf.DUMMYFUNCTION("""COMPUTED_VALUE"""),45338.0)</f>
        <v>45338</v>
      </c>
      <c r="C8670" s="266" t="str">
        <f>IFERROR(__xludf.DUMMYFUNCTION("""COMPUTED_VALUE"""),"KERTASARI CIAMIS")</f>
        <v>KERTASARI CIAMIS</v>
      </c>
      <c r="D8670" s="186">
        <f>IFERROR(__xludf.DUMMYFUNCTION("""COMPUTED_VALUE"""),16.0)</f>
        <v>16</v>
      </c>
    </row>
    <row r="8671">
      <c r="A8671" s="178" t="str">
        <f>IFERROR(__xludf.DUMMYFUNCTION("""COMPUTED_VALUE"""),"ITBISA-NPN-2N2222-TO92")</f>
        <v>ITBISA-NPN-2N2222-TO92</v>
      </c>
      <c r="B8671" s="266">
        <f>IFERROR(__xludf.DUMMYFUNCTION("""COMPUTED_VALUE"""),45339.0)</f>
        <v>45339</v>
      </c>
      <c r="C8671" s="266" t="str">
        <f>IFERROR(__xludf.DUMMYFUNCTION("""COMPUTED_VALUE"""),"KERTASARI CIAMIS")</f>
        <v>KERTASARI CIAMIS</v>
      </c>
      <c r="D8671" s="186">
        <f>IFERROR(__xludf.DUMMYFUNCTION("""COMPUTED_VALUE"""),2.0)</f>
        <v>2</v>
      </c>
    </row>
    <row r="8672">
      <c r="A8672" s="178" t="str">
        <f>IFERROR(__xludf.DUMMYFUNCTION("""COMPUTED_VALUE"""),"ITBISA-NPN-2N2222-TO92")</f>
        <v>ITBISA-NPN-2N2222-TO92</v>
      </c>
      <c r="B8672" s="266">
        <f>IFERROR(__xludf.DUMMYFUNCTION("""COMPUTED_VALUE"""),45339.0)</f>
        <v>45339</v>
      </c>
      <c r="C8672" s="266" t="str">
        <f>IFERROR(__xludf.DUMMYFUNCTION("""COMPUTED_VALUE"""),"KERTASARI CIAMIS")</f>
        <v>KERTASARI CIAMIS</v>
      </c>
      <c r="D8672" s="186">
        <f>IFERROR(__xludf.DUMMYFUNCTION("""COMPUTED_VALUE"""),12.0)</f>
        <v>12</v>
      </c>
    </row>
    <row r="8673">
      <c r="A8673" s="178" t="str">
        <f>IFERROR(__xludf.DUMMYFUNCTION("""COMPUTED_VALUE"""),"ITBISA-NPN-2N2222-TO92")</f>
        <v>ITBISA-NPN-2N2222-TO92</v>
      </c>
      <c r="B8673" s="266">
        <f>IFERROR(__xludf.DUMMYFUNCTION("""COMPUTED_VALUE"""),45347.0)</f>
        <v>45347</v>
      </c>
      <c r="C8673" s="266" t="str">
        <f>IFERROR(__xludf.DUMMYFUNCTION("""COMPUTED_VALUE"""),"KERTASARI CIAMIS")</f>
        <v>KERTASARI CIAMIS</v>
      </c>
      <c r="D8673" s="186">
        <f>IFERROR(__xludf.DUMMYFUNCTION("""COMPUTED_VALUE"""),100.0)</f>
        <v>100</v>
      </c>
    </row>
    <row r="8674">
      <c r="A8674" s="178" t="str">
        <f>IFERROR(__xludf.DUMMYFUNCTION("""COMPUTED_VALUE"""),"ITBISA-NPN-2N2222-TO92")</f>
        <v>ITBISA-NPN-2N2222-TO92</v>
      </c>
      <c r="B8674" s="266">
        <f>IFERROR(__xludf.DUMMYFUNCTION("""COMPUTED_VALUE"""),45351.0)</f>
        <v>45351</v>
      </c>
      <c r="C8674" s="266" t="str">
        <f>IFERROR(__xludf.DUMMYFUNCTION("""COMPUTED_VALUE"""),"KERTASARI CIAMIS")</f>
        <v>KERTASARI CIAMIS</v>
      </c>
      <c r="D8674" s="186">
        <f>IFERROR(__xludf.DUMMYFUNCTION("""COMPUTED_VALUE"""),10.0)</f>
        <v>10</v>
      </c>
    </row>
    <row r="8675">
      <c r="A8675" s="178" t="str">
        <f>IFERROR(__xludf.DUMMYFUNCTION("""COMPUTED_VALUE"""),"ITBISA-NPN-2N2222-TO92")</f>
        <v>ITBISA-NPN-2N2222-TO92</v>
      </c>
      <c r="B8675" s="266">
        <f>IFERROR(__xludf.DUMMYFUNCTION("""COMPUTED_VALUE"""),45370.0)</f>
        <v>45370</v>
      </c>
      <c r="C8675" s="266" t="str">
        <f>IFERROR(__xludf.DUMMYFUNCTION("""COMPUTED_VALUE"""),"KERTASARI CIAMIS")</f>
        <v>KERTASARI CIAMIS</v>
      </c>
      <c r="D8675" s="186">
        <f>IFERROR(__xludf.DUMMYFUNCTION("""COMPUTED_VALUE"""),10.0)</f>
        <v>10</v>
      </c>
    </row>
    <row r="8676">
      <c r="A8676" s="178" t="str">
        <f>IFERROR(__xludf.DUMMYFUNCTION("""COMPUTED_VALUE"""),"ITBISA-NPN-2N2222-TO92")</f>
        <v>ITBISA-NPN-2N2222-TO92</v>
      </c>
      <c r="B8676" s="266">
        <f>IFERROR(__xludf.DUMMYFUNCTION("""COMPUTED_VALUE"""),45373.0)</f>
        <v>45373</v>
      </c>
      <c r="C8676" s="266" t="str">
        <f>IFERROR(__xludf.DUMMYFUNCTION("""COMPUTED_VALUE"""),"KERTASARI CIAMIS")</f>
        <v>KERTASARI CIAMIS</v>
      </c>
      <c r="D8676" s="186">
        <f>IFERROR(__xludf.DUMMYFUNCTION("""COMPUTED_VALUE"""),30.0)</f>
        <v>30</v>
      </c>
    </row>
    <row r="8677">
      <c r="A8677" s="178" t="str">
        <f>IFERROR(__xludf.DUMMYFUNCTION("""COMPUTED_VALUE"""),"ITBISA-NPN-2N2222-TO92")</f>
        <v>ITBISA-NPN-2N2222-TO92</v>
      </c>
      <c r="B8677" s="266">
        <f>IFERROR(__xludf.DUMMYFUNCTION("""COMPUTED_VALUE"""),45374.0)</f>
        <v>45374</v>
      </c>
      <c r="C8677" s="266" t="str">
        <f>IFERROR(__xludf.DUMMYFUNCTION("""COMPUTED_VALUE"""),"KYAI KONTONG")</f>
        <v>KYAI KONTONG</v>
      </c>
      <c r="D8677" s="186">
        <f>IFERROR(__xludf.DUMMYFUNCTION("""COMPUTED_VALUE"""),50.0)</f>
        <v>50</v>
      </c>
    </row>
    <row r="8678">
      <c r="A8678" s="178" t="str">
        <f>IFERROR(__xludf.DUMMYFUNCTION("""COMPUTED_VALUE"""),"ITBISA-NPN-2N2222-TO92")</f>
        <v>ITBISA-NPN-2N2222-TO92</v>
      </c>
      <c r="B8678" s="266">
        <f>IFERROR(__xludf.DUMMYFUNCTION("""COMPUTED_VALUE"""),45380.0)</f>
        <v>45380</v>
      </c>
      <c r="C8678" s="266" t="str">
        <f>IFERROR(__xludf.DUMMYFUNCTION("""COMPUTED_VALUE"""),"KERTASARI CIAMIS")</f>
        <v>KERTASARI CIAMIS</v>
      </c>
      <c r="D8678" s="186">
        <f>IFERROR(__xludf.DUMMYFUNCTION("""COMPUTED_VALUE"""),400.0)</f>
        <v>400</v>
      </c>
    </row>
    <row r="8679">
      <c r="A8679" s="178" t="str">
        <f>IFERROR(__xludf.DUMMYFUNCTION("""COMPUTED_VALUE"""),"ITBISA-NPN-2N2222-TO92")</f>
        <v>ITBISA-NPN-2N2222-TO92</v>
      </c>
      <c r="B8679" s="266">
        <f>IFERROR(__xludf.DUMMYFUNCTION("""COMPUTED_VALUE"""),45381.0)</f>
        <v>45381</v>
      </c>
      <c r="C8679" s="266" t="str">
        <f>IFERROR(__xludf.DUMMYFUNCTION("""COMPUTED_VALUE"""),"KERTASARI CIAMIS")</f>
        <v>KERTASARI CIAMIS</v>
      </c>
      <c r="D8679" s="186">
        <f>IFERROR(__xludf.DUMMYFUNCTION("""COMPUTED_VALUE"""),40.0)</f>
        <v>40</v>
      </c>
    </row>
    <row r="8680">
      <c r="A8680" s="178" t="str">
        <f>IFERROR(__xludf.DUMMYFUNCTION("""COMPUTED_VALUE"""),"ITBISA-NPN-2N2222-TO92")</f>
        <v>ITBISA-NPN-2N2222-TO92</v>
      </c>
      <c r="B8680" s="266">
        <f>IFERROR(__xludf.DUMMYFUNCTION("""COMPUTED_VALUE"""),45388.0)</f>
        <v>45388</v>
      </c>
      <c r="C8680" s="266" t="str">
        <f>IFERROR(__xludf.DUMMYFUNCTION("""COMPUTED_VALUE"""),"KERTASARI CIAMIS")</f>
        <v>KERTASARI CIAMIS</v>
      </c>
      <c r="D8680" s="186">
        <f>IFERROR(__xludf.DUMMYFUNCTION("""COMPUTED_VALUE"""),10.0)</f>
        <v>10</v>
      </c>
    </row>
    <row r="8681">
      <c r="A8681" s="178" t="str">
        <f>IFERROR(__xludf.DUMMYFUNCTION("""COMPUTED_VALUE"""),"ITBISA-NPN-2N2222-TO92")</f>
        <v>ITBISA-NPN-2N2222-TO92</v>
      </c>
      <c r="B8681" s="266">
        <f>IFERROR(__xludf.DUMMYFUNCTION("""COMPUTED_VALUE"""),45391.0)</f>
        <v>45391</v>
      </c>
      <c r="C8681" s="266" t="str">
        <f>IFERROR(__xludf.DUMMYFUNCTION("""COMPUTED_VALUE"""),"KERTASARI CIAMIS")</f>
        <v>KERTASARI CIAMIS</v>
      </c>
      <c r="D8681" s="186">
        <f>IFERROR(__xludf.DUMMYFUNCTION("""COMPUTED_VALUE"""),10.0)</f>
        <v>10</v>
      </c>
    </row>
    <row r="8682">
      <c r="A8682" s="178" t="str">
        <f>IFERROR(__xludf.DUMMYFUNCTION("""COMPUTED_VALUE"""),"ITBISA-NPN-2N2222-TO92")</f>
        <v>ITBISA-NPN-2N2222-TO92</v>
      </c>
      <c r="B8682" s="266">
        <f>IFERROR(__xludf.DUMMYFUNCTION("""COMPUTED_VALUE"""),45393.0)</f>
        <v>45393</v>
      </c>
      <c r="C8682" s="266" t="str">
        <f>IFERROR(__xludf.DUMMYFUNCTION("""COMPUTED_VALUE"""),"KERTASARI CIAMIS")</f>
        <v>KERTASARI CIAMIS</v>
      </c>
      <c r="D8682" s="186">
        <f>IFERROR(__xludf.DUMMYFUNCTION("""COMPUTED_VALUE"""),30.0)</f>
        <v>30</v>
      </c>
    </row>
    <row r="8683">
      <c r="A8683" s="178" t="str">
        <f>IFERROR(__xludf.DUMMYFUNCTION("""COMPUTED_VALUE"""),"ITBISA-NPN-2N2222-TO92")</f>
        <v>ITBISA-NPN-2N2222-TO92</v>
      </c>
      <c r="B8683" s="266">
        <f>IFERROR(__xludf.DUMMYFUNCTION("""COMPUTED_VALUE"""),45396.0)</f>
        <v>45396</v>
      </c>
      <c r="C8683" s="266" t="str">
        <f>IFERROR(__xludf.DUMMYFUNCTION("""COMPUTED_VALUE"""),"KERTASARI CIAMIS")</f>
        <v>KERTASARI CIAMIS</v>
      </c>
      <c r="D8683" s="186">
        <f>IFERROR(__xludf.DUMMYFUNCTION("""COMPUTED_VALUE"""),60.0)</f>
        <v>60</v>
      </c>
    </row>
    <row r="8684">
      <c r="A8684" s="178" t="str">
        <f>IFERROR(__xludf.DUMMYFUNCTION("""COMPUTED_VALUE"""),"ITBISA-NPN-2N2222-TO92")</f>
        <v>ITBISA-NPN-2N2222-TO92</v>
      </c>
      <c r="B8684" s="266">
        <f>IFERROR(__xludf.DUMMYFUNCTION("""COMPUTED_VALUE"""),45398.0)</f>
        <v>45398</v>
      </c>
      <c r="C8684" s="266" t="str">
        <f>IFERROR(__xludf.DUMMYFUNCTION("""COMPUTED_VALUE"""),"KERTASARI CIAMIS")</f>
        <v>KERTASARI CIAMIS</v>
      </c>
      <c r="D8684" s="186">
        <f>IFERROR(__xludf.DUMMYFUNCTION("""COMPUTED_VALUE"""),10.0)</f>
        <v>10</v>
      </c>
    </row>
    <row r="8685">
      <c r="A8685" s="178" t="str">
        <f>IFERROR(__xludf.DUMMYFUNCTION("""COMPUTED_VALUE"""),"ITBISA-NPN-2N2222-TO92")</f>
        <v>ITBISA-NPN-2N2222-TO92</v>
      </c>
      <c r="B8685" s="266">
        <f>IFERROR(__xludf.DUMMYFUNCTION("""COMPUTED_VALUE"""),45398.0)</f>
        <v>45398</v>
      </c>
      <c r="C8685" s="266" t="str">
        <f>IFERROR(__xludf.DUMMYFUNCTION("""COMPUTED_VALUE"""),"KYAI KONTONG")</f>
        <v>KYAI KONTONG</v>
      </c>
      <c r="D8685" s="186">
        <f>IFERROR(__xludf.DUMMYFUNCTION("""COMPUTED_VALUE"""),10.0)</f>
        <v>10</v>
      </c>
    </row>
    <row r="8686">
      <c r="A8686" s="178" t="str">
        <f>IFERROR(__xludf.DUMMYFUNCTION("""COMPUTED_VALUE"""),"ITBISA-NPN-2N2222-TO92")</f>
        <v>ITBISA-NPN-2N2222-TO92</v>
      </c>
      <c r="B8686" s="266">
        <f>IFERROR(__xludf.DUMMYFUNCTION("""COMPUTED_VALUE"""),45400.0)</f>
        <v>45400</v>
      </c>
      <c r="C8686" s="266" t="str">
        <f>IFERROR(__xludf.DUMMYFUNCTION("""COMPUTED_VALUE"""),"KERTASARI CIAMIS")</f>
        <v>KERTASARI CIAMIS</v>
      </c>
      <c r="D8686" s="186">
        <f>IFERROR(__xludf.DUMMYFUNCTION("""COMPUTED_VALUE"""),100.0)</f>
        <v>100</v>
      </c>
    </row>
    <row r="8687">
      <c r="A8687" s="178" t="str">
        <f>IFERROR(__xludf.DUMMYFUNCTION("""COMPUTED_VALUE"""),"ITBISA-NPN-2N2222-TO92")</f>
        <v>ITBISA-NPN-2N2222-TO92</v>
      </c>
      <c r="B8687" s="266">
        <f>IFERROR(__xludf.DUMMYFUNCTION("""COMPUTED_VALUE"""),45405.0)</f>
        <v>45405</v>
      </c>
      <c r="C8687" s="266" t="str">
        <f>IFERROR(__xludf.DUMMYFUNCTION("""COMPUTED_VALUE"""),"RANCAEKEK ESTU")</f>
        <v>RANCAEKEK ESTU</v>
      </c>
      <c r="D8687" s="186">
        <f>IFERROR(__xludf.DUMMYFUNCTION("""COMPUTED_VALUE"""),2000.0)</f>
        <v>2000</v>
      </c>
    </row>
    <row r="8688">
      <c r="A8688" s="178" t="str">
        <f>IFERROR(__xludf.DUMMYFUNCTION("""COMPUTED_VALUE"""),"ITBISA-NPN-2N2222-TO92")</f>
        <v>ITBISA-NPN-2N2222-TO92</v>
      </c>
      <c r="B8688" s="266">
        <f>IFERROR(__xludf.DUMMYFUNCTION("""COMPUTED_VALUE"""),45411.0)</f>
        <v>45411</v>
      </c>
      <c r="C8688" s="266" t="str">
        <f>IFERROR(__xludf.DUMMYFUNCTION("""COMPUTED_VALUE"""),"KERTASARI CIAMIS")</f>
        <v>KERTASARI CIAMIS</v>
      </c>
      <c r="D8688" s="186">
        <f>IFERROR(__xludf.DUMMYFUNCTION("""COMPUTED_VALUE"""),10.0)</f>
        <v>10</v>
      </c>
    </row>
    <row r="8689">
      <c r="A8689" s="178" t="str">
        <f>IFERROR(__xludf.DUMMYFUNCTION("""COMPUTED_VALUE"""),"ITBISA-NPN-2N2222-TO92")</f>
        <v>ITBISA-NPN-2N2222-TO92</v>
      </c>
      <c r="B8689" s="266">
        <f>IFERROR(__xludf.DUMMYFUNCTION("""COMPUTED_VALUE"""),45424.0)</f>
        <v>45424</v>
      </c>
      <c r="C8689" s="266" t="str">
        <f>IFERROR(__xludf.DUMMYFUNCTION("""COMPUTED_VALUE"""),"KERTASARI CIAMIS")</f>
        <v>KERTASARI CIAMIS</v>
      </c>
      <c r="D8689" s="186">
        <f>IFERROR(__xludf.DUMMYFUNCTION("""COMPUTED_VALUE"""),20.0)</f>
        <v>20</v>
      </c>
    </row>
    <row r="8690">
      <c r="A8690" s="178" t="str">
        <f>IFERROR(__xludf.DUMMYFUNCTION("""COMPUTED_VALUE"""),"ITBISA-NPN-2N2222-TO92")</f>
        <v>ITBISA-NPN-2N2222-TO92</v>
      </c>
      <c r="B8690" s="266">
        <f>IFERROR(__xludf.DUMMYFUNCTION("""COMPUTED_VALUE"""),45428.0)</f>
        <v>45428</v>
      </c>
      <c r="C8690" s="266" t="str">
        <f>IFERROR(__xludf.DUMMYFUNCTION("""COMPUTED_VALUE"""),"KERTASARI CIAMIS")</f>
        <v>KERTASARI CIAMIS</v>
      </c>
      <c r="D8690" s="186">
        <f>IFERROR(__xludf.DUMMYFUNCTION("""COMPUTED_VALUE"""),10.0)</f>
        <v>10</v>
      </c>
    </row>
    <row r="8691">
      <c r="A8691" s="178" t="str">
        <f>IFERROR(__xludf.DUMMYFUNCTION("""COMPUTED_VALUE"""),"ITBISA-NPN-2N2222-TO92")</f>
        <v>ITBISA-NPN-2N2222-TO92</v>
      </c>
      <c r="B8691" s="266">
        <f>IFERROR(__xludf.DUMMYFUNCTION("""COMPUTED_VALUE"""),45447.0)</f>
        <v>45447</v>
      </c>
      <c r="C8691" s="266" t="str">
        <f>IFERROR(__xludf.DUMMYFUNCTION("""COMPUTED_VALUE"""),"KERTASARI CIAMIS")</f>
        <v>KERTASARI CIAMIS</v>
      </c>
      <c r="D8691" s="186">
        <f>IFERROR(__xludf.DUMMYFUNCTION("""COMPUTED_VALUE"""),10.0)</f>
        <v>10</v>
      </c>
    </row>
    <row r="8692">
      <c r="A8692" s="178" t="str">
        <f>IFERROR(__xludf.DUMMYFUNCTION("""COMPUTED_VALUE"""),"ITBISA-NPN-2N2222-TO92")</f>
        <v>ITBISA-NPN-2N2222-TO92</v>
      </c>
      <c r="B8692" s="266">
        <f>IFERROR(__xludf.DUMMYFUNCTION("""COMPUTED_VALUE"""),45449.0)</f>
        <v>45449</v>
      </c>
      <c r="C8692" s="266" t="str">
        <f>IFERROR(__xludf.DUMMYFUNCTION("""COMPUTED_VALUE"""),"KERTASARI CIAMIS")</f>
        <v>KERTASARI CIAMIS</v>
      </c>
      <c r="D8692" s="186">
        <f>IFERROR(__xludf.DUMMYFUNCTION("""COMPUTED_VALUE"""),10.0)</f>
        <v>10</v>
      </c>
    </row>
    <row r="8693">
      <c r="A8693" s="178" t="str">
        <f>IFERROR(__xludf.DUMMYFUNCTION("""COMPUTED_VALUE"""),"ITBISA-NPN-2N2222-TO92")</f>
        <v>ITBISA-NPN-2N2222-TO92</v>
      </c>
      <c r="B8693" s="266">
        <f>IFERROR(__xludf.DUMMYFUNCTION("""COMPUTED_VALUE"""),45453.0)</f>
        <v>45453</v>
      </c>
      <c r="C8693" s="266" t="str">
        <f>IFERROR(__xludf.DUMMYFUNCTION("""COMPUTED_VALUE"""),"KERTASARI CIAMIS")</f>
        <v>KERTASARI CIAMIS</v>
      </c>
      <c r="D8693" s="186">
        <f>IFERROR(__xludf.DUMMYFUNCTION("""COMPUTED_VALUE"""),10.0)</f>
        <v>10</v>
      </c>
    </row>
    <row r="8694">
      <c r="A8694" s="178" t="str">
        <f>IFERROR(__xludf.DUMMYFUNCTION("""COMPUTED_VALUE"""),"ITBISA-NPN-2N2222-TO92")</f>
        <v>ITBISA-NPN-2N2222-TO92</v>
      </c>
      <c r="B8694" s="266">
        <f>IFERROR(__xludf.DUMMYFUNCTION("""COMPUTED_VALUE"""),45460.0)</f>
        <v>45460</v>
      </c>
      <c r="C8694" s="266" t="str">
        <f>IFERROR(__xludf.DUMMYFUNCTION("""COMPUTED_VALUE"""),"KERTASARI CIAMIS")</f>
        <v>KERTASARI CIAMIS</v>
      </c>
      <c r="D8694" s="186">
        <f>IFERROR(__xludf.DUMMYFUNCTION("""COMPUTED_VALUE"""),50.0)</f>
        <v>50</v>
      </c>
    </row>
    <row r="8695">
      <c r="A8695" s="178" t="str">
        <f>IFERROR(__xludf.DUMMYFUNCTION("""COMPUTED_VALUE"""),"ITBISA-NPN-2N2222-TO92")</f>
        <v>ITBISA-NPN-2N2222-TO92</v>
      </c>
      <c r="B8695" s="266">
        <f>IFERROR(__xludf.DUMMYFUNCTION("""COMPUTED_VALUE"""),45467.0)</f>
        <v>45467</v>
      </c>
      <c r="C8695" s="266" t="str">
        <f>IFERROR(__xludf.DUMMYFUNCTION("""COMPUTED_VALUE"""),"KYAI KONTONG")</f>
        <v>KYAI KONTONG</v>
      </c>
      <c r="D8695" s="186">
        <f>IFERROR(__xludf.DUMMYFUNCTION("""COMPUTED_VALUE"""),20.0)</f>
        <v>20</v>
      </c>
    </row>
    <row r="8696">
      <c r="A8696" s="178" t="str">
        <f>IFERROR(__xludf.DUMMYFUNCTION("""COMPUTED_VALUE"""),"ITBISA-NPN-2N2222-TO92")</f>
        <v>ITBISA-NPN-2N2222-TO92</v>
      </c>
      <c r="B8696" s="266">
        <f>IFERROR(__xludf.DUMMYFUNCTION("""COMPUTED_VALUE"""),45468.0)</f>
        <v>45468</v>
      </c>
      <c r="C8696" s="266" t="str">
        <f>IFERROR(__xludf.DUMMYFUNCTION("""COMPUTED_VALUE"""),"KERTASARI CIAMIS")</f>
        <v>KERTASARI CIAMIS</v>
      </c>
      <c r="D8696" s="186">
        <f>IFERROR(__xludf.DUMMYFUNCTION("""COMPUTED_VALUE"""),10.0)</f>
        <v>10</v>
      </c>
    </row>
    <row r="8697">
      <c r="A8697" s="178" t="str">
        <f>IFERROR(__xludf.DUMMYFUNCTION("""COMPUTED_VALUE"""),"ITBISA-NPN-2N2222-TO92")</f>
        <v>ITBISA-NPN-2N2222-TO92</v>
      </c>
      <c r="B8697" s="266">
        <f>IFERROR(__xludf.DUMMYFUNCTION("""COMPUTED_VALUE"""),45468.0)</f>
        <v>45468</v>
      </c>
      <c r="C8697" s="266" t="str">
        <f>IFERROR(__xludf.DUMMYFUNCTION("""COMPUTED_VALUE"""),"KERTASARI CIAMIS")</f>
        <v>KERTASARI CIAMIS</v>
      </c>
      <c r="D8697" s="186">
        <f>IFERROR(__xludf.DUMMYFUNCTION("""COMPUTED_VALUE"""),1000.0)</f>
        <v>1000</v>
      </c>
    </row>
    <row r="8698">
      <c r="A8698" s="178" t="str">
        <f>IFERROR(__xludf.DUMMYFUNCTION("""COMPUTED_VALUE"""),"ITBISA-NPN-2N2222-TO92")</f>
        <v>ITBISA-NPN-2N2222-TO92</v>
      </c>
      <c r="B8698" s="266">
        <f>IFERROR(__xludf.DUMMYFUNCTION("""COMPUTED_VALUE"""),45472.0)</f>
        <v>45472</v>
      </c>
      <c r="C8698" s="266" t="str">
        <f>IFERROR(__xludf.DUMMYFUNCTION("""COMPUTED_VALUE"""),"KERTASARI CIAMIS")</f>
        <v>KERTASARI CIAMIS</v>
      </c>
      <c r="D8698" s="186">
        <f>IFERROR(__xludf.DUMMYFUNCTION("""COMPUTED_VALUE"""),20.0)</f>
        <v>20</v>
      </c>
    </row>
    <row r="8699">
      <c r="A8699" s="178" t="str">
        <f>IFERROR(__xludf.DUMMYFUNCTION("""COMPUTED_VALUE"""),"ITBISA-NPN-2N2222-TO92")</f>
        <v>ITBISA-NPN-2N2222-TO92</v>
      </c>
      <c r="B8699" s="266">
        <f>IFERROR(__xludf.DUMMYFUNCTION("""COMPUTED_VALUE"""),45473.0)</f>
        <v>45473</v>
      </c>
      <c r="C8699" s="266" t="str">
        <f>IFERROR(__xludf.DUMMYFUNCTION("""COMPUTED_VALUE"""),"KERTASARI CIAMIS")</f>
        <v>KERTASARI CIAMIS</v>
      </c>
      <c r="D8699" s="186">
        <f>IFERROR(__xludf.DUMMYFUNCTION("""COMPUTED_VALUE"""),20.0)</f>
        <v>20</v>
      </c>
    </row>
    <row r="8700">
      <c r="A8700" s="178" t="str">
        <f>IFERROR(__xludf.DUMMYFUNCTION("""COMPUTED_VALUE"""),"ITBISA-NPN-2N2222-TO92")</f>
        <v>ITBISA-NPN-2N2222-TO92</v>
      </c>
      <c r="B8700" s="266">
        <f>IFERROR(__xludf.DUMMYFUNCTION("""COMPUTED_VALUE"""),45479.0)</f>
        <v>45479</v>
      </c>
      <c r="C8700" s="266" t="str">
        <f>IFERROR(__xludf.DUMMYFUNCTION("""COMPUTED_VALUE"""),"KYAI KONTONG")</f>
        <v>KYAI KONTONG</v>
      </c>
      <c r="D8700" s="186">
        <f>IFERROR(__xludf.DUMMYFUNCTION("""COMPUTED_VALUE"""),20.0)</f>
        <v>20</v>
      </c>
    </row>
    <row r="8701">
      <c r="A8701" s="178" t="str">
        <f>IFERROR(__xludf.DUMMYFUNCTION("""COMPUTED_VALUE"""),"ITBISA-NPN-2N2222-TO92")</f>
        <v>ITBISA-NPN-2N2222-TO92</v>
      </c>
      <c r="B8701" s="266">
        <f>IFERROR(__xludf.DUMMYFUNCTION("""COMPUTED_VALUE"""),45481.0)</f>
        <v>45481</v>
      </c>
      <c r="C8701" s="266" t="str">
        <f>IFERROR(__xludf.DUMMYFUNCTION("""COMPUTED_VALUE"""),"KERTASARI CIAMIS")</f>
        <v>KERTASARI CIAMIS</v>
      </c>
      <c r="D8701" s="186">
        <f>IFERROR(__xludf.DUMMYFUNCTION("""COMPUTED_VALUE"""),20.0)</f>
        <v>20</v>
      </c>
    </row>
    <row r="8702">
      <c r="A8702" s="178" t="str">
        <f>IFERROR(__xludf.DUMMYFUNCTION("""COMPUTED_VALUE"""),"ITBISA-NPN-2N2222-TO92")</f>
        <v>ITBISA-NPN-2N2222-TO92</v>
      </c>
      <c r="B8702" s="266">
        <f>IFERROR(__xludf.DUMMYFUNCTION("""COMPUTED_VALUE"""),45498.0)</f>
        <v>45498</v>
      </c>
      <c r="C8702" s="266" t="str">
        <f>IFERROR(__xludf.DUMMYFUNCTION("""COMPUTED_VALUE"""),"KERTASARI CIAMIS")</f>
        <v>KERTASARI CIAMIS</v>
      </c>
      <c r="D8702" s="186">
        <f>IFERROR(__xludf.DUMMYFUNCTION("""COMPUTED_VALUE"""),100.0)</f>
        <v>100</v>
      </c>
    </row>
    <row r="8703">
      <c r="A8703" s="178" t="str">
        <f>IFERROR(__xludf.DUMMYFUNCTION("""COMPUTED_VALUE"""),"ITBISA-NPN-2N2222-TO92")</f>
        <v>ITBISA-NPN-2N2222-TO92</v>
      </c>
      <c r="B8703" s="266">
        <f>IFERROR(__xludf.DUMMYFUNCTION("""COMPUTED_VALUE"""),45504.0)</f>
        <v>45504</v>
      </c>
      <c r="C8703" s="266" t="str">
        <f>IFERROR(__xludf.DUMMYFUNCTION("""COMPUTED_VALUE"""),"KERTASARI CIAMIS")</f>
        <v>KERTASARI CIAMIS</v>
      </c>
      <c r="D8703" s="186">
        <f>IFERROR(__xludf.DUMMYFUNCTION("""COMPUTED_VALUE"""),10.0)</f>
        <v>10</v>
      </c>
    </row>
    <row r="8704">
      <c r="A8704" s="178" t="str">
        <f>IFERROR(__xludf.DUMMYFUNCTION("""COMPUTED_VALUE"""),"ITBISA-NPN-2N2222-TO92")</f>
        <v>ITBISA-NPN-2N2222-TO92</v>
      </c>
      <c r="B8704" s="266">
        <f>IFERROR(__xludf.DUMMYFUNCTION("""COMPUTED_VALUE"""),45508.0)</f>
        <v>45508</v>
      </c>
      <c r="C8704" s="266" t="str">
        <f>IFERROR(__xludf.DUMMYFUNCTION("""COMPUTED_VALUE"""),"KERTASARI CIAMIS")</f>
        <v>KERTASARI CIAMIS</v>
      </c>
      <c r="D8704" s="186">
        <f>IFERROR(__xludf.DUMMYFUNCTION("""COMPUTED_VALUE"""),50.0)</f>
        <v>50</v>
      </c>
    </row>
    <row r="8705">
      <c r="A8705" s="178" t="str">
        <f>IFERROR(__xludf.DUMMYFUNCTION("""COMPUTED_VALUE"""),"ITBISA-NPN-2N2222-TO92")</f>
        <v>ITBISA-NPN-2N2222-TO92</v>
      </c>
      <c r="B8705" s="266">
        <f>IFERROR(__xludf.DUMMYFUNCTION("""COMPUTED_VALUE"""),45513.0)</f>
        <v>45513</v>
      </c>
      <c r="C8705" s="266" t="str">
        <f>IFERROR(__xludf.DUMMYFUNCTION("""COMPUTED_VALUE"""),"KYAI KONTONG")</f>
        <v>KYAI KONTONG</v>
      </c>
      <c r="D8705" s="186">
        <f>IFERROR(__xludf.DUMMYFUNCTION("""COMPUTED_VALUE"""),10.0)</f>
        <v>10</v>
      </c>
    </row>
    <row r="8706">
      <c r="A8706" s="178" t="str">
        <f>IFERROR(__xludf.DUMMYFUNCTION("""COMPUTED_VALUE"""),"ITBISA-NPN-2N2222-TO92")</f>
        <v>ITBISA-NPN-2N2222-TO92</v>
      </c>
      <c r="B8706" s="266">
        <f>IFERROR(__xludf.DUMMYFUNCTION("""COMPUTED_VALUE"""),45522.0)</f>
        <v>45522</v>
      </c>
      <c r="C8706" s="266" t="str">
        <f>IFERROR(__xludf.DUMMYFUNCTION("""COMPUTED_VALUE"""),"KERTASARI CIAMIS")</f>
        <v>KERTASARI CIAMIS</v>
      </c>
      <c r="D8706" s="186">
        <f>IFERROR(__xludf.DUMMYFUNCTION("""COMPUTED_VALUE"""),40.0)</f>
        <v>40</v>
      </c>
    </row>
    <row r="8707">
      <c r="A8707" s="178" t="str">
        <f>IFERROR(__xludf.DUMMYFUNCTION("""COMPUTED_VALUE"""),"ITBISA-NPN-2N2222-TO92")</f>
        <v>ITBISA-NPN-2N2222-TO92</v>
      </c>
      <c r="B8707" s="266">
        <f>IFERROR(__xludf.DUMMYFUNCTION("""COMPUTED_VALUE"""),45524.0)</f>
        <v>45524</v>
      </c>
      <c r="C8707" s="266" t="str">
        <f>IFERROR(__xludf.DUMMYFUNCTION("""COMPUTED_VALUE"""),"KYAI KONTONG")</f>
        <v>KYAI KONTONG</v>
      </c>
      <c r="D8707" s="186">
        <f>IFERROR(__xludf.DUMMYFUNCTION("""COMPUTED_VALUE"""),5.0)</f>
        <v>5</v>
      </c>
    </row>
    <row r="8708">
      <c r="A8708" s="178" t="str">
        <f>IFERROR(__xludf.DUMMYFUNCTION("""COMPUTED_VALUE"""),"ITBISA-NPN-2N2222-TO92")</f>
        <v>ITBISA-NPN-2N2222-TO92</v>
      </c>
      <c r="B8708" s="266">
        <f>IFERROR(__xludf.DUMMYFUNCTION("""COMPUTED_VALUE"""),45524.0)</f>
        <v>45524</v>
      </c>
      <c r="C8708" s="266" t="str">
        <f>IFERROR(__xludf.DUMMYFUNCTION("""COMPUTED_VALUE"""),"KYAI KONTONG")</f>
        <v>KYAI KONTONG</v>
      </c>
      <c r="D8708" s="186">
        <f>IFERROR(__xludf.DUMMYFUNCTION("""COMPUTED_VALUE"""),50.0)</f>
        <v>50</v>
      </c>
    </row>
    <row r="8709">
      <c r="A8709" s="178" t="str">
        <f>IFERROR(__xludf.DUMMYFUNCTION("""COMPUTED_VALUE"""),"ITBISA-NPN-2N2222-TO92")</f>
        <v>ITBISA-NPN-2N2222-TO92</v>
      </c>
      <c r="B8709" s="266">
        <f>IFERROR(__xludf.DUMMYFUNCTION("""COMPUTED_VALUE"""),45534.0)</f>
        <v>45534</v>
      </c>
      <c r="C8709" s="266" t="str">
        <f>IFERROR(__xludf.DUMMYFUNCTION("""COMPUTED_VALUE"""),"KYAI KONTONG")</f>
        <v>KYAI KONTONG</v>
      </c>
      <c r="D8709" s="186">
        <f>IFERROR(__xludf.DUMMYFUNCTION("""COMPUTED_VALUE"""),10.0)</f>
        <v>10</v>
      </c>
    </row>
    <row r="8710">
      <c r="A8710" s="178" t="str">
        <f>IFERROR(__xludf.DUMMYFUNCTION("""COMPUTED_VALUE"""),"ITBISA-NPN-2N2222-TO92")</f>
        <v>ITBISA-NPN-2N2222-TO92</v>
      </c>
      <c r="B8710" s="266">
        <f>IFERROR(__xludf.DUMMYFUNCTION("""COMPUTED_VALUE"""),45535.0)</f>
        <v>45535</v>
      </c>
      <c r="C8710" s="266" t="str">
        <f>IFERROR(__xludf.DUMMYFUNCTION("""COMPUTED_VALUE"""),"KYAI KONTONG")</f>
        <v>KYAI KONTONG</v>
      </c>
      <c r="D8710" s="186">
        <f>IFERROR(__xludf.DUMMYFUNCTION("""COMPUTED_VALUE"""),20.0)</f>
        <v>20</v>
      </c>
    </row>
    <row r="8711">
      <c r="A8711" s="178" t="str">
        <f>IFERROR(__xludf.DUMMYFUNCTION("""COMPUTED_VALUE"""),"ITBISA-NPN-2N2222-TO92")</f>
        <v>ITBISA-NPN-2N2222-TO92</v>
      </c>
      <c r="B8711" s="266">
        <f>IFERROR(__xludf.DUMMYFUNCTION("""COMPUTED_VALUE"""),45541.0)</f>
        <v>45541</v>
      </c>
      <c r="C8711" s="266" t="str">
        <f>IFERROR(__xludf.DUMMYFUNCTION("""COMPUTED_VALUE"""),"KERTASARI CIAMIS")</f>
        <v>KERTASARI CIAMIS</v>
      </c>
      <c r="D8711" s="186">
        <f>IFERROR(__xludf.DUMMYFUNCTION("""COMPUTED_VALUE"""),50.0)</f>
        <v>50</v>
      </c>
    </row>
    <row r="8712">
      <c r="A8712" s="178" t="str">
        <f>IFERROR(__xludf.DUMMYFUNCTION("""COMPUTED_VALUE"""),"ITBISA-NPN-2N2222-TO92")</f>
        <v>ITBISA-NPN-2N2222-TO92</v>
      </c>
      <c r="B8712" s="266">
        <f>IFERROR(__xludf.DUMMYFUNCTION("""COMPUTED_VALUE"""),45550.0)</f>
        <v>45550</v>
      </c>
      <c r="C8712" s="266" t="str">
        <f>IFERROR(__xludf.DUMMYFUNCTION("""COMPUTED_VALUE"""),"KYAI KONTONG")</f>
        <v>KYAI KONTONG</v>
      </c>
      <c r="D8712" s="186">
        <f>IFERROR(__xludf.DUMMYFUNCTION("""COMPUTED_VALUE"""),10.0)</f>
        <v>10</v>
      </c>
    </row>
    <row r="8713">
      <c r="A8713" s="178" t="str">
        <f>IFERROR(__xludf.DUMMYFUNCTION("""COMPUTED_VALUE"""),"ITBISA-NPN-2N2222-TO92")</f>
        <v>ITBISA-NPN-2N2222-TO92</v>
      </c>
      <c r="B8713" s="266">
        <f>IFERROR(__xludf.DUMMYFUNCTION("""COMPUTED_VALUE"""),45560.0)</f>
        <v>45560</v>
      </c>
      <c r="C8713" s="266" t="str">
        <f>IFERROR(__xludf.DUMMYFUNCTION("""COMPUTED_VALUE"""),"KYAI KONTONG")</f>
        <v>KYAI KONTONG</v>
      </c>
      <c r="D8713" s="186">
        <f>IFERROR(__xludf.DUMMYFUNCTION("""COMPUTED_VALUE"""),5.0)</f>
        <v>5</v>
      </c>
    </row>
    <row r="8714">
      <c r="A8714" s="178" t="str">
        <f>IFERROR(__xludf.DUMMYFUNCTION("""COMPUTED_VALUE"""),"ITBISA-NPN-2N2222-TO92")</f>
        <v>ITBISA-NPN-2N2222-TO92</v>
      </c>
      <c r="B8714" s="266">
        <f>IFERROR(__xludf.DUMMYFUNCTION("""COMPUTED_VALUE"""),45576.0)</f>
        <v>45576</v>
      </c>
      <c r="C8714" s="266" t="str">
        <f>IFERROR(__xludf.DUMMYFUNCTION("""COMPUTED_VALUE"""),"KYAI KONTONG")</f>
        <v>KYAI KONTONG</v>
      </c>
      <c r="D8714" s="186">
        <f>IFERROR(__xludf.DUMMYFUNCTION("""COMPUTED_VALUE"""),70.0)</f>
        <v>70</v>
      </c>
    </row>
    <row r="8715">
      <c r="A8715" s="178" t="str">
        <f>IFERROR(__xludf.DUMMYFUNCTION("""COMPUTED_VALUE"""),"ITBISA-NPN-2N2222-TO92")</f>
        <v>ITBISA-NPN-2N2222-TO92</v>
      </c>
      <c r="B8715" s="266">
        <f>IFERROR(__xludf.DUMMYFUNCTION("""COMPUTED_VALUE"""),45586.0)</f>
        <v>45586</v>
      </c>
      <c r="C8715" s="266" t="str">
        <f>IFERROR(__xludf.DUMMYFUNCTION("""COMPUTED_VALUE"""),"KERTASARI CIAMIS")</f>
        <v>KERTASARI CIAMIS</v>
      </c>
      <c r="D8715" s="186">
        <f>IFERROR(__xludf.DUMMYFUNCTION("""COMPUTED_VALUE"""),200.0)</f>
        <v>200</v>
      </c>
    </row>
    <row r="8716">
      <c r="A8716" s="178" t="str">
        <f>IFERROR(__xludf.DUMMYFUNCTION("""COMPUTED_VALUE"""),"ITBISA-NPN-2N2222-TO92")</f>
        <v>ITBISA-NPN-2N2222-TO92</v>
      </c>
      <c r="B8716" s="266">
        <f>IFERROR(__xludf.DUMMYFUNCTION("""COMPUTED_VALUE"""),45587.0)</f>
        <v>45587</v>
      </c>
      <c r="C8716" s="266" t="str">
        <f>IFERROR(__xludf.DUMMYFUNCTION("""COMPUTED_VALUE"""),"KERTASARI CIAMIS")</f>
        <v>KERTASARI CIAMIS</v>
      </c>
      <c r="D8716" s="186">
        <f>IFERROR(__xludf.DUMMYFUNCTION("""COMPUTED_VALUE"""),10.0)</f>
        <v>10</v>
      </c>
    </row>
    <row r="8717">
      <c r="A8717" s="178" t="str">
        <f>IFERROR(__xludf.DUMMYFUNCTION("""COMPUTED_VALUE"""),"ITBISA-NPN-2N2222-TO92")</f>
        <v>ITBISA-NPN-2N2222-TO92</v>
      </c>
      <c r="B8717" s="266">
        <f>IFERROR(__xludf.DUMMYFUNCTION("""COMPUTED_VALUE"""),45608.0)</f>
        <v>45608</v>
      </c>
      <c r="C8717" s="266" t="str">
        <f>IFERROR(__xludf.DUMMYFUNCTION("""COMPUTED_VALUE"""),"KYAI KONTONG")</f>
        <v>KYAI KONTONG</v>
      </c>
      <c r="D8717" s="186">
        <f>IFERROR(__xludf.DUMMYFUNCTION("""COMPUTED_VALUE"""),10.0)</f>
        <v>10</v>
      </c>
    </row>
    <row r="8718">
      <c r="A8718" s="178" t="str">
        <f>IFERROR(__xludf.DUMMYFUNCTION("""COMPUTED_VALUE"""),"ITBISA-NPN-2N2222-TO92")</f>
        <v>ITBISA-NPN-2N2222-TO92</v>
      </c>
      <c r="B8718" s="266">
        <f>IFERROR(__xludf.DUMMYFUNCTION("""COMPUTED_VALUE"""),45625.0)</f>
        <v>45625</v>
      </c>
      <c r="C8718" s="266" t="str">
        <f>IFERROR(__xludf.DUMMYFUNCTION("""COMPUTED_VALUE"""),"KYAI KONTONG")</f>
        <v>KYAI KONTONG</v>
      </c>
      <c r="D8718" s="186">
        <f>IFERROR(__xludf.DUMMYFUNCTION("""COMPUTED_VALUE"""),10.0)</f>
        <v>10</v>
      </c>
    </row>
    <row r="8719">
      <c r="A8719" s="178" t="str">
        <f>IFERROR(__xludf.DUMMYFUNCTION("""COMPUTED_VALUE"""),"ITBISA-NPN-2N2222-TO92")</f>
        <v>ITBISA-NPN-2N2222-TO92</v>
      </c>
      <c r="B8719" s="266">
        <f>IFERROR(__xludf.DUMMYFUNCTION("""COMPUTED_VALUE"""),45639.0)</f>
        <v>45639</v>
      </c>
      <c r="C8719" s="266" t="str">
        <f>IFERROR(__xludf.DUMMYFUNCTION("""COMPUTED_VALUE"""),"KERTASARI CIAMIS")</f>
        <v>KERTASARI CIAMIS</v>
      </c>
      <c r="D8719" s="186">
        <f>IFERROR(__xludf.DUMMYFUNCTION("""COMPUTED_VALUE"""),1000.0)</f>
        <v>1000</v>
      </c>
    </row>
    <row r="8720">
      <c r="A8720" s="178" t="str">
        <f>IFERROR(__xludf.DUMMYFUNCTION("""COMPUTED_VALUE"""),"ITBISA-NPN-2N2222-TO92")</f>
        <v>ITBISA-NPN-2N2222-TO92</v>
      </c>
      <c r="B8720" s="266">
        <f>IFERROR(__xludf.DUMMYFUNCTION("""COMPUTED_VALUE"""),45662.0)</f>
        <v>45662</v>
      </c>
      <c r="C8720" s="266" t="str">
        <f>IFERROR(__xludf.DUMMYFUNCTION("""COMPUTED_VALUE"""),"KERTASARI CIAMIS")</f>
        <v>KERTASARI CIAMIS</v>
      </c>
      <c r="D8720" s="186">
        <f>IFERROR(__xludf.DUMMYFUNCTION("""COMPUTED_VALUE"""),10.0)</f>
        <v>10</v>
      </c>
    </row>
    <row r="8721">
      <c r="A8721" s="178" t="str">
        <f>IFERROR(__xludf.DUMMYFUNCTION("""COMPUTED_VALUE"""),"ITBISA-NPN-2N2222-TO92")</f>
        <v>ITBISA-NPN-2N2222-TO92</v>
      </c>
      <c r="B8721" s="266">
        <f>IFERROR(__xludf.DUMMYFUNCTION("""COMPUTED_VALUE"""),45667.0)</f>
        <v>45667</v>
      </c>
      <c r="C8721" s="266" t="str">
        <f>IFERROR(__xludf.DUMMYFUNCTION("""COMPUTED_VALUE"""),"KERTASARI CIAMIS")</f>
        <v>KERTASARI CIAMIS</v>
      </c>
      <c r="D8721" s="186">
        <f>IFERROR(__xludf.DUMMYFUNCTION("""COMPUTED_VALUE"""),2000.0)</f>
        <v>2000</v>
      </c>
    </row>
    <row r="8722">
      <c r="A8722" s="178" t="str">
        <f>IFERROR(__xludf.DUMMYFUNCTION("""COMPUTED_VALUE"""),"ITBISA-NPN-2N2222-TO92")</f>
        <v>ITBISA-NPN-2N2222-TO92</v>
      </c>
      <c r="B8722" s="266">
        <f>IFERROR(__xludf.DUMMYFUNCTION("""COMPUTED_VALUE"""),45681.0)</f>
        <v>45681</v>
      </c>
      <c r="C8722" s="266" t="str">
        <f>IFERROR(__xludf.DUMMYFUNCTION("""COMPUTED_VALUE"""),"KYAI KONTONG")</f>
        <v>KYAI KONTONG</v>
      </c>
      <c r="D8722" s="186">
        <f>IFERROR(__xludf.DUMMYFUNCTION("""COMPUTED_VALUE"""),50.0)</f>
        <v>50</v>
      </c>
    </row>
    <row r="8723">
      <c r="A8723" s="178" t="str">
        <f>IFERROR(__xludf.DUMMYFUNCTION("""COMPUTED_VALUE"""),"ITBISA-NPN-2N2222-TO92")</f>
        <v>ITBISA-NPN-2N2222-TO92</v>
      </c>
      <c r="B8723" s="266">
        <f>IFERROR(__xludf.DUMMYFUNCTION("""COMPUTED_VALUE"""),45710.0)</f>
        <v>45710</v>
      </c>
      <c r="C8723" s="266" t="str">
        <f>IFERROR(__xludf.DUMMYFUNCTION("""COMPUTED_VALUE"""),"KYAI KONTONG")</f>
        <v>KYAI KONTONG</v>
      </c>
      <c r="D8723" s="186">
        <f>IFERROR(__xludf.DUMMYFUNCTION("""COMPUTED_VALUE"""),10.0)</f>
        <v>10</v>
      </c>
    </row>
    <row r="8724">
      <c r="A8724" s="178" t="str">
        <f>IFERROR(__xludf.DUMMYFUNCTION("""COMPUTED_VALUE"""),"ITBISA-NPN-2N2222-TO92")</f>
        <v>ITBISA-NPN-2N2222-TO92</v>
      </c>
      <c r="B8724" s="266">
        <f>IFERROR(__xludf.DUMMYFUNCTION("""COMPUTED_VALUE"""),45712.0)</f>
        <v>45712</v>
      </c>
      <c r="C8724" s="266" t="str">
        <f>IFERROR(__xludf.DUMMYFUNCTION("""COMPUTED_VALUE"""),"KERTASARI CIAMIS")</f>
        <v>KERTASARI CIAMIS</v>
      </c>
      <c r="D8724" s="186">
        <f>IFERROR(__xludf.DUMMYFUNCTION("""COMPUTED_VALUE"""),10.0)</f>
        <v>10</v>
      </c>
    </row>
    <row r="8725">
      <c r="A8725" s="178" t="str">
        <f>IFERROR(__xludf.DUMMYFUNCTION("""COMPUTED_VALUE"""),"ITBISA-NPN-2N2222-TO92")</f>
        <v>ITBISA-NPN-2N2222-TO92</v>
      </c>
      <c r="B8725" s="266">
        <f>IFERROR(__xludf.DUMMYFUNCTION("""COMPUTED_VALUE"""),45717.0)</f>
        <v>45717</v>
      </c>
      <c r="C8725" s="266" t="str">
        <f>IFERROR(__xludf.DUMMYFUNCTION("""COMPUTED_VALUE"""),"KERTASARI CIAMIS")</f>
        <v>KERTASARI CIAMIS</v>
      </c>
      <c r="D8725" s="186">
        <f>IFERROR(__xludf.DUMMYFUNCTION("""COMPUTED_VALUE"""),15.0)</f>
        <v>15</v>
      </c>
    </row>
    <row r="8726">
      <c r="A8726" s="178" t="str">
        <f>IFERROR(__xludf.DUMMYFUNCTION("""COMPUTED_VALUE"""),"ITBISA-NPN-2N2222-TO92")</f>
        <v>ITBISA-NPN-2N2222-TO92</v>
      </c>
      <c r="B8726" s="266">
        <f>IFERROR(__xludf.DUMMYFUNCTION("""COMPUTED_VALUE"""),45721.0)</f>
        <v>45721</v>
      </c>
      <c r="C8726" s="266" t="str">
        <f>IFERROR(__xludf.DUMMYFUNCTION("""COMPUTED_VALUE"""),"KYAI KONTONG")</f>
        <v>KYAI KONTONG</v>
      </c>
      <c r="D8726" s="186">
        <f>IFERROR(__xludf.DUMMYFUNCTION("""COMPUTED_VALUE"""),32.0)</f>
        <v>32</v>
      </c>
    </row>
    <row r="8727">
      <c r="A8727" s="178" t="str">
        <f>IFERROR(__xludf.DUMMYFUNCTION("""COMPUTED_VALUE"""),"ITBISA-NPN-2N2222-TO92")</f>
        <v>ITBISA-NPN-2N2222-TO92</v>
      </c>
      <c r="B8727" s="266">
        <f>IFERROR(__xludf.DUMMYFUNCTION("""COMPUTED_VALUE"""),45735.0)</f>
        <v>45735</v>
      </c>
      <c r="C8727" s="266" t="str">
        <f>IFERROR(__xludf.DUMMYFUNCTION("""COMPUTED_VALUE"""),"KERTASARI CIAMIS")</f>
        <v>KERTASARI CIAMIS</v>
      </c>
      <c r="D8727" s="186">
        <f>IFERROR(__xludf.DUMMYFUNCTION("""COMPUTED_VALUE"""),100.0)</f>
        <v>100</v>
      </c>
    </row>
    <row r="8728">
      <c r="A8728" s="178" t="str">
        <f>IFERROR(__xludf.DUMMYFUNCTION("""COMPUTED_VALUE"""),"ITBISA-NPN-2N2222-TO92")</f>
        <v>ITBISA-NPN-2N2222-TO92</v>
      </c>
      <c r="B8728" s="266">
        <f>IFERROR(__xludf.DUMMYFUNCTION("""COMPUTED_VALUE"""),45751.0)</f>
        <v>45751</v>
      </c>
      <c r="C8728" s="266" t="str">
        <f>IFERROR(__xludf.DUMMYFUNCTION("""COMPUTED_VALUE"""),"KERTASARI CIAMIS")</f>
        <v>KERTASARI CIAMIS</v>
      </c>
      <c r="D8728" s="186">
        <f>IFERROR(__xludf.DUMMYFUNCTION("""COMPUTED_VALUE"""),50.0)</f>
        <v>50</v>
      </c>
    </row>
    <row r="8729">
      <c r="A8729" s="178" t="str">
        <f>IFERROR(__xludf.DUMMYFUNCTION("""COMPUTED_VALUE"""),"ITBISA-NPN-2N2222-TO92")</f>
        <v>ITBISA-NPN-2N2222-TO92</v>
      </c>
      <c r="B8729" s="266">
        <f>IFERROR(__xludf.DUMMYFUNCTION("""COMPUTED_VALUE"""),45757.0)</f>
        <v>45757</v>
      </c>
      <c r="C8729" s="266" t="str">
        <f>IFERROR(__xludf.DUMMYFUNCTION("""COMPUTED_VALUE"""),"KERTASARI CIAMIS")</f>
        <v>KERTASARI CIAMIS</v>
      </c>
      <c r="D8729" s="186">
        <f>IFERROR(__xludf.DUMMYFUNCTION("""COMPUTED_VALUE"""),15.0)</f>
        <v>15</v>
      </c>
    </row>
    <row r="8730">
      <c r="A8730" s="178" t="str">
        <f>IFERROR(__xludf.DUMMYFUNCTION("""COMPUTED_VALUE"""),"ITBISA-NPN-2N2222-TO92")</f>
        <v>ITBISA-NPN-2N2222-TO92</v>
      </c>
      <c r="B8730" s="266">
        <f>IFERROR(__xludf.DUMMYFUNCTION("""COMPUTED_VALUE"""),45768.0)</f>
        <v>45768</v>
      </c>
      <c r="C8730" s="266" t="str">
        <f>IFERROR(__xludf.DUMMYFUNCTION("""COMPUTED_VALUE"""),"KERTASARI CIAMIS")</f>
        <v>KERTASARI CIAMIS</v>
      </c>
      <c r="D8730" s="186">
        <f>IFERROR(__xludf.DUMMYFUNCTION("""COMPUTED_VALUE"""),10.0)</f>
        <v>10</v>
      </c>
    </row>
    <row r="8731">
      <c r="A8731" s="178" t="str">
        <f>IFERROR(__xludf.DUMMYFUNCTION("""COMPUTED_VALUE"""),"ITBISA-NPN-2N2222-TO92")</f>
        <v>ITBISA-NPN-2N2222-TO92</v>
      </c>
      <c r="B8731" s="266">
        <f>IFERROR(__xludf.DUMMYFUNCTION("""COMPUTED_VALUE"""),45771.0)</f>
        <v>45771</v>
      </c>
      <c r="C8731" s="266" t="str">
        <f>IFERROR(__xludf.DUMMYFUNCTION("""COMPUTED_VALUE"""),"KYAI KONTONG")</f>
        <v>KYAI KONTONG</v>
      </c>
      <c r="D8731" s="186">
        <f>IFERROR(__xludf.DUMMYFUNCTION("""COMPUTED_VALUE"""),70.0)</f>
        <v>70</v>
      </c>
    </row>
    <row r="8732">
      <c r="A8732" s="178" t="str">
        <f>IFERROR(__xludf.DUMMYFUNCTION("""COMPUTED_VALUE"""),"ITBISA-NPN-2N2222-TO92")</f>
        <v>ITBISA-NPN-2N2222-TO92</v>
      </c>
      <c r="B8732" s="266">
        <f>IFERROR(__xludf.DUMMYFUNCTION("""COMPUTED_VALUE"""),45773.0)</f>
        <v>45773</v>
      </c>
      <c r="C8732" s="266" t="str">
        <f>IFERROR(__xludf.DUMMYFUNCTION("""COMPUTED_VALUE"""),"KYAI KONTONG")</f>
        <v>KYAI KONTONG</v>
      </c>
      <c r="D8732" s="186">
        <f>IFERROR(__xludf.DUMMYFUNCTION("""COMPUTED_VALUE"""),10.0)</f>
        <v>10</v>
      </c>
    </row>
    <row r="8733">
      <c r="A8733" s="178" t="str">
        <f>IFERROR(__xludf.DUMMYFUNCTION("""COMPUTED_VALUE"""),"ITBISA-NPN-2N2222-TO92")</f>
        <v>ITBISA-NPN-2N2222-TO92</v>
      </c>
      <c r="B8733" s="266">
        <f>IFERROR(__xludf.DUMMYFUNCTION("""COMPUTED_VALUE"""),45808.0)</f>
        <v>45808</v>
      </c>
      <c r="C8733" s="266" t="str">
        <f>IFERROR(__xludf.DUMMYFUNCTION("""COMPUTED_VALUE"""),"KERTASARI CIAMIS")</f>
        <v>KERTASARI CIAMIS</v>
      </c>
      <c r="D8733" s="186">
        <f>IFERROR(__xludf.DUMMYFUNCTION("""COMPUTED_VALUE"""),50.0)</f>
        <v>50</v>
      </c>
    </row>
    <row r="8734">
      <c r="A8734" s="178" t="str">
        <f>IFERROR(__xludf.DUMMYFUNCTION("""COMPUTED_VALUE"""),"ITBISA-NPN-2N2222-TO92")</f>
        <v>ITBISA-NPN-2N2222-TO92</v>
      </c>
      <c r="B8734" s="266">
        <f>IFERROR(__xludf.DUMMYFUNCTION("""COMPUTED_VALUE"""),45842.0)</f>
        <v>45842</v>
      </c>
      <c r="C8734" s="266" t="str">
        <f>IFERROR(__xludf.DUMMYFUNCTION("""COMPUTED_VALUE"""),"KERTASARI CIAMIS")</f>
        <v>KERTASARI CIAMIS</v>
      </c>
      <c r="D8734" s="186">
        <f>IFERROR(__xludf.DUMMYFUNCTION("""COMPUTED_VALUE"""),50.0)</f>
        <v>50</v>
      </c>
    </row>
    <row r="8735">
      <c r="A8735" s="178" t="str">
        <f>IFERROR(__xludf.DUMMYFUNCTION("""COMPUTED_VALUE"""),"ITBISA-NPN-2N2222-TO92")</f>
        <v>ITBISA-NPN-2N2222-TO92</v>
      </c>
      <c r="B8735" s="266">
        <f>IFERROR(__xludf.DUMMYFUNCTION("""COMPUTED_VALUE"""),45842.0)</f>
        <v>45842</v>
      </c>
      <c r="C8735" s="266" t="str">
        <f>IFERROR(__xludf.DUMMYFUNCTION("""COMPUTED_VALUE"""),"KYAI KONTONG")</f>
        <v>KYAI KONTONG</v>
      </c>
      <c r="D8735" s="186">
        <f>IFERROR(__xludf.DUMMYFUNCTION("""COMPUTED_VALUE"""),10.0)</f>
        <v>10</v>
      </c>
    </row>
    <row r="8736">
      <c r="A8736" s="178" t="str">
        <f>IFERROR(__xludf.DUMMYFUNCTION("""COMPUTED_VALUE"""),"ITBISA-NPN-2N2222-TO92")</f>
        <v>ITBISA-NPN-2N2222-TO92</v>
      </c>
      <c r="B8736" s="266">
        <f>IFERROR(__xludf.DUMMYFUNCTION("""COMPUTED_VALUE"""),45846.0)</f>
        <v>45846</v>
      </c>
      <c r="C8736" s="266" t="str">
        <f>IFERROR(__xludf.DUMMYFUNCTION("""COMPUTED_VALUE"""),"KYAI KONTONG")</f>
        <v>KYAI KONTONG</v>
      </c>
      <c r="D8736" s="186">
        <f>IFERROR(__xludf.DUMMYFUNCTION("""COMPUTED_VALUE"""),10.0)</f>
        <v>10</v>
      </c>
    </row>
    <row r="8737">
      <c r="A8737" s="178" t="str">
        <f>IFERROR(__xludf.DUMMYFUNCTION("""COMPUTED_VALUE"""),"ITBISA-NPN-2N2222-TO92")</f>
        <v>ITBISA-NPN-2N2222-TO92</v>
      </c>
      <c r="B8737" s="266">
        <f>IFERROR(__xludf.DUMMYFUNCTION("""COMPUTED_VALUE"""),45851.0)</f>
        <v>45851</v>
      </c>
      <c r="C8737" s="266" t="str">
        <f>IFERROR(__xludf.DUMMYFUNCTION("""COMPUTED_VALUE"""),"KERTASARI CIAMIS")</f>
        <v>KERTASARI CIAMIS</v>
      </c>
      <c r="D8737" s="186">
        <f>IFERROR(__xludf.DUMMYFUNCTION("""COMPUTED_VALUE"""),100.0)</f>
        <v>100</v>
      </c>
    </row>
    <row r="8738">
      <c r="A8738" s="178" t="str">
        <f>IFERROR(__xludf.DUMMYFUNCTION("""COMPUTED_VALUE"""),"ITBISA-NPN-2N2222-TO92")</f>
        <v>ITBISA-NPN-2N2222-TO92</v>
      </c>
      <c r="B8738" s="266">
        <f>IFERROR(__xludf.DUMMYFUNCTION("""COMPUTED_VALUE"""),45858.0)</f>
        <v>45858</v>
      </c>
      <c r="C8738" s="266" t="str">
        <f>IFERROR(__xludf.DUMMYFUNCTION("""COMPUTED_VALUE"""),"KERTASARI CIAMIS")</f>
        <v>KERTASARI CIAMIS</v>
      </c>
      <c r="D8738" s="186">
        <f>IFERROR(__xludf.DUMMYFUNCTION("""COMPUTED_VALUE"""),10.0)</f>
        <v>10</v>
      </c>
    </row>
    <row r="8739">
      <c r="A8739" s="178" t="str">
        <f>IFERROR(__xludf.DUMMYFUNCTION("""COMPUTED_VALUE"""),"ITBISA-NPN-2N2222-TO92")</f>
        <v>ITBISA-NPN-2N2222-TO92</v>
      </c>
      <c r="B8739" s="266">
        <f>IFERROR(__xludf.DUMMYFUNCTION("""COMPUTED_VALUE"""),45942.0)</f>
        <v>45942</v>
      </c>
      <c r="C8739" s="266" t="str">
        <f>IFERROR(__xludf.DUMMYFUNCTION("""COMPUTED_VALUE"""),"KYAI KONTONG")</f>
        <v>KYAI KONTONG</v>
      </c>
      <c r="D8739" s="186">
        <f>IFERROR(__xludf.DUMMYFUNCTION("""COMPUTED_VALUE"""),10.0)</f>
        <v>10</v>
      </c>
    </row>
    <row r="8740">
      <c r="A8740" s="178" t="str">
        <f>IFERROR(__xludf.DUMMYFUNCTION("""COMPUTED_VALUE"""),"ITBISA-NPN-2N2222-TO92")</f>
        <v>ITBISA-NPN-2N2222-TO92</v>
      </c>
      <c r="B8740" s="266">
        <f>IFERROR(__xludf.DUMMYFUNCTION("""COMPUTED_VALUE"""),45973.0)</f>
        <v>45973</v>
      </c>
      <c r="C8740" s="266" t="str">
        <f>IFERROR(__xludf.DUMMYFUNCTION("""COMPUTED_VALUE"""),"KERTASARI CIAMIS")</f>
        <v>KERTASARI CIAMIS</v>
      </c>
      <c r="D8740" s="186">
        <f>IFERROR(__xludf.DUMMYFUNCTION("""COMPUTED_VALUE"""),100.0)</f>
        <v>100</v>
      </c>
    </row>
    <row r="8741">
      <c r="A8741" s="178" t="str">
        <f>IFERROR(__xludf.DUMMYFUNCTION("""COMPUTED_VALUE"""),"ITBISA-NPN-2N2222-TO92")</f>
        <v>ITBISA-NPN-2N2222-TO92</v>
      </c>
      <c r="B8741" s="266">
        <f>IFERROR(__xludf.DUMMYFUNCTION("""COMPUTED_VALUE"""),45995.0)</f>
        <v>45995</v>
      </c>
      <c r="C8741" s="266" t="str">
        <f>IFERROR(__xludf.DUMMYFUNCTION("""COMPUTED_VALUE"""),"KYAI KONTONG")</f>
        <v>KYAI KONTONG</v>
      </c>
      <c r="D8741" s="186">
        <f>IFERROR(__xludf.DUMMYFUNCTION("""COMPUTED_VALUE"""),25.0)</f>
        <v>25</v>
      </c>
    </row>
    <row r="8742">
      <c r="A8742" s="178" t="str">
        <f>IFERROR(__xludf.DUMMYFUNCTION("""COMPUTED_VALUE"""),"ITBISA-NPN-2N2222-TO92")</f>
        <v>ITBISA-NPN-2N2222-TO92</v>
      </c>
      <c r="B8742" s="266">
        <f>IFERROR(__xludf.DUMMYFUNCTION("""COMPUTED_VALUE"""),46007.0)</f>
        <v>46007</v>
      </c>
      <c r="C8742" s="266" t="str">
        <f>IFERROR(__xludf.DUMMYFUNCTION("""COMPUTED_VALUE"""),"KYAI KONTONG")</f>
        <v>KYAI KONTONG</v>
      </c>
      <c r="D8742" s="186">
        <f>IFERROR(__xludf.DUMMYFUNCTION("""COMPUTED_VALUE"""),2.0)</f>
        <v>2</v>
      </c>
    </row>
    <row r="8743">
      <c r="A8743" s="178" t="str">
        <f>IFERROR(__xludf.DUMMYFUNCTION("""COMPUTED_VALUE"""),"ITBISA-NPN-2N2222-TO92")</f>
        <v>ITBISA-NPN-2N2222-TO92</v>
      </c>
      <c r="B8743" s="266">
        <f>IFERROR(__xludf.DUMMYFUNCTION("""COMPUTED_VALUE"""),46008.0)</f>
        <v>46008</v>
      </c>
      <c r="C8743" s="266" t="str">
        <f>IFERROR(__xludf.DUMMYFUNCTION("""COMPUTED_VALUE"""),"KERTASARI CIAMIS")</f>
        <v>KERTASARI CIAMIS</v>
      </c>
      <c r="D8743" s="186">
        <f>IFERROR(__xludf.DUMMYFUNCTION("""COMPUTED_VALUE"""),5.0)</f>
        <v>5</v>
      </c>
    </row>
    <row r="8744">
      <c r="A8744" s="178" t="str">
        <f>IFERROR(__xludf.DUMMYFUNCTION("""COMPUTED_VALUE"""),"ITBISA-NPN-2N3904-TO92")</f>
        <v>ITBISA-NPN-2N3904-TO92</v>
      </c>
      <c r="B8744" s="266">
        <f>IFERROR(__xludf.DUMMYFUNCTION("""COMPUTED_VALUE"""),45735.0)</f>
        <v>45735</v>
      </c>
      <c r="C8744" s="266" t="str">
        <f>IFERROR(__xludf.DUMMYFUNCTION("""COMPUTED_VALUE"""),"KERTASARI CIAMIS")</f>
        <v>KERTASARI CIAMIS</v>
      </c>
      <c r="D8744" s="186">
        <f>IFERROR(__xludf.DUMMYFUNCTION("""COMPUTED_VALUE"""),20.0)</f>
        <v>20</v>
      </c>
    </row>
    <row r="8745">
      <c r="A8745" s="178" t="str">
        <f>IFERROR(__xludf.DUMMYFUNCTION("""COMPUTED_VALUE"""),"ITBISA-NPN-2N3904-TO92")</f>
        <v>ITBISA-NPN-2N3904-TO92</v>
      </c>
      <c r="B8745" s="266">
        <f>IFERROR(__xludf.DUMMYFUNCTION("""COMPUTED_VALUE"""),45846.0)</f>
        <v>45846</v>
      </c>
      <c r="C8745" s="266" t="str">
        <f>IFERROR(__xludf.DUMMYFUNCTION("""COMPUTED_VALUE"""),"KYAI KONTONG")</f>
        <v>KYAI KONTONG</v>
      </c>
      <c r="D8745" s="186">
        <f>IFERROR(__xludf.DUMMYFUNCTION("""COMPUTED_VALUE"""),10.0)</f>
        <v>10</v>
      </c>
    </row>
    <row r="8746">
      <c r="A8746" s="178" t="str">
        <f>IFERROR(__xludf.DUMMYFUNCTION("""COMPUTED_VALUE"""),"ITBISA-NPN-2N3904-TO92")</f>
        <v>ITBISA-NPN-2N3904-TO92</v>
      </c>
      <c r="B8746" s="266">
        <f>IFERROR(__xludf.DUMMYFUNCTION("""COMPUTED_VALUE"""),45858.0)</f>
        <v>45858</v>
      </c>
      <c r="C8746" s="266" t="str">
        <f>IFERROR(__xludf.DUMMYFUNCTION("""COMPUTED_VALUE"""),"KERTASARI CIAMIS")</f>
        <v>KERTASARI CIAMIS</v>
      </c>
      <c r="D8746" s="186">
        <f>IFERROR(__xludf.DUMMYFUNCTION("""COMPUTED_VALUE"""),10.0)</f>
        <v>10</v>
      </c>
    </row>
    <row r="8747">
      <c r="A8747" s="178" t="str">
        <f>IFERROR(__xludf.DUMMYFUNCTION("""COMPUTED_VALUE"""),"ITBISA-NPN-BC337-TO92")</f>
        <v>ITBISA-NPN-BC337-TO92</v>
      </c>
      <c r="B8747" s="266">
        <f>IFERROR(__xludf.DUMMYFUNCTION("""COMPUTED_VALUE"""),45440.0)</f>
        <v>45440</v>
      </c>
      <c r="C8747" s="266" t="str">
        <f>IFERROR(__xludf.DUMMYFUNCTION("""COMPUTED_VALUE"""),"KYAI KONTONG")</f>
        <v>KYAI KONTONG</v>
      </c>
      <c r="D8747" s="186">
        <f>IFERROR(__xludf.DUMMYFUNCTION("""COMPUTED_VALUE"""),50.0)</f>
        <v>50</v>
      </c>
    </row>
    <row r="8748">
      <c r="A8748" s="178" t="str">
        <f>IFERROR(__xludf.DUMMYFUNCTION("""COMPUTED_VALUE"""),"ITBISA-NPN-BC337-TO92")</f>
        <v>ITBISA-NPN-BC337-TO92</v>
      </c>
      <c r="B8748" s="266">
        <f>IFERROR(__xludf.DUMMYFUNCTION("""COMPUTED_VALUE"""),45773.0)</f>
        <v>45773</v>
      </c>
      <c r="C8748" s="266" t="str">
        <f>IFERROR(__xludf.DUMMYFUNCTION("""COMPUTED_VALUE"""),"KERTASARI CIAMIS")</f>
        <v>KERTASARI CIAMIS</v>
      </c>
      <c r="D8748" s="186">
        <f>IFERROR(__xludf.DUMMYFUNCTION("""COMPUTED_VALUE"""),10.0)</f>
        <v>10</v>
      </c>
    </row>
    <row r="8749">
      <c r="A8749" s="178" t="str">
        <f>IFERROR(__xludf.DUMMYFUNCTION("""COMPUTED_VALUE"""),"ITBISA-NPN-BC337-TO92")</f>
        <v>ITBISA-NPN-BC337-TO92</v>
      </c>
      <c r="B8749" s="266">
        <f>IFERROR(__xludf.DUMMYFUNCTION("""COMPUTED_VALUE"""),45846.0)</f>
        <v>45846</v>
      </c>
      <c r="C8749" s="266" t="str">
        <f>IFERROR(__xludf.DUMMYFUNCTION("""COMPUTED_VALUE"""),"KYAI KONTONG")</f>
        <v>KYAI KONTONG</v>
      </c>
      <c r="D8749" s="186">
        <f>IFERROR(__xludf.DUMMYFUNCTION("""COMPUTED_VALUE"""),10.0)</f>
        <v>10</v>
      </c>
    </row>
    <row r="8750">
      <c r="A8750" s="178" t="str">
        <f>IFERROR(__xludf.DUMMYFUNCTION("""COMPUTED_VALUE"""),"ITBISA-NPN-BC547-TO92")</f>
        <v>ITBISA-NPN-BC547-TO92</v>
      </c>
      <c r="B8750" s="266">
        <f>IFERROR(__xludf.DUMMYFUNCTION("""COMPUTED_VALUE"""),44042.0)</f>
        <v>44042</v>
      </c>
      <c r="C8750" s="266" t="str">
        <f>IFERROR(__xludf.DUMMYFUNCTION("""COMPUTED_VALUE"""),"KAETOBO RESIDENCE")</f>
        <v>KAETOBO RESIDENCE</v>
      </c>
      <c r="D8750" s="186">
        <f>IFERROR(__xludf.DUMMYFUNCTION("""COMPUTED_VALUE"""),10.0)</f>
        <v>10</v>
      </c>
    </row>
    <row r="8751">
      <c r="A8751" s="178" t="str">
        <f>IFERROR(__xludf.DUMMYFUNCTION("""COMPUTED_VALUE"""),"ITBISA-NPN-BC547-TO92")</f>
        <v>ITBISA-NPN-BC547-TO92</v>
      </c>
      <c r="B8751" s="266">
        <f>IFERROR(__xludf.DUMMYFUNCTION("""COMPUTED_VALUE"""),44060.0)</f>
        <v>44060</v>
      </c>
      <c r="C8751" s="266" t="str">
        <f>IFERROR(__xludf.DUMMYFUNCTION("""COMPUTED_VALUE"""),"KOST SRITUNGGAL")</f>
        <v>KOST SRITUNGGAL</v>
      </c>
      <c r="D8751" s="186">
        <f>IFERROR(__xludf.DUMMYFUNCTION("""COMPUTED_VALUE"""),500.0)</f>
        <v>500</v>
      </c>
    </row>
    <row r="8752">
      <c r="A8752" s="178" t="str">
        <f>IFERROR(__xludf.DUMMYFUNCTION("""COMPUTED_VALUE"""),"ITBISA-NPN-BC547-TO92")</f>
        <v>ITBISA-NPN-BC547-TO92</v>
      </c>
      <c r="B8752" s="266">
        <f>IFERROR(__xludf.DUMMYFUNCTION("""COMPUTED_VALUE"""),44357.0)</f>
        <v>44357</v>
      </c>
      <c r="C8752" s="266" t="str">
        <f>IFERROR(__xludf.DUMMYFUNCTION("""COMPUTED_VALUE"""),"KOST RUMAHUMI")</f>
        <v>KOST RUMAHUMI</v>
      </c>
      <c r="D8752" s="186">
        <f>IFERROR(__xludf.DUMMYFUNCTION("""COMPUTED_VALUE"""),500.0)</f>
        <v>500</v>
      </c>
    </row>
    <row r="8753">
      <c r="A8753" s="178" t="str">
        <f>IFERROR(__xludf.DUMMYFUNCTION("""COMPUTED_VALUE"""),"ITBISA-NPN-BC547-TO92")</f>
        <v>ITBISA-NPN-BC547-TO92</v>
      </c>
      <c r="B8753" s="266">
        <f>IFERROR(__xludf.DUMMYFUNCTION("""COMPUTED_VALUE"""),44846.0)</f>
        <v>44846</v>
      </c>
      <c r="C8753" s="266" t="str">
        <f>IFERROR(__xludf.DUMMYFUNCTION("""COMPUTED_VALUE"""),"KYAI KONTONG")</f>
        <v>KYAI KONTONG</v>
      </c>
      <c r="D8753" s="186">
        <f>IFERROR(__xludf.DUMMYFUNCTION("""COMPUTED_VALUE"""),10.0)</f>
        <v>10</v>
      </c>
    </row>
    <row r="8754">
      <c r="A8754" s="178" t="str">
        <f>IFERROR(__xludf.DUMMYFUNCTION("""COMPUTED_VALUE"""),"ITBISA-NPN-BC547-TO92")</f>
        <v>ITBISA-NPN-BC547-TO92</v>
      </c>
      <c r="B8754" s="266">
        <f>IFERROR(__xludf.DUMMYFUNCTION("""COMPUTED_VALUE"""),44931.0)</f>
        <v>44931</v>
      </c>
      <c r="C8754" s="266" t="str">
        <f>IFERROR(__xludf.DUMMYFUNCTION("""COMPUTED_VALUE"""),"KYAI KONTONG")</f>
        <v>KYAI KONTONG</v>
      </c>
      <c r="D8754" s="186">
        <f>IFERROR(__xludf.DUMMYFUNCTION("""COMPUTED_VALUE"""),3.0)</f>
        <v>3</v>
      </c>
    </row>
    <row r="8755">
      <c r="A8755" s="178" t="str">
        <f>IFERROR(__xludf.DUMMYFUNCTION("""COMPUTED_VALUE"""),"ITBISA-NPN-BC547-TO92")</f>
        <v>ITBISA-NPN-BC547-TO92</v>
      </c>
      <c r="B8755" s="266">
        <f>IFERROR(__xludf.DUMMYFUNCTION("""COMPUTED_VALUE"""),44931.0)</f>
        <v>44931</v>
      </c>
      <c r="C8755" s="266" t="str">
        <f>IFERROR(__xludf.DUMMYFUNCTION("""COMPUTED_VALUE"""),"KYAI KONTONG")</f>
        <v>KYAI KONTONG</v>
      </c>
      <c r="D8755" s="186">
        <f>IFERROR(__xludf.DUMMYFUNCTION("""COMPUTED_VALUE"""),20.0)</f>
        <v>20</v>
      </c>
    </row>
    <row r="8756">
      <c r="A8756" s="178" t="str">
        <f>IFERROR(__xludf.DUMMYFUNCTION("""COMPUTED_VALUE"""),"ITBISA-NPN-BC547-TO92")</f>
        <v>ITBISA-NPN-BC547-TO92</v>
      </c>
      <c r="B8756" s="266">
        <f>IFERROR(__xludf.DUMMYFUNCTION("""COMPUTED_VALUE"""),44932.0)</f>
        <v>44932</v>
      </c>
      <c r="C8756" s="266" t="str">
        <f>IFERROR(__xludf.DUMMYFUNCTION("""COMPUTED_VALUE"""),"KYAI KONTONG")</f>
        <v>KYAI KONTONG</v>
      </c>
      <c r="D8756" s="186">
        <f>IFERROR(__xludf.DUMMYFUNCTION("""COMPUTED_VALUE"""),10.0)</f>
        <v>10</v>
      </c>
    </row>
    <row r="8757">
      <c r="A8757" s="178" t="str">
        <f>IFERROR(__xludf.DUMMYFUNCTION("""COMPUTED_VALUE"""),"ITBISA-NPN-BC547-TO92")</f>
        <v>ITBISA-NPN-BC547-TO92</v>
      </c>
      <c r="B8757" s="266">
        <f>IFERROR(__xludf.DUMMYFUNCTION("""COMPUTED_VALUE"""),44932.0)</f>
        <v>44932</v>
      </c>
      <c r="C8757" s="266" t="str">
        <f>IFERROR(__xludf.DUMMYFUNCTION("""COMPUTED_VALUE"""),"KYAI KONTONG")</f>
        <v>KYAI KONTONG</v>
      </c>
      <c r="D8757" s="186">
        <f>IFERROR(__xludf.DUMMYFUNCTION("""COMPUTED_VALUE"""),30.0)</f>
        <v>30</v>
      </c>
    </row>
    <row r="8758">
      <c r="A8758" s="178" t="str">
        <f>IFERROR(__xludf.DUMMYFUNCTION("""COMPUTED_VALUE"""),"ITBISA-NPN-BC547-TO92")</f>
        <v>ITBISA-NPN-BC547-TO92</v>
      </c>
      <c r="B8758" s="266">
        <f>IFERROR(__xludf.DUMMYFUNCTION("""COMPUTED_VALUE"""),44951.0)</f>
        <v>44951</v>
      </c>
      <c r="C8758" s="266" t="str">
        <f>IFERROR(__xludf.DUMMYFUNCTION("""COMPUTED_VALUE"""),"KYAI KONTONG")</f>
        <v>KYAI KONTONG</v>
      </c>
      <c r="D8758" s="186">
        <f>IFERROR(__xludf.DUMMYFUNCTION("""COMPUTED_VALUE"""),30.0)</f>
        <v>30</v>
      </c>
    </row>
    <row r="8759">
      <c r="A8759" s="178" t="str">
        <f>IFERROR(__xludf.DUMMYFUNCTION("""COMPUTED_VALUE"""),"ITBISA-NPN-BC547-TO92")</f>
        <v>ITBISA-NPN-BC547-TO92</v>
      </c>
      <c r="B8759" s="266">
        <f>IFERROR(__xludf.DUMMYFUNCTION("""COMPUTED_VALUE"""),44952.0)</f>
        <v>44952</v>
      </c>
      <c r="C8759" s="266" t="str">
        <f>IFERROR(__xludf.DUMMYFUNCTION("""COMPUTED_VALUE"""),"KYAI KONTONG")</f>
        <v>KYAI KONTONG</v>
      </c>
      <c r="D8759" s="186">
        <f>IFERROR(__xludf.DUMMYFUNCTION("""COMPUTED_VALUE"""),50.0)</f>
        <v>50</v>
      </c>
    </row>
    <row r="8760">
      <c r="A8760" s="178" t="str">
        <f>IFERROR(__xludf.DUMMYFUNCTION("""COMPUTED_VALUE"""),"ITBISA-NPN-BC547-TO92")</f>
        <v>ITBISA-NPN-BC547-TO92</v>
      </c>
      <c r="B8760" s="266">
        <f>IFERROR(__xludf.DUMMYFUNCTION("""COMPUTED_VALUE"""),44957.0)</f>
        <v>44957</v>
      </c>
      <c r="C8760" s="266" t="str">
        <f>IFERROR(__xludf.DUMMYFUNCTION("""COMPUTED_VALUE"""),"KYAI KONTONG")</f>
        <v>KYAI KONTONG</v>
      </c>
      <c r="D8760" s="186">
        <f>IFERROR(__xludf.DUMMYFUNCTION("""COMPUTED_VALUE"""),5.0)</f>
        <v>5</v>
      </c>
    </row>
    <row r="8761">
      <c r="A8761" s="178" t="str">
        <f>IFERROR(__xludf.DUMMYFUNCTION("""COMPUTED_VALUE"""),"ITBISA-NPN-BC547-TO92")</f>
        <v>ITBISA-NPN-BC547-TO92</v>
      </c>
      <c r="B8761" s="266">
        <f>IFERROR(__xludf.DUMMYFUNCTION("""COMPUTED_VALUE"""),44959.0)</f>
        <v>44959</v>
      </c>
      <c r="C8761" s="266" t="str">
        <f>IFERROR(__xludf.DUMMYFUNCTION("""COMPUTED_VALUE"""),"KYAI KONTONG")</f>
        <v>KYAI KONTONG</v>
      </c>
      <c r="D8761" s="186">
        <f>IFERROR(__xludf.DUMMYFUNCTION("""COMPUTED_VALUE"""),4.0)</f>
        <v>4</v>
      </c>
    </row>
    <row r="8762">
      <c r="A8762" s="178" t="str">
        <f>IFERROR(__xludf.DUMMYFUNCTION("""COMPUTED_VALUE"""),"ITBISA-NPN-BC547-TO92")</f>
        <v>ITBISA-NPN-BC547-TO92</v>
      </c>
      <c r="B8762" s="266">
        <f>IFERROR(__xludf.DUMMYFUNCTION("""COMPUTED_VALUE"""),44961.0)</f>
        <v>44961</v>
      </c>
      <c r="C8762" s="266" t="str">
        <f>IFERROR(__xludf.DUMMYFUNCTION("""COMPUTED_VALUE"""),"KYAI KONTONG")</f>
        <v>KYAI KONTONG</v>
      </c>
      <c r="D8762" s="186">
        <f>IFERROR(__xludf.DUMMYFUNCTION("""COMPUTED_VALUE"""),10.0)</f>
        <v>10</v>
      </c>
    </row>
    <row r="8763">
      <c r="A8763" s="178" t="str">
        <f>IFERROR(__xludf.DUMMYFUNCTION("""COMPUTED_VALUE"""),"ITBISA-NPN-BC547-TO92")</f>
        <v>ITBISA-NPN-BC547-TO92</v>
      </c>
      <c r="B8763" s="266">
        <f>IFERROR(__xludf.DUMMYFUNCTION("""COMPUTED_VALUE"""),44964.0)</f>
        <v>44964</v>
      </c>
      <c r="C8763" s="266" t="str">
        <f>IFERROR(__xludf.DUMMYFUNCTION("""COMPUTED_VALUE"""),"KYAI KONTONG")</f>
        <v>KYAI KONTONG</v>
      </c>
      <c r="D8763" s="186">
        <f>IFERROR(__xludf.DUMMYFUNCTION("""COMPUTED_VALUE"""),10.0)</f>
        <v>10</v>
      </c>
    </row>
    <row r="8764">
      <c r="A8764" s="178" t="str">
        <f>IFERROR(__xludf.DUMMYFUNCTION("""COMPUTED_VALUE"""),"ITBISA-NPN-BC547-TO92")</f>
        <v>ITBISA-NPN-BC547-TO92</v>
      </c>
      <c r="B8764" s="266">
        <f>IFERROR(__xludf.DUMMYFUNCTION("""COMPUTED_VALUE"""),44972.0)</f>
        <v>44972</v>
      </c>
      <c r="C8764" s="266" t="str">
        <f>IFERROR(__xludf.DUMMYFUNCTION("""COMPUTED_VALUE"""),"KYAI KONTONG")</f>
        <v>KYAI KONTONG</v>
      </c>
      <c r="D8764" s="186">
        <f>IFERROR(__xludf.DUMMYFUNCTION("""COMPUTED_VALUE"""),40.0)</f>
        <v>40</v>
      </c>
    </row>
    <row r="8765">
      <c r="A8765" s="178" t="str">
        <f>IFERROR(__xludf.DUMMYFUNCTION("""COMPUTED_VALUE"""),"ITBISA-NPN-BC547-TO92")</f>
        <v>ITBISA-NPN-BC547-TO92</v>
      </c>
      <c r="B8765" s="266">
        <f>IFERROR(__xludf.DUMMYFUNCTION("""COMPUTED_VALUE"""),44975.0)</f>
        <v>44975</v>
      </c>
      <c r="C8765" s="266" t="str">
        <f>IFERROR(__xludf.DUMMYFUNCTION("""COMPUTED_VALUE"""),"KYAI KONTONG")</f>
        <v>KYAI KONTONG</v>
      </c>
      <c r="D8765" s="186">
        <f>IFERROR(__xludf.DUMMYFUNCTION("""COMPUTED_VALUE"""),20.0)</f>
        <v>20</v>
      </c>
    </row>
    <row r="8766">
      <c r="A8766" s="178" t="str">
        <f>IFERROR(__xludf.DUMMYFUNCTION("""COMPUTED_VALUE"""),"ITBISA-NPN-BC547-TO92")</f>
        <v>ITBISA-NPN-BC547-TO92</v>
      </c>
      <c r="B8766" s="266">
        <f>IFERROR(__xludf.DUMMYFUNCTION("""COMPUTED_VALUE"""),44976.0)</f>
        <v>44976</v>
      </c>
      <c r="C8766" s="266" t="str">
        <f>IFERROR(__xludf.DUMMYFUNCTION("""COMPUTED_VALUE"""),"KYAI KONTONG")</f>
        <v>KYAI KONTONG</v>
      </c>
      <c r="D8766" s="186">
        <f>IFERROR(__xludf.DUMMYFUNCTION("""COMPUTED_VALUE"""),5.0)</f>
        <v>5</v>
      </c>
    </row>
    <row r="8767">
      <c r="A8767" s="178" t="str">
        <f>IFERROR(__xludf.DUMMYFUNCTION("""COMPUTED_VALUE"""),"ITBISA-NPN-BC547-TO92")</f>
        <v>ITBISA-NPN-BC547-TO92</v>
      </c>
      <c r="B8767" s="266">
        <f>IFERROR(__xludf.DUMMYFUNCTION("""COMPUTED_VALUE"""),44984.0)</f>
        <v>44984</v>
      </c>
      <c r="C8767" s="266" t="str">
        <f>IFERROR(__xludf.DUMMYFUNCTION("""COMPUTED_VALUE"""),"KYAI KONTONG")</f>
        <v>KYAI KONTONG</v>
      </c>
      <c r="D8767" s="186">
        <f>IFERROR(__xludf.DUMMYFUNCTION("""COMPUTED_VALUE"""),50.0)</f>
        <v>50</v>
      </c>
    </row>
    <row r="8768">
      <c r="A8768" s="178" t="str">
        <f>IFERROR(__xludf.DUMMYFUNCTION("""COMPUTED_VALUE"""),"ITBISA-NPN-BC547-TO92")</f>
        <v>ITBISA-NPN-BC547-TO92</v>
      </c>
      <c r="B8768" s="266">
        <f>IFERROR(__xludf.DUMMYFUNCTION("""COMPUTED_VALUE"""),44987.0)</f>
        <v>44987</v>
      </c>
      <c r="C8768" s="266" t="str">
        <f>IFERROR(__xludf.DUMMYFUNCTION("""COMPUTED_VALUE"""),"KYAI KONTONG")</f>
        <v>KYAI KONTONG</v>
      </c>
      <c r="D8768" s="186">
        <f>IFERROR(__xludf.DUMMYFUNCTION("""COMPUTED_VALUE"""),366.0)</f>
        <v>366</v>
      </c>
    </row>
    <row r="8769">
      <c r="A8769" s="178" t="str">
        <f>IFERROR(__xludf.DUMMYFUNCTION("""COMPUTED_VALUE"""),"ITBISA-NPN-BC547-TO92")</f>
        <v>ITBISA-NPN-BC547-TO92</v>
      </c>
      <c r="B8769" s="266">
        <f>IFERROR(__xludf.DUMMYFUNCTION("""COMPUTED_VALUE"""),45232.0)</f>
        <v>45232</v>
      </c>
      <c r="C8769" s="266" t="str">
        <f>IFERROR(__xludf.DUMMYFUNCTION("""COMPUTED_VALUE"""),"KYAI KONTONG")</f>
        <v>KYAI KONTONG</v>
      </c>
      <c r="D8769" s="186">
        <f>IFERROR(__xludf.DUMMYFUNCTION("""COMPUTED_VALUE"""),10.0)</f>
        <v>10</v>
      </c>
    </row>
    <row r="8770">
      <c r="A8770" s="178" t="str">
        <f>IFERROR(__xludf.DUMMYFUNCTION("""COMPUTED_VALUE"""),"ITBISA-NPN-BC547-TO92")</f>
        <v>ITBISA-NPN-BC547-TO92</v>
      </c>
      <c r="B8770" s="266">
        <f>IFERROR(__xludf.DUMMYFUNCTION("""COMPUTED_VALUE"""),45264.0)</f>
        <v>45264</v>
      </c>
      <c r="C8770" s="266" t="str">
        <f>IFERROR(__xludf.DUMMYFUNCTION("""COMPUTED_VALUE"""),"KYAI KONTONG")</f>
        <v>KYAI KONTONG</v>
      </c>
      <c r="D8770" s="186">
        <f>IFERROR(__xludf.DUMMYFUNCTION("""COMPUTED_VALUE"""),100.0)</f>
        <v>100</v>
      </c>
    </row>
    <row r="8771">
      <c r="A8771" s="178" t="str">
        <f>IFERROR(__xludf.DUMMYFUNCTION("""COMPUTED_VALUE"""),"ITBISA-NPN-BC547-TO92")</f>
        <v>ITBISA-NPN-BC547-TO92</v>
      </c>
      <c r="B8771" s="266">
        <f>IFERROR(__xludf.DUMMYFUNCTION("""COMPUTED_VALUE"""),45270.0)</f>
        <v>45270</v>
      </c>
      <c r="C8771" s="266" t="str">
        <f>IFERROR(__xludf.DUMMYFUNCTION("""COMPUTED_VALUE"""),"KYAI KONTONG")</f>
        <v>KYAI KONTONG</v>
      </c>
      <c r="D8771" s="186">
        <f>IFERROR(__xludf.DUMMYFUNCTION("""COMPUTED_VALUE"""),5.0)</f>
        <v>5</v>
      </c>
    </row>
    <row r="8772">
      <c r="A8772" s="178" t="str">
        <f>IFERROR(__xludf.DUMMYFUNCTION("""COMPUTED_VALUE"""),"ITBISA-NPN-BC547-TO92")</f>
        <v>ITBISA-NPN-BC547-TO92</v>
      </c>
      <c r="B8772" s="266">
        <f>IFERROR(__xludf.DUMMYFUNCTION("""COMPUTED_VALUE"""),45271.0)</f>
        <v>45271</v>
      </c>
      <c r="C8772" s="266" t="str">
        <f>IFERROR(__xludf.DUMMYFUNCTION("""COMPUTED_VALUE"""),"KYAI KONTONG")</f>
        <v>KYAI KONTONG</v>
      </c>
      <c r="D8772" s="186">
        <f>IFERROR(__xludf.DUMMYFUNCTION("""COMPUTED_VALUE"""),100.0)</f>
        <v>100</v>
      </c>
    </row>
    <row r="8773">
      <c r="A8773" s="178" t="str">
        <f>IFERROR(__xludf.DUMMYFUNCTION("""COMPUTED_VALUE"""),"ITBISA-NPN-BC547-TO92")</f>
        <v>ITBISA-NPN-BC547-TO92</v>
      </c>
      <c r="B8773" s="266">
        <f>IFERROR(__xludf.DUMMYFUNCTION("""COMPUTED_VALUE"""),45272.0)</f>
        <v>45272</v>
      </c>
      <c r="C8773" s="266" t="str">
        <f>IFERROR(__xludf.DUMMYFUNCTION("""COMPUTED_VALUE"""),"KYAI KONTONG")</f>
        <v>KYAI KONTONG</v>
      </c>
      <c r="D8773" s="186">
        <f>IFERROR(__xludf.DUMMYFUNCTION("""COMPUTED_VALUE"""),100.0)</f>
        <v>100</v>
      </c>
    </row>
    <row r="8774">
      <c r="A8774" s="178" t="str">
        <f>IFERROR(__xludf.DUMMYFUNCTION("""COMPUTED_VALUE"""),"ITBISA-NPN-BC547-TO92")</f>
        <v>ITBISA-NPN-BC547-TO92</v>
      </c>
      <c r="B8774" s="266">
        <f>IFERROR(__xludf.DUMMYFUNCTION("""COMPUTED_VALUE"""),45278.0)</f>
        <v>45278</v>
      </c>
      <c r="C8774" s="266" t="str">
        <f>IFERROR(__xludf.DUMMYFUNCTION("""COMPUTED_VALUE"""),"KYAI KONTONG")</f>
        <v>KYAI KONTONG</v>
      </c>
      <c r="D8774" s="186">
        <f>IFERROR(__xludf.DUMMYFUNCTION("""COMPUTED_VALUE"""),10.0)</f>
        <v>10</v>
      </c>
    </row>
    <row r="8775">
      <c r="A8775" s="178" t="str">
        <f>IFERROR(__xludf.DUMMYFUNCTION("""COMPUTED_VALUE"""),"ITBISA-NPN-BC547-TO92")</f>
        <v>ITBISA-NPN-BC547-TO92</v>
      </c>
      <c r="B8775" s="266">
        <f>IFERROR(__xludf.DUMMYFUNCTION("""COMPUTED_VALUE"""),45285.0)</f>
        <v>45285</v>
      </c>
      <c r="C8775" s="266" t="str">
        <f>IFERROR(__xludf.DUMMYFUNCTION("""COMPUTED_VALUE"""),"KYAI KONTONG")</f>
        <v>KYAI KONTONG</v>
      </c>
      <c r="D8775" s="186">
        <f>IFERROR(__xludf.DUMMYFUNCTION("""COMPUTED_VALUE"""),10.0)</f>
        <v>10</v>
      </c>
    </row>
    <row r="8776">
      <c r="A8776" s="178" t="str">
        <f>IFERROR(__xludf.DUMMYFUNCTION("""COMPUTED_VALUE"""),"ITBISA-NPN-BC547-TO92")</f>
        <v>ITBISA-NPN-BC547-TO92</v>
      </c>
      <c r="B8776" s="266">
        <f>IFERROR(__xludf.DUMMYFUNCTION("""COMPUTED_VALUE"""),45285.0)</f>
        <v>45285</v>
      </c>
      <c r="C8776" s="266" t="str">
        <f>IFERROR(__xludf.DUMMYFUNCTION("""COMPUTED_VALUE"""),"KYAI KONTONG")</f>
        <v>KYAI KONTONG</v>
      </c>
      <c r="D8776" s="186">
        <f>IFERROR(__xludf.DUMMYFUNCTION("""COMPUTED_VALUE"""),20.0)</f>
        <v>20</v>
      </c>
    </row>
    <row r="8777">
      <c r="A8777" s="178" t="str">
        <f>IFERROR(__xludf.DUMMYFUNCTION("""COMPUTED_VALUE"""),"ITBISA-NPN-BC547-TO92")</f>
        <v>ITBISA-NPN-BC547-TO92</v>
      </c>
      <c r="B8777" s="266">
        <f>IFERROR(__xludf.DUMMYFUNCTION("""COMPUTED_VALUE"""),45287.0)</f>
        <v>45287</v>
      </c>
      <c r="C8777" s="266" t="str">
        <f>IFERROR(__xludf.DUMMYFUNCTION("""COMPUTED_VALUE"""),"KYAI KONTONG")</f>
        <v>KYAI KONTONG</v>
      </c>
      <c r="D8777" s="186">
        <f>IFERROR(__xludf.DUMMYFUNCTION("""COMPUTED_VALUE"""),10.0)</f>
        <v>10</v>
      </c>
    </row>
    <row r="8778">
      <c r="A8778" s="178" t="str">
        <f>IFERROR(__xludf.DUMMYFUNCTION("""COMPUTED_VALUE"""),"ITBISA-NPN-BC547-TO92")</f>
        <v>ITBISA-NPN-BC547-TO92</v>
      </c>
      <c r="B8778" s="266">
        <f>IFERROR(__xludf.DUMMYFUNCTION("""COMPUTED_VALUE"""),45287.0)</f>
        <v>45287</v>
      </c>
      <c r="C8778" s="266" t="str">
        <f>IFERROR(__xludf.DUMMYFUNCTION("""COMPUTED_VALUE"""),"KYAI KONTONG")</f>
        <v>KYAI KONTONG</v>
      </c>
      <c r="D8778" s="186">
        <f>IFERROR(__xludf.DUMMYFUNCTION("""COMPUTED_VALUE"""),150.0)</f>
        <v>150</v>
      </c>
    </row>
    <row r="8779">
      <c r="A8779" s="178" t="str">
        <f>IFERROR(__xludf.DUMMYFUNCTION("""COMPUTED_VALUE"""),"ITBISA-NPN-BC547-TO92")</f>
        <v>ITBISA-NPN-BC547-TO92</v>
      </c>
      <c r="B8779" s="266">
        <f>IFERROR(__xludf.DUMMYFUNCTION("""COMPUTED_VALUE"""),45294.0)</f>
        <v>45294</v>
      </c>
      <c r="C8779" s="266" t="str">
        <f>IFERROR(__xludf.DUMMYFUNCTION("""COMPUTED_VALUE"""),"KYAI KONTONG")</f>
        <v>KYAI KONTONG</v>
      </c>
      <c r="D8779" s="186">
        <f>IFERROR(__xludf.DUMMYFUNCTION("""COMPUTED_VALUE"""),300.0)</f>
        <v>300</v>
      </c>
    </row>
    <row r="8780">
      <c r="A8780" s="178" t="str">
        <f>IFERROR(__xludf.DUMMYFUNCTION("""COMPUTED_VALUE"""),"ITBISA-NPN-BC547-TO92")</f>
        <v>ITBISA-NPN-BC547-TO92</v>
      </c>
      <c r="B8780" s="266">
        <f>IFERROR(__xludf.DUMMYFUNCTION("""COMPUTED_VALUE"""),45297.0)</f>
        <v>45297</v>
      </c>
      <c r="C8780" s="266" t="str">
        <f>IFERROR(__xludf.DUMMYFUNCTION("""COMPUTED_VALUE"""),"KYAI KONTONG")</f>
        <v>KYAI KONTONG</v>
      </c>
      <c r="D8780" s="186">
        <f>IFERROR(__xludf.DUMMYFUNCTION("""COMPUTED_VALUE"""),5.0)</f>
        <v>5</v>
      </c>
    </row>
    <row r="8781">
      <c r="A8781" s="178" t="str">
        <f>IFERROR(__xludf.DUMMYFUNCTION("""COMPUTED_VALUE"""),"ITBISA-NPN-BC547-TO92")</f>
        <v>ITBISA-NPN-BC547-TO92</v>
      </c>
      <c r="B8781" s="266">
        <f>IFERROR(__xludf.DUMMYFUNCTION("""COMPUTED_VALUE"""),45319.0)</f>
        <v>45319</v>
      </c>
      <c r="C8781" s="266" t="str">
        <f>IFERROR(__xludf.DUMMYFUNCTION("""COMPUTED_VALUE"""),"KYAI KONTONG")</f>
        <v>KYAI KONTONG</v>
      </c>
      <c r="D8781" s="186">
        <f>IFERROR(__xludf.DUMMYFUNCTION("""COMPUTED_VALUE"""),5.0)</f>
        <v>5</v>
      </c>
    </row>
    <row r="8782">
      <c r="A8782" s="178" t="str">
        <f>IFERROR(__xludf.DUMMYFUNCTION("""COMPUTED_VALUE"""),"ITBISA-NPN-BC547-TO92")</f>
        <v>ITBISA-NPN-BC547-TO92</v>
      </c>
      <c r="B8782" s="266">
        <f>IFERROR(__xludf.DUMMYFUNCTION("""COMPUTED_VALUE"""),45340.0)</f>
        <v>45340</v>
      </c>
      <c r="C8782" s="266" t="str">
        <f>IFERROR(__xludf.DUMMYFUNCTION("""COMPUTED_VALUE"""),"KYAI KONTONG")</f>
        <v>KYAI KONTONG</v>
      </c>
      <c r="D8782" s="186">
        <f>IFERROR(__xludf.DUMMYFUNCTION("""COMPUTED_VALUE"""),2.0)</f>
        <v>2</v>
      </c>
    </row>
    <row r="8783">
      <c r="A8783" s="178" t="str">
        <f>IFERROR(__xludf.DUMMYFUNCTION("""COMPUTED_VALUE"""),"ITBISA-NPN-BC547-TO92")</f>
        <v>ITBISA-NPN-BC547-TO92</v>
      </c>
      <c r="B8783" s="266">
        <f>IFERROR(__xludf.DUMMYFUNCTION("""COMPUTED_VALUE"""),45371.0)</f>
        <v>45371</v>
      </c>
      <c r="C8783" s="266" t="str">
        <f>IFERROR(__xludf.DUMMYFUNCTION("""COMPUTED_VALUE"""),"KYAI KONTONG")</f>
        <v>KYAI KONTONG</v>
      </c>
      <c r="D8783" s="186">
        <f>IFERROR(__xludf.DUMMYFUNCTION("""COMPUTED_VALUE"""),100.0)</f>
        <v>100</v>
      </c>
    </row>
    <row r="8784">
      <c r="A8784" s="178" t="str">
        <f>IFERROR(__xludf.DUMMYFUNCTION("""COMPUTED_VALUE"""),"ITBISA-NPN-BC547-TO92")</f>
        <v>ITBISA-NPN-BC547-TO92</v>
      </c>
      <c r="B8784" s="266">
        <f>IFERROR(__xludf.DUMMYFUNCTION("""COMPUTED_VALUE"""),45377.0)</f>
        <v>45377</v>
      </c>
      <c r="C8784" s="266" t="str">
        <f>IFERROR(__xludf.DUMMYFUNCTION("""COMPUTED_VALUE"""),"KYAI KONTONG")</f>
        <v>KYAI KONTONG</v>
      </c>
      <c r="D8784" s="186">
        <f>IFERROR(__xludf.DUMMYFUNCTION("""COMPUTED_VALUE"""),20.0)</f>
        <v>20</v>
      </c>
    </row>
    <row r="8785">
      <c r="A8785" s="178" t="str">
        <f>IFERROR(__xludf.DUMMYFUNCTION("""COMPUTED_VALUE"""),"ITBISA-NPN-BC547-TO92")</f>
        <v>ITBISA-NPN-BC547-TO92</v>
      </c>
      <c r="B8785" s="266">
        <f>IFERROR(__xludf.DUMMYFUNCTION("""COMPUTED_VALUE"""),45391.0)</f>
        <v>45391</v>
      </c>
      <c r="C8785" s="266" t="str">
        <f>IFERROR(__xludf.DUMMYFUNCTION("""COMPUTED_VALUE"""),"KYAI KONTONG")</f>
        <v>KYAI KONTONG</v>
      </c>
      <c r="D8785" s="186">
        <f>IFERROR(__xludf.DUMMYFUNCTION("""COMPUTED_VALUE"""),5.0)</f>
        <v>5</v>
      </c>
    </row>
    <row r="8786">
      <c r="A8786" s="178" t="str">
        <f>IFERROR(__xludf.DUMMYFUNCTION("""COMPUTED_VALUE"""),"ITBISA-NPN-BC547-TO92")</f>
        <v>ITBISA-NPN-BC547-TO92</v>
      </c>
      <c r="B8786" s="266">
        <f>IFERROR(__xludf.DUMMYFUNCTION("""COMPUTED_VALUE"""),45407.0)</f>
        <v>45407</v>
      </c>
      <c r="C8786" s="266" t="str">
        <f>IFERROR(__xludf.DUMMYFUNCTION("""COMPUTED_VALUE"""),"KYAI KONTONG")</f>
        <v>KYAI KONTONG</v>
      </c>
      <c r="D8786" s="186">
        <f>IFERROR(__xludf.DUMMYFUNCTION("""COMPUTED_VALUE"""),100.0)</f>
        <v>100</v>
      </c>
    </row>
    <row r="8787">
      <c r="A8787" s="178" t="str">
        <f>IFERROR(__xludf.DUMMYFUNCTION("""COMPUTED_VALUE"""),"ITBISA-NPN-BC547-TO92")</f>
        <v>ITBISA-NPN-BC547-TO92</v>
      </c>
      <c r="B8787" s="266">
        <f>IFERROR(__xludf.DUMMYFUNCTION("""COMPUTED_VALUE"""),45409.0)</f>
        <v>45409</v>
      </c>
      <c r="C8787" s="266" t="str">
        <f>IFERROR(__xludf.DUMMYFUNCTION("""COMPUTED_VALUE"""),"KYAI KONTONG")</f>
        <v>KYAI KONTONG</v>
      </c>
      <c r="D8787" s="186">
        <f>IFERROR(__xludf.DUMMYFUNCTION("""COMPUTED_VALUE"""),10.0)</f>
        <v>10</v>
      </c>
    </row>
    <row r="8788">
      <c r="A8788" s="178" t="str">
        <f>IFERROR(__xludf.DUMMYFUNCTION("""COMPUTED_VALUE"""),"ITBISA-NPN-BC547-TO92")</f>
        <v>ITBISA-NPN-BC547-TO92</v>
      </c>
      <c r="B8788" s="266">
        <f>IFERROR(__xludf.DUMMYFUNCTION("""COMPUTED_VALUE"""),45411.0)</f>
        <v>45411</v>
      </c>
      <c r="C8788" s="266" t="str">
        <f>IFERROR(__xludf.DUMMYFUNCTION("""COMPUTED_VALUE"""),"KERTASARI CIAMIS")</f>
        <v>KERTASARI CIAMIS</v>
      </c>
      <c r="D8788" s="186">
        <f>IFERROR(__xludf.DUMMYFUNCTION("""COMPUTED_VALUE"""),5.0)</f>
        <v>5</v>
      </c>
    </row>
    <row r="8789">
      <c r="A8789" s="178" t="str">
        <f>IFERROR(__xludf.DUMMYFUNCTION("""COMPUTED_VALUE"""),"ITBISA-NPN-BC547-TO92")</f>
        <v>ITBISA-NPN-BC547-TO92</v>
      </c>
      <c r="B8789" s="266">
        <f>IFERROR(__xludf.DUMMYFUNCTION("""COMPUTED_VALUE"""),45426.0)</f>
        <v>45426</v>
      </c>
      <c r="C8789" s="266" t="str">
        <f>IFERROR(__xludf.DUMMYFUNCTION("""COMPUTED_VALUE"""),"KYAI KONTONG")</f>
        <v>KYAI KONTONG</v>
      </c>
      <c r="D8789" s="186">
        <f>IFERROR(__xludf.DUMMYFUNCTION("""COMPUTED_VALUE"""),5.0)</f>
        <v>5</v>
      </c>
    </row>
    <row r="8790">
      <c r="A8790" s="178" t="str">
        <f>IFERROR(__xludf.DUMMYFUNCTION("""COMPUTED_VALUE"""),"ITBISA-NPN-BC547-TO92")</f>
        <v>ITBISA-NPN-BC547-TO92</v>
      </c>
      <c r="B8790" s="266">
        <f>IFERROR(__xludf.DUMMYFUNCTION("""COMPUTED_VALUE"""),45432.0)</f>
        <v>45432</v>
      </c>
      <c r="C8790" s="266" t="str">
        <f>IFERROR(__xludf.DUMMYFUNCTION("""COMPUTED_VALUE"""),"KYAI KONTONG")</f>
        <v>KYAI KONTONG</v>
      </c>
      <c r="D8790" s="186">
        <f>IFERROR(__xludf.DUMMYFUNCTION("""COMPUTED_VALUE"""),10.0)</f>
        <v>10</v>
      </c>
    </row>
    <row r="8791">
      <c r="A8791" s="178" t="str">
        <f>IFERROR(__xludf.DUMMYFUNCTION("""COMPUTED_VALUE"""),"ITBISA-NPN-BC547-TO92")</f>
        <v>ITBISA-NPN-BC547-TO92</v>
      </c>
      <c r="B8791" s="266">
        <f>IFERROR(__xludf.DUMMYFUNCTION("""COMPUTED_VALUE"""),45438.0)</f>
        <v>45438</v>
      </c>
      <c r="C8791" s="266" t="str">
        <f>IFERROR(__xludf.DUMMYFUNCTION("""COMPUTED_VALUE"""),"KERTASARI CIAMIS")</f>
        <v>KERTASARI CIAMIS</v>
      </c>
      <c r="D8791" s="186">
        <f>IFERROR(__xludf.DUMMYFUNCTION("""COMPUTED_VALUE"""),100.0)</f>
        <v>100</v>
      </c>
    </row>
    <row r="8792">
      <c r="A8792" s="178" t="str">
        <f>IFERROR(__xludf.DUMMYFUNCTION("""COMPUTED_VALUE"""),"ITBISA-NPN-BC547-TO92")</f>
        <v>ITBISA-NPN-BC547-TO92</v>
      </c>
      <c r="B8792" s="266">
        <f>IFERROR(__xludf.DUMMYFUNCTION("""COMPUTED_VALUE"""),45452.0)</f>
        <v>45452</v>
      </c>
      <c r="C8792" s="266" t="str">
        <f>IFERROR(__xludf.DUMMYFUNCTION("""COMPUTED_VALUE"""),"KYAI KONTONG")</f>
        <v>KYAI KONTONG</v>
      </c>
      <c r="D8792" s="186">
        <f>IFERROR(__xludf.DUMMYFUNCTION("""COMPUTED_VALUE"""),25.0)</f>
        <v>25</v>
      </c>
    </row>
    <row r="8793">
      <c r="A8793" s="178" t="str">
        <f>IFERROR(__xludf.DUMMYFUNCTION("""COMPUTED_VALUE"""),"ITBISA-NPN-BC547-TO92")</f>
        <v>ITBISA-NPN-BC547-TO92</v>
      </c>
      <c r="B8793" s="266">
        <f>IFERROR(__xludf.DUMMYFUNCTION("""COMPUTED_VALUE"""),45453.0)</f>
        <v>45453</v>
      </c>
      <c r="C8793" s="266" t="str">
        <f>IFERROR(__xludf.DUMMYFUNCTION("""COMPUTED_VALUE"""),"KYAI KONTONG")</f>
        <v>KYAI KONTONG</v>
      </c>
      <c r="D8793" s="186">
        <f>IFERROR(__xludf.DUMMYFUNCTION("""COMPUTED_VALUE"""),10.0)</f>
        <v>10</v>
      </c>
    </row>
    <row r="8794">
      <c r="A8794" s="178" t="str">
        <f>IFERROR(__xludf.DUMMYFUNCTION("""COMPUTED_VALUE"""),"ITBISA-NPN-BC547-TO92")</f>
        <v>ITBISA-NPN-BC547-TO92</v>
      </c>
      <c r="B8794" s="266">
        <f>IFERROR(__xludf.DUMMYFUNCTION("""COMPUTED_VALUE"""),45465.0)</f>
        <v>45465</v>
      </c>
      <c r="C8794" s="266" t="str">
        <f>IFERROR(__xludf.DUMMYFUNCTION("""COMPUTED_VALUE"""),"KERTASARI CIAMIS")</f>
        <v>KERTASARI CIAMIS</v>
      </c>
      <c r="D8794" s="186">
        <f>IFERROR(__xludf.DUMMYFUNCTION("""COMPUTED_VALUE"""),10.0)</f>
        <v>10</v>
      </c>
    </row>
    <row r="8795">
      <c r="A8795" s="178" t="str">
        <f>IFERROR(__xludf.DUMMYFUNCTION("""COMPUTED_VALUE"""),"ITBISA-NPN-BC547-TO92")</f>
        <v>ITBISA-NPN-BC547-TO92</v>
      </c>
      <c r="B8795" s="266">
        <f>IFERROR(__xludf.DUMMYFUNCTION("""COMPUTED_VALUE"""),45473.0)</f>
        <v>45473</v>
      </c>
      <c r="C8795" s="266" t="str">
        <f>IFERROR(__xludf.DUMMYFUNCTION("""COMPUTED_VALUE"""),"KERTASARI CIAMIS")</f>
        <v>KERTASARI CIAMIS</v>
      </c>
      <c r="D8795" s="186">
        <f>IFERROR(__xludf.DUMMYFUNCTION("""COMPUTED_VALUE"""),10.0)</f>
        <v>10</v>
      </c>
    </row>
    <row r="8796">
      <c r="A8796" s="178" t="str">
        <f>IFERROR(__xludf.DUMMYFUNCTION("""COMPUTED_VALUE"""),"ITBISA-NPN-BC547-TO92")</f>
        <v>ITBISA-NPN-BC547-TO92</v>
      </c>
      <c r="B8796" s="266">
        <f>IFERROR(__xludf.DUMMYFUNCTION("""COMPUTED_VALUE"""),45484.0)</f>
        <v>45484</v>
      </c>
      <c r="C8796" s="266" t="str">
        <f>IFERROR(__xludf.DUMMYFUNCTION("""COMPUTED_VALUE"""),"KYAI KONTONG")</f>
        <v>KYAI KONTONG</v>
      </c>
      <c r="D8796" s="186">
        <f>IFERROR(__xludf.DUMMYFUNCTION("""COMPUTED_VALUE"""),10.0)</f>
        <v>10</v>
      </c>
    </row>
    <row r="8797">
      <c r="A8797" s="178" t="str">
        <f>IFERROR(__xludf.DUMMYFUNCTION("""COMPUTED_VALUE"""),"ITBISA-NPN-BC547-TO92")</f>
        <v>ITBISA-NPN-BC547-TO92</v>
      </c>
      <c r="B8797" s="266">
        <f>IFERROR(__xludf.DUMMYFUNCTION("""COMPUTED_VALUE"""),45488.0)</f>
        <v>45488</v>
      </c>
      <c r="C8797" s="266" t="str">
        <f>IFERROR(__xludf.DUMMYFUNCTION("""COMPUTED_VALUE"""),"KYAI KONTONG")</f>
        <v>KYAI KONTONG</v>
      </c>
      <c r="D8797" s="186">
        <f>IFERROR(__xludf.DUMMYFUNCTION("""COMPUTED_VALUE"""),10.0)</f>
        <v>10</v>
      </c>
    </row>
    <row r="8798">
      <c r="A8798" s="178" t="str">
        <f>IFERROR(__xludf.DUMMYFUNCTION("""COMPUTED_VALUE"""),"ITBISA-NPN-BC547-TO92")</f>
        <v>ITBISA-NPN-BC547-TO92</v>
      </c>
      <c r="B8798" s="266">
        <f>IFERROR(__xludf.DUMMYFUNCTION("""COMPUTED_VALUE"""),45498.0)</f>
        <v>45498</v>
      </c>
      <c r="C8798" s="266" t="str">
        <f>IFERROR(__xludf.DUMMYFUNCTION("""COMPUTED_VALUE"""),"KERTASARI CIAMIS")</f>
        <v>KERTASARI CIAMIS</v>
      </c>
      <c r="D8798" s="186">
        <f>IFERROR(__xludf.DUMMYFUNCTION("""COMPUTED_VALUE"""),20.0)</f>
        <v>20</v>
      </c>
    </row>
    <row r="8799">
      <c r="A8799" s="178" t="str">
        <f>IFERROR(__xludf.DUMMYFUNCTION("""COMPUTED_VALUE"""),"ITBISA-NPN-BC547-TO92")</f>
        <v>ITBISA-NPN-BC547-TO92</v>
      </c>
      <c r="B8799" s="266">
        <f>IFERROR(__xludf.DUMMYFUNCTION("""COMPUTED_VALUE"""),45521.0)</f>
        <v>45521</v>
      </c>
      <c r="C8799" s="266" t="str">
        <f>IFERROR(__xludf.DUMMYFUNCTION("""COMPUTED_VALUE"""),"KYAI KONTONG")</f>
        <v>KYAI KONTONG</v>
      </c>
      <c r="D8799" s="186">
        <f>IFERROR(__xludf.DUMMYFUNCTION("""COMPUTED_VALUE"""),15.0)</f>
        <v>15</v>
      </c>
    </row>
    <row r="8800">
      <c r="A8800" s="178" t="str">
        <f>IFERROR(__xludf.DUMMYFUNCTION("""COMPUTED_VALUE"""),"ITBISA-NPN-BC547-TO92")</f>
        <v>ITBISA-NPN-BC547-TO92</v>
      </c>
      <c r="B8800" s="266">
        <f>IFERROR(__xludf.DUMMYFUNCTION("""COMPUTED_VALUE"""),45523.0)</f>
        <v>45523</v>
      </c>
      <c r="C8800" s="266" t="str">
        <f>IFERROR(__xludf.DUMMYFUNCTION("""COMPUTED_VALUE"""),"KYAI KONTONG")</f>
        <v>KYAI KONTONG</v>
      </c>
      <c r="D8800" s="186">
        <f>IFERROR(__xludf.DUMMYFUNCTION("""COMPUTED_VALUE"""),150.0)</f>
        <v>150</v>
      </c>
    </row>
    <row r="8801">
      <c r="A8801" s="178" t="str">
        <f>IFERROR(__xludf.DUMMYFUNCTION("""COMPUTED_VALUE"""),"ITBISA-NPN-BC547-TO92")</f>
        <v>ITBISA-NPN-BC547-TO92</v>
      </c>
      <c r="B8801" s="266">
        <f>IFERROR(__xludf.DUMMYFUNCTION("""COMPUTED_VALUE"""),45535.0)</f>
        <v>45535</v>
      </c>
      <c r="C8801" s="266" t="str">
        <f>IFERROR(__xludf.DUMMYFUNCTION("""COMPUTED_VALUE"""),"KYAI KONTONG")</f>
        <v>KYAI KONTONG</v>
      </c>
      <c r="D8801" s="186">
        <f>IFERROR(__xludf.DUMMYFUNCTION("""COMPUTED_VALUE"""),30.0)</f>
        <v>30</v>
      </c>
    </row>
    <row r="8802">
      <c r="A8802" s="178" t="str">
        <f>IFERROR(__xludf.DUMMYFUNCTION("""COMPUTED_VALUE"""),"ITBISA-NPN-BC547-TO92")</f>
        <v>ITBISA-NPN-BC547-TO92</v>
      </c>
      <c r="B8802" s="266">
        <f>IFERROR(__xludf.DUMMYFUNCTION("""COMPUTED_VALUE"""),45565.0)</f>
        <v>45565</v>
      </c>
      <c r="C8802" s="266" t="str">
        <f>IFERROR(__xludf.DUMMYFUNCTION("""COMPUTED_VALUE"""),"KERTASARI CIAMIS")</f>
        <v>KERTASARI CIAMIS</v>
      </c>
      <c r="D8802" s="186">
        <f>IFERROR(__xludf.DUMMYFUNCTION("""COMPUTED_VALUE"""),15.0)</f>
        <v>15</v>
      </c>
    </row>
    <row r="8803">
      <c r="A8803" s="178" t="str">
        <f>IFERROR(__xludf.DUMMYFUNCTION("""COMPUTED_VALUE"""),"ITBISA-NPN-BC547-TO92")</f>
        <v>ITBISA-NPN-BC547-TO92</v>
      </c>
      <c r="B8803" s="266">
        <f>IFERROR(__xludf.DUMMYFUNCTION("""COMPUTED_VALUE"""),45578.0)</f>
        <v>45578</v>
      </c>
      <c r="C8803" s="266" t="str">
        <f>IFERROR(__xludf.DUMMYFUNCTION("""COMPUTED_VALUE"""),"KYAI KONTONG")</f>
        <v>KYAI KONTONG</v>
      </c>
      <c r="D8803" s="186">
        <f>IFERROR(__xludf.DUMMYFUNCTION("""COMPUTED_VALUE"""),10.0)</f>
        <v>10</v>
      </c>
    </row>
    <row r="8804">
      <c r="A8804" s="178" t="str">
        <f>IFERROR(__xludf.DUMMYFUNCTION("""COMPUTED_VALUE"""),"ITBISA-NPN-BC547-TO92")</f>
        <v>ITBISA-NPN-BC547-TO92</v>
      </c>
      <c r="B8804" s="266">
        <f>IFERROR(__xludf.DUMMYFUNCTION("""COMPUTED_VALUE"""),45585.0)</f>
        <v>45585</v>
      </c>
      <c r="C8804" s="266" t="str">
        <f>IFERROR(__xludf.DUMMYFUNCTION("""COMPUTED_VALUE"""),"KYAI KONTONG")</f>
        <v>KYAI KONTONG</v>
      </c>
      <c r="D8804" s="186">
        <f>IFERROR(__xludf.DUMMYFUNCTION("""COMPUTED_VALUE"""),20.0)</f>
        <v>20</v>
      </c>
    </row>
    <row r="8805">
      <c r="A8805" s="178" t="str">
        <f>IFERROR(__xludf.DUMMYFUNCTION("""COMPUTED_VALUE"""),"ITBISA-NPN-BC547-TO92")</f>
        <v>ITBISA-NPN-BC547-TO92</v>
      </c>
      <c r="B8805" s="266">
        <f>IFERROR(__xludf.DUMMYFUNCTION("""COMPUTED_VALUE"""),45625.0)</f>
        <v>45625</v>
      </c>
      <c r="C8805" s="266" t="str">
        <f>IFERROR(__xludf.DUMMYFUNCTION("""COMPUTED_VALUE"""),"KYAI KONTONG")</f>
        <v>KYAI KONTONG</v>
      </c>
      <c r="D8805" s="186">
        <f>IFERROR(__xludf.DUMMYFUNCTION("""COMPUTED_VALUE"""),10.0)</f>
        <v>10</v>
      </c>
    </row>
    <row r="8806">
      <c r="A8806" s="178" t="str">
        <f>IFERROR(__xludf.DUMMYFUNCTION("""COMPUTED_VALUE"""),"ITBISA-NPN-BC547-TO92")</f>
        <v>ITBISA-NPN-BC547-TO92</v>
      </c>
      <c r="B8806" s="266">
        <f>IFERROR(__xludf.DUMMYFUNCTION("""COMPUTED_VALUE"""),45630.0)</f>
        <v>45630</v>
      </c>
      <c r="C8806" s="266" t="str">
        <f>IFERROR(__xludf.DUMMYFUNCTION("""COMPUTED_VALUE"""),"KERTASARI CIAMIS")</f>
        <v>KERTASARI CIAMIS</v>
      </c>
      <c r="D8806" s="186">
        <f>IFERROR(__xludf.DUMMYFUNCTION("""COMPUTED_VALUE"""),15.0)</f>
        <v>15</v>
      </c>
    </row>
    <row r="8807">
      <c r="A8807" s="178" t="str">
        <f>IFERROR(__xludf.DUMMYFUNCTION("""COMPUTED_VALUE"""),"ITBISA-NPN-BC547-TO92")</f>
        <v>ITBISA-NPN-BC547-TO92</v>
      </c>
      <c r="B8807" s="266">
        <f>IFERROR(__xludf.DUMMYFUNCTION("""COMPUTED_VALUE"""),45631.0)</f>
        <v>45631</v>
      </c>
      <c r="C8807" s="266" t="str">
        <f>IFERROR(__xludf.DUMMYFUNCTION("""COMPUTED_VALUE"""),"KYAI KONTONG")</f>
        <v>KYAI KONTONG</v>
      </c>
      <c r="D8807" s="186">
        <f>IFERROR(__xludf.DUMMYFUNCTION("""COMPUTED_VALUE"""),10.0)</f>
        <v>10</v>
      </c>
    </row>
    <row r="8808">
      <c r="A8808" s="178" t="str">
        <f>IFERROR(__xludf.DUMMYFUNCTION("""COMPUTED_VALUE"""),"ITBISA-NPN-BC547-TO92")</f>
        <v>ITBISA-NPN-BC547-TO92</v>
      </c>
      <c r="B8808" s="266">
        <f>IFERROR(__xludf.DUMMYFUNCTION("""COMPUTED_VALUE"""),45633.0)</f>
        <v>45633</v>
      </c>
      <c r="C8808" s="266" t="str">
        <f>IFERROR(__xludf.DUMMYFUNCTION("""COMPUTED_VALUE"""),"KERTASARI CIAMIS")</f>
        <v>KERTASARI CIAMIS</v>
      </c>
      <c r="D8808" s="186">
        <f>IFERROR(__xludf.DUMMYFUNCTION("""COMPUTED_VALUE"""),50.0)</f>
        <v>50</v>
      </c>
    </row>
    <row r="8809">
      <c r="A8809" s="178" t="str">
        <f>IFERROR(__xludf.DUMMYFUNCTION("""COMPUTED_VALUE"""),"ITBISA-NPN-BC547-TO92")</f>
        <v>ITBISA-NPN-BC547-TO92</v>
      </c>
      <c r="B8809" s="266">
        <f>IFERROR(__xludf.DUMMYFUNCTION("""COMPUTED_VALUE"""),45640.0)</f>
        <v>45640</v>
      </c>
      <c r="C8809" s="266" t="str">
        <f>IFERROR(__xludf.DUMMYFUNCTION("""COMPUTED_VALUE"""),"KERTASARI CIAMIS")</f>
        <v>KERTASARI CIAMIS</v>
      </c>
      <c r="D8809" s="186">
        <f>IFERROR(__xludf.DUMMYFUNCTION("""COMPUTED_VALUE"""),37.0)</f>
        <v>37</v>
      </c>
    </row>
    <row r="8810">
      <c r="A8810" s="178" t="str">
        <f>IFERROR(__xludf.DUMMYFUNCTION("""COMPUTED_VALUE"""),"ITBISA-NPN-BC547-TO92")</f>
        <v>ITBISA-NPN-BC547-TO92</v>
      </c>
      <c r="B8810" s="266">
        <f>IFERROR(__xludf.DUMMYFUNCTION("""COMPUTED_VALUE"""),45650.0)</f>
        <v>45650</v>
      </c>
      <c r="C8810" s="266" t="str">
        <f>IFERROR(__xludf.DUMMYFUNCTION("""COMPUTED_VALUE"""),"KERTASARI CIAMIS")</f>
        <v>KERTASARI CIAMIS</v>
      </c>
      <c r="D8810" s="186">
        <f>IFERROR(__xludf.DUMMYFUNCTION("""COMPUTED_VALUE"""),10.0)</f>
        <v>10</v>
      </c>
    </row>
    <row r="8811">
      <c r="A8811" s="178" t="str">
        <f>IFERROR(__xludf.DUMMYFUNCTION("""COMPUTED_VALUE"""),"ITBISA-NPN-BC547-TO92")</f>
        <v>ITBISA-NPN-BC547-TO92</v>
      </c>
      <c r="B8811" s="266">
        <f>IFERROR(__xludf.DUMMYFUNCTION("""COMPUTED_VALUE"""),45653.0)</f>
        <v>45653</v>
      </c>
      <c r="C8811" s="266" t="str">
        <f>IFERROR(__xludf.DUMMYFUNCTION("""COMPUTED_VALUE"""),"KYAI KONTONG")</f>
        <v>KYAI KONTONG</v>
      </c>
      <c r="D8811" s="186">
        <f>IFERROR(__xludf.DUMMYFUNCTION("""COMPUTED_VALUE"""),10.0)</f>
        <v>10</v>
      </c>
    </row>
    <row r="8812">
      <c r="A8812" s="178" t="str">
        <f>IFERROR(__xludf.DUMMYFUNCTION("""COMPUTED_VALUE"""),"ITBISA-NPN-BC547-TO92")</f>
        <v>ITBISA-NPN-BC547-TO92</v>
      </c>
      <c r="B8812" s="266">
        <f>IFERROR(__xludf.DUMMYFUNCTION("""COMPUTED_VALUE"""),45667.0)</f>
        <v>45667</v>
      </c>
      <c r="C8812" s="266" t="str">
        <f>IFERROR(__xludf.DUMMYFUNCTION("""COMPUTED_VALUE"""),"KERTASARI CIAMIS")</f>
        <v>KERTASARI CIAMIS</v>
      </c>
      <c r="D8812" s="186">
        <f>IFERROR(__xludf.DUMMYFUNCTION("""COMPUTED_VALUE"""),10.0)</f>
        <v>10</v>
      </c>
    </row>
    <row r="8813">
      <c r="A8813" s="178" t="str">
        <f>IFERROR(__xludf.DUMMYFUNCTION("""COMPUTED_VALUE"""),"ITBISA-NPN-BC547-TO92")</f>
        <v>ITBISA-NPN-BC547-TO92</v>
      </c>
      <c r="B8813" s="266">
        <f>IFERROR(__xludf.DUMMYFUNCTION("""COMPUTED_VALUE"""),45676.0)</f>
        <v>45676</v>
      </c>
      <c r="C8813" s="266" t="str">
        <f>IFERROR(__xludf.DUMMYFUNCTION("""COMPUTED_VALUE"""),"KYAI KONTONG")</f>
        <v>KYAI KONTONG</v>
      </c>
      <c r="D8813" s="186">
        <f>IFERROR(__xludf.DUMMYFUNCTION("""COMPUTED_VALUE"""),10.0)</f>
        <v>10</v>
      </c>
    </row>
    <row r="8814">
      <c r="A8814" s="178" t="str">
        <f>IFERROR(__xludf.DUMMYFUNCTION("""COMPUTED_VALUE"""),"ITBISA-NPN-BC547-TO92")</f>
        <v>ITBISA-NPN-BC547-TO92</v>
      </c>
      <c r="B8814" s="266">
        <f>IFERROR(__xludf.DUMMYFUNCTION("""COMPUTED_VALUE"""),45693.0)</f>
        <v>45693</v>
      </c>
      <c r="C8814" s="266" t="str">
        <f>IFERROR(__xludf.DUMMYFUNCTION("""COMPUTED_VALUE"""),"KERTASARI CIAMIS")</f>
        <v>KERTASARI CIAMIS</v>
      </c>
      <c r="D8814" s="186">
        <f>IFERROR(__xludf.DUMMYFUNCTION("""COMPUTED_VALUE"""),40.0)</f>
        <v>40</v>
      </c>
    </row>
    <row r="8815">
      <c r="A8815" s="178" t="str">
        <f>IFERROR(__xludf.DUMMYFUNCTION("""COMPUTED_VALUE"""),"ITBISA-NPN-BC547-TO92")</f>
        <v>ITBISA-NPN-BC547-TO92</v>
      </c>
      <c r="B8815" s="266">
        <f>IFERROR(__xludf.DUMMYFUNCTION("""COMPUTED_VALUE"""),45693.0)</f>
        <v>45693</v>
      </c>
      <c r="C8815" s="266" t="str">
        <f>IFERROR(__xludf.DUMMYFUNCTION("""COMPUTED_VALUE"""),"KYAI KONTONG")</f>
        <v>KYAI KONTONG</v>
      </c>
      <c r="D8815" s="186">
        <f>IFERROR(__xludf.DUMMYFUNCTION("""COMPUTED_VALUE"""),15.0)</f>
        <v>15</v>
      </c>
    </row>
    <row r="8816">
      <c r="A8816" s="178" t="str">
        <f>IFERROR(__xludf.DUMMYFUNCTION("""COMPUTED_VALUE"""),"ITBISA-NPN-BC547-TO92")</f>
        <v>ITBISA-NPN-BC547-TO92</v>
      </c>
      <c r="B8816" s="266">
        <f>IFERROR(__xludf.DUMMYFUNCTION("""COMPUTED_VALUE"""),45786.0)</f>
        <v>45786</v>
      </c>
      <c r="C8816" s="266" t="str">
        <f>IFERROR(__xludf.DUMMYFUNCTION("""COMPUTED_VALUE"""),"KERTASARI CIAMIS")</f>
        <v>KERTASARI CIAMIS</v>
      </c>
      <c r="D8816" s="186">
        <f>IFERROR(__xludf.DUMMYFUNCTION("""COMPUTED_VALUE"""),10.0)</f>
        <v>10</v>
      </c>
    </row>
    <row r="8817">
      <c r="A8817" s="178" t="str">
        <f>IFERROR(__xludf.DUMMYFUNCTION("""COMPUTED_VALUE"""),"ITBISA-NPN-BC547-TO92")</f>
        <v>ITBISA-NPN-BC547-TO92</v>
      </c>
      <c r="B8817" s="266">
        <f>IFERROR(__xludf.DUMMYFUNCTION("""COMPUTED_VALUE"""),45811.0)</f>
        <v>45811</v>
      </c>
      <c r="C8817" s="266" t="str">
        <f>IFERROR(__xludf.DUMMYFUNCTION("""COMPUTED_VALUE"""),"KERTASARI CIAMIS")</f>
        <v>KERTASARI CIAMIS</v>
      </c>
      <c r="D8817" s="186">
        <f>IFERROR(__xludf.DUMMYFUNCTION("""COMPUTED_VALUE"""),17.0)</f>
        <v>17</v>
      </c>
    </row>
    <row r="8818">
      <c r="A8818" s="178" t="str">
        <f>IFERROR(__xludf.DUMMYFUNCTION("""COMPUTED_VALUE"""),"ITBISA-NPN-BC547-TO92")</f>
        <v>ITBISA-NPN-BC547-TO92</v>
      </c>
      <c r="B8818" s="266">
        <f>IFERROR(__xludf.DUMMYFUNCTION("""COMPUTED_VALUE"""),45845.0)</f>
        <v>45845</v>
      </c>
      <c r="C8818" s="266" t="str">
        <f>IFERROR(__xludf.DUMMYFUNCTION("""COMPUTED_VALUE"""),"KERTASARI CIAMIS")</f>
        <v>KERTASARI CIAMIS</v>
      </c>
      <c r="D8818" s="186">
        <f>IFERROR(__xludf.DUMMYFUNCTION("""COMPUTED_VALUE"""),10.0)</f>
        <v>10</v>
      </c>
    </row>
    <row r="8819">
      <c r="A8819" s="178" t="str">
        <f>IFERROR(__xludf.DUMMYFUNCTION("""COMPUTED_VALUE"""),"ITBISA-NPN-BC547-TO92")</f>
        <v>ITBISA-NPN-BC547-TO92</v>
      </c>
      <c r="B8819" s="266">
        <f>IFERROR(__xludf.DUMMYFUNCTION("""COMPUTED_VALUE"""),45952.0)</f>
        <v>45952</v>
      </c>
      <c r="C8819" s="266" t="str">
        <f>IFERROR(__xludf.DUMMYFUNCTION("""COMPUTED_VALUE"""),"KYAI KONTONG")</f>
        <v>KYAI KONTONG</v>
      </c>
      <c r="D8819" s="186">
        <f>IFERROR(__xludf.DUMMYFUNCTION("""COMPUTED_VALUE"""),80.0)</f>
        <v>80</v>
      </c>
    </row>
    <row r="8820">
      <c r="A8820" s="178" t="str">
        <f>IFERROR(__xludf.DUMMYFUNCTION("""COMPUTED_VALUE"""),"ITBISA-NPN-BC547-TO92")</f>
        <v>ITBISA-NPN-BC547-TO92</v>
      </c>
      <c r="B8820" s="266">
        <f>IFERROR(__xludf.DUMMYFUNCTION("""COMPUTED_VALUE"""),45973.0)</f>
        <v>45973</v>
      </c>
      <c r="C8820" s="266" t="str">
        <f>IFERROR(__xludf.DUMMYFUNCTION("""COMPUTED_VALUE"""),"KERTASARI CIAMIS")</f>
        <v>KERTASARI CIAMIS</v>
      </c>
      <c r="D8820" s="186">
        <f>IFERROR(__xludf.DUMMYFUNCTION("""COMPUTED_VALUE"""),150.0)</f>
        <v>150</v>
      </c>
    </row>
    <row r="8821">
      <c r="A8821" s="178" t="str">
        <f>IFERROR(__xludf.DUMMYFUNCTION("""COMPUTED_VALUE"""),"ITBISA-NPN-BC547-TO92")</f>
        <v>ITBISA-NPN-BC547-TO92</v>
      </c>
      <c r="B8821" s="266">
        <f>IFERROR(__xludf.DUMMYFUNCTION("""COMPUTED_VALUE"""),45980.0)</f>
        <v>45980</v>
      </c>
      <c r="C8821" s="266" t="str">
        <f>IFERROR(__xludf.DUMMYFUNCTION("""COMPUTED_VALUE"""),"KYAI KONTONG")</f>
        <v>KYAI KONTONG</v>
      </c>
      <c r="D8821" s="186">
        <f>IFERROR(__xludf.DUMMYFUNCTION("""COMPUTED_VALUE"""),30.0)</f>
        <v>30</v>
      </c>
    </row>
    <row r="8822">
      <c r="A8822" s="178" t="str">
        <f>IFERROR(__xludf.DUMMYFUNCTION("""COMPUTED_VALUE"""),"ITBISA-NPN-BC547-TO92")</f>
        <v>ITBISA-NPN-BC547-TO92</v>
      </c>
      <c r="B8822" s="266">
        <f>IFERROR(__xludf.DUMMYFUNCTION("""COMPUTED_VALUE"""),45993.0)</f>
        <v>45993</v>
      </c>
      <c r="C8822" s="266" t="str">
        <f>IFERROR(__xludf.DUMMYFUNCTION("""COMPUTED_VALUE"""),"KYAI KONTONG")</f>
        <v>KYAI KONTONG</v>
      </c>
      <c r="D8822" s="186">
        <f>IFERROR(__xludf.DUMMYFUNCTION("""COMPUTED_VALUE"""),50.0)</f>
        <v>50</v>
      </c>
    </row>
    <row r="8823">
      <c r="A8823" s="178" t="str">
        <f>IFERROR(__xludf.DUMMYFUNCTION("""COMPUTED_VALUE"""),"ITBISA-NPN-BC547-TO92")</f>
        <v>ITBISA-NPN-BC547-TO92</v>
      </c>
      <c r="B8823" s="266">
        <f>IFERROR(__xludf.DUMMYFUNCTION("""COMPUTED_VALUE"""),46013.0)</f>
        <v>46013</v>
      </c>
      <c r="C8823" s="266" t="str">
        <f>IFERROR(__xludf.DUMMYFUNCTION("""COMPUTED_VALUE"""),"KERTASARI CIAMIS")</f>
        <v>KERTASARI CIAMIS</v>
      </c>
      <c r="D8823" s="186">
        <f>IFERROR(__xludf.DUMMYFUNCTION("""COMPUTED_VALUE"""),20.0)</f>
        <v>20</v>
      </c>
    </row>
    <row r="8824">
      <c r="A8824" s="178" t="str">
        <f>IFERROR(__xludf.DUMMYFUNCTION("""COMPUTED_VALUE"""),"ITBISA-NPN-BC548-TO92")</f>
        <v>ITBISA-NPN-BC548-TO92</v>
      </c>
      <c r="B8824" s="266">
        <f>IFERROR(__xludf.DUMMYFUNCTION("""COMPUTED_VALUE"""),45440.0)</f>
        <v>45440</v>
      </c>
      <c r="C8824" s="266" t="str">
        <f>IFERROR(__xludf.DUMMYFUNCTION("""COMPUTED_VALUE"""),"KYAI KONTONG")</f>
        <v>KYAI KONTONG</v>
      </c>
      <c r="D8824" s="186">
        <f>IFERROR(__xludf.DUMMYFUNCTION("""COMPUTED_VALUE"""),50.0)</f>
        <v>50</v>
      </c>
    </row>
    <row r="8825">
      <c r="A8825" s="178" t="str">
        <f>IFERROR(__xludf.DUMMYFUNCTION("""COMPUTED_VALUE"""),"ITBISA-NPN-BC548-TO92")</f>
        <v>ITBISA-NPN-BC548-TO92</v>
      </c>
      <c r="B8825" s="266">
        <f>IFERROR(__xludf.DUMMYFUNCTION("""COMPUTED_VALUE"""),45735.0)</f>
        <v>45735</v>
      </c>
      <c r="C8825" s="266" t="str">
        <f>IFERROR(__xludf.DUMMYFUNCTION("""COMPUTED_VALUE"""),"KERTASARI CIAMIS")</f>
        <v>KERTASARI CIAMIS</v>
      </c>
      <c r="D8825" s="186">
        <f>IFERROR(__xludf.DUMMYFUNCTION("""COMPUTED_VALUE"""),20.0)</f>
        <v>20</v>
      </c>
    </row>
    <row r="8826">
      <c r="A8826" s="178" t="str">
        <f>IFERROR(__xludf.DUMMYFUNCTION("""COMPUTED_VALUE"""),"ITBISA-OPPO-F9-64GB-6GB-RED-RESMI")</f>
        <v>ITBISA-OPPO-F9-64GB-6GB-RED-RESMI</v>
      </c>
      <c r="B8826" s="266">
        <f>IFERROR(__xludf.DUMMYFUNCTION("""COMPUTED_VALUE"""),43458.0)</f>
        <v>43458</v>
      </c>
      <c r="C8826" s="266" t="str">
        <f>IFERROR(__xludf.DUMMYFUNCTION("""COMPUTED_VALUE"""),"RUMAH MUZAKKI")</f>
        <v>RUMAH MUZAKKI</v>
      </c>
      <c r="D8826" s="186">
        <f>IFERROR(__xludf.DUMMYFUNCTION("""COMPUTED_VALUE"""),1.0)</f>
        <v>1</v>
      </c>
    </row>
    <row r="8827">
      <c r="A8827" s="178" t="str">
        <f>IFERROR(__xludf.DUMMYFUNCTION("""COMPUTED_VALUE"""),"ITBISA-PCB-5X7-COPPER-SINGLE-SIDE")</f>
        <v>ITBISA-PCB-5X7-COPPER-SINGLE-SIDE</v>
      </c>
      <c r="B8827" s="266">
        <f>IFERROR(__xludf.DUMMYFUNCTION("""COMPUTED_VALUE"""),43733.0)</f>
        <v>43733</v>
      </c>
      <c r="C8827" s="266" t="str">
        <f>IFERROR(__xludf.DUMMYFUNCTION("""COMPUTED_VALUE"""),"RUMAH MUZAKKI")</f>
        <v>RUMAH MUZAKKI</v>
      </c>
      <c r="D8827" s="186">
        <f>IFERROR(__xludf.DUMMYFUNCTION("""COMPUTED_VALUE"""),1.0)</f>
        <v>1</v>
      </c>
    </row>
    <row r="8828">
      <c r="A8828" s="178" t="str">
        <f>IFERROR(__xludf.DUMMYFUNCTION("""COMPUTED_VALUE"""),"ITBISA-PCB-5X7-COPPER-SINGLE-SIDE")</f>
        <v>ITBISA-PCB-5X7-COPPER-SINGLE-SIDE</v>
      </c>
      <c r="B8828" s="266">
        <f>IFERROR(__xludf.DUMMYFUNCTION("""COMPUTED_VALUE"""),43747.0)</f>
        <v>43747</v>
      </c>
      <c r="C8828" s="266" t="str">
        <f>IFERROR(__xludf.DUMMYFUNCTION("""COMPUTED_VALUE"""),"RUMAH MUZAKKI")</f>
        <v>RUMAH MUZAKKI</v>
      </c>
      <c r="D8828" s="186">
        <f>IFERROR(__xludf.DUMMYFUNCTION("""COMPUTED_VALUE"""),40.0)</f>
        <v>40</v>
      </c>
    </row>
    <row r="8829">
      <c r="A8829" s="178" t="str">
        <f>IFERROR(__xludf.DUMMYFUNCTION("""COMPUTED_VALUE"""),"ITBISA-PCB-5X7-COPPER-SINGLE-SIDE")</f>
        <v>ITBISA-PCB-5X7-COPPER-SINGLE-SIDE</v>
      </c>
      <c r="B8829" s="266">
        <f>IFERROR(__xludf.DUMMYFUNCTION("""COMPUTED_VALUE"""),43750.0)</f>
        <v>43750</v>
      </c>
      <c r="C8829" s="266" t="str">
        <f>IFERROR(__xludf.DUMMYFUNCTION("""COMPUTED_VALUE"""),"RUMAH MUZAKKI")</f>
        <v>RUMAH MUZAKKI</v>
      </c>
      <c r="D8829" s="186">
        <f>IFERROR(__xludf.DUMMYFUNCTION("""COMPUTED_VALUE"""),20.0)</f>
        <v>20</v>
      </c>
    </row>
    <row r="8830">
      <c r="A8830" s="178" t="str">
        <f>IFERROR(__xludf.DUMMYFUNCTION("""COMPUTED_VALUE"""),"ITBISA-PCB-5X7-COPPER-SINGLE-SIDE")</f>
        <v>ITBISA-PCB-5X7-COPPER-SINGLE-SIDE</v>
      </c>
      <c r="B8830" s="266">
        <f>IFERROR(__xludf.DUMMYFUNCTION("""COMPUTED_VALUE"""),43757.0)</f>
        <v>43757</v>
      </c>
      <c r="C8830" s="266" t="str">
        <f>IFERROR(__xludf.DUMMYFUNCTION("""COMPUTED_VALUE"""),"RUMAH MUZAKKI")</f>
        <v>RUMAH MUZAKKI</v>
      </c>
      <c r="D8830" s="186">
        <f>IFERROR(__xludf.DUMMYFUNCTION("""COMPUTED_VALUE"""),6.0)</f>
        <v>6</v>
      </c>
    </row>
    <row r="8831">
      <c r="A8831" s="178" t="str">
        <f>IFERROR(__xludf.DUMMYFUNCTION("""COMPUTED_VALUE"""),"ITBISA-PCB-5X7-COPPER-SINGLE-SIDE")</f>
        <v>ITBISA-PCB-5X7-COPPER-SINGLE-SIDE</v>
      </c>
      <c r="B8831" s="266">
        <f>IFERROR(__xludf.DUMMYFUNCTION("""COMPUTED_VALUE"""),43758.0)</f>
        <v>43758</v>
      </c>
      <c r="C8831" s="266" t="str">
        <f>IFERROR(__xludf.DUMMYFUNCTION("""COMPUTED_VALUE"""),"AVRG ITB")</f>
        <v>AVRG ITB</v>
      </c>
      <c r="D8831" s="186">
        <f>IFERROR(__xludf.DUMMYFUNCTION("""COMPUTED_VALUE"""),2.0)</f>
        <v>2</v>
      </c>
    </row>
    <row r="8832">
      <c r="A8832" s="178" t="str">
        <f>IFERROR(__xludf.DUMMYFUNCTION("""COMPUTED_VALUE"""),"ITBISA-PCB-5X7-COPPER-SINGLE-SIDE")</f>
        <v>ITBISA-PCB-5X7-COPPER-SINGLE-SIDE</v>
      </c>
      <c r="B8832" s="266">
        <f>IFERROR(__xludf.DUMMYFUNCTION("""COMPUTED_VALUE"""),43763.0)</f>
        <v>43763</v>
      </c>
      <c r="C8832" s="266" t="str">
        <f>IFERROR(__xludf.DUMMYFUNCTION("""COMPUTED_VALUE"""),"RUMAH MUZAKKI")</f>
        <v>RUMAH MUZAKKI</v>
      </c>
      <c r="D8832" s="186">
        <f>IFERROR(__xludf.DUMMYFUNCTION("""COMPUTED_VALUE"""),20.0)</f>
        <v>20</v>
      </c>
    </row>
    <row r="8833">
      <c r="A8833" s="178" t="str">
        <f>IFERROR(__xludf.DUMMYFUNCTION("""COMPUTED_VALUE"""),"ITBISA-PCB-5X7-COPPER-SINGLE-SIDE")</f>
        <v>ITBISA-PCB-5X7-COPPER-SINGLE-SIDE</v>
      </c>
      <c r="B8833" s="266">
        <f>IFERROR(__xludf.DUMMYFUNCTION("""COMPUTED_VALUE"""),43771.0)</f>
        <v>43771</v>
      </c>
      <c r="C8833" s="266" t="str">
        <f>IFERROR(__xludf.DUMMYFUNCTION("""COMPUTED_VALUE"""),"RUMAH MUZAKKI")</f>
        <v>RUMAH MUZAKKI</v>
      </c>
      <c r="D8833" s="186">
        <f>IFERROR(__xludf.DUMMYFUNCTION("""COMPUTED_VALUE"""),50.0)</f>
        <v>50</v>
      </c>
    </row>
    <row r="8834">
      <c r="A8834" s="178" t="str">
        <f>IFERROR(__xludf.DUMMYFUNCTION("""COMPUTED_VALUE"""),"ITBISA-PCB-5X7-COPPER-SINGLE-SIDE")</f>
        <v>ITBISA-PCB-5X7-COPPER-SINGLE-SIDE</v>
      </c>
      <c r="B8834" s="266">
        <f>IFERROR(__xludf.DUMMYFUNCTION("""COMPUTED_VALUE"""),43785.0)</f>
        <v>43785</v>
      </c>
      <c r="C8834" s="266" t="str">
        <f>IFERROR(__xludf.DUMMYFUNCTION("""COMPUTED_VALUE"""),"RUMAH MUZAKKI")</f>
        <v>RUMAH MUZAKKI</v>
      </c>
      <c r="D8834" s="186">
        <f>IFERROR(__xludf.DUMMYFUNCTION("""COMPUTED_VALUE"""),3.0)</f>
        <v>3</v>
      </c>
    </row>
    <row r="8835">
      <c r="A8835" s="178" t="str">
        <f>IFERROR(__xludf.DUMMYFUNCTION("""COMPUTED_VALUE"""),"ITBISA-PCB-5X7-COPPER-SINGLE-SIDE")</f>
        <v>ITBISA-PCB-5X7-COPPER-SINGLE-SIDE</v>
      </c>
      <c r="B8835" s="266">
        <f>IFERROR(__xludf.DUMMYFUNCTION("""COMPUTED_VALUE"""),43785.0)</f>
        <v>43785</v>
      </c>
      <c r="C8835" s="266" t="str">
        <f>IFERROR(__xludf.DUMMYFUNCTION("""COMPUTED_VALUE"""),"RUMAH MUZAKKI")</f>
        <v>RUMAH MUZAKKI</v>
      </c>
      <c r="D8835" s="186">
        <f>IFERROR(__xludf.DUMMYFUNCTION("""COMPUTED_VALUE"""),10.0)</f>
        <v>10</v>
      </c>
    </row>
    <row r="8836">
      <c r="A8836" s="178" t="str">
        <f>IFERROR(__xludf.DUMMYFUNCTION("""COMPUTED_VALUE"""),"ITBISA-PCB-5X7-COPPER-SINGLE-SIDE")</f>
        <v>ITBISA-PCB-5X7-COPPER-SINGLE-SIDE</v>
      </c>
      <c r="B8836" s="266">
        <f>IFERROR(__xludf.DUMMYFUNCTION("""COMPUTED_VALUE"""),43786.0)</f>
        <v>43786</v>
      </c>
      <c r="C8836" s="266" t="str">
        <f>IFERROR(__xludf.DUMMYFUNCTION("""COMPUTED_VALUE"""),"AVRG ITB")</f>
        <v>AVRG ITB</v>
      </c>
      <c r="D8836" s="186">
        <f>IFERROR(__xludf.DUMMYFUNCTION("""COMPUTED_VALUE"""),1.0)</f>
        <v>1</v>
      </c>
    </row>
    <row r="8837">
      <c r="A8837" s="178" t="str">
        <f>IFERROR(__xludf.DUMMYFUNCTION("""COMPUTED_VALUE"""),"ITBISA-PCB-5X7-COPPER-SINGLE-SIDE")</f>
        <v>ITBISA-PCB-5X7-COPPER-SINGLE-SIDE</v>
      </c>
      <c r="B8837" s="266">
        <f>IFERROR(__xludf.DUMMYFUNCTION("""COMPUTED_VALUE"""),43790.0)</f>
        <v>43790</v>
      </c>
      <c r="C8837" s="266" t="str">
        <f>IFERROR(__xludf.DUMMYFUNCTION("""COMPUTED_VALUE"""),"RUMAH MUZAKKI")</f>
        <v>RUMAH MUZAKKI</v>
      </c>
      <c r="D8837" s="186">
        <f>IFERROR(__xludf.DUMMYFUNCTION("""COMPUTED_VALUE"""),8.0)</f>
        <v>8</v>
      </c>
    </row>
    <row r="8838">
      <c r="A8838" s="178" t="str">
        <f>IFERROR(__xludf.DUMMYFUNCTION("""COMPUTED_VALUE"""),"ITBISA-PCB-5X7-COPPER-SINGLE-SIDE")</f>
        <v>ITBISA-PCB-5X7-COPPER-SINGLE-SIDE</v>
      </c>
      <c r="B8838" s="266">
        <f>IFERROR(__xludf.DUMMYFUNCTION("""COMPUTED_VALUE"""),43820.0)</f>
        <v>43820</v>
      </c>
      <c r="C8838" s="266" t="str">
        <f>IFERROR(__xludf.DUMMYFUNCTION("""COMPUTED_VALUE"""),"AVRG ITB")</f>
        <v>AVRG ITB</v>
      </c>
      <c r="D8838" s="186">
        <f>IFERROR(__xludf.DUMMYFUNCTION("""COMPUTED_VALUE"""),30.0)</f>
        <v>30</v>
      </c>
    </row>
    <row r="8839">
      <c r="A8839" s="178" t="str">
        <f>IFERROR(__xludf.DUMMYFUNCTION("""COMPUTED_VALUE"""),"ITBISA-PCB-5X7-COPPER-SINGLE-SIDE")</f>
        <v>ITBISA-PCB-5X7-COPPER-SINGLE-SIDE</v>
      </c>
      <c r="B8839" s="266">
        <f>IFERROR(__xludf.DUMMYFUNCTION("""COMPUTED_VALUE"""),43832.0)</f>
        <v>43832</v>
      </c>
      <c r="C8839" s="266" t="str">
        <f>IFERROR(__xludf.DUMMYFUNCTION("""COMPUTED_VALUE"""),"AVRG ITB")</f>
        <v>AVRG ITB</v>
      </c>
      <c r="D8839" s="186">
        <f>IFERROR(__xludf.DUMMYFUNCTION("""COMPUTED_VALUE"""),9.0)</f>
        <v>9</v>
      </c>
    </row>
    <row r="8840">
      <c r="A8840" s="178" t="str">
        <f>IFERROR(__xludf.DUMMYFUNCTION("""COMPUTED_VALUE"""),"ITBISA-PCB-5X7-COPPER-SINGLE-SIDE")</f>
        <v>ITBISA-PCB-5X7-COPPER-SINGLE-SIDE</v>
      </c>
      <c r="B8840" s="266">
        <f>IFERROR(__xludf.DUMMYFUNCTION("""COMPUTED_VALUE"""),43849.0)</f>
        <v>43849</v>
      </c>
      <c r="C8840" s="266" t="str">
        <f>IFERROR(__xludf.DUMMYFUNCTION("""COMPUTED_VALUE"""),"AVRG ITB")</f>
        <v>AVRG ITB</v>
      </c>
      <c r="D8840" s="186">
        <f>IFERROR(__xludf.DUMMYFUNCTION("""COMPUTED_VALUE"""),20.0)</f>
        <v>20</v>
      </c>
    </row>
    <row r="8841">
      <c r="A8841" s="178" t="str">
        <f>IFERROR(__xludf.DUMMYFUNCTION("""COMPUTED_VALUE"""),"ITBISA-PCB-5X7-COPPER-SINGLE-SIDE")</f>
        <v>ITBISA-PCB-5X7-COPPER-SINGLE-SIDE</v>
      </c>
      <c r="B8841" s="266">
        <f>IFERROR(__xludf.DUMMYFUNCTION("""COMPUTED_VALUE"""),43880.0)</f>
        <v>43880</v>
      </c>
      <c r="C8841" s="266" t="str">
        <f>IFERROR(__xludf.DUMMYFUNCTION("""COMPUTED_VALUE"""),"AVRG ITB")</f>
        <v>AVRG ITB</v>
      </c>
      <c r="D8841" s="186">
        <f>IFERROR(__xludf.DUMMYFUNCTION("""COMPUTED_VALUE"""),57.0)</f>
        <v>57</v>
      </c>
    </row>
    <row r="8842">
      <c r="A8842" s="178" t="str">
        <f>IFERROR(__xludf.DUMMYFUNCTION("""COMPUTED_VALUE"""),"ITBISA-PCB-5X7-COPPER-SINGLE-SIDE")</f>
        <v>ITBISA-PCB-5X7-COPPER-SINGLE-SIDE</v>
      </c>
      <c r="B8842" s="266">
        <f>IFERROR(__xludf.DUMMYFUNCTION("""COMPUTED_VALUE"""),43929.0)</f>
        <v>43929</v>
      </c>
      <c r="C8842" s="266" t="str">
        <f>IFERROR(__xludf.DUMMYFUNCTION("""COMPUTED_VALUE"""),"KAETOBO RESIDENCE")</f>
        <v>KAETOBO RESIDENCE</v>
      </c>
      <c r="D8842" s="186">
        <f>IFERROR(__xludf.DUMMYFUNCTION("""COMPUTED_VALUE"""),52.0)</f>
        <v>52</v>
      </c>
    </row>
    <row r="8843">
      <c r="A8843" s="178" t="str">
        <f>IFERROR(__xludf.DUMMYFUNCTION("""COMPUTED_VALUE"""),"ITBISA-PCB-5X7-COPPER-SINGLE-SIDE")</f>
        <v>ITBISA-PCB-5X7-COPPER-SINGLE-SIDE</v>
      </c>
      <c r="B8843" s="266">
        <f>IFERROR(__xludf.DUMMYFUNCTION("""COMPUTED_VALUE"""),44058.0)</f>
        <v>44058</v>
      </c>
      <c r="C8843" s="266" t="str">
        <f>IFERROR(__xludf.DUMMYFUNCTION("""COMPUTED_VALUE"""),"KOST SRITUNGGAL")</f>
        <v>KOST SRITUNGGAL</v>
      </c>
      <c r="D8843" s="186">
        <f>IFERROR(__xludf.DUMMYFUNCTION("""COMPUTED_VALUE"""),15.0)</f>
        <v>15</v>
      </c>
    </row>
    <row r="8844">
      <c r="A8844" s="178" t="str">
        <f>IFERROR(__xludf.DUMMYFUNCTION("""COMPUTED_VALUE"""),"ITBISA-PCB-5X7-COPPER-SINGLE-SIDE")</f>
        <v>ITBISA-PCB-5X7-COPPER-SINGLE-SIDE</v>
      </c>
      <c r="B8844" s="266">
        <f>IFERROR(__xludf.DUMMYFUNCTION("""COMPUTED_VALUE"""),44068.0)</f>
        <v>44068</v>
      </c>
      <c r="C8844" s="266" t="str">
        <f>IFERROR(__xludf.DUMMYFUNCTION("""COMPUTED_VALUE"""),"KOST SRITUNGGAL")</f>
        <v>KOST SRITUNGGAL</v>
      </c>
      <c r="D8844" s="186">
        <f>IFERROR(__xludf.DUMMYFUNCTION("""COMPUTED_VALUE"""),25.0)</f>
        <v>25</v>
      </c>
    </row>
    <row r="8845">
      <c r="A8845" s="178" t="str">
        <f>IFERROR(__xludf.DUMMYFUNCTION("""COMPUTED_VALUE"""),"ITBISA-PCB-5X7-COPPER-SINGLE-SIDE")</f>
        <v>ITBISA-PCB-5X7-COPPER-SINGLE-SIDE</v>
      </c>
      <c r="B8845" s="266">
        <f>IFERROR(__xludf.DUMMYFUNCTION("""COMPUTED_VALUE"""),44148.0)</f>
        <v>44148</v>
      </c>
      <c r="C8845" s="266" t="str">
        <f>IFERROR(__xludf.DUMMYFUNCTION("""COMPUTED_VALUE"""),"KOST RUMAHUMI")</f>
        <v>KOST RUMAHUMI</v>
      </c>
      <c r="D8845" s="186">
        <f>IFERROR(__xludf.DUMMYFUNCTION("""COMPUTED_VALUE"""),30.0)</f>
        <v>30</v>
      </c>
    </row>
    <row r="8846">
      <c r="A8846" s="178" t="str">
        <f>IFERROR(__xludf.DUMMYFUNCTION("""COMPUTED_VALUE"""),"ITBISA-PCB-5X7-COPPER-SINGLE-SIDE")</f>
        <v>ITBISA-PCB-5X7-COPPER-SINGLE-SIDE</v>
      </c>
      <c r="B8846" s="266">
        <f>IFERROR(__xludf.DUMMYFUNCTION("""COMPUTED_VALUE"""),44215.0)</f>
        <v>44215</v>
      </c>
      <c r="C8846" s="266" t="str">
        <f>IFERROR(__xludf.DUMMYFUNCTION("""COMPUTED_VALUE"""),"KOST RUMAHUMI")</f>
        <v>KOST RUMAHUMI</v>
      </c>
      <c r="D8846" s="186">
        <f>IFERROR(__xludf.DUMMYFUNCTION("""COMPUTED_VALUE"""),10.0)</f>
        <v>10</v>
      </c>
    </row>
    <row r="8847">
      <c r="A8847" s="178" t="str">
        <f>IFERROR(__xludf.DUMMYFUNCTION("""COMPUTED_VALUE"""),"ITBISA-PCB-5X7-COPPER-SINGLE-SIDE")</f>
        <v>ITBISA-PCB-5X7-COPPER-SINGLE-SIDE</v>
      </c>
      <c r="B8847" s="266">
        <f>IFERROR(__xludf.DUMMYFUNCTION("""COMPUTED_VALUE"""),44239.0)</f>
        <v>44239</v>
      </c>
      <c r="C8847" s="266" t="str">
        <f>IFERROR(__xludf.DUMMYFUNCTION("""COMPUTED_VALUE"""),"KOST RUMAHUMI")</f>
        <v>KOST RUMAHUMI</v>
      </c>
      <c r="D8847" s="186">
        <f>IFERROR(__xludf.DUMMYFUNCTION("""COMPUTED_VALUE"""),5.0)</f>
        <v>5</v>
      </c>
    </row>
    <row r="8848">
      <c r="A8848" s="178" t="str">
        <f>IFERROR(__xludf.DUMMYFUNCTION("""COMPUTED_VALUE"""),"ITBISA-PCB-5X7-COPPER-SINGLE-SIDE")</f>
        <v>ITBISA-PCB-5X7-COPPER-SINGLE-SIDE</v>
      </c>
      <c r="B8848" s="266">
        <f>IFERROR(__xludf.DUMMYFUNCTION("""COMPUTED_VALUE"""),44280.0)</f>
        <v>44280</v>
      </c>
      <c r="C8848" s="266" t="str">
        <f>IFERROR(__xludf.DUMMYFUNCTION("""COMPUTED_VALUE"""),"KOST RUMAHUMI")</f>
        <v>KOST RUMAHUMI</v>
      </c>
      <c r="D8848" s="186">
        <f>IFERROR(__xludf.DUMMYFUNCTION("""COMPUTED_VALUE"""),5.0)</f>
        <v>5</v>
      </c>
    </row>
    <row r="8849">
      <c r="A8849" s="178" t="str">
        <f>IFERROR(__xludf.DUMMYFUNCTION("""COMPUTED_VALUE"""),"ITBISA-PCB-5X7-COPPER-SINGLE-SIDE")</f>
        <v>ITBISA-PCB-5X7-COPPER-SINGLE-SIDE</v>
      </c>
      <c r="B8849" s="266">
        <f>IFERROR(__xludf.DUMMYFUNCTION("""COMPUTED_VALUE"""),44293.0)</f>
        <v>44293</v>
      </c>
      <c r="C8849" s="266" t="str">
        <f>IFERROR(__xludf.DUMMYFUNCTION("""COMPUTED_VALUE"""),"KOST RUMAHUMI")</f>
        <v>KOST RUMAHUMI</v>
      </c>
      <c r="D8849" s="186">
        <f>IFERROR(__xludf.DUMMYFUNCTION("""COMPUTED_VALUE"""),25.0)</f>
        <v>25</v>
      </c>
    </row>
    <row r="8850">
      <c r="A8850" s="178" t="str">
        <f>IFERROR(__xludf.DUMMYFUNCTION("""COMPUTED_VALUE"""),"ITBISA-PCB-5X7-COPPER-SINGLE-SIDE")</f>
        <v>ITBISA-PCB-5X7-COPPER-SINGLE-SIDE</v>
      </c>
      <c r="B8850" s="266">
        <f>IFERROR(__xludf.DUMMYFUNCTION("""COMPUTED_VALUE"""),44828.0)</f>
        <v>44828</v>
      </c>
      <c r="C8850" s="266" t="str">
        <f>IFERROR(__xludf.DUMMYFUNCTION("""COMPUTED_VALUE"""),"KYAI KONTONG")</f>
        <v>KYAI KONTONG</v>
      </c>
      <c r="D8850" s="186">
        <f>IFERROR(__xludf.DUMMYFUNCTION("""COMPUTED_VALUE"""),2.0)</f>
        <v>2</v>
      </c>
    </row>
    <row r="8851">
      <c r="A8851" s="178" t="str">
        <f>IFERROR(__xludf.DUMMYFUNCTION("""COMPUTED_VALUE"""),"ITBISA-PCB-5X7-COPPER-SINGLE-SIDE")</f>
        <v>ITBISA-PCB-5X7-COPPER-SINGLE-SIDE</v>
      </c>
      <c r="B8851" s="266">
        <f>IFERROR(__xludf.DUMMYFUNCTION("""COMPUTED_VALUE"""),44831.0)</f>
        <v>44831</v>
      </c>
      <c r="C8851" s="266" t="str">
        <f>IFERROR(__xludf.DUMMYFUNCTION("""COMPUTED_VALUE"""),"KYAI KONTONG")</f>
        <v>KYAI KONTONG</v>
      </c>
      <c r="D8851" s="186">
        <f>IFERROR(__xludf.DUMMYFUNCTION("""COMPUTED_VALUE"""),10.0)</f>
        <v>10</v>
      </c>
    </row>
    <row r="8852">
      <c r="A8852" s="178" t="str">
        <f>IFERROR(__xludf.DUMMYFUNCTION("""COMPUTED_VALUE"""),"ITBISA-PCB-5X7-COPPER-SINGLE-SIDE")</f>
        <v>ITBISA-PCB-5X7-COPPER-SINGLE-SIDE</v>
      </c>
      <c r="B8852" s="266">
        <f>IFERROR(__xludf.DUMMYFUNCTION("""COMPUTED_VALUE"""),44833.0)</f>
        <v>44833</v>
      </c>
      <c r="C8852" s="266" t="str">
        <f>IFERROR(__xludf.DUMMYFUNCTION("""COMPUTED_VALUE"""),"KYAI KONTONG")</f>
        <v>KYAI KONTONG</v>
      </c>
      <c r="D8852" s="186">
        <f>IFERROR(__xludf.DUMMYFUNCTION("""COMPUTED_VALUE"""),1.0)</f>
        <v>1</v>
      </c>
    </row>
    <row r="8853">
      <c r="A8853" s="178" t="str">
        <f>IFERROR(__xludf.DUMMYFUNCTION("""COMPUTED_VALUE"""),"ITBISA-PCB-5X7-COPPER-SINGLE-SIDE")</f>
        <v>ITBISA-PCB-5X7-COPPER-SINGLE-SIDE</v>
      </c>
      <c r="B8853" s="266">
        <f>IFERROR(__xludf.DUMMYFUNCTION("""COMPUTED_VALUE"""),44835.0)</f>
        <v>44835</v>
      </c>
      <c r="C8853" s="266" t="str">
        <f>IFERROR(__xludf.DUMMYFUNCTION("""COMPUTED_VALUE"""),"KYAI KONTONG")</f>
        <v>KYAI KONTONG</v>
      </c>
      <c r="D8853" s="186">
        <f>IFERROR(__xludf.DUMMYFUNCTION("""COMPUTED_VALUE"""),5.0)</f>
        <v>5</v>
      </c>
    </row>
    <row r="8854">
      <c r="A8854" s="178" t="str">
        <f>IFERROR(__xludf.DUMMYFUNCTION("""COMPUTED_VALUE"""),"ITBISA-PCB-5X7-COPPER-SINGLE-SIDE")</f>
        <v>ITBISA-PCB-5X7-COPPER-SINGLE-SIDE</v>
      </c>
      <c r="B8854" s="266">
        <f>IFERROR(__xludf.DUMMYFUNCTION("""COMPUTED_VALUE"""),44846.0)</f>
        <v>44846</v>
      </c>
      <c r="C8854" s="266" t="str">
        <f>IFERROR(__xludf.DUMMYFUNCTION("""COMPUTED_VALUE"""),"KYAI KONTONG")</f>
        <v>KYAI KONTONG</v>
      </c>
      <c r="D8854" s="186">
        <f>IFERROR(__xludf.DUMMYFUNCTION("""COMPUTED_VALUE"""),2.0)</f>
        <v>2</v>
      </c>
    </row>
    <row r="8855">
      <c r="A8855" s="178" t="str">
        <f>IFERROR(__xludf.DUMMYFUNCTION("""COMPUTED_VALUE"""),"ITBISA-PCB-5X7-COPPER-SINGLE-SIDE")</f>
        <v>ITBISA-PCB-5X7-COPPER-SINGLE-SIDE</v>
      </c>
      <c r="B8855" s="266">
        <f>IFERROR(__xludf.DUMMYFUNCTION("""COMPUTED_VALUE"""),44860.0)</f>
        <v>44860</v>
      </c>
      <c r="C8855" s="266" t="str">
        <f>IFERROR(__xludf.DUMMYFUNCTION("""COMPUTED_VALUE"""),"KYAI KONTONG")</f>
        <v>KYAI KONTONG</v>
      </c>
      <c r="D8855" s="186">
        <f>IFERROR(__xludf.DUMMYFUNCTION("""COMPUTED_VALUE"""),2.0)</f>
        <v>2</v>
      </c>
    </row>
    <row r="8856">
      <c r="A8856" s="178" t="str">
        <f>IFERROR(__xludf.DUMMYFUNCTION("""COMPUTED_VALUE"""),"ITBISA-PCB-5X7-COPPER-SINGLE-SIDE")</f>
        <v>ITBISA-PCB-5X7-COPPER-SINGLE-SIDE</v>
      </c>
      <c r="B8856" s="266">
        <f>IFERROR(__xludf.DUMMYFUNCTION("""COMPUTED_VALUE"""),44953.0)</f>
        <v>44953</v>
      </c>
      <c r="C8856" s="266" t="str">
        <f>IFERROR(__xludf.DUMMYFUNCTION("""COMPUTED_VALUE"""),"KYAI KONTONG")</f>
        <v>KYAI KONTONG</v>
      </c>
      <c r="D8856" s="186">
        <f>IFERROR(__xludf.DUMMYFUNCTION("""COMPUTED_VALUE"""),5.0)</f>
        <v>5</v>
      </c>
    </row>
    <row r="8857">
      <c r="A8857" s="178" t="str">
        <f>IFERROR(__xludf.DUMMYFUNCTION("""COMPUTED_VALUE"""),"ITBISA-PCB-5X7-COPPER-SINGLE-SIDE")</f>
        <v>ITBISA-PCB-5X7-COPPER-SINGLE-SIDE</v>
      </c>
      <c r="B8857" s="266">
        <f>IFERROR(__xludf.DUMMYFUNCTION("""COMPUTED_VALUE"""),44954.0)</f>
        <v>44954</v>
      </c>
      <c r="C8857" s="266" t="str">
        <f>IFERROR(__xludf.DUMMYFUNCTION("""COMPUTED_VALUE"""),"KYAI KONTONG")</f>
        <v>KYAI KONTONG</v>
      </c>
      <c r="D8857" s="186">
        <f>IFERROR(__xludf.DUMMYFUNCTION("""COMPUTED_VALUE"""),1.0)</f>
        <v>1</v>
      </c>
    </row>
    <row r="8858">
      <c r="A8858" s="178" t="str">
        <f>IFERROR(__xludf.DUMMYFUNCTION("""COMPUTED_VALUE"""),"ITBISA-PCB-5X7-COPPER-SINGLE-SIDE")</f>
        <v>ITBISA-PCB-5X7-COPPER-SINGLE-SIDE</v>
      </c>
      <c r="B8858" s="266">
        <f>IFERROR(__xludf.DUMMYFUNCTION("""COMPUTED_VALUE"""),44957.0)</f>
        <v>44957</v>
      </c>
      <c r="C8858" s="266" t="str">
        <f>IFERROR(__xludf.DUMMYFUNCTION("""COMPUTED_VALUE"""),"KYAI KONTONG")</f>
        <v>KYAI KONTONG</v>
      </c>
      <c r="D8858" s="186">
        <f>IFERROR(__xludf.DUMMYFUNCTION("""COMPUTED_VALUE"""),5.0)</f>
        <v>5</v>
      </c>
    </row>
    <row r="8859">
      <c r="A8859" s="178" t="str">
        <f>IFERROR(__xludf.DUMMYFUNCTION("""COMPUTED_VALUE"""),"ITBISA-PCB-5X7-COPPER-SINGLE-SIDE")</f>
        <v>ITBISA-PCB-5X7-COPPER-SINGLE-SIDE</v>
      </c>
      <c r="B8859" s="266">
        <f>IFERROR(__xludf.DUMMYFUNCTION("""COMPUTED_VALUE"""),44970.0)</f>
        <v>44970</v>
      </c>
      <c r="C8859" s="266" t="str">
        <f>IFERROR(__xludf.DUMMYFUNCTION("""COMPUTED_VALUE"""),"KYAI KONTONG")</f>
        <v>KYAI KONTONG</v>
      </c>
      <c r="D8859" s="186">
        <f>IFERROR(__xludf.DUMMYFUNCTION("""COMPUTED_VALUE"""),3.0)</f>
        <v>3</v>
      </c>
    </row>
    <row r="8860">
      <c r="A8860" s="178" t="str">
        <f>IFERROR(__xludf.DUMMYFUNCTION("""COMPUTED_VALUE"""),"ITBISA-PCB-5X7-COPPER-SINGLE-SIDE")</f>
        <v>ITBISA-PCB-5X7-COPPER-SINGLE-SIDE</v>
      </c>
      <c r="B8860" s="266">
        <f>IFERROR(__xludf.DUMMYFUNCTION("""COMPUTED_VALUE"""),44971.0)</f>
        <v>44971</v>
      </c>
      <c r="C8860" s="266" t="str">
        <f>IFERROR(__xludf.DUMMYFUNCTION("""COMPUTED_VALUE"""),"KYAI KONTONG")</f>
        <v>KYAI KONTONG</v>
      </c>
      <c r="D8860" s="186">
        <f>IFERROR(__xludf.DUMMYFUNCTION("""COMPUTED_VALUE"""),10.0)</f>
        <v>10</v>
      </c>
    </row>
    <row r="8861">
      <c r="A8861" s="178" t="str">
        <f>IFERROR(__xludf.DUMMYFUNCTION("""COMPUTED_VALUE"""),"ITBISA-PCB-5X7-COPPER-SINGLE-SIDE")</f>
        <v>ITBISA-PCB-5X7-COPPER-SINGLE-SIDE</v>
      </c>
      <c r="B8861" s="266">
        <f>IFERROR(__xludf.DUMMYFUNCTION("""COMPUTED_VALUE"""),44980.0)</f>
        <v>44980</v>
      </c>
      <c r="C8861" s="266" t="str">
        <f>IFERROR(__xludf.DUMMYFUNCTION("""COMPUTED_VALUE"""),"KYAI KONTONG")</f>
        <v>KYAI KONTONG</v>
      </c>
      <c r="D8861" s="186">
        <f>IFERROR(__xludf.DUMMYFUNCTION("""COMPUTED_VALUE"""),4.0)</f>
        <v>4</v>
      </c>
    </row>
    <row r="8862">
      <c r="A8862" s="178" t="str">
        <f>IFERROR(__xludf.DUMMYFUNCTION("""COMPUTED_VALUE"""),"ITBISA-PCB-5X7-COPPER-SINGLE-SIDE")</f>
        <v>ITBISA-PCB-5X7-COPPER-SINGLE-SIDE</v>
      </c>
      <c r="B8862" s="266">
        <f>IFERROR(__xludf.DUMMYFUNCTION("""COMPUTED_VALUE"""),44981.0)</f>
        <v>44981</v>
      </c>
      <c r="C8862" s="266" t="str">
        <f>IFERROR(__xludf.DUMMYFUNCTION("""COMPUTED_VALUE"""),"KYAI KONTONG")</f>
        <v>KYAI KONTONG</v>
      </c>
      <c r="D8862" s="186">
        <f>IFERROR(__xludf.DUMMYFUNCTION("""COMPUTED_VALUE"""),2.0)</f>
        <v>2</v>
      </c>
    </row>
    <row r="8863">
      <c r="A8863" s="178" t="str">
        <f>IFERROR(__xludf.DUMMYFUNCTION("""COMPUTED_VALUE"""),"ITBISA-PCB-5X7-COPPER-SINGLE-SIDE")</f>
        <v>ITBISA-PCB-5X7-COPPER-SINGLE-SIDE</v>
      </c>
      <c r="B8863" s="266">
        <f>IFERROR(__xludf.DUMMYFUNCTION("""COMPUTED_VALUE"""),44987.0)</f>
        <v>44987</v>
      </c>
      <c r="C8863" s="266" t="str">
        <f>IFERROR(__xludf.DUMMYFUNCTION("""COMPUTED_VALUE"""),"KYAI KONTONG")</f>
        <v>KYAI KONTONG</v>
      </c>
      <c r="D8863" s="186">
        <f>IFERROR(__xludf.DUMMYFUNCTION("""COMPUTED_VALUE"""),5.0)</f>
        <v>5</v>
      </c>
    </row>
    <row r="8864">
      <c r="A8864" s="178" t="str">
        <f>IFERROR(__xludf.DUMMYFUNCTION("""COMPUTED_VALUE"""),"ITBISA-PCB-5X7-COPPER-SINGLE-SIDE")</f>
        <v>ITBISA-PCB-5X7-COPPER-SINGLE-SIDE</v>
      </c>
      <c r="B8864" s="266">
        <f>IFERROR(__xludf.DUMMYFUNCTION("""COMPUTED_VALUE"""),45003.0)</f>
        <v>45003</v>
      </c>
      <c r="C8864" s="266" t="str">
        <f>IFERROR(__xludf.DUMMYFUNCTION("""COMPUTED_VALUE"""),"KYAI KONTONG")</f>
        <v>KYAI KONTONG</v>
      </c>
      <c r="D8864" s="186">
        <f>IFERROR(__xludf.DUMMYFUNCTION("""COMPUTED_VALUE"""),2.0)</f>
        <v>2</v>
      </c>
    </row>
    <row r="8865">
      <c r="A8865" s="178" t="str">
        <f>IFERROR(__xludf.DUMMYFUNCTION("""COMPUTED_VALUE"""),"ITBISA-PCB-5X7-COPPER-SINGLE-SIDE")</f>
        <v>ITBISA-PCB-5X7-COPPER-SINGLE-SIDE</v>
      </c>
      <c r="B8865" s="266">
        <f>IFERROR(__xludf.DUMMYFUNCTION("""COMPUTED_VALUE"""),45010.0)</f>
        <v>45010</v>
      </c>
      <c r="C8865" s="266" t="str">
        <f>IFERROR(__xludf.DUMMYFUNCTION("""COMPUTED_VALUE"""),"KYAI KONTONG")</f>
        <v>KYAI KONTONG</v>
      </c>
      <c r="D8865" s="186">
        <f>IFERROR(__xludf.DUMMYFUNCTION("""COMPUTED_VALUE"""),2.0)</f>
        <v>2</v>
      </c>
    </row>
    <row r="8866">
      <c r="A8866" s="178" t="str">
        <f>IFERROR(__xludf.DUMMYFUNCTION("""COMPUTED_VALUE"""),"ITBISA-PCB-5X7-COPPER-SINGLE-SIDE")</f>
        <v>ITBISA-PCB-5X7-COPPER-SINGLE-SIDE</v>
      </c>
      <c r="B8866" s="266">
        <f>IFERROR(__xludf.DUMMYFUNCTION("""COMPUTED_VALUE"""),45021.0)</f>
        <v>45021</v>
      </c>
      <c r="C8866" s="266" t="str">
        <f>IFERROR(__xludf.DUMMYFUNCTION("""COMPUTED_VALUE"""),"KYAI KONTONG")</f>
        <v>KYAI KONTONG</v>
      </c>
      <c r="D8866" s="186">
        <f>IFERROR(__xludf.DUMMYFUNCTION("""COMPUTED_VALUE"""),1.0)</f>
        <v>1</v>
      </c>
    </row>
    <row r="8867">
      <c r="A8867" s="178" t="str">
        <f>IFERROR(__xludf.DUMMYFUNCTION("""COMPUTED_VALUE"""),"ITBISA-PCB-5X7-COPPER-SINGLE-SIDE")</f>
        <v>ITBISA-PCB-5X7-COPPER-SINGLE-SIDE</v>
      </c>
      <c r="B8867" s="266">
        <f>IFERROR(__xludf.DUMMYFUNCTION("""COMPUTED_VALUE"""),45089.0)</f>
        <v>45089</v>
      </c>
      <c r="C8867" s="266" t="str">
        <f>IFERROR(__xludf.DUMMYFUNCTION("""COMPUTED_VALUE"""),"KYAI KONTONG")</f>
        <v>KYAI KONTONG</v>
      </c>
      <c r="D8867" s="186">
        <f>IFERROR(__xludf.DUMMYFUNCTION("""COMPUTED_VALUE"""),40.0)</f>
        <v>40</v>
      </c>
    </row>
    <row r="8868">
      <c r="A8868" s="178" t="str">
        <f>IFERROR(__xludf.DUMMYFUNCTION("""COMPUTED_VALUE"""),"ITBISA-PCB-5X7-COPPER-SINGLE-SIDE")</f>
        <v>ITBISA-PCB-5X7-COPPER-SINGLE-SIDE</v>
      </c>
      <c r="B8868" s="266">
        <f>IFERROR(__xludf.DUMMYFUNCTION("""COMPUTED_VALUE"""),45176.0)</f>
        <v>45176</v>
      </c>
      <c r="C8868" s="266" t="str">
        <f>IFERROR(__xludf.DUMMYFUNCTION("""COMPUTED_VALUE"""),"KYAI KONTONG")</f>
        <v>KYAI KONTONG</v>
      </c>
      <c r="D8868" s="186">
        <f>IFERROR(__xludf.DUMMYFUNCTION("""COMPUTED_VALUE"""),1.0)</f>
        <v>1</v>
      </c>
    </row>
    <row r="8869">
      <c r="A8869" s="178" t="str">
        <f>IFERROR(__xludf.DUMMYFUNCTION("""COMPUTED_VALUE"""),"ITBISA-PCB-5X7-COPPER-SINGLE-SIDE")</f>
        <v>ITBISA-PCB-5X7-COPPER-SINGLE-SIDE</v>
      </c>
      <c r="B8869" s="266">
        <f>IFERROR(__xludf.DUMMYFUNCTION("""COMPUTED_VALUE"""),45202.0)</f>
        <v>45202</v>
      </c>
      <c r="C8869" s="266" t="str">
        <f>IFERROR(__xludf.DUMMYFUNCTION("""COMPUTED_VALUE"""),"KYAI KONTONG")</f>
        <v>KYAI KONTONG</v>
      </c>
      <c r="D8869" s="186">
        <f>IFERROR(__xludf.DUMMYFUNCTION("""COMPUTED_VALUE"""),5.0)</f>
        <v>5</v>
      </c>
    </row>
    <row r="8870">
      <c r="A8870" s="178" t="str">
        <f>IFERROR(__xludf.DUMMYFUNCTION("""COMPUTED_VALUE"""),"ITBISA-PCB-5X7-COPPER-SINGLE-SIDE")</f>
        <v>ITBISA-PCB-5X7-COPPER-SINGLE-SIDE</v>
      </c>
      <c r="B8870" s="266">
        <f>IFERROR(__xludf.DUMMYFUNCTION("""COMPUTED_VALUE"""),45243.0)</f>
        <v>45243</v>
      </c>
      <c r="C8870" s="266" t="str">
        <f>IFERROR(__xludf.DUMMYFUNCTION("""COMPUTED_VALUE"""),"KYAI KONTONG")</f>
        <v>KYAI KONTONG</v>
      </c>
      <c r="D8870" s="186">
        <f>IFERROR(__xludf.DUMMYFUNCTION("""COMPUTED_VALUE"""),40.0)</f>
        <v>40</v>
      </c>
    </row>
    <row r="8871">
      <c r="A8871" s="178" t="str">
        <f>IFERROR(__xludf.DUMMYFUNCTION("""COMPUTED_VALUE"""),"ITBISA-PCB-5X7-COPPER-SINGLE-SIDE")</f>
        <v>ITBISA-PCB-5X7-COPPER-SINGLE-SIDE</v>
      </c>
      <c r="B8871" s="266">
        <f>IFERROR(__xludf.DUMMYFUNCTION("""COMPUTED_VALUE"""),45425.0)</f>
        <v>45425</v>
      </c>
      <c r="C8871" s="266" t="str">
        <f>IFERROR(__xludf.DUMMYFUNCTION("""COMPUTED_VALUE"""),"KYAI KONTONG")</f>
        <v>KYAI KONTONG</v>
      </c>
      <c r="D8871" s="186">
        <f>IFERROR(__xludf.DUMMYFUNCTION("""COMPUTED_VALUE"""),8.0)</f>
        <v>8</v>
      </c>
    </row>
    <row r="8872">
      <c r="A8872" s="178" t="str">
        <f>IFERROR(__xludf.DUMMYFUNCTION("""COMPUTED_VALUE"""),"ITBISA-PCB-5X7-COPPER-SINGLE-SIDE")</f>
        <v>ITBISA-PCB-5X7-COPPER-SINGLE-SIDE</v>
      </c>
      <c r="B8872" s="266">
        <f>IFERROR(__xludf.DUMMYFUNCTION("""COMPUTED_VALUE"""),45429.0)</f>
        <v>45429</v>
      </c>
      <c r="C8872" s="266" t="str">
        <f>IFERROR(__xludf.DUMMYFUNCTION("""COMPUTED_VALUE"""),"KYAI KONTONG")</f>
        <v>KYAI KONTONG</v>
      </c>
      <c r="D8872" s="186">
        <f>IFERROR(__xludf.DUMMYFUNCTION("""COMPUTED_VALUE"""),2.0)</f>
        <v>2</v>
      </c>
    </row>
    <row r="8873">
      <c r="A8873" s="178" t="str">
        <f>IFERROR(__xludf.DUMMYFUNCTION("""COMPUTED_VALUE"""),"ITBISA-PCB-5X7-COPPER-SINGLE-SIDE")</f>
        <v>ITBISA-PCB-5X7-COPPER-SINGLE-SIDE</v>
      </c>
      <c r="B8873" s="266">
        <f>IFERROR(__xludf.DUMMYFUNCTION("""COMPUTED_VALUE"""),45432.0)</f>
        <v>45432</v>
      </c>
      <c r="C8873" s="266" t="str">
        <f>IFERROR(__xludf.DUMMYFUNCTION("""COMPUTED_VALUE"""),"KYAI KONTONG")</f>
        <v>KYAI KONTONG</v>
      </c>
      <c r="D8873" s="186">
        <f>IFERROR(__xludf.DUMMYFUNCTION("""COMPUTED_VALUE"""),3.0)</f>
        <v>3</v>
      </c>
    </row>
    <row r="8874">
      <c r="A8874" s="178" t="str">
        <f>IFERROR(__xludf.DUMMYFUNCTION("""COMPUTED_VALUE"""),"ITBISA-PCB-5X7-COPPER-SINGLE-SIDE")</f>
        <v>ITBISA-PCB-5X7-COPPER-SINGLE-SIDE</v>
      </c>
      <c r="B8874" s="266">
        <f>IFERROR(__xludf.DUMMYFUNCTION("""COMPUTED_VALUE"""),45438.0)</f>
        <v>45438</v>
      </c>
      <c r="C8874" s="266" t="str">
        <f>IFERROR(__xludf.DUMMYFUNCTION("""COMPUTED_VALUE"""),"KERTASARI CIAMIS")</f>
        <v>KERTASARI CIAMIS</v>
      </c>
      <c r="D8874" s="186">
        <f>IFERROR(__xludf.DUMMYFUNCTION("""COMPUTED_VALUE"""),20.0)</f>
        <v>20</v>
      </c>
    </row>
    <row r="8875">
      <c r="A8875" s="178" t="str">
        <f>IFERROR(__xludf.DUMMYFUNCTION("""COMPUTED_VALUE"""),"ITBISA-PCB-5X7-COPPER-SINGLE-SIDE")</f>
        <v>ITBISA-PCB-5X7-COPPER-SINGLE-SIDE</v>
      </c>
      <c r="B8875" s="266">
        <f>IFERROR(__xludf.DUMMYFUNCTION("""COMPUTED_VALUE"""),45439.0)</f>
        <v>45439</v>
      </c>
      <c r="C8875" s="266" t="str">
        <f>IFERROR(__xludf.DUMMYFUNCTION("""COMPUTED_VALUE"""),"KYAI KONTONG")</f>
        <v>KYAI KONTONG</v>
      </c>
      <c r="D8875" s="186">
        <f>IFERROR(__xludf.DUMMYFUNCTION("""COMPUTED_VALUE"""),2.0)</f>
        <v>2</v>
      </c>
    </row>
    <row r="8876">
      <c r="A8876" s="178" t="str">
        <f>IFERROR(__xludf.DUMMYFUNCTION("""COMPUTED_VALUE"""),"ITBISA-PCB-5X7-COPPER-SINGLE-SIDE")</f>
        <v>ITBISA-PCB-5X7-COPPER-SINGLE-SIDE</v>
      </c>
      <c r="B8876" s="266">
        <f>IFERROR(__xludf.DUMMYFUNCTION("""COMPUTED_VALUE"""),45439.0)</f>
        <v>45439</v>
      </c>
      <c r="C8876" s="266" t="str">
        <f>IFERROR(__xludf.DUMMYFUNCTION("""COMPUTED_VALUE"""),"KYAI KONTONG")</f>
        <v>KYAI KONTONG</v>
      </c>
      <c r="D8876" s="186">
        <f>IFERROR(__xludf.DUMMYFUNCTION("""COMPUTED_VALUE"""),2.0)</f>
        <v>2</v>
      </c>
    </row>
    <row r="8877">
      <c r="A8877" s="178" t="str">
        <f>IFERROR(__xludf.DUMMYFUNCTION("""COMPUTED_VALUE"""),"ITBISA-PCB-5X7-COPPER-SINGLE-SIDE")</f>
        <v>ITBISA-PCB-5X7-COPPER-SINGLE-SIDE</v>
      </c>
      <c r="B8877" s="266">
        <f>IFERROR(__xludf.DUMMYFUNCTION("""COMPUTED_VALUE"""),45440.0)</f>
        <v>45440</v>
      </c>
      <c r="C8877" s="266" t="str">
        <f>IFERROR(__xludf.DUMMYFUNCTION("""COMPUTED_VALUE"""),"KYAI KONTONG")</f>
        <v>KYAI KONTONG</v>
      </c>
      <c r="D8877" s="186">
        <f>IFERROR(__xludf.DUMMYFUNCTION("""COMPUTED_VALUE"""),10.0)</f>
        <v>10</v>
      </c>
    </row>
    <row r="8878">
      <c r="A8878" s="178" t="str">
        <f>IFERROR(__xludf.DUMMYFUNCTION("""COMPUTED_VALUE"""),"ITBISA-PCB-5X7-COPPER-SINGLE-SIDE")</f>
        <v>ITBISA-PCB-5X7-COPPER-SINGLE-SIDE</v>
      </c>
      <c r="B8878" s="266">
        <f>IFERROR(__xludf.DUMMYFUNCTION("""COMPUTED_VALUE"""),45441.0)</f>
        <v>45441</v>
      </c>
      <c r="C8878" s="266" t="str">
        <f>IFERROR(__xludf.DUMMYFUNCTION("""COMPUTED_VALUE"""),"KERTASARI CIAMIS")</f>
        <v>KERTASARI CIAMIS</v>
      </c>
      <c r="D8878" s="186">
        <f>IFERROR(__xludf.DUMMYFUNCTION("""COMPUTED_VALUE"""),1.0)</f>
        <v>1</v>
      </c>
    </row>
    <row r="8879">
      <c r="A8879" s="178" t="str">
        <f>IFERROR(__xludf.DUMMYFUNCTION("""COMPUTED_VALUE"""),"ITBISA-PCB-5X7-COPPER-SINGLE-SIDE")</f>
        <v>ITBISA-PCB-5X7-COPPER-SINGLE-SIDE</v>
      </c>
      <c r="B8879" s="266">
        <f>IFERROR(__xludf.DUMMYFUNCTION("""COMPUTED_VALUE"""),45443.0)</f>
        <v>45443</v>
      </c>
      <c r="C8879" s="266" t="str">
        <f>IFERROR(__xludf.DUMMYFUNCTION("""COMPUTED_VALUE"""),"KYAI KONTONG")</f>
        <v>KYAI KONTONG</v>
      </c>
      <c r="D8879" s="186">
        <f>IFERROR(__xludf.DUMMYFUNCTION("""COMPUTED_VALUE"""),2.0)</f>
        <v>2</v>
      </c>
    </row>
    <row r="8880">
      <c r="A8880" s="178" t="str">
        <f>IFERROR(__xludf.DUMMYFUNCTION("""COMPUTED_VALUE"""),"ITBISA-PCB-5X7-COPPER-SINGLE-SIDE")</f>
        <v>ITBISA-PCB-5X7-COPPER-SINGLE-SIDE</v>
      </c>
      <c r="B8880" s="266">
        <f>IFERROR(__xludf.DUMMYFUNCTION("""COMPUTED_VALUE"""),45445.0)</f>
        <v>45445</v>
      </c>
      <c r="C8880" s="266" t="str">
        <f>IFERROR(__xludf.DUMMYFUNCTION("""COMPUTED_VALUE"""),"KERTASARI CIAMIS")</f>
        <v>KERTASARI CIAMIS</v>
      </c>
      <c r="D8880" s="186">
        <f>IFERROR(__xludf.DUMMYFUNCTION("""COMPUTED_VALUE"""),10.0)</f>
        <v>10</v>
      </c>
    </row>
    <row r="8881">
      <c r="A8881" s="178" t="str">
        <f>IFERROR(__xludf.DUMMYFUNCTION("""COMPUTED_VALUE"""),"ITBISA-PCB-5X7-COPPER-SINGLE-SIDE")</f>
        <v>ITBISA-PCB-5X7-COPPER-SINGLE-SIDE</v>
      </c>
      <c r="B8881" s="266">
        <f>IFERROR(__xludf.DUMMYFUNCTION("""COMPUTED_VALUE"""),45452.0)</f>
        <v>45452</v>
      </c>
      <c r="C8881" s="266" t="str">
        <f>IFERROR(__xludf.DUMMYFUNCTION("""COMPUTED_VALUE"""),"KYAI KONTONG")</f>
        <v>KYAI KONTONG</v>
      </c>
      <c r="D8881" s="186">
        <f>IFERROR(__xludf.DUMMYFUNCTION("""COMPUTED_VALUE"""),6.0)</f>
        <v>6</v>
      </c>
    </row>
    <row r="8882">
      <c r="A8882" s="178" t="str">
        <f>IFERROR(__xludf.DUMMYFUNCTION("""COMPUTED_VALUE"""),"ITBISA-PCB-5X7-COPPER-SINGLE-SIDE")</f>
        <v>ITBISA-PCB-5X7-COPPER-SINGLE-SIDE</v>
      </c>
      <c r="B8882" s="266">
        <f>IFERROR(__xludf.DUMMYFUNCTION("""COMPUTED_VALUE"""),45453.0)</f>
        <v>45453</v>
      </c>
      <c r="C8882" s="266" t="str">
        <f>IFERROR(__xludf.DUMMYFUNCTION("""COMPUTED_VALUE"""),"KERTASARI CIAMIS")</f>
        <v>KERTASARI CIAMIS</v>
      </c>
      <c r="D8882" s="186">
        <f>IFERROR(__xludf.DUMMYFUNCTION("""COMPUTED_VALUE"""),15.0)</f>
        <v>15</v>
      </c>
    </row>
    <row r="8883">
      <c r="A8883" s="178" t="str">
        <f>IFERROR(__xludf.DUMMYFUNCTION("""COMPUTED_VALUE"""),"ITBISA-PCB-5X7-COPPER-SINGLE-SIDE")</f>
        <v>ITBISA-PCB-5X7-COPPER-SINGLE-SIDE</v>
      </c>
      <c r="B8883" s="266">
        <f>IFERROR(__xludf.DUMMYFUNCTION("""COMPUTED_VALUE"""),45454.0)</f>
        <v>45454</v>
      </c>
      <c r="C8883" s="266" t="str">
        <f>IFERROR(__xludf.DUMMYFUNCTION("""COMPUTED_VALUE"""),"KYAI KONTONG")</f>
        <v>KYAI KONTONG</v>
      </c>
      <c r="D8883" s="186">
        <f>IFERROR(__xludf.DUMMYFUNCTION("""COMPUTED_VALUE"""),5.0)</f>
        <v>5</v>
      </c>
    </row>
    <row r="8884">
      <c r="A8884" s="178" t="str">
        <f>IFERROR(__xludf.DUMMYFUNCTION("""COMPUTED_VALUE"""),"ITBISA-PCB-5X7-COPPER-SINGLE-SIDE")</f>
        <v>ITBISA-PCB-5X7-COPPER-SINGLE-SIDE</v>
      </c>
      <c r="B8884" s="266">
        <f>IFERROR(__xludf.DUMMYFUNCTION("""COMPUTED_VALUE"""),45457.0)</f>
        <v>45457</v>
      </c>
      <c r="C8884" s="266" t="str">
        <f>IFERROR(__xludf.DUMMYFUNCTION("""COMPUTED_VALUE"""),"KERTASARI CIAMIS")</f>
        <v>KERTASARI CIAMIS</v>
      </c>
      <c r="D8884" s="186">
        <f>IFERROR(__xludf.DUMMYFUNCTION("""COMPUTED_VALUE"""),4.0)</f>
        <v>4</v>
      </c>
    </row>
    <row r="8885">
      <c r="A8885" s="178" t="str">
        <f>IFERROR(__xludf.DUMMYFUNCTION("""COMPUTED_VALUE"""),"ITBISA-PCB-5X7-COPPER-SINGLE-SIDE")</f>
        <v>ITBISA-PCB-5X7-COPPER-SINGLE-SIDE</v>
      </c>
      <c r="B8885" s="266">
        <f>IFERROR(__xludf.DUMMYFUNCTION("""COMPUTED_VALUE"""),45462.0)</f>
        <v>45462</v>
      </c>
      <c r="C8885" s="266" t="str">
        <f>IFERROR(__xludf.DUMMYFUNCTION("""COMPUTED_VALUE"""),"KYAI KONTONG")</f>
        <v>KYAI KONTONG</v>
      </c>
      <c r="D8885" s="186">
        <f>IFERROR(__xludf.DUMMYFUNCTION("""COMPUTED_VALUE"""),3.0)</f>
        <v>3</v>
      </c>
    </row>
    <row r="8886">
      <c r="A8886" s="178" t="str">
        <f>IFERROR(__xludf.DUMMYFUNCTION("""COMPUTED_VALUE"""),"ITBISA-PCB-5X7-COPPER-SINGLE-SIDE")</f>
        <v>ITBISA-PCB-5X7-COPPER-SINGLE-SIDE</v>
      </c>
      <c r="B8886" s="266">
        <f>IFERROR(__xludf.DUMMYFUNCTION("""COMPUTED_VALUE"""),45464.0)</f>
        <v>45464</v>
      </c>
      <c r="C8886" s="266" t="str">
        <f>IFERROR(__xludf.DUMMYFUNCTION("""COMPUTED_VALUE"""),"KERTASARI CIAMIS")</f>
        <v>KERTASARI CIAMIS</v>
      </c>
      <c r="D8886" s="186">
        <f>IFERROR(__xludf.DUMMYFUNCTION("""COMPUTED_VALUE"""),6.0)</f>
        <v>6</v>
      </c>
    </row>
    <row r="8887">
      <c r="A8887" s="178" t="str">
        <f>IFERROR(__xludf.DUMMYFUNCTION("""COMPUTED_VALUE"""),"ITBISA-PCB-5X7-COPPER-SINGLE-SIDE")</f>
        <v>ITBISA-PCB-5X7-COPPER-SINGLE-SIDE</v>
      </c>
      <c r="B8887" s="266">
        <f>IFERROR(__xludf.DUMMYFUNCTION("""COMPUTED_VALUE"""),45465.0)</f>
        <v>45465</v>
      </c>
      <c r="C8887" s="266" t="str">
        <f>IFERROR(__xludf.DUMMYFUNCTION("""COMPUTED_VALUE"""),"KERTASARI CIAMIS")</f>
        <v>KERTASARI CIAMIS</v>
      </c>
      <c r="D8887" s="186">
        <f>IFERROR(__xludf.DUMMYFUNCTION("""COMPUTED_VALUE"""),5.0)</f>
        <v>5</v>
      </c>
    </row>
    <row r="8888">
      <c r="A8888" s="178" t="str">
        <f>IFERROR(__xludf.DUMMYFUNCTION("""COMPUTED_VALUE"""),"ITBISA-PCB-5X7-COPPER-SINGLE-SIDE")</f>
        <v>ITBISA-PCB-5X7-COPPER-SINGLE-SIDE</v>
      </c>
      <c r="B8888" s="266">
        <f>IFERROR(__xludf.DUMMYFUNCTION("""COMPUTED_VALUE"""),45467.0)</f>
        <v>45467</v>
      </c>
      <c r="C8888" s="266" t="str">
        <f>IFERROR(__xludf.DUMMYFUNCTION("""COMPUTED_VALUE"""),"KYAI KONTONG")</f>
        <v>KYAI KONTONG</v>
      </c>
      <c r="D8888" s="186">
        <f>IFERROR(__xludf.DUMMYFUNCTION("""COMPUTED_VALUE"""),10.0)</f>
        <v>10</v>
      </c>
    </row>
    <row r="8889">
      <c r="A8889" s="178" t="str">
        <f>IFERROR(__xludf.DUMMYFUNCTION("""COMPUTED_VALUE"""),"ITBISA-PCB-5X7-COPPER-SINGLE-SIDE")</f>
        <v>ITBISA-PCB-5X7-COPPER-SINGLE-SIDE</v>
      </c>
      <c r="B8889" s="266">
        <f>IFERROR(__xludf.DUMMYFUNCTION("""COMPUTED_VALUE"""),45468.0)</f>
        <v>45468</v>
      </c>
      <c r="C8889" s="266" t="str">
        <f>IFERROR(__xludf.DUMMYFUNCTION("""COMPUTED_VALUE"""),"KERTASARI CIAMIS")</f>
        <v>KERTASARI CIAMIS</v>
      </c>
      <c r="D8889" s="186">
        <f>IFERROR(__xludf.DUMMYFUNCTION("""COMPUTED_VALUE"""),5.0)</f>
        <v>5</v>
      </c>
    </row>
    <row r="8890">
      <c r="A8890" s="178" t="str">
        <f>IFERROR(__xludf.DUMMYFUNCTION("""COMPUTED_VALUE"""),"ITBISA-PCB-5X7-COPPER-SINGLE-SIDE")</f>
        <v>ITBISA-PCB-5X7-COPPER-SINGLE-SIDE</v>
      </c>
      <c r="B8890" s="266">
        <f>IFERROR(__xludf.DUMMYFUNCTION("""COMPUTED_VALUE"""),45476.0)</f>
        <v>45476</v>
      </c>
      <c r="C8890" s="266" t="str">
        <f>IFERROR(__xludf.DUMMYFUNCTION("""COMPUTED_VALUE"""),"KYAI KONTONG")</f>
        <v>KYAI KONTONG</v>
      </c>
      <c r="D8890" s="186">
        <f>IFERROR(__xludf.DUMMYFUNCTION("""COMPUTED_VALUE"""),2.0)</f>
        <v>2</v>
      </c>
    </row>
    <row r="8891">
      <c r="A8891" s="178" t="str">
        <f>IFERROR(__xludf.DUMMYFUNCTION("""COMPUTED_VALUE"""),"ITBISA-PCB-5X7-COPPER-SINGLE-SIDE")</f>
        <v>ITBISA-PCB-5X7-COPPER-SINGLE-SIDE</v>
      </c>
      <c r="B8891" s="266">
        <f>IFERROR(__xludf.DUMMYFUNCTION("""COMPUTED_VALUE"""),45476.0)</f>
        <v>45476</v>
      </c>
      <c r="C8891" s="266" t="str">
        <f>IFERROR(__xludf.DUMMYFUNCTION("""COMPUTED_VALUE"""),"KYAI KONTONG")</f>
        <v>KYAI KONTONG</v>
      </c>
      <c r="D8891" s="186">
        <f>IFERROR(__xludf.DUMMYFUNCTION("""COMPUTED_VALUE"""),3.0)</f>
        <v>3</v>
      </c>
    </row>
    <row r="8892">
      <c r="A8892" s="178" t="str">
        <f>IFERROR(__xludf.DUMMYFUNCTION("""COMPUTED_VALUE"""),"ITBISA-PCB-5X7-COPPER-SINGLE-SIDE")</f>
        <v>ITBISA-PCB-5X7-COPPER-SINGLE-SIDE</v>
      </c>
      <c r="B8892" s="266">
        <f>IFERROR(__xludf.DUMMYFUNCTION("""COMPUTED_VALUE"""),45479.0)</f>
        <v>45479</v>
      </c>
      <c r="C8892" s="266" t="str">
        <f>IFERROR(__xludf.DUMMYFUNCTION("""COMPUTED_VALUE"""),"KYAI KONTONG")</f>
        <v>KYAI KONTONG</v>
      </c>
      <c r="D8892" s="186">
        <f>IFERROR(__xludf.DUMMYFUNCTION("""COMPUTED_VALUE"""),1.0)</f>
        <v>1</v>
      </c>
    </row>
    <row r="8893">
      <c r="A8893" s="178" t="str">
        <f>IFERROR(__xludf.DUMMYFUNCTION("""COMPUTED_VALUE"""),"ITBISA-PCB-5X7-COPPER-SINGLE-SIDE")</f>
        <v>ITBISA-PCB-5X7-COPPER-SINGLE-SIDE</v>
      </c>
      <c r="B8893" s="266">
        <f>IFERROR(__xludf.DUMMYFUNCTION("""COMPUTED_VALUE"""),45480.0)</f>
        <v>45480</v>
      </c>
      <c r="C8893" s="266" t="str">
        <f>IFERROR(__xludf.DUMMYFUNCTION("""COMPUTED_VALUE"""),"KERTASARI CIAMIS")</f>
        <v>KERTASARI CIAMIS</v>
      </c>
      <c r="D8893" s="186">
        <f>IFERROR(__xludf.DUMMYFUNCTION("""COMPUTED_VALUE"""),3.0)</f>
        <v>3</v>
      </c>
    </row>
    <row r="8894">
      <c r="A8894" s="178" t="str">
        <f>IFERROR(__xludf.DUMMYFUNCTION("""COMPUTED_VALUE"""),"ITBISA-PCB-5X7-COPPER-SINGLE-SIDE")</f>
        <v>ITBISA-PCB-5X7-COPPER-SINGLE-SIDE</v>
      </c>
      <c r="B8894" s="266">
        <f>IFERROR(__xludf.DUMMYFUNCTION("""COMPUTED_VALUE"""),45481.0)</f>
        <v>45481</v>
      </c>
      <c r="C8894" s="266" t="str">
        <f>IFERROR(__xludf.DUMMYFUNCTION("""COMPUTED_VALUE"""),"KERTASARI CIAMIS")</f>
        <v>KERTASARI CIAMIS</v>
      </c>
      <c r="D8894" s="186">
        <f>IFERROR(__xludf.DUMMYFUNCTION("""COMPUTED_VALUE"""),2.0)</f>
        <v>2</v>
      </c>
    </row>
    <row r="8895">
      <c r="A8895" s="178" t="str">
        <f>IFERROR(__xludf.DUMMYFUNCTION("""COMPUTED_VALUE"""),"ITBISA-PCB-5X7-COPPER-SINGLE-SIDE")</f>
        <v>ITBISA-PCB-5X7-COPPER-SINGLE-SIDE</v>
      </c>
      <c r="B8895" s="266">
        <f>IFERROR(__xludf.DUMMYFUNCTION("""COMPUTED_VALUE"""),45481.0)</f>
        <v>45481</v>
      </c>
      <c r="C8895" s="266" t="str">
        <f>IFERROR(__xludf.DUMMYFUNCTION("""COMPUTED_VALUE"""),"KERTASARI CIAMIS")</f>
        <v>KERTASARI CIAMIS</v>
      </c>
      <c r="D8895" s="186">
        <f>IFERROR(__xludf.DUMMYFUNCTION("""COMPUTED_VALUE"""),10.0)</f>
        <v>10</v>
      </c>
    </row>
    <row r="8896">
      <c r="A8896" s="178" t="str">
        <f>IFERROR(__xludf.DUMMYFUNCTION("""COMPUTED_VALUE"""),"ITBISA-PCB-5X7-COPPER-SINGLE-SIDE")</f>
        <v>ITBISA-PCB-5X7-COPPER-SINGLE-SIDE</v>
      </c>
      <c r="B8896" s="266">
        <f>IFERROR(__xludf.DUMMYFUNCTION("""COMPUTED_VALUE"""),45488.0)</f>
        <v>45488</v>
      </c>
      <c r="C8896" s="266" t="str">
        <f>IFERROR(__xludf.DUMMYFUNCTION("""COMPUTED_VALUE"""),"KERTASARI CIAMIS")</f>
        <v>KERTASARI CIAMIS</v>
      </c>
      <c r="D8896" s="186">
        <f>IFERROR(__xludf.DUMMYFUNCTION("""COMPUTED_VALUE"""),1.0)</f>
        <v>1</v>
      </c>
    </row>
    <row r="8897">
      <c r="A8897" s="178" t="str">
        <f>IFERROR(__xludf.DUMMYFUNCTION("""COMPUTED_VALUE"""),"ITBISA-PCB-5X7-COPPER-SINGLE-SIDE")</f>
        <v>ITBISA-PCB-5X7-COPPER-SINGLE-SIDE</v>
      </c>
      <c r="B8897" s="266">
        <f>IFERROR(__xludf.DUMMYFUNCTION("""COMPUTED_VALUE"""),45497.0)</f>
        <v>45497</v>
      </c>
      <c r="C8897" s="266" t="str">
        <f>IFERROR(__xludf.DUMMYFUNCTION("""COMPUTED_VALUE"""),"KYAI KONTONG")</f>
        <v>KYAI KONTONG</v>
      </c>
      <c r="D8897" s="186">
        <f>IFERROR(__xludf.DUMMYFUNCTION("""COMPUTED_VALUE"""),10.0)</f>
        <v>10</v>
      </c>
    </row>
    <row r="8898">
      <c r="A8898" s="178" t="str">
        <f>IFERROR(__xludf.DUMMYFUNCTION("""COMPUTED_VALUE"""),"ITBISA-PCB-5X7-COPPER-SINGLE-SIDE")</f>
        <v>ITBISA-PCB-5X7-COPPER-SINGLE-SIDE</v>
      </c>
      <c r="B8898" s="266">
        <f>IFERROR(__xludf.DUMMYFUNCTION("""COMPUTED_VALUE"""),45497.0)</f>
        <v>45497</v>
      </c>
      <c r="C8898" s="266" t="str">
        <f>IFERROR(__xludf.DUMMYFUNCTION("""COMPUTED_VALUE"""),"KYAI KONTONG")</f>
        <v>KYAI KONTONG</v>
      </c>
      <c r="D8898" s="186">
        <f>IFERROR(__xludf.DUMMYFUNCTION("""COMPUTED_VALUE"""),10.0)</f>
        <v>10</v>
      </c>
    </row>
    <row r="8899">
      <c r="A8899" s="178" t="str">
        <f>IFERROR(__xludf.DUMMYFUNCTION("""COMPUTED_VALUE"""),"ITBISA-PCB-5X7-COPPER-SINGLE-SIDE")</f>
        <v>ITBISA-PCB-5X7-COPPER-SINGLE-SIDE</v>
      </c>
      <c r="B8899" s="266">
        <f>IFERROR(__xludf.DUMMYFUNCTION("""COMPUTED_VALUE"""),45505.0)</f>
        <v>45505</v>
      </c>
      <c r="C8899" s="266" t="str">
        <f>IFERROR(__xludf.DUMMYFUNCTION("""COMPUTED_VALUE"""),"KERTASARI CIAMIS")</f>
        <v>KERTASARI CIAMIS</v>
      </c>
      <c r="D8899" s="186">
        <f>IFERROR(__xludf.DUMMYFUNCTION("""COMPUTED_VALUE"""),5.0)</f>
        <v>5</v>
      </c>
    </row>
    <row r="8900">
      <c r="A8900" s="178" t="str">
        <f>IFERROR(__xludf.DUMMYFUNCTION("""COMPUTED_VALUE"""),"ITBISA-PCB-5X7-COPPER-SINGLE-SIDE")</f>
        <v>ITBISA-PCB-5X7-COPPER-SINGLE-SIDE</v>
      </c>
      <c r="B8900" s="266">
        <f>IFERROR(__xludf.DUMMYFUNCTION("""COMPUTED_VALUE"""),45509.0)</f>
        <v>45509</v>
      </c>
      <c r="C8900" s="266" t="str">
        <f>IFERROR(__xludf.DUMMYFUNCTION("""COMPUTED_VALUE"""),"KERTASARI CIAMIS")</f>
        <v>KERTASARI CIAMIS</v>
      </c>
      <c r="D8900" s="186">
        <f>IFERROR(__xludf.DUMMYFUNCTION("""COMPUTED_VALUE"""),1.0)</f>
        <v>1</v>
      </c>
    </row>
    <row r="8901">
      <c r="A8901" s="178" t="str">
        <f>IFERROR(__xludf.DUMMYFUNCTION("""COMPUTED_VALUE"""),"ITBISA-PCB-5X7-COPPER-SINGLE-SIDE")</f>
        <v>ITBISA-PCB-5X7-COPPER-SINGLE-SIDE</v>
      </c>
      <c r="B8901" s="266">
        <f>IFERROR(__xludf.DUMMYFUNCTION("""COMPUTED_VALUE"""),45520.0)</f>
        <v>45520</v>
      </c>
      <c r="C8901" s="266" t="str">
        <f>IFERROR(__xludf.DUMMYFUNCTION("""COMPUTED_VALUE"""),"KERTASARI CIAMIS")</f>
        <v>KERTASARI CIAMIS</v>
      </c>
      <c r="D8901" s="186">
        <f>IFERROR(__xludf.DUMMYFUNCTION("""COMPUTED_VALUE"""),4.0)</f>
        <v>4</v>
      </c>
    </row>
    <row r="8902">
      <c r="A8902" s="178" t="str">
        <f>IFERROR(__xludf.DUMMYFUNCTION("""COMPUTED_VALUE"""),"ITBISA-PCB-5X7-COPPER-SINGLE-SIDE")</f>
        <v>ITBISA-PCB-5X7-COPPER-SINGLE-SIDE</v>
      </c>
      <c r="B8902" s="266">
        <f>IFERROR(__xludf.DUMMYFUNCTION("""COMPUTED_VALUE"""),45522.0)</f>
        <v>45522</v>
      </c>
      <c r="C8902" s="266" t="str">
        <f>IFERROR(__xludf.DUMMYFUNCTION("""COMPUTED_VALUE"""),"KYAI KONTONG")</f>
        <v>KYAI KONTONG</v>
      </c>
      <c r="D8902" s="186">
        <f>IFERROR(__xludf.DUMMYFUNCTION("""COMPUTED_VALUE"""),1.0)</f>
        <v>1</v>
      </c>
    </row>
    <row r="8903">
      <c r="A8903" s="178" t="str">
        <f>IFERROR(__xludf.DUMMYFUNCTION("""COMPUTED_VALUE"""),"ITBISA-PCB-5X7-COPPER-SINGLE-SIDE")</f>
        <v>ITBISA-PCB-5X7-COPPER-SINGLE-SIDE</v>
      </c>
      <c r="B8903" s="266">
        <f>IFERROR(__xludf.DUMMYFUNCTION("""COMPUTED_VALUE"""),45526.0)</f>
        <v>45526</v>
      </c>
      <c r="C8903" s="266" t="str">
        <f>IFERROR(__xludf.DUMMYFUNCTION("""COMPUTED_VALUE"""),"KYAI KONTONG")</f>
        <v>KYAI KONTONG</v>
      </c>
      <c r="D8903" s="186">
        <f>IFERROR(__xludf.DUMMYFUNCTION("""COMPUTED_VALUE"""),2.0)</f>
        <v>2</v>
      </c>
    </row>
    <row r="8904">
      <c r="A8904" s="178" t="str">
        <f>IFERROR(__xludf.DUMMYFUNCTION("""COMPUTED_VALUE"""),"ITBISA-PCB-5X7-COPPER-SINGLE-SIDE")</f>
        <v>ITBISA-PCB-5X7-COPPER-SINGLE-SIDE</v>
      </c>
      <c r="B8904" s="266">
        <f>IFERROR(__xludf.DUMMYFUNCTION("""COMPUTED_VALUE"""),45538.0)</f>
        <v>45538</v>
      </c>
      <c r="C8904" s="266" t="str">
        <f>IFERROR(__xludf.DUMMYFUNCTION("""COMPUTED_VALUE"""),"KYAI KONTONG")</f>
        <v>KYAI KONTONG</v>
      </c>
      <c r="D8904" s="186">
        <f>IFERROR(__xludf.DUMMYFUNCTION("""COMPUTED_VALUE"""),10.0)</f>
        <v>10</v>
      </c>
    </row>
    <row r="8905">
      <c r="A8905" s="178" t="str">
        <f>IFERROR(__xludf.DUMMYFUNCTION("""COMPUTED_VALUE"""),"ITBISA-PCB-5X7-COPPER-SINGLE-SIDE")</f>
        <v>ITBISA-PCB-5X7-COPPER-SINGLE-SIDE</v>
      </c>
      <c r="B8905" s="266">
        <f>IFERROR(__xludf.DUMMYFUNCTION("""COMPUTED_VALUE"""),45541.0)</f>
        <v>45541</v>
      </c>
      <c r="C8905" s="266" t="str">
        <f>IFERROR(__xludf.DUMMYFUNCTION("""COMPUTED_VALUE"""),"KYAI KONTONG")</f>
        <v>KYAI KONTONG</v>
      </c>
      <c r="D8905" s="186">
        <f>IFERROR(__xludf.DUMMYFUNCTION("""COMPUTED_VALUE"""),10.0)</f>
        <v>10</v>
      </c>
    </row>
    <row r="8906">
      <c r="A8906" s="178" t="str">
        <f>IFERROR(__xludf.DUMMYFUNCTION("""COMPUTED_VALUE"""),"ITBISA-PCB-5X7-COPPER-SINGLE-SIDE")</f>
        <v>ITBISA-PCB-5X7-COPPER-SINGLE-SIDE</v>
      </c>
      <c r="B8906" s="266">
        <f>IFERROR(__xludf.DUMMYFUNCTION("""COMPUTED_VALUE"""),45575.0)</f>
        <v>45575</v>
      </c>
      <c r="C8906" s="266" t="str">
        <f>IFERROR(__xludf.DUMMYFUNCTION("""COMPUTED_VALUE"""),"KYAI KONTONG")</f>
        <v>KYAI KONTONG</v>
      </c>
      <c r="D8906" s="186">
        <f>IFERROR(__xludf.DUMMYFUNCTION("""COMPUTED_VALUE"""),1.0)</f>
        <v>1</v>
      </c>
    </row>
    <row r="8907">
      <c r="A8907" s="178" t="str">
        <f>IFERROR(__xludf.DUMMYFUNCTION("""COMPUTED_VALUE"""),"ITBISA-PCB-5X7-COPPER-SINGLE-SIDE")</f>
        <v>ITBISA-PCB-5X7-COPPER-SINGLE-SIDE</v>
      </c>
      <c r="B8907" s="266">
        <f>IFERROR(__xludf.DUMMYFUNCTION("""COMPUTED_VALUE"""),45575.0)</f>
        <v>45575</v>
      </c>
      <c r="C8907" s="266" t="str">
        <f>IFERROR(__xludf.DUMMYFUNCTION("""COMPUTED_VALUE"""),"KYAI KONTONG")</f>
        <v>KYAI KONTONG</v>
      </c>
      <c r="D8907" s="186">
        <f>IFERROR(__xludf.DUMMYFUNCTION("""COMPUTED_VALUE"""),4.0)</f>
        <v>4</v>
      </c>
    </row>
    <row r="8908">
      <c r="A8908" s="178" t="str">
        <f>IFERROR(__xludf.DUMMYFUNCTION("""COMPUTED_VALUE"""),"ITBISA-PCB-5X7-COPPER-SINGLE-SIDE")</f>
        <v>ITBISA-PCB-5X7-COPPER-SINGLE-SIDE</v>
      </c>
      <c r="B8908" s="266">
        <f>IFERROR(__xludf.DUMMYFUNCTION("""COMPUTED_VALUE"""),45588.0)</f>
        <v>45588</v>
      </c>
      <c r="C8908" s="266" t="str">
        <f>IFERROR(__xludf.DUMMYFUNCTION("""COMPUTED_VALUE"""),"KERTASARI CIAMIS")</f>
        <v>KERTASARI CIAMIS</v>
      </c>
      <c r="D8908" s="186">
        <f>IFERROR(__xludf.DUMMYFUNCTION("""COMPUTED_VALUE"""),20.0)</f>
        <v>20</v>
      </c>
    </row>
    <row r="8909">
      <c r="A8909" s="178" t="str">
        <f>IFERROR(__xludf.DUMMYFUNCTION("""COMPUTED_VALUE"""),"ITBISA-PCB-5X7-COPPER-SINGLE-SIDE")</f>
        <v>ITBISA-PCB-5X7-COPPER-SINGLE-SIDE</v>
      </c>
      <c r="B8909" s="266">
        <f>IFERROR(__xludf.DUMMYFUNCTION("""COMPUTED_VALUE"""),45608.0)</f>
        <v>45608</v>
      </c>
      <c r="C8909" s="266" t="str">
        <f>IFERROR(__xludf.DUMMYFUNCTION("""COMPUTED_VALUE"""),"KYAI KONTONG")</f>
        <v>KYAI KONTONG</v>
      </c>
      <c r="D8909" s="186">
        <f>IFERROR(__xludf.DUMMYFUNCTION("""COMPUTED_VALUE"""),2.0)</f>
        <v>2</v>
      </c>
    </row>
    <row r="8910">
      <c r="A8910" s="178" t="str">
        <f>IFERROR(__xludf.DUMMYFUNCTION("""COMPUTED_VALUE"""),"ITBISA-PCB-5X7-COPPER-SINGLE-SIDE")</f>
        <v>ITBISA-PCB-5X7-COPPER-SINGLE-SIDE</v>
      </c>
      <c r="B8910" s="266">
        <f>IFERROR(__xludf.DUMMYFUNCTION("""COMPUTED_VALUE"""),45616.0)</f>
        <v>45616</v>
      </c>
      <c r="C8910" s="266" t="str">
        <f>IFERROR(__xludf.DUMMYFUNCTION("""COMPUTED_VALUE"""),"KERTASARI CIAMIS")</f>
        <v>KERTASARI CIAMIS</v>
      </c>
      <c r="D8910" s="186">
        <f>IFERROR(__xludf.DUMMYFUNCTION("""COMPUTED_VALUE"""),20.0)</f>
        <v>20</v>
      </c>
    </row>
    <row r="8911">
      <c r="A8911" s="178" t="str">
        <f>IFERROR(__xludf.DUMMYFUNCTION("""COMPUTED_VALUE"""),"ITBISA-PCB-5X7-COPPER-SINGLE-SIDE")</f>
        <v>ITBISA-PCB-5X7-COPPER-SINGLE-SIDE</v>
      </c>
      <c r="B8911" s="266">
        <f>IFERROR(__xludf.DUMMYFUNCTION("""COMPUTED_VALUE"""),45617.0)</f>
        <v>45617</v>
      </c>
      <c r="C8911" s="266" t="str">
        <f>IFERROR(__xludf.DUMMYFUNCTION("""COMPUTED_VALUE"""),"KYAI KONTONG")</f>
        <v>KYAI KONTONG</v>
      </c>
      <c r="D8911" s="186">
        <f>IFERROR(__xludf.DUMMYFUNCTION("""COMPUTED_VALUE"""),1.0)</f>
        <v>1</v>
      </c>
    </row>
    <row r="8912">
      <c r="A8912" s="178" t="str">
        <f>IFERROR(__xludf.DUMMYFUNCTION("""COMPUTED_VALUE"""),"ITBISA-PCB-5X7-COPPER-SINGLE-SIDE")</f>
        <v>ITBISA-PCB-5X7-COPPER-SINGLE-SIDE</v>
      </c>
      <c r="B8912" s="266">
        <f>IFERROR(__xludf.DUMMYFUNCTION("""COMPUTED_VALUE"""),45618.0)</f>
        <v>45618</v>
      </c>
      <c r="C8912" s="266" t="str">
        <f>IFERROR(__xludf.DUMMYFUNCTION("""COMPUTED_VALUE"""),"KYAI KONTONG")</f>
        <v>KYAI KONTONG</v>
      </c>
      <c r="D8912" s="186">
        <f>IFERROR(__xludf.DUMMYFUNCTION("""COMPUTED_VALUE"""),1.0)</f>
        <v>1</v>
      </c>
    </row>
    <row r="8913">
      <c r="A8913" s="178" t="str">
        <f>IFERROR(__xludf.DUMMYFUNCTION("""COMPUTED_VALUE"""),"ITBISA-PCB-5X7-COPPER-SINGLE-SIDE")</f>
        <v>ITBISA-PCB-5X7-COPPER-SINGLE-SIDE</v>
      </c>
      <c r="B8913" s="266">
        <f>IFERROR(__xludf.DUMMYFUNCTION("""COMPUTED_VALUE"""),45626.0)</f>
        <v>45626</v>
      </c>
      <c r="C8913" s="266" t="str">
        <f>IFERROR(__xludf.DUMMYFUNCTION("""COMPUTED_VALUE"""),"KERTASARI CIAMIS")</f>
        <v>KERTASARI CIAMIS</v>
      </c>
      <c r="D8913" s="186">
        <f>IFERROR(__xludf.DUMMYFUNCTION("""COMPUTED_VALUE"""),10.0)</f>
        <v>10</v>
      </c>
    </row>
    <row r="8914">
      <c r="A8914" s="178" t="str">
        <f>IFERROR(__xludf.DUMMYFUNCTION("""COMPUTED_VALUE"""),"ITBISA-PCB-5X7-COPPER-SINGLE-SIDE")</f>
        <v>ITBISA-PCB-5X7-COPPER-SINGLE-SIDE</v>
      </c>
      <c r="B8914" s="266">
        <f>IFERROR(__xludf.DUMMYFUNCTION("""COMPUTED_VALUE"""),45627.0)</f>
        <v>45627</v>
      </c>
      <c r="C8914" s="266" t="str">
        <f>IFERROR(__xludf.DUMMYFUNCTION("""COMPUTED_VALUE"""),"KERTASARI CIAMIS")</f>
        <v>KERTASARI CIAMIS</v>
      </c>
      <c r="D8914" s="186">
        <f>IFERROR(__xludf.DUMMYFUNCTION("""COMPUTED_VALUE"""),1.0)</f>
        <v>1</v>
      </c>
    </row>
    <row r="8915">
      <c r="A8915" s="178" t="str">
        <f>IFERROR(__xludf.DUMMYFUNCTION("""COMPUTED_VALUE"""),"ITBISA-PCB-5X7-COPPER-SINGLE-SIDE")</f>
        <v>ITBISA-PCB-5X7-COPPER-SINGLE-SIDE</v>
      </c>
      <c r="B8915" s="266">
        <f>IFERROR(__xludf.DUMMYFUNCTION("""COMPUTED_VALUE"""),45633.0)</f>
        <v>45633</v>
      </c>
      <c r="C8915" s="266" t="str">
        <f>IFERROR(__xludf.DUMMYFUNCTION("""COMPUTED_VALUE"""),"KERTASARI CIAMIS")</f>
        <v>KERTASARI CIAMIS</v>
      </c>
      <c r="D8915" s="186">
        <f>IFERROR(__xludf.DUMMYFUNCTION("""COMPUTED_VALUE"""),10.0)</f>
        <v>10</v>
      </c>
    </row>
    <row r="8916">
      <c r="A8916" s="178" t="str">
        <f>IFERROR(__xludf.DUMMYFUNCTION("""COMPUTED_VALUE"""),"ITBISA-PCB-5X7-COPPER-SINGLE-SIDE")</f>
        <v>ITBISA-PCB-5X7-COPPER-SINGLE-SIDE</v>
      </c>
      <c r="B8916" s="266">
        <f>IFERROR(__xludf.DUMMYFUNCTION("""COMPUTED_VALUE"""),45647.0)</f>
        <v>45647</v>
      </c>
      <c r="C8916" s="266" t="str">
        <f>IFERROR(__xludf.DUMMYFUNCTION("""COMPUTED_VALUE"""),"KYAI KONTONG")</f>
        <v>KYAI KONTONG</v>
      </c>
      <c r="D8916" s="186">
        <f>IFERROR(__xludf.DUMMYFUNCTION("""COMPUTED_VALUE"""),6.0)</f>
        <v>6</v>
      </c>
    </row>
    <row r="8917">
      <c r="A8917" s="178" t="str">
        <f>IFERROR(__xludf.DUMMYFUNCTION("""COMPUTED_VALUE"""),"ITBISA-PCB-5X7-COPPER-SINGLE-SIDE")</f>
        <v>ITBISA-PCB-5X7-COPPER-SINGLE-SIDE</v>
      </c>
      <c r="B8917" s="266">
        <f>IFERROR(__xludf.DUMMYFUNCTION("""COMPUTED_VALUE"""),45648.0)</f>
        <v>45648</v>
      </c>
      <c r="C8917" s="266" t="str">
        <f>IFERROR(__xludf.DUMMYFUNCTION("""COMPUTED_VALUE"""),"KYAI KONTONG")</f>
        <v>KYAI KONTONG</v>
      </c>
      <c r="D8917" s="186">
        <f>IFERROR(__xludf.DUMMYFUNCTION("""COMPUTED_VALUE"""),4.0)</f>
        <v>4</v>
      </c>
    </row>
    <row r="8918">
      <c r="A8918" s="178" t="str">
        <f>IFERROR(__xludf.DUMMYFUNCTION("""COMPUTED_VALUE"""),"ITBISA-PCB-5X7-COPPER-SINGLE-SIDE")</f>
        <v>ITBISA-PCB-5X7-COPPER-SINGLE-SIDE</v>
      </c>
      <c r="B8918" s="266">
        <f>IFERROR(__xludf.DUMMYFUNCTION("""COMPUTED_VALUE"""),45660.0)</f>
        <v>45660</v>
      </c>
      <c r="C8918" s="266" t="str">
        <f>IFERROR(__xludf.DUMMYFUNCTION("""COMPUTED_VALUE"""),"KYAI KONTONG")</f>
        <v>KYAI KONTONG</v>
      </c>
      <c r="D8918" s="186">
        <f>IFERROR(__xludf.DUMMYFUNCTION("""COMPUTED_VALUE"""),1.0)</f>
        <v>1</v>
      </c>
    </row>
    <row r="8919">
      <c r="A8919" s="178" t="str">
        <f>IFERROR(__xludf.DUMMYFUNCTION("""COMPUTED_VALUE"""),"ITBISA-PCB-5X7-COPPER-SINGLE-SIDE")</f>
        <v>ITBISA-PCB-5X7-COPPER-SINGLE-SIDE</v>
      </c>
      <c r="B8919" s="266">
        <f>IFERROR(__xludf.DUMMYFUNCTION("""COMPUTED_VALUE"""),45667.0)</f>
        <v>45667</v>
      </c>
      <c r="C8919" s="266" t="str">
        <f>IFERROR(__xludf.DUMMYFUNCTION("""COMPUTED_VALUE"""),"KYAI KONTONG")</f>
        <v>KYAI KONTONG</v>
      </c>
      <c r="D8919" s="186">
        <f>IFERROR(__xludf.DUMMYFUNCTION("""COMPUTED_VALUE"""),1.0)</f>
        <v>1</v>
      </c>
    </row>
    <row r="8920">
      <c r="A8920" s="178" t="str">
        <f>IFERROR(__xludf.DUMMYFUNCTION("""COMPUTED_VALUE"""),"ITBISA-PCB-5X7-COPPER-SINGLE-SIDE")</f>
        <v>ITBISA-PCB-5X7-COPPER-SINGLE-SIDE</v>
      </c>
      <c r="B8920" s="266">
        <f>IFERROR(__xludf.DUMMYFUNCTION("""COMPUTED_VALUE"""),45682.0)</f>
        <v>45682</v>
      </c>
      <c r="C8920" s="266" t="str">
        <f>IFERROR(__xludf.DUMMYFUNCTION("""COMPUTED_VALUE"""),"KYAI KONTONG")</f>
        <v>KYAI KONTONG</v>
      </c>
      <c r="D8920" s="186">
        <f>IFERROR(__xludf.DUMMYFUNCTION("""COMPUTED_VALUE"""),1.0)</f>
        <v>1</v>
      </c>
    </row>
    <row r="8921">
      <c r="A8921" s="178" t="str">
        <f>IFERROR(__xludf.DUMMYFUNCTION("""COMPUTED_VALUE"""),"ITBISA-PCB-5X7-COPPER-SINGLE-SIDE")</f>
        <v>ITBISA-PCB-5X7-COPPER-SINGLE-SIDE</v>
      </c>
      <c r="B8921" s="266">
        <f>IFERROR(__xludf.DUMMYFUNCTION("""COMPUTED_VALUE"""),45689.0)</f>
        <v>45689</v>
      </c>
      <c r="C8921" s="266" t="str">
        <f>IFERROR(__xludf.DUMMYFUNCTION("""COMPUTED_VALUE"""),"KYAI KONTONG")</f>
        <v>KYAI KONTONG</v>
      </c>
      <c r="D8921" s="186">
        <f>IFERROR(__xludf.DUMMYFUNCTION("""COMPUTED_VALUE"""),6.0)</f>
        <v>6</v>
      </c>
    </row>
    <row r="8922">
      <c r="A8922" s="178" t="str">
        <f>IFERROR(__xludf.DUMMYFUNCTION("""COMPUTED_VALUE"""),"ITBISA-PCB-5X7-COPPER-SINGLE-SIDE")</f>
        <v>ITBISA-PCB-5X7-COPPER-SINGLE-SIDE</v>
      </c>
      <c r="B8922" s="266">
        <f>IFERROR(__xludf.DUMMYFUNCTION("""COMPUTED_VALUE"""),45690.0)</f>
        <v>45690</v>
      </c>
      <c r="C8922" s="266" t="str">
        <f>IFERROR(__xludf.DUMMYFUNCTION("""COMPUTED_VALUE"""),"KYAI KONTONG")</f>
        <v>KYAI KONTONG</v>
      </c>
      <c r="D8922" s="186">
        <f>IFERROR(__xludf.DUMMYFUNCTION("""COMPUTED_VALUE"""),4.0)</f>
        <v>4</v>
      </c>
    </row>
    <row r="8923">
      <c r="A8923" s="178" t="str">
        <f>IFERROR(__xludf.DUMMYFUNCTION("""COMPUTED_VALUE"""),"ITBISA-PCB-5X7-COPPER-SINGLE-SIDE")</f>
        <v>ITBISA-PCB-5X7-COPPER-SINGLE-SIDE</v>
      </c>
      <c r="B8923" s="266">
        <f>IFERROR(__xludf.DUMMYFUNCTION("""COMPUTED_VALUE"""),45696.0)</f>
        <v>45696</v>
      </c>
      <c r="C8923" s="266" t="str">
        <f>IFERROR(__xludf.DUMMYFUNCTION("""COMPUTED_VALUE"""),"KYAI KONTONG")</f>
        <v>KYAI KONTONG</v>
      </c>
      <c r="D8923" s="186">
        <f>IFERROR(__xludf.DUMMYFUNCTION("""COMPUTED_VALUE"""),10.0)</f>
        <v>10</v>
      </c>
    </row>
    <row r="8924">
      <c r="A8924" s="178" t="str">
        <f>IFERROR(__xludf.DUMMYFUNCTION("""COMPUTED_VALUE"""),"ITBISA-PCB-5X7-COPPER-SINGLE-SIDE")</f>
        <v>ITBISA-PCB-5X7-COPPER-SINGLE-SIDE</v>
      </c>
      <c r="B8924" s="266">
        <f>IFERROR(__xludf.DUMMYFUNCTION("""COMPUTED_VALUE"""),45699.0)</f>
        <v>45699</v>
      </c>
      <c r="C8924" s="266" t="str">
        <f>IFERROR(__xludf.DUMMYFUNCTION("""COMPUTED_VALUE"""),"KYAI KONTONG")</f>
        <v>KYAI KONTONG</v>
      </c>
      <c r="D8924" s="186">
        <f>IFERROR(__xludf.DUMMYFUNCTION("""COMPUTED_VALUE"""),2.0)</f>
        <v>2</v>
      </c>
    </row>
    <row r="8925">
      <c r="A8925" s="178" t="str">
        <f>IFERROR(__xludf.DUMMYFUNCTION("""COMPUTED_VALUE"""),"ITBISA-PCB-5X7-COPPER-SINGLE-SIDE")</f>
        <v>ITBISA-PCB-5X7-COPPER-SINGLE-SIDE</v>
      </c>
      <c r="B8925" s="266">
        <f>IFERROR(__xludf.DUMMYFUNCTION("""COMPUTED_VALUE"""),45701.0)</f>
        <v>45701</v>
      </c>
      <c r="C8925" s="266" t="str">
        <f>IFERROR(__xludf.DUMMYFUNCTION("""COMPUTED_VALUE"""),"KYAI KONTONG")</f>
        <v>KYAI KONTONG</v>
      </c>
      <c r="D8925" s="186">
        <f>IFERROR(__xludf.DUMMYFUNCTION("""COMPUTED_VALUE"""),2.0)</f>
        <v>2</v>
      </c>
    </row>
    <row r="8926">
      <c r="A8926" s="178" t="str">
        <f>IFERROR(__xludf.DUMMYFUNCTION("""COMPUTED_VALUE"""),"ITBISA-PCB-5X7-COPPER-SINGLE-SIDE")</f>
        <v>ITBISA-PCB-5X7-COPPER-SINGLE-SIDE</v>
      </c>
      <c r="B8926" s="266">
        <f>IFERROR(__xludf.DUMMYFUNCTION("""COMPUTED_VALUE"""),45701.0)</f>
        <v>45701</v>
      </c>
      <c r="C8926" s="266" t="str">
        <f>IFERROR(__xludf.DUMMYFUNCTION("""COMPUTED_VALUE"""),"KYAI KONTONG")</f>
        <v>KYAI KONTONG</v>
      </c>
      <c r="D8926" s="186">
        <f>IFERROR(__xludf.DUMMYFUNCTION("""COMPUTED_VALUE"""),4.0)</f>
        <v>4</v>
      </c>
    </row>
    <row r="8927">
      <c r="A8927" s="178" t="str">
        <f>IFERROR(__xludf.DUMMYFUNCTION("""COMPUTED_VALUE"""),"ITBISA-PCB-5X7-COPPER-SINGLE-SIDE")</f>
        <v>ITBISA-PCB-5X7-COPPER-SINGLE-SIDE</v>
      </c>
      <c r="B8927" s="266">
        <f>IFERROR(__xludf.DUMMYFUNCTION("""COMPUTED_VALUE"""),45703.0)</f>
        <v>45703</v>
      </c>
      <c r="C8927" s="266" t="str">
        <f>IFERROR(__xludf.DUMMYFUNCTION("""COMPUTED_VALUE"""),"KERTASARI CIAMIS")</f>
        <v>KERTASARI CIAMIS</v>
      </c>
      <c r="D8927" s="186">
        <f>IFERROR(__xludf.DUMMYFUNCTION("""COMPUTED_VALUE"""),2.0)</f>
        <v>2</v>
      </c>
    </row>
    <row r="8928">
      <c r="A8928" s="178" t="str">
        <f>IFERROR(__xludf.DUMMYFUNCTION("""COMPUTED_VALUE"""),"ITBISA-PCB-5X7-COPPER-SINGLE-SIDE")</f>
        <v>ITBISA-PCB-5X7-COPPER-SINGLE-SIDE</v>
      </c>
      <c r="B8928" s="266">
        <f>IFERROR(__xludf.DUMMYFUNCTION("""COMPUTED_VALUE"""),45742.0)</f>
        <v>45742</v>
      </c>
      <c r="C8928" s="266" t="str">
        <f>IFERROR(__xludf.DUMMYFUNCTION("""COMPUTED_VALUE"""),"KERTASARI CIAMIS")</f>
        <v>KERTASARI CIAMIS</v>
      </c>
      <c r="D8928" s="186">
        <f>IFERROR(__xludf.DUMMYFUNCTION("""COMPUTED_VALUE"""),5.0)</f>
        <v>5</v>
      </c>
    </row>
    <row r="8929">
      <c r="A8929" s="178" t="str">
        <f>IFERROR(__xludf.DUMMYFUNCTION("""COMPUTED_VALUE"""),"ITBISA-PCB-5X7-COPPER-SINGLE-SIDE")</f>
        <v>ITBISA-PCB-5X7-COPPER-SINGLE-SIDE</v>
      </c>
      <c r="B8929" s="266">
        <f>IFERROR(__xludf.DUMMYFUNCTION("""COMPUTED_VALUE"""),45748.0)</f>
        <v>45748</v>
      </c>
      <c r="C8929" s="266" t="str">
        <f>IFERROR(__xludf.DUMMYFUNCTION("""COMPUTED_VALUE"""),"KERTASARI CIAMIS")</f>
        <v>KERTASARI CIAMIS</v>
      </c>
      <c r="D8929" s="186">
        <f>IFERROR(__xludf.DUMMYFUNCTION("""COMPUTED_VALUE"""),5.0)</f>
        <v>5</v>
      </c>
    </row>
    <row r="8930">
      <c r="A8930" s="178" t="str">
        <f>IFERROR(__xludf.DUMMYFUNCTION("""COMPUTED_VALUE"""),"ITBISA-PCB-5X7-COPPER-SINGLE-SIDE")</f>
        <v>ITBISA-PCB-5X7-COPPER-SINGLE-SIDE</v>
      </c>
      <c r="B8930" s="266">
        <f>IFERROR(__xludf.DUMMYFUNCTION("""COMPUTED_VALUE"""),45775.0)</f>
        <v>45775</v>
      </c>
      <c r="C8930" s="266" t="str">
        <f>IFERROR(__xludf.DUMMYFUNCTION("""COMPUTED_VALUE"""),"KERTASARI CIAMIS")</f>
        <v>KERTASARI CIAMIS</v>
      </c>
      <c r="D8930" s="186">
        <f>IFERROR(__xludf.DUMMYFUNCTION("""COMPUTED_VALUE"""),1.0)</f>
        <v>1</v>
      </c>
    </row>
    <row r="8931">
      <c r="A8931" s="178" t="str">
        <f>IFERROR(__xludf.DUMMYFUNCTION("""COMPUTED_VALUE"""),"ITBISA-PCB-5X7-COPPER-SINGLE-SIDE")</f>
        <v>ITBISA-PCB-5X7-COPPER-SINGLE-SIDE</v>
      </c>
      <c r="B8931" s="266">
        <f>IFERROR(__xludf.DUMMYFUNCTION("""COMPUTED_VALUE"""),45782.0)</f>
        <v>45782</v>
      </c>
      <c r="C8931" s="266" t="str">
        <f>IFERROR(__xludf.DUMMYFUNCTION("""COMPUTED_VALUE"""),"KERTASARI CIAMIS")</f>
        <v>KERTASARI CIAMIS</v>
      </c>
      <c r="D8931" s="186">
        <f>IFERROR(__xludf.DUMMYFUNCTION("""COMPUTED_VALUE"""),10.0)</f>
        <v>10</v>
      </c>
    </row>
    <row r="8932">
      <c r="A8932" s="178" t="str">
        <f>IFERROR(__xludf.DUMMYFUNCTION("""COMPUTED_VALUE"""),"ITBISA-PCB-5X7-COPPER-SINGLE-SIDE")</f>
        <v>ITBISA-PCB-5X7-COPPER-SINGLE-SIDE</v>
      </c>
      <c r="B8932" s="266">
        <f>IFERROR(__xludf.DUMMYFUNCTION("""COMPUTED_VALUE"""),45786.0)</f>
        <v>45786</v>
      </c>
      <c r="C8932" s="266" t="str">
        <f>IFERROR(__xludf.DUMMYFUNCTION("""COMPUTED_VALUE"""),"KERTASARI CIAMIS")</f>
        <v>KERTASARI CIAMIS</v>
      </c>
      <c r="D8932" s="186">
        <f>IFERROR(__xludf.DUMMYFUNCTION("""COMPUTED_VALUE"""),4.0)</f>
        <v>4</v>
      </c>
    </row>
    <row r="8933">
      <c r="A8933" s="178" t="str">
        <f>IFERROR(__xludf.DUMMYFUNCTION("""COMPUTED_VALUE"""),"ITBISA-PCB-5X7-COPPER-SINGLE-SIDE")</f>
        <v>ITBISA-PCB-5X7-COPPER-SINGLE-SIDE</v>
      </c>
      <c r="B8933" s="266">
        <f>IFERROR(__xludf.DUMMYFUNCTION("""COMPUTED_VALUE"""),45792.0)</f>
        <v>45792</v>
      </c>
      <c r="C8933" s="266" t="str">
        <f>IFERROR(__xludf.DUMMYFUNCTION("""COMPUTED_VALUE"""),"KERTASARI CIAMIS")</f>
        <v>KERTASARI CIAMIS</v>
      </c>
      <c r="D8933" s="186">
        <f>IFERROR(__xludf.DUMMYFUNCTION("""COMPUTED_VALUE"""),5.0)</f>
        <v>5</v>
      </c>
    </row>
    <row r="8934">
      <c r="A8934" s="178" t="str">
        <f>IFERROR(__xludf.DUMMYFUNCTION("""COMPUTED_VALUE"""),"ITBISA-PCB-5X7-COPPER-SINGLE-SIDE")</f>
        <v>ITBISA-PCB-5X7-COPPER-SINGLE-SIDE</v>
      </c>
      <c r="B8934" s="266">
        <f>IFERROR(__xludf.DUMMYFUNCTION("""COMPUTED_VALUE"""),45798.0)</f>
        <v>45798</v>
      </c>
      <c r="C8934" s="266" t="str">
        <f>IFERROR(__xludf.DUMMYFUNCTION("""COMPUTED_VALUE"""),"KERTASARI CIAMIS")</f>
        <v>KERTASARI CIAMIS</v>
      </c>
      <c r="D8934" s="186">
        <f>IFERROR(__xludf.DUMMYFUNCTION("""COMPUTED_VALUE"""),50.0)</f>
        <v>50</v>
      </c>
    </row>
    <row r="8935">
      <c r="A8935" s="178" t="str">
        <f>IFERROR(__xludf.DUMMYFUNCTION("""COMPUTED_VALUE"""),"ITBISA-PCB-5X7-COPPER-SINGLE-SIDE")</f>
        <v>ITBISA-PCB-5X7-COPPER-SINGLE-SIDE</v>
      </c>
      <c r="B8935" s="266">
        <f>IFERROR(__xludf.DUMMYFUNCTION("""COMPUTED_VALUE"""),45803.0)</f>
        <v>45803</v>
      </c>
      <c r="C8935" s="266" t="str">
        <f>IFERROR(__xludf.DUMMYFUNCTION("""COMPUTED_VALUE"""),"KERTASARI CIAMIS")</f>
        <v>KERTASARI CIAMIS</v>
      </c>
      <c r="D8935" s="186">
        <f>IFERROR(__xludf.DUMMYFUNCTION("""COMPUTED_VALUE"""),5.0)</f>
        <v>5</v>
      </c>
    </row>
    <row r="8936">
      <c r="A8936" s="178" t="str">
        <f>IFERROR(__xludf.DUMMYFUNCTION("""COMPUTED_VALUE"""),"ITBISA-PCB-5X7-COPPER-SINGLE-SIDE")</f>
        <v>ITBISA-PCB-5X7-COPPER-SINGLE-SIDE</v>
      </c>
      <c r="B8936" s="266">
        <f>IFERROR(__xludf.DUMMYFUNCTION("""COMPUTED_VALUE"""),45822.0)</f>
        <v>45822</v>
      </c>
      <c r="C8936" s="266" t="str">
        <f>IFERROR(__xludf.DUMMYFUNCTION("""COMPUTED_VALUE"""),"KERTASARI CIAMIS")</f>
        <v>KERTASARI CIAMIS</v>
      </c>
      <c r="D8936" s="186">
        <f>IFERROR(__xludf.DUMMYFUNCTION("""COMPUTED_VALUE"""),20.0)</f>
        <v>20</v>
      </c>
    </row>
    <row r="8937">
      <c r="A8937" s="178" t="str">
        <f>IFERROR(__xludf.DUMMYFUNCTION("""COMPUTED_VALUE"""),"ITBISA-PCB-5X7-COPPER-SINGLE-SIDE")</f>
        <v>ITBISA-PCB-5X7-COPPER-SINGLE-SIDE</v>
      </c>
      <c r="B8937" s="266">
        <f>IFERROR(__xludf.DUMMYFUNCTION("""COMPUTED_VALUE"""),45843.0)</f>
        <v>45843</v>
      </c>
      <c r="C8937" s="266" t="str">
        <f>IFERROR(__xludf.DUMMYFUNCTION("""COMPUTED_VALUE"""),"KERTASARI CIAMIS")</f>
        <v>KERTASARI CIAMIS</v>
      </c>
      <c r="D8937" s="186">
        <f>IFERROR(__xludf.DUMMYFUNCTION("""COMPUTED_VALUE"""),20.0)</f>
        <v>20</v>
      </c>
    </row>
    <row r="8938">
      <c r="A8938" s="178" t="str">
        <f>IFERROR(__xludf.DUMMYFUNCTION("""COMPUTED_VALUE"""),"ITBISA-PCB-5X7-COPPER-SINGLE-SIDE")</f>
        <v>ITBISA-PCB-5X7-COPPER-SINGLE-SIDE</v>
      </c>
      <c r="B8938" s="266">
        <f>IFERROR(__xludf.DUMMYFUNCTION("""COMPUTED_VALUE"""),45851.0)</f>
        <v>45851</v>
      </c>
      <c r="C8938" s="266" t="str">
        <f>IFERROR(__xludf.DUMMYFUNCTION("""COMPUTED_VALUE"""),"KERTASARI CIAMIS")</f>
        <v>KERTASARI CIAMIS</v>
      </c>
      <c r="D8938" s="186">
        <f>IFERROR(__xludf.DUMMYFUNCTION("""COMPUTED_VALUE"""),2.0)</f>
        <v>2</v>
      </c>
    </row>
    <row r="8939">
      <c r="A8939" s="178" t="str">
        <f>IFERROR(__xludf.DUMMYFUNCTION("""COMPUTED_VALUE"""),"ITBISA-PCB-5X7-COPPER-SINGLE-SIDE")</f>
        <v>ITBISA-PCB-5X7-COPPER-SINGLE-SIDE</v>
      </c>
      <c r="B8939" s="266">
        <f>IFERROR(__xludf.DUMMYFUNCTION("""COMPUTED_VALUE"""),45855.0)</f>
        <v>45855</v>
      </c>
      <c r="C8939" s="266" t="str">
        <f>IFERROR(__xludf.DUMMYFUNCTION("""COMPUTED_VALUE"""),"KYAI KONTONG")</f>
        <v>KYAI KONTONG</v>
      </c>
      <c r="D8939" s="186">
        <f>IFERROR(__xludf.DUMMYFUNCTION("""COMPUTED_VALUE"""),1.0)</f>
        <v>1</v>
      </c>
    </row>
    <row r="8940">
      <c r="A8940" s="178" t="str">
        <f>IFERROR(__xludf.DUMMYFUNCTION("""COMPUTED_VALUE"""),"ITBISA-PCB-5X7-COPPER-SINGLE-SIDE")</f>
        <v>ITBISA-PCB-5X7-COPPER-SINGLE-SIDE</v>
      </c>
      <c r="B8940" s="266">
        <f>IFERROR(__xludf.DUMMYFUNCTION("""COMPUTED_VALUE"""),45855.0)</f>
        <v>45855</v>
      </c>
      <c r="C8940" s="266" t="str">
        <f>IFERROR(__xludf.DUMMYFUNCTION("""COMPUTED_VALUE"""),"KYAI KONTONG")</f>
        <v>KYAI KONTONG</v>
      </c>
      <c r="D8940" s="186">
        <f>IFERROR(__xludf.DUMMYFUNCTION("""COMPUTED_VALUE"""),1.0)</f>
        <v>1</v>
      </c>
    </row>
    <row r="8941">
      <c r="A8941" s="178" t="str">
        <f>IFERROR(__xludf.DUMMYFUNCTION("""COMPUTED_VALUE"""),"ITBISA-PCB-5X7-COPPER-SINGLE-SIDE")</f>
        <v>ITBISA-PCB-5X7-COPPER-SINGLE-SIDE</v>
      </c>
      <c r="B8941" s="266">
        <f>IFERROR(__xludf.DUMMYFUNCTION("""COMPUTED_VALUE"""),45872.0)</f>
        <v>45872</v>
      </c>
      <c r="C8941" s="266" t="str">
        <f>IFERROR(__xludf.DUMMYFUNCTION("""COMPUTED_VALUE"""),"KERTASARI CIAMIS")</f>
        <v>KERTASARI CIAMIS</v>
      </c>
      <c r="D8941" s="186">
        <f>IFERROR(__xludf.DUMMYFUNCTION("""COMPUTED_VALUE"""),1.0)</f>
        <v>1</v>
      </c>
    </row>
    <row r="8942">
      <c r="A8942" s="178" t="str">
        <f>IFERROR(__xludf.DUMMYFUNCTION("""COMPUTED_VALUE"""),"ITBISA-PCB-5X7-COPPER-SINGLE-SIDE")</f>
        <v>ITBISA-PCB-5X7-COPPER-SINGLE-SIDE</v>
      </c>
      <c r="B8942" s="266">
        <f>IFERROR(__xludf.DUMMYFUNCTION("""COMPUTED_VALUE"""),45872.0)</f>
        <v>45872</v>
      </c>
      <c r="C8942" s="266" t="str">
        <f>IFERROR(__xludf.DUMMYFUNCTION("""COMPUTED_VALUE"""),"KERTASARI CIAMIS")</f>
        <v>KERTASARI CIAMIS</v>
      </c>
      <c r="D8942" s="186">
        <f>IFERROR(__xludf.DUMMYFUNCTION("""COMPUTED_VALUE"""),2.0)</f>
        <v>2</v>
      </c>
    </row>
    <row r="8943">
      <c r="A8943" s="178" t="str">
        <f>IFERROR(__xludf.DUMMYFUNCTION("""COMPUTED_VALUE"""),"ITBISA-PCB-5X7-COPPER-SINGLE-SIDE")</f>
        <v>ITBISA-PCB-5X7-COPPER-SINGLE-SIDE</v>
      </c>
      <c r="B8943" s="266">
        <f>IFERROR(__xludf.DUMMYFUNCTION("""COMPUTED_VALUE"""),45876.0)</f>
        <v>45876</v>
      </c>
      <c r="C8943" s="266" t="str">
        <f>IFERROR(__xludf.DUMMYFUNCTION("""COMPUTED_VALUE"""),"KERTASARI CIAMIS")</f>
        <v>KERTASARI CIAMIS</v>
      </c>
      <c r="D8943" s="186">
        <f>IFERROR(__xludf.DUMMYFUNCTION("""COMPUTED_VALUE"""),2.0)</f>
        <v>2</v>
      </c>
    </row>
    <row r="8944">
      <c r="A8944" s="178" t="str">
        <f>IFERROR(__xludf.DUMMYFUNCTION("""COMPUTED_VALUE"""),"ITBISA-PCB-5X7-COPPER-SINGLE-SIDE")</f>
        <v>ITBISA-PCB-5X7-COPPER-SINGLE-SIDE</v>
      </c>
      <c r="B8944" s="266">
        <f>IFERROR(__xludf.DUMMYFUNCTION("""COMPUTED_VALUE"""),45904.0)</f>
        <v>45904</v>
      </c>
      <c r="C8944" s="266" t="str">
        <f>IFERROR(__xludf.DUMMYFUNCTION("""COMPUTED_VALUE"""),"KERTASARI CIAMIS")</f>
        <v>KERTASARI CIAMIS</v>
      </c>
      <c r="D8944" s="186">
        <f>IFERROR(__xludf.DUMMYFUNCTION("""COMPUTED_VALUE"""),4.0)</f>
        <v>4</v>
      </c>
    </row>
    <row r="8945">
      <c r="A8945" s="178" t="str">
        <f>IFERROR(__xludf.DUMMYFUNCTION("""COMPUTED_VALUE"""),"ITBISA-PCB-5X7-COPPER-SINGLE-SIDE")</f>
        <v>ITBISA-PCB-5X7-COPPER-SINGLE-SIDE</v>
      </c>
      <c r="B8945" s="266">
        <f>IFERROR(__xludf.DUMMYFUNCTION("""COMPUTED_VALUE"""),45913.0)</f>
        <v>45913</v>
      </c>
      <c r="C8945" s="266" t="str">
        <f>IFERROR(__xludf.DUMMYFUNCTION("""COMPUTED_VALUE"""),"KERTASARI CIAMIS")</f>
        <v>KERTASARI CIAMIS</v>
      </c>
      <c r="D8945" s="186">
        <f>IFERROR(__xludf.DUMMYFUNCTION("""COMPUTED_VALUE"""),3.0)</f>
        <v>3</v>
      </c>
    </row>
    <row r="8946">
      <c r="A8946" s="178" t="str">
        <f>IFERROR(__xludf.DUMMYFUNCTION("""COMPUTED_VALUE"""),"ITBISA-PCB-5X7-COPPER-SINGLE-SIDE")</f>
        <v>ITBISA-PCB-5X7-COPPER-SINGLE-SIDE</v>
      </c>
      <c r="B8946" s="266">
        <f>IFERROR(__xludf.DUMMYFUNCTION("""COMPUTED_VALUE"""),45950.0)</f>
        <v>45950</v>
      </c>
      <c r="C8946" s="266" t="str">
        <f>IFERROR(__xludf.DUMMYFUNCTION("""COMPUTED_VALUE"""),"KERTASARI CIAMIS")</f>
        <v>KERTASARI CIAMIS</v>
      </c>
      <c r="D8946" s="186">
        <f>IFERROR(__xludf.DUMMYFUNCTION("""COMPUTED_VALUE"""),2.0)</f>
        <v>2</v>
      </c>
    </row>
    <row r="8947">
      <c r="A8947" s="178" t="str">
        <f>IFERROR(__xludf.DUMMYFUNCTION("""COMPUTED_VALUE"""),"ITBISA-PCB-5X7-COPPER-SINGLE-SIDE")</f>
        <v>ITBISA-PCB-5X7-COPPER-SINGLE-SIDE</v>
      </c>
      <c r="B8947" s="266">
        <f>IFERROR(__xludf.DUMMYFUNCTION("""COMPUTED_VALUE"""),45953.0)</f>
        <v>45953</v>
      </c>
      <c r="C8947" s="266" t="str">
        <f>IFERROR(__xludf.DUMMYFUNCTION("""COMPUTED_VALUE"""),"KERTASARI CIAMIS")</f>
        <v>KERTASARI CIAMIS</v>
      </c>
      <c r="D8947" s="186">
        <f>IFERROR(__xludf.DUMMYFUNCTION("""COMPUTED_VALUE"""),1.0)</f>
        <v>1</v>
      </c>
    </row>
    <row r="8948">
      <c r="A8948" s="178" t="str">
        <f>IFERROR(__xludf.DUMMYFUNCTION("""COMPUTED_VALUE"""),"ITBISA-PCB-5X7-COPPER-SINGLE-SIDE")</f>
        <v>ITBISA-PCB-5X7-COPPER-SINGLE-SIDE</v>
      </c>
      <c r="B8948" s="266">
        <f>IFERROR(__xludf.DUMMYFUNCTION("""COMPUTED_VALUE"""),45953.0)</f>
        <v>45953</v>
      </c>
      <c r="C8948" s="266" t="str">
        <f>IFERROR(__xludf.DUMMYFUNCTION("""COMPUTED_VALUE"""),"KERTASARI CIAMIS")</f>
        <v>KERTASARI CIAMIS</v>
      </c>
      <c r="D8948" s="186">
        <f>IFERROR(__xludf.DUMMYFUNCTION("""COMPUTED_VALUE"""),2.0)</f>
        <v>2</v>
      </c>
    </row>
    <row r="8949">
      <c r="A8949" s="178" t="str">
        <f>IFERROR(__xludf.DUMMYFUNCTION("""COMPUTED_VALUE"""),"ITBISA-PCB-5X7-COPPER-SINGLE-SIDE")</f>
        <v>ITBISA-PCB-5X7-COPPER-SINGLE-SIDE</v>
      </c>
      <c r="B8949" s="266">
        <f>IFERROR(__xludf.DUMMYFUNCTION("""COMPUTED_VALUE"""),45956.0)</f>
        <v>45956</v>
      </c>
      <c r="C8949" s="266" t="str">
        <f>IFERROR(__xludf.DUMMYFUNCTION("""COMPUTED_VALUE"""),"KERTASARI CIAMIS")</f>
        <v>KERTASARI CIAMIS</v>
      </c>
      <c r="D8949" s="186">
        <f>IFERROR(__xludf.DUMMYFUNCTION("""COMPUTED_VALUE"""),1.0)</f>
        <v>1</v>
      </c>
    </row>
    <row r="8950">
      <c r="A8950" s="178" t="str">
        <f>IFERROR(__xludf.DUMMYFUNCTION("""COMPUTED_VALUE"""),"ITBISA-PCB-5X7-COPPER-SINGLE-SIDE")</f>
        <v>ITBISA-PCB-5X7-COPPER-SINGLE-SIDE</v>
      </c>
      <c r="B8950" s="266">
        <f>IFERROR(__xludf.DUMMYFUNCTION("""COMPUTED_VALUE"""),45964.0)</f>
        <v>45964</v>
      </c>
      <c r="C8950" s="266" t="str">
        <f>IFERROR(__xludf.DUMMYFUNCTION("""COMPUTED_VALUE"""),"KYAI KONTONG")</f>
        <v>KYAI KONTONG</v>
      </c>
      <c r="D8950" s="186">
        <f>IFERROR(__xludf.DUMMYFUNCTION("""COMPUTED_VALUE"""),0.0)</f>
        <v>0</v>
      </c>
    </row>
    <row r="8951">
      <c r="A8951" s="178" t="str">
        <f>IFERROR(__xludf.DUMMYFUNCTION("""COMPUTED_VALUE"""),"ITBISA-PCB-5X7-COPPER-SINGLE-SIDE")</f>
        <v>ITBISA-PCB-5X7-COPPER-SINGLE-SIDE</v>
      </c>
      <c r="B8951" s="266">
        <f>IFERROR(__xludf.DUMMYFUNCTION("""COMPUTED_VALUE"""),45968.0)</f>
        <v>45968</v>
      </c>
      <c r="C8951" s="266" t="str">
        <f>IFERROR(__xludf.DUMMYFUNCTION("""COMPUTED_VALUE"""),"KERTASARI CIAMIS")</f>
        <v>KERTASARI CIAMIS</v>
      </c>
      <c r="D8951" s="186">
        <f>IFERROR(__xludf.DUMMYFUNCTION("""COMPUTED_VALUE"""),2.0)</f>
        <v>2</v>
      </c>
    </row>
    <row r="8952">
      <c r="A8952" s="178" t="str">
        <f>IFERROR(__xludf.DUMMYFUNCTION("""COMPUTED_VALUE"""),"ITBISA-PCB-5X7-COPPER-SINGLE-SIDE")</f>
        <v>ITBISA-PCB-5X7-COPPER-SINGLE-SIDE</v>
      </c>
      <c r="B8952" s="266">
        <f>IFERROR(__xludf.DUMMYFUNCTION("""COMPUTED_VALUE"""),45973.0)</f>
        <v>45973</v>
      </c>
      <c r="C8952" s="266" t="str">
        <f>IFERROR(__xludf.DUMMYFUNCTION("""COMPUTED_VALUE"""),"KERTASARI CIAMIS")</f>
        <v>KERTASARI CIAMIS</v>
      </c>
      <c r="D8952" s="186">
        <f>IFERROR(__xludf.DUMMYFUNCTION("""COMPUTED_VALUE"""),1.0)</f>
        <v>1</v>
      </c>
    </row>
    <row r="8953">
      <c r="A8953" s="178" t="str">
        <f>IFERROR(__xludf.DUMMYFUNCTION("""COMPUTED_VALUE"""),"ITBISA-PCB-5X7-COPPER-SINGLE-SIDE")</f>
        <v>ITBISA-PCB-5X7-COPPER-SINGLE-SIDE</v>
      </c>
      <c r="B8953" s="266">
        <f>IFERROR(__xludf.DUMMYFUNCTION("""COMPUTED_VALUE"""),45977.0)</f>
        <v>45977</v>
      </c>
      <c r="C8953" s="266" t="str">
        <f>IFERROR(__xludf.DUMMYFUNCTION("""COMPUTED_VALUE"""),"KERTASARI CIAMIS")</f>
        <v>KERTASARI CIAMIS</v>
      </c>
      <c r="D8953" s="186">
        <f>IFERROR(__xludf.DUMMYFUNCTION("""COMPUTED_VALUE"""),10.0)</f>
        <v>10</v>
      </c>
    </row>
    <row r="8954">
      <c r="A8954" s="178" t="str">
        <f>IFERROR(__xludf.DUMMYFUNCTION("""COMPUTED_VALUE"""),"ITBISA-PCB-5X7-COPPER-SINGLE-SIDE")</f>
        <v>ITBISA-PCB-5X7-COPPER-SINGLE-SIDE</v>
      </c>
      <c r="B8954" s="266">
        <f>IFERROR(__xludf.DUMMYFUNCTION("""COMPUTED_VALUE"""),45978.0)</f>
        <v>45978</v>
      </c>
      <c r="C8954" s="266" t="str">
        <f>IFERROR(__xludf.DUMMYFUNCTION("""COMPUTED_VALUE"""),"KYAI KONTONG")</f>
        <v>KYAI KONTONG</v>
      </c>
      <c r="D8954" s="186">
        <f>IFERROR(__xludf.DUMMYFUNCTION("""COMPUTED_VALUE"""),2.0)</f>
        <v>2</v>
      </c>
    </row>
    <row r="8955">
      <c r="A8955" s="178" t="str">
        <f>IFERROR(__xludf.DUMMYFUNCTION("""COMPUTED_VALUE"""),"ITBISA-PCB-5X7-COPPER-SINGLE-SIDE")</f>
        <v>ITBISA-PCB-5X7-COPPER-SINGLE-SIDE</v>
      </c>
      <c r="B8955" s="266">
        <f>IFERROR(__xludf.DUMMYFUNCTION("""COMPUTED_VALUE"""),45980.0)</f>
        <v>45980</v>
      </c>
      <c r="C8955" s="266" t="str">
        <f>IFERROR(__xludf.DUMMYFUNCTION("""COMPUTED_VALUE"""),"KYAI KONTONG")</f>
        <v>KYAI KONTONG</v>
      </c>
      <c r="D8955" s="186">
        <f>IFERROR(__xludf.DUMMYFUNCTION("""COMPUTED_VALUE"""),2.0)</f>
        <v>2</v>
      </c>
    </row>
    <row r="8956">
      <c r="A8956" s="178" t="str">
        <f>IFERROR(__xludf.DUMMYFUNCTION("""COMPUTED_VALUE"""),"ITBISA-PCB-5X7-COPPER-SINGLE-SIDE")</f>
        <v>ITBISA-PCB-5X7-COPPER-SINGLE-SIDE</v>
      </c>
      <c r="B8956" s="266">
        <f>IFERROR(__xludf.DUMMYFUNCTION("""COMPUTED_VALUE"""),45981.0)</f>
        <v>45981</v>
      </c>
      <c r="C8956" s="266" t="str">
        <f>IFERROR(__xludf.DUMMYFUNCTION("""COMPUTED_VALUE"""),"KERTASARI CIAMIS")</f>
        <v>KERTASARI CIAMIS</v>
      </c>
      <c r="D8956" s="186">
        <f>IFERROR(__xludf.DUMMYFUNCTION("""COMPUTED_VALUE"""),1.0)</f>
        <v>1</v>
      </c>
    </row>
    <row r="8957">
      <c r="A8957" s="178" t="str">
        <f>IFERROR(__xludf.DUMMYFUNCTION("""COMPUTED_VALUE"""),"ITBISA-PCB-5X7-COPPER-SINGLE-SIDE")</f>
        <v>ITBISA-PCB-5X7-COPPER-SINGLE-SIDE</v>
      </c>
      <c r="B8957" s="266">
        <f>IFERROR(__xludf.DUMMYFUNCTION("""COMPUTED_VALUE"""),45982.0)</f>
        <v>45982</v>
      </c>
      <c r="C8957" s="266" t="str">
        <f>IFERROR(__xludf.DUMMYFUNCTION("""COMPUTED_VALUE"""),"KERTASARI CIAMIS")</f>
        <v>KERTASARI CIAMIS</v>
      </c>
      <c r="D8957" s="186">
        <f>IFERROR(__xludf.DUMMYFUNCTION("""COMPUTED_VALUE"""),1.0)</f>
        <v>1</v>
      </c>
    </row>
    <row r="8958">
      <c r="A8958" s="178" t="str">
        <f>IFERROR(__xludf.DUMMYFUNCTION("""COMPUTED_VALUE"""),"ITBISA-PCB-5X7-COPPER-SINGLE-SIDE")</f>
        <v>ITBISA-PCB-5X7-COPPER-SINGLE-SIDE</v>
      </c>
      <c r="B8958" s="266">
        <f>IFERROR(__xludf.DUMMYFUNCTION("""COMPUTED_VALUE"""),45989.0)</f>
        <v>45989</v>
      </c>
      <c r="C8958" s="266" t="str">
        <f>IFERROR(__xludf.DUMMYFUNCTION("""COMPUTED_VALUE"""),"KERTASARI CIAMIS")</f>
        <v>KERTASARI CIAMIS</v>
      </c>
      <c r="D8958" s="186">
        <f>IFERROR(__xludf.DUMMYFUNCTION("""COMPUTED_VALUE"""),5.0)</f>
        <v>5</v>
      </c>
    </row>
    <row r="8959">
      <c r="A8959" s="178" t="str">
        <f>IFERROR(__xludf.DUMMYFUNCTION("""COMPUTED_VALUE"""),"ITBISA-PCB-5X7-COPPER-SINGLE-SIDE")</f>
        <v>ITBISA-PCB-5X7-COPPER-SINGLE-SIDE</v>
      </c>
      <c r="B8959" s="266">
        <f>IFERROR(__xludf.DUMMYFUNCTION("""COMPUTED_VALUE"""),45992.0)</f>
        <v>45992</v>
      </c>
      <c r="C8959" s="266" t="str">
        <f>IFERROR(__xludf.DUMMYFUNCTION("""COMPUTED_VALUE"""),"KYAI KONTONG")</f>
        <v>KYAI KONTONG</v>
      </c>
      <c r="D8959" s="186">
        <f>IFERROR(__xludf.DUMMYFUNCTION("""COMPUTED_VALUE"""),1.0)</f>
        <v>1</v>
      </c>
    </row>
    <row r="8960">
      <c r="A8960" s="178" t="str">
        <f>IFERROR(__xludf.DUMMYFUNCTION("""COMPUTED_VALUE"""),"ITBISA-PCB-5X7-COPPER-SINGLE-SIDE")</f>
        <v>ITBISA-PCB-5X7-COPPER-SINGLE-SIDE</v>
      </c>
      <c r="B8960" s="266">
        <f>IFERROR(__xludf.DUMMYFUNCTION("""COMPUTED_VALUE"""),45994.0)</f>
        <v>45994</v>
      </c>
      <c r="C8960" s="266" t="str">
        <f>IFERROR(__xludf.DUMMYFUNCTION("""COMPUTED_VALUE"""),"KERTASARI CIAMIS")</f>
        <v>KERTASARI CIAMIS</v>
      </c>
      <c r="D8960" s="186">
        <f>IFERROR(__xludf.DUMMYFUNCTION("""COMPUTED_VALUE"""),3.0)</f>
        <v>3</v>
      </c>
    </row>
    <row r="8961">
      <c r="A8961" s="178" t="str">
        <f>IFERROR(__xludf.DUMMYFUNCTION("""COMPUTED_VALUE"""),"ITBISA-PCB-5X7-COPPER-SINGLE-SIDE")</f>
        <v>ITBISA-PCB-5X7-COPPER-SINGLE-SIDE</v>
      </c>
      <c r="B8961" s="266">
        <f>IFERROR(__xludf.DUMMYFUNCTION("""COMPUTED_VALUE"""),45994.0)</f>
        <v>45994</v>
      </c>
      <c r="C8961" s="266" t="str">
        <f>IFERROR(__xludf.DUMMYFUNCTION("""COMPUTED_VALUE"""),"KYAI KONTONG")</f>
        <v>KYAI KONTONG</v>
      </c>
      <c r="D8961" s="186">
        <f>IFERROR(__xludf.DUMMYFUNCTION("""COMPUTED_VALUE"""),5.0)</f>
        <v>5</v>
      </c>
    </row>
    <row r="8962">
      <c r="A8962" s="178" t="str">
        <f>IFERROR(__xludf.DUMMYFUNCTION("""COMPUTED_VALUE"""),"ITBISA-PCB-5X7-COPPER-SINGLE-SIDE")</f>
        <v>ITBISA-PCB-5X7-COPPER-SINGLE-SIDE</v>
      </c>
      <c r="B8962" s="266">
        <f>IFERROR(__xludf.DUMMYFUNCTION("""COMPUTED_VALUE"""),45997.0)</f>
        <v>45997</v>
      </c>
      <c r="C8962" s="266" t="str">
        <f>IFERROR(__xludf.DUMMYFUNCTION("""COMPUTED_VALUE"""),"KYAI KONTONG")</f>
        <v>KYAI KONTONG</v>
      </c>
      <c r="D8962" s="186">
        <f>IFERROR(__xludf.DUMMYFUNCTION("""COMPUTED_VALUE"""),1.0)</f>
        <v>1</v>
      </c>
    </row>
    <row r="8963">
      <c r="A8963" s="178" t="str">
        <f>IFERROR(__xludf.DUMMYFUNCTION("""COMPUTED_VALUE"""),"ITBISA-PCB-5X7-COPPER-SINGLE-SIDE")</f>
        <v>ITBISA-PCB-5X7-COPPER-SINGLE-SIDE</v>
      </c>
      <c r="B8963" s="266">
        <f>IFERROR(__xludf.DUMMYFUNCTION("""COMPUTED_VALUE"""),45997.0)</f>
        <v>45997</v>
      </c>
      <c r="C8963" s="266" t="str">
        <f>IFERROR(__xludf.DUMMYFUNCTION("""COMPUTED_VALUE"""),"KYAI KONTONG")</f>
        <v>KYAI KONTONG</v>
      </c>
      <c r="D8963" s="186">
        <f>IFERROR(__xludf.DUMMYFUNCTION("""COMPUTED_VALUE"""),2.0)</f>
        <v>2</v>
      </c>
    </row>
    <row r="8964">
      <c r="A8964" s="178" t="str">
        <f>IFERROR(__xludf.DUMMYFUNCTION("""COMPUTED_VALUE"""),"ITBISA-PCB-5X7-COPPER-SINGLE-SIDE")</f>
        <v>ITBISA-PCB-5X7-COPPER-SINGLE-SIDE</v>
      </c>
      <c r="B8964" s="266">
        <f>IFERROR(__xludf.DUMMYFUNCTION("""COMPUTED_VALUE"""),46000.0)</f>
        <v>46000</v>
      </c>
      <c r="C8964" s="266" t="str">
        <f>IFERROR(__xludf.DUMMYFUNCTION("""COMPUTED_VALUE"""),"KYAI KONTONG")</f>
        <v>KYAI KONTONG</v>
      </c>
      <c r="D8964" s="186">
        <f>IFERROR(__xludf.DUMMYFUNCTION("""COMPUTED_VALUE"""),1.0)</f>
        <v>1</v>
      </c>
    </row>
    <row r="8965">
      <c r="A8965" s="178" t="str">
        <f>IFERROR(__xludf.DUMMYFUNCTION("""COMPUTED_VALUE"""),"ITBISA-PCB-5X7-COPPER-SINGLE-SIDE")</f>
        <v>ITBISA-PCB-5X7-COPPER-SINGLE-SIDE</v>
      </c>
      <c r="B8965" s="266">
        <f>IFERROR(__xludf.DUMMYFUNCTION("""COMPUTED_VALUE"""),46002.0)</f>
        <v>46002</v>
      </c>
      <c r="C8965" s="266" t="str">
        <f>IFERROR(__xludf.DUMMYFUNCTION("""COMPUTED_VALUE"""),"KYAI KONTONG")</f>
        <v>KYAI KONTONG</v>
      </c>
      <c r="D8965" s="186">
        <f>IFERROR(__xludf.DUMMYFUNCTION("""COMPUTED_VALUE"""),5.0)</f>
        <v>5</v>
      </c>
    </row>
    <row r="8966">
      <c r="A8966" s="178" t="str">
        <f>IFERROR(__xludf.DUMMYFUNCTION("""COMPUTED_VALUE"""),"ITBISA-PCB-5X7-COPPER-SINGLE-SIDE")</f>
        <v>ITBISA-PCB-5X7-COPPER-SINGLE-SIDE</v>
      </c>
      <c r="B8966" s="266">
        <f>IFERROR(__xludf.DUMMYFUNCTION("""COMPUTED_VALUE"""),46003.0)</f>
        <v>46003</v>
      </c>
      <c r="C8966" s="266" t="str">
        <f>IFERROR(__xludf.DUMMYFUNCTION("""COMPUTED_VALUE"""),"KYAI KONTONG")</f>
        <v>KYAI KONTONG</v>
      </c>
      <c r="D8966" s="186">
        <f>IFERROR(__xludf.DUMMYFUNCTION("""COMPUTED_VALUE"""),30.0)</f>
        <v>30</v>
      </c>
    </row>
    <row r="8967">
      <c r="A8967" s="178" t="str">
        <f>IFERROR(__xludf.DUMMYFUNCTION("""COMPUTED_VALUE"""),"ITBISA-PCB-5X7-COPPER-SINGLE-SIDE")</f>
        <v>ITBISA-PCB-5X7-COPPER-SINGLE-SIDE</v>
      </c>
      <c r="B8967" s="266">
        <f>IFERROR(__xludf.DUMMYFUNCTION("""COMPUTED_VALUE"""),46005.0)</f>
        <v>46005</v>
      </c>
      <c r="C8967" s="266" t="str">
        <f>IFERROR(__xludf.DUMMYFUNCTION("""COMPUTED_VALUE"""),"KYAI KONTONG")</f>
        <v>KYAI KONTONG</v>
      </c>
      <c r="D8967" s="186">
        <f>IFERROR(__xludf.DUMMYFUNCTION("""COMPUTED_VALUE"""),50.0)</f>
        <v>50</v>
      </c>
    </row>
    <row r="8968">
      <c r="A8968" s="178" t="str">
        <f>IFERROR(__xludf.DUMMYFUNCTION("""COMPUTED_VALUE"""),"ITBISA-PCB-5X7-COPPER-SINGLE-SIDE")</f>
        <v>ITBISA-PCB-5X7-COPPER-SINGLE-SIDE</v>
      </c>
      <c r="B8968" s="266">
        <f>IFERROR(__xludf.DUMMYFUNCTION("""COMPUTED_VALUE"""),46006.0)</f>
        <v>46006</v>
      </c>
      <c r="C8968" s="266" t="str">
        <f>IFERROR(__xludf.DUMMYFUNCTION("""COMPUTED_VALUE"""),"KYAI KONTONG")</f>
        <v>KYAI KONTONG</v>
      </c>
      <c r="D8968" s="186">
        <f>IFERROR(__xludf.DUMMYFUNCTION("""COMPUTED_VALUE"""),2.0)</f>
        <v>2</v>
      </c>
    </row>
    <row r="8969">
      <c r="A8969" s="178" t="str">
        <f>IFERROR(__xludf.DUMMYFUNCTION("""COMPUTED_VALUE"""),"ITBISA-PCB-5X7-COPPER-SINGLE-SIDE")</f>
        <v>ITBISA-PCB-5X7-COPPER-SINGLE-SIDE</v>
      </c>
      <c r="B8969" s="266">
        <f>IFERROR(__xludf.DUMMYFUNCTION("""COMPUTED_VALUE"""),46007.0)</f>
        <v>46007</v>
      </c>
      <c r="C8969" s="266" t="str">
        <f>IFERROR(__xludf.DUMMYFUNCTION("""COMPUTED_VALUE"""),"KYAI KONTONG")</f>
        <v>KYAI KONTONG</v>
      </c>
      <c r="D8969" s="186">
        <f>IFERROR(__xludf.DUMMYFUNCTION("""COMPUTED_VALUE"""),2.0)</f>
        <v>2</v>
      </c>
    </row>
    <row r="8970">
      <c r="A8970" s="178" t="str">
        <f>IFERROR(__xludf.DUMMYFUNCTION("""COMPUTED_VALUE"""),"ITBISA-PCB-5X7-COPPER-SINGLE-SIDE")</f>
        <v>ITBISA-PCB-5X7-COPPER-SINGLE-SIDE</v>
      </c>
      <c r="B8970" s="266">
        <f>IFERROR(__xludf.DUMMYFUNCTION("""COMPUTED_VALUE"""),46008.0)</f>
        <v>46008</v>
      </c>
      <c r="C8970" s="266" t="str">
        <f>IFERROR(__xludf.DUMMYFUNCTION("""COMPUTED_VALUE"""),"KERTASARI CIAMIS")</f>
        <v>KERTASARI CIAMIS</v>
      </c>
      <c r="D8970" s="186">
        <f>IFERROR(__xludf.DUMMYFUNCTION("""COMPUTED_VALUE"""),2.0)</f>
        <v>2</v>
      </c>
    </row>
    <row r="8971">
      <c r="A8971" s="178" t="str">
        <f>IFERROR(__xludf.DUMMYFUNCTION("""COMPUTED_VALUE"""),"ITBISA-PCB-5X7-COPPER-SINGLE-SIDE")</f>
        <v>ITBISA-PCB-5X7-COPPER-SINGLE-SIDE</v>
      </c>
      <c r="B8971" s="266">
        <f>IFERROR(__xludf.DUMMYFUNCTION("""COMPUTED_VALUE"""),46016.0)</f>
        <v>46016</v>
      </c>
      <c r="C8971" s="266" t="str">
        <f>IFERROR(__xludf.DUMMYFUNCTION("""COMPUTED_VALUE"""),"KYAI KONTONG")</f>
        <v>KYAI KONTONG</v>
      </c>
      <c r="D8971" s="186">
        <f>IFERROR(__xludf.DUMMYFUNCTION("""COMPUTED_VALUE"""),1.0)</f>
        <v>1</v>
      </c>
    </row>
    <row r="8972">
      <c r="A8972" s="178" t="str">
        <f>IFERROR(__xludf.DUMMYFUNCTION("""COMPUTED_VALUE"""),"ITBISA-PCB-5X7-COPPER-SINGLE-SIDE")</f>
        <v>ITBISA-PCB-5X7-COPPER-SINGLE-SIDE</v>
      </c>
      <c r="B8972" s="266">
        <f>IFERROR(__xludf.DUMMYFUNCTION("""COMPUTED_VALUE"""),46018.0)</f>
        <v>46018</v>
      </c>
      <c r="C8972" s="266" t="str">
        <f>IFERROR(__xludf.DUMMYFUNCTION("""COMPUTED_VALUE"""),"KYAI KONTONG")</f>
        <v>KYAI KONTONG</v>
      </c>
      <c r="D8972" s="186">
        <f>IFERROR(__xludf.DUMMYFUNCTION("""COMPUTED_VALUE"""),1.0)</f>
        <v>1</v>
      </c>
    </row>
    <row r="8973">
      <c r="A8973" s="178" t="str">
        <f>IFERROR(__xludf.DUMMYFUNCTION("""COMPUTED_VALUE"""),"ITBISA-PCB-5X7-COPPER-SINGLE-SIDE")</f>
        <v>ITBISA-PCB-5X7-COPPER-SINGLE-SIDE</v>
      </c>
      <c r="B8973" s="266">
        <f>IFERROR(__xludf.DUMMYFUNCTION("""COMPUTED_VALUE"""),46020.0)</f>
        <v>46020</v>
      </c>
      <c r="C8973" s="266" t="str">
        <f>IFERROR(__xludf.DUMMYFUNCTION("""COMPUTED_VALUE"""),"KYAI KONTONG")</f>
        <v>KYAI KONTONG</v>
      </c>
      <c r="D8973" s="186">
        <f>IFERROR(__xludf.DUMMYFUNCTION("""COMPUTED_VALUE"""),4.0)</f>
        <v>4</v>
      </c>
    </row>
    <row r="8974">
      <c r="A8974" s="178" t="str">
        <f>IFERROR(__xludf.DUMMYFUNCTION("""COMPUTED_VALUE"""),"ITBISA-PIN-HEADER-MALE-1X40PIN-L-SAMA")</f>
        <v>ITBISA-PIN-HEADER-MALE-1X40PIN-L-SAMA</v>
      </c>
      <c r="B8974" s="266">
        <f>IFERROR(__xludf.DUMMYFUNCTION("""COMPUTED_VALUE"""),45515.0)</f>
        <v>45515</v>
      </c>
      <c r="C8974" s="266" t="str">
        <f>IFERROR(__xludf.DUMMYFUNCTION("""COMPUTED_VALUE"""),"KERTASARI CIAMIS")</f>
        <v>KERTASARI CIAMIS</v>
      </c>
      <c r="D8974" s="186">
        <f>IFERROR(__xludf.DUMMYFUNCTION("""COMPUTED_VALUE"""),100.0)</f>
        <v>100</v>
      </c>
    </row>
    <row r="8975">
      <c r="A8975" s="178" t="str">
        <f>IFERROR(__xludf.DUMMYFUNCTION("""COMPUTED_VALUE"""),"ITBISA-PIN-HEADER-MALE-1X40PIN-L-SAMA")</f>
        <v>ITBISA-PIN-HEADER-MALE-1X40PIN-L-SAMA</v>
      </c>
      <c r="B8975" s="266">
        <f>IFERROR(__xludf.DUMMYFUNCTION("""COMPUTED_VALUE"""),45559.0)</f>
        <v>45559</v>
      </c>
      <c r="C8975" s="266" t="str">
        <f>IFERROR(__xludf.DUMMYFUNCTION("""COMPUTED_VALUE"""),"KERTASARI CIAMIS")</f>
        <v>KERTASARI CIAMIS</v>
      </c>
      <c r="D8975" s="186">
        <f>IFERROR(__xludf.DUMMYFUNCTION("""COMPUTED_VALUE"""),10.0)</f>
        <v>10</v>
      </c>
    </row>
    <row r="8976">
      <c r="A8976" s="178" t="str">
        <f>IFERROR(__xludf.DUMMYFUNCTION("""COMPUTED_VALUE"""),"ITBISA-PIN-HEADER-MALE-1X40PIN-L-SAMA")</f>
        <v>ITBISA-PIN-HEADER-MALE-1X40PIN-L-SAMA</v>
      </c>
      <c r="B8976" s="266">
        <f>IFERROR(__xludf.DUMMYFUNCTION("""COMPUTED_VALUE"""),45604.0)</f>
        <v>45604</v>
      </c>
      <c r="C8976" s="266" t="str">
        <f>IFERROR(__xludf.DUMMYFUNCTION("""COMPUTED_VALUE"""),"KERTASARI CIAMIS")</f>
        <v>KERTASARI CIAMIS</v>
      </c>
      <c r="D8976" s="186">
        <f>IFERROR(__xludf.DUMMYFUNCTION("""COMPUTED_VALUE"""),20.0)</f>
        <v>20</v>
      </c>
    </row>
    <row r="8977">
      <c r="A8977" s="178" t="str">
        <f>IFERROR(__xludf.DUMMYFUNCTION("""COMPUTED_VALUE"""),"ITBISA-PIN-HEADER-MALE-1X40PIN-L-SAMA")</f>
        <v>ITBISA-PIN-HEADER-MALE-1X40PIN-L-SAMA</v>
      </c>
      <c r="B8977" s="266">
        <f>IFERROR(__xludf.DUMMYFUNCTION("""COMPUTED_VALUE"""),45683.0)</f>
        <v>45683</v>
      </c>
      <c r="C8977" s="266" t="str">
        <f>IFERROR(__xludf.DUMMYFUNCTION("""COMPUTED_VALUE"""),"KERTASARI CIAMIS")</f>
        <v>KERTASARI CIAMIS</v>
      </c>
      <c r="D8977" s="186">
        <f>IFERROR(__xludf.DUMMYFUNCTION("""COMPUTED_VALUE"""),50.0)</f>
        <v>50</v>
      </c>
    </row>
    <row r="8978">
      <c r="A8978" s="178" t="str">
        <f>IFERROR(__xludf.DUMMYFUNCTION("""COMPUTED_VALUE"""),"ITBISA-PIN-HEADER-MALE-1X40PIN-L-SAMA")</f>
        <v>ITBISA-PIN-HEADER-MALE-1X40PIN-L-SAMA</v>
      </c>
      <c r="B8978" s="266">
        <f>IFERROR(__xludf.DUMMYFUNCTION("""COMPUTED_VALUE"""),45707.0)</f>
        <v>45707</v>
      </c>
      <c r="C8978" s="266" t="str">
        <f>IFERROR(__xludf.DUMMYFUNCTION("""COMPUTED_VALUE"""),"KERTASARI CIAMIS")</f>
        <v>KERTASARI CIAMIS</v>
      </c>
      <c r="D8978" s="186">
        <f>IFERROR(__xludf.DUMMYFUNCTION("""COMPUTED_VALUE"""),10.0)</f>
        <v>10</v>
      </c>
    </row>
    <row r="8979">
      <c r="A8979" s="178" t="str">
        <f>IFERROR(__xludf.DUMMYFUNCTION("""COMPUTED_VALUE"""),"ITBISA-PIN-HEADER-MALE-1X40PIN-L-SAMA")</f>
        <v>ITBISA-PIN-HEADER-MALE-1X40PIN-L-SAMA</v>
      </c>
      <c r="B8979" s="266">
        <f>IFERROR(__xludf.DUMMYFUNCTION("""COMPUTED_VALUE"""),45723.0)</f>
        <v>45723</v>
      </c>
      <c r="C8979" s="266" t="str">
        <f>IFERROR(__xludf.DUMMYFUNCTION("""COMPUTED_VALUE"""),"KERTASARI CIAMIS")</f>
        <v>KERTASARI CIAMIS</v>
      </c>
      <c r="D8979" s="186">
        <f>IFERROR(__xludf.DUMMYFUNCTION("""COMPUTED_VALUE"""),5.0)</f>
        <v>5</v>
      </c>
    </row>
    <row r="8980">
      <c r="A8980" s="178" t="str">
        <f>IFERROR(__xludf.DUMMYFUNCTION("""COMPUTED_VALUE"""),"ITBISA-PIN-HEADER-MALE-1X40PIN-L-SAMA")</f>
        <v>ITBISA-PIN-HEADER-MALE-1X40PIN-L-SAMA</v>
      </c>
      <c r="B8980" s="266">
        <f>IFERROR(__xludf.DUMMYFUNCTION("""COMPUTED_VALUE"""),45738.0)</f>
        <v>45738</v>
      </c>
      <c r="C8980" s="266" t="str">
        <f>IFERROR(__xludf.DUMMYFUNCTION("""COMPUTED_VALUE"""),"KERTASARI CIAMIS")</f>
        <v>KERTASARI CIAMIS</v>
      </c>
      <c r="D8980" s="186">
        <f>IFERROR(__xludf.DUMMYFUNCTION("""COMPUTED_VALUE"""),1.0)</f>
        <v>1</v>
      </c>
    </row>
    <row r="8981">
      <c r="A8981" s="178" t="str">
        <f>IFERROR(__xludf.DUMMYFUNCTION("""COMPUTED_VALUE"""),"ITBISA-PIN-HEADER-MALE-1X40PIN-L-SAMA")</f>
        <v>ITBISA-PIN-HEADER-MALE-1X40PIN-L-SAMA</v>
      </c>
      <c r="B8981" s="266">
        <f>IFERROR(__xludf.DUMMYFUNCTION("""COMPUTED_VALUE"""),45775.0)</f>
        <v>45775</v>
      </c>
      <c r="C8981" s="266" t="str">
        <f>IFERROR(__xludf.DUMMYFUNCTION("""COMPUTED_VALUE"""),"KERTASARI CIAMIS")</f>
        <v>KERTASARI CIAMIS</v>
      </c>
      <c r="D8981" s="186">
        <f>IFERROR(__xludf.DUMMYFUNCTION("""COMPUTED_VALUE"""),10.0)</f>
        <v>10</v>
      </c>
    </row>
    <row r="8982">
      <c r="A8982" s="178" t="str">
        <f>IFERROR(__xludf.DUMMYFUNCTION("""COMPUTED_VALUE"""),"ITBISA-PIN-HEADER-MALE-1X40PIN-L-SAMA")</f>
        <v>ITBISA-PIN-HEADER-MALE-1X40PIN-L-SAMA</v>
      </c>
      <c r="B8982" s="266">
        <f>IFERROR(__xludf.DUMMYFUNCTION("""COMPUTED_VALUE"""),45785.0)</f>
        <v>45785</v>
      </c>
      <c r="C8982" s="266" t="str">
        <f>IFERROR(__xludf.DUMMYFUNCTION("""COMPUTED_VALUE"""),"KERTASARI CIAMIS")</f>
        <v>KERTASARI CIAMIS</v>
      </c>
      <c r="D8982" s="186">
        <f>IFERROR(__xludf.DUMMYFUNCTION("""COMPUTED_VALUE"""),40.0)</f>
        <v>40</v>
      </c>
    </row>
    <row r="8983">
      <c r="A8983" s="178" t="str">
        <f>IFERROR(__xludf.DUMMYFUNCTION("""COMPUTED_VALUE"""),"ITBISA-PIN-HEADER-MALE-1X40PIN-L-SAMA")</f>
        <v>ITBISA-PIN-HEADER-MALE-1X40PIN-L-SAMA</v>
      </c>
      <c r="B8983" s="266">
        <f>IFERROR(__xludf.DUMMYFUNCTION("""COMPUTED_VALUE"""),45808.0)</f>
        <v>45808</v>
      </c>
      <c r="C8983" s="266" t="str">
        <f>IFERROR(__xludf.DUMMYFUNCTION("""COMPUTED_VALUE"""),"KERTASARI CIAMIS")</f>
        <v>KERTASARI CIAMIS</v>
      </c>
      <c r="D8983" s="186">
        <f>IFERROR(__xludf.DUMMYFUNCTION("""COMPUTED_VALUE"""),10.0)</f>
        <v>10</v>
      </c>
    </row>
    <row r="8984">
      <c r="A8984" s="178" t="str">
        <f>IFERROR(__xludf.DUMMYFUNCTION("""COMPUTED_VALUE"""),"ITBISA-PIN-HEADER-MALE-1X40PIN-L-SAMA")</f>
        <v>ITBISA-PIN-HEADER-MALE-1X40PIN-L-SAMA</v>
      </c>
      <c r="B8984" s="266">
        <f>IFERROR(__xludf.DUMMYFUNCTION("""COMPUTED_VALUE"""),45857.0)</f>
        <v>45857</v>
      </c>
      <c r="C8984" s="266" t="str">
        <f>IFERROR(__xludf.DUMMYFUNCTION("""COMPUTED_VALUE"""),"KERTASARI CIAMIS")</f>
        <v>KERTASARI CIAMIS</v>
      </c>
      <c r="D8984" s="186">
        <f>IFERROR(__xludf.DUMMYFUNCTION("""COMPUTED_VALUE"""),5.0)</f>
        <v>5</v>
      </c>
    </row>
    <row r="8985">
      <c r="A8985" s="178" t="str">
        <f>IFERROR(__xludf.DUMMYFUNCTION("""COMPUTED_VALUE"""),"ITBISA-PIN-HEADER-MALE-1X40PIN-L-SAMA")</f>
        <v>ITBISA-PIN-HEADER-MALE-1X40PIN-L-SAMA</v>
      </c>
      <c r="B8985" s="266">
        <f>IFERROR(__xludf.DUMMYFUNCTION("""COMPUTED_VALUE"""),45880.0)</f>
        <v>45880</v>
      </c>
      <c r="C8985" s="266" t="str">
        <f>IFERROR(__xludf.DUMMYFUNCTION("""COMPUTED_VALUE"""),"KERTASARI CIAMIS")</f>
        <v>KERTASARI CIAMIS</v>
      </c>
      <c r="D8985" s="186">
        <f>IFERROR(__xludf.DUMMYFUNCTION("""COMPUTED_VALUE"""),10.0)</f>
        <v>10</v>
      </c>
    </row>
    <row r="8986">
      <c r="A8986" s="178" t="str">
        <f>IFERROR(__xludf.DUMMYFUNCTION("""COMPUTED_VALUE"""),"ITBISA-PIN-HEADER-MALE-1X40PIN-L-SAMA")</f>
        <v>ITBISA-PIN-HEADER-MALE-1X40PIN-L-SAMA</v>
      </c>
      <c r="B8986" s="266">
        <f>IFERROR(__xludf.DUMMYFUNCTION("""COMPUTED_VALUE"""),45913.0)</f>
        <v>45913</v>
      </c>
      <c r="C8986" s="266" t="str">
        <f>IFERROR(__xludf.DUMMYFUNCTION("""COMPUTED_VALUE"""),"KERTASARI CIAMIS")</f>
        <v>KERTASARI CIAMIS</v>
      </c>
      <c r="D8986" s="186">
        <f>IFERROR(__xludf.DUMMYFUNCTION("""COMPUTED_VALUE"""),10.0)</f>
        <v>10</v>
      </c>
    </row>
    <row r="8987">
      <c r="A8987" s="178" t="str">
        <f>IFERROR(__xludf.DUMMYFUNCTION("""COMPUTED_VALUE"""),"ITBISA-PIN-HEADER-MALE-1X40PIN-L-SAMA")</f>
        <v>ITBISA-PIN-HEADER-MALE-1X40PIN-L-SAMA</v>
      </c>
      <c r="B8987" s="266">
        <f>IFERROR(__xludf.DUMMYFUNCTION("""COMPUTED_VALUE"""),45953.0)</f>
        <v>45953</v>
      </c>
      <c r="C8987" s="266" t="str">
        <f>IFERROR(__xludf.DUMMYFUNCTION("""COMPUTED_VALUE"""),"KERTASARI CIAMIS")</f>
        <v>KERTASARI CIAMIS</v>
      </c>
      <c r="D8987" s="186">
        <f>IFERROR(__xludf.DUMMYFUNCTION("""COMPUTED_VALUE"""),2.0)</f>
        <v>2</v>
      </c>
    </row>
    <row r="8988">
      <c r="A8988" s="178" t="str">
        <f>IFERROR(__xludf.DUMMYFUNCTION("""COMPUTED_VALUE"""),"ITBISA-PIN-HEADER-MALE-1X40PIN-LURUS")</f>
        <v>ITBISA-PIN-HEADER-MALE-1X40PIN-LURUS</v>
      </c>
      <c r="B8988" s="266">
        <f>IFERROR(__xludf.DUMMYFUNCTION("""COMPUTED_VALUE"""),45559.0)</f>
        <v>45559</v>
      </c>
      <c r="C8988" s="266" t="str">
        <f>IFERROR(__xludf.DUMMYFUNCTION("""COMPUTED_VALUE"""),"KERTASARI CIAMIS")</f>
        <v>KERTASARI CIAMIS</v>
      </c>
      <c r="D8988" s="186">
        <f>IFERROR(__xludf.DUMMYFUNCTION("""COMPUTED_VALUE"""),10.0)</f>
        <v>10</v>
      </c>
    </row>
    <row r="8989">
      <c r="A8989" s="178" t="str">
        <f>IFERROR(__xludf.DUMMYFUNCTION("""COMPUTED_VALUE"""),"ITBISA-PIN-HEADER-MALE-1X40PIN-LURUS")</f>
        <v>ITBISA-PIN-HEADER-MALE-1X40PIN-LURUS</v>
      </c>
      <c r="B8989" s="266">
        <f>IFERROR(__xludf.DUMMYFUNCTION("""COMPUTED_VALUE"""),45605.0)</f>
        <v>45605</v>
      </c>
      <c r="C8989" s="266" t="str">
        <f>IFERROR(__xludf.DUMMYFUNCTION("""COMPUTED_VALUE"""),"KERTASARI CIAMIS")</f>
        <v>KERTASARI CIAMIS</v>
      </c>
      <c r="D8989" s="186">
        <f>IFERROR(__xludf.DUMMYFUNCTION("""COMPUTED_VALUE"""),3.0)</f>
        <v>3</v>
      </c>
    </row>
    <row r="8990">
      <c r="A8990" s="178" t="str">
        <f>IFERROR(__xludf.DUMMYFUNCTION("""COMPUTED_VALUE"""),"ITBISA-PIN-HEADER-MALE-1X40PIN-LURUS")</f>
        <v>ITBISA-PIN-HEADER-MALE-1X40PIN-LURUS</v>
      </c>
      <c r="B8990" s="266">
        <f>IFERROR(__xludf.DUMMYFUNCTION("""COMPUTED_VALUE"""),45611.0)</f>
        <v>45611</v>
      </c>
      <c r="C8990" s="266" t="str">
        <f>IFERROR(__xludf.DUMMYFUNCTION("""COMPUTED_VALUE"""),"KYAI KONTONG")</f>
        <v>KYAI KONTONG</v>
      </c>
      <c r="D8990" s="186">
        <f>IFERROR(__xludf.DUMMYFUNCTION("""COMPUTED_VALUE"""),10.0)</f>
        <v>10</v>
      </c>
    </row>
    <row r="8991">
      <c r="A8991" s="178" t="str">
        <f>IFERROR(__xludf.DUMMYFUNCTION("""COMPUTED_VALUE"""),"ITBISA-PIN-HEADER-MALE-1X40PIN-LURUS")</f>
        <v>ITBISA-PIN-HEADER-MALE-1X40PIN-LURUS</v>
      </c>
      <c r="B8991" s="266">
        <f>IFERROR(__xludf.DUMMYFUNCTION("""COMPUTED_VALUE"""),45614.0)</f>
        <v>45614</v>
      </c>
      <c r="C8991" s="266" t="str">
        <f>IFERROR(__xludf.DUMMYFUNCTION("""COMPUTED_VALUE"""),"KERTASARI CIAMIS")</f>
        <v>KERTASARI CIAMIS</v>
      </c>
      <c r="D8991" s="186">
        <f>IFERROR(__xludf.DUMMYFUNCTION("""COMPUTED_VALUE"""),15.0)</f>
        <v>15</v>
      </c>
    </row>
    <row r="8992">
      <c r="A8992" s="178" t="str">
        <f>IFERROR(__xludf.DUMMYFUNCTION("""COMPUTED_VALUE"""),"ITBISA-PIN-HEADER-MALE-1X40PIN-LURUS")</f>
        <v>ITBISA-PIN-HEADER-MALE-1X40PIN-LURUS</v>
      </c>
      <c r="B8992" s="266">
        <f>IFERROR(__xludf.DUMMYFUNCTION("""COMPUTED_VALUE"""),45618.0)</f>
        <v>45618</v>
      </c>
      <c r="C8992" s="266" t="str">
        <f>IFERROR(__xludf.DUMMYFUNCTION("""COMPUTED_VALUE"""),"KYAI KONTONG")</f>
        <v>KYAI KONTONG</v>
      </c>
      <c r="D8992" s="186">
        <f>IFERROR(__xludf.DUMMYFUNCTION("""COMPUTED_VALUE"""),2.0)</f>
        <v>2</v>
      </c>
    </row>
    <row r="8993">
      <c r="A8993" s="178" t="str">
        <f>IFERROR(__xludf.DUMMYFUNCTION("""COMPUTED_VALUE"""),"ITBISA-PIN-HEADER-MALE-1X40PIN-LURUS")</f>
        <v>ITBISA-PIN-HEADER-MALE-1X40PIN-LURUS</v>
      </c>
      <c r="B8993" s="266">
        <f>IFERROR(__xludf.DUMMYFUNCTION("""COMPUTED_VALUE"""),45622.0)</f>
        <v>45622</v>
      </c>
      <c r="C8993" s="266" t="str">
        <f>IFERROR(__xludf.DUMMYFUNCTION("""COMPUTED_VALUE"""),"KYAI KONTONG")</f>
        <v>KYAI KONTONG</v>
      </c>
      <c r="D8993" s="186">
        <f>IFERROR(__xludf.DUMMYFUNCTION("""COMPUTED_VALUE"""),1.0)</f>
        <v>1</v>
      </c>
    </row>
    <row r="8994">
      <c r="A8994" s="178" t="str">
        <f>IFERROR(__xludf.DUMMYFUNCTION("""COMPUTED_VALUE"""),"ITBISA-PIN-HEADER-MALE-1X40PIN-LURUS")</f>
        <v>ITBISA-PIN-HEADER-MALE-1X40PIN-LURUS</v>
      </c>
      <c r="B8994" s="266">
        <f>IFERROR(__xludf.DUMMYFUNCTION("""COMPUTED_VALUE"""),45626.0)</f>
        <v>45626</v>
      </c>
      <c r="C8994" s="266" t="str">
        <f>IFERROR(__xludf.DUMMYFUNCTION("""COMPUTED_VALUE"""),"KERTASARI CIAMIS")</f>
        <v>KERTASARI CIAMIS</v>
      </c>
      <c r="D8994" s="186">
        <f>IFERROR(__xludf.DUMMYFUNCTION("""COMPUTED_VALUE"""),2.0)</f>
        <v>2</v>
      </c>
    </row>
    <row r="8995">
      <c r="A8995" s="178" t="str">
        <f>IFERROR(__xludf.DUMMYFUNCTION("""COMPUTED_VALUE"""),"ITBISA-PIN-HEADER-MALE-1X40PIN-LURUS")</f>
        <v>ITBISA-PIN-HEADER-MALE-1X40PIN-LURUS</v>
      </c>
      <c r="B8995" s="266">
        <f>IFERROR(__xludf.DUMMYFUNCTION("""COMPUTED_VALUE"""),45640.0)</f>
        <v>45640</v>
      </c>
      <c r="C8995" s="266" t="str">
        <f>IFERROR(__xludf.DUMMYFUNCTION("""COMPUTED_VALUE"""),"KERTASARI CIAMIS")</f>
        <v>KERTASARI CIAMIS</v>
      </c>
      <c r="D8995" s="186">
        <f>IFERROR(__xludf.DUMMYFUNCTION("""COMPUTED_VALUE"""),20.0)</f>
        <v>20</v>
      </c>
    </row>
    <row r="8996">
      <c r="A8996" s="178" t="str">
        <f>IFERROR(__xludf.DUMMYFUNCTION("""COMPUTED_VALUE"""),"ITBISA-PIN-HEADER-MALE-1X40PIN-LURUS")</f>
        <v>ITBISA-PIN-HEADER-MALE-1X40PIN-LURUS</v>
      </c>
      <c r="B8996" s="266">
        <f>IFERROR(__xludf.DUMMYFUNCTION("""COMPUTED_VALUE"""),45645.0)</f>
        <v>45645</v>
      </c>
      <c r="C8996" s="266" t="str">
        <f>IFERROR(__xludf.DUMMYFUNCTION("""COMPUTED_VALUE"""),"KYAI KONTONG")</f>
        <v>KYAI KONTONG</v>
      </c>
      <c r="D8996" s="186">
        <f>IFERROR(__xludf.DUMMYFUNCTION("""COMPUTED_VALUE"""),1.0)</f>
        <v>1</v>
      </c>
    </row>
    <row r="8997">
      <c r="A8997" s="178" t="str">
        <f>IFERROR(__xludf.DUMMYFUNCTION("""COMPUTED_VALUE"""),"ITBISA-PIN-HEADER-MALE-1X40PIN-LURUS")</f>
        <v>ITBISA-PIN-HEADER-MALE-1X40PIN-LURUS</v>
      </c>
      <c r="B8997" s="266">
        <f>IFERROR(__xludf.DUMMYFUNCTION("""COMPUTED_VALUE"""),45650.0)</f>
        <v>45650</v>
      </c>
      <c r="C8997" s="266" t="str">
        <f>IFERROR(__xludf.DUMMYFUNCTION("""COMPUTED_VALUE"""),"KERTASARI CIAMIS")</f>
        <v>KERTASARI CIAMIS</v>
      </c>
      <c r="D8997" s="186">
        <f>IFERROR(__xludf.DUMMYFUNCTION("""COMPUTED_VALUE"""),4.0)</f>
        <v>4</v>
      </c>
    </row>
    <row r="8998">
      <c r="A8998" s="178" t="str">
        <f>IFERROR(__xludf.DUMMYFUNCTION("""COMPUTED_VALUE"""),"ITBISA-PIN-HEADER-MALE-1X40PIN-LURUS")</f>
        <v>ITBISA-PIN-HEADER-MALE-1X40PIN-LURUS</v>
      </c>
      <c r="B8998" s="266">
        <f>IFERROR(__xludf.DUMMYFUNCTION("""COMPUTED_VALUE"""),45653.0)</f>
        <v>45653</v>
      </c>
      <c r="C8998" s="266" t="str">
        <f>IFERROR(__xludf.DUMMYFUNCTION("""COMPUTED_VALUE"""),"KYAI KONTONG")</f>
        <v>KYAI KONTONG</v>
      </c>
      <c r="D8998" s="186">
        <f>IFERROR(__xludf.DUMMYFUNCTION("""COMPUTED_VALUE"""),10.0)</f>
        <v>10</v>
      </c>
    </row>
    <row r="8999">
      <c r="A8999" s="178" t="str">
        <f>IFERROR(__xludf.DUMMYFUNCTION("""COMPUTED_VALUE"""),"ITBISA-PIN-HEADER-MALE-1X40PIN-LURUS")</f>
        <v>ITBISA-PIN-HEADER-MALE-1X40PIN-LURUS</v>
      </c>
      <c r="B8999" s="266">
        <f>IFERROR(__xludf.DUMMYFUNCTION("""COMPUTED_VALUE"""),45673.0)</f>
        <v>45673</v>
      </c>
      <c r="C8999" s="266" t="str">
        <f>IFERROR(__xludf.DUMMYFUNCTION("""COMPUTED_VALUE"""),"KYAI KONTONG")</f>
        <v>KYAI KONTONG</v>
      </c>
      <c r="D8999" s="186">
        <f>IFERROR(__xludf.DUMMYFUNCTION("""COMPUTED_VALUE"""),1.0)</f>
        <v>1</v>
      </c>
    </row>
    <row r="9000">
      <c r="A9000" s="178" t="str">
        <f>IFERROR(__xludf.DUMMYFUNCTION("""COMPUTED_VALUE"""),"ITBISA-PIN-HEADER-MALE-1X40PIN-LURUS")</f>
        <v>ITBISA-PIN-HEADER-MALE-1X40PIN-LURUS</v>
      </c>
      <c r="B9000" s="266">
        <f>IFERROR(__xludf.DUMMYFUNCTION("""COMPUTED_VALUE"""),45677.0)</f>
        <v>45677</v>
      </c>
      <c r="C9000" s="266" t="str">
        <f>IFERROR(__xludf.DUMMYFUNCTION("""COMPUTED_VALUE"""),"KYAI KONTONG")</f>
        <v>KYAI KONTONG</v>
      </c>
      <c r="D9000" s="186">
        <f>IFERROR(__xludf.DUMMYFUNCTION("""COMPUTED_VALUE"""),50.0)</f>
        <v>50</v>
      </c>
    </row>
    <row r="9001">
      <c r="A9001" s="178" t="str">
        <f>IFERROR(__xludf.DUMMYFUNCTION("""COMPUTED_VALUE"""),"ITBISA-PIN-HEADER-MALE-1X40PIN-LURUS")</f>
        <v>ITBISA-PIN-HEADER-MALE-1X40PIN-LURUS</v>
      </c>
      <c r="B9001" s="266">
        <f>IFERROR(__xludf.DUMMYFUNCTION("""COMPUTED_VALUE"""),45682.0)</f>
        <v>45682</v>
      </c>
      <c r="C9001" s="266" t="str">
        <f>IFERROR(__xludf.DUMMYFUNCTION("""COMPUTED_VALUE"""),"KYAI KONTONG")</f>
        <v>KYAI KONTONG</v>
      </c>
      <c r="D9001" s="186">
        <f>IFERROR(__xludf.DUMMYFUNCTION("""COMPUTED_VALUE"""),1.0)</f>
        <v>1</v>
      </c>
    </row>
    <row r="9002">
      <c r="A9002" s="178" t="str">
        <f>IFERROR(__xludf.DUMMYFUNCTION("""COMPUTED_VALUE"""),"ITBISA-PIN-HEADER-MALE-1X40PIN-LURUS")</f>
        <v>ITBISA-PIN-HEADER-MALE-1X40PIN-LURUS</v>
      </c>
      <c r="B9002" s="266">
        <f>IFERROR(__xludf.DUMMYFUNCTION("""COMPUTED_VALUE"""),45683.0)</f>
        <v>45683</v>
      </c>
      <c r="C9002" s="266" t="str">
        <f>IFERROR(__xludf.DUMMYFUNCTION("""COMPUTED_VALUE"""),"KERTASARI CIAMIS")</f>
        <v>KERTASARI CIAMIS</v>
      </c>
      <c r="D9002" s="186">
        <f>IFERROR(__xludf.DUMMYFUNCTION("""COMPUTED_VALUE"""),50.0)</f>
        <v>50</v>
      </c>
    </row>
    <row r="9003">
      <c r="A9003" s="178" t="str">
        <f>IFERROR(__xludf.DUMMYFUNCTION("""COMPUTED_VALUE"""),"ITBISA-PIN-HEADER-MALE-1X40PIN-LURUS")</f>
        <v>ITBISA-PIN-HEADER-MALE-1X40PIN-LURUS</v>
      </c>
      <c r="B9003" s="266">
        <f>IFERROR(__xludf.DUMMYFUNCTION("""COMPUTED_VALUE"""),45683.0)</f>
        <v>45683</v>
      </c>
      <c r="C9003" s="266" t="str">
        <f>IFERROR(__xludf.DUMMYFUNCTION("""COMPUTED_VALUE"""),"KYAI KONTONG")</f>
        <v>KYAI KONTONG</v>
      </c>
      <c r="D9003" s="186">
        <f>IFERROR(__xludf.DUMMYFUNCTION("""COMPUTED_VALUE"""),1.0)</f>
        <v>1</v>
      </c>
    </row>
    <row r="9004">
      <c r="A9004" s="178" t="str">
        <f>IFERROR(__xludf.DUMMYFUNCTION("""COMPUTED_VALUE"""),"ITBISA-PIN-HEADER-MALE-1X40PIN-LURUS")</f>
        <v>ITBISA-PIN-HEADER-MALE-1X40PIN-LURUS</v>
      </c>
      <c r="B9004" s="266">
        <f>IFERROR(__xludf.DUMMYFUNCTION("""COMPUTED_VALUE"""),45685.0)</f>
        <v>45685</v>
      </c>
      <c r="C9004" s="266" t="str">
        <f>IFERROR(__xludf.DUMMYFUNCTION("""COMPUTED_VALUE"""),"KYAI KONTONG")</f>
        <v>KYAI KONTONG</v>
      </c>
      <c r="D9004" s="186">
        <f>IFERROR(__xludf.DUMMYFUNCTION("""COMPUTED_VALUE"""),10.0)</f>
        <v>10</v>
      </c>
    </row>
    <row r="9005">
      <c r="A9005" s="178" t="str">
        <f>IFERROR(__xludf.DUMMYFUNCTION("""COMPUTED_VALUE"""),"ITBISA-PIN-HEADER-MALE-1X40PIN-LURUS")</f>
        <v>ITBISA-PIN-HEADER-MALE-1X40PIN-LURUS</v>
      </c>
      <c r="B9005" s="266">
        <f>IFERROR(__xludf.DUMMYFUNCTION("""COMPUTED_VALUE"""),45742.0)</f>
        <v>45742</v>
      </c>
      <c r="C9005" s="266" t="str">
        <f>IFERROR(__xludf.DUMMYFUNCTION("""COMPUTED_VALUE"""),"KERTASARI CIAMIS")</f>
        <v>KERTASARI CIAMIS</v>
      </c>
      <c r="D9005" s="186">
        <f>IFERROR(__xludf.DUMMYFUNCTION("""COMPUTED_VALUE"""),2.0)</f>
        <v>2</v>
      </c>
    </row>
    <row r="9006">
      <c r="A9006" s="178" t="str">
        <f>IFERROR(__xludf.DUMMYFUNCTION("""COMPUTED_VALUE"""),"ITBISA-PIN-HEADER-MALE-1X40PIN-LURUS")</f>
        <v>ITBISA-PIN-HEADER-MALE-1X40PIN-LURUS</v>
      </c>
      <c r="B9006" s="266">
        <f>IFERROR(__xludf.DUMMYFUNCTION("""COMPUTED_VALUE"""),45755.0)</f>
        <v>45755</v>
      </c>
      <c r="C9006" s="266" t="str">
        <f>IFERROR(__xludf.DUMMYFUNCTION("""COMPUTED_VALUE"""),"KERTASARI CIAMIS")</f>
        <v>KERTASARI CIAMIS</v>
      </c>
      <c r="D9006" s="186">
        <f>IFERROR(__xludf.DUMMYFUNCTION("""COMPUTED_VALUE"""),50.0)</f>
        <v>50</v>
      </c>
    </row>
    <row r="9007">
      <c r="A9007" s="178" t="str">
        <f>IFERROR(__xludf.DUMMYFUNCTION("""COMPUTED_VALUE"""),"ITBISA-PIN-HEADER-MALE-1X40PIN-LURUS")</f>
        <v>ITBISA-PIN-HEADER-MALE-1X40PIN-LURUS</v>
      </c>
      <c r="B9007" s="266">
        <f>IFERROR(__xludf.DUMMYFUNCTION("""COMPUTED_VALUE"""),45775.0)</f>
        <v>45775</v>
      </c>
      <c r="C9007" s="266" t="str">
        <f>IFERROR(__xludf.DUMMYFUNCTION("""COMPUTED_VALUE"""),"KERTASARI CIAMIS")</f>
        <v>KERTASARI CIAMIS</v>
      </c>
      <c r="D9007" s="186">
        <f>IFERROR(__xludf.DUMMYFUNCTION("""COMPUTED_VALUE"""),10.0)</f>
        <v>10</v>
      </c>
    </row>
    <row r="9008">
      <c r="A9008" s="178" t="str">
        <f>IFERROR(__xludf.DUMMYFUNCTION("""COMPUTED_VALUE"""),"ITBISA-PIN-HEADER-MALE-1X40PIN-LURUS")</f>
        <v>ITBISA-PIN-HEADER-MALE-1X40PIN-LURUS</v>
      </c>
      <c r="B9008" s="266">
        <f>IFERROR(__xludf.DUMMYFUNCTION("""COMPUTED_VALUE"""),45782.0)</f>
        <v>45782</v>
      </c>
      <c r="C9008" s="266" t="str">
        <f>IFERROR(__xludf.DUMMYFUNCTION("""COMPUTED_VALUE"""),"KYAI KONTONG")</f>
        <v>KYAI KONTONG</v>
      </c>
      <c r="D9008" s="186">
        <f>IFERROR(__xludf.DUMMYFUNCTION("""COMPUTED_VALUE"""),200.0)</f>
        <v>200</v>
      </c>
    </row>
    <row r="9009">
      <c r="A9009" s="178" t="str">
        <f>IFERROR(__xludf.DUMMYFUNCTION("""COMPUTED_VALUE"""),"ITBISA-PIN-HEADER-MALE-1X40PIN-LURUS")</f>
        <v>ITBISA-PIN-HEADER-MALE-1X40PIN-LURUS</v>
      </c>
      <c r="B9009" s="266">
        <f>IFERROR(__xludf.DUMMYFUNCTION("""COMPUTED_VALUE"""),45815.0)</f>
        <v>45815</v>
      </c>
      <c r="C9009" s="266" t="str">
        <f>IFERROR(__xludf.DUMMYFUNCTION("""COMPUTED_VALUE"""),"KYAI KONTONG")</f>
        <v>KYAI KONTONG</v>
      </c>
      <c r="D9009" s="186">
        <f>IFERROR(__xludf.DUMMYFUNCTION("""COMPUTED_VALUE"""),1.0)</f>
        <v>1</v>
      </c>
    </row>
    <row r="9010">
      <c r="A9010" s="178" t="str">
        <f>IFERROR(__xludf.DUMMYFUNCTION("""COMPUTED_VALUE"""),"ITBISA-PIN-HEADER-MALE-1X40PIN-LURUS")</f>
        <v>ITBISA-PIN-HEADER-MALE-1X40PIN-LURUS</v>
      </c>
      <c r="B9010" s="266">
        <f>IFERROR(__xludf.DUMMYFUNCTION("""COMPUTED_VALUE"""),45816.0)</f>
        <v>45816</v>
      </c>
      <c r="C9010" s="266" t="str">
        <f>IFERROR(__xludf.DUMMYFUNCTION("""COMPUTED_VALUE"""),"KERTASARI CIAMIS")</f>
        <v>KERTASARI CIAMIS</v>
      </c>
      <c r="D9010" s="186">
        <f>IFERROR(__xludf.DUMMYFUNCTION("""COMPUTED_VALUE"""),10.0)</f>
        <v>10</v>
      </c>
    </row>
    <row r="9011">
      <c r="A9011" s="178" t="str">
        <f>IFERROR(__xludf.DUMMYFUNCTION("""COMPUTED_VALUE"""),"ITBISA-PIN-HEADER-MALE-1X40PIN-LURUS")</f>
        <v>ITBISA-PIN-HEADER-MALE-1X40PIN-LURUS</v>
      </c>
      <c r="B9011" s="266">
        <f>IFERROR(__xludf.DUMMYFUNCTION("""COMPUTED_VALUE"""),45873.0)</f>
        <v>45873</v>
      </c>
      <c r="C9011" s="266" t="str">
        <f>IFERROR(__xludf.DUMMYFUNCTION("""COMPUTED_VALUE"""),"KERTASARI CIAMIS")</f>
        <v>KERTASARI CIAMIS</v>
      </c>
      <c r="D9011" s="186">
        <f>IFERROR(__xludf.DUMMYFUNCTION("""COMPUTED_VALUE"""),10.0)</f>
        <v>10</v>
      </c>
    </row>
    <row r="9012">
      <c r="A9012" s="178" t="str">
        <f>IFERROR(__xludf.DUMMYFUNCTION("""COMPUTED_VALUE"""),"ITBISA-PIN-HEADER-MALE-1X40PIN-LURUS")</f>
        <v>ITBISA-PIN-HEADER-MALE-1X40PIN-LURUS</v>
      </c>
      <c r="B9012" s="266">
        <f>IFERROR(__xludf.DUMMYFUNCTION("""COMPUTED_VALUE"""),45948.0)</f>
        <v>45948</v>
      </c>
      <c r="C9012" s="266" t="str">
        <f>IFERROR(__xludf.DUMMYFUNCTION("""COMPUTED_VALUE"""),"KYAI KONTONG")</f>
        <v>KYAI KONTONG</v>
      </c>
      <c r="D9012" s="186">
        <f>IFERROR(__xludf.DUMMYFUNCTION("""COMPUTED_VALUE"""),2.0)</f>
        <v>2</v>
      </c>
    </row>
    <row r="9013">
      <c r="A9013" s="178" t="str">
        <f>IFERROR(__xludf.DUMMYFUNCTION("""COMPUTED_VALUE"""),"ITBISA-PIN-HEADER-MALE-1X40PIN-LURUS")</f>
        <v>ITBISA-PIN-HEADER-MALE-1X40PIN-LURUS</v>
      </c>
      <c r="B9013" s="266">
        <f>IFERROR(__xludf.DUMMYFUNCTION("""COMPUTED_VALUE"""),45952.0)</f>
        <v>45952</v>
      </c>
      <c r="C9013" s="266" t="str">
        <f>IFERROR(__xludf.DUMMYFUNCTION("""COMPUTED_VALUE"""),"KYAI KONTONG")</f>
        <v>KYAI KONTONG</v>
      </c>
      <c r="D9013" s="186">
        <f>IFERROR(__xludf.DUMMYFUNCTION("""COMPUTED_VALUE"""),5.0)</f>
        <v>5</v>
      </c>
    </row>
    <row r="9014">
      <c r="A9014" s="178" t="str">
        <f>IFERROR(__xludf.DUMMYFUNCTION("""COMPUTED_VALUE"""),"ITBISA-PIN-HEADER-MALE-1X40PIN-LURUS")</f>
        <v>ITBISA-PIN-HEADER-MALE-1X40PIN-LURUS</v>
      </c>
      <c r="B9014" s="266">
        <f>IFERROR(__xludf.DUMMYFUNCTION("""COMPUTED_VALUE"""),45955.0)</f>
        <v>45955</v>
      </c>
      <c r="C9014" s="266" t="str">
        <f>IFERROR(__xludf.DUMMYFUNCTION("""COMPUTED_VALUE"""),"KYAI KONTONG")</f>
        <v>KYAI KONTONG</v>
      </c>
      <c r="D9014" s="186">
        <f>IFERROR(__xludf.DUMMYFUNCTION("""COMPUTED_VALUE"""),1.0)</f>
        <v>1</v>
      </c>
    </row>
    <row r="9015">
      <c r="A9015" s="178" t="str">
        <f>IFERROR(__xludf.DUMMYFUNCTION("""COMPUTED_VALUE"""),"ITBISA-PIN-HEADER-MALE-1X40PIN-LURUS")</f>
        <v>ITBISA-PIN-HEADER-MALE-1X40PIN-LURUS</v>
      </c>
      <c r="B9015" s="266">
        <f>IFERROR(__xludf.DUMMYFUNCTION("""COMPUTED_VALUE"""),45955.0)</f>
        <v>45955</v>
      </c>
      <c r="C9015" s="266" t="str">
        <f>IFERROR(__xludf.DUMMYFUNCTION("""COMPUTED_VALUE"""),"KYAI KONTONG")</f>
        <v>KYAI KONTONG</v>
      </c>
      <c r="D9015" s="186">
        <f>IFERROR(__xludf.DUMMYFUNCTION("""COMPUTED_VALUE"""),1.0)</f>
        <v>1</v>
      </c>
    </row>
    <row r="9016">
      <c r="A9016" s="178" t="str">
        <f>IFERROR(__xludf.DUMMYFUNCTION("""COMPUTED_VALUE"""),"ITBISA-PIN-HEADER-MALE-1X40PIN-LURUS")</f>
        <v>ITBISA-PIN-HEADER-MALE-1X40PIN-LURUS</v>
      </c>
      <c r="B9016" s="266">
        <f>IFERROR(__xludf.DUMMYFUNCTION("""COMPUTED_VALUE"""),45955.0)</f>
        <v>45955</v>
      </c>
      <c r="C9016" s="266" t="str">
        <f>IFERROR(__xludf.DUMMYFUNCTION("""COMPUTED_VALUE"""),"KYAI KONTONG")</f>
        <v>KYAI KONTONG</v>
      </c>
      <c r="D9016" s="186">
        <f>IFERROR(__xludf.DUMMYFUNCTION("""COMPUTED_VALUE"""),1.0)</f>
        <v>1</v>
      </c>
    </row>
    <row r="9017">
      <c r="A9017" s="178" t="str">
        <f>IFERROR(__xludf.DUMMYFUNCTION("""COMPUTED_VALUE"""),"ITBISA-PIN-HEADER-MALE-1X40PIN-LURUS")</f>
        <v>ITBISA-PIN-HEADER-MALE-1X40PIN-LURUS</v>
      </c>
      <c r="B9017" s="266">
        <f>IFERROR(__xludf.DUMMYFUNCTION("""COMPUTED_VALUE"""),45960.0)</f>
        <v>45960</v>
      </c>
      <c r="C9017" s="266" t="str">
        <f>IFERROR(__xludf.DUMMYFUNCTION("""COMPUTED_VALUE"""),"KYAI KONTONG")</f>
        <v>KYAI KONTONG</v>
      </c>
      <c r="D9017" s="186">
        <f>IFERROR(__xludf.DUMMYFUNCTION("""COMPUTED_VALUE"""),2.0)</f>
        <v>2</v>
      </c>
    </row>
    <row r="9018">
      <c r="A9018" s="178" t="str">
        <f>IFERROR(__xludf.DUMMYFUNCTION("""COMPUTED_VALUE"""),"ITBISA-PIN-HEADER-MALE-1X40PIN-LURUS")</f>
        <v>ITBISA-PIN-HEADER-MALE-1X40PIN-LURUS</v>
      </c>
      <c r="B9018" s="266">
        <f>IFERROR(__xludf.DUMMYFUNCTION("""COMPUTED_VALUE"""),45961.0)</f>
        <v>45961</v>
      </c>
      <c r="C9018" s="266" t="str">
        <f>IFERROR(__xludf.DUMMYFUNCTION("""COMPUTED_VALUE"""),"KYAI KONTONG")</f>
        <v>KYAI KONTONG</v>
      </c>
      <c r="D9018" s="186">
        <f>IFERROR(__xludf.DUMMYFUNCTION("""COMPUTED_VALUE"""),3.0)</f>
        <v>3</v>
      </c>
    </row>
    <row r="9019">
      <c r="A9019" s="178" t="str">
        <f>IFERROR(__xludf.DUMMYFUNCTION("""COMPUTED_VALUE"""),"ITBISA-PIN-HEADER-MALE-1X40PIN-LURUS")</f>
        <v>ITBISA-PIN-HEADER-MALE-1X40PIN-LURUS</v>
      </c>
      <c r="B9019" s="266">
        <f>IFERROR(__xludf.DUMMYFUNCTION("""COMPUTED_VALUE"""),45991.0)</f>
        <v>45991</v>
      </c>
      <c r="C9019" s="266" t="str">
        <f>IFERROR(__xludf.DUMMYFUNCTION("""COMPUTED_VALUE"""),"KERTASARI CIAMIS")</f>
        <v>KERTASARI CIAMIS</v>
      </c>
      <c r="D9019" s="186">
        <f>IFERROR(__xludf.DUMMYFUNCTION("""COMPUTED_VALUE"""),20.0)</f>
        <v>20</v>
      </c>
    </row>
    <row r="9020">
      <c r="A9020" s="178" t="str">
        <f>IFERROR(__xludf.DUMMYFUNCTION("""COMPUTED_VALUE"""),"ITBISA-PIN-HEADER-MALE-1X40PIN-LURUS")</f>
        <v>ITBISA-PIN-HEADER-MALE-1X40PIN-LURUS</v>
      </c>
      <c r="B9020" s="266">
        <f>IFERROR(__xludf.DUMMYFUNCTION("""COMPUTED_VALUE"""),46000.0)</f>
        <v>46000</v>
      </c>
      <c r="C9020" s="266" t="str">
        <f>IFERROR(__xludf.DUMMYFUNCTION("""COMPUTED_VALUE"""),"KYAI KONTONG")</f>
        <v>KYAI KONTONG</v>
      </c>
      <c r="D9020" s="186">
        <f>IFERROR(__xludf.DUMMYFUNCTION("""COMPUTED_VALUE"""),10.0)</f>
        <v>10</v>
      </c>
    </row>
    <row r="9021">
      <c r="A9021" s="178" t="str">
        <f>IFERROR(__xludf.DUMMYFUNCTION("""COMPUTED_VALUE"""),"ITBISA-PIN-HEADER-MALE-1X40PIN-LURUS")</f>
        <v>ITBISA-PIN-HEADER-MALE-1X40PIN-LURUS</v>
      </c>
      <c r="B9021" s="266">
        <f>IFERROR(__xludf.DUMMYFUNCTION("""COMPUTED_VALUE"""),46002.0)</f>
        <v>46002</v>
      </c>
      <c r="C9021" s="266" t="str">
        <f>IFERROR(__xludf.DUMMYFUNCTION("""COMPUTED_VALUE"""),"KYAI KONTONG")</f>
        <v>KYAI KONTONG</v>
      </c>
      <c r="D9021" s="186">
        <f>IFERROR(__xludf.DUMMYFUNCTION("""COMPUTED_VALUE"""),5.0)</f>
        <v>5</v>
      </c>
    </row>
    <row r="9022">
      <c r="A9022" s="178" t="str">
        <f>IFERROR(__xludf.DUMMYFUNCTION("""COMPUTED_VALUE"""),"ITBISA-PIN-HEADER-MALE-1X40PIN-LURUS")</f>
        <v>ITBISA-PIN-HEADER-MALE-1X40PIN-LURUS</v>
      </c>
      <c r="B9022" s="266">
        <f>IFERROR(__xludf.DUMMYFUNCTION("""COMPUTED_VALUE"""),46007.0)</f>
        <v>46007</v>
      </c>
      <c r="C9022" s="266" t="str">
        <f>IFERROR(__xludf.DUMMYFUNCTION("""COMPUTED_VALUE"""),"KYAI KONTONG")</f>
        <v>KYAI KONTONG</v>
      </c>
      <c r="D9022" s="186">
        <f>IFERROR(__xludf.DUMMYFUNCTION("""COMPUTED_VALUE"""),3.0)</f>
        <v>3</v>
      </c>
    </row>
    <row r="9023">
      <c r="A9023" s="178" t="str">
        <f>IFERROR(__xludf.DUMMYFUNCTION("""COMPUTED_VALUE"""),"ITBISA-PIN-HEADER-MALE-1X40PIN-LURUS")</f>
        <v>ITBISA-PIN-HEADER-MALE-1X40PIN-LURUS</v>
      </c>
      <c r="B9023" s="266">
        <f>IFERROR(__xludf.DUMMYFUNCTION("""COMPUTED_VALUE"""),46010.0)</f>
        <v>46010</v>
      </c>
      <c r="C9023" s="266" t="str">
        <f>IFERROR(__xludf.DUMMYFUNCTION("""COMPUTED_VALUE"""),"KYAI KONTONG")</f>
        <v>KYAI KONTONG</v>
      </c>
      <c r="D9023" s="186">
        <f>IFERROR(__xludf.DUMMYFUNCTION("""COMPUTED_VALUE"""),10.0)</f>
        <v>10</v>
      </c>
    </row>
    <row r="9024">
      <c r="A9024" s="178" t="str">
        <f>IFERROR(__xludf.DUMMYFUNCTION("""COMPUTED_VALUE"""),"ITBISA-PNP-2N3906-TO92")</f>
        <v>ITBISA-PNP-2N3906-TO92</v>
      </c>
      <c r="B9024" s="266">
        <f>IFERROR(__xludf.DUMMYFUNCTION("""COMPUTED_VALUE"""),45440.0)</f>
        <v>45440</v>
      </c>
      <c r="C9024" s="266" t="str">
        <f>IFERROR(__xludf.DUMMYFUNCTION("""COMPUTED_VALUE"""),"KYAI KONTONG")</f>
        <v>KYAI KONTONG</v>
      </c>
      <c r="D9024" s="186">
        <f>IFERROR(__xludf.DUMMYFUNCTION("""COMPUTED_VALUE"""),50.0)</f>
        <v>50</v>
      </c>
    </row>
    <row r="9025">
      <c r="A9025" s="178" t="str">
        <f>IFERROR(__xludf.DUMMYFUNCTION("""COMPUTED_VALUE"""),"ITBISA-PNP-2N3906-TO92")</f>
        <v>ITBISA-PNP-2N3906-TO92</v>
      </c>
      <c r="B9025" s="266">
        <f>IFERROR(__xludf.DUMMYFUNCTION("""COMPUTED_VALUE"""),45773.0)</f>
        <v>45773</v>
      </c>
      <c r="C9025" s="266" t="str">
        <f>IFERROR(__xludf.DUMMYFUNCTION("""COMPUTED_VALUE"""),"KERTASARI CIAMIS")</f>
        <v>KERTASARI CIAMIS</v>
      </c>
      <c r="D9025" s="186">
        <f>IFERROR(__xludf.DUMMYFUNCTION("""COMPUTED_VALUE"""),10.0)</f>
        <v>10</v>
      </c>
    </row>
    <row r="9026">
      <c r="A9026" s="178" t="str">
        <f>IFERROR(__xludf.DUMMYFUNCTION("""COMPUTED_VALUE"""),"ITBISA-PNP-2N3906-TO92")</f>
        <v>ITBISA-PNP-2N3906-TO92</v>
      </c>
      <c r="B9026" s="266">
        <f>IFERROR(__xludf.DUMMYFUNCTION("""COMPUTED_VALUE"""),45830.0)</f>
        <v>45830</v>
      </c>
      <c r="C9026" s="266" t="str">
        <f>IFERROR(__xludf.DUMMYFUNCTION("""COMPUTED_VALUE"""),"KYAI KONTONG")</f>
        <v>KYAI KONTONG</v>
      </c>
      <c r="D9026" s="186">
        <f>IFERROR(__xludf.DUMMYFUNCTION("""COMPUTED_VALUE"""),50.0)</f>
        <v>50</v>
      </c>
    </row>
    <row r="9027">
      <c r="A9027" s="178" t="str">
        <f>IFERROR(__xludf.DUMMYFUNCTION("""COMPUTED_VALUE"""),"ITBISA-PNP-2N3906-TO92")</f>
        <v>ITBISA-PNP-2N3906-TO92</v>
      </c>
      <c r="B9027" s="266">
        <f>IFERROR(__xludf.DUMMYFUNCTION("""COMPUTED_VALUE"""),45947.0)</f>
        <v>45947</v>
      </c>
      <c r="C9027" s="266" t="str">
        <f>IFERROR(__xludf.DUMMYFUNCTION("""COMPUTED_VALUE"""),"KYAI KONTONG")</f>
        <v>KYAI KONTONG</v>
      </c>
      <c r="D9027" s="186">
        <f>IFERROR(__xludf.DUMMYFUNCTION("""COMPUTED_VALUE"""),5.0)</f>
        <v>5</v>
      </c>
    </row>
    <row r="9028">
      <c r="A9028" s="178" t="str">
        <f>IFERROR(__xludf.DUMMYFUNCTION("""COMPUTED_VALUE"""),"ITBISA-PNP-BC557-TO92")</f>
        <v>ITBISA-PNP-BC557-TO92</v>
      </c>
      <c r="B9028" s="266">
        <f>IFERROR(__xludf.DUMMYFUNCTION("""COMPUTED_VALUE"""),45432.0)</f>
        <v>45432</v>
      </c>
      <c r="C9028" s="266" t="str">
        <f>IFERROR(__xludf.DUMMYFUNCTION("""COMPUTED_VALUE"""),"KYAI KONTONG")</f>
        <v>KYAI KONTONG</v>
      </c>
      <c r="D9028" s="186">
        <f>IFERROR(__xludf.DUMMYFUNCTION("""COMPUTED_VALUE"""),10.0)</f>
        <v>10</v>
      </c>
    </row>
    <row r="9029">
      <c r="A9029" s="178" t="str">
        <f>IFERROR(__xludf.DUMMYFUNCTION("""COMPUTED_VALUE"""),"ITBISA-PNP-BC557-TO92")</f>
        <v>ITBISA-PNP-BC557-TO92</v>
      </c>
      <c r="B9029" s="266">
        <f>IFERROR(__xludf.DUMMYFUNCTION("""COMPUTED_VALUE"""),45440.0)</f>
        <v>45440</v>
      </c>
      <c r="C9029" s="266" t="str">
        <f>IFERROR(__xludf.DUMMYFUNCTION("""COMPUTED_VALUE"""),"KYAI KONTONG")</f>
        <v>KYAI KONTONG</v>
      </c>
      <c r="D9029" s="186">
        <f>IFERROR(__xludf.DUMMYFUNCTION("""COMPUTED_VALUE"""),50.0)</f>
        <v>50</v>
      </c>
    </row>
    <row r="9030">
      <c r="A9030" s="178" t="str">
        <f>IFERROR(__xludf.DUMMYFUNCTION("""COMPUTED_VALUE"""),"ITBISA-PNP-BC557-TO92")</f>
        <v>ITBISA-PNP-BC557-TO92</v>
      </c>
      <c r="B9030" s="266">
        <f>IFERROR(__xludf.DUMMYFUNCTION("""COMPUTED_VALUE"""),45498.0)</f>
        <v>45498</v>
      </c>
      <c r="C9030" s="266" t="str">
        <f>IFERROR(__xludf.DUMMYFUNCTION("""COMPUTED_VALUE"""),"KERTASARI CIAMIS")</f>
        <v>KERTASARI CIAMIS</v>
      </c>
      <c r="D9030" s="186">
        <f>IFERROR(__xludf.DUMMYFUNCTION("""COMPUTED_VALUE"""),20.0)</f>
        <v>20</v>
      </c>
    </row>
    <row r="9031">
      <c r="A9031" s="178" t="str">
        <f>IFERROR(__xludf.DUMMYFUNCTION("""COMPUTED_VALUE"""),"ITBISA-PNP-BC557-TO92")</f>
        <v>ITBISA-PNP-BC557-TO92</v>
      </c>
      <c r="B9031" s="266">
        <f>IFERROR(__xludf.DUMMYFUNCTION("""COMPUTED_VALUE"""),45565.0)</f>
        <v>45565</v>
      </c>
      <c r="C9031" s="266" t="str">
        <f>IFERROR(__xludf.DUMMYFUNCTION("""COMPUTED_VALUE"""),"KERTASARI CIAMIS")</f>
        <v>KERTASARI CIAMIS</v>
      </c>
      <c r="D9031" s="186">
        <f>IFERROR(__xludf.DUMMYFUNCTION("""COMPUTED_VALUE"""),15.0)</f>
        <v>15</v>
      </c>
    </row>
    <row r="9032">
      <c r="A9032" s="178" t="str">
        <f>IFERROR(__xludf.DUMMYFUNCTION("""COMPUTED_VALUE"""),"ITBISA-PNP-BC557-TO92")</f>
        <v>ITBISA-PNP-BC557-TO92</v>
      </c>
      <c r="B9032" s="266">
        <f>IFERROR(__xludf.DUMMYFUNCTION("""COMPUTED_VALUE"""),45630.0)</f>
        <v>45630</v>
      </c>
      <c r="C9032" s="266" t="str">
        <f>IFERROR(__xludf.DUMMYFUNCTION("""COMPUTED_VALUE"""),"KERTASARI CIAMIS")</f>
        <v>KERTASARI CIAMIS</v>
      </c>
      <c r="D9032" s="186">
        <f>IFERROR(__xludf.DUMMYFUNCTION("""COMPUTED_VALUE"""),10.0)</f>
        <v>10</v>
      </c>
    </row>
    <row r="9033">
      <c r="A9033" s="178" t="str">
        <f>IFERROR(__xludf.DUMMYFUNCTION("""COMPUTED_VALUE"""),"ITBISA-PNP-BC557-TO92")</f>
        <v>ITBISA-PNP-BC557-TO92</v>
      </c>
      <c r="B9033" s="266">
        <f>IFERROR(__xludf.DUMMYFUNCTION("""COMPUTED_VALUE"""),45707.0)</f>
        <v>45707</v>
      </c>
      <c r="C9033" s="266" t="str">
        <f>IFERROR(__xludf.DUMMYFUNCTION("""COMPUTED_VALUE"""),"KERTASARI CIAMIS")</f>
        <v>KERTASARI CIAMIS</v>
      </c>
      <c r="D9033" s="186">
        <f>IFERROR(__xludf.DUMMYFUNCTION("""COMPUTED_VALUE"""),300.0)</f>
        <v>300</v>
      </c>
    </row>
    <row r="9034">
      <c r="A9034" s="178" t="str">
        <f>IFERROR(__xludf.DUMMYFUNCTION("""COMPUTED_VALUE"""),"ITBISA-PNP-BC557-TO92")</f>
        <v>ITBISA-PNP-BC557-TO92</v>
      </c>
      <c r="B9034" s="266">
        <f>IFERROR(__xludf.DUMMYFUNCTION("""COMPUTED_VALUE"""),45735.0)</f>
        <v>45735</v>
      </c>
      <c r="C9034" s="266" t="str">
        <f>IFERROR(__xludf.DUMMYFUNCTION("""COMPUTED_VALUE"""),"KERTASARI CIAMIS")</f>
        <v>KERTASARI CIAMIS</v>
      </c>
      <c r="D9034" s="186">
        <f>IFERROR(__xludf.DUMMYFUNCTION("""COMPUTED_VALUE"""),100.0)</f>
        <v>100</v>
      </c>
    </row>
    <row r="9035">
      <c r="A9035" s="178" t="str">
        <f>IFERROR(__xludf.DUMMYFUNCTION("""COMPUTED_VALUE"""),"ITBISA-PNP-BC557-TO92")</f>
        <v>ITBISA-PNP-BC557-TO92</v>
      </c>
      <c r="B9035" s="266">
        <f>IFERROR(__xludf.DUMMYFUNCTION("""COMPUTED_VALUE"""),45808.0)</f>
        <v>45808</v>
      </c>
      <c r="C9035" s="266" t="str">
        <f>IFERROR(__xludf.DUMMYFUNCTION("""COMPUTED_VALUE"""),"KERTASARI CIAMIS")</f>
        <v>KERTASARI CIAMIS</v>
      </c>
      <c r="D9035" s="186">
        <f>IFERROR(__xludf.DUMMYFUNCTION("""COMPUTED_VALUE"""),105.0)</f>
        <v>105</v>
      </c>
    </row>
    <row r="9036">
      <c r="A9036" s="178" t="str">
        <f>IFERROR(__xludf.DUMMYFUNCTION("""COMPUTED_VALUE"""),"ITBISA-PNP-BC557-TO92")</f>
        <v>ITBISA-PNP-BC557-TO92</v>
      </c>
      <c r="B9036" s="266">
        <f>IFERROR(__xludf.DUMMYFUNCTION("""COMPUTED_VALUE"""),45811.0)</f>
        <v>45811</v>
      </c>
      <c r="C9036" s="266" t="str">
        <f>IFERROR(__xludf.DUMMYFUNCTION("""COMPUTED_VALUE"""),"KERTASARI CIAMIS")</f>
        <v>KERTASARI CIAMIS</v>
      </c>
      <c r="D9036" s="186">
        <f>IFERROR(__xludf.DUMMYFUNCTION("""COMPUTED_VALUE"""),20.0)</f>
        <v>20</v>
      </c>
    </row>
    <row r="9037">
      <c r="A9037" s="178" t="str">
        <f>IFERROR(__xludf.DUMMYFUNCTION("""COMPUTED_VALUE"""),"ITBISA-PNP-BC557-TO92")</f>
        <v>ITBISA-PNP-BC557-TO92</v>
      </c>
      <c r="B9037" s="266">
        <f>IFERROR(__xludf.DUMMYFUNCTION("""COMPUTED_VALUE"""),45830.0)</f>
        <v>45830</v>
      </c>
      <c r="C9037" s="266" t="str">
        <f>IFERROR(__xludf.DUMMYFUNCTION("""COMPUTED_VALUE"""),"KYAI KONTONG")</f>
        <v>KYAI KONTONG</v>
      </c>
      <c r="D9037" s="186">
        <f>IFERROR(__xludf.DUMMYFUNCTION("""COMPUTED_VALUE"""),2.0)</f>
        <v>2</v>
      </c>
    </row>
    <row r="9038">
      <c r="A9038" s="178" t="str">
        <f>IFERROR(__xludf.DUMMYFUNCTION("""COMPUTED_VALUE"""),"ITBISA-PNP-BC558-TO92")</f>
        <v>ITBISA-PNP-BC558-TO92</v>
      </c>
      <c r="B9038" s="266">
        <f>IFERROR(__xludf.DUMMYFUNCTION("""COMPUTED_VALUE"""),46013.0)</f>
        <v>46013</v>
      </c>
      <c r="C9038" s="266" t="str">
        <f>IFERROR(__xludf.DUMMYFUNCTION("""COMPUTED_VALUE"""),"KERTASARI CIAMIS")</f>
        <v>KERTASARI CIAMIS</v>
      </c>
      <c r="D9038" s="186">
        <f>IFERROR(__xludf.DUMMYFUNCTION("""COMPUTED_VALUE"""),20.0)</f>
        <v>20</v>
      </c>
    </row>
    <row r="9039">
      <c r="A9039" s="178" t="str">
        <f>IFERROR(__xludf.DUMMYFUNCTION("""COMPUTED_VALUE"""),"ITBISA-PNP-S8550-TO92")</f>
        <v>ITBISA-PNP-S8550-TO92</v>
      </c>
      <c r="B9039" s="266">
        <f>IFERROR(__xludf.DUMMYFUNCTION("""COMPUTED_VALUE"""),45981.0)</f>
        <v>45981</v>
      </c>
      <c r="C9039" s="266" t="str">
        <f>IFERROR(__xludf.DUMMYFUNCTION("""COMPUTED_VALUE"""),"KYAI KONTONG")</f>
        <v>KYAI KONTONG</v>
      </c>
      <c r="D9039" s="186">
        <f>IFERROR(__xludf.DUMMYFUNCTION("""COMPUTED_VALUE"""),30.0)</f>
        <v>30</v>
      </c>
    </row>
    <row r="9040">
      <c r="A9040" s="178" t="str">
        <f>IFERROR(__xludf.DUMMYFUNCTION("""COMPUTED_VALUE"""),"ITBISA-PNP-S9012-TO92")</f>
        <v>ITBISA-PNP-S9012-TO92</v>
      </c>
      <c r="B9040" s="266">
        <f>IFERROR(__xludf.DUMMYFUNCTION("""COMPUTED_VALUE"""),45958.0)</f>
        <v>45958</v>
      </c>
      <c r="C9040" s="266" t="str">
        <f>IFERROR(__xludf.DUMMYFUNCTION("""COMPUTED_VALUE"""),"KYAI KONTONG")</f>
        <v>KYAI KONTONG</v>
      </c>
      <c r="D9040" s="186">
        <f>IFERROR(__xludf.DUMMYFUNCTION("""COMPUTED_VALUE"""),200.0)</f>
        <v>200</v>
      </c>
    </row>
    <row r="9041">
      <c r="A9041" s="178" t="str">
        <f>IFERROR(__xludf.DUMMYFUNCTION("""COMPUTED_VALUE"""),"ITBISA-PSU-S4012-12V-3A")</f>
        <v>ITBISA-PSU-S4012-12V-3A</v>
      </c>
      <c r="B9041" s="266">
        <f>IFERROR(__xludf.DUMMYFUNCTION("""COMPUTED_VALUE"""),43771.0)</f>
        <v>43771</v>
      </c>
      <c r="C9041" s="266" t="str">
        <f>IFERROR(__xludf.DUMMYFUNCTION("""COMPUTED_VALUE"""),"RUMAH MUZAKKI")</f>
        <v>RUMAH MUZAKKI</v>
      </c>
      <c r="D9041" s="186">
        <f>IFERROR(__xludf.DUMMYFUNCTION("""COMPUTED_VALUE"""),2.0)</f>
        <v>2</v>
      </c>
    </row>
    <row r="9042">
      <c r="A9042" s="178" t="str">
        <f>IFERROR(__xludf.DUMMYFUNCTION("""COMPUTED_VALUE"""),"ITBISA-PSU-S4012-12V-3A")</f>
        <v>ITBISA-PSU-S4012-12V-3A</v>
      </c>
      <c r="B9042" s="266">
        <f>IFERROR(__xludf.DUMMYFUNCTION("""COMPUTED_VALUE"""),43775.0)</f>
        <v>43775</v>
      </c>
      <c r="C9042" s="266" t="str">
        <f>IFERROR(__xludf.DUMMYFUNCTION("""COMPUTED_VALUE"""),"RUMAH MUZAKKI")</f>
        <v>RUMAH MUZAKKI</v>
      </c>
      <c r="D9042" s="186">
        <f>IFERROR(__xludf.DUMMYFUNCTION("""COMPUTED_VALUE"""),2.0)</f>
        <v>2</v>
      </c>
    </row>
    <row r="9043">
      <c r="A9043" s="178" t="str">
        <f>IFERROR(__xludf.DUMMYFUNCTION("""COMPUTED_VALUE"""),"ITBISA-PSU-S4012-12V-3A")</f>
        <v>ITBISA-PSU-S4012-12V-3A</v>
      </c>
      <c r="B9043" s="266">
        <f>IFERROR(__xludf.DUMMYFUNCTION("""COMPUTED_VALUE"""),43779.0)</f>
        <v>43779</v>
      </c>
      <c r="C9043" s="266" t="str">
        <f>IFERROR(__xludf.DUMMYFUNCTION("""COMPUTED_VALUE"""),"RUMAH MUZAKKI")</f>
        <v>RUMAH MUZAKKI</v>
      </c>
      <c r="D9043" s="186">
        <f>IFERROR(__xludf.DUMMYFUNCTION("""COMPUTED_VALUE"""),1.0)</f>
        <v>1</v>
      </c>
    </row>
    <row r="9044">
      <c r="A9044" s="178" t="str">
        <f>IFERROR(__xludf.DUMMYFUNCTION("""COMPUTED_VALUE"""),"ITBISA-PSU-S4012-12V-3A")</f>
        <v>ITBISA-PSU-S4012-12V-3A</v>
      </c>
      <c r="B9044" s="266">
        <f>IFERROR(__xludf.DUMMYFUNCTION("""COMPUTED_VALUE"""),43784.0)</f>
        <v>43784</v>
      </c>
      <c r="C9044" s="266" t="str">
        <f>IFERROR(__xludf.DUMMYFUNCTION("""COMPUTED_VALUE"""),"RUMAH MUZAKKI")</f>
        <v>RUMAH MUZAKKI</v>
      </c>
      <c r="D9044" s="186">
        <f>IFERROR(__xludf.DUMMYFUNCTION("""COMPUTED_VALUE"""),1.0)</f>
        <v>1</v>
      </c>
    </row>
    <row r="9045">
      <c r="A9045" s="178" t="str">
        <f>IFERROR(__xludf.DUMMYFUNCTION("""COMPUTED_VALUE"""),"ITBISA-PSU-S4012-12V-3A")</f>
        <v>ITBISA-PSU-S4012-12V-3A</v>
      </c>
      <c r="B9045" s="266">
        <f>IFERROR(__xludf.DUMMYFUNCTION("""COMPUTED_VALUE"""),43787.0)</f>
        <v>43787</v>
      </c>
      <c r="C9045" s="266" t="str">
        <f>IFERROR(__xludf.DUMMYFUNCTION("""COMPUTED_VALUE"""),"RUMAH MUZAKKI")</f>
        <v>RUMAH MUZAKKI</v>
      </c>
      <c r="D9045" s="186">
        <f>IFERROR(__xludf.DUMMYFUNCTION("""COMPUTED_VALUE"""),5.0)</f>
        <v>5</v>
      </c>
    </row>
    <row r="9046">
      <c r="A9046" s="178" t="str">
        <f>IFERROR(__xludf.DUMMYFUNCTION("""COMPUTED_VALUE"""),"ITBISA-PSU-S4012-12V-3A")</f>
        <v>ITBISA-PSU-S4012-12V-3A</v>
      </c>
      <c r="B9046" s="266">
        <f>IFERROR(__xludf.DUMMYFUNCTION("""COMPUTED_VALUE"""),43789.0)</f>
        <v>43789</v>
      </c>
      <c r="C9046" s="266" t="str">
        <f>IFERROR(__xludf.DUMMYFUNCTION("""COMPUTED_VALUE"""),"RUMAH MUZAKKI")</f>
        <v>RUMAH MUZAKKI</v>
      </c>
      <c r="D9046" s="186">
        <f>IFERROR(__xludf.DUMMYFUNCTION("""COMPUTED_VALUE"""),1.0)</f>
        <v>1</v>
      </c>
    </row>
    <row r="9047">
      <c r="A9047" s="178" t="str">
        <f>IFERROR(__xludf.DUMMYFUNCTION("""COMPUTED_VALUE"""),"ITBISA-RAPID-BOHLAM-E10-2.5V-SCREW")</f>
        <v>ITBISA-RAPID-BOHLAM-E10-2.5V-SCREW</v>
      </c>
      <c r="B9047" s="266">
        <f>IFERROR(__xludf.DUMMYFUNCTION("""COMPUTED_VALUE"""),43593.0)</f>
        <v>43593</v>
      </c>
      <c r="C9047" s="266" t="str">
        <f>IFERROR(__xludf.DUMMYFUNCTION("""COMPUTED_VALUE"""),"AVRG ITB")</f>
        <v>AVRG ITB</v>
      </c>
      <c r="D9047" s="186">
        <f>IFERROR(__xludf.DUMMYFUNCTION("""COMPUTED_VALUE"""),1.0)</f>
        <v>1</v>
      </c>
    </row>
    <row r="9048">
      <c r="A9048" s="178" t="str">
        <f>IFERROR(__xludf.DUMMYFUNCTION("""COMPUTED_VALUE"""),"ITBISA-RAPID-BOHLAM-E10-2.5V-SCREW")</f>
        <v>ITBISA-RAPID-BOHLAM-E10-2.5V-SCREW</v>
      </c>
      <c r="B9048" s="266">
        <f>IFERROR(__xludf.DUMMYFUNCTION("""COMPUTED_VALUE"""),43593.0)</f>
        <v>43593</v>
      </c>
      <c r="C9048" s="266" t="str">
        <f>IFERROR(__xludf.DUMMYFUNCTION("""COMPUTED_VALUE"""),"AVRG ITB")</f>
        <v>AVRG ITB</v>
      </c>
      <c r="D9048" s="186">
        <f>IFERROR(__xludf.DUMMYFUNCTION("""COMPUTED_VALUE"""),1.0)</f>
        <v>1</v>
      </c>
    </row>
    <row r="9049">
      <c r="A9049" s="178" t="str">
        <f>IFERROR(__xludf.DUMMYFUNCTION("""COMPUTED_VALUE"""),"ITBISA-RAPID-BOHLAM-E10-2.5V-SCREW")</f>
        <v>ITBISA-RAPID-BOHLAM-E10-2.5V-SCREW</v>
      </c>
      <c r="B9049" s="266">
        <f>IFERROR(__xludf.DUMMYFUNCTION("""COMPUTED_VALUE"""),43593.0)</f>
        <v>43593</v>
      </c>
      <c r="C9049" s="266" t="str">
        <f>IFERROR(__xludf.DUMMYFUNCTION("""COMPUTED_VALUE"""),"AVRG ITB")</f>
        <v>AVRG ITB</v>
      </c>
      <c r="D9049" s="186">
        <f>IFERROR(__xludf.DUMMYFUNCTION("""COMPUTED_VALUE"""),1.0)</f>
        <v>1</v>
      </c>
    </row>
    <row r="9050">
      <c r="A9050" s="178" t="str">
        <f>IFERROR(__xludf.DUMMYFUNCTION("""COMPUTED_VALUE"""),"ITBISA-RAPID-BOHLAM-E10-2.5V-SCREW")</f>
        <v>ITBISA-RAPID-BOHLAM-E10-2.5V-SCREW</v>
      </c>
      <c r="B9050" s="266">
        <f>IFERROR(__xludf.DUMMYFUNCTION("""COMPUTED_VALUE"""),43596.0)</f>
        <v>43596</v>
      </c>
      <c r="C9050" s="266" t="str">
        <f>IFERROR(__xludf.DUMMYFUNCTION("""COMPUTED_VALUE"""),"AVRG ITB")</f>
        <v>AVRG ITB</v>
      </c>
      <c r="D9050" s="186">
        <f>IFERROR(__xludf.DUMMYFUNCTION("""COMPUTED_VALUE"""),47.0)</f>
        <v>47</v>
      </c>
    </row>
    <row r="9051">
      <c r="A9051" s="178" t="str">
        <f>IFERROR(__xludf.DUMMYFUNCTION("""COMPUTED_VALUE"""),"ITBISA-RAPID-BOHLAM-E10-2.5V-SCREW")</f>
        <v>ITBISA-RAPID-BOHLAM-E10-2.5V-SCREW</v>
      </c>
      <c r="B9051" s="266">
        <f>IFERROR(__xludf.DUMMYFUNCTION("""COMPUTED_VALUE"""),43732.0)</f>
        <v>43732</v>
      </c>
      <c r="C9051" s="266" t="str">
        <f>IFERROR(__xludf.DUMMYFUNCTION("""COMPUTED_VALUE"""),"RUMAH MUZAKKI")</f>
        <v>RUMAH MUZAKKI</v>
      </c>
      <c r="D9051" s="186">
        <f>IFERROR(__xludf.DUMMYFUNCTION("""COMPUTED_VALUE"""),2.0)</f>
        <v>2</v>
      </c>
    </row>
    <row r="9052">
      <c r="A9052" s="178" t="str">
        <f>IFERROR(__xludf.DUMMYFUNCTION("""COMPUTED_VALUE"""),"ITBISA-RAPID-BOHLAM-E10-2.5V-SCREW")</f>
        <v>ITBISA-RAPID-BOHLAM-E10-2.5V-SCREW</v>
      </c>
      <c r="B9052" s="266">
        <f>IFERROR(__xludf.DUMMYFUNCTION("""COMPUTED_VALUE"""),43733.0)</f>
        <v>43733</v>
      </c>
      <c r="C9052" s="266" t="str">
        <f>IFERROR(__xludf.DUMMYFUNCTION("""COMPUTED_VALUE"""),"RUMAH MUZAKKI")</f>
        <v>RUMAH MUZAKKI</v>
      </c>
      <c r="D9052" s="186">
        <f>IFERROR(__xludf.DUMMYFUNCTION("""COMPUTED_VALUE"""),1.0)</f>
        <v>1</v>
      </c>
    </row>
    <row r="9053">
      <c r="A9053" s="178" t="str">
        <f>IFERROR(__xludf.DUMMYFUNCTION("""COMPUTED_VALUE"""),"ITBISA-RAPID-BOHLAM-E10-2.5V-SCREW")</f>
        <v>ITBISA-RAPID-BOHLAM-E10-2.5V-SCREW</v>
      </c>
      <c r="B9053" s="266">
        <f>IFERROR(__xludf.DUMMYFUNCTION("""COMPUTED_VALUE"""),43738.0)</f>
        <v>43738</v>
      </c>
      <c r="C9053" s="266" t="str">
        <f>IFERROR(__xludf.DUMMYFUNCTION("""COMPUTED_VALUE"""),"RUMAH MUZAKKI")</f>
        <v>RUMAH MUZAKKI</v>
      </c>
      <c r="D9053" s="186">
        <f>IFERROR(__xludf.DUMMYFUNCTION("""COMPUTED_VALUE"""),12.0)</f>
        <v>12</v>
      </c>
    </row>
    <row r="9054">
      <c r="A9054" s="178" t="str">
        <f>IFERROR(__xludf.DUMMYFUNCTION("""COMPUTED_VALUE"""),"ITBISA-RAPID-BOHLAM-E10-2.5V-SCREW")</f>
        <v>ITBISA-RAPID-BOHLAM-E10-2.5V-SCREW</v>
      </c>
      <c r="B9054" s="266">
        <f>IFERROR(__xludf.DUMMYFUNCTION("""COMPUTED_VALUE"""),43745.0)</f>
        <v>43745</v>
      </c>
      <c r="C9054" s="266" t="str">
        <f>IFERROR(__xludf.DUMMYFUNCTION("""COMPUTED_VALUE"""),"RUMAH MUZAKKI")</f>
        <v>RUMAH MUZAKKI</v>
      </c>
      <c r="D9054" s="186">
        <f>IFERROR(__xludf.DUMMYFUNCTION("""COMPUTED_VALUE"""),5.0)</f>
        <v>5</v>
      </c>
    </row>
    <row r="9055">
      <c r="A9055" s="178" t="str">
        <f>IFERROR(__xludf.DUMMYFUNCTION("""COMPUTED_VALUE"""),"ITBISA-RAPID-BOHLAM-E10-2.5V-SCREW")</f>
        <v>ITBISA-RAPID-BOHLAM-E10-2.5V-SCREW</v>
      </c>
      <c r="B9055" s="266">
        <f>IFERROR(__xludf.DUMMYFUNCTION("""COMPUTED_VALUE"""),43753.0)</f>
        <v>43753</v>
      </c>
      <c r="C9055" s="266" t="str">
        <f>IFERROR(__xludf.DUMMYFUNCTION("""COMPUTED_VALUE"""),"RUMAH MUZAKKI")</f>
        <v>RUMAH MUZAKKI</v>
      </c>
      <c r="D9055" s="186">
        <f>IFERROR(__xludf.DUMMYFUNCTION("""COMPUTED_VALUE"""),5.0)</f>
        <v>5</v>
      </c>
    </row>
    <row r="9056">
      <c r="A9056" s="178" t="str">
        <f>IFERROR(__xludf.DUMMYFUNCTION("""COMPUTED_VALUE"""),"ITBISA-RAPID-BOHLAM-E10-2.5V-SCREW")</f>
        <v>ITBISA-RAPID-BOHLAM-E10-2.5V-SCREW</v>
      </c>
      <c r="B9056" s="266">
        <f>IFERROR(__xludf.DUMMYFUNCTION("""COMPUTED_VALUE"""),43799.0)</f>
        <v>43799</v>
      </c>
      <c r="C9056" s="266" t="str">
        <f>IFERROR(__xludf.DUMMYFUNCTION("""COMPUTED_VALUE"""),"RUMAH MUZAKKI")</f>
        <v>RUMAH MUZAKKI</v>
      </c>
      <c r="D9056" s="186">
        <f>IFERROR(__xludf.DUMMYFUNCTION("""COMPUTED_VALUE"""),50.0)</f>
        <v>50</v>
      </c>
    </row>
    <row r="9057">
      <c r="A9057" s="178" t="str">
        <f>IFERROR(__xludf.DUMMYFUNCTION("""COMPUTED_VALUE"""),"ITBISA-RAPID-BOHLAM-E10-2.5V-SCREW")</f>
        <v>ITBISA-RAPID-BOHLAM-E10-2.5V-SCREW</v>
      </c>
      <c r="B9057" s="266">
        <f>IFERROR(__xludf.DUMMYFUNCTION("""COMPUTED_VALUE"""),43829.0)</f>
        <v>43829</v>
      </c>
      <c r="C9057" s="266" t="str">
        <f>IFERROR(__xludf.DUMMYFUNCTION("""COMPUTED_VALUE"""),"AVRG ITB")</f>
        <v>AVRG ITB</v>
      </c>
      <c r="D9057" s="186">
        <f>IFERROR(__xludf.DUMMYFUNCTION("""COMPUTED_VALUE"""),10.0)</f>
        <v>10</v>
      </c>
    </row>
    <row r="9058">
      <c r="A9058" s="178" t="str">
        <f>IFERROR(__xludf.DUMMYFUNCTION("""COMPUTED_VALUE"""),"ITBISA-RAPID-BOHLAM-E10-2.5V-SCREW")</f>
        <v>ITBISA-RAPID-BOHLAM-E10-2.5V-SCREW</v>
      </c>
      <c r="B9058" s="266">
        <f>IFERROR(__xludf.DUMMYFUNCTION("""COMPUTED_VALUE"""),43948.0)</f>
        <v>43948</v>
      </c>
      <c r="C9058" s="266" t="str">
        <f>IFERROR(__xludf.DUMMYFUNCTION("""COMPUTED_VALUE"""),"KAETOBO RESIDENCE")</f>
        <v>KAETOBO RESIDENCE</v>
      </c>
      <c r="D9058" s="186">
        <f>IFERROR(__xludf.DUMMYFUNCTION("""COMPUTED_VALUE"""),10.0)</f>
        <v>10</v>
      </c>
    </row>
    <row r="9059">
      <c r="A9059" s="178" t="str">
        <f>IFERROR(__xludf.DUMMYFUNCTION("""COMPUTED_VALUE"""),"ITBISA-RAPID-BOHLAM-E10-2.5V-SCREW")</f>
        <v>ITBISA-RAPID-BOHLAM-E10-2.5V-SCREW</v>
      </c>
      <c r="B9059" s="266">
        <f>IFERROR(__xludf.DUMMYFUNCTION("""COMPUTED_VALUE"""),43985.0)</f>
        <v>43985</v>
      </c>
      <c r="C9059" s="266" t="str">
        <f>IFERROR(__xludf.DUMMYFUNCTION("""COMPUTED_VALUE"""),"KAETOBO RESIDENCE")</f>
        <v>KAETOBO RESIDENCE</v>
      </c>
      <c r="D9059" s="186">
        <f>IFERROR(__xludf.DUMMYFUNCTION("""COMPUTED_VALUE"""),10.0)</f>
        <v>10</v>
      </c>
    </row>
    <row r="9060">
      <c r="A9060" s="178" t="str">
        <f>IFERROR(__xludf.DUMMYFUNCTION("""COMPUTED_VALUE"""),"ITBISA-RAPID-BOHLAM-E10-2.5V-SCREW")</f>
        <v>ITBISA-RAPID-BOHLAM-E10-2.5V-SCREW</v>
      </c>
      <c r="B9060" s="266">
        <f>IFERROR(__xludf.DUMMYFUNCTION("""COMPUTED_VALUE"""),43996.0)</f>
        <v>43996</v>
      </c>
      <c r="C9060" s="266" t="str">
        <f>IFERROR(__xludf.DUMMYFUNCTION("""COMPUTED_VALUE"""),"KAETOBO RESIDENCE")</f>
        <v>KAETOBO RESIDENCE</v>
      </c>
      <c r="D9060" s="186">
        <f>IFERROR(__xludf.DUMMYFUNCTION("""COMPUTED_VALUE"""),20.0)</f>
        <v>20</v>
      </c>
    </row>
    <row r="9061">
      <c r="A9061" s="178" t="str">
        <f>IFERROR(__xludf.DUMMYFUNCTION("""COMPUTED_VALUE"""),"ITBISA-RAPID-BOHLAM-E10-2.5V-SCREW")</f>
        <v>ITBISA-RAPID-BOHLAM-E10-2.5V-SCREW</v>
      </c>
      <c r="B9061" s="266">
        <f>IFERROR(__xludf.DUMMYFUNCTION("""COMPUTED_VALUE"""),44008.0)</f>
        <v>44008</v>
      </c>
      <c r="C9061" s="266" t="str">
        <f>IFERROR(__xludf.DUMMYFUNCTION("""COMPUTED_VALUE"""),"KAETOBO RESIDENCE")</f>
        <v>KAETOBO RESIDENCE</v>
      </c>
      <c r="D9061" s="186">
        <f>IFERROR(__xludf.DUMMYFUNCTION("""COMPUTED_VALUE"""),50.0)</f>
        <v>50</v>
      </c>
    </row>
    <row r="9062">
      <c r="A9062" s="178" t="str">
        <f>IFERROR(__xludf.DUMMYFUNCTION("""COMPUTED_VALUE"""),"ITBISA-RAPID-BOHLAM-E10-2.5V-SCREW")</f>
        <v>ITBISA-RAPID-BOHLAM-E10-2.5V-SCREW</v>
      </c>
      <c r="B9062" s="266">
        <f>IFERROR(__xludf.DUMMYFUNCTION("""COMPUTED_VALUE"""),44011.0)</f>
        <v>44011</v>
      </c>
      <c r="C9062" s="266" t="str">
        <f>IFERROR(__xludf.DUMMYFUNCTION("""COMPUTED_VALUE"""),"KAETOBO RESIDENCE")</f>
        <v>KAETOBO RESIDENCE</v>
      </c>
      <c r="D9062" s="186">
        <f>IFERROR(__xludf.DUMMYFUNCTION("""COMPUTED_VALUE"""),10.0)</f>
        <v>10</v>
      </c>
    </row>
    <row r="9063">
      <c r="A9063" s="178" t="str">
        <f>IFERROR(__xludf.DUMMYFUNCTION("""COMPUTED_VALUE"""),"ITBISA-RAPID-BOHLAM-E10-2.5V-SCREW")</f>
        <v>ITBISA-RAPID-BOHLAM-E10-2.5V-SCREW</v>
      </c>
      <c r="B9063" s="266">
        <f>IFERROR(__xludf.DUMMYFUNCTION("""COMPUTED_VALUE"""),44041.0)</f>
        <v>44041</v>
      </c>
      <c r="C9063" s="266" t="str">
        <f>IFERROR(__xludf.DUMMYFUNCTION("""COMPUTED_VALUE"""),"KAETOBO RESIDENCE")</f>
        <v>KAETOBO RESIDENCE</v>
      </c>
      <c r="D9063" s="186">
        <f>IFERROR(__xludf.DUMMYFUNCTION("""COMPUTED_VALUE"""),15.0)</f>
        <v>15</v>
      </c>
    </row>
    <row r="9064">
      <c r="A9064" s="178" t="str">
        <f>IFERROR(__xludf.DUMMYFUNCTION("""COMPUTED_VALUE"""),"ITBISA-RAPID-BOHLAM-E10-2.5V-SCREW")</f>
        <v>ITBISA-RAPID-BOHLAM-E10-2.5V-SCREW</v>
      </c>
      <c r="B9064" s="266">
        <f>IFERROR(__xludf.DUMMYFUNCTION("""COMPUTED_VALUE"""),44228.0)</f>
        <v>44228</v>
      </c>
      <c r="C9064" s="266" t="str">
        <f>IFERROR(__xludf.DUMMYFUNCTION("""COMPUTED_VALUE"""),"KOST RUMAHUMI")</f>
        <v>KOST RUMAHUMI</v>
      </c>
      <c r="D9064" s="186">
        <f>IFERROR(__xludf.DUMMYFUNCTION("""COMPUTED_VALUE"""),2.0)</f>
        <v>2</v>
      </c>
    </row>
    <row r="9065">
      <c r="A9065" s="178" t="str">
        <f>IFERROR(__xludf.DUMMYFUNCTION("""COMPUTED_VALUE"""),"ITBISA-RAPID-BOHLAM-E10-2.5V-SCREW")</f>
        <v>ITBISA-RAPID-BOHLAM-E10-2.5V-SCREW</v>
      </c>
      <c r="B9065" s="266">
        <f>IFERROR(__xludf.DUMMYFUNCTION("""COMPUTED_VALUE"""),44353.0)</f>
        <v>44353</v>
      </c>
      <c r="C9065" s="266" t="str">
        <f>IFERROR(__xludf.DUMMYFUNCTION("""COMPUTED_VALUE"""),"KOST RUMAHUMI")</f>
        <v>KOST RUMAHUMI</v>
      </c>
      <c r="D9065" s="186">
        <f>IFERROR(__xludf.DUMMYFUNCTION("""COMPUTED_VALUE"""),5.0)</f>
        <v>5</v>
      </c>
    </row>
    <row r="9066">
      <c r="A9066" s="178" t="str">
        <f>IFERROR(__xludf.DUMMYFUNCTION("""COMPUTED_VALUE"""),"ITBISA-RAPID-BOHLAM-E10-2.5V-SCREW")</f>
        <v>ITBISA-RAPID-BOHLAM-E10-2.5V-SCREW</v>
      </c>
      <c r="B9066" s="266">
        <f>IFERROR(__xludf.DUMMYFUNCTION("""COMPUTED_VALUE"""),44422.0)</f>
        <v>44422</v>
      </c>
      <c r="C9066" s="266" t="str">
        <f>IFERROR(__xludf.DUMMYFUNCTION("""COMPUTED_VALUE"""),"KOST RUMAHUMI")</f>
        <v>KOST RUMAHUMI</v>
      </c>
      <c r="D9066" s="186">
        <f>IFERROR(__xludf.DUMMYFUNCTION("""COMPUTED_VALUE"""),4.0)</f>
        <v>4</v>
      </c>
    </row>
    <row r="9067">
      <c r="A9067" s="178" t="str">
        <f>IFERROR(__xludf.DUMMYFUNCTION("""COMPUTED_VALUE"""),"ITBISA-RAPID-BOHLAM-E10-2.5V-SCREW")</f>
        <v>ITBISA-RAPID-BOHLAM-E10-2.5V-SCREW</v>
      </c>
      <c r="B9067" s="266">
        <f>IFERROR(__xludf.DUMMYFUNCTION("""COMPUTED_VALUE"""),44832.0)</f>
        <v>44832</v>
      </c>
      <c r="C9067" s="266" t="str">
        <f>IFERROR(__xludf.DUMMYFUNCTION("""COMPUTED_VALUE"""),"KYAI KONTONG")</f>
        <v>KYAI KONTONG</v>
      </c>
      <c r="D9067" s="186">
        <f>IFERROR(__xludf.DUMMYFUNCTION("""COMPUTED_VALUE"""),5.0)</f>
        <v>5</v>
      </c>
    </row>
    <row r="9068">
      <c r="A9068" s="178" t="str">
        <f>IFERROR(__xludf.DUMMYFUNCTION("""COMPUTED_VALUE"""),"ITBISA-RAPID-BOHLAM-E10-2.5V-SCREW")</f>
        <v>ITBISA-RAPID-BOHLAM-E10-2.5V-SCREW</v>
      </c>
      <c r="B9068" s="266">
        <f>IFERROR(__xludf.DUMMYFUNCTION("""COMPUTED_VALUE"""),44846.0)</f>
        <v>44846</v>
      </c>
      <c r="C9068" s="266" t="str">
        <f>IFERROR(__xludf.DUMMYFUNCTION("""COMPUTED_VALUE"""),"KYAI KONTONG")</f>
        <v>KYAI KONTONG</v>
      </c>
      <c r="D9068" s="186">
        <f>IFERROR(__xludf.DUMMYFUNCTION("""COMPUTED_VALUE"""),1.0)</f>
        <v>1</v>
      </c>
    </row>
    <row r="9069">
      <c r="A9069" s="178" t="str">
        <f>IFERROR(__xludf.DUMMYFUNCTION("""COMPUTED_VALUE"""),"ITBISA-RAPID-BOHLAM-E10-2.5V-SCREW")</f>
        <v>ITBISA-RAPID-BOHLAM-E10-2.5V-SCREW</v>
      </c>
      <c r="B9069" s="266">
        <f>IFERROR(__xludf.DUMMYFUNCTION("""COMPUTED_VALUE"""),44862.0)</f>
        <v>44862</v>
      </c>
      <c r="C9069" s="266" t="str">
        <f>IFERROR(__xludf.DUMMYFUNCTION("""COMPUTED_VALUE"""),"KYAI KONTONG")</f>
        <v>KYAI KONTONG</v>
      </c>
      <c r="D9069" s="186">
        <f>IFERROR(__xludf.DUMMYFUNCTION("""COMPUTED_VALUE"""),108.0)</f>
        <v>108</v>
      </c>
    </row>
    <row r="9070">
      <c r="A9070" s="178" t="str">
        <f>IFERROR(__xludf.DUMMYFUNCTION("""COMPUTED_VALUE"""),"ITBISA-RAPID-BOHLAM-E10-2.5V-SCREW")</f>
        <v>ITBISA-RAPID-BOHLAM-E10-2.5V-SCREW</v>
      </c>
      <c r="B9070" s="266">
        <f>IFERROR(__xludf.DUMMYFUNCTION("""COMPUTED_VALUE"""),44864.0)</f>
        <v>44864</v>
      </c>
      <c r="C9070" s="266" t="str">
        <f>IFERROR(__xludf.DUMMYFUNCTION("""COMPUTED_VALUE"""),"KYAI KONTONG")</f>
        <v>KYAI KONTONG</v>
      </c>
      <c r="D9070" s="186">
        <f>IFERROR(__xludf.DUMMYFUNCTION("""COMPUTED_VALUE"""),31.0)</f>
        <v>31</v>
      </c>
    </row>
    <row r="9071">
      <c r="A9071" s="178" t="str">
        <f>IFERROR(__xludf.DUMMYFUNCTION("""COMPUTED_VALUE"""),"ITBISA-RAPID-BOHLAM-E10-2.5V-SCREW")</f>
        <v>ITBISA-RAPID-BOHLAM-E10-2.5V-SCREW</v>
      </c>
      <c r="B9071" s="266">
        <f>IFERROR(__xludf.DUMMYFUNCTION("""COMPUTED_VALUE"""),44868.0)</f>
        <v>44868</v>
      </c>
      <c r="C9071" s="266" t="str">
        <f>IFERROR(__xludf.DUMMYFUNCTION("""COMPUTED_VALUE"""),"KYAI KONTONG")</f>
        <v>KYAI KONTONG</v>
      </c>
      <c r="D9071" s="186">
        <f>IFERROR(__xludf.DUMMYFUNCTION("""COMPUTED_VALUE"""),1.0)</f>
        <v>1</v>
      </c>
    </row>
    <row r="9072">
      <c r="A9072" s="178" t="str">
        <f>IFERROR(__xludf.DUMMYFUNCTION("""COMPUTED_VALUE"""),"ITBISA-RAPID-BOHLAM-E10-2.5V-SCREW")</f>
        <v>ITBISA-RAPID-BOHLAM-E10-2.5V-SCREW</v>
      </c>
      <c r="B9072" s="266">
        <f>IFERROR(__xludf.DUMMYFUNCTION("""COMPUTED_VALUE"""),44868.0)</f>
        <v>44868</v>
      </c>
      <c r="C9072" s="266" t="str">
        <f>IFERROR(__xludf.DUMMYFUNCTION("""COMPUTED_VALUE"""),"KYAI KONTONG")</f>
        <v>KYAI KONTONG</v>
      </c>
      <c r="D9072" s="186">
        <f>IFERROR(__xludf.DUMMYFUNCTION("""COMPUTED_VALUE"""),80.0)</f>
        <v>80</v>
      </c>
    </row>
    <row r="9073">
      <c r="A9073" s="178" t="str">
        <f>IFERROR(__xludf.DUMMYFUNCTION("""COMPUTED_VALUE"""),"ITBISA-RAPID-BOHLAM-E10-2.5V-SCREW")</f>
        <v>ITBISA-RAPID-BOHLAM-E10-2.5V-SCREW</v>
      </c>
      <c r="B9073" s="266">
        <f>IFERROR(__xludf.DUMMYFUNCTION("""COMPUTED_VALUE"""),44871.0)</f>
        <v>44871</v>
      </c>
      <c r="C9073" s="266" t="str">
        <f>IFERROR(__xludf.DUMMYFUNCTION("""COMPUTED_VALUE"""),"KYAI KONTONG")</f>
        <v>KYAI KONTONG</v>
      </c>
      <c r="D9073" s="186">
        <f>IFERROR(__xludf.DUMMYFUNCTION("""COMPUTED_VALUE"""),2.0)</f>
        <v>2</v>
      </c>
    </row>
    <row r="9074">
      <c r="A9074" s="178" t="str">
        <f>IFERROR(__xludf.DUMMYFUNCTION("""COMPUTED_VALUE"""),"ITBISA-RAPID-BOHLAM-E10-2.5V-SCREW")</f>
        <v>ITBISA-RAPID-BOHLAM-E10-2.5V-SCREW</v>
      </c>
      <c r="B9074" s="266">
        <f>IFERROR(__xludf.DUMMYFUNCTION("""COMPUTED_VALUE"""),44871.0)</f>
        <v>44871</v>
      </c>
      <c r="C9074" s="266" t="str">
        <f>IFERROR(__xludf.DUMMYFUNCTION("""COMPUTED_VALUE"""),"KYAI KONTONG")</f>
        <v>KYAI KONTONG</v>
      </c>
      <c r="D9074" s="186">
        <f>IFERROR(__xludf.DUMMYFUNCTION("""COMPUTED_VALUE"""),28.0)</f>
        <v>28</v>
      </c>
    </row>
    <row r="9075">
      <c r="A9075" s="178" t="str">
        <f>IFERROR(__xludf.DUMMYFUNCTION("""COMPUTED_VALUE"""),"ITBISA-RAPID-BOHLAM-E10-2.5V-SCREW")</f>
        <v>ITBISA-RAPID-BOHLAM-E10-2.5V-SCREW</v>
      </c>
      <c r="B9075" s="266">
        <f>IFERROR(__xludf.DUMMYFUNCTION("""COMPUTED_VALUE"""),44872.0)</f>
        <v>44872</v>
      </c>
      <c r="C9075" s="266" t="str">
        <f>IFERROR(__xludf.DUMMYFUNCTION("""COMPUTED_VALUE"""),"KYAI KONTONG")</f>
        <v>KYAI KONTONG</v>
      </c>
      <c r="D9075" s="186">
        <f>IFERROR(__xludf.DUMMYFUNCTION("""COMPUTED_VALUE"""),2.0)</f>
        <v>2</v>
      </c>
    </row>
    <row r="9076">
      <c r="A9076" s="178" t="str">
        <f>IFERROR(__xludf.DUMMYFUNCTION("""COMPUTED_VALUE"""),"ITBISA-RAPID-BOHLAM-E10-2.5V-SCREW")</f>
        <v>ITBISA-RAPID-BOHLAM-E10-2.5V-SCREW</v>
      </c>
      <c r="B9076" s="266">
        <f>IFERROR(__xludf.DUMMYFUNCTION("""COMPUTED_VALUE"""),44886.0)</f>
        <v>44886</v>
      </c>
      <c r="C9076" s="266" t="str">
        <f>IFERROR(__xludf.DUMMYFUNCTION("""COMPUTED_VALUE"""),"KYAI KONTONG")</f>
        <v>KYAI KONTONG</v>
      </c>
      <c r="D9076" s="186">
        <f>IFERROR(__xludf.DUMMYFUNCTION("""COMPUTED_VALUE"""),1.0)</f>
        <v>1</v>
      </c>
    </row>
    <row r="9077">
      <c r="A9077" s="178" t="str">
        <f>IFERROR(__xludf.DUMMYFUNCTION("""COMPUTED_VALUE"""),"ITBISA-RAPID-BOHLAM-E10-2.5V-SCREW")</f>
        <v>ITBISA-RAPID-BOHLAM-E10-2.5V-SCREW</v>
      </c>
      <c r="B9077" s="266">
        <f>IFERROR(__xludf.DUMMYFUNCTION("""COMPUTED_VALUE"""),44892.0)</f>
        <v>44892</v>
      </c>
      <c r="C9077" s="266" t="str">
        <f>IFERROR(__xludf.DUMMYFUNCTION("""COMPUTED_VALUE"""),"KYAI KONTONG")</f>
        <v>KYAI KONTONG</v>
      </c>
      <c r="D9077" s="186">
        <f>IFERROR(__xludf.DUMMYFUNCTION("""COMPUTED_VALUE"""),10.0)</f>
        <v>10</v>
      </c>
    </row>
    <row r="9078">
      <c r="A9078" s="178" t="str">
        <f>IFERROR(__xludf.DUMMYFUNCTION("""COMPUTED_VALUE"""),"ITBISA-RAPID-BOHLAM-E10-2.5V-SCREW")</f>
        <v>ITBISA-RAPID-BOHLAM-E10-2.5V-SCREW</v>
      </c>
      <c r="B9078" s="266">
        <f>IFERROR(__xludf.DUMMYFUNCTION("""COMPUTED_VALUE"""),44901.0)</f>
        <v>44901</v>
      </c>
      <c r="C9078" s="266" t="str">
        <f>IFERROR(__xludf.DUMMYFUNCTION("""COMPUTED_VALUE"""),"KYAI KONTONG")</f>
        <v>KYAI KONTONG</v>
      </c>
      <c r="D9078" s="186">
        <f>IFERROR(__xludf.DUMMYFUNCTION("""COMPUTED_VALUE"""),1.0)</f>
        <v>1</v>
      </c>
    </row>
    <row r="9079">
      <c r="A9079" s="178" t="str">
        <f>IFERROR(__xludf.DUMMYFUNCTION("""COMPUTED_VALUE"""),"ITBISA-RAPID-BOHLAM-E10-2.5V-SCREW")</f>
        <v>ITBISA-RAPID-BOHLAM-E10-2.5V-SCREW</v>
      </c>
      <c r="B9079" s="266">
        <f>IFERROR(__xludf.DUMMYFUNCTION("""COMPUTED_VALUE"""),44902.0)</f>
        <v>44902</v>
      </c>
      <c r="C9079" s="266" t="str">
        <f>IFERROR(__xludf.DUMMYFUNCTION("""COMPUTED_VALUE"""),"KYAI KONTONG")</f>
        <v>KYAI KONTONG</v>
      </c>
      <c r="D9079" s="186">
        <f>IFERROR(__xludf.DUMMYFUNCTION("""COMPUTED_VALUE"""),1.0)</f>
        <v>1</v>
      </c>
    </row>
    <row r="9080">
      <c r="A9080" s="178" t="str">
        <f>IFERROR(__xludf.DUMMYFUNCTION("""COMPUTED_VALUE"""),"ITBISA-RAPID-BOHLAM-E10-2.5V-SCREW")</f>
        <v>ITBISA-RAPID-BOHLAM-E10-2.5V-SCREW</v>
      </c>
      <c r="B9080" s="266">
        <f>IFERROR(__xludf.DUMMYFUNCTION("""COMPUTED_VALUE"""),44903.0)</f>
        <v>44903</v>
      </c>
      <c r="C9080" s="266" t="str">
        <f>IFERROR(__xludf.DUMMYFUNCTION("""COMPUTED_VALUE"""),"KYAI KONTONG")</f>
        <v>KYAI KONTONG</v>
      </c>
      <c r="D9080" s="186">
        <f>IFERROR(__xludf.DUMMYFUNCTION("""COMPUTED_VALUE"""),1.0)</f>
        <v>1</v>
      </c>
    </row>
    <row r="9081">
      <c r="A9081" s="178" t="str">
        <f>IFERROR(__xludf.DUMMYFUNCTION("""COMPUTED_VALUE"""),"ITBISA-RAPID-BOHLAM-E10-2.5V-SCREW")</f>
        <v>ITBISA-RAPID-BOHLAM-E10-2.5V-SCREW</v>
      </c>
      <c r="B9081" s="266">
        <f>IFERROR(__xludf.DUMMYFUNCTION("""COMPUTED_VALUE"""),44903.0)</f>
        <v>44903</v>
      </c>
      <c r="C9081" s="266" t="str">
        <f>IFERROR(__xludf.DUMMYFUNCTION("""COMPUTED_VALUE"""),"KYAI KONTONG")</f>
        <v>KYAI KONTONG</v>
      </c>
      <c r="D9081" s="186">
        <f>IFERROR(__xludf.DUMMYFUNCTION("""COMPUTED_VALUE"""),2.0)</f>
        <v>2</v>
      </c>
    </row>
    <row r="9082">
      <c r="A9082" s="178" t="str">
        <f>IFERROR(__xludf.DUMMYFUNCTION("""COMPUTED_VALUE"""),"ITBISA-RAPID-BOHLAM-E10-2.5V-SCREW")</f>
        <v>ITBISA-RAPID-BOHLAM-E10-2.5V-SCREW</v>
      </c>
      <c r="B9082" s="266">
        <f>IFERROR(__xludf.DUMMYFUNCTION("""COMPUTED_VALUE"""),44903.0)</f>
        <v>44903</v>
      </c>
      <c r="C9082" s="266" t="str">
        <f>IFERROR(__xludf.DUMMYFUNCTION("""COMPUTED_VALUE"""),"KYAI KONTONG")</f>
        <v>KYAI KONTONG</v>
      </c>
      <c r="D9082" s="186">
        <f>IFERROR(__xludf.DUMMYFUNCTION("""COMPUTED_VALUE"""),8.0)</f>
        <v>8</v>
      </c>
    </row>
    <row r="9083">
      <c r="A9083" s="178" t="str">
        <f>IFERROR(__xludf.DUMMYFUNCTION("""COMPUTED_VALUE"""),"ITBISA-RAPID-BOHLAM-E10-2.5V-SCREW")</f>
        <v>ITBISA-RAPID-BOHLAM-E10-2.5V-SCREW</v>
      </c>
      <c r="B9083" s="266">
        <f>IFERROR(__xludf.DUMMYFUNCTION("""COMPUTED_VALUE"""),44904.0)</f>
        <v>44904</v>
      </c>
      <c r="C9083" s="266" t="str">
        <f>IFERROR(__xludf.DUMMYFUNCTION("""COMPUTED_VALUE"""),"KYAI KONTONG")</f>
        <v>KYAI KONTONG</v>
      </c>
      <c r="D9083" s="186">
        <f>IFERROR(__xludf.DUMMYFUNCTION("""COMPUTED_VALUE"""),2.0)</f>
        <v>2</v>
      </c>
    </row>
    <row r="9084">
      <c r="A9084" s="178" t="str">
        <f>IFERROR(__xludf.DUMMYFUNCTION("""COMPUTED_VALUE"""),"ITBISA-RAPID-BOHLAM-E10-2.5V-SCREW")</f>
        <v>ITBISA-RAPID-BOHLAM-E10-2.5V-SCREW</v>
      </c>
      <c r="B9084" s="266">
        <f>IFERROR(__xludf.DUMMYFUNCTION("""COMPUTED_VALUE"""),44904.0)</f>
        <v>44904</v>
      </c>
      <c r="C9084" s="266" t="str">
        <f>IFERROR(__xludf.DUMMYFUNCTION("""COMPUTED_VALUE"""),"KYAI KONTONG")</f>
        <v>KYAI KONTONG</v>
      </c>
      <c r="D9084" s="186">
        <f>IFERROR(__xludf.DUMMYFUNCTION("""COMPUTED_VALUE"""),2.0)</f>
        <v>2</v>
      </c>
    </row>
    <row r="9085">
      <c r="A9085" s="178" t="str">
        <f>IFERROR(__xludf.DUMMYFUNCTION("""COMPUTED_VALUE"""),"ITBISA-RAPID-BOHLAM-E10-2.5V-SCREW")</f>
        <v>ITBISA-RAPID-BOHLAM-E10-2.5V-SCREW</v>
      </c>
      <c r="B9085" s="266">
        <f>IFERROR(__xludf.DUMMYFUNCTION("""COMPUTED_VALUE"""),44904.0)</f>
        <v>44904</v>
      </c>
      <c r="C9085" s="266" t="str">
        <f>IFERROR(__xludf.DUMMYFUNCTION("""COMPUTED_VALUE"""),"KYAI KONTONG")</f>
        <v>KYAI KONTONG</v>
      </c>
      <c r="D9085" s="186">
        <f>IFERROR(__xludf.DUMMYFUNCTION("""COMPUTED_VALUE"""),3.0)</f>
        <v>3</v>
      </c>
    </row>
    <row r="9086">
      <c r="A9086" s="178" t="str">
        <f>IFERROR(__xludf.DUMMYFUNCTION("""COMPUTED_VALUE"""),"ITBISA-RAPID-BOHLAM-E10-2.5V-SCREW")</f>
        <v>ITBISA-RAPID-BOHLAM-E10-2.5V-SCREW</v>
      </c>
      <c r="B9086" s="266">
        <f>IFERROR(__xludf.DUMMYFUNCTION("""COMPUTED_VALUE"""),44907.0)</f>
        <v>44907</v>
      </c>
      <c r="C9086" s="266" t="str">
        <f>IFERROR(__xludf.DUMMYFUNCTION("""COMPUTED_VALUE"""),"KYAI KONTONG")</f>
        <v>KYAI KONTONG</v>
      </c>
      <c r="D9086" s="186">
        <f>IFERROR(__xludf.DUMMYFUNCTION("""COMPUTED_VALUE"""),1.0)</f>
        <v>1</v>
      </c>
    </row>
    <row r="9087">
      <c r="A9087" s="178" t="str">
        <f>IFERROR(__xludf.DUMMYFUNCTION("""COMPUTED_VALUE"""),"ITBISA-RAPID-BOHLAM-E10-2.5V-SCREW")</f>
        <v>ITBISA-RAPID-BOHLAM-E10-2.5V-SCREW</v>
      </c>
      <c r="B9087" s="266">
        <f>IFERROR(__xludf.DUMMYFUNCTION("""COMPUTED_VALUE"""),44907.0)</f>
        <v>44907</v>
      </c>
      <c r="C9087" s="266" t="str">
        <f>IFERROR(__xludf.DUMMYFUNCTION("""COMPUTED_VALUE"""),"KYAI KONTONG")</f>
        <v>KYAI KONTONG</v>
      </c>
      <c r="D9087" s="186">
        <f>IFERROR(__xludf.DUMMYFUNCTION("""COMPUTED_VALUE"""),2.0)</f>
        <v>2</v>
      </c>
    </row>
    <row r="9088">
      <c r="A9088" s="178" t="str">
        <f>IFERROR(__xludf.DUMMYFUNCTION("""COMPUTED_VALUE"""),"ITBISA-RAPID-BOHLAM-E10-2.5V-SCREW")</f>
        <v>ITBISA-RAPID-BOHLAM-E10-2.5V-SCREW</v>
      </c>
      <c r="B9088" s="266">
        <f>IFERROR(__xludf.DUMMYFUNCTION("""COMPUTED_VALUE"""),44907.0)</f>
        <v>44907</v>
      </c>
      <c r="C9088" s="266" t="str">
        <f>IFERROR(__xludf.DUMMYFUNCTION("""COMPUTED_VALUE"""),"KYAI KONTONG")</f>
        <v>KYAI KONTONG</v>
      </c>
      <c r="D9088" s="186">
        <f>IFERROR(__xludf.DUMMYFUNCTION("""COMPUTED_VALUE"""),5.0)</f>
        <v>5</v>
      </c>
    </row>
    <row r="9089">
      <c r="A9089" s="178" t="str">
        <f>IFERROR(__xludf.DUMMYFUNCTION("""COMPUTED_VALUE"""),"ITBISA-RAPID-BOHLAM-E10-2.5V-SCREW")</f>
        <v>ITBISA-RAPID-BOHLAM-E10-2.5V-SCREW</v>
      </c>
      <c r="B9089" s="266">
        <f>IFERROR(__xludf.DUMMYFUNCTION("""COMPUTED_VALUE"""),44907.0)</f>
        <v>44907</v>
      </c>
      <c r="C9089" s="266" t="str">
        <f>IFERROR(__xludf.DUMMYFUNCTION("""COMPUTED_VALUE"""),"KYAI KONTONG")</f>
        <v>KYAI KONTONG</v>
      </c>
      <c r="D9089" s="186">
        <f>IFERROR(__xludf.DUMMYFUNCTION("""COMPUTED_VALUE"""),5.0)</f>
        <v>5</v>
      </c>
    </row>
    <row r="9090">
      <c r="A9090" s="178" t="str">
        <f>IFERROR(__xludf.DUMMYFUNCTION("""COMPUTED_VALUE"""),"ITBISA-RAPID-BOHLAM-E10-2.5V-SCREW")</f>
        <v>ITBISA-RAPID-BOHLAM-E10-2.5V-SCREW</v>
      </c>
      <c r="B9090" s="266">
        <f>IFERROR(__xludf.DUMMYFUNCTION("""COMPUTED_VALUE"""),44912.0)</f>
        <v>44912</v>
      </c>
      <c r="C9090" s="266" t="str">
        <f>IFERROR(__xludf.DUMMYFUNCTION("""COMPUTED_VALUE"""),"KYAI KONTONG")</f>
        <v>KYAI KONTONG</v>
      </c>
      <c r="D9090" s="186">
        <f>IFERROR(__xludf.DUMMYFUNCTION("""COMPUTED_VALUE"""),3.0)</f>
        <v>3</v>
      </c>
    </row>
    <row r="9091">
      <c r="A9091" s="178" t="str">
        <f>IFERROR(__xludf.DUMMYFUNCTION("""COMPUTED_VALUE"""),"ITBISA-RAPID-BOHLAM-E10-2.5V-SCREW")</f>
        <v>ITBISA-RAPID-BOHLAM-E10-2.5V-SCREW</v>
      </c>
      <c r="B9091" s="266">
        <f>IFERROR(__xludf.DUMMYFUNCTION("""COMPUTED_VALUE"""),44917.0)</f>
        <v>44917</v>
      </c>
      <c r="C9091" s="266" t="str">
        <f>IFERROR(__xludf.DUMMYFUNCTION("""COMPUTED_VALUE"""),"KYAI KONTONG")</f>
        <v>KYAI KONTONG</v>
      </c>
      <c r="D9091" s="186">
        <f>IFERROR(__xludf.DUMMYFUNCTION("""COMPUTED_VALUE"""),3.0)</f>
        <v>3</v>
      </c>
    </row>
    <row r="9092">
      <c r="A9092" s="178" t="str">
        <f>IFERROR(__xludf.DUMMYFUNCTION("""COMPUTED_VALUE"""),"ITBISA-RAPID-BOHLAM-E10-2.5V-SCREW")</f>
        <v>ITBISA-RAPID-BOHLAM-E10-2.5V-SCREW</v>
      </c>
      <c r="B9092" s="266">
        <f>IFERROR(__xludf.DUMMYFUNCTION("""COMPUTED_VALUE"""),44918.0)</f>
        <v>44918</v>
      </c>
      <c r="C9092" s="266" t="str">
        <f>IFERROR(__xludf.DUMMYFUNCTION("""COMPUTED_VALUE"""),"KYAI KONTONG")</f>
        <v>KYAI KONTONG</v>
      </c>
      <c r="D9092" s="186">
        <f>IFERROR(__xludf.DUMMYFUNCTION("""COMPUTED_VALUE"""),1.0)</f>
        <v>1</v>
      </c>
    </row>
    <row r="9093">
      <c r="A9093" s="178" t="str">
        <f>IFERROR(__xludf.DUMMYFUNCTION("""COMPUTED_VALUE"""),"ITBISA-RAPID-BOHLAM-E10-2.5V-SCREW")</f>
        <v>ITBISA-RAPID-BOHLAM-E10-2.5V-SCREW</v>
      </c>
      <c r="B9093" s="266">
        <f>IFERROR(__xludf.DUMMYFUNCTION("""COMPUTED_VALUE"""),44927.0)</f>
        <v>44927</v>
      </c>
      <c r="C9093" s="266" t="str">
        <f>IFERROR(__xludf.DUMMYFUNCTION("""COMPUTED_VALUE"""),"KYAI KONTONG")</f>
        <v>KYAI KONTONG</v>
      </c>
      <c r="D9093" s="186">
        <f>IFERROR(__xludf.DUMMYFUNCTION("""COMPUTED_VALUE"""),5.0)</f>
        <v>5</v>
      </c>
    </row>
    <row r="9094">
      <c r="A9094" s="178" t="str">
        <f>IFERROR(__xludf.DUMMYFUNCTION("""COMPUTED_VALUE"""),"ITBISA-RAPID-BOHLAM-E10-2.5V-SCREW")</f>
        <v>ITBISA-RAPID-BOHLAM-E10-2.5V-SCREW</v>
      </c>
      <c r="B9094" s="266">
        <f>IFERROR(__xludf.DUMMYFUNCTION("""COMPUTED_VALUE"""),44932.0)</f>
        <v>44932</v>
      </c>
      <c r="C9094" s="266" t="str">
        <f>IFERROR(__xludf.DUMMYFUNCTION("""COMPUTED_VALUE"""),"KYAI KONTONG")</f>
        <v>KYAI KONTONG</v>
      </c>
      <c r="D9094" s="186">
        <f>IFERROR(__xludf.DUMMYFUNCTION("""COMPUTED_VALUE"""),1.0)</f>
        <v>1</v>
      </c>
    </row>
    <row r="9095">
      <c r="A9095" s="178" t="str">
        <f>IFERROR(__xludf.DUMMYFUNCTION("""COMPUTED_VALUE"""),"ITBISA-RAPID-BOHLAM-E10-2.5V-SCREW")</f>
        <v>ITBISA-RAPID-BOHLAM-E10-2.5V-SCREW</v>
      </c>
      <c r="B9095" s="266">
        <f>IFERROR(__xludf.DUMMYFUNCTION("""COMPUTED_VALUE"""),44937.0)</f>
        <v>44937</v>
      </c>
      <c r="C9095" s="266" t="str">
        <f>IFERROR(__xludf.DUMMYFUNCTION("""COMPUTED_VALUE"""),"KYAI KONTONG")</f>
        <v>KYAI KONTONG</v>
      </c>
      <c r="D9095" s="186">
        <f>IFERROR(__xludf.DUMMYFUNCTION("""COMPUTED_VALUE"""),10.0)</f>
        <v>10</v>
      </c>
    </row>
    <row r="9096">
      <c r="A9096" s="178" t="str">
        <f>IFERROR(__xludf.DUMMYFUNCTION("""COMPUTED_VALUE"""),"ITBISA-RAPID-BOHLAM-E10-2.5V-SCREW")</f>
        <v>ITBISA-RAPID-BOHLAM-E10-2.5V-SCREW</v>
      </c>
      <c r="B9096" s="266">
        <f>IFERROR(__xludf.DUMMYFUNCTION("""COMPUTED_VALUE"""),44942.0)</f>
        <v>44942</v>
      </c>
      <c r="C9096" s="266" t="str">
        <f>IFERROR(__xludf.DUMMYFUNCTION("""COMPUTED_VALUE"""),"KYAI KONTONG")</f>
        <v>KYAI KONTONG</v>
      </c>
      <c r="D9096" s="186">
        <f>IFERROR(__xludf.DUMMYFUNCTION("""COMPUTED_VALUE"""),3.0)</f>
        <v>3</v>
      </c>
    </row>
    <row r="9097">
      <c r="A9097" s="178" t="str">
        <f>IFERROR(__xludf.DUMMYFUNCTION("""COMPUTED_VALUE"""),"ITBISA-RAPID-BOHLAM-E10-2.5V-SCREW")</f>
        <v>ITBISA-RAPID-BOHLAM-E10-2.5V-SCREW</v>
      </c>
      <c r="B9097" s="266">
        <f>IFERROR(__xludf.DUMMYFUNCTION("""COMPUTED_VALUE"""),44943.0)</f>
        <v>44943</v>
      </c>
      <c r="C9097" s="266" t="str">
        <f>IFERROR(__xludf.DUMMYFUNCTION("""COMPUTED_VALUE"""),"KYAI KONTONG")</f>
        <v>KYAI KONTONG</v>
      </c>
      <c r="D9097" s="186">
        <f>IFERROR(__xludf.DUMMYFUNCTION("""COMPUTED_VALUE"""),2.0)</f>
        <v>2</v>
      </c>
    </row>
    <row r="9098">
      <c r="A9098" s="178" t="str">
        <f>IFERROR(__xludf.DUMMYFUNCTION("""COMPUTED_VALUE"""),"ITBISA-RAPID-BOHLAM-E10-2.5V-SCREW")</f>
        <v>ITBISA-RAPID-BOHLAM-E10-2.5V-SCREW</v>
      </c>
      <c r="B9098" s="266">
        <f>IFERROR(__xludf.DUMMYFUNCTION("""COMPUTED_VALUE"""),44946.0)</f>
        <v>44946</v>
      </c>
      <c r="C9098" s="266" t="str">
        <f>IFERROR(__xludf.DUMMYFUNCTION("""COMPUTED_VALUE"""),"KYAI KONTONG")</f>
        <v>KYAI KONTONG</v>
      </c>
      <c r="D9098" s="186">
        <f>IFERROR(__xludf.DUMMYFUNCTION("""COMPUTED_VALUE"""),1.0)</f>
        <v>1</v>
      </c>
    </row>
    <row r="9099">
      <c r="A9099" s="178" t="str">
        <f>IFERROR(__xludf.DUMMYFUNCTION("""COMPUTED_VALUE"""),"ITBISA-RAPID-BOHLAM-E10-2.5V-SCREW")</f>
        <v>ITBISA-RAPID-BOHLAM-E10-2.5V-SCREW</v>
      </c>
      <c r="B9099" s="266">
        <f>IFERROR(__xludf.DUMMYFUNCTION("""COMPUTED_VALUE"""),44949.0)</f>
        <v>44949</v>
      </c>
      <c r="C9099" s="266" t="str">
        <f>IFERROR(__xludf.DUMMYFUNCTION("""COMPUTED_VALUE"""),"KYAI KONTONG")</f>
        <v>KYAI KONTONG</v>
      </c>
      <c r="D9099" s="186">
        <f>IFERROR(__xludf.DUMMYFUNCTION("""COMPUTED_VALUE"""),50.0)</f>
        <v>50</v>
      </c>
    </row>
    <row r="9100">
      <c r="A9100" s="178" t="str">
        <f>IFERROR(__xludf.DUMMYFUNCTION("""COMPUTED_VALUE"""),"ITBISA-RAPID-BOHLAM-E10-2.5V-SCREW")</f>
        <v>ITBISA-RAPID-BOHLAM-E10-2.5V-SCREW</v>
      </c>
      <c r="B9100" s="266">
        <f>IFERROR(__xludf.DUMMYFUNCTION("""COMPUTED_VALUE"""),44957.0)</f>
        <v>44957</v>
      </c>
      <c r="C9100" s="266" t="str">
        <f>IFERROR(__xludf.DUMMYFUNCTION("""COMPUTED_VALUE"""),"KYAI KONTONG")</f>
        <v>KYAI KONTONG</v>
      </c>
      <c r="D9100" s="186">
        <f>IFERROR(__xludf.DUMMYFUNCTION("""COMPUTED_VALUE"""),2.0)</f>
        <v>2</v>
      </c>
    </row>
    <row r="9101">
      <c r="A9101" s="178" t="str">
        <f>IFERROR(__xludf.DUMMYFUNCTION("""COMPUTED_VALUE"""),"ITBISA-RAPID-BOHLAM-E10-2.5V-SCREW")</f>
        <v>ITBISA-RAPID-BOHLAM-E10-2.5V-SCREW</v>
      </c>
      <c r="B9101" s="266">
        <f>IFERROR(__xludf.DUMMYFUNCTION("""COMPUTED_VALUE"""),44963.0)</f>
        <v>44963</v>
      </c>
      <c r="C9101" s="266" t="str">
        <f>IFERROR(__xludf.DUMMYFUNCTION("""COMPUTED_VALUE"""),"KYAI KONTONG")</f>
        <v>KYAI KONTONG</v>
      </c>
      <c r="D9101" s="186">
        <f>IFERROR(__xludf.DUMMYFUNCTION("""COMPUTED_VALUE"""),3.0)</f>
        <v>3</v>
      </c>
    </row>
    <row r="9102">
      <c r="A9102" s="178" t="str">
        <f>IFERROR(__xludf.DUMMYFUNCTION("""COMPUTED_VALUE"""),"ITBISA-RAPID-BOHLAM-E10-2.5V-SCREW")</f>
        <v>ITBISA-RAPID-BOHLAM-E10-2.5V-SCREW</v>
      </c>
      <c r="B9102" s="266">
        <f>IFERROR(__xludf.DUMMYFUNCTION("""COMPUTED_VALUE"""),44979.0)</f>
        <v>44979</v>
      </c>
      <c r="C9102" s="266" t="str">
        <f>IFERROR(__xludf.DUMMYFUNCTION("""COMPUTED_VALUE"""),"KYAI KONTONG")</f>
        <v>KYAI KONTONG</v>
      </c>
      <c r="D9102" s="186">
        <f>IFERROR(__xludf.DUMMYFUNCTION("""COMPUTED_VALUE"""),30.0)</f>
        <v>30</v>
      </c>
    </row>
    <row r="9103">
      <c r="A9103" s="178" t="str">
        <f>IFERROR(__xludf.DUMMYFUNCTION("""COMPUTED_VALUE"""),"ITBISA-RAPID-BOHLAM-E10-2.5V-SCREW")</f>
        <v>ITBISA-RAPID-BOHLAM-E10-2.5V-SCREW</v>
      </c>
      <c r="B9103" s="266">
        <f>IFERROR(__xludf.DUMMYFUNCTION("""COMPUTED_VALUE"""),44980.0)</f>
        <v>44980</v>
      </c>
      <c r="C9103" s="266" t="str">
        <f>IFERROR(__xludf.DUMMYFUNCTION("""COMPUTED_VALUE"""),"KYAI KONTONG")</f>
        <v>KYAI KONTONG</v>
      </c>
      <c r="D9103" s="186">
        <f>IFERROR(__xludf.DUMMYFUNCTION("""COMPUTED_VALUE"""),2.0)</f>
        <v>2</v>
      </c>
    </row>
    <row r="9104">
      <c r="A9104" s="178" t="str">
        <f>IFERROR(__xludf.DUMMYFUNCTION("""COMPUTED_VALUE"""),"ITBISA-RAPID-BOHLAM-E10-2.5V-SCREW")</f>
        <v>ITBISA-RAPID-BOHLAM-E10-2.5V-SCREW</v>
      </c>
      <c r="B9104" s="266">
        <f>IFERROR(__xludf.DUMMYFUNCTION("""COMPUTED_VALUE"""),44986.0)</f>
        <v>44986</v>
      </c>
      <c r="C9104" s="266" t="str">
        <f>IFERROR(__xludf.DUMMYFUNCTION("""COMPUTED_VALUE"""),"KYAI KONTONG")</f>
        <v>KYAI KONTONG</v>
      </c>
      <c r="D9104" s="186">
        <f>IFERROR(__xludf.DUMMYFUNCTION("""COMPUTED_VALUE"""),2.0)</f>
        <v>2</v>
      </c>
    </row>
    <row r="9105">
      <c r="A9105" s="178" t="str">
        <f>IFERROR(__xludf.DUMMYFUNCTION("""COMPUTED_VALUE"""),"ITBISA-RAPID-BOHLAM-E10-2.5V-SCREW")</f>
        <v>ITBISA-RAPID-BOHLAM-E10-2.5V-SCREW</v>
      </c>
      <c r="B9105" s="266">
        <f>IFERROR(__xludf.DUMMYFUNCTION("""COMPUTED_VALUE"""),44988.0)</f>
        <v>44988</v>
      </c>
      <c r="C9105" s="266" t="str">
        <f>IFERROR(__xludf.DUMMYFUNCTION("""COMPUTED_VALUE"""),"KYAI KONTONG")</f>
        <v>KYAI KONTONG</v>
      </c>
      <c r="D9105" s="186">
        <f>IFERROR(__xludf.DUMMYFUNCTION("""COMPUTED_VALUE"""),2.0)</f>
        <v>2</v>
      </c>
    </row>
    <row r="9106">
      <c r="A9106" s="178" t="str">
        <f>IFERROR(__xludf.DUMMYFUNCTION("""COMPUTED_VALUE"""),"ITBISA-RAPID-BOHLAM-E10-2.5V-SCREW")</f>
        <v>ITBISA-RAPID-BOHLAM-E10-2.5V-SCREW</v>
      </c>
      <c r="B9106" s="266">
        <f>IFERROR(__xludf.DUMMYFUNCTION("""COMPUTED_VALUE"""),44989.0)</f>
        <v>44989</v>
      </c>
      <c r="C9106" s="266" t="str">
        <f>IFERROR(__xludf.DUMMYFUNCTION("""COMPUTED_VALUE"""),"KYAI KONTONG")</f>
        <v>KYAI KONTONG</v>
      </c>
      <c r="D9106" s="186">
        <f>IFERROR(__xludf.DUMMYFUNCTION("""COMPUTED_VALUE"""),6.0)</f>
        <v>6</v>
      </c>
    </row>
    <row r="9107">
      <c r="A9107" s="178" t="str">
        <f>IFERROR(__xludf.DUMMYFUNCTION("""COMPUTED_VALUE"""),"ITBISA-RAPID-BOHLAM-E10-2.5V-SCREW")</f>
        <v>ITBISA-RAPID-BOHLAM-E10-2.5V-SCREW</v>
      </c>
      <c r="B9107" s="266">
        <f>IFERROR(__xludf.DUMMYFUNCTION("""COMPUTED_VALUE"""),45000.0)</f>
        <v>45000</v>
      </c>
      <c r="C9107" s="266" t="str">
        <f>IFERROR(__xludf.DUMMYFUNCTION("""COMPUTED_VALUE"""),"KYAI KONTONG")</f>
        <v>KYAI KONTONG</v>
      </c>
      <c r="D9107" s="186">
        <f>IFERROR(__xludf.DUMMYFUNCTION("""COMPUTED_VALUE"""),3.0)</f>
        <v>3</v>
      </c>
    </row>
    <row r="9108">
      <c r="A9108" s="178" t="str">
        <f>IFERROR(__xludf.DUMMYFUNCTION("""COMPUTED_VALUE"""),"ITBISA-RAPID-BOHLAM-E10-2.5V-SCREW")</f>
        <v>ITBISA-RAPID-BOHLAM-E10-2.5V-SCREW</v>
      </c>
      <c r="B9108" s="266">
        <f>IFERROR(__xludf.DUMMYFUNCTION("""COMPUTED_VALUE"""),45004.0)</f>
        <v>45004</v>
      </c>
      <c r="C9108" s="266" t="str">
        <f>IFERROR(__xludf.DUMMYFUNCTION("""COMPUTED_VALUE"""),"KYAI KONTONG")</f>
        <v>KYAI KONTONG</v>
      </c>
      <c r="D9108" s="186">
        <f>IFERROR(__xludf.DUMMYFUNCTION("""COMPUTED_VALUE"""),56.0)</f>
        <v>56</v>
      </c>
    </row>
    <row r="9109">
      <c r="A9109" s="178" t="str">
        <f>IFERROR(__xludf.DUMMYFUNCTION("""COMPUTED_VALUE"""),"ITBISA-RAPID-BOHLAM-E10-2.5V-SCREW")</f>
        <v>ITBISA-RAPID-BOHLAM-E10-2.5V-SCREW</v>
      </c>
      <c r="B9109" s="266">
        <f>IFERROR(__xludf.DUMMYFUNCTION("""COMPUTED_VALUE"""),45007.0)</f>
        <v>45007</v>
      </c>
      <c r="C9109" s="266" t="str">
        <f>IFERROR(__xludf.DUMMYFUNCTION("""COMPUTED_VALUE"""),"KYAI KONTONG")</f>
        <v>KYAI KONTONG</v>
      </c>
      <c r="D9109" s="186">
        <f>IFERROR(__xludf.DUMMYFUNCTION("""COMPUTED_VALUE"""),5.0)</f>
        <v>5</v>
      </c>
    </row>
    <row r="9110">
      <c r="A9110" s="178" t="str">
        <f>IFERROR(__xludf.DUMMYFUNCTION("""COMPUTED_VALUE"""),"ITBISA-RAPID-BOHLAM-E10-2.5V-SCREW")</f>
        <v>ITBISA-RAPID-BOHLAM-E10-2.5V-SCREW</v>
      </c>
      <c r="B9110" s="266">
        <f>IFERROR(__xludf.DUMMYFUNCTION("""COMPUTED_VALUE"""),45017.0)</f>
        <v>45017</v>
      </c>
      <c r="C9110" s="266" t="str">
        <f>IFERROR(__xludf.DUMMYFUNCTION("""COMPUTED_VALUE"""),"KYAI KONTONG")</f>
        <v>KYAI KONTONG</v>
      </c>
      <c r="D9110" s="186">
        <f>IFERROR(__xludf.DUMMYFUNCTION("""COMPUTED_VALUE"""),56.0)</f>
        <v>56</v>
      </c>
    </row>
    <row r="9111">
      <c r="A9111" s="178" t="str">
        <f>IFERROR(__xludf.DUMMYFUNCTION("""COMPUTED_VALUE"""),"ITBISA-RAPID-BOHLAM-E10-2.5V-SCREW")</f>
        <v>ITBISA-RAPID-BOHLAM-E10-2.5V-SCREW</v>
      </c>
      <c r="B9111" s="266">
        <f>IFERROR(__xludf.DUMMYFUNCTION("""COMPUTED_VALUE"""),45024.0)</f>
        <v>45024</v>
      </c>
      <c r="C9111" s="266" t="str">
        <f>IFERROR(__xludf.DUMMYFUNCTION("""COMPUTED_VALUE"""),"KYAI KONTONG")</f>
        <v>KYAI KONTONG</v>
      </c>
      <c r="D9111" s="186">
        <f>IFERROR(__xludf.DUMMYFUNCTION("""COMPUTED_VALUE"""),5.0)</f>
        <v>5</v>
      </c>
    </row>
    <row r="9112">
      <c r="A9112" s="178" t="str">
        <f>IFERROR(__xludf.DUMMYFUNCTION("""COMPUTED_VALUE"""),"ITBISA-RAPID-BOHLAM-E10-2.5V-SCREW")</f>
        <v>ITBISA-RAPID-BOHLAM-E10-2.5V-SCREW</v>
      </c>
      <c r="B9112" s="266">
        <f>IFERROR(__xludf.DUMMYFUNCTION("""COMPUTED_VALUE"""),45027.0)</f>
        <v>45027</v>
      </c>
      <c r="C9112" s="266" t="str">
        <f>IFERROR(__xludf.DUMMYFUNCTION("""COMPUTED_VALUE"""),"KYAI KONTONG")</f>
        <v>KYAI KONTONG</v>
      </c>
      <c r="D9112" s="186">
        <f>IFERROR(__xludf.DUMMYFUNCTION("""COMPUTED_VALUE"""),3.0)</f>
        <v>3</v>
      </c>
    </row>
    <row r="9113">
      <c r="A9113" s="178" t="str">
        <f>IFERROR(__xludf.DUMMYFUNCTION("""COMPUTED_VALUE"""),"ITBISA-RAPID-BOHLAM-E10-2.5V-SCREW")</f>
        <v>ITBISA-RAPID-BOHLAM-E10-2.5V-SCREW</v>
      </c>
      <c r="B9113" s="266">
        <f>IFERROR(__xludf.DUMMYFUNCTION("""COMPUTED_VALUE"""),45176.0)</f>
        <v>45176</v>
      </c>
      <c r="C9113" s="266" t="str">
        <f>IFERROR(__xludf.DUMMYFUNCTION("""COMPUTED_VALUE"""),"KYAI KONTONG")</f>
        <v>KYAI KONTONG</v>
      </c>
      <c r="D9113" s="186">
        <f>IFERROR(__xludf.DUMMYFUNCTION("""COMPUTED_VALUE"""),3.0)</f>
        <v>3</v>
      </c>
    </row>
    <row r="9114">
      <c r="A9114" s="178" t="str">
        <f>IFERROR(__xludf.DUMMYFUNCTION("""COMPUTED_VALUE"""),"ITBISA-RAPID-BOHLAM-E10-2.5V-SCREW")</f>
        <v>ITBISA-RAPID-BOHLAM-E10-2.5V-SCREW</v>
      </c>
      <c r="B9114" s="266">
        <f>IFERROR(__xludf.DUMMYFUNCTION("""COMPUTED_VALUE"""),45191.0)</f>
        <v>45191</v>
      </c>
      <c r="C9114" s="266" t="str">
        <f>IFERROR(__xludf.DUMMYFUNCTION("""COMPUTED_VALUE"""),"KYAI KONTONG")</f>
        <v>KYAI KONTONG</v>
      </c>
      <c r="D9114" s="186">
        <f>IFERROR(__xludf.DUMMYFUNCTION("""COMPUTED_VALUE"""),6.0)</f>
        <v>6</v>
      </c>
    </row>
    <row r="9115">
      <c r="A9115" s="178" t="str">
        <f>IFERROR(__xludf.DUMMYFUNCTION("""COMPUTED_VALUE"""),"ITBISA-RAPID-BOHLAM-E10-2.5V-SCREW")</f>
        <v>ITBISA-RAPID-BOHLAM-E10-2.5V-SCREW</v>
      </c>
      <c r="B9115" s="266">
        <f>IFERROR(__xludf.DUMMYFUNCTION("""COMPUTED_VALUE"""),45204.0)</f>
        <v>45204</v>
      </c>
      <c r="C9115" s="266" t="str">
        <f>IFERROR(__xludf.DUMMYFUNCTION("""COMPUTED_VALUE"""),"KYAI KONTONG")</f>
        <v>KYAI KONTONG</v>
      </c>
      <c r="D9115" s="186">
        <f>IFERROR(__xludf.DUMMYFUNCTION("""COMPUTED_VALUE"""),1.0)</f>
        <v>1</v>
      </c>
    </row>
    <row r="9116">
      <c r="A9116" s="178" t="str">
        <f>IFERROR(__xludf.DUMMYFUNCTION("""COMPUTED_VALUE"""),"ITBISA-RAPID-BOHLAM-E10-2.5V-SCREW")</f>
        <v>ITBISA-RAPID-BOHLAM-E10-2.5V-SCREW</v>
      </c>
      <c r="B9116" s="266">
        <f>IFERROR(__xludf.DUMMYFUNCTION("""COMPUTED_VALUE"""),45206.0)</f>
        <v>45206</v>
      </c>
      <c r="C9116" s="266" t="str">
        <f>IFERROR(__xludf.DUMMYFUNCTION("""COMPUTED_VALUE"""),"KYAI KONTONG")</f>
        <v>KYAI KONTONG</v>
      </c>
      <c r="D9116" s="186">
        <f>IFERROR(__xludf.DUMMYFUNCTION("""COMPUTED_VALUE"""),3.0)</f>
        <v>3</v>
      </c>
    </row>
    <row r="9117">
      <c r="A9117" s="178" t="str">
        <f>IFERROR(__xludf.DUMMYFUNCTION("""COMPUTED_VALUE"""),"ITBISA-RAPID-BOHLAM-E10-2.5V-SCREW")</f>
        <v>ITBISA-RAPID-BOHLAM-E10-2.5V-SCREW</v>
      </c>
      <c r="B9117" s="266">
        <f>IFERROR(__xludf.DUMMYFUNCTION("""COMPUTED_VALUE"""),45208.0)</f>
        <v>45208</v>
      </c>
      <c r="C9117" s="266" t="str">
        <f>IFERROR(__xludf.DUMMYFUNCTION("""COMPUTED_VALUE"""),"KYAI KONTONG")</f>
        <v>KYAI KONTONG</v>
      </c>
      <c r="D9117" s="186">
        <f>IFERROR(__xludf.DUMMYFUNCTION("""COMPUTED_VALUE"""),5.0)</f>
        <v>5</v>
      </c>
    </row>
    <row r="9118">
      <c r="A9118" s="178" t="str">
        <f>IFERROR(__xludf.DUMMYFUNCTION("""COMPUTED_VALUE"""),"ITBISA-RAPID-BOHLAM-E10-2.5V-SCREW")</f>
        <v>ITBISA-RAPID-BOHLAM-E10-2.5V-SCREW</v>
      </c>
      <c r="B9118" s="266">
        <f>IFERROR(__xludf.DUMMYFUNCTION("""COMPUTED_VALUE"""),45214.0)</f>
        <v>45214</v>
      </c>
      <c r="C9118" s="266" t="str">
        <f>IFERROR(__xludf.DUMMYFUNCTION("""COMPUTED_VALUE"""),"KYAI KONTONG")</f>
        <v>KYAI KONTONG</v>
      </c>
      <c r="D9118" s="186">
        <f>IFERROR(__xludf.DUMMYFUNCTION("""COMPUTED_VALUE"""),2.0)</f>
        <v>2</v>
      </c>
    </row>
    <row r="9119">
      <c r="A9119" s="178" t="str">
        <f>IFERROR(__xludf.DUMMYFUNCTION("""COMPUTED_VALUE"""),"ITBISA-RAPID-BOHLAM-E10-2.5V-SCREW")</f>
        <v>ITBISA-RAPID-BOHLAM-E10-2.5V-SCREW</v>
      </c>
      <c r="B9119" s="266">
        <f>IFERROR(__xludf.DUMMYFUNCTION("""COMPUTED_VALUE"""),45215.0)</f>
        <v>45215</v>
      </c>
      <c r="C9119" s="266" t="str">
        <f>IFERROR(__xludf.DUMMYFUNCTION("""COMPUTED_VALUE"""),"KYAI KONTONG")</f>
        <v>KYAI KONTONG</v>
      </c>
      <c r="D9119" s="186">
        <f>IFERROR(__xludf.DUMMYFUNCTION("""COMPUTED_VALUE"""),2.0)</f>
        <v>2</v>
      </c>
    </row>
    <row r="9120">
      <c r="A9120" s="178" t="str">
        <f>IFERROR(__xludf.DUMMYFUNCTION("""COMPUTED_VALUE"""),"ITBISA-RAPID-BOHLAM-E10-2.5V-SCREW")</f>
        <v>ITBISA-RAPID-BOHLAM-E10-2.5V-SCREW</v>
      </c>
      <c r="B9120" s="266">
        <f>IFERROR(__xludf.DUMMYFUNCTION("""COMPUTED_VALUE"""),45219.0)</f>
        <v>45219</v>
      </c>
      <c r="C9120" s="266" t="str">
        <f>IFERROR(__xludf.DUMMYFUNCTION("""COMPUTED_VALUE"""),"KYAI KONTONG")</f>
        <v>KYAI KONTONG</v>
      </c>
      <c r="D9120" s="186">
        <f>IFERROR(__xludf.DUMMYFUNCTION("""COMPUTED_VALUE"""),1.0)</f>
        <v>1</v>
      </c>
    </row>
    <row r="9121">
      <c r="A9121" s="178" t="str">
        <f>IFERROR(__xludf.DUMMYFUNCTION("""COMPUTED_VALUE"""),"ITBISA-RAPID-BOHLAM-E10-2.5V-SCREW")</f>
        <v>ITBISA-RAPID-BOHLAM-E10-2.5V-SCREW</v>
      </c>
      <c r="B9121" s="266">
        <f>IFERROR(__xludf.DUMMYFUNCTION("""COMPUTED_VALUE"""),45220.0)</f>
        <v>45220</v>
      </c>
      <c r="C9121" s="266" t="str">
        <f>IFERROR(__xludf.DUMMYFUNCTION("""COMPUTED_VALUE"""),"KYAI KONTONG")</f>
        <v>KYAI KONTONG</v>
      </c>
      <c r="D9121" s="186">
        <f>IFERROR(__xludf.DUMMYFUNCTION("""COMPUTED_VALUE"""),1.0)</f>
        <v>1</v>
      </c>
    </row>
    <row r="9122">
      <c r="A9122" s="178" t="str">
        <f>IFERROR(__xludf.DUMMYFUNCTION("""COMPUTED_VALUE"""),"ITBISA-RAPID-BOHLAM-E10-2.5V-SCREW")</f>
        <v>ITBISA-RAPID-BOHLAM-E10-2.5V-SCREW</v>
      </c>
      <c r="B9122" s="266">
        <f>IFERROR(__xludf.DUMMYFUNCTION("""COMPUTED_VALUE"""),45230.0)</f>
        <v>45230</v>
      </c>
      <c r="C9122" s="266" t="str">
        <f>IFERROR(__xludf.DUMMYFUNCTION("""COMPUTED_VALUE"""),"KYAI KONTONG")</f>
        <v>KYAI KONTONG</v>
      </c>
      <c r="D9122" s="186">
        <f>IFERROR(__xludf.DUMMYFUNCTION("""COMPUTED_VALUE"""),10.0)</f>
        <v>10</v>
      </c>
    </row>
    <row r="9123">
      <c r="A9123" s="178" t="str">
        <f>IFERROR(__xludf.DUMMYFUNCTION("""COMPUTED_VALUE"""),"ITBISA-RAPID-BOHLAM-E10-2.5V-SCREW")</f>
        <v>ITBISA-RAPID-BOHLAM-E10-2.5V-SCREW</v>
      </c>
      <c r="B9123" s="266">
        <f>IFERROR(__xludf.DUMMYFUNCTION("""COMPUTED_VALUE"""),45232.0)</f>
        <v>45232</v>
      </c>
      <c r="C9123" s="266" t="str">
        <f>IFERROR(__xludf.DUMMYFUNCTION("""COMPUTED_VALUE"""),"KYAI KONTONG")</f>
        <v>KYAI KONTONG</v>
      </c>
      <c r="D9123" s="186">
        <f>IFERROR(__xludf.DUMMYFUNCTION("""COMPUTED_VALUE"""),5.0)</f>
        <v>5</v>
      </c>
    </row>
    <row r="9124">
      <c r="A9124" s="178" t="str">
        <f>IFERROR(__xludf.DUMMYFUNCTION("""COMPUTED_VALUE"""),"ITBISA-RAPID-BOHLAM-E10-2.5V-SCREW")</f>
        <v>ITBISA-RAPID-BOHLAM-E10-2.5V-SCREW</v>
      </c>
      <c r="B9124" s="266">
        <f>IFERROR(__xludf.DUMMYFUNCTION("""COMPUTED_VALUE"""),45241.0)</f>
        <v>45241</v>
      </c>
      <c r="C9124" s="266" t="str">
        <f>IFERROR(__xludf.DUMMYFUNCTION("""COMPUTED_VALUE"""),"KYAI KONTONG")</f>
        <v>KYAI KONTONG</v>
      </c>
      <c r="D9124" s="186">
        <f>IFERROR(__xludf.DUMMYFUNCTION("""COMPUTED_VALUE"""),5.0)</f>
        <v>5</v>
      </c>
    </row>
    <row r="9125">
      <c r="A9125" s="178" t="str">
        <f>IFERROR(__xludf.DUMMYFUNCTION("""COMPUTED_VALUE"""),"ITBISA-RAPID-BOHLAM-E10-2.5V-SCREW")</f>
        <v>ITBISA-RAPID-BOHLAM-E10-2.5V-SCREW</v>
      </c>
      <c r="B9125" s="266">
        <f>IFERROR(__xludf.DUMMYFUNCTION("""COMPUTED_VALUE"""),45261.0)</f>
        <v>45261</v>
      </c>
      <c r="C9125" s="266" t="str">
        <f>IFERROR(__xludf.DUMMYFUNCTION("""COMPUTED_VALUE"""),"KYAI KONTONG")</f>
        <v>KYAI KONTONG</v>
      </c>
      <c r="D9125" s="186">
        <f>IFERROR(__xludf.DUMMYFUNCTION("""COMPUTED_VALUE"""),3.0)</f>
        <v>3</v>
      </c>
    </row>
    <row r="9126">
      <c r="A9126" s="178" t="str">
        <f>IFERROR(__xludf.DUMMYFUNCTION("""COMPUTED_VALUE"""),"ITBISA-RAPID-BOHLAM-E10-2.5V-SCREW")</f>
        <v>ITBISA-RAPID-BOHLAM-E10-2.5V-SCREW</v>
      </c>
      <c r="B9126" s="266">
        <f>IFERROR(__xludf.DUMMYFUNCTION("""COMPUTED_VALUE"""),45274.0)</f>
        <v>45274</v>
      </c>
      <c r="C9126" s="266" t="str">
        <f>IFERROR(__xludf.DUMMYFUNCTION("""COMPUTED_VALUE"""),"KYAI KONTONG")</f>
        <v>KYAI KONTONG</v>
      </c>
      <c r="D9126" s="186">
        <f>IFERROR(__xludf.DUMMYFUNCTION("""COMPUTED_VALUE"""),2.0)</f>
        <v>2</v>
      </c>
    </row>
    <row r="9127">
      <c r="A9127" s="178" t="str">
        <f>IFERROR(__xludf.DUMMYFUNCTION("""COMPUTED_VALUE"""),"ITBISA-RAPID-BOHLAM-E10-2.5V-SCREW")</f>
        <v>ITBISA-RAPID-BOHLAM-E10-2.5V-SCREW</v>
      </c>
      <c r="B9127" s="266">
        <f>IFERROR(__xludf.DUMMYFUNCTION("""COMPUTED_VALUE"""),45286.0)</f>
        <v>45286</v>
      </c>
      <c r="C9127" s="266" t="str">
        <f>IFERROR(__xludf.DUMMYFUNCTION("""COMPUTED_VALUE"""),"KYAI KONTONG")</f>
        <v>KYAI KONTONG</v>
      </c>
      <c r="D9127" s="186">
        <f>IFERROR(__xludf.DUMMYFUNCTION("""COMPUTED_VALUE"""),10.0)</f>
        <v>10</v>
      </c>
    </row>
    <row r="9128">
      <c r="A9128" s="178" t="str">
        <f>IFERROR(__xludf.DUMMYFUNCTION("""COMPUTED_VALUE"""),"ITBISA-RAPID-BOHLAM-E10-2.5V-SCREW")</f>
        <v>ITBISA-RAPID-BOHLAM-E10-2.5V-SCREW</v>
      </c>
      <c r="B9128" s="266">
        <f>IFERROR(__xludf.DUMMYFUNCTION("""COMPUTED_VALUE"""),45350.0)</f>
        <v>45350</v>
      </c>
      <c r="C9128" s="266" t="str">
        <f>IFERROR(__xludf.DUMMYFUNCTION("""COMPUTED_VALUE"""),"KYAI KONTONG")</f>
        <v>KYAI KONTONG</v>
      </c>
      <c r="D9128" s="186">
        <f>IFERROR(__xludf.DUMMYFUNCTION("""COMPUTED_VALUE"""),5.0)</f>
        <v>5</v>
      </c>
    </row>
    <row r="9129">
      <c r="A9129" s="178" t="str">
        <f>IFERROR(__xludf.DUMMYFUNCTION("""COMPUTED_VALUE"""),"ITBISA-RAPID-BOHLAM-E10-2.5V-SCREW")</f>
        <v>ITBISA-RAPID-BOHLAM-E10-2.5V-SCREW</v>
      </c>
      <c r="B9129" s="266">
        <f>IFERROR(__xludf.DUMMYFUNCTION("""COMPUTED_VALUE"""),45352.0)</f>
        <v>45352</v>
      </c>
      <c r="C9129" s="266" t="str">
        <f>IFERROR(__xludf.DUMMYFUNCTION("""COMPUTED_VALUE"""),"KYAI KONTONG")</f>
        <v>KYAI KONTONG</v>
      </c>
      <c r="D9129" s="186">
        <f>IFERROR(__xludf.DUMMYFUNCTION("""COMPUTED_VALUE"""),2.0)</f>
        <v>2</v>
      </c>
    </row>
    <row r="9130">
      <c r="A9130" s="178" t="str">
        <f>IFERROR(__xludf.DUMMYFUNCTION("""COMPUTED_VALUE"""),"ITBISA-RAPID-BOHLAM-E10-2.5V-SCREW")</f>
        <v>ITBISA-RAPID-BOHLAM-E10-2.5V-SCREW</v>
      </c>
      <c r="B9130" s="266">
        <f>IFERROR(__xludf.DUMMYFUNCTION("""COMPUTED_VALUE"""),45356.0)</f>
        <v>45356</v>
      </c>
      <c r="C9130" s="266" t="str">
        <f>IFERROR(__xludf.DUMMYFUNCTION("""COMPUTED_VALUE"""),"KYAI KONTONG")</f>
        <v>KYAI KONTONG</v>
      </c>
      <c r="D9130" s="186">
        <f>IFERROR(__xludf.DUMMYFUNCTION("""COMPUTED_VALUE"""),50.0)</f>
        <v>50</v>
      </c>
    </row>
    <row r="9131">
      <c r="A9131" s="178" t="str">
        <f>IFERROR(__xludf.DUMMYFUNCTION("""COMPUTED_VALUE"""),"ITBISA-RAPID-BOHLAM-E10-2.5V-SCREW")</f>
        <v>ITBISA-RAPID-BOHLAM-E10-2.5V-SCREW</v>
      </c>
      <c r="B9131" s="266">
        <f>IFERROR(__xludf.DUMMYFUNCTION("""COMPUTED_VALUE"""),45364.0)</f>
        <v>45364</v>
      </c>
      <c r="C9131" s="266" t="str">
        <f>IFERROR(__xludf.DUMMYFUNCTION("""COMPUTED_VALUE"""),"KYAI KONTONG")</f>
        <v>KYAI KONTONG</v>
      </c>
      <c r="D9131" s="186">
        <f>IFERROR(__xludf.DUMMYFUNCTION("""COMPUTED_VALUE"""),5.0)</f>
        <v>5</v>
      </c>
    </row>
    <row r="9132">
      <c r="A9132" s="178" t="str">
        <f>IFERROR(__xludf.DUMMYFUNCTION("""COMPUTED_VALUE"""),"ITBISA-RAPID-BOHLAM-E10-2.5V-SCREW")</f>
        <v>ITBISA-RAPID-BOHLAM-E10-2.5V-SCREW</v>
      </c>
      <c r="B9132" s="266">
        <f>IFERROR(__xludf.DUMMYFUNCTION("""COMPUTED_VALUE"""),45371.0)</f>
        <v>45371</v>
      </c>
      <c r="C9132" s="266" t="str">
        <f>IFERROR(__xludf.DUMMYFUNCTION("""COMPUTED_VALUE"""),"KYAI KONTONG")</f>
        <v>KYAI KONTONG</v>
      </c>
      <c r="D9132" s="186">
        <f>IFERROR(__xludf.DUMMYFUNCTION("""COMPUTED_VALUE"""),2.0)</f>
        <v>2</v>
      </c>
    </row>
    <row r="9133">
      <c r="A9133" s="178" t="str">
        <f>IFERROR(__xludf.DUMMYFUNCTION("""COMPUTED_VALUE"""),"ITBISA-RAPID-BOHLAM-E10-2.5V-SCREW")</f>
        <v>ITBISA-RAPID-BOHLAM-E10-2.5V-SCREW</v>
      </c>
      <c r="B9133" s="266">
        <f>IFERROR(__xludf.DUMMYFUNCTION("""COMPUTED_VALUE"""),45375.0)</f>
        <v>45375</v>
      </c>
      <c r="C9133" s="266" t="str">
        <f>IFERROR(__xludf.DUMMYFUNCTION("""COMPUTED_VALUE"""),"KYAI KONTONG")</f>
        <v>KYAI KONTONG</v>
      </c>
      <c r="D9133" s="186">
        <f>IFERROR(__xludf.DUMMYFUNCTION("""COMPUTED_VALUE"""),4.0)</f>
        <v>4</v>
      </c>
    </row>
    <row r="9134">
      <c r="A9134" s="178" t="str">
        <f>IFERROR(__xludf.DUMMYFUNCTION("""COMPUTED_VALUE"""),"ITBISA-RAPID-BOHLAM-E10-2.5V-SCREW")</f>
        <v>ITBISA-RAPID-BOHLAM-E10-2.5V-SCREW</v>
      </c>
      <c r="B9134" s="266">
        <f>IFERROR(__xludf.DUMMYFUNCTION("""COMPUTED_VALUE"""),45375.0)</f>
        <v>45375</v>
      </c>
      <c r="C9134" s="266" t="str">
        <f>IFERROR(__xludf.DUMMYFUNCTION("""COMPUTED_VALUE"""),"KYAI KONTONG")</f>
        <v>KYAI KONTONG</v>
      </c>
      <c r="D9134" s="186">
        <f>IFERROR(__xludf.DUMMYFUNCTION("""COMPUTED_VALUE"""),10.0)</f>
        <v>10</v>
      </c>
    </row>
    <row r="9135">
      <c r="A9135" s="178" t="str">
        <f>IFERROR(__xludf.DUMMYFUNCTION("""COMPUTED_VALUE"""),"ITBISA-RAPID-BOHLAM-E10-2.5V-SCREW")</f>
        <v>ITBISA-RAPID-BOHLAM-E10-2.5V-SCREW</v>
      </c>
      <c r="B9135" s="266">
        <f>IFERROR(__xludf.DUMMYFUNCTION("""COMPUTED_VALUE"""),45377.0)</f>
        <v>45377</v>
      </c>
      <c r="C9135" s="266" t="str">
        <f>IFERROR(__xludf.DUMMYFUNCTION("""COMPUTED_VALUE"""),"KYAI KONTONG")</f>
        <v>KYAI KONTONG</v>
      </c>
      <c r="D9135" s="186">
        <f>IFERROR(__xludf.DUMMYFUNCTION("""COMPUTED_VALUE"""),1.0)</f>
        <v>1</v>
      </c>
    </row>
    <row r="9136">
      <c r="A9136" s="178" t="str">
        <f>IFERROR(__xludf.DUMMYFUNCTION("""COMPUTED_VALUE"""),"ITBISA-RAPID-BOHLAM-E10-2.5V-SCREW")</f>
        <v>ITBISA-RAPID-BOHLAM-E10-2.5V-SCREW</v>
      </c>
      <c r="B9136" s="266">
        <f>IFERROR(__xludf.DUMMYFUNCTION("""COMPUTED_VALUE"""),45378.0)</f>
        <v>45378</v>
      </c>
      <c r="C9136" s="266" t="str">
        <f>IFERROR(__xludf.DUMMYFUNCTION("""COMPUTED_VALUE"""),"KYAI KONTONG")</f>
        <v>KYAI KONTONG</v>
      </c>
      <c r="D9136" s="186">
        <f>IFERROR(__xludf.DUMMYFUNCTION("""COMPUTED_VALUE"""),10.0)</f>
        <v>10</v>
      </c>
    </row>
    <row r="9137">
      <c r="A9137" s="178" t="str">
        <f>IFERROR(__xludf.DUMMYFUNCTION("""COMPUTED_VALUE"""),"ITBISA-RAPID-BOHLAM-E10-2.5V-SCREW")</f>
        <v>ITBISA-RAPID-BOHLAM-E10-2.5V-SCREW</v>
      </c>
      <c r="B9137" s="266">
        <f>IFERROR(__xludf.DUMMYFUNCTION("""COMPUTED_VALUE"""),45379.0)</f>
        <v>45379</v>
      </c>
      <c r="C9137" s="266" t="str">
        <f>IFERROR(__xludf.DUMMYFUNCTION("""COMPUTED_VALUE"""),"KYAI KONTONG")</f>
        <v>KYAI KONTONG</v>
      </c>
      <c r="D9137" s="186">
        <f>IFERROR(__xludf.DUMMYFUNCTION("""COMPUTED_VALUE"""),5.0)</f>
        <v>5</v>
      </c>
    </row>
    <row r="9138">
      <c r="A9138" s="178" t="str">
        <f>IFERROR(__xludf.DUMMYFUNCTION("""COMPUTED_VALUE"""),"ITBISA-RAPID-BOHLAM-E10-2.5V-SCREW")</f>
        <v>ITBISA-RAPID-BOHLAM-E10-2.5V-SCREW</v>
      </c>
      <c r="B9138" s="266">
        <f>IFERROR(__xludf.DUMMYFUNCTION("""COMPUTED_VALUE"""),45398.0)</f>
        <v>45398</v>
      </c>
      <c r="C9138" s="266" t="str">
        <f>IFERROR(__xludf.DUMMYFUNCTION("""COMPUTED_VALUE"""),"KYAI KONTONG")</f>
        <v>KYAI KONTONG</v>
      </c>
      <c r="D9138" s="186">
        <f>IFERROR(__xludf.DUMMYFUNCTION("""COMPUTED_VALUE"""),5.0)</f>
        <v>5</v>
      </c>
    </row>
    <row r="9139">
      <c r="A9139" s="178" t="str">
        <f>IFERROR(__xludf.DUMMYFUNCTION("""COMPUTED_VALUE"""),"ITBISA-RAPID-BOHLAM-E10-2.5V-SCREW")</f>
        <v>ITBISA-RAPID-BOHLAM-E10-2.5V-SCREW</v>
      </c>
      <c r="B9139" s="266">
        <f>IFERROR(__xludf.DUMMYFUNCTION("""COMPUTED_VALUE"""),45406.0)</f>
        <v>45406</v>
      </c>
      <c r="C9139" s="266" t="str">
        <f>IFERROR(__xludf.DUMMYFUNCTION("""COMPUTED_VALUE"""),"KYAI KONTONG")</f>
        <v>KYAI KONTONG</v>
      </c>
      <c r="D9139" s="186">
        <f>IFERROR(__xludf.DUMMYFUNCTION("""COMPUTED_VALUE"""),25.0)</f>
        <v>25</v>
      </c>
    </row>
    <row r="9140">
      <c r="A9140" s="178" t="str">
        <f>IFERROR(__xludf.DUMMYFUNCTION("""COMPUTED_VALUE"""),"ITBISA-RAPID-BOHLAM-E10-2.5V-SCREW")</f>
        <v>ITBISA-RAPID-BOHLAM-E10-2.5V-SCREW</v>
      </c>
      <c r="B9140" s="266">
        <f>IFERROR(__xludf.DUMMYFUNCTION("""COMPUTED_VALUE"""),45407.0)</f>
        <v>45407</v>
      </c>
      <c r="C9140" s="266" t="str">
        <f>IFERROR(__xludf.DUMMYFUNCTION("""COMPUTED_VALUE"""),"KYAI KONTONG")</f>
        <v>KYAI KONTONG</v>
      </c>
      <c r="D9140" s="186">
        <f>IFERROR(__xludf.DUMMYFUNCTION("""COMPUTED_VALUE"""),10.0)</f>
        <v>10</v>
      </c>
    </row>
    <row r="9141">
      <c r="A9141" s="178" t="str">
        <f>IFERROR(__xludf.DUMMYFUNCTION("""COMPUTED_VALUE"""),"ITBISA-RAPID-BOHLAM-E10-2.5V-SCREW")</f>
        <v>ITBISA-RAPID-BOHLAM-E10-2.5V-SCREW</v>
      </c>
      <c r="B9141" s="266">
        <f>IFERROR(__xludf.DUMMYFUNCTION("""COMPUTED_VALUE"""),45412.0)</f>
        <v>45412</v>
      </c>
      <c r="C9141" s="266" t="str">
        <f>IFERROR(__xludf.DUMMYFUNCTION("""COMPUTED_VALUE"""),"KYAI KONTONG")</f>
        <v>KYAI KONTONG</v>
      </c>
      <c r="D9141" s="186">
        <f>IFERROR(__xludf.DUMMYFUNCTION("""COMPUTED_VALUE"""),2.0)</f>
        <v>2</v>
      </c>
    </row>
    <row r="9142">
      <c r="A9142" s="178" t="str">
        <f>IFERROR(__xludf.DUMMYFUNCTION("""COMPUTED_VALUE"""),"ITBISA-RAPID-BOHLAM-E10-2.5V-SCREW")</f>
        <v>ITBISA-RAPID-BOHLAM-E10-2.5V-SCREW</v>
      </c>
      <c r="B9142" s="266">
        <f>IFERROR(__xludf.DUMMYFUNCTION("""COMPUTED_VALUE"""),45412.0)</f>
        <v>45412</v>
      </c>
      <c r="C9142" s="266" t="str">
        <f>IFERROR(__xludf.DUMMYFUNCTION("""COMPUTED_VALUE"""),"KYAI KONTONG")</f>
        <v>KYAI KONTONG</v>
      </c>
      <c r="D9142" s="186">
        <f>IFERROR(__xludf.DUMMYFUNCTION("""COMPUTED_VALUE"""),3.0)</f>
        <v>3</v>
      </c>
    </row>
    <row r="9143">
      <c r="A9143" s="178" t="str">
        <f>IFERROR(__xludf.DUMMYFUNCTION("""COMPUTED_VALUE"""),"ITBISA-RAPID-BOHLAM-E10-2.5V-SCREW")</f>
        <v>ITBISA-RAPID-BOHLAM-E10-2.5V-SCREW</v>
      </c>
      <c r="B9143" s="266">
        <f>IFERROR(__xludf.DUMMYFUNCTION("""COMPUTED_VALUE"""),45412.0)</f>
        <v>45412</v>
      </c>
      <c r="C9143" s="266" t="str">
        <f>IFERROR(__xludf.DUMMYFUNCTION("""COMPUTED_VALUE"""),"KYAI KONTONG")</f>
        <v>KYAI KONTONG</v>
      </c>
      <c r="D9143" s="186">
        <f>IFERROR(__xludf.DUMMYFUNCTION("""COMPUTED_VALUE"""),38.0)</f>
        <v>38</v>
      </c>
    </row>
    <row r="9144">
      <c r="A9144" s="178" t="str">
        <f>IFERROR(__xludf.DUMMYFUNCTION("""COMPUTED_VALUE"""),"ITBISA-RAPID-BOHLAM-E10-2.5V-SCREW")</f>
        <v>ITBISA-RAPID-BOHLAM-E10-2.5V-SCREW</v>
      </c>
      <c r="B9144" s="266">
        <f>IFERROR(__xludf.DUMMYFUNCTION("""COMPUTED_VALUE"""),45414.0)</f>
        <v>45414</v>
      </c>
      <c r="C9144" s="266" t="str">
        <f>IFERROR(__xludf.DUMMYFUNCTION("""COMPUTED_VALUE"""),"KYAI KONTONG")</f>
        <v>KYAI KONTONG</v>
      </c>
      <c r="D9144" s="186">
        <f>IFERROR(__xludf.DUMMYFUNCTION("""COMPUTED_VALUE"""),20.0)</f>
        <v>20</v>
      </c>
    </row>
    <row r="9145">
      <c r="A9145" s="178" t="str">
        <f>IFERROR(__xludf.DUMMYFUNCTION("""COMPUTED_VALUE"""),"ITBISA-RAPID-BOHLAM-E10-2.5V-SCREW")</f>
        <v>ITBISA-RAPID-BOHLAM-E10-2.5V-SCREW</v>
      </c>
      <c r="B9145" s="266">
        <f>IFERROR(__xludf.DUMMYFUNCTION("""COMPUTED_VALUE"""),45415.0)</f>
        <v>45415</v>
      </c>
      <c r="C9145" s="266" t="str">
        <f>IFERROR(__xludf.DUMMYFUNCTION("""COMPUTED_VALUE"""),"KYAI KONTONG")</f>
        <v>KYAI KONTONG</v>
      </c>
      <c r="D9145" s="186">
        <f>IFERROR(__xludf.DUMMYFUNCTION("""COMPUTED_VALUE"""),4.0)</f>
        <v>4</v>
      </c>
    </row>
    <row r="9146">
      <c r="A9146" s="178" t="str">
        <f>IFERROR(__xludf.DUMMYFUNCTION("""COMPUTED_VALUE"""),"ITBISA-RAPID-BOHLAM-E10-2.5V-SCREW")</f>
        <v>ITBISA-RAPID-BOHLAM-E10-2.5V-SCREW</v>
      </c>
      <c r="B9146" s="266">
        <f>IFERROR(__xludf.DUMMYFUNCTION("""COMPUTED_VALUE"""),45419.0)</f>
        <v>45419</v>
      </c>
      <c r="C9146" s="266" t="str">
        <f>IFERROR(__xludf.DUMMYFUNCTION("""COMPUTED_VALUE"""),"KERTASARI CIAMIS")</f>
        <v>KERTASARI CIAMIS</v>
      </c>
      <c r="D9146" s="186">
        <f>IFERROR(__xludf.DUMMYFUNCTION("""COMPUTED_VALUE"""),2.0)</f>
        <v>2</v>
      </c>
    </row>
    <row r="9147">
      <c r="A9147" s="178" t="str">
        <f>IFERROR(__xludf.DUMMYFUNCTION("""COMPUTED_VALUE"""),"ITBISA-RAPID-BOHLAM-E10-2.5V-SCREW")</f>
        <v>ITBISA-RAPID-BOHLAM-E10-2.5V-SCREW</v>
      </c>
      <c r="B9147" s="266">
        <f>IFERROR(__xludf.DUMMYFUNCTION("""COMPUTED_VALUE"""),45427.0)</f>
        <v>45427</v>
      </c>
      <c r="C9147" s="266" t="str">
        <f>IFERROR(__xludf.DUMMYFUNCTION("""COMPUTED_VALUE"""),"KERTASARI CIAMIS")</f>
        <v>KERTASARI CIAMIS</v>
      </c>
      <c r="D9147" s="186">
        <f>IFERROR(__xludf.DUMMYFUNCTION("""COMPUTED_VALUE"""),2.0)</f>
        <v>2</v>
      </c>
    </row>
    <row r="9148">
      <c r="A9148" s="178" t="str">
        <f>IFERROR(__xludf.DUMMYFUNCTION("""COMPUTED_VALUE"""),"ITBISA-RAPID-BOHLAM-E10-2.5V-SCREW")</f>
        <v>ITBISA-RAPID-BOHLAM-E10-2.5V-SCREW</v>
      </c>
      <c r="B9148" s="266">
        <f>IFERROR(__xludf.DUMMYFUNCTION("""COMPUTED_VALUE"""),45430.0)</f>
        <v>45430</v>
      </c>
      <c r="C9148" s="266" t="str">
        <f>IFERROR(__xludf.DUMMYFUNCTION("""COMPUTED_VALUE"""),"KERTASARI CIAMIS")</f>
        <v>KERTASARI CIAMIS</v>
      </c>
      <c r="D9148" s="186">
        <f>IFERROR(__xludf.DUMMYFUNCTION("""COMPUTED_VALUE"""),18.0)</f>
        <v>18</v>
      </c>
    </row>
    <row r="9149">
      <c r="A9149" s="178" t="str">
        <f>IFERROR(__xludf.DUMMYFUNCTION("""COMPUTED_VALUE"""),"ITBISA-RAPID-BOHLAM-E10-2.5V-SCREW")</f>
        <v>ITBISA-RAPID-BOHLAM-E10-2.5V-SCREW</v>
      </c>
      <c r="B9149" s="266">
        <f>IFERROR(__xludf.DUMMYFUNCTION("""COMPUTED_VALUE"""),45436.0)</f>
        <v>45436</v>
      </c>
      <c r="C9149" s="266" t="str">
        <f>IFERROR(__xludf.DUMMYFUNCTION("""COMPUTED_VALUE"""),"KYAI KONTONG")</f>
        <v>KYAI KONTONG</v>
      </c>
      <c r="D9149" s="186">
        <f>IFERROR(__xludf.DUMMYFUNCTION("""COMPUTED_VALUE"""),4.0)</f>
        <v>4</v>
      </c>
    </row>
    <row r="9150">
      <c r="A9150" s="178" t="str">
        <f>IFERROR(__xludf.DUMMYFUNCTION("""COMPUTED_VALUE"""),"ITBISA-RAPID-BOHLAM-E10-2.5V-SCREW")</f>
        <v>ITBISA-RAPID-BOHLAM-E10-2.5V-SCREW</v>
      </c>
      <c r="B9150" s="266">
        <f>IFERROR(__xludf.DUMMYFUNCTION("""COMPUTED_VALUE"""),45447.0)</f>
        <v>45447</v>
      </c>
      <c r="C9150" s="266" t="str">
        <f>IFERROR(__xludf.DUMMYFUNCTION("""COMPUTED_VALUE"""),"KERTASARI CIAMIS")</f>
        <v>KERTASARI CIAMIS</v>
      </c>
      <c r="D9150" s="186">
        <f>IFERROR(__xludf.DUMMYFUNCTION("""COMPUTED_VALUE"""),1.0)</f>
        <v>1</v>
      </c>
    </row>
    <row r="9151">
      <c r="A9151" s="178" t="str">
        <f>IFERROR(__xludf.DUMMYFUNCTION("""COMPUTED_VALUE"""),"ITBISA-RAPID-BOHLAM-E10-2.5V-SCREW")</f>
        <v>ITBISA-RAPID-BOHLAM-E10-2.5V-SCREW</v>
      </c>
      <c r="B9151" s="266">
        <f>IFERROR(__xludf.DUMMYFUNCTION("""COMPUTED_VALUE"""),45460.0)</f>
        <v>45460</v>
      </c>
      <c r="C9151" s="266" t="str">
        <f>IFERROR(__xludf.DUMMYFUNCTION("""COMPUTED_VALUE"""),"KYAI KONTONG")</f>
        <v>KYAI KONTONG</v>
      </c>
      <c r="D9151" s="186">
        <f>IFERROR(__xludf.DUMMYFUNCTION("""COMPUTED_VALUE"""),4.0)</f>
        <v>4</v>
      </c>
    </row>
    <row r="9152">
      <c r="A9152" s="178" t="str">
        <f>IFERROR(__xludf.DUMMYFUNCTION("""COMPUTED_VALUE"""),"ITBISA-RAPID-BOHLAM-E10-2.5V-SCREW")</f>
        <v>ITBISA-RAPID-BOHLAM-E10-2.5V-SCREW</v>
      </c>
      <c r="B9152" s="266">
        <f>IFERROR(__xludf.DUMMYFUNCTION("""COMPUTED_VALUE"""),45461.0)</f>
        <v>45461</v>
      </c>
      <c r="C9152" s="266" t="str">
        <f>IFERROR(__xludf.DUMMYFUNCTION("""COMPUTED_VALUE"""),"KYAI KONTONG")</f>
        <v>KYAI KONTONG</v>
      </c>
      <c r="D9152" s="186">
        <f>IFERROR(__xludf.DUMMYFUNCTION("""COMPUTED_VALUE"""),4.0)</f>
        <v>4</v>
      </c>
    </row>
    <row r="9153">
      <c r="A9153" s="178" t="str">
        <f>IFERROR(__xludf.DUMMYFUNCTION("""COMPUTED_VALUE"""),"ITBISA-RAPID-BOHLAM-E10-2.5V-SCREW")</f>
        <v>ITBISA-RAPID-BOHLAM-E10-2.5V-SCREW</v>
      </c>
      <c r="B9153" s="266">
        <f>IFERROR(__xludf.DUMMYFUNCTION("""COMPUTED_VALUE"""),45474.0)</f>
        <v>45474</v>
      </c>
      <c r="C9153" s="266" t="str">
        <f>IFERROR(__xludf.DUMMYFUNCTION("""COMPUTED_VALUE"""),"KYAI KONTONG")</f>
        <v>KYAI KONTONG</v>
      </c>
      <c r="D9153" s="186">
        <f>IFERROR(__xludf.DUMMYFUNCTION("""COMPUTED_VALUE"""),5.0)</f>
        <v>5</v>
      </c>
    </row>
    <row r="9154">
      <c r="A9154" s="178" t="str">
        <f>IFERROR(__xludf.DUMMYFUNCTION("""COMPUTED_VALUE"""),"ITBISA-RAPID-BOHLAM-E10-2.5V-SCREW")</f>
        <v>ITBISA-RAPID-BOHLAM-E10-2.5V-SCREW</v>
      </c>
      <c r="B9154" s="266">
        <f>IFERROR(__xludf.DUMMYFUNCTION("""COMPUTED_VALUE"""),45481.0)</f>
        <v>45481</v>
      </c>
      <c r="C9154" s="266" t="str">
        <f>IFERROR(__xludf.DUMMYFUNCTION("""COMPUTED_VALUE"""),"KYAI KONTONG")</f>
        <v>KYAI KONTONG</v>
      </c>
      <c r="D9154" s="186">
        <f>IFERROR(__xludf.DUMMYFUNCTION("""COMPUTED_VALUE"""),5.0)</f>
        <v>5</v>
      </c>
    </row>
    <row r="9155">
      <c r="A9155" s="178" t="str">
        <f>IFERROR(__xludf.DUMMYFUNCTION("""COMPUTED_VALUE"""),"ITBISA-RAPID-BOHLAM-E10-2.5V-SCREW")</f>
        <v>ITBISA-RAPID-BOHLAM-E10-2.5V-SCREW</v>
      </c>
      <c r="B9155" s="266">
        <f>IFERROR(__xludf.DUMMYFUNCTION("""COMPUTED_VALUE"""),45482.0)</f>
        <v>45482</v>
      </c>
      <c r="C9155" s="266" t="str">
        <f>IFERROR(__xludf.DUMMYFUNCTION("""COMPUTED_VALUE"""),"KERTASARI CIAMIS")</f>
        <v>KERTASARI CIAMIS</v>
      </c>
      <c r="D9155" s="186">
        <f>IFERROR(__xludf.DUMMYFUNCTION("""COMPUTED_VALUE"""),4.0)</f>
        <v>4</v>
      </c>
    </row>
    <row r="9156">
      <c r="A9156" s="178" t="str">
        <f>IFERROR(__xludf.DUMMYFUNCTION("""COMPUTED_VALUE"""),"ITBISA-RAPID-BOHLAM-E10-2.5V-SCREW")</f>
        <v>ITBISA-RAPID-BOHLAM-E10-2.5V-SCREW</v>
      </c>
      <c r="B9156" s="266">
        <f>IFERROR(__xludf.DUMMYFUNCTION("""COMPUTED_VALUE"""),45486.0)</f>
        <v>45486</v>
      </c>
      <c r="C9156" s="266" t="str">
        <f>IFERROR(__xludf.DUMMYFUNCTION("""COMPUTED_VALUE"""),"KYAI KONTONG")</f>
        <v>KYAI KONTONG</v>
      </c>
      <c r="D9156" s="186">
        <f>IFERROR(__xludf.DUMMYFUNCTION("""COMPUTED_VALUE"""),5.0)</f>
        <v>5</v>
      </c>
    </row>
    <row r="9157">
      <c r="A9157" s="178" t="str">
        <f>IFERROR(__xludf.DUMMYFUNCTION("""COMPUTED_VALUE"""),"ITBISA-RAPID-BOHLAM-E10-2.5V-SCREW")</f>
        <v>ITBISA-RAPID-BOHLAM-E10-2.5V-SCREW</v>
      </c>
      <c r="B9157" s="266">
        <f>IFERROR(__xludf.DUMMYFUNCTION("""COMPUTED_VALUE"""),45494.0)</f>
        <v>45494</v>
      </c>
      <c r="C9157" s="266" t="str">
        <f>IFERROR(__xludf.DUMMYFUNCTION("""COMPUTED_VALUE"""),"KYAI KONTONG")</f>
        <v>KYAI KONTONG</v>
      </c>
      <c r="D9157" s="186">
        <f>IFERROR(__xludf.DUMMYFUNCTION("""COMPUTED_VALUE"""),5.0)</f>
        <v>5</v>
      </c>
    </row>
    <row r="9158">
      <c r="A9158" s="178" t="str">
        <f>IFERROR(__xludf.DUMMYFUNCTION("""COMPUTED_VALUE"""),"ITBISA-RAPID-BOHLAM-E10-2.5V-SCREW")</f>
        <v>ITBISA-RAPID-BOHLAM-E10-2.5V-SCREW</v>
      </c>
      <c r="B9158" s="266">
        <f>IFERROR(__xludf.DUMMYFUNCTION("""COMPUTED_VALUE"""),45675.0)</f>
        <v>45675</v>
      </c>
      <c r="C9158" s="266" t="str">
        <f>IFERROR(__xludf.DUMMYFUNCTION("""COMPUTED_VALUE"""),"KYAI KONTONG")</f>
        <v>KYAI KONTONG</v>
      </c>
      <c r="D9158" s="186">
        <f>IFERROR(__xludf.DUMMYFUNCTION("""COMPUTED_VALUE"""),25.0)</f>
        <v>25</v>
      </c>
    </row>
    <row r="9159">
      <c r="A9159" s="178" t="str">
        <f>IFERROR(__xludf.DUMMYFUNCTION("""COMPUTED_VALUE"""),"ITBISA-RAPID-BOHLAM-E10-2.5V-SCREW")</f>
        <v>ITBISA-RAPID-BOHLAM-E10-2.5V-SCREW</v>
      </c>
      <c r="B9159" s="266">
        <f>IFERROR(__xludf.DUMMYFUNCTION("""COMPUTED_VALUE"""),45681.0)</f>
        <v>45681</v>
      </c>
      <c r="C9159" s="266" t="str">
        <f>IFERROR(__xludf.DUMMYFUNCTION("""COMPUTED_VALUE"""),"KERTASARI CIAMIS")</f>
        <v>KERTASARI CIAMIS</v>
      </c>
      <c r="D9159" s="186">
        <f>IFERROR(__xludf.DUMMYFUNCTION("""COMPUTED_VALUE"""),5.0)</f>
        <v>5</v>
      </c>
    </row>
    <row r="9160">
      <c r="A9160" s="178" t="str">
        <f>IFERROR(__xludf.DUMMYFUNCTION("""COMPUTED_VALUE"""),"ITBISA-RAPID-BOHLAM-E10-2.5V-SCREW")</f>
        <v>ITBISA-RAPID-BOHLAM-E10-2.5V-SCREW</v>
      </c>
      <c r="B9160" s="266">
        <f>IFERROR(__xludf.DUMMYFUNCTION("""COMPUTED_VALUE"""),45704.0)</f>
        <v>45704</v>
      </c>
      <c r="C9160" s="266" t="str">
        <f>IFERROR(__xludf.DUMMYFUNCTION("""COMPUTED_VALUE"""),"KYAI KONTONG")</f>
        <v>KYAI KONTONG</v>
      </c>
      <c r="D9160" s="186">
        <f>IFERROR(__xludf.DUMMYFUNCTION("""COMPUTED_VALUE"""),2.0)</f>
        <v>2</v>
      </c>
    </row>
    <row r="9161">
      <c r="A9161" s="178" t="str">
        <f>IFERROR(__xludf.DUMMYFUNCTION("""COMPUTED_VALUE"""),"ITBISA-RAPID-BOHLAM-E10-2.5V-SCREW")</f>
        <v>ITBISA-RAPID-BOHLAM-E10-2.5V-SCREW</v>
      </c>
      <c r="B9161" s="266">
        <f>IFERROR(__xludf.DUMMYFUNCTION("""COMPUTED_VALUE"""),45916.0)</f>
        <v>45916</v>
      </c>
      <c r="C9161" s="266" t="str">
        <f>IFERROR(__xludf.DUMMYFUNCTION("""COMPUTED_VALUE"""),"KERTASARI CIAMIS")</f>
        <v>KERTASARI CIAMIS</v>
      </c>
      <c r="D9161" s="186">
        <f>IFERROR(__xludf.DUMMYFUNCTION("""COMPUTED_VALUE"""),3.0)</f>
        <v>3</v>
      </c>
    </row>
    <row r="9162">
      <c r="A9162" s="178" t="str">
        <f>IFERROR(__xludf.DUMMYFUNCTION("""COMPUTED_VALUE"""),"ITBISA-RAPID-BOHLAM-E10-2.5V-SCREW")</f>
        <v>ITBISA-RAPID-BOHLAM-E10-2.5V-SCREW</v>
      </c>
      <c r="B9162" s="266">
        <f>IFERROR(__xludf.DUMMYFUNCTION("""COMPUTED_VALUE"""),45962.0)</f>
        <v>45962</v>
      </c>
      <c r="C9162" s="266" t="str">
        <f>IFERROR(__xludf.DUMMYFUNCTION("""COMPUTED_VALUE"""),"KYAI KONTONG")</f>
        <v>KYAI KONTONG</v>
      </c>
      <c r="D9162" s="186">
        <f>IFERROR(__xludf.DUMMYFUNCTION("""COMPUTED_VALUE"""),20.0)</f>
        <v>20</v>
      </c>
    </row>
    <row r="9163">
      <c r="A9163" s="178" t="str">
        <f>IFERROR(__xludf.DUMMYFUNCTION("""COMPUTED_VALUE"""),"ITBISA-RAPID-BOHLAM-E10-2.5V-SCREW")</f>
        <v>ITBISA-RAPID-BOHLAM-E10-2.5V-SCREW</v>
      </c>
      <c r="B9163" s="266">
        <f>IFERROR(__xludf.DUMMYFUNCTION("""COMPUTED_VALUE"""),45968.0)</f>
        <v>45968</v>
      </c>
      <c r="C9163" s="266" t="str">
        <f>IFERROR(__xludf.DUMMYFUNCTION("""COMPUTED_VALUE"""),"KYAI KONTONG")</f>
        <v>KYAI KONTONG</v>
      </c>
      <c r="D9163" s="186">
        <f>IFERROR(__xludf.DUMMYFUNCTION("""COMPUTED_VALUE"""),4.0)</f>
        <v>4</v>
      </c>
    </row>
    <row r="9164">
      <c r="A9164" s="178" t="str">
        <f>IFERROR(__xludf.DUMMYFUNCTION("""COMPUTED_VALUE"""),"ITBISA-RAPID-BOHLAM-E10-2.5V-SCREW")</f>
        <v>ITBISA-RAPID-BOHLAM-E10-2.5V-SCREW</v>
      </c>
      <c r="B9164" s="266">
        <f>IFERROR(__xludf.DUMMYFUNCTION("""COMPUTED_VALUE"""),45971.0)</f>
        <v>45971</v>
      </c>
      <c r="C9164" s="266" t="str">
        <f>IFERROR(__xludf.DUMMYFUNCTION("""COMPUTED_VALUE"""),"KYAI KONTONG")</f>
        <v>KYAI KONTONG</v>
      </c>
      <c r="D9164" s="186">
        <f>IFERROR(__xludf.DUMMYFUNCTION("""COMPUTED_VALUE"""),10.0)</f>
        <v>10</v>
      </c>
    </row>
    <row r="9165">
      <c r="A9165" s="178" t="str">
        <f>IFERROR(__xludf.DUMMYFUNCTION("""COMPUTED_VALUE"""),"ITBISA-RAPID-BOHLAM-E10-2.5V-SCREW")</f>
        <v>ITBISA-RAPID-BOHLAM-E10-2.5V-SCREW</v>
      </c>
      <c r="B9165" s="266">
        <f>IFERROR(__xludf.DUMMYFUNCTION("""COMPUTED_VALUE"""),45975.0)</f>
        <v>45975</v>
      </c>
      <c r="C9165" s="266" t="str">
        <f>IFERROR(__xludf.DUMMYFUNCTION("""COMPUTED_VALUE"""),"KYAI KONTONG")</f>
        <v>KYAI KONTONG</v>
      </c>
      <c r="D9165" s="186">
        <f>IFERROR(__xludf.DUMMYFUNCTION("""COMPUTED_VALUE"""),10.0)</f>
        <v>10</v>
      </c>
    </row>
    <row r="9166">
      <c r="A9166" s="178" t="str">
        <f>IFERROR(__xludf.DUMMYFUNCTION("""COMPUTED_VALUE"""),"ITBISA-RAPID-BOHLAM-E10-2.5V-SCREW")</f>
        <v>ITBISA-RAPID-BOHLAM-E10-2.5V-SCREW</v>
      </c>
      <c r="B9166" s="266">
        <f>IFERROR(__xludf.DUMMYFUNCTION("""COMPUTED_VALUE"""),45981.0)</f>
        <v>45981</v>
      </c>
      <c r="C9166" s="266" t="str">
        <f>IFERROR(__xludf.DUMMYFUNCTION("""COMPUTED_VALUE"""),"KERTASARI CIAMIS")</f>
        <v>KERTASARI CIAMIS</v>
      </c>
      <c r="D9166" s="186">
        <f>IFERROR(__xludf.DUMMYFUNCTION("""COMPUTED_VALUE"""),2.0)</f>
        <v>2</v>
      </c>
    </row>
    <row r="9167">
      <c r="A9167" s="178" t="str">
        <f>IFERROR(__xludf.DUMMYFUNCTION("""COMPUTED_VALUE"""),"ITBISA-RAPID-BOHLAM-E10-2.5V-SCREW")</f>
        <v>ITBISA-RAPID-BOHLAM-E10-2.5V-SCREW</v>
      </c>
      <c r="B9167" s="266">
        <f>IFERROR(__xludf.DUMMYFUNCTION("""COMPUTED_VALUE"""),45985.0)</f>
        <v>45985</v>
      </c>
      <c r="C9167" s="266" t="str">
        <f>IFERROR(__xludf.DUMMYFUNCTION("""COMPUTED_VALUE"""),"KERTASARI CIAMIS")</f>
        <v>KERTASARI CIAMIS</v>
      </c>
      <c r="D9167" s="186">
        <f>IFERROR(__xludf.DUMMYFUNCTION("""COMPUTED_VALUE"""),10.0)</f>
        <v>10</v>
      </c>
    </row>
    <row r="9168">
      <c r="A9168" s="178" t="str">
        <f>IFERROR(__xludf.DUMMYFUNCTION("""COMPUTED_VALUE"""),"ITBISA-RAPID-BOHLAM-E10-2.5V-SCREW")</f>
        <v>ITBISA-RAPID-BOHLAM-E10-2.5V-SCREW</v>
      </c>
      <c r="B9168" s="266">
        <f>IFERROR(__xludf.DUMMYFUNCTION("""COMPUTED_VALUE"""),45994.0)</f>
        <v>45994</v>
      </c>
      <c r="C9168" s="266" t="str">
        <f>IFERROR(__xludf.DUMMYFUNCTION("""COMPUTED_VALUE"""),"KYAI KONTONG")</f>
        <v>KYAI KONTONG</v>
      </c>
      <c r="D9168" s="186">
        <f>IFERROR(__xludf.DUMMYFUNCTION("""COMPUTED_VALUE"""),3.0)</f>
        <v>3</v>
      </c>
    </row>
    <row r="9169">
      <c r="A9169" s="178" t="str">
        <f>IFERROR(__xludf.DUMMYFUNCTION("""COMPUTED_VALUE"""),"ITBISA-RAPID-BOHLAM-E10-2.5V-SCREW")</f>
        <v>ITBISA-RAPID-BOHLAM-E10-2.5V-SCREW</v>
      </c>
      <c r="B9169" s="266">
        <f>IFERROR(__xludf.DUMMYFUNCTION("""COMPUTED_VALUE"""),46009.0)</f>
        <v>46009</v>
      </c>
      <c r="C9169" s="266" t="str">
        <f>IFERROR(__xludf.DUMMYFUNCTION("""COMPUTED_VALUE"""),"KYAI KONTONG")</f>
        <v>KYAI KONTONG</v>
      </c>
      <c r="D9169" s="186">
        <f>IFERROR(__xludf.DUMMYFUNCTION("""COMPUTED_VALUE"""),100.0)</f>
        <v>100</v>
      </c>
    </row>
    <row r="9170">
      <c r="A9170" s="178" t="str">
        <f>IFERROR(__xludf.DUMMYFUNCTION("""COMPUTED_VALUE"""),"ITBISA-RAPID-BOHLAM-E10-2.5V-SCREW")</f>
        <v>ITBISA-RAPID-BOHLAM-E10-2.5V-SCREW</v>
      </c>
      <c r="B9170" s="266">
        <f>IFERROR(__xludf.DUMMYFUNCTION("""COMPUTED_VALUE"""),46018.0)</f>
        <v>46018</v>
      </c>
      <c r="C9170" s="266" t="str">
        <f>IFERROR(__xludf.DUMMYFUNCTION("""COMPUTED_VALUE"""),"KYAI KONTONG")</f>
        <v>KYAI KONTONG</v>
      </c>
      <c r="D9170" s="186">
        <f>IFERROR(__xludf.DUMMYFUNCTION("""COMPUTED_VALUE"""),2.0)</f>
        <v>2</v>
      </c>
    </row>
    <row r="9171">
      <c r="A9171" s="178" t="str">
        <f>IFERROR(__xludf.DUMMYFUNCTION("""COMPUTED_VALUE"""),"ITBISA-RAPID-BOHLAM-E10-2.5V-SCREW")</f>
        <v>ITBISA-RAPID-BOHLAM-E10-2.5V-SCREW</v>
      </c>
      <c r="B9171" s="266">
        <f>IFERROR(__xludf.DUMMYFUNCTION("""COMPUTED_VALUE"""),46020.0)</f>
        <v>46020</v>
      </c>
      <c r="C9171" s="266" t="str">
        <f>IFERROR(__xludf.DUMMYFUNCTION("""COMPUTED_VALUE"""),"KYAI KONTONG")</f>
        <v>KYAI KONTONG</v>
      </c>
      <c r="D9171" s="186">
        <f>IFERROR(__xludf.DUMMYFUNCTION("""COMPUTED_VALUE"""),8.0)</f>
        <v>8</v>
      </c>
    </row>
    <row r="9172">
      <c r="A9172" s="178" t="str">
        <f>IFERROR(__xludf.DUMMYFUNCTION("""COMPUTED_VALUE"""),"ITBISA-RAPID-BOHLAM-E10-2.5V-SCREW")</f>
        <v>ITBISA-RAPID-BOHLAM-E10-2.5V-SCREW</v>
      </c>
      <c r="B9172" s="266">
        <f>IFERROR(__xludf.DUMMYFUNCTION("""COMPUTED_VALUE"""),46021.0)</f>
        <v>46021</v>
      </c>
      <c r="C9172" s="266" t="str">
        <f>IFERROR(__xludf.DUMMYFUNCTION("""COMPUTED_VALUE"""),"KYAI KONTONG")</f>
        <v>KYAI KONTONG</v>
      </c>
      <c r="D9172" s="186">
        <f>IFERROR(__xludf.DUMMYFUNCTION("""COMPUTED_VALUE"""),1.0)</f>
        <v>1</v>
      </c>
    </row>
    <row r="9173">
      <c r="A9173" s="178" t="str">
        <f>IFERROR(__xludf.DUMMYFUNCTION("""COMPUTED_VALUE"""),"ITBISA-RAPID-BOHLAM-E10-2.5V-SCREW")</f>
        <v>ITBISA-RAPID-BOHLAM-E10-2.5V-SCREW</v>
      </c>
      <c r="B9173" s="266">
        <f>IFERROR(__xludf.DUMMYFUNCTION("""COMPUTED_VALUE"""),46021.0)</f>
        <v>46021</v>
      </c>
      <c r="C9173" s="266" t="str">
        <f>IFERROR(__xludf.DUMMYFUNCTION("""COMPUTED_VALUE"""),"KYAI KONTONG")</f>
        <v>KYAI KONTONG</v>
      </c>
      <c r="D9173" s="186">
        <f>IFERROR(__xludf.DUMMYFUNCTION("""COMPUTED_VALUE"""),2.0)</f>
        <v>2</v>
      </c>
    </row>
    <row r="9174">
      <c r="A9174" s="178" t="str">
        <f>IFERROR(__xludf.DUMMYFUNCTION("""COMPUTED_VALUE"""),"ITBISA-RAPID-BOHLAM-E10-3.8V-SCREW")</f>
        <v>ITBISA-RAPID-BOHLAM-E10-3.8V-SCREW</v>
      </c>
      <c r="B9174" s="266">
        <f>IFERROR(__xludf.DUMMYFUNCTION("""COMPUTED_VALUE"""),44979.0)</f>
        <v>44979</v>
      </c>
      <c r="C9174" s="266" t="str">
        <f>IFERROR(__xludf.DUMMYFUNCTION("""COMPUTED_VALUE"""),"KYAI KONTONG")</f>
        <v>KYAI KONTONG</v>
      </c>
      <c r="D9174" s="186">
        <f>IFERROR(__xludf.DUMMYFUNCTION("""COMPUTED_VALUE"""),30.0)</f>
        <v>30</v>
      </c>
    </row>
    <row r="9175">
      <c r="A9175" s="178" t="str">
        <f>IFERROR(__xludf.DUMMYFUNCTION("""COMPUTED_VALUE"""),"ITBISA-RAPID-BOHLAM-E10-3.8V-SCREW")</f>
        <v>ITBISA-RAPID-BOHLAM-E10-3.8V-SCREW</v>
      </c>
      <c r="B9175" s="266">
        <f>IFERROR(__xludf.DUMMYFUNCTION("""COMPUTED_VALUE"""),45024.0)</f>
        <v>45024</v>
      </c>
      <c r="C9175" s="266" t="str">
        <f>IFERROR(__xludf.DUMMYFUNCTION("""COMPUTED_VALUE"""),"KYAI KONTONG")</f>
        <v>KYAI KONTONG</v>
      </c>
      <c r="D9175" s="186">
        <f>IFERROR(__xludf.DUMMYFUNCTION("""COMPUTED_VALUE"""),5.0)</f>
        <v>5</v>
      </c>
    </row>
    <row r="9176">
      <c r="A9176" s="178" t="str">
        <f>IFERROR(__xludf.DUMMYFUNCTION("""COMPUTED_VALUE"""),"ITBISA-RAPID-BOHLAM-E10-3.8V-SCREW")</f>
        <v>ITBISA-RAPID-BOHLAM-E10-3.8V-SCREW</v>
      </c>
      <c r="B9176" s="266">
        <f>IFERROR(__xludf.DUMMYFUNCTION("""COMPUTED_VALUE"""),45105.0)</f>
        <v>45105</v>
      </c>
      <c r="C9176" s="266" t="str">
        <f>IFERROR(__xludf.DUMMYFUNCTION("""COMPUTED_VALUE"""),"KYAI KONTONG")</f>
        <v>KYAI KONTONG</v>
      </c>
      <c r="D9176" s="186">
        <f>IFERROR(__xludf.DUMMYFUNCTION("""COMPUTED_VALUE"""),7.0)</f>
        <v>7</v>
      </c>
    </row>
    <row r="9177">
      <c r="A9177" s="178" t="str">
        <f>IFERROR(__xludf.DUMMYFUNCTION("""COMPUTED_VALUE"""),"ITBISA-RAPID-BOHLAM-E10-3.8V-SCREW")</f>
        <v>ITBISA-RAPID-BOHLAM-E10-3.8V-SCREW</v>
      </c>
      <c r="B9177" s="266">
        <f>IFERROR(__xludf.DUMMYFUNCTION("""COMPUTED_VALUE"""),45204.0)</f>
        <v>45204</v>
      </c>
      <c r="C9177" s="266" t="str">
        <f>IFERROR(__xludf.DUMMYFUNCTION("""COMPUTED_VALUE"""),"KYAI KONTONG")</f>
        <v>KYAI KONTONG</v>
      </c>
      <c r="D9177" s="186">
        <f>IFERROR(__xludf.DUMMYFUNCTION("""COMPUTED_VALUE"""),2.0)</f>
        <v>2</v>
      </c>
    </row>
    <row r="9178">
      <c r="A9178" s="178" t="str">
        <f>IFERROR(__xludf.DUMMYFUNCTION("""COMPUTED_VALUE"""),"ITBISA-RAPID-BOHLAM-E10-3.8V-SCREW")</f>
        <v>ITBISA-RAPID-BOHLAM-E10-3.8V-SCREW</v>
      </c>
      <c r="B9178" s="266">
        <f>IFERROR(__xludf.DUMMYFUNCTION("""COMPUTED_VALUE"""),45214.0)</f>
        <v>45214</v>
      </c>
      <c r="C9178" s="266" t="str">
        <f>IFERROR(__xludf.DUMMYFUNCTION("""COMPUTED_VALUE"""),"KYAI KONTONG")</f>
        <v>KYAI KONTONG</v>
      </c>
      <c r="D9178" s="186">
        <f>IFERROR(__xludf.DUMMYFUNCTION("""COMPUTED_VALUE"""),2.0)</f>
        <v>2</v>
      </c>
    </row>
    <row r="9179">
      <c r="A9179" s="178" t="str">
        <f>IFERROR(__xludf.DUMMYFUNCTION("""COMPUTED_VALUE"""),"ITBISA-RAPID-BOHLAM-E10-3.8V-SCREW")</f>
        <v>ITBISA-RAPID-BOHLAM-E10-3.8V-SCREW</v>
      </c>
      <c r="B9179" s="266">
        <f>IFERROR(__xludf.DUMMYFUNCTION("""COMPUTED_VALUE"""),45350.0)</f>
        <v>45350</v>
      </c>
      <c r="C9179" s="266" t="str">
        <f>IFERROR(__xludf.DUMMYFUNCTION("""COMPUTED_VALUE"""),"KYAI KONTONG")</f>
        <v>KYAI KONTONG</v>
      </c>
      <c r="D9179" s="186">
        <f>IFERROR(__xludf.DUMMYFUNCTION("""COMPUTED_VALUE"""),3.0)</f>
        <v>3</v>
      </c>
    </row>
    <row r="9180">
      <c r="A9180" s="178" t="str">
        <f>IFERROR(__xludf.DUMMYFUNCTION("""COMPUTED_VALUE"""),"ITBISA-RAPID-BOHLAM-E10-3.8V-SCREW")</f>
        <v>ITBISA-RAPID-BOHLAM-E10-3.8V-SCREW</v>
      </c>
      <c r="B9180" s="266">
        <f>IFERROR(__xludf.DUMMYFUNCTION("""COMPUTED_VALUE"""),45352.0)</f>
        <v>45352</v>
      </c>
      <c r="C9180" s="266" t="str">
        <f>IFERROR(__xludf.DUMMYFUNCTION("""COMPUTED_VALUE"""),"KYAI KONTONG")</f>
        <v>KYAI KONTONG</v>
      </c>
      <c r="D9180" s="186">
        <f>IFERROR(__xludf.DUMMYFUNCTION("""COMPUTED_VALUE"""),1.0)</f>
        <v>1</v>
      </c>
    </row>
    <row r="9181">
      <c r="A9181" s="178" t="str">
        <f>IFERROR(__xludf.DUMMYFUNCTION("""COMPUTED_VALUE"""),"ITBISA-RAPID-BOHLAM-E10-3.8V-SCREW")</f>
        <v>ITBISA-RAPID-BOHLAM-E10-3.8V-SCREW</v>
      </c>
      <c r="B9181" s="266">
        <f>IFERROR(__xludf.DUMMYFUNCTION("""COMPUTED_VALUE"""),45429.0)</f>
        <v>45429</v>
      </c>
      <c r="C9181" s="266" t="str">
        <f>IFERROR(__xludf.DUMMYFUNCTION("""COMPUTED_VALUE"""),"KYAI KONTONG")</f>
        <v>KYAI KONTONG</v>
      </c>
      <c r="D9181" s="186">
        <f>IFERROR(__xludf.DUMMYFUNCTION("""COMPUTED_VALUE"""),10.0)</f>
        <v>10</v>
      </c>
    </row>
    <row r="9182">
      <c r="A9182" s="178" t="str">
        <f>IFERROR(__xludf.DUMMYFUNCTION("""COMPUTED_VALUE"""),"ITBISA-RAPID-BOHLAM-E10-3.8V-SCREW")</f>
        <v>ITBISA-RAPID-BOHLAM-E10-3.8V-SCREW</v>
      </c>
      <c r="B9182" s="266">
        <f>IFERROR(__xludf.DUMMYFUNCTION("""COMPUTED_VALUE"""),45481.0)</f>
        <v>45481</v>
      </c>
      <c r="C9182" s="266" t="str">
        <f>IFERROR(__xludf.DUMMYFUNCTION("""COMPUTED_VALUE"""),"KYAI KONTONG")</f>
        <v>KYAI KONTONG</v>
      </c>
      <c r="D9182" s="186">
        <f>IFERROR(__xludf.DUMMYFUNCTION("""COMPUTED_VALUE"""),2.0)</f>
        <v>2</v>
      </c>
    </row>
    <row r="9183">
      <c r="A9183" s="178" t="str">
        <f>IFERROR(__xludf.DUMMYFUNCTION("""COMPUTED_VALUE"""),"ITBISA-RAPID-BOHLAM-E10-3.8V-SCREW")</f>
        <v>ITBISA-RAPID-BOHLAM-E10-3.8V-SCREW</v>
      </c>
      <c r="B9183" s="266">
        <f>IFERROR(__xludf.DUMMYFUNCTION("""COMPUTED_VALUE"""),45971.0)</f>
        <v>45971</v>
      </c>
      <c r="C9183" s="266" t="str">
        <f>IFERROR(__xludf.DUMMYFUNCTION("""COMPUTED_VALUE"""),"KYAI KONTONG")</f>
        <v>KYAI KONTONG</v>
      </c>
      <c r="D9183" s="186">
        <f>IFERROR(__xludf.DUMMYFUNCTION("""COMPUTED_VALUE"""),10.0)</f>
        <v>10</v>
      </c>
    </row>
    <row r="9184">
      <c r="A9184" s="178" t="str">
        <f>IFERROR(__xludf.DUMMYFUNCTION("""COMPUTED_VALUE"""),"ITBISA-RAPID-BOHLAM-E10-3.8V-SCREW")</f>
        <v>ITBISA-RAPID-BOHLAM-E10-3.8V-SCREW</v>
      </c>
      <c r="B9184" s="266">
        <f>IFERROR(__xludf.DUMMYFUNCTION("""COMPUTED_VALUE"""),45979.0)</f>
        <v>45979</v>
      </c>
      <c r="C9184" s="266" t="str">
        <f>IFERROR(__xludf.DUMMYFUNCTION("""COMPUTED_VALUE"""),"KYAI KONTONG")</f>
        <v>KYAI KONTONG</v>
      </c>
      <c r="D9184" s="186">
        <f>IFERROR(__xludf.DUMMYFUNCTION("""COMPUTED_VALUE"""),20.0)</f>
        <v>20</v>
      </c>
    </row>
    <row r="9185">
      <c r="A9185" s="178" t="str">
        <f>IFERROR(__xludf.DUMMYFUNCTION("""COMPUTED_VALUE"""),"ITBISA-RAPID-BOHLAM-E10-3.8V-SCREW")</f>
        <v>ITBISA-RAPID-BOHLAM-E10-3.8V-SCREW</v>
      </c>
      <c r="B9185" s="266">
        <f>IFERROR(__xludf.DUMMYFUNCTION("""COMPUTED_VALUE"""),45980.0)</f>
        <v>45980</v>
      </c>
      <c r="C9185" s="266" t="str">
        <f>IFERROR(__xludf.DUMMYFUNCTION("""COMPUTED_VALUE"""),"KYAI KONTONG")</f>
        <v>KYAI KONTONG</v>
      </c>
      <c r="D9185" s="186">
        <f>IFERROR(__xludf.DUMMYFUNCTION("""COMPUTED_VALUE"""),5.0)</f>
        <v>5</v>
      </c>
    </row>
    <row r="9186">
      <c r="A9186" s="178" t="str">
        <f>IFERROR(__xludf.DUMMYFUNCTION("""COMPUTED_VALUE"""),"ITBISA-RAPID-BOHLAM-E10-3.8V-SCREW")</f>
        <v>ITBISA-RAPID-BOHLAM-E10-3.8V-SCREW</v>
      </c>
      <c r="B9186" s="266">
        <f>IFERROR(__xludf.DUMMYFUNCTION("""COMPUTED_VALUE"""),45989.0)</f>
        <v>45989</v>
      </c>
      <c r="C9186" s="266" t="str">
        <f>IFERROR(__xludf.DUMMYFUNCTION("""COMPUTED_VALUE"""),"KYAI KONTONG")</f>
        <v>KYAI KONTONG</v>
      </c>
      <c r="D9186" s="186">
        <f>IFERROR(__xludf.DUMMYFUNCTION("""COMPUTED_VALUE"""),3.0)</f>
        <v>3</v>
      </c>
    </row>
    <row r="9187">
      <c r="A9187" s="178" t="str">
        <f>IFERROR(__xludf.DUMMYFUNCTION("""COMPUTED_VALUE"""),"ITBISA-RAPID-BOHLAM-E10-3.8V-SCREW")</f>
        <v>ITBISA-RAPID-BOHLAM-E10-3.8V-SCREW</v>
      </c>
      <c r="B9187" s="266">
        <f>IFERROR(__xludf.DUMMYFUNCTION("""COMPUTED_VALUE"""),45997.0)</f>
        <v>45997</v>
      </c>
      <c r="C9187" s="266" t="str">
        <f>IFERROR(__xludf.DUMMYFUNCTION("""COMPUTED_VALUE"""),"KYAI KONTONG")</f>
        <v>KYAI KONTONG</v>
      </c>
      <c r="D9187" s="186">
        <f>IFERROR(__xludf.DUMMYFUNCTION("""COMPUTED_VALUE"""),10.0)</f>
        <v>10</v>
      </c>
    </row>
    <row r="9188">
      <c r="A9188" s="178" t="str">
        <f>IFERROR(__xludf.DUMMYFUNCTION("""COMPUTED_VALUE"""),"ITBISA-RAPID-BOHLAM-E10-3.8V-SCREW")</f>
        <v>ITBISA-RAPID-BOHLAM-E10-3.8V-SCREW</v>
      </c>
      <c r="B9188" s="266">
        <f>IFERROR(__xludf.DUMMYFUNCTION("""COMPUTED_VALUE"""),46001.0)</f>
        <v>46001</v>
      </c>
      <c r="C9188" s="266" t="str">
        <f>IFERROR(__xludf.DUMMYFUNCTION("""COMPUTED_VALUE"""),"KYAI KONTONG")</f>
        <v>KYAI KONTONG</v>
      </c>
      <c r="D9188" s="186">
        <f>IFERROR(__xludf.DUMMYFUNCTION("""COMPUTED_VALUE"""),10.0)</f>
        <v>10</v>
      </c>
    </row>
    <row r="9189">
      <c r="A9189" s="178" t="str">
        <f>IFERROR(__xludf.DUMMYFUNCTION("""COMPUTED_VALUE"""),"ITBISA-RAPID-BOHLAM-E10-3.8V-SCREW")</f>
        <v>ITBISA-RAPID-BOHLAM-E10-3.8V-SCREW</v>
      </c>
      <c r="B9189" s="266">
        <f>IFERROR(__xludf.DUMMYFUNCTION("""COMPUTED_VALUE"""),46009.0)</f>
        <v>46009</v>
      </c>
      <c r="C9189" s="266" t="str">
        <f>IFERROR(__xludf.DUMMYFUNCTION("""COMPUTED_VALUE"""),"KYAI KONTONG")</f>
        <v>KYAI KONTONG</v>
      </c>
      <c r="D9189" s="186">
        <f>IFERROR(__xludf.DUMMYFUNCTION("""COMPUTED_VALUE"""),5.0)</f>
        <v>5</v>
      </c>
    </row>
    <row r="9190">
      <c r="A9190" s="178" t="str">
        <f>IFERROR(__xludf.DUMMYFUNCTION("""COMPUTED_VALUE"""),"ITBISA-RAPID-BOHLAM-E10-3.8V-SCREW")</f>
        <v>ITBISA-RAPID-BOHLAM-E10-3.8V-SCREW</v>
      </c>
      <c r="B9190" s="266">
        <f>IFERROR(__xludf.DUMMYFUNCTION("""COMPUTED_VALUE"""),46013.0)</f>
        <v>46013</v>
      </c>
      <c r="C9190" s="266" t="str">
        <f>IFERROR(__xludf.DUMMYFUNCTION("""COMPUTED_VALUE"""),"KYAI KONTONG")</f>
        <v>KYAI KONTONG</v>
      </c>
      <c r="D9190" s="186">
        <f>IFERROR(__xludf.DUMMYFUNCTION("""COMPUTED_VALUE"""),5.0)</f>
        <v>5</v>
      </c>
    </row>
    <row r="9191">
      <c r="A9191" s="178" t="str">
        <f>IFERROR(__xludf.DUMMYFUNCTION("""COMPUTED_VALUE"""),"ITBISA-RAPID-BOHLAM-E10-3.8V-SCREW")</f>
        <v>ITBISA-RAPID-BOHLAM-E10-3.8V-SCREW</v>
      </c>
      <c r="B9191" s="266">
        <f>IFERROR(__xludf.DUMMYFUNCTION("""COMPUTED_VALUE"""),46018.0)</f>
        <v>46018</v>
      </c>
      <c r="C9191" s="266" t="str">
        <f>IFERROR(__xludf.DUMMYFUNCTION("""COMPUTED_VALUE"""),"KYAI KONTONG")</f>
        <v>KYAI KONTONG</v>
      </c>
      <c r="D9191" s="186">
        <f>IFERROR(__xludf.DUMMYFUNCTION("""COMPUTED_VALUE"""),2.0)</f>
        <v>2</v>
      </c>
    </row>
    <row r="9192">
      <c r="A9192" s="178" t="str">
        <f>IFERROR(__xludf.DUMMYFUNCTION("""COMPUTED_VALUE"""),"ITBISA-RAPID-BOHLAM-E10-3.8V-SCREW")</f>
        <v>ITBISA-RAPID-BOHLAM-E10-3.8V-SCREW</v>
      </c>
      <c r="B9192" s="266">
        <f>IFERROR(__xludf.DUMMYFUNCTION("""COMPUTED_VALUE"""),46020.0)</f>
        <v>46020</v>
      </c>
      <c r="C9192" s="266" t="str">
        <f>IFERROR(__xludf.DUMMYFUNCTION("""COMPUTED_VALUE"""),"KYAI KONTONG")</f>
        <v>KYAI KONTONG</v>
      </c>
      <c r="D9192" s="186">
        <f>IFERROR(__xludf.DUMMYFUNCTION("""COMPUTED_VALUE"""),12.0)</f>
        <v>12</v>
      </c>
    </row>
    <row r="9193">
      <c r="A9193" s="178" t="str">
        <f>IFERROR(__xludf.DUMMYFUNCTION("""COMPUTED_VALUE"""),"ITBISA-RAPID-BOHLAM-E10-3.8V-SCREW")</f>
        <v>ITBISA-RAPID-BOHLAM-E10-3.8V-SCREW</v>
      </c>
      <c r="B9193" s="266">
        <f>IFERROR(__xludf.DUMMYFUNCTION("""COMPUTED_VALUE"""),46021.0)</f>
        <v>46021</v>
      </c>
      <c r="C9193" s="266" t="str">
        <f>IFERROR(__xludf.DUMMYFUNCTION("""COMPUTED_VALUE"""),"KYAI KONTONG")</f>
        <v>KYAI KONTONG</v>
      </c>
      <c r="D9193" s="186">
        <f>IFERROR(__xludf.DUMMYFUNCTION("""COMPUTED_VALUE"""),1.0)</f>
        <v>1</v>
      </c>
    </row>
    <row r="9194">
      <c r="A9194" s="178" t="str">
        <f>IFERROR(__xludf.DUMMYFUNCTION("""COMPUTED_VALUE"""),"ITBISA-RAPID-BOHLAM-E10-3.8V-SCREW")</f>
        <v>ITBISA-RAPID-BOHLAM-E10-3.8V-SCREW</v>
      </c>
      <c r="B9194" s="266">
        <f>IFERROR(__xludf.DUMMYFUNCTION("""COMPUTED_VALUE"""),46022.0)</f>
        <v>46022</v>
      </c>
      <c r="C9194" s="266" t="str">
        <f>IFERROR(__xludf.DUMMYFUNCTION("""COMPUTED_VALUE"""),"KYAI KONTONG")</f>
        <v>KYAI KONTONG</v>
      </c>
      <c r="D9194" s="186">
        <f>IFERROR(__xludf.DUMMYFUNCTION("""COMPUTED_VALUE"""),5.0)</f>
        <v>5</v>
      </c>
    </row>
    <row r="9195">
      <c r="A9195" s="178" t="str">
        <f>IFERROR(__xludf.DUMMYFUNCTION("""COMPUTED_VALUE"""),"ITBISA-RELAY-12V-4PIN-BLUE")</f>
        <v>ITBISA-RELAY-12V-4PIN-BLUE</v>
      </c>
      <c r="B9195" s="266">
        <f>IFERROR(__xludf.DUMMYFUNCTION("""COMPUTED_VALUE"""),45652.0)</f>
        <v>45652</v>
      </c>
      <c r="C9195" s="266" t="str">
        <f>IFERROR(__xludf.DUMMYFUNCTION("""COMPUTED_VALUE"""),"KYAI KONTONG")</f>
        <v>KYAI KONTONG</v>
      </c>
      <c r="D9195" s="186">
        <f>IFERROR(__xludf.DUMMYFUNCTION("""COMPUTED_VALUE"""),100.0)</f>
        <v>100</v>
      </c>
    </row>
    <row r="9196">
      <c r="A9196" s="178" t="str">
        <f>IFERROR(__xludf.DUMMYFUNCTION("""COMPUTED_VALUE"""),"ITBISA-RELAY-12V-4PIN-BLUE")</f>
        <v>ITBISA-RELAY-12V-4PIN-BLUE</v>
      </c>
      <c r="B9196" s="266">
        <f>IFERROR(__xludf.DUMMYFUNCTION("""COMPUTED_VALUE"""),45660.0)</f>
        <v>45660</v>
      </c>
      <c r="C9196" s="266" t="str">
        <f>IFERROR(__xludf.DUMMYFUNCTION("""COMPUTED_VALUE"""),"KYAI KONTONG")</f>
        <v>KYAI KONTONG</v>
      </c>
      <c r="D9196" s="186">
        <f>IFERROR(__xludf.DUMMYFUNCTION("""COMPUTED_VALUE"""),21.0)</f>
        <v>21</v>
      </c>
    </row>
    <row r="9197">
      <c r="A9197" s="178" t="str">
        <f>IFERROR(__xludf.DUMMYFUNCTION("""COMPUTED_VALUE"""),"ITBISA-RELAY-12V-4PIN-BLUE")</f>
        <v>ITBISA-RELAY-12V-4PIN-BLUE</v>
      </c>
      <c r="B9197" s="266">
        <f>IFERROR(__xludf.DUMMYFUNCTION("""COMPUTED_VALUE"""),45664.0)</f>
        <v>45664</v>
      </c>
      <c r="C9197" s="266" t="str">
        <f>IFERROR(__xludf.DUMMYFUNCTION("""COMPUTED_VALUE"""),"KERTASARI CIAMIS")</f>
        <v>KERTASARI CIAMIS</v>
      </c>
      <c r="D9197" s="186">
        <f>IFERROR(__xludf.DUMMYFUNCTION("""COMPUTED_VALUE"""),100.0)</f>
        <v>100</v>
      </c>
    </row>
    <row r="9198">
      <c r="A9198" s="178" t="str">
        <f>IFERROR(__xludf.DUMMYFUNCTION("""COMPUTED_VALUE"""),"ITBISA-RELAY-12V-4PIN-BLUE")</f>
        <v>ITBISA-RELAY-12V-4PIN-BLUE</v>
      </c>
      <c r="B9198" s="266">
        <f>IFERROR(__xludf.DUMMYFUNCTION("""COMPUTED_VALUE"""),45664.0)</f>
        <v>45664</v>
      </c>
      <c r="C9198" s="266" t="str">
        <f>IFERROR(__xludf.DUMMYFUNCTION("""COMPUTED_VALUE"""),"KYAI KONTONG")</f>
        <v>KYAI KONTONG</v>
      </c>
      <c r="D9198" s="186">
        <f>IFERROR(__xludf.DUMMYFUNCTION("""COMPUTED_VALUE"""),20.0)</f>
        <v>20</v>
      </c>
    </row>
    <row r="9199">
      <c r="A9199" s="178" t="str">
        <f>IFERROR(__xludf.DUMMYFUNCTION("""COMPUTED_VALUE"""),"ITBISA-RELAY-12V-4PIN-BLUE")</f>
        <v>ITBISA-RELAY-12V-4PIN-BLUE</v>
      </c>
      <c r="B9199" s="266">
        <f>IFERROR(__xludf.DUMMYFUNCTION("""COMPUTED_VALUE"""),45666.0)</f>
        <v>45666</v>
      </c>
      <c r="C9199" s="266" t="str">
        <f>IFERROR(__xludf.DUMMYFUNCTION("""COMPUTED_VALUE"""),"KYAI KONTONG")</f>
        <v>KYAI KONTONG</v>
      </c>
      <c r="D9199" s="186">
        <f>IFERROR(__xludf.DUMMYFUNCTION("""COMPUTED_VALUE"""),20.0)</f>
        <v>20</v>
      </c>
    </row>
    <row r="9200">
      <c r="A9200" s="178" t="str">
        <f>IFERROR(__xludf.DUMMYFUNCTION("""COMPUTED_VALUE"""),"ITBISA-RELAY-12V-4PIN-BLUE")</f>
        <v>ITBISA-RELAY-12V-4PIN-BLUE</v>
      </c>
      <c r="B9200" s="266">
        <f>IFERROR(__xludf.DUMMYFUNCTION("""COMPUTED_VALUE"""),45667.0)</f>
        <v>45667</v>
      </c>
      <c r="C9200" s="266" t="str">
        <f>IFERROR(__xludf.DUMMYFUNCTION("""COMPUTED_VALUE"""),"KYAI KONTONG")</f>
        <v>KYAI KONTONG</v>
      </c>
      <c r="D9200" s="186">
        <f>IFERROR(__xludf.DUMMYFUNCTION("""COMPUTED_VALUE"""),10.0)</f>
        <v>10</v>
      </c>
    </row>
    <row r="9201">
      <c r="A9201" s="178" t="str">
        <f>IFERROR(__xludf.DUMMYFUNCTION("""COMPUTED_VALUE"""),"ITBISA-RELAY-12V-4PIN-BLUE")</f>
        <v>ITBISA-RELAY-12V-4PIN-BLUE</v>
      </c>
      <c r="B9201" s="266">
        <f>IFERROR(__xludf.DUMMYFUNCTION("""COMPUTED_VALUE"""),45668.0)</f>
        <v>45668</v>
      </c>
      <c r="C9201" s="266" t="str">
        <f>IFERROR(__xludf.DUMMYFUNCTION("""COMPUTED_VALUE"""),"KYAI KONTONG")</f>
        <v>KYAI KONTONG</v>
      </c>
      <c r="D9201" s="186">
        <f>IFERROR(__xludf.DUMMYFUNCTION("""COMPUTED_VALUE"""),100.0)</f>
        <v>100</v>
      </c>
    </row>
    <row r="9202">
      <c r="A9202" s="178" t="str">
        <f>IFERROR(__xludf.DUMMYFUNCTION("""COMPUTED_VALUE"""),"ITBISA-RELAY-12V-4PIN-BLUE")</f>
        <v>ITBISA-RELAY-12V-4PIN-BLUE</v>
      </c>
      <c r="B9202" s="266">
        <f>IFERROR(__xludf.DUMMYFUNCTION("""COMPUTED_VALUE"""),45669.0)</f>
        <v>45669</v>
      </c>
      <c r="C9202" s="266" t="str">
        <f>IFERROR(__xludf.DUMMYFUNCTION("""COMPUTED_VALUE"""),"KERTASARI CIAMIS")</f>
        <v>KERTASARI CIAMIS</v>
      </c>
      <c r="D9202" s="186">
        <f>IFERROR(__xludf.DUMMYFUNCTION("""COMPUTED_VALUE"""),100.0)</f>
        <v>100</v>
      </c>
    </row>
    <row r="9203">
      <c r="A9203" s="178" t="str">
        <f>IFERROR(__xludf.DUMMYFUNCTION("""COMPUTED_VALUE"""),"ITBISA-RELAY-12V-4PIN-BLUE")</f>
        <v>ITBISA-RELAY-12V-4PIN-BLUE</v>
      </c>
      <c r="B9203" s="266">
        <f>IFERROR(__xludf.DUMMYFUNCTION("""COMPUTED_VALUE"""),45669.0)</f>
        <v>45669</v>
      </c>
      <c r="C9203" s="266" t="str">
        <f>IFERROR(__xludf.DUMMYFUNCTION("""COMPUTED_VALUE"""),"KYAI KONTONG")</f>
        <v>KYAI KONTONG</v>
      </c>
      <c r="D9203" s="186">
        <f>IFERROR(__xludf.DUMMYFUNCTION("""COMPUTED_VALUE"""),1.0)</f>
        <v>1</v>
      </c>
    </row>
    <row r="9204">
      <c r="A9204" s="178" t="str">
        <f>IFERROR(__xludf.DUMMYFUNCTION("""COMPUTED_VALUE"""),"ITBISA-RELAY-12V-4PIN-BLUE")</f>
        <v>ITBISA-RELAY-12V-4PIN-BLUE</v>
      </c>
      <c r="B9204" s="266">
        <f>IFERROR(__xludf.DUMMYFUNCTION("""COMPUTED_VALUE"""),45669.0)</f>
        <v>45669</v>
      </c>
      <c r="C9204" s="266" t="str">
        <f>IFERROR(__xludf.DUMMYFUNCTION("""COMPUTED_VALUE"""),"KYAI KONTONG")</f>
        <v>KYAI KONTONG</v>
      </c>
      <c r="D9204" s="186">
        <f>IFERROR(__xludf.DUMMYFUNCTION("""COMPUTED_VALUE"""),10.0)</f>
        <v>10</v>
      </c>
    </row>
    <row r="9205">
      <c r="A9205" s="178" t="str">
        <f>IFERROR(__xludf.DUMMYFUNCTION("""COMPUTED_VALUE"""),"ITBISA-RELAY-12V-4PIN-BLUE")</f>
        <v>ITBISA-RELAY-12V-4PIN-BLUE</v>
      </c>
      <c r="B9205" s="266">
        <f>IFERROR(__xludf.DUMMYFUNCTION("""COMPUTED_VALUE"""),45672.0)</f>
        <v>45672</v>
      </c>
      <c r="C9205" s="266" t="str">
        <f>IFERROR(__xludf.DUMMYFUNCTION("""COMPUTED_VALUE"""),"KERTASARI CIAMIS")</f>
        <v>KERTASARI CIAMIS</v>
      </c>
      <c r="D9205" s="186">
        <f>IFERROR(__xludf.DUMMYFUNCTION("""COMPUTED_VALUE"""),50.0)</f>
        <v>50</v>
      </c>
    </row>
    <row r="9206">
      <c r="A9206" s="178" t="str">
        <f>IFERROR(__xludf.DUMMYFUNCTION("""COMPUTED_VALUE"""),"ITBISA-RELAY-12V-4PIN-BLUE")</f>
        <v>ITBISA-RELAY-12V-4PIN-BLUE</v>
      </c>
      <c r="B9206" s="266">
        <f>IFERROR(__xludf.DUMMYFUNCTION("""COMPUTED_VALUE"""),45672.0)</f>
        <v>45672</v>
      </c>
      <c r="C9206" s="266" t="str">
        <f>IFERROR(__xludf.DUMMYFUNCTION("""COMPUTED_VALUE"""),"KYAI KONTONG")</f>
        <v>KYAI KONTONG</v>
      </c>
      <c r="D9206" s="186">
        <f>IFERROR(__xludf.DUMMYFUNCTION("""COMPUTED_VALUE"""),25.0)</f>
        <v>25</v>
      </c>
    </row>
    <row r="9207">
      <c r="A9207" s="178" t="str">
        <f>IFERROR(__xludf.DUMMYFUNCTION("""COMPUTED_VALUE"""),"ITBISA-RELAY-12V-4PIN-BLUE")</f>
        <v>ITBISA-RELAY-12V-4PIN-BLUE</v>
      </c>
      <c r="B9207" s="266">
        <f>IFERROR(__xludf.DUMMYFUNCTION("""COMPUTED_VALUE"""),45674.0)</f>
        <v>45674</v>
      </c>
      <c r="C9207" s="266" t="str">
        <f>IFERROR(__xludf.DUMMYFUNCTION("""COMPUTED_VALUE"""),"KYAI KONTONG")</f>
        <v>KYAI KONTONG</v>
      </c>
      <c r="D9207" s="186">
        <f>IFERROR(__xludf.DUMMYFUNCTION("""COMPUTED_VALUE"""),100.0)</f>
        <v>100</v>
      </c>
    </row>
    <row r="9208">
      <c r="A9208" s="178" t="str">
        <f>IFERROR(__xludf.DUMMYFUNCTION("""COMPUTED_VALUE"""),"ITBISA-RELAY-12V-4PIN-BLUE")</f>
        <v>ITBISA-RELAY-12V-4PIN-BLUE</v>
      </c>
      <c r="B9208" s="266">
        <f>IFERROR(__xludf.DUMMYFUNCTION("""COMPUTED_VALUE"""),45677.0)</f>
        <v>45677</v>
      </c>
      <c r="C9208" s="266" t="str">
        <f>IFERROR(__xludf.DUMMYFUNCTION("""COMPUTED_VALUE"""),"KERTASARI CIAMIS")</f>
        <v>KERTASARI CIAMIS</v>
      </c>
      <c r="D9208" s="186">
        <f>IFERROR(__xludf.DUMMYFUNCTION("""COMPUTED_VALUE"""),100.0)</f>
        <v>100</v>
      </c>
    </row>
    <row r="9209">
      <c r="A9209" s="178" t="str">
        <f>IFERROR(__xludf.DUMMYFUNCTION("""COMPUTED_VALUE"""),"ITBISA-RELAY-12V-4PIN-BLUE")</f>
        <v>ITBISA-RELAY-12V-4PIN-BLUE</v>
      </c>
      <c r="B9209" s="266">
        <f>IFERROR(__xludf.DUMMYFUNCTION("""COMPUTED_VALUE"""),45677.0)</f>
        <v>45677</v>
      </c>
      <c r="C9209" s="266" t="str">
        <f>IFERROR(__xludf.DUMMYFUNCTION("""COMPUTED_VALUE"""),"KYAI KONTONG")</f>
        <v>KYAI KONTONG</v>
      </c>
      <c r="D9209" s="186">
        <f>IFERROR(__xludf.DUMMYFUNCTION("""COMPUTED_VALUE"""),14.0)</f>
        <v>14</v>
      </c>
    </row>
    <row r="9210">
      <c r="A9210" s="178" t="str">
        <f>IFERROR(__xludf.DUMMYFUNCTION("""COMPUTED_VALUE"""),"ITBISA-RELAY-12V-4PIN-BLUE")</f>
        <v>ITBISA-RELAY-12V-4PIN-BLUE</v>
      </c>
      <c r="B9210" s="266">
        <f>IFERROR(__xludf.DUMMYFUNCTION("""COMPUTED_VALUE"""),45677.0)</f>
        <v>45677</v>
      </c>
      <c r="C9210" s="266" t="str">
        <f>IFERROR(__xludf.DUMMYFUNCTION("""COMPUTED_VALUE"""),"KYAI KONTONG")</f>
        <v>KYAI KONTONG</v>
      </c>
      <c r="D9210" s="186">
        <f>IFERROR(__xludf.DUMMYFUNCTION("""COMPUTED_VALUE"""),20.0)</f>
        <v>20</v>
      </c>
    </row>
    <row r="9211">
      <c r="A9211" s="178" t="str">
        <f>IFERROR(__xludf.DUMMYFUNCTION("""COMPUTED_VALUE"""),"ITBISA-RELAY-12V-4PIN-BLUE")</f>
        <v>ITBISA-RELAY-12V-4PIN-BLUE</v>
      </c>
      <c r="B9211" s="266">
        <f>IFERROR(__xludf.DUMMYFUNCTION("""COMPUTED_VALUE"""),45677.0)</f>
        <v>45677</v>
      </c>
      <c r="C9211" s="266" t="str">
        <f>IFERROR(__xludf.DUMMYFUNCTION("""COMPUTED_VALUE"""),"KYAI KONTONG")</f>
        <v>KYAI KONTONG</v>
      </c>
      <c r="D9211" s="186">
        <f>IFERROR(__xludf.DUMMYFUNCTION("""COMPUTED_VALUE"""),100.0)</f>
        <v>100</v>
      </c>
    </row>
    <row r="9212">
      <c r="A9212" s="178" t="str">
        <f>IFERROR(__xludf.DUMMYFUNCTION("""COMPUTED_VALUE"""),"ITBISA-RELAY-12V-4PIN-BLUE")</f>
        <v>ITBISA-RELAY-12V-4PIN-BLUE</v>
      </c>
      <c r="B9212" s="266">
        <f>IFERROR(__xludf.DUMMYFUNCTION("""COMPUTED_VALUE"""),45678.0)</f>
        <v>45678</v>
      </c>
      <c r="C9212" s="266" t="str">
        <f>IFERROR(__xludf.DUMMYFUNCTION("""COMPUTED_VALUE"""),"KERTASARI CIAMIS")</f>
        <v>KERTASARI CIAMIS</v>
      </c>
      <c r="D9212" s="186">
        <f>IFERROR(__xludf.DUMMYFUNCTION("""COMPUTED_VALUE"""),50.0)</f>
        <v>50</v>
      </c>
    </row>
    <row r="9213">
      <c r="A9213" s="178" t="str">
        <f>IFERROR(__xludf.DUMMYFUNCTION("""COMPUTED_VALUE"""),"ITBISA-RELAY-12V-4PIN-BLUE")</f>
        <v>ITBISA-RELAY-12V-4PIN-BLUE</v>
      </c>
      <c r="B9213" s="266">
        <f>IFERROR(__xludf.DUMMYFUNCTION("""COMPUTED_VALUE"""),45678.0)</f>
        <v>45678</v>
      </c>
      <c r="C9213" s="266" t="str">
        <f>IFERROR(__xludf.DUMMYFUNCTION("""COMPUTED_VALUE"""),"KYAI KONTONG")</f>
        <v>KYAI KONTONG</v>
      </c>
      <c r="D9213" s="186">
        <f>IFERROR(__xludf.DUMMYFUNCTION("""COMPUTED_VALUE"""),20.0)</f>
        <v>20</v>
      </c>
    </row>
    <row r="9214">
      <c r="A9214" s="178" t="str">
        <f>IFERROR(__xludf.DUMMYFUNCTION("""COMPUTED_VALUE"""),"ITBISA-RELAY-12V-4PIN-BLUE")</f>
        <v>ITBISA-RELAY-12V-4PIN-BLUE</v>
      </c>
      <c r="B9214" s="266">
        <f>IFERROR(__xludf.DUMMYFUNCTION("""COMPUTED_VALUE"""),45678.0)</f>
        <v>45678</v>
      </c>
      <c r="C9214" s="266" t="str">
        <f>IFERROR(__xludf.DUMMYFUNCTION("""COMPUTED_VALUE"""),"KYAI KONTONG")</f>
        <v>KYAI KONTONG</v>
      </c>
      <c r="D9214" s="186">
        <f>IFERROR(__xludf.DUMMYFUNCTION("""COMPUTED_VALUE"""),50.0)</f>
        <v>50</v>
      </c>
    </row>
    <row r="9215">
      <c r="A9215" s="178" t="str">
        <f>IFERROR(__xludf.DUMMYFUNCTION("""COMPUTED_VALUE"""),"ITBISA-RELAY-12V-4PIN-BLUE")</f>
        <v>ITBISA-RELAY-12V-4PIN-BLUE</v>
      </c>
      <c r="B9215" s="266">
        <f>IFERROR(__xludf.DUMMYFUNCTION("""COMPUTED_VALUE"""),45679.0)</f>
        <v>45679</v>
      </c>
      <c r="C9215" s="266" t="str">
        <f>IFERROR(__xludf.DUMMYFUNCTION("""COMPUTED_VALUE"""),"KYAI KONTONG")</f>
        <v>KYAI KONTONG</v>
      </c>
      <c r="D9215" s="186">
        <f>IFERROR(__xludf.DUMMYFUNCTION("""COMPUTED_VALUE"""),10.0)</f>
        <v>10</v>
      </c>
    </row>
    <row r="9216">
      <c r="A9216" s="178" t="str">
        <f>IFERROR(__xludf.DUMMYFUNCTION("""COMPUTED_VALUE"""),"ITBISA-RELAY-12V-4PIN-BLUE")</f>
        <v>ITBISA-RELAY-12V-4PIN-BLUE</v>
      </c>
      <c r="B9216" s="266">
        <f>IFERROR(__xludf.DUMMYFUNCTION("""COMPUTED_VALUE"""),45679.0)</f>
        <v>45679</v>
      </c>
      <c r="C9216" s="266" t="str">
        <f>IFERROR(__xludf.DUMMYFUNCTION("""COMPUTED_VALUE"""),"KYAI KONTONG")</f>
        <v>KYAI KONTONG</v>
      </c>
      <c r="D9216" s="186">
        <f>IFERROR(__xludf.DUMMYFUNCTION("""COMPUTED_VALUE"""),20.0)</f>
        <v>20</v>
      </c>
    </row>
    <row r="9217">
      <c r="A9217" s="178" t="str">
        <f>IFERROR(__xludf.DUMMYFUNCTION("""COMPUTED_VALUE"""),"ITBISA-RELAY-12V-4PIN-BLUE")</f>
        <v>ITBISA-RELAY-12V-4PIN-BLUE</v>
      </c>
      <c r="B9217" s="266">
        <f>IFERROR(__xludf.DUMMYFUNCTION("""COMPUTED_VALUE"""),45679.0)</f>
        <v>45679</v>
      </c>
      <c r="C9217" s="266" t="str">
        <f>IFERROR(__xludf.DUMMYFUNCTION("""COMPUTED_VALUE"""),"KYAI KONTONG")</f>
        <v>KYAI KONTONG</v>
      </c>
      <c r="D9217" s="186">
        <f>IFERROR(__xludf.DUMMYFUNCTION("""COMPUTED_VALUE"""),100.0)</f>
        <v>100</v>
      </c>
    </row>
    <row r="9218">
      <c r="A9218" s="178" t="str">
        <f>IFERROR(__xludf.DUMMYFUNCTION("""COMPUTED_VALUE"""),"ITBISA-RELAY-12V-4PIN-BLUE")</f>
        <v>ITBISA-RELAY-12V-4PIN-BLUE</v>
      </c>
      <c r="B9218" s="266">
        <f>IFERROR(__xludf.DUMMYFUNCTION("""COMPUTED_VALUE"""),45680.0)</f>
        <v>45680</v>
      </c>
      <c r="C9218" s="266" t="str">
        <f>IFERROR(__xludf.DUMMYFUNCTION("""COMPUTED_VALUE"""),"KYAI KONTONG")</f>
        <v>KYAI KONTONG</v>
      </c>
      <c r="D9218" s="186">
        <f>IFERROR(__xludf.DUMMYFUNCTION("""COMPUTED_VALUE"""),10.0)</f>
        <v>10</v>
      </c>
    </row>
    <row r="9219">
      <c r="A9219" s="178" t="str">
        <f>IFERROR(__xludf.DUMMYFUNCTION("""COMPUTED_VALUE"""),"ITBISA-RELAY-12V-4PIN-BLUE")</f>
        <v>ITBISA-RELAY-12V-4PIN-BLUE</v>
      </c>
      <c r="B9219" s="266">
        <f>IFERROR(__xludf.DUMMYFUNCTION("""COMPUTED_VALUE"""),45681.0)</f>
        <v>45681</v>
      </c>
      <c r="C9219" s="266" t="str">
        <f>IFERROR(__xludf.DUMMYFUNCTION("""COMPUTED_VALUE"""),"KERTASARI CIAMIS")</f>
        <v>KERTASARI CIAMIS</v>
      </c>
      <c r="D9219" s="186">
        <f>IFERROR(__xludf.DUMMYFUNCTION("""COMPUTED_VALUE"""),100.0)</f>
        <v>100</v>
      </c>
    </row>
    <row r="9220">
      <c r="A9220" s="178" t="str">
        <f>IFERROR(__xludf.DUMMYFUNCTION("""COMPUTED_VALUE"""),"ITBISA-RELAY-12V-4PIN-BLUE")</f>
        <v>ITBISA-RELAY-12V-4PIN-BLUE</v>
      </c>
      <c r="B9220" s="266">
        <f>IFERROR(__xludf.DUMMYFUNCTION("""COMPUTED_VALUE"""),45681.0)</f>
        <v>45681</v>
      </c>
      <c r="C9220" s="266" t="str">
        <f>IFERROR(__xludf.DUMMYFUNCTION("""COMPUTED_VALUE"""),"KYAI KONTONG")</f>
        <v>KYAI KONTONG</v>
      </c>
      <c r="D9220" s="186">
        <f>IFERROR(__xludf.DUMMYFUNCTION("""COMPUTED_VALUE"""),10.0)</f>
        <v>10</v>
      </c>
    </row>
    <row r="9221">
      <c r="A9221" s="178" t="str">
        <f>IFERROR(__xludf.DUMMYFUNCTION("""COMPUTED_VALUE"""),"ITBISA-RELAY-12V-4PIN-BLUE")</f>
        <v>ITBISA-RELAY-12V-4PIN-BLUE</v>
      </c>
      <c r="B9221" s="266">
        <f>IFERROR(__xludf.DUMMYFUNCTION("""COMPUTED_VALUE"""),45681.0)</f>
        <v>45681</v>
      </c>
      <c r="C9221" s="266" t="str">
        <f>IFERROR(__xludf.DUMMYFUNCTION("""COMPUTED_VALUE"""),"KYAI KONTONG")</f>
        <v>KYAI KONTONG</v>
      </c>
      <c r="D9221" s="186">
        <f>IFERROR(__xludf.DUMMYFUNCTION("""COMPUTED_VALUE"""),500.0)</f>
        <v>500</v>
      </c>
    </row>
    <row r="9222">
      <c r="A9222" s="178" t="str">
        <f>IFERROR(__xludf.DUMMYFUNCTION("""COMPUTED_VALUE"""),"ITBISA-RELAY-12V-4PIN-BLUE")</f>
        <v>ITBISA-RELAY-12V-4PIN-BLUE</v>
      </c>
      <c r="B9222" s="266">
        <f>IFERROR(__xludf.DUMMYFUNCTION("""COMPUTED_VALUE"""),45682.0)</f>
        <v>45682</v>
      </c>
      <c r="C9222" s="266" t="str">
        <f>IFERROR(__xludf.DUMMYFUNCTION("""COMPUTED_VALUE"""),"KYAI KONTONG")</f>
        <v>KYAI KONTONG</v>
      </c>
      <c r="D9222" s="186">
        <f>IFERROR(__xludf.DUMMYFUNCTION("""COMPUTED_VALUE"""),10.0)</f>
        <v>10</v>
      </c>
    </row>
    <row r="9223">
      <c r="A9223" s="178" t="str">
        <f>IFERROR(__xludf.DUMMYFUNCTION("""COMPUTED_VALUE"""),"ITBISA-RELAY-12V-4PIN-BLUE")</f>
        <v>ITBISA-RELAY-12V-4PIN-BLUE</v>
      </c>
      <c r="B9223" s="266">
        <f>IFERROR(__xludf.DUMMYFUNCTION("""COMPUTED_VALUE"""),45682.0)</f>
        <v>45682</v>
      </c>
      <c r="C9223" s="266" t="str">
        <f>IFERROR(__xludf.DUMMYFUNCTION("""COMPUTED_VALUE"""),"KYAI KONTONG")</f>
        <v>KYAI KONTONG</v>
      </c>
      <c r="D9223" s="186">
        <f>IFERROR(__xludf.DUMMYFUNCTION("""COMPUTED_VALUE"""),12.0)</f>
        <v>12</v>
      </c>
    </row>
    <row r="9224">
      <c r="A9224" s="178" t="str">
        <f>IFERROR(__xludf.DUMMYFUNCTION("""COMPUTED_VALUE"""),"ITBISA-RELAY-12V-4PIN-BLUE")</f>
        <v>ITBISA-RELAY-12V-4PIN-BLUE</v>
      </c>
      <c r="B9224" s="266">
        <f>IFERROR(__xludf.DUMMYFUNCTION("""COMPUTED_VALUE"""),45682.0)</f>
        <v>45682</v>
      </c>
      <c r="C9224" s="266" t="str">
        <f>IFERROR(__xludf.DUMMYFUNCTION("""COMPUTED_VALUE"""),"KYAI KONTONG")</f>
        <v>KYAI KONTONG</v>
      </c>
      <c r="D9224" s="186">
        <f>IFERROR(__xludf.DUMMYFUNCTION("""COMPUTED_VALUE"""),20.0)</f>
        <v>20</v>
      </c>
    </row>
    <row r="9225">
      <c r="A9225" s="178" t="str">
        <f>IFERROR(__xludf.DUMMYFUNCTION("""COMPUTED_VALUE"""),"ITBISA-RELAY-12V-4PIN-BLUE")</f>
        <v>ITBISA-RELAY-12V-4PIN-BLUE</v>
      </c>
      <c r="B9225" s="266">
        <f>IFERROR(__xludf.DUMMYFUNCTION("""COMPUTED_VALUE"""),45683.0)</f>
        <v>45683</v>
      </c>
      <c r="C9225" s="266" t="str">
        <f>IFERROR(__xludf.DUMMYFUNCTION("""COMPUTED_VALUE"""),"KYAI KONTONG")</f>
        <v>KYAI KONTONG</v>
      </c>
      <c r="D9225" s="186">
        <f>IFERROR(__xludf.DUMMYFUNCTION("""COMPUTED_VALUE"""),20.0)</f>
        <v>20</v>
      </c>
    </row>
    <row r="9226">
      <c r="A9226" s="178" t="str">
        <f>IFERROR(__xludf.DUMMYFUNCTION("""COMPUTED_VALUE"""),"ITBISA-RELAY-12V-4PIN-BLUE")</f>
        <v>ITBISA-RELAY-12V-4PIN-BLUE</v>
      </c>
      <c r="B9226" s="266">
        <f>IFERROR(__xludf.DUMMYFUNCTION("""COMPUTED_VALUE"""),45683.0)</f>
        <v>45683</v>
      </c>
      <c r="C9226" s="266" t="str">
        <f>IFERROR(__xludf.DUMMYFUNCTION("""COMPUTED_VALUE"""),"KYAI KONTONG")</f>
        <v>KYAI KONTONG</v>
      </c>
      <c r="D9226" s="186">
        <f>IFERROR(__xludf.DUMMYFUNCTION("""COMPUTED_VALUE"""),20.0)</f>
        <v>20</v>
      </c>
    </row>
    <row r="9227">
      <c r="A9227" s="178" t="str">
        <f>IFERROR(__xludf.DUMMYFUNCTION("""COMPUTED_VALUE"""),"ITBISA-RELAY-12V-4PIN-BLUE")</f>
        <v>ITBISA-RELAY-12V-4PIN-BLUE</v>
      </c>
      <c r="B9227" s="266">
        <f>IFERROR(__xludf.DUMMYFUNCTION("""COMPUTED_VALUE"""),45683.0)</f>
        <v>45683</v>
      </c>
      <c r="C9227" s="266" t="str">
        <f>IFERROR(__xludf.DUMMYFUNCTION("""COMPUTED_VALUE"""),"KYAI KONTONG")</f>
        <v>KYAI KONTONG</v>
      </c>
      <c r="D9227" s="186">
        <f>IFERROR(__xludf.DUMMYFUNCTION("""COMPUTED_VALUE"""),20.0)</f>
        <v>20</v>
      </c>
    </row>
    <row r="9228">
      <c r="A9228" s="178" t="str">
        <f>IFERROR(__xludf.DUMMYFUNCTION("""COMPUTED_VALUE"""),"ITBISA-RELAY-12V-4PIN-BLUE")</f>
        <v>ITBISA-RELAY-12V-4PIN-BLUE</v>
      </c>
      <c r="B9228" s="266">
        <f>IFERROR(__xludf.DUMMYFUNCTION("""COMPUTED_VALUE"""),45684.0)</f>
        <v>45684</v>
      </c>
      <c r="C9228" s="266" t="str">
        <f>IFERROR(__xludf.DUMMYFUNCTION("""COMPUTED_VALUE"""),"KYAI KONTONG")</f>
        <v>KYAI KONTONG</v>
      </c>
      <c r="D9228" s="186">
        <f>IFERROR(__xludf.DUMMYFUNCTION("""COMPUTED_VALUE"""),10.0)</f>
        <v>10</v>
      </c>
    </row>
    <row r="9229">
      <c r="A9229" s="178" t="str">
        <f>IFERROR(__xludf.DUMMYFUNCTION("""COMPUTED_VALUE"""),"ITBISA-RELAY-12V-4PIN-BLUE")</f>
        <v>ITBISA-RELAY-12V-4PIN-BLUE</v>
      </c>
      <c r="B9229" s="266">
        <f>IFERROR(__xludf.DUMMYFUNCTION("""COMPUTED_VALUE"""),45684.0)</f>
        <v>45684</v>
      </c>
      <c r="C9229" s="266" t="str">
        <f>IFERROR(__xludf.DUMMYFUNCTION("""COMPUTED_VALUE"""),"KYAI KONTONG")</f>
        <v>KYAI KONTONG</v>
      </c>
      <c r="D9229" s="186">
        <f>IFERROR(__xludf.DUMMYFUNCTION("""COMPUTED_VALUE"""),10.0)</f>
        <v>10</v>
      </c>
    </row>
    <row r="9230">
      <c r="A9230" s="178" t="str">
        <f>IFERROR(__xludf.DUMMYFUNCTION("""COMPUTED_VALUE"""),"ITBISA-RELAY-12V-4PIN-BLUE")</f>
        <v>ITBISA-RELAY-12V-4PIN-BLUE</v>
      </c>
      <c r="B9230" s="266">
        <f>IFERROR(__xludf.DUMMYFUNCTION("""COMPUTED_VALUE"""),45684.0)</f>
        <v>45684</v>
      </c>
      <c r="C9230" s="266" t="str">
        <f>IFERROR(__xludf.DUMMYFUNCTION("""COMPUTED_VALUE"""),"KYAI KONTONG")</f>
        <v>KYAI KONTONG</v>
      </c>
      <c r="D9230" s="186">
        <f>IFERROR(__xludf.DUMMYFUNCTION("""COMPUTED_VALUE"""),20.0)</f>
        <v>20</v>
      </c>
    </row>
    <row r="9231">
      <c r="A9231" s="178" t="str">
        <f>IFERROR(__xludf.DUMMYFUNCTION("""COMPUTED_VALUE"""),"ITBISA-RELAY-12V-4PIN-BLUE")</f>
        <v>ITBISA-RELAY-12V-4PIN-BLUE</v>
      </c>
      <c r="B9231" s="266">
        <f>IFERROR(__xludf.DUMMYFUNCTION("""COMPUTED_VALUE"""),45685.0)</f>
        <v>45685</v>
      </c>
      <c r="C9231" s="266" t="str">
        <f>IFERROR(__xludf.DUMMYFUNCTION("""COMPUTED_VALUE"""),"KYAI KONTONG")</f>
        <v>KYAI KONTONG</v>
      </c>
      <c r="D9231" s="186">
        <f>IFERROR(__xludf.DUMMYFUNCTION("""COMPUTED_VALUE"""),10.0)</f>
        <v>10</v>
      </c>
    </row>
    <row r="9232">
      <c r="A9232" s="178" t="str">
        <f>IFERROR(__xludf.DUMMYFUNCTION("""COMPUTED_VALUE"""),"ITBISA-RELAY-12V-4PIN-BLUE")</f>
        <v>ITBISA-RELAY-12V-4PIN-BLUE</v>
      </c>
      <c r="B9232" s="266">
        <f>IFERROR(__xludf.DUMMYFUNCTION("""COMPUTED_VALUE"""),45685.0)</f>
        <v>45685</v>
      </c>
      <c r="C9232" s="266" t="str">
        <f>IFERROR(__xludf.DUMMYFUNCTION("""COMPUTED_VALUE"""),"KYAI KONTONG")</f>
        <v>KYAI KONTONG</v>
      </c>
      <c r="D9232" s="186">
        <f>IFERROR(__xludf.DUMMYFUNCTION("""COMPUTED_VALUE"""),12.0)</f>
        <v>12</v>
      </c>
    </row>
    <row r="9233">
      <c r="A9233" s="178" t="str">
        <f>IFERROR(__xludf.DUMMYFUNCTION("""COMPUTED_VALUE"""),"ITBISA-RELAY-12V-4PIN-BLUE")</f>
        <v>ITBISA-RELAY-12V-4PIN-BLUE</v>
      </c>
      <c r="B9233" s="266">
        <f>IFERROR(__xludf.DUMMYFUNCTION("""COMPUTED_VALUE"""),45685.0)</f>
        <v>45685</v>
      </c>
      <c r="C9233" s="266" t="str">
        <f>IFERROR(__xludf.DUMMYFUNCTION("""COMPUTED_VALUE"""),"KYAI KONTONG")</f>
        <v>KYAI KONTONG</v>
      </c>
      <c r="D9233" s="186">
        <f>IFERROR(__xludf.DUMMYFUNCTION("""COMPUTED_VALUE"""),50.0)</f>
        <v>50</v>
      </c>
    </row>
    <row r="9234">
      <c r="A9234" s="178" t="str">
        <f>IFERROR(__xludf.DUMMYFUNCTION("""COMPUTED_VALUE"""),"ITBISA-RELAY-12V-4PIN-BLUE")</f>
        <v>ITBISA-RELAY-12V-4PIN-BLUE</v>
      </c>
      <c r="B9234" s="266">
        <f>IFERROR(__xludf.DUMMYFUNCTION("""COMPUTED_VALUE"""),45685.0)</f>
        <v>45685</v>
      </c>
      <c r="C9234" s="266" t="str">
        <f>IFERROR(__xludf.DUMMYFUNCTION("""COMPUTED_VALUE"""),"KYAI KONTONG")</f>
        <v>KYAI KONTONG</v>
      </c>
      <c r="D9234" s="186">
        <f>IFERROR(__xludf.DUMMYFUNCTION("""COMPUTED_VALUE"""),100.0)</f>
        <v>100</v>
      </c>
    </row>
    <row r="9235">
      <c r="A9235" s="178" t="str">
        <f>IFERROR(__xludf.DUMMYFUNCTION("""COMPUTED_VALUE"""),"ITBISA-RELAY-12V-4PIN-BLUE")</f>
        <v>ITBISA-RELAY-12V-4PIN-BLUE</v>
      </c>
      <c r="B9235" s="266">
        <f>IFERROR(__xludf.DUMMYFUNCTION("""COMPUTED_VALUE"""),45686.0)</f>
        <v>45686</v>
      </c>
      <c r="C9235" s="266" t="str">
        <f>IFERROR(__xludf.DUMMYFUNCTION("""COMPUTED_VALUE"""),"KYAI KONTONG")</f>
        <v>KYAI KONTONG</v>
      </c>
      <c r="D9235" s="186">
        <f>IFERROR(__xludf.DUMMYFUNCTION("""COMPUTED_VALUE"""),20.0)</f>
        <v>20</v>
      </c>
    </row>
    <row r="9236">
      <c r="A9236" s="178" t="str">
        <f>IFERROR(__xludf.DUMMYFUNCTION("""COMPUTED_VALUE"""),"ITBISA-RELAY-12V-4PIN-BLUE")</f>
        <v>ITBISA-RELAY-12V-4PIN-BLUE</v>
      </c>
      <c r="B9236" s="266">
        <f>IFERROR(__xludf.DUMMYFUNCTION("""COMPUTED_VALUE"""),45686.0)</f>
        <v>45686</v>
      </c>
      <c r="C9236" s="266" t="str">
        <f>IFERROR(__xludf.DUMMYFUNCTION("""COMPUTED_VALUE"""),"KYAI KONTONG")</f>
        <v>KYAI KONTONG</v>
      </c>
      <c r="D9236" s="186">
        <f>IFERROR(__xludf.DUMMYFUNCTION("""COMPUTED_VALUE"""),30.0)</f>
        <v>30</v>
      </c>
    </row>
    <row r="9237">
      <c r="A9237" s="178" t="str">
        <f>IFERROR(__xludf.DUMMYFUNCTION("""COMPUTED_VALUE"""),"ITBISA-RELAY-12V-4PIN-BLUE")</f>
        <v>ITBISA-RELAY-12V-4PIN-BLUE</v>
      </c>
      <c r="B9237" s="266">
        <f>IFERROR(__xludf.DUMMYFUNCTION("""COMPUTED_VALUE"""),45687.0)</f>
        <v>45687</v>
      </c>
      <c r="C9237" s="266" t="str">
        <f>IFERROR(__xludf.DUMMYFUNCTION("""COMPUTED_VALUE"""),"KYAI KONTONG")</f>
        <v>KYAI KONTONG</v>
      </c>
      <c r="D9237" s="186">
        <f>IFERROR(__xludf.DUMMYFUNCTION("""COMPUTED_VALUE"""),10.0)</f>
        <v>10</v>
      </c>
    </row>
    <row r="9238">
      <c r="A9238" s="178" t="str">
        <f>IFERROR(__xludf.DUMMYFUNCTION("""COMPUTED_VALUE"""),"ITBISA-RELAY-12V-4PIN-BLUE")</f>
        <v>ITBISA-RELAY-12V-4PIN-BLUE</v>
      </c>
      <c r="B9238" s="266">
        <f>IFERROR(__xludf.DUMMYFUNCTION("""COMPUTED_VALUE"""),45688.0)</f>
        <v>45688</v>
      </c>
      <c r="C9238" s="266" t="str">
        <f>IFERROR(__xludf.DUMMYFUNCTION("""COMPUTED_VALUE"""),"KYAI KONTONG")</f>
        <v>KYAI KONTONG</v>
      </c>
      <c r="D9238" s="186">
        <f>IFERROR(__xludf.DUMMYFUNCTION("""COMPUTED_VALUE"""),10.0)</f>
        <v>10</v>
      </c>
    </row>
    <row r="9239">
      <c r="A9239" s="178" t="str">
        <f>IFERROR(__xludf.DUMMYFUNCTION("""COMPUTED_VALUE"""),"ITBISA-RELAY-12V-4PIN-BLUE")</f>
        <v>ITBISA-RELAY-12V-4PIN-BLUE</v>
      </c>
      <c r="B9239" s="266">
        <f>IFERROR(__xludf.DUMMYFUNCTION("""COMPUTED_VALUE"""),45689.0)</f>
        <v>45689</v>
      </c>
      <c r="C9239" s="266" t="str">
        <f>IFERROR(__xludf.DUMMYFUNCTION("""COMPUTED_VALUE"""),"KYAI KONTONG")</f>
        <v>KYAI KONTONG</v>
      </c>
      <c r="D9239" s="186">
        <f>IFERROR(__xludf.DUMMYFUNCTION("""COMPUTED_VALUE"""),25.0)</f>
        <v>25</v>
      </c>
    </row>
    <row r="9240">
      <c r="A9240" s="178" t="str">
        <f>IFERROR(__xludf.DUMMYFUNCTION("""COMPUTED_VALUE"""),"ITBISA-RELAY-12V-4PIN-BLUE")</f>
        <v>ITBISA-RELAY-12V-4PIN-BLUE</v>
      </c>
      <c r="B9240" s="266">
        <f>IFERROR(__xludf.DUMMYFUNCTION("""COMPUTED_VALUE"""),45689.0)</f>
        <v>45689</v>
      </c>
      <c r="C9240" s="266" t="str">
        <f>IFERROR(__xludf.DUMMYFUNCTION("""COMPUTED_VALUE"""),"KYAI KONTONG")</f>
        <v>KYAI KONTONG</v>
      </c>
      <c r="D9240" s="186">
        <f>IFERROR(__xludf.DUMMYFUNCTION("""COMPUTED_VALUE"""),30.0)</f>
        <v>30</v>
      </c>
    </row>
    <row r="9241">
      <c r="A9241" s="178" t="str">
        <f>IFERROR(__xludf.DUMMYFUNCTION("""COMPUTED_VALUE"""),"ITBISA-RELAY-12V-4PIN-BLUE")</f>
        <v>ITBISA-RELAY-12V-4PIN-BLUE</v>
      </c>
      <c r="B9241" s="266">
        <f>IFERROR(__xludf.DUMMYFUNCTION("""COMPUTED_VALUE"""),45689.0)</f>
        <v>45689</v>
      </c>
      <c r="C9241" s="266" t="str">
        <f>IFERROR(__xludf.DUMMYFUNCTION("""COMPUTED_VALUE"""),"KYAI KONTONG")</f>
        <v>KYAI KONTONG</v>
      </c>
      <c r="D9241" s="186">
        <f>IFERROR(__xludf.DUMMYFUNCTION("""COMPUTED_VALUE"""),37.0)</f>
        <v>37</v>
      </c>
    </row>
    <row r="9242">
      <c r="A9242" s="178" t="str">
        <f>IFERROR(__xludf.DUMMYFUNCTION("""COMPUTED_VALUE"""),"ITBISA-RELAY-12V-4PIN-BLUE")</f>
        <v>ITBISA-RELAY-12V-4PIN-BLUE</v>
      </c>
      <c r="B9242" s="266">
        <f>IFERROR(__xludf.DUMMYFUNCTION("""COMPUTED_VALUE"""),45690.0)</f>
        <v>45690</v>
      </c>
      <c r="C9242" s="266" t="str">
        <f>IFERROR(__xludf.DUMMYFUNCTION("""COMPUTED_VALUE"""),"KYAI KONTONG")</f>
        <v>KYAI KONTONG</v>
      </c>
      <c r="D9242" s="186">
        <f>IFERROR(__xludf.DUMMYFUNCTION("""COMPUTED_VALUE"""),10.0)</f>
        <v>10</v>
      </c>
    </row>
    <row r="9243">
      <c r="A9243" s="178" t="str">
        <f>IFERROR(__xludf.DUMMYFUNCTION("""COMPUTED_VALUE"""),"ITBISA-RELAY-12V-4PIN-BLUE")</f>
        <v>ITBISA-RELAY-12V-4PIN-BLUE</v>
      </c>
      <c r="B9243" s="266">
        <f>IFERROR(__xludf.DUMMYFUNCTION("""COMPUTED_VALUE"""),45690.0)</f>
        <v>45690</v>
      </c>
      <c r="C9243" s="266" t="str">
        <f>IFERROR(__xludf.DUMMYFUNCTION("""COMPUTED_VALUE"""),"KYAI KONTONG")</f>
        <v>KYAI KONTONG</v>
      </c>
      <c r="D9243" s="186">
        <f>IFERROR(__xludf.DUMMYFUNCTION("""COMPUTED_VALUE"""),30.0)</f>
        <v>30</v>
      </c>
    </row>
    <row r="9244">
      <c r="A9244" s="178" t="str">
        <f>IFERROR(__xludf.DUMMYFUNCTION("""COMPUTED_VALUE"""),"ITBISA-RELAY-12V-4PIN-BLUE")</f>
        <v>ITBISA-RELAY-12V-4PIN-BLUE</v>
      </c>
      <c r="B9244" s="266">
        <f>IFERROR(__xludf.DUMMYFUNCTION("""COMPUTED_VALUE"""),45691.0)</f>
        <v>45691</v>
      </c>
      <c r="C9244" s="266" t="str">
        <f>IFERROR(__xludf.DUMMYFUNCTION("""COMPUTED_VALUE"""),"KYAI KONTONG")</f>
        <v>KYAI KONTONG</v>
      </c>
      <c r="D9244" s="186">
        <f>IFERROR(__xludf.DUMMYFUNCTION("""COMPUTED_VALUE"""),10.0)</f>
        <v>10</v>
      </c>
    </row>
    <row r="9245">
      <c r="A9245" s="178" t="str">
        <f>IFERROR(__xludf.DUMMYFUNCTION("""COMPUTED_VALUE"""),"ITBISA-RELAY-12V-4PIN-BLUE")</f>
        <v>ITBISA-RELAY-12V-4PIN-BLUE</v>
      </c>
      <c r="B9245" s="266">
        <f>IFERROR(__xludf.DUMMYFUNCTION("""COMPUTED_VALUE"""),45691.0)</f>
        <v>45691</v>
      </c>
      <c r="C9245" s="266" t="str">
        <f>IFERROR(__xludf.DUMMYFUNCTION("""COMPUTED_VALUE"""),"KYAI KONTONG")</f>
        <v>KYAI KONTONG</v>
      </c>
      <c r="D9245" s="186">
        <f>IFERROR(__xludf.DUMMYFUNCTION("""COMPUTED_VALUE"""),25.0)</f>
        <v>25</v>
      </c>
    </row>
    <row r="9246">
      <c r="A9246" s="178" t="str">
        <f>IFERROR(__xludf.DUMMYFUNCTION("""COMPUTED_VALUE"""),"ITBISA-RELAY-12V-4PIN-BLUE")</f>
        <v>ITBISA-RELAY-12V-4PIN-BLUE</v>
      </c>
      <c r="B9246" s="266">
        <f>IFERROR(__xludf.DUMMYFUNCTION("""COMPUTED_VALUE"""),45691.0)</f>
        <v>45691</v>
      </c>
      <c r="C9246" s="266" t="str">
        <f>IFERROR(__xludf.DUMMYFUNCTION("""COMPUTED_VALUE"""),"KYAI KONTONG")</f>
        <v>KYAI KONTONG</v>
      </c>
      <c r="D9246" s="186">
        <f>IFERROR(__xludf.DUMMYFUNCTION("""COMPUTED_VALUE"""),100.0)</f>
        <v>100</v>
      </c>
    </row>
    <row r="9247">
      <c r="A9247" s="178" t="str">
        <f>IFERROR(__xludf.DUMMYFUNCTION("""COMPUTED_VALUE"""),"ITBISA-RELAY-12V-4PIN-BLUE")</f>
        <v>ITBISA-RELAY-12V-4PIN-BLUE</v>
      </c>
      <c r="B9247" s="266">
        <f>IFERROR(__xludf.DUMMYFUNCTION("""COMPUTED_VALUE"""),45692.0)</f>
        <v>45692</v>
      </c>
      <c r="C9247" s="266" t="str">
        <f>IFERROR(__xludf.DUMMYFUNCTION("""COMPUTED_VALUE"""),"KYAI KONTONG")</f>
        <v>KYAI KONTONG</v>
      </c>
      <c r="D9247" s="186">
        <f>IFERROR(__xludf.DUMMYFUNCTION("""COMPUTED_VALUE"""),10.0)</f>
        <v>10</v>
      </c>
    </row>
    <row r="9248">
      <c r="A9248" s="178" t="str">
        <f>IFERROR(__xludf.DUMMYFUNCTION("""COMPUTED_VALUE"""),"ITBISA-RELAY-12V-4PIN-BLUE")</f>
        <v>ITBISA-RELAY-12V-4PIN-BLUE</v>
      </c>
      <c r="B9248" s="266">
        <f>IFERROR(__xludf.DUMMYFUNCTION("""COMPUTED_VALUE"""),45693.0)</f>
        <v>45693</v>
      </c>
      <c r="C9248" s="266" t="str">
        <f>IFERROR(__xludf.DUMMYFUNCTION("""COMPUTED_VALUE"""),"KYAI KONTONG")</f>
        <v>KYAI KONTONG</v>
      </c>
      <c r="D9248" s="186">
        <f>IFERROR(__xludf.DUMMYFUNCTION("""COMPUTED_VALUE"""),10.0)</f>
        <v>10</v>
      </c>
    </row>
    <row r="9249">
      <c r="A9249" s="178" t="str">
        <f>IFERROR(__xludf.DUMMYFUNCTION("""COMPUTED_VALUE"""),"ITBISA-RELAY-12V-4PIN-BLUE")</f>
        <v>ITBISA-RELAY-12V-4PIN-BLUE</v>
      </c>
      <c r="B9249" s="266">
        <f>IFERROR(__xludf.DUMMYFUNCTION("""COMPUTED_VALUE"""),45693.0)</f>
        <v>45693</v>
      </c>
      <c r="C9249" s="266" t="str">
        <f>IFERROR(__xludf.DUMMYFUNCTION("""COMPUTED_VALUE"""),"KYAI KONTONG")</f>
        <v>KYAI KONTONG</v>
      </c>
      <c r="D9249" s="186">
        <f>IFERROR(__xludf.DUMMYFUNCTION("""COMPUTED_VALUE"""),20.0)</f>
        <v>20</v>
      </c>
    </row>
    <row r="9250">
      <c r="A9250" s="178" t="str">
        <f>IFERROR(__xludf.DUMMYFUNCTION("""COMPUTED_VALUE"""),"ITBISA-RELAY-12V-4PIN-BLUE")</f>
        <v>ITBISA-RELAY-12V-4PIN-BLUE</v>
      </c>
      <c r="B9250" s="266">
        <f>IFERROR(__xludf.DUMMYFUNCTION("""COMPUTED_VALUE"""),45693.0)</f>
        <v>45693</v>
      </c>
      <c r="C9250" s="266" t="str">
        <f>IFERROR(__xludf.DUMMYFUNCTION("""COMPUTED_VALUE"""),"KYAI KONTONG")</f>
        <v>KYAI KONTONG</v>
      </c>
      <c r="D9250" s="186">
        <f>IFERROR(__xludf.DUMMYFUNCTION("""COMPUTED_VALUE"""),40.0)</f>
        <v>40</v>
      </c>
    </row>
    <row r="9251">
      <c r="A9251" s="178" t="str">
        <f>IFERROR(__xludf.DUMMYFUNCTION("""COMPUTED_VALUE"""),"ITBISA-RELAY-12V-4PIN-BLUE")</f>
        <v>ITBISA-RELAY-12V-4PIN-BLUE</v>
      </c>
      <c r="B9251" s="266">
        <f>IFERROR(__xludf.DUMMYFUNCTION("""COMPUTED_VALUE"""),45693.0)</f>
        <v>45693</v>
      </c>
      <c r="C9251" s="266" t="str">
        <f>IFERROR(__xludf.DUMMYFUNCTION("""COMPUTED_VALUE"""),"KYAI KONTONG")</f>
        <v>KYAI KONTONG</v>
      </c>
      <c r="D9251" s="186">
        <f>IFERROR(__xludf.DUMMYFUNCTION("""COMPUTED_VALUE"""),100.0)</f>
        <v>100</v>
      </c>
    </row>
    <row r="9252">
      <c r="A9252" s="178" t="str">
        <f>IFERROR(__xludf.DUMMYFUNCTION("""COMPUTED_VALUE"""),"ITBISA-RELAY-12V-4PIN-BLUE")</f>
        <v>ITBISA-RELAY-12V-4PIN-BLUE</v>
      </c>
      <c r="B9252" s="266">
        <f>IFERROR(__xludf.DUMMYFUNCTION("""COMPUTED_VALUE"""),45694.0)</f>
        <v>45694</v>
      </c>
      <c r="C9252" s="266" t="str">
        <f>IFERROR(__xludf.DUMMYFUNCTION("""COMPUTED_VALUE"""),"KYAI KONTONG")</f>
        <v>KYAI KONTONG</v>
      </c>
      <c r="D9252" s="186">
        <f>IFERROR(__xludf.DUMMYFUNCTION("""COMPUTED_VALUE"""),10.0)</f>
        <v>10</v>
      </c>
    </row>
    <row r="9253">
      <c r="A9253" s="178" t="str">
        <f>IFERROR(__xludf.DUMMYFUNCTION("""COMPUTED_VALUE"""),"ITBISA-RELAY-12V-4PIN-BLUE")</f>
        <v>ITBISA-RELAY-12V-4PIN-BLUE</v>
      </c>
      <c r="B9253" s="266">
        <f>IFERROR(__xludf.DUMMYFUNCTION("""COMPUTED_VALUE"""),45694.0)</f>
        <v>45694</v>
      </c>
      <c r="C9253" s="266" t="str">
        <f>IFERROR(__xludf.DUMMYFUNCTION("""COMPUTED_VALUE"""),"KYAI KONTONG")</f>
        <v>KYAI KONTONG</v>
      </c>
      <c r="D9253" s="186">
        <f>IFERROR(__xludf.DUMMYFUNCTION("""COMPUTED_VALUE"""),10.0)</f>
        <v>10</v>
      </c>
    </row>
    <row r="9254">
      <c r="A9254" s="178" t="str">
        <f>IFERROR(__xludf.DUMMYFUNCTION("""COMPUTED_VALUE"""),"ITBISA-RELAY-12V-4PIN-BLUE")</f>
        <v>ITBISA-RELAY-12V-4PIN-BLUE</v>
      </c>
      <c r="B9254" s="266">
        <f>IFERROR(__xludf.DUMMYFUNCTION("""COMPUTED_VALUE"""),45694.0)</f>
        <v>45694</v>
      </c>
      <c r="C9254" s="266" t="str">
        <f>IFERROR(__xludf.DUMMYFUNCTION("""COMPUTED_VALUE"""),"KYAI KONTONG")</f>
        <v>KYAI KONTONG</v>
      </c>
      <c r="D9254" s="186">
        <f>IFERROR(__xludf.DUMMYFUNCTION("""COMPUTED_VALUE"""),26.0)</f>
        <v>26</v>
      </c>
    </row>
    <row r="9255">
      <c r="A9255" s="178" t="str">
        <f>IFERROR(__xludf.DUMMYFUNCTION("""COMPUTED_VALUE"""),"ITBISA-RELAY-12V-4PIN-BLUE")</f>
        <v>ITBISA-RELAY-12V-4PIN-BLUE</v>
      </c>
      <c r="B9255" s="266">
        <f>IFERROR(__xludf.DUMMYFUNCTION("""COMPUTED_VALUE"""),45694.0)</f>
        <v>45694</v>
      </c>
      <c r="C9255" s="266" t="str">
        <f>IFERROR(__xludf.DUMMYFUNCTION("""COMPUTED_VALUE"""),"KYAI KONTONG")</f>
        <v>KYAI KONTONG</v>
      </c>
      <c r="D9255" s="186">
        <f>IFERROR(__xludf.DUMMYFUNCTION("""COMPUTED_VALUE"""),500.0)</f>
        <v>500</v>
      </c>
    </row>
    <row r="9256">
      <c r="A9256" s="178" t="str">
        <f>IFERROR(__xludf.DUMMYFUNCTION("""COMPUTED_VALUE"""),"ITBISA-RELAY-12V-4PIN-BLUE")</f>
        <v>ITBISA-RELAY-12V-4PIN-BLUE</v>
      </c>
      <c r="B9256" s="266">
        <f>IFERROR(__xludf.DUMMYFUNCTION("""COMPUTED_VALUE"""),45695.0)</f>
        <v>45695</v>
      </c>
      <c r="C9256" s="266" t="str">
        <f>IFERROR(__xludf.DUMMYFUNCTION("""COMPUTED_VALUE"""),"KYAI KONTONG")</f>
        <v>KYAI KONTONG</v>
      </c>
      <c r="D9256" s="186">
        <f>IFERROR(__xludf.DUMMYFUNCTION("""COMPUTED_VALUE"""),50.0)</f>
        <v>50</v>
      </c>
    </row>
    <row r="9257">
      <c r="A9257" s="178" t="str">
        <f>IFERROR(__xludf.DUMMYFUNCTION("""COMPUTED_VALUE"""),"ITBISA-RELAY-12V-4PIN-BLUE")</f>
        <v>ITBISA-RELAY-12V-4PIN-BLUE</v>
      </c>
      <c r="B9257" s="266">
        <f>IFERROR(__xludf.DUMMYFUNCTION("""COMPUTED_VALUE"""),45696.0)</f>
        <v>45696</v>
      </c>
      <c r="C9257" s="266" t="str">
        <f>IFERROR(__xludf.DUMMYFUNCTION("""COMPUTED_VALUE"""),"KYAI KONTONG")</f>
        <v>KYAI KONTONG</v>
      </c>
      <c r="D9257" s="186">
        <f>IFERROR(__xludf.DUMMYFUNCTION("""COMPUTED_VALUE"""),10.0)</f>
        <v>10</v>
      </c>
    </row>
    <row r="9258">
      <c r="A9258" s="178" t="str">
        <f>IFERROR(__xludf.DUMMYFUNCTION("""COMPUTED_VALUE"""),"ITBISA-RELAY-12V-4PIN-BLUE")</f>
        <v>ITBISA-RELAY-12V-4PIN-BLUE</v>
      </c>
      <c r="B9258" s="266">
        <f>IFERROR(__xludf.DUMMYFUNCTION("""COMPUTED_VALUE"""),45697.0)</f>
        <v>45697</v>
      </c>
      <c r="C9258" s="266" t="str">
        <f>IFERROR(__xludf.DUMMYFUNCTION("""COMPUTED_VALUE"""),"KYAI KONTONG")</f>
        <v>KYAI KONTONG</v>
      </c>
      <c r="D9258" s="186">
        <f>IFERROR(__xludf.DUMMYFUNCTION("""COMPUTED_VALUE"""),100.0)</f>
        <v>100</v>
      </c>
    </row>
    <row r="9259">
      <c r="A9259" s="178" t="str">
        <f>IFERROR(__xludf.DUMMYFUNCTION("""COMPUTED_VALUE"""),"ITBISA-RELAY-12V-4PIN-BLUE")</f>
        <v>ITBISA-RELAY-12V-4PIN-BLUE</v>
      </c>
      <c r="B9259" s="266">
        <f>IFERROR(__xludf.DUMMYFUNCTION("""COMPUTED_VALUE"""),45698.0)</f>
        <v>45698</v>
      </c>
      <c r="C9259" s="266" t="str">
        <f>IFERROR(__xludf.DUMMYFUNCTION("""COMPUTED_VALUE"""),"KYAI KONTONG")</f>
        <v>KYAI KONTONG</v>
      </c>
      <c r="D9259" s="186">
        <f>IFERROR(__xludf.DUMMYFUNCTION("""COMPUTED_VALUE"""),10.0)</f>
        <v>10</v>
      </c>
    </row>
    <row r="9260">
      <c r="A9260" s="178" t="str">
        <f>IFERROR(__xludf.DUMMYFUNCTION("""COMPUTED_VALUE"""),"ITBISA-RELAY-12V-4PIN-BLUE")</f>
        <v>ITBISA-RELAY-12V-4PIN-BLUE</v>
      </c>
      <c r="B9260" s="266">
        <f>IFERROR(__xludf.DUMMYFUNCTION("""COMPUTED_VALUE"""),45698.0)</f>
        <v>45698</v>
      </c>
      <c r="C9260" s="266" t="str">
        <f>IFERROR(__xludf.DUMMYFUNCTION("""COMPUTED_VALUE"""),"KYAI KONTONG")</f>
        <v>KYAI KONTONG</v>
      </c>
      <c r="D9260" s="186">
        <f>IFERROR(__xludf.DUMMYFUNCTION("""COMPUTED_VALUE"""),10.0)</f>
        <v>10</v>
      </c>
    </row>
    <row r="9261">
      <c r="A9261" s="178" t="str">
        <f>IFERROR(__xludf.DUMMYFUNCTION("""COMPUTED_VALUE"""),"ITBISA-RELAY-12V-4PIN-BLUE")</f>
        <v>ITBISA-RELAY-12V-4PIN-BLUE</v>
      </c>
      <c r="B9261" s="266">
        <f>IFERROR(__xludf.DUMMYFUNCTION("""COMPUTED_VALUE"""),45698.0)</f>
        <v>45698</v>
      </c>
      <c r="C9261" s="266" t="str">
        <f>IFERROR(__xludf.DUMMYFUNCTION("""COMPUTED_VALUE"""),"KYAI KONTONG")</f>
        <v>KYAI KONTONG</v>
      </c>
      <c r="D9261" s="186">
        <f>IFERROR(__xludf.DUMMYFUNCTION("""COMPUTED_VALUE"""),14.0)</f>
        <v>14</v>
      </c>
    </row>
    <row r="9262">
      <c r="A9262" s="178" t="str">
        <f>IFERROR(__xludf.DUMMYFUNCTION("""COMPUTED_VALUE"""),"ITBISA-RELAY-12V-4PIN-BLUE")</f>
        <v>ITBISA-RELAY-12V-4PIN-BLUE</v>
      </c>
      <c r="B9262" s="266">
        <f>IFERROR(__xludf.DUMMYFUNCTION("""COMPUTED_VALUE"""),45698.0)</f>
        <v>45698</v>
      </c>
      <c r="C9262" s="266" t="str">
        <f>IFERROR(__xludf.DUMMYFUNCTION("""COMPUTED_VALUE"""),"KYAI KONTONG")</f>
        <v>KYAI KONTONG</v>
      </c>
      <c r="D9262" s="186">
        <f>IFERROR(__xludf.DUMMYFUNCTION("""COMPUTED_VALUE"""),100.0)</f>
        <v>100</v>
      </c>
    </row>
    <row r="9263">
      <c r="A9263" s="178" t="str">
        <f>IFERROR(__xludf.DUMMYFUNCTION("""COMPUTED_VALUE"""),"ITBISA-RELAY-12V-4PIN-BLUE")</f>
        <v>ITBISA-RELAY-12V-4PIN-BLUE</v>
      </c>
      <c r="B9263" s="266">
        <f>IFERROR(__xludf.DUMMYFUNCTION("""COMPUTED_VALUE"""),45700.0)</f>
        <v>45700</v>
      </c>
      <c r="C9263" s="266" t="str">
        <f>IFERROR(__xludf.DUMMYFUNCTION("""COMPUTED_VALUE"""),"KYAI KONTONG")</f>
        <v>KYAI KONTONG</v>
      </c>
      <c r="D9263" s="186">
        <f>IFERROR(__xludf.DUMMYFUNCTION("""COMPUTED_VALUE"""),20.0)</f>
        <v>20</v>
      </c>
    </row>
    <row r="9264">
      <c r="A9264" s="178" t="str">
        <f>IFERROR(__xludf.DUMMYFUNCTION("""COMPUTED_VALUE"""),"ITBISA-RELAY-12V-4PIN-BLUE")</f>
        <v>ITBISA-RELAY-12V-4PIN-BLUE</v>
      </c>
      <c r="B9264" s="266">
        <f>IFERROR(__xludf.DUMMYFUNCTION("""COMPUTED_VALUE"""),45700.0)</f>
        <v>45700</v>
      </c>
      <c r="C9264" s="266" t="str">
        <f>IFERROR(__xludf.DUMMYFUNCTION("""COMPUTED_VALUE"""),"KYAI KONTONG")</f>
        <v>KYAI KONTONG</v>
      </c>
      <c r="D9264" s="186">
        <f>IFERROR(__xludf.DUMMYFUNCTION("""COMPUTED_VALUE"""),50.0)</f>
        <v>50</v>
      </c>
    </row>
    <row r="9265">
      <c r="A9265" s="178" t="str">
        <f>IFERROR(__xludf.DUMMYFUNCTION("""COMPUTED_VALUE"""),"ITBISA-RELAY-12V-4PIN-BLUE")</f>
        <v>ITBISA-RELAY-12V-4PIN-BLUE</v>
      </c>
      <c r="B9265" s="266">
        <f>IFERROR(__xludf.DUMMYFUNCTION("""COMPUTED_VALUE"""),45700.0)</f>
        <v>45700</v>
      </c>
      <c r="C9265" s="266" t="str">
        <f>IFERROR(__xludf.DUMMYFUNCTION("""COMPUTED_VALUE"""),"KYAI KONTONG")</f>
        <v>KYAI KONTONG</v>
      </c>
      <c r="D9265" s="186">
        <f>IFERROR(__xludf.DUMMYFUNCTION("""COMPUTED_VALUE"""),100.0)</f>
        <v>100</v>
      </c>
    </row>
    <row r="9266">
      <c r="A9266" s="178" t="str">
        <f>IFERROR(__xludf.DUMMYFUNCTION("""COMPUTED_VALUE"""),"ITBISA-RELAY-12V-4PIN-BLUE")</f>
        <v>ITBISA-RELAY-12V-4PIN-BLUE</v>
      </c>
      <c r="B9266" s="266">
        <f>IFERROR(__xludf.DUMMYFUNCTION("""COMPUTED_VALUE"""),45701.0)</f>
        <v>45701</v>
      </c>
      <c r="C9266" s="266" t="str">
        <f>IFERROR(__xludf.DUMMYFUNCTION("""COMPUTED_VALUE"""),"KYAI KONTONG")</f>
        <v>KYAI KONTONG</v>
      </c>
      <c r="D9266" s="186">
        <f>IFERROR(__xludf.DUMMYFUNCTION("""COMPUTED_VALUE"""),25.0)</f>
        <v>25</v>
      </c>
    </row>
    <row r="9267">
      <c r="A9267" s="178" t="str">
        <f>IFERROR(__xludf.DUMMYFUNCTION("""COMPUTED_VALUE"""),"ITBISA-RELAY-12V-4PIN-BLUE")</f>
        <v>ITBISA-RELAY-12V-4PIN-BLUE</v>
      </c>
      <c r="B9267" s="266">
        <f>IFERROR(__xludf.DUMMYFUNCTION("""COMPUTED_VALUE"""),45703.0)</f>
        <v>45703</v>
      </c>
      <c r="C9267" s="266" t="str">
        <f>IFERROR(__xludf.DUMMYFUNCTION("""COMPUTED_VALUE"""),"KYAI KONTONG")</f>
        <v>KYAI KONTONG</v>
      </c>
      <c r="D9267" s="186">
        <f>IFERROR(__xludf.DUMMYFUNCTION("""COMPUTED_VALUE"""),10.0)</f>
        <v>10</v>
      </c>
    </row>
    <row r="9268">
      <c r="A9268" s="178" t="str">
        <f>IFERROR(__xludf.DUMMYFUNCTION("""COMPUTED_VALUE"""),"ITBISA-RELAY-12V-4PIN-BLUE")</f>
        <v>ITBISA-RELAY-12V-4PIN-BLUE</v>
      </c>
      <c r="B9268" s="266">
        <f>IFERROR(__xludf.DUMMYFUNCTION("""COMPUTED_VALUE"""),45704.0)</f>
        <v>45704</v>
      </c>
      <c r="C9268" s="266" t="str">
        <f>IFERROR(__xludf.DUMMYFUNCTION("""COMPUTED_VALUE"""),"KYAI KONTONG")</f>
        <v>KYAI KONTONG</v>
      </c>
      <c r="D9268" s="186">
        <f>IFERROR(__xludf.DUMMYFUNCTION("""COMPUTED_VALUE"""),10.0)</f>
        <v>10</v>
      </c>
    </row>
    <row r="9269">
      <c r="A9269" s="178" t="str">
        <f>IFERROR(__xludf.DUMMYFUNCTION("""COMPUTED_VALUE"""),"ITBISA-RELAY-12V-4PIN-BLUE")</f>
        <v>ITBISA-RELAY-12V-4PIN-BLUE</v>
      </c>
      <c r="B9269" s="266">
        <f>IFERROR(__xludf.DUMMYFUNCTION("""COMPUTED_VALUE"""),45704.0)</f>
        <v>45704</v>
      </c>
      <c r="C9269" s="266" t="str">
        <f>IFERROR(__xludf.DUMMYFUNCTION("""COMPUTED_VALUE"""),"KYAI KONTONG")</f>
        <v>KYAI KONTONG</v>
      </c>
      <c r="D9269" s="186">
        <f>IFERROR(__xludf.DUMMYFUNCTION("""COMPUTED_VALUE"""),10.0)</f>
        <v>10</v>
      </c>
    </row>
    <row r="9270">
      <c r="A9270" s="178" t="str">
        <f>IFERROR(__xludf.DUMMYFUNCTION("""COMPUTED_VALUE"""),"ITBISA-RELAY-12V-4PIN-BLUE")</f>
        <v>ITBISA-RELAY-12V-4PIN-BLUE</v>
      </c>
      <c r="B9270" s="266">
        <f>IFERROR(__xludf.DUMMYFUNCTION("""COMPUTED_VALUE"""),45705.0)</f>
        <v>45705</v>
      </c>
      <c r="C9270" s="266" t="str">
        <f>IFERROR(__xludf.DUMMYFUNCTION("""COMPUTED_VALUE"""),"KYAI KONTONG")</f>
        <v>KYAI KONTONG</v>
      </c>
      <c r="D9270" s="186">
        <f>IFERROR(__xludf.DUMMYFUNCTION("""COMPUTED_VALUE"""),15.0)</f>
        <v>15</v>
      </c>
    </row>
    <row r="9271">
      <c r="A9271" s="178" t="str">
        <f>IFERROR(__xludf.DUMMYFUNCTION("""COMPUTED_VALUE"""),"ITBISA-RELAY-12V-4PIN-BLUE")</f>
        <v>ITBISA-RELAY-12V-4PIN-BLUE</v>
      </c>
      <c r="B9271" s="266">
        <f>IFERROR(__xludf.DUMMYFUNCTION("""COMPUTED_VALUE"""),45705.0)</f>
        <v>45705</v>
      </c>
      <c r="C9271" s="266" t="str">
        <f>IFERROR(__xludf.DUMMYFUNCTION("""COMPUTED_VALUE"""),"KYAI KONTONG")</f>
        <v>KYAI KONTONG</v>
      </c>
      <c r="D9271" s="186">
        <f>IFERROR(__xludf.DUMMYFUNCTION("""COMPUTED_VALUE"""),100.0)</f>
        <v>100</v>
      </c>
    </row>
    <row r="9272">
      <c r="A9272" s="178" t="str">
        <f>IFERROR(__xludf.DUMMYFUNCTION("""COMPUTED_VALUE"""),"ITBISA-RELAY-12V-4PIN-BLUE")</f>
        <v>ITBISA-RELAY-12V-4PIN-BLUE</v>
      </c>
      <c r="B9272" s="266">
        <f>IFERROR(__xludf.DUMMYFUNCTION("""COMPUTED_VALUE"""),45705.0)</f>
        <v>45705</v>
      </c>
      <c r="C9272" s="266" t="str">
        <f>IFERROR(__xludf.DUMMYFUNCTION("""COMPUTED_VALUE"""),"KYAI KONTONG")</f>
        <v>KYAI KONTONG</v>
      </c>
      <c r="D9272" s="186">
        <f>IFERROR(__xludf.DUMMYFUNCTION("""COMPUTED_VALUE"""),100.0)</f>
        <v>100</v>
      </c>
    </row>
    <row r="9273">
      <c r="A9273" s="178" t="str">
        <f>IFERROR(__xludf.DUMMYFUNCTION("""COMPUTED_VALUE"""),"ITBISA-RELAY-12V-4PIN-BLUE")</f>
        <v>ITBISA-RELAY-12V-4PIN-BLUE</v>
      </c>
      <c r="B9273" s="266">
        <f>IFERROR(__xludf.DUMMYFUNCTION("""COMPUTED_VALUE"""),45706.0)</f>
        <v>45706</v>
      </c>
      <c r="C9273" s="266" t="str">
        <f>IFERROR(__xludf.DUMMYFUNCTION("""COMPUTED_VALUE"""),"KYAI KONTONG")</f>
        <v>KYAI KONTONG</v>
      </c>
      <c r="D9273" s="186">
        <f>IFERROR(__xludf.DUMMYFUNCTION("""COMPUTED_VALUE"""),10.0)</f>
        <v>10</v>
      </c>
    </row>
    <row r="9274">
      <c r="A9274" s="178" t="str">
        <f>IFERROR(__xludf.DUMMYFUNCTION("""COMPUTED_VALUE"""),"ITBISA-RELAY-12V-4PIN-BLUE")</f>
        <v>ITBISA-RELAY-12V-4PIN-BLUE</v>
      </c>
      <c r="B9274" s="266">
        <f>IFERROR(__xludf.DUMMYFUNCTION("""COMPUTED_VALUE"""),45706.0)</f>
        <v>45706</v>
      </c>
      <c r="C9274" s="266" t="str">
        <f>IFERROR(__xludf.DUMMYFUNCTION("""COMPUTED_VALUE"""),"KYAI KONTONG")</f>
        <v>KYAI KONTONG</v>
      </c>
      <c r="D9274" s="186">
        <f>IFERROR(__xludf.DUMMYFUNCTION("""COMPUTED_VALUE"""),18.0)</f>
        <v>18</v>
      </c>
    </row>
    <row r="9275">
      <c r="A9275" s="178" t="str">
        <f>IFERROR(__xludf.DUMMYFUNCTION("""COMPUTED_VALUE"""),"ITBISA-RELAY-12V-4PIN-BLUE")</f>
        <v>ITBISA-RELAY-12V-4PIN-BLUE</v>
      </c>
      <c r="B9275" s="266">
        <f>IFERROR(__xludf.DUMMYFUNCTION("""COMPUTED_VALUE"""),45706.0)</f>
        <v>45706</v>
      </c>
      <c r="C9275" s="266" t="str">
        <f>IFERROR(__xludf.DUMMYFUNCTION("""COMPUTED_VALUE"""),"KYAI KONTONG")</f>
        <v>KYAI KONTONG</v>
      </c>
      <c r="D9275" s="186">
        <f>IFERROR(__xludf.DUMMYFUNCTION("""COMPUTED_VALUE"""),100.0)</f>
        <v>100</v>
      </c>
    </row>
    <row r="9276">
      <c r="A9276" s="178" t="str">
        <f>IFERROR(__xludf.DUMMYFUNCTION("""COMPUTED_VALUE"""),"ITBISA-RELAY-12V-4PIN-BLUE")</f>
        <v>ITBISA-RELAY-12V-4PIN-BLUE</v>
      </c>
      <c r="B9276" s="266">
        <f>IFERROR(__xludf.DUMMYFUNCTION("""COMPUTED_VALUE"""),45706.0)</f>
        <v>45706</v>
      </c>
      <c r="C9276" s="266" t="str">
        <f>IFERROR(__xludf.DUMMYFUNCTION("""COMPUTED_VALUE"""),"KYAI KONTONG")</f>
        <v>KYAI KONTONG</v>
      </c>
      <c r="D9276" s="186">
        <f>IFERROR(__xludf.DUMMYFUNCTION("""COMPUTED_VALUE"""),100.0)</f>
        <v>100</v>
      </c>
    </row>
    <row r="9277">
      <c r="A9277" s="178" t="str">
        <f>IFERROR(__xludf.DUMMYFUNCTION("""COMPUTED_VALUE"""),"ITBISA-RELAY-12V-4PIN-BLUE")</f>
        <v>ITBISA-RELAY-12V-4PIN-BLUE</v>
      </c>
      <c r="B9277" s="266">
        <f>IFERROR(__xludf.DUMMYFUNCTION("""COMPUTED_VALUE"""),45706.0)</f>
        <v>45706</v>
      </c>
      <c r="C9277" s="266" t="str">
        <f>IFERROR(__xludf.DUMMYFUNCTION("""COMPUTED_VALUE"""),"KYAI KONTONG")</f>
        <v>KYAI KONTONG</v>
      </c>
      <c r="D9277" s="186">
        <f>IFERROR(__xludf.DUMMYFUNCTION("""COMPUTED_VALUE"""),100.0)</f>
        <v>100</v>
      </c>
    </row>
    <row r="9278">
      <c r="A9278" s="178" t="str">
        <f>IFERROR(__xludf.DUMMYFUNCTION("""COMPUTED_VALUE"""),"ITBISA-RELAY-12V-4PIN-BLUE")</f>
        <v>ITBISA-RELAY-12V-4PIN-BLUE</v>
      </c>
      <c r="B9278" s="266">
        <f>IFERROR(__xludf.DUMMYFUNCTION("""COMPUTED_VALUE"""),45707.0)</f>
        <v>45707</v>
      </c>
      <c r="C9278" s="266" t="str">
        <f>IFERROR(__xludf.DUMMYFUNCTION("""COMPUTED_VALUE"""),"KERTASARI CIAMIS")</f>
        <v>KERTASARI CIAMIS</v>
      </c>
      <c r="D9278" s="186">
        <f>IFERROR(__xludf.DUMMYFUNCTION("""COMPUTED_VALUE"""),20.0)</f>
        <v>20</v>
      </c>
    </row>
    <row r="9279">
      <c r="A9279" s="178" t="str">
        <f>IFERROR(__xludf.DUMMYFUNCTION("""COMPUTED_VALUE"""),"ITBISA-RELAY-12V-4PIN-BLUE")</f>
        <v>ITBISA-RELAY-12V-4PIN-BLUE</v>
      </c>
      <c r="B9279" s="266">
        <f>IFERROR(__xludf.DUMMYFUNCTION("""COMPUTED_VALUE"""),45707.0)</f>
        <v>45707</v>
      </c>
      <c r="C9279" s="266" t="str">
        <f>IFERROR(__xludf.DUMMYFUNCTION("""COMPUTED_VALUE"""),"KYAI KONTONG")</f>
        <v>KYAI KONTONG</v>
      </c>
      <c r="D9279" s="186">
        <f>IFERROR(__xludf.DUMMYFUNCTION("""COMPUTED_VALUE"""),20.0)</f>
        <v>20</v>
      </c>
    </row>
    <row r="9280">
      <c r="A9280" s="178" t="str">
        <f>IFERROR(__xludf.DUMMYFUNCTION("""COMPUTED_VALUE"""),"ITBISA-RELAY-12V-4PIN-BLUE")</f>
        <v>ITBISA-RELAY-12V-4PIN-BLUE</v>
      </c>
      <c r="B9280" s="266">
        <f>IFERROR(__xludf.DUMMYFUNCTION("""COMPUTED_VALUE"""),45707.0)</f>
        <v>45707</v>
      </c>
      <c r="C9280" s="266" t="str">
        <f>IFERROR(__xludf.DUMMYFUNCTION("""COMPUTED_VALUE"""),"KYAI KONTONG")</f>
        <v>KYAI KONTONG</v>
      </c>
      <c r="D9280" s="186">
        <f>IFERROR(__xludf.DUMMYFUNCTION("""COMPUTED_VALUE"""),50.0)</f>
        <v>50</v>
      </c>
    </row>
    <row r="9281">
      <c r="A9281" s="178" t="str">
        <f>IFERROR(__xludf.DUMMYFUNCTION("""COMPUTED_VALUE"""),"ITBISA-RELAY-12V-4PIN-BLUE")</f>
        <v>ITBISA-RELAY-12V-4PIN-BLUE</v>
      </c>
      <c r="B9281" s="266">
        <f>IFERROR(__xludf.DUMMYFUNCTION("""COMPUTED_VALUE"""),45707.0)</f>
        <v>45707</v>
      </c>
      <c r="C9281" s="266" t="str">
        <f>IFERROR(__xludf.DUMMYFUNCTION("""COMPUTED_VALUE"""),"KYAI KONTONG")</f>
        <v>KYAI KONTONG</v>
      </c>
      <c r="D9281" s="186">
        <f>IFERROR(__xludf.DUMMYFUNCTION("""COMPUTED_VALUE"""),100.0)</f>
        <v>100</v>
      </c>
    </row>
    <row r="9282">
      <c r="A9282" s="178" t="str">
        <f>IFERROR(__xludf.DUMMYFUNCTION("""COMPUTED_VALUE"""),"ITBISA-RELAY-12V-4PIN-BLUE")</f>
        <v>ITBISA-RELAY-12V-4PIN-BLUE</v>
      </c>
      <c r="B9282" s="266">
        <f>IFERROR(__xludf.DUMMYFUNCTION("""COMPUTED_VALUE"""),45708.0)</f>
        <v>45708</v>
      </c>
      <c r="C9282" s="266" t="str">
        <f>IFERROR(__xludf.DUMMYFUNCTION("""COMPUTED_VALUE"""),"KYAI KONTONG")</f>
        <v>KYAI KONTONG</v>
      </c>
      <c r="D9282" s="186">
        <f>IFERROR(__xludf.DUMMYFUNCTION("""COMPUTED_VALUE"""),20.0)</f>
        <v>20</v>
      </c>
    </row>
    <row r="9283">
      <c r="A9283" s="178" t="str">
        <f>IFERROR(__xludf.DUMMYFUNCTION("""COMPUTED_VALUE"""),"ITBISA-RELAY-12V-4PIN-BLUE")</f>
        <v>ITBISA-RELAY-12V-4PIN-BLUE</v>
      </c>
      <c r="B9283" s="266">
        <f>IFERROR(__xludf.DUMMYFUNCTION("""COMPUTED_VALUE"""),45713.0)</f>
        <v>45713</v>
      </c>
      <c r="C9283" s="266" t="str">
        <f>IFERROR(__xludf.DUMMYFUNCTION("""COMPUTED_VALUE"""),"KYAI KONTONG")</f>
        <v>KYAI KONTONG</v>
      </c>
      <c r="D9283" s="186">
        <f>IFERROR(__xludf.DUMMYFUNCTION("""COMPUTED_VALUE"""),30.0)</f>
        <v>30</v>
      </c>
    </row>
    <row r="9284">
      <c r="A9284" s="178" t="str">
        <f>IFERROR(__xludf.DUMMYFUNCTION("""COMPUTED_VALUE"""),"ITBISA-RELAY-12V-4PIN-BLUE")</f>
        <v>ITBISA-RELAY-12V-4PIN-BLUE</v>
      </c>
      <c r="B9284" s="266">
        <f>IFERROR(__xludf.DUMMYFUNCTION("""COMPUTED_VALUE"""),45715.0)</f>
        <v>45715</v>
      </c>
      <c r="C9284" s="266" t="str">
        <f>IFERROR(__xludf.DUMMYFUNCTION("""COMPUTED_VALUE"""),"KYAI KONTONG")</f>
        <v>KYAI KONTONG</v>
      </c>
      <c r="D9284" s="186">
        <f>IFERROR(__xludf.DUMMYFUNCTION("""COMPUTED_VALUE"""),20.0)</f>
        <v>20</v>
      </c>
    </row>
    <row r="9285">
      <c r="A9285" s="178" t="str">
        <f>IFERROR(__xludf.DUMMYFUNCTION("""COMPUTED_VALUE"""),"ITBISA-RELAY-12V-4PIN-BLUE")</f>
        <v>ITBISA-RELAY-12V-4PIN-BLUE</v>
      </c>
      <c r="B9285" s="266">
        <f>IFERROR(__xludf.DUMMYFUNCTION("""COMPUTED_VALUE"""),45716.0)</f>
        <v>45716</v>
      </c>
      <c r="C9285" s="266" t="str">
        <f>IFERROR(__xludf.DUMMYFUNCTION("""COMPUTED_VALUE"""),"KYAI KONTONG")</f>
        <v>KYAI KONTONG</v>
      </c>
      <c r="D9285" s="186">
        <f>IFERROR(__xludf.DUMMYFUNCTION("""COMPUTED_VALUE"""),50.0)</f>
        <v>50</v>
      </c>
    </row>
    <row r="9286">
      <c r="A9286" s="178" t="str">
        <f>IFERROR(__xludf.DUMMYFUNCTION("""COMPUTED_VALUE"""),"ITBISA-RELAY-12V-4PIN-BLUE")</f>
        <v>ITBISA-RELAY-12V-4PIN-BLUE</v>
      </c>
      <c r="B9286" s="266">
        <f>IFERROR(__xludf.DUMMYFUNCTION("""COMPUTED_VALUE"""),45717.0)</f>
        <v>45717</v>
      </c>
      <c r="C9286" s="266" t="str">
        <f>IFERROR(__xludf.DUMMYFUNCTION("""COMPUTED_VALUE"""),"KYAI KONTONG")</f>
        <v>KYAI KONTONG</v>
      </c>
      <c r="D9286" s="186">
        <f>IFERROR(__xludf.DUMMYFUNCTION("""COMPUTED_VALUE"""),10.0)</f>
        <v>10</v>
      </c>
    </row>
    <row r="9287">
      <c r="A9287" s="178" t="str">
        <f>IFERROR(__xludf.DUMMYFUNCTION("""COMPUTED_VALUE"""),"ITBISA-RELAY-12V-4PIN-BLUE")</f>
        <v>ITBISA-RELAY-12V-4PIN-BLUE</v>
      </c>
      <c r="B9287" s="266">
        <f>IFERROR(__xludf.DUMMYFUNCTION("""COMPUTED_VALUE"""),45721.0)</f>
        <v>45721</v>
      </c>
      <c r="C9287" s="266" t="str">
        <f>IFERROR(__xludf.DUMMYFUNCTION("""COMPUTED_VALUE"""),"KYAI KONTONG")</f>
        <v>KYAI KONTONG</v>
      </c>
      <c r="D9287" s="186">
        <f>IFERROR(__xludf.DUMMYFUNCTION("""COMPUTED_VALUE"""),50.0)</f>
        <v>50</v>
      </c>
    </row>
    <row r="9288">
      <c r="A9288" s="178" t="str">
        <f>IFERROR(__xludf.DUMMYFUNCTION("""COMPUTED_VALUE"""),"ITBISA-RELAY-12V-4PIN-BLUE")</f>
        <v>ITBISA-RELAY-12V-4PIN-BLUE</v>
      </c>
      <c r="B9288" s="266">
        <f>IFERROR(__xludf.DUMMYFUNCTION("""COMPUTED_VALUE"""),45722.0)</f>
        <v>45722</v>
      </c>
      <c r="C9288" s="266" t="str">
        <f>IFERROR(__xludf.DUMMYFUNCTION("""COMPUTED_VALUE"""),"KYAI KONTONG")</f>
        <v>KYAI KONTONG</v>
      </c>
      <c r="D9288" s="186">
        <f>IFERROR(__xludf.DUMMYFUNCTION("""COMPUTED_VALUE"""),50.0)</f>
        <v>50</v>
      </c>
    </row>
    <row r="9289">
      <c r="A9289" s="178" t="str">
        <f>IFERROR(__xludf.DUMMYFUNCTION("""COMPUTED_VALUE"""),"ITBISA-RELAY-12V-4PIN-BLUE")</f>
        <v>ITBISA-RELAY-12V-4PIN-BLUE</v>
      </c>
      <c r="B9289" s="266">
        <f>IFERROR(__xludf.DUMMYFUNCTION("""COMPUTED_VALUE"""),45722.0)</f>
        <v>45722</v>
      </c>
      <c r="C9289" s="266" t="str">
        <f>IFERROR(__xludf.DUMMYFUNCTION("""COMPUTED_VALUE"""),"KYAI KONTONG")</f>
        <v>KYAI KONTONG</v>
      </c>
      <c r="D9289" s="186">
        <f>IFERROR(__xludf.DUMMYFUNCTION("""COMPUTED_VALUE"""),50.0)</f>
        <v>50</v>
      </c>
    </row>
    <row r="9290">
      <c r="A9290" s="178" t="str">
        <f>IFERROR(__xludf.DUMMYFUNCTION("""COMPUTED_VALUE"""),"ITBISA-RELAY-12V-4PIN-BLUE")</f>
        <v>ITBISA-RELAY-12V-4PIN-BLUE</v>
      </c>
      <c r="B9290" s="266">
        <f>IFERROR(__xludf.DUMMYFUNCTION("""COMPUTED_VALUE"""),45723.0)</f>
        <v>45723</v>
      </c>
      <c r="C9290" s="266" t="str">
        <f>IFERROR(__xludf.DUMMYFUNCTION("""COMPUTED_VALUE"""),"KYAI KONTONG")</f>
        <v>KYAI KONTONG</v>
      </c>
      <c r="D9290" s="186">
        <f>IFERROR(__xludf.DUMMYFUNCTION("""COMPUTED_VALUE"""),30.0)</f>
        <v>30</v>
      </c>
    </row>
    <row r="9291">
      <c r="A9291" s="178" t="str">
        <f>IFERROR(__xludf.DUMMYFUNCTION("""COMPUTED_VALUE"""),"ITBISA-RELAY-12V-4PIN-BLUE")</f>
        <v>ITBISA-RELAY-12V-4PIN-BLUE</v>
      </c>
      <c r="B9291" s="266">
        <f>IFERROR(__xludf.DUMMYFUNCTION("""COMPUTED_VALUE"""),45728.0)</f>
        <v>45728</v>
      </c>
      <c r="C9291" s="266" t="str">
        <f>IFERROR(__xludf.DUMMYFUNCTION("""COMPUTED_VALUE"""),"KYAI KONTONG")</f>
        <v>KYAI KONTONG</v>
      </c>
      <c r="D9291" s="186">
        <f>IFERROR(__xludf.DUMMYFUNCTION("""COMPUTED_VALUE"""),50.0)</f>
        <v>50</v>
      </c>
    </row>
    <row r="9292">
      <c r="A9292" s="178" t="str">
        <f>IFERROR(__xludf.DUMMYFUNCTION("""COMPUTED_VALUE"""),"ITBISA-RELAY-12V-4PIN-BLUE")</f>
        <v>ITBISA-RELAY-12V-4PIN-BLUE</v>
      </c>
      <c r="B9292" s="266">
        <f>IFERROR(__xludf.DUMMYFUNCTION("""COMPUTED_VALUE"""),45728.0)</f>
        <v>45728</v>
      </c>
      <c r="C9292" s="266" t="str">
        <f>IFERROR(__xludf.DUMMYFUNCTION("""COMPUTED_VALUE"""),"KYAI KONTONG")</f>
        <v>KYAI KONTONG</v>
      </c>
      <c r="D9292" s="186">
        <f>IFERROR(__xludf.DUMMYFUNCTION("""COMPUTED_VALUE"""),100.0)</f>
        <v>100</v>
      </c>
    </row>
    <row r="9293">
      <c r="A9293" s="178" t="str">
        <f>IFERROR(__xludf.DUMMYFUNCTION("""COMPUTED_VALUE"""),"ITBISA-RELAY-12V-4PIN-BLUE")</f>
        <v>ITBISA-RELAY-12V-4PIN-BLUE</v>
      </c>
      <c r="B9293" s="266">
        <f>IFERROR(__xludf.DUMMYFUNCTION("""COMPUTED_VALUE"""),45729.0)</f>
        <v>45729</v>
      </c>
      <c r="C9293" s="266" t="str">
        <f>IFERROR(__xludf.DUMMYFUNCTION("""COMPUTED_VALUE"""),"KYAI KONTONG")</f>
        <v>KYAI KONTONG</v>
      </c>
      <c r="D9293" s="186">
        <f>IFERROR(__xludf.DUMMYFUNCTION("""COMPUTED_VALUE"""),10.0)</f>
        <v>10</v>
      </c>
    </row>
    <row r="9294">
      <c r="A9294" s="178" t="str">
        <f>IFERROR(__xludf.DUMMYFUNCTION("""COMPUTED_VALUE"""),"ITBISA-RELAY-12V-4PIN-BLUE")</f>
        <v>ITBISA-RELAY-12V-4PIN-BLUE</v>
      </c>
      <c r="B9294" s="266">
        <f>IFERROR(__xludf.DUMMYFUNCTION("""COMPUTED_VALUE"""),45730.0)</f>
        <v>45730</v>
      </c>
      <c r="C9294" s="266" t="str">
        <f>IFERROR(__xludf.DUMMYFUNCTION("""COMPUTED_VALUE"""),"KYAI KONTONG")</f>
        <v>KYAI KONTONG</v>
      </c>
      <c r="D9294" s="186">
        <f>IFERROR(__xludf.DUMMYFUNCTION("""COMPUTED_VALUE"""),10.0)</f>
        <v>10</v>
      </c>
    </row>
    <row r="9295">
      <c r="A9295" s="178" t="str">
        <f>IFERROR(__xludf.DUMMYFUNCTION("""COMPUTED_VALUE"""),"ITBISA-RELAY-12V-4PIN-BLUE")</f>
        <v>ITBISA-RELAY-12V-4PIN-BLUE</v>
      </c>
      <c r="B9295" s="266">
        <f>IFERROR(__xludf.DUMMYFUNCTION("""COMPUTED_VALUE"""),45731.0)</f>
        <v>45731</v>
      </c>
      <c r="C9295" s="266" t="str">
        <f>IFERROR(__xludf.DUMMYFUNCTION("""COMPUTED_VALUE"""),"KYAI KONTONG")</f>
        <v>KYAI KONTONG</v>
      </c>
      <c r="D9295" s="186">
        <f>IFERROR(__xludf.DUMMYFUNCTION("""COMPUTED_VALUE"""),25.0)</f>
        <v>25</v>
      </c>
    </row>
    <row r="9296">
      <c r="A9296" s="178" t="str">
        <f>IFERROR(__xludf.DUMMYFUNCTION("""COMPUTED_VALUE"""),"ITBISA-RELAY-12V-4PIN-BLUE")</f>
        <v>ITBISA-RELAY-12V-4PIN-BLUE</v>
      </c>
      <c r="B9296" s="266">
        <f>IFERROR(__xludf.DUMMYFUNCTION("""COMPUTED_VALUE"""),45733.0)</f>
        <v>45733</v>
      </c>
      <c r="C9296" s="266" t="str">
        <f>IFERROR(__xludf.DUMMYFUNCTION("""COMPUTED_VALUE"""),"KYAI KONTONG")</f>
        <v>KYAI KONTONG</v>
      </c>
      <c r="D9296" s="186">
        <f>IFERROR(__xludf.DUMMYFUNCTION("""COMPUTED_VALUE"""),20.0)</f>
        <v>20</v>
      </c>
    </row>
    <row r="9297">
      <c r="A9297" s="178" t="str">
        <f>IFERROR(__xludf.DUMMYFUNCTION("""COMPUTED_VALUE"""),"ITBISA-RELAY-12V-4PIN-BLUE")</f>
        <v>ITBISA-RELAY-12V-4PIN-BLUE</v>
      </c>
      <c r="B9297" s="266">
        <f>IFERROR(__xludf.DUMMYFUNCTION("""COMPUTED_VALUE"""),45733.0)</f>
        <v>45733</v>
      </c>
      <c r="C9297" s="266" t="str">
        <f>IFERROR(__xludf.DUMMYFUNCTION("""COMPUTED_VALUE"""),"KYAI KONTONG")</f>
        <v>KYAI KONTONG</v>
      </c>
      <c r="D9297" s="186">
        <f>IFERROR(__xludf.DUMMYFUNCTION("""COMPUTED_VALUE"""),25.0)</f>
        <v>25</v>
      </c>
    </row>
    <row r="9298">
      <c r="A9298" s="178" t="str">
        <f>IFERROR(__xludf.DUMMYFUNCTION("""COMPUTED_VALUE"""),"ITBISA-RELAY-12V-4PIN-BLUE")</f>
        <v>ITBISA-RELAY-12V-4PIN-BLUE</v>
      </c>
      <c r="B9298" s="266">
        <f>IFERROR(__xludf.DUMMYFUNCTION("""COMPUTED_VALUE"""),45733.0)</f>
        <v>45733</v>
      </c>
      <c r="C9298" s="266" t="str">
        <f>IFERROR(__xludf.DUMMYFUNCTION("""COMPUTED_VALUE"""),"KYAI KONTONG")</f>
        <v>KYAI KONTONG</v>
      </c>
      <c r="D9298" s="186">
        <f>IFERROR(__xludf.DUMMYFUNCTION("""COMPUTED_VALUE"""),30.0)</f>
        <v>30</v>
      </c>
    </row>
    <row r="9299">
      <c r="A9299" s="178" t="str">
        <f>IFERROR(__xludf.DUMMYFUNCTION("""COMPUTED_VALUE"""),"ITBISA-RELAY-12V-4PIN-BLUE")</f>
        <v>ITBISA-RELAY-12V-4PIN-BLUE</v>
      </c>
      <c r="B9299" s="266">
        <f>IFERROR(__xludf.DUMMYFUNCTION("""COMPUTED_VALUE"""),45733.0)</f>
        <v>45733</v>
      </c>
      <c r="C9299" s="266" t="str">
        <f>IFERROR(__xludf.DUMMYFUNCTION("""COMPUTED_VALUE"""),"KYAI KONTONG")</f>
        <v>KYAI KONTONG</v>
      </c>
      <c r="D9299" s="186">
        <f>IFERROR(__xludf.DUMMYFUNCTION("""COMPUTED_VALUE"""),100.0)</f>
        <v>100</v>
      </c>
    </row>
    <row r="9300">
      <c r="A9300" s="178" t="str">
        <f>IFERROR(__xludf.DUMMYFUNCTION("""COMPUTED_VALUE"""),"ITBISA-RELAY-12V-4PIN-BLUE")</f>
        <v>ITBISA-RELAY-12V-4PIN-BLUE</v>
      </c>
      <c r="B9300" s="266">
        <f>IFERROR(__xludf.DUMMYFUNCTION("""COMPUTED_VALUE"""),45736.0)</f>
        <v>45736</v>
      </c>
      <c r="C9300" s="266" t="str">
        <f>IFERROR(__xludf.DUMMYFUNCTION("""COMPUTED_VALUE"""),"KYAI KONTONG")</f>
        <v>KYAI KONTONG</v>
      </c>
      <c r="D9300" s="186">
        <f>IFERROR(__xludf.DUMMYFUNCTION("""COMPUTED_VALUE"""),200.0)</f>
        <v>200</v>
      </c>
    </row>
    <row r="9301">
      <c r="A9301" s="178" t="str">
        <f>IFERROR(__xludf.DUMMYFUNCTION("""COMPUTED_VALUE"""),"ITBISA-RELAY-12V-4PIN-BLUE")</f>
        <v>ITBISA-RELAY-12V-4PIN-BLUE</v>
      </c>
      <c r="B9301" s="266">
        <f>IFERROR(__xludf.DUMMYFUNCTION("""COMPUTED_VALUE"""),45737.0)</f>
        <v>45737</v>
      </c>
      <c r="C9301" s="266" t="str">
        <f>IFERROR(__xludf.DUMMYFUNCTION("""COMPUTED_VALUE"""),"KERTASARI CIAMIS")</f>
        <v>KERTASARI CIAMIS</v>
      </c>
      <c r="D9301" s="186">
        <f>IFERROR(__xludf.DUMMYFUNCTION("""COMPUTED_VALUE"""),100.0)</f>
        <v>100</v>
      </c>
    </row>
    <row r="9302">
      <c r="A9302" s="178" t="str">
        <f>IFERROR(__xludf.DUMMYFUNCTION("""COMPUTED_VALUE"""),"ITBISA-RELAY-12V-4PIN-BLUE")</f>
        <v>ITBISA-RELAY-12V-4PIN-BLUE</v>
      </c>
      <c r="B9302" s="266">
        <f>IFERROR(__xludf.DUMMYFUNCTION("""COMPUTED_VALUE"""),45760.0)</f>
        <v>45760</v>
      </c>
      <c r="C9302" s="266" t="str">
        <f>IFERROR(__xludf.DUMMYFUNCTION("""COMPUTED_VALUE"""),"KYAI KONTONG")</f>
        <v>KYAI KONTONG</v>
      </c>
      <c r="D9302" s="186">
        <f>IFERROR(__xludf.DUMMYFUNCTION("""COMPUTED_VALUE"""),2.0)</f>
        <v>2</v>
      </c>
    </row>
    <row r="9303">
      <c r="A9303" s="178" t="str">
        <f>IFERROR(__xludf.DUMMYFUNCTION("""COMPUTED_VALUE"""),"ITBISA-RELAY-12V-4PIN-BLUE")</f>
        <v>ITBISA-RELAY-12V-4PIN-BLUE</v>
      </c>
      <c r="B9303" s="266">
        <f>IFERROR(__xludf.DUMMYFUNCTION("""COMPUTED_VALUE"""),45761.0)</f>
        <v>45761</v>
      </c>
      <c r="C9303" s="266" t="str">
        <f>IFERROR(__xludf.DUMMYFUNCTION("""COMPUTED_VALUE"""),"KYAI KONTONG")</f>
        <v>KYAI KONTONG</v>
      </c>
      <c r="D9303" s="186">
        <f>IFERROR(__xludf.DUMMYFUNCTION("""COMPUTED_VALUE"""),1.0)</f>
        <v>1</v>
      </c>
    </row>
    <row r="9304">
      <c r="A9304" s="178" t="str">
        <f>IFERROR(__xludf.DUMMYFUNCTION("""COMPUTED_VALUE"""),"ITBISA-RELAY-12V-4PIN-BLUE")</f>
        <v>ITBISA-RELAY-12V-4PIN-BLUE</v>
      </c>
      <c r="B9304" s="266">
        <f>IFERROR(__xludf.DUMMYFUNCTION("""COMPUTED_VALUE"""),45761.0)</f>
        <v>45761</v>
      </c>
      <c r="C9304" s="266" t="str">
        <f>IFERROR(__xludf.DUMMYFUNCTION("""COMPUTED_VALUE"""),"KYAI KONTONG")</f>
        <v>KYAI KONTONG</v>
      </c>
      <c r="D9304" s="186">
        <f>IFERROR(__xludf.DUMMYFUNCTION("""COMPUTED_VALUE"""),5.0)</f>
        <v>5</v>
      </c>
    </row>
    <row r="9305">
      <c r="A9305" s="178" t="str">
        <f>IFERROR(__xludf.DUMMYFUNCTION("""COMPUTED_VALUE"""),"ITBISA-RELAY-12V-4PIN-BLUE")</f>
        <v>ITBISA-RELAY-12V-4PIN-BLUE</v>
      </c>
      <c r="B9305" s="266">
        <f>IFERROR(__xludf.DUMMYFUNCTION("""COMPUTED_VALUE"""),45764.0)</f>
        <v>45764</v>
      </c>
      <c r="C9305" s="266" t="str">
        <f>IFERROR(__xludf.DUMMYFUNCTION("""COMPUTED_VALUE"""),"KYAI KONTONG")</f>
        <v>KYAI KONTONG</v>
      </c>
      <c r="D9305" s="186">
        <f>IFERROR(__xludf.DUMMYFUNCTION("""COMPUTED_VALUE"""),5.0)</f>
        <v>5</v>
      </c>
    </row>
    <row r="9306">
      <c r="A9306" s="178" t="str">
        <f>IFERROR(__xludf.DUMMYFUNCTION("""COMPUTED_VALUE"""),"ITBISA-RELAY-12V-4PIN-BLUE")</f>
        <v>ITBISA-RELAY-12V-4PIN-BLUE</v>
      </c>
      <c r="B9306" s="266">
        <f>IFERROR(__xludf.DUMMYFUNCTION("""COMPUTED_VALUE"""),45766.0)</f>
        <v>45766</v>
      </c>
      <c r="C9306" s="266" t="str">
        <f>IFERROR(__xludf.DUMMYFUNCTION("""COMPUTED_VALUE"""),"KYAI KONTONG")</f>
        <v>KYAI KONTONG</v>
      </c>
      <c r="D9306" s="186">
        <f>IFERROR(__xludf.DUMMYFUNCTION("""COMPUTED_VALUE"""),18.0)</f>
        <v>18</v>
      </c>
    </row>
    <row r="9307">
      <c r="A9307" s="178" t="str">
        <f>IFERROR(__xludf.DUMMYFUNCTION("""COMPUTED_VALUE"""),"ITBISA-RELAY-12V-4PIN-BLUE")</f>
        <v>ITBISA-RELAY-12V-4PIN-BLUE</v>
      </c>
      <c r="B9307" s="266">
        <f>IFERROR(__xludf.DUMMYFUNCTION("""COMPUTED_VALUE"""),45785.0)</f>
        <v>45785</v>
      </c>
      <c r="C9307" s="266" t="str">
        <f>IFERROR(__xludf.DUMMYFUNCTION("""COMPUTED_VALUE"""),"KERTASARI CIAMIS")</f>
        <v>KERTASARI CIAMIS</v>
      </c>
      <c r="D9307" s="186">
        <f>IFERROR(__xludf.DUMMYFUNCTION("""COMPUTED_VALUE"""),200.0)</f>
        <v>200</v>
      </c>
    </row>
    <row r="9308">
      <c r="A9308" s="178" t="str">
        <f>IFERROR(__xludf.DUMMYFUNCTION("""COMPUTED_VALUE"""),"ITBISA-RELAY-12V-4PIN-BLUE")</f>
        <v>ITBISA-RELAY-12V-4PIN-BLUE</v>
      </c>
      <c r="B9308" s="266">
        <f>IFERROR(__xludf.DUMMYFUNCTION("""COMPUTED_VALUE"""),45792.0)</f>
        <v>45792</v>
      </c>
      <c r="C9308" s="266" t="str">
        <f>IFERROR(__xludf.DUMMYFUNCTION("""COMPUTED_VALUE"""),"KYAI KONTONG")</f>
        <v>KYAI KONTONG</v>
      </c>
      <c r="D9308" s="186">
        <f>IFERROR(__xludf.DUMMYFUNCTION("""COMPUTED_VALUE"""),10.0)</f>
        <v>10</v>
      </c>
    </row>
    <row r="9309">
      <c r="A9309" s="178" t="str">
        <f>IFERROR(__xludf.DUMMYFUNCTION("""COMPUTED_VALUE"""),"ITBISA-RELAY-12V-4PIN-BLUE")</f>
        <v>ITBISA-RELAY-12V-4PIN-BLUE</v>
      </c>
      <c r="B9309" s="266">
        <f>IFERROR(__xludf.DUMMYFUNCTION("""COMPUTED_VALUE"""),45794.0)</f>
        <v>45794</v>
      </c>
      <c r="C9309" s="266" t="str">
        <f>IFERROR(__xludf.DUMMYFUNCTION("""COMPUTED_VALUE"""),"KYAI KONTONG")</f>
        <v>KYAI KONTONG</v>
      </c>
      <c r="D9309" s="186">
        <f>IFERROR(__xludf.DUMMYFUNCTION("""COMPUTED_VALUE"""),50.0)</f>
        <v>50</v>
      </c>
    </row>
    <row r="9310">
      <c r="A9310" s="178" t="str">
        <f>IFERROR(__xludf.DUMMYFUNCTION("""COMPUTED_VALUE"""),"ITBISA-RELAY-12V-4PIN-BLUE")</f>
        <v>ITBISA-RELAY-12V-4PIN-BLUE</v>
      </c>
      <c r="B9310" s="266">
        <f>IFERROR(__xludf.DUMMYFUNCTION("""COMPUTED_VALUE"""),45817.0)</f>
        <v>45817</v>
      </c>
      <c r="C9310" s="266" t="str">
        <f>IFERROR(__xludf.DUMMYFUNCTION("""COMPUTED_VALUE"""),"KYAI KONTONG")</f>
        <v>KYAI KONTONG</v>
      </c>
      <c r="D9310" s="186">
        <f>IFERROR(__xludf.DUMMYFUNCTION("""COMPUTED_VALUE"""),20.0)</f>
        <v>20</v>
      </c>
    </row>
    <row r="9311">
      <c r="A9311" s="178" t="str">
        <f>IFERROR(__xludf.DUMMYFUNCTION("""COMPUTED_VALUE"""),"ITBISA-RELAY-12V-4PIN-BLUE")</f>
        <v>ITBISA-RELAY-12V-4PIN-BLUE</v>
      </c>
      <c r="B9311" s="266">
        <f>IFERROR(__xludf.DUMMYFUNCTION("""COMPUTED_VALUE"""),45820.0)</f>
        <v>45820</v>
      </c>
      <c r="C9311" s="266" t="str">
        <f>IFERROR(__xludf.DUMMYFUNCTION("""COMPUTED_VALUE"""),"KYAI KONTONG")</f>
        <v>KYAI KONTONG</v>
      </c>
      <c r="D9311" s="186">
        <f>IFERROR(__xludf.DUMMYFUNCTION("""COMPUTED_VALUE"""),10.0)</f>
        <v>10</v>
      </c>
    </row>
    <row r="9312">
      <c r="A9312" s="178" t="str">
        <f>IFERROR(__xludf.DUMMYFUNCTION("""COMPUTED_VALUE"""),"ITBISA-RELAY-12V-4PIN-BLUE")</f>
        <v>ITBISA-RELAY-12V-4PIN-BLUE</v>
      </c>
      <c r="B9312" s="266">
        <f>IFERROR(__xludf.DUMMYFUNCTION("""COMPUTED_VALUE"""),45840.0)</f>
        <v>45840</v>
      </c>
      <c r="C9312" s="266" t="str">
        <f>IFERROR(__xludf.DUMMYFUNCTION("""COMPUTED_VALUE"""),"KERTASARI CIAMIS")</f>
        <v>KERTASARI CIAMIS</v>
      </c>
      <c r="D9312" s="186">
        <f>IFERROR(__xludf.DUMMYFUNCTION("""COMPUTED_VALUE"""),10.0)</f>
        <v>10</v>
      </c>
    </row>
    <row r="9313">
      <c r="A9313" s="178" t="str">
        <f>IFERROR(__xludf.DUMMYFUNCTION("""COMPUTED_VALUE"""),"ITBISA-RELAY-12V-4PIN-BLUE")</f>
        <v>ITBISA-RELAY-12V-4PIN-BLUE</v>
      </c>
      <c r="B9313" s="266">
        <f>IFERROR(__xludf.DUMMYFUNCTION("""COMPUTED_VALUE"""),45842.0)</f>
        <v>45842</v>
      </c>
      <c r="C9313" s="266" t="str">
        <f>IFERROR(__xludf.DUMMYFUNCTION("""COMPUTED_VALUE"""),"KYAI KONTONG")</f>
        <v>KYAI KONTONG</v>
      </c>
      <c r="D9313" s="186">
        <f>IFERROR(__xludf.DUMMYFUNCTION("""COMPUTED_VALUE"""),25.0)</f>
        <v>25</v>
      </c>
    </row>
    <row r="9314">
      <c r="A9314" s="178" t="str">
        <f>IFERROR(__xludf.DUMMYFUNCTION("""COMPUTED_VALUE"""),"ITBISA-RELAY-12V-4PIN-BLUE")</f>
        <v>ITBISA-RELAY-12V-4PIN-BLUE</v>
      </c>
      <c r="B9314" s="266">
        <f>IFERROR(__xludf.DUMMYFUNCTION("""COMPUTED_VALUE"""),45846.0)</f>
        <v>45846</v>
      </c>
      <c r="C9314" s="266" t="str">
        <f>IFERROR(__xludf.DUMMYFUNCTION("""COMPUTED_VALUE"""),"KYAI KONTONG")</f>
        <v>KYAI KONTONG</v>
      </c>
      <c r="D9314" s="186">
        <f>IFERROR(__xludf.DUMMYFUNCTION("""COMPUTED_VALUE"""),10.0)</f>
        <v>10</v>
      </c>
    </row>
    <row r="9315">
      <c r="A9315" s="178" t="str">
        <f>IFERROR(__xludf.DUMMYFUNCTION("""COMPUTED_VALUE"""),"ITBISA-RELAY-12V-4PIN-BLUE")</f>
        <v>ITBISA-RELAY-12V-4PIN-BLUE</v>
      </c>
      <c r="B9315" s="266">
        <f>IFERROR(__xludf.DUMMYFUNCTION("""COMPUTED_VALUE"""),45846.0)</f>
        <v>45846</v>
      </c>
      <c r="C9315" s="266" t="str">
        <f>IFERROR(__xludf.DUMMYFUNCTION("""COMPUTED_VALUE"""),"KYAI KONTONG")</f>
        <v>KYAI KONTONG</v>
      </c>
      <c r="D9315" s="186">
        <f>IFERROR(__xludf.DUMMYFUNCTION("""COMPUTED_VALUE"""),100.0)</f>
        <v>100</v>
      </c>
    </row>
    <row r="9316">
      <c r="A9316" s="178" t="str">
        <f>IFERROR(__xludf.DUMMYFUNCTION("""COMPUTED_VALUE"""),"ITBISA-RELAY-12V-4PIN-BLUE")</f>
        <v>ITBISA-RELAY-12V-4PIN-BLUE</v>
      </c>
      <c r="B9316" s="266">
        <f>IFERROR(__xludf.DUMMYFUNCTION("""COMPUTED_VALUE"""),45852.0)</f>
        <v>45852</v>
      </c>
      <c r="C9316" s="266" t="str">
        <f>IFERROR(__xludf.DUMMYFUNCTION("""COMPUTED_VALUE"""),"KERTASARI CIAMIS")</f>
        <v>KERTASARI CIAMIS</v>
      </c>
      <c r="D9316" s="186">
        <f>IFERROR(__xludf.DUMMYFUNCTION("""COMPUTED_VALUE"""),50.0)</f>
        <v>50</v>
      </c>
    </row>
    <row r="9317">
      <c r="A9317" s="178" t="str">
        <f>IFERROR(__xludf.DUMMYFUNCTION("""COMPUTED_VALUE"""),"ITBISA-RELAY-12V-4PIN-BLUE")</f>
        <v>ITBISA-RELAY-12V-4PIN-BLUE</v>
      </c>
      <c r="B9317" s="266">
        <f>IFERROR(__xludf.DUMMYFUNCTION("""COMPUTED_VALUE"""),45853.0)</f>
        <v>45853</v>
      </c>
      <c r="C9317" s="266" t="str">
        <f>IFERROR(__xludf.DUMMYFUNCTION("""COMPUTED_VALUE"""),"KERTASARI CIAMIS")</f>
        <v>KERTASARI CIAMIS</v>
      </c>
      <c r="D9317" s="186">
        <f>IFERROR(__xludf.DUMMYFUNCTION("""COMPUTED_VALUE"""),10.0)</f>
        <v>10</v>
      </c>
    </row>
    <row r="9318">
      <c r="A9318" s="178" t="str">
        <f>IFERROR(__xludf.DUMMYFUNCTION("""COMPUTED_VALUE"""),"ITBISA-RELAY-12V-4PIN-BLUE")</f>
        <v>ITBISA-RELAY-12V-4PIN-BLUE</v>
      </c>
      <c r="B9318" s="266">
        <f>IFERROR(__xludf.DUMMYFUNCTION("""COMPUTED_VALUE"""),45853.0)</f>
        <v>45853</v>
      </c>
      <c r="C9318" s="266" t="str">
        <f>IFERROR(__xludf.DUMMYFUNCTION("""COMPUTED_VALUE"""),"KYAI KONTONG")</f>
        <v>KYAI KONTONG</v>
      </c>
      <c r="D9318" s="186">
        <f>IFERROR(__xludf.DUMMYFUNCTION("""COMPUTED_VALUE"""),13.0)</f>
        <v>13</v>
      </c>
    </row>
    <row r="9319">
      <c r="A9319" s="178" t="str">
        <f>IFERROR(__xludf.DUMMYFUNCTION("""COMPUTED_VALUE"""),"ITBISA-RELAY-12V-4PIN-BLUE")</f>
        <v>ITBISA-RELAY-12V-4PIN-BLUE</v>
      </c>
      <c r="B9319" s="266">
        <f>IFERROR(__xludf.DUMMYFUNCTION("""COMPUTED_VALUE"""),45894.0)</f>
        <v>45894</v>
      </c>
      <c r="C9319" s="266" t="str">
        <f>IFERROR(__xludf.DUMMYFUNCTION("""COMPUTED_VALUE"""),"KYAI KONTONG")</f>
        <v>KYAI KONTONG</v>
      </c>
      <c r="D9319" s="186">
        <f>IFERROR(__xludf.DUMMYFUNCTION("""COMPUTED_VALUE"""),15.0)</f>
        <v>15</v>
      </c>
    </row>
    <row r="9320">
      <c r="A9320" s="178" t="str">
        <f>IFERROR(__xludf.DUMMYFUNCTION("""COMPUTED_VALUE"""),"ITBISA-RELAY-12V-4PIN-BLUE")</f>
        <v>ITBISA-RELAY-12V-4PIN-BLUE</v>
      </c>
      <c r="B9320" s="266">
        <f>IFERROR(__xludf.DUMMYFUNCTION("""COMPUTED_VALUE"""),45912.0)</f>
        <v>45912</v>
      </c>
      <c r="C9320" s="266" t="str">
        <f>IFERROR(__xludf.DUMMYFUNCTION("""COMPUTED_VALUE"""),"KYAI KONTONG")</f>
        <v>KYAI KONTONG</v>
      </c>
      <c r="D9320" s="186">
        <f>IFERROR(__xludf.DUMMYFUNCTION("""COMPUTED_VALUE"""),10.0)</f>
        <v>10</v>
      </c>
    </row>
    <row r="9321">
      <c r="A9321" s="178" t="str">
        <f>IFERROR(__xludf.DUMMYFUNCTION("""COMPUTED_VALUE"""),"ITBISA-RELAY-12V-4PIN-BLUE")</f>
        <v>ITBISA-RELAY-12V-4PIN-BLUE</v>
      </c>
      <c r="B9321" s="266">
        <f>IFERROR(__xludf.DUMMYFUNCTION("""COMPUTED_VALUE"""),45918.0)</f>
        <v>45918</v>
      </c>
      <c r="C9321" s="266" t="str">
        <f>IFERROR(__xludf.DUMMYFUNCTION("""COMPUTED_VALUE"""),"KERTASARI CIAMIS")</f>
        <v>KERTASARI CIAMIS</v>
      </c>
      <c r="D9321" s="186">
        <f>IFERROR(__xludf.DUMMYFUNCTION("""COMPUTED_VALUE"""),10.0)</f>
        <v>10</v>
      </c>
    </row>
    <row r="9322">
      <c r="A9322" s="178" t="str">
        <f>IFERROR(__xludf.DUMMYFUNCTION("""COMPUTED_VALUE"""),"ITBISA-RELAY-12V-4PIN-BLUE")</f>
        <v>ITBISA-RELAY-12V-4PIN-BLUE</v>
      </c>
      <c r="B9322" s="266">
        <f>IFERROR(__xludf.DUMMYFUNCTION("""COMPUTED_VALUE"""),45923.0)</f>
        <v>45923</v>
      </c>
      <c r="C9322" s="266" t="str">
        <f>IFERROR(__xludf.DUMMYFUNCTION("""COMPUTED_VALUE"""),"KYAI KONTONG")</f>
        <v>KYAI KONTONG</v>
      </c>
      <c r="D9322" s="186">
        <f>IFERROR(__xludf.DUMMYFUNCTION("""COMPUTED_VALUE"""),10.0)</f>
        <v>10</v>
      </c>
    </row>
    <row r="9323">
      <c r="A9323" s="178" t="str">
        <f>IFERROR(__xludf.DUMMYFUNCTION("""COMPUTED_VALUE"""),"ITBISA-RELAY-12V-4PIN-BLUE")</f>
        <v>ITBISA-RELAY-12V-4PIN-BLUE</v>
      </c>
      <c r="B9323" s="266">
        <f>IFERROR(__xludf.DUMMYFUNCTION("""COMPUTED_VALUE"""),45935.0)</f>
        <v>45935</v>
      </c>
      <c r="C9323" s="266" t="str">
        <f>IFERROR(__xludf.DUMMYFUNCTION("""COMPUTED_VALUE"""),"KYAI KONTONG")</f>
        <v>KYAI KONTONG</v>
      </c>
      <c r="D9323" s="186">
        <f>IFERROR(__xludf.DUMMYFUNCTION("""COMPUTED_VALUE"""),10.0)</f>
        <v>10</v>
      </c>
    </row>
    <row r="9324">
      <c r="A9324" s="178" t="str">
        <f>IFERROR(__xludf.DUMMYFUNCTION("""COMPUTED_VALUE"""),"ITBISA-RELAY-12V-4PIN-BLUE")</f>
        <v>ITBISA-RELAY-12V-4PIN-BLUE</v>
      </c>
      <c r="B9324" s="266">
        <f>IFERROR(__xludf.DUMMYFUNCTION("""COMPUTED_VALUE"""),45938.0)</f>
        <v>45938</v>
      </c>
      <c r="C9324" s="266" t="str">
        <f>IFERROR(__xludf.DUMMYFUNCTION("""COMPUTED_VALUE"""),"KERTASARI CIAMIS")</f>
        <v>KERTASARI CIAMIS</v>
      </c>
      <c r="D9324" s="186">
        <f>IFERROR(__xludf.DUMMYFUNCTION("""COMPUTED_VALUE"""),10.0)</f>
        <v>10</v>
      </c>
    </row>
    <row r="9325">
      <c r="A9325" s="178" t="str">
        <f>IFERROR(__xludf.DUMMYFUNCTION("""COMPUTED_VALUE"""),"ITBISA-RELAY-12V-4PIN-BLUE")</f>
        <v>ITBISA-RELAY-12V-4PIN-BLUE</v>
      </c>
      <c r="B9325" s="266">
        <f>IFERROR(__xludf.DUMMYFUNCTION("""COMPUTED_VALUE"""),45940.0)</f>
        <v>45940</v>
      </c>
      <c r="C9325" s="266" t="str">
        <f>IFERROR(__xludf.DUMMYFUNCTION("""COMPUTED_VALUE"""),"KYAI KONTONG")</f>
        <v>KYAI KONTONG</v>
      </c>
      <c r="D9325" s="186">
        <f>IFERROR(__xludf.DUMMYFUNCTION("""COMPUTED_VALUE"""),100.0)</f>
        <v>100</v>
      </c>
    </row>
    <row r="9326">
      <c r="A9326" s="178" t="str">
        <f>IFERROR(__xludf.DUMMYFUNCTION("""COMPUTED_VALUE"""),"ITBISA-RELAY-12V-4PIN-BLUE")</f>
        <v>ITBISA-RELAY-12V-4PIN-BLUE</v>
      </c>
      <c r="B9326" s="266">
        <f>IFERROR(__xludf.DUMMYFUNCTION("""COMPUTED_VALUE"""),45944.0)</f>
        <v>45944</v>
      </c>
      <c r="C9326" s="266" t="str">
        <f>IFERROR(__xludf.DUMMYFUNCTION("""COMPUTED_VALUE"""),"KYAI KONTONG")</f>
        <v>KYAI KONTONG</v>
      </c>
      <c r="D9326" s="186">
        <f>IFERROR(__xludf.DUMMYFUNCTION("""COMPUTED_VALUE"""),11.0)</f>
        <v>11</v>
      </c>
    </row>
    <row r="9327">
      <c r="A9327" s="178" t="str">
        <f>IFERROR(__xludf.DUMMYFUNCTION("""COMPUTED_VALUE"""),"ITBISA-RELAY-12V-4PIN-BLUE")</f>
        <v>ITBISA-RELAY-12V-4PIN-BLUE</v>
      </c>
      <c r="B9327" s="266">
        <f>IFERROR(__xludf.DUMMYFUNCTION("""COMPUTED_VALUE"""),45945.0)</f>
        <v>45945</v>
      </c>
      <c r="C9327" s="266" t="str">
        <f>IFERROR(__xludf.DUMMYFUNCTION("""COMPUTED_VALUE"""),"KYAI KONTONG")</f>
        <v>KYAI KONTONG</v>
      </c>
      <c r="D9327" s="186">
        <f>IFERROR(__xludf.DUMMYFUNCTION("""COMPUTED_VALUE"""),20.0)</f>
        <v>20</v>
      </c>
    </row>
    <row r="9328">
      <c r="A9328" s="178" t="str">
        <f>IFERROR(__xludf.DUMMYFUNCTION("""COMPUTED_VALUE"""),"ITBISA-RELAY-12V-4PIN-BLUE")</f>
        <v>ITBISA-RELAY-12V-4PIN-BLUE</v>
      </c>
      <c r="B9328" s="266">
        <f>IFERROR(__xludf.DUMMYFUNCTION("""COMPUTED_VALUE"""),45945.0)</f>
        <v>45945</v>
      </c>
      <c r="C9328" s="266" t="str">
        <f>IFERROR(__xludf.DUMMYFUNCTION("""COMPUTED_VALUE"""),"KYAI KONTONG")</f>
        <v>KYAI KONTONG</v>
      </c>
      <c r="D9328" s="186">
        <f>IFERROR(__xludf.DUMMYFUNCTION("""COMPUTED_VALUE"""),20.0)</f>
        <v>20</v>
      </c>
    </row>
    <row r="9329">
      <c r="A9329" s="178" t="str">
        <f>IFERROR(__xludf.DUMMYFUNCTION("""COMPUTED_VALUE"""),"ITBISA-RELAY-12V-4PIN-BLUE")</f>
        <v>ITBISA-RELAY-12V-4PIN-BLUE</v>
      </c>
      <c r="B9329" s="266">
        <f>IFERROR(__xludf.DUMMYFUNCTION("""COMPUTED_VALUE"""),45948.0)</f>
        <v>45948</v>
      </c>
      <c r="C9329" s="266" t="str">
        <f>IFERROR(__xludf.DUMMYFUNCTION("""COMPUTED_VALUE"""),"KYAI KONTONG")</f>
        <v>KYAI KONTONG</v>
      </c>
      <c r="D9329" s="186">
        <f>IFERROR(__xludf.DUMMYFUNCTION("""COMPUTED_VALUE"""),10.0)</f>
        <v>10</v>
      </c>
    </row>
    <row r="9330">
      <c r="A9330" s="178" t="str">
        <f>IFERROR(__xludf.DUMMYFUNCTION("""COMPUTED_VALUE"""),"ITBISA-RELAY-12V-4PIN-BLUE")</f>
        <v>ITBISA-RELAY-12V-4PIN-BLUE</v>
      </c>
      <c r="B9330" s="266">
        <f>IFERROR(__xludf.DUMMYFUNCTION("""COMPUTED_VALUE"""),45949.0)</f>
        <v>45949</v>
      </c>
      <c r="C9330" s="266" t="str">
        <f>IFERROR(__xludf.DUMMYFUNCTION("""COMPUTED_VALUE"""),"KERTASARI CIAMIS")</f>
        <v>KERTASARI CIAMIS</v>
      </c>
      <c r="D9330" s="186">
        <f>IFERROR(__xludf.DUMMYFUNCTION("""COMPUTED_VALUE"""),500.0)</f>
        <v>500</v>
      </c>
    </row>
    <row r="9331">
      <c r="A9331" s="178" t="str">
        <f>IFERROR(__xludf.DUMMYFUNCTION("""COMPUTED_VALUE"""),"ITBISA-RELAY-12V-4PIN-BLUE")</f>
        <v>ITBISA-RELAY-12V-4PIN-BLUE</v>
      </c>
      <c r="B9331" s="266">
        <f>IFERROR(__xludf.DUMMYFUNCTION("""COMPUTED_VALUE"""),45954.0)</f>
        <v>45954</v>
      </c>
      <c r="C9331" s="266" t="str">
        <f>IFERROR(__xludf.DUMMYFUNCTION("""COMPUTED_VALUE"""),"KYAI KONTONG")</f>
        <v>KYAI KONTONG</v>
      </c>
      <c r="D9331" s="186">
        <f>IFERROR(__xludf.DUMMYFUNCTION("""COMPUTED_VALUE"""),10.0)</f>
        <v>10</v>
      </c>
    </row>
    <row r="9332">
      <c r="A9332" s="178" t="str">
        <f>IFERROR(__xludf.DUMMYFUNCTION("""COMPUTED_VALUE"""),"ITBISA-RELAY-12V-4PIN-BLUE")</f>
        <v>ITBISA-RELAY-12V-4PIN-BLUE</v>
      </c>
      <c r="B9332" s="266">
        <f>IFERROR(__xludf.DUMMYFUNCTION("""COMPUTED_VALUE"""),45955.0)</f>
        <v>45955</v>
      </c>
      <c r="C9332" s="266" t="str">
        <f>IFERROR(__xludf.DUMMYFUNCTION("""COMPUTED_VALUE"""),"KYAI KONTONG")</f>
        <v>KYAI KONTONG</v>
      </c>
      <c r="D9332" s="186">
        <f>IFERROR(__xludf.DUMMYFUNCTION("""COMPUTED_VALUE"""),20.0)</f>
        <v>20</v>
      </c>
    </row>
    <row r="9333">
      <c r="A9333" s="178" t="str">
        <f>IFERROR(__xludf.DUMMYFUNCTION("""COMPUTED_VALUE"""),"ITBISA-RELAY-12V-4PIN-BLUE")</f>
        <v>ITBISA-RELAY-12V-4PIN-BLUE</v>
      </c>
      <c r="B9333" s="266">
        <f>IFERROR(__xludf.DUMMYFUNCTION("""COMPUTED_VALUE"""),45959.0)</f>
        <v>45959</v>
      </c>
      <c r="C9333" s="266" t="str">
        <f>IFERROR(__xludf.DUMMYFUNCTION("""COMPUTED_VALUE"""),"KERTASARI CIAMIS")</f>
        <v>KERTASARI CIAMIS</v>
      </c>
      <c r="D9333" s="186">
        <f>IFERROR(__xludf.DUMMYFUNCTION("""COMPUTED_VALUE"""),150.0)</f>
        <v>150</v>
      </c>
    </row>
    <row r="9334">
      <c r="A9334" s="178" t="str">
        <f>IFERROR(__xludf.DUMMYFUNCTION("""COMPUTED_VALUE"""),"ITBISA-RELAY-12V-4PIN-BLUE")</f>
        <v>ITBISA-RELAY-12V-4PIN-BLUE</v>
      </c>
      <c r="B9334" s="266">
        <f>IFERROR(__xludf.DUMMYFUNCTION("""COMPUTED_VALUE"""),45960.0)</f>
        <v>45960</v>
      </c>
      <c r="C9334" s="266" t="str">
        <f>IFERROR(__xludf.DUMMYFUNCTION("""COMPUTED_VALUE"""),"KERTASARI CIAMIS")</f>
        <v>KERTASARI CIAMIS</v>
      </c>
      <c r="D9334" s="186">
        <f>IFERROR(__xludf.DUMMYFUNCTION("""COMPUTED_VALUE"""),20.0)</f>
        <v>20</v>
      </c>
    </row>
    <row r="9335">
      <c r="A9335" s="178" t="str">
        <f>IFERROR(__xludf.DUMMYFUNCTION("""COMPUTED_VALUE"""),"ITBISA-RELAY-12V-4PIN-BLUE")</f>
        <v>ITBISA-RELAY-12V-4PIN-BLUE</v>
      </c>
      <c r="B9335" s="266">
        <f>IFERROR(__xludf.DUMMYFUNCTION("""COMPUTED_VALUE"""),45960.0)</f>
        <v>45960</v>
      </c>
      <c r="C9335" s="266" t="str">
        <f>IFERROR(__xludf.DUMMYFUNCTION("""COMPUTED_VALUE"""),"KYAI KONTONG")</f>
        <v>KYAI KONTONG</v>
      </c>
      <c r="D9335" s="186">
        <f>IFERROR(__xludf.DUMMYFUNCTION("""COMPUTED_VALUE"""),10.0)</f>
        <v>10</v>
      </c>
    </row>
    <row r="9336">
      <c r="A9336" s="178" t="str">
        <f>IFERROR(__xludf.DUMMYFUNCTION("""COMPUTED_VALUE"""),"ITBISA-RELAY-12V-4PIN-BLUE")</f>
        <v>ITBISA-RELAY-12V-4PIN-BLUE</v>
      </c>
      <c r="B9336" s="266">
        <f>IFERROR(__xludf.DUMMYFUNCTION("""COMPUTED_VALUE"""),45961.0)</f>
        <v>45961</v>
      </c>
      <c r="C9336" s="266" t="str">
        <f>IFERROR(__xludf.DUMMYFUNCTION("""COMPUTED_VALUE"""),"KYAI KONTONG")</f>
        <v>KYAI KONTONG</v>
      </c>
      <c r="D9336" s="186">
        <f>IFERROR(__xludf.DUMMYFUNCTION("""COMPUTED_VALUE"""),10.0)</f>
        <v>10</v>
      </c>
    </row>
    <row r="9337">
      <c r="A9337" s="178" t="str">
        <f>IFERROR(__xludf.DUMMYFUNCTION("""COMPUTED_VALUE"""),"ITBISA-RELAY-12V-4PIN-BLUE")</f>
        <v>ITBISA-RELAY-12V-4PIN-BLUE</v>
      </c>
      <c r="B9337" s="266">
        <f>IFERROR(__xludf.DUMMYFUNCTION("""COMPUTED_VALUE"""),45962.0)</f>
        <v>45962</v>
      </c>
      <c r="C9337" s="266" t="str">
        <f>IFERROR(__xludf.DUMMYFUNCTION("""COMPUTED_VALUE"""),"KYAI KONTONG")</f>
        <v>KYAI KONTONG</v>
      </c>
      <c r="D9337" s="186">
        <f>IFERROR(__xludf.DUMMYFUNCTION("""COMPUTED_VALUE"""),30.0)</f>
        <v>30</v>
      </c>
    </row>
    <row r="9338">
      <c r="A9338" s="178" t="str">
        <f>IFERROR(__xludf.DUMMYFUNCTION("""COMPUTED_VALUE"""),"ITBISA-RELAY-12V-4PIN-BLUE")</f>
        <v>ITBISA-RELAY-12V-4PIN-BLUE</v>
      </c>
      <c r="B9338" s="266">
        <f>IFERROR(__xludf.DUMMYFUNCTION("""COMPUTED_VALUE"""),45963.0)</f>
        <v>45963</v>
      </c>
      <c r="C9338" s="266" t="str">
        <f>IFERROR(__xludf.DUMMYFUNCTION("""COMPUTED_VALUE"""),"KYAI KONTONG")</f>
        <v>KYAI KONTONG</v>
      </c>
      <c r="D9338" s="186">
        <f>IFERROR(__xludf.DUMMYFUNCTION("""COMPUTED_VALUE"""),10.0)</f>
        <v>10</v>
      </c>
    </row>
    <row r="9339">
      <c r="A9339" s="178" t="str">
        <f>IFERROR(__xludf.DUMMYFUNCTION("""COMPUTED_VALUE"""),"ITBISA-RELAY-12V-4PIN-BLUE")</f>
        <v>ITBISA-RELAY-12V-4PIN-BLUE</v>
      </c>
      <c r="B9339" s="266">
        <f>IFERROR(__xludf.DUMMYFUNCTION("""COMPUTED_VALUE"""),45963.0)</f>
        <v>45963</v>
      </c>
      <c r="C9339" s="266" t="str">
        <f>IFERROR(__xludf.DUMMYFUNCTION("""COMPUTED_VALUE"""),"KYAI KONTONG")</f>
        <v>KYAI KONTONG</v>
      </c>
      <c r="D9339" s="186">
        <f>IFERROR(__xludf.DUMMYFUNCTION("""COMPUTED_VALUE"""),20.0)</f>
        <v>20</v>
      </c>
    </row>
    <row r="9340">
      <c r="A9340" s="178" t="str">
        <f>IFERROR(__xludf.DUMMYFUNCTION("""COMPUTED_VALUE"""),"ITBISA-RELAY-12V-4PIN-BLUE")</f>
        <v>ITBISA-RELAY-12V-4PIN-BLUE</v>
      </c>
      <c r="B9340" s="266">
        <f>IFERROR(__xludf.DUMMYFUNCTION("""COMPUTED_VALUE"""),45964.0)</f>
        <v>45964</v>
      </c>
      <c r="C9340" s="266" t="str">
        <f>IFERROR(__xludf.DUMMYFUNCTION("""COMPUTED_VALUE"""),"KERTASARI CIAMIS")</f>
        <v>KERTASARI CIAMIS</v>
      </c>
      <c r="D9340" s="186">
        <f>IFERROR(__xludf.DUMMYFUNCTION("""COMPUTED_VALUE"""),20.0)</f>
        <v>20</v>
      </c>
    </row>
    <row r="9341">
      <c r="A9341" s="178" t="str">
        <f>IFERROR(__xludf.DUMMYFUNCTION("""COMPUTED_VALUE"""),"ITBISA-RELAY-12V-4PIN-BLUE")</f>
        <v>ITBISA-RELAY-12V-4PIN-BLUE</v>
      </c>
      <c r="B9341" s="266">
        <f>IFERROR(__xludf.DUMMYFUNCTION("""COMPUTED_VALUE"""),45965.0)</f>
        <v>45965</v>
      </c>
      <c r="C9341" s="266" t="str">
        <f>IFERROR(__xludf.DUMMYFUNCTION("""COMPUTED_VALUE"""),"KYAI KONTONG")</f>
        <v>KYAI KONTONG</v>
      </c>
      <c r="D9341" s="186">
        <f>IFERROR(__xludf.DUMMYFUNCTION("""COMPUTED_VALUE"""),10.0)</f>
        <v>10</v>
      </c>
    </row>
    <row r="9342">
      <c r="A9342" s="178" t="str">
        <f>IFERROR(__xludf.DUMMYFUNCTION("""COMPUTED_VALUE"""),"ITBISA-RELAY-12V-4PIN-BLUE")</f>
        <v>ITBISA-RELAY-12V-4PIN-BLUE</v>
      </c>
      <c r="B9342" s="266">
        <f>IFERROR(__xludf.DUMMYFUNCTION("""COMPUTED_VALUE"""),45966.0)</f>
        <v>45966</v>
      </c>
      <c r="C9342" s="266" t="str">
        <f>IFERROR(__xludf.DUMMYFUNCTION("""COMPUTED_VALUE"""),"KERTASARI CIAMIS")</f>
        <v>KERTASARI CIAMIS</v>
      </c>
      <c r="D9342" s="186">
        <f>IFERROR(__xludf.DUMMYFUNCTION("""COMPUTED_VALUE"""),20.0)</f>
        <v>20</v>
      </c>
    </row>
    <row r="9343">
      <c r="A9343" s="178" t="str">
        <f>IFERROR(__xludf.DUMMYFUNCTION("""COMPUTED_VALUE"""),"ITBISA-RELAY-12V-4PIN-BLUE")</f>
        <v>ITBISA-RELAY-12V-4PIN-BLUE</v>
      </c>
      <c r="B9343" s="266">
        <f>IFERROR(__xludf.DUMMYFUNCTION("""COMPUTED_VALUE"""),45966.0)</f>
        <v>45966</v>
      </c>
      <c r="C9343" s="266" t="str">
        <f>IFERROR(__xludf.DUMMYFUNCTION("""COMPUTED_VALUE"""),"KYAI KONTONG")</f>
        <v>KYAI KONTONG</v>
      </c>
      <c r="D9343" s="186">
        <f>IFERROR(__xludf.DUMMYFUNCTION("""COMPUTED_VALUE"""),10.0)</f>
        <v>10</v>
      </c>
    </row>
    <row r="9344">
      <c r="A9344" s="178" t="str">
        <f>IFERROR(__xludf.DUMMYFUNCTION("""COMPUTED_VALUE"""),"ITBISA-RELAY-12V-4PIN-BLUE")</f>
        <v>ITBISA-RELAY-12V-4PIN-BLUE</v>
      </c>
      <c r="B9344" s="266">
        <f>IFERROR(__xludf.DUMMYFUNCTION("""COMPUTED_VALUE"""),45966.0)</f>
        <v>45966</v>
      </c>
      <c r="C9344" s="266" t="str">
        <f>IFERROR(__xludf.DUMMYFUNCTION("""COMPUTED_VALUE"""),"KYAI KONTONG")</f>
        <v>KYAI KONTONG</v>
      </c>
      <c r="D9344" s="186">
        <f>IFERROR(__xludf.DUMMYFUNCTION("""COMPUTED_VALUE"""),10.0)</f>
        <v>10</v>
      </c>
    </row>
    <row r="9345">
      <c r="A9345" s="178" t="str">
        <f>IFERROR(__xludf.DUMMYFUNCTION("""COMPUTED_VALUE"""),"ITBISA-RELAY-12V-4PIN-BLUE")</f>
        <v>ITBISA-RELAY-12V-4PIN-BLUE</v>
      </c>
      <c r="B9345" s="266">
        <f>IFERROR(__xludf.DUMMYFUNCTION("""COMPUTED_VALUE"""),45967.0)</f>
        <v>45967</v>
      </c>
      <c r="C9345" s="266" t="str">
        <f>IFERROR(__xludf.DUMMYFUNCTION("""COMPUTED_VALUE"""),"KERTASARI CIAMIS")</f>
        <v>KERTASARI CIAMIS</v>
      </c>
      <c r="D9345" s="186">
        <f>IFERROR(__xludf.DUMMYFUNCTION("""COMPUTED_VALUE"""),30.0)</f>
        <v>30</v>
      </c>
    </row>
    <row r="9346">
      <c r="A9346" s="178" t="str">
        <f>IFERROR(__xludf.DUMMYFUNCTION("""COMPUTED_VALUE"""),"ITBISA-RELAY-12V-4PIN-BLUE")</f>
        <v>ITBISA-RELAY-12V-4PIN-BLUE</v>
      </c>
      <c r="B9346" s="266">
        <f>IFERROR(__xludf.DUMMYFUNCTION("""COMPUTED_VALUE"""),45971.0)</f>
        <v>45971</v>
      </c>
      <c r="C9346" s="266" t="str">
        <f>IFERROR(__xludf.DUMMYFUNCTION("""COMPUTED_VALUE"""),"KYAI KONTONG")</f>
        <v>KYAI KONTONG</v>
      </c>
      <c r="D9346" s="186">
        <f>IFERROR(__xludf.DUMMYFUNCTION("""COMPUTED_VALUE"""),10.0)</f>
        <v>10</v>
      </c>
    </row>
    <row r="9347">
      <c r="A9347" s="178" t="str">
        <f>IFERROR(__xludf.DUMMYFUNCTION("""COMPUTED_VALUE"""),"ITBISA-RELAY-12V-4PIN-BLUE")</f>
        <v>ITBISA-RELAY-12V-4PIN-BLUE</v>
      </c>
      <c r="B9347" s="266">
        <f>IFERROR(__xludf.DUMMYFUNCTION("""COMPUTED_VALUE"""),45972.0)</f>
        <v>45972</v>
      </c>
      <c r="C9347" s="266" t="str">
        <f>IFERROR(__xludf.DUMMYFUNCTION("""COMPUTED_VALUE"""),"KERTASARI CIAMIS")</f>
        <v>KERTASARI CIAMIS</v>
      </c>
      <c r="D9347" s="186">
        <f>IFERROR(__xludf.DUMMYFUNCTION("""COMPUTED_VALUE"""),20.0)</f>
        <v>20</v>
      </c>
    </row>
    <row r="9348">
      <c r="A9348" s="178" t="str">
        <f>IFERROR(__xludf.DUMMYFUNCTION("""COMPUTED_VALUE"""),"ITBISA-RELAY-12V-4PIN-BLUE")</f>
        <v>ITBISA-RELAY-12V-4PIN-BLUE</v>
      </c>
      <c r="B9348" s="266">
        <f>IFERROR(__xludf.DUMMYFUNCTION("""COMPUTED_VALUE"""),45974.0)</f>
        <v>45974</v>
      </c>
      <c r="C9348" s="266" t="str">
        <f>IFERROR(__xludf.DUMMYFUNCTION("""COMPUTED_VALUE"""),"KYAI KONTONG")</f>
        <v>KYAI KONTONG</v>
      </c>
      <c r="D9348" s="186">
        <f>IFERROR(__xludf.DUMMYFUNCTION("""COMPUTED_VALUE"""),10.0)</f>
        <v>10</v>
      </c>
    </row>
    <row r="9349">
      <c r="A9349" s="178" t="str">
        <f>IFERROR(__xludf.DUMMYFUNCTION("""COMPUTED_VALUE"""),"ITBISA-RELAY-12V-4PIN-BLUE")</f>
        <v>ITBISA-RELAY-12V-4PIN-BLUE</v>
      </c>
      <c r="B9349" s="266">
        <f>IFERROR(__xludf.DUMMYFUNCTION("""COMPUTED_VALUE"""),45976.0)</f>
        <v>45976</v>
      </c>
      <c r="C9349" s="266" t="str">
        <f>IFERROR(__xludf.DUMMYFUNCTION("""COMPUTED_VALUE"""),"KYAI KONTONG")</f>
        <v>KYAI KONTONG</v>
      </c>
      <c r="D9349" s="186">
        <f>IFERROR(__xludf.DUMMYFUNCTION("""COMPUTED_VALUE"""),24.0)</f>
        <v>24</v>
      </c>
    </row>
    <row r="9350">
      <c r="A9350" s="178" t="str">
        <f>IFERROR(__xludf.DUMMYFUNCTION("""COMPUTED_VALUE"""),"ITBISA-RELAY-12V-4PIN-BLUE")</f>
        <v>ITBISA-RELAY-12V-4PIN-BLUE</v>
      </c>
      <c r="B9350" s="266">
        <f>IFERROR(__xludf.DUMMYFUNCTION("""COMPUTED_VALUE"""),45978.0)</f>
        <v>45978</v>
      </c>
      <c r="C9350" s="266" t="str">
        <f>IFERROR(__xludf.DUMMYFUNCTION("""COMPUTED_VALUE"""),"KYAI KONTONG")</f>
        <v>KYAI KONTONG</v>
      </c>
      <c r="D9350" s="186">
        <f>IFERROR(__xludf.DUMMYFUNCTION("""COMPUTED_VALUE"""),10.0)</f>
        <v>10</v>
      </c>
    </row>
    <row r="9351">
      <c r="A9351" s="178" t="str">
        <f>IFERROR(__xludf.DUMMYFUNCTION("""COMPUTED_VALUE"""),"ITBISA-RELAY-12V-4PIN-BLUE")</f>
        <v>ITBISA-RELAY-12V-4PIN-BLUE</v>
      </c>
      <c r="B9351" s="266">
        <f>IFERROR(__xludf.DUMMYFUNCTION("""COMPUTED_VALUE"""),45978.0)</f>
        <v>45978</v>
      </c>
      <c r="C9351" s="266" t="str">
        <f>IFERROR(__xludf.DUMMYFUNCTION("""COMPUTED_VALUE"""),"KYAI KONTONG")</f>
        <v>KYAI KONTONG</v>
      </c>
      <c r="D9351" s="186">
        <f>IFERROR(__xludf.DUMMYFUNCTION("""COMPUTED_VALUE"""),20.0)</f>
        <v>20</v>
      </c>
    </row>
    <row r="9352">
      <c r="A9352" s="178" t="str">
        <f>IFERROR(__xludf.DUMMYFUNCTION("""COMPUTED_VALUE"""),"ITBISA-RELAY-12V-4PIN-BLUE")</f>
        <v>ITBISA-RELAY-12V-4PIN-BLUE</v>
      </c>
      <c r="B9352" s="266">
        <f>IFERROR(__xludf.DUMMYFUNCTION("""COMPUTED_VALUE"""),45980.0)</f>
        <v>45980</v>
      </c>
      <c r="C9352" s="266" t="str">
        <f>IFERROR(__xludf.DUMMYFUNCTION("""COMPUTED_VALUE"""),"KYAI KONTONG")</f>
        <v>KYAI KONTONG</v>
      </c>
      <c r="D9352" s="186">
        <f>IFERROR(__xludf.DUMMYFUNCTION("""COMPUTED_VALUE"""),350.0)</f>
        <v>350</v>
      </c>
    </row>
    <row r="9353">
      <c r="A9353" s="178" t="str">
        <f>IFERROR(__xludf.DUMMYFUNCTION("""COMPUTED_VALUE"""),"ITBISA-RELAY-12V-4PIN-BLUE")</f>
        <v>ITBISA-RELAY-12V-4PIN-BLUE</v>
      </c>
      <c r="B9353" s="266">
        <f>IFERROR(__xludf.DUMMYFUNCTION("""COMPUTED_VALUE"""),45981.0)</f>
        <v>45981</v>
      </c>
      <c r="C9353" s="266" t="str">
        <f>IFERROR(__xludf.DUMMYFUNCTION("""COMPUTED_VALUE"""),"KERTASARI CIAMIS")</f>
        <v>KERTASARI CIAMIS</v>
      </c>
      <c r="D9353" s="186">
        <f>IFERROR(__xludf.DUMMYFUNCTION("""COMPUTED_VALUE"""),8.0)</f>
        <v>8</v>
      </c>
    </row>
    <row r="9354">
      <c r="A9354" s="178" t="str">
        <f>IFERROR(__xludf.DUMMYFUNCTION("""COMPUTED_VALUE"""),"ITBISA-RELAY-12V-4PIN-BLUE")</f>
        <v>ITBISA-RELAY-12V-4PIN-BLUE</v>
      </c>
      <c r="B9354" s="266">
        <f>IFERROR(__xludf.DUMMYFUNCTION("""COMPUTED_VALUE"""),45988.0)</f>
        <v>45988</v>
      </c>
      <c r="C9354" s="266" t="str">
        <f>IFERROR(__xludf.DUMMYFUNCTION("""COMPUTED_VALUE"""),"KERTASARI CIAMIS")</f>
        <v>KERTASARI CIAMIS</v>
      </c>
      <c r="D9354" s="186">
        <f>IFERROR(__xludf.DUMMYFUNCTION("""COMPUTED_VALUE"""),5.0)</f>
        <v>5</v>
      </c>
    </row>
    <row r="9355">
      <c r="A9355" s="178" t="str">
        <f>IFERROR(__xludf.DUMMYFUNCTION("""COMPUTED_VALUE"""),"ITBISA-RELAY-12V-4PIN-BLUE")</f>
        <v>ITBISA-RELAY-12V-4PIN-BLUE</v>
      </c>
      <c r="B9355" s="266">
        <f>IFERROR(__xludf.DUMMYFUNCTION("""COMPUTED_VALUE"""),45989.0)</f>
        <v>45989</v>
      </c>
      <c r="C9355" s="266" t="str">
        <f>IFERROR(__xludf.DUMMYFUNCTION("""COMPUTED_VALUE"""),"KERTASARI CIAMIS")</f>
        <v>KERTASARI CIAMIS</v>
      </c>
      <c r="D9355" s="186">
        <f>IFERROR(__xludf.DUMMYFUNCTION("""COMPUTED_VALUE"""),2.0)</f>
        <v>2</v>
      </c>
    </row>
    <row r="9356">
      <c r="A9356" s="178" t="str">
        <f>IFERROR(__xludf.DUMMYFUNCTION("""COMPUTED_VALUE"""),"ITBISA-RELAY-12V-4PIN-BLUE")</f>
        <v>ITBISA-RELAY-12V-4PIN-BLUE</v>
      </c>
      <c r="B9356" s="266">
        <f>IFERROR(__xludf.DUMMYFUNCTION("""COMPUTED_VALUE"""),45989.0)</f>
        <v>45989</v>
      </c>
      <c r="C9356" s="266" t="str">
        <f>IFERROR(__xludf.DUMMYFUNCTION("""COMPUTED_VALUE"""),"KERTASARI CIAMIS")</f>
        <v>KERTASARI CIAMIS</v>
      </c>
      <c r="D9356" s="186">
        <f>IFERROR(__xludf.DUMMYFUNCTION("""COMPUTED_VALUE"""),5.0)</f>
        <v>5</v>
      </c>
    </row>
    <row r="9357">
      <c r="A9357" s="178" t="str">
        <f>IFERROR(__xludf.DUMMYFUNCTION("""COMPUTED_VALUE"""),"ITBISA-RELAY-12V-4PIN-BLUE")</f>
        <v>ITBISA-RELAY-12V-4PIN-BLUE</v>
      </c>
      <c r="B9357" s="266">
        <f>IFERROR(__xludf.DUMMYFUNCTION("""COMPUTED_VALUE"""),45990.0)</f>
        <v>45990</v>
      </c>
      <c r="C9357" s="266" t="str">
        <f>IFERROR(__xludf.DUMMYFUNCTION("""COMPUTED_VALUE"""),"KYAI KONTONG")</f>
        <v>KYAI KONTONG</v>
      </c>
      <c r="D9357" s="186">
        <f>IFERROR(__xludf.DUMMYFUNCTION("""COMPUTED_VALUE"""),100.0)</f>
        <v>100</v>
      </c>
    </row>
    <row r="9358">
      <c r="A9358" s="178" t="str">
        <f>IFERROR(__xludf.DUMMYFUNCTION("""COMPUTED_VALUE"""),"ITBISA-RELAY-12V-4PIN-BLUE")</f>
        <v>ITBISA-RELAY-12V-4PIN-BLUE</v>
      </c>
      <c r="B9358" s="266">
        <f>IFERROR(__xludf.DUMMYFUNCTION("""COMPUTED_VALUE"""),45991.0)</f>
        <v>45991</v>
      </c>
      <c r="C9358" s="266" t="str">
        <f>IFERROR(__xludf.DUMMYFUNCTION("""COMPUTED_VALUE"""),"KERTASARI CIAMIS")</f>
        <v>KERTASARI CIAMIS</v>
      </c>
      <c r="D9358" s="186">
        <f>IFERROR(__xludf.DUMMYFUNCTION("""COMPUTED_VALUE"""),6.0)</f>
        <v>6</v>
      </c>
    </row>
    <row r="9359">
      <c r="A9359" s="178" t="str">
        <f>IFERROR(__xludf.DUMMYFUNCTION("""COMPUTED_VALUE"""),"ITBISA-RELAY-12V-4PIN-BLUE")</f>
        <v>ITBISA-RELAY-12V-4PIN-BLUE</v>
      </c>
      <c r="B9359" s="266">
        <f>IFERROR(__xludf.DUMMYFUNCTION("""COMPUTED_VALUE"""),45991.0)</f>
        <v>45991</v>
      </c>
      <c r="C9359" s="266" t="str">
        <f>IFERROR(__xludf.DUMMYFUNCTION("""COMPUTED_VALUE"""),"KYAI KONTONG")</f>
        <v>KYAI KONTONG</v>
      </c>
      <c r="D9359" s="186">
        <f>IFERROR(__xludf.DUMMYFUNCTION("""COMPUTED_VALUE"""),20.0)</f>
        <v>20</v>
      </c>
    </row>
    <row r="9360">
      <c r="A9360" s="178" t="str">
        <f>IFERROR(__xludf.DUMMYFUNCTION("""COMPUTED_VALUE"""),"ITBISA-RELAY-12V-4PIN-BLUE")</f>
        <v>ITBISA-RELAY-12V-4PIN-BLUE</v>
      </c>
      <c r="B9360" s="266">
        <f>IFERROR(__xludf.DUMMYFUNCTION("""COMPUTED_VALUE"""),45993.0)</f>
        <v>45993</v>
      </c>
      <c r="C9360" s="266" t="str">
        <f>IFERROR(__xludf.DUMMYFUNCTION("""COMPUTED_VALUE"""),"KYAI KONTONG")</f>
        <v>KYAI KONTONG</v>
      </c>
      <c r="D9360" s="186">
        <f>IFERROR(__xludf.DUMMYFUNCTION("""COMPUTED_VALUE"""),10.0)</f>
        <v>10</v>
      </c>
    </row>
    <row r="9361">
      <c r="A9361" s="178" t="str">
        <f>IFERROR(__xludf.DUMMYFUNCTION("""COMPUTED_VALUE"""),"ITBISA-RELAY-12V-4PIN-BLUE")</f>
        <v>ITBISA-RELAY-12V-4PIN-BLUE</v>
      </c>
      <c r="B9361" s="266">
        <f>IFERROR(__xludf.DUMMYFUNCTION("""COMPUTED_VALUE"""),45994.0)</f>
        <v>45994</v>
      </c>
      <c r="C9361" s="266" t="str">
        <f>IFERROR(__xludf.DUMMYFUNCTION("""COMPUTED_VALUE"""),"KYAI KONTONG")</f>
        <v>KYAI KONTONG</v>
      </c>
      <c r="D9361" s="186">
        <f>IFERROR(__xludf.DUMMYFUNCTION("""COMPUTED_VALUE"""),5.0)</f>
        <v>5</v>
      </c>
    </row>
    <row r="9362">
      <c r="A9362" s="178" t="str">
        <f>IFERROR(__xludf.DUMMYFUNCTION("""COMPUTED_VALUE"""),"ITBISA-RELAY-12V-4PIN-BLUE")</f>
        <v>ITBISA-RELAY-12V-4PIN-BLUE</v>
      </c>
      <c r="B9362" s="266">
        <f>IFERROR(__xludf.DUMMYFUNCTION("""COMPUTED_VALUE"""),45998.0)</f>
        <v>45998</v>
      </c>
      <c r="C9362" s="266" t="str">
        <f>IFERROR(__xludf.DUMMYFUNCTION("""COMPUTED_VALUE"""),"KYAI KONTONG")</f>
        <v>KYAI KONTONG</v>
      </c>
      <c r="D9362" s="186">
        <f>IFERROR(__xludf.DUMMYFUNCTION("""COMPUTED_VALUE"""),5.0)</f>
        <v>5</v>
      </c>
    </row>
    <row r="9363">
      <c r="A9363" s="178" t="str">
        <f>IFERROR(__xludf.DUMMYFUNCTION("""COMPUTED_VALUE"""),"ITBISA-RELAY-12V-4PIN-BLUE")</f>
        <v>ITBISA-RELAY-12V-4PIN-BLUE</v>
      </c>
      <c r="B9363" s="266">
        <f>IFERROR(__xludf.DUMMYFUNCTION("""COMPUTED_VALUE"""),46003.0)</f>
        <v>46003</v>
      </c>
      <c r="C9363" s="266" t="str">
        <f>IFERROR(__xludf.DUMMYFUNCTION("""COMPUTED_VALUE"""),"KYAI KONTONG")</f>
        <v>KYAI KONTONG</v>
      </c>
      <c r="D9363" s="186">
        <f>IFERROR(__xludf.DUMMYFUNCTION("""COMPUTED_VALUE"""),50.0)</f>
        <v>50</v>
      </c>
    </row>
    <row r="9364">
      <c r="A9364" s="178" t="str">
        <f>IFERROR(__xludf.DUMMYFUNCTION("""COMPUTED_VALUE"""),"ITBISA-RELAY-12V-4PIN-BLUE")</f>
        <v>ITBISA-RELAY-12V-4PIN-BLUE</v>
      </c>
      <c r="B9364" s="266">
        <f>IFERROR(__xludf.DUMMYFUNCTION("""COMPUTED_VALUE"""),46004.0)</f>
        <v>46004</v>
      </c>
      <c r="C9364" s="266" t="str">
        <f>IFERROR(__xludf.DUMMYFUNCTION("""COMPUTED_VALUE"""),"KERTASARI CIAMIS")</f>
        <v>KERTASARI CIAMIS</v>
      </c>
      <c r="D9364" s="186">
        <f>IFERROR(__xludf.DUMMYFUNCTION("""COMPUTED_VALUE"""),5.0)</f>
        <v>5</v>
      </c>
    </row>
    <row r="9365">
      <c r="A9365" s="178" t="str">
        <f>IFERROR(__xludf.DUMMYFUNCTION("""COMPUTED_VALUE"""),"ITBISA-RELAY-12V-4PIN-BLUE")</f>
        <v>ITBISA-RELAY-12V-4PIN-BLUE</v>
      </c>
      <c r="B9365" s="266">
        <f>IFERROR(__xludf.DUMMYFUNCTION("""COMPUTED_VALUE"""),46005.0)</f>
        <v>46005</v>
      </c>
      <c r="C9365" s="266" t="str">
        <f>IFERROR(__xludf.DUMMYFUNCTION("""COMPUTED_VALUE"""),"KERTASARI CIAMIS")</f>
        <v>KERTASARI CIAMIS</v>
      </c>
      <c r="D9365" s="186">
        <f>IFERROR(__xludf.DUMMYFUNCTION("""COMPUTED_VALUE"""),5.0)</f>
        <v>5</v>
      </c>
    </row>
    <row r="9366">
      <c r="A9366" s="178" t="str">
        <f>IFERROR(__xludf.DUMMYFUNCTION("""COMPUTED_VALUE"""),"ITBISA-RELAY-12V-4PIN-BLUE")</f>
        <v>ITBISA-RELAY-12V-4PIN-BLUE</v>
      </c>
      <c r="B9366" s="266">
        <f>IFERROR(__xludf.DUMMYFUNCTION("""COMPUTED_VALUE"""),46005.0)</f>
        <v>46005</v>
      </c>
      <c r="C9366" s="266" t="str">
        <f>IFERROR(__xludf.DUMMYFUNCTION("""COMPUTED_VALUE"""),"KERTASARI CIAMIS")</f>
        <v>KERTASARI CIAMIS</v>
      </c>
      <c r="D9366" s="186">
        <f>IFERROR(__xludf.DUMMYFUNCTION("""COMPUTED_VALUE"""),20.0)</f>
        <v>20</v>
      </c>
    </row>
    <row r="9367">
      <c r="A9367" s="178" t="str">
        <f>IFERROR(__xludf.DUMMYFUNCTION("""COMPUTED_VALUE"""),"ITBISA-RELAY-12V-4PIN-BLUE")</f>
        <v>ITBISA-RELAY-12V-4PIN-BLUE</v>
      </c>
      <c r="B9367" s="266">
        <f>IFERROR(__xludf.DUMMYFUNCTION("""COMPUTED_VALUE"""),46019.0)</f>
        <v>46019</v>
      </c>
      <c r="C9367" s="266" t="str">
        <f>IFERROR(__xludf.DUMMYFUNCTION("""COMPUTED_VALUE"""),"KYAI KONTONG")</f>
        <v>KYAI KONTONG</v>
      </c>
      <c r="D9367" s="186">
        <f>IFERROR(__xludf.DUMMYFUNCTION("""COMPUTED_VALUE"""),0.0)</f>
        <v>0</v>
      </c>
    </row>
    <row r="9368">
      <c r="A9368" s="178" t="str">
        <f>IFERROR(__xludf.DUMMYFUNCTION("""COMPUTED_VALUE"""),"ITBISA-RELAY-12V-5PIN-BLUE")</f>
        <v>ITBISA-RELAY-12V-5PIN-BLUE</v>
      </c>
      <c r="B9368" s="266">
        <f>IFERROR(__xludf.DUMMYFUNCTION("""COMPUTED_VALUE"""),45434.0)</f>
        <v>45434</v>
      </c>
      <c r="C9368" s="266" t="str">
        <f>IFERROR(__xludf.DUMMYFUNCTION("""COMPUTED_VALUE"""),"KERTASARI CIAMIS")</f>
        <v>KERTASARI CIAMIS</v>
      </c>
      <c r="D9368" s="186">
        <f>IFERROR(__xludf.DUMMYFUNCTION("""COMPUTED_VALUE"""),15.0)</f>
        <v>15</v>
      </c>
    </row>
    <row r="9369">
      <c r="A9369" s="178" t="str">
        <f>IFERROR(__xludf.DUMMYFUNCTION("""COMPUTED_VALUE"""),"ITBISA-RELAY-12V-5PIN-BLUE")</f>
        <v>ITBISA-RELAY-12V-5PIN-BLUE</v>
      </c>
      <c r="B9369" s="266">
        <f>IFERROR(__xludf.DUMMYFUNCTION("""COMPUTED_VALUE"""),45434.0)</f>
        <v>45434</v>
      </c>
      <c r="C9369" s="266" t="str">
        <f>IFERROR(__xludf.DUMMYFUNCTION("""COMPUTED_VALUE"""),"KERTASARI CIAMIS")</f>
        <v>KERTASARI CIAMIS</v>
      </c>
      <c r="D9369" s="186">
        <f>IFERROR(__xludf.DUMMYFUNCTION("""COMPUTED_VALUE"""),15.0)</f>
        <v>15</v>
      </c>
    </row>
    <row r="9370">
      <c r="A9370" s="178" t="str">
        <f>IFERROR(__xludf.DUMMYFUNCTION("""COMPUTED_VALUE"""),"ITBISA-RELAY-12V-5PIN-BLUE")</f>
        <v>ITBISA-RELAY-12V-5PIN-BLUE</v>
      </c>
      <c r="B9370" s="266">
        <f>IFERROR(__xludf.DUMMYFUNCTION("""COMPUTED_VALUE"""),45437.0)</f>
        <v>45437</v>
      </c>
      <c r="C9370" s="266" t="str">
        <f>IFERROR(__xludf.DUMMYFUNCTION("""COMPUTED_VALUE"""),"KERTASARI CIAMIS")</f>
        <v>KERTASARI CIAMIS</v>
      </c>
      <c r="D9370" s="186">
        <f>IFERROR(__xludf.DUMMYFUNCTION("""COMPUTED_VALUE"""),5.0)</f>
        <v>5</v>
      </c>
    </row>
    <row r="9371">
      <c r="A9371" s="178" t="str">
        <f>IFERROR(__xludf.DUMMYFUNCTION("""COMPUTED_VALUE"""),"ITBISA-RELAY-12V-5PIN-BLUE")</f>
        <v>ITBISA-RELAY-12V-5PIN-BLUE</v>
      </c>
      <c r="B9371" s="266">
        <f>IFERROR(__xludf.DUMMYFUNCTION("""COMPUTED_VALUE"""),45437.0)</f>
        <v>45437</v>
      </c>
      <c r="C9371" s="266" t="str">
        <f>IFERROR(__xludf.DUMMYFUNCTION("""COMPUTED_VALUE"""),"KERTASARI CIAMIS")</f>
        <v>KERTASARI CIAMIS</v>
      </c>
      <c r="D9371" s="186">
        <f>IFERROR(__xludf.DUMMYFUNCTION("""COMPUTED_VALUE"""),15.0)</f>
        <v>15</v>
      </c>
    </row>
    <row r="9372">
      <c r="A9372" s="178" t="str">
        <f>IFERROR(__xludf.DUMMYFUNCTION("""COMPUTED_VALUE"""),"ITBISA-RELAY-12V-5PIN-BLUE")</f>
        <v>ITBISA-RELAY-12V-5PIN-BLUE</v>
      </c>
      <c r="B9372" s="266">
        <f>IFERROR(__xludf.DUMMYFUNCTION("""COMPUTED_VALUE"""),45437.0)</f>
        <v>45437</v>
      </c>
      <c r="C9372" s="266" t="str">
        <f>IFERROR(__xludf.DUMMYFUNCTION("""COMPUTED_VALUE"""),"KYAI KONTONG")</f>
        <v>KYAI KONTONG</v>
      </c>
      <c r="D9372" s="186">
        <f>IFERROR(__xludf.DUMMYFUNCTION("""COMPUTED_VALUE"""),100.0)</f>
        <v>100</v>
      </c>
    </row>
    <row r="9373">
      <c r="A9373" s="178" t="str">
        <f>IFERROR(__xludf.DUMMYFUNCTION("""COMPUTED_VALUE"""),"ITBISA-RELAY-12V-5PIN-BLUE")</f>
        <v>ITBISA-RELAY-12V-5PIN-BLUE</v>
      </c>
      <c r="B9373" s="266">
        <f>IFERROR(__xludf.DUMMYFUNCTION("""COMPUTED_VALUE"""),45438.0)</f>
        <v>45438</v>
      </c>
      <c r="C9373" s="266" t="str">
        <f>IFERROR(__xludf.DUMMYFUNCTION("""COMPUTED_VALUE"""),"KYAI KONTONG")</f>
        <v>KYAI KONTONG</v>
      </c>
      <c r="D9373" s="186">
        <f>IFERROR(__xludf.DUMMYFUNCTION("""COMPUTED_VALUE"""),100.0)</f>
        <v>100</v>
      </c>
    </row>
    <row r="9374">
      <c r="A9374" s="178" t="str">
        <f>IFERROR(__xludf.DUMMYFUNCTION("""COMPUTED_VALUE"""),"ITBISA-RELAY-12V-5PIN-BLUE")</f>
        <v>ITBISA-RELAY-12V-5PIN-BLUE</v>
      </c>
      <c r="B9374" s="266">
        <f>IFERROR(__xludf.DUMMYFUNCTION("""COMPUTED_VALUE"""),45439.0)</f>
        <v>45439</v>
      </c>
      <c r="C9374" s="266" t="str">
        <f>IFERROR(__xludf.DUMMYFUNCTION("""COMPUTED_VALUE"""),"KERTASARI CIAMIS")</f>
        <v>KERTASARI CIAMIS</v>
      </c>
      <c r="D9374" s="186">
        <f>IFERROR(__xludf.DUMMYFUNCTION("""COMPUTED_VALUE"""),10.0)</f>
        <v>10</v>
      </c>
    </row>
    <row r="9375">
      <c r="A9375" s="178" t="str">
        <f>IFERROR(__xludf.DUMMYFUNCTION("""COMPUTED_VALUE"""),"ITBISA-RELAY-12V-5PIN-BLUE")</f>
        <v>ITBISA-RELAY-12V-5PIN-BLUE</v>
      </c>
      <c r="B9375" s="266">
        <f>IFERROR(__xludf.DUMMYFUNCTION("""COMPUTED_VALUE"""),45440.0)</f>
        <v>45440</v>
      </c>
      <c r="C9375" s="266" t="str">
        <f>IFERROR(__xludf.DUMMYFUNCTION("""COMPUTED_VALUE"""),"KERTASARI CIAMIS")</f>
        <v>KERTASARI CIAMIS</v>
      </c>
      <c r="D9375" s="186">
        <f>IFERROR(__xludf.DUMMYFUNCTION("""COMPUTED_VALUE"""),20.0)</f>
        <v>20</v>
      </c>
    </row>
    <row r="9376">
      <c r="A9376" s="178" t="str">
        <f>IFERROR(__xludf.DUMMYFUNCTION("""COMPUTED_VALUE"""),"ITBISA-RELAY-12V-5PIN-BLUE")</f>
        <v>ITBISA-RELAY-12V-5PIN-BLUE</v>
      </c>
      <c r="B9376" s="266">
        <f>IFERROR(__xludf.DUMMYFUNCTION("""COMPUTED_VALUE"""),45440.0)</f>
        <v>45440</v>
      </c>
      <c r="C9376" s="266" t="str">
        <f>IFERROR(__xludf.DUMMYFUNCTION("""COMPUTED_VALUE"""),"KYAI KONTONG")</f>
        <v>KYAI KONTONG</v>
      </c>
      <c r="D9376" s="186">
        <f>IFERROR(__xludf.DUMMYFUNCTION("""COMPUTED_VALUE"""),90.0)</f>
        <v>90</v>
      </c>
    </row>
    <row r="9377">
      <c r="A9377" s="178" t="str">
        <f>IFERROR(__xludf.DUMMYFUNCTION("""COMPUTED_VALUE"""),"ITBISA-RELAY-12V-5PIN-BLUE")</f>
        <v>ITBISA-RELAY-12V-5PIN-BLUE</v>
      </c>
      <c r="B9377" s="266">
        <f>IFERROR(__xludf.DUMMYFUNCTION("""COMPUTED_VALUE"""),45442.0)</f>
        <v>45442</v>
      </c>
      <c r="C9377" s="266" t="str">
        <f>IFERROR(__xludf.DUMMYFUNCTION("""COMPUTED_VALUE"""),"KYAI KONTONG")</f>
        <v>KYAI KONTONG</v>
      </c>
      <c r="D9377" s="186">
        <f>IFERROR(__xludf.DUMMYFUNCTION("""COMPUTED_VALUE"""),100.0)</f>
        <v>100</v>
      </c>
    </row>
    <row r="9378">
      <c r="A9378" s="178" t="str">
        <f>IFERROR(__xludf.DUMMYFUNCTION("""COMPUTED_VALUE"""),"ITBISA-RELAY-12V-5PIN-BLUE")</f>
        <v>ITBISA-RELAY-12V-5PIN-BLUE</v>
      </c>
      <c r="B9378" s="266">
        <f>IFERROR(__xludf.DUMMYFUNCTION("""COMPUTED_VALUE"""),45443.0)</f>
        <v>45443</v>
      </c>
      <c r="C9378" s="266" t="str">
        <f>IFERROR(__xludf.DUMMYFUNCTION("""COMPUTED_VALUE"""),"KERTASARI CIAMIS")</f>
        <v>KERTASARI CIAMIS</v>
      </c>
      <c r="D9378" s="186">
        <f>IFERROR(__xludf.DUMMYFUNCTION("""COMPUTED_VALUE"""),44.0)</f>
        <v>44</v>
      </c>
    </row>
    <row r="9379">
      <c r="A9379" s="178" t="str">
        <f>IFERROR(__xludf.DUMMYFUNCTION("""COMPUTED_VALUE"""),"ITBISA-RELAY-12V-5PIN-BLUE")</f>
        <v>ITBISA-RELAY-12V-5PIN-BLUE</v>
      </c>
      <c r="B9379" s="266">
        <f>IFERROR(__xludf.DUMMYFUNCTION("""COMPUTED_VALUE"""),45443.0)</f>
        <v>45443</v>
      </c>
      <c r="C9379" s="266" t="str">
        <f>IFERROR(__xludf.DUMMYFUNCTION("""COMPUTED_VALUE"""),"KERTASARI CIAMIS")</f>
        <v>KERTASARI CIAMIS</v>
      </c>
      <c r="D9379" s="186">
        <f>IFERROR(__xludf.DUMMYFUNCTION("""COMPUTED_VALUE"""),100.0)</f>
        <v>100</v>
      </c>
    </row>
    <row r="9380">
      <c r="A9380" s="178" t="str">
        <f>IFERROR(__xludf.DUMMYFUNCTION("""COMPUTED_VALUE"""),"ITBISA-RELAY-12V-5PIN-BLUE")</f>
        <v>ITBISA-RELAY-12V-5PIN-BLUE</v>
      </c>
      <c r="B9380" s="266">
        <f>IFERROR(__xludf.DUMMYFUNCTION("""COMPUTED_VALUE"""),45448.0)</f>
        <v>45448</v>
      </c>
      <c r="C9380" s="266" t="str">
        <f>IFERROR(__xludf.DUMMYFUNCTION("""COMPUTED_VALUE"""),"KYAI KONTONG")</f>
        <v>KYAI KONTONG</v>
      </c>
      <c r="D9380" s="186">
        <f>IFERROR(__xludf.DUMMYFUNCTION("""COMPUTED_VALUE"""),10.0)</f>
        <v>10</v>
      </c>
    </row>
    <row r="9381">
      <c r="A9381" s="178" t="str">
        <f>IFERROR(__xludf.DUMMYFUNCTION("""COMPUTED_VALUE"""),"ITBISA-RELAY-12V-5PIN-BLUE")</f>
        <v>ITBISA-RELAY-12V-5PIN-BLUE</v>
      </c>
      <c r="B9381" s="266">
        <f>IFERROR(__xludf.DUMMYFUNCTION("""COMPUTED_VALUE"""),45448.0)</f>
        <v>45448</v>
      </c>
      <c r="C9381" s="266" t="str">
        <f>IFERROR(__xludf.DUMMYFUNCTION("""COMPUTED_VALUE"""),"KYAI KONTONG")</f>
        <v>KYAI KONTONG</v>
      </c>
      <c r="D9381" s="186">
        <f>IFERROR(__xludf.DUMMYFUNCTION("""COMPUTED_VALUE"""),10.0)</f>
        <v>10</v>
      </c>
    </row>
    <row r="9382">
      <c r="A9382" s="178" t="str">
        <f>IFERROR(__xludf.DUMMYFUNCTION("""COMPUTED_VALUE"""),"ITBISA-RELAY-12V-5PIN-BLUE")</f>
        <v>ITBISA-RELAY-12V-5PIN-BLUE</v>
      </c>
      <c r="B9382" s="266">
        <f>IFERROR(__xludf.DUMMYFUNCTION("""COMPUTED_VALUE"""),45448.0)</f>
        <v>45448</v>
      </c>
      <c r="C9382" s="266" t="str">
        <f>IFERROR(__xludf.DUMMYFUNCTION("""COMPUTED_VALUE"""),"KYAI KONTONG")</f>
        <v>KYAI KONTONG</v>
      </c>
      <c r="D9382" s="186">
        <f>IFERROR(__xludf.DUMMYFUNCTION("""COMPUTED_VALUE"""),20.0)</f>
        <v>20</v>
      </c>
    </row>
    <row r="9383">
      <c r="A9383" s="178" t="str">
        <f>IFERROR(__xludf.DUMMYFUNCTION("""COMPUTED_VALUE"""),"ITBISA-RELAY-12V-5PIN-BLUE")</f>
        <v>ITBISA-RELAY-12V-5PIN-BLUE</v>
      </c>
      <c r="B9383" s="266">
        <f>IFERROR(__xludf.DUMMYFUNCTION("""COMPUTED_VALUE"""),45448.0)</f>
        <v>45448</v>
      </c>
      <c r="C9383" s="266" t="str">
        <f>IFERROR(__xludf.DUMMYFUNCTION("""COMPUTED_VALUE"""),"KYAI KONTONG")</f>
        <v>KYAI KONTONG</v>
      </c>
      <c r="D9383" s="186">
        <f>IFERROR(__xludf.DUMMYFUNCTION("""COMPUTED_VALUE"""),20.0)</f>
        <v>20</v>
      </c>
    </row>
    <row r="9384">
      <c r="A9384" s="178" t="str">
        <f>IFERROR(__xludf.DUMMYFUNCTION("""COMPUTED_VALUE"""),"ITBISA-RELAY-12V-5PIN-BLUE")</f>
        <v>ITBISA-RELAY-12V-5PIN-BLUE</v>
      </c>
      <c r="B9384" s="266">
        <f>IFERROR(__xludf.DUMMYFUNCTION("""COMPUTED_VALUE"""),45449.0)</f>
        <v>45449</v>
      </c>
      <c r="C9384" s="266" t="str">
        <f>IFERROR(__xludf.DUMMYFUNCTION("""COMPUTED_VALUE"""),"KERTASARI CIAMIS")</f>
        <v>KERTASARI CIAMIS</v>
      </c>
      <c r="D9384" s="186">
        <f>IFERROR(__xludf.DUMMYFUNCTION("""COMPUTED_VALUE"""),5.0)</f>
        <v>5</v>
      </c>
    </row>
    <row r="9385">
      <c r="A9385" s="178" t="str">
        <f>IFERROR(__xludf.DUMMYFUNCTION("""COMPUTED_VALUE"""),"ITBISA-RELAY-12V-5PIN-BLUE")</f>
        <v>ITBISA-RELAY-12V-5PIN-BLUE</v>
      </c>
      <c r="B9385" s="266">
        <f>IFERROR(__xludf.DUMMYFUNCTION("""COMPUTED_VALUE"""),45449.0)</f>
        <v>45449</v>
      </c>
      <c r="C9385" s="266" t="str">
        <f>IFERROR(__xludf.DUMMYFUNCTION("""COMPUTED_VALUE"""),"KYAI KONTONG")</f>
        <v>KYAI KONTONG</v>
      </c>
      <c r="D9385" s="186">
        <f>IFERROR(__xludf.DUMMYFUNCTION("""COMPUTED_VALUE"""),5.0)</f>
        <v>5</v>
      </c>
    </row>
    <row r="9386">
      <c r="A9386" s="178" t="str">
        <f>IFERROR(__xludf.DUMMYFUNCTION("""COMPUTED_VALUE"""),"ITBISA-RELAY-12V-5PIN-BLUE")</f>
        <v>ITBISA-RELAY-12V-5PIN-BLUE</v>
      </c>
      <c r="B9386" s="266">
        <f>IFERROR(__xludf.DUMMYFUNCTION("""COMPUTED_VALUE"""),45449.0)</f>
        <v>45449</v>
      </c>
      <c r="C9386" s="266" t="str">
        <f>IFERROR(__xludf.DUMMYFUNCTION("""COMPUTED_VALUE"""),"KYAI KONTONG")</f>
        <v>KYAI KONTONG</v>
      </c>
      <c r="D9386" s="186">
        <f>IFERROR(__xludf.DUMMYFUNCTION("""COMPUTED_VALUE"""),5.0)</f>
        <v>5</v>
      </c>
    </row>
    <row r="9387">
      <c r="A9387" s="178" t="str">
        <f>IFERROR(__xludf.DUMMYFUNCTION("""COMPUTED_VALUE"""),"ITBISA-RELAY-12V-5PIN-BLUE")</f>
        <v>ITBISA-RELAY-12V-5PIN-BLUE</v>
      </c>
      <c r="B9387" s="266">
        <f>IFERROR(__xludf.DUMMYFUNCTION("""COMPUTED_VALUE"""),45450.0)</f>
        <v>45450</v>
      </c>
      <c r="C9387" s="266" t="str">
        <f>IFERROR(__xludf.DUMMYFUNCTION("""COMPUTED_VALUE"""),"KERTASARI CIAMIS")</f>
        <v>KERTASARI CIAMIS</v>
      </c>
      <c r="D9387" s="186">
        <f>IFERROR(__xludf.DUMMYFUNCTION("""COMPUTED_VALUE"""),25.0)</f>
        <v>25</v>
      </c>
    </row>
    <row r="9388">
      <c r="A9388" s="178" t="str">
        <f>IFERROR(__xludf.DUMMYFUNCTION("""COMPUTED_VALUE"""),"ITBISA-RELAY-12V-5PIN-BLUE")</f>
        <v>ITBISA-RELAY-12V-5PIN-BLUE</v>
      </c>
      <c r="B9388" s="266">
        <f>IFERROR(__xludf.DUMMYFUNCTION("""COMPUTED_VALUE"""),45450.0)</f>
        <v>45450</v>
      </c>
      <c r="C9388" s="266" t="str">
        <f>IFERROR(__xludf.DUMMYFUNCTION("""COMPUTED_VALUE"""),"KYAI KONTONG")</f>
        <v>KYAI KONTONG</v>
      </c>
      <c r="D9388" s="186">
        <f>IFERROR(__xludf.DUMMYFUNCTION("""COMPUTED_VALUE"""),25.0)</f>
        <v>25</v>
      </c>
    </row>
    <row r="9389">
      <c r="A9389" s="178" t="str">
        <f>IFERROR(__xludf.DUMMYFUNCTION("""COMPUTED_VALUE"""),"ITBISA-RELAY-12V-5PIN-BLUE")</f>
        <v>ITBISA-RELAY-12V-5PIN-BLUE</v>
      </c>
      <c r="B9389" s="266">
        <f>IFERROR(__xludf.DUMMYFUNCTION("""COMPUTED_VALUE"""),45450.0)</f>
        <v>45450</v>
      </c>
      <c r="C9389" s="266" t="str">
        <f>IFERROR(__xludf.DUMMYFUNCTION("""COMPUTED_VALUE"""),"KYAI KONTONG")</f>
        <v>KYAI KONTONG</v>
      </c>
      <c r="D9389" s="186">
        <f>IFERROR(__xludf.DUMMYFUNCTION("""COMPUTED_VALUE"""),300.0)</f>
        <v>300</v>
      </c>
    </row>
    <row r="9390">
      <c r="A9390" s="178" t="str">
        <f>IFERROR(__xludf.DUMMYFUNCTION("""COMPUTED_VALUE"""),"ITBISA-RELAY-12V-5PIN-BLUE")</f>
        <v>ITBISA-RELAY-12V-5PIN-BLUE</v>
      </c>
      <c r="B9390" s="266">
        <f>IFERROR(__xludf.DUMMYFUNCTION("""COMPUTED_VALUE"""),45451.0)</f>
        <v>45451</v>
      </c>
      <c r="C9390" s="266" t="str">
        <f>IFERROR(__xludf.DUMMYFUNCTION("""COMPUTED_VALUE"""),"KERTASARI CIAMIS")</f>
        <v>KERTASARI CIAMIS</v>
      </c>
      <c r="D9390" s="186">
        <f>IFERROR(__xludf.DUMMYFUNCTION("""COMPUTED_VALUE"""),100.0)</f>
        <v>100</v>
      </c>
    </row>
    <row r="9391">
      <c r="A9391" s="178" t="str">
        <f>IFERROR(__xludf.DUMMYFUNCTION("""COMPUTED_VALUE"""),"ITBISA-RELAY-12V-5PIN-BLUE")</f>
        <v>ITBISA-RELAY-12V-5PIN-BLUE</v>
      </c>
      <c r="B9391" s="266">
        <f>IFERROR(__xludf.DUMMYFUNCTION("""COMPUTED_VALUE"""),45452.0)</f>
        <v>45452</v>
      </c>
      <c r="C9391" s="266" t="str">
        <f>IFERROR(__xludf.DUMMYFUNCTION("""COMPUTED_VALUE"""),"KERTASARI CIAMIS")</f>
        <v>KERTASARI CIAMIS</v>
      </c>
      <c r="D9391" s="186">
        <f>IFERROR(__xludf.DUMMYFUNCTION("""COMPUTED_VALUE"""),50.0)</f>
        <v>50</v>
      </c>
    </row>
    <row r="9392">
      <c r="A9392" s="178" t="str">
        <f>IFERROR(__xludf.DUMMYFUNCTION("""COMPUTED_VALUE"""),"ITBISA-RELAY-12V-5PIN-BLUE")</f>
        <v>ITBISA-RELAY-12V-5PIN-BLUE</v>
      </c>
      <c r="B9392" s="266">
        <f>IFERROR(__xludf.DUMMYFUNCTION("""COMPUTED_VALUE"""),45453.0)</f>
        <v>45453</v>
      </c>
      <c r="C9392" s="266" t="str">
        <f>IFERROR(__xludf.DUMMYFUNCTION("""COMPUTED_VALUE"""),"KERTASARI CIAMIS")</f>
        <v>KERTASARI CIAMIS</v>
      </c>
      <c r="D9392" s="186">
        <f>IFERROR(__xludf.DUMMYFUNCTION("""COMPUTED_VALUE"""),10.0)</f>
        <v>10</v>
      </c>
    </row>
    <row r="9393">
      <c r="A9393" s="178" t="str">
        <f>IFERROR(__xludf.DUMMYFUNCTION("""COMPUTED_VALUE"""),"ITBISA-RELAY-12V-5PIN-BLUE")</f>
        <v>ITBISA-RELAY-12V-5PIN-BLUE</v>
      </c>
      <c r="B9393" s="266">
        <f>IFERROR(__xludf.DUMMYFUNCTION("""COMPUTED_VALUE"""),45453.0)</f>
        <v>45453</v>
      </c>
      <c r="C9393" s="266" t="str">
        <f>IFERROR(__xludf.DUMMYFUNCTION("""COMPUTED_VALUE"""),"KERTASARI CIAMIS")</f>
        <v>KERTASARI CIAMIS</v>
      </c>
      <c r="D9393" s="186">
        <f>IFERROR(__xludf.DUMMYFUNCTION("""COMPUTED_VALUE"""),15.0)</f>
        <v>15</v>
      </c>
    </row>
    <row r="9394">
      <c r="A9394" s="178" t="str">
        <f>IFERROR(__xludf.DUMMYFUNCTION("""COMPUTED_VALUE"""),"ITBISA-RELAY-12V-5PIN-BLUE")</f>
        <v>ITBISA-RELAY-12V-5PIN-BLUE</v>
      </c>
      <c r="B9394" s="266">
        <f>IFERROR(__xludf.DUMMYFUNCTION("""COMPUTED_VALUE"""),45453.0)</f>
        <v>45453</v>
      </c>
      <c r="C9394" s="266" t="str">
        <f>IFERROR(__xludf.DUMMYFUNCTION("""COMPUTED_VALUE"""),"KERTASARI CIAMIS")</f>
        <v>KERTASARI CIAMIS</v>
      </c>
      <c r="D9394" s="186">
        <f>IFERROR(__xludf.DUMMYFUNCTION("""COMPUTED_VALUE"""),15.0)</f>
        <v>15</v>
      </c>
    </row>
    <row r="9395">
      <c r="A9395" s="178" t="str">
        <f>IFERROR(__xludf.DUMMYFUNCTION("""COMPUTED_VALUE"""),"ITBISA-RELAY-12V-5PIN-BLUE")</f>
        <v>ITBISA-RELAY-12V-5PIN-BLUE</v>
      </c>
      <c r="B9395" s="266">
        <f>IFERROR(__xludf.DUMMYFUNCTION("""COMPUTED_VALUE"""),45453.0)</f>
        <v>45453</v>
      </c>
      <c r="C9395" s="266" t="str">
        <f>IFERROR(__xludf.DUMMYFUNCTION("""COMPUTED_VALUE"""),"KYAI KONTONG")</f>
        <v>KYAI KONTONG</v>
      </c>
      <c r="D9395" s="186">
        <f>IFERROR(__xludf.DUMMYFUNCTION("""COMPUTED_VALUE"""),50.0)</f>
        <v>50</v>
      </c>
    </row>
    <row r="9396">
      <c r="A9396" s="178" t="str">
        <f>IFERROR(__xludf.DUMMYFUNCTION("""COMPUTED_VALUE"""),"ITBISA-RELAY-12V-5PIN-BLUE")</f>
        <v>ITBISA-RELAY-12V-5PIN-BLUE</v>
      </c>
      <c r="B9396" s="266">
        <f>IFERROR(__xludf.DUMMYFUNCTION("""COMPUTED_VALUE"""),45454.0)</f>
        <v>45454</v>
      </c>
      <c r="C9396" s="266" t="str">
        <f>IFERROR(__xludf.DUMMYFUNCTION("""COMPUTED_VALUE"""),"KYAI KONTONG")</f>
        <v>KYAI KONTONG</v>
      </c>
      <c r="D9396" s="186">
        <f>IFERROR(__xludf.DUMMYFUNCTION("""COMPUTED_VALUE"""),10.0)</f>
        <v>10</v>
      </c>
    </row>
    <row r="9397">
      <c r="A9397" s="178" t="str">
        <f>IFERROR(__xludf.DUMMYFUNCTION("""COMPUTED_VALUE"""),"ITBISA-RELAY-12V-5PIN-BLUE")</f>
        <v>ITBISA-RELAY-12V-5PIN-BLUE</v>
      </c>
      <c r="B9397" s="266">
        <f>IFERROR(__xludf.DUMMYFUNCTION("""COMPUTED_VALUE"""),45454.0)</f>
        <v>45454</v>
      </c>
      <c r="C9397" s="266" t="str">
        <f>IFERROR(__xludf.DUMMYFUNCTION("""COMPUTED_VALUE"""),"KYAI KONTONG")</f>
        <v>KYAI KONTONG</v>
      </c>
      <c r="D9397" s="186">
        <f>IFERROR(__xludf.DUMMYFUNCTION("""COMPUTED_VALUE"""),30.0)</f>
        <v>30</v>
      </c>
    </row>
    <row r="9398">
      <c r="A9398" s="178" t="str">
        <f>IFERROR(__xludf.DUMMYFUNCTION("""COMPUTED_VALUE"""),"ITBISA-RELAY-12V-5PIN-BLUE")</f>
        <v>ITBISA-RELAY-12V-5PIN-BLUE</v>
      </c>
      <c r="B9398" s="266">
        <f>IFERROR(__xludf.DUMMYFUNCTION("""COMPUTED_VALUE"""),45454.0)</f>
        <v>45454</v>
      </c>
      <c r="C9398" s="266" t="str">
        <f>IFERROR(__xludf.DUMMYFUNCTION("""COMPUTED_VALUE"""),"KYAI KONTONG")</f>
        <v>KYAI KONTONG</v>
      </c>
      <c r="D9398" s="186">
        <f>IFERROR(__xludf.DUMMYFUNCTION("""COMPUTED_VALUE"""),50.0)</f>
        <v>50</v>
      </c>
    </row>
    <row r="9399">
      <c r="A9399" s="178" t="str">
        <f>IFERROR(__xludf.DUMMYFUNCTION("""COMPUTED_VALUE"""),"ITBISA-RELAY-12V-5PIN-BLUE")</f>
        <v>ITBISA-RELAY-12V-5PIN-BLUE</v>
      </c>
      <c r="B9399" s="266">
        <f>IFERROR(__xludf.DUMMYFUNCTION("""COMPUTED_VALUE"""),45454.0)</f>
        <v>45454</v>
      </c>
      <c r="C9399" s="266" t="str">
        <f>IFERROR(__xludf.DUMMYFUNCTION("""COMPUTED_VALUE"""),"KYAI KONTONG")</f>
        <v>KYAI KONTONG</v>
      </c>
      <c r="D9399" s="186">
        <f>IFERROR(__xludf.DUMMYFUNCTION("""COMPUTED_VALUE"""),100.0)</f>
        <v>100</v>
      </c>
    </row>
    <row r="9400">
      <c r="A9400" s="178" t="str">
        <f>IFERROR(__xludf.DUMMYFUNCTION("""COMPUTED_VALUE"""),"ITBISA-RELAY-12V-5PIN-BLUE")</f>
        <v>ITBISA-RELAY-12V-5PIN-BLUE</v>
      </c>
      <c r="B9400" s="266">
        <f>IFERROR(__xludf.DUMMYFUNCTION("""COMPUTED_VALUE"""),45455.0)</f>
        <v>45455</v>
      </c>
      <c r="C9400" s="266" t="str">
        <f>IFERROR(__xludf.DUMMYFUNCTION("""COMPUTED_VALUE"""),"KYAI KONTONG")</f>
        <v>KYAI KONTONG</v>
      </c>
      <c r="D9400" s="186">
        <f>IFERROR(__xludf.DUMMYFUNCTION("""COMPUTED_VALUE"""),20.0)</f>
        <v>20</v>
      </c>
    </row>
    <row r="9401">
      <c r="A9401" s="178" t="str">
        <f>IFERROR(__xludf.DUMMYFUNCTION("""COMPUTED_VALUE"""),"ITBISA-RELAY-12V-5PIN-BLUE")</f>
        <v>ITBISA-RELAY-12V-5PIN-BLUE</v>
      </c>
      <c r="B9401" s="266">
        <f>IFERROR(__xludf.DUMMYFUNCTION("""COMPUTED_VALUE"""),45455.0)</f>
        <v>45455</v>
      </c>
      <c r="C9401" s="266" t="str">
        <f>IFERROR(__xludf.DUMMYFUNCTION("""COMPUTED_VALUE"""),"KYAI KONTONG")</f>
        <v>KYAI KONTONG</v>
      </c>
      <c r="D9401" s="186">
        <f>IFERROR(__xludf.DUMMYFUNCTION("""COMPUTED_VALUE"""),50.0)</f>
        <v>50</v>
      </c>
    </row>
    <row r="9402">
      <c r="A9402" s="178" t="str">
        <f>IFERROR(__xludf.DUMMYFUNCTION("""COMPUTED_VALUE"""),"ITBISA-RELAY-12V-5PIN-BLUE")</f>
        <v>ITBISA-RELAY-12V-5PIN-BLUE</v>
      </c>
      <c r="B9402" s="266">
        <f>IFERROR(__xludf.DUMMYFUNCTION("""COMPUTED_VALUE"""),45457.0)</f>
        <v>45457</v>
      </c>
      <c r="C9402" s="266" t="str">
        <f>IFERROR(__xludf.DUMMYFUNCTION("""COMPUTED_VALUE"""),"KYAI KONTONG")</f>
        <v>KYAI KONTONG</v>
      </c>
      <c r="D9402" s="186">
        <f>IFERROR(__xludf.DUMMYFUNCTION("""COMPUTED_VALUE"""),10.0)</f>
        <v>10</v>
      </c>
    </row>
    <row r="9403">
      <c r="A9403" s="178" t="str">
        <f>IFERROR(__xludf.DUMMYFUNCTION("""COMPUTED_VALUE"""),"ITBISA-RELAY-12V-5PIN-BLUE")</f>
        <v>ITBISA-RELAY-12V-5PIN-BLUE</v>
      </c>
      <c r="B9403" s="266">
        <f>IFERROR(__xludf.DUMMYFUNCTION("""COMPUTED_VALUE"""),45457.0)</f>
        <v>45457</v>
      </c>
      <c r="C9403" s="266" t="str">
        <f>IFERROR(__xludf.DUMMYFUNCTION("""COMPUTED_VALUE"""),"KYAI KONTONG")</f>
        <v>KYAI KONTONG</v>
      </c>
      <c r="D9403" s="186">
        <f>IFERROR(__xludf.DUMMYFUNCTION("""COMPUTED_VALUE"""),14.0)</f>
        <v>14</v>
      </c>
    </row>
    <row r="9404">
      <c r="A9404" s="178" t="str">
        <f>IFERROR(__xludf.DUMMYFUNCTION("""COMPUTED_VALUE"""),"ITBISA-RELAY-12V-5PIN-BLUE")</f>
        <v>ITBISA-RELAY-12V-5PIN-BLUE</v>
      </c>
      <c r="B9404" s="266">
        <f>IFERROR(__xludf.DUMMYFUNCTION("""COMPUTED_VALUE"""),45458.0)</f>
        <v>45458</v>
      </c>
      <c r="C9404" s="266" t="str">
        <f>IFERROR(__xludf.DUMMYFUNCTION("""COMPUTED_VALUE"""),"KYAI KONTONG")</f>
        <v>KYAI KONTONG</v>
      </c>
      <c r="D9404" s="186">
        <f>IFERROR(__xludf.DUMMYFUNCTION("""COMPUTED_VALUE"""),30.0)</f>
        <v>30</v>
      </c>
    </row>
    <row r="9405">
      <c r="A9405" s="178" t="str">
        <f>IFERROR(__xludf.DUMMYFUNCTION("""COMPUTED_VALUE"""),"ITBISA-RELAY-12V-5PIN-BLUE")</f>
        <v>ITBISA-RELAY-12V-5PIN-BLUE</v>
      </c>
      <c r="B9405" s="266">
        <f>IFERROR(__xludf.DUMMYFUNCTION("""COMPUTED_VALUE"""),45458.0)</f>
        <v>45458</v>
      </c>
      <c r="C9405" s="266" t="str">
        <f>IFERROR(__xludf.DUMMYFUNCTION("""COMPUTED_VALUE"""),"KYAI KONTONG")</f>
        <v>KYAI KONTONG</v>
      </c>
      <c r="D9405" s="186">
        <f>IFERROR(__xludf.DUMMYFUNCTION("""COMPUTED_VALUE"""),105.0)</f>
        <v>105</v>
      </c>
    </row>
    <row r="9406">
      <c r="A9406" s="178" t="str">
        <f>IFERROR(__xludf.DUMMYFUNCTION("""COMPUTED_VALUE"""),"ITBISA-RELAY-12V-5PIN-BLUE")</f>
        <v>ITBISA-RELAY-12V-5PIN-BLUE</v>
      </c>
      <c r="B9406" s="266">
        <f>IFERROR(__xludf.DUMMYFUNCTION("""COMPUTED_VALUE"""),45461.0)</f>
        <v>45461</v>
      </c>
      <c r="C9406" s="266" t="str">
        <f>IFERROR(__xludf.DUMMYFUNCTION("""COMPUTED_VALUE"""),"KERTASARI CIAMIS")</f>
        <v>KERTASARI CIAMIS</v>
      </c>
      <c r="D9406" s="186">
        <f>IFERROR(__xludf.DUMMYFUNCTION("""COMPUTED_VALUE"""),100.0)</f>
        <v>100</v>
      </c>
    </row>
    <row r="9407">
      <c r="A9407" s="178" t="str">
        <f>IFERROR(__xludf.DUMMYFUNCTION("""COMPUTED_VALUE"""),"ITBISA-RELAY-12V-5PIN-BLUE")</f>
        <v>ITBISA-RELAY-12V-5PIN-BLUE</v>
      </c>
      <c r="B9407" s="266">
        <f>IFERROR(__xludf.DUMMYFUNCTION("""COMPUTED_VALUE"""),45461.0)</f>
        <v>45461</v>
      </c>
      <c r="C9407" s="266" t="str">
        <f>IFERROR(__xludf.DUMMYFUNCTION("""COMPUTED_VALUE"""),"KYAI KONTONG")</f>
        <v>KYAI KONTONG</v>
      </c>
      <c r="D9407" s="186">
        <f>IFERROR(__xludf.DUMMYFUNCTION("""COMPUTED_VALUE"""),100.0)</f>
        <v>100</v>
      </c>
    </row>
    <row r="9408">
      <c r="A9408" s="178" t="str">
        <f>IFERROR(__xludf.DUMMYFUNCTION("""COMPUTED_VALUE"""),"ITBISA-RELAY-12V-5PIN-BLUE")</f>
        <v>ITBISA-RELAY-12V-5PIN-BLUE</v>
      </c>
      <c r="B9408" s="266">
        <f>IFERROR(__xludf.DUMMYFUNCTION("""COMPUTED_VALUE"""),45462.0)</f>
        <v>45462</v>
      </c>
      <c r="C9408" s="266" t="str">
        <f>IFERROR(__xludf.DUMMYFUNCTION("""COMPUTED_VALUE"""),"KERTASARI CIAMIS")</f>
        <v>KERTASARI CIAMIS</v>
      </c>
      <c r="D9408" s="186">
        <f>IFERROR(__xludf.DUMMYFUNCTION("""COMPUTED_VALUE"""),20.0)</f>
        <v>20</v>
      </c>
    </row>
    <row r="9409">
      <c r="A9409" s="178" t="str">
        <f>IFERROR(__xludf.DUMMYFUNCTION("""COMPUTED_VALUE"""),"ITBISA-RELAY-12V-5PIN-BLUE")</f>
        <v>ITBISA-RELAY-12V-5PIN-BLUE</v>
      </c>
      <c r="B9409" s="266">
        <f>IFERROR(__xludf.DUMMYFUNCTION("""COMPUTED_VALUE"""),45462.0)</f>
        <v>45462</v>
      </c>
      <c r="C9409" s="266" t="str">
        <f>IFERROR(__xludf.DUMMYFUNCTION("""COMPUTED_VALUE"""),"KERTASARI CIAMIS")</f>
        <v>KERTASARI CIAMIS</v>
      </c>
      <c r="D9409" s="186">
        <f>IFERROR(__xludf.DUMMYFUNCTION("""COMPUTED_VALUE"""),94.0)</f>
        <v>94</v>
      </c>
    </row>
    <row r="9410">
      <c r="A9410" s="178" t="str">
        <f>IFERROR(__xludf.DUMMYFUNCTION("""COMPUTED_VALUE"""),"ITBISA-RELAY-12V-5PIN-BLUE")</f>
        <v>ITBISA-RELAY-12V-5PIN-BLUE</v>
      </c>
      <c r="B9410" s="266">
        <f>IFERROR(__xludf.DUMMYFUNCTION("""COMPUTED_VALUE"""),45463.0)</f>
        <v>45463</v>
      </c>
      <c r="C9410" s="266" t="str">
        <f>IFERROR(__xludf.DUMMYFUNCTION("""COMPUTED_VALUE"""),"KERTASARI CIAMIS")</f>
        <v>KERTASARI CIAMIS</v>
      </c>
      <c r="D9410" s="186">
        <f>IFERROR(__xludf.DUMMYFUNCTION("""COMPUTED_VALUE"""),14.0)</f>
        <v>14</v>
      </c>
    </row>
    <row r="9411">
      <c r="A9411" s="178" t="str">
        <f>IFERROR(__xludf.DUMMYFUNCTION("""COMPUTED_VALUE"""),"ITBISA-RELAY-12V-5PIN-BLUE")</f>
        <v>ITBISA-RELAY-12V-5PIN-BLUE</v>
      </c>
      <c r="B9411" s="266">
        <f>IFERROR(__xludf.DUMMYFUNCTION("""COMPUTED_VALUE"""),45463.0)</f>
        <v>45463</v>
      </c>
      <c r="C9411" s="266" t="str">
        <f>IFERROR(__xludf.DUMMYFUNCTION("""COMPUTED_VALUE"""),"KYAI KONTONG")</f>
        <v>KYAI KONTONG</v>
      </c>
      <c r="D9411" s="186">
        <f>IFERROR(__xludf.DUMMYFUNCTION("""COMPUTED_VALUE"""),50.0)</f>
        <v>50</v>
      </c>
    </row>
    <row r="9412">
      <c r="A9412" s="178" t="str">
        <f>IFERROR(__xludf.DUMMYFUNCTION("""COMPUTED_VALUE"""),"ITBISA-RELAY-12V-5PIN-BLUE")</f>
        <v>ITBISA-RELAY-12V-5PIN-BLUE</v>
      </c>
      <c r="B9412" s="266">
        <f>IFERROR(__xludf.DUMMYFUNCTION("""COMPUTED_VALUE"""),45464.0)</f>
        <v>45464</v>
      </c>
      <c r="C9412" s="266" t="str">
        <f>IFERROR(__xludf.DUMMYFUNCTION("""COMPUTED_VALUE"""),"KYAI KONTONG")</f>
        <v>KYAI KONTONG</v>
      </c>
      <c r="D9412" s="186">
        <f>IFERROR(__xludf.DUMMYFUNCTION("""COMPUTED_VALUE"""),10.0)</f>
        <v>10</v>
      </c>
    </row>
    <row r="9413">
      <c r="A9413" s="178" t="str">
        <f>IFERROR(__xludf.DUMMYFUNCTION("""COMPUTED_VALUE"""),"ITBISA-RELAY-12V-5PIN-BLUE")</f>
        <v>ITBISA-RELAY-12V-5PIN-BLUE</v>
      </c>
      <c r="B9413" s="266">
        <f>IFERROR(__xludf.DUMMYFUNCTION("""COMPUTED_VALUE"""),45465.0)</f>
        <v>45465</v>
      </c>
      <c r="C9413" s="266" t="str">
        <f>IFERROR(__xludf.DUMMYFUNCTION("""COMPUTED_VALUE"""),"KERTASARI CIAMIS")</f>
        <v>KERTASARI CIAMIS</v>
      </c>
      <c r="D9413" s="186">
        <f>IFERROR(__xludf.DUMMYFUNCTION("""COMPUTED_VALUE"""),10.0)</f>
        <v>10</v>
      </c>
    </row>
    <row r="9414">
      <c r="A9414" s="178" t="str">
        <f>IFERROR(__xludf.DUMMYFUNCTION("""COMPUTED_VALUE"""),"ITBISA-RELAY-12V-5PIN-BLUE")</f>
        <v>ITBISA-RELAY-12V-5PIN-BLUE</v>
      </c>
      <c r="B9414" s="266">
        <f>IFERROR(__xludf.DUMMYFUNCTION("""COMPUTED_VALUE"""),45465.0)</f>
        <v>45465</v>
      </c>
      <c r="C9414" s="266" t="str">
        <f>IFERROR(__xludf.DUMMYFUNCTION("""COMPUTED_VALUE"""),"KERTASARI CIAMIS")</f>
        <v>KERTASARI CIAMIS</v>
      </c>
      <c r="D9414" s="186">
        <f>IFERROR(__xludf.DUMMYFUNCTION("""COMPUTED_VALUE"""),16.0)</f>
        <v>16</v>
      </c>
    </row>
    <row r="9415">
      <c r="A9415" s="178" t="str">
        <f>IFERROR(__xludf.DUMMYFUNCTION("""COMPUTED_VALUE"""),"ITBISA-RELAY-12V-5PIN-BLUE")</f>
        <v>ITBISA-RELAY-12V-5PIN-BLUE</v>
      </c>
      <c r="B9415" s="266">
        <f>IFERROR(__xludf.DUMMYFUNCTION("""COMPUTED_VALUE"""),45465.0)</f>
        <v>45465</v>
      </c>
      <c r="C9415" s="266" t="str">
        <f>IFERROR(__xludf.DUMMYFUNCTION("""COMPUTED_VALUE"""),"KYAI KONTONG")</f>
        <v>KYAI KONTONG</v>
      </c>
      <c r="D9415" s="186">
        <f>IFERROR(__xludf.DUMMYFUNCTION("""COMPUTED_VALUE"""),40.0)</f>
        <v>40</v>
      </c>
    </row>
    <row r="9416">
      <c r="A9416" s="178" t="str">
        <f>IFERROR(__xludf.DUMMYFUNCTION("""COMPUTED_VALUE"""),"ITBISA-RELAY-12V-5PIN-BLUE")</f>
        <v>ITBISA-RELAY-12V-5PIN-BLUE</v>
      </c>
      <c r="B9416" s="266">
        <f>IFERROR(__xludf.DUMMYFUNCTION("""COMPUTED_VALUE"""),45467.0)</f>
        <v>45467</v>
      </c>
      <c r="C9416" s="266" t="str">
        <f>IFERROR(__xludf.DUMMYFUNCTION("""COMPUTED_VALUE"""),"KERTASARI CIAMIS")</f>
        <v>KERTASARI CIAMIS</v>
      </c>
      <c r="D9416" s="186">
        <f>IFERROR(__xludf.DUMMYFUNCTION("""COMPUTED_VALUE"""),20.0)</f>
        <v>20</v>
      </c>
    </row>
    <row r="9417">
      <c r="A9417" s="178" t="str">
        <f>IFERROR(__xludf.DUMMYFUNCTION("""COMPUTED_VALUE"""),"ITBISA-RELAY-12V-5PIN-BLUE")</f>
        <v>ITBISA-RELAY-12V-5PIN-BLUE</v>
      </c>
      <c r="B9417" s="266">
        <f>IFERROR(__xludf.DUMMYFUNCTION("""COMPUTED_VALUE"""),45467.0)</f>
        <v>45467</v>
      </c>
      <c r="C9417" s="266" t="str">
        <f>IFERROR(__xludf.DUMMYFUNCTION("""COMPUTED_VALUE"""),"KYAI KONTONG")</f>
        <v>KYAI KONTONG</v>
      </c>
      <c r="D9417" s="186">
        <f>IFERROR(__xludf.DUMMYFUNCTION("""COMPUTED_VALUE"""),10.0)</f>
        <v>10</v>
      </c>
    </row>
    <row r="9418">
      <c r="A9418" s="178" t="str">
        <f>IFERROR(__xludf.DUMMYFUNCTION("""COMPUTED_VALUE"""),"ITBISA-RELAY-12V-5PIN-BLUE")</f>
        <v>ITBISA-RELAY-12V-5PIN-BLUE</v>
      </c>
      <c r="B9418" s="266">
        <f>IFERROR(__xludf.DUMMYFUNCTION("""COMPUTED_VALUE"""),45467.0)</f>
        <v>45467</v>
      </c>
      <c r="C9418" s="266" t="str">
        <f>IFERROR(__xludf.DUMMYFUNCTION("""COMPUTED_VALUE"""),"KYAI KONTONG")</f>
        <v>KYAI KONTONG</v>
      </c>
      <c r="D9418" s="186">
        <f>IFERROR(__xludf.DUMMYFUNCTION("""COMPUTED_VALUE"""),30.0)</f>
        <v>30</v>
      </c>
    </row>
    <row r="9419">
      <c r="A9419" s="178" t="str">
        <f>IFERROR(__xludf.DUMMYFUNCTION("""COMPUTED_VALUE"""),"ITBISA-RELAY-12V-5PIN-BLUE")</f>
        <v>ITBISA-RELAY-12V-5PIN-BLUE</v>
      </c>
      <c r="B9419" s="266">
        <f>IFERROR(__xludf.DUMMYFUNCTION("""COMPUTED_VALUE"""),45467.0)</f>
        <v>45467</v>
      </c>
      <c r="C9419" s="266" t="str">
        <f>IFERROR(__xludf.DUMMYFUNCTION("""COMPUTED_VALUE"""),"KYAI KONTONG")</f>
        <v>KYAI KONTONG</v>
      </c>
      <c r="D9419" s="186">
        <f>IFERROR(__xludf.DUMMYFUNCTION("""COMPUTED_VALUE"""),30.0)</f>
        <v>30</v>
      </c>
    </row>
    <row r="9420">
      <c r="A9420" s="178" t="str">
        <f>IFERROR(__xludf.DUMMYFUNCTION("""COMPUTED_VALUE"""),"ITBISA-RELAY-12V-5PIN-BLUE")</f>
        <v>ITBISA-RELAY-12V-5PIN-BLUE</v>
      </c>
      <c r="B9420" s="266">
        <f>IFERROR(__xludf.DUMMYFUNCTION("""COMPUTED_VALUE"""),45467.0)</f>
        <v>45467</v>
      </c>
      <c r="C9420" s="266" t="str">
        <f>IFERROR(__xludf.DUMMYFUNCTION("""COMPUTED_VALUE"""),"KYAI KONTONG")</f>
        <v>KYAI KONTONG</v>
      </c>
      <c r="D9420" s="186">
        <f>IFERROR(__xludf.DUMMYFUNCTION("""COMPUTED_VALUE"""),31.0)</f>
        <v>31</v>
      </c>
    </row>
    <row r="9421">
      <c r="A9421" s="178" t="str">
        <f>IFERROR(__xludf.DUMMYFUNCTION("""COMPUTED_VALUE"""),"ITBISA-RELAY-12V-5PIN-BLUE")</f>
        <v>ITBISA-RELAY-12V-5PIN-BLUE</v>
      </c>
      <c r="B9421" s="266">
        <f>IFERROR(__xludf.DUMMYFUNCTION("""COMPUTED_VALUE"""),45467.0)</f>
        <v>45467</v>
      </c>
      <c r="C9421" s="266" t="str">
        <f>IFERROR(__xludf.DUMMYFUNCTION("""COMPUTED_VALUE"""),"KYAI KONTONG")</f>
        <v>KYAI KONTONG</v>
      </c>
      <c r="D9421" s="186">
        <f>IFERROR(__xludf.DUMMYFUNCTION("""COMPUTED_VALUE"""),40.0)</f>
        <v>40</v>
      </c>
    </row>
    <row r="9422">
      <c r="A9422" s="178" t="str">
        <f>IFERROR(__xludf.DUMMYFUNCTION("""COMPUTED_VALUE"""),"ITBISA-RELAY-12V-5PIN-BLUE")</f>
        <v>ITBISA-RELAY-12V-5PIN-BLUE</v>
      </c>
      <c r="B9422" s="266">
        <f>IFERROR(__xludf.DUMMYFUNCTION("""COMPUTED_VALUE"""),45468.0)</f>
        <v>45468</v>
      </c>
      <c r="C9422" s="266" t="str">
        <f>IFERROR(__xludf.DUMMYFUNCTION("""COMPUTED_VALUE"""),"KERTASARI CIAMIS")</f>
        <v>KERTASARI CIAMIS</v>
      </c>
      <c r="D9422" s="186">
        <f>IFERROR(__xludf.DUMMYFUNCTION("""COMPUTED_VALUE"""),19.0)</f>
        <v>19</v>
      </c>
    </row>
    <row r="9423">
      <c r="A9423" s="178" t="str">
        <f>IFERROR(__xludf.DUMMYFUNCTION("""COMPUTED_VALUE"""),"ITBISA-RELAY-12V-5PIN-BLUE")</f>
        <v>ITBISA-RELAY-12V-5PIN-BLUE</v>
      </c>
      <c r="B9423" s="266">
        <f>IFERROR(__xludf.DUMMYFUNCTION("""COMPUTED_VALUE"""),45468.0)</f>
        <v>45468</v>
      </c>
      <c r="C9423" s="266" t="str">
        <f>IFERROR(__xludf.DUMMYFUNCTION("""COMPUTED_VALUE"""),"KYAI KONTONG")</f>
        <v>KYAI KONTONG</v>
      </c>
      <c r="D9423" s="186">
        <f>IFERROR(__xludf.DUMMYFUNCTION("""COMPUTED_VALUE"""),20.0)</f>
        <v>20</v>
      </c>
    </row>
    <row r="9424">
      <c r="A9424" s="178" t="str">
        <f>IFERROR(__xludf.DUMMYFUNCTION("""COMPUTED_VALUE"""),"ITBISA-RELAY-12V-5PIN-BLUE")</f>
        <v>ITBISA-RELAY-12V-5PIN-BLUE</v>
      </c>
      <c r="B9424" s="266">
        <f>IFERROR(__xludf.DUMMYFUNCTION("""COMPUTED_VALUE"""),45468.0)</f>
        <v>45468</v>
      </c>
      <c r="C9424" s="266" t="str">
        <f>IFERROR(__xludf.DUMMYFUNCTION("""COMPUTED_VALUE"""),"KYAI KONTONG")</f>
        <v>KYAI KONTONG</v>
      </c>
      <c r="D9424" s="186">
        <f>IFERROR(__xludf.DUMMYFUNCTION("""COMPUTED_VALUE"""),50.0)</f>
        <v>50</v>
      </c>
    </row>
    <row r="9425">
      <c r="A9425" s="178" t="str">
        <f>IFERROR(__xludf.DUMMYFUNCTION("""COMPUTED_VALUE"""),"ITBISA-RELAY-12V-5PIN-BLUE")</f>
        <v>ITBISA-RELAY-12V-5PIN-BLUE</v>
      </c>
      <c r="B9425" s="266">
        <f>IFERROR(__xludf.DUMMYFUNCTION("""COMPUTED_VALUE"""),45475.0)</f>
        <v>45475</v>
      </c>
      <c r="C9425" s="266" t="str">
        <f>IFERROR(__xludf.DUMMYFUNCTION("""COMPUTED_VALUE"""),"KYAI KONTONG")</f>
        <v>KYAI KONTONG</v>
      </c>
      <c r="D9425" s="186">
        <f>IFERROR(__xludf.DUMMYFUNCTION("""COMPUTED_VALUE"""),15.0)</f>
        <v>15</v>
      </c>
    </row>
    <row r="9426">
      <c r="A9426" s="178" t="str">
        <f>IFERROR(__xludf.DUMMYFUNCTION("""COMPUTED_VALUE"""),"ITBISA-RELAY-12V-5PIN-BLUE")</f>
        <v>ITBISA-RELAY-12V-5PIN-BLUE</v>
      </c>
      <c r="B9426" s="266">
        <f>IFERROR(__xludf.DUMMYFUNCTION("""COMPUTED_VALUE"""),45476.0)</f>
        <v>45476</v>
      </c>
      <c r="C9426" s="266" t="str">
        <f>IFERROR(__xludf.DUMMYFUNCTION("""COMPUTED_VALUE"""),"KYAI KONTONG")</f>
        <v>KYAI KONTONG</v>
      </c>
      <c r="D9426" s="186">
        <f>IFERROR(__xludf.DUMMYFUNCTION("""COMPUTED_VALUE"""),10.0)</f>
        <v>10</v>
      </c>
    </row>
    <row r="9427">
      <c r="A9427" s="178" t="str">
        <f>IFERROR(__xludf.DUMMYFUNCTION("""COMPUTED_VALUE"""),"ITBISA-RELAY-12V-5PIN-BLUE")</f>
        <v>ITBISA-RELAY-12V-5PIN-BLUE</v>
      </c>
      <c r="B9427" s="266">
        <f>IFERROR(__xludf.DUMMYFUNCTION("""COMPUTED_VALUE"""),45478.0)</f>
        <v>45478</v>
      </c>
      <c r="C9427" s="266" t="str">
        <f>IFERROR(__xludf.DUMMYFUNCTION("""COMPUTED_VALUE"""),"KYAI KONTONG")</f>
        <v>KYAI KONTONG</v>
      </c>
      <c r="D9427" s="186">
        <f>IFERROR(__xludf.DUMMYFUNCTION("""COMPUTED_VALUE"""),10.0)</f>
        <v>10</v>
      </c>
    </row>
    <row r="9428">
      <c r="A9428" s="178" t="str">
        <f>IFERROR(__xludf.DUMMYFUNCTION("""COMPUTED_VALUE"""),"ITBISA-RELAY-12V-5PIN-BLUE")</f>
        <v>ITBISA-RELAY-12V-5PIN-BLUE</v>
      </c>
      <c r="B9428" s="266">
        <f>IFERROR(__xludf.DUMMYFUNCTION("""COMPUTED_VALUE"""),45478.0)</f>
        <v>45478</v>
      </c>
      <c r="C9428" s="266" t="str">
        <f>IFERROR(__xludf.DUMMYFUNCTION("""COMPUTED_VALUE"""),"KYAI KONTONG")</f>
        <v>KYAI KONTONG</v>
      </c>
      <c r="D9428" s="186">
        <f>IFERROR(__xludf.DUMMYFUNCTION("""COMPUTED_VALUE"""),100.0)</f>
        <v>100</v>
      </c>
    </row>
    <row r="9429">
      <c r="A9429" s="178" t="str">
        <f>IFERROR(__xludf.DUMMYFUNCTION("""COMPUTED_VALUE"""),"ITBISA-RELAY-12V-5PIN-BLUE")</f>
        <v>ITBISA-RELAY-12V-5PIN-BLUE</v>
      </c>
      <c r="B9429" s="266">
        <f>IFERROR(__xludf.DUMMYFUNCTION("""COMPUTED_VALUE"""),45479.0)</f>
        <v>45479</v>
      </c>
      <c r="C9429" s="266" t="str">
        <f>IFERROR(__xludf.DUMMYFUNCTION("""COMPUTED_VALUE"""),"KERTASARI CIAMIS")</f>
        <v>KERTASARI CIAMIS</v>
      </c>
      <c r="D9429" s="186">
        <f>IFERROR(__xludf.DUMMYFUNCTION("""COMPUTED_VALUE"""),15.0)</f>
        <v>15</v>
      </c>
    </row>
    <row r="9430">
      <c r="A9430" s="178" t="str">
        <f>IFERROR(__xludf.DUMMYFUNCTION("""COMPUTED_VALUE"""),"ITBISA-RELAY-12V-5PIN-BLUE")</f>
        <v>ITBISA-RELAY-12V-5PIN-BLUE</v>
      </c>
      <c r="B9430" s="266">
        <f>IFERROR(__xludf.DUMMYFUNCTION("""COMPUTED_VALUE"""),45479.0)</f>
        <v>45479</v>
      </c>
      <c r="C9430" s="266" t="str">
        <f>IFERROR(__xludf.DUMMYFUNCTION("""COMPUTED_VALUE"""),"KERTASARI CIAMIS")</f>
        <v>KERTASARI CIAMIS</v>
      </c>
      <c r="D9430" s="186">
        <f>IFERROR(__xludf.DUMMYFUNCTION("""COMPUTED_VALUE"""),80.0)</f>
        <v>80</v>
      </c>
    </row>
    <row r="9431">
      <c r="A9431" s="178" t="str">
        <f>IFERROR(__xludf.DUMMYFUNCTION("""COMPUTED_VALUE"""),"ITBISA-RELAY-12V-5PIN-BLUE")</f>
        <v>ITBISA-RELAY-12V-5PIN-BLUE</v>
      </c>
      <c r="B9431" s="266">
        <f>IFERROR(__xludf.DUMMYFUNCTION("""COMPUTED_VALUE"""),45479.0)</f>
        <v>45479</v>
      </c>
      <c r="C9431" s="266" t="str">
        <f>IFERROR(__xludf.DUMMYFUNCTION("""COMPUTED_VALUE"""),"KYAI KONTONG")</f>
        <v>KYAI KONTONG</v>
      </c>
      <c r="D9431" s="186">
        <f>IFERROR(__xludf.DUMMYFUNCTION("""COMPUTED_VALUE"""),10.0)</f>
        <v>10</v>
      </c>
    </row>
    <row r="9432">
      <c r="A9432" s="178" t="str">
        <f>IFERROR(__xludf.DUMMYFUNCTION("""COMPUTED_VALUE"""),"ITBISA-RELAY-12V-5PIN-BLUE")</f>
        <v>ITBISA-RELAY-12V-5PIN-BLUE</v>
      </c>
      <c r="B9432" s="266">
        <f>IFERROR(__xludf.DUMMYFUNCTION("""COMPUTED_VALUE"""),45479.0)</f>
        <v>45479</v>
      </c>
      <c r="C9432" s="266" t="str">
        <f>IFERROR(__xludf.DUMMYFUNCTION("""COMPUTED_VALUE"""),"KYAI KONTONG")</f>
        <v>KYAI KONTONG</v>
      </c>
      <c r="D9432" s="186">
        <f>IFERROR(__xludf.DUMMYFUNCTION("""COMPUTED_VALUE"""),10.0)</f>
        <v>10</v>
      </c>
    </row>
    <row r="9433">
      <c r="A9433" s="178" t="str">
        <f>IFERROR(__xludf.DUMMYFUNCTION("""COMPUTED_VALUE"""),"ITBISA-RELAY-12V-5PIN-BLUE")</f>
        <v>ITBISA-RELAY-12V-5PIN-BLUE</v>
      </c>
      <c r="B9433" s="266">
        <f>IFERROR(__xludf.DUMMYFUNCTION("""COMPUTED_VALUE"""),45480.0)</f>
        <v>45480</v>
      </c>
      <c r="C9433" s="266" t="str">
        <f>IFERROR(__xludf.DUMMYFUNCTION("""COMPUTED_VALUE"""),"KERTASARI CIAMIS")</f>
        <v>KERTASARI CIAMIS</v>
      </c>
      <c r="D9433" s="186">
        <f>IFERROR(__xludf.DUMMYFUNCTION("""COMPUTED_VALUE"""),10.0)</f>
        <v>10</v>
      </c>
    </row>
    <row r="9434">
      <c r="A9434" s="178" t="str">
        <f>IFERROR(__xludf.DUMMYFUNCTION("""COMPUTED_VALUE"""),"ITBISA-RELAY-12V-5PIN-BLUE")</f>
        <v>ITBISA-RELAY-12V-5PIN-BLUE</v>
      </c>
      <c r="B9434" s="266">
        <f>IFERROR(__xludf.DUMMYFUNCTION("""COMPUTED_VALUE"""),45480.0)</f>
        <v>45480</v>
      </c>
      <c r="C9434" s="266" t="str">
        <f>IFERROR(__xludf.DUMMYFUNCTION("""COMPUTED_VALUE"""),"KERTASARI CIAMIS")</f>
        <v>KERTASARI CIAMIS</v>
      </c>
      <c r="D9434" s="186">
        <f>IFERROR(__xludf.DUMMYFUNCTION("""COMPUTED_VALUE"""),10.0)</f>
        <v>10</v>
      </c>
    </row>
    <row r="9435">
      <c r="A9435" s="178" t="str">
        <f>IFERROR(__xludf.DUMMYFUNCTION("""COMPUTED_VALUE"""),"ITBISA-RELAY-12V-5PIN-BLUE")</f>
        <v>ITBISA-RELAY-12V-5PIN-BLUE</v>
      </c>
      <c r="B9435" s="266">
        <f>IFERROR(__xludf.DUMMYFUNCTION("""COMPUTED_VALUE"""),45480.0)</f>
        <v>45480</v>
      </c>
      <c r="C9435" s="266" t="str">
        <f>IFERROR(__xludf.DUMMYFUNCTION("""COMPUTED_VALUE"""),"KERTASARI CIAMIS")</f>
        <v>KERTASARI CIAMIS</v>
      </c>
      <c r="D9435" s="186">
        <f>IFERROR(__xludf.DUMMYFUNCTION("""COMPUTED_VALUE"""),15.0)</f>
        <v>15</v>
      </c>
    </row>
    <row r="9436">
      <c r="A9436" s="178" t="str">
        <f>IFERROR(__xludf.DUMMYFUNCTION("""COMPUTED_VALUE"""),"ITBISA-RELAY-12V-5PIN-BLUE")</f>
        <v>ITBISA-RELAY-12V-5PIN-BLUE</v>
      </c>
      <c r="B9436" s="266">
        <f>IFERROR(__xludf.DUMMYFUNCTION("""COMPUTED_VALUE"""),45480.0)</f>
        <v>45480</v>
      </c>
      <c r="C9436" s="266" t="str">
        <f>IFERROR(__xludf.DUMMYFUNCTION("""COMPUTED_VALUE"""),"KERTASARI CIAMIS")</f>
        <v>KERTASARI CIAMIS</v>
      </c>
      <c r="D9436" s="186">
        <f>IFERROR(__xludf.DUMMYFUNCTION("""COMPUTED_VALUE"""),15.0)</f>
        <v>15</v>
      </c>
    </row>
    <row r="9437">
      <c r="A9437" s="178" t="str">
        <f>IFERROR(__xludf.DUMMYFUNCTION("""COMPUTED_VALUE"""),"ITBISA-RELAY-12V-5PIN-BLUE")</f>
        <v>ITBISA-RELAY-12V-5PIN-BLUE</v>
      </c>
      <c r="B9437" s="266">
        <f>IFERROR(__xludf.DUMMYFUNCTION("""COMPUTED_VALUE"""),45481.0)</f>
        <v>45481</v>
      </c>
      <c r="C9437" s="266" t="str">
        <f>IFERROR(__xludf.DUMMYFUNCTION("""COMPUTED_VALUE"""),"KYAI KONTONG")</f>
        <v>KYAI KONTONG</v>
      </c>
      <c r="D9437" s="186">
        <f>IFERROR(__xludf.DUMMYFUNCTION("""COMPUTED_VALUE"""),10.0)</f>
        <v>10</v>
      </c>
    </row>
    <row r="9438">
      <c r="A9438" s="178" t="str">
        <f>IFERROR(__xludf.DUMMYFUNCTION("""COMPUTED_VALUE"""),"ITBISA-RELAY-12V-5PIN-BLUE")</f>
        <v>ITBISA-RELAY-12V-5PIN-BLUE</v>
      </c>
      <c r="B9438" s="266">
        <f>IFERROR(__xludf.DUMMYFUNCTION("""COMPUTED_VALUE"""),45481.0)</f>
        <v>45481</v>
      </c>
      <c r="C9438" s="266" t="str">
        <f>IFERROR(__xludf.DUMMYFUNCTION("""COMPUTED_VALUE"""),"KYAI KONTONG")</f>
        <v>KYAI KONTONG</v>
      </c>
      <c r="D9438" s="186">
        <f>IFERROR(__xludf.DUMMYFUNCTION("""COMPUTED_VALUE"""),10.0)</f>
        <v>10</v>
      </c>
    </row>
    <row r="9439">
      <c r="A9439" s="178" t="str">
        <f>IFERROR(__xludf.DUMMYFUNCTION("""COMPUTED_VALUE"""),"ITBISA-RELAY-12V-5PIN-BLUE")</f>
        <v>ITBISA-RELAY-12V-5PIN-BLUE</v>
      </c>
      <c r="B9439" s="266">
        <f>IFERROR(__xludf.DUMMYFUNCTION("""COMPUTED_VALUE"""),45482.0)</f>
        <v>45482</v>
      </c>
      <c r="C9439" s="266" t="str">
        <f>IFERROR(__xludf.DUMMYFUNCTION("""COMPUTED_VALUE"""),"KERTASARI CIAMIS")</f>
        <v>KERTASARI CIAMIS</v>
      </c>
      <c r="D9439" s="186">
        <f>IFERROR(__xludf.DUMMYFUNCTION("""COMPUTED_VALUE"""),20.0)</f>
        <v>20</v>
      </c>
    </row>
    <row r="9440">
      <c r="A9440" s="178" t="str">
        <f>IFERROR(__xludf.DUMMYFUNCTION("""COMPUTED_VALUE"""),"ITBISA-RELAY-12V-5PIN-BLUE")</f>
        <v>ITBISA-RELAY-12V-5PIN-BLUE</v>
      </c>
      <c r="B9440" s="266">
        <f>IFERROR(__xludf.DUMMYFUNCTION("""COMPUTED_VALUE"""),45482.0)</f>
        <v>45482</v>
      </c>
      <c r="C9440" s="266" t="str">
        <f>IFERROR(__xludf.DUMMYFUNCTION("""COMPUTED_VALUE"""),"KYAI KONTONG")</f>
        <v>KYAI KONTONG</v>
      </c>
      <c r="D9440" s="186">
        <f>IFERROR(__xludf.DUMMYFUNCTION("""COMPUTED_VALUE"""),100.0)</f>
        <v>100</v>
      </c>
    </row>
    <row r="9441">
      <c r="A9441" s="178" t="str">
        <f>IFERROR(__xludf.DUMMYFUNCTION("""COMPUTED_VALUE"""),"ITBISA-RELAY-12V-5PIN-BLUE")</f>
        <v>ITBISA-RELAY-12V-5PIN-BLUE</v>
      </c>
      <c r="B9441" s="266">
        <f>IFERROR(__xludf.DUMMYFUNCTION("""COMPUTED_VALUE"""),45483.0)</f>
        <v>45483</v>
      </c>
      <c r="C9441" s="266" t="str">
        <f>IFERROR(__xludf.DUMMYFUNCTION("""COMPUTED_VALUE"""),"KYAI KONTONG")</f>
        <v>KYAI KONTONG</v>
      </c>
      <c r="D9441" s="186">
        <f>IFERROR(__xludf.DUMMYFUNCTION("""COMPUTED_VALUE"""),15.0)</f>
        <v>15</v>
      </c>
    </row>
    <row r="9442">
      <c r="A9442" s="178" t="str">
        <f>IFERROR(__xludf.DUMMYFUNCTION("""COMPUTED_VALUE"""),"ITBISA-RELAY-12V-5PIN-BLUE")</f>
        <v>ITBISA-RELAY-12V-5PIN-BLUE</v>
      </c>
      <c r="B9442" s="266">
        <f>IFERROR(__xludf.DUMMYFUNCTION("""COMPUTED_VALUE"""),45483.0)</f>
        <v>45483</v>
      </c>
      <c r="C9442" s="266" t="str">
        <f>IFERROR(__xludf.DUMMYFUNCTION("""COMPUTED_VALUE"""),"KYAI KONTONG")</f>
        <v>KYAI KONTONG</v>
      </c>
      <c r="D9442" s="186">
        <f>IFERROR(__xludf.DUMMYFUNCTION("""COMPUTED_VALUE"""),35.0)</f>
        <v>35</v>
      </c>
    </row>
    <row r="9443">
      <c r="A9443" s="178" t="str">
        <f>IFERROR(__xludf.DUMMYFUNCTION("""COMPUTED_VALUE"""),"ITBISA-RELAY-12V-5PIN-BLUE")</f>
        <v>ITBISA-RELAY-12V-5PIN-BLUE</v>
      </c>
      <c r="B9443" s="266">
        <f>IFERROR(__xludf.DUMMYFUNCTION("""COMPUTED_VALUE"""),45483.0)</f>
        <v>45483</v>
      </c>
      <c r="C9443" s="266" t="str">
        <f>IFERROR(__xludf.DUMMYFUNCTION("""COMPUTED_VALUE"""),"KYAI KONTONG")</f>
        <v>KYAI KONTONG</v>
      </c>
      <c r="D9443" s="186">
        <f>IFERROR(__xludf.DUMMYFUNCTION("""COMPUTED_VALUE"""),50.0)</f>
        <v>50</v>
      </c>
    </row>
    <row r="9444">
      <c r="A9444" s="178" t="str">
        <f>IFERROR(__xludf.DUMMYFUNCTION("""COMPUTED_VALUE"""),"ITBISA-RELAY-12V-5PIN-BLUE")</f>
        <v>ITBISA-RELAY-12V-5PIN-BLUE</v>
      </c>
      <c r="B9444" s="266">
        <f>IFERROR(__xludf.DUMMYFUNCTION("""COMPUTED_VALUE"""),45483.0)</f>
        <v>45483</v>
      </c>
      <c r="C9444" s="266" t="str">
        <f>IFERROR(__xludf.DUMMYFUNCTION("""COMPUTED_VALUE"""),"KYAI KONTONG")</f>
        <v>KYAI KONTONG</v>
      </c>
      <c r="D9444" s="186">
        <f>IFERROR(__xludf.DUMMYFUNCTION("""COMPUTED_VALUE"""),100.0)</f>
        <v>100</v>
      </c>
    </row>
    <row r="9445">
      <c r="A9445" s="178" t="str">
        <f>IFERROR(__xludf.DUMMYFUNCTION("""COMPUTED_VALUE"""),"ITBISA-RELAY-12V-5PIN-BLUE")</f>
        <v>ITBISA-RELAY-12V-5PIN-BLUE</v>
      </c>
      <c r="B9445" s="266">
        <f>IFERROR(__xludf.DUMMYFUNCTION("""COMPUTED_VALUE"""),45484.0)</f>
        <v>45484</v>
      </c>
      <c r="C9445" s="266" t="str">
        <f>IFERROR(__xludf.DUMMYFUNCTION("""COMPUTED_VALUE"""),"KYAI KONTONG")</f>
        <v>KYAI KONTONG</v>
      </c>
      <c r="D9445" s="186">
        <f>IFERROR(__xludf.DUMMYFUNCTION("""COMPUTED_VALUE"""),100.0)</f>
        <v>100</v>
      </c>
    </row>
    <row r="9446">
      <c r="A9446" s="178" t="str">
        <f>IFERROR(__xludf.DUMMYFUNCTION("""COMPUTED_VALUE"""),"ITBISA-RELAY-12V-5PIN-BLUE")</f>
        <v>ITBISA-RELAY-12V-5PIN-BLUE</v>
      </c>
      <c r="B9446" s="266">
        <f>IFERROR(__xludf.DUMMYFUNCTION("""COMPUTED_VALUE"""),45485.0)</f>
        <v>45485</v>
      </c>
      <c r="C9446" s="266" t="str">
        <f>IFERROR(__xludf.DUMMYFUNCTION("""COMPUTED_VALUE"""),"KERTASARI CIAMIS")</f>
        <v>KERTASARI CIAMIS</v>
      </c>
      <c r="D9446" s="186">
        <f>IFERROR(__xludf.DUMMYFUNCTION("""COMPUTED_VALUE"""),25.0)</f>
        <v>25</v>
      </c>
    </row>
    <row r="9447">
      <c r="A9447" s="178" t="str">
        <f>IFERROR(__xludf.DUMMYFUNCTION("""COMPUTED_VALUE"""),"ITBISA-RELAY-12V-5PIN-BLUE")</f>
        <v>ITBISA-RELAY-12V-5PIN-BLUE</v>
      </c>
      <c r="B9447" s="266">
        <f>IFERROR(__xludf.DUMMYFUNCTION("""COMPUTED_VALUE"""),45485.0)</f>
        <v>45485</v>
      </c>
      <c r="C9447" s="266" t="str">
        <f>IFERROR(__xludf.DUMMYFUNCTION("""COMPUTED_VALUE"""),"KYAI KONTONG")</f>
        <v>KYAI KONTONG</v>
      </c>
      <c r="D9447" s="186">
        <f>IFERROR(__xludf.DUMMYFUNCTION("""COMPUTED_VALUE"""),30.0)</f>
        <v>30</v>
      </c>
    </row>
    <row r="9448">
      <c r="A9448" s="178" t="str">
        <f>IFERROR(__xludf.DUMMYFUNCTION("""COMPUTED_VALUE"""),"ITBISA-RELAY-12V-5PIN-BLUE")</f>
        <v>ITBISA-RELAY-12V-5PIN-BLUE</v>
      </c>
      <c r="B9448" s="266">
        <f>IFERROR(__xludf.DUMMYFUNCTION("""COMPUTED_VALUE"""),45488.0)</f>
        <v>45488</v>
      </c>
      <c r="C9448" s="266" t="str">
        <f>IFERROR(__xludf.DUMMYFUNCTION("""COMPUTED_VALUE"""),"KERTASARI CIAMIS")</f>
        <v>KERTASARI CIAMIS</v>
      </c>
      <c r="D9448" s="186">
        <f>IFERROR(__xludf.DUMMYFUNCTION("""COMPUTED_VALUE"""),50.0)</f>
        <v>50</v>
      </c>
    </row>
    <row r="9449">
      <c r="A9449" s="178" t="str">
        <f>IFERROR(__xludf.DUMMYFUNCTION("""COMPUTED_VALUE"""),"ITBISA-RELAY-12V-5PIN-BLUE")</f>
        <v>ITBISA-RELAY-12V-5PIN-BLUE</v>
      </c>
      <c r="B9449" s="266">
        <f>IFERROR(__xludf.DUMMYFUNCTION("""COMPUTED_VALUE"""),45488.0)</f>
        <v>45488</v>
      </c>
      <c r="C9449" s="266" t="str">
        <f>IFERROR(__xludf.DUMMYFUNCTION("""COMPUTED_VALUE"""),"KYAI KONTONG")</f>
        <v>KYAI KONTONG</v>
      </c>
      <c r="D9449" s="186">
        <f>IFERROR(__xludf.DUMMYFUNCTION("""COMPUTED_VALUE"""),40.0)</f>
        <v>40</v>
      </c>
    </row>
    <row r="9450">
      <c r="A9450" s="178" t="str">
        <f>IFERROR(__xludf.DUMMYFUNCTION("""COMPUTED_VALUE"""),"ITBISA-RELAY-12V-5PIN-BLUE")</f>
        <v>ITBISA-RELAY-12V-5PIN-BLUE</v>
      </c>
      <c r="B9450" s="266">
        <f>IFERROR(__xludf.DUMMYFUNCTION("""COMPUTED_VALUE"""),45489.0)</f>
        <v>45489</v>
      </c>
      <c r="C9450" s="266" t="str">
        <f>IFERROR(__xludf.DUMMYFUNCTION("""COMPUTED_VALUE"""),"KYAI KONTONG")</f>
        <v>KYAI KONTONG</v>
      </c>
      <c r="D9450" s="186">
        <f>IFERROR(__xludf.DUMMYFUNCTION("""COMPUTED_VALUE"""),10.0)</f>
        <v>10</v>
      </c>
    </row>
    <row r="9451">
      <c r="A9451" s="178" t="str">
        <f>IFERROR(__xludf.DUMMYFUNCTION("""COMPUTED_VALUE"""),"ITBISA-RELAY-12V-5PIN-BLUE")</f>
        <v>ITBISA-RELAY-12V-5PIN-BLUE</v>
      </c>
      <c r="B9451" s="266">
        <f>IFERROR(__xludf.DUMMYFUNCTION("""COMPUTED_VALUE"""),45490.0)</f>
        <v>45490</v>
      </c>
      <c r="C9451" s="266" t="str">
        <f>IFERROR(__xludf.DUMMYFUNCTION("""COMPUTED_VALUE"""),"KERTASARI CIAMIS")</f>
        <v>KERTASARI CIAMIS</v>
      </c>
      <c r="D9451" s="186">
        <f>IFERROR(__xludf.DUMMYFUNCTION("""COMPUTED_VALUE"""),20.0)</f>
        <v>20</v>
      </c>
    </row>
    <row r="9452">
      <c r="A9452" s="178" t="str">
        <f>IFERROR(__xludf.DUMMYFUNCTION("""COMPUTED_VALUE"""),"ITBISA-RELAY-12V-5PIN-BLUE")</f>
        <v>ITBISA-RELAY-12V-5PIN-BLUE</v>
      </c>
      <c r="B9452" s="266">
        <f>IFERROR(__xludf.DUMMYFUNCTION("""COMPUTED_VALUE"""),45490.0)</f>
        <v>45490</v>
      </c>
      <c r="C9452" s="266" t="str">
        <f>IFERROR(__xludf.DUMMYFUNCTION("""COMPUTED_VALUE"""),"KYAI KONTONG")</f>
        <v>KYAI KONTONG</v>
      </c>
      <c r="D9452" s="186">
        <f>IFERROR(__xludf.DUMMYFUNCTION("""COMPUTED_VALUE"""),10.0)</f>
        <v>10</v>
      </c>
    </row>
    <row r="9453">
      <c r="A9453" s="178" t="str">
        <f>IFERROR(__xludf.DUMMYFUNCTION("""COMPUTED_VALUE"""),"ITBISA-RELAY-12V-5PIN-BLUE")</f>
        <v>ITBISA-RELAY-12V-5PIN-BLUE</v>
      </c>
      <c r="B9453" s="266">
        <f>IFERROR(__xludf.DUMMYFUNCTION("""COMPUTED_VALUE"""),45490.0)</f>
        <v>45490</v>
      </c>
      <c r="C9453" s="266" t="str">
        <f>IFERROR(__xludf.DUMMYFUNCTION("""COMPUTED_VALUE"""),"KYAI KONTONG")</f>
        <v>KYAI KONTONG</v>
      </c>
      <c r="D9453" s="186">
        <f>IFERROR(__xludf.DUMMYFUNCTION("""COMPUTED_VALUE"""),20.0)</f>
        <v>20</v>
      </c>
    </row>
    <row r="9454">
      <c r="A9454" s="178" t="str">
        <f>IFERROR(__xludf.DUMMYFUNCTION("""COMPUTED_VALUE"""),"ITBISA-RELAY-12V-5PIN-BLUE")</f>
        <v>ITBISA-RELAY-12V-5PIN-BLUE</v>
      </c>
      <c r="B9454" s="266">
        <f>IFERROR(__xludf.DUMMYFUNCTION("""COMPUTED_VALUE"""),45490.0)</f>
        <v>45490</v>
      </c>
      <c r="C9454" s="266" t="str">
        <f>IFERROR(__xludf.DUMMYFUNCTION("""COMPUTED_VALUE"""),"KYAI KONTONG")</f>
        <v>KYAI KONTONG</v>
      </c>
      <c r="D9454" s="186">
        <f>IFERROR(__xludf.DUMMYFUNCTION("""COMPUTED_VALUE"""),50.0)</f>
        <v>50</v>
      </c>
    </row>
    <row r="9455">
      <c r="A9455" s="178" t="str">
        <f>IFERROR(__xludf.DUMMYFUNCTION("""COMPUTED_VALUE"""),"ITBISA-RELAY-12V-5PIN-BLUE")</f>
        <v>ITBISA-RELAY-12V-5PIN-BLUE</v>
      </c>
      <c r="B9455" s="266">
        <f>IFERROR(__xludf.DUMMYFUNCTION("""COMPUTED_VALUE"""),45491.0)</f>
        <v>45491</v>
      </c>
      <c r="C9455" s="266" t="str">
        <f>IFERROR(__xludf.DUMMYFUNCTION("""COMPUTED_VALUE"""),"KERTASARI CIAMIS")</f>
        <v>KERTASARI CIAMIS</v>
      </c>
      <c r="D9455" s="186">
        <f>IFERROR(__xludf.DUMMYFUNCTION("""COMPUTED_VALUE"""),80.0)</f>
        <v>80</v>
      </c>
    </row>
    <row r="9456">
      <c r="A9456" s="178" t="str">
        <f>IFERROR(__xludf.DUMMYFUNCTION("""COMPUTED_VALUE"""),"ITBISA-RELAY-12V-5PIN-BLUE")</f>
        <v>ITBISA-RELAY-12V-5PIN-BLUE</v>
      </c>
      <c r="B9456" s="266">
        <f>IFERROR(__xludf.DUMMYFUNCTION("""COMPUTED_VALUE"""),45491.0)</f>
        <v>45491</v>
      </c>
      <c r="C9456" s="266" t="str">
        <f>IFERROR(__xludf.DUMMYFUNCTION("""COMPUTED_VALUE"""),"KYAI KONTONG")</f>
        <v>KYAI KONTONG</v>
      </c>
      <c r="D9456" s="186">
        <f>IFERROR(__xludf.DUMMYFUNCTION("""COMPUTED_VALUE"""),10.0)</f>
        <v>10</v>
      </c>
    </row>
    <row r="9457">
      <c r="A9457" s="178" t="str">
        <f>IFERROR(__xludf.DUMMYFUNCTION("""COMPUTED_VALUE"""),"ITBISA-RELAY-12V-5PIN-BLUE")</f>
        <v>ITBISA-RELAY-12V-5PIN-BLUE</v>
      </c>
      <c r="B9457" s="266">
        <f>IFERROR(__xludf.DUMMYFUNCTION("""COMPUTED_VALUE"""),45491.0)</f>
        <v>45491</v>
      </c>
      <c r="C9457" s="266" t="str">
        <f>IFERROR(__xludf.DUMMYFUNCTION("""COMPUTED_VALUE"""),"KYAI KONTONG")</f>
        <v>KYAI KONTONG</v>
      </c>
      <c r="D9457" s="186">
        <f>IFERROR(__xludf.DUMMYFUNCTION("""COMPUTED_VALUE"""),13.0)</f>
        <v>13</v>
      </c>
    </row>
    <row r="9458">
      <c r="A9458" s="178" t="str">
        <f>IFERROR(__xludf.DUMMYFUNCTION("""COMPUTED_VALUE"""),"ITBISA-RELAY-12V-5PIN-BLUE")</f>
        <v>ITBISA-RELAY-12V-5PIN-BLUE</v>
      </c>
      <c r="B9458" s="266">
        <f>IFERROR(__xludf.DUMMYFUNCTION("""COMPUTED_VALUE"""),45492.0)</f>
        <v>45492</v>
      </c>
      <c r="C9458" s="266" t="str">
        <f>IFERROR(__xludf.DUMMYFUNCTION("""COMPUTED_VALUE"""),"KERTASARI CIAMIS")</f>
        <v>KERTASARI CIAMIS</v>
      </c>
      <c r="D9458" s="186">
        <f>IFERROR(__xludf.DUMMYFUNCTION("""COMPUTED_VALUE"""),30.0)</f>
        <v>30</v>
      </c>
    </row>
    <row r="9459">
      <c r="A9459" s="178" t="str">
        <f>IFERROR(__xludf.DUMMYFUNCTION("""COMPUTED_VALUE"""),"ITBISA-RELAY-12V-5PIN-BLUE")</f>
        <v>ITBISA-RELAY-12V-5PIN-BLUE</v>
      </c>
      <c r="B9459" s="266">
        <f>IFERROR(__xludf.DUMMYFUNCTION("""COMPUTED_VALUE"""),45492.0)</f>
        <v>45492</v>
      </c>
      <c r="C9459" s="266" t="str">
        <f>IFERROR(__xludf.DUMMYFUNCTION("""COMPUTED_VALUE"""),"KERTASARI CIAMIS")</f>
        <v>KERTASARI CIAMIS</v>
      </c>
      <c r="D9459" s="186">
        <f>IFERROR(__xludf.DUMMYFUNCTION("""COMPUTED_VALUE"""),50.0)</f>
        <v>50</v>
      </c>
    </row>
    <row r="9460">
      <c r="A9460" s="178" t="str">
        <f>IFERROR(__xludf.DUMMYFUNCTION("""COMPUTED_VALUE"""),"ITBISA-RELAY-12V-5PIN-BLUE")</f>
        <v>ITBISA-RELAY-12V-5PIN-BLUE</v>
      </c>
      <c r="B9460" s="266">
        <f>IFERROR(__xludf.DUMMYFUNCTION("""COMPUTED_VALUE"""),45492.0)</f>
        <v>45492</v>
      </c>
      <c r="C9460" s="266" t="str">
        <f>IFERROR(__xludf.DUMMYFUNCTION("""COMPUTED_VALUE"""),"KYAI KONTONG")</f>
        <v>KYAI KONTONG</v>
      </c>
      <c r="D9460" s="186">
        <f>IFERROR(__xludf.DUMMYFUNCTION("""COMPUTED_VALUE"""),10.0)</f>
        <v>10</v>
      </c>
    </row>
    <row r="9461">
      <c r="A9461" s="178" t="str">
        <f>IFERROR(__xludf.DUMMYFUNCTION("""COMPUTED_VALUE"""),"ITBISA-RELAY-12V-5PIN-BLUE")</f>
        <v>ITBISA-RELAY-12V-5PIN-BLUE</v>
      </c>
      <c r="B9461" s="266">
        <f>IFERROR(__xludf.DUMMYFUNCTION("""COMPUTED_VALUE"""),45493.0)</f>
        <v>45493</v>
      </c>
      <c r="C9461" s="266" t="str">
        <f>IFERROR(__xludf.DUMMYFUNCTION("""COMPUTED_VALUE"""),"KYAI KONTONG")</f>
        <v>KYAI KONTONG</v>
      </c>
      <c r="D9461" s="186">
        <f>IFERROR(__xludf.DUMMYFUNCTION("""COMPUTED_VALUE"""),90.0)</f>
        <v>90</v>
      </c>
    </row>
    <row r="9462">
      <c r="A9462" s="178" t="str">
        <f>IFERROR(__xludf.DUMMYFUNCTION("""COMPUTED_VALUE"""),"ITBISA-RELAY-12V-5PIN-BLUE")</f>
        <v>ITBISA-RELAY-12V-5PIN-BLUE</v>
      </c>
      <c r="B9462" s="266">
        <f>IFERROR(__xludf.DUMMYFUNCTION("""COMPUTED_VALUE"""),45496.0)</f>
        <v>45496</v>
      </c>
      <c r="C9462" s="266" t="str">
        <f>IFERROR(__xludf.DUMMYFUNCTION("""COMPUTED_VALUE"""),"KYAI KONTONG")</f>
        <v>KYAI KONTONG</v>
      </c>
      <c r="D9462" s="186">
        <f>IFERROR(__xludf.DUMMYFUNCTION("""COMPUTED_VALUE"""),10.0)</f>
        <v>10</v>
      </c>
    </row>
    <row r="9463">
      <c r="A9463" s="178" t="str">
        <f>IFERROR(__xludf.DUMMYFUNCTION("""COMPUTED_VALUE"""),"ITBISA-RELAY-12V-5PIN-BLUE")</f>
        <v>ITBISA-RELAY-12V-5PIN-BLUE</v>
      </c>
      <c r="B9463" s="266">
        <f>IFERROR(__xludf.DUMMYFUNCTION("""COMPUTED_VALUE"""),45496.0)</f>
        <v>45496</v>
      </c>
      <c r="C9463" s="266" t="str">
        <f>IFERROR(__xludf.DUMMYFUNCTION("""COMPUTED_VALUE"""),"KYAI KONTONG")</f>
        <v>KYAI KONTONG</v>
      </c>
      <c r="D9463" s="186">
        <f>IFERROR(__xludf.DUMMYFUNCTION("""COMPUTED_VALUE"""),50.0)</f>
        <v>50</v>
      </c>
    </row>
    <row r="9464">
      <c r="A9464" s="178" t="str">
        <f>IFERROR(__xludf.DUMMYFUNCTION("""COMPUTED_VALUE"""),"ITBISA-RELAY-12V-5PIN-BLUE")</f>
        <v>ITBISA-RELAY-12V-5PIN-BLUE</v>
      </c>
      <c r="B9464" s="266">
        <f>IFERROR(__xludf.DUMMYFUNCTION("""COMPUTED_VALUE"""),45497.0)</f>
        <v>45497</v>
      </c>
      <c r="C9464" s="266" t="str">
        <f>IFERROR(__xludf.DUMMYFUNCTION("""COMPUTED_VALUE"""),"KYAI KONTONG")</f>
        <v>KYAI KONTONG</v>
      </c>
      <c r="D9464" s="186">
        <f>IFERROR(__xludf.DUMMYFUNCTION("""COMPUTED_VALUE"""),140.0)</f>
        <v>140</v>
      </c>
    </row>
    <row r="9465">
      <c r="A9465" s="178" t="str">
        <f>IFERROR(__xludf.DUMMYFUNCTION("""COMPUTED_VALUE"""),"ITBISA-RELAY-12V-5PIN-BLUE")</f>
        <v>ITBISA-RELAY-12V-5PIN-BLUE</v>
      </c>
      <c r="B9465" s="266">
        <f>IFERROR(__xludf.DUMMYFUNCTION("""COMPUTED_VALUE"""),45502.0)</f>
        <v>45502</v>
      </c>
      <c r="C9465" s="266" t="str">
        <f>IFERROR(__xludf.DUMMYFUNCTION("""COMPUTED_VALUE"""),"KYAI KONTONG")</f>
        <v>KYAI KONTONG</v>
      </c>
      <c r="D9465" s="186">
        <f>IFERROR(__xludf.DUMMYFUNCTION("""COMPUTED_VALUE"""),15.0)</f>
        <v>15</v>
      </c>
    </row>
    <row r="9466">
      <c r="A9466" s="178" t="str">
        <f>IFERROR(__xludf.DUMMYFUNCTION("""COMPUTED_VALUE"""),"ITBISA-RELAY-12V-5PIN-BLUE")</f>
        <v>ITBISA-RELAY-12V-5PIN-BLUE</v>
      </c>
      <c r="B9466" s="266">
        <f>IFERROR(__xludf.DUMMYFUNCTION("""COMPUTED_VALUE"""),45503.0)</f>
        <v>45503</v>
      </c>
      <c r="C9466" s="266" t="str">
        <f>IFERROR(__xludf.DUMMYFUNCTION("""COMPUTED_VALUE"""),"KERTASARI CIAMIS")</f>
        <v>KERTASARI CIAMIS</v>
      </c>
      <c r="D9466" s="186">
        <f>IFERROR(__xludf.DUMMYFUNCTION("""COMPUTED_VALUE"""),20.0)</f>
        <v>20</v>
      </c>
    </row>
    <row r="9467">
      <c r="A9467" s="178" t="str">
        <f>IFERROR(__xludf.DUMMYFUNCTION("""COMPUTED_VALUE"""),"ITBISA-RELAY-12V-5PIN-BLUE")</f>
        <v>ITBISA-RELAY-12V-5PIN-BLUE</v>
      </c>
      <c r="B9467" s="266">
        <f>IFERROR(__xludf.DUMMYFUNCTION("""COMPUTED_VALUE"""),45503.0)</f>
        <v>45503</v>
      </c>
      <c r="C9467" s="266" t="str">
        <f>IFERROR(__xludf.DUMMYFUNCTION("""COMPUTED_VALUE"""),"KERTASARI CIAMIS")</f>
        <v>KERTASARI CIAMIS</v>
      </c>
      <c r="D9467" s="186">
        <f>IFERROR(__xludf.DUMMYFUNCTION("""COMPUTED_VALUE"""),21.0)</f>
        <v>21</v>
      </c>
    </row>
    <row r="9468">
      <c r="A9468" s="178" t="str">
        <f>IFERROR(__xludf.DUMMYFUNCTION("""COMPUTED_VALUE"""),"ITBISA-RELAY-12V-5PIN-BLUE")</f>
        <v>ITBISA-RELAY-12V-5PIN-BLUE</v>
      </c>
      <c r="B9468" s="266">
        <f>IFERROR(__xludf.DUMMYFUNCTION("""COMPUTED_VALUE"""),45503.0)</f>
        <v>45503</v>
      </c>
      <c r="C9468" s="266" t="str">
        <f>IFERROR(__xludf.DUMMYFUNCTION("""COMPUTED_VALUE"""),"KERTASARI CIAMIS")</f>
        <v>KERTASARI CIAMIS</v>
      </c>
      <c r="D9468" s="186">
        <f>IFERROR(__xludf.DUMMYFUNCTION("""COMPUTED_VALUE"""),50.0)</f>
        <v>50</v>
      </c>
    </row>
    <row r="9469">
      <c r="A9469" s="178" t="str">
        <f>IFERROR(__xludf.DUMMYFUNCTION("""COMPUTED_VALUE"""),"ITBISA-RELAY-12V-5PIN-BLUE")</f>
        <v>ITBISA-RELAY-12V-5PIN-BLUE</v>
      </c>
      <c r="B9469" s="266">
        <f>IFERROR(__xludf.DUMMYFUNCTION("""COMPUTED_VALUE"""),45504.0)</f>
        <v>45504</v>
      </c>
      <c r="C9469" s="266" t="str">
        <f>IFERROR(__xludf.DUMMYFUNCTION("""COMPUTED_VALUE"""),"KERTASARI CIAMIS")</f>
        <v>KERTASARI CIAMIS</v>
      </c>
      <c r="D9469" s="186">
        <f>IFERROR(__xludf.DUMMYFUNCTION("""COMPUTED_VALUE"""),8.0)</f>
        <v>8</v>
      </c>
    </row>
    <row r="9470">
      <c r="A9470" s="178" t="str">
        <f>IFERROR(__xludf.DUMMYFUNCTION("""COMPUTED_VALUE"""),"ITBISA-RELAY-12V-5PIN-BLUE")</f>
        <v>ITBISA-RELAY-12V-5PIN-BLUE</v>
      </c>
      <c r="B9470" s="266">
        <f>IFERROR(__xludf.DUMMYFUNCTION("""COMPUTED_VALUE"""),45505.0)</f>
        <v>45505</v>
      </c>
      <c r="C9470" s="266" t="str">
        <f>IFERROR(__xludf.DUMMYFUNCTION("""COMPUTED_VALUE"""),"KYAI KONTONG")</f>
        <v>KYAI KONTONG</v>
      </c>
      <c r="D9470" s="186">
        <f>IFERROR(__xludf.DUMMYFUNCTION("""COMPUTED_VALUE"""),10.0)</f>
        <v>10</v>
      </c>
    </row>
    <row r="9471">
      <c r="A9471" s="178" t="str">
        <f>IFERROR(__xludf.DUMMYFUNCTION("""COMPUTED_VALUE"""),"ITBISA-RELAY-12V-5PIN-BLUE")</f>
        <v>ITBISA-RELAY-12V-5PIN-BLUE</v>
      </c>
      <c r="B9471" s="266">
        <f>IFERROR(__xludf.DUMMYFUNCTION("""COMPUTED_VALUE"""),45505.0)</f>
        <v>45505</v>
      </c>
      <c r="C9471" s="266" t="str">
        <f>IFERROR(__xludf.DUMMYFUNCTION("""COMPUTED_VALUE"""),"KYAI KONTONG")</f>
        <v>KYAI KONTONG</v>
      </c>
      <c r="D9471" s="186">
        <f>IFERROR(__xludf.DUMMYFUNCTION("""COMPUTED_VALUE"""),15.0)</f>
        <v>15</v>
      </c>
    </row>
    <row r="9472">
      <c r="A9472" s="178" t="str">
        <f>IFERROR(__xludf.DUMMYFUNCTION("""COMPUTED_VALUE"""),"ITBISA-RELAY-12V-5PIN-BLUE")</f>
        <v>ITBISA-RELAY-12V-5PIN-BLUE</v>
      </c>
      <c r="B9472" s="266">
        <f>IFERROR(__xludf.DUMMYFUNCTION("""COMPUTED_VALUE"""),45505.0)</f>
        <v>45505</v>
      </c>
      <c r="C9472" s="266" t="str">
        <f>IFERROR(__xludf.DUMMYFUNCTION("""COMPUTED_VALUE"""),"KYAI KONTONG")</f>
        <v>KYAI KONTONG</v>
      </c>
      <c r="D9472" s="186">
        <f>IFERROR(__xludf.DUMMYFUNCTION("""COMPUTED_VALUE"""),20.0)</f>
        <v>20</v>
      </c>
    </row>
    <row r="9473">
      <c r="A9473" s="178" t="str">
        <f>IFERROR(__xludf.DUMMYFUNCTION("""COMPUTED_VALUE"""),"ITBISA-RELAY-12V-5PIN-BLUE")</f>
        <v>ITBISA-RELAY-12V-5PIN-BLUE</v>
      </c>
      <c r="B9473" s="266">
        <f>IFERROR(__xludf.DUMMYFUNCTION("""COMPUTED_VALUE"""),45505.0)</f>
        <v>45505</v>
      </c>
      <c r="C9473" s="266" t="str">
        <f>IFERROR(__xludf.DUMMYFUNCTION("""COMPUTED_VALUE"""),"KYAI KONTONG")</f>
        <v>KYAI KONTONG</v>
      </c>
      <c r="D9473" s="186">
        <f>IFERROR(__xludf.DUMMYFUNCTION("""COMPUTED_VALUE"""),29.0)</f>
        <v>29</v>
      </c>
    </row>
    <row r="9474">
      <c r="A9474" s="178" t="str">
        <f>IFERROR(__xludf.DUMMYFUNCTION("""COMPUTED_VALUE"""),"ITBISA-RELAY-12V-5PIN-BLUE")</f>
        <v>ITBISA-RELAY-12V-5PIN-BLUE</v>
      </c>
      <c r="B9474" s="266">
        <f>IFERROR(__xludf.DUMMYFUNCTION("""COMPUTED_VALUE"""),45505.0)</f>
        <v>45505</v>
      </c>
      <c r="C9474" s="266" t="str">
        <f>IFERROR(__xludf.DUMMYFUNCTION("""COMPUTED_VALUE"""),"KYAI KONTONG")</f>
        <v>KYAI KONTONG</v>
      </c>
      <c r="D9474" s="186">
        <f>IFERROR(__xludf.DUMMYFUNCTION("""COMPUTED_VALUE"""),30.0)</f>
        <v>30</v>
      </c>
    </row>
    <row r="9475">
      <c r="A9475" s="178" t="str">
        <f>IFERROR(__xludf.DUMMYFUNCTION("""COMPUTED_VALUE"""),"ITBISA-RELAY-12V-5PIN-BLUE")</f>
        <v>ITBISA-RELAY-12V-5PIN-BLUE</v>
      </c>
      <c r="B9475" s="266">
        <f>IFERROR(__xludf.DUMMYFUNCTION("""COMPUTED_VALUE"""),45505.0)</f>
        <v>45505</v>
      </c>
      <c r="C9475" s="266" t="str">
        <f>IFERROR(__xludf.DUMMYFUNCTION("""COMPUTED_VALUE"""),"KYAI KONTONG")</f>
        <v>KYAI KONTONG</v>
      </c>
      <c r="D9475" s="186">
        <f>IFERROR(__xludf.DUMMYFUNCTION("""COMPUTED_VALUE"""),50.0)</f>
        <v>50</v>
      </c>
    </row>
    <row r="9476">
      <c r="A9476" s="178" t="str">
        <f>IFERROR(__xludf.DUMMYFUNCTION("""COMPUTED_VALUE"""),"ITBISA-RELAY-12V-5PIN-BLUE")</f>
        <v>ITBISA-RELAY-12V-5PIN-BLUE</v>
      </c>
      <c r="B9476" s="266">
        <f>IFERROR(__xludf.DUMMYFUNCTION("""COMPUTED_VALUE"""),45506.0)</f>
        <v>45506</v>
      </c>
      <c r="C9476" s="266" t="str">
        <f>IFERROR(__xludf.DUMMYFUNCTION("""COMPUTED_VALUE"""),"KERTASARI CIAMIS")</f>
        <v>KERTASARI CIAMIS</v>
      </c>
      <c r="D9476" s="186">
        <f>IFERROR(__xludf.DUMMYFUNCTION("""COMPUTED_VALUE"""),30.0)</f>
        <v>30</v>
      </c>
    </row>
    <row r="9477">
      <c r="A9477" s="178" t="str">
        <f>IFERROR(__xludf.DUMMYFUNCTION("""COMPUTED_VALUE"""),"ITBISA-RELAY-12V-5PIN-BLUE")</f>
        <v>ITBISA-RELAY-12V-5PIN-BLUE</v>
      </c>
      <c r="B9477" s="266">
        <f>IFERROR(__xludf.DUMMYFUNCTION("""COMPUTED_VALUE"""),45506.0)</f>
        <v>45506</v>
      </c>
      <c r="C9477" s="266" t="str">
        <f>IFERROR(__xludf.DUMMYFUNCTION("""COMPUTED_VALUE"""),"KYAI KONTONG")</f>
        <v>KYAI KONTONG</v>
      </c>
      <c r="D9477" s="186">
        <f>IFERROR(__xludf.DUMMYFUNCTION("""COMPUTED_VALUE"""),10.0)</f>
        <v>10</v>
      </c>
    </row>
    <row r="9478">
      <c r="A9478" s="178" t="str">
        <f>IFERROR(__xludf.DUMMYFUNCTION("""COMPUTED_VALUE"""),"ITBISA-RELAY-12V-5PIN-BLUE")</f>
        <v>ITBISA-RELAY-12V-5PIN-BLUE</v>
      </c>
      <c r="B9478" s="266">
        <f>IFERROR(__xludf.DUMMYFUNCTION("""COMPUTED_VALUE"""),45506.0)</f>
        <v>45506</v>
      </c>
      <c r="C9478" s="266" t="str">
        <f>IFERROR(__xludf.DUMMYFUNCTION("""COMPUTED_VALUE"""),"KYAI KONTONG")</f>
        <v>KYAI KONTONG</v>
      </c>
      <c r="D9478" s="186">
        <f>IFERROR(__xludf.DUMMYFUNCTION("""COMPUTED_VALUE"""),10.0)</f>
        <v>10</v>
      </c>
    </row>
    <row r="9479">
      <c r="A9479" s="178" t="str">
        <f>IFERROR(__xludf.DUMMYFUNCTION("""COMPUTED_VALUE"""),"ITBISA-RELAY-12V-5PIN-BLUE")</f>
        <v>ITBISA-RELAY-12V-5PIN-BLUE</v>
      </c>
      <c r="B9479" s="266">
        <f>IFERROR(__xludf.DUMMYFUNCTION("""COMPUTED_VALUE"""),45506.0)</f>
        <v>45506</v>
      </c>
      <c r="C9479" s="266" t="str">
        <f>IFERROR(__xludf.DUMMYFUNCTION("""COMPUTED_VALUE"""),"KYAI KONTONG")</f>
        <v>KYAI KONTONG</v>
      </c>
      <c r="D9479" s="186">
        <f>IFERROR(__xludf.DUMMYFUNCTION("""COMPUTED_VALUE"""),20.0)</f>
        <v>20</v>
      </c>
    </row>
    <row r="9480">
      <c r="A9480" s="178" t="str">
        <f>IFERROR(__xludf.DUMMYFUNCTION("""COMPUTED_VALUE"""),"ITBISA-RELAY-12V-5PIN-BLUE")</f>
        <v>ITBISA-RELAY-12V-5PIN-BLUE</v>
      </c>
      <c r="B9480" s="266">
        <f>IFERROR(__xludf.DUMMYFUNCTION("""COMPUTED_VALUE"""),45507.0)</f>
        <v>45507</v>
      </c>
      <c r="C9480" s="266" t="str">
        <f>IFERROR(__xludf.DUMMYFUNCTION("""COMPUTED_VALUE"""),"KERTASARI CIAMIS")</f>
        <v>KERTASARI CIAMIS</v>
      </c>
      <c r="D9480" s="186">
        <f>IFERROR(__xludf.DUMMYFUNCTION("""COMPUTED_VALUE"""),50.0)</f>
        <v>50</v>
      </c>
    </row>
    <row r="9481">
      <c r="A9481" s="178" t="str">
        <f>IFERROR(__xludf.DUMMYFUNCTION("""COMPUTED_VALUE"""),"ITBISA-RELAY-12V-5PIN-BLUE")</f>
        <v>ITBISA-RELAY-12V-5PIN-BLUE</v>
      </c>
      <c r="B9481" s="266">
        <f>IFERROR(__xludf.DUMMYFUNCTION("""COMPUTED_VALUE"""),45508.0)</f>
        <v>45508</v>
      </c>
      <c r="C9481" s="266" t="str">
        <f>IFERROR(__xludf.DUMMYFUNCTION("""COMPUTED_VALUE"""),"KERTASARI CIAMIS")</f>
        <v>KERTASARI CIAMIS</v>
      </c>
      <c r="D9481" s="186">
        <f>IFERROR(__xludf.DUMMYFUNCTION("""COMPUTED_VALUE"""),10.0)</f>
        <v>10</v>
      </c>
    </row>
    <row r="9482">
      <c r="A9482" s="178" t="str">
        <f>IFERROR(__xludf.DUMMYFUNCTION("""COMPUTED_VALUE"""),"ITBISA-RELAY-12V-5PIN-BLUE")</f>
        <v>ITBISA-RELAY-12V-5PIN-BLUE</v>
      </c>
      <c r="B9482" s="266">
        <f>IFERROR(__xludf.DUMMYFUNCTION("""COMPUTED_VALUE"""),45508.0)</f>
        <v>45508</v>
      </c>
      <c r="C9482" s="266" t="str">
        <f>IFERROR(__xludf.DUMMYFUNCTION("""COMPUTED_VALUE"""),"KERTASARI CIAMIS")</f>
        <v>KERTASARI CIAMIS</v>
      </c>
      <c r="D9482" s="186">
        <f>IFERROR(__xludf.DUMMYFUNCTION("""COMPUTED_VALUE"""),20.0)</f>
        <v>20</v>
      </c>
    </row>
    <row r="9483">
      <c r="A9483" s="178" t="str">
        <f>IFERROR(__xludf.DUMMYFUNCTION("""COMPUTED_VALUE"""),"ITBISA-RELAY-12V-5PIN-BLUE")</f>
        <v>ITBISA-RELAY-12V-5PIN-BLUE</v>
      </c>
      <c r="B9483" s="266">
        <f>IFERROR(__xludf.DUMMYFUNCTION("""COMPUTED_VALUE"""),45510.0)</f>
        <v>45510</v>
      </c>
      <c r="C9483" s="266" t="str">
        <f>IFERROR(__xludf.DUMMYFUNCTION("""COMPUTED_VALUE"""),"KERTASARI CIAMIS")</f>
        <v>KERTASARI CIAMIS</v>
      </c>
      <c r="D9483" s="186">
        <f>IFERROR(__xludf.DUMMYFUNCTION("""COMPUTED_VALUE"""),20.0)</f>
        <v>20</v>
      </c>
    </row>
    <row r="9484">
      <c r="A9484" s="178" t="str">
        <f>IFERROR(__xludf.DUMMYFUNCTION("""COMPUTED_VALUE"""),"ITBISA-RELAY-12V-5PIN-BLUE")</f>
        <v>ITBISA-RELAY-12V-5PIN-BLUE</v>
      </c>
      <c r="B9484" s="266">
        <f>IFERROR(__xludf.DUMMYFUNCTION("""COMPUTED_VALUE"""),45510.0)</f>
        <v>45510</v>
      </c>
      <c r="C9484" s="266" t="str">
        <f>IFERROR(__xludf.DUMMYFUNCTION("""COMPUTED_VALUE"""),"KYAI KONTONG")</f>
        <v>KYAI KONTONG</v>
      </c>
      <c r="D9484" s="186">
        <f>IFERROR(__xludf.DUMMYFUNCTION("""COMPUTED_VALUE"""),50.0)</f>
        <v>50</v>
      </c>
    </row>
    <row r="9485">
      <c r="A9485" s="178" t="str">
        <f>IFERROR(__xludf.DUMMYFUNCTION("""COMPUTED_VALUE"""),"ITBISA-RELAY-12V-5PIN-BLUE")</f>
        <v>ITBISA-RELAY-12V-5PIN-BLUE</v>
      </c>
      <c r="B9485" s="266">
        <f>IFERROR(__xludf.DUMMYFUNCTION("""COMPUTED_VALUE"""),45511.0)</f>
        <v>45511</v>
      </c>
      <c r="C9485" s="266" t="str">
        <f>IFERROR(__xludf.DUMMYFUNCTION("""COMPUTED_VALUE"""),"KERTASARI CIAMIS")</f>
        <v>KERTASARI CIAMIS</v>
      </c>
      <c r="D9485" s="186">
        <f>IFERROR(__xludf.DUMMYFUNCTION("""COMPUTED_VALUE"""),20.0)</f>
        <v>20</v>
      </c>
    </row>
    <row r="9486">
      <c r="A9486" s="178" t="str">
        <f>IFERROR(__xludf.DUMMYFUNCTION("""COMPUTED_VALUE"""),"ITBISA-RELAY-12V-5PIN-BLUE")</f>
        <v>ITBISA-RELAY-12V-5PIN-BLUE</v>
      </c>
      <c r="B9486" s="266">
        <f>IFERROR(__xludf.DUMMYFUNCTION("""COMPUTED_VALUE"""),45511.0)</f>
        <v>45511</v>
      </c>
      <c r="C9486" s="266" t="str">
        <f>IFERROR(__xludf.DUMMYFUNCTION("""COMPUTED_VALUE"""),"KERTASARI CIAMIS")</f>
        <v>KERTASARI CIAMIS</v>
      </c>
      <c r="D9486" s="186">
        <f>IFERROR(__xludf.DUMMYFUNCTION("""COMPUTED_VALUE"""),30.0)</f>
        <v>30</v>
      </c>
    </row>
    <row r="9487">
      <c r="A9487" s="178" t="str">
        <f>IFERROR(__xludf.DUMMYFUNCTION("""COMPUTED_VALUE"""),"ITBISA-RELAY-12V-5PIN-BLUE")</f>
        <v>ITBISA-RELAY-12V-5PIN-BLUE</v>
      </c>
      <c r="B9487" s="266">
        <f>IFERROR(__xludf.DUMMYFUNCTION("""COMPUTED_VALUE"""),45511.0)</f>
        <v>45511</v>
      </c>
      <c r="C9487" s="266" t="str">
        <f>IFERROR(__xludf.DUMMYFUNCTION("""COMPUTED_VALUE"""),"KYAI KONTONG")</f>
        <v>KYAI KONTONG</v>
      </c>
      <c r="D9487" s="186">
        <f>IFERROR(__xludf.DUMMYFUNCTION("""COMPUTED_VALUE"""),30.0)</f>
        <v>30</v>
      </c>
    </row>
    <row r="9488">
      <c r="A9488" s="178" t="str">
        <f>IFERROR(__xludf.DUMMYFUNCTION("""COMPUTED_VALUE"""),"ITBISA-RELAY-12V-5PIN-BLUE")</f>
        <v>ITBISA-RELAY-12V-5PIN-BLUE</v>
      </c>
      <c r="B9488" s="266">
        <f>IFERROR(__xludf.DUMMYFUNCTION("""COMPUTED_VALUE"""),45512.0)</f>
        <v>45512</v>
      </c>
      <c r="C9488" s="266" t="str">
        <f>IFERROR(__xludf.DUMMYFUNCTION("""COMPUTED_VALUE"""),"KERTASARI CIAMIS")</f>
        <v>KERTASARI CIAMIS</v>
      </c>
      <c r="D9488" s="186">
        <f>IFERROR(__xludf.DUMMYFUNCTION("""COMPUTED_VALUE"""),30.0)</f>
        <v>30</v>
      </c>
    </row>
    <row r="9489">
      <c r="A9489" s="178" t="str">
        <f>IFERROR(__xludf.DUMMYFUNCTION("""COMPUTED_VALUE"""),"ITBISA-RELAY-12V-5PIN-BLUE")</f>
        <v>ITBISA-RELAY-12V-5PIN-BLUE</v>
      </c>
      <c r="B9489" s="266">
        <f>IFERROR(__xludf.DUMMYFUNCTION("""COMPUTED_VALUE"""),45512.0)</f>
        <v>45512</v>
      </c>
      <c r="C9489" s="266" t="str">
        <f>IFERROR(__xludf.DUMMYFUNCTION("""COMPUTED_VALUE"""),"KYAI KONTONG")</f>
        <v>KYAI KONTONG</v>
      </c>
      <c r="D9489" s="186">
        <f>IFERROR(__xludf.DUMMYFUNCTION("""COMPUTED_VALUE"""),20.0)</f>
        <v>20</v>
      </c>
    </row>
    <row r="9490">
      <c r="A9490" s="178" t="str">
        <f>IFERROR(__xludf.DUMMYFUNCTION("""COMPUTED_VALUE"""),"ITBISA-RELAY-12V-5PIN-BLUE")</f>
        <v>ITBISA-RELAY-12V-5PIN-BLUE</v>
      </c>
      <c r="B9490" s="266">
        <f>IFERROR(__xludf.DUMMYFUNCTION("""COMPUTED_VALUE"""),45512.0)</f>
        <v>45512</v>
      </c>
      <c r="C9490" s="266" t="str">
        <f>IFERROR(__xludf.DUMMYFUNCTION("""COMPUTED_VALUE"""),"KYAI KONTONG")</f>
        <v>KYAI KONTONG</v>
      </c>
      <c r="D9490" s="186">
        <f>IFERROR(__xludf.DUMMYFUNCTION("""COMPUTED_VALUE"""),20.0)</f>
        <v>20</v>
      </c>
    </row>
    <row r="9491">
      <c r="A9491" s="178" t="str">
        <f>IFERROR(__xludf.DUMMYFUNCTION("""COMPUTED_VALUE"""),"ITBISA-RELAY-12V-5PIN-BLUE")</f>
        <v>ITBISA-RELAY-12V-5PIN-BLUE</v>
      </c>
      <c r="B9491" s="266">
        <f>IFERROR(__xludf.DUMMYFUNCTION("""COMPUTED_VALUE"""),45513.0)</f>
        <v>45513</v>
      </c>
      <c r="C9491" s="266" t="str">
        <f>IFERROR(__xludf.DUMMYFUNCTION("""COMPUTED_VALUE"""),"KERTASARI CIAMIS")</f>
        <v>KERTASARI CIAMIS</v>
      </c>
      <c r="D9491" s="186">
        <f>IFERROR(__xludf.DUMMYFUNCTION("""COMPUTED_VALUE"""),280.0)</f>
        <v>280</v>
      </c>
    </row>
    <row r="9492">
      <c r="A9492" s="178" t="str">
        <f>IFERROR(__xludf.DUMMYFUNCTION("""COMPUTED_VALUE"""),"ITBISA-RELAY-12V-5PIN-BLUE")</f>
        <v>ITBISA-RELAY-12V-5PIN-BLUE</v>
      </c>
      <c r="B9492" s="266">
        <f>IFERROR(__xludf.DUMMYFUNCTION("""COMPUTED_VALUE"""),45514.0)</f>
        <v>45514</v>
      </c>
      <c r="C9492" s="266" t="str">
        <f>IFERROR(__xludf.DUMMYFUNCTION("""COMPUTED_VALUE"""),"KERTASARI CIAMIS")</f>
        <v>KERTASARI CIAMIS</v>
      </c>
      <c r="D9492" s="186">
        <f>IFERROR(__xludf.DUMMYFUNCTION("""COMPUTED_VALUE"""),0.0)</f>
        <v>0</v>
      </c>
    </row>
    <row r="9493">
      <c r="A9493" s="178" t="str">
        <f>IFERROR(__xludf.DUMMYFUNCTION("""COMPUTED_VALUE"""),"ITBISA-RELAY-12V-5PIN-BLUE")</f>
        <v>ITBISA-RELAY-12V-5PIN-BLUE</v>
      </c>
      <c r="B9493" s="266">
        <f>IFERROR(__xludf.DUMMYFUNCTION("""COMPUTED_VALUE"""),45514.0)</f>
        <v>45514</v>
      </c>
      <c r="C9493" s="266" t="str">
        <f>IFERROR(__xludf.DUMMYFUNCTION("""COMPUTED_VALUE"""),"KERTASARI CIAMIS")</f>
        <v>KERTASARI CIAMIS</v>
      </c>
      <c r="D9493" s="186">
        <f>IFERROR(__xludf.DUMMYFUNCTION("""COMPUTED_VALUE"""),50.0)</f>
        <v>50</v>
      </c>
    </row>
    <row r="9494">
      <c r="A9494" s="178" t="str">
        <f>IFERROR(__xludf.DUMMYFUNCTION("""COMPUTED_VALUE"""),"ITBISA-RELAY-12V-5PIN-BLUE")</f>
        <v>ITBISA-RELAY-12V-5PIN-BLUE</v>
      </c>
      <c r="B9494" s="266">
        <f>IFERROR(__xludf.DUMMYFUNCTION("""COMPUTED_VALUE"""),45524.0)</f>
        <v>45524</v>
      </c>
      <c r="C9494" s="266" t="str">
        <f>IFERROR(__xludf.DUMMYFUNCTION("""COMPUTED_VALUE"""),"KYAI KONTONG")</f>
        <v>KYAI KONTONG</v>
      </c>
      <c r="D9494" s="186">
        <f>IFERROR(__xludf.DUMMYFUNCTION("""COMPUTED_VALUE"""),10.0)</f>
        <v>10</v>
      </c>
    </row>
    <row r="9495">
      <c r="A9495" s="178" t="str">
        <f>IFERROR(__xludf.DUMMYFUNCTION("""COMPUTED_VALUE"""),"ITBISA-RELAY-12V-5PIN-BLUE")</f>
        <v>ITBISA-RELAY-12V-5PIN-BLUE</v>
      </c>
      <c r="B9495" s="266">
        <f>IFERROR(__xludf.DUMMYFUNCTION("""COMPUTED_VALUE"""),45525.0)</f>
        <v>45525</v>
      </c>
      <c r="C9495" s="266" t="str">
        <f>IFERROR(__xludf.DUMMYFUNCTION("""COMPUTED_VALUE"""),"KYAI KONTONG")</f>
        <v>KYAI KONTONG</v>
      </c>
      <c r="D9495" s="186">
        <f>IFERROR(__xludf.DUMMYFUNCTION("""COMPUTED_VALUE"""),25.0)</f>
        <v>25</v>
      </c>
    </row>
    <row r="9496">
      <c r="A9496" s="178" t="str">
        <f>IFERROR(__xludf.DUMMYFUNCTION("""COMPUTED_VALUE"""),"ITBISA-RELAY-12V-5PIN-BLUE")</f>
        <v>ITBISA-RELAY-12V-5PIN-BLUE</v>
      </c>
      <c r="B9496" s="266">
        <f>IFERROR(__xludf.DUMMYFUNCTION("""COMPUTED_VALUE"""),45525.0)</f>
        <v>45525</v>
      </c>
      <c r="C9496" s="266" t="str">
        <f>IFERROR(__xludf.DUMMYFUNCTION("""COMPUTED_VALUE"""),"KYAI KONTONG")</f>
        <v>KYAI KONTONG</v>
      </c>
      <c r="D9496" s="186">
        <f>IFERROR(__xludf.DUMMYFUNCTION("""COMPUTED_VALUE"""),50.0)</f>
        <v>50</v>
      </c>
    </row>
    <row r="9497">
      <c r="A9497" s="178" t="str">
        <f>IFERROR(__xludf.DUMMYFUNCTION("""COMPUTED_VALUE"""),"ITBISA-RELAY-12V-5PIN-BLUE")</f>
        <v>ITBISA-RELAY-12V-5PIN-BLUE</v>
      </c>
      <c r="B9497" s="266">
        <f>IFERROR(__xludf.DUMMYFUNCTION("""COMPUTED_VALUE"""),45532.0)</f>
        <v>45532</v>
      </c>
      <c r="C9497" s="266" t="str">
        <f>IFERROR(__xludf.DUMMYFUNCTION("""COMPUTED_VALUE"""),"KYAI KONTONG")</f>
        <v>KYAI KONTONG</v>
      </c>
      <c r="D9497" s="186">
        <f>IFERROR(__xludf.DUMMYFUNCTION("""COMPUTED_VALUE"""),10.0)</f>
        <v>10</v>
      </c>
    </row>
    <row r="9498">
      <c r="A9498" s="178" t="str">
        <f>IFERROR(__xludf.DUMMYFUNCTION("""COMPUTED_VALUE"""),"ITBISA-RELAY-12V-5PIN-BLUE")</f>
        <v>ITBISA-RELAY-12V-5PIN-BLUE</v>
      </c>
      <c r="B9498" s="266">
        <f>IFERROR(__xludf.DUMMYFUNCTION("""COMPUTED_VALUE"""),45541.0)</f>
        <v>45541</v>
      </c>
      <c r="C9498" s="266" t="str">
        <f>IFERROR(__xludf.DUMMYFUNCTION("""COMPUTED_VALUE"""),"KERTASARI CIAMIS")</f>
        <v>KERTASARI CIAMIS</v>
      </c>
      <c r="D9498" s="186">
        <f>IFERROR(__xludf.DUMMYFUNCTION("""COMPUTED_VALUE"""),10.0)</f>
        <v>10</v>
      </c>
    </row>
    <row r="9499">
      <c r="A9499" s="178" t="str">
        <f>IFERROR(__xludf.DUMMYFUNCTION("""COMPUTED_VALUE"""),"ITBISA-RELAY-12V-5PIN-BLUE")</f>
        <v>ITBISA-RELAY-12V-5PIN-BLUE</v>
      </c>
      <c r="B9499" s="266">
        <f>IFERROR(__xludf.DUMMYFUNCTION("""COMPUTED_VALUE"""),45541.0)</f>
        <v>45541</v>
      </c>
      <c r="C9499" s="266" t="str">
        <f>IFERROR(__xludf.DUMMYFUNCTION("""COMPUTED_VALUE"""),"KERTASARI CIAMIS")</f>
        <v>KERTASARI CIAMIS</v>
      </c>
      <c r="D9499" s="186">
        <f>IFERROR(__xludf.DUMMYFUNCTION("""COMPUTED_VALUE"""),50.0)</f>
        <v>50</v>
      </c>
    </row>
    <row r="9500">
      <c r="A9500" s="178" t="str">
        <f>IFERROR(__xludf.DUMMYFUNCTION("""COMPUTED_VALUE"""),"ITBISA-RELAY-12V-5PIN-BLUE")</f>
        <v>ITBISA-RELAY-12V-5PIN-BLUE</v>
      </c>
      <c r="B9500" s="266">
        <f>IFERROR(__xludf.DUMMYFUNCTION("""COMPUTED_VALUE"""),45552.0)</f>
        <v>45552</v>
      </c>
      <c r="C9500" s="266" t="str">
        <f>IFERROR(__xludf.DUMMYFUNCTION("""COMPUTED_VALUE"""),"KYAI KONTONG")</f>
        <v>KYAI KONTONG</v>
      </c>
      <c r="D9500" s="186">
        <f>IFERROR(__xludf.DUMMYFUNCTION("""COMPUTED_VALUE"""),10.0)</f>
        <v>10</v>
      </c>
    </row>
    <row r="9501">
      <c r="A9501" s="178" t="str">
        <f>IFERROR(__xludf.DUMMYFUNCTION("""COMPUTED_VALUE"""),"ITBISA-RELAY-12V-5PIN-BLUE")</f>
        <v>ITBISA-RELAY-12V-5PIN-BLUE</v>
      </c>
      <c r="B9501" s="266">
        <f>IFERROR(__xludf.DUMMYFUNCTION("""COMPUTED_VALUE"""),45561.0)</f>
        <v>45561</v>
      </c>
      <c r="C9501" s="266" t="str">
        <f>IFERROR(__xludf.DUMMYFUNCTION("""COMPUTED_VALUE"""),"KYAI KONTONG")</f>
        <v>KYAI KONTONG</v>
      </c>
      <c r="D9501" s="186">
        <f>IFERROR(__xludf.DUMMYFUNCTION("""COMPUTED_VALUE"""),10.0)</f>
        <v>10</v>
      </c>
    </row>
    <row r="9502">
      <c r="A9502" s="178" t="str">
        <f>IFERROR(__xludf.DUMMYFUNCTION("""COMPUTED_VALUE"""),"ITBISA-RELAY-12V-5PIN-BLUE")</f>
        <v>ITBISA-RELAY-12V-5PIN-BLUE</v>
      </c>
      <c r="B9502" s="266">
        <f>IFERROR(__xludf.DUMMYFUNCTION("""COMPUTED_VALUE"""),45566.0)</f>
        <v>45566</v>
      </c>
      <c r="C9502" s="266" t="str">
        <f>IFERROR(__xludf.DUMMYFUNCTION("""COMPUTED_VALUE"""),"KERTASARI CIAMIS")</f>
        <v>KERTASARI CIAMIS</v>
      </c>
      <c r="D9502" s="186">
        <f>IFERROR(__xludf.DUMMYFUNCTION("""COMPUTED_VALUE"""),25.0)</f>
        <v>25</v>
      </c>
    </row>
    <row r="9503">
      <c r="A9503" s="178" t="str">
        <f>IFERROR(__xludf.DUMMYFUNCTION("""COMPUTED_VALUE"""),"ITBISA-RELAY-12V-5PIN-BLUE")</f>
        <v>ITBISA-RELAY-12V-5PIN-BLUE</v>
      </c>
      <c r="B9503" s="266">
        <f>IFERROR(__xludf.DUMMYFUNCTION("""COMPUTED_VALUE"""),45567.0)</f>
        <v>45567</v>
      </c>
      <c r="C9503" s="266" t="str">
        <f>IFERROR(__xludf.DUMMYFUNCTION("""COMPUTED_VALUE"""),"KYAI KONTONG")</f>
        <v>KYAI KONTONG</v>
      </c>
      <c r="D9503" s="186">
        <f>IFERROR(__xludf.DUMMYFUNCTION("""COMPUTED_VALUE"""),25.0)</f>
        <v>25</v>
      </c>
    </row>
    <row r="9504">
      <c r="A9504" s="178" t="str">
        <f>IFERROR(__xludf.DUMMYFUNCTION("""COMPUTED_VALUE"""),"ITBISA-RELAY-12V-5PIN-BLUE")</f>
        <v>ITBISA-RELAY-12V-5PIN-BLUE</v>
      </c>
      <c r="B9504" s="266">
        <f>IFERROR(__xludf.DUMMYFUNCTION("""COMPUTED_VALUE"""),45598.0)</f>
        <v>45598</v>
      </c>
      <c r="C9504" s="266" t="str">
        <f>IFERROR(__xludf.DUMMYFUNCTION("""COMPUTED_VALUE"""),"KERTASARI CIAMIS")</f>
        <v>KERTASARI CIAMIS</v>
      </c>
      <c r="D9504" s="186">
        <f>IFERROR(__xludf.DUMMYFUNCTION("""COMPUTED_VALUE"""),30.0)</f>
        <v>30</v>
      </c>
    </row>
    <row r="9505">
      <c r="A9505" s="178" t="str">
        <f>IFERROR(__xludf.DUMMYFUNCTION("""COMPUTED_VALUE"""),"ITBISA-RELAY-12V-5PIN-BLUE")</f>
        <v>ITBISA-RELAY-12V-5PIN-BLUE</v>
      </c>
      <c r="B9505" s="266">
        <f>IFERROR(__xludf.DUMMYFUNCTION("""COMPUTED_VALUE"""),45617.0)</f>
        <v>45617</v>
      </c>
      <c r="C9505" s="266" t="str">
        <f>IFERROR(__xludf.DUMMYFUNCTION("""COMPUTED_VALUE"""),"KYAI KONTONG")</f>
        <v>KYAI KONTONG</v>
      </c>
      <c r="D9505" s="186">
        <f>IFERROR(__xludf.DUMMYFUNCTION("""COMPUTED_VALUE"""),200.0)</f>
        <v>200</v>
      </c>
    </row>
    <row r="9506">
      <c r="A9506" s="178" t="str">
        <f>IFERROR(__xludf.DUMMYFUNCTION("""COMPUTED_VALUE"""),"ITBISA-RELAY-12V-5PIN-BLUE")</f>
        <v>ITBISA-RELAY-12V-5PIN-BLUE</v>
      </c>
      <c r="B9506" s="266">
        <f>IFERROR(__xludf.DUMMYFUNCTION("""COMPUTED_VALUE"""),45622.0)</f>
        <v>45622</v>
      </c>
      <c r="C9506" s="266" t="str">
        <f>IFERROR(__xludf.DUMMYFUNCTION("""COMPUTED_VALUE"""),"KYAI KONTONG")</f>
        <v>KYAI KONTONG</v>
      </c>
      <c r="D9506" s="186">
        <f>IFERROR(__xludf.DUMMYFUNCTION("""COMPUTED_VALUE"""),10.0)</f>
        <v>10</v>
      </c>
    </row>
    <row r="9507">
      <c r="A9507" s="178" t="str">
        <f>IFERROR(__xludf.DUMMYFUNCTION("""COMPUTED_VALUE"""),"ITBISA-RELAY-12V-5PIN-BLUE")</f>
        <v>ITBISA-RELAY-12V-5PIN-BLUE</v>
      </c>
      <c r="B9507" s="266">
        <f>IFERROR(__xludf.DUMMYFUNCTION("""COMPUTED_VALUE"""),45624.0)</f>
        <v>45624</v>
      </c>
      <c r="C9507" s="266" t="str">
        <f>IFERROR(__xludf.DUMMYFUNCTION("""COMPUTED_VALUE"""),"KYAI KONTONG")</f>
        <v>KYAI KONTONG</v>
      </c>
      <c r="D9507" s="186">
        <f>IFERROR(__xludf.DUMMYFUNCTION("""COMPUTED_VALUE"""),70.0)</f>
        <v>70</v>
      </c>
    </row>
    <row r="9508">
      <c r="A9508" s="178" t="str">
        <f>IFERROR(__xludf.DUMMYFUNCTION("""COMPUTED_VALUE"""),"ITBISA-RELAY-12V-5PIN-BLUE")</f>
        <v>ITBISA-RELAY-12V-5PIN-BLUE</v>
      </c>
      <c r="B9508" s="266">
        <f>IFERROR(__xludf.DUMMYFUNCTION("""COMPUTED_VALUE"""),45628.0)</f>
        <v>45628</v>
      </c>
      <c r="C9508" s="266" t="str">
        <f>IFERROR(__xludf.DUMMYFUNCTION("""COMPUTED_VALUE"""),"KYAI KONTONG")</f>
        <v>KYAI KONTONG</v>
      </c>
      <c r="D9508" s="186">
        <f>IFERROR(__xludf.DUMMYFUNCTION("""COMPUTED_VALUE"""),200.0)</f>
        <v>200</v>
      </c>
    </row>
    <row r="9509">
      <c r="A9509" s="178" t="str">
        <f>IFERROR(__xludf.DUMMYFUNCTION("""COMPUTED_VALUE"""),"ITBISA-RELAY-12V-5PIN-BLUE")</f>
        <v>ITBISA-RELAY-12V-5PIN-BLUE</v>
      </c>
      <c r="B9509" s="266">
        <f>IFERROR(__xludf.DUMMYFUNCTION("""COMPUTED_VALUE"""),45635.0)</f>
        <v>45635</v>
      </c>
      <c r="C9509" s="266" t="str">
        <f>IFERROR(__xludf.DUMMYFUNCTION("""COMPUTED_VALUE"""),"KYAI KONTONG")</f>
        <v>KYAI KONTONG</v>
      </c>
      <c r="D9509" s="186">
        <f>IFERROR(__xludf.DUMMYFUNCTION("""COMPUTED_VALUE"""),200.0)</f>
        <v>200</v>
      </c>
    </row>
    <row r="9510">
      <c r="A9510" s="178" t="str">
        <f>IFERROR(__xludf.DUMMYFUNCTION("""COMPUTED_VALUE"""),"ITBISA-RELAY-12V-5PIN-BLUE")</f>
        <v>ITBISA-RELAY-12V-5PIN-BLUE</v>
      </c>
      <c r="B9510" s="266">
        <f>IFERROR(__xludf.DUMMYFUNCTION("""COMPUTED_VALUE"""),45636.0)</f>
        <v>45636</v>
      </c>
      <c r="C9510" s="266" t="str">
        <f>IFERROR(__xludf.DUMMYFUNCTION("""COMPUTED_VALUE"""),"KYAI KONTONG")</f>
        <v>KYAI KONTONG</v>
      </c>
      <c r="D9510" s="186">
        <f>IFERROR(__xludf.DUMMYFUNCTION("""COMPUTED_VALUE"""),10.0)</f>
        <v>10</v>
      </c>
    </row>
    <row r="9511">
      <c r="A9511" s="178" t="str">
        <f>IFERROR(__xludf.DUMMYFUNCTION("""COMPUTED_VALUE"""),"ITBISA-RELAY-12V-5PIN-BLUE")</f>
        <v>ITBISA-RELAY-12V-5PIN-BLUE</v>
      </c>
      <c r="B9511" s="266">
        <f>IFERROR(__xludf.DUMMYFUNCTION("""COMPUTED_VALUE"""),45642.0)</f>
        <v>45642</v>
      </c>
      <c r="C9511" s="266" t="str">
        <f>IFERROR(__xludf.DUMMYFUNCTION("""COMPUTED_VALUE"""),"KYAI KONTONG")</f>
        <v>KYAI KONTONG</v>
      </c>
      <c r="D9511" s="186">
        <f>IFERROR(__xludf.DUMMYFUNCTION("""COMPUTED_VALUE"""),200.0)</f>
        <v>200</v>
      </c>
    </row>
    <row r="9512">
      <c r="A9512" s="178" t="str">
        <f>IFERROR(__xludf.DUMMYFUNCTION("""COMPUTED_VALUE"""),"ITBISA-RELAY-12V-5PIN-BLUE")</f>
        <v>ITBISA-RELAY-12V-5PIN-BLUE</v>
      </c>
      <c r="B9512" s="266">
        <f>IFERROR(__xludf.DUMMYFUNCTION("""COMPUTED_VALUE"""),45644.0)</f>
        <v>45644</v>
      </c>
      <c r="C9512" s="266" t="str">
        <f>IFERROR(__xludf.DUMMYFUNCTION("""COMPUTED_VALUE"""),"KYAI KONTONG")</f>
        <v>KYAI KONTONG</v>
      </c>
      <c r="D9512" s="186">
        <f>IFERROR(__xludf.DUMMYFUNCTION("""COMPUTED_VALUE"""),233.0)</f>
        <v>233</v>
      </c>
    </row>
    <row r="9513">
      <c r="A9513" s="178" t="str">
        <f>IFERROR(__xludf.DUMMYFUNCTION("""COMPUTED_VALUE"""),"ITBISA-RELAY-12V-5PIN-BLUE")</f>
        <v>ITBISA-RELAY-12V-5PIN-BLUE</v>
      </c>
      <c r="B9513" s="266">
        <f>IFERROR(__xludf.DUMMYFUNCTION("""COMPUTED_VALUE"""),45658.0)</f>
        <v>45658</v>
      </c>
      <c r="C9513" s="266" t="str">
        <f>IFERROR(__xludf.DUMMYFUNCTION("""COMPUTED_VALUE"""),"KYAI KONTONG")</f>
        <v>KYAI KONTONG</v>
      </c>
      <c r="D9513" s="186">
        <f>IFERROR(__xludf.DUMMYFUNCTION("""COMPUTED_VALUE"""),2.0)</f>
        <v>2</v>
      </c>
    </row>
    <row r="9514">
      <c r="A9514" s="178" t="str">
        <f>IFERROR(__xludf.DUMMYFUNCTION("""COMPUTED_VALUE"""),"ITBISA-RELAY-12V-5PIN-BLUE")</f>
        <v>ITBISA-RELAY-12V-5PIN-BLUE</v>
      </c>
      <c r="B9514" s="266">
        <f>IFERROR(__xludf.DUMMYFUNCTION("""COMPUTED_VALUE"""),45658.0)</f>
        <v>45658</v>
      </c>
      <c r="C9514" s="266" t="str">
        <f>IFERROR(__xludf.DUMMYFUNCTION("""COMPUTED_VALUE"""),"KYAI KONTONG")</f>
        <v>KYAI KONTONG</v>
      </c>
      <c r="D9514" s="186">
        <f>IFERROR(__xludf.DUMMYFUNCTION("""COMPUTED_VALUE"""),20.0)</f>
        <v>20</v>
      </c>
    </row>
    <row r="9515">
      <c r="A9515" s="178" t="str">
        <f>IFERROR(__xludf.DUMMYFUNCTION("""COMPUTED_VALUE"""),"ITBISA-RELAY-12V-5PIN-BLUE")</f>
        <v>ITBISA-RELAY-12V-5PIN-BLUE</v>
      </c>
      <c r="B9515" s="266">
        <f>IFERROR(__xludf.DUMMYFUNCTION("""COMPUTED_VALUE"""),45665.0)</f>
        <v>45665</v>
      </c>
      <c r="C9515" s="266" t="str">
        <f>IFERROR(__xludf.DUMMYFUNCTION("""COMPUTED_VALUE"""),"KYAI KONTONG")</f>
        <v>KYAI KONTONG</v>
      </c>
      <c r="D9515" s="186">
        <f>IFERROR(__xludf.DUMMYFUNCTION("""COMPUTED_VALUE"""),20.0)</f>
        <v>20</v>
      </c>
    </row>
    <row r="9516">
      <c r="A9516" s="178" t="str">
        <f>IFERROR(__xludf.DUMMYFUNCTION("""COMPUTED_VALUE"""),"ITBISA-RELAY-12V-5PIN-BLUE")</f>
        <v>ITBISA-RELAY-12V-5PIN-BLUE</v>
      </c>
      <c r="B9516" s="266">
        <f>IFERROR(__xludf.DUMMYFUNCTION("""COMPUTED_VALUE"""),45667.0)</f>
        <v>45667</v>
      </c>
      <c r="C9516" s="266" t="str">
        <f>IFERROR(__xludf.DUMMYFUNCTION("""COMPUTED_VALUE"""),"KYAI KONTONG")</f>
        <v>KYAI KONTONG</v>
      </c>
      <c r="D9516" s="186">
        <f>IFERROR(__xludf.DUMMYFUNCTION("""COMPUTED_VALUE"""),10.0)</f>
        <v>10</v>
      </c>
    </row>
    <row r="9517">
      <c r="A9517" s="178" t="str">
        <f>IFERROR(__xludf.DUMMYFUNCTION("""COMPUTED_VALUE"""),"ITBISA-RELAY-12V-5PIN-BLUE")</f>
        <v>ITBISA-RELAY-12V-5PIN-BLUE</v>
      </c>
      <c r="B9517" s="266">
        <f>IFERROR(__xludf.DUMMYFUNCTION("""COMPUTED_VALUE"""),45672.0)</f>
        <v>45672</v>
      </c>
      <c r="C9517" s="266" t="str">
        <f>IFERROR(__xludf.DUMMYFUNCTION("""COMPUTED_VALUE"""),"KYAI KONTONG")</f>
        <v>KYAI KONTONG</v>
      </c>
      <c r="D9517" s="186">
        <f>IFERROR(__xludf.DUMMYFUNCTION("""COMPUTED_VALUE"""),350.0)</f>
        <v>350</v>
      </c>
    </row>
    <row r="9518">
      <c r="A9518" s="178" t="str">
        <f>IFERROR(__xludf.DUMMYFUNCTION("""COMPUTED_VALUE"""),"ITBISA-RELAY-12V-5PIN-BLUE")</f>
        <v>ITBISA-RELAY-12V-5PIN-BLUE</v>
      </c>
      <c r="B9518" s="266">
        <f>IFERROR(__xludf.DUMMYFUNCTION("""COMPUTED_VALUE"""),45694.0)</f>
        <v>45694</v>
      </c>
      <c r="C9518" s="266" t="str">
        <f>IFERROR(__xludf.DUMMYFUNCTION("""COMPUTED_VALUE"""),"KERTASARI CIAMIS")</f>
        <v>KERTASARI CIAMIS</v>
      </c>
      <c r="D9518" s="186">
        <f>IFERROR(__xludf.DUMMYFUNCTION("""COMPUTED_VALUE"""),10.0)</f>
        <v>10</v>
      </c>
    </row>
    <row r="9519">
      <c r="A9519" s="178" t="str">
        <f>IFERROR(__xludf.DUMMYFUNCTION("""COMPUTED_VALUE"""),"ITBISA-RELAY-12V-5PIN-BLUE")</f>
        <v>ITBISA-RELAY-12V-5PIN-BLUE</v>
      </c>
      <c r="B9519" s="266">
        <f>IFERROR(__xludf.DUMMYFUNCTION("""COMPUTED_VALUE"""),45694.0)</f>
        <v>45694</v>
      </c>
      <c r="C9519" s="266" t="str">
        <f>IFERROR(__xludf.DUMMYFUNCTION("""COMPUTED_VALUE"""),"KYAI KONTONG")</f>
        <v>KYAI KONTONG</v>
      </c>
      <c r="D9519" s="186">
        <f>IFERROR(__xludf.DUMMYFUNCTION("""COMPUTED_VALUE"""),240.0)</f>
        <v>240</v>
      </c>
    </row>
    <row r="9520">
      <c r="A9520" s="178" t="str">
        <f>IFERROR(__xludf.DUMMYFUNCTION("""COMPUTED_VALUE"""),"ITBISA-RELAY-12V-5PIN-BLUE")</f>
        <v>ITBISA-RELAY-12V-5PIN-BLUE</v>
      </c>
      <c r="B9520" s="266">
        <f>IFERROR(__xludf.DUMMYFUNCTION("""COMPUTED_VALUE"""),45699.0)</f>
        <v>45699</v>
      </c>
      <c r="C9520" s="266" t="str">
        <f>IFERROR(__xludf.DUMMYFUNCTION("""COMPUTED_VALUE"""),"KERTASARI CIAMIS")</f>
        <v>KERTASARI CIAMIS</v>
      </c>
      <c r="D9520" s="186">
        <f>IFERROR(__xludf.DUMMYFUNCTION("""COMPUTED_VALUE"""),100.0)</f>
        <v>100</v>
      </c>
    </row>
    <row r="9521">
      <c r="A9521" s="178" t="str">
        <f>IFERROR(__xludf.DUMMYFUNCTION("""COMPUTED_VALUE"""),"ITBISA-RELAY-12V-5PIN-BLUE")</f>
        <v>ITBISA-RELAY-12V-5PIN-BLUE</v>
      </c>
      <c r="B9521" s="266">
        <f>IFERROR(__xludf.DUMMYFUNCTION("""COMPUTED_VALUE"""),45699.0)</f>
        <v>45699</v>
      </c>
      <c r="C9521" s="266" t="str">
        <f>IFERROR(__xludf.DUMMYFUNCTION("""COMPUTED_VALUE"""),"KYAI KONTONG")</f>
        <v>KYAI KONTONG</v>
      </c>
      <c r="D9521" s="186">
        <f>IFERROR(__xludf.DUMMYFUNCTION("""COMPUTED_VALUE"""),20.0)</f>
        <v>20</v>
      </c>
    </row>
    <row r="9522">
      <c r="A9522" s="178" t="str">
        <f>IFERROR(__xludf.DUMMYFUNCTION("""COMPUTED_VALUE"""),"ITBISA-RELAY-12V-5PIN-BLUE")</f>
        <v>ITBISA-RELAY-12V-5PIN-BLUE</v>
      </c>
      <c r="B9522" s="266">
        <f>IFERROR(__xludf.DUMMYFUNCTION("""COMPUTED_VALUE"""),45699.0)</f>
        <v>45699</v>
      </c>
      <c r="C9522" s="266" t="str">
        <f>IFERROR(__xludf.DUMMYFUNCTION("""COMPUTED_VALUE"""),"KYAI KONTONG")</f>
        <v>KYAI KONTONG</v>
      </c>
      <c r="D9522" s="186">
        <f>IFERROR(__xludf.DUMMYFUNCTION("""COMPUTED_VALUE"""),27.0)</f>
        <v>27</v>
      </c>
    </row>
    <row r="9523">
      <c r="A9523" s="178" t="str">
        <f>IFERROR(__xludf.DUMMYFUNCTION("""COMPUTED_VALUE"""),"ITBISA-RELAY-12V-5PIN-BLUE")</f>
        <v>ITBISA-RELAY-12V-5PIN-BLUE</v>
      </c>
      <c r="B9523" s="266">
        <f>IFERROR(__xludf.DUMMYFUNCTION("""COMPUTED_VALUE"""),45701.0)</f>
        <v>45701</v>
      </c>
      <c r="C9523" s="266" t="str">
        <f>IFERROR(__xludf.DUMMYFUNCTION("""COMPUTED_VALUE"""),"KERTASARI CIAMIS")</f>
        <v>KERTASARI CIAMIS</v>
      </c>
      <c r="D9523" s="186">
        <f>IFERROR(__xludf.DUMMYFUNCTION("""COMPUTED_VALUE"""),20.0)</f>
        <v>20</v>
      </c>
    </row>
    <row r="9524">
      <c r="A9524" s="178" t="str">
        <f>IFERROR(__xludf.DUMMYFUNCTION("""COMPUTED_VALUE"""),"ITBISA-RELAY-12V-5PIN-BLUE")</f>
        <v>ITBISA-RELAY-12V-5PIN-BLUE</v>
      </c>
      <c r="B9524" s="266">
        <f>IFERROR(__xludf.DUMMYFUNCTION("""COMPUTED_VALUE"""),45701.0)</f>
        <v>45701</v>
      </c>
      <c r="C9524" s="266" t="str">
        <f>IFERROR(__xludf.DUMMYFUNCTION("""COMPUTED_VALUE"""),"KERTASARI CIAMIS")</f>
        <v>KERTASARI CIAMIS</v>
      </c>
      <c r="D9524" s="186">
        <f>IFERROR(__xludf.DUMMYFUNCTION("""COMPUTED_VALUE"""),200.0)</f>
        <v>200</v>
      </c>
    </row>
    <row r="9525">
      <c r="A9525" s="178" t="str">
        <f>IFERROR(__xludf.DUMMYFUNCTION("""COMPUTED_VALUE"""),"ITBISA-RELAY-12V-5PIN-BLUE")</f>
        <v>ITBISA-RELAY-12V-5PIN-BLUE</v>
      </c>
      <c r="B9525" s="266">
        <f>IFERROR(__xludf.DUMMYFUNCTION("""COMPUTED_VALUE"""),45703.0)</f>
        <v>45703</v>
      </c>
      <c r="C9525" s="266" t="str">
        <f>IFERROR(__xludf.DUMMYFUNCTION("""COMPUTED_VALUE"""),"KERTASARI CIAMIS")</f>
        <v>KERTASARI CIAMIS</v>
      </c>
      <c r="D9525" s="186">
        <f>IFERROR(__xludf.DUMMYFUNCTION("""COMPUTED_VALUE"""),25.0)</f>
        <v>25</v>
      </c>
    </row>
    <row r="9526">
      <c r="A9526" s="178" t="str">
        <f>IFERROR(__xludf.DUMMYFUNCTION("""COMPUTED_VALUE"""),"ITBISA-RELAY-12V-5PIN-BLUE")</f>
        <v>ITBISA-RELAY-12V-5PIN-BLUE</v>
      </c>
      <c r="B9526" s="266">
        <f>IFERROR(__xludf.DUMMYFUNCTION("""COMPUTED_VALUE"""),45707.0)</f>
        <v>45707</v>
      </c>
      <c r="C9526" s="266" t="str">
        <f>IFERROR(__xludf.DUMMYFUNCTION("""COMPUTED_VALUE"""),"KYAI KONTONG")</f>
        <v>KYAI KONTONG</v>
      </c>
      <c r="D9526" s="186">
        <f>IFERROR(__xludf.DUMMYFUNCTION("""COMPUTED_VALUE"""),30.0)</f>
        <v>30</v>
      </c>
    </row>
    <row r="9527">
      <c r="A9527" s="178" t="str">
        <f>IFERROR(__xludf.DUMMYFUNCTION("""COMPUTED_VALUE"""),"ITBISA-RELAY-12V-5PIN-BLUE")</f>
        <v>ITBISA-RELAY-12V-5PIN-BLUE</v>
      </c>
      <c r="B9527" s="266">
        <f>IFERROR(__xludf.DUMMYFUNCTION("""COMPUTED_VALUE"""),45709.0)</f>
        <v>45709</v>
      </c>
      <c r="C9527" s="266" t="str">
        <f>IFERROR(__xludf.DUMMYFUNCTION("""COMPUTED_VALUE"""),"KYAI KONTONG")</f>
        <v>KYAI KONTONG</v>
      </c>
      <c r="D9527" s="186">
        <f>IFERROR(__xludf.DUMMYFUNCTION("""COMPUTED_VALUE"""),20.0)</f>
        <v>20</v>
      </c>
    </row>
    <row r="9528">
      <c r="A9528" s="178" t="str">
        <f>IFERROR(__xludf.DUMMYFUNCTION("""COMPUTED_VALUE"""),"ITBISA-RELAY-12V-5PIN-BLUE")</f>
        <v>ITBISA-RELAY-12V-5PIN-BLUE</v>
      </c>
      <c r="B9528" s="266">
        <f>IFERROR(__xludf.DUMMYFUNCTION("""COMPUTED_VALUE"""),45710.0)</f>
        <v>45710</v>
      </c>
      <c r="C9528" s="266" t="str">
        <f>IFERROR(__xludf.DUMMYFUNCTION("""COMPUTED_VALUE"""),"KYAI KONTONG")</f>
        <v>KYAI KONTONG</v>
      </c>
      <c r="D9528" s="186">
        <f>IFERROR(__xludf.DUMMYFUNCTION("""COMPUTED_VALUE"""),58.0)</f>
        <v>58</v>
      </c>
    </row>
    <row r="9529">
      <c r="A9529" s="178" t="str">
        <f>IFERROR(__xludf.DUMMYFUNCTION("""COMPUTED_VALUE"""),"ITBISA-RELAY-12V-5PIN-BLUE")</f>
        <v>ITBISA-RELAY-12V-5PIN-BLUE</v>
      </c>
      <c r="B9529" s="266">
        <f>IFERROR(__xludf.DUMMYFUNCTION("""COMPUTED_VALUE"""),45728.0)</f>
        <v>45728</v>
      </c>
      <c r="C9529" s="266" t="str">
        <f>IFERROR(__xludf.DUMMYFUNCTION("""COMPUTED_VALUE"""),"KERTASARI CIAMIS")</f>
        <v>KERTASARI CIAMIS</v>
      </c>
      <c r="D9529" s="186">
        <f>IFERROR(__xludf.DUMMYFUNCTION("""COMPUTED_VALUE"""),20.0)</f>
        <v>20</v>
      </c>
    </row>
    <row r="9530">
      <c r="A9530" s="178" t="str">
        <f>IFERROR(__xludf.DUMMYFUNCTION("""COMPUTED_VALUE"""),"ITBISA-RELAY-12V-5PIN-BLUE")</f>
        <v>ITBISA-RELAY-12V-5PIN-BLUE</v>
      </c>
      <c r="B9530" s="266">
        <f>IFERROR(__xludf.DUMMYFUNCTION("""COMPUTED_VALUE"""),45733.0)</f>
        <v>45733</v>
      </c>
      <c r="C9530" s="266" t="str">
        <f>IFERROR(__xludf.DUMMYFUNCTION("""COMPUTED_VALUE"""),"KERTASARI CIAMIS")</f>
        <v>KERTASARI CIAMIS</v>
      </c>
      <c r="D9530" s="186">
        <f>IFERROR(__xludf.DUMMYFUNCTION("""COMPUTED_VALUE"""),3.0)</f>
        <v>3</v>
      </c>
    </row>
    <row r="9531">
      <c r="A9531" s="178" t="str">
        <f>IFERROR(__xludf.DUMMYFUNCTION("""COMPUTED_VALUE"""),"ITBISA-RELAY-12V-5PIN-BLUE")</f>
        <v>ITBISA-RELAY-12V-5PIN-BLUE</v>
      </c>
      <c r="B9531" s="266">
        <f>IFERROR(__xludf.DUMMYFUNCTION("""COMPUTED_VALUE"""),45737.0)</f>
        <v>45737</v>
      </c>
      <c r="C9531" s="266" t="str">
        <f>IFERROR(__xludf.DUMMYFUNCTION("""COMPUTED_VALUE"""),"KERTASARI CIAMIS")</f>
        <v>KERTASARI CIAMIS</v>
      </c>
      <c r="D9531" s="186">
        <f>IFERROR(__xludf.DUMMYFUNCTION("""COMPUTED_VALUE"""),1.0)</f>
        <v>1</v>
      </c>
    </row>
    <row r="9532">
      <c r="A9532" s="178" t="str">
        <f>IFERROR(__xludf.DUMMYFUNCTION("""COMPUTED_VALUE"""),"ITBISA-RELAY-12V-5PIN-BLUE")</f>
        <v>ITBISA-RELAY-12V-5PIN-BLUE</v>
      </c>
      <c r="B9532" s="266">
        <f>IFERROR(__xludf.DUMMYFUNCTION("""COMPUTED_VALUE"""),45737.0)</f>
        <v>45737</v>
      </c>
      <c r="C9532" s="266" t="str">
        <f>IFERROR(__xludf.DUMMYFUNCTION("""COMPUTED_VALUE"""),"KERTASARI CIAMIS")</f>
        <v>KERTASARI CIAMIS</v>
      </c>
      <c r="D9532" s="186">
        <f>IFERROR(__xludf.DUMMYFUNCTION("""COMPUTED_VALUE"""),100.0)</f>
        <v>100</v>
      </c>
    </row>
    <row r="9533">
      <c r="A9533" s="178" t="str">
        <f>IFERROR(__xludf.DUMMYFUNCTION("""COMPUTED_VALUE"""),"ITBISA-RELAY-12V-5PIN-BLUE")</f>
        <v>ITBISA-RELAY-12V-5PIN-BLUE</v>
      </c>
      <c r="B9533" s="266">
        <f>IFERROR(__xludf.DUMMYFUNCTION("""COMPUTED_VALUE"""),45737.0)</f>
        <v>45737</v>
      </c>
      <c r="C9533" s="266" t="str">
        <f>IFERROR(__xludf.DUMMYFUNCTION("""COMPUTED_VALUE"""),"KERTASARI CIAMIS")</f>
        <v>KERTASARI CIAMIS</v>
      </c>
      <c r="D9533" s="186">
        <f>IFERROR(__xludf.DUMMYFUNCTION("""COMPUTED_VALUE"""),200.0)</f>
        <v>200</v>
      </c>
    </row>
    <row r="9534">
      <c r="A9534" s="178" t="str">
        <f>IFERROR(__xludf.DUMMYFUNCTION("""COMPUTED_VALUE"""),"ITBISA-RELAY-12V-5PIN-BLUE")</f>
        <v>ITBISA-RELAY-12V-5PIN-BLUE</v>
      </c>
      <c r="B9534" s="266">
        <f>IFERROR(__xludf.DUMMYFUNCTION("""COMPUTED_VALUE"""),45750.0)</f>
        <v>45750</v>
      </c>
      <c r="C9534" s="266" t="str">
        <f>IFERROR(__xludf.DUMMYFUNCTION("""COMPUTED_VALUE"""),"KERTASARI CIAMIS")</f>
        <v>KERTASARI CIAMIS</v>
      </c>
      <c r="D9534" s="186">
        <f>IFERROR(__xludf.DUMMYFUNCTION("""COMPUTED_VALUE"""),20.0)</f>
        <v>20</v>
      </c>
    </row>
    <row r="9535">
      <c r="A9535" s="178" t="str">
        <f>IFERROR(__xludf.DUMMYFUNCTION("""COMPUTED_VALUE"""),"ITBISA-RELAY-12V-5PIN-BLUE")</f>
        <v>ITBISA-RELAY-12V-5PIN-BLUE</v>
      </c>
      <c r="B9535" s="266">
        <f>IFERROR(__xludf.DUMMYFUNCTION("""COMPUTED_VALUE"""),45753.0)</f>
        <v>45753</v>
      </c>
      <c r="C9535" s="266" t="str">
        <f>IFERROR(__xludf.DUMMYFUNCTION("""COMPUTED_VALUE"""),"KERTASARI CIAMIS")</f>
        <v>KERTASARI CIAMIS</v>
      </c>
      <c r="D9535" s="186">
        <f>IFERROR(__xludf.DUMMYFUNCTION("""COMPUTED_VALUE"""),50.0)</f>
        <v>50</v>
      </c>
    </row>
    <row r="9536">
      <c r="A9536" s="178" t="str">
        <f>IFERROR(__xludf.DUMMYFUNCTION("""COMPUTED_VALUE"""),"ITBISA-RELAY-12V-5PIN-BLUE")</f>
        <v>ITBISA-RELAY-12V-5PIN-BLUE</v>
      </c>
      <c r="B9536" s="266">
        <f>IFERROR(__xludf.DUMMYFUNCTION("""COMPUTED_VALUE"""),45756.0)</f>
        <v>45756</v>
      </c>
      <c r="C9536" s="266" t="str">
        <f>IFERROR(__xludf.DUMMYFUNCTION("""COMPUTED_VALUE"""),"KERTASARI CIAMIS")</f>
        <v>KERTASARI CIAMIS</v>
      </c>
      <c r="D9536" s="186">
        <f>IFERROR(__xludf.DUMMYFUNCTION("""COMPUTED_VALUE"""),200.0)</f>
        <v>200</v>
      </c>
    </row>
    <row r="9537">
      <c r="A9537" s="178" t="str">
        <f>IFERROR(__xludf.DUMMYFUNCTION("""COMPUTED_VALUE"""),"ITBISA-RELAY-12V-5PIN-BLUE")</f>
        <v>ITBISA-RELAY-12V-5PIN-BLUE</v>
      </c>
      <c r="B9537" s="266">
        <f>IFERROR(__xludf.DUMMYFUNCTION("""COMPUTED_VALUE"""),45757.0)</f>
        <v>45757</v>
      </c>
      <c r="C9537" s="266" t="str">
        <f>IFERROR(__xludf.DUMMYFUNCTION("""COMPUTED_VALUE"""),"KERTASARI CIAMIS")</f>
        <v>KERTASARI CIAMIS</v>
      </c>
      <c r="D9537" s="186">
        <f>IFERROR(__xludf.DUMMYFUNCTION("""COMPUTED_VALUE"""),4.0)</f>
        <v>4</v>
      </c>
    </row>
    <row r="9538">
      <c r="A9538" s="178" t="str">
        <f>IFERROR(__xludf.DUMMYFUNCTION("""COMPUTED_VALUE"""),"ITBISA-RELAY-12V-5PIN-BLUE")</f>
        <v>ITBISA-RELAY-12V-5PIN-BLUE</v>
      </c>
      <c r="B9538" s="266">
        <f>IFERROR(__xludf.DUMMYFUNCTION("""COMPUTED_VALUE"""),45760.0)</f>
        <v>45760</v>
      </c>
      <c r="C9538" s="266" t="str">
        <f>IFERROR(__xludf.DUMMYFUNCTION("""COMPUTED_VALUE"""),"KERTASARI CIAMIS")</f>
        <v>KERTASARI CIAMIS</v>
      </c>
      <c r="D9538" s="186">
        <f>IFERROR(__xludf.DUMMYFUNCTION("""COMPUTED_VALUE"""),4.0)</f>
        <v>4</v>
      </c>
    </row>
    <row r="9539">
      <c r="A9539" s="178" t="str">
        <f>IFERROR(__xludf.DUMMYFUNCTION("""COMPUTED_VALUE"""),"ITBISA-RELAY-12V-5PIN-BLUE")</f>
        <v>ITBISA-RELAY-12V-5PIN-BLUE</v>
      </c>
      <c r="B9539" s="266">
        <f>IFERROR(__xludf.DUMMYFUNCTION("""COMPUTED_VALUE"""),45761.0)</f>
        <v>45761</v>
      </c>
      <c r="C9539" s="266" t="str">
        <f>IFERROR(__xludf.DUMMYFUNCTION("""COMPUTED_VALUE"""),"KYAI KONTONG")</f>
        <v>KYAI KONTONG</v>
      </c>
      <c r="D9539" s="186">
        <f>IFERROR(__xludf.DUMMYFUNCTION("""COMPUTED_VALUE"""),5.0)</f>
        <v>5</v>
      </c>
    </row>
    <row r="9540">
      <c r="A9540" s="178" t="str">
        <f>IFERROR(__xludf.DUMMYFUNCTION("""COMPUTED_VALUE"""),"ITBISA-RELAY-12V-5PIN-BLUE")</f>
        <v>ITBISA-RELAY-12V-5PIN-BLUE</v>
      </c>
      <c r="B9540" s="266">
        <f>IFERROR(__xludf.DUMMYFUNCTION("""COMPUTED_VALUE"""),45764.0)</f>
        <v>45764</v>
      </c>
      <c r="C9540" s="266" t="str">
        <f>IFERROR(__xludf.DUMMYFUNCTION("""COMPUTED_VALUE"""),"KERTASARI CIAMIS")</f>
        <v>KERTASARI CIAMIS</v>
      </c>
      <c r="D9540" s="186">
        <f>IFERROR(__xludf.DUMMYFUNCTION("""COMPUTED_VALUE"""),300.0)</f>
        <v>300</v>
      </c>
    </row>
    <row r="9541">
      <c r="A9541" s="178" t="str">
        <f>IFERROR(__xludf.DUMMYFUNCTION("""COMPUTED_VALUE"""),"ITBISA-RELAY-12V-5PIN-BLUE")</f>
        <v>ITBISA-RELAY-12V-5PIN-BLUE</v>
      </c>
      <c r="B9541" s="266">
        <f>IFERROR(__xludf.DUMMYFUNCTION("""COMPUTED_VALUE"""),45767.0)</f>
        <v>45767</v>
      </c>
      <c r="C9541" s="266" t="str">
        <f>IFERROR(__xludf.DUMMYFUNCTION("""COMPUTED_VALUE"""),"KERTASARI CIAMIS")</f>
        <v>KERTASARI CIAMIS</v>
      </c>
      <c r="D9541" s="186">
        <f>IFERROR(__xludf.DUMMYFUNCTION("""COMPUTED_VALUE"""),10.0)</f>
        <v>10</v>
      </c>
    </row>
    <row r="9542">
      <c r="A9542" s="178" t="str">
        <f>IFERROR(__xludf.DUMMYFUNCTION("""COMPUTED_VALUE"""),"ITBISA-RELAY-12V-5PIN-BLUE")</f>
        <v>ITBISA-RELAY-12V-5PIN-BLUE</v>
      </c>
      <c r="B9542" s="266">
        <f>IFERROR(__xludf.DUMMYFUNCTION("""COMPUTED_VALUE"""),45774.0)</f>
        <v>45774</v>
      </c>
      <c r="C9542" s="266" t="str">
        <f>IFERROR(__xludf.DUMMYFUNCTION("""COMPUTED_VALUE"""),"KYAI KONTONG")</f>
        <v>KYAI KONTONG</v>
      </c>
      <c r="D9542" s="186">
        <f>IFERROR(__xludf.DUMMYFUNCTION("""COMPUTED_VALUE"""),31.0)</f>
        <v>31</v>
      </c>
    </row>
    <row r="9543">
      <c r="A9543" s="178" t="str">
        <f>IFERROR(__xludf.DUMMYFUNCTION("""COMPUTED_VALUE"""),"ITBISA-RELAY-12V-5PIN-BLUE")</f>
        <v>ITBISA-RELAY-12V-5PIN-BLUE</v>
      </c>
      <c r="B9543" s="266">
        <f>IFERROR(__xludf.DUMMYFUNCTION("""COMPUTED_VALUE"""),45776.0)</f>
        <v>45776</v>
      </c>
      <c r="C9543" s="266" t="str">
        <f>IFERROR(__xludf.DUMMYFUNCTION("""COMPUTED_VALUE"""),"KYAI KONTONG")</f>
        <v>KYAI KONTONG</v>
      </c>
      <c r="D9543" s="186">
        <f>IFERROR(__xludf.DUMMYFUNCTION("""COMPUTED_VALUE"""),25.0)</f>
        <v>25</v>
      </c>
    </row>
    <row r="9544">
      <c r="A9544" s="178" t="str">
        <f>IFERROR(__xludf.DUMMYFUNCTION("""COMPUTED_VALUE"""),"ITBISA-RELAY-12V-5PIN-BLUE")</f>
        <v>ITBISA-RELAY-12V-5PIN-BLUE</v>
      </c>
      <c r="B9544" s="266">
        <f>IFERROR(__xludf.DUMMYFUNCTION("""COMPUTED_VALUE"""),45779.0)</f>
        <v>45779</v>
      </c>
      <c r="C9544" s="266" t="str">
        <f>IFERROR(__xludf.DUMMYFUNCTION("""COMPUTED_VALUE"""),"KERTASARI CIAMIS")</f>
        <v>KERTASARI CIAMIS</v>
      </c>
      <c r="D9544" s="186">
        <f>IFERROR(__xludf.DUMMYFUNCTION("""COMPUTED_VALUE"""),100.0)</f>
        <v>100</v>
      </c>
    </row>
    <row r="9545">
      <c r="A9545" s="178" t="str">
        <f>IFERROR(__xludf.DUMMYFUNCTION("""COMPUTED_VALUE"""),"ITBISA-RELAY-12V-5PIN-BLUE")</f>
        <v>ITBISA-RELAY-12V-5PIN-BLUE</v>
      </c>
      <c r="B9545" s="266">
        <f>IFERROR(__xludf.DUMMYFUNCTION("""COMPUTED_VALUE"""),45783.0)</f>
        <v>45783</v>
      </c>
      <c r="C9545" s="266" t="str">
        <f>IFERROR(__xludf.DUMMYFUNCTION("""COMPUTED_VALUE"""),"KYAI KONTONG")</f>
        <v>KYAI KONTONG</v>
      </c>
      <c r="D9545" s="186">
        <f>IFERROR(__xludf.DUMMYFUNCTION("""COMPUTED_VALUE"""),10.0)</f>
        <v>10</v>
      </c>
    </row>
    <row r="9546">
      <c r="A9546" s="178" t="str">
        <f>IFERROR(__xludf.DUMMYFUNCTION("""COMPUTED_VALUE"""),"ITBISA-RELAY-12V-5PIN-BLUE")</f>
        <v>ITBISA-RELAY-12V-5PIN-BLUE</v>
      </c>
      <c r="B9546" s="266">
        <f>IFERROR(__xludf.DUMMYFUNCTION("""COMPUTED_VALUE"""),45785.0)</f>
        <v>45785</v>
      </c>
      <c r="C9546" s="266" t="str">
        <f>IFERROR(__xludf.DUMMYFUNCTION("""COMPUTED_VALUE"""),"KERTASARI CIAMIS")</f>
        <v>KERTASARI CIAMIS</v>
      </c>
      <c r="D9546" s="186">
        <f>IFERROR(__xludf.DUMMYFUNCTION("""COMPUTED_VALUE"""),174.0)</f>
        <v>174</v>
      </c>
    </row>
    <row r="9547">
      <c r="A9547" s="178" t="str">
        <f>IFERROR(__xludf.DUMMYFUNCTION("""COMPUTED_VALUE"""),"ITBISA-RELAY-12V-5PIN-BLUE")</f>
        <v>ITBISA-RELAY-12V-5PIN-BLUE</v>
      </c>
      <c r="B9547" s="266">
        <f>IFERROR(__xludf.DUMMYFUNCTION("""COMPUTED_VALUE"""),45790.0)</f>
        <v>45790</v>
      </c>
      <c r="C9547" s="266" t="str">
        <f>IFERROR(__xludf.DUMMYFUNCTION("""COMPUTED_VALUE"""),"KYAI KONTONG")</f>
        <v>KYAI KONTONG</v>
      </c>
      <c r="D9547" s="186">
        <f>IFERROR(__xludf.DUMMYFUNCTION("""COMPUTED_VALUE"""),3.0)</f>
        <v>3</v>
      </c>
    </row>
    <row r="9548">
      <c r="A9548" s="178" t="str">
        <f>IFERROR(__xludf.DUMMYFUNCTION("""COMPUTED_VALUE"""),"ITBISA-RELAY-12V-5PIN-BLUE")</f>
        <v>ITBISA-RELAY-12V-5PIN-BLUE</v>
      </c>
      <c r="B9548" s="266">
        <f>IFERROR(__xludf.DUMMYFUNCTION("""COMPUTED_VALUE"""),45792.0)</f>
        <v>45792</v>
      </c>
      <c r="C9548" s="266" t="str">
        <f>IFERROR(__xludf.DUMMYFUNCTION("""COMPUTED_VALUE"""),"KERTASARI CIAMIS")</f>
        <v>KERTASARI CIAMIS</v>
      </c>
      <c r="D9548" s="186">
        <f>IFERROR(__xludf.DUMMYFUNCTION("""COMPUTED_VALUE"""),3.0)</f>
        <v>3</v>
      </c>
    </row>
    <row r="9549">
      <c r="A9549" s="178" t="str">
        <f>IFERROR(__xludf.DUMMYFUNCTION("""COMPUTED_VALUE"""),"ITBISA-RELAY-12V-5PIN-BLUE")</f>
        <v>ITBISA-RELAY-12V-5PIN-BLUE</v>
      </c>
      <c r="B9549" s="266">
        <f>IFERROR(__xludf.DUMMYFUNCTION("""COMPUTED_VALUE"""),45830.0)</f>
        <v>45830</v>
      </c>
      <c r="C9549" s="266" t="str">
        <f>IFERROR(__xludf.DUMMYFUNCTION("""COMPUTED_VALUE"""),"KYAI KONTONG")</f>
        <v>KYAI KONTONG</v>
      </c>
      <c r="D9549" s="186">
        <f>IFERROR(__xludf.DUMMYFUNCTION("""COMPUTED_VALUE"""),20.0)</f>
        <v>20</v>
      </c>
    </row>
    <row r="9550">
      <c r="A9550" s="178" t="str">
        <f>IFERROR(__xludf.DUMMYFUNCTION("""COMPUTED_VALUE"""),"ITBISA-RELAY-12V-5PIN-BLUE")</f>
        <v>ITBISA-RELAY-12V-5PIN-BLUE</v>
      </c>
      <c r="B9550" s="266">
        <f>IFERROR(__xludf.DUMMYFUNCTION("""COMPUTED_VALUE"""),45846.0)</f>
        <v>45846</v>
      </c>
      <c r="C9550" s="266" t="str">
        <f>IFERROR(__xludf.DUMMYFUNCTION("""COMPUTED_VALUE"""),"KYAI KONTONG")</f>
        <v>KYAI KONTONG</v>
      </c>
      <c r="D9550" s="186">
        <f>IFERROR(__xludf.DUMMYFUNCTION("""COMPUTED_VALUE"""),3.0)</f>
        <v>3</v>
      </c>
    </row>
    <row r="9551">
      <c r="A9551" s="178" t="str">
        <f>IFERROR(__xludf.DUMMYFUNCTION("""COMPUTED_VALUE"""),"ITBISA-RELAY-12V-5PIN-BLUE")</f>
        <v>ITBISA-RELAY-12V-5PIN-BLUE</v>
      </c>
      <c r="B9551" s="266">
        <f>IFERROR(__xludf.DUMMYFUNCTION("""COMPUTED_VALUE"""),45880.0)</f>
        <v>45880</v>
      </c>
      <c r="C9551" s="266" t="str">
        <f>IFERROR(__xludf.DUMMYFUNCTION("""COMPUTED_VALUE"""),"KERTASARI CIAMIS")</f>
        <v>KERTASARI CIAMIS</v>
      </c>
      <c r="D9551" s="186">
        <f>IFERROR(__xludf.DUMMYFUNCTION("""COMPUTED_VALUE"""),50.0)</f>
        <v>50</v>
      </c>
    </row>
    <row r="9552">
      <c r="A9552" s="178" t="str">
        <f>IFERROR(__xludf.DUMMYFUNCTION("""COMPUTED_VALUE"""),"ITBISA-RELAY-12V-5PIN-BLUE")</f>
        <v>ITBISA-RELAY-12V-5PIN-BLUE</v>
      </c>
      <c r="B9552" s="266">
        <f>IFERROR(__xludf.DUMMYFUNCTION("""COMPUTED_VALUE"""),45906.0)</f>
        <v>45906</v>
      </c>
      <c r="C9552" s="266" t="str">
        <f>IFERROR(__xludf.DUMMYFUNCTION("""COMPUTED_VALUE"""),"KERTASARI CIAMIS")</f>
        <v>KERTASARI CIAMIS</v>
      </c>
      <c r="D9552" s="186">
        <f>IFERROR(__xludf.DUMMYFUNCTION("""COMPUTED_VALUE"""),4.0)</f>
        <v>4</v>
      </c>
    </row>
    <row r="9553">
      <c r="A9553" s="178" t="str">
        <f>IFERROR(__xludf.DUMMYFUNCTION("""COMPUTED_VALUE"""),"ITBISA-RELAY-12V-5PIN-BLUE")</f>
        <v>ITBISA-RELAY-12V-5PIN-BLUE</v>
      </c>
      <c r="B9553" s="266">
        <f>IFERROR(__xludf.DUMMYFUNCTION("""COMPUTED_VALUE"""),45948.0)</f>
        <v>45948</v>
      </c>
      <c r="C9553" s="266" t="str">
        <f>IFERROR(__xludf.DUMMYFUNCTION("""COMPUTED_VALUE"""),"KYAI KONTONG")</f>
        <v>KYAI KONTONG</v>
      </c>
      <c r="D9553" s="186">
        <f>IFERROR(__xludf.DUMMYFUNCTION("""COMPUTED_VALUE"""),10.0)</f>
        <v>10</v>
      </c>
    </row>
    <row r="9554">
      <c r="A9554" s="178" t="str">
        <f>IFERROR(__xludf.DUMMYFUNCTION("""COMPUTED_VALUE"""),"ITBISA-RELAY-12V-5PIN-BLUE")</f>
        <v>ITBISA-RELAY-12V-5PIN-BLUE</v>
      </c>
      <c r="B9554" s="266">
        <f>IFERROR(__xludf.DUMMYFUNCTION("""COMPUTED_VALUE"""),45952.0)</f>
        <v>45952</v>
      </c>
      <c r="C9554" s="266" t="str">
        <f>IFERROR(__xludf.DUMMYFUNCTION("""COMPUTED_VALUE"""),"KERTASARI CIAMIS")</f>
        <v>KERTASARI CIAMIS</v>
      </c>
      <c r="D9554" s="186">
        <f>IFERROR(__xludf.DUMMYFUNCTION("""COMPUTED_VALUE"""),2.0)</f>
        <v>2</v>
      </c>
    </row>
    <row r="9555">
      <c r="A9555" s="178" t="str">
        <f>IFERROR(__xludf.DUMMYFUNCTION("""COMPUTED_VALUE"""),"ITBISA-RELAY-12V-5PIN-BLUE")</f>
        <v>ITBISA-RELAY-12V-5PIN-BLUE</v>
      </c>
      <c r="B9555" s="266">
        <f>IFERROR(__xludf.DUMMYFUNCTION("""COMPUTED_VALUE"""),45954.0)</f>
        <v>45954</v>
      </c>
      <c r="C9555" s="266" t="str">
        <f>IFERROR(__xludf.DUMMYFUNCTION("""COMPUTED_VALUE"""),"KERTASARI CIAMIS")</f>
        <v>KERTASARI CIAMIS</v>
      </c>
      <c r="D9555" s="186">
        <f>IFERROR(__xludf.DUMMYFUNCTION("""COMPUTED_VALUE"""),40.0)</f>
        <v>40</v>
      </c>
    </row>
    <row r="9556">
      <c r="A9556" s="178" t="str">
        <f>IFERROR(__xludf.DUMMYFUNCTION("""COMPUTED_VALUE"""),"ITBISA-RELAY-12V-5PIN-BLUE")</f>
        <v>ITBISA-RELAY-12V-5PIN-BLUE</v>
      </c>
      <c r="B9556" s="266">
        <f>IFERROR(__xludf.DUMMYFUNCTION("""COMPUTED_VALUE"""),45958.0)</f>
        <v>45958</v>
      </c>
      <c r="C9556" s="266" t="str">
        <f>IFERROR(__xludf.DUMMYFUNCTION("""COMPUTED_VALUE"""),"KYAI KONTONG")</f>
        <v>KYAI KONTONG</v>
      </c>
      <c r="D9556" s="186">
        <f>IFERROR(__xludf.DUMMYFUNCTION("""COMPUTED_VALUE"""),20.0)</f>
        <v>20</v>
      </c>
    </row>
    <row r="9557">
      <c r="A9557" s="178" t="str">
        <f>IFERROR(__xludf.DUMMYFUNCTION("""COMPUTED_VALUE"""),"ITBISA-RELAY-12V-5PIN-BLUE")</f>
        <v>ITBISA-RELAY-12V-5PIN-BLUE</v>
      </c>
      <c r="B9557" s="266">
        <f>IFERROR(__xludf.DUMMYFUNCTION("""COMPUTED_VALUE"""),45960.0)</f>
        <v>45960</v>
      </c>
      <c r="C9557" s="266" t="str">
        <f>IFERROR(__xludf.DUMMYFUNCTION("""COMPUTED_VALUE"""),"KYAI KONTONG")</f>
        <v>KYAI KONTONG</v>
      </c>
      <c r="D9557" s="186">
        <f>IFERROR(__xludf.DUMMYFUNCTION("""COMPUTED_VALUE"""),11.0)</f>
        <v>11</v>
      </c>
    </row>
    <row r="9558">
      <c r="A9558" s="178" t="str">
        <f>IFERROR(__xludf.DUMMYFUNCTION("""COMPUTED_VALUE"""),"ITBISA-RELAY-12V-5PIN-BLUE")</f>
        <v>ITBISA-RELAY-12V-5PIN-BLUE</v>
      </c>
      <c r="B9558" s="266">
        <f>IFERROR(__xludf.DUMMYFUNCTION("""COMPUTED_VALUE"""),45961.0)</f>
        <v>45961</v>
      </c>
      <c r="C9558" s="266" t="str">
        <f>IFERROR(__xludf.DUMMYFUNCTION("""COMPUTED_VALUE"""),"KYAI KONTONG")</f>
        <v>KYAI KONTONG</v>
      </c>
      <c r="D9558" s="186">
        <f>IFERROR(__xludf.DUMMYFUNCTION("""COMPUTED_VALUE"""),10.0)</f>
        <v>10</v>
      </c>
    </row>
    <row r="9559">
      <c r="A9559" s="178" t="str">
        <f>IFERROR(__xludf.DUMMYFUNCTION("""COMPUTED_VALUE"""),"ITBISA-RELAY-12V-5PIN-BLUE")</f>
        <v>ITBISA-RELAY-12V-5PIN-BLUE</v>
      </c>
      <c r="B9559" s="266">
        <f>IFERROR(__xludf.DUMMYFUNCTION("""COMPUTED_VALUE"""),45962.0)</f>
        <v>45962</v>
      </c>
      <c r="C9559" s="266" t="str">
        <f>IFERROR(__xludf.DUMMYFUNCTION("""COMPUTED_VALUE"""),"KYAI KONTONG")</f>
        <v>KYAI KONTONG</v>
      </c>
      <c r="D9559" s="186">
        <f>IFERROR(__xludf.DUMMYFUNCTION("""COMPUTED_VALUE"""),10.0)</f>
        <v>10</v>
      </c>
    </row>
    <row r="9560">
      <c r="A9560" s="178" t="str">
        <f>IFERROR(__xludf.DUMMYFUNCTION("""COMPUTED_VALUE"""),"ITBISA-RELAY-12V-5PIN-BLUE")</f>
        <v>ITBISA-RELAY-12V-5PIN-BLUE</v>
      </c>
      <c r="B9560" s="266">
        <f>IFERROR(__xludf.DUMMYFUNCTION("""COMPUTED_VALUE"""),45962.0)</f>
        <v>45962</v>
      </c>
      <c r="C9560" s="266" t="str">
        <f>IFERROR(__xludf.DUMMYFUNCTION("""COMPUTED_VALUE"""),"KYAI KONTONG")</f>
        <v>KYAI KONTONG</v>
      </c>
      <c r="D9560" s="186">
        <f>IFERROR(__xludf.DUMMYFUNCTION("""COMPUTED_VALUE"""),20.0)</f>
        <v>20</v>
      </c>
    </row>
    <row r="9561">
      <c r="A9561" s="178" t="str">
        <f>IFERROR(__xludf.DUMMYFUNCTION("""COMPUTED_VALUE"""),"ITBISA-RELAY-12V-5PIN-BLUE")</f>
        <v>ITBISA-RELAY-12V-5PIN-BLUE</v>
      </c>
      <c r="B9561" s="266">
        <f>IFERROR(__xludf.DUMMYFUNCTION("""COMPUTED_VALUE"""),45965.0)</f>
        <v>45965</v>
      </c>
      <c r="C9561" s="266" t="str">
        <f>IFERROR(__xludf.DUMMYFUNCTION("""COMPUTED_VALUE"""),"KYAI KONTONG")</f>
        <v>KYAI KONTONG</v>
      </c>
      <c r="D9561" s="186">
        <f>IFERROR(__xludf.DUMMYFUNCTION("""COMPUTED_VALUE"""),10.0)</f>
        <v>10</v>
      </c>
    </row>
    <row r="9562">
      <c r="A9562" s="178" t="str">
        <f>IFERROR(__xludf.DUMMYFUNCTION("""COMPUTED_VALUE"""),"ITBISA-RELAY-12V-5PIN-BLUE")</f>
        <v>ITBISA-RELAY-12V-5PIN-BLUE</v>
      </c>
      <c r="B9562" s="266">
        <f>IFERROR(__xludf.DUMMYFUNCTION("""COMPUTED_VALUE"""),45965.0)</f>
        <v>45965</v>
      </c>
      <c r="C9562" s="266" t="str">
        <f>IFERROR(__xludf.DUMMYFUNCTION("""COMPUTED_VALUE"""),"KYAI KONTONG")</f>
        <v>KYAI KONTONG</v>
      </c>
      <c r="D9562" s="186">
        <f>IFERROR(__xludf.DUMMYFUNCTION("""COMPUTED_VALUE"""),20.0)</f>
        <v>20</v>
      </c>
    </row>
    <row r="9563">
      <c r="A9563" s="178" t="str">
        <f>IFERROR(__xludf.DUMMYFUNCTION("""COMPUTED_VALUE"""),"ITBISA-RELAY-12V-5PIN-BLUE")</f>
        <v>ITBISA-RELAY-12V-5PIN-BLUE</v>
      </c>
      <c r="B9563" s="266">
        <f>IFERROR(__xludf.DUMMYFUNCTION("""COMPUTED_VALUE"""),45966.0)</f>
        <v>45966</v>
      </c>
      <c r="C9563" s="266" t="str">
        <f>IFERROR(__xludf.DUMMYFUNCTION("""COMPUTED_VALUE"""),"KYAI KONTONG")</f>
        <v>KYAI KONTONG</v>
      </c>
      <c r="D9563" s="186">
        <f>IFERROR(__xludf.DUMMYFUNCTION("""COMPUTED_VALUE"""),10.0)</f>
        <v>10</v>
      </c>
    </row>
    <row r="9564">
      <c r="A9564" s="178" t="str">
        <f>IFERROR(__xludf.DUMMYFUNCTION("""COMPUTED_VALUE"""),"ITBISA-RELAY-12V-5PIN-BLUE")</f>
        <v>ITBISA-RELAY-12V-5PIN-BLUE</v>
      </c>
      <c r="B9564" s="266">
        <f>IFERROR(__xludf.DUMMYFUNCTION("""COMPUTED_VALUE"""),45969.0)</f>
        <v>45969</v>
      </c>
      <c r="C9564" s="266" t="str">
        <f>IFERROR(__xludf.DUMMYFUNCTION("""COMPUTED_VALUE"""),"KERTASARI CIAMIS")</f>
        <v>KERTASARI CIAMIS</v>
      </c>
      <c r="D9564" s="186">
        <f>IFERROR(__xludf.DUMMYFUNCTION("""COMPUTED_VALUE"""),10.0)</f>
        <v>10</v>
      </c>
    </row>
    <row r="9565">
      <c r="A9565" s="178" t="str">
        <f>IFERROR(__xludf.DUMMYFUNCTION("""COMPUTED_VALUE"""),"ITBISA-RELAY-12V-5PIN-BLUE")</f>
        <v>ITBISA-RELAY-12V-5PIN-BLUE</v>
      </c>
      <c r="B9565" s="266">
        <f>IFERROR(__xludf.DUMMYFUNCTION("""COMPUTED_VALUE"""),45969.0)</f>
        <v>45969</v>
      </c>
      <c r="C9565" s="266" t="str">
        <f>IFERROR(__xludf.DUMMYFUNCTION("""COMPUTED_VALUE"""),"KERTASARI CIAMIS")</f>
        <v>KERTASARI CIAMIS</v>
      </c>
      <c r="D9565" s="186">
        <f>IFERROR(__xludf.DUMMYFUNCTION("""COMPUTED_VALUE"""),90.0)</f>
        <v>90</v>
      </c>
    </row>
    <row r="9566">
      <c r="A9566" s="178" t="str">
        <f>IFERROR(__xludf.DUMMYFUNCTION("""COMPUTED_VALUE"""),"ITBISA-RELAY-12V-5PIN-BLUE")</f>
        <v>ITBISA-RELAY-12V-5PIN-BLUE</v>
      </c>
      <c r="B9566" s="266">
        <f>IFERROR(__xludf.DUMMYFUNCTION("""COMPUTED_VALUE"""),45969.0)</f>
        <v>45969</v>
      </c>
      <c r="C9566" s="266" t="str">
        <f>IFERROR(__xludf.DUMMYFUNCTION("""COMPUTED_VALUE"""),"KYAI KONTONG")</f>
        <v>KYAI KONTONG</v>
      </c>
      <c r="D9566" s="186">
        <f>IFERROR(__xludf.DUMMYFUNCTION("""COMPUTED_VALUE"""),10.0)</f>
        <v>10</v>
      </c>
    </row>
    <row r="9567">
      <c r="A9567" s="178" t="str">
        <f>IFERROR(__xludf.DUMMYFUNCTION("""COMPUTED_VALUE"""),"ITBISA-RELAY-12V-5PIN-BLUE")</f>
        <v>ITBISA-RELAY-12V-5PIN-BLUE</v>
      </c>
      <c r="B9567" s="266">
        <f>IFERROR(__xludf.DUMMYFUNCTION("""COMPUTED_VALUE"""),45970.0)</f>
        <v>45970</v>
      </c>
      <c r="C9567" s="266" t="str">
        <f>IFERROR(__xludf.DUMMYFUNCTION("""COMPUTED_VALUE"""),"KERTASARI CIAMIS")</f>
        <v>KERTASARI CIAMIS</v>
      </c>
      <c r="D9567" s="186">
        <f>IFERROR(__xludf.DUMMYFUNCTION("""COMPUTED_VALUE"""),2.0)</f>
        <v>2</v>
      </c>
    </row>
    <row r="9568">
      <c r="A9568" s="178" t="str">
        <f>IFERROR(__xludf.DUMMYFUNCTION("""COMPUTED_VALUE"""),"ITBISA-RELAY-12V-5PIN-BLUE")</f>
        <v>ITBISA-RELAY-12V-5PIN-BLUE</v>
      </c>
      <c r="B9568" s="266">
        <f>IFERROR(__xludf.DUMMYFUNCTION("""COMPUTED_VALUE"""),45972.0)</f>
        <v>45972</v>
      </c>
      <c r="C9568" s="266" t="str">
        <f>IFERROR(__xludf.DUMMYFUNCTION("""COMPUTED_VALUE"""),"KERTASARI CIAMIS")</f>
        <v>KERTASARI CIAMIS</v>
      </c>
      <c r="D9568" s="186">
        <f>IFERROR(__xludf.DUMMYFUNCTION("""COMPUTED_VALUE"""),20.0)</f>
        <v>20</v>
      </c>
    </row>
    <row r="9569">
      <c r="A9569" s="178" t="str">
        <f>IFERROR(__xludf.DUMMYFUNCTION("""COMPUTED_VALUE"""),"ITBISA-RELAY-12V-5PIN-BLUE")</f>
        <v>ITBISA-RELAY-12V-5PIN-BLUE</v>
      </c>
      <c r="B9569" s="266">
        <f>IFERROR(__xludf.DUMMYFUNCTION("""COMPUTED_VALUE"""),45972.0)</f>
        <v>45972</v>
      </c>
      <c r="C9569" s="266" t="str">
        <f>IFERROR(__xludf.DUMMYFUNCTION("""COMPUTED_VALUE"""),"KERTASARI CIAMIS")</f>
        <v>KERTASARI CIAMIS</v>
      </c>
      <c r="D9569" s="186">
        <f>IFERROR(__xludf.DUMMYFUNCTION("""COMPUTED_VALUE"""),50.0)</f>
        <v>50</v>
      </c>
    </row>
    <row r="9570">
      <c r="A9570" s="178" t="str">
        <f>IFERROR(__xludf.DUMMYFUNCTION("""COMPUTED_VALUE"""),"ITBISA-RELAY-12V-5PIN-BLUE")</f>
        <v>ITBISA-RELAY-12V-5PIN-BLUE</v>
      </c>
      <c r="B9570" s="266">
        <f>IFERROR(__xludf.DUMMYFUNCTION("""COMPUTED_VALUE"""),45973.0)</f>
        <v>45973</v>
      </c>
      <c r="C9570" s="266" t="str">
        <f>IFERROR(__xludf.DUMMYFUNCTION("""COMPUTED_VALUE"""),"KERTASARI CIAMIS")</f>
        <v>KERTASARI CIAMIS</v>
      </c>
      <c r="D9570" s="186">
        <f>IFERROR(__xludf.DUMMYFUNCTION("""COMPUTED_VALUE"""),10.0)</f>
        <v>10</v>
      </c>
    </row>
    <row r="9571">
      <c r="A9571" s="178" t="str">
        <f>IFERROR(__xludf.DUMMYFUNCTION("""COMPUTED_VALUE"""),"ITBISA-RELAY-12V-5PIN-BLUE")</f>
        <v>ITBISA-RELAY-12V-5PIN-BLUE</v>
      </c>
      <c r="B9571" s="266">
        <f>IFERROR(__xludf.DUMMYFUNCTION("""COMPUTED_VALUE"""),45973.0)</f>
        <v>45973</v>
      </c>
      <c r="C9571" s="266" t="str">
        <f>IFERROR(__xludf.DUMMYFUNCTION("""COMPUTED_VALUE"""),"KERTASARI CIAMIS")</f>
        <v>KERTASARI CIAMIS</v>
      </c>
      <c r="D9571" s="186">
        <f>IFERROR(__xludf.DUMMYFUNCTION("""COMPUTED_VALUE"""),20.0)</f>
        <v>20</v>
      </c>
    </row>
    <row r="9572">
      <c r="A9572" s="178" t="str">
        <f>IFERROR(__xludf.DUMMYFUNCTION("""COMPUTED_VALUE"""),"ITBISA-RELAY-12V-5PIN-BLUE")</f>
        <v>ITBISA-RELAY-12V-5PIN-BLUE</v>
      </c>
      <c r="B9572" s="266">
        <f>IFERROR(__xludf.DUMMYFUNCTION("""COMPUTED_VALUE"""),45973.0)</f>
        <v>45973</v>
      </c>
      <c r="C9572" s="266" t="str">
        <f>IFERROR(__xludf.DUMMYFUNCTION("""COMPUTED_VALUE"""),"KERTASARI CIAMIS")</f>
        <v>KERTASARI CIAMIS</v>
      </c>
      <c r="D9572" s="186">
        <f>IFERROR(__xludf.DUMMYFUNCTION("""COMPUTED_VALUE"""),50.0)</f>
        <v>50</v>
      </c>
    </row>
    <row r="9573">
      <c r="A9573" s="178" t="str">
        <f>IFERROR(__xludf.DUMMYFUNCTION("""COMPUTED_VALUE"""),"ITBISA-RELAY-12V-5PIN-BLUE")</f>
        <v>ITBISA-RELAY-12V-5PIN-BLUE</v>
      </c>
      <c r="B9573" s="266">
        <f>IFERROR(__xludf.DUMMYFUNCTION("""COMPUTED_VALUE"""),45973.0)</f>
        <v>45973</v>
      </c>
      <c r="C9573" s="266" t="str">
        <f>IFERROR(__xludf.DUMMYFUNCTION("""COMPUTED_VALUE"""),"KERTASARI CIAMIS")</f>
        <v>KERTASARI CIAMIS</v>
      </c>
      <c r="D9573" s="186">
        <f>IFERROR(__xludf.DUMMYFUNCTION("""COMPUTED_VALUE"""),100.0)</f>
        <v>100</v>
      </c>
    </row>
    <row r="9574">
      <c r="A9574" s="178" t="str">
        <f>IFERROR(__xludf.DUMMYFUNCTION("""COMPUTED_VALUE"""),"ITBISA-RELAY-12V-5PIN-BLUE")</f>
        <v>ITBISA-RELAY-12V-5PIN-BLUE</v>
      </c>
      <c r="B9574" s="266">
        <f>IFERROR(__xludf.DUMMYFUNCTION("""COMPUTED_VALUE"""),45975.0)</f>
        <v>45975</v>
      </c>
      <c r="C9574" s="266" t="str">
        <f>IFERROR(__xludf.DUMMYFUNCTION("""COMPUTED_VALUE"""),"KERTASARI CIAMIS")</f>
        <v>KERTASARI CIAMIS</v>
      </c>
      <c r="D9574" s="186">
        <f>IFERROR(__xludf.DUMMYFUNCTION("""COMPUTED_VALUE"""),20.0)</f>
        <v>20</v>
      </c>
    </row>
    <row r="9575">
      <c r="A9575" s="178" t="str">
        <f>IFERROR(__xludf.DUMMYFUNCTION("""COMPUTED_VALUE"""),"ITBISA-RELAY-12V-5PIN-BLUE")</f>
        <v>ITBISA-RELAY-12V-5PIN-BLUE</v>
      </c>
      <c r="B9575" s="266">
        <f>IFERROR(__xludf.DUMMYFUNCTION("""COMPUTED_VALUE"""),45977.0)</f>
        <v>45977</v>
      </c>
      <c r="C9575" s="266" t="str">
        <f>IFERROR(__xludf.DUMMYFUNCTION("""COMPUTED_VALUE"""),"KERTASARI CIAMIS")</f>
        <v>KERTASARI CIAMIS</v>
      </c>
      <c r="D9575" s="186">
        <f>IFERROR(__xludf.DUMMYFUNCTION("""COMPUTED_VALUE"""),10.0)</f>
        <v>10</v>
      </c>
    </row>
    <row r="9576">
      <c r="A9576" s="178" t="str">
        <f>IFERROR(__xludf.DUMMYFUNCTION("""COMPUTED_VALUE"""),"ITBISA-RELAY-12V-5PIN-BLUE")</f>
        <v>ITBISA-RELAY-12V-5PIN-BLUE</v>
      </c>
      <c r="B9576" s="266">
        <f>IFERROR(__xludf.DUMMYFUNCTION("""COMPUTED_VALUE"""),45979.0)</f>
        <v>45979</v>
      </c>
      <c r="C9576" s="266" t="str">
        <f>IFERROR(__xludf.DUMMYFUNCTION("""COMPUTED_VALUE"""),"KERTASARI CIAMIS")</f>
        <v>KERTASARI CIAMIS</v>
      </c>
      <c r="D9576" s="186">
        <f>IFERROR(__xludf.DUMMYFUNCTION("""COMPUTED_VALUE"""),34.0)</f>
        <v>34</v>
      </c>
    </row>
    <row r="9577">
      <c r="A9577" s="178" t="str">
        <f>IFERROR(__xludf.DUMMYFUNCTION("""COMPUTED_VALUE"""),"ITBISA-RELAY-12V-5PIN-BLUE")</f>
        <v>ITBISA-RELAY-12V-5PIN-BLUE</v>
      </c>
      <c r="B9577" s="266">
        <f>IFERROR(__xludf.DUMMYFUNCTION("""COMPUTED_VALUE"""),45980.0)</f>
        <v>45980</v>
      </c>
      <c r="C9577" s="266" t="str">
        <f>IFERROR(__xludf.DUMMYFUNCTION("""COMPUTED_VALUE"""),"KERTASARI CIAMIS")</f>
        <v>KERTASARI CIAMIS</v>
      </c>
      <c r="D9577" s="186">
        <f>IFERROR(__xludf.DUMMYFUNCTION("""COMPUTED_VALUE"""),20.0)</f>
        <v>20</v>
      </c>
    </row>
    <row r="9578">
      <c r="A9578" s="178" t="str">
        <f>IFERROR(__xludf.DUMMYFUNCTION("""COMPUTED_VALUE"""),"ITBISA-RELAY-12V-5PIN-BLUE")</f>
        <v>ITBISA-RELAY-12V-5PIN-BLUE</v>
      </c>
      <c r="B9578" s="266">
        <f>IFERROR(__xludf.DUMMYFUNCTION("""COMPUTED_VALUE"""),45983.0)</f>
        <v>45983</v>
      </c>
      <c r="C9578" s="266" t="str">
        <f>IFERROR(__xludf.DUMMYFUNCTION("""COMPUTED_VALUE"""),"KERTASARI CIAMIS")</f>
        <v>KERTASARI CIAMIS</v>
      </c>
      <c r="D9578" s="186">
        <f>IFERROR(__xludf.DUMMYFUNCTION("""COMPUTED_VALUE"""),30.0)</f>
        <v>30</v>
      </c>
    </row>
    <row r="9579">
      <c r="A9579" s="178" t="str">
        <f>IFERROR(__xludf.DUMMYFUNCTION("""COMPUTED_VALUE"""),"ITBISA-RELAY-12V-5PIN-BLUE")</f>
        <v>ITBISA-RELAY-12V-5PIN-BLUE</v>
      </c>
      <c r="B9579" s="266">
        <f>IFERROR(__xludf.DUMMYFUNCTION("""COMPUTED_VALUE"""),45985.0)</f>
        <v>45985</v>
      </c>
      <c r="C9579" s="266" t="str">
        <f>IFERROR(__xludf.DUMMYFUNCTION("""COMPUTED_VALUE"""),"KERTASARI CIAMIS")</f>
        <v>KERTASARI CIAMIS</v>
      </c>
      <c r="D9579" s="186">
        <f>IFERROR(__xludf.DUMMYFUNCTION("""COMPUTED_VALUE"""),10.0)</f>
        <v>10</v>
      </c>
    </row>
    <row r="9580">
      <c r="A9580" s="178" t="str">
        <f>IFERROR(__xludf.DUMMYFUNCTION("""COMPUTED_VALUE"""),"ITBISA-RELAY-12V-5PIN-BLUE")</f>
        <v>ITBISA-RELAY-12V-5PIN-BLUE</v>
      </c>
      <c r="B9580" s="266">
        <f>IFERROR(__xludf.DUMMYFUNCTION("""COMPUTED_VALUE"""),45987.0)</f>
        <v>45987</v>
      </c>
      <c r="C9580" s="266" t="str">
        <f>IFERROR(__xludf.DUMMYFUNCTION("""COMPUTED_VALUE"""),"KERTASARI CIAMIS")</f>
        <v>KERTASARI CIAMIS</v>
      </c>
      <c r="D9580" s="186">
        <f>IFERROR(__xludf.DUMMYFUNCTION("""COMPUTED_VALUE"""),400.0)</f>
        <v>400</v>
      </c>
    </row>
    <row r="9581">
      <c r="A9581" s="178" t="str">
        <f>IFERROR(__xludf.DUMMYFUNCTION("""COMPUTED_VALUE"""),"ITBISA-RELAY-12V-5PIN-BLUE")</f>
        <v>ITBISA-RELAY-12V-5PIN-BLUE</v>
      </c>
      <c r="B9581" s="266">
        <f>IFERROR(__xludf.DUMMYFUNCTION("""COMPUTED_VALUE"""),45988.0)</f>
        <v>45988</v>
      </c>
      <c r="C9581" s="266" t="str">
        <f>IFERROR(__xludf.DUMMYFUNCTION("""COMPUTED_VALUE"""),"KERTASARI CIAMIS")</f>
        <v>KERTASARI CIAMIS</v>
      </c>
      <c r="D9581" s="186">
        <f>IFERROR(__xludf.DUMMYFUNCTION("""COMPUTED_VALUE"""),40.0)</f>
        <v>40</v>
      </c>
    </row>
    <row r="9582">
      <c r="A9582" s="178" t="str">
        <f>IFERROR(__xludf.DUMMYFUNCTION("""COMPUTED_VALUE"""),"ITBISA-RELAY-12V-5PIN-BLUE")</f>
        <v>ITBISA-RELAY-12V-5PIN-BLUE</v>
      </c>
      <c r="B9582" s="266">
        <f>IFERROR(__xludf.DUMMYFUNCTION("""COMPUTED_VALUE"""),45989.0)</f>
        <v>45989</v>
      </c>
      <c r="C9582" s="266" t="str">
        <f>IFERROR(__xludf.DUMMYFUNCTION("""COMPUTED_VALUE"""),"KERTASARI CIAMIS")</f>
        <v>KERTASARI CIAMIS</v>
      </c>
      <c r="D9582" s="186">
        <f>IFERROR(__xludf.DUMMYFUNCTION("""COMPUTED_VALUE"""),1.0)</f>
        <v>1</v>
      </c>
    </row>
    <row r="9583">
      <c r="A9583" s="178" t="str">
        <f>IFERROR(__xludf.DUMMYFUNCTION("""COMPUTED_VALUE"""),"ITBISA-RELAY-12V-5PIN-BLUE")</f>
        <v>ITBISA-RELAY-12V-5PIN-BLUE</v>
      </c>
      <c r="B9583" s="266">
        <f>IFERROR(__xludf.DUMMYFUNCTION("""COMPUTED_VALUE"""),45990.0)</f>
        <v>45990</v>
      </c>
      <c r="C9583" s="266" t="str">
        <f>IFERROR(__xludf.DUMMYFUNCTION("""COMPUTED_VALUE"""),"KERTASARI CIAMIS")</f>
        <v>KERTASARI CIAMIS</v>
      </c>
      <c r="D9583" s="186">
        <f>IFERROR(__xludf.DUMMYFUNCTION("""COMPUTED_VALUE"""),4.0)</f>
        <v>4</v>
      </c>
    </row>
    <row r="9584">
      <c r="A9584" s="178" t="str">
        <f>IFERROR(__xludf.DUMMYFUNCTION("""COMPUTED_VALUE"""),"ITBISA-RELAY-12V-5PIN-BLUE")</f>
        <v>ITBISA-RELAY-12V-5PIN-BLUE</v>
      </c>
      <c r="B9584" s="266">
        <f>IFERROR(__xludf.DUMMYFUNCTION("""COMPUTED_VALUE"""),45993.0)</f>
        <v>45993</v>
      </c>
      <c r="C9584" s="266" t="str">
        <f>IFERROR(__xludf.DUMMYFUNCTION("""COMPUTED_VALUE"""),"KERTASARI CIAMIS")</f>
        <v>KERTASARI CIAMIS</v>
      </c>
      <c r="D9584" s="186">
        <f>IFERROR(__xludf.DUMMYFUNCTION("""COMPUTED_VALUE"""),10.0)</f>
        <v>10</v>
      </c>
    </row>
    <row r="9585">
      <c r="A9585" s="178" t="str">
        <f>IFERROR(__xludf.DUMMYFUNCTION("""COMPUTED_VALUE"""),"ITBISA-RELAY-12V-5PIN-BLUE")</f>
        <v>ITBISA-RELAY-12V-5PIN-BLUE</v>
      </c>
      <c r="B9585" s="266">
        <f>IFERROR(__xludf.DUMMYFUNCTION("""COMPUTED_VALUE"""),45994.0)</f>
        <v>45994</v>
      </c>
      <c r="C9585" s="266" t="str">
        <f>IFERROR(__xludf.DUMMYFUNCTION("""COMPUTED_VALUE"""),"KERTASARI CIAMIS")</f>
        <v>KERTASARI CIAMIS</v>
      </c>
      <c r="D9585" s="186">
        <f>IFERROR(__xludf.DUMMYFUNCTION("""COMPUTED_VALUE"""),10.0)</f>
        <v>10</v>
      </c>
    </row>
    <row r="9586">
      <c r="A9586" s="178" t="str">
        <f>IFERROR(__xludf.DUMMYFUNCTION("""COMPUTED_VALUE"""),"ITBISA-RELAY-12V-5PIN-BLUE")</f>
        <v>ITBISA-RELAY-12V-5PIN-BLUE</v>
      </c>
      <c r="B9586" s="266">
        <f>IFERROR(__xludf.DUMMYFUNCTION("""COMPUTED_VALUE"""),45994.0)</f>
        <v>45994</v>
      </c>
      <c r="C9586" s="266" t="str">
        <f>IFERROR(__xludf.DUMMYFUNCTION("""COMPUTED_VALUE"""),"KYAI KONTONG")</f>
        <v>KYAI KONTONG</v>
      </c>
      <c r="D9586" s="186">
        <f>IFERROR(__xludf.DUMMYFUNCTION("""COMPUTED_VALUE"""),0.0)</f>
        <v>0</v>
      </c>
    </row>
    <row r="9587">
      <c r="A9587" s="178" t="str">
        <f>IFERROR(__xludf.DUMMYFUNCTION("""COMPUTED_VALUE"""),"ITBISA-RELAY-12V-5PIN-BLUE")</f>
        <v>ITBISA-RELAY-12V-5PIN-BLUE</v>
      </c>
      <c r="B9587" s="266">
        <f>IFERROR(__xludf.DUMMYFUNCTION("""COMPUTED_VALUE"""),46000.0)</f>
        <v>46000</v>
      </c>
      <c r="C9587" s="266" t="str">
        <f>IFERROR(__xludf.DUMMYFUNCTION("""COMPUTED_VALUE"""),"KERTASARI CIAMIS")</f>
        <v>KERTASARI CIAMIS</v>
      </c>
      <c r="D9587" s="186">
        <f>IFERROR(__xludf.DUMMYFUNCTION("""COMPUTED_VALUE"""),10.0)</f>
        <v>10</v>
      </c>
    </row>
    <row r="9588">
      <c r="A9588" s="178" t="str">
        <f>IFERROR(__xludf.DUMMYFUNCTION("""COMPUTED_VALUE"""),"ITBISA-RELAY-12V-5PIN-BLUE")</f>
        <v>ITBISA-RELAY-12V-5PIN-BLUE</v>
      </c>
      <c r="B9588" s="266">
        <f>IFERROR(__xludf.DUMMYFUNCTION("""COMPUTED_VALUE"""),46001.0)</f>
        <v>46001</v>
      </c>
      <c r="C9588" s="266" t="str">
        <f>IFERROR(__xludf.DUMMYFUNCTION("""COMPUTED_VALUE"""),"KERTASARI CIAMIS")</f>
        <v>KERTASARI CIAMIS</v>
      </c>
      <c r="D9588" s="186">
        <f>IFERROR(__xludf.DUMMYFUNCTION("""COMPUTED_VALUE"""),30.0)</f>
        <v>30</v>
      </c>
    </row>
    <row r="9589">
      <c r="A9589" s="178" t="str">
        <f>IFERROR(__xludf.DUMMYFUNCTION("""COMPUTED_VALUE"""),"ITBISA-RELAY-12V-5PIN-BLUE")</f>
        <v>ITBISA-RELAY-12V-5PIN-BLUE</v>
      </c>
      <c r="B9589" s="266">
        <f>IFERROR(__xludf.DUMMYFUNCTION("""COMPUTED_VALUE"""),46004.0)</f>
        <v>46004</v>
      </c>
      <c r="C9589" s="266" t="str">
        <f>IFERROR(__xludf.DUMMYFUNCTION("""COMPUTED_VALUE"""),"KERTASARI CIAMIS")</f>
        <v>KERTASARI CIAMIS</v>
      </c>
      <c r="D9589" s="186">
        <f>IFERROR(__xludf.DUMMYFUNCTION("""COMPUTED_VALUE"""),26.0)</f>
        <v>26</v>
      </c>
    </row>
    <row r="9590">
      <c r="A9590" s="178" t="str">
        <f>IFERROR(__xludf.DUMMYFUNCTION("""COMPUTED_VALUE"""),"ITBISA-RELAY-12V-5PIN-BLUE")</f>
        <v>ITBISA-RELAY-12V-5PIN-BLUE</v>
      </c>
      <c r="B9590" s="266">
        <f>IFERROR(__xludf.DUMMYFUNCTION("""COMPUTED_VALUE"""),46006.0)</f>
        <v>46006</v>
      </c>
      <c r="C9590" s="266" t="str">
        <f>IFERROR(__xludf.DUMMYFUNCTION("""COMPUTED_VALUE"""),"KERTASARI CIAMIS")</f>
        <v>KERTASARI CIAMIS</v>
      </c>
      <c r="D9590" s="186">
        <f>IFERROR(__xludf.DUMMYFUNCTION("""COMPUTED_VALUE"""),100.0)</f>
        <v>100</v>
      </c>
    </row>
    <row r="9591">
      <c r="A9591" s="178" t="str">
        <f>IFERROR(__xludf.DUMMYFUNCTION("""COMPUTED_VALUE"""),"ITBISA-RELAY-12V-5PIN-BLUE")</f>
        <v>ITBISA-RELAY-12V-5PIN-BLUE</v>
      </c>
      <c r="B9591" s="266">
        <f>IFERROR(__xludf.DUMMYFUNCTION("""COMPUTED_VALUE"""),46009.0)</f>
        <v>46009</v>
      </c>
      <c r="C9591" s="266" t="str">
        <f>IFERROR(__xludf.DUMMYFUNCTION("""COMPUTED_VALUE"""),"KERTASARI CIAMIS")</f>
        <v>KERTASARI CIAMIS</v>
      </c>
      <c r="D9591" s="186">
        <f>IFERROR(__xludf.DUMMYFUNCTION("""COMPUTED_VALUE"""),160.0)</f>
        <v>160</v>
      </c>
    </row>
    <row r="9592">
      <c r="A9592" s="178" t="str">
        <f>IFERROR(__xludf.DUMMYFUNCTION("""COMPUTED_VALUE"""),"ITBISA-RELAY-12V-5PIN-BLUE")</f>
        <v>ITBISA-RELAY-12V-5PIN-BLUE</v>
      </c>
      <c r="B9592" s="266">
        <f>IFERROR(__xludf.DUMMYFUNCTION("""COMPUTED_VALUE"""),46016.0)</f>
        <v>46016</v>
      </c>
      <c r="C9592" s="266" t="str">
        <f>IFERROR(__xludf.DUMMYFUNCTION("""COMPUTED_VALUE"""),"KERTASARI CIAMIS")</f>
        <v>KERTASARI CIAMIS</v>
      </c>
      <c r="D9592" s="186">
        <f>IFERROR(__xludf.DUMMYFUNCTION("""COMPUTED_VALUE"""),20.0)</f>
        <v>20</v>
      </c>
    </row>
    <row r="9593">
      <c r="A9593" s="178" t="str">
        <f>IFERROR(__xludf.DUMMYFUNCTION("""COMPUTED_VALUE"""),"ITBISA-RELAY-5V-1CHANNEL-BLUE-LOW-TRIGGER")</f>
        <v>ITBISA-RELAY-5V-1CHANNEL-BLUE-LOW-TRIGGER</v>
      </c>
      <c r="B9593" s="266">
        <f>IFERROR(__xludf.DUMMYFUNCTION("""COMPUTED_VALUE"""),45621.0)</f>
        <v>45621</v>
      </c>
      <c r="C9593" s="266" t="str">
        <f>IFERROR(__xludf.DUMMYFUNCTION("""COMPUTED_VALUE"""),"KYAI KONTONG")</f>
        <v>KYAI KONTONG</v>
      </c>
      <c r="D9593" s="186">
        <f>IFERROR(__xludf.DUMMYFUNCTION("""COMPUTED_VALUE"""),1.0)</f>
        <v>1</v>
      </c>
    </row>
    <row r="9594">
      <c r="A9594" s="178" t="str">
        <f>IFERROR(__xludf.DUMMYFUNCTION("""COMPUTED_VALUE"""),"ITBISA-RELAY-5V-1CHANNEL-BLUE-LOW-TRIGGER")</f>
        <v>ITBISA-RELAY-5V-1CHANNEL-BLUE-LOW-TRIGGER</v>
      </c>
      <c r="B9594" s="266">
        <f>IFERROR(__xludf.DUMMYFUNCTION("""COMPUTED_VALUE"""),45623.0)</f>
        <v>45623</v>
      </c>
      <c r="C9594" s="266" t="str">
        <f>IFERROR(__xludf.DUMMYFUNCTION("""COMPUTED_VALUE"""),"KYAI KONTONG")</f>
        <v>KYAI KONTONG</v>
      </c>
      <c r="D9594" s="186">
        <f>IFERROR(__xludf.DUMMYFUNCTION("""COMPUTED_VALUE"""),1.0)</f>
        <v>1</v>
      </c>
    </row>
    <row r="9595">
      <c r="A9595" s="178" t="str">
        <f>IFERROR(__xludf.DUMMYFUNCTION("""COMPUTED_VALUE"""),"ITBISA-RELAY-5V-1CHANNEL-BLUE-LOW-TRIGGER")</f>
        <v>ITBISA-RELAY-5V-1CHANNEL-BLUE-LOW-TRIGGER</v>
      </c>
      <c r="B9595" s="266">
        <f>IFERROR(__xludf.DUMMYFUNCTION("""COMPUTED_VALUE"""),45630.0)</f>
        <v>45630</v>
      </c>
      <c r="C9595" s="266" t="str">
        <f>IFERROR(__xludf.DUMMYFUNCTION("""COMPUTED_VALUE"""),"KYAI KONTONG")</f>
        <v>KYAI KONTONG</v>
      </c>
      <c r="D9595" s="186">
        <f>IFERROR(__xludf.DUMMYFUNCTION("""COMPUTED_VALUE"""),1.0)</f>
        <v>1</v>
      </c>
    </row>
    <row r="9596">
      <c r="A9596" s="178" t="str">
        <f>IFERROR(__xludf.DUMMYFUNCTION("""COMPUTED_VALUE"""),"ITBISA-RELAY-5V-1CHANNEL-BLUE-LOW-TRIGGER")</f>
        <v>ITBISA-RELAY-5V-1CHANNEL-BLUE-LOW-TRIGGER</v>
      </c>
      <c r="B9596" s="266">
        <f>IFERROR(__xludf.DUMMYFUNCTION("""COMPUTED_VALUE"""),45645.0)</f>
        <v>45645</v>
      </c>
      <c r="C9596" s="266" t="str">
        <f>IFERROR(__xludf.DUMMYFUNCTION("""COMPUTED_VALUE"""),"KYAI KONTONG")</f>
        <v>KYAI KONTONG</v>
      </c>
      <c r="D9596" s="186">
        <f>IFERROR(__xludf.DUMMYFUNCTION("""COMPUTED_VALUE"""),1.0)</f>
        <v>1</v>
      </c>
    </row>
    <row r="9597">
      <c r="A9597" s="178" t="str">
        <f>IFERROR(__xludf.DUMMYFUNCTION("""COMPUTED_VALUE"""),"ITBISA-RELAY-5V-1CHANNEL-BLUE-LOW-TRIGGER")</f>
        <v>ITBISA-RELAY-5V-1CHANNEL-BLUE-LOW-TRIGGER</v>
      </c>
      <c r="B9597" s="266">
        <f>IFERROR(__xludf.DUMMYFUNCTION("""COMPUTED_VALUE"""),45656.0)</f>
        <v>45656</v>
      </c>
      <c r="C9597" s="266" t="str">
        <f>IFERROR(__xludf.DUMMYFUNCTION("""COMPUTED_VALUE"""),"KYAI KONTONG")</f>
        <v>KYAI KONTONG</v>
      </c>
      <c r="D9597" s="186">
        <f>IFERROR(__xludf.DUMMYFUNCTION("""COMPUTED_VALUE"""),1.0)</f>
        <v>1</v>
      </c>
    </row>
    <row r="9598">
      <c r="A9598" s="178" t="str">
        <f>IFERROR(__xludf.DUMMYFUNCTION("""COMPUTED_VALUE"""),"ITBISA-RELAY-5V-1CHANNEL-BLUE-LOW-TRIGGER")</f>
        <v>ITBISA-RELAY-5V-1CHANNEL-BLUE-LOW-TRIGGER</v>
      </c>
      <c r="B9598" s="266">
        <f>IFERROR(__xludf.DUMMYFUNCTION("""COMPUTED_VALUE"""),45680.0)</f>
        <v>45680</v>
      </c>
      <c r="C9598" s="266" t="str">
        <f>IFERROR(__xludf.DUMMYFUNCTION("""COMPUTED_VALUE"""),"KYAI KONTONG")</f>
        <v>KYAI KONTONG</v>
      </c>
      <c r="D9598" s="186">
        <f>IFERROR(__xludf.DUMMYFUNCTION("""COMPUTED_VALUE"""),1.0)</f>
        <v>1</v>
      </c>
    </row>
    <row r="9599">
      <c r="A9599" s="178" t="str">
        <f>IFERROR(__xludf.DUMMYFUNCTION("""COMPUTED_VALUE"""),"ITBISA-RELAY-5V-1CHANNEL-BLUE-LOW-TRIGGER")</f>
        <v>ITBISA-RELAY-5V-1CHANNEL-BLUE-LOW-TRIGGER</v>
      </c>
      <c r="B9599" s="266">
        <f>IFERROR(__xludf.DUMMYFUNCTION("""COMPUTED_VALUE"""),45683.0)</f>
        <v>45683</v>
      </c>
      <c r="C9599" s="266" t="str">
        <f>IFERROR(__xludf.DUMMYFUNCTION("""COMPUTED_VALUE"""),"KYAI KONTONG")</f>
        <v>KYAI KONTONG</v>
      </c>
      <c r="D9599" s="186">
        <f>IFERROR(__xludf.DUMMYFUNCTION("""COMPUTED_VALUE"""),2.0)</f>
        <v>2</v>
      </c>
    </row>
    <row r="9600">
      <c r="A9600" s="178" t="str">
        <f>IFERROR(__xludf.DUMMYFUNCTION("""COMPUTED_VALUE"""),"ITBISA-RELAY-5V-1CHANNEL-BLUE-LOW-TRIGGER")</f>
        <v>ITBISA-RELAY-5V-1CHANNEL-BLUE-LOW-TRIGGER</v>
      </c>
      <c r="B9600" s="266">
        <f>IFERROR(__xludf.DUMMYFUNCTION("""COMPUTED_VALUE"""),45713.0)</f>
        <v>45713</v>
      </c>
      <c r="C9600" s="266" t="str">
        <f>IFERROR(__xludf.DUMMYFUNCTION("""COMPUTED_VALUE"""),"KYAI KONTONG")</f>
        <v>KYAI KONTONG</v>
      </c>
      <c r="D9600" s="186">
        <f>IFERROR(__xludf.DUMMYFUNCTION("""COMPUTED_VALUE"""),2.0)</f>
        <v>2</v>
      </c>
    </row>
    <row r="9601">
      <c r="A9601" s="178" t="str">
        <f>IFERROR(__xludf.DUMMYFUNCTION("""COMPUTED_VALUE"""),"ITBISA-RELAY-5V-1CHANNEL-BLUE-LOW-TRIGGER")</f>
        <v>ITBISA-RELAY-5V-1CHANNEL-BLUE-LOW-TRIGGER</v>
      </c>
      <c r="B9601" s="266">
        <f>IFERROR(__xludf.DUMMYFUNCTION("""COMPUTED_VALUE"""),45800.0)</f>
        <v>45800</v>
      </c>
      <c r="C9601" s="266" t="str">
        <f>IFERROR(__xludf.DUMMYFUNCTION("""COMPUTED_VALUE"""),"KYAI KONTONG")</f>
        <v>KYAI KONTONG</v>
      </c>
      <c r="D9601" s="186">
        <f>IFERROR(__xludf.DUMMYFUNCTION("""COMPUTED_VALUE"""),2.0)</f>
        <v>2</v>
      </c>
    </row>
    <row r="9602">
      <c r="A9602" s="178" t="str">
        <f>IFERROR(__xludf.DUMMYFUNCTION("""COMPUTED_VALUE"""),"ITBISA-RELAY-5V-1CHANNEL-BLUE-LOW-TRIGGER")</f>
        <v>ITBISA-RELAY-5V-1CHANNEL-BLUE-LOW-TRIGGER</v>
      </c>
      <c r="B9602" s="266">
        <f>IFERROR(__xludf.DUMMYFUNCTION("""COMPUTED_VALUE"""),45801.0)</f>
        <v>45801</v>
      </c>
      <c r="C9602" s="266" t="str">
        <f>IFERROR(__xludf.DUMMYFUNCTION("""COMPUTED_VALUE"""),"KYAI KONTONG")</f>
        <v>KYAI KONTONG</v>
      </c>
      <c r="D9602" s="186">
        <f>IFERROR(__xludf.DUMMYFUNCTION("""COMPUTED_VALUE"""),3.0)</f>
        <v>3</v>
      </c>
    </row>
    <row r="9603">
      <c r="A9603" s="178" t="str">
        <f>IFERROR(__xludf.DUMMYFUNCTION("""COMPUTED_VALUE"""),"ITBISA-RELAY-5V-1CHANNEL-BLUE-LOW-TRIGGER")</f>
        <v>ITBISA-RELAY-5V-1CHANNEL-BLUE-LOW-TRIGGER</v>
      </c>
      <c r="B9603" s="266">
        <f>IFERROR(__xludf.DUMMYFUNCTION("""COMPUTED_VALUE"""),45849.0)</f>
        <v>45849</v>
      </c>
      <c r="C9603" s="266" t="str">
        <f>IFERROR(__xludf.DUMMYFUNCTION("""COMPUTED_VALUE"""),"KYAI KONTONG")</f>
        <v>KYAI KONTONG</v>
      </c>
      <c r="D9603" s="186">
        <f>IFERROR(__xludf.DUMMYFUNCTION("""COMPUTED_VALUE"""),1.0)</f>
        <v>1</v>
      </c>
    </row>
    <row r="9604">
      <c r="A9604" s="178" t="str">
        <f>IFERROR(__xludf.DUMMYFUNCTION("""COMPUTED_VALUE"""),"ITBISA-RELAY-5V-1CHANNEL-BLUE-LOW-TRIGGER")</f>
        <v>ITBISA-RELAY-5V-1CHANNEL-BLUE-LOW-TRIGGER</v>
      </c>
      <c r="B9604" s="266">
        <f>IFERROR(__xludf.DUMMYFUNCTION("""COMPUTED_VALUE"""),45877.0)</f>
        <v>45877</v>
      </c>
      <c r="C9604" s="266" t="str">
        <f>IFERROR(__xludf.DUMMYFUNCTION("""COMPUTED_VALUE"""),"KYAI KONTONG")</f>
        <v>KYAI KONTONG</v>
      </c>
      <c r="D9604" s="186">
        <f>IFERROR(__xludf.DUMMYFUNCTION("""COMPUTED_VALUE"""),1.0)</f>
        <v>1</v>
      </c>
    </row>
    <row r="9605">
      <c r="A9605" s="178" t="str">
        <f>IFERROR(__xludf.DUMMYFUNCTION("""COMPUTED_VALUE"""),"ITBISA-RELAY-5V-1CHANNEL-BLUE-LOW-TRIGGER")</f>
        <v>ITBISA-RELAY-5V-1CHANNEL-BLUE-LOW-TRIGGER</v>
      </c>
      <c r="B9605" s="266">
        <f>IFERROR(__xludf.DUMMYFUNCTION("""COMPUTED_VALUE"""),45893.0)</f>
        <v>45893</v>
      </c>
      <c r="C9605" s="266" t="str">
        <f>IFERROR(__xludf.DUMMYFUNCTION("""COMPUTED_VALUE"""),"KYAI KONTONG")</f>
        <v>KYAI KONTONG</v>
      </c>
      <c r="D9605" s="186">
        <f>IFERROR(__xludf.DUMMYFUNCTION("""COMPUTED_VALUE"""),3.0)</f>
        <v>3</v>
      </c>
    </row>
    <row r="9606">
      <c r="A9606" s="178" t="str">
        <f>IFERROR(__xludf.DUMMYFUNCTION("""COMPUTED_VALUE"""),"ITBISA-RELAY-5V-1CHANNEL-BLUE-LOW-TRIGGER")</f>
        <v>ITBISA-RELAY-5V-1CHANNEL-BLUE-LOW-TRIGGER</v>
      </c>
      <c r="B9606" s="266">
        <f>IFERROR(__xludf.DUMMYFUNCTION("""COMPUTED_VALUE"""),45928.0)</f>
        <v>45928</v>
      </c>
      <c r="C9606" s="266" t="str">
        <f>IFERROR(__xludf.DUMMYFUNCTION("""COMPUTED_VALUE"""),"KYAI KONTONG")</f>
        <v>KYAI KONTONG</v>
      </c>
      <c r="D9606" s="186">
        <f>IFERROR(__xludf.DUMMYFUNCTION("""COMPUTED_VALUE"""),20.0)</f>
        <v>20</v>
      </c>
    </row>
    <row r="9607">
      <c r="A9607" s="178" t="str">
        <f>IFERROR(__xludf.DUMMYFUNCTION("""COMPUTED_VALUE"""),"ITBISA-RELAY-5V-1CHANNEL-BLUE-LOW-TRIGGER")</f>
        <v>ITBISA-RELAY-5V-1CHANNEL-BLUE-LOW-TRIGGER</v>
      </c>
      <c r="B9607" s="266">
        <f>IFERROR(__xludf.DUMMYFUNCTION("""COMPUTED_VALUE"""),45953.0)</f>
        <v>45953</v>
      </c>
      <c r="C9607" s="266" t="str">
        <f>IFERROR(__xludf.DUMMYFUNCTION("""COMPUTED_VALUE"""),"KYAI KONTONG")</f>
        <v>KYAI KONTONG</v>
      </c>
      <c r="D9607" s="186">
        <f>IFERROR(__xludf.DUMMYFUNCTION("""COMPUTED_VALUE"""),5.0)</f>
        <v>5</v>
      </c>
    </row>
    <row r="9608">
      <c r="A9608" s="178" t="str">
        <f>IFERROR(__xludf.DUMMYFUNCTION("""COMPUTED_VALUE"""),"ITBISA-RELAY-5V-1CHANNEL-BLUE-LOW-TRIGGER")</f>
        <v>ITBISA-RELAY-5V-1CHANNEL-BLUE-LOW-TRIGGER</v>
      </c>
      <c r="B9608" s="266">
        <f>IFERROR(__xludf.DUMMYFUNCTION("""COMPUTED_VALUE"""),45973.0)</f>
        <v>45973</v>
      </c>
      <c r="C9608" s="266" t="str">
        <f>IFERROR(__xludf.DUMMYFUNCTION("""COMPUTED_VALUE"""),"KYAI KONTONG")</f>
        <v>KYAI KONTONG</v>
      </c>
      <c r="D9608" s="186">
        <f>IFERROR(__xludf.DUMMYFUNCTION("""COMPUTED_VALUE"""),3.0)</f>
        <v>3</v>
      </c>
    </row>
    <row r="9609">
      <c r="A9609" s="178" t="str">
        <f>IFERROR(__xludf.DUMMYFUNCTION("""COMPUTED_VALUE"""),"ITBISA-RELAY-5V-1CHANNEL-BLUE-LOW-TRIGGER")</f>
        <v>ITBISA-RELAY-5V-1CHANNEL-BLUE-LOW-TRIGGER</v>
      </c>
      <c r="B9609" s="266">
        <f>IFERROR(__xludf.DUMMYFUNCTION("""COMPUTED_VALUE"""),45994.0)</f>
        <v>45994</v>
      </c>
      <c r="C9609" s="266" t="str">
        <f>IFERROR(__xludf.DUMMYFUNCTION("""COMPUTED_VALUE"""),"KERTASARI CIAMIS")</f>
        <v>KERTASARI CIAMIS</v>
      </c>
      <c r="D9609" s="186">
        <f>IFERROR(__xludf.DUMMYFUNCTION("""COMPUTED_VALUE"""),2.0)</f>
        <v>2</v>
      </c>
    </row>
    <row r="9610">
      <c r="A9610" s="178" t="str">
        <f>IFERROR(__xludf.DUMMYFUNCTION("""COMPUTED_VALUE"""),"ITBISA-RELAY-5V-1CHANNEL-BLUE-LOW-TRIGGER")</f>
        <v>ITBISA-RELAY-5V-1CHANNEL-BLUE-LOW-TRIGGER</v>
      </c>
      <c r="B9610" s="266">
        <f>IFERROR(__xludf.DUMMYFUNCTION("""COMPUTED_VALUE"""),45996.0)</f>
        <v>45996</v>
      </c>
      <c r="C9610" s="266" t="str">
        <f>IFERROR(__xludf.DUMMYFUNCTION("""COMPUTED_VALUE"""),"KERTASARI CIAMIS")</f>
        <v>KERTASARI CIAMIS</v>
      </c>
      <c r="D9610" s="186">
        <f>IFERROR(__xludf.DUMMYFUNCTION("""COMPUTED_VALUE"""),1.0)</f>
        <v>1</v>
      </c>
    </row>
    <row r="9611">
      <c r="A9611" s="178" t="str">
        <f>IFERROR(__xludf.DUMMYFUNCTION("""COMPUTED_VALUE"""),"ITBISA-RELAY-5V-1CHANNEL-BLUE-LOW-TRIGGER")</f>
        <v>ITBISA-RELAY-5V-1CHANNEL-BLUE-LOW-TRIGGER</v>
      </c>
      <c r="B9611" s="266">
        <f>IFERROR(__xludf.DUMMYFUNCTION("""COMPUTED_VALUE"""),45997.0)</f>
        <v>45997</v>
      </c>
      <c r="C9611" s="266" t="str">
        <f>IFERROR(__xludf.DUMMYFUNCTION("""COMPUTED_VALUE"""),"KYAI KONTONG")</f>
        <v>KYAI KONTONG</v>
      </c>
      <c r="D9611" s="186">
        <f>IFERROR(__xludf.DUMMYFUNCTION("""COMPUTED_VALUE"""),7.0)</f>
        <v>7</v>
      </c>
    </row>
    <row r="9612">
      <c r="A9612" s="178" t="str">
        <f>IFERROR(__xludf.DUMMYFUNCTION("""COMPUTED_VALUE"""),"ITBISA-RELAY-5V-1CHANNEL-BLUE-LOW-TRIGGER")</f>
        <v>ITBISA-RELAY-5V-1CHANNEL-BLUE-LOW-TRIGGER</v>
      </c>
      <c r="B9612" s="266">
        <f>IFERROR(__xludf.DUMMYFUNCTION("""COMPUTED_VALUE"""),45999.0)</f>
        <v>45999</v>
      </c>
      <c r="C9612" s="266" t="str">
        <f>IFERROR(__xludf.DUMMYFUNCTION("""COMPUTED_VALUE"""),"KYAI KONTONG")</f>
        <v>KYAI KONTONG</v>
      </c>
      <c r="D9612" s="186">
        <f>IFERROR(__xludf.DUMMYFUNCTION("""COMPUTED_VALUE"""),2.0)</f>
        <v>2</v>
      </c>
    </row>
    <row r="9613">
      <c r="A9613" s="178" t="str">
        <f>IFERROR(__xludf.DUMMYFUNCTION("""COMPUTED_VALUE"""),"ITBISA-RELAY-5V-1CHANNEL-BLUE-LOW-TRIGGER")</f>
        <v>ITBISA-RELAY-5V-1CHANNEL-BLUE-LOW-TRIGGER</v>
      </c>
      <c r="B9613" s="266">
        <f>IFERROR(__xludf.DUMMYFUNCTION("""COMPUTED_VALUE"""),46017.0)</f>
        <v>46017</v>
      </c>
      <c r="C9613" s="266" t="str">
        <f>IFERROR(__xludf.DUMMYFUNCTION("""COMPUTED_VALUE"""),"KYAI KONTONG")</f>
        <v>KYAI KONTONG</v>
      </c>
      <c r="D9613" s="186">
        <f>IFERROR(__xludf.DUMMYFUNCTION("""COMPUTED_VALUE"""),1.0)</f>
        <v>1</v>
      </c>
    </row>
    <row r="9614">
      <c r="A9614" s="178" t="str">
        <f>IFERROR(__xludf.DUMMYFUNCTION("""COMPUTED_VALUE"""),"ITBISA-RELAY-5V-4PIN-BLUE")</f>
        <v>ITBISA-RELAY-5V-4PIN-BLUE</v>
      </c>
      <c r="B9614" s="266">
        <f>IFERROR(__xludf.DUMMYFUNCTION("""COMPUTED_VALUE"""),45636.0)</f>
        <v>45636</v>
      </c>
      <c r="C9614" s="266" t="str">
        <f>IFERROR(__xludf.DUMMYFUNCTION("""COMPUTED_VALUE"""),"KYAI KONTONG")</f>
        <v>KYAI KONTONG</v>
      </c>
      <c r="D9614" s="186">
        <f>IFERROR(__xludf.DUMMYFUNCTION("""COMPUTED_VALUE"""),5.0)</f>
        <v>5</v>
      </c>
    </row>
    <row r="9615">
      <c r="A9615" s="178" t="str">
        <f>IFERROR(__xludf.DUMMYFUNCTION("""COMPUTED_VALUE"""),"ITBISA-RELAY-5V-4PIN-BLUE")</f>
        <v>ITBISA-RELAY-5V-4PIN-BLUE</v>
      </c>
      <c r="B9615" s="266">
        <f>IFERROR(__xludf.DUMMYFUNCTION("""COMPUTED_VALUE"""),45664.0)</f>
        <v>45664</v>
      </c>
      <c r="C9615" s="266" t="str">
        <f>IFERROR(__xludf.DUMMYFUNCTION("""COMPUTED_VALUE"""),"KERTASARI CIAMIS")</f>
        <v>KERTASARI CIAMIS</v>
      </c>
      <c r="D9615" s="186">
        <f>IFERROR(__xludf.DUMMYFUNCTION("""COMPUTED_VALUE"""),1.0)</f>
        <v>1</v>
      </c>
    </row>
    <row r="9616">
      <c r="A9616" s="178" t="str">
        <f>IFERROR(__xludf.DUMMYFUNCTION("""COMPUTED_VALUE"""),"ITBISA-RELAY-5V-4PIN-BLUE")</f>
        <v>ITBISA-RELAY-5V-4PIN-BLUE</v>
      </c>
      <c r="B9616" s="266">
        <f>IFERROR(__xludf.DUMMYFUNCTION("""COMPUTED_VALUE"""),45672.0)</f>
        <v>45672</v>
      </c>
      <c r="C9616" s="266" t="str">
        <f>IFERROR(__xludf.DUMMYFUNCTION("""COMPUTED_VALUE"""),"KYAI KONTONG")</f>
        <v>KYAI KONTONG</v>
      </c>
      <c r="D9616" s="186">
        <f>IFERROR(__xludf.DUMMYFUNCTION("""COMPUTED_VALUE"""),100.0)</f>
        <v>100</v>
      </c>
    </row>
    <row r="9617">
      <c r="A9617" s="178" t="str">
        <f>IFERROR(__xludf.DUMMYFUNCTION("""COMPUTED_VALUE"""),"ITBISA-RELAY-5V-4PIN-BLUE")</f>
        <v>ITBISA-RELAY-5V-4PIN-BLUE</v>
      </c>
      <c r="B9617" s="266">
        <f>IFERROR(__xludf.DUMMYFUNCTION("""COMPUTED_VALUE"""),45676.0)</f>
        <v>45676</v>
      </c>
      <c r="C9617" s="266" t="str">
        <f>IFERROR(__xludf.DUMMYFUNCTION("""COMPUTED_VALUE"""),"KYAI KONTONG")</f>
        <v>KYAI KONTONG</v>
      </c>
      <c r="D9617" s="186">
        <f>IFERROR(__xludf.DUMMYFUNCTION("""COMPUTED_VALUE"""),5.0)</f>
        <v>5</v>
      </c>
    </row>
    <row r="9618">
      <c r="A9618" s="178" t="str">
        <f>IFERROR(__xludf.DUMMYFUNCTION("""COMPUTED_VALUE"""),"ITBISA-RELAY-5V-4PIN-BLUE")</f>
        <v>ITBISA-RELAY-5V-4PIN-BLUE</v>
      </c>
      <c r="B9618" s="266">
        <f>IFERROR(__xludf.DUMMYFUNCTION("""COMPUTED_VALUE"""),45677.0)</f>
        <v>45677</v>
      </c>
      <c r="C9618" s="266" t="str">
        <f>IFERROR(__xludf.DUMMYFUNCTION("""COMPUTED_VALUE"""),"KYAI KONTONG")</f>
        <v>KYAI KONTONG</v>
      </c>
      <c r="D9618" s="186">
        <f>IFERROR(__xludf.DUMMYFUNCTION("""COMPUTED_VALUE"""),13.0)</f>
        <v>13</v>
      </c>
    </row>
    <row r="9619">
      <c r="A9619" s="178" t="str">
        <f>IFERROR(__xludf.DUMMYFUNCTION("""COMPUTED_VALUE"""),"ITBISA-RELAY-5V-4PIN-BLUE")</f>
        <v>ITBISA-RELAY-5V-4PIN-BLUE</v>
      </c>
      <c r="B9619" s="266">
        <f>IFERROR(__xludf.DUMMYFUNCTION("""COMPUTED_VALUE"""),45678.0)</f>
        <v>45678</v>
      </c>
      <c r="C9619" s="266" t="str">
        <f>IFERROR(__xludf.DUMMYFUNCTION("""COMPUTED_VALUE"""),"KERTASARI CIAMIS")</f>
        <v>KERTASARI CIAMIS</v>
      </c>
      <c r="D9619" s="186">
        <f>IFERROR(__xludf.DUMMYFUNCTION("""COMPUTED_VALUE"""),100.0)</f>
        <v>100</v>
      </c>
    </row>
    <row r="9620">
      <c r="A9620" s="178" t="str">
        <f>IFERROR(__xludf.DUMMYFUNCTION("""COMPUTED_VALUE"""),"ITBISA-RELAY-5V-4PIN-BLUE")</f>
        <v>ITBISA-RELAY-5V-4PIN-BLUE</v>
      </c>
      <c r="B9620" s="266">
        <f>IFERROR(__xludf.DUMMYFUNCTION("""COMPUTED_VALUE"""),45680.0)</f>
        <v>45680</v>
      </c>
      <c r="C9620" s="266" t="str">
        <f>IFERROR(__xludf.DUMMYFUNCTION("""COMPUTED_VALUE"""),"KYAI KONTONG")</f>
        <v>KYAI KONTONG</v>
      </c>
      <c r="D9620" s="186">
        <f>IFERROR(__xludf.DUMMYFUNCTION("""COMPUTED_VALUE"""),1.0)</f>
        <v>1</v>
      </c>
    </row>
    <row r="9621">
      <c r="A9621" s="178" t="str">
        <f>IFERROR(__xludf.DUMMYFUNCTION("""COMPUTED_VALUE"""),"ITBISA-RELAY-5V-4PIN-BLUE")</f>
        <v>ITBISA-RELAY-5V-4PIN-BLUE</v>
      </c>
      <c r="B9621" s="266">
        <f>IFERROR(__xludf.DUMMYFUNCTION("""COMPUTED_VALUE"""),45683.0)</f>
        <v>45683</v>
      </c>
      <c r="C9621" s="266" t="str">
        <f>IFERROR(__xludf.DUMMYFUNCTION("""COMPUTED_VALUE"""),"KYAI KONTONG")</f>
        <v>KYAI KONTONG</v>
      </c>
      <c r="D9621" s="186">
        <f>IFERROR(__xludf.DUMMYFUNCTION("""COMPUTED_VALUE"""),100.0)</f>
        <v>100</v>
      </c>
    </row>
    <row r="9622">
      <c r="A9622" s="178" t="str">
        <f>IFERROR(__xludf.DUMMYFUNCTION("""COMPUTED_VALUE"""),"ITBISA-RELAY-5V-4PIN-BLUE")</f>
        <v>ITBISA-RELAY-5V-4PIN-BLUE</v>
      </c>
      <c r="B9622" s="266">
        <f>IFERROR(__xludf.DUMMYFUNCTION("""COMPUTED_VALUE"""),45684.0)</f>
        <v>45684</v>
      </c>
      <c r="C9622" s="266" t="str">
        <f>IFERROR(__xludf.DUMMYFUNCTION("""COMPUTED_VALUE"""),"KYAI KONTONG")</f>
        <v>KYAI KONTONG</v>
      </c>
      <c r="D9622" s="186">
        <f>IFERROR(__xludf.DUMMYFUNCTION("""COMPUTED_VALUE"""),50.0)</f>
        <v>50</v>
      </c>
    </row>
    <row r="9623">
      <c r="A9623" s="178" t="str">
        <f>IFERROR(__xludf.DUMMYFUNCTION("""COMPUTED_VALUE"""),"ITBISA-RELAY-5V-4PIN-BLUE")</f>
        <v>ITBISA-RELAY-5V-4PIN-BLUE</v>
      </c>
      <c r="B9623" s="266">
        <f>IFERROR(__xludf.DUMMYFUNCTION("""COMPUTED_VALUE"""),45685.0)</f>
        <v>45685</v>
      </c>
      <c r="C9623" s="266" t="str">
        <f>IFERROR(__xludf.DUMMYFUNCTION("""COMPUTED_VALUE"""),"KYAI KONTONG")</f>
        <v>KYAI KONTONG</v>
      </c>
      <c r="D9623" s="186">
        <f>IFERROR(__xludf.DUMMYFUNCTION("""COMPUTED_VALUE"""),5.0)</f>
        <v>5</v>
      </c>
    </row>
    <row r="9624">
      <c r="A9624" s="178" t="str">
        <f>IFERROR(__xludf.DUMMYFUNCTION("""COMPUTED_VALUE"""),"ITBISA-RELAY-5V-4PIN-BLUE")</f>
        <v>ITBISA-RELAY-5V-4PIN-BLUE</v>
      </c>
      <c r="B9624" s="266">
        <f>IFERROR(__xludf.DUMMYFUNCTION("""COMPUTED_VALUE"""),45686.0)</f>
        <v>45686</v>
      </c>
      <c r="C9624" s="266" t="str">
        <f>IFERROR(__xludf.DUMMYFUNCTION("""COMPUTED_VALUE"""),"KYAI KONTONG")</f>
        <v>KYAI KONTONG</v>
      </c>
      <c r="D9624" s="186">
        <f>IFERROR(__xludf.DUMMYFUNCTION("""COMPUTED_VALUE"""),70.0)</f>
        <v>70</v>
      </c>
    </row>
    <row r="9625">
      <c r="A9625" s="178" t="str">
        <f>IFERROR(__xludf.DUMMYFUNCTION("""COMPUTED_VALUE"""),"ITBISA-RELAY-5V-4PIN-BLUE")</f>
        <v>ITBISA-RELAY-5V-4PIN-BLUE</v>
      </c>
      <c r="B9625" s="266">
        <f>IFERROR(__xludf.DUMMYFUNCTION("""COMPUTED_VALUE"""),45687.0)</f>
        <v>45687</v>
      </c>
      <c r="C9625" s="266" t="str">
        <f>IFERROR(__xludf.DUMMYFUNCTION("""COMPUTED_VALUE"""),"KYAI KONTONG")</f>
        <v>KYAI KONTONG</v>
      </c>
      <c r="D9625" s="186">
        <f>IFERROR(__xludf.DUMMYFUNCTION("""COMPUTED_VALUE"""),5.0)</f>
        <v>5</v>
      </c>
    </row>
    <row r="9626">
      <c r="A9626" s="178" t="str">
        <f>IFERROR(__xludf.DUMMYFUNCTION("""COMPUTED_VALUE"""),"ITBISA-RELAY-5V-4PIN-BLUE")</f>
        <v>ITBISA-RELAY-5V-4PIN-BLUE</v>
      </c>
      <c r="B9626" s="266">
        <f>IFERROR(__xludf.DUMMYFUNCTION("""COMPUTED_VALUE"""),45690.0)</f>
        <v>45690</v>
      </c>
      <c r="C9626" s="266" t="str">
        <f>IFERROR(__xludf.DUMMYFUNCTION("""COMPUTED_VALUE"""),"KYAI KONTONG")</f>
        <v>KYAI KONTONG</v>
      </c>
      <c r="D9626" s="186">
        <f>IFERROR(__xludf.DUMMYFUNCTION("""COMPUTED_VALUE"""),5.0)</f>
        <v>5</v>
      </c>
    </row>
    <row r="9627">
      <c r="A9627" s="178" t="str">
        <f>IFERROR(__xludf.DUMMYFUNCTION("""COMPUTED_VALUE"""),"ITBISA-RELAY-5V-4PIN-BLUE")</f>
        <v>ITBISA-RELAY-5V-4PIN-BLUE</v>
      </c>
      <c r="B9627" s="266">
        <f>IFERROR(__xludf.DUMMYFUNCTION("""COMPUTED_VALUE"""),45696.0)</f>
        <v>45696</v>
      </c>
      <c r="C9627" s="266" t="str">
        <f>IFERROR(__xludf.DUMMYFUNCTION("""COMPUTED_VALUE"""),"KERTASARI CIAMIS")</f>
        <v>KERTASARI CIAMIS</v>
      </c>
      <c r="D9627" s="186">
        <f>IFERROR(__xludf.DUMMYFUNCTION("""COMPUTED_VALUE"""),30.0)</f>
        <v>30</v>
      </c>
    </row>
    <row r="9628">
      <c r="A9628" s="178" t="str">
        <f>IFERROR(__xludf.DUMMYFUNCTION("""COMPUTED_VALUE"""),"ITBISA-RELAY-5V-4PIN-BLUE")</f>
        <v>ITBISA-RELAY-5V-4PIN-BLUE</v>
      </c>
      <c r="B9628" s="266">
        <f>IFERROR(__xludf.DUMMYFUNCTION("""COMPUTED_VALUE"""),45699.0)</f>
        <v>45699</v>
      </c>
      <c r="C9628" s="266" t="str">
        <f>IFERROR(__xludf.DUMMYFUNCTION("""COMPUTED_VALUE"""),"KYAI KONTONG")</f>
        <v>KYAI KONTONG</v>
      </c>
      <c r="D9628" s="186">
        <f>IFERROR(__xludf.DUMMYFUNCTION("""COMPUTED_VALUE"""),10.0)</f>
        <v>10</v>
      </c>
    </row>
    <row r="9629">
      <c r="A9629" s="178" t="str">
        <f>IFERROR(__xludf.DUMMYFUNCTION("""COMPUTED_VALUE"""),"ITBISA-RELAY-5V-4PIN-BLUE")</f>
        <v>ITBISA-RELAY-5V-4PIN-BLUE</v>
      </c>
      <c r="B9629" s="266">
        <f>IFERROR(__xludf.DUMMYFUNCTION("""COMPUTED_VALUE"""),45707.0)</f>
        <v>45707</v>
      </c>
      <c r="C9629" s="266" t="str">
        <f>IFERROR(__xludf.DUMMYFUNCTION("""COMPUTED_VALUE"""),"KYAI KONTONG")</f>
        <v>KYAI KONTONG</v>
      </c>
      <c r="D9629" s="186">
        <f>IFERROR(__xludf.DUMMYFUNCTION("""COMPUTED_VALUE"""),100.0)</f>
        <v>100</v>
      </c>
    </row>
    <row r="9630">
      <c r="A9630" s="178" t="str">
        <f>IFERROR(__xludf.DUMMYFUNCTION("""COMPUTED_VALUE"""),"ITBISA-RELAY-5V-4PIN-BLUE")</f>
        <v>ITBISA-RELAY-5V-4PIN-BLUE</v>
      </c>
      <c r="B9630" s="266">
        <f>IFERROR(__xludf.DUMMYFUNCTION("""COMPUTED_VALUE"""),45712.0)</f>
        <v>45712</v>
      </c>
      <c r="C9630" s="266" t="str">
        <f>IFERROR(__xludf.DUMMYFUNCTION("""COMPUTED_VALUE"""),"KERTASARI CIAMIS")</f>
        <v>KERTASARI CIAMIS</v>
      </c>
      <c r="D9630" s="186">
        <f>IFERROR(__xludf.DUMMYFUNCTION("""COMPUTED_VALUE"""),5.0)</f>
        <v>5</v>
      </c>
    </row>
    <row r="9631">
      <c r="A9631" s="178" t="str">
        <f>IFERROR(__xludf.DUMMYFUNCTION("""COMPUTED_VALUE"""),"ITBISA-RELAY-5V-4PIN-BLUE")</f>
        <v>ITBISA-RELAY-5V-4PIN-BLUE</v>
      </c>
      <c r="B9631" s="266">
        <f>IFERROR(__xludf.DUMMYFUNCTION("""COMPUTED_VALUE"""),45715.0)</f>
        <v>45715</v>
      </c>
      <c r="C9631" s="266" t="str">
        <f>IFERROR(__xludf.DUMMYFUNCTION("""COMPUTED_VALUE"""),"KYAI KONTONG")</f>
        <v>KYAI KONTONG</v>
      </c>
      <c r="D9631" s="186">
        <f>IFERROR(__xludf.DUMMYFUNCTION("""COMPUTED_VALUE"""),12.0)</f>
        <v>12</v>
      </c>
    </row>
    <row r="9632">
      <c r="A9632" s="178" t="str">
        <f>IFERROR(__xludf.DUMMYFUNCTION("""COMPUTED_VALUE"""),"ITBISA-RELAY-5V-4PIN-BLUE")</f>
        <v>ITBISA-RELAY-5V-4PIN-BLUE</v>
      </c>
      <c r="B9632" s="266">
        <f>IFERROR(__xludf.DUMMYFUNCTION("""COMPUTED_VALUE"""),45715.0)</f>
        <v>45715</v>
      </c>
      <c r="C9632" s="266" t="str">
        <f>IFERROR(__xludf.DUMMYFUNCTION("""COMPUTED_VALUE"""),"KYAI KONTONG")</f>
        <v>KYAI KONTONG</v>
      </c>
      <c r="D9632" s="186">
        <f>IFERROR(__xludf.DUMMYFUNCTION("""COMPUTED_VALUE"""),20.0)</f>
        <v>20</v>
      </c>
    </row>
    <row r="9633">
      <c r="A9633" s="178" t="str">
        <f>IFERROR(__xludf.DUMMYFUNCTION("""COMPUTED_VALUE"""),"ITBISA-RELAY-5V-4PIN-BLUE")</f>
        <v>ITBISA-RELAY-5V-4PIN-BLUE</v>
      </c>
      <c r="B9633" s="266">
        <f>IFERROR(__xludf.DUMMYFUNCTION("""COMPUTED_VALUE"""),45723.0)</f>
        <v>45723</v>
      </c>
      <c r="C9633" s="266" t="str">
        <f>IFERROR(__xludf.DUMMYFUNCTION("""COMPUTED_VALUE"""),"KERTASARI CIAMIS")</f>
        <v>KERTASARI CIAMIS</v>
      </c>
      <c r="D9633" s="186">
        <f>IFERROR(__xludf.DUMMYFUNCTION("""COMPUTED_VALUE"""),1.0)</f>
        <v>1</v>
      </c>
    </row>
    <row r="9634">
      <c r="A9634" s="178" t="str">
        <f>IFERROR(__xludf.DUMMYFUNCTION("""COMPUTED_VALUE"""),"ITBISA-RELAY-5V-4PIN-BLUE")</f>
        <v>ITBISA-RELAY-5V-4PIN-BLUE</v>
      </c>
      <c r="B9634" s="266">
        <f>IFERROR(__xludf.DUMMYFUNCTION("""COMPUTED_VALUE"""),45729.0)</f>
        <v>45729</v>
      </c>
      <c r="C9634" s="266" t="str">
        <f>IFERROR(__xludf.DUMMYFUNCTION("""COMPUTED_VALUE"""),"KYAI KONTONG")</f>
        <v>KYAI KONTONG</v>
      </c>
      <c r="D9634" s="186">
        <f>IFERROR(__xludf.DUMMYFUNCTION("""COMPUTED_VALUE"""),10.0)</f>
        <v>10</v>
      </c>
    </row>
    <row r="9635">
      <c r="A9635" s="178" t="str">
        <f>IFERROR(__xludf.DUMMYFUNCTION("""COMPUTED_VALUE"""),"ITBISA-RELAY-5V-4PIN-BLUE")</f>
        <v>ITBISA-RELAY-5V-4PIN-BLUE</v>
      </c>
      <c r="B9635" s="266">
        <f>IFERROR(__xludf.DUMMYFUNCTION("""COMPUTED_VALUE"""),45731.0)</f>
        <v>45731</v>
      </c>
      <c r="C9635" s="266" t="str">
        <f>IFERROR(__xludf.DUMMYFUNCTION("""COMPUTED_VALUE"""),"KYAI KONTONG")</f>
        <v>KYAI KONTONG</v>
      </c>
      <c r="D9635" s="186">
        <f>IFERROR(__xludf.DUMMYFUNCTION("""COMPUTED_VALUE"""),10.0)</f>
        <v>10</v>
      </c>
    </row>
    <row r="9636">
      <c r="A9636" s="178" t="str">
        <f>IFERROR(__xludf.DUMMYFUNCTION("""COMPUTED_VALUE"""),"ITBISA-RELAY-5V-4PIN-BLUE")</f>
        <v>ITBISA-RELAY-5V-4PIN-BLUE</v>
      </c>
      <c r="B9636" s="266">
        <f>IFERROR(__xludf.DUMMYFUNCTION("""COMPUTED_VALUE"""),45733.0)</f>
        <v>45733</v>
      </c>
      <c r="C9636" s="266" t="str">
        <f>IFERROR(__xludf.DUMMYFUNCTION("""COMPUTED_VALUE"""),"KYAI KONTONG")</f>
        <v>KYAI KONTONG</v>
      </c>
      <c r="D9636" s="186">
        <f>IFERROR(__xludf.DUMMYFUNCTION("""COMPUTED_VALUE"""),10.0)</f>
        <v>10</v>
      </c>
    </row>
    <row r="9637">
      <c r="A9637" s="178" t="str">
        <f>IFERROR(__xludf.DUMMYFUNCTION("""COMPUTED_VALUE"""),"ITBISA-RELAY-5V-4PIN-BLUE")</f>
        <v>ITBISA-RELAY-5V-4PIN-BLUE</v>
      </c>
      <c r="B9637" s="266">
        <f>IFERROR(__xludf.DUMMYFUNCTION("""COMPUTED_VALUE"""),45735.0)</f>
        <v>45735</v>
      </c>
      <c r="C9637" s="266" t="str">
        <f>IFERROR(__xludf.DUMMYFUNCTION("""COMPUTED_VALUE"""),"KERTASARI CIAMIS")</f>
        <v>KERTASARI CIAMIS</v>
      </c>
      <c r="D9637" s="186">
        <f>IFERROR(__xludf.DUMMYFUNCTION("""COMPUTED_VALUE"""),20.0)</f>
        <v>20</v>
      </c>
    </row>
    <row r="9638">
      <c r="A9638" s="178" t="str">
        <f>IFERROR(__xludf.DUMMYFUNCTION("""COMPUTED_VALUE"""),"ITBISA-RELAY-5V-4PIN-BLUE")</f>
        <v>ITBISA-RELAY-5V-4PIN-BLUE</v>
      </c>
      <c r="B9638" s="266">
        <f>IFERROR(__xludf.DUMMYFUNCTION("""COMPUTED_VALUE"""),45737.0)</f>
        <v>45737</v>
      </c>
      <c r="C9638" s="266" t="str">
        <f>IFERROR(__xludf.DUMMYFUNCTION("""COMPUTED_VALUE"""),"KERTASARI CIAMIS")</f>
        <v>KERTASARI CIAMIS</v>
      </c>
      <c r="D9638" s="186">
        <f>IFERROR(__xludf.DUMMYFUNCTION("""COMPUTED_VALUE"""),10.0)</f>
        <v>10</v>
      </c>
    </row>
    <row r="9639">
      <c r="A9639" s="178" t="str">
        <f>IFERROR(__xludf.DUMMYFUNCTION("""COMPUTED_VALUE"""),"ITBISA-RELAY-5V-4PIN-BLUE")</f>
        <v>ITBISA-RELAY-5V-4PIN-BLUE</v>
      </c>
      <c r="B9639" s="266">
        <f>IFERROR(__xludf.DUMMYFUNCTION("""COMPUTED_VALUE"""),45738.0)</f>
        <v>45738</v>
      </c>
      <c r="C9639" s="266" t="str">
        <f>IFERROR(__xludf.DUMMYFUNCTION("""COMPUTED_VALUE"""),"KERTASARI CIAMIS")</f>
        <v>KERTASARI CIAMIS</v>
      </c>
      <c r="D9639" s="186">
        <f>IFERROR(__xludf.DUMMYFUNCTION("""COMPUTED_VALUE"""),100.0)</f>
        <v>100</v>
      </c>
    </row>
    <row r="9640">
      <c r="A9640" s="178" t="str">
        <f>IFERROR(__xludf.DUMMYFUNCTION("""COMPUTED_VALUE"""),"ITBISA-RELAY-5V-4PIN-BLUE")</f>
        <v>ITBISA-RELAY-5V-4PIN-BLUE</v>
      </c>
      <c r="B9640" s="266">
        <f>IFERROR(__xludf.DUMMYFUNCTION("""COMPUTED_VALUE"""),45744.0)</f>
        <v>45744</v>
      </c>
      <c r="C9640" s="266" t="str">
        <f>IFERROR(__xludf.DUMMYFUNCTION("""COMPUTED_VALUE"""),"KERTASARI CIAMIS")</f>
        <v>KERTASARI CIAMIS</v>
      </c>
      <c r="D9640" s="186">
        <f>IFERROR(__xludf.DUMMYFUNCTION("""COMPUTED_VALUE"""),100.0)</f>
        <v>100</v>
      </c>
    </row>
    <row r="9641">
      <c r="A9641" s="178" t="str">
        <f>IFERROR(__xludf.DUMMYFUNCTION("""COMPUTED_VALUE"""),"ITBISA-RELAY-5V-4PIN-BLUE")</f>
        <v>ITBISA-RELAY-5V-4PIN-BLUE</v>
      </c>
      <c r="B9641" s="266">
        <f>IFERROR(__xludf.DUMMYFUNCTION("""COMPUTED_VALUE"""),45751.0)</f>
        <v>45751</v>
      </c>
      <c r="C9641" s="266" t="str">
        <f>IFERROR(__xludf.DUMMYFUNCTION("""COMPUTED_VALUE"""),"KERTASARI CIAMIS")</f>
        <v>KERTASARI CIAMIS</v>
      </c>
      <c r="D9641" s="186">
        <f>IFERROR(__xludf.DUMMYFUNCTION("""COMPUTED_VALUE"""),18.0)</f>
        <v>18</v>
      </c>
    </row>
    <row r="9642">
      <c r="A9642" s="178" t="str">
        <f>IFERROR(__xludf.DUMMYFUNCTION("""COMPUTED_VALUE"""),"ITBISA-RELAY-5V-4PIN-BLUE")</f>
        <v>ITBISA-RELAY-5V-4PIN-BLUE</v>
      </c>
      <c r="B9642" s="266">
        <f>IFERROR(__xludf.DUMMYFUNCTION("""COMPUTED_VALUE"""),45757.0)</f>
        <v>45757</v>
      </c>
      <c r="C9642" s="266" t="str">
        <f>IFERROR(__xludf.DUMMYFUNCTION("""COMPUTED_VALUE"""),"KERTASARI CIAMIS")</f>
        <v>KERTASARI CIAMIS</v>
      </c>
      <c r="D9642" s="186">
        <f>IFERROR(__xludf.DUMMYFUNCTION("""COMPUTED_VALUE"""),5.0)</f>
        <v>5</v>
      </c>
    </row>
    <row r="9643">
      <c r="A9643" s="178" t="str">
        <f>IFERROR(__xludf.DUMMYFUNCTION("""COMPUTED_VALUE"""),"ITBISA-RELAY-5V-4PIN-BLUE")</f>
        <v>ITBISA-RELAY-5V-4PIN-BLUE</v>
      </c>
      <c r="B9643" s="266">
        <f>IFERROR(__xludf.DUMMYFUNCTION("""COMPUTED_VALUE"""),45761.0)</f>
        <v>45761</v>
      </c>
      <c r="C9643" s="266" t="str">
        <f>IFERROR(__xludf.DUMMYFUNCTION("""COMPUTED_VALUE"""),"KYAI KONTONG")</f>
        <v>KYAI KONTONG</v>
      </c>
      <c r="D9643" s="186">
        <f>IFERROR(__xludf.DUMMYFUNCTION("""COMPUTED_VALUE"""),1.0)</f>
        <v>1</v>
      </c>
    </row>
    <row r="9644">
      <c r="A9644" s="178" t="str">
        <f>IFERROR(__xludf.DUMMYFUNCTION("""COMPUTED_VALUE"""),"ITBISA-RELAY-5V-4PIN-BLUE")</f>
        <v>ITBISA-RELAY-5V-4PIN-BLUE</v>
      </c>
      <c r="B9644" s="266">
        <f>IFERROR(__xludf.DUMMYFUNCTION("""COMPUTED_VALUE"""),45761.0)</f>
        <v>45761</v>
      </c>
      <c r="C9644" s="266" t="str">
        <f>IFERROR(__xludf.DUMMYFUNCTION("""COMPUTED_VALUE"""),"KYAI KONTONG")</f>
        <v>KYAI KONTONG</v>
      </c>
      <c r="D9644" s="186">
        <f>IFERROR(__xludf.DUMMYFUNCTION("""COMPUTED_VALUE"""),3.0)</f>
        <v>3</v>
      </c>
    </row>
    <row r="9645">
      <c r="A9645" s="178" t="str">
        <f>IFERROR(__xludf.DUMMYFUNCTION("""COMPUTED_VALUE"""),"ITBISA-RELAY-5V-4PIN-BLUE")</f>
        <v>ITBISA-RELAY-5V-4PIN-BLUE</v>
      </c>
      <c r="B9645" s="266">
        <f>IFERROR(__xludf.DUMMYFUNCTION("""COMPUTED_VALUE"""),45767.0)</f>
        <v>45767</v>
      </c>
      <c r="C9645" s="266" t="str">
        <f>IFERROR(__xludf.DUMMYFUNCTION("""COMPUTED_VALUE"""),"KERTASARI CIAMIS")</f>
        <v>KERTASARI CIAMIS</v>
      </c>
      <c r="D9645" s="186">
        <f>IFERROR(__xludf.DUMMYFUNCTION("""COMPUTED_VALUE"""),10.0)</f>
        <v>10</v>
      </c>
    </row>
    <row r="9646">
      <c r="A9646" s="178" t="str">
        <f>IFERROR(__xludf.DUMMYFUNCTION("""COMPUTED_VALUE"""),"ITBISA-RELAY-5V-4PIN-BLUE")</f>
        <v>ITBISA-RELAY-5V-4PIN-BLUE</v>
      </c>
      <c r="B9646" s="266">
        <f>IFERROR(__xludf.DUMMYFUNCTION("""COMPUTED_VALUE"""),45771.0)</f>
        <v>45771</v>
      </c>
      <c r="C9646" s="266" t="str">
        <f>IFERROR(__xludf.DUMMYFUNCTION("""COMPUTED_VALUE"""),"KYAI KONTONG")</f>
        <v>KYAI KONTONG</v>
      </c>
      <c r="D9646" s="186">
        <f>IFERROR(__xludf.DUMMYFUNCTION("""COMPUTED_VALUE"""),5.0)</f>
        <v>5</v>
      </c>
    </row>
    <row r="9647">
      <c r="A9647" s="178" t="str">
        <f>IFERROR(__xludf.DUMMYFUNCTION("""COMPUTED_VALUE"""),"ITBISA-RELAY-5V-4PIN-BLUE")</f>
        <v>ITBISA-RELAY-5V-4PIN-BLUE</v>
      </c>
      <c r="B9647" s="266">
        <f>IFERROR(__xludf.DUMMYFUNCTION("""COMPUTED_VALUE"""),45778.0)</f>
        <v>45778</v>
      </c>
      <c r="C9647" s="266" t="str">
        <f>IFERROR(__xludf.DUMMYFUNCTION("""COMPUTED_VALUE"""),"KYAI KONTONG")</f>
        <v>KYAI KONTONG</v>
      </c>
      <c r="D9647" s="186">
        <f>IFERROR(__xludf.DUMMYFUNCTION("""COMPUTED_VALUE"""),15.0)</f>
        <v>15</v>
      </c>
    </row>
    <row r="9648">
      <c r="A9648" s="178" t="str">
        <f>IFERROR(__xludf.DUMMYFUNCTION("""COMPUTED_VALUE"""),"ITBISA-RELAY-5V-4PIN-BLUE")</f>
        <v>ITBISA-RELAY-5V-4PIN-BLUE</v>
      </c>
      <c r="B9648" s="266">
        <f>IFERROR(__xludf.DUMMYFUNCTION("""COMPUTED_VALUE"""),45799.0)</f>
        <v>45799</v>
      </c>
      <c r="C9648" s="266" t="str">
        <f>IFERROR(__xludf.DUMMYFUNCTION("""COMPUTED_VALUE"""),"KYAI KONTONG")</f>
        <v>KYAI KONTONG</v>
      </c>
      <c r="D9648" s="186">
        <f>IFERROR(__xludf.DUMMYFUNCTION("""COMPUTED_VALUE"""),10.0)</f>
        <v>10</v>
      </c>
    </row>
    <row r="9649">
      <c r="A9649" s="178" t="str">
        <f>IFERROR(__xludf.DUMMYFUNCTION("""COMPUTED_VALUE"""),"ITBISA-RELAY-5V-4PIN-BLUE")</f>
        <v>ITBISA-RELAY-5V-4PIN-BLUE</v>
      </c>
      <c r="B9649" s="266">
        <f>IFERROR(__xludf.DUMMYFUNCTION("""COMPUTED_VALUE"""),45802.0)</f>
        <v>45802</v>
      </c>
      <c r="C9649" s="266" t="str">
        <f>IFERROR(__xludf.DUMMYFUNCTION("""COMPUTED_VALUE"""),"KYAI KONTONG")</f>
        <v>KYAI KONTONG</v>
      </c>
      <c r="D9649" s="186">
        <f>IFERROR(__xludf.DUMMYFUNCTION("""COMPUTED_VALUE"""),5.0)</f>
        <v>5</v>
      </c>
    </row>
    <row r="9650">
      <c r="A9650" s="178" t="str">
        <f>IFERROR(__xludf.DUMMYFUNCTION("""COMPUTED_VALUE"""),"ITBISA-RELAY-5V-4PIN-BLUE")</f>
        <v>ITBISA-RELAY-5V-4PIN-BLUE</v>
      </c>
      <c r="B9650" s="266">
        <f>IFERROR(__xludf.DUMMYFUNCTION("""COMPUTED_VALUE"""),45853.0)</f>
        <v>45853</v>
      </c>
      <c r="C9650" s="266" t="str">
        <f>IFERROR(__xludf.DUMMYFUNCTION("""COMPUTED_VALUE"""),"KERTASARI CIAMIS")</f>
        <v>KERTASARI CIAMIS</v>
      </c>
      <c r="D9650" s="186">
        <f>IFERROR(__xludf.DUMMYFUNCTION("""COMPUTED_VALUE"""),10.0)</f>
        <v>10</v>
      </c>
    </row>
    <row r="9651">
      <c r="A9651" s="178" t="str">
        <f>IFERROR(__xludf.DUMMYFUNCTION("""COMPUTED_VALUE"""),"ITBISA-RELAY-5V-4PIN-BLUE")</f>
        <v>ITBISA-RELAY-5V-4PIN-BLUE</v>
      </c>
      <c r="B9651" s="266">
        <f>IFERROR(__xludf.DUMMYFUNCTION("""COMPUTED_VALUE"""),45859.0)</f>
        <v>45859</v>
      </c>
      <c r="C9651" s="266" t="str">
        <f>IFERROR(__xludf.DUMMYFUNCTION("""COMPUTED_VALUE"""),"KYAI KONTONG")</f>
        <v>KYAI KONTONG</v>
      </c>
      <c r="D9651" s="186">
        <f>IFERROR(__xludf.DUMMYFUNCTION("""COMPUTED_VALUE"""),7.0)</f>
        <v>7</v>
      </c>
    </row>
    <row r="9652">
      <c r="A9652" s="178" t="str">
        <f>IFERROR(__xludf.DUMMYFUNCTION("""COMPUTED_VALUE"""),"ITBISA-RELAY-5V-4PIN-BLUE")</f>
        <v>ITBISA-RELAY-5V-4PIN-BLUE</v>
      </c>
      <c r="B9652" s="266">
        <f>IFERROR(__xludf.DUMMYFUNCTION("""COMPUTED_VALUE"""),45888.0)</f>
        <v>45888</v>
      </c>
      <c r="C9652" s="266" t="str">
        <f>IFERROR(__xludf.DUMMYFUNCTION("""COMPUTED_VALUE"""),"KERTASARI CIAMIS")</f>
        <v>KERTASARI CIAMIS</v>
      </c>
      <c r="D9652" s="186">
        <f>IFERROR(__xludf.DUMMYFUNCTION("""COMPUTED_VALUE"""),5.0)</f>
        <v>5</v>
      </c>
    </row>
    <row r="9653">
      <c r="A9653" s="178" t="str">
        <f>IFERROR(__xludf.DUMMYFUNCTION("""COMPUTED_VALUE"""),"ITBISA-RELAY-5V-4PIN-BLUE")</f>
        <v>ITBISA-RELAY-5V-4PIN-BLUE</v>
      </c>
      <c r="B9653" s="266">
        <f>IFERROR(__xludf.DUMMYFUNCTION("""COMPUTED_VALUE"""),45894.0)</f>
        <v>45894</v>
      </c>
      <c r="C9653" s="266" t="str">
        <f>IFERROR(__xludf.DUMMYFUNCTION("""COMPUTED_VALUE"""),"KERTASARI CIAMIS")</f>
        <v>KERTASARI CIAMIS</v>
      </c>
      <c r="D9653" s="186">
        <f>IFERROR(__xludf.DUMMYFUNCTION("""COMPUTED_VALUE"""),200.0)</f>
        <v>200</v>
      </c>
    </row>
    <row r="9654">
      <c r="A9654" s="178" t="str">
        <f>IFERROR(__xludf.DUMMYFUNCTION("""COMPUTED_VALUE"""),"ITBISA-RELAY-5V-4PIN-BLUE")</f>
        <v>ITBISA-RELAY-5V-4PIN-BLUE</v>
      </c>
      <c r="B9654" s="266">
        <f>IFERROR(__xludf.DUMMYFUNCTION("""COMPUTED_VALUE"""),45896.0)</f>
        <v>45896</v>
      </c>
      <c r="C9654" s="266" t="str">
        <f>IFERROR(__xludf.DUMMYFUNCTION("""COMPUTED_VALUE"""),"KERTASARI CIAMIS")</f>
        <v>KERTASARI CIAMIS</v>
      </c>
      <c r="D9654" s="186">
        <f>IFERROR(__xludf.DUMMYFUNCTION("""COMPUTED_VALUE"""),5.0)</f>
        <v>5</v>
      </c>
    </row>
    <row r="9655">
      <c r="A9655" s="178" t="str">
        <f>IFERROR(__xludf.DUMMYFUNCTION("""COMPUTED_VALUE"""),"ITBISA-RELAY-5V-4PIN-BLUE")</f>
        <v>ITBISA-RELAY-5V-4PIN-BLUE</v>
      </c>
      <c r="B9655" s="266">
        <f>IFERROR(__xludf.DUMMYFUNCTION("""COMPUTED_VALUE"""),45902.0)</f>
        <v>45902</v>
      </c>
      <c r="C9655" s="266" t="str">
        <f>IFERROR(__xludf.DUMMYFUNCTION("""COMPUTED_VALUE"""),"KERTASARI CIAMIS")</f>
        <v>KERTASARI CIAMIS</v>
      </c>
      <c r="D9655" s="186">
        <f>IFERROR(__xludf.DUMMYFUNCTION("""COMPUTED_VALUE"""),5.0)</f>
        <v>5</v>
      </c>
    </row>
    <row r="9656">
      <c r="A9656" s="178" t="str">
        <f>IFERROR(__xludf.DUMMYFUNCTION("""COMPUTED_VALUE"""),"ITBISA-RELAY-5V-4PIN-BLUE")</f>
        <v>ITBISA-RELAY-5V-4PIN-BLUE</v>
      </c>
      <c r="B9656" s="266">
        <f>IFERROR(__xludf.DUMMYFUNCTION("""COMPUTED_VALUE"""),45905.0)</f>
        <v>45905</v>
      </c>
      <c r="C9656" s="266" t="str">
        <f>IFERROR(__xludf.DUMMYFUNCTION("""COMPUTED_VALUE"""),"KYAI KONTONG")</f>
        <v>KYAI KONTONG</v>
      </c>
      <c r="D9656" s="186">
        <f>IFERROR(__xludf.DUMMYFUNCTION("""COMPUTED_VALUE"""),5.0)</f>
        <v>5</v>
      </c>
    </row>
    <row r="9657">
      <c r="A9657" s="178" t="str">
        <f>IFERROR(__xludf.DUMMYFUNCTION("""COMPUTED_VALUE"""),"ITBISA-RELAY-5V-4PIN-BLUE")</f>
        <v>ITBISA-RELAY-5V-4PIN-BLUE</v>
      </c>
      <c r="B9657" s="266">
        <f>IFERROR(__xludf.DUMMYFUNCTION("""COMPUTED_VALUE"""),45910.0)</f>
        <v>45910</v>
      </c>
      <c r="C9657" s="266" t="str">
        <f>IFERROR(__xludf.DUMMYFUNCTION("""COMPUTED_VALUE"""),"KYAI KONTONG")</f>
        <v>KYAI KONTONG</v>
      </c>
      <c r="D9657" s="186">
        <f>IFERROR(__xludf.DUMMYFUNCTION("""COMPUTED_VALUE"""),10.0)</f>
        <v>10</v>
      </c>
    </row>
    <row r="9658">
      <c r="A9658" s="178" t="str">
        <f>IFERROR(__xludf.DUMMYFUNCTION("""COMPUTED_VALUE"""),"ITBISA-RELAY-5V-4PIN-BLUE")</f>
        <v>ITBISA-RELAY-5V-4PIN-BLUE</v>
      </c>
      <c r="B9658" s="266">
        <f>IFERROR(__xludf.DUMMYFUNCTION("""COMPUTED_VALUE"""),45913.0)</f>
        <v>45913</v>
      </c>
      <c r="C9658" s="266" t="str">
        <f>IFERROR(__xludf.DUMMYFUNCTION("""COMPUTED_VALUE"""),"KYAI KONTONG")</f>
        <v>KYAI KONTONG</v>
      </c>
      <c r="D9658" s="186">
        <f>IFERROR(__xludf.DUMMYFUNCTION("""COMPUTED_VALUE"""),5.0)</f>
        <v>5</v>
      </c>
    </row>
    <row r="9659">
      <c r="A9659" s="178" t="str">
        <f>IFERROR(__xludf.DUMMYFUNCTION("""COMPUTED_VALUE"""),"ITBISA-RELAY-5V-4PIN-BLUE")</f>
        <v>ITBISA-RELAY-5V-4PIN-BLUE</v>
      </c>
      <c r="B9659" s="266">
        <f>IFERROR(__xludf.DUMMYFUNCTION("""COMPUTED_VALUE"""),45930.0)</f>
        <v>45930</v>
      </c>
      <c r="C9659" s="266" t="str">
        <f>IFERROR(__xludf.DUMMYFUNCTION("""COMPUTED_VALUE"""),"KERTASARI CIAMIS")</f>
        <v>KERTASARI CIAMIS</v>
      </c>
      <c r="D9659" s="186">
        <f>IFERROR(__xludf.DUMMYFUNCTION("""COMPUTED_VALUE"""),5.0)</f>
        <v>5</v>
      </c>
    </row>
    <row r="9660">
      <c r="A9660" s="178" t="str">
        <f>IFERROR(__xludf.DUMMYFUNCTION("""COMPUTED_VALUE"""),"ITBISA-RELAY-5V-4PIN-BLUE")</f>
        <v>ITBISA-RELAY-5V-4PIN-BLUE</v>
      </c>
      <c r="B9660" s="266">
        <f>IFERROR(__xludf.DUMMYFUNCTION("""COMPUTED_VALUE"""),45940.0)</f>
        <v>45940</v>
      </c>
      <c r="C9660" s="266" t="str">
        <f>IFERROR(__xludf.DUMMYFUNCTION("""COMPUTED_VALUE"""),"KYAI KONTONG")</f>
        <v>KYAI KONTONG</v>
      </c>
      <c r="D9660" s="186">
        <f>IFERROR(__xludf.DUMMYFUNCTION("""COMPUTED_VALUE"""),5.0)</f>
        <v>5</v>
      </c>
    </row>
    <row r="9661">
      <c r="A9661" s="178" t="str">
        <f>IFERROR(__xludf.DUMMYFUNCTION("""COMPUTED_VALUE"""),"ITBISA-RELAY-5V-4PIN-BLUE")</f>
        <v>ITBISA-RELAY-5V-4PIN-BLUE</v>
      </c>
      <c r="B9661" s="266">
        <f>IFERROR(__xludf.DUMMYFUNCTION("""COMPUTED_VALUE"""),45945.0)</f>
        <v>45945</v>
      </c>
      <c r="C9661" s="266" t="str">
        <f>IFERROR(__xludf.DUMMYFUNCTION("""COMPUTED_VALUE"""),"KYAI KONTONG")</f>
        <v>KYAI KONTONG</v>
      </c>
      <c r="D9661" s="186">
        <f>IFERROR(__xludf.DUMMYFUNCTION("""COMPUTED_VALUE"""),5.0)</f>
        <v>5</v>
      </c>
    </row>
    <row r="9662">
      <c r="A9662" s="178" t="str">
        <f>IFERROR(__xludf.DUMMYFUNCTION("""COMPUTED_VALUE"""),"ITBISA-RELAY-5V-4PIN-BLUE")</f>
        <v>ITBISA-RELAY-5V-4PIN-BLUE</v>
      </c>
      <c r="B9662" s="266">
        <f>IFERROR(__xludf.DUMMYFUNCTION("""COMPUTED_VALUE"""),45952.0)</f>
        <v>45952</v>
      </c>
      <c r="C9662" s="266" t="str">
        <f>IFERROR(__xludf.DUMMYFUNCTION("""COMPUTED_VALUE"""),"KYAI KONTONG")</f>
        <v>KYAI KONTONG</v>
      </c>
      <c r="D9662" s="186">
        <f>IFERROR(__xludf.DUMMYFUNCTION("""COMPUTED_VALUE"""),5.0)</f>
        <v>5</v>
      </c>
    </row>
    <row r="9663">
      <c r="A9663" s="178" t="str">
        <f>IFERROR(__xludf.DUMMYFUNCTION("""COMPUTED_VALUE"""),"ITBISA-RELAY-5V-4PIN-BLUE")</f>
        <v>ITBISA-RELAY-5V-4PIN-BLUE</v>
      </c>
      <c r="B9663" s="266">
        <f>IFERROR(__xludf.DUMMYFUNCTION("""COMPUTED_VALUE"""),45965.0)</f>
        <v>45965</v>
      </c>
      <c r="C9663" s="266" t="str">
        <f>IFERROR(__xludf.DUMMYFUNCTION("""COMPUTED_VALUE"""),"KYAI KONTONG")</f>
        <v>KYAI KONTONG</v>
      </c>
      <c r="D9663" s="186">
        <f>IFERROR(__xludf.DUMMYFUNCTION("""COMPUTED_VALUE"""),5.0)</f>
        <v>5</v>
      </c>
    </row>
    <row r="9664">
      <c r="A9664" s="178" t="str">
        <f>IFERROR(__xludf.DUMMYFUNCTION("""COMPUTED_VALUE"""),"ITBISA-RELAY-5V-4PIN-BLUE")</f>
        <v>ITBISA-RELAY-5V-4PIN-BLUE</v>
      </c>
      <c r="B9664" s="266">
        <f>IFERROR(__xludf.DUMMYFUNCTION("""COMPUTED_VALUE"""),45965.0)</f>
        <v>45965</v>
      </c>
      <c r="C9664" s="266" t="str">
        <f>IFERROR(__xludf.DUMMYFUNCTION("""COMPUTED_VALUE"""),"KYAI KONTONG")</f>
        <v>KYAI KONTONG</v>
      </c>
      <c r="D9664" s="186">
        <f>IFERROR(__xludf.DUMMYFUNCTION("""COMPUTED_VALUE"""),10.0)</f>
        <v>10</v>
      </c>
    </row>
    <row r="9665">
      <c r="A9665" s="178" t="str">
        <f>IFERROR(__xludf.DUMMYFUNCTION("""COMPUTED_VALUE"""),"ITBISA-RELAY-5V-4PIN-BLUE")</f>
        <v>ITBISA-RELAY-5V-4PIN-BLUE</v>
      </c>
      <c r="B9665" s="266">
        <f>IFERROR(__xludf.DUMMYFUNCTION("""COMPUTED_VALUE"""),45966.0)</f>
        <v>45966</v>
      </c>
      <c r="C9665" s="266" t="str">
        <f>IFERROR(__xludf.DUMMYFUNCTION("""COMPUTED_VALUE"""),"KYAI KONTONG")</f>
        <v>KYAI KONTONG</v>
      </c>
      <c r="D9665" s="186">
        <f>IFERROR(__xludf.DUMMYFUNCTION("""COMPUTED_VALUE"""),5.0)</f>
        <v>5</v>
      </c>
    </row>
    <row r="9666">
      <c r="A9666" s="178" t="str">
        <f>IFERROR(__xludf.DUMMYFUNCTION("""COMPUTED_VALUE"""),"ITBISA-RELAY-5V-4PIN-BLUE")</f>
        <v>ITBISA-RELAY-5V-4PIN-BLUE</v>
      </c>
      <c r="B9666" s="266">
        <f>IFERROR(__xludf.DUMMYFUNCTION("""COMPUTED_VALUE"""),45969.0)</f>
        <v>45969</v>
      </c>
      <c r="C9666" s="266" t="str">
        <f>IFERROR(__xludf.DUMMYFUNCTION("""COMPUTED_VALUE"""),"KYAI KONTONG")</f>
        <v>KYAI KONTONG</v>
      </c>
      <c r="D9666" s="186">
        <f>IFERROR(__xludf.DUMMYFUNCTION("""COMPUTED_VALUE"""),6.0)</f>
        <v>6</v>
      </c>
    </row>
    <row r="9667">
      <c r="A9667" s="178" t="str">
        <f>IFERROR(__xludf.DUMMYFUNCTION("""COMPUTED_VALUE"""),"ITBISA-RELAY-5V-4PIN-BLUE")</f>
        <v>ITBISA-RELAY-5V-4PIN-BLUE</v>
      </c>
      <c r="B9667" s="266">
        <f>IFERROR(__xludf.DUMMYFUNCTION("""COMPUTED_VALUE"""),45971.0)</f>
        <v>45971</v>
      </c>
      <c r="C9667" s="266" t="str">
        <f>IFERROR(__xludf.DUMMYFUNCTION("""COMPUTED_VALUE"""),"KYAI KONTONG")</f>
        <v>KYAI KONTONG</v>
      </c>
      <c r="D9667" s="186">
        <f>IFERROR(__xludf.DUMMYFUNCTION("""COMPUTED_VALUE"""),4.0)</f>
        <v>4</v>
      </c>
    </row>
    <row r="9668">
      <c r="A9668" s="178" t="str">
        <f>IFERROR(__xludf.DUMMYFUNCTION("""COMPUTED_VALUE"""),"ITBISA-RELAY-5V-4PIN-BLUE")</f>
        <v>ITBISA-RELAY-5V-4PIN-BLUE</v>
      </c>
      <c r="B9668" s="266">
        <f>IFERROR(__xludf.DUMMYFUNCTION("""COMPUTED_VALUE"""),45973.0)</f>
        <v>45973</v>
      </c>
      <c r="C9668" s="266" t="str">
        <f>IFERROR(__xludf.DUMMYFUNCTION("""COMPUTED_VALUE"""),"KERTASARI CIAMIS")</f>
        <v>KERTASARI CIAMIS</v>
      </c>
      <c r="D9668" s="186">
        <f>IFERROR(__xludf.DUMMYFUNCTION("""COMPUTED_VALUE"""),5.0)</f>
        <v>5</v>
      </c>
    </row>
    <row r="9669">
      <c r="A9669" s="178" t="str">
        <f>IFERROR(__xludf.DUMMYFUNCTION("""COMPUTED_VALUE"""),"ITBISA-RELAY-5V-4PIN-BLUE")</f>
        <v>ITBISA-RELAY-5V-4PIN-BLUE</v>
      </c>
      <c r="B9669" s="266">
        <f>IFERROR(__xludf.DUMMYFUNCTION("""COMPUTED_VALUE"""),45976.0)</f>
        <v>45976</v>
      </c>
      <c r="C9669" s="266" t="str">
        <f>IFERROR(__xludf.DUMMYFUNCTION("""COMPUTED_VALUE"""),"KYAI KONTONG")</f>
        <v>KYAI KONTONG</v>
      </c>
      <c r="D9669" s="186">
        <f>IFERROR(__xludf.DUMMYFUNCTION("""COMPUTED_VALUE"""),20.0)</f>
        <v>20</v>
      </c>
    </row>
    <row r="9670">
      <c r="A9670" s="178" t="str">
        <f>IFERROR(__xludf.DUMMYFUNCTION("""COMPUTED_VALUE"""),"ITBISA-RELAY-5V-4PIN-BLUE")</f>
        <v>ITBISA-RELAY-5V-4PIN-BLUE</v>
      </c>
      <c r="B9670" s="266">
        <f>IFERROR(__xludf.DUMMYFUNCTION("""COMPUTED_VALUE"""),45980.0)</f>
        <v>45980</v>
      </c>
      <c r="C9670" s="266" t="str">
        <f>IFERROR(__xludf.DUMMYFUNCTION("""COMPUTED_VALUE"""),"KYAI KONTONG")</f>
        <v>KYAI KONTONG</v>
      </c>
      <c r="D9670" s="186">
        <f>IFERROR(__xludf.DUMMYFUNCTION("""COMPUTED_VALUE"""),5.0)</f>
        <v>5</v>
      </c>
    </row>
    <row r="9671">
      <c r="A9671" s="178" t="str">
        <f>IFERROR(__xludf.DUMMYFUNCTION("""COMPUTED_VALUE"""),"ITBISA-RELAY-5V-4PIN-BLUE")</f>
        <v>ITBISA-RELAY-5V-4PIN-BLUE</v>
      </c>
      <c r="B9671" s="266">
        <f>IFERROR(__xludf.DUMMYFUNCTION("""COMPUTED_VALUE"""),45991.0)</f>
        <v>45991</v>
      </c>
      <c r="C9671" s="266" t="str">
        <f>IFERROR(__xludf.DUMMYFUNCTION("""COMPUTED_VALUE"""),"KERTASARI CIAMIS")</f>
        <v>KERTASARI CIAMIS</v>
      </c>
      <c r="D9671" s="186">
        <f>IFERROR(__xludf.DUMMYFUNCTION("""COMPUTED_VALUE"""),6.0)</f>
        <v>6</v>
      </c>
    </row>
    <row r="9672">
      <c r="A9672" s="178" t="str">
        <f>IFERROR(__xludf.DUMMYFUNCTION("""COMPUTED_VALUE"""),"ITBISA-RELAY-5V-4PIN-BLUE")</f>
        <v>ITBISA-RELAY-5V-4PIN-BLUE</v>
      </c>
      <c r="B9672" s="266">
        <f>IFERROR(__xludf.DUMMYFUNCTION("""COMPUTED_VALUE"""),45994.0)</f>
        <v>45994</v>
      </c>
      <c r="C9672" s="266" t="str">
        <f>IFERROR(__xludf.DUMMYFUNCTION("""COMPUTED_VALUE"""),"KYAI KONTONG")</f>
        <v>KYAI KONTONG</v>
      </c>
      <c r="D9672" s="186">
        <f>IFERROR(__xludf.DUMMYFUNCTION("""COMPUTED_VALUE"""),5.0)</f>
        <v>5</v>
      </c>
    </row>
    <row r="9673">
      <c r="A9673" s="178" t="str">
        <f>IFERROR(__xludf.DUMMYFUNCTION("""COMPUTED_VALUE"""),"ITBISA-RELAY-5V-4PIN-BLUE")</f>
        <v>ITBISA-RELAY-5V-4PIN-BLUE</v>
      </c>
      <c r="B9673" s="266">
        <f>IFERROR(__xludf.DUMMYFUNCTION("""COMPUTED_VALUE"""),45994.0)</f>
        <v>45994</v>
      </c>
      <c r="C9673" s="266" t="str">
        <f>IFERROR(__xludf.DUMMYFUNCTION("""COMPUTED_VALUE"""),"KYAI KONTONG")</f>
        <v>KYAI KONTONG</v>
      </c>
      <c r="D9673" s="186">
        <f>IFERROR(__xludf.DUMMYFUNCTION("""COMPUTED_VALUE"""),20.0)</f>
        <v>20</v>
      </c>
    </row>
    <row r="9674">
      <c r="A9674" s="178" t="str">
        <f>IFERROR(__xludf.DUMMYFUNCTION("""COMPUTED_VALUE"""),"ITBISA-RELAY-5V-4PIN-BLUE")</f>
        <v>ITBISA-RELAY-5V-4PIN-BLUE</v>
      </c>
      <c r="B9674" s="266">
        <f>IFERROR(__xludf.DUMMYFUNCTION("""COMPUTED_VALUE"""),46000.0)</f>
        <v>46000</v>
      </c>
      <c r="C9674" s="266" t="str">
        <f>IFERROR(__xludf.DUMMYFUNCTION("""COMPUTED_VALUE"""),"KYAI KONTONG")</f>
        <v>KYAI KONTONG</v>
      </c>
      <c r="D9674" s="186">
        <f>IFERROR(__xludf.DUMMYFUNCTION("""COMPUTED_VALUE"""),2.0)</f>
        <v>2</v>
      </c>
    </row>
    <row r="9675">
      <c r="A9675" s="178" t="str">
        <f>IFERROR(__xludf.DUMMYFUNCTION("""COMPUTED_VALUE"""),"ITBISA-RELAY-5V-4PIN-BLUE")</f>
        <v>ITBISA-RELAY-5V-4PIN-BLUE</v>
      </c>
      <c r="B9675" s="266">
        <f>IFERROR(__xludf.DUMMYFUNCTION("""COMPUTED_VALUE"""),46000.0)</f>
        <v>46000</v>
      </c>
      <c r="C9675" s="266" t="str">
        <f>IFERROR(__xludf.DUMMYFUNCTION("""COMPUTED_VALUE"""),"KYAI KONTONG")</f>
        <v>KYAI KONTONG</v>
      </c>
      <c r="D9675" s="186">
        <f>IFERROR(__xludf.DUMMYFUNCTION("""COMPUTED_VALUE"""),20.0)</f>
        <v>20</v>
      </c>
    </row>
    <row r="9676">
      <c r="A9676" s="178" t="str">
        <f>IFERROR(__xludf.DUMMYFUNCTION("""COMPUTED_VALUE"""),"ITBISA-RELAY-5V-4PIN-BLUE")</f>
        <v>ITBISA-RELAY-5V-4PIN-BLUE</v>
      </c>
      <c r="B9676" s="266">
        <f>IFERROR(__xludf.DUMMYFUNCTION("""COMPUTED_VALUE"""),46002.0)</f>
        <v>46002</v>
      </c>
      <c r="C9676" s="266" t="str">
        <f>IFERROR(__xludf.DUMMYFUNCTION("""COMPUTED_VALUE"""),"KYAI KONTONG")</f>
        <v>KYAI KONTONG</v>
      </c>
      <c r="D9676" s="186">
        <f>IFERROR(__xludf.DUMMYFUNCTION("""COMPUTED_VALUE"""),10.0)</f>
        <v>10</v>
      </c>
    </row>
    <row r="9677">
      <c r="A9677" s="178" t="str">
        <f>IFERROR(__xludf.DUMMYFUNCTION("""COMPUTED_VALUE"""),"ITBISA-RELAY-5V-4PIN-BLUE")</f>
        <v>ITBISA-RELAY-5V-4PIN-BLUE</v>
      </c>
      <c r="B9677" s="266">
        <f>IFERROR(__xludf.DUMMYFUNCTION("""COMPUTED_VALUE"""),46008.0)</f>
        <v>46008</v>
      </c>
      <c r="C9677" s="266" t="str">
        <f>IFERROR(__xludf.DUMMYFUNCTION("""COMPUTED_VALUE"""),"KERTASARI CIAMIS")</f>
        <v>KERTASARI CIAMIS</v>
      </c>
      <c r="D9677" s="186">
        <f>IFERROR(__xludf.DUMMYFUNCTION("""COMPUTED_VALUE"""),5.0)</f>
        <v>5</v>
      </c>
    </row>
    <row r="9678">
      <c r="A9678" s="178" t="str">
        <f>IFERROR(__xludf.DUMMYFUNCTION("""COMPUTED_VALUE"""),"ITBISA-RELAY-5V-4PIN-BLUE")</f>
        <v>ITBISA-RELAY-5V-4PIN-BLUE</v>
      </c>
      <c r="B9678" s="266">
        <f>IFERROR(__xludf.DUMMYFUNCTION("""COMPUTED_VALUE"""),46015.0)</f>
        <v>46015</v>
      </c>
      <c r="C9678" s="266" t="str">
        <f>IFERROR(__xludf.DUMMYFUNCTION("""COMPUTED_VALUE"""),"KYAI KONTONG")</f>
        <v>KYAI KONTONG</v>
      </c>
      <c r="D9678" s="186">
        <f>IFERROR(__xludf.DUMMYFUNCTION("""COMPUTED_VALUE"""),5.0)</f>
        <v>5</v>
      </c>
    </row>
    <row r="9679">
      <c r="A9679" s="178" t="str">
        <f>IFERROR(__xludf.DUMMYFUNCTION("""COMPUTED_VALUE"""),"ITBISA-RELAY-5V-4PIN-BLUE")</f>
        <v>ITBISA-RELAY-5V-4PIN-BLUE</v>
      </c>
      <c r="B9679" s="266">
        <f>IFERROR(__xludf.DUMMYFUNCTION("""COMPUTED_VALUE"""),46016.0)</f>
        <v>46016</v>
      </c>
      <c r="C9679" s="266" t="str">
        <f>IFERROR(__xludf.DUMMYFUNCTION("""COMPUTED_VALUE"""),"KYAI KONTONG")</f>
        <v>KYAI KONTONG</v>
      </c>
      <c r="D9679" s="186">
        <f>IFERROR(__xludf.DUMMYFUNCTION("""COMPUTED_VALUE"""),5.0)</f>
        <v>5</v>
      </c>
    </row>
    <row r="9680">
      <c r="A9680" s="178" t="str">
        <f>IFERROR(__xludf.DUMMYFUNCTION("""COMPUTED_VALUE"""),"ITBISA-RELAY-5V-4PIN-BLUE")</f>
        <v>ITBISA-RELAY-5V-4PIN-BLUE</v>
      </c>
      <c r="B9680" s="266">
        <f>IFERROR(__xludf.DUMMYFUNCTION("""COMPUTED_VALUE"""),46017.0)</f>
        <v>46017</v>
      </c>
      <c r="C9680" s="266" t="str">
        <f>IFERROR(__xludf.DUMMYFUNCTION("""COMPUTED_VALUE"""),"KYAI KONTONG")</f>
        <v>KYAI KONTONG</v>
      </c>
      <c r="D9680" s="186">
        <f>IFERROR(__xludf.DUMMYFUNCTION("""COMPUTED_VALUE"""),1.0)</f>
        <v>1</v>
      </c>
    </row>
    <row r="9681">
      <c r="A9681" s="178" t="str">
        <f>IFERROR(__xludf.DUMMYFUNCTION("""COMPUTED_VALUE"""),"ITBISA-RELAY-5V-4PIN-BLUE")</f>
        <v>ITBISA-RELAY-5V-4PIN-BLUE</v>
      </c>
      <c r="B9681" s="266">
        <f>IFERROR(__xludf.DUMMYFUNCTION("""COMPUTED_VALUE"""),46018.0)</f>
        <v>46018</v>
      </c>
      <c r="C9681" s="266" t="str">
        <f>IFERROR(__xludf.DUMMYFUNCTION("""COMPUTED_VALUE"""),"KYAI KONTONG")</f>
        <v>KYAI KONTONG</v>
      </c>
      <c r="D9681" s="186">
        <f>IFERROR(__xludf.DUMMYFUNCTION("""COMPUTED_VALUE"""),10.0)</f>
        <v>10</v>
      </c>
    </row>
    <row r="9682">
      <c r="A9682" s="178" t="str">
        <f>IFERROR(__xludf.DUMMYFUNCTION("""COMPUTED_VALUE"""),"ITBISA-RELAY-5V-4PIN-BLUE")</f>
        <v>ITBISA-RELAY-5V-4PIN-BLUE</v>
      </c>
      <c r="B9682" s="266">
        <f>IFERROR(__xludf.DUMMYFUNCTION("""COMPUTED_VALUE"""),46020.0)</f>
        <v>46020</v>
      </c>
      <c r="C9682" s="266" t="str">
        <f>IFERROR(__xludf.DUMMYFUNCTION("""COMPUTED_VALUE"""),"KYAI KONTONG")</f>
        <v>KYAI KONTONG</v>
      </c>
      <c r="D9682" s="186">
        <f>IFERROR(__xludf.DUMMYFUNCTION("""COMPUTED_VALUE"""),5.0)</f>
        <v>5</v>
      </c>
    </row>
    <row r="9683">
      <c r="A9683" s="178" t="str">
        <f>IFERROR(__xludf.DUMMYFUNCTION("""COMPUTED_VALUE"""),"ITBISA-RELAY-5V-4PIN-BLUE")</f>
        <v>ITBISA-RELAY-5V-4PIN-BLUE</v>
      </c>
      <c r="B9683" s="266">
        <f>IFERROR(__xludf.DUMMYFUNCTION("""COMPUTED_VALUE"""),46022.0)</f>
        <v>46022</v>
      </c>
      <c r="C9683" s="266" t="str">
        <f>IFERROR(__xludf.DUMMYFUNCTION("""COMPUTED_VALUE"""),"KYAI KONTONG")</f>
        <v>KYAI KONTONG</v>
      </c>
      <c r="D9683" s="186">
        <f>IFERROR(__xludf.DUMMYFUNCTION("""COMPUTED_VALUE"""),5.0)</f>
        <v>5</v>
      </c>
    </row>
    <row r="9684">
      <c r="A9684" s="178" t="str">
        <f>IFERROR(__xludf.DUMMYFUNCTION("""COMPUTED_VALUE"""),"ITBISA-RELAY-5V-5PIN-BLUE")</f>
        <v>ITBISA-RELAY-5V-5PIN-BLUE</v>
      </c>
      <c r="B9684" s="266">
        <f>IFERROR(__xludf.DUMMYFUNCTION("""COMPUTED_VALUE"""),45432.0)</f>
        <v>45432</v>
      </c>
      <c r="C9684" s="266" t="str">
        <f>IFERROR(__xludf.DUMMYFUNCTION("""COMPUTED_VALUE"""),"KERTASARI CIAMIS")</f>
        <v>KERTASARI CIAMIS</v>
      </c>
      <c r="D9684" s="186">
        <f>IFERROR(__xludf.DUMMYFUNCTION("""COMPUTED_VALUE"""),60.0)</f>
        <v>60</v>
      </c>
    </row>
    <row r="9685">
      <c r="A9685" s="178" t="str">
        <f>IFERROR(__xludf.DUMMYFUNCTION("""COMPUTED_VALUE"""),"ITBISA-RELAY-5V-5PIN-BLUE")</f>
        <v>ITBISA-RELAY-5V-5PIN-BLUE</v>
      </c>
      <c r="B9685" s="266">
        <f>IFERROR(__xludf.DUMMYFUNCTION("""COMPUTED_VALUE"""),45437.0)</f>
        <v>45437</v>
      </c>
      <c r="C9685" s="266" t="str">
        <f>IFERROR(__xludf.DUMMYFUNCTION("""COMPUTED_VALUE"""),"KERTASARI CIAMIS")</f>
        <v>KERTASARI CIAMIS</v>
      </c>
      <c r="D9685" s="186">
        <f>IFERROR(__xludf.DUMMYFUNCTION("""COMPUTED_VALUE"""),4.0)</f>
        <v>4</v>
      </c>
    </row>
    <row r="9686">
      <c r="A9686" s="178" t="str">
        <f>IFERROR(__xludf.DUMMYFUNCTION("""COMPUTED_VALUE"""),"ITBISA-RELAY-5V-5PIN-BLUE")</f>
        <v>ITBISA-RELAY-5V-5PIN-BLUE</v>
      </c>
      <c r="B9686" s="266">
        <f>IFERROR(__xludf.DUMMYFUNCTION("""COMPUTED_VALUE"""),45438.0)</f>
        <v>45438</v>
      </c>
      <c r="C9686" s="266" t="str">
        <f>IFERROR(__xludf.DUMMYFUNCTION("""COMPUTED_VALUE"""),"KERTASARI CIAMIS")</f>
        <v>KERTASARI CIAMIS</v>
      </c>
      <c r="D9686" s="186">
        <f>IFERROR(__xludf.DUMMYFUNCTION("""COMPUTED_VALUE"""),10.0)</f>
        <v>10</v>
      </c>
    </row>
    <row r="9687">
      <c r="A9687" s="178" t="str">
        <f>IFERROR(__xludf.DUMMYFUNCTION("""COMPUTED_VALUE"""),"ITBISA-RELAY-5V-5PIN-BLUE")</f>
        <v>ITBISA-RELAY-5V-5PIN-BLUE</v>
      </c>
      <c r="B9687" s="266">
        <f>IFERROR(__xludf.DUMMYFUNCTION("""COMPUTED_VALUE"""),45439.0)</f>
        <v>45439</v>
      </c>
      <c r="C9687" s="266" t="str">
        <f>IFERROR(__xludf.DUMMYFUNCTION("""COMPUTED_VALUE"""),"KYAI KONTONG")</f>
        <v>KYAI KONTONG</v>
      </c>
      <c r="D9687" s="186">
        <f>IFERROR(__xludf.DUMMYFUNCTION("""COMPUTED_VALUE"""),10.0)</f>
        <v>10</v>
      </c>
    </row>
    <row r="9688">
      <c r="A9688" s="178" t="str">
        <f>IFERROR(__xludf.DUMMYFUNCTION("""COMPUTED_VALUE"""),"ITBISA-RELAY-5V-5PIN-BLUE")</f>
        <v>ITBISA-RELAY-5V-5PIN-BLUE</v>
      </c>
      <c r="B9688" s="266">
        <f>IFERROR(__xludf.DUMMYFUNCTION("""COMPUTED_VALUE"""),45442.0)</f>
        <v>45442</v>
      </c>
      <c r="C9688" s="266" t="str">
        <f>IFERROR(__xludf.DUMMYFUNCTION("""COMPUTED_VALUE"""),"KERTASARI CIAMIS")</f>
        <v>KERTASARI CIAMIS</v>
      </c>
      <c r="D9688" s="186">
        <f>IFERROR(__xludf.DUMMYFUNCTION("""COMPUTED_VALUE"""),16.0)</f>
        <v>16</v>
      </c>
    </row>
    <row r="9689">
      <c r="A9689" s="178" t="str">
        <f>IFERROR(__xludf.DUMMYFUNCTION("""COMPUTED_VALUE"""),"ITBISA-RELAY-5V-5PIN-BLUE")</f>
        <v>ITBISA-RELAY-5V-5PIN-BLUE</v>
      </c>
      <c r="B9689" s="266">
        <f>IFERROR(__xludf.DUMMYFUNCTION("""COMPUTED_VALUE"""),45446.0)</f>
        <v>45446</v>
      </c>
      <c r="C9689" s="266" t="str">
        <f>IFERROR(__xludf.DUMMYFUNCTION("""COMPUTED_VALUE"""),"KERTASARI CIAMIS")</f>
        <v>KERTASARI CIAMIS</v>
      </c>
      <c r="D9689" s="186">
        <f>IFERROR(__xludf.DUMMYFUNCTION("""COMPUTED_VALUE"""),15.0)</f>
        <v>15</v>
      </c>
    </row>
    <row r="9690">
      <c r="A9690" s="178" t="str">
        <f>IFERROR(__xludf.DUMMYFUNCTION("""COMPUTED_VALUE"""),"ITBISA-RELAY-5V-5PIN-BLUE")</f>
        <v>ITBISA-RELAY-5V-5PIN-BLUE</v>
      </c>
      <c r="B9690" s="266">
        <f>IFERROR(__xludf.DUMMYFUNCTION("""COMPUTED_VALUE"""),45446.0)</f>
        <v>45446</v>
      </c>
      <c r="C9690" s="266" t="str">
        <f>IFERROR(__xludf.DUMMYFUNCTION("""COMPUTED_VALUE"""),"KERTASARI CIAMIS")</f>
        <v>KERTASARI CIAMIS</v>
      </c>
      <c r="D9690" s="186">
        <f>IFERROR(__xludf.DUMMYFUNCTION("""COMPUTED_VALUE"""),60.0)</f>
        <v>60</v>
      </c>
    </row>
    <row r="9691">
      <c r="A9691" s="178" t="str">
        <f>IFERROR(__xludf.DUMMYFUNCTION("""COMPUTED_VALUE"""),"ITBISA-RELAY-5V-5PIN-BLUE")</f>
        <v>ITBISA-RELAY-5V-5PIN-BLUE</v>
      </c>
      <c r="B9691" s="266">
        <f>IFERROR(__xludf.DUMMYFUNCTION("""COMPUTED_VALUE"""),45447.0)</f>
        <v>45447</v>
      </c>
      <c r="C9691" s="266" t="str">
        <f>IFERROR(__xludf.DUMMYFUNCTION("""COMPUTED_VALUE"""),"KERTASARI CIAMIS")</f>
        <v>KERTASARI CIAMIS</v>
      </c>
      <c r="D9691" s="186">
        <f>IFERROR(__xludf.DUMMYFUNCTION("""COMPUTED_VALUE"""),5.0)</f>
        <v>5</v>
      </c>
    </row>
    <row r="9692">
      <c r="A9692" s="178" t="str">
        <f>IFERROR(__xludf.DUMMYFUNCTION("""COMPUTED_VALUE"""),"ITBISA-RELAY-5V-5PIN-BLUE")</f>
        <v>ITBISA-RELAY-5V-5PIN-BLUE</v>
      </c>
      <c r="B9692" s="266">
        <f>IFERROR(__xludf.DUMMYFUNCTION("""COMPUTED_VALUE"""),45448.0)</f>
        <v>45448</v>
      </c>
      <c r="C9692" s="266" t="str">
        <f>IFERROR(__xludf.DUMMYFUNCTION("""COMPUTED_VALUE"""),"KERTASARI CIAMIS")</f>
        <v>KERTASARI CIAMIS</v>
      </c>
      <c r="D9692" s="186">
        <f>IFERROR(__xludf.DUMMYFUNCTION("""COMPUTED_VALUE"""),5.0)</f>
        <v>5</v>
      </c>
    </row>
    <row r="9693">
      <c r="A9693" s="178" t="str">
        <f>IFERROR(__xludf.DUMMYFUNCTION("""COMPUTED_VALUE"""),"ITBISA-RELAY-5V-5PIN-BLUE")</f>
        <v>ITBISA-RELAY-5V-5PIN-BLUE</v>
      </c>
      <c r="B9693" s="266">
        <f>IFERROR(__xludf.DUMMYFUNCTION("""COMPUTED_VALUE"""),45448.0)</f>
        <v>45448</v>
      </c>
      <c r="C9693" s="266" t="str">
        <f>IFERROR(__xludf.DUMMYFUNCTION("""COMPUTED_VALUE"""),"KYAI KONTONG")</f>
        <v>KYAI KONTONG</v>
      </c>
      <c r="D9693" s="186">
        <f>IFERROR(__xludf.DUMMYFUNCTION("""COMPUTED_VALUE"""),10.0)</f>
        <v>10</v>
      </c>
    </row>
    <row r="9694">
      <c r="A9694" s="178" t="str">
        <f>IFERROR(__xludf.DUMMYFUNCTION("""COMPUTED_VALUE"""),"ITBISA-RELAY-5V-5PIN-BLUE")</f>
        <v>ITBISA-RELAY-5V-5PIN-BLUE</v>
      </c>
      <c r="B9694" s="266">
        <f>IFERROR(__xludf.DUMMYFUNCTION("""COMPUTED_VALUE"""),45449.0)</f>
        <v>45449</v>
      </c>
      <c r="C9694" s="266" t="str">
        <f>IFERROR(__xludf.DUMMYFUNCTION("""COMPUTED_VALUE"""),"KYAI KONTONG")</f>
        <v>KYAI KONTONG</v>
      </c>
      <c r="D9694" s="186">
        <f>IFERROR(__xludf.DUMMYFUNCTION("""COMPUTED_VALUE"""),100.0)</f>
        <v>100</v>
      </c>
    </row>
    <row r="9695">
      <c r="A9695" s="178" t="str">
        <f>IFERROR(__xludf.DUMMYFUNCTION("""COMPUTED_VALUE"""),"ITBISA-RELAY-5V-5PIN-BLUE")</f>
        <v>ITBISA-RELAY-5V-5PIN-BLUE</v>
      </c>
      <c r="B9695" s="266">
        <f>IFERROR(__xludf.DUMMYFUNCTION("""COMPUTED_VALUE"""),45450.0)</f>
        <v>45450</v>
      </c>
      <c r="C9695" s="266" t="str">
        <f>IFERROR(__xludf.DUMMYFUNCTION("""COMPUTED_VALUE"""),"KYAI KONTONG")</f>
        <v>KYAI KONTONG</v>
      </c>
      <c r="D9695" s="186">
        <f>IFERROR(__xludf.DUMMYFUNCTION("""COMPUTED_VALUE"""),31.0)</f>
        <v>31</v>
      </c>
    </row>
    <row r="9696">
      <c r="A9696" s="178" t="str">
        <f>IFERROR(__xludf.DUMMYFUNCTION("""COMPUTED_VALUE"""),"ITBISA-RELAY-5V-5PIN-BLUE")</f>
        <v>ITBISA-RELAY-5V-5PIN-BLUE</v>
      </c>
      <c r="B9696" s="266">
        <f>IFERROR(__xludf.DUMMYFUNCTION("""COMPUTED_VALUE"""),45452.0)</f>
        <v>45452</v>
      </c>
      <c r="C9696" s="266" t="str">
        <f>IFERROR(__xludf.DUMMYFUNCTION("""COMPUTED_VALUE"""),"KYAI KONTONG")</f>
        <v>KYAI KONTONG</v>
      </c>
      <c r="D9696" s="186">
        <f>IFERROR(__xludf.DUMMYFUNCTION("""COMPUTED_VALUE"""),10.0)</f>
        <v>10</v>
      </c>
    </row>
    <row r="9697">
      <c r="A9697" s="178" t="str">
        <f>IFERROR(__xludf.DUMMYFUNCTION("""COMPUTED_VALUE"""),"ITBISA-RELAY-5V-5PIN-BLUE")</f>
        <v>ITBISA-RELAY-5V-5PIN-BLUE</v>
      </c>
      <c r="B9697" s="266">
        <f>IFERROR(__xludf.DUMMYFUNCTION("""COMPUTED_VALUE"""),45454.0)</f>
        <v>45454</v>
      </c>
      <c r="C9697" s="266" t="str">
        <f>IFERROR(__xludf.DUMMYFUNCTION("""COMPUTED_VALUE"""),"KERTASARI CIAMIS")</f>
        <v>KERTASARI CIAMIS</v>
      </c>
      <c r="D9697" s="186">
        <f>IFERROR(__xludf.DUMMYFUNCTION("""COMPUTED_VALUE"""),10.0)</f>
        <v>10</v>
      </c>
    </row>
    <row r="9698">
      <c r="A9698" s="178" t="str">
        <f>IFERROR(__xludf.DUMMYFUNCTION("""COMPUTED_VALUE"""),"ITBISA-RELAY-5V-5PIN-BLUE")</f>
        <v>ITBISA-RELAY-5V-5PIN-BLUE</v>
      </c>
      <c r="B9698" s="266">
        <f>IFERROR(__xludf.DUMMYFUNCTION("""COMPUTED_VALUE"""),45454.0)</f>
        <v>45454</v>
      </c>
      <c r="C9698" s="266" t="str">
        <f>IFERROR(__xludf.DUMMYFUNCTION("""COMPUTED_VALUE"""),"KYAI KONTONG")</f>
        <v>KYAI KONTONG</v>
      </c>
      <c r="D9698" s="186">
        <f>IFERROR(__xludf.DUMMYFUNCTION("""COMPUTED_VALUE"""),40.0)</f>
        <v>40</v>
      </c>
    </row>
    <row r="9699">
      <c r="A9699" s="178" t="str">
        <f>IFERROR(__xludf.DUMMYFUNCTION("""COMPUTED_VALUE"""),"ITBISA-RELAY-5V-5PIN-BLUE")</f>
        <v>ITBISA-RELAY-5V-5PIN-BLUE</v>
      </c>
      <c r="B9699" s="266">
        <f>IFERROR(__xludf.DUMMYFUNCTION("""COMPUTED_VALUE"""),45455.0)</f>
        <v>45455</v>
      </c>
      <c r="C9699" s="266" t="str">
        <f>IFERROR(__xludf.DUMMYFUNCTION("""COMPUTED_VALUE"""),"KERTASARI CIAMIS")</f>
        <v>KERTASARI CIAMIS</v>
      </c>
      <c r="D9699" s="186">
        <f>IFERROR(__xludf.DUMMYFUNCTION("""COMPUTED_VALUE"""),5.0)</f>
        <v>5</v>
      </c>
    </row>
    <row r="9700">
      <c r="A9700" s="178" t="str">
        <f>IFERROR(__xludf.DUMMYFUNCTION("""COMPUTED_VALUE"""),"ITBISA-RELAY-5V-5PIN-BLUE")</f>
        <v>ITBISA-RELAY-5V-5PIN-BLUE</v>
      </c>
      <c r="B9700" s="266">
        <f>IFERROR(__xludf.DUMMYFUNCTION("""COMPUTED_VALUE"""),45457.0)</f>
        <v>45457</v>
      </c>
      <c r="C9700" s="266" t="str">
        <f>IFERROR(__xludf.DUMMYFUNCTION("""COMPUTED_VALUE"""),"KERTASARI CIAMIS")</f>
        <v>KERTASARI CIAMIS</v>
      </c>
      <c r="D9700" s="186">
        <f>IFERROR(__xludf.DUMMYFUNCTION("""COMPUTED_VALUE"""),15.0)</f>
        <v>15</v>
      </c>
    </row>
    <row r="9701">
      <c r="A9701" s="178" t="str">
        <f>IFERROR(__xludf.DUMMYFUNCTION("""COMPUTED_VALUE"""),"ITBISA-RELAY-5V-5PIN-BLUE")</f>
        <v>ITBISA-RELAY-5V-5PIN-BLUE</v>
      </c>
      <c r="B9701" s="266">
        <f>IFERROR(__xludf.DUMMYFUNCTION("""COMPUTED_VALUE"""),45458.0)</f>
        <v>45458</v>
      </c>
      <c r="C9701" s="266" t="str">
        <f>IFERROR(__xludf.DUMMYFUNCTION("""COMPUTED_VALUE"""),"KERTASARI CIAMIS")</f>
        <v>KERTASARI CIAMIS</v>
      </c>
      <c r="D9701" s="186">
        <f>IFERROR(__xludf.DUMMYFUNCTION("""COMPUTED_VALUE"""),21.0)</f>
        <v>21</v>
      </c>
    </row>
    <row r="9702">
      <c r="A9702" s="178" t="str">
        <f>IFERROR(__xludf.DUMMYFUNCTION("""COMPUTED_VALUE"""),"ITBISA-RELAY-5V-5PIN-BLUE")</f>
        <v>ITBISA-RELAY-5V-5PIN-BLUE</v>
      </c>
      <c r="B9702" s="266">
        <f>IFERROR(__xludf.DUMMYFUNCTION("""COMPUTED_VALUE"""),45458.0)</f>
        <v>45458</v>
      </c>
      <c r="C9702" s="266" t="str">
        <f>IFERROR(__xludf.DUMMYFUNCTION("""COMPUTED_VALUE"""),"KYAI KONTONG")</f>
        <v>KYAI KONTONG</v>
      </c>
      <c r="D9702" s="186">
        <f>IFERROR(__xludf.DUMMYFUNCTION("""COMPUTED_VALUE"""),14.0)</f>
        <v>14</v>
      </c>
    </row>
    <row r="9703">
      <c r="A9703" s="178" t="str">
        <f>IFERROR(__xludf.DUMMYFUNCTION("""COMPUTED_VALUE"""),"ITBISA-RELAY-5V-5PIN-BLUE")</f>
        <v>ITBISA-RELAY-5V-5PIN-BLUE</v>
      </c>
      <c r="B9703" s="266">
        <f>IFERROR(__xludf.DUMMYFUNCTION("""COMPUTED_VALUE"""),45460.0)</f>
        <v>45460</v>
      </c>
      <c r="C9703" s="266" t="str">
        <f>IFERROR(__xludf.DUMMYFUNCTION("""COMPUTED_VALUE"""),"KERTASARI CIAMIS")</f>
        <v>KERTASARI CIAMIS</v>
      </c>
      <c r="D9703" s="186">
        <f>IFERROR(__xludf.DUMMYFUNCTION("""COMPUTED_VALUE"""),50.0)</f>
        <v>50</v>
      </c>
    </row>
    <row r="9704">
      <c r="A9704" s="178" t="str">
        <f>IFERROR(__xludf.DUMMYFUNCTION("""COMPUTED_VALUE"""),"ITBISA-RELAY-5V-5PIN-BLUE")</f>
        <v>ITBISA-RELAY-5V-5PIN-BLUE</v>
      </c>
      <c r="B9704" s="266">
        <f>IFERROR(__xludf.DUMMYFUNCTION("""COMPUTED_VALUE"""),45461.0)</f>
        <v>45461</v>
      </c>
      <c r="C9704" s="266" t="str">
        <f>IFERROR(__xludf.DUMMYFUNCTION("""COMPUTED_VALUE"""),"KYAI KONTONG")</f>
        <v>KYAI KONTONG</v>
      </c>
      <c r="D9704" s="186">
        <f>IFERROR(__xludf.DUMMYFUNCTION("""COMPUTED_VALUE"""),10.0)</f>
        <v>10</v>
      </c>
    </row>
    <row r="9705">
      <c r="A9705" s="178" t="str">
        <f>IFERROR(__xludf.DUMMYFUNCTION("""COMPUTED_VALUE"""),"ITBISA-RELAY-5V-5PIN-BLUE")</f>
        <v>ITBISA-RELAY-5V-5PIN-BLUE</v>
      </c>
      <c r="B9705" s="266">
        <f>IFERROR(__xludf.DUMMYFUNCTION("""COMPUTED_VALUE"""),45462.0)</f>
        <v>45462</v>
      </c>
      <c r="C9705" s="266" t="str">
        <f>IFERROR(__xludf.DUMMYFUNCTION("""COMPUTED_VALUE"""),"KYAI KONTONG")</f>
        <v>KYAI KONTONG</v>
      </c>
      <c r="D9705" s="186">
        <f>IFERROR(__xludf.DUMMYFUNCTION("""COMPUTED_VALUE"""),26.0)</f>
        <v>26</v>
      </c>
    </row>
    <row r="9706">
      <c r="A9706" s="178" t="str">
        <f>IFERROR(__xludf.DUMMYFUNCTION("""COMPUTED_VALUE"""),"ITBISA-RELAY-5V-5PIN-BLUE")</f>
        <v>ITBISA-RELAY-5V-5PIN-BLUE</v>
      </c>
      <c r="B9706" s="266">
        <f>IFERROR(__xludf.DUMMYFUNCTION("""COMPUTED_VALUE"""),45463.0)</f>
        <v>45463</v>
      </c>
      <c r="C9706" s="266" t="str">
        <f>IFERROR(__xludf.DUMMYFUNCTION("""COMPUTED_VALUE"""),"KYAI KONTONG")</f>
        <v>KYAI KONTONG</v>
      </c>
      <c r="D9706" s="186">
        <f>IFERROR(__xludf.DUMMYFUNCTION("""COMPUTED_VALUE"""),10.0)</f>
        <v>10</v>
      </c>
    </row>
    <row r="9707">
      <c r="A9707" s="178" t="str">
        <f>IFERROR(__xludf.DUMMYFUNCTION("""COMPUTED_VALUE"""),"ITBISA-RELAY-5V-5PIN-BLUE")</f>
        <v>ITBISA-RELAY-5V-5PIN-BLUE</v>
      </c>
      <c r="B9707" s="266">
        <f>IFERROR(__xludf.DUMMYFUNCTION("""COMPUTED_VALUE"""),45464.0)</f>
        <v>45464</v>
      </c>
      <c r="C9707" s="266" t="str">
        <f>IFERROR(__xludf.DUMMYFUNCTION("""COMPUTED_VALUE"""),"KYAI KONTONG")</f>
        <v>KYAI KONTONG</v>
      </c>
      <c r="D9707" s="186">
        <f>IFERROR(__xludf.DUMMYFUNCTION("""COMPUTED_VALUE"""),50.0)</f>
        <v>50</v>
      </c>
    </row>
    <row r="9708">
      <c r="A9708" s="178" t="str">
        <f>IFERROR(__xludf.DUMMYFUNCTION("""COMPUTED_VALUE"""),"ITBISA-RELAY-5V-5PIN-BLUE")</f>
        <v>ITBISA-RELAY-5V-5PIN-BLUE</v>
      </c>
      <c r="B9708" s="266">
        <f>IFERROR(__xludf.DUMMYFUNCTION("""COMPUTED_VALUE"""),45467.0)</f>
        <v>45467</v>
      </c>
      <c r="C9708" s="266" t="str">
        <f>IFERROR(__xludf.DUMMYFUNCTION("""COMPUTED_VALUE"""),"KYAI KONTONG")</f>
        <v>KYAI KONTONG</v>
      </c>
      <c r="D9708" s="186">
        <f>IFERROR(__xludf.DUMMYFUNCTION("""COMPUTED_VALUE"""),10.0)</f>
        <v>10</v>
      </c>
    </row>
    <row r="9709">
      <c r="A9709" s="178" t="str">
        <f>IFERROR(__xludf.DUMMYFUNCTION("""COMPUTED_VALUE"""),"ITBISA-RELAY-5V-5PIN-BLUE")</f>
        <v>ITBISA-RELAY-5V-5PIN-BLUE</v>
      </c>
      <c r="B9709" s="266">
        <f>IFERROR(__xludf.DUMMYFUNCTION("""COMPUTED_VALUE"""),45468.0)</f>
        <v>45468</v>
      </c>
      <c r="C9709" s="266" t="str">
        <f>IFERROR(__xludf.DUMMYFUNCTION("""COMPUTED_VALUE"""),"KYAI KONTONG")</f>
        <v>KYAI KONTONG</v>
      </c>
      <c r="D9709" s="186">
        <f>IFERROR(__xludf.DUMMYFUNCTION("""COMPUTED_VALUE"""),20.0)</f>
        <v>20</v>
      </c>
    </row>
    <row r="9710">
      <c r="A9710" s="178" t="str">
        <f>IFERROR(__xludf.DUMMYFUNCTION("""COMPUTED_VALUE"""),"ITBISA-RELAY-5V-5PIN-BLUE")</f>
        <v>ITBISA-RELAY-5V-5PIN-BLUE</v>
      </c>
      <c r="B9710" s="266">
        <f>IFERROR(__xludf.DUMMYFUNCTION("""COMPUTED_VALUE"""),45468.0)</f>
        <v>45468</v>
      </c>
      <c r="C9710" s="266" t="str">
        <f>IFERROR(__xludf.DUMMYFUNCTION("""COMPUTED_VALUE"""),"KYAI KONTONG")</f>
        <v>KYAI KONTONG</v>
      </c>
      <c r="D9710" s="186">
        <f>IFERROR(__xludf.DUMMYFUNCTION("""COMPUTED_VALUE"""),100.0)</f>
        <v>100</v>
      </c>
    </row>
    <row r="9711">
      <c r="A9711" s="178" t="str">
        <f>IFERROR(__xludf.DUMMYFUNCTION("""COMPUTED_VALUE"""),"ITBISA-RELAY-5V-5PIN-BLUE")</f>
        <v>ITBISA-RELAY-5V-5PIN-BLUE</v>
      </c>
      <c r="B9711" s="266">
        <f>IFERROR(__xludf.DUMMYFUNCTION("""COMPUTED_VALUE"""),45470.0)</f>
        <v>45470</v>
      </c>
      <c r="C9711" s="266" t="str">
        <f>IFERROR(__xludf.DUMMYFUNCTION("""COMPUTED_VALUE"""),"KYAI KONTONG")</f>
        <v>KYAI KONTONG</v>
      </c>
      <c r="D9711" s="186">
        <f>IFERROR(__xludf.DUMMYFUNCTION("""COMPUTED_VALUE"""),50.0)</f>
        <v>50</v>
      </c>
    </row>
    <row r="9712">
      <c r="A9712" s="178" t="str">
        <f>IFERROR(__xludf.DUMMYFUNCTION("""COMPUTED_VALUE"""),"ITBISA-RELAY-5V-5PIN-BLUE")</f>
        <v>ITBISA-RELAY-5V-5PIN-BLUE</v>
      </c>
      <c r="B9712" s="266">
        <f>IFERROR(__xludf.DUMMYFUNCTION("""COMPUTED_VALUE"""),45473.0)</f>
        <v>45473</v>
      </c>
      <c r="C9712" s="266" t="str">
        <f>IFERROR(__xludf.DUMMYFUNCTION("""COMPUTED_VALUE"""),"KERTASARI CIAMIS")</f>
        <v>KERTASARI CIAMIS</v>
      </c>
      <c r="D9712" s="186">
        <f>IFERROR(__xludf.DUMMYFUNCTION("""COMPUTED_VALUE"""),10.0)</f>
        <v>10</v>
      </c>
    </row>
    <row r="9713">
      <c r="A9713" s="178" t="str">
        <f>IFERROR(__xludf.DUMMYFUNCTION("""COMPUTED_VALUE"""),"ITBISA-RELAY-5V-5PIN-BLUE")</f>
        <v>ITBISA-RELAY-5V-5PIN-BLUE</v>
      </c>
      <c r="B9713" s="266">
        <f>IFERROR(__xludf.DUMMYFUNCTION("""COMPUTED_VALUE"""),45474.0)</f>
        <v>45474</v>
      </c>
      <c r="C9713" s="266" t="str">
        <f>IFERROR(__xludf.DUMMYFUNCTION("""COMPUTED_VALUE"""),"KERTASARI CIAMIS")</f>
        <v>KERTASARI CIAMIS</v>
      </c>
      <c r="D9713" s="186">
        <f>IFERROR(__xludf.DUMMYFUNCTION("""COMPUTED_VALUE"""),10.0)</f>
        <v>10</v>
      </c>
    </row>
    <row r="9714">
      <c r="A9714" s="178" t="str">
        <f>IFERROR(__xludf.DUMMYFUNCTION("""COMPUTED_VALUE"""),"ITBISA-RELAY-5V-5PIN-BLUE")</f>
        <v>ITBISA-RELAY-5V-5PIN-BLUE</v>
      </c>
      <c r="B9714" s="266">
        <f>IFERROR(__xludf.DUMMYFUNCTION("""COMPUTED_VALUE"""),45475.0)</f>
        <v>45475</v>
      </c>
      <c r="C9714" s="266" t="str">
        <f>IFERROR(__xludf.DUMMYFUNCTION("""COMPUTED_VALUE"""),"KYAI KONTONG")</f>
        <v>KYAI KONTONG</v>
      </c>
      <c r="D9714" s="186">
        <f>IFERROR(__xludf.DUMMYFUNCTION("""COMPUTED_VALUE"""),10.0)</f>
        <v>10</v>
      </c>
    </row>
    <row r="9715">
      <c r="A9715" s="178" t="str">
        <f>IFERROR(__xludf.DUMMYFUNCTION("""COMPUTED_VALUE"""),"ITBISA-RELAY-5V-5PIN-BLUE")</f>
        <v>ITBISA-RELAY-5V-5PIN-BLUE</v>
      </c>
      <c r="B9715" s="266">
        <f>IFERROR(__xludf.DUMMYFUNCTION("""COMPUTED_VALUE"""),45478.0)</f>
        <v>45478</v>
      </c>
      <c r="C9715" s="266" t="str">
        <f>IFERROR(__xludf.DUMMYFUNCTION("""COMPUTED_VALUE"""),"KYAI KONTONG")</f>
        <v>KYAI KONTONG</v>
      </c>
      <c r="D9715" s="186">
        <f>IFERROR(__xludf.DUMMYFUNCTION("""COMPUTED_VALUE"""),40.0)</f>
        <v>40</v>
      </c>
    </row>
    <row r="9716">
      <c r="A9716" s="178" t="str">
        <f>IFERROR(__xludf.DUMMYFUNCTION("""COMPUTED_VALUE"""),"ITBISA-RELAY-5V-5PIN-BLUE")</f>
        <v>ITBISA-RELAY-5V-5PIN-BLUE</v>
      </c>
      <c r="B9716" s="266">
        <f>IFERROR(__xludf.DUMMYFUNCTION("""COMPUTED_VALUE"""),45480.0)</f>
        <v>45480</v>
      </c>
      <c r="C9716" s="266" t="str">
        <f>IFERROR(__xludf.DUMMYFUNCTION("""COMPUTED_VALUE"""),"KERTASARI CIAMIS")</f>
        <v>KERTASARI CIAMIS</v>
      </c>
      <c r="D9716" s="186">
        <f>IFERROR(__xludf.DUMMYFUNCTION("""COMPUTED_VALUE"""),10.0)</f>
        <v>10</v>
      </c>
    </row>
    <row r="9717">
      <c r="A9717" s="178" t="str">
        <f>IFERROR(__xludf.DUMMYFUNCTION("""COMPUTED_VALUE"""),"ITBISA-RELAY-5V-5PIN-BLUE")</f>
        <v>ITBISA-RELAY-5V-5PIN-BLUE</v>
      </c>
      <c r="B9717" s="266">
        <f>IFERROR(__xludf.DUMMYFUNCTION("""COMPUTED_VALUE"""),45482.0)</f>
        <v>45482</v>
      </c>
      <c r="C9717" s="266" t="str">
        <f>IFERROR(__xludf.DUMMYFUNCTION("""COMPUTED_VALUE"""),"KERTASARI CIAMIS")</f>
        <v>KERTASARI CIAMIS</v>
      </c>
      <c r="D9717" s="186">
        <f>IFERROR(__xludf.DUMMYFUNCTION("""COMPUTED_VALUE"""),20.0)</f>
        <v>20</v>
      </c>
    </row>
    <row r="9718">
      <c r="A9718" s="178" t="str">
        <f>IFERROR(__xludf.DUMMYFUNCTION("""COMPUTED_VALUE"""),"ITBISA-RELAY-5V-5PIN-BLUE")</f>
        <v>ITBISA-RELAY-5V-5PIN-BLUE</v>
      </c>
      <c r="B9718" s="266">
        <f>IFERROR(__xludf.DUMMYFUNCTION("""COMPUTED_VALUE"""),45483.0)</f>
        <v>45483</v>
      </c>
      <c r="C9718" s="266" t="str">
        <f>IFERROR(__xludf.DUMMYFUNCTION("""COMPUTED_VALUE"""),"KERTASARI CIAMIS")</f>
        <v>KERTASARI CIAMIS</v>
      </c>
      <c r="D9718" s="186">
        <f>IFERROR(__xludf.DUMMYFUNCTION("""COMPUTED_VALUE"""),14.0)</f>
        <v>14</v>
      </c>
    </row>
    <row r="9719">
      <c r="A9719" s="178" t="str">
        <f>IFERROR(__xludf.DUMMYFUNCTION("""COMPUTED_VALUE"""),"ITBISA-RELAY-5V-5PIN-BLUE")</f>
        <v>ITBISA-RELAY-5V-5PIN-BLUE</v>
      </c>
      <c r="B9719" s="266">
        <f>IFERROR(__xludf.DUMMYFUNCTION("""COMPUTED_VALUE"""),45484.0)</f>
        <v>45484</v>
      </c>
      <c r="C9719" s="266" t="str">
        <f>IFERROR(__xludf.DUMMYFUNCTION("""COMPUTED_VALUE"""),"KYAI KONTONG")</f>
        <v>KYAI KONTONG</v>
      </c>
      <c r="D9719" s="186">
        <f>IFERROR(__xludf.DUMMYFUNCTION("""COMPUTED_VALUE"""),100.0)</f>
        <v>100</v>
      </c>
    </row>
    <row r="9720">
      <c r="A9720" s="178" t="str">
        <f>IFERROR(__xludf.DUMMYFUNCTION("""COMPUTED_VALUE"""),"ITBISA-RELAY-5V-5PIN-BLUE")</f>
        <v>ITBISA-RELAY-5V-5PIN-BLUE</v>
      </c>
      <c r="B9720" s="266">
        <f>IFERROR(__xludf.DUMMYFUNCTION("""COMPUTED_VALUE"""),45486.0)</f>
        <v>45486</v>
      </c>
      <c r="C9720" s="266" t="str">
        <f>IFERROR(__xludf.DUMMYFUNCTION("""COMPUTED_VALUE"""),"KERTASARI CIAMIS")</f>
        <v>KERTASARI CIAMIS</v>
      </c>
      <c r="D9720" s="186">
        <f>IFERROR(__xludf.DUMMYFUNCTION("""COMPUTED_VALUE"""),17.0)</f>
        <v>17</v>
      </c>
    </row>
    <row r="9721">
      <c r="A9721" s="178" t="str">
        <f>IFERROR(__xludf.DUMMYFUNCTION("""COMPUTED_VALUE"""),"ITBISA-RELAY-5V-5PIN-BLUE")</f>
        <v>ITBISA-RELAY-5V-5PIN-BLUE</v>
      </c>
      <c r="B9721" s="266">
        <f>IFERROR(__xludf.DUMMYFUNCTION("""COMPUTED_VALUE"""),45489.0)</f>
        <v>45489</v>
      </c>
      <c r="C9721" s="266" t="str">
        <f>IFERROR(__xludf.DUMMYFUNCTION("""COMPUTED_VALUE"""),"KYAI KONTONG")</f>
        <v>KYAI KONTONG</v>
      </c>
      <c r="D9721" s="186">
        <f>IFERROR(__xludf.DUMMYFUNCTION("""COMPUTED_VALUE"""),10.0)</f>
        <v>10</v>
      </c>
    </row>
    <row r="9722">
      <c r="A9722" s="178" t="str">
        <f>IFERROR(__xludf.DUMMYFUNCTION("""COMPUTED_VALUE"""),"ITBISA-RELAY-5V-5PIN-BLUE")</f>
        <v>ITBISA-RELAY-5V-5PIN-BLUE</v>
      </c>
      <c r="B9722" s="266">
        <f>IFERROR(__xludf.DUMMYFUNCTION("""COMPUTED_VALUE"""),45490.0)</f>
        <v>45490</v>
      </c>
      <c r="C9722" s="266" t="str">
        <f>IFERROR(__xludf.DUMMYFUNCTION("""COMPUTED_VALUE"""),"KERTASARI CIAMIS")</f>
        <v>KERTASARI CIAMIS</v>
      </c>
      <c r="D9722" s="186">
        <f>IFERROR(__xludf.DUMMYFUNCTION("""COMPUTED_VALUE"""),20.0)</f>
        <v>20</v>
      </c>
    </row>
    <row r="9723">
      <c r="A9723" s="178" t="str">
        <f>IFERROR(__xludf.DUMMYFUNCTION("""COMPUTED_VALUE"""),"ITBISA-RELAY-5V-5PIN-BLUE")</f>
        <v>ITBISA-RELAY-5V-5PIN-BLUE</v>
      </c>
      <c r="B9723" s="266">
        <f>IFERROR(__xludf.DUMMYFUNCTION("""COMPUTED_VALUE"""),45496.0)</f>
        <v>45496</v>
      </c>
      <c r="C9723" s="266" t="str">
        <f>IFERROR(__xludf.DUMMYFUNCTION("""COMPUTED_VALUE"""),"KYAI KONTONG")</f>
        <v>KYAI KONTONG</v>
      </c>
      <c r="D9723" s="186">
        <f>IFERROR(__xludf.DUMMYFUNCTION("""COMPUTED_VALUE"""),10.0)</f>
        <v>10</v>
      </c>
    </row>
    <row r="9724">
      <c r="A9724" s="178" t="str">
        <f>IFERROR(__xludf.DUMMYFUNCTION("""COMPUTED_VALUE"""),"ITBISA-RELAY-5V-5PIN-BLUE")</f>
        <v>ITBISA-RELAY-5V-5PIN-BLUE</v>
      </c>
      <c r="B9724" s="266">
        <f>IFERROR(__xludf.DUMMYFUNCTION("""COMPUTED_VALUE"""),45499.0)</f>
        <v>45499</v>
      </c>
      <c r="C9724" s="266" t="str">
        <f>IFERROR(__xludf.DUMMYFUNCTION("""COMPUTED_VALUE"""),"KERTASARI CIAMIS")</f>
        <v>KERTASARI CIAMIS</v>
      </c>
      <c r="D9724" s="186">
        <f>IFERROR(__xludf.DUMMYFUNCTION("""COMPUTED_VALUE"""),20.0)</f>
        <v>20</v>
      </c>
    </row>
    <row r="9725">
      <c r="A9725" s="178" t="str">
        <f>IFERROR(__xludf.DUMMYFUNCTION("""COMPUTED_VALUE"""),"ITBISA-RELAY-5V-5PIN-BLUE")</f>
        <v>ITBISA-RELAY-5V-5PIN-BLUE</v>
      </c>
      <c r="B9725" s="266">
        <f>IFERROR(__xludf.DUMMYFUNCTION("""COMPUTED_VALUE"""),45500.0)</f>
        <v>45500</v>
      </c>
      <c r="C9725" s="266" t="str">
        <f>IFERROR(__xludf.DUMMYFUNCTION("""COMPUTED_VALUE"""),"KYAI KONTONG")</f>
        <v>KYAI KONTONG</v>
      </c>
      <c r="D9725" s="186">
        <f>IFERROR(__xludf.DUMMYFUNCTION("""COMPUTED_VALUE"""),12.0)</f>
        <v>12</v>
      </c>
    </row>
    <row r="9726">
      <c r="A9726" s="178" t="str">
        <f>IFERROR(__xludf.DUMMYFUNCTION("""COMPUTED_VALUE"""),"ITBISA-RELAY-5V-5PIN-BLUE")</f>
        <v>ITBISA-RELAY-5V-5PIN-BLUE</v>
      </c>
      <c r="B9726" s="266">
        <f>IFERROR(__xludf.DUMMYFUNCTION("""COMPUTED_VALUE"""),45501.0)</f>
        <v>45501</v>
      </c>
      <c r="C9726" s="266" t="str">
        <f>IFERROR(__xludf.DUMMYFUNCTION("""COMPUTED_VALUE"""),"KYAI KONTONG")</f>
        <v>KYAI KONTONG</v>
      </c>
      <c r="D9726" s="186">
        <f>IFERROR(__xludf.DUMMYFUNCTION("""COMPUTED_VALUE"""),44.0)</f>
        <v>44</v>
      </c>
    </row>
    <row r="9727">
      <c r="A9727" s="178" t="str">
        <f>IFERROR(__xludf.DUMMYFUNCTION("""COMPUTED_VALUE"""),"ITBISA-RELAY-5V-5PIN-BLUE")</f>
        <v>ITBISA-RELAY-5V-5PIN-BLUE</v>
      </c>
      <c r="B9727" s="266">
        <f>IFERROR(__xludf.DUMMYFUNCTION("""COMPUTED_VALUE"""),45505.0)</f>
        <v>45505</v>
      </c>
      <c r="C9727" s="266" t="str">
        <f>IFERROR(__xludf.DUMMYFUNCTION("""COMPUTED_VALUE"""),"KERTASARI CIAMIS")</f>
        <v>KERTASARI CIAMIS</v>
      </c>
      <c r="D9727" s="186">
        <f>IFERROR(__xludf.DUMMYFUNCTION("""COMPUTED_VALUE"""),30.0)</f>
        <v>30</v>
      </c>
    </row>
    <row r="9728">
      <c r="A9728" s="178" t="str">
        <f>IFERROR(__xludf.DUMMYFUNCTION("""COMPUTED_VALUE"""),"ITBISA-RELAY-5V-5PIN-BLUE")</f>
        <v>ITBISA-RELAY-5V-5PIN-BLUE</v>
      </c>
      <c r="B9728" s="266">
        <f>IFERROR(__xludf.DUMMYFUNCTION("""COMPUTED_VALUE"""),45505.0)</f>
        <v>45505</v>
      </c>
      <c r="C9728" s="266" t="str">
        <f>IFERROR(__xludf.DUMMYFUNCTION("""COMPUTED_VALUE"""),"KYAI KONTONG")</f>
        <v>KYAI KONTONG</v>
      </c>
      <c r="D9728" s="186">
        <f>IFERROR(__xludf.DUMMYFUNCTION("""COMPUTED_VALUE"""),12.0)</f>
        <v>12</v>
      </c>
    </row>
    <row r="9729">
      <c r="A9729" s="178" t="str">
        <f>IFERROR(__xludf.DUMMYFUNCTION("""COMPUTED_VALUE"""),"ITBISA-RELAY-5V-5PIN-BLUE")</f>
        <v>ITBISA-RELAY-5V-5PIN-BLUE</v>
      </c>
      <c r="B9729" s="266">
        <f>IFERROR(__xludf.DUMMYFUNCTION("""COMPUTED_VALUE"""),45506.0)</f>
        <v>45506</v>
      </c>
      <c r="C9729" s="266" t="str">
        <f>IFERROR(__xludf.DUMMYFUNCTION("""COMPUTED_VALUE"""),"KYAI KONTONG")</f>
        <v>KYAI KONTONG</v>
      </c>
      <c r="D9729" s="186">
        <f>IFERROR(__xludf.DUMMYFUNCTION("""COMPUTED_VALUE"""),50.0)</f>
        <v>50</v>
      </c>
    </row>
    <row r="9730">
      <c r="A9730" s="178" t="str">
        <f>IFERROR(__xludf.DUMMYFUNCTION("""COMPUTED_VALUE"""),"ITBISA-RELAY-5V-5PIN-BLUE")</f>
        <v>ITBISA-RELAY-5V-5PIN-BLUE</v>
      </c>
      <c r="B9730" s="266">
        <f>IFERROR(__xludf.DUMMYFUNCTION("""COMPUTED_VALUE"""),45510.0)</f>
        <v>45510</v>
      </c>
      <c r="C9730" s="266" t="str">
        <f>IFERROR(__xludf.DUMMYFUNCTION("""COMPUTED_VALUE"""),"KERTASARI CIAMIS")</f>
        <v>KERTASARI CIAMIS</v>
      </c>
      <c r="D9730" s="186">
        <f>IFERROR(__xludf.DUMMYFUNCTION("""COMPUTED_VALUE"""),10.0)</f>
        <v>10</v>
      </c>
    </row>
    <row r="9731">
      <c r="A9731" s="178" t="str">
        <f>IFERROR(__xludf.DUMMYFUNCTION("""COMPUTED_VALUE"""),"ITBISA-RELAY-5V-5PIN-BLUE")</f>
        <v>ITBISA-RELAY-5V-5PIN-BLUE</v>
      </c>
      <c r="B9731" s="266">
        <f>IFERROR(__xludf.DUMMYFUNCTION("""COMPUTED_VALUE"""),45511.0)</f>
        <v>45511</v>
      </c>
      <c r="C9731" s="266" t="str">
        <f>IFERROR(__xludf.DUMMYFUNCTION("""COMPUTED_VALUE"""),"KYAI KONTONG")</f>
        <v>KYAI KONTONG</v>
      </c>
      <c r="D9731" s="186">
        <f>IFERROR(__xludf.DUMMYFUNCTION("""COMPUTED_VALUE"""),20.0)</f>
        <v>20</v>
      </c>
    </row>
    <row r="9732">
      <c r="A9732" s="178" t="str">
        <f>IFERROR(__xludf.DUMMYFUNCTION("""COMPUTED_VALUE"""),"ITBISA-RELAY-5V-5PIN-BLUE")</f>
        <v>ITBISA-RELAY-5V-5PIN-BLUE</v>
      </c>
      <c r="B9732" s="266">
        <f>IFERROR(__xludf.DUMMYFUNCTION("""COMPUTED_VALUE"""),45516.0)</f>
        <v>45516</v>
      </c>
      <c r="C9732" s="266" t="str">
        <f>IFERROR(__xludf.DUMMYFUNCTION("""COMPUTED_VALUE"""),"KERTASARI CIAMIS")</f>
        <v>KERTASARI CIAMIS</v>
      </c>
      <c r="D9732" s="186">
        <f>IFERROR(__xludf.DUMMYFUNCTION("""COMPUTED_VALUE"""),60.0)</f>
        <v>60</v>
      </c>
    </row>
    <row r="9733">
      <c r="A9733" s="178" t="str">
        <f>IFERROR(__xludf.DUMMYFUNCTION("""COMPUTED_VALUE"""),"ITBISA-RELAY-5V-5PIN-BLUE")</f>
        <v>ITBISA-RELAY-5V-5PIN-BLUE</v>
      </c>
      <c r="B9733" s="266">
        <f>IFERROR(__xludf.DUMMYFUNCTION("""COMPUTED_VALUE"""),45527.0)</f>
        <v>45527</v>
      </c>
      <c r="C9733" s="266" t="str">
        <f>IFERROR(__xludf.DUMMYFUNCTION("""COMPUTED_VALUE"""),"KYAI KONTONG")</f>
        <v>KYAI KONTONG</v>
      </c>
      <c r="D9733" s="186">
        <f>IFERROR(__xludf.DUMMYFUNCTION("""COMPUTED_VALUE"""),5.0)</f>
        <v>5</v>
      </c>
    </row>
    <row r="9734">
      <c r="A9734" s="178" t="str">
        <f>IFERROR(__xludf.DUMMYFUNCTION("""COMPUTED_VALUE"""),"ITBISA-RELAY-5V-5PIN-BLUE")</f>
        <v>ITBISA-RELAY-5V-5PIN-BLUE</v>
      </c>
      <c r="B9734" s="266">
        <f>IFERROR(__xludf.DUMMYFUNCTION("""COMPUTED_VALUE"""),45535.0)</f>
        <v>45535</v>
      </c>
      <c r="C9734" s="266" t="str">
        <f>IFERROR(__xludf.DUMMYFUNCTION("""COMPUTED_VALUE"""),"KYAI KONTONG")</f>
        <v>KYAI KONTONG</v>
      </c>
      <c r="D9734" s="186">
        <f>IFERROR(__xludf.DUMMYFUNCTION("""COMPUTED_VALUE"""),8.0)</f>
        <v>8</v>
      </c>
    </row>
    <row r="9735">
      <c r="A9735" s="178" t="str">
        <f>IFERROR(__xludf.DUMMYFUNCTION("""COMPUTED_VALUE"""),"ITBISA-RELAY-5V-5PIN-BLUE")</f>
        <v>ITBISA-RELAY-5V-5PIN-BLUE</v>
      </c>
      <c r="B9735" s="266">
        <f>IFERROR(__xludf.DUMMYFUNCTION("""COMPUTED_VALUE"""),45546.0)</f>
        <v>45546</v>
      </c>
      <c r="C9735" s="266" t="str">
        <f>IFERROR(__xludf.DUMMYFUNCTION("""COMPUTED_VALUE"""),"KERTASARI CIAMIS")</f>
        <v>KERTASARI CIAMIS</v>
      </c>
      <c r="D9735" s="186">
        <f>IFERROR(__xludf.DUMMYFUNCTION("""COMPUTED_VALUE"""),18.0)</f>
        <v>18</v>
      </c>
    </row>
    <row r="9736">
      <c r="A9736" s="178" t="str">
        <f>IFERROR(__xludf.DUMMYFUNCTION("""COMPUTED_VALUE"""),"ITBISA-RELAY-5V-5PIN-BLUE")</f>
        <v>ITBISA-RELAY-5V-5PIN-BLUE</v>
      </c>
      <c r="B9736" s="266">
        <f>IFERROR(__xludf.DUMMYFUNCTION("""COMPUTED_VALUE"""),45676.0)</f>
        <v>45676</v>
      </c>
      <c r="C9736" s="266" t="str">
        <f>IFERROR(__xludf.DUMMYFUNCTION("""COMPUTED_VALUE"""),"KYAI KONTONG")</f>
        <v>KYAI KONTONG</v>
      </c>
      <c r="D9736" s="186">
        <f>IFERROR(__xludf.DUMMYFUNCTION("""COMPUTED_VALUE"""),10.0)</f>
        <v>10</v>
      </c>
    </row>
    <row r="9737">
      <c r="A9737" s="178" t="str">
        <f>IFERROR(__xludf.DUMMYFUNCTION("""COMPUTED_VALUE"""),"ITBISA-RELAY-5V-5PIN-BLUE")</f>
        <v>ITBISA-RELAY-5V-5PIN-BLUE</v>
      </c>
      <c r="B9737" s="266">
        <f>IFERROR(__xludf.DUMMYFUNCTION("""COMPUTED_VALUE"""),45680.0)</f>
        <v>45680</v>
      </c>
      <c r="C9737" s="266" t="str">
        <f>IFERROR(__xludf.DUMMYFUNCTION("""COMPUTED_VALUE"""),"KYAI KONTONG")</f>
        <v>KYAI KONTONG</v>
      </c>
      <c r="D9737" s="186">
        <f>IFERROR(__xludf.DUMMYFUNCTION("""COMPUTED_VALUE"""),10.0)</f>
        <v>10</v>
      </c>
    </row>
    <row r="9738">
      <c r="A9738" s="178" t="str">
        <f>IFERROR(__xludf.DUMMYFUNCTION("""COMPUTED_VALUE"""),"ITBISA-RELAY-5V-5PIN-BLUE")</f>
        <v>ITBISA-RELAY-5V-5PIN-BLUE</v>
      </c>
      <c r="B9738" s="266">
        <f>IFERROR(__xludf.DUMMYFUNCTION("""COMPUTED_VALUE"""),45684.0)</f>
        <v>45684</v>
      </c>
      <c r="C9738" s="266" t="str">
        <f>IFERROR(__xludf.DUMMYFUNCTION("""COMPUTED_VALUE"""),"KERTASARI CIAMIS")</f>
        <v>KERTASARI CIAMIS</v>
      </c>
      <c r="D9738" s="186">
        <f>IFERROR(__xludf.DUMMYFUNCTION("""COMPUTED_VALUE"""),20.0)</f>
        <v>20</v>
      </c>
    </row>
    <row r="9739">
      <c r="A9739" s="178" t="str">
        <f>IFERROR(__xludf.DUMMYFUNCTION("""COMPUTED_VALUE"""),"ITBISA-RELAY-5V-5PIN-BLUE")</f>
        <v>ITBISA-RELAY-5V-5PIN-BLUE</v>
      </c>
      <c r="B9739" s="266">
        <f>IFERROR(__xludf.DUMMYFUNCTION("""COMPUTED_VALUE"""),45685.0)</f>
        <v>45685</v>
      </c>
      <c r="C9739" s="266" t="str">
        <f>IFERROR(__xludf.DUMMYFUNCTION("""COMPUTED_VALUE"""),"KYAI KONTONG")</f>
        <v>KYAI KONTONG</v>
      </c>
      <c r="D9739" s="186">
        <f>IFERROR(__xludf.DUMMYFUNCTION("""COMPUTED_VALUE"""),11.0)</f>
        <v>11</v>
      </c>
    </row>
    <row r="9740">
      <c r="A9740" s="178" t="str">
        <f>IFERROR(__xludf.DUMMYFUNCTION("""COMPUTED_VALUE"""),"ITBISA-RELAY-5V-5PIN-BLUE")</f>
        <v>ITBISA-RELAY-5V-5PIN-BLUE</v>
      </c>
      <c r="B9740" s="266">
        <f>IFERROR(__xludf.DUMMYFUNCTION("""COMPUTED_VALUE"""),45691.0)</f>
        <v>45691</v>
      </c>
      <c r="C9740" s="266" t="str">
        <f>IFERROR(__xludf.DUMMYFUNCTION("""COMPUTED_VALUE"""),"KYAI KONTONG")</f>
        <v>KYAI KONTONG</v>
      </c>
      <c r="D9740" s="186">
        <f>IFERROR(__xludf.DUMMYFUNCTION("""COMPUTED_VALUE"""),10.0)</f>
        <v>10</v>
      </c>
    </row>
    <row r="9741">
      <c r="A9741" s="178" t="str">
        <f>IFERROR(__xludf.DUMMYFUNCTION("""COMPUTED_VALUE"""),"ITBISA-RELAY-5V-5PIN-BLUE")</f>
        <v>ITBISA-RELAY-5V-5PIN-BLUE</v>
      </c>
      <c r="B9741" s="266">
        <f>IFERROR(__xludf.DUMMYFUNCTION("""COMPUTED_VALUE"""),45692.0)</f>
        <v>45692</v>
      </c>
      <c r="C9741" s="266" t="str">
        <f>IFERROR(__xludf.DUMMYFUNCTION("""COMPUTED_VALUE"""),"KYAI KONTONG")</f>
        <v>KYAI KONTONG</v>
      </c>
      <c r="D9741" s="186">
        <f>IFERROR(__xludf.DUMMYFUNCTION("""COMPUTED_VALUE"""),10.0)</f>
        <v>10</v>
      </c>
    </row>
    <row r="9742">
      <c r="A9742" s="178" t="str">
        <f>IFERROR(__xludf.DUMMYFUNCTION("""COMPUTED_VALUE"""),"ITBISA-RELAY-5V-5PIN-BLUE")</f>
        <v>ITBISA-RELAY-5V-5PIN-BLUE</v>
      </c>
      <c r="B9742" s="266">
        <f>IFERROR(__xludf.DUMMYFUNCTION("""COMPUTED_VALUE"""),45692.0)</f>
        <v>45692</v>
      </c>
      <c r="C9742" s="266" t="str">
        <f>IFERROR(__xludf.DUMMYFUNCTION("""COMPUTED_VALUE"""),"KYAI KONTONG")</f>
        <v>KYAI KONTONG</v>
      </c>
      <c r="D9742" s="186">
        <f>IFERROR(__xludf.DUMMYFUNCTION("""COMPUTED_VALUE"""),20.0)</f>
        <v>20</v>
      </c>
    </row>
    <row r="9743">
      <c r="A9743" s="178" t="str">
        <f>IFERROR(__xludf.DUMMYFUNCTION("""COMPUTED_VALUE"""),"ITBISA-RELAY-5V-5PIN-BLUE")</f>
        <v>ITBISA-RELAY-5V-5PIN-BLUE</v>
      </c>
      <c r="B9743" s="266">
        <f>IFERROR(__xludf.DUMMYFUNCTION("""COMPUTED_VALUE"""),45707.0)</f>
        <v>45707</v>
      </c>
      <c r="C9743" s="266" t="str">
        <f>IFERROR(__xludf.DUMMYFUNCTION("""COMPUTED_VALUE"""),"KERTASARI CIAMIS")</f>
        <v>KERTASARI CIAMIS</v>
      </c>
      <c r="D9743" s="186">
        <f>IFERROR(__xludf.DUMMYFUNCTION("""COMPUTED_VALUE"""),5.0)</f>
        <v>5</v>
      </c>
    </row>
    <row r="9744">
      <c r="A9744" s="178" t="str">
        <f>IFERROR(__xludf.DUMMYFUNCTION("""COMPUTED_VALUE"""),"ITBISA-RELAY-5V-5PIN-BLUE")</f>
        <v>ITBISA-RELAY-5V-5PIN-BLUE</v>
      </c>
      <c r="B9744" s="266">
        <f>IFERROR(__xludf.DUMMYFUNCTION("""COMPUTED_VALUE"""),45716.0)</f>
        <v>45716</v>
      </c>
      <c r="C9744" s="266" t="str">
        <f>IFERROR(__xludf.DUMMYFUNCTION("""COMPUTED_VALUE"""),"KERTASARI CIAMIS")</f>
        <v>KERTASARI CIAMIS</v>
      </c>
      <c r="D9744" s="186">
        <f>IFERROR(__xludf.DUMMYFUNCTION("""COMPUTED_VALUE"""),3.0)</f>
        <v>3</v>
      </c>
    </row>
    <row r="9745">
      <c r="A9745" s="178" t="str">
        <f>IFERROR(__xludf.DUMMYFUNCTION("""COMPUTED_VALUE"""),"ITBISA-RELAY-5V-5PIN-BLUE")</f>
        <v>ITBISA-RELAY-5V-5PIN-BLUE</v>
      </c>
      <c r="B9745" s="266">
        <f>IFERROR(__xludf.DUMMYFUNCTION("""COMPUTED_VALUE"""),45719.0)</f>
        <v>45719</v>
      </c>
      <c r="C9745" s="266" t="str">
        <f>IFERROR(__xludf.DUMMYFUNCTION("""COMPUTED_VALUE"""),"KERTASARI CIAMIS")</f>
        <v>KERTASARI CIAMIS</v>
      </c>
      <c r="D9745" s="186">
        <f>IFERROR(__xludf.DUMMYFUNCTION("""COMPUTED_VALUE"""),20.0)</f>
        <v>20</v>
      </c>
    </row>
    <row r="9746">
      <c r="A9746" s="178" t="str">
        <f>IFERROR(__xludf.DUMMYFUNCTION("""COMPUTED_VALUE"""),"ITBISA-RELAY-5V-5PIN-BLUE")</f>
        <v>ITBISA-RELAY-5V-5PIN-BLUE</v>
      </c>
      <c r="B9746" s="266">
        <f>IFERROR(__xludf.DUMMYFUNCTION("""COMPUTED_VALUE"""),45724.0)</f>
        <v>45724</v>
      </c>
      <c r="C9746" s="266" t="str">
        <f>IFERROR(__xludf.DUMMYFUNCTION("""COMPUTED_VALUE"""),"KERTASARI CIAMIS")</f>
        <v>KERTASARI CIAMIS</v>
      </c>
      <c r="D9746" s="186">
        <f>IFERROR(__xludf.DUMMYFUNCTION("""COMPUTED_VALUE"""),12.0)</f>
        <v>12</v>
      </c>
    </row>
    <row r="9747">
      <c r="A9747" s="178" t="str">
        <f>IFERROR(__xludf.DUMMYFUNCTION("""COMPUTED_VALUE"""),"ITBISA-RELAY-5V-5PIN-BLUE")</f>
        <v>ITBISA-RELAY-5V-5PIN-BLUE</v>
      </c>
      <c r="B9747" s="266">
        <f>IFERROR(__xludf.DUMMYFUNCTION("""COMPUTED_VALUE"""),45727.0)</f>
        <v>45727</v>
      </c>
      <c r="C9747" s="266" t="str">
        <f>IFERROR(__xludf.DUMMYFUNCTION("""COMPUTED_VALUE"""),"KYAI KONTONG")</f>
        <v>KYAI KONTONG</v>
      </c>
      <c r="D9747" s="186">
        <f>IFERROR(__xludf.DUMMYFUNCTION("""COMPUTED_VALUE"""),50.0)</f>
        <v>50</v>
      </c>
    </row>
    <row r="9748">
      <c r="A9748" s="178" t="str">
        <f>IFERROR(__xludf.DUMMYFUNCTION("""COMPUTED_VALUE"""),"ITBISA-RELAY-5V-5PIN-BLUE")</f>
        <v>ITBISA-RELAY-5V-5PIN-BLUE</v>
      </c>
      <c r="B9748" s="266">
        <f>IFERROR(__xludf.DUMMYFUNCTION("""COMPUTED_VALUE"""),45729.0)</f>
        <v>45729</v>
      </c>
      <c r="C9748" s="266" t="str">
        <f>IFERROR(__xludf.DUMMYFUNCTION("""COMPUTED_VALUE"""),"KYAI KONTONG")</f>
        <v>KYAI KONTONG</v>
      </c>
      <c r="D9748" s="186">
        <f>IFERROR(__xludf.DUMMYFUNCTION("""COMPUTED_VALUE"""),10.0)</f>
        <v>10</v>
      </c>
    </row>
    <row r="9749">
      <c r="A9749" s="178" t="str">
        <f>IFERROR(__xludf.DUMMYFUNCTION("""COMPUTED_VALUE"""),"ITBISA-RELAY-5V-5PIN-BLUE")</f>
        <v>ITBISA-RELAY-5V-5PIN-BLUE</v>
      </c>
      <c r="B9749" s="266">
        <f>IFERROR(__xludf.DUMMYFUNCTION("""COMPUTED_VALUE"""),45731.0)</f>
        <v>45731</v>
      </c>
      <c r="C9749" s="266" t="str">
        <f>IFERROR(__xludf.DUMMYFUNCTION("""COMPUTED_VALUE"""),"KYAI KONTONG")</f>
        <v>KYAI KONTONG</v>
      </c>
      <c r="D9749" s="186">
        <f>IFERROR(__xludf.DUMMYFUNCTION("""COMPUTED_VALUE"""),20.0)</f>
        <v>20</v>
      </c>
    </row>
    <row r="9750">
      <c r="A9750" s="178" t="str">
        <f>IFERROR(__xludf.DUMMYFUNCTION("""COMPUTED_VALUE"""),"ITBISA-RELAY-5V-5PIN-BLUE")</f>
        <v>ITBISA-RELAY-5V-5PIN-BLUE</v>
      </c>
      <c r="B9750" s="266">
        <f>IFERROR(__xludf.DUMMYFUNCTION("""COMPUTED_VALUE"""),45733.0)</f>
        <v>45733</v>
      </c>
      <c r="C9750" s="266" t="str">
        <f>IFERROR(__xludf.DUMMYFUNCTION("""COMPUTED_VALUE"""),"KYAI KONTONG")</f>
        <v>KYAI KONTONG</v>
      </c>
      <c r="D9750" s="186">
        <f>IFERROR(__xludf.DUMMYFUNCTION("""COMPUTED_VALUE"""),50.0)</f>
        <v>50</v>
      </c>
    </row>
    <row r="9751">
      <c r="A9751" s="178" t="str">
        <f>IFERROR(__xludf.DUMMYFUNCTION("""COMPUTED_VALUE"""),"ITBISA-RELAY-5V-5PIN-BLUE")</f>
        <v>ITBISA-RELAY-5V-5PIN-BLUE</v>
      </c>
      <c r="B9751" s="266">
        <f>IFERROR(__xludf.DUMMYFUNCTION("""COMPUTED_VALUE"""),45735.0)</f>
        <v>45735</v>
      </c>
      <c r="C9751" s="266" t="str">
        <f>IFERROR(__xludf.DUMMYFUNCTION("""COMPUTED_VALUE"""),"KYAI KONTONG")</f>
        <v>KYAI KONTONG</v>
      </c>
      <c r="D9751" s="186">
        <f>IFERROR(__xludf.DUMMYFUNCTION("""COMPUTED_VALUE"""),15.0)</f>
        <v>15</v>
      </c>
    </row>
    <row r="9752">
      <c r="A9752" s="178" t="str">
        <f>IFERROR(__xludf.DUMMYFUNCTION("""COMPUTED_VALUE"""),"ITBISA-RELAY-5V-5PIN-BLUE")</f>
        <v>ITBISA-RELAY-5V-5PIN-BLUE</v>
      </c>
      <c r="B9752" s="266">
        <f>IFERROR(__xludf.DUMMYFUNCTION("""COMPUTED_VALUE"""),45743.0)</f>
        <v>45743</v>
      </c>
      <c r="C9752" s="266" t="str">
        <f>IFERROR(__xludf.DUMMYFUNCTION("""COMPUTED_VALUE"""),"KERTASARI CIAMIS")</f>
        <v>KERTASARI CIAMIS</v>
      </c>
      <c r="D9752" s="186">
        <f>IFERROR(__xludf.DUMMYFUNCTION("""COMPUTED_VALUE"""),10.0)</f>
        <v>10</v>
      </c>
    </row>
    <row r="9753">
      <c r="A9753" s="178" t="str">
        <f>IFERROR(__xludf.DUMMYFUNCTION("""COMPUTED_VALUE"""),"ITBISA-RELAY-5V-5PIN-BLUE")</f>
        <v>ITBISA-RELAY-5V-5PIN-BLUE</v>
      </c>
      <c r="B9753" s="266">
        <f>IFERROR(__xludf.DUMMYFUNCTION("""COMPUTED_VALUE"""),45753.0)</f>
        <v>45753</v>
      </c>
      <c r="C9753" s="266" t="str">
        <f>IFERROR(__xludf.DUMMYFUNCTION("""COMPUTED_VALUE"""),"KERTASARI CIAMIS")</f>
        <v>KERTASARI CIAMIS</v>
      </c>
      <c r="D9753" s="186">
        <f>IFERROR(__xludf.DUMMYFUNCTION("""COMPUTED_VALUE"""),60.0)</f>
        <v>60</v>
      </c>
    </row>
    <row r="9754">
      <c r="A9754" s="178" t="str">
        <f>IFERROR(__xludf.DUMMYFUNCTION("""COMPUTED_VALUE"""),"ITBISA-RELAY-5V-5PIN-BLUE")</f>
        <v>ITBISA-RELAY-5V-5PIN-BLUE</v>
      </c>
      <c r="B9754" s="266">
        <f>IFERROR(__xludf.DUMMYFUNCTION("""COMPUTED_VALUE"""),45761.0)</f>
        <v>45761</v>
      </c>
      <c r="C9754" s="266" t="str">
        <f>IFERROR(__xludf.DUMMYFUNCTION("""COMPUTED_VALUE"""),"KYAI KONTONG")</f>
        <v>KYAI KONTONG</v>
      </c>
      <c r="D9754" s="186">
        <f>IFERROR(__xludf.DUMMYFUNCTION("""COMPUTED_VALUE"""),1.0)</f>
        <v>1</v>
      </c>
    </row>
    <row r="9755">
      <c r="A9755" s="178" t="str">
        <f>IFERROR(__xludf.DUMMYFUNCTION("""COMPUTED_VALUE"""),"ITBISA-RELAY-5V-5PIN-BLUE")</f>
        <v>ITBISA-RELAY-5V-5PIN-BLUE</v>
      </c>
      <c r="B9755" s="266">
        <f>IFERROR(__xludf.DUMMYFUNCTION("""COMPUTED_VALUE"""),45792.0)</f>
        <v>45792</v>
      </c>
      <c r="C9755" s="266" t="str">
        <f>IFERROR(__xludf.DUMMYFUNCTION("""COMPUTED_VALUE"""),"KERTASARI CIAMIS")</f>
        <v>KERTASARI CIAMIS</v>
      </c>
      <c r="D9755" s="186">
        <f>IFERROR(__xludf.DUMMYFUNCTION("""COMPUTED_VALUE"""),3.0)</f>
        <v>3</v>
      </c>
    </row>
    <row r="9756">
      <c r="A9756" s="178" t="str">
        <f>IFERROR(__xludf.DUMMYFUNCTION("""COMPUTED_VALUE"""),"ITBISA-RELAY-5V-5PIN-BLUE")</f>
        <v>ITBISA-RELAY-5V-5PIN-BLUE</v>
      </c>
      <c r="B9756" s="266">
        <f>IFERROR(__xludf.DUMMYFUNCTION("""COMPUTED_VALUE"""),45793.0)</f>
        <v>45793</v>
      </c>
      <c r="C9756" s="266" t="str">
        <f>IFERROR(__xludf.DUMMYFUNCTION("""COMPUTED_VALUE"""),"KERTASARI CIAMIS")</f>
        <v>KERTASARI CIAMIS</v>
      </c>
      <c r="D9756" s="186">
        <f>IFERROR(__xludf.DUMMYFUNCTION("""COMPUTED_VALUE"""),5.0)</f>
        <v>5</v>
      </c>
    </row>
    <row r="9757">
      <c r="A9757" s="178" t="str">
        <f>IFERROR(__xludf.DUMMYFUNCTION("""COMPUTED_VALUE"""),"ITBISA-RELAY-5V-5PIN-BLUE")</f>
        <v>ITBISA-RELAY-5V-5PIN-BLUE</v>
      </c>
      <c r="B9757" s="266">
        <f>IFERROR(__xludf.DUMMYFUNCTION("""COMPUTED_VALUE"""),45830.0)</f>
        <v>45830</v>
      </c>
      <c r="C9757" s="266" t="str">
        <f>IFERROR(__xludf.DUMMYFUNCTION("""COMPUTED_VALUE"""),"KYAI KONTONG")</f>
        <v>KYAI KONTONG</v>
      </c>
      <c r="D9757" s="186">
        <f>IFERROR(__xludf.DUMMYFUNCTION("""COMPUTED_VALUE"""),20.0)</f>
        <v>20</v>
      </c>
    </row>
    <row r="9758">
      <c r="A9758" s="178" t="str">
        <f>IFERROR(__xludf.DUMMYFUNCTION("""COMPUTED_VALUE"""),"ITBISA-RELAY-5V-5PIN-BLUE")</f>
        <v>ITBISA-RELAY-5V-5PIN-BLUE</v>
      </c>
      <c r="B9758" s="266">
        <f>IFERROR(__xludf.DUMMYFUNCTION("""COMPUTED_VALUE"""),45860.0)</f>
        <v>45860</v>
      </c>
      <c r="C9758" s="266" t="str">
        <f>IFERROR(__xludf.DUMMYFUNCTION("""COMPUTED_VALUE"""),"KYAI KONTONG")</f>
        <v>KYAI KONTONG</v>
      </c>
      <c r="D9758" s="186">
        <f>IFERROR(__xludf.DUMMYFUNCTION("""COMPUTED_VALUE"""),5.0)</f>
        <v>5</v>
      </c>
    </row>
    <row r="9759">
      <c r="A9759" s="178" t="str">
        <f>IFERROR(__xludf.DUMMYFUNCTION("""COMPUTED_VALUE"""),"ITBISA-RELAY-5V-5PIN-BLUE")</f>
        <v>ITBISA-RELAY-5V-5PIN-BLUE</v>
      </c>
      <c r="B9759" s="266">
        <f>IFERROR(__xludf.DUMMYFUNCTION("""COMPUTED_VALUE"""),45863.0)</f>
        <v>45863</v>
      </c>
      <c r="C9759" s="266" t="str">
        <f>IFERROR(__xludf.DUMMYFUNCTION("""COMPUTED_VALUE"""),"KYAI KONTONG")</f>
        <v>KYAI KONTONG</v>
      </c>
      <c r="D9759" s="186">
        <f>IFERROR(__xludf.DUMMYFUNCTION("""COMPUTED_VALUE"""),6.0)</f>
        <v>6</v>
      </c>
    </row>
    <row r="9760">
      <c r="A9760" s="178" t="str">
        <f>IFERROR(__xludf.DUMMYFUNCTION("""COMPUTED_VALUE"""),"ITBISA-RELAY-5V-5PIN-BLUE")</f>
        <v>ITBISA-RELAY-5V-5PIN-BLUE</v>
      </c>
      <c r="B9760" s="266">
        <f>IFERROR(__xludf.DUMMYFUNCTION("""COMPUTED_VALUE"""),45864.0)</f>
        <v>45864</v>
      </c>
      <c r="C9760" s="266" t="str">
        <f>IFERROR(__xludf.DUMMYFUNCTION("""COMPUTED_VALUE"""),"KYAI KONTONG")</f>
        <v>KYAI KONTONG</v>
      </c>
      <c r="D9760" s="186">
        <f>IFERROR(__xludf.DUMMYFUNCTION("""COMPUTED_VALUE"""),10.0)</f>
        <v>10</v>
      </c>
    </row>
    <row r="9761">
      <c r="A9761" s="178" t="str">
        <f>IFERROR(__xludf.DUMMYFUNCTION("""COMPUTED_VALUE"""),"ITBISA-RELAY-5V-5PIN-BLUE")</f>
        <v>ITBISA-RELAY-5V-5PIN-BLUE</v>
      </c>
      <c r="B9761" s="266">
        <f>IFERROR(__xludf.DUMMYFUNCTION("""COMPUTED_VALUE"""),45880.0)</f>
        <v>45880</v>
      </c>
      <c r="C9761" s="266" t="str">
        <f>IFERROR(__xludf.DUMMYFUNCTION("""COMPUTED_VALUE"""),"KERTASARI CIAMIS")</f>
        <v>KERTASARI CIAMIS</v>
      </c>
      <c r="D9761" s="186">
        <f>IFERROR(__xludf.DUMMYFUNCTION("""COMPUTED_VALUE"""),10.0)</f>
        <v>10</v>
      </c>
    </row>
    <row r="9762">
      <c r="A9762" s="178" t="str">
        <f>IFERROR(__xludf.DUMMYFUNCTION("""COMPUTED_VALUE"""),"ITBISA-RELAY-5V-5PIN-BLUE")</f>
        <v>ITBISA-RELAY-5V-5PIN-BLUE</v>
      </c>
      <c r="B9762" s="266">
        <f>IFERROR(__xludf.DUMMYFUNCTION("""COMPUTED_VALUE"""),45895.0)</f>
        <v>45895</v>
      </c>
      <c r="C9762" s="266" t="str">
        <f>IFERROR(__xludf.DUMMYFUNCTION("""COMPUTED_VALUE"""),"KERTASARI CIAMIS")</f>
        <v>KERTASARI CIAMIS</v>
      </c>
      <c r="D9762" s="186">
        <f>IFERROR(__xludf.DUMMYFUNCTION("""COMPUTED_VALUE"""),2.0)</f>
        <v>2</v>
      </c>
    </row>
    <row r="9763">
      <c r="A9763" s="178" t="str">
        <f>IFERROR(__xludf.DUMMYFUNCTION("""COMPUTED_VALUE"""),"ITBISA-RELAY-5V-5PIN-BLUE")</f>
        <v>ITBISA-RELAY-5V-5PIN-BLUE</v>
      </c>
      <c r="B9763" s="266">
        <f>IFERROR(__xludf.DUMMYFUNCTION("""COMPUTED_VALUE"""),45904.0)</f>
        <v>45904</v>
      </c>
      <c r="C9763" s="266" t="str">
        <f>IFERROR(__xludf.DUMMYFUNCTION("""COMPUTED_VALUE"""),"KERTASARI CIAMIS")</f>
        <v>KERTASARI CIAMIS</v>
      </c>
      <c r="D9763" s="186">
        <f>IFERROR(__xludf.DUMMYFUNCTION("""COMPUTED_VALUE"""),30.0)</f>
        <v>30</v>
      </c>
    </row>
    <row r="9764">
      <c r="A9764" s="178" t="str">
        <f>IFERROR(__xludf.DUMMYFUNCTION("""COMPUTED_VALUE"""),"ITBISA-RELAY-5V-5PIN-BLUE")</f>
        <v>ITBISA-RELAY-5V-5PIN-BLUE</v>
      </c>
      <c r="B9764" s="266">
        <f>IFERROR(__xludf.DUMMYFUNCTION("""COMPUTED_VALUE"""),45962.0)</f>
        <v>45962</v>
      </c>
      <c r="C9764" s="266" t="str">
        <f>IFERROR(__xludf.DUMMYFUNCTION("""COMPUTED_VALUE"""),"KYAI KONTONG")</f>
        <v>KYAI KONTONG</v>
      </c>
      <c r="D9764" s="186">
        <f>IFERROR(__xludf.DUMMYFUNCTION("""COMPUTED_VALUE"""),5.0)</f>
        <v>5</v>
      </c>
    </row>
    <row r="9765">
      <c r="A9765" s="178" t="str">
        <f>IFERROR(__xludf.DUMMYFUNCTION("""COMPUTED_VALUE"""),"ITBISA-RELAY-5V-5PIN-BLUE")</f>
        <v>ITBISA-RELAY-5V-5PIN-BLUE</v>
      </c>
      <c r="B9765" s="266">
        <f>IFERROR(__xludf.DUMMYFUNCTION("""COMPUTED_VALUE"""),45973.0)</f>
        <v>45973</v>
      </c>
      <c r="C9765" s="266" t="str">
        <f>IFERROR(__xludf.DUMMYFUNCTION("""COMPUTED_VALUE"""),"KERTASARI CIAMIS")</f>
        <v>KERTASARI CIAMIS</v>
      </c>
      <c r="D9765" s="186">
        <f>IFERROR(__xludf.DUMMYFUNCTION("""COMPUTED_VALUE"""),5.0)</f>
        <v>5</v>
      </c>
    </row>
    <row r="9766">
      <c r="A9766" s="178" t="str">
        <f>IFERROR(__xludf.DUMMYFUNCTION("""COMPUTED_VALUE"""),"ITBISA-RELAY-5V-5PIN-BLUE")</f>
        <v>ITBISA-RELAY-5V-5PIN-BLUE</v>
      </c>
      <c r="B9766" s="266">
        <f>IFERROR(__xludf.DUMMYFUNCTION("""COMPUTED_VALUE"""),45977.0)</f>
        <v>45977</v>
      </c>
      <c r="C9766" s="266" t="str">
        <f>IFERROR(__xludf.DUMMYFUNCTION("""COMPUTED_VALUE"""),"KERTASARI CIAMIS")</f>
        <v>KERTASARI CIAMIS</v>
      </c>
      <c r="D9766" s="186">
        <f>IFERROR(__xludf.DUMMYFUNCTION("""COMPUTED_VALUE"""),20.0)</f>
        <v>20</v>
      </c>
    </row>
    <row r="9767">
      <c r="A9767" s="178" t="str">
        <f>IFERROR(__xludf.DUMMYFUNCTION("""COMPUTED_VALUE"""),"ITBISA-RELAY-5V-5PIN-BLUE")</f>
        <v>ITBISA-RELAY-5V-5PIN-BLUE</v>
      </c>
      <c r="B9767" s="266">
        <f>IFERROR(__xludf.DUMMYFUNCTION("""COMPUTED_VALUE"""),45979.0)</f>
        <v>45979</v>
      </c>
      <c r="C9767" s="266" t="str">
        <f>IFERROR(__xludf.DUMMYFUNCTION("""COMPUTED_VALUE"""),"KYAI KONTONG")</f>
        <v>KYAI KONTONG</v>
      </c>
      <c r="D9767" s="186">
        <f>IFERROR(__xludf.DUMMYFUNCTION("""COMPUTED_VALUE"""),5.0)</f>
        <v>5</v>
      </c>
    </row>
    <row r="9768">
      <c r="A9768" s="178" t="str">
        <f>IFERROR(__xludf.DUMMYFUNCTION("""COMPUTED_VALUE"""),"ITBISA-RELAY-5V-5PIN-BLUE")</f>
        <v>ITBISA-RELAY-5V-5PIN-BLUE</v>
      </c>
      <c r="B9768" s="266">
        <f>IFERROR(__xludf.DUMMYFUNCTION("""COMPUTED_VALUE"""),45980.0)</f>
        <v>45980</v>
      </c>
      <c r="C9768" s="266" t="str">
        <f>IFERROR(__xludf.DUMMYFUNCTION("""COMPUTED_VALUE"""),"KERTASARI CIAMIS")</f>
        <v>KERTASARI CIAMIS</v>
      </c>
      <c r="D9768" s="186">
        <f>IFERROR(__xludf.DUMMYFUNCTION("""COMPUTED_VALUE"""),10.0)</f>
        <v>10</v>
      </c>
    </row>
    <row r="9769">
      <c r="A9769" s="178" t="str">
        <f>IFERROR(__xludf.DUMMYFUNCTION("""COMPUTED_VALUE"""),"ITBISA-RELAY-5V-5PIN-BLUE")</f>
        <v>ITBISA-RELAY-5V-5PIN-BLUE</v>
      </c>
      <c r="B9769" s="266">
        <f>IFERROR(__xludf.DUMMYFUNCTION("""COMPUTED_VALUE"""),45981.0)</f>
        <v>45981</v>
      </c>
      <c r="C9769" s="266" t="str">
        <f>IFERROR(__xludf.DUMMYFUNCTION("""COMPUTED_VALUE"""),"KERTASARI CIAMIS")</f>
        <v>KERTASARI CIAMIS</v>
      </c>
      <c r="D9769" s="186">
        <f>IFERROR(__xludf.DUMMYFUNCTION("""COMPUTED_VALUE"""),10.0)</f>
        <v>10</v>
      </c>
    </row>
    <row r="9770">
      <c r="A9770" s="178" t="str">
        <f>IFERROR(__xludf.DUMMYFUNCTION("""COMPUTED_VALUE"""),"ITBISA-RELAY-5V-5PIN-BLUE")</f>
        <v>ITBISA-RELAY-5V-5PIN-BLUE</v>
      </c>
      <c r="B9770" s="266">
        <f>IFERROR(__xludf.DUMMYFUNCTION("""COMPUTED_VALUE"""),45987.0)</f>
        <v>45987</v>
      </c>
      <c r="C9770" s="266" t="str">
        <f>IFERROR(__xludf.DUMMYFUNCTION("""COMPUTED_VALUE"""),"KERTASARI CIAMIS")</f>
        <v>KERTASARI CIAMIS</v>
      </c>
      <c r="D9770" s="186">
        <f>IFERROR(__xludf.DUMMYFUNCTION("""COMPUTED_VALUE"""),5.0)</f>
        <v>5</v>
      </c>
    </row>
    <row r="9771">
      <c r="A9771" s="178" t="str">
        <f>IFERROR(__xludf.DUMMYFUNCTION("""COMPUTED_VALUE"""),"ITBISA-RELAY-5V-5PIN-BLUE")</f>
        <v>ITBISA-RELAY-5V-5PIN-BLUE</v>
      </c>
      <c r="B9771" s="266">
        <f>IFERROR(__xludf.DUMMYFUNCTION("""COMPUTED_VALUE"""),45989.0)</f>
        <v>45989</v>
      </c>
      <c r="C9771" s="266" t="str">
        <f>IFERROR(__xludf.DUMMYFUNCTION("""COMPUTED_VALUE"""),"KERTASARI CIAMIS")</f>
        <v>KERTASARI CIAMIS</v>
      </c>
      <c r="D9771" s="186">
        <f>IFERROR(__xludf.DUMMYFUNCTION("""COMPUTED_VALUE"""),1.0)</f>
        <v>1</v>
      </c>
    </row>
    <row r="9772">
      <c r="A9772" s="178" t="str">
        <f>IFERROR(__xludf.DUMMYFUNCTION("""COMPUTED_VALUE"""),"ITBISA-RELAY-5V-5PIN-BLUE")</f>
        <v>ITBISA-RELAY-5V-5PIN-BLUE</v>
      </c>
      <c r="B9772" s="266">
        <f>IFERROR(__xludf.DUMMYFUNCTION("""COMPUTED_VALUE"""),45991.0)</f>
        <v>45991</v>
      </c>
      <c r="C9772" s="266" t="str">
        <f>IFERROR(__xludf.DUMMYFUNCTION("""COMPUTED_VALUE"""),"KERTASARI CIAMIS")</f>
        <v>KERTASARI CIAMIS</v>
      </c>
      <c r="D9772" s="186">
        <f>IFERROR(__xludf.DUMMYFUNCTION("""COMPUTED_VALUE"""),6.0)</f>
        <v>6</v>
      </c>
    </row>
    <row r="9773">
      <c r="A9773" s="178" t="str">
        <f>IFERROR(__xludf.DUMMYFUNCTION("""COMPUTED_VALUE"""),"ITBISA-RELAY-5V-5PIN-BLUE")</f>
        <v>ITBISA-RELAY-5V-5PIN-BLUE</v>
      </c>
      <c r="B9773" s="266">
        <f>IFERROR(__xludf.DUMMYFUNCTION("""COMPUTED_VALUE"""),45992.0)</f>
        <v>45992</v>
      </c>
      <c r="C9773" s="266" t="str">
        <f>IFERROR(__xludf.DUMMYFUNCTION("""COMPUTED_VALUE"""),"KERTASARI CIAMIS")</f>
        <v>KERTASARI CIAMIS</v>
      </c>
      <c r="D9773" s="186">
        <f>IFERROR(__xludf.DUMMYFUNCTION("""COMPUTED_VALUE"""),100.0)</f>
        <v>100</v>
      </c>
    </row>
    <row r="9774">
      <c r="A9774" s="178" t="str">
        <f>IFERROR(__xludf.DUMMYFUNCTION("""COMPUTED_VALUE"""),"ITBISA-RELAY-5V-5PIN-BLUE")</f>
        <v>ITBISA-RELAY-5V-5PIN-BLUE</v>
      </c>
      <c r="B9774" s="266">
        <f>IFERROR(__xludf.DUMMYFUNCTION("""COMPUTED_VALUE"""),45993.0)</f>
        <v>45993</v>
      </c>
      <c r="C9774" s="266" t="str">
        <f>IFERROR(__xludf.DUMMYFUNCTION("""COMPUTED_VALUE"""),"KERTASARI CIAMIS")</f>
        <v>KERTASARI CIAMIS</v>
      </c>
      <c r="D9774" s="186">
        <f>IFERROR(__xludf.DUMMYFUNCTION("""COMPUTED_VALUE"""),10.0)</f>
        <v>10</v>
      </c>
    </row>
    <row r="9775">
      <c r="A9775" s="178" t="str">
        <f>IFERROR(__xludf.DUMMYFUNCTION("""COMPUTED_VALUE"""),"ITBISA-RELAY-5V-5PIN-BLUE")</f>
        <v>ITBISA-RELAY-5V-5PIN-BLUE</v>
      </c>
      <c r="B9775" s="266">
        <f>IFERROR(__xludf.DUMMYFUNCTION("""COMPUTED_VALUE"""),45993.0)</f>
        <v>45993</v>
      </c>
      <c r="C9775" s="266" t="str">
        <f>IFERROR(__xludf.DUMMYFUNCTION("""COMPUTED_VALUE"""),"KYAI KONTONG")</f>
        <v>KYAI KONTONG</v>
      </c>
      <c r="D9775" s="186">
        <f>IFERROR(__xludf.DUMMYFUNCTION("""COMPUTED_VALUE"""),8.0)</f>
        <v>8</v>
      </c>
    </row>
    <row r="9776">
      <c r="A9776" s="178" t="str">
        <f>IFERROR(__xludf.DUMMYFUNCTION("""COMPUTED_VALUE"""),"ITBISA-RELAY-5V-5PIN-BLUE")</f>
        <v>ITBISA-RELAY-5V-5PIN-BLUE</v>
      </c>
      <c r="B9776" s="266">
        <f>IFERROR(__xludf.DUMMYFUNCTION("""COMPUTED_VALUE"""),45995.0)</f>
        <v>45995</v>
      </c>
      <c r="C9776" s="266" t="str">
        <f>IFERROR(__xludf.DUMMYFUNCTION("""COMPUTED_VALUE"""),"KYAI KONTONG")</f>
        <v>KYAI KONTONG</v>
      </c>
      <c r="D9776" s="186">
        <f>IFERROR(__xludf.DUMMYFUNCTION("""COMPUTED_VALUE"""),12.0)</f>
        <v>12</v>
      </c>
    </row>
    <row r="9777">
      <c r="A9777" s="178" t="str">
        <f>IFERROR(__xludf.DUMMYFUNCTION("""COMPUTED_VALUE"""),"ITBISA-RELAY-5V-5PIN-BLUE")</f>
        <v>ITBISA-RELAY-5V-5PIN-BLUE</v>
      </c>
      <c r="B9777" s="266">
        <f>IFERROR(__xludf.DUMMYFUNCTION("""COMPUTED_VALUE"""),45996.0)</f>
        <v>45996</v>
      </c>
      <c r="C9777" s="266" t="str">
        <f>IFERROR(__xludf.DUMMYFUNCTION("""COMPUTED_VALUE"""),"KYAI KONTONG")</f>
        <v>KYAI KONTONG</v>
      </c>
      <c r="D9777" s="186">
        <f>IFERROR(__xludf.DUMMYFUNCTION("""COMPUTED_VALUE"""),2.0)</f>
        <v>2</v>
      </c>
    </row>
    <row r="9778">
      <c r="A9778" s="178" t="str">
        <f>IFERROR(__xludf.DUMMYFUNCTION("""COMPUTED_VALUE"""),"ITBISA-RELAY-5V-5PIN-BLUE")</f>
        <v>ITBISA-RELAY-5V-5PIN-BLUE</v>
      </c>
      <c r="B9778" s="266">
        <f>IFERROR(__xludf.DUMMYFUNCTION("""COMPUTED_VALUE"""),45996.0)</f>
        <v>45996</v>
      </c>
      <c r="C9778" s="266" t="str">
        <f>IFERROR(__xludf.DUMMYFUNCTION("""COMPUTED_VALUE"""),"KYAI KONTONG")</f>
        <v>KYAI KONTONG</v>
      </c>
      <c r="D9778" s="186">
        <f>IFERROR(__xludf.DUMMYFUNCTION("""COMPUTED_VALUE"""),20.0)</f>
        <v>20</v>
      </c>
    </row>
    <row r="9779">
      <c r="A9779" s="178" t="str">
        <f>IFERROR(__xludf.DUMMYFUNCTION("""COMPUTED_VALUE"""),"ITBISA-RELAY-5V-5PIN-BLUE")</f>
        <v>ITBISA-RELAY-5V-5PIN-BLUE</v>
      </c>
      <c r="B9779" s="266">
        <f>IFERROR(__xludf.DUMMYFUNCTION("""COMPUTED_VALUE"""),45998.0)</f>
        <v>45998</v>
      </c>
      <c r="C9779" s="266" t="str">
        <f>IFERROR(__xludf.DUMMYFUNCTION("""COMPUTED_VALUE"""),"KERTASARI CIAMIS")</f>
        <v>KERTASARI CIAMIS</v>
      </c>
      <c r="D9779" s="186">
        <f>IFERROR(__xludf.DUMMYFUNCTION("""COMPUTED_VALUE"""),5.0)</f>
        <v>5</v>
      </c>
    </row>
    <row r="9780">
      <c r="A9780" s="178" t="str">
        <f>IFERROR(__xludf.DUMMYFUNCTION("""COMPUTED_VALUE"""),"ITBISA-RELAY-5V-5PIN-BLUE")</f>
        <v>ITBISA-RELAY-5V-5PIN-BLUE</v>
      </c>
      <c r="B9780" s="266">
        <f>IFERROR(__xludf.DUMMYFUNCTION("""COMPUTED_VALUE"""),46003.0)</f>
        <v>46003</v>
      </c>
      <c r="C9780" s="266" t="str">
        <f>IFERROR(__xludf.DUMMYFUNCTION("""COMPUTED_VALUE"""),"KYAI KONTONG")</f>
        <v>KYAI KONTONG</v>
      </c>
      <c r="D9780" s="186">
        <f>IFERROR(__xludf.DUMMYFUNCTION("""COMPUTED_VALUE"""),5.0)</f>
        <v>5</v>
      </c>
    </row>
    <row r="9781">
      <c r="A9781" s="178" t="str">
        <f>IFERROR(__xludf.DUMMYFUNCTION("""COMPUTED_VALUE"""),"ITBISA-RELAY-5V-5PIN-BLUE")</f>
        <v>ITBISA-RELAY-5V-5PIN-BLUE</v>
      </c>
      <c r="B9781" s="266">
        <f>IFERROR(__xludf.DUMMYFUNCTION("""COMPUTED_VALUE"""),46003.0)</f>
        <v>46003</v>
      </c>
      <c r="C9781" s="266" t="str">
        <f>IFERROR(__xludf.DUMMYFUNCTION("""COMPUTED_VALUE"""),"KYAI KONTONG")</f>
        <v>KYAI KONTONG</v>
      </c>
      <c r="D9781" s="186">
        <f>IFERROR(__xludf.DUMMYFUNCTION("""COMPUTED_VALUE"""),5.0)</f>
        <v>5</v>
      </c>
    </row>
    <row r="9782">
      <c r="A9782" s="178" t="str">
        <f>IFERROR(__xludf.DUMMYFUNCTION("""COMPUTED_VALUE"""),"ITBISA-RELAY-5V-5PIN-BLUE")</f>
        <v>ITBISA-RELAY-5V-5PIN-BLUE</v>
      </c>
      <c r="B9782" s="266">
        <f>IFERROR(__xludf.DUMMYFUNCTION("""COMPUTED_VALUE"""),46003.0)</f>
        <v>46003</v>
      </c>
      <c r="C9782" s="266" t="str">
        <f>IFERROR(__xludf.DUMMYFUNCTION("""COMPUTED_VALUE"""),"KYAI KONTONG")</f>
        <v>KYAI KONTONG</v>
      </c>
      <c r="D9782" s="186">
        <f>IFERROR(__xludf.DUMMYFUNCTION("""COMPUTED_VALUE"""),10.0)</f>
        <v>10</v>
      </c>
    </row>
    <row r="9783">
      <c r="A9783" s="178" t="str">
        <f>IFERROR(__xludf.DUMMYFUNCTION("""COMPUTED_VALUE"""),"ITBISA-RELAY-5V-5PIN-BLUE")</f>
        <v>ITBISA-RELAY-5V-5PIN-BLUE</v>
      </c>
      <c r="B9783" s="266">
        <f>IFERROR(__xludf.DUMMYFUNCTION("""COMPUTED_VALUE"""),46003.0)</f>
        <v>46003</v>
      </c>
      <c r="C9783" s="266" t="str">
        <f>IFERROR(__xludf.DUMMYFUNCTION("""COMPUTED_VALUE"""),"KYAI KONTONG")</f>
        <v>KYAI KONTONG</v>
      </c>
      <c r="D9783" s="186">
        <f>IFERROR(__xludf.DUMMYFUNCTION("""COMPUTED_VALUE"""),20.0)</f>
        <v>20</v>
      </c>
    </row>
    <row r="9784">
      <c r="A9784" s="178" t="str">
        <f>IFERROR(__xludf.DUMMYFUNCTION("""COMPUTED_VALUE"""),"ITBISA-RELAY-5V-5PIN-BLUE")</f>
        <v>ITBISA-RELAY-5V-5PIN-BLUE</v>
      </c>
      <c r="B9784" s="266">
        <f>IFERROR(__xludf.DUMMYFUNCTION("""COMPUTED_VALUE"""),46005.0)</f>
        <v>46005</v>
      </c>
      <c r="C9784" s="266" t="str">
        <f>IFERROR(__xludf.DUMMYFUNCTION("""COMPUTED_VALUE"""),"KYAI KONTONG")</f>
        <v>KYAI KONTONG</v>
      </c>
      <c r="D9784" s="186">
        <f>IFERROR(__xludf.DUMMYFUNCTION("""COMPUTED_VALUE"""),60.0)</f>
        <v>60</v>
      </c>
    </row>
    <row r="9785">
      <c r="A9785" s="178" t="str">
        <f>IFERROR(__xludf.DUMMYFUNCTION("""COMPUTED_VALUE"""),"ITBISA-RELAY-5V-5PIN-BLUE")</f>
        <v>ITBISA-RELAY-5V-5PIN-BLUE</v>
      </c>
      <c r="B9785" s="266">
        <f>IFERROR(__xludf.DUMMYFUNCTION("""COMPUTED_VALUE"""),46008.0)</f>
        <v>46008</v>
      </c>
      <c r="C9785" s="266" t="str">
        <f>IFERROR(__xludf.DUMMYFUNCTION("""COMPUTED_VALUE"""),"KERTASARI CIAMIS")</f>
        <v>KERTASARI CIAMIS</v>
      </c>
      <c r="D9785" s="186">
        <f>IFERROR(__xludf.DUMMYFUNCTION("""COMPUTED_VALUE"""),5.0)</f>
        <v>5</v>
      </c>
    </row>
    <row r="9786">
      <c r="A9786" s="178" t="str">
        <f>IFERROR(__xludf.DUMMYFUNCTION("""COMPUTED_VALUE"""),"ITBISA-RELAY-5V-5PIN-BLUE")</f>
        <v>ITBISA-RELAY-5V-5PIN-BLUE</v>
      </c>
      <c r="B9786" s="266">
        <f>IFERROR(__xludf.DUMMYFUNCTION("""COMPUTED_VALUE"""),46015.0)</f>
        <v>46015</v>
      </c>
      <c r="C9786" s="266" t="str">
        <f>IFERROR(__xludf.DUMMYFUNCTION("""COMPUTED_VALUE"""),"KERTASARI CIAMIS")</f>
        <v>KERTASARI CIAMIS</v>
      </c>
      <c r="D9786" s="186">
        <f>IFERROR(__xludf.DUMMYFUNCTION("""COMPUTED_VALUE"""),5.0)</f>
        <v>5</v>
      </c>
    </row>
    <row r="9787">
      <c r="A9787" s="178" t="str">
        <f>IFERROR(__xludf.DUMMYFUNCTION("""COMPUTED_VALUE"""),"ITBISA-RELAY-5V-5PIN-BLUE")</f>
        <v>ITBISA-RELAY-5V-5PIN-BLUE</v>
      </c>
      <c r="B9787" s="266">
        <f>IFERROR(__xludf.DUMMYFUNCTION("""COMPUTED_VALUE"""),46018.0)</f>
        <v>46018</v>
      </c>
      <c r="C9787" s="266" t="str">
        <f>IFERROR(__xludf.DUMMYFUNCTION("""COMPUTED_VALUE"""),"KYAI KONTONG")</f>
        <v>KYAI KONTONG</v>
      </c>
      <c r="D9787" s="186">
        <f>IFERROR(__xludf.DUMMYFUNCTION("""COMPUTED_VALUE"""),30.0)</f>
        <v>30</v>
      </c>
    </row>
    <row r="9788">
      <c r="A9788" s="178" t="str">
        <f>IFERROR(__xludf.DUMMYFUNCTION("""COMPUTED_VALUE"""),"ITBISA-RELAY-5V-5PIN-BLUE")</f>
        <v>ITBISA-RELAY-5V-5PIN-BLUE</v>
      </c>
      <c r="B9788" s="266">
        <f>IFERROR(__xludf.DUMMYFUNCTION("""COMPUTED_VALUE"""),46019.0)</f>
        <v>46019</v>
      </c>
      <c r="C9788" s="266" t="str">
        <f>IFERROR(__xludf.DUMMYFUNCTION("""COMPUTED_VALUE"""),"KYAI KONTONG")</f>
        <v>KYAI KONTONG</v>
      </c>
      <c r="D9788" s="186">
        <f>IFERROR(__xludf.DUMMYFUNCTION("""COMPUTED_VALUE"""),5.0)</f>
        <v>5</v>
      </c>
    </row>
    <row r="9789">
      <c r="A9789" s="178" t="str">
        <f>IFERROR(__xludf.DUMMYFUNCTION("""COMPUTED_VALUE"""),"ITBISA-RELAY-5V-5PIN-BLUE")</f>
        <v>ITBISA-RELAY-5V-5PIN-BLUE</v>
      </c>
      <c r="B9789" s="266">
        <f>IFERROR(__xludf.DUMMYFUNCTION("""COMPUTED_VALUE"""),46021.0)</f>
        <v>46021</v>
      </c>
      <c r="C9789" s="266" t="str">
        <f>IFERROR(__xludf.DUMMYFUNCTION("""COMPUTED_VALUE"""),"KYAI KONTONG")</f>
        <v>KYAI KONTONG</v>
      </c>
      <c r="D9789" s="186">
        <f>IFERROR(__xludf.DUMMYFUNCTION("""COMPUTED_VALUE"""),2.0)</f>
        <v>2</v>
      </c>
    </row>
    <row r="9790">
      <c r="A9790" s="178" t="str">
        <f>IFERROR(__xludf.DUMMYFUNCTION("""COMPUTED_VALUE"""),"ITBISA-RESISTOR-100K-1/4W")</f>
        <v>ITBISA-RESISTOR-100K-1/4W</v>
      </c>
      <c r="B9790" s="266">
        <f>IFERROR(__xludf.DUMMYFUNCTION("""COMPUTED_VALUE"""),44002.0)</f>
        <v>44002</v>
      </c>
      <c r="C9790" s="266" t="str">
        <f>IFERROR(__xludf.DUMMYFUNCTION("""COMPUTED_VALUE"""),"KAETOBO RESIDENCE")</f>
        <v>KAETOBO RESIDENCE</v>
      </c>
      <c r="D9790" s="186">
        <f>IFERROR(__xludf.DUMMYFUNCTION("""COMPUTED_VALUE"""),20.0)</f>
        <v>20</v>
      </c>
    </row>
    <row r="9791">
      <c r="A9791" s="178" t="str">
        <f>IFERROR(__xludf.DUMMYFUNCTION("""COMPUTED_VALUE"""),"ITBISA-RESISTOR-100K-1/4W")</f>
        <v>ITBISA-RESISTOR-100K-1/4W</v>
      </c>
      <c r="B9791" s="266">
        <f>IFERROR(__xludf.DUMMYFUNCTION("""COMPUTED_VALUE"""),44005.0)</f>
        <v>44005</v>
      </c>
      <c r="C9791" s="266" t="str">
        <f>IFERROR(__xludf.DUMMYFUNCTION("""COMPUTED_VALUE"""),"KAETOBO RESIDENCE")</f>
        <v>KAETOBO RESIDENCE</v>
      </c>
      <c r="D9791" s="186">
        <f>IFERROR(__xludf.DUMMYFUNCTION("""COMPUTED_VALUE"""),50.0)</f>
        <v>50</v>
      </c>
    </row>
    <row r="9792">
      <c r="A9792" s="178" t="str">
        <f>IFERROR(__xludf.DUMMYFUNCTION("""COMPUTED_VALUE"""),"ITBISA-RESISTOR-100K-1/4W")</f>
        <v>ITBISA-RESISTOR-100K-1/4W</v>
      </c>
      <c r="B9792" s="266">
        <f>IFERROR(__xludf.DUMMYFUNCTION("""COMPUTED_VALUE"""),44008.0)</f>
        <v>44008</v>
      </c>
      <c r="C9792" s="266" t="str">
        <f>IFERROR(__xludf.DUMMYFUNCTION("""COMPUTED_VALUE"""),"KAETOBO RESIDENCE")</f>
        <v>KAETOBO RESIDENCE</v>
      </c>
      <c r="D9792" s="186">
        <f>IFERROR(__xludf.DUMMYFUNCTION("""COMPUTED_VALUE"""),50.0)</f>
        <v>50</v>
      </c>
    </row>
    <row r="9793">
      <c r="A9793" s="178" t="str">
        <f>IFERROR(__xludf.DUMMYFUNCTION("""COMPUTED_VALUE"""),"ITBISA-RESISTOR-100K-1/4W")</f>
        <v>ITBISA-RESISTOR-100K-1/4W</v>
      </c>
      <c r="B9793" s="266">
        <f>IFERROR(__xludf.DUMMYFUNCTION("""COMPUTED_VALUE"""),44008.0)</f>
        <v>44008</v>
      </c>
      <c r="C9793" s="266" t="str">
        <f>IFERROR(__xludf.DUMMYFUNCTION("""COMPUTED_VALUE"""),"KAETOBO RESIDENCE")</f>
        <v>KAETOBO RESIDENCE</v>
      </c>
      <c r="D9793" s="186">
        <f>IFERROR(__xludf.DUMMYFUNCTION("""COMPUTED_VALUE"""),50.0)</f>
        <v>50</v>
      </c>
    </row>
    <row r="9794">
      <c r="A9794" s="178" t="str">
        <f>IFERROR(__xludf.DUMMYFUNCTION("""COMPUTED_VALUE"""),"ITBISA-RESISTOR-100K-1/4W")</f>
        <v>ITBISA-RESISTOR-100K-1/4W</v>
      </c>
      <c r="B9794" s="266">
        <f>IFERROR(__xludf.DUMMYFUNCTION("""COMPUTED_VALUE"""),44021.0)</f>
        <v>44021</v>
      </c>
      <c r="C9794" s="266" t="str">
        <f>IFERROR(__xludf.DUMMYFUNCTION("""COMPUTED_VALUE"""),"KAETOBO RESIDENCE")</f>
        <v>KAETOBO RESIDENCE</v>
      </c>
      <c r="D9794" s="186">
        <f>IFERROR(__xludf.DUMMYFUNCTION("""COMPUTED_VALUE"""),1.0)</f>
        <v>1</v>
      </c>
    </row>
    <row r="9795">
      <c r="A9795" s="178" t="str">
        <f>IFERROR(__xludf.DUMMYFUNCTION("""COMPUTED_VALUE"""),"ITBISA-RESISTOR-100K-1/4W")</f>
        <v>ITBISA-RESISTOR-100K-1/4W</v>
      </c>
      <c r="B9795" s="266">
        <f>IFERROR(__xludf.DUMMYFUNCTION("""COMPUTED_VALUE"""),44022.0)</f>
        <v>44022</v>
      </c>
      <c r="C9795" s="266" t="str">
        <f>IFERROR(__xludf.DUMMYFUNCTION("""COMPUTED_VALUE"""),"KAETOBO RESIDENCE")</f>
        <v>KAETOBO RESIDENCE</v>
      </c>
      <c r="D9795" s="186">
        <f>IFERROR(__xludf.DUMMYFUNCTION("""COMPUTED_VALUE"""),1.0)</f>
        <v>1</v>
      </c>
    </row>
    <row r="9796">
      <c r="A9796" s="178" t="str">
        <f>IFERROR(__xludf.DUMMYFUNCTION("""COMPUTED_VALUE"""),"ITBISA-RESISTOR-100K-1/4W")</f>
        <v>ITBISA-RESISTOR-100K-1/4W</v>
      </c>
      <c r="B9796" s="266">
        <f>IFERROR(__xludf.DUMMYFUNCTION("""COMPUTED_VALUE"""),44027.0)</f>
        <v>44027</v>
      </c>
      <c r="C9796" s="266" t="str">
        <f>IFERROR(__xludf.DUMMYFUNCTION("""COMPUTED_VALUE"""),"KAETOBO RESIDENCE")</f>
        <v>KAETOBO RESIDENCE</v>
      </c>
      <c r="D9796" s="186">
        <f>IFERROR(__xludf.DUMMYFUNCTION("""COMPUTED_VALUE"""),100.0)</f>
        <v>100</v>
      </c>
    </row>
    <row r="9797">
      <c r="A9797" s="178" t="str">
        <f>IFERROR(__xludf.DUMMYFUNCTION("""COMPUTED_VALUE"""),"ITBISA-RESISTOR-100K-1/4W")</f>
        <v>ITBISA-RESISTOR-100K-1/4W</v>
      </c>
      <c r="B9797" s="266">
        <f>IFERROR(__xludf.DUMMYFUNCTION("""COMPUTED_VALUE"""),44030.0)</f>
        <v>44030</v>
      </c>
      <c r="C9797" s="266" t="str">
        <f>IFERROR(__xludf.DUMMYFUNCTION("""COMPUTED_VALUE"""),"KAETOBO RESIDENCE")</f>
        <v>KAETOBO RESIDENCE</v>
      </c>
      <c r="D9797" s="186">
        <f>IFERROR(__xludf.DUMMYFUNCTION("""COMPUTED_VALUE"""),1.0)</f>
        <v>1</v>
      </c>
    </row>
    <row r="9798">
      <c r="A9798" s="178" t="str">
        <f>IFERROR(__xludf.DUMMYFUNCTION("""COMPUTED_VALUE"""),"ITBISA-RESISTOR-100K-1/4W")</f>
        <v>ITBISA-RESISTOR-100K-1/4W</v>
      </c>
      <c r="B9798" s="266">
        <f>IFERROR(__xludf.DUMMYFUNCTION("""COMPUTED_VALUE"""),44059.0)</f>
        <v>44059</v>
      </c>
      <c r="C9798" s="266" t="str">
        <f>IFERROR(__xludf.DUMMYFUNCTION("""COMPUTED_VALUE"""),"KOST SRITUNGGAL")</f>
        <v>KOST SRITUNGGAL</v>
      </c>
      <c r="D9798" s="186">
        <f>IFERROR(__xludf.DUMMYFUNCTION("""COMPUTED_VALUE"""),5.0)</f>
        <v>5</v>
      </c>
    </row>
    <row r="9799">
      <c r="A9799" s="178" t="str">
        <f>IFERROR(__xludf.DUMMYFUNCTION("""COMPUTED_VALUE"""),"ITBISA-RESISTOR-100K-1/4W")</f>
        <v>ITBISA-RESISTOR-100K-1/4W</v>
      </c>
      <c r="B9799" s="266">
        <f>IFERROR(__xludf.DUMMYFUNCTION("""COMPUTED_VALUE"""),44067.0)</f>
        <v>44067</v>
      </c>
      <c r="C9799" s="266" t="str">
        <f>IFERROR(__xludf.DUMMYFUNCTION("""COMPUTED_VALUE"""),"KOST SRITUNGGAL")</f>
        <v>KOST SRITUNGGAL</v>
      </c>
      <c r="D9799" s="186">
        <f>IFERROR(__xludf.DUMMYFUNCTION("""COMPUTED_VALUE"""),1.0)</f>
        <v>1</v>
      </c>
    </row>
    <row r="9800">
      <c r="A9800" s="178" t="str">
        <f>IFERROR(__xludf.DUMMYFUNCTION("""COMPUTED_VALUE"""),"ITBISA-RESISTOR-100K-1/4W")</f>
        <v>ITBISA-RESISTOR-100K-1/4W</v>
      </c>
      <c r="B9800" s="266">
        <f>IFERROR(__xludf.DUMMYFUNCTION("""COMPUTED_VALUE"""),44070.0)</f>
        <v>44070</v>
      </c>
      <c r="C9800" s="266" t="str">
        <f>IFERROR(__xludf.DUMMYFUNCTION("""COMPUTED_VALUE"""),"KOST SRITUNGGAL")</f>
        <v>KOST SRITUNGGAL</v>
      </c>
      <c r="D9800" s="186">
        <f>IFERROR(__xludf.DUMMYFUNCTION("""COMPUTED_VALUE"""),1.0)</f>
        <v>1</v>
      </c>
    </row>
    <row r="9801">
      <c r="A9801" s="178" t="str">
        <f>IFERROR(__xludf.DUMMYFUNCTION("""COMPUTED_VALUE"""),"ITBISA-RESISTOR-100K-1/4W")</f>
        <v>ITBISA-RESISTOR-100K-1/4W</v>
      </c>
      <c r="B9801" s="266">
        <f>IFERROR(__xludf.DUMMYFUNCTION("""COMPUTED_VALUE"""),44075.0)</f>
        <v>44075</v>
      </c>
      <c r="C9801" s="266" t="str">
        <f>IFERROR(__xludf.DUMMYFUNCTION("""COMPUTED_VALUE"""),"KOST SRITUNGGAL")</f>
        <v>KOST SRITUNGGAL</v>
      </c>
      <c r="D9801" s="186">
        <f>IFERROR(__xludf.DUMMYFUNCTION("""COMPUTED_VALUE"""),1.0)</f>
        <v>1</v>
      </c>
    </row>
    <row r="9802">
      <c r="A9802" s="178" t="str">
        <f>IFERROR(__xludf.DUMMYFUNCTION("""COMPUTED_VALUE"""),"ITBISA-RESISTOR-100K-1/4W")</f>
        <v>ITBISA-RESISTOR-100K-1/4W</v>
      </c>
      <c r="B9802" s="266">
        <f>IFERROR(__xludf.DUMMYFUNCTION("""COMPUTED_VALUE"""),44393.0)</f>
        <v>44393</v>
      </c>
      <c r="C9802" s="266" t="str">
        <f>IFERROR(__xludf.DUMMYFUNCTION("""COMPUTED_VALUE"""),"KOST RUMAHUMI")</f>
        <v>KOST RUMAHUMI</v>
      </c>
      <c r="D9802" s="186">
        <f>IFERROR(__xludf.DUMMYFUNCTION("""COMPUTED_VALUE"""),250.0)</f>
        <v>250</v>
      </c>
    </row>
    <row r="9803">
      <c r="A9803" s="178" t="str">
        <f>IFERROR(__xludf.DUMMYFUNCTION("""COMPUTED_VALUE"""),"ITBISA-RESISTOR-100K-1/4W")</f>
        <v>ITBISA-RESISTOR-100K-1/4W</v>
      </c>
      <c r="B9803" s="266">
        <f>IFERROR(__xludf.DUMMYFUNCTION("""COMPUTED_VALUE"""),44909.0)</f>
        <v>44909</v>
      </c>
      <c r="C9803" s="266" t="str">
        <f>IFERROR(__xludf.DUMMYFUNCTION("""COMPUTED_VALUE"""),"KYAI KONTONG")</f>
        <v>KYAI KONTONG</v>
      </c>
      <c r="D9803" s="186">
        <f>IFERROR(__xludf.DUMMYFUNCTION("""COMPUTED_VALUE"""),20.0)</f>
        <v>20</v>
      </c>
    </row>
    <row r="9804">
      <c r="A9804" s="178" t="str">
        <f>IFERROR(__xludf.DUMMYFUNCTION("""COMPUTED_VALUE"""),"ITBISA-RESISTOR-100K-1/4W")</f>
        <v>ITBISA-RESISTOR-100K-1/4W</v>
      </c>
      <c r="B9804" s="266">
        <f>IFERROR(__xludf.DUMMYFUNCTION("""COMPUTED_VALUE"""),44954.0)</f>
        <v>44954</v>
      </c>
      <c r="C9804" s="266" t="str">
        <f>IFERROR(__xludf.DUMMYFUNCTION("""COMPUTED_VALUE"""),"KYAI KONTONG")</f>
        <v>KYAI KONTONG</v>
      </c>
      <c r="D9804" s="186">
        <f>IFERROR(__xludf.DUMMYFUNCTION("""COMPUTED_VALUE"""),10.0)</f>
        <v>10</v>
      </c>
    </row>
    <row r="9805">
      <c r="A9805" s="178" t="str">
        <f>IFERROR(__xludf.DUMMYFUNCTION("""COMPUTED_VALUE"""),"ITBISA-RESISTOR-100K-1/4W")</f>
        <v>ITBISA-RESISTOR-100K-1/4W</v>
      </c>
      <c r="B9805" s="266">
        <f>IFERROR(__xludf.DUMMYFUNCTION("""COMPUTED_VALUE"""),44987.0)</f>
        <v>44987</v>
      </c>
      <c r="C9805" s="266" t="str">
        <f>IFERROR(__xludf.DUMMYFUNCTION("""COMPUTED_VALUE"""),"KYAI KONTONG")</f>
        <v>KYAI KONTONG</v>
      </c>
      <c r="D9805" s="186">
        <f>IFERROR(__xludf.DUMMYFUNCTION("""COMPUTED_VALUE"""),10.0)</f>
        <v>10</v>
      </c>
    </row>
    <row r="9806">
      <c r="A9806" s="178" t="str">
        <f>IFERROR(__xludf.DUMMYFUNCTION("""COMPUTED_VALUE"""),"ITBISA-RESISTOR-100K-1/4W")</f>
        <v>ITBISA-RESISTOR-100K-1/4W</v>
      </c>
      <c r="B9806" s="266">
        <f>IFERROR(__xludf.DUMMYFUNCTION("""COMPUTED_VALUE"""),45022.0)</f>
        <v>45022</v>
      </c>
      <c r="C9806" s="266" t="str">
        <f>IFERROR(__xludf.DUMMYFUNCTION("""COMPUTED_VALUE"""),"KYAI KONTONG")</f>
        <v>KYAI KONTONG</v>
      </c>
      <c r="D9806" s="186">
        <f>IFERROR(__xludf.DUMMYFUNCTION("""COMPUTED_VALUE"""),10.0)</f>
        <v>10</v>
      </c>
    </row>
    <row r="9807">
      <c r="A9807" s="178" t="str">
        <f>IFERROR(__xludf.DUMMYFUNCTION("""COMPUTED_VALUE"""),"ITBISA-RESISTOR-100K-1/4W")</f>
        <v>ITBISA-RESISTOR-100K-1/4W</v>
      </c>
      <c r="B9807" s="266">
        <f>IFERROR(__xludf.DUMMYFUNCTION("""COMPUTED_VALUE"""),45164.0)</f>
        <v>45164</v>
      </c>
      <c r="C9807" s="266" t="str">
        <f>IFERROR(__xludf.DUMMYFUNCTION("""COMPUTED_VALUE"""),"KYAI KONTONG")</f>
        <v>KYAI KONTONG</v>
      </c>
      <c r="D9807" s="186">
        <f>IFERROR(__xludf.DUMMYFUNCTION("""COMPUTED_VALUE"""),20.0)</f>
        <v>20</v>
      </c>
    </row>
    <row r="9808">
      <c r="A9808" s="178" t="str">
        <f>IFERROR(__xludf.DUMMYFUNCTION("""COMPUTED_VALUE"""),"ITBISA-RESISTOR-100K-1/4W")</f>
        <v>ITBISA-RESISTOR-100K-1/4W</v>
      </c>
      <c r="B9808" s="266">
        <f>IFERROR(__xludf.DUMMYFUNCTION("""COMPUTED_VALUE"""),45243.0)</f>
        <v>45243</v>
      </c>
      <c r="C9808" s="266" t="str">
        <f>IFERROR(__xludf.DUMMYFUNCTION("""COMPUTED_VALUE"""),"KYAI KONTONG")</f>
        <v>KYAI KONTONG</v>
      </c>
      <c r="D9808" s="186">
        <f>IFERROR(__xludf.DUMMYFUNCTION("""COMPUTED_VALUE"""),100.0)</f>
        <v>100</v>
      </c>
    </row>
    <row r="9809">
      <c r="A9809" s="178" t="str">
        <f>IFERROR(__xludf.DUMMYFUNCTION("""COMPUTED_VALUE"""),"ITBISA-RESISTOR-100K-1/4W")</f>
        <v>ITBISA-RESISTOR-100K-1/4W</v>
      </c>
      <c r="B9809" s="266">
        <f>IFERROR(__xludf.DUMMYFUNCTION("""COMPUTED_VALUE"""),45271.0)</f>
        <v>45271</v>
      </c>
      <c r="C9809" s="266" t="str">
        <f>IFERROR(__xludf.DUMMYFUNCTION("""COMPUTED_VALUE"""),"KYAI KONTONG")</f>
        <v>KYAI KONTONG</v>
      </c>
      <c r="D9809" s="186">
        <f>IFERROR(__xludf.DUMMYFUNCTION("""COMPUTED_VALUE"""),100.0)</f>
        <v>100</v>
      </c>
    </row>
    <row r="9810">
      <c r="A9810" s="178" t="str">
        <f>IFERROR(__xludf.DUMMYFUNCTION("""COMPUTED_VALUE"""),"ITBISA-RESISTOR-100K-1/4W")</f>
        <v>ITBISA-RESISTOR-100K-1/4W</v>
      </c>
      <c r="B9810" s="266">
        <f>IFERROR(__xludf.DUMMYFUNCTION("""COMPUTED_VALUE"""),45285.0)</f>
        <v>45285</v>
      </c>
      <c r="C9810" s="266" t="str">
        <f>IFERROR(__xludf.DUMMYFUNCTION("""COMPUTED_VALUE"""),"KYAI KONTONG")</f>
        <v>KYAI KONTONG</v>
      </c>
      <c r="D9810" s="186">
        <f>IFERROR(__xludf.DUMMYFUNCTION("""COMPUTED_VALUE"""),20.0)</f>
        <v>20</v>
      </c>
    </row>
    <row r="9811">
      <c r="A9811" s="178" t="str">
        <f>IFERROR(__xludf.DUMMYFUNCTION("""COMPUTED_VALUE"""),"ITBISA-RESISTOR-100K-1/4W")</f>
        <v>ITBISA-RESISTOR-100K-1/4W</v>
      </c>
      <c r="B9811" s="266">
        <f>IFERROR(__xludf.DUMMYFUNCTION("""COMPUTED_VALUE"""),45292.0)</f>
        <v>45292</v>
      </c>
      <c r="C9811" s="266" t="str">
        <f>IFERROR(__xludf.DUMMYFUNCTION("""COMPUTED_VALUE"""),"KYAI KONTONG")</f>
        <v>KYAI KONTONG</v>
      </c>
      <c r="D9811" s="186">
        <f>IFERROR(__xludf.DUMMYFUNCTION("""COMPUTED_VALUE"""),10.0)</f>
        <v>10</v>
      </c>
    </row>
    <row r="9812">
      <c r="A9812" s="178" t="str">
        <f>IFERROR(__xludf.DUMMYFUNCTION("""COMPUTED_VALUE"""),"ITBISA-RESISTOR-100K-1/4W")</f>
        <v>ITBISA-RESISTOR-100K-1/4W</v>
      </c>
      <c r="B9812" s="266">
        <f>IFERROR(__xludf.DUMMYFUNCTION("""COMPUTED_VALUE"""),45438.0)</f>
        <v>45438</v>
      </c>
      <c r="C9812" s="266" t="str">
        <f>IFERROR(__xludf.DUMMYFUNCTION("""COMPUTED_VALUE"""),"KERTASARI CIAMIS")</f>
        <v>KERTASARI CIAMIS</v>
      </c>
      <c r="D9812" s="186">
        <f>IFERROR(__xludf.DUMMYFUNCTION("""COMPUTED_VALUE"""),100.0)</f>
        <v>100</v>
      </c>
    </row>
    <row r="9813">
      <c r="A9813" s="178" t="str">
        <f>IFERROR(__xludf.DUMMYFUNCTION("""COMPUTED_VALUE"""),"ITBISA-RESISTOR-100K-1/4W")</f>
        <v>ITBISA-RESISTOR-100K-1/4W</v>
      </c>
      <c r="B9813" s="266">
        <f>IFERROR(__xludf.DUMMYFUNCTION("""COMPUTED_VALUE"""),45947.0)</f>
        <v>45947</v>
      </c>
      <c r="C9813" s="266" t="str">
        <f>IFERROR(__xludf.DUMMYFUNCTION("""COMPUTED_VALUE"""),"KYAI KONTONG")</f>
        <v>KYAI KONTONG</v>
      </c>
      <c r="D9813" s="186">
        <f>IFERROR(__xludf.DUMMYFUNCTION("""COMPUTED_VALUE"""),10.0)</f>
        <v>10</v>
      </c>
    </row>
    <row r="9814">
      <c r="A9814" s="178" t="str">
        <f>IFERROR(__xludf.DUMMYFUNCTION("""COMPUTED_VALUE"""),"ITBISA-RESISTOR-100K-1/4W")</f>
        <v>ITBISA-RESISTOR-100K-1/4W</v>
      </c>
      <c r="B9814" s="266">
        <f>IFERROR(__xludf.DUMMYFUNCTION("""COMPUTED_VALUE"""),45991.0)</f>
        <v>45991</v>
      </c>
      <c r="C9814" s="266" t="str">
        <f>IFERROR(__xludf.DUMMYFUNCTION("""COMPUTED_VALUE"""),"KYAI KONTONG")</f>
        <v>KYAI KONTONG</v>
      </c>
      <c r="D9814" s="186">
        <f>IFERROR(__xludf.DUMMYFUNCTION("""COMPUTED_VALUE"""),5.0)</f>
        <v>5</v>
      </c>
    </row>
    <row r="9815">
      <c r="A9815" s="178" t="str">
        <f>IFERROR(__xludf.DUMMYFUNCTION("""COMPUTED_VALUE"""),"ITBISA-RESISTOR-100K-1/4W")</f>
        <v>ITBISA-RESISTOR-100K-1/4W</v>
      </c>
      <c r="B9815" s="266">
        <f>IFERROR(__xludf.DUMMYFUNCTION("""COMPUTED_VALUE"""),45997.0)</f>
        <v>45997</v>
      </c>
      <c r="C9815" s="266" t="str">
        <f>IFERROR(__xludf.DUMMYFUNCTION("""COMPUTED_VALUE"""),"KERTASARI CIAMIS")</f>
        <v>KERTASARI CIAMIS</v>
      </c>
      <c r="D9815" s="186">
        <f>IFERROR(__xludf.DUMMYFUNCTION("""COMPUTED_VALUE"""),0.0)</f>
        <v>0</v>
      </c>
    </row>
    <row r="9816">
      <c r="A9816" s="178" t="str">
        <f>IFERROR(__xludf.DUMMYFUNCTION("""COMPUTED_VALUE"""),"ITBISA-RESISTOR-100K-1/4W")</f>
        <v>ITBISA-RESISTOR-100K-1/4W</v>
      </c>
      <c r="B9816" s="266">
        <f>IFERROR(__xludf.DUMMYFUNCTION("""COMPUTED_VALUE"""),46002.0)</f>
        <v>46002</v>
      </c>
      <c r="C9816" s="266" t="str">
        <f>IFERROR(__xludf.DUMMYFUNCTION("""COMPUTED_VALUE"""),"KYAI KONTONG")</f>
        <v>KYAI KONTONG</v>
      </c>
      <c r="D9816" s="186">
        <f>IFERROR(__xludf.DUMMYFUNCTION("""COMPUTED_VALUE"""),40.0)</f>
        <v>40</v>
      </c>
    </row>
    <row r="9817">
      <c r="A9817" s="178" t="str">
        <f>IFERROR(__xludf.DUMMYFUNCTION("""COMPUTED_VALUE"""),"ITBISA-RESISTOR-10K-1/4W")</f>
        <v>ITBISA-RESISTOR-10K-1/4W</v>
      </c>
      <c r="B9817" s="266">
        <f>IFERROR(__xludf.DUMMYFUNCTION("""COMPUTED_VALUE"""),44002.0)</f>
        <v>44002</v>
      </c>
      <c r="C9817" s="266" t="str">
        <f>IFERROR(__xludf.DUMMYFUNCTION("""COMPUTED_VALUE"""),"KAETOBO RESIDENCE")</f>
        <v>KAETOBO RESIDENCE</v>
      </c>
      <c r="D9817" s="186">
        <f>IFERROR(__xludf.DUMMYFUNCTION("""COMPUTED_VALUE"""),20.0)</f>
        <v>20</v>
      </c>
    </row>
    <row r="9818">
      <c r="A9818" s="178" t="str">
        <f>IFERROR(__xludf.DUMMYFUNCTION("""COMPUTED_VALUE"""),"ITBISA-RESISTOR-10K-1/4W")</f>
        <v>ITBISA-RESISTOR-10K-1/4W</v>
      </c>
      <c r="B9818" s="266">
        <f>IFERROR(__xludf.DUMMYFUNCTION("""COMPUTED_VALUE"""),44005.0)</f>
        <v>44005</v>
      </c>
      <c r="C9818" s="266" t="str">
        <f>IFERROR(__xludf.DUMMYFUNCTION("""COMPUTED_VALUE"""),"KAETOBO RESIDENCE")</f>
        <v>KAETOBO RESIDENCE</v>
      </c>
      <c r="D9818" s="186">
        <f>IFERROR(__xludf.DUMMYFUNCTION("""COMPUTED_VALUE"""),50.0)</f>
        <v>50</v>
      </c>
    </row>
    <row r="9819">
      <c r="A9819" s="178" t="str">
        <f>IFERROR(__xludf.DUMMYFUNCTION("""COMPUTED_VALUE"""),"ITBISA-RESISTOR-10K-1/4W")</f>
        <v>ITBISA-RESISTOR-10K-1/4W</v>
      </c>
      <c r="B9819" s="266">
        <f>IFERROR(__xludf.DUMMYFUNCTION("""COMPUTED_VALUE"""),44008.0)</f>
        <v>44008</v>
      </c>
      <c r="C9819" s="266" t="str">
        <f>IFERROR(__xludf.DUMMYFUNCTION("""COMPUTED_VALUE"""),"KAETOBO RESIDENCE")</f>
        <v>KAETOBO RESIDENCE</v>
      </c>
      <c r="D9819" s="186">
        <f>IFERROR(__xludf.DUMMYFUNCTION("""COMPUTED_VALUE"""),50.0)</f>
        <v>50</v>
      </c>
    </row>
    <row r="9820">
      <c r="A9820" s="178" t="str">
        <f>IFERROR(__xludf.DUMMYFUNCTION("""COMPUTED_VALUE"""),"ITBISA-RESISTOR-10K-1/4W")</f>
        <v>ITBISA-RESISTOR-10K-1/4W</v>
      </c>
      <c r="B9820" s="266">
        <f>IFERROR(__xludf.DUMMYFUNCTION("""COMPUTED_VALUE"""),44008.0)</f>
        <v>44008</v>
      </c>
      <c r="C9820" s="266" t="str">
        <f>IFERROR(__xludf.DUMMYFUNCTION("""COMPUTED_VALUE"""),"KAETOBO RESIDENCE")</f>
        <v>KAETOBO RESIDENCE</v>
      </c>
      <c r="D9820" s="186">
        <f>IFERROR(__xludf.DUMMYFUNCTION("""COMPUTED_VALUE"""),50.0)</f>
        <v>50</v>
      </c>
    </row>
    <row r="9821">
      <c r="A9821" s="178" t="str">
        <f>IFERROR(__xludf.DUMMYFUNCTION("""COMPUTED_VALUE"""),"ITBISA-RESISTOR-10K-1/4W")</f>
        <v>ITBISA-RESISTOR-10K-1/4W</v>
      </c>
      <c r="B9821" s="266">
        <f>IFERROR(__xludf.DUMMYFUNCTION("""COMPUTED_VALUE"""),44009.0)</f>
        <v>44009</v>
      </c>
      <c r="C9821" s="266" t="str">
        <f>IFERROR(__xludf.DUMMYFUNCTION("""COMPUTED_VALUE"""),"KAETOBO RESIDENCE")</f>
        <v>KAETOBO RESIDENCE</v>
      </c>
      <c r="D9821" s="186">
        <f>IFERROR(__xludf.DUMMYFUNCTION("""COMPUTED_VALUE"""),5.0)</f>
        <v>5</v>
      </c>
    </row>
    <row r="9822">
      <c r="A9822" s="178" t="str">
        <f>IFERROR(__xludf.DUMMYFUNCTION("""COMPUTED_VALUE"""),"ITBISA-RESISTOR-10K-1/4W")</f>
        <v>ITBISA-RESISTOR-10K-1/4W</v>
      </c>
      <c r="B9822" s="266">
        <f>IFERROR(__xludf.DUMMYFUNCTION("""COMPUTED_VALUE"""),44014.0)</f>
        <v>44014</v>
      </c>
      <c r="C9822" s="266" t="str">
        <f>IFERROR(__xludf.DUMMYFUNCTION("""COMPUTED_VALUE"""),"KAETOBO RESIDENCE")</f>
        <v>KAETOBO RESIDENCE</v>
      </c>
      <c r="D9822" s="186">
        <f>IFERROR(__xludf.DUMMYFUNCTION("""COMPUTED_VALUE"""),100.0)</f>
        <v>100</v>
      </c>
    </row>
    <row r="9823">
      <c r="A9823" s="178" t="str">
        <f>IFERROR(__xludf.DUMMYFUNCTION("""COMPUTED_VALUE"""),"ITBISA-RESISTOR-10K-1/4W")</f>
        <v>ITBISA-RESISTOR-10K-1/4W</v>
      </c>
      <c r="B9823" s="266">
        <f>IFERROR(__xludf.DUMMYFUNCTION("""COMPUTED_VALUE"""),44015.0)</f>
        <v>44015</v>
      </c>
      <c r="C9823" s="266" t="str">
        <f>IFERROR(__xludf.DUMMYFUNCTION("""COMPUTED_VALUE"""),"KAETOBO RESIDENCE")</f>
        <v>KAETOBO RESIDENCE</v>
      </c>
      <c r="D9823" s="186">
        <f>IFERROR(__xludf.DUMMYFUNCTION("""COMPUTED_VALUE"""),1.0)</f>
        <v>1</v>
      </c>
    </row>
    <row r="9824">
      <c r="A9824" s="178" t="str">
        <f>IFERROR(__xludf.DUMMYFUNCTION("""COMPUTED_VALUE"""),"ITBISA-RESISTOR-10K-1/4W")</f>
        <v>ITBISA-RESISTOR-10K-1/4W</v>
      </c>
      <c r="B9824" s="266">
        <f>IFERROR(__xludf.DUMMYFUNCTION("""COMPUTED_VALUE"""),44016.0)</f>
        <v>44016</v>
      </c>
      <c r="C9824" s="266" t="str">
        <f>IFERROR(__xludf.DUMMYFUNCTION("""COMPUTED_VALUE"""),"KAETOBO RESIDENCE")</f>
        <v>KAETOBO RESIDENCE</v>
      </c>
      <c r="D9824" s="186">
        <f>IFERROR(__xludf.DUMMYFUNCTION("""COMPUTED_VALUE"""),3.0)</f>
        <v>3</v>
      </c>
    </row>
    <row r="9825">
      <c r="A9825" s="178" t="str">
        <f>IFERROR(__xludf.DUMMYFUNCTION("""COMPUTED_VALUE"""),"ITBISA-RESISTOR-10K-1/4W")</f>
        <v>ITBISA-RESISTOR-10K-1/4W</v>
      </c>
      <c r="B9825" s="266">
        <f>IFERROR(__xludf.DUMMYFUNCTION("""COMPUTED_VALUE"""),44027.0)</f>
        <v>44027</v>
      </c>
      <c r="C9825" s="266" t="str">
        <f>IFERROR(__xludf.DUMMYFUNCTION("""COMPUTED_VALUE"""),"KAETOBO RESIDENCE")</f>
        <v>KAETOBO RESIDENCE</v>
      </c>
      <c r="D9825" s="186">
        <f>IFERROR(__xludf.DUMMYFUNCTION("""COMPUTED_VALUE"""),300.0)</f>
        <v>300</v>
      </c>
    </row>
    <row r="9826">
      <c r="A9826" s="178" t="str">
        <f>IFERROR(__xludf.DUMMYFUNCTION("""COMPUTED_VALUE"""),"ITBISA-RESISTOR-10K-1/4W")</f>
        <v>ITBISA-RESISTOR-10K-1/4W</v>
      </c>
      <c r="B9826" s="266">
        <f>IFERROR(__xludf.DUMMYFUNCTION("""COMPUTED_VALUE"""),44036.0)</f>
        <v>44036</v>
      </c>
      <c r="C9826" s="266" t="str">
        <f>IFERROR(__xludf.DUMMYFUNCTION("""COMPUTED_VALUE"""),"KAETOBO RESIDENCE")</f>
        <v>KAETOBO RESIDENCE</v>
      </c>
      <c r="D9826" s="186">
        <f>IFERROR(__xludf.DUMMYFUNCTION("""COMPUTED_VALUE"""),1.0)</f>
        <v>1</v>
      </c>
    </row>
    <row r="9827">
      <c r="A9827" s="178" t="str">
        <f>IFERROR(__xludf.DUMMYFUNCTION("""COMPUTED_VALUE"""),"ITBISA-RESISTOR-10K-1/4W")</f>
        <v>ITBISA-RESISTOR-10K-1/4W</v>
      </c>
      <c r="B9827" s="266">
        <f>IFERROR(__xludf.DUMMYFUNCTION("""COMPUTED_VALUE"""),44038.0)</f>
        <v>44038</v>
      </c>
      <c r="C9827" s="266" t="str">
        <f>IFERROR(__xludf.DUMMYFUNCTION("""COMPUTED_VALUE"""),"KAETOBO RESIDENCE")</f>
        <v>KAETOBO RESIDENCE</v>
      </c>
      <c r="D9827" s="186">
        <f>IFERROR(__xludf.DUMMYFUNCTION("""COMPUTED_VALUE"""),10.0)</f>
        <v>10</v>
      </c>
    </row>
    <row r="9828">
      <c r="A9828" s="178" t="str">
        <f>IFERROR(__xludf.DUMMYFUNCTION("""COMPUTED_VALUE"""),"ITBISA-RESISTOR-10K-1/4W")</f>
        <v>ITBISA-RESISTOR-10K-1/4W</v>
      </c>
      <c r="B9828" s="266">
        <f>IFERROR(__xludf.DUMMYFUNCTION("""COMPUTED_VALUE"""),44042.0)</f>
        <v>44042</v>
      </c>
      <c r="C9828" s="266" t="str">
        <f>IFERROR(__xludf.DUMMYFUNCTION("""COMPUTED_VALUE"""),"KAETOBO RESIDENCE")</f>
        <v>KAETOBO RESIDENCE</v>
      </c>
      <c r="D9828" s="186">
        <f>IFERROR(__xludf.DUMMYFUNCTION("""COMPUTED_VALUE"""),10.0)</f>
        <v>10</v>
      </c>
    </row>
    <row r="9829">
      <c r="A9829" s="178" t="str">
        <f>IFERROR(__xludf.DUMMYFUNCTION("""COMPUTED_VALUE"""),"ITBISA-RESISTOR-10K-1/4W")</f>
        <v>ITBISA-RESISTOR-10K-1/4W</v>
      </c>
      <c r="B9829" s="266">
        <f>IFERROR(__xludf.DUMMYFUNCTION("""COMPUTED_VALUE"""),44045.0)</f>
        <v>44045</v>
      </c>
      <c r="C9829" s="266" t="str">
        <f>IFERROR(__xludf.DUMMYFUNCTION("""COMPUTED_VALUE"""),"KAETOBO RESIDENCE")</f>
        <v>KAETOBO RESIDENCE</v>
      </c>
      <c r="D9829" s="186">
        <f>IFERROR(__xludf.DUMMYFUNCTION("""COMPUTED_VALUE"""),1.0)</f>
        <v>1</v>
      </c>
    </row>
    <row r="9830">
      <c r="A9830" s="178" t="str">
        <f>IFERROR(__xludf.DUMMYFUNCTION("""COMPUTED_VALUE"""),"ITBISA-RESISTOR-10K-1/4W")</f>
        <v>ITBISA-RESISTOR-10K-1/4W</v>
      </c>
      <c r="B9830" s="266">
        <f>IFERROR(__xludf.DUMMYFUNCTION("""COMPUTED_VALUE"""),44046.0)</f>
        <v>44046</v>
      </c>
      <c r="C9830" s="266" t="str">
        <f>IFERROR(__xludf.DUMMYFUNCTION("""COMPUTED_VALUE"""),"KAETOBO RESIDENCE")</f>
        <v>KAETOBO RESIDENCE</v>
      </c>
      <c r="D9830" s="186">
        <f>IFERROR(__xludf.DUMMYFUNCTION("""COMPUTED_VALUE"""),1.0)</f>
        <v>1</v>
      </c>
    </row>
    <row r="9831">
      <c r="A9831" s="178" t="str">
        <f>IFERROR(__xludf.DUMMYFUNCTION("""COMPUTED_VALUE"""),"ITBISA-RESISTOR-10K-1/4W")</f>
        <v>ITBISA-RESISTOR-10K-1/4W</v>
      </c>
      <c r="B9831" s="266">
        <f>IFERROR(__xludf.DUMMYFUNCTION("""COMPUTED_VALUE"""),44058.0)</f>
        <v>44058</v>
      </c>
      <c r="C9831" s="266" t="str">
        <f>IFERROR(__xludf.DUMMYFUNCTION("""COMPUTED_VALUE"""),"KOST SRITUNGGAL")</f>
        <v>KOST SRITUNGGAL</v>
      </c>
      <c r="D9831" s="186">
        <f>IFERROR(__xludf.DUMMYFUNCTION("""COMPUTED_VALUE"""),1.0)</f>
        <v>1</v>
      </c>
    </row>
    <row r="9832">
      <c r="A9832" s="178" t="str">
        <f>IFERROR(__xludf.DUMMYFUNCTION("""COMPUTED_VALUE"""),"ITBISA-RESISTOR-10K-1/4W")</f>
        <v>ITBISA-RESISTOR-10K-1/4W</v>
      </c>
      <c r="B9832" s="266">
        <f>IFERROR(__xludf.DUMMYFUNCTION("""COMPUTED_VALUE"""),44065.0)</f>
        <v>44065</v>
      </c>
      <c r="C9832" s="266" t="str">
        <f>IFERROR(__xludf.DUMMYFUNCTION("""COMPUTED_VALUE"""),"KOST SRITUNGGAL")</f>
        <v>KOST SRITUNGGAL</v>
      </c>
      <c r="D9832" s="186">
        <f>IFERROR(__xludf.DUMMYFUNCTION("""COMPUTED_VALUE"""),7.0)</f>
        <v>7</v>
      </c>
    </row>
    <row r="9833">
      <c r="A9833" s="178" t="str">
        <f>IFERROR(__xludf.DUMMYFUNCTION("""COMPUTED_VALUE"""),"ITBISA-RESISTOR-10K-1/4W")</f>
        <v>ITBISA-RESISTOR-10K-1/4W</v>
      </c>
      <c r="B9833" s="266">
        <f>IFERROR(__xludf.DUMMYFUNCTION("""COMPUTED_VALUE"""),44455.0)</f>
        <v>44455</v>
      </c>
      <c r="C9833" s="266" t="str">
        <f>IFERROR(__xludf.DUMMYFUNCTION("""COMPUTED_VALUE"""),"KOST RUMAHUMI")</f>
        <v>KOST RUMAHUMI</v>
      </c>
      <c r="D9833" s="186">
        <f>IFERROR(__xludf.DUMMYFUNCTION("""COMPUTED_VALUE"""),20.0)</f>
        <v>20</v>
      </c>
    </row>
    <row r="9834">
      <c r="A9834" s="178" t="str">
        <f>IFERROR(__xludf.DUMMYFUNCTION("""COMPUTED_VALUE"""),"ITBISA-RESISTOR-10K-1/4W")</f>
        <v>ITBISA-RESISTOR-10K-1/4W</v>
      </c>
      <c r="B9834" s="266">
        <f>IFERROR(__xludf.DUMMYFUNCTION("""COMPUTED_VALUE"""),44844.0)</f>
        <v>44844</v>
      </c>
      <c r="C9834" s="266" t="str">
        <f>IFERROR(__xludf.DUMMYFUNCTION("""COMPUTED_VALUE"""),"KYAI KONTONG")</f>
        <v>KYAI KONTONG</v>
      </c>
      <c r="D9834" s="186">
        <f>IFERROR(__xludf.DUMMYFUNCTION("""COMPUTED_VALUE"""),10.0)</f>
        <v>10</v>
      </c>
    </row>
    <row r="9835">
      <c r="A9835" s="178" t="str">
        <f>IFERROR(__xludf.DUMMYFUNCTION("""COMPUTED_VALUE"""),"ITBISA-RESISTOR-10K-1/4W")</f>
        <v>ITBISA-RESISTOR-10K-1/4W</v>
      </c>
      <c r="B9835" s="266">
        <f>IFERROR(__xludf.DUMMYFUNCTION("""COMPUTED_VALUE"""),44850.0)</f>
        <v>44850</v>
      </c>
      <c r="C9835" s="266" t="str">
        <f>IFERROR(__xludf.DUMMYFUNCTION("""COMPUTED_VALUE"""),"KYAI KONTONG")</f>
        <v>KYAI KONTONG</v>
      </c>
      <c r="D9835" s="186">
        <f>IFERROR(__xludf.DUMMYFUNCTION("""COMPUTED_VALUE"""),10.0)</f>
        <v>10</v>
      </c>
    </row>
    <row r="9836">
      <c r="A9836" s="178" t="str">
        <f>IFERROR(__xludf.DUMMYFUNCTION("""COMPUTED_VALUE"""),"ITBISA-RESISTOR-10K-1/4W")</f>
        <v>ITBISA-RESISTOR-10K-1/4W</v>
      </c>
      <c r="B9836" s="266">
        <f>IFERROR(__xludf.DUMMYFUNCTION("""COMPUTED_VALUE"""),44909.0)</f>
        <v>44909</v>
      </c>
      <c r="C9836" s="266" t="str">
        <f>IFERROR(__xludf.DUMMYFUNCTION("""COMPUTED_VALUE"""),"KYAI KONTONG")</f>
        <v>KYAI KONTONG</v>
      </c>
      <c r="D9836" s="186">
        <f>IFERROR(__xludf.DUMMYFUNCTION("""COMPUTED_VALUE"""),20.0)</f>
        <v>20</v>
      </c>
    </row>
    <row r="9837">
      <c r="A9837" s="178" t="str">
        <f>IFERROR(__xludf.DUMMYFUNCTION("""COMPUTED_VALUE"""),"ITBISA-RESISTOR-10K-1/4W")</f>
        <v>ITBISA-RESISTOR-10K-1/4W</v>
      </c>
      <c r="B9837" s="266">
        <f>IFERROR(__xludf.DUMMYFUNCTION("""COMPUTED_VALUE"""),44934.0)</f>
        <v>44934</v>
      </c>
      <c r="C9837" s="266" t="str">
        <f>IFERROR(__xludf.DUMMYFUNCTION("""COMPUTED_VALUE"""),"KYAI KONTONG")</f>
        <v>KYAI KONTONG</v>
      </c>
      <c r="D9837" s="186">
        <f>IFERROR(__xludf.DUMMYFUNCTION("""COMPUTED_VALUE"""),10.0)</f>
        <v>10</v>
      </c>
    </row>
    <row r="9838">
      <c r="A9838" s="178" t="str">
        <f>IFERROR(__xludf.DUMMYFUNCTION("""COMPUTED_VALUE"""),"ITBISA-RESISTOR-10K-1/4W")</f>
        <v>ITBISA-RESISTOR-10K-1/4W</v>
      </c>
      <c r="B9838" s="266">
        <f>IFERROR(__xludf.DUMMYFUNCTION("""COMPUTED_VALUE"""),44938.0)</f>
        <v>44938</v>
      </c>
      <c r="C9838" s="266" t="str">
        <f>IFERROR(__xludf.DUMMYFUNCTION("""COMPUTED_VALUE"""),"KYAI KONTONG")</f>
        <v>KYAI KONTONG</v>
      </c>
      <c r="D9838" s="186">
        <f>IFERROR(__xludf.DUMMYFUNCTION("""COMPUTED_VALUE"""),10.0)</f>
        <v>10</v>
      </c>
    </row>
    <row r="9839">
      <c r="A9839" s="178" t="str">
        <f>IFERROR(__xludf.DUMMYFUNCTION("""COMPUTED_VALUE"""),"ITBISA-RESISTOR-10K-1/4W")</f>
        <v>ITBISA-RESISTOR-10K-1/4W</v>
      </c>
      <c r="B9839" s="266">
        <f>IFERROR(__xludf.DUMMYFUNCTION("""COMPUTED_VALUE"""),44957.0)</f>
        <v>44957</v>
      </c>
      <c r="C9839" s="266" t="str">
        <f>IFERROR(__xludf.DUMMYFUNCTION("""COMPUTED_VALUE"""),"KYAI KONTONG")</f>
        <v>KYAI KONTONG</v>
      </c>
      <c r="D9839" s="186">
        <f>IFERROR(__xludf.DUMMYFUNCTION("""COMPUTED_VALUE"""),10.0)</f>
        <v>10</v>
      </c>
    </row>
    <row r="9840">
      <c r="A9840" s="178" t="str">
        <f>IFERROR(__xludf.DUMMYFUNCTION("""COMPUTED_VALUE"""),"ITBISA-RESISTOR-10K-1/4W")</f>
        <v>ITBISA-RESISTOR-10K-1/4W</v>
      </c>
      <c r="B9840" s="266">
        <f>IFERROR(__xludf.DUMMYFUNCTION("""COMPUTED_VALUE"""),44961.0)</f>
        <v>44961</v>
      </c>
      <c r="C9840" s="266" t="str">
        <f>IFERROR(__xludf.DUMMYFUNCTION("""COMPUTED_VALUE"""),"KYAI KONTONG")</f>
        <v>KYAI KONTONG</v>
      </c>
      <c r="D9840" s="186">
        <f>IFERROR(__xludf.DUMMYFUNCTION("""COMPUTED_VALUE"""),20.0)</f>
        <v>20</v>
      </c>
    </row>
    <row r="9841">
      <c r="A9841" s="178" t="str">
        <f>IFERROR(__xludf.DUMMYFUNCTION("""COMPUTED_VALUE"""),"ITBISA-RESISTOR-10K-1/4W")</f>
        <v>ITBISA-RESISTOR-10K-1/4W</v>
      </c>
      <c r="B9841" s="266">
        <f>IFERROR(__xludf.DUMMYFUNCTION("""COMPUTED_VALUE"""),44976.0)</f>
        <v>44976</v>
      </c>
      <c r="C9841" s="266" t="str">
        <f>IFERROR(__xludf.DUMMYFUNCTION("""COMPUTED_VALUE"""),"KYAI KONTONG")</f>
        <v>KYAI KONTONG</v>
      </c>
      <c r="D9841" s="186">
        <f>IFERROR(__xludf.DUMMYFUNCTION("""COMPUTED_VALUE"""),10.0)</f>
        <v>10</v>
      </c>
    </row>
    <row r="9842">
      <c r="A9842" s="178" t="str">
        <f>IFERROR(__xludf.DUMMYFUNCTION("""COMPUTED_VALUE"""),"ITBISA-RESISTOR-10K-1/4W")</f>
        <v>ITBISA-RESISTOR-10K-1/4W</v>
      </c>
      <c r="B9842" s="266">
        <f>IFERROR(__xludf.DUMMYFUNCTION("""COMPUTED_VALUE"""),44987.0)</f>
        <v>44987</v>
      </c>
      <c r="C9842" s="266" t="str">
        <f>IFERROR(__xludf.DUMMYFUNCTION("""COMPUTED_VALUE"""),"KYAI KONTONG")</f>
        <v>KYAI KONTONG</v>
      </c>
      <c r="D9842" s="186">
        <f>IFERROR(__xludf.DUMMYFUNCTION("""COMPUTED_VALUE"""),10.0)</f>
        <v>10</v>
      </c>
    </row>
    <row r="9843">
      <c r="A9843" s="178" t="str">
        <f>IFERROR(__xludf.DUMMYFUNCTION("""COMPUTED_VALUE"""),"ITBISA-RESISTOR-10K-1/4W")</f>
        <v>ITBISA-RESISTOR-10K-1/4W</v>
      </c>
      <c r="B9843" s="266">
        <f>IFERROR(__xludf.DUMMYFUNCTION("""COMPUTED_VALUE"""),45020.0)</f>
        <v>45020</v>
      </c>
      <c r="C9843" s="266" t="str">
        <f>IFERROR(__xludf.DUMMYFUNCTION("""COMPUTED_VALUE"""),"KYAI KONTONG")</f>
        <v>KYAI KONTONG</v>
      </c>
      <c r="D9843" s="186">
        <f>IFERROR(__xludf.DUMMYFUNCTION("""COMPUTED_VALUE"""),100.0)</f>
        <v>100</v>
      </c>
    </row>
    <row r="9844">
      <c r="A9844" s="178" t="str">
        <f>IFERROR(__xludf.DUMMYFUNCTION("""COMPUTED_VALUE"""),"ITBISA-RESISTOR-10K-1/4W")</f>
        <v>ITBISA-RESISTOR-10K-1/4W</v>
      </c>
      <c r="B9844" s="266">
        <f>IFERROR(__xludf.DUMMYFUNCTION("""COMPUTED_VALUE"""),45022.0)</f>
        <v>45022</v>
      </c>
      <c r="C9844" s="266" t="str">
        <f>IFERROR(__xludf.DUMMYFUNCTION("""COMPUTED_VALUE"""),"KYAI KONTONG")</f>
        <v>KYAI KONTONG</v>
      </c>
      <c r="D9844" s="186">
        <f>IFERROR(__xludf.DUMMYFUNCTION("""COMPUTED_VALUE"""),10.0)</f>
        <v>10</v>
      </c>
    </row>
    <row r="9845">
      <c r="A9845" s="178" t="str">
        <f>IFERROR(__xludf.DUMMYFUNCTION("""COMPUTED_VALUE"""),"ITBISA-RESISTOR-10K-1/4W")</f>
        <v>ITBISA-RESISTOR-10K-1/4W</v>
      </c>
      <c r="B9845" s="266">
        <f>IFERROR(__xludf.DUMMYFUNCTION("""COMPUTED_VALUE"""),45030.0)</f>
        <v>45030</v>
      </c>
      <c r="C9845" s="266" t="str">
        <f>IFERROR(__xludf.DUMMYFUNCTION("""COMPUTED_VALUE"""),"KYAI KONTONG")</f>
        <v>KYAI KONTONG</v>
      </c>
      <c r="D9845" s="186">
        <f>IFERROR(__xludf.DUMMYFUNCTION("""COMPUTED_VALUE"""),30.0)</f>
        <v>30</v>
      </c>
    </row>
    <row r="9846">
      <c r="A9846" s="178" t="str">
        <f>IFERROR(__xludf.DUMMYFUNCTION("""COMPUTED_VALUE"""),"ITBISA-RESISTOR-10K-1/4W")</f>
        <v>ITBISA-RESISTOR-10K-1/4W</v>
      </c>
      <c r="B9846" s="266">
        <f>IFERROR(__xludf.DUMMYFUNCTION("""COMPUTED_VALUE"""),45088.0)</f>
        <v>45088</v>
      </c>
      <c r="C9846" s="266" t="str">
        <f>IFERROR(__xludf.DUMMYFUNCTION("""COMPUTED_VALUE"""),"KYAI KONTONG")</f>
        <v>KYAI KONTONG</v>
      </c>
      <c r="D9846" s="186">
        <f>IFERROR(__xludf.DUMMYFUNCTION("""COMPUTED_VALUE"""),10.0)</f>
        <v>10</v>
      </c>
    </row>
    <row r="9847">
      <c r="A9847" s="178" t="str">
        <f>IFERROR(__xludf.DUMMYFUNCTION("""COMPUTED_VALUE"""),"ITBISA-RESISTOR-10K-1/4W")</f>
        <v>ITBISA-RESISTOR-10K-1/4W</v>
      </c>
      <c r="B9847" s="266">
        <f>IFERROR(__xludf.DUMMYFUNCTION("""COMPUTED_VALUE"""),45355.0)</f>
        <v>45355</v>
      </c>
      <c r="C9847" s="266" t="str">
        <f>IFERROR(__xludf.DUMMYFUNCTION("""COMPUTED_VALUE"""),"KERTASARI CIAMIS")</f>
        <v>KERTASARI CIAMIS</v>
      </c>
      <c r="D9847" s="186">
        <f>IFERROR(__xludf.DUMMYFUNCTION("""COMPUTED_VALUE"""),100.0)</f>
        <v>100</v>
      </c>
    </row>
    <row r="9848">
      <c r="A9848" s="178" t="str">
        <f>IFERROR(__xludf.DUMMYFUNCTION("""COMPUTED_VALUE"""),"ITBISA-RESISTOR-10K-1/4W")</f>
        <v>ITBISA-RESISTOR-10K-1/4W</v>
      </c>
      <c r="B9848" s="266">
        <f>IFERROR(__xludf.DUMMYFUNCTION("""COMPUTED_VALUE"""),45380.0)</f>
        <v>45380</v>
      </c>
      <c r="C9848" s="266" t="str">
        <f>IFERROR(__xludf.DUMMYFUNCTION("""COMPUTED_VALUE"""),"KERTASARI CIAMIS")</f>
        <v>KERTASARI CIAMIS</v>
      </c>
      <c r="D9848" s="186">
        <f>IFERROR(__xludf.DUMMYFUNCTION("""COMPUTED_VALUE"""),10.0)</f>
        <v>10</v>
      </c>
    </row>
    <row r="9849">
      <c r="A9849" s="178" t="str">
        <f>IFERROR(__xludf.DUMMYFUNCTION("""COMPUTED_VALUE"""),"ITBISA-RESISTOR-10K-1/4W")</f>
        <v>ITBISA-RESISTOR-10K-1/4W</v>
      </c>
      <c r="B9849" s="266">
        <f>IFERROR(__xludf.DUMMYFUNCTION("""COMPUTED_VALUE"""),45396.0)</f>
        <v>45396</v>
      </c>
      <c r="C9849" s="266" t="str">
        <f>IFERROR(__xludf.DUMMYFUNCTION("""COMPUTED_VALUE"""),"KERTASARI CIAMIS")</f>
        <v>KERTASARI CIAMIS</v>
      </c>
      <c r="D9849" s="186">
        <f>IFERROR(__xludf.DUMMYFUNCTION("""COMPUTED_VALUE"""),50.0)</f>
        <v>50</v>
      </c>
    </row>
    <row r="9850">
      <c r="A9850" s="178" t="str">
        <f>IFERROR(__xludf.DUMMYFUNCTION("""COMPUTED_VALUE"""),"ITBISA-RESISTOR-10K-1/4W")</f>
        <v>ITBISA-RESISTOR-10K-1/4W</v>
      </c>
      <c r="B9850" s="266">
        <f>IFERROR(__xludf.DUMMYFUNCTION("""COMPUTED_VALUE"""),45438.0)</f>
        <v>45438</v>
      </c>
      <c r="C9850" s="266" t="str">
        <f>IFERROR(__xludf.DUMMYFUNCTION("""COMPUTED_VALUE"""),"KERTASARI CIAMIS")</f>
        <v>KERTASARI CIAMIS</v>
      </c>
      <c r="D9850" s="186">
        <f>IFERROR(__xludf.DUMMYFUNCTION("""COMPUTED_VALUE"""),200.0)</f>
        <v>200</v>
      </c>
    </row>
    <row r="9851">
      <c r="A9851" s="178" t="str">
        <f>IFERROR(__xludf.DUMMYFUNCTION("""COMPUTED_VALUE"""),"ITBISA-RESISTOR-10K-1/4W")</f>
        <v>ITBISA-RESISTOR-10K-1/4W</v>
      </c>
      <c r="B9851" s="266">
        <f>IFERROR(__xludf.DUMMYFUNCTION("""COMPUTED_VALUE"""),45449.0)</f>
        <v>45449</v>
      </c>
      <c r="C9851" s="266" t="str">
        <f>IFERROR(__xludf.DUMMYFUNCTION("""COMPUTED_VALUE"""),"KERTASARI CIAMIS")</f>
        <v>KERTASARI CIAMIS</v>
      </c>
      <c r="D9851" s="186">
        <f>IFERROR(__xludf.DUMMYFUNCTION("""COMPUTED_VALUE"""),50.0)</f>
        <v>50</v>
      </c>
    </row>
    <row r="9852">
      <c r="A9852" s="178" t="str">
        <f>IFERROR(__xludf.DUMMYFUNCTION("""COMPUTED_VALUE"""),"ITBISA-RESISTOR-10K-1/4W")</f>
        <v>ITBISA-RESISTOR-10K-1/4W</v>
      </c>
      <c r="B9852" s="266">
        <f>IFERROR(__xludf.DUMMYFUNCTION("""COMPUTED_VALUE"""),45494.0)</f>
        <v>45494</v>
      </c>
      <c r="C9852" s="266" t="str">
        <f>IFERROR(__xludf.DUMMYFUNCTION("""COMPUTED_VALUE"""),"KERTASARI CIAMIS")</f>
        <v>KERTASARI CIAMIS</v>
      </c>
      <c r="D9852" s="186">
        <f>IFERROR(__xludf.DUMMYFUNCTION("""COMPUTED_VALUE"""),100.0)</f>
        <v>100</v>
      </c>
    </row>
    <row r="9853">
      <c r="A9853" s="178" t="str">
        <f>IFERROR(__xludf.DUMMYFUNCTION("""COMPUTED_VALUE"""),"ITBISA-RESISTOR-10K-1/4W")</f>
        <v>ITBISA-RESISTOR-10K-1/4W</v>
      </c>
      <c r="B9853" s="266">
        <f>IFERROR(__xludf.DUMMYFUNCTION("""COMPUTED_VALUE"""),45524.0)</f>
        <v>45524</v>
      </c>
      <c r="C9853" s="266" t="str">
        <f>IFERROR(__xludf.DUMMYFUNCTION("""COMPUTED_VALUE"""),"KYAI KONTONG")</f>
        <v>KYAI KONTONG</v>
      </c>
      <c r="D9853" s="186">
        <f>IFERROR(__xludf.DUMMYFUNCTION("""COMPUTED_VALUE"""),10.0)</f>
        <v>10</v>
      </c>
    </row>
    <row r="9854">
      <c r="A9854" s="178" t="str">
        <f>IFERROR(__xludf.DUMMYFUNCTION("""COMPUTED_VALUE"""),"ITBISA-RESISTOR-10K-1/4W")</f>
        <v>ITBISA-RESISTOR-10K-1/4W</v>
      </c>
      <c r="B9854" s="266">
        <f>IFERROR(__xludf.DUMMYFUNCTION("""COMPUTED_VALUE"""),45539.0)</f>
        <v>45539</v>
      </c>
      <c r="C9854" s="266" t="str">
        <f>IFERROR(__xludf.DUMMYFUNCTION("""COMPUTED_VALUE"""),"KERTASARI CIAMIS")</f>
        <v>KERTASARI CIAMIS</v>
      </c>
      <c r="D9854" s="186">
        <f>IFERROR(__xludf.DUMMYFUNCTION("""COMPUTED_VALUE"""),10.0)</f>
        <v>10</v>
      </c>
    </row>
    <row r="9855">
      <c r="A9855" s="178" t="str">
        <f>IFERROR(__xludf.DUMMYFUNCTION("""COMPUTED_VALUE"""),"ITBISA-RESISTOR-10K-1/4W")</f>
        <v>ITBISA-RESISTOR-10K-1/4W</v>
      </c>
      <c r="B9855" s="266">
        <f>IFERROR(__xludf.DUMMYFUNCTION("""COMPUTED_VALUE"""),45539.0)</f>
        <v>45539</v>
      </c>
      <c r="C9855" s="266" t="str">
        <f>IFERROR(__xludf.DUMMYFUNCTION("""COMPUTED_VALUE"""),"KYAI KONTONG")</f>
        <v>KYAI KONTONG</v>
      </c>
      <c r="D9855" s="186">
        <f>IFERROR(__xludf.DUMMYFUNCTION("""COMPUTED_VALUE"""),100.0)</f>
        <v>100</v>
      </c>
    </row>
    <row r="9856">
      <c r="A9856" s="178" t="str">
        <f>IFERROR(__xludf.DUMMYFUNCTION("""COMPUTED_VALUE"""),"ITBISA-RESISTOR-10K-1/4W")</f>
        <v>ITBISA-RESISTOR-10K-1/4W</v>
      </c>
      <c r="B9856" s="266">
        <f>IFERROR(__xludf.DUMMYFUNCTION("""COMPUTED_VALUE"""),45565.0)</f>
        <v>45565</v>
      </c>
      <c r="C9856" s="266" t="str">
        <f>IFERROR(__xludf.DUMMYFUNCTION("""COMPUTED_VALUE"""),"KERTASARI CIAMIS")</f>
        <v>KERTASARI CIAMIS</v>
      </c>
      <c r="D9856" s="186">
        <f>IFERROR(__xludf.DUMMYFUNCTION("""COMPUTED_VALUE"""),25.0)</f>
        <v>25</v>
      </c>
    </row>
    <row r="9857">
      <c r="A9857" s="178" t="str">
        <f>IFERROR(__xludf.DUMMYFUNCTION("""COMPUTED_VALUE"""),"ITBISA-RESISTOR-10K-1/4W")</f>
        <v>ITBISA-RESISTOR-10K-1/4W</v>
      </c>
      <c r="B9857" s="266">
        <f>IFERROR(__xludf.DUMMYFUNCTION("""COMPUTED_VALUE"""),45707.0)</f>
        <v>45707</v>
      </c>
      <c r="C9857" s="266" t="str">
        <f>IFERROR(__xludf.DUMMYFUNCTION("""COMPUTED_VALUE"""),"KERTASARI CIAMIS")</f>
        <v>KERTASARI CIAMIS</v>
      </c>
      <c r="D9857" s="186">
        <f>IFERROR(__xludf.DUMMYFUNCTION("""COMPUTED_VALUE"""),10.0)</f>
        <v>10</v>
      </c>
    </row>
    <row r="9858">
      <c r="A9858" s="178" t="str">
        <f>IFERROR(__xludf.DUMMYFUNCTION("""COMPUTED_VALUE"""),"ITBISA-RESISTOR-10K-1/4W")</f>
        <v>ITBISA-RESISTOR-10K-1/4W</v>
      </c>
      <c r="B9858" s="266">
        <f>IFERROR(__xludf.DUMMYFUNCTION("""COMPUTED_VALUE"""),45748.0)</f>
        <v>45748</v>
      </c>
      <c r="C9858" s="266" t="str">
        <f>IFERROR(__xludf.DUMMYFUNCTION("""COMPUTED_VALUE"""),"KERTASARI CIAMIS")</f>
        <v>KERTASARI CIAMIS</v>
      </c>
      <c r="D9858" s="186">
        <f>IFERROR(__xludf.DUMMYFUNCTION("""COMPUTED_VALUE"""),10.0)</f>
        <v>10</v>
      </c>
    </row>
    <row r="9859">
      <c r="A9859" s="178" t="str">
        <f>IFERROR(__xludf.DUMMYFUNCTION("""COMPUTED_VALUE"""),"ITBISA-RESISTOR-10K-1/4W")</f>
        <v>ITBISA-RESISTOR-10K-1/4W</v>
      </c>
      <c r="B9859" s="266">
        <f>IFERROR(__xludf.DUMMYFUNCTION("""COMPUTED_VALUE"""),45758.0)</f>
        <v>45758</v>
      </c>
      <c r="C9859" s="266" t="str">
        <f>IFERROR(__xludf.DUMMYFUNCTION("""COMPUTED_VALUE"""),"KERTASARI CIAMIS")</f>
        <v>KERTASARI CIAMIS</v>
      </c>
      <c r="D9859" s="186">
        <f>IFERROR(__xludf.DUMMYFUNCTION("""COMPUTED_VALUE"""),10.0)</f>
        <v>10</v>
      </c>
    </row>
    <row r="9860">
      <c r="A9860" s="178" t="str">
        <f>IFERROR(__xludf.DUMMYFUNCTION("""COMPUTED_VALUE"""),"ITBISA-RESISTOR-10K-1/4W")</f>
        <v>ITBISA-RESISTOR-10K-1/4W</v>
      </c>
      <c r="B9860" s="266">
        <f>IFERROR(__xludf.DUMMYFUNCTION("""COMPUTED_VALUE"""),45763.0)</f>
        <v>45763</v>
      </c>
      <c r="C9860" s="266" t="str">
        <f>IFERROR(__xludf.DUMMYFUNCTION("""COMPUTED_VALUE"""),"KERTASARI CIAMIS")</f>
        <v>KERTASARI CIAMIS</v>
      </c>
      <c r="D9860" s="186">
        <f>IFERROR(__xludf.DUMMYFUNCTION("""COMPUTED_VALUE"""),10.0)</f>
        <v>10</v>
      </c>
    </row>
    <row r="9861">
      <c r="A9861" s="178" t="str">
        <f>IFERROR(__xludf.DUMMYFUNCTION("""COMPUTED_VALUE"""),"ITBISA-RESISTOR-10K-1/4W")</f>
        <v>ITBISA-RESISTOR-10K-1/4W</v>
      </c>
      <c r="B9861" s="266">
        <f>IFERROR(__xludf.DUMMYFUNCTION("""COMPUTED_VALUE"""),45775.0)</f>
        <v>45775</v>
      </c>
      <c r="C9861" s="266" t="str">
        <f>IFERROR(__xludf.DUMMYFUNCTION("""COMPUTED_VALUE"""),"KERTASARI CIAMIS")</f>
        <v>KERTASARI CIAMIS</v>
      </c>
      <c r="D9861" s="186">
        <f>IFERROR(__xludf.DUMMYFUNCTION("""COMPUTED_VALUE"""),10.0)</f>
        <v>10</v>
      </c>
    </row>
    <row r="9862">
      <c r="A9862" s="178" t="str">
        <f>IFERROR(__xludf.DUMMYFUNCTION("""COMPUTED_VALUE"""),"ITBISA-RESISTOR-10K-1/4W")</f>
        <v>ITBISA-RESISTOR-10K-1/4W</v>
      </c>
      <c r="B9862" s="266">
        <f>IFERROR(__xludf.DUMMYFUNCTION("""COMPUTED_VALUE"""),45785.0)</f>
        <v>45785</v>
      </c>
      <c r="C9862" s="266" t="str">
        <f>IFERROR(__xludf.DUMMYFUNCTION("""COMPUTED_VALUE"""),"KERTASARI CIAMIS")</f>
        <v>KERTASARI CIAMIS</v>
      </c>
      <c r="D9862" s="186">
        <f>IFERROR(__xludf.DUMMYFUNCTION("""COMPUTED_VALUE"""),10.0)</f>
        <v>10</v>
      </c>
    </row>
    <row r="9863">
      <c r="A9863" s="178" t="str">
        <f>IFERROR(__xludf.DUMMYFUNCTION("""COMPUTED_VALUE"""),"ITBISA-RESISTOR-10K-1/4W")</f>
        <v>ITBISA-RESISTOR-10K-1/4W</v>
      </c>
      <c r="B9863" s="266">
        <f>IFERROR(__xludf.DUMMYFUNCTION("""COMPUTED_VALUE"""),45934.0)</f>
        <v>45934</v>
      </c>
      <c r="C9863" s="266" t="str">
        <f>IFERROR(__xludf.DUMMYFUNCTION("""COMPUTED_VALUE"""),"KYAI KONTONG")</f>
        <v>KYAI KONTONG</v>
      </c>
      <c r="D9863" s="186">
        <f>IFERROR(__xludf.DUMMYFUNCTION("""COMPUTED_VALUE"""),20.0)</f>
        <v>20</v>
      </c>
    </row>
    <row r="9864">
      <c r="A9864" s="178" t="str">
        <f>IFERROR(__xludf.DUMMYFUNCTION("""COMPUTED_VALUE"""),"ITBISA-RESISTOR-10K-1/4W")</f>
        <v>ITBISA-RESISTOR-10K-1/4W</v>
      </c>
      <c r="B9864" s="266">
        <f>IFERROR(__xludf.DUMMYFUNCTION("""COMPUTED_VALUE"""),45947.0)</f>
        <v>45947</v>
      </c>
      <c r="C9864" s="266" t="str">
        <f>IFERROR(__xludf.DUMMYFUNCTION("""COMPUTED_VALUE"""),"KYAI KONTONG")</f>
        <v>KYAI KONTONG</v>
      </c>
      <c r="D9864" s="186">
        <f>IFERROR(__xludf.DUMMYFUNCTION("""COMPUTED_VALUE"""),10.0)</f>
        <v>10</v>
      </c>
    </row>
    <row r="9865">
      <c r="A9865" s="178" t="str">
        <f>IFERROR(__xludf.DUMMYFUNCTION("""COMPUTED_VALUE"""),"ITBISA-RESISTOR-10K-1/4W")</f>
        <v>ITBISA-RESISTOR-10K-1/4W</v>
      </c>
      <c r="B9865" s="266">
        <f>IFERROR(__xludf.DUMMYFUNCTION("""COMPUTED_VALUE"""),45953.0)</f>
        <v>45953</v>
      </c>
      <c r="C9865" s="266" t="str">
        <f>IFERROR(__xludf.DUMMYFUNCTION("""COMPUTED_VALUE"""),"KYAI KONTONG")</f>
        <v>KYAI KONTONG</v>
      </c>
      <c r="D9865" s="186">
        <f>IFERROR(__xludf.DUMMYFUNCTION("""COMPUTED_VALUE"""),20.0)</f>
        <v>20</v>
      </c>
    </row>
    <row r="9866">
      <c r="A9866" s="178" t="str">
        <f>IFERROR(__xludf.DUMMYFUNCTION("""COMPUTED_VALUE"""),"ITBISA-RESISTOR-10K-1/4W")</f>
        <v>ITBISA-RESISTOR-10K-1/4W</v>
      </c>
      <c r="B9866" s="266">
        <f>IFERROR(__xludf.DUMMYFUNCTION("""COMPUTED_VALUE"""),45955.0)</f>
        <v>45955</v>
      </c>
      <c r="C9866" s="266" t="str">
        <f>IFERROR(__xludf.DUMMYFUNCTION("""COMPUTED_VALUE"""),"KYAI KONTONG")</f>
        <v>KYAI KONTONG</v>
      </c>
      <c r="D9866" s="186">
        <f>IFERROR(__xludf.DUMMYFUNCTION("""COMPUTED_VALUE"""),10.0)</f>
        <v>10</v>
      </c>
    </row>
    <row r="9867">
      <c r="A9867" s="178" t="str">
        <f>IFERROR(__xludf.DUMMYFUNCTION("""COMPUTED_VALUE"""),"ITBISA-RESISTOR-10K-1/4W")</f>
        <v>ITBISA-RESISTOR-10K-1/4W</v>
      </c>
      <c r="B9867" s="266">
        <f>IFERROR(__xludf.DUMMYFUNCTION("""COMPUTED_VALUE"""),45964.0)</f>
        <v>45964</v>
      </c>
      <c r="C9867" s="266" t="str">
        <f>IFERROR(__xludf.DUMMYFUNCTION("""COMPUTED_VALUE"""),"KYAI KONTONG")</f>
        <v>KYAI KONTONG</v>
      </c>
      <c r="D9867" s="186">
        <f>IFERROR(__xludf.DUMMYFUNCTION("""COMPUTED_VALUE"""),10.0)</f>
        <v>10</v>
      </c>
    </row>
    <row r="9868">
      <c r="A9868" s="178" t="str">
        <f>IFERROR(__xludf.DUMMYFUNCTION("""COMPUTED_VALUE"""),"ITBISA-RESISTOR-10K-1/4W")</f>
        <v>ITBISA-RESISTOR-10K-1/4W</v>
      </c>
      <c r="B9868" s="266">
        <f>IFERROR(__xludf.DUMMYFUNCTION("""COMPUTED_VALUE"""),45964.0)</f>
        <v>45964</v>
      </c>
      <c r="C9868" s="266" t="str">
        <f>IFERROR(__xludf.DUMMYFUNCTION("""COMPUTED_VALUE"""),"KYAI KONTONG")</f>
        <v>KYAI KONTONG</v>
      </c>
      <c r="D9868" s="186">
        <f>IFERROR(__xludf.DUMMYFUNCTION("""COMPUTED_VALUE"""),100.0)</f>
        <v>100</v>
      </c>
    </row>
    <row r="9869">
      <c r="A9869" s="178" t="str">
        <f>IFERROR(__xludf.DUMMYFUNCTION("""COMPUTED_VALUE"""),"ITBISA-RESISTOR-10K-1/4W")</f>
        <v>ITBISA-RESISTOR-10K-1/4W</v>
      </c>
      <c r="B9869" s="266">
        <f>IFERROR(__xludf.DUMMYFUNCTION("""COMPUTED_VALUE"""),45965.0)</f>
        <v>45965</v>
      </c>
      <c r="C9869" s="266" t="str">
        <f>IFERROR(__xludf.DUMMYFUNCTION("""COMPUTED_VALUE"""),"KYAI KONTONG")</f>
        <v>KYAI KONTONG</v>
      </c>
      <c r="D9869" s="186">
        <f>IFERROR(__xludf.DUMMYFUNCTION("""COMPUTED_VALUE"""),10.0)</f>
        <v>10</v>
      </c>
    </row>
    <row r="9870">
      <c r="A9870" s="178" t="str">
        <f>IFERROR(__xludf.DUMMYFUNCTION("""COMPUTED_VALUE"""),"ITBISA-RESISTOR-10K-1/4W")</f>
        <v>ITBISA-RESISTOR-10K-1/4W</v>
      </c>
      <c r="B9870" s="266">
        <f>IFERROR(__xludf.DUMMYFUNCTION("""COMPUTED_VALUE"""),45966.0)</f>
        <v>45966</v>
      </c>
      <c r="C9870" s="266" t="str">
        <f>IFERROR(__xludf.DUMMYFUNCTION("""COMPUTED_VALUE"""),"KYAI KONTONG")</f>
        <v>KYAI KONTONG</v>
      </c>
      <c r="D9870" s="186">
        <f>IFERROR(__xludf.DUMMYFUNCTION("""COMPUTED_VALUE"""),10.0)</f>
        <v>10</v>
      </c>
    </row>
    <row r="9871">
      <c r="A9871" s="178" t="str">
        <f>IFERROR(__xludf.DUMMYFUNCTION("""COMPUTED_VALUE"""),"ITBISA-RESISTOR-10K-1/4W")</f>
        <v>ITBISA-RESISTOR-10K-1/4W</v>
      </c>
      <c r="B9871" s="266">
        <f>IFERROR(__xludf.DUMMYFUNCTION("""COMPUTED_VALUE"""),45977.0)</f>
        <v>45977</v>
      </c>
      <c r="C9871" s="266" t="str">
        <f>IFERROR(__xludf.DUMMYFUNCTION("""COMPUTED_VALUE"""),"KYAI KONTONG")</f>
        <v>KYAI KONTONG</v>
      </c>
      <c r="D9871" s="186">
        <f>IFERROR(__xludf.DUMMYFUNCTION("""COMPUTED_VALUE"""),10.0)</f>
        <v>10</v>
      </c>
    </row>
    <row r="9872">
      <c r="A9872" s="178" t="str">
        <f>IFERROR(__xludf.DUMMYFUNCTION("""COMPUTED_VALUE"""),"ITBISA-RESISTOR-10K-1/4W")</f>
        <v>ITBISA-RESISTOR-10K-1/4W</v>
      </c>
      <c r="B9872" s="266">
        <f>IFERROR(__xludf.DUMMYFUNCTION("""COMPUTED_VALUE"""),45980.0)</f>
        <v>45980</v>
      </c>
      <c r="C9872" s="266" t="str">
        <f>IFERROR(__xludf.DUMMYFUNCTION("""COMPUTED_VALUE"""),"KYAI KONTONG")</f>
        <v>KYAI KONTONG</v>
      </c>
      <c r="D9872" s="186">
        <f>IFERROR(__xludf.DUMMYFUNCTION("""COMPUTED_VALUE"""),10.0)</f>
        <v>10</v>
      </c>
    </row>
    <row r="9873">
      <c r="A9873" s="178" t="str">
        <f>IFERROR(__xludf.DUMMYFUNCTION("""COMPUTED_VALUE"""),"ITBISA-RESISTOR-10K-1/4W")</f>
        <v>ITBISA-RESISTOR-10K-1/4W</v>
      </c>
      <c r="B9873" s="266">
        <f>IFERROR(__xludf.DUMMYFUNCTION("""COMPUTED_VALUE"""),45991.0)</f>
        <v>45991</v>
      </c>
      <c r="C9873" s="266" t="str">
        <f>IFERROR(__xludf.DUMMYFUNCTION("""COMPUTED_VALUE"""),"KYAI KONTONG")</f>
        <v>KYAI KONTONG</v>
      </c>
      <c r="D9873" s="186">
        <f>IFERROR(__xludf.DUMMYFUNCTION("""COMPUTED_VALUE"""),2.0)</f>
        <v>2</v>
      </c>
    </row>
    <row r="9874">
      <c r="A9874" s="178" t="str">
        <f>IFERROR(__xludf.DUMMYFUNCTION("""COMPUTED_VALUE"""),"ITBISA-RESISTOR-10K-1/4W")</f>
        <v>ITBISA-RESISTOR-10K-1/4W</v>
      </c>
      <c r="B9874" s="266">
        <f>IFERROR(__xludf.DUMMYFUNCTION("""COMPUTED_VALUE"""),45996.0)</f>
        <v>45996</v>
      </c>
      <c r="C9874" s="266" t="str">
        <f>IFERROR(__xludf.DUMMYFUNCTION("""COMPUTED_VALUE"""),"KYAI KONTONG")</f>
        <v>KYAI KONTONG</v>
      </c>
      <c r="D9874" s="186">
        <f>IFERROR(__xludf.DUMMYFUNCTION("""COMPUTED_VALUE"""),100.0)</f>
        <v>100</v>
      </c>
    </row>
    <row r="9875">
      <c r="A9875" s="178" t="str">
        <f>IFERROR(__xludf.DUMMYFUNCTION("""COMPUTED_VALUE"""),"ITBISA-RESISTOR-10K-1/4W")</f>
        <v>ITBISA-RESISTOR-10K-1/4W</v>
      </c>
      <c r="B9875" s="266">
        <f>IFERROR(__xludf.DUMMYFUNCTION("""COMPUTED_VALUE"""),45997.0)</f>
        <v>45997</v>
      </c>
      <c r="C9875" s="266" t="str">
        <f>IFERROR(__xludf.DUMMYFUNCTION("""COMPUTED_VALUE"""),"KERTASARI CIAMIS")</f>
        <v>KERTASARI CIAMIS</v>
      </c>
      <c r="D9875" s="186">
        <f>IFERROR(__xludf.DUMMYFUNCTION("""COMPUTED_VALUE"""),10.0)</f>
        <v>10</v>
      </c>
    </row>
    <row r="9876">
      <c r="A9876" s="178" t="str">
        <f>IFERROR(__xludf.DUMMYFUNCTION("""COMPUTED_VALUE"""),"ITBISA-RESISTOR-10K-1/4W")</f>
        <v>ITBISA-RESISTOR-10K-1/4W</v>
      </c>
      <c r="B9876" s="266">
        <f>IFERROR(__xludf.DUMMYFUNCTION("""COMPUTED_VALUE"""),46003.0)</f>
        <v>46003</v>
      </c>
      <c r="C9876" s="266" t="str">
        <f>IFERROR(__xludf.DUMMYFUNCTION("""COMPUTED_VALUE"""),"KYAI KONTONG")</f>
        <v>KYAI KONTONG</v>
      </c>
      <c r="D9876" s="186">
        <f>IFERROR(__xludf.DUMMYFUNCTION("""COMPUTED_VALUE"""),10.0)</f>
        <v>10</v>
      </c>
    </row>
    <row r="9877">
      <c r="A9877" s="178" t="str">
        <f>IFERROR(__xludf.DUMMYFUNCTION("""COMPUTED_VALUE"""),"ITBISA-RESISTOR-10K-1/4W")</f>
        <v>ITBISA-RESISTOR-10K-1/4W</v>
      </c>
      <c r="B9877" s="266">
        <f>IFERROR(__xludf.DUMMYFUNCTION("""COMPUTED_VALUE"""),46006.0)</f>
        <v>46006</v>
      </c>
      <c r="C9877" s="266" t="str">
        <f>IFERROR(__xludf.DUMMYFUNCTION("""COMPUTED_VALUE"""),"KYAI KONTONG")</f>
        <v>KYAI KONTONG</v>
      </c>
      <c r="D9877" s="186">
        <f>IFERROR(__xludf.DUMMYFUNCTION("""COMPUTED_VALUE"""),20.0)</f>
        <v>20</v>
      </c>
    </row>
    <row r="9878">
      <c r="A9878" s="178" t="str">
        <f>IFERROR(__xludf.DUMMYFUNCTION("""COMPUTED_VALUE"""),"ITBISA-RESISTOR-10K-1/4W")</f>
        <v>ITBISA-RESISTOR-10K-1/4W</v>
      </c>
      <c r="B9878" s="266">
        <f>IFERROR(__xludf.DUMMYFUNCTION("""COMPUTED_VALUE"""),46018.0)</f>
        <v>46018</v>
      </c>
      <c r="C9878" s="266" t="str">
        <f>IFERROR(__xludf.DUMMYFUNCTION("""COMPUTED_VALUE"""),"KYAI KONTONG")</f>
        <v>KYAI KONTONG</v>
      </c>
      <c r="D9878" s="186">
        <f>IFERROR(__xludf.DUMMYFUNCTION("""COMPUTED_VALUE"""),20.0)</f>
        <v>20</v>
      </c>
    </row>
    <row r="9879">
      <c r="A9879" s="178" t="str">
        <f>IFERROR(__xludf.DUMMYFUNCTION("""COMPUTED_VALUE"""),"ITBISA-RESISTOR-15K-1/4W")</f>
        <v>ITBISA-RESISTOR-15K-1/4W</v>
      </c>
      <c r="B9879" s="266">
        <f>IFERROR(__xludf.DUMMYFUNCTION("""COMPUTED_VALUE"""),44931.0)</f>
        <v>44931</v>
      </c>
      <c r="C9879" s="266" t="str">
        <f>IFERROR(__xludf.DUMMYFUNCTION("""COMPUTED_VALUE"""),"KYAI KONTONG")</f>
        <v>KYAI KONTONG</v>
      </c>
      <c r="D9879" s="186">
        <f>IFERROR(__xludf.DUMMYFUNCTION("""COMPUTED_VALUE"""),10.0)</f>
        <v>10</v>
      </c>
    </row>
    <row r="9880">
      <c r="A9880" s="178" t="str">
        <f>IFERROR(__xludf.DUMMYFUNCTION("""COMPUTED_VALUE"""),"ITBISA-RESISTOR-15K-1/4W")</f>
        <v>ITBISA-RESISTOR-15K-1/4W</v>
      </c>
      <c r="B9880" s="266">
        <f>IFERROR(__xludf.DUMMYFUNCTION("""COMPUTED_VALUE"""),44954.0)</f>
        <v>44954</v>
      </c>
      <c r="C9880" s="266" t="str">
        <f>IFERROR(__xludf.DUMMYFUNCTION("""COMPUTED_VALUE"""),"KYAI KONTONG")</f>
        <v>KYAI KONTONG</v>
      </c>
      <c r="D9880" s="186">
        <f>IFERROR(__xludf.DUMMYFUNCTION("""COMPUTED_VALUE"""),10.0)</f>
        <v>10</v>
      </c>
    </row>
    <row r="9881">
      <c r="A9881" s="178" t="str">
        <f>IFERROR(__xludf.DUMMYFUNCTION("""COMPUTED_VALUE"""),"ITBISA-RESISTOR-15K-1/4W")</f>
        <v>ITBISA-RESISTOR-15K-1/4W</v>
      </c>
      <c r="B9881" s="266">
        <f>IFERROR(__xludf.DUMMYFUNCTION("""COMPUTED_VALUE"""),45088.0)</f>
        <v>45088</v>
      </c>
      <c r="C9881" s="266" t="str">
        <f>IFERROR(__xludf.DUMMYFUNCTION("""COMPUTED_VALUE"""),"KYAI KONTONG")</f>
        <v>KYAI KONTONG</v>
      </c>
      <c r="D9881" s="186">
        <f>IFERROR(__xludf.DUMMYFUNCTION("""COMPUTED_VALUE"""),30.0)</f>
        <v>30</v>
      </c>
    </row>
    <row r="9882">
      <c r="A9882" s="178" t="str">
        <f>IFERROR(__xludf.DUMMYFUNCTION("""COMPUTED_VALUE"""),"ITBISA-RESISTOR-15K-1/4W")</f>
        <v>ITBISA-RESISTOR-15K-1/4W</v>
      </c>
      <c r="B9882" s="266">
        <f>IFERROR(__xludf.DUMMYFUNCTION("""COMPUTED_VALUE"""),45202.0)</f>
        <v>45202</v>
      </c>
      <c r="C9882" s="266" t="str">
        <f>IFERROR(__xludf.DUMMYFUNCTION("""COMPUTED_VALUE"""),"KYAI KONTONG")</f>
        <v>KYAI KONTONG</v>
      </c>
      <c r="D9882" s="186">
        <f>IFERROR(__xludf.DUMMYFUNCTION("""COMPUTED_VALUE"""),100.0)</f>
        <v>100</v>
      </c>
    </row>
    <row r="9883">
      <c r="A9883" s="178" t="str">
        <f>IFERROR(__xludf.DUMMYFUNCTION("""COMPUTED_VALUE"""),"ITBISA-RESISTOR-15K-1/4W")</f>
        <v>ITBISA-RESISTOR-15K-1/4W</v>
      </c>
      <c r="B9883" s="266">
        <f>IFERROR(__xludf.DUMMYFUNCTION("""COMPUTED_VALUE"""),45271.0)</f>
        <v>45271</v>
      </c>
      <c r="C9883" s="266" t="str">
        <f>IFERROR(__xludf.DUMMYFUNCTION("""COMPUTED_VALUE"""),"KYAI KONTONG")</f>
        <v>KYAI KONTONG</v>
      </c>
      <c r="D9883" s="186">
        <f>IFERROR(__xludf.DUMMYFUNCTION("""COMPUTED_VALUE"""),100.0)</f>
        <v>100</v>
      </c>
    </row>
    <row r="9884">
      <c r="A9884" s="178" t="str">
        <f>IFERROR(__xludf.DUMMYFUNCTION("""COMPUTED_VALUE"""),"ITBISA-RESISTOR-15K-1/4W")</f>
        <v>ITBISA-RESISTOR-15K-1/4W</v>
      </c>
      <c r="B9884" s="266">
        <f>IFERROR(__xludf.DUMMYFUNCTION("""COMPUTED_VALUE"""),45353.0)</f>
        <v>45353</v>
      </c>
      <c r="C9884" s="266" t="str">
        <f>IFERROR(__xludf.DUMMYFUNCTION("""COMPUTED_VALUE"""),"KYAI KONTONG")</f>
        <v>KYAI KONTONG</v>
      </c>
      <c r="D9884" s="186">
        <f>IFERROR(__xludf.DUMMYFUNCTION("""COMPUTED_VALUE"""),20.0)</f>
        <v>20</v>
      </c>
    </row>
    <row r="9885">
      <c r="A9885" s="178" t="str">
        <f>IFERROR(__xludf.DUMMYFUNCTION("""COMPUTED_VALUE"""),"ITBISA-RESISTOR-15K-1/4W")</f>
        <v>ITBISA-RESISTOR-15K-1/4W</v>
      </c>
      <c r="B9885" s="266">
        <f>IFERROR(__xludf.DUMMYFUNCTION("""COMPUTED_VALUE"""),45388.0)</f>
        <v>45388</v>
      </c>
      <c r="C9885" s="266" t="str">
        <f>IFERROR(__xludf.DUMMYFUNCTION("""COMPUTED_VALUE"""),"KYAI KONTONG")</f>
        <v>KYAI KONTONG</v>
      </c>
      <c r="D9885" s="186">
        <f>IFERROR(__xludf.DUMMYFUNCTION("""COMPUTED_VALUE"""),10.0)</f>
        <v>10</v>
      </c>
    </row>
    <row r="9886">
      <c r="A9886" s="178" t="str">
        <f>IFERROR(__xludf.DUMMYFUNCTION("""COMPUTED_VALUE"""),"ITBISA-RESISTOR-15K-1/4W")</f>
        <v>ITBISA-RESISTOR-15K-1/4W</v>
      </c>
      <c r="B9886" s="266">
        <f>IFERROR(__xludf.DUMMYFUNCTION("""COMPUTED_VALUE"""),45415.0)</f>
        <v>45415</v>
      </c>
      <c r="C9886" s="266" t="str">
        <f>IFERROR(__xludf.DUMMYFUNCTION("""COMPUTED_VALUE"""),"KERTASARI CIAMIS")</f>
        <v>KERTASARI CIAMIS</v>
      </c>
      <c r="D9886" s="186">
        <f>IFERROR(__xludf.DUMMYFUNCTION("""COMPUTED_VALUE"""),100.0)</f>
        <v>100</v>
      </c>
    </row>
    <row r="9887">
      <c r="A9887" s="178" t="str">
        <f>IFERROR(__xludf.DUMMYFUNCTION("""COMPUTED_VALUE"""),"ITBISA-RESISTOR-15K-1/4W")</f>
        <v>ITBISA-RESISTOR-15K-1/4W</v>
      </c>
      <c r="B9887" s="266">
        <f>IFERROR(__xludf.DUMMYFUNCTION("""COMPUTED_VALUE"""),45991.0)</f>
        <v>45991</v>
      </c>
      <c r="C9887" s="266" t="str">
        <f>IFERROR(__xludf.DUMMYFUNCTION("""COMPUTED_VALUE"""),"KYAI KONTONG")</f>
        <v>KYAI KONTONG</v>
      </c>
      <c r="D9887" s="186">
        <f>IFERROR(__xludf.DUMMYFUNCTION("""COMPUTED_VALUE"""),2.0)</f>
        <v>2</v>
      </c>
    </row>
    <row r="9888">
      <c r="A9888" s="178" t="str">
        <f>IFERROR(__xludf.DUMMYFUNCTION("""COMPUTED_VALUE"""),"ITBISA-RESISTOR-15K-1/4W")</f>
        <v>ITBISA-RESISTOR-15K-1/4W</v>
      </c>
      <c r="B9888" s="266">
        <f>IFERROR(__xludf.DUMMYFUNCTION("""COMPUTED_VALUE"""),45997.0)</f>
        <v>45997</v>
      </c>
      <c r="C9888" s="266" t="str">
        <f>IFERROR(__xludf.DUMMYFUNCTION("""COMPUTED_VALUE"""),"KERTASARI CIAMIS")</f>
        <v>KERTASARI CIAMIS</v>
      </c>
      <c r="D9888" s="186">
        <f>IFERROR(__xludf.DUMMYFUNCTION("""COMPUTED_VALUE"""),10.0)</f>
        <v>10</v>
      </c>
    </row>
    <row r="9889">
      <c r="A9889" s="178" t="str">
        <f>IFERROR(__xludf.DUMMYFUNCTION("""COMPUTED_VALUE"""),"ITBISA-RESISTOR-18K-1/4W")</f>
        <v>ITBISA-RESISTOR-18K-1/4W</v>
      </c>
      <c r="B9889" s="266">
        <f>IFERROR(__xludf.DUMMYFUNCTION("""COMPUTED_VALUE"""),45965.0)</f>
        <v>45965</v>
      </c>
      <c r="C9889" s="266" t="str">
        <f>IFERROR(__xludf.DUMMYFUNCTION("""COMPUTED_VALUE"""),"KYAI KONTONG")</f>
        <v>KYAI KONTONG</v>
      </c>
      <c r="D9889" s="186">
        <f>IFERROR(__xludf.DUMMYFUNCTION("""COMPUTED_VALUE"""),10.0)</f>
        <v>10</v>
      </c>
    </row>
    <row r="9890">
      <c r="A9890" s="178" t="str">
        <f>IFERROR(__xludf.DUMMYFUNCTION("""COMPUTED_VALUE"""),"ITBISA-RESISTOR-1K-1/4W")</f>
        <v>ITBISA-RESISTOR-1K-1/4W</v>
      </c>
      <c r="B9890" s="266">
        <f>IFERROR(__xludf.DUMMYFUNCTION("""COMPUTED_VALUE"""),44835.0)</f>
        <v>44835</v>
      </c>
      <c r="C9890" s="266" t="str">
        <f>IFERROR(__xludf.DUMMYFUNCTION("""COMPUTED_VALUE"""),"KYAI KONTONG")</f>
        <v>KYAI KONTONG</v>
      </c>
      <c r="D9890" s="186">
        <f>IFERROR(__xludf.DUMMYFUNCTION("""COMPUTED_VALUE"""),10.0)</f>
        <v>10</v>
      </c>
    </row>
    <row r="9891">
      <c r="A9891" s="178" t="str">
        <f>IFERROR(__xludf.DUMMYFUNCTION("""COMPUTED_VALUE"""),"ITBISA-RESISTOR-1K-1/4W")</f>
        <v>ITBISA-RESISTOR-1K-1/4W</v>
      </c>
      <c r="B9891" s="266">
        <f>IFERROR(__xludf.DUMMYFUNCTION("""COMPUTED_VALUE"""),44844.0)</f>
        <v>44844</v>
      </c>
      <c r="C9891" s="266" t="str">
        <f>IFERROR(__xludf.DUMMYFUNCTION("""COMPUTED_VALUE"""),"KYAI KONTONG")</f>
        <v>KYAI KONTONG</v>
      </c>
      <c r="D9891" s="186">
        <f>IFERROR(__xludf.DUMMYFUNCTION("""COMPUTED_VALUE"""),10.0)</f>
        <v>10</v>
      </c>
    </row>
    <row r="9892">
      <c r="A9892" s="178" t="str">
        <f>IFERROR(__xludf.DUMMYFUNCTION("""COMPUTED_VALUE"""),"ITBISA-RESISTOR-1K-1/4W")</f>
        <v>ITBISA-RESISTOR-1K-1/4W</v>
      </c>
      <c r="B9892" s="266">
        <f>IFERROR(__xludf.DUMMYFUNCTION("""COMPUTED_VALUE"""),44850.0)</f>
        <v>44850</v>
      </c>
      <c r="C9892" s="266" t="str">
        <f>IFERROR(__xludf.DUMMYFUNCTION("""COMPUTED_VALUE"""),"KYAI KONTONG")</f>
        <v>KYAI KONTONG</v>
      </c>
      <c r="D9892" s="186">
        <f>IFERROR(__xludf.DUMMYFUNCTION("""COMPUTED_VALUE"""),10.0)</f>
        <v>10</v>
      </c>
    </row>
    <row r="9893">
      <c r="A9893" s="178" t="str">
        <f>IFERROR(__xludf.DUMMYFUNCTION("""COMPUTED_VALUE"""),"ITBISA-RESISTOR-1K-1/4W")</f>
        <v>ITBISA-RESISTOR-1K-1/4W</v>
      </c>
      <c r="B9893" s="266">
        <f>IFERROR(__xludf.DUMMYFUNCTION("""COMPUTED_VALUE"""),44927.0)</f>
        <v>44927</v>
      </c>
      <c r="C9893" s="266" t="str">
        <f>IFERROR(__xludf.DUMMYFUNCTION("""COMPUTED_VALUE"""),"KYAI KONTONG")</f>
        <v>KYAI KONTONG</v>
      </c>
      <c r="D9893" s="186">
        <f>IFERROR(__xludf.DUMMYFUNCTION("""COMPUTED_VALUE"""),100.0)</f>
        <v>100</v>
      </c>
    </row>
    <row r="9894">
      <c r="A9894" s="178" t="str">
        <f>IFERROR(__xludf.DUMMYFUNCTION("""COMPUTED_VALUE"""),"ITBISA-RESISTOR-1K-1/4W")</f>
        <v>ITBISA-RESISTOR-1K-1/4W</v>
      </c>
      <c r="B9894" s="266">
        <f>IFERROR(__xludf.DUMMYFUNCTION("""COMPUTED_VALUE"""),44934.0)</f>
        <v>44934</v>
      </c>
      <c r="C9894" s="266" t="str">
        <f>IFERROR(__xludf.DUMMYFUNCTION("""COMPUTED_VALUE"""),"KYAI KONTONG")</f>
        <v>KYAI KONTONG</v>
      </c>
      <c r="D9894" s="186">
        <f>IFERROR(__xludf.DUMMYFUNCTION("""COMPUTED_VALUE"""),10.0)</f>
        <v>10</v>
      </c>
    </row>
    <row r="9895">
      <c r="A9895" s="178" t="str">
        <f>IFERROR(__xludf.DUMMYFUNCTION("""COMPUTED_VALUE"""),"ITBISA-RESISTOR-1K-1/4W")</f>
        <v>ITBISA-RESISTOR-1K-1/4W</v>
      </c>
      <c r="B9895" s="266">
        <f>IFERROR(__xludf.DUMMYFUNCTION("""COMPUTED_VALUE"""),44937.0)</f>
        <v>44937</v>
      </c>
      <c r="C9895" s="266" t="str">
        <f>IFERROR(__xludf.DUMMYFUNCTION("""COMPUTED_VALUE"""),"KYAI KONTONG")</f>
        <v>KYAI KONTONG</v>
      </c>
      <c r="D9895" s="186">
        <f>IFERROR(__xludf.DUMMYFUNCTION("""COMPUTED_VALUE"""),100.0)</f>
        <v>100</v>
      </c>
    </row>
    <row r="9896">
      <c r="A9896" s="178" t="str">
        <f>IFERROR(__xludf.DUMMYFUNCTION("""COMPUTED_VALUE"""),"ITBISA-RESISTOR-1K-1/4W")</f>
        <v>ITBISA-RESISTOR-1K-1/4W</v>
      </c>
      <c r="B9896" s="266">
        <f>IFERROR(__xludf.DUMMYFUNCTION("""COMPUTED_VALUE"""),44938.0)</f>
        <v>44938</v>
      </c>
      <c r="C9896" s="266" t="str">
        <f>IFERROR(__xludf.DUMMYFUNCTION("""COMPUTED_VALUE"""),"KYAI KONTONG")</f>
        <v>KYAI KONTONG</v>
      </c>
      <c r="D9896" s="186">
        <f>IFERROR(__xludf.DUMMYFUNCTION("""COMPUTED_VALUE"""),20.0)</f>
        <v>20</v>
      </c>
    </row>
    <row r="9897">
      <c r="A9897" s="178" t="str">
        <f>IFERROR(__xludf.DUMMYFUNCTION("""COMPUTED_VALUE"""),"ITBISA-RESISTOR-1K-1/4W")</f>
        <v>ITBISA-RESISTOR-1K-1/4W</v>
      </c>
      <c r="B9897" s="266">
        <f>IFERROR(__xludf.DUMMYFUNCTION("""COMPUTED_VALUE"""),44949.0)</f>
        <v>44949</v>
      </c>
      <c r="C9897" s="266" t="str">
        <f>IFERROR(__xludf.DUMMYFUNCTION("""COMPUTED_VALUE"""),"KYAI KONTONG")</f>
        <v>KYAI KONTONG</v>
      </c>
      <c r="D9897" s="186">
        <f>IFERROR(__xludf.DUMMYFUNCTION("""COMPUTED_VALUE"""),100.0)</f>
        <v>100</v>
      </c>
    </row>
    <row r="9898">
      <c r="A9898" s="178" t="str">
        <f>IFERROR(__xludf.DUMMYFUNCTION("""COMPUTED_VALUE"""),"ITBISA-RESISTOR-1K-1/4W")</f>
        <v>ITBISA-RESISTOR-1K-1/4W</v>
      </c>
      <c r="B9898" s="266">
        <f>IFERROR(__xludf.DUMMYFUNCTION("""COMPUTED_VALUE"""),44951.0)</f>
        <v>44951</v>
      </c>
      <c r="C9898" s="266" t="str">
        <f>IFERROR(__xludf.DUMMYFUNCTION("""COMPUTED_VALUE"""),"KYAI KONTONG")</f>
        <v>KYAI KONTONG</v>
      </c>
      <c r="D9898" s="186">
        <f>IFERROR(__xludf.DUMMYFUNCTION("""COMPUTED_VALUE"""),10.0)</f>
        <v>10</v>
      </c>
    </row>
    <row r="9899">
      <c r="A9899" s="178" t="str">
        <f>IFERROR(__xludf.DUMMYFUNCTION("""COMPUTED_VALUE"""),"ITBISA-RESISTOR-1K-1/4W")</f>
        <v>ITBISA-RESISTOR-1K-1/4W</v>
      </c>
      <c r="B9899" s="266">
        <f>IFERROR(__xludf.DUMMYFUNCTION("""COMPUTED_VALUE"""),44954.0)</f>
        <v>44954</v>
      </c>
      <c r="C9899" s="266" t="str">
        <f>IFERROR(__xludf.DUMMYFUNCTION("""COMPUTED_VALUE"""),"KYAI KONTONG")</f>
        <v>KYAI KONTONG</v>
      </c>
      <c r="D9899" s="186">
        <f>IFERROR(__xludf.DUMMYFUNCTION("""COMPUTED_VALUE"""),10.0)</f>
        <v>10</v>
      </c>
    </row>
    <row r="9900">
      <c r="A9900" s="178" t="str">
        <f>IFERROR(__xludf.DUMMYFUNCTION("""COMPUTED_VALUE"""),"ITBISA-RESISTOR-1K-1/4W")</f>
        <v>ITBISA-RESISTOR-1K-1/4W</v>
      </c>
      <c r="B9900" s="266">
        <f>IFERROR(__xludf.DUMMYFUNCTION("""COMPUTED_VALUE"""),44957.0)</f>
        <v>44957</v>
      </c>
      <c r="C9900" s="266" t="str">
        <f>IFERROR(__xludf.DUMMYFUNCTION("""COMPUTED_VALUE"""),"KYAI KONTONG")</f>
        <v>KYAI KONTONG</v>
      </c>
      <c r="D9900" s="186">
        <f>IFERROR(__xludf.DUMMYFUNCTION("""COMPUTED_VALUE"""),10.0)</f>
        <v>10</v>
      </c>
    </row>
    <row r="9901">
      <c r="A9901" s="178" t="str">
        <f>IFERROR(__xludf.DUMMYFUNCTION("""COMPUTED_VALUE"""),"ITBISA-RESISTOR-1K-1/4W")</f>
        <v>ITBISA-RESISTOR-1K-1/4W</v>
      </c>
      <c r="B9901" s="266">
        <f>IFERROR(__xludf.DUMMYFUNCTION("""COMPUTED_VALUE"""),44977.0)</f>
        <v>44977</v>
      </c>
      <c r="C9901" s="266" t="str">
        <f>IFERROR(__xludf.DUMMYFUNCTION("""COMPUTED_VALUE"""),"KYAI KONTONG")</f>
        <v>KYAI KONTONG</v>
      </c>
      <c r="D9901" s="186">
        <f>IFERROR(__xludf.DUMMYFUNCTION("""COMPUTED_VALUE"""),20.0)</f>
        <v>20</v>
      </c>
    </row>
    <row r="9902">
      <c r="A9902" s="178" t="str">
        <f>IFERROR(__xludf.DUMMYFUNCTION("""COMPUTED_VALUE"""),"ITBISA-RESISTOR-1K-1/4W")</f>
        <v>ITBISA-RESISTOR-1K-1/4W</v>
      </c>
      <c r="B9902" s="266">
        <f>IFERROR(__xludf.DUMMYFUNCTION("""COMPUTED_VALUE"""),44980.0)</f>
        <v>44980</v>
      </c>
      <c r="C9902" s="266" t="str">
        <f>IFERROR(__xludf.DUMMYFUNCTION("""COMPUTED_VALUE"""),"KYAI KONTONG")</f>
        <v>KYAI KONTONG</v>
      </c>
      <c r="D9902" s="186">
        <f>IFERROR(__xludf.DUMMYFUNCTION("""COMPUTED_VALUE"""),10.0)</f>
        <v>10</v>
      </c>
    </row>
    <row r="9903">
      <c r="A9903" s="178" t="str">
        <f>IFERROR(__xludf.DUMMYFUNCTION("""COMPUTED_VALUE"""),"ITBISA-RESISTOR-1K-1/4W")</f>
        <v>ITBISA-RESISTOR-1K-1/4W</v>
      </c>
      <c r="B9903" s="266">
        <f>IFERROR(__xludf.DUMMYFUNCTION("""COMPUTED_VALUE"""),45006.0)</f>
        <v>45006</v>
      </c>
      <c r="C9903" s="266" t="str">
        <f>IFERROR(__xludf.DUMMYFUNCTION("""COMPUTED_VALUE"""),"KYAI KONTONG")</f>
        <v>KYAI KONTONG</v>
      </c>
      <c r="D9903" s="186">
        <f>IFERROR(__xludf.DUMMYFUNCTION("""COMPUTED_VALUE"""),10.0)</f>
        <v>10</v>
      </c>
    </row>
    <row r="9904">
      <c r="A9904" s="178" t="str">
        <f>IFERROR(__xludf.DUMMYFUNCTION("""COMPUTED_VALUE"""),"ITBISA-RESISTOR-1K-1/4W")</f>
        <v>ITBISA-RESISTOR-1K-1/4W</v>
      </c>
      <c r="B9904" s="266">
        <f>IFERROR(__xludf.DUMMYFUNCTION("""COMPUTED_VALUE"""),45020.0)</f>
        <v>45020</v>
      </c>
      <c r="C9904" s="266" t="str">
        <f>IFERROR(__xludf.DUMMYFUNCTION("""COMPUTED_VALUE"""),"KYAI KONTONG")</f>
        <v>KYAI KONTONG</v>
      </c>
      <c r="D9904" s="186">
        <f>IFERROR(__xludf.DUMMYFUNCTION("""COMPUTED_VALUE"""),70.0)</f>
        <v>70</v>
      </c>
    </row>
    <row r="9905">
      <c r="A9905" s="178" t="str">
        <f>IFERROR(__xludf.DUMMYFUNCTION("""COMPUTED_VALUE"""),"ITBISA-RESISTOR-1K-1/4W")</f>
        <v>ITBISA-RESISTOR-1K-1/4W</v>
      </c>
      <c r="B9905" s="266">
        <f>IFERROR(__xludf.DUMMYFUNCTION("""COMPUTED_VALUE"""),45438.0)</f>
        <v>45438</v>
      </c>
      <c r="C9905" s="266" t="str">
        <f>IFERROR(__xludf.DUMMYFUNCTION("""COMPUTED_VALUE"""),"KERTASARI CIAMIS")</f>
        <v>KERTASARI CIAMIS</v>
      </c>
      <c r="D9905" s="186">
        <f>IFERROR(__xludf.DUMMYFUNCTION("""COMPUTED_VALUE"""),200.0)</f>
        <v>200</v>
      </c>
    </row>
    <row r="9906">
      <c r="A9906" s="178" t="str">
        <f>IFERROR(__xludf.DUMMYFUNCTION("""COMPUTED_VALUE"""),"ITBISA-RESISTOR-1K-1/4W")</f>
        <v>ITBISA-RESISTOR-1K-1/4W</v>
      </c>
      <c r="B9906" s="266">
        <f>IFERROR(__xludf.DUMMYFUNCTION("""COMPUTED_VALUE"""),45468.0)</f>
        <v>45468</v>
      </c>
      <c r="C9906" s="266" t="str">
        <f>IFERROR(__xludf.DUMMYFUNCTION("""COMPUTED_VALUE"""),"KERTASARI CIAMIS")</f>
        <v>KERTASARI CIAMIS</v>
      </c>
      <c r="D9906" s="186">
        <f>IFERROR(__xludf.DUMMYFUNCTION("""COMPUTED_VALUE"""),50.0)</f>
        <v>50</v>
      </c>
    </row>
    <row r="9907">
      <c r="A9907" s="178" t="str">
        <f>IFERROR(__xludf.DUMMYFUNCTION("""COMPUTED_VALUE"""),"ITBISA-RESISTOR-1K-1/4W")</f>
        <v>ITBISA-RESISTOR-1K-1/4W</v>
      </c>
      <c r="B9907" s="266">
        <f>IFERROR(__xludf.DUMMYFUNCTION("""COMPUTED_VALUE"""),45481.0)</f>
        <v>45481</v>
      </c>
      <c r="C9907" s="266" t="str">
        <f>IFERROR(__xludf.DUMMYFUNCTION("""COMPUTED_VALUE"""),"KERTASARI CIAMIS")</f>
        <v>KERTASARI CIAMIS</v>
      </c>
      <c r="D9907" s="186">
        <f>IFERROR(__xludf.DUMMYFUNCTION("""COMPUTED_VALUE"""),20.0)</f>
        <v>20</v>
      </c>
    </row>
    <row r="9908">
      <c r="A9908" s="178" t="str">
        <f>IFERROR(__xludf.DUMMYFUNCTION("""COMPUTED_VALUE"""),"ITBISA-RESISTOR-1K-1/4W")</f>
        <v>ITBISA-RESISTOR-1K-1/4W</v>
      </c>
      <c r="B9908" s="266">
        <f>IFERROR(__xludf.DUMMYFUNCTION("""COMPUTED_VALUE"""),45504.0)</f>
        <v>45504</v>
      </c>
      <c r="C9908" s="266" t="str">
        <f>IFERROR(__xludf.DUMMYFUNCTION("""COMPUTED_VALUE"""),"KERTASARI CIAMIS")</f>
        <v>KERTASARI CIAMIS</v>
      </c>
      <c r="D9908" s="186">
        <f>IFERROR(__xludf.DUMMYFUNCTION("""COMPUTED_VALUE"""),10.0)</f>
        <v>10</v>
      </c>
    </row>
    <row r="9909">
      <c r="A9909" s="178" t="str">
        <f>IFERROR(__xludf.DUMMYFUNCTION("""COMPUTED_VALUE"""),"ITBISA-RESISTOR-1K-1/4W")</f>
        <v>ITBISA-RESISTOR-1K-1/4W</v>
      </c>
      <c r="B9909" s="266">
        <f>IFERROR(__xludf.DUMMYFUNCTION("""COMPUTED_VALUE"""),45517.0)</f>
        <v>45517</v>
      </c>
      <c r="C9909" s="266" t="str">
        <f>IFERROR(__xludf.DUMMYFUNCTION("""COMPUTED_VALUE"""),"KERTASARI CIAMIS")</f>
        <v>KERTASARI CIAMIS</v>
      </c>
      <c r="D9909" s="186">
        <f>IFERROR(__xludf.DUMMYFUNCTION("""COMPUTED_VALUE"""),15.0)</f>
        <v>15</v>
      </c>
    </row>
    <row r="9910">
      <c r="A9910" s="178" t="str">
        <f>IFERROR(__xludf.DUMMYFUNCTION("""COMPUTED_VALUE"""),"ITBISA-RESISTOR-1K-1/4W")</f>
        <v>ITBISA-RESISTOR-1K-1/4W</v>
      </c>
      <c r="B9910" s="266">
        <f>IFERROR(__xludf.DUMMYFUNCTION("""COMPUTED_VALUE"""),45539.0)</f>
        <v>45539</v>
      </c>
      <c r="C9910" s="266" t="str">
        <f>IFERROR(__xludf.DUMMYFUNCTION("""COMPUTED_VALUE"""),"KYAI KONTONG")</f>
        <v>KYAI KONTONG</v>
      </c>
      <c r="D9910" s="186">
        <f>IFERROR(__xludf.DUMMYFUNCTION("""COMPUTED_VALUE"""),100.0)</f>
        <v>100</v>
      </c>
    </row>
    <row r="9911">
      <c r="A9911" s="178" t="str">
        <f>IFERROR(__xludf.DUMMYFUNCTION("""COMPUTED_VALUE"""),"ITBISA-RESISTOR-1K-1/4W")</f>
        <v>ITBISA-RESISTOR-1K-1/4W</v>
      </c>
      <c r="B9911" s="266">
        <f>IFERROR(__xludf.DUMMYFUNCTION("""COMPUTED_VALUE"""),45541.0)</f>
        <v>45541</v>
      </c>
      <c r="C9911" s="266" t="str">
        <f>IFERROR(__xludf.DUMMYFUNCTION("""COMPUTED_VALUE"""),"KERTASARI CIAMIS")</f>
        <v>KERTASARI CIAMIS</v>
      </c>
      <c r="D9911" s="186">
        <f>IFERROR(__xludf.DUMMYFUNCTION("""COMPUTED_VALUE"""),50.0)</f>
        <v>50</v>
      </c>
    </row>
    <row r="9912">
      <c r="A9912" s="178" t="str">
        <f>IFERROR(__xludf.DUMMYFUNCTION("""COMPUTED_VALUE"""),"ITBISA-RESISTOR-1K-1/4W")</f>
        <v>ITBISA-RESISTOR-1K-1/4W</v>
      </c>
      <c r="B9912" s="266">
        <f>IFERROR(__xludf.DUMMYFUNCTION("""COMPUTED_VALUE"""),45565.0)</f>
        <v>45565</v>
      </c>
      <c r="C9912" s="266" t="str">
        <f>IFERROR(__xludf.DUMMYFUNCTION("""COMPUTED_VALUE"""),"KERTASARI CIAMIS")</f>
        <v>KERTASARI CIAMIS</v>
      </c>
      <c r="D9912" s="186">
        <f>IFERROR(__xludf.DUMMYFUNCTION("""COMPUTED_VALUE"""),25.0)</f>
        <v>25</v>
      </c>
    </row>
    <row r="9913">
      <c r="A9913" s="178" t="str">
        <f>IFERROR(__xludf.DUMMYFUNCTION("""COMPUTED_VALUE"""),"ITBISA-RESISTOR-1K-1/4W")</f>
        <v>ITBISA-RESISTOR-1K-1/4W</v>
      </c>
      <c r="B9913" s="266">
        <f>IFERROR(__xludf.DUMMYFUNCTION("""COMPUTED_VALUE"""),45707.0)</f>
        <v>45707</v>
      </c>
      <c r="C9913" s="266" t="str">
        <f>IFERROR(__xludf.DUMMYFUNCTION("""COMPUTED_VALUE"""),"KERTASARI CIAMIS")</f>
        <v>KERTASARI CIAMIS</v>
      </c>
      <c r="D9913" s="186">
        <f>IFERROR(__xludf.DUMMYFUNCTION("""COMPUTED_VALUE"""),10.0)</f>
        <v>10</v>
      </c>
    </row>
    <row r="9914">
      <c r="A9914" s="178" t="str">
        <f>IFERROR(__xludf.DUMMYFUNCTION("""COMPUTED_VALUE"""),"ITBISA-RESISTOR-1K-1/4W")</f>
        <v>ITBISA-RESISTOR-1K-1/4W</v>
      </c>
      <c r="B9914" s="266">
        <f>IFERROR(__xludf.DUMMYFUNCTION("""COMPUTED_VALUE"""),45714.0)</f>
        <v>45714</v>
      </c>
      <c r="C9914" s="266" t="str">
        <f>IFERROR(__xludf.DUMMYFUNCTION("""COMPUTED_VALUE"""),"KYAI KONTONG")</f>
        <v>KYAI KONTONG</v>
      </c>
      <c r="D9914" s="186">
        <f>IFERROR(__xludf.DUMMYFUNCTION("""COMPUTED_VALUE"""),100.0)</f>
        <v>100</v>
      </c>
    </row>
    <row r="9915">
      <c r="A9915" s="178" t="str">
        <f>IFERROR(__xludf.DUMMYFUNCTION("""COMPUTED_VALUE"""),"ITBISA-RESISTOR-1K-1/4W")</f>
        <v>ITBISA-RESISTOR-1K-1/4W</v>
      </c>
      <c r="B9915" s="266">
        <f>IFERROR(__xludf.DUMMYFUNCTION("""COMPUTED_VALUE"""),45742.0)</f>
        <v>45742</v>
      </c>
      <c r="C9915" s="266" t="str">
        <f>IFERROR(__xludf.DUMMYFUNCTION("""COMPUTED_VALUE"""),"KERTASARI CIAMIS")</f>
        <v>KERTASARI CIAMIS</v>
      </c>
      <c r="D9915" s="186">
        <f>IFERROR(__xludf.DUMMYFUNCTION("""COMPUTED_VALUE"""),10.0)</f>
        <v>10</v>
      </c>
    </row>
    <row r="9916">
      <c r="A9916" s="178" t="str">
        <f>IFERROR(__xludf.DUMMYFUNCTION("""COMPUTED_VALUE"""),"ITBISA-RESISTOR-1K-1/4W")</f>
        <v>ITBISA-RESISTOR-1K-1/4W</v>
      </c>
      <c r="B9916" s="266">
        <f>IFERROR(__xludf.DUMMYFUNCTION("""COMPUTED_VALUE"""),45748.0)</f>
        <v>45748</v>
      </c>
      <c r="C9916" s="266" t="str">
        <f>IFERROR(__xludf.DUMMYFUNCTION("""COMPUTED_VALUE"""),"KERTASARI CIAMIS")</f>
        <v>KERTASARI CIAMIS</v>
      </c>
      <c r="D9916" s="186">
        <f>IFERROR(__xludf.DUMMYFUNCTION("""COMPUTED_VALUE"""),10.0)</f>
        <v>10</v>
      </c>
    </row>
    <row r="9917">
      <c r="A9917" s="178" t="str">
        <f>IFERROR(__xludf.DUMMYFUNCTION("""COMPUTED_VALUE"""),"ITBISA-RESISTOR-1K-1/4W")</f>
        <v>ITBISA-RESISTOR-1K-1/4W</v>
      </c>
      <c r="B9917" s="266">
        <f>IFERROR(__xludf.DUMMYFUNCTION("""COMPUTED_VALUE"""),45758.0)</f>
        <v>45758</v>
      </c>
      <c r="C9917" s="266" t="str">
        <f>IFERROR(__xludf.DUMMYFUNCTION("""COMPUTED_VALUE"""),"KERTASARI CIAMIS")</f>
        <v>KERTASARI CIAMIS</v>
      </c>
      <c r="D9917" s="186">
        <f>IFERROR(__xludf.DUMMYFUNCTION("""COMPUTED_VALUE"""),10.0)</f>
        <v>10</v>
      </c>
    </row>
    <row r="9918">
      <c r="A9918" s="178" t="str">
        <f>IFERROR(__xludf.DUMMYFUNCTION("""COMPUTED_VALUE"""),"ITBISA-RESISTOR-1K-1/4W")</f>
        <v>ITBISA-RESISTOR-1K-1/4W</v>
      </c>
      <c r="B9918" s="266">
        <f>IFERROR(__xludf.DUMMYFUNCTION("""COMPUTED_VALUE"""),45777.0)</f>
        <v>45777</v>
      </c>
      <c r="C9918" s="266" t="str">
        <f>IFERROR(__xludf.DUMMYFUNCTION("""COMPUTED_VALUE"""),"KERTASARI CIAMIS")</f>
        <v>KERTASARI CIAMIS</v>
      </c>
      <c r="D9918" s="186">
        <f>IFERROR(__xludf.DUMMYFUNCTION("""COMPUTED_VALUE"""),10.0)</f>
        <v>10</v>
      </c>
    </row>
    <row r="9919">
      <c r="A9919" s="178" t="str">
        <f>IFERROR(__xludf.DUMMYFUNCTION("""COMPUTED_VALUE"""),"ITBISA-RESISTOR-1K-1/4W")</f>
        <v>ITBISA-RESISTOR-1K-1/4W</v>
      </c>
      <c r="B9919" s="266">
        <f>IFERROR(__xludf.DUMMYFUNCTION("""COMPUTED_VALUE"""),45851.0)</f>
        <v>45851</v>
      </c>
      <c r="C9919" s="266" t="str">
        <f>IFERROR(__xludf.DUMMYFUNCTION("""COMPUTED_VALUE"""),"KERTASARI CIAMIS")</f>
        <v>KERTASARI CIAMIS</v>
      </c>
      <c r="D9919" s="186">
        <f>IFERROR(__xludf.DUMMYFUNCTION("""COMPUTED_VALUE"""),50.0)</f>
        <v>50</v>
      </c>
    </row>
    <row r="9920">
      <c r="A9920" s="178" t="str">
        <f>IFERROR(__xludf.DUMMYFUNCTION("""COMPUTED_VALUE"""),"ITBISA-RESISTOR-1K-1/4W")</f>
        <v>ITBISA-RESISTOR-1K-1/4W</v>
      </c>
      <c r="B9920" s="266">
        <f>IFERROR(__xludf.DUMMYFUNCTION("""COMPUTED_VALUE"""),45918.0)</f>
        <v>45918</v>
      </c>
      <c r="C9920" s="266" t="str">
        <f>IFERROR(__xludf.DUMMYFUNCTION("""COMPUTED_VALUE"""),"KERTASARI CIAMIS")</f>
        <v>KERTASARI CIAMIS</v>
      </c>
      <c r="D9920" s="186">
        <f>IFERROR(__xludf.DUMMYFUNCTION("""COMPUTED_VALUE"""),50.0)</f>
        <v>50</v>
      </c>
    </row>
    <row r="9921">
      <c r="A9921" s="178" t="str">
        <f>IFERROR(__xludf.DUMMYFUNCTION("""COMPUTED_VALUE"""),"ITBISA-RESISTOR-1K-1/4W")</f>
        <v>ITBISA-RESISTOR-1K-1/4W</v>
      </c>
      <c r="B9921" s="266">
        <f>IFERROR(__xludf.DUMMYFUNCTION("""COMPUTED_VALUE"""),45943.0)</f>
        <v>45943</v>
      </c>
      <c r="C9921" s="266" t="str">
        <f>IFERROR(__xludf.DUMMYFUNCTION("""COMPUTED_VALUE"""),"KYAI KONTONG")</f>
        <v>KYAI KONTONG</v>
      </c>
      <c r="D9921" s="186">
        <f>IFERROR(__xludf.DUMMYFUNCTION("""COMPUTED_VALUE"""),100.0)</f>
        <v>100</v>
      </c>
    </row>
    <row r="9922">
      <c r="A9922" s="178" t="str">
        <f>IFERROR(__xludf.DUMMYFUNCTION("""COMPUTED_VALUE"""),"ITBISA-RESISTOR-1K-1/4W")</f>
        <v>ITBISA-RESISTOR-1K-1/4W</v>
      </c>
      <c r="B9922" s="266">
        <f>IFERROR(__xludf.DUMMYFUNCTION("""COMPUTED_VALUE"""),45946.0)</f>
        <v>45946</v>
      </c>
      <c r="C9922" s="266" t="str">
        <f>IFERROR(__xludf.DUMMYFUNCTION("""COMPUTED_VALUE"""),"KYAI KONTONG")</f>
        <v>KYAI KONTONG</v>
      </c>
      <c r="D9922" s="186">
        <f>IFERROR(__xludf.DUMMYFUNCTION("""COMPUTED_VALUE"""),20.0)</f>
        <v>20</v>
      </c>
    </row>
    <row r="9923">
      <c r="A9923" s="178" t="str">
        <f>IFERROR(__xludf.DUMMYFUNCTION("""COMPUTED_VALUE"""),"ITBISA-RESISTOR-1K-1/4W")</f>
        <v>ITBISA-RESISTOR-1K-1/4W</v>
      </c>
      <c r="B9923" s="266">
        <f>IFERROR(__xludf.DUMMYFUNCTION("""COMPUTED_VALUE"""),45949.0)</f>
        <v>45949</v>
      </c>
      <c r="C9923" s="266" t="str">
        <f>IFERROR(__xludf.DUMMYFUNCTION("""COMPUTED_VALUE"""),"KYAI KONTONG")</f>
        <v>KYAI KONTONG</v>
      </c>
      <c r="D9923" s="186">
        <f>IFERROR(__xludf.DUMMYFUNCTION("""COMPUTED_VALUE"""),10.0)</f>
        <v>10</v>
      </c>
    </row>
    <row r="9924">
      <c r="A9924" s="178" t="str">
        <f>IFERROR(__xludf.DUMMYFUNCTION("""COMPUTED_VALUE"""),"ITBISA-RESISTOR-1K-1/4W")</f>
        <v>ITBISA-RESISTOR-1K-1/4W</v>
      </c>
      <c r="B9924" s="266">
        <f>IFERROR(__xludf.DUMMYFUNCTION("""COMPUTED_VALUE"""),45951.0)</f>
        <v>45951</v>
      </c>
      <c r="C9924" s="266" t="str">
        <f>IFERROR(__xludf.DUMMYFUNCTION("""COMPUTED_VALUE"""),"KYAI KONTONG")</f>
        <v>KYAI KONTONG</v>
      </c>
      <c r="D9924" s="186">
        <f>IFERROR(__xludf.DUMMYFUNCTION("""COMPUTED_VALUE"""),10.0)</f>
        <v>10</v>
      </c>
    </row>
    <row r="9925">
      <c r="A9925" s="178" t="str">
        <f>IFERROR(__xludf.DUMMYFUNCTION("""COMPUTED_VALUE"""),"ITBISA-RESISTOR-1K-1/4W")</f>
        <v>ITBISA-RESISTOR-1K-1/4W</v>
      </c>
      <c r="B9925" s="266">
        <f>IFERROR(__xludf.DUMMYFUNCTION("""COMPUTED_VALUE"""),45955.0)</f>
        <v>45955</v>
      </c>
      <c r="C9925" s="266" t="str">
        <f>IFERROR(__xludf.DUMMYFUNCTION("""COMPUTED_VALUE"""),"KYAI KONTONG")</f>
        <v>KYAI KONTONG</v>
      </c>
      <c r="D9925" s="186">
        <f>IFERROR(__xludf.DUMMYFUNCTION("""COMPUTED_VALUE"""),10.0)</f>
        <v>10</v>
      </c>
    </row>
    <row r="9926">
      <c r="A9926" s="178" t="str">
        <f>IFERROR(__xludf.DUMMYFUNCTION("""COMPUTED_VALUE"""),"ITBISA-RESISTOR-1K-1/4W")</f>
        <v>ITBISA-RESISTOR-1K-1/4W</v>
      </c>
      <c r="B9926" s="266">
        <f>IFERROR(__xludf.DUMMYFUNCTION("""COMPUTED_VALUE"""),45959.0)</f>
        <v>45959</v>
      </c>
      <c r="C9926" s="266" t="str">
        <f>IFERROR(__xludf.DUMMYFUNCTION("""COMPUTED_VALUE"""),"KYAI KONTONG")</f>
        <v>KYAI KONTONG</v>
      </c>
      <c r="D9926" s="186">
        <f>IFERROR(__xludf.DUMMYFUNCTION("""COMPUTED_VALUE"""),20.0)</f>
        <v>20</v>
      </c>
    </row>
    <row r="9927">
      <c r="A9927" s="178" t="str">
        <f>IFERROR(__xludf.DUMMYFUNCTION("""COMPUTED_VALUE"""),"ITBISA-RESISTOR-1K-1/4W")</f>
        <v>ITBISA-RESISTOR-1K-1/4W</v>
      </c>
      <c r="B9927" s="266">
        <f>IFERROR(__xludf.DUMMYFUNCTION("""COMPUTED_VALUE"""),45960.0)</f>
        <v>45960</v>
      </c>
      <c r="C9927" s="266" t="str">
        <f>IFERROR(__xludf.DUMMYFUNCTION("""COMPUTED_VALUE"""),"KYAI KONTONG")</f>
        <v>KYAI KONTONG</v>
      </c>
      <c r="D9927" s="186">
        <f>IFERROR(__xludf.DUMMYFUNCTION("""COMPUTED_VALUE"""),1000.0)</f>
        <v>1000</v>
      </c>
    </row>
    <row r="9928">
      <c r="A9928" s="178" t="str">
        <f>IFERROR(__xludf.DUMMYFUNCTION("""COMPUTED_VALUE"""),"ITBISA-RESISTOR-1K-1/4W")</f>
        <v>ITBISA-RESISTOR-1K-1/4W</v>
      </c>
      <c r="B9928" s="266">
        <f>IFERROR(__xludf.DUMMYFUNCTION("""COMPUTED_VALUE"""),45963.0)</f>
        <v>45963</v>
      </c>
      <c r="C9928" s="266" t="str">
        <f>IFERROR(__xludf.DUMMYFUNCTION("""COMPUTED_VALUE"""),"KERTASARI CIAMIS")</f>
        <v>KERTASARI CIAMIS</v>
      </c>
      <c r="D9928" s="186">
        <f>IFERROR(__xludf.DUMMYFUNCTION("""COMPUTED_VALUE"""),100.0)</f>
        <v>100</v>
      </c>
    </row>
    <row r="9929">
      <c r="A9929" s="178" t="str">
        <f>IFERROR(__xludf.DUMMYFUNCTION("""COMPUTED_VALUE"""),"ITBISA-RESISTOR-1K-1/4W")</f>
        <v>ITBISA-RESISTOR-1K-1/4W</v>
      </c>
      <c r="B9929" s="266">
        <f>IFERROR(__xludf.DUMMYFUNCTION("""COMPUTED_VALUE"""),45964.0)</f>
        <v>45964</v>
      </c>
      <c r="C9929" s="266" t="str">
        <f>IFERROR(__xludf.DUMMYFUNCTION("""COMPUTED_VALUE"""),"KYAI KONTONG")</f>
        <v>KYAI KONTONG</v>
      </c>
      <c r="D9929" s="186">
        <f>IFERROR(__xludf.DUMMYFUNCTION("""COMPUTED_VALUE"""),10.0)</f>
        <v>10</v>
      </c>
    </row>
    <row r="9930">
      <c r="A9930" s="178" t="str">
        <f>IFERROR(__xludf.DUMMYFUNCTION("""COMPUTED_VALUE"""),"ITBISA-RESISTOR-1K-1/4W")</f>
        <v>ITBISA-RESISTOR-1K-1/4W</v>
      </c>
      <c r="B9930" s="266">
        <f>IFERROR(__xludf.DUMMYFUNCTION("""COMPUTED_VALUE"""),45964.0)</f>
        <v>45964</v>
      </c>
      <c r="C9930" s="266" t="str">
        <f>IFERROR(__xludf.DUMMYFUNCTION("""COMPUTED_VALUE"""),"KYAI KONTONG")</f>
        <v>KYAI KONTONG</v>
      </c>
      <c r="D9930" s="186">
        <f>IFERROR(__xludf.DUMMYFUNCTION("""COMPUTED_VALUE"""),20.0)</f>
        <v>20</v>
      </c>
    </row>
    <row r="9931">
      <c r="A9931" s="178" t="str">
        <f>IFERROR(__xludf.DUMMYFUNCTION("""COMPUTED_VALUE"""),"ITBISA-RESISTOR-1K-1/4W")</f>
        <v>ITBISA-RESISTOR-1K-1/4W</v>
      </c>
      <c r="B9931" s="266">
        <f>IFERROR(__xludf.DUMMYFUNCTION("""COMPUTED_VALUE"""),45965.0)</f>
        <v>45965</v>
      </c>
      <c r="C9931" s="266" t="str">
        <f>IFERROR(__xludf.DUMMYFUNCTION("""COMPUTED_VALUE"""),"KERTASARI CIAMIS")</f>
        <v>KERTASARI CIAMIS</v>
      </c>
      <c r="D9931" s="186">
        <f>IFERROR(__xludf.DUMMYFUNCTION("""COMPUTED_VALUE"""),100.0)</f>
        <v>100</v>
      </c>
    </row>
    <row r="9932">
      <c r="A9932" s="178" t="str">
        <f>IFERROR(__xludf.DUMMYFUNCTION("""COMPUTED_VALUE"""),"ITBISA-RESISTOR-1K-1/4W")</f>
        <v>ITBISA-RESISTOR-1K-1/4W</v>
      </c>
      <c r="B9932" s="266">
        <f>IFERROR(__xludf.DUMMYFUNCTION("""COMPUTED_VALUE"""),45997.0)</f>
        <v>45997</v>
      </c>
      <c r="C9932" s="266" t="str">
        <f>IFERROR(__xludf.DUMMYFUNCTION("""COMPUTED_VALUE"""),"KERTASARI CIAMIS")</f>
        <v>KERTASARI CIAMIS</v>
      </c>
      <c r="D9932" s="186">
        <f>IFERROR(__xludf.DUMMYFUNCTION("""COMPUTED_VALUE"""),10.0)</f>
        <v>10</v>
      </c>
    </row>
    <row r="9933">
      <c r="A9933" s="178" t="str">
        <f>IFERROR(__xludf.DUMMYFUNCTION("""COMPUTED_VALUE"""),"ITBISA-RESISTOR-1K-1/4W")</f>
        <v>ITBISA-RESISTOR-1K-1/4W</v>
      </c>
      <c r="B9933" s="266">
        <f>IFERROR(__xludf.DUMMYFUNCTION("""COMPUTED_VALUE"""),46006.0)</f>
        <v>46006</v>
      </c>
      <c r="C9933" s="266" t="str">
        <f>IFERROR(__xludf.DUMMYFUNCTION("""COMPUTED_VALUE"""),"KYAI KONTONG")</f>
        <v>KYAI KONTONG</v>
      </c>
      <c r="D9933" s="186">
        <f>IFERROR(__xludf.DUMMYFUNCTION("""COMPUTED_VALUE"""),20.0)</f>
        <v>20</v>
      </c>
    </row>
    <row r="9934">
      <c r="A9934" s="178" t="str">
        <f>IFERROR(__xludf.DUMMYFUNCTION("""COMPUTED_VALUE"""),"ITBISA-RESISTOR-220-1/4W")</f>
        <v>ITBISA-RESISTOR-220-1/4W</v>
      </c>
      <c r="B9934" s="266">
        <f>IFERROR(__xludf.DUMMYFUNCTION("""COMPUTED_VALUE"""),45704.0)</f>
        <v>45704</v>
      </c>
      <c r="C9934" s="266" t="str">
        <f>IFERROR(__xludf.DUMMYFUNCTION("""COMPUTED_VALUE"""),"KERTASARI CIAMIS")</f>
        <v>KERTASARI CIAMIS</v>
      </c>
      <c r="D9934" s="186">
        <f>IFERROR(__xludf.DUMMYFUNCTION("""COMPUTED_VALUE"""),150.0)</f>
        <v>150</v>
      </c>
    </row>
    <row r="9935">
      <c r="A9935" s="178" t="str">
        <f>IFERROR(__xludf.DUMMYFUNCTION("""COMPUTED_VALUE"""),"ITBISA-RESISTOR-220-1/4W")</f>
        <v>ITBISA-RESISTOR-220-1/4W</v>
      </c>
      <c r="B9935" s="266">
        <f>IFERROR(__xludf.DUMMYFUNCTION("""COMPUTED_VALUE"""),45773.0)</f>
        <v>45773</v>
      </c>
      <c r="C9935" s="266" t="str">
        <f>IFERROR(__xludf.DUMMYFUNCTION("""COMPUTED_VALUE"""),"KERTASARI CIAMIS")</f>
        <v>KERTASARI CIAMIS</v>
      </c>
      <c r="D9935" s="186">
        <f>IFERROR(__xludf.DUMMYFUNCTION("""COMPUTED_VALUE"""),20.0)</f>
        <v>20</v>
      </c>
    </row>
    <row r="9936">
      <c r="A9936" s="178" t="str">
        <f>IFERROR(__xludf.DUMMYFUNCTION("""COMPUTED_VALUE"""),"ITBISA-RESISTOR-220-1/4W")</f>
        <v>ITBISA-RESISTOR-220-1/4W</v>
      </c>
      <c r="B9936" s="266">
        <f>IFERROR(__xludf.DUMMYFUNCTION("""COMPUTED_VALUE"""),45785.0)</f>
        <v>45785</v>
      </c>
      <c r="C9936" s="266" t="str">
        <f>IFERROR(__xludf.DUMMYFUNCTION("""COMPUTED_VALUE"""),"KERTASARI CIAMIS")</f>
        <v>KERTASARI CIAMIS</v>
      </c>
      <c r="D9936" s="186">
        <f>IFERROR(__xludf.DUMMYFUNCTION("""COMPUTED_VALUE"""),10.0)</f>
        <v>10</v>
      </c>
    </row>
    <row r="9937">
      <c r="A9937" s="178" t="str">
        <f>IFERROR(__xludf.DUMMYFUNCTION("""COMPUTED_VALUE"""),"ITBISA-RESISTOR-220-1/4W")</f>
        <v>ITBISA-RESISTOR-220-1/4W</v>
      </c>
      <c r="B9937" s="266">
        <f>IFERROR(__xludf.DUMMYFUNCTION("""COMPUTED_VALUE"""),45979.0)</f>
        <v>45979</v>
      </c>
      <c r="C9937" s="266" t="str">
        <f>IFERROR(__xludf.DUMMYFUNCTION("""COMPUTED_VALUE"""),"KERTASARI CIAMIS")</f>
        <v>KERTASARI CIAMIS</v>
      </c>
      <c r="D9937" s="186">
        <f>IFERROR(__xludf.DUMMYFUNCTION("""COMPUTED_VALUE"""),36.0)</f>
        <v>36</v>
      </c>
    </row>
    <row r="9938">
      <c r="A9938" s="178" t="str">
        <f>IFERROR(__xludf.DUMMYFUNCTION("""COMPUTED_VALUE"""),"ITBISA-RESISTOR-220-1/4W")</f>
        <v>ITBISA-RESISTOR-220-1/4W</v>
      </c>
      <c r="B9938" s="266">
        <f>IFERROR(__xludf.DUMMYFUNCTION("""COMPUTED_VALUE"""),45991.0)</f>
        <v>45991</v>
      </c>
      <c r="C9938" s="266" t="str">
        <f>IFERROR(__xludf.DUMMYFUNCTION("""COMPUTED_VALUE"""),"KYAI KONTONG")</f>
        <v>KYAI KONTONG</v>
      </c>
      <c r="D9938" s="186">
        <f>IFERROR(__xludf.DUMMYFUNCTION("""COMPUTED_VALUE"""),14.0)</f>
        <v>14</v>
      </c>
    </row>
    <row r="9939">
      <c r="A9939" s="178" t="str">
        <f>IFERROR(__xludf.DUMMYFUNCTION("""COMPUTED_VALUE"""),"ITBISA-RESISTOR-220-1/4W")</f>
        <v>ITBISA-RESISTOR-220-1/4W</v>
      </c>
      <c r="B9939" s="266">
        <f>IFERROR(__xludf.DUMMYFUNCTION("""COMPUTED_VALUE"""),45992.0)</f>
        <v>45992</v>
      </c>
      <c r="C9939" s="266" t="str">
        <f>IFERROR(__xludf.DUMMYFUNCTION("""COMPUTED_VALUE"""),"KYAI KONTONG")</f>
        <v>KYAI KONTONG</v>
      </c>
      <c r="D9939" s="186">
        <f>IFERROR(__xludf.DUMMYFUNCTION("""COMPUTED_VALUE"""),10.0)</f>
        <v>10</v>
      </c>
    </row>
    <row r="9940">
      <c r="A9940" s="178" t="str">
        <f>IFERROR(__xludf.DUMMYFUNCTION("""COMPUTED_VALUE"""),"ITBISA-RESISTOR-220-1/4W")</f>
        <v>ITBISA-RESISTOR-220-1/4W</v>
      </c>
      <c r="B9940" s="266">
        <f>IFERROR(__xludf.DUMMYFUNCTION("""COMPUTED_VALUE"""),45994.0)</f>
        <v>45994</v>
      </c>
      <c r="C9940" s="266" t="str">
        <f>IFERROR(__xludf.DUMMYFUNCTION("""COMPUTED_VALUE"""),"KERTASARI CIAMIS")</f>
        <v>KERTASARI CIAMIS</v>
      </c>
      <c r="D9940" s="186">
        <f>IFERROR(__xludf.DUMMYFUNCTION("""COMPUTED_VALUE"""),10.0)</f>
        <v>10</v>
      </c>
    </row>
    <row r="9941">
      <c r="A9941" s="178" t="str">
        <f>IFERROR(__xludf.DUMMYFUNCTION("""COMPUTED_VALUE"""),"ITBISA-RESISTOR-220-1/4W")</f>
        <v>ITBISA-RESISTOR-220-1/4W</v>
      </c>
      <c r="B9941" s="266">
        <f>IFERROR(__xludf.DUMMYFUNCTION("""COMPUTED_VALUE"""),45997.0)</f>
        <v>45997</v>
      </c>
      <c r="C9941" s="266" t="str">
        <f>IFERROR(__xludf.DUMMYFUNCTION("""COMPUTED_VALUE"""),"KERTASARI CIAMIS")</f>
        <v>KERTASARI CIAMIS</v>
      </c>
      <c r="D9941" s="186">
        <f>IFERROR(__xludf.DUMMYFUNCTION("""COMPUTED_VALUE"""),10.0)</f>
        <v>10</v>
      </c>
    </row>
    <row r="9942">
      <c r="A9942" s="178" t="str">
        <f>IFERROR(__xludf.DUMMYFUNCTION("""COMPUTED_VALUE"""),"ITBISA-RESISTOR-220-1/4W")</f>
        <v>ITBISA-RESISTOR-220-1/4W</v>
      </c>
      <c r="B9942" s="266">
        <f>IFERROR(__xludf.DUMMYFUNCTION("""COMPUTED_VALUE"""),46014.0)</f>
        <v>46014</v>
      </c>
      <c r="C9942" s="266" t="str">
        <f>IFERROR(__xludf.DUMMYFUNCTION("""COMPUTED_VALUE"""),"KERTASARI CIAMIS")</f>
        <v>KERTASARI CIAMIS</v>
      </c>
      <c r="D9942" s="186">
        <f>IFERROR(__xludf.DUMMYFUNCTION("""COMPUTED_VALUE"""),1.0)</f>
        <v>1</v>
      </c>
    </row>
    <row r="9943">
      <c r="A9943" s="178" t="str">
        <f>IFERROR(__xludf.DUMMYFUNCTION("""COMPUTED_VALUE"""),"ITBISA-RESISTOR-220-1/4W")</f>
        <v>ITBISA-RESISTOR-220-1/4W</v>
      </c>
      <c r="B9943" s="266">
        <f>IFERROR(__xludf.DUMMYFUNCTION("""COMPUTED_VALUE"""),46014.0)</f>
        <v>46014</v>
      </c>
      <c r="C9943" s="266" t="str">
        <f>IFERROR(__xludf.DUMMYFUNCTION("""COMPUTED_VALUE"""),"KERTASARI CIAMIS")</f>
        <v>KERTASARI CIAMIS</v>
      </c>
      <c r="D9943" s="186">
        <f>IFERROR(__xludf.DUMMYFUNCTION("""COMPUTED_VALUE"""),1.0)</f>
        <v>1</v>
      </c>
    </row>
    <row r="9944">
      <c r="A9944" s="178" t="str">
        <f>IFERROR(__xludf.DUMMYFUNCTION("""COMPUTED_VALUE"""),"ITBISA-RESISTOR-220-1/4W")</f>
        <v>ITBISA-RESISTOR-220-1/4W</v>
      </c>
      <c r="B9944" s="266">
        <f>IFERROR(__xludf.DUMMYFUNCTION("""COMPUTED_VALUE"""),46015.0)</f>
        <v>46015</v>
      </c>
      <c r="C9944" s="266" t="str">
        <f>IFERROR(__xludf.DUMMYFUNCTION("""COMPUTED_VALUE"""),"KERTASARI CIAMIS")</f>
        <v>KERTASARI CIAMIS</v>
      </c>
      <c r="D9944" s="186">
        <f>IFERROR(__xludf.DUMMYFUNCTION("""COMPUTED_VALUE"""),200.0)</f>
        <v>200</v>
      </c>
    </row>
    <row r="9945">
      <c r="A9945" s="178" t="str">
        <f>IFERROR(__xludf.DUMMYFUNCTION("""COMPUTED_VALUE"""),"ITBISA-RESISTOR-220K-1/4W")</f>
        <v>ITBISA-RESISTOR-220K-1/4W</v>
      </c>
      <c r="B9945" s="266">
        <f>IFERROR(__xludf.DUMMYFUNCTION("""COMPUTED_VALUE"""),45763.0)</f>
        <v>45763</v>
      </c>
      <c r="C9945" s="266" t="str">
        <f>IFERROR(__xludf.DUMMYFUNCTION("""COMPUTED_VALUE"""),"KERTASARI CIAMIS")</f>
        <v>KERTASARI CIAMIS</v>
      </c>
      <c r="D9945" s="186">
        <f>IFERROR(__xludf.DUMMYFUNCTION("""COMPUTED_VALUE"""),0.0)</f>
        <v>0</v>
      </c>
    </row>
    <row r="9946">
      <c r="A9946" s="178" t="str">
        <f>IFERROR(__xludf.DUMMYFUNCTION("""COMPUTED_VALUE"""),"ITBISA-RESISTOR-22K-1/4W")</f>
        <v>ITBISA-RESISTOR-22K-1/4W</v>
      </c>
      <c r="B9946" s="266">
        <f>IFERROR(__xludf.DUMMYFUNCTION("""COMPUTED_VALUE"""),44002.0)</f>
        <v>44002</v>
      </c>
      <c r="C9946" s="266" t="str">
        <f>IFERROR(__xludf.DUMMYFUNCTION("""COMPUTED_VALUE"""),"KAETOBO RESIDENCE")</f>
        <v>KAETOBO RESIDENCE</v>
      </c>
      <c r="D9946" s="186">
        <f>IFERROR(__xludf.DUMMYFUNCTION("""COMPUTED_VALUE"""),20.0)</f>
        <v>20</v>
      </c>
    </row>
    <row r="9947">
      <c r="A9947" s="178" t="str">
        <f>IFERROR(__xludf.DUMMYFUNCTION("""COMPUTED_VALUE"""),"ITBISA-RESISTOR-22K-1/4W")</f>
        <v>ITBISA-RESISTOR-22K-1/4W</v>
      </c>
      <c r="B9947" s="266">
        <f>IFERROR(__xludf.DUMMYFUNCTION("""COMPUTED_VALUE"""),44005.0)</f>
        <v>44005</v>
      </c>
      <c r="C9947" s="266" t="str">
        <f>IFERROR(__xludf.DUMMYFUNCTION("""COMPUTED_VALUE"""),"KAETOBO RESIDENCE")</f>
        <v>KAETOBO RESIDENCE</v>
      </c>
      <c r="D9947" s="186">
        <f>IFERROR(__xludf.DUMMYFUNCTION("""COMPUTED_VALUE"""),50.0)</f>
        <v>50</v>
      </c>
    </row>
    <row r="9948">
      <c r="A9948" s="178" t="str">
        <f>IFERROR(__xludf.DUMMYFUNCTION("""COMPUTED_VALUE"""),"ITBISA-RESISTOR-22K-1/4W")</f>
        <v>ITBISA-RESISTOR-22K-1/4W</v>
      </c>
      <c r="B9948" s="266">
        <f>IFERROR(__xludf.DUMMYFUNCTION("""COMPUTED_VALUE"""),44008.0)</f>
        <v>44008</v>
      </c>
      <c r="C9948" s="266" t="str">
        <f>IFERROR(__xludf.DUMMYFUNCTION("""COMPUTED_VALUE"""),"KAETOBO RESIDENCE")</f>
        <v>KAETOBO RESIDENCE</v>
      </c>
      <c r="D9948" s="186">
        <f>IFERROR(__xludf.DUMMYFUNCTION("""COMPUTED_VALUE"""),50.0)</f>
        <v>50</v>
      </c>
    </row>
    <row r="9949">
      <c r="A9949" s="178" t="str">
        <f>IFERROR(__xludf.DUMMYFUNCTION("""COMPUTED_VALUE"""),"ITBISA-RESISTOR-22K-1/4W")</f>
        <v>ITBISA-RESISTOR-22K-1/4W</v>
      </c>
      <c r="B9949" s="266">
        <f>IFERROR(__xludf.DUMMYFUNCTION("""COMPUTED_VALUE"""),44008.0)</f>
        <v>44008</v>
      </c>
      <c r="C9949" s="266" t="str">
        <f>IFERROR(__xludf.DUMMYFUNCTION("""COMPUTED_VALUE"""),"KAETOBO RESIDENCE")</f>
        <v>KAETOBO RESIDENCE</v>
      </c>
      <c r="D9949" s="186">
        <f>IFERROR(__xludf.DUMMYFUNCTION("""COMPUTED_VALUE"""),50.0)</f>
        <v>50</v>
      </c>
    </row>
    <row r="9950">
      <c r="A9950" s="178" t="str">
        <f>IFERROR(__xludf.DUMMYFUNCTION("""COMPUTED_VALUE"""),"ITBISA-RESISTOR-22K-1/4W")</f>
        <v>ITBISA-RESISTOR-22K-1/4W</v>
      </c>
      <c r="B9950" s="266">
        <f>IFERROR(__xludf.DUMMYFUNCTION("""COMPUTED_VALUE"""),44024.0)</f>
        <v>44024</v>
      </c>
      <c r="C9950" s="266" t="str">
        <f>IFERROR(__xludf.DUMMYFUNCTION("""COMPUTED_VALUE"""),"KAETOBO RESIDENCE")</f>
        <v>KAETOBO RESIDENCE</v>
      </c>
      <c r="D9950" s="186">
        <f>IFERROR(__xludf.DUMMYFUNCTION("""COMPUTED_VALUE"""),50.0)</f>
        <v>50</v>
      </c>
    </row>
    <row r="9951">
      <c r="A9951" s="178" t="str">
        <f>IFERROR(__xludf.DUMMYFUNCTION("""COMPUTED_VALUE"""),"ITBISA-RESISTOR-22K-1/4W")</f>
        <v>ITBISA-RESISTOR-22K-1/4W</v>
      </c>
      <c r="B9951" s="266">
        <f>IFERROR(__xludf.DUMMYFUNCTION("""COMPUTED_VALUE"""),44027.0)</f>
        <v>44027</v>
      </c>
      <c r="C9951" s="266" t="str">
        <f>IFERROR(__xludf.DUMMYFUNCTION("""COMPUTED_VALUE"""),"KAETOBO RESIDENCE")</f>
        <v>KAETOBO RESIDENCE</v>
      </c>
      <c r="D9951" s="186">
        <f>IFERROR(__xludf.DUMMYFUNCTION("""COMPUTED_VALUE"""),275.0)</f>
        <v>275</v>
      </c>
    </row>
    <row r="9952">
      <c r="A9952" s="178" t="str">
        <f>IFERROR(__xludf.DUMMYFUNCTION("""COMPUTED_VALUE"""),"ITBISA-RESISTOR-22K-1/4W")</f>
        <v>ITBISA-RESISTOR-22K-1/4W</v>
      </c>
      <c r="B9952" s="266">
        <f>IFERROR(__xludf.DUMMYFUNCTION("""COMPUTED_VALUE"""),44069.0)</f>
        <v>44069</v>
      </c>
      <c r="C9952" s="266" t="str">
        <f>IFERROR(__xludf.DUMMYFUNCTION("""COMPUTED_VALUE"""),"KOST SRITUNGGAL")</f>
        <v>KOST SRITUNGGAL</v>
      </c>
      <c r="D9952" s="186">
        <f>IFERROR(__xludf.DUMMYFUNCTION("""COMPUTED_VALUE"""),1.0)</f>
        <v>1</v>
      </c>
    </row>
    <row r="9953">
      <c r="A9953" s="178" t="str">
        <f>IFERROR(__xludf.DUMMYFUNCTION("""COMPUTED_VALUE"""),"ITBISA-RESISTOR-22K-1/4W")</f>
        <v>ITBISA-RESISTOR-22K-1/4W</v>
      </c>
      <c r="B9953" s="266">
        <f>IFERROR(__xludf.DUMMYFUNCTION("""COMPUTED_VALUE"""),44070.0)</f>
        <v>44070</v>
      </c>
      <c r="C9953" s="266" t="str">
        <f>IFERROR(__xludf.DUMMYFUNCTION("""COMPUTED_VALUE"""),"KOST SRITUNGGAL")</f>
        <v>KOST SRITUNGGAL</v>
      </c>
      <c r="D9953" s="186">
        <f>IFERROR(__xludf.DUMMYFUNCTION("""COMPUTED_VALUE"""),1.0)</f>
        <v>1</v>
      </c>
    </row>
    <row r="9954">
      <c r="A9954" s="178" t="str">
        <f>IFERROR(__xludf.DUMMYFUNCTION("""COMPUTED_VALUE"""),"ITBISA-RESISTOR-22K-1/4W")</f>
        <v>ITBISA-RESISTOR-22K-1/4W</v>
      </c>
      <c r="B9954" s="266">
        <f>IFERROR(__xludf.DUMMYFUNCTION("""COMPUTED_VALUE"""),44182.0)</f>
        <v>44182</v>
      </c>
      <c r="C9954" s="266" t="str">
        <f>IFERROR(__xludf.DUMMYFUNCTION("""COMPUTED_VALUE"""),"KYAI KONTONG")</f>
        <v>KYAI KONTONG</v>
      </c>
      <c r="D9954" s="186">
        <f>IFERROR(__xludf.DUMMYFUNCTION("""COMPUTED_VALUE"""),15.0)</f>
        <v>15</v>
      </c>
    </row>
    <row r="9955">
      <c r="A9955" s="178" t="str">
        <f>IFERROR(__xludf.DUMMYFUNCTION("""COMPUTED_VALUE"""),"ITBISA-RESISTOR-22K-1/4W")</f>
        <v>ITBISA-RESISTOR-22K-1/4W</v>
      </c>
      <c r="B9955" s="266">
        <f>IFERROR(__xludf.DUMMYFUNCTION("""COMPUTED_VALUE"""),44954.0)</f>
        <v>44954</v>
      </c>
      <c r="C9955" s="266" t="str">
        <f>IFERROR(__xludf.DUMMYFUNCTION("""COMPUTED_VALUE"""),"KYAI KONTONG")</f>
        <v>KYAI KONTONG</v>
      </c>
      <c r="D9955" s="186">
        <f>IFERROR(__xludf.DUMMYFUNCTION("""COMPUTED_VALUE"""),10.0)</f>
        <v>10</v>
      </c>
    </row>
    <row r="9956">
      <c r="A9956" s="178" t="str">
        <f>IFERROR(__xludf.DUMMYFUNCTION("""COMPUTED_VALUE"""),"ITBISA-RESISTOR-22K-1/4W")</f>
        <v>ITBISA-RESISTOR-22K-1/4W</v>
      </c>
      <c r="B9956" s="266">
        <f>IFERROR(__xludf.DUMMYFUNCTION("""COMPUTED_VALUE"""),44961.0)</f>
        <v>44961</v>
      </c>
      <c r="C9956" s="266" t="str">
        <f>IFERROR(__xludf.DUMMYFUNCTION("""COMPUTED_VALUE"""),"KYAI KONTONG")</f>
        <v>KYAI KONTONG</v>
      </c>
      <c r="D9956" s="186">
        <f>IFERROR(__xludf.DUMMYFUNCTION("""COMPUTED_VALUE"""),20.0)</f>
        <v>20</v>
      </c>
    </row>
    <row r="9957">
      <c r="A9957" s="178" t="str">
        <f>IFERROR(__xludf.DUMMYFUNCTION("""COMPUTED_VALUE"""),"ITBISA-RESISTOR-22K-1/4W")</f>
        <v>ITBISA-RESISTOR-22K-1/4W</v>
      </c>
      <c r="B9957" s="266">
        <f>IFERROR(__xludf.DUMMYFUNCTION("""COMPUTED_VALUE"""),44979.0)</f>
        <v>44979</v>
      </c>
      <c r="C9957" s="266" t="str">
        <f>IFERROR(__xludf.DUMMYFUNCTION("""COMPUTED_VALUE"""),"KYAI KONTONG")</f>
        <v>KYAI KONTONG</v>
      </c>
      <c r="D9957" s="186">
        <f>IFERROR(__xludf.DUMMYFUNCTION("""COMPUTED_VALUE"""),10.0)</f>
        <v>10</v>
      </c>
    </row>
    <row r="9958">
      <c r="A9958" s="178" t="str">
        <f>IFERROR(__xludf.DUMMYFUNCTION("""COMPUTED_VALUE"""),"ITBISA-RESISTOR-22K-1/4W")</f>
        <v>ITBISA-RESISTOR-22K-1/4W</v>
      </c>
      <c r="B9958" s="266">
        <f>IFERROR(__xludf.DUMMYFUNCTION("""COMPUTED_VALUE"""),44980.0)</f>
        <v>44980</v>
      </c>
      <c r="C9958" s="266" t="str">
        <f>IFERROR(__xludf.DUMMYFUNCTION("""COMPUTED_VALUE"""),"KYAI KONTONG")</f>
        <v>KYAI KONTONG</v>
      </c>
      <c r="D9958" s="186">
        <f>IFERROR(__xludf.DUMMYFUNCTION("""COMPUTED_VALUE"""),10.0)</f>
        <v>10</v>
      </c>
    </row>
    <row r="9959">
      <c r="A9959" s="178" t="str">
        <f>IFERROR(__xludf.DUMMYFUNCTION("""COMPUTED_VALUE"""),"ITBISA-RESISTOR-22K-1/4W")</f>
        <v>ITBISA-RESISTOR-22K-1/4W</v>
      </c>
      <c r="B9959" s="266">
        <f>IFERROR(__xludf.DUMMYFUNCTION("""COMPUTED_VALUE"""),45020.0)</f>
        <v>45020</v>
      </c>
      <c r="C9959" s="266" t="str">
        <f>IFERROR(__xludf.DUMMYFUNCTION("""COMPUTED_VALUE"""),"KYAI KONTONG")</f>
        <v>KYAI KONTONG</v>
      </c>
      <c r="D9959" s="186">
        <f>IFERROR(__xludf.DUMMYFUNCTION("""COMPUTED_VALUE"""),10.0)</f>
        <v>10</v>
      </c>
    </row>
    <row r="9960">
      <c r="A9960" s="178" t="str">
        <f>IFERROR(__xludf.DUMMYFUNCTION("""COMPUTED_VALUE"""),"ITBISA-RESISTOR-22K-1/4W")</f>
        <v>ITBISA-RESISTOR-22K-1/4W</v>
      </c>
      <c r="B9960" s="266">
        <f>IFERROR(__xludf.DUMMYFUNCTION("""COMPUTED_VALUE"""),45022.0)</f>
        <v>45022</v>
      </c>
      <c r="C9960" s="266" t="str">
        <f>IFERROR(__xludf.DUMMYFUNCTION("""COMPUTED_VALUE"""),"KYAI KONTONG")</f>
        <v>KYAI KONTONG</v>
      </c>
      <c r="D9960" s="186">
        <f>IFERROR(__xludf.DUMMYFUNCTION("""COMPUTED_VALUE"""),10.0)</f>
        <v>10</v>
      </c>
    </row>
    <row r="9961">
      <c r="A9961" s="178" t="str">
        <f>IFERROR(__xludf.DUMMYFUNCTION("""COMPUTED_VALUE"""),"ITBISA-RESISTOR-22K-1/4W")</f>
        <v>ITBISA-RESISTOR-22K-1/4W</v>
      </c>
      <c r="B9961" s="266">
        <f>IFERROR(__xludf.DUMMYFUNCTION("""COMPUTED_VALUE"""),45215.0)</f>
        <v>45215</v>
      </c>
      <c r="C9961" s="266" t="str">
        <f>IFERROR(__xludf.DUMMYFUNCTION("""COMPUTED_VALUE"""),"KYAI KONTONG")</f>
        <v>KYAI KONTONG</v>
      </c>
      <c r="D9961" s="186">
        <f>IFERROR(__xludf.DUMMYFUNCTION("""COMPUTED_VALUE"""),300.0)</f>
        <v>300</v>
      </c>
    </row>
    <row r="9962">
      <c r="A9962" s="178" t="str">
        <f>IFERROR(__xludf.DUMMYFUNCTION("""COMPUTED_VALUE"""),"ITBISA-RESISTOR-22K-1/4W")</f>
        <v>ITBISA-RESISTOR-22K-1/4W</v>
      </c>
      <c r="B9962" s="266">
        <f>IFERROR(__xludf.DUMMYFUNCTION("""COMPUTED_VALUE"""),45243.0)</f>
        <v>45243</v>
      </c>
      <c r="C9962" s="266" t="str">
        <f>IFERROR(__xludf.DUMMYFUNCTION("""COMPUTED_VALUE"""),"KYAI KONTONG")</f>
        <v>KYAI KONTONG</v>
      </c>
      <c r="D9962" s="186">
        <f>IFERROR(__xludf.DUMMYFUNCTION("""COMPUTED_VALUE"""),110.0)</f>
        <v>110</v>
      </c>
    </row>
    <row r="9963">
      <c r="A9963" s="178" t="str">
        <f>IFERROR(__xludf.DUMMYFUNCTION("""COMPUTED_VALUE"""),"ITBISA-RESISTOR-22K-1/4W")</f>
        <v>ITBISA-RESISTOR-22K-1/4W</v>
      </c>
      <c r="B9963" s="266">
        <f>IFERROR(__xludf.DUMMYFUNCTION("""COMPUTED_VALUE"""),45292.0)</f>
        <v>45292</v>
      </c>
      <c r="C9963" s="266" t="str">
        <f>IFERROR(__xludf.DUMMYFUNCTION("""COMPUTED_VALUE"""),"KYAI KONTONG")</f>
        <v>KYAI KONTONG</v>
      </c>
      <c r="D9963" s="186">
        <f>IFERROR(__xludf.DUMMYFUNCTION("""COMPUTED_VALUE"""),10.0)</f>
        <v>10</v>
      </c>
    </row>
    <row r="9964">
      <c r="A9964" s="178" t="str">
        <f>IFERROR(__xludf.DUMMYFUNCTION("""COMPUTED_VALUE"""),"ITBISA-RESISTOR-22K-1/4W")</f>
        <v>ITBISA-RESISTOR-22K-1/4W</v>
      </c>
      <c r="B9964" s="266">
        <f>IFERROR(__xludf.DUMMYFUNCTION("""COMPUTED_VALUE"""),45405.0)</f>
        <v>45405</v>
      </c>
      <c r="C9964" s="266" t="str">
        <f>IFERROR(__xludf.DUMMYFUNCTION("""COMPUTED_VALUE"""),"KYAI KONTONG")</f>
        <v>KYAI KONTONG</v>
      </c>
      <c r="D9964" s="186">
        <f>IFERROR(__xludf.DUMMYFUNCTION("""COMPUTED_VALUE"""),20.0)</f>
        <v>20</v>
      </c>
    </row>
    <row r="9965">
      <c r="A9965" s="178" t="str">
        <f>IFERROR(__xludf.DUMMYFUNCTION("""COMPUTED_VALUE"""),"ITBISA-RESISTOR-22K-1/4W")</f>
        <v>ITBISA-RESISTOR-22K-1/4W</v>
      </c>
      <c r="B9965" s="266">
        <f>IFERROR(__xludf.DUMMYFUNCTION("""COMPUTED_VALUE"""),45446.0)</f>
        <v>45446</v>
      </c>
      <c r="C9965" s="266" t="str">
        <f>IFERROR(__xludf.DUMMYFUNCTION("""COMPUTED_VALUE"""),"KERTASARI CIAMIS")</f>
        <v>KERTASARI CIAMIS</v>
      </c>
      <c r="D9965" s="186">
        <f>IFERROR(__xludf.DUMMYFUNCTION("""COMPUTED_VALUE"""),40.0)</f>
        <v>40</v>
      </c>
    </row>
    <row r="9966">
      <c r="A9966" s="178" t="str">
        <f>IFERROR(__xludf.DUMMYFUNCTION("""COMPUTED_VALUE"""),"ITBISA-RESISTOR-22K-1/4W")</f>
        <v>ITBISA-RESISTOR-22K-1/4W</v>
      </c>
      <c r="B9966" s="266">
        <f>IFERROR(__xludf.DUMMYFUNCTION("""COMPUTED_VALUE"""),45525.0)</f>
        <v>45525</v>
      </c>
      <c r="C9966" s="266" t="str">
        <f>IFERROR(__xludf.DUMMYFUNCTION("""COMPUTED_VALUE"""),"KYAI KONTONG")</f>
        <v>KYAI KONTONG</v>
      </c>
      <c r="D9966" s="186">
        <f>IFERROR(__xludf.DUMMYFUNCTION("""COMPUTED_VALUE"""),100.0)</f>
        <v>100</v>
      </c>
    </row>
    <row r="9967">
      <c r="A9967" s="178" t="str">
        <f>IFERROR(__xludf.DUMMYFUNCTION("""COMPUTED_VALUE"""),"ITBISA-RESISTOR-22K-1/4W")</f>
        <v>ITBISA-RESISTOR-22K-1/4W</v>
      </c>
      <c r="B9967" s="266">
        <f>IFERROR(__xludf.DUMMYFUNCTION("""COMPUTED_VALUE"""),45965.0)</f>
        <v>45965</v>
      </c>
      <c r="C9967" s="266" t="str">
        <f>IFERROR(__xludf.DUMMYFUNCTION("""COMPUTED_VALUE"""),"KYAI KONTONG")</f>
        <v>KYAI KONTONG</v>
      </c>
      <c r="D9967" s="186">
        <f>IFERROR(__xludf.DUMMYFUNCTION("""COMPUTED_VALUE"""),20.0)</f>
        <v>20</v>
      </c>
    </row>
    <row r="9968">
      <c r="A9968" s="178" t="str">
        <f>IFERROR(__xludf.DUMMYFUNCTION("""COMPUTED_VALUE"""),"ITBISA-RESISTOR-22K-1/4W")</f>
        <v>ITBISA-RESISTOR-22K-1/4W</v>
      </c>
      <c r="B9968" s="266">
        <f>IFERROR(__xludf.DUMMYFUNCTION("""COMPUTED_VALUE"""),45966.0)</f>
        <v>45966</v>
      </c>
      <c r="C9968" s="266" t="str">
        <f>IFERROR(__xludf.DUMMYFUNCTION("""COMPUTED_VALUE"""),"KYAI KONTONG")</f>
        <v>KYAI KONTONG</v>
      </c>
      <c r="D9968" s="186">
        <f>IFERROR(__xludf.DUMMYFUNCTION("""COMPUTED_VALUE"""),10.0)</f>
        <v>10</v>
      </c>
    </row>
    <row r="9969">
      <c r="A9969" s="178" t="str">
        <f>IFERROR(__xludf.DUMMYFUNCTION("""COMPUTED_VALUE"""),"ITBISA-RESISTOR-22K-1/4W")</f>
        <v>ITBISA-RESISTOR-22K-1/4W</v>
      </c>
      <c r="B9969" s="266">
        <f>IFERROR(__xludf.DUMMYFUNCTION("""COMPUTED_VALUE"""),46006.0)</f>
        <v>46006</v>
      </c>
      <c r="C9969" s="266" t="str">
        <f>IFERROR(__xludf.DUMMYFUNCTION("""COMPUTED_VALUE"""),"KYAI KONTONG")</f>
        <v>KYAI KONTONG</v>
      </c>
      <c r="D9969" s="186">
        <f>IFERROR(__xludf.DUMMYFUNCTION("""COMPUTED_VALUE"""),10.0)</f>
        <v>10</v>
      </c>
    </row>
    <row r="9970">
      <c r="A9970" s="178" t="str">
        <f>IFERROR(__xludf.DUMMYFUNCTION("""COMPUTED_VALUE"""),"ITBISA-RESISTOR-22K-1/4W")</f>
        <v>ITBISA-RESISTOR-22K-1/4W</v>
      </c>
      <c r="B9970" s="266">
        <f>IFERROR(__xludf.DUMMYFUNCTION("""COMPUTED_VALUE"""),46014.0)</f>
        <v>46014</v>
      </c>
      <c r="C9970" s="266" t="str">
        <f>IFERROR(__xludf.DUMMYFUNCTION("""COMPUTED_VALUE"""),"KYAI KONTONG")</f>
        <v>KYAI KONTONG</v>
      </c>
      <c r="D9970" s="186">
        <f>IFERROR(__xludf.DUMMYFUNCTION("""COMPUTED_VALUE"""),20.0)</f>
        <v>20</v>
      </c>
    </row>
    <row r="9971">
      <c r="A9971" s="178" t="str">
        <f>IFERROR(__xludf.DUMMYFUNCTION("""COMPUTED_VALUE"""),"ITBISA-RESISTOR-22K-1/4W")</f>
        <v>ITBISA-RESISTOR-22K-1/4W</v>
      </c>
      <c r="B9971" s="266">
        <f>IFERROR(__xludf.DUMMYFUNCTION("""COMPUTED_VALUE"""),46017.0)</f>
        <v>46017</v>
      </c>
      <c r="C9971" s="266" t="str">
        <f>IFERROR(__xludf.DUMMYFUNCTION("""COMPUTED_VALUE"""),"KYAI KONTONG")</f>
        <v>KYAI KONTONG</v>
      </c>
      <c r="D9971" s="186">
        <f>IFERROR(__xludf.DUMMYFUNCTION("""COMPUTED_VALUE"""),10.0)</f>
        <v>10</v>
      </c>
    </row>
    <row r="9972">
      <c r="A9972" s="178" t="str">
        <f>IFERROR(__xludf.DUMMYFUNCTION("""COMPUTED_VALUE"""),"ITBISA-RESISTOR-270-1/4W")</f>
        <v>ITBISA-RESISTOR-270-1/4W</v>
      </c>
      <c r="B9972" s="266">
        <f>IFERROR(__xludf.DUMMYFUNCTION("""COMPUTED_VALUE"""),45957.0)</f>
        <v>45957</v>
      </c>
      <c r="C9972" s="266" t="str">
        <f>IFERROR(__xludf.DUMMYFUNCTION("""COMPUTED_VALUE"""),"KERTASARI CIAMIS")</f>
        <v>KERTASARI CIAMIS</v>
      </c>
      <c r="D9972" s="186">
        <f>IFERROR(__xludf.DUMMYFUNCTION("""COMPUTED_VALUE"""),5.0)</f>
        <v>5</v>
      </c>
    </row>
    <row r="9973">
      <c r="A9973" s="178" t="str">
        <f>IFERROR(__xludf.DUMMYFUNCTION("""COMPUTED_VALUE"""),"ITBISA-RESISTOR-270K-1/4W")</f>
        <v>ITBISA-RESISTOR-270K-1/4W</v>
      </c>
      <c r="B9973" s="266">
        <f>IFERROR(__xludf.DUMMYFUNCTION("""COMPUTED_VALUE"""),45947.0)</f>
        <v>45947</v>
      </c>
      <c r="C9973" s="266" t="str">
        <f>IFERROR(__xludf.DUMMYFUNCTION("""COMPUTED_VALUE"""),"KYAI KONTONG")</f>
        <v>KYAI KONTONG</v>
      </c>
      <c r="D9973" s="186">
        <f>IFERROR(__xludf.DUMMYFUNCTION("""COMPUTED_VALUE"""),10.0)</f>
        <v>10</v>
      </c>
    </row>
    <row r="9974">
      <c r="A9974" s="178" t="str">
        <f>IFERROR(__xludf.DUMMYFUNCTION("""COMPUTED_VALUE"""),"ITBISA-RESISTOR-270K-1/4W")</f>
        <v>ITBISA-RESISTOR-270K-1/4W</v>
      </c>
      <c r="B9974" s="266">
        <f>IFERROR(__xludf.DUMMYFUNCTION("""COMPUTED_VALUE"""),45991.0)</f>
        <v>45991</v>
      </c>
      <c r="C9974" s="266" t="str">
        <f>IFERROR(__xludf.DUMMYFUNCTION("""COMPUTED_VALUE"""),"KYAI KONTONG")</f>
        <v>KYAI KONTONG</v>
      </c>
      <c r="D9974" s="186">
        <f>IFERROR(__xludf.DUMMYFUNCTION("""COMPUTED_VALUE"""),5.0)</f>
        <v>5</v>
      </c>
    </row>
    <row r="9975">
      <c r="A9975" s="178" t="str">
        <f>IFERROR(__xludf.DUMMYFUNCTION("""COMPUTED_VALUE"""),"ITBISA-RESISTOR-270K-1/4W")</f>
        <v>ITBISA-RESISTOR-270K-1/4W</v>
      </c>
      <c r="B9975" s="266">
        <f>IFERROR(__xludf.DUMMYFUNCTION("""COMPUTED_VALUE"""),46002.0)</f>
        <v>46002</v>
      </c>
      <c r="C9975" s="266" t="str">
        <f>IFERROR(__xludf.DUMMYFUNCTION("""COMPUTED_VALUE"""),"KYAI KONTONG")</f>
        <v>KYAI KONTONG</v>
      </c>
      <c r="D9975" s="186">
        <f>IFERROR(__xludf.DUMMYFUNCTION("""COMPUTED_VALUE"""),10.0)</f>
        <v>10</v>
      </c>
    </row>
    <row r="9976">
      <c r="A9976" s="178" t="str">
        <f>IFERROR(__xludf.DUMMYFUNCTION("""COMPUTED_VALUE"""),"ITBISA-RESISTOR-27K-1/4W")</f>
        <v>ITBISA-RESISTOR-27K-1/4W</v>
      </c>
      <c r="B9976" s="266">
        <f>IFERROR(__xludf.DUMMYFUNCTION("""COMPUTED_VALUE"""),44844.0)</f>
        <v>44844</v>
      </c>
      <c r="C9976" s="266" t="str">
        <f>IFERROR(__xludf.DUMMYFUNCTION("""COMPUTED_VALUE"""),"KYAI KONTONG")</f>
        <v>KYAI KONTONG</v>
      </c>
      <c r="D9976" s="186">
        <f>IFERROR(__xludf.DUMMYFUNCTION("""COMPUTED_VALUE"""),10.0)</f>
        <v>10</v>
      </c>
    </row>
    <row r="9977">
      <c r="A9977" s="178" t="str">
        <f>IFERROR(__xludf.DUMMYFUNCTION("""COMPUTED_VALUE"""),"ITBISA-RESISTOR-27K-1/4W")</f>
        <v>ITBISA-RESISTOR-27K-1/4W</v>
      </c>
      <c r="B9977" s="266">
        <f>IFERROR(__xludf.DUMMYFUNCTION("""COMPUTED_VALUE"""),44954.0)</f>
        <v>44954</v>
      </c>
      <c r="C9977" s="266" t="str">
        <f>IFERROR(__xludf.DUMMYFUNCTION("""COMPUTED_VALUE"""),"KYAI KONTONG")</f>
        <v>KYAI KONTONG</v>
      </c>
      <c r="D9977" s="186">
        <f>IFERROR(__xludf.DUMMYFUNCTION("""COMPUTED_VALUE"""),10.0)</f>
        <v>10</v>
      </c>
    </row>
    <row r="9978">
      <c r="A9978" s="178" t="str">
        <f>IFERROR(__xludf.DUMMYFUNCTION("""COMPUTED_VALUE"""),"ITBISA-RESISTOR-27K-1/4W")</f>
        <v>ITBISA-RESISTOR-27K-1/4W</v>
      </c>
      <c r="B9978" s="266">
        <f>IFERROR(__xludf.DUMMYFUNCTION("""COMPUTED_VALUE"""),45030.0)</f>
        <v>45030</v>
      </c>
      <c r="C9978" s="266" t="str">
        <f>IFERROR(__xludf.DUMMYFUNCTION("""COMPUTED_VALUE"""),"KYAI KONTONG")</f>
        <v>KYAI KONTONG</v>
      </c>
      <c r="D9978" s="186">
        <f>IFERROR(__xludf.DUMMYFUNCTION("""COMPUTED_VALUE"""),10.0)</f>
        <v>10</v>
      </c>
    </row>
    <row r="9979">
      <c r="A9979" s="178" t="str">
        <f>IFERROR(__xludf.DUMMYFUNCTION("""COMPUTED_VALUE"""),"ITBISA-RESISTOR-27K-1/4W")</f>
        <v>ITBISA-RESISTOR-27K-1/4W</v>
      </c>
      <c r="B9979" s="266">
        <f>IFERROR(__xludf.DUMMYFUNCTION("""COMPUTED_VALUE"""),45366.0)</f>
        <v>45366</v>
      </c>
      <c r="C9979" s="266" t="str">
        <f>IFERROR(__xludf.DUMMYFUNCTION("""COMPUTED_VALUE"""),"KYAI KONTONG")</f>
        <v>KYAI KONTONG</v>
      </c>
      <c r="D9979" s="186">
        <f>IFERROR(__xludf.DUMMYFUNCTION("""COMPUTED_VALUE"""),450.0)</f>
        <v>450</v>
      </c>
    </row>
    <row r="9980">
      <c r="A9980" s="178" t="str">
        <f>IFERROR(__xludf.DUMMYFUNCTION("""COMPUTED_VALUE"""),"ITBISA-RESISTOR-27K-1/4W")</f>
        <v>ITBISA-RESISTOR-27K-1/4W</v>
      </c>
      <c r="B9980" s="266">
        <f>IFERROR(__xludf.DUMMYFUNCTION("""COMPUTED_VALUE"""),45965.0)</f>
        <v>45965</v>
      </c>
      <c r="C9980" s="266" t="str">
        <f>IFERROR(__xludf.DUMMYFUNCTION("""COMPUTED_VALUE"""),"KYAI KONTONG")</f>
        <v>KYAI KONTONG</v>
      </c>
      <c r="D9980" s="186">
        <f>IFERROR(__xludf.DUMMYFUNCTION("""COMPUTED_VALUE"""),10.0)</f>
        <v>10</v>
      </c>
    </row>
    <row r="9981">
      <c r="A9981" s="178" t="str">
        <f>IFERROR(__xludf.DUMMYFUNCTION("""COMPUTED_VALUE"""),"ITBISA-RESISTOR-27K-1/4W")</f>
        <v>ITBISA-RESISTOR-27K-1/4W</v>
      </c>
      <c r="B9981" s="266">
        <f>IFERROR(__xludf.DUMMYFUNCTION("""COMPUTED_VALUE"""),45979.0)</f>
        <v>45979</v>
      </c>
      <c r="C9981" s="266" t="str">
        <f>IFERROR(__xludf.DUMMYFUNCTION("""COMPUTED_VALUE"""),"KYAI KONTONG")</f>
        <v>KYAI KONTONG</v>
      </c>
      <c r="D9981" s="186">
        <f>IFERROR(__xludf.DUMMYFUNCTION("""COMPUTED_VALUE"""),10.0)</f>
        <v>10</v>
      </c>
    </row>
    <row r="9982">
      <c r="A9982" s="178" t="str">
        <f>IFERROR(__xludf.DUMMYFUNCTION("""COMPUTED_VALUE"""),"ITBISA-RESISTOR-27K-1/4W")</f>
        <v>ITBISA-RESISTOR-27K-1/4W</v>
      </c>
      <c r="B9982" s="266">
        <f>IFERROR(__xludf.DUMMYFUNCTION("""COMPUTED_VALUE"""),45991.0)</f>
        <v>45991</v>
      </c>
      <c r="C9982" s="266" t="str">
        <f>IFERROR(__xludf.DUMMYFUNCTION("""COMPUTED_VALUE"""),"KYAI KONTONG")</f>
        <v>KYAI KONTONG</v>
      </c>
      <c r="D9982" s="186">
        <f>IFERROR(__xludf.DUMMYFUNCTION("""COMPUTED_VALUE"""),6.0)</f>
        <v>6</v>
      </c>
    </row>
    <row r="9983">
      <c r="A9983" s="178" t="str">
        <f>IFERROR(__xludf.DUMMYFUNCTION("""COMPUTED_VALUE"""),"ITBISA-RESISTOR-2K2-1/4W")</f>
        <v>ITBISA-RESISTOR-2K2-1/4W</v>
      </c>
      <c r="B9983" s="266">
        <f>IFERROR(__xludf.DUMMYFUNCTION("""COMPUTED_VALUE"""),44005.0)</f>
        <v>44005</v>
      </c>
      <c r="C9983" s="266" t="str">
        <f>IFERROR(__xludf.DUMMYFUNCTION("""COMPUTED_VALUE"""),"KAETOBO RESIDENCE")</f>
        <v>KAETOBO RESIDENCE</v>
      </c>
      <c r="D9983" s="186">
        <f>IFERROR(__xludf.DUMMYFUNCTION("""COMPUTED_VALUE"""),50.0)</f>
        <v>50</v>
      </c>
    </row>
    <row r="9984">
      <c r="A9984" s="178" t="str">
        <f>IFERROR(__xludf.DUMMYFUNCTION("""COMPUTED_VALUE"""),"ITBISA-RESISTOR-2K2-1/4W")</f>
        <v>ITBISA-RESISTOR-2K2-1/4W</v>
      </c>
      <c r="B9984" s="266">
        <f>IFERROR(__xludf.DUMMYFUNCTION("""COMPUTED_VALUE"""),44008.0)</f>
        <v>44008</v>
      </c>
      <c r="C9984" s="266" t="str">
        <f>IFERROR(__xludf.DUMMYFUNCTION("""COMPUTED_VALUE"""),"KAETOBO RESIDENCE")</f>
        <v>KAETOBO RESIDENCE</v>
      </c>
      <c r="D9984" s="186">
        <f>IFERROR(__xludf.DUMMYFUNCTION("""COMPUTED_VALUE"""),50.0)</f>
        <v>50</v>
      </c>
    </row>
    <row r="9985">
      <c r="A9985" s="178" t="str">
        <f>IFERROR(__xludf.DUMMYFUNCTION("""COMPUTED_VALUE"""),"ITBISA-RESISTOR-2K2-1/4W")</f>
        <v>ITBISA-RESISTOR-2K2-1/4W</v>
      </c>
      <c r="B9985" s="266">
        <f>IFERROR(__xludf.DUMMYFUNCTION("""COMPUTED_VALUE"""),44008.0)</f>
        <v>44008</v>
      </c>
      <c r="C9985" s="266" t="str">
        <f>IFERROR(__xludf.DUMMYFUNCTION("""COMPUTED_VALUE"""),"KAETOBO RESIDENCE")</f>
        <v>KAETOBO RESIDENCE</v>
      </c>
      <c r="D9985" s="186">
        <f>IFERROR(__xludf.DUMMYFUNCTION("""COMPUTED_VALUE"""),50.0)</f>
        <v>50</v>
      </c>
    </row>
    <row r="9986">
      <c r="A9986" s="178" t="str">
        <f>IFERROR(__xludf.DUMMYFUNCTION("""COMPUTED_VALUE"""),"ITBISA-RESISTOR-2K2-1/4W")</f>
        <v>ITBISA-RESISTOR-2K2-1/4W</v>
      </c>
      <c r="B9986" s="266">
        <f>IFERROR(__xludf.DUMMYFUNCTION("""COMPUTED_VALUE"""),44024.0)</f>
        <v>44024</v>
      </c>
      <c r="C9986" s="266" t="str">
        <f>IFERROR(__xludf.DUMMYFUNCTION("""COMPUTED_VALUE"""),"KAETOBO RESIDENCE")</f>
        <v>KAETOBO RESIDENCE</v>
      </c>
      <c r="D9986" s="186">
        <f>IFERROR(__xludf.DUMMYFUNCTION("""COMPUTED_VALUE"""),30.0)</f>
        <v>30</v>
      </c>
    </row>
    <row r="9987">
      <c r="A9987" s="178" t="str">
        <f>IFERROR(__xludf.DUMMYFUNCTION("""COMPUTED_VALUE"""),"ITBISA-RESISTOR-2K2-1/4W")</f>
        <v>ITBISA-RESISTOR-2K2-1/4W</v>
      </c>
      <c r="B9987" s="266">
        <f>IFERROR(__xludf.DUMMYFUNCTION("""COMPUTED_VALUE"""),44032.0)</f>
        <v>44032</v>
      </c>
      <c r="C9987" s="266" t="str">
        <f>IFERROR(__xludf.DUMMYFUNCTION("""COMPUTED_VALUE"""),"KAETOBO RESIDENCE")</f>
        <v>KAETOBO RESIDENCE</v>
      </c>
      <c r="D9987" s="186">
        <f>IFERROR(__xludf.DUMMYFUNCTION("""COMPUTED_VALUE"""),4.0)</f>
        <v>4</v>
      </c>
    </row>
    <row r="9988">
      <c r="A9988" s="178" t="str">
        <f>IFERROR(__xludf.DUMMYFUNCTION("""COMPUTED_VALUE"""),"ITBISA-RESISTOR-2K2-1/4W")</f>
        <v>ITBISA-RESISTOR-2K2-1/4W</v>
      </c>
      <c r="B9988" s="266">
        <f>IFERROR(__xludf.DUMMYFUNCTION("""COMPUTED_VALUE"""),44042.0)</f>
        <v>44042</v>
      </c>
      <c r="C9988" s="266" t="str">
        <f>IFERROR(__xludf.DUMMYFUNCTION("""COMPUTED_VALUE"""),"KAETOBO RESIDENCE")</f>
        <v>KAETOBO RESIDENCE</v>
      </c>
      <c r="D9988" s="186">
        <f>IFERROR(__xludf.DUMMYFUNCTION("""COMPUTED_VALUE"""),10.0)</f>
        <v>10</v>
      </c>
    </row>
    <row r="9989">
      <c r="A9989" s="178" t="str">
        <f>IFERROR(__xludf.DUMMYFUNCTION("""COMPUTED_VALUE"""),"ITBISA-RESISTOR-2K2-1/4W")</f>
        <v>ITBISA-RESISTOR-2K2-1/4W</v>
      </c>
      <c r="B9989" s="266">
        <f>IFERROR(__xludf.DUMMYFUNCTION("""COMPUTED_VALUE"""),44051.0)</f>
        <v>44051</v>
      </c>
      <c r="C9989" s="266" t="str">
        <f>IFERROR(__xludf.DUMMYFUNCTION("""COMPUTED_VALUE"""),"KOST SRITUNGGAL")</f>
        <v>KOST SRITUNGGAL</v>
      </c>
      <c r="D9989" s="186">
        <f>IFERROR(__xludf.DUMMYFUNCTION("""COMPUTED_VALUE"""),100.0)</f>
        <v>100</v>
      </c>
    </row>
    <row r="9990">
      <c r="A9990" s="178" t="str">
        <f>IFERROR(__xludf.DUMMYFUNCTION("""COMPUTED_VALUE"""),"ITBISA-RESISTOR-2K2-1/4W")</f>
        <v>ITBISA-RESISTOR-2K2-1/4W</v>
      </c>
      <c r="B9990" s="266">
        <f>IFERROR(__xludf.DUMMYFUNCTION("""COMPUTED_VALUE"""),44064.0)</f>
        <v>44064</v>
      </c>
      <c r="C9990" s="266" t="str">
        <f>IFERROR(__xludf.DUMMYFUNCTION("""COMPUTED_VALUE"""),"KOST SRITUNGGAL")</f>
        <v>KOST SRITUNGGAL</v>
      </c>
      <c r="D9990" s="186">
        <f>IFERROR(__xludf.DUMMYFUNCTION("""COMPUTED_VALUE"""),1.0)</f>
        <v>1</v>
      </c>
    </row>
    <row r="9991">
      <c r="A9991" s="178" t="str">
        <f>IFERROR(__xludf.DUMMYFUNCTION("""COMPUTED_VALUE"""),"ITBISA-RESISTOR-2K2-1/4W")</f>
        <v>ITBISA-RESISTOR-2K2-1/4W</v>
      </c>
      <c r="B9991" s="266">
        <f>IFERROR(__xludf.DUMMYFUNCTION("""COMPUTED_VALUE"""),44066.0)</f>
        <v>44066</v>
      </c>
      <c r="C9991" s="266" t="str">
        <f>IFERROR(__xludf.DUMMYFUNCTION("""COMPUTED_VALUE"""),"KOST SRITUNGGAL")</f>
        <v>KOST SRITUNGGAL</v>
      </c>
      <c r="D9991" s="186">
        <f>IFERROR(__xludf.DUMMYFUNCTION("""COMPUTED_VALUE"""),1.0)</f>
        <v>1</v>
      </c>
    </row>
    <row r="9992">
      <c r="A9992" s="178" t="str">
        <f>IFERROR(__xludf.DUMMYFUNCTION("""COMPUTED_VALUE"""),"ITBISA-RESISTOR-2K2-1/4W")</f>
        <v>ITBISA-RESISTOR-2K2-1/4W</v>
      </c>
      <c r="B9992" s="266">
        <f>IFERROR(__xludf.DUMMYFUNCTION("""COMPUTED_VALUE"""),44067.0)</f>
        <v>44067</v>
      </c>
      <c r="C9992" s="266" t="str">
        <f>IFERROR(__xludf.DUMMYFUNCTION("""COMPUTED_VALUE"""),"KOST SRITUNGGAL")</f>
        <v>KOST SRITUNGGAL</v>
      </c>
      <c r="D9992" s="186">
        <f>IFERROR(__xludf.DUMMYFUNCTION("""COMPUTED_VALUE"""),1.0)</f>
        <v>1</v>
      </c>
    </row>
    <row r="9993">
      <c r="A9993" s="178" t="str">
        <f>IFERROR(__xludf.DUMMYFUNCTION("""COMPUTED_VALUE"""),"ITBISA-RESISTOR-2K2-1/4W")</f>
        <v>ITBISA-RESISTOR-2K2-1/4W</v>
      </c>
      <c r="B9993" s="266">
        <f>IFERROR(__xludf.DUMMYFUNCTION("""COMPUTED_VALUE"""),44068.0)</f>
        <v>44068</v>
      </c>
      <c r="C9993" s="266" t="str">
        <f>IFERROR(__xludf.DUMMYFUNCTION("""COMPUTED_VALUE"""),"KOST SRITUNGGAL")</f>
        <v>KOST SRITUNGGAL</v>
      </c>
      <c r="D9993" s="186">
        <f>IFERROR(__xludf.DUMMYFUNCTION("""COMPUTED_VALUE"""),1.0)</f>
        <v>1</v>
      </c>
    </row>
    <row r="9994">
      <c r="A9994" s="178" t="str">
        <f>IFERROR(__xludf.DUMMYFUNCTION("""COMPUTED_VALUE"""),"ITBISA-RESISTOR-2K2-1/4W")</f>
        <v>ITBISA-RESISTOR-2K2-1/4W</v>
      </c>
      <c r="B9994" s="266">
        <f>IFERROR(__xludf.DUMMYFUNCTION("""COMPUTED_VALUE"""),44069.0)</f>
        <v>44069</v>
      </c>
      <c r="C9994" s="266" t="str">
        <f>IFERROR(__xludf.DUMMYFUNCTION("""COMPUTED_VALUE"""),"KOST SRITUNGGAL")</f>
        <v>KOST SRITUNGGAL</v>
      </c>
      <c r="D9994" s="186">
        <f>IFERROR(__xludf.DUMMYFUNCTION("""COMPUTED_VALUE"""),1.0)</f>
        <v>1</v>
      </c>
    </row>
    <row r="9995">
      <c r="A9995" s="178" t="str">
        <f>IFERROR(__xludf.DUMMYFUNCTION("""COMPUTED_VALUE"""),"ITBISA-RESISTOR-2K2-1/4W")</f>
        <v>ITBISA-RESISTOR-2K2-1/4W</v>
      </c>
      <c r="B9995" s="266">
        <f>IFERROR(__xludf.DUMMYFUNCTION("""COMPUTED_VALUE"""),44069.0)</f>
        <v>44069</v>
      </c>
      <c r="C9995" s="266" t="str">
        <f>IFERROR(__xludf.DUMMYFUNCTION("""COMPUTED_VALUE"""),"KOST SRITUNGGAL")</f>
        <v>KOST SRITUNGGAL</v>
      </c>
      <c r="D9995" s="186">
        <f>IFERROR(__xludf.DUMMYFUNCTION("""COMPUTED_VALUE"""),1.0)</f>
        <v>1</v>
      </c>
    </row>
    <row r="9996">
      <c r="A9996" s="178" t="str">
        <f>IFERROR(__xludf.DUMMYFUNCTION("""COMPUTED_VALUE"""),"ITBISA-RESISTOR-2K2-1/4W")</f>
        <v>ITBISA-RESISTOR-2K2-1/4W</v>
      </c>
      <c r="B9996" s="266">
        <f>IFERROR(__xludf.DUMMYFUNCTION("""COMPUTED_VALUE"""),44069.0)</f>
        <v>44069</v>
      </c>
      <c r="C9996" s="266" t="str">
        <f>IFERROR(__xludf.DUMMYFUNCTION("""COMPUTED_VALUE"""),"KOST SRITUNGGAL")</f>
        <v>KOST SRITUNGGAL</v>
      </c>
      <c r="D9996" s="186">
        <f>IFERROR(__xludf.DUMMYFUNCTION("""COMPUTED_VALUE"""),1.0)</f>
        <v>1</v>
      </c>
    </row>
    <row r="9997">
      <c r="A9997" s="178" t="str">
        <f>IFERROR(__xludf.DUMMYFUNCTION("""COMPUTED_VALUE"""),"ITBISA-RESISTOR-2K2-1/4W")</f>
        <v>ITBISA-RESISTOR-2K2-1/4W</v>
      </c>
      <c r="B9997" s="266">
        <f>IFERROR(__xludf.DUMMYFUNCTION("""COMPUTED_VALUE"""),44070.0)</f>
        <v>44070</v>
      </c>
      <c r="C9997" s="266" t="str">
        <f>IFERROR(__xludf.DUMMYFUNCTION("""COMPUTED_VALUE"""),"KOST SRITUNGGAL")</f>
        <v>KOST SRITUNGGAL</v>
      </c>
      <c r="D9997" s="186">
        <f>IFERROR(__xludf.DUMMYFUNCTION("""COMPUTED_VALUE"""),1.0)</f>
        <v>1</v>
      </c>
    </row>
    <row r="9998">
      <c r="A9998" s="178" t="str">
        <f>IFERROR(__xludf.DUMMYFUNCTION("""COMPUTED_VALUE"""),"ITBISA-RESISTOR-2K2-1/4W")</f>
        <v>ITBISA-RESISTOR-2K2-1/4W</v>
      </c>
      <c r="B9998" s="266">
        <f>IFERROR(__xludf.DUMMYFUNCTION("""COMPUTED_VALUE"""),44070.0)</f>
        <v>44070</v>
      </c>
      <c r="C9998" s="266" t="str">
        <f>IFERROR(__xludf.DUMMYFUNCTION("""COMPUTED_VALUE"""),"KOST SRITUNGGAL")</f>
        <v>KOST SRITUNGGAL</v>
      </c>
      <c r="D9998" s="186">
        <f>IFERROR(__xludf.DUMMYFUNCTION("""COMPUTED_VALUE"""),1.0)</f>
        <v>1</v>
      </c>
    </row>
    <row r="9999">
      <c r="A9999" s="178" t="str">
        <f>IFERROR(__xludf.DUMMYFUNCTION("""COMPUTED_VALUE"""),"ITBISA-RESISTOR-2K2-1/4W")</f>
        <v>ITBISA-RESISTOR-2K2-1/4W</v>
      </c>
      <c r="B9999" s="266">
        <f>IFERROR(__xludf.DUMMYFUNCTION("""COMPUTED_VALUE"""),44071.0)</f>
        <v>44071</v>
      </c>
      <c r="C9999" s="266" t="str">
        <f>IFERROR(__xludf.DUMMYFUNCTION("""COMPUTED_VALUE"""),"KOST SRITUNGGAL")</f>
        <v>KOST SRITUNGGAL</v>
      </c>
      <c r="D9999" s="186">
        <f>IFERROR(__xludf.DUMMYFUNCTION("""COMPUTED_VALUE"""),1.0)</f>
        <v>1</v>
      </c>
    </row>
    <row r="10000">
      <c r="A10000" s="178" t="str">
        <f>IFERROR(__xludf.DUMMYFUNCTION("""COMPUTED_VALUE"""),"ITBISA-RESISTOR-2K2-1/4W")</f>
        <v>ITBISA-RESISTOR-2K2-1/4W</v>
      </c>
      <c r="B10000" s="266">
        <f>IFERROR(__xludf.DUMMYFUNCTION("""COMPUTED_VALUE"""),44074.0)</f>
        <v>44074</v>
      </c>
      <c r="C10000" s="266" t="str">
        <f>IFERROR(__xludf.DUMMYFUNCTION("""COMPUTED_VALUE"""),"KOST SRITUNGGAL")</f>
        <v>KOST SRITUNGGAL</v>
      </c>
      <c r="D10000" s="186">
        <f>IFERROR(__xludf.DUMMYFUNCTION("""COMPUTED_VALUE"""),1.0)</f>
        <v>1</v>
      </c>
    </row>
    <row r="10001">
      <c r="A10001" s="178" t="str">
        <f>IFERROR(__xludf.DUMMYFUNCTION("""COMPUTED_VALUE"""),"ITBISA-RESISTOR-2K2-1/4W")</f>
        <v>ITBISA-RESISTOR-2K2-1/4W</v>
      </c>
      <c r="B10001" s="266">
        <f>IFERROR(__xludf.DUMMYFUNCTION("""COMPUTED_VALUE"""),44075.0)</f>
        <v>44075</v>
      </c>
      <c r="C10001" s="266" t="str">
        <f>IFERROR(__xludf.DUMMYFUNCTION("""COMPUTED_VALUE"""),"KOST SRITUNGGAL")</f>
        <v>KOST SRITUNGGAL</v>
      </c>
      <c r="D10001" s="186">
        <f>IFERROR(__xludf.DUMMYFUNCTION("""COMPUTED_VALUE"""),1.0)</f>
        <v>1</v>
      </c>
    </row>
    <row r="10002">
      <c r="A10002" s="178" t="str">
        <f>IFERROR(__xludf.DUMMYFUNCTION("""COMPUTED_VALUE"""),"ITBISA-RESISTOR-2K2-1/4W")</f>
        <v>ITBISA-RESISTOR-2K2-1/4W</v>
      </c>
      <c r="B10002" s="266">
        <f>IFERROR(__xludf.DUMMYFUNCTION("""COMPUTED_VALUE"""),44075.0)</f>
        <v>44075</v>
      </c>
      <c r="C10002" s="266" t="str">
        <f>IFERROR(__xludf.DUMMYFUNCTION("""COMPUTED_VALUE"""),"KOST SRITUNGGAL")</f>
        <v>KOST SRITUNGGAL</v>
      </c>
      <c r="D10002" s="186">
        <f>IFERROR(__xludf.DUMMYFUNCTION("""COMPUTED_VALUE"""),1.0)</f>
        <v>1</v>
      </c>
    </row>
    <row r="10003">
      <c r="A10003" s="178" t="str">
        <f>IFERROR(__xludf.DUMMYFUNCTION("""COMPUTED_VALUE"""),"ITBISA-RESISTOR-2K2-1/4W")</f>
        <v>ITBISA-RESISTOR-2K2-1/4W</v>
      </c>
      <c r="B10003" s="266">
        <f>IFERROR(__xludf.DUMMYFUNCTION("""COMPUTED_VALUE"""),44075.0)</f>
        <v>44075</v>
      </c>
      <c r="C10003" s="266" t="str">
        <f>IFERROR(__xludf.DUMMYFUNCTION("""COMPUTED_VALUE"""),"KOST SRITUNGGAL")</f>
        <v>KOST SRITUNGGAL</v>
      </c>
      <c r="D10003" s="186">
        <f>IFERROR(__xludf.DUMMYFUNCTION("""COMPUTED_VALUE"""),1.0)</f>
        <v>1</v>
      </c>
    </row>
    <row r="10004">
      <c r="A10004" s="178" t="str">
        <f>IFERROR(__xludf.DUMMYFUNCTION("""COMPUTED_VALUE"""),"ITBISA-RESISTOR-2K2-1/4W")</f>
        <v>ITBISA-RESISTOR-2K2-1/4W</v>
      </c>
      <c r="B10004" s="266">
        <f>IFERROR(__xludf.DUMMYFUNCTION("""COMPUTED_VALUE"""),44075.0)</f>
        <v>44075</v>
      </c>
      <c r="C10004" s="266" t="str">
        <f>IFERROR(__xludf.DUMMYFUNCTION("""COMPUTED_VALUE"""),"KOST SRITUNGGAL")</f>
        <v>KOST SRITUNGGAL</v>
      </c>
      <c r="D10004" s="186">
        <f>IFERROR(__xludf.DUMMYFUNCTION("""COMPUTED_VALUE"""),1.0)</f>
        <v>1</v>
      </c>
    </row>
    <row r="10005">
      <c r="A10005" s="178" t="str">
        <f>IFERROR(__xludf.DUMMYFUNCTION("""COMPUTED_VALUE"""),"ITBISA-RESISTOR-2K2-1/4W")</f>
        <v>ITBISA-RESISTOR-2K2-1/4W</v>
      </c>
      <c r="B10005" s="266">
        <f>IFERROR(__xludf.DUMMYFUNCTION("""COMPUTED_VALUE"""),44076.0)</f>
        <v>44076</v>
      </c>
      <c r="C10005" s="266" t="str">
        <f>IFERROR(__xludf.DUMMYFUNCTION("""COMPUTED_VALUE"""),"KOST SRITUNGGAL")</f>
        <v>KOST SRITUNGGAL</v>
      </c>
      <c r="D10005" s="186">
        <f>IFERROR(__xludf.DUMMYFUNCTION("""COMPUTED_VALUE"""),1.0)</f>
        <v>1</v>
      </c>
    </row>
    <row r="10006">
      <c r="A10006" s="178" t="str">
        <f>IFERROR(__xludf.DUMMYFUNCTION("""COMPUTED_VALUE"""),"ITBISA-RESISTOR-2K2-1/4W")</f>
        <v>ITBISA-RESISTOR-2K2-1/4W</v>
      </c>
      <c r="B10006" s="266">
        <f>IFERROR(__xludf.DUMMYFUNCTION("""COMPUTED_VALUE"""),44076.0)</f>
        <v>44076</v>
      </c>
      <c r="C10006" s="266" t="str">
        <f>IFERROR(__xludf.DUMMYFUNCTION("""COMPUTED_VALUE"""),"KOST SRITUNGGAL")</f>
        <v>KOST SRITUNGGAL</v>
      </c>
      <c r="D10006" s="186">
        <f>IFERROR(__xludf.DUMMYFUNCTION("""COMPUTED_VALUE"""),1.0)</f>
        <v>1</v>
      </c>
    </row>
    <row r="10007">
      <c r="A10007" s="178" t="str">
        <f>IFERROR(__xludf.DUMMYFUNCTION("""COMPUTED_VALUE"""),"ITBISA-RESISTOR-2K2-1/4W")</f>
        <v>ITBISA-RESISTOR-2K2-1/4W</v>
      </c>
      <c r="B10007" s="266">
        <f>IFERROR(__xludf.DUMMYFUNCTION("""COMPUTED_VALUE"""),44076.0)</f>
        <v>44076</v>
      </c>
      <c r="C10007" s="266" t="str">
        <f>IFERROR(__xludf.DUMMYFUNCTION("""COMPUTED_VALUE"""),"KOST SRITUNGGAL")</f>
        <v>KOST SRITUNGGAL</v>
      </c>
      <c r="D10007" s="186">
        <f>IFERROR(__xludf.DUMMYFUNCTION("""COMPUTED_VALUE"""),1.0)</f>
        <v>1</v>
      </c>
    </row>
    <row r="10008">
      <c r="A10008" s="178" t="str">
        <f>IFERROR(__xludf.DUMMYFUNCTION("""COMPUTED_VALUE"""),"ITBISA-RESISTOR-2K2-1/4W")</f>
        <v>ITBISA-RESISTOR-2K2-1/4W</v>
      </c>
      <c r="B10008" s="266">
        <f>IFERROR(__xludf.DUMMYFUNCTION("""COMPUTED_VALUE"""),44076.0)</f>
        <v>44076</v>
      </c>
      <c r="C10008" s="266" t="str">
        <f>IFERROR(__xludf.DUMMYFUNCTION("""COMPUTED_VALUE"""),"KOST SRITUNGGAL")</f>
        <v>KOST SRITUNGGAL</v>
      </c>
      <c r="D10008" s="186">
        <f>IFERROR(__xludf.DUMMYFUNCTION("""COMPUTED_VALUE"""),1.0)</f>
        <v>1</v>
      </c>
    </row>
    <row r="10009">
      <c r="A10009" s="178" t="str">
        <f>IFERROR(__xludf.DUMMYFUNCTION("""COMPUTED_VALUE"""),"ITBISA-RESISTOR-2K2-1/4W")</f>
        <v>ITBISA-RESISTOR-2K2-1/4W</v>
      </c>
      <c r="B10009" s="266">
        <f>IFERROR(__xludf.DUMMYFUNCTION("""COMPUTED_VALUE"""),44076.0)</f>
        <v>44076</v>
      </c>
      <c r="C10009" s="266" t="str">
        <f>IFERROR(__xludf.DUMMYFUNCTION("""COMPUTED_VALUE"""),"KOST SRITUNGGAL")</f>
        <v>KOST SRITUNGGAL</v>
      </c>
      <c r="D10009" s="186">
        <f>IFERROR(__xludf.DUMMYFUNCTION("""COMPUTED_VALUE"""),1.0)</f>
        <v>1</v>
      </c>
    </row>
    <row r="10010">
      <c r="A10010" s="178" t="str">
        <f>IFERROR(__xludf.DUMMYFUNCTION("""COMPUTED_VALUE"""),"ITBISA-RESISTOR-2K2-1/4W")</f>
        <v>ITBISA-RESISTOR-2K2-1/4W</v>
      </c>
      <c r="B10010" s="266">
        <f>IFERROR(__xludf.DUMMYFUNCTION("""COMPUTED_VALUE"""),44076.0)</f>
        <v>44076</v>
      </c>
      <c r="C10010" s="266" t="str">
        <f>IFERROR(__xludf.DUMMYFUNCTION("""COMPUTED_VALUE"""),"KOST SRITUNGGAL")</f>
        <v>KOST SRITUNGGAL</v>
      </c>
      <c r="D10010" s="186">
        <f>IFERROR(__xludf.DUMMYFUNCTION("""COMPUTED_VALUE"""),1.0)</f>
        <v>1</v>
      </c>
    </row>
    <row r="10011">
      <c r="A10011" s="178" t="str">
        <f>IFERROR(__xludf.DUMMYFUNCTION("""COMPUTED_VALUE"""),"ITBISA-RESISTOR-2K2-1/4W")</f>
        <v>ITBISA-RESISTOR-2K2-1/4W</v>
      </c>
      <c r="B10011" s="266">
        <f>IFERROR(__xludf.DUMMYFUNCTION("""COMPUTED_VALUE"""),44077.0)</f>
        <v>44077</v>
      </c>
      <c r="C10011" s="266" t="str">
        <f>IFERROR(__xludf.DUMMYFUNCTION("""COMPUTED_VALUE"""),"KOST SRITUNGGAL")</f>
        <v>KOST SRITUNGGAL</v>
      </c>
      <c r="D10011" s="186">
        <f>IFERROR(__xludf.DUMMYFUNCTION("""COMPUTED_VALUE"""),1.0)</f>
        <v>1</v>
      </c>
    </row>
    <row r="10012">
      <c r="A10012" s="178" t="str">
        <f>IFERROR(__xludf.DUMMYFUNCTION("""COMPUTED_VALUE"""),"ITBISA-RESISTOR-2K2-1/4W")</f>
        <v>ITBISA-RESISTOR-2K2-1/4W</v>
      </c>
      <c r="B10012" s="266">
        <f>IFERROR(__xludf.DUMMYFUNCTION("""COMPUTED_VALUE"""),44077.0)</f>
        <v>44077</v>
      </c>
      <c r="C10012" s="266" t="str">
        <f>IFERROR(__xludf.DUMMYFUNCTION("""COMPUTED_VALUE"""),"KOST SRITUNGGAL")</f>
        <v>KOST SRITUNGGAL</v>
      </c>
      <c r="D10012" s="186">
        <f>IFERROR(__xludf.DUMMYFUNCTION("""COMPUTED_VALUE"""),1.0)</f>
        <v>1</v>
      </c>
    </row>
    <row r="10013">
      <c r="A10013" s="178" t="str">
        <f>IFERROR(__xludf.DUMMYFUNCTION("""COMPUTED_VALUE"""),"ITBISA-RESISTOR-2K2-1/4W")</f>
        <v>ITBISA-RESISTOR-2K2-1/4W</v>
      </c>
      <c r="B10013" s="266">
        <f>IFERROR(__xludf.DUMMYFUNCTION("""COMPUTED_VALUE"""),44077.0)</f>
        <v>44077</v>
      </c>
      <c r="C10013" s="266" t="str">
        <f>IFERROR(__xludf.DUMMYFUNCTION("""COMPUTED_VALUE"""),"KOST SRITUNGGAL")</f>
        <v>KOST SRITUNGGAL</v>
      </c>
      <c r="D10013" s="186">
        <f>IFERROR(__xludf.DUMMYFUNCTION("""COMPUTED_VALUE"""),1.0)</f>
        <v>1</v>
      </c>
    </row>
    <row r="10014">
      <c r="A10014" s="178" t="str">
        <f>IFERROR(__xludf.DUMMYFUNCTION("""COMPUTED_VALUE"""),"ITBISA-RESISTOR-2K2-1/4W")</f>
        <v>ITBISA-RESISTOR-2K2-1/4W</v>
      </c>
      <c r="B10014" s="266">
        <f>IFERROR(__xludf.DUMMYFUNCTION("""COMPUTED_VALUE"""),44077.0)</f>
        <v>44077</v>
      </c>
      <c r="C10014" s="266" t="str">
        <f>IFERROR(__xludf.DUMMYFUNCTION("""COMPUTED_VALUE"""),"KOST SRITUNGGAL")</f>
        <v>KOST SRITUNGGAL</v>
      </c>
      <c r="D10014" s="186">
        <f>IFERROR(__xludf.DUMMYFUNCTION("""COMPUTED_VALUE"""),1.0)</f>
        <v>1</v>
      </c>
    </row>
    <row r="10015">
      <c r="A10015" s="178" t="str">
        <f>IFERROR(__xludf.DUMMYFUNCTION("""COMPUTED_VALUE"""),"ITBISA-RESISTOR-2K2-1/4W")</f>
        <v>ITBISA-RESISTOR-2K2-1/4W</v>
      </c>
      <c r="B10015" s="266">
        <f>IFERROR(__xludf.DUMMYFUNCTION("""COMPUTED_VALUE"""),44077.0)</f>
        <v>44077</v>
      </c>
      <c r="C10015" s="266" t="str">
        <f>IFERROR(__xludf.DUMMYFUNCTION("""COMPUTED_VALUE"""),"KOST SRITUNGGAL")</f>
        <v>KOST SRITUNGGAL</v>
      </c>
      <c r="D10015" s="186">
        <f>IFERROR(__xludf.DUMMYFUNCTION("""COMPUTED_VALUE"""),1.0)</f>
        <v>1</v>
      </c>
    </row>
    <row r="10016">
      <c r="A10016" s="178" t="str">
        <f>IFERROR(__xludf.DUMMYFUNCTION("""COMPUTED_VALUE"""),"ITBISA-RESISTOR-2K2-1/4W")</f>
        <v>ITBISA-RESISTOR-2K2-1/4W</v>
      </c>
      <c r="B10016" s="266">
        <f>IFERROR(__xludf.DUMMYFUNCTION("""COMPUTED_VALUE"""),44168.0)</f>
        <v>44168</v>
      </c>
      <c r="C10016" s="266" t="str">
        <f>IFERROR(__xludf.DUMMYFUNCTION("""COMPUTED_VALUE"""),"KOST RUMAHUMI")</f>
        <v>KOST RUMAHUMI</v>
      </c>
      <c r="D10016" s="186">
        <f>IFERROR(__xludf.DUMMYFUNCTION("""COMPUTED_VALUE"""),118.0)</f>
        <v>118</v>
      </c>
    </row>
    <row r="10017">
      <c r="A10017" s="178" t="str">
        <f>IFERROR(__xludf.DUMMYFUNCTION("""COMPUTED_VALUE"""),"ITBISA-RESISTOR-2K2-1/4W")</f>
        <v>ITBISA-RESISTOR-2K2-1/4W</v>
      </c>
      <c r="B10017" s="266">
        <f>IFERROR(__xludf.DUMMYFUNCTION("""COMPUTED_VALUE"""),44230.0)</f>
        <v>44230</v>
      </c>
      <c r="C10017" s="266" t="str">
        <f>IFERROR(__xludf.DUMMYFUNCTION("""COMPUTED_VALUE"""),"KOST RUMAHUMI")</f>
        <v>KOST RUMAHUMI</v>
      </c>
      <c r="D10017" s="186">
        <f>IFERROR(__xludf.DUMMYFUNCTION("""COMPUTED_VALUE"""),238.0)</f>
        <v>238</v>
      </c>
    </row>
    <row r="10018">
      <c r="A10018" s="178" t="str">
        <f>IFERROR(__xludf.DUMMYFUNCTION("""COMPUTED_VALUE"""),"ITBISA-RESISTOR-2K2-1/4W")</f>
        <v>ITBISA-RESISTOR-2K2-1/4W</v>
      </c>
      <c r="B10018" s="266">
        <f>IFERROR(__xludf.DUMMYFUNCTION("""COMPUTED_VALUE"""),45638.0)</f>
        <v>45638</v>
      </c>
      <c r="C10018" s="266" t="str">
        <f>IFERROR(__xludf.DUMMYFUNCTION("""COMPUTED_VALUE"""),"KYAI KONTONG")</f>
        <v>KYAI KONTONG</v>
      </c>
      <c r="D10018" s="186">
        <f>IFERROR(__xludf.DUMMYFUNCTION("""COMPUTED_VALUE"""),50.0)</f>
        <v>50</v>
      </c>
    </row>
    <row r="10019">
      <c r="A10019" s="178" t="str">
        <f>IFERROR(__xludf.DUMMYFUNCTION("""COMPUTED_VALUE"""),"ITBISA-RESISTOR-2K2-1/4W")</f>
        <v>ITBISA-RESISTOR-2K2-1/4W</v>
      </c>
      <c r="B10019" s="266">
        <f>IFERROR(__xludf.DUMMYFUNCTION("""COMPUTED_VALUE"""),45674.0)</f>
        <v>45674</v>
      </c>
      <c r="C10019" s="266" t="str">
        <f>IFERROR(__xludf.DUMMYFUNCTION("""COMPUTED_VALUE"""),"KYAI KONTONG")</f>
        <v>KYAI KONTONG</v>
      </c>
      <c r="D10019" s="186">
        <f>IFERROR(__xludf.DUMMYFUNCTION("""COMPUTED_VALUE"""),50.0)</f>
        <v>50</v>
      </c>
    </row>
    <row r="10020">
      <c r="A10020" s="178" t="str">
        <f>IFERROR(__xludf.DUMMYFUNCTION("""COMPUTED_VALUE"""),"ITBISA-RESISTOR-2K2-1/4W")</f>
        <v>ITBISA-RESISTOR-2K2-1/4W</v>
      </c>
      <c r="B10020" s="266">
        <f>IFERROR(__xludf.DUMMYFUNCTION("""COMPUTED_VALUE"""),45758.0)</f>
        <v>45758</v>
      </c>
      <c r="C10020" s="266" t="str">
        <f>IFERROR(__xludf.DUMMYFUNCTION("""COMPUTED_VALUE"""),"KERTASARI CIAMIS")</f>
        <v>KERTASARI CIAMIS</v>
      </c>
      <c r="D10020" s="186">
        <f>IFERROR(__xludf.DUMMYFUNCTION("""COMPUTED_VALUE"""),10.0)</f>
        <v>10</v>
      </c>
    </row>
    <row r="10021">
      <c r="A10021" s="178" t="str">
        <f>IFERROR(__xludf.DUMMYFUNCTION("""COMPUTED_VALUE"""),"ITBISA-RESISTOR-2K2-1/4W")</f>
        <v>ITBISA-RESISTOR-2K2-1/4W</v>
      </c>
      <c r="B10021" s="266">
        <f>IFERROR(__xludf.DUMMYFUNCTION("""COMPUTED_VALUE"""),45907.0)</f>
        <v>45907</v>
      </c>
      <c r="C10021" s="266" t="str">
        <f>IFERROR(__xludf.DUMMYFUNCTION("""COMPUTED_VALUE"""),"KERTASARI CIAMIS")</f>
        <v>KERTASARI CIAMIS</v>
      </c>
      <c r="D10021" s="186">
        <f>IFERROR(__xludf.DUMMYFUNCTION("""COMPUTED_VALUE"""),20.0)</f>
        <v>20</v>
      </c>
    </row>
    <row r="10022">
      <c r="A10022" s="178" t="str">
        <f>IFERROR(__xludf.DUMMYFUNCTION("""COMPUTED_VALUE"""),"ITBISA-RESISTOR-2K2-1/4W")</f>
        <v>ITBISA-RESISTOR-2K2-1/4W</v>
      </c>
      <c r="B10022" s="266">
        <f>IFERROR(__xludf.DUMMYFUNCTION("""COMPUTED_VALUE"""),45957.0)</f>
        <v>45957</v>
      </c>
      <c r="C10022" s="266" t="str">
        <f>IFERROR(__xludf.DUMMYFUNCTION("""COMPUTED_VALUE"""),"KYAI KONTONG")</f>
        <v>KYAI KONTONG</v>
      </c>
      <c r="D10022" s="186">
        <f>IFERROR(__xludf.DUMMYFUNCTION("""COMPUTED_VALUE"""),100.0)</f>
        <v>100</v>
      </c>
    </row>
    <row r="10023">
      <c r="A10023" s="178" t="str">
        <f>IFERROR(__xludf.DUMMYFUNCTION("""COMPUTED_VALUE"""),"ITBISA-RESISTOR-2K2-1/4W")</f>
        <v>ITBISA-RESISTOR-2K2-1/4W</v>
      </c>
      <c r="B10023" s="266">
        <f>IFERROR(__xludf.DUMMYFUNCTION("""COMPUTED_VALUE"""),45965.0)</f>
        <v>45965</v>
      </c>
      <c r="C10023" s="266" t="str">
        <f>IFERROR(__xludf.DUMMYFUNCTION("""COMPUTED_VALUE"""),"KERTASARI CIAMIS")</f>
        <v>KERTASARI CIAMIS</v>
      </c>
      <c r="D10023" s="186">
        <f>IFERROR(__xludf.DUMMYFUNCTION("""COMPUTED_VALUE"""),100.0)</f>
        <v>100</v>
      </c>
    </row>
    <row r="10024">
      <c r="A10024" s="178" t="str">
        <f>IFERROR(__xludf.DUMMYFUNCTION("""COMPUTED_VALUE"""),"ITBISA-RESISTOR-2K2-1/4W")</f>
        <v>ITBISA-RESISTOR-2K2-1/4W</v>
      </c>
      <c r="B10024" s="266">
        <f>IFERROR(__xludf.DUMMYFUNCTION("""COMPUTED_VALUE"""),45965.0)</f>
        <v>45965</v>
      </c>
      <c r="C10024" s="266" t="str">
        <f>IFERROR(__xludf.DUMMYFUNCTION("""COMPUTED_VALUE"""),"KYAI KONTONG")</f>
        <v>KYAI KONTONG</v>
      </c>
      <c r="D10024" s="186">
        <f>IFERROR(__xludf.DUMMYFUNCTION("""COMPUTED_VALUE"""),10.0)</f>
        <v>10</v>
      </c>
    </row>
    <row r="10025">
      <c r="A10025" s="178" t="str">
        <f>IFERROR(__xludf.DUMMYFUNCTION("""COMPUTED_VALUE"""),"ITBISA-RESISTOR-2K2-1/4W")</f>
        <v>ITBISA-RESISTOR-2K2-1/4W</v>
      </c>
      <c r="B10025" s="266">
        <f>IFERROR(__xludf.DUMMYFUNCTION("""COMPUTED_VALUE"""),45977.0)</f>
        <v>45977</v>
      </c>
      <c r="C10025" s="266" t="str">
        <f>IFERROR(__xludf.DUMMYFUNCTION("""COMPUTED_VALUE"""),"KYAI KONTONG")</f>
        <v>KYAI KONTONG</v>
      </c>
      <c r="D10025" s="186">
        <f>IFERROR(__xludf.DUMMYFUNCTION("""COMPUTED_VALUE"""),15.0)</f>
        <v>15</v>
      </c>
    </row>
    <row r="10026">
      <c r="A10026" s="178" t="str">
        <f>IFERROR(__xludf.DUMMYFUNCTION("""COMPUTED_VALUE"""),"ITBISA-RESISTOR-2K2-1/4W")</f>
        <v>ITBISA-RESISTOR-2K2-1/4W</v>
      </c>
      <c r="B10026" s="266">
        <f>IFERROR(__xludf.DUMMYFUNCTION("""COMPUTED_VALUE"""),45978.0)</f>
        <v>45978</v>
      </c>
      <c r="C10026" s="266" t="str">
        <f>IFERROR(__xludf.DUMMYFUNCTION("""COMPUTED_VALUE"""),"KYAI KONTONG")</f>
        <v>KYAI KONTONG</v>
      </c>
      <c r="D10026" s="186">
        <f>IFERROR(__xludf.DUMMYFUNCTION("""COMPUTED_VALUE"""),20.0)</f>
        <v>20</v>
      </c>
    </row>
    <row r="10027">
      <c r="A10027" s="178" t="str">
        <f>IFERROR(__xludf.DUMMYFUNCTION("""COMPUTED_VALUE"""),"ITBISA-RESISTOR-2K2-1/4W")</f>
        <v>ITBISA-RESISTOR-2K2-1/4W</v>
      </c>
      <c r="B10027" s="266">
        <f>IFERROR(__xludf.DUMMYFUNCTION("""COMPUTED_VALUE"""),46005.0)</f>
        <v>46005</v>
      </c>
      <c r="C10027" s="266" t="str">
        <f>IFERROR(__xludf.DUMMYFUNCTION("""COMPUTED_VALUE"""),"KYAI KONTONG")</f>
        <v>KYAI KONTONG</v>
      </c>
      <c r="D10027" s="186">
        <f>IFERROR(__xludf.DUMMYFUNCTION("""COMPUTED_VALUE"""),10.0)</f>
        <v>10</v>
      </c>
    </row>
    <row r="10028">
      <c r="A10028" s="178" t="str">
        <f>IFERROR(__xludf.DUMMYFUNCTION("""COMPUTED_VALUE"""),"ITBISA-RESISTOR-2K2-1/4W")</f>
        <v>ITBISA-RESISTOR-2K2-1/4W</v>
      </c>
      <c r="B10028" s="266">
        <f>IFERROR(__xludf.DUMMYFUNCTION("""COMPUTED_VALUE"""),46006.0)</f>
        <v>46006</v>
      </c>
      <c r="C10028" s="266" t="str">
        <f>IFERROR(__xludf.DUMMYFUNCTION("""COMPUTED_VALUE"""),"KYAI KONTONG")</f>
        <v>KYAI KONTONG</v>
      </c>
      <c r="D10028" s="186">
        <f>IFERROR(__xludf.DUMMYFUNCTION("""COMPUTED_VALUE"""),20.0)</f>
        <v>20</v>
      </c>
    </row>
    <row r="10029">
      <c r="A10029" s="178" t="str">
        <f>IFERROR(__xludf.DUMMYFUNCTION("""COMPUTED_VALUE"""),"ITBISA-RESISTOR-2K2-1/4W")</f>
        <v>ITBISA-RESISTOR-2K2-1/4W</v>
      </c>
      <c r="B10029" s="266">
        <f>IFERROR(__xludf.DUMMYFUNCTION("""COMPUTED_VALUE"""),46011.0)</f>
        <v>46011</v>
      </c>
      <c r="C10029" s="266" t="str">
        <f>IFERROR(__xludf.DUMMYFUNCTION("""COMPUTED_VALUE"""),"KYAI KONTONG")</f>
        <v>KYAI KONTONG</v>
      </c>
      <c r="D10029" s="186">
        <f>IFERROR(__xludf.DUMMYFUNCTION("""COMPUTED_VALUE"""),10.0)</f>
        <v>10</v>
      </c>
    </row>
    <row r="10030">
      <c r="A10030" s="178" t="str">
        <f>IFERROR(__xludf.DUMMYFUNCTION("""COMPUTED_VALUE"""),"ITBISA-RESISTOR-2K2-1/4W")</f>
        <v>ITBISA-RESISTOR-2K2-1/4W</v>
      </c>
      <c r="B10030" s="266">
        <f>IFERROR(__xludf.DUMMYFUNCTION("""COMPUTED_VALUE"""),46017.0)</f>
        <v>46017</v>
      </c>
      <c r="C10030" s="266" t="str">
        <f>IFERROR(__xludf.DUMMYFUNCTION("""COMPUTED_VALUE"""),"KYAI KONTONG")</f>
        <v>KYAI KONTONG</v>
      </c>
      <c r="D10030" s="186">
        <f>IFERROR(__xludf.DUMMYFUNCTION("""COMPUTED_VALUE"""),10.0)</f>
        <v>10</v>
      </c>
    </row>
    <row r="10031">
      <c r="A10031" s="178" t="str">
        <f>IFERROR(__xludf.DUMMYFUNCTION("""COMPUTED_VALUE"""),"ITBISA-RESISTOR-2K7-1/4W")</f>
        <v>ITBISA-RESISTOR-2K7-1/4W</v>
      </c>
      <c r="B10031" s="266">
        <f>IFERROR(__xludf.DUMMYFUNCTION("""COMPUTED_VALUE"""),45965.0)</f>
        <v>45965</v>
      </c>
      <c r="C10031" s="266" t="str">
        <f>IFERROR(__xludf.DUMMYFUNCTION("""COMPUTED_VALUE"""),"KYAI KONTONG")</f>
        <v>KYAI KONTONG</v>
      </c>
      <c r="D10031" s="186">
        <f>IFERROR(__xludf.DUMMYFUNCTION("""COMPUTED_VALUE"""),10.0)</f>
        <v>10</v>
      </c>
    </row>
    <row r="10032">
      <c r="A10032" s="178" t="str">
        <f>IFERROR(__xludf.DUMMYFUNCTION("""COMPUTED_VALUE"""),"ITBISA-RESISTOR-2K7-1/4W")</f>
        <v>ITBISA-RESISTOR-2K7-1/4W</v>
      </c>
      <c r="B10032" s="266">
        <f>IFERROR(__xludf.DUMMYFUNCTION("""COMPUTED_VALUE"""),45987.0)</f>
        <v>45987</v>
      </c>
      <c r="C10032" s="266" t="str">
        <f>IFERROR(__xludf.DUMMYFUNCTION("""COMPUTED_VALUE"""),"KERTASARI CIAMIS")</f>
        <v>KERTASARI CIAMIS</v>
      </c>
      <c r="D10032" s="186">
        <f>IFERROR(__xludf.DUMMYFUNCTION("""COMPUTED_VALUE"""),20.0)</f>
        <v>20</v>
      </c>
    </row>
    <row r="10033">
      <c r="A10033" s="178" t="str">
        <f>IFERROR(__xludf.DUMMYFUNCTION("""COMPUTED_VALUE"""),"ITBISA-RESISTOR-330-1/4W")</f>
        <v>ITBISA-RESISTOR-330-1/4W</v>
      </c>
      <c r="B10033" s="266">
        <f>IFERROR(__xludf.DUMMYFUNCTION("""COMPUTED_VALUE"""),45088.0)</f>
        <v>45088</v>
      </c>
      <c r="C10033" s="266" t="str">
        <f>IFERROR(__xludf.DUMMYFUNCTION("""COMPUTED_VALUE"""),"KYAI KONTONG")</f>
        <v>KYAI KONTONG</v>
      </c>
      <c r="D10033" s="186">
        <f>IFERROR(__xludf.DUMMYFUNCTION("""COMPUTED_VALUE"""),30.0)</f>
        <v>30</v>
      </c>
    </row>
    <row r="10034">
      <c r="A10034" s="178" t="str">
        <f>IFERROR(__xludf.DUMMYFUNCTION("""COMPUTED_VALUE"""),"ITBISA-RESISTOR-330-1/4W")</f>
        <v>ITBISA-RESISTOR-330-1/4W</v>
      </c>
      <c r="B10034" s="266">
        <f>IFERROR(__xludf.DUMMYFUNCTION("""COMPUTED_VALUE"""),45132.0)</f>
        <v>45132</v>
      </c>
      <c r="C10034" s="266" t="str">
        <f>IFERROR(__xludf.DUMMYFUNCTION("""COMPUTED_VALUE"""),"KYAI KONTONG")</f>
        <v>KYAI KONTONG</v>
      </c>
      <c r="D10034" s="186">
        <f>IFERROR(__xludf.DUMMYFUNCTION("""COMPUTED_VALUE"""),100.0)</f>
        <v>100</v>
      </c>
    </row>
    <row r="10035">
      <c r="A10035" s="178" t="str">
        <f>IFERROR(__xludf.DUMMYFUNCTION("""COMPUTED_VALUE"""),"ITBISA-RESISTOR-330-1/4W")</f>
        <v>ITBISA-RESISTOR-330-1/4W</v>
      </c>
      <c r="B10035" s="266">
        <f>IFERROR(__xludf.DUMMYFUNCTION("""COMPUTED_VALUE"""),45189.0)</f>
        <v>45189</v>
      </c>
      <c r="C10035" s="266" t="str">
        <f>IFERROR(__xludf.DUMMYFUNCTION("""COMPUTED_VALUE"""),"KYAI KONTONG")</f>
        <v>KYAI KONTONG</v>
      </c>
      <c r="D10035" s="186">
        <f>IFERROR(__xludf.DUMMYFUNCTION("""COMPUTED_VALUE"""),10.0)</f>
        <v>10</v>
      </c>
    </row>
    <row r="10036">
      <c r="A10036" s="178" t="str">
        <f>IFERROR(__xludf.DUMMYFUNCTION("""COMPUTED_VALUE"""),"ITBISA-RESISTOR-330-1/4W")</f>
        <v>ITBISA-RESISTOR-330-1/4W</v>
      </c>
      <c r="B10036" s="266">
        <f>IFERROR(__xludf.DUMMYFUNCTION("""COMPUTED_VALUE"""),45202.0)</f>
        <v>45202</v>
      </c>
      <c r="C10036" s="266" t="str">
        <f>IFERROR(__xludf.DUMMYFUNCTION("""COMPUTED_VALUE"""),"KYAI KONTONG")</f>
        <v>KYAI KONTONG</v>
      </c>
      <c r="D10036" s="186">
        <f>IFERROR(__xludf.DUMMYFUNCTION("""COMPUTED_VALUE"""),100.0)</f>
        <v>100</v>
      </c>
    </row>
    <row r="10037">
      <c r="A10037" s="178" t="str">
        <f>IFERROR(__xludf.DUMMYFUNCTION("""COMPUTED_VALUE"""),"ITBISA-RESISTOR-330-1/4W")</f>
        <v>ITBISA-RESISTOR-330-1/4W</v>
      </c>
      <c r="B10037" s="266">
        <f>IFERROR(__xludf.DUMMYFUNCTION("""COMPUTED_VALUE"""),45230.0)</f>
        <v>45230</v>
      </c>
      <c r="C10037" s="266" t="str">
        <f>IFERROR(__xludf.DUMMYFUNCTION("""COMPUTED_VALUE"""),"KYAI KONTONG")</f>
        <v>KYAI KONTONG</v>
      </c>
      <c r="D10037" s="186">
        <f>IFERROR(__xludf.DUMMYFUNCTION("""COMPUTED_VALUE"""),10.0)</f>
        <v>10</v>
      </c>
    </row>
    <row r="10038">
      <c r="A10038" s="178" t="str">
        <f>IFERROR(__xludf.DUMMYFUNCTION("""COMPUTED_VALUE"""),"ITBISA-RESISTOR-330-1/4W")</f>
        <v>ITBISA-RESISTOR-330-1/4W</v>
      </c>
      <c r="B10038" s="266">
        <f>IFERROR(__xludf.DUMMYFUNCTION("""COMPUTED_VALUE"""),45243.0)</f>
        <v>45243</v>
      </c>
      <c r="C10038" s="266" t="str">
        <f>IFERROR(__xludf.DUMMYFUNCTION("""COMPUTED_VALUE"""),"KYAI KONTONG")</f>
        <v>KYAI KONTONG</v>
      </c>
      <c r="D10038" s="186">
        <f>IFERROR(__xludf.DUMMYFUNCTION("""COMPUTED_VALUE"""),100.0)</f>
        <v>100</v>
      </c>
    </row>
    <row r="10039">
      <c r="A10039" s="178" t="str">
        <f>IFERROR(__xludf.DUMMYFUNCTION("""COMPUTED_VALUE"""),"ITBISA-RESISTOR-330-1/4W")</f>
        <v>ITBISA-RESISTOR-330-1/4W</v>
      </c>
      <c r="B10039" s="266">
        <f>IFERROR(__xludf.DUMMYFUNCTION("""COMPUTED_VALUE"""),45285.0)</f>
        <v>45285</v>
      </c>
      <c r="C10039" s="266" t="str">
        <f>IFERROR(__xludf.DUMMYFUNCTION("""COMPUTED_VALUE"""),"KYAI KONTONG")</f>
        <v>KYAI KONTONG</v>
      </c>
      <c r="D10039" s="186">
        <f>IFERROR(__xludf.DUMMYFUNCTION("""COMPUTED_VALUE"""),10.0)</f>
        <v>10</v>
      </c>
    </row>
    <row r="10040">
      <c r="A10040" s="178" t="str">
        <f>IFERROR(__xludf.DUMMYFUNCTION("""COMPUTED_VALUE"""),"ITBISA-RESISTOR-330-1/4W")</f>
        <v>ITBISA-RESISTOR-330-1/4W</v>
      </c>
      <c r="B10040" s="266">
        <f>IFERROR(__xludf.DUMMYFUNCTION("""COMPUTED_VALUE"""),45285.0)</f>
        <v>45285</v>
      </c>
      <c r="C10040" s="266" t="str">
        <f>IFERROR(__xludf.DUMMYFUNCTION("""COMPUTED_VALUE"""),"KYAI KONTONG")</f>
        <v>KYAI KONTONG</v>
      </c>
      <c r="D10040" s="186">
        <f>IFERROR(__xludf.DUMMYFUNCTION("""COMPUTED_VALUE"""),200.0)</f>
        <v>200</v>
      </c>
    </row>
    <row r="10041">
      <c r="A10041" s="178" t="str">
        <f>IFERROR(__xludf.DUMMYFUNCTION("""COMPUTED_VALUE"""),"ITBISA-RESISTOR-330-1/4W")</f>
        <v>ITBISA-RESISTOR-330-1/4W</v>
      </c>
      <c r="B10041" s="266">
        <f>IFERROR(__xludf.DUMMYFUNCTION("""COMPUTED_VALUE"""),45292.0)</f>
        <v>45292</v>
      </c>
      <c r="C10041" s="266" t="str">
        <f>IFERROR(__xludf.DUMMYFUNCTION("""COMPUTED_VALUE"""),"KYAI KONTONG")</f>
        <v>KYAI KONTONG</v>
      </c>
      <c r="D10041" s="186">
        <f>IFERROR(__xludf.DUMMYFUNCTION("""COMPUTED_VALUE"""),150.0)</f>
        <v>150</v>
      </c>
    </row>
    <row r="10042">
      <c r="A10042" s="178" t="str">
        <f>IFERROR(__xludf.DUMMYFUNCTION("""COMPUTED_VALUE"""),"ITBISA-RESISTOR-330-1/4W")</f>
        <v>ITBISA-RESISTOR-330-1/4W</v>
      </c>
      <c r="B10042" s="266">
        <f>IFERROR(__xludf.DUMMYFUNCTION("""COMPUTED_VALUE"""),45313.0)</f>
        <v>45313</v>
      </c>
      <c r="C10042" s="266" t="str">
        <f>IFERROR(__xludf.DUMMYFUNCTION("""COMPUTED_VALUE"""),"KYAI KONTONG")</f>
        <v>KYAI KONTONG</v>
      </c>
      <c r="D10042" s="186">
        <f>IFERROR(__xludf.DUMMYFUNCTION("""COMPUTED_VALUE"""),290.0)</f>
        <v>290</v>
      </c>
    </row>
    <row r="10043">
      <c r="A10043" s="178" t="str">
        <f>IFERROR(__xludf.DUMMYFUNCTION("""COMPUTED_VALUE"""),"ITBISA-RESISTOR-330-1/4W")</f>
        <v>ITBISA-RESISTOR-330-1/4W</v>
      </c>
      <c r="B10043" s="266">
        <f>IFERROR(__xludf.DUMMYFUNCTION("""COMPUTED_VALUE"""),45324.0)</f>
        <v>45324</v>
      </c>
      <c r="C10043" s="266" t="str">
        <f>IFERROR(__xludf.DUMMYFUNCTION("""COMPUTED_VALUE"""),"KYAI KONTONG")</f>
        <v>KYAI KONTONG</v>
      </c>
      <c r="D10043" s="186">
        <f>IFERROR(__xludf.DUMMYFUNCTION("""COMPUTED_VALUE"""),10.0)</f>
        <v>10</v>
      </c>
    </row>
    <row r="10044">
      <c r="A10044" s="178" t="str">
        <f>IFERROR(__xludf.DUMMYFUNCTION("""COMPUTED_VALUE"""),"ITBISA-RESISTOR-330-1/4W")</f>
        <v>ITBISA-RESISTOR-330-1/4W</v>
      </c>
      <c r="B10044" s="266">
        <f>IFERROR(__xludf.DUMMYFUNCTION("""COMPUTED_VALUE"""),45348.0)</f>
        <v>45348</v>
      </c>
      <c r="C10044" s="266" t="str">
        <f>IFERROR(__xludf.DUMMYFUNCTION("""COMPUTED_VALUE"""),"KERTASARI CIAMIS")</f>
        <v>KERTASARI CIAMIS</v>
      </c>
      <c r="D10044" s="186">
        <f>IFERROR(__xludf.DUMMYFUNCTION("""COMPUTED_VALUE"""),200.0)</f>
        <v>200</v>
      </c>
    </row>
    <row r="10045">
      <c r="A10045" s="178" t="str">
        <f>IFERROR(__xludf.DUMMYFUNCTION("""COMPUTED_VALUE"""),"ITBISA-RESISTOR-330-1/4W")</f>
        <v>ITBISA-RESISTOR-330-1/4W</v>
      </c>
      <c r="B10045" s="266">
        <f>IFERROR(__xludf.DUMMYFUNCTION("""COMPUTED_VALUE"""),45355.0)</f>
        <v>45355</v>
      </c>
      <c r="C10045" s="266" t="str">
        <f>IFERROR(__xludf.DUMMYFUNCTION("""COMPUTED_VALUE"""),"KERTASARI CIAMIS")</f>
        <v>KERTASARI CIAMIS</v>
      </c>
      <c r="D10045" s="186">
        <f>IFERROR(__xludf.DUMMYFUNCTION("""COMPUTED_VALUE"""),300.0)</f>
        <v>300</v>
      </c>
    </row>
    <row r="10046">
      <c r="A10046" s="178" t="str">
        <f>IFERROR(__xludf.DUMMYFUNCTION("""COMPUTED_VALUE"""),"ITBISA-RESISTOR-330-1/4W")</f>
        <v>ITBISA-RESISTOR-330-1/4W</v>
      </c>
      <c r="B10046" s="266">
        <f>IFERROR(__xludf.DUMMYFUNCTION("""COMPUTED_VALUE"""),45366.0)</f>
        <v>45366</v>
      </c>
      <c r="C10046" s="266" t="str">
        <f>IFERROR(__xludf.DUMMYFUNCTION("""COMPUTED_VALUE"""),"KERTASARI CIAMIS")</f>
        <v>KERTASARI CIAMIS</v>
      </c>
      <c r="D10046" s="186">
        <f>IFERROR(__xludf.DUMMYFUNCTION("""COMPUTED_VALUE"""),300.0)</f>
        <v>300</v>
      </c>
    </row>
    <row r="10047">
      <c r="A10047" s="178" t="str">
        <f>IFERROR(__xludf.DUMMYFUNCTION("""COMPUTED_VALUE"""),"ITBISA-RESISTOR-330-1/4W")</f>
        <v>ITBISA-RESISTOR-330-1/4W</v>
      </c>
      <c r="B10047" s="266">
        <f>IFERROR(__xludf.DUMMYFUNCTION("""COMPUTED_VALUE"""),45371.0)</f>
        <v>45371</v>
      </c>
      <c r="C10047" s="266" t="str">
        <f>IFERROR(__xludf.DUMMYFUNCTION("""COMPUTED_VALUE"""),"KERTASARI CIAMIS")</f>
        <v>KERTASARI CIAMIS</v>
      </c>
      <c r="D10047" s="186">
        <f>IFERROR(__xludf.DUMMYFUNCTION("""COMPUTED_VALUE"""),400.0)</f>
        <v>400</v>
      </c>
    </row>
    <row r="10048">
      <c r="A10048" s="178" t="str">
        <f>IFERROR(__xludf.DUMMYFUNCTION("""COMPUTED_VALUE"""),"ITBISA-RESISTOR-330-1/4W")</f>
        <v>ITBISA-RESISTOR-330-1/4W</v>
      </c>
      <c r="B10048" s="266">
        <f>IFERROR(__xludf.DUMMYFUNCTION("""COMPUTED_VALUE"""),45398.0)</f>
        <v>45398</v>
      </c>
      <c r="C10048" s="266" t="str">
        <f>IFERROR(__xludf.DUMMYFUNCTION("""COMPUTED_VALUE"""),"KERTASARI CIAMIS")</f>
        <v>KERTASARI CIAMIS</v>
      </c>
      <c r="D10048" s="186">
        <f>IFERROR(__xludf.DUMMYFUNCTION("""COMPUTED_VALUE"""),10.0)</f>
        <v>10</v>
      </c>
    </row>
    <row r="10049">
      <c r="A10049" s="178" t="str">
        <f>IFERROR(__xludf.DUMMYFUNCTION("""COMPUTED_VALUE"""),"ITBISA-RESISTOR-330-1/4W")</f>
        <v>ITBISA-RESISTOR-330-1/4W</v>
      </c>
      <c r="B10049" s="266">
        <f>IFERROR(__xludf.DUMMYFUNCTION("""COMPUTED_VALUE"""),45405.0)</f>
        <v>45405</v>
      </c>
      <c r="C10049" s="266" t="str">
        <f>IFERROR(__xludf.DUMMYFUNCTION("""COMPUTED_VALUE"""),"KYAI KONTONG")</f>
        <v>KYAI KONTONG</v>
      </c>
      <c r="D10049" s="186">
        <f>IFERROR(__xludf.DUMMYFUNCTION("""COMPUTED_VALUE"""),20.0)</f>
        <v>20</v>
      </c>
    </row>
    <row r="10050">
      <c r="A10050" s="178" t="str">
        <f>IFERROR(__xludf.DUMMYFUNCTION("""COMPUTED_VALUE"""),"ITBISA-RESISTOR-330-1/4W")</f>
        <v>ITBISA-RESISTOR-330-1/4W</v>
      </c>
      <c r="B10050" s="266">
        <f>IFERROR(__xludf.DUMMYFUNCTION("""COMPUTED_VALUE"""),45407.0)</f>
        <v>45407</v>
      </c>
      <c r="C10050" s="266" t="str">
        <f>IFERROR(__xludf.DUMMYFUNCTION("""COMPUTED_VALUE"""),"KERTASARI CIAMIS")</f>
        <v>KERTASARI CIAMIS</v>
      </c>
      <c r="D10050" s="186">
        <f>IFERROR(__xludf.DUMMYFUNCTION("""COMPUTED_VALUE"""),100.0)</f>
        <v>100</v>
      </c>
    </row>
    <row r="10051">
      <c r="A10051" s="178" t="str">
        <f>IFERROR(__xludf.DUMMYFUNCTION("""COMPUTED_VALUE"""),"ITBISA-RESISTOR-330-1/4W")</f>
        <v>ITBISA-RESISTOR-330-1/4W</v>
      </c>
      <c r="B10051" s="266">
        <f>IFERROR(__xludf.DUMMYFUNCTION("""COMPUTED_VALUE"""),45429.0)</f>
        <v>45429</v>
      </c>
      <c r="C10051" s="266" t="str">
        <f>IFERROR(__xludf.DUMMYFUNCTION("""COMPUTED_VALUE"""),"KERTASARI CIAMIS")</f>
        <v>KERTASARI CIAMIS</v>
      </c>
      <c r="D10051" s="186">
        <f>IFERROR(__xludf.DUMMYFUNCTION("""COMPUTED_VALUE"""),150.0)</f>
        <v>150</v>
      </c>
    </row>
    <row r="10052">
      <c r="A10052" s="178" t="str">
        <f>IFERROR(__xludf.DUMMYFUNCTION("""COMPUTED_VALUE"""),"ITBISA-RESISTOR-330-1/4W")</f>
        <v>ITBISA-RESISTOR-330-1/4W</v>
      </c>
      <c r="B10052" s="266">
        <f>IFERROR(__xludf.DUMMYFUNCTION("""COMPUTED_VALUE"""),45444.0)</f>
        <v>45444</v>
      </c>
      <c r="C10052" s="266" t="str">
        <f>IFERROR(__xludf.DUMMYFUNCTION("""COMPUTED_VALUE"""),"KYAI KONTONG")</f>
        <v>KYAI KONTONG</v>
      </c>
      <c r="D10052" s="186">
        <f>IFERROR(__xludf.DUMMYFUNCTION("""COMPUTED_VALUE"""),0.0)</f>
        <v>0</v>
      </c>
    </row>
    <row r="10053">
      <c r="A10053" s="178" t="str">
        <f>IFERROR(__xludf.DUMMYFUNCTION("""COMPUTED_VALUE"""),"ITBISA-RESISTOR-330-1/4W")</f>
        <v>ITBISA-RESISTOR-330-1/4W</v>
      </c>
      <c r="B10053" s="266">
        <f>IFERROR(__xludf.DUMMYFUNCTION("""COMPUTED_VALUE"""),45449.0)</f>
        <v>45449</v>
      </c>
      <c r="C10053" s="266" t="str">
        <f>IFERROR(__xludf.DUMMYFUNCTION("""COMPUTED_VALUE"""),"KERTASARI CIAMIS")</f>
        <v>KERTASARI CIAMIS</v>
      </c>
      <c r="D10053" s="186">
        <f>IFERROR(__xludf.DUMMYFUNCTION("""COMPUTED_VALUE"""),50.0)</f>
        <v>50</v>
      </c>
    </row>
    <row r="10054">
      <c r="A10054" s="178" t="str">
        <f>IFERROR(__xludf.DUMMYFUNCTION("""COMPUTED_VALUE"""),"ITBISA-RESISTOR-330-1/4W")</f>
        <v>ITBISA-RESISTOR-330-1/4W</v>
      </c>
      <c r="B10054" s="266">
        <f>IFERROR(__xludf.DUMMYFUNCTION("""COMPUTED_VALUE"""),45473.0)</f>
        <v>45473</v>
      </c>
      <c r="C10054" s="266" t="str">
        <f>IFERROR(__xludf.DUMMYFUNCTION("""COMPUTED_VALUE"""),"KERTASARI CIAMIS")</f>
        <v>KERTASARI CIAMIS</v>
      </c>
      <c r="D10054" s="186">
        <f>IFERROR(__xludf.DUMMYFUNCTION("""COMPUTED_VALUE"""),40.0)</f>
        <v>40</v>
      </c>
    </row>
    <row r="10055">
      <c r="A10055" s="178" t="str">
        <f>IFERROR(__xludf.DUMMYFUNCTION("""COMPUTED_VALUE"""),"ITBISA-RESISTOR-330-1/4W")</f>
        <v>ITBISA-RESISTOR-330-1/4W</v>
      </c>
      <c r="B10055" s="266">
        <f>IFERROR(__xludf.DUMMYFUNCTION("""COMPUTED_VALUE"""),45479.0)</f>
        <v>45479</v>
      </c>
      <c r="C10055" s="266" t="str">
        <f>IFERROR(__xludf.DUMMYFUNCTION("""COMPUTED_VALUE"""),"KERTASARI CIAMIS")</f>
        <v>KERTASARI CIAMIS</v>
      </c>
      <c r="D10055" s="186">
        <f>IFERROR(__xludf.DUMMYFUNCTION("""COMPUTED_VALUE"""),200.0)</f>
        <v>200</v>
      </c>
    </row>
    <row r="10056">
      <c r="A10056" s="178" t="str">
        <f>IFERROR(__xludf.DUMMYFUNCTION("""COMPUTED_VALUE"""),"ITBISA-RESISTOR-330-1/4W")</f>
        <v>ITBISA-RESISTOR-330-1/4W</v>
      </c>
      <c r="B10056" s="266">
        <f>IFERROR(__xludf.DUMMYFUNCTION("""COMPUTED_VALUE"""),45508.0)</f>
        <v>45508</v>
      </c>
      <c r="C10056" s="266" t="str">
        <f>IFERROR(__xludf.DUMMYFUNCTION("""COMPUTED_VALUE"""),"KERTASARI CIAMIS")</f>
        <v>KERTASARI CIAMIS</v>
      </c>
      <c r="D10056" s="186">
        <f>IFERROR(__xludf.DUMMYFUNCTION("""COMPUTED_VALUE"""),300.0)</f>
        <v>300</v>
      </c>
    </row>
    <row r="10057">
      <c r="A10057" s="178" t="str">
        <f>IFERROR(__xludf.DUMMYFUNCTION("""COMPUTED_VALUE"""),"ITBISA-RESISTOR-330-1/4W")</f>
        <v>ITBISA-RESISTOR-330-1/4W</v>
      </c>
      <c r="B10057" s="266">
        <f>IFERROR(__xludf.DUMMYFUNCTION("""COMPUTED_VALUE"""),45512.0)</f>
        <v>45512</v>
      </c>
      <c r="C10057" s="266" t="str">
        <f>IFERROR(__xludf.DUMMYFUNCTION("""COMPUTED_VALUE"""),"KERTASARI CIAMIS")</f>
        <v>KERTASARI CIAMIS</v>
      </c>
      <c r="D10057" s="186">
        <f>IFERROR(__xludf.DUMMYFUNCTION("""COMPUTED_VALUE"""),40.0)</f>
        <v>40</v>
      </c>
    </row>
    <row r="10058">
      <c r="A10058" s="178" t="str">
        <f>IFERROR(__xludf.DUMMYFUNCTION("""COMPUTED_VALUE"""),"ITBISA-RESISTOR-330-1/4W")</f>
        <v>ITBISA-RESISTOR-330-1/4W</v>
      </c>
      <c r="B10058" s="266">
        <f>IFERROR(__xludf.DUMMYFUNCTION("""COMPUTED_VALUE"""),45514.0)</f>
        <v>45514</v>
      </c>
      <c r="C10058" s="266" t="str">
        <f>IFERROR(__xludf.DUMMYFUNCTION("""COMPUTED_VALUE"""),"KERTASARI CIAMIS")</f>
        <v>KERTASARI CIAMIS</v>
      </c>
      <c r="D10058" s="186">
        <f>IFERROR(__xludf.DUMMYFUNCTION("""COMPUTED_VALUE"""),130.0)</f>
        <v>130</v>
      </c>
    </row>
    <row r="10059">
      <c r="A10059" s="178" t="str">
        <f>IFERROR(__xludf.DUMMYFUNCTION("""COMPUTED_VALUE"""),"ITBISA-RESISTOR-330-1/4W")</f>
        <v>ITBISA-RESISTOR-330-1/4W</v>
      </c>
      <c r="B10059" s="266">
        <f>IFERROR(__xludf.DUMMYFUNCTION("""COMPUTED_VALUE"""),45517.0)</f>
        <v>45517</v>
      </c>
      <c r="C10059" s="266" t="str">
        <f>IFERROR(__xludf.DUMMYFUNCTION("""COMPUTED_VALUE"""),"KERTASARI CIAMIS")</f>
        <v>KERTASARI CIAMIS</v>
      </c>
      <c r="D10059" s="186">
        <f>IFERROR(__xludf.DUMMYFUNCTION("""COMPUTED_VALUE"""),15.0)</f>
        <v>15</v>
      </c>
    </row>
    <row r="10060">
      <c r="A10060" s="178" t="str">
        <f>IFERROR(__xludf.DUMMYFUNCTION("""COMPUTED_VALUE"""),"ITBISA-RESISTOR-330-1/4W")</f>
        <v>ITBISA-RESISTOR-330-1/4W</v>
      </c>
      <c r="B10060" s="266">
        <f>IFERROR(__xludf.DUMMYFUNCTION("""COMPUTED_VALUE"""),45525.0)</f>
        <v>45525</v>
      </c>
      <c r="C10060" s="266" t="str">
        <f>IFERROR(__xludf.DUMMYFUNCTION("""COMPUTED_VALUE"""),"KYAI KONTONG")</f>
        <v>KYAI KONTONG</v>
      </c>
      <c r="D10060" s="186">
        <f>IFERROR(__xludf.DUMMYFUNCTION("""COMPUTED_VALUE"""),100.0)</f>
        <v>100</v>
      </c>
    </row>
    <row r="10061">
      <c r="A10061" s="178" t="str">
        <f>IFERROR(__xludf.DUMMYFUNCTION("""COMPUTED_VALUE"""),"ITBISA-RESISTOR-330-1/4W")</f>
        <v>ITBISA-RESISTOR-330-1/4W</v>
      </c>
      <c r="B10061" s="266">
        <f>IFERROR(__xludf.DUMMYFUNCTION("""COMPUTED_VALUE"""),45539.0)</f>
        <v>45539</v>
      </c>
      <c r="C10061" s="266" t="str">
        <f>IFERROR(__xludf.DUMMYFUNCTION("""COMPUTED_VALUE"""),"KERTASARI CIAMIS")</f>
        <v>KERTASARI CIAMIS</v>
      </c>
      <c r="D10061" s="186">
        <f>IFERROR(__xludf.DUMMYFUNCTION("""COMPUTED_VALUE"""),10.0)</f>
        <v>10</v>
      </c>
    </row>
    <row r="10062">
      <c r="A10062" s="178" t="str">
        <f>IFERROR(__xludf.DUMMYFUNCTION("""COMPUTED_VALUE"""),"ITBISA-RESISTOR-330-1/4W")</f>
        <v>ITBISA-RESISTOR-330-1/4W</v>
      </c>
      <c r="B10062" s="266">
        <f>IFERROR(__xludf.DUMMYFUNCTION("""COMPUTED_VALUE"""),45565.0)</f>
        <v>45565</v>
      </c>
      <c r="C10062" s="266" t="str">
        <f>IFERROR(__xludf.DUMMYFUNCTION("""COMPUTED_VALUE"""),"KERTASARI CIAMIS")</f>
        <v>KERTASARI CIAMIS</v>
      </c>
      <c r="D10062" s="186">
        <f>IFERROR(__xludf.DUMMYFUNCTION("""COMPUTED_VALUE"""),60.0)</f>
        <v>60</v>
      </c>
    </row>
    <row r="10063">
      <c r="A10063" s="178" t="str">
        <f>IFERROR(__xludf.DUMMYFUNCTION("""COMPUTED_VALUE"""),"ITBISA-RESISTOR-330-1/4W")</f>
        <v>ITBISA-RESISTOR-330-1/4W</v>
      </c>
      <c r="B10063" s="266">
        <f>IFERROR(__xludf.DUMMYFUNCTION("""COMPUTED_VALUE"""),45603.0)</f>
        <v>45603</v>
      </c>
      <c r="C10063" s="266" t="str">
        <f>IFERROR(__xludf.DUMMYFUNCTION("""COMPUTED_VALUE"""),"KERTASARI CIAMIS")</f>
        <v>KERTASARI CIAMIS</v>
      </c>
      <c r="D10063" s="186">
        <f>IFERROR(__xludf.DUMMYFUNCTION("""COMPUTED_VALUE"""),10.0)</f>
        <v>10</v>
      </c>
    </row>
    <row r="10064">
      <c r="A10064" s="178" t="str">
        <f>IFERROR(__xludf.DUMMYFUNCTION("""COMPUTED_VALUE"""),"ITBISA-RESISTOR-330-1/4W")</f>
        <v>ITBISA-RESISTOR-330-1/4W</v>
      </c>
      <c r="B10064" s="266">
        <f>IFERROR(__xludf.DUMMYFUNCTION("""COMPUTED_VALUE"""),45615.0)</f>
        <v>45615</v>
      </c>
      <c r="C10064" s="266" t="str">
        <f>IFERROR(__xludf.DUMMYFUNCTION("""COMPUTED_VALUE"""),"KERTASARI CIAMIS")</f>
        <v>KERTASARI CIAMIS</v>
      </c>
      <c r="D10064" s="186">
        <f>IFERROR(__xludf.DUMMYFUNCTION("""COMPUTED_VALUE"""),197.0)</f>
        <v>197</v>
      </c>
    </row>
    <row r="10065">
      <c r="A10065" s="178" t="str">
        <f>IFERROR(__xludf.DUMMYFUNCTION("""COMPUTED_VALUE"""),"ITBISA-RESISTOR-330-1/4W")</f>
        <v>ITBISA-RESISTOR-330-1/4W</v>
      </c>
      <c r="B10065" s="266">
        <f>IFERROR(__xludf.DUMMYFUNCTION("""COMPUTED_VALUE"""),45676.0)</f>
        <v>45676</v>
      </c>
      <c r="C10065" s="266" t="str">
        <f>IFERROR(__xludf.DUMMYFUNCTION("""COMPUTED_VALUE"""),"KYAI KONTONG")</f>
        <v>KYAI KONTONG</v>
      </c>
      <c r="D10065" s="186">
        <f>IFERROR(__xludf.DUMMYFUNCTION("""COMPUTED_VALUE"""),10.0)</f>
        <v>10</v>
      </c>
    </row>
    <row r="10066">
      <c r="A10066" s="178" t="str">
        <f>IFERROR(__xludf.DUMMYFUNCTION("""COMPUTED_VALUE"""),"ITBISA-RESISTOR-330-1/4W")</f>
        <v>ITBISA-RESISTOR-330-1/4W</v>
      </c>
      <c r="B10066" s="266">
        <f>IFERROR(__xludf.DUMMYFUNCTION("""COMPUTED_VALUE"""),45677.0)</f>
        <v>45677</v>
      </c>
      <c r="C10066" s="266" t="str">
        <f>IFERROR(__xludf.DUMMYFUNCTION("""COMPUTED_VALUE"""),"KYAI KONTONG")</f>
        <v>KYAI KONTONG</v>
      </c>
      <c r="D10066" s="186">
        <f>IFERROR(__xludf.DUMMYFUNCTION("""COMPUTED_VALUE"""),9.0)</f>
        <v>9</v>
      </c>
    </row>
    <row r="10067">
      <c r="A10067" s="178" t="str">
        <f>IFERROR(__xludf.DUMMYFUNCTION("""COMPUTED_VALUE"""),"ITBISA-RESISTOR-330-1/4W")</f>
        <v>ITBISA-RESISTOR-330-1/4W</v>
      </c>
      <c r="B10067" s="266">
        <f>IFERROR(__xludf.DUMMYFUNCTION("""COMPUTED_VALUE"""),45717.0)</f>
        <v>45717</v>
      </c>
      <c r="C10067" s="266" t="str">
        <f>IFERROR(__xludf.DUMMYFUNCTION("""COMPUTED_VALUE"""),"KERTASARI CIAMIS")</f>
        <v>KERTASARI CIAMIS</v>
      </c>
      <c r="D10067" s="186">
        <f>IFERROR(__xludf.DUMMYFUNCTION("""COMPUTED_VALUE"""),200.0)</f>
        <v>200</v>
      </c>
    </row>
    <row r="10068">
      <c r="A10068" s="178" t="str">
        <f>IFERROR(__xludf.DUMMYFUNCTION("""COMPUTED_VALUE"""),"ITBISA-RESISTOR-330-1/4W")</f>
        <v>ITBISA-RESISTOR-330-1/4W</v>
      </c>
      <c r="B10068" s="266">
        <f>IFERROR(__xludf.DUMMYFUNCTION("""COMPUTED_VALUE"""),45723.0)</f>
        <v>45723</v>
      </c>
      <c r="C10068" s="266" t="str">
        <f>IFERROR(__xludf.DUMMYFUNCTION("""COMPUTED_VALUE"""),"KERTASARI CIAMIS")</f>
        <v>KERTASARI CIAMIS</v>
      </c>
      <c r="D10068" s="186">
        <f>IFERROR(__xludf.DUMMYFUNCTION("""COMPUTED_VALUE"""),100.0)</f>
        <v>100</v>
      </c>
    </row>
    <row r="10069">
      <c r="A10069" s="178" t="str">
        <f>IFERROR(__xludf.DUMMYFUNCTION("""COMPUTED_VALUE"""),"ITBISA-RESISTOR-330-1/4W")</f>
        <v>ITBISA-RESISTOR-330-1/4W</v>
      </c>
      <c r="B10069" s="266">
        <f>IFERROR(__xludf.DUMMYFUNCTION("""COMPUTED_VALUE"""),45742.0)</f>
        <v>45742</v>
      </c>
      <c r="C10069" s="266" t="str">
        <f>IFERROR(__xludf.DUMMYFUNCTION("""COMPUTED_VALUE"""),"KERTASARI CIAMIS")</f>
        <v>KERTASARI CIAMIS</v>
      </c>
      <c r="D10069" s="186">
        <f>IFERROR(__xludf.DUMMYFUNCTION("""COMPUTED_VALUE"""),10.0)</f>
        <v>10</v>
      </c>
    </row>
    <row r="10070">
      <c r="A10070" s="178" t="str">
        <f>IFERROR(__xludf.DUMMYFUNCTION("""COMPUTED_VALUE"""),"ITBISA-RESISTOR-330-1/4W")</f>
        <v>ITBISA-RESISTOR-330-1/4W</v>
      </c>
      <c r="B10070" s="266">
        <f>IFERROR(__xludf.DUMMYFUNCTION("""COMPUTED_VALUE"""),45757.0)</f>
        <v>45757</v>
      </c>
      <c r="C10070" s="266" t="str">
        <f>IFERROR(__xludf.DUMMYFUNCTION("""COMPUTED_VALUE"""),"KERTASARI CIAMIS")</f>
        <v>KERTASARI CIAMIS</v>
      </c>
      <c r="D10070" s="186">
        <f>IFERROR(__xludf.DUMMYFUNCTION("""COMPUTED_VALUE"""),10.0)</f>
        <v>10</v>
      </c>
    </row>
    <row r="10071">
      <c r="A10071" s="178" t="str">
        <f>IFERROR(__xludf.DUMMYFUNCTION("""COMPUTED_VALUE"""),"ITBISA-RESISTOR-330-1/4W")</f>
        <v>ITBISA-RESISTOR-330-1/4W</v>
      </c>
      <c r="B10071" s="266">
        <f>IFERROR(__xludf.DUMMYFUNCTION("""COMPUTED_VALUE"""),45767.0)</f>
        <v>45767</v>
      </c>
      <c r="C10071" s="266" t="str">
        <f>IFERROR(__xludf.DUMMYFUNCTION("""COMPUTED_VALUE"""),"KERTASARI CIAMIS")</f>
        <v>KERTASARI CIAMIS</v>
      </c>
      <c r="D10071" s="186">
        <f>IFERROR(__xludf.DUMMYFUNCTION("""COMPUTED_VALUE"""),10.0)</f>
        <v>10</v>
      </c>
    </row>
    <row r="10072">
      <c r="A10072" s="178" t="str">
        <f>IFERROR(__xludf.DUMMYFUNCTION("""COMPUTED_VALUE"""),"ITBISA-RESISTOR-330-1/4W")</f>
        <v>ITBISA-RESISTOR-330-1/4W</v>
      </c>
      <c r="B10072" s="266">
        <f>IFERROR(__xludf.DUMMYFUNCTION("""COMPUTED_VALUE"""),45785.0)</f>
        <v>45785</v>
      </c>
      <c r="C10072" s="266" t="str">
        <f>IFERROR(__xludf.DUMMYFUNCTION("""COMPUTED_VALUE"""),"KERTASARI CIAMIS")</f>
        <v>KERTASARI CIAMIS</v>
      </c>
      <c r="D10072" s="186">
        <f>IFERROR(__xludf.DUMMYFUNCTION("""COMPUTED_VALUE"""),10.0)</f>
        <v>10</v>
      </c>
    </row>
    <row r="10073">
      <c r="A10073" s="178" t="str">
        <f>IFERROR(__xludf.DUMMYFUNCTION("""COMPUTED_VALUE"""),"ITBISA-RESISTOR-330-1/4W")</f>
        <v>ITBISA-RESISTOR-330-1/4W</v>
      </c>
      <c r="B10073" s="266">
        <f>IFERROR(__xludf.DUMMYFUNCTION("""COMPUTED_VALUE"""),45795.0)</f>
        <v>45795</v>
      </c>
      <c r="C10073" s="266" t="str">
        <f>IFERROR(__xludf.DUMMYFUNCTION("""COMPUTED_VALUE"""),"KERTASARI CIAMIS")</f>
        <v>KERTASARI CIAMIS</v>
      </c>
      <c r="D10073" s="186">
        <f>IFERROR(__xludf.DUMMYFUNCTION("""COMPUTED_VALUE"""),50.0)</f>
        <v>50</v>
      </c>
    </row>
    <row r="10074">
      <c r="A10074" s="178" t="str">
        <f>IFERROR(__xludf.DUMMYFUNCTION("""COMPUTED_VALUE"""),"ITBISA-RESISTOR-330-1/4W")</f>
        <v>ITBISA-RESISTOR-330-1/4W</v>
      </c>
      <c r="B10074" s="266">
        <f>IFERROR(__xludf.DUMMYFUNCTION("""COMPUTED_VALUE"""),45811.0)</f>
        <v>45811</v>
      </c>
      <c r="C10074" s="266" t="str">
        <f>IFERROR(__xludf.DUMMYFUNCTION("""COMPUTED_VALUE"""),"KERTASARI CIAMIS")</f>
        <v>KERTASARI CIAMIS</v>
      </c>
      <c r="D10074" s="186">
        <f>IFERROR(__xludf.DUMMYFUNCTION("""COMPUTED_VALUE"""),201.0)</f>
        <v>201</v>
      </c>
    </row>
    <row r="10075">
      <c r="A10075" s="178" t="str">
        <f>IFERROR(__xludf.DUMMYFUNCTION("""COMPUTED_VALUE"""),"ITBISA-RESISTOR-330-1/4W")</f>
        <v>ITBISA-RESISTOR-330-1/4W</v>
      </c>
      <c r="B10075" s="266">
        <f>IFERROR(__xludf.DUMMYFUNCTION("""COMPUTED_VALUE"""),45851.0)</f>
        <v>45851</v>
      </c>
      <c r="C10075" s="266" t="str">
        <f>IFERROR(__xludf.DUMMYFUNCTION("""COMPUTED_VALUE"""),"KERTASARI CIAMIS")</f>
        <v>KERTASARI CIAMIS</v>
      </c>
      <c r="D10075" s="186">
        <f>IFERROR(__xludf.DUMMYFUNCTION("""COMPUTED_VALUE"""),50.0)</f>
        <v>50</v>
      </c>
    </row>
    <row r="10076">
      <c r="A10076" s="178" t="str">
        <f>IFERROR(__xludf.DUMMYFUNCTION("""COMPUTED_VALUE"""),"ITBISA-RESISTOR-330-1/4W")</f>
        <v>ITBISA-RESISTOR-330-1/4W</v>
      </c>
      <c r="B10076" s="266">
        <f>IFERROR(__xludf.DUMMYFUNCTION("""COMPUTED_VALUE"""),45918.0)</f>
        <v>45918</v>
      </c>
      <c r="C10076" s="266" t="str">
        <f>IFERROR(__xludf.DUMMYFUNCTION("""COMPUTED_VALUE"""),"KERTASARI CIAMIS")</f>
        <v>KERTASARI CIAMIS</v>
      </c>
      <c r="D10076" s="186">
        <f>IFERROR(__xludf.DUMMYFUNCTION("""COMPUTED_VALUE"""),50.0)</f>
        <v>50</v>
      </c>
    </row>
    <row r="10077">
      <c r="A10077" s="178" t="str">
        <f>IFERROR(__xludf.DUMMYFUNCTION("""COMPUTED_VALUE"""),"ITBISA-RESISTOR-330-1/4W")</f>
        <v>ITBISA-RESISTOR-330-1/4W</v>
      </c>
      <c r="B10077" s="266">
        <f>IFERROR(__xludf.DUMMYFUNCTION("""COMPUTED_VALUE"""),45953.0)</f>
        <v>45953</v>
      </c>
      <c r="C10077" s="266" t="str">
        <f>IFERROR(__xludf.DUMMYFUNCTION("""COMPUTED_VALUE"""),"KYAI KONTONG")</f>
        <v>KYAI KONTONG</v>
      </c>
      <c r="D10077" s="186">
        <f>IFERROR(__xludf.DUMMYFUNCTION("""COMPUTED_VALUE"""),20.0)</f>
        <v>20</v>
      </c>
    </row>
    <row r="10078">
      <c r="A10078" s="178" t="str">
        <f>IFERROR(__xludf.DUMMYFUNCTION("""COMPUTED_VALUE"""),"ITBISA-RESISTOR-330-1/4W")</f>
        <v>ITBISA-RESISTOR-330-1/4W</v>
      </c>
      <c r="B10078" s="266">
        <f>IFERROR(__xludf.DUMMYFUNCTION("""COMPUTED_VALUE"""),45957.0)</f>
        <v>45957</v>
      </c>
      <c r="C10078" s="266" t="str">
        <f>IFERROR(__xludf.DUMMYFUNCTION("""COMPUTED_VALUE"""),"KERTASARI CIAMIS")</f>
        <v>KERTASARI CIAMIS</v>
      </c>
      <c r="D10078" s="186">
        <f>IFERROR(__xludf.DUMMYFUNCTION("""COMPUTED_VALUE"""),10.0)</f>
        <v>10</v>
      </c>
    </row>
    <row r="10079">
      <c r="A10079" s="178" t="str">
        <f>IFERROR(__xludf.DUMMYFUNCTION("""COMPUTED_VALUE"""),"ITBISA-RESISTOR-330-1/4W")</f>
        <v>ITBISA-RESISTOR-330-1/4W</v>
      </c>
      <c r="B10079" s="266">
        <f>IFERROR(__xludf.DUMMYFUNCTION("""COMPUTED_VALUE"""),45962.0)</f>
        <v>45962</v>
      </c>
      <c r="C10079" s="266" t="str">
        <f>IFERROR(__xludf.DUMMYFUNCTION("""COMPUTED_VALUE"""),"KYAI KONTONG")</f>
        <v>KYAI KONTONG</v>
      </c>
      <c r="D10079" s="186">
        <f>IFERROR(__xludf.DUMMYFUNCTION("""COMPUTED_VALUE"""),10.0)</f>
        <v>10</v>
      </c>
    </row>
    <row r="10080">
      <c r="A10080" s="178" t="str">
        <f>IFERROR(__xludf.DUMMYFUNCTION("""COMPUTED_VALUE"""),"ITBISA-RESISTOR-330-1/4W")</f>
        <v>ITBISA-RESISTOR-330-1/4W</v>
      </c>
      <c r="B10080" s="266">
        <f>IFERROR(__xludf.DUMMYFUNCTION("""COMPUTED_VALUE"""),45997.0)</f>
        <v>45997</v>
      </c>
      <c r="C10080" s="266" t="str">
        <f>IFERROR(__xludf.DUMMYFUNCTION("""COMPUTED_VALUE"""),"KERTASARI CIAMIS")</f>
        <v>KERTASARI CIAMIS</v>
      </c>
      <c r="D10080" s="186">
        <f>IFERROR(__xludf.DUMMYFUNCTION("""COMPUTED_VALUE"""),10.0)</f>
        <v>10</v>
      </c>
    </row>
    <row r="10081">
      <c r="A10081" s="178" t="str">
        <f>IFERROR(__xludf.DUMMYFUNCTION("""COMPUTED_VALUE"""),"ITBISA-RESISTOR-330K-1/4W")</f>
        <v>ITBISA-RESISTOR-330K-1/4W</v>
      </c>
      <c r="B10081" s="266">
        <f>IFERROR(__xludf.DUMMYFUNCTION("""COMPUTED_VALUE"""),45088.0)</f>
        <v>45088</v>
      </c>
      <c r="C10081" s="266" t="str">
        <f>IFERROR(__xludf.DUMMYFUNCTION("""COMPUTED_VALUE"""),"KYAI KONTONG")</f>
        <v>KYAI KONTONG</v>
      </c>
      <c r="D10081" s="186">
        <f>IFERROR(__xludf.DUMMYFUNCTION("""COMPUTED_VALUE"""),30.0)</f>
        <v>30</v>
      </c>
    </row>
    <row r="10082">
      <c r="A10082" s="178" t="str">
        <f>IFERROR(__xludf.DUMMYFUNCTION("""COMPUTED_VALUE"""),"ITBISA-RESISTOR-330K-1/4W")</f>
        <v>ITBISA-RESISTOR-330K-1/4W</v>
      </c>
      <c r="B10082" s="266">
        <f>IFERROR(__xludf.DUMMYFUNCTION("""COMPUTED_VALUE"""),45285.0)</f>
        <v>45285</v>
      </c>
      <c r="C10082" s="266" t="str">
        <f>IFERROR(__xludf.DUMMYFUNCTION("""COMPUTED_VALUE"""),"KYAI KONTONG")</f>
        <v>KYAI KONTONG</v>
      </c>
      <c r="D10082" s="186">
        <f>IFERROR(__xludf.DUMMYFUNCTION("""COMPUTED_VALUE"""),20.0)</f>
        <v>20</v>
      </c>
    </row>
    <row r="10083">
      <c r="A10083" s="178" t="str">
        <f>IFERROR(__xludf.DUMMYFUNCTION("""COMPUTED_VALUE"""),"ITBISA-RESISTOR-330K-1/4W")</f>
        <v>ITBISA-RESISTOR-330K-1/4W</v>
      </c>
      <c r="B10083" s="266">
        <f>IFERROR(__xludf.DUMMYFUNCTION("""COMPUTED_VALUE"""),45324.0)</f>
        <v>45324</v>
      </c>
      <c r="C10083" s="266" t="str">
        <f>IFERROR(__xludf.DUMMYFUNCTION("""COMPUTED_VALUE"""),"KYAI KONTONG")</f>
        <v>KYAI KONTONG</v>
      </c>
      <c r="D10083" s="186">
        <f>IFERROR(__xludf.DUMMYFUNCTION("""COMPUTED_VALUE"""),10.0)</f>
        <v>10</v>
      </c>
    </row>
    <row r="10084">
      <c r="A10084" s="178" t="str">
        <f>IFERROR(__xludf.DUMMYFUNCTION("""COMPUTED_VALUE"""),"ITBISA-RESISTOR-330K-1/4W")</f>
        <v>ITBISA-RESISTOR-330K-1/4W</v>
      </c>
      <c r="B10084" s="266">
        <f>IFERROR(__xludf.DUMMYFUNCTION("""COMPUTED_VALUE"""),45344.0)</f>
        <v>45344</v>
      </c>
      <c r="C10084" s="266" t="str">
        <f>IFERROR(__xludf.DUMMYFUNCTION("""COMPUTED_VALUE"""),"KYAI KONTONG")</f>
        <v>KYAI KONTONG</v>
      </c>
      <c r="D10084" s="186">
        <f>IFERROR(__xludf.DUMMYFUNCTION("""COMPUTED_VALUE"""),50.0)</f>
        <v>50</v>
      </c>
    </row>
    <row r="10085">
      <c r="A10085" s="178" t="str">
        <f>IFERROR(__xludf.DUMMYFUNCTION("""COMPUTED_VALUE"""),"ITBISA-RESISTOR-330K-1/4W")</f>
        <v>ITBISA-RESISTOR-330K-1/4W</v>
      </c>
      <c r="B10085" s="266">
        <f>IFERROR(__xludf.DUMMYFUNCTION("""COMPUTED_VALUE"""),45353.0)</f>
        <v>45353</v>
      </c>
      <c r="C10085" s="266" t="str">
        <f>IFERROR(__xludf.DUMMYFUNCTION("""COMPUTED_VALUE"""),"KYAI KONTONG")</f>
        <v>KYAI KONTONG</v>
      </c>
      <c r="D10085" s="186">
        <f>IFERROR(__xludf.DUMMYFUNCTION("""COMPUTED_VALUE"""),20.0)</f>
        <v>20</v>
      </c>
    </row>
    <row r="10086">
      <c r="A10086" s="178" t="str">
        <f>IFERROR(__xludf.DUMMYFUNCTION("""COMPUTED_VALUE"""),"ITBISA-RESISTOR-330K-1/4W")</f>
        <v>ITBISA-RESISTOR-330K-1/4W</v>
      </c>
      <c r="B10086" s="266">
        <f>IFERROR(__xludf.DUMMYFUNCTION("""COMPUTED_VALUE"""),45355.0)</f>
        <v>45355</v>
      </c>
      <c r="C10086" s="266" t="str">
        <f>IFERROR(__xludf.DUMMYFUNCTION("""COMPUTED_VALUE"""),"KYAI KONTONG")</f>
        <v>KYAI KONTONG</v>
      </c>
      <c r="D10086" s="186">
        <f>IFERROR(__xludf.DUMMYFUNCTION("""COMPUTED_VALUE"""),870.0)</f>
        <v>870</v>
      </c>
    </row>
    <row r="10087">
      <c r="A10087" s="178" t="str">
        <f>IFERROR(__xludf.DUMMYFUNCTION("""COMPUTED_VALUE"""),"ITBISA-RESISTOR-33K-1/4W")</f>
        <v>ITBISA-RESISTOR-33K-1/4W</v>
      </c>
      <c r="B10087" s="266">
        <f>IFERROR(__xludf.DUMMYFUNCTION("""COMPUTED_VALUE"""),44932.0)</f>
        <v>44932</v>
      </c>
      <c r="C10087" s="266" t="str">
        <f>IFERROR(__xludf.DUMMYFUNCTION("""COMPUTED_VALUE"""),"KYAI KONTONG")</f>
        <v>KYAI KONTONG</v>
      </c>
      <c r="D10087" s="186">
        <f>IFERROR(__xludf.DUMMYFUNCTION("""COMPUTED_VALUE"""),40.0)</f>
        <v>40</v>
      </c>
    </row>
    <row r="10088">
      <c r="A10088" s="178" t="str">
        <f>IFERROR(__xludf.DUMMYFUNCTION("""COMPUTED_VALUE"""),"ITBISA-RESISTOR-33K-1/4W")</f>
        <v>ITBISA-RESISTOR-33K-1/4W</v>
      </c>
      <c r="B10088" s="266">
        <f>IFERROR(__xludf.DUMMYFUNCTION("""COMPUTED_VALUE"""),44954.0)</f>
        <v>44954</v>
      </c>
      <c r="C10088" s="266" t="str">
        <f>IFERROR(__xludf.DUMMYFUNCTION("""COMPUTED_VALUE"""),"KYAI KONTONG")</f>
        <v>KYAI KONTONG</v>
      </c>
      <c r="D10088" s="186">
        <f>IFERROR(__xludf.DUMMYFUNCTION("""COMPUTED_VALUE"""),10.0)</f>
        <v>10</v>
      </c>
    </row>
    <row r="10089">
      <c r="A10089" s="178" t="str">
        <f>IFERROR(__xludf.DUMMYFUNCTION("""COMPUTED_VALUE"""),"ITBISA-RESISTOR-33K-1/4W")</f>
        <v>ITBISA-RESISTOR-33K-1/4W</v>
      </c>
      <c r="B10089" s="266">
        <f>IFERROR(__xludf.DUMMYFUNCTION("""COMPUTED_VALUE"""),44961.0)</f>
        <v>44961</v>
      </c>
      <c r="C10089" s="266" t="str">
        <f>IFERROR(__xludf.DUMMYFUNCTION("""COMPUTED_VALUE"""),"KYAI KONTONG")</f>
        <v>KYAI KONTONG</v>
      </c>
      <c r="D10089" s="186">
        <f>IFERROR(__xludf.DUMMYFUNCTION("""COMPUTED_VALUE"""),20.0)</f>
        <v>20</v>
      </c>
    </row>
    <row r="10090">
      <c r="A10090" s="178" t="str">
        <f>IFERROR(__xludf.DUMMYFUNCTION("""COMPUTED_VALUE"""),"ITBISA-RESISTOR-33K-1/4W")</f>
        <v>ITBISA-RESISTOR-33K-1/4W</v>
      </c>
      <c r="B10090" s="266">
        <f>IFERROR(__xludf.DUMMYFUNCTION("""COMPUTED_VALUE"""),45202.0)</f>
        <v>45202</v>
      </c>
      <c r="C10090" s="266" t="str">
        <f>IFERROR(__xludf.DUMMYFUNCTION("""COMPUTED_VALUE"""),"KYAI KONTONG")</f>
        <v>KYAI KONTONG</v>
      </c>
      <c r="D10090" s="186">
        <f>IFERROR(__xludf.DUMMYFUNCTION("""COMPUTED_VALUE"""),100.0)</f>
        <v>100</v>
      </c>
    </row>
    <row r="10091">
      <c r="A10091" s="178" t="str">
        <f>IFERROR(__xludf.DUMMYFUNCTION("""COMPUTED_VALUE"""),"ITBISA-RESISTOR-33K-1/4W")</f>
        <v>ITBISA-RESISTOR-33K-1/4W</v>
      </c>
      <c r="B10091" s="266">
        <f>IFERROR(__xludf.DUMMYFUNCTION("""COMPUTED_VALUE"""),45353.0)</f>
        <v>45353</v>
      </c>
      <c r="C10091" s="266" t="str">
        <f>IFERROR(__xludf.DUMMYFUNCTION("""COMPUTED_VALUE"""),"KYAI KONTONG")</f>
        <v>KYAI KONTONG</v>
      </c>
      <c r="D10091" s="186">
        <f>IFERROR(__xludf.DUMMYFUNCTION("""COMPUTED_VALUE"""),20.0)</f>
        <v>20</v>
      </c>
    </row>
    <row r="10092">
      <c r="A10092" s="178" t="str">
        <f>IFERROR(__xludf.DUMMYFUNCTION("""COMPUTED_VALUE"""),"ITBISA-RESISTOR-33K-1/4W")</f>
        <v>ITBISA-RESISTOR-33K-1/4W</v>
      </c>
      <c r="B10092" s="266">
        <f>IFERROR(__xludf.DUMMYFUNCTION("""COMPUTED_VALUE"""),45853.0)</f>
        <v>45853</v>
      </c>
      <c r="C10092" s="266" t="str">
        <f>IFERROR(__xludf.DUMMYFUNCTION("""COMPUTED_VALUE"""),"KYAI KONTONG")</f>
        <v>KYAI KONTONG</v>
      </c>
      <c r="D10092" s="186">
        <f>IFERROR(__xludf.DUMMYFUNCTION("""COMPUTED_VALUE"""),10.0)</f>
        <v>10</v>
      </c>
    </row>
    <row r="10093">
      <c r="A10093" s="178" t="str">
        <f>IFERROR(__xludf.DUMMYFUNCTION("""COMPUTED_VALUE"""),"ITBISA-RESISTOR-33K-1/4W")</f>
        <v>ITBISA-RESISTOR-33K-1/4W</v>
      </c>
      <c r="B10093" s="266">
        <f>IFERROR(__xludf.DUMMYFUNCTION("""COMPUTED_VALUE"""),45935.0)</f>
        <v>45935</v>
      </c>
      <c r="C10093" s="266" t="str">
        <f>IFERROR(__xludf.DUMMYFUNCTION("""COMPUTED_VALUE"""),"KYAI KONTONG")</f>
        <v>KYAI KONTONG</v>
      </c>
      <c r="D10093" s="186">
        <f>IFERROR(__xludf.DUMMYFUNCTION("""COMPUTED_VALUE"""),10.0)</f>
        <v>10</v>
      </c>
    </row>
    <row r="10094">
      <c r="A10094" s="178" t="str">
        <f>IFERROR(__xludf.DUMMYFUNCTION("""COMPUTED_VALUE"""),"ITBISA-RESISTOR-33K-1/4W")</f>
        <v>ITBISA-RESISTOR-33K-1/4W</v>
      </c>
      <c r="B10094" s="266">
        <f>IFERROR(__xludf.DUMMYFUNCTION("""COMPUTED_VALUE"""),45947.0)</f>
        <v>45947</v>
      </c>
      <c r="C10094" s="266" t="str">
        <f>IFERROR(__xludf.DUMMYFUNCTION("""COMPUTED_VALUE"""),"KYAI KONTONG")</f>
        <v>KYAI KONTONG</v>
      </c>
      <c r="D10094" s="186">
        <f>IFERROR(__xludf.DUMMYFUNCTION("""COMPUTED_VALUE"""),10.0)</f>
        <v>10</v>
      </c>
    </row>
    <row r="10095">
      <c r="A10095" s="178" t="str">
        <f>IFERROR(__xludf.DUMMYFUNCTION("""COMPUTED_VALUE"""),"ITBISA-RESISTOR-33K-1/4W")</f>
        <v>ITBISA-RESISTOR-33K-1/4W</v>
      </c>
      <c r="B10095" s="266">
        <f>IFERROR(__xludf.DUMMYFUNCTION("""COMPUTED_VALUE"""),45965.0)</f>
        <v>45965</v>
      </c>
      <c r="C10095" s="266" t="str">
        <f>IFERROR(__xludf.DUMMYFUNCTION("""COMPUTED_VALUE"""),"KYAI KONTONG")</f>
        <v>KYAI KONTONG</v>
      </c>
      <c r="D10095" s="186">
        <f>IFERROR(__xludf.DUMMYFUNCTION("""COMPUTED_VALUE"""),10.0)</f>
        <v>10</v>
      </c>
    </row>
    <row r="10096">
      <c r="A10096" s="178" t="str">
        <f>IFERROR(__xludf.DUMMYFUNCTION("""COMPUTED_VALUE"""),"ITBISA-RESISTOR-33K-1/4W")</f>
        <v>ITBISA-RESISTOR-33K-1/4W</v>
      </c>
      <c r="B10096" s="266">
        <f>IFERROR(__xludf.DUMMYFUNCTION("""COMPUTED_VALUE"""),45997.0)</f>
        <v>45997</v>
      </c>
      <c r="C10096" s="266" t="str">
        <f>IFERROR(__xludf.DUMMYFUNCTION("""COMPUTED_VALUE"""),"KERTASARI CIAMIS")</f>
        <v>KERTASARI CIAMIS</v>
      </c>
      <c r="D10096" s="186">
        <f>IFERROR(__xludf.DUMMYFUNCTION("""COMPUTED_VALUE"""),0.0)</f>
        <v>0</v>
      </c>
    </row>
    <row r="10097">
      <c r="A10097" s="178" t="str">
        <f>IFERROR(__xludf.DUMMYFUNCTION("""COMPUTED_VALUE"""),"ITBISA-RESISTOR-33K-1/4W")</f>
        <v>ITBISA-RESISTOR-33K-1/4W</v>
      </c>
      <c r="B10097" s="266">
        <f>IFERROR(__xludf.DUMMYFUNCTION("""COMPUTED_VALUE"""),46012.0)</f>
        <v>46012</v>
      </c>
      <c r="C10097" s="266" t="str">
        <f>IFERROR(__xludf.DUMMYFUNCTION("""COMPUTED_VALUE"""),"KYAI KONTONG")</f>
        <v>KYAI KONTONG</v>
      </c>
      <c r="D10097" s="186">
        <f>IFERROR(__xludf.DUMMYFUNCTION("""COMPUTED_VALUE"""),10.0)</f>
        <v>10</v>
      </c>
    </row>
    <row r="10098">
      <c r="A10098" s="178" t="str">
        <f>IFERROR(__xludf.DUMMYFUNCTION("""COMPUTED_VALUE"""),"ITBISA-RESISTOR-390-1/4W")</f>
        <v>ITBISA-RESISTOR-390-1/4W</v>
      </c>
      <c r="B10098" s="266">
        <f>IFERROR(__xludf.DUMMYFUNCTION("""COMPUTED_VALUE"""),45962.0)</f>
        <v>45962</v>
      </c>
      <c r="C10098" s="266" t="str">
        <f>IFERROR(__xludf.DUMMYFUNCTION("""COMPUTED_VALUE"""),"KYAI KONTONG")</f>
        <v>KYAI KONTONG</v>
      </c>
      <c r="D10098" s="186">
        <f>IFERROR(__xludf.DUMMYFUNCTION("""COMPUTED_VALUE"""),0.0)</f>
        <v>0</v>
      </c>
    </row>
    <row r="10099">
      <c r="A10099" s="178" t="str">
        <f>IFERROR(__xludf.DUMMYFUNCTION("""COMPUTED_VALUE"""),"ITBISA-RESISTOR-390-1/4W")</f>
        <v>ITBISA-RESISTOR-390-1/4W</v>
      </c>
      <c r="B10099" s="266">
        <f>IFERROR(__xludf.DUMMYFUNCTION("""COMPUTED_VALUE"""),45996.0)</f>
        <v>45996</v>
      </c>
      <c r="C10099" s="266" t="str">
        <f>IFERROR(__xludf.DUMMYFUNCTION("""COMPUTED_VALUE"""),"KERTASARI CIAMIS")</f>
        <v>KERTASARI CIAMIS</v>
      </c>
      <c r="D10099" s="186">
        <f>IFERROR(__xludf.DUMMYFUNCTION("""COMPUTED_VALUE"""),100.0)</f>
        <v>100</v>
      </c>
    </row>
    <row r="10100">
      <c r="A10100" s="178" t="str">
        <f>IFERROR(__xludf.DUMMYFUNCTION("""COMPUTED_VALUE"""),"ITBISA-RESISTOR-390-1/4W")</f>
        <v>ITBISA-RESISTOR-390-1/4W</v>
      </c>
      <c r="B10100" s="266">
        <f>IFERROR(__xludf.DUMMYFUNCTION("""COMPUTED_VALUE"""),46010.0)</f>
        <v>46010</v>
      </c>
      <c r="C10100" s="266" t="str">
        <f>IFERROR(__xludf.DUMMYFUNCTION("""COMPUTED_VALUE"""),"KERTASARI CIAMIS")</f>
        <v>KERTASARI CIAMIS</v>
      </c>
      <c r="D10100" s="186">
        <f>IFERROR(__xludf.DUMMYFUNCTION("""COMPUTED_VALUE"""),10.0)</f>
        <v>10</v>
      </c>
    </row>
    <row r="10101">
      <c r="A10101" s="178" t="str">
        <f>IFERROR(__xludf.DUMMYFUNCTION("""COMPUTED_VALUE"""),"ITBISA-RESISTOR-39K-1/4W")</f>
        <v>ITBISA-RESISTOR-39K-1/4W</v>
      </c>
      <c r="B10101" s="266">
        <f>IFERROR(__xludf.DUMMYFUNCTION("""COMPUTED_VALUE"""),45935.0)</f>
        <v>45935</v>
      </c>
      <c r="C10101" s="266" t="str">
        <f>IFERROR(__xludf.DUMMYFUNCTION("""COMPUTED_VALUE"""),"KYAI KONTONG")</f>
        <v>KYAI KONTONG</v>
      </c>
      <c r="D10101" s="186">
        <f>IFERROR(__xludf.DUMMYFUNCTION("""COMPUTED_VALUE"""),10.0)</f>
        <v>10</v>
      </c>
    </row>
    <row r="10102">
      <c r="A10102" s="178" t="str">
        <f>IFERROR(__xludf.DUMMYFUNCTION("""COMPUTED_VALUE"""),"ITBISA-RESISTOR-3K3-1/4W")</f>
        <v>ITBISA-RESISTOR-3K3-1/4W</v>
      </c>
      <c r="B10102" s="266">
        <f>IFERROR(__xludf.DUMMYFUNCTION("""COMPUTED_VALUE"""),44002.0)</f>
        <v>44002</v>
      </c>
      <c r="C10102" s="266" t="str">
        <f>IFERROR(__xludf.DUMMYFUNCTION("""COMPUTED_VALUE"""),"KAETOBO RESIDENCE")</f>
        <v>KAETOBO RESIDENCE</v>
      </c>
      <c r="D10102" s="186">
        <f>IFERROR(__xludf.DUMMYFUNCTION("""COMPUTED_VALUE"""),20.0)</f>
        <v>20</v>
      </c>
    </row>
    <row r="10103">
      <c r="A10103" s="178" t="str">
        <f>IFERROR(__xludf.DUMMYFUNCTION("""COMPUTED_VALUE"""),"ITBISA-RESISTOR-3K3-1/4W")</f>
        <v>ITBISA-RESISTOR-3K3-1/4W</v>
      </c>
      <c r="B10103" s="266">
        <f>IFERROR(__xludf.DUMMYFUNCTION("""COMPUTED_VALUE"""),44005.0)</f>
        <v>44005</v>
      </c>
      <c r="C10103" s="266" t="str">
        <f>IFERROR(__xludf.DUMMYFUNCTION("""COMPUTED_VALUE"""),"KAETOBO RESIDENCE")</f>
        <v>KAETOBO RESIDENCE</v>
      </c>
      <c r="D10103" s="186">
        <f>IFERROR(__xludf.DUMMYFUNCTION("""COMPUTED_VALUE"""),50.0)</f>
        <v>50</v>
      </c>
    </row>
    <row r="10104">
      <c r="A10104" s="178" t="str">
        <f>IFERROR(__xludf.DUMMYFUNCTION("""COMPUTED_VALUE"""),"ITBISA-RESISTOR-3K3-1/4W")</f>
        <v>ITBISA-RESISTOR-3K3-1/4W</v>
      </c>
      <c r="B10104" s="266">
        <f>IFERROR(__xludf.DUMMYFUNCTION("""COMPUTED_VALUE"""),44007.0)</f>
        <v>44007</v>
      </c>
      <c r="C10104" s="266" t="str">
        <f>IFERROR(__xludf.DUMMYFUNCTION("""COMPUTED_VALUE"""),"KAETOBO RESIDENCE")</f>
        <v>KAETOBO RESIDENCE</v>
      </c>
      <c r="D10104" s="186">
        <f>IFERROR(__xludf.DUMMYFUNCTION("""COMPUTED_VALUE"""),5.0)</f>
        <v>5</v>
      </c>
    </row>
    <row r="10105">
      <c r="A10105" s="178" t="str">
        <f>IFERROR(__xludf.DUMMYFUNCTION("""COMPUTED_VALUE"""),"ITBISA-RESISTOR-3K3-1/4W")</f>
        <v>ITBISA-RESISTOR-3K3-1/4W</v>
      </c>
      <c r="B10105" s="266">
        <f>IFERROR(__xludf.DUMMYFUNCTION("""COMPUTED_VALUE"""),44008.0)</f>
        <v>44008</v>
      </c>
      <c r="C10105" s="266" t="str">
        <f>IFERROR(__xludf.DUMMYFUNCTION("""COMPUTED_VALUE"""),"KAETOBO RESIDENCE")</f>
        <v>KAETOBO RESIDENCE</v>
      </c>
      <c r="D10105" s="186">
        <f>IFERROR(__xludf.DUMMYFUNCTION("""COMPUTED_VALUE"""),50.0)</f>
        <v>50</v>
      </c>
    </row>
    <row r="10106">
      <c r="A10106" s="178" t="str">
        <f>IFERROR(__xludf.DUMMYFUNCTION("""COMPUTED_VALUE"""),"ITBISA-RESISTOR-3K3-1/4W")</f>
        <v>ITBISA-RESISTOR-3K3-1/4W</v>
      </c>
      <c r="B10106" s="266">
        <f>IFERROR(__xludf.DUMMYFUNCTION("""COMPUTED_VALUE"""),44008.0)</f>
        <v>44008</v>
      </c>
      <c r="C10106" s="266" t="str">
        <f>IFERROR(__xludf.DUMMYFUNCTION("""COMPUTED_VALUE"""),"KAETOBO RESIDENCE")</f>
        <v>KAETOBO RESIDENCE</v>
      </c>
      <c r="D10106" s="186">
        <f>IFERROR(__xludf.DUMMYFUNCTION("""COMPUTED_VALUE"""),50.0)</f>
        <v>50</v>
      </c>
    </row>
    <row r="10107">
      <c r="A10107" s="178" t="str">
        <f>IFERROR(__xludf.DUMMYFUNCTION("""COMPUTED_VALUE"""),"ITBISA-RESISTOR-3K3-1/4W")</f>
        <v>ITBISA-RESISTOR-3K3-1/4W</v>
      </c>
      <c r="B10107" s="266">
        <f>IFERROR(__xludf.DUMMYFUNCTION("""COMPUTED_VALUE"""),44019.0)</f>
        <v>44019</v>
      </c>
      <c r="C10107" s="266" t="str">
        <f>IFERROR(__xludf.DUMMYFUNCTION("""COMPUTED_VALUE"""),"KAETOBO RESIDENCE")</f>
        <v>KAETOBO RESIDENCE</v>
      </c>
      <c r="D10107" s="186">
        <f>IFERROR(__xludf.DUMMYFUNCTION("""COMPUTED_VALUE"""),1.0)</f>
        <v>1</v>
      </c>
    </row>
    <row r="10108">
      <c r="A10108" s="178" t="str">
        <f>IFERROR(__xludf.DUMMYFUNCTION("""COMPUTED_VALUE"""),"ITBISA-RESISTOR-3K3-1/4W")</f>
        <v>ITBISA-RESISTOR-3K3-1/4W</v>
      </c>
      <c r="B10108" s="266">
        <f>IFERROR(__xludf.DUMMYFUNCTION("""COMPUTED_VALUE"""),44020.0)</f>
        <v>44020</v>
      </c>
      <c r="C10108" s="266" t="str">
        <f>IFERROR(__xludf.DUMMYFUNCTION("""COMPUTED_VALUE"""),"KAETOBO RESIDENCE")</f>
        <v>KAETOBO RESIDENCE</v>
      </c>
      <c r="D10108" s="186">
        <f>IFERROR(__xludf.DUMMYFUNCTION("""COMPUTED_VALUE"""),2.0)</f>
        <v>2</v>
      </c>
    </row>
    <row r="10109">
      <c r="A10109" s="178" t="str">
        <f>IFERROR(__xludf.DUMMYFUNCTION("""COMPUTED_VALUE"""),"ITBISA-RESISTOR-3K3-1/4W")</f>
        <v>ITBISA-RESISTOR-3K3-1/4W</v>
      </c>
      <c r="B10109" s="266">
        <f>IFERROR(__xludf.DUMMYFUNCTION("""COMPUTED_VALUE"""),44024.0)</f>
        <v>44024</v>
      </c>
      <c r="C10109" s="266" t="str">
        <f>IFERROR(__xludf.DUMMYFUNCTION("""COMPUTED_VALUE"""),"KAETOBO RESIDENCE")</f>
        <v>KAETOBO RESIDENCE</v>
      </c>
      <c r="D10109" s="186">
        <f>IFERROR(__xludf.DUMMYFUNCTION("""COMPUTED_VALUE"""),30.0)</f>
        <v>30</v>
      </c>
    </row>
    <row r="10110">
      <c r="A10110" s="178" t="str">
        <f>IFERROR(__xludf.DUMMYFUNCTION("""COMPUTED_VALUE"""),"ITBISA-RESISTOR-3K3-1/4W")</f>
        <v>ITBISA-RESISTOR-3K3-1/4W</v>
      </c>
      <c r="B10110" s="266">
        <f>IFERROR(__xludf.DUMMYFUNCTION("""COMPUTED_VALUE"""),44027.0)</f>
        <v>44027</v>
      </c>
      <c r="C10110" s="266" t="str">
        <f>IFERROR(__xludf.DUMMYFUNCTION("""COMPUTED_VALUE"""),"KAETOBO RESIDENCE")</f>
        <v>KAETOBO RESIDENCE</v>
      </c>
      <c r="D10110" s="186">
        <f>IFERROR(__xludf.DUMMYFUNCTION("""COMPUTED_VALUE"""),250.0)</f>
        <v>250</v>
      </c>
    </row>
    <row r="10111">
      <c r="A10111" s="178" t="str">
        <f>IFERROR(__xludf.DUMMYFUNCTION("""COMPUTED_VALUE"""),"ITBISA-RESISTOR-3K3-1/4W")</f>
        <v>ITBISA-RESISTOR-3K3-1/4W</v>
      </c>
      <c r="B10111" s="266">
        <f>IFERROR(__xludf.DUMMYFUNCTION("""COMPUTED_VALUE"""),44045.0)</f>
        <v>44045</v>
      </c>
      <c r="C10111" s="266" t="str">
        <f>IFERROR(__xludf.DUMMYFUNCTION("""COMPUTED_VALUE"""),"KAETOBO RESIDENCE")</f>
        <v>KAETOBO RESIDENCE</v>
      </c>
      <c r="D10111" s="186">
        <f>IFERROR(__xludf.DUMMYFUNCTION("""COMPUTED_VALUE"""),1.0)</f>
        <v>1</v>
      </c>
    </row>
    <row r="10112">
      <c r="A10112" s="178" t="str">
        <f>IFERROR(__xludf.DUMMYFUNCTION("""COMPUTED_VALUE"""),"ITBISA-RESISTOR-3K3-1/4W")</f>
        <v>ITBISA-RESISTOR-3K3-1/4W</v>
      </c>
      <c r="B10112" s="266">
        <f>IFERROR(__xludf.DUMMYFUNCTION("""COMPUTED_VALUE"""),44059.0)</f>
        <v>44059</v>
      </c>
      <c r="C10112" s="266" t="str">
        <f>IFERROR(__xludf.DUMMYFUNCTION("""COMPUTED_VALUE"""),"KOST SRITUNGGAL")</f>
        <v>KOST SRITUNGGAL</v>
      </c>
      <c r="D10112" s="186">
        <f>IFERROR(__xludf.DUMMYFUNCTION("""COMPUTED_VALUE"""),5.0)</f>
        <v>5</v>
      </c>
    </row>
    <row r="10113">
      <c r="A10113" s="178" t="str">
        <f>IFERROR(__xludf.DUMMYFUNCTION("""COMPUTED_VALUE"""),"ITBISA-RESISTOR-3K3-1/4W")</f>
        <v>ITBISA-RESISTOR-3K3-1/4W</v>
      </c>
      <c r="B10113" s="266">
        <f>IFERROR(__xludf.DUMMYFUNCTION("""COMPUTED_VALUE"""),44070.0)</f>
        <v>44070</v>
      </c>
      <c r="C10113" s="266" t="str">
        <f>IFERROR(__xludf.DUMMYFUNCTION("""COMPUTED_VALUE"""),"KOST SRITUNGGAL")</f>
        <v>KOST SRITUNGGAL</v>
      </c>
      <c r="D10113" s="186">
        <f>IFERROR(__xludf.DUMMYFUNCTION("""COMPUTED_VALUE"""),1.0)</f>
        <v>1</v>
      </c>
    </row>
    <row r="10114">
      <c r="A10114" s="178" t="str">
        <f>IFERROR(__xludf.DUMMYFUNCTION("""COMPUTED_VALUE"""),"ITBISA-RESISTOR-3K3-1/4W")</f>
        <v>ITBISA-RESISTOR-3K3-1/4W</v>
      </c>
      <c r="B10114" s="266">
        <f>IFERROR(__xludf.DUMMYFUNCTION("""COMPUTED_VALUE"""),44071.0)</f>
        <v>44071</v>
      </c>
      <c r="C10114" s="266" t="str">
        <f>IFERROR(__xludf.DUMMYFUNCTION("""COMPUTED_VALUE"""),"KOST SRITUNGGAL")</f>
        <v>KOST SRITUNGGAL</v>
      </c>
      <c r="D10114" s="186">
        <f>IFERROR(__xludf.DUMMYFUNCTION("""COMPUTED_VALUE"""),1.0)</f>
        <v>1</v>
      </c>
    </row>
    <row r="10115">
      <c r="A10115" s="178" t="str">
        <f>IFERROR(__xludf.DUMMYFUNCTION("""COMPUTED_VALUE"""),"ITBISA-RESISTOR-3K3-1/4W")</f>
        <v>ITBISA-RESISTOR-3K3-1/4W</v>
      </c>
      <c r="B10115" s="266">
        <f>IFERROR(__xludf.DUMMYFUNCTION("""COMPUTED_VALUE"""),44835.0)</f>
        <v>44835</v>
      </c>
      <c r="C10115" s="266" t="str">
        <f>IFERROR(__xludf.DUMMYFUNCTION("""COMPUTED_VALUE"""),"KYAI KONTONG")</f>
        <v>KYAI KONTONG</v>
      </c>
      <c r="D10115" s="186">
        <f>IFERROR(__xludf.DUMMYFUNCTION("""COMPUTED_VALUE"""),50.0)</f>
        <v>50</v>
      </c>
    </row>
    <row r="10116">
      <c r="A10116" s="178" t="str">
        <f>IFERROR(__xludf.DUMMYFUNCTION("""COMPUTED_VALUE"""),"ITBISA-RESISTOR-3K3-1/4W")</f>
        <v>ITBISA-RESISTOR-3K3-1/4W</v>
      </c>
      <c r="B10116" s="266">
        <f>IFERROR(__xludf.DUMMYFUNCTION("""COMPUTED_VALUE"""),44954.0)</f>
        <v>44954</v>
      </c>
      <c r="C10116" s="266" t="str">
        <f>IFERROR(__xludf.DUMMYFUNCTION("""COMPUTED_VALUE"""),"KYAI KONTONG")</f>
        <v>KYAI KONTONG</v>
      </c>
      <c r="D10116" s="186">
        <f>IFERROR(__xludf.DUMMYFUNCTION("""COMPUTED_VALUE"""),10.0)</f>
        <v>10</v>
      </c>
    </row>
    <row r="10117">
      <c r="A10117" s="178" t="str">
        <f>IFERROR(__xludf.DUMMYFUNCTION("""COMPUTED_VALUE"""),"ITBISA-RESISTOR-3K3-1/4W")</f>
        <v>ITBISA-RESISTOR-3K3-1/4W</v>
      </c>
      <c r="B10117" s="266">
        <f>IFERROR(__xludf.DUMMYFUNCTION("""COMPUTED_VALUE"""),44966.0)</f>
        <v>44966</v>
      </c>
      <c r="C10117" s="266" t="str">
        <f>IFERROR(__xludf.DUMMYFUNCTION("""COMPUTED_VALUE"""),"KYAI KONTONG")</f>
        <v>KYAI KONTONG</v>
      </c>
      <c r="D10117" s="186">
        <f>IFERROR(__xludf.DUMMYFUNCTION("""COMPUTED_VALUE"""),10.0)</f>
        <v>10</v>
      </c>
    </row>
    <row r="10118">
      <c r="A10118" s="178" t="str">
        <f>IFERROR(__xludf.DUMMYFUNCTION("""COMPUTED_VALUE"""),"ITBISA-RESISTOR-3K3-1/4W")</f>
        <v>ITBISA-RESISTOR-3K3-1/4W</v>
      </c>
      <c r="B10118" s="266">
        <f>IFERROR(__xludf.DUMMYFUNCTION("""COMPUTED_VALUE"""),45022.0)</f>
        <v>45022</v>
      </c>
      <c r="C10118" s="266" t="str">
        <f>IFERROR(__xludf.DUMMYFUNCTION("""COMPUTED_VALUE"""),"KYAI KONTONG")</f>
        <v>KYAI KONTONG</v>
      </c>
      <c r="D10118" s="186">
        <f>IFERROR(__xludf.DUMMYFUNCTION("""COMPUTED_VALUE"""),10.0)</f>
        <v>10</v>
      </c>
    </row>
    <row r="10119">
      <c r="A10119" s="178" t="str">
        <f>IFERROR(__xludf.DUMMYFUNCTION("""COMPUTED_VALUE"""),"ITBISA-RESISTOR-3K3-1/4W")</f>
        <v>ITBISA-RESISTOR-3K3-1/4W</v>
      </c>
      <c r="B10119" s="266">
        <f>IFERROR(__xludf.DUMMYFUNCTION("""COMPUTED_VALUE"""),45292.0)</f>
        <v>45292</v>
      </c>
      <c r="C10119" s="266" t="str">
        <f>IFERROR(__xludf.DUMMYFUNCTION("""COMPUTED_VALUE"""),"KYAI KONTONG")</f>
        <v>KYAI KONTONG</v>
      </c>
      <c r="D10119" s="186">
        <f>IFERROR(__xludf.DUMMYFUNCTION("""COMPUTED_VALUE"""),10.0)</f>
        <v>10</v>
      </c>
    </row>
    <row r="10120">
      <c r="A10120" s="178" t="str">
        <f>IFERROR(__xludf.DUMMYFUNCTION("""COMPUTED_VALUE"""),"ITBISA-RESISTOR-3K3-1/4W")</f>
        <v>ITBISA-RESISTOR-3K3-1/4W</v>
      </c>
      <c r="B10120" s="266">
        <f>IFERROR(__xludf.DUMMYFUNCTION("""COMPUTED_VALUE"""),45353.0)</f>
        <v>45353</v>
      </c>
      <c r="C10120" s="266" t="str">
        <f>IFERROR(__xludf.DUMMYFUNCTION("""COMPUTED_VALUE"""),"KYAI KONTONG")</f>
        <v>KYAI KONTONG</v>
      </c>
      <c r="D10120" s="186">
        <f>IFERROR(__xludf.DUMMYFUNCTION("""COMPUTED_VALUE"""),20.0)</f>
        <v>20</v>
      </c>
    </row>
    <row r="10121">
      <c r="A10121" s="178" t="str">
        <f>IFERROR(__xludf.DUMMYFUNCTION("""COMPUTED_VALUE"""),"ITBISA-RESISTOR-3K3-1/4W")</f>
        <v>ITBISA-RESISTOR-3K3-1/4W</v>
      </c>
      <c r="B10121" s="266">
        <f>IFERROR(__xludf.DUMMYFUNCTION("""COMPUTED_VALUE"""),45449.0)</f>
        <v>45449</v>
      </c>
      <c r="C10121" s="266" t="str">
        <f>IFERROR(__xludf.DUMMYFUNCTION("""COMPUTED_VALUE"""),"KERTASARI CIAMIS")</f>
        <v>KERTASARI CIAMIS</v>
      </c>
      <c r="D10121" s="186">
        <f>IFERROR(__xludf.DUMMYFUNCTION("""COMPUTED_VALUE"""),100.0)</f>
        <v>100</v>
      </c>
    </row>
    <row r="10122">
      <c r="A10122" s="178" t="str">
        <f>IFERROR(__xludf.DUMMYFUNCTION("""COMPUTED_VALUE"""),"ITBISA-RESISTOR-3K3-1/4W")</f>
        <v>ITBISA-RESISTOR-3K3-1/4W</v>
      </c>
      <c r="B10122" s="266">
        <f>IFERROR(__xludf.DUMMYFUNCTION("""COMPUTED_VALUE"""),45935.0)</f>
        <v>45935</v>
      </c>
      <c r="C10122" s="266" t="str">
        <f>IFERROR(__xludf.DUMMYFUNCTION("""COMPUTED_VALUE"""),"KYAI KONTONG")</f>
        <v>KYAI KONTONG</v>
      </c>
      <c r="D10122" s="186">
        <f>IFERROR(__xludf.DUMMYFUNCTION("""COMPUTED_VALUE"""),10.0)</f>
        <v>10</v>
      </c>
    </row>
    <row r="10123">
      <c r="A10123" s="178" t="str">
        <f>IFERROR(__xludf.DUMMYFUNCTION("""COMPUTED_VALUE"""),"ITBISA-RESISTOR-3K3-1/4W")</f>
        <v>ITBISA-RESISTOR-3K3-1/4W</v>
      </c>
      <c r="B10123" s="266">
        <f>IFERROR(__xludf.DUMMYFUNCTION("""COMPUTED_VALUE"""),45965.0)</f>
        <v>45965</v>
      </c>
      <c r="C10123" s="266" t="str">
        <f>IFERROR(__xludf.DUMMYFUNCTION("""COMPUTED_VALUE"""),"KYAI KONTONG")</f>
        <v>KYAI KONTONG</v>
      </c>
      <c r="D10123" s="186">
        <f>IFERROR(__xludf.DUMMYFUNCTION("""COMPUTED_VALUE"""),50.0)</f>
        <v>50</v>
      </c>
    </row>
    <row r="10124">
      <c r="A10124" s="178" t="str">
        <f>IFERROR(__xludf.DUMMYFUNCTION("""COMPUTED_VALUE"""),"ITBISA-RESISTOR-3K3-1/4W")</f>
        <v>ITBISA-RESISTOR-3K3-1/4W</v>
      </c>
      <c r="B10124" s="266">
        <f>IFERROR(__xludf.DUMMYFUNCTION("""COMPUTED_VALUE"""),45966.0)</f>
        <v>45966</v>
      </c>
      <c r="C10124" s="266" t="str">
        <f>IFERROR(__xludf.DUMMYFUNCTION("""COMPUTED_VALUE"""),"KYAI KONTONG")</f>
        <v>KYAI KONTONG</v>
      </c>
      <c r="D10124" s="186">
        <f>IFERROR(__xludf.DUMMYFUNCTION("""COMPUTED_VALUE"""),10.0)</f>
        <v>10</v>
      </c>
    </row>
    <row r="10125">
      <c r="A10125" s="178" t="str">
        <f>IFERROR(__xludf.DUMMYFUNCTION("""COMPUTED_VALUE"""),"ITBISA-RESISTOR-3K3-1/4W")</f>
        <v>ITBISA-RESISTOR-3K3-1/4W</v>
      </c>
      <c r="B10125" s="266">
        <f>IFERROR(__xludf.DUMMYFUNCTION("""COMPUTED_VALUE"""),46011.0)</f>
        <v>46011</v>
      </c>
      <c r="C10125" s="266" t="str">
        <f>IFERROR(__xludf.DUMMYFUNCTION("""COMPUTED_VALUE"""),"KYAI KONTONG")</f>
        <v>KYAI KONTONG</v>
      </c>
      <c r="D10125" s="186">
        <f>IFERROR(__xludf.DUMMYFUNCTION("""COMPUTED_VALUE"""),10.0)</f>
        <v>10</v>
      </c>
    </row>
    <row r="10126">
      <c r="A10126" s="178" t="str">
        <f>IFERROR(__xludf.DUMMYFUNCTION("""COMPUTED_VALUE"""),"ITBISA-RESISTOR-43K-1/4W")</f>
        <v>ITBISA-RESISTOR-43K-1/4W</v>
      </c>
      <c r="B10126" s="266">
        <f>IFERROR(__xludf.DUMMYFUNCTION("""COMPUTED_VALUE"""),45763.0)</f>
        <v>45763</v>
      </c>
      <c r="C10126" s="266" t="str">
        <f>IFERROR(__xludf.DUMMYFUNCTION("""COMPUTED_VALUE"""),"KERTASARI CIAMIS")</f>
        <v>KERTASARI CIAMIS</v>
      </c>
      <c r="D10126" s="186">
        <f>IFERROR(__xludf.DUMMYFUNCTION("""COMPUTED_VALUE"""),0.0)</f>
        <v>0</v>
      </c>
    </row>
    <row r="10127">
      <c r="A10127" s="178" t="str">
        <f>IFERROR(__xludf.DUMMYFUNCTION("""COMPUTED_VALUE"""),"ITBISA-RESISTOR-470K-1/4W")</f>
        <v>ITBISA-RESISTOR-470K-1/4W</v>
      </c>
      <c r="B10127" s="266">
        <f>IFERROR(__xludf.DUMMYFUNCTION("""COMPUTED_VALUE"""),45962.0)</f>
        <v>45962</v>
      </c>
      <c r="C10127" s="266" t="str">
        <f>IFERROR(__xludf.DUMMYFUNCTION("""COMPUTED_VALUE"""),"KYAI KONTONG")</f>
        <v>KYAI KONTONG</v>
      </c>
      <c r="D10127" s="186">
        <f>IFERROR(__xludf.DUMMYFUNCTION("""COMPUTED_VALUE"""),10.0)</f>
        <v>10</v>
      </c>
    </row>
    <row r="10128">
      <c r="A10128" s="178" t="str">
        <f>IFERROR(__xludf.DUMMYFUNCTION("""COMPUTED_VALUE"""),"ITBISA-RESISTOR-470K-1/4W")</f>
        <v>ITBISA-RESISTOR-470K-1/4W</v>
      </c>
      <c r="B10128" s="266">
        <f>IFERROR(__xludf.DUMMYFUNCTION("""COMPUTED_VALUE"""),45980.0)</f>
        <v>45980</v>
      </c>
      <c r="C10128" s="266" t="str">
        <f>IFERROR(__xludf.DUMMYFUNCTION("""COMPUTED_VALUE"""),"KYAI KONTONG")</f>
        <v>KYAI KONTONG</v>
      </c>
      <c r="D10128" s="186">
        <f>IFERROR(__xludf.DUMMYFUNCTION("""COMPUTED_VALUE"""),10.0)</f>
        <v>10</v>
      </c>
    </row>
    <row r="10129">
      <c r="A10129" s="178" t="str">
        <f>IFERROR(__xludf.DUMMYFUNCTION("""COMPUTED_VALUE"""),"ITBISA-RESISTOR-47K-1/4W")</f>
        <v>ITBISA-RESISTOR-47K-1/4W</v>
      </c>
      <c r="B10129" s="266">
        <f>IFERROR(__xludf.DUMMYFUNCTION("""COMPUTED_VALUE"""),45934.0)</f>
        <v>45934</v>
      </c>
      <c r="C10129" s="266" t="str">
        <f>IFERROR(__xludf.DUMMYFUNCTION("""COMPUTED_VALUE"""),"KYAI KONTONG")</f>
        <v>KYAI KONTONG</v>
      </c>
      <c r="D10129" s="186">
        <f>IFERROR(__xludf.DUMMYFUNCTION("""COMPUTED_VALUE"""),30.0)</f>
        <v>30</v>
      </c>
    </row>
    <row r="10130">
      <c r="A10130" s="178" t="str">
        <f>IFERROR(__xludf.DUMMYFUNCTION("""COMPUTED_VALUE"""),"ITBISA-RESISTOR-47K-1/4W")</f>
        <v>ITBISA-RESISTOR-47K-1/4W</v>
      </c>
      <c r="B10130" s="266">
        <f>IFERROR(__xludf.DUMMYFUNCTION("""COMPUTED_VALUE"""),45935.0)</f>
        <v>45935</v>
      </c>
      <c r="C10130" s="266" t="str">
        <f>IFERROR(__xludf.DUMMYFUNCTION("""COMPUTED_VALUE"""),"KYAI KONTONG")</f>
        <v>KYAI KONTONG</v>
      </c>
      <c r="D10130" s="186">
        <f>IFERROR(__xludf.DUMMYFUNCTION("""COMPUTED_VALUE"""),10.0)</f>
        <v>10</v>
      </c>
    </row>
    <row r="10131">
      <c r="A10131" s="178" t="str">
        <f>IFERROR(__xludf.DUMMYFUNCTION("""COMPUTED_VALUE"""),"ITBISA-RESISTOR-47K-1/4W")</f>
        <v>ITBISA-RESISTOR-47K-1/4W</v>
      </c>
      <c r="B10131" s="266">
        <f>IFERROR(__xludf.DUMMYFUNCTION("""COMPUTED_VALUE"""),45964.0)</f>
        <v>45964</v>
      </c>
      <c r="C10131" s="266" t="str">
        <f>IFERROR(__xludf.DUMMYFUNCTION("""COMPUTED_VALUE"""),"KYAI KONTONG")</f>
        <v>KYAI KONTONG</v>
      </c>
      <c r="D10131" s="186">
        <f>IFERROR(__xludf.DUMMYFUNCTION("""COMPUTED_VALUE"""),100.0)</f>
        <v>100</v>
      </c>
    </row>
    <row r="10132">
      <c r="A10132" s="178" t="str">
        <f>IFERROR(__xludf.DUMMYFUNCTION("""COMPUTED_VALUE"""),"ITBISA-RESISTOR-47K-1/4W")</f>
        <v>ITBISA-RESISTOR-47K-1/4W</v>
      </c>
      <c r="B10132" s="266">
        <f>IFERROR(__xludf.DUMMYFUNCTION("""COMPUTED_VALUE"""),45968.0)</f>
        <v>45968</v>
      </c>
      <c r="C10132" s="266" t="str">
        <f>IFERROR(__xludf.DUMMYFUNCTION("""COMPUTED_VALUE"""),"KERTASARI CIAMIS")</f>
        <v>KERTASARI CIAMIS</v>
      </c>
      <c r="D10132" s="186">
        <f>IFERROR(__xludf.DUMMYFUNCTION("""COMPUTED_VALUE"""),0.0)</f>
        <v>0</v>
      </c>
    </row>
    <row r="10133">
      <c r="A10133" s="178" t="str">
        <f>IFERROR(__xludf.DUMMYFUNCTION("""COMPUTED_VALUE"""),"ITBISA-RESISTOR-47K-1/4W")</f>
        <v>ITBISA-RESISTOR-47K-1/4W</v>
      </c>
      <c r="B10133" s="266">
        <f>IFERROR(__xludf.DUMMYFUNCTION("""COMPUTED_VALUE"""),45969.0)</f>
        <v>45969</v>
      </c>
      <c r="C10133" s="266" t="str">
        <f>IFERROR(__xludf.DUMMYFUNCTION("""COMPUTED_VALUE"""),"KYAI KONTONG")</f>
        <v>KYAI KONTONG</v>
      </c>
      <c r="D10133" s="186">
        <f>IFERROR(__xludf.DUMMYFUNCTION("""COMPUTED_VALUE"""),20.0)</f>
        <v>20</v>
      </c>
    </row>
    <row r="10134">
      <c r="A10134" s="178" t="str">
        <f>IFERROR(__xludf.DUMMYFUNCTION("""COMPUTED_VALUE"""),"ITBISA-RESISTOR-47K-1/4W")</f>
        <v>ITBISA-RESISTOR-47K-1/4W</v>
      </c>
      <c r="B10134" s="266">
        <f>IFERROR(__xludf.DUMMYFUNCTION("""COMPUTED_VALUE"""),45997.0)</f>
        <v>45997</v>
      </c>
      <c r="C10134" s="266" t="str">
        <f>IFERROR(__xludf.DUMMYFUNCTION("""COMPUTED_VALUE"""),"KYAI KONTONG")</f>
        <v>KYAI KONTONG</v>
      </c>
      <c r="D10134" s="186">
        <f>IFERROR(__xludf.DUMMYFUNCTION("""COMPUTED_VALUE"""),20.0)</f>
        <v>20</v>
      </c>
    </row>
    <row r="10135">
      <c r="A10135" s="178" t="str">
        <f>IFERROR(__xludf.DUMMYFUNCTION("""COMPUTED_VALUE"""),"ITBISA-RESISTOR-47K-1/4W")</f>
        <v>ITBISA-RESISTOR-47K-1/4W</v>
      </c>
      <c r="B10135" s="266">
        <f>IFERROR(__xludf.DUMMYFUNCTION("""COMPUTED_VALUE"""),46006.0)</f>
        <v>46006</v>
      </c>
      <c r="C10135" s="266" t="str">
        <f>IFERROR(__xludf.DUMMYFUNCTION("""COMPUTED_VALUE"""),"KYAI KONTONG")</f>
        <v>KYAI KONTONG</v>
      </c>
      <c r="D10135" s="186">
        <f>IFERROR(__xludf.DUMMYFUNCTION("""COMPUTED_VALUE"""),20.0)</f>
        <v>20</v>
      </c>
    </row>
    <row r="10136">
      <c r="A10136" s="178" t="str">
        <f>IFERROR(__xludf.DUMMYFUNCTION("""COMPUTED_VALUE"""),"ITBISA-RESISTOR-47K-1/4W")</f>
        <v>ITBISA-RESISTOR-47K-1/4W</v>
      </c>
      <c r="B10136" s="266">
        <f>IFERROR(__xludf.DUMMYFUNCTION("""COMPUTED_VALUE"""),46011.0)</f>
        <v>46011</v>
      </c>
      <c r="C10136" s="266" t="str">
        <f>IFERROR(__xludf.DUMMYFUNCTION("""COMPUTED_VALUE"""),"KYAI KONTONG")</f>
        <v>KYAI KONTONG</v>
      </c>
      <c r="D10136" s="186">
        <f>IFERROR(__xludf.DUMMYFUNCTION("""COMPUTED_VALUE"""),20.0)</f>
        <v>20</v>
      </c>
    </row>
    <row r="10137">
      <c r="A10137" s="178" t="str">
        <f>IFERROR(__xludf.DUMMYFUNCTION("""COMPUTED_VALUE"""),"ITBISA-RESISTOR-4K7-1/4W")</f>
        <v>ITBISA-RESISTOR-4K7-1/4W</v>
      </c>
      <c r="B10137" s="266">
        <f>IFERROR(__xludf.DUMMYFUNCTION("""COMPUTED_VALUE"""),44005.0)</f>
        <v>44005</v>
      </c>
      <c r="C10137" s="266" t="str">
        <f>IFERROR(__xludf.DUMMYFUNCTION("""COMPUTED_VALUE"""),"KAETOBO RESIDENCE")</f>
        <v>KAETOBO RESIDENCE</v>
      </c>
      <c r="D10137" s="186">
        <f>IFERROR(__xludf.DUMMYFUNCTION("""COMPUTED_VALUE"""),50.0)</f>
        <v>50</v>
      </c>
    </row>
    <row r="10138">
      <c r="A10138" s="178" t="str">
        <f>IFERROR(__xludf.DUMMYFUNCTION("""COMPUTED_VALUE"""),"ITBISA-RESISTOR-4K7-1/4W")</f>
        <v>ITBISA-RESISTOR-4K7-1/4W</v>
      </c>
      <c r="B10138" s="266">
        <f>IFERROR(__xludf.DUMMYFUNCTION("""COMPUTED_VALUE"""),44008.0)</f>
        <v>44008</v>
      </c>
      <c r="C10138" s="266" t="str">
        <f>IFERROR(__xludf.DUMMYFUNCTION("""COMPUTED_VALUE"""),"KAETOBO RESIDENCE")</f>
        <v>KAETOBO RESIDENCE</v>
      </c>
      <c r="D10138" s="186">
        <f>IFERROR(__xludf.DUMMYFUNCTION("""COMPUTED_VALUE"""),50.0)</f>
        <v>50</v>
      </c>
    </row>
    <row r="10139">
      <c r="A10139" s="178" t="str">
        <f>IFERROR(__xludf.DUMMYFUNCTION("""COMPUTED_VALUE"""),"ITBISA-RESISTOR-4K7-1/4W")</f>
        <v>ITBISA-RESISTOR-4K7-1/4W</v>
      </c>
      <c r="B10139" s="266">
        <f>IFERROR(__xludf.DUMMYFUNCTION("""COMPUTED_VALUE"""),44008.0)</f>
        <v>44008</v>
      </c>
      <c r="C10139" s="266" t="str">
        <f>IFERROR(__xludf.DUMMYFUNCTION("""COMPUTED_VALUE"""),"KAETOBO RESIDENCE")</f>
        <v>KAETOBO RESIDENCE</v>
      </c>
      <c r="D10139" s="186">
        <f>IFERROR(__xludf.DUMMYFUNCTION("""COMPUTED_VALUE"""),50.0)</f>
        <v>50</v>
      </c>
    </row>
    <row r="10140">
      <c r="A10140" s="178" t="str">
        <f>IFERROR(__xludf.DUMMYFUNCTION("""COMPUTED_VALUE"""),"ITBISA-RESISTOR-4K7-1/4W")</f>
        <v>ITBISA-RESISTOR-4K7-1/4W</v>
      </c>
      <c r="B10140" s="266">
        <f>IFERROR(__xludf.DUMMYFUNCTION("""COMPUTED_VALUE"""),44021.0)</f>
        <v>44021</v>
      </c>
      <c r="C10140" s="266" t="str">
        <f>IFERROR(__xludf.DUMMYFUNCTION("""COMPUTED_VALUE"""),"KAETOBO RESIDENCE")</f>
        <v>KAETOBO RESIDENCE</v>
      </c>
      <c r="D10140" s="186">
        <f>IFERROR(__xludf.DUMMYFUNCTION("""COMPUTED_VALUE"""),1.0)</f>
        <v>1</v>
      </c>
    </row>
    <row r="10141">
      <c r="A10141" s="178" t="str">
        <f>IFERROR(__xludf.DUMMYFUNCTION("""COMPUTED_VALUE"""),"ITBISA-RESISTOR-4K7-1/4W")</f>
        <v>ITBISA-RESISTOR-4K7-1/4W</v>
      </c>
      <c r="B10141" s="266">
        <f>IFERROR(__xludf.DUMMYFUNCTION("""COMPUTED_VALUE"""),44024.0)</f>
        <v>44024</v>
      </c>
      <c r="C10141" s="266" t="str">
        <f>IFERROR(__xludf.DUMMYFUNCTION("""COMPUTED_VALUE"""),"KAETOBO RESIDENCE")</f>
        <v>KAETOBO RESIDENCE</v>
      </c>
      <c r="D10141" s="186">
        <f>IFERROR(__xludf.DUMMYFUNCTION("""COMPUTED_VALUE"""),10.0)</f>
        <v>10</v>
      </c>
    </row>
    <row r="10142">
      <c r="A10142" s="178" t="str">
        <f>IFERROR(__xludf.DUMMYFUNCTION("""COMPUTED_VALUE"""),"ITBISA-RESISTOR-4K7-1/4W")</f>
        <v>ITBISA-RESISTOR-4K7-1/4W</v>
      </c>
      <c r="B10142" s="266">
        <f>IFERROR(__xludf.DUMMYFUNCTION("""COMPUTED_VALUE"""),44065.0)</f>
        <v>44065</v>
      </c>
      <c r="C10142" s="266" t="str">
        <f>IFERROR(__xludf.DUMMYFUNCTION("""COMPUTED_VALUE"""),"KOST SRITUNGGAL")</f>
        <v>KOST SRITUNGGAL</v>
      </c>
      <c r="D10142" s="186">
        <f>IFERROR(__xludf.DUMMYFUNCTION("""COMPUTED_VALUE"""),100.0)</f>
        <v>100</v>
      </c>
    </row>
    <row r="10143">
      <c r="A10143" s="178" t="str">
        <f>IFERROR(__xludf.DUMMYFUNCTION("""COMPUTED_VALUE"""),"ITBISA-RESISTOR-4K7-1/4W")</f>
        <v>ITBISA-RESISTOR-4K7-1/4W</v>
      </c>
      <c r="B10143" s="266">
        <f>IFERROR(__xludf.DUMMYFUNCTION("""COMPUTED_VALUE"""),44068.0)</f>
        <v>44068</v>
      </c>
      <c r="C10143" s="266" t="str">
        <f>IFERROR(__xludf.DUMMYFUNCTION("""COMPUTED_VALUE"""),"KOST SRITUNGGAL")</f>
        <v>KOST SRITUNGGAL</v>
      </c>
      <c r="D10143" s="186">
        <f>IFERROR(__xludf.DUMMYFUNCTION("""COMPUTED_VALUE"""),1.0)</f>
        <v>1</v>
      </c>
    </row>
    <row r="10144">
      <c r="A10144" s="178" t="str">
        <f>IFERROR(__xludf.DUMMYFUNCTION("""COMPUTED_VALUE"""),"ITBISA-RESISTOR-4K7-1/4W")</f>
        <v>ITBISA-RESISTOR-4K7-1/4W</v>
      </c>
      <c r="B10144" s="266">
        <f>IFERROR(__xludf.DUMMYFUNCTION("""COMPUTED_VALUE"""),44075.0)</f>
        <v>44075</v>
      </c>
      <c r="C10144" s="266" t="str">
        <f>IFERROR(__xludf.DUMMYFUNCTION("""COMPUTED_VALUE"""),"KOST SRITUNGGAL")</f>
        <v>KOST SRITUNGGAL</v>
      </c>
      <c r="D10144" s="186">
        <f>IFERROR(__xludf.DUMMYFUNCTION("""COMPUTED_VALUE"""),2.0)</f>
        <v>2</v>
      </c>
    </row>
    <row r="10145">
      <c r="A10145" s="178" t="str">
        <f>IFERROR(__xludf.DUMMYFUNCTION("""COMPUTED_VALUE"""),"ITBISA-RESISTOR-4K7-1/4W")</f>
        <v>ITBISA-RESISTOR-4K7-1/4W</v>
      </c>
      <c r="B10145" s="266">
        <f>IFERROR(__xludf.DUMMYFUNCTION("""COMPUTED_VALUE"""),44077.0)</f>
        <v>44077</v>
      </c>
      <c r="C10145" s="266" t="str">
        <f>IFERROR(__xludf.DUMMYFUNCTION("""COMPUTED_VALUE"""),"KOST SRITUNGGAL")</f>
        <v>KOST SRITUNGGAL</v>
      </c>
      <c r="D10145" s="186">
        <f>IFERROR(__xludf.DUMMYFUNCTION("""COMPUTED_VALUE"""),1.0)</f>
        <v>1</v>
      </c>
    </row>
    <row r="10146">
      <c r="A10146" s="178" t="str">
        <f>IFERROR(__xludf.DUMMYFUNCTION("""COMPUTED_VALUE"""),"ITBISA-RESISTOR-4K7-1/4W")</f>
        <v>ITBISA-RESISTOR-4K7-1/4W</v>
      </c>
      <c r="B10146" s="266">
        <f>IFERROR(__xludf.DUMMYFUNCTION("""COMPUTED_VALUE"""),44077.0)</f>
        <v>44077</v>
      </c>
      <c r="C10146" s="266" t="str">
        <f>IFERROR(__xludf.DUMMYFUNCTION("""COMPUTED_VALUE"""),"KOST SRITUNGGAL")</f>
        <v>KOST SRITUNGGAL</v>
      </c>
      <c r="D10146" s="186">
        <f>IFERROR(__xludf.DUMMYFUNCTION("""COMPUTED_VALUE"""),1.0)</f>
        <v>1</v>
      </c>
    </row>
    <row r="10147">
      <c r="A10147" s="178" t="str">
        <f>IFERROR(__xludf.DUMMYFUNCTION("""COMPUTED_VALUE"""),"ITBISA-RESISTOR-4K7-1/4W")</f>
        <v>ITBISA-RESISTOR-4K7-1/4W</v>
      </c>
      <c r="B10147" s="266">
        <f>IFERROR(__xludf.DUMMYFUNCTION("""COMPUTED_VALUE"""),44077.0)</f>
        <v>44077</v>
      </c>
      <c r="C10147" s="266" t="str">
        <f>IFERROR(__xludf.DUMMYFUNCTION("""COMPUTED_VALUE"""),"KOST SRITUNGGAL")</f>
        <v>KOST SRITUNGGAL</v>
      </c>
      <c r="D10147" s="186">
        <f>IFERROR(__xludf.DUMMYFUNCTION("""COMPUTED_VALUE"""),1.0)</f>
        <v>1</v>
      </c>
    </row>
    <row r="10148">
      <c r="A10148" s="178" t="str">
        <f>IFERROR(__xludf.DUMMYFUNCTION("""COMPUTED_VALUE"""),"ITBISA-RESISTOR-4K7-1/4W")</f>
        <v>ITBISA-RESISTOR-4K7-1/4W</v>
      </c>
      <c r="B10148" s="266">
        <f>IFERROR(__xludf.DUMMYFUNCTION("""COMPUTED_VALUE"""),44393.0)</f>
        <v>44393</v>
      </c>
      <c r="C10148" s="266" t="str">
        <f>IFERROR(__xludf.DUMMYFUNCTION("""COMPUTED_VALUE"""),"KOST RUMAHUMI")</f>
        <v>KOST RUMAHUMI</v>
      </c>
      <c r="D10148" s="186">
        <f>IFERROR(__xludf.DUMMYFUNCTION("""COMPUTED_VALUE"""),250.0)</f>
        <v>250</v>
      </c>
    </row>
    <row r="10149">
      <c r="A10149" s="178" t="str">
        <f>IFERROR(__xludf.DUMMYFUNCTION("""COMPUTED_VALUE"""),"ITBISA-RESISTOR-4K7-1/4W")</f>
        <v>ITBISA-RESISTOR-4K7-1/4W</v>
      </c>
      <c r="B10149" s="266">
        <f>IFERROR(__xludf.DUMMYFUNCTION("""COMPUTED_VALUE"""),44818.0)</f>
        <v>44818</v>
      </c>
      <c r="C10149" s="266" t="str">
        <f>IFERROR(__xludf.DUMMYFUNCTION("""COMPUTED_VALUE"""),"KYAI KONTONG")</f>
        <v>KYAI KONTONG</v>
      </c>
      <c r="D10149" s="186">
        <f>IFERROR(__xludf.DUMMYFUNCTION("""COMPUTED_VALUE"""),500.0)</f>
        <v>500</v>
      </c>
    </row>
    <row r="10150">
      <c r="A10150" s="178" t="str">
        <f>IFERROR(__xludf.DUMMYFUNCTION("""COMPUTED_VALUE"""),"ITBISA-RESISTOR-4K7-1/4W")</f>
        <v>ITBISA-RESISTOR-4K7-1/4W</v>
      </c>
      <c r="B10150" s="266">
        <f>IFERROR(__xludf.DUMMYFUNCTION("""COMPUTED_VALUE"""),44825.0)</f>
        <v>44825</v>
      </c>
      <c r="C10150" s="266" t="str">
        <f>IFERROR(__xludf.DUMMYFUNCTION("""COMPUTED_VALUE"""),"KYAI KONTONG")</f>
        <v>KYAI KONTONG</v>
      </c>
      <c r="D10150" s="186">
        <f>IFERROR(__xludf.DUMMYFUNCTION("""COMPUTED_VALUE"""),100.0)</f>
        <v>100</v>
      </c>
    </row>
    <row r="10151">
      <c r="A10151" s="178" t="str">
        <f>IFERROR(__xludf.DUMMYFUNCTION("""COMPUTED_VALUE"""),"ITBISA-RESISTOR-4K7-1/4W")</f>
        <v>ITBISA-RESISTOR-4K7-1/4W</v>
      </c>
      <c r="B10151" s="266">
        <f>IFERROR(__xludf.DUMMYFUNCTION("""COMPUTED_VALUE"""),44830.0)</f>
        <v>44830</v>
      </c>
      <c r="C10151" s="266" t="str">
        <f>IFERROR(__xludf.DUMMYFUNCTION("""COMPUTED_VALUE"""),"KYAI KONTONG")</f>
        <v>KYAI KONTONG</v>
      </c>
      <c r="D10151" s="186">
        <f>IFERROR(__xludf.DUMMYFUNCTION("""COMPUTED_VALUE"""),10.0)</f>
        <v>10</v>
      </c>
    </row>
    <row r="10152">
      <c r="A10152" s="178" t="str">
        <f>IFERROR(__xludf.DUMMYFUNCTION("""COMPUTED_VALUE"""),"ITBISA-RESISTOR-4K7-1/4W")</f>
        <v>ITBISA-RESISTOR-4K7-1/4W</v>
      </c>
      <c r="B10152" s="266">
        <f>IFERROR(__xludf.DUMMYFUNCTION("""COMPUTED_VALUE"""),45674.0)</f>
        <v>45674</v>
      </c>
      <c r="C10152" s="266" t="str">
        <f>IFERROR(__xludf.DUMMYFUNCTION("""COMPUTED_VALUE"""),"KYAI KONTONG")</f>
        <v>KYAI KONTONG</v>
      </c>
      <c r="D10152" s="186">
        <f>IFERROR(__xludf.DUMMYFUNCTION("""COMPUTED_VALUE"""),50.0)</f>
        <v>50</v>
      </c>
    </row>
    <row r="10153">
      <c r="A10153" s="178" t="str">
        <f>IFERROR(__xludf.DUMMYFUNCTION("""COMPUTED_VALUE"""),"ITBISA-RESISTOR-4K7-1/4W")</f>
        <v>ITBISA-RESISTOR-4K7-1/4W</v>
      </c>
      <c r="B10153" s="266">
        <f>IFERROR(__xludf.DUMMYFUNCTION("""COMPUTED_VALUE"""),45758.0)</f>
        <v>45758</v>
      </c>
      <c r="C10153" s="266" t="str">
        <f>IFERROR(__xludf.DUMMYFUNCTION("""COMPUTED_VALUE"""),"KERTASARI CIAMIS")</f>
        <v>KERTASARI CIAMIS</v>
      </c>
      <c r="D10153" s="186">
        <f>IFERROR(__xludf.DUMMYFUNCTION("""COMPUTED_VALUE"""),10.0)</f>
        <v>10</v>
      </c>
    </row>
    <row r="10154">
      <c r="A10154" s="178" t="str">
        <f>IFERROR(__xludf.DUMMYFUNCTION("""COMPUTED_VALUE"""),"ITBISA-RESISTOR-4K7-1/4W")</f>
        <v>ITBISA-RESISTOR-4K7-1/4W</v>
      </c>
      <c r="B10154" s="266">
        <f>IFERROR(__xludf.DUMMYFUNCTION("""COMPUTED_VALUE"""),45775.0)</f>
        <v>45775</v>
      </c>
      <c r="C10154" s="266" t="str">
        <f>IFERROR(__xludf.DUMMYFUNCTION("""COMPUTED_VALUE"""),"KERTASARI CIAMIS")</f>
        <v>KERTASARI CIAMIS</v>
      </c>
      <c r="D10154" s="186">
        <f>IFERROR(__xludf.DUMMYFUNCTION("""COMPUTED_VALUE"""),10.0)</f>
        <v>10</v>
      </c>
    </row>
    <row r="10155">
      <c r="A10155" s="178" t="str">
        <f>IFERROR(__xludf.DUMMYFUNCTION("""COMPUTED_VALUE"""),"ITBISA-RESISTOR-4K7-1/4W")</f>
        <v>ITBISA-RESISTOR-4K7-1/4W</v>
      </c>
      <c r="B10155" s="266">
        <f>IFERROR(__xludf.DUMMYFUNCTION("""COMPUTED_VALUE"""),45853.0)</f>
        <v>45853</v>
      </c>
      <c r="C10155" s="266" t="str">
        <f>IFERROR(__xludf.DUMMYFUNCTION("""COMPUTED_VALUE"""),"KYAI KONTONG")</f>
        <v>KYAI KONTONG</v>
      </c>
      <c r="D10155" s="186">
        <f>IFERROR(__xludf.DUMMYFUNCTION("""COMPUTED_VALUE"""),10.0)</f>
        <v>10</v>
      </c>
    </row>
    <row r="10156">
      <c r="A10156" s="178" t="str">
        <f>IFERROR(__xludf.DUMMYFUNCTION("""COMPUTED_VALUE"""),"ITBISA-RESISTOR-4K7-1/4W")</f>
        <v>ITBISA-RESISTOR-4K7-1/4W</v>
      </c>
      <c r="B10156" s="266">
        <f>IFERROR(__xludf.DUMMYFUNCTION("""COMPUTED_VALUE"""),45907.0)</f>
        <v>45907</v>
      </c>
      <c r="C10156" s="266" t="str">
        <f>IFERROR(__xludf.DUMMYFUNCTION("""COMPUTED_VALUE"""),"KERTASARI CIAMIS")</f>
        <v>KERTASARI CIAMIS</v>
      </c>
      <c r="D10156" s="186">
        <f>IFERROR(__xludf.DUMMYFUNCTION("""COMPUTED_VALUE"""),20.0)</f>
        <v>20</v>
      </c>
    </row>
    <row r="10157">
      <c r="A10157" s="178" t="str">
        <f>IFERROR(__xludf.DUMMYFUNCTION("""COMPUTED_VALUE"""),"ITBISA-RESISTOR-4K7-1/4W")</f>
        <v>ITBISA-RESISTOR-4K7-1/4W</v>
      </c>
      <c r="B10157" s="266">
        <f>IFERROR(__xludf.DUMMYFUNCTION("""COMPUTED_VALUE"""),45934.0)</f>
        <v>45934</v>
      </c>
      <c r="C10157" s="266" t="str">
        <f>IFERROR(__xludf.DUMMYFUNCTION("""COMPUTED_VALUE"""),"KYAI KONTONG")</f>
        <v>KYAI KONTONG</v>
      </c>
      <c r="D10157" s="186">
        <f>IFERROR(__xludf.DUMMYFUNCTION("""COMPUTED_VALUE"""),20.0)</f>
        <v>20</v>
      </c>
    </row>
    <row r="10158">
      <c r="A10158" s="178" t="str">
        <f>IFERROR(__xludf.DUMMYFUNCTION("""COMPUTED_VALUE"""),"ITBISA-RESISTOR-4K7-1/4W")</f>
        <v>ITBISA-RESISTOR-4K7-1/4W</v>
      </c>
      <c r="B10158" s="266">
        <f>IFERROR(__xludf.DUMMYFUNCTION("""COMPUTED_VALUE"""),45935.0)</f>
        <v>45935</v>
      </c>
      <c r="C10158" s="266" t="str">
        <f>IFERROR(__xludf.DUMMYFUNCTION("""COMPUTED_VALUE"""),"KYAI KONTONG")</f>
        <v>KYAI KONTONG</v>
      </c>
      <c r="D10158" s="186">
        <f>IFERROR(__xludf.DUMMYFUNCTION("""COMPUTED_VALUE"""),10.0)</f>
        <v>10</v>
      </c>
    </row>
    <row r="10159">
      <c r="A10159" s="178" t="str">
        <f>IFERROR(__xludf.DUMMYFUNCTION("""COMPUTED_VALUE"""),"ITBISA-RESISTOR-4K7-1/4W")</f>
        <v>ITBISA-RESISTOR-4K7-1/4W</v>
      </c>
      <c r="B10159" s="266">
        <f>IFERROR(__xludf.DUMMYFUNCTION("""COMPUTED_VALUE"""),45997.0)</f>
        <v>45997</v>
      </c>
      <c r="C10159" s="266" t="str">
        <f>IFERROR(__xludf.DUMMYFUNCTION("""COMPUTED_VALUE"""),"KERTASARI CIAMIS")</f>
        <v>KERTASARI CIAMIS</v>
      </c>
      <c r="D10159" s="186">
        <f>IFERROR(__xludf.DUMMYFUNCTION("""COMPUTED_VALUE"""),0.0)</f>
        <v>0</v>
      </c>
    </row>
    <row r="10160">
      <c r="A10160" s="178" t="str">
        <f>IFERROR(__xludf.DUMMYFUNCTION("""COMPUTED_VALUE"""),"ITBISA-RESISTOR-4K7-1/4W")</f>
        <v>ITBISA-RESISTOR-4K7-1/4W</v>
      </c>
      <c r="B10160" s="266">
        <f>IFERROR(__xludf.DUMMYFUNCTION("""COMPUTED_VALUE"""),46011.0)</f>
        <v>46011</v>
      </c>
      <c r="C10160" s="266" t="str">
        <f>IFERROR(__xludf.DUMMYFUNCTION("""COMPUTED_VALUE"""),"KYAI KONTONG")</f>
        <v>KYAI KONTONG</v>
      </c>
      <c r="D10160" s="186">
        <f>IFERROR(__xludf.DUMMYFUNCTION("""COMPUTED_VALUE"""),20.0)</f>
        <v>20</v>
      </c>
    </row>
    <row r="10161">
      <c r="A10161" s="178" t="str">
        <f>IFERROR(__xludf.DUMMYFUNCTION("""COMPUTED_VALUE"""),"ITBISA-RESISTOR-560-1/4W")</f>
        <v>ITBISA-RESISTOR-560-1/4W</v>
      </c>
      <c r="B10161" s="266">
        <f>IFERROR(__xludf.DUMMYFUNCTION("""COMPUTED_VALUE"""),44042.0)</f>
        <v>44042</v>
      </c>
      <c r="C10161" s="266" t="str">
        <f>IFERROR(__xludf.DUMMYFUNCTION("""COMPUTED_VALUE"""),"KAETOBO RESIDENCE")</f>
        <v>KAETOBO RESIDENCE</v>
      </c>
      <c r="D10161" s="186">
        <f>IFERROR(__xludf.DUMMYFUNCTION("""COMPUTED_VALUE"""),10.0)</f>
        <v>10</v>
      </c>
    </row>
    <row r="10162">
      <c r="A10162" s="178" t="str">
        <f>IFERROR(__xludf.DUMMYFUNCTION("""COMPUTED_VALUE"""),"ITBISA-RESISTOR-560-1/4W")</f>
        <v>ITBISA-RESISTOR-560-1/4W</v>
      </c>
      <c r="B10162" s="266">
        <f>IFERROR(__xludf.DUMMYFUNCTION("""COMPUTED_VALUE"""),44835.0)</f>
        <v>44835</v>
      </c>
      <c r="C10162" s="266" t="str">
        <f>IFERROR(__xludf.DUMMYFUNCTION("""COMPUTED_VALUE"""),"KYAI KONTONG")</f>
        <v>KYAI KONTONG</v>
      </c>
      <c r="D10162" s="186">
        <f>IFERROR(__xludf.DUMMYFUNCTION("""COMPUTED_VALUE"""),10.0)</f>
        <v>10</v>
      </c>
    </row>
    <row r="10163">
      <c r="A10163" s="178" t="str">
        <f>IFERROR(__xludf.DUMMYFUNCTION("""COMPUTED_VALUE"""),"ITBISA-RESISTOR-560-1/4W")</f>
        <v>ITBISA-RESISTOR-560-1/4W</v>
      </c>
      <c r="B10163" s="266">
        <f>IFERROR(__xludf.DUMMYFUNCTION("""COMPUTED_VALUE"""),44932.0)</f>
        <v>44932</v>
      </c>
      <c r="C10163" s="266" t="str">
        <f>IFERROR(__xludf.DUMMYFUNCTION("""COMPUTED_VALUE"""),"KYAI KONTONG")</f>
        <v>KYAI KONTONG</v>
      </c>
      <c r="D10163" s="186">
        <f>IFERROR(__xludf.DUMMYFUNCTION("""COMPUTED_VALUE"""),40.0)</f>
        <v>40</v>
      </c>
    </row>
    <row r="10164">
      <c r="A10164" s="178" t="str">
        <f>IFERROR(__xludf.DUMMYFUNCTION("""COMPUTED_VALUE"""),"ITBISA-RESISTOR-560-1/4W")</f>
        <v>ITBISA-RESISTOR-560-1/4W</v>
      </c>
      <c r="B10164" s="266">
        <f>IFERROR(__xludf.DUMMYFUNCTION("""COMPUTED_VALUE"""),44938.0)</f>
        <v>44938</v>
      </c>
      <c r="C10164" s="266" t="str">
        <f>IFERROR(__xludf.DUMMYFUNCTION("""COMPUTED_VALUE"""),"KYAI KONTONG")</f>
        <v>KYAI KONTONG</v>
      </c>
      <c r="D10164" s="186">
        <f>IFERROR(__xludf.DUMMYFUNCTION("""COMPUTED_VALUE"""),20.0)</f>
        <v>20</v>
      </c>
    </row>
    <row r="10165">
      <c r="A10165" s="178" t="str">
        <f>IFERROR(__xludf.DUMMYFUNCTION("""COMPUTED_VALUE"""),"ITBISA-RESISTOR-560-1/4W")</f>
        <v>ITBISA-RESISTOR-560-1/4W</v>
      </c>
      <c r="B10165" s="266">
        <f>IFERROR(__xludf.DUMMYFUNCTION("""COMPUTED_VALUE"""),44951.0)</f>
        <v>44951</v>
      </c>
      <c r="C10165" s="266" t="str">
        <f>IFERROR(__xludf.DUMMYFUNCTION("""COMPUTED_VALUE"""),"KYAI KONTONG")</f>
        <v>KYAI KONTONG</v>
      </c>
      <c r="D10165" s="186">
        <f>IFERROR(__xludf.DUMMYFUNCTION("""COMPUTED_VALUE"""),10.0)</f>
        <v>10</v>
      </c>
    </row>
    <row r="10166">
      <c r="A10166" s="178" t="str">
        <f>IFERROR(__xludf.DUMMYFUNCTION("""COMPUTED_VALUE"""),"ITBISA-RESISTOR-560-1/4W")</f>
        <v>ITBISA-RESISTOR-560-1/4W</v>
      </c>
      <c r="B10166" s="266">
        <f>IFERROR(__xludf.DUMMYFUNCTION("""COMPUTED_VALUE"""),45020.0)</f>
        <v>45020</v>
      </c>
      <c r="C10166" s="266" t="str">
        <f>IFERROR(__xludf.DUMMYFUNCTION("""COMPUTED_VALUE"""),"KYAI KONTONG")</f>
        <v>KYAI KONTONG</v>
      </c>
      <c r="D10166" s="186">
        <f>IFERROR(__xludf.DUMMYFUNCTION("""COMPUTED_VALUE"""),20.0)</f>
        <v>20</v>
      </c>
    </row>
    <row r="10167">
      <c r="A10167" s="178" t="str">
        <f>IFERROR(__xludf.DUMMYFUNCTION("""COMPUTED_VALUE"""),"ITBISA-RESISTOR-560-1/4W")</f>
        <v>ITBISA-RESISTOR-560-1/4W</v>
      </c>
      <c r="B10167" s="266">
        <f>IFERROR(__xludf.DUMMYFUNCTION("""COMPUTED_VALUE"""),45088.0)</f>
        <v>45088</v>
      </c>
      <c r="C10167" s="266" t="str">
        <f>IFERROR(__xludf.DUMMYFUNCTION("""COMPUTED_VALUE"""),"KYAI KONTONG")</f>
        <v>KYAI KONTONG</v>
      </c>
      <c r="D10167" s="186">
        <f>IFERROR(__xludf.DUMMYFUNCTION("""COMPUTED_VALUE"""),30.0)</f>
        <v>30</v>
      </c>
    </row>
    <row r="10168">
      <c r="A10168" s="178" t="str">
        <f>IFERROR(__xludf.DUMMYFUNCTION("""COMPUTED_VALUE"""),"ITBISA-RESISTOR-560-1/4W")</f>
        <v>ITBISA-RESISTOR-560-1/4W</v>
      </c>
      <c r="B10168" s="266">
        <f>IFERROR(__xludf.DUMMYFUNCTION("""COMPUTED_VALUE"""),45292.0)</f>
        <v>45292</v>
      </c>
      <c r="C10168" s="266" t="str">
        <f>IFERROR(__xludf.DUMMYFUNCTION("""COMPUTED_VALUE"""),"KYAI KONTONG")</f>
        <v>KYAI KONTONG</v>
      </c>
      <c r="D10168" s="186">
        <f>IFERROR(__xludf.DUMMYFUNCTION("""COMPUTED_VALUE"""),10.0)</f>
        <v>10</v>
      </c>
    </row>
    <row r="10169">
      <c r="A10169" s="178" t="str">
        <f>IFERROR(__xludf.DUMMYFUNCTION("""COMPUTED_VALUE"""),"ITBISA-RESISTOR-560-1/4W")</f>
        <v>ITBISA-RESISTOR-560-1/4W</v>
      </c>
      <c r="B10169" s="266">
        <f>IFERROR(__xludf.DUMMYFUNCTION("""COMPUTED_VALUE"""),45353.0)</f>
        <v>45353</v>
      </c>
      <c r="C10169" s="266" t="str">
        <f>IFERROR(__xludf.DUMMYFUNCTION("""COMPUTED_VALUE"""),"KYAI KONTONG")</f>
        <v>KYAI KONTONG</v>
      </c>
      <c r="D10169" s="186">
        <f>IFERROR(__xludf.DUMMYFUNCTION("""COMPUTED_VALUE"""),20.0)</f>
        <v>20</v>
      </c>
    </row>
    <row r="10170">
      <c r="A10170" s="178" t="str">
        <f>IFERROR(__xludf.DUMMYFUNCTION("""COMPUTED_VALUE"""),"ITBISA-RESISTOR-560-1/4W")</f>
        <v>ITBISA-RESISTOR-560-1/4W</v>
      </c>
      <c r="B10170" s="266">
        <f>IFERROR(__xludf.DUMMYFUNCTION("""COMPUTED_VALUE"""),45398.0)</f>
        <v>45398</v>
      </c>
      <c r="C10170" s="266" t="str">
        <f>IFERROR(__xludf.DUMMYFUNCTION("""COMPUTED_VALUE"""),"KYAI KONTONG")</f>
        <v>KYAI KONTONG</v>
      </c>
      <c r="D10170" s="186">
        <f>IFERROR(__xludf.DUMMYFUNCTION("""COMPUTED_VALUE"""),10.0)</f>
        <v>10</v>
      </c>
    </row>
    <row r="10171">
      <c r="A10171" s="178" t="str">
        <f>IFERROR(__xludf.DUMMYFUNCTION("""COMPUTED_VALUE"""),"ITBISA-RESISTOR-560-1/4W")</f>
        <v>ITBISA-RESISTOR-560-1/4W</v>
      </c>
      <c r="B10171" s="266">
        <f>IFERROR(__xludf.DUMMYFUNCTION("""COMPUTED_VALUE"""),45422.0)</f>
        <v>45422</v>
      </c>
      <c r="C10171" s="266" t="str">
        <f>IFERROR(__xludf.DUMMYFUNCTION("""COMPUTED_VALUE"""),"KYAI KONTONG")</f>
        <v>KYAI KONTONG</v>
      </c>
      <c r="D10171" s="186">
        <f>IFERROR(__xludf.DUMMYFUNCTION("""COMPUTED_VALUE"""),40.0)</f>
        <v>40</v>
      </c>
    </row>
    <row r="10172">
      <c r="A10172" s="178" t="str">
        <f>IFERROR(__xludf.DUMMYFUNCTION("""COMPUTED_VALUE"""),"ITBISA-RESISTOR-560-1/4W")</f>
        <v>ITBISA-RESISTOR-560-1/4W</v>
      </c>
      <c r="B10172" s="266">
        <f>IFERROR(__xludf.DUMMYFUNCTION("""COMPUTED_VALUE"""),45444.0)</f>
        <v>45444</v>
      </c>
      <c r="C10172" s="266" t="str">
        <f>IFERROR(__xludf.DUMMYFUNCTION("""COMPUTED_VALUE"""),"KYAI KONTONG")</f>
        <v>KYAI KONTONG</v>
      </c>
      <c r="D10172" s="186">
        <f>IFERROR(__xludf.DUMMYFUNCTION("""COMPUTED_VALUE"""),68.0)</f>
        <v>68</v>
      </c>
    </row>
    <row r="10173">
      <c r="A10173" s="178" t="str">
        <f>IFERROR(__xludf.DUMMYFUNCTION("""COMPUTED_VALUE"""),"ITBISA-RESISTOR-560-1/4W")</f>
        <v>ITBISA-RESISTOR-560-1/4W</v>
      </c>
      <c r="B10173" s="266">
        <f>IFERROR(__xludf.DUMMYFUNCTION("""COMPUTED_VALUE"""),45629.0)</f>
        <v>45629</v>
      </c>
      <c r="C10173" s="266" t="str">
        <f>IFERROR(__xludf.DUMMYFUNCTION("""COMPUTED_VALUE"""),"KYAI KONTONG")</f>
        <v>KYAI KONTONG</v>
      </c>
      <c r="D10173" s="186">
        <f>IFERROR(__xludf.DUMMYFUNCTION("""COMPUTED_VALUE"""),10.0)</f>
        <v>10</v>
      </c>
    </row>
    <row r="10174">
      <c r="A10174" s="178" t="str">
        <f>IFERROR(__xludf.DUMMYFUNCTION("""COMPUTED_VALUE"""),"ITBISA-RESISTOR-560-1/4W")</f>
        <v>ITBISA-RESISTOR-560-1/4W</v>
      </c>
      <c r="B10174" s="266">
        <f>IFERROR(__xludf.DUMMYFUNCTION("""COMPUTED_VALUE"""),45671.0)</f>
        <v>45671</v>
      </c>
      <c r="C10174" s="266" t="str">
        <f>IFERROR(__xludf.DUMMYFUNCTION("""COMPUTED_VALUE"""),"KYAI KONTONG")</f>
        <v>KYAI KONTONG</v>
      </c>
      <c r="D10174" s="186">
        <f>IFERROR(__xludf.DUMMYFUNCTION("""COMPUTED_VALUE"""),20.0)</f>
        <v>20</v>
      </c>
    </row>
    <row r="10175">
      <c r="A10175" s="178" t="str">
        <f>IFERROR(__xludf.DUMMYFUNCTION("""COMPUTED_VALUE"""),"ITBISA-RESISTOR-560-1/4W")</f>
        <v>ITBISA-RESISTOR-560-1/4W</v>
      </c>
      <c r="B10175" s="266">
        <f>IFERROR(__xludf.DUMMYFUNCTION("""COMPUTED_VALUE"""),45676.0)</f>
        <v>45676</v>
      </c>
      <c r="C10175" s="266" t="str">
        <f>IFERROR(__xludf.DUMMYFUNCTION("""COMPUTED_VALUE"""),"KYAI KONTONG")</f>
        <v>KYAI KONTONG</v>
      </c>
      <c r="D10175" s="186">
        <f>IFERROR(__xludf.DUMMYFUNCTION("""COMPUTED_VALUE"""),10.0)</f>
        <v>10</v>
      </c>
    </row>
    <row r="10176">
      <c r="A10176" s="178" t="str">
        <f>IFERROR(__xludf.DUMMYFUNCTION("""COMPUTED_VALUE"""),"ITBISA-RESISTOR-560-1/4W")</f>
        <v>ITBISA-RESISTOR-560-1/4W</v>
      </c>
      <c r="B10176" s="266">
        <f>IFERROR(__xludf.DUMMYFUNCTION("""COMPUTED_VALUE"""),45677.0)</f>
        <v>45677</v>
      </c>
      <c r="C10176" s="266" t="str">
        <f>IFERROR(__xludf.DUMMYFUNCTION("""COMPUTED_VALUE"""),"KYAI KONTONG")</f>
        <v>KYAI KONTONG</v>
      </c>
      <c r="D10176" s="186">
        <f>IFERROR(__xludf.DUMMYFUNCTION("""COMPUTED_VALUE"""),35.0)</f>
        <v>35</v>
      </c>
    </row>
    <row r="10177">
      <c r="A10177" s="178" t="str">
        <f>IFERROR(__xludf.DUMMYFUNCTION("""COMPUTED_VALUE"""),"ITBISA-RESISTOR-560-1/4W")</f>
        <v>ITBISA-RESISTOR-560-1/4W</v>
      </c>
      <c r="B10177" s="266">
        <f>IFERROR(__xludf.DUMMYFUNCTION("""COMPUTED_VALUE"""),45703.0)</f>
        <v>45703</v>
      </c>
      <c r="C10177" s="266" t="str">
        <f>IFERROR(__xludf.DUMMYFUNCTION("""COMPUTED_VALUE"""),"KYAI KONTONG")</f>
        <v>KYAI KONTONG</v>
      </c>
      <c r="D10177" s="186">
        <f>IFERROR(__xludf.DUMMYFUNCTION("""COMPUTED_VALUE"""),100.0)</f>
        <v>100</v>
      </c>
    </row>
    <row r="10178">
      <c r="A10178" s="178" t="str">
        <f>IFERROR(__xludf.DUMMYFUNCTION("""COMPUTED_VALUE"""),"ITBISA-RESISTOR-560-1/4W")</f>
        <v>ITBISA-RESISTOR-560-1/4W</v>
      </c>
      <c r="B10178" s="266">
        <f>IFERROR(__xludf.DUMMYFUNCTION("""COMPUTED_VALUE"""),45710.0)</f>
        <v>45710</v>
      </c>
      <c r="C10178" s="266" t="str">
        <f>IFERROR(__xludf.DUMMYFUNCTION("""COMPUTED_VALUE"""),"KYAI KONTONG")</f>
        <v>KYAI KONTONG</v>
      </c>
      <c r="D10178" s="186">
        <f>IFERROR(__xludf.DUMMYFUNCTION("""COMPUTED_VALUE"""),50.0)</f>
        <v>50</v>
      </c>
    </row>
    <row r="10179">
      <c r="A10179" s="178" t="str">
        <f>IFERROR(__xludf.DUMMYFUNCTION("""COMPUTED_VALUE"""),"ITBISA-RESISTOR-560-1/4W")</f>
        <v>ITBISA-RESISTOR-560-1/4W</v>
      </c>
      <c r="B10179" s="266">
        <f>IFERROR(__xludf.DUMMYFUNCTION("""COMPUTED_VALUE"""),45742.0)</f>
        <v>45742</v>
      </c>
      <c r="C10179" s="266" t="str">
        <f>IFERROR(__xludf.DUMMYFUNCTION("""COMPUTED_VALUE"""),"KERTASARI CIAMIS")</f>
        <v>KERTASARI CIAMIS</v>
      </c>
      <c r="D10179" s="186">
        <f>IFERROR(__xludf.DUMMYFUNCTION("""COMPUTED_VALUE"""),10.0)</f>
        <v>10</v>
      </c>
    </row>
    <row r="10180">
      <c r="A10180" s="178" t="str">
        <f>IFERROR(__xludf.DUMMYFUNCTION("""COMPUTED_VALUE"""),"ITBISA-RESISTOR-560-1/4W")</f>
        <v>ITBISA-RESISTOR-560-1/4W</v>
      </c>
      <c r="B10180" s="266">
        <f>IFERROR(__xludf.DUMMYFUNCTION("""COMPUTED_VALUE"""),45962.0)</f>
        <v>45962</v>
      </c>
      <c r="C10180" s="266" t="str">
        <f>IFERROR(__xludf.DUMMYFUNCTION("""COMPUTED_VALUE"""),"KYAI KONTONG")</f>
        <v>KYAI KONTONG</v>
      </c>
      <c r="D10180" s="186">
        <f>IFERROR(__xludf.DUMMYFUNCTION("""COMPUTED_VALUE"""),10.0)</f>
        <v>10</v>
      </c>
    </row>
    <row r="10181">
      <c r="A10181" s="178" t="str">
        <f>IFERROR(__xludf.DUMMYFUNCTION("""COMPUTED_VALUE"""),"ITBISA-RESISTOR-560-1/4W")</f>
        <v>ITBISA-RESISTOR-560-1/4W</v>
      </c>
      <c r="B10181" s="266">
        <f>IFERROR(__xludf.DUMMYFUNCTION("""COMPUTED_VALUE"""),46010.0)</f>
        <v>46010</v>
      </c>
      <c r="C10181" s="266" t="str">
        <f>IFERROR(__xludf.DUMMYFUNCTION("""COMPUTED_VALUE"""),"KYAI KONTONG")</f>
        <v>KYAI KONTONG</v>
      </c>
      <c r="D10181" s="186">
        <f>IFERROR(__xludf.DUMMYFUNCTION("""COMPUTED_VALUE"""),10.0)</f>
        <v>10</v>
      </c>
    </row>
    <row r="10182">
      <c r="A10182" s="178" t="str">
        <f>IFERROR(__xludf.DUMMYFUNCTION("""COMPUTED_VALUE"""),"ITBISA-RESISTOR-56K-1/4W")</f>
        <v>ITBISA-RESISTOR-56K-1/4W</v>
      </c>
      <c r="B10182" s="266">
        <f>IFERROR(__xludf.DUMMYFUNCTION("""COMPUTED_VALUE"""),44844.0)</f>
        <v>44844</v>
      </c>
      <c r="C10182" s="266" t="str">
        <f>IFERROR(__xludf.DUMMYFUNCTION("""COMPUTED_VALUE"""),"KYAI KONTONG")</f>
        <v>KYAI KONTONG</v>
      </c>
      <c r="D10182" s="186">
        <f>IFERROR(__xludf.DUMMYFUNCTION("""COMPUTED_VALUE"""),10.0)</f>
        <v>10</v>
      </c>
    </row>
    <row r="10183">
      <c r="A10183" s="178" t="str">
        <f>IFERROR(__xludf.DUMMYFUNCTION("""COMPUTED_VALUE"""),"ITBISA-RESISTOR-56K-1/4W")</f>
        <v>ITBISA-RESISTOR-56K-1/4W</v>
      </c>
      <c r="B10183" s="266">
        <f>IFERROR(__xludf.DUMMYFUNCTION("""COMPUTED_VALUE"""),44954.0)</f>
        <v>44954</v>
      </c>
      <c r="C10183" s="266" t="str">
        <f>IFERROR(__xludf.DUMMYFUNCTION("""COMPUTED_VALUE"""),"KYAI KONTONG")</f>
        <v>KYAI KONTONG</v>
      </c>
      <c r="D10183" s="186">
        <f>IFERROR(__xludf.DUMMYFUNCTION("""COMPUTED_VALUE"""),10.0)</f>
        <v>10</v>
      </c>
    </row>
    <row r="10184">
      <c r="A10184" s="178" t="str">
        <f>IFERROR(__xludf.DUMMYFUNCTION("""COMPUTED_VALUE"""),"ITBISA-RESISTOR-56K-1/4W")</f>
        <v>ITBISA-RESISTOR-56K-1/4W</v>
      </c>
      <c r="B10184" s="266">
        <f>IFERROR(__xludf.DUMMYFUNCTION("""COMPUTED_VALUE"""),45020.0)</f>
        <v>45020</v>
      </c>
      <c r="C10184" s="266" t="str">
        <f>IFERROR(__xludf.DUMMYFUNCTION("""COMPUTED_VALUE"""),"KYAI KONTONG")</f>
        <v>KYAI KONTONG</v>
      </c>
      <c r="D10184" s="186">
        <f>IFERROR(__xludf.DUMMYFUNCTION("""COMPUTED_VALUE"""),50.0)</f>
        <v>50</v>
      </c>
    </row>
    <row r="10185">
      <c r="A10185" s="178" t="str">
        <f>IFERROR(__xludf.DUMMYFUNCTION("""COMPUTED_VALUE"""),"ITBISA-RESISTOR-56K-1/4W")</f>
        <v>ITBISA-RESISTOR-56K-1/4W</v>
      </c>
      <c r="B10185" s="266">
        <f>IFERROR(__xludf.DUMMYFUNCTION("""COMPUTED_VALUE"""),45286.0)</f>
        <v>45286</v>
      </c>
      <c r="C10185" s="266" t="str">
        <f>IFERROR(__xludf.DUMMYFUNCTION("""COMPUTED_VALUE"""),"KYAI KONTONG")</f>
        <v>KYAI KONTONG</v>
      </c>
      <c r="D10185" s="186">
        <f>IFERROR(__xludf.DUMMYFUNCTION("""COMPUTED_VALUE"""),100.0)</f>
        <v>100</v>
      </c>
    </row>
    <row r="10186">
      <c r="A10186" s="178" t="str">
        <f>IFERROR(__xludf.DUMMYFUNCTION("""COMPUTED_VALUE"""),"ITBISA-RESISTOR-56K-1/4W")</f>
        <v>ITBISA-RESISTOR-56K-1/4W</v>
      </c>
      <c r="B10186" s="266">
        <f>IFERROR(__xludf.DUMMYFUNCTION("""COMPUTED_VALUE"""),45353.0)</f>
        <v>45353</v>
      </c>
      <c r="C10186" s="266" t="str">
        <f>IFERROR(__xludf.DUMMYFUNCTION("""COMPUTED_VALUE"""),"KYAI KONTONG")</f>
        <v>KYAI KONTONG</v>
      </c>
      <c r="D10186" s="186">
        <f>IFERROR(__xludf.DUMMYFUNCTION("""COMPUTED_VALUE"""),20.0)</f>
        <v>20</v>
      </c>
    </row>
    <row r="10187">
      <c r="A10187" s="178" t="str">
        <f>IFERROR(__xludf.DUMMYFUNCTION("""COMPUTED_VALUE"""),"ITBISA-RESISTOR-56K-1/4W")</f>
        <v>ITBISA-RESISTOR-56K-1/4W</v>
      </c>
      <c r="B10187" s="266">
        <f>IFERROR(__xludf.DUMMYFUNCTION("""COMPUTED_VALUE"""),45525.0)</f>
        <v>45525</v>
      </c>
      <c r="C10187" s="266" t="str">
        <f>IFERROR(__xludf.DUMMYFUNCTION("""COMPUTED_VALUE"""),"KYAI KONTONG")</f>
        <v>KYAI KONTONG</v>
      </c>
      <c r="D10187" s="186">
        <f>IFERROR(__xludf.DUMMYFUNCTION("""COMPUTED_VALUE"""),100.0)</f>
        <v>100</v>
      </c>
    </row>
    <row r="10188">
      <c r="A10188" s="178" t="str">
        <f>IFERROR(__xludf.DUMMYFUNCTION("""COMPUTED_VALUE"""),"ITBISA-RESISTOR-56K-1/4W")</f>
        <v>ITBISA-RESISTOR-56K-1/4W</v>
      </c>
      <c r="B10188" s="266">
        <f>IFERROR(__xludf.DUMMYFUNCTION("""COMPUTED_VALUE"""),45935.0)</f>
        <v>45935</v>
      </c>
      <c r="C10188" s="266" t="str">
        <f>IFERROR(__xludf.DUMMYFUNCTION("""COMPUTED_VALUE"""),"KYAI KONTONG")</f>
        <v>KYAI KONTONG</v>
      </c>
      <c r="D10188" s="186">
        <f>IFERROR(__xludf.DUMMYFUNCTION("""COMPUTED_VALUE"""),10.0)</f>
        <v>10</v>
      </c>
    </row>
    <row r="10189">
      <c r="A10189" s="178" t="str">
        <f>IFERROR(__xludf.DUMMYFUNCTION("""COMPUTED_VALUE"""),"ITBISA-RESISTOR-56K-1/4W")</f>
        <v>ITBISA-RESISTOR-56K-1/4W</v>
      </c>
      <c r="B10189" s="266">
        <f>IFERROR(__xludf.DUMMYFUNCTION("""COMPUTED_VALUE"""),45978.0)</f>
        <v>45978</v>
      </c>
      <c r="C10189" s="266" t="str">
        <f>IFERROR(__xludf.DUMMYFUNCTION("""COMPUTED_VALUE"""),"KYAI KONTONG")</f>
        <v>KYAI KONTONG</v>
      </c>
      <c r="D10189" s="186">
        <f>IFERROR(__xludf.DUMMYFUNCTION("""COMPUTED_VALUE"""),50.0)</f>
        <v>50</v>
      </c>
    </row>
    <row r="10190">
      <c r="A10190" s="178" t="str">
        <f>IFERROR(__xludf.DUMMYFUNCTION("""COMPUTED_VALUE"""),"ITBISA-RESISTOR-56K-1/4W")</f>
        <v>ITBISA-RESISTOR-56K-1/4W</v>
      </c>
      <c r="B10190" s="266">
        <f>IFERROR(__xludf.DUMMYFUNCTION("""COMPUTED_VALUE"""),45997.0)</f>
        <v>45997</v>
      </c>
      <c r="C10190" s="266" t="str">
        <f>IFERROR(__xludf.DUMMYFUNCTION("""COMPUTED_VALUE"""),"KERTASARI CIAMIS")</f>
        <v>KERTASARI CIAMIS</v>
      </c>
      <c r="D10190" s="186">
        <f>IFERROR(__xludf.DUMMYFUNCTION("""COMPUTED_VALUE"""),0.0)</f>
        <v>0</v>
      </c>
    </row>
    <row r="10191">
      <c r="A10191" s="178" t="str">
        <f>IFERROR(__xludf.DUMMYFUNCTION("""COMPUTED_VALUE"""),"ITBISA-RESISTOR-5K6-1/4W")</f>
        <v>ITBISA-RESISTOR-5K6-1/4W</v>
      </c>
      <c r="B10191" s="266">
        <f>IFERROR(__xludf.DUMMYFUNCTION("""COMPUTED_VALUE"""),45935.0)</f>
        <v>45935</v>
      </c>
      <c r="C10191" s="266" t="str">
        <f>IFERROR(__xludf.DUMMYFUNCTION("""COMPUTED_VALUE"""),"KYAI KONTONG")</f>
        <v>KYAI KONTONG</v>
      </c>
      <c r="D10191" s="186">
        <f>IFERROR(__xludf.DUMMYFUNCTION("""COMPUTED_VALUE"""),10.0)</f>
        <v>10</v>
      </c>
    </row>
    <row r="10192">
      <c r="A10192" s="178" t="str">
        <f>IFERROR(__xludf.DUMMYFUNCTION("""COMPUTED_VALUE"""),"ITBISA-RESISTOR-5K6-1/4W")</f>
        <v>ITBISA-RESISTOR-5K6-1/4W</v>
      </c>
      <c r="B10192" s="266">
        <f>IFERROR(__xludf.DUMMYFUNCTION("""COMPUTED_VALUE"""),45964.0)</f>
        <v>45964</v>
      </c>
      <c r="C10192" s="266" t="str">
        <f>IFERROR(__xludf.DUMMYFUNCTION("""COMPUTED_VALUE"""),"KYAI KONTONG")</f>
        <v>KYAI KONTONG</v>
      </c>
      <c r="D10192" s="186">
        <f>IFERROR(__xludf.DUMMYFUNCTION("""COMPUTED_VALUE"""),10.0)</f>
        <v>10</v>
      </c>
    </row>
    <row r="10193">
      <c r="A10193" s="178" t="str">
        <f>IFERROR(__xludf.DUMMYFUNCTION("""COMPUTED_VALUE"""),"ITBISA-RESISTOR-5K6-1/4W")</f>
        <v>ITBISA-RESISTOR-5K6-1/4W</v>
      </c>
      <c r="B10193" s="266">
        <f>IFERROR(__xludf.DUMMYFUNCTION("""COMPUTED_VALUE"""),45964.0)</f>
        <v>45964</v>
      </c>
      <c r="C10193" s="266" t="str">
        <f>IFERROR(__xludf.DUMMYFUNCTION("""COMPUTED_VALUE"""),"KYAI KONTONG")</f>
        <v>KYAI KONTONG</v>
      </c>
      <c r="D10193" s="186">
        <f>IFERROR(__xludf.DUMMYFUNCTION("""COMPUTED_VALUE"""),100.0)</f>
        <v>100</v>
      </c>
    </row>
    <row r="10194">
      <c r="A10194" s="178" t="str">
        <f>IFERROR(__xludf.DUMMYFUNCTION("""COMPUTED_VALUE"""),"ITBISA-RESISTOR-5K6-1/4W")</f>
        <v>ITBISA-RESISTOR-5K6-1/4W</v>
      </c>
      <c r="B10194" s="266">
        <f>IFERROR(__xludf.DUMMYFUNCTION("""COMPUTED_VALUE"""),45997.0)</f>
        <v>45997</v>
      </c>
      <c r="C10194" s="266" t="str">
        <f>IFERROR(__xludf.DUMMYFUNCTION("""COMPUTED_VALUE"""),"KERTASARI CIAMIS")</f>
        <v>KERTASARI CIAMIS</v>
      </c>
      <c r="D10194" s="186">
        <f>IFERROR(__xludf.DUMMYFUNCTION("""COMPUTED_VALUE"""),0.0)</f>
        <v>0</v>
      </c>
    </row>
    <row r="10195">
      <c r="A10195" s="178" t="str">
        <f>IFERROR(__xludf.DUMMYFUNCTION("""COMPUTED_VALUE"""),"ITBISA-RESISTOR-680K-1/4W")</f>
        <v>ITBISA-RESISTOR-680K-1/4W</v>
      </c>
      <c r="B10195" s="266">
        <f>IFERROR(__xludf.DUMMYFUNCTION("""COMPUTED_VALUE"""),44961.0)</f>
        <v>44961</v>
      </c>
      <c r="C10195" s="266" t="str">
        <f>IFERROR(__xludf.DUMMYFUNCTION("""COMPUTED_VALUE"""),"KYAI KONTONG")</f>
        <v>KYAI KONTONG</v>
      </c>
      <c r="D10195" s="186">
        <f>IFERROR(__xludf.DUMMYFUNCTION("""COMPUTED_VALUE"""),20.0)</f>
        <v>20</v>
      </c>
    </row>
    <row r="10196">
      <c r="A10196" s="178" t="str">
        <f>IFERROR(__xludf.DUMMYFUNCTION("""COMPUTED_VALUE"""),"ITBISA-RESISTOR-680K-1/4W")</f>
        <v>ITBISA-RESISTOR-680K-1/4W</v>
      </c>
      <c r="B10196" s="266">
        <f>IFERROR(__xludf.DUMMYFUNCTION("""COMPUTED_VALUE"""),45088.0)</f>
        <v>45088</v>
      </c>
      <c r="C10196" s="266" t="str">
        <f>IFERROR(__xludf.DUMMYFUNCTION("""COMPUTED_VALUE"""),"KYAI KONTONG")</f>
        <v>KYAI KONTONG</v>
      </c>
      <c r="D10196" s="186">
        <f>IFERROR(__xludf.DUMMYFUNCTION("""COMPUTED_VALUE"""),30.0)</f>
        <v>30</v>
      </c>
    </row>
    <row r="10197">
      <c r="A10197" s="178" t="str">
        <f>IFERROR(__xludf.DUMMYFUNCTION("""COMPUTED_VALUE"""),"ITBISA-RESISTOR-680K-1/4W")</f>
        <v>ITBISA-RESISTOR-680K-1/4W</v>
      </c>
      <c r="B10197" s="266">
        <f>IFERROR(__xludf.DUMMYFUNCTION("""COMPUTED_VALUE"""),45164.0)</f>
        <v>45164</v>
      </c>
      <c r="C10197" s="266" t="str">
        <f>IFERROR(__xludf.DUMMYFUNCTION("""COMPUTED_VALUE"""),"KYAI KONTONG")</f>
        <v>KYAI KONTONG</v>
      </c>
      <c r="D10197" s="186">
        <f>IFERROR(__xludf.DUMMYFUNCTION("""COMPUTED_VALUE"""),10.0)</f>
        <v>10</v>
      </c>
    </row>
    <row r="10198">
      <c r="A10198" s="178" t="str">
        <f>IFERROR(__xludf.DUMMYFUNCTION("""COMPUTED_VALUE"""),"ITBISA-RESISTOR-680K-1/4W")</f>
        <v>ITBISA-RESISTOR-680K-1/4W</v>
      </c>
      <c r="B10198" s="266">
        <f>IFERROR(__xludf.DUMMYFUNCTION("""COMPUTED_VALUE"""),45946.0)</f>
        <v>45946</v>
      </c>
      <c r="C10198" s="266" t="str">
        <f>IFERROR(__xludf.DUMMYFUNCTION("""COMPUTED_VALUE"""),"KYAI KONTONG")</f>
        <v>KYAI KONTONG</v>
      </c>
      <c r="D10198" s="186">
        <f>IFERROR(__xludf.DUMMYFUNCTION("""COMPUTED_VALUE"""),30.0)</f>
        <v>30</v>
      </c>
    </row>
    <row r="10199">
      <c r="A10199" s="178" t="str">
        <f>IFERROR(__xludf.DUMMYFUNCTION("""COMPUTED_VALUE"""),"ITBISA-RESISTOR-680K-1/4W")</f>
        <v>ITBISA-RESISTOR-680K-1/4W</v>
      </c>
      <c r="B10199" s="266">
        <f>IFERROR(__xludf.DUMMYFUNCTION("""COMPUTED_VALUE"""),45980.0)</f>
        <v>45980</v>
      </c>
      <c r="C10199" s="266" t="str">
        <f>IFERROR(__xludf.DUMMYFUNCTION("""COMPUTED_VALUE"""),"KYAI KONTONG")</f>
        <v>KYAI KONTONG</v>
      </c>
      <c r="D10199" s="186">
        <f>IFERROR(__xludf.DUMMYFUNCTION("""COMPUTED_VALUE"""),10.0)</f>
        <v>10</v>
      </c>
    </row>
    <row r="10200">
      <c r="A10200" s="178" t="str">
        <f>IFERROR(__xludf.DUMMYFUNCTION("""COMPUTED_VALUE"""),"ITBISA-RESISTOR-680K-1/4W")</f>
        <v>ITBISA-RESISTOR-680K-1/4W</v>
      </c>
      <c r="B10200" s="266">
        <f>IFERROR(__xludf.DUMMYFUNCTION("""COMPUTED_VALUE"""),45994.0)</f>
        <v>45994</v>
      </c>
      <c r="C10200" s="266" t="str">
        <f>IFERROR(__xludf.DUMMYFUNCTION("""COMPUTED_VALUE"""),"KYAI KONTONG")</f>
        <v>KYAI KONTONG</v>
      </c>
      <c r="D10200" s="186">
        <f>IFERROR(__xludf.DUMMYFUNCTION("""COMPUTED_VALUE"""),10.0)</f>
        <v>10</v>
      </c>
    </row>
    <row r="10201">
      <c r="A10201" s="178" t="str">
        <f>IFERROR(__xludf.DUMMYFUNCTION("""COMPUTED_VALUE"""),"ITBISA-RESISTOR-6K8-1/4W")</f>
        <v>ITBISA-RESISTOR-6K8-1/4W</v>
      </c>
      <c r="B10201" s="266">
        <f>IFERROR(__xludf.DUMMYFUNCTION("""COMPUTED_VALUE"""),45935.0)</f>
        <v>45935</v>
      </c>
      <c r="C10201" s="266" t="str">
        <f>IFERROR(__xludf.DUMMYFUNCTION("""COMPUTED_VALUE"""),"KYAI KONTONG")</f>
        <v>KYAI KONTONG</v>
      </c>
      <c r="D10201" s="186">
        <f>IFERROR(__xludf.DUMMYFUNCTION("""COMPUTED_VALUE"""),10.0)</f>
        <v>10</v>
      </c>
    </row>
    <row r="10202">
      <c r="A10202" s="178" t="str">
        <f>IFERROR(__xludf.DUMMYFUNCTION("""COMPUTED_VALUE"""),"ITBISA-RESISTOR-6K8-1/4W")</f>
        <v>ITBISA-RESISTOR-6K8-1/4W</v>
      </c>
      <c r="B10202" s="266">
        <f>IFERROR(__xludf.DUMMYFUNCTION("""COMPUTED_VALUE"""),45964.0)</f>
        <v>45964</v>
      </c>
      <c r="C10202" s="266" t="str">
        <f>IFERROR(__xludf.DUMMYFUNCTION("""COMPUTED_VALUE"""),"KYAI KONTONG")</f>
        <v>KYAI KONTONG</v>
      </c>
      <c r="D10202" s="186">
        <f>IFERROR(__xludf.DUMMYFUNCTION("""COMPUTED_VALUE"""),100.0)</f>
        <v>100</v>
      </c>
    </row>
    <row r="10203">
      <c r="A10203" s="178" t="str">
        <f>IFERROR(__xludf.DUMMYFUNCTION("""COMPUTED_VALUE"""),"ITBISA-RESISTOR-6K8-1/4W")</f>
        <v>ITBISA-RESISTOR-6K8-1/4W</v>
      </c>
      <c r="B10203" s="266">
        <f>IFERROR(__xludf.DUMMYFUNCTION("""COMPUTED_VALUE"""),45997.0)</f>
        <v>45997</v>
      </c>
      <c r="C10203" s="266" t="str">
        <f>IFERROR(__xludf.DUMMYFUNCTION("""COMPUTED_VALUE"""),"KYAI KONTONG")</f>
        <v>KYAI KONTONG</v>
      </c>
      <c r="D10203" s="186">
        <f>IFERROR(__xludf.DUMMYFUNCTION("""COMPUTED_VALUE"""),10.0)</f>
        <v>10</v>
      </c>
    </row>
    <row r="10204">
      <c r="A10204" s="178" t="str">
        <f>IFERROR(__xludf.DUMMYFUNCTION("""COMPUTED_VALUE"""),"ITBISA-RFID-RC522-KIT")</f>
        <v>ITBISA-RFID-RC522-KIT</v>
      </c>
      <c r="B10204" s="266">
        <f>IFERROR(__xludf.DUMMYFUNCTION("""COMPUTED_VALUE"""),45620.0)</f>
        <v>45620</v>
      </c>
      <c r="C10204" s="266" t="str">
        <f>IFERROR(__xludf.DUMMYFUNCTION("""COMPUTED_VALUE"""),"KERTASARI CIAMIS")</f>
        <v>KERTASARI CIAMIS</v>
      </c>
      <c r="D10204" s="186">
        <f>IFERROR(__xludf.DUMMYFUNCTION("""COMPUTED_VALUE"""),1.0)</f>
        <v>1</v>
      </c>
    </row>
    <row r="10205">
      <c r="A10205" s="178" t="str">
        <f>IFERROR(__xludf.DUMMYFUNCTION("""COMPUTED_VALUE"""),"ITBISA-RFID-RC522-KIT")</f>
        <v>ITBISA-RFID-RC522-KIT</v>
      </c>
      <c r="B10205" s="266">
        <f>IFERROR(__xludf.DUMMYFUNCTION("""COMPUTED_VALUE"""),45645.0)</f>
        <v>45645</v>
      </c>
      <c r="C10205" s="266" t="str">
        <f>IFERROR(__xludf.DUMMYFUNCTION("""COMPUTED_VALUE"""),"KYAI KONTONG")</f>
        <v>KYAI KONTONG</v>
      </c>
      <c r="D10205" s="186">
        <f>IFERROR(__xludf.DUMMYFUNCTION("""COMPUTED_VALUE"""),1.0)</f>
        <v>1</v>
      </c>
    </row>
    <row r="10206">
      <c r="A10206" s="178" t="str">
        <f>IFERROR(__xludf.DUMMYFUNCTION("""COMPUTED_VALUE"""),"ITBISA-RFID-RC522-KIT")</f>
        <v>ITBISA-RFID-RC522-KIT</v>
      </c>
      <c r="B10206" s="266">
        <f>IFERROR(__xludf.DUMMYFUNCTION("""COMPUTED_VALUE"""),45716.0)</f>
        <v>45716</v>
      </c>
      <c r="C10206" s="266" t="str">
        <f>IFERROR(__xludf.DUMMYFUNCTION("""COMPUTED_VALUE"""),"KYAI KONTONG")</f>
        <v>KYAI KONTONG</v>
      </c>
      <c r="D10206" s="186">
        <f>IFERROR(__xludf.DUMMYFUNCTION("""COMPUTED_VALUE"""),1.0)</f>
        <v>1</v>
      </c>
    </row>
    <row r="10207">
      <c r="A10207" s="178" t="str">
        <f>IFERROR(__xludf.DUMMYFUNCTION("""COMPUTED_VALUE"""),"ITBISA-RFID-RC522-KIT")</f>
        <v>ITBISA-RFID-RC522-KIT</v>
      </c>
      <c r="B10207" s="266">
        <f>IFERROR(__xludf.DUMMYFUNCTION("""COMPUTED_VALUE"""),45775.0)</f>
        <v>45775</v>
      </c>
      <c r="C10207" s="266" t="str">
        <f>IFERROR(__xludf.DUMMYFUNCTION("""COMPUTED_VALUE"""),"KYAI KONTONG")</f>
        <v>KYAI KONTONG</v>
      </c>
      <c r="D10207" s="186">
        <f>IFERROR(__xludf.DUMMYFUNCTION("""COMPUTED_VALUE"""),1.0)</f>
        <v>1</v>
      </c>
    </row>
    <row r="10208">
      <c r="A10208" s="178" t="str">
        <f>IFERROR(__xludf.DUMMYFUNCTION("""COMPUTED_VALUE"""),"ITBISA-RTC-DS3231M")</f>
        <v>ITBISA-RTC-DS3231M</v>
      </c>
      <c r="B10208" s="266">
        <f>IFERROR(__xludf.DUMMYFUNCTION("""COMPUTED_VALUE"""),45380.0)</f>
        <v>45380</v>
      </c>
      <c r="C10208" s="266" t="str">
        <f>IFERROR(__xludf.DUMMYFUNCTION("""COMPUTED_VALUE"""),"KYAI KONTONG")</f>
        <v>KYAI KONTONG</v>
      </c>
      <c r="D10208" s="186">
        <f>IFERROR(__xludf.DUMMYFUNCTION("""COMPUTED_VALUE"""),1.0)</f>
        <v>1</v>
      </c>
    </row>
    <row r="10209">
      <c r="A10209" s="178" t="str">
        <f>IFERROR(__xludf.DUMMYFUNCTION("""COMPUTED_VALUE"""),"ITBISA-RTC-DS3231M")</f>
        <v>ITBISA-RTC-DS3231M</v>
      </c>
      <c r="B10209" s="266">
        <f>IFERROR(__xludf.DUMMYFUNCTION("""COMPUTED_VALUE"""),45389.0)</f>
        <v>45389</v>
      </c>
      <c r="C10209" s="266" t="str">
        <f>IFERROR(__xludf.DUMMYFUNCTION("""COMPUTED_VALUE"""),"KYAI KONTONG")</f>
        <v>KYAI KONTONG</v>
      </c>
      <c r="D10209" s="186">
        <f>IFERROR(__xludf.DUMMYFUNCTION("""COMPUTED_VALUE"""),1.0)</f>
        <v>1</v>
      </c>
    </row>
    <row r="10210">
      <c r="A10210" s="178" t="str">
        <f>IFERROR(__xludf.DUMMYFUNCTION("""COMPUTED_VALUE"""),"ITBISA-RTC-DS3231M")</f>
        <v>ITBISA-RTC-DS3231M</v>
      </c>
      <c r="B10210" s="266">
        <f>IFERROR(__xludf.DUMMYFUNCTION("""COMPUTED_VALUE"""),45398.0)</f>
        <v>45398</v>
      </c>
      <c r="C10210" s="266" t="str">
        <f>IFERROR(__xludf.DUMMYFUNCTION("""COMPUTED_VALUE"""),"KYAI KONTONG")</f>
        <v>KYAI KONTONG</v>
      </c>
      <c r="D10210" s="186">
        <f>IFERROR(__xludf.DUMMYFUNCTION("""COMPUTED_VALUE"""),1.0)</f>
        <v>1</v>
      </c>
    </row>
    <row r="10211">
      <c r="A10211" s="178" t="str">
        <f>IFERROR(__xludf.DUMMYFUNCTION("""COMPUTED_VALUE"""),"ITBISA-RTC-DS3231M")</f>
        <v>ITBISA-RTC-DS3231M</v>
      </c>
      <c r="B10211" s="266">
        <f>IFERROR(__xludf.DUMMYFUNCTION("""COMPUTED_VALUE"""),45399.0)</f>
        <v>45399</v>
      </c>
      <c r="C10211" s="266" t="str">
        <f>IFERROR(__xludf.DUMMYFUNCTION("""COMPUTED_VALUE"""),"KYAI KONTONG")</f>
        <v>KYAI KONTONG</v>
      </c>
      <c r="D10211" s="186">
        <f>IFERROR(__xludf.DUMMYFUNCTION("""COMPUTED_VALUE"""),1.0)</f>
        <v>1</v>
      </c>
    </row>
    <row r="10212">
      <c r="A10212" s="178" t="str">
        <f>IFERROR(__xludf.DUMMYFUNCTION("""COMPUTED_VALUE"""),"ITBISA-RTC-DS3231M")</f>
        <v>ITBISA-RTC-DS3231M</v>
      </c>
      <c r="B10212" s="266">
        <f>IFERROR(__xludf.DUMMYFUNCTION("""COMPUTED_VALUE"""),45399.0)</f>
        <v>45399</v>
      </c>
      <c r="C10212" s="266" t="str">
        <f>IFERROR(__xludf.DUMMYFUNCTION("""COMPUTED_VALUE"""),"KYAI KONTONG")</f>
        <v>KYAI KONTONG</v>
      </c>
      <c r="D10212" s="186">
        <f>IFERROR(__xludf.DUMMYFUNCTION("""COMPUTED_VALUE"""),1.0)</f>
        <v>1</v>
      </c>
    </row>
    <row r="10213">
      <c r="A10213" s="178" t="str">
        <f>IFERROR(__xludf.DUMMYFUNCTION("""COMPUTED_VALUE"""),"ITBISA-RTC-DS3231M")</f>
        <v>ITBISA-RTC-DS3231M</v>
      </c>
      <c r="B10213" s="266">
        <f>IFERROR(__xludf.DUMMYFUNCTION("""COMPUTED_VALUE"""),45400.0)</f>
        <v>45400</v>
      </c>
      <c r="C10213" s="266" t="str">
        <f>IFERROR(__xludf.DUMMYFUNCTION("""COMPUTED_VALUE"""),"KYAI KONTONG")</f>
        <v>KYAI KONTONG</v>
      </c>
      <c r="D10213" s="186">
        <f>IFERROR(__xludf.DUMMYFUNCTION("""COMPUTED_VALUE"""),2.0)</f>
        <v>2</v>
      </c>
    </row>
    <row r="10214">
      <c r="A10214" s="178" t="str">
        <f>IFERROR(__xludf.DUMMYFUNCTION("""COMPUTED_VALUE"""),"ITBISA-RTC-DS3231M")</f>
        <v>ITBISA-RTC-DS3231M</v>
      </c>
      <c r="B10214" s="266">
        <f>IFERROR(__xludf.DUMMYFUNCTION("""COMPUTED_VALUE"""),45404.0)</f>
        <v>45404</v>
      </c>
      <c r="C10214" s="266" t="str">
        <f>IFERROR(__xludf.DUMMYFUNCTION("""COMPUTED_VALUE"""),"KYAI KONTONG")</f>
        <v>KYAI KONTONG</v>
      </c>
      <c r="D10214" s="186">
        <f>IFERROR(__xludf.DUMMYFUNCTION("""COMPUTED_VALUE"""),2.0)</f>
        <v>2</v>
      </c>
    </row>
    <row r="10215">
      <c r="A10215" s="178" t="str">
        <f>IFERROR(__xludf.DUMMYFUNCTION("""COMPUTED_VALUE"""),"ITBISA-RTC-DS3231M")</f>
        <v>ITBISA-RTC-DS3231M</v>
      </c>
      <c r="B10215" s="266">
        <f>IFERROR(__xludf.DUMMYFUNCTION("""COMPUTED_VALUE"""),45406.0)</f>
        <v>45406</v>
      </c>
      <c r="C10215" s="266" t="str">
        <f>IFERROR(__xludf.DUMMYFUNCTION("""COMPUTED_VALUE"""),"KYAI KONTONG")</f>
        <v>KYAI KONTONG</v>
      </c>
      <c r="D10215" s="186">
        <f>IFERROR(__xludf.DUMMYFUNCTION("""COMPUTED_VALUE"""),1.0)</f>
        <v>1</v>
      </c>
    </row>
    <row r="10216">
      <c r="A10216" s="178" t="str">
        <f>IFERROR(__xludf.DUMMYFUNCTION("""COMPUTED_VALUE"""),"ITBISA-RTC-DS3231M")</f>
        <v>ITBISA-RTC-DS3231M</v>
      </c>
      <c r="B10216" s="266">
        <f>IFERROR(__xludf.DUMMYFUNCTION("""COMPUTED_VALUE"""),45409.0)</f>
        <v>45409</v>
      </c>
      <c r="C10216" s="266" t="str">
        <f>IFERROR(__xludf.DUMMYFUNCTION("""COMPUTED_VALUE"""),"KYAI KONTONG")</f>
        <v>KYAI KONTONG</v>
      </c>
      <c r="D10216" s="186">
        <f>IFERROR(__xludf.DUMMYFUNCTION("""COMPUTED_VALUE"""),1.0)</f>
        <v>1</v>
      </c>
    </row>
    <row r="10217">
      <c r="A10217" s="178" t="str">
        <f>IFERROR(__xludf.DUMMYFUNCTION("""COMPUTED_VALUE"""),"ITBISA-RTC-DS3231M")</f>
        <v>ITBISA-RTC-DS3231M</v>
      </c>
      <c r="B10217" s="266">
        <f>IFERROR(__xludf.DUMMYFUNCTION("""COMPUTED_VALUE"""),45411.0)</f>
        <v>45411</v>
      </c>
      <c r="C10217" s="266" t="str">
        <f>IFERROR(__xludf.DUMMYFUNCTION("""COMPUTED_VALUE"""),"KYAI KONTONG")</f>
        <v>KYAI KONTONG</v>
      </c>
      <c r="D10217" s="186">
        <f>IFERROR(__xludf.DUMMYFUNCTION("""COMPUTED_VALUE"""),1.0)</f>
        <v>1</v>
      </c>
    </row>
    <row r="10218">
      <c r="A10218" s="178" t="str">
        <f>IFERROR(__xludf.DUMMYFUNCTION("""COMPUTED_VALUE"""),"ITBISA-RTC-DS3231M")</f>
        <v>ITBISA-RTC-DS3231M</v>
      </c>
      <c r="B10218" s="266">
        <f>IFERROR(__xludf.DUMMYFUNCTION("""COMPUTED_VALUE"""),45416.0)</f>
        <v>45416</v>
      </c>
      <c r="C10218" s="266" t="str">
        <f>IFERROR(__xludf.DUMMYFUNCTION("""COMPUTED_VALUE"""),"KYAI KONTONG")</f>
        <v>KYAI KONTONG</v>
      </c>
      <c r="D10218" s="186">
        <f>IFERROR(__xludf.DUMMYFUNCTION("""COMPUTED_VALUE"""),1.0)</f>
        <v>1</v>
      </c>
    </row>
    <row r="10219">
      <c r="A10219" s="178" t="str">
        <f>IFERROR(__xludf.DUMMYFUNCTION("""COMPUTED_VALUE"""),"ITBISA-RTC-DS3231M")</f>
        <v>ITBISA-RTC-DS3231M</v>
      </c>
      <c r="B10219" s="266">
        <f>IFERROR(__xludf.DUMMYFUNCTION("""COMPUTED_VALUE"""),45419.0)</f>
        <v>45419</v>
      </c>
      <c r="C10219" s="266" t="str">
        <f>IFERROR(__xludf.DUMMYFUNCTION("""COMPUTED_VALUE"""),"KERTASARI CIAMIS")</f>
        <v>KERTASARI CIAMIS</v>
      </c>
      <c r="D10219" s="186">
        <f>IFERROR(__xludf.DUMMYFUNCTION("""COMPUTED_VALUE"""),4.0)</f>
        <v>4</v>
      </c>
    </row>
    <row r="10220">
      <c r="A10220" s="178" t="str">
        <f>IFERROR(__xludf.DUMMYFUNCTION("""COMPUTED_VALUE"""),"ITBISA-RTC-DS3231M")</f>
        <v>ITBISA-RTC-DS3231M</v>
      </c>
      <c r="B10220" s="266">
        <f>IFERROR(__xludf.DUMMYFUNCTION("""COMPUTED_VALUE"""),45426.0)</f>
        <v>45426</v>
      </c>
      <c r="C10220" s="266" t="str">
        <f>IFERROR(__xludf.DUMMYFUNCTION("""COMPUTED_VALUE"""),"KYAI KONTONG")</f>
        <v>KYAI KONTONG</v>
      </c>
      <c r="D10220" s="186">
        <f>IFERROR(__xludf.DUMMYFUNCTION("""COMPUTED_VALUE"""),1.0)</f>
        <v>1</v>
      </c>
    </row>
    <row r="10221">
      <c r="A10221" s="178" t="str">
        <f>IFERROR(__xludf.DUMMYFUNCTION("""COMPUTED_VALUE"""),"ITBISA-RTC-DS3231M")</f>
        <v>ITBISA-RTC-DS3231M</v>
      </c>
      <c r="B10221" s="266">
        <f>IFERROR(__xludf.DUMMYFUNCTION("""COMPUTED_VALUE"""),45429.0)</f>
        <v>45429</v>
      </c>
      <c r="C10221" s="266" t="str">
        <f>IFERROR(__xludf.DUMMYFUNCTION("""COMPUTED_VALUE"""),"KERTASARI CIAMIS")</f>
        <v>KERTASARI CIAMIS</v>
      </c>
      <c r="D10221" s="186">
        <f>IFERROR(__xludf.DUMMYFUNCTION("""COMPUTED_VALUE"""),5.0)</f>
        <v>5</v>
      </c>
    </row>
    <row r="10222">
      <c r="A10222" s="178" t="str">
        <f>IFERROR(__xludf.DUMMYFUNCTION("""COMPUTED_VALUE"""),"ITBISA-RTC-DS3231M")</f>
        <v>ITBISA-RTC-DS3231M</v>
      </c>
      <c r="B10222" s="266">
        <f>IFERROR(__xludf.DUMMYFUNCTION("""COMPUTED_VALUE"""),45434.0)</f>
        <v>45434</v>
      </c>
      <c r="C10222" s="266" t="str">
        <f>IFERROR(__xludf.DUMMYFUNCTION("""COMPUTED_VALUE"""),"KERTASARI CIAMIS")</f>
        <v>KERTASARI CIAMIS</v>
      </c>
      <c r="D10222" s="186">
        <f>IFERROR(__xludf.DUMMYFUNCTION("""COMPUTED_VALUE"""),2.0)</f>
        <v>2</v>
      </c>
    </row>
    <row r="10223">
      <c r="A10223" s="178" t="str">
        <f>IFERROR(__xludf.DUMMYFUNCTION("""COMPUTED_VALUE"""),"ITBISA-RTC-DS3231M")</f>
        <v>ITBISA-RTC-DS3231M</v>
      </c>
      <c r="B10223" s="266">
        <f>IFERROR(__xludf.DUMMYFUNCTION("""COMPUTED_VALUE"""),45446.0)</f>
        <v>45446</v>
      </c>
      <c r="C10223" s="266" t="str">
        <f>IFERROR(__xludf.DUMMYFUNCTION("""COMPUTED_VALUE"""),"KERTASARI CIAMIS")</f>
        <v>KERTASARI CIAMIS</v>
      </c>
      <c r="D10223" s="186">
        <f>IFERROR(__xludf.DUMMYFUNCTION("""COMPUTED_VALUE"""),1.0)</f>
        <v>1</v>
      </c>
    </row>
    <row r="10224">
      <c r="A10224" s="178" t="str">
        <f>IFERROR(__xludf.DUMMYFUNCTION("""COMPUTED_VALUE"""),"ITBISA-RTC-DS3231M")</f>
        <v>ITBISA-RTC-DS3231M</v>
      </c>
      <c r="B10224" s="266">
        <f>IFERROR(__xludf.DUMMYFUNCTION("""COMPUTED_VALUE"""),45468.0)</f>
        <v>45468</v>
      </c>
      <c r="C10224" s="266" t="str">
        <f>IFERROR(__xludf.DUMMYFUNCTION("""COMPUTED_VALUE"""),"KERTASARI CIAMIS")</f>
        <v>KERTASARI CIAMIS</v>
      </c>
      <c r="D10224" s="186">
        <f>IFERROR(__xludf.DUMMYFUNCTION("""COMPUTED_VALUE"""),3.0)</f>
        <v>3</v>
      </c>
    </row>
    <row r="10225">
      <c r="A10225" s="178" t="str">
        <f>IFERROR(__xludf.DUMMYFUNCTION("""COMPUTED_VALUE"""),"ITBISA-RTC-DS3231M")</f>
        <v>ITBISA-RTC-DS3231M</v>
      </c>
      <c r="B10225" s="266">
        <f>IFERROR(__xludf.DUMMYFUNCTION("""COMPUTED_VALUE"""),45468.0)</f>
        <v>45468</v>
      </c>
      <c r="C10225" s="266" t="str">
        <f>IFERROR(__xludf.DUMMYFUNCTION("""COMPUTED_VALUE"""),"KYAI KONTONG")</f>
        <v>KYAI KONTONG</v>
      </c>
      <c r="D10225" s="186">
        <f>IFERROR(__xludf.DUMMYFUNCTION("""COMPUTED_VALUE"""),7.0)</f>
        <v>7</v>
      </c>
    </row>
    <row r="10226">
      <c r="A10226" s="178" t="str">
        <f>IFERROR(__xludf.DUMMYFUNCTION("""COMPUTED_VALUE"""),"ITBISA-RTC-DS3231M")</f>
        <v>ITBISA-RTC-DS3231M</v>
      </c>
      <c r="B10226" s="266">
        <f>IFERROR(__xludf.DUMMYFUNCTION("""COMPUTED_VALUE"""),45473.0)</f>
        <v>45473</v>
      </c>
      <c r="C10226" s="266" t="str">
        <f>IFERROR(__xludf.DUMMYFUNCTION("""COMPUTED_VALUE"""),"KERTASARI CIAMIS")</f>
        <v>KERTASARI CIAMIS</v>
      </c>
      <c r="D10226" s="186">
        <f>IFERROR(__xludf.DUMMYFUNCTION("""COMPUTED_VALUE"""),4.0)</f>
        <v>4</v>
      </c>
    </row>
    <row r="10227">
      <c r="A10227" s="178" t="str">
        <f>IFERROR(__xludf.DUMMYFUNCTION("""COMPUTED_VALUE"""),"ITBISA-RTC-DS3231M")</f>
        <v>ITBISA-RTC-DS3231M</v>
      </c>
      <c r="B10227" s="266">
        <f>IFERROR(__xludf.DUMMYFUNCTION("""COMPUTED_VALUE"""),45479.0)</f>
        <v>45479</v>
      </c>
      <c r="C10227" s="266" t="str">
        <f>IFERROR(__xludf.DUMMYFUNCTION("""COMPUTED_VALUE"""),"KERTASARI CIAMIS")</f>
        <v>KERTASARI CIAMIS</v>
      </c>
      <c r="D10227" s="186">
        <f>IFERROR(__xludf.DUMMYFUNCTION("""COMPUTED_VALUE"""),6.0)</f>
        <v>6</v>
      </c>
    </row>
    <row r="10228">
      <c r="A10228" s="178" t="str">
        <f>IFERROR(__xludf.DUMMYFUNCTION("""COMPUTED_VALUE"""),"ITBISA-RTC-DS3231M")</f>
        <v>ITBISA-RTC-DS3231M</v>
      </c>
      <c r="B10228" s="266">
        <f>IFERROR(__xludf.DUMMYFUNCTION("""COMPUTED_VALUE"""),45481.0)</f>
        <v>45481</v>
      </c>
      <c r="C10228" s="266" t="str">
        <f>IFERROR(__xludf.DUMMYFUNCTION("""COMPUTED_VALUE"""),"KERTASARI CIAMIS")</f>
        <v>KERTASARI CIAMIS</v>
      </c>
      <c r="D10228" s="186">
        <f>IFERROR(__xludf.DUMMYFUNCTION("""COMPUTED_VALUE"""),1.0)</f>
        <v>1</v>
      </c>
    </row>
    <row r="10229">
      <c r="A10229" s="178" t="str">
        <f>IFERROR(__xludf.DUMMYFUNCTION("""COMPUTED_VALUE"""),"ITBISA-RTC-DS3231M")</f>
        <v>ITBISA-RTC-DS3231M</v>
      </c>
      <c r="B10229" s="266">
        <f>IFERROR(__xludf.DUMMYFUNCTION("""COMPUTED_VALUE"""),45488.0)</f>
        <v>45488</v>
      </c>
      <c r="C10229" s="266" t="str">
        <f>IFERROR(__xludf.DUMMYFUNCTION("""COMPUTED_VALUE"""),"KERTASARI CIAMIS")</f>
        <v>KERTASARI CIAMIS</v>
      </c>
      <c r="D10229" s="186">
        <f>IFERROR(__xludf.DUMMYFUNCTION("""COMPUTED_VALUE"""),10.0)</f>
        <v>10</v>
      </c>
    </row>
    <row r="10230">
      <c r="A10230" s="178" t="str">
        <f>IFERROR(__xludf.DUMMYFUNCTION("""COMPUTED_VALUE"""),"ITBISA-RTC-DS3231M")</f>
        <v>ITBISA-RTC-DS3231M</v>
      </c>
      <c r="B10230" s="266">
        <f>IFERROR(__xludf.DUMMYFUNCTION("""COMPUTED_VALUE"""),45494.0)</f>
        <v>45494</v>
      </c>
      <c r="C10230" s="266" t="str">
        <f>IFERROR(__xludf.DUMMYFUNCTION("""COMPUTED_VALUE"""),"KERTASARI CIAMIS")</f>
        <v>KERTASARI CIAMIS</v>
      </c>
      <c r="D10230" s="186">
        <f>IFERROR(__xludf.DUMMYFUNCTION("""COMPUTED_VALUE"""),12.0)</f>
        <v>12</v>
      </c>
    </row>
    <row r="10231">
      <c r="A10231" s="178" t="str">
        <f>IFERROR(__xludf.DUMMYFUNCTION("""COMPUTED_VALUE"""),"ITBISA-RTC-DS3231M")</f>
        <v>ITBISA-RTC-DS3231M</v>
      </c>
      <c r="B10231" s="266">
        <f>IFERROR(__xludf.DUMMYFUNCTION("""COMPUTED_VALUE"""),45498.0)</f>
        <v>45498</v>
      </c>
      <c r="C10231" s="266" t="str">
        <f>IFERROR(__xludf.DUMMYFUNCTION("""COMPUTED_VALUE"""),"KERTASARI CIAMIS")</f>
        <v>KERTASARI CIAMIS</v>
      </c>
      <c r="D10231" s="186">
        <f>IFERROR(__xludf.DUMMYFUNCTION("""COMPUTED_VALUE"""),3.0)</f>
        <v>3</v>
      </c>
    </row>
    <row r="10232">
      <c r="A10232" s="178" t="str">
        <f>IFERROR(__xludf.DUMMYFUNCTION("""COMPUTED_VALUE"""),"ITBISA-RTC-DS3231M")</f>
        <v>ITBISA-RTC-DS3231M</v>
      </c>
      <c r="B10232" s="266">
        <f>IFERROR(__xludf.DUMMYFUNCTION("""COMPUTED_VALUE"""),45498.0)</f>
        <v>45498</v>
      </c>
      <c r="C10232" s="266" t="str">
        <f>IFERROR(__xludf.DUMMYFUNCTION("""COMPUTED_VALUE"""),"KYAI KONTONG")</f>
        <v>KYAI KONTONG</v>
      </c>
      <c r="D10232" s="186">
        <f>IFERROR(__xludf.DUMMYFUNCTION("""COMPUTED_VALUE"""),3.0)</f>
        <v>3</v>
      </c>
    </row>
    <row r="10233">
      <c r="A10233" s="178" t="str">
        <f>IFERROR(__xludf.DUMMYFUNCTION("""COMPUTED_VALUE"""),"ITBISA-RTC-DS3231M")</f>
        <v>ITBISA-RTC-DS3231M</v>
      </c>
      <c r="B10233" s="266">
        <f>IFERROR(__xludf.DUMMYFUNCTION("""COMPUTED_VALUE"""),45498.0)</f>
        <v>45498</v>
      </c>
      <c r="C10233" s="266" t="str">
        <f>IFERROR(__xludf.DUMMYFUNCTION("""COMPUTED_VALUE"""),"KYAI KONTONG")</f>
        <v>KYAI KONTONG</v>
      </c>
      <c r="D10233" s="186">
        <f>IFERROR(__xludf.DUMMYFUNCTION("""COMPUTED_VALUE"""),6.0)</f>
        <v>6</v>
      </c>
    </row>
    <row r="10234">
      <c r="A10234" s="178" t="str">
        <f>IFERROR(__xludf.DUMMYFUNCTION("""COMPUTED_VALUE"""),"ITBISA-RTC-DS3231M")</f>
        <v>ITBISA-RTC-DS3231M</v>
      </c>
      <c r="B10234" s="266">
        <f>IFERROR(__xludf.DUMMYFUNCTION("""COMPUTED_VALUE"""),45514.0)</f>
        <v>45514</v>
      </c>
      <c r="C10234" s="266" t="str">
        <f>IFERROR(__xludf.DUMMYFUNCTION("""COMPUTED_VALUE"""),"KERTASARI CIAMIS")</f>
        <v>KERTASARI CIAMIS</v>
      </c>
      <c r="D10234" s="186">
        <f>IFERROR(__xludf.DUMMYFUNCTION("""COMPUTED_VALUE"""),8.0)</f>
        <v>8</v>
      </c>
    </row>
    <row r="10235">
      <c r="A10235" s="178" t="str">
        <f>IFERROR(__xludf.DUMMYFUNCTION("""COMPUTED_VALUE"""),"ITBISA-RTC-DS3231M")</f>
        <v>ITBISA-RTC-DS3231M</v>
      </c>
      <c r="B10235" s="266">
        <f>IFERROR(__xludf.DUMMYFUNCTION("""COMPUTED_VALUE"""),45516.0)</f>
        <v>45516</v>
      </c>
      <c r="C10235" s="266" t="str">
        <f>IFERROR(__xludf.DUMMYFUNCTION("""COMPUTED_VALUE"""),"KYAI KONTONG")</f>
        <v>KYAI KONTONG</v>
      </c>
      <c r="D10235" s="186">
        <f>IFERROR(__xludf.DUMMYFUNCTION("""COMPUTED_VALUE"""),1.0)</f>
        <v>1</v>
      </c>
    </row>
    <row r="10236">
      <c r="A10236" s="178" t="str">
        <f>IFERROR(__xludf.DUMMYFUNCTION("""COMPUTED_VALUE"""),"ITBISA-RTC-DS3231M")</f>
        <v>ITBISA-RTC-DS3231M</v>
      </c>
      <c r="B10236" s="266">
        <f>IFERROR(__xludf.DUMMYFUNCTION("""COMPUTED_VALUE"""),45517.0)</f>
        <v>45517</v>
      </c>
      <c r="C10236" s="266" t="str">
        <f>IFERROR(__xludf.DUMMYFUNCTION("""COMPUTED_VALUE"""),"KERTASARI CIAMIS")</f>
        <v>KERTASARI CIAMIS</v>
      </c>
      <c r="D10236" s="186">
        <f>IFERROR(__xludf.DUMMYFUNCTION("""COMPUTED_VALUE"""),4.0)</f>
        <v>4</v>
      </c>
    </row>
    <row r="10237">
      <c r="A10237" s="178" t="str">
        <f>IFERROR(__xludf.DUMMYFUNCTION("""COMPUTED_VALUE"""),"ITBISA-RTC-DS3231M")</f>
        <v>ITBISA-RTC-DS3231M</v>
      </c>
      <c r="B10237" s="266">
        <f>IFERROR(__xludf.DUMMYFUNCTION("""COMPUTED_VALUE"""),45530.0)</f>
        <v>45530</v>
      </c>
      <c r="C10237" s="266" t="str">
        <f>IFERROR(__xludf.DUMMYFUNCTION("""COMPUTED_VALUE"""),"KYAI KONTONG")</f>
        <v>KYAI KONTONG</v>
      </c>
      <c r="D10237" s="186">
        <f>IFERROR(__xludf.DUMMYFUNCTION("""COMPUTED_VALUE"""),15.0)</f>
        <v>15</v>
      </c>
    </row>
    <row r="10238">
      <c r="A10238" s="178" t="str">
        <f>IFERROR(__xludf.DUMMYFUNCTION("""COMPUTED_VALUE"""),"ITBISA-RTC-DS3231M")</f>
        <v>ITBISA-RTC-DS3231M</v>
      </c>
      <c r="B10238" s="266">
        <f>IFERROR(__xludf.DUMMYFUNCTION("""COMPUTED_VALUE"""),45559.0)</f>
        <v>45559</v>
      </c>
      <c r="C10238" s="266" t="str">
        <f>IFERROR(__xludf.DUMMYFUNCTION("""COMPUTED_VALUE"""),"KERTASARI CIAMIS")</f>
        <v>KERTASARI CIAMIS</v>
      </c>
      <c r="D10238" s="186">
        <f>IFERROR(__xludf.DUMMYFUNCTION("""COMPUTED_VALUE"""),1.0)</f>
        <v>1</v>
      </c>
    </row>
    <row r="10239">
      <c r="A10239" s="178" t="str">
        <f>IFERROR(__xludf.DUMMYFUNCTION("""COMPUTED_VALUE"""),"ITBISA-RTC-DS3231M")</f>
        <v>ITBISA-RTC-DS3231M</v>
      </c>
      <c r="B10239" s="266">
        <f>IFERROR(__xludf.DUMMYFUNCTION("""COMPUTED_VALUE"""),45559.0)</f>
        <v>45559</v>
      </c>
      <c r="C10239" s="266" t="str">
        <f>IFERROR(__xludf.DUMMYFUNCTION("""COMPUTED_VALUE"""),"KERTASARI CIAMIS")</f>
        <v>KERTASARI CIAMIS</v>
      </c>
      <c r="D10239" s="186">
        <f>IFERROR(__xludf.DUMMYFUNCTION("""COMPUTED_VALUE"""),7.0)</f>
        <v>7</v>
      </c>
    </row>
    <row r="10240">
      <c r="A10240" s="178" t="str">
        <f>IFERROR(__xludf.DUMMYFUNCTION("""COMPUTED_VALUE"""),"ITBISA-RTC-DS3231M")</f>
        <v>ITBISA-RTC-DS3231M</v>
      </c>
      <c r="B10240" s="266">
        <f>IFERROR(__xludf.DUMMYFUNCTION("""COMPUTED_VALUE"""),45590.0)</f>
        <v>45590</v>
      </c>
      <c r="C10240" s="266" t="str">
        <f>IFERROR(__xludf.DUMMYFUNCTION("""COMPUTED_VALUE"""),"KERTASARI CIAMIS")</f>
        <v>KERTASARI CIAMIS</v>
      </c>
      <c r="D10240" s="186">
        <f>IFERROR(__xludf.DUMMYFUNCTION("""COMPUTED_VALUE"""),4.0)</f>
        <v>4</v>
      </c>
    </row>
    <row r="10241">
      <c r="A10241" s="178" t="str">
        <f>IFERROR(__xludf.DUMMYFUNCTION("""COMPUTED_VALUE"""),"ITBISA-RTC-DS3231M")</f>
        <v>ITBISA-RTC-DS3231M</v>
      </c>
      <c r="B10241" s="266">
        <f>IFERROR(__xludf.DUMMYFUNCTION("""COMPUTED_VALUE"""),45634.0)</f>
        <v>45634</v>
      </c>
      <c r="C10241" s="266" t="str">
        <f>IFERROR(__xludf.DUMMYFUNCTION("""COMPUTED_VALUE"""),"KYAI KONTONG")</f>
        <v>KYAI KONTONG</v>
      </c>
      <c r="D10241" s="186">
        <f>IFERROR(__xludf.DUMMYFUNCTION("""COMPUTED_VALUE"""),5.0)</f>
        <v>5</v>
      </c>
    </row>
    <row r="10242">
      <c r="A10242" s="178" t="str">
        <f>IFERROR(__xludf.DUMMYFUNCTION("""COMPUTED_VALUE"""),"ITBISA-RTC-DS3231M")</f>
        <v>ITBISA-RTC-DS3231M</v>
      </c>
      <c r="B10242" s="266">
        <f>IFERROR(__xludf.DUMMYFUNCTION("""COMPUTED_VALUE"""),45664.0)</f>
        <v>45664</v>
      </c>
      <c r="C10242" s="266" t="str">
        <f>IFERROR(__xludf.DUMMYFUNCTION("""COMPUTED_VALUE"""),"KYAI KONTONG")</f>
        <v>KYAI KONTONG</v>
      </c>
      <c r="D10242" s="186">
        <f>IFERROR(__xludf.DUMMYFUNCTION("""COMPUTED_VALUE"""),1.0)</f>
        <v>1</v>
      </c>
    </row>
    <row r="10243">
      <c r="A10243" s="178" t="str">
        <f>IFERROR(__xludf.DUMMYFUNCTION("""COMPUTED_VALUE"""),"ITBISA-RTC-DS3231M")</f>
        <v>ITBISA-RTC-DS3231M</v>
      </c>
      <c r="B10243" s="266">
        <f>IFERROR(__xludf.DUMMYFUNCTION("""COMPUTED_VALUE"""),45677.0)</f>
        <v>45677</v>
      </c>
      <c r="C10243" s="266" t="str">
        <f>IFERROR(__xludf.DUMMYFUNCTION("""COMPUTED_VALUE"""),"KERTASARI CIAMIS")</f>
        <v>KERTASARI CIAMIS</v>
      </c>
      <c r="D10243" s="186">
        <f>IFERROR(__xludf.DUMMYFUNCTION("""COMPUTED_VALUE"""),2.0)</f>
        <v>2</v>
      </c>
    </row>
    <row r="10244">
      <c r="A10244" s="178" t="str">
        <f>IFERROR(__xludf.DUMMYFUNCTION("""COMPUTED_VALUE"""),"ITBISA-RTC-DS3231M")</f>
        <v>ITBISA-RTC-DS3231M</v>
      </c>
      <c r="B10244" s="266">
        <f>IFERROR(__xludf.DUMMYFUNCTION("""COMPUTED_VALUE"""),45697.0)</f>
        <v>45697</v>
      </c>
      <c r="C10244" s="266" t="str">
        <f>IFERROR(__xludf.DUMMYFUNCTION("""COMPUTED_VALUE"""),"KERTASARI CIAMIS")</f>
        <v>KERTASARI CIAMIS</v>
      </c>
      <c r="D10244" s="186">
        <f>IFERROR(__xludf.DUMMYFUNCTION("""COMPUTED_VALUE"""),1.0)</f>
        <v>1</v>
      </c>
    </row>
    <row r="10245">
      <c r="A10245" s="178" t="str">
        <f>IFERROR(__xludf.DUMMYFUNCTION("""COMPUTED_VALUE"""),"ITBISA-RTC-DS3231M")</f>
        <v>ITBISA-RTC-DS3231M</v>
      </c>
      <c r="B10245" s="266">
        <f>IFERROR(__xludf.DUMMYFUNCTION("""COMPUTED_VALUE"""),45717.0)</f>
        <v>45717</v>
      </c>
      <c r="C10245" s="266" t="str">
        <f>IFERROR(__xludf.DUMMYFUNCTION("""COMPUTED_VALUE"""),"KERTASARI CIAMIS")</f>
        <v>KERTASARI CIAMIS</v>
      </c>
      <c r="D10245" s="186">
        <f>IFERROR(__xludf.DUMMYFUNCTION("""COMPUTED_VALUE"""),2.0)</f>
        <v>2</v>
      </c>
    </row>
    <row r="10246">
      <c r="A10246" s="178" t="str">
        <f>IFERROR(__xludf.DUMMYFUNCTION("""COMPUTED_VALUE"""),"ITBISA-RTC-DS3231M")</f>
        <v>ITBISA-RTC-DS3231M</v>
      </c>
      <c r="B10246" s="266">
        <f>IFERROR(__xludf.DUMMYFUNCTION("""COMPUTED_VALUE"""),45723.0)</f>
        <v>45723</v>
      </c>
      <c r="C10246" s="266" t="str">
        <f>IFERROR(__xludf.DUMMYFUNCTION("""COMPUTED_VALUE"""),"KERTASARI CIAMIS")</f>
        <v>KERTASARI CIAMIS</v>
      </c>
      <c r="D10246" s="186">
        <f>IFERROR(__xludf.DUMMYFUNCTION("""COMPUTED_VALUE"""),1.0)</f>
        <v>1</v>
      </c>
    </row>
    <row r="10247">
      <c r="A10247" s="178" t="str">
        <f>IFERROR(__xludf.DUMMYFUNCTION("""COMPUTED_VALUE"""),"ITBISA-RTC-DS3231M")</f>
        <v>ITBISA-RTC-DS3231M</v>
      </c>
      <c r="B10247" s="266">
        <f>IFERROR(__xludf.DUMMYFUNCTION("""COMPUTED_VALUE"""),45730.0)</f>
        <v>45730</v>
      </c>
      <c r="C10247" s="266" t="str">
        <f>IFERROR(__xludf.DUMMYFUNCTION("""COMPUTED_VALUE"""),"KERTASARI CIAMIS")</f>
        <v>KERTASARI CIAMIS</v>
      </c>
      <c r="D10247" s="186">
        <f>IFERROR(__xludf.DUMMYFUNCTION("""COMPUTED_VALUE"""),1.0)</f>
        <v>1</v>
      </c>
    </row>
    <row r="10248">
      <c r="A10248" s="178" t="str">
        <f>IFERROR(__xludf.DUMMYFUNCTION("""COMPUTED_VALUE"""),"ITBISA-RTC-DS3231M")</f>
        <v>ITBISA-RTC-DS3231M</v>
      </c>
      <c r="B10248" s="266">
        <f>IFERROR(__xludf.DUMMYFUNCTION("""COMPUTED_VALUE"""),45735.0)</f>
        <v>45735</v>
      </c>
      <c r="C10248" s="266" t="str">
        <f>IFERROR(__xludf.DUMMYFUNCTION("""COMPUTED_VALUE"""),"KERTASARI CIAMIS")</f>
        <v>KERTASARI CIAMIS</v>
      </c>
      <c r="D10248" s="186">
        <f>IFERROR(__xludf.DUMMYFUNCTION("""COMPUTED_VALUE"""),1.0)</f>
        <v>1</v>
      </c>
    </row>
    <row r="10249">
      <c r="A10249" s="178" t="str">
        <f>IFERROR(__xludf.DUMMYFUNCTION("""COMPUTED_VALUE"""),"ITBISA-RTC-DS3231M")</f>
        <v>ITBISA-RTC-DS3231M</v>
      </c>
      <c r="B10249" s="266">
        <f>IFERROR(__xludf.DUMMYFUNCTION("""COMPUTED_VALUE"""),45738.0)</f>
        <v>45738</v>
      </c>
      <c r="C10249" s="266" t="str">
        <f>IFERROR(__xludf.DUMMYFUNCTION("""COMPUTED_VALUE"""),"KERTASARI CIAMIS")</f>
        <v>KERTASARI CIAMIS</v>
      </c>
      <c r="D10249" s="186">
        <f>IFERROR(__xludf.DUMMYFUNCTION("""COMPUTED_VALUE"""),2.0)</f>
        <v>2</v>
      </c>
    </row>
    <row r="10250">
      <c r="A10250" s="178" t="str">
        <f>IFERROR(__xludf.DUMMYFUNCTION("""COMPUTED_VALUE"""),"ITBISA-RTC-DS3231M")</f>
        <v>ITBISA-RTC-DS3231M</v>
      </c>
      <c r="B10250" s="266">
        <f>IFERROR(__xludf.DUMMYFUNCTION("""COMPUTED_VALUE"""),45738.0)</f>
        <v>45738</v>
      </c>
      <c r="C10250" s="266" t="str">
        <f>IFERROR(__xludf.DUMMYFUNCTION("""COMPUTED_VALUE"""),"KERTASARI CIAMIS")</f>
        <v>KERTASARI CIAMIS</v>
      </c>
      <c r="D10250" s="186">
        <f>IFERROR(__xludf.DUMMYFUNCTION("""COMPUTED_VALUE"""),2.0)</f>
        <v>2</v>
      </c>
    </row>
    <row r="10251">
      <c r="A10251" s="178" t="str">
        <f>IFERROR(__xludf.DUMMYFUNCTION("""COMPUTED_VALUE"""),"ITBISA-RTC-DS3231M")</f>
        <v>ITBISA-RTC-DS3231M</v>
      </c>
      <c r="B10251" s="266">
        <f>IFERROR(__xludf.DUMMYFUNCTION("""COMPUTED_VALUE"""),45758.0)</f>
        <v>45758</v>
      </c>
      <c r="C10251" s="266" t="str">
        <f>IFERROR(__xludf.DUMMYFUNCTION("""COMPUTED_VALUE"""),"KERTASARI CIAMIS")</f>
        <v>KERTASARI CIAMIS</v>
      </c>
      <c r="D10251" s="186">
        <f>IFERROR(__xludf.DUMMYFUNCTION("""COMPUTED_VALUE"""),1.0)</f>
        <v>1</v>
      </c>
    </row>
    <row r="10252">
      <c r="A10252" s="178" t="str">
        <f>IFERROR(__xludf.DUMMYFUNCTION("""COMPUTED_VALUE"""),"ITBISA-RTC-DS3231M")</f>
        <v>ITBISA-RTC-DS3231M</v>
      </c>
      <c r="B10252" s="266">
        <f>IFERROR(__xludf.DUMMYFUNCTION("""COMPUTED_VALUE"""),45774.0)</f>
        <v>45774</v>
      </c>
      <c r="C10252" s="266" t="str">
        <f>IFERROR(__xludf.DUMMYFUNCTION("""COMPUTED_VALUE"""),"KERTASARI CIAMIS")</f>
        <v>KERTASARI CIAMIS</v>
      </c>
      <c r="D10252" s="186">
        <f>IFERROR(__xludf.DUMMYFUNCTION("""COMPUTED_VALUE"""),1.0)</f>
        <v>1</v>
      </c>
    </row>
    <row r="10253">
      <c r="A10253" s="178" t="str">
        <f>IFERROR(__xludf.DUMMYFUNCTION("""COMPUTED_VALUE"""),"ITBISA-RTC-DS3231M")</f>
        <v>ITBISA-RTC-DS3231M</v>
      </c>
      <c r="B10253" s="266">
        <f>IFERROR(__xludf.DUMMYFUNCTION("""COMPUTED_VALUE"""),45786.0)</f>
        <v>45786</v>
      </c>
      <c r="C10253" s="266" t="str">
        <f>IFERROR(__xludf.DUMMYFUNCTION("""COMPUTED_VALUE"""),"KERTASARI CIAMIS")</f>
        <v>KERTASARI CIAMIS</v>
      </c>
      <c r="D10253" s="186">
        <f>IFERROR(__xludf.DUMMYFUNCTION("""COMPUTED_VALUE"""),2.0)</f>
        <v>2</v>
      </c>
    </row>
    <row r="10254">
      <c r="A10254" s="178" t="str">
        <f>IFERROR(__xludf.DUMMYFUNCTION("""COMPUTED_VALUE"""),"ITBISA-RTC-DS3231M")</f>
        <v>ITBISA-RTC-DS3231M</v>
      </c>
      <c r="B10254" s="266">
        <f>IFERROR(__xludf.DUMMYFUNCTION("""COMPUTED_VALUE"""),45798.0)</f>
        <v>45798</v>
      </c>
      <c r="C10254" s="266" t="str">
        <f>IFERROR(__xludf.DUMMYFUNCTION("""COMPUTED_VALUE"""),"KERTASARI CIAMIS")</f>
        <v>KERTASARI CIAMIS</v>
      </c>
      <c r="D10254" s="186">
        <f>IFERROR(__xludf.DUMMYFUNCTION("""COMPUTED_VALUE"""),2.0)</f>
        <v>2</v>
      </c>
    </row>
    <row r="10255">
      <c r="A10255" s="178" t="str">
        <f>IFERROR(__xludf.DUMMYFUNCTION("""COMPUTED_VALUE"""),"ITBISA-RTC-DS3231M")</f>
        <v>ITBISA-RTC-DS3231M</v>
      </c>
      <c r="B10255" s="266">
        <f>IFERROR(__xludf.DUMMYFUNCTION("""COMPUTED_VALUE"""),45806.0)</f>
        <v>45806</v>
      </c>
      <c r="C10255" s="266" t="str">
        <f>IFERROR(__xludf.DUMMYFUNCTION("""COMPUTED_VALUE"""),"KERTASARI CIAMIS")</f>
        <v>KERTASARI CIAMIS</v>
      </c>
      <c r="D10255" s="186">
        <f>IFERROR(__xludf.DUMMYFUNCTION("""COMPUTED_VALUE"""),4.0)</f>
        <v>4</v>
      </c>
    </row>
    <row r="10256">
      <c r="A10256" s="178" t="str">
        <f>IFERROR(__xludf.DUMMYFUNCTION("""COMPUTED_VALUE"""),"ITBISA-RTC-DS3231M")</f>
        <v>ITBISA-RTC-DS3231M</v>
      </c>
      <c r="B10256" s="266">
        <f>IFERROR(__xludf.DUMMYFUNCTION("""COMPUTED_VALUE"""),45811.0)</f>
        <v>45811</v>
      </c>
      <c r="C10256" s="266" t="str">
        <f>IFERROR(__xludf.DUMMYFUNCTION("""COMPUTED_VALUE"""),"KERTASARI CIAMIS")</f>
        <v>KERTASARI CIAMIS</v>
      </c>
      <c r="D10256" s="186">
        <f>IFERROR(__xludf.DUMMYFUNCTION("""COMPUTED_VALUE"""),3.0)</f>
        <v>3</v>
      </c>
    </row>
    <row r="10257">
      <c r="A10257" s="178" t="str">
        <f>IFERROR(__xludf.DUMMYFUNCTION("""COMPUTED_VALUE"""),"ITBISA-RTC-DS3231M")</f>
        <v>ITBISA-RTC-DS3231M</v>
      </c>
      <c r="B10257" s="266">
        <f>IFERROR(__xludf.DUMMYFUNCTION("""COMPUTED_VALUE"""),45816.0)</f>
        <v>45816</v>
      </c>
      <c r="C10257" s="266" t="str">
        <f>IFERROR(__xludf.DUMMYFUNCTION("""COMPUTED_VALUE"""),"KERTASARI CIAMIS")</f>
        <v>KERTASARI CIAMIS</v>
      </c>
      <c r="D10257" s="186">
        <f>IFERROR(__xludf.DUMMYFUNCTION("""COMPUTED_VALUE"""),1.0)</f>
        <v>1</v>
      </c>
    </row>
    <row r="10258">
      <c r="A10258" s="178" t="str">
        <f>IFERROR(__xludf.DUMMYFUNCTION("""COMPUTED_VALUE"""),"ITBISA-RTC-DS3231M")</f>
        <v>ITBISA-RTC-DS3231M</v>
      </c>
      <c r="B10258" s="266">
        <f>IFERROR(__xludf.DUMMYFUNCTION("""COMPUTED_VALUE"""),45820.0)</f>
        <v>45820</v>
      </c>
      <c r="C10258" s="266" t="str">
        <f>IFERROR(__xludf.DUMMYFUNCTION("""COMPUTED_VALUE"""),"KERTASARI CIAMIS")</f>
        <v>KERTASARI CIAMIS</v>
      </c>
      <c r="D10258" s="186">
        <f>IFERROR(__xludf.DUMMYFUNCTION("""COMPUTED_VALUE"""),1.0)</f>
        <v>1</v>
      </c>
    </row>
    <row r="10259">
      <c r="A10259" s="178" t="str">
        <f>IFERROR(__xludf.DUMMYFUNCTION("""COMPUTED_VALUE"""),"ITBISA-RTC-DS3231M")</f>
        <v>ITBISA-RTC-DS3231M</v>
      </c>
      <c r="B10259" s="266">
        <f>IFERROR(__xludf.DUMMYFUNCTION("""COMPUTED_VALUE"""),45833.0)</f>
        <v>45833</v>
      </c>
      <c r="C10259" s="266" t="str">
        <f>IFERROR(__xludf.DUMMYFUNCTION("""COMPUTED_VALUE"""),"KERTASARI CIAMIS")</f>
        <v>KERTASARI CIAMIS</v>
      </c>
      <c r="D10259" s="186">
        <f>IFERROR(__xludf.DUMMYFUNCTION("""COMPUTED_VALUE"""),3.0)</f>
        <v>3</v>
      </c>
    </row>
    <row r="10260">
      <c r="A10260" s="178" t="str">
        <f>IFERROR(__xludf.DUMMYFUNCTION("""COMPUTED_VALUE"""),"ITBISA-RTC-DS3231M")</f>
        <v>ITBISA-RTC-DS3231M</v>
      </c>
      <c r="B10260" s="266">
        <f>IFERROR(__xludf.DUMMYFUNCTION("""COMPUTED_VALUE"""),45843.0)</f>
        <v>45843</v>
      </c>
      <c r="C10260" s="266" t="str">
        <f>IFERROR(__xludf.DUMMYFUNCTION("""COMPUTED_VALUE"""),"KYAI KONTONG")</f>
        <v>KYAI KONTONG</v>
      </c>
      <c r="D10260" s="186">
        <f>IFERROR(__xludf.DUMMYFUNCTION("""COMPUTED_VALUE"""),1.0)</f>
        <v>1</v>
      </c>
    </row>
    <row r="10261">
      <c r="A10261" s="178" t="str">
        <f>IFERROR(__xludf.DUMMYFUNCTION("""COMPUTED_VALUE"""),"ITBISA-RTC-DS3231M")</f>
        <v>ITBISA-RTC-DS3231M</v>
      </c>
      <c r="B10261" s="266">
        <f>IFERROR(__xludf.DUMMYFUNCTION("""COMPUTED_VALUE"""),45845.0)</f>
        <v>45845</v>
      </c>
      <c r="C10261" s="266" t="str">
        <f>IFERROR(__xludf.DUMMYFUNCTION("""COMPUTED_VALUE"""),"KERTASARI CIAMIS")</f>
        <v>KERTASARI CIAMIS</v>
      </c>
      <c r="D10261" s="186">
        <f>IFERROR(__xludf.DUMMYFUNCTION("""COMPUTED_VALUE"""),2.0)</f>
        <v>2</v>
      </c>
    </row>
    <row r="10262">
      <c r="A10262" s="178" t="str">
        <f>IFERROR(__xludf.DUMMYFUNCTION("""COMPUTED_VALUE"""),"ITBISA-RTC-DS3231M")</f>
        <v>ITBISA-RTC-DS3231M</v>
      </c>
      <c r="B10262" s="266">
        <f>IFERROR(__xludf.DUMMYFUNCTION("""COMPUTED_VALUE"""),45848.0)</f>
        <v>45848</v>
      </c>
      <c r="C10262" s="266" t="str">
        <f>IFERROR(__xludf.DUMMYFUNCTION("""COMPUTED_VALUE"""),"KERTASARI CIAMIS")</f>
        <v>KERTASARI CIAMIS</v>
      </c>
      <c r="D10262" s="186">
        <f>IFERROR(__xludf.DUMMYFUNCTION("""COMPUTED_VALUE"""),1.0)</f>
        <v>1</v>
      </c>
    </row>
    <row r="10263">
      <c r="A10263" s="178" t="str">
        <f>IFERROR(__xludf.DUMMYFUNCTION("""COMPUTED_VALUE"""),"ITBISA-RTC-DS3231M")</f>
        <v>ITBISA-RTC-DS3231M</v>
      </c>
      <c r="B10263" s="266">
        <f>IFERROR(__xludf.DUMMYFUNCTION("""COMPUTED_VALUE"""),45887.0)</f>
        <v>45887</v>
      </c>
      <c r="C10263" s="266" t="str">
        <f>IFERROR(__xludf.DUMMYFUNCTION("""COMPUTED_VALUE"""),"KERTASARI CIAMIS")</f>
        <v>KERTASARI CIAMIS</v>
      </c>
      <c r="D10263" s="186">
        <f>IFERROR(__xludf.DUMMYFUNCTION("""COMPUTED_VALUE"""),1.0)</f>
        <v>1</v>
      </c>
    </row>
    <row r="10264">
      <c r="A10264" s="178" t="str">
        <f>IFERROR(__xludf.DUMMYFUNCTION("""COMPUTED_VALUE"""),"ITBISA-RTC-DS3231M")</f>
        <v>ITBISA-RTC-DS3231M</v>
      </c>
      <c r="B10264" s="266">
        <f>IFERROR(__xludf.DUMMYFUNCTION("""COMPUTED_VALUE"""),45895.0)</f>
        <v>45895</v>
      </c>
      <c r="C10264" s="266" t="str">
        <f>IFERROR(__xludf.DUMMYFUNCTION("""COMPUTED_VALUE"""),"KERTASARI CIAMIS")</f>
        <v>KERTASARI CIAMIS</v>
      </c>
      <c r="D10264" s="186">
        <f>IFERROR(__xludf.DUMMYFUNCTION("""COMPUTED_VALUE"""),4.0)</f>
        <v>4</v>
      </c>
    </row>
    <row r="10265">
      <c r="A10265" s="178" t="str">
        <f>IFERROR(__xludf.DUMMYFUNCTION("""COMPUTED_VALUE"""),"ITBISA-RTC-DS3231SN")</f>
        <v>ITBISA-RTC-DS3231SN</v>
      </c>
      <c r="B10265" s="266">
        <f>IFERROR(__xludf.DUMMYFUNCTION("""COMPUTED_VALUE"""),45313.0)</f>
        <v>45313</v>
      </c>
      <c r="C10265" s="266" t="str">
        <f>IFERROR(__xludf.DUMMYFUNCTION("""COMPUTED_VALUE"""),"KERTASARI CIAMIS")</f>
        <v>KERTASARI CIAMIS</v>
      </c>
      <c r="D10265" s="186">
        <f>IFERROR(__xludf.DUMMYFUNCTION("""COMPUTED_VALUE"""),10.0)</f>
        <v>10</v>
      </c>
    </row>
    <row r="10266">
      <c r="A10266" s="178" t="str">
        <f>IFERROR(__xludf.DUMMYFUNCTION("""COMPUTED_VALUE"""),"ITBISA-RTC-DS3231SN")</f>
        <v>ITBISA-RTC-DS3231SN</v>
      </c>
      <c r="B10266" s="266">
        <f>IFERROR(__xludf.DUMMYFUNCTION("""COMPUTED_VALUE"""),45324.0)</f>
        <v>45324</v>
      </c>
      <c r="C10266" s="266" t="str">
        <f>IFERROR(__xludf.DUMMYFUNCTION("""COMPUTED_VALUE"""),"KERTASARI CIAMIS")</f>
        <v>KERTASARI CIAMIS</v>
      </c>
      <c r="D10266" s="186">
        <f>IFERROR(__xludf.DUMMYFUNCTION("""COMPUTED_VALUE"""),1.0)</f>
        <v>1</v>
      </c>
    </row>
    <row r="10267">
      <c r="A10267" s="178" t="str">
        <f>IFERROR(__xludf.DUMMYFUNCTION("""COMPUTED_VALUE"""),"ITBISA-RTC-DS3231SN")</f>
        <v>ITBISA-RTC-DS3231SN</v>
      </c>
      <c r="B10267" s="266">
        <f>IFERROR(__xludf.DUMMYFUNCTION("""COMPUTED_VALUE"""),45331.0)</f>
        <v>45331</v>
      </c>
      <c r="C10267" s="266" t="str">
        <f>IFERROR(__xludf.DUMMYFUNCTION("""COMPUTED_VALUE"""),"KERTASARI CIAMIS")</f>
        <v>KERTASARI CIAMIS</v>
      </c>
      <c r="D10267" s="186">
        <f>IFERROR(__xludf.DUMMYFUNCTION("""COMPUTED_VALUE"""),3.0)</f>
        <v>3</v>
      </c>
    </row>
    <row r="10268">
      <c r="A10268" s="178" t="str">
        <f>IFERROR(__xludf.DUMMYFUNCTION("""COMPUTED_VALUE"""),"ITBISA-RTC-DS3231SN")</f>
        <v>ITBISA-RTC-DS3231SN</v>
      </c>
      <c r="B10268" s="266">
        <f>IFERROR(__xludf.DUMMYFUNCTION("""COMPUTED_VALUE"""),45337.0)</f>
        <v>45337</v>
      </c>
      <c r="C10268" s="266" t="str">
        <f>IFERROR(__xludf.DUMMYFUNCTION("""COMPUTED_VALUE"""),"KERTASARI CIAMIS")</f>
        <v>KERTASARI CIAMIS</v>
      </c>
      <c r="D10268" s="186">
        <f>IFERROR(__xludf.DUMMYFUNCTION("""COMPUTED_VALUE"""),3.0)</f>
        <v>3</v>
      </c>
    </row>
    <row r="10269">
      <c r="A10269" s="178" t="str">
        <f>IFERROR(__xludf.DUMMYFUNCTION("""COMPUTED_VALUE"""),"ITBISA-RTC-DS3231SN")</f>
        <v>ITBISA-RTC-DS3231SN</v>
      </c>
      <c r="B10269" s="266">
        <f>IFERROR(__xludf.DUMMYFUNCTION("""COMPUTED_VALUE"""),45337.0)</f>
        <v>45337</v>
      </c>
      <c r="C10269" s="266" t="str">
        <f>IFERROR(__xludf.DUMMYFUNCTION("""COMPUTED_VALUE"""),"KERTASARI CIAMIS")</f>
        <v>KERTASARI CIAMIS</v>
      </c>
      <c r="D10269" s="186">
        <f>IFERROR(__xludf.DUMMYFUNCTION("""COMPUTED_VALUE"""),10.0)</f>
        <v>10</v>
      </c>
    </row>
    <row r="10270">
      <c r="A10270" s="178" t="str">
        <f>IFERROR(__xludf.DUMMYFUNCTION("""COMPUTED_VALUE"""),"ITBISA-RTC-DS3231SN")</f>
        <v>ITBISA-RTC-DS3231SN</v>
      </c>
      <c r="B10270" s="266">
        <f>IFERROR(__xludf.DUMMYFUNCTION("""COMPUTED_VALUE"""),45348.0)</f>
        <v>45348</v>
      </c>
      <c r="C10270" s="266" t="str">
        <f>IFERROR(__xludf.DUMMYFUNCTION("""COMPUTED_VALUE"""),"KERTASARI CIAMIS")</f>
        <v>KERTASARI CIAMIS</v>
      </c>
      <c r="D10270" s="186">
        <f>IFERROR(__xludf.DUMMYFUNCTION("""COMPUTED_VALUE"""),5.0)</f>
        <v>5</v>
      </c>
    </row>
    <row r="10271">
      <c r="A10271" s="178" t="str">
        <f>IFERROR(__xludf.DUMMYFUNCTION("""COMPUTED_VALUE"""),"ITBISA-RTC-DS3231SN")</f>
        <v>ITBISA-RTC-DS3231SN</v>
      </c>
      <c r="B10271" s="266">
        <f>IFERROR(__xludf.DUMMYFUNCTION("""COMPUTED_VALUE"""),45350.0)</f>
        <v>45350</v>
      </c>
      <c r="C10271" s="266" t="str">
        <f>IFERROR(__xludf.DUMMYFUNCTION("""COMPUTED_VALUE"""),"KERTASARI CIAMIS")</f>
        <v>KERTASARI CIAMIS</v>
      </c>
      <c r="D10271" s="186">
        <f>IFERROR(__xludf.DUMMYFUNCTION("""COMPUTED_VALUE"""),3.0)</f>
        <v>3</v>
      </c>
    </row>
    <row r="10272">
      <c r="A10272" s="178" t="str">
        <f>IFERROR(__xludf.DUMMYFUNCTION("""COMPUTED_VALUE"""),"ITBISA-RTC-DS3231SN")</f>
        <v>ITBISA-RTC-DS3231SN</v>
      </c>
      <c r="B10272" s="266">
        <f>IFERROR(__xludf.DUMMYFUNCTION("""COMPUTED_VALUE"""),45354.0)</f>
        <v>45354</v>
      </c>
      <c r="C10272" s="266" t="str">
        <f>IFERROR(__xludf.DUMMYFUNCTION("""COMPUTED_VALUE"""),"KERTASARI CIAMIS")</f>
        <v>KERTASARI CIAMIS</v>
      </c>
      <c r="D10272" s="186">
        <f>IFERROR(__xludf.DUMMYFUNCTION("""COMPUTED_VALUE"""),5.0)</f>
        <v>5</v>
      </c>
    </row>
    <row r="10273">
      <c r="A10273" s="178" t="str">
        <f>IFERROR(__xludf.DUMMYFUNCTION("""COMPUTED_VALUE"""),"ITBISA-RTC-DS3231SN")</f>
        <v>ITBISA-RTC-DS3231SN</v>
      </c>
      <c r="B10273" s="266">
        <f>IFERROR(__xludf.DUMMYFUNCTION("""COMPUTED_VALUE"""),45354.0)</f>
        <v>45354</v>
      </c>
      <c r="C10273" s="266" t="str">
        <f>IFERROR(__xludf.DUMMYFUNCTION("""COMPUTED_VALUE"""),"KERTASARI CIAMIS")</f>
        <v>KERTASARI CIAMIS</v>
      </c>
      <c r="D10273" s="186">
        <f>IFERROR(__xludf.DUMMYFUNCTION("""COMPUTED_VALUE"""),20.0)</f>
        <v>20</v>
      </c>
    </row>
    <row r="10274">
      <c r="A10274" s="178" t="str">
        <f>IFERROR(__xludf.DUMMYFUNCTION("""COMPUTED_VALUE"""),"ITBISA-RTC-DS3231SN")</f>
        <v>ITBISA-RTC-DS3231SN</v>
      </c>
      <c r="B10274" s="266">
        <f>IFERROR(__xludf.DUMMYFUNCTION("""COMPUTED_VALUE"""),45355.0)</f>
        <v>45355</v>
      </c>
      <c r="C10274" s="266" t="str">
        <f>IFERROR(__xludf.DUMMYFUNCTION("""COMPUTED_VALUE"""),"KERTASARI CIAMIS")</f>
        <v>KERTASARI CIAMIS</v>
      </c>
      <c r="D10274" s="186">
        <f>IFERROR(__xludf.DUMMYFUNCTION("""COMPUTED_VALUE"""),7.0)</f>
        <v>7</v>
      </c>
    </row>
    <row r="10275">
      <c r="A10275" s="178" t="str">
        <f>IFERROR(__xludf.DUMMYFUNCTION("""COMPUTED_VALUE"""),"ITBISA-RTC-DS3231SN")</f>
        <v>ITBISA-RTC-DS3231SN</v>
      </c>
      <c r="B10275" s="266">
        <f>IFERROR(__xludf.DUMMYFUNCTION("""COMPUTED_VALUE"""),45357.0)</f>
        <v>45357</v>
      </c>
      <c r="C10275" s="266" t="str">
        <f>IFERROR(__xludf.DUMMYFUNCTION("""COMPUTED_VALUE"""),"KERTASARI CIAMIS")</f>
        <v>KERTASARI CIAMIS</v>
      </c>
      <c r="D10275" s="186">
        <f>IFERROR(__xludf.DUMMYFUNCTION("""COMPUTED_VALUE"""),1.0)</f>
        <v>1</v>
      </c>
    </row>
    <row r="10276">
      <c r="A10276" s="178" t="str">
        <f>IFERROR(__xludf.DUMMYFUNCTION("""COMPUTED_VALUE"""),"ITBISA-RTC-DS3231SN")</f>
        <v>ITBISA-RTC-DS3231SN</v>
      </c>
      <c r="B10276" s="266">
        <f>IFERROR(__xludf.DUMMYFUNCTION("""COMPUTED_VALUE"""),45360.0)</f>
        <v>45360</v>
      </c>
      <c r="C10276" s="266" t="str">
        <f>IFERROR(__xludf.DUMMYFUNCTION("""COMPUTED_VALUE"""),"KERTASARI CIAMIS")</f>
        <v>KERTASARI CIAMIS</v>
      </c>
      <c r="D10276" s="186">
        <f>IFERROR(__xludf.DUMMYFUNCTION("""COMPUTED_VALUE"""),1.0)</f>
        <v>1</v>
      </c>
    </row>
    <row r="10277">
      <c r="A10277" s="178" t="str">
        <f>IFERROR(__xludf.DUMMYFUNCTION("""COMPUTED_VALUE"""),"ITBISA-RTC-DS3231SN")</f>
        <v>ITBISA-RTC-DS3231SN</v>
      </c>
      <c r="B10277" s="266">
        <f>IFERROR(__xludf.DUMMYFUNCTION("""COMPUTED_VALUE"""),45360.0)</f>
        <v>45360</v>
      </c>
      <c r="C10277" s="266" t="str">
        <f>IFERROR(__xludf.DUMMYFUNCTION("""COMPUTED_VALUE"""),"KERTASARI CIAMIS")</f>
        <v>KERTASARI CIAMIS</v>
      </c>
      <c r="D10277" s="186">
        <f>IFERROR(__xludf.DUMMYFUNCTION("""COMPUTED_VALUE"""),24.0)</f>
        <v>24</v>
      </c>
    </row>
    <row r="10278">
      <c r="A10278" s="178" t="str">
        <f>IFERROR(__xludf.DUMMYFUNCTION("""COMPUTED_VALUE"""),"ITBISA-RTC-DS3231SN")</f>
        <v>ITBISA-RTC-DS3231SN</v>
      </c>
      <c r="B10278" s="266">
        <f>IFERROR(__xludf.DUMMYFUNCTION("""COMPUTED_VALUE"""),45361.0)</f>
        <v>45361</v>
      </c>
      <c r="C10278" s="266" t="str">
        <f>IFERROR(__xludf.DUMMYFUNCTION("""COMPUTED_VALUE"""),"KERTASARI CIAMIS")</f>
        <v>KERTASARI CIAMIS</v>
      </c>
      <c r="D10278" s="186">
        <f>IFERROR(__xludf.DUMMYFUNCTION("""COMPUTED_VALUE"""),2.0)</f>
        <v>2</v>
      </c>
    </row>
    <row r="10279">
      <c r="A10279" s="178" t="str">
        <f>IFERROR(__xludf.DUMMYFUNCTION("""COMPUTED_VALUE"""),"ITBISA-RTC-DS3231SN")</f>
        <v>ITBISA-RTC-DS3231SN</v>
      </c>
      <c r="B10279" s="266">
        <f>IFERROR(__xludf.DUMMYFUNCTION("""COMPUTED_VALUE"""),45365.0)</f>
        <v>45365</v>
      </c>
      <c r="C10279" s="266" t="str">
        <f>IFERROR(__xludf.DUMMYFUNCTION("""COMPUTED_VALUE"""),"KYAI KONTONG")</f>
        <v>KYAI KONTONG</v>
      </c>
      <c r="D10279" s="186">
        <f>IFERROR(__xludf.DUMMYFUNCTION("""COMPUTED_VALUE"""),10.0)</f>
        <v>10</v>
      </c>
    </row>
    <row r="10280">
      <c r="A10280" s="178" t="str">
        <f>IFERROR(__xludf.DUMMYFUNCTION("""COMPUTED_VALUE"""),"ITBISA-RTC-DS3231SN")</f>
        <v>ITBISA-RTC-DS3231SN</v>
      </c>
      <c r="B10280" s="266">
        <f>IFERROR(__xludf.DUMMYFUNCTION("""COMPUTED_VALUE"""),45366.0)</f>
        <v>45366</v>
      </c>
      <c r="C10280" s="266" t="str">
        <f>IFERROR(__xludf.DUMMYFUNCTION("""COMPUTED_VALUE"""),"KERTASARI CIAMIS")</f>
        <v>KERTASARI CIAMIS</v>
      </c>
      <c r="D10280" s="186">
        <f>IFERROR(__xludf.DUMMYFUNCTION("""COMPUTED_VALUE"""),10.0)</f>
        <v>10</v>
      </c>
    </row>
    <row r="10281">
      <c r="A10281" s="178" t="str">
        <f>IFERROR(__xludf.DUMMYFUNCTION("""COMPUTED_VALUE"""),"ITBISA-RTC-DS3231SN")</f>
        <v>ITBISA-RTC-DS3231SN</v>
      </c>
      <c r="B10281" s="266">
        <f>IFERROR(__xludf.DUMMYFUNCTION("""COMPUTED_VALUE"""),45366.0)</f>
        <v>45366</v>
      </c>
      <c r="C10281" s="266" t="str">
        <f>IFERROR(__xludf.DUMMYFUNCTION("""COMPUTED_VALUE"""),"KYAI KONTONG")</f>
        <v>KYAI KONTONG</v>
      </c>
      <c r="D10281" s="186">
        <f>IFERROR(__xludf.DUMMYFUNCTION("""COMPUTED_VALUE"""),5.0)</f>
        <v>5</v>
      </c>
    </row>
    <row r="10282">
      <c r="A10282" s="178" t="str">
        <f>IFERROR(__xludf.DUMMYFUNCTION("""COMPUTED_VALUE"""),"ITBISA-RTC-DS3231SN")</f>
        <v>ITBISA-RTC-DS3231SN</v>
      </c>
      <c r="B10282" s="266">
        <f>IFERROR(__xludf.DUMMYFUNCTION("""COMPUTED_VALUE"""),45366.0)</f>
        <v>45366</v>
      </c>
      <c r="C10282" s="266" t="str">
        <f>IFERROR(__xludf.DUMMYFUNCTION("""COMPUTED_VALUE"""),"KYAI KONTONG")</f>
        <v>KYAI KONTONG</v>
      </c>
      <c r="D10282" s="186">
        <f>IFERROR(__xludf.DUMMYFUNCTION("""COMPUTED_VALUE"""),5.0)</f>
        <v>5</v>
      </c>
    </row>
    <row r="10283">
      <c r="A10283" s="178" t="str">
        <f>IFERROR(__xludf.DUMMYFUNCTION("""COMPUTED_VALUE"""),"ITBISA-RTC-DS3231SN")</f>
        <v>ITBISA-RTC-DS3231SN</v>
      </c>
      <c r="B10283" s="266">
        <f>IFERROR(__xludf.DUMMYFUNCTION("""COMPUTED_VALUE"""),45367.0)</f>
        <v>45367</v>
      </c>
      <c r="C10283" s="266" t="str">
        <f>IFERROR(__xludf.DUMMYFUNCTION("""COMPUTED_VALUE"""),"KYAI KONTONG")</f>
        <v>KYAI KONTONG</v>
      </c>
      <c r="D10283" s="186">
        <f>IFERROR(__xludf.DUMMYFUNCTION("""COMPUTED_VALUE"""),6.0)</f>
        <v>6</v>
      </c>
    </row>
    <row r="10284">
      <c r="A10284" s="178" t="str">
        <f>IFERROR(__xludf.DUMMYFUNCTION("""COMPUTED_VALUE"""),"ITBISA-RTC-DS3231SN")</f>
        <v>ITBISA-RTC-DS3231SN</v>
      </c>
      <c r="B10284" s="266">
        <f>IFERROR(__xludf.DUMMYFUNCTION("""COMPUTED_VALUE"""),45368.0)</f>
        <v>45368</v>
      </c>
      <c r="C10284" s="266" t="str">
        <f>IFERROR(__xludf.DUMMYFUNCTION("""COMPUTED_VALUE"""),"KYAI KONTONG")</f>
        <v>KYAI KONTONG</v>
      </c>
      <c r="D10284" s="186">
        <f>IFERROR(__xludf.DUMMYFUNCTION("""COMPUTED_VALUE"""),1.0)</f>
        <v>1</v>
      </c>
    </row>
    <row r="10285">
      <c r="A10285" s="178" t="str">
        <f>IFERROR(__xludf.DUMMYFUNCTION("""COMPUTED_VALUE"""),"ITBISA-RTC-DS3231SN")</f>
        <v>ITBISA-RTC-DS3231SN</v>
      </c>
      <c r="B10285" s="266">
        <f>IFERROR(__xludf.DUMMYFUNCTION("""COMPUTED_VALUE"""),45369.0)</f>
        <v>45369</v>
      </c>
      <c r="C10285" s="266" t="str">
        <f>IFERROR(__xludf.DUMMYFUNCTION("""COMPUTED_VALUE"""),"KYAI KONTONG")</f>
        <v>KYAI KONTONG</v>
      </c>
      <c r="D10285" s="186">
        <f>IFERROR(__xludf.DUMMYFUNCTION("""COMPUTED_VALUE"""),8.0)</f>
        <v>8</v>
      </c>
    </row>
    <row r="10286">
      <c r="A10286" s="178" t="str">
        <f>IFERROR(__xludf.DUMMYFUNCTION("""COMPUTED_VALUE"""),"ITBISA-RTC-DS3231SN")</f>
        <v>ITBISA-RTC-DS3231SN</v>
      </c>
      <c r="B10286" s="266">
        <f>IFERROR(__xludf.DUMMYFUNCTION("""COMPUTED_VALUE"""),45371.0)</f>
        <v>45371</v>
      </c>
      <c r="C10286" s="266" t="str">
        <f>IFERROR(__xludf.DUMMYFUNCTION("""COMPUTED_VALUE"""),"KERTASARI CIAMIS")</f>
        <v>KERTASARI CIAMIS</v>
      </c>
      <c r="D10286" s="186">
        <f>IFERROR(__xludf.DUMMYFUNCTION("""COMPUTED_VALUE"""),10.0)</f>
        <v>10</v>
      </c>
    </row>
    <row r="10287">
      <c r="A10287" s="178" t="str">
        <f>IFERROR(__xludf.DUMMYFUNCTION("""COMPUTED_VALUE"""),"ITBISA-RTC-DS3231SN")</f>
        <v>ITBISA-RTC-DS3231SN</v>
      </c>
      <c r="B10287" s="266">
        <f>IFERROR(__xludf.DUMMYFUNCTION("""COMPUTED_VALUE"""),45371.0)</f>
        <v>45371</v>
      </c>
      <c r="C10287" s="266" t="str">
        <f>IFERROR(__xludf.DUMMYFUNCTION("""COMPUTED_VALUE"""),"KERTASARI CIAMIS")</f>
        <v>KERTASARI CIAMIS</v>
      </c>
      <c r="D10287" s="186">
        <f>IFERROR(__xludf.DUMMYFUNCTION("""COMPUTED_VALUE"""),13.0)</f>
        <v>13</v>
      </c>
    </row>
    <row r="10288">
      <c r="A10288" s="178" t="str">
        <f>IFERROR(__xludf.DUMMYFUNCTION("""COMPUTED_VALUE"""),"ITBISA-RTC-DS3231SN")</f>
        <v>ITBISA-RTC-DS3231SN</v>
      </c>
      <c r="B10288" s="266">
        <f>IFERROR(__xludf.DUMMYFUNCTION("""COMPUTED_VALUE"""),45372.0)</f>
        <v>45372</v>
      </c>
      <c r="C10288" s="266" t="str">
        <f>IFERROR(__xludf.DUMMYFUNCTION("""COMPUTED_VALUE"""),"KYAI KONTONG")</f>
        <v>KYAI KONTONG</v>
      </c>
      <c r="D10288" s="186">
        <f>IFERROR(__xludf.DUMMYFUNCTION("""COMPUTED_VALUE"""),2.0)</f>
        <v>2</v>
      </c>
    </row>
    <row r="10289">
      <c r="A10289" s="178" t="str">
        <f>IFERROR(__xludf.DUMMYFUNCTION("""COMPUTED_VALUE"""),"ITBISA-RTC-DS3231SN")</f>
        <v>ITBISA-RTC-DS3231SN</v>
      </c>
      <c r="B10289" s="266">
        <f>IFERROR(__xludf.DUMMYFUNCTION("""COMPUTED_VALUE"""),45373.0)</f>
        <v>45373</v>
      </c>
      <c r="C10289" s="266" t="str">
        <f>IFERROR(__xludf.DUMMYFUNCTION("""COMPUTED_VALUE"""),"KERTASARI CIAMIS")</f>
        <v>KERTASARI CIAMIS</v>
      </c>
      <c r="D10289" s="186">
        <f>IFERROR(__xludf.DUMMYFUNCTION("""COMPUTED_VALUE"""),5.0)</f>
        <v>5</v>
      </c>
    </row>
    <row r="10290">
      <c r="A10290" s="178" t="str">
        <f>IFERROR(__xludf.DUMMYFUNCTION("""COMPUTED_VALUE"""),"ITBISA-RTC-DS3231SN")</f>
        <v>ITBISA-RTC-DS3231SN</v>
      </c>
      <c r="B10290" s="266">
        <f>IFERROR(__xludf.DUMMYFUNCTION("""COMPUTED_VALUE"""),45373.0)</f>
        <v>45373</v>
      </c>
      <c r="C10290" s="266" t="str">
        <f>IFERROR(__xludf.DUMMYFUNCTION("""COMPUTED_VALUE"""),"KERTASARI CIAMIS")</f>
        <v>KERTASARI CIAMIS</v>
      </c>
      <c r="D10290" s="186">
        <f>IFERROR(__xludf.DUMMYFUNCTION("""COMPUTED_VALUE"""),12.0)</f>
        <v>12</v>
      </c>
    </row>
    <row r="10291">
      <c r="A10291" s="178" t="str">
        <f>IFERROR(__xludf.DUMMYFUNCTION("""COMPUTED_VALUE"""),"ITBISA-RTC-DS3231SN")</f>
        <v>ITBISA-RTC-DS3231SN</v>
      </c>
      <c r="B10291" s="266">
        <f>IFERROR(__xludf.DUMMYFUNCTION("""COMPUTED_VALUE"""),45373.0)</f>
        <v>45373</v>
      </c>
      <c r="C10291" s="266" t="str">
        <f>IFERROR(__xludf.DUMMYFUNCTION("""COMPUTED_VALUE"""),"KERTASARI CIAMIS")</f>
        <v>KERTASARI CIAMIS</v>
      </c>
      <c r="D10291" s="186">
        <f>IFERROR(__xludf.DUMMYFUNCTION("""COMPUTED_VALUE"""),35.0)</f>
        <v>35</v>
      </c>
    </row>
    <row r="10292">
      <c r="A10292" s="178" t="str">
        <f>IFERROR(__xludf.DUMMYFUNCTION("""COMPUTED_VALUE"""),"ITBISA-RTC-DS3231SN")</f>
        <v>ITBISA-RTC-DS3231SN</v>
      </c>
      <c r="B10292" s="266">
        <f>IFERROR(__xludf.DUMMYFUNCTION("""COMPUTED_VALUE"""),45374.0)</f>
        <v>45374</v>
      </c>
      <c r="C10292" s="266" t="str">
        <f>IFERROR(__xludf.DUMMYFUNCTION("""COMPUTED_VALUE"""),"KYAI KONTONG")</f>
        <v>KYAI KONTONG</v>
      </c>
      <c r="D10292" s="186">
        <f>IFERROR(__xludf.DUMMYFUNCTION("""COMPUTED_VALUE"""),10.0)</f>
        <v>10</v>
      </c>
    </row>
    <row r="10293">
      <c r="A10293" s="178" t="str">
        <f>IFERROR(__xludf.DUMMYFUNCTION("""COMPUTED_VALUE"""),"ITBISA-RTC-DS3231SN")</f>
        <v>ITBISA-RTC-DS3231SN</v>
      </c>
      <c r="B10293" s="266">
        <f>IFERROR(__xludf.DUMMYFUNCTION("""COMPUTED_VALUE"""),45374.0)</f>
        <v>45374</v>
      </c>
      <c r="C10293" s="266" t="str">
        <f>IFERROR(__xludf.DUMMYFUNCTION("""COMPUTED_VALUE"""),"KYAI KONTONG")</f>
        <v>KYAI KONTONG</v>
      </c>
      <c r="D10293" s="186">
        <f>IFERROR(__xludf.DUMMYFUNCTION("""COMPUTED_VALUE"""),15.0)</f>
        <v>15</v>
      </c>
    </row>
    <row r="10294">
      <c r="A10294" s="178" t="str">
        <f>IFERROR(__xludf.DUMMYFUNCTION("""COMPUTED_VALUE"""),"ITBISA-RTC-DS3231SN")</f>
        <v>ITBISA-RTC-DS3231SN</v>
      </c>
      <c r="B10294" s="266">
        <f>IFERROR(__xludf.DUMMYFUNCTION("""COMPUTED_VALUE"""),45375.0)</f>
        <v>45375</v>
      </c>
      <c r="C10294" s="266" t="str">
        <f>IFERROR(__xludf.DUMMYFUNCTION("""COMPUTED_VALUE"""),"KYAI KONTONG")</f>
        <v>KYAI KONTONG</v>
      </c>
      <c r="D10294" s="186">
        <f>IFERROR(__xludf.DUMMYFUNCTION("""COMPUTED_VALUE"""),10.0)</f>
        <v>10</v>
      </c>
    </row>
    <row r="10295">
      <c r="A10295" s="178" t="str">
        <f>IFERROR(__xludf.DUMMYFUNCTION("""COMPUTED_VALUE"""),"ITBISA-RTC-DS3231SN")</f>
        <v>ITBISA-RTC-DS3231SN</v>
      </c>
      <c r="B10295" s="266">
        <f>IFERROR(__xludf.DUMMYFUNCTION("""COMPUTED_VALUE"""),45376.0)</f>
        <v>45376</v>
      </c>
      <c r="C10295" s="266" t="str">
        <f>IFERROR(__xludf.DUMMYFUNCTION("""COMPUTED_VALUE"""),"KERTASARI CIAMIS")</f>
        <v>KERTASARI CIAMIS</v>
      </c>
      <c r="D10295" s="186">
        <f>IFERROR(__xludf.DUMMYFUNCTION("""COMPUTED_VALUE"""),15.0)</f>
        <v>15</v>
      </c>
    </row>
    <row r="10296">
      <c r="A10296" s="178" t="str">
        <f>IFERROR(__xludf.DUMMYFUNCTION("""COMPUTED_VALUE"""),"ITBISA-RTC-DS3231SN")</f>
        <v>ITBISA-RTC-DS3231SN</v>
      </c>
      <c r="B10296" s="266">
        <f>IFERROR(__xludf.DUMMYFUNCTION("""COMPUTED_VALUE"""),45376.0)</f>
        <v>45376</v>
      </c>
      <c r="C10296" s="266" t="str">
        <f>IFERROR(__xludf.DUMMYFUNCTION("""COMPUTED_VALUE"""),"KYAI KONTONG")</f>
        <v>KYAI KONTONG</v>
      </c>
      <c r="D10296" s="186">
        <f>IFERROR(__xludf.DUMMYFUNCTION("""COMPUTED_VALUE"""),15.0)</f>
        <v>15</v>
      </c>
    </row>
    <row r="10297">
      <c r="A10297" s="178" t="str">
        <f>IFERROR(__xludf.DUMMYFUNCTION("""COMPUTED_VALUE"""),"ITBISA-RTC-DS3231SN")</f>
        <v>ITBISA-RTC-DS3231SN</v>
      </c>
      <c r="B10297" s="266">
        <f>IFERROR(__xludf.DUMMYFUNCTION("""COMPUTED_VALUE"""),45377.0)</f>
        <v>45377</v>
      </c>
      <c r="C10297" s="266" t="str">
        <f>IFERROR(__xludf.DUMMYFUNCTION("""COMPUTED_VALUE"""),"KERTASARI CIAMIS")</f>
        <v>KERTASARI CIAMIS</v>
      </c>
      <c r="D10297" s="186">
        <f>IFERROR(__xludf.DUMMYFUNCTION("""COMPUTED_VALUE"""),5.0)</f>
        <v>5</v>
      </c>
    </row>
    <row r="10298">
      <c r="A10298" s="178" t="str">
        <f>IFERROR(__xludf.DUMMYFUNCTION("""COMPUTED_VALUE"""),"ITBISA-RTC-DS3231SN")</f>
        <v>ITBISA-RTC-DS3231SN</v>
      </c>
      <c r="B10298" s="266">
        <f>IFERROR(__xludf.DUMMYFUNCTION("""COMPUTED_VALUE"""),45377.0)</f>
        <v>45377</v>
      </c>
      <c r="C10298" s="266" t="str">
        <f>IFERROR(__xludf.DUMMYFUNCTION("""COMPUTED_VALUE"""),"KYAI KONTONG")</f>
        <v>KYAI KONTONG</v>
      </c>
      <c r="D10298" s="186">
        <f>IFERROR(__xludf.DUMMYFUNCTION("""COMPUTED_VALUE"""),30.0)</f>
        <v>30</v>
      </c>
    </row>
    <row r="10299">
      <c r="A10299" s="178" t="str">
        <f>IFERROR(__xludf.DUMMYFUNCTION("""COMPUTED_VALUE"""),"ITBISA-RTC-DS3231SN")</f>
        <v>ITBISA-RTC-DS3231SN</v>
      </c>
      <c r="B10299" s="266">
        <f>IFERROR(__xludf.DUMMYFUNCTION("""COMPUTED_VALUE"""),45380.0)</f>
        <v>45380</v>
      </c>
      <c r="C10299" s="266" t="str">
        <f>IFERROR(__xludf.DUMMYFUNCTION("""COMPUTED_VALUE"""),"KYAI KONTONG")</f>
        <v>KYAI KONTONG</v>
      </c>
      <c r="D10299" s="186">
        <f>IFERROR(__xludf.DUMMYFUNCTION("""COMPUTED_VALUE"""),1.0)</f>
        <v>1</v>
      </c>
    </row>
    <row r="10300">
      <c r="A10300" s="178" t="str">
        <f>IFERROR(__xludf.DUMMYFUNCTION("""COMPUTED_VALUE"""),"ITBISA-RTC-DS3231SN")</f>
        <v>ITBISA-RTC-DS3231SN</v>
      </c>
      <c r="B10300" s="266">
        <f>IFERROR(__xludf.DUMMYFUNCTION("""COMPUTED_VALUE"""),45380.0)</f>
        <v>45380</v>
      </c>
      <c r="C10300" s="266" t="str">
        <f>IFERROR(__xludf.DUMMYFUNCTION("""COMPUTED_VALUE"""),"KYAI KONTONG")</f>
        <v>KYAI KONTONG</v>
      </c>
      <c r="D10300" s="186">
        <f>IFERROR(__xludf.DUMMYFUNCTION("""COMPUTED_VALUE"""),10.0)</f>
        <v>10</v>
      </c>
    </row>
    <row r="10301">
      <c r="A10301" s="178" t="str">
        <f>IFERROR(__xludf.DUMMYFUNCTION("""COMPUTED_VALUE"""),"ITBISA-RTC-DS3231SN")</f>
        <v>ITBISA-RTC-DS3231SN</v>
      </c>
      <c r="B10301" s="266">
        <f>IFERROR(__xludf.DUMMYFUNCTION("""COMPUTED_VALUE"""),45381.0)</f>
        <v>45381</v>
      </c>
      <c r="C10301" s="266" t="str">
        <f>IFERROR(__xludf.DUMMYFUNCTION("""COMPUTED_VALUE"""),"KYAI KONTONG")</f>
        <v>KYAI KONTONG</v>
      </c>
      <c r="D10301" s="186">
        <f>IFERROR(__xludf.DUMMYFUNCTION("""COMPUTED_VALUE"""),10.0)</f>
        <v>10</v>
      </c>
    </row>
    <row r="10302">
      <c r="A10302" s="178" t="str">
        <f>IFERROR(__xludf.DUMMYFUNCTION("""COMPUTED_VALUE"""),"ITBISA-RTC-DS3231SN")</f>
        <v>ITBISA-RTC-DS3231SN</v>
      </c>
      <c r="B10302" s="266">
        <f>IFERROR(__xludf.DUMMYFUNCTION("""COMPUTED_VALUE"""),45382.0)</f>
        <v>45382</v>
      </c>
      <c r="C10302" s="266" t="str">
        <f>IFERROR(__xludf.DUMMYFUNCTION("""COMPUTED_VALUE"""),"KYAI KONTONG")</f>
        <v>KYAI KONTONG</v>
      </c>
      <c r="D10302" s="186">
        <f>IFERROR(__xludf.DUMMYFUNCTION("""COMPUTED_VALUE"""),1.0)</f>
        <v>1</v>
      </c>
    </row>
    <row r="10303">
      <c r="A10303" s="178" t="str">
        <f>IFERROR(__xludf.DUMMYFUNCTION("""COMPUTED_VALUE"""),"ITBISA-RTC-DS3231SN")</f>
        <v>ITBISA-RTC-DS3231SN</v>
      </c>
      <c r="B10303" s="266">
        <f>IFERROR(__xludf.DUMMYFUNCTION("""COMPUTED_VALUE"""),45385.0)</f>
        <v>45385</v>
      </c>
      <c r="C10303" s="266" t="str">
        <f>IFERROR(__xludf.DUMMYFUNCTION("""COMPUTED_VALUE"""),"KYAI KONTONG")</f>
        <v>KYAI KONTONG</v>
      </c>
      <c r="D10303" s="186">
        <f>IFERROR(__xludf.DUMMYFUNCTION("""COMPUTED_VALUE"""),5.0)</f>
        <v>5</v>
      </c>
    </row>
    <row r="10304">
      <c r="A10304" s="178" t="str">
        <f>IFERROR(__xludf.DUMMYFUNCTION("""COMPUTED_VALUE"""),"ITBISA-RTC-DS3231SN")</f>
        <v>ITBISA-RTC-DS3231SN</v>
      </c>
      <c r="B10304" s="266">
        <f>IFERROR(__xludf.DUMMYFUNCTION("""COMPUTED_VALUE"""),45387.0)</f>
        <v>45387</v>
      </c>
      <c r="C10304" s="266" t="str">
        <f>IFERROR(__xludf.DUMMYFUNCTION("""COMPUTED_VALUE"""),"KERTASARI CIAMIS")</f>
        <v>KERTASARI CIAMIS</v>
      </c>
      <c r="D10304" s="186">
        <f>IFERROR(__xludf.DUMMYFUNCTION("""COMPUTED_VALUE"""),1.0)</f>
        <v>1</v>
      </c>
    </row>
    <row r="10305">
      <c r="A10305" s="178" t="str">
        <f>IFERROR(__xludf.DUMMYFUNCTION("""COMPUTED_VALUE"""),"ITBISA-RTC-DS3231SN")</f>
        <v>ITBISA-RTC-DS3231SN</v>
      </c>
      <c r="B10305" s="266">
        <f>IFERROR(__xludf.DUMMYFUNCTION("""COMPUTED_VALUE"""),45389.0)</f>
        <v>45389</v>
      </c>
      <c r="C10305" s="266" t="str">
        <f>IFERROR(__xludf.DUMMYFUNCTION("""COMPUTED_VALUE"""),"KERTASARI CIAMIS")</f>
        <v>KERTASARI CIAMIS</v>
      </c>
      <c r="D10305" s="186">
        <f>IFERROR(__xludf.DUMMYFUNCTION("""COMPUTED_VALUE"""),1.0)</f>
        <v>1</v>
      </c>
    </row>
    <row r="10306">
      <c r="A10306" s="178" t="str">
        <f>IFERROR(__xludf.DUMMYFUNCTION("""COMPUTED_VALUE"""),"ITBISA-RTC-DS3231SN")</f>
        <v>ITBISA-RTC-DS3231SN</v>
      </c>
      <c r="B10306" s="266">
        <f>IFERROR(__xludf.DUMMYFUNCTION("""COMPUTED_VALUE"""),45390.0)</f>
        <v>45390</v>
      </c>
      <c r="C10306" s="266" t="str">
        <f>IFERROR(__xludf.DUMMYFUNCTION("""COMPUTED_VALUE"""),"KERTASARI CIAMIS")</f>
        <v>KERTASARI CIAMIS</v>
      </c>
      <c r="D10306" s="186">
        <f>IFERROR(__xludf.DUMMYFUNCTION("""COMPUTED_VALUE"""),1.0)</f>
        <v>1</v>
      </c>
    </row>
    <row r="10307">
      <c r="A10307" s="178" t="str">
        <f>IFERROR(__xludf.DUMMYFUNCTION("""COMPUTED_VALUE"""),"ITBISA-RTC-DS3231SN")</f>
        <v>ITBISA-RTC-DS3231SN</v>
      </c>
      <c r="B10307" s="266">
        <f>IFERROR(__xludf.DUMMYFUNCTION("""COMPUTED_VALUE"""),45396.0)</f>
        <v>45396</v>
      </c>
      <c r="C10307" s="266" t="str">
        <f>IFERROR(__xludf.DUMMYFUNCTION("""COMPUTED_VALUE"""),"KERTASARI CIAMIS")</f>
        <v>KERTASARI CIAMIS</v>
      </c>
      <c r="D10307" s="186">
        <f>IFERROR(__xludf.DUMMYFUNCTION("""COMPUTED_VALUE"""),2.0)</f>
        <v>2</v>
      </c>
    </row>
    <row r="10308">
      <c r="A10308" s="178" t="str">
        <f>IFERROR(__xludf.DUMMYFUNCTION("""COMPUTED_VALUE"""),"ITBISA-RTC-DS3231SN")</f>
        <v>ITBISA-RTC-DS3231SN</v>
      </c>
      <c r="B10308" s="266">
        <f>IFERROR(__xludf.DUMMYFUNCTION("""COMPUTED_VALUE"""),45397.0)</f>
        <v>45397</v>
      </c>
      <c r="C10308" s="266" t="str">
        <f>IFERROR(__xludf.DUMMYFUNCTION("""COMPUTED_VALUE"""),"KYAI KONTONG")</f>
        <v>KYAI KONTONG</v>
      </c>
      <c r="D10308" s="186">
        <f>IFERROR(__xludf.DUMMYFUNCTION("""COMPUTED_VALUE"""),1.0)</f>
        <v>1</v>
      </c>
    </row>
    <row r="10309">
      <c r="A10309" s="178" t="str">
        <f>IFERROR(__xludf.DUMMYFUNCTION("""COMPUTED_VALUE"""),"ITBISA-RTC-DS3231SN")</f>
        <v>ITBISA-RTC-DS3231SN</v>
      </c>
      <c r="B10309" s="266">
        <f>IFERROR(__xludf.DUMMYFUNCTION("""COMPUTED_VALUE"""),45398.0)</f>
        <v>45398</v>
      </c>
      <c r="C10309" s="266" t="str">
        <f>IFERROR(__xludf.DUMMYFUNCTION("""COMPUTED_VALUE"""),"KYAI KONTONG")</f>
        <v>KYAI KONTONG</v>
      </c>
      <c r="D10309" s="186">
        <f>IFERROR(__xludf.DUMMYFUNCTION("""COMPUTED_VALUE"""),3.0)</f>
        <v>3</v>
      </c>
    </row>
    <row r="10310">
      <c r="A10310" s="178" t="str">
        <f>IFERROR(__xludf.DUMMYFUNCTION("""COMPUTED_VALUE"""),"ITBISA-RTC-DS3231SN")</f>
        <v>ITBISA-RTC-DS3231SN</v>
      </c>
      <c r="B10310" s="266">
        <f>IFERROR(__xludf.DUMMYFUNCTION("""COMPUTED_VALUE"""),45399.0)</f>
        <v>45399</v>
      </c>
      <c r="C10310" s="266" t="str">
        <f>IFERROR(__xludf.DUMMYFUNCTION("""COMPUTED_VALUE"""),"KYAI KONTONG")</f>
        <v>KYAI KONTONG</v>
      </c>
      <c r="D10310" s="186">
        <f>IFERROR(__xludf.DUMMYFUNCTION("""COMPUTED_VALUE"""),1.0)</f>
        <v>1</v>
      </c>
    </row>
    <row r="10311">
      <c r="A10311" s="178" t="str">
        <f>IFERROR(__xludf.DUMMYFUNCTION("""COMPUTED_VALUE"""),"ITBISA-RTC-DS3231SN")</f>
        <v>ITBISA-RTC-DS3231SN</v>
      </c>
      <c r="B10311" s="266">
        <f>IFERROR(__xludf.DUMMYFUNCTION("""COMPUTED_VALUE"""),45402.0)</f>
        <v>45402</v>
      </c>
      <c r="C10311" s="266" t="str">
        <f>IFERROR(__xludf.DUMMYFUNCTION("""COMPUTED_VALUE"""),"KERTASARI CIAMIS")</f>
        <v>KERTASARI CIAMIS</v>
      </c>
      <c r="D10311" s="186">
        <f>IFERROR(__xludf.DUMMYFUNCTION("""COMPUTED_VALUE"""),10.0)</f>
        <v>10</v>
      </c>
    </row>
    <row r="10312">
      <c r="A10312" s="178" t="str">
        <f>IFERROR(__xludf.DUMMYFUNCTION("""COMPUTED_VALUE"""),"ITBISA-RTC-DS3231SN")</f>
        <v>ITBISA-RTC-DS3231SN</v>
      </c>
      <c r="B10312" s="266">
        <f>IFERROR(__xludf.DUMMYFUNCTION("""COMPUTED_VALUE"""),45406.0)</f>
        <v>45406</v>
      </c>
      <c r="C10312" s="266" t="str">
        <f>IFERROR(__xludf.DUMMYFUNCTION("""COMPUTED_VALUE"""),"KERTASARI CIAMIS")</f>
        <v>KERTASARI CIAMIS</v>
      </c>
      <c r="D10312" s="186">
        <f>IFERROR(__xludf.DUMMYFUNCTION("""COMPUTED_VALUE"""),2.0)</f>
        <v>2</v>
      </c>
    </row>
    <row r="10313">
      <c r="A10313" s="178" t="str">
        <f>IFERROR(__xludf.DUMMYFUNCTION("""COMPUTED_VALUE"""),"ITBISA-RTC-DS3231SN")</f>
        <v>ITBISA-RTC-DS3231SN</v>
      </c>
      <c r="B10313" s="266">
        <f>IFERROR(__xludf.DUMMYFUNCTION("""COMPUTED_VALUE"""),45406.0)</f>
        <v>45406</v>
      </c>
      <c r="C10313" s="266" t="str">
        <f>IFERROR(__xludf.DUMMYFUNCTION("""COMPUTED_VALUE"""),"KYAI KONTONG")</f>
        <v>KYAI KONTONG</v>
      </c>
      <c r="D10313" s="186">
        <f>IFERROR(__xludf.DUMMYFUNCTION("""COMPUTED_VALUE"""),1.0)</f>
        <v>1</v>
      </c>
    </row>
    <row r="10314">
      <c r="A10314" s="178" t="str">
        <f>IFERROR(__xludf.DUMMYFUNCTION("""COMPUTED_VALUE"""),"ITBISA-RTC-DS3231SN")</f>
        <v>ITBISA-RTC-DS3231SN</v>
      </c>
      <c r="B10314" s="266">
        <f>IFERROR(__xludf.DUMMYFUNCTION("""COMPUTED_VALUE"""),45407.0)</f>
        <v>45407</v>
      </c>
      <c r="C10314" s="266" t="str">
        <f>IFERROR(__xludf.DUMMYFUNCTION("""COMPUTED_VALUE"""),"KYAI KONTONG")</f>
        <v>KYAI KONTONG</v>
      </c>
      <c r="D10314" s="186">
        <f>IFERROR(__xludf.DUMMYFUNCTION("""COMPUTED_VALUE"""),1.0)</f>
        <v>1</v>
      </c>
    </row>
    <row r="10315">
      <c r="A10315" s="178" t="str">
        <f>IFERROR(__xludf.DUMMYFUNCTION("""COMPUTED_VALUE"""),"ITBISA-RTC-DS3231SN")</f>
        <v>ITBISA-RTC-DS3231SN</v>
      </c>
      <c r="B10315" s="266">
        <f>IFERROR(__xludf.DUMMYFUNCTION("""COMPUTED_VALUE"""),45407.0)</f>
        <v>45407</v>
      </c>
      <c r="C10315" s="266" t="str">
        <f>IFERROR(__xludf.DUMMYFUNCTION("""COMPUTED_VALUE"""),"KYAI KONTONG")</f>
        <v>KYAI KONTONG</v>
      </c>
      <c r="D10315" s="186">
        <f>IFERROR(__xludf.DUMMYFUNCTION("""COMPUTED_VALUE"""),2.0)</f>
        <v>2</v>
      </c>
    </row>
    <row r="10316">
      <c r="A10316" s="178" t="str">
        <f>IFERROR(__xludf.DUMMYFUNCTION("""COMPUTED_VALUE"""),"ITBISA-RTC-DS3231SN")</f>
        <v>ITBISA-RTC-DS3231SN</v>
      </c>
      <c r="B10316" s="266">
        <f>IFERROR(__xludf.DUMMYFUNCTION("""COMPUTED_VALUE"""),45408.0)</f>
        <v>45408</v>
      </c>
      <c r="C10316" s="266" t="str">
        <f>IFERROR(__xludf.DUMMYFUNCTION("""COMPUTED_VALUE"""),"KERTASARI CIAMIS")</f>
        <v>KERTASARI CIAMIS</v>
      </c>
      <c r="D10316" s="186">
        <f>IFERROR(__xludf.DUMMYFUNCTION("""COMPUTED_VALUE"""),2.0)</f>
        <v>2</v>
      </c>
    </row>
    <row r="10317">
      <c r="A10317" s="178" t="str">
        <f>IFERROR(__xludf.DUMMYFUNCTION("""COMPUTED_VALUE"""),"ITBISA-RTC-DS3231SN")</f>
        <v>ITBISA-RTC-DS3231SN</v>
      </c>
      <c r="B10317" s="266">
        <f>IFERROR(__xludf.DUMMYFUNCTION("""COMPUTED_VALUE"""),45408.0)</f>
        <v>45408</v>
      </c>
      <c r="C10317" s="266" t="str">
        <f>IFERROR(__xludf.DUMMYFUNCTION("""COMPUTED_VALUE"""),"KYAI KONTONG")</f>
        <v>KYAI KONTONG</v>
      </c>
      <c r="D10317" s="186">
        <f>IFERROR(__xludf.DUMMYFUNCTION("""COMPUTED_VALUE"""),2.0)</f>
        <v>2</v>
      </c>
    </row>
    <row r="10318">
      <c r="A10318" s="178" t="str">
        <f>IFERROR(__xludf.DUMMYFUNCTION("""COMPUTED_VALUE"""),"ITBISA-RTC-DS3231SN")</f>
        <v>ITBISA-RTC-DS3231SN</v>
      </c>
      <c r="B10318" s="266">
        <f>IFERROR(__xludf.DUMMYFUNCTION("""COMPUTED_VALUE"""),45409.0)</f>
        <v>45409</v>
      </c>
      <c r="C10318" s="266" t="str">
        <f>IFERROR(__xludf.DUMMYFUNCTION("""COMPUTED_VALUE"""),"KERTASARI CIAMIS")</f>
        <v>KERTASARI CIAMIS</v>
      </c>
      <c r="D10318" s="186">
        <f>IFERROR(__xludf.DUMMYFUNCTION("""COMPUTED_VALUE"""),2.0)</f>
        <v>2</v>
      </c>
    </row>
    <row r="10319">
      <c r="A10319" s="178" t="str">
        <f>IFERROR(__xludf.DUMMYFUNCTION("""COMPUTED_VALUE"""),"ITBISA-RTC-DS3231SN")</f>
        <v>ITBISA-RTC-DS3231SN</v>
      </c>
      <c r="B10319" s="266">
        <f>IFERROR(__xludf.DUMMYFUNCTION("""COMPUTED_VALUE"""),45410.0)</f>
        <v>45410</v>
      </c>
      <c r="C10319" s="266" t="str">
        <f>IFERROR(__xludf.DUMMYFUNCTION("""COMPUTED_VALUE"""),"KERTASARI CIAMIS")</f>
        <v>KERTASARI CIAMIS</v>
      </c>
      <c r="D10319" s="186">
        <f>IFERROR(__xludf.DUMMYFUNCTION("""COMPUTED_VALUE"""),40.0)</f>
        <v>40</v>
      </c>
    </row>
    <row r="10320">
      <c r="A10320" s="178" t="str">
        <f>IFERROR(__xludf.DUMMYFUNCTION("""COMPUTED_VALUE"""),"ITBISA-RTC-DS3231SN")</f>
        <v>ITBISA-RTC-DS3231SN</v>
      </c>
      <c r="B10320" s="266">
        <f>IFERROR(__xludf.DUMMYFUNCTION("""COMPUTED_VALUE"""),45411.0)</f>
        <v>45411</v>
      </c>
      <c r="C10320" s="266" t="str">
        <f>IFERROR(__xludf.DUMMYFUNCTION("""COMPUTED_VALUE"""),"KYAI KONTONG")</f>
        <v>KYAI KONTONG</v>
      </c>
      <c r="D10320" s="186">
        <f>IFERROR(__xludf.DUMMYFUNCTION("""COMPUTED_VALUE"""),1.0)</f>
        <v>1</v>
      </c>
    </row>
    <row r="10321">
      <c r="A10321" s="178" t="str">
        <f>IFERROR(__xludf.DUMMYFUNCTION("""COMPUTED_VALUE"""),"ITBISA-RTC-DS3231SN")</f>
        <v>ITBISA-RTC-DS3231SN</v>
      </c>
      <c r="B10321" s="266">
        <f>IFERROR(__xludf.DUMMYFUNCTION("""COMPUTED_VALUE"""),45412.0)</f>
        <v>45412</v>
      </c>
      <c r="C10321" s="266" t="str">
        <f>IFERROR(__xludf.DUMMYFUNCTION("""COMPUTED_VALUE"""),"KERTASARI CIAMIS")</f>
        <v>KERTASARI CIAMIS</v>
      </c>
      <c r="D10321" s="186">
        <f>IFERROR(__xludf.DUMMYFUNCTION("""COMPUTED_VALUE"""),6.0)</f>
        <v>6</v>
      </c>
    </row>
    <row r="10322">
      <c r="A10322" s="178" t="str">
        <f>IFERROR(__xludf.DUMMYFUNCTION("""COMPUTED_VALUE"""),"ITBISA-RTC-DS3231SN")</f>
        <v>ITBISA-RTC-DS3231SN</v>
      </c>
      <c r="B10322" s="266">
        <f>IFERROR(__xludf.DUMMYFUNCTION("""COMPUTED_VALUE"""),45412.0)</f>
        <v>45412</v>
      </c>
      <c r="C10322" s="266" t="str">
        <f>IFERROR(__xludf.DUMMYFUNCTION("""COMPUTED_VALUE"""),"KERTASARI CIAMIS")</f>
        <v>KERTASARI CIAMIS</v>
      </c>
      <c r="D10322" s="186">
        <f>IFERROR(__xludf.DUMMYFUNCTION("""COMPUTED_VALUE"""),10.0)</f>
        <v>10</v>
      </c>
    </row>
    <row r="10323">
      <c r="A10323" s="178" t="str">
        <f>IFERROR(__xludf.DUMMYFUNCTION("""COMPUTED_VALUE"""),"ITBISA-RTC-DS3231SN")</f>
        <v>ITBISA-RTC-DS3231SN</v>
      </c>
      <c r="B10323" s="266">
        <f>IFERROR(__xludf.DUMMYFUNCTION("""COMPUTED_VALUE"""),45412.0)</f>
        <v>45412</v>
      </c>
      <c r="C10323" s="266" t="str">
        <f>IFERROR(__xludf.DUMMYFUNCTION("""COMPUTED_VALUE"""),"KYAI KONTONG")</f>
        <v>KYAI KONTONG</v>
      </c>
      <c r="D10323" s="186">
        <f>IFERROR(__xludf.DUMMYFUNCTION("""COMPUTED_VALUE"""),1.0)</f>
        <v>1</v>
      </c>
    </row>
    <row r="10324">
      <c r="A10324" s="178" t="str">
        <f>IFERROR(__xludf.DUMMYFUNCTION("""COMPUTED_VALUE"""),"ITBISA-RTC-DS3231SN")</f>
        <v>ITBISA-RTC-DS3231SN</v>
      </c>
      <c r="B10324" s="266">
        <f>IFERROR(__xludf.DUMMYFUNCTION("""COMPUTED_VALUE"""),45412.0)</f>
        <v>45412</v>
      </c>
      <c r="C10324" s="266" t="str">
        <f>IFERROR(__xludf.DUMMYFUNCTION("""COMPUTED_VALUE"""),"KYAI KONTONG")</f>
        <v>KYAI KONTONG</v>
      </c>
      <c r="D10324" s="186">
        <f>IFERROR(__xludf.DUMMYFUNCTION("""COMPUTED_VALUE"""),6.0)</f>
        <v>6</v>
      </c>
    </row>
    <row r="10325">
      <c r="A10325" s="178" t="str">
        <f>IFERROR(__xludf.DUMMYFUNCTION("""COMPUTED_VALUE"""),"ITBISA-RTC-DS3231SN")</f>
        <v>ITBISA-RTC-DS3231SN</v>
      </c>
      <c r="B10325" s="266">
        <f>IFERROR(__xludf.DUMMYFUNCTION("""COMPUTED_VALUE"""),45412.0)</f>
        <v>45412</v>
      </c>
      <c r="C10325" s="266" t="str">
        <f>IFERROR(__xludf.DUMMYFUNCTION("""COMPUTED_VALUE"""),"KYAI KONTONG")</f>
        <v>KYAI KONTONG</v>
      </c>
      <c r="D10325" s="186">
        <f>IFERROR(__xludf.DUMMYFUNCTION("""COMPUTED_VALUE"""),20.0)</f>
        <v>20</v>
      </c>
    </row>
    <row r="10326">
      <c r="A10326" s="178" t="str">
        <f>IFERROR(__xludf.DUMMYFUNCTION("""COMPUTED_VALUE"""),"ITBISA-RTC-DS3231SN")</f>
        <v>ITBISA-RTC-DS3231SN</v>
      </c>
      <c r="B10326" s="266">
        <f>IFERROR(__xludf.DUMMYFUNCTION("""COMPUTED_VALUE"""),45415.0)</f>
        <v>45415</v>
      </c>
      <c r="C10326" s="266" t="str">
        <f>IFERROR(__xludf.DUMMYFUNCTION("""COMPUTED_VALUE"""),"KYAI KONTONG")</f>
        <v>KYAI KONTONG</v>
      </c>
      <c r="D10326" s="186">
        <f>IFERROR(__xludf.DUMMYFUNCTION("""COMPUTED_VALUE"""),24.0)</f>
        <v>24</v>
      </c>
    </row>
    <row r="10327">
      <c r="A10327" s="178" t="str">
        <f>IFERROR(__xludf.DUMMYFUNCTION("""COMPUTED_VALUE"""),"ITBISA-RTC-DS3231SN")</f>
        <v>ITBISA-RTC-DS3231SN</v>
      </c>
      <c r="B10327" s="266">
        <f>IFERROR(__xludf.DUMMYFUNCTION("""COMPUTED_VALUE"""),45416.0)</f>
        <v>45416</v>
      </c>
      <c r="C10327" s="266" t="str">
        <f>IFERROR(__xludf.DUMMYFUNCTION("""COMPUTED_VALUE"""),"KYAI KONTONG")</f>
        <v>KYAI KONTONG</v>
      </c>
      <c r="D10327" s="186">
        <f>IFERROR(__xludf.DUMMYFUNCTION("""COMPUTED_VALUE"""),1.0)</f>
        <v>1</v>
      </c>
    </row>
    <row r="10328">
      <c r="A10328" s="178" t="str">
        <f>IFERROR(__xludf.DUMMYFUNCTION("""COMPUTED_VALUE"""),"ITBISA-RTC-DS3231SN")</f>
        <v>ITBISA-RTC-DS3231SN</v>
      </c>
      <c r="B10328" s="266">
        <f>IFERROR(__xludf.DUMMYFUNCTION("""COMPUTED_VALUE"""),45418.0)</f>
        <v>45418</v>
      </c>
      <c r="C10328" s="266" t="str">
        <f>IFERROR(__xludf.DUMMYFUNCTION("""COMPUTED_VALUE"""),"KYAI KONTONG")</f>
        <v>KYAI KONTONG</v>
      </c>
      <c r="D10328" s="186">
        <f>IFERROR(__xludf.DUMMYFUNCTION("""COMPUTED_VALUE"""),1.0)</f>
        <v>1</v>
      </c>
    </row>
    <row r="10329">
      <c r="A10329" s="178" t="str">
        <f>IFERROR(__xludf.DUMMYFUNCTION("""COMPUTED_VALUE"""),"ITBISA-RTC-DS3231SN")</f>
        <v>ITBISA-RTC-DS3231SN</v>
      </c>
      <c r="B10329" s="266">
        <f>IFERROR(__xludf.DUMMYFUNCTION("""COMPUTED_VALUE"""),45420.0)</f>
        <v>45420</v>
      </c>
      <c r="C10329" s="266" t="str">
        <f>IFERROR(__xludf.DUMMYFUNCTION("""COMPUTED_VALUE"""),"KYAI KONTONG")</f>
        <v>KYAI KONTONG</v>
      </c>
      <c r="D10329" s="186">
        <f>IFERROR(__xludf.DUMMYFUNCTION("""COMPUTED_VALUE"""),10.0)</f>
        <v>10</v>
      </c>
    </row>
    <row r="10330">
      <c r="A10330" s="178" t="str">
        <f>IFERROR(__xludf.DUMMYFUNCTION("""COMPUTED_VALUE"""),"ITBISA-RTC-DS3231SN")</f>
        <v>ITBISA-RTC-DS3231SN</v>
      </c>
      <c r="B10330" s="266">
        <f>IFERROR(__xludf.DUMMYFUNCTION("""COMPUTED_VALUE"""),45424.0)</f>
        <v>45424</v>
      </c>
      <c r="C10330" s="266" t="str">
        <f>IFERROR(__xludf.DUMMYFUNCTION("""COMPUTED_VALUE"""),"KYAI KONTONG")</f>
        <v>KYAI KONTONG</v>
      </c>
      <c r="D10330" s="186">
        <f>IFERROR(__xludf.DUMMYFUNCTION("""COMPUTED_VALUE"""),10.0)</f>
        <v>10</v>
      </c>
    </row>
    <row r="10331">
      <c r="A10331" s="178" t="str">
        <f>IFERROR(__xludf.DUMMYFUNCTION("""COMPUTED_VALUE"""),"ITBISA-RTC-DS3231SN")</f>
        <v>ITBISA-RTC-DS3231SN</v>
      </c>
      <c r="B10331" s="266">
        <f>IFERROR(__xludf.DUMMYFUNCTION("""COMPUTED_VALUE"""),45425.0)</f>
        <v>45425</v>
      </c>
      <c r="C10331" s="266" t="str">
        <f>IFERROR(__xludf.DUMMYFUNCTION("""COMPUTED_VALUE"""),"KYAI KONTONG")</f>
        <v>KYAI KONTONG</v>
      </c>
      <c r="D10331" s="186">
        <f>IFERROR(__xludf.DUMMYFUNCTION("""COMPUTED_VALUE"""),10.0)</f>
        <v>10</v>
      </c>
    </row>
    <row r="10332">
      <c r="A10332" s="178" t="str">
        <f>IFERROR(__xludf.DUMMYFUNCTION("""COMPUTED_VALUE"""),"ITBISA-RTC-DS3231SN")</f>
        <v>ITBISA-RTC-DS3231SN</v>
      </c>
      <c r="B10332" s="266">
        <f>IFERROR(__xludf.DUMMYFUNCTION("""COMPUTED_VALUE"""),45426.0)</f>
        <v>45426</v>
      </c>
      <c r="C10332" s="266" t="str">
        <f>IFERROR(__xludf.DUMMYFUNCTION("""COMPUTED_VALUE"""),"KYAI KONTONG")</f>
        <v>KYAI KONTONG</v>
      </c>
      <c r="D10332" s="186">
        <f>IFERROR(__xludf.DUMMYFUNCTION("""COMPUTED_VALUE"""),2.0)</f>
        <v>2</v>
      </c>
    </row>
    <row r="10333">
      <c r="A10333" s="178" t="str">
        <f>IFERROR(__xludf.DUMMYFUNCTION("""COMPUTED_VALUE"""),"ITBISA-RTC-DS3231SN")</f>
        <v>ITBISA-RTC-DS3231SN</v>
      </c>
      <c r="B10333" s="266">
        <f>IFERROR(__xludf.DUMMYFUNCTION("""COMPUTED_VALUE"""),45428.0)</f>
        <v>45428</v>
      </c>
      <c r="C10333" s="266" t="str">
        <f>IFERROR(__xludf.DUMMYFUNCTION("""COMPUTED_VALUE"""),"KERTASARI CIAMIS")</f>
        <v>KERTASARI CIAMIS</v>
      </c>
      <c r="D10333" s="186">
        <f>IFERROR(__xludf.DUMMYFUNCTION("""COMPUTED_VALUE"""),1.0)</f>
        <v>1</v>
      </c>
    </row>
    <row r="10334">
      <c r="A10334" s="178" t="str">
        <f>IFERROR(__xludf.DUMMYFUNCTION("""COMPUTED_VALUE"""),"ITBISA-RTC-DS3231SN")</f>
        <v>ITBISA-RTC-DS3231SN</v>
      </c>
      <c r="B10334" s="266">
        <f>IFERROR(__xludf.DUMMYFUNCTION("""COMPUTED_VALUE"""),45429.0)</f>
        <v>45429</v>
      </c>
      <c r="C10334" s="266" t="str">
        <f>IFERROR(__xludf.DUMMYFUNCTION("""COMPUTED_VALUE"""),"KYAI KONTONG")</f>
        <v>KYAI KONTONG</v>
      </c>
      <c r="D10334" s="186">
        <f>IFERROR(__xludf.DUMMYFUNCTION("""COMPUTED_VALUE"""),15.0)</f>
        <v>15</v>
      </c>
    </row>
    <row r="10335">
      <c r="A10335" s="178" t="str">
        <f>IFERROR(__xludf.DUMMYFUNCTION("""COMPUTED_VALUE"""),"ITBISA-RTC-DS3231SN")</f>
        <v>ITBISA-RTC-DS3231SN</v>
      </c>
      <c r="B10335" s="266">
        <f>IFERROR(__xludf.DUMMYFUNCTION("""COMPUTED_VALUE"""),45432.0)</f>
        <v>45432</v>
      </c>
      <c r="C10335" s="266" t="str">
        <f>IFERROR(__xludf.DUMMYFUNCTION("""COMPUTED_VALUE"""),"KYAI KONTONG")</f>
        <v>KYAI KONTONG</v>
      </c>
      <c r="D10335" s="186">
        <f>IFERROR(__xludf.DUMMYFUNCTION("""COMPUTED_VALUE"""),1.0)</f>
        <v>1</v>
      </c>
    </row>
    <row r="10336">
      <c r="A10336" s="178" t="str">
        <f>IFERROR(__xludf.DUMMYFUNCTION("""COMPUTED_VALUE"""),"ITBISA-RTC-DS3231SN")</f>
        <v>ITBISA-RTC-DS3231SN</v>
      </c>
      <c r="B10336" s="266">
        <f>IFERROR(__xludf.DUMMYFUNCTION("""COMPUTED_VALUE"""),45434.0)</f>
        <v>45434</v>
      </c>
      <c r="C10336" s="266" t="str">
        <f>IFERROR(__xludf.DUMMYFUNCTION("""COMPUTED_VALUE"""),"KERTASARI CIAMIS")</f>
        <v>KERTASARI CIAMIS</v>
      </c>
      <c r="D10336" s="186">
        <f>IFERROR(__xludf.DUMMYFUNCTION("""COMPUTED_VALUE"""),15.0)</f>
        <v>15</v>
      </c>
    </row>
    <row r="10337">
      <c r="A10337" s="178" t="str">
        <f>IFERROR(__xludf.DUMMYFUNCTION("""COMPUTED_VALUE"""),"ITBISA-RTC-DS3231SN")</f>
        <v>ITBISA-RTC-DS3231SN</v>
      </c>
      <c r="B10337" s="266">
        <f>IFERROR(__xludf.DUMMYFUNCTION("""COMPUTED_VALUE"""),45434.0)</f>
        <v>45434</v>
      </c>
      <c r="C10337" s="266" t="str">
        <f>IFERROR(__xludf.DUMMYFUNCTION("""COMPUTED_VALUE"""),"KYAI KONTONG")</f>
        <v>KYAI KONTONG</v>
      </c>
      <c r="D10337" s="186">
        <f>IFERROR(__xludf.DUMMYFUNCTION("""COMPUTED_VALUE"""),5.0)</f>
        <v>5</v>
      </c>
    </row>
    <row r="10338">
      <c r="A10338" s="178" t="str">
        <f>IFERROR(__xludf.DUMMYFUNCTION("""COMPUTED_VALUE"""),"ITBISA-RTC-DS3231SN")</f>
        <v>ITBISA-RTC-DS3231SN</v>
      </c>
      <c r="B10338" s="266">
        <f>IFERROR(__xludf.DUMMYFUNCTION("""COMPUTED_VALUE"""),45437.0)</f>
        <v>45437</v>
      </c>
      <c r="C10338" s="266" t="str">
        <f>IFERROR(__xludf.DUMMYFUNCTION("""COMPUTED_VALUE"""),"KERTASARI CIAMIS")</f>
        <v>KERTASARI CIAMIS</v>
      </c>
      <c r="D10338" s="186">
        <f>IFERROR(__xludf.DUMMYFUNCTION("""COMPUTED_VALUE"""),2.0)</f>
        <v>2</v>
      </c>
    </row>
    <row r="10339">
      <c r="A10339" s="178" t="str">
        <f>IFERROR(__xludf.DUMMYFUNCTION("""COMPUTED_VALUE"""),"ITBISA-RTC-DS3231SN")</f>
        <v>ITBISA-RTC-DS3231SN</v>
      </c>
      <c r="B10339" s="266">
        <f>IFERROR(__xludf.DUMMYFUNCTION("""COMPUTED_VALUE"""),45437.0)</f>
        <v>45437</v>
      </c>
      <c r="C10339" s="266" t="str">
        <f>IFERROR(__xludf.DUMMYFUNCTION("""COMPUTED_VALUE"""),"KERTASARI CIAMIS")</f>
        <v>KERTASARI CIAMIS</v>
      </c>
      <c r="D10339" s="186">
        <f>IFERROR(__xludf.DUMMYFUNCTION("""COMPUTED_VALUE"""),2.0)</f>
        <v>2</v>
      </c>
    </row>
    <row r="10340">
      <c r="A10340" s="178" t="str">
        <f>IFERROR(__xludf.DUMMYFUNCTION("""COMPUTED_VALUE"""),"ITBISA-RTC-DS3231SN")</f>
        <v>ITBISA-RTC-DS3231SN</v>
      </c>
      <c r="B10340" s="266">
        <f>IFERROR(__xludf.DUMMYFUNCTION("""COMPUTED_VALUE"""),45438.0)</f>
        <v>45438</v>
      </c>
      <c r="C10340" s="266" t="str">
        <f>IFERROR(__xludf.DUMMYFUNCTION("""COMPUTED_VALUE"""),"KYAI KONTONG")</f>
        <v>KYAI KONTONG</v>
      </c>
      <c r="D10340" s="186">
        <f>IFERROR(__xludf.DUMMYFUNCTION("""COMPUTED_VALUE"""),1.0)</f>
        <v>1</v>
      </c>
    </row>
    <row r="10341">
      <c r="A10341" s="178" t="str">
        <f>IFERROR(__xludf.DUMMYFUNCTION("""COMPUTED_VALUE"""),"ITBISA-RTC-DS3231SN")</f>
        <v>ITBISA-RTC-DS3231SN</v>
      </c>
      <c r="B10341" s="266">
        <f>IFERROR(__xludf.DUMMYFUNCTION("""COMPUTED_VALUE"""),45439.0)</f>
        <v>45439</v>
      </c>
      <c r="C10341" s="266" t="str">
        <f>IFERROR(__xludf.DUMMYFUNCTION("""COMPUTED_VALUE"""),"KERTASARI CIAMIS")</f>
        <v>KERTASARI CIAMIS</v>
      </c>
      <c r="D10341" s="186">
        <f>IFERROR(__xludf.DUMMYFUNCTION("""COMPUTED_VALUE"""),1.0)</f>
        <v>1</v>
      </c>
    </row>
    <row r="10342">
      <c r="A10342" s="178" t="str">
        <f>IFERROR(__xludf.DUMMYFUNCTION("""COMPUTED_VALUE"""),"ITBISA-RTC-DS3231SN")</f>
        <v>ITBISA-RTC-DS3231SN</v>
      </c>
      <c r="B10342" s="266">
        <f>IFERROR(__xludf.DUMMYFUNCTION("""COMPUTED_VALUE"""),45442.0)</f>
        <v>45442</v>
      </c>
      <c r="C10342" s="266" t="str">
        <f>IFERROR(__xludf.DUMMYFUNCTION("""COMPUTED_VALUE"""),"KYAI KONTONG")</f>
        <v>KYAI KONTONG</v>
      </c>
      <c r="D10342" s="186">
        <f>IFERROR(__xludf.DUMMYFUNCTION("""COMPUTED_VALUE"""),4.0)</f>
        <v>4</v>
      </c>
    </row>
    <row r="10343">
      <c r="A10343" s="178" t="str">
        <f>IFERROR(__xludf.DUMMYFUNCTION("""COMPUTED_VALUE"""),"ITBISA-RTC-DS3231SN")</f>
        <v>ITBISA-RTC-DS3231SN</v>
      </c>
      <c r="B10343" s="266">
        <f>IFERROR(__xludf.DUMMYFUNCTION("""COMPUTED_VALUE"""),45445.0)</f>
        <v>45445</v>
      </c>
      <c r="C10343" s="266" t="str">
        <f>IFERROR(__xludf.DUMMYFUNCTION("""COMPUTED_VALUE"""),"KYAI KONTONG")</f>
        <v>KYAI KONTONG</v>
      </c>
      <c r="D10343" s="186">
        <f>IFERROR(__xludf.DUMMYFUNCTION("""COMPUTED_VALUE"""),3.0)</f>
        <v>3</v>
      </c>
    </row>
    <row r="10344">
      <c r="A10344" s="178" t="str">
        <f>IFERROR(__xludf.DUMMYFUNCTION("""COMPUTED_VALUE"""),"ITBISA-RTC-DS3231SN")</f>
        <v>ITBISA-RTC-DS3231SN</v>
      </c>
      <c r="B10344" s="266">
        <f>IFERROR(__xludf.DUMMYFUNCTION("""COMPUTED_VALUE"""),45446.0)</f>
        <v>45446</v>
      </c>
      <c r="C10344" s="266" t="str">
        <f>IFERROR(__xludf.DUMMYFUNCTION("""COMPUTED_VALUE"""),"KERTASARI CIAMIS")</f>
        <v>KERTASARI CIAMIS</v>
      </c>
      <c r="D10344" s="186">
        <f>IFERROR(__xludf.DUMMYFUNCTION("""COMPUTED_VALUE"""),1.0)</f>
        <v>1</v>
      </c>
    </row>
    <row r="10345">
      <c r="A10345" s="178" t="str">
        <f>IFERROR(__xludf.DUMMYFUNCTION("""COMPUTED_VALUE"""),"ITBISA-RTC-DS3231SN")</f>
        <v>ITBISA-RTC-DS3231SN</v>
      </c>
      <c r="B10345" s="266">
        <f>IFERROR(__xludf.DUMMYFUNCTION("""COMPUTED_VALUE"""),45447.0)</f>
        <v>45447</v>
      </c>
      <c r="C10345" s="266" t="str">
        <f>IFERROR(__xludf.DUMMYFUNCTION("""COMPUTED_VALUE"""),"KYAI KONTONG")</f>
        <v>KYAI KONTONG</v>
      </c>
      <c r="D10345" s="186">
        <f>IFERROR(__xludf.DUMMYFUNCTION("""COMPUTED_VALUE"""),10.0)</f>
        <v>10</v>
      </c>
    </row>
    <row r="10346">
      <c r="A10346" s="178" t="str">
        <f>IFERROR(__xludf.DUMMYFUNCTION("""COMPUTED_VALUE"""),"ITBISA-RTC-DS3231SN")</f>
        <v>ITBISA-RTC-DS3231SN</v>
      </c>
      <c r="B10346" s="266">
        <f>IFERROR(__xludf.DUMMYFUNCTION("""COMPUTED_VALUE"""),45452.0)</f>
        <v>45452</v>
      </c>
      <c r="C10346" s="266" t="str">
        <f>IFERROR(__xludf.DUMMYFUNCTION("""COMPUTED_VALUE"""),"KERTASARI CIAMIS")</f>
        <v>KERTASARI CIAMIS</v>
      </c>
      <c r="D10346" s="186">
        <f>IFERROR(__xludf.DUMMYFUNCTION("""COMPUTED_VALUE"""),15.0)</f>
        <v>15</v>
      </c>
    </row>
    <row r="10347">
      <c r="A10347" s="178" t="str">
        <f>IFERROR(__xludf.DUMMYFUNCTION("""COMPUTED_VALUE"""),"ITBISA-RTC-DS3231SN")</f>
        <v>ITBISA-RTC-DS3231SN</v>
      </c>
      <c r="B10347" s="266">
        <f>IFERROR(__xludf.DUMMYFUNCTION("""COMPUTED_VALUE"""),45454.0)</f>
        <v>45454</v>
      </c>
      <c r="C10347" s="266" t="str">
        <f>IFERROR(__xludf.DUMMYFUNCTION("""COMPUTED_VALUE"""),"KYAI KONTONG")</f>
        <v>KYAI KONTONG</v>
      </c>
      <c r="D10347" s="186">
        <f>IFERROR(__xludf.DUMMYFUNCTION("""COMPUTED_VALUE"""),1.0)</f>
        <v>1</v>
      </c>
    </row>
    <row r="10348">
      <c r="A10348" s="178" t="str">
        <f>IFERROR(__xludf.DUMMYFUNCTION("""COMPUTED_VALUE"""),"ITBISA-RTC-DS3231SN")</f>
        <v>ITBISA-RTC-DS3231SN</v>
      </c>
      <c r="B10348" s="266">
        <f>IFERROR(__xludf.DUMMYFUNCTION("""COMPUTED_VALUE"""),45464.0)</f>
        <v>45464</v>
      </c>
      <c r="C10348" s="266" t="str">
        <f>IFERROR(__xludf.DUMMYFUNCTION("""COMPUTED_VALUE"""),"KYAI KONTONG")</f>
        <v>KYAI KONTONG</v>
      </c>
      <c r="D10348" s="186">
        <f>IFERROR(__xludf.DUMMYFUNCTION("""COMPUTED_VALUE"""),10.0)</f>
        <v>10</v>
      </c>
    </row>
    <row r="10349">
      <c r="A10349" s="178" t="str">
        <f>IFERROR(__xludf.DUMMYFUNCTION("""COMPUTED_VALUE"""),"ITBISA-RTC-DS3231SN")</f>
        <v>ITBISA-RTC-DS3231SN</v>
      </c>
      <c r="B10349" s="266">
        <f>IFERROR(__xludf.DUMMYFUNCTION("""COMPUTED_VALUE"""),45467.0)</f>
        <v>45467</v>
      </c>
      <c r="C10349" s="266" t="str">
        <f>IFERROR(__xludf.DUMMYFUNCTION("""COMPUTED_VALUE"""),"KYAI KONTONG")</f>
        <v>KYAI KONTONG</v>
      </c>
      <c r="D10349" s="186">
        <f>IFERROR(__xludf.DUMMYFUNCTION("""COMPUTED_VALUE"""),2.0)</f>
        <v>2</v>
      </c>
    </row>
    <row r="10350">
      <c r="A10350" s="178" t="str">
        <f>IFERROR(__xludf.DUMMYFUNCTION("""COMPUTED_VALUE"""),"ITBISA-RTC-DS3231SN")</f>
        <v>ITBISA-RTC-DS3231SN</v>
      </c>
      <c r="B10350" s="266">
        <f>IFERROR(__xludf.DUMMYFUNCTION("""COMPUTED_VALUE"""),45472.0)</f>
        <v>45472</v>
      </c>
      <c r="C10350" s="266" t="str">
        <f>IFERROR(__xludf.DUMMYFUNCTION("""COMPUTED_VALUE"""),"KERTASARI CIAMIS")</f>
        <v>KERTASARI CIAMIS</v>
      </c>
      <c r="D10350" s="186">
        <f>IFERROR(__xludf.DUMMYFUNCTION("""COMPUTED_VALUE"""),1.0)</f>
        <v>1</v>
      </c>
    </row>
    <row r="10351">
      <c r="A10351" s="178" t="str">
        <f>IFERROR(__xludf.DUMMYFUNCTION("""COMPUTED_VALUE"""),"ITBISA-RTC-DS3231SN")</f>
        <v>ITBISA-RTC-DS3231SN</v>
      </c>
      <c r="B10351" s="266">
        <f>IFERROR(__xludf.DUMMYFUNCTION("""COMPUTED_VALUE"""),45475.0)</f>
        <v>45475</v>
      </c>
      <c r="C10351" s="266" t="str">
        <f>IFERROR(__xludf.DUMMYFUNCTION("""COMPUTED_VALUE"""),"KYAI KONTONG")</f>
        <v>KYAI KONTONG</v>
      </c>
      <c r="D10351" s="186">
        <f>IFERROR(__xludf.DUMMYFUNCTION("""COMPUTED_VALUE"""),4.0)</f>
        <v>4</v>
      </c>
    </row>
    <row r="10352">
      <c r="A10352" s="178" t="str">
        <f>IFERROR(__xludf.DUMMYFUNCTION("""COMPUTED_VALUE"""),"ITBISA-RTC-DS3231SN")</f>
        <v>ITBISA-RTC-DS3231SN</v>
      </c>
      <c r="B10352" s="266">
        <f>IFERROR(__xludf.DUMMYFUNCTION("""COMPUTED_VALUE"""),45477.0)</f>
        <v>45477</v>
      </c>
      <c r="C10352" s="266" t="str">
        <f>IFERROR(__xludf.DUMMYFUNCTION("""COMPUTED_VALUE"""),"KYAI KONTONG")</f>
        <v>KYAI KONTONG</v>
      </c>
      <c r="D10352" s="186">
        <f>IFERROR(__xludf.DUMMYFUNCTION("""COMPUTED_VALUE"""),1.0)</f>
        <v>1</v>
      </c>
    </row>
    <row r="10353">
      <c r="A10353" s="178" t="str">
        <f>IFERROR(__xludf.DUMMYFUNCTION("""COMPUTED_VALUE"""),"ITBISA-RTC-DS3231SN")</f>
        <v>ITBISA-RTC-DS3231SN</v>
      </c>
      <c r="B10353" s="266">
        <f>IFERROR(__xludf.DUMMYFUNCTION("""COMPUTED_VALUE"""),45479.0)</f>
        <v>45479</v>
      </c>
      <c r="C10353" s="266" t="str">
        <f>IFERROR(__xludf.DUMMYFUNCTION("""COMPUTED_VALUE"""),"KERTASARI CIAMIS")</f>
        <v>KERTASARI CIAMIS</v>
      </c>
      <c r="D10353" s="186">
        <f>IFERROR(__xludf.DUMMYFUNCTION("""COMPUTED_VALUE"""),2.0)</f>
        <v>2</v>
      </c>
    </row>
    <row r="10354">
      <c r="A10354" s="178" t="str">
        <f>IFERROR(__xludf.DUMMYFUNCTION("""COMPUTED_VALUE"""),"ITBISA-RTC-DS3231SN")</f>
        <v>ITBISA-RTC-DS3231SN</v>
      </c>
      <c r="B10354" s="266">
        <f>IFERROR(__xludf.DUMMYFUNCTION("""COMPUTED_VALUE"""),45481.0)</f>
        <v>45481</v>
      </c>
      <c r="C10354" s="266" t="str">
        <f>IFERROR(__xludf.DUMMYFUNCTION("""COMPUTED_VALUE"""),"KYAI KONTONG")</f>
        <v>KYAI KONTONG</v>
      </c>
      <c r="D10354" s="186">
        <f>IFERROR(__xludf.DUMMYFUNCTION("""COMPUTED_VALUE"""),4.0)</f>
        <v>4</v>
      </c>
    </row>
    <row r="10355">
      <c r="A10355" s="178" t="str">
        <f>IFERROR(__xludf.DUMMYFUNCTION("""COMPUTED_VALUE"""),"ITBISA-RTC-DS3231SN")</f>
        <v>ITBISA-RTC-DS3231SN</v>
      </c>
      <c r="B10355" s="266">
        <f>IFERROR(__xludf.DUMMYFUNCTION("""COMPUTED_VALUE"""),45484.0)</f>
        <v>45484</v>
      </c>
      <c r="C10355" s="266" t="str">
        <f>IFERROR(__xludf.DUMMYFUNCTION("""COMPUTED_VALUE"""),"KERTASARI CIAMIS")</f>
        <v>KERTASARI CIAMIS</v>
      </c>
      <c r="D10355" s="186">
        <f>IFERROR(__xludf.DUMMYFUNCTION("""COMPUTED_VALUE"""),7.0)</f>
        <v>7</v>
      </c>
    </row>
    <row r="10356">
      <c r="A10356" s="178" t="str">
        <f>IFERROR(__xludf.DUMMYFUNCTION("""COMPUTED_VALUE"""),"ITBISA-RTC-DS3231SN")</f>
        <v>ITBISA-RTC-DS3231SN</v>
      </c>
      <c r="B10356" s="266">
        <f>IFERROR(__xludf.DUMMYFUNCTION("""COMPUTED_VALUE"""),45486.0)</f>
        <v>45486</v>
      </c>
      <c r="C10356" s="266" t="str">
        <f>IFERROR(__xludf.DUMMYFUNCTION("""COMPUTED_VALUE"""),"KERTASARI CIAMIS")</f>
        <v>KERTASARI CIAMIS</v>
      </c>
      <c r="D10356" s="186">
        <f>IFERROR(__xludf.DUMMYFUNCTION("""COMPUTED_VALUE"""),15.0)</f>
        <v>15</v>
      </c>
    </row>
    <row r="10357">
      <c r="A10357" s="178" t="str">
        <f>IFERROR(__xludf.DUMMYFUNCTION("""COMPUTED_VALUE"""),"ITBISA-RTC-DS3231SN")</f>
        <v>ITBISA-RTC-DS3231SN</v>
      </c>
      <c r="B10357" s="266">
        <f>IFERROR(__xludf.DUMMYFUNCTION("""COMPUTED_VALUE"""),45488.0)</f>
        <v>45488</v>
      </c>
      <c r="C10357" s="266" t="str">
        <f>IFERROR(__xludf.DUMMYFUNCTION("""COMPUTED_VALUE"""),"KERTASARI CIAMIS")</f>
        <v>KERTASARI CIAMIS</v>
      </c>
      <c r="D10357" s="186">
        <f>IFERROR(__xludf.DUMMYFUNCTION("""COMPUTED_VALUE"""),1.0)</f>
        <v>1</v>
      </c>
    </row>
    <row r="10358">
      <c r="A10358" s="178" t="str">
        <f>IFERROR(__xludf.DUMMYFUNCTION("""COMPUTED_VALUE"""),"ITBISA-RTC-DS3231SN")</f>
        <v>ITBISA-RTC-DS3231SN</v>
      </c>
      <c r="B10358" s="266">
        <f>IFERROR(__xludf.DUMMYFUNCTION("""COMPUTED_VALUE"""),45488.0)</f>
        <v>45488</v>
      </c>
      <c r="C10358" s="266" t="str">
        <f>IFERROR(__xludf.DUMMYFUNCTION("""COMPUTED_VALUE"""),"KYAI KONTONG")</f>
        <v>KYAI KONTONG</v>
      </c>
      <c r="D10358" s="186">
        <f>IFERROR(__xludf.DUMMYFUNCTION("""COMPUTED_VALUE"""),1.0)</f>
        <v>1</v>
      </c>
    </row>
    <row r="10359">
      <c r="A10359" s="178" t="str">
        <f>IFERROR(__xludf.DUMMYFUNCTION("""COMPUTED_VALUE"""),"ITBISA-RTC-DS3231SN")</f>
        <v>ITBISA-RTC-DS3231SN</v>
      </c>
      <c r="B10359" s="266">
        <f>IFERROR(__xludf.DUMMYFUNCTION("""COMPUTED_VALUE"""),45489.0)</f>
        <v>45489</v>
      </c>
      <c r="C10359" s="266" t="str">
        <f>IFERROR(__xludf.DUMMYFUNCTION("""COMPUTED_VALUE"""),"KYAI KONTONG")</f>
        <v>KYAI KONTONG</v>
      </c>
      <c r="D10359" s="186">
        <f>IFERROR(__xludf.DUMMYFUNCTION("""COMPUTED_VALUE"""),15.0)</f>
        <v>15</v>
      </c>
    </row>
    <row r="10360">
      <c r="A10360" s="178" t="str">
        <f>IFERROR(__xludf.DUMMYFUNCTION("""COMPUTED_VALUE"""),"ITBISA-RTC-DS3231SN")</f>
        <v>ITBISA-RTC-DS3231SN</v>
      </c>
      <c r="B10360" s="266">
        <f>IFERROR(__xludf.DUMMYFUNCTION("""COMPUTED_VALUE"""),45491.0)</f>
        <v>45491</v>
      </c>
      <c r="C10360" s="266" t="str">
        <f>IFERROR(__xludf.DUMMYFUNCTION("""COMPUTED_VALUE"""),"KYAI KONTONG")</f>
        <v>KYAI KONTONG</v>
      </c>
      <c r="D10360" s="186">
        <f>IFERROR(__xludf.DUMMYFUNCTION("""COMPUTED_VALUE"""),10.0)</f>
        <v>10</v>
      </c>
    </row>
    <row r="10361">
      <c r="A10361" s="178" t="str">
        <f>IFERROR(__xludf.DUMMYFUNCTION("""COMPUTED_VALUE"""),"ITBISA-RTC-DS3231SN")</f>
        <v>ITBISA-RTC-DS3231SN</v>
      </c>
      <c r="B10361" s="266">
        <f>IFERROR(__xludf.DUMMYFUNCTION("""COMPUTED_VALUE"""),45493.0)</f>
        <v>45493</v>
      </c>
      <c r="C10361" s="266" t="str">
        <f>IFERROR(__xludf.DUMMYFUNCTION("""COMPUTED_VALUE"""),"KYAI KONTONG")</f>
        <v>KYAI KONTONG</v>
      </c>
      <c r="D10361" s="186">
        <f>IFERROR(__xludf.DUMMYFUNCTION("""COMPUTED_VALUE"""),15.0)</f>
        <v>15</v>
      </c>
    </row>
    <row r="10362">
      <c r="A10362" s="178" t="str">
        <f>IFERROR(__xludf.DUMMYFUNCTION("""COMPUTED_VALUE"""),"ITBISA-RTC-DS3231SN")</f>
        <v>ITBISA-RTC-DS3231SN</v>
      </c>
      <c r="B10362" s="266">
        <f>IFERROR(__xludf.DUMMYFUNCTION("""COMPUTED_VALUE"""),45502.0)</f>
        <v>45502</v>
      </c>
      <c r="C10362" s="266" t="str">
        <f>IFERROR(__xludf.DUMMYFUNCTION("""COMPUTED_VALUE"""),"KYAI KONTONG")</f>
        <v>KYAI KONTONG</v>
      </c>
      <c r="D10362" s="186">
        <f>IFERROR(__xludf.DUMMYFUNCTION("""COMPUTED_VALUE"""),100.0)</f>
        <v>100</v>
      </c>
    </row>
    <row r="10363">
      <c r="A10363" s="178" t="str">
        <f>IFERROR(__xludf.DUMMYFUNCTION("""COMPUTED_VALUE"""),"ITBISA-RTC-DS3231SN")</f>
        <v>ITBISA-RTC-DS3231SN</v>
      </c>
      <c r="B10363" s="266">
        <f>IFERROR(__xludf.DUMMYFUNCTION("""COMPUTED_VALUE"""),45505.0)</f>
        <v>45505</v>
      </c>
      <c r="C10363" s="266" t="str">
        <f>IFERROR(__xludf.DUMMYFUNCTION("""COMPUTED_VALUE"""),"KYAI KONTONG")</f>
        <v>KYAI KONTONG</v>
      </c>
      <c r="D10363" s="186">
        <f>IFERROR(__xludf.DUMMYFUNCTION("""COMPUTED_VALUE"""),1.0)</f>
        <v>1</v>
      </c>
    </row>
    <row r="10364">
      <c r="A10364" s="178" t="str">
        <f>IFERROR(__xludf.DUMMYFUNCTION("""COMPUTED_VALUE"""),"ITBISA-RTC-DS3231SN")</f>
        <v>ITBISA-RTC-DS3231SN</v>
      </c>
      <c r="B10364" s="266">
        <f>IFERROR(__xludf.DUMMYFUNCTION("""COMPUTED_VALUE"""),45509.0)</f>
        <v>45509</v>
      </c>
      <c r="C10364" s="266" t="str">
        <f>IFERROR(__xludf.DUMMYFUNCTION("""COMPUTED_VALUE"""),"KERTASARI CIAMIS")</f>
        <v>KERTASARI CIAMIS</v>
      </c>
      <c r="D10364" s="186">
        <f>IFERROR(__xludf.DUMMYFUNCTION("""COMPUTED_VALUE"""),2.0)</f>
        <v>2</v>
      </c>
    </row>
    <row r="10365">
      <c r="A10365" s="178" t="str">
        <f>IFERROR(__xludf.DUMMYFUNCTION("""COMPUTED_VALUE"""),"ITBISA-RTC-DS3231SN")</f>
        <v>ITBISA-RTC-DS3231SN</v>
      </c>
      <c r="B10365" s="266">
        <f>IFERROR(__xludf.DUMMYFUNCTION("""COMPUTED_VALUE"""),45512.0)</f>
        <v>45512</v>
      </c>
      <c r="C10365" s="266" t="str">
        <f>IFERROR(__xludf.DUMMYFUNCTION("""COMPUTED_VALUE"""),"KYAI KONTONG")</f>
        <v>KYAI KONTONG</v>
      </c>
      <c r="D10365" s="186">
        <f>IFERROR(__xludf.DUMMYFUNCTION("""COMPUTED_VALUE"""),10.0)</f>
        <v>10</v>
      </c>
    </row>
    <row r="10366">
      <c r="A10366" s="178" t="str">
        <f>IFERROR(__xludf.DUMMYFUNCTION("""COMPUTED_VALUE"""),"ITBISA-RTC-DS3231SN")</f>
        <v>ITBISA-RTC-DS3231SN</v>
      </c>
      <c r="B10366" s="266">
        <f>IFERROR(__xludf.DUMMYFUNCTION("""COMPUTED_VALUE"""),45516.0)</f>
        <v>45516</v>
      </c>
      <c r="C10366" s="266" t="str">
        <f>IFERROR(__xludf.DUMMYFUNCTION("""COMPUTED_VALUE"""),"KYAI KONTONG")</f>
        <v>KYAI KONTONG</v>
      </c>
      <c r="D10366" s="186">
        <f>IFERROR(__xludf.DUMMYFUNCTION("""COMPUTED_VALUE"""),1.0)</f>
        <v>1</v>
      </c>
    </row>
    <row r="10367">
      <c r="A10367" s="178" t="str">
        <f>IFERROR(__xludf.DUMMYFUNCTION("""COMPUTED_VALUE"""),"ITBISA-RTC-DS3231SN")</f>
        <v>ITBISA-RTC-DS3231SN</v>
      </c>
      <c r="B10367" s="266">
        <f>IFERROR(__xludf.DUMMYFUNCTION("""COMPUTED_VALUE"""),45518.0)</f>
        <v>45518</v>
      </c>
      <c r="C10367" s="266" t="str">
        <f>IFERROR(__xludf.DUMMYFUNCTION("""COMPUTED_VALUE"""),"KYAI KONTONG")</f>
        <v>KYAI KONTONG</v>
      </c>
      <c r="D10367" s="186">
        <f>IFERROR(__xludf.DUMMYFUNCTION("""COMPUTED_VALUE"""),15.0)</f>
        <v>15</v>
      </c>
    </row>
    <row r="10368">
      <c r="A10368" s="178" t="str">
        <f>IFERROR(__xludf.DUMMYFUNCTION("""COMPUTED_VALUE"""),"ITBISA-RTC-DS3231SN")</f>
        <v>ITBISA-RTC-DS3231SN</v>
      </c>
      <c r="B10368" s="266">
        <f>IFERROR(__xludf.DUMMYFUNCTION("""COMPUTED_VALUE"""),45523.0)</f>
        <v>45523</v>
      </c>
      <c r="C10368" s="266" t="str">
        <f>IFERROR(__xludf.DUMMYFUNCTION("""COMPUTED_VALUE"""),"KYAI KONTONG")</f>
        <v>KYAI KONTONG</v>
      </c>
      <c r="D10368" s="186">
        <f>IFERROR(__xludf.DUMMYFUNCTION("""COMPUTED_VALUE"""),60.0)</f>
        <v>60</v>
      </c>
    </row>
    <row r="10369">
      <c r="A10369" s="178" t="str">
        <f>IFERROR(__xludf.DUMMYFUNCTION("""COMPUTED_VALUE"""),"ITBISA-RTC-DS3231SN")</f>
        <v>ITBISA-RTC-DS3231SN</v>
      </c>
      <c r="B10369" s="266">
        <f>IFERROR(__xludf.DUMMYFUNCTION("""COMPUTED_VALUE"""),45525.0)</f>
        <v>45525</v>
      </c>
      <c r="C10369" s="266" t="str">
        <f>IFERROR(__xludf.DUMMYFUNCTION("""COMPUTED_VALUE"""),"KYAI KONTONG")</f>
        <v>KYAI KONTONG</v>
      </c>
      <c r="D10369" s="186">
        <f>IFERROR(__xludf.DUMMYFUNCTION("""COMPUTED_VALUE"""),5.0)</f>
        <v>5</v>
      </c>
    </row>
    <row r="10370">
      <c r="A10370" s="178" t="str">
        <f>IFERROR(__xludf.DUMMYFUNCTION("""COMPUTED_VALUE"""),"ITBISA-RTC-DS3231SN")</f>
        <v>ITBISA-RTC-DS3231SN</v>
      </c>
      <c r="B10370" s="266">
        <f>IFERROR(__xludf.DUMMYFUNCTION("""COMPUTED_VALUE"""),45526.0)</f>
        <v>45526</v>
      </c>
      <c r="C10370" s="266" t="str">
        <f>IFERROR(__xludf.DUMMYFUNCTION("""COMPUTED_VALUE"""),"KYAI KONTONG")</f>
        <v>KYAI KONTONG</v>
      </c>
      <c r="D10370" s="186">
        <f>IFERROR(__xludf.DUMMYFUNCTION("""COMPUTED_VALUE"""),4.0)</f>
        <v>4</v>
      </c>
    </row>
    <row r="10371">
      <c r="A10371" s="178" t="str">
        <f>IFERROR(__xludf.DUMMYFUNCTION("""COMPUTED_VALUE"""),"ITBISA-RTC-DS3231SN")</f>
        <v>ITBISA-RTC-DS3231SN</v>
      </c>
      <c r="B10371" s="266">
        <f>IFERROR(__xludf.DUMMYFUNCTION("""COMPUTED_VALUE"""),45527.0)</f>
        <v>45527</v>
      </c>
      <c r="C10371" s="266" t="str">
        <f>IFERROR(__xludf.DUMMYFUNCTION("""COMPUTED_VALUE"""),"KYAI KONTONG")</f>
        <v>KYAI KONTONG</v>
      </c>
      <c r="D10371" s="186">
        <f>IFERROR(__xludf.DUMMYFUNCTION("""COMPUTED_VALUE"""),25.0)</f>
        <v>25</v>
      </c>
    </row>
    <row r="10372">
      <c r="A10372" s="178" t="str">
        <f>IFERROR(__xludf.DUMMYFUNCTION("""COMPUTED_VALUE"""),"ITBISA-RTC-DS3231SN")</f>
        <v>ITBISA-RTC-DS3231SN</v>
      </c>
      <c r="B10372" s="266">
        <f>IFERROR(__xludf.DUMMYFUNCTION("""COMPUTED_VALUE"""),45531.0)</f>
        <v>45531</v>
      </c>
      <c r="C10372" s="266" t="str">
        <f>IFERROR(__xludf.DUMMYFUNCTION("""COMPUTED_VALUE"""),"KYAI KONTONG")</f>
        <v>KYAI KONTONG</v>
      </c>
      <c r="D10372" s="186">
        <f>IFERROR(__xludf.DUMMYFUNCTION("""COMPUTED_VALUE"""),2.0)</f>
        <v>2</v>
      </c>
    </row>
    <row r="10373">
      <c r="A10373" s="178" t="str">
        <f>IFERROR(__xludf.DUMMYFUNCTION("""COMPUTED_VALUE"""),"ITBISA-RTC-DS3231SN")</f>
        <v>ITBISA-RTC-DS3231SN</v>
      </c>
      <c r="B10373" s="266">
        <f>IFERROR(__xludf.DUMMYFUNCTION("""COMPUTED_VALUE"""),45548.0)</f>
        <v>45548</v>
      </c>
      <c r="C10373" s="266" t="str">
        <f>IFERROR(__xludf.DUMMYFUNCTION("""COMPUTED_VALUE"""),"KYAI KONTONG")</f>
        <v>KYAI KONTONG</v>
      </c>
      <c r="D10373" s="186">
        <f>IFERROR(__xludf.DUMMYFUNCTION("""COMPUTED_VALUE"""),2.0)</f>
        <v>2</v>
      </c>
    </row>
    <row r="10374">
      <c r="A10374" s="178" t="str">
        <f>IFERROR(__xludf.DUMMYFUNCTION("""COMPUTED_VALUE"""),"ITBISA-RTC-DS3231SN")</f>
        <v>ITBISA-RTC-DS3231SN</v>
      </c>
      <c r="B10374" s="266">
        <f>IFERROR(__xludf.DUMMYFUNCTION("""COMPUTED_VALUE"""),45566.0)</f>
        <v>45566</v>
      </c>
      <c r="C10374" s="266" t="str">
        <f>IFERROR(__xludf.DUMMYFUNCTION("""COMPUTED_VALUE"""),"KERTASARI CIAMIS")</f>
        <v>KERTASARI CIAMIS</v>
      </c>
      <c r="D10374" s="186">
        <f>IFERROR(__xludf.DUMMYFUNCTION("""COMPUTED_VALUE"""),3.0)</f>
        <v>3</v>
      </c>
    </row>
    <row r="10375">
      <c r="A10375" s="178" t="str">
        <f>IFERROR(__xludf.DUMMYFUNCTION("""COMPUTED_VALUE"""),"ITBISA-RTC-DS3231SN")</f>
        <v>ITBISA-RTC-DS3231SN</v>
      </c>
      <c r="B10375" s="266">
        <f>IFERROR(__xludf.DUMMYFUNCTION("""COMPUTED_VALUE"""),45577.0)</f>
        <v>45577</v>
      </c>
      <c r="C10375" s="266" t="str">
        <f>IFERROR(__xludf.DUMMYFUNCTION("""COMPUTED_VALUE"""),"KYAI KONTONG")</f>
        <v>KYAI KONTONG</v>
      </c>
      <c r="D10375" s="186">
        <f>IFERROR(__xludf.DUMMYFUNCTION("""COMPUTED_VALUE"""),2.0)</f>
        <v>2</v>
      </c>
    </row>
    <row r="10376">
      <c r="A10376" s="178" t="str">
        <f>IFERROR(__xludf.DUMMYFUNCTION("""COMPUTED_VALUE"""),"ITBISA-RTC-DS3231SN")</f>
        <v>ITBISA-RTC-DS3231SN</v>
      </c>
      <c r="B10376" s="266">
        <f>IFERROR(__xludf.DUMMYFUNCTION("""COMPUTED_VALUE"""),45593.0)</f>
        <v>45593</v>
      </c>
      <c r="C10376" s="266" t="str">
        <f>IFERROR(__xludf.DUMMYFUNCTION("""COMPUTED_VALUE"""),"KERTASARI CIAMIS")</f>
        <v>KERTASARI CIAMIS</v>
      </c>
      <c r="D10376" s="186">
        <f>IFERROR(__xludf.DUMMYFUNCTION("""COMPUTED_VALUE"""),1.0)</f>
        <v>1</v>
      </c>
    </row>
    <row r="10377">
      <c r="A10377" s="178" t="str">
        <f>IFERROR(__xludf.DUMMYFUNCTION("""COMPUTED_VALUE"""),"ITBISA-RTC-DS3231SN")</f>
        <v>ITBISA-RTC-DS3231SN</v>
      </c>
      <c r="B10377" s="266">
        <f>IFERROR(__xludf.DUMMYFUNCTION("""COMPUTED_VALUE"""),45598.0)</f>
        <v>45598</v>
      </c>
      <c r="C10377" s="266" t="str">
        <f>IFERROR(__xludf.DUMMYFUNCTION("""COMPUTED_VALUE"""),"KERTASARI CIAMIS")</f>
        <v>KERTASARI CIAMIS</v>
      </c>
      <c r="D10377" s="186">
        <f>IFERROR(__xludf.DUMMYFUNCTION("""COMPUTED_VALUE"""),14.0)</f>
        <v>14</v>
      </c>
    </row>
    <row r="10378">
      <c r="A10378" s="178" t="str">
        <f>IFERROR(__xludf.DUMMYFUNCTION("""COMPUTED_VALUE"""),"ITBISA-RTC-DS3231SN")</f>
        <v>ITBISA-RTC-DS3231SN</v>
      </c>
      <c r="B10378" s="266">
        <f>IFERROR(__xludf.DUMMYFUNCTION("""COMPUTED_VALUE"""),45603.0)</f>
        <v>45603</v>
      </c>
      <c r="C10378" s="266" t="str">
        <f>IFERROR(__xludf.DUMMYFUNCTION("""COMPUTED_VALUE"""),"KERTASARI CIAMIS")</f>
        <v>KERTASARI CIAMIS</v>
      </c>
      <c r="D10378" s="186">
        <f>IFERROR(__xludf.DUMMYFUNCTION("""COMPUTED_VALUE"""),2.0)</f>
        <v>2</v>
      </c>
    </row>
    <row r="10379">
      <c r="A10379" s="178" t="str">
        <f>IFERROR(__xludf.DUMMYFUNCTION("""COMPUTED_VALUE"""),"ITBISA-RTC-DS3231SN")</f>
        <v>ITBISA-RTC-DS3231SN</v>
      </c>
      <c r="B10379" s="266">
        <f>IFERROR(__xludf.DUMMYFUNCTION("""COMPUTED_VALUE"""),45609.0)</f>
        <v>45609</v>
      </c>
      <c r="C10379" s="266" t="str">
        <f>IFERROR(__xludf.DUMMYFUNCTION("""COMPUTED_VALUE"""),"KERTASARI CIAMIS")</f>
        <v>KERTASARI CIAMIS</v>
      </c>
      <c r="D10379" s="186">
        <f>IFERROR(__xludf.DUMMYFUNCTION("""COMPUTED_VALUE"""),2.0)</f>
        <v>2</v>
      </c>
    </row>
    <row r="10380">
      <c r="A10380" s="178" t="str">
        <f>IFERROR(__xludf.DUMMYFUNCTION("""COMPUTED_VALUE"""),"ITBISA-RTC-DS3231SN")</f>
        <v>ITBISA-RTC-DS3231SN</v>
      </c>
      <c r="B10380" s="266">
        <f>IFERROR(__xludf.DUMMYFUNCTION("""COMPUTED_VALUE"""),45615.0)</f>
        <v>45615</v>
      </c>
      <c r="C10380" s="266" t="str">
        <f>IFERROR(__xludf.DUMMYFUNCTION("""COMPUTED_VALUE"""),"KERTASARI CIAMIS")</f>
        <v>KERTASARI CIAMIS</v>
      </c>
      <c r="D10380" s="186">
        <f>IFERROR(__xludf.DUMMYFUNCTION("""COMPUTED_VALUE"""),7.0)</f>
        <v>7</v>
      </c>
    </row>
    <row r="10381">
      <c r="A10381" s="178" t="str">
        <f>IFERROR(__xludf.DUMMYFUNCTION("""COMPUTED_VALUE"""),"ITBISA-RTC-DS3231SN")</f>
        <v>ITBISA-RTC-DS3231SN</v>
      </c>
      <c r="B10381" s="266">
        <f>IFERROR(__xludf.DUMMYFUNCTION("""COMPUTED_VALUE"""),45624.0)</f>
        <v>45624</v>
      </c>
      <c r="C10381" s="266" t="str">
        <f>IFERROR(__xludf.DUMMYFUNCTION("""COMPUTED_VALUE"""),"KERTASARI CIAMIS")</f>
        <v>KERTASARI CIAMIS</v>
      </c>
      <c r="D10381" s="186">
        <f>IFERROR(__xludf.DUMMYFUNCTION("""COMPUTED_VALUE"""),1.0)</f>
        <v>1</v>
      </c>
    </row>
    <row r="10382">
      <c r="A10382" s="178" t="str">
        <f>IFERROR(__xludf.DUMMYFUNCTION("""COMPUTED_VALUE"""),"ITBISA-RTC-DS3231SN")</f>
        <v>ITBISA-RTC-DS3231SN</v>
      </c>
      <c r="B10382" s="266">
        <f>IFERROR(__xludf.DUMMYFUNCTION("""COMPUTED_VALUE"""),45628.0)</f>
        <v>45628</v>
      </c>
      <c r="C10382" s="266" t="str">
        <f>IFERROR(__xludf.DUMMYFUNCTION("""COMPUTED_VALUE"""),"KYAI KONTONG")</f>
        <v>KYAI KONTONG</v>
      </c>
      <c r="D10382" s="186">
        <f>IFERROR(__xludf.DUMMYFUNCTION("""COMPUTED_VALUE"""),1.0)</f>
        <v>1</v>
      </c>
    </row>
    <row r="10383">
      <c r="A10383" s="178" t="str">
        <f>IFERROR(__xludf.DUMMYFUNCTION("""COMPUTED_VALUE"""),"ITBISA-RTC-DS3231SN")</f>
        <v>ITBISA-RTC-DS3231SN</v>
      </c>
      <c r="B10383" s="266">
        <f>IFERROR(__xludf.DUMMYFUNCTION("""COMPUTED_VALUE"""),45640.0)</f>
        <v>45640</v>
      </c>
      <c r="C10383" s="266" t="str">
        <f>IFERROR(__xludf.DUMMYFUNCTION("""COMPUTED_VALUE"""),"KERTASARI CIAMIS")</f>
        <v>KERTASARI CIAMIS</v>
      </c>
      <c r="D10383" s="186">
        <f>IFERROR(__xludf.DUMMYFUNCTION("""COMPUTED_VALUE"""),3.0)</f>
        <v>3</v>
      </c>
    </row>
    <row r="10384">
      <c r="A10384" s="178" t="str">
        <f>IFERROR(__xludf.DUMMYFUNCTION("""COMPUTED_VALUE"""),"ITBISA-RTC-DS3231SN")</f>
        <v>ITBISA-RTC-DS3231SN</v>
      </c>
      <c r="B10384" s="266">
        <f>IFERROR(__xludf.DUMMYFUNCTION("""COMPUTED_VALUE"""),45650.0)</f>
        <v>45650</v>
      </c>
      <c r="C10384" s="266" t="str">
        <f>IFERROR(__xludf.DUMMYFUNCTION("""COMPUTED_VALUE"""),"KERTASARI CIAMIS")</f>
        <v>KERTASARI CIAMIS</v>
      </c>
      <c r="D10384" s="186">
        <f>IFERROR(__xludf.DUMMYFUNCTION("""COMPUTED_VALUE"""),15.0)</f>
        <v>15</v>
      </c>
    </row>
    <row r="10385">
      <c r="A10385" s="178" t="str">
        <f>IFERROR(__xludf.DUMMYFUNCTION("""COMPUTED_VALUE"""),"ITBISA-RTC-DS3231SN")</f>
        <v>ITBISA-RTC-DS3231SN</v>
      </c>
      <c r="B10385" s="266">
        <f>IFERROR(__xludf.DUMMYFUNCTION("""COMPUTED_VALUE"""),45650.0)</f>
        <v>45650</v>
      </c>
      <c r="C10385" s="266" t="str">
        <f>IFERROR(__xludf.DUMMYFUNCTION("""COMPUTED_VALUE"""),"KYAI KONTONG")</f>
        <v>KYAI KONTONG</v>
      </c>
      <c r="D10385" s="186">
        <f>IFERROR(__xludf.DUMMYFUNCTION("""COMPUTED_VALUE"""),1.0)</f>
        <v>1</v>
      </c>
    </row>
    <row r="10386">
      <c r="A10386" s="178" t="str">
        <f>IFERROR(__xludf.DUMMYFUNCTION("""COMPUTED_VALUE"""),"ITBISA-RTC-DS3231SN")</f>
        <v>ITBISA-RTC-DS3231SN</v>
      </c>
      <c r="B10386" s="266">
        <f>IFERROR(__xludf.DUMMYFUNCTION("""COMPUTED_VALUE"""),45651.0)</f>
        <v>45651</v>
      </c>
      <c r="C10386" s="266" t="str">
        <f>IFERROR(__xludf.DUMMYFUNCTION("""COMPUTED_VALUE"""),"KERTASARI CIAMIS")</f>
        <v>KERTASARI CIAMIS</v>
      </c>
      <c r="D10386" s="186">
        <f>IFERROR(__xludf.DUMMYFUNCTION("""COMPUTED_VALUE"""),2.0)</f>
        <v>2</v>
      </c>
    </row>
    <row r="10387">
      <c r="A10387" s="178" t="str">
        <f>IFERROR(__xludf.DUMMYFUNCTION("""COMPUTED_VALUE"""),"ITBISA-RTC-DS3231SN")</f>
        <v>ITBISA-RTC-DS3231SN</v>
      </c>
      <c r="B10387" s="266">
        <f>IFERROR(__xludf.DUMMYFUNCTION("""COMPUTED_VALUE"""),45652.0)</f>
        <v>45652</v>
      </c>
      <c r="C10387" s="266" t="str">
        <f>IFERROR(__xludf.DUMMYFUNCTION("""COMPUTED_VALUE"""),"KERTASARI CIAMIS")</f>
        <v>KERTASARI CIAMIS</v>
      </c>
      <c r="D10387" s="186">
        <f>IFERROR(__xludf.DUMMYFUNCTION("""COMPUTED_VALUE"""),1.0)</f>
        <v>1</v>
      </c>
    </row>
    <row r="10388">
      <c r="A10388" s="178" t="str">
        <f>IFERROR(__xludf.DUMMYFUNCTION("""COMPUTED_VALUE"""),"ITBISA-RTC-DS3231SN")</f>
        <v>ITBISA-RTC-DS3231SN</v>
      </c>
      <c r="B10388" s="266">
        <f>IFERROR(__xludf.DUMMYFUNCTION("""COMPUTED_VALUE"""),45663.0)</f>
        <v>45663</v>
      </c>
      <c r="C10388" s="266" t="str">
        <f>IFERROR(__xludf.DUMMYFUNCTION("""COMPUTED_VALUE"""),"KERTASARI CIAMIS")</f>
        <v>KERTASARI CIAMIS</v>
      </c>
      <c r="D10388" s="186">
        <f>IFERROR(__xludf.DUMMYFUNCTION("""COMPUTED_VALUE"""),2.0)</f>
        <v>2</v>
      </c>
    </row>
    <row r="10389">
      <c r="A10389" s="178" t="str">
        <f>IFERROR(__xludf.DUMMYFUNCTION("""COMPUTED_VALUE"""),"ITBISA-RTC-DS3231SN")</f>
        <v>ITBISA-RTC-DS3231SN</v>
      </c>
      <c r="B10389" s="266">
        <f>IFERROR(__xludf.DUMMYFUNCTION("""COMPUTED_VALUE"""),45664.0)</f>
        <v>45664</v>
      </c>
      <c r="C10389" s="266" t="str">
        <f>IFERROR(__xludf.DUMMYFUNCTION("""COMPUTED_VALUE"""),"KERTASARI CIAMIS")</f>
        <v>KERTASARI CIAMIS</v>
      </c>
      <c r="D10389" s="186">
        <f>IFERROR(__xludf.DUMMYFUNCTION("""COMPUTED_VALUE"""),2.0)</f>
        <v>2</v>
      </c>
    </row>
    <row r="10390">
      <c r="A10390" s="178" t="str">
        <f>IFERROR(__xludf.DUMMYFUNCTION("""COMPUTED_VALUE"""),"ITBISA-RTC-DS3231SN")</f>
        <v>ITBISA-RTC-DS3231SN</v>
      </c>
      <c r="B10390" s="266">
        <f>IFERROR(__xludf.DUMMYFUNCTION("""COMPUTED_VALUE"""),45664.0)</f>
        <v>45664</v>
      </c>
      <c r="C10390" s="266" t="str">
        <f>IFERROR(__xludf.DUMMYFUNCTION("""COMPUTED_VALUE"""),"KERTASARI CIAMIS")</f>
        <v>KERTASARI CIAMIS</v>
      </c>
      <c r="D10390" s="186">
        <f>IFERROR(__xludf.DUMMYFUNCTION("""COMPUTED_VALUE"""),2.0)</f>
        <v>2</v>
      </c>
    </row>
    <row r="10391">
      <c r="A10391" s="178" t="str">
        <f>IFERROR(__xludf.DUMMYFUNCTION("""COMPUTED_VALUE"""),"ITBISA-RTC-DS3231SN")</f>
        <v>ITBISA-RTC-DS3231SN</v>
      </c>
      <c r="B10391" s="266">
        <f>IFERROR(__xludf.DUMMYFUNCTION("""COMPUTED_VALUE"""),45667.0)</f>
        <v>45667</v>
      </c>
      <c r="C10391" s="266" t="str">
        <f>IFERROR(__xludf.DUMMYFUNCTION("""COMPUTED_VALUE"""),"KERTASARI CIAMIS")</f>
        <v>KERTASARI CIAMIS</v>
      </c>
      <c r="D10391" s="186">
        <f>IFERROR(__xludf.DUMMYFUNCTION("""COMPUTED_VALUE"""),2.0)</f>
        <v>2</v>
      </c>
    </row>
    <row r="10392">
      <c r="A10392" s="178" t="str">
        <f>IFERROR(__xludf.DUMMYFUNCTION("""COMPUTED_VALUE"""),"ITBISA-RTC-DS3231SN")</f>
        <v>ITBISA-RTC-DS3231SN</v>
      </c>
      <c r="B10392" s="266">
        <f>IFERROR(__xludf.DUMMYFUNCTION("""COMPUTED_VALUE"""),45672.0)</f>
        <v>45672</v>
      </c>
      <c r="C10392" s="266" t="str">
        <f>IFERROR(__xludf.DUMMYFUNCTION("""COMPUTED_VALUE"""),"KERTASARI CIAMIS")</f>
        <v>KERTASARI CIAMIS</v>
      </c>
      <c r="D10392" s="186">
        <f>IFERROR(__xludf.DUMMYFUNCTION("""COMPUTED_VALUE"""),3.0)</f>
        <v>3</v>
      </c>
    </row>
    <row r="10393">
      <c r="A10393" s="178" t="str">
        <f>IFERROR(__xludf.DUMMYFUNCTION("""COMPUTED_VALUE"""),"ITBISA-RTC-DS3231SN")</f>
        <v>ITBISA-RTC-DS3231SN</v>
      </c>
      <c r="B10393" s="266">
        <f>IFERROR(__xludf.DUMMYFUNCTION("""COMPUTED_VALUE"""),45676.0)</f>
        <v>45676</v>
      </c>
      <c r="C10393" s="266" t="str">
        <f>IFERROR(__xludf.DUMMYFUNCTION("""COMPUTED_VALUE"""),"KERTASARI CIAMIS")</f>
        <v>KERTASARI CIAMIS</v>
      </c>
      <c r="D10393" s="186">
        <f>IFERROR(__xludf.DUMMYFUNCTION("""COMPUTED_VALUE"""),3.0)</f>
        <v>3</v>
      </c>
    </row>
    <row r="10394">
      <c r="A10394" s="178" t="str">
        <f>IFERROR(__xludf.DUMMYFUNCTION("""COMPUTED_VALUE"""),"ITBISA-RTC-DS3231SN")</f>
        <v>ITBISA-RTC-DS3231SN</v>
      </c>
      <c r="B10394" s="266">
        <f>IFERROR(__xludf.DUMMYFUNCTION("""COMPUTED_VALUE"""),45680.0)</f>
        <v>45680</v>
      </c>
      <c r="C10394" s="266" t="str">
        <f>IFERROR(__xludf.DUMMYFUNCTION("""COMPUTED_VALUE"""),"KERTASARI CIAMIS")</f>
        <v>KERTASARI CIAMIS</v>
      </c>
      <c r="D10394" s="186">
        <f>IFERROR(__xludf.DUMMYFUNCTION("""COMPUTED_VALUE"""),2.0)</f>
        <v>2</v>
      </c>
    </row>
    <row r="10395">
      <c r="A10395" s="178" t="str">
        <f>IFERROR(__xludf.DUMMYFUNCTION("""COMPUTED_VALUE"""),"ITBISA-RTC-DS3231SN")</f>
        <v>ITBISA-RTC-DS3231SN</v>
      </c>
      <c r="B10395" s="266">
        <f>IFERROR(__xludf.DUMMYFUNCTION("""COMPUTED_VALUE"""),45689.0)</f>
        <v>45689</v>
      </c>
      <c r="C10395" s="266" t="str">
        <f>IFERROR(__xludf.DUMMYFUNCTION("""COMPUTED_VALUE"""),"KERTASARI CIAMIS")</f>
        <v>KERTASARI CIAMIS</v>
      </c>
      <c r="D10395" s="186">
        <f>IFERROR(__xludf.DUMMYFUNCTION("""COMPUTED_VALUE"""),2.0)</f>
        <v>2</v>
      </c>
    </row>
    <row r="10396">
      <c r="A10396" s="178" t="str">
        <f>IFERROR(__xludf.DUMMYFUNCTION("""COMPUTED_VALUE"""),"ITBISA-RTC-DS3231SN")</f>
        <v>ITBISA-RTC-DS3231SN</v>
      </c>
      <c r="B10396" s="266">
        <f>IFERROR(__xludf.DUMMYFUNCTION("""COMPUTED_VALUE"""),45699.0)</f>
        <v>45699</v>
      </c>
      <c r="C10396" s="266" t="str">
        <f>IFERROR(__xludf.DUMMYFUNCTION("""COMPUTED_VALUE"""),"KYAI KONTONG")</f>
        <v>KYAI KONTONG</v>
      </c>
      <c r="D10396" s="186">
        <f>IFERROR(__xludf.DUMMYFUNCTION("""COMPUTED_VALUE"""),1.0)</f>
        <v>1</v>
      </c>
    </row>
    <row r="10397">
      <c r="A10397" s="178" t="str">
        <f>IFERROR(__xludf.DUMMYFUNCTION("""COMPUTED_VALUE"""),"ITBISA-RTC-DS3231SN")</f>
        <v>ITBISA-RTC-DS3231SN</v>
      </c>
      <c r="B10397" s="266">
        <f>IFERROR(__xludf.DUMMYFUNCTION("""COMPUTED_VALUE"""),45699.0)</f>
        <v>45699</v>
      </c>
      <c r="C10397" s="266" t="str">
        <f>IFERROR(__xludf.DUMMYFUNCTION("""COMPUTED_VALUE"""),"KYAI KONTONG")</f>
        <v>KYAI KONTONG</v>
      </c>
      <c r="D10397" s="186">
        <f>IFERROR(__xludf.DUMMYFUNCTION("""COMPUTED_VALUE"""),2.0)</f>
        <v>2</v>
      </c>
    </row>
    <row r="10398">
      <c r="A10398" s="178" t="str">
        <f>IFERROR(__xludf.DUMMYFUNCTION("""COMPUTED_VALUE"""),"ITBISA-RTC-DS3231SN")</f>
        <v>ITBISA-RTC-DS3231SN</v>
      </c>
      <c r="B10398" s="266">
        <f>IFERROR(__xludf.DUMMYFUNCTION("""COMPUTED_VALUE"""),45706.0)</f>
        <v>45706</v>
      </c>
      <c r="C10398" s="266" t="str">
        <f>IFERROR(__xludf.DUMMYFUNCTION("""COMPUTED_VALUE"""),"KERTASARI CIAMIS")</f>
        <v>KERTASARI CIAMIS</v>
      </c>
      <c r="D10398" s="186">
        <f>IFERROR(__xludf.DUMMYFUNCTION("""COMPUTED_VALUE"""),2.0)</f>
        <v>2</v>
      </c>
    </row>
    <row r="10399">
      <c r="A10399" s="178" t="str">
        <f>IFERROR(__xludf.DUMMYFUNCTION("""COMPUTED_VALUE"""),"ITBISA-RTC-DS3231SN")</f>
        <v>ITBISA-RTC-DS3231SN</v>
      </c>
      <c r="B10399" s="266">
        <f>IFERROR(__xludf.DUMMYFUNCTION("""COMPUTED_VALUE"""),45712.0)</f>
        <v>45712</v>
      </c>
      <c r="C10399" s="266" t="str">
        <f>IFERROR(__xludf.DUMMYFUNCTION("""COMPUTED_VALUE"""),"KERTASARI CIAMIS")</f>
        <v>KERTASARI CIAMIS</v>
      </c>
      <c r="D10399" s="186">
        <f>IFERROR(__xludf.DUMMYFUNCTION("""COMPUTED_VALUE"""),2.0)</f>
        <v>2</v>
      </c>
    </row>
    <row r="10400">
      <c r="A10400" s="178" t="str">
        <f>IFERROR(__xludf.DUMMYFUNCTION("""COMPUTED_VALUE"""),"ITBISA-RTC-DS3231SN")</f>
        <v>ITBISA-RTC-DS3231SN</v>
      </c>
      <c r="B10400" s="266">
        <f>IFERROR(__xludf.DUMMYFUNCTION("""COMPUTED_VALUE"""),45714.0)</f>
        <v>45714</v>
      </c>
      <c r="C10400" s="266" t="str">
        <f>IFERROR(__xludf.DUMMYFUNCTION("""COMPUTED_VALUE"""),"KYAI KONTONG")</f>
        <v>KYAI KONTONG</v>
      </c>
      <c r="D10400" s="186">
        <f>IFERROR(__xludf.DUMMYFUNCTION("""COMPUTED_VALUE"""),5.0)</f>
        <v>5</v>
      </c>
    </row>
    <row r="10401">
      <c r="A10401" s="178" t="str">
        <f>IFERROR(__xludf.DUMMYFUNCTION("""COMPUTED_VALUE"""),"ITBISA-RTC-DS3231SN")</f>
        <v>ITBISA-RTC-DS3231SN</v>
      </c>
      <c r="B10401" s="266">
        <f>IFERROR(__xludf.DUMMYFUNCTION("""COMPUTED_VALUE"""),45723.0)</f>
        <v>45723</v>
      </c>
      <c r="C10401" s="266" t="str">
        <f>IFERROR(__xludf.DUMMYFUNCTION("""COMPUTED_VALUE"""),"KERTASARI CIAMIS")</f>
        <v>KERTASARI CIAMIS</v>
      </c>
      <c r="D10401" s="186">
        <f>IFERROR(__xludf.DUMMYFUNCTION("""COMPUTED_VALUE"""),1.0)</f>
        <v>1</v>
      </c>
    </row>
    <row r="10402">
      <c r="A10402" s="178" t="str">
        <f>IFERROR(__xludf.DUMMYFUNCTION("""COMPUTED_VALUE"""),"ITBISA-RTC-DS3231SN")</f>
        <v>ITBISA-RTC-DS3231SN</v>
      </c>
      <c r="B10402" s="266">
        <f>IFERROR(__xludf.DUMMYFUNCTION("""COMPUTED_VALUE"""),45725.0)</f>
        <v>45725</v>
      </c>
      <c r="C10402" s="266" t="str">
        <f>IFERROR(__xludf.DUMMYFUNCTION("""COMPUTED_VALUE"""),"KYAI KONTONG")</f>
        <v>KYAI KONTONG</v>
      </c>
      <c r="D10402" s="186">
        <f>IFERROR(__xludf.DUMMYFUNCTION("""COMPUTED_VALUE"""),1.0)</f>
        <v>1</v>
      </c>
    </row>
    <row r="10403">
      <c r="A10403" s="178" t="str">
        <f>IFERROR(__xludf.DUMMYFUNCTION("""COMPUTED_VALUE"""),"ITBISA-RTC-DS3231SN")</f>
        <v>ITBISA-RTC-DS3231SN</v>
      </c>
      <c r="B10403" s="266">
        <f>IFERROR(__xludf.DUMMYFUNCTION("""COMPUTED_VALUE"""),45731.0)</f>
        <v>45731</v>
      </c>
      <c r="C10403" s="266" t="str">
        <f>IFERROR(__xludf.DUMMYFUNCTION("""COMPUTED_VALUE"""),"KERTASARI CIAMIS")</f>
        <v>KERTASARI CIAMIS</v>
      </c>
      <c r="D10403" s="186">
        <f>IFERROR(__xludf.DUMMYFUNCTION("""COMPUTED_VALUE"""),50.0)</f>
        <v>50</v>
      </c>
    </row>
    <row r="10404">
      <c r="A10404" s="178" t="str">
        <f>IFERROR(__xludf.DUMMYFUNCTION("""COMPUTED_VALUE"""),"ITBISA-RTC-DS3231SN")</f>
        <v>ITBISA-RTC-DS3231SN</v>
      </c>
      <c r="B10404" s="266">
        <f>IFERROR(__xludf.DUMMYFUNCTION("""COMPUTED_VALUE"""),45735.0)</f>
        <v>45735</v>
      </c>
      <c r="C10404" s="266" t="str">
        <f>IFERROR(__xludf.DUMMYFUNCTION("""COMPUTED_VALUE"""),"KERTASARI CIAMIS")</f>
        <v>KERTASARI CIAMIS</v>
      </c>
      <c r="D10404" s="186">
        <f>IFERROR(__xludf.DUMMYFUNCTION("""COMPUTED_VALUE"""),2.0)</f>
        <v>2</v>
      </c>
    </row>
    <row r="10405">
      <c r="A10405" s="178" t="str">
        <f>IFERROR(__xludf.DUMMYFUNCTION("""COMPUTED_VALUE"""),"ITBISA-RTC-DS3231SN")</f>
        <v>ITBISA-RTC-DS3231SN</v>
      </c>
      <c r="B10405" s="266">
        <f>IFERROR(__xludf.DUMMYFUNCTION("""COMPUTED_VALUE"""),45735.0)</f>
        <v>45735</v>
      </c>
      <c r="C10405" s="266" t="str">
        <f>IFERROR(__xludf.DUMMYFUNCTION("""COMPUTED_VALUE"""),"KERTASARI CIAMIS")</f>
        <v>KERTASARI CIAMIS</v>
      </c>
      <c r="D10405" s="186">
        <f>IFERROR(__xludf.DUMMYFUNCTION("""COMPUTED_VALUE"""),5.0)</f>
        <v>5</v>
      </c>
    </row>
    <row r="10406">
      <c r="A10406" s="178" t="str">
        <f>IFERROR(__xludf.DUMMYFUNCTION("""COMPUTED_VALUE"""),"ITBISA-RTC-DS3231SN")</f>
        <v>ITBISA-RTC-DS3231SN</v>
      </c>
      <c r="B10406" s="266">
        <f>IFERROR(__xludf.DUMMYFUNCTION("""COMPUTED_VALUE"""),45738.0)</f>
        <v>45738</v>
      </c>
      <c r="C10406" s="266" t="str">
        <f>IFERROR(__xludf.DUMMYFUNCTION("""COMPUTED_VALUE"""),"KERTASARI CIAMIS")</f>
        <v>KERTASARI CIAMIS</v>
      </c>
      <c r="D10406" s="186">
        <f>IFERROR(__xludf.DUMMYFUNCTION("""COMPUTED_VALUE"""),1.0)</f>
        <v>1</v>
      </c>
    </row>
    <row r="10407">
      <c r="A10407" s="178" t="str">
        <f>IFERROR(__xludf.DUMMYFUNCTION("""COMPUTED_VALUE"""),"ITBISA-RTC-DS3231SN")</f>
        <v>ITBISA-RTC-DS3231SN</v>
      </c>
      <c r="B10407" s="266">
        <f>IFERROR(__xludf.DUMMYFUNCTION("""COMPUTED_VALUE"""),45744.0)</f>
        <v>45744</v>
      </c>
      <c r="C10407" s="266" t="str">
        <f>IFERROR(__xludf.DUMMYFUNCTION("""COMPUTED_VALUE"""),"KERTASARI CIAMIS")</f>
        <v>KERTASARI CIAMIS</v>
      </c>
      <c r="D10407" s="186">
        <f>IFERROR(__xludf.DUMMYFUNCTION("""COMPUTED_VALUE"""),1.0)</f>
        <v>1</v>
      </c>
    </row>
    <row r="10408">
      <c r="A10408" s="178" t="str">
        <f>IFERROR(__xludf.DUMMYFUNCTION("""COMPUTED_VALUE"""),"ITBISA-RTC-DS3231SN")</f>
        <v>ITBISA-RTC-DS3231SN</v>
      </c>
      <c r="B10408" s="266">
        <f>IFERROR(__xludf.DUMMYFUNCTION("""COMPUTED_VALUE"""),45751.0)</f>
        <v>45751</v>
      </c>
      <c r="C10408" s="266" t="str">
        <f>IFERROR(__xludf.DUMMYFUNCTION("""COMPUTED_VALUE"""),"KERTASARI CIAMIS")</f>
        <v>KERTASARI CIAMIS</v>
      </c>
      <c r="D10408" s="186">
        <f>IFERROR(__xludf.DUMMYFUNCTION("""COMPUTED_VALUE"""),1.0)</f>
        <v>1</v>
      </c>
    </row>
    <row r="10409">
      <c r="A10409" s="178" t="str">
        <f>IFERROR(__xludf.DUMMYFUNCTION("""COMPUTED_VALUE"""),"ITBISA-RTC-DS3231SN")</f>
        <v>ITBISA-RTC-DS3231SN</v>
      </c>
      <c r="B10409" s="266">
        <f>IFERROR(__xludf.DUMMYFUNCTION("""COMPUTED_VALUE"""),45760.0)</f>
        <v>45760</v>
      </c>
      <c r="C10409" s="266" t="str">
        <f>IFERROR(__xludf.DUMMYFUNCTION("""COMPUTED_VALUE"""),"KERTASARI CIAMIS")</f>
        <v>KERTASARI CIAMIS</v>
      </c>
      <c r="D10409" s="186">
        <f>IFERROR(__xludf.DUMMYFUNCTION("""COMPUTED_VALUE"""),50.0)</f>
        <v>50</v>
      </c>
    </row>
    <row r="10410">
      <c r="A10410" s="178" t="str">
        <f>IFERROR(__xludf.DUMMYFUNCTION("""COMPUTED_VALUE"""),"ITBISA-RTC-DS3231SN")</f>
        <v>ITBISA-RTC-DS3231SN</v>
      </c>
      <c r="B10410" s="266">
        <f>IFERROR(__xludf.DUMMYFUNCTION("""COMPUTED_VALUE"""),45784.0)</f>
        <v>45784</v>
      </c>
      <c r="C10410" s="266" t="str">
        <f>IFERROR(__xludf.DUMMYFUNCTION("""COMPUTED_VALUE"""),"KERTASARI CIAMIS")</f>
        <v>KERTASARI CIAMIS</v>
      </c>
      <c r="D10410" s="186">
        <f>IFERROR(__xludf.DUMMYFUNCTION("""COMPUTED_VALUE"""),1.0)</f>
        <v>1</v>
      </c>
    </row>
    <row r="10411">
      <c r="A10411" s="178" t="str">
        <f>IFERROR(__xludf.DUMMYFUNCTION("""COMPUTED_VALUE"""),"ITBISA-RTC-DS3231SN")</f>
        <v>ITBISA-RTC-DS3231SN</v>
      </c>
      <c r="B10411" s="266">
        <f>IFERROR(__xludf.DUMMYFUNCTION("""COMPUTED_VALUE"""),45805.0)</f>
        <v>45805</v>
      </c>
      <c r="C10411" s="266" t="str">
        <f>IFERROR(__xludf.DUMMYFUNCTION("""COMPUTED_VALUE"""),"KYAI KONTONG")</f>
        <v>KYAI KONTONG</v>
      </c>
      <c r="D10411" s="186">
        <f>IFERROR(__xludf.DUMMYFUNCTION("""COMPUTED_VALUE"""),1.0)</f>
        <v>1</v>
      </c>
    </row>
    <row r="10412">
      <c r="A10412" s="178" t="str">
        <f>IFERROR(__xludf.DUMMYFUNCTION("""COMPUTED_VALUE"""),"ITBISA-RTC-DS3231SN")</f>
        <v>ITBISA-RTC-DS3231SN</v>
      </c>
      <c r="B10412" s="266">
        <f>IFERROR(__xludf.DUMMYFUNCTION("""COMPUTED_VALUE"""),45820.0)</f>
        <v>45820</v>
      </c>
      <c r="C10412" s="266" t="str">
        <f>IFERROR(__xludf.DUMMYFUNCTION("""COMPUTED_VALUE"""),"KERTASARI CIAMIS")</f>
        <v>KERTASARI CIAMIS</v>
      </c>
      <c r="D10412" s="186">
        <f>IFERROR(__xludf.DUMMYFUNCTION("""COMPUTED_VALUE"""),1.0)</f>
        <v>1</v>
      </c>
    </row>
    <row r="10413">
      <c r="A10413" s="178" t="str">
        <f>IFERROR(__xludf.DUMMYFUNCTION("""COMPUTED_VALUE"""),"ITBISA-RTC-DS3231SN")</f>
        <v>ITBISA-RTC-DS3231SN</v>
      </c>
      <c r="B10413" s="266">
        <f>IFERROR(__xludf.DUMMYFUNCTION("""COMPUTED_VALUE"""),45830.0)</f>
        <v>45830</v>
      </c>
      <c r="C10413" s="266" t="str">
        <f>IFERROR(__xludf.DUMMYFUNCTION("""COMPUTED_VALUE"""),"KYAI KONTONG")</f>
        <v>KYAI KONTONG</v>
      </c>
      <c r="D10413" s="186">
        <f>IFERROR(__xludf.DUMMYFUNCTION("""COMPUTED_VALUE"""),4.0)</f>
        <v>4</v>
      </c>
    </row>
    <row r="10414">
      <c r="A10414" s="178" t="str">
        <f>IFERROR(__xludf.DUMMYFUNCTION("""COMPUTED_VALUE"""),"ITBISA-RTC-DS3231SN")</f>
        <v>ITBISA-RTC-DS3231SN</v>
      </c>
      <c r="B10414" s="266">
        <f>IFERROR(__xludf.DUMMYFUNCTION("""COMPUTED_VALUE"""),45835.0)</f>
        <v>45835</v>
      </c>
      <c r="C10414" s="266" t="str">
        <f>IFERROR(__xludf.DUMMYFUNCTION("""COMPUTED_VALUE"""),"KERTASARI CIAMIS")</f>
        <v>KERTASARI CIAMIS</v>
      </c>
      <c r="D10414" s="186">
        <f>IFERROR(__xludf.DUMMYFUNCTION("""COMPUTED_VALUE"""),10.0)</f>
        <v>10</v>
      </c>
    </row>
    <row r="10415">
      <c r="A10415" s="178" t="str">
        <f>IFERROR(__xludf.DUMMYFUNCTION("""COMPUTED_VALUE"""),"ITBISA-RTC-DS3231SN")</f>
        <v>ITBISA-RTC-DS3231SN</v>
      </c>
      <c r="B10415" s="266">
        <f>IFERROR(__xludf.DUMMYFUNCTION("""COMPUTED_VALUE"""),45855.0)</f>
        <v>45855</v>
      </c>
      <c r="C10415" s="266" t="str">
        <f>IFERROR(__xludf.DUMMYFUNCTION("""COMPUTED_VALUE"""),"KYAI KONTONG")</f>
        <v>KYAI KONTONG</v>
      </c>
      <c r="D10415" s="186">
        <f>IFERROR(__xludf.DUMMYFUNCTION("""COMPUTED_VALUE"""),1.0)</f>
        <v>1</v>
      </c>
    </row>
    <row r="10416">
      <c r="A10416" s="178" t="str">
        <f>IFERROR(__xludf.DUMMYFUNCTION("""COMPUTED_VALUE"""),"ITBISA-RTC-DS3231SN")</f>
        <v>ITBISA-RTC-DS3231SN</v>
      </c>
      <c r="B10416" s="266">
        <f>IFERROR(__xludf.DUMMYFUNCTION("""COMPUTED_VALUE"""),45857.0)</f>
        <v>45857</v>
      </c>
      <c r="C10416" s="266" t="str">
        <f>IFERROR(__xludf.DUMMYFUNCTION("""COMPUTED_VALUE"""),"KERTASARI CIAMIS")</f>
        <v>KERTASARI CIAMIS</v>
      </c>
      <c r="D10416" s="186">
        <f>IFERROR(__xludf.DUMMYFUNCTION("""COMPUTED_VALUE"""),1.0)</f>
        <v>1</v>
      </c>
    </row>
    <row r="10417">
      <c r="A10417" s="178" t="str">
        <f>IFERROR(__xludf.DUMMYFUNCTION("""COMPUTED_VALUE"""),"ITBISA-RTC-DS3231SN")</f>
        <v>ITBISA-RTC-DS3231SN</v>
      </c>
      <c r="B10417" s="266">
        <f>IFERROR(__xludf.DUMMYFUNCTION("""COMPUTED_VALUE"""),45859.0)</f>
        <v>45859</v>
      </c>
      <c r="C10417" s="266" t="str">
        <f>IFERROR(__xludf.DUMMYFUNCTION("""COMPUTED_VALUE"""),"KYAI KONTONG")</f>
        <v>KYAI KONTONG</v>
      </c>
      <c r="D10417" s="186">
        <f>IFERROR(__xludf.DUMMYFUNCTION("""COMPUTED_VALUE"""),1.0)</f>
        <v>1</v>
      </c>
    </row>
    <row r="10418">
      <c r="A10418" s="178" t="str">
        <f>IFERROR(__xludf.DUMMYFUNCTION("""COMPUTED_VALUE"""),"ITBISA-RTC-DS3231SN")</f>
        <v>ITBISA-RTC-DS3231SN</v>
      </c>
      <c r="B10418" s="266">
        <f>IFERROR(__xludf.DUMMYFUNCTION("""COMPUTED_VALUE"""),45859.0)</f>
        <v>45859</v>
      </c>
      <c r="C10418" s="266" t="str">
        <f>IFERROR(__xludf.DUMMYFUNCTION("""COMPUTED_VALUE"""),"KYAI KONTONG")</f>
        <v>KYAI KONTONG</v>
      </c>
      <c r="D10418" s="186">
        <f>IFERROR(__xludf.DUMMYFUNCTION("""COMPUTED_VALUE"""),1.0)</f>
        <v>1</v>
      </c>
    </row>
    <row r="10419">
      <c r="A10419" s="178" t="str">
        <f>IFERROR(__xludf.DUMMYFUNCTION("""COMPUTED_VALUE"""),"ITBISA-RTC-DS3231SN")</f>
        <v>ITBISA-RTC-DS3231SN</v>
      </c>
      <c r="B10419" s="266">
        <f>IFERROR(__xludf.DUMMYFUNCTION("""COMPUTED_VALUE"""),45893.0)</f>
        <v>45893</v>
      </c>
      <c r="C10419" s="266" t="str">
        <f>IFERROR(__xludf.DUMMYFUNCTION("""COMPUTED_VALUE"""),"KYAI KONTONG")</f>
        <v>KYAI KONTONG</v>
      </c>
      <c r="D10419" s="186">
        <f>IFERROR(__xludf.DUMMYFUNCTION("""COMPUTED_VALUE"""),3.0)</f>
        <v>3</v>
      </c>
    </row>
    <row r="10420">
      <c r="A10420" s="178" t="str">
        <f>IFERROR(__xludf.DUMMYFUNCTION("""COMPUTED_VALUE"""),"ITBISA-RTC-DS3231SN")</f>
        <v>ITBISA-RTC-DS3231SN</v>
      </c>
      <c r="B10420" s="266">
        <f>IFERROR(__xludf.DUMMYFUNCTION("""COMPUTED_VALUE"""),45896.0)</f>
        <v>45896</v>
      </c>
      <c r="C10420" s="266" t="str">
        <f>IFERROR(__xludf.DUMMYFUNCTION("""COMPUTED_VALUE"""),"KYAI KONTONG")</f>
        <v>KYAI KONTONG</v>
      </c>
      <c r="D10420" s="186">
        <f>IFERROR(__xludf.DUMMYFUNCTION("""COMPUTED_VALUE"""),1.0)</f>
        <v>1</v>
      </c>
    </row>
    <row r="10421">
      <c r="A10421" s="178" t="str">
        <f>IFERROR(__xludf.DUMMYFUNCTION("""COMPUTED_VALUE"""),"ITBISA-RTC-DS3231SN")</f>
        <v>ITBISA-RTC-DS3231SN</v>
      </c>
      <c r="B10421" s="266">
        <f>IFERROR(__xludf.DUMMYFUNCTION("""COMPUTED_VALUE"""),45931.0)</f>
        <v>45931</v>
      </c>
      <c r="C10421" s="266" t="str">
        <f>IFERROR(__xludf.DUMMYFUNCTION("""COMPUTED_VALUE"""),"KYAI KONTONG")</f>
        <v>KYAI KONTONG</v>
      </c>
      <c r="D10421" s="186">
        <f>IFERROR(__xludf.DUMMYFUNCTION("""COMPUTED_VALUE"""),1.0)</f>
        <v>1</v>
      </c>
    </row>
    <row r="10422">
      <c r="A10422" s="178" t="str">
        <f>IFERROR(__xludf.DUMMYFUNCTION("""COMPUTED_VALUE"""),"ITBISA-RTC-DS3231SN")</f>
        <v>ITBISA-RTC-DS3231SN</v>
      </c>
      <c r="B10422" s="266">
        <f>IFERROR(__xludf.DUMMYFUNCTION("""COMPUTED_VALUE"""),45939.0)</f>
        <v>45939</v>
      </c>
      <c r="C10422" s="266" t="str">
        <f>IFERROR(__xludf.DUMMYFUNCTION("""COMPUTED_VALUE"""),"KERTASARI CIAMIS")</f>
        <v>KERTASARI CIAMIS</v>
      </c>
      <c r="D10422" s="186">
        <f>IFERROR(__xludf.DUMMYFUNCTION("""COMPUTED_VALUE"""),1.0)</f>
        <v>1</v>
      </c>
    </row>
    <row r="10423">
      <c r="A10423" s="178" t="str">
        <f>IFERROR(__xludf.DUMMYFUNCTION("""COMPUTED_VALUE"""),"ITBISA-RTC-DS3231SN")</f>
        <v>ITBISA-RTC-DS3231SN</v>
      </c>
      <c r="B10423" s="266">
        <f>IFERROR(__xludf.DUMMYFUNCTION("""COMPUTED_VALUE"""),45947.0)</f>
        <v>45947</v>
      </c>
      <c r="C10423" s="266" t="str">
        <f>IFERROR(__xludf.DUMMYFUNCTION("""COMPUTED_VALUE"""),"KERTASARI CIAMIS")</f>
        <v>KERTASARI CIAMIS</v>
      </c>
      <c r="D10423" s="186">
        <f>IFERROR(__xludf.DUMMYFUNCTION("""COMPUTED_VALUE"""),4.0)</f>
        <v>4</v>
      </c>
    </row>
    <row r="10424">
      <c r="A10424" s="178" t="str">
        <f>IFERROR(__xludf.DUMMYFUNCTION("""COMPUTED_VALUE"""),"ITBISA-RTC-DS3231SN")</f>
        <v>ITBISA-RTC-DS3231SN</v>
      </c>
      <c r="B10424" s="266">
        <f>IFERROR(__xludf.DUMMYFUNCTION("""COMPUTED_VALUE"""),45964.0)</f>
        <v>45964</v>
      </c>
      <c r="C10424" s="266" t="str">
        <f>IFERROR(__xludf.DUMMYFUNCTION("""COMPUTED_VALUE"""),"KERTASARI CIAMIS")</f>
        <v>KERTASARI CIAMIS</v>
      </c>
      <c r="D10424" s="186">
        <f>IFERROR(__xludf.DUMMYFUNCTION("""COMPUTED_VALUE"""),2.0)</f>
        <v>2</v>
      </c>
    </row>
    <row r="10425">
      <c r="A10425" s="178" t="str">
        <f>IFERROR(__xludf.DUMMYFUNCTION("""COMPUTED_VALUE"""),"ITBISA-RTC-DS3231SN")</f>
        <v>ITBISA-RTC-DS3231SN</v>
      </c>
      <c r="B10425" s="266">
        <f>IFERROR(__xludf.DUMMYFUNCTION("""COMPUTED_VALUE"""),45979.0)</f>
        <v>45979</v>
      </c>
      <c r="C10425" s="266" t="str">
        <f>IFERROR(__xludf.DUMMYFUNCTION("""COMPUTED_VALUE"""),"KYAI KONTONG")</f>
        <v>KYAI KONTONG</v>
      </c>
      <c r="D10425" s="186">
        <f>IFERROR(__xludf.DUMMYFUNCTION("""COMPUTED_VALUE"""),1.0)</f>
        <v>1</v>
      </c>
    </row>
    <row r="10426">
      <c r="A10426" s="178" t="str">
        <f>IFERROR(__xludf.DUMMYFUNCTION("""COMPUTED_VALUE"""),"ITBISA-RTC-DS3231SN")</f>
        <v>ITBISA-RTC-DS3231SN</v>
      </c>
      <c r="B10426" s="266">
        <f>IFERROR(__xludf.DUMMYFUNCTION("""COMPUTED_VALUE"""),45996.0)</f>
        <v>45996</v>
      </c>
      <c r="C10426" s="266" t="str">
        <f>IFERROR(__xludf.DUMMYFUNCTION("""COMPUTED_VALUE"""),"KERTASARI CIAMIS")</f>
        <v>KERTASARI CIAMIS</v>
      </c>
      <c r="D10426" s="186">
        <f>IFERROR(__xludf.DUMMYFUNCTION("""COMPUTED_VALUE"""),1.0)</f>
        <v>1</v>
      </c>
    </row>
    <row r="10427">
      <c r="A10427" s="178" t="str">
        <f>IFERROR(__xludf.DUMMYFUNCTION("""COMPUTED_VALUE"""),"ITBISA-RTC-DS3231SN")</f>
        <v>ITBISA-RTC-DS3231SN</v>
      </c>
      <c r="B10427" s="266">
        <f>IFERROR(__xludf.DUMMYFUNCTION("""COMPUTED_VALUE"""),46001.0)</f>
        <v>46001</v>
      </c>
      <c r="C10427" s="266" t="str">
        <f>IFERROR(__xludf.DUMMYFUNCTION("""COMPUTED_VALUE"""),"KERTASARI CIAMIS")</f>
        <v>KERTASARI CIAMIS</v>
      </c>
      <c r="D10427" s="186">
        <f>IFERROR(__xludf.DUMMYFUNCTION("""COMPUTED_VALUE"""),2.0)</f>
        <v>2</v>
      </c>
    </row>
    <row r="10428">
      <c r="A10428" s="178" t="str">
        <f>IFERROR(__xludf.DUMMYFUNCTION("""COMPUTED_VALUE"""),"ITBISA-RTC-DS3231SN")</f>
        <v>ITBISA-RTC-DS3231SN</v>
      </c>
      <c r="B10428" s="266">
        <f>IFERROR(__xludf.DUMMYFUNCTION("""COMPUTED_VALUE"""),46005.0)</f>
        <v>46005</v>
      </c>
      <c r="C10428" s="266" t="str">
        <f>IFERROR(__xludf.DUMMYFUNCTION("""COMPUTED_VALUE"""),"KYAI KONTONG")</f>
        <v>KYAI KONTONG</v>
      </c>
      <c r="D10428" s="186">
        <f>IFERROR(__xludf.DUMMYFUNCTION("""COMPUTED_VALUE"""),1.0)</f>
        <v>1</v>
      </c>
    </row>
    <row r="10429">
      <c r="A10429" s="178" t="str">
        <f>IFERROR(__xludf.DUMMYFUNCTION("""COMPUTED_VALUE"""),"ITBISA-RTC-DS3231SN")</f>
        <v>ITBISA-RTC-DS3231SN</v>
      </c>
      <c r="B10429" s="266">
        <f>IFERROR(__xludf.DUMMYFUNCTION("""COMPUTED_VALUE"""),46015.0)</f>
        <v>46015</v>
      </c>
      <c r="C10429" s="266" t="str">
        <f>IFERROR(__xludf.DUMMYFUNCTION("""COMPUTED_VALUE"""),"KERTASARI CIAMIS")</f>
        <v>KERTASARI CIAMIS</v>
      </c>
      <c r="D10429" s="186">
        <f>IFERROR(__xludf.DUMMYFUNCTION("""COMPUTED_VALUE"""),3.0)</f>
        <v>3</v>
      </c>
    </row>
    <row r="10430">
      <c r="A10430" s="178" t="str">
        <f>IFERROR(__xludf.DUMMYFUNCTION("""COMPUTED_VALUE"""),"ITBISA-SAMSUNG-850-EVO-500GB-BLACK")</f>
        <v>ITBISA-SAMSUNG-850-EVO-500GB-BLACK</v>
      </c>
      <c r="B10430" s="266">
        <f>IFERROR(__xludf.DUMMYFUNCTION("""COMPUTED_VALUE"""),43459.0)</f>
        <v>43459</v>
      </c>
      <c r="C10430" s="266" t="str">
        <f>IFERROR(__xludf.DUMMYFUNCTION("""COMPUTED_VALUE"""),"RUMAH MUZAKKI")</f>
        <v>RUMAH MUZAKKI</v>
      </c>
      <c r="D10430" s="186">
        <f>IFERROR(__xludf.DUMMYFUNCTION("""COMPUTED_VALUE"""),1.0)</f>
        <v>1</v>
      </c>
    </row>
    <row r="10431">
      <c r="A10431" s="178" t="str">
        <f>IFERROR(__xludf.DUMMYFUNCTION("""COMPUTED_VALUE"""),"ITBISA-SENSOR-SUHU-DHT11")</f>
        <v>ITBISA-SENSOR-SUHU-DHT11</v>
      </c>
      <c r="B10431" s="266">
        <f>IFERROR(__xludf.DUMMYFUNCTION("""COMPUTED_VALUE"""),45429.0)</f>
        <v>45429</v>
      </c>
      <c r="C10431" s="266" t="str">
        <f>IFERROR(__xludf.DUMMYFUNCTION("""COMPUTED_VALUE"""),"KYAI KONTONG")</f>
        <v>KYAI KONTONG</v>
      </c>
      <c r="D10431" s="186">
        <f>IFERROR(__xludf.DUMMYFUNCTION("""COMPUTED_VALUE"""),1.0)</f>
        <v>1</v>
      </c>
    </row>
    <row r="10432">
      <c r="A10432" s="178" t="str">
        <f>IFERROR(__xludf.DUMMYFUNCTION("""COMPUTED_VALUE"""),"ITBISA-SENSOR-SUHU-DHT11")</f>
        <v>ITBISA-SENSOR-SUHU-DHT11</v>
      </c>
      <c r="B10432" s="266">
        <f>IFERROR(__xludf.DUMMYFUNCTION("""COMPUTED_VALUE"""),45445.0)</f>
        <v>45445</v>
      </c>
      <c r="C10432" s="266" t="str">
        <f>IFERROR(__xludf.DUMMYFUNCTION("""COMPUTED_VALUE"""),"KYAI KONTONG")</f>
        <v>KYAI KONTONG</v>
      </c>
      <c r="D10432" s="186">
        <f>IFERROR(__xludf.DUMMYFUNCTION("""COMPUTED_VALUE"""),2.0)</f>
        <v>2</v>
      </c>
    </row>
    <row r="10433">
      <c r="A10433" s="178" t="str">
        <f>IFERROR(__xludf.DUMMYFUNCTION("""COMPUTED_VALUE"""),"ITBISA-SENSOR-SUHU-DHT11")</f>
        <v>ITBISA-SENSOR-SUHU-DHT11</v>
      </c>
      <c r="B10433" s="266">
        <f>IFERROR(__xludf.DUMMYFUNCTION("""COMPUTED_VALUE"""),45455.0)</f>
        <v>45455</v>
      </c>
      <c r="C10433" s="266" t="str">
        <f>IFERROR(__xludf.DUMMYFUNCTION("""COMPUTED_VALUE"""),"KYAI KONTONG")</f>
        <v>KYAI KONTONG</v>
      </c>
      <c r="D10433" s="186">
        <f>IFERROR(__xludf.DUMMYFUNCTION("""COMPUTED_VALUE"""),1.0)</f>
        <v>1</v>
      </c>
    </row>
    <row r="10434">
      <c r="A10434" s="178" t="str">
        <f>IFERROR(__xludf.DUMMYFUNCTION("""COMPUTED_VALUE"""),"ITBISA-SENSOR-SUHU-DHT11")</f>
        <v>ITBISA-SENSOR-SUHU-DHT11</v>
      </c>
      <c r="B10434" s="266">
        <f>IFERROR(__xludf.DUMMYFUNCTION("""COMPUTED_VALUE"""),45483.0)</f>
        <v>45483</v>
      </c>
      <c r="C10434" s="266" t="str">
        <f>IFERROR(__xludf.DUMMYFUNCTION("""COMPUTED_VALUE"""),"KYAI KONTONG")</f>
        <v>KYAI KONTONG</v>
      </c>
      <c r="D10434" s="186">
        <f>IFERROR(__xludf.DUMMYFUNCTION("""COMPUTED_VALUE"""),5.0)</f>
        <v>5</v>
      </c>
    </row>
    <row r="10435">
      <c r="A10435" s="178" t="str">
        <f>IFERROR(__xludf.DUMMYFUNCTION("""COMPUTED_VALUE"""),"ITBISA-SENSOR-SUHU-DHT11")</f>
        <v>ITBISA-SENSOR-SUHU-DHT11</v>
      </c>
      <c r="B10435" s="266">
        <f>IFERROR(__xludf.DUMMYFUNCTION("""COMPUTED_VALUE"""),45620.0)</f>
        <v>45620</v>
      </c>
      <c r="C10435" s="266" t="str">
        <f>IFERROR(__xludf.DUMMYFUNCTION("""COMPUTED_VALUE"""),"KYAI KONTONG")</f>
        <v>KYAI KONTONG</v>
      </c>
      <c r="D10435" s="186">
        <f>IFERROR(__xludf.DUMMYFUNCTION("""COMPUTED_VALUE"""),1.0)</f>
        <v>1</v>
      </c>
    </row>
    <row r="10436">
      <c r="A10436" s="178" t="str">
        <f>IFERROR(__xludf.DUMMYFUNCTION("""COMPUTED_VALUE"""),"ITBISA-SENSOR-SUHU-DHT11")</f>
        <v>ITBISA-SENSOR-SUHU-DHT11</v>
      </c>
      <c r="B10436" s="266">
        <f>IFERROR(__xludf.DUMMYFUNCTION("""COMPUTED_VALUE"""),45656.0)</f>
        <v>45656</v>
      </c>
      <c r="C10436" s="266" t="str">
        <f>IFERROR(__xludf.DUMMYFUNCTION("""COMPUTED_VALUE"""),"KYAI KONTONG")</f>
        <v>KYAI KONTONG</v>
      </c>
      <c r="D10436" s="186">
        <f>IFERROR(__xludf.DUMMYFUNCTION("""COMPUTED_VALUE"""),1.0)</f>
        <v>1</v>
      </c>
    </row>
    <row r="10437">
      <c r="A10437" s="178" t="str">
        <f>IFERROR(__xludf.DUMMYFUNCTION("""COMPUTED_VALUE"""),"ITBISA-SENSOR-SUHU-DHT11")</f>
        <v>ITBISA-SENSOR-SUHU-DHT11</v>
      </c>
      <c r="B10437" s="266">
        <f>IFERROR(__xludf.DUMMYFUNCTION("""COMPUTED_VALUE"""),45800.0)</f>
        <v>45800</v>
      </c>
      <c r="C10437" s="266" t="str">
        <f>IFERROR(__xludf.DUMMYFUNCTION("""COMPUTED_VALUE"""),"KYAI KONTONG")</f>
        <v>KYAI KONTONG</v>
      </c>
      <c r="D10437" s="186">
        <f>IFERROR(__xludf.DUMMYFUNCTION("""COMPUTED_VALUE"""),2.0)</f>
        <v>2</v>
      </c>
    </row>
    <row r="10438">
      <c r="A10438" s="178" t="str">
        <f>IFERROR(__xludf.DUMMYFUNCTION("""COMPUTED_VALUE"""),"ITBISA-SENSOR-SUHU-DHT11")</f>
        <v>ITBISA-SENSOR-SUHU-DHT11</v>
      </c>
      <c r="B10438" s="266">
        <f>IFERROR(__xludf.DUMMYFUNCTION("""COMPUTED_VALUE"""),45874.0)</f>
        <v>45874</v>
      </c>
      <c r="C10438" s="266" t="str">
        <f>IFERROR(__xludf.DUMMYFUNCTION("""COMPUTED_VALUE"""),"KERTASARI CIAMIS")</f>
        <v>KERTASARI CIAMIS</v>
      </c>
      <c r="D10438" s="186">
        <f>IFERROR(__xludf.DUMMYFUNCTION("""COMPUTED_VALUE"""),0.0)</f>
        <v>0</v>
      </c>
    </row>
    <row r="10439">
      <c r="A10439" s="178" t="str">
        <f>IFERROR(__xludf.DUMMYFUNCTION("""COMPUTED_VALUE"""),"ITBISA-SENSOR-SUHU-DHT11")</f>
        <v>ITBISA-SENSOR-SUHU-DHT11</v>
      </c>
      <c r="B10439" s="266">
        <f>IFERROR(__xludf.DUMMYFUNCTION("""COMPUTED_VALUE"""),45955.0)</f>
        <v>45955</v>
      </c>
      <c r="C10439" s="266" t="str">
        <f>IFERROR(__xludf.DUMMYFUNCTION("""COMPUTED_VALUE"""),"KYAI KONTONG")</f>
        <v>KYAI KONTONG</v>
      </c>
      <c r="D10439" s="186">
        <f>IFERROR(__xludf.DUMMYFUNCTION("""COMPUTED_VALUE"""),1.0)</f>
        <v>1</v>
      </c>
    </row>
    <row r="10440">
      <c r="A10440" s="178" t="str">
        <f>IFERROR(__xludf.DUMMYFUNCTION("""COMPUTED_VALUE"""),"ITBISA-SENSOR-ULTRASONIK-HCSR04")</f>
        <v>ITBISA-SENSOR-ULTRASONIK-HCSR04</v>
      </c>
      <c r="B10440" s="266">
        <f>IFERROR(__xludf.DUMMYFUNCTION("""COMPUTED_VALUE"""),45425.0)</f>
        <v>45425</v>
      </c>
      <c r="C10440" s="266" t="str">
        <f>IFERROR(__xludf.DUMMYFUNCTION("""COMPUTED_VALUE"""),"KYAI KONTONG")</f>
        <v>KYAI KONTONG</v>
      </c>
      <c r="D10440" s="186">
        <f>IFERROR(__xludf.DUMMYFUNCTION("""COMPUTED_VALUE"""),2.0)</f>
        <v>2</v>
      </c>
    </row>
    <row r="10441">
      <c r="A10441" s="178" t="str">
        <f>IFERROR(__xludf.DUMMYFUNCTION("""COMPUTED_VALUE"""),"ITBISA-SENSOR-ULTRASONIK-HCSR04")</f>
        <v>ITBISA-SENSOR-ULTRASONIK-HCSR04</v>
      </c>
      <c r="B10441" s="266">
        <f>IFERROR(__xludf.DUMMYFUNCTION("""COMPUTED_VALUE"""),45429.0)</f>
        <v>45429</v>
      </c>
      <c r="C10441" s="266" t="str">
        <f>IFERROR(__xludf.DUMMYFUNCTION("""COMPUTED_VALUE"""),"KYAI KONTONG")</f>
        <v>KYAI KONTONG</v>
      </c>
      <c r="D10441" s="186">
        <f>IFERROR(__xludf.DUMMYFUNCTION("""COMPUTED_VALUE"""),1.0)</f>
        <v>1</v>
      </c>
    </row>
    <row r="10442">
      <c r="A10442" s="178" t="str">
        <f>IFERROR(__xludf.DUMMYFUNCTION("""COMPUTED_VALUE"""),"ITBISA-SENSOR-ULTRASONIK-HCSR04")</f>
        <v>ITBISA-SENSOR-ULTRASONIK-HCSR04</v>
      </c>
      <c r="B10442" s="266">
        <f>IFERROR(__xludf.DUMMYFUNCTION("""COMPUTED_VALUE"""),45430.0)</f>
        <v>45430</v>
      </c>
      <c r="C10442" s="266" t="str">
        <f>IFERROR(__xludf.DUMMYFUNCTION("""COMPUTED_VALUE"""),"KYAI KONTONG")</f>
        <v>KYAI KONTONG</v>
      </c>
      <c r="D10442" s="186">
        <f>IFERROR(__xludf.DUMMYFUNCTION("""COMPUTED_VALUE"""),1.0)</f>
        <v>1</v>
      </c>
    </row>
    <row r="10443">
      <c r="A10443" s="178" t="str">
        <f>IFERROR(__xludf.DUMMYFUNCTION("""COMPUTED_VALUE"""),"ITBISA-SENSOR-ULTRASONIK-HCSR04")</f>
        <v>ITBISA-SENSOR-ULTRASONIK-HCSR04</v>
      </c>
      <c r="B10443" s="266">
        <f>IFERROR(__xludf.DUMMYFUNCTION("""COMPUTED_VALUE"""),45433.0)</f>
        <v>45433</v>
      </c>
      <c r="C10443" s="266" t="str">
        <f>IFERROR(__xludf.DUMMYFUNCTION("""COMPUTED_VALUE"""),"KYAI KONTONG")</f>
        <v>KYAI KONTONG</v>
      </c>
      <c r="D10443" s="186">
        <f>IFERROR(__xludf.DUMMYFUNCTION("""COMPUTED_VALUE"""),1.0)</f>
        <v>1</v>
      </c>
    </row>
    <row r="10444">
      <c r="A10444" s="178" t="str">
        <f>IFERROR(__xludf.DUMMYFUNCTION("""COMPUTED_VALUE"""),"ITBISA-SENSOR-ULTRASONIK-HCSR04")</f>
        <v>ITBISA-SENSOR-ULTRASONIK-HCSR04</v>
      </c>
      <c r="B10444" s="266">
        <f>IFERROR(__xludf.DUMMYFUNCTION("""COMPUTED_VALUE"""),45452.0)</f>
        <v>45452</v>
      </c>
      <c r="C10444" s="266" t="str">
        <f>IFERROR(__xludf.DUMMYFUNCTION("""COMPUTED_VALUE"""),"KYAI KONTONG")</f>
        <v>KYAI KONTONG</v>
      </c>
      <c r="D10444" s="186">
        <f>IFERROR(__xludf.DUMMYFUNCTION("""COMPUTED_VALUE"""),2.0)</f>
        <v>2</v>
      </c>
    </row>
    <row r="10445">
      <c r="A10445" s="178" t="str">
        <f>IFERROR(__xludf.DUMMYFUNCTION("""COMPUTED_VALUE"""),"ITBISA-SENSOR-ULTRASONIK-HCSR04")</f>
        <v>ITBISA-SENSOR-ULTRASONIK-HCSR04</v>
      </c>
      <c r="B10445" s="266">
        <f>IFERROR(__xludf.DUMMYFUNCTION("""COMPUTED_VALUE"""),45453.0)</f>
        <v>45453</v>
      </c>
      <c r="C10445" s="266" t="str">
        <f>IFERROR(__xludf.DUMMYFUNCTION("""COMPUTED_VALUE"""),"KYAI KONTONG")</f>
        <v>KYAI KONTONG</v>
      </c>
      <c r="D10445" s="186">
        <f>IFERROR(__xludf.DUMMYFUNCTION("""COMPUTED_VALUE"""),1.0)</f>
        <v>1</v>
      </c>
    </row>
    <row r="10446">
      <c r="A10446" s="178" t="str">
        <f>IFERROR(__xludf.DUMMYFUNCTION("""COMPUTED_VALUE"""),"ITBISA-SENSOR-ULTRASONIK-HCSR04")</f>
        <v>ITBISA-SENSOR-ULTRASONIK-HCSR04</v>
      </c>
      <c r="B10446" s="266">
        <f>IFERROR(__xludf.DUMMYFUNCTION("""COMPUTED_VALUE"""),45455.0)</f>
        <v>45455</v>
      </c>
      <c r="C10446" s="266" t="str">
        <f>IFERROR(__xludf.DUMMYFUNCTION("""COMPUTED_VALUE"""),"KYAI KONTONG")</f>
        <v>KYAI KONTONG</v>
      </c>
      <c r="D10446" s="186">
        <f>IFERROR(__xludf.DUMMYFUNCTION("""COMPUTED_VALUE"""),2.0)</f>
        <v>2</v>
      </c>
    </row>
    <row r="10447">
      <c r="A10447" s="178" t="str">
        <f>IFERROR(__xludf.DUMMYFUNCTION("""COMPUTED_VALUE"""),"ITBISA-SENSOR-ULTRASONIK-HCSR04")</f>
        <v>ITBISA-SENSOR-ULTRASONIK-HCSR04</v>
      </c>
      <c r="B10447" s="266">
        <f>IFERROR(__xludf.DUMMYFUNCTION("""COMPUTED_VALUE"""),45462.0)</f>
        <v>45462</v>
      </c>
      <c r="C10447" s="266" t="str">
        <f>IFERROR(__xludf.DUMMYFUNCTION("""COMPUTED_VALUE"""),"KYAI KONTONG")</f>
        <v>KYAI KONTONG</v>
      </c>
      <c r="D10447" s="186">
        <f>IFERROR(__xludf.DUMMYFUNCTION("""COMPUTED_VALUE"""),1.0)</f>
        <v>1</v>
      </c>
    </row>
    <row r="10448">
      <c r="A10448" s="178" t="str">
        <f>IFERROR(__xludf.DUMMYFUNCTION("""COMPUTED_VALUE"""),"ITBISA-SENSOR-ULTRASONIK-HCSR04")</f>
        <v>ITBISA-SENSOR-ULTRASONIK-HCSR04</v>
      </c>
      <c r="B10448" s="266">
        <f>IFERROR(__xludf.DUMMYFUNCTION("""COMPUTED_VALUE"""),45465.0)</f>
        <v>45465</v>
      </c>
      <c r="C10448" s="266" t="str">
        <f>IFERROR(__xludf.DUMMYFUNCTION("""COMPUTED_VALUE"""),"KERTASARI CIAMIS")</f>
        <v>KERTASARI CIAMIS</v>
      </c>
      <c r="D10448" s="186">
        <f>IFERROR(__xludf.DUMMYFUNCTION("""COMPUTED_VALUE"""),1.0)</f>
        <v>1</v>
      </c>
    </row>
    <row r="10449">
      <c r="A10449" s="178" t="str">
        <f>IFERROR(__xludf.DUMMYFUNCTION("""COMPUTED_VALUE"""),"ITBISA-SENSOR-ULTRASONIK-HCSR04")</f>
        <v>ITBISA-SENSOR-ULTRASONIK-HCSR04</v>
      </c>
      <c r="B10449" s="266">
        <f>IFERROR(__xludf.DUMMYFUNCTION("""COMPUTED_VALUE"""),45469.0)</f>
        <v>45469</v>
      </c>
      <c r="C10449" s="266" t="str">
        <f>IFERROR(__xludf.DUMMYFUNCTION("""COMPUTED_VALUE"""),"KERTASARI CIAMIS")</f>
        <v>KERTASARI CIAMIS</v>
      </c>
      <c r="D10449" s="186">
        <f>IFERROR(__xludf.DUMMYFUNCTION("""COMPUTED_VALUE"""),1.0)</f>
        <v>1</v>
      </c>
    </row>
    <row r="10450">
      <c r="A10450" s="178" t="str">
        <f>IFERROR(__xludf.DUMMYFUNCTION("""COMPUTED_VALUE"""),"ITBISA-SENSOR-ULTRASONIK-HCSR04")</f>
        <v>ITBISA-SENSOR-ULTRASONIK-HCSR04</v>
      </c>
      <c r="B10450" s="266">
        <f>IFERROR(__xludf.DUMMYFUNCTION("""COMPUTED_VALUE"""),45473.0)</f>
        <v>45473</v>
      </c>
      <c r="C10450" s="266" t="str">
        <f>IFERROR(__xludf.DUMMYFUNCTION("""COMPUTED_VALUE"""),"KYAI KONTONG")</f>
        <v>KYAI KONTONG</v>
      </c>
      <c r="D10450" s="186">
        <f>IFERROR(__xludf.DUMMYFUNCTION("""COMPUTED_VALUE"""),1.0)</f>
        <v>1</v>
      </c>
    </row>
    <row r="10451">
      <c r="A10451" s="178" t="str">
        <f>IFERROR(__xludf.DUMMYFUNCTION("""COMPUTED_VALUE"""),"ITBISA-SENSOR-ULTRASONIK-HCSR04")</f>
        <v>ITBISA-SENSOR-ULTRASONIK-HCSR04</v>
      </c>
      <c r="B10451" s="266">
        <f>IFERROR(__xludf.DUMMYFUNCTION("""COMPUTED_VALUE"""),45475.0)</f>
        <v>45475</v>
      </c>
      <c r="C10451" s="266" t="str">
        <f>IFERROR(__xludf.DUMMYFUNCTION("""COMPUTED_VALUE"""),"KYAI KONTONG")</f>
        <v>KYAI KONTONG</v>
      </c>
      <c r="D10451" s="186">
        <f>IFERROR(__xludf.DUMMYFUNCTION("""COMPUTED_VALUE"""),1.0)</f>
        <v>1</v>
      </c>
    </row>
    <row r="10452">
      <c r="A10452" s="178" t="str">
        <f>IFERROR(__xludf.DUMMYFUNCTION("""COMPUTED_VALUE"""),"ITBISA-SENSOR-ULTRASONIK-HCSR04")</f>
        <v>ITBISA-SENSOR-ULTRASONIK-HCSR04</v>
      </c>
      <c r="B10452" s="266">
        <f>IFERROR(__xludf.DUMMYFUNCTION("""COMPUTED_VALUE"""),45479.0)</f>
        <v>45479</v>
      </c>
      <c r="C10452" s="266" t="str">
        <f>IFERROR(__xludf.DUMMYFUNCTION("""COMPUTED_VALUE"""),"KYAI KONTONG")</f>
        <v>KYAI KONTONG</v>
      </c>
      <c r="D10452" s="186">
        <f>IFERROR(__xludf.DUMMYFUNCTION("""COMPUTED_VALUE"""),2.0)</f>
        <v>2</v>
      </c>
    </row>
    <row r="10453">
      <c r="A10453" s="178" t="str">
        <f>IFERROR(__xludf.DUMMYFUNCTION("""COMPUTED_VALUE"""),"ITBISA-SENSOR-ULTRASONIK-HCSR04")</f>
        <v>ITBISA-SENSOR-ULTRASONIK-HCSR04</v>
      </c>
      <c r="B10453" s="266">
        <f>IFERROR(__xludf.DUMMYFUNCTION("""COMPUTED_VALUE"""),45483.0)</f>
        <v>45483</v>
      </c>
      <c r="C10453" s="266" t="str">
        <f>IFERROR(__xludf.DUMMYFUNCTION("""COMPUTED_VALUE"""),"KERTASARI CIAMIS")</f>
        <v>KERTASARI CIAMIS</v>
      </c>
      <c r="D10453" s="186">
        <f>IFERROR(__xludf.DUMMYFUNCTION("""COMPUTED_VALUE"""),3.0)</f>
        <v>3</v>
      </c>
    </row>
    <row r="10454">
      <c r="A10454" s="178" t="str">
        <f>IFERROR(__xludf.DUMMYFUNCTION("""COMPUTED_VALUE"""),"ITBISA-SENSOR-ULTRASONIK-HCSR04")</f>
        <v>ITBISA-SENSOR-ULTRASONIK-HCSR04</v>
      </c>
      <c r="B10454" s="266">
        <f>IFERROR(__xludf.DUMMYFUNCTION("""COMPUTED_VALUE"""),45496.0)</f>
        <v>45496</v>
      </c>
      <c r="C10454" s="266" t="str">
        <f>IFERROR(__xludf.DUMMYFUNCTION("""COMPUTED_VALUE"""),"KYAI KONTONG")</f>
        <v>KYAI KONTONG</v>
      </c>
      <c r="D10454" s="186">
        <f>IFERROR(__xludf.DUMMYFUNCTION("""COMPUTED_VALUE"""),1.0)</f>
        <v>1</v>
      </c>
    </row>
    <row r="10455">
      <c r="A10455" s="178" t="str">
        <f>IFERROR(__xludf.DUMMYFUNCTION("""COMPUTED_VALUE"""),"ITBISA-SENSOR-ULTRASONIK-HCSR04")</f>
        <v>ITBISA-SENSOR-ULTRASONIK-HCSR04</v>
      </c>
      <c r="B10455" s="266">
        <f>IFERROR(__xludf.DUMMYFUNCTION("""COMPUTED_VALUE"""),45499.0)</f>
        <v>45499</v>
      </c>
      <c r="C10455" s="266" t="str">
        <f>IFERROR(__xludf.DUMMYFUNCTION("""COMPUTED_VALUE"""),"KYAI KONTONG")</f>
        <v>KYAI KONTONG</v>
      </c>
      <c r="D10455" s="186">
        <f>IFERROR(__xludf.DUMMYFUNCTION("""COMPUTED_VALUE"""),1.0)</f>
        <v>1</v>
      </c>
    </row>
    <row r="10456">
      <c r="A10456" s="178" t="str">
        <f>IFERROR(__xludf.DUMMYFUNCTION("""COMPUTED_VALUE"""),"ITBISA-SENSOR-ULTRASONIK-HCSR04")</f>
        <v>ITBISA-SENSOR-ULTRASONIK-HCSR04</v>
      </c>
      <c r="B10456" s="266">
        <f>IFERROR(__xludf.DUMMYFUNCTION("""COMPUTED_VALUE"""),45499.0)</f>
        <v>45499</v>
      </c>
      <c r="C10456" s="266" t="str">
        <f>IFERROR(__xludf.DUMMYFUNCTION("""COMPUTED_VALUE"""),"KYAI KONTONG")</f>
        <v>KYAI KONTONG</v>
      </c>
      <c r="D10456" s="186">
        <f>IFERROR(__xludf.DUMMYFUNCTION("""COMPUTED_VALUE"""),1.0)</f>
        <v>1</v>
      </c>
    </row>
    <row r="10457">
      <c r="A10457" s="178" t="str">
        <f>IFERROR(__xludf.DUMMYFUNCTION("""COMPUTED_VALUE"""),"ITBISA-SENSOR-ULTRASONIK-HCSR04")</f>
        <v>ITBISA-SENSOR-ULTRASONIK-HCSR04</v>
      </c>
      <c r="B10457" s="266">
        <f>IFERROR(__xludf.DUMMYFUNCTION("""COMPUTED_VALUE"""),45503.0)</f>
        <v>45503</v>
      </c>
      <c r="C10457" s="266" t="str">
        <f>IFERROR(__xludf.DUMMYFUNCTION("""COMPUTED_VALUE"""),"KYAI KONTONG")</f>
        <v>KYAI KONTONG</v>
      </c>
      <c r="D10457" s="186">
        <f>IFERROR(__xludf.DUMMYFUNCTION("""COMPUTED_VALUE"""),1.0)</f>
        <v>1</v>
      </c>
    </row>
    <row r="10458">
      <c r="A10458" s="178" t="str">
        <f>IFERROR(__xludf.DUMMYFUNCTION("""COMPUTED_VALUE"""),"ITBISA-SENSOR-ULTRASONIK-HCSR04")</f>
        <v>ITBISA-SENSOR-ULTRASONIK-HCSR04</v>
      </c>
      <c r="B10458" s="266">
        <f>IFERROR(__xludf.DUMMYFUNCTION("""COMPUTED_VALUE"""),45518.0)</f>
        <v>45518</v>
      </c>
      <c r="C10458" s="266" t="str">
        <f>IFERROR(__xludf.DUMMYFUNCTION("""COMPUTED_VALUE"""),"KYAI KONTONG")</f>
        <v>KYAI KONTONG</v>
      </c>
      <c r="D10458" s="186">
        <f>IFERROR(__xludf.DUMMYFUNCTION("""COMPUTED_VALUE"""),1.0)</f>
        <v>1</v>
      </c>
    </row>
    <row r="10459">
      <c r="A10459" s="178" t="str">
        <f>IFERROR(__xludf.DUMMYFUNCTION("""COMPUTED_VALUE"""),"ITBISA-SENSOR-ULTRASONIK-HCSR04")</f>
        <v>ITBISA-SENSOR-ULTRASONIK-HCSR04</v>
      </c>
      <c r="B10459" s="266">
        <f>IFERROR(__xludf.DUMMYFUNCTION("""COMPUTED_VALUE"""),45531.0)</f>
        <v>45531</v>
      </c>
      <c r="C10459" s="266" t="str">
        <f>IFERROR(__xludf.DUMMYFUNCTION("""COMPUTED_VALUE"""),"KYAI KONTONG")</f>
        <v>KYAI KONTONG</v>
      </c>
      <c r="D10459" s="186">
        <f>IFERROR(__xludf.DUMMYFUNCTION("""COMPUTED_VALUE"""),1.0)</f>
        <v>1</v>
      </c>
    </row>
    <row r="10460">
      <c r="A10460" s="178" t="str">
        <f>IFERROR(__xludf.DUMMYFUNCTION("""COMPUTED_VALUE"""),"ITBISA-SENSOR-ULTRASONIK-HCSR04")</f>
        <v>ITBISA-SENSOR-ULTRASONIK-HCSR04</v>
      </c>
      <c r="B10460" s="266">
        <f>IFERROR(__xludf.DUMMYFUNCTION("""COMPUTED_VALUE"""),45540.0)</f>
        <v>45540</v>
      </c>
      <c r="C10460" s="266" t="str">
        <f>IFERROR(__xludf.DUMMYFUNCTION("""COMPUTED_VALUE"""),"KYAI KONTONG")</f>
        <v>KYAI KONTONG</v>
      </c>
      <c r="D10460" s="186">
        <f>IFERROR(__xludf.DUMMYFUNCTION("""COMPUTED_VALUE"""),2.0)</f>
        <v>2</v>
      </c>
    </row>
    <row r="10461">
      <c r="A10461" s="178" t="str">
        <f>IFERROR(__xludf.DUMMYFUNCTION("""COMPUTED_VALUE"""),"ITBISA-SENSOR-ULTRASONIK-HCSR04")</f>
        <v>ITBISA-SENSOR-ULTRASONIK-HCSR04</v>
      </c>
      <c r="B10461" s="266">
        <f>IFERROR(__xludf.DUMMYFUNCTION("""COMPUTED_VALUE"""),45550.0)</f>
        <v>45550</v>
      </c>
      <c r="C10461" s="266" t="str">
        <f>IFERROR(__xludf.DUMMYFUNCTION("""COMPUTED_VALUE"""),"KYAI KONTONG")</f>
        <v>KYAI KONTONG</v>
      </c>
      <c r="D10461" s="186">
        <f>IFERROR(__xludf.DUMMYFUNCTION("""COMPUTED_VALUE"""),1.0)</f>
        <v>1</v>
      </c>
    </row>
    <row r="10462">
      <c r="A10462" s="178" t="str">
        <f>IFERROR(__xludf.DUMMYFUNCTION("""COMPUTED_VALUE"""),"ITBISA-SENSOR-ULTRASONIK-HCSR04")</f>
        <v>ITBISA-SENSOR-ULTRASONIK-HCSR04</v>
      </c>
      <c r="B10462" s="266">
        <f>IFERROR(__xludf.DUMMYFUNCTION("""COMPUTED_VALUE"""),45559.0)</f>
        <v>45559</v>
      </c>
      <c r="C10462" s="266" t="str">
        <f>IFERROR(__xludf.DUMMYFUNCTION("""COMPUTED_VALUE"""),"KYAI KONTONG")</f>
        <v>KYAI KONTONG</v>
      </c>
      <c r="D10462" s="186">
        <f>IFERROR(__xludf.DUMMYFUNCTION("""COMPUTED_VALUE"""),0.0)</f>
        <v>0</v>
      </c>
    </row>
    <row r="10463">
      <c r="A10463" s="178" t="str">
        <f>IFERROR(__xludf.DUMMYFUNCTION("""COMPUTED_VALUE"""),"ITBISA-SENSOR-ULTRASONIK-HCSR04")</f>
        <v>ITBISA-SENSOR-ULTRASONIK-HCSR04</v>
      </c>
      <c r="B10463" s="266">
        <f>IFERROR(__xludf.DUMMYFUNCTION("""COMPUTED_VALUE"""),45569.0)</f>
        <v>45569</v>
      </c>
      <c r="C10463" s="266" t="str">
        <f>IFERROR(__xludf.DUMMYFUNCTION("""COMPUTED_VALUE"""),"KYAI KONTONG")</f>
        <v>KYAI KONTONG</v>
      </c>
      <c r="D10463" s="186">
        <f>IFERROR(__xludf.DUMMYFUNCTION("""COMPUTED_VALUE"""),1.0)</f>
        <v>1</v>
      </c>
    </row>
    <row r="10464">
      <c r="A10464" s="178" t="str">
        <f>IFERROR(__xludf.DUMMYFUNCTION("""COMPUTED_VALUE"""),"ITBISA-SENSOR-ULTRASONIK-HCSR04")</f>
        <v>ITBISA-SENSOR-ULTRASONIK-HCSR04</v>
      </c>
      <c r="B10464" s="266">
        <f>IFERROR(__xludf.DUMMYFUNCTION("""COMPUTED_VALUE"""),45572.0)</f>
        <v>45572</v>
      </c>
      <c r="C10464" s="266" t="str">
        <f>IFERROR(__xludf.DUMMYFUNCTION("""COMPUTED_VALUE"""),"KYAI KONTONG")</f>
        <v>KYAI KONTONG</v>
      </c>
      <c r="D10464" s="186">
        <f>IFERROR(__xludf.DUMMYFUNCTION("""COMPUTED_VALUE"""),1.0)</f>
        <v>1</v>
      </c>
    </row>
    <row r="10465">
      <c r="A10465" s="178" t="str">
        <f>IFERROR(__xludf.DUMMYFUNCTION("""COMPUTED_VALUE"""),"ITBISA-SENSOR-ULTRASONIK-HCSR04")</f>
        <v>ITBISA-SENSOR-ULTRASONIK-HCSR04</v>
      </c>
      <c r="B10465" s="266">
        <f>IFERROR(__xludf.DUMMYFUNCTION("""COMPUTED_VALUE"""),45575.0)</f>
        <v>45575</v>
      </c>
      <c r="C10465" s="266" t="str">
        <f>IFERROR(__xludf.DUMMYFUNCTION("""COMPUTED_VALUE"""),"KYAI KONTONG")</f>
        <v>KYAI KONTONG</v>
      </c>
      <c r="D10465" s="186">
        <f>IFERROR(__xludf.DUMMYFUNCTION("""COMPUTED_VALUE"""),1.0)</f>
        <v>1</v>
      </c>
    </row>
    <row r="10466">
      <c r="A10466" s="178" t="str">
        <f>IFERROR(__xludf.DUMMYFUNCTION("""COMPUTED_VALUE"""),"ITBISA-SENSOR-ULTRASONIK-HCSR04")</f>
        <v>ITBISA-SENSOR-ULTRASONIK-HCSR04</v>
      </c>
      <c r="B10466" s="266">
        <f>IFERROR(__xludf.DUMMYFUNCTION("""COMPUTED_VALUE"""),45576.0)</f>
        <v>45576</v>
      </c>
      <c r="C10466" s="266" t="str">
        <f>IFERROR(__xludf.DUMMYFUNCTION("""COMPUTED_VALUE"""),"KYAI KONTONG")</f>
        <v>KYAI KONTONG</v>
      </c>
      <c r="D10466" s="186">
        <f>IFERROR(__xludf.DUMMYFUNCTION("""COMPUTED_VALUE"""),2.0)</f>
        <v>2</v>
      </c>
    </row>
    <row r="10467">
      <c r="A10467" s="178" t="str">
        <f>IFERROR(__xludf.DUMMYFUNCTION("""COMPUTED_VALUE"""),"ITBISA-SENSOR-ULTRASONIK-HCSR04")</f>
        <v>ITBISA-SENSOR-ULTRASONIK-HCSR04</v>
      </c>
      <c r="B10467" s="266">
        <f>IFERROR(__xludf.DUMMYFUNCTION("""COMPUTED_VALUE"""),45580.0)</f>
        <v>45580</v>
      </c>
      <c r="C10467" s="266" t="str">
        <f>IFERROR(__xludf.DUMMYFUNCTION("""COMPUTED_VALUE"""),"KYAI KONTONG")</f>
        <v>KYAI KONTONG</v>
      </c>
      <c r="D10467" s="186">
        <f>IFERROR(__xludf.DUMMYFUNCTION("""COMPUTED_VALUE"""),6.0)</f>
        <v>6</v>
      </c>
    </row>
    <row r="10468">
      <c r="A10468" s="178" t="str">
        <f>IFERROR(__xludf.DUMMYFUNCTION("""COMPUTED_VALUE"""),"ITBISA-SENSOR-ULTRASONIK-HCSR04")</f>
        <v>ITBISA-SENSOR-ULTRASONIK-HCSR04</v>
      </c>
      <c r="B10468" s="266">
        <f>IFERROR(__xludf.DUMMYFUNCTION("""COMPUTED_VALUE"""),45586.0)</f>
        <v>45586</v>
      </c>
      <c r="C10468" s="266" t="str">
        <f>IFERROR(__xludf.DUMMYFUNCTION("""COMPUTED_VALUE"""),"KERTASARI CIAMIS")</f>
        <v>KERTASARI CIAMIS</v>
      </c>
      <c r="D10468" s="186">
        <f>IFERROR(__xludf.DUMMYFUNCTION("""COMPUTED_VALUE"""),10.0)</f>
        <v>10</v>
      </c>
    </row>
    <row r="10469">
      <c r="A10469" s="178" t="str">
        <f>IFERROR(__xludf.DUMMYFUNCTION("""COMPUTED_VALUE"""),"ITBISA-SENSOR-ULTRASONIK-HCSR04")</f>
        <v>ITBISA-SENSOR-ULTRASONIK-HCSR04</v>
      </c>
      <c r="B10469" s="266">
        <f>IFERROR(__xludf.DUMMYFUNCTION("""COMPUTED_VALUE"""),45589.0)</f>
        <v>45589</v>
      </c>
      <c r="C10469" s="266" t="str">
        <f>IFERROR(__xludf.DUMMYFUNCTION("""COMPUTED_VALUE"""),"KERTASARI CIAMIS")</f>
        <v>KERTASARI CIAMIS</v>
      </c>
      <c r="D10469" s="186">
        <f>IFERROR(__xludf.DUMMYFUNCTION("""COMPUTED_VALUE"""),14.0)</f>
        <v>14</v>
      </c>
    </row>
    <row r="10470">
      <c r="A10470" s="178" t="str">
        <f>IFERROR(__xludf.DUMMYFUNCTION("""COMPUTED_VALUE"""),"ITBISA-SENSOR-ULTRASONIK-HCSR04")</f>
        <v>ITBISA-SENSOR-ULTRASONIK-HCSR04</v>
      </c>
      <c r="B10470" s="266">
        <f>IFERROR(__xludf.DUMMYFUNCTION("""COMPUTED_VALUE"""),45593.0)</f>
        <v>45593</v>
      </c>
      <c r="C10470" s="266" t="str">
        <f>IFERROR(__xludf.DUMMYFUNCTION("""COMPUTED_VALUE"""),"KERTASARI CIAMIS")</f>
        <v>KERTASARI CIAMIS</v>
      </c>
      <c r="D10470" s="186">
        <f>IFERROR(__xludf.DUMMYFUNCTION("""COMPUTED_VALUE"""),1.0)</f>
        <v>1</v>
      </c>
    </row>
    <row r="10471">
      <c r="A10471" s="178" t="str">
        <f>IFERROR(__xludf.DUMMYFUNCTION("""COMPUTED_VALUE"""),"ITBISA-SENSOR-ULTRASONIK-HCSR04")</f>
        <v>ITBISA-SENSOR-ULTRASONIK-HCSR04</v>
      </c>
      <c r="B10471" s="266">
        <f>IFERROR(__xludf.DUMMYFUNCTION("""COMPUTED_VALUE"""),45597.0)</f>
        <v>45597</v>
      </c>
      <c r="C10471" s="266" t="str">
        <f>IFERROR(__xludf.DUMMYFUNCTION("""COMPUTED_VALUE"""),"KERTASARI CIAMIS")</f>
        <v>KERTASARI CIAMIS</v>
      </c>
      <c r="D10471" s="186">
        <f>IFERROR(__xludf.DUMMYFUNCTION("""COMPUTED_VALUE"""),1.0)</f>
        <v>1</v>
      </c>
    </row>
    <row r="10472">
      <c r="A10472" s="178" t="str">
        <f>IFERROR(__xludf.DUMMYFUNCTION("""COMPUTED_VALUE"""),"ITBISA-SENSOR-ULTRASONIK-HCSR04")</f>
        <v>ITBISA-SENSOR-ULTRASONIK-HCSR04</v>
      </c>
      <c r="B10472" s="266">
        <f>IFERROR(__xludf.DUMMYFUNCTION("""COMPUTED_VALUE"""),45607.0)</f>
        <v>45607</v>
      </c>
      <c r="C10472" s="266" t="str">
        <f>IFERROR(__xludf.DUMMYFUNCTION("""COMPUTED_VALUE"""),"KERTASARI CIAMIS")</f>
        <v>KERTASARI CIAMIS</v>
      </c>
      <c r="D10472" s="186">
        <f>IFERROR(__xludf.DUMMYFUNCTION("""COMPUTED_VALUE"""),1.0)</f>
        <v>1</v>
      </c>
    </row>
    <row r="10473">
      <c r="A10473" s="178" t="str">
        <f>IFERROR(__xludf.DUMMYFUNCTION("""COMPUTED_VALUE"""),"ITBISA-SENSOR-ULTRASONIK-HCSR04")</f>
        <v>ITBISA-SENSOR-ULTRASONIK-HCSR04</v>
      </c>
      <c r="B10473" s="266">
        <f>IFERROR(__xludf.DUMMYFUNCTION("""COMPUTED_VALUE"""),45607.0)</f>
        <v>45607</v>
      </c>
      <c r="C10473" s="266" t="str">
        <f>IFERROR(__xludf.DUMMYFUNCTION("""COMPUTED_VALUE"""),"KERTASARI CIAMIS")</f>
        <v>KERTASARI CIAMIS</v>
      </c>
      <c r="D10473" s="186">
        <f>IFERROR(__xludf.DUMMYFUNCTION("""COMPUTED_VALUE"""),1.0)</f>
        <v>1</v>
      </c>
    </row>
    <row r="10474">
      <c r="A10474" s="178" t="str">
        <f>IFERROR(__xludf.DUMMYFUNCTION("""COMPUTED_VALUE"""),"ITBISA-SENSOR-ULTRASONIK-HCSR04")</f>
        <v>ITBISA-SENSOR-ULTRASONIK-HCSR04</v>
      </c>
      <c r="B10474" s="266">
        <f>IFERROR(__xludf.DUMMYFUNCTION("""COMPUTED_VALUE"""),45607.0)</f>
        <v>45607</v>
      </c>
      <c r="C10474" s="266" t="str">
        <f>IFERROR(__xludf.DUMMYFUNCTION("""COMPUTED_VALUE"""),"KYAI KONTONG")</f>
        <v>KYAI KONTONG</v>
      </c>
      <c r="D10474" s="186">
        <f>IFERROR(__xludf.DUMMYFUNCTION("""COMPUTED_VALUE"""),1.0)</f>
        <v>1</v>
      </c>
    </row>
    <row r="10475">
      <c r="A10475" s="178" t="str">
        <f>IFERROR(__xludf.DUMMYFUNCTION("""COMPUTED_VALUE"""),"ITBISA-SENSOR-ULTRASONIK-HCSR04")</f>
        <v>ITBISA-SENSOR-ULTRASONIK-HCSR04</v>
      </c>
      <c r="B10475" s="266">
        <f>IFERROR(__xludf.DUMMYFUNCTION("""COMPUTED_VALUE"""),45614.0)</f>
        <v>45614</v>
      </c>
      <c r="C10475" s="266" t="str">
        <f>IFERROR(__xludf.DUMMYFUNCTION("""COMPUTED_VALUE"""),"KERTASARI CIAMIS")</f>
        <v>KERTASARI CIAMIS</v>
      </c>
      <c r="D10475" s="186">
        <f>IFERROR(__xludf.DUMMYFUNCTION("""COMPUTED_VALUE"""),1.0)</f>
        <v>1</v>
      </c>
    </row>
    <row r="10476">
      <c r="A10476" s="178" t="str">
        <f>IFERROR(__xludf.DUMMYFUNCTION("""COMPUTED_VALUE"""),"ITBISA-SENSOR-ULTRASONIK-HCSR04")</f>
        <v>ITBISA-SENSOR-ULTRASONIK-HCSR04</v>
      </c>
      <c r="B10476" s="266">
        <f>IFERROR(__xludf.DUMMYFUNCTION("""COMPUTED_VALUE"""),45615.0)</f>
        <v>45615</v>
      </c>
      <c r="C10476" s="266" t="str">
        <f>IFERROR(__xludf.DUMMYFUNCTION("""COMPUTED_VALUE"""),"KYAI KONTONG")</f>
        <v>KYAI KONTONG</v>
      </c>
      <c r="D10476" s="186">
        <f>IFERROR(__xludf.DUMMYFUNCTION("""COMPUTED_VALUE"""),2.0)</f>
        <v>2</v>
      </c>
    </row>
    <row r="10477">
      <c r="A10477" s="178" t="str">
        <f>IFERROR(__xludf.DUMMYFUNCTION("""COMPUTED_VALUE"""),"ITBISA-SENSOR-ULTRASONIK-HCSR04")</f>
        <v>ITBISA-SENSOR-ULTRASONIK-HCSR04</v>
      </c>
      <c r="B10477" s="266">
        <f>IFERROR(__xludf.DUMMYFUNCTION("""COMPUTED_VALUE"""),45616.0)</f>
        <v>45616</v>
      </c>
      <c r="C10477" s="266" t="str">
        <f>IFERROR(__xludf.DUMMYFUNCTION("""COMPUTED_VALUE"""),"KERTASARI CIAMIS")</f>
        <v>KERTASARI CIAMIS</v>
      </c>
      <c r="D10477" s="186">
        <f>IFERROR(__xludf.DUMMYFUNCTION("""COMPUTED_VALUE"""),1.0)</f>
        <v>1</v>
      </c>
    </row>
    <row r="10478">
      <c r="A10478" s="178" t="str">
        <f>IFERROR(__xludf.DUMMYFUNCTION("""COMPUTED_VALUE"""),"ITBISA-SENSOR-ULTRASONIK-HCSR04")</f>
        <v>ITBISA-SENSOR-ULTRASONIK-HCSR04</v>
      </c>
      <c r="B10478" s="266">
        <f>IFERROR(__xludf.DUMMYFUNCTION("""COMPUTED_VALUE"""),45616.0)</f>
        <v>45616</v>
      </c>
      <c r="C10478" s="266" t="str">
        <f>IFERROR(__xludf.DUMMYFUNCTION("""COMPUTED_VALUE"""),"KYAI KONTONG")</f>
        <v>KYAI KONTONG</v>
      </c>
      <c r="D10478" s="186">
        <f>IFERROR(__xludf.DUMMYFUNCTION("""COMPUTED_VALUE"""),1.0)</f>
        <v>1</v>
      </c>
    </row>
    <row r="10479">
      <c r="A10479" s="178" t="str">
        <f>IFERROR(__xludf.DUMMYFUNCTION("""COMPUTED_VALUE"""),"ITBISA-SENSOR-ULTRASONIK-HCSR04")</f>
        <v>ITBISA-SENSOR-ULTRASONIK-HCSR04</v>
      </c>
      <c r="B10479" s="266">
        <f>IFERROR(__xludf.DUMMYFUNCTION("""COMPUTED_VALUE"""),45617.0)</f>
        <v>45617</v>
      </c>
      <c r="C10479" s="266" t="str">
        <f>IFERROR(__xludf.DUMMYFUNCTION("""COMPUTED_VALUE"""),"KERTASARI CIAMIS")</f>
        <v>KERTASARI CIAMIS</v>
      </c>
      <c r="D10479" s="186">
        <f>IFERROR(__xludf.DUMMYFUNCTION("""COMPUTED_VALUE"""),3.0)</f>
        <v>3</v>
      </c>
    </row>
    <row r="10480">
      <c r="A10480" s="178" t="str">
        <f>IFERROR(__xludf.DUMMYFUNCTION("""COMPUTED_VALUE"""),"ITBISA-SENSOR-ULTRASONIK-HCSR04")</f>
        <v>ITBISA-SENSOR-ULTRASONIK-HCSR04</v>
      </c>
      <c r="B10480" s="266">
        <f>IFERROR(__xludf.DUMMYFUNCTION("""COMPUTED_VALUE"""),45619.0)</f>
        <v>45619</v>
      </c>
      <c r="C10480" s="266" t="str">
        <f>IFERROR(__xludf.DUMMYFUNCTION("""COMPUTED_VALUE"""),"KERTASARI CIAMIS")</f>
        <v>KERTASARI CIAMIS</v>
      </c>
      <c r="D10480" s="186">
        <f>IFERROR(__xludf.DUMMYFUNCTION("""COMPUTED_VALUE"""),2.0)</f>
        <v>2</v>
      </c>
    </row>
    <row r="10481">
      <c r="A10481" s="178" t="str">
        <f>IFERROR(__xludf.DUMMYFUNCTION("""COMPUTED_VALUE"""),"ITBISA-SENSOR-ULTRASONIK-HCSR04")</f>
        <v>ITBISA-SENSOR-ULTRASONIK-HCSR04</v>
      </c>
      <c r="B10481" s="266">
        <f>IFERROR(__xludf.DUMMYFUNCTION("""COMPUTED_VALUE"""),45638.0)</f>
        <v>45638</v>
      </c>
      <c r="C10481" s="266" t="str">
        <f>IFERROR(__xludf.DUMMYFUNCTION("""COMPUTED_VALUE"""),"KERTASARI CIAMIS")</f>
        <v>KERTASARI CIAMIS</v>
      </c>
      <c r="D10481" s="186">
        <f>IFERROR(__xludf.DUMMYFUNCTION("""COMPUTED_VALUE"""),1.0)</f>
        <v>1</v>
      </c>
    </row>
    <row r="10482">
      <c r="A10482" s="178" t="str">
        <f>IFERROR(__xludf.DUMMYFUNCTION("""COMPUTED_VALUE"""),"ITBISA-SENSOR-ULTRASONIK-HCSR04")</f>
        <v>ITBISA-SENSOR-ULTRASONIK-HCSR04</v>
      </c>
      <c r="B10482" s="266">
        <f>IFERROR(__xludf.DUMMYFUNCTION("""COMPUTED_VALUE"""),45638.0)</f>
        <v>45638</v>
      </c>
      <c r="C10482" s="266" t="str">
        <f>IFERROR(__xludf.DUMMYFUNCTION("""COMPUTED_VALUE"""),"KYAI KONTONG")</f>
        <v>KYAI KONTONG</v>
      </c>
      <c r="D10482" s="186">
        <f>IFERROR(__xludf.DUMMYFUNCTION("""COMPUTED_VALUE"""),47.0)</f>
        <v>47</v>
      </c>
    </row>
    <row r="10483">
      <c r="A10483" s="178" t="str">
        <f>IFERROR(__xludf.DUMMYFUNCTION("""COMPUTED_VALUE"""),"ITBISA-SENSOR-ULTRASONIK-HCSR04")</f>
        <v>ITBISA-SENSOR-ULTRASONIK-HCSR04</v>
      </c>
      <c r="B10483" s="266">
        <f>IFERROR(__xludf.DUMMYFUNCTION("""COMPUTED_VALUE"""),45643.0)</f>
        <v>45643</v>
      </c>
      <c r="C10483" s="266" t="str">
        <f>IFERROR(__xludf.DUMMYFUNCTION("""COMPUTED_VALUE"""),"KYAI KONTONG")</f>
        <v>KYAI KONTONG</v>
      </c>
      <c r="D10483" s="186">
        <f>IFERROR(__xludf.DUMMYFUNCTION("""COMPUTED_VALUE"""),10.0)</f>
        <v>10</v>
      </c>
    </row>
    <row r="10484">
      <c r="A10484" s="178" t="str">
        <f>IFERROR(__xludf.DUMMYFUNCTION("""COMPUTED_VALUE"""),"ITBISA-SENSOR-ULTRASONIK-HCSR04")</f>
        <v>ITBISA-SENSOR-ULTRASONIK-HCSR04</v>
      </c>
      <c r="B10484" s="266">
        <f>IFERROR(__xludf.DUMMYFUNCTION("""COMPUTED_VALUE"""),45664.0)</f>
        <v>45664</v>
      </c>
      <c r="C10484" s="266" t="str">
        <f>IFERROR(__xludf.DUMMYFUNCTION("""COMPUTED_VALUE"""),"KERTASARI CIAMIS")</f>
        <v>KERTASARI CIAMIS</v>
      </c>
      <c r="D10484" s="186">
        <f>IFERROR(__xludf.DUMMYFUNCTION("""COMPUTED_VALUE"""),1.0)</f>
        <v>1</v>
      </c>
    </row>
    <row r="10485">
      <c r="A10485" s="178" t="str">
        <f>IFERROR(__xludf.DUMMYFUNCTION("""COMPUTED_VALUE"""),"ITBISA-SENSOR-ULTRASONIK-HCSR04")</f>
        <v>ITBISA-SENSOR-ULTRASONIK-HCSR04</v>
      </c>
      <c r="B10485" s="266">
        <f>IFERROR(__xludf.DUMMYFUNCTION("""COMPUTED_VALUE"""),45695.0)</f>
        <v>45695</v>
      </c>
      <c r="C10485" s="266" t="str">
        <f>IFERROR(__xludf.DUMMYFUNCTION("""COMPUTED_VALUE"""),"KERTASARI CIAMIS")</f>
        <v>KERTASARI CIAMIS</v>
      </c>
      <c r="D10485" s="186">
        <f>IFERROR(__xludf.DUMMYFUNCTION("""COMPUTED_VALUE"""),1.0)</f>
        <v>1</v>
      </c>
    </row>
    <row r="10486">
      <c r="A10486" s="178" t="str">
        <f>IFERROR(__xludf.DUMMYFUNCTION("""COMPUTED_VALUE"""),"ITBISA-SENSOR-ULTRASONIK-HCSR04")</f>
        <v>ITBISA-SENSOR-ULTRASONIK-HCSR04</v>
      </c>
      <c r="B10486" s="266">
        <f>IFERROR(__xludf.DUMMYFUNCTION("""COMPUTED_VALUE"""),45697.0)</f>
        <v>45697</v>
      </c>
      <c r="C10486" s="266" t="str">
        <f>IFERROR(__xludf.DUMMYFUNCTION("""COMPUTED_VALUE"""),"KERTASARI CIAMIS")</f>
        <v>KERTASARI CIAMIS</v>
      </c>
      <c r="D10486" s="186">
        <f>IFERROR(__xludf.DUMMYFUNCTION("""COMPUTED_VALUE"""),2.0)</f>
        <v>2</v>
      </c>
    </row>
    <row r="10487">
      <c r="A10487" s="178" t="str">
        <f>IFERROR(__xludf.DUMMYFUNCTION("""COMPUTED_VALUE"""),"ITBISA-SENSOR-ULTRASONIK-HCSR04")</f>
        <v>ITBISA-SENSOR-ULTRASONIK-HCSR04</v>
      </c>
      <c r="B10487" s="266">
        <f>IFERROR(__xludf.DUMMYFUNCTION("""COMPUTED_VALUE"""),45704.0)</f>
        <v>45704</v>
      </c>
      <c r="C10487" s="266" t="str">
        <f>IFERROR(__xludf.DUMMYFUNCTION("""COMPUTED_VALUE"""),"KYAI KONTONG")</f>
        <v>KYAI KONTONG</v>
      </c>
      <c r="D10487" s="186">
        <f>IFERROR(__xludf.DUMMYFUNCTION("""COMPUTED_VALUE"""),1.0)</f>
        <v>1</v>
      </c>
    </row>
    <row r="10488">
      <c r="A10488" s="178" t="str">
        <f>IFERROR(__xludf.DUMMYFUNCTION("""COMPUTED_VALUE"""),"ITBISA-SENSOR-ULTRASONIK-HCSR04")</f>
        <v>ITBISA-SENSOR-ULTRASONIK-HCSR04</v>
      </c>
      <c r="B10488" s="266">
        <f>IFERROR(__xludf.DUMMYFUNCTION("""COMPUTED_VALUE"""),45705.0)</f>
        <v>45705</v>
      </c>
      <c r="C10488" s="266" t="str">
        <f>IFERROR(__xludf.DUMMYFUNCTION("""COMPUTED_VALUE"""),"KYAI KONTONG")</f>
        <v>KYAI KONTONG</v>
      </c>
      <c r="D10488" s="186">
        <f>IFERROR(__xludf.DUMMYFUNCTION("""COMPUTED_VALUE"""),1.0)</f>
        <v>1</v>
      </c>
    </row>
    <row r="10489">
      <c r="A10489" s="178" t="str">
        <f>IFERROR(__xludf.DUMMYFUNCTION("""COMPUTED_VALUE"""),"ITBISA-SENSOR-ULTRASONIK-HCSR04")</f>
        <v>ITBISA-SENSOR-ULTRASONIK-HCSR04</v>
      </c>
      <c r="B10489" s="266">
        <f>IFERROR(__xludf.DUMMYFUNCTION("""COMPUTED_VALUE"""),45714.0)</f>
        <v>45714</v>
      </c>
      <c r="C10489" s="266" t="str">
        <f>IFERROR(__xludf.DUMMYFUNCTION("""COMPUTED_VALUE"""),"KERTASARI CIAMIS")</f>
        <v>KERTASARI CIAMIS</v>
      </c>
      <c r="D10489" s="186">
        <f>IFERROR(__xludf.DUMMYFUNCTION("""COMPUTED_VALUE"""),2.0)</f>
        <v>2</v>
      </c>
    </row>
    <row r="10490">
      <c r="A10490" s="178" t="str">
        <f>IFERROR(__xludf.DUMMYFUNCTION("""COMPUTED_VALUE"""),"ITBISA-SENSOR-ULTRASONIK-HCSR04")</f>
        <v>ITBISA-SENSOR-ULTRASONIK-HCSR04</v>
      </c>
      <c r="B10490" s="266">
        <f>IFERROR(__xludf.DUMMYFUNCTION("""COMPUTED_VALUE"""),45726.0)</f>
        <v>45726</v>
      </c>
      <c r="C10490" s="266" t="str">
        <f>IFERROR(__xludf.DUMMYFUNCTION("""COMPUTED_VALUE"""),"KERTASARI CIAMIS")</f>
        <v>KERTASARI CIAMIS</v>
      </c>
      <c r="D10490" s="186">
        <f>IFERROR(__xludf.DUMMYFUNCTION("""COMPUTED_VALUE"""),4.0)</f>
        <v>4</v>
      </c>
    </row>
    <row r="10491">
      <c r="A10491" s="178" t="str">
        <f>IFERROR(__xludf.DUMMYFUNCTION("""COMPUTED_VALUE"""),"ITBISA-SENSOR-ULTRASONIK-HCSR04")</f>
        <v>ITBISA-SENSOR-ULTRASONIK-HCSR04</v>
      </c>
      <c r="B10491" s="266">
        <f>IFERROR(__xludf.DUMMYFUNCTION("""COMPUTED_VALUE"""),45728.0)</f>
        <v>45728</v>
      </c>
      <c r="C10491" s="266" t="str">
        <f>IFERROR(__xludf.DUMMYFUNCTION("""COMPUTED_VALUE"""),"KERTASARI CIAMIS")</f>
        <v>KERTASARI CIAMIS</v>
      </c>
      <c r="D10491" s="186">
        <f>IFERROR(__xludf.DUMMYFUNCTION("""COMPUTED_VALUE"""),4.0)</f>
        <v>4</v>
      </c>
    </row>
    <row r="10492">
      <c r="A10492" s="178" t="str">
        <f>IFERROR(__xludf.DUMMYFUNCTION("""COMPUTED_VALUE"""),"ITBISA-SENSOR-ULTRASONIK-HCSR04")</f>
        <v>ITBISA-SENSOR-ULTRASONIK-HCSR04</v>
      </c>
      <c r="B10492" s="266">
        <f>IFERROR(__xludf.DUMMYFUNCTION("""COMPUTED_VALUE"""),45734.0)</f>
        <v>45734</v>
      </c>
      <c r="C10492" s="266" t="str">
        <f>IFERROR(__xludf.DUMMYFUNCTION("""COMPUTED_VALUE"""),"KERTASARI CIAMIS")</f>
        <v>KERTASARI CIAMIS</v>
      </c>
      <c r="D10492" s="186">
        <f>IFERROR(__xludf.DUMMYFUNCTION("""COMPUTED_VALUE"""),10.0)</f>
        <v>10</v>
      </c>
    </row>
    <row r="10493">
      <c r="A10493" s="178" t="str">
        <f>IFERROR(__xludf.DUMMYFUNCTION("""COMPUTED_VALUE"""),"ITBISA-SENSOR-ULTRASONIK-HCSR04")</f>
        <v>ITBISA-SENSOR-ULTRASONIK-HCSR04</v>
      </c>
      <c r="B10493" s="266">
        <f>IFERROR(__xludf.DUMMYFUNCTION("""COMPUTED_VALUE"""),45750.0)</f>
        <v>45750</v>
      </c>
      <c r="C10493" s="266" t="str">
        <f>IFERROR(__xludf.DUMMYFUNCTION("""COMPUTED_VALUE"""),"KERTASARI CIAMIS")</f>
        <v>KERTASARI CIAMIS</v>
      </c>
      <c r="D10493" s="186">
        <f>IFERROR(__xludf.DUMMYFUNCTION("""COMPUTED_VALUE"""),1.0)</f>
        <v>1</v>
      </c>
    </row>
    <row r="10494">
      <c r="A10494" s="178" t="str">
        <f>IFERROR(__xludf.DUMMYFUNCTION("""COMPUTED_VALUE"""),"ITBISA-SENSOR-ULTRASONIK-HCSR04")</f>
        <v>ITBISA-SENSOR-ULTRASONIK-HCSR04</v>
      </c>
      <c r="B10494" s="266">
        <f>IFERROR(__xludf.DUMMYFUNCTION("""COMPUTED_VALUE"""),45766.0)</f>
        <v>45766</v>
      </c>
      <c r="C10494" s="266" t="str">
        <f>IFERROR(__xludf.DUMMYFUNCTION("""COMPUTED_VALUE"""),"KERTASARI CIAMIS")</f>
        <v>KERTASARI CIAMIS</v>
      </c>
      <c r="D10494" s="186">
        <f>IFERROR(__xludf.DUMMYFUNCTION("""COMPUTED_VALUE"""),1.0)</f>
        <v>1</v>
      </c>
    </row>
    <row r="10495">
      <c r="A10495" s="178" t="str">
        <f>IFERROR(__xludf.DUMMYFUNCTION("""COMPUTED_VALUE"""),"ITBISA-SENSOR-ULTRASONIK-HCSR04")</f>
        <v>ITBISA-SENSOR-ULTRASONIK-HCSR04</v>
      </c>
      <c r="B10495" s="266">
        <f>IFERROR(__xludf.DUMMYFUNCTION("""COMPUTED_VALUE"""),45779.0)</f>
        <v>45779</v>
      </c>
      <c r="C10495" s="266" t="str">
        <f>IFERROR(__xludf.DUMMYFUNCTION("""COMPUTED_VALUE"""),"KYAI KONTONG")</f>
        <v>KYAI KONTONG</v>
      </c>
      <c r="D10495" s="186">
        <f>IFERROR(__xludf.DUMMYFUNCTION("""COMPUTED_VALUE"""),1.0)</f>
        <v>1</v>
      </c>
    </row>
    <row r="10496">
      <c r="A10496" s="178" t="str">
        <f>IFERROR(__xludf.DUMMYFUNCTION("""COMPUTED_VALUE"""),"ITBISA-SENSOR-ULTRASONIK-HCSR04")</f>
        <v>ITBISA-SENSOR-ULTRASONIK-HCSR04</v>
      </c>
      <c r="B10496" s="266">
        <f>IFERROR(__xludf.DUMMYFUNCTION("""COMPUTED_VALUE"""),45781.0)</f>
        <v>45781</v>
      </c>
      <c r="C10496" s="266" t="str">
        <f>IFERROR(__xludf.DUMMYFUNCTION("""COMPUTED_VALUE"""),"KERTASARI CIAMIS")</f>
        <v>KERTASARI CIAMIS</v>
      </c>
      <c r="D10496" s="186">
        <f>IFERROR(__xludf.DUMMYFUNCTION("""COMPUTED_VALUE"""),1.0)</f>
        <v>1</v>
      </c>
    </row>
    <row r="10497">
      <c r="A10497" s="178" t="str">
        <f>IFERROR(__xludf.DUMMYFUNCTION("""COMPUTED_VALUE"""),"ITBISA-SENSOR-ULTRASONIK-HCSR04")</f>
        <v>ITBISA-SENSOR-ULTRASONIK-HCSR04</v>
      </c>
      <c r="B10497" s="266">
        <f>IFERROR(__xludf.DUMMYFUNCTION("""COMPUTED_VALUE"""),45800.0)</f>
        <v>45800</v>
      </c>
      <c r="C10497" s="266" t="str">
        <f>IFERROR(__xludf.DUMMYFUNCTION("""COMPUTED_VALUE"""),"KYAI KONTONG")</f>
        <v>KYAI KONTONG</v>
      </c>
      <c r="D10497" s="186">
        <f>IFERROR(__xludf.DUMMYFUNCTION("""COMPUTED_VALUE"""),2.0)</f>
        <v>2</v>
      </c>
    </row>
    <row r="10498">
      <c r="A10498" s="178" t="str">
        <f>IFERROR(__xludf.DUMMYFUNCTION("""COMPUTED_VALUE"""),"ITBISA-SENSOR-ULTRASONIK-HCSR04")</f>
        <v>ITBISA-SENSOR-ULTRASONIK-HCSR04</v>
      </c>
      <c r="B10498" s="266">
        <f>IFERROR(__xludf.DUMMYFUNCTION("""COMPUTED_VALUE"""),45809.0)</f>
        <v>45809</v>
      </c>
      <c r="C10498" s="266" t="str">
        <f>IFERROR(__xludf.DUMMYFUNCTION("""COMPUTED_VALUE"""),"KYAI KONTONG")</f>
        <v>KYAI KONTONG</v>
      </c>
      <c r="D10498" s="186">
        <f>IFERROR(__xludf.DUMMYFUNCTION("""COMPUTED_VALUE"""),1.0)</f>
        <v>1</v>
      </c>
    </row>
    <row r="10499">
      <c r="A10499" s="178" t="str">
        <f>IFERROR(__xludf.DUMMYFUNCTION("""COMPUTED_VALUE"""),"ITBISA-SENSOR-ULTRASONIK-HCSR04")</f>
        <v>ITBISA-SENSOR-ULTRASONIK-HCSR04</v>
      </c>
      <c r="B10499" s="266">
        <f>IFERROR(__xludf.DUMMYFUNCTION("""COMPUTED_VALUE"""),45817.0)</f>
        <v>45817</v>
      </c>
      <c r="C10499" s="266" t="str">
        <f>IFERROR(__xludf.DUMMYFUNCTION("""COMPUTED_VALUE"""),"KYAI KONTONG")</f>
        <v>KYAI KONTONG</v>
      </c>
      <c r="D10499" s="186">
        <f>IFERROR(__xludf.DUMMYFUNCTION("""COMPUTED_VALUE"""),1.0)</f>
        <v>1</v>
      </c>
    </row>
    <row r="10500">
      <c r="A10500" s="178" t="str">
        <f>IFERROR(__xludf.DUMMYFUNCTION("""COMPUTED_VALUE"""),"ITBISA-SENSOR-ULTRASONIK-HCSR04")</f>
        <v>ITBISA-SENSOR-ULTRASONIK-HCSR04</v>
      </c>
      <c r="B10500" s="266">
        <f>IFERROR(__xludf.DUMMYFUNCTION("""COMPUTED_VALUE"""),45818.0)</f>
        <v>45818</v>
      </c>
      <c r="C10500" s="266" t="str">
        <f>IFERROR(__xludf.DUMMYFUNCTION("""COMPUTED_VALUE"""),"KYAI KONTONG")</f>
        <v>KYAI KONTONG</v>
      </c>
      <c r="D10500" s="186">
        <f>IFERROR(__xludf.DUMMYFUNCTION("""COMPUTED_VALUE"""),2.0)</f>
        <v>2</v>
      </c>
    </row>
    <row r="10501">
      <c r="A10501" s="178" t="str">
        <f>IFERROR(__xludf.DUMMYFUNCTION("""COMPUTED_VALUE"""),"ITBISA-SENSOR-ULTRASONIK-HCSR04")</f>
        <v>ITBISA-SENSOR-ULTRASONIK-HCSR04</v>
      </c>
      <c r="B10501" s="266">
        <f>IFERROR(__xludf.DUMMYFUNCTION("""COMPUTED_VALUE"""),45820.0)</f>
        <v>45820</v>
      </c>
      <c r="C10501" s="266" t="str">
        <f>IFERROR(__xludf.DUMMYFUNCTION("""COMPUTED_VALUE"""),"KERTASARI CIAMIS")</f>
        <v>KERTASARI CIAMIS</v>
      </c>
      <c r="D10501" s="186">
        <f>IFERROR(__xludf.DUMMYFUNCTION("""COMPUTED_VALUE"""),1.0)</f>
        <v>1</v>
      </c>
    </row>
    <row r="10502">
      <c r="A10502" s="178" t="str">
        <f>IFERROR(__xludf.DUMMYFUNCTION("""COMPUTED_VALUE"""),"ITBISA-SENSOR-ULTRASONIK-HCSR04")</f>
        <v>ITBISA-SENSOR-ULTRASONIK-HCSR04</v>
      </c>
      <c r="B10502" s="266">
        <f>IFERROR(__xludf.DUMMYFUNCTION("""COMPUTED_VALUE"""),45851.0)</f>
        <v>45851</v>
      </c>
      <c r="C10502" s="266" t="str">
        <f>IFERROR(__xludf.DUMMYFUNCTION("""COMPUTED_VALUE"""),"KERTASARI CIAMIS")</f>
        <v>KERTASARI CIAMIS</v>
      </c>
      <c r="D10502" s="186">
        <f>IFERROR(__xludf.DUMMYFUNCTION("""COMPUTED_VALUE"""),1.0)</f>
        <v>1</v>
      </c>
    </row>
    <row r="10503">
      <c r="A10503" s="178" t="str">
        <f>IFERROR(__xludf.DUMMYFUNCTION("""COMPUTED_VALUE"""),"ITBISA-SENSOR-ULTRASONIK-HCSR04")</f>
        <v>ITBISA-SENSOR-ULTRASONIK-HCSR04</v>
      </c>
      <c r="B10503" s="266">
        <f>IFERROR(__xludf.DUMMYFUNCTION("""COMPUTED_VALUE"""),45874.0)</f>
        <v>45874</v>
      </c>
      <c r="C10503" s="266" t="str">
        <f>IFERROR(__xludf.DUMMYFUNCTION("""COMPUTED_VALUE"""),"KERTASARI CIAMIS")</f>
        <v>KERTASARI CIAMIS</v>
      </c>
      <c r="D10503" s="186">
        <f>IFERROR(__xludf.DUMMYFUNCTION("""COMPUTED_VALUE"""),1.0)</f>
        <v>1</v>
      </c>
    </row>
    <row r="10504">
      <c r="A10504" s="178" t="str">
        <f>IFERROR(__xludf.DUMMYFUNCTION("""COMPUTED_VALUE"""),"ITBISA-SENSOR-ULTRASONIK-HCSR04")</f>
        <v>ITBISA-SENSOR-ULTRASONIK-HCSR04</v>
      </c>
      <c r="B10504" s="266">
        <f>IFERROR(__xludf.DUMMYFUNCTION("""COMPUTED_VALUE"""),45877.0)</f>
        <v>45877</v>
      </c>
      <c r="C10504" s="266" t="str">
        <f>IFERROR(__xludf.DUMMYFUNCTION("""COMPUTED_VALUE"""),"KYAI KONTONG")</f>
        <v>KYAI KONTONG</v>
      </c>
      <c r="D10504" s="186">
        <f>IFERROR(__xludf.DUMMYFUNCTION("""COMPUTED_VALUE"""),1.0)</f>
        <v>1</v>
      </c>
    </row>
    <row r="10505">
      <c r="A10505" s="178" t="str">
        <f>IFERROR(__xludf.DUMMYFUNCTION("""COMPUTED_VALUE"""),"ITBISA-SENSOR-ULTRASONIK-HCSR04")</f>
        <v>ITBISA-SENSOR-ULTRASONIK-HCSR04</v>
      </c>
      <c r="B10505" s="266">
        <f>IFERROR(__xludf.DUMMYFUNCTION("""COMPUTED_VALUE"""),45943.0)</f>
        <v>45943</v>
      </c>
      <c r="C10505" s="266" t="str">
        <f>IFERROR(__xludf.DUMMYFUNCTION("""COMPUTED_VALUE"""),"KYAI KONTONG")</f>
        <v>KYAI KONTONG</v>
      </c>
      <c r="D10505" s="186">
        <f>IFERROR(__xludf.DUMMYFUNCTION("""COMPUTED_VALUE"""),1.0)</f>
        <v>1</v>
      </c>
    </row>
    <row r="10506">
      <c r="A10506" s="178" t="str">
        <f>IFERROR(__xludf.DUMMYFUNCTION("""COMPUTED_VALUE"""),"ITBISA-SENSOR-ULTRASONIK-HCSR04")</f>
        <v>ITBISA-SENSOR-ULTRASONIK-HCSR04</v>
      </c>
      <c r="B10506" s="266">
        <f>IFERROR(__xludf.DUMMYFUNCTION("""COMPUTED_VALUE"""),45952.0)</f>
        <v>45952</v>
      </c>
      <c r="C10506" s="266" t="str">
        <f>IFERROR(__xludf.DUMMYFUNCTION("""COMPUTED_VALUE"""),"KERTASARI CIAMIS")</f>
        <v>KERTASARI CIAMIS</v>
      </c>
      <c r="D10506" s="186">
        <f>IFERROR(__xludf.DUMMYFUNCTION("""COMPUTED_VALUE"""),5.0)</f>
        <v>5</v>
      </c>
    </row>
    <row r="10507">
      <c r="A10507" s="178" t="str">
        <f>IFERROR(__xludf.DUMMYFUNCTION("""COMPUTED_VALUE"""),"ITBISA-SENSOR-ULTRASONIK-HCSR04")</f>
        <v>ITBISA-SENSOR-ULTRASONIK-HCSR04</v>
      </c>
      <c r="B10507" s="266">
        <f>IFERROR(__xludf.DUMMYFUNCTION("""COMPUTED_VALUE"""),45963.0)</f>
        <v>45963</v>
      </c>
      <c r="C10507" s="266" t="str">
        <f>IFERROR(__xludf.DUMMYFUNCTION("""COMPUTED_VALUE"""),"KERTASARI CIAMIS")</f>
        <v>KERTASARI CIAMIS</v>
      </c>
      <c r="D10507" s="186">
        <f>IFERROR(__xludf.DUMMYFUNCTION("""COMPUTED_VALUE"""),1.0)</f>
        <v>1</v>
      </c>
    </row>
    <row r="10508">
      <c r="A10508" s="178" t="str">
        <f>IFERROR(__xludf.DUMMYFUNCTION("""COMPUTED_VALUE"""),"ITBISA-SENSOR-ULTRASONIK-HCSR04")</f>
        <v>ITBISA-SENSOR-ULTRASONIK-HCSR04</v>
      </c>
      <c r="B10508" s="266">
        <f>IFERROR(__xludf.DUMMYFUNCTION("""COMPUTED_VALUE"""),45964.0)</f>
        <v>45964</v>
      </c>
      <c r="C10508" s="266" t="str">
        <f>IFERROR(__xludf.DUMMYFUNCTION("""COMPUTED_VALUE"""),"KERTASARI CIAMIS")</f>
        <v>KERTASARI CIAMIS</v>
      </c>
      <c r="D10508" s="186">
        <f>IFERROR(__xludf.DUMMYFUNCTION("""COMPUTED_VALUE"""),1.0)</f>
        <v>1</v>
      </c>
    </row>
    <row r="10509">
      <c r="A10509" s="178" t="str">
        <f>IFERROR(__xludf.DUMMYFUNCTION("""COMPUTED_VALUE"""),"ITBISA-SENSOR-ULTRASONIK-HCSR04")</f>
        <v>ITBISA-SENSOR-ULTRASONIK-HCSR04</v>
      </c>
      <c r="B10509" s="266">
        <f>IFERROR(__xludf.DUMMYFUNCTION("""COMPUTED_VALUE"""),45965.0)</f>
        <v>45965</v>
      </c>
      <c r="C10509" s="266" t="str">
        <f>IFERROR(__xludf.DUMMYFUNCTION("""COMPUTED_VALUE"""),"KYAI KONTONG")</f>
        <v>KYAI KONTONG</v>
      </c>
      <c r="D10509" s="186">
        <f>IFERROR(__xludf.DUMMYFUNCTION("""COMPUTED_VALUE"""),10.0)</f>
        <v>10</v>
      </c>
    </row>
    <row r="10510">
      <c r="A10510" s="178" t="str">
        <f>IFERROR(__xludf.DUMMYFUNCTION("""COMPUTED_VALUE"""),"ITBISA-SENSOR-ULTRASONIK-HCSR04")</f>
        <v>ITBISA-SENSOR-ULTRASONIK-HCSR04</v>
      </c>
      <c r="B10510" s="266">
        <f>IFERROR(__xludf.DUMMYFUNCTION("""COMPUTED_VALUE"""),45966.0)</f>
        <v>45966</v>
      </c>
      <c r="C10510" s="266" t="str">
        <f>IFERROR(__xludf.DUMMYFUNCTION("""COMPUTED_VALUE"""),"KYAI KONTONG")</f>
        <v>KYAI KONTONG</v>
      </c>
      <c r="D10510" s="186">
        <f>IFERROR(__xludf.DUMMYFUNCTION("""COMPUTED_VALUE"""),1.0)</f>
        <v>1</v>
      </c>
    </row>
    <row r="10511">
      <c r="A10511" s="178" t="str">
        <f>IFERROR(__xludf.DUMMYFUNCTION("""COMPUTED_VALUE"""),"ITBISA-SENSOR-ULTRASONIK-HCSR04")</f>
        <v>ITBISA-SENSOR-ULTRASONIK-HCSR04</v>
      </c>
      <c r="B10511" s="266">
        <f>IFERROR(__xludf.DUMMYFUNCTION("""COMPUTED_VALUE"""),45970.0)</f>
        <v>45970</v>
      </c>
      <c r="C10511" s="266" t="str">
        <f>IFERROR(__xludf.DUMMYFUNCTION("""COMPUTED_VALUE"""),"KYAI KONTONG")</f>
        <v>KYAI KONTONG</v>
      </c>
      <c r="D10511" s="186">
        <f>IFERROR(__xludf.DUMMYFUNCTION("""COMPUTED_VALUE"""),1.0)</f>
        <v>1</v>
      </c>
    </row>
    <row r="10512">
      <c r="A10512" s="178" t="str">
        <f>IFERROR(__xludf.DUMMYFUNCTION("""COMPUTED_VALUE"""),"ITBISA-SENSOR-ULTRASONIK-HCSR04")</f>
        <v>ITBISA-SENSOR-ULTRASONIK-HCSR04</v>
      </c>
      <c r="B10512" s="266">
        <f>IFERROR(__xludf.DUMMYFUNCTION("""COMPUTED_VALUE"""),45974.0)</f>
        <v>45974</v>
      </c>
      <c r="C10512" s="266" t="str">
        <f>IFERROR(__xludf.DUMMYFUNCTION("""COMPUTED_VALUE"""),"KYAI KONTONG")</f>
        <v>KYAI KONTONG</v>
      </c>
      <c r="D10512" s="186">
        <f>IFERROR(__xludf.DUMMYFUNCTION("""COMPUTED_VALUE"""),2.0)</f>
        <v>2</v>
      </c>
    </row>
    <row r="10513">
      <c r="A10513" s="178" t="str">
        <f>IFERROR(__xludf.DUMMYFUNCTION("""COMPUTED_VALUE"""),"ITBISA-SENSOR-ULTRASONIK-HCSR04")</f>
        <v>ITBISA-SENSOR-ULTRASONIK-HCSR04</v>
      </c>
      <c r="B10513" s="266">
        <f>IFERROR(__xludf.DUMMYFUNCTION("""COMPUTED_VALUE"""),45978.0)</f>
        <v>45978</v>
      </c>
      <c r="C10513" s="266" t="str">
        <f>IFERROR(__xludf.DUMMYFUNCTION("""COMPUTED_VALUE"""),"KYAI KONTONG")</f>
        <v>KYAI KONTONG</v>
      </c>
      <c r="D10513" s="186">
        <f>IFERROR(__xludf.DUMMYFUNCTION("""COMPUTED_VALUE"""),1.0)</f>
        <v>1</v>
      </c>
    </row>
    <row r="10514">
      <c r="A10514" s="178" t="str">
        <f>IFERROR(__xludf.DUMMYFUNCTION("""COMPUTED_VALUE"""),"ITBISA-SENSOR-ULTRASONIK-HCSR04")</f>
        <v>ITBISA-SENSOR-ULTRASONIK-HCSR04</v>
      </c>
      <c r="B10514" s="266">
        <f>IFERROR(__xludf.DUMMYFUNCTION("""COMPUTED_VALUE"""),45978.0)</f>
        <v>45978</v>
      </c>
      <c r="C10514" s="266" t="str">
        <f>IFERROR(__xludf.DUMMYFUNCTION("""COMPUTED_VALUE"""),"KYAI KONTONG")</f>
        <v>KYAI KONTONG</v>
      </c>
      <c r="D10514" s="186">
        <f>IFERROR(__xludf.DUMMYFUNCTION("""COMPUTED_VALUE"""),1.0)</f>
        <v>1</v>
      </c>
    </row>
    <row r="10515">
      <c r="A10515" s="178" t="str">
        <f>IFERROR(__xludf.DUMMYFUNCTION("""COMPUTED_VALUE"""),"ITBISA-SENSOR-ULTRASONIK-HCSR04")</f>
        <v>ITBISA-SENSOR-ULTRASONIK-HCSR04</v>
      </c>
      <c r="B10515" s="266">
        <f>IFERROR(__xludf.DUMMYFUNCTION("""COMPUTED_VALUE"""),45988.0)</f>
        <v>45988</v>
      </c>
      <c r="C10515" s="266" t="str">
        <f>IFERROR(__xludf.DUMMYFUNCTION("""COMPUTED_VALUE"""),"KERTASARI CIAMIS")</f>
        <v>KERTASARI CIAMIS</v>
      </c>
      <c r="D10515" s="186">
        <f>IFERROR(__xludf.DUMMYFUNCTION("""COMPUTED_VALUE"""),1.0)</f>
        <v>1</v>
      </c>
    </row>
    <row r="10516">
      <c r="A10516" s="178" t="str">
        <f>IFERROR(__xludf.DUMMYFUNCTION("""COMPUTED_VALUE"""),"ITBISA-SENSOR-ULTRASONIK-HCSR04")</f>
        <v>ITBISA-SENSOR-ULTRASONIK-HCSR04</v>
      </c>
      <c r="B10516" s="266">
        <f>IFERROR(__xludf.DUMMYFUNCTION("""COMPUTED_VALUE"""),45989.0)</f>
        <v>45989</v>
      </c>
      <c r="C10516" s="266" t="str">
        <f>IFERROR(__xludf.DUMMYFUNCTION("""COMPUTED_VALUE"""),"KERTASARI CIAMIS")</f>
        <v>KERTASARI CIAMIS</v>
      </c>
      <c r="D10516" s="186">
        <f>IFERROR(__xludf.DUMMYFUNCTION("""COMPUTED_VALUE"""),1.0)</f>
        <v>1</v>
      </c>
    </row>
    <row r="10517">
      <c r="A10517" s="178" t="str">
        <f>IFERROR(__xludf.DUMMYFUNCTION("""COMPUTED_VALUE"""),"ITBISA-SENSOR-ULTRASONIK-HCSR04")</f>
        <v>ITBISA-SENSOR-ULTRASONIK-HCSR04</v>
      </c>
      <c r="B10517" s="266">
        <f>IFERROR(__xludf.DUMMYFUNCTION("""COMPUTED_VALUE"""),45993.0)</f>
        <v>45993</v>
      </c>
      <c r="C10517" s="266" t="str">
        <f>IFERROR(__xludf.DUMMYFUNCTION("""COMPUTED_VALUE"""),"KERTASARI CIAMIS")</f>
        <v>KERTASARI CIAMIS</v>
      </c>
      <c r="D10517" s="186">
        <f>IFERROR(__xludf.DUMMYFUNCTION("""COMPUTED_VALUE"""),1.0)</f>
        <v>1</v>
      </c>
    </row>
    <row r="10518">
      <c r="A10518" s="178" t="str">
        <f>IFERROR(__xludf.DUMMYFUNCTION("""COMPUTED_VALUE"""),"ITBISA-SENSOR-ULTRASONIK-HCSR04")</f>
        <v>ITBISA-SENSOR-ULTRASONIK-HCSR04</v>
      </c>
      <c r="B10518" s="266">
        <f>IFERROR(__xludf.DUMMYFUNCTION("""COMPUTED_VALUE"""),45994.0)</f>
        <v>45994</v>
      </c>
      <c r="C10518" s="266" t="str">
        <f>IFERROR(__xludf.DUMMYFUNCTION("""COMPUTED_VALUE"""),"KYAI KONTONG")</f>
        <v>KYAI KONTONG</v>
      </c>
      <c r="D10518" s="186">
        <f>IFERROR(__xludf.DUMMYFUNCTION("""COMPUTED_VALUE"""),1.0)</f>
        <v>1</v>
      </c>
    </row>
    <row r="10519">
      <c r="A10519" s="178" t="str">
        <f>IFERROR(__xludf.DUMMYFUNCTION("""COMPUTED_VALUE"""),"ITBISA-SENSOR-ULTRASONIK-HCSR04")</f>
        <v>ITBISA-SENSOR-ULTRASONIK-HCSR04</v>
      </c>
      <c r="B10519" s="266">
        <f>IFERROR(__xludf.DUMMYFUNCTION("""COMPUTED_VALUE"""),45996.0)</f>
        <v>45996</v>
      </c>
      <c r="C10519" s="266" t="str">
        <f>IFERROR(__xludf.DUMMYFUNCTION("""COMPUTED_VALUE"""),"KERTASARI CIAMIS")</f>
        <v>KERTASARI CIAMIS</v>
      </c>
      <c r="D10519" s="186">
        <f>IFERROR(__xludf.DUMMYFUNCTION("""COMPUTED_VALUE"""),1.0)</f>
        <v>1</v>
      </c>
    </row>
    <row r="10520">
      <c r="A10520" s="178" t="str">
        <f>IFERROR(__xludf.DUMMYFUNCTION("""COMPUTED_VALUE"""),"ITBISA-SENSOR-ULTRASONIK-HCSR04")</f>
        <v>ITBISA-SENSOR-ULTRASONIK-HCSR04</v>
      </c>
      <c r="B10520" s="266">
        <f>IFERROR(__xludf.DUMMYFUNCTION("""COMPUTED_VALUE"""),45996.0)</f>
        <v>45996</v>
      </c>
      <c r="C10520" s="266" t="str">
        <f>IFERROR(__xludf.DUMMYFUNCTION("""COMPUTED_VALUE"""),"KERTASARI CIAMIS")</f>
        <v>KERTASARI CIAMIS</v>
      </c>
      <c r="D10520" s="186">
        <f>IFERROR(__xludf.DUMMYFUNCTION("""COMPUTED_VALUE"""),2.0)</f>
        <v>2</v>
      </c>
    </row>
    <row r="10521">
      <c r="A10521" s="178" t="str">
        <f>IFERROR(__xludf.DUMMYFUNCTION("""COMPUTED_VALUE"""),"ITBISA-SENSOR-ULTRASONIK-HCSR04")</f>
        <v>ITBISA-SENSOR-ULTRASONIK-HCSR04</v>
      </c>
      <c r="B10521" s="266">
        <f>IFERROR(__xludf.DUMMYFUNCTION("""COMPUTED_VALUE"""),45998.0)</f>
        <v>45998</v>
      </c>
      <c r="C10521" s="266" t="str">
        <f>IFERROR(__xludf.DUMMYFUNCTION("""COMPUTED_VALUE"""),"KERTASARI CIAMIS")</f>
        <v>KERTASARI CIAMIS</v>
      </c>
      <c r="D10521" s="186">
        <f>IFERROR(__xludf.DUMMYFUNCTION("""COMPUTED_VALUE"""),1.0)</f>
        <v>1</v>
      </c>
    </row>
    <row r="10522">
      <c r="A10522" s="178" t="str">
        <f>IFERROR(__xludf.DUMMYFUNCTION("""COMPUTED_VALUE"""),"ITBISA-SENSOR-ULTRASONIK-HCSR04")</f>
        <v>ITBISA-SENSOR-ULTRASONIK-HCSR04</v>
      </c>
      <c r="B10522" s="266">
        <f>IFERROR(__xludf.DUMMYFUNCTION("""COMPUTED_VALUE"""),46000.0)</f>
        <v>46000</v>
      </c>
      <c r="C10522" s="266" t="str">
        <f>IFERROR(__xludf.DUMMYFUNCTION("""COMPUTED_VALUE"""),"KYAI KONTONG")</f>
        <v>KYAI KONTONG</v>
      </c>
      <c r="D10522" s="186">
        <f>IFERROR(__xludf.DUMMYFUNCTION("""COMPUTED_VALUE"""),10.0)</f>
        <v>10</v>
      </c>
    </row>
    <row r="10523">
      <c r="A10523" s="178" t="str">
        <f>IFERROR(__xludf.DUMMYFUNCTION("""COMPUTED_VALUE"""),"ITBISA-SENSOR-ULTRASONIK-HCSR04")</f>
        <v>ITBISA-SENSOR-ULTRASONIK-HCSR04</v>
      </c>
      <c r="B10523" s="266">
        <f>IFERROR(__xludf.DUMMYFUNCTION("""COMPUTED_VALUE"""),46003.0)</f>
        <v>46003</v>
      </c>
      <c r="C10523" s="266" t="str">
        <f>IFERROR(__xludf.DUMMYFUNCTION("""COMPUTED_VALUE"""),"KYAI KONTONG")</f>
        <v>KYAI KONTONG</v>
      </c>
      <c r="D10523" s="186">
        <f>IFERROR(__xludf.DUMMYFUNCTION("""COMPUTED_VALUE"""),1.0)</f>
        <v>1</v>
      </c>
    </row>
    <row r="10524">
      <c r="A10524" s="178" t="str">
        <f>IFERROR(__xludf.DUMMYFUNCTION("""COMPUTED_VALUE"""),"ITBISA-SENSOR-ULTRASONIK-HCSR04")</f>
        <v>ITBISA-SENSOR-ULTRASONIK-HCSR04</v>
      </c>
      <c r="B10524" s="266">
        <f>IFERROR(__xludf.DUMMYFUNCTION("""COMPUTED_VALUE"""),46014.0)</f>
        <v>46014</v>
      </c>
      <c r="C10524" s="266" t="str">
        <f>IFERROR(__xludf.DUMMYFUNCTION("""COMPUTED_VALUE"""),"KERTASARI CIAMIS")</f>
        <v>KERTASARI CIAMIS</v>
      </c>
      <c r="D10524" s="186">
        <f>IFERROR(__xludf.DUMMYFUNCTION("""COMPUTED_VALUE"""),15.0)</f>
        <v>15</v>
      </c>
    </row>
    <row r="10525">
      <c r="A10525" s="178" t="str">
        <f>IFERROR(__xludf.DUMMYFUNCTION("""COMPUTED_VALUE"""),"ITBISA-SERVO-CHECKER")</f>
        <v>ITBISA-SERVO-CHECKER</v>
      </c>
      <c r="B10525" s="266">
        <f>IFERROR(__xludf.DUMMYFUNCTION("""COMPUTED_VALUE"""),45381.0)</f>
        <v>45381</v>
      </c>
      <c r="C10525" s="266" t="str">
        <f>IFERROR(__xludf.DUMMYFUNCTION("""COMPUTED_VALUE"""),"KYAI KONTONG")</f>
        <v>KYAI KONTONG</v>
      </c>
      <c r="D10525" s="186">
        <f>IFERROR(__xludf.DUMMYFUNCTION("""COMPUTED_VALUE"""),2.0)</f>
        <v>2</v>
      </c>
    </row>
    <row r="10526">
      <c r="A10526" s="178" t="str">
        <f>IFERROR(__xludf.DUMMYFUNCTION("""COMPUTED_VALUE"""),"ITBISA-SERVO-CHECKER")</f>
        <v>ITBISA-SERVO-CHECKER</v>
      </c>
      <c r="B10526" s="266">
        <f>IFERROR(__xludf.DUMMYFUNCTION("""COMPUTED_VALUE"""),45415.0)</f>
        <v>45415</v>
      </c>
      <c r="C10526" s="266" t="str">
        <f>IFERROR(__xludf.DUMMYFUNCTION("""COMPUTED_VALUE"""),"KYAI KONTONG")</f>
        <v>KYAI KONTONG</v>
      </c>
      <c r="D10526" s="186">
        <f>IFERROR(__xludf.DUMMYFUNCTION("""COMPUTED_VALUE"""),1.0)</f>
        <v>1</v>
      </c>
    </row>
    <row r="10527">
      <c r="A10527" s="178" t="str">
        <f>IFERROR(__xludf.DUMMYFUNCTION("""COMPUTED_VALUE"""),"ITBISA-SERVO-CHECKER")</f>
        <v>ITBISA-SERVO-CHECKER</v>
      </c>
      <c r="B10527" s="266">
        <f>IFERROR(__xludf.DUMMYFUNCTION("""COMPUTED_VALUE"""),45424.0)</f>
        <v>45424</v>
      </c>
      <c r="C10527" s="266" t="str">
        <f>IFERROR(__xludf.DUMMYFUNCTION("""COMPUTED_VALUE"""),"KYAI KONTONG")</f>
        <v>KYAI KONTONG</v>
      </c>
      <c r="D10527" s="186">
        <f>IFERROR(__xludf.DUMMYFUNCTION("""COMPUTED_VALUE"""),1.0)</f>
        <v>1</v>
      </c>
    </row>
    <row r="10528">
      <c r="A10528" s="178" t="str">
        <f>IFERROR(__xludf.DUMMYFUNCTION("""COMPUTED_VALUE"""),"ITBISA-SERVO-CHECKER")</f>
        <v>ITBISA-SERVO-CHECKER</v>
      </c>
      <c r="B10528" s="266">
        <f>IFERROR(__xludf.DUMMYFUNCTION("""COMPUTED_VALUE"""),45425.0)</f>
        <v>45425</v>
      </c>
      <c r="C10528" s="266" t="str">
        <f>IFERROR(__xludf.DUMMYFUNCTION("""COMPUTED_VALUE"""),"KYAI KONTONG")</f>
        <v>KYAI KONTONG</v>
      </c>
      <c r="D10528" s="186">
        <f>IFERROR(__xludf.DUMMYFUNCTION("""COMPUTED_VALUE"""),1.0)</f>
        <v>1</v>
      </c>
    </row>
    <row r="10529">
      <c r="A10529" s="178" t="str">
        <f>IFERROR(__xludf.DUMMYFUNCTION("""COMPUTED_VALUE"""),"ITBISA-SERVO-CHECKER")</f>
        <v>ITBISA-SERVO-CHECKER</v>
      </c>
      <c r="B10529" s="266">
        <f>IFERROR(__xludf.DUMMYFUNCTION("""COMPUTED_VALUE"""),45432.0)</f>
        <v>45432</v>
      </c>
      <c r="C10529" s="266" t="str">
        <f>IFERROR(__xludf.DUMMYFUNCTION("""COMPUTED_VALUE"""),"KYAI KONTONG")</f>
        <v>KYAI KONTONG</v>
      </c>
      <c r="D10529" s="186">
        <f>IFERROR(__xludf.DUMMYFUNCTION("""COMPUTED_VALUE"""),1.0)</f>
        <v>1</v>
      </c>
    </row>
    <row r="10530">
      <c r="A10530" s="178" t="str">
        <f>IFERROR(__xludf.DUMMYFUNCTION("""COMPUTED_VALUE"""),"ITBISA-SERVO-CHECKER")</f>
        <v>ITBISA-SERVO-CHECKER</v>
      </c>
      <c r="B10530" s="266">
        <f>IFERROR(__xludf.DUMMYFUNCTION("""COMPUTED_VALUE"""),45438.0)</f>
        <v>45438</v>
      </c>
      <c r="C10530" s="266" t="str">
        <f>IFERROR(__xludf.DUMMYFUNCTION("""COMPUTED_VALUE"""),"KYAI KONTONG")</f>
        <v>KYAI KONTONG</v>
      </c>
      <c r="D10530" s="186">
        <f>IFERROR(__xludf.DUMMYFUNCTION("""COMPUTED_VALUE"""),3.0)</f>
        <v>3</v>
      </c>
    </row>
    <row r="10531">
      <c r="A10531" s="178" t="str">
        <f>IFERROR(__xludf.DUMMYFUNCTION("""COMPUTED_VALUE"""),"ITBISA-SERVO-CHECKER")</f>
        <v>ITBISA-SERVO-CHECKER</v>
      </c>
      <c r="B10531" s="266">
        <f>IFERROR(__xludf.DUMMYFUNCTION("""COMPUTED_VALUE"""),45439.0)</f>
        <v>45439</v>
      </c>
      <c r="C10531" s="266" t="str">
        <f>IFERROR(__xludf.DUMMYFUNCTION("""COMPUTED_VALUE"""),"KERTASARI CIAMIS")</f>
        <v>KERTASARI CIAMIS</v>
      </c>
      <c r="D10531" s="186">
        <f>IFERROR(__xludf.DUMMYFUNCTION("""COMPUTED_VALUE"""),1.0)</f>
        <v>1</v>
      </c>
    </row>
    <row r="10532">
      <c r="A10532" s="178" t="str">
        <f>IFERROR(__xludf.DUMMYFUNCTION("""COMPUTED_VALUE"""),"ITBISA-SERVO-CHECKER")</f>
        <v>ITBISA-SERVO-CHECKER</v>
      </c>
      <c r="B10532" s="266">
        <f>IFERROR(__xludf.DUMMYFUNCTION("""COMPUTED_VALUE"""),45445.0)</f>
        <v>45445</v>
      </c>
      <c r="C10532" s="266" t="str">
        <f>IFERROR(__xludf.DUMMYFUNCTION("""COMPUTED_VALUE"""),"KERTASARI CIAMIS")</f>
        <v>KERTASARI CIAMIS</v>
      </c>
      <c r="D10532" s="186">
        <f>IFERROR(__xludf.DUMMYFUNCTION("""COMPUTED_VALUE"""),1.0)</f>
        <v>1</v>
      </c>
    </row>
    <row r="10533">
      <c r="A10533" s="178" t="str">
        <f>IFERROR(__xludf.DUMMYFUNCTION("""COMPUTED_VALUE"""),"ITBISA-SERVO-CHECKER")</f>
        <v>ITBISA-SERVO-CHECKER</v>
      </c>
      <c r="B10533" s="266">
        <f>IFERROR(__xludf.DUMMYFUNCTION("""COMPUTED_VALUE"""),45447.0)</f>
        <v>45447</v>
      </c>
      <c r="C10533" s="266" t="str">
        <f>IFERROR(__xludf.DUMMYFUNCTION("""COMPUTED_VALUE"""),"KYAI KONTONG")</f>
        <v>KYAI KONTONG</v>
      </c>
      <c r="D10533" s="186">
        <f>IFERROR(__xludf.DUMMYFUNCTION("""COMPUTED_VALUE"""),1.0)</f>
        <v>1</v>
      </c>
    </row>
    <row r="10534">
      <c r="A10534" s="178" t="str">
        <f>IFERROR(__xludf.DUMMYFUNCTION("""COMPUTED_VALUE"""),"ITBISA-SERVO-CHECKER")</f>
        <v>ITBISA-SERVO-CHECKER</v>
      </c>
      <c r="B10534" s="266">
        <f>IFERROR(__xludf.DUMMYFUNCTION("""COMPUTED_VALUE"""),45447.0)</f>
        <v>45447</v>
      </c>
      <c r="C10534" s="266" t="str">
        <f>IFERROR(__xludf.DUMMYFUNCTION("""COMPUTED_VALUE"""),"KYAI KONTONG")</f>
        <v>KYAI KONTONG</v>
      </c>
      <c r="D10534" s="186">
        <f>IFERROR(__xludf.DUMMYFUNCTION("""COMPUTED_VALUE"""),1.0)</f>
        <v>1</v>
      </c>
    </row>
    <row r="10535">
      <c r="A10535" s="178" t="str">
        <f>IFERROR(__xludf.DUMMYFUNCTION("""COMPUTED_VALUE"""),"ITBISA-SERVO-CHECKER")</f>
        <v>ITBISA-SERVO-CHECKER</v>
      </c>
      <c r="B10535" s="266">
        <f>IFERROR(__xludf.DUMMYFUNCTION("""COMPUTED_VALUE"""),45447.0)</f>
        <v>45447</v>
      </c>
      <c r="C10535" s="266" t="str">
        <f>IFERROR(__xludf.DUMMYFUNCTION("""COMPUTED_VALUE"""),"KYAI KONTONG")</f>
        <v>KYAI KONTONG</v>
      </c>
      <c r="D10535" s="186">
        <f>IFERROR(__xludf.DUMMYFUNCTION("""COMPUTED_VALUE"""),2.0)</f>
        <v>2</v>
      </c>
    </row>
    <row r="10536">
      <c r="A10536" s="178" t="str">
        <f>IFERROR(__xludf.DUMMYFUNCTION("""COMPUTED_VALUE"""),"ITBISA-SERVO-CHECKER")</f>
        <v>ITBISA-SERVO-CHECKER</v>
      </c>
      <c r="B10536" s="266">
        <f>IFERROR(__xludf.DUMMYFUNCTION("""COMPUTED_VALUE"""),45451.0)</f>
        <v>45451</v>
      </c>
      <c r="C10536" s="266" t="str">
        <f>IFERROR(__xludf.DUMMYFUNCTION("""COMPUTED_VALUE"""),"KYAI KONTONG")</f>
        <v>KYAI KONTONG</v>
      </c>
      <c r="D10536" s="186">
        <f>IFERROR(__xludf.DUMMYFUNCTION("""COMPUTED_VALUE"""),1.0)</f>
        <v>1</v>
      </c>
    </row>
    <row r="10537">
      <c r="A10537" s="178" t="str">
        <f>IFERROR(__xludf.DUMMYFUNCTION("""COMPUTED_VALUE"""),"ITBISA-SERVO-CHECKER")</f>
        <v>ITBISA-SERVO-CHECKER</v>
      </c>
      <c r="B10537" s="266">
        <f>IFERROR(__xludf.DUMMYFUNCTION("""COMPUTED_VALUE"""),45453.0)</f>
        <v>45453</v>
      </c>
      <c r="C10537" s="266" t="str">
        <f>IFERROR(__xludf.DUMMYFUNCTION("""COMPUTED_VALUE"""),"KERTASARI CIAMIS")</f>
        <v>KERTASARI CIAMIS</v>
      </c>
      <c r="D10537" s="186">
        <f>IFERROR(__xludf.DUMMYFUNCTION("""COMPUTED_VALUE"""),4.0)</f>
        <v>4</v>
      </c>
    </row>
    <row r="10538">
      <c r="A10538" s="178" t="str">
        <f>IFERROR(__xludf.DUMMYFUNCTION("""COMPUTED_VALUE"""),"ITBISA-SERVO-CHECKER")</f>
        <v>ITBISA-SERVO-CHECKER</v>
      </c>
      <c r="B10538" s="266">
        <f>IFERROR(__xludf.DUMMYFUNCTION("""COMPUTED_VALUE"""),45454.0)</f>
        <v>45454</v>
      </c>
      <c r="C10538" s="266" t="str">
        <f>IFERROR(__xludf.DUMMYFUNCTION("""COMPUTED_VALUE"""),"KYAI KONTONG")</f>
        <v>KYAI KONTONG</v>
      </c>
      <c r="D10538" s="186">
        <f>IFERROR(__xludf.DUMMYFUNCTION("""COMPUTED_VALUE"""),1.0)</f>
        <v>1</v>
      </c>
    </row>
    <row r="10539">
      <c r="A10539" s="178" t="str">
        <f>IFERROR(__xludf.DUMMYFUNCTION("""COMPUTED_VALUE"""),"ITBISA-SERVO-CHECKER")</f>
        <v>ITBISA-SERVO-CHECKER</v>
      </c>
      <c r="B10539" s="266">
        <f>IFERROR(__xludf.DUMMYFUNCTION("""COMPUTED_VALUE"""),45455.0)</f>
        <v>45455</v>
      </c>
      <c r="C10539" s="266" t="str">
        <f>IFERROR(__xludf.DUMMYFUNCTION("""COMPUTED_VALUE"""),"KYAI KONTONG")</f>
        <v>KYAI KONTONG</v>
      </c>
      <c r="D10539" s="186">
        <f>IFERROR(__xludf.DUMMYFUNCTION("""COMPUTED_VALUE"""),3.0)</f>
        <v>3</v>
      </c>
    </row>
    <row r="10540">
      <c r="A10540" s="178" t="str">
        <f>IFERROR(__xludf.DUMMYFUNCTION("""COMPUTED_VALUE"""),"ITBISA-SERVO-CHECKER")</f>
        <v>ITBISA-SERVO-CHECKER</v>
      </c>
      <c r="B10540" s="266">
        <f>IFERROR(__xludf.DUMMYFUNCTION("""COMPUTED_VALUE"""),45458.0)</f>
        <v>45458</v>
      </c>
      <c r="C10540" s="266" t="str">
        <f>IFERROR(__xludf.DUMMYFUNCTION("""COMPUTED_VALUE"""),"KYAI KONTONG")</f>
        <v>KYAI KONTONG</v>
      </c>
      <c r="D10540" s="186">
        <f>IFERROR(__xludf.DUMMYFUNCTION("""COMPUTED_VALUE"""),2.0)</f>
        <v>2</v>
      </c>
    </row>
    <row r="10541">
      <c r="A10541" s="178" t="str">
        <f>IFERROR(__xludf.DUMMYFUNCTION("""COMPUTED_VALUE"""),"ITBISA-SERVO-CHECKER")</f>
        <v>ITBISA-SERVO-CHECKER</v>
      </c>
      <c r="B10541" s="266">
        <f>IFERROR(__xludf.DUMMYFUNCTION("""COMPUTED_VALUE"""),45459.0)</f>
        <v>45459</v>
      </c>
      <c r="C10541" s="266" t="str">
        <f>IFERROR(__xludf.DUMMYFUNCTION("""COMPUTED_VALUE"""),"KYAI KONTONG")</f>
        <v>KYAI KONTONG</v>
      </c>
      <c r="D10541" s="186">
        <f>IFERROR(__xludf.DUMMYFUNCTION("""COMPUTED_VALUE"""),2.0)</f>
        <v>2</v>
      </c>
    </row>
    <row r="10542">
      <c r="A10542" s="178" t="str">
        <f>IFERROR(__xludf.DUMMYFUNCTION("""COMPUTED_VALUE"""),"ITBISA-SERVO-CHECKER")</f>
        <v>ITBISA-SERVO-CHECKER</v>
      </c>
      <c r="B10542" s="266">
        <f>IFERROR(__xludf.DUMMYFUNCTION("""COMPUTED_VALUE"""),45461.0)</f>
        <v>45461</v>
      </c>
      <c r="C10542" s="266" t="str">
        <f>IFERROR(__xludf.DUMMYFUNCTION("""COMPUTED_VALUE"""),"KERTASARI CIAMIS")</f>
        <v>KERTASARI CIAMIS</v>
      </c>
      <c r="D10542" s="186">
        <f>IFERROR(__xludf.DUMMYFUNCTION("""COMPUTED_VALUE"""),1.0)</f>
        <v>1</v>
      </c>
    </row>
    <row r="10543">
      <c r="A10543" s="178" t="str">
        <f>IFERROR(__xludf.DUMMYFUNCTION("""COMPUTED_VALUE"""),"ITBISA-SERVO-CHECKER")</f>
        <v>ITBISA-SERVO-CHECKER</v>
      </c>
      <c r="B10543" s="266">
        <f>IFERROR(__xludf.DUMMYFUNCTION("""COMPUTED_VALUE"""),45462.0)</f>
        <v>45462</v>
      </c>
      <c r="C10543" s="266" t="str">
        <f>IFERROR(__xludf.DUMMYFUNCTION("""COMPUTED_VALUE"""),"KYAI KONTONG")</f>
        <v>KYAI KONTONG</v>
      </c>
      <c r="D10543" s="186">
        <f>IFERROR(__xludf.DUMMYFUNCTION("""COMPUTED_VALUE"""),1.0)</f>
        <v>1</v>
      </c>
    </row>
    <row r="10544">
      <c r="A10544" s="178" t="str">
        <f>IFERROR(__xludf.DUMMYFUNCTION("""COMPUTED_VALUE"""),"ITBISA-SERVO-CHECKER")</f>
        <v>ITBISA-SERVO-CHECKER</v>
      </c>
      <c r="B10544" s="266">
        <f>IFERROR(__xludf.DUMMYFUNCTION("""COMPUTED_VALUE"""),45463.0)</f>
        <v>45463</v>
      </c>
      <c r="C10544" s="266" t="str">
        <f>IFERROR(__xludf.DUMMYFUNCTION("""COMPUTED_VALUE"""),"KYAI KONTONG")</f>
        <v>KYAI KONTONG</v>
      </c>
      <c r="D10544" s="186">
        <f>IFERROR(__xludf.DUMMYFUNCTION("""COMPUTED_VALUE"""),2.0)</f>
        <v>2</v>
      </c>
    </row>
    <row r="10545">
      <c r="A10545" s="178" t="str">
        <f>IFERROR(__xludf.DUMMYFUNCTION("""COMPUTED_VALUE"""),"ITBISA-SERVO-CHECKER")</f>
        <v>ITBISA-SERVO-CHECKER</v>
      </c>
      <c r="B10545" s="266">
        <f>IFERROR(__xludf.DUMMYFUNCTION("""COMPUTED_VALUE"""),45467.0)</f>
        <v>45467</v>
      </c>
      <c r="C10545" s="266" t="str">
        <f>IFERROR(__xludf.DUMMYFUNCTION("""COMPUTED_VALUE"""),"KERTASARI CIAMIS")</f>
        <v>KERTASARI CIAMIS</v>
      </c>
      <c r="D10545" s="186">
        <f>IFERROR(__xludf.DUMMYFUNCTION("""COMPUTED_VALUE"""),4.0)</f>
        <v>4</v>
      </c>
    </row>
    <row r="10546">
      <c r="A10546" s="178" t="str">
        <f>IFERROR(__xludf.DUMMYFUNCTION("""COMPUTED_VALUE"""),"ITBISA-SERVO-CHECKER")</f>
        <v>ITBISA-SERVO-CHECKER</v>
      </c>
      <c r="B10546" s="266">
        <f>IFERROR(__xludf.DUMMYFUNCTION("""COMPUTED_VALUE"""),45473.0)</f>
        <v>45473</v>
      </c>
      <c r="C10546" s="266" t="str">
        <f>IFERROR(__xludf.DUMMYFUNCTION("""COMPUTED_VALUE"""),"KYAI KONTONG")</f>
        <v>KYAI KONTONG</v>
      </c>
      <c r="D10546" s="186">
        <f>IFERROR(__xludf.DUMMYFUNCTION("""COMPUTED_VALUE"""),1.0)</f>
        <v>1</v>
      </c>
    </row>
    <row r="10547">
      <c r="A10547" s="178" t="str">
        <f>IFERROR(__xludf.DUMMYFUNCTION("""COMPUTED_VALUE"""),"ITBISA-SERVO-CHECKER")</f>
        <v>ITBISA-SERVO-CHECKER</v>
      </c>
      <c r="B10547" s="266">
        <f>IFERROR(__xludf.DUMMYFUNCTION("""COMPUTED_VALUE"""),45489.0)</f>
        <v>45489</v>
      </c>
      <c r="C10547" s="266" t="str">
        <f>IFERROR(__xludf.DUMMYFUNCTION("""COMPUTED_VALUE"""),"KERTASARI CIAMIS")</f>
        <v>KERTASARI CIAMIS</v>
      </c>
      <c r="D10547" s="186">
        <f>IFERROR(__xludf.DUMMYFUNCTION("""COMPUTED_VALUE"""),1.0)</f>
        <v>1</v>
      </c>
    </row>
    <row r="10548">
      <c r="A10548" s="178" t="str">
        <f>IFERROR(__xludf.DUMMYFUNCTION("""COMPUTED_VALUE"""),"ITBISA-SERVO-CHECKER")</f>
        <v>ITBISA-SERVO-CHECKER</v>
      </c>
      <c r="B10548" s="266">
        <f>IFERROR(__xludf.DUMMYFUNCTION("""COMPUTED_VALUE"""),45494.0)</f>
        <v>45494</v>
      </c>
      <c r="C10548" s="266" t="str">
        <f>IFERROR(__xludf.DUMMYFUNCTION("""COMPUTED_VALUE"""),"KERTASARI CIAMIS")</f>
        <v>KERTASARI CIAMIS</v>
      </c>
      <c r="D10548" s="186">
        <f>IFERROR(__xludf.DUMMYFUNCTION("""COMPUTED_VALUE"""),1.0)</f>
        <v>1</v>
      </c>
    </row>
    <row r="10549">
      <c r="A10549" s="178" t="str">
        <f>IFERROR(__xludf.DUMMYFUNCTION("""COMPUTED_VALUE"""),"ITBISA-SERVO-CHECKER")</f>
        <v>ITBISA-SERVO-CHECKER</v>
      </c>
      <c r="B10549" s="266">
        <f>IFERROR(__xludf.DUMMYFUNCTION("""COMPUTED_VALUE"""),45502.0)</f>
        <v>45502</v>
      </c>
      <c r="C10549" s="266" t="str">
        <f>IFERROR(__xludf.DUMMYFUNCTION("""COMPUTED_VALUE"""),"KYAI KONTONG")</f>
        <v>KYAI KONTONG</v>
      </c>
      <c r="D10549" s="186">
        <f>IFERROR(__xludf.DUMMYFUNCTION("""COMPUTED_VALUE"""),1.0)</f>
        <v>1</v>
      </c>
    </row>
    <row r="10550">
      <c r="A10550" s="178" t="str">
        <f>IFERROR(__xludf.DUMMYFUNCTION("""COMPUTED_VALUE"""),"ITBISA-SERVO-CHECKER")</f>
        <v>ITBISA-SERVO-CHECKER</v>
      </c>
      <c r="B10550" s="266">
        <f>IFERROR(__xludf.DUMMYFUNCTION("""COMPUTED_VALUE"""),45503.0)</f>
        <v>45503</v>
      </c>
      <c r="C10550" s="266" t="str">
        <f>IFERROR(__xludf.DUMMYFUNCTION("""COMPUTED_VALUE"""),"KERTASARI CIAMIS")</f>
        <v>KERTASARI CIAMIS</v>
      </c>
      <c r="D10550" s="186">
        <f>IFERROR(__xludf.DUMMYFUNCTION("""COMPUTED_VALUE"""),2.0)</f>
        <v>2</v>
      </c>
    </row>
    <row r="10551">
      <c r="A10551" s="178" t="str">
        <f>IFERROR(__xludf.DUMMYFUNCTION("""COMPUTED_VALUE"""),"ITBISA-SERVO-CHECKER")</f>
        <v>ITBISA-SERVO-CHECKER</v>
      </c>
      <c r="B10551" s="266">
        <f>IFERROR(__xludf.DUMMYFUNCTION("""COMPUTED_VALUE"""),45505.0)</f>
        <v>45505</v>
      </c>
      <c r="C10551" s="266" t="str">
        <f>IFERROR(__xludf.DUMMYFUNCTION("""COMPUTED_VALUE"""),"KYAI KONTONG")</f>
        <v>KYAI KONTONG</v>
      </c>
      <c r="D10551" s="186">
        <f>IFERROR(__xludf.DUMMYFUNCTION("""COMPUTED_VALUE"""),1.0)</f>
        <v>1</v>
      </c>
    </row>
    <row r="10552">
      <c r="A10552" s="178" t="str">
        <f>IFERROR(__xludf.DUMMYFUNCTION("""COMPUTED_VALUE"""),"ITBISA-SERVO-CHECKER")</f>
        <v>ITBISA-SERVO-CHECKER</v>
      </c>
      <c r="B10552" s="266">
        <f>IFERROR(__xludf.DUMMYFUNCTION("""COMPUTED_VALUE"""),45509.0)</f>
        <v>45509</v>
      </c>
      <c r="C10552" s="266" t="str">
        <f>IFERROR(__xludf.DUMMYFUNCTION("""COMPUTED_VALUE"""),"KYAI KONTONG")</f>
        <v>KYAI KONTONG</v>
      </c>
      <c r="D10552" s="186">
        <f>IFERROR(__xludf.DUMMYFUNCTION("""COMPUTED_VALUE"""),1.0)</f>
        <v>1</v>
      </c>
    </row>
    <row r="10553">
      <c r="A10553" s="178" t="str">
        <f>IFERROR(__xludf.DUMMYFUNCTION("""COMPUTED_VALUE"""),"ITBISA-SERVO-CHECKER")</f>
        <v>ITBISA-SERVO-CHECKER</v>
      </c>
      <c r="B10553" s="266">
        <f>IFERROR(__xludf.DUMMYFUNCTION("""COMPUTED_VALUE"""),45509.0)</f>
        <v>45509</v>
      </c>
      <c r="C10553" s="266" t="str">
        <f>IFERROR(__xludf.DUMMYFUNCTION("""COMPUTED_VALUE"""),"KYAI KONTONG")</f>
        <v>KYAI KONTONG</v>
      </c>
      <c r="D10553" s="186">
        <f>IFERROR(__xludf.DUMMYFUNCTION("""COMPUTED_VALUE"""),4.0)</f>
        <v>4</v>
      </c>
    </row>
    <row r="10554">
      <c r="A10554" s="178" t="str">
        <f>IFERROR(__xludf.DUMMYFUNCTION("""COMPUTED_VALUE"""),"ITBISA-SERVO-CHECKER")</f>
        <v>ITBISA-SERVO-CHECKER</v>
      </c>
      <c r="B10554" s="266">
        <f>IFERROR(__xludf.DUMMYFUNCTION("""COMPUTED_VALUE"""),45512.0)</f>
        <v>45512</v>
      </c>
      <c r="C10554" s="266" t="str">
        <f>IFERROR(__xludf.DUMMYFUNCTION("""COMPUTED_VALUE"""),"KYAI KONTONG")</f>
        <v>KYAI KONTONG</v>
      </c>
      <c r="D10554" s="186">
        <f>IFERROR(__xludf.DUMMYFUNCTION("""COMPUTED_VALUE"""),1.0)</f>
        <v>1</v>
      </c>
    </row>
    <row r="10555">
      <c r="A10555" s="178" t="str">
        <f>IFERROR(__xludf.DUMMYFUNCTION("""COMPUTED_VALUE"""),"ITBISA-SERVO-CHECKER")</f>
        <v>ITBISA-SERVO-CHECKER</v>
      </c>
      <c r="B10555" s="266">
        <f>IFERROR(__xludf.DUMMYFUNCTION("""COMPUTED_VALUE"""),45512.0)</f>
        <v>45512</v>
      </c>
      <c r="C10555" s="266" t="str">
        <f>IFERROR(__xludf.DUMMYFUNCTION("""COMPUTED_VALUE"""),"KYAI KONTONG")</f>
        <v>KYAI KONTONG</v>
      </c>
      <c r="D10555" s="186">
        <f>IFERROR(__xludf.DUMMYFUNCTION("""COMPUTED_VALUE"""),1.0)</f>
        <v>1</v>
      </c>
    </row>
    <row r="10556">
      <c r="A10556" s="178" t="str">
        <f>IFERROR(__xludf.DUMMYFUNCTION("""COMPUTED_VALUE"""),"ITBISA-SERVO-CHECKER")</f>
        <v>ITBISA-SERVO-CHECKER</v>
      </c>
      <c r="B10556" s="266">
        <f>IFERROR(__xludf.DUMMYFUNCTION("""COMPUTED_VALUE"""),45513.0)</f>
        <v>45513</v>
      </c>
      <c r="C10556" s="266" t="str">
        <f>IFERROR(__xludf.DUMMYFUNCTION("""COMPUTED_VALUE"""),"KYAI KONTONG")</f>
        <v>KYAI KONTONG</v>
      </c>
      <c r="D10556" s="186">
        <f>IFERROR(__xludf.DUMMYFUNCTION("""COMPUTED_VALUE"""),1.0)</f>
        <v>1</v>
      </c>
    </row>
    <row r="10557">
      <c r="A10557" s="178" t="str">
        <f>IFERROR(__xludf.DUMMYFUNCTION("""COMPUTED_VALUE"""),"ITBISA-SERVO-CHECKER")</f>
        <v>ITBISA-SERVO-CHECKER</v>
      </c>
      <c r="B10557" s="266">
        <f>IFERROR(__xludf.DUMMYFUNCTION("""COMPUTED_VALUE"""),45514.0)</f>
        <v>45514</v>
      </c>
      <c r="C10557" s="266" t="str">
        <f>IFERROR(__xludf.DUMMYFUNCTION("""COMPUTED_VALUE"""),"KERTASARI CIAMIS")</f>
        <v>KERTASARI CIAMIS</v>
      </c>
      <c r="D10557" s="186">
        <f>IFERROR(__xludf.DUMMYFUNCTION("""COMPUTED_VALUE"""),2.0)</f>
        <v>2</v>
      </c>
    </row>
    <row r="10558">
      <c r="A10558" s="178" t="str">
        <f>IFERROR(__xludf.DUMMYFUNCTION("""COMPUTED_VALUE"""),"ITBISA-SERVO-CHECKER")</f>
        <v>ITBISA-SERVO-CHECKER</v>
      </c>
      <c r="B10558" s="266">
        <f>IFERROR(__xludf.DUMMYFUNCTION("""COMPUTED_VALUE"""),45516.0)</f>
        <v>45516</v>
      </c>
      <c r="C10558" s="266" t="str">
        <f>IFERROR(__xludf.DUMMYFUNCTION("""COMPUTED_VALUE"""),"KERTASARI CIAMIS")</f>
        <v>KERTASARI CIAMIS</v>
      </c>
      <c r="D10558" s="186">
        <f>IFERROR(__xludf.DUMMYFUNCTION("""COMPUTED_VALUE"""),1.0)</f>
        <v>1</v>
      </c>
    </row>
    <row r="10559">
      <c r="A10559" s="178" t="str">
        <f>IFERROR(__xludf.DUMMYFUNCTION("""COMPUTED_VALUE"""),"ITBISA-SERVO-CHECKER")</f>
        <v>ITBISA-SERVO-CHECKER</v>
      </c>
      <c r="B10559" s="266">
        <f>IFERROR(__xludf.DUMMYFUNCTION("""COMPUTED_VALUE"""),45518.0)</f>
        <v>45518</v>
      </c>
      <c r="C10559" s="266" t="str">
        <f>IFERROR(__xludf.DUMMYFUNCTION("""COMPUTED_VALUE"""),"KERTASARI CIAMIS")</f>
        <v>KERTASARI CIAMIS</v>
      </c>
      <c r="D10559" s="186">
        <f>IFERROR(__xludf.DUMMYFUNCTION("""COMPUTED_VALUE"""),2.0)</f>
        <v>2</v>
      </c>
    </row>
    <row r="10560">
      <c r="A10560" s="178" t="str">
        <f>IFERROR(__xludf.DUMMYFUNCTION("""COMPUTED_VALUE"""),"ITBISA-SERVO-CHECKER")</f>
        <v>ITBISA-SERVO-CHECKER</v>
      </c>
      <c r="B10560" s="266">
        <f>IFERROR(__xludf.DUMMYFUNCTION("""COMPUTED_VALUE"""),45519.0)</f>
        <v>45519</v>
      </c>
      <c r="C10560" s="266" t="str">
        <f>IFERROR(__xludf.DUMMYFUNCTION("""COMPUTED_VALUE"""),"KYAI KONTONG")</f>
        <v>KYAI KONTONG</v>
      </c>
      <c r="D10560" s="186">
        <f>IFERROR(__xludf.DUMMYFUNCTION("""COMPUTED_VALUE"""),1.0)</f>
        <v>1</v>
      </c>
    </row>
    <row r="10561">
      <c r="A10561" s="178" t="str">
        <f>IFERROR(__xludf.DUMMYFUNCTION("""COMPUTED_VALUE"""),"ITBISA-SERVO-CHECKER")</f>
        <v>ITBISA-SERVO-CHECKER</v>
      </c>
      <c r="B10561" s="266">
        <f>IFERROR(__xludf.DUMMYFUNCTION("""COMPUTED_VALUE"""),45521.0)</f>
        <v>45521</v>
      </c>
      <c r="C10561" s="266" t="str">
        <f>IFERROR(__xludf.DUMMYFUNCTION("""COMPUTED_VALUE"""),"KERTASARI CIAMIS")</f>
        <v>KERTASARI CIAMIS</v>
      </c>
      <c r="D10561" s="186">
        <f>IFERROR(__xludf.DUMMYFUNCTION("""COMPUTED_VALUE"""),2.0)</f>
        <v>2</v>
      </c>
    </row>
    <row r="10562">
      <c r="A10562" s="178" t="str">
        <f>IFERROR(__xludf.DUMMYFUNCTION("""COMPUTED_VALUE"""),"ITBISA-SERVO-CHECKER")</f>
        <v>ITBISA-SERVO-CHECKER</v>
      </c>
      <c r="B10562" s="266">
        <f>IFERROR(__xludf.DUMMYFUNCTION("""COMPUTED_VALUE"""),45522.0)</f>
        <v>45522</v>
      </c>
      <c r="C10562" s="266" t="str">
        <f>IFERROR(__xludf.DUMMYFUNCTION("""COMPUTED_VALUE"""),"KYAI KONTONG")</f>
        <v>KYAI KONTONG</v>
      </c>
      <c r="D10562" s="186">
        <f>IFERROR(__xludf.DUMMYFUNCTION("""COMPUTED_VALUE"""),4.0)</f>
        <v>4</v>
      </c>
    </row>
    <row r="10563">
      <c r="A10563" s="178" t="str">
        <f>IFERROR(__xludf.DUMMYFUNCTION("""COMPUTED_VALUE"""),"ITBISA-SERVO-CHECKER")</f>
        <v>ITBISA-SERVO-CHECKER</v>
      </c>
      <c r="B10563" s="266">
        <f>IFERROR(__xludf.DUMMYFUNCTION("""COMPUTED_VALUE"""),45525.0)</f>
        <v>45525</v>
      </c>
      <c r="C10563" s="266" t="str">
        <f>IFERROR(__xludf.DUMMYFUNCTION("""COMPUTED_VALUE"""),"KYAI KONTONG")</f>
        <v>KYAI KONTONG</v>
      </c>
      <c r="D10563" s="186">
        <f>IFERROR(__xludf.DUMMYFUNCTION("""COMPUTED_VALUE"""),1.0)</f>
        <v>1</v>
      </c>
    </row>
    <row r="10564">
      <c r="A10564" s="178" t="str">
        <f>IFERROR(__xludf.DUMMYFUNCTION("""COMPUTED_VALUE"""),"ITBISA-SERVO-CHECKER")</f>
        <v>ITBISA-SERVO-CHECKER</v>
      </c>
      <c r="B10564" s="266">
        <f>IFERROR(__xludf.DUMMYFUNCTION("""COMPUTED_VALUE"""),45526.0)</f>
        <v>45526</v>
      </c>
      <c r="C10564" s="266" t="str">
        <f>IFERROR(__xludf.DUMMYFUNCTION("""COMPUTED_VALUE"""),"KYAI KONTONG")</f>
        <v>KYAI KONTONG</v>
      </c>
      <c r="D10564" s="186">
        <f>IFERROR(__xludf.DUMMYFUNCTION("""COMPUTED_VALUE"""),4.0)</f>
        <v>4</v>
      </c>
    </row>
    <row r="10565">
      <c r="A10565" s="178" t="str">
        <f>IFERROR(__xludf.DUMMYFUNCTION("""COMPUTED_VALUE"""),"ITBISA-SERVO-CHECKER")</f>
        <v>ITBISA-SERVO-CHECKER</v>
      </c>
      <c r="B10565" s="266">
        <f>IFERROR(__xludf.DUMMYFUNCTION("""COMPUTED_VALUE"""),45527.0)</f>
        <v>45527</v>
      </c>
      <c r="C10565" s="266" t="str">
        <f>IFERROR(__xludf.DUMMYFUNCTION("""COMPUTED_VALUE"""),"KYAI KONTONG")</f>
        <v>KYAI KONTONG</v>
      </c>
      <c r="D10565" s="186">
        <f>IFERROR(__xludf.DUMMYFUNCTION("""COMPUTED_VALUE"""),1.0)</f>
        <v>1</v>
      </c>
    </row>
    <row r="10566">
      <c r="A10566" s="178" t="str">
        <f>IFERROR(__xludf.DUMMYFUNCTION("""COMPUTED_VALUE"""),"ITBISA-SERVO-CHECKER")</f>
        <v>ITBISA-SERVO-CHECKER</v>
      </c>
      <c r="B10566" s="266">
        <f>IFERROR(__xludf.DUMMYFUNCTION("""COMPUTED_VALUE"""),45529.0)</f>
        <v>45529</v>
      </c>
      <c r="C10566" s="266" t="str">
        <f>IFERROR(__xludf.DUMMYFUNCTION("""COMPUTED_VALUE"""),"KYAI KONTONG")</f>
        <v>KYAI KONTONG</v>
      </c>
      <c r="D10566" s="186">
        <f>IFERROR(__xludf.DUMMYFUNCTION("""COMPUTED_VALUE"""),1.0)</f>
        <v>1</v>
      </c>
    </row>
    <row r="10567">
      <c r="A10567" s="178" t="str">
        <f>IFERROR(__xludf.DUMMYFUNCTION("""COMPUTED_VALUE"""),"ITBISA-SERVO-CHECKER")</f>
        <v>ITBISA-SERVO-CHECKER</v>
      </c>
      <c r="B10567" s="266">
        <f>IFERROR(__xludf.DUMMYFUNCTION("""COMPUTED_VALUE"""),45531.0)</f>
        <v>45531</v>
      </c>
      <c r="C10567" s="266" t="str">
        <f>IFERROR(__xludf.DUMMYFUNCTION("""COMPUTED_VALUE"""),"KYAI KONTONG")</f>
        <v>KYAI KONTONG</v>
      </c>
      <c r="D10567" s="186">
        <f>IFERROR(__xludf.DUMMYFUNCTION("""COMPUTED_VALUE"""),1.0)</f>
        <v>1</v>
      </c>
    </row>
    <row r="10568">
      <c r="A10568" s="178" t="str">
        <f>IFERROR(__xludf.DUMMYFUNCTION("""COMPUTED_VALUE"""),"ITBISA-SERVO-CHECKER")</f>
        <v>ITBISA-SERVO-CHECKER</v>
      </c>
      <c r="B10568" s="266">
        <f>IFERROR(__xludf.DUMMYFUNCTION("""COMPUTED_VALUE"""),45532.0)</f>
        <v>45532</v>
      </c>
      <c r="C10568" s="266" t="str">
        <f>IFERROR(__xludf.DUMMYFUNCTION("""COMPUTED_VALUE"""),"KYAI KONTONG")</f>
        <v>KYAI KONTONG</v>
      </c>
      <c r="D10568" s="186">
        <f>IFERROR(__xludf.DUMMYFUNCTION("""COMPUTED_VALUE"""),2.0)</f>
        <v>2</v>
      </c>
    </row>
    <row r="10569">
      <c r="A10569" s="178" t="str">
        <f>IFERROR(__xludf.DUMMYFUNCTION("""COMPUTED_VALUE"""),"ITBISA-SERVO-CHECKER")</f>
        <v>ITBISA-SERVO-CHECKER</v>
      </c>
      <c r="B10569" s="266">
        <f>IFERROR(__xludf.DUMMYFUNCTION("""COMPUTED_VALUE"""),45536.0)</f>
        <v>45536</v>
      </c>
      <c r="C10569" s="266" t="str">
        <f>IFERROR(__xludf.DUMMYFUNCTION("""COMPUTED_VALUE"""),"KYAI KONTONG")</f>
        <v>KYAI KONTONG</v>
      </c>
      <c r="D10569" s="186">
        <f>IFERROR(__xludf.DUMMYFUNCTION("""COMPUTED_VALUE"""),1.0)</f>
        <v>1</v>
      </c>
    </row>
    <row r="10570">
      <c r="A10570" s="178" t="str">
        <f>IFERROR(__xludf.DUMMYFUNCTION("""COMPUTED_VALUE"""),"ITBISA-SERVO-CHECKER")</f>
        <v>ITBISA-SERVO-CHECKER</v>
      </c>
      <c r="B10570" s="266">
        <f>IFERROR(__xludf.DUMMYFUNCTION("""COMPUTED_VALUE"""),45536.0)</f>
        <v>45536</v>
      </c>
      <c r="C10570" s="266" t="str">
        <f>IFERROR(__xludf.DUMMYFUNCTION("""COMPUTED_VALUE"""),"KYAI KONTONG")</f>
        <v>KYAI KONTONG</v>
      </c>
      <c r="D10570" s="186">
        <f>IFERROR(__xludf.DUMMYFUNCTION("""COMPUTED_VALUE"""),1.0)</f>
        <v>1</v>
      </c>
    </row>
    <row r="10571">
      <c r="A10571" s="178" t="str">
        <f>IFERROR(__xludf.DUMMYFUNCTION("""COMPUTED_VALUE"""),"ITBISA-SERVO-CHECKER")</f>
        <v>ITBISA-SERVO-CHECKER</v>
      </c>
      <c r="B10571" s="266">
        <f>IFERROR(__xludf.DUMMYFUNCTION("""COMPUTED_VALUE"""),45539.0)</f>
        <v>45539</v>
      </c>
      <c r="C10571" s="266" t="str">
        <f>IFERROR(__xludf.DUMMYFUNCTION("""COMPUTED_VALUE"""),"KYAI KONTONG")</f>
        <v>KYAI KONTONG</v>
      </c>
      <c r="D10571" s="186">
        <f>IFERROR(__xludf.DUMMYFUNCTION("""COMPUTED_VALUE"""),1.0)</f>
        <v>1</v>
      </c>
    </row>
    <row r="10572">
      <c r="A10572" s="178" t="str">
        <f>IFERROR(__xludf.DUMMYFUNCTION("""COMPUTED_VALUE"""),"ITBISA-SERVO-CHECKER")</f>
        <v>ITBISA-SERVO-CHECKER</v>
      </c>
      <c r="B10572" s="266">
        <f>IFERROR(__xludf.DUMMYFUNCTION("""COMPUTED_VALUE"""),45702.0)</f>
        <v>45702</v>
      </c>
      <c r="C10572" s="266" t="str">
        <f>IFERROR(__xludf.DUMMYFUNCTION("""COMPUTED_VALUE"""),"KERTASARI CIAMIS")</f>
        <v>KERTASARI CIAMIS</v>
      </c>
      <c r="D10572" s="186">
        <f>IFERROR(__xludf.DUMMYFUNCTION("""COMPUTED_VALUE"""),1.0)</f>
        <v>1</v>
      </c>
    </row>
    <row r="10573">
      <c r="A10573" s="178" t="str">
        <f>IFERROR(__xludf.DUMMYFUNCTION("""COMPUTED_VALUE"""),"ITBISA-SERVO-CHECKER")</f>
        <v>ITBISA-SERVO-CHECKER</v>
      </c>
      <c r="B10573" s="266">
        <f>IFERROR(__xludf.DUMMYFUNCTION("""COMPUTED_VALUE"""),45710.0)</f>
        <v>45710</v>
      </c>
      <c r="C10573" s="266" t="str">
        <f>IFERROR(__xludf.DUMMYFUNCTION("""COMPUTED_VALUE"""),"KERTASARI CIAMIS")</f>
        <v>KERTASARI CIAMIS</v>
      </c>
      <c r="D10573" s="186">
        <f>IFERROR(__xludf.DUMMYFUNCTION("""COMPUTED_VALUE"""),1.0)</f>
        <v>1</v>
      </c>
    </row>
    <row r="10574">
      <c r="A10574" s="178" t="str">
        <f>IFERROR(__xludf.DUMMYFUNCTION("""COMPUTED_VALUE"""),"ITBISA-SERVO-CHECKER")</f>
        <v>ITBISA-SERVO-CHECKER</v>
      </c>
      <c r="B10574" s="266">
        <f>IFERROR(__xludf.DUMMYFUNCTION("""COMPUTED_VALUE"""),45718.0)</f>
        <v>45718</v>
      </c>
      <c r="C10574" s="266" t="str">
        <f>IFERROR(__xludf.DUMMYFUNCTION("""COMPUTED_VALUE"""),"KYAI KONTONG")</f>
        <v>KYAI KONTONG</v>
      </c>
      <c r="D10574" s="186">
        <f>IFERROR(__xludf.DUMMYFUNCTION("""COMPUTED_VALUE"""),1.0)</f>
        <v>1</v>
      </c>
    </row>
    <row r="10575">
      <c r="A10575" s="178" t="str">
        <f>IFERROR(__xludf.DUMMYFUNCTION("""COMPUTED_VALUE"""),"ITBISA-SERVO-CHECKER")</f>
        <v>ITBISA-SERVO-CHECKER</v>
      </c>
      <c r="B10575" s="266">
        <f>IFERROR(__xludf.DUMMYFUNCTION("""COMPUTED_VALUE"""),45740.0)</f>
        <v>45740</v>
      </c>
      <c r="C10575" s="266" t="str">
        <f>IFERROR(__xludf.DUMMYFUNCTION("""COMPUTED_VALUE"""),"KERTASARI CIAMIS")</f>
        <v>KERTASARI CIAMIS</v>
      </c>
      <c r="D10575" s="186">
        <f>IFERROR(__xludf.DUMMYFUNCTION("""COMPUTED_VALUE"""),1.0)</f>
        <v>1</v>
      </c>
    </row>
    <row r="10576">
      <c r="A10576" s="178" t="str">
        <f>IFERROR(__xludf.DUMMYFUNCTION("""COMPUTED_VALUE"""),"ITBISA-SERVO-CHECKER")</f>
        <v>ITBISA-SERVO-CHECKER</v>
      </c>
      <c r="B10576" s="266">
        <f>IFERROR(__xludf.DUMMYFUNCTION("""COMPUTED_VALUE"""),45746.0)</f>
        <v>45746</v>
      </c>
      <c r="C10576" s="266" t="str">
        <f>IFERROR(__xludf.DUMMYFUNCTION("""COMPUTED_VALUE"""),"KERTASARI CIAMIS")</f>
        <v>KERTASARI CIAMIS</v>
      </c>
      <c r="D10576" s="186">
        <f>IFERROR(__xludf.DUMMYFUNCTION("""COMPUTED_VALUE"""),1.0)</f>
        <v>1</v>
      </c>
    </row>
    <row r="10577">
      <c r="A10577" s="178" t="str">
        <f>IFERROR(__xludf.DUMMYFUNCTION("""COMPUTED_VALUE"""),"ITBISA-SERVO-CHECKER")</f>
        <v>ITBISA-SERVO-CHECKER</v>
      </c>
      <c r="B10577" s="266">
        <f>IFERROR(__xludf.DUMMYFUNCTION("""COMPUTED_VALUE"""),45751.0)</f>
        <v>45751</v>
      </c>
      <c r="C10577" s="266" t="str">
        <f>IFERROR(__xludf.DUMMYFUNCTION("""COMPUTED_VALUE"""),"KERTASARI CIAMIS")</f>
        <v>KERTASARI CIAMIS</v>
      </c>
      <c r="D10577" s="186">
        <f>IFERROR(__xludf.DUMMYFUNCTION("""COMPUTED_VALUE"""),1.0)</f>
        <v>1</v>
      </c>
    </row>
    <row r="10578">
      <c r="A10578" s="178" t="str">
        <f>IFERROR(__xludf.DUMMYFUNCTION("""COMPUTED_VALUE"""),"ITBISA-SERVO-CHECKER")</f>
        <v>ITBISA-SERVO-CHECKER</v>
      </c>
      <c r="B10578" s="266">
        <f>IFERROR(__xludf.DUMMYFUNCTION("""COMPUTED_VALUE"""),45756.0)</f>
        <v>45756</v>
      </c>
      <c r="C10578" s="266" t="str">
        <f>IFERROR(__xludf.DUMMYFUNCTION("""COMPUTED_VALUE"""),"KERTASARI CIAMIS")</f>
        <v>KERTASARI CIAMIS</v>
      </c>
      <c r="D10578" s="186">
        <f>IFERROR(__xludf.DUMMYFUNCTION("""COMPUTED_VALUE"""),1.0)</f>
        <v>1</v>
      </c>
    </row>
    <row r="10579">
      <c r="A10579" s="178" t="str">
        <f>IFERROR(__xludf.DUMMYFUNCTION("""COMPUTED_VALUE"""),"ITBISA-SERVO-CHECKER")</f>
        <v>ITBISA-SERVO-CHECKER</v>
      </c>
      <c r="B10579" s="266">
        <f>IFERROR(__xludf.DUMMYFUNCTION("""COMPUTED_VALUE"""),45771.0)</f>
        <v>45771</v>
      </c>
      <c r="C10579" s="266" t="str">
        <f>IFERROR(__xludf.DUMMYFUNCTION("""COMPUTED_VALUE"""),"KYAI KONTONG")</f>
        <v>KYAI KONTONG</v>
      </c>
      <c r="D10579" s="186">
        <f>IFERROR(__xludf.DUMMYFUNCTION("""COMPUTED_VALUE"""),1.0)</f>
        <v>1</v>
      </c>
    </row>
    <row r="10580">
      <c r="A10580" s="178" t="str">
        <f>IFERROR(__xludf.DUMMYFUNCTION("""COMPUTED_VALUE"""),"ITBISA-SERVO-CHECKER")</f>
        <v>ITBISA-SERVO-CHECKER</v>
      </c>
      <c r="B10580" s="266">
        <f>IFERROR(__xludf.DUMMYFUNCTION("""COMPUTED_VALUE"""),45775.0)</f>
        <v>45775</v>
      </c>
      <c r="C10580" s="266" t="str">
        <f>IFERROR(__xludf.DUMMYFUNCTION("""COMPUTED_VALUE"""),"KYAI KONTONG")</f>
        <v>KYAI KONTONG</v>
      </c>
      <c r="D10580" s="186">
        <f>IFERROR(__xludf.DUMMYFUNCTION("""COMPUTED_VALUE"""),1.0)</f>
        <v>1</v>
      </c>
    </row>
    <row r="10581">
      <c r="A10581" s="178" t="str">
        <f>IFERROR(__xludf.DUMMYFUNCTION("""COMPUTED_VALUE"""),"ITBISA-SERVO-CHECKER")</f>
        <v>ITBISA-SERVO-CHECKER</v>
      </c>
      <c r="B10581" s="266">
        <f>IFERROR(__xludf.DUMMYFUNCTION("""COMPUTED_VALUE"""),45793.0)</f>
        <v>45793</v>
      </c>
      <c r="C10581" s="266" t="str">
        <f>IFERROR(__xludf.DUMMYFUNCTION("""COMPUTED_VALUE"""),"KERTASARI CIAMIS")</f>
        <v>KERTASARI CIAMIS</v>
      </c>
      <c r="D10581" s="186">
        <f>IFERROR(__xludf.DUMMYFUNCTION("""COMPUTED_VALUE"""),8.0)</f>
        <v>8</v>
      </c>
    </row>
    <row r="10582">
      <c r="A10582" s="178" t="str">
        <f>IFERROR(__xludf.DUMMYFUNCTION("""COMPUTED_VALUE"""),"ITBISA-SERVO-CHECKER")</f>
        <v>ITBISA-SERVO-CHECKER</v>
      </c>
      <c r="B10582" s="266">
        <f>IFERROR(__xludf.DUMMYFUNCTION("""COMPUTED_VALUE"""),45811.0)</f>
        <v>45811</v>
      </c>
      <c r="C10582" s="266" t="str">
        <f>IFERROR(__xludf.DUMMYFUNCTION("""COMPUTED_VALUE"""),"KERTASARI CIAMIS")</f>
        <v>KERTASARI CIAMIS</v>
      </c>
      <c r="D10582" s="186">
        <f>IFERROR(__xludf.DUMMYFUNCTION("""COMPUTED_VALUE"""),3.0)</f>
        <v>3</v>
      </c>
    </row>
    <row r="10583">
      <c r="A10583" s="178" t="str">
        <f>IFERROR(__xludf.DUMMYFUNCTION("""COMPUTED_VALUE"""),"ITBISA-SERVO-CHECKER")</f>
        <v>ITBISA-SERVO-CHECKER</v>
      </c>
      <c r="B10583" s="266">
        <f>IFERROR(__xludf.DUMMYFUNCTION("""COMPUTED_VALUE"""),45830.0)</f>
        <v>45830</v>
      </c>
      <c r="C10583" s="266" t="str">
        <f>IFERROR(__xludf.DUMMYFUNCTION("""COMPUTED_VALUE"""),"KERTASARI CIAMIS")</f>
        <v>KERTASARI CIAMIS</v>
      </c>
      <c r="D10583" s="186">
        <f>IFERROR(__xludf.DUMMYFUNCTION("""COMPUTED_VALUE"""),2.0)</f>
        <v>2</v>
      </c>
    </row>
    <row r="10584">
      <c r="A10584" s="178" t="str">
        <f>IFERROR(__xludf.DUMMYFUNCTION("""COMPUTED_VALUE"""),"ITBISA-SERVO-CHECKER")</f>
        <v>ITBISA-SERVO-CHECKER</v>
      </c>
      <c r="B10584" s="266">
        <f>IFERROR(__xludf.DUMMYFUNCTION("""COMPUTED_VALUE"""),45930.0)</f>
        <v>45930</v>
      </c>
      <c r="C10584" s="266" t="str">
        <f>IFERROR(__xludf.DUMMYFUNCTION("""COMPUTED_VALUE"""),"KERTASARI CIAMIS")</f>
        <v>KERTASARI CIAMIS</v>
      </c>
      <c r="D10584" s="186">
        <f>IFERROR(__xludf.DUMMYFUNCTION("""COMPUTED_VALUE"""),1.0)</f>
        <v>1</v>
      </c>
    </row>
    <row r="10585">
      <c r="A10585" s="178" t="str">
        <f>IFERROR(__xludf.DUMMYFUNCTION("""COMPUTED_VALUE"""),"ITBISA-SERVO-CHECKER")</f>
        <v>ITBISA-SERVO-CHECKER</v>
      </c>
      <c r="B10585" s="266">
        <f>IFERROR(__xludf.DUMMYFUNCTION("""COMPUTED_VALUE"""),45952.0)</f>
        <v>45952</v>
      </c>
      <c r="C10585" s="266" t="str">
        <f>IFERROR(__xludf.DUMMYFUNCTION("""COMPUTED_VALUE"""),"KYAI KONTONG")</f>
        <v>KYAI KONTONG</v>
      </c>
      <c r="D10585" s="186">
        <f>IFERROR(__xludf.DUMMYFUNCTION("""COMPUTED_VALUE"""),1.0)</f>
        <v>1</v>
      </c>
    </row>
    <row r="10586">
      <c r="A10586" s="178" t="str">
        <f>IFERROR(__xludf.DUMMYFUNCTION("""COMPUTED_VALUE"""),"ITBISA-SERVO-CHECKER")</f>
        <v>ITBISA-SERVO-CHECKER</v>
      </c>
      <c r="B10586" s="266">
        <f>IFERROR(__xludf.DUMMYFUNCTION("""COMPUTED_VALUE"""),45952.0)</f>
        <v>45952</v>
      </c>
      <c r="C10586" s="266" t="str">
        <f>IFERROR(__xludf.DUMMYFUNCTION("""COMPUTED_VALUE"""),"KYAI KONTONG")</f>
        <v>KYAI KONTONG</v>
      </c>
      <c r="D10586" s="186">
        <f>IFERROR(__xludf.DUMMYFUNCTION("""COMPUTED_VALUE"""),1.0)</f>
        <v>1</v>
      </c>
    </row>
    <row r="10587">
      <c r="A10587" s="178" t="str">
        <f>IFERROR(__xludf.DUMMYFUNCTION("""COMPUTED_VALUE"""),"ITBISA-SERVO-CHECKER")</f>
        <v>ITBISA-SERVO-CHECKER</v>
      </c>
      <c r="B10587" s="266">
        <f>IFERROR(__xludf.DUMMYFUNCTION("""COMPUTED_VALUE"""),45953.0)</f>
        <v>45953</v>
      </c>
      <c r="C10587" s="266" t="str">
        <f>IFERROR(__xludf.DUMMYFUNCTION("""COMPUTED_VALUE"""),"KYAI KONTONG")</f>
        <v>KYAI KONTONG</v>
      </c>
      <c r="D10587" s="186">
        <f>IFERROR(__xludf.DUMMYFUNCTION("""COMPUTED_VALUE"""),1.0)</f>
        <v>1</v>
      </c>
    </row>
    <row r="10588">
      <c r="A10588" s="178" t="str">
        <f>IFERROR(__xludf.DUMMYFUNCTION("""COMPUTED_VALUE"""),"ITBISA-SERVO-CHECKER")</f>
        <v>ITBISA-SERVO-CHECKER</v>
      </c>
      <c r="B10588" s="266">
        <f>IFERROR(__xludf.DUMMYFUNCTION("""COMPUTED_VALUE"""),45960.0)</f>
        <v>45960</v>
      </c>
      <c r="C10588" s="266" t="str">
        <f>IFERROR(__xludf.DUMMYFUNCTION("""COMPUTED_VALUE"""),"KYAI KONTONG")</f>
        <v>KYAI KONTONG</v>
      </c>
      <c r="D10588" s="186">
        <f>IFERROR(__xludf.DUMMYFUNCTION("""COMPUTED_VALUE"""),2.0)</f>
        <v>2</v>
      </c>
    </row>
    <row r="10589">
      <c r="A10589" s="178" t="str">
        <f>IFERROR(__xludf.DUMMYFUNCTION("""COMPUTED_VALUE"""),"ITBISA-SERVO-CHECKER")</f>
        <v>ITBISA-SERVO-CHECKER</v>
      </c>
      <c r="B10589" s="266">
        <f>IFERROR(__xludf.DUMMYFUNCTION("""COMPUTED_VALUE"""),45963.0)</f>
        <v>45963</v>
      </c>
      <c r="C10589" s="266" t="str">
        <f>IFERROR(__xludf.DUMMYFUNCTION("""COMPUTED_VALUE"""),"KERTASARI CIAMIS")</f>
        <v>KERTASARI CIAMIS</v>
      </c>
      <c r="D10589" s="186">
        <f>IFERROR(__xludf.DUMMYFUNCTION("""COMPUTED_VALUE"""),1.0)</f>
        <v>1</v>
      </c>
    </row>
    <row r="10590">
      <c r="A10590" s="178" t="str">
        <f>IFERROR(__xludf.DUMMYFUNCTION("""COMPUTED_VALUE"""),"ITBISA-SERVO-CHECKER")</f>
        <v>ITBISA-SERVO-CHECKER</v>
      </c>
      <c r="B10590" s="266">
        <f>IFERROR(__xludf.DUMMYFUNCTION("""COMPUTED_VALUE"""),45965.0)</f>
        <v>45965</v>
      </c>
      <c r="C10590" s="266" t="str">
        <f>IFERROR(__xludf.DUMMYFUNCTION("""COMPUTED_VALUE"""),"KYAI KONTONG")</f>
        <v>KYAI KONTONG</v>
      </c>
      <c r="D10590" s="186">
        <f>IFERROR(__xludf.DUMMYFUNCTION("""COMPUTED_VALUE"""),1.0)</f>
        <v>1</v>
      </c>
    </row>
    <row r="10591">
      <c r="A10591" s="178" t="str">
        <f>IFERROR(__xludf.DUMMYFUNCTION("""COMPUTED_VALUE"""),"ITBISA-SERVO-CHECKER")</f>
        <v>ITBISA-SERVO-CHECKER</v>
      </c>
      <c r="B10591" s="266">
        <f>IFERROR(__xludf.DUMMYFUNCTION("""COMPUTED_VALUE"""),45969.0)</f>
        <v>45969</v>
      </c>
      <c r="C10591" s="266" t="str">
        <f>IFERROR(__xludf.DUMMYFUNCTION("""COMPUTED_VALUE"""),"KYAI KONTONG")</f>
        <v>KYAI KONTONG</v>
      </c>
      <c r="D10591" s="186">
        <f>IFERROR(__xludf.DUMMYFUNCTION("""COMPUTED_VALUE"""),1.0)</f>
        <v>1</v>
      </c>
    </row>
    <row r="10592">
      <c r="A10592" s="178" t="str">
        <f>IFERROR(__xludf.DUMMYFUNCTION("""COMPUTED_VALUE"""),"ITBISA-SERVO-CHECKER")</f>
        <v>ITBISA-SERVO-CHECKER</v>
      </c>
      <c r="B10592" s="266">
        <f>IFERROR(__xludf.DUMMYFUNCTION("""COMPUTED_VALUE"""),45980.0)</f>
        <v>45980</v>
      </c>
      <c r="C10592" s="266" t="str">
        <f>IFERROR(__xludf.DUMMYFUNCTION("""COMPUTED_VALUE"""),"KYAI KONTONG")</f>
        <v>KYAI KONTONG</v>
      </c>
      <c r="D10592" s="186">
        <f>IFERROR(__xludf.DUMMYFUNCTION("""COMPUTED_VALUE"""),1.0)</f>
        <v>1</v>
      </c>
    </row>
    <row r="10593">
      <c r="A10593" s="178" t="str">
        <f>IFERROR(__xludf.DUMMYFUNCTION("""COMPUTED_VALUE"""),"ITBISA-SERVO-CHECKER")</f>
        <v>ITBISA-SERVO-CHECKER</v>
      </c>
      <c r="B10593" s="266">
        <f>IFERROR(__xludf.DUMMYFUNCTION("""COMPUTED_VALUE"""),45990.0)</f>
        <v>45990</v>
      </c>
      <c r="C10593" s="266" t="str">
        <f>IFERROR(__xludf.DUMMYFUNCTION("""COMPUTED_VALUE"""),"KYAI KONTONG")</f>
        <v>KYAI KONTONG</v>
      </c>
      <c r="D10593" s="186">
        <f>IFERROR(__xludf.DUMMYFUNCTION("""COMPUTED_VALUE"""),2.0)</f>
        <v>2</v>
      </c>
    </row>
    <row r="10594">
      <c r="A10594" s="178" t="str">
        <f>IFERROR(__xludf.DUMMYFUNCTION("""COMPUTED_VALUE"""),"ITBISA-SERVO-CHECKER")</f>
        <v>ITBISA-SERVO-CHECKER</v>
      </c>
      <c r="B10594" s="266">
        <f>IFERROR(__xludf.DUMMYFUNCTION("""COMPUTED_VALUE"""),45995.0)</f>
        <v>45995</v>
      </c>
      <c r="C10594" s="266" t="str">
        <f>IFERROR(__xludf.DUMMYFUNCTION("""COMPUTED_VALUE"""),"KERTASARI CIAMIS")</f>
        <v>KERTASARI CIAMIS</v>
      </c>
      <c r="D10594" s="186">
        <f>IFERROR(__xludf.DUMMYFUNCTION("""COMPUTED_VALUE"""),2.0)</f>
        <v>2</v>
      </c>
    </row>
    <row r="10595">
      <c r="A10595" s="178" t="str">
        <f>IFERROR(__xludf.DUMMYFUNCTION("""COMPUTED_VALUE"""),"ITBISA-SERVO-CHECKER")</f>
        <v>ITBISA-SERVO-CHECKER</v>
      </c>
      <c r="B10595" s="266">
        <f>IFERROR(__xludf.DUMMYFUNCTION("""COMPUTED_VALUE"""),45997.0)</f>
        <v>45997</v>
      </c>
      <c r="C10595" s="266" t="str">
        <f>IFERROR(__xludf.DUMMYFUNCTION("""COMPUTED_VALUE"""),"KERTASARI CIAMIS")</f>
        <v>KERTASARI CIAMIS</v>
      </c>
      <c r="D10595" s="186">
        <f>IFERROR(__xludf.DUMMYFUNCTION("""COMPUTED_VALUE"""),1.0)</f>
        <v>1</v>
      </c>
    </row>
    <row r="10596">
      <c r="A10596" s="178" t="str">
        <f>IFERROR(__xludf.DUMMYFUNCTION("""COMPUTED_VALUE"""),"ITBISA-SERVO-CHECKER")</f>
        <v>ITBISA-SERVO-CHECKER</v>
      </c>
      <c r="B10596" s="266">
        <f>IFERROR(__xludf.DUMMYFUNCTION("""COMPUTED_VALUE"""),45997.0)</f>
        <v>45997</v>
      </c>
      <c r="C10596" s="266" t="str">
        <f>IFERROR(__xludf.DUMMYFUNCTION("""COMPUTED_VALUE"""),"KYAI KONTONG")</f>
        <v>KYAI KONTONG</v>
      </c>
      <c r="D10596" s="186">
        <f>IFERROR(__xludf.DUMMYFUNCTION("""COMPUTED_VALUE"""),1.0)</f>
        <v>1</v>
      </c>
    </row>
    <row r="10597">
      <c r="A10597" s="178" t="str">
        <f>IFERROR(__xludf.DUMMYFUNCTION("""COMPUTED_VALUE"""),"ITBISA-SERVO-CHECKER")</f>
        <v>ITBISA-SERVO-CHECKER</v>
      </c>
      <c r="B10597" s="266">
        <f>IFERROR(__xludf.DUMMYFUNCTION("""COMPUTED_VALUE"""),45998.0)</f>
        <v>45998</v>
      </c>
      <c r="C10597" s="266" t="str">
        <f>IFERROR(__xludf.DUMMYFUNCTION("""COMPUTED_VALUE"""),"KYAI KONTONG")</f>
        <v>KYAI KONTONG</v>
      </c>
      <c r="D10597" s="186">
        <f>IFERROR(__xludf.DUMMYFUNCTION("""COMPUTED_VALUE"""),1.0)</f>
        <v>1</v>
      </c>
    </row>
    <row r="10598">
      <c r="A10598" s="178" t="str">
        <f>IFERROR(__xludf.DUMMYFUNCTION("""COMPUTED_VALUE"""),"ITBISA-SERVO-CHECKER")</f>
        <v>ITBISA-SERVO-CHECKER</v>
      </c>
      <c r="B10598" s="266">
        <f>IFERROR(__xludf.DUMMYFUNCTION("""COMPUTED_VALUE"""),46000.0)</f>
        <v>46000</v>
      </c>
      <c r="C10598" s="266" t="str">
        <f>IFERROR(__xludf.DUMMYFUNCTION("""COMPUTED_VALUE"""),"KERTASARI CIAMIS")</f>
        <v>KERTASARI CIAMIS</v>
      </c>
      <c r="D10598" s="186">
        <f>IFERROR(__xludf.DUMMYFUNCTION("""COMPUTED_VALUE"""),4.0)</f>
        <v>4</v>
      </c>
    </row>
    <row r="10599">
      <c r="A10599" s="178" t="str">
        <f>IFERROR(__xludf.DUMMYFUNCTION("""COMPUTED_VALUE"""),"ITBISA-SERVO-CHECKER")</f>
        <v>ITBISA-SERVO-CHECKER</v>
      </c>
      <c r="B10599" s="266">
        <f>IFERROR(__xludf.DUMMYFUNCTION("""COMPUTED_VALUE"""),46000.0)</f>
        <v>46000</v>
      </c>
      <c r="C10599" s="266" t="str">
        <f>IFERROR(__xludf.DUMMYFUNCTION("""COMPUTED_VALUE"""),"KYAI KONTONG")</f>
        <v>KYAI KONTONG</v>
      </c>
      <c r="D10599" s="186">
        <f>IFERROR(__xludf.DUMMYFUNCTION("""COMPUTED_VALUE"""),1.0)</f>
        <v>1</v>
      </c>
    </row>
    <row r="10600">
      <c r="A10600" s="178" t="str">
        <f>IFERROR(__xludf.DUMMYFUNCTION("""COMPUTED_VALUE"""),"ITBISA-SERVO-CHECKER")</f>
        <v>ITBISA-SERVO-CHECKER</v>
      </c>
      <c r="B10600" s="266">
        <f>IFERROR(__xludf.DUMMYFUNCTION("""COMPUTED_VALUE"""),46008.0)</f>
        <v>46008</v>
      </c>
      <c r="C10600" s="266" t="str">
        <f>IFERROR(__xludf.DUMMYFUNCTION("""COMPUTED_VALUE"""),"KERTASARI CIAMIS")</f>
        <v>KERTASARI CIAMIS</v>
      </c>
      <c r="D10600" s="186">
        <f>IFERROR(__xludf.DUMMYFUNCTION("""COMPUTED_VALUE"""),1.0)</f>
        <v>1</v>
      </c>
    </row>
    <row r="10601">
      <c r="A10601" s="178" t="str">
        <f>IFERROR(__xludf.DUMMYFUNCTION("""COMPUTED_VALUE"""),"ITBISA-SERVO-CHECKER")</f>
        <v>ITBISA-SERVO-CHECKER</v>
      </c>
      <c r="B10601" s="266">
        <f>IFERROR(__xludf.DUMMYFUNCTION("""COMPUTED_VALUE"""),46013.0)</f>
        <v>46013</v>
      </c>
      <c r="C10601" s="266" t="str">
        <f>IFERROR(__xludf.DUMMYFUNCTION("""COMPUTED_VALUE"""),"KERTASARI CIAMIS")</f>
        <v>KERTASARI CIAMIS</v>
      </c>
      <c r="D10601" s="186">
        <f>IFERROR(__xludf.DUMMYFUNCTION("""COMPUTED_VALUE"""),2.0)</f>
        <v>2</v>
      </c>
    </row>
    <row r="10602">
      <c r="A10602" s="178" t="str">
        <f>IFERROR(__xludf.DUMMYFUNCTION("""COMPUTED_VALUE"""),"ITBISA-SERVO-CHECKER")</f>
        <v>ITBISA-SERVO-CHECKER</v>
      </c>
      <c r="B10602" s="266">
        <f>IFERROR(__xludf.DUMMYFUNCTION("""COMPUTED_VALUE"""),46015.0)</f>
        <v>46015</v>
      </c>
      <c r="C10602" s="266" t="str">
        <f>IFERROR(__xludf.DUMMYFUNCTION("""COMPUTED_VALUE"""),"KYAI KONTONG")</f>
        <v>KYAI KONTONG</v>
      </c>
      <c r="D10602" s="186">
        <f>IFERROR(__xludf.DUMMYFUNCTION("""COMPUTED_VALUE"""),3.0)</f>
        <v>3</v>
      </c>
    </row>
    <row r="10603">
      <c r="A10603" s="178" t="str">
        <f>IFERROR(__xludf.DUMMYFUNCTION("""COMPUTED_VALUE"""),"ITBISA-SERVO-CHECKER")</f>
        <v>ITBISA-SERVO-CHECKER</v>
      </c>
      <c r="B10603" s="266">
        <f>IFERROR(__xludf.DUMMYFUNCTION("""COMPUTED_VALUE"""),46015.0)</f>
        <v>46015</v>
      </c>
      <c r="C10603" s="266" t="str">
        <f>IFERROR(__xludf.DUMMYFUNCTION("""COMPUTED_VALUE"""),"KYAI KONTONG")</f>
        <v>KYAI KONTONG</v>
      </c>
      <c r="D10603" s="186">
        <f>IFERROR(__xludf.DUMMYFUNCTION("""COMPUTED_VALUE"""),16.0)</f>
        <v>16</v>
      </c>
    </row>
    <row r="10604">
      <c r="A10604" s="178" t="str">
        <f>IFERROR(__xludf.DUMMYFUNCTION("""COMPUTED_VALUE"""),"ITBISA-SERVO-CHECKER")</f>
        <v>ITBISA-SERVO-CHECKER</v>
      </c>
      <c r="B10604" s="266">
        <f>IFERROR(__xludf.DUMMYFUNCTION("""COMPUTED_VALUE"""),46016.0)</f>
        <v>46016</v>
      </c>
      <c r="C10604" s="266" t="str">
        <f>IFERROR(__xludf.DUMMYFUNCTION("""COMPUTED_VALUE"""),"KERTASARI CIAMIS")</f>
        <v>KERTASARI CIAMIS</v>
      </c>
      <c r="D10604" s="186">
        <f>IFERROR(__xludf.DUMMYFUNCTION("""COMPUTED_VALUE"""),1.0)</f>
        <v>1</v>
      </c>
    </row>
    <row r="10605">
      <c r="A10605" s="178" t="str">
        <f>IFERROR(__xludf.DUMMYFUNCTION("""COMPUTED_VALUE"""),"ITBISA-SERVO-CHECKER")</f>
        <v>ITBISA-SERVO-CHECKER</v>
      </c>
      <c r="B10605" s="266">
        <f>IFERROR(__xludf.DUMMYFUNCTION("""COMPUTED_VALUE"""),46016.0)</f>
        <v>46016</v>
      </c>
      <c r="C10605" s="266" t="str">
        <f>IFERROR(__xludf.DUMMYFUNCTION("""COMPUTED_VALUE"""),"KERTASARI CIAMIS")</f>
        <v>KERTASARI CIAMIS</v>
      </c>
      <c r="D10605" s="186">
        <f>IFERROR(__xludf.DUMMYFUNCTION("""COMPUTED_VALUE"""),1.0)</f>
        <v>1</v>
      </c>
    </row>
    <row r="10606">
      <c r="A10606" s="178" t="str">
        <f>IFERROR(__xludf.DUMMYFUNCTION("""COMPUTED_VALUE"""),"ITBISA-SERVO-CHECKER")</f>
        <v>ITBISA-SERVO-CHECKER</v>
      </c>
      <c r="B10606" s="266">
        <f>IFERROR(__xludf.DUMMYFUNCTION("""COMPUTED_VALUE"""),46016.0)</f>
        <v>46016</v>
      </c>
      <c r="C10606" s="266" t="str">
        <f>IFERROR(__xludf.DUMMYFUNCTION("""COMPUTED_VALUE"""),"KERTASARI CIAMIS")</f>
        <v>KERTASARI CIAMIS</v>
      </c>
      <c r="D10606" s="186">
        <f>IFERROR(__xludf.DUMMYFUNCTION("""COMPUTED_VALUE"""),2.0)</f>
        <v>2</v>
      </c>
    </row>
    <row r="10607">
      <c r="A10607" s="178" t="str">
        <f>IFERROR(__xludf.DUMMYFUNCTION("""COMPUTED_VALUE"""),"ITBISA-SERVO-CHECKER")</f>
        <v>ITBISA-SERVO-CHECKER</v>
      </c>
      <c r="B10607" s="266">
        <f>IFERROR(__xludf.DUMMYFUNCTION("""COMPUTED_VALUE"""),46016.0)</f>
        <v>46016</v>
      </c>
      <c r="C10607" s="266" t="str">
        <f>IFERROR(__xludf.DUMMYFUNCTION("""COMPUTED_VALUE"""),"KYAI KONTONG")</f>
        <v>KYAI KONTONG</v>
      </c>
      <c r="D10607" s="186">
        <f>IFERROR(__xludf.DUMMYFUNCTION("""COMPUTED_VALUE"""),1.0)</f>
        <v>1</v>
      </c>
    </row>
    <row r="10608">
      <c r="A10608" s="178" t="str">
        <f>IFERROR(__xludf.DUMMYFUNCTION("""COMPUTED_VALUE"""),"ITBISA-SERVO-CHECKER")</f>
        <v>ITBISA-SERVO-CHECKER</v>
      </c>
      <c r="B10608" s="266">
        <f>IFERROR(__xludf.DUMMYFUNCTION("""COMPUTED_VALUE"""),46016.0)</f>
        <v>46016</v>
      </c>
      <c r="C10608" s="266" t="str">
        <f>IFERROR(__xludf.DUMMYFUNCTION("""COMPUTED_VALUE"""),"KYAI KONTONG")</f>
        <v>KYAI KONTONG</v>
      </c>
      <c r="D10608" s="186">
        <f>IFERROR(__xludf.DUMMYFUNCTION("""COMPUTED_VALUE"""),2.0)</f>
        <v>2</v>
      </c>
    </row>
    <row r="10609">
      <c r="A10609" s="178" t="str">
        <f>IFERROR(__xludf.DUMMYFUNCTION("""COMPUTED_VALUE"""),"ITBISA-SERVO-CHECKER")</f>
        <v>ITBISA-SERVO-CHECKER</v>
      </c>
      <c r="B10609" s="266">
        <f>IFERROR(__xludf.DUMMYFUNCTION("""COMPUTED_VALUE"""),46017.0)</f>
        <v>46017</v>
      </c>
      <c r="C10609" s="266" t="str">
        <f>IFERROR(__xludf.DUMMYFUNCTION("""COMPUTED_VALUE"""),"KYAI KONTONG")</f>
        <v>KYAI KONTONG</v>
      </c>
      <c r="D10609" s="186">
        <f>IFERROR(__xludf.DUMMYFUNCTION("""COMPUTED_VALUE"""),1.0)</f>
        <v>1</v>
      </c>
    </row>
    <row r="10610">
      <c r="A10610" s="178" t="str">
        <f>IFERROR(__xludf.DUMMYFUNCTION("""COMPUTED_VALUE"""),"ITBISA-SERVO-CHECKER")</f>
        <v>ITBISA-SERVO-CHECKER</v>
      </c>
      <c r="B10610" s="266">
        <f>IFERROR(__xludf.DUMMYFUNCTION("""COMPUTED_VALUE"""),46017.0)</f>
        <v>46017</v>
      </c>
      <c r="C10610" s="266" t="str">
        <f>IFERROR(__xludf.DUMMYFUNCTION("""COMPUTED_VALUE"""),"KYAI KONTONG")</f>
        <v>KYAI KONTONG</v>
      </c>
      <c r="D10610" s="186">
        <f>IFERROR(__xludf.DUMMYFUNCTION("""COMPUTED_VALUE"""),2.0)</f>
        <v>2</v>
      </c>
    </row>
    <row r="10611">
      <c r="A10611" s="178" t="str">
        <f>IFERROR(__xludf.DUMMYFUNCTION("""COMPUTED_VALUE"""),"ITBISA-SERVO-CHECKER")</f>
        <v>ITBISA-SERVO-CHECKER</v>
      </c>
      <c r="B10611" s="266">
        <f>IFERROR(__xludf.DUMMYFUNCTION("""COMPUTED_VALUE"""),46017.0)</f>
        <v>46017</v>
      </c>
      <c r="C10611" s="266" t="str">
        <f>IFERROR(__xludf.DUMMYFUNCTION("""COMPUTED_VALUE"""),"KYAI KONTONG")</f>
        <v>KYAI KONTONG</v>
      </c>
      <c r="D10611" s="186">
        <f>IFERROR(__xludf.DUMMYFUNCTION("""COMPUTED_VALUE"""),20.0)</f>
        <v>20</v>
      </c>
    </row>
    <row r="10612">
      <c r="A10612" s="178" t="str">
        <f>IFERROR(__xludf.DUMMYFUNCTION("""COMPUTED_VALUE"""),"ITBISA-SERVO-CHECKER")</f>
        <v>ITBISA-SERVO-CHECKER</v>
      </c>
      <c r="B10612" s="266">
        <f>IFERROR(__xludf.DUMMYFUNCTION("""COMPUTED_VALUE"""),46018.0)</f>
        <v>46018</v>
      </c>
      <c r="C10612" s="266" t="str">
        <f>IFERROR(__xludf.DUMMYFUNCTION("""COMPUTED_VALUE"""),"KYAI KONTONG")</f>
        <v>KYAI KONTONG</v>
      </c>
      <c r="D10612" s="186">
        <f>IFERROR(__xludf.DUMMYFUNCTION("""COMPUTED_VALUE"""),1.0)</f>
        <v>1</v>
      </c>
    </row>
    <row r="10613">
      <c r="A10613" s="178" t="str">
        <f>IFERROR(__xludf.DUMMYFUNCTION("""COMPUTED_VALUE"""),"ITBISA-SERVO-CHECKER")</f>
        <v>ITBISA-SERVO-CHECKER</v>
      </c>
      <c r="B10613" s="266">
        <f>IFERROR(__xludf.DUMMYFUNCTION("""COMPUTED_VALUE"""),46018.0)</f>
        <v>46018</v>
      </c>
      <c r="C10613" s="266" t="str">
        <f>IFERROR(__xludf.DUMMYFUNCTION("""COMPUTED_VALUE"""),"KYAI KONTONG")</f>
        <v>KYAI KONTONG</v>
      </c>
      <c r="D10613" s="186">
        <f>IFERROR(__xludf.DUMMYFUNCTION("""COMPUTED_VALUE"""),1.0)</f>
        <v>1</v>
      </c>
    </row>
    <row r="10614">
      <c r="A10614" s="178" t="str">
        <f>IFERROR(__xludf.DUMMYFUNCTION("""COMPUTED_VALUE"""),"ITBISA-SERVO-CHECKER")</f>
        <v>ITBISA-SERVO-CHECKER</v>
      </c>
      <c r="B10614" s="266">
        <f>IFERROR(__xludf.DUMMYFUNCTION("""COMPUTED_VALUE"""),46018.0)</f>
        <v>46018</v>
      </c>
      <c r="C10614" s="266" t="str">
        <f>IFERROR(__xludf.DUMMYFUNCTION("""COMPUTED_VALUE"""),"KYAI KONTONG")</f>
        <v>KYAI KONTONG</v>
      </c>
      <c r="D10614" s="186">
        <f>IFERROR(__xludf.DUMMYFUNCTION("""COMPUTED_VALUE"""),1.0)</f>
        <v>1</v>
      </c>
    </row>
    <row r="10615">
      <c r="A10615" s="178" t="str">
        <f>IFERROR(__xludf.DUMMYFUNCTION("""COMPUTED_VALUE"""),"ITBISA-SERVO-CHECKER")</f>
        <v>ITBISA-SERVO-CHECKER</v>
      </c>
      <c r="B10615" s="266">
        <f>IFERROR(__xludf.DUMMYFUNCTION("""COMPUTED_VALUE"""),46019.0)</f>
        <v>46019</v>
      </c>
      <c r="C10615" s="266" t="str">
        <f>IFERROR(__xludf.DUMMYFUNCTION("""COMPUTED_VALUE"""),"KYAI KONTONG")</f>
        <v>KYAI KONTONG</v>
      </c>
      <c r="D10615" s="186">
        <f>IFERROR(__xludf.DUMMYFUNCTION("""COMPUTED_VALUE"""),1.0)</f>
        <v>1</v>
      </c>
    </row>
    <row r="10616">
      <c r="A10616" s="178" t="str">
        <f>IFERROR(__xludf.DUMMYFUNCTION("""COMPUTED_VALUE"""),"ITBISA-SERVO-CHECKER")</f>
        <v>ITBISA-SERVO-CHECKER</v>
      </c>
      <c r="B10616" s="266">
        <f>IFERROR(__xludf.DUMMYFUNCTION("""COMPUTED_VALUE"""),46019.0)</f>
        <v>46019</v>
      </c>
      <c r="C10616" s="266" t="str">
        <f>IFERROR(__xludf.DUMMYFUNCTION("""COMPUTED_VALUE"""),"KYAI KONTONG")</f>
        <v>KYAI KONTONG</v>
      </c>
      <c r="D10616" s="186">
        <f>IFERROR(__xludf.DUMMYFUNCTION("""COMPUTED_VALUE"""),2.0)</f>
        <v>2</v>
      </c>
    </row>
    <row r="10617">
      <c r="A10617" s="178" t="str">
        <f>IFERROR(__xludf.DUMMYFUNCTION("""COMPUTED_VALUE"""),"ITBISA-SERVO-CHECKER")</f>
        <v>ITBISA-SERVO-CHECKER</v>
      </c>
      <c r="B10617" s="266">
        <f>IFERROR(__xludf.DUMMYFUNCTION("""COMPUTED_VALUE"""),46022.0)</f>
        <v>46022</v>
      </c>
      <c r="C10617" s="266" t="str">
        <f>IFERROR(__xludf.DUMMYFUNCTION("""COMPUTED_VALUE"""),"KYAI KONTONG")</f>
        <v>KYAI KONTONG</v>
      </c>
      <c r="D10617" s="186">
        <f>IFERROR(__xludf.DUMMYFUNCTION("""COMPUTED_VALUE"""),1.0)</f>
        <v>1</v>
      </c>
    </row>
    <row r="10618">
      <c r="A10618" s="178" t="str">
        <f>IFERROR(__xludf.DUMMYFUNCTION("""COMPUTED_VALUE"""),"ITBISA-SERVO-SG90-180DEG")</f>
        <v>ITBISA-SERVO-SG90-180DEG</v>
      </c>
      <c r="B10618" s="266">
        <f>IFERROR(__xludf.DUMMYFUNCTION("""COMPUTED_VALUE"""),45311.0)</f>
        <v>45311</v>
      </c>
      <c r="C10618" s="266" t="str">
        <f>IFERROR(__xludf.DUMMYFUNCTION("""COMPUTED_VALUE"""),"KERTASARI CIAMIS")</f>
        <v>KERTASARI CIAMIS</v>
      </c>
      <c r="D10618" s="186">
        <f>IFERROR(__xludf.DUMMYFUNCTION("""COMPUTED_VALUE"""),30.0)</f>
        <v>30</v>
      </c>
    </row>
    <row r="10619">
      <c r="A10619" s="178" t="str">
        <f>IFERROR(__xludf.DUMMYFUNCTION("""COMPUTED_VALUE"""),"ITBISA-SERVO-SG90-180DEG")</f>
        <v>ITBISA-SERVO-SG90-180DEG</v>
      </c>
      <c r="B10619" s="266">
        <f>IFERROR(__xludf.DUMMYFUNCTION("""COMPUTED_VALUE"""),45317.0)</f>
        <v>45317</v>
      </c>
      <c r="C10619" s="266" t="str">
        <f>IFERROR(__xludf.DUMMYFUNCTION("""COMPUTED_VALUE"""),"KERTASARI CIAMIS")</f>
        <v>KERTASARI CIAMIS</v>
      </c>
      <c r="D10619" s="186">
        <f>IFERROR(__xludf.DUMMYFUNCTION("""COMPUTED_VALUE"""),3.0)</f>
        <v>3</v>
      </c>
    </row>
    <row r="10620">
      <c r="A10620" s="178" t="str">
        <f>IFERROR(__xludf.DUMMYFUNCTION("""COMPUTED_VALUE"""),"ITBISA-SERVO-SG90-180DEG")</f>
        <v>ITBISA-SERVO-SG90-180DEG</v>
      </c>
      <c r="B10620" s="266">
        <f>IFERROR(__xludf.DUMMYFUNCTION("""COMPUTED_VALUE"""),45318.0)</f>
        <v>45318</v>
      </c>
      <c r="C10620" s="266" t="str">
        <f>IFERROR(__xludf.DUMMYFUNCTION("""COMPUTED_VALUE"""),"KERTASARI CIAMIS")</f>
        <v>KERTASARI CIAMIS</v>
      </c>
      <c r="D10620" s="186">
        <f>IFERROR(__xludf.DUMMYFUNCTION("""COMPUTED_VALUE"""),4.0)</f>
        <v>4</v>
      </c>
    </row>
    <row r="10621">
      <c r="A10621" s="178" t="str">
        <f>IFERROR(__xludf.DUMMYFUNCTION("""COMPUTED_VALUE"""),"ITBISA-SERVO-SG90-180DEG")</f>
        <v>ITBISA-SERVO-SG90-180DEG</v>
      </c>
      <c r="B10621" s="266">
        <f>IFERROR(__xludf.DUMMYFUNCTION("""COMPUTED_VALUE"""),45322.0)</f>
        <v>45322</v>
      </c>
      <c r="C10621" s="266" t="str">
        <f>IFERROR(__xludf.DUMMYFUNCTION("""COMPUTED_VALUE"""),"KERTASARI CIAMIS")</f>
        <v>KERTASARI CIAMIS</v>
      </c>
      <c r="D10621" s="186">
        <f>IFERROR(__xludf.DUMMYFUNCTION("""COMPUTED_VALUE"""),8.0)</f>
        <v>8</v>
      </c>
    </row>
    <row r="10622">
      <c r="A10622" s="178" t="str">
        <f>IFERROR(__xludf.DUMMYFUNCTION("""COMPUTED_VALUE"""),"ITBISA-SERVO-SG90-180DEG")</f>
        <v>ITBISA-SERVO-SG90-180DEG</v>
      </c>
      <c r="B10622" s="266">
        <f>IFERROR(__xludf.DUMMYFUNCTION("""COMPUTED_VALUE"""),45323.0)</f>
        <v>45323</v>
      </c>
      <c r="C10622" s="266" t="str">
        <f>IFERROR(__xludf.DUMMYFUNCTION("""COMPUTED_VALUE"""),"KERTASARI CIAMIS")</f>
        <v>KERTASARI CIAMIS</v>
      </c>
      <c r="D10622" s="186">
        <f>IFERROR(__xludf.DUMMYFUNCTION("""COMPUTED_VALUE"""),1.0)</f>
        <v>1</v>
      </c>
    </row>
    <row r="10623">
      <c r="A10623" s="178" t="str">
        <f>IFERROR(__xludf.DUMMYFUNCTION("""COMPUTED_VALUE"""),"ITBISA-SERVO-SG90-180DEG")</f>
        <v>ITBISA-SERVO-SG90-180DEG</v>
      </c>
      <c r="B10623" s="266">
        <f>IFERROR(__xludf.DUMMYFUNCTION("""COMPUTED_VALUE"""),45323.0)</f>
        <v>45323</v>
      </c>
      <c r="C10623" s="266" t="str">
        <f>IFERROR(__xludf.DUMMYFUNCTION("""COMPUTED_VALUE"""),"KERTASARI CIAMIS")</f>
        <v>KERTASARI CIAMIS</v>
      </c>
      <c r="D10623" s="186">
        <f>IFERROR(__xludf.DUMMYFUNCTION("""COMPUTED_VALUE"""),1.0)</f>
        <v>1</v>
      </c>
    </row>
    <row r="10624">
      <c r="A10624" s="178" t="str">
        <f>IFERROR(__xludf.DUMMYFUNCTION("""COMPUTED_VALUE"""),"ITBISA-SERVO-SG90-180DEG")</f>
        <v>ITBISA-SERVO-SG90-180DEG</v>
      </c>
      <c r="B10624" s="266">
        <f>IFERROR(__xludf.DUMMYFUNCTION("""COMPUTED_VALUE"""),45328.0)</f>
        <v>45328</v>
      </c>
      <c r="C10624" s="266" t="str">
        <f>IFERROR(__xludf.DUMMYFUNCTION("""COMPUTED_VALUE"""),"KERTASARI CIAMIS")</f>
        <v>KERTASARI CIAMIS</v>
      </c>
      <c r="D10624" s="186">
        <f>IFERROR(__xludf.DUMMYFUNCTION("""COMPUTED_VALUE"""),3.0)</f>
        <v>3</v>
      </c>
    </row>
    <row r="10625">
      <c r="A10625" s="178" t="str">
        <f>IFERROR(__xludf.DUMMYFUNCTION("""COMPUTED_VALUE"""),"ITBISA-SERVO-SG90-180DEG")</f>
        <v>ITBISA-SERVO-SG90-180DEG</v>
      </c>
      <c r="B10625" s="266">
        <f>IFERROR(__xludf.DUMMYFUNCTION("""COMPUTED_VALUE"""),45337.0)</f>
        <v>45337</v>
      </c>
      <c r="C10625" s="266" t="str">
        <f>IFERROR(__xludf.DUMMYFUNCTION("""COMPUTED_VALUE"""),"KERTASARI CIAMIS")</f>
        <v>KERTASARI CIAMIS</v>
      </c>
      <c r="D10625" s="186">
        <f>IFERROR(__xludf.DUMMYFUNCTION("""COMPUTED_VALUE"""),2.0)</f>
        <v>2</v>
      </c>
    </row>
    <row r="10626">
      <c r="A10626" s="178" t="str">
        <f>IFERROR(__xludf.DUMMYFUNCTION("""COMPUTED_VALUE"""),"ITBISA-SERVO-SG90-180DEG")</f>
        <v>ITBISA-SERVO-SG90-180DEG</v>
      </c>
      <c r="B10626" s="266">
        <f>IFERROR(__xludf.DUMMYFUNCTION("""COMPUTED_VALUE"""),45337.0)</f>
        <v>45337</v>
      </c>
      <c r="C10626" s="266" t="str">
        <f>IFERROR(__xludf.DUMMYFUNCTION("""COMPUTED_VALUE"""),"KERTASARI CIAMIS")</f>
        <v>KERTASARI CIAMIS</v>
      </c>
      <c r="D10626" s="186">
        <f>IFERROR(__xludf.DUMMYFUNCTION("""COMPUTED_VALUE"""),5.0)</f>
        <v>5</v>
      </c>
    </row>
    <row r="10627">
      <c r="A10627" s="178" t="str">
        <f>IFERROR(__xludf.DUMMYFUNCTION("""COMPUTED_VALUE"""),"ITBISA-SERVO-SG90-180DEG")</f>
        <v>ITBISA-SERVO-SG90-180DEG</v>
      </c>
      <c r="B10627" s="266">
        <f>IFERROR(__xludf.DUMMYFUNCTION("""COMPUTED_VALUE"""),45339.0)</f>
        <v>45339</v>
      </c>
      <c r="C10627" s="266" t="str">
        <f>IFERROR(__xludf.DUMMYFUNCTION("""COMPUTED_VALUE"""),"KERTASARI CIAMIS")</f>
        <v>KERTASARI CIAMIS</v>
      </c>
      <c r="D10627" s="186">
        <f>IFERROR(__xludf.DUMMYFUNCTION("""COMPUTED_VALUE"""),3.0)</f>
        <v>3</v>
      </c>
    </row>
    <row r="10628">
      <c r="A10628" s="178" t="str">
        <f>IFERROR(__xludf.DUMMYFUNCTION("""COMPUTED_VALUE"""),"ITBISA-SERVO-SG90-180DEG")</f>
        <v>ITBISA-SERVO-SG90-180DEG</v>
      </c>
      <c r="B10628" s="266">
        <f>IFERROR(__xludf.DUMMYFUNCTION("""COMPUTED_VALUE"""),45346.0)</f>
        <v>45346</v>
      </c>
      <c r="C10628" s="266" t="str">
        <f>IFERROR(__xludf.DUMMYFUNCTION("""COMPUTED_VALUE"""),"KERTASARI CIAMIS")</f>
        <v>KERTASARI CIAMIS</v>
      </c>
      <c r="D10628" s="186">
        <f>IFERROR(__xludf.DUMMYFUNCTION("""COMPUTED_VALUE"""),1.0)</f>
        <v>1</v>
      </c>
    </row>
    <row r="10629">
      <c r="A10629" s="178" t="str">
        <f>IFERROR(__xludf.DUMMYFUNCTION("""COMPUTED_VALUE"""),"ITBISA-SERVO-SG90-180DEG")</f>
        <v>ITBISA-SERVO-SG90-180DEG</v>
      </c>
      <c r="B10629" s="266">
        <f>IFERROR(__xludf.DUMMYFUNCTION("""COMPUTED_VALUE"""),45347.0)</f>
        <v>45347</v>
      </c>
      <c r="C10629" s="266" t="str">
        <f>IFERROR(__xludf.DUMMYFUNCTION("""COMPUTED_VALUE"""),"KERTASARI CIAMIS")</f>
        <v>KERTASARI CIAMIS</v>
      </c>
      <c r="D10629" s="186">
        <f>IFERROR(__xludf.DUMMYFUNCTION("""COMPUTED_VALUE"""),1.0)</f>
        <v>1</v>
      </c>
    </row>
    <row r="10630">
      <c r="A10630" s="178" t="str">
        <f>IFERROR(__xludf.DUMMYFUNCTION("""COMPUTED_VALUE"""),"ITBISA-SERVO-SG90-180DEG")</f>
        <v>ITBISA-SERVO-SG90-180DEG</v>
      </c>
      <c r="B10630" s="266">
        <f>IFERROR(__xludf.DUMMYFUNCTION("""COMPUTED_VALUE"""),45351.0)</f>
        <v>45351</v>
      </c>
      <c r="C10630" s="266" t="str">
        <f>IFERROR(__xludf.DUMMYFUNCTION("""COMPUTED_VALUE"""),"KERTASARI CIAMIS")</f>
        <v>KERTASARI CIAMIS</v>
      </c>
      <c r="D10630" s="186">
        <f>IFERROR(__xludf.DUMMYFUNCTION("""COMPUTED_VALUE"""),8.0)</f>
        <v>8</v>
      </c>
    </row>
    <row r="10631">
      <c r="A10631" s="178" t="str">
        <f>IFERROR(__xludf.DUMMYFUNCTION("""COMPUTED_VALUE"""),"ITBISA-SERVO-SG90-180DEG")</f>
        <v>ITBISA-SERVO-SG90-180DEG</v>
      </c>
      <c r="B10631" s="266">
        <f>IFERROR(__xludf.DUMMYFUNCTION("""COMPUTED_VALUE"""),45352.0)</f>
        <v>45352</v>
      </c>
      <c r="C10631" s="266" t="str">
        <f>IFERROR(__xludf.DUMMYFUNCTION("""COMPUTED_VALUE"""),"KERTASARI CIAMIS")</f>
        <v>KERTASARI CIAMIS</v>
      </c>
      <c r="D10631" s="186">
        <f>IFERROR(__xludf.DUMMYFUNCTION("""COMPUTED_VALUE"""),1.0)</f>
        <v>1</v>
      </c>
    </row>
    <row r="10632">
      <c r="A10632" s="178" t="str">
        <f>IFERROR(__xludf.DUMMYFUNCTION("""COMPUTED_VALUE"""),"ITBISA-SERVO-SG90-180DEG")</f>
        <v>ITBISA-SERVO-SG90-180DEG</v>
      </c>
      <c r="B10632" s="266">
        <f>IFERROR(__xludf.DUMMYFUNCTION("""COMPUTED_VALUE"""),45356.0)</f>
        <v>45356</v>
      </c>
      <c r="C10632" s="266" t="str">
        <f>IFERROR(__xludf.DUMMYFUNCTION("""COMPUTED_VALUE"""),"KERTASARI CIAMIS")</f>
        <v>KERTASARI CIAMIS</v>
      </c>
      <c r="D10632" s="186">
        <f>IFERROR(__xludf.DUMMYFUNCTION("""COMPUTED_VALUE"""),1.0)</f>
        <v>1</v>
      </c>
    </row>
    <row r="10633">
      <c r="A10633" s="178" t="str">
        <f>IFERROR(__xludf.DUMMYFUNCTION("""COMPUTED_VALUE"""),"ITBISA-SERVO-SG90-180DEG")</f>
        <v>ITBISA-SERVO-SG90-180DEG</v>
      </c>
      <c r="B10633" s="266">
        <f>IFERROR(__xludf.DUMMYFUNCTION("""COMPUTED_VALUE"""),45357.0)</f>
        <v>45357</v>
      </c>
      <c r="C10633" s="266" t="str">
        <f>IFERROR(__xludf.DUMMYFUNCTION("""COMPUTED_VALUE"""),"KERTASARI CIAMIS")</f>
        <v>KERTASARI CIAMIS</v>
      </c>
      <c r="D10633" s="186">
        <f>IFERROR(__xludf.DUMMYFUNCTION("""COMPUTED_VALUE"""),1.0)</f>
        <v>1</v>
      </c>
    </row>
    <row r="10634">
      <c r="A10634" s="178" t="str">
        <f>IFERROR(__xludf.DUMMYFUNCTION("""COMPUTED_VALUE"""),"ITBISA-SERVO-SG90-180DEG")</f>
        <v>ITBISA-SERVO-SG90-180DEG</v>
      </c>
      <c r="B10634" s="266">
        <f>IFERROR(__xludf.DUMMYFUNCTION("""COMPUTED_VALUE"""),45359.0)</f>
        <v>45359</v>
      </c>
      <c r="C10634" s="266" t="str">
        <f>IFERROR(__xludf.DUMMYFUNCTION("""COMPUTED_VALUE"""),"KERTASARI CIAMIS")</f>
        <v>KERTASARI CIAMIS</v>
      </c>
      <c r="D10634" s="186">
        <f>IFERROR(__xludf.DUMMYFUNCTION("""COMPUTED_VALUE"""),1.0)</f>
        <v>1</v>
      </c>
    </row>
    <row r="10635">
      <c r="A10635" s="178" t="str">
        <f>IFERROR(__xludf.DUMMYFUNCTION("""COMPUTED_VALUE"""),"ITBISA-SERVO-SG90-180DEG")</f>
        <v>ITBISA-SERVO-SG90-180DEG</v>
      </c>
      <c r="B10635" s="266">
        <f>IFERROR(__xludf.DUMMYFUNCTION("""COMPUTED_VALUE"""),45359.0)</f>
        <v>45359</v>
      </c>
      <c r="C10635" s="266" t="str">
        <f>IFERROR(__xludf.DUMMYFUNCTION("""COMPUTED_VALUE"""),"KYAI KONTONG")</f>
        <v>KYAI KONTONG</v>
      </c>
      <c r="D10635" s="186">
        <f>IFERROR(__xludf.DUMMYFUNCTION("""COMPUTED_VALUE"""),2.0)</f>
        <v>2</v>
      </c>
    </row>
    <row r="10636">
      <c r="A10636" s="178" t="str">
        <f>IFERROR(__xludf.DUMMYFUNCTION("""COMPUTED_VALUE"""),"ITBISA-SERVO-SG90-180DEG")</f>
        <v>ITBISA-SERVO-SG90-180DEG</v>
      </c>
      <c r="B10636" s="266">
        <f>IFERROR(__xludf.DUMMYFUNCTION("""COMPUTED_VALUE"""),45365.0)</f>
        <v>45365</v>
      </c>
      <c r="C10636" s="266" t="str">
        <f>IFERROR(__xludf.DUMMYFUNCTION("""COMPUTED_VALUE"""),"KERTASARI CIAMIS")</f>
        <v>KERTASARI CIAMIS</v>
      </c>
      <c r="D10636" s="186">
        <f>IFERROR(__xludf.DUMMYFUNCTION("""COMPUTED_VALUE"""),1.0)</f>
        <v>1</v>
      </c>
    </row>
    <row r="10637">
      <c r="A10637" s="178" t="str">
        <f>IFERROR(__xludf.DUMMYFUNCTION("""COMPUTED_VALUE"""),"ITBISA-SERVO-SG90-180DEG")</f>
        <v>ITBISA-SERVO-SG90-180DEG</v>
      </c>
      <c r="B10637" s="266">
        <f>IFERROR(__xludf.DUMMYFUNCTION("""COMPUTED_VALUE"""),45365.0)</f>
        <v>45365</v>
      </c>
      <c r="C10637" s="266" t="str">
        <f>IFERROR(__xludf.DUMMYFUNCTION("""COMPUTED_VALUE"""),"KERTASARI CIAMIS")</f>
        <v>KERTASARI CIAMIS</v>
      </c>
      <c r="D10637" s="186">
        <f>IFERROR(__xludf.DUMMYFUNCTION("""COMPUTED_VALUE"""),7.0)</f>
        <v>7</v>
      </c>
    </row>
    <row r="10638">
      <c r="A10638" s="178" t="str">
        <f>IFERROR(__xludf.DUMMYFUNCTION("""COMPUTED_VALUE"""),"ITBISA-SERVO-SG90-180DEG")</f>
        <v>ITBISA-SERVO-SG90-180DEG</v>
      </c>
      <c r="B10638" s="266">
        <f>IFERROR(__xludf.DUMMYFUNCTION("""COMPUTED_VALUE"""),45366.0)</f>
        <v>45366</v>
      </c>
      <c r="C10638" s="266" t="str">
        <f>IFERROR(__xludf.DUMMYFUNCTION("""COMPUTED_VALUE"""),"KERTASARI CIAMIS")</f>
        <v>KERTASARI CIAMIS</v>
      </c>
      <c r="D10638" s="186">
        <f>IFERROR(__xludf.DUMMYFUNCTION("""COMPUTED_VALUE"""),25.0)</f>
        <v>25</v>
      </c>
    </row>
    <row r="10639">
      <c r="A10639" s="178" t="str">
        <f>IFERROR(__xludf.DUMMYFUNCTION("""COMPUTED_VALUE"""),"ITBISA-SERVO-SG90-180DEG")</f>
        <v>ITBISA-SERVO-SG90-180DEG</v>
      </c>
      <c r="B10639" s="266">
        <f>IFERROR(__xludf.DUMMYFUNCTION("""COMPUTED_VALUE"""),45375.0)</f>
        <v>45375</v>
      </c>
      <c r="C10639" s="266" t="str">
        <f>IFERROR(__xludf.DUMMYFUNCTION("""COMPUTED_VALUE"""),"KERTASARI CIAMIS")</f>
        <v>KERTASARI CIAMIS</v>
      </c>
      <c r="D10639" s="186">
        <f>IFERROR(__xludf.DUMMYFUNCTION("""COMPUTED_VALUE"""),1.0)</f>
        <v>1</v>
      </c>
    </row>
    <row r="10640">
      <c r="A10640" s="178" t="str">
        <f>IFERROR(__xludf.DUMMYFUNCTION("""COMPUTED_VALUE"""),"ITBISA-SERVO-SG90-180DEG")</f>
        <v>ITBISA-SERVO-SG90-180DEG</v>
      </c>
      <c r="B10640" s="266">
        <f>IFERROR(__xludf.DUMMYFUNCTION("""COMPUTED_VALUE"""),45375.0)</f>
        <v>45375</v>
      </c>
      <c r="C10640" s="266" t="str">
        <f>IFERROR(__xludf.DUMMYFUNCTION("""COMPUTED_VALUE"""),"KERTASARI CIAMIS")</f>
        <v>KERTASARI CIAMIS</v>
      </c>
      <c r="D10640" s="186">
        <f>IFERROR(__xludf.DUMMYFUNCTION("""COMPUTED_VALUE"""),4.0)</f>
        <v>4</v>
      </c>
    </row>
    <row r="10641">
      <c r="A10641" s="178" t="str">
        <f>IFERROR(__xludf.DUMMYFUNCTION("""COMPUTED_VALUE"""),"ITBISA-SERVO-SG90-180DEG")</f>
        <v>ITBISA-SERVO-SG90-180DEG</v>
      </c>
      <c r="B10641" s="266">
        <f>IFERROR(__xludf.DUMMYFUNCTION("""COMPUTED_VALUE"""),45375.0)</f>
        <v>45375</v>
      </c>
      <c r="C10641" s="266" t="str">
        <f>IFERROR(__xludf.DUMMYFUNCTION("""COMPUTED_VALUE"""),"KYAI KONTONG")</f>
        <v>KYAI KONTONG</v>
      </c>
      <c r="D10641" s="186">
        <f>IFERROR(__xludf.DUMMYFUNCTION("""COMPUTED_VALUE"""),1.0)</f>
        <v>1</v>
      </c>
    </row>
    <row r="10642">
      <c r="A10642" s="178" t="str">
        <f>IFERROR(__xludf.DUMMYFUNCTION("""COMPUTED_VALUE"""),"ITBISA-SERVO-SG90-180DEG")</f>
        <v>ITBISA-SERVO-SG90-180DEG</v>
      </c>
      <c r="B10642" s="266">
        <f>IFERROR(__xludf.DUMMYFUNCTION("""COMPUTED_VALUE"""),45376.0)</f>
        <v>45376</v>
      </c>
      <c r="C10642" s="266" t="str">
        <f>IFERROR(__xludf.DUMMYFUNCTION("""COMPUTED_VALUE"""),"KERTASARI CIAMIS")</f>
        <v>KERTASARI CIAMIS</v>
      </c>
      <c r="D10642" s="186">
        <f>IFERROR(__xludf.DUMMYFUNCTION("""COMPUTED_VALUE"""),1.0)</f>
        <v>1</v>
      </c>
    </row>
    <row r="10643">
      <c r="A10643" s="178" t="str">
        <f>IFERROR(__xludf.DUMMYFUNCTION("""COMPUTED_VALUE"""),"ITBISA-SERVO-SG90-180DEG")</f>
        <v>ITBISA-SERVO-SG90-180DEG</v>
      </c>
      <c r="B10643" s="266">
        <f>IFERROR(__xludf.DUMMYFUNCTION("""COMPUTED_VALUE"""),45378.0)</f>
        <v>45378</v>
      </c>
      <c r="C10643" s="266" t="str">
        <f>IFERROR(__xludf.DUMMYFUNCTION("""COMPUTED_VALUE"""),"KYAI KONTONG")</f>
        <v>KYAI KONTONG</v>
      </c>
      <c r="D10643" s="186">
        <f>IFERROR(__xludf.DUMMYFUNCTION("""COMPUTED_VALUE"""),2.0)</f>
        <v>2</v>
      </c>
    </row>
    <row r="10644">
      <c r="A10644" s="178" t="str">
        <f>IFERROR(__xludf.DUMMYFUNCTION("""COMPUTED_VALUE"""),"ITBISA-SERVO-SG90-180DEG")</f>
        <v>ITBISA-SERVO-SG90-180DEG</v>
      </c>
      <c r="B10644" s="266">
        <f>IFERROR(__xludf.DUMMYFUNCTION("""COMPUTED_VALUE"""),45378.0)</f>
        <v>45378</v>
      </c>
      <c r="C10644" s="266" t="str">
        <f>IFERROR(__xludf.DUMMYFUNCTION("""COMPUTED_VALUE"""),"KYAI KONTONG")</f>
        <v>KYAI KONTONG</v>
      </c>
      <c r="D10644" s="186">
        <f>IFERROR(__xludf.DUMMYFUNCTION("""COMPUTED_VALUE"""),2.0)</f>
        <v>2</v>
      </c>
    </row>
    <row r="10645">
      <c r="A10645" s="178" t="str">
        <f>IFERROR(__xludf.DUMMYFUNCTION("""COMPUTED_VALUE"""),"ITBISA-SERVO-SG90-180DEG")</f>
        <v>ITBISA-SERVO-SG90-180DEG</v>
      </c>
      <c r="B10645" s="266">
        <f>IFERROR(__xludf.DUMMYFUNCTION("""COMPUTED_VALUE"""),45380.0)</f>
        <v>45380</v>
      </c>
      <c r="C10645" s="266" t="str">
        <f>IFERROR(__xludf.DUMMYFUNCTION("""COMPUTED_VALUE"""),"KERTASARI CIAMIS")</f>
        <v>KERTASARI CIAMIS</v>
      </c>
      <c r="D10645" s="186">
        <f>IFERROR(__xludf.DUMMYFUNCTION("""COMPUTED_VALUE"""),1.0)</f>
        <v>1</v>
      </c>
    </row>
    <row r="10646">
      <c r="A10646" s="178" t="str">
        <f>IFERROR(__xludf.DUMMYFUNCTION("""COMPUTED_VALUE"""),"ITBISA-SERVO-SG90-180DEG")</f>
        <v>ITBISA-SERVO-SG90-180DEG</v>
      </c>
      <c r="B10646" s="266">
        <f>IFERROR(__xludf.DUMMYFUNCTION("""COMPUTED_VALUE"""),45381.0)</f>
        <v>45381</v>
      </c>
      <c r="C10646" s="266" t="str">
        <f>IFERROR(__xludf.DUMMYFUNCTION("""COMPUTED_VALUE"""),"KYAI KONTONG")</f>
        <v>KYAI KONTONG</v>
      </c>
      <c r="D10646" s="186">
        <f>IFERROR(__xludf.DUMMYFUNCTION("""COMPUTED_VALUE"""),1.0)</f>
        <v>1</v>
      </c>
    </row>
    <row r="10647">
      <c r="A10647" s="178" t="str">
        <f>IFERROR(__xludf.DUMMYFUNCTION("""COMPUTED_VALUE"""),"ITBISA-SERVO-SG90-180DEG")</f>
        <v>ITBISA-SERVO-SG90-180DEG</v>
      </c>
      <c r="B10647" s="266">
        <f>IFERROR(__xludf.DUMMYFUNCTION("""COMPUTED_VALUE"""),45381.0)</f>
        <v>45381</v>
      </c>
      <c r="C10647" s="266" t="str">
        <f>IFERROR(__xludf.DUMMYFUNCTION("""COMPUTED_VALUE"""),"KYAI KONTONG")</f>
        <v>KYAI KONTONG</v>
      </c>
      <c r="D10647" s="186">
        <f>IFERROR(__xludf.DUMMYFUNCTION("""COMPUTED_VALUE"""),2.0)</f>
        <v>2</v>
      </c>
    </row>
    <row r="10648">
      <c r="A10648" s="178" t="str">
        <f>IFERROR(__xludf.DUMMYFUNCTION("""COMPUTED_VALUE"""),"ITBISA-SERVO-SG90-180DEG")</f>
        <v>ITBISA-SERVO-SG90-180DEG</v>
      </c>
      <c r="B10648" s="266">
        <f>IFERROR(__xludf.DUMMYFUNCTION("""COMPUTED_VALUE"""),45383.0)</f>
        <v>45383</v>
      </c>
      <c r="C10648" s="266" t="str">
        <f>IFERROR(__xludf.DUMMYFUNCTION("""COMPUTED_VALUE"""),"KERTASARI CIAMIS")</f>
        <v>KERTASARI CIAMIS</v>
      </c>
      <c r="D10648" s="186">
        <f>IFERROR(__xludf.DUMMYFUNCTION("""COMPUTED_VALUE"""),4.0)</f>
        <v>4</v>
      </c>
    </row>
    <row r="10649">
      <c r="A10649" s="178" t="str">
        <f>IFERROR(__xludf.DUMMYFUNCTION("""COMPUTED_VALUE"""),"ITBISA-SERVO-SG90-180DEG")</f>
        <v>ITBISA-SERVO-SG90-180DEG</v>
      </c>
      <c r="B10649" s="266">
        <f>IFERROR(__xludf.DUMMYFUNCTION("""COMPUTED_VALUE"""),45384.0)</f>
        <v>45384</v>
      </c>
      <c r="C10649" s="266" t="str">
        <f>IFERROR(__xludf.DUMMYFUNCTION("""COMPUTED_VALUE"""),"KERTASARI CIAMIS")</f>
        <v>KERTASARI CIAMIS</v>
      </c>
      <c r="D10649" s="186">
        <f>IFERROR(__xludf.DUMMYFUNCTION("""COMPUTED_VALUE"""),2.0)</f>
        <v>2</v>
      </c>
    </row>
    <row r="10650">
      <c r="A10650" s="178" t="str">
        <f>IFERROR(__xludf.DUMMYFUNCTION("""COMPUTED_VALUE"""),"ITBISA-SERVO-SG90-180DEG")</f>
        <v>ITBISA-SERVO-SG90-180DEG</v>
      </c>
      <c r="B10650" s="266">
        <f>IFERROR(__xludf.DUMMYFUNCTION("""COMPUTED_VALUE"""),45384.0)</f>
        <v>45384</v>
      </c>
      <c r="C10650" s="266" t="str">
        <f>IFERROR(__xludf.DUMMYFUNCTION("""COMPUTED_VALUE"""),"KERTASARI CIAMIS")</f>
        <v>KERTASARI CIAMIS</v>
      </c>
      <c r="D10650" s="186">
        <f>IFERROR(__xludf.DUMMYFUNCTION("""COMPUTED_VALUE"""),4.0)</f>
        <v>4</v>
      </c>
    </row>
    <row r="10651">
      <c r="A10651" s="178" t="str">
        <f>IFERROR(__xludf.DUMMYFUNCTION("""COMPUTED_VALUE"""),"ITBISA-SERVO-SG90-180DEG")</f>
        <v>ITBISA-SERVO-SG90-180DEG</v>
      </c>
      <c r="B10651" s="266">
        <f>IFERROR(__xludf.DUMMYFUNCTION("""COMPUTED_VALUE"""),45388.0)</f>
        <v>45388</v>
      </c>
      <c r="C10651" s="266" t="str">
        <f>IFERROR(__xludf.DUMMYFUNCTION("""COMPUTED_VALUE"""),"KYAI KONTONG")</f>
        <v>KYAI KONTONG</v>
      </c>
      <c r="D10651" s="186">
        <f>IFERROR(__xludf.DUMMYFUNCTION("""COMPUTED_VALUE"""),4.0)</f>
        <v>4</v>
      </c>
    </row>
    <row r="10652">
      <c r="A10652" s="178" t="str">
        <f>IFERROR(__xludf.DUMMYFUNCTION("""COMPUTED_VALUE"""),"ITBISA-SERVO-SG90-180DEG")</f>
        <v>ITBISA-SERVO-SG90-180DEG</v>
      </c>
      <c r="B10652" s="266">
        <f>IFERROR(__xludf.DUMMYFUNCTION("""COMPUTED_VALUE"""),45390.0)</f>
        <v>45390</v>
      </c>
      <c r="C10652" s="266" t="str">
        <f>IFERROR(__xludf.DUMMYFUNCTION("""COMPUTED_VALUE"""),"KERTASARI CIAMIS")</f>
        <v>KERTASARI CIAMIS</v>
      </c>
      <c r="D10652" s="186">
        <f>IFERROR(__xludf.DUMMYFUNCTION("""COMPUTED_VALUE"""),1.0)</f>
        <v>1</v>
      </c>
    </row>
    <row r="10653">
      <c r="A10653" s="178" t="str">
        <f>IFERROR(__xludf.DUMMYFUNCTION("""COMPUTED_VALUE"""),"ITBISA-SERVO-SG90-180DEG")</f>
        <v>ITBISA-SERVO-SG90-180DEG</v>
      </c>
      <c r="B10653" s="266">
        <f>IFERROR(__xludf.DUMMYFUNCTION("""COMPUTED_VALUE"""),45391.0)</f>
        <v>45391</v>
      </c>
      <c r="C10653" s="266" t="str">
        <f>IFERROR(__xludf.DUMMYFUNCTION("""COMPUTED_VALUE"""),"KERTASARI CIAMIS")</f>
        <v>KERTASARI CIAMIS</v>
      </c>
      <c r="D10653" s="186">
        <f>IFERROR(__xludf.DUMMYFUNCTION("""COMPUTED_VALUE"""),3.0)</f>
        <v>3</v>
      </c>
    </row>
    <row r="10654">
      <c r="A10654" s="178" t="str">
        <f>IFERROR(__xludf.DUMMYFUNCTION("""COMPUTED_VALUE"""),"ITBISA-SERVO-SG90-180DEG")</f>
        <v>ITBISA-SERVO-SG90-180DEG</v>
      </c>
      <c r="B10654" s="266">
        <f>IFERROR(__xludf.DUMMYFUNCTION("""COMPUTED_VALUE"""),45392.0)</f>
        <v>45392</v>
      </c>
      <c r="C10654" s="266" t="str">
        <f>IFERROR(__xludf.DUMMYFUNCTION("""COMPUTED_VALUE"""),"KERTASARI CIAMIS")</f>
        <v>KERTASARI CIAMIS</v>
      </c>
      <c r="D10654" s="186">
        <f>IFERROR(__xludf.DUMMYFUNCTION("""COMPUTED_VALUE"""),1.0)</f>
        <v>1</v>
      </c>
    </row>
    <row r="10655">
      <c r="A10655" s="178" t="str">
        <f>IFERROR(__xludf.DUMMYFUNCTION("""COMPUTED_VALUE"""),"ITBISA-SERVO-SG90-180DEG")</f>
        <v>ITBISA-SERVO-SG90-180DEG</v>
      </c>
      <c r="B10655" s="266">
        <f>IFERROR(__xludf.DUMMYFUNCTION("""COMPUTED_VALUE"""),45392.0)</f>
        <v>45392</v>
      </c>
      <c r="C10655" s="266" t="str">
        <f>IFERROR(__xludf.DUMMYFUNCTION("""COMPUTED_VALUE"""),"KERTASARI CIAMIS")</f>
        <v>KERTASARI CIAMIS</v>
      </c>
      <c r="D10655" s="186">
        <f>IFERROR(__xludf.DUMMYFUNCTION("""COMPUTED_VALUE"""),1.0)</f>
        <v>1</v>
      </c>
    </row>
    <row r="10656">
      <c r="A10656" s="178" t="str">
        <f>IFERROR(__xludf.DUMMYFUNCTION("""COMPUTED_VALUE"""),"ITBISA-SERVO-SG90-180DEG")</f>
        <v>ITBISA-SERVO-SG90-180DEG</v>
      </c>
      <c r="B10656" s="266">
        <f>IFERROR(__xludf.DUMMYFUNCTION("""COMPUTED_VALUE"""),45392.0)</f>
        <v>45392</v>
      </c>
      <c r="C10656" s="266" t="str">
        <f>IFERROR(__xludf.DUMMYFUNCTION("""COMPUTED_VALUE"""),"KERTASARI CIAMIS")</f>
        <v>KERTASARI CIAMIS</v>
      </c>
      <c r="D10656" s="186">
        <f>IFERROR(__xludf.DUMMYFUNCTION("""COMPUTED_VALUE"""),6.0)</f>
        <v>6</v>
      </c>
    </row>
    <row r="10657">
      <c r="A10657" s="178" t="str">
        <f>IFERROR(__xludf.DUMMYFUNCTION("""COMPUTED_VALUE"""),"ITBISA-SERVO-SG90-180DEG")</f>
        <v>ITBISA-SERVO-SG90-180DEG</v>
      </c>
      <c r="B10657" s="266">
        <f>IFERROR(__xludf.DUMMYFUNCTION("""COMPUTED_VALUE"""),45393.0)</f>
        <v>45393</v>
      </c>
      <c r="C10657" s="266" t="str">
        <f>IFERROR(__xludf.DUMMYFUNCTION("""COMPUTED_VALUE"""),"KERTASARI CIAMIS")</f>
        <v>KERTASARI CIAMIS</v>
      </c>
      <c r="D10657" s="186">
        <f>IFERROR(__xludf.DUMMYFUNCTION("""COMPUTED_VALUE"""),1.0)</f>
        <v>1</v>
      </c>
    </row>
    <row r="10658">
      <c r="A10658" s="178" t="str">
        <f>IFERROR(__xludf.DUMMYFUNCTION("""COMPUTED_VALUE"""),"ITBISA-SERVO-SG90-180DEG")</f>
        <v>ITBISA-SERVO-SG90-180DEG</v>
      </c>
      <c r="B10658" s="266">
        <f>IFERROR(__xludf.DUMMYFUNCTION("""COMPUTED_VALUE"""),45394.0)</f>
        <v>45394</v>
      </c>
      <c r="C10658" s="266" t="str">
        <f>IFERROR(__xludf.DUMMYFUNCTION("""COMPUTED_VALUE"""),"KERTASARI CIAMIS")</f>
        <v>KERTASARI CIAMIS</v>
      </c>
      <c r="D10658" s="186">
        <f>IFERROR(__xludf.DUMMYFUNCTION("""COMPUTED_VALUE"""),1.0)</f>
        <v>1</v>
      </c>
    </row>
    <row r="10659">
      <c r="A10659" s="178" t="str">
        <f>IFERROR(__xludf.DUMMYFUNCTION("""COMPUTED_VALUE"""),"ITBISA-SERVO-SG90-180DEG")</f>
        <v>ITBISA-SERVO-SG90-180DEG</v>
      </c>
      <c r="B10659" s="266">
        <f>IFERROR(__xludf.DUMMYFUNCTION("""COMPUTED_VALUE"""),45396.0)</f>
        <v>45396</v>
      </c>
      <c r="C10659" s="266" t="str">
        <f>IFERROR(__xludf.DUMMYFUNCTION("""COMPUTED_VALUE"""),"KERTASARI CIAMIS")</f>
        <v>KERTASARI CIAMIS</v>
      </c>
      <c r="D10659" s="186">
        <f>IFERROR(__xludf.DUMMYFUNCTION("""COMPUTED_VALUE"""),2.0)</f>
        <v>2</v>
      </c>
    </row>
    <row r="10660">
      <c r="A10660" s="178" t="str">
        <f>IFERROR(__xludf.DUMMYFUNCTION("""COMPUTED_VALUE"""),"ITBISA-SERVO-SG90-180DEG")</f>
        <v>ITBISA-SERVO-SG90-180DEG</v>
      </c>
      <c r="B10660" s="266">
        <f>IFERROR(__xludf.DUMMYFUNCTION("""COMPUTED_VALUE"""),45396.0)</f>
        <v>45396</v>
      </c>
      <c r="C10660" s="266" t="str">
        <f>IFERROR(__xludf.DUMMYFUNCTION("""COMPUTED_VALUE"""),"KERTASARI CIAMIS")</f>
        <v>KERTASARI CIAMIS</v>
      </c>
      <c r="D10660" s="186">
        <f>IFERROR(__xludf.DUMMYFUNCTION("""COMPUTED_VALUE"""),3.0)</f>
        <v>3</v>
      </c>
    </row>
    <row r="10661">
      <c r="A10661" s="178" t="str">
        <f>IFERROR(__xludf.DUMMYFUNCTION("""COMPUTED_VALUE"""),"ITBISA-SERVO-SG90-180DEG")</f>
        <v>ITBISA-SERVO-SG90-180DEG</v>
      </c>
      <c r="B10661" s="266">
        <f>IFERROR(__xludf.DUMMYFUNCTION("""COMPUTED_VALUE"""),45397.0)</f>
        <v>45397</v>
      </c>
      <c r="C10661" s="266" t="str">
        <f>IFERROR(__xludf.DUMMYFUNCTION("""COMPUTED_VALUE"""),"KERTASARI CIAMIS")</f>
        <v>KERTASARI CIAMIS</v>
      </c>
      <c r="D10661" s="186">
        <f>IFERROR(__xludf.DUMMYFUNCTION("""COMPUTED_VALUE"""),3.0)</f>
        <v>3</v>
      </c>
    </row>
    <row r="10662">
      <c r="A10662" s="178" t="str">
        <f>IFERROR(__xludf.DUMMYFUNCTION("""COMPUTED_VALUE"""),"ITBISA-SERVO-SG90-180DEG")</f>
        <v>ITBISA-SERVO-SG90-180DEG</v>
      </c>
      <c r="B10662" s="266">
        <f>IFERROR(__xludf.DUMMYFUNCTION("""COMPUTED_VALUE"""),45400.0)</f>
        <v>45400</v>
      </c>
      <c r="C10662" s="266" t="str">
        <f>IFERROR(__xludf.DUMMYFUNCTION("""COMPUTED_VALUE"""),"KYAI KONTONG")</f>
        <v>KYAI KONTONG</v>
      </c>
      <c r="D10662" s="186">
        <f>IFERROR(__xludf.DUMMYFUNCTION("""COMPUTED_VALUE"""),3.0)</f>
        <v>3</v>
      </c>
    </row>
    <row r="10663">
      <c r="A10663" s="178" t="str">
        <f>IFERROR(__xludf.DUMMYFUNCTION("""COMPUTED_VALUE"""),"ITBISA-SERVO-SG90-180DEG")</f>
        <v>ITBISA-SERVO-SG90-180DEG</v>
      </c>
      <c r="B10663" s="266">
        <f>IFERROR(__xludf.DUMMYFUNCTION("""COMPUTED_VALUE"""),45401.0)</f>
        <v>45401</v>
      </c>
      <c r="C10663" s="266" t="str">
        <f>IFERROR(__xludf.DUMMYFUNCTION("""COMPUTED_VALUE"""),"KERTASARI CIAMIS")</f>
        <v>KERTASARI CIAMIS</v>
      </c>
      <c r="D10663" s="186">
        <f>IFERROR(__xludf.DUMMYFUNCTION("""COMPUTED_VALUE"""),2.0)</f>
        <v>2</v>
      </c>
    </row>
    <row r="10664">
      <c r="A10664" s="178" t="str">
        <f>IFERROR(__xludf.DUMMYFUNCTION("""COMPUTED_VALUE"""),"ITBISA-SERVO-SG90-180DEG")</f>
        <v>ITBISA-SERVO-SG90-180DEG</v>
      </c>
      <c r="B10664" s="266">
        <f>IFERROR(__xludf.DUMMYFUNCTION("""COMPUTED_VALUE"""),45405.0)</f>
        <v>45405</v>
      </c>
      <c r="C10664" s="266" t="str">
        <f>IFERROR(__xludf.DUMMYFUNCTION("""COMPUTED_VALUE"""),"KYAI KONTONG")</f>
        <v>KYAI KONTONG</v>
      </c>
      <c r="D10664" s="186">
        <f>IFERROR(__xludf.DUMMYFUNCTION("""COMPUTED_VALUE"""),1.0)</f>
        <v>1</v>
      </c>
    </row>
    <row r="10665">
      <c r="A10665" s="178" t="str">
        <f>IFERROR(__xludf.DUMMYFUNCTION("""COMPUTED_VALUE"""),"ITBISA-SERVO-SG90-180DEG")</f>
        <v>ITBISA-SERVO-SG90-180DEG</v>
      </c>
      <c r="B10665" s="266">
        <f>IFERROR(__xludf.DUMMYFUNCTION("""COMPUTED_VALUE"""),45407.0)</f>
        <v>45407</v>
      </c>
      <c r="C10665" s="266" t="str">
        <f>IFERROR(__xludf.DUMMYFUNCTION("""COMPUTED_VALUE"""),"KERTASARI CIAMIS")</f>
        <v>KERTASARI CIAMIS</v>
      </c>
      <c r="D10665" s="186">
        <f>IFERROR(__xludf.DUMMYFUNCTION("""COMPUTED_VALUE"""),1.0)</f>
        <v>1</v>
      </c>
    </row>
    <row r="10666">
      <c r="A10666" s="178" t="str">
        <f>IFERROR(__xludf.DUMMYFUNCTION("""COMPUTED_VALUE"""),"ITBISA-SERVO-SG90-180DEG")</f>
        <v>ITBISA-SERVO-SG90-180DEG</v>
      </c>
      <c r="B10666" s="266">
        <f>IFERROR(__xludf.DUMMYFUNCTION("""COMPUTED_VALUE"""),45411.0)</f>
        <v>45411</v>
      </c>
      <c r="C10666" s="266" t="str">
        <f>IFERROR(__xludf.DUMMYFUNCTION("""COMPUTED_VALUE"""),"KERTASARI CIAMIS")</f>
        <v>KERTASARI CIAMIS</v>
      </c>
      <c r="D10666" s="186">
        <f>IFERROR(__xludf.DUMMYFUNCTION("""COMPUTED_VALUE"""),12.0)</f>
        <v>12</v>
      </c>
    </row>
    <row r="10667">
      <c r="A10667" s="178" t="str">
        <f>IFERROR(__xludf.DUMMYFUNCTION("""COMPUTED_VALUE"""),"ITBISA-SERVO-SG90-180DEG")</f>
        <v>ITBISA-SERVO-SG90-180DEG</v>
      </c>
      <c r="B10667" s="266">
        <f>IFERROR(__xludf.DUMMYFUNCTION("""COMPUTED_VALUE"""),45412.0)</f>
        <v>45412</v>
      </c>
      <c r="C10667" s="266" t="str">
        <f>IFERROR(__xludf.DUMMYFUNCTION("""COMPUTED_VALUE"""),"KYAI KONTONG")</f>
        <v>KYAI KONTONG</v>
      </c>
      <c r="D10667" s="186">
        <f>IFERROR(__xludf.DUMMYFUNCTION("""COMPUTED_VALUE"""),1.0)</f>
        <v>1</v>
      </c>
    </row>
    <row r="10668">
      <c r="A10668" s="178" t="str">
        <f>IFERROR(__xludf.DUMMYFUNCTION("""COMPUTED_VALUE"""),"ITBISA-SERVO-SG90-180DEG")</f>
        <v>ITBISA-SERVO-SG90-180DEG</v>
      </c>
      <c r="B10668" s="266">
        <f>IFERROR(__xludf.DUMMYFUNCTION("""COMPUTED_VALUE"""),45416.0)</f>
        <v>45416</v>
      </c>
      <c r="C10668" s="266" t="str">
        <f>IFERROR(__xludf.DUMMYFUNCTION("""COMPUTED_VALUE"""),"KERTASARI CIAMIS")</f>
        <v>KERTASARI CIAMIS</v>
      </c>
      <c r="D10668" s="186">
        <f>IFERROR(__xludf.DUMMYFUNCTION("""COMPUTED_VALUE"""),3.0)</f>
        <v>3</v>
      </c>
    </row>
    <row r="10669">
      <c r="A10669" s="178" t="str">
        <f>IFERROR(__xludf.DUMMYFUNCTION("""COMPUTED_VALUE"""),"ITBISA-SERVO-SG90-180DEG")</f>
        <v>ITBISA-SERVO-SG90-180DEG</v>
      </c>
      <c r="B10669" s="266">
        <f>IFERROR(__xludf.DUMMYFUNCTION("""COMPUTED_VALUE"""),45416.0)</f>
        <v>45416</v>
      </c>
      <c r="C10669" s="266" t="str">
        <f>IFERROR(__xludf.DUMMYFUNCTION("""COMPUTED_VALUE"""),"KYAI KONTONG")</f>
        <v>KYAI KONTONG</v>
      </c>
      <c r="D10669" s="186">
        <f>IFERROR(__xludf.DUMMYFUNCTION("""COMPUTED_VALUE"""),1.0)</f>
        <v>1</v>
      </c>
    </row>
    <row r="10670">
      <c r="A10670" s="178" t="str">
        <f>IFERROR(__xludf.DUMMYFUNCTION("""COMPUTED_VALUE"""),"ITBISA-SERVO-SG90-180DEG")</f>
        <v>ITBISA-SERVO-SG90-180DEG</v>
      </c>
      <c r="B10670" s="266">
        <f>IFERROR(__xludf.DUMMYFUNCTION("""COMPUTED_VALUE"""),45419.0)</f>
        <v>45419</v>
      </c>
      <c r="C10670" s="266" t="str">
        <f>IFERROR(__xludf.DUMMYFUNCTION("""COMPUTED_VALUE"""),"KYAI KONTONG")</f>
        <v>KYAI KONTONG</v>
      </c>
      <c r="D10670" s="186">
        <f>IFERROR(__xludf.DUMMYFUNCTION("""COMPUTED_VALUE"""),65.0)</f>
        <v>65</v>
      </c>
    </row>
    <row r="10671">
      <c r="A10671" s="178" t="str">
        <f>IFERROR(__xludf.DUMMYFUNCTION("""COMPUTED_VALUE"""),"ITBISA-SERVO-SG90-180DEG")</f>
        <v>ITBISA-SERVO-SG90-180DEG</v>
      </c>
      <c r="B10671" s="266">
        <f>IFERROR(__xludf.DUMMYFUNCTION("""COMPUTED_VALUE"""),45424.0)</f>
        <v>45424</v>
      </c>
      <c r="C10671" s="266" t="str">
        <f>IFERROR(__xludf.DUMMYFUNCTION("""COMPUTED_VALUE"""),"KYAI KONTONG")</f>
        <v>KYAI KONTONG</v>
      </c>
      <c r="D10671" s="186">
        <f>IFERROR(__xludf.DUMMYFUNCTION("""COMPUTED_VALUE"""),2.0)</f>
        <v>2</v>
      </c>
    </row>
    <row r="10672">
      <c r="A10672" s="178" t="str">
        <f>IFERROR(__xludf.DUMMYFUNCTION("""COMPUTED_VALUE"""),"ITBISA-SERVO-SG90-180DEG")</f>
        <v>ITBISA-SERVO-SG90-180DEG</v>
      </c>
      <c r="B10672" s="266">
        <f>IFERROR(__xludf.DUMMYFUNCTION("""COMPUTED_VALUE"""),45424.0)</f>
        <v>45424</v>
      </c>
      <c r="C10672" s="266" t="str">
        <f>IFERROR(__xludf.DUMMYFUNCTION("""COMPUTED_VALUE"""),"KYAI KONTONG")</f>
        <v>KYAI KONTONG</v>
      </c>
      <c r="D10672" s="186">
        <f>IFERROR(__xludf.DUMMYFUNCTION("""COMPUTED_VALUE"""),3.0)</f>
        <v>3</v>
      </c>
    </row>
    <row r="10673">
      <c r="A10673" s="178" t="str">
        <f>IFERROR(__xludf.DUMMYFUNCTION("""COMPUTED_VALUE"""),"ITBISA-SERVO-SG90-180DEG")</f>
        <v>ITBISA-SERVO-SG90-180DEG</v>
      </c>
      <c r="B10673" s="266">
        <f>IFERROR(__xludf.DUMMYFUNCTION("""COMPUTED_VALUE"""),45425.0)</f>
        <v>45425</v>
      </c>
      <c r="C10673" s="266" t="str">
        <f>IFERROR(__xludf.DUMMYFUNCTION("""COMPUTED_VALUE"""),"KYAI KONTONG")</f>
        <v>KYAI KONTONG</v>
      </c>
      <c r="D10673" s="186">
        <f>IFERROR(__xludf.DUMMYFUNCTION("""COMPUTED_VALUE"""),2.0)</f>
        <v>2</v>
      </c>
    </row>
    <row r="10674">
      <c r="A10674" s="178" t="str">
        <f>IFERROR(__xludf.DUMMYFUNCTION("""COMPUTED_VALUE"""),"ITBISA-SERVO-SG90-180DEG")</f>
        <v>ITBISA-SERVO-SG90-180DEG</v>
      </c>
      <c r="B10674" s="266">
        <f>IFERROR(__xludf.DUMMYFUNCTION("""COMPUTED_VALUE"""),45426.0)</f>
        <v>45426</v>
      </c>
      <c r="C10674" s="266" t="str">
        <f>IFERROR(__xludf.DUMMYFUNCTION("""COMPUTED_VALUE"""),"KERTASARI CIAMIS")</f>
        <v>KERTASARI CIAMIS</v>
      </c>
      <c r="D10674" s="186">
        <f>IFERROR(__xludf.DUMMYFUNCTION("""COMPUTED_VALUE"""),3.0)</f>
        <v>3</v>
      </c>
    </row>
    <row r="10675">
      <c r="A10675" s="178" t="str">
        <f>IFERROR(__xludf.DUMMYFUNCTION("""COMPUTED_VALUE"""),"ITBISA-SERVO-SG90-180DEG")</f>
        <v>ITBISA-SERVO-SG90-180DEG</v>
      </c>
      <c r="B10675" s="266">
        <f>IFERROR(__xludf.DUMMYFUNCTION("""COMPUTED_VALUE"""),45435.0)</f>
        <v>45435</v>
      </c>
      <c r="C10675" s="266" t="str">
        <f>IFERROR(__xludf.DUMMYFUNCTION("""COMPUTED_VALUE"""),"KYAI KONTONG")</f>
        <v>KYAI KONTONG</v>
      </c>
      <c r="D10675" s="186">
        <f>IFERROR(__xludf.DUMMYFUNCTION("""COMPUTED_VALUE"""),2.0)</f>
        <v>2</v>
      </c>
    </row>
    <row r="10676">
      <c r="A10676" s="178" t="str">
        <f>IFERROR(__xludf.DUMMYFUNCTION("""COMPUTED_VALUE"""),"ITBISA-SERVO-SG90-180DEG")</f>
        <v>ITBISA-SERVO-SG90-180DEG</v>
      </c>
      <c r="B10676" s="266">
        <f>IFERROR(__xludf.DUMMYFUNCTION("""COMPUTED_VALUE"""),45437.0)</f>
        <v>45437</v>
      </c>
      <c r="C10676" s="266" t="str">
        <f>IFERROR(__xludf.DUMMYFUNCTION("""COMPUTED_VALUE"""),"KERTASARI CIAMIS")</f>
        <v>KERTASARI CIAMIS</v>
      </c>
      <c r="D10676" s="186">
        <f>IFERROR(__xludf.DUMMYFUNCTION("""COMPUTED_VALUE"""),1.0)</f>
        <v>1</v>
      </c>
    </row>
    <row r="10677">
      <c r="A10677" s="178" t="str">
        <f>IFERROR(__xludf.DUMMYFUNCTION("""COMPUTED_VALUE"""),"ITBISA-SERVO-SG90-180DEG")</f>
        <v>ITBISA-SERVO-SG90-180DEG</v>
      </c>
      <c r="B10677" s="266">
        <f>IFERROR(__xludf.DUMMYFUNCTION("""COMPUTED_VALUE"""),45438.0)</f>
        <v>45438</v>
      </c>
      <c r="C10677" s="266" t="str">
        <f>IFERROR(__xludf.DUMMYFUNCTION("""COMPUTED_VALUE"""),"KERTASARI CIAMIS")</f>
        <v>KERTASARI CIAMIS</v>
      </c>
      <c r="D10677" s="186">
        <f>IFERROR(__xludf.DUMMYFUNCTION("""COMPUTED_VALUE"""),2.0)</f>
        <v>2</v>
      </c>
    </row>
    <row r="10678">
      <c r="A10678" s="178" t="str">
        <f>IFERROR(__xludf.DUMMYFUNCTION("""COMPUTED_VALUE"""),"ITBISA-SERVO-SG90-180DEG")</f>
        <v>ITBISA-SERVO-SG90-180DEG</v>
      </c>
      <c r="B10678" s="266">
        <f>IFERROR(__xludf.DUMMYFUNCTION("""COMPUTED_VALUE"""),45438.0)</f>
        <v>45438</v>
      </c>
      <c r="C10678" s="266" t="str">
        <f>IFERROR(__xludf.DUMMYFUNCTION("""COMPUTED_VALUE"""),"KERTASARI CIAMIS")</f>
        <v>KERTASARI CIAMIS</v>
      </c>
      <c r="D10678" s="186">
        <f>IFERROR(__xludf.DUMMYFUNCTION("""COMPUTED_VALUE"""),2.0)</f>
        <v>2</v>
      </c>
    </row>
    <row r="10679">
      <c r="A10679" s="178" t="str">
        <f>IFERROR(__xludf.DUMMYFUNCTION("""COMPUTED_VALUE"""),"ITBISA-SERVO-SG90-180DEG")</f>
        <v>ITBISA-SERVO-SG90-180DEG</v>
      </c>
      <c r="B10679" s="266">
        <f>IFERROR(__xludf.DUMMYFUNCTION("""COMPUTED_VALUE"""),45438.0)</f>
        <v>45438</v>
      </c>
      <c r="C10679" s="266" t="str">
        <f>IFERROR(__xludf.DUMMYFUNCTION("""COMPUTED_VALUE"""),"KYAI KONTONG")</f>
        <v>KYAI KONTONG</v>
      </c>
      <c r="D10679" s="186">
        <f>IFERROR(__xludf.DUMMYFUNCTION("""COMPUTED_VALUE"""),6.0)</f>
        <v>6</v>
      </c>
    </row>
    <row r="10680">
      <c r="A10680" s="178" t="str">
        <f>IFERROR(__xludf.DUMMYFUNCTION("""COMPUTED_VALUE"""),"ITBISA-SERVO-SG90-180DEG")</f>
        <v>ITBISA-SERVO-SG90-180DEG</v>
      </c>
      <c r="B10680" s="266">
        <f>IFERROR(__xludf.DUMMYFUNCTION("""COMPUTED_VALUE"""),45443.0)</f>
        <v>45443</v>
      </c>
      <c r="C10680" s="266" t="str">
        <f>IFERROR(__xludf.DUMMYFUNCTION("""COMPUTED_VALUE"""),"KYAI KONTONG")</f>
        <v>KYAI KONTONG</v>
      </c>
      <c r="D10680" s="186">
        <f>IFERROR(__xludf.DUMMYFUNCTION("""COMPUTED_VALUE"""),1.0)</f>
        <v>1</v>
      </c>
    </row>
    <row r="10681">
      <c r="A10681" s="178" t="str">
        <f>IFERROR(__xludf.DUMMYFUNCTION("""COMPUTED_VALUE"""),"ITBISA-SERVO-SG90-180DEG")</f>
        <v>ITBISA-SERVO-SG90-180DEG</v>
      </c>
      <c r="B10681" s="266">
        <f>IFERROR(__xludf.DUMMYFUNCTION("""COMPUTED_VALUE"""),45443.0)</f>
        <v>45443</v>
      </c>
      <c r="C10681" s="266" t="str">
        <f>IFERROR(__xludf.DUMMYFUNCTION("""COMPUTED_VALUE"""),"KYAI KONTONG")</f>
        <v>KYAI KONTONG</v>
      </c>
      <c r="D10681" s="186">
        <f>IFERROR(__xludf.DUMMYFUNCTION("""COMPUTED_VALUE"""),3.0)</f>
        <v>3</v>
      </c>
    </row>
    <row r="10682">
      <c r="A10682" s="178" t="str">
        <f>IFERROR(__xludf.DUMMYFUNCTION("""COMPUTED_VALUE"""),"ITBISA-SERVO-SG90-180DEG")</f>
        <v>ITBISA-SERVO-SG90-180DEG</v>
      </c>
      <c r="B10682" s="266">
        <f>IFERROR(__xludf.DUMMYFUNCTION("""COMPUTED_VALUE"""),45445.0)</f>
        <v>45445</v>
      </c>
      <c r="C10682" s="266" t="str">
        <f>IFERROR(__xludf.DUMMYFUNCTION("""COMPUTED_VALUE"""),"KYAI KONTONG")</f>
        <v>KYAI KONTONG</v>
      </c>
      <c r="D10682" s="186">
        <f>IFERROR(__xludf.DUMMYFUNCTION("""COMPUTED_VALUE"""),1.0)</f>
        <v>1</v>
      </c>
    </row>
    <row r="10683">
      <c r="A10683" s="178" t="str">
        <f>IFERROR(__xludf.DUMMYFUNCTION("""COMPUTED_VALUE"""),"ITBISA-SERVO-SG90-180DEG")</f>
        <v>ITBISA-SERVO-SG90-180DEG</v>
      </c>
      <c r="B10683" s="266">
        <f>IFERROR(__xludf.DUMMYFUNCTION("""COMPUTED_VALUE"""),45447.0)</f>
        <v>45447</v>
      </c>
      <c r="C10683" s="266" t="str">
        <f>IFERROR(__xludf.DUMMYFUNCTION("""COMPUTED_VALUE"""),"KERTASARI CIAMIS")</f>
        <v>KERTASARI CIAMIS</v>
      </c>
      <c r="D10683" s="186">
        <f>IFERROR(__xludf.DUMMYFUNCTION("""COMPUTED_VALUE"""),2.0)</f>
        <v>2</v>
      </c>
    </row>
    <row r="10684">
      <c r="A10684" s="178" t="str">
        <f>IFERROR(__xludf.DUMMYFUNCTION("""COMPUTED_VALUE"""),"ITBISA-SERVO-SG90-180DEG")</f>
        <v>ITBISA-SERVO-SG90-180DEG</v>
      </c>
      <c r="B10684" s="266">
        <f>IFERROR(__xludf.DUMMYFUNCTION("""COMPUTED_VALUE"""),45447.0)</f>
        <v>45447</v>
      </c>
      <c r="C10684" s="266" t="str">
        <f>IFERROR(__xludf.DUMMYFUNCTION("""COMPUTED_VALUE"""),"KYAI KONTONG")</f>
        <v>KYAI KONTONG</v>
      </c>
      <c r="D10684" s="186">
        <f>IFERROR(__xludf.DUMMYFUNCTION("""COMPUTED_VALUE"""),1.0)</f>
        <v>1</v>
      </c>
    </row>
    <row r="10685">
      <c r="A10685" s="178" t="str">
        <f>IFERROR(__xludf.DUMMYFUNCTION("""COMPUTED_VALUE"""),"ITBISA-SERVO-SG90-180DEG")</f>
        <v>ITBISA-SERVO-SG90-180DEG</v>
      </c>
      <c r="B10685" s="266">
        <f>IFERROR(__xludf.DUMMYFUNCTION("""COMPUTED_VALUE"""),45447.0)</f>
        <v>45447</v>
      </c>
      <c r="C10685" s="266" t="str">
        <f>IFERROR(__xludf.DUMMYFUNCTION("""COMPUTED_VALUE"""),"KYAI KONTONG")</f>
        <v>KYAI KONTONG</v>
      </c>
      <c r="D10685" s="186">
        <f>IFERROR(__xludf.DUMMYFUNCTION("""COMPUTED_VALUE"""),2.0)</f>
        <v>2</v>
      </c>
    </row>
    <row r="10686">
      <c r="A10686" s="178" t="str">
        <f>IFERROR(__xludf.DUMMYFUNCTION("""COMPUTED_VALUE"""),"ITBISA-SERVO-SG90-180DEG")</f>
        <v>ITBISA-SERVO-SG90-180DEG</v>
      </c>
      <c r="B10686" s="266">
        <f>IFERROR(__xludf.DUMMYFUNCTION("""COMPUTED_VALUE"""),45447.0)</f>
        <v>45447</v>
      </c>
      <c r="C10686" s="266" t="str">
        <f>IFERROR(__xludf.DUMMYFUNCTION("""COMPUTED_VALUE"""),"KYAI KONTONG")</f>
        <v>KYAI KONTONG</v>
      </c>
      <c r="D10686" s="186">
        <f>IFERROR(__xludf.DUMMYFUNCTION("""COMPUTED_VALUE"""),2.0)</f>
        <v>2</v>
      </c>
    </row>
    <row r="10687">
      <c r="A10687" s="178" t="str">
        <f>IFERROR(__xludf.DUMMYFUNCTION("""COMPUTED_VALUE"""),"ITBISA-SERVO-SG90-180DEG")</f>
        <v>ITBISA-SERVO-SG90-180DEG</v>
      </c>
      <c r="B10687" s="266">
        <f>IFERROR(__xludf.DUMMYFUNCTION("""COMPUTED_VALUE"""),45449.0)</f>
        <v>45449</v>
      </c>
      <c r="C10687" s="266" t="str">
        <f>IFERROR(__xludf.DUMMYFUNCTION("""COMPUTED_VALUE"""),"KERTASARI CIAMIS")</f>
        <v>KERTASARI CIAMIS</v>
      </c>
      <c r="D10687" s="186">
        <f>IFERROR(__xludf.DUMMYFUNCTION("""COMPUTED_VALUE"""),2.0)</f>
        <v>2</v>
      </c>
    </row>
    <row r="10688">
      <c r="A10688" s="178" t="str">
        <f>IFERROR(__xludf.DUMMYFUNCTION("""COMPUTED_VALUE"""),"ITBISA-SERVO-SG90-180DEG")</f>
        <v>ITBISA-SERVO-SG90-180DEG</v>
      </c>
      <c r="B10688" s="266">
        <f>IFERROR(__xludf.DUMMYFUNCTION("""COMPUTED_VALUE"""),45449.0)</f>
        <v>45449</v>
      </c>
      <c r="C10688" s="266" t="str">
        <f>IFERROR(__xludf.DUMMYFUNCTION("""COMPUTED_VALUE"""),"KERTASARI CIAMIS")</f>
        <v>KERTASARI CIAMIS</v>
      </c>
      <c r="D10688" s="186">
        <f>IFERROR(__xludf.DUMMYFUNCTION("""COMPUTED_VALUE"""),3.0)</f>
        <v>3</v>
      </c>
    </row>
    <row r="10689">
      <c r="A10689" s="178" t="str">
        <f>IFERROR(__xludf.DUMMYFUNCTION("""COMPUTED_VALUE"""),"ITBISA-SERVO-SG90-180DEG")</f>
        <v>ITBISA-SERVO-SG90-180DEG</v>
      </c>
      <c r="B10689" s="266">
        <f>IFERROR(__xludf.DUMMYFUNCTION("""COMPUTED_VALUE"""),45450.0)</f>
        <v>45450</v>
      </c>
      <c r="C10689" s="266" t="str">
        <f>IFERROR(__xludf.DUMMYFUNCTION("""COMPUTED_VALUE"""),"KERTASARI CIAMIS")</f>
        <v>KERTASARI CIAMIS</v>
      </c>
      <c r="D10689" s="186">
        <f>IFERROR(__xludf.DUMMYFUNCTION("""COMPUTED_VALUE"""),1.0)</f>
        <v>1</v>
      </c>
    </row>
    <row r="10690">
      <c r="A10690" s="178" t="str">
        <f>IFERROR(__xludf.DUMMYFUNCTION("""COMPUTED_VALUE"""),"ITBISA-SERVO-SG90-180DEG")</f>
        <v>ITBISA-SERVO-SG90-180DEG</v>
      </c>
      <c r="B10690" s="266">
        <f>IFERROR(__xludf.DUMMYFUNCTION("""COMPUTED_VALUE"""),45450.0)</f>
        <v>45450</v>
      </c>
      <c r="C10690" s="266" t="str">
        <f>IFERROR(__xludf.DUMMYFUNCTION("""COMPUTED_VALUE"""),"KYAI KONTONG")</f>
        <v>KYAI KONTONG</v>
      </c>
      <c r="D10690" s="186">
        <f>IFERROR(__xludf.DUMMYFUNCTION("""COMPUTED_VALUE"""),4.0)</f>
        <v>4</v>
      </c>
    </row>
    <row r="10691">
      <c r="A10691" s="178" t="str">
        <f>IFERROR(__xludf.DUMMYFUNCTION("""COMPUTED_VALUE"""),"ITBISA-SERVO-SG90-180DEG")</f>
        <v>ITBISA-SERVO-SG90-180DEG</v>
      </c>
      <c r="B10691" s="266">
        <f>IFERROR(__xludf.DUMMYFUNCTION("""COMPUTED_VALUE"""),45451.0)</f>
        <v>45451</v>
      </c>
      <c r="C10691" s="266" t="str">
        <f>IFERROR(__xludf.DUMMYFUNCTION("""COMPUTED_VALUE"""),"KERTASARI CIAMIS")</f>
        <v>KERTASARI CIAMIS</v>
      </c>
      <c r="D10691" s="186">
        <f>IFERROR(__xludf.DUMMYFUNCTION("""COMPUTED_VALUE"""),2.0)</f>
        <v>2</v>
      </c>
    </row>
    <row r="10692">
      <c r="A10692" s="178" t="str">
        <f>IFERROR(__xludf.DUMMYFUNCTION("""COMPUTED_VALUE"""),"ITBISA-SERVO-SG90-180DEG")</f>
        <v>ITBISA-SERVO-SG90-180DEG</v>
      </c>
      <c r="B10692" s="266">
        <f>IFERROR(__xludf.DUMMYFUNCTION("""COMPUTED_VALUE"""),45452.0)</f>
        <v>45452</v>
      </c>
      <c r="C10692" s="266" t="str">
        <f>IFERROR(__xludf.DUMMYFUNCTION("""COMPUTED_VALUE"""),"KERTASARI CIAMIS")</f>
        <v>KERTASARI CIAMIS</v>
      </c>
      <c r="D10692" s="186">
        <f>IFERROR(__xludf.DUMMYFUNCTION("""COMPUTED_VALUE"""),1.0)</f>
        <v>1</v>
      </c>
    </row>
    <row r="10693">
      <c r="A10693" s="178" t="str">
        <f>IFERROR(__xludf.DUMMYFUNCTION("""COMPUTED_VALUE"""),"ITBISA-SERVO-SG90-180DEG")</f>
        <v>ITBISA-SERVO-SG90-180DEG</v>
      </c>
      <c r="B10693" s="266">
        <f>IFERROR(__xludf.DUMMYFUNCTION("""COMPUTED_VALUE"""),45452.0)</f>
        <v>45452</v>
      </c>
      <c r="C10693" s="266" t="str">
        <f>IFERROR(__xludf.DUMMYFUNCTION("""COMPUTED_VALUE"""),"KYAI KONTONG")</f>
        <v>KYAI KONTONG</v>
      </c>
      <c r="D10693" s="186">
        <f>IFERROR(__xludf.DUMMYFUNCTION("""COMPUTED_VALUE"""),1.0)</f>
        <v>1</v>
      </c>
    </row>
    <row r="10694">
      <c r="A10694" s="178" t="str">
        <f>IFERROR(__xludf.DUMMYFUNCTION("""COMPUTED_VALUE"""),"ITBISA-SERVO-SG90-180DEG")</f>
        <v>ITBISA-SERVO-SG90-180DEG</v>
      </c>
      <c r="B10694" s="266">
        <f>IFERROR(__xludf.DUMMYFUNCTION("""COMPUTED_VALUE"""),45452.0)</f>
        <v>45452</v>
      </c>
      <c r="C10694" s="266" t="str">
        <f>IFERROR(__xludf.DUMMYFUNCTION("""COMPUTED_VALUE"""),"KYAI KONTONG")</f>
        <v>KYAI KONTONG</v>
      </c>
      <c r="D10694" s="186">
        <f>IFERROR(__xludf.DUMMYFUNCTION("""COMPUTED_VALUE"""),3.0)</f>
        <v>3</v>
      </c>
    </row>
    <row r="10695">
      <c r="A10695" s="178" t="str">
        <f>IFERROR(__xludf.DUMMYFUNCTION("""COMPUTED_VALUE"""),"ITBISA-SERVO-SG90-180DEG")</f>
        <v>ITBISA-SERVO-SG90-180DEG</v>
      </c>
      <c r="B10695" s="266">
        <f>IFERROR(__xludf.DUMMYFUNCTION("""COMPUTED_VALUE"""),45454.0)</f>
        <v>45454</v>
      </c>
      <c r="C10695" s="266" t="str">
        <f>IFERROR(__xludf.DUMMYFUNCTION("""COMPUTED_VALUE"""),"KERTASARI CIAMIS")</f>
        <v>KERTASARI CIAMIS</v>
      </c>
      <c r="D10695" s="186">
        <f>IFERROR(__xludf.DUMMYFUNCTION("""COMPUTED_VALUE"""),1.0)</f>
        <v>1</v>
      </c>
    </row>
    <row r="10696">
      <c r="A10696" s="178" t="str">
        <f>IFERROR(__xludf.DUMMYFUNCTION("""COMPUTED_VALUE"""),"ITBISA-SERVO-SG90-180DEG")</f>
        <v>ITBISA-SERVO-SG90-180DEG</v>
      </c>
      <c r="B10696" s="266">
        <f>IFERROR(__xludf.DUMMYFUNCTION("""COMPUTED_VALUE"""),45460.0)</f>
        <v>45460</v>
      </c>
      <c r="C10696" s="266" t="str">
        <f>IFERROR(__xludf.DUMMYFUNCTION("""COMPUTED_VALUE"""),"KYAI KONTONG")</f>
        <v>KYAI KONTONG</v>
      </c>
      <c r="D10696" s="186">
        <f>IFERROR(__xludf.DUMMYFUNCTION("""COMPUTED_VALUE"""),10.0)</f>
        <v>10</v>
      </c>
    </row>
    <row r="10697">
      <c r="A10697" s="178" t="str">
        <f>IFERROR(__xludf.DUMMYFUNCTION("""COMPUTED_VALUE"""),"ITBISA-SERVO-SG90-180DEG")</f>
        <v>ITBISA-SERVO-SG90-180DEG</v>
      </c>
      <c r="B10697" s="266">
        <f>IFERROR(__xludf.DUMMYFUNCTION("""COMPUTED_VALUE"""),45471.0)</f>
        <v>45471</v>
      </c>
      <c r="C10697" s="266" t="str">
        <f>IFERROR(__xludf.DUMMYFUNCTION("""COMPUTED_VALUE"""),"KERTASARI CIAMIS")</f>
        <v>KERTASARI CIAMIS</v>
      </c>
      <c r="D10697" s="186">
        <f>IFERROR(__xludf.DUMMYFUNCTION("""COMPUTED_VALUE"""),1.0)</f>
        <v>1</v>
      </c>
    </row>
    <row r="10698">
      <c r="A10698" s="178" t="str">
        <f>IFERROR(__xludf.DUMMYFUNCTION("""COMPUTED_VALUE"""),"ITBISA-SERVO-SG90-180DEG")</f>
        <v>ITBISA-SERVO-SG90-180DEG</v>
      </c>
      <c r="B10698" s="266">
        <f>IFERROR(__xludf.DUMMYFUNCTION("""COMPUTED_VALUE"""),45473.0)</f>
        <v>45473</v>
      </c>
      <c r="C10698" s="266" t="str">
        <f>IFERROR(__xludf.DUMMYFUNCTION("""COMPUTED_VALUE"""),"KYAI KONTONG")</f>
        <v>KYAI KONTONG</v>
      </c>
      <c r="D10698" s="186">
        <f>IFERROR(__xludf.DUMMYFUNCTION("""COMPUTED_VALUE"""),3.0)</f>
        <v>3</v>
      </c>
    </row>
    <row r="10699">
      <c r="A10699" s="178" t="str">
        <f>IFERROR(__xludf.DUMMYFUNCTION("""COMPUTED_VALUE"""),"ITBISA-SERVO-SG90-180DEG")</f>
        <v>ITBISA-SERVO-SG90-180DEG</v>
      </c>
      <c r="B10699" s="266">
        <f>IFERROR(__xludf.DUMMYFUNCTION("""COMPUTED_VALUE"""),45477.0)</f>
        <v>45477</v>
      </c>
      <c r="C10699" s="266" t="str">
        <f>IFERROR(__xludf.DUMMYFUNCTION("""COMPUTED_VALUE"""),"KYAI KONTONG")</f>
        <v>KYAI KONTONG</v>
      </c>
      <c r="D10699" s="186">
        <f>IFERROR(__xludf.DUMMYFUNCTION("""COMPUTED_VALUE"""),26.0)</f>
        <v>26</v>
      </c>
    </row>
    <row r="10700">
      <c r="A10700" s="178" t="str">
        <f>IFERROR(__xludf.DUMMYFUNCTION("""COMPUTED_VALUE"""),"ITBISA-SERVO-SG90-180DEG")</f>
        <v>ITBISA-SERVO-SG90-180DEG</v>
      </c>
      <c r="B10700" s="266">
        <f>IFERROR(__xludf.DUMMYFUNCTION("""COMPUTED_VALUE"""),45478.0)</f>
        <v>45478</v>
      </c>
      <c r="C10700" s="266" t="str">
        <f>IFERROR(__xludf.DUMMYFUNCTION("""COMPUTED_VALUE"""),"KYAI KONTONG")</f>
        <v>KYAI KONTONG</v>
      </c>
      <c r="D10700" s="186">
        <f>IFERROR(__xludf.DUMMYFUNCTION("""COMPUTED_VALUE"""),1.0)</f>
        <v>1</v>
      </c>
    </row>
    <row r="10701">
      <c r="A10701" s="178" t="str">
        <f>IFERROR(__xludf.DUMMYFUNCTION("""COMPUTED_VALUE"""),"ITBISA-SERVO-SG90-180DEG")</f>
        <v>ITBISA-SERVO-SG90-180DEG</v>
      </c>
      <c r="B10701" s="266">
        <f>IFERROR(__xludf.DUMMYFUNCTION("""COMPUTED_VALUE"""),45481.0)</f>
        <v>45481</v>
      </c>
      <c r="C10701" s="266" t="str">
        <f>IFERROR(__xludf.DUMMYFUNCTION("""COMPUTED_VALUE"""),"KYAI KONTONG")</f>
        <v>KYAI KONTONG</v>
      </c>
      <c r="D10701" s="186">
        <f>IFERROR(__xludf.DUMMYFUNCTION("""COMPUTED_VALUE"""),2.0)</f>
        <v>2</v>
      </c>
    </row>
    <row r="10702">
      <c r="A10702" s="178" t="str">
        <f>IFERROR(__xludf.DUMMYFUNCTION("""COMPUTED_VALUE"""),"ITBISA-SERVO-SG90-180DEG")</f>
        <v>ITBISA-SERVO-SG90-180DEG</v>
      </c>
      <c r="B10702" s="266">
        <f>IFERROR(__xludf.DUMMYFUNCTION("""COMPUTED_VALUE"""),45485.0)</f>
        <v>45485</v>
      </c>
      <c r="C10702" s="266" t="str">
        <f>IFERROR(__xludf.DUMMYFUNCTION("""COMPUTED_VALUE"""),"KYAI KONTONG")</f>
        <v>KYAI KONTONG</v>
      </c>
      <c r="D10702" s="186">
        <f>IFERROR(__xludf.DUMMYFUNCTION("""COMPUTED_VALUE"""),1.0)</f>
        <v>1</v>
      </c>
    </row>
    <row r="10703">
      <c r="A10703" s="178" t="str">
        <f>IFERROR(__xludf.DUMMYFUNCTION("""COMPUTED_VALUE"""),"ITBISA-SERVO-SG90-180DEG")</f>
        <v>ITBISA-SERVO-SG90-180DEG</v>
      </c>
      <c r="B10703" s="266">
        <f>IFERROR(__xludf.DUMMYFUNCTION("""COMPUTED_VALUE"""),45491.0)</f>
        <v>45491</v>
      </c>
      <c r="C10703" s="266" t="str">
        <f>IFERROR(__xludf.DUMMYFUNCTION("""COMPUTED_VALUE"""),"KERTASARI CIAMIS")</f>
        <v>KERTASARI CIAMIS</v>
      </c>
      <c r="D10703" s="186">
        <f>IFERROR(__xludf.DUMMYFUNCTION("""COMPUTED_VALUE"""),2.0)</f>
        <v>2</v>
      </c>
    </row>
    <row r="10704">
      <c r="A10704" s="178" t="str">
        <f>IFERROR(__xludf.DUMMYFUNCTION("""COMPUTED_VALUE"""),"ITBISA-SERVO-SG90-180DEG")</f>
        <v>ITBISA-SERVO-SG90-180DEG</v>
      </c>
      <c r="B10704" s="266">
        <f>IFERROR(__xludf.DUMMYFUNCTION("""COMPUTED_VALUE"""),45492.0)</f>
        <v>45492</v>
      </c>
      <c r="C10704" s="266" t="str">
        <f>IFERROR(__xludf.DUMMYFUNCTION("""COMPUTED_VALUE"""),"KYAI KONTONG")</f>
        <v>KYAI KONTONG</v>
      </c>
      <c r="D10704" s="186">
        <f>IFERROR(__xludf.DUMMYFUNCTION("""COMPUTED_VALUE"""),1.0)</f>
        <v>1</v>
      </c>
    </row>
    <row r="10705">
      <c r="A10705" s="178" t="str">
        <f>IFERROR(__xludf.DUMMYFUNCTION("""COMPUTED_VALUE"""),"ITBISA-SERVO-SG90-180DEG")</f>
        <v>ITBISA-SERVO-SG90-180DEG</v>
      </c>
      <c r="B10705" s="266">
        <f>IFERROR(__xludf.DUMMYFUNCTION("""COMPUTED_VALUE"""),45495.0)</f>
        <v>45495</v>
      </c>
      <c r="C10705" s="266" t="str">
        <f>IFERROR(__xludf.DUMMYFUNCTION("""COMPUTED_VALUE"""),"KYAI KONTONG")</f>
        <v>KYAI KONTONG</v>
      </c>
      <c r="D10705" s="186">
        <f>IFERROR(__xludf.DUMMYFUNCTION("""COMPUTED_VALUE"""),2.0)</f>
        <v>2</v>
      </c>
    </row>
    <row r="10706">
      <c r="A10706" s="178" t="str">
        <f>IFERROR(__xludf.DUMMYFUNCTION("""COMPUTED_VALUE"""),"ITBISA-SERVO-SG90-180DEG")</f>
        <v>ITBISA-SERVO-SG90-180DEG</v>
      </c>
      <c r="B10706" s="266">
        <f>IFERROR(__xludf.DUMMYFUNCTION("""COMPUTED_VALUE"""),45496.0)</f>
        <v>45496</v>
      </c>
      <c r="C10706" s="266" t="str">
        <f>IFERROR(__xludf.DUMMYFUNCTION("""COMPUTED_VALUE"""),"KYAI KONTONG")</f>
        <v>KYAI KONTONG</v>
      </c>
      <c r="D10706" s="186">
        <f>IFERROR(__xludf.DUMMYFUNCTION("""COMPUTED_VALUE"""),1.0)</f>
        <v>1</v>
      </c>
    </row>
    <row r="10707">
      <c r="A10707" s="178" t="str">
        <f>IFERROR(__xludf.DUMMYFUNCTION("""COMPUTED_VALUE"""),"ITBISA-SERVO-SG90-180DEG")</f>
        <v>ITBISA-SERVO-SG90-180DEG</v>
      </c>
      <c r="B10707" s="266">
        <f>IFERROR(__xludf.DUMMYFUNCTION("""COMPUTED_VALUE"""),45496.0)</f>
        <v>45496</v>
      </c>
      <c r="C10707" s="266" t="str">
        <f>IFERROR(__xludf.DUMMYFUNCTION("""COMPUTED_VALUE"""),"KYAI KONTONG")</f>
        <v>KYAI KONTONG</v>
      </c>
      <c r="D10707" s="186">
        <f>IFERROR(__xludf.DUMMYFUNCTION("""COMPUTED_VALUE"""),1.0)</f>
        <v>1</v>
      </c>
    </row>
    <row r="10708">
      <c r="A10708" s="178" t="str">
        <f>IFERROR(__xludf.DUMMYFUNCTION("""COMPUTED_VALUE"""),"ITBISA-SERVO-SG90-180DEG")</f>
        <v>ITBISA-SERVO-SG90-180DEG</v>
      </c>
      <c r="B10708" s="266">
        <f>IFERROR(__xludf.DUMMYFUNCTION("""COMPUTED_VALUE"""),45496.0)</f>
        <v>45496</v>
      </c>
      <c r="C10708" s="266" t="str">
        <f>IFERROR(__xludf.DUMMYFUNCTION("""COMPUTED_VALUE"""),"KYAI KONTONG")</f>
        <v>KYAI KONTONG</v>
      </c>
      <c r="D10708" s="186">
        <f>IFERROR(__xludf.DUMMYFUNCTION("""COMPUTED_VALUE"""),8.0)</f>
        <v>8</v>
      </c>
    </row>
    <row r="10709">
      <c r="A10709" s="178" t="str">
        <f>IFERROR(__xludf.DUMMYFUNCTION("""COMPUTED_VALUE"""),"ITBISA-SERVO-SG90-180DEG")</f>
        <v>ITBISA-SERVO-SG90-180DEG</v>
      </c>
      <c r="B10709" s="266">
        <f>IFERROR(__xludf.DUMMYFUNCTION("""COMPUTED_VALUE"""),45497.0)</f>
        <v>45497</v>
      </c>
      <c r="C10709" s="266" t="str">
        <f>IFERROR(__xludf.DUMMYFUNCTION("""COMPUTED_VALUE"""),"KYAI KONTONG")</f>
        <v>KYAI KONTONG</v>
      </c>
      <c r="D10709" s="186">
        <f>IFERROR(__xludf.DUMMYFUNCTION("""COMPUTED_VALUE"""),12.0)</f>
        <v>12</v>
      </c>
    </row>
    <row r="10710">
      <c r="A10710" s="178" t="str">
        <f>IFERROR(__xludf.DUMMYFUNCTION("""COMPUTED_VALUE"""),"ITBISA-SERVO-SG90-180DEG")</f>
        <v>ITBISA-SERVO-SG90-180DEG</v>
      </c>
      <c r="B10710" s="266">
        <f>IFERROR(__xludf.DUMMYFUNCTION("""COMPUTED_VALUE"""),45499.0)</f>
        <v>45499</v>
      </c>
      <c r="C10710" s="266" t="str">
        <f>IFERROR(__xludf.DUMMYFUNCTION("""COMPUTED_VALUE"""),"KYAI KONTONG")</f>
        <v>KYAI KONTONG</v>
      </c>
      <c r="D10710" s="186">
        <f>IFERROR(__xludf.DUMMYFUNCTION("""COMPUTED_VALUE"""),2.0)</f>
        <v>2</v>
      </c>
    </row>
    <row r="10711">
      <c r="A10711" s="178" t="str">
        <f>IFERROR(__xludf.DUMMYFUNCTION("""COMPUTED_VALUE"""),"ITBISA-SERVO-SG90-180DEG")</f>
        <v>ITBISA-SERVO-SG90-180DEG</v>
      </c>
      <c r="B10711" s="266">
        <f>IFERROR(__xludf.DUMMYFUNCTION("""COMPUTED_VALUE"""),45501.0)</f>
        <v>45501</v>
      </c>
      <c r="C10711" s="266" t="str">
        <f>IFERROR(__xludf.DUMMYFUNCTION("""COMPUTED_VALUE"""),"KERTASARI CIAMIS")</f>
        <v>KERTASARI CIAMIS</v>
      </c>
      <c r="D10711" s="186">
        <f>IFERROR(__xludf.DUMMYFUNCTION("""COMPUTED_VALUE"""),3.0)</f>
        <v>3</v>
      </c>
    </row>
    <row r="10712">
      <c r="A10712" s="178" t="str">
        <f>IFERROR(__xludf.DUMMYFUNCTION("""COMPUTED_VALUE"""),"ITBISA-SERVO-SG90-180DEG")</f>
        <v>ITBISA-SERVO-SG90-180DEG</v>
      </c>
      <c r="B10712" s="266">
        <f>IFERROR(__xludf.DUMMYFUNCTION("""COMPUTED_VALUE"""),45502.0)</f>
        <v>45502</v>
      </c>
      <c r="C10712" s="266" t="str">
        <f>IFERROR(__xludf.DUMMYFUNCTION("""COMPUTED_VALUE"""),"KERTASARI CIAMIS")</f>
        <v>KERTASARI CIAMIS</v>
      </c>
      <c r="D10712" s="186">
        <f>IFERROR(__xludf.DUMMYFUNCTION("""COMPUTED_VALUE"""),8.0)</f>
        <v>8</v>
      </c>
    </row>
    <row r="10713">
      <c r="A10713" s="178" t="str">
        <f>IFERROR(__xludf.DUMMYFUNCTION("""COMPUTED_VALUE"""),"ITBISA-SERVO-SG90-180DEG")</f>
        <v>ITBISA-SERVO-SG90-180DEG</v>
      </c>
      <c r="B10713" s="266">
        <f>IFERROR(__xludf.DUMMYFUNCTION("""COMPUTED_VALUE"""),45502.0)</f>
        <v>45502</v>
      </c>
      <c r="C10713" s="266" t="str">
        <f>IFERROR(__xludf.DUMMYFUNCTION("""COMPUTED_VALUE"""),"KYAI KONTONG")</f>
        <v>KYAI KONTONG</v>
      </c>
      <c r="D10713" s="186">
        <f>IFERROR(__xludf.DUMMYFUNCTION("""COMPUTED_VALUE"""),4.0)</f>
        <v>4</v>
      </c>
    </row>
    <row r="10714">
      <c r="A10714" s="178" t="str">
        <f>IFERROR(__xludf.DUMMYFUNCTION("""COMPUTED_VALUE"""),"ITBISA-SERVO-SG90-180DEG")</f>
        <v>ITBISA-SERVO-SG90-180DEG</v>
      </c>
      <c r="B10714" s="266">
        <f>IFERROR(__xludf.DUMMYFUNCTION("""COMPUTED_VALUE"""),45503.0)</f>
        <v>45503</v>
      </c>
      <c r="C10714" s="266" t="str">
        <f>IFERROR(__xludf.DUMMYFUNCTION("""COMPUTED_VALUE"""),"KERTASARI CIAMIS")</f>
        <v>KERTASARI CIAMIS</v>
      </c>
      <c r="D10714" s="186">
        <f>IFERROR(__xludf.DUMMYFUNCTION("""COMPUTED_VALUE"""),1.0)</f>
        <v>1</v>
      </c>
    </row>
    <row r="10715">
      <c r="A10715" s="178" t="str">
        <f>IFERROR(__xludf.DUMMYFUNCTION("""COMPUTED_VALUE"""),"ITBISA-SERVO-SG90-180DEG")</f>
        <v>ITBISA-SERVO-SG90-180DEG</v>
      </c>
      <c r="B10715" s="266">
        <f>IFERROR(__xludf.DUMMYFUNCTION("""COMPUTED_VALUE"""),45503.0)</f>
        <v>45503</v>
      </c>
      <c r="C10715" s="266" t="str">
        <f>IFERROR(__xludf.DUMMYFUNCTION("""COMPUTED_VALUE"""),"KYAI KONTONG")</f>
        <v>KYAI KONTONG</v>
      </c>
      <c r="D10715" s="186">
        <f>IFERROR(__xludf.DUMMYFUNCTION("""COMPUTED_VALUE"""),24.0)</f>
        <v>24</v>
      </c>
    </row>
    <row r="10716">
      <c r="A10716" s="178" t="str">
        <f>IFERROR(__xludf.DUMMYFUNCTION("""COMPUTED_VALUE"""),"ITBISA-SERVO-SG90-180DEG")</f>
        <v>ITBISA-SERVO-SG90-180DEG</v>
      </c>
      <c r="B10716" s="266">
        <f>IFERROR(__xludf.DUMMYFUNCTION("""COMPUTED_VALUE"""),45506.0)</f>
        <v>45506</v>
      </c>
      <c r="C10716" s="266" t="str">
        <f>IFERROR(__xludf.DUMMYFUNCTION("""COMPUTED_VALUE"""),"KYAI KONTONG")</f>
        <v>KYAI KONTONG</v>
      </c>
      <c r="D10716" s="186">
        <f>IFERROR(__xludf.DUMMYFUNCTION("""COMPUTED_VALUE"""),2.0)</f>
        <v>2</v>
      </c>
    </row>
    <row r="10717">
      <c r="A10717" s="178" t="str">
        <f>IFERROR(__xludf.DUMMYFUNCTION("""COMPUTED_VALUE"""),"ITBISA-SERVO-SG90-180DEG")</f>
        <v>ITBISA-SERVO-SG90-180DEG</v>
      </c>
      <c r="B10717" s="266">
        <f>IFERROR(__xludf.DUMMYFUNCTION("""COMPUTED_VALUE"""),45509.0)</f>
        <v>45509</v>
      </c>
      <c r="C10717" s="266" t="str">
        <f>IFERROR(__xludf.DUMMYFUNCTION("""COMPUTED_VALUE"""),"KERTASARI CIAMIS")</f>
        <v>KERTASARI CIAMIS</v>
      </c>
      <c r="D10717" s="186">
        <f>IFERROR(__xludf.DUMMYFUNCTION("""COMPUTED_VALUE"""),2.0)</f>
        <v>2</v>
      </c>
    </row>
    <row r="10718">
      <c r="A10718" s="178" t="str">
        <f>IFERROR(__xludf.DUMMYFUNCTION("""COMPUTED_VALUE"""),"ITBISA-SERVO-SG90-180DEG")</f>
        <v>ITBISA-SERVO-SG90-180DEG</v>
      </c>
      <c r="B10718" s="266">
        <f>IFERROR(__xludf.DUMMYFUNCTION("""COMPUTED_VALUE"""),45509.0)</f>
        <v>45509</v>
      </c>
      <c r="C10718" s="266" t="str">
        <f>IFERROR(__xludf.DUMMYFUNCTION("""COMPUTED_VALUE"""),"KYAI KONTONG")</f>
        <v>KYAI KONTONG</v>
      </c>
      <c r="D10718" s="186">
        <f>IFERROR(__xludf.DUMMYFUNCTION("""COMPUTED_VALUE"""),1.0)</f>
        <v>1</v>
      </c>
    </row>
    <row r="10719">
      <c r="A10719" s="178" t="str">
        <f>IFERROR(__xludf.DUMMYFUNCTION("""COMPUTED_VALUE"""),"ITBISA-SERVO-SG90-180DEG")</f>
        <v>ITBISA-SERVO-SG90-180DEG</v>
      </c>
      <c r="B10719" s="266">
        <f>IFERROR(__xludf.DUMMYFUNCTION("""COMPUTED_VALUE"""),45511.0)</f>
        <v>45511</v>
      </c>
      <c r="C10719" s="266" t="str">
        <f>IFERROR(__xludf.DUMMYFUNCTION("""COMPUTED_VALUE"""),"KERTASARI CIAMIS")</f>
        <v>KERTASARI CIAMIS</v>
      </c>
      <c r="D10719" s="186">
        <f>IFERROR(__xludf.DUMMYFUNCTION("""COMPUTED_VALUE"""),2.0)</f>
        <v>2</v>
      </c>
    </row>
    <row r="10720">
      <c r="A10720" s="178" t="str">
        <f>IFERROR(__xludf.DUMMYFUNCTION("""COMPUTED_VALUE"""),"ITBISA-SERVO-SG90-180DEG")</f>
        <v>ITBISA-SERVO-SG90-180DEG</v>
      </c>
      <c r="B10720" s="266">
        <f>IFERROR(__xludf.DUMMYFUNCTION("""COMPUTED_VALUE"""),45512.0)</f>
        <v>45512</v>
      </c>
      <c r="C10720" s="266" t="str">
        <f>IFERROR(__xludf.DUMMYFUNCTION("""COMPUTED_VALUE"""),"KYAI KONTONG")</f>
        <v>KYAI KONTONG</v>
      </c>
      <c r="D10720" s="186">
        <f>IFERROR(__xludf.DUMMYFUNCTION("""COMPUTED_VALUE"""),1.0)</f>
        <v>1</v>
      </c>
    </row>
    <row r="10721">
      <c r="A10721" s="178" t="str">
        <f>IFERROR(__xludf.DUMMYFUNCTION("""COMPUTED_VALUE"""),"ITBISA-SERVO-SG90-180DEG")</f>
        <v>ITBISA-SERVO-SG90-180DEG</v>
      </c>
      <c r="B10721" s="266">
        <f>IFERROR(__xludf.DUMMYFUNCTION("""COMPUTED_VALUE"""),45512.0)</f>
        <v>45512</v>
      </c>
      <c r="C10721" s="266" t="str">
        <f>IFERROR(__xludf.DUMMYFUNCTION("""COMPUTED_VALUE"""),"KYAI KONTONG")</f>
        <v>KYAI KONTONG</v>
      </c>
      <c r="D10721" s="186">
        <f>IFERROR(__xludf.DUMMYFUNCTION("""COMPUTED_VALUE"""),1.0)</f>
        <v>1</v>
      </c>
    </row>
    <row r="10722">
      <c r="A10722" s="178" t="str">
        <f>IFERROR(__xludf.DUMMYFUNCTION("""COMPUTED_VALUE"""),"ITBISA-SERVO-SG90-180DEG")</f>
        <v>ITBISA-SERVO-SG90-180DEG</v>
      </c>
      <c r="B10722" s="266">
        <f>IFERROR(__xludf.DUMMYFUNCTION("""COMPUTED_VALUE"""),45516.0)</f>
        <v>45516</v>
      </c>
      <c r="C10722" s="266" t="str">
        <f>IFERROR(__xludf.DUMMYFUNCTION("""COMPUTED_VALUE"""),"KERTASARI CIAMIS")</f>
        <v>KERTASARI CIAMIS</v>
      </c>
      <c r="D10722" s="186">
        <f>IFERROR(__xludf.DUMMYFUNCTION("""COMPUTED_VALUE"""),1.0)</f>
        <v>1</v>
      </c>
    </row>
    <row r="10723">
      <c r="A10723" s="178" t="str">
        <f>IFERROR(__xludf.DUMMYFUNCTION("""COMPUTED_VALUE"""),"ITBISA-SERVO-SG90-180DEG")</f>
        <v>ITBISA-SERVO-SG90-180DEG</v>
      </c>
      <c r="B10723" s="266">
        <f>IFERROR(__xludf.DUMMYFUNCTION("""COMPUTED_VALUE"""),45519.0)</f>
        <v>45519</v>
      </c>
      <c r="C10723" s="266" t="str">
        <f>IFERROR(__xludf.DUMMYFUNCTION("""COMPUTED_VALUE"""),"KERTASARI CIAMIS")</f>
        <v>KERTASARI CIAMIS</v>
      </c>
      <c r="D10723" s="186">
        <f>IFERROR(__xludf.DUMMYFUNCTION("""COMPUTED_VALUE"""),10.0)</f>
        <v>10</v>
      </c>
    </row>
    <row r="10724">
      <c r="A10724" s="178" t="str">
        <f>IFERROR(__xludf.DUMMYFUNCTION("""COMPUTED_VALUE"""),"ITBISA-SERVO-SG90-180DEG")</f>
        <v>ITBISA-SERVO-SG90-180DEG</v>
      </c>
      <c r="B10724" s="266">
        <f>IFERROR(__xludf.DUMMYFUNCTION("""COMPUTED_VALUE"""),45521.0)</f>
        <v>45521</v>
      </c>
      <c r="C10724" s="266" t="str">
        <f>IFERROR(__xludf.DUMMYFUNCTION("""COMPUTED_VALUE"""),"KERTASARI CIAMIS")</f>
        <v>KERTASARI CIAMIS</v>
      </c>
      <c r="D10724" s="186">
        <f>IFERROR(__xludf.DUMMYFUNCTION("""COMPUTED_VALUE"""),2.0)</f>
        <v>2</v>
      </c>
    </row>
    <row r="10725">
      <c r="A10725" s="178" t="str">
        <f>IFERROR(__xludf.DUMMYFUNCTION("""COMPUTED_VALUE"""),"ITBISA-SERVO-SG90-180DEG")</f>
        <v>ITBISA-SERVO-SG90-180DEG</v>
      </c>
      <c r="B10725" s="266">
        <f>IFERROR(__xludf.DUMMYFUNCTION("""COMPUTED_VALUE"""),45521.0)</f>
        <v>45521</v>
      </c>
      <c r="C10725" s="266" t="str">
        <f>IFERROR(__xludf.DUMMYFUNCTION("""COMPUTED_VALUE"""),"KYAI KONTONG")</f>
        <v>KYAI KONTONG</v>
      </c>
      <c r="D10725" s="186">
        <f>IFERROR(__xludf.DUMMYFUNCTION("""COMPUTED_VALUE"""),1.0)</f>
        <v>1</v>
      </c>
    </row>
    <row r="10726">
      <c r="A10726" s="178" t="str">
        <f>IFERROR(__xludf.DUMMYFUNCTION("""COMPUTED_VALUE"""),"ITBISA-SERVO-SG90-180DEG")</f>
        <v>ITBISA-SERVO-SG90-180DEG</v>
      </c>
      <c r="B10726" s="266">
        <f>IFERROR(__xludf.DUMMYFUNCTION("""COMPUTED_VALUE"""),45524.0)</f>
        <v>45524</v>
      </c>
      <c r="C10726" s="266" t="str">
        <f>IFERROR(__xludf.DUMMYFUNCTION("""COMPUTED_VALUE"""),"KERTASARI CIAMIS")</f>
        <v>KERTASARI CIAMIS</v>
      </c>
      <c r="D10726" s="186">
        <f>IFERROR(__xludf.DUMMYFUNCTION("""COMPUTED_VALUE"""),2.0)</f>
        <v>2</v>
      </c>
    </row>
    <row r="10727">
      <c r="A10727" s="178" t="str">
        <f>IFERROR(__xludf.DUMMYFUNCTION("""COMPUTED_VALUE"""),"ITBISA-SERVO-SG90-180DEG")</f>
        <v>ITBISA-SERVO-SG90-180DEG</v>
      </c>
      <c r="B10727" s="266">
        <f>IFERROR(__xludf.DUMMYFUNCTION("""COMPUTED_VALUE"""),45527.0)</f>
        <v>45527</v>
      </c>
      <c r="C10727" s="266" t="str">
        <f>IFERROR(__xludf.DUMMYFUNCTION("""COMPUTED_VALUE"""),"KYAI KONTONG")</f>
        <v>KYAI KONTONG</v>
      </c>
      <c r="D10727" s="186">
        <f>IFERROR(__xludf.DUMMYFUNCTION("""COMPUTED_VALUE"""),1.0)</f>
        <v>1</v>
      </c>
    </row>
    <row r="10728">
      <c r="A10728" s="178" t="str">
        <f>IFERROR(__xludf.DUMMYFUNCTION("""COMPUTED_VALUE"""),"ITBISA-SERVO-SG90-180DEG")</f>
        <v>ITBISA-SERVO-SG90-180DEG</v>
      </c>
      <c r="B10728" s="266">
        <f>IFERROR(__xludf.DUMMYFUNCTION("""COMPUTED_VALUE"""),45530.0)</f>
        <v>45530</v>
      </c>
      <c r="C10728" s="266" t="str">
        <f>IFERROR(__xludf.DUMMYFUNCTION("""COMPUTED_VALUE"""),"KYAI KONTONG")</f>
        <v>KYAI KONTONG</v>
      </c>
      <c r="D10728" s="186">
        <f>IFERROR(__xludf.DUMMYFUNCTION("""COMPUTED_VALUE"""),1.0)</f>
        <v>1</v>
      </c>
    </row>
    <row r="10729">
      <c r="A10729" s="178" t="str">
        <f>IFERROR(__xludf.DUMMYFUNCTION("""COMPUTED_VALUE"""),"ITBISA-SERVO-SG90-180DEG")</f>
        <v>ITBISA-SERVO-SG90-180DEG</v>
      </c>
      <c r="B10729" s="266">
        <f>IFERROR(__xludf.DUMMYFUNCTION("""COMPUTED_VALUE"""),45531.0)</f>
        <v>45531</v>
      </c>
      <c r="C10729" s="266" t="str">
        <f>IFERROR(__xludf.DUMMYFUNCTION("""COMPUTED_VALUE"""),"KYAI KONTONG")</f>
        <v>KYAI KONTONG</v>
      </c>
      <c r="D10729" s="186">
        <f>IFERROR(__xludf.DUMMYFUNCTION("""COMPUTED_VALUE"""),1.0)</f>
        <v>1</v>
      </c>
    </row>
    <row r="10730">
      <c r="A10730" s="178" t="str">
        <f>IFERROR(__xludf.DUMMYFUNCTION("""COMPUTED_VALUE"""),"ITBISA-SERVO-SG90-180DEG")</f>
        <v>ITBISA-SERVO-SG90-180DEG</v>
      </c>
      <c r="B10730" s="266">
        <f>IFERROR(__xludf.DUMMYFUNCTION("""COMPUTED_VALUE"""),45532.0)</f>
        <v>45532</v>
      </c>
      <c r="C10730" s="266" t="str">
        <f>IFERROR(__xludf.DUMMYFUNCTION("""COMPUTED_VALUE"""),"KERTASARI CIAMIS")</f>
        <v>KERTASARI CIAMIS</v>
      </c>
      <c r="D10730" s="186">
        <f>IFERROR(__xludf.DUMMYFUNCTION("""COMPUTED_VALUE"""),20.0)</f>
        <v>20</v>
      </c>
    </row>
    <row r="10731">
      <c r="A10731" s="178" t="str">
        <f>IFERROR(__xludf.DUMMYFUNCTION("""COMPUTED_VALUE"""),"ITBISA-SERVO-SG90-180DEG")</f>
        <v>ITBISA-SERVO-SG90-180DEG</v>
      </c>
      <c r="B10731" s="266">
        <f>IFERROR(__xludf.DUMMYFUNCTION("""COMPUTED_VALUE"""),45535.0)</f>
        <v>45535</v>
      </c>
      <c r="C10731" s="266" t="str">
        <f>IFERROR(__xludf.DUMMYFUNCTION("""COMPUTED_VALUE"""),"KYAI KONTONG")</f>
        <v>KYAI KONTONG</v>
      </c>
      <c r="D10731" s="186">
        <f>IFERROR(__xludf.DUMMYFUNCTION("""COMPUTED_VALUE"""),4.0)</f>
        <v>4</v>
      </c>
    </row>
    <row r="10732">
      <c r="A10732" s="178" t="str">
        <f>IFERROR(__xludf.DUMMYFUNCTION("""COMPUTED_VALUE"""),"ITBISA-SERVO-SG90-180DEG")</f>
        <v>ITBISA-SERVO-SG90-180DEG</v>
      </c>
      <c r="B10732" s="266">
        <f>IFERROR(__xludf.DUMMYFUNCTION("""COMPUTED_VALUE"""),45536.0)</f>
        <v>45536</v>
      </c>
      <c r="C10732" s="266" t="str">
        <f>IFERROR(__xludf.DUMMYFUNCTION("""COMPUTED_VALUE"""),"KYAI KONTONG")</f>
        <v>KYAI KONTONG</v>
      </c>
      <c r="D10732" s="186">
        <f>IFERROR(__xludf.DUMMYFUNCTION("""COMPUTED_VALUE"""),2.0)</f>
        <v>2</v>
      </c>
    </row>
    <row r="10733">
      <c r="A10733" s="178" t="str">
        <f>IFERROR(__xludf.DUMMYFUNCTION("""COMPUTED_VALUE"""),"ITBISA-SERVO-SG90-180DEG")</f>
        <v>ITBISA-SERVO-SG90-180DEG</v>
      </c>
      <c r="B10733" s="266">
        <f>IFERROR(__xludf.DUMMYFUNCTION("""COMPUTED_VALUE"""),45540.0)</f>
        <v>45540</v>
      </c>
      <c r="C10733" s="266" t="str">
        <f>IFERROR(__xludf.DUMMYFUNCTION("""COMPUTED_VALUE"""),"KYAI KONTONG")</f>
        <v>KYAI KONTONG</v>
      </c>
      <c r="D10733" s="186">
        <f>IFERROR(__xludf.DUMMYFUNCTION("""COMPUTED_VALUE"""),1.0)</f>
        <v>1</v>
      </c>
    </row>
    <row r="10734">
      <c r="A10734" s="178" t="str">
        <f>IFERROR(__xludf.DUMMYFUNCTION("""COMPUTED_VALUE"""),"ITBISA-SERVO-SG90-180DEG")</f>
        <v>ITBISA-SERVO-SG90-180DEG</v>
      </c>
      <c r="B10734" s="266">
        <f>IFERROR(__xludf.DUMMYFUNCTION("""COMPUTED_VALUE"""),45541.0)</f>
        <v>45541</v>
      </c>
      <c r="C10734" s="266" t="str">
        <f>IFERROR(__xludf.DUMMYFUNCTION("""COMPUTED_VALUE"""),"KERTASARI CIAMIS")</f>
        <v>KERTASARI CIAMIS</v>
      </c>
      <c r="D10734" s="186">
        <f>IFERROR(__xludf.DUMMYFUNCTION("""COMPUTED_VALUE"""),20.0)</f>
        <v>20</v>
      </c>
    </row>
    <row r="10735">
      <c r="A10735" s="178" t="str">
        <f>IFERROR(__xludf.DUMMYFUNCTION("""COMPUTED_VALUE"""),"ITBISA-SERVO-SG90-180DEG")</f>
        <v>ITBISA-SERVO-SG90-180DEG</v>
      </c>
      <c r="B10735" s="266">
        <f>IFERROR(__xludf.DUMMYFUNCTION("""COMPUTED_VALUE"""),45547.0)</f>
        <v>45547</v>
      </c>
      <c r="C10735" s="266" t="str">
        <f>IFERROR(__xludf.DUMMYFUNCTION("""COMPUTED_VALUE"""),"KYAI KONTONG")</f>
        <v>KYAI KONTONG</v>
      </c>
      <c r="D10735" s="186">
        <f>IFERROR(__xludf.DUMMYFUNCTION("""COMPUTED_VALUE"""),1.0)</f>
        <v>1</v>
      </c>
    </row>
    <row r="10736">
      <c r="A10736" s="178" t="str">
        <f>IFERROR(__xludf.DUMMYFUNCTION("""COMPUTED_VALUE"""),"ITBISA-SERVO-SG90-180DEG")</f>
        <v>ITBISA-SERVO-SG90-180DEG</v>
      </c>
      <c r="B10736" s="266">
        <f>IFERROR(__xludf.DUMMYFUNCTION("""COMPUTED_VALUE"""),45549.0)</f>
        <v>45549</v>
      </c>
      <c r="C10736" s="266" t="str">
        <f>IFERROR(__xludf.DUMMYFUNCTION("""COMPUTED_VALUE"""),"KYAI KONTONG")</f>
        <v>KYAI KONTONG</v>
      </c>
      <c r="D10736" s="186">
        <f>IFERROR(__xludf.DUMMYFUNCTION("""COMPUTED_VALUE"""),1.0)</f>
        <v>1</v>
      </c>
    </row>
    <row r="10737">
      <c r="A10737" s="178" t="str">
        <f>IFERROR(__xludf.DUMMYFUNCTION("""COMPUTED_VALUE"""),"ITBISA-SERVO-SG90-180DEG")</f>
        <v>ITBISA-SERVO-SG90-180DEG</v>
      </c>
      <c r="B10737" s="266">
        <f>IFERROR(__xludf.DUMMYFUNCTION("""COMPUTED_VALUE"""),45550.0)</f>
        <v>45550</v>
      </c>
      <c r="C10737" s="266" t="str">
        <f>IFERROR(__xludf.DUMMYFUNCTION("""COMPUTED_VALUE"""),"KYAI KONTONG")</f>
        <v>KYAI KONTONG</v>
      </c>
      <c r="D10737" s="186">
        <f>IFERROR(__xludf.DUMMYFUNCTION("""COMPUTED_VALUE"""),2.0)</f>
        <v>2</v>
      </c>
    </row>
    <row r="10738">
      <c r="A10738" s="178" t="str">
        <f>IFERROR(__xludf.DUMMYFUNCTION("""COMPUTED_VALUE"""),"ITBISA-SERVO-SG90-180DEG")</f>
        <v>ITBISA-SERVO-SG90-180DEG</v>
      </c>
      <c r="B10738" s="266">
        <f>IFERROR(__xludf.DUMMYFUNCTION("""COMPUTED_VALUE"""),45552.0)</f>
        <v>45552</v>
      </c>
      <c r="C10738" s="266" t="str">
        <f>IFERROR(__xludf.DUMMYFUNCTION("""COMPUTED_VALUE"""),"KYAI KONTONG")</f>
        <v>KYAI KONTONG</v>
      </c>
      <c r="D10738" s="186">
        <f>IFERROR(__xludf.DUMMYFUNCTION("""COMPUTED_VALUE"""),4.0)</f>
        <v>4</v>
      </c>
    </row>
    <row r="10739">
      <c r="A10739" s="178" t="str">
        <f>IFERROR(__xludf.DUMMYFUNCTION("""COMPUTED_VALUE"""),"ITBISA-SERVO-SG90-180DEG")</f>
        <v>ITBISA-SERVO-SG90-180DEG</v>
      </c>
      <c r="B10739" s="266">
        <f>IFERROR(__xludf.DUMMYFUNCTION("""COMPUTED_VALUE"""),45559.0)</f>
        <v>45559</v>
      </c>
      <c r="C10739" s="266" t="str">
        <f>IFERROR(__xludf.DUMMYFUNCTION("""COMPUTED_VALUE"""),"KYAI KONTONG")</f>
        <v>KYAI KONTONG</v>
      </c>
      <c r="D10739" s="186">
        <f>IFERROR(__xludf.DUMMYFUNCTION("""COMPUTED_VALUE"""),1.0)</f>
        <v>1</v>
      </c>
    </row>
    <row r="10740">
      <c r="A10740" s="178" t="str">
        <f>IFERROR(__xludf.DUMMYFUNCTION("""COMPUTED_VALUE"""),"ITBISA-SERVO-SG90-180DEG")</f>
        <v>ITBISA-SERVO-SG90-180DEG</v>
      </c>
      <c r="B10740" s="266">
        <f>IFERROR(__xludf.DUMMYFUNCTION("""COMPUTED_VALUE"""),45560.0)</f>
        <v>45560</v>
      </c>
      <c r="C10740" s="266" t="str">
        <f>IFERROR(__xludf.DUMMYFUNCTION("""COMPUTED_VALUE"""),"KYAI KONTONG")</f>
        <v>KYAI KONTONG</v>
      </c>
      <c r="D10740" s="186">
        <f>IFERROR(__xludf.DUMMYFUNCTION("""COMPUTED_VALUE"""),3.0)</f>
        <v>3</v>
      </c>
    </row>
    <row r="10741">
      <c r="A10741" s="178" t="str">
        <f>IFERROR(__xludf.DUMMYFUNCTION("""COMPUTED_VALUE"""),"ITBISA-SERVO-SG90-180DEG")</f>
        <v>ITBISA-SERVO-SG90-180DEG</v>
      </c>
      <c r="B10741" s="266">
        <f>IFERROR(__xludf.DUMMYFUNCTION("""COMPUTED_VALUE"""),45561.0)</f>
        <v>45561</v>
      </c>
      <c r="C10741" s="266" t="str">
        <f>IFERROR(__xludf.DUMMYFUNCTION("""COMPUTED_VALUE"""),"KYAI KONTONG")</f>
        <v>KYAI KONTONG</v>
      </c>
      <c r="D10741" s="186">
        <f>IFERROR(__xludf.DUMMYFUNCTION("""COMPUTED_VALUE"""),1.0)</f>
        <v>1</v>
      </c>
    </row>
    <row r="10742">
      <c r="A10742" s="178" t="str">
        <f>IFERROR(__xludf.DUMMYFUNCTION("""COMPUTED_VALUE"""),"ITBISA-SERVO-SG90-180DEG")</f>
        <v>ITBISA-SERVO-SG90-180DEG</v>
      </c>
      <c r="B10742" s="266">
        <f>IFERROR(__xludf.DUMMYFUNCTION("""COMPUTED_VALUE"""),45561.0)</f>
        <v>45561</v>
      </c>
      <c r="C10742" s="266" t="str">
        <f>IFERROR(__xludf.DUMMYFUNCTION("""COMPUTED_VALUE"""),"KYAI KONTONG")</f>
        <v>KYAI KONTONG</v>
      </c>
      <c r="D10742" s="186">
        <f>IFERROR(__xludf.DUMMYFUNCTION("""COMPUTED_VALUE"""),1.0)</f>
        <v>1</v>
      </c>
    </row>
    <row r="10743">
      <c r="A10743" s="178" t="str">
        <f>IFERROR(__xludf.DUMMYFUNCTION("""COMPUTED_VALUE"""),"ITBISA-SERVO-SG90-180DEG")</f>
        <v>ITBISA-SERVO-SG90-180DEG</v>
      </c>
      <c r="B10743" s="266">
        <f>IFERROR(__xludf.DUMMYFUNCTION("""COMPUTED_VALUE"""),45562.0)</f>
        <v>45562</v>
      </c>
      <c r="C10743" s="266" t="str">
        <f>IFERROR(__xludf.DUMMYFUNCTION("""COMPUTED_VALUE"""),"KYAI KONTONG")</f>
        <v>KYAI KONTONG</v>
      </c>
      <c r="D10743" s="186">
        <f>IFERROR(__xludf.DUMMYFUNCTION("""COMPUTED_VALUE"""),1.0)</f>
        <v>1</v>
      </c>
    </row>
    <row r="10744">
      <c r="A10744" s="178" t="str">
        <f>IFERROR(__xludf.DUMMYFUNCTION("""COMPUTED_VALUE"""),"ITBISA-SERVO-SG90-180DEG")</f>
        <v>ITBISA-SERVO-SG90-180DEG</v>
      </c>
      <c r="B10744" s="266">
        <f>IFERROR(__xludf.DUMMYFUNCTION("""COMPUTED_VALUE"""),45564.0)</f>
        <v>45564</v>
      </c>
      <c r="C10744" s="266" t="str">
        <f>IFERROR(__xludf.DUMMYFUNCTION("""COMPUTED_VALUE"""),"KERTASARI CIAMIS")</f>
        <v>KERTASARI CIAMIS</v>
      </c>
      <c r="D10744" s="186">
        <f>IFERROR(__xludf.DUMMYFUNCTION("""COMPUTED_VALUE"""),30.0)</f>
        <v>30</v>
      </c>
    </row>
    <row r="10745">
      <c r="A10745" s="178" t="str">
        <f>IFERROR(__xludf.DUMMYFUNCTION("""COMPUTED_VALUE"""),"ITBISA-SERVO-SG90-180DEG")</f>
        <v>ITBISA-SERVO-SG90-180DEG</v>
      </c>
      <c r="B10745" s="266">
        <f>IFERROR(__xludf.DUMMYFUNCTION("""COMPUTED_VALUE"""),45565.0)</f>
        <v>45565</v>
      </c>
      <c r="C10745" s="266" t="str">
        <f>IFERROR(__xludf.DUMMYFUNCTION("""COMPUTED_VALUE"""),"KERTASARI CIAMIS")</f>
        <v>KERTASARI CIAMIS</v>
      </c>
      <c r="D10745" s="186">
        <f>IFERROR(__xludf.DUMMYFUNCTION("""COMPUTED_VALUE"""),25.0)</f>
        <v>25</v>
      </c>
    </row>
    <row r="10746">
      <c r="A10746" s="178" t="str">
        <f>IFERROR(__xludf.DUMMYFUNCTION("""COMPUTED_VALUE"""),"ITBISA-SERVO-SG90-180DEG")</f>
        <v>ITBISA-SERVO-SG90-180DEG</v>
      </c>
      <c r="B10746" s="266">
        <f>IFERROR(__xludf.DUMMYFUNCTION("""COMPUTED_VALUE"""),45566.0)</f>
        <v>45566</v>
      </c>
      <c r="C10746" s="266" t="str">
        <f>IFERROR(__xludf.DUMMYFUNCTION("""COMPUTED_VALUE"""),"KYAI KONTONG")</f>
        <v>KYAI KONTONG</v>
      </c>
      <c r="D10746" s="186">
        <f>IFERROR(__xludf.DUMMYFUNCTION("""COMPUTED_VALUE"""),1.0)</f>
        <v>1</v>
      </c>
    </row>
    <row r="10747">
      <c r="A10747" s="178" t="str">
        <f>IFERROR(__xludf.DUMMYFUNCTION("""COMPUTED_VALUE"""),"ITBISA-SERVO-SG90-180DEG")</f>
        <v>ITBISA-SERVO-SG90-180DEG</v>
      </c>
      <c r="B10747" s="266">
        <f>IFERROR(__xludf.DUMMYFUNCTION("""COMPUTED_VALUE"""),45567.0)</f>
        <v>45567</v>
      </c>
      <c r="C10747" s="266" t="str">
        <f>IFERROR(__xludf.DUMMYFUNCTION("""COMPUTED_VALUE"""),"KYAI KONTONG")</f>
        <v>KYAI KONTONG</v>
      </c>
      <c r="D10747" s="186">
        <f>IFERROR(__xludf.DUMMYFUNCTION("""COMPUTED_VALUE"""),1.0)</f>
        <v>1</v>
      </c>
    </row>
    <row r="10748">
      <c r="A10748" s="178" t="str">
        <f>IFERROR(__xludf.DUMMYFUNCTION("""COMPUTED_VALUE"""),"ITBISA-SERVO-SG90-180DEG")</f>
        <v>ITBISA-SERVO-SG90-180DEG</v>
      </c>
      <c r="B10748" s="266">
        <f>IFERROR(__xludf.DUMMYFUNCTION("""COMPUTED_VALUE"""),45573.0)</f>
        <v>45573</v>
      </c>
      <c r="C10748" s="266" t="str">
        <f>IFERROR(__xludf.DUMMYFUNCTION("""COMPUTED_VALUE"""),"KYAI KONTONG")</f>
        <v>KYAI KONTONG</v>
      </c>
      <c r="D10748" s="186">
        <f>IFERROR(__xludf.DUMMYFUNCTION("""COMPUTED_VALUE"""),2.0)</f>
        <v>2</v>
      </c>
    </row>
    <row r="10749">
      <c r="A10749" s="178" t="str">
        <f>IFERROR(__xludf.DUMMYFUNCTION("""COMPUTED_VALUE"""),"ITBISA-SERVO-SG90-180DEG")</f>
        <v>ITBISA-SERVO-SG90-180DEG</v>
      </c>
      <c r="B10749" s="266">
        <f>IFERROR(__xludf.DUMMYFUNCTION("""COMPUTED_VALUE"""),45575.0)</f>
        <v>45575</v>
      </c>
      <c r="C10749" s="266" t="str">
        <f>IFERROR(__xludf.DUMMYFUNCTION("""COMPUTED_VALUE"""),"KYAI KONTONG")</f>
        <v>KYAI KONTONG</v>
      </c>
      <c r="D10749" s="186">
        <f>IFERROR(__xludf.DUMMYFUNCTION("""COMPUTED_VALUE"""),1.0)</f>
        <v>1</v>
      </c>
    </row>
    <row r="10750">
      <c r="A10750" s="178" t="str">
        <f>IFERROR(__xludf.DUMMYFUNCTION("""COMPUTED_VALUE"""),"ITBISA-SERVO-SG90-180DEG")</f>
        <v>ITBISA-SERVO-SG90-180DEG</v>
      </c>
      <c r="B10750" s="266">
        <f>IFERROR(__xludf.DUMMYFUNCTION("""COMPUTED_VALUE"""),45577.0)</f>
        <v>45577</v>
      </c>
      <c r="C10750" s="266" t="str">
        <f>IFERROR(__xludf.DUMMYFUNCTION("""COMPUTED_VALUE"""),"KYAI KONTONG")</f>
        <v>KYAI KONTONG</v>
      </c>
      <c r="D10750" s="186">
        <f>IFERROR(__xludf.DUMMYFUNCTION("""COMPUTED_VALUE"""),1.0)</f>
        <v>1</v>
      </c>
    </row>
    <row r="10751">
      <c r="A10751" s="178" t="str">
        <f>IFERROR(__xludf.DUMMYFUNCTION("""COMPUTED_VALUE"""),"ITBISA-SERVO-SG90-180DEG")</f>
        <v>ITBISA-SERVO-SG90-180DEG</v>
      </c>
      <c r="B10751" s="266">
        <f>IFERROR(__xludf.DUMMYFUNCTION("""COMPUTED_VALUE"""),45580.0)</f>
        <v>45580</v>
      </c>
      <c r="C10751" s="266" t="str">
        <f>IFERROR(__xludf.DUMMYFUNCTION("""COMPUTED_VALUE"""),"KYAI KONTONG")</f>
        <v>KYAI KONTONG</v>
      </c>
      <c r="D10751" s="186">
        <f>IFERROR(__xludf.DUMMYFUNCTION("""COMPUTED_VALUE"""),25.0)</f>
        <v>25</v>
      </c>
    </row>
    <row r="10752">
      <c r="A10752" s="178" t="str">
        <f>IFERROR(__xludf.DUMMYFUNCTION("""COMPUTED_VALUE"""),"ITBISA-SERVO-SG90-180DEG")</f>
        <v>ITBISA-SERVO-SG90-180DEG</v>
      </c>
      <c r="B10752" s="266">
        <f>IFERROR(__xludf.DUMMYFUNCTION("""COMPUTED_VALUE"""),45581.0)</f>
        <v>45581</v>
      </c>
      <c r="C10752" s="266" t="str">
        <f>IFERROR(__xludf.DUMMYFUNCTION("""COMPUTED_VALUE"""),"KYAI KONTONG")</f>
        <v>KYAI KONTONG</v>
      </c>
      <c r="D10752" s="186">
        <f>IFERROR(__xludf.DUMMYFUNCTION("""COMPUTED_VALUE"""),8.0)</f>
        <v>8</v>
      </c>
    </row>
    <row r="10753">
      <c r="A10753" s="178" t="str">
        <f>IFERROR(__xludf.DUMMYFUNCTION("""COMPUTED_VALUE"""),"ITBISA-SERVO-SG90-180DEG")</f>
        <v>ITBISA-SERVO-SG90-180DEG</v>
      </c>
      <c r="B10753" s="266">
        <f>IFERROR(__xludf.DUMMYFUNCTION("""COMPUTED_VALUE"""),45581.0)</f>
        <v>45581</v>
      </c>
      <c r="C10753" s="266" t="str">
        <f>IFERROR(__xludf.DUMMYFUNCTION("""COMPUTED_VALUE"""),"KYAI KONTONG")</f>
        <v>KYAI KONTONG</v>
      </c>
      <c r="D10753" s="186">
        <f>IFERROR(__xludf.DUMMYFUNCTION("""COMPUTED_VALUE"""),16.0)</f>
        <v>16</v>
      </c>
    </row>
    <row r="10754">
      <c r="A10754" s="178" t="str">
        <f>IFERROR(__xludf.DUMMYFUNCTION("""COMPUTED_VALUE"""),"ITBISA-SERVO-SG90-180DEG")</f>
        <v>ITBISA-SERVO-SG90-180DEG</v>
      </c>
      <c r="B10754" s="266">
        <f>IFERROR(__xludf.DUMMYFUNCTION("""COMPUTED_VALUE"""),45582.0)</f>
        <v>45582</v>
      </c>
      <c r="C10754" s="266" t="str">
        <f>IFERROR(__xludf.DUMMYFUNCTION("""COMPUTED_VALUE"""),"KYAI KONTONG")</f>
        <v>KYAI KONTONG</v>
      </c>
      <c r="D10754" s="186">
        <f>IFERROR(__xludf.DUMMYFUNCTION("""COMPUTED_VALUE"""),3.0)</f>
        <v>3</v>
      </c>
    </row>
    <row r="10755">
      <c r="A10755" s="178" t="str">
        <f>IFERROR(__xludf.DUMMYFUNCTION("""COMPUTED_VALUE"""),"ITBISA-SERVO-SG90-180DEG")</f>
        <v>ITBISA-SERVO-SG90-180DEG</v>
      </c>
      <c r="B10755" s="266">
        <f>IFERROR(__xludf.DUMMYFUNCTION("""COMPUTED_VALUE"""),45586.0)</f>
        <v>45586</v>
      </c>
      <c r="C10755" s="266" t="str">
        <f>IFERROR(__xludf.DUMMYFUNCTION("""COMPUTED_VALUE"""),"KERTASARI CIAMIS")</f>
        <v>KERTASARI CIAMIS</v>
      </c>
      <c r="D10755" s="186">
        <f>IFERROR(__xludf.DUMMYFUNCTION("""COMPUTED_VALUE"""),10.0)</f>
        <v>10</v>
      </c>
    </row>
    <row r="10756">
      <c r="A10756" s="178" t="str">
        <f>IFERROR(__xludf.DUMMYFUNCTION("""COMPUTED_VALUE"""),"ITBISA-SERVO-SG90-180DEG")</f>
        <v>ITBISA-SERVO-SG90-180DEG</v>
      </c>
      <c r="B10756" s="266">
        <f>IFERROR(__xludf.DUMMYFUNCTION("""COMPUTED_VALUE"""),45588.0)</f>
        <v>45588</v>
      </c>
      <c r="C10756" s="266" t="str">
        <f>IFERROR(__xludf.DUMMYFUNCTION("""COMPUTED_VALUE"""),"KERTASARI CIAMIS")</f>
        <v>KERTASARI CIAMIS</v>
      </c>
      <c r="D10756" s="186">
        <f>IFERROR(__xludf.DUMMYFUNCTION("""COMPUTED_VALUE"""),3.0)</f>
        <v>3</v>
      </c>
    </row>
    <row r="10757">
      <c r="A10757" s="178" t="str">
        <f>IFERROR(__xludf.DUMMYFUNCTION("""COMPUTED_VALUE"""),"ITBISA-SERVO-SG90-180DEG")</f>
        <v>ITBISA-SERVO-SG90-180DEG</v>
      </c>
      <c r="B10757" s="266">
        <f>IFERROR(__xludf.DUMMYFUNCTION("""COMPUTED_VALUE"""),45607.0)</f>
        <v>45607</v>
      </c>
      <c r="C10757" s="266" t="str">
        <f>IFERROR(__xludf.DUMMYFUNCTION("""COMPUTED_VALUE"""),"KERTASARI CIAMIS")</f>
        <v>KERTASARI CIAMIS</v>
      </c>
      <c r="D10757" s="186">
        <f>IFERROR(__xludf.DUMMYFUNCTION("""COMPUTED_VALUE"""),1.0)</f>
        <v>1</v>
      </c>
    </row>
    <row r="10758">
      <c r="A10758" s="178" t="str">
        <f>IFERROR(__xludf.DUMMYFUNCTION("""COMPUTED_VALUE"""),"ITBISA-SERVO-SG90-180DEG")</f>
        <v>ITBISA-SERVO-SG90-180DEG</v>
      </c>
      <c r="B10758" s="266">
        <f>IFERROR(__xludf.DUMMYFUNCTION("""COMPUTED_VALUE"""),45608.0)</f>
        <v>45608</v>
      </c>
      <c r="C10758" s="266" t="str">
        <f>IFERROR(__xludf.DUMMYFUNCTION("""COMPUTED_VALUE"""),"KERTASARI CIAMIS")</f>
        <v>KERTASARI CIAMIS</v>
      </c>
      <c r="D10758" s="186">
        <f>IFERROR(__xludf.DUMMYFUNCTION("""COMPUTED_VALUE"""),15.0)</f>
        <v>15</v>
      </c>
    </row>
    <row r="10759">
      <c r="A10759" s="178" t="str">
        <f>IFERROR(__xludf.DUMMYFUNCTION("""COMPUTED_VALUE"""),"ITBISA-SERVO-SG90-180DEG")</f>
        <v>ITBISA-SERVO-SG90-180DEG</v>
      </c>
      <c r="B10759" s="266">
        <f>IFERROR(__xludf.DUMMYFUNCTION("""COMPUTED_VALUE"""),45608.0)</f>
        <v>45608</v>
      </c>
      <c r="C10759" s="266" t="str">
        <f>IFERROR(__xludf.DUMMYFUNCTION("""COMPUTED_VALUE"""),"KYAI KONTONG")</f>
        <v>KYAI KONTONG</v>
      </c>
      <c r="D10759" s="186">
        <f>IFERROR(__xludf.DUMMYFUNCTION("""COMPUTED_VALUE"""),2.0)</f>
        <v>2</v>
      </c>
    </row>
    <row r="10760">
      <c r="A10760" s="178" t="str">
        <f>IFERROR(__xludf.DUMMYFUNCTION("""COMPUTED_VALUE"""),"ITBISA-SERVO-SG90-180DEG")</f>
        <v>ITBISA-SERVO-SG90-180DEG</v>
      </c>
      <c r="B10760" s="266">
        <f>IFERROR(__xludf.DUMMYFUNCTION("""COMPUTED_VALUE"""),45608.0)</f>
        <v>45608</v>
      </c>
      <c r="C10760" s="266" t="str">
        <f>IFERROR(__xludf.DUMMYFUNCTION("""COMPUTED_VALUE"""),"KYAI KONTONG")</f>
        <v>KYAI KONTONG</v>
      </c>
      <c r="D10760" s="186">
        <f>IFERROR(__xludf.DUMMYFUNCTION("""COMPUTED_VALUE"""),2.0)</f>
        <v>2</v>
      </c>
    </row>
    <row r="10761">
      <c r="A10761" s="178" t="str">
        <f>IFERROR(__xludf.DUMMYFUNCTION("""COMPUTED_VALUE"""),"ITBISA-SERVO-SG90-180DEG")</f>
        <v>ITBISA-SERVO-SG90-180DEG</v>
      </c>
      <c r="B10761" s="266">
        <f>IFERROR(__xludf.DUMMYFUNCTION("""COMPUTED_VALUE"""),45608.0)</f>
        <v>45608</v>
      </c>
      <c r="C10761" s="266" t="str">
        <f>IFERROR(__xludf.DUMMYFUNCTION("""COMPUTED_VALUE"""),"KYAI KONTONG")</f>
        <v>KYAI KONTONG</v>
      </c>
      <c r="D10761" s="186">
        <f>IFERROR(__xludf.DUMMYFUNCTION("""COMPUTED_VALUE"""),2.0)</f>
        <v>2</v>
      </c>
    </row>
    <row r="10762">
      <c r="A10762" s="178" t="str">
        <f>IFERROR(__xludf.DUMMYFUNCTION("""COMPUTED_VALUE"""),"ITBISA-SERVO-SG90-180DEG")</f>
        <v>ITBISA-SERVO-SG90-180DEG</v>
      </c>
      <c r="B10762" s="266">
        <f>IFERROR(__xludf.DUMMYFUNCTION("""COMPUTED_VALUE"""),45609.0)</f>
        <v>45609</v>
      </c>
      <c r="C10762" s="266" t="str">
        <f>IFERROR(__xludf.DUMMYFUNCTION("""COMPUTED_VALUE"""),"KERTASARI CIAMIS")</f>
        <v>KERTASARI CIAMIS</v>
      </c>
      <c r="D10762" s="186">
        <f>IFERROR(__xludf.DUMMYFUNCTION("""COMPUTED_VALUE"""),25.0)</f>
        <v>25</v>
      </c>
    </row>
    <row r="10763">
      <c r="A10763" s="178" t="str">
        <f>IFERROR(__xludf.DUMMYFUNCTION("""COMPUTED_VALUE"""),"ITBISA-SERVO-SG90-180DEG")</f>
        <v>ITBISA-SERVO-SG90-180DEG</v>
      </c>
      <c r="B10763" s="266">
        <f>IFERROR(__xludf.DUMMYFUNCTION("""COMPUTED_VALUE"""),45609.0)</f>
        <v>45609</v>
      </c>
      <c r="C10763" s="266" t="str">
        <f>IFERROR(__xludf.DUMMYFUNCTION("""COMPUTED_VALUE"""),"KYAI KONTONG")</f>
        <v>KYAI KONTONG</v>
      </c>
      <c r="D10763" s="186">
        <f>IFERROR(__xludf.DUMMYFUNCTION("""COMPUTED_VALUE"""),1.0)</f>
        <v>1</v>
      </c>
    </row>
    <row r="10764">
      <c r="A10764" s="178" t="str">
        <f>IFERROR(__xludf.DUMMYFUNCTION("""COMPUTED_VALUE"""),"ITBISA-SERVO-SG90-180DEG")</f>
        <v>ITBISA-SERVO-SG90-180DEG</v>
      </c>
      <c r="B10764" s="266">
        <f>IFERROR(__xludf.DUMMYFUNCTION("""COMPUTED_VALUE"""),45609.0)</f>
        <v>45609</v>
      </c>
      <c r="C10764" s="266" t="str">
        <f>IFERROR(__xludf.DUMMYFUNCTION("""COMPUTED_VALUE"""),"KYAI KONTONG")</f>
        <v>KYAI KONTONG</v>
      </c>
      <c r="D10764" s="186">
        <f>IFERROR(__xludf.DUMMYFUNCTION("""COMPUTED_VALUE"""),1.0)</f>
        <v>1</v>
      </c>
    </row>
    <row r="10765">
      <c r="A10765" s="178" t="str">
        <f>IFERROR(__xludf.DUMMYFUNCTION("""COMPUTED_VALUE"""),"ITBISA-SERVO-SG90-180DEG")</f>
        <v>ITBISA-SERVO-SG90-180DEG</v>
      </c>
      <c r="B10765" s="266">
        <f>IFERROR(__xludf.DUMMYFUNCTION("""COMPUTED_VALUE"""),45610.0)</f>
        <v>45610</v>
      </c>
      <c r="C10765" s="266" t="str">
        <f>IFERROR(__xludf.DUMMYFUNCTION("""COMPUTED_VALUE"""),"KYAI KONTONG")</f>
        <v>KYAI KONTONG</v>
      </c>
      <c r="D10765" s="186">
        <f>IFERROR(__xludf.DUMMYFUNCTION("""COMPUTED_VALUE"""),3.0)</f>
        <v>3</v>
      </c>
    </row>
    <row r="10766">
      <c r="A10766" s="178" t="str">
        <f>IFERROR(__xludf.DUMMYFUNCTION("""COMPUTED_VALUE"""),"ITBISA-SERVO-SG90-180DEG")</f>
        <v>ITBISA-SERVO-SG90-180DEG</v>
      </c>
      <c r="B10766" s="266">
        <f>IFERROR(__xludf.DUMMYFUNCTION("""COMPUTED_VALUE"""),45611.0)</f>
        <v>45611</v>
      </c>
      <c r="C10766" s="266" t="str">
        <f>IFERROR(__xludf.DUMMYFUNCTION("""COMPUTED_VALUE"""),"KYAI KONTONG")</f>
        <v>KYAI KONTONG</v>
      </c>
      <c r="D10766" s="186">
        <f>IFERROR(__xludf.DUMMYFUNCTION("""COMPUTED_VALUE"""),1.0)</f>
        <v>1</v>
      </c>
    </row>
    <row r="10767">
      <c r="A10767" s="178" t="str">
        <f>IFERROR(__xludf.DUMMYFUNCTION("""COMPUTED_VALUE"""),"ITBISA-SERVO-SG90-180DEG")</f>
        <v>ITBISA-SERVO-SG90-180DEG</v>
      </c>
      <c r="B10767" s="266">
        <f>IFERROR(__xludf.DUMMYFUNCTION("""COMPUTED_VALUE"""),45611.0)</f>
        <v>45611</v>
      </c>
      <c r="C10767" s="266" t="str">
        <f>IFERROR(__xludf.DUMMYFUNCTION("""COMPUTED_VALUE"""),"KYAI KONTONG")</f>
        <v>KYAI KONTONG</v>
      </c>
      <c r="D10767" s="186">
        <f>IFERROR(__xludf.DUMMYFUNCTION("""COMPUTED_VALUE"""),3.0)</f>
        <v>3</v>
      </c>
    </row>
    <row r="10768">
      <c r="A10768" s="178" t="str">
        <f>IFERROR(__xludf.DUMMYFUNCTION("""COMPUTED_VALUE"""),"ITBISA-SERVO-SG90-180DEG")</f>
        <v>ITBISA-SERVO-SG90-180DEG</v>
      </c>
      <c r="B10768" s="266">
        <f>IFERROR(__xludf.DUMMYFUNCTION("""COMPUTED_VALUE"""),45611.0)</f>
        <v>45611</v>
      </c>
      <c r="C10768" s="266" t="str">
        <f>IFERROR(__xludf.DUMMYFUNCTION("""COMPUTED_VALUE"""),"KYAI KONTONG")</f>
        <v>KYAI KONTONG</v>
      </c>
      <c r="D10768" s="186">
        <f>IFERROR(__xludf.DUMMYFUNCTION("""COMPUTED_VALUE"""),3.0)</f>
        <v>3</v>
      </c>
    </row>
    <row r="10769">
      <c r="A10769" s="178" t="str">
        <f>IFERROR(__xludf.DUMMYFUNCTION("""COMPUTED_VALUE"""),"ITBISA-SERVO-SG90-180DEG")</f>
        <v>ITBISA-SERVO-SG90-180DEG</v>
      </c>
      <c r="B10769" s="266">
        <f>IFERROR(__xludf.DUMMYFUNCTION("""COMPUTED_VALUE"""),45611.0)</f>
        <v>45611</v>
      </c>
      <c r="C10769" s="266" t="str">
        <f>IFERROR(__xludf.DUMMYFUNCTION("""COMPUTED_VALUE"""),"KYAI KONTONG")</f>
        <v>KYAI KONTONG</v>
      </c>
      <c r="D10769" s="186">
        <f>IFERROR(__xludf.DUMMYFUNCTION("""COMPUTED_VALUE"""),4.0)</f>
        <v>4</v>
      </c>
    </row>
    <row r="10770">
      <c r="A10770" s="178" t="str">
        <f>IFERROR(__xludf.DUMMYFUNCTION("""COMPUTED_VALUE"""),"ITBISA-SERVO-SG90-180DEG")</f>
        <v>ITBISA-SERVO-SG90-180DEG</v>
      </c>
      <c r="B10770" s="266">
        <f>IFERROR(__xludf.DUMMYFUNCTION("""COMPUTED_VALUE"""),45613.0)</f>
        <v>45613</v>
      </c>
      <c r="C10770" s="266" t="str">
        <f>IFERROR(__xludf.DUMMYFUNCTION("""COMPUTED_VALUE"""),"KERTASARI CIAMIS")</f>
        <v>KERTASARI CIAMIS</v>
      </c>
      <c r="D10770" s="186">
        <f>IFERROR(__xludf.DUMMYFUNCTION("""COMPUTED_VALUE"""),12.0)</f>
        <v>12</v>
      </c>
    </row>
    <row r="10771">
      <c r="A10771" s="178" t="str">
        <f>IFERROR(__xludf.DUMMYFUNCTION("""COMPUTED_VALUE"""),"ITBISA-SERVO-SG90-180DEG")</f>
        <v>ITBISA-SERVO-SG90-180DEG</v>
      </c>
      <c r="B10771" s="266">
        <f>IFERROR(__xludf.DUMMYFUNCTION("""COMPUTED_VALUE"""),45614.0)</f>
        <v>45614</v>
      </c>
      <c r="C10771" s="266" t="str">
        <f>IFERROR(__xludf.DUMMYFUNCTION("""COMPUTED_VALUE"""),"KERTASARI CIAMIS")</f>
        <v>KERTASARI CIAMIS</v>
      </c>
      <c r="D10771" s="186">
        <f>IFERROR(__xludf.DUMMYFUNCTION("""COMPUTED_VALUE"""),50.0)</f>
        <v>50</v>
      </c>
    </row>
    <row r="10772">
      <c r="A10772" s="178" t="str">
        <f>IFERROR(__xludf.DUMMYFUNCTION("""COMPUTED_VALUE"""),"ITBISA-SERVO-SG90-180DEG")</f>
        <v>ITBISA-SERVO-SG90-180DEG</v>
      </c>
      <c r="B10772" s="266">
        <f>IFERROR(__xludf.DUMMYFUNCTION("""COMPUTED_VALUE"""),45614.0)</f>
        <v>45614</v>
      </c>
      <c r="C10772" s="266" t="str">
        <f>IFERROR(__xludf.DUMMYFUNCTION("""COMPUTED_VALUE"""),"KYAI KONTONG")</f>
        <v>KYAI KONTONG</v>
      </c>
      <c r="D10772" s="186">
        <f>IFERROR(__xludf.DUMMYFUNCTION("""COMPUTED_VALUE"""),1.0)</f>
        <v>1</v>
      </c>
    </row>
    <row r="10773">
      <c r="A10773" s="178" t="str">
        <f>IFERROR(__xludf.DUMMYFUNCTION("""COMPUTED_VALUE"""),"ITBISA-SERVO-SG90-180DEG")</f>
        <v>ITBISA-SERVO-SG90-180DEG</v>
      </c>
      <c r="B10773" s="266">
        <f>IFERROR(__xludf.DUMMYFUNCTION("""COMPUTED_VALUE"""),45614.0)</f>
        <v>45614</v>
      </c>
      <c r="C10773" s="266" t="str">
        <f>IFERROR(__xludf.DUMMYFUNCTION("""COMPUTED_VALUE"""),"KYAI KONTONG")</f>
        <v>KYAI KONTONG</v>
      </c>
      <c r="D10773" s="186">
        <f>IFERROR(__xludf.DUMMYFUNCTION("""COMPUTED_VALUE"""),1.0)</f>
        <v>1</v>
      </c>
    </row>
    <row r="10774">
      <c r="A10774" s="178" t="str">
        <f>IFERROR(__xludf.DUMMYFUNCTION("""COMPUTED_VALUE"""),"ITBISA-SERVO-SG90-180DEG")</f>
        <v>ITBISA-SERVO-SG90-180DEG</v>
      </c>
      <c r="B10774" s="266">
        <f>IFERROR(__xludf.DUMMYFUNCTION("""COMPUTED_VALUE"""),45614.0)</f>
        <v>45614</v>
      </c>
      <c r="C10774" s="266" t="str">
        <f>IFERROR(__xludf.DUMMYFUNCTION("""COMPUTED_VALUE"""),"KYAI KONTONG")</f>
        <v>KYAI KONTONG</v>
      </c>
      <c r="D10774" s="186">
        <f>IFERROR(__xludf.DUMMYFUNCTION("""COMPUTED_VALUE"""),4.0)</f>
        <v>4</v>
      </c>
    </row>
    <row r="10775">
      <c r="A10775" s="178" t="str">
        <f>IFERROR(__xludf.DUMMYFUNCTION("""COMPUTED_VALUE"""),"ITBISA-SERVO-SG90-180DEG")</f>
        <v>ITBISA-SERVO-SG90-180DEG</v>
      </c>
      <c r="B10775" s="266">
        <f>IFERROR(__xludf.DUMMYFUNCTION("""COMPUTED_VALUE"""),45614.0)</f>
        <v>45614</v>
      </c>
      <c r="C10775" s="266" t="str">
        <f>IFERROR(__xludf.DUMMYFUNCTION("""COMPUTED_VALUE"""),"KYAI KONTONG")</f>
        <v>KYAI KONTONG</v>
      </c>
      <c r="D10775" s="186">
        <f>IFERROR(__xludf.DUMMYFUNCTION("""COMPUTED_VALUE"""),5.0)</f>
        <v>5</v>
      </c>
    </row>
    <row r="10776">
      <c r="A10776" s="178" t="str">
        <f>IFERROR(__xludf.DUMMYFUNCTION("""COMPUTED_VALUE"""),"ITBISA-SERVO-SG90-180DEG")</f>
        <v>ITBISA-SERVO-SG90-180DEG</v>
      </c>
      <c r="B10776" s="266">
        <f>IFERROR(__xludf.DUMMYFUNCTION("""COMPUTED_VALUE"""),45614.0)</f>
        <v>45614</v>
      </c>
      <c r="C10776" s="266" t="str">
        <f>IFERROR(__xludf.DUMMYFUNCTION("""COMPUTED_VALUE"""),"KYAI KONTONG")</f>
        <v>KYAI KONTONG</v>
      </c>
      <c r="D10776" s="186">
        <f>IFERROR(__xludf.DUMMYFUNCTION("""COMPUTED_VALUE"""),10.0)</f>
        <v>10</v>
      </c>
    </row>
    <row r="10777">
      <c r="A10777" s="178" t="str">
        <f>IFERROR(__xludf.DUMMYFUNCTION("""COMPUTED_VALUE"""),"ITBISA-SERVO-SG90-180DEG")</f>
        <v>ITBISA-SERVO-SG90-180DEG</v>
      </c>
      <c r="B10777" s="266">
        <f>IFERROR(__xludf.DUMMYFUNCTION("""COMPUTED_VALUE"""),45615.0)</f>
        <v>45615</v>
      </c>
      <c r="C10777" s="266" t="str">
        <f>IFERROR(__xludf.DUMMYFUNCTION("""COMPUTED_VALUE"""),"KERTASARI CIAMIS")</f>
        <v>KERTASARI CIAMIS</v>
      </c>
      <c r="D10777" s="186">
        <f>IFERROR(__xludf.DUMMYFUNCTION("""COMPUTED_VALUE"""),1.0)</f>
        <v>1</v>
      </c>
    </row>
    <row r="10778">
      <c r="A10778" s="178" t="str">
        <f>IFERROR(__xludf.DUMMYFUNCTION("""COMPUTED_VALUE"""),"ITBISA-SERVO-SG90-180DEG")</f>
        <v>ITBISA-SERVO-SG90-180DEG</v>
      </c>
      <c r="B10778" s="266">
        <f>IFERROR(__xludf.DUMMYFUNCTION("""COMPUTED_VALUE"""),45615.0)</f>
        <v>45615</v>
      </c>
      <c r="C10778" s="266" t="str">
        <f>IFERROR(__xludf.DUMMYFUNCTION("""COMPUTED_VALUE"""),"KYAI KONTONG")</f>
        <v>KYAI KONTONG</v>
      </c>
      <c r="D10778" s="186">
        <f>IFERROR(__xludf.DUMMYFUNCTION("""COMPUTED_VALUE"""),1.0)</f>
        <v>1</v>
      </c>
    </row>
    <row r="10779">
      <c r="A10779" s="178" t="str">
        <f>IFERROR(__xludf.DUMMYFUNCTION("""COMPUTED_VALUE"""),"ITBISA-SERVO-SG90-180DEG")</f>
        <v>ITBISA-SERVO-SG90-180DEG</v>
      </c>
      <c r="B10779" s="266">
        <f>IFERROR(__xludf.DUMMYFUNCTION("""COMPUTED_VALUE"""),45615.0)</f>
        <v>45615</v>
      </c>
      <c r="C10779" s="266" t="str">
        <f>IFERROR(__xludf.DUMMYFUNCTION("""COMPUTED_VALUE"""),"KYAI KONTONG")</f>
        <v>KYAI KONTONG</v>
      </c>
      <c r="D10779" s="186">
        <f>IFERROR(__xludf.DUMMYFUNCTION("""COMPUTED_VALUE"""),1.0)</f>
        <v>1</v>
      </c>
    </row>
    <row r="10780">
      <c r="A10780" s="178" t="str">
        <f>IFERROR(__xludf.DUMMYFUNCTION("""COMPUTED_VALUE"""),"ITBISA-SERVO-SG90-180DEG")</f>
        <v>ITBISA-SERVO-SG90-180DEG</v>
      </c>
      <c r="B10780" s="266">
        <f>IFERROR(__xludf.DUMMYFUNCTION("""COMPUTED_VALUE"""),45615.0)</f>
        <v>45615</v>
      </c>
      <c r="C10780" s="266" t="str">
        <f>IFERROR(__xludf.DUMMYFUNCTION("""COMPUTED_VALUE"""),"KYAI KONTONG")</f>
        <v>KYAI KONTONG</v>
      </c>
      <c r="D10780" s="186">
        <f>IFERROR(__xludf.DUMMYFUNCTION("""COMPUTED_VALUE"""),1.0)</f>
        <v>1</v>
      </c>
    </row>
    <row r="10781">
      <c r="A10781" s="178" t="str">
        <f>IFERROR(__xludf.DUMMYFUNCTION("""COMPUTED_VALUE"""),"ITBISA-SERVO-SG90-180DEG")</f>
        <v>ITBISA-SERVO-SG90-180DEG</v>
      </c>
      <c r="B10781" s="266">
        <f>IFERROR(__xludf.DUMMYFUNCTION("""COMPUTED_VALUE"""),45615.0)</f>
        <v>45615</v>
      </c>
      <c r="C10781" s="266" t="str">
        <f>IFERROR(__xludf.DUMMYFUNCTION("""COMPUTED_VALUE"""),"KYAI KONTONG")</f>
        <v>KYAI KONTONG</v>
      </c>
      <c r="D10781" s="186">
        <f>IFERROR(__xludf.DUMMYFUNCTION("""COMPUTED_VALUE"""),2.0)</f>
        <v>2</v>
      </c>
    </row>
    <row r="10782">
      <c r="A10782" s="178" t="str">
        <f>IFERROR(__xludf.DUMMYFUNCTION("""COMPUTED_VALUE"""),"ITBISA-SERVO-SG90-180DEG")</f>
        <v>ITBISA-SERVO-SG90-180DEG</v>
      </c>
      <c r="B10782" s="266">
        <f>IFERROR(__xludf.DUMMYFUNCTION("""COMPUTED_VALUE"""),45615.0)</f>
        <v>45615</v>
      </c>
      <c r="C10782" s="266" t="str">
        <f>IFERROR(__xludf.DUMMYFUNCTION("""COMPUTED_VALUE"""),"KYAI KONTONG")</f>
        <v>KYAI KONTONG</v>
      </c>
      <c r="D10782" s="186">
        <f>IFERROR(__xludf.DUMMYFUNCTION("""COMPUTED_VALUE"""),2.0)</f>
        <v>2</v>
      </c>
    </row>
    <row r="10783">
      <c r="A10783" s="178" t="str">
        <f>IFERROR(__xludf.DUMMYFUNCTION("""COMPUTED_VALUE"""),"ITBISA-SERVO-SG90-180DEG")</f>
        <v>ITBISA-SERVO-SG90-180DEG</v>
      </c>
      <c r="B10783" s="266">
        <f>IFERROR(__xludf.DUMMYFUNCTION("""COMPUTED_VALUE"""),45615.0)</f>
        <v>45615</v>
      </c>
      <c r="C10783" s="266" t="str">
        <f>IFERROR(__xludf.DUMMYFUNCTION("""COMPUTED_VALUE"""),"KYAI KONTONG")</f>
        <v>KYAI KONTONG</v>
      </c>
      <c r="D10783" s="186">
        <f>IFERROR(__xludf.DUMMYFUNCTION("""COMPUTED_VALUE"""),2.0)</f>
        <v>2</v>
      </c>
    </row>
    <row r="10784">
      <c r="A10784" s="178" t="str">
        <f>IFERROR(__xludf.DUMMYFUNCTION("""COMPUTED_VALUE"""),"ITBISA-SERVO-SG90-180DEG")</f>
        <v>ITBISA-SERVO-SG90-180DEG</v>
      </c>
      <c r="B10784" s="266">
        <f>IFERROR(__xludf.DUMMYFUNCTION("""COMPUTED_VALUE"""),45615.0)</f>
        <v>45615</v>
      </c>
      <c r="C10784" s="266" t="str">
        <f>IFERROR(__xludf.DUMMYFUNCTION("""COMPUTED_VALUE"""),"KYAI KONTONG")</f>
        <v>KYAI KONTONG</v>
      </c>
      <c r="D10784" s="186">
        <f>IFERROR(__xludf.DUMMYFUNCTION("""COMPUTED_VALUE"""),3.0)</f>
        <v>3</v>
      </c>
    </row>
    <row r="10785">
      <c r="A10785" s="178" t="str">
        <f>IFERROR(__xludf.DUMMYFUNCTION("""COMPUTED_VALUE"""),"ITBISA-SERVO-SG90-180DEG")</f>
        <v>ITBISA-SERVO-SG90-180DEG</v>
      </c>
      <c r="B10785" s="266">
        <f>IFERROR(__xludf.DUMMYFUNCTION("""COMPUTED_VALUE"""),45615.0)</f>
        <v>45615</v>
      </c>
      <c r="C10785" s="266" t="str">
        <f>IFERROR(__xludf.DUMMYFUNCTION("""COMPUTED_VALUE"""),"KYAI KONTONG")</f>
        <v>KYAI KONTONG</v>
      </c>
      <c r="D10785" s="186">
        <f>IFERROR(__xludf.DUMMYFUNCTION("""COMPUTED_VALUE"""),4.0)</f>
        <v>4</v>
      </c>
    </row>
    <row r="10786">
      <c r="A10786" s="178" t="str">
        <f>IFERROR(__xludf.DUMMYFUNCTION("""COMPUTED_VALUE"""),"ITBISA-SERVO-SG90-180DEG")</f>
        <v>ITBISA-SERVO-SG90-180DEG</v>
      </c>
      <c r="B10786" s="266">
        <f>IFERROR(__xludf.DUMMYFUNCTION("""COMPUTED_VALUE"""),45616.0)</f>
        <v>45616</v>
      </c>
      <c r="C10786" s="266" t="str">
        <f>IFERROR(__xludf.DUMMYFUNCTION("""COMPUTED_VALUE"""),"KERTASARI CIAMIS")</f>
        <v>KERTASARI CIAMIS</v>
      </c>
      <c r="D10786" s="186">
        <f>IFERROR(__xludf.DUMMYFUNCTION("""COMPUTED_VALUE"""),1.0)</f>
        <v>1</v>
      </c>
    </row>
    <row r="10787">
      <c r="A10787" s="178" t="str">
        <f>IFERROR(__xludf.DUMMYFUNCTION("""COMPUTED_VALUE"""),"ITBISA-SERVO-SG90-180DEG")</f>
        <v>ITBISA-SERVO-SG90-180DEG</v>
      </c>
      <c r="B10787" s="266">
        <f>IFERROR(__xludf.DUMMYFUNCTION("""COMPUTED_VALUE"""),45616.0)</f>
        <v>45616</v>
      </c>
      <c r="C10787" s="266" t="str">
        <f>IFERROR(__xludf.DUMMYFUNCTION("""COMPUTED_VALUE"""),"KERTASARI CIAMIS")</f>
        <v>KERTASARI CIAMIS</v>
      </c>
      <c r="D10787" s="186">
        <f>IFERROR(__xludf.DUMMYFUNCTION("""COMPUTED_VALUE"""),2.0)</f>
        <v>2</v>
      </c>
    </row>
    <row r="10788">
      <c r="A10788" s="178" t="str">
        <f>IFERROR(__xludf.DUMMYFUNCTION("""COMPUTED_VALUE"""),"ITBISA-SERVO-SG90-180DEG")</f>
        <v>ITBISA-SERVO-SG90-180DEG</v>
      </c>
      <c r="B10788" s="266">
        <f>IFERROR(__xludf.DUMMYFUNCTION("""COMPUTED_VALUE"""),45616.0)</f>
        <v>45616</v>
      </c>
      <c r="C10788" s="266" t="str">
        <f>IFERROR(__xludf.DUMMYFUNCTION("""COMPUTED_VALUE"""),"KERTASARI CIAMIS")</f>
        <v>KERTASARI CIAMIS</v>
      </c>
      <c r="D10788" s="186">
        <f>IFERROR(__xludf.DUMMYFUNCTION("""COMPUTED_VALUE"""),5.0)</f>
        <v>5</v>
      </c>
    </row>
    <row r="10789">
      <c r="A10789" s="178" t="str">
        <f>IFERROR(__xludf.DUMMYFUNCTION("""COMPUTED_VALUE"""),"ITBISA-SERVO-SG90-180DEG")</f>
        <v>ITBISA-SERVO-SG90-180DEG</v>
      </c>
      <c r="B10789" s="266">
        <f>IFERROR(__xludf.DUMMYFUNCTION("""COMPUTED_VALUE"""),45616.0)</f>
        <v>45616</v>
      </c>
      <c r="C10789" s="266" t="str">
        <f>IFERROR(__xludf.DUMMYFUNCTION("""COMPUTED_VALUE"""),"KYAI KONTONG")</f>
        <v>KYAI KONTONG</v>
      </c>
      <c r="D10789" s="186">
        <f>IFERROR(__xludf.DUMMYFUNCTION("""COMPUTED_VALUE"""),1.0)</f>
        <v>1</v>
      </c>
    </row>
    <row r="10790">
      <c r="A10790" s="178" t="str">
        <f>IFERROR(__xludf.DUMMYFUNCTION("""COMPUTED_VALUE"""),"ITBISA-SERVO-SG90-180DEG")</f>
        <v>ITBISA-SERVO-SG90-180DEG</v>
      </c>
      <c r="B10790" s="266">
        <f>IFERROR(__xludf.DUMMYFUNCTION("""COMPUTED_VALUE"""),45616.0)</f>
        <v>45616</v>
      </c>
      <c r="C10790" s="266" t="str">
        <f>IFERROR(__xludf.DUMMYFUNCTION("""COMPUTED_VALUE"""),"KYAI KONTONG")</f>
        <v>KYAI KONTONG</v>
      </c>
      <c r="D10790" s="186">
        <f>IFERROR(__xludf.DUMMYFUNCTION("""COMPUTED_VALUE"""),1.0)</f>
        <v>1</v>
      </c>
    </row>
    <row r="10791">
      <c r="A10791" s="178" t="str">
        <f>IFERROR(__xludf.DUMMYFUNCTION("""COMPUTED_VALUE"""),"ITBISA-SERVO-SG90-180DEG")</f>
        <v>ITBISA-SERVO-SG90-180DEG</v>
      </c>
      <c r="B10791" s="266">
        <f>IFERROR(__xludf.DUMMYFUNCTION("""COMPUTED_VALUE"""),45616.0)</f>
        <v>45616</v>
      </c>
      <c r="C10791" s="266" t="str">
        <f>IFERROR(__xludf.DUMMYFUNCTION("""COMPUTED_VALUE"""),"KYAI KONTONG")</f>
        <v>KYAI KONTONG</v>
      </c>
      <c r="D10791" s="186">
        <f>IFERROR(__xludf.DUMMYFUNCTION("""COMPUTED_VALUE"""),1.0)</f>
        <v>1</v>
      </c>
    </row>
    <row r="10792">
      <c r="A10792" s="178" t="str">
        <f>IFERROR(__xludf.DUMMYFUNCTION("""COMPUTED_VALUE"""),"ITBISA-SERVO-SG90-180DEG")</f>
        <v>ITBISA-SERVO-SG90-180DEG</v>
      </c>
      <c r="B10792" s="266">
        <f>IFERROR(__xludf.DUMMYFUNCTION("""COMPUTED_VALUE"""),45616.0)</f>
        <v>45616</v>
      </c>
      <c r="C10792" s="266" t="str">
        <f>IFERROR(__xludf.DUMMYFUNCTION("""COMPUTED_VALUE"""),"KYAI KONTONG")</f>
        <v>KYAI KONTONG</v>
      </c>
      <c r="D10792" s="186">
        <f>IFERROR(__xludf.DUMMYFUNCTION("""COMPUTED_VALUE"""),2.0)</f>
        <v>2</v>
      </c>
    </row>
    <row r="10793">
      <c r="A10793" s="178" t="str">
        <f>IFERROR(__xludf.DUMMYFUNCTION("""COMPUTED_VALUE"""),"ITBISA-SERVO-SG90-180DEG")</f>
        <v>ITBISA-SERVO-SG90-180DEG</v>
      </c>
      <c r="B10793" s="266">
        <f>IFERROR(__xludf.DUMMYFUNCTION("""COMPUTED_VALUE"""),45616.0)</f>
        <v>45616</v>
      </c>
      <c r="C10793" s="266" t="str">
        <f>IFERROR(__xludf.DUMMYFUNCTION("""COMPUTED_VALUE"""),"KYAI KONTONG")</f>
        <v>KYAI KONTONG</v>
      </c>
      <c r="D10793" s="186">
        <f>IFERROR(__xludf.DUMMYFUNCTION("""COMPUTED_VALUE"""),3.0)</f>
        <v>3</v>
      </c>
    </row>
    <row r="10794">
      <c r="A10794" s="178" t="str">
        <f>IFERROR(__xludf.DUMMYFUNCTION("""COMPUTED_VALUE"""),"ITBISA-SERVO-SG90-180DEG")</f>
        <v>ITBISA-SERVO-SG90-180DEG</v>
      </c>
      <c r="B10794" s="266">
        <f>IFERROR(__xludf.DUMMYFUNCTION("""COMPUTED_VALUE"""),45617.0)</f>
        <v>45617</v>
      </c>
      <c r="C10794" s="266" t="str">
        <f>IFERROR(__xludf.DUMMYFUNCTION("""COMPUTED_VALUE"""),"KYAI KONTONG")</f>
        <v>KYAI KONTONG</v>
      </c>
      <c r="D10794" s="186">
        <f>IFERROR(__xludf.DUMMYFUNCTION("""COMPUTED_VALUE"""),1.0)</f>
        <v>1</v>
      </c>
    </row>
    <row r="10795">
      <c r="A10795" s="178" t="str">
        <f>IFERROR(__xludf.DUMMYFUNCTION("""COMPUTED_VALUE"""),"ITBISA-SERVO-SG90-180DEG")</f>
        <v>ITBISA-SERVO-SG90-180DEG</v>
      </c>
      <c r="B10795" s="266">
        <f>IFERROR(__xludf.DUMMYFUNCTION("""COMPUTED_VALUE"""),45617.0)</f>
        <v>45617</v>
      </c>
      <c r="C10795" s="266" t="str">
        <f>IFERROR(__xludf.DUMMYFUNCTION("""COMPUTED_VALUE"""),"KYAI KONTONG")</f>
        <v>KYAI KONTONG</v>
      </c>
      <c r="D10795" s="186">
        <f>IFERROR(__xludf.DUMMYFUNCTION("""COMPUTED_VALUE"""),1.0)</f>
        <v>1</v>
      </c>
    </row>
    <row r="10796">
      <c r="A10796" s="178" t="str">
        <f>IFERROR(__xludf.DUMMYFUNCTION("""COMPUTED_VALUE"""),"ITBISA-SERVO-SG90-180DEG")</f>
        <v>ITBISA-SERVO-SG90-180DEG</v>
      </c>
      <c r="B10796" s="266">
        <f>IFERROR(__xludf.DUMMYFUNCTION("""COMPUTED_VALUE"""),45617.0)</f>
        <v>45617</v>
      </c>
      <c r="C10796" s="266" t="str">
        <f>IFERROR(__xludf.DUMMYFUNCTION("""COMPUTED_VALUE"""),"KYAI KONTONG")</f>
        <v>KYAI KONTONG</v>
      </c>
      <c r="D10796" s="186">
        <f>IFERROR(__xludf.DUMMYFUNCTION("""COMPUTED_VALUE"""),1.0)</f>
        <v>1</v>
      </c>
    </row>
    <row r="10797">
      <c r="A10797" s="178" t="str">
        <f>IFERROR(__xludf.DUMMYFUNCTION("""COMPUTED_VALUE"""),"ITBISA-SERVO-SG90-180DEG")</f>
        <v>ITBISA-SERVO-SG90-180DEG</v>
      </c>
      <c r="B10797" s="266">
        <f>IFERROR(__xludf.DUMMYFUNCTION("""COMPUTED_VALUE"""),45617.0)</f>
        <v>45617</v>
      </c>
      <c r="C10797" s="266" t="str">
        <f>IFERROR(__xludf.DUMMYFUNCTION("""COMPUTED_VALUE"""),"KYAI KONTONG")</f>
        <v>KYAI KONTONG</v>
      </c>
      <c r="D10797" s="186">
        <f>IFERROR(__xludf.DUMMYFUNCTION("""COMPUTED_VALUE"""),1.0)</f>
        <v>1</v>
      </c>
    </row>
    <row r="10798">
      <c r="A10798" s="178" t="str">
        <f>IFERROR(__xludf.DUMMYFUNCTION("""COMPUTED_VALUE"""),"ITBISA-SERVO-SG90-180DEG")</f>
        <v>ITBISA-SERVO-SG90-180DEG</v>
      </c>
      <c r="B10798" s="266">
        <f>IFERROR(__xludf.DUMMYFUNCTION("""COMPUTED_VALUE"""),45617.0)</f>
        <v>45617</v>
      </c>
      <c r="C10798" s="266" t="str">
        <f>IFERROR(__xludf.DUMMYFUNCTION("""COMPUTED_VALUE"""),"KYAI KONTONG")</f>
        <v>KYAI KONTONG</v>
      </c>
      <c r="D10798" s="186">
        <f>IFERROR(__xludf.DUMMYFUNCTION("""COMPUTED_VALUE"""),1.0)</f>
        <v>1</v>
      </c>
    </row>
    <row r="10799">
      <c r="A10799" s="178" t="str">
        <f>IFERROR(__xludf.DUMMYFUNCTION("""COMPUTED_VALUE"""),"ITBISA-SERVO-SG90-180DEG")</f>
        <v>ITBISA-SERVO-SG90-180DEG</v>
      </c>
      <c r="B10799" s="266">
        <f>IFERROR(__xludf.DUMMYFUNCTION("""COMPUTED_VALUE"""),45617.0)</f>
        <v>45617</v>
      </c>
      <c r="C10799" s="266" t="str">
        <f>IFERROR(__xludf.DUMMYFUNCTION("""COMPUTED_VALUE"""),"KYAI KONTONG")</f>
        <v>KYAI KONTONG</v>
      </c>
      <c r="D10799" s="186">
        <f>IFERROR(__xludf.DUMMYFUNCTION("""COMPUTED_VALUE"""),2.0)</f>
        <v>2</v>
      </c>
    </row>
    <row r="10800">
      <c r="A10800" s="178" t="str">
        <f>IFERROR(__xludf.DUMMYFUNCTION("""COMPUTED_VALUE"""),"ITBISA-SERVO-SG90-180DEG")</f>
        <v>ITBISA-SERVO-SG90-180DEG</v>
      </c>
      <c r="B10800" s="266">
        <f>IFERROR(__xludf.DUMMYFUNCTION("""COMPUTED_VALUE"""),45617.0)</f>
        <v>45617</v>
      </c>
      <c r="C10800" s="266" t="str">
        <f>IFERROR(__xludf.DUMMYFUNCTION("""COMPUTED_VALUE"""),"KYAI KONTONG")</f>
        <v>KYAI KONTONG</v>
      </c>
      <c r="D10800" s="186">
        <f>IFERROR(__xludf.DUMMYFUNCTION("""COMPUTED_VALUE"""),3.0)</f>
        <v>3</v>
      </c>
    </row>
    <row r="10801">
      <c r="A10801" s="178" t="str">
        <f>IFERROR(__xludf.DUMMYFUNCTION("""COMPUTED_VALUE"""),"ITBISA-SERVO-SG90-180DEG")</f>
        <v>ITBISA-SERVO-SG90-180DEG</v>
      </c>
      <c r="B10801" s="266">
        <f>IFERROR(__xludf.DUMMYFUNCTION("""COMPUTED_VALUE"""),45617.0)</f>
        <v>45617</v>
      </c>
      <c r="C10801" s="266" t="str">
        <f>IFERROR(__xludf.DUMMYFUNCTION("""COMPUTED_VALUE"""),"KYAI KONTONG")</f>
        <v>KYAI KONTONG</v>
      </c>
      <c r="D10801" s="186">
        <f>IFERROR(__xludf.DUMMYFUNCTION("""COMPUTED_VALUE"""),6.0)</f>
        <v>6</v>
      </c>
    </row>
    <row r="10802">
      <c r="A10802" s="178" t="str">
        <f>IFERROR(__xludf.DUMMYFUNCTION("""COMPUTED_VALUE"""),"ITBISA-SERVO-SG90-180DEG")</f>
        <v>ITBISA-SERVO-SG90-180DEG</v>
      </c>
      <c r="B10802" s="266">
        <f>IFERROR(__xludf.DUMMYFUNCTION("""COMPUTED_VALUE"""),45617.0)</f>
        <v>45617</v>
      </c>
      <c r="C10802" s="266" t="str">
        <f>IFERROR(__xludf.DUMMYFUNCTION("""COMPUTED_VALUE"""),"KYAI KONTONG")</f>
        <v>KYAI KONTONG</v>
      </c>
      <c r="D10802" s="186">
        <f>IFERROR(__xludf.DUMMYFUNCTION("""COMPUTED_VALUE"""),8.0)</f>
        <v>8</v>
      </c>
    </row>
    <row r="10803">
      <c r="A10803" s="178" t="str">
        <f>IFERROR(__xludf.DUMMYFUNCTION("""COMPUTED_VALUE"""),"ITBISA-SERVO-SG90-180DEG")</f>
        <v>ITBISA-SERVO-SG90-180DEG</v>
      </c>
      <c r="B10803" s="266">
        <f>IFERROR(__xludf.DUMMYFUNCTION("""COMPUTED_VALUE"""),45618.0)</f>
        <v>45618</v>
      </c>
      <c r="C10803" s="266" t="str">
        <f>IFERROR(__xludf.DUMMYFUNCTION("""COMPUTED_VALUE"""),"KYAI KONTONG")</f>
        <v>KYAI KONTONG</v>
      </c>
      <c r="D10803" s="186">
        <f>IFERROR(__xludf.DUMMYFUNCTION("""COMPUTED_VALUE"""),1.0)</f>
        <v>1</v>
      </c>
    </row>
    <row r="10804">
      <c r="A10804" s="178" t="str">
        <f>IFERROR(__xludf.DUMMYFUNCTION("""COMPUTED_VALUE"""),"ITBISA-SERVO-SG90-180DEG")</f>
        <v>ITBISA-SERVO-SG90-180DEG</v>
      </c>
      <c r="B10804" s="266">
        <f>IFERROR(__xludf.DUMMYFUNCTION("""COMPUTED_VALUE"""),45618.0)</f>
        <v>45618</v>
      </c>
      <c r="C10804" s="266" t="str">
        <f>IFERROR(__xludf.DUMMYFUNCTION("""COMPUTED_VALUE"""),"KYAI KONTONG")</f>
        <v>KYAI KONTONG</v>
      </c>
      <c r="D10804" s="186">
        <f>IFERROR(__xludf.DUMMYFUNCTION("""COMPUTED_VALUE"""),1.0)</f>
        <v>1</v>
      </c>
    </row>
    <row r="10805">
      <c r="A10805" s="178" t="str">
        <f>IFERROR(__xludf.DUMMYFUNCTION("""COMPUTED_VALUE"""),"ITBISA-SERVO-SG90-180DEG")</f>
        <v>ITBISA-SERVO-SG90-180DEG</v>
      </c>
      <c r="B10805" s="266">
        <f>IFERROR(__xludf.DUMMYFUNCTION("""COMPUTED_VALUE"""),45618.0)</f>
        <v>45618</v>
      </c>
      <c r="C10805" s="266" t="str">
        <f>IFERROR(__xludf.DUMMYFUNCTION("""COMPUTED_VALUE"""),"KYAI KONTONG")</f>
        <v>KYAI KONTONG</v>
      </c>
      <c r="D10805" s="186">
        <f>IFERROR(__xludf.DUMMYFUNCTION("""COMPUTED_VALUE"""),1.0)</f>
        <v>1</v>
      </c>
    </row>
    <row r="10806">
      <c r="A10806" s="178" t="str">
        <f>IFERROR(__xludf.DUMMYFUNCTION("""COMPUTED_VALUE"""),"ITBISA-SERVO-SG90-180DEG")</f>
        <v>ITBISA-SERVO-SG90-180DEG</v>
      </c>
      <c r="B10806" s="266">
        <f>IFERROR(__xludf.DUMMYFUNCTION("""COMPUTED_VALUE"""),45618.0)</f>
        <v>45618</v>
      </c>
      <c r="C10806" s="266" t="str">
        <f>IFERROR(__xludf.DUMMYFUNCTION("""COMPUTED_VALUE"""),"KYAI KONTONG")</f>
        <v>KYAI KONTONG</v>
      </c>
      <c r="D10806" s="186">
        <f>IFERROR(__xludf.DUMMYFUNCTION("""COMPUTED_VALUE"""),1.0)</f>
        <v>1</v>
      </c>
    </row>
    <row r="10807">
      <c r="A10807" s="178" t="str">
        <f>IFERROR(__xludf.DUMMYFUNCTION("""COMPUTED_VALUE"""),"ITBISA-SERVO-SG90-180DEG")</f>
        <v>ITBISA-SERVO-SG90-180DEG</v>
      </c>
      <c r="B10807" s="266">
        <f>IFERROR(__xludf.DUMMYFUNCTION("""COMPUTED_VALUE"""),45618.0)</f>
        <v>45618</v>
      </c>
      <c r="C10807" s="266" t="str">
        <f>IFERROR(__xludf.DUMMYFUNCTION("""COMPUTED_VALUE"""),"KYAI KONTONG")</f>
        <v>KYAI KONTONG</v>
      </c>
      <c r="D10807" s="186">
        <f>IFERROR(__xludf.DUMMYFUNCTION("""COMPUTED_VALUE"""),1.0)</f>
        <v>1</v>
      </c>
    </row>
    <row r="10808">
      <c r="A10808" s="178" t="str">
        <f>IFERROR(__xludf.DUMMYFUNCTION("""COMPUTED_VALUE"""),"ITBISA-SERVO-SG90-180DEG")</f>
        <v>ITBISA-SERVO-SG90-180DEG</v>
      </c>
      <c r="B10808" s="266">
        <f>IFERROR(__xludf.DUMMYFUNCTION("""COMPUTED_VALUE"""),45619.0)</f>
        <v>45619</v>
      </c>
      <c r="C10808" s="266" t="str">
        <f>IFERROR(__xludf.DUMMYFUNCTION("""COMPUTED_VALUE"""),"KYAI KONTONG")</f>
        <v>KYAI KONTONG</v>
      </c>
      <c r="D10808" s="186">
        <f>IFERROR(__xludf.DUMMYFUNCTION("""COMPUTED_VALUE"""),1.0)</f>
        <v>1</v>
      </c>
    </row>
    <row r="10809">
      <c r="A10809" s="178" t="str">
        <f>IFERROR(__xludf.DUMMYFUNCTION("""COMPUTED_VALUE"""),"ITBISA-SERVO-SG90-180DEG")</f>
        <v>ITBISA-SERVO-SG90-180DEG</v>
      </c>
      <c r="B10809" s="266">
        <f>IFERROR(__xludf.DUMMYFUNCTION("""COMPUTED_VALUE"""),45620.0)</f>
        <v>45620</v>
      </c>
      <c r="C10809" s="266" t="str">
        <f>IFERROR(__xludf.DUMMYFUNCTION("""COMPUTED_VALUE"""),"KERTASARI CIAMIS")</f>
        <v>KERTASARI CIAMIS</v>
      </c>
      <c r="D10809" s="186">
        <f>IFERROR(__xludf.DUMMYFUNCTION("""COMPUTED_VALUE"""),1.0)</f>
        <v>1</v>
      </c>
    </row>
    <row r="10810">
      <c r="A10810" s="178" t="str">
        <f>IFERROR(__xludf.DUMMYFUNCTION("""COMPUTED_VALUE"""),"ITBISA-SERVO-SG90-180DEG")</f>
        <v>ITBISA-SERVO-SG90-180DEG</v>
      </c>
      <c r="B10810" s="266">
        <f>IFERROR(__xludf.DUMMYFUNCTION("""COMPUTED_VALUE"""),45620.0)</f>
        <v>45620</v>
      </c>
      <c r="C10810" s="266" t="str">
        <f>IFERROR(__xludf.DUMMYFUNCTION("""COMPUTED_VALUE"""),"KYAI KONTONG")</f>
        <v>KYAI KONTONG</v>
      </c>
      <c r="D10810" s="186">
        <f>IFERROR(__xludf.DUMMYFUNCTION("""COMPUTED_VALUE"""),1.0)</f>
        <v>1</v>
      </c>
    </row>
    <row r="10811">
      <c r="A10811" s="178" t="str">
        <f>IFERROR(__xludf.DUMMYFUNCTION("""COMPUTED_VALUE"""),"ITBISA-SERVO-SG90-180DEG")</f>
        <v>ITBISA-SERVO-SG90-180DEG</v>
      </c>
      <c r="B10811" s="266">
        <f>IFERROR(__xludf.DUMMYFUNCTION("""COMPUTED_VALUE"""),45620.0)</f>
        <v>45620</v>
      </c>
      <c r="C10811" s="266" t="str">
        <f>IFERROR(__xludf.DUMMYFUNCTION("""COMPUTED_VALUE"""),"KYAI KONTONG")</f>
        <v>KYAI KONTONG</v>
      </c>
      <c r="D10811" s="186">
        <f>IFERROR(__xludf.DUMMYFUNCTION("""COMPUTED_VALUE"""),1.0)</f>
        <v>1</v>
      </c>
    </row>
    <row r="10812">
      <c r="A10812" s="178" t="str">
        <f>IFERROR(__xludf.DUMMYFUNCTION("""COMPUTED_VALUE"""),"ITBISA-SERVO-SG90-180DEG")</f>
        <v>ITBISA-SERVO-SG90-180DEG</v>
      </c>
      <c r="B10812" s="266">
        <f>IFERROR(__xludf.DUMMYFUNCTION("""COMPUTED_VALUE"""),45620.0)</f>
        <v>45620</v>
      </c>
      <c r="C10812" s="266" t="str">
        <f>IFERROR(__xludf.DUMMYFUNCTION("""COMPUTED_VALUE"""),"KYAI KONTONG")</f>
        <v>KYAI KONTONG</v>
      </c>
      <c r="D10812" s="186">
        <f>IFERROR(__xludf.DUMMYFUNCTION("""COMPUTED_VALUE"""),2.0)</f>
        <v>2</v>
      </c>
    </row>
    <row r="10813">
      <c r="A10813" s="178" t="str">
        <f>IFERROR(__xludf.DUMMYFUNCTION("""COMPUTED_VALUE"""),"ITBISA-SERVO-SG90-180DEG")</f>
        <v>ITBISA-SERVO-SG90-180DEG</v>
      </c>
      <c r="B10813" s="266">
        <f>IFERROR(__xludf.DUMMYFUNCTION("""COMPUTED_VALUE"""),45621.0)</f>
        <v>45621</v>
      </c>
      <c r="C10813" s="266" t="str">
        <f>IFERROR(__xludf.DUMMYFUNCTION("""COMPUTED_VALUE"""),"KERTASARI CIAMIS")</f>
        <v>KERTASARI CIAMIS</v>
      </c>
      <c r="D10813" s="186">
        <f>IFERROR(__xludf.DUMMYFUNCTION("""COMPUTED_VALUE"""),16.0)</f>
        <v>16</v>
      </c>
    </row>
    <row r="10814">
      <c r="A10814" s="178" t="str">
        <f>IFERROR(__xludf.DUMMYFUNCTION("""COMPUTED_VALUE"""),"ITBISA-SERVO-SG90-180DEG")</f>
        <v>ITBISA-SERVO-SG90-180DEG</v>
      </c>
      <c r="B10814" s="266">
        <f>IFERROR(__xludf.DUMMYFUNCTION("""COMPUTED_VALUE"""),45621.0)</f>
        <v>45621</v>
      </c>
      <c r="C10814" s="266" t="str">
        <f>IFERROR(__xludf.DUMMYFUNCTION("""COMPUTED_VALUE"""),"KYAI KONTONG")</f>
        <v>KYAI KONTONG</v>
      </c>
      <c r="D10814" s="186">
        <f>IFERROR(__xludf.DUMMYFUNCTION("""COMPUTED_VALUE"""),1.0)</f>
        <v>1</v>
      </c>
    </row>
    <row r="10815">
      <c r="A10815" s="178" t="str">
        <f>IFERROR(__xludf.DUMMYFUNCTION("""COMPUTED_VALUE"""),"ITBISA-SERVO-SG90-180DEG")</f>
        <v>ITBISA-SERVO-SG90-180DEG</v>
      </c>
      <c r="B10815" s="266">
        <f>IFERROR(__xludf.DUMMYFUNCTION("""COMPUTED_VALUE"""),45621.0)</f>
        <v>45621</v>
      </c>
      <c r="C10815" s="266" t="str">
        <f>IFERROR(__xludf.DUMMYFUNCTION("""COMPUTED_VALUE"""),"KYAI KONTONG")</f>
        <v>KYAI KONTONG</v>
      </c>
      <c r="D10815" s="186">
        <f>IFERROR(__xludf.DUMMYFUNCTION("""COMPUTED_VALUE"""),1.0)</f>
        <v>1</v>
      </c>
    </row>
    <row r="10816">
      <c r="A10816" s="178" t="str">
        <f>IFERROR(__xludf.DUMMYFUNCTION("""COMPUTED_VALUE"""),"ITBISA-SERVO-SG90-180DEG")</f>
        <v>ITBISA-SERVO-SG90-180DEG</v>
      </c>
      <c r="B10816" s="266">
        <f>IFERROR(__xludf.DUMMYFUNCTION("""COMPUTED_VALUE"""),45621.0)</f>
        <v>45621</v>
      </c>
      <c r="C10816" s="266" t="str">
        <f>IFERROR(__xludf.DUMMYFUNCTION("""COMPUTED_VALUE"""),"KYAI KONTONG")</f>
        <v>KYAI KONTONG</v>
      </c>
      <c r="D10816" s="186">
        <f>IFERROR(__xludf.DUMMYFUNCTION("""COMPUTED_VALUE"""),5.0)</f>
        <v>5</v>
      </c>
    </row>
    <row r="10817">
      <c r="A10817" s="178" t="str">
        <f>IFERROR(__xludf.DUMMYFUNCTION("""COMPUTED_VALUE"""),"ITBISA-SERVO-SG90-180DEG")</f>
        <v>ITBISA-SERVO-SG90-180DEG</v>
      </c>
      <c r="B10817" s="266">
        <f>IFERROR(__xludf.DUMMYFUNCTION("""COMPUTED_VALUE"""),45622.0)</f>
        <v>45622</v>
      </c>
      <c r="C10817" s="266" t="str">
        <f>IFERROR(__xludf.DUMMYFUNCTION("""COMPUTED_VALUE"""),"KYAI KONTONG")</f>
        <v>KYAI KONTONG</v>
      </c>
      <c r="D10817" s="186">
        <f>IFERROR(__xludf.DUMMYFUNCTION("""COMPUTED_VALUE"""),1.0)</f>
        <v>1</v>
      </c>
    </row>
    <row r="10818">
      <c r="A10818" s="178" t="str">
        <f>IFERROR(__xludf.DUMMYFUNCTION("""COMPUTED_VALUE"""),"ITBISA-SERVO-SG90-180DEG")</f>
        <v>ITBISA-SERVO-SG90-180DEG</v>
      </c>
      <c r="B10818" s="266">
        <f>IFERROR(__xludf.DUMMYFUNCTION("""COMPUTED_VALUE"""),45622.0)</f>
        <v>45622</v>
      </c>
      <c r="C10818" s="266" t="str">
        <f>IFERROR(__xludf.DUMMYFUNCTION("""COMPUTED_VALUE"""),"KYAI KONTONG")</f>
        <v>KYAI KONTONG</v>
      </c>
      <c r="D10818" s="186">
        <f>IFERROR(__xludf.DUMMYFUNCTION("""COMPUTED_VALUE"""),1.0)</f>
        <v>1</v>
      </c>
    </row>
    <row r="10819">
      <c r="A10819" s="178" t="str">
        <f>IFERROR(__xludf.DUMMYFUNCTION("""COMPUTED_VALUE"""),"ITBISA-SERVO-SG90-180DEG")</f>
        <v>ITBISA-SERVO-SG90-180DEG</v>
      </c>
      <c r="B10819" s="266">
        <f>IFERROR(__xludf.DUMMYFUNCTION("""COMPUTED_VALUE"""),45622.0)</f>
        <v>45622</v>
      </c>
      <c r="C10819" s="266" t="str">
        <f>IFERROR(__xludf.DUMMYFUNCTION("""COMPUTED_VALUE"""),"KYAI KONTONG")</f>
        <v>KYAI KONTONG</v>
      </c>
      <c r="D10819" s="186">
        <f>IFERROR(__xludf.DUMMYFUNCTION("""COMPUTED_VALUE"""),1.0)</f>
        <v>1</v>
      </c>
    </row>
    <row r="10820">
      <c r="A10820" s="178" t="str">
        <f>IFERROR(__xludf.DUMMYFUNCTION("""COMPUTED_VALUE"""),"ITBISA-SERVO-SG90-180DEG")</f>
        <v>ITBISA-SERVO-SG90-180DEG</v>
      </c>
      <c r="B10820" s="266">
        <f>IFERROR(__xludf.DUMMYFUNCTION("""COMPUTED_VALUE"""),45622.0)</f>
        <v>45622</v>
      </c>
      <c r="C10820" s="266" t="str">
        <f>IFERROR(__xludf.DUMMYFUNCTION("""COMPUTED_VALUE"""),"KYAI KONTONG")</f>
        <v>KYAI KONTONG</v>
      </c>
      <c r="D10820" s="186">
        <f>IFERROR(__xludf.DUMMYFUNCTION("""COMPUTED_VALUE"""),1.0)</f>
        <v>1</v>
      </c>
    </row>
    <row r="10821">
      <c r="A10821" s="178" t="str">
        <f>IFERROR(__xludf.DUMMYFUNCTION("""COMPUTED_VALUE"""),"ITBISA-SERVO-SG90-180DEG")</f>
        <v>ITBISA-SERVO-SG90-180DEG</v>
      </c>
      <c r="B10821" s="266">
        <f>IFERROR(__xludf.DUMMYFUNCTION("""COMPUTED_VALUE"""),45622.0)</f>
        <v>45622</v>
      </c>
      <c r="C10821" s="266" t="str">
        <f>IFERROR(__xludf.DUMMYFUNCTION("""COMPUTED_VALUE"""),"KYAI KONTONG")</f>
        <v>KYAI KONTONG</v>
      </c>
      <c r="D10821" s="186">
        <f>IFERROR(__xludf.DUMMYFUNCTION("""COMPUTED_VALUE"""),2.0)</f>
        <v>2</v>
      </c>
    </row>
    <row r="10822">
      <c r="A10822" s="178" t="str">
        <f>IFERROR(__xludf.DUMMYFUNCTION("""COMPUTED_VALUE"""),"ITBISA-SERVO-SG90-180DEG")</f>
        <v>ITBISA-SERVO-SG90-180DEG</v>
      </c>
      <c r="B10822" s="266">
        <f>IFERROR(__xludf.DUMMYFUNCTION("""COMPUTED_VALUE"""),45622.0)</f>
        <v>45622</v>
      </c>
      <c r="C10822" s="266" t="str">
        <f>IFERROR(__xludf.DUMMYFUNCTION("""COMPUTED_VALUE"""),"KYAI KONTONG")</f>
        <v>KYAI KONTONG</v>
      </c>
      <c r="D10822" s="186">
        <f>IFERROR(__xludf.DUMMYFUNCTION("""COMPUTED_VALUE"""),2.0)</f>
        <v>2</v>
      </c>
    </row>
    <row r="10823">
      <c r="A10823" s="178" t="str">
        <f>IFERROR(__xludf.DUMMYFUNCTION("""COMPUTED_VALUE"""),"ITBISA-SERVO-SG90-180DEG")</f>
        <v>ITBISA-SERVO-SG90-180DEG</v>
      </c>
      <c r="B10823" s="266">
        <f>IFERROR(__xludf.DUMMYFUNCTION("""COMPUTED_VALUE"""),45623.0)</f>
        <v>45623</v>
      </c>
      <c r="C10823" s="266" t="str">
        <f>IFERROR(__xludf.DUMMYFUNCTION("""COMPUTED_VALUE"""),"KERTASARI CIAMIS")</f>
        <v>KERTASARI CIAMIS</v>
      </c>
      <c r="D10823" s="186">
        <f>IFERROR(__xludf.DUMMYFUNCTION("""COMPUTED_VALUE"""),1.0)</f>
        <v>1</v>
      </c>
    </row>
    <row r="10824">
      <c r="A10824" s="178" t="str">
        <f>IFERROR(__xludf.DUMMYFUNCTION("""COMPUTED_VALUE"""),"ITBISA-SERVO-SG90-180DEG")</f>
        <v>ITBISA-SERVO-SG90-180DEG</v>
      </c>
      <c r="B10824" s="266">
        <f>IFERROR(__xludf.DUMMYFUNCTION("""COMPUTED_VALUE"""),45623.0)</f>
        <v>45623</v>
      </c>
      <c r="C10824" s="266" t="str">
        <f>IFERROR(__xludf.DUMMYFUNCTION("""COMPUTED_VALUE"""),"KYAI KONTONG")</f>
        <v>KYAI KONTONG</v>
      </c>
      <c r="D10824" s="186">
        <f>IFERROR(__xludf.DUMMYFUNCTION("""COMPUTED_VALUE"""),1.0)</f>
        <v>1</v>
      </c>
    </row>
    <row r="10825">
      <c r="A10825" s="178" t="str">
        <f>IFERROR(__xludf.DUMMYFUNCTION("""COMPUTED_VALUE"""),"ITBISA-SERVO-SG90-180DEG")</f>
        <v>ITBISA-SERVO-SG90-180DEG</v>
      </c>
      <c r="B10825" s="266">
        <f>IFERROR(__xludf.DUMMYFUNCTION("""COMPUTED_VALUE"""),45623.0)</f>
        <v>45623</v>
      </c>
      <c r="C10825" s="266" t="str">
        <f>IFERROR(__xludf.DUMMYFUNCTION("""COMPUTED_VALUE"""),"KYAI KONTONG")</f>
        <v>KYAI KONTONG</v>
      </c>
      <c r="D10825" s="186">
        <f>IFERROR(__xludf.DUMMYFUNCTION("""COMPUTED_VALUE"""),1.0)</f>
        <v>1</v>
      </c>
    </row>
    <row r="10826">
      <c r="A10826" s="178" t="str">
        <f>IFERROR(__xludf.DUMMYFUNCTION("""COMPUTED_VALUE"""),"ITBISA-SERVO-SG90-180DEG")</f>
        <v>ITBISA-SERVO-SG90-180DEG</v>
      </c>
      <c r="B10826" s="266">
        <f>IFERROR(__xludf.DUMMYFUNCTION("""COMPUTED_VALUE"""),45624.0)</f>
        <v>45624</v>
      </c>
      <c r="C10826" s="266" t="str">
        <f>IFERROR(__xludf.DUMMYFUNCTION("""COMPUTED_VALUE"""),"KYAI KONTONG")</f>
        <v>KYAI KONTONG</v>
      </c>
      <c r="D10826" s="186">
        <f>IFERROR(__xludf.DUMMYFUNCTION("""COMPUTED_VALUE"""),10.0)</f>
        <v>10</v>
      </c>
    </row>
    <row r="10827">
      <c r="A10827" s="178" t="str">
        <f>IFERROR(__xludf.DUMMYFUNCTION("""COMPUTED_VALUE"""),"ITBISA-SERVO-SG90-180DEG")</f>
        <v>ITBISA-SERVO-SG90-180DEG</v>
      </c>
      <c r="B10827" s="266">
        <f>IFERROR(__xludf.DUMMYFUNCTION("""COMPUTED_VALUE"""),45625.0)</f>
        <v>45625</v>
      </c>
      <c r="C10827" s="266" t="str">
        <f>IFERROR(__xludf.DUMMYFUNCTION("""COMPUTED_VALUE"""),"KYAI KONTONG")</f>
        <v>KYAI KONTONG</v>
      </c>
      <c r="D10827" s="186">
        <f>IFERROR(__xludf.DUMMYFUNCTION("""COMPUTED_VALUE"""),4.0)</f>
        <v>4</v>
      </c>
    </row>
    <row r="10828">
      <c r="A10828" s="178" t="str">
        <f>IFERROR(__xludf.DUMMYFUNCTION("""COMPUTED_VALUE"""),"ITBISA-SERVO-SG90-180DEG")</f>
        <v>ITBISA-SERVO-SG90-180DEG</v>
      </c>
      <c r="B10828" s="266">
        <f>IFERROR(__xludf.DUMMYFUNCTION("""COMPUTED_VALUE"""),45626.0)</f>
        <v>45626</v>
      </c>
      <c r="C10828" s="266" t="str">
        <f>IFERROR(__xludf.DUMMYFUNCTION("""COMPUTED_VALUE"""),"KYAI KONTONG")</f>
        <v>KYAI KONTONG</v>
      </c>
      <c r="D10828" s="186">
        <f>IFERROR(__xludf.DUMMYFUNCTION("""COMPUTED_VALUE"""),1.0)</f>
        <v>1</v>
      </c>
    </row>
    <row r="10829">
      <c r="A10829" s="178" t="str">
        <f>IFERROR(__xludf.DUMMYFUNCTION("""COMPUTED_VALUE"""),"ITBISA-SERVO-SG90-180DEG")</f>
        <v>ITBISA-SERVO-SG90-180DEG</v>
      </c>
      <c r="B10829" s="266">
        <f>IFERROR(__xludf.DUMMYFUNCTION("""COMPUTED_VALUE"""),45627.0)</f>
        <v>45627</v>
      </c>
      <c r="C10829" s="266" t="str">
        <f>IFERROR(__xludf.DUMMYFUNCTION("""COMPUTED_VALUE"""),"KERTASARI CIAMIS")</f>
        <v>KERTASARI CIAMIS</v>
      </c>
      <c r="D10829" s="186">
        <f>IFERROR(__xludf.DUMMYFUNCTION("""COMPUTED_VALUE"""),8.0)</f>
        <v>8</v>
      </c>
    </row>
    <row r="10830">
      <c r="A10830" s="178" t="str">
        <f>IFERROR(__xludf.DUMMYFUNCTION("""COMPUTED_VALUE"""),"ITBISA-SERVO-SG90-180DEG")</f>
        <v>ITBISA-SERVO-SG90-180DEG</v>
      </c>
      <c r="B10830" s="266">
        <f>IFERROR(__xludf.DUMMYFUNCTION("""COMPUTED_VALUE"""),45628.0)</f>
        <v>45628</v>
      </c>
      <c r="C10830" s="266" t="str">
        <f>IFERROR(__xludf.DUMMYFUNCTION("""COMPUTED_VALUE"""),"KYAI KONTONG")</f>
        <v>KYAI KONTONG</v>
      </c>
      <c r="D10830" s="186">
        <f>IFERROR(__xludf.DUMMYFUNCTION("""COMPUTED_VALUE"""),1.0)</f>
        <v>1</v>
      </c>
    </row>
    <row r="10831">
      <c r="A10831" s="178" t="str">
        <f>IFERROR(__xludf.DUMMYFUNCTION("""COMPUTED_VALUE"""),"ITBISA-SERVO-SG90-180DEG")</f>
        <v>ITBISA-SERVO-SG90-180DEG</v>
      </c>
      <c r="B10831" s="266">
        <f>IFERROR(__xludf.DUMMYFUNCTION("""COMPUTED_VALUE"""),45628.0)</f>
        <v>45628</v>
      </c>
      <c r="C10831" s="266" t="str">
        <f>IFERROR(__xludf.DUMMYFUNCTION("""COMPUTED_VALUE"""),"KYAI KONTONG")</f>
        <v>KYAI KONTONG</v>
      </c>
      <c r="D10831" s="186">
        <f>IFERROR(__xludf.DUMMYFUNCTION("""COMPUTED_VALUE"""),1.0)</f>
        <v>1</v>
      </c>
    </row>
    <row r="10832">
      <c r="A10832" s="178" t="str">
        <f>IFERROR(__xludf.DUMMYFUNCTION("""COMPUTED_VALUE"""),"ITBISA-SERVO-SG90-180DEG")</f>
        <v>ITBISA-SERVO-SG90-180DEG</v>
      </c>
      <c r="B10832" s="266">
        <f>IFERROR(__xludf.DUMMYFUNCTION("""COMPUTED_VALUE"""),45628.0)</f>
        <v>45628</v>
      </c>
      <c r="C10832" s="266" t="str">
        <f>IFERROR(__xludf.DUMMYFUNCTION("""COMPUTED_VALUE"""),"KYAI KONTONG")</f>
        <v>KYAI KONTONG</v>
      </c>
      <c r="D10832" s="186">
        <f>IFERROR(__xludf.DUMMYFUNCTION("""COMPUTED_VALUE"""),2.0)</f>
        <v>2</v>
      </c>
    </row>
    <row r="10833">
      <c r="A10833" s="178" t="str">
        <f>IFERROR(__xludf.DUMMYFUNCTION("""COMPUTED_VALUE"""),"ITBISA-SERVO-SG90-180DEG")</f>
        <v>ITBISA-SERVO-SG90-180DEG</v>
      </c>
      <c r="B10833" s="266">
        <f>IFERROR(__xludf.DUMMYFUNCTION("""COMPUTED_VALUE"""),45630.0)</f>
        <v>45630</v>
      </c>
      <c r="C10833" s="266" t="str">
        <f>IFERROR(__xludf.DUMMYFUNCTION("""COMPUTED_VALUE"""),"KERTASARI CIAMIS")</f>
        <v>KERTASARI CIAMIS</v>
      </c>
      <c r="D10833" s="186">
        <f>IFERROR(__xludf.DUMMYFUNCTION("""COMPUTED_VALUE"""),25.0)</f>
        <v>25</v>
      </c>
    </row>
    <row r="10834">
      <c r="A10834" s="178" t="str">
        <f>IFERROR(__xludf.DUMMYFUNCTION("""COMPUTED_VALUE"""),"ITBISA-SERVO-SG90-180DEG")</f>
        <v>ITBISA-SERVO-SG90-180DEG</v>
      </c>
      <c r="B10834" s="266">
        <f>IFERROR(__xludf.DUMMYFUNCTION("""COMPUTED_VALUE"""),45631.0)</f>
        <v>45631</v>
      </c>
      <c r="C10834" s="266" t="str">
        <f>IFERROR(__xludf.DUMMYFUNCTION("""COMPUTED_VALUE"""),"KYAI KONTONG")</f>
        <v>KYAI KONTONG</v>
      </c>
      <c r="D10834" s="186">
        <f>IFERROR(__xludf.DUMMYFUNCTION("""COMPUTED_VALUE"""),1.0)</f>
        <v>1</v>
      </c>
    </row>
    <row r="10835">
      <c r="A10835" s="178" t="str">
        <f>IFERROR(__xludf.DUMMYFUNCTION("""COMPUTED_VALUE"""),"ITBISA-SERVO-SG90-180DEG")</f>
        <v>ITBISA-SERVO-SG90-180DEG</v>
      </c>
      <c r="B10835" s="266">
        <f>IFERROR(__xludf.DUMMYFUNCTION("""COMPUTED_VALUE"""),45631.0)</f>
        <v>45631</v>
      </c>
      <c r="C10835" s="266" t="str">
        <f>IFERROR(__xludf.DUMMYFUNCTION("""COMPUTED_VALUE"""),"KYAI KONTONG")</f>
        <v>KYAI KONTONG</v>
      </c>
      <c r="D10835" s="186">
        <f>IFERROR(__xludf.DUMMYFUNCTION("""COMPUTED_VALUE"""),1.0)</f>
        <v>1</v>
      </c>
    </row>
    <row r="10836">
      <c r="A10836" s="178" t="str">
        <f>IFERROR(__xludf.DUMMYFUNCTION("""COMPUTED_VALUE"""),"ITBISA-SERVO-SG90-180DEG")</f>
        <v>ITBISA-SERVO-SG90-180DEG</v>
      </c>
      <c r="B10836" s="266">
        <f>IFERROR(__xludf.DUMMYFUNCTION("""COMPUTED_VALUE"""),45632.0)</f>
        <v>45632</v>
      </c>
      <c r="C10836" s="266" t="str">
        <f>IFERROR(__xludf.DUMMYFUNCTION("""COMPUTED_VALUE"""),"KYAI KONTONG")</f>
        <v>KYAI KONTONG</v>
      </c>
      <c r="D10836" s="186">
        <f>IFERROR(__xludf.DUMMYFUNCTION("""COMPUTED_VALUE"""),2.0)</f>
        <v>2</v>
      </c>
    </row>
    <row r="10837">
      <c r="A10837" s="178" t="str">
        <f>IFERROR(__xludf.DUMMYFUNCTION("""COMPUTED_VALUE"""),"ITBISA-SERVO-SG90-180DEG")</f>
        <v>ITBISA-SERVO-SG90-180DEG</v>
      </c>
      <c r="B10837" s="266">
        <f>IFERROR(__xludf.DUMMYFUNCTION("""COMPUTED_VALUE"""),45632.0)</f>
        <v>45632</v>
      </c>
      <c r="C10837" s="266" t="str">
        <f>IFERROR(__xludf.DUMMYFUNCTION("""COMPUTED_VALUE"""),"KYAI KONTONG")</f>
        <v>KYAI KONTONG</v>
      </c>
      <c r="D10837" s="186">
        <f>IFERROR(__xludf.DUMMYFUNCTION("""COMPUTED_VALUE"""),4.0)</f>
        <v>4</v>
      </c>
    </row>
    <row r="10838">
      <c r="A10838" s="178" t="str">
        <f>IFERROR(__xludf.DUMMYFUNCTION("""COMPUTED_VALUE"""),"ITBISA-SERVO-SG90-180DEG")</f>
        <v>ITBISA-SERVO-SG90-180DEG</v>
      </c>
      <c r="B10838" s="266">
        <f>IFERROR(__xludf.DUMMYFUNCTION("""COMPUTED_VALUE"""),45636.0)</f>
        <v>45636</v>
      </c>
      <c r="C10838" s="266" t="str">
        <f>IFERROR(__xludf.DUMMYFUNCTION("""COMPUTED_VALUE"""),"KERTASARI CIAMIS")</f>
        <v>KERTASARI CIAMIS</v>
      </c>
      <c r="D10838" s="186">
        <f>IFERROR(__xludf.DUMMYFUNCTION("""COMPUTED_VALUE"""),2.0)</f>
        <v>2</v>
      </c>
    </row>
    <row r="10839">
      <c r="A10839" s="178" t="str">
        <f>IFERROR(__xludf.DUMMYFUNCTION("""COMPUTED_VALUE"""),"ITBISA-SERVO-SG90-180DEG")</f>
        <v>ITBISA-SERVO-SG90-180DEG</v>
      </c>
      <c r="B10839" s="266">
        <f>IFERROR(__xludf.DUMMYFUNCTION("""COMPUTED_VALUE"""),45636.0)</f>
        <v>45636</v>
      </c>
      <c r="C10839" s="266" t="str">
        <f>IFERROR(__xludf.DUMMYFUNCTION("""COMPUTED_VALUE"""),"KYAI KONTONG")</f>
        <v>KYAI KONTONG</v>
      </c>
      <c r="D10839" s="186">
        <f>IFERROR(__xludf.DUMMYFUNCTION("""COMPUTED_VALUE"""),1.0)</f>
        <v>1</v>
      </c>
    </row>
    <row r="10840">
      <c r="A10840" s="178" t="str">
        <f>IFERROR(__xludf.DUMMYFUNCTION("""COMPUTED_VALUE"""),"ITBISA-SERVO-SG90-180DEG")</f>
        <v>ITBISA-SERVO-SG90-180DEG</v>
      </c>
      <c r="B10840" s="266">
        <f>IFERROR(__xludf.DUMMYFUNCTION("""COMPUTED_VALUE"""),45637.0)</f>
        <v>45637</v>
      </c>
      <c r="C10840" s="266" t="str">
        <f>IFERROR(__xludf.DUMMYFUNCTION("""COMPUTED_VALUE"""),"KYAI KONTONG")</f>
        <v>KYAI KONTONG</v>
      </c>
      <c r="D10840" s="186">
        <f>IFERROR(__xludf.DUMMYFUNCTION("""COMPUTED_VALUE"""),1.0)</f>
        <v>1</v>
      </c>
    </row>
    <row r="10841">
      <c r="A10841" s="178" t="str">
        <f>IFERROR(__xludf.DUMMYFUNCTION("""COMPUTED_VALUE"""),"ITBISA-SERVO-SG90-180DEG")</f>
        <v>ITBISA-SERVO-SG90-180DEG</v>
      </c>
      <c r="B10841" s="266">
        <f>IFERROR(__xludf.DUMMYFUNCTION("""COMPUTED_VALUE"""),45637.0)</f>
        <v>45637</v>
      </c>
      <c r="C10841" s="266" t="str">
        <f>IFERROR(__xludf.DUMMYFUNCTION("""COMPUTED_VALUE"""),"KYAI KONTONG")</f>
        <v>KYAI KONTONG</v>
      </c>
      <c r="D10841" s="186">
        <f>IFERROR(__xludf.DUMMYFUNCTION("""COMPUTED_VALUE"""),4.0)</f>
        <v>4</v>
      </c>
    </row>
    <row r="10842">
      <c r="A10842" s="178" t="str">
        <f>IFERROR(__xludf.DUMMYFUNCTION("""COMPUTED_VALUE"""),"ITBISA-SERVO-SG90-180DEG")</f>
        <v>ITBISA-SERVO-SG90-180DEG</v>
      </c>
      <c r="B10842" s="266">
        <f>IFERROR(__xludf.DUMMYFUNCTION("""COMPUTED_VALUE"""),45638.0)</f>
        <v>45638</v>
      </c>
      <c r="C10842" s="266" t="str">
        <f>IFERROR(__xludf.DUMMYFUNCTION("""COMPUTED_VALUE"""),"KYAI KONTONG")</f>
        <v>KYAI KONTONG</v>
      </c>
      <c r="D10842" s="186">
        <f>IFERROR(__xludf.DUMMYFUNCTION("""COMPUTED_VALUE"""),1.0)</f>
        <v>1</v>
      </c>
    </row>
    <row r="10843">
      <c r="A10843" s="178" t="str">
        <f>IFERROR(__xludf.DUMMYFUNCTION("""COMPUTED_VALUE"""),"ITBISA-SERVO-SG90-180DEG")</f>
        <v>ITBISA-SERVO-SG90-180DEG</v>
      </c>
      <c r="B10843" s="266">
        <f>IFERROR(__xludf.DUMMYFUNCTION("""COMPUTED_VALUE"""),45638.0)</f>
        <v>45638</v>
      </c>
      <c r="C10843" s="266" t="str">
        <f>IFERROR(__xludf.DUMMYFUNCTION("""COMPUTED_VALUE"""),"KYAI KONTONG")</f>
        <v>KYAI KONTONG</v>
      </c>
      <c r="D10843" s="186">
        <f>IFERROR(__xludf.DUMMYFUNCTION("""COMPUTED_VALUE"""),1.0)</f>
        <v>1</v>
      </c>
    </row>
    <row r="10844">
      <c r="A10844" s="178" t="str">
        <f>IFERROR(__xludf.DUMMYFUNCTION("""COMPUTED_VALUE"""),"ITBISA-SERVO-SG90-180DEG")</f>
        <v>ITBISA-SERVO-SG90-180DEG</v>
      </c>
      <c r="B10844" s="266">
        <f>IFERROR(__xludf.DUMMYFUNCTION("""COMPUTED_VALUE"""),45638.0)</f>
        <v>45638</v>
      </c>
      <c r="C10844" s="266" t="str">
        <f>IFERROR(__xludf.DUMMYFUNCTION("""COMPUTED_VALUE"""),"KYAI KONTONG")</f>
        <v>KYAI KONTONG</v>
      </c>
      <c r="D10844" s="186">
        <f>IFERROR(__xludf.DUMMYFUNCTION("""COMPUTED_VALUE"""),1.0)</f>
        <v>1</v>
      </c>
    </row>
    <row r="10845">
      <c r="A10845" s="178" t="str">
        <f>IFERROR(__xludf.DUMMYFUNCTION("""COMPUTED_VALUE"""),"ITBISA-SERVO-SG90-180DEG")</f>
        <v>ITBISA-SERVO-SG90-180DEG</v>
      </c>
      <c r="B10845" s="266">
        <f>IFERROR(__xludf.DUMMYFUNCTION("""COMPUTED_VALUE"""),45638.0)</f>
        <v>45638</v>
      </c>
      <c r="C10845" s="266" t="str">
        <f>IFERROR(__xludf.DUMMYFUNCTION("""COMPUTED_VALUE"""),"KYAI KONTONG")</f>
        <v>KYAI KONTONG</v>
      </c>
      <c r="D10845" s="186">
        <f>IFERROR(__xludf.DUMMYFUNCTION("""COMPUTED_VALUE"""),15.0)</f>
        <v>15</v>
      </c>
    </row>
    <row r="10846">
      <c r="A10846" s="178" t="str">
        <f>IFERROR(__xludf.DUMMYFUNCTION("""COMPUTED_VALUE"""),"ITBISA-SERVO-SG90-180DEG")</f>
        <v>ITBISA-SERVO-SG90-180DEG</v>
      </c>
      <c r="B10846" s="266">
        <f>IFERROR(__xludf.DUMMYFUNCTION("""COMPUTED_VALUE"""),45639.0)</f>
        <v>45639</v>
      </c>
      <c r="C10846" s="266" t="str">
        <f>IFERROR(__xludf.DUMMYFUNCTION("""COMPUTED_VALUE"""),"KERTASARI CIAMIS")</f>
        <v>KERTASARI CIAMIS</v>
      </c>
      <c r="D10846" s="186">
        <f>IFERROR(__xludf.DUMMYFUNCTION("""COMPUTED_VALUE"""),21.0)</f>
        <v>21</v>
      </c>
    </row>
    <row r="10847">
      <c r="A10847" s="178" t="str">
        <f>IFERROR(__xludf.DUMMYFUNCTION("""COMPUTED_VALUE"""),"ITBISA-SERVO-SG90-180DEG")</f>
        <v>ITBISA-SERVO-SG90-180DEG</v>
      </c>
      <c r="B10847" s="266">
        <f>IFERROR(__xludf.DUMMYFUNCTION("""COMPUTED_VALUE"""),45639.0)</f>
        <v>45639</v>
      </c>
      <c r="C10847" s="266" t="str">
        <f>IFERROR(__xludf.DUMMYFUNCTION("""COMPUTED_VALUE"""),"KYAI KONTONG")</f>
        <v>KYAI KONTONG</v>
      </c>
      <c r="D10847" s="186">
        <f>IFERROR(__xludf.DUMMYFUNCTION("""COMPUTED_VALUE"""),1.0)</f>
        <v>1</v>
      </c>
    </row>
    <row r="10848">
      <c r="A10848" s="178" t="str">
        <f>IFERROR(__xludf.DUMMYFUNCTION("""COMPUTED_VALUE"""),"ITBISA-SERVO-SG90-180DEG")</f>
        <v>ITBISA-SERVO-SG90-180DEG</v>
      </c>
      <c r="B10848" s="266">
        <f>IFERROR(__xludf.DUMMYFUNCTION("""COMPUTED_VALUE"""),45639.0)</f>
        <v>45639</v>
      </c>
      <c r="C10848" s="266" t="str">
        <f>IFERROR(__xludf.DUMMYFUNCTION("""COMPUTED_VALUE"""),"KYAI KONTONG")</f>
        <v>KYAI KONTONG</v>
      </c>
      <c r="D10848" s="186">
        <f>IFERROR(__xludf.DUMMYFUNCTION("""COMPUTED_VALUE"""),2.0)</f>
        <v>2</v>
      </c>
    </row>
    <row r="10849">
      <c r="A10849" s="178" t="str">
        <f>IFERROR(__xludf.DUMMYFUNCTION("""COMPUTED_VALUE"""),"ITBISA-SERVO-SG90-180DEG")</f>
        <v>ITBISA-SERVO-SG90-180DEG</v>
      </c>
      <c r="B10849" s="266">
        <f>IFERROR(__xludf.DUMMYFUNCTION("""COMPUTED_VALUE"""),45645.0)</f>
        <v>45645</v>
      </c>
      <c r="C10849" s="266" t="str">
        <f>IFERROR(__xludf.DUMMYFUNCTION("""COMPUTED_VALUE"""),"KYAI KONTONG")</f>
        <v>KYAI KONTONG</v>
      </c>
      <c r="D10849" s="186">
        <f>IFERROR(__xludf.DUMMYFUNCTION("""COMPUTED_VALUE"""),1.0)</f>
        <v>1</v>
      </c>
    </row>
    <row r="10850">
      <c r="A10850" s="178" t="str">
        <f>IFERROR(__xludf.DUMMYFUNCTION("""COMPUTED_VALUE"""),"ITBISA-SERVO-SG90-180DEG")</f>
        <v>ITBISA-SERVO-SG90-180DEG</v>
      </c>
      <c r="B10850" s="266">
        <f>IFERROR(__xludf.DUMMYFUNCTION("""COMPUTED_VALUE"""),45646.0)</f>
        <v>45646</v>
      </c>
      <c r="C10850" s="266" t="str">
        <f>IFERROR(__xludf.DUMMYFUNCTION("""COMPUTED_VALUE"""),"KYAI KONTONG")</f>
        <v>KYAI KONTONG</v>
      </c>
      <c r="D10850" s="186">
        <f>IFERROR(__xludf.DUMMYFUNCTION("""COMPUTED_VALUE"""),1.0)</f>
        <v>1</v>
      </c>
    </row>
    <row r="10851">
      <c r="A10851" s="178" t="str">
        <f>IFERROR(__xludf.DUMMYFUNCTION("""COMPUTED_VALUE"""),"ITBISA-SERVO-SG90-180DEG")</f>
        <v>ITBISA-SERVO-SG90-180DEG</v>
      </c>
      <c r="B10851" s="266">
        <f>IFERROR(__xludf.DUMMYFUNCTION("""COMPUTED_VALUE"""),45647.0)</f>
        <v>45647</v>
      </c>
      <c r="C10851" s="266" t="str">
        <f>IFERROR(__xludf.DUMMYFUNCTION("""COMPUTED_VALUE"""),"KYAI KONTONG")</f>
        <v>KYAI KONTONG</v>
      </c>
      <c r="D10851" s="186">
        <f>IFERROR(__xludf.DUMMYFUNCTION("""COMPUTED_VALUE"""),1.0)</f>
        <v>1</v>
      </c>
    </row>
    <row r="10852">
      <c r="A10852" s="178" t="str">
        <f>IFERROR(__xludf.DUMMYFUNCTION("""COMPUTED_VALUE"""),"ITBISA-SERVO-SG90-180DEG")</f>
        <v>ITBISA-SERVO-SG90-180DEG</v>
      </c>
      <c r="B10852" s="266">
        <f>IFERROR(__xludf.DUMMYFUNCTION("""COMPUTED_VALUE"""),45649.0)</f>
        <v>45649</v>
      </c>
      <c r="C10852" s="266" t="str">
        <f>IFERROR(__xludf.DUMMYFUNCTION("""COMPUTED_VALUE"""),"KERTASARI CIAMIS")</f>
        <v>KERTASARI CIAMIS</v>
      </c>
      <c r="D10852" s="186">
        <f>IFERROR(__xludf.DUMMYFUNCTION("""COMPUTED_VALUE"""),10.0)</f>
        <v>10</v>
      </c>
    </row>
    <row r="10853">
      <c r="A10853" s="178" t="str">
        <f>IFERROR(__xludf.DUMMYFUNCTION("""COMPUTED_VALUE"""),"ITBISA-SERVO-SG90-180DEG")</f>
        <v>ITBISA-SERVO-SG90-180DEG</v>
      </c>
      <c r="B10853" s="266">
        <f>IFERROR(__xludf.DUMMYFUNCTION("""COMPUTED_VALUE"""),45650.0)</f>
        <v>45650</v>
      </c>
      <c r="C10853" s="266" t="str">
        <f>IFERROR(__xludf.DUMMYFUNCTION("""COMPUTED_VALUE"""),"KYAI KONTONG")</f>
        <v>KYAI KONTONG</v>
      </c>
      <c r="D10853" s="186">
        <f>IFERROR(__xludf.DUMMYFUNCTION("""COMPUTED_VALUE"""),1.0)</f>
        <v>1</v>
      </c>
    </row>
    <row r="10854">
      <c r="A10854" s="178" t="str">
        <f>IFERROR(__xludf.DUMMYFUNCTION("""COMPUTED_VALUE"""),"ITBISA-SERVO-SG90-180DEG")</f>
        <v>ITBISA-SERVO-SG90-180DEG</v>
      </c>
      <c r="B10854" s="266">
        <f>IFERROR(__xludf.DUMMYFUNCTION("""COMPUTED_VALUE"""),45653.0)</f>
        <v>45653</v>
      </c>
      <c r="C10854" s="266" t="str">
        <f>IFERROR(__xludf.DUMMYFUNCTION("""COMPUTED_VALUE"""),"KYAI KONTONG")</f>
        <v>KYAI KONTONG</v>
      </c>
      <c r="D10854" s="186">
        <f>IFERROR(__xludf.DUMMYFUNCTION("""COMPUTED_VALUE"""),3.0)</f>
        <v>3</v>
      </c>
    </row>
    <row r="10855">
      <c r="A10855" s="178" t="str">
        <f>IFERROR(__xludf.DUMMYFUNCTION("""COMPUTED_VALUE"""),"ITBISA-SERVO-SG90-180DEG")</f>
        <v>ITBISA-SERVO-SG90-180DEG</v>
      </c>
      <c r="B10855" s="266">
        <f>IFERROR(__xludf.DUMMYFUNCTION("""COMPUTED_VALUE"""),45664.0)</f>
        <v>45664</v>
      </c>
      <c r="C10855" s="266" t="str">
        <f>IFERROR(__xludf.DUMMYFUNCTION("""COMPUTED_VALUE"""),"KYAI KONTONG")</f>
        <v>KYAI KONTONG</v>
      </c>
      <c r="D10855" s="186">
        <f>IFERROR(__xludf.DUMMYFUNCTION("""COMPUTED_VALUE"""),1.0)</f>
        <v>1</v>
      </c>
    </row>
    <row r="10856">
      <c r="A10856" s="178" t="str">
        <f>IFERROR(__xludf.DUMMYFUNCTION("""COMPUTED_VALUE"""),"ITBISA-SERVO-SG90-180DEG")</f>
        <v>ITBISA-SERVO-SG90-180DEG</v>
      </c>
      <c r="B10856" s="266">
        <f>IFERROR(__xludf.DUMMYFUNCTION("""COMPUTED_VALUE"""),45668.0)</f>
        <v>45668</v>
      </c>
      <c r="C10856" s="266" t="str">
        <f>IFERROR(__xludf.DUMMYFUNCTION("""COMPUTED_VALUE"""),"KYAI KONTONG")</f>
        <v>KYAI KONTONG</v>
      </c>
      <c r="D10856" s="186">
        <f>IFERROR(__xludf.DUMMYFUNCTION("""COMPUTED_VALUE"""),1.0)</f>
        <v>1</v>
      </c>
    </row>
    <row r="10857">
      <c r="A10857" s="178" t="str">
        <f>IFERROR(__xludf.DUMMYFUNCTION("""COMPUTED_VALUE"""),"ITBISA-SERVO-SG90-180DEG")</f>
        <v>ITBISA-SERVO-SG90-180DEG</v>
      </c>
      <c r="B10857" s="266">
        <f>IFERROR(__xludf.DUMMYFUNCTION("""COMPUTED_VALUE"""),45669.0)</f>
        <v>45669</v>
      </c>
      <c r="C10857" s="266" t="str">
        <f>IFERROR(__xludf.DUMMYFUNCTION("""COMPUTED_VALUE"""),"KERTASARI CIAMIS")</f>
        <v>KERTASARI CIAMIS</v>
      </c>
      <c r="D10857" s="186">
        <f>IFERROR(__xludf.DUMMYFUNCTION("""COMPUTED_VALUE"""),2.0)</f>
        <v>2</v>
      </c>
    </row>
    <row r="10858">
      <c r="A10858" s="178" t="str">
        <f>IFERROR(__xludf.DUMMYFUNCTION("""COMPUTED_VALUE"""),"ITBISA-SERVO-SG90-180DEG")</f>
        <v>ITBISA-SERVO-SG90-180DEG</v>
      </c>
      <c r="B10858" s="266">
        <f>IFERROR(__xludf.DUMMYFUNCTION("""COMPUTED_VALUE"""),45669.0)</f>
        <v>45669</v>
      </c>
      <c r="C10858" s="266" t="str">
        <f>IFERROR(__xludf.DUMMYFUNCTION("""COMPUTED_VALUE"""),"KERTASARI CIAMIS")</f>
        <v>KERTASARI CIAMIS</v>
      </c>
      <c r="D10858" s="186">
        <f>IFERROR(__xludf.DUMMYFUNCTION("""COMPUTED_VALUE"""),25.0)</f>
        <v>25</v>
      </c>
    </row>
    <row r="10859">
      <c r="A10859" s="178" t="str">
        <f>IFERROR(__xludf.DUMMYFUNCTION("""COMPUTED_VALUE"""),"ITBISA-SERVO-SG90-180DEG")</f>
        <v>ITBISA-SERVO-SG90-180DEG</v>
      </c>
      <c r="B10859" s="266">
        <f>IFERROR(__xludf.DUMMYFUNCTION("""COMPUTED_VALUE"""),45672.0)</f>
        <v>45672</v>
      </c>
      <c r="C10859" s="266" t="str">
        <f>IFERROR(__xludf.DUMMYFUNCTION("""COMPUTED_VALUE"""),"KYAI KONTONG")</f>
        <v>KYAI KONTONG</v>
      </c>
      <c r="D10859" s="186">
        <f>IFERROR(__xludf.DUMMYFUNCTION("""COMPUTED_VALUE"""),1.0)</f>
        <v>1</v>
      </c>
    </row>
    <row r="10860">
      <c r="A10860" s="178" t="str">
        <f>IFERROR(__xludf.DUMMYFUNCTION("""COMPUTED_VALUE"""),"ITBISA-SERVO-SG90-180DEG")</f>
        <v>ITBISA-SERVO-SG90-180DEG</v>
      </c>
      <c r="B10860" s="266">
        <f>IFERROR(__xludf.DUMMYFUNCTION("""COMPUTED_VALUE"""),45674.0)</f>
        <v>45674</v>
      </c>
      <c r="C10860" s="266" t="str">
        <f>IFERROR(__xludf.DUMMYFUNCTION("""COMPUTED_VALUE"""),"KYAI KONTONG")</f>
        <v>KYAI KONTONG</v>
      </c>
      <c r="D10860" s="186">
        <f>IFERROR(__xludf.DUMMYFUNCTION("""COMPUTED_VALUE"""),1.0)</f>
        <v>1</v>
      </c>
    </row>
    <row r="10861">
      <c r="A10861" s="178" t="str">
        <f>IFERROR(__xludf.DUMMYFUNCTION("""COMPUTED_VALUE"""),"ITBISA-SERVO-SG90-180DEG")</f>
        <v>ITBISA-SERVO-SG90-180DEG</v>
      </c>
      <c r="B10861" s="266">
        <f>IFERROR(__xludf.DUMMYFUNCTION("""COMPUTED_VALUE"""),45676.0)</f>
        <v>45676</v>
      </c>
      <c r="C10861" s="266" t="str">
        <f>IFERROR(__xludf.DUMMYFUNCTION("""COMPUTED_VALUE"""),"KYAI KONTONG")</f>
        <v>KYAI KONTONG</v>
      </c>
      <c r="D10861" s="186">
        <f>IFERROR(__xludf.DUMMYFUNCTION("""COMPUTED_VALUE"""),2.0)</f>
        <v>2</v>
      </c>
    </row>
    <row r="10862">
      <c r="A10862" s="178" t="str">
        <f>IFERROR(__xludf.DUMMYFUNCTION("""COMPUTED_VALUE"""),"ITBISA-SERVO-SG90-180DEG")</f>
        <v>ITBISA-SERVO-SG90-180DEG</v>
      </c>
      <c r="B10862" s="266">
        <f>IFERROR(__xludf.DUMMYFUNCTION("""COMPUTED_VALUE"""),45677.0)</f>
        <v>45677</v>
      </c>
      <c r="C10862" s="266" t="str">
        <f>IFERROR(__xludf.DUMMYFUNCTION("""COMPUTED_VALUE"""),"KYAI KONTONG")</f>
        <v>KYAI KONTONG</v>
      </c>
      <c r="D10862" s="186">
        <f>IFERROR(__xludf.DUMMYFUNCTION("""COMPUTED_VALUE"""),1.0)</f>
        <v>1</v>
      </c>
    </row>
    <row r="10863">
      <c r="A10863" s="178" t="str">
        <f>IFERROR(__xludf.DUMMYFUNCTION("""COMPUTED_VALUE"""),"ITBISA-SERVO-SG90-180DEG")</f>
        <v>ITBISA-SERVO-SG90-180DEG</v>
      </c>
      <c r="B10863" s="266">
        <f>IFERROR(__xludf.DUMMYFUNCTION("""COMPUTED_VALUE"""),45677.0)</f>
        <v>45677</v>
      </c>
      <c r="C10863" s="266" t="str">
        <f>IFERROR(__xludf.DUMMYFUNCTION("""COMPUTED_VALUE"""),"KYAI KONTONG")</f>
        <v>KYAI KONTONG</v>
      </c>
      <c r="D10863" s="186">
        <f>IFERROR(__xludf.DUMMYFUNCTION("""COMPUTED_VALUE"""),2.0)</f>
        <v>2</v>
      </c>
    </row>
    <row r="10864">
      <c r="A10864" s="178" t="str">
        <f>IFERROR(__xludf.DUMMYFUNCTION("""COMPUTED_VALUE"""),"ITBISA-SERVO-SG90-180DEG")</f>
        <v>ITBISA-SERVO-SG90-180DEG</v>
      </c>
      <c r="B10864" s="266">
        <f>IFERROR(__xludf.DUMMYFUNCTION("""COMPUTED_VALUE"""),45678.0)</f>
        <v>45678</v>
      </c>
      <c r="C10864" s="266" t="str">
        <f>IFERROR(__xludf.DUMMYFUNCTION("""COMPUTED_VALUE"""),"KYAI KONTONG")</f>
        <v>KYAI KONTONG</v>
      </c>
      <c r="D10864" s="186">
        <f>IFERROR(__xludf.DUMMYFUNCTION("""COMPUTED_VALUE"""),1.0)</f>
        <v>1</v>
      </c>
    </row>
    <row r="10865">
      <c r="A10865" s="178" t="str">
        <f>IFERROR(__xludf.DUMMYFUNCTION("""COMPUTED_VALUE"""),"ITBISA-SERVO-SG90-180DEG")</f>
        <v>ITBISA-SERVO-SG90-180DEG</v>
      </c>
      <c r="B10865" s="266">
        <f>IFERROR(__xludf.DUMMYFUNCTION("""COMPUTED_VALUE"""),45678.0)</f>
        <v>45678</v>
      </c>
      <c r="C10865" s="266" t="str">
        <f>IFERROR(__xludf.DUMMYFUNCTION("""COMPUTED_VALUE"""),"KYAI KONTONG")</f>
        <v>KYAI KONTONG</v>
      </c>
      <c r="D10865" s="186">
        <f>IFERROR(__xludf.DUMMYFUNCTION("""COMPUTED_VALUE"""),5.0)</f>
        <v>5</v>
      </c>
    </row>
    <row r="10866">
      <c r="A10866" s="178" t="str">
        <f>IFERROR(__xludf.DUMMYFUNCTION("""COMPUTED_VALUE"""),"ITBISA-SERVO-SG90-180DEG")</f>
        <v>ITBISA-SERVO-SG90-180DEG</v>
      </c>
      <c r="B10866" s="266">
        <f>IFERROR(__xludf.DUMMYFUNCTION("""COMPUTED_VALUE"""),45684.0)</f>
        <v>45684</v>
      </c>
      <c r="C10866" s="266" t="str">
        <f>IFERROR(__xludf.DUMMYFUNCTION("""COMPUTED_VALUE"""),"KERTASARI CIAMIS")</f>
        <v>KERTASARI CIAMIS</v>
      </c>
      <c r="D10866" s="186">
        <f>IFERROR(__xludf.DUMMYFUNCTION("""COMPUTED_VALUE"""),20.0)</f>
        <v>20</v>
      </c>
    </row>
    <row r="10867">
      <c r="A10867" s="178" t="str">
        <f>IFERROR(__xludf.DUMMYFUNCTION("""COMPUTED_VALUE"""),"ITBISA-SERVO-SG90-180DEG")</f>
        <v>ITBISA-SERVO-SG90-180DEG</v>
      </c>
      <c r="B10867" s="266">
        <f>IFERROR(__xludf.DUMMYFUNCTION("""COMPUTED_VALUE"""),45684.0)</f>
        <v>45684</v>
      </c>
      <c r="C10867" s="266" t="str">
        <f>IFERROR(__xludf.DUMMYFUNCTION("""COMPUTED_VALUE"""),"KYAI KONTONG")</f>
        <v>KYAI KONTONG</v>
      </c>
      <c r="D10867" s="186">
        <f>IFERROR(__xludf.DUMMYFUNCTION("""COMPUTED_VALUE"""),2.0)</f>
        <v>2</v>
      </c>
    </row>
    <row r="10868">
      <c r="A10868" s="178" t="str">
        <f>IFERROR(__xludf.DUMMYFUNCTION("""COMPUTED_VALUE"""),"ITBISA-SERVO-SG90-180DEG")</f>
        <v>ITBISA-SERVO-SG90-180DEG</v>
      </c>
      <c r="B10868" s="266">
        <f>IFERROR(__xludf.DUMMYFUNCTION("""COMPUTED_VALUE"""),45687.0)</f>
        <v>45687</v>
      </c>
      <c r="C10868" s="266" t="str">
        <f>IFERROR(__xludf.DUMMYFUNCTION("""COMPUTED_VALUE"""),"KYAI KONTONG")</f>
        <v>KYAI KONTONG</v>
      </c>
      <c r="D10868" s="186">
        <f>IFERROR(__xludf.DUMMYFUNCTION("""COMPUTED_VALUE"""),1.0)</f>
        <v>1</v>
      </c>
    </row>
    <row r="10869">
      <c r="A10869" s="178" t="str">
        <f>IFERROR(__xludf.DUMMYFUNCTION("""COMPUTED_VALUE"""),"ITBISA-SERVO-SG90-180DEG")</f>
        <v>ITBISA-SERVO-SG90-180DEG</v>
      </c>
      <c r="B10869" s="266">
        <f>IFERROR(__xludf.DUMMYFUNCTION("""COMPUTED_VALUE"""),45692.0)</f>
        <v>45692</v>
      </c>
      <c r="C10869" s="266" t="str">
        <f>IFERROR(__xludf.DUMMYFUNCTION("""COMPUTED_VALUE"""),"KYAI KONTONG")</f>
        <v>KYAI KONTONG</v>
      </c>
      <c r="D10869" s="186">
        <f>IFERROR(__xludf.DUMMYFUNCTION("""COMPUTED_VALUE"""),3.0)</f>
        <v>3</v>
      </c>
    </row>
    <row r="10870">
      <c r="A10870" s="178" t="str">
        <f>IFERROR(__xludf.DUMMYFUNCTION("""COMPUTED_VALUE"""),"ITBISA-SERVO-SG90-180DEG")</f>
        <v>ITBISA-SERVO-SG90-180DEG</v>
      </c>
      <c r="B10870" s="266">
        <f>IFERROR(__xludf.DUMMYFUNCTION("""COMPUTED_VALUE"""),45693.0)</f>
        <v>45693</v>
      </c>
      <c r="C10870" s="266" t="str">
        <f>IFERROR(__xludf.DUMMYFUNCTION("""COMPUTED_VALUE"""),"KYAI KONTONG")</f>
        <v>KYAI KONTONG</v>
      </c>
      <c r="D10870" s="186">
        <f>IFERROR(__xludf.DUMMYFUNCTION("""COMPUTED_VALUE"""),50.0)</f>
        <v>50</v>
      </c>
    </row>
    <row r="10871">
      <c r="A10871" s="178" t="str">
        <f>IFERROR(__xludf.DUMMYFUNCTION("""COMPUTED_VALUE"""),"ITBISA-SERVO-SG90-180DEG")</f>
        <v>ITBISA-SERVO-SG90-180DEG</v>
      </c>
      <c r="B10871" s="266">
        <f>IFERROR(__xludf.DUMMYFUNCTION("""COMPUTED_VALUE"""),45694.0)</f>
        <v>45694</v>
      </c>
      <c r="C10871" s="266" t="str">
        <f>IFERROR(__xludf.DUMMYFUNCTION("""COMPUTED_VALUE"""),"KYAI KONTONG")</f>
        <v>KYAI KONTONG</v>
      </c>
      <c r="D10871" s="186">
        <f>IFERROR(__xludf.DUMMYFUNCTION("""COMPUTED_VALUE"""),2.0)</f>
        <v>2</v>
      </c>
    </row>
    <row r="10872">
      <c r="A10872" s="178" t="str">
        <f>IFERROR(__xludf.DUMMYFUNCTION("""COMPUTED_VALUE"""),"ITBISA-SERVO-SG90-180DEG")</f>
        <v>ITBISA-SERVO-SG90-180DEG</v>
      </c>
      <c r="B10872" s="266">
        <f>IFERROR(__xludf.DUMMYFUNCTION("""COMPUTED_VALUE"""),45698.0)</f>
        <v>45698</v>
      </c>
      <c r="C10872" s="266" t="str">
        <f>IFERROR(__xludf.DUMMYFUNCTION("""COMPUTED_VALUE"""),"KYAI KONTONG")</f>
        <v>KYAI KONTONG</v>
      </c>
      <c r="D10872" s="186">
        <f>IFERROR(__xludf.DUMMYFUNCTION("""COMPUTED_VALUE"""),2.0)</f>
        <v>2</v>
      </c>
    </row>
    <row r="10873">
      <c r="A10873" s="178" t="str">
        <f>IFERROR(__xludf.DUMMYFUNCTION("""COMPUTED_VALUE"""),"ITBISA-SERVO-SG90-180DEG")</f>
        <v>ITBISA-SERVO-SG90-180DEG</v>
      </c>
      <c r="B10873" s="266">
        <f>IFERROR(__xludf.DUMMYFUNCTION("""COMPUTED_VALUE"""),45718.0)</f>
        <v>45718</v>
      </c>
      <c r="C10873" s="266" t="str">
        <f>IFERROR(__xludf.DUMMYFUNCTION("""COMPUTED_VALUE"""),"KYAI KONTONG")</f>
        <v>KYAI KONTONG</v>
      </c>
      <c r="D10873" s="186">
        <f>IFERROR(__xludf.DUMMYFUNCTION("""COMPUTED_VALUE"""),1.0)</f>
        <v>1</v>
      </c>
    </row>
    <row r="10874">
      <c r="A10874" s="178" t="str">
        <f>IFERROR(__xludf.DUMMYFUNCTION("""COMPUTED_VALUE"""),"ITBISA-SERVO-SG90-180DEG")</f>
        <v>ITBISA-SERVO-SG90-180DEG</v>
      </c>
      <c r="B10874" s="266">
        <f>IFERROR(__xludf.DUMMYFUNCTION("""COMPUTED_VALUE"""),45751.0)</f>
        <v>45751</v>
      </c>
      <c r="C10874" s="266" t="str">
        <f>IFERROR(__xludf.DUMMYFUNCTION("""COMPUTED_VALUE"""),"KERTASARI CIAMIS")</f>
        <v>KERTASARI CIAMIS</v>
      </c>
      <c r="D10874" s="186">
        <f>IFERROR(__xludf.DUMMYFUNCTION("""COMPUTED_VALUE"""),2.0)</f>
        <v>2</v>
      </c>
    </row>
    <row r="10875">
      <c r="A10875" s="178" t="str">
        <f>IFERROR(__xludf.DUMMYFUNCTION("""COMPUTED_VALUE"""),"ITBISA-SERVO-SG90-180DEG")</f>
        <v>ITBISA-SERVO-SG90-180DEG</v>
      </c>
      <c r="B10875" s="266">
        <f>IFERROR(__xludf.DUMMYFUNCTION("""COMPUTED_VALUE"""),45767.0)</f>
        <v>45767</v>
      </c>
      <c r="C10875" s="266" t="str">
        <f>IFERROR(__xludf.DUMMYFUNCTION("""COMPUTED_VALUE"""),"KYAI KONTONG")</f>
        <v>KYAI KONTONG</v>
      </c>
      <c r="D10875" s="186">
        <f>IFERROR(__xludf.DUMMYFUNCTION("""COMPUTED_VALUE"""),1.0)</f>
        <v>1</v>
      </c>
    </row>
    <row r="10876">
      <c r="A10876" s="178" t="str">
        <f>IFERROR(__xludf.DUMMYFUNCTION("""COMPUTED_VALUE"""),"ITBISA-SERVO-SG90-180DEG")</f>
        <v>ITBISA-SERVO-SG90-180DEG</v>
      </c>
      <c r="B10876" s="266">
        <f>IFERROR(__xludf.DUMMYFUNCTION("""COMPUTED_VALUE"""),45768.0)</f>
        <v>45768</v>
      </c>
      <c r="C10876" s="266" t="str">
        <f>IFERROR(__xludf.DUMMYFUNCTION("""COMPUTED_VALUE"""),"KERTASARI CIAMIS")</f>
        <v>KERTASARI CIAMIS</v>
      </c>
      <c r="D10876" s="186">
        <f>IFERROR(__xludf.DUMMYFUNCTION("""COMPUTED_VALUE"""),1.0)</f>
        <v>1</v>
      </c>
    </row>
    <row r="10877">
      <c r="A10877" s="178" t="str">
        <f>IFERROR(__xludf.DUMMYFUNCTION("""COMPUTED_VALUE"""),"ITBISA-SERVO-SG90-180DEG")</f>
        <v>ITBISA-SERVO-SG90-180DEG</v>
      </c>
      <c r="B10877" s="266">
        <f>IFERROR(__xludf.DUMMYFUNCTION("""COMPUTED_VALUE"""),45771.0)</f>
        <v>45771</v>
      </c>
      <c r="C10877" s="266" t="str">
        <f>IFERROR(__xludf.DUMMYFUNCTION("""COMPUTED_VALUE"""),"KYAI KONTONG")</f>
        <v>KYAI KONTONG</v>
      </c>
      <c r="D10877" s="186">
        <f>IFERROR(__xludf.DUMMYFUNCTION("""COMPUTED_VALUE"""),1.0)</f>
        <v>1</v>
      </c>
    </row>
    <row r="10878">
      <c r="A10878" s="178" t="str">
        <f>IFERROR(__xludf.DUMMYFUNCTION("""COMPUTED_VALUE"""),"ITBISA-SERVO-SG90-180DEG")</f>
        <v>ITBISA-SERVO-SG90-180DEG</v>
      </c>
      <c r="B10878" s="266">
        <f>IFERROR(__xludf.DUMMYFUNCTION("""COMPUTED_VALUE"""),45775.0)</f>
        <v>45775</v>
      </c>
      <c r="C10878" s="266" t="str">
        <f>IFERROR(__xludf.DUMMYFUNCTION("""COMPUTED_VALUE"""),"KYAI KONTONG")</f>
        <v>KYAI KONTONG</v>
      </c>
      <c r="D10878" s="186">
        <f>IFERROR(__xludf.DUMMYFUNCTION("""COMPUTED_VALUE"""),1.0)</f>
        <v>1</v>
      </c>
    </row>
    <row r="10879">
      <c r="A10879" s="178" t="str">
        <f>IFERROR(__xludf.DUMMYFUNCTION("""COMPUTED_VALUE"""),"ITBISA-SERVO-SG90-180DEG")</f>
        <v>ITBISA-SERVO-SG90-180DEG</v>
      </c>
      <c r="B10879" s="266">
        <f>IFERROR(__xludf.DUMMYFUNCTION("""COMPUTED_VALUE"""),45776.0)</f>
        <v>45776</v>
      </c>
      <c r="C10879" s="266" t="str">
        <f>IFERROR(__xludf.DUMMYFUNCTION("""COMPUTED_VALUE"""),"KYAI KONTONG")</f>
        <v>KYAI KONTONG</v>
      </c>
      <c r="D10879" s="186">
        <f>IFERROR(__xludf.DUMMYFUNCTION("""COMPUTED_VALUE"""),1.0)</f>
        <v>1</v>
      </c>
    </row>
    <row r="10880">
      <c r="A10880" s="178" t="str">
        <f>IFERROR(__xludf.DUMMYFUNCTION("""COMPUTED_VALUE"""),"ITBISA-SERVO-SG90-180DEG")</f>
        <v>ITBISA-SERVO-SG90-180DEG</v>
      </c>
      <c r="B10880" s="266">
        <f>IFERROR(__xludf.DUMMYFUNCTION("""COMPUTED_VALUE"""),45795.0)</f>
        <v>45795</v>
      </c>
      <c r="C10880" s="266" t="str">
        <f>IFERROR(__xludf.DUMMYFUNCTION("""COMPUTED_VALUE"""),"KYAI KONTONG")</f>
        <v>KYAI KONTONG</v>
      </c>
      <c r="D10880" s="186">
        <f>IFERROR(__xludf.DUMMYFUNCTION("""COMPUTED_VALUE"""),1.0)</f>
        <v>1</v>
      </c>
    </row>
    <row r="10881">
      <c r="A10881" s="178" t="str">
        <f>IFERROR(__xludf.DUMMYFUNCTION("""COMPUTED_VALUE"""),"ITBISA-SERVO-SG90-180DEG")</f>
        <v>ITBISA-SERVO-SG90-180DEG</v>
      </c>
      <c r="B10881" s="266">
        <f>IFERROR(__xludf.DUMMYFUNCTION("""COMPUTED_VALUE"""),45803.0)</f>
        <v>45803</v>
      </c>
      <c r="C10881" s="266" t="str">
        <f>IFERROR(__xludf.DUMMYFUNCTION("""COMPUTED_VALUE"""),"KYAI KONTONG")</f>
        <v>KYAI KONTONG</v>
      </c>
      <c r="D10881" s="186">
        <f>IFERROR(__xludf.DUMMYFUNCTION("""COMPUTED_VALUE"""),1.0)</f>
        <v>1</v>
      </c>
    </row>
    <row r="10882">
      <c r="A10882" s="178" t="str">
        <f>IFERROR(__xludf.DUMMYFUNCTION("""COMPUTED_VALUE"""),"ITBISA-SERVO-SG90-180DEG")</f>
        <v>ITBISA-SERVO-SG90-180DEG</v>
      </c>
      <c r="B10882" s="266">
        <f>IFERROR(__xludf.DUMMYFUNCTION("""COMPUTED_VALUE"""),45810.0)</f>
        <v>45810</v>
      </c>
      <c r="C10882" s="266" t="str">
        <f>IFERROR(__xludf.DUMMYFUNCTION("""COMPUTED_VALUE"""),"KYAI KONTONG")</f>
        <v>KYAI KONTONG</v>
      </c>
      <c r="D10882" s="186">
        <f>IFERROR(__xludf.DUMMYFUNCTION("""COMPUTED_VALUE"""),6.0)</f>
        <v>6</v>
      </c>
    </row>
    <row r="10883">
      <c r="A10883" s="178" t="str">
        <f>IFERROR(__xludf.DUMMYFUNCTION("""COMPUTED_VALUE"""),"ITBISA-SERVO-SG90-180DEG")</f>
        <v>ITBISA-SERVO-SG90-180DEG</v>
      </c>
      <c r="B10883" s="266">
        <f>IFERROR(__xludf.DUMMYFUNCTION("""COMPUTED_VALUE"""),45831.0)</f>
        <v>45831</v>
      </c>
      <c r="C10883" s="266" t="str">
        <f>IFERROR(__xludf.DUMMYFUNCTION("""COMPUTED_VALUE"""),"KYAI KONTONG")</f>
        <v>KYAI KONTONG</v>
      </c>
      <c r="D10883" s="186">
        <f>IFERROR(__xludf.DUMMYFUNCTION("""COMPUTED_VALUE"""),1.0)</f>
        <v>1</v>
      </c>
    </row>
    <row r="10884">
      <c r="A10884" s="178" t="str">
        <f>IFERROR(__xludf.DUMMYFUNCTION("""COMPUTED_VALUE"""),"ITBISA-SERVO-SG90-180DEG")</f>
        <v>ITBISA-SERVO-SG90-180DEG</v>
      </c>
      <c r="B10884" s="266">
        <f>IFERROR(__xludf.DUMMYFUNCTION("""COMPUTED_VALUE"""),45840.0)</f>
        <v>45840</v>
      </c>
      <c r="C10884" s="266" t="str">
        <f>IFERROR(__xludf.DUMMYFUNCTION("""COMPUTED_VALUE"""),"KERTASARI CIAMIS")</f>
        <v>KERTASARI CIAMIS</v>
      </c>
      <c r="D10884" s="186">
        <f>IFERROR(__xludf.DUMMYFUNCTION("""COMPUTED_VALUE"""),1.0)</f>
        <v>1</v>
      </c>
    </row>
    <row r="10885">
      <c r="A10885" s="178" t="str">
        <f>IFERROR(__xludf.DUMMYFUNCTION("""COMPUTED_VALUE"""),"ITBISA-SERVO-SG90-180DEG")</f>
        <v>ITBISA-SERVO-SG90-180DEG</v>
      </c>
      <c r="B10885" s="266">
        <f>IFERROR(__xludf.DUMMYFUNCTION("""COMPUTED_VALUE"""),45841.0)</f>
        <v>45841</v>
      </c>
      <c r="C10885" s="266" t="str">
        <f>IFERROR(__xludf.DUMMYFUNCTION("""COMPUTED_VALUE"""),"KYAI KONTONG")</f>
        <v>KYAI KONTONG</v>
      </c>
      <c r="D10885" s="186">
        <f>IFERROR(__xludf.DUMMYFUNCTION("""COMPUTED_VALUE"""),1.0)</f>
        <v>1</v>
      </c>
    </row>
    <row r="10886">
      <c r="A10886" s="178" t="str">
        <f>IFERROR(__xludf.DUMMYFUNCTION("""COMPUTED_VALUE"""),"ITBISA-SERVO-SG90-180DEG")</f>
        <v>ITBISA-SERVO-SG90-180DEG</v>
      </c>
      <c r="B10886" s="266">
        <f>IFERROR(__xludf.DUMMYFUNCTION("""COMPUTED_VALUE"""),45849.0)</f>
        <v>45849</v>
      </c>
      <c r="C10886" s="266" t="str">
        <f>IFERROR(__xludf.DUMMYFUNCTION("""COMPUTED_VALUE"""),"KYAI KONTONG")</f>
        <v>KYAI KONTONG</v>
      </c>
      <c r="D10886" s="186">
        <f>IFERROR(__xludf.DUMMYFUNCTION("""COMPUTED_VALUE"""),2.0)</f>
        <v>2</v>
      </c>
    </row>
    <row r="10887">
      <c r="A10887" s="178" t="str">
        <f>IFERROR(__xludf.DUMMYFUNCTION("""COMPUTED_VALUE"""),"ITBISA-SERVO-SG90-180DEG")</f>
        <v>ITBISA-SERVO-SG90-180DEG</v>
      </c>
      <c r="B10887" s="266">
        <f>IFERROR(__xludf.DUMMYFUNCTION("""COMPUTED_VALUE"""),45852.0)</f>
        <v>45852</v>
      </c>
      <c r="C10887" s="266" t="str">
        <f>IFERROR(__xludf.DUMMYFUNCTION("""COMPUTED_VALUE"""),"KYAI KONTONG")</f>
        <v>KYAI KONTONG</v>
      </c>
      <c r="D10887" s="186">
        <f>IFERROR(__xludf.DUMMYFUNCTION("""COMPUTED_VALUE"""),1.0)</f>
        <v>1</v>
      </c>
    </row>
    <row r="10888">
      <c r="A10888" s="178" t="str">
        <f>IFERROR(__xludf.DUMMYFUNCTION("""COMPUTED_VALUE"""),"ITBISA-SERVO-SG90-180DEG")</f>
        <v>ITBISA-SERVO-SG90-180DEG</v>
      </c>
      <c r="B10888" s="266">
        <f>IFERROR(__xludf.DUMMYFUNCTION("""COMPUTED_VALUE"""),45857.0)</f>
        <v>45857</v>
      </c>
      <c r="C10888" s="266" t="str">
        <f>IFERROR(__xludf.DUMMYFUNCTION("""COMPUTED_VALUE"""),"KYAI KONTONG")</f>
        <v>KYAI KONTONG</v>
      </c>
      <c r="D10888" s="186">
        <f>IFERROR(__xludf.DUMMYFUNCTION("""COMPUTED_VALUE"""),1.0)</f>
        <v>1</v>
      </c>
    </row>
    <row r="10889">
      <c r="A10889" s="178" t="str">
        <f>IFERROR(__xludf.DUMMYFUNCTION("""COMPUTED_VALUE"""),"ITBISA-SERVO-SG90-180DEG")</f>
        <v>ITBISA-SERVO-SG90-180DEG</v>
      </c>
      <c r="B10889" s="266">
        <f>IFERROR(__xludf.DUMMYFUNCTION("""COMPUTED_VALUE"""),45870.0)</f>
        <v>45870</v>
      </c>
      <c r="C10889" s="266" t="str">
        <f>IFERROR(__xludf.DUMMYFUNCTION("""COMPUTED_VALUE"""),"KERTASARI CIAMIS")</f>
        <v>KERTASARI CIAMIS</v>
      </c>
      <c r="D10889" s="186">
        <f>IFERROR(__xludf.DUMMYFUNCTION("""COMPUTED_VALUE"""),4.0)</f>
        <v>4</v>
      </c>
    </row>
    <row r="10890">
      <c r="A10890" s="178" t="str">
        <f>IFERROR(__xludf.DUMMYFUNCTION("""COMPUTED_VALUE"""),"ITBISA-SERVO-SG90-180DEG")</f>
        <v>ITBISA-SERVO-SG90-180DEG</v>
      </c>
      <c r="B10890" s="266">
        <f>IFERROR(__xludf.DUMMYFUNCTION("""COMPUTED_VALUE"""),45880.0)</f>
        <v>45880</v>
      </c>
      <c r="C10890" s="266" t="str">
        <f>IFERROR(__xludf.DUMMYFUNCTION("""COMPUTED_VALUE"""),"KYAI KONTONG")</f>
        <v>KYAI KONTONG</v>
      </c>
      <c r="D10890" s="186">
        <f>IFERROR(__xludf.DUMMYFUNCTION("""COMPUTED_VALUE"""),1.0)</f>
        <v>1</v>
      </c>
    </row>
    <row r="10891">
      <c r="A10891" s="178" t="str">
        <f>IFERROR(__xludf.DUMMYFUNCTION("""COMPUTED_VALUE"""),"ITBISA-SERVO-SG90-180DEG")</f>
        <v>ITBISA-SERVO-SG90-180DEG</v>
      </c>
      <c r="B10891" s="266">
        <f>IFERROR(__xludf.DUMMYFUNCTION("""COMPUTED_VALUE"""),45892.0)</f>
        <v>45892</v>
      </c>
      <c r="C10891" s="266" t="str">
        <f>IFERROR(__xludf.DUMMYFUNCTION("""COMPUTED_VALUE"""),"KYAI KONTONG")</f>
        <v>KYAI KONTONG</v>
      </c>
      <c r="D10891" s="186">
        <f>IFERROR(__xludf.DUMMYFUNCTION("""COMPUTED_VALUE"""),1.0)</f>
        <v>1</v>
      </c>
    </row>
    <row r="10892">
      <c r="A10892" s="178" t="str">
        <f>IFERROR(__xludf.DUMMYFUNCTION("""COMPUTED_VALUE"""),"ITBISA-SERVO-SG90-180DEG")</f>
        <v>ITBISA-SERVO-SG90-180DEG</v>
      </c>
      <c r="B10892" s="266">
        <f>IFERROR(__xludf.DUMMYFUNCTION("""COMPUTED_VALUE"""),45902.0)</f>
        <v>45902</v>
      </c>
      <c r="C10892" s="266" t="str">
        <f>IFERROR(__xludf.DUMMYFUNCTION("""COMPUTED_VALUE"""),"KERTASARI CIAMIS")</f>
        <v>KERTASARI CIAMIS</v>
      </c>
      <c r="D10892" s="186">
        <f>IFERROR(__xludf.DUMMYFUNCTION("""COMPUTED_VALUE"""),1.0)</f>
        <v>1</v>
      </c>
    </row>
    <row r="10893">
      <c r="A10893" s="178" t="str">
        <f>IFERROR(__xludf.DUMMYFUNCTION("""COMPUTED_VALUE"""),"ITBISA-SERVO-SG90-180DEG")</f>
        <v>ITBISA-SERVO-SG90-180DEG</v>
      </c>
      <c r="B10893" s="266">
        <f>IFERROR(__xludf.DUMMYFUNCTION("""COMPUTED_VALUE"""),45905.0)</f>
        <v>45905</v>
      </c>
      <c r="C10893" s="266" t="str">
        <f>IFERROR(__xludf.DUMMYFUNCTION("""COMPUTED_VALUE"""),"KERTASARI CIAMIS")</f>
        <v>KERTASARI CIAMIS</v>
      </c>
      <c r="D10893" s="186">
        <f>IFERROR(__xludf.DUMMYFUNCTION("""COMPUTED_VALUE"""),6.0)</f>
        <v>6</v>
      </c>
    </row>
    <row r="10894">
      <c r="A10894" s="178" t="str">
        <f>IFERROR(__xludf.DUMMYFUNCTION("""COMPUTED_VALUE"""),"ITBISA-SERVO-SG90-180DEG")</f>
        <v>ITBISA-SERVO-SG90-180DEG</v>
      </c>
      <c r="B10894" s="266">
        <f>IFERROR(__xludf.DUMMYFUNCTION("""COMPUTED_VALUE"""),45912.0)</f>
        <v>45912</v>
      </c>
      <c r="C10894" s="266" t="str">
        <f>IFERROR(__xludf.DUMMYFUNCTION("""COMPUTED_VALUE"""),"KYAI KONTONG")</f>
        <v>KYAI KONTONG</v>
      </c>
      <c r="D10894" s="186">
        <f>IFERROR(__xludf.DUMMYFUNCTION("""COMPUTED_VALUE"""),1.0)</f>
        <v>1</v>
      </c>
    </row>
    <row r="10895">
      <c r="A10895" s="178" t="str">
        <f>IFERROR(__xludf.DUMMYFUNCTION("""COMPUTED_VALUE"""),"ITBISA-SERVO-SG90-180DEG")</f>
        <v>ITBISA-SERVO-SG90-180DEG</v>
      </c>
      <c r="B10895" s="266">
        <f>IFERROR(__xludf.DUMMYFUNCTION("""COMPUTED_VALUE"""),45912.0)</f>
        <v>45912</v>
      </c>
      <c r="C10895" s="266" t="str">
        <f>IFERROR(__xludf.DUMMYFUNCTION("""COMPUTED_VALUE"""),"KYAI KONTONG")</f>
        <v>KYAI KONTONG</v>
      </c>
      <c r="D10895" s="186">
        <f>IFERROR(__xludf.DUMMYFUNCTION("""COMPUTED_VALUE"""),1.0)</f>
        <v>1</v>
      </c>
    </row>
    <row r="10896">
      <c r="A10896" s="178" t="str">
        <f>IFERROR(__xludf.DUMMYFUNCTION("""COMPUTED_VALUE"""),"ITBISA-SERVO-SG90-180DEG")</f>
        <v>ITBISA-SERVO-SG90-180DEG</v>
      </c>
      <c r="B10896" s="266">
        <f>IFERROR(__xludf.DUMMYFUNCTION("""COMPUTED_VALUE"""),45920.0)</f>
        <v>45920</v>
      </c>
      <c r="C10896" s="266" t="str">
        <f>IFERROR(__xludf.DUMMYFUNCTION("""COMPUTED_VALUE"""),"KYAI KONTONG")</f>
        <v>KYAI KONTONG</v>
      </c>
      <c r="D10896" s="186">
        <f>IFERROR(__xludf.DUMMYFUNCTION("""COMPUTED_VALUE"""),2.0)</f>
        <v>2</v>
      </c>
    </row>
    <row r="10897">
      <c r="A10897" s="178" t="str">
        <f>IFERROR(__xludf.DUMMYFUNCTION("""COMPUTED_VALUE"""),"ITBISA-SERVO-SG90-180DEG")</f>
        <v>ITBISA-SERVO-SG90-180DEG</v>
      </c>
      <c r="B10897" s="266">
        <f>IFERROR(__xludf.DUMMYFUNCTION("""COMPUTED_VALUE"""),45922.0)</f>
        <v>45922</v>
      </c>
      <c r="C10897" s="266" t="str">
        <f>IFERROR(__xludf.DUMMYFUNCTION("""COMPUTED_VALUE"""),"KYAI KONTONG")</f>
        <v>KYAI KONTONG</v>
      </c>
      <c r="D10897" s="186">
        <f>IFERROR(__xludf.DUMMYFUNCTION("""COMPUTED_VALUE"""),2.0)</f>
        <v>2</v>
      </c>
    </row>
    <row r="10898">
      <c r="A10898" s="178" t="str">
        <f>IFERROR(__xludf.DUMMYFUNCTION("""COMPUTED_VALUE"""),"ITBISA-SERVO-SG90-180DEG")</f>
        <v>ITBISA-SERVO-SG90-180DEG</v>
      </c>
      <c r="B10898" s="266">
        <f>IFERROR(__xludf.DUMMYFUNCTION("""COMPUTED_VALUE"""),45926.0)</f>
        <v>45926</v>
      </c>
      <c r="C10898" s="266" t="str">
        <f>IFERROR(__xludf.DUMMYFUNCTION("""COMPUTED_VALUE"""),"KYAI KONTONG")</f>
        <v>KYAI KONTONG</v>
      </c>
      <c r="D10898" s="186">
        <f>IFERROR(__xludf.DUMMYFUNCTION("""COMPUTED_VALUE"""),2.0)</f>
        <v>2</v>
      </c>
    </row>
    <row r="10899">
      <c r="A10899" s="178" t="str">
        <f>IFERROR(__xludf.DUMMYFUNCTION("""COMPUTED_VALUE"""),"ITBISA-SERVO-SG90-180DEG")</f>
        <v>ITBISA-SERVO-SG90-180DEG</v>
      </c>
      <c r="B10899" s="266">
        <f>IFERROR(__xludf.DUMMYFUNCTION("""COMPUTED_VALUE"""),45926.0)</f>
        <v>45926</v>
      </c>
      <c r="C10899" s="266" t="str">
        <f>IFERROR(__xludf.DUMMYFUNCTION("""COMPUTED_VALUE"""),"KYAI KONTONG")</f>
        <v>KYAI KONTONG</v>
      </c>
      <c r="D10899" s="186">
        <f>IFERROR(__xludf.DUMMYFUNCTION("""COMPUTED_VALUE"""),10.0)</f>
        <v>10</v>
      </c>
    </row>
    <row r="10900">
      <c r="A10900" s="178" t="str">
        <f>IFERROR(__xludf.DUMMYFUNCTION("""COMPUTED_VALUE"""),"ITBISA-SERVO-SG90-180DEG")</f>
        <v>ITBISA-SERVO-SG90-180DEG</v>
      </c>
      <c r="B10900" s="266">
        <f>IFERROR(__xludf.DUMMYFUNCTION("""COMPUTED_VALUE"""),45928.0)</f>
        <v>45928</v>
      </c>
      <c r="C10900" s="266" t="str">
        <f>IFERROR(__xludf.DUMMYFUNCTION("""COMPUTED_VALUE"""),"KYAI KONTONG")</f>
        <v>KYAI KONTONG</v>
      </c>
      <c r="D10900" s="186">
        <f>IFERROR(__xludf.DUMMYFUNCTION("""COMPUTED_VALUE"""),2.0)</f>
        <v>2</v>
      </c>
    </row>
    <row r="10901">
      <c r="A10901" s="178" t="str">
        <f>IFERROR(__xludf.DUMMYFUNCTION("""COMPUTED_VALUE"""),"ITBISA-SERVO-SG90-180DEG")</f>
        <v>ITBISA-SERVO-SG90-180DEG</v>
      </c>
      <c r="B10901" s="266">
        <f>IFERROR(__xludf.DUMMYFUNCTION("""COMPUTED_VALUE"""),45930.0)</f>
        <v>45930</v>
      </c>
      <c r="C10901" s="266" t="str">
        <f>IFERROR(__xludf.DUMMYFUNCTION("""COMPUTED_VALUE"""),"KERTASARI CIAMIS")</f>
        <v>KERTASARI CIAMIS</v>
      </c>
      <c r="D10901" s="186">
        <f>IFERROR(__xludf.DUMMYFUNCTION("""COMPUTED_VALUE"""),1.0)</f>
        <v>1</v>
      </c>
    </row>
    <row r="10902">
      <c r="A10902" s="178" t="str">
        <f>IFERROR(__xludf.DUMMYFUNCTION("""COMPUTED_VALUE"""),"ITBISA-SERVO-SG90-180DEG")</f>
        <v>ITBISA-SERVO-SG90-180DEG</v>
      </c>
      <c r="B10902" s="266">
        <f>IFERROR(__xludf.DUMMYFUNCTION("""COMPUTED_VALUE"""),45936.0)</f>
        <v>45936</v>
      </c>
      <c r="C10902" s="266" t="str">
        <f>IFERROR(__xludf.DUMMYFUNCTION("""COMPUTED_VALUE"""),"KYAI KONTONG")</f>
        <v>KYAI KONTONG</v>
      </c>
      <c r="D10902" s="186">
        <f>IFERROR(__xludf.DUMMYFUNCTION("""COMPUTED_VALUE"""),1.0)</f>
        <v>1</v>
      </c>
    </row>
    <row r="10903">
      <c r="A10903" s="178" t="str">
        <f>IFERROR(__xludf.DUMMYFUNCTION("""COMPUTED_VALUE"""),"ITBISA-SERVO-SG90-180DEG")</f>
        <v>ITBISA-SERVO-SG90-180DEG</v>
      </c>
      <c r="B10903" s="266">
        <f>IFERROR(__xludf.DUMMYFUNCTION("""COMPUTED_VALUE"""),45936.0)</f>
        <v>45936</v>
      </c>
      <c r="C10903" s="266" t="str">
        <f>IFERROR(__xludf.DUMMYFUNCTION("""COMPUTED_VALUE"""),"KYAI KONTONG")</f>
        <v>KYAI KONTONG</v>
      </c>
      <c r="D10903" s="186">
        <f>IFERROR(__xludf.DUMMYFUNCTION("""COMPUTED_VALUE"""),2.0)</f>
        <v>2</v>
      </c>
    </row>
    <row r="10904">
      <c r="A10904" s="178" t="str">
        <f>IFERROR(__xludf.DUMMYFUNCTION("""COMPUTED_VALUE"""),"ITBISA-SERVO-SG90-180DEG")</f>
        <v>ITBISA-SERVO-SG90-180DEG</v>
      </c>
      <c r="B10904" s="266">
        <f>IFERROR(__xludf.DUMMYFUNCTION("""COMPUTED_VALUE"""),45937.0)</f>
        <v>45937</v>
      </c>
      <c r="C10904" s="266" t="str">
        <f>IFERROR(__xludf.DUMMYFUNCTION("""COMPUTED_VALUE"""),"KYAI KONTONG")</f>
        <v>KYAI KONTONG</v>
      </c>
      <c r="D10904" s="186">
        <f>IFERROR(__xludf.DUMMYFUNCTION("""COMPUTED_VALUE"""),1.0)</f>
        <v>1</v>
      </c>
    </row>
    <row r="10905">
      <c r="A10905" s="178" t="str">
        <f>IFERROR(__xludf.DUMMYFUNCTION("""COMPUTED_VALUE"""),"ITBISA-SERVO-SG90-180DEG")</f>
        <v>ITBISA-SERVO-SG90-180DEG</v>
      </c>
      <c r="B10905" s="266">
        <f>IFERROR(__xludf.DUMMYFUNCTION("""COMPUTED_VALUE"""),45939.0)</f>
        <v>45939</v>
      </c>
      <c r="C10905" s="266" t="str">
        <f>IFERROR(__xludf.DUMMYFUNCTION("""COMPUTED_VALUE"""),"KYAI KONTONG")</f>
        <v>KYAI KONTONG</v>
      </c>
      <c r="D10905" s="186">
        <f>IFERROR(__xludf.DUMMYFUNCTION("""COMPUTED_VALUE"""),1.0)</f>
        <v>1</v>
      </c>
    </row>
    <row r="10906">
      <c r="A10906" s="178" t="str">
        <f>IFERROR(__xludf.DUMMYFUNCTION("""COMPUTED_VALUE"""),"ITBISA-SERVO-SG90-180DEG")</f>
        <v>ITBISA-SERVO-SG90-180DEG</v>
      </c>
      <c r="B10906" s="266">
        <f>IFERROR(__xludf.DUMMYFUNCTION("""COMPUTED_VALUE"""),45943.0)</f>
        <v>45943</v>
      </c>
      <c r="C10906" s="266" t="str">
        <f>IFERROR(__xludf.DUMMYFUNCTION("""COMPUTED_VALUE"""),"KYAI KONTONG")</f>
        <v>KYAI KONTONG</v>
      </c>
      <c r="D10906" s="186">
        <f>IFERROR(__xludf.DUMMYFUNCTION("""COMPUTED_VALUE"""),1.0)</f>
        <v>1</v>
      </c>
    </row>
    <row r="10907">
      <c r="A10907" s="178" t="str">
        <f>IFERROR(__xludf.DUMMYFUNCTION("""COMPUTED_VALUE"""),"ITBISA-SERVO-SG90-180DEG")</f>
        <v>ITBISA-SERVO-SG90-180DEG</v>
      </c>
      <c r="B10907" s="266">
        <f>IFERROR(__xludf.DUMMYFUNCTION("""COMPUTED_VALUE"""),45944.0)</f>
        <v>45944</v>
      </c>
      <c r="C10907" s="266" t="str">
        <f>IFERROR(__xludf.DUMMYFUNCTION("""COMPUTED_VALUE"""),"KYAI KONTONG")</f>
        <v>KYAI KONTONG</v>
      </c>
      <c r="D10907" s="186">
        <f>IFERROR(__xludf.DUMMYFUNCTION("""COMPUTED_VALUE"""),1.0)</f>
        <v>1</v>
      </c>
    </row>
    <row r="10908">
      <c r="A10908" s="178" t="str">
        <f>IFERROR(__xludf.DUMMYFUNCTION("""COMPUTED_VALUE"""),"ITBISA-SERVO-SG90-180DEG")</f>
        <v>ITBISA-SERVO-SG90-180DEG</v>
      </c>
      <c r="B10908" s="266">
        <f>IFERROR(__xludf.DUMMYFUNCTION("""COMPUTED_VALUE"""),45945.0)</f>
        <v>45945</v>
      </c>
      <c r="C10908" s="266" t="str">
        <f>IFERROR(__xludf.DUMMYFUNCTION("""COMPUTED_VALUE"""),"KYAI KONTONG")</f>
        <v>KYAI KONTONG</v>
      </c>
      <c r="D10908" s="186">
        <f>IFERROR(__xludf.DUMMYFUNCTION("""COMPUTED_VALUE"""),1.0)</f>
        <v>1</v>
      </c>
    </row>
    <row r="10909">
      <c r="A10909" s="178" t="str">
        <f>IFERROR(__xludf.DUMMYFUNCTION("""COMPUTED_VALUE"""),"ITBISA-SERVO-SG90-180DEG")</f>
        <v>ITBISA-SERVO-SG90-180DEG</v>
      </c>
      <c r="B10909" s="266">
        <f>IFERROR(__xludf.DUMMYFUNCTION("""COMPUTED_VALUE"""),45946.0)</f>
        <v>45946</v>
      </c>
      <c r="C10909" s="266" t="str">
        <f>IFERROR(__xludf.DUMMYFUNCTION("""COMPUTED_VALUE"""),"KYAI KONTONG")</f>
        <v>KYAI KONTONG</v>
      </c>
      <c r="D10909" s="186">
        <f>IFERROR(__xludf.DUMMYFUNCTION("""COMPUTED_VALUE"""),1.0)</f>
        <v>1</v>
      </c>
    </row>
    <row r="10910">
      <c r="A10910" s="178" t="str">
        <f>IFERROR(__xludf.DUMMYFUNCTION("""COMPUTED_VALUE"""),"ITBISA-SERVO-SG90-180DEG")</f>
        <v>ITBISA-SERVO-SG90-180DEG</v>
      </c>
      <c r="B10910" s="266">
        <f>IFERROR(__xludf.DUMMYFUNCTION("""COMPUTED_VALUE"""),45946.0)</f>
        <v>45946</v>
      </c>
      <c r="C10910" s="266" t="str">
        <f>IFERROR(__xludf.DUMMYFUNCTION("""COMPUTED_VALUE"""),"KYAI KONTONG")</f>
        <v>KYAI KONTONG</v>
      </c>
      <c r="D10910" s="186">
        <f>IFERROR(__xludf.DUMMYFUNCTION("""COMPUTED_VALUE"""),1.0)</f>
        <v>1</v>
      </c>
    </row>
    <row r="10911">
      <c r="A10911" s="178" t="str">
        <f>IFERROR(__xludf.DUMMYFUNCTION("""COMPUTED_VALUE"""),"ITBISA-SERVO-SG90-180DEG")</f>
        <v>ITBISA-SERVO-SG90-180DEG</v>
      </c>
      <c r="B10911" s="266">
        <f>IFERROR(__xludf.DUMMYFUNCTION("""COMPUTED_VALUE"""),45947.0)</f>
        <v>45947</v>
      </c>
      <c r="C10911" s="266" t="str">
        <f>IFERROR(__xludf.DUMMYFUNCTION("""COMPUTED_VALUE"""),"KYAI KONTONG")</f>
        <v>KYAI KONTONG</v>
      </c>
      <c r="D10911" s="186">
        <f>IFERROR(__xludf.DUMMYFUNCTION("""COMPUTED_VALUE"""),2.0)</f>
        <v>2</v>
      </c>
    </row>
    <row r="10912">
      <c r="A10912" s="178" t="str">
        <f>IFERROR(__xludf.DUMMYFUNCTION("""COMPUTED_VALUE"""),"ITBISA-SERVO-SG90-180DEG")</f>
        <v>ITBISA-SERVO-SG90-180DEG</v>
      </c>
      <c r="B10912" s="266">
        <f>IFERROR(__xludf.DUMMYFUNCTION("""COMPUTED_VALUE"""),45948.0)</f>
        <v>45948</v>
      </c>
      <c r="C10912" s="266" t="str">
        <f>IFERROR(__xludf.DUMMYFUNCTION("""COMPUTED_VALUE"""),"KYAI KONTONG")</f>
        <v>KYAI KONTONG</v>
      </c>
      <c r="D10912" s="186">
        <f>IFERROR(__xludf.DUMMYFUNCTION("""COMPUTED_VALUE"""),1.0)</f>
        <v>1</v>
      </c>
    </row>
    <row r="10913">
      <c r="A10913" s="178" t="str">
        <f>IFERROR(__xludf.DUMMYFUNCTION("""COMPUTED_VALUE"""),"ITBISA-SERVO-SG90-180DEG")</f>
        <v>ITBISA-SERVO-SG90-180DEG</v>
      </c>
      <c r="B10913" s="266">
        <f>IFERROR(__xludf.DUMMYFUNCTION("""COMPUTED_VALUE"""),45948.0)</f>
        <v>45948</v>
      </c>
      <c r="C10913" s="266" t="str">
        <f>IFERROR(__xludf.DUMMYFUNCTION("""COMPUTED_VALUE"""),"KYAI KONTONG")</f>
        <v>KYAI KONTONG</v>
      </c>
      <c r="D10913" s="186">
        <f>IFERROR(__xludf.DUMMYFUNCTION("""COMPUTED_VALUE"""),1.0)</f>
        <v>1</v>
      </c>
    </row>
    <row r="10914">
      <c r="A10914" s="178" t="str">
        <f>IFERROR(__xludf.DUMMYFUNCTION("""COMPUTED_VALUE"""),"ITBISA-SERVO-SG90-180DEG")</f>
        <v>ITBISA-SERVO-SG90-180DEG</v>
      </c>
      <c r="B10914" s="266">
        <f>IFERROR(__xludf.DUMMYFUNCTION("""COMPUTED_VALUE"""),45949.0)</f>
        <v>45949</v>
      </c>
      <c r="C10914" s="266" t="str">
        <f>IFERROR(__xludf.DUMMYFUNCTION("""COMPUTED_VALUE"""),"KYAI KONTONG")</f>
        <v>KYAI KONTONG</v>
      </c>
      <c r="D10914" s="186">
        <f>IFERROR(__xludf.DUMMYFUNCTION("""COMPUTED_VALUE"""),1.0)</f>
        <v>1</v>
      </c>
    </row>
    <row r="10915">
      <c r="A10915" s="178" t="str">
        <f>IFERROR(__xludf.DUMMYFUNCTION("""COMPUTED_VALUE"""),"ITBISA-SERVO-SG90-180DEG")</f>
        <v>ITBISA-SERVO-SG90-180DEG</v>
      </c>
      <c r="B10915" s="266">
        <f>IFERROR(__xludf.DUMMYFUNCTION("""COMPUTED_VALUE"""),45950.0)</f>
        <v>45950</v>
      </c>
      <c r="C10915" s="266" t="str">
        <f>IFERROR(__xludf.DUMMYFUNCTION("""COMPUTED_VALUE"""),"KYAI KONTONG")</f>
        <v>KYAI KONTONG</v>
      </c>
      <c r="D10915" s="186">
        <f>IFERROR(__xludf.DUMMYFUNCTION("""COMPUTED_VALUE"""),1.0)</f>
        <v>1</v>
      </c>
    </row>
    <row r="10916">
      <c r="A10916" s="178" t="str">
        <f>IFERROR(__xludf.DUMMYFUNCTION("""COMPUTED_VALUE"""),"ITBISA-SERVO-SG90-180DEG")</f>
        <v>ITBISA-SERVO-SG90-180DEG</v>
      </c>
      <c r="B10916" s="266">
        <f>IFERROR(__xludf.DUMMYFUNCTION("""COMPUTED_VALUE"""),45952.0)</f>
        <v>45952</v>
      </c>
      <c r="C10916" s="266" t="str">
        <f>IFERROR(__xludf.DUMMYFUNCTION("""COMPUTED_VALUE"""),"KERTASARI CIAMIS")</f>
        <v>KERTASARI CIAMIS</v>
      </c>
      <c r="D10916" s="186">
        <f>IFERROR(__xludf.DUMMYFUNCTION("""COMPUTED_VALUE"""),12.0)</f>
        <v>12</v>
      </c>
    </row>
    <row r="10917">
      <c r="A10917" s="178" t="str">
        <f>IFERROR(__xludf.DUMMYFUNCTION("""COMPUTED_VALUE"""),"ITBISA-SERVO-SG90-180DEG")</f>
        <v>ITBISA-SERVO-SG90-180DEG</v>
      </c>
      <c r="B10917" s="266">
        <f>IFERROR(__xludf.DUMMYFUNCTION("""COMPUTED_VALUE"""),45952.0)</f>
        <v>45952</v>
      </c>
      <c r="C10917" s="266" t="str">
        <f>IFERROR(__xludf.DUMMYFUNCTION("""COMPUTED_VALUE"""),"KYAI KONTONG")</f>
        <v>KYAI KONTONG</v>
      </c>
      <c r="D10917" s="186">
        <f>IFERROR(__xludf.DUMMYFUNCTION("""COMPUTED_VALUE"""),1.0)</f>
        <v>1</v>
      </c>
    </row>
    <row r="10918">
      <c r="A10918" s="178" t="str">
        <f>IFERROR(__xludf.DUMMYFUNCTION("""COMPUTED_VALUE"""),"ITBISA-SERVO-SG90-180DEG")</f>
        <v>ITBISA-SERVO-SG90-180DEG</v>
      </c>
      <c r="B10918" s="266">
        <f>IFERROR(__xludf.DUMMYFUNCTION("""COMPUTED_VALUE"""),45953.0)</f>
        <v>45953</v>
      </c>
      <c r="C10918" s="266" t="str">
        <f>IFERROR(__xludf.DUMMYFUNCTION("""COMPUTED_VALUE"""),"KYAI KONTONG")</f>
        <v>KYAI KONTONG</v>
      </c>
      <c r="D10918" s="186">
        <f>IFERROR(__xludf.DUMMYFUNCTION("""COMPUTED_VALUE"""),2.0)</f>
        <v>2</v>
      </c>
    </row>
    <row r="10919">
      <c r="A10919" s="178" t="str">
        <f>IFERROR(__xludf.DUMMYFUNCTION("""COMPUTED_VALUE"""),"ITBISA-SERVO-SG90-180DEG")</f>
        <v>ITBISA-SERVO-SG90-180DEG</v>
      </c>
      <c r="B10919" s="266">
        <f>IFERROR(__xludf.DUMMYFUNCTION("""COMPUTED_VALUE"""),45954.0)</f>
        <v>45954</v>
      </c>
      <c r="C10919" s="266" t="str">
        <f>IFERROR(__xludf.DUMMYFUNCTION("""COMPUTED_VALUE"""),"KYAI KONTONG")</f>
        <v>KYAI KONTONG</v>
      </c>
      <c r="D10919" s="186">
        <f>IFERROR(__xludf.DUMMYFUNCTION("""COMPUTED_VALUE"""),1.0)</f>
        <v>1</v>
      </c>
    </row>
    <row r="10920">
      <c r="A10920" s="178" t="str">
        <f>IFERROR(__xludf.DUMMYFUNCTION("""COMPUTED_VALUE"""),"ITBISA-SERVO-SG90-180DEG")</f>
        <v>ITBISA-SERVO-SG90-180DEG</v>
      </c>
      <c r="B10920" s="266">
        <f>IFERROR(__xludf.DUMMYFUNCTION("""COMPUTED_VALUE"""),45955.0)</f>
        <v>45955</v>
      </c>
      <c r="C10920" s="266" t="str">
        <f>IFERROR(__xludf.DUMMYFUNCTION("""COMPUTED_VALUE"""),"KERTASARI CIAMIS")</f>
        <v>KERTASARI CIAMIS</v>
      </c>
      <c r="D10920" s="186">
        <f>IFERROR(__xludf.DUMMYFUNCTION("""COMPUTED_VALUE"""),1.0)</f>
        <v>1</v>
      </c>
    </row>
    <row r="10921">
      <c r="A10921" s="178" t="str">
        <f>IFERROR(__xludf.DUMMYFUNCTION("""COMPUTED_VALUE"""),"ITBISA-SERVO-SG90-180DEG")</f>
        <v>ITBISA-SERVO-SG90-180DEG</v>
      </c>
      <c r="B10921" s="266">
        <f>IFERROR(__xludf.DUMMYFUNCTION("""COMPUTED_VALUE"""),45957.0)</f>
        <v>45957</v>
      </c>
      <c r="C10921" s="266" t="str">
        <f>IFERROR(__xludf.DUMMYFUNCTION("""COMPUTED_VALUE"""),"KYAI KONTONG")</f>
        <v>KYAI KONTONG</v>
      </c>
      <c r="D10921" s="186">
        <f>IFERROR(__xludf.DUMMYFUNCTION("""COMPUTED_VALUE"""),1.0)</f>
        <v>1</v>
      </c>
    </row>
    <row r="10922">
      <c r="A10922" s="178" t="str">
        <f>IFERROR(__xludf.DUMMYFUNCTION("""COMPUTED_VALUE"""),"ITBISA-SERVO-SG90-180DEG")</f>
        <v>ITBISA-SERVO-SG90-180DEG</v>
      </c>
      <c r="B10922" s="266">
        <f>IFERROR(__xludf.DUMMYFUNCTION("""COMPUTED_VALUE"""),45986.0)</f>
        <v>45986</v>
      </c>
      <c r="C10922" s="266" t="str">
        <f>IFERROR(__xludf.DUMMYFUNCTION("""COMPUTED_VALUE"""),"KERTASARI CIAMIS")</f>
        <v>KERTASARI CIAMIS</v>
      </c>
      <c r="D10922" s="186">
        <f>IFERROR(__xludf.DUMMYFUNCTION("""COMPUTED_VALUE"""),3.0)</f>
        <v>3</v>
      </c>
    </row>
    <row r="10923">
      <c r="A10923" s="178" t="str">
        <f>IFERROR(__xludf.DUMMYFUNCTION("""COMPUTED_VALUE"""),"ITBISA-SERVO-SG90-180DEG")</f>
        <v>ITBISA-SERVO-SG90-180DEG</v>
      </c>
      <c r="B10923" s="266">
        <f>IFERROR(__xludf.DUMMYFUNCTION("""COMPUTED_VALUE"""),45987.0)</f>
        <v>45987</v>
      </c>
      <c r="C10923" s="266" t="str">
        <f>IFERROR(__xludf.DUMMYFUNCTION("""COMPUTED_VALUE"""),"KERTASARI CIAMIS")</f>
        <v>KERTASARI CIAMIS</v>
      </c>
      <c r="D10923" s="186">
        <f>IFERROR(__xludf.DUMMYFUNCTION("""COMPUTED_VALUE"""),1.0)</f>
        <v>1</v>
      </c>
    </row>
    <row r="10924">
      <c r="A10924" s="178" t="str">
        <f>IFERROR(__xludf.DUMMYFUNCTION("""COMPUTED_VALUE"""),"ITBISA-SERVO-SG90-180DEG")</f>
        <v>ITBISA-SERVO-SG90-180DEG</v>
      </c>
      <c r="B10924" s="266">
        <f>IFERROR(__xludf.DUMMYFUNCTION("""COMPUTED_VALUE"""),45987.0)</f>
        <v>45987</v>
      </c>
      <c r="C10924" s="266" t="str">
        <f>IFERROR(__xludf.DUMMYFUNCTION("""COMPUTED_VALUE"""),"KERTASARI CIAMIS")</f>
        <v>KERTASARI CIAMIS</v>
      </c>
      <c r="D10924" s="186">
        <f>IFERROR(__xludf.DUMMYFUNCTION("""COMPUTED_VALUE"""),1.0)</f>
        <v>1</v>
      </c>
    </row>
    <row r="10925">
      <c r="A10925" s="178" t="str">
        <f>IFERROR(__xludf.DUMMYFUNCTION("""COMPUTED_VALUE"""),"ITBISA-SERVO-SG90-180DEG")</f>
        <v>ITBISA-SERVO-SG90-180DEG</v>
      </c>
      <c r="B10925" s="266">
        <f>IFERROR(__xludf.DUMMYFUNCTION("""COMPUTED_VALUE"""),45987.0)</f>
        <v>45987</v>
      </c>
      <c r="C10925" s="266" t="str">
        <f>IFERROR(__xludf.DUMMYFUNCTION("""COMPUTED_VALUE"""),"KERTASARI CIAMIS")</f>
        <v>KERTASARI CIAMIS</v>
      </c>
      <c r="D10925" s="186">
        <f>IFERROR(__xludf.DUMMYFUNCTION("""COMPUTED_VALUE"""),3.0)</f>
        <v>3</v>
      </c>
    </row>
    <row r="10926">
      <c r="A10926" s="178" t="str">
        <f>IFERROR(__xludf.DUMMYFUNCTION("""COMPUTED_VALUE"""),"ITBISA-SERVO-SG90-180DEG")</f>
        <v>ITBISA-SERVO-SG90-180DEG</v>
      </c>
      <c r="B10926" s="266">
        <f>IFERROR(__xludf.DUMMYFUNCTION("""COMPUTED_VALUE"""),45988.0)</f>
        <v>45988</v>
      </c>
      <c r="C10926" s="266" t="str">
        <f>IFERROR(__xludf.DUMMYFUNCTION("""COMPUTED_VALUE"""),"KERTASARI CIAMIS")</f>
        <v>KERTASARI CIAMIS</v>
      </c>
      <c r="D10926" s="186">
        <f>IFERROR(__xludf.DUMMYFUNCTION("""COMPUTED_VALUE"""),1.0)</f>
        <v>1</v>
      </c>
    </row>
    <row r="10927">
      <c r="A10927" s="178" t="str">
        <f>IFERROR(__xludf.DUMMYFUNCTION("""COMPUTED_VALUE"""),"ITBISA-SERVO-SG90-180DEG")</f>
        <v>ITBISA-SERVO-SG90-180DEG</v>
      </c>
      <c r="B10927" s="266">
        <f>IFERROR(__xludf.DUMMYFUNCTION("""COMPUTED_VALUE"""),45989.0)</f>
        <v>45989</v>
      </c>
      <c r="C10927" s="266" t="str">
        <f>IFERROR(__xludf.DUMMYFUNCTION("""COMPUTED_VALUE"""),"KERTASARI CIAMIS")</f>
        <v>KERTASARI CIAMIS</v>
      </c>
      <c r="D10927" s="186">
        <f>IFERROR(__xludf.DUMMYFUNCTION("""COMPUTED_VALUE"""),1.0)</f>
        <v>1</v>
      </c>
    </row>
    <row r="10928">
      <c r="A10928" s="178" t="str">
        <f>IFERROR(__xludf.DUMMYFUNCTION("""COMPUTED_VALUE"""),"ITBISA-SERVO-SG90-180DEG")</f>
        <v>ITBISA-SERVO-SG90-180DEG</v>
      </c>
      <c r="B10928" s="266">
        <f>IFERROR(__xludf.DUMMYFUNCTION("""COMPUTED_VALUE"""),45989.0)</f>
        <v>45989</v>
      </c>
      <c r="C10928" s="266" t="str">
        <f>IFERROR(__xludf.DUMMYFUNCTION("""COMPUTED_VALUE"""),"KERTASARI CIAMIS")</f>
        <v>KERTASARI CIAMIS</v>
      </c>
      <c r="D10928" s="186">
        <f>IFERROR(__xludf.DUMMYFUNCTION("""COMPUTED_VALUE"""),1.0)</f>
        <v>1</v>
      </c>
    </row>
    <row r="10929">
      <c r="A10929" s="178" t="str">
        <f>IFERROR(__xludf.DUMMYFUNCTION("""COMPUTED_VALUE"""),"ITBISA-SERVO-SG90-180DEG")</f>
        <v>ITBISA-SERVO-SG90-180DEG</v>
      </c>
      <c r="B10929" s="266">
        <f>IFERROR(__xludf.DUMMYFUNCTION("""COMPUTED_VALUE"""),45990.0)</f>
        <v>45990</v>
      </c>
      <c r="C10929" s="266" t="str">
        <f>IFERROR(__xludf.DUMMYFUNCTION("""COMPUTED_VALUE"""),"KYAI KONTONG")</f>
        <v>KYAI KONTONG</v>
      </c>
      <c r="D10929" s="186">
        <f>IFERROR(__xludf.DUMMYFUNCTION("""COMPUTED_VALUE"""),1.0)</f>
        <v>1</v>
      </c>
    </row>
    <row r="10930">
      <c r="A10930" s="178" t="str">
        <f>IFERROR(__xludf.DUMMYFUNCTION("""COMPUTED_VALUE"""),"ITBISA-SERVO-SG90-180DEG")</f>
        <v>ITBISA-SERVO-SG90-180DEG</v>
      </c>
      <c r="B10930" s="266">
        <f>IFERROR(__xludf.DUMMYFUNCTION("""COMPUTED_VALUE"""),45990.0)</f>
        <v>45990</v>
      </c>
      <c r="C10930" s="266" t="str">
        <f>IFERROR(__xludf.DUMMYFUNCTION("""COMPUTED_VALUE"""),"KYAI KONTONG")</f>
        <v>KYAI KONTONG</v>
      </c>
      <c r="D10930" s="186">
        <f>IFERROR(__xludf.DUMMYFUNCTION("""COMPUTED_VALUE"""),6.0)</f>
        <v>6</v>
      </c>
    </row>
    <row r="10931">
      <c r="A10931" s="178" t="str">
        <f>IFERROR(__xludf.DUMMYFUNCTION("""COMPUTED_VALUE"""),"ITBISA-SERVO-SG90-180DEG")</f>
        <v>ITBISA-SERVO-SG90-180DEG</v>
      </c>
      <c r="B10931" s="266">
        <f>IFERROR(__xludf.DUMMYFUNCTION("""COMPUTED_VALUE"""),45992.0)</f>
        <v>45992</v>
      </c>
      <c r="C10931" s="266" t="str">
        <f>IFERROR(__xludf.DUMMYFUNCTION("""COMPUTED_VALUE"""),"KYAI KONTONG")</f>
        <v>KYAI KONTONG</v>
      </c>
      <c r="D10931" s="186">
        <f>IFERROR(__xludf.DUMMYFUNCTION("""COMPUTED_VALUE"""),1.0)</f>
        <v>1</v>
      </c>
    </row>
    <row r="10932">
      <c r="A10932" s="178" t="str">
        <f>IFERROR(__xludf.DUMMYFUNCTION("""COMPUTED_VALUE"""),"ITBISA-SERVO-SG90-180DEG")</f>
        <v>ITBISA-SERVO-SG90-180DEG</v>
      </c>
      <c r="B10932" s="266">
        <f>IFERROR(__xludf.DUMMYFUNCTION("""COMPUTED_VALUE"""),45992.0)</f>
        <v>45992</v>
      </c>
      <c r="C10932" s="266" t="str">
        <f>IFERROR(__xludf.DUMMYFUNCTION("""COMPUTED_VALUE"""),"KYAI KONTONG")</f>
        <v>KYAI KONTONG</v>
      </c>
      <c r="D10932" s="186">
        <f>IFERROR(__xludf.DUMMYFUNCTION("""COMPUTED_VALUE"""),2.0)</f>
        <v>2</v>
      </c>
    </row>
    <row r="10933">
      <c r="A10933" s="178" t="str">
        <f>IFERROR(__xludf.DUMMYFUNCTION("""COMPUTED_VALUE"""),"ITBISA-SERVO-SG90-180DEG")</f>
        <v>ITBISA-SERVO-SG90-180DEG</v>
      </c>
      <c r="B10933" s="266">
        <f>IFERROR(__xludf.DUMMYFUNCTION("""COMPUTED_VALUE"""),45993.0)</f>
        <v>45993</v>
      </c>
      <c r="C10933" s="266" t="str">
        <f>IFERROR(__xludf.DUMMYFUNCTION("""COMPUTED_VALUE"""),"KYAI KONTONG")</f>
        <v>KYAI KONTONG</v>
      </c>
      <c r="D10933" s="186">
        <f>IFERROR(__xludf.DUMMYFUNCTION("""COMPUTED_VALUE"""),1.0)</f>
        <v>1</v>
      </c>
    </row>
    <row r="10934">
      <c r="A10934" s="178" t="str">
        <f>IFERROR(__xludf.DUMMYFUNCTION("""COMPUTED_VALUE"""),"ITBISA-SERVO-SG90-180DEG")</f>
        <v>ITBISA-SERVO-SG90-180DEG</v>
      </c>
      <c r="B10934" s="266">
        <f>IFERROR(__xludf.DUMMYFUNCTION("""COMPUTED_VALUE"""),45993.0)</f>
        <v>45993</v>
      </c>
      <c r="C10934" s="266" t="str">
        <f>IFERROR(__xludf.DUMMYFUNCTION("""COMPUTED_VALUE"""),"KYAI KONTONG")</f>
        <v>KYAI KONTONG</v>
      </c>
      <c r="D10934" s="186">
        <f>IFERROR(__xludf.DUMMYFUNCTION("""COMPUTED_VALUE"""),6.0)</f>
        <v>6</v>
      </c>
    </row>
    <row r="10935">
      <c r="A10935" s="178" t="str">
        <f>IFERROR(__xludf.DUMMYFUNCTION("""COMPUTED_VALUE"""),"ITBISA-SERVO-SG90-180DEG")</f>
        <v>ITBISA-SERVO-SG90-180DEG</v>
      </c>
      <c r="B10935" s="266">
        <f>IFERROR(__xludf.DUMMYFUNCTION("""COMPUTED_VALUE"""),45993.0)</f>
        <v>45993</v>
      </c>
      <c r="C10935" s="266" t="str">
        <f>IFERROR(__xludf.DUMMYFUNCTION("""COMPUTED_VALUE"""),"KYAI KONTONG")</f>
        <v>KYAI KONTONG</v>
      </c>
      <c r="D10935" s="186">
        <f>IFERROR(__xludf.DUMMYFUNCTION("""COMPUTED_VALUE"""),12.0)</f>
        <v>12</v>
      </c>
    </row>
    <row r="10936">
      <c r="A10936" s="178" t="str">
        <f>IFERROR(__xludf.DUMMYFUNCTION("""COMPUTED_VALUE"""),"ITBISA-SERVO-SG90-180DEG")</f>
        <v>ITBISA-SERVO-SG90-180DEG</v>
      </c>
      <c r="B10936" s="266">
        <f>IFERROR(__xludf.DUMMYFUNCTION("""COMPUTED_VALUE"""),45995.0)</f>
        <v>45995</v>
      </c>
      <c r="C10936" s="266" t="str">
        <f>IFERROR(__xludf.DUMMYFUNCTION("""COMPUTED_VALUE"""),"KYAI KONTONG")</f>
        <v>KYAI KONTONG</v>
      </c>
      <c r="D10936" s="186">
        <f>IFERROR(__xludf.DUMMYFUNCTION("""COMPUTED_VALUE"""),1.0)</f>
        <v>1</v>
      </c>
    </row>
    <row r="10937">
      <c r="A10937" s="178" t="str">
        <f>IFERROR(__xludf.DUMMYFUNCTION("""COMPUTED_VALUE"""),"ITBISA-SERVO-SG90-180DEG")</f>
        <v>ITBISA-SERVO-SG90-180DEG</v>
      </c>
      <c r="B10937" s="266">
        <f>IFERROR(__xludf.DUMMYFUNCTION("""COMPUTED_VALUE"""),45996.0)</f>
        <v>45996</v>
      </c>
      <c r="C10937" s="266" t="str">
        <f>IFERROR(__xludf.DUMMYFUNCTION("""COMPUTED_VALUE"""),"KERTASARI CIAMIS")</f>
        <v>KERTASARI CIAMIS</v>
      </c>
      <c r="D10937" s="186">
        <f>IFERROR(__xludf.DUMMYFUNCTION("""COMPUTED_VALUE"""),2.0)</f>
        <v>2</v>
      </c>
    </row>
    <row r="10938">
      <c r="A10938" s="178" t="str">
        <f>IFERROR(__xludf.DUMMYFUNCTION("""COMPUTED_VALUE"""),"ITBISA-SERVO-SG90-180DEG")</f>
        <v>ITBISA-SERVO-SG90-180DEG</v>
      </c>
      <c r="B10938" s="266">
        <f>IFERROR(__xludf.DUMMYFUNCTION("""COMPUTED_VALUE"""),45996.0)</f>
        <v>45996</v>
      </c>
      <c r="C10938" s="266" t="str">
        <f>IFERROR(__xludf.DUMMYFUNCTION("""COMPUTED_VALUE"""),"KERTASARI CIAMIS")</f>
        <v>KERTASARI CIAMIS</v>
      </c>
      <c r="D10938" s="186">
        <f>IFERROR(__xludf.DUMMYFUNCTION("""COMPUTED_VALUE"""),20.0)</f>
        <v>20</v>
      </c>
    </row>
    <row r="10939">
      <c r="A10939" s="178" t="str">
        <f>IFERROR(__xludf.DUMMYFUNCTION("""COMPUTED_VALUE"""),"ITBISA-SERVO-SG90-180DEG")</f>
        <v>ITBISA-SERVO-SG90-180DEG</v>
      </c>
      <c r="B10939" s="266">
        <f>IFERROR(__xludf.DUMMYFUNCTION("""COMPUTED_VALUE"""),45996.0)</f>
        <v>45996</v>
      </c>
      <c r="C10939" s="266" t="str">
        <f>IFERROR(__xludf.DUMMYFUNCTION("""COMPUTED_VALUE"""),"KYAI KONTONG")</f>
        <v>KYAI KONTONG</v>
      </c>
      <c r="D10939" s="186">
        <f>IFERROR(__xludf.DUMMYFUNCTION("""COMPUTED_VALUE"""),1.0)</f>
        <v>1</v>
      </c>
    </row>
    <row r="10940">
      <c r="A10940" s="178" t="str">
        <f>IFERROR(__xludf.DUMMYFUNCTION("""COMPUTED_VALUE"""),"ITBISA-SERVO-SG90-180DEG")</f>
        <v>ITBISA-SERVO-SG90-180DEG</v>
      </c>
      <c r="B10940" s="266">
        <f>IFERROR(__xludf.DUMMYFUNCTION("""COMPUTED_VALUE"""),45996.0)</f>
        <v>45996</v>
      </c>
      <c r="C10940" s="266" t="str">
        <f>IFERROR(__xludf.DUMMYFUNCTION("""COMPUTED_VALUE"""),"KYAI KONTONG")</f>
        <v>KYAI KONTONG</v>
      </c>
      <c r="D10940" s="186">
        <f>IFERROR(__xludf.DUMMYFUNCTION("""COMPUTED_VALUE"""),1.0)</f>
        <v>1</v>
      </c>
    </row>
    <row r="10941">
      <c r="A10941" s="178" t="str">
        <f>IFERROR(__xludf.DUMMYFUNCTION("""COMPUTED_VALUE"""),"ITBISA-SERVO-SG90-180DEG")</f>
        <v>ITBISA-SERVO-SG90-180DEG</v>
      </c>
      <c r="B10941" s="266">
        <f>IFERROR(__xludf.DUMMYFUNCTION("""COMPUTED_VALUE"""),45997.0)</f>
        <v>45997</v>
      </c>
      <c r="C10941" s="266" t="str">
        <f>IFERROR(__xludf.DUMMYFUNCTION("""COMPUTED_VALUE"""),"KERTASARI CIAMIS")</f>
        <v>KERTASARI CIAMIS</v>
      </c>
      <c r="D10941" s="186">
        <f>IFERROR(__xludf.DUMMYFUNCTION("""COMPUTED_VALUE"""),1.0)</f>
        <v>1</v>
      </c>
    </row>
    <row r="10942">
      <c r="A10942" s="178" t="str">
        <f>IFERROR(__xludf.DUMMYFUNCTION("""COMPUTED_VALUE"""),"ITBISA-SERVO-SG90-180DEG")</f>
        <v>ITBISA-SERVO-SG90-180DEG</v>
      </c>
      <c r="B10942" s="266">
        <f>IFERROR(__xludf.DUMMYFUNCTION("""COMPUTED_VALUE"""),45997.0)</f>
        <v>45997</v>
      </c>
      <c r="C10942" s="266" t="str">
        <f>IFERROR(__xludf.DUMMYFUNCTION("""COMPUTED_VALUE"""),"KERTASARI CIAMIS")</f>
        <v>KERTASARI CIAMIS</v>
      </c>
      <c r="D10942" s="186">
        <f>IFERROR(__xludf.DUMMYFUNCTION("""COMPUTED_VALUE"""),2.0)</f>
        <v>2</v>
      </c>
    </row>
    <row r="10943">
      <c r="A10943" s="178" t="str">
        <f>IFERROR(__xludf.DUMMYFUNCTION("""COMPUTED_VALUE"""),"ITBISA-SERVO-SG90-180DEG")</f>
        <v>ITBISA-SERVO-SG90-180DEG</v>
      </c>
      <c r="B10943" s="266">
        <f>IFERROR(__xludf.DUMMYFUNCTION("""COMPUTED_VALUE"""),45997.0)</f>
        <v>45997</v>
      </c>
      <c r="C10943" s="266" t="str">
        <f>IFERROR(__xludf.DUMMYFUNCTION("""COMPUTED_VALUE"""),"KYAI KONTONG")</f>
        <v>KYAI KONTONG</v>
      </c>
      <c r="D10943" s="186">
        <f>IFERROR(__xludf.DUMMYFUNCTION("""COMPUTED_VALUE"""),3.0)</f>
        <v>3</v>
      </c>
    </row>
    <row r="10944">
      <c r="A10944" s="178" t="str">
        <f>IFERROR(__xludf.DUMMYFUNCTION("""COMPUTED_VALUE"""),"ITBISA-SERVO-SG90-180DEG")</f>
        <v>ITBISA-SERVO-SG90-180DEG</v>
      </c>
      <c r="B10944" s="266">
        <f>IFERROR(__xludf.DUMMYFUNCTION("""COMPUTED_VALUE"""),46008.0)</f>
        <v>46008</v>
      </c>
      <c r="C10944" s="266" t="str">
        <f>IFERROR(__xludf.DUMMYFUNCTION("""COMPUTED_VALUE"""),"KYAI KONTONG")</f>
        <v>KYAI KONTONG</v>
      </c>
      <c r="D10944" s="186">
        <f>IFERROR(__xludf.DUMMYFUNCTION("""COMPUTED_VALUE"""),4.0)</f>
        <v>4</v>
      </c>
    </row>
    <row r="10945">
      <c r="A10945" s="178" t="str">
        <f>IFERROR(__xludf.DUMMYFUNCTION("""COMPUTED_VALUE"""),"ITBISA-SERVO-SG90-180DEG")</f>
        <v>ITBISA-SERVO-SG90-180DEG</v>
      </c>
      <c r="B10945" s="266">
        <f>IFERROR(__xludf.DUMMYFUNCTION("""COMPUTED_VALUE"""),46015.0)</f>
        <v>46015</v>
      </c>
      <c r="C10945" s="266" t="str">
        <f>IFERROR(__xludf.DUMMYFUNCTION("""COMPUTED_VALUE"""),"KYAI KONTONG")</f>
        <v>KYAI KONTONG</v>
      </c>
      <c r="D10945" s="186">
        <f>IFERROR(__xludf.DUMMYFUNCTION("""COMPUTED_VALUE"""),4.0)</f>
        <v>4</v>
      </c>
    </row>
    <row r="10946">
      <c r="A10946" s="178" t="str">
        <f>IFERROR(__xludf.DUMMYFUNCTION("""COMPUTED_VALUE"""),"ITBISA-SERVO-SG90-180DEG")</f>
        <v>ITBISA-SERVO-SG90-180DEG</v>
      </c>
      <c r="B10946" s="266">
        <f>IFERROR(__xludf.DUMMYFUNCTION("""COMPUTED_VALUE"""),46022.0)</f>
        <v>46022</v>
      </c>
      <c r="C10946" s="266" t="str">
        <f>IFERROR(__xludf.DUMMYFUNCTION("""COMPUTED_VALUE"""),"KYAI KONTONG")</f>
        <v>KYAI KONTONG</v>
      </c>
      <c r="D10946" s="186">
        <f>IFERROR(__xludf.DUMMYFUNCTION("""COMPUTED_VALUE"""),2.0)</f>
        <v>2</v>
      </c>
    </row>
    <row r="10947">
      <c r="A10947" s="178" t="str">
        <f>IFERROR(__xludf.DUMMYFUNCTION("""COMPUTED_VALUE"""),"ITBISA-SERVO-SG90-360DEG")</f>
        <v>ITBISA-SERVO-SG90-360DEG</v>
      </c>
      <c r="B10947" s="266">
        <f>IFERROR(__xludf.DUMMYFUNCTION("""COMPUTED_VALUE"""),45312.0)</f>
        <v>45312</v>
      </c>
      <c r="C10947" s="266" t="str">
        <f>IFERROR(__xludf.DUMMYFUNCTION("""COMPUTED_VALUE"""),"KERTASARI CIAMIS")</f>
        <v>KERTASARI CIAMIS</v>
      </c>
      <c r="D10947" s="186">
        <f>IFERROR(__xludf.DUMMYFUNCTION("""COMPUTED_VALUE"""),5.0)</f>
        <v>5</v>
      </c>
    </row>
    <row r="10948">
      <c r="A10948" s="178" t="str">
        <f>IFERROR(__xludf.DUMMYFUNCTION("""COMPUTED_VALUE"""),"ITBISA-SERVO-SG90-360DEG")</f>
        <v>ITBISA-SERVO-SG90-360DEG</v>
      </c>
      <c r="B10948" s="266">
        <f>IFERROR(__xludf.DUMMYFUNCTION("""COMPUTED_VALUE"""),45314.0)</f>
        <v>45314</v>
      </c>
      <c r="C10948" s="266" t="str">
        <f>IFERROR(__xludf.DUMMYFUNCTION("""COMPUTED_VALUE"""),"KERTASARI CIAMIS")</f>
        <v>KERTASARI CIAMIS</v>
      </c>
      <c r="D10948" s="186">
        <f>IFERROR(__xludf.DUMMYFUNCTION("""COMPUTED_VALUE"""),8.0)</f>
        <v>8</v>
      </c>
    </row>
    <row r="10949">
      <c r="A10949" s="178" t="str">
        <f>IFERROR(__xludf.DUMMYFUNCTION("""COMPUTED_VALUE"""),"ITBISA-SERVO-SG90-360DEG")</f>
        <v>ITBISA-SERVO-SG90-360DEG</v>
      </c>
      <c r="B10949" s="266">
        <f>IFERROR(__xludf.DUMMYFUNCTION("""COMPUTED_VALUE"""),45317.0)</f>
        <v>45317</v>
      </c>
      <c r="C10949" s="266" t="str">
        <f>IFERROR(__xludf.DUMMYFUNCTION("""COMPUTED_VALUE"""),"KERTASARI CIAMIS")</f>
        <v>KERTASARI CIAMIS</v>
      </c>
      <c r="D10949" s="186">
        <f>IFERROR(__xludf.DUMMYFUNCTION("""COMPUTED_VALUE"""),1.0)</f>
        <v>1</v>
      </c>
    </row>
    <row r="10950">
      <c r="A10950" s="178" t="str">
        <f>IFERROR(__xludf.DUMMYFUNCTION("""COMPUTED_VALUE"""),"ITBISA-SERVO-SG90-360DEG")</f>
        <v>ITBISA-SERVO-SG90-360DEG</v>
      </c>
      <c r="B10950" s="266">
        <f>IFERROR(__xludf.DUMMYFUNCTION("""COMPUTED_VALUE"""),45317.0)</f>
        <v>45317</v>
      </c>
      <c r="C10950" s="266" t="str">
        <f>IFERROR(__xludf.DUMMYFUNCTION("""COMPUTED_VALUE"""),"KERTASARI CIAMIS")</f>
        <v>KERTASARI CIAMIS</v>
      </c>
      <c r="D10950" s="186">
        <f>IFERROR(__xludf.DUMMYFUNCTION("""COMPUTED_VALUE"""),1.0)</f>
        <v>1</v>
      </c>
    </row>
    <row r="10951">
      <c r="A10951" s="178" t="str">
        <f>IFERROR(__xludf.DUMMYFUNCTION("""COMPUTED_VALUE"""),"ITBISA-SERVO-SG90-360DEG")</f>
        <v>ITBISA-SERVO-SG90-360DEG</v>
      </c>
      <c r="B10951" s="266">
        <f>IFERROR(__xludf.DUMMYFUNCTION("""COMPUTED_VALUE"""),45318.0)</f>
        <v>45318</v>
      </c>
      <c r="C10951" s="266" t="str">
        <f>IFERROR(__xludf.DUMMYFUNCTION("""COMPUTED_VALUE"""),"KERTASARI CIAMIS")</f>
        <v>KERTASARI CIAMIS</v>
      </c>
      <c r="D10951" s="186">
        <f>IFERROR(__xludf.DUMMYFUNCTION("""COMPUTED_VALUE"""),4.0)</f>
        <v>4</v>
      </c>
    </row>
    <row r="10952">
      <c r="A10952" s="178" t="str">
        <f>IFERROR(__xludf.DUMMYFUNCTION("""COMPUTED_VALUE"""),"ITBISA-SERVO-SG90-360DEG")</f>
        <v>ITBISA-SERVO-SG90-360DEG</v>
      </c>
      <c r="B10952" s="266">
        <f>IFERROR(__xludf.DUMMYFUNCTION("""COMPUTED_VALUE"""),45321.0)</f>
        <v>45321</v>
      </c>
      <c r="C10952" s="266" t="str">
        <f>IFERROR(__xludf.DUMMYFUNCTION("""COMPUTED_VALUE"""),"KERTASARI CIAMIS")</f>
        <v>KERTASARI CIAMIS</v>
      </c>
      <c r="D10952" s="186">
        <f>IFERROR(__xludf.DUMMYFUNCTION("""COMPUTED_VALUE"""),1.0)</f>
        <v>1</v>
      </c>
    </row>
    <row r="10953">
      <c r="A10953" s="178" t="str">
        <f>IFERROR(__xludf.DUMMYFUNCTION("""COMPUTED_VALUE"""),"ITBISA-SERVO-SG90-360DEG")</f>
        <v>ITBISA-SERVO-SG90-360DEG</v>
      </c>
      <c r="B10953" s="266">
        <f>IFERROR(__xludf.DUMMYFUNCTION("""COMPUTED_VALUE"""),45324.0)</f>
        <v>45324</v>
      </c>
      <c r="C10953" s="266" t="str">
        <f>IFERROR(__xludf.DUMMYFUNCTION("""COMPUTED_VALUE"""),"KERTASARI CIAMIS")</f>
        <v>KERTASARI CIAMIS</v>
      </c>
      <c r="D10953" s="186">
        <f>IFERROR(__xludf.DUMMYFUNCTION("""COMPUTED_VALUE"""),2.0)</f>
        <v>2</v>
      </c>
    </row>
    <row r="10954">
      <c r="A10954" s="178" t="str">
        <f>IFERROR(__xludf.DUMMYFUNCTION("""COMPUTED_VALUE"""),"ITBISA-SERVO-SG90-360DEG")</f>
        <v>ITBISA-SERVO-SG90-360DEG</v>
      </c>
      <c r="B10954" s="266">
        <f>IFERROR(__xludf.DUMMYFUNCTION("""COMPUTED_VALUE"""),45325.0)</f>
        <v>45325</v>
      </c>
      <c r="C10954" s="266" t="str">
        <f>IFERROR(__xludf.DUMMYFUNCTION("""COMPUTED_VALUE"""),"KERTASARI CIAMIS")</f>
        <v>KERTASARI CIAMIS</v>
      </c>
      <c r="D10954" s="186">
        <f>IFERROR(__xludf.DUMMYFUNCTION("""COMPUTED_VALUE"""),4.0)</f>
        <v>4</v>
      </c>
    </row>
    <row r="10955">
      <c r="A10955" s="178" t="str">
        <f>IFERROR(__xludf.DUMMYFUNCTION("""COMPUTED_VALUE"""),"ITBISA-SERVO-SG90-360DEG")</f>
        <v>ITBISA-SERVO-SG90-360DEG</v>
      </c>
      <c r="B10955" s="266">
        <f>IFERROR(__xludf.DUMMYFUNCTION("""COMPUTED_VALUE"""),45327.0)</f>
        <v>45327</v>
      </c>
      <c r="C10955" s="266" t="str">
        <f>IFERROR(__xludf.DUMMYFUNCTION("""COMPUTED_VALUE"""),"KERTASARI CIAMIS")</f>
        <v>KERTASARI CIAMIS</v>
      </c>
      <c r="D10955" s="186">
        <f>IFERROR(__xludf.DUMMYFUNCTION("""COMPUTED_VALUE"""),1.0)</f>
        <v>1</v>
      </c>
    </row>
    <row r="10956">
      <c r="A10956" s="178" t="str">
        <f>IFERROR(__xludf.DUMMYFUNCTION("""COMPUTED_VALUE"""),"ITBISA-SERVO-SG90-360DEG")</f>
        <v>ITBISA-SERVO-SG90-360DEG</v>
      </c>
      <c r="B10956" s="266">
        <f>IFERROR(__xludf.DUMMYFUNCTION("""COMPUTED_VALUE"""),45337.0)</f>
        <v>45337</v>
      </c>
      <c r="C10956" s="266" t="str">
        <f>IFERROR(__xludf.DUMMYFUNCTION("""COMPUTED_VALUE"""),"KERTASARI CIAMIS")</f>
        <v>KERTASARI CIAMIS</v>
      </c>
      <c r="D10956" s="186">
        <f>IFERROR(__xludf.DUMMYFUNCTION("""COMPUTED_VALUE"""),4.0)</f>
        <v>4</v>
      </c>
    </row>
    <row r="10957">
      <c r="A10957" s="178" t="str">
        <f>IFERROR(__xludf.DUMMYFUNCTION("""COMPUTED_VALUE"""),"ITBISA-SERVO-SG90-360DEG")</f>
        <v>ITBISA-SERVO-SG90-360DEG</v>
      </c>
      <c r="B10957" s="266">
        <f>IFERROR(__xludf.DUMMYFUNCTION("""COMPUTED_VALUE"""),45339.0)</f>
        <v>45339</v>
      </c>
      <c r="C10957" s="266" t="str">
        <f>IFERROR(__xludf.DUMMYFUNCTION("""COMPUTED_VALUE"""),"KERTASARI CIAMIS")</f>
        <v>KERTASARI CIAMIS</v>
      </c>
      <c r="D10957" s="186">
        <f>IFERROR(__xludf.DUMMYFUNCTION("""COMPUTED_VALUE"""),4.0)</f>
        <v>4</v>
      </c>
    </row>
    <row r="10958">
      <c r="A10958" s="178" t="str">
        <f>IFERROR(__xludf.DUMMYFUNCTION("""COMPUTED_VALUE"""),"ITBISA-SERVO-SG90-360DEG")</f>
        <v>ITBISA-SERVO-SG90-360DEG</v>
      </c>
      <c r="B10958" s="266">
        <f>IFERROR(__xludf.DUMMYFUNCTION("""COMPUTED_VALUE"""),45343.0)</f>
        <v>45343</v>
      </c>
      <c r="C10958" s="266" t="str">
        <f>IFERROR(__xludf.DUMMYFUNCTION("""COMPUTED_VALUE"""),"KERTASARI CIAMIS")</f>
        <v>KERTASARI CIAMIS</v>
      </c>
      <c r="D10958" s="186">
        <f>IFERROR(__xludf.DUMMYFUNCTION("""COMPUTED_VALUE"""),3.0)</f>
        <v>3</v>
      </c>
    </row>
    <row r="10959">
      <c r="A10959" s="178" t="str">
        <f>IFERROR(__xludf.DUMMYFUNCTION("""COMPUTED_VALUE"""),"ITBISA-SERVO-SG90-360DEG")</f>
        <v>ITBISA-SERVO-SG90-360DEG</v>
      </c>
      <c r="B10959" s="266">
        <f>IFERROR(__xludf.DUMMYFUNCTION("""COMPUTED_VALUE"""),45344.0)</f>
        <v>45344</v>
      </c>
      <c r="C10959" s="266" t="str">
        <f>IFERROR(__xludf.DUMMYFUNCTION("""COMPUTED_VALUE"""),"KERTASARI CIAMIS")</f>
        <v>KERTASARI CIAMIS</v>
      </c>
      <c r="D10959" s="186">
        <f>IFERROR(__xludf.DUMMYFUNCTION("""COMPUTED_VALUE"""),5.0)</f>
        <v>5</v>
      </c>
    </row>
    <row r="10960">
      <c r="A10960" s="178" t="str">
        <f>IFERROR(__xludf.DUMMYFUNCTION("""COMPUTED_VALUE"""),"ITBISA-SERVO-SG90-360DEG")</f>
        <v>ITBISA-SERVO-SG90-360DEG</v>
      </c>
      <c r="B10960" s="266">
        <f>IFERROR(__xludf.DUMMYFUNCTION("""COMPUTED_VALUE"""),45349.0)</f>
        <v>45349</v>
      </c>
      <c r="C10960" s="266" t="str">
        <f>IFERROR(__xludf.DUMMYFUNCTION("""COMPUTED_VALUE"""),"KERTASARI CIAMIS")</f>
        <v>KERTASARI CIAMIS</v>
      </c>
      <c r="D10960" s="186">
        <f>IFERROR(__xludf.DUMMYFUNCTION("""COMPUTED_VALUE"""),2.0)</f>
        <v>2</v>
      </c>
    </row>
    <row r="10961">
      <c r="A10961" s="178" t="str">
        <f>IFERROR(__xludf.DUMMYFUNCTION("""COMPUTED_VALUE"""),"ITBISA-SERVO-SG90-360DEG")</f>
        <v>ITBISA-SERVO-SG90-360DEG</v>
      </c>
      <c r="B10961" s="266">
        <f>IFERROR(__xludf.DUMMYFUNCTION("""COMPUTED_VALUE"""),45350.0)</f>
        <v>45350</v>
      </c>
      <c r="C10961" s="266" t="str">
        <f>IFERROR(__xludf.DUMMYFUNCTION("""COMPUTED_VALUE"""),"KERTASARI CIAMIS")</f>
        <v>KERTASARI CIAMIS</v>
      </c>
      <c r="D10961" s="186">
        <f>IFERROR(__xludf.DUMMYFUNCTION("""COMPUTED_VALUE"""),3.0)</f>
        <v>3</v>
      </c>
    </row>
    <row r="10962">
      <c r="A10962" s="178" t="str">
        <f>IFERROR(__xludf.DUMMYFUNCTION("""COMPUTED_VALUE"""),"ITBISA-SERVO-SG90-360DEG")</f>
        <v>ITBISA-SERVO-SG90-360DEG</v>
      </c>
      <c r="B10962" s="266">
        <f>IFERROR(__xludf.DUMMYFUNCTION("""COMPUTED_VALUE"""),45351.0)</f>
        <v>45351</v>
      </c>
      <c r="C10962" s="266" t="str">
        <f>IFERROR(__xludf.DUMMYFUNCTION("""COMPUTED_VALUE"""),"KERTASARI CIAMIS")</f>
        <v>KERTASARI CIAMIS</v>
      </c>
      <c r="D10962" s="186">
        <f>IFERROR(__xludf.DUMMYFUNCTION("""COMPUTED_VALUE"""),1.0)</f>
        <v>1</v>
      </c>
    </row>
    <row r="10963">
      <c r="A10963" s="178" t="str">
        <f>IFERROR(__xludf.DUMMYFUNCTION("""COMPUTED_VALUE"""),"ITBISA-SERVO-SG90-360DEG")</f>
        <v>ITBISA-SERVO-SG90-360DEG</v>
      </c>
      <c r="B10963" s="266">
        <f>IFERROR(__xludf.DUMMYFUNCTION("""COMPUTED_VALUE"""),45351.0)</f>
        <v>45351</v>
      </c>
      <c r="C10963" s="266" t="str">
        <f>IFERROR(__xludf.DUMMYFUNCTION("""COMPUTED_VALUE"""),"KERTASARI CIAMIS")</f>
        <v>KERTASARI CIAMIS</v>
      </c>
      <c r="D10963" s="186">
        <f>IFERROR(__xludf.DUMMYFUNCTION("""COMPUTED_VALUE"""),1.0)</f>
        <v>1</v>
      </c>
    </row>
    <row r="10964">
      <c r="A10964" s="178" t="str">
        <f>IFERROR(__xludf.DUMMYFUNCTION("""COMPUTED_VALUE"""),"ITBISA-SERVO-SG90-360DEG")</f>
        <v>ITBISA-SERVO-SG90-360DEG</v>
      </c>
      <c r="B10964" s="266">
        <f>IFERROR(__xludf.DUMMYFUNCTION("""COMPUTED_VALUE"""),45359.0)</f>
        <v>45359</v>
      </c>
      <c r="C10964" s="266" t="str">
        <f>IFERROR(__xludf.DUMMYFUNCTION("""COMPUTED_VALUE"""),"KERTASARI CIAMIS")</f>
        <v>KERTASARI CIAMIS</v>
      </c>
      <c r="D10964" s="186">
        <f>IFERROR(__xludf.DUMMYFUNCTION("""COMPUTED_VALUE"""),1.0)</f>
        <v>1</v>
      </c>
    </row>
    <row r="10965">
      <c r="A10965" s="178" t="str">
        <f>IFERROR(__xludf.DUMMYFUNCTION("""COMPUTED_VALUE"""),"ITBISA-SERVO-SG90-360DEG")</f>
        <v>ITBISA-SERVO-SG90-360DEG</v>
      </c>
      <c r="B10965" s="266">
        <f>IFERROR(__xludf.DUMMYFUNCTION("""COMPUTED_VALUE"""),45367.0)</f>
        <v>45367</v>
      </c>
      <c r="C10965" s="266" t="str">
        <f>IFERROR(__xludf.DUMMYFUNCTION("""COMPUTED_VALUE"""),"KERTASARI CIAMIS")</f>
        <v>KERTASARI CIAMIS</v>
      </c>
      <c r="D10965" s="186">
        <f>IFERROR(__xludf.DUMMYFUNCTION("""COMPUTED_VALUE"""),5.0)</f>
        <v>5</v>
      </c>
    </row>
    <row r="10966">
      <c r="A10966" s="178" t="str">
        <f>IFERROR(__xludf.DUMMYFUNCTION("""COMPUTED_VALUE"""),"ITBISA-SERVO-SG90-360DEG")</f>
        <v>ITBISA-SERVO-SG90-360DEG</v>
      </c>
      <c r="B10966" s="266">
        <f>IFERROR(__xludf.DUMMYFUNCTION("""COMPUTED_VALUE"""),45371.0)</f>
        <v>45371</v>
      </c>
      <c r="C10966" s="266" t="str">
        <f>IFERROR(__xludf.DUMMYFUNCTION("""COMPUTED_VALUE"""),"KERTASARI CIAMIS")</f>
        <v>KERTASARI CIAMIS</v>
      </c>
      <c r="D10966" s="186">
        <f>IFERROR(__xludf.DUMMYFUNCTION("""COMPUTED_VALUE"""),1.0)</f>
        <v>1</v>
      </c>
    </row>
    <row r="10967">
      <c r="A10967" s="178" t="str">
        <f>IFERROR(__xludf.DUMMYFUNCTION("""COMPUTED_VALUE"""),"ITBISA-SERVO-SG90-360DEG")</f>
        <v>ITBISA-SERVO-SG90-360DEG</v>
      </c>
      <c r="B10967" s="266">
        <f>IFERROR(__xludf.DUMMYFUNCTION("""COMPUTED_VALUE"""),45373.0)</f>
        <v>45373</v>
      </c>
      <c r="C10967" s="266" t="str">
        <f>IFERROR(__xludf.DUMMYFUNCTION("""COMPUTED_VALUE"""),"KERTASARI CIAMIS")</f>
        <v>KERTASARI CIAMIS</v>
      </c>
      <c r="D10967" s="186">
        <f>IFERROR(__xludf.DUMMYFUNCTION("""COMPUTED_VALUE"""),1.0)</f>
        <v>1</v>
      </c>
    </row>
    <row r="10968">
      <c r="A10968" s="178" t="str">
        <f>IFERROR(__xludf.DUMMYFUNCTION("""COMPUTED_VALUE"""),"ITBISA-SERVO-SG90-360DEG")</f>
        <v>ITBISA-SERVO-SG90-360DEG</v>
      </c>
      <c r="B10968" s="266">
        <f>IFERROR(__xludf.DUMMYFUNCTION("""COMPUTED_VALUE"""),45375.0)</f>
        <v>45375</v>
      </c>
      <c r="C10968" s="266" t="str">
        <f>IFERROR(__xludf.DUMMYFUNCTION("""COMPUTED_VALUE"""),"KERTASARI CIAMIS")</f>
        <v>KERTASARI CIAMIS</v>
      </c>
      <c r="D10968" s="186">
        <f>IFERROR(__xludf.DUMMYFUNCTION("""COMPUTED_VALUE"""),2.0)</f>
        <v>2</v>
      </c>
    </row>
    <row r="10969">
      <c r="A10969" s="178" t="str">
        <f>IFERROR(__xludf.DUMMYFUNCTION("""COMPUTED_VALUE"""),"ITBISA-SERVO-SG90-360DEG")</f>
        <v>ITBISA-SERVO-SG90-360DEG</v>
      </c>
      <c r="B10969" s="266">
        <f>IFERROR(__xludf.DUMMYFUNCTION("""COMPUTED_VALUE"""),45376.0)</f>
        <v>45376</v>
      </c>
      <c r="C10969" s="266" t="str">
        <f>IFERROR(__xludf.DUMMYFUNCTION("""COMPUTED_VALUE"""),"KERTASARI CIAMIS")</f>
        <v>KERTASARI CIAMIS</v>
      </c>
      <c r="D10969" s="186">
        <f>IFERROR(__xludf.DUMMYFUNCTION("""COMPUTED_VALUE"""),1.0)</f>
        <v>1</v>
      </c>
    </row>
    <row r="10970">
      <c r="A10970" s="178" t="str">
        <f>IFERROR(__xludf.DUMMYFUNCTION("""COMPUTED_VALUE"""),"ITBISA-SERVO-SG90-360DEG")</f>
        <v>ITBISA-SERVO-SG90-360DEG</v>
      </c>
      <c r="B10970" s="266">
        <f>IFERROR(__xludf.DUMMYFUNCTION("""COMPUTED_VALUE"""),45377.0)</f>
        <v>45377</v>
      </c>
      <c r="C10970" s="266" t="str">
        <f>IFERROR(__xludf.DUMMYFUNCTION("""COMPUTED_VALUE"""),"KERTASARI CIAMIS")</f>
        <v>KERTASARI CIAMIS</v>
      </c>
      <c r="D10970" s="186">
        <f>IFERROR(__xludf.DUMMYFUNCTION("""COMPUTED_VALUE"""),1.0)</f>
        <v>1</v>
      </c>
    </row>
    <row r="10971">
      <c r="A10971" s="178" t="str">
        <f>IFERROR(__xludf.DUMMYFUNCTION("""COMPUTED_VALUE"""),"ITBISA-SERVO-SG90-360DEG")</f>
        <v>ITBISA-SERVO-SG90-360DEG</v>
      </c>
      <c r="B10971" s="266">
        <f>IFERROR(__xludf.DUMMYFUNCTION("""COMPUTED_VALUE"""),45377.0)</f>
        <v>45377</v>
      </c>
      <c r="C10971" s="266" t="str">
        <f>IFERROR(__xludf.DUMMYFUNCTION("""COMPUTED_VALUE"""),"KERTASARI CIAMIS")</f>
        <v>KERTASARI CIAMIS</v>
      </c>
      <c r="D10971" s="186">
        <f>IFERROR(__xludf.DUMMYFUNCTION("""COMPUTED_VALUE"""),3.0)</f>
        <v>3</v>
      </c>
    </row>
    <row r="10972">
      <c r="A10972" s="178" t="str">
        <f>IFERROR(__xludf.DUMMYFUNCTION("""COMPUTED_VALUE"""),"ITBISA-SERVO-SG90-360DEG")</f>
        <v>ITBISA-SERVO-SG90-360DEG</v>
      </c>
      <c r="B10972" s="266">
        <f>IFERROR(__xludf.DUMMYFUNCTION("""COMPUTED_VALUE"""),45379.0)</f>
        <v>45379</v>
      </c>
      <c r="C10972" s="266" t="str">
        <f>IFERROR(__xludf.DUMMYFUNCTION("""COMPUTED_VALUE"""),"KERTASARI CIAMIS")</f>
        <v>KERTASARI CIAMIS</v>
      </c>
      <c r="D10972" s="186">
        <f>IFERROR(__xludf.DUMMYFUNCTION("""COMPUTED_VALUE"""),1.0)</f>
        <v>1</v>
      </c>
    </row>
    <row r="10973">
      <c r="A10973" s="178" t="str">
        <f>IFERROR(__xludf.DUMMYFUNCTION("""COMPUTED_VALUE"""),"ITBISA-SERVO-SG90-360DEG")</f>
        <v>ITBISA-SERVO-SG90-360DEG</v>
      </c>
      <c r="B10973" s="266">
        <f>IFERROR(__xludf.DUMMYFUNCTION("""COMPUTED_VALUE"""),45381.0)</f>
        <v>45381</v>
      </c>
      <c r="C10973" s="266" t="str">
        <f>IFERROR(__xludf.DUMMYFUNCTION("""COMPUTED_VALUE"""),"KYAI KONTONG")</f>
        <v>KYAI KONTONG</v>
      </c>
      <c r="D10973" s="186">
        <f>IFERROR(__xludf.DUMMYFUNCTION("""COMPUTED_VALUE"""),5.0)</f>
        <v>5</v>
      </c>
    </row>
    <row r="10974">
      <c r="A10974" s="178" t="str">
        <f>IFERROR(__xludf.DUMMYFUNCTION("""COMPUTED_VALUE"""),"ITBISA-SERVO-SG90-360DEG")</f>
        <v>ITBISA-SERVO-SG90-360DEG</v>
      </c>
      <c r="B10974" s="266">
        <f>IFERROR(__xludf.DUMMYFUNCTION("""COMPUTED_VALUE"""),45383.0)</f>
        <v>45383</v>
      </c>
      <c r="C10974" s="266" t="str">
        <f>IFERROR(__xludf.DUMMYFUNCTION("""COMPUTED_VALUE"""),"KERTASARI CIAMIS")</f>
        <v>KERTASARI CIAMIS</v>
      </c>
      <c r="D10974" s="186">
        <f>IFERROR(__xludf.DUMMYFUNCTION("""COMPUTED_VALUE"""),1.0)</f>
        <v>1</v>
      </c>
    </row>
    <row r="10975">
      <c r="A10975" s="178" t="str">
        <f>IFERROR(__xludf.DUMMYFUNCTION("""COMPUTED_VALUE"""),"ITBISA-SERVO-SG90-360DEG")</f>
        <v>ITBISA-SERVO-SG90-360DEG</v>
      </c>
      <c r="B10975" s="266">
        <f>IFERROR(__xludf.DUMMYFUNCTION("""COMPUTED_VALUE"""),45383.0)</f>
        <v>45383</v>
      </c>
      <c r="C10975" s="266" t="str">
        <f>IFERROR(__xludf.DUMMYFUNCTION("""COMPUTED_VALUE"""),"KERTASARI CIAMIS")</f>
        <v>KERTASARI CIAMIS</v>
      </c>
      <c r="D10975" s="186">
        <f>IFERROR(__xludf.DUMMYFUNCTION("""COMPUTED_VALUE"""),2.0)</f>
        <v>2</v>
      </c>
    </row>
    <row r="10976">
      <c r="A10976" s="178" t="str">
        <f>IFERROR(__xludf.DUMMYFUNCTION("""COMPUTED_VALUE"""),"ITBISA-SERVO-SG90-360DEG")</f>
        <v>ITBISA-SERVO-SG90-360DEG</v>
      </c>
      <c r="B10976" s="266">
        <f>IFERROR(__xludf.DUMMYFUNCTION("""COMPUTED_VALUE"""),45384.0)</f>
        <v>45384</v>
      </c>
      <c r="C10976" s="266" t="str">
        <f>IFERROR(__xludf.DUMMYFUNCTION("""COMPUTED_VALUE"""),"KERTASARI CIAMIS")</f>
        <v>KERTASARI CIAMIS</v>
      </c>
      <c r="D10976" s="186">
        <f>IFERROR(__xludf.DUMMYFUNCTION("""COMPUTED_VALUE"""),2.0)</f>
        <v>2</v>
      </c>
    </row>
    <row r="10977">
      <c r="A10977" s="178" t="str">
        <f>IFERROR(__xludf.DUMMYFUNCTION("""COMPUTED_VALUE"""),"ITBISA-SERVO-SG90-360DEG")</f>
        <v>ITBISA-SERVO-SG90-360DEG</v>
      </c>
      <c r="B10977" s="266">
        <f>IFERROR(__xludf.DUMMYFUNCTION("""COMPUTED_VALUE"""),45389.0)</f>
        <v>45389</v>
      </c>
      <c r="C10977" s="266" t="str">
        <f>IFERROR(__xludf.DUMMYFUNCTION("""COMPUTED_VALUE"""),"KERTASARI CIAMIS")</f>
        <v>KERTASARI CIAMIS</v>
      </c>
      <c r="D10977" s="186">
        <f>IFERROR(__xludf.DUMMYFUNCTION("""COMPUTED_VALUE"""),1.0)</f>
        <v>1</v>
      </c>
    </row>
    <row r="10978">
      <c r="A10978" s="178" t="str">
        <f>IFERROR(__xludf.DUMMYFUNCTION("""COMPUTED_VALUE"""),"ITBISA-SERVO-SG90-360DEG")</f>
        <v>ITBISA-SERVO-SG90-360DEG</v>
      </c>
      <c r="B10978" s="266">
        <f>IFERROR(__xludf.DUMMYFUNCTION("""COMPUTED_VALUE"""),45390.0)</f>
        <v>45390</v>
      </c>
      <c r="C10978" s="266" t="str">
        <f>IFERROR(__xludf.DUMMYFUNCTION("""COMPUTED_VALUE"""),"KERTASARI CIAMIS")</f>
        <v>KERTASARI CIAMIS</v>
      </c>
      <c r="D10978" s="186">
        <f>IFERROR(__xludf.DUMMYFUNCTION("""COMPUTED_VALUE"""),7.0)</f>
        <v>7</v>
      </c>
    </row>
    <row r="10979">
      <c r="A10979" s="178" t="str">
        <f>IFERROR(__xludf.DUMMYFUNCTION("""COMPUTED_VALUE"""),"ITBISA-SERVO-SG90-360DEG")</f>
        <v>ITBISA-SERVO-SG90-360DEG</v>
      </c>
      <c r="B10979" s="266">
        <f>IFERROR(__xludf.DUMMYFUNCTION("""COMPUTED_VALUE"""),45434.0)</f>
        <v>45434</v>
      </c>
      <c r="C10979" s="266" t="str">
        <f>IFERROR(__xludf.DUMMYFUNCTION("""COMPUTED_VALUE"""),"KYAI KONTONG")</f>
        <v>KYAI KONTONG</v>
      </c>
      <c r="D10979" s="186">
        <f>IFERROR(__xludf.DUMMYFUNCTION("""COMPUTED_VALUE"""),1.0)</f>
        <v>1</v>
      </c>
    </row>
    <row r="10980">
      <c r="A10980" s="178" t="str">
        <f>IFERROR(__xludf.DUMMYFUNCTION("""COMPUTED_VALUE"""),"ITBISA-SERVO-SG90-360DEG")</f>
        <v>ITBISA-SERVO-SG90-360DEG</v>
      </c>
      <c r="B10980" s="266">
        <f>IFERROR(__xludf.DUMMYFUNCTION("""COMPUTED_VALUE"""),45434.0)</f>
        <v>45434</v>
      </c>
      <c r="C10980" s="266" t="str">
        <f>IFERROR(__xludf.DUMMYFUNCTION("""COMPUTED_VALUE"""),"KYAI KONTONG")</f>
        <v>KYAI KONTONG</v>
      </c>
      <c r="D10980" s="186">
        <f>IFERROR(__xludf.DUMMYFUNCTION("""COMPUTED_VALUE"""),1.0)</f>
        <v>1</v>
      </c>
    </row>
    <row r="10981">
      <c r="A10981" s="178" t="str">
        <f>IFERROR(__xludf.DUMMYFUNCTION("""COMPUTED_VALUE"""),"ITBISA-SERVO-SG90-360DEG")</f>
        <v>ITBISA-SERVO-SG90-360DEG</v>
      </c>
      <c r="B10981" s="266">
        <f>IFERROR(__xludf.DUMMYFUNCTION("""COMPUTED_VALUE"""),45439.0)</f>
        <v>45439</v>
      </c>
      <c r="C10981" s="266" t="str">
        <f>IFERROR(__xludf.DUMMYFUNCTION("""COMPUTED_VALUE"""),"KERTASARI CIAMIS")</f>
        <v>KERTASARI CIAMIS</v>
      </c>
      <c r="D10981" s="186">
        <f>IFERROR(__xludf.DUMMYFUNCTION("""COMPUTED_VALUE"""),1.0)</f>
        <v>1</v>
      </c>
    </row>
    <row r="10982">
      <c r="A10982" s="178" t="str">
        <f>IFERROR(__xludf.DUMMYFUNCTION("""COMPUTED_VALUE"""),"ITBISA-SERVO-SG90-360DEG")</f>
        <v>ITBISA-SERVO-SG90-360DEG</v>
      </c>
      <c r="B10982" s="266">
        <f>IFERROR(__xludf.DUMMYFUNCTION("""COMPUTED_VALUE"""),45439.0)</f>
        <v>45439</v>
      </c>
      <c r="C10982" s="266" t="str">
        <f>IFERROR(__xludf.DUMMYFUNCTION("""COMPUTED_VALUE"""),"KYAI KONTONG")</f>
        <v>KYAI KONTONG</v>
      </c>
      <c r="D10982" s="186">
        <f>IFERROR(__xludf.DUMMYFUNCTION("""COMPUTED_VALUE"""),2.0)</f>
        <v>2</v>
      </c>
    </row>
    <row r="10983">
      <c r="A10983" s="178" t="str">
        <f>IFERROR(__xludf.DUMMYFUNCTION("""COMPUTED_VALUE"""),"ITBISA-SERVO-SG90-360DEG")</f>
        <v>ITBISA-SERVO-SG90-360DEG</v>
      </c>
      <c r="B10983" s="266">
        <f>IFERROR(__xludf.DUMMYFUNCTION("""COMPUTED_VALUE"""),45439.0)</f>
        <v>45439</v>
      </c>
      <c r="C10983" s="266" t="str">
        <f>IFERROR(__xludf.DUMMYFUNCTION("""COMPUTED_VALUE"""),"KYAI KONTONG")</f>
        <v>KYAI KONTONG</v>
      </c>
      <c r="D10983" s="186">
        <f>IFERROR(__xludf.DUMMYFUNCTION("""COMPUTED_VALUE"""),2.0)</f>
        <v>2</v>
      </c>
    </row>
    <row r="10984">
      <c r="A10984" s="178" t="str">
        <f>IFERROR(__xludf.DUMMYFUNCTION("""COMPUTED_VALUE"""),"ITBISA-SERVO-SG90-360DEG")</f>
        <v>ITBISA-SERVO-SG90-360DEG</v>
      </c>
      <c r="B10984" s="266">
        <f>IFERROR(__xludf.DUMMYFUNCTION("""COMPUTED_VALUE"""),45443.0)</f>
        <v>45443</v>
      </c>
      <c r="C10984" s="266" t="str">
        <f>IFERROR(__xludf.DUMMYFUNCTION("""COMPUTED_VALUE"""),"KYAI KONTONG")</f>
        <v>KYAI KONTONG</v>
      </c>
      <c r="D10984" s="186">
        <f>IFERROR(__xludf.DUMMYFUNCTION("""COMPUTED_VALUE"""),1.0)</f>
        <v>1</v>
      </c>
    </row>
    <row r="10985">
      <c r="A10985" s="178" t="str">
        <f>IFERROR(__xludf.DUMMYFUNCTION("""COMPUTED_VALUE"""),"ITBISA-SERVO-SG90-360DEG")</f>
        <v>ITBISA-SERVO-SG90-360DEG</v>
      </c>
      <c r="B10985" s="266">
        <f>IFERROR(__xludf.DUMMYFUNCTION("""COMPUTED_VALUE"""),45445.0)</f>
        <v>45445</v>
      </c>
      <c r="C10985" s="266" t="str">
        <f>IFERROR(__xludf.DUMMYFUNCTION("""COMPUTED_VALUE"""),"KERTASARI CIAMIS")</f>
        <v>KERTASARI CIAMIS</v>
      </c>
      <c r="D10985" s="186">
        <f>IFERROR(__xludf.DUMMYFUNCTION("""COMPUTED_VALUE"""),1.0)</f>
        <v>1</v>
      </c>
    </row>
    <row r="10986">
      <c r="A10986" s="178" t="str">
        <f>IFERROR(__xludf.DUMMYFUNCTION("""COMPUTED_VALUE"""),"ITBISA-SERVO-SG90-360DEG")</f>
        <v>ITBISA-SERVO-SG90-360DEG</v>
      </c>
      <c r="B10986" s="266">
        <f>IFERROR(__xludf.DUMMYFUNCTION("""COMPUTED_VALUE"""),45449.0)</f>
        <v>45449</v>
      </c>
      <c r="C10986" s="266" t="str">
        <f>IFERROR(__xludf.DUMMYFUNCTION("""COMPUTED_VALUE"""),"KERTASARI CIAMIS")</f>
        <v>KERTASARI CIAMIS</v>
      </c>
      <c r="D10986" s="186">
        <f>IFERROR(__xludf.DUMMYFUNCTION("""COMPUTED_VALUE"""),4.0)</f>
        <v>4</v>
      </c>
    </row>
    <row r="10987">
      <c r="A10987" s="178" t="str">
        <f>IFERROR(__xludf.DUMMYFUNCTION("""COMPUTED_VALUE"""),"ITBISA-SERVO-SG90-360DEG")</f>
        <v>ITBISA-SERVO-SG90-360DEG</v>
      </c>
      <c r="B10987" s="266">
        <f>IFERROR(__xludf.DUMMYFUNCTION("""COMPUTED_VALUE"""),45451.0)</f>
        <v>45451</v>
      </c>
      <c r="C10987" s="266" t="str">
        <f>IFERROR(__xludf.DUMMYFUNCTION("""COMPUTED_VALUE"""),"KERTASARI CIAMIS")</f>
        <v>KERTASARI CIAMIS</v>
      </c>
      <c r="D10987" s="186">
        <f>IFERROR(__xludf.DUMMYFUNCTION("""COMPUTED_VALUE"""),2.0)</f>
        <v>2</v>
      </c>
    </row>
    <row r="10988">
      <c r="A10988" s="178" t="str">
        <f>IFERROR(__xludf.DUMMYFUNCTION("""COMPUTED_VALUE"""),"ITBISA-SERVO-SG90-360DEG")</f>
        <v>ITBISA-SERVO-SG90-360DEG</v>
      </c>
      <c r="B10988" s="266">
        <f>IFERROR(__xludf.DUMMYFUNCTION("""COMPUTED_VALUE"""),45451.0)</f>
        <v>45451</v>
      </c>
      <c r="C10988" s="266" t="str">
        <f>IFERROR(__xludf.DUMMYFUNCTION("""COMPUTED_VALUE"""),"KERTASARI CIAMIS")</f>
        <v>KERTASARI CIAMIS</v>
      </c>
      <c r="D10988" s="186">
        <f>IFERROR(__xludf.DUMMYFUNCTION("""COMPUTED_VALUE"""),4.0)</f>
        <v>4</v>
      </c>
    </row>
    <row r="10989">
      <c r="A10989" s="178" t="str">
        <f>IFERROR(__xludf.DUMMYFUNCTION("""COMPUTED_VALUE"""),"ITBISA-SERVO-SG90-360DEG")</f>
        <v>ITBISA-SERVO-SG90-360DEG</v>
      </c>
      <c r="B10989" s="266">
        <f>IFERROR(__xludf.DUMMYFUNCTION("""COMPUTED_VALUE"""),45457.0)</f>
        <v>45457</v>
      </c>
      <c r="C10989" s="266" t="str">
        <f>IFERROR(__xludf.DUMMYFUNCTION("""COMPUTED_VALUE"""),"KERTASARI CIAMIS")</f>
        <v>KERTASARI CIAMIS</v>
      </c>
      <c r="D10989" s="186">
        <f>IFERROR(__xludf.DUMMYFUNCTION("""COMPUTED_VALUE"""),1.0)</f>
        <v>1</v>
      </c>
    </row>
    <row r="10990">
      <c r="A10990" s="178" t="str">
        <f>IFERROR(__xludf.DUMMYFUNCTION("""COMPUTED_VALUE"""),"ITBISA-SERVO-SG90-360DEG")</f>
        <v>ITBISA-SERVO-SG90-360DEG</v>
      </c>
      <c r="B10990" s="266">
        <f>IFERROR(__xludf.DUMMYFUNCTION("""COMPUTED_VALUE"""),45458.0)</f>
        <v>45458</v>
      </c>
      <c r="C10990" s="266" t="str">
        <f>IFERROR(__xludf.DUMMYFUNCTION("""COMPUTED_VALUE"""),"KERTASARI CIAMIS")</f>
        <v>KERTASARI CIAMIS</v>
      </c>
      <c r="D10990" s="186">
        <f>IFERROR(__xludf.DUMMYFUNCTION("""COMPUTED_VALUE"""),2.0)</f>
        <v>2</v>
      </c>
    </row>
    <row r="10991">
      <c r="A10991" s="178" t="str">
        <f>IFERROR(__xludf.DUMMYFUNCTION("""COMPUTED_VALUE"""),"ITBISA-SERVO-SG90-360DEG")</f>
        <v>ITBISA-SERVO-SG90-360DEG</v>
      </c>
      <c r="B10991" s="266">
        <f>IFERROR(__xludf.DUMMYFUNCTION("""COMPUTED_VALUE"""),45459.0)</f>
        <v>45459</v>
      </c>
      <c r="C10991" s="266" t="str">
        <f>IFERROR(__xludf.DUMMYFUNCTION("""COMPUTED_VALUE"""),"KYAI KONTONG")</f>
        <v>KYAI KONTONG</v>
      </c>
      <c r="D10991" s="186">
        <f>IFERROR(__xludf.DUMMYFUNCTION("""COMPUTED_VALUE"""),1.0)</f>
        <v>1</v>
      </c>
    </row>
    <row r="10992">
      <c r="A10992" s="178" t="str">
        <f>IFERROR(__xludf.DUMMYFUNCTION("""COMPUTED_VALUE"""),"ITBISA-SERVO-SG90-360DEG")</f>
        <v>ITBISA-SERVO-SG90-360DEG</v>
      </c>
      <c r="B10992" s="266">
        <f>IFERROR(__xludf.DUMMYFUNCTION("""COMPUTED_VALUE"""),45461.0)</f>
        <v>45461</v>
      </c>
      <c r="C10992" s="266" t="str">
        <f>IFERROR(__xludf.DUMMYFUNCTION("""COMPUTED_VALUE"""),"KERTASARI CIAMIS")</f>
        <v>KERTASARI CIAMIS</v>
      </c>
      <c r="D10992" s="186">
        <f>IFERROR(__xludf.DUMMYFUNCTION("""COMPUTED_VALUE"""),2.0)</f>
        <v>2</v>
      </c>
    </row>
    <row r="10993">
      <c r="A10993" s="178" t="str">
        <f>IFERROR(__xludf.DUMMYFUNCTION("""COMPUTED_VALUE"""),"ITBISA-SERVO-SG90-360DEG")</f>
        <v>ITBISA-SERVO-SG90-360DEG</v>
      </c>
      <c r="B10993" s="266">
        <f>IFERROR(__xludf.DUMMYFUNCTION("""COMPUTED_VALUE"""),45467.0)</f>
        <v>45467</v>
      </c>
      <c r="C10993" s="266" t="str">
        <f>IFERROR(__xludf.DUMMYFUNCTION("""COMPUTED_VALUE"""),"KYAI KONTONG")</f>
        <v>KYAI KONTONG</v>
      </c>
      <c r="D10993" s="186">
        <f>IFERROR(__xludf.DUMMYFUNCTION("""COMPUTED_VALUE"""),2.0)</f>
        <v>2</v>
      </c>
    </row>
    <row r="10994">
      <c r="A10994" s="178" t="str">
        <f>IFERROR(__xludf.DUMMYFUNCTION("""COMPUTED_VALUE"""),"ITBISA-SERVO-SG90-360DEG")</f>
        <v>ITBISA-SERVO-SG90-360DEG</v>
      </c>
      <c r="B10994" s="266">
        <f>IFERROR(__xludf.DUMMYFUNCTION("""COMPUTED_VALUE"""),45469.0)</f>
        <v>45469</v>
      </c>
      <c r="C10994" s="266" t="str">
        <f>IFERROR(__xludf.DUMMYFUNCTION("""COMPUTED_VALUE"""),"KYAI KONTONG")</f>
        <v>KYAI KONTONG</v>
      </c>
      <c r="D10994" s="186">
        <f>IFERROR(__xludf.DUMMYFUNCTION("""COMPUTED_VALUE"""),1.0)</f>
        <v>1</v>
      </c>
    </row>
    <row r="10995">
      <c r="A10995" s="178" t="str">
        <f>IFERROR(__xludf.DUMMYFUNCTION("""COMPUTED_VALUE"""),"ITBISA-SERVO-SG90-360DEG")</f>
        <v>ITBISA-SERVO-SG90-360DEG</v>
      </c>
      <c r="B10995" s="266">
        <f>IFERROR(__xludf.DUMMYFUNCTION("""COMPUTED_VALUE"""),45470.0)</f>
        <v>45470</v>
      </c>
      <c r="C10995" s="266" t="str">
        <f>IFERROR(__xludf.DUMMYFUNCTION("""COMPUTED_VALUE"""),"KERTASARI CIAMIS")</f>
        <v>KERTASARI CIAMIS</v>
      </c>
      <c r="D10995" s="186">
        <f>IFERROR(__xludf.DUMMYFUNCTION("""COMPUTED_VALUE"""),2.0)</f>
        <v>2</v>
      </c>
    </row>
    <row r="10996">
      <c r="A10996" s="178" t="str">
        <f>IFERROR(__xludf.DUMMYFUNCTION("""COMPUTED_VALUE"""),"ITBISA-SERVO-SG90-360DEG")</f>
        <v>ITBISA-SERVO-SG90-360DEG</v>
      </c>
      <c r="B10996" s="266">
        <f>IFERROR(__xludf.DUMMYFUNCTION("""COMPUTED_VALUE"""),45475.0)</f>
        <v>45475</v>
      </c>
      <c r="C10996" s="266" t="str">
        <f>IFERROR(__xludf.DUMMYFUNCTION("""COMPUTED_VALUE"""),"KYAI KONTONG")</f>
        <v>KYAI KONTONG</v>
      </c>
      <c r="D10996" s="186">
        <f>IFERROR(__xludf.DUMMYFUNCTION("""COMPUTED_VALUE"""),1.0)</f>
        <v>1</v>
      </c>
    </row>
    <row r="10997">
      <c r="A10997" s="178" t="str">
        <f>IFERROR(__xludf.DUMMYFUNCTION("""COMPUTED_VALUE"""),"ITBISA-SERVO-SG90-360DEG")</f>
        <v>ITBISA-SERVO-SG90-360DEG</v>
      </c>
      <c r="B10997" s="266">
        <f>IFERROR(__xludf.DUMMYFUNCTION("""COMPUTED_VALUE"""),45477.0)</f>
        <v>45477</v>
      </c>
      <c r="C10997" s="266" t="str">
        <f>IFERROR(__xludf.DUMMYFUNCTION("""COMPUTED_VALUE"""),"KYAI KONTONG")</f>
        <v>KYAI KONTONG</v>
      </c>
      <c r="D10997" s="186">
        <f>IFERROR(__xludf.DUMMYFUNCTION("""COMPUTED_VALUE"""),1.0)</f>
        <v>1</v>
      </c>
    </row>
    <row r="10998">
      <c r="A10998" s="178" t="str">
        <f>IFERROR(__xludf.DUMMYFUNCTION("""COMPUTED_VALUE"""),"ITBISA-SERVO-SG90-360DEG")</f>
        <v>ITBISA-SERVO-SG90-360DEG</v>
      </c>
      <c r="B10998" s="266">
        <f>IFERROR(__xludf.DUMMYFUNCTION("""COMPUTED_VALUE"""),45483.0)</f>
        <v>45483</v>
      </c>
      <c r="C10998" s="266" t="str">
        <f>IFERROR(__xludf.DUMMYFUNCTION("""COMPUTED_VALUE"""),"KERTASARI CIAMIS")</f>
        <v>KERTASARI CIAMIS</v>
      </c>
      <c r="D10998" s="186">
        <f>IFERROR(__xludf.DUMMYFUNCTION("""COMPUTED_VALUE"""),5.0)</f>
        <v>5</v>
      </c>
    </row>
    <row r="10999">
      <c r="A10999" s="178" t="str">
        <f>IFERROR(__xludf.DUMMYFUNCTION("""COMPUTED_VALUE"""),"ITBISA-SERVO-SG90-360DEG")</f>
        <v>ITBISA-SERVO-SG90-360DEG</v>
      </c>
      <c r="B10999" s="266">
        <f>IFERROR(__xludf.DUMMYFUNCTION("""COMPUTED_VALUE"""),45484.0)</f>
        <v>45484</v>
      </c>
      <c r="C10999" s="266" t="str">
        <f>IFERROR(__xludf.DUMMYFUNCTION("""COMPUTED_VALUE"""),"KYAI KONTONG")</f>
        <v>KYAI KONTONG</v>
      </c>
      <c r="D10999" s="186">
        <f>IFERROR(__xludf.DUMMYFUNCTION("""COMPUTED_VALUE"""),7.0)</f>
        <v>7</v>
      </c>
    </row>
    <row r="11000">
      <c r="A11000" s="178" t="str">
        <f>IFERROR(__xludf.DUMMYFUNCTION("""COMPUTED_VALUE"""),"ITBISA-SERVO-SG90-360DEG")</f>
        <v>ITBISA-SERVO-SG90-360DEG</v>
      </c>
      <c r="B11000" s="266">
        <f>IFERROR(__xludf.DUMMYFUNCTION("""COMPUTED_VALUE"""),45486.0)</f>
        <v>45486</v>
      </c>
      <c r="C11000" s="266" t="str">
        <f>IFERROR(__xludf.DUMMYFUNCTION("""COMPUTED_VALUE"""),"KYAI KONTONG")</f>
        <v>KYAI KONTONG</v>
      </c>
      <c r="D11000" s="186">
        <f>IFERROR(__xludf.DUMMYFUNCTION("""COMPUTED_VALUE"""),1.0)</f>
        <v>1</v>
      </c>
    </row>
    <row r="11001">
      <c r="A11001" s="178" t="str">
        <f>IFERROR(__xludf.DUMMYFUNCTION("""COMPUTED_VALUE"""),"ITBISA-SERVO-SG90-360DEG")</f>
        <v>ITBISA-SERVO-SG90-360DEG</v>
      </c>
      <c r="B11001" s="266">
        <f>IFERROR(__xludf.DUMMYFUNCTION("""COMPUTED_VALUE"""),45488.0)</f>
        <v>45488</v>
      </c>
      <c r="C11001" s="266" t="str">
        <f>IFERROR(__xludf.DUMMYFUNCTION("""COMPUTED_VALUE"""),"KERTASARI CIAMIS")</f>
        <v>KERTASARI CIAMIS</v>
      </c>
      <c r="D11001" s="186">
        <f>IFERROR(__xludf.DUMMYFUNCTION("""COMPUTED_VALUE"""),6.0)</f>
        <v>6</v>
      </c>
    </row>
    <row r="11002">
      <c r="A11002" s="178" t="str">
        <f>IFERROR(__xludf.DUMMYFUNCTION("""COMPUTED_VALUE"""),"ITBISA-SERVO-SG90-360DEG")</f>
        <v>ITBISA-SERVO-SG90-360DEG</v>
      </c>
      <c r="B11002" s="266">
        <f>IFERROR(__xludf.DUMMYFUNCTION("""COMPUTED_VALUE"""),45495.0)</f>
        <v>45495</v>
      </c>
      <c r="C11002" s="266" t="str">
        <f>IFERROR(__xludf.DUMMYFUNCTION("""COMPUTED_VALUE"""),"KERTASARI CIAMIS")</f>
        <v>KERTASARI CIAMIS</v>
      </c>
      <c r="D11002" s="186">
        <f>IFERROR(__xludf.DUMMYFUNCTION("""COMPUTED_VALUE"""),2.0)</f>
        <v>2</v>
      </c>
    </row>
    <row r="11003">
      <c r="A11003" s="178" t="str">
        <f>IFERROR(__xludf.DUMMYFUNCTION("""COMPUTED_VALUE"""),"ITBISA-SERVO-SG90-360DEG")</f>
        <v>ITBISA-SERVO-SG90-360DEG</v>
      </c>
      <c r="B11003" s="266">
        <f>IFERROR(__xludf.DUMMYFUNCTION("""COMPUTED_VALUE"""),45495.0)</f>
        <v>45495</v>
      </c>
      <c r="C11003" s="266" t="str">
        <f>IFERROR(__xludf.DUMMYFUNCTION("""COMPUTED_VALUE"""),"KYAI KONTONG")</f>
        <v>KYAI KONTONG</v>
      </c>
      <c r="D11003" s="186">
        <f>IFERROR(__xludf.DUMMYFUNCTION("""COMPUTED_VALUE"""),1.0)</f>
        <v>1</v>
      </c>
    </row>
    <row r="11004">
      <c r="A11004" s="178" t="str">
        <f>IFERROR(__xludf.DUMMYFUNCTION("""COMPUTED_VALUE"""),"ITBISA-SERVO-SG90-360DEG")</f>
        <v>ITBISA-SERVO-SG90-360DEG</v>
      </c>
      <c r="B11004" s="266">
        <f>IFERROR(__xludf.DUMMYFUNCTION("""COMPUTED_VALUE"""),45497.0)</f>
        <v>45497</v>
      </c>
      <c r="C11004" s="266" t="str">
        <f>IFERROR(__xludf.DUMMYFUNCTION("""COMPUTED_VALUE"""),"KYAI KONTONG")</f>
        <v>KYAI KONTONG</v>
      </c>
      <c r="D11004" s="186">
        <f>IFERROR(__xludf.DUMMYFUNCTION("""COMPUTED_VALUE"""),2.0)</f>
        <v>2</v>
      </c>
    </row>
    <row r="11005">
      <c r="A11005" s="178" t="str">
        <f>IFERROR(__xludf.DUMMYFUNCTION("""COMPUTED_VALUE"""),"ITBISA-SERVO-SG90-360DEG")</f>
        <v>ITBISA-SERVO-SG90-360DEG</v>
      </c>
      <c r="B11005" s="266">
        <f>IFERROR(__xludf.DUMMYFUNCTION("""COMPUTED_VALUE"""),45499.0)</f>
        <v>45499</v>
      </c>
      <c r="C11005" s="266" t="str">
        <f>IFERROR(__xludf.DUMMYFUNCTION("""COMPUTED_VALUE"""),"KYAI KONTONG")</f>
        <v>KYAI KONTONG</v>
      </c>
      <c r="D11005" s="186">
        <f>IFERROR(__xludf.DUMMYFUNCTION("""COMPUTED_VALUE"""),1.0)</f>
        <v>1</v>
      </c>
    </row>
    <row r="11006">
      <c r="A11006" s="178" t="str">
        <f>IFERROR(__xludf.DUMMYFUNCTION("""COMPUTED_VALUE"""),"ITBISA-SERVO-SG90-360DEG")</f>
        <v>ITBISA-SERVO-SG90-360DEG</v>
      </c>
      <c r="B11006" s="266">
        <f>IFERROR(__xludf.DUMMYFUNCTION("""COMPUTED_VALUE"""),45499.0)</f>
        <v>45499</v>
      </c>
      <c r="C11006" s="266" t="str">
        <f>IFERROR(__xludf.DUMMYFUNCTION("""COMPUTED_VALUE"""),"KYAI KONTONG")</f>
        <v>KYAI KONTONG</v>
      </c>
      <c r="D11006" s="186">
        <f>IFERROR(__xludf.DUMMYFUNCTION("""COMPUTED_VALUE"""),4.0)</f>
        <v>4</v>
      </c>
    </row>
    <row r="11007">
      <c r="A11007" s="178" t="str">
        <f>IFERROR(__xludf.DUMMYFUNCTION("""COMPUTED_VALUE"""),"ITBISA-SERVO-SG90-360DEG")</f>
        <v>ITBISA-SERVO-SG90-360DEG</v>
      </c>
      <c r="B11007" s="266">
        <f>IFERROR(__xludf.DUMMYFUNCTION("""COMPUTED_VALUE"""),45501.0)</f>
        <v>45501</v>
      </c>
      <c r="C11007" s="266" t="str">
        <f>IFERROR(__xludf.DUMMYFUNCTION("""COMPUTED_VALUE"""),"KERTASARI CIAMIS")</f>
        <v>KERTASARI CIAMIS</v>
      </c>
      <c r="D11007" s="186">
        <f>IFERROR(__xludf.DUMMYFUNCTION("""COMPUTED_VALUE"""),1.0)</f>
        <v>1</v>
      </c>
    </row>
    <row r="11008">
      <c r="A11008" s="178" t="str">
        <f>IFERROR(__xludf.DUMMYFUNCTION("""COMPUTED_VALUE"""),"ITBISA-SERVO-SG90-360DEG")</f>
        <v>ITBISA-SERVO-SG90-360DEG</v>
      </c>
      <c r="B11008" s="266">
        <f>IFERROR(__xludf.DUMMYFUNCTION("""COMPUTED_VALUE"""),45501.0)</f>
        <v>45501</v>
      </c>
      <c r="C11008" s="266" t="str">
        <f>IFERROR(__xludf.DUMMYFUNCTION("""COMPUTED_VALUE"""),"KYAI KONTONG")</f>
        <v>KYAI KONTONG</v>
      </c>
      <c r="D11008" s="186">
        <f>IFERROR(__xludf.DUMMYFUNCTION("""COMPUTED_VALUE"""),4.0)</f>
        <v>4</v>
      </c>
    </row>
    <row r="11009">
      <c r="A11009" s="178" t="str">
        <f>IFERROR(__xludf.DUMMYFUNCTION("""COMPUTED_VALUE"""),"ITBISA-SERVO-SG90-360DEG")</f>
        <v>ITBISA-SERVO-SG90-360DEG</v>
      </c>
      <c r="B11009" s="266">
        <f>IFERROR(__xludf.DUMMYFUNCTION("""COMPUTED_VALUE"""),45502.0)</f>
        <v>45502</v>
      </c>
      <c r="C11009" s="266" t="str">
        <f>IFERROR(__xludf.DUMMYFUNCTION("""COMPUTED_VALUE"""),"KYAI KONTONG")</f>
        <v>KYAI KONTONG</v>
      </c>
      <c r="D11009" s="186">
        <f>IFERROR(__xludf.DUMMYFUNCTION("""COMPUTED_VALUE"""),1.0)</f>
        <v>1</v>
      </c>
    </row>
    <row r="11010">
      <c r="A11010" s="178" t="str">
        <f>IFERROR(__xludf.DUMMYFUNCTION("""COMPUTED_VALUE"""),"ITBISA-SERVO-SG90-360DEG")</f>
        <v>ITBISA-SERVO-SG90-360DEG</v>
      </c>
      <c r="B11010" s="266">
        <f>IFERROR(__xludf.DUMMYFUNCTION("""COMPUTED_VALUE"""),45503.0)</f>
        <v>45503</v>
      </c>
      <c r="C11010" s="266" t="str">
        <f>IFERROR(__xludf.DUMMYFUNCTION("""COMPUTED_VALUE"""),"KERTASARI CIAMIS")</f>
        <v>KERTASARI CIAMIS</v>
      </c>
      <c r="D11010" s="186">
        <f>IFERROR(__xludf.DUMMYFUNCTION("""COMPUTED_VALUE"""),4.0)</f>
        <v>4</v>
      </c>
    </row>
    <row r="11011">
      <c r="A11011" s="178" t="str">
        <f>IFERROR(__xludf.DUMMYFUNCTION("""COMPUTED_VALUE"""),"ITBISA-SERVO-SG90-360DEG")</f>
        <v>ITBISA-SERVO-SG90-360DEG</v>
      </c>
      <c r="B11011" s="266">
        <f>IFERROR(__xludf.DUMMYFUNCTION("""COMPUTED_VALUE"""),45503.0)</f>
        <v>45503</v>
      </c>
      <c r="C11011" s="266" t="str">
        <f>IFERROR(__xludf.DUMMYFUNCTION("""COMPUTED_VALUE"""),"KYAI KONTONG")</f>
        <v>KYAI KONTONG</v>
      </c>
      <c r="D11011" s="186">
        <f>IFERROR(__xludf.DUMMYFUNCTION("""COMPUTED_VALUE"""),10.0)</f>
        <v>10</v>
      </c>
    </row>
    <row r="11012">
      <c r="A11012" s="178" t="str">
        <f>IFERROR(__xludf.DUMMYFUNCTION("""COMPUTED_VALUE"""),"ITBISA-SERVO-SG90-360DEG")</f>
        <v>ITBISA-SERVO-SG90-360DEG</v>
      </c>
      <c r="B11012" s="266">
        <f>IFERROR(__xludf.DUMMYFUNCTION("""COMPUTED_VALUE"""),45509.0)</f>
        <v>45509</v>
      </c>
      <c r="C11012" s="266" t="str">
        <f>IFERROR(__xludf.DUMMYFUNCTION("""COMPUTED_VALUE"""),"KERTASARI CIAMIS")</f>
        <v>KERTASARI CIAMIS</v>
      </c>
      <c r="D11012" s="186">
        <f>IFERROR(__xludf.DUMMYFUNCTION("""COMPUTED_VALUE"""),2.0)</f>
        <v>2</v>
      </c>
    </row>
    <row r="11013">
      <c r="A11013" s="178" t="str">
        <f>IFERROR(__xludf.DUMMYFUNCTION("""COMPUTED_VALUE"""),"ITBISA-SERVO-SG90-360DEG")</f>
        <v>ITBISA-SERVO-SG90-360DEG</v>
      </c>
      <c r="B11013" s="266">
        <f>IFERROR(__xludf.DUMMYFUNCTION("""COMPUTED_VALUE"""),45512.0)</f>
        <v>45512</v>
      </c>
      <c r="C11013" s="266" t="str">
        <f>IFERROR(__xludf.DUMMYFUNCTION("""COMPUTED_VALUE"""),"KERTASARI CIAMIS")</f>
        <v>KERTASARI CIAMIS</v>
      </c>
      <c r="D11013" s="186">
        <f>IFERROR(__xludf.DUMMYFUNCTION("""COMPUTED_VALUE"""),8.0)</f>
        <v>8</v>
      </c>
    </row>
    <row r="11014">
      <c r="A11014" s="178" t="str">
        <f>IFERROR(__xludf.DUMMYFUNCTION("""COMPUTED_VALUE"""),"ITBISA-SERVO-SG90-360DEG")</f>
        <v>ITBISA-SERVO-SG90-360DEG</v>
      </c>
      <c r="B11014" s="266">
        <f>IFERROR(__xludf.DUMMYFUNCTION("""COMPUTED_VALUE"""),45518.0)</f>
        <v>45518</v>
      </c>
      <c r="C11014" s="266" t="str">
        <f>IFERROR(__xludf.DUMMYFUNCTION("""COMPUTED_VALUE"""),"KYAI KONTONG")</f>
        <v>KYAI KONTONG</v>
      </c>
      <c r="D11014" s="186">
        <f>IFERROR(__xludf.DUMMYFUNCTION("""COMPUTED_VALUE"""),1.0)</f>
        <v>1</v>
      </c>
    </row>
    <row r="11015">
      <c r="A11015" s="178" t="str">
        <f>IFERROR(__xludf.DUMMYFUNCTION("""COMPUTED_VALUE"""),"ITBISA-SERVO-SG90-360DEG")</f>
        <v>ITBISA-SERVO-SG90-360DEG</v>
      </c>
      <c r="B11015" s="266">
        <f>IFERROR(__xludf.DUMMYFUNCTION("""COMPUTED_VALUE"""),45518.0)</f>
        <v>45518</v>
      </c>
      <c r="C11015" s="266" t="str">
        <f>IFERROR(__xludf.DUMMYFUNCTION("""COMPUTED_VALUE"""),"KYAI KONTONG")</f>
        <v>KYAI KONTONG</v>
      </c>
      <c r="D11015" s="186">
        <f>IFERROR(__xludf.DUMMYFUNCTION("""COMPUTED_VALUE"""),1.0)</f>
        <v>1</v>
      </c>
    </row>
    <row r="11016">
      <c r="A11016" s="178" t="str">
        <f>IFERROR(__xludf.DUMMYFUNCTION("""COMPUTED_VALUE"""),"ITBISA-SERVO-SG90-360DEG")</f>
        <v>ITBISA-SERVO-SG90-360DEG</v>
      </c>
      <c r="B11016" s="266">
        <f>IFERROR(__xludf.DUMMYFUNCTION("""COMPUTED_VALUE"""),45518.0)</f>
        <v>45518</v>
      </c>
      <c r="C11016" s="266" t="str">
        <f>IFERROR(__xludf.DUMMYFUNCTION("""COMPUTED_VALUE"""),"KYAI KONTONG")</f>
        <v>KYAI KONTONG</v>
      </c>
      <c r="D11016" s="186">
        <f>IFERROR(__xludf.DUMMYFUNCTION("""COMPUTED_VALUE"""),1.0)</f>
        <v>1</v>
      </c>
    </row>
    <row r="11017">
      <c r="A11017" s="178" t="str">
        <f>IFERROR(__xludf.DUMMYFUNCTION("""COMPUTED_VALUE"""),"ITBISA-SERVO-SG90-360DEG")</f>
        <v>ITBISA-SERVO-SG90-360DEG</v>
      </c>
      <c r="B11017" s="266">
        <f>IFERROR(__xludf.DUMMYFUNCTION("""COMPUTED_VALUE"""),45522.0)</f>
        <v>45522</v>
      </c>
      <c r="C11017" s="266" t="str">
        <f>IFERROR(__xludf.DUMMYFUNCTION("""COMPUTED_VALUE"""),"KYAI KONTONG")</f>
        <v>KYAI KONTONG</v>
      </c>
      <c r="D11017" s="186">
        <f>IFERROR(__xludf.DUMMYFUNCTION("""COMPUTED_VALUE"""),1.0)</f>
        <v>1</v>
      </c>
    </row>
    <row r="11018">
      <c r="A11018" s="178" t="str">
        <f>IFERROR(__xludf.DUMMYFUNCTION("""COMPUTED_VALUE"""),"ITBISA-SERVO-SG90-360DEG")</f>
        <v>ITBISA-SERVO-SG90-360DEG</v>
      </c>
      <c r="B11018" s="266">
        <f>IFERROR(__xludf.DUMMYFUNCTION("""COMPUTED_VALUE"""),45524.0)</f>
        <v>45524</v>
      </c>
      <c r="C11018" s="266" t="str">
        <f>IFERROR(__xludf.DUMMYFUNCTION("""COMPUTED_VALUE"""),"KYAI KONTONG")</f>
        <v>KYAI KONTONG</v>
      </c>
      <c r="D11018" s="186">
        <f>IFERROR(__xludf.DUMMYFUNCTION("""COMPUTED_VALUE"""),1.0)</f>
        <v>1</v>
      </c>
    </row>
    <row r="11019">
      <c r="A11019" s="178" t="str">
        <f>IFERROR(__xludf.DUMMYFUNCTION("""COMPUTED_VALUE"""),"ITBISA-SERVO-SG90-360DEG")</f>
        <v>ITBISA-SERVO-SG90-360DEG</v>
      </c>
      <c r="B11019" s="266">
        <f>IFERROR(__xludf.DUMMYFUNCTION("""COMPUTED_VALUE"""),45526.0)</f>
        <v>45526</v>
      </c>
      <c r="C11019" s="266" t="str">
        <f>IFERROR(__xludf.DUMMYFUNCTION("""COMPUTED_VALUE"""),"KYAI KONTONG")</f>
        <v>KYAI KONTONG</v>
      </c>
      <c r="D11019" s="186">
        <f>IFERROR(__xludf.DUMMYFUNCTION("""COMPUTED_VALUE"""),1.0)</f>
        <v>1</v>
      </c>
    </row>
    <row r="11020">
      <c r="A11020" s="178" t="str">
        <f>IFERROR(__xludf.DUMMYFUNCTION("""COMPUTED_VALUE"""),"ITBISA-SERVO-SG90-360DEG")</f>
        <v>ITBISA-SERVO-SG90-360DEG</v>
      </c>
      <c r="B11020" s="266">
        <f>IFERROR(__xludf.DUMMYFUNCTION("""COMPUTED_VALUE"""),45526.0)</f>
        <v>45526</v>
      </c>
      <c r="C11020" s="266" t="str">
        <f>IFERROR(__xludf.DUMMYFUNCTION("""COMPUTED_VALUE"""),"KYAI KONTONG")</f>
        <v>KYAI KONTONG</v>
      </c>
      <c r="D11020" s="186">
        <f>IFERROR(__xludf.DUMMYFUNCTION("""COMPUTED_VALUE"""),4.0)</f>
        <v>4</v>
      </c>
    </row>
    <row r="11021">
      <c r="A11021" s="178" t="str">
        <f>IFERROR(__xludf.DUMMYFUNCTION("""COMPUTED_VALUE"""),"ITBISA-SERVO-SG90-360DEG")</f>
        <v>ITBISA-SERVO-SG90-360DEG</v>
      </c>
      <c r="B11021" s="266">
        <f>IFERROR(__xludf.DUMMYFUNCTION("""COMPUTED_VALUE"""),45530.0)</f>
        <v>45530</v>
      </c>
      <c r="C11021" s="266" t="str">
        <f>IFERROR(__xludf.DUMMYFUNCTION("""COMPUTED_VALUE"""),"KYAI KONTONG")</f>
        <v>KYAI KONTONG</v>
      </c>
      <c r="D11021" s="186">
        <f>IFERROR(__xludf.DUMMYFUNCTION("""COMPUTED_VALUE"""),1.0)</f>
        <v>1</v>
      </c>
    </row>
    <row r="11022">
      <c r="A11022" s="178" t="str">
        <f>IFERROR(__xludf.DUMMYFUNCTION("""COMPUTED_VALUE"""),"ITBISA-SERVO-SG90-360DEG")</f>
        <v>ITBISA-SERVO-SG90-360DEG</v>
      </c>
      <c r="B11022" s="266">
        <f>IFERROR(__xludf.DUMMYFUNCTION("""COMPUTED_VALUE"""),45531.0)</f>
        <v>45531</v>
      </c>
      <c r="C11022" s="266" t="str">
        <f>IFERROR(__xludf.DUMMYFUNCTION("""COMPUTED_VALUE"""),"KYAI KONTONG")</f>
        <v>KYAI KONTONG</v>
      </c>
      <c r="D11022" s="186">
        <f>IFERROR(__xludf.DUMMYFUNCTION("""COMPUTED_VALUE"""),1.0)</f>
        <v>1</v>
      </c>
    </row>
    <row r="11023">
      <c r="A11023" s="178" t="str">
        <f>IFERROR(__xludf.DUMMYFUNCTION("""COMPUTED_VALUE"""),"ITBISA-SERVO-SG90-360DEG")</f>
        <v>ITBISA-SERVO-SG90-360DEG</v>
      </c>
      <c r="B11023" s="266">
        <f>IFERROR(__xludf.DUMMYFUNCTION("""COMPUTED_VALUE"""),45532.0)</f>
        <v>45532</v>
      </c>
      <c r="C11023" s="266" t="str">
        <f>IFERROR(__xludf.DUMMYFUNCTION("""COMPUTED_VALUE"""),"KYAI KONTONG")</f>
        <v>KYAI KONTONG</v>
      </c>
      <c r="D11023" s="186">
        <f>IFERROR(__xludf.DUMMYFUNCTION("""COMPUTED_VALUE"""),2.0)</f>
        <v>2</v>
      </c>
    </row>
    <row r="11024">
      <c r="A11024" s="178" t="str">
        <f>IFERROR(__xludf.DUMMYFUNCTION("""COMPUTED_VALUE"""),"ITBISA-SERVO-SG90-360DEG")</f>
        <v>ITBISA-SERVO-SG90-360DEG</v>
      </c>
      <c r="B11024" s="266">
        <f>IFERROR(__xludf.DUMMYFUNCTION("""COMPUTED_VALUE"""),45532.0)</f>
        <v>45532</v>
      </c>
      <c r="C11024" s="266" t="str">
        <f>IFERROR(__xludf.DUMMYFUNCTION("""COMPUTED_VALUE"""),"KYAI KONTONG")</f>
        <v>KYAI KONTONG</v>
      </c>
      <c r="D11024" s="186">
        <f>IFERROR(__xludf.DUMMYFUNCTION("""COMPUTED_VALUE"""),6.0)</f>
        <v>6</v>
      </c>
    </row>
    <row r="11025">
      <c r="A11025" s="178" t="str">
        <f>IFERROR(__xludf.DUMMYFUNCTION("""COMPUTED_VALUE"""),"ITBISA-SERVO-SG90-360DEG")</f>
        <v>ITBISA-SERVO-SG90-360DEG</v>
      </c>
      <c r="B11025" s="266">
        <f>IFERROR(__xludf.DUMMYFUNCTION("""COMPUTED_VALUE"""),45536.0)</f>
        <v>45536</v>
      </c>
      <c r="C11025" s="266" t="str">
        <f>IFERROR(__xludf.DUMMYFUNCTION("""COMPUTED_VALUE"""),"KYAI KONTONG")</f>
        <v>KYAI KONTONG</v>
      </c>
      <c r="D11025" s="186">
        <f>IFERROR(__xludf.DUMMYFUNCTION("""COMPUTED_VALUE"""),4.0)</f>
        <v>4</v>
      </c>
    </row>
    <row r="11026">
      <c r="A11026" s="178" t="str">
        <f>IFERROR(__xludf.DUMMYFUNCTION("""COMPUTED_VALUE"""),"ITBISA-SERVO-SG90-360DEG")</f>
        <v>ITBISA-SERVO-SG90-360DEG</v>
      </c>
      <c r="B11026" s="266">
        <f>IFERROR(__xludf.DUMMYFUNCTION("""COMPUTED_VALUE"""),45541.0)</f>
        <v>45541</v>
      </c>
      <c r="C11026" s="266" t="str">
        <f>IFERROR(__xludf.DUMMYFUNCTION("""COMPUTED_VALUE"""),"KYAI KONTONG")</f>
        <v>KYAI KONTONG</v>
      </c>
      <c r="D11026" s="186">
        <f>IFERROR(__xludf.DUMMYFUNCTION("""COMPUTED_VALUE"""),2.0)</f>
        <v>2</v>
      </c>
    </row>
    <row r="11027">
      <c r="A11027" s="178" t="str">
        <f>IFERROR(__xludf.DUMMYFUNCTION("""COMPUTED_VALUE"""),"ITBISA-SERVO-SG90-360DEG")</f>
        <v>ITBISA-SERVO-SG90-360DEG</v>
      </c>
      <c r="B11027" s="266">
        <f>IFERROR(__xludf.DUMMYFUNCTION("""COMPUTED_VALUE"""),45541.0)</f>
        <v>45541</v>
      </c>
      <c r="C11027" s="266" t="str">
        <f>IFERROR(__xludf.DUMMYFUNCTION("""COMPUTED_VALUE"""),"KYAI KONTONG")</f>
        <v>KYAI KONTONG</v>
      </c>
      <c r="D11027" s="186">
        <f>IFERROR(__xludf.DUMMYFUNCTION("""COMPUTED_VALUE"""),2.0)</f>
        <v>2</v>
      </c>
    </row>
    <row r="11028">
      <c r="A11028" s="178" t="str">
        <f>IFERROR(__xludf.DUMMYFUNCTION("""COMPUTED_VALUE"""),"ITBISA-SERVO-SG90-360DEG")</f>
        <v>ITBISA-SERVO-SG90-360DEG</v>
      </c>
      <c r="B11028" s="266">
        <f>IFERROR(__xludf.DUMMYFUNCTION("""COMPUTED_VALUE"""),45554.0)</f>
        <v>45554</v>
      </c>
      <c r="C11028" s="266" t="str">
        <f>IFERROR(__xludf.DUMMYFUNCTION("""COMPUTED_VALUE"""),"KYAI KONTONG")</f>
        <v>KYAI KONTONG</v>
      </c>
      <c r="D11028" s="186">
        <f>IFERROR(__xludf.DUMMYFUNCTION("""COMPUTED_VALUE"""),3.0)</f>
        <v>3</v>
      </c>
    </row>
    <row r="11029">
      <c r="A11029" s="178" t="str">
        <f>IFERROR(__xludf.DUMMYFUNCTION("""COMPUTED_VALUE"""),"ITBISA-SERVO-SG90-360DEG")</f>
        <v>ITBISA-SERVO-SG90-360DEG</v>
      </c>
      <c r="B11029" s="266">
        <f>IFERROR(__xludf.DUMMYFUNCTION("""COMPUTED_VALUE"""),45562.0)</f>
        <v>45562</v>
      </c>
      <c r="C11029" s="266" t="str">
        <f>IFERROR(__xludf.DUMMYFUNCTION("""COMPUTED_VALUE"""),"KERTASARI CIAMIS")</f>
        <v>KERTASARI CIAMIS</v>
      </c>
      <c r="D11029" s="186">
        <f>IFERROR(__xludf.DUMMYFUNCTION("""COMPUTED_VALUE"""),1.0)</f>
        <v>1</v>
      </c>
    </row>
    <row r="11030">
      <c r="A11030" s="178" t="str">
        <f>IFERROR(__xludf.DUMMYFUNCTION("""COMPUTED_VALUE"""),"ITBISA-SERVO-SG90-360DEG")</f>
        <v>ITBISA-SERVO-SG90-360DEG</v>
      </c>
      <c r="B11030" s="266">
        <f>IFERROR(__xludf.DUMMYFUNCTION("""COMPUTED_VALUE"""),45572.0)</f>
        <v>45572</v>
      </c>
      <c r="C11030" s="266" t="str">
        <f>IFERROR(__xludf.DUMMYFUNCTION("""COMPUTED_VALUE"""),"KYAI KONTONG")</f>
        <v>KYAI KONTONG</v>
      </c>
      <c r="D11030" s="186">
        <f>IFERROR(__xludf.DUMMYFUNCTION("""COMPUTED_VALUE"""),1.0)</f>
        <v>1</v>
      </c>
    </row>
    <row r="11031">
      <c r="A11031" s="178" t="str">
        <f>IFERROR(__xludf.DUMMYFUNCTION("""COMPUTED_VALUE"""),"ITBISA-SERVO-SG90-360DEG")</f>
        <v>ITBISA-SERVO-SG90-360DEG</v>
      </c>
      <c r="B11031" s="266">
        <f>IFERROR(__xludf.DUMMYFUNCTION("""COMPUTED_VALUE"""),45575.0)</f>
        <v>45575</v>
      </c>
      <c r="C11031" s="266" t="str">
        <f>IFERROR(__xludf.DUMMYFUNCTION("""COMPUTED_VALUE"""),"KYAI KONTONG")</f>
        <v>KYAI KONTONG</v>
      </c>
      <c r="D11031" s="186">
        <f>IFERROR(__xludf.DUMMYFUNCTION("""COMPUTED_VALUE"""),2.0)</f>
        <v>2</v>
      </c>
    </row>
    <row r="11032">
      <c r="A11032" s="178" t="str">
        <f>IFERROR(__xludf.DUMMYFUNCTION("""COMPUTED_VALUE"""),"ITBISA-SERVO-SG90-360DEG")</f>
        <v>ITBISA-SERVO-SG90-360DEG</v>
      </c>
      <c r="B11032" s="266">
        <f>IFERROR(__xludf.DUMMYFUNCTION("""COMPUTED_VALUE"""),45580.0)</f>
        <v>45580</v>
      </c>
      <c r="C11032" s="266" t="str">
        <f>IFERROR(__xludf.DUMMYFUNCTION("""COMPUTED_VALUE"""),"KYAI KONTONG")</f>
        <v>KYAI KONTONG</v>
      </c>
      <c r="D11032" s="186">
        <f>IFERROR(__xludf.DUMMYFUNCTION("""COMPUTED_VALUE"""),14.0)</f>
        <v>14</v>
      </c>
    </row>
    <row r="11033">
      <c r="A11033" s="178" t="str">
        <f>IFERROR(__xludf.DUMMYFUNCTION("""COMPUTED_VALUE"""),"ITBISA-SERVO-SG90-360DEG")</f>
        <v>ITBISA-SERVO-SG90-360DEG</v>
      </c>
      <c r="B11033" s="266">
        <f>IFERROR(__xludf.DUMMYFUNCTION("""COMPUTED_VALUE"""),45583.0)</f>
        <v>45583</v>
      </c>
      <c r="C11033" s="266" t="str">
        <f>IFERROR(__xludf.DUMMYFUNCTION("""COMPUTED_VALUE"""),"KYAI KONTONG")</f>
        <v>KYAI KONTONG</v>
      </c>
      <c r="D11033" s="186">
        <f>IFERROR(__xludf.DUMMYFUNCTION("""COMPUTED_VALUE"""),2.0)</f>
        <v>2</v>
      </c>
    </row>
    <row r="11034">
      <c r="A11034" s="178" t="str">
        <f>IFERROR(__xludf.DUMMYFUNCTION("""COMPUTED_VALUE"""),"ITBISA-SERVO-SG90-360DEG")</f>
        <v>ITBISA-SERVO-SG90-360DEG</v>
      </c>
      <c r="B11034" s="266">
        <f>IFERROR(__xludf.DUMMYFUNCTION("""COMPUTED_VALUE"""),45583.0)</f>
        <v>45583</v>
      </c>
      <c r="C11034" s="266" t="str">
        <f>IFERROR(__xludf.DUMMYFUNCTION("""COMPUTED_VALUE"""),"KYAI KONTONG")</f>
        <v>KYAI KONTONG</v>
      </c>
      <c r="D11034" s="186">
        <f>IFERROR(__xludf.DUMMYFUNCTION("""COMPUTED_VALUE"""),5.0)</f>
        <v>5</v>
      </c>
    </row>
    <row r="11035">
      <c r="A11035" s="178" t="str">
        <f>IFERROR(__xludf.DUMMYFUNCTION("""COMPUTED_VALUE"""),"ITBISA-SERVO-SG90-360DEG")</f>
        <v>ITBISA-SERVO-SG90-360DEG</v>
      </c>
      <c r="B11035" s="266">
        <f>IFERROR(__xludf.DUMMYFUNCTION("""COMPUTED_VALUE"""),45584.0)</f>
        <v>45584</v>
      </c>
      <c r="C11035" s="266" t="str">
        <f>IFERROR(__xludf.DUMMYFUNCTION("""COMPUTED_VALUE"""),"KYAI KONTONG")</f>
        <v>KYAI KONTONG</v>
      </c>
      <c r="D11035" s="186">
        <f>IFERROR(__xludf.DUMMYFUNCTION("""COMPUTED_VALUE"""),1.0)</f>
        <v>1</v>
      </c>
    </row>
    <row r="11036">
      <c r="A11036" s="178" t="str">
        <f>IFERROR(__xludf.DUMMYFUNCTION("""COMPUTED_VALUE"""),"ITBISA-SERVO-SG90-360DEG")</f>
        <v>ITBISA-SERVO-SG90-360DEG</v>
      </c>
      <c r="B11036" s="266">
        <f>IFERROR(__xludf.DUMMYFUNCTION("""COMPUTED_VALUE"""),45599.0)</f>
        <v>45599</v>
      </c>
      <c r="C11036" s="266" t="str">
        <f>IFERROR(__xludf.DUMMYFUNCTION("""COMPUTED_VALUE"""),"KERTASARI CIAMIS")</f>
        <v>KERTASARI CIAMIS</v>
      </c>
      <c r="D11036" s="186">
        <f>IFERROR(__xludf.DUMMYFUNCTION("""COMPUTED_VALUE"""),2.0)</f>
        <v>2</v>
      </c>
    </row>
    <row r="11037">
      <c r="A11037" s="178" t="str">
        <f>IFERROR(__xludf.DUMMYFUNCTION("""COMPUTED_VALUE"""),"ITBISA-SERVO-SG90-360DEG")</f>
        <v>ITBISA-SERVO-SG90-360DEG</v>
      </c>
      <c r="B11037" s="266">
        <f>IFERROR(__xludf.DUMMYFUNCTION("""COMPUTED_VALUE"""),45609.0)</f>
        <v>45609</v>
      </c>
      <c r="C11037" s="266" t="str">
        <f>IFERROR(__xludf.DUMMYFUNCTION("""COMPUTED_VALUE"""),"KERTASARI CIAMIS")</f>
        <v>KERTASARI CIAMIS</v>
      </c>
      <c r="D11037" s="186">
        <f>IFERROR(__xludf.DUMMYFUNCTION("""COMPUTED_VALUE"""),1.0)</f>
        <v>1</v>
      </c>
    </row>
    <row r="11038">
      <c r="A11038" s="178" t="str">
        <f>IFERROR(__xludf.DUMMYFUNCTION("""COMPUTED_VALUE"""),"ITBISA-SERVO-SG90-360DEG")</f>
        <v>ITBISA-SERVO-SG90-360DEG</v>
      </c>
      <c r="B11038" s="266">
        <f>IFERROR(__xludf.DUMMYFUNCTION("""COMPUTED_VALUE"""),45609.0)</f>
        <v>45609</v>
      </c>
      <c r="C11038" s="266" t="str">
        <f>IFERROR(__xludf.DUMMYFUNCTION("""COMPUTED_VALUE"""),"KERTASARI CIAMIS")</f>
        <v>KERTASARI CIAMIS</v>
      </c>
      <c r="D11038" s="186">
        <f>IFERROR(__xludf.DUMMYFUNCTION("""COMPUTED_VALUE"""),10.0)</f>
        <v>10</v>
      </c>
    </row>
    <row r="11039">
      <c r="A11039" s="178" t="str">
        <f>IFERROR(__xludf.DUMMYFUNCTION("""COMPUTED_VALUE"""),"ITBISA-SERVO-SG90-360DEG")</f>
        <v>ITBISA-SERVO-SG90-360DEG</v>
      </c>
      <c r="B11039" s="266">
        <f>IFERROR(__xludf.DUMMYFUNCTION("""COMPUTED_VALUE"""),45610.0)</f>
        <v>45610</v>
      </c>
      <c r="C11039" s="266" t="str">
        <f>IFERROR(__xludf.DUMMYFUNCTION("""COMPUTED_VALUE"""),"KERTASARI CIAMIS")</f>
        <v>KERTASARI CIAMIS</v>
      </c>
      <c r="D11039" s="186">
        <f>IFERROR(__xludf.DUMMYFUNCTION("""COMPUTED_VALUE"""),2.0)</f>
        <v>2</v>
      </c>
    </row>
    <row r="11040">
      <c r="A11040" s="178" t="str">
        <f>IFERROR(__xludf.DUMMYFUNCTION("""COMPUTED_VALUE"""),"ITBISA-SERVO-SG90-360DEG")</f>
        <v>ITBISA-SERVO-SG90-360DEG</v>
      </c>
      <c r="B11040" s="266">
        <f>IFERROR(__xludf.DUMMYFUNCTION("""COMPUTED_VALUE"""),45613.0)</f>
        <v>45613</v>
      </c>
      <c r="C11040" s="266" t="str">
        <f>IFERROR(__xludf.DUMMYFUNCTION("""COMPUTED_VALUE"""),"KERTASARI CIAMIS")</f>
        <v>KERTASARI CIAMIS</v>
      </c>
      <c r="D11040" s="186">
        <f>IFERROR(__xludf.DUMMYFUNCTION("""COMPUTED_VALUE"""),1.0)</f>
        <v>1</v>
      </c>
    </row>
    <row r="11041">
      <c r="A11041" s="178" t="str">
        <f>IFERROR(__xludf.DUMMYFUNCTION("""COMPUTED_VALUE"""),"ITBISA-SERVO-SG90-360DEG")</f>
        <v>ITBISA-SERVO-SG90-360DEG</v>
      </c>
      <c r="B11041" s="266">
        <f>IFERROR(__xludf.DUMMYFUNCTION("""COMPUTED_VALUE"""),45613.0)</f>
        <v>45613</v>
      </c>
      <c r="C11041" s="266" t="str">
        <f>IFERROR(__xludf.DUMMYFUNCTION("""COMPUTED_VALUE"""),"KERTASARI CIAMIS")</f>
        <v>KERTASARI CIAMIS</v>
      </c>
      <c r="D11041" s="186">
        <f>IFERROR(__xludf.DUMMYFUNCTION("""COMPUTED_VALUE"""),2.0)</f>
        <v>2</v>
      </c>
    </row>
    <row r="11042">
      <c r="A11042" s="178" t="str">
        <f>IFERROR(__xludf.DUMMYFUNCTION("""COMPUTED_VALUE"""),"ITBISA-SERVO-SG90-360DEG")</f>
        <v>ITBISA-SERVO-SG90-360DEG</v>
      </c>
      <c r="B11042" s="266">
        <f>IFERROR(__xludf.DUMMYFUNCTION("""COMPUTED_VALUE"""),45614.0)</f>
        <v>45614</v>
      </c>
      <c r="C11042" s="266" t="str">
        <f>IFERROR(__xludf.DUMMYFUNCTION("""COMPUTED_VALUE"""),"KERTASARI CIAMIS")</f>
        <v>KERTASARI CIAMIS</v>
      </c>
      <c r="D11042" s="186">
        <f>IFERROR(__xludf.DUMMYFUNCTION("""COMPUTED_VALUE"""),1.0)</f>
        <v>1</v>
      </c>
    </row>
    <row r="11043">
      <c r="A11043" s="178" t="str">
        <f>IFERROR(__xludf.DUMMYFUNCTION("""COMPUTED_VALUE"""),"ITBISA-SERVO-SG90-360DEG")</f>
        <v>ITBISA-SERVO-SG90-360DEG</v>
      </c>
      <c r="B11043" s="266">
        <f>IFERROR(__xludf.DUMMYFUNCTION("""COMPUTED_VALUE"""),45614.0)</f>
        <v>45614</v>
      </c>
      <c r="C11043" s="266" t="str">
        <f>IFERROR(__xludf.DUMMYFUNCTION("""COMPUTED_VALUE"""),"KERTASARI CIAMIS")</f>
        <v>KERTASARI CIAMIS</v>
      </c>
      <c r="D11043" s="186">
        <f>IFERROR(__xludf.DUMMYFUNCTION("""COMPUTED_VALUE"""),2.0)</f>
        <v>2</v>
      </c>
    </row>
    <row r="11044">
      <c r="A11044" s="178" t="str">
        <f>IFERROR(__xludf.DUMMYFUNCTION("""COMPUTED_VALUE"""),"ITBISA-SERVO-SG90-360DEG")</f>
        <v>ITBISA-SERVO-SG90-360DEG</v>
      </c>
      <c r="B11044" s="266">
        <f>IFERROR(__xludf.DUMMYFUNCTION("""COMPUTED_VALUE"""),45615.0)</f>
        <v>45615</v>
      </c>
      <c r="C11044" s="266" t="str">
        <f>IFERROR(__xludf.DUMMYFUNCTION("""COMPUTED_VALUE"""),"KERTASARI CIAMIS")</f>
        <v>KERTASARI CIAMIS</v>
      </c>
      <c r="D11044" s="186">
        <f>IFERROR(__xludf.DUMMYFUNCTION("""COMPUTED_VALUE"""),1.0)</f>
        <v>1</v>
      </c>
    </row>
    <row r="11045">
      <c r="A11045" s="178" t="str">
        <f>IFERROR(__xludf.DUMMYFUNCTION("""COMPUTED_VALUE"""),"ITBISA-SERVO-SG90-360DEG")</f>
        <v>ITBISA-SERVO-SG90-360DEG</v>
      </c>
      <c r="B11045" s="266">
        <f>IFERROR(__xludf.DUMMYFUNCTION("""COMPUTED_VALUE"""),45615.0)</f>
        <v>45615</v>
      </c>
      <c r="C11045" s="266" t="str">
        <f>IFERROR(__xludf.DUMMYFUNCTION("""COMPUTED_VALUE"""),"KERTASARI CIAMIS")</f>
        <v>KERTASARI CIAMIS</v>
      </c>
      <c r="D11045" s="186">
        <f>IFERROR(__xludf.DUMMYFUNCTION("""COMPUTED_VALUE"""),2.0)</f>
        <v>2</v>
      </c>
    </row>
    <row r="11046">
      <c r="A11046" s="178" t="str">
        <f>IFERROR(__xludf.DUMMYFUNCTION("""COMPUTED_VALUE"""),"ITBISA-SERVO-SG90-360DEG")</f>
        <v>ITBISA-SERVO-SG90-360DEG</v>
      </c>
      <c r="B11046" s="266">
        <f>IFERROR(__xludf.DUMMYFUNCTION("""COMPUTED_VALUE"""),45616.0)</f>
        <v>45616</v>
      </c>
      <c r="C11046" s="266" t="str">
        <f>IFERROR(__xludf.DUMMYFUNCTION("""COMPUTED_VALUE"""),"KERTASARI CIAMIS")</f>
        <v>KERTASARI CIAMIS</v>
      </c>
      <c r="D11046" s="186">
        <f>IFERROR(__xludf.DUMMYFUNCTION("""COMPUTED_VALUE"""),1.0)</f>
        <v>1</v>
      </c>
    </row>
    <row r="11047">
      <c r="A11047" s="178" t="str">
        <f>IFERROR(__xludf.DUMMYFUNCTION("""COMPUTED_VALUE"""),"ITBISA-SERVO-SG90-360DEG")</f>
        <v>ITBISA-SERVO-SG90-360DEG</v>
      </c>
      <c r="B11047" s="266">
        <f>IFERROR(__xludf.DUMMYFUNCTION("""COMPUTED_VALUE"""),45616.0)</f>
        <v>45616</v>
      </c>
      <c r="C11047" s="266" t="str">
        <f>IFERROR(__xludf.DUMMYFUNCTION("""COMPUTED_VALUE"""),"KERTASARI CIAMIS")</f>
        <v>KERTASARI CIAMIS</v>
      </c>
      <c r="D11047" s="186">
        <f>IFERROR(__xludf.DUMMYFUNCTION("""COMPUTED_VALUE"""),1.0)</f>
        <v>1</v>
      </c>
    </row>
    <row r="11048">
      <c r="A11048" s="178" t="str">
        <f>IFERROR(__xludf.DUMMYFUNCTION("""COMPUTED_VALUE"""),"ITBISA-SERVO-SG90-360DEG")</f>
        <v>ITBISA-SERVO-SG90-360DEG</v>
      </c>
      <c r="B11048" s="266">
        <f>IFERROR(__xludf.DUMMYFUNCTION("""COMPUTED_VALUE"""),45616.0)</f>
        <v>45616</v>
      </c>
      <c r="C11048" s="266" t="str">
        <f>IFERROR(__xludf.DUMMYFUNCTION("""COMPUTED_VALUE"""),"KERTASARI CIAMIS")</f>
        <v>KERTASARI CIAMIS</v>
      </c>
      <c r="D11048" s="186">
        <f>IFERROR(__xludf.DUMMYFUNCTION("""COMPUTED_VALUE"""),5.0)</f>
        <v>5</v>
      </c>
    </row>
    <row r="11049">
      <c r="A11049" s="178" t="str">
        <f>IFERROR(__xludf.DUMMYFUNCTION("""COMPUTED_VALUE"""),"ITBISA-SERVO-SG90-360DEG")</f>
        <v>ITBISA-SERVO-SG90-360DEG</v>
      </c>
      <c r="B11049" s="266">
        <f>IFERROR(__xludf.DUMMYFUNCTION("""COMPUTED_VALUE"""),45617.0)</f>
        <v>45617</v>
      </c>
      <c r="C11049" s="266" t="str">
        <f>IFERROR(__xludf.DUMMYFUNCTION("""COMPUTED_VALUE"""),"KERTASARI CIAMIS")</f>
        <v>KERTASARI CIAMIS</v>
      </c>
      <c r="D11049" s="186">
        <f>IFERROR(__xludf.DUMMYFUNCTION("""COMPUTED_VALUE"""),1.0)</f>
        <v>1</v>
      </c>
    </row>
    <row r="11050">
      <c r="A11050" s="178" t="str">
        <f>IFERROR(__xludf.DUMMYFUNCTION("""COMPUTED_VALUE"""),"ITBISA-SERVO-SG90-360DEG")</f>
        <v>ITBISA-SERVO-SG90-360DEG</v>
      </c>
      <c r="B11050" s="266">
        <f>IFERROR(__xludf.DUMMYFUNCTION("""COMPUTED_VALUE"""),45617.0)</f>
        <v>45617</v>
      </c>
      <c r="C11050" s="266" t="str">
        <f>IFERROR(__xludf.DUMMYFUNCTION("""COMPUTED_VALUE"""),"KERTASARI CIAMIS")</f>
        <v>KERTASARI CIAMIS</v>
      </c>
      <c r="D11050" s="186">
        <f>IFERROR(__xludf.DUMMYFUNCTION("""COMPUTED_VALUE"""),1.0)</f>
        <v>1</v>
      </c>
    </row>
    <row r="11051">
      <c r="A11051" s="178" t="str">
        <f>IFERROR(__xludf.DUMMYFUNCTION("""COMPUTED_VALUE"""),"ITBISA-SERVO-SG90-360DEG")</f>
        <v>ITBISA-SERVO-SG90-360DEG</v>
      </c>
      <c r="B11051" s="266">
        <f>IFERROR(__xludf.DUMMYFUNCTION("""COMPUTED_VALUE"""),45617.0)</f>
        <v>45617</v>
      </c>
      <c r="C11051" s="266" t="str">
        <f>IFERROR(__xludf.DUMMYFUNCTION("""COMPUTED_VALUE"""),"KERTASARI CIAMIS")</f>
        <v>KERTASARI CIAMIS</v>
      </c>
      <c r="D11051" s="186">
        <f>IFERROR(__xludf.DUMMYFUNCTION("""COMPUTED_VALUE"""),2.0)</f>
        <v>2</v>
      </c>
    </row>
    <row r="11052">
      <c r="A11052" s="178" t="str">
        <f>IFERROR(__xludf.DUMMYFUNCTION("""COMPUTED_VALUE"""),"ITBISA-SERVO-SG90-360DEG")</f>
        <v>ITBISA-SERVO-SG90-360DEG</v>
      </c>
      <c r="B11052" s="266">
        <f>IFERROR(__xludf.DUMMYFUNCTION("""COMPUTED_VALUE"""),45617.0)</f>
        <v>45617</v>
      </c>
      <c r="C11052" s="266" t="str">
        <f>IFERROR(__xludf.DUMMYFUNCTION("""COMPUTED_VALUE"""),"KERTASARI CIAMIS")</f>
        <v>KERTASARI CIAMIS</v>
      </c>
      <c r="D11052" s="186">
        <f>IFERROR(__xludf.DUMMYFUNCTION("""COMPUTED_VALUE"""),6.0)</f>
        <v>6</v>
      </c>
    </row>
    <row r="11053">
      <c r="A11053" s="178" t="str">
        <f>IFERROR(__xludf.DUMMYFUNCTION("""COMPUTED_VALUE"""),"ITBISA-SERVO-SG90-360DEG")</f>
        <v>ITBISA-SERVO-SG90-360DEG</v>
      </c>
      <c r="B11053" s="266">
        <f>IFERROR(__xludf.DUMMYFUNCTION("""COMPUTED_VALUE"""),45617.0)</f>
        <v>45617</v>
      </c>
      <c r="C11053" s="266" t="str">
        <f>IFERROR(__xludf.DUMMYFUNCTION("""COMPUTED_VALUE"""),"KERTASARI CIAMIS")</f>
        <v>KERTASARI CIAMIS</v>
      </c>
      <c r="D11053" s="186">
        <f>IFERROR(__xludf.DUMMYFUNCTION("""COMPUTED_VALUE"""),10.0)</f>
        <v>10</v>
      </c>
    </row>
    <row r="11054">
      <c r="A11054" s="178" t="str">
        <f>IFERROR(__xludf.DUMMYFUNCTION("""COMPUTED_VALUE"""),"ITBISA-SERVO-SG90-360DEG")</f>
        <v>ITBISA-SERVO-SG90-360DEG</v>
      </c>
      <c r="B11054" s="266">
        <f>IFERROR(__xludf.DUMMYFUNCTION("""COMPUTED_VALUE"""),45618.0)</f>
        <v>45618</v>
      </c>
      <c r="C11054" s="266" t="str">
        <f>IFERROR(__xludf.DUMMYFUNCTION("""COMPUTED_VALUE"""),"KERTASARI CIAMIS")</f>
        <v>KERTASARI CIAMIS</v>
      </c>
      <c r="D11054" s="186">
        <f>IFERROR(__xludf.DUMMYFUNCTION("""COMPUTED_VALUE"""),1.0)</f>
        <v>1</v>
      </c>
    </row>
    <row r="11055">
      <c r="A11055" s="178" t="str">
        <f>IFERROR(__xludf.DUMMYFUNCTION("""COMPUTED_VALUE"""),"ITBISA-SERVO-SG90-360DEG")</f>
        <v>ITBISA-SERVO-SG90-360DEG</v>
      </c>
      <c r="B11055" s="266">
        <f>IFERROR(__xludf.DUMMYFUNCTION("""COMPUTED_VALUE"""),45619.0)</f>
        <v>45619</v>
      </c>
      <c r="C11055" s="266" t="str">
        <f>IFERROR(__xludf.DUMMYFUNCTION("""COMPUTED_VALUE"""),"KERTASARI CIAMIS")</f>
        <v>KERTASARI CIAMIS</v>
      </c>
      <c r="D11055" s="186">
        <f>IFERROR(__xludf.DUMMYFUNCTION("""COMPUTED_VALUE"""),1.0)</f>
        <v>1</v>
      </c>
    </row>
    <row r="11056">
      <c r="A11056" s="178" t="str">
        <f>IFERROR(__xludf.DUMMYFUNCTION("""COMPUTED_VALUE"""),"ITBISA-SERVO-SG90-360DEG")</f>
        <v>ITBISA-SERVO-SG90-360DEG</v>
      </c>
      <c r="B11056" s="266">
        <f>IFERROR(__xludf.DUMMYFUNCTION("""COMPUTED_VALUE"""),45619.0)</f>
        <v>45619</v>
      </c>
      <c r="C11056" s="266" t="str">
        <f>IFERROR(__xludf.DUMMYFUNCTION("""COMPUTED_VALUE"""),"KERTASARI CIAMIS")</f>
        <v>KERTASARI CIAMIS</v>
      </c>
      <c r="D11056" s="186">
        <f>IFERROR(__xludf.DUMMYFUNCTION("""COMPUTED_VALUE"""),1.0)</f>
        <v>1</v>
      </c>
    </row>
    <row r="11057">
      <c r="A11057" s="178" t="str">
        <f>IFERROR(__xludf.DUMMYFUNCTION("""COMPUTED_VALUE"""),"ITBISA-SERVO-SG90-360DEG")</f>
        <v>ITBISA-SERVO-SG90-360DEG</v>
      </c>
      <c r="B11057" s="266">
        <f>IFERROR(__xludf.DUMMYFUNCTION("""COMPUTED_VALUE"""),45619.0)</f>
        <v>45619</v>
      </c>
      <c r="C11057" s="266" t="str">
        <f>IFERROR(__xludf.DUMMYFUNCTION("""COMPUTED_VALUE"""),"KERTASARI CIAMIS")</f>
        <v>KERTASARI CIAMIS</v>
      </c>
      <c r="D11057" s="186">
        <f>IFERROR(__xludf.DUMMYFUNCTION("""COMPUTED_VALUE"""),3.0)</f>
        <v>3</v>
      </c>
    </row>
    <row r="11058">
      <c r="A11058" s="178" t="str">
        <f>IFERROR(__xludf.DUMMYFUNCTION("""COMPUTED_VALUE"""),"ITBISA-SERVO-SG90-360DEG")</f>
        <v>ITBISA-SERVO-SG90-360DEG</v>
      </c>
      <c r="B11058" s="266">
        <f>IFERROR(__xludf.DUMMYFUNCTION("""COMPUTED_VALUE"""),45620.0)</f>
        <v>45620</v>
      </c>
      <c r="C11058" s="266" t="str">
        <f>IFERROR(__xludf.DUMMYFUNCTION("""COMPUTED_VALUE"""),"KERTASARI CIAMIS")</f>
        <v>KERTASARI CIAMIS</v>
      </c>
      <c r="D11058" s="186">
        <f>IFERROR(__xludf.DUMMYFUNCTION("""COMPUTED_VALUE"""),1.0)</f>
        <v>1</v>
      </c>
    </row>
    <row r="11059">
      <c r="A11059" s="178" t="str">
        <f>IFERROR(__xludf.DUMMYFUNCTION("""COMPUTED_VALUE"""),"ITBISA-SERVO-SG90-360DEG")</f>
        <v>ITBISA-SERVO-SG90-360DEG</v>
      </c>
      <c r="B11059" s="266">
        <f>IFERROR(__xludf.DUMMYFUNCTION("""COMPUTED_VALUE"""),45620.0)</f>
        <v>45620</v>
      </c>
      <c r="C11059" s="266" t="str">
        <f>IFERROR(__xludf.DUMMYFUNCTION("""COMPUTED_VALUE"""),"KERTASARI CIAMIS")</f>
        <v>KERTASARI CIAMIS</v>
      </c>
      <c r="D11059" s="186">
        <f>IFERROR(__xludf.DUMMYFUNCTION("""COMPUTED_VALUE"""),1.0)</f>
        <v>1</v>
      </c>
    </row>
    <row r="11060">
      <c r="A11060" s="178" t="str">
        <f>IFERROR(__xludf.DUMMYFUNCTION("""COMPUTED_VALUE"""),"ITBISA-SERVO-SG90-360DEG")</f>
        <v>ITBISA-SERVO-SG90-360DEG</v>
      </c>
      <c r="B11060" s="266">
        <f>IFERROR(__xludf.DUMMYFUNCTION("""COMPUTED_VALUE"""),45621.0)</f>
        <v>45621</v>
      </c>
      <c r="C11060" s="266" t="str">
        <f>IFERROR(__xludf.DUMMYFUNCTION("""COMPUTED_VALUE"""),"KERTASARI CIAMIS")</f>
        <v>KERTASARI CIAMIS</v>
      </c>
      <c r="D11060" s="186">
        <f>IFERROR(__xludf.DUMMYFUNCTION("""COMPUTED_VALUE"""),1.0)</f>
        <v>1</v>
      </c>
    </row>
    <row r="11061">
      <c r="A11061" s="178" t="str">
        <f>IFERROR(__xludf.DUMMYFUNCTION("""COMPUTED_VALUE"""),"ITBISA-SERVO-SG90-360DEG")</f>
        <v>ITBISA-SERVO-SG90-360DEG</v>
      </c>
      <c r="B11061" s="266">
        <f>IFERROR(__xludf.DUMMYFUNCTION("""COMPUTED_VALUE"""),45623.0)</f>
        <v>45623</v>
      </c>
      <c r="C11061" s="266" t="str">
        <f>IFERROR(__xludf.DUMMYFUNCTION("""COMPUTED_VALUE"""),"KERTASARI CIAMIS")</f>
        <v>KERTASARI CIAMIS</v>
      </c>
      <c r="D11061" s="186">
        <f>IFERROR(__xludf.DUMMYFUNCTION("""COMPUTED_VALUE"""),1.0)</f>
        <v>1</v>
      </c>
    </row>
    <row r="11062">
      <c r="A11062" s="178" t="str">
        <f>IFERROR(__xludf.DUMMYFUNCTION("""COMPUTED_VALUE"""),"ITBISA-SERVO-SG90-360DEG")</f>
        <v>ITBISA-SERVO-SG90-360DEG</v>
      </c>
      <c r="B11062" s="266">
        <f>IFERROR(__xludf.DUMMYFUNCTION("""COMPUTED_VALUE"""),45624.0)</f>
        <v>45624</v>
      </c>
      <c r="C11062" s="266" t="str">
        <f>IFERROR(__xludf.DUMMYFUNCTION("""COMPUTED_VALUE"""),"KERTASARI CIAMIS")</f>
        <v>KERTASARI CIAMIS</v>
      </c>
      <c r="D11062" s="186">
        <f>IFERROR(__xludf.DUMMYFUNCTION("""COMPUTED_VALUE"""),1.0)</f>
        <v>1</v>
      </c>
    </row>
    <row r="11063">
      <c r="A11063" s="178" t="str">
        <f>IFERROR(__xludf.DUMMYFUNCTION("""COMPUTED_VALUE"""),"ITBISA-SERVO-SG90-360DEG")</f>
        <v>ITBISA-SERVO-SG90-360DEG</v>
      </c>
      <c r="B11063" s="266">
        <f>IFERROR(__xludf.DUMMYFUNCTION("""COMPUTED_VALUE"""),45624.0)</f>
        <v>45624</v>
      </c>
      <c r="C11063" s="266" t="str">
        <f>IFERROR(__xludf.DUMMYFUNCTION("""COMPUTED_VALUE"""),"KERTASARI CIAMIS")</f>
        <v>KERTASARI CIAMIS</v>
      </c>
      <c r="D11063" s="186">
        <f>IFERROR(__xludf.DUMMYFUNCTION("""COMPUTED_VALUE"""),1.0)</f>
        <v>1</v>
      </c>
    </row>
    <row r="11064">
      <c r="A11064" s="178" t="str">
        <f>IFERROR(__xludf.DUMMYFUNCTION("""COMPUTED_VALUE"""),"ITBISA-SERVO-SG90-360DEG")</f>
        <v>ITBISA-SERVO-SG90-360DEG</v>
      </c>
      <c r="B11064" s="266">
        <f>IFERROR(__xludf.DUMMYFUNCTION("""COMPUTED_VALUE"""),45624.0)</f>
        <v>45624</v>
      </c>
      <c r="C11064" s="266" t="str">
        <f>IFERROR(__xludf.DUMMYFUNCTION("""COMPUTED_VALUE"""),"KERTASARI CIAMIS")</f>
        <v>KERTASARI CIAMIS</v>
      </c>
      <c r="D11064" s="186">
        <f>IFERROR(__xludf.DUMMYFUNCTION("""COMPUTED_VALUE"""),2.0)</f>
        <v>2</v>
      </c>
    </row>
    <row r="11065">
      <c r="A11065" s="178" t="str">
        <f>IFERROR(__xludf.DUMMYFUNCTION("""COMPUTED_VALUE"""),"ITBISA-SERVO-SG90-360DEG")</f>
        <v>ITBISA-SERVO-SG90-360DEG</v>
      </c>
      <c r="B11065" s="266">
        <f>IFERROR(__xludf.DUMMYFUNCTION("""COMPUTED_VALUE"""),45625.0)</f>
        <v>45625</v>
      </c>
      <c r="C11065" s="266" t="str">
        <f>IFERROR(__xludf.DUMMYFUNCTION("""COMPUTED_VALUE"""),"KERTASARI CIAMIS")</f>
        <v>KERTASARI CIAMIS</v>
      </c>
      <c r="D11065" s="186">
        <f>IFERROR(__xludf.DUMMYFUNCTION("""COMPUTED_VALUE"""),1.0)</f>
        <v>1</v>
      </c>
    </row>
    <row r="11066">
      <c r="A11066" s="178" t="str">
        <f>IFERROR(__xludf.DUMMYFUNCTION("""COMPUTED_VALUE"""),"ITBISA-SERVO-SG90-360DEG")</f>
        <v>ITBISA-SERVO-SG90-360DEG</v>
      </c>
      <c r="B11066" s="266">
        <f>IFERROR(__xludf.DUMMYFUNCTION("""COMPUTED_VALUE"""),45625.0)</f>
        <v>45625</v>
      </c>
      <c r="C11066" s="266" t="str">
        <f>IFERROR(__xludf.DUMMYFUNCTION("""COMPUTED_VALUE"""),"KERTASARI CIAMIS")</f>
        <v>KERTASARI CIAMIS</v>
      </c>
      <c r="D11066" s="186">
        <f>IFERROR(__xludf.DUMMYFUNCTION("""COMPUTED_VALUE"""),1.0)</f>
        <v>1</v>
      </c>
    </row>
    <row r="11067">
      <c r="A11067" s="178" t="str">
        <f>IFERROR(__xludf.DUMMYFUNCTION("""COMPUTED_VALUE"""),"ITBISA-SERVO-SG90-360DEG")</f>
        <v>ITBISA-SERVO-SG90-360DEG</v>
      </c>
      <c r="B11067" s="266">
        <f>IFERROR(__xludf.DUMMYFUNCTION("""COMPUTED_VALUE"""),45625.0)</f>
        <v>45625</v>
      </c>
      <c r="C11067" s="266" t="str">
        <f>IFERROR(__xludf.DUMMYFUNCTION("""COMPUTED_VALUE"""),"KERTASARI CIAMIS")</f>
        <v>KERTASARI CIAMIS</v>
      </c>
      <c r="D11067" s="186">
        <f>IFERROR(__xludf.DUMMYFUNCTION("""COMPUTED_VALUE"""),1.0)</f>
        <v>1</v>
      </c>
    </row>
    <row r="11068">
      <c r="A11068" s="178" t="str">
        <f>IFERROR(__xludf.DUMMYFUNCTION("""COMPUTED_VALUE"""),"ITBISA-SERVO-SG90-360DEG")</f>
        <v>ITBISA-SERVO-SG90-360DEG</v>
      </c>
      <c r="B11068" s="266">
        <f>IFERROR(__xludf.DUMMYFUNCTION("""COMPUTED_VALUE"""),45626.0)</f>
        <v>45626</v>
      </c>
      <c r="C11068" s="266" t="str">
        <f>IFERROR(__xludf.DUMMYFUNCTION("""COMPUTED_VALUE"""),"KERTASARI CIAMIS")</f>
        <v>KERTASARI CIAMIS</v>
      </c>
      <c r="D11068" s="186">
        <f>IFERROR(__xludf.DUMMYFUNCTION("""COMPUTED_VALUE"""),1.0)</f>
        <v>1</v>
      </c>
    </row>
    <row r="11069">
      <c r="A11069" s="178" t="str">
        <f>IFERROR(__xludf.DUMMYFUNCTION("""COMPUTED_VALUE"""),"ITBISA-SERVO-SG90-360DEG")</f>
        <v>ITBISA-SERVO-SG90-360DEG</v>
      </c>
      <c r="B11069" s="266">
        <f>IFERROR(__xludf.DUMMYFUNCTION("""COMPUTED_VALUE"""),45627.0)</f>
        <v>45627</v>
      </c>
      <c r="C11069" s="266" t="str">
        <f>IFERROR(__xludf.DUMMYFUNCTION("""COMPUTED_VALUE"""),"KERTASARI CIAMIS")</f>
        <v>KERTASARI CIAMIS</v>
      </c>
      <c r="D11069" s="186">
        <f>IFERROR(__xludf.DUMMYFUNCTION("""COMPUTED_VALUE"""),2.0)</f>
        <v>2</v>
      </c>
    </row>
    <row r="11070">
      <c r="A11070" s="178" t="str">
        <f>IFERROR(__xludf.DUMMYFUNCTION("""COMPUTED_VALUE"""),"ITBISA-SERVO-SG90-360DEG")</f>
        <v>ITBISA-SERVO-SG90-360DEG</v>
      </c>
      <c r="B11070" s="266">
        <f>IFERROR(__xludf.DUMMYFUNCTION("""COMPUTED_VALUE"""),45628.0)</f>
        <v>45628</v>
      </c>
      <c r="C11070" s="266" t="str">
        <f>IFERROR(__xludf.DUMMYFUNCTION("""COMPUTED_VALUE"""),"KERTASARI CIAMIS")</f>
        <v>KERTASARI CIAMIS</v>
      </c>
      <c r="D11070" s="186">
        <f>IFERROR(__xludf.DUMMYFUNCTION("""COMPUTED_VALUE"""),6.0)</f>
        <v>6</v>
      </c>
    </row>
    <row r="11071">
      <c r="A11071" s="178" t="str">
        <f>IFERROR(__xludf.DUMMYFUNCTION("""COMPUTED_VALUE"""),"ITBISA-SERVO-SG90-360DEG")</f>
        <v>ITBISA-SERVO-SG90-360DEG</v>
      </c>
      <c r="B11071" s="266">
        <f>IFERROR(__xludf.DUMMYFUNCTION("""COMPUTED_VALUE"""),45629.0)</f>
        <v>45629</v>
      </c>
      <c r="C11071" s="266" t="str">
        <f>IFERROR(__xludf.DUMMYFUNCTION("""COMPUTED_VALUE"""),"KERTASARI CIAMIS")</f>
        <v>KERTASARI CIAMIS</v>
      </c>
      <c r="D11071" s="186">
        <f>IFERROR(__xludf.DUMMYFUNCTION("""COMPUTED_VALUE"""),1.0)</f>
        <v>1</v>
      </c>
    </row>
    <row r="11072">
      <c r="A11072" s="178" t="str">
        <f>IFERROR(__xludf.DUMMYFUNCTION("""COMPUTED_VALUE"""),"ITBISA-SERVO-SG90-360DEG")</f>
        <v>ITBISA-SERVO-SG90-360DEG</v>
      </c>
      <c r="B11072" s="266">
        <f>IFERROR(__xludf.DUMMYFUNCTION("""COMPUTED_VALUE"""),45629.0)</f>
        <v>45629</v>
      </c>
      <c r="C11072" s="266" t="str">
        <f>IFERROR(__xludf.DUMMYFUNCTION("""COMPUTED_VALUE"""),"KERTASARI CIAMIS")</f>
        <v>KERTASARI CIAMIS</v>
      </c>
      <c r="D11072" s="186">
        <f>IFERROR(__xludf.DUMMYFUNCTION("""COMPUTED_VALUE"""),49.0)</f>
        <v>49</v>
      </c>
    </row>
    <row r="11073">
      <c r="A11073" s="178" t="str">
        <f>IFERROR(__xludf.DUMMYFUNCTION("""COMPUTED_VALUE"""),"ITBISA-SERVO-SG90-360DEG")</f>
        <v>ITBISA-SERVO-SG90-360DEG</v>
      </c>
      <c r="B11073" s="266">
        <f>IFERROR(__xludf.DUMMYFUNCTION("""COMPUTED_VALUE"""),45682.0)</f>
        <v>45682</v>
      </c>
      <c r="C11073" s="266" t="str">
        <f>IFERROR(__xludf.DUMMYFUNCTION("""COMPUTED_VALUE"""),"KYAI KONTONG")</f>
        <v>KYAI KONTONG</v>
      </c>
      <c r="D11073" s="186">
        <f>IFERROR(__xludf.DUMMYFUNCTION("""COMPUTED_VALUE"""),4.0)</f>
        <v>4</v>
      </c>
    </row>
    <row r="11074">
      <c r="A11074" s="178" t="str">
        <f>IFERROR(__xludf.DUMMYFUNCTION("""COMPUTED_VALUE"""),"ITBISA-SERVO-SG90-360DEG")</f>
        <v>ITBISA-SERVO-SG90-360DEG</v>
      </c>
      <c r="B11074" s="266">
        <f>IFERROR(__xludf.DUMMYFUNCTION("""COMPUTED_VALUE"""),45691.0)</f>
        <v>45691</v>
      </c>
      <c r="C11074" s="266" t="str">
        <f>IFERROR(__xludf.DUMMYFUNCTION("""COMPUTED_VALUE"""),"KYAI KONTONG")</f>
        <v>KYAI KONTONG</v>
      </c>
      <c r="D11074" s="186">
        <f>IFERROR(__xludf.DUMMYFUNCTION("""COMPUTED_VALUE"""),1.0)</f>
        <v>1</v>
      </c>
    </row>
    <row r="11075">
      <c r="A11075" s="178" t="str">
        <f>IFERROR(__xludf.DUMMYFUNCTION("""COMPUTED_VALUE"""),"ITBISA-SERVO-SG90-360DEG")</f>
        <v>ITBISA-SERVO-SG90-360DEG</v>
      </c>
      <c r="B11075" s="266">
        <f>IFERROR(__xludf.DUMMYFUNCTION("""COMPUTED_VALUE"""),45704.0)</f>
        <v>45704</v>
      </c>
      <c r="C11075" s="266" t="str">
        <f>IFERROR(__xludf.DUMMYFUNCTION("""COMPUTED_VALUE"""),"KYAI KONTONG")</f>
        <v>KYAI KONTONG</v>
      </c>
      <c r="D11075" s="186">
        <f>IFERROR(__xludf.DUMMYFUNCTION("""COMPUTED_VALUE"""),1.0)</f>
        <v>1</v>
      </c>
    </row>
    <row r="11076">
      <c r="A11076" s="178" t="str">
        <f>IFERROR(__xludf.DUMMYFUNCTION("""COMPUTED_VALUE"""),"ITBISA-SERVO-SG90-360DEG")</f>
        <v>ITBISA-SERVO-SG90-360DEG</v>
      </c>
      <c r="B11076" s="266">
        <f>IFERROR(__xludf.DUMMYFUNCTION("""COMPUTED_VALUE"""),45733.0)</f>
        <v>45733</v>
      </c>
      <c r="C11076" s="266" t="str">
        <f>IFERROR(__xludf.DUMMYFUNCTION("""COMPUTED_VALUE"""),"KERTASARI CIAMIS")</f>
        <v>KERTASARI CIAMIS</v>
      </c>
      <c r="D11076" s="186">
        <f>IFERROR(__xludf.DUMMYFUNCTION("""COMPUTED_VALUE"""),2.0)</f>
        <v>2</v>
      </c>
    </row>
    <row r="11077">
      <c r="A11077" s="178" t="str">
        <f>IFERROR(__xludf.DUMMYFUNCTION("""COMPUTED_VALUE"""),"ITBISA-SERVO-SG90-360DEG")</f>
        <v>ITBISA-SERVO-SG90-360DEG</v>
      </c>
      <c r="B11077" s="266">
        <f>IFERROR(__xludf.DUMMYFUNCTION("""COMPUTED_VALUE"""),45775.0)</f>
        <v>45775</v>
      </c>
      <c r="C11077" s="266" t="str">
        <f>IFERROR(__xludf.DUMMYFUNCTION("""COMPUTED_VALUE"""),"KYAI KONTONG")</f>
        <v>KYAI KONTONG</v>
      </c>
      <c r="D11077" s="186">
        <f>IFERROR(__xludf.DUMMYFUNCTION("""COMPUTED_VALUE"""),1.0)</f>
        <v>1</v>
      </c>
    </row>
    <row r="11078">
      <c r="A11078" s="178" t="str">
        <f>IFERROR(__xludf.DUMMYFUNCTION("""COMPUTED_VALUE"""),"ITBISA-SERVO-SG90-360DEG")</f>
        <v>ITBISA-SERVO-SG90-360DEG</v>
      </c>
      <c r="B11078" s="266">
        <f>IFERROR(__xludf.DUMMYFUNCTION("""COMPUTED_VALUE"""),45776.0)</f>
        <v>45776</v>
      </c>
      <c r="C11078" s="266" t="str">
        <f>IFERROR(__xludf.DUMMYFUNCTION("""COMPUTED_VALUE"""),"KERTASARI CIAMIS")</f>
        <v>KERTASARI CIAMIS</v>
      </c>
      <c r="D11078" s="186">
        <f>IFERROR(__xludf.DUMMYFUNCTION("""COMPUTED_VALUE"""),1.0)</f>
        <v>1</v>
      </c>
    </row>
    <row r="11079">
      <c r="A11079" s="178" t="str">
        <f>IFERROR(__xludf.DUMMYFUNCTION("""COMPUTED_VALUE"""),"ITBISA-SERVO-SG90-360DEG")</f>
        <v>ITBISA-SERVO-SG90-360DEG</v>
      </c>
      <c r="B11079" s="266">
        <f>IFERROR(__xludf.DUMMYFUNCTION("""COMPUTED_VALUE"""),45783.0)</f>
        <v>45783</v>
      </c>
      <c r="C11079" s="266" t="str">
        <f>IFERROR(__xludf.DUMMYFUNCTION("""COMPUTED_VALUE"""),"KYAI KONTONG")</f>
        <v>KYAI KONTONG</v>
      </c>
      <c r="D11079" s="186">
        <f>IFERROR(__xludf.DUMMYFUNCTION("""COMPUTED_VALUE"""),2.0)</f>
        <v>2</v>
      </c>
    </row>
    <row r="11080">
      <c r="A11080" s="178" t="str">
        <f>IFERROR(__xludf.DUMMYFUNCTION("""COMPUTED_VALUE"""),"ITBISA-SERVO-SG90-360DEG")</f>
        <v>ITBISA-SERVO-SG90-360DEG</v>
      </c>
      <c r="B11080" s="266">
        <f>IFERROR(__xludf.DUMMYFUNCTION("""COMPUTED_VALUE"""),45785.0)</f>
        <v>45785</v>
      </c>
      <c r="C11080" s="266" t="str">
        <f>IFERROR(__xludf.DUMMYFUNCTION("""COMPUTED_VALUE"""),"KYAI KONTONG")</f>
        <v>KYAI KONTONG</v>
      </c>
      <c r="D11080" s="186">
        <f>IFERROR(__xludf.DUMMYFUNCTION("""COMPUTED_VALUE"""),4.0)</f>
        <v>4</v>
      </c>
    </row>
    <row r="11081">
      <c r="A11081" s="178" t="str">
        <f>IFERROR(__xludf.DUMMYFUNCTION("""COMPUTED_VALUE"""),"ITBISA-SERVO-SG90-360DEG")</f>
        <v>ITBISA-SERVO-SG90-360DEG</v>
      </c>
      <c r="B11081" s="266">
        <f>IFERROR(__xludf.DUMMYFUNCTION("""COMPUTED_VALUE"""),45793.0)</f>
        <v>45793</v>
      </c>
      <c r="C11081" s="266" t="str">
        <f>IFERROR(__xludf.DUMMYFUNCTION("""COMPUTED_VALUE"""),"KYAI KONTONG")</f>
        <v>KYAI KONTONG</v>
      </c>
      <c r="D11081" s="186">
        <f>IFERROR(__xludf.DUMMYFUNCTION("""COMPUTED_VALUE"""),1.0)</f>
        <v>1</v>
      </c>
    </row>
    <row r="11082">
      <c r="A11082" s="178" t="str">
        <f>IFERROR(__xludf.DUMMYFUNCTION("""COMPUTED_VALUE"""),"ITBISA-SERVO-SG90-360DEG")</f>
        <v>ITBISA-SERVO-SG90-360DEG</v>
      </c>
      <c r="B11082" s="266">
        <f>IFERROR(__xludf.DUMMYFUNCTION("""COMPUTED_VALUE"""),45795.0)</f>
        <v>45795</v>
      </c>
      <c r="C11082" s="266" t="str">
        <f>IFERROR(__xludf.DUMMYFUNCTION("""COMPUTED_VALUE"""),"KYAI KONTONG")</f>
        <v>KYAI KONTONG</v>
      </c>
      <c r="D11082" s="186">
        <f>IFERROR(__xludf.DUMMYFUNCTION("""COMPUTED_VALUE"""),1.0)</f>
        <v>1</v>
      </c>
    </row>
    <row r="11083">
      <c r="A11083" s="178" t="str">
        <f>IFERROR(__xludf.DUMMYFUNCTION("""COMPUTED_VALUE"""),"ITBISA-SERVO-SG90-360DEG")</f>
        <v>ITBISA-SERVO-SG90-360DEG</v>
      </c>
      <c r="B11083" s="266">
        <f>IFERROR(__xludf.DUMMYFUNCTION("""COMPUTED_VALUE"""),45798.0)</f>
        <v>45798</v>
      </c>
      <c r="C11083" s="266" t="str">
        <f>IFERROR(__xludf.DUMMYFUNCTION("""COMPUTED_VALUE"""),"KERTASARI CIAMIS")</f>
        <v>KERTASARI CIAMIS</v>
      </c>
      <c r="D11083" s="186">
        <f>IFERROR(__xludf.DUMMYFUNCTION("""COMPUTED_VALUE"""),1.0)</f>
        <v>1</v>
      </c>
    </row>
    <row r="11084">
      <c r="A11084" s="178" t="str">
        <f>IFERROR(__xludf.DUMMYFUNCTION("""COMPUTED_VALUE"""),"ITBISA-SERVO-SG90-360DEG")</f>
        <v>ITBISA-SERVO-SG90-360DEG</v>
      </c>
      <c r="B11084" s="266">
        <f>IFERROR(__xludf.DUMMYFUNCTION("""COMPUTED_VALUE"""),45801.0)</f>
        <v>45801</v>
      </c>
      <c r="C11084" s="266" t="str">
        <f>IFERROR(__xludf.DUMMYFUNCTION("""COMPUTED_VALUE"""),"KYAI KONTONG")</f>
        <v>KYAI KONTONG</v>
      </c>
      <c r="D11084" s="186">
        <f>IFERROR(__xludf.DUMMYFUNCTION("""COMPUTED_VALUE"""),2.0)</f>
        <v>2</v>
      </c>
    </row>
    <row r="11085">
      <c r="A11085" s="178" t="str">
        <f>IFERROR(__xludf.DUMMYFUNCTION("""COMPUTED_VALUE"""),"ITBISA-SERVO-SG90-360DEG")</f>
        <v>ITBISA-SERVO-SG90-360DEG</v>
      </c>
      <c r="B11085" s="266">
        <f>IFERROR(__xludf.DUMMYFUNCTION("""COMPUTED_VALUE"""),45810.0)</f>
        <v>45810</v>
      </c>
      <c r="C11085" s="266" t="str">
        <f>IFERROR(__xludf.DUMMYFUNCTION("""COMPUTED_VALUE"""),"KYAI KONTONG")</f>
        <v>KYAI KONTONG</v>
      </c>
      <c r="D11085" s="186">
        <f>IFERROR(__xludf.DUMMYFUNCTION("""COMPUTED_VALUE"""),4.0)</f>
        <v>4</v>
      </c>
    </row>
    <row r="11086">
      <c r="A11086" s="178" t="str">
        <f>IFERROR(__xludf.DUMMYFUNCTION("""COMPUTED_VALUE"""),"ITBISA-SERVO-SG90-360DEG")</f>
        <v>ITBISA-SERVO-SG90-360DEG</v>
      </c>
      <c r="B11086" s="266">
        <f>IFERROR(__xludf.DUMMYFUNCTION("""COMPUTED_VALUE"""),45831.0)</f>
        <v>45831</v>
      </c>
      <c r="C11086" s="266" t="str">
        <f>IFERROR(__xludf.DUMMYFUNCTION("""COMPUTED_VALUE"""),"KYAI KONTONG")</f>
        <v>KYAI KONTONG</v>
      </c>
      <c r="D11086" s="186">
        <f>IFERROR(__xludf.DUMMYFUNCTION("""COMPUTED_VALUE"""),1.0)</f>
        <v>1</v>
      </c>
    </row>
    <row r="11087">
      <c r="A11087" s="178" t="str">
        <f>IFERROR(__xludf.DUMMYFUNCTION("""COMPUTED_VALUE"""),"ITBISA-SERVO-SG90-360DEG")</f>
        <v>ITBISA-SERVO-SG90-360DEG</v>
      </c>
      <c r="B11087" s="266">
        <f>IFERROR(__xludf.DUMMYFUNCTION("""COMPUTED_VALUE"""),45855.0)</f>
        <v>45855</v>
      </c>
      <c r="C11087" s="266" t="str">
        <f>IFERROR(__xludf.DUMMYFUNCTION("""COMPUTED_VALUE"""),"KYAI KONTONG")</f>
        <v>KYAI KONTONG</v>
      </c>
      <c r="D11087" s="186">
        <f>IFERROR(__xludf.DUMMYFUNCTION("""COMPUTED_VALUE"""),2.0)</f>
        <v>2</v>
      </c>
    </row>
    <row r="11088">
      <c r="A11088" s="178" t="str">
        <f>IFERROR(__xludf.DUMMYFUNCTION("""COMPUTED_VALUE"""),"ITBISA-SERVO-SG90-360DEG")</f>
        <v>ITBISA-SERVO-SG90-360DEG</v>
      </c>
      <c r="B11088" s="266">
        <f>IFERROR(__xludf.DUMMYFUNCTION("""COMPUTED_VALUE"""),45864.0)</f>
        <v>45864</v>
      </c>
      <c r="C11088" s="266" t="str">
        <f>IFERROR(__xludf.DUMMYFUNCTION("""COMPUTED_VALUE"""),"KYAI KONTONG")</f>
        <v>KYAI KONTONG</v>
      </c>
      <c r="D11088" s="186">
        <f>IFERROR(__xludf.DUMMYFUNCTION("""COMPUTED_VALUE"""),2.0)</f>
        <v>2</v>
      </c>
    </row>
    <row r="11089">
      <c r="A11089" s="178" t="str">
        <f>IFERROR(__xludf.DUMMYFUNCTION("""COMPUTED_VALUE"""),"ITBISA-SERVO-SG90-360DEG")</f>
        <v>ITBISA-SERVO-SG90-360DEG</v>
      </c>
      <c r="B11089" s="266">
        <f>IFERROR(__xludf.DUMMYFUNCTION("""COMPUTED_VALUE"""),45870.0)</f>
        <v>45870</v>
      </c>
      <c r="C11089" s="266" t="str">
        <f>IFERROR(__xludf.DUMMYFUNCTION("""COMPUTED_VALUE"""),"KERTASARI CIAMIS")</f>
        <v>KERTASARI CIAMIS</v>
      </c>
      <c r="D11089" s="186">
        <f>IFERROR(__xludf.DUMMYFUNCTION("""COMPUTED_VALUE"""),2.0)</f>
        <v>2</v>
      </c>
    </row>
    <row r="11090">
      <c r="A11090" s="178" t="str">
        <f>IFERROR(__xludf.DUMMYFUNCTION("""COMPUTED_VALUE"""),"ITBISA-SERVO-SG90-360DEG")</f>
        <v>ITBISA-SERVO-SG90-360DEG</v>
      </c>
      <c r="B11090" s="266">
        <f>IFERROR(__xludf.DUMMYFUNCTION("""COMPUTED_VALUE"""),45877.0)</f>
        <v>45877</v>
      </c>
      <c r="C11090" s="266" t="str">
        <f>IFERROR(__xludf.DUMMYFUNCTION("""COMPUTED_VALUE"""),"KYAI KONTONG")</f>
        <v>KYAI KONTONG</v>
      </c>
      <c r="D11090" s="186">
        <f>IFERROR(__xludf.DUMMYFUNCTION("""COMPUTED_VALUE"""),1.0)</f>
        <v>1</v>
      </c>
    </row>
    <row r="11091">
      <c r="A11091" s="178" t="str">
        <f>IFERROR(__xludf.DUMMYFUNCTION("""COMPUTED_VALUE"""),"ITBISA-SERVO-SG90-360DEG")</f>
        <v>ITBISA-SERVO-SG90-360DEG</v>
      </c>
      <c r="B11091" s="266">
        <f>IFERROR(__xludf.DUMMYFUNCTION("""COMPUTED_VALUE"""),45884.0)</f>
        <v>45884</v>
      </c>
      <c r="C11091" s="266" t="str">
        <f>IFERROR(__xludf.DUMMYFUNCTION("""COMPUTED_VALUE"""),"KYAI KONTONG")</f>
        <v>KYAI KONTONG</v>
      </c>
      <c r="D11091" s="186">
        <f>IFERROR(__xludf.DUMMYFUNCTION("""COMPUTED_VALUE"""),3.0)</f>
        <v>3</v>
      </c>
    </row>
    <row r="11092">
      <c r="A11092" s="178" t="str">
        <f>IFERROR(__xludf.DUMMYFUNCTION("""COMPUTED_VALUE"""),"ITBISA-SERVO-SG90-360DEG")</f>
        <v>ITBISA-SERVO-SG90-360DEG</v>
      </c>
      <c r="B11092" s="266">
        <f>IFERROR(__xludf.DUMMYFUNCTION("""COMPUTED_VALUE"""),45887.0)</f>
        <v>45887</v>
      </c>
      <c r="C11092" s="266" t="str">
        <f>IFERROR(__xludf.DUMMYFUNCTION("""COMPUTED_VALUE"""),"KERTASARI CIAMIS")</f>
        <v>KERTASARI CIAMIS</v>
      </c>
      <c r="D11092" s="186">
        <f>IFERROR(__xludf.DUMMYFUNCTION("""COMPUTED_VALUE"""),1.0)</f>
        <v>1</v>
      </c>
    </row>
    <row r="11093">
      <c r="A11093" s="178" t="str">
        <f>IFERROR(__xludf.DUMMYFUNCTION("""COMPUTED_VALUE"""),"ITBISA-SERVO-SG90-360DEG")</f>
        <v>ITBISA-SERVO-SG90-360DEG</v>
      </c>
      <c r="B11093" s="266">
        <f>IFERROR(__xludf.DUMMYFUNCTION("""COMPUTED_VALUE"""),45887.0)</f>
        <v>45887</v>
      </c>
      <c r="C11093" s="266" t="str">
        <f>IFERROR(__xludf.DUMMYFUNCTION("""COMPUTED_VALUE"""),"KYAI KONTONG")</f>
        <v>KYAI KONTONG</v>
      </c>
      <c r="D11093" s="186">
        <f>IFERROR(__xludf.DUMMYFUNCTION("""COMPUTED_VALUE"""),2.0)</f>
        <v>2</v>
      </c>
    </row>
    <row r="11094">
      <c r="A11094" s="178" t="str">
        <f>IFERROR(__xludf.DUMMYFUNCTION("""COMPUTED_VALUE"""),"ITBISA-SERVO-SG90-360DEG")</f>
        <v>ITBISA-SERVO-SG90-360DEG</v>
      </c>
      <c r="B11094" s="266">
        <f>IFERROR(__xludf.DUMMYFUNCTION("""COMPUTED_VALUE"""),45890.0)</f>
        <v>45890</v>
      </c>
      <c r="C11094" s="266" t="str">
        <f>IFERROR(__xludf.DUMMYFUNCTION("""COMPUTED_VALUE"""),"KYAI KONTONG")</f>
        <v>KYAI KONTONG</v>
      </c>
      <c r="D11094" s="186">
        <f>IFERROR(__xludf.DUMMYFUNCTION("""COMPUTED_VALUE"""),1.0)</f>
        <v>1</v>
      </c>
    </row>
    <row r="11095">
      <c r="A11095" s="178" t="str">
        <f>IFERROR(__xludf.DUMMYFUNCTION("""COMPUTED_VALUE"""),"ITBISA-SERVO-SG90-360DEG")</f>
        <v>ITBISA-SERVO-SG90-360DEG</v>
      </c>
      <c r="B11095" s="266">
        <f>IFERROR(__xludf.DUMMYFUNCTION("""COMPUTED_VALUE"""),45897.0)</f>
        <v>45897</v>
      </c>
      <c r="C11095" s="266" t="str">
        <f>IFERROR(__xludf.DUMMYFUNCTION("""COMPUTED_VALUE"""),"KYAI KONTONG")</f>
        <v>KYAI KONTONG</v>
      </c>
      <c r="D11095" s="186">
        <f>IFERROR(__xludf.DUMMYFUNCTION("""COMPUTED_VALUE"""),2.0)</f>
        <v>2</v>
      </c>
    </row>
    <row r="11096">
      <c r="A11096" s="178" t="str">
        <f>IFERROR(__xludf.DUMMYFUNCTION("""COMPUTED_VALUE"""),"ITBISA-SERVO-SG90-360DEG")</f>
        <v>ITBISA-SERVO-SG90-360DEG</v>
      </c>
      <c r="B11096" s="266">
        <f>IFERROR(__xludf.DUMMYFUNCTION("""COMPUTED_VALUE"""),45903.0)</f>
        <v>45903</v>
      </c>
      <c r="C11096" s="266" t="str">
        <f>IFERROR(__xludf.DUMMYFUNCTION("""COMPUTED_VALUE"""),"KERTASARI CIAMIS")</f>
        <v>KERTASARI CIAMIS</v>
      </c>
      <c r="D11096" s="186">
        <f>IFERROR(__xludf.DUMMYFUNCTION("""COMPUTED_VALUE"""),2.0)</f>
        <v>2</v>
      </c>
    </row>
    <row r="11097">
      <c r="A11097" s="178" t="str">
        <f>IFERROR(__xludf.DUMMYFUNCTION("""COMPUTED_VALUE"""),"ITBISA-SERVO-SG90-360DEG")</f>
        <v>ITBISA-SERVO-SG90-360DEG</v>
      </c>
      <c r="B11097" s="266">
        <f>IFERROR(__xludf.DUMMYFUNCTION("""COMPUTED_VALUE"""),45903.0)</f>
        <v>45903</v>
      </c>
      <c r="C11097" s="266" t="str">
        <f>IFERROR(__xludf.DUMMYFUNCTION("""COMPUTED_VALUE"""),"KERTASARI CIAMIS")</f>
        <v>KERTASARI CIAMIS</v>
      </c>
      <c r="D11097" s="186">
        <f>IFERROR(__xludf.DUMMYFUNCTION("""COMPUTED_VALUE"""),2.0)</f>
        <v>2</v>
      </c>
    </row>
    <row r="11098">
      <c r="A11098" s="178" t="str">
        <f>IFERROR(__xludf.DUMMYFUNCTION("""COMPUTED_VALUE"""),"ITBISA-SERVO-SG90-360DEG")</f>
        <v>ITBISA-SERVO-SG90-360DEG</v>
      </c>
      <c r="B11098" s="266">
        <f>IFERROR(__xludf.DUMMYFUNCTION("""COMPUTED_VALUE"""),45903.0)</f>
        <v>45903</v>
      </c>
      <c r="C11098" s="266" t="str">
        <f>IFERROR(__xludf.DUMMYFUNCTION("""COMPUTED_VALUE"""),"KYAI KONTONG")</f>
        <v>KYAI KONTONG</v>
      </c>
      <c r="D11098" s="186">
        <f>IFERROR(__xludf.DUMMYFUNCTION("""COMPUTED_VALUE"""),1.0)</f>
        <v>1</v>
      </c>
    </row>
    <row r="11099">
      <c r="A11099" s="178" t="str">
        <f>IFERROR(__xludf.DUMMYFUNCTION("""COMPUTED_VALUE"""),"ITBISA-SERVO-SG90-360DEG")</f>
        <v>ITBISA-SERVO-SG90-360DEG</v>
      </c>
      <c r="B11099" s="266">
        <f>IFERROR(__xludf.DUMMYFUNCTION("""COMPUTED_VALUE"""),45918.0)</f>
        <v>45918</v>
      </c>
      <c r="C11099" s="266" t="str">
        <f>IFERROR(__xludf.DUMMYFUNCTION("""COMPUTED_VALUE"""),"KYAI KONTONG")</f>
        <v>KYAI KONTONG</v>
      </c>
      <c r="D11099" s="186">
        <f>IFERROR(__xludf.DUMMYFUNCTION("""COMPUTED_VALUE"""),1.0)</f>
        <v>1</v>
      </c>
    </row>
    <row r="11100">
      <c r="A11100" s="178" t="str">
        <f>IFERROR(__xludf.DUMMYFUNCTION("""COMPUTED_VALUE"""),"ITBISA-SERVO-SG90-360DEG")</f>
        <v>ITBISA-SERVO-SG90-360DEG</v>
      </c>
      <c r="B11100" s="266">
        <f>IFERROR(__xludf.DUMMYFUNCTION("""COMPUTED_VALUE"""),45918.0)</f>
        <v>45918</v>
      </c>
      <c r="C11100" s="266" t="str">
        <f>IFERROR(__xludf.DUMMYFUNCTION("""COMPUTED_VALUE"""),"KYAI KONTONG")</f>
        <v>KYAI KONTONG</v>
      </c>
      <c r="D11100" s="186">
        <f>IFERROR(__xludf.DUMMYFUNCTION("""COMPUTED_VALUE"""),2.0)</f>
        <v>2</v>
      </c>
    </row>
    <row r="11101">
      <c r="A11101" s="178" t="str">
        <f>IFERROR(__xludf.DUMMYFUNCTION("""COMPUTED_VALUE"""),"ITBISA-SERVO-SG90-360DEG")</f>
        <v>ITBISA-SERVO-SG90-360DEG</v>
      </c>
      <c r="B11101" s="266">
        <f>IFERROR(__xludf.DUMMYFUNCTION("""COMPUTED_VALUE"""),45921.0)</f>
        <v>45921</v>
      </c>
      <c r="C11101" s="266" t="str">
        <f>IFERROR(__xludf.DUMMYFUNCTION("""COMPUTED_VALUE"""),"KYAI KONTONG")</f>
        <v>KYAI KONTONG</v>
      </c>
      <c r="D11101" s="186">
        <f>IFERROR(__xludf.DUMMYFUNCTION("""COMPUTED_VALUE"""),1.0)</f>
        <v>1</v>
      </c>
    </row>
    <row r="11102">
      <c r="A11102" s="178" t="str">
        <f>IFERROR(__xludf.DUMMYFUNCTION("""COMPUTED_VALUE"""),"ITBISA-SERVO-SG90-360DEG")</f>
        <v>ITBISA-SERVO-SG90-360DEG</v>
      </c>
      <c r="B11102" s="266">
        <f>IFERROR(__xludf.DUMMYFUNCTION("""COMPUTED_VALUE"""),45922.0)</f>
        <v>45922</v>
      </c>
      <c r="C11102" s="266" t="str">
        <f>IFERROR(__xludf.DUMMYFUNCTION("""COMPUTED_VALUE"""),"KYAI KONTONG")</f>
        <v>KYAI KONTONG</v>
      </c>
      <c r="D11102" s="186">
        <f>IFERROR(__xludf.DUMMYFUNCTION("""COMPUTED_VALUE"""),1.0)</f>
        <v>1</v>
      </c>
    </row>
    <row r="11103">
      <c r="A11103" s="178" t="str">
        <f>IFERROR(__xludf.DUMMYFUNCTION("""COMPUTED_VALUE"""),"ITBISA-SERVO-SG90-360DEG")</f>
        <v>ITBISA-SERVO-SG90-360DEG</v>
      </c>
      <c r="B11103" s="266">
        <f>IFERROR(__xludf.DUMMYFUNCTION("""COMPUTED_VALUE"""),45926.0)</f>
        <v>45926</v>
      </c>
      <c r="C11103" s="266" t="str">
        <f>IFERROR(__xludf.DUMMYFUNCTION("""COMPUTED_VALUE"""),"KYAI KONTONG")</f>
        <v>KYAI KONTONG</v>
      </c>
      <c r="D11103" s="186">
        <f>IFERROR(__xludf.DUMMYFUNCTION("""COMPUTED_VALUE"""),5.0)</f>
        <v>5</v>
      </c>
    </row>
    <row r="11104">
      <c r="A11104" s="178" t="str">
        <f>IFERROR(__xludf.DUMMYFUNCTION("""COMPUTED_VALUE"""),"ITBISA-SERVO-SG90-360DEG")</f>
        <v>ITBISA-SERVO-SG90-360DEG</v>
      </c>
      <c r="B11104" s="266">
        <f>IFERROR(__xludf.DUMMYFUNCTION("""COMPUTED_VALUE"""),45936.0)</f>
        <v>45936</v>
      </c>
      <c r="C11104" s="266" t="str">
        <f>IFERROR(__xludf.DUMMYFUNCTION("""COMPUTED_VALUE"""),"KYAI KONTONG")</f>
        <v>KYAI KONTONG</v>
      </c>
      <c r="D11104" s="186">
        <f>IFERROR(__xludf.DUMMYFUNCTION("""COMPUTED_VALUE"""),1.0)</f>
        <v>1</v>
      </c>
    </row>
    <row r="11105">
      <c r="A11105" s="178" t="str">
        <f>IFERROR(__xludf.DUMMYFUNCTION("""COMPUTED_VALUE"""),"ITBISA-SERVO-SG90-360DEG")</f>
        <v>ITBISA-SERVO-SG90-360DEG</v>
      </c>
      <c r="B11105" s="266">
        <f>IFERROR(__xludf.DUMMYFUNCTION("""COMPUTED_VALUE"""),45936.0)</f>
        <v>45936</v>
      </c>
      <c r="C11105" s="266" t="str">
        <f>IFERROR(__xludf.DUMMYFUNCTION("""COMPUTED_VALUE"""),"KYAI KONTONG")</f>
        <v>KYAI KONTONG</v>
      </c>
      <c r="D11105" s="186">
        <f>IFERROR(__xludf.DUMMYFUNCTION("""COMPUTED_VALUE"""),1.0)</f>
        <v>1</v>
      </c>
    </row>
    <row r="11106">
      <c r="A11106" s="178" t="str">
        <f>IFERROR(__xludf.DUMMYFUNCTION("""COMPUTED_VALUE"""),"ITBISA-SERVO-SG90-360DEG")</f>
        <v>ITBISA-SERVO-SG90-360DEG</v>
      </c>
      <c r="B11106" s="266">
        <f>IFERROR(__xludf.DUMMYFUNCTION("""COMPUTED_VALUE"""),45938.0)</f>
        <v>45938</v>
      </c>
      <c r="C11106" s="266" t="str">
        <f>IFERROR(__xludf.DUMMYFUNCTION("""COMPUTED_VALUE"""),"KYAI KONTONG")</f>
        <v>KYAI KONTONG</v>
      </c>
      <c r="D11106" s="186">
        <f>IFERROR(__xludf.DUMMYFUNCTION("""COMPUTED_VALUE"""),4.0)</f>
        <v>4</v>
      </c>
    </row>
    <row r="11107">
      <c r="A11107" s="178" t="str">
        <f>IFERROR(__xludf.DUMMYFUNCTION("""COMPUTED_VALUE"""),"ITBISA-SERVO-SG90-360DEG")</f>
        <v>ITBISA-SERVO-SG90-360DEG</v>
      </c>
      <c r="B11107" s="266">
        <f>IFERROR(__xludf.DUMMYFUNCTION("""COMPUTED_VALUE"""),45945.0)</f>
        <v>45945</v>
      </c>
      <c r="C11107" s="266" t="str">
        <f>IFERROR(__xludf.DUMMYFUNCTION("""COMPUTED_VALUE"""),"KYAI KONTONG")</f>
        <v>KYAI KONTONG</v>
      </c>
      <c r="D11107" s="186">
        <f>IFERROR(__xludf.DUMMYFUNCTION("""COMPUTED_VALUE"""),2.0)</f>
        <v>2</v>
      </c>
    </row>
    <row r="11108">
      <c r="A11108" s="178" t="str">
        <f>IFERROR(__xludf.DUMMYFUNCTION("""COMPUTED_VALUE"""),"ITBISA-SERVO-SG90-360DEG")</f>
        <v>ITBISA-SERVO-SG90-360DEG</v>
      </c>
      <c r="B11108" s="266">
        <f>IFERROR(__xludf.DUMMYFUNCTION("""COMPUTED_VALUE"""),45946.0)</f>
        <v>45946</v>
      </c>
      <c r="C11108" s="266" t="str">
        <f>IFERROR(__xludf.DUMMYFUNCTION("""COMPUTED_VALUE"""),"KYAI KONTONG")</f>
        <v>KYAI KONTONG</v>
      </c>
      <c r="D11108" s="186">
        <f>IFERROR(__xludf.DUMMYFUNCTION("""COMPUTED_VALUE"""),1.0)</f>
        <v>1</v>
      </c>
    </row>
    <row r="11109">
      <c r="A11109" s="178" t="str">
        <f>IFERROR(__xludf.DUMMYFUNCTION("""COMPUTED_VALUE"""),"ITBISA-SERVO-SG90-360DEG")</f>
        <v>ITBISA-SERVO-SG90-360DEG</v>
      </c>
      <c r="B11109" s="266">
        <f>IFERROR(__xludf.DUMMYFUNCTION("""COMPUTED_VALUE"""),45948.0)</f>
        <v>45948</v>
      </c>
      <c r="C11109" s="266" t="str">
        <f>IFERROR(__xludf.DUMMYFUNCTION("""COMPUTED_VALUE"""),"KYAI KONTONG")</f>
        <v>KYAI KONTONG</v>
      </c>
      <c r="D11109" s="186">
        <f>IFERROR(__xludf.DUMMYFUNCTION("""COMPUTED_VALUE"""),1.0)</f>
        <v>1</v>
      </c>
    </row>
    <row r="11110">
      <c r="A11110" s="178" t="str">
        <f>IFERROR(__xludf.DUMMYFUNCTION("""COMPUTED_VALUE"""),"ITBISA-SERVO-SG90-360DEG")</f>
        <v>ITBISA-SERVO-SG90-360DEG</v>
      </c>
      <c r="B11110" s="266">
        <f>IFERROR(__xludf.DUMMYFUNCTION("""COMPUTED_VALUE"""),45949.0)</f>
        <v>45949</v>
      </c>
      <c r="C11110" s="266" t="str">
        <f>IFERROR(__xludf.DUMMYFUNCTION("""COMPUTED_VALUE"""),"KERTASARI CIAMIS")</f>
        <v>KERTASARI CIAMIS</v>
      </c>
      <c r="D11110" s="186">
        <f>IFERROR(__xludf.DUMMYFUNCTION("""COMPUTED_VALUE"""),32.0)</f>
        <v>32</v>
      </c>
    </row>
    <row r="11111">
      <c r="A11111" s="178" t="str">
        <f>IFERROR(__xludf.DUMMYFUNCTION("""COMPUTED_VALUE"""),"ITBISA-SERVO-SG90-360DEG")</f>
        <v>ITBISA-SERVO-SG90-360DEG</v>
      </c>
      <c r="B11111" s="266">
        <f>IFERROR(__xludf.DUMMYFUNCTION("""COMPUTED_VALUE"""),45951.0)</f>
        <v>45951</v>
      </c>
      <c r="C11111" s="266" t="str">
        <f>IFERROR(__xludf.DUMMYFUNCTION("""COMPUTED_VALUE"""),"KYAI KONTONG")</f>
        <v>KYAI KONTONG</v>
      </c>
      <c r="D11111" s="186">
        <f>IFERROR(__xludf.DUMMYFUNCTION("""COMPUTED_VALUE"""),2.0)</f>
        <v>2</v>
      </c>
    </row>
    <row r="11112">
      <c r="A11112" s="178" t="str">
        <f>IFERROR(__xludf.DUMMYFUNCTION("""COMPUTED_VALUE"""),"ITBISA-SERVO-SG90-360DEG")</f>
        <v>ITBISA-SERVO-SG90-360DEG</v>
      </c>
      <c r="B11112" s="266">
        <f>IFERROR(__xludf.DUMMYFUNCTION("""COMPUTED_VALUE"""),45952.0)</f>
        <v>45952</v>
      </c>
      <c r="C11112" s="266" t="str">
        <f>IFERROR(__xludf.DUMMYFUNCTION("""COMPUTED_VALUE"""),"KYAI KONTONG")</f>
        <v>KYAI KONTONG</v>
      </c>
      <c r="D11112" s="186">
        <f>IFERROR(__xludf.DUMMYFUNCTION("""COMPUTED_VALUE"""),1.0)</f>
        <v>1</v>
      </c>
    </row>
    <row r="11113">
      <c r="A11113" s="178" t="str">
        <f>IFERROR(__xludf.DUMMYFUNCTION("""COMPUTED_VALUE"""),"ITBISA-SERVO-SG90-360DEG")</f>
        <v>ITBISA-SERVO-SG90-360DEG</v>
      </c>
      <c r="B11113" s="266">
        <f>IFERROR(__xludf.DUMMYFUNCTION("""COMPUTED_VALUE"""),45952.0)</f>
        <v>45952</v>
      </c>
      <c r="C11113" s="266" t="str">
        <f>IFERROR(__xludf.DUMMYFUNCTION("""COMPUTED_VALUE"""),"KYAI KONTONG")</f>
        <v>KYAI KONTONG</v>
      </c>
      <c r="D11113" s="186">
        <f>IFERROR(__xludf.DUMMYFUNCTION("""COMPUTED_VALUE"""),2.0)</f>
        <v>2</v>
      </c>
    </row>
    <row r="11114">
      <c r="A11114" s="178" t="str">
        <f>IFERROR(__xludf.DUMMYFUNCTION("""COMPUTED_VALUE"""),"ITBISA-SERVO-SG90-360DEG")</f>
        <v>ITBISA-SERVO-SG90-360DEG</v>
      </c>
      <c r="B11114" s="266">
        <f>IFERROR(__xludf.DUMMYFUNCTION("""COMPUTED_VALUE"""),45954.0)</f>
        <v>45954</v>
      </c>
      <c r="C11114" s="266" t="str">
        <f>IFERROR(__xludf.DUMMYFUNCTION("""COMPUTED_VALUE"""),"KYAI KONTONG")</f>
        <v>KYAI KONTONG</v>
      </c>
      <c r="D11114" s="186">
        <f>IFERROR(__xludf.DUMMYFUNCTION("""COMPUTED_VALUE"""),1.0)</f>
        <v>1</v>
      </c>
    </row>
    <row r="11115">
      <c r="A11115" s="178" t="str">
        <f>IFERROR(__xludf.DUMMYFUNCTION("""COMPUTED_VALUE"""),"ITBISA-SERVO-SG90-360DEG")</f>
        <v>ITBISA-SERVO-SG90-360DEG</v>
      </c>
      <c r="B11115" s="266">
        <f>IFERROR(__xludf.DUMMYFUNCTION("""COMPUTED_VALUE"""),45956.0)</f>
        <v>45956</v>
      </c>
      <c r="C11115" s="266" t="str">
        <f>IFERROR(__xludf.DUMMYFUNCTION("""COMPUTED_VALUE"""),"KYAI KONTONG")</f>
        <v>KYAI KONTONG</v>
      </c>
      <c r="D11115" s="186">
        <f>IFERROR(__xludf.DUMMYFUNCTION("""COMPUTED_VALUE"""),1.0)</f>
        <v>1</v>
      </c>
    </row>
    <row r="11116">
      <c r="A11116" s="178" t="str">
        <f>IFERROR(__xludf.DUMMYFUNCTION("""COMPUTED_VALUE"""),"ITBISA-SERVO-SG90-360DEG")</f>
        <v>ITBISA-SERVO-SG90-360DEG</v>
      </c>
      <c r="B11116" s="266">
        <f>IFERROR(__xludf.DUMMYFUNCTION("""COMPUTED_VALUE"""),45957.0)</f>
        <v>45957</v>
      </c>
      <c r="C11116" s="266" t="str">
        <f>IFERROR(__xludf.DUMMYFUNCTION("""COMPUTED_VALUE"""),"KYAI KONTONG")</f>
        <v>KYAI KONTONG</v>
      </c>
      <c r="D11116" s="186">
        <f>IFERROR(__xludf.DUMMYFUNCTION("""COMPUTED_VALUE"""),1.0)</f>
        <v>1</v>
      </c>
    </row>
    <row r="11117">
      <c r="A11117" s="178" t="str">
        <f>IFERROR(__xludf.DUMMYFUNCTION("""COMPUTED_VALUE"""),"ITBISA-SERVO-SG90-360DEG")</f>
        <v>ITBISA-SERVO-SG90-360DEG</v>
      </c>
      <c r="B11117" s="266">
        <f>IFERROR(__xludf.DUMMYFUNCTION("""COMPUTED_VALUE"""),45957.0)</f>
        <v>45957</v>
      </c>
      <c r="C11117" s="266" t="str">
        <f>IFERROR(__xludf.DUMMYFUNCTION("""COMPUTED_VALUE"""),"KYAI KONTONG")</f>
        <v>KYAI KONTONG</v>
      </c>
      <c r="D11117" s="186">
        <f>IFERROR(__xludf.DUMMYFUNCTION("""COMPUTED_VALUE"""),2.0)</f>
        <v>2</v>
      </c>
    </row>
    <row r="11118">
      <c r="A11118" s="178" t="str">
        <f>IFERROR(__xludf.DUMMYFUNCTION("""COMPUTED_VALUE"""),"ITBISA-SERVO-SG90-360DEG")</f>
        <v>ITBISA-SERVO-SG90-360DEG</v>
      </c>
      <c r="B11118" s="266">
        <f>IFERROR(__xludf.DUMMYFUNCTION("""COMPUTED_VALUE"""),45959.0)</f>
        <v>45959</v>
      </c>
      <c r="C11118" s="266" t="str">
        <f>IFERROR(__xludf.DUMMYFUNCTION("""COMPUTED_VALUE"""),"KYAI KONTONG")</f>
        <v>KYAI KONTONG</v>
      </c>
      <c r="D11118" s="186">
        <f>IFERROR(__xludf.DUMMYFUNCTION("""COMPUTED_VALUE"""),1.0)</f>
        <v>1</v>
      </c>
    </row>
    <row r="11119">
      <c r="A11119" s="178" t="str">
        <f>IFERROR(__xludf.DUMMYFUNCTION("""COMPUTED_VALUE"""),"ITBISA-SERVO-SG90-360DEG")</f>
        <v>ITBISA-SERVO-SG90-360DEG</v>
      </c>
      <c r="B11119" s="266">
        <f>IFERROR(__xludf.DUMMYFUNCTION("""COMPUTED_VALUE"""),45960.0)</f>
        <v>45960</v>
      </c>
      <c r="C11119" s="266" t="str">
        <f>IFERROR(__xludf.DUMMYFUNCTION("""COMPUTED_VALUE"""),"KYAI KONTONG")</f>
        <v>KYAI KONTONG</v>
      </c>
      <c r="D11119" s="186">
        <f>IFERROR(__xludf.DUMMYFUNCTION("""COMPUTED_VALUE"""),9.0)</f>
        <v>9</v>
      </c>
    </row>
    <row r="11120">
      <c r="A11120" s="178" t="str">
        <f>IFERROR(__xludf.DUMMYFUNCTION("""COMPUTED_VALUE"""),"ITBISA-SERVO-SG90-360DEG")</f>
        <v>ITBISA-SERVO-SG90-360DEG</v>
      </c>
      <c r="B11120" s="266">
        <f>IFERROR(__xludf.DUMMYFUNCTION("""COMPUTED_VALUE"""),45960.0)</f>
        <v>45960</v>
      </c>
      <c r="C11120" s="266" t="str">
        <f>IFERROR(__xludf.DUMMYFUNCTION("""COMPUTED_VALUE"""),"KYAI KONTONG")</f>
        <v>KYAI KONTONG</v>
      </c>
      <c r="D11120" s="186">
        <f>IFERROR(__xludf.DUMMYFUNCTION("""COMPUTED_VALUE"""),10.0)</f>
        <v>10</v>
      </c>
    </row>
    <row r="11121">
      <c r="A11121" s="178" t="str">
        <f>IFERROR(__xludf.DUMMYFUNCTION("""COMPUTED_VALUE"""),"ITBISA-SERVO-SG90-360DEG")</f>
        <v>ITBISA-SERVO-SG90-360DEG</v>
      </c>
      <c r="B11121" s="266">
        <f>IFERROR(__xludf.DUMMYFUNCTION("""COMPUTED_VALUE"""),45961.0)</f>
        <v>45961</v>
      </c>
      <c r="C11121" s="266" t="str">
        <f>IFERROR(__xludf.DUMMYFUNCTION("""COMPUTED_VALUE"""),"KYAI KONTONG")</f>
        <v>KYAI KONTONG</v>
      </c>
      <c r="D11121" s="186">
        <f>IFERROR(__xludf.DUMMYFUNCTION("""COMPUTED_VALUE"""),1.0)</f>
        <v>1</v>
      </c>
    </row>
    <row r="11122">
      <c r="A11122" s="178" t="str">
        <f>IFERROR(__xludf.DUMMYFUNCTION("""COMPUTED_VALUE"""),"ITBISA-SERVO-SG90-360DEG")</f>
        <v>ITBISA-SERVO-SG90-360DEG</v>
      </c>
      <c r="B11122" s="266">
        <f>IFERROR(__xludf.DUMMYFUNCTION("""COMPUTED_VALUE"""),45962.0)</f>
        <v>45962</v>
      </c>
      <c r="C11122" s="266" t="str">
        <f>IFERROR(__xludf.DUMMYFUNCTION("""COMPUTED_VALUE"""),"KERTASARI CIAMIS")</f>
        <v>KERTASARI CIAMIS</v>
      </c>
      <c r="D11122" s="186">
        <f>IFERROR(__xludf.DUMMYFUNCTION("""COMPUTED_VALUE"""),2.0)</f>
        <v>2</v>
      </c>
    </row>
    <row r="11123">
      <c r="A11123" s="178" t="str">
        <f>IFERROR(__xludf.DUMMYFUNCTION("""COMPUTED_VALUE"""),"ITBISA-SERVO-SG90-360DEG")</f>
        <v>ITBISA-SERVO-SG90-360DEG</v>
      </c>
      <c r="B11123" s="266">
        <f>IFERROR(__xludf.DUMMYFUNCTION("""COMPUTED_VALUE"""),45962.0)</f>
        <v>45962</v>
      </c>
      <c r="C11123" s="266" t="str">
        <f>IFERROR(__xludf.DUMMYFUNCTION("""COMPUTED_VALUE"""),"KYAI KONTONG")</f>
        <v>KYAI KONTONG</v>
      </c>
      <c r="D11123" s="186">
        <f>IFERROR(__xludf.DUMMYFUNCTION("""COMPUTED_VALUE"""),1.0)</f>
        <v>1</v>
      </c>
    </row>
    <row r="11124">
      <c r="A11124" s="178" t="str">
        <f>IFERROR(__xludf.DUMMYFUNCTION("""COMPUTED_VALUE"""),"ITBISA-SERVO-SG90-360DEG")</f>
        <v>ITBISA-SERVO-SG90-360DEG</v>
      </c>
      <c r="B11124" s="266">
        <f>IFERROR(__xludf.DUMMYFUNCTION("""COMPUTED_VALUE"""),45964.0)</f>
        <v>45964</v>
      </c>
      <c r="C11124" s="266" t="str">
        <f>IFERROR(__xludf.DUMMYFUNCTION("""COMPUTED_VALUE"""),"KERTASARI CIAMIS")</f>
        <v>KERTASARI CIAMIS</v>
      </c>
      <c r="D11124" s="186">
        <f>IFERROR(__xludf.DUMMYFUNCTION("""COMPUTED_VALUE"""),1.0)</f>
        <v>1</v>
      </c>
    </row>
    <row r="11125">
      <c r="A11125" s="178" t="str">
        <f>IFERROR(__xludf.DUMMYFUNCTION("""COMPUTED_VALUE"""),"ITBISA-SERVO-SG90-360DEG")</f>
        <v>ITBISA-SERVO-SG90-360DEG</v>
      </c>
      <c r="B11125" s="266">
        <f>IFERROR(__xludf.DUMMYFUNCTION("""COMPUTED_VALUE"""),45967.0)</f>
        <v>45967</v>
      </c>
      <c r="C11125" s="266" t="str">
        <f>IFERROR(__xludf.DUMMYFUNCTION("""COMPUTED_VALUE"""),"KYAI KONTONG")</f>
        <v>KYAI KONTONG</v>
      </c>
      <c r="D11125" s="186">
        <f>IFERROR(__xludf.DUMMYFUNCTION("""COMPUTED_VALUE"""),16.0)</f>
        <v>16</v>
      </c>
    </row>
    <row r="11126">
      <c r="A11126" s="178" t="str">
        <f>IFERROR(__xludf.DUMMYFUNCTION("""COMPUTED_VALUE"""),"ITBISA-SERVO-SG90-360DEG")</f>
        <v>ITBISA-SERVO-SG90-360DEG</v>
      </c>
      <c r="B11126" s="266">
        <f>IFERROR(__xludf.DUMMYFUNCTION("""COMPUTED_VALUE"""),45969.0)</f>
        <v>45969</v>
      </c>
      <c r="C11126" s="266" t="str">
        <f>IFERROR(__xludf.DUMMYFUNCTION("""COMPUTED_VALUE"""),"KYAI KONTONG")</f>
        <v>KYAI KONTONG</v>
      </c>
      <c r="D11126" s="186">
        <f>IFERROR(__xludf.DUMMYFUNCTION("""COMPUTED_VALUE"""),1.0)</f>
        <v>1</v>
      </c>
    </row>
    <row r="11127">
      <c r="A11127" s="178" t="str">
        <f>IFERROR(__xludf.DUMMYFUNCTION("""COMPUTED_VALUE"""),"ITBISA-SERVO-SG90-360DEG")</f>
        <v>ITBISA-SERVO-SG90-360DEG</v>
      </c>
      <c r="B11127" s="266">
        <f>IFERROR(__xludf.DUMMYFUNCTION("""COMPUTED_VALUE"""),45970.0)</f>
        <v>45970</v>
      </c>
      <c r="C11127" s="266" t="str">
        <f>IFERROR(__xludf.DUMMYFUNCTION("""COMPUTED_VALUE"""),"KERTASARI CIAMIS")</f>
        <v>KERTASARI CIAMIS</v>
      </c>
      <c r="D11127" s="186">
        <f>IFERROR(__xludf.DUMMYFUNCTION("""COMPUTED_VALUE"""),3.0)</f>
        <v>3</v>
      </c>
    </row>
    <row r="11128">
      <c r="A11128" s="178" t="str">
        <f>IFERROR(__xludf.DUMMYFUNCTION("""COMPUTED_VALUE"""),"ITBISA-SERVO-SG90-360DEG")</f>
        <v>ITBISA-SERVO-SG90-360DEG</v>
      </c>
      <c r="B11128" s="266">
        <f>IFERROR(__xludf.DUMMYFUNCTION("""COMPUTED_VALUE"""),45970.0)</f>
        <v>45970</v>
      </c>
      <c r="C11128" s="266" t="str">
        <f>IFERROR(__xludf.DUMMYFUNCTION("""COMPUTED_VALUE"""),"KYAI KONTONG")</f>
        <v>KYAI KONTONG</v>
      </c>
      <c r="D11128" s="186">
        <f>IFERROR(__xludf.DUMMYFUNCTION("""COMPUTED_VALUE"""),1.0)</f>
        <v>1</v>
      </c>
    </row>
    <row r="11129">
      <c r="A11129" s="178" t="str">
        <f>IFERROR(__xludf.DUMMYFUNCTION("""COMPUTED_VALUE"""),"ITBISA-SERVO-SG90-360DEG")</f>
        <v>ITBISA-SERVO-SG90-360DEG</v>
      </c>
      <c r="B11129" s="266">
        <f>IFERROR(__xludf.DUMMYFUNCTION("""COMPUTED_VALUE"""),45970.0)</f>
        <v>45970</v>
      </c>
      <c r="C11129" s="266" t="str">
        <f>IFERROR(__xludf.DUMMYFUNCTION("""COMPUTED_VALUE"""),"KYAI KONTONG")</f>
        <v>KYAI KONTONG</v>
      </c>
      <c r="D11129" s="186">
        <f>IFERROR(__xludf.DUMMYFUNCTION("""COMPUTED_VALUE"""),1.0)</f>
        <v>1</v>
      </c>
    </row>
    <row r="11130">
      <c r="A11130" s="178" t="str">
        <f>IFERROR(__xludf.DUMMYFUNCTION("""COMPUTED_VALUE"""),"ITBISA-SERVO-SG90-360DEG")</f>
        <v>ITBISA-SERVO-SG90-360DEG</v>
      </c>
      <c r="B11130" s="266">
        <f>IFERROR(__xludf.DUMMYFUNCTION("""COMPUTED_VALUE"""),45970.0)</f>
        <v>45970</v>
      </c>
      <c r="C11130" s="266" t="str">
        <f>IFERROR(__xludf.DUMMYFUNCTION("""COMPUTED_VALUE"""),"KYAI KONTONG")</f>
        <v>KYAI KONTONG</v>
      </c>
      <c r="D11130" s="186">
        <f>IFERROR(__xludf.DUMMYFUNCTION("""COMPUTED_VALUE"""),1.0)</f>
        <v>1</v>
      </c>
    </row>
    <row r="11131">
      <c r="A11131" s="178" t="str">
        <f>IFERROR(__xludf.DUMMYFUNCTION("""COMPUTED_VALUE"""),"ITBISA-SERVO-SG90-360DEG")</f>
        <v>ITBISA-SERVO-SG90-360DEG</v>
      </c>
      <c r="B11131" s="266">
        <f>IFERROR(__xludf.DUMMYFUNCTION("""COMPUTED_VALUE"""),45972.0)</f>
        <v>45972</v>
      </c>
      <c r="C11131" s="266" t="str">
        <f>IFERROR(__xludf.DUMMYFUNCTION("""COMPUTED_VALUE"""),"KYAI KONTONG")</f>
        <v>KYAI KONTONG</v>
      </c>
      <c r="D11131" s="186">
        <f>IFERROR(__xludf.DUMMYFUNCTION("""COMPUTED_VALUE"""),1.0)</f>
        <v>1</v>
      </c>
    </row>
    <row r="11132">
      <c r="A11132" s="178" t="str">
        <f>IFERROR(__xludf.DUMMYFUNCTION("""COMPUTED_VALUE"""),"ITBISA-SERVO-SG90-360DEG")</f>
        <v>ITBISA-SERVO-SG90-360DEG</v>
      </c>
      <c r="B11132" s="266">
        <f>IFERROR(__xludf.DUMMYFUNCTION("""COMPUTED_VALUE"""),45972.0)</f>
        <v>45972</v>
      </c>
      <c r="C11132" s="266" t="str">
        <f>IFERROR(__xludf.DUMMYFUNCTION("""COMPUTED_VALUE"""),"KYAI KONTONG")</f>
        <v>KYAI KONTONG</v>
      </c>
      <c r="D11132" s="186">
        <f>IFERROR(__xludf.DUMMYFUNCTION("""COMPUTED_VALUE"""),1.0)</f>
        <v>1</v>
      </c>
    </row>
    <row r="11133">
      <c r="A11133" s="178" t="str">
        <f>IFERROR(__xludf.DUMMYFUNCTION("""COMPUTED_VALUE"""),"ITBISA-SERVO-SG90-360DEG")</f>
        <v>ITBISA-SERVO-SG90-360DEG</v>
      </c>
      <c r="B11133" s="266">
        <f>IFERROR(__xludf.DUMMYFUNCTION("""COMPUTED_VALUE"""),45972.0)</f>
        <v>45972</v>
      </c>
      <c r="C11133" s="266" t="str">
        <f>IFERROR(__xludf.DUMMYFUNCTION("""COMPUTED_VALUE"""),"KYAI KONTONG")</f>
        <v>KYAI KONTONG</v>
      </c>
      <c r="D11133" s="186">
        <f>IFERROR(__xludf.DUMMYFUNCTION("""COMPUTED_VALUE"""),2.0)</f>
        <v>2</v>
      </c>
    </row>
    <row r="11134">
      <c r="A11134" s="178" t="str">
        <f>IFERROR(__xludf.DUMMYFUNCTION("""COMPUTED_VALUE"""),"ITBISA-SERVO-SG90-360DEG")</f>
        <v>ITBISA-SERVO-SG90-360DEG</v>
      </c>
      <c r="B11134" s="266">
        <f>IFERROR(__xludf.DUMMYFUNCTION("""COMPUTED_VALUE"""),45972.0)</f>
        <v>45972</v>
      </c>
      <c r="C11134" s="266" t="str">
        <f>IFERROR(__xludf.DUMMYFUNCTION("""COMPUTED_VALUE"""),"KYAI KONTONG")</f>
        <v>KYAI KONTONG</v>
      </c>
      <c r="D11134" s="186">
        <f>IFERROR(__xludf.DUMMYFUNCTION("""COMPUTED_VALUE"""),10.0)</f>
        <v>10</v>
      </c>
    </row>
    <row r="11135">
      <c r="A11135" s="178" t="str">
        <f>IFERROR(__xludf.DUMMYFUNCTION("""COMPUTED_VALUE"""),"ITBISA-SERVO-SG90-360DEG")</f>
        <v>ITBISA-SERVO-SG90-360DEG</v>
      </c>
      <c r="B11135" s="266">
        <f>IFERROR(__xludf.DUMMYFUNCTION("""COMPUTED_VALUE"""),45974.0)</f>
        <v>45974</v>
      </c>
      <c r="C11135" s="266" t="str">
        <f>IFERROR(__xludf.DUMMYFUNCTION("""COMPUTED_VALUE"""),"KYAI KONTONG")</f>
        <v>KYAI KONTONG</v>
      </c>
      <c r="D11135" s="186">
        <f>IFERROR(__xludf.DUMMYFUNCTION("""COMPUTED_VALUE"""),1.0)</f>
        <v>1</v>
      </c>
    </row>
    <row r="11136">
      <c r="A11136" s="178" t="str">
        <f>IFERROR(__xludf.DUMMYFUNCTION("""COMPUTED_VALUE"""),"ITBISA-SERVO-SG90-360DEG")</f>
        <v>ITBISA-SERVO-SG90-360DEG</v>
      </c>
      <c r="B11136" s="266">
        <f>IFERROR(__xludf.DUMMYFUNCTION("""COMPUTED_VALUE"""),45975.0)</f>
        <v>45975</v>
      </c>
      <c r="C11136" s="266" t="str">
        <f>IFERROR(__xludf.DUMMYFUNCTION("""COMPUTED_VALUE"""),"KYAI KONTONG")</f>
        <v>KYAI KONTONG</v>
      </c>
      <c r="D11136" s="186">
        <f>IFERROR(__xludf.DUMMYFUNCTION("""COMPUTED_VALUE"""),1.0)</f>
        <v>1</v>
      </c>
    </row>
    <row r="11137">
      <c r="A11137" s="178" t="str">
        <f>IFERROR(__xludf.DUMMYFUNCTION("""COMPUTED_VALUE"""),"ITBISA-SERVO-SG90-360DEG")</f>
        <v>ITBISA-SERVO-SG90-360DEG</v>
      </c>
      <c r="B11137" s="266">
        <f>IFERROR(__xludf.DUMMYFUNCTION("""COMPUTED_VALUE"""),45975.0)</f>
        <v>45975</v>
      </c>
      <c r="C11137" s="266" t="str">
        <f>IFERROR(__xludf.DUMMYFUNCTION("""COMPUTED_VALUE"""),"KYAI KONTONG")</f>
        <v>KYAI KONTONG</v>
      </c>
      <c r="D11137" s="186">
        <f>IFERROR(__xludf.DUMMYFUNCTION("""COMPUTED_VALUE"""),4.0)</f>
        <v>4</v>
      </c>
    </row>
    <row r="11138">
      <c r="A11138" s="178" t="str">
        <f>IFERROR(__xludf.DUMMYFUNCTION("""COMPUTED_VALUE"""),"ITBISA-SERVO-SG90-360DEG")</f>
        <v>ITBISA-SERVO-SG90-360DEG</v>
      </c>
      <c r="B11138" s="266">
        <f>IFERROR(__xludf.DUMMYFUNCTION("""COMPUTED_VALUE"""),45975.0)</f>
        <v>45975</v>
      </c>
      <c r="C11138" s="266" t="str">
        <f>IFERROR(__xludf.DUMMYFUNCTION("""COMPUTED_VALUE"""),"KYAI KONTONG")</f>
        <v>KYAI KONTONG</v>
      </c>
      <c r="D11138" s="186">
        <f>IFERROR(__xludf.DUMMYFUNCTION("""COMPUTED_VALUE"""),4.0)</f>
        <v>4</v>
      </c>
    </row>
    <row r="11139">
      <c r="A11139" s="178" t="str">
        <f>IFERROR(__xludf.DUMMYFUNCTION("""COMPUTED_VALUE"""),"ITBISA-SERVO-SG90-360DEG")</f>
        <v>ITBISA-SERVO-SG90-360DEG</v>
      </c>
      <c r="B11139" s="266">
        <f>IFERROR(__xludf.DUMMYFUNCTION("""COMPUTED_VALUE"""),45976.0)</f>
        <v>45976</v>
      </c>
      <c r="C11139" s="266" t="str">
        <f>IFERROR(__xludf.DUMMYFUNCTION("""COMPUTED_VALUE"""),"KYAI KONTONG")</f>
        <v>KYAI KONTONG</v>
      </c>
      <c r="D11139" s="186">
        <f>IFERROR(__xludf.DUMMYFUNCTION("""COMPUTED_VALUE"""),2.0)</f>
        <v>2</v>
      </c>
    </row>
    <row r="11140">
      <c r="A11140" s="178" t="str">
        <f>IFERROR(__xludf.DUMMYFUNCTION("""COMPUTED_VALUE"""),"ITBISA-SERVO-SG90-360DEG")</f>
        <v>ITBISA-SERVO-SG90-360DEG</v>
      </c>
      <c r="B11140" s="266">
        <f>IFERROR(__xludf.DUMMYFUNCTION("""COMPUTED_VALUE"""),45977.0)</f>
        <v>45977</v>
      </c>
      <c r="C11140" s="266" t="str">
        <f>IFERROR(__xludf.DUMMYFUNCTION("""COMPUTED_VALUE"""),"KYAI KONTONG")</f>
        <v>KYAI KONTONG</v>
      </c>
      <c r="D11140" s="186">
        <f>IFERROR(__xludf.DUMMYFUNCTION("""COMPUTED_VALUE"""),1.0)</f>
        <v>1</v>
      </c>
    </row>
    <row r="11141">
      <c r="A11141" s="178" t="str">
        <f>IFERROR(__xludf.DUMMYFUNCTION("""COMPUTED_VALUE"""),"ITBISA-SERVO-SG90-360DEG")</f>
        <v>ITBISA-SERVO-SG90-360DEG</v>
      </c>
      <c r="B11141" s="266">
        <f>IFERROR(__xludf.DUMMYFUNCTION("""COMPUTED_VALUE"""),45978.0)</f>
        <v>45978</v>
      </c>
      <c r="C11141" s="266" t="str">
        <f>IFERROR(__xludf.DUMMYFUNCTION("""COMPUTED_VALUE"""),"KYAI KONTONG")</f>
        <v>KYAI KONTONG</v>
      </c>
      <c r="D11141" s="186">
        <f>IFERROR(__xludf.DUMMYFUNCTION("""COMPUTED_VALUE"""),6.0)</f>
        <v>6</v>
      </c>
    </row>
    <row r="11142">
      <c r="A11142" s="178" t="str">
        <f>IFERROR(__xludf.DUMMYFUNCTION("""COMPUTED_VALUE"""),"ITBISA-SERVO-SG90-360DEG")</f>
        <v>ITBISA-SERVO-SG90-360DEG</v>
      </c>
      <c r="B11142" s="266">
        <f>IFERROR(__xludf.DUMMYFUNCTION("""COMPUTED_VALUE"""),45983.0)</f>
        <v>45983</v>
      </c>
      <c r="C11142" s="266" t="str">
        <f>IFERROR(__xludf.DUMMYFUNCTION("""COMPUTED_VALUE"""),"KERTASARI CIAMIS")</f>
        <v>KERTASARI CIAMIS</v>
      </c>
      <c r="D11142" s="186">
        <f>IFERROR(__xludf.DUMMYFUNCTION("""COMPUTED_VALUE"""),2.0)</f>
        <v>2</v>
      </c>
    </row>
    <row r="11143">
      <c r="A11143" s="178" t="str">
        <f>IFERROR(__xludf.DUMMYFUNCTION("""COMPUTED_VALUE"""),"ITBISA-SERVO-SG90-360DEG")</f>
        <v>ITBISA-SERVO-SG90-360DEG</v>
      </c>
      <c r="B11143" s="266">
        <f>IFERROR(__xludf.DUMMYFUNCTION("""COMPUTED_VALUE"""),45984.0)</f>
        <v>45984</v>
      </c>
      <c r="C11143" s="266" t="str">
        <f>IFERROR(__xludf.DUMMYFUNCTION("""COMPUTED_VALUE"""),"KERTASARI CIAMIS")</f>
        <v>KERTASARI CIAMIS</v>
      </c>
      <c r="D11143" s="186">
        <f>IFERROR(__xludf.DUMMYFUNCTION("""COMPUTED_VALUE"""),1.0)</f>
        <v>1</v>
      </c>
    </row>
    <row r="11144">
      <c r="A11144" s="178" t="str">
        <f>IFERROR(__xludf.DUMMYFUNCTION("""COMPUTED_VALUE"""),"ITBISA-SERVO-SG90-360DEG")</f>
        <v>ITBISA-SERVO-SG90-360DEG</v>
      </c>
      <c r="B11144" s="266">
        <f>IFERROR(__xludf.DUMMYFUNCTION("""COMPUTED_VALUE"""),45986.0)</f>
        <v>45986</v>
      </c>
      <c r="C11144" s="266" t="str">
        <f>IFERROR(__xludf.DUMMYFUNCTION("""COMPUTED_VALUE"""),"KERTASARI CIAMIS")</f>
        <v>KERTASARI CIAMIS</v>
      </c>
      <c r="D11144" s="186">
        <f>IFERROR(__xludf.DUMMYFUNCTION("""COMPUTED_VALUE"""),1.0)</f>
        <v>1</v>
      </c>
    </row>
    <row r="11145">
      <c r="A11145" s="178" t="str">
        <f>IFERROR(__xludf.DUMMYFUNCTION("""COMPUTED_VALUE"""),"ITBISA-SERVO-SG90-360DEG")</f>
        <v>ITBISA-SERVO-SG90-360DEG</v>
      </c>
      <c r="B11145" s="266">
        <f>IFERROR(__xludf.DUMMYFUNCTION("""COMPUTED_VALUE"""),45987.0)</f>
        <v>45987</v>
      </c>
      <c r="C11145" s="266" t="str">
        <f>IFERROR(__xludf.DUMMYFUNCTION("""COMPUTED_VALUE"""),"KERTASARI CIAMIS")</f>
        <v>KERTASARI CIAMIS</v>
      </c>
      <c r="D11145" s="186">
        <f>IFERROR(__xludf.DUMMYFUNCTION("""COMPUTED_VALUE"""),1.0)</f>
        <v>1</v>
      </c>
    </row>
    <row r="11146">
      <c r="A11146" s="178" t="str">
        <f>IFERROR(__xludf.DUMMYFUNCTION("""COMPUTED_VALUE"""),"ITBISA-SERVO-SG90-360DEG")</f>
        <v>ITBISA-SERVO-SG90-360DEG</v>
      </c>
      <c r="B11146" s="266">
        <f>IFERROR(__xludf.DUMMYFUNCTION("""COMPUTED_VALUE"""),45988.0)</f>
        <v>45988</v>
      </c>
      <c r="C11146" s="266" t="str">
        <f>IFERROR(__xludf.DUMMYFUNCTION("""COMPUTED_VALUE"""),"KERTASARI CIAMIS")</f>
        <v>KERTASARI CIAMIS</v>
      </c>
      <c r="D11146" s="186">
        <f>IFERROR(__xludf.DUMMYFUNCTION("""COMPUTED_VALUE"""),2.0)</f>
        <v>2</v>
      </c>
    </row>
    <row r="11147">
      <c r="A11147" s="178" t="str">
        <f>IFERROR(__xludf.DUMMYFUNCTION("""COMPUTED_VALUE"""),"ITBISA-SERVO-SG90-360DEG")</f>
        <v>ITBISA-SERVO-SG90-360DEG</v>
      </c>
      <c r="B11147" s="266">
        <f>IFERROR(__xludf.DUMMYFUNCTION("""COMPUTED_VALUE"""),45990.0)</f>
        <v>45990</v>
      </c>
      <c r="C11147" s="266" t="str">
        <f>IFERROR(__xludf.DUMMYFUNCTION("""COMPUTED_VALUE"""),"KYAI KONTONG")</f>
        <v>KYAI KONTONG</v>
      </c>
      <c r="D11147" s="186">
        <f>IFERROR(__xludf.DUMMYFUNCTION("""COMPUTED_VALUE"""),2.0)</f>
        <v>2</v>
      </c>
    </row>
    <row r="11148">
      <c r="A11148" s="178" t="str">
        <f>IFERROR(__xludf.DUMMYFUNCTION("""COMPUTED_VALUE"""),"ITBISA-SERVO-SG90-360DEG")</f>
        <v>ITBISA-SERVO-SG90-360DEG</v>
      </c>
      <c r="B11148" s="266">
        <f>IFERROR(__xludf.DUMMYFUNCTION("""COMPUTED_VALUE"""),45992.0)</f>
        <v>45992</v>
      </c>
      <c r="C11148" s="266" t="str">
        <f>IFERROR(__xludf.DUMMYFUNCTION("""COMPUTED_VALUE"""),"KYAI KONTONG")</f>
        <v>KYAI KONTONG</v>
      </c>
      <c r="D11148" s="186">
        <f>IFERROR(__xludf.DUMMYFUNCTION("""COMPUTED_VALUE"""),1.0)</f>
        <v>1</v>
      </c>
    </row>
    <row r="11149">
      <c r="A11149" s="178" t="str">
        <f>IFERROR(__xludf.DUMMYFUNCTION("""COMPUTED_VALUE"""),"ITBISA-SERVO-SG90-360DEG")</f>
        <v>ITBISA-SERVO-SG90-360DEG</v>
      </c>
      <c r="B11149" s="266">
        <f>IFERROR(__xludf.DUMMYFUNCTION("""COMPUTED_VALUE"""),45992.0)</f>
        <v>45992</v>
      </c>
      <c r="C11149" s="266" t="str">
        <f>IFERROR(__xludf.DUMMYFUNCTION("""COMPUTED_VALUE"""),"KYAI KONTONG")</f>
        <v>KYAI KONTONG</v>
      </c>
      <c r="D11149" s="186">
        <f>IFERROR(__xludf.DUMMYFUNCTION("""COMPUTED_VALUE"""),1.0)</f>
        <v>1</v>
      </c>
    </row>
    <row r="11150">
      <c r="A11150" s="178" t="str">
        <f>IFERROR(__xludf.DUMMYFUNCTION("""COMPUTED_VALUE"""),"ITBISA-SERVO-SG90-360DEG")</f>
        <v>ITBISA-SERVO-SG90-360DEG</v>
      </c>
      <c r="B11150" s="266">
        <f>IFERROR(__xludf.DUMMYFUNCTION("""COMPUTED_VALUE"""),45992.0)</f>
        <v>45992</v>
      </c>
      <c r="C11150" s="266" t="str">
        <f>IFERROR(__xludf.DUMMYFUNCTION("""COMPUTED_VALUE"""),"KYAI KONTONG")</f>
        <v>KYAI KONTONG</v>
      </c>
      <c r="D11150" s="186">
        <f>IFERROR(__xludf.DUMMYFUNCTION("""COMPUTED_VALUE"""),2.0)</f>
        <v>2</v>
      </c>
    </row>
    <row r="11151">
      <c r="A11151" s="178" t="str">
        <f>IFERROR(__xludf.DUMMYFUNCTION("""COMPUTED_VALUE"""),"ITBISA-SERVO-SG90-360DEG")</f>
        <v>ITBISA-SERVO-SG90-360DEG</v>
      </c>
      <c r="B11151" s="266">
        <f>IFERROR(__xludf.DUMMYFUNCTION("""COMPUTED_VALUE"""),45993.0)</f>
        <v>45993</v>
      </c>
      <c r="C11151" s="266" t="str">
        <f>IFERROR(__xludf.DUMMYFUNCTION("""COMPUTED_VALUE"""),"KYAI KONTONG")</f>
        <v>KYAI KONTONG</v>
      </c>
      <c r="D11151" s="186">
        <f>IFERROR(__xludf.DUMMYFUNCTION("""COMPUTED_VALUE"""),2.0)</f>
        <v>2</v>
      </c>
    </row>
    <row r="11152">
      <c r="A11152" s="178" t="str">
        <f>IFERROR(__xludf.DUMMYFUNCTION("""COMPUTED_VALUE"""),"ITBISA-SERVO-SG90-360DEG")</f>
        <v>ITBISA-SERVO-SG90-360DEG</v>
      </c>
      <c r="B11152" s="266">
        <f>IFERROR(__xludf.DUMMYFUNCTION("""COMPUTED_VALUE"""),45995.0)</f>
        <v>45995</v>
      </c>
      <c r="C11152" s="266" t="str">
        <f>IFERROR(__xludf.DUMMYFUNCTION("""COMPUTED_VALUE"""),"KYAI KONTONG")</f>
        <v>KYAI KONTONG</v>
      </c>
      <c r="D11152" s="186">
        <f>IFERROR(__xludf.DUMMYFUNCTION("""COMPUTED_VALUE"""),1.0)</f>
        <v>1</v>
      </c>
    </row>
    <row r="11153">
      <c r="A11153" s="178" t="str">
        <f>IFERROR(__xludf.DUMMYFUNCTION("""COMPUTED_VALUE"""),"ITBISA-SERVO-SG90-360DEG")</f>
        <v>ITBISA-SERVO-SG90-360DEG</v>
      </c>
      <c r="B11153" s="266">
        <f>IFERROR(__xludf.DUMMYFUNCTION("""COMPUTED_VALUE"""),45995.0)</f>
        <v>45995</v>
      </c>
      <c r="C11153" s="266" t="str">
        <f>IFERROR(__xludf.DUMMYFUNCTION("""COMPUTED_VALUE"""),"KYAI KONTONG")</f>
        <v>KYAI KONTONG</v>
      </c>
      <c r="D11153" s="186">
        <f>IFERROR(__xludf.DUMMYFUNCTION("""COMPUTED_VALUE"""),2.0)</f>
        <v>2</v>
      </c>
    </row>
    <row r="11154">
      <c r="A11154" s="178" t="str">
        <f>IFERROR(__xludf.DUMMYFUNCTION("""COMPUTED_VALUE"""),"ITBISA-SERVO-SG90-360DEG")</f>
        <v>ITBISA-SERVO-SG90-360DEG</v>
      </c>
      <c r="B11154" s="266">
        <f>IFERROR(__xludf.DUMMYFUNCTION("""COMPUTED_VALUE"""),45996.0)</f>
        <v>45996</v>
      </c>
      <c r="C11154" s="266" t="str">
        <f>IFERROR(__xludf.DUMMYFUNCTION("""COMPUTED_VALUE"""),"KYAI KONTONG")</f>
        <v>KYAI KONTONG</v>
      </c>
      <c r="D11154" s="186">
        <f>IFERROR(__xludf.DUMMYFUNCTION("""COMPUTED_VALUE"""),1.0)</f>
        <v>1</v>
      </c>
    </row>
    <row r="11155">
      <c r="A11155" s="178" t="str">
        <f>IFERROR(__xludf.DUMMYFUNCTION("""COMPUTED_VALUE"""),"ITBISA-SERVO-SG90-360DEG")</f>
        <v>ITBISA-SERVO-SG90-360DEG</v>
      </c>
      <c r="B11155" s="266">
        <f>IFERROR(__xludf.DUMMYFUNCTION("""COMPUTED_VALUE"""),45997.0)</f>
        <v>45997</v>
      </c>
      <c r="C11155" s="266" t="str">
        <f>IFERROR(__xludf.DUMMYFUNCTION("""COMPUTED_VALUE"""),"KYAI KONTONG")</f>
        <v>KYAI KONTONG</v>
      </c>
      <c r="D11155" s="186">
        <f>IFERROR(__xludf.DUMMYFUNCTION("""COMPUTED_VALUE"""),1.0)</f>
        <v>1</v>
      </c>
    </row>
    <row r="11156">
      <c r="A11156" s="178" t="str">
        <f>IFERROR(__xludf.DUMMYFUNCTION("""COMPUTED_VALUE"""),"ITBISA-SERVO-SG90-360DEG")</f>
        <v>ITBISA-SERVO-SG90-360DEG</v>
      </c>
      <c r="B11156" s="266">
        <f>IFERROR(__xludf.DUMMYFUNCTION("""COMPUTED_VALUE"""),46010.0)</f>
        <v>46010</v>
      </c>
      <c r="C11156" s="266" t="str">
        <f>IFERROR(__xludf.DUMMYFUNCTION("""COMPUTED_VALUE"""),"KYAI KONTONG")</f>
        <v>KYAI KONTONG</v>
      </c>
      <c r="D11156" s="186">
        <f>IFERROR(__xludf.DUMMYFUNCTION("""COMPUTED_VALUE"""),1.0)</f>
        <v>1</v>
      </c>
    </row>
    <row r="11157">
      <c r="A11157" s="178" t="str">
        <f>IFERROR(__xludf.DUMMYFUNCTION("""COMPUTED_VALUE"""),"ITBISA-SERVO-SG90-360DEG")</f>
        <v>ITBISA-SERVO-SG90-360DEG</v>
      </c>
      <c r="B11157" s="266">
        <f>IFERROR(__xludf.DUMMYFUNCTION("""COMPUTED_VALUE"""),46014.0)</f>
        <v>46014</v>
      </c>
      <c r="C11157" s="266" t="str">
        <f>IFERROR(__xludf.DUMMYFUNCTION("""COMPUTED_VALUE"""),"KERTASARI CIAMIS")</f>
        <v>KERTASARI CIAMIS</v>
      </c>
      <c r="D11157" s="186">
        <f>IFERROR(__xludf.DUMMYFUNCTION("""COMPUTED_VALUE"""),1.0)</f>
        <v>1</v>
      </c>
    </row>
    <row r="11158">
      <c r="A11158" s="178" t="str">
        <f>IFERROR(__xludf.DUMMYFUNCTION("""COMPUTED_VALUE"""),"ITBISA-SERVO-SG90-360DEG")</f>
        <v>ITBISA-SERVO-SG90-360DEG</v>
      </c>
      <c r="B11158" s="266">
        <f>IFERROR(__xludf.DUMMYFUNCTION("""COMPUTED_VALUE"""),46018.0)</f>
        <v>46018</v>
      </c>
      <c r="C11158" s="266" t="str">
        <f>IFERROR(__xludf.DUMMYFUNCTION("""COMPUTED_VALUE"""),"KYAI KONTONG")</f>
        <v>KYAI KONTONG</v>
      </c>
      <c r="D11158" s="186">
        <f>IFERROR(__xludf.DUMMYFUNCTION("""COMPUTED_VALUE"""),1.0)</f>
        <v>1</v>
      </c>
    </row>
    <row r="11159">
      <c r="A11159" s="178" t="str">
        <f>IFERROR(__xludf.DUMMYFUNCTION("""COMPUTED_VALUE"""),"ITBISA-SERVO-SG90-360DEG")</f>
        <v>ITBISA-SERVO-SG90-360DEG</v>
      </c>
      <c r="B11159" s="266">
        <f>IFERROR(__xludf.DUMMYFUNCTION("""COMPUTED_VALUE"""),46022.0)</f>
        <v>46022</v>
      </c>
      <c r="C11159" s="266" t="str">
        <f>IFERROR(__xludf.DUMMYFUNCTION("""COMPUTED_VALUE"""),"KYAI KONTONG")</f>
        <v>KYAI KONTONG</v>
      </c>
      <c r="D11159" s="186">
        <f>IFERROR(__xludf.DUMMYFUNCTION("""COMPUTED_VALUE"""),2.0)</f>
        <v>2</v>
      </c>
    </row>
    <row r="11160">
      <c r="A11160" s="178" t="str">
        <f>IFERROR(__xludf.DUMMYFUNCTION("""COMPUTED_VALUE"""),"ITBISA-SOCKET-BATERAI-AA-2SLOT")</f>
        <v>ITBISA-SOCKET-BATERAI-AA-2SLOT</v>
      </c>
      <c r="B11160" s="266">
        <f>IFERROR(__xludf.DUMMYFUNCTION("""COMPUTED_VALUE"""),45501.0)</f>
        <v>45501</v>
      </c>
      <c r="C11160" s="266" t="str">
        <f>IFERROR(__xludf.DUMMYFUNCTION("""COMPUTED_VALUE"""),"KYAI KONTONG")</f>
        <v>KYAI KONTONG</v>
      </c>
      <c r="D11160" s="186">
        <f>IFERROR(__xludf.DUMMYFUNCTION("""COMPUTED_VALUE"""),1.0)</f>
        <v>1</v>
      </c>
    </row>
    <row r="11161">
      <c r="A11161" s="178" t="str">
        <f>IFERROR(__xludf.DUMMYFUNCTION("""COMPUTED_VALUE"""),"ITBISA-SOCKET-BATERAI-AA-2SLOT")</f>
        <v>ITBISA-SOCKET-BATERAI-AA-2SLOT</v>
      </c>
      <c r="B11161" s="266">
        <f>IFERROR(__xludf.DUMMYFUNCTION("""COMPUTED_VALUE"""),45531.0)</f>
        <v>45531</v>
      </c>
      <c r="C11161" s="266" t="str">
        <f>IFERROR(__xludf.DUMMYFUNCTION("""COMPUTED_VALUE"""),"KYAI KONTONG")</f>
        <v>KYAI KONTONG</v>
      </c>
      <c r="D11161" s="186">
        <f>IFERROR(__xludf.DUMMYFUNCTION("""COMPUTED_VALUE"""),4.0)</f>
        <v>4</v>
      </c>
    </row>
    <row r="11162">
      <c r="A11162" s="178" t="str">
        <f>IFERROR(__xludf.DUMMYFUNCTION("""COMPUTED_VALUE"""),"ITBISA-SOCKET-BATERAI-AA-2SLOT")</f>
        <v>ITBISA-SOCKET-BATERAI-AA-2SLOT</v>
      </c>
      <c r="B11162" s="266">
        <f>IFERROR(__xludf.DUMMYFUNCTION("""COMPUTED_VALUE"""),45712.0)</f>
        <v>45712</v>
      </c>
      <c r="C11162" s="266" t="str">
        <f>IFERROR(__xludf.DUMMYFUNCTION("""COMPUTED_VALUE"""),"KYAI KONTONG")</f>
        <v>KYAI KONTONG</v>
      </c>
      <c r="D11162" s="186">
        <f>IFERROR(__xludf.DUMMYFUNCTION("""COMPUTED_VALUE"""),1.0)</f>
        <v>1</v>
      </c>
    </row>
    <row r="11163">
      <c r="A11163" s="178" t="str">
        <f>IFERROR(__xludf.DUMMYFUNCTION("""COMPUTED_VALUE"""),"ITBISA-SOCKET-BATERAI-AA-2SLOT")</f>
        <v>ITBISA-SOCKET-BATERAI-AA-2SLOT</v>
      </c>
      <c r="B11163" s="266">
        <f>IFERROR(__xludf.DUMMYFUNCTION("""COMPUTED_VALUE"""),45745.0)</f>
        <v>45745</v>
      </c>
      <c r="C11163" s="266" t="str">
        <f>IFERROR(__xludf.DUMMYFUNCTION("""COMPUTED_VALUE"""),"KYAI KONTONG")</f>
        <v>KYAI KONTONG</v>
      </c>
      <c r="D11163" s="186">
        <f>IFERROR(__xludf.DUMMYFUNCTION("""COMPUTED_VALUE"""),1.0)</f>
        <v>1</v>
      </c>
    </row>
    <row r="11164">
      <c r="A11164" s="178" t="str">
        <f>IFERROR(__xludf.DUMMYFUNCTION("""COMPUTED_VALUE"""),"ITBISA-SOCKET-BATERAI-AA-2SLOT")</f>
        <v>ITBISA-SOCKET-BATERAI-AA-2SLOT</v>
      </c>
      <c r="B11164" s="266">
        <f>IFERROR(__xludf.DUMMYFUNCTION("""COMPUTED_VALUE"""),45758.0)</f>
        <v>45758</v>
      </c>
      <c r="C11164" s="266" t="str">
        <f>IFERROR(__xludf.DUMMYFUNCTION("""COMPUTED_VALUE"""),"KYAI KONTONG")</f>
        <v>KYAI KONTONG</v>
      </c>
      <c r="D11164" s="186">
        <f>IFERROR(__xludf.DUMMYFUNCTION("""COMPUTED_VALUE"""),1.0)</f>
        <v>1</v>
      </c>
    </row>
    <row r="11165">
      <c r="A11165" s="178" t="str">
        <f>IFERROR(__xludf.DUMMYFUNCTION("""COMPUTED_VALUE"""),"ITBISA-SOCKET-BATERAI-AA-2SLOT")</f>
        <v>ITBISA-SOCKET-BATERAI-AA-2SLOT</v>
      </c>
      <c r="B11165" s="266">
        <f>IFERROR(__xludf.DUMMYFUNCTION("""COMPUTED_VALUE"""),45776.0)</f>
        <v>45776</v>
      </c>
      <c r="C11165" s="266" t="str">
        <f>IFERROR(__xludf.DUMMYFUNCTION("""COMPUTED_VALUE"""),"KYAI KONTONG")</f>
        <v>KYAI KONTONG</v>
      </c>
      <c r="D11165" s="186">
        <f>IFERROR(__xludf.DUMMYFUNCTION("""COMPUTED_VALUE"""),1.0)</f>
        <v>1</v>
      </c>
    </row>
    <row r="11166">
      <c r="A11166" s="178" t="str">
        <f>IFERROR(__xludf.DUMMYFUNCTION("""COMPUTED_VALUE"""),"ITBISA-SOCKET-BATERAI-AA-2SLOT")</f>
        <v>ITBISA-SOCKET-BATERAI-AA-2SLOT</v>
      </c>
      <c r="B11166" s="266">
        <f>IFERROR(__xludf.DUMMYFUNCTION("""COMPUTED_VALUE"""),45950.0)</f>
        <v>45950</v>
      </c>
      <c r="C11166" s="266" t="str">
        <f>IFERROR(__xludf.DUMMYFUNCTION("""COMPUTED_VALUE"""),"KYAI KONTONG")</f>
        <v>KYAI KONTONG</v>
      </c>
      <c r="D11166" s="186">
        <f>IFERROR(__xludf.DUMMYFUNCTION("""COMPUTED_VALUE"""),1.0)</f>
        <v>1</v>
      </c>
    </row>
    <row r="11167">
      <c r="A11167" s="178" t="str">
        <f>IFERROR(__xludf.DUMMYFUNCTION("""COMPUTED_VALUE"""),"ITBISA-SOCKET-BATERAI-AA-3SLOT")</f>
        <v>ITBISA-SOCKET-BATERAI-AA-3SLOT</v>
      </c>
      <c r="B11167" s="266">
        <f>IFERROR(__xludf.DUMMYFUNCTION("""COMPUTED_VALUE"""),45758.0)</f>
        <v>45758</v>
      </c>
      <c r="C11167" s="266" t="str">
        <f>IFERROR(__xludf.DUMMYFUNCTION("""COMPUTED_VALUE"""),"KYAI KONTONG")</f>
        <v>KYAI KONTONG</v>
      </c>
      <c r="D11167" s="186">
        <f>IFERROR(__xludf.DUMMYFUNCTION("""COMPUTED_VALUE"""),0.0)</f>
        <v>0</v>
      </c>
    </row>
    <row r="11168">
      <c r="A11168" s="178" t="str">
        <f>IFERROR(__xludf.DUMMYFUNCTION("""COMPUTED_VALUE"""),"ITBISA-SOCKET-BATERAI-AA-4SLOT")</f>
        <v>ITBISA-SOCKET-BATERAI-AA-4SLOT</v>
      </c>
      <c r="B11168" s="266">
        <f>IFERROR(__xludf.DUMMYFUNCTION("""COMPUTED_VALUE"""),45501.0)</f>
        <v>45501</v>
      </c>
      <c r="C11168" s="266" t="str">
        <f>IFERROR(__xludf.DUMMYFUNCTION("""COMPUTED_VALUE"""),"KYAI KONTONG")</f>
        <v>KYAI KONTONG</v>
      </c>
      <c r="D11168" s="186">
        <f>IFERROR(__xludf.DUMMYFUNCTION("""COMPUTED_VALUE"""),1.0)</f>
        <v>1</v>
      </c>
    </row>
    <row r="11169">
      <c r="A11169" s="178" t="str">
        <f>IFERROR(__xludf.DUMMYFUNCTION("""COMPUTED_VALUE"""),"ITBISA-SOCKET-BATERAI-AA-4SLOT")</f>
        <v>ITBISA-SOCKET-BATERAI-AA-4SLOT</v>
      </c>
      <c r="B11169" s="266">
        <f>IFERROR(__xludf.DUMMYFUNCTION("""COMPUTED_VALUE"""),45513.0)</f>
        <v>45513</v>
      </c>
      <c r="C11169" s="266" t="str">
        <f>IFERROR(__xludf.DUMMYFUNCTION("""COMPUTED_VALUE"""),"KYAI KONTONG")</f>
        <v>KYAI KONTONG</v>
      </c>
      <c r="D11169" s="186">
        <f>IFERROR(__xludf.DUMMYFUNCTION("""COMPUTED_VALUE"""),1.0)</f>
        <v>1</v>
      </c>
    </row>
    <row r="11170">
      <c r="A11170" s="178" t="str">
        <f>IFERROR(__xludf.DUMMYFUNCTION("""COMPUTED_VALUE"""),"ITBISA-SOCKET-BATERAI-AA-4SLOT")</f>
        <v>ITBISA-SOCKET-BATERAI-AA-4SLOT</v>
      </c>
      <c r="B11170" s="266">
        <f>IFERROR(__xludf.DUMMYFUNCTION("""COMPUTED_VALUE"""),45534.0)</f>
        <v>45534</v>
      </c>
      <c r="C11170" s="266" t="str">
        <f>IFERROR(__xludf.DUMMYFUNCTION("""COMPUTED_VALUE"""),"KYAI KONTONG")</f>
        <v>KYAI KONTONG</v>
      </c>
      <c r="D11170" s="186">
        <f>IFERROR(__xludf.DUMMYFUNCTION("""COMPUTED_VALUE"""),1.0)</f>
        <v>1</v>
      </c>
    </row>
    <row r="11171">
      <c r="A11171" s="178" t="str">
        <f>IFERROR(__xludf.DUMMYFUNCTION("""COMPUTED_VALUE"""),"ITBISA-SOCKET-BATERAI-AA-4SLOT")</f>
        <v>ITBISA-SOCKET-BATERAI-AA-4SLOT</v>
      </c>
      <c r="B11171" s="266">
        <f>IFERROR(__xludf.DUMMYFUNCTION("""COMPUTED_VALUE"""),45794.0)</f>
        <v>45794</v>
      </c>
      <c r="C11171" s="266" t="str">
        <f>IFERROR(__xludf.DUMMYFUNCTION("""COMPUTED_VALUE"""),"KYAI KONTONG")</f>
        <v>KYAI KONTONG</v>
      </c>
      <c r="D11171" s="186">
        <f>IFERROR(__xludf.DUMMYFUNCTION("""COMPUTED_VALUE"""),1.0)</f>
        <v>1</v>
      </c>
    </row>
    <row r="11172">
      <c r="A11172" s="178" t="str">
        <f>IFERROR(__xludf.DUMMYFUNCTION("""COMPUTED_VALUE"""),"ITBISA-SOCKET-BATERAI-AA-4SLOT")</f>
        <v>ITBISA-SOCKET-BATERAI-AA-4SLOT</v>
      </c>
      <c r="B11172" s="266">
        <f>IFERROR(__xludf.DUMMYFUNCTION("""COMPUTED_VALUE"""),45801.0)</f>
        <v>45801</v>
      </c>
      <c r="C11172" s="266" t="str">
        <f>IFERROR(__xludf.DUMMYFUNCTION("""COMPUTED_VALUE"""),"KYAI KONTONG")</f>
        <v>KYAI KONTONG</v>
      </c>
      <c r="D11172" s="186">
        <f>IFERROR(__xludf.DUMMYFUNCTION("""COMPUTED_VALUE"""),2.0)</f>
        <v>2</v>
      </c>
    </row>
    <row r="11173">
      <c r="A11173" s="178" t="str">
        <f>IFERROR(__xludf.DUMMYFUNCTION("""COMPUTED_VALUE"""),"ITBISA-SOCKET-BATERAI-AA-4SLOT")</f>
        <v>ITBISA-SOCKET-BATERAI-AA-4SLOT</v>
      </c>
      <c r="B11173" s="266">
        <f>IFERROR(__xludf.DUMMYFUNCTION("""COMPUTED_VALUE"""),45915.0)</f>
        <v>45915</v>
      </c>
      <c r="C11173" s="266" t="str">
        <f>IFERROR(__xludf.DUMMYFUNCTION("""COMPUTED_VALUE"""),"KYAI KONTONG")</f>
        <v>KYAI KONTONG</v>
      </c>
      <c r="D11173" s="186">
        <f>IFERROR(__xludf.DUMMYFUNCTION("""COMPUTED_VALUE"""),4.0)</f>
        <v>4</v>
      </c>
    </row>
    <row r="11174">
      <c r="A11174" s="178" t="str">
        <f>IFERROR(__xludf.DUMMYFUNCTION("""COMPUTED_VALUE"""),"ITBISA-SOCKET-BATERAI-AA-4SLOT")</f>
        <v>ITBISA-SOCKET-BATERAI-AA-4SLOT</v>
      </c>
      <c r="B11174" s="266">
        <f>IFERROR(__xludf.DUMMYFUNCTION("""COMPUTED_VALUE"""),45995.0)</f>
        <v>45995</v>
      </c>
      <c r="C11174" s="266" t="str">
        <f>IFERROR(__xludf.DUMMYFUNCTION("""COMPUTED_VALUE"""),"KYAI KONTONG")</f>
        <v>KYAI KONTONG</v>
      </c>
      <c r="D11174" s="186">
        <f>IFERROR(__xludf.DUMMYFUNCTION("""COMPUTED_VALUE"""),2.0)</f>
        <v>2</v>
      </c>
    </row>
    <row r="11175">
      <c r="A11175" s="178" t="str">
        <f>IFERROR(__xludf.DUMMYFUNCTION("""COMPUTED_VALUE"""),"ITBISA-SOCKET-BATERAI-AA-4SLOT")</f>
        <v>ITBISA-SOCKET-BATERAI-AA-4SLOT</v>
      </c>
      <c r="B11175" s="266">
        <f>IFERROR(__xludf.DUMMYFUNCTION("""COMPUTED_VALUE"""),46014.0)</f>
        <v>46014</v>
      </c>
      <c r="C11175" s="266" t="str">
        <f>IFERROR(__xludf.DUMMYFUNCTION("""COMPUTED_VALUE"""),"KYAI KONTONG")</f>
        <v>KYAI KONTONG</v>
      </c>
      <c r="D11175" s="186">
        <f>IFERROR(__xludf.DUMMYFUNCTION("""COMPUTED_VALUE"""),1.0)</f>
        <v>1</v>
      </c>
    </row>
    <row r="11176">
      <c r="A11176" s="178" t="str">
        <f>IFERROR(__xludf.DUMMYFUNCTION("""COMPUTED_VALUE"""),"ITBISA-SOCKET-IC-DIP14-NARROW")</f>
        <v>ITBISA-SOCKET-IC-DIP14-NARROW</v>
      </c>
      <c r="B11176" s="266">
        <f>IFERROR(__xludf.DUMMYFUNCTION("""COMPUTED_VALUE"""),45467.0)</f>
        <v>45467</v>
      </c>
      <c r="C11176" s="266" t="str">
        <f>IFERROR(__xludf.DUMMYFUNCTION("""COMPUTED_VALUE"""),"KYAI KONTONG")</f>
        <v>KYAI KONTONG</v>
      </c>
      <c r="D11176" s="186">
        <f>IFERROR(__xludf.DUMMYFUNCTION("""COMPUTED_VALUE"""),10.0)</f>
        <v>10</v>
      </c>
    </row>
    <row r="11177">
      <c r="A11177" s="178" t="str">
        <f>IFERROR(__xludf.DUMMYFUNCTION("""COMPUTED_VALUE"""),"ITBISA-SOCKET-IC-DIP14-NARROW")</f>
        <v>ITBISA-SOCKET-IC-DIP14-NARROW</v>
      </c>
      <c r="B11177" s="266">
        <f>IFERROR(__xludf.DUMMYFUNCTION("""COMPUTED_VALUE"""),45474.0)</f>
        <v>45474</v>
      </c>
      <c r="C11177" s="266" t="str">
        <f>IFERROR(__xludf.DUMMYFUNCTION("""COMPUTED_VALUE"""),"KYAI KONTONG")</f>
        <v>KYAI KONTONG</v>
      </c>
      <c r="D11177" s="186">
        <f>IFERROR(__xludf.DUMMYFUNCTION("""COMPUTED_VALUE"""),3.0)</f>
        <v>3</v>
      </c>
    </row>
    <row r="11178">
      <c r="A11178" s="178" t="str">
        <f>IFERROR(__xludf.DUMMYFUNCTION("""COMPUTED_VALUE"""),"ITBISA-SOCKET-IC-DIP14-NARROW")</f>
        <v>ITBISA-SOCKET-IC-DIP14-NARROW</v>
      </c>
      <c r="B11178" s="266">
        <f>IFERROR(__xludf.DUMMYFUNCTION("""COMPUTED_VALUE"""),45484.0)</f>
        <v>45484</v>
      </c>
      <c r="C11178" s="266" t="str">
        <f>IFERROR(__xludf.DUMMYFUNCTION("""COMPUTED_VALUE"""),"KYAI KONTONG")</f>
        <v>KYAI KONTONG</v>
      </c>
      <c r="D11178" s="186">
        <f>IFERROR(__xludf.DUMMYFUNCTION("""COMPUTED_VALUE"""),10.0)</f>
        <v>10</v>
      </c>
    </row>
    <row r="11179">
      <c r="A11179" s="178" t="str">
        <f>IFERROR(__xludf.DUMMYFUNCTION("""COMPUTED_VALUE"""),"ITBISA-SOCKET-IC-DIP14-NARROW")</f>
        <v>ITBISA-SOCKET-IC-DIP14-NARROW</v>
      </c>
      <c r="B11179" s="266">
        <f>IFERROR(__xludf.DUMMYFUNCTION("""COMPUTED_VALUE"""),45531.0)</f>
        <v>45531</v>
      </c>
      <c r="C11179" s="266" t="str">
        <f>IFERROR(__xludf.DUMMYFUNCTION("""COMPUTED_VALUE"""),"KYAI KONTONG")</f>
        <v>KYAI KONTONG</v>
      </c>
      <c r="D11179" s="186">
        <f>IFERROR(__xludf.DUMMYFUNCTION("""COMPUTED_VALUE"""),10.0)</f>
        <v>10</v>
      </c>
    </row>
    <row r="11180">
      <c r="A11180" s="178" t="str">
        <f>IFERROR(__xludf.DUMMYFUNCTION("""COMPUTED_VALUE"""),"ITBISA-SOCKET-IC-DIP14-NARROW")</f>
        <v>ITBISA-SOCKET-IC-DIP14-NARROW</v>
      </c>
      <c r="B11180" s="266">
        <f>IFERROR(__xludf.DUMMYFUNCTION("""COMPUTED_VALUE"""),45532.0)</f>
        <v>45532</v>
      </c>
      <c r="C11180" s="266" t="str">
        <f>IFERROR(__xludf.DUMMYFUNCTION("""COMPUTED_VALUE"""),"KYAI KONTONG")</f>
        <v>KYAI KONTONG</v>
      </c>
      <c r="D11180" s="186">
        <f>IFERROR(__xludf.DUMMYFUNCTION("""COMPUTED_VALUE"""),5.0)</f>
        <v>5</v>
      </c>
    </row>
    <row r="11181">
      <c r="A11181" s="178" t="str">
        <f>IFERROR(__xludf.DUMMYFUNCTION("""COMPUTED_VALUE"""),"ITBISA-SOCKET-IC-DIP14-NARROW")</f>
        <v>ITBISA-SOCKET-IC-DIP14-NARROW</v>
      </c>
      <c r="B11181" s="266">
        <f>IFERROR(__xludf.DUMMYFUNCTION("""COMPUTED_VALUE"""),45538.0)</f>
        <v>45538</v>
      </c>
      <c r="C11181" s="266" t="str">
        <f>IFERROR(__xludf.DUMMYFUNCTION("""COMPUTED_VALUE"""),"KYAI KONTONG")</f>
        <v>KYAI KONTONG</v>
      </c>
      <c r="D11181" s="186">
        <f>IFERROR(__xludf.DUMMYFUNCTION("""COMPUTED_VALUE"""),20.0)</f>
        <v>20</v>
      </c>
    </row>
    <row r="11182">
      <c r="A11182" s="178" t="str">
        <f>IFERROR(__xludf.DUMMYFUNCTION("""COMPUTED_VALUE"""),"ITBISA-SOCKET-IC-DIP14-NARROW")</f>
        <v>ITBISA-SOCKET-IC-DIP14-NARROW</v>
      </c>
      <c r="B11182" s="266">
        <f>IFERROR(__xludf.DUMMYFUNCTION("""COMPUTED_VALUE"""),45571.0)</f>
        <v>45571</v>
      </c>
      <c r="C11182" s="266" t="str">
        <f>IFERROR(__xludf.DUMMYFUNCTION("""COMPUTED_VALUE"""),"KYAI KONTONG")</f>
        <v>KYAI KONTONG</v>
      </c>
      <c r="D11182" s="186">
        <f>IFERROR(__xludf.DUMMYFUNCTION("""COMPUTED_VALUE"""),3.0)</f>
        <v>3</v>
      </c>
    </row>
    <row r="11183">
      <c r="A11183" s="178" t="str">
        <f>IFERROR(__xludf.DUMMYFUNCTION("""COMPUTED_VALUE"""),"ITBISA-SOCKET-IC-DIP14-NARROW")</f>
        <v>ITBISA-SOCKET-IC-DIP14-NARROW</v>
      </c>
      <c r="B11183" s="266">
        <f>IFERROR(__xludf.DUMMYFUNCTION("""COMPUTED_VALUE"""),45587.0)</f>
        <v>45587</v>
      </c>
      <c r="C11183" s="266" t="str">
        <f>IFERROR(__xludf.DUMMYFUNCTION("""COMPUTED_VALUE"""),"KERTASARI CIAMIS")</f>
        <v>KERTASARI CIAMIS</v>
      </c>
      <c r="D11183" s="186">
        <f>IFERROR(__xludf.DUMMYFUNCTION("""COMPUTED_VALUE"""),0.0)</f>
        <v>0</v>
      </c>
    </row>
    <row r="11184">
      <c r="A11184" s="178" t="str">
        <f>IFERROR(__xludf.DUMMYFUNCTION("""COMPUTED_VALUE"""),"ITBISA-SOCKET-IC-DIP14-NARROW")</f>
        <v>ITBISA-SOCKET-IC-DIP14-NARROW</v>
      </c>
      <c r="B11184" s="266">
        <f>IFERROR(__xludf.DUMMYFUNCTION("""COMPUTED_VALUE"""),45645.0)</f>
        <v>45645</v>
      </c>
      <c r="C11184" s="266" t="str">
        <f>IFERROR(__xludf.DUMMYFUNCTION("""COMPUTED_VALUE"""),"KYAI KONTONG")</f>
        <v>KYAI KONTONG</v>
      </c>
      <c r="D11184" s="186">
        <f>IFERROR(__xludf.DUMMYFUNCTION("""COMPUTED_VALUE"""),2.0)</f>
        <v>2</v>
      </c>
    </row>
    <row r="11185">
      <c r="A11185" s="178" t="str">
        <f>IFERROR(__xludf.DUMMYFUNCTION("""COMPUTED_VALUE"""),"ITBISA-SOCKET-IC-DIP14-NARROW")</f>
        <v>ITBISA-SOCKET-IC-DIP14-NARROW</v>
      </c>
      <c r="B11185" s="266">
        <f>IFERROR(__xludf.DUMMYFUNCTION("""COMPUTED_VALUE"""),45671.0)</f>
        <v>45671</v>
      </c>
      <c r="C11185" s="266" t="str">
        <f>IFERROR(__xludf.DUMMYFUNCTION("""COMPUTED_VALUE"""),"KYAI KONTONG")</f>
        <v>KYAI KONTONG</v>
      </c>
      <c r="D11185" s="186">
        <f>IFERROR(__xludf.DUMMYFUNCTION("""COMPUTED_VALUE"""),4.0)</f>
        <v>4</v>
      </c>
    </row>
    <row r="11186">
      <c r="A11186" s="178" t="str">
        <f>IFERROR(__xludf.DUMMYFUNCTION("""COMPUTED_VALUE"""),"ITBISA-SOCKET-IC-DIP14-NARROW")</f>
        <v>ITBISA-SOCKET-IC-DIP14-NARROW</v>
      </c>
      <c r="B11186" s="266">
        <f>IFERROR(__xludf.DUMMYFUNCTION("""COMPUTED_VALUE"""),45674.0)</f>
        <v>45674</v>
      </c>
      <c r="C11186" s="266" t="str">
        <f>IFERROR(__xludf.DUMMYFUNCTION("""COMPUTED_VALUE"""),"KYAI KONTONG")</f>
        <v>KYAI KONTONG</v>
      </c>
      <c r="D11186" s="186">
        <f>IFERROR(__xludf.DUMMYFUNCTION("""COMPUTED_VALUE"""),10.0)</f>
        <v>10</v>
      </c>
    </row>
    <row r="11187">
      <c r="A11187" s="178" t="str">
        <f>IFERROR(__xludf.DUMMYFUNCTION("""COMPUTED_VALUE"""),"ITBISA-SOCKET-IC-DIP14-NARROW")</f>
        <v>ITBISA-SOCKET-IC-DIP14-NARROW</v>
      </c>
      <c r="B11187" s="266">
        <f>IFERROR(__xludf.DUMMYFUNCTION("""COMPUTED_VALUE"""),45717.0)</f>
        <v>45717</v>
      </c>
      <c r="C11187" s="266" t="str">
        <f>IFERROR(__xludf.DUMMYFUNCTION("""COMPUTED_VALUE"""),"KYAI KONTONG")</f>
        <v>KYAI KONTONG</v>
      </c>
      <c r="D11187" s="186">
        <f>IFERROR(__xludf.DUMMYFUNCTION("""COMPUTED_VALUE"""),30.0)</f>
        <v>30</v>
      </c>
    </row>
    <row r="11188">
      <c r="A11188" s="178" t="str">
        <f>IFERROR(__xludf.DUMMYFUNCTION("""COMPUTED_VALUE"""),"ITBISA-SOCKET-IC-DIP14-NARROW")</f>
        <v>ITBISA-SOCKET-IC-DIP14-NARROW</v>
      </c>
      <c r="B11188" s="266">
        <f>IFERROR(__xludf.DUMMYFUNCTION("""COMPUTED_VALUE"""),45753.0)</f>
        <v>45753</v>
      </c>
      <c r="C11188" s="266" t="str">
        <f>IFERROR(__xludf.DUMMYFUNCTION("""COMPUTED_VALUE"""),"KERTASARI CIAMIS")</f>
        <v>KERTASARI CIAMIS</v>
      </c>
      <c r="D11188" s="186">
        <f>IFERROR(__xludf.DUMMYFUNCTION("""COMPUTED_VALUE"""),100.0)</f>
        <v>100</v>
      </c>
    </row>
    <row r="11189">
      <c r="A11189" s="178" t="str">
        <f>IFERROR(__xludf.DUMMYFUNCTION("""COMPUTED_VALUE"""),"ITBISA-SOCKET-IC-DIP14-NARROW")</f>
        <v>ITBISA-SOCKET-IC-DIP14-NARROW</v>
      </c>
      <c r="B11189" s="266">
        <f>IFERROR(__xludf.DUMMYFUNCTION("""COMPUTED_VALUE"""),45842.0)</f>
        <v>45842</v>
      </c>
      <c r="C11189" s="266" t="str">
        <f>IFERROR(__xludf.DUMMYFUNCTION("""COMPUTED_VALUE"""),"KERTASARI CIAMIS")</f>
        <v>KERTASARI CIAMIS</v>
      </c>
      <c r="D11189" s="186">
        <f>IFERROR(__xludf.DUMMYFUNCTION("""COMPUTED_VALUE"""),5.0)</f>
        <v>5</v>
      </c>
    </row>
    <row r="11190">
      <c r="A11190" s="178" t="str">
        <f>IFERROR(__xludf.DUMMYFUNCTION("""COMPUTED_VALUE"""),"ITBISA-SOCKET-IC-DIP14-NARROW")</f>
        <v>ITBISA-SOCKET-IC-DIP14-NARROW</v>
      </c>
      <c r="B11190" s="266">
        <f>IFERROR(__xludf.DUMMYFUNCTION("""COMPUTED_VALUE"""),45918.0)</f>
        <v>45918</v>
      </c>
      <c r="C11190" s="266" t="str">
        <f>IFERROR(__xludf.DUMMYFUNCTION("""COMPUTED_VALUE"""),"KERTASARI CIAMIS")</f>
        <v>KERTASARI CIAMIS</v>
      </c>
      <c r="D11190" s="186">
        <f>IFERROR(__xludf.DUMMYFUNCTION("""COMPUTED_VALUE"""),50.0)</f>
        <v>50</v>
      </c>
    </row>
    <row r="11191">
      <c r="A11191" s="178" t="str">
        <f>IFERROR(__xludf.DUMMYFUNCTION("""COMPUTED_VALUE"""),"ITBISA-SOCKET-IC-DIP14-NARROW")</f>
        <v>ITBISA-SOCKET-IC-DIP14-NARROW</v>
      </c>
      <c r="B11191" s="266">
        <f>IFERROR(__xludf.DUMMYFUNCTION("""COMPUTED_VALUE"""),45924.0)</f>
        <v>45924</v>
      </c>
      <c r="C11191" s="266" t="str">
        <f>IFERROR(__xludf.DUMMYFUNCTION("""COMPUTED_VALUE"""),"KYAI KONTONG")</f>
        <v>KYAI KONTONG</v>
      </c>
      <c r="D11191" s="186">
        <f>IFERROR(__xludf.DUMMYFUNCTION("""COMPUTED_VALUE"""),4.0)</f>
        <v>4</v>
      </c>
    </row>
    <row r="11192">
      <c r="A11192" s="178" t="str">
        <f>IFERROR(__xludf.DUMMYFUNCTION("""COMPUTED_VALUE"""),"ITBISA-SOCKET-IC-DIP14-NARROW")</f>
        <v>ITBISA-SOCKET-IC-DIP14-NARROW</v>
      </c>
      <c r="B11192" s="266">
        <f>IFERROR(__xludf.DUMMYFUNCTION("""COMPUTED_VALUE"""),45947.0)</f>
        <v>45947</v>
      </c>
      <c r="C11192" s="266" t="str">
        <f>IFERROR(__xludf.DUMMYFUNCTION("""COMPUTED_VALUE"""),"KERTASARI CIAMIS")</f>
        <v>KERTASARI CIAMIS</v>
      </c>
      <c r="D11192" s="186">
        <f>IFERROR(__xludf.DUMMYFUNCTION("""COMPUTED_VALUE"""),15.0)</f>
        <v>15</v>
      </c>
    </row>
    <row r="11193">
      <c r="A11193" s="178" t="str">
        <f>IFERROR(__xludf.DUMMYFUNCTION("""COMPUTED_VALUE"""),"ITBISA-SOCKET-IC-DIP14-NARROW")</f>
        <v>ITBISA-SOCKET-IC-DIP14-NARROW</v>
      </c>
      <c r="B11193" s="266">
        <f>IFERROR(__xludf.DUMMYFUNCTION("""COMPUTED_VALUE"""),45963.0)</f>
        <v>45963</v>
      </c>
      <c r="C11193" s="266" t="str">
        <f>IFERROR(__xludf.DUMMYFUNCTION("""COMPUTED_VALUE"""),"KYAI KONTONG")</f>
        <v>KYAI KONTONG</v>
      </c>
      <c r="D11193" s="186">
        <f>IFERROR(__xludf.DUMMYFUNCTION("""COMPUTED_VALUE"""),5.0)</f>
        <v>5</v>
      </c>
    </row>
    <row r="11194">
      <c r="A11194" s="178" t="str">
        <f>IFERROR(__xludf.DUMMYFUNCTION("""COMPUTED_VALUE"""),"ITBISA-SOCKET-IC-DIP14-NARROW")</f>
        <v>ITBISA-SOCKET-IC-DIP14-NARROW</v>
      </c>
      <c r="B11194" s="266">
        <f>IFERROR(__xludf.DUMMYFUNCTION("""COMPUTED_VALUE"""),45966.0)</f>
        <v>45966</v>
      </c>
      <c r="C11194" s="266" t="str">
        <f>IFERROR(__xludf.DUMMYFUNCTION("""COMPUTED_VALUE"""),"KYAI KONTONG")</f>
        <v>KYAI KONTONG</v>
      </c>
      <c r="D11194" s="186">
        <f>IFERROR(__xludf.DUMMYFUNCTION("""COMPUTED_VALUE"""),8.0)</f>
        <v>8</v>
      </c>
    </row>
    <row r="11195">
      <c r="A11195" s="178" t="str">
        <f>IFERROR(__xludf.DUMMYFUNCTION("""COMPUTED_VALUE"""),"ITBISA-SOCKET-IC-DIP14-NARROW")</f>
        <v>ITBISA-SOCKET-IC-DIP14-NARROW</v>
      </c>
      <c r="B11195" s="266">
        <f>IFERROR(__xludf.DUMMYFUNCTION("""COMPUTED_VALUE"""),45994.0)</f>
        <v>45994</v>
      </c>
      <c r="C11195" s="266" t="str">
        <f>IFERROR(__xludf.DUMMYFUNCTION("""COMPUTED_VALUE"""),"KERTASARI CIAMIS")</f>
        <v>KERTASARI CIAMIS</v>
      </c>
      <c r="D11195" s="186">
        <f>IFERROR(__xludf.DUMMYFUNCTION("""COMPUTED_VALUE"""),1.0)</f>
        <v>1</v>
      </c>
    </row>
    <row r="11196">
      <c r="A11196" s="178" t="str">
        <f>IFERROR(__xludf.DUMMYFUNCTION("""COMPUTED_VALUE"""),"ITBISA-SOCKET-IC-DIP14-NARROW")</f>
        <v>ITBISA-SOCKET-IC-DIP14-NARROW</v>
      </c>
      <c r="B11196" s="266">
        <f>IFERROR(__xludf.DUMMYFUNCTION("""COMPUTED_VALUE"""),46008.0)</f>
        <v>46008</v>
      </c>
      <c r="C11196" s="266" t="str">
        <f>IFERROR(__xludf.DUMMYFUNCTION("""COMPUTED_VALUE"""),"KERTASARI CIAMIS")</f>
        <v>KERTASARI CIAMIS</v>
      </c>
      <c r="D11196" s="186">
        <f>IFERROR(__xludf.DUMMYFUNCTION("""COMPUTED_VALUE"""),2.0)</f>
        <v>2</v>
      </c>
    </row>
    <row r="11197">
      <c r="A11197" s="178" t="str">
        <f>IFERROR(__xludf.DUMMYFUNCTION("""COMPUTED_VALUE"""),"ITBISA-SOCKET-IC-DIP16-NARROW")</f>
        <v>ITBISA-SOCKET-IC-DIP16-NARROW</v>
      </c>
      <c r="B11197" s="266">
        <f>IFERROR(__xludf.DUMMYFUNCTION("""COMPUTED_VALUE"""),44017.0)</f>
        <v>44017</v>
      </c>
      <c r="C11197" s="266" t="str">
        <f>IFERROR(__xludf.DUMMYFUNCTION("""COMPUTED_VALUE"""),"KAETOBO RESIDENCE")</f>
        <v>KAETOBO RESIDENCE</v>
      </c>
      <c r="D11197" s="186">
        <f>IFERROR(__xludf.DUMMYFUNCTION("""COMPUTED_VALUE"""),10.0)</f>
        <v>10</v>
      </c>
    </row>
    <row r="11198">
      <c r="A11198" s="178" t="str">
        <f>IFERROR(__xludf.DUMMYFUNCTION("""COMPUTED_VALUE"""),"ITBISA-SOCKET-IC-DIP16-NARROW")</f>
        <v>ITBISA-SOCKET-IC-DIP16-NARROW</v>
      </c>
      <c r="B11198" s="266">
        <f>IFERROR(__xludf.DUMMYFUNCTION("""COMPUTED_VALUE"""),44024.0)</f>
        <v>44024</v>
      </c>
      <c r="C11198" s="266" t="str">
        <f>IFERROR(__xludf.DUMMYFUNCTION("""COMPUTED_VALUE"""),"KAETOBO RESIDENCE")</f>
        <v>KAETOBO RESIDENCE</v>
      </c>
      <c r="D11198" s="186">
        <f>IFERROR(__xludf.DUMMYFUNCTION("""COMPUTED_VALUE"""),10.0)</f>
        <v>10</v>
      </c>
    </row>
    <row r="11199">
      <c r="A11199" s="178" t="str">
        <f>IFERROR(__xludf.DUMMYFUNCTION("""COMPUTED_VALUE"""),"ITBISA-SOCKET-IC-DIP16-NARROW")</f>
        <v>ITBISA-SOCKET-IC-DIP16-NARROW</v>
      </c>
      <c r="B11199" s="266">
        <f>IFERROR(__xludf.DUMMYFUNCTION("""COMPUTED_VALUE"""),44037.0)</f>
        <v>44037</v>
      </c>
      <c r="C11199" s="266" t="str">
        <f>IFERROR(__xludf.DUMMYFUNCTION("""COMPUTED_VALUE"""),"KAETOBO RESIDENCE")</f>
        <v>KAETOBO RESIDENCE</v>
      </c>
      <c r="D11199" s="186">
        <f>IFERROR(__xludf.DUMMYFUNCTION("""COMPUTED_VALUE"""),50.0)</f>
        <v>50</v>
      </c>
    </row>
    <row r="11200">
      <c r="A11200" s="178" t="str">
        <f>IFERROR(__xludf.DUMMYFUNCTION("""COMPUTED_VALUE"""),"ITBISA-SOCKET-IC-DIP16-NARROW")</f>
        <v>ITBISA-SOCKET-IC-DIP16-NARROW</v>
      </c>
      <c r="B11200" s="266">
        <f>IFERROR(__xludf.DUMMYFUNCTION("""COMPUTED_VALUE"""),44046.0)</f>
        <v>44046</v>
      </c>
      <c r="C11200" s="266" t="str">
        <f>IFERROR(__xludf.DUMMYFUNCTION("""COMPUTED_VALUE"""),"KAETOBO RESIDENCE")</f>
        <v>KAETOBO RESIDENCE</v>
      </c>
      <c r="D11200" s="186">
        <f>IFERROR(__xludf.DUMMYFUNCTION("""COMPUTED_VALUE"""),20.0)</f>
        <v>20</v>
      </c>
    </row>
    <row r="11201">
      <c r="A11201" s="178" t="str">
        <f>IFERROR(__xludf.DUMMYFUNCTION("""COMPUTED_VALUE"""),"ITBISA-SOCKET-IC-DIP16-NARROW")</f>
        <v>ITBISA-SOCKET-IC-DIP16-NARROW</v>
      </c>
      <c r="B11201" s="266">
        <f>IFERROR(__xludf.DUMMYFUNCTION("""COMPUTED_VALUE"""),44051.0)</f>
        <v>44051</v>
      </c>
      <c r="C11201" s="266" t="str">
        <f>IFERROR(__xludf.DUMMYFUNCTION("""COMPUTED_VALUE"""),"KOST SRITUNGGAL")</f>
        <v>KOST SRITUNGGAL</v>
      </c>
      <c r="D11201" s="186">
        <f>IFERROR(__xludf.DUMMYFUNCTION("""COMPUTED_VALUE"""),20.0)</f>
        <v>20</v>
      </c>
    </row>
    <row r="11202">
      <c r="A11202" s="178" t="str">
        <f>IFERROR(__xludf.DUMMYFUNCTION("""COMPUTED_VALUE"""),"ITBISA-SOCKET-IC-DIP16-NARROW")</f>
        <v>ITBISA-SOCKET-IC-DIP16-NARROW</v>
      </c>
      <c r="B11202" s="266">
        <f>IFERROR(__xludf.DUMMYFUNCTION("""COMPUTED_VALUE"""),44065.0)</f>
        <v>44065</v>
      </c>
      <c r="C11202" s="266" t="str">
        <f>IFERROR(__xludf.DUMMYFUNCTION("""COMPUTED_VALUE"""),"KOST SRITUNGGAL")</f>
        <v>KOST SRITUNGGAL</v>
      </c>
      <c r="D11202" s="186">
        <f>IFERROR(__xludf.DUMMYFUNCTION("""COMPUTED_VALUE"""),20.0)</f>
        <v>20</v>
      </c>
    </row>
    <row r="11203">
      <c r="A11203" s="178" t="str">
        <f>IFERROR(__xludf.DUMMYFUNCTION("""COMPUTED_VALUE"""),"ITBISA-SOCKET-IC-DIP16-NARROW")</f>
        <v>ITBISA-SOCKET-IC-DIP16-NARROW</v>
      </c>
      <c r="B11203" s="266">
        <f>IFERROR(__xludf.DUMMYFUNCTION("""COMPUTED_VALUE"""),44076.0)</f>
        <v>44076</v>
      </c>
      <c r="C11203" s="266" t="str">
        <f>IFERROR(__xludf.DUMMYFUNCTION("""COMPUTED_VALUE"""),"KOST SRITUNGGAL")</f>
        <v>KOST SRITUNGGAL</v>
      </c>
      <c r="D11203" s="186">
        <f>IFERROR(__xludf.DUMMYFUNCTION("""COMPUTED_VALUE"""),100.0)</f>
        <v>100</v>
      </c>
    </row>
    <row r="11204">
      <c r="A11204" s="178" t="str">
        <f>IFERROR(__xludf.DUMMYFUNCTION("""COMPUTED_VALUE"""),"ITBISA-SOCKET-IC-DIP16-NARROW")</f>
        <v>ITBISA-SOCKET-IC-DIP16-NARROW</v>
      </c>
      <c r="B11204" s="266">
        <f>IFERROR(__xludf.DUMMYFUNCTION("""COMPUTED_VALUE"""),44146.0)</f>
        <v>44146</v>
      </c>
      <c r="C11204" s="266" t="str">
        <f>IFERROR(__xludf.DUMMYFUNCTION("""COMPUTED_VALUE"""),"KOST RUMAHUMI")</f>
        <v>KOST RUMAHUMI</v>
      </c>
      <c r="D11204" s="186">
        <f>IFERROR(__xludf.DUMMYFUNCTION("""COMPUTED_VALUE"""),200.0)</f>
        <v>200</v>
      </c>
    </row>
    <row r="11205">
      <c r="A11205" s="178" t="str">
        <f>IFERROR(__xludf.DUMMYFUNCTION("""COMPUTED_VALUE"""),"ITBISA-SOCKET-IC-DIP16-NARROW")</f>
        <v>ITBISA-SOCKET-IC-DIP16-NARROW</v>
      </c>
      <c r="B11205" s="266">
        <f>IFERROR(__xludf.DUMMYFUNCTION("""COMPUTED_VALUE"""),44151.0)</f>
        <v>44151</v>
      </c>
      <c r="C11205" s="266" t="str">
        <f>IFERROR(__xludf.DUMMYFUNCTION("""COMPUTED_VALUE"""),"KOST RUMAHUMI")</f>
        <v>KOST RUMAHUMI</v>
      </c>
      <c r="D11205" s="186">
        <f>IFERROR(__xludf.DUMMYFUNCTION("""COMPUTED_VALUE"""),101.0)</f>
        <v>101</v>
      </c>
    </row>
    <row r="11206">
      <c r="A11206" s="178" t="str">
        <f>IFERROR(__xludf.DUMMYFUNCTION("""COMPUTED_VALUE"""),"ITBISA-SOCKET-IC-DIP16-NARROW")</f>
        <v>ITBISA-SOCKET-IC-DIP16-NARROW</v>
      </c>
      <c r="B11206" s="266">
        <f>IFERROR(__xludf.DUMMYFUNCTION("""COMPUTED_VALUE"""),44159.0)</f>
        <v>44159</v>
      </c>
      <c r="C11206" s="266" t="str">
        <f>IFERROR(__xludf.DUMMYFUNCTION("""COMPUTED_VALUE"""),"KOST RUMAHUMI")</f>
        <v>KOST RUMAHUMI</v>
      </c>
      <c r="D11206" s="186">
        <f>IFERROR(__xludf.DUMMYFUNCTION("""COMPUTED_VALUE"""),265.0)</f>
        <v>265</v>
      </c>
    </row>
    <row r="11207">
      <c r="A11207" s="178" t="str">
        <f>IFERROR(__xludf.DUMMYFUNCTION("""COMPUTED_VALUE"""),"ITBISA-SOCKET-IC-DIP16-NARROW")</f>
        <v>ITBISA-SOCKET-IC-DIP16-NARROW</v>
      </c>
      <c r="B11207" s="266">
        <f>IFERROR(__xludf.DUMMYFUNCTION("""COMPUTED_VALUE"""),44171.0)</f>
        <v>44171</v>
      </c>
      <c r="C11207" s="266" t="str">
        <f>IFERROR(__xludf.DUMMYFUNCTION("""COMPUTED_VALUE"""),"KYAI KONTONG")</f>
        <v>KYAI KONTONG</v>
      </c>
      <c r="D11207" s="186">
        <f>IFERROR(__xludf.DUMMYFUNCTION("""COMPUTED_VALUE"""),10.0)</f>
        <v>10</v>
      </c>
    </row>
    <row r="11208">
      <c r="A11208" s="178" t="str">
        <f>IFERROR(__xludf.DUMMYFUNCTION("""COMPUTED_VALUE"""),"ITBISA-SOCKET-IC-DIP16-NARROW")</f>
        <v>ITBISA-SOCKET-IC-DIP16-NARROW</v>
      </c>
      <c r="B11208" s="266">
        <f>IFERROR(__xludf.DUMMYFUNCTION("""COMPUTED_VALUE"""),44177.0)</f>
        <v>44177</v>
      </c>
      <c r="C11208" s="266" t="str">
        <f>IFERROR(__xludf.DUMMYFUNCTION("""COMPUTED_VALUE"""),"KYAI KONTONG")</f>
        <v>KYAI KONTONG</v>
      </c>
      <c r="D11208" s="186">
        <f>IFERROR(__xludf.DUMMYFUNCTION("""COMPUTED_VALUE"""),30.0)</f>
        <v>30</v>
      </c>
    </row>
    <row r="11209">
      <c r="A11209" s="178" t="str">
        <f>IFERROR(__xludf.DUMMYFUNCTION("""COMPUTED_VALUE"""),"ITBISA-SOCKET-IC-DIP16-NARROW")</f>
        <v>ITBISA-SOCKET-IC-DIP16-NARROW</v>
      </c>
      <c r="B11209" s="266">
        <f>IFERROR(__xludf.DUMMYFUNCTION("""COMPUTED_VALUE"""),44230.0)</f>
        <v>44230</v>
      </c>
      <c r="C11209" s="266" t="str">
        <f>IFERROR(__xludf.DUMMYFUNCTION("""COMPUTED_VALUE"""),"KOST RUMAHUMI")</f>
        <v>KOST RUMAHUMI</v>
      </c>
      <c r="D11209" s="186">
        <f>IFERROR(__xludf.DUMMYFUNCTION("""COMPUTED_VALUE"""),11.0)</f>
        <v>11</v>
      </c>
    </row>
    <row r="11210">
      <c r="A11210" s="178" t="str">
        <f>IFERROR(__xludf.DUMMYFUNCTION("""COMPUTED_VALUE"""),"ITBISA-SOCKET-IC-DIP16-NARROW")</f>
        <v>ITBISA-SOCKET-IC-DIP16-NARROW</v>
      </c>
      <c r="B11210" s="266">
        <f>IFERROR(__xludf.DUMMYFUNCTION("""COMPUTED_VALUE"""),44293.0)</f>
        <v>44293</v>
      </c>
      <c r="C11210" s="266" t="str">
        <f>IFERROR(__xludf.DUMMYFUNCTION("""COMPUTED_VALUE"""),"KOST RUMAHUMI")</f>
        <v>KOST RUMAHUMI</v>
      </c>
      <c r="D11210" s="186">
        <f>IFERROR(__xludf.DUMMYFUNCTION("""COMPUTED_VALUE"""),50.0)</f>
        <v>50</v>
      </c>
    </row>
    <row r="11211">
      <c r="A11211" s="178" t="str">
        <f>IFERROR(__xludf.DUMMYFUNCTION("""COMPUTED_VALUE"""),"ITBISA-SOCKET-IC-DIP16-NARROW")</f>
        <v>ITBISA-SOCKET-IC-DIP16-NARROW</v>
      </c>
      <c r="B11211" s="266">
        <f>IFERROR(__xludf.DUMMYFUNCTION("""COMPUTED_VALUE"""),44357.0)</f>
        <v>44357</v>
      </c>
      <c r="C11211" s="266" t="str">
        <f>IFERROR(__xludf.DUMMYFUNCTION("""COMPUTED_VALUE"""),"KOST RUMAHUMI")</f>
        <v>KOST RUMAHUMI</v>
      </c>
      <c r="D11211" s="186">
        <f>IFERROR(__xludf.DUMMYFUNCTION("""COMPUTED_VALUE"""),50.0)</f>
        <v>50</v>
      </c>
    </row>
    <row r="11212">
      <c r="A11212" s="178" t="str">
        <f>IFERROR(__xludf.DUMMYFUNCTION("""COMPUTED_VALUE"""),"ITBISA-SOCKET-IC-DIP16-NARROW")</f>
        <v>ITBISA-SOCKET-IC-DIP16-NARROW</v>
      </c>
      <c r="B11212" s="266">
        <f>IFERROR(__xludf.DUMMYFUNCTION("""COMPUTED_VALUE"""),44363.0)</f>
        <v>44363</v>
      </c>
      <c r="C11212" s="266" t="str">
        <f>IFERROR(__xludf.DUMMYFUNCTION("""COMPUTED_VALUE"""),"KOST RUMAHUMI")</f>
        <v>KOST RUMAHUMI</v>
      </c>
      <c r="D11212" s="186">
        <f>IFERROR(__xludf.DUMMYFUNCTION("""COMPUTED_VALUE"""),42.0)</f>
        <v>42</v>
      </c>
    </row>
    <row r="11213">
      <c r="A11213" s="178" t="str">
        <f>IFERROR(__xludf.DUMMYFUNCTION("""COMPUTED_VALUE"""),"ITBISA-SOCKET-IC-DIP16-NARROW")</f>
        <v>ITBISA-SOCKET-IC-DIP16-NARROW</v>
      </c>
      <c r="B11213" s="266">
        <f>IFERROR(__xludf.DUMMYFUNCTION("""COMPUTED_VALUE"""),44826.0)</f>
        <v>44826</v>
      </c>
      <c r="C11213" s="266" t="str">
        <f>IFERROR(__xludf.DUMMYFUNCTION("""COMPUTED_VALUE"""),"KYAI KONTONG")</f>
        <v>KYAI KONTONG</v>
      </c>
      <c r="D11213" s="186">
        <f>IFERROR(__xludf.DUMMYFUNCTION("""COMPUTED_VALUE"""),10.0)</f>
        <v>10</v>
      </c>
    </row>
    <row r="11214">
      <c r="A11214" s="178" t="str">
        <f>IFERROR(__xludf.DUMMYFUNCTION("""COMPUTED_VALUE"""),"ITBISA-SOCKET-IC-DIP16-NARROW")</f>
        <v>ITBISA-SOCKET-IC-DIP16-NARROW</v>
      </c>
      <c r="B11214" s="266">
        <f>IFERROR(__xludf.DUMMYFUNCTION("""COMPUTED_VALUE"""),44831.0)</f>
        <v>44831</v>
      </c>
      <c r="C11214" s="266" t="str">
        <f>IFERROR(__xludf.DUMMYFUNCTION("""COMPUTED_VALUE"""),"KYAI KONTONG")</f>
        <v>KYAI KONTONG</v>
      </c>
      <c r="D11214" s="186">
        <f>IFERROR(__xludf.DUMMYFUNCTION("""COMPUTED_VALUE"""),6.0)</f>
        <v>6</v>
      </c>
    </row>
    <row r="11215">
      <c r="A11215" s="178" t="str">
        <f>IFERROR(__xludf.DUMMYFUNCTION("""COMPUTED_VALUE"""),"ITBISA-SOCKET-IC-DIP16-NARROW")</f>
        <v>ITBISA-SOCKET-IC-DIP16-NARROW</v>
      </c>
      <c r="B11215" s="266">
        <f>IFERROR(__xludf.DUMMYFUNCTION("""COMPUTED_VALUE"""),44832.0)</f>
        <v>44832</v>
      </c>
      <c r="C11215" s="266" t="str">
        <f>IFERROR(__xludf.DUMMYFUNCTION("""COMPUTED_VALUE"""),"KYAI KONTONG")</f>
        <v>KYAI KONTONG</v>
      </c>
      <c r="D11215" s="186">
        <f>IFERROR(__xludf.DUMMYFUNCTION("""COMPUTED_VALUE"""),2.0)</f>
        <v>2</v>
      </c>
    </row>
    <row r="11216">
      <c r="A11216" s="178" t="str">
        <f>IFERROR(__xludf.DUMMYFUNCTION("""COMPUTED_VALUE"""),"ITBISA-SOCKET-IC-DIP16-NARROW")</f>
        <v>ITBISA-SOCKET-IC-DIP16-NARROW</v>
      </c>
      <c r="B11216" s="266">
        <f>IFERROR(__xludf.DUMMYFUNCTION("""COMPUTED_VALUE"""),44834.0)</f>
        <v>44834</v>
      </c>
      <c r="C11216" s="266" t="str">
        <f>IFERROR(__xludf.DUMMYFUNCTION("""COMPUTED_VALUE"""),"KYAI KONTONG")</f>
        <v>KYAI KONTONG</v>
      </c>
      <c r="D11216" s="186">
        <f>IFERROR(__xludf.DUMMYFUNCTION("""COMPUTED_VALUE"""),10.0)</f>
        <v>10</v>
      </c>
    </row>
    <row r="11217">
      <c r="A11217" s="178" t="str">
        <f>IFERROR(__xludf.DUMMYFUNCTION("""COMPUTED_VALUE"""),"ITBISA-SOCKET-IC-DIP16-NARROW")</f>
        <v>ITBISA-SOCKET-IC-DIP16-NARROW</v>
      </c>
      <c r="B11217" s="266">
        <f>IFERROR(__xludf.DUMMYFUNCTION("""COMPUTED_VALUE"""),44839.0)</f>
        <v>44839</v>
      </c>
      <c r="C11217" s="266" t="str">
        <f>IFERROR(__xludf.DUMMYFUNCTION("""COMPUTED_VALUE"""),"KYAI KONTONG")</f>
        <v>KYAI KONTONG</v>
      </c>
      <c r="D11217" s="186">
        <f>IFERROR(__xludf.DUMMYFUNCTION("""COMPUTED_VALUE"""),40.0)</f>
        <v>40</v>
      </c>
    </row>
    <row r="11218">
      <c r="A11218" s="178" t="str">
        <f>IFERROR(__xludf.DUMMYFUNCTION("""COMPUTED_VALUE"""),"ITBISA-SOCKET-IC-DIP16-NARROW")</f>
        <v>ITBISA-SOCKET-IC-DIP16-NARROW</v>
      </c>
      <c r="B11218" s="266">
        <f>IFERROR(__xludf.DUMMYFUNCTION("""COMPUTED_VALUE"""),44897.0)</f>
        <v>44897</v>
      </c>
      <c r="C11218" s="266" t="str">
        <f>IFERROR(__xludf.DUMMYFUNCTION("""COMPUTED_VALUE"""),"KYAI KONTONG")</f>
        <v>KYAI KONTONG</v>
      </c>
      <c r="D11218" s="186">
        <f>IFERROR(__xludf.DUMMYFUNCTION("""COMPUTED_VALUE"""),50.0)</f>
        <v>50</v>
      </c>
    </row>
    <row r="11219">
      <c r="A11219" s="178" t="str">
        <f>IFERROR(__xludf.DUMMYFUNCTION("""COMPUTED_VALUE"""),"ITBISA-SOCKET-IC-DIP16-NARROW")</f>
        <v>ITBISA-SOCKET-IC-DIP16-NARROW</v>
      </c>
      <c r="B11219" s="266">
        <f>IFERROR(__xludf.DUMMYFUNCTION("""COMPUTED_VALUE"""),44930.0)</f>
        <v>44930</v>
      </c>
      <c r="C11219" s="266" t="str">
        <f>IFERROR(__xludf.DUMMYFUNCTION("""COMPUTED_VALUE"""),"KYAI KONTONG")</f>
        <v>KYAI KONTONG</v>
      </c>
      <c r="D11219" s="186">
        <f>IFERROR(__xludf.DUMMYFUNCTION("""COMPUTED_VALUE"""),1.0)</f>
        <v>1</v>
      </c>
    </row>
    <row r="11220">
      <c r="A11220" s="178" t="str">
        <f>IFERROR(__xludf.DUMMYFUNCTION("""COMPUTED_VALUE"""),"ITBISA-SOCKET-IC-DIP16-NARROW")</f>
        <v>ITBISA-SOCKET-IC-DIP16-NARROW</v>
      </c>
      <c r="B11220" s="266">
        <f>IFERROR(__xludf.DUMMYFUNCTION("""COMPUTED_VALUE"""),44931.0)</f>
        <v>44931</v>
      </c>
      <c r="C11220" s="266" t="str">
        <f>IFERROR(__xludf.DUMMYFUNCTION("""COMPUTED_VALUE"""),"KYAI KONTONG")</f>
        <v>KYAI KONTONG</v>
      </c>
      <c r="D11220" s="186">
        <f>IFERROR(__xludf.DUMMYFUNCTION("""COMPUTED_VALUE"""),5.0)</f>
        <v>5</v>
      </c>
    </row>
    <row r="11221">
      <c r="A11221" s="178" t="str">
        <f>IFERROR(__xludf.DUMMYFUNCTION("""COMPUTED_VALUE"""),"ITBISA-SOCKET-IC-DIP16-NARROW")</f>
        <v>ITBISA-SOCKET-IC-DIP16-NARROW</v>
      </c>
      <c r="B11221" s="266">
        <f>IFERROR(__xludf.DUMMYFUNCTION("""COMPUTED_VALUE"""),44943.0)</f>
        <v>44943</v>
      </c>
      <c r="C11221" s="266" t="str">
        <f>IFERROR(__xludf.DUMMYFUNCTION("""COMPUTED_VALUE"""),"KYAI KONTONG")</f>
        <v>KYAI KONTONG</v>
      </c>
      <c r="D11221" s="186">
        <f>IFERROR(__xludf.DUMMYFUNCTION("""COMPUTED_VALUE"""),1.0)</f>
        <v>1</v>
      </c>
    </row>
    <row r="11222">
      <c r="A11222" s="178" t="str">
        <f>IFERROR(__xludf.DUMMYFUNCTION("""COMPUTED_VALUE"""),"ITBISA-SOCKET-IC-DIP16-NARROW")</f>
        <v>ITBISA-SOCKET-IC-DIP16-NARROW</v>
      </c>
      <c r="B11222" s="266">
        <f>IFERROR(__xludf.DUMMYFUNCTION("""COMPUTED_VALUE"""),44944.0)</f>
        <v>44944</v>
      </c>
      <c r="C11222" s="266" t="str">
        <f>IFERROR(__xludf.DUMMYFUNCTION("""COMPUTED_VALUE"""),"KYAI KONTONG")</f>
        <v>KYAI KONTONG</v>
      </c>
      <c r="D11222" s="186">
        <f>IFERROR(__xludf.DUMMYFUNCTION("""COMPUTED_VALUE"""),50.0)</f>
        <v>50</v>
      </c>
    </row>
    <row r="11223">
      <c r="A11223" s="178" t="str">
        <f>IFERROR(__xludf.DUMMYFUNCTION("""COMPUTED_VALUE"""),"ITBISA-SOCKET-IC-DIP16-NARROW")</f>
        <v>ITBISA-SOCKET-IC-DIP16-NARROW</v>
      </c>
      <c r="B11223" s="266">
        <f>IFERROR(__xludf.DUMMYFUNCTION("""COMPUTED_VALUE"""),44946.0)</f>
        <v>44946</v>
      </c>
      <c r="C11223" s="266" t="str">
        <f>IFERROR(__xludf.DUMMYFUNCTION("""COMPUTED_VALUE"""),"KYAI KONTONG")</f>
        <v>KYAI KONTONG</v>
      </c>
      <c r="D11223" s="186">
        <f>IFERROR(__xludf.DUMMYFUNCTION("""COMPUTED_VALUE"""),20.0)</f>
        <v>20</v>
      </c>
    </row>
    <row r="11224">
      <c r="A11224" s="178" t="str">
        <f>IFERROR(__xludf.DUMMYFUNCTION("""COMPUTED_VALUE"""),"ITBISA-SOCKET-IC-DIP16-NARROW")</f>
        <v>ITBISA-SOCKET-IC-DIP16-NARROW</v>
      </c>
      <c r="B11224" s="266">
        <f>IFERROR(__xludf.DUMMYFUNCTION("""COMPUTED_VALUE"""),44951.0)</f>
        <v>44951</v>
      </c>
      <c r="C11224" s="266" t="str">
        <f>IFERROR(__xludf.DUMMYFUNCTION("""COMPUTED_VALUE"""),"KYAI KONTONG")</f>
        <v>KYAI KONTONG</v>
      </c>
      <c r="D11224" s="186">
        <f>IFERROR(__xludf.DUMMYFUNCTION("""COMPUTED_VALUE"""),6.0)</f>
        <v>6</v>
      </c>
    </row>
    <row r="11225">
      <c r="A11225" s="178" t="str">
        <f>IFERROR(__xludf.DUMMYFUNCTION("""COMPUTED_VALUE"""),"ITBISA-SOCKET-IC-DIP16-NARROW")</f>
        <v>ITBISA-SOCKET-IC-DIP16-NARROW</v>
      </c>
      <c r="B11225" s="266">
        <f>IFERROR(__xludf.DUMMYFUNCTION("""COMPUTED_VALUE"""),44954.0)</f>
        <v>44954</v>
      </c>
      <c r="C11225" s="266" t="str">
        <f>IFERROR(__xludf.DUMMYFUNCTION("""COMPUTED_VALUE"""),"KYAI KONTONG")</f>
        <v>KYAI KONTONG</v>
      </c>
      <c r="D11225" s="186">
        <f>IFERROR(__xludf.DUMMYFUNCTION("""COMPUTED_VALUE"""),10.0)</f>
        <v>10</v>
      </c>
    </row>
    <row r="11226">
      <c r="A11226" s="178" t="str">
        <f>IFERROR(__xludf.DUMMYFUNCTION("""COMPUTED_VALUE"""),"ITBISA-SOCKET-IC-DIP16-NARROW")</f>
        <v>ITBISA-SOCKET-IC-DIP16-NARROW</v>
      </c>
      <c r="B11226" s="266">
        <f>IFERROR(__xludf.DUMMYFUNCTION("""COMPUTED_VALUE"""),44964.0)</f>
        <v>44964</v>
      </c>
      <c r="C11226" s="266" t="str">
        <f>IFERROR(__xludf.DUMMYFUNCTION("""COMPUTED_VALUE"""),"KYAI KONTONG")</f>
        <v>KYAI KONTONG</v>
      </c>
      <c r="D11226" s="186">
        <f>IFERROR(__xludf.DUMMYFUNCTION("""COMPUTED_VALUE"""),3.0)</f>
        <v>3</v>
      </c>
    </row>
    <row r="11227">
      <c r="A11227" s="178" t="str">
        <f>IFERROR(__xludf.DUMMYFUNCTION("""COMPUTED_VALUE"""),"ITBISA-SOCKET-IC-DIP16-NARROW")</f>
        <v>ITBISA-SOCKET-IC-DIP16-NARROW</v>
      </c>
      <c r="B11227" s="266">
        <f>IFERROR(__xludf.DUMMYFUNCTION("""COMPUTED_VALUE"""),44964.0)</f>
        <v>44964</v>
      </c>
      <c r="C11227" s="266" t="str">
        <f>IFERROR(__xludf.DUMMYFUNCTION("""COMPUTED_VALUE"""),"KYAI KONTONG")</f>
        <v>KYAI KONTONG</v>
      </c>
      <c r="D11227" s="186">
        <f>IFERROR(__xludf.DUMMYFUNCTION("""COMPUTED_VALUE"""),10.0)</f>
        <v>10</v>
      </c>
    </row>
    <row r="11228">
      <c r="A11228" s="178" t="str">
        <f>IFERROR(__xludf.DUMMYFUNCTION("""COMPUTED_VALUE"""),"ITBISA-SOCKET-IC-DIP16-NARROW")</f>
        <v>ITBISA-SOCKET-IC-DIP16-NARROW</v>
      </c>
      <c r="B11228" s="266">
        <f>IFERROR(__xludf.DUMMYFUNCTION("""COMPUTED_VALUE"""),44964.0)</f>
        <v>44964</v>
      </c>
      <c r="C11228" s="266" t="str">
        <f>IFERROR(__xludf.DUMMYFUNCTION("""COMPUTED_VALUE"""),"KYAI KONTONG")</f>
        <v>KYAI KONTONG</v>
      </c>
      <c r="D11228" s="186">
        <f>IFERROR(__xludf.DUMMYFUNCTION("""COMPUTED_VALUE"""),77.0)</f>
        <v>77</v>
      </c>
    </row>
    <row r="11229">
      <c r="A11229" s="178" t="str">
        <f>IFERROR(__xludf.DUMMYFUNCTION("""COMPUTED_VALUE"""),"ITBISA-SOCKET-IC-DIP16-NARROW")</f>
        <v>ITBISA-SOCKET-IC-DIP16-NARROW</v>
      </c>
      <c r="B11229" s="266">
        <f>IFERROR(__xludf.DUMMYFUNCTION("""COMPUTED_VALUE"""),44977.0)</f>
        <v>44977</v>
      </c>
      <c r="C11229" s="266" t="str">
        <f>IFERROR(__xludf.DUMMYFUNCTION("""COMPUTED_VALUE"""),"KYAI KONTONG")</f>
        <v>KYAI KONTONG</v>
      </c>
      <c r="D11229" s="186">
        <f>IFERROR(__xludf.DUMMYFUNCTION("""COMPUTED_VALUE"""),15.0)</f>
        <v>15</v>
      </c>
    </row>
    <row r="11230">
      <c r="A11230" s="178" t="str">
        <f>IFERROR(__xludf.DUMMYFUNCTION("""COMPUTED_VALUE"""),"ITBISA-SOCKET-IC-DIP16-NARROW")</f>
        <v>ITBISA-SOCKET-IC-DIP16-NARROW</v>
      </c>
      <c r="B11230" s="266">
        <f>IFERROR(__xludf.DUMMYFUNCTION("""COMPUTED_VALUE"""),44979.0)</f>
        <v>44979</v>
      </c>
      <c r="C11230" s="266" t="str">
        <f>IFERROR(__xludf.DUMMYFUNCTION("""COMPUTED_VALUE"""),"KYAI KONTONG")</f>
        <v>KYAI KONTONG</v>
      </c>
      <c r="D11230" s="186">
        <f>IFERROR(__xludf.DUMMYFUNCTION("""COMPUTED_VALUE"""),2.0)</f>
        <v>2</v>
      </c>
    </row>
    <row r="11231">
      <c r="A11231" s="178" t="str">
        <f>IFERROR(__xludf.DUMMYFUNCTION("""COMPUTED_VALUE"""),"ITBISA-SOCKET-IC-DIP16-NARROW")</f>
        <v>ITBISA-SOCKET-IC-DIP16-NARROW</v>
      </c>
      <c r="B11231" s="266">
        <f>IFERROR(__xludf.DUMMYFUNCTION("""COMPUTED_VALUE"""),44998.0)</f>
        <v>44998</v>
      </c>
      <c r="C11231" s="266" t="str">
        <f>IFERROR(__xludf.DUMMYFUNCTION("""COMPUTED_VALUE"""),"KYAI KONTONG")</f>
        <v>KYAI KONTONG</v>
      </c>
      <c r="D11231" s="186">
        <f>IFERROR(__xludf.DUMMYFUNCTION("""COMPUTED_VALUE"""),20.0)</f>
        <v>20</v>
      </c>
    </row>
    <row r="11232">
      <c r="A11232" s="178" t="str">
        <f>IFERROR(__xludf.DUMMYFUNCTION("""COMPUTED_VALUE"""),"ITBISA-SOCKET-IC-DIP16-NARROW")</f>
        <v>ITBISA-SOCKET-IC-DIP16-NARROW</v>
      </c>
      <c r="B11232" s="266">
        <f>IFERROR(__xludf.DUMMYFUNCTION("""COMPUTED_VALUE"""),45003.0)</f>
        <v>45003</v>
      </c>
      <c r="C11232" s="266" t="str">
        <f>IFERROR(__xludf.DUMMYFUNCTION("""COMPUTED_VALUE"""),"KYAI KONTONG")</f>
        <v>KYAI KONTONG</v>
      </c>
      <c r="D11232" s="186">
        <f>IFERROR(__xludf.DUMMYFUNCTION("""COMPUTED_VALUE"""),2.0)</f>
        <v>2</v>
      </c>
    </row>
    <row r="11233">
      <c r="A11233" s="178" t="str">
        <f>IFERROR(__xludf.DUMMYFUNCTION("""COMPUTED_VALUE"""),"ITBISA-SOCKET-IC-DIP16-NARROW")</f>
        <v>ITBISA-SOCKET-IC-DIP16-NARROW</v>
      </c>
      <c r="B11233" s="266">
        <f>IFERROR(__xludf.DUMMYFUNCTION("""COMPUTED_VALUE"""),45060.0)</f>
        <v>45060</v>
      </c>
      <c r="C11233" s="266" t="str">
        <f>IFERROR(__xludf.DUMMYFUNCTION("""COMPUTED_VALUE"""),"KYAI KONTONG")</f>
        <v>KYAI KONTONG</v>
      </c>
      <c r="D11233" s="186">
        <f>IFERROR(__xludf.DUMMYFUNCTION("""COMPUTED_VALUE"""),25.0)</f>
        <v>25</v>
      </c>
    </row>
    <row r="11234">
      <c r="A11234" s="178" t="str">
        <f>IFERROR(__xludf.DUMMYFUNCTION("""COMPUTED_VALUE"""),"ITBISA-SOCKET-IC-DIP16-NARROW")</f>
        <v>ITBISA-SOCKET-IC-DIP16-NARROW</v>
      </c>
      <c r="B11234" s="266">
        <f>IFERROR(__xludf.DUMMYFUNCTION("""COMPUTED_VALUE"""),45061.0)</f>
        <v>45061</v>
      </c>
      <c r="C11234" s="266" t="str">
        <f>IFERROR(__xludf.DUMMYFUNCTION("""COMPUTED_VALUE"""),"KYAI KONTONG")</f>
        <v>KYAI KONTONG</v>
      </c>
      <c r="D11234" s="186">
        <f>IFERROR(__xludf.DUMMYFUNCTION("""COMPUTED_VALUE"""),10.0)</f>
        <v>10</v>
      </c>
    </row>
    <row r="11235">
      <c r="A11235" s="178" t="str">
        <f>IFERROR(__xludf.DUMMYFUNCTION("""COMPUTED_VALUE"""),"ITBISA-SOCKET-IC-DIP16-NARROW")</f>
        <v>ITBISA-SOCKET-IC-DIP16-NARROW</v>
      </c>
      <c r="B11235" s="266">
        <f>IFERROR(__xludf.DUMMYFUNCTION("""COMPUTED_VALUE"""),45078.0)</f>
        <v>45078</v>
      </c>
      <c r="C11235" s="266" t="str">
        <f>IFERROR(__xludf.DUMMYFUNCTION("""COMPUTED_VALUE"""),"KYAI KONTONG")</f>
        <v>KYAI KONTONG</v>
      </c>
      <c r="D11235" s="186">
        <f>IFERROR(__xludf.DUMMYFUNCTION("""COMPUTED_VALUE"""),20.0)</f>
        <v>20</v>
      </c>
    </row>
    <row r="11236">
      <c r="A11236" s="178" t="str">
        <f>IFERROR(__xludf.DUMMYFUNCTION("""COMPUTED_VALUE"""),"ITBISA-SOCKET-IC-DIP16-NARROW")</f>
        <v>ITBISA-SOCKET-IC-DIP16-NARROW</v>
      </c>
      <c r="B11236" s="266">
        <f>IFERROR(__xludf.DUMMYFUNCTION("""COMPUTED_VALUE"""),45089.0)</f>
        <v>45089</v>
      </c>
      <c r="C11236" s="266" t="str">
        <f>IFERROR(__xludf.DUMMYFUNCTION("""COMPUTED_VALUE"""),"KYAI KONTONG")</f>
        <v>KYAI KONTONG</v>
      </c>
      <c r="D11236" s="186">
        <f>IFERROR(__xludf.DUMMYFUNCTION("""COMPUTED_VALUE"""),12.0)</f>
        <v>12</v>
      </c>
    </row>
    <row r="11237">
      <c r="A11237" s="178" t="str">
        <f>IFERROR(__xludf.DUMMYFUNCTION("""COMPUTED_VALUE"""),"ITBISA-SOCKET-IC-DIP16-NARROW")</f>
        <v>ITBISA-SOCKET-IC-DIP16-NARROW</v>
      </c>
      <c r="B11237" s="266">
        <f>IFERROR(__xludf.DUMMYFUNCTION("""COMPUTED_VALUE"""),45117.0)</f>
        <v>45117</v>
      </c>
      <c r="C11237" s="266" t="str">
        <f>IFERROR(__xludf.DUMMYFUNCTION("""COMPUTED_VALUE"""),"KYAI KONTONG")</f>
        <v>KYAI KONTONG</v>
      </c>
      <c r="D11237" s="186">
        <f>IFERROR(__xludf.DUMMYFUNCTION("""COMPUTED_VALUE"""),25.0)</f>
        <v>25</v>
      </c>
    </row>
    <row r="11238">
      <c r="A11238" s="178" t="str">
        <f>IFERROR(__xludf.DUMMYFUNCTION("""COMPUTED_VALUE"""),"ITBISA-SOCKET-IC-DIP16-NARROW")</f>
        <v>ITBISA-SOCKET-IC-DIP16-NARROW</v>
      </c>
      <c r="B11238" s="266">
        <f>IFERROR(__xludf.DUMMYFUNCTION("""COMPUTED_VALUE"""),45132.0)</f>
        <v>45132</v>
      </c>
      <c r="C11238" s="266" t="str">
        <f>IFERROR(__xludf.DUMMYFUNCTION("""COMPUTED_VALUE"""),"KYAI KONTONG")</f>
        <v>KYAI KONTONG</v>
      </c>
      <c r="D11238" s="186">
        <f>IFERROR(__xludf.DUMMYFUNCTION("""COMPUTED_VALUE"""),10.0)</f>
        <v>10</v>
      </c>
    </row>
    <row r="11239">
      <c r="A11239" s="178" t="str">
        <f>IFERROR(__xludf.DUMMYFUNCTION("""COMPUTED_VALUE"""),"ITBISA-SOCKET-IC-DIP16-NARROW")</f>
        <v>ITBISA-SOCKET-IC-DIP16-NARROW</v>
      </c>
      <c r="B11239" s="266">
        <f>IFERROR(__xludf.DUMMYFUNCTION("""COMPUTED_VALUE"""),45169.0)</f>
        <v>45169</v>
      </c>
      <c r="C11239" s="266" t="str">
        <f>IFERROR(__xludf.DUMMYFUNCTION("""COMPUTED_VALUE"""),"KYAI KONTONG")</f>
        <v>KYAI KONTONG</v>
      </c>
      <c r="D11239" s="186">
        <f>IFERROR(__xludf.DUMMYFUNCTION("""COMPUTED_VALUE"""),10.0)</f>
        <v>10</v>
      </c>
    </row>
    <row r="11240">
      <c r="A11240" s="178" t="str">
        <f>IFERROR(__xludf.DUMMYFUNCTION("""COMPUTED_VALUE"""),"ITBISA-SOCKET-IC-DIP16-NARROW")</f>
        <v>ITBISA-SOCKET-IC-DIP16-NARROW</v>
      </c>
      <c r="B11240" s="266">
        <f>IFERROR(__xludf.DUMMYFUNCTION("""COMPUTED_VALUE"""),45177.0)</f>
        <v>45177</v>
      </c>
      <c r="C11240" s="266" t="str">
        <f>IFERROR(__xludf.DUMMYFUNCTION("""COMPUTED_VALUE"""),"KYAI KONTONG")</f>
        <v>KYAI KONTONG</v>
      </c>
      <c r="D11240" s="186">
        <f>IFERROR(__xludf.DUMMYFUNCTION("""COMPUTED_VALUE"""),4.0)</f>
        <v>4</v>
      </c>
    </row>
    <row r="11241">
      <c r="A11241" s="178" t="str">
        <f>IFERROR(__xludf.DUMMYFUNCTION("""COMPUTED_VALUE"""),"ITBISA-SOCKET-IC-DIP16-NARROW")</f>
        <v>ITBISA-SOCKET-IC-DIP16-NARROW</v>
      </c>
      <c r="B11241" s="266">
        <f>IFERROR(__xludf.DUMMYFUNCTION("""COMPUTED_VALUE"""),45183.0)</f>
        <v>45183</v>
      </c>
      <c r="C11241" s="266" t="str">
        <f>IFERROR(__xludf.DUMMYFUNCTION("""COMPUTED_VALUE"""),"KYAI KONTONG")</f>
        <v>KYAI KONTONG</v>
      </c>
      <c r="D11241" s="186">
        <f>IFERROR(__xludf.DUMMYFUNCTION("""COMPUTED_VALUE"""),10.0)</f>
        <v>10</v>
      </c>
    </row>
    <row r="11242">
      <c r="A11242" s="178" t="str">
        <f>IFERROR(__xludf.DUMMYFUNCTION("""COMPUTED_VALUE"""),"ITBISA-SOCKET-IC-DIP16-NARROW")</f>
        <v>ITBISA-SOCKET-IC-DIP16-NARROW</v>
      </c>
      <c r="B11242" s="266">
        <f>IFERROR(__xludf.DUMMYFUNCTION("""COMPUTED_VALUE"""),45189.0)</f>
        <v>45189</v>
      </c>
      <c r="C11242" s="266" t="str">
        <f>IFERROR(__xludf.DUMMYFUNCTION("""COMPUTED_VALUE"""),"KYAI KONTONG")</f>
        <v>KYAI KONTONG</v>
      </c>
      <c r="D11242" s="186">
        <f>IFERROR(__xludf.DUMMYFUNCTION("""COMPUTED_VALUE"""),20.0)</f>
        <v>20</v>
      </c>
    </row>
    <row r="11243">
      <c r="A11243" s="178" t="str">
        <f>IFERROR(__xludf.DUMMYFUNCTION("""COMPUTED_VALUE"""),"ITBISA-SOCKET-IC-DIP16-NARROW")</f>
        <v>ITBISA-SOCKET-IC-DIP16-NARROW</v>
      </c>
      <c r="B11243" s="266">
        <f>IFERROR(__xludf.DUMMYFUNCTION("""COMPUTED_VALUE"""),45190.0)</f>
        <v>45190</v>
      </c>
      <c r="C11243" s="266" t="str">
        <f>IFERROR(__xludf.DUMMYFUNCTION("""COMPUTED_VALUE"""),"KYAI KONTONG")</f>
        <v>KYAI KONTONG</v>
      </c>
      <c r="D11243" s="186">
        <f>IFERROR(__xludf.DUMMYFUNCTION("""COMPUTED_VALUE"""),2.0)</f>
        <v>2</v>
      </c>
    </row>
    <row r="11244">
      <c r="A11244" s="178" t="str">
        <f>IFERROR(__xludf.DUMMYFUNCTION("""COMPUTED_VALUE"""),"ITBISA-SOCKET-IC-DIP16-NARROW")</f>
        <v>ITBISA-SOCKET-IC-DIP16-NARROW</v>
      </c>
      <c r="B11244" s="266">
        <f>IFERROR(__xludf.DUMMYFUNCTION("""COMPUTED_VALUE"""),45192.0)</f>
        <v>45192</v>
      </c>
      <c r="C11244" s="266" t="str">
        <f>IFERROR(__xludf.DUMMYFUNCTION("""COMPUTED_VALUE"""),"KYAI KONTONG")</f>
        <v>KYAI KONTONG</v>
      </c>
      <c r="D11244" s="186">
        <f>IFERROR(__xludf.DUMMYFUNCTION("""COMPUTED_VALUE"""),2.0)</f>
        <v>2</v>
      </c>
    </row>
    <row r="11245">
      <c r="A11245" s="178" t="str">
        <f>IFERROR(__xludf.DUMMYFUNCTION("""COMPUTED_VALUE"""),"ITBISA-SOCKET-IC-DIP16-NARROW")</f>
        <v>ITBISA-SOCKET-IC-DIP16-NARROW</v>
      </c>
      <c r="B11245" s="266">
        <f>IFERROR(__xludf.DUMMYFUNCTION("""COMPUTED_VALUE"""),45192.0)</f>
        <v>45192</v>
      </c>
      <c r="C11245" s="266" t="str">
        <f>IFERROR(__xludf.DUMMYFUNCTION("""COMPUTED_VALUE"""),"KYAI KONTONG")</f>
        <v>KYAI KONTONG</v>
      </c>
      <c r="D11245" s="186">
        <f>IFERROR(__xludf.DUMMYFUNCTION("""COMPUTED_VALUE"""),2.0)</f>
        <v>2</v>
      </c>
    </row>
    <row r="11246">
      <c r="A11246" s="178" t="str">
        <f>IFERROR(__xludf.DUMMYFUNCTION("""COMPUTED_VALUE"""),"ITBISA-SOCKET-IC-DIP16-NARROW")</f>
        <v>ITBISA-SOCKET-IC-DIP16-NARROW</v>
      </c>
      <c r="B11246" s="266">
        <f>IFERROR(__xludf.DUMMYFUNCTION("""COMPUTED_VALUE"""),45198.0)</f>
        <v>45198</v>
      </c>
      <c r="C11246" s="266" t="str">
        <f>IFERROR(__xludf.DUMMYFUNCTION("""COMPUTED_VALUE"""),"KYAI KONTONG")</f>
        <v>KYAI KONTONG</v>
      </c>
      <c r="D11246" s="186">
        <f>IFERROR(__xludf.DUMMYFUNCTION("""COMPUTED_VALUE"""),2.0)</f>
        <v>2</v>
      </c>
    </row>
    <row r="11247">
      <c r="A11247" s="178" t="str">
        <f>IFERROR(__xludf.DUMMYFUNCTION("""COMPUTED_VALUE"""),"ITBISA-SOCKET-IC-DIP16-NARROW")</f>
        <v>ITBISA-SOCKET-IC-DIP16-NARROW</v>
      </c>
      <c r="B11247" s="266">
        <f>IFERROR(__xludf.DUMMYFUNCTION("""COMPUTED_VALUE"""),45209.0)</f>
        <v>45209</v>
      </c>
      <c r="C11247" s="266" t="str">
        <f>IFERROR(__xludf.DUMMYFUNCTION("""COMPUTED_VALUE"""),"KYAI KONTONG")</f>
        <v>KYAI KONTONG</v>
      </c>
      <c r="D11247" s="186">
        <f>IFERROR(__xludf.DUMMYFUNCTION("""COMPUTED_VALUE"""),10.0)</f>
        <v>10</v>
      </c>
    </row>
    <row r="11248">
      <c r="A11248" s="178" t="str">
        <f>IFERROR(__xludf.DUMMYFUNCTION("""COMPUTED_VALUE"""),"ITBISA-SOCKET-IC-DIP16-NARROW")</f>
        <v>ITBISA-SOCKET-IC-DIP16-NARROW</v>
      </c>
      <c r="B11248" s="266">
        <f>IFERROR(__xludf.DUMMYFUNCTION("""COMPUTED_VALUE"""),45210.0)</f>
        <v>45210</v>
      </c>
      <c r="C11248" s="266" t="str">
        <f>IFERROR(__xludf.DUMMYFUNCTION("""COMPUTED_VALUE"""),"KYAI KONTONG")</f>
        <v>KYAI KONTONG</v>
      </c>
      <c r="D11248" s="186">
        <f>IFERROR(__xludf.DUMMYFUNCTION("""COMPUTED_VALUE"""),2.0)</f>
        <v>2</v>
      </c>
    </row>
    <row r="11249">
      <c r="A11249" s="178" t="str">
        <f>IFERROR(__xludf.DUMMYFUNCTION("""COMPUTED_VALUE"""),"ITBISA-SOCKET-IC-DIP16-NARROW")</f>
        <v>ITBISA-SOCKET-IC-DIP16-NARROW</v>
      </c>
      <c r="B11249" s="266">
        <f>IFERROR(__xludf.DUMMYFUNCTION("""COMPUTED_VALUE"""),45211.0)</f>
        <v>45211</v>
      </c>
      <c r="C11249" s="266" t="str">
        <f>IFERROR(__xludf.DUMMYFUNCTION("""COMPUTED_VALUE"""),"KYAI KONTONG")</f>
        <v>KYAI KONTONG</v>
      </c>
      <c r="D11249" s="186">
        <f>IFERROR(__xludf.DUMMYFUNCTION("""COMPUTED_VALUE"""),10.0)</f>
        <v>10</v>
      </c>
    </row>
    <row r="11250">
      <c r="A11250" s="178" t="str">
        <f>IFERROR(__xludf.DUMMYFUNCTION("""COMPUTED_VALUE"""),"ITBISA-SOCKET-IC-DIP16-NARROW")</f>
        <v>ITBISA-SOCKET-IC-DIP16-NARROW</v>
      </c>
      <c r="B11250" s="266">
        <f>IFERROR(__xludf.DUMMYFUNCTION("""COMPUTED_VALUE"""),45303.0)</f>
        <v>45303</v>
      </c>
      <c r="C11250" s="266" t="str">
        <f>IFERROR(__xludf.DUMMYFUNCTION("""COMPUTED_VALUE"""),"KYAI KONTONG")</f>
        <v>KYAI KONTONG</v>
      </c>
      <c r="D11250" s="186">
        <f>IFERROR(__xludf.DUMMYFUNCTION("""COMPUTED_VALUE"""),3.0)</f>
        <v>3</v>
      </c>
    </row>
    <row r="11251">
      <c r="A11251" s="178" t="str">
        <f>IFERROR(__xludf.DUMMYFUNCTION("""COMPUTED_VALUE"""),"ITBISA-SOCKET-IC-DIP16-NARROW")</f>
        <v>ITBISA-SOCKET-IC-DIP16-NARROW</v>
      </c>
      <c r="B11251" s="266">
        <f>IFERROR(__xludf.DUMMYFUNCTION("""COMPUTED_VALUE"""),45328.0)</f>
        <v>45328</v>
      </c>
      <c r="C11251" s="266" t="str">
        <f>IFERROR(__xludf.DUMMYFUNCTION("""COMPUTED_VALUE"""),"KYAI KONTONG")</f>
        <v>KYAI KONTONG</v>
      </c>
      <c r="D11251" s="186">
        <f>IFERROR(__xludf.DUMMYFUNCTION("""COMPUTED_VALUE"""),75.0)</f>
        <v>75</v>
      </c>
    </row>
    <row r="11252">
      <c r="A11252" s="178" t="str">
        <f>IFERROR(__xludf.DUMMYFUNCTION("""COMPUTED_VALUE"""),"ITBISA-SOCKET-IC-DIP16-NARROW")</f>
        <v>ITBISA-SOCKET-IC-DIP16-NARROW</v>
      </c>
      <c r="B11252" s="266">
        <f>IFERROR(__xludf.DUMMYFUNCTION("""COMPUTED_VALUE"""),45412.0)</f>
        <v>45412</v>
      </c>
      <c r="C11252" s="266" t="str">
        <f>IFERROR(__xludf.DUMMYFUNCTION("""COMPUTED_VALUE"""),"KYAI KONTONG")</f>
        <v>KYAI KONTONG</v>
      </c>
      <c r="D11252" s="186">
        <f>IFERROR(__xludf.DUMMYFUNCTION("""COMPUTED_VALUE"""),20.0)</f>
        <v>20</v>
      </c>
    </row>
    <row r="11253">
      <c r="A11253" s="178" t="str">
        <f>IFERROR(__xludf.DUMMYFUNCTION("""COMPUTED_VALUE"""),"ITBISA-SOCKET-IC-DIP16-NARROW")</f>
        <v>ITBISA-SOCKET-IC-DIP16-NARROW</v>
      </c>
      <c r="B11253" s="266">
        <f>IFERROR(__xludf.DUMMYFUNCTION("""COMPUTED_VALUE"""),45412.0)</f>
        <v>45412</v>
      </c>
      <c r="C11253" s="266" t="str">
        <f>IFERROR(__xludf.DUMMYFUNCTION("""COMPUTED_VALUE"""),"KYAI KONTONG")</f>
        <v>KYAI KONTONG</v>
      </c>
      <c r="D11253" s="186">
        <f>IFERROR(__xludf.DUMMYFUNCTION("""COMPUTED_VALUE"""),140.0)</f>
        <v>140</v>
      </c>
    </row>
    <row r="11254">
      <c r="A11254" s="178" t="str">
        <f>IFERROR(__xludf.DUMMYFUNCTION("""COMPUTED_VALUE"""),"ITBISA-SOCKET-IC-DIP16-NARROW")</f>
        <v>ITBISA-SOCKET-IC-DIP16-NARROW</v>
      </c>
      <c r="B11254" s="266">
        <f>IFERROR(__xludf.DUMMYFUNCTION("""COMPUTED_VALUE"""),45419.0)</f>
        <v>45419</v>
      </c>
      <c r="C11254" s="266" t="str">
        <f>IFERROR(__xludf.DUMMYFUNCTION("""COMPUTED_VALUE"""),"KERTASARI CIAMIS")</f>
        <v>KERTASARI CIAMIS</v>
      </c>
      <c r="D11254" s="186">
        <f>IFERROR(__xludf.DUMMYFUNCTION("""COMPUTED_VALUE"""),150.0)</f>
        <v>150</v>
      </c>
    </row>
    <row r="11255">
      <c r="A11255" s="178" t="str">
        <f>IFERROR(__xludf.DUMMYFUNCTION("""COMPUTED_VALUE"""),"ITBISA-SOCKET-IC-DIP16-NARROW")</f>
        <v>ITBISA-SOCKET-IC-DIP16-NARROW</v>
      </c>
      <c r="B11255" s="266">
        <f>IFERROR(__xludf.DUMMYFUNCTION("""COMPUTED_VALUE"""),45431.0)</f>
        <v>45431</v>
      </c>
      <c r="C11255" s="266" t="str">
        <f>IFERROR(__xludf.DUMMYFUNCTION("""COMPUTED_VALUE"""),"KYAI KONTONG")</f>
        <v>KYAI KONTONG</v>
      </c>
      <c r="D11255" s="186">
        <f>IFERROR(__xludf.DUMMYFUNCTION("""COMPUTED_VALUE"""),10.0)</f>
        <v>10</v>
      </c>
    </row>
    <row r="11256">
      <c r="A11256" s="178" t="str">
        <f>IFERROR(__xludf.DUMMYFUNCTION("""COMPUTED_VALUE"""),"ITBISA-SOCKET-IC-DIP16-NARROW")</f>
        <v>ITBISA-SOCKET-IC-DIP16-NARROW</v>
      </c>
      <c r="B11256" s="266">
        <f>IFERROR(__xludf.DUMMYFUNCTION("""COMPUTED_VALUE"""),45432.0)</f>
        <v>45432</v>
      </c>
      <c r="C11256" s="266" t="str">
        <f>IFERROR(__xludf.DUMMYFUNCTION("""COMPUTED_VALUE"""),"KYAI KONTONG")</f>
        <v>KYAI KONTONG</v>
      </c>
      <c r="D11256" s="186">
        <f>IFERROR(__xludf.DUMMYFUNCTION("""COMPUTED_VALUE"""),20.0)</f>
        <v>20</v>
      </c>
    </row>
    <row r="11257">
      <c r="A11257" s="178" t="str">
        <f>IFERROR(__xludf.DUMMYFUNCTION("""COMPUTED_VALUE"""),"ITBISA-SOCKET-IC-DIP16-NARROW")</f>
        <v>ITBISA-SOCKET-IC-DIP16-NARROW</v>
      </c>
      <c r="B11257" s="266">
        <f>IFERROR(__xludf.DUMMYFUNCTION("""COMPUTED_VALUE"""),45438.0)</f>
        <v>45438</v>
      </c>
      <c r="C11257" s="266" t="str">
        <f>IFERROR(__xludf.DUMMYFUNCTION("""COMPUTED_VALUE"""),"KERTASARI CIAMIS")</f>
        <v>KERTASARI CIAMIS</v>
      </c>
      <c r="D11257" s="186">
        <f>IFERROR(__xludf.DUMMYFUNCTION("""COMPUTED_VALUE"""),10.0)</f>
        <v>10</v>
      </c>
    </row>
    <row r="11258">
      <c r="A11258" s="178" t="str">
        <f>IFERROR(__xludf.DUMMYFUNCTION("""COMPUTED_VALUE"""),"ITBISA-SOCKET-IC-DIP16-NARROW")</f>
        <v>ITBISA-SOCKET-IC-DIP16-NARROW</v>
      </c>
      <c r="B11258" s="266">
        <f>IFERROR(__xludf.DUMMYFUNCTION("""COMPUTED_VALUE"""),45439.0)</f>
        <v>45439</v>
      </c>
      <c r="C11258" s="266" t="str">
        <f>IFERROR(__xludf.DUMMYFUNCTION("""COMPUTED_VALUE"""),"KERTASARI CIAMIS")</f>
        <v>KERTASARI CIAMIS</v>
      </c>
      <c r="D11258" s="186">
        <f>IFERROR(__xludf.DUMMYFUNCTION("""COMPUTED_VALUE"""),8.0)</f>
        <v>8</v>
      </c>
    </row>
    <row r="11259">
      <c r="A11259" s="178" t="str">
        <f>IFERROR(__xludf.DUMMYFUNCTION("""COMPUTED_VALUE"""),"ITBISA-SOCKET-IC-DIP16-NARROW")</f>
        <v>ITBISA-SOCKET-IC-DIP16-NARROW</v>
      </c>
      <c r="B11259" s="266">
        <f>IFERROR(__xludf.DUMMYFUNCTION("""COMPUTED_VALUE"""),45440.0)</f>
        <v>45440</v>
      </c>
      <c r="C11259" s="266" t="str">
        <f>IFERROR(__xludf.DUMMYFUNCTION("""COMPUTED_VALUE"""),"KERTASARI CIAMIS")</f>
        <v>KERTASARI CIAMIS</v>
      </c>
      <c r="D11259" s="186">
        <f>IFERROR(__xludf.DUMMYFUNCTION("""COMPUTED_VALUE"""),150.0)</f>
        <v>150</v>
      </c>
    </row>
    <row r="11260">
      <c r="A11260" s="178" t="str">
        <f>IFERROR(__xludf.DUMMYFUNCTION("""COMPUTED_VALUE"""),"ITBISA-SOCKET-IC-DIP16-NARROW")</f>
        <v>ITBISA-SOCKET-IC-DIP16-NARROW</v>
      </c>
      <c r="B11260" s="266">
        <f>IFERROR(__xludf.DUMMYFUNCTION("""COMPUTED_VALUE"""),45443.0)</f>
        <v>45443</v>
      </c>
      <c r="C11260" s="266" t="str">
        <f>IFERROR(__xludf.DUMMYFUNCTION("""COMPUTED_VALUE"""),"KYAI KONTONG")</f>
        <v>KYAI KONTONG</v>
      </c>
      <c r="D11260" s="186">
        <f>IFERROR(__xludf.DUMMYFUNCTION("""COMPUTED_VALUE"""),5.0)</f>
        <v>5</v>
      </c>
    </row>
    <row r="11261">
      <c r="A11261" s="178" t="str">
        <f>IFERROR(__xludf.DUMMYFUNCTION("""COMPUTED_VALUE"""),"ITBISA-SOCKET-IC-DIP16-NARROW")</f>
        <v>ITBISA-SOCKET-IC-DIP16-NARROW</v>
      </c>
      <c r="B11261" s="266">
        <f>IFERROR(__xludf.DUMMYFUNCTION("""COMPUTED_VALUE"""),45444.0)</f>
        <v>45444</v>
      </c>
      <c r="C11261" s="266" t="str">
        <f>IFERROR(__xludf.DUMMYFUNCTION("""COMPUTED_VALUE"""),"KERTASARI CIAMIS")</f>
        <v>KERTASARI CIAMIS</v>
      </c>
      <c r="D11261" s="186">
        <f>IFERROR(__xludf.DUMMYFUNCTION("""COMPUTED_VALUE"""),5.0)</f>
        <v>5</v>
      </c>
    </row>
    <row r="11262">
      <c r="A11262" s="178" t="str">
        <f>IFERROR(__xludf.DUMMYFUNCTION("""COMPUTED_VALUE"""),"ITBISA-SOCKET-IC-DIP16-NARROW")</f>
        <v>ITBISA-SOCKET-IC-DIP16-NARROW</v>
      </c>
      <c r="B11262" s="266">
        <f>IFERROR(__xludf.DUMMYFUNCTION("""COMPUTED_VALUE"""),45446.0)</f>
        <v>45446</v>
      </c>
      <c r="C11262" s="266" t="str">
        <f>IFERROR(__xludf.DUMMYFUNCTION("""COMPUTED_VALUE"""),"KERTASARI CIAMIS")</f>
        <v>KERTASARI CIAMIS</v>
      </c>
      <c r="D11262" s="186">
        <f>IFERROR(__xludf.DUMMYFUNCTION("""COMPUTED_VALUE"""),10.0)</f>
        <v>10</v>
      </c>
    </row>
    <row r="11263">
      <c r="A11263" s="178" t="str">
        <f>IFERROR(__xludf.DUMMYFUNCTION("""COMPUTED_VALUE"""),"ITBISA-SOCKET-IC-DIP16-NARROW")</f>
        <v>ITBISA-SOCKET-IC-DIP16-NARROW</v>
      </c>
      <c r="B11263" s="266">
        <f>IFERROR(__xludf.DUMMYFUNCTION("""COMPUTED_VALUE"""),45447.0)</f>
        <v>45447</v>
      </c>
      <c r="C11263" s="266" t="str">
        <f>IFERROR(__xludf.DUMMYFUNCTION("""COMPUTED_VALUE"""),"KYAI KONTONG")</f>
        <v>KYAI KONTONG</v>
      </c>
      <c r="D11263" s="186">
        <f>IFERROR(__xludf.DUMMYFUNCTION("""COMPUTED_VALUE"""),240.0)</f>
        <v>240</v>
      </c>
    </row>
    <row r="11264">
      <c r="A11264" s="178" t="str">
        <f>IFERROR(__xludf.DUMMYFUNCTION("""COMPUTED_VALUE"""),"ITBISA-SOCKET-IC-DIP16-NARROW")</f>
        <v>ITBISA-SOCKET-IC-DIP16-NARROW</v>
      </c>
      <c r="B11264" s="266">
        <f>IFERROR(__xludf.DUMMYFUNCTION("""COMPUTED_VALUE"""),45453.0)</f>
        <v>45453</v>
      </c>
      <c r="C11264" s="266" t="str">
        <f>IFERROR(__xludf.DUMMYFUNCTION("""COMPUTED_VALUE"""),"KERTASARI CIAMIS")</f>
        <v>KERTASARI CIAMIS</v>
      </c>
      <c r="D11264" s="186">
        <f>IFERROR(__xludf.DUMMYFUNCTION("""COMPUTED_VALUE"""),200.0)</f>
        <v>200</v>
      </c>
    </row>
    <row r="11265">
      <c r="A11265" s="178" t="str">
        <f>IFERROR(__xludf.DUMMYFUNCTION("""COMPUTED_VALUE"""),"ITBISA-SOCKET-IC-DIP16-NARROW")</f>
        <v>ITBISA-SOCKET-IC-DIP16-NARROW</v>
      </c>
      <c r="B11265" s="266">
        <f>IFERROR(__xludf.DUMMYFUNCTION("""COMPUTED_VALUE"""),45456.0)</f>
        <v>45456</v>
      </c>
      <c r="C11265" s="266" t="str">
        <f>IFERROR(__xludf.DUMMYFUNCTION("""COMPUTED_VALUE"""),"KERTASARI CIAMIS")</f>
        <v>KERTASARI CIAMIS</v>
      </c>
      <c r="D11265" s="186">
        <f>IFERROR(__xludf.DUMMYFUNCTION("""COMPUTED_VALUE"""),100.0)</f>
        <v>100</v>
      </c>
    </row>
    <row r="11266">
      <c r="A11266" s="178" t="str">
        <f>IFERROR(__xludf.DUMMYFUNCTION("""COMPUTED_VALUE"""),"ITBISA-SOCKET-IC-DIP16-NARROW")</f>
        <v>ITBISA-SOCKET-IC-DIP16-NARROW</v>
      </c>
      <c r="B11266" s="266">
        <f>IFERROR(__xludf.DUMMYFUNCTION("""COMPUTED_VALUE"""),45458.0)</f>
        <v>45458</v>
      </c>
      <c r="C11266" s="266" t="str">
        <f>IFERROR(__xludf.DUMMYFUNCTION("""COMPUTED_VALUE"""),"KYAI KONTONG")</f>
        <v>KYAI KONTONG</v>
      </c>
      <c r="D11266" s="186">
        <f>IFERROR(__xludf.DUMMYFUNCTION("""COMPUTED_VALUE"""),10.0)</f>
        <v>10</v>
      </c>
    </row>
    <row r="11267">
      <c r="A11267" s="178" t="str">
        <f>IFERROR(__xludf.DUMMYFUNCTION("""COMPUTED_VALUE"""),"ITBISA-SOCKET-IC-DIP16-NARROW")</f>
        <v>ITBISA-SOCKET-IC-DIP16-NARROW</v>
      </c>
      <c r="B11267" s="266">
        <f>IFERROR(__xludf.DUMMYFUNCTION("""COMPUTED_VALUE"""),45461.0)</f>
        <v>45461</v>
      </c>
      <c r="C11267" s="266" t="str">
        <f>IFERROR(__xludf.DUMMYFUNCTION("""COMPUTED_VALUE"""),"KERTASARI CIAMIS")</f>
        <v>KERTASARI CIAMIS</v>
      </c>
      <c r="D11267" s="186">
        <f>IFERROR(__xludf.DUMMYFUNCTION("""COMPUTED_VALUE"""),10.0)</f>
        <v>10</v>
      </c>
    </row>
    <row r="11268">
      <c r="A11268" s="178" t="str">
        <f>IFERROR(__xludf.DUMMYFUNCTION("""COMPUTED_VALUE"""),"ITBISA-SOCKET-IC-DIP16-NARROW")</f>
        <v>ITBISA-SOCKET-IC-DIP16-NARROW</v>
      </c>
      <c r="B11268" s="266">
        <f>IFERROR(__xludf.DUMMYFUNCTION("""COMPUTED_VALUE"""),45462.0)</f>
        <v>45462</v>
      </c>
      <c r="C11268" s="266" t="str">
        <f>IFERROR(__xludf.DUMMYFUNCTION("""COMPUTED_VALUE"""),"KERTASARI CIAMIS")</f>
        <v>KERTASARI CIAMIS</v>
      </c>
      <c r="D11268" s="186">
        <f>IFERROR(__xludf.DUMMYFUNCTION("""COMPUTED_VALUE"""),90.0)</f>
        <v>90</v>
      </c>
    </row>
    <row r="11269">
      <c r="A11269" s="178" t="str">
        <f>IFERROR(__xludf.DUMMYFUNCTION("""COMPUTED_VALUE"""),"ITBISA-SOCKET-IC-DIP16-NARROW")</f>
        <v>ITBISA-SOCKET-IC-DIP16-NARROW</v>
      </c>
      <c r="B11269" s="266">
        <f>IFERROR(__xludf.DUMMYFUNCTION("""COMPUTED_VALUE"""),45463.0)</f>
        <v>45463</v>
      </c>
      <c r="C11269" s="266" t="str">
        <f>IFERROR(__xludf.DUMMYFUNCTION("""COMPUTED_VALUE"""),"KERTASARI CIAMIS")</f>
        <v>KERTASARI CIAMIS</v>
      </c>
      <c r="D11269" s="186">
        <f>IFERROR(__xludf.DUMMYFUNCTION("""COMPUTED_VALUE"""),200.0)</f>
        <v>200</v>
      </c>
    </row>
    <row r="11270">
      <c r="A11270" s="178" t="str">
        <f>IFERROR(__xludf.DUMMYFUNCTION("""COMPUTED_VALUE"""),"ITBISA-SOCKET-IC-DIP16-NARROW")</f>
        <v>ITBISA-SOCKET-IC-DIP16-NARROW</v>
      </c>
      <c r="B11270" s="266">
        <f>IFERROR(__xludf.DUMMYFUNCTION("""COMPUTED_VALUE"""),45467.0)</f>
        <v>45467</v>
      </c>
      <c r="C11270" s="266" t="str">
        <f>IFERROR(__xludf.DUMMYFUNCTION("""COMPUTED_VALUE"""),"KYAI KONTONG")</f>
        <v>KYAI KONTONG</v>
      </c>
      <c r="D11270" s="186">
        <f>IFERROR(__xludf.DUMMYFUNCTION("""COMPUTED_VALUE"""),10.0)</f>
        <v>10</v>
      </c>
    </row>
    <row r="11271">
      <c r="A11271" s="178" t="str">
        <f>IFERROR(__xludf.DUMMYFUNCTION("""COMPUTED_VALUE"""),"ITBISA-SOCKET-IC-DIP16-NARROW")</f>
        <v>ITBISA-SOCKET-IC-DIP16-NARROW</v>
      </c>
      <c r="B11271" s="266">
        <f>IFERROR(__xludf.DUMMYFUNCTION("""COMPUTED_VALUE"""),45472.0)</f>
        <v>45472</v>
      </c>
      <c r="C11271" s="266" t="str">
        <f>IFERROR(__xludf.DUMMYFUNCTION("""COMPUTED_VALUE"""),"KERTASARI CIAMIS")</f>
        <v>KERTASARI CIAMIS</v>
      </c>
      <c r="D11271" s="186">
        <f>IFERROR(__xludf.DUMMYFUNCTION("""COMPUTED_VALUE"""),5.0)</f>
        <v>5</v>
      </c>
    </row>
    <row r="11272">
      <c r="A11272" s="178" t="str">
        <f>IFERROR(__xludf.DUMMYFUNCTION("""COMPUTED_VALUE"""),"ITBISA-SOCKET-IC-DIP16-NARROW")</f>
        <v>ITBISA-SOCKET-IC-DIP16-NARROW</v>
      </c>
      <c r="B11272" s="266">
        <f>IFERROR(__xludf.DUMMYFUNCTION("""COMPUTED_VALUE"""),45473.0)</f>
        <v>45473</v>
      </c>
      <c r="C11272" s="266" t="str">
        <f>IFERROR(__xludf.DUMMYFUNCTION("""COMPUTED_VALUE"""),"KERTASARI CIAMIS")</f>
        <v>KERTASARI CIAMIS</v>
      </c>
      <c r="D11272" s="186">
        <f>IFERROR(__xludf.DUMMYFUNCTION("""COMPUTED_VALUE"""),40.0)</f>
        <v>40</v>
      </c>
    </row>
    <row r="11273">
      <c r="A11273" s="178" t="str">
        <f>IFERROR(__xludf.DUMMYFUNCTION("""COMPUTED_VALUE"""),"ITBISA-SOCKET-IC-DIP16-NARROW")</f>
        <v>ITBISA-SOCKET-IC-DIP16-NARROW</v>
      </c>
      <c r="B11273" s="266">
        <f>IFERROR(__xludf.DUMMYFUNCTION("""COMPUTED_VALUE"""),45473.0)</f>
        <v>45473</v>
      </c>
      <c r="C11273" s="266" t="str">
        <f>IFERROR(__xludf.DUMMYFUNCTION("""COMPUTED_VALUE"""),"KERTASARI CIAMIS")</f>
        <v>KERTASARI CIAMIS</v>
      </c>
      <c r="D11273" s="186">
        <f>IFERROR(__xludf.DUMMYFUNCTION("""COMPUTED_VALUE"""),200.0)</f>
        <v>200</v>
      </c>
    </row>
    <row r="11274">
      <c r="A11274" s="178" t="str">
        <f>IFERROR(__xludf.DUMMYFUNCTION("""COMPUTED_VALUE"""),"ITBISA-SOCKET-IC-DIP16-NARROW")</f>
        <v>ITBISA-SOCKET-IC-DIP16-NARROW</v>
      </c>
      <c r="B11274" s="266">
        <f>IFERROR(__xludf.DUMMYFUNCTION("""COMPUTED_VALUE"""),45474.0)</f>
        <v>45474</v>
      </c>
      <c r="C11274" s="266" t="str">
        <f>IFERROR(__xludf.DUMMYFUNCTION("""COMPUTED_VALUE"""),"KYAI KONTONG")</f>
        <v>KYAI KONTONG</v>
      </c>
      <c r="D11274" s="186">
        <f>IFERROR(__xludf.DUMMYFUNCTION("""COMPUTED_VALUE"""),3.0)</f>
        <v>3</v>
      </c>
    </row>
    <row r="11275">
      <c r="A11275" s="178" t="str">
        <f>IFERROR(__xludf.DUMMYFUNCTION("""COMPUTED_VALUE"""),"ITBISA-SOCKET-IC-DIP16-NARROW")</f>
        <v>ITBISA-SOCKET-IC-DIP16-NARROW</v>
      </c>
      <c r="B11275" s="266">
        <f>IFERROR(__xludf.DUMMYFUNCTION("""COMPUTED_VALUE"""),45475.0)</f>
        <v>45475</v>
      </c>
      <c r="C11275" s="266" t="str">
        <f>IFERROR(__xludf.DUMMYFUNCTION("""COMPUTED_VALUE"""),"KYAI KONTONG")</f>
        <v>KYAI KONTONG</v>
      </c>
      <c r="D11275" s="186">
        <f>IFERROR(__xludf.DUMMYFUNCTION("""COMPUTED_VALUE"""),5.0)</f>
        <v>5</v>
      </c>
    </row>
    <row r="11276">
      <c r="A11276" s="178" t="str">
        <f>IFERROR(__xludf.DUMMYFUNCTION("""COMPUTED_VALUE"""),"ITBISA-SOCKET-IC-DIP16-NARROW")</f>
        <v>ITBISA-SOCKET-IC-DIP16-NARROW</v>
      </c>
      <c r="B11276" s="266">
        <f>IFERROR(__xludf.DUMMYFUNCTION("""COMPUTED_VALUE"""),45478.0)</f>
        <v>45478</v>
      </c>
      <c r="C11276" s="266" t="str">
        <f>IFERROR(__xludf.DUMMYFUNCTION("""COMPUTED_VALUE"""),"KERTASARI CIAMIS")</f>
        <v>KERTASARI CIAMIS</v>
      </c>
      <c r="D11276" s="186">
        <f>IFERROR(__xludf.DUMMYFUNCTION("""COMPUTED_VALUE"""),200.0)</f>
        <v>200</v>
      </c>
    </row>
    <row r="11277">
      <c r="A11277" s="178" t="str">
        <f>IFERROR(__xludf.DUMMYFUNCTION("""COMPUTED_VALUE"""),"ITBISA-SOCKET-IC-DIP16-NARROW")</f>
        <v>ITBISA-SOCKET-IC-DIP16-NARROW</v>
      </c>
      <c r="B11277" s="266">
        <f>IFERROR(__xludf.DUMMYFUNCTION("""COMPUTED_VALUE"""),45486.0)</f>
        <v>45486</v>
      </c>
      <c r="C11277" s="266" t="str">
        <f>IFERROR(__xludf.DUMMYFUNCTION("""COMPUTED_VALUE"""),"KERTASARI CIAMIS")</f>
        <v>KERTASARI CIAMIS</v>
      </c>
      <c r="D11277" s="186">
        <f>IFERROR(__xludf.DUMMYFUNCTION("""COMPUTED_VALUE"""),5.0)</f>
        <v>5</v>
      </c>
    </row>
    <row r="11278">
      <c r="A11278" s="178" t="str">
        <f>IFERROR(__xludf.DUMMYFUNCTION("""COMPUTED_VALUE"""),"ITBISA-SOCKET-IC-DIP16-NARROW")</f>
        <v>ITBISA-SOCKET-IC-DIP16-NARROW</v>
      </c>
      <c r="B11278" s="266">
        <f>IFERROR(__xludf.DUMMYFUNCTION("""COMPUTED_VALUE"""),45487.0)</f>
        <v>45487</v>
      </c>
      <c r="C11278" s="266" t="str">
        <f>IFERROR(__xludf.DUMMYFUNCTION("""COMPUTED_VALUE"""),"KYAI KONTONG")</f>
        <v>KYAI KONTONG</v>
      </c>
      <c r="D11278" s="186">
        <f>IFERROR(__xludf.DUMMYFUNCTION("""COMPUTED_VALUE"""),200.0)</f>
        <v>200</v>
      </c>
    </row>
    <row r="11279">
      <c r="A11279" s="178" t="str">
        <f>IFERROR(__xludf.DUMMYFUNCTION("""COMPUTED_VALUE"""),"ITBISA-SOCKET-IC-DIP16-NARROW")</f>
        <v>ITBISA-SOCKET-IC-DIP16-NARROW</v>
      </c>
      <c r="B11279" s="266">
        <f>IFERROR(__xludf.DUMMYFUNCTION("""COMPUTED_VALUE"""),45489.0)</f>
        <v>45489</v>
      </c>
      <c r="C11279" s="266" t="str">
        <f>IFERROR(__xludf.DUMMYFUNCTION("""COMPUTED_VALUE"""),"KYAI KONTONG")</f>
        <v>KYAI KONTONG</v>
      </c>
      <c r="D11279" s="186">
        <f>IFERROR(__xludf.DUMMYFUNCTION("""COMPUTED_VALUE"""),10.0)</f>
        <v>10</v>
      </c>
    </row>
    <row r="11280">
      <c r="A11280" s="178" t="str">
        <f>IFERROR(__xludf.DUMMYFUNCTION("""COMPUTED_VALUE"""),"ITBISA-SOCKET-IC-DIP16-NARROW")</f>
        <v>ITBISA-SOCKET-IC-DIP16-NARROW</v>
      </c>
      <c r="B11280" s="266">
        <f>IFERROR(__xludf.DUMMYFUNCTION("""COMPUTED_VALUE"""),45493.0)</f>
        <v>45493</v>
      </c>
      <c r="C11280" s="266" t="str">
        <f>IFERROR(__xludf.DUMMYFUNCTION("""COMPUTED_VALUE"""),"KYAI KONTONG")</f>
        <v>KYAI KONTONG</v>
      </c>
      <c r="D11280" s="186">
        <f>IFERROR(__xludf.DUMMYFUNCTION("""COMPUTED_VALUE"""),230.0)</f>
        <v>230</v>
      </c>
    </row>
    <row r="11281">
      <c r="A11281" s="178" t="str">
        <f>IFERROR(__xludf.DUMMYFUNCTION("""COMPUTED_VALUE"""),"ITBISA-SOCKET-IC-DIP16-NARROW")</f>
        <v>ITBISA-SOCKET-IC-DIP16-NARROW</v>
      </c>
      <c r="B11281" s="266">
        <f>IFERROR(__xludf.DUMMYFUNCTION("""COMPUTED_VALUE"""),45495.0)</f>
        <v>45495</v>
      </c>
      <c r="C11281" s="266" t="str">
        <f>IFERROR(__xludf.DUMMYFUNCTION("""COMPUTED_VALUE"""),"KYAI KONTONG")</f>
        <v>KYAI KONTONG</v>
      </c>
      <c r="D11281" s="186">
        <f>IFERROR(__xludf.DUMMYFUNCTION("""COMPUTED_VALUE"""),30.0)</f>
        <v>30</v>
      </c>
    </row>
    <row r="11282">
      <c r="A11282" s="178" t="str">
        <f>IFERROR(__xludf.DUMMYFUNCTION("""COMPUTED_VALUE"""),"ITBISA-SOCKET-IC-DIP16-NARROW")</f>
        <v>ITBISA-SOCKET-IC-DIP16-NARROW</v>
      </c>
      <c r="B11282" s="266">
        <f>IFERROR(__xludf.DUMMYFUNCTION("""COMPUTED_VALUE"""),45502.0)</f>
        <v>45502</v>
      </c>
      <c r="C11282" s="266" t="str">
        <f>IFERROR(__xludf.DUMMYFUNCTION("""COMPUTED_VALUE"""),"KERTASARI CIAMIS")</f>
        <v>KERTASARI CIAMIS</v>
      </c>
      <c r="D11282" s="186">
        <f>IFERROR(__xludf.DUMMYFUNCTION("""COMPUTED_VALUE"""),230.0)</f>
        <v>230</v>
      </c>
    </row>
    <row r="11283">
      <c r="A11283" s="178" t="str">
        <f>IFERROR(__xludf.DUMMYFUNCTION("""COMPUTED_VALUE"""),"ITBISA-SOCKET-IC-DIP16-NARROW")</f>
        <v>ITBISA-SOCKET-IC-DIP16-NARROW</v>
      </c>
      <c r="B11283" s="266">
        <f>IFERROR(__xludf.DUMMYFUNCTION("""COMPUTED_VALUE"""),45503.0)</f>
        <v>45503</v>
      </c>
      <c r="C11283" s="266" t="str">
        <f>IFERROR(__xludf.DUMMYFUNCTION("""COMPUTED_VALUE"""),"KERTASARI CIAMIS")</f>
        <v>KERTASARI CIAMIS</v>
      </c>
      <c r="D11283" s="186">
        <f>IFERROR(__xludf.DUMMYFUNCTION("""COMPUTED_VALUE"""),20.0)</f>
        <v>20</v>
      </c>
    </row>
    <row r="11284">
      <c r="A11284" s="178" t="str">
        <f>IFERROR(__xludf.DUMMYFUNCTION("""COMPUTED_VALUE"""),"ITBISA-SOCKET-IC-DIP16-NARROW")</f>
        <v>ITBISA-SOCKET-IC-DIP16-NARROW</v>
      </c>
      <c r="B11284" s="266">
        <f>IFERROR(__xludf.DUMMYFUNCTION("""COMPUTED_VALUE"""),45503.0)</f>
        <v>45503</v>
      </c>
      <c r="C11284" s="266" t="str">
        <f>IFERROR(__xludf.DUMMYFUNCTION("""COMPUTED_VALUE"""),"KYAI KONTONG")</f>
        <v>KYAI KONTONG</v>
      </c>
      <c r="D11284" s="186">
        <f>IFERROR(__xludf.DUMMYFUNCTION("""COMPUTED_VALUE"""),70.0)</f>
        <v>70</v>
      </c>
    </row>
    <row r="11285">
      <c r="A11285" s="178" t="str">
        <f>IFERROR(__xludf.DUMMYFUNCTION("""COMPUTED_VALUE"""),"ITBISA-SOCKET-IC-DIP16-NARROW")</f>
        <v>ITBISA-SOCKET-IC-DIP16-NARROW</v>
      </c>
      <c r="B11285" s="266">
        <f>IFERROR(__xludf.DUMMYFUNCTION("""COMPUTED_VALUE"""),45509.0)</f>
        <v>45509</v>
      </c>
      <c r="C11285" s="266" t="str">
        <f>IFERROR(__xludf.DUMMYFUNCTION("""COMPUTED_VALUE"""),"KERTASARI CIAMIS")</f>
        <v>KERTASARI CIAMIS</v>
      </c>
      <c r="D11285" s="186">
        <f>IFERROR(__xludf.DUMMYFUNCTION("""COMPUTED_VALUE"""),230.0)</f>
        <v>230</v>
      </c>
    </row>
    <row r="11286">
      <c r="A11286" s="178" t="str">
        <f>IFERROR(__xludf.DUMMYFUNCTION("""COMPUTED_VALUE"""),"ITBISA-SOCKET-IC-DIP16-NARROW")</f>
        <v>ITBISA-SOCKET-IC-DIP16-NARROW</v>
      </c>
      <c r="B11286" s="266">
        <f>IFERROR(__xludf.DUMMYFUNCTION("""COMPUTED_VALUE"""),45512.0)</f>
        <v>45512</v>
      </c>
      <c r="C11286" s="266" t="str">
        <f>IFERROR(__xludf.DUMMYFUNCTION("""COMPUTED_VALUE"""),"KERTASARI CIAMIS")</f>
        <v>KERTASARI CIAMIS</v>
      </c>
      <c r="D11286" s="186">
        <f>IFERROR(__xludf.DUMMYFUNCTION("""COMPUTED_VALUE"""),37.0)</f>
        <v>37</v>
      </c>
    </row>
    <row r="11287">
      <c r="A11287" s="178" t="str">
        <f>IFERROR(__xludf.DUMMYFUNCTION("""COMPUTED_VALUE"""),"ITBISA-SOCKET-IC-DIP16-NARROW")</f>
        <v>ITBISA-SOCKET-IC-DIP16-NARROW</v>
      </c>
      <c r="B11287" s="266">
        <f>IFERROR(__xludf.DUMMYFUNCTION("""COMPUTED_VALUE"""),45516.0)</f>
        <v>45516</v>
      </c>
      <c r="C11287" s="266" t="str">
        <f>IFERROR(__xludf.DUMMYFUNCTION("""COMPUTED_VALUE"""),"KYAI KONTONG")</f>
        <v>KYAI KONTONG</v>
      </c>
      <c r="D11287" s="186">
        <f>IFERROR(__xludf.DUMMYFUNCTION("""COMPUTED_VALUE"""),230.0)</f>
        <v>230</v>
      </c>
    </row>
    <row r="11288">
      <c r="A11288" s="178" t="str">
        <f>IFERROR(__xludf.DUMMYFUNCTION("""COMPUTED_VALUE"""),"ITBISA-SOCKET-IC-DIP16-NARROW")</f>
        <v>ITBISA-SOCKET-IC-DIP16-NARROW</v>
      </c>
      <c r="B11288" s="266">
        <f>IFERROR(__xludf.DUMMYFUNCTION("""COMPUTED_VALUE"""),45526.0)</f>
        <v>45526</v>
      </c>
      <c r="C11288" s="266" t="str">
        <f>IFERROR(__xludf.DUMMYFUNCTION("""COMPUTED_VALUE"""),"KYAI KONTONG")</f>
        <v>KYAI KONTONG</v>
      </c>
      <c r="D11288" s="186">
        <f>IFERROR(__xludf.DUMMYFUNCTION("""COMPUTED_VALUE"""),200.0)</f>
        <v>200</v>
      </c>
    </row>
    <row r="11289">
      <c r="A11289" s="178" t="str">
        <f>IFERROR(__xludf.DUMMYFUNCTION("""COMPUTED_VALUE"""),"ITBISA-SOCKET-IC-DIP16-NARROW")</f>
        <v>ITBISA-SOCKET-IC-DIP16-NARROW</v>
      </c>
      <c r="B11289" s="266">
        <f>IFERROR(__xludf.DUMMYFUNCTION("""COMPUTED_VALUE"""),45527.0)</f>
        <v>45527</v>
      </c>
      <c r="C11289" s="266" t="str">
        <f>IFERROR(__xludf.DUMMYFUNCTION("""COMPUTED_VALUE"""),"KYAI KONTONG")</f>
        <v>KYAI KONTONG</v>
      </c>
      <c r="D11289" s="186">
        <f>IFERROR(__xludf.DUMMYFUNCTION("""COMPUTED_VALUE"""),150.0)</f>
        <v>150</v>
      </c>
    </row>
    <row r="11290">
      <c r="A11290" s="178" t="str">
        <f>IFERROR(__xludf.DUMMYFUNCTION("""COMPUTED_VALUE"""),"ITBISA-SOCKET-IC-DIP16-NARROW")</f>
        <v>ITBISA-SOCKET-IC-DIP16-NARROW</v>
      </c>
      <c r="B11290" s="266">
        <f>IFERROR(__xludf.DUMMYFUNCTION("""COMPUTED_VALUE"""),45531.0)</f>
        <v>45531</v>
      </c>
      <c r="C11290" s="266" t="str">
        <f>IFERROR(__xludf.DUMMYFUNCTION("""COMPUTED_VALUE"""),"KERTASARI CIAMIS")</f>
        <v>KERTASARI CIAMIS</v>
      </c>
      <c r="D11290" s="186">
        <f>IFERROR(__xludf.DUMMYFUNCTION("""COMPUTED_VALUE"""),40.0)</f>
        <v>40</v>
      </c>
    </row>
    <row r="11291">
      <c r="A11291" s="178" t="str">
        <f>IFERROR(__xludf.DUMMYFUNCTION("""COMPUTED_VALUE"""),"ITBISA-SOCKET-IC-DIP16-NARROW")</f>
        <v>ITBISA-SOCKET-IC-DIP16-NARROW</v>
      </c>
      <c r="B11291" s="266">
        <f>IFERROR(__xludf.DUMMYFUNCTION("""COMPUTED_VALUE"""),45531.0)</f>
        <v>45531</v>
      </c>
      <c r="C11291" s="266" t="str">
        <f>IFERROR(__xludf.DUMMYFUNCTION("""COMPUTED_VALUE"""),"KYAI KONTONG")</f>
        <v>KYAI KONTONG</v>
      </c>
      <c r="D11291" s="186">
        <f>IFERROR(__xludf.DUMMYFUNCTION("""COMPUTED_VALUE"""),10.0)</f>
        <v>10</v>
      </c>
    </row>
    <row r="11292">
      <c r="A11292" s="178" t="str">
        <f>IFERROR(__xludf.DUMMYFUNCTION("""COMPUTED_VALUE"""),"ITBISA-SOCKET-IC-DIP16-NARROW")</f>
        <v>ITBISA-SOCKET-IC-DIP16-NARROW</v>
      </c>
      <c r="B11292" s="266">
        <f>IFERROR(__xludf.DUMMYFUNCTION("""COMPUTED_VALUE"""),45532.0)</f>
        <v>45532</v>
      </c>
      <c r="C11292" s="266" t="str">
        <f>IFERROR(__xludf.DUMMYFUNCTION("""COMPUTED_VALUE"""),"KYAI KONTONG")</f>
        <v>KYAI KONTONG</v>
      </c>
      <c r="D11292" s="186">
        <f>IFERROR(__xludf.DUMMYFUNCTION("""COMPUTED_VALUE"""),3.0)</f>
        <v>3</v>
      </c>
    </row>
    <row r="11293">
      <c r="A11293" s="178" t="str">
        <f>IFERROR(__xludf.DUMMYFUNCTION("""COMPUTED_VALUE"""),"ITBISA-SOCKET-IC-DIP16-NARROW")</f>
        <v>ITBISA-SOCKET-IC-DIP16-NARROW</v>
      </c>
      <c r="B11293" s="266">
        <f>IFERROR(__xludf.DUMMYFUNCTION("""COMPUTED_VALUE"""),45533.0)</f>
        <v>45533</v>
      </c>
      <c r="C11293" s="266" t="str">
        <f>IFERROR(__xludf.DUMMYFUNCTION("""COMPUTED_VALUE"""),"KERTASARI CIAMIS")</f>
        <v>KERTASARI CIAMIS</v>
      </c>
      <c r="D11293" s="186">
        <f>IFERROR(__xludf.DUMMYFUNCTION("""COMPUTED_VALUE"""),230.0)</f>
        <v>230</v>
      </c>
    </row>
    <row r="11294">
      <c r="A11294" s="178" t="str">
        <f>IFERROR(__xludf.DUMMYFUNCTION("""COMPUTED_VALUE"""),"ITBISA-SOCKET-IC-DIP16-NARROW")</f>
        <v>ITBISA-SOCKET-IC-DIP16-NARROW</v>
      </c>
      <c r="B11294" s="266">
        <f>IFERROR(__xludf.DUMMYFUNCTION("""COMPUTED_VALUE"""),45541.0)</f>
        <v>45541</v>
      </c>
      <c r="C11294" s="266" t="str">
        <f>IFERROR(__xludf.DUMMYFUNCTION("""COMPUTED_VALUE"""),"KERTASARI CIAMIS")</f>
        <v>KERTASARI CIAMIS</v>
      </c>
      <c r="D11294" s="186">
        <f>IFERROR(__xludf.DUMMYFUNCTION("""COMPUTED_VALUE"""),66.0)</f>
        <v>66</v>
      </c>
    </row>
    <row r="11295">
      <c r="A11295" s="178" t="str">
        <f>IFERROR(__xludf.DUMMYFUNCTION("""COMPUTED_VALUE"""),"ITBISA-SOCKET-IC-DIP16-NARROW")</f>
        <v>ITBISA-SOCKET-IC-DIP16-NARROW</v>
      </c>
      <c r="B11295" s="266">
        <f>IFERROR(__xludf.DUMMYFUNCTION("""COMPUTED_VALUE"""),45545.0)</f>
        <v>45545</v>
      </c>
      <c r="C11295" s="266" t="str">
        <f>IFERROR(__xludf.DUMMYFUNCTION("""COMPUTED_VALUE"""),"KERTASARI CIAMIS")</f>
        <v>KERTASARI CIAMIS</v>
      </c>
      <c r="D11295" s="186">
        <f>IFERROR(__xludf.DUMMYFUNCTION("""COMPUTED_VALUE"""),60.0)</f>
        <v>60</v>
      </c>
    </row>
    <row r="11296">
      <c r="A11296" s="178" t="str">
        <f>IFERROR(__xludf.DUMMYFUNCTION("""COMPUTED_VALUE"""),"ITBISA-SOCKET-IC-DIP16-NARROW")</f>
        <v>ITBISA-SOCKET-IC-DIP16-NARROW</v>
      </c>
      <c r="B11296" s="266">
        <f>IFERROR(__xludf.DUMMYFUNCTION("""COMPUTED_VALUE"""),45545.0)</f>
        <v>45545</v>
      </c>
      <c r="C11296" s="266" t="str">
        <f>IFERROR(__xludf.DUMMYFUNCTION("""COMPUTED_VALUE"""),"KERTASARI CIAMIS")</f>
        <v>KERTASARI CIAMIS</v>
      </c>
      <c r="D11296" s="186">
        <f>IFERROR(__xludf.DUMMYFUNCTION("""COMPUTED_VALUE"""),230.0)</f>
        <v>230</v>
      </c>
    </row>
    <row r="11297">
      <c r="A11297" s="178" t="str">
        <f>IFERROR(__xludf.DUMMYFUNCTION("""COMPUTED_VALUE"""),"ITBISA-SOCKET-IC-DIP16-NARROW")</f>
        <v>ITBISA-SOCKET-IC-DIP16-NARROW</v>
      </c>
      <c r="B11297" s="266">
        <f>IFERROR(__xludf.DUMMYFUNCTION("""COMPUTED_VALUE"""),45561.0)</f>
        <v>45561</v>
      </c>
      <c r="C11297" s="266" t="str">
        <f>IFERROR(__xludf.DUMMYFUNCTION("""COMPUTED_VALUE"""),"KERTASARI CIAMIS")</f>
        <v>KERTASARI CIAMIS</v>
      </c>
      <c r="D11297" s="186">
        <f>IFERROR(__xludf.DUMMYFUNCTION("""COMPUTED_VALUE"""),230.0)</f>
        <v>230</v>
      </c>
    </row>
    <row r="11298">
      <c r="A11298" s="178" t="str">
        <f>IFERROR(__xludf.DUMMYFUNCTION("""COMPUTED_VALUE"""),"ITBISA-SOCKET-IC-DIP16-NARROW")</f>
        <v>ITBISA-SOCKET-IC-DIP16-NARROW</v>
      </c>
      <c r="B11298" s="266">
        <f>IFERROR(__xludf.DUMMYFUNCTION("""COMPUTED_VALUE"""),45571.0)</f>
        <v>45571</v>
      </c>
      <c r="C11298" s="266" t="str">
        <f>IFERROR(__xludf.DUMMYFUNCTION("""COMPUTED_VALUE"""),"KYAI KONTONG")</f>
        <v>KYAI KONTONG</v>
      </c>
      <c r="D11298" s="186">
        <f>IFERROR(__xludf.DUMMYFUNCTION("""COMPUTED_VALUE"""),200.0)</f>
        <v>200</v>
      </c>
    </row>
    <row r="11299">
      <c r="A11299" s="178" t="str">
        <f>IFERROR(__xludf.DUMMYFUNCTION("""COMPUTED_VALUE"""),"ITBISA-SOCKET-IC-DIP16-NARROW")</f>
        <v>ITBISA-SOCKET-IC-DIP16-NARROW</v>
      </c>
      <c r="B11299" s="266">
        <f>IFERROR(__xludf.DUMMYFUNCTION("""COMPUTED_VALUE"""),45578.0)</f>
        <v>45578</v>
      </c>
      <c r="C11299" s="266" t="str">
        <f>IFERROR(__xludf.DUMMYFUNCTION("""COMPUTED_VALUE"""),"KYAI KONTONG")</f>
        <v>KYAI KONTONG</v>
      </c>
      <c r="D11299" s="186">
        <f>IFERROR(__xludf.DUMMYFUNCTION("""COMPUTED_VALUE"""),230.0)</f>
        <v>230</v>
      </c>
    </row>
    <row r="11300">
      <c r="A11300" s="178" t="str">
        <f>IFERROR(__xludf.DUMMYFUNCTION("""COMPUTED_VALUE"""),"ITBISA-SOCKET-IC-DIP16-NARROW")</f>
        <v>ITBISA-SOCKET-IC-DIP16-NARROW</v>
      </c>
      <c r="B11300" s="266">
        <f>IFERROR(__xludf.DUMMYFUNCTION("""COMPUTED_VALUE"""),45584.0)</f>
        <v>45584</v>
      </c>
      <c r="C11300" s="266" t="str">
        <f>IFERROR(__xludf.DUMMYFUNCTION("""COMPUTED_VALUE"""),"KYAI KONTONG")</f>
        <v>KYAI KONTONG</v>
      </c>
      <c r="D11300" s="186">
        <f>IFERROR(__xludf.DUMMYFUNCTION("""COMPUTED_VALUE"""),5.0)</f>
        <v>5</v>
      </c>
    </row>
    <row r="11301">
      <c r="A11301" s="178" t="str">
        <f>IFERROR(__xludf.DUMMYFUNCTION("""COMPUTED_VALUE"""),"ITBISA-SOCKET-IC-DIP16-NARROW")</f>
        <v>ITBISA-SOCKET-IC-DIP16-NARROW</v>
      </c>
      <c r="B11301" s="266">
        <f>IFERROR(__xludf.DUMMYFUNCTION("""COMPUTED_VALUE"""),45585.0)</f>
        <v>45585</v>
      </c>
      <c r="C11301" s="266" t="str">
        <f>IFERROR(__xludf.DUMMYFUNCTION("""COMPUTED_VALUE"""),"KERTASARI CIAMIS")</f>
        <v>KERTASARI CIAMIS</v>
      </c>
      <c r="D11301" s="186">
        <f>IFERROR(__xludf.DUMMYFUNCTION("""COMPUTED_VALUE"""),230.0)</f>
        <v>230</v>
      </c>
    </row>
    <row r="11302">
      <c r="A11302" s="178" t="str">
        <f>IFERROR(__xludf.DUMMYFUNCTION("""COMPUTED_VALUE"""),"ITBISA-SOCKET-IC-DIP16-NARROW")</f>
        <v>ITBISA-SOCKET-IC-DIP16-NARROW</v>
      </c>
      <c r="B11302" s="266">
        <f>IFERROR(__xludf.DUMMYFUNCTION("""COMPUTED_VALUE"""),45587.0)</f>
        <v>45587</v>
      </c>
      <c r="C11302" s="266" t="str">
        <f>IFERROR(__xludf.DUMMYFUNCTION("""COMPUTED_VALUE"""),"KERTASARI CIAMIS")</f>
        <v>KERTASARI CIAMIS</v>
      </c>
      <c r="D11302" s="186">
        <f>IFERROR(__xludf.DUMMYFUNCTION("""COMPUTED_VALUE"""),2.0)</f>
        <v>2</v>
      </c>
    </row>
    <row r="11303">
      <c r="A11303" s="178" t="str">
        <f>IFERROR(__xludf.DUMMYFUNCTION("""COMPUTED_VALUE"""),"ITBISA-SOCKET-IC-DIP16-NARROW")</f>
        <v>ITBISA-SOCKET-IC-DIP16-NARROW</v>
      </c>
      <c r="B11303" s="266">
        <f>IFERROR(__xludf.DUMMYFUNCTION("""COMPUTED_VALUE"""),45588.0)</f>
        <v>45588</v>
      </c>
      <c r="C11303" s="266" t="str">
        <f>IFERROR(__xludf.DUMMYFUNCTION("""COMPUTED_VALUE"""),"KERTASARI CIAMIS")</f>
        <v>KERTASARI CIAMIS</v>
      </c>
      <c r="D11303" s="186">
        <f>IFERROR(__xludf.DUMMYFUNCTION("""COMPUTED_VALUE"""),5.0)</f>
        <v>5</v>
      </c>
    </row>
    <row r="11304">
      <c r="A11304" s="178" t="str">
        <f>IFERROR(__xludf.DUMMYFUNCTION("""COMPUTED_VALUE"""),"ITBISA-SOCKET-IC-DIP16-NARROW")</f>
        <v>ITBISA-SOCKET-IC-DIP16-NARROW</v>
      </c>
      <c r="B11304" s="266">
        <f>IFERROR(__xludf.DUMMYFUNCTION("""COMPUTED_VALUE"""),45593.0)</f>
        <v>45593</v>
      </c>
      <c r="C11304" s="266" t="str">
        <f>IFERROR(__xludf.DUMMYFUNCTION("""COMPUTED_VALUE"""),"KERTASARI CIAMIS")</f>
        <v>KERTASARI CIAMIS</v>
      </c>
      <c r="D11304" s="186">
        <f>IFERROR(__xludf.DUMMYFUNCTION("""COMPUTED_VALUE"""),200.0)</f>
        <v>200</v>
      </c>
    </row>
    <row r="11305">
      <c r="A11305" s="178" t="str">
        <f>IFERROR(__xludf.DUMMYFUNCTION("""COMPUTED_VALUE"""),"ITBISA-SOCKET-IC-DIP16-NARROW")</f>
        <v>ITBISA-SOCKET-IC-DIP16-NARROW</v>
      </c>
      <c r="B11305" s="266">
        <f>IFERROR(__xludf.DUMMYFUNCTION("""COMPUTED_VALUE"""),45598.0)</f>
        <v>45598</v>
      </c>
      <c r="C11305" s="266" t="str">
        <f>IFERROR(__xludf.DUMMYFUNCTION("""COMPUTED_VALUE"""),"KERTASARI CIAMIS")</f>
        <v>KERTASARI CIAMIS</v>
      </c>
      <c r="D11305" s="186">
        <f>IFERROR(__xludf.DUMMYFUNCTION("""COMPUTED_VALUE"""),200.0)</f>
        <v>200</v>
      </c>
    </row>
    <row r="11306">
      <c r="A11306" s="178" t="str">
        <f>IFERROR(__xludf.DUMMYFUNCTION("""COMPUTED_VALUE"""),"ITBISA-SOCKET-IC-DIP16-NARROW")</f>
        <v>ITBISA-SOCKET-IC-DIP16-NARROW</v>
      </c>
      <c r="B11306" s="266">
        <f>IFERROR(__xludf.DUMMYFUNCTION("""COMPUTED_VALUE"""),45604.0)</f>
        <v>45604</v>
      </c>
      <c r="C11306" s="266" t="str">
        <f>IFERROR(__xludf.DUMMYFUNCTION("""COMPUTED_VALUE"""),"KYAI KONTONG")</f>
        <v>KYAI KONTONG</v>
      </c>
      <c r="D11306" s="186">
        <f>IFERROR(__xludf.DUMMYFUNCTION("""COMPUTED_VALUE"""),230.0)</f>
        <v>230</v>
      </c>
    </row>
    <row r="11307">
      <c r="A11307" s="178" t="str">
        <f>IFERROR(__xludf.DUMMYFUNCTION("""COMPUTED_VALUE"""),"ITBISA-SOCKET-IC-DIP16-NARROW")</f>
        <v>ITBISA-SOCKET-IC-DIP16-NARROW</v>
      </c>
      <c r="B11307" s="266">
        <f>IFERROR(__xludf.DUMMYFUNCTION("""COMPUTED_VALUE"""),45612.0)</f>
        <v>45612</v>
      </c>
      <c r="C11307" s="266" t="str">
        <f>IFERROR(__xludf.DUMMYFUNCTION("""COMPUTED_VALUE"""),"KERTASARI CIAMIS")</f>
        <v>KERTASARI CIAMIS</v>
      </c>
      <c r="D11307" s="186">
        <f>IFERROR(__xludf.DUMMYFUNCTION("""COMPUTED_VALUE"""),230.0)</f>
        <v>230</v>
      </c>
    </row>
    <row r="11308">
      <c r="A11308" s="178" t="str">
        <f>IFERROR(__xludf.DUMMYFUNCTION("""COMPUTED_VALUE"""),"ITBISA-SOCKET-IC-DIP16-NARROW")</f>
        <v>ITBISA-SOCKET-IC-DIP16-NARROW</v>
      </c>
      <c r="B11308" s="266">
        <f>IFERROR(__xludf.DUMMYFUNCTION("""COMPUTED_VALUE"""),45614.0)</f>
        <v>45614</v>
      </c>
      <c r="C11308" s="266" t="str">
        <f>IFERROR(__xludf.DUMMYFUNCTION("""COMPUTED_VALUE"""),"KERTASARI CIAMIS")</f>
        <v>KERTASARI CIAMIS</v>
      </c>
      <c r="D11308" s="186">
        <f>IFERROR(__xludf.DUMMYFUNCTION("""COMPUTED_VALUE"""),80.0)</f>
        <v>80</v>
      </c>
    </row>
    <row r="11309">
      <c r="A11309" s="178" t="str">
        <f>IFERROR(__xludf.DUMMYFUNCTION("""COMPUTED_VALUE"""),"ITBISA-SOCKET-IC-DIP16-NARROW")</f>
        <v>ITBISA-SOCKET-IC-DIP16-NARROW</v>
      </c>
      <c r="B11309" s="266">
        <f>IFERROR(__xludf.DUMMYFUNCTION("""COMPUTED_VALUE"""),45615.0)</f>
        <v>45615</v>
      </c>
      <c r="C11309" s="266" t="str">
        <f>IFERROR(__xludf.DUMMYFUNCTION("""COMPUTED_VALUE"""),"KERTASARI CIAMIS")</f>
        <v>KERTASARI CIAMIS</v>
      </c>
      <c r="D11309" s="186">
        <f>IFERROR(__xludf.DUMMYFUNCTION("""COMPUTED_VALUE"""),10.0)</f>
        <v>10</v>
      </c>
    </row>
    <row r="11310">
      <c r="A11310" s="178" t="str">
        <f>IFERROR(__xludf.DUMMYFUNCTION("""COMPUTED_VALUE"""),"ITBISA-SOCKET-IC-DIP16-NARROW")</f>
        <v>ITBISA-SOCKET-IC-DIP16-NARROW</v>
      </c>
      <c r="B11310" s="266">
        <f>IFERROR(__xludf.DUMMYFUNCTION("""COMPUTED_VALUE"""),45622.0)</f>
        <v>45622</v>
      </c>
      <c r="C11310" s="266" t="str">
        <f>IFERROR(__xludf.DUMMYFUNCTION("""COMPUTED_VALUE"""),"KYAI KONTONG")</f>
        <v>KYAI KONTONG</v>
      </c>
      <c r="D11310" s="186">
        <f>IFERROR(__xludf.DUMMYFUNCTION("""COMPUTED_VALUE"""),8.0)</f>
        <v>8</v>
      </c>
    </row>
    <row r="11311">
      <c r="A11311" s="178" t="str">
        <f>IFERROR(__xludf.DUMMYFUNCTION("""COMPUTED_VALUE"""),"ITBISA-SOCKET-IC-DIP16-NARROW")</f>
        <v>ITBISA-SOCKET-IC-DIP16-NARROW</v>
      </c>
      <c r="B11311" s="266">
        <f>IFERROR(__xludf.DUMMYFUNCTION("""COMPUTED_VALUE"""),45625.0)</f>
        <v>45625</v>
      </c>
      <c r="C11311" s="266" t="str">
        <f>IFERROR(__xludf.DUMMYFUNCTION("""COMPUTED_VALUE"""),"KERTASARI CIAMIS")</f>
        <v>KERTASARI CIAMIS</v>
      </c>
      <c r="D11311" s="186">
        <f>IFERROR(__xludf.DUMMYFUNCTION("""COMPUTED_VALUE"""),30.0)</f>
        <v>30</v>
      </c>
    </row>
    <row r="11312">
      <c r="A11312" s="178" t="str">
        <f>IFERROR(__xludf.DUMMYFUNCTION("""COMPUTED_VALUE"""),"ITBISA-SOCKET-IC-DIP16-NARROW")</f>
        <v>ITBISA-SOCKET-IC-DIP16-NARROW</v>
      </c>
      <c r="B11312" s="266">
        <f>IFERROR(__xludf.DUMMYFUNCTION("""COMPUTED_VALUE"""),45625.0)</f>
        <v>45625</v>
      </c>
      <c r="C11312" s="266" t="str">
        <f>IFERROR(__xludf.DUMMYFUNCTION("""COMPUTED_VALUE"""),"KERTASARI CIAMIS")</f>
        <v>KERTASARI CIAMIS</v>
      </c>
      <c r="D11312" s="186">
        <f>IFERROR(__xludf.DUMMYFUNCTION("""COMPUTED_VALUE"""),230.0)</f>
        <v>230</v>
      </c>
    </row>
    <row r="11313">
      <c r="A11313" s="178" t="str">
        <f>IFERROR(__xludf.DUMMYFUNCTION("""COMPUTED_VALUE"""),"ITBISA-SOCKET-IC-DIP16-NARROW")</f>
        <v>ITBISA-SOCKET-IC-DIP16-NARROW</v>
      </c>
      <c r="B11313" s="266">
        <f>IFERROR(__xludf.DUMMYFUNCTION("""COMPUTED_VALUE"""),45631.0)</f>
        <v>45631</v>
      </c>
      <c r="C11313" s="266" t="str">
        <f>IFERROR(__xludf.DUMMYFUNCTION("""COMPUTED_VALUE"""),"KYAI KONTONG")</f>
        <v>KYAI KONTONG</v>
      </c>
      <c r="D11313" s="186">
        <f>IFERROR(__xludf.DUMMYFUNCTION("""COMPUTED_VALUE"""),20.0)</f>
        <v>20</v>
      </c>
    </row>
    <row r="11314">
      <c r="A11314" s="178" t="str">
        <f>IFERROR(__xludf.DUMMYFUNCTION("""COMPUTED_VALUE"""),"ITBISA-SOCKET-IC-DIP16-NARROW")</f>
        <v>ITBISA-SOCKET-IC-DIP16-NARROW</v>
      </c>
      <c r="B11314" s="266">
        <f>IFERROR(__xludf.DUMMYFUNCTION("""COMPUTED_VALUE"""),45632.0)</f>
        <v>45632</v>
      </c>
      <c r="C11314" s="266" t="str">
        <f>IFERROR(__xludf.DUMMYFUNCTION("""COMPUTED_VALUE"""),"KERTASARI CIAMIS")</f>
        <v>KERTASARI CIAMIS</v>
      </c>
      <c r="D11314" s="186">
        <f>IFERROR(__xludf.DUMMYFUNCTION("""COMPUTED_VALUE"""),230.0)</f>
        <v>230</v>
      </c>
    </row>
    <row r="11315">
      <c r="A11315" s="178" t="str">
        <f>IFERROR(__xludf.DUMMYFUNCTION("""COMPUTED_VALUE"""),"ITBISA-SOCKET-IC-DIP16-NARROW")</f>
        <v>ITBISA-SOCKET-IC-DIP16-NARROW</v>
      </c>
      <c r="B11315" s="266">
        <f>IFERROR(__xludf.DUMMYFUNCTION("""COMPUTED_VALUE"""),45634.0)</f>
        <v>45634</v>
      </c>
      <c r="C11315" s="266" t="str">
        <f>IFERROR(__xludf.DUMMYFUNCTION("""COMPUTED_VALUE"""),"KYAI KONTONG")</f>
        <v>KYAI KONTONG</v>
      </c>
      <c r="D11315" s="186">
        <f>IFERROR(__xludf.DUMMYFUNCTION("""COMPUTED_VALUE"""),5.0)</f>
        <v>5</v>
      </c>
    </row>
    <row r="11316">
      <c r="A11316" s="178" t="str">
        <f>IFERROR(__xludf.DUMMYFUNCTION("""COMPUTED_VALUE"""),"ITBISA-SOCKET-IC-DIP16-NARROW")</f>
        <v>ITBISA-SOCKET-IC-DIP16-NARROW</v>
      </c>
      <c r="B11316" s="266">
        <f>IFERROR(__xludf.DUMMYFUNCTION("""COMPUTED_VALUE"""),45641.0)</f>
        <v>45641</v>
      </c>
      <c r="C11316" s="266" t="str">
        <f>IFERROR(__xludf.DUMMYFUNCTION("""COMPUTED_VALUE"""),"KERTASARI CIAMIS")</f>
        <v>KERTASARI CIAMIS</v>
      </c>
      <c r="D11316" s="186">
        <f>IFERROR(__xludf.DUMMYFUNCTION("""COMPUTED_VALUE"""),200.0)</f>
        <v>200</v>
      </c>
    </row>
    <row r="11317">
      <c r="A11317" s="178" t="str">
        <f>IFERROR(__xludf.DUMMYFUNCTION("""COMPUTED_VALUE"""),"ITBISA-SOCKET-IC-DIP16-NARROW")</f>
        <v>ITBISA-SOCKET-IC-DIP16-NARROW</v>
      </c>
      <c r="B11317" s="266">
        <f>IFERROR(__xludf.DUMMYFUNCTION("""COMPUTED_VALUE"""),45643.0)</f>
        <v>45643</v>
      </c>
      <c r="C11317" s="266" t="str">
        <f>IFERROR(__xludf.DUMMYFUNCTION("""COMPUTED_VALUE"""),"KYAI KONTONG")</f>
        <v>KYAI KONTONG</v>
      </c>
      <c r="D11317" s="186">
        <f>IFERROR(__xludf.DUMMYFUNCTION("""COMPUTED_VALUE"""),10.0)</f>
        <v>10</v>
      </c>
    </row>
    <row r="11318">
      <c r="A11318" s="178" t="str">
        <f>IFERROR(__xludf.DUMMYFUNCTION("""COMPUTED_VALUE"""),"ITBISA-SOCKET-IC-DIP16-NARROW")</f>
        <v>ITBISA-SOCKET-IC-DIP16-NARROW</v>
      </c>
      <c r="B11318" s="266">
        <f>IFERROR(__xludf.DUMMYFUNCTION("""COMPUTED_VALUE"""),45643.0)</f>
        <v>45643</v>
      </c>
      <c r="C11318" s="266" t="str">
        <f>IFERROR(__xludf.DUMMYFUNCTION("""COMPUTED_VALUE"""),"KYAI KONTONG")</f>
        <v>KYAI KONTONG</v>
      </c>
      <c r="D11318" s="186">
        <f>IFERROR(__xludf.DUMMYFUNCTION("""COMPUTED_VALUE"""),100.0)</f>
        <v>100</v>
      </c>
    </row>
    <row r="11319">
      <c r="A11319" s="178" t="str">
        <f>IFERROR(__xludf.DUMMYFUNCTION("""COMPUTED_VALUE"""),"ITBISA-SOCKET-IC-DIP16-NARROW")</f>
        <v>ITBISA-SOCKET-IC-DIP16-NARROW</v>
      </c>
      <c r="B11319" s="266">
        <f>IFERROR(__xludf.DUMMYFUNCTION("""COMPUTED_VALUE"""),45645.0)</f>
        <v>45645</v>
      </c>
      <c r="C11319" s="266" t="str">
        <f>IFERROR(__xludf.DUMMYFUNCTION("""COMPUTED_VALUE"""),"KYAI KONTONG")</f>
        <v>KYAI KONTONG</v>
      </c>
      <c r="D11319" s="186">
        <f>IFERROR(__xludf.DUMMYFUNCTION("""COMPUTED_VALUE"""),10.0)</f>
        <v>10</v>
      </c>
    </row>
    <row r="11320">
      <c r="A11320" s="178" t="str">
        <f>IFERROR(__xludf.DUMMYFUNCTION("""COMPUTED_VALUE"""),"ITBISA-SOCKET-IC-DIP16-NARROW")</f>
        <v>ITBISA-SOCKET-IC-DIP16-NARROW</v>
      </c>
      <c r="B11320" s="266">
        <f>IFERROR(__xludf.DUMMYFUNCTION("""COMPUTED_VALUE"""),45647.0)</f>
        <v>45647</v>
      </c>
      <c r="C11320" s="266" t="str">
        <f>IFERROR(__xludf.DUMMYFUNCTION("""COMPUTED_VALUE"""),"KERTASARI CIAMIS")</f>
        <v>KERTASARI CIAMIS</v>
      </c>
      <c r="D11320" s="186">
        <f>IFERROR(__xludf.DUMMYFUNCTION("""COMPUTED_VALUE"""),200.0)</f>
        <v>200</v>
      </c>
    </row>
    <row r="11321">
      <c r="A11321" s="178" t="str">
        <f>IFERROR(__xludf.DUMMYFUNCTION("""COMPUTED_VALUE"""),"ITBISA-SOCKET-IC-DIP16-NARROW")</f>
        <v>ITBISA-SOCKET-IC-DIP16-NARROW</v>
      </c>
      <c r="B11321" s="266">
        <f>IFERROR(__xludf.DUMMYFUNCTION("""COMPUTED_VALUE"""),45653.0)</f>
        <v>45653</v>
      </c>
      <c r="C11321" s="266" t="str">
        <f>IFERROR(__xludf.DUMMYFUNCTION("""COMPUTED_VALUE"""),"KYAI KONTONG")</f>
        <v>KYAI KONTONG</v>
      </c>
      <c r="D11321" s="186">
        <f>IFERROR(__xludf.DUMMYFUNCTION("""COMPUTED_VALUE"""),50.0)</f>
        <v>50</v>
      </c>
    </row>
    <row r="11322">
      <c r="A11322" s="178" t="str">
        <f>IFERROR(__xludf.DUMMYFUNCTION("""COMPUTED_VALUE"""),"ITBISA-SOCKET-IC-DIP16-NARROW")</f>
        <v>ITBISA-SOCKET-IC-DIP16-NARROW</v>
      </c>
      <c r="B11322" s="266">
        <f>IFERROR(__xludf.DUMMYFUNCTION("""COMPUTED_VALUE"""),45654.0)</f>
        <v>45654</v>
      </c>
      <c r="C11322" s="266" t="str">
        <f>IFERROR(__xludf.DUMMYFUNCTION("""COMPUTED_VALUE"""),"KERTASARI CIAMIS")</f>
        <v>KERTASARI CIAMIS</v>
      </c>
      <c r="D11322" s="186">
        <f>IFERROR(__xludf.DUMMYFUNCTION("""COMPUTED_VALUE"""),200.0)</f>
        <v>200</v>
      </c>
    </row>
    <row r="11323">
      <c r="A11323" s="178" t="str">
        <f>IFERROR(__xludf.DUMMYFUNCTION("""COMPUTED_VALUE"""),"ITBISA-SOCKET-IC-DIP16-NARROW")</f>
        <v>ITBISA-SOCKET-IC-DIP16-NARROW</v>
      </c>
      <c r="B11323" s="266">
        <f>IFERROR(__xludf.DUMMYFUNCTION("""COMPUTED_VALUE"""),45656.0)</f>
        <v>45656</v>
      </c>
      <c r="C11323" s="266" t="str">
        <f>IFERROR(__xludf.DUMMYFUNCTION("""COMPUTED_VALUE"""),"KYAI KONTONG")</f>
        <v>KYAI KONTONG</v>
      </c>
      <c r="D11323" s="186">
        <f>IFERROR(__xludf.DUMMYFUNCTION("""COMPUTED_VALUE"""),70.0)</f>
        <v>70</v>
      </c>
    </row>
    <row r="11324">
      <c r="A11324" s="178" t="str">
        <f>IFERROR(__xludf.DUMMYFUNCTION("""COMPUTED_VALUE"""),"ITBISA-SOCKET-IC-DIP16-NARROW")</f>
        <v>ITBISA-SOCKET-IC-DIP16-NARROW</v>
      </c>
      <c r="B11324" s="266">
        <f>IFERROR(__xludf.DUMMYFUNCTION("""COMPUTED_VALUE"""),45660.0)</f>
        <v>45660</v>
      </c>
      <c r="C11324" s="266" t="str">
        <f>IFERROR(__xludf.DUMMYFUNCTION("""COMPUTED_VALUE"""),"KERTASARI CIAMIS")</f>
        <v>KERTASARI CIAMIS</v>
      </c>
      <c r="D11324" s="186">
        <f>IFERROR(__xludf.DUMMYFUNCTION("""COMPUTED_VALUE"""),230.0)</f>
        <v>230</v>
      </c>
    </row>
    <row r="11325">
      <c r="A11325" s="178" t="str">
        <f>IFERROR(__xludf.DUMMYFUNCTION("""COMPUTED_VALUE"""),"ITBISA-SOCKET-IC-DIP16-NARROW")</f>
        <v>ITBISA-SOCKET-IC-DIP16-NARROW</v>
      </c>
      <c r="B11325" s="266">
        <f>IFERROR(__xludf.DUMMYFUNCTION("""COMPUTED_VALUE"""),45668.0)</f>
        <v>45668</v>
      </c>
      <c r="C11325" s="266" t="str">
        <f>IFERROR(__xludf.DUMMYFUNCTION("""COMPUTED_VALUE"""),"KYAI KONTONG")</f>
        <v>KYAI KONTONG</v>
      </c>
      <c r="D11325" s="186">
        <f>IFERROR(__xludf.DUMMYFUNCTION("""COMPUTED_VALUE"""),150.0)</f>
        <v>150</v>
      </c>
    </row>
    <row r="11326">
      <c r="A11326" s="178" t="str">
        <f>IFERROR(__xludf.DUMMYFUNCTION("""COMPUTED_VALUE"""),"ITBISA-SOCKET-IC-DIP16-NARROW")</f>
        <v>ITBISA-SOCKET-IC-DIP16-NARROW</v>
      </c>
      <c r="B11326" s="266">
        <f>IFERROR(__xludf.DUMMYFUNCTION("""COMPUTED_VALUE"""),45671.0)</f>
        <v>45671</v>
      </c>
      <c r="C11326" s="266" t="str">
        <f>IFERROR(__xludf.DUMMYFUNCTION("""COMPUTED_VALUE"""),"KYAI KONTONG")</f>
        <v>KYAI KONTONG</v>
      </c>
      <c r="D11326" s="186">
        <f>IFERROR(__xludf.DUMMYFUNCTION("""COMPUTED_VALUE"""),5.0)</f>
        <v>5</v>
      </c>
    </row>
    <row r="11327">
      <c r="A11327" s="178" t="str">
        <f>IFERROR(__xludf.DUMMYFUNCTION("""COMPUTED_VALUE"""),"ITBISA-SOCKET-IC-DIP16-NARROW")</f>
        <v>ITBISA-SOCKET-IC-DIP16-NARROW</v>
      </c>
      <c r="B11327" s="266">
        <f>IFERROR(__xludf.DUMMYFUNCTION("""COMPUTED_VALUE"""),45671.0)</f>
        <v>45671</v>
      </c>
      <c r="C11327" s="266" t="str">
        <f>IFERROR(__xludf.DUMMYFUNCTION("""COMPUTED_VALUE"""),"KYAI KONTONG")</f>
        <v>KYAI KONTONG</v>
      </c>
      <c r="D11327" s="186">
        <f>IFERROR(__xludf.DUMMYFUNCTION("""COMPUTED_VALUE"""),10.0)</f>
        <v>10</v>
      </c>
    </row>
    <row r="11328">
      <c r="A11328" s="178" t="str">
        <f>IFERROR(__xludf.DUMMYFUNCTION("""COMPUTED_VALUE"""),"ITBISA-SOCKET-IC-DIP16-NARROW")</f>
        <v>ITBISA-SOCKET-IC-DIP16-NARROW</v>
      </c>
      <c r="B11328" s="266">
        <f>IFERROR(__xludf.DUMMYFUNCTION("""COMPUTED_VALUE"""),45672.0)</f>
        <v>45672</v>
      </c>
      <c r="C11328" s="266" t="str">
        <f>IFERROR(__xludf.DUMMYFUNCTION("""COMPUTED_VALUE"""),"KERTASARI CIAMIS")</f>
        <v>KERTASARI CIAMIS</v>
      </c>
      <c r="D11328" s="186">
        <f>IFERROR(__xludf.DUMMYFUNCTION("""COMPUTED_VALUE"""),300.0)</f>
        <v>300</v>
      </c>
    </row>
    <row r="11329">
      <c r="A11329" s="178" t="str">
        <f>IFERROR(__xludf.DUMMYFUNCTION("""COMPUTED_VALUE"""),"ITBISA-SOCKET-IC-DIP16-NARROW")</f>
        <v>ITBISA-SOCKET-IC-DIP16-NARROW</v>
      </c>
      <c r="B11329" s="266">
        <f>IFERROR(__xludf.DUMMYFUNCTION("""COMPUTED_VALUE"""),45677.0)</f>
        <v>45677</v>
      </c>
      <c r="C11329" s="266" t="str">
        <f>IFERROR(__xludf.DUMMYFUNCTION("""COMPUTED_VALUE"""),"KERTASARI CIAMIS")</f>
        <v>KERTASARI CIAMIS</v>
      </c>
      <c r="D11329" s="186">
        <f>IFERROR(__xludf.DUMMYFUNCTION("""COMPUTED_VALUE"""),230.0)</f>
        <v>230</v>
      </c>
    </row>
    <row r="11330">
      <c r="A11330" s="178" t="str">
        <f>IFERROR(__xludf.DUMMYFUNCTION("""COMPUTED_VALUE"""),"ITBISA-SOCKET-IC-DIP16-NARROW")</f>
        <v>ITBISA-SOCKET-IC-DIP16-NARROW</v>
      </c>
      <c r="B11330" s="266">
        <f>IFERROR(__xludf.DUMMYFUNCTION("""COMPUTED_VALUE"""),45682.0)</f>
        <v>45682</v>
      </c>
      <c r="C11330" s="266" t="str">
        <f>IFERROR(__xludf.DUMMYFUNCTION("""COMPUTED_VALUE"""),"KYAI KONTONG")</f>
        <v>KYAI KONTONG</v>
      </c>
      <c r="D11330" s="186">
        <f>IFERROR(__xludf.DUMMYFUNCTION("""COMPUTED_VALUE"""),200.0)</f>
        <v>200</v>
      </c>
    </row>
    <row r="11331">
      <c r="A11331" s="178" t="str">
        <f>IFERROR(__xludf.DUMMYFUNCTION("""COMPUTED_VALUE"""),"ITBISA-SOCKET-IC-DIP16-NARROW")</f>
        <v>ITBISA-SOCKET-IC-DIP16-NARROW</v>
      </c>
      <c r="B11331" s="266">
        <f>IFERROR(__xludf.DUMMYFUNCTION("""COMPUTED_VALUE"""),45689.0)</f>
        <v>45689</v>
      </c>
      <c r="C11331" s="266" t="str">
        <f>IFERROR(__xludf.DUMMYFUNCTION("""COMPUTED_VALUE"""),"KERTASARI CIAMIS")</f>
        <v>KERTASARI CIAMIS</v>
      </c>
      <c r="D11331" s="186">
        <f>IFERROR(__xludf.DUMMYFUNCTION("""COMPUTED_VALUE"""),230.0)</f>
        <v>230</v>
      </c>
    </row>
    <row r="11332">
      <c r="A11332" s="178" t="str">
        <f>IFERROR(__xludf.DUMMYFUNCTION("""COMPUTED_VALUE"""),"ITBISA-SOCKET-IC-DIP16-NARROW")</f>
        <v>ITBISA-SOCKET-IC-DIP16-NARROW</v>
      </c>
      <c r="B11332" s="266">
        <f>IFERROR(__xludf.DUMMYFUNCTION("""COMPUTED_VALUE"""),45691.0)</f>
        <v>45691</v>
      </c>
      <c r="C11332" s="266" t="str">
        <f>IFERROR(__xludf.DUMMYFUNCTION("""COMPUTED_VALUE"""),"KERTASARI CIAMIS")</f>
        <v>KERTASARI CIAMIS</v>
      </c>
      <c r="D11332" s="186">
        <f>IFERROR(__xludf.DUMMYFUNCTION("""COMPUTED_VALUE"""),8.0)</f>
        <v>8</v>
      </c>
    </row>
    <row r="11333">
      <c r="A11333" s="178" t="str">
        <f>IFERROR(__xludf.DUMMYFUNCTION("""COMPUTED_VALUE"""),"ITBISA-SOCKET-IC-DIP16-NARROW")</f>
        <v>ITBISA-SOCKET-IC-DIP16-NARROW</v>
      </c>
      <c r="B11333" s="266">
        <f>IFERROR(__xludf.DUMMYFUNCTION("""COMPUTED_VALUE"""),45693.0)</f>
        <v>45693</v>
      </c>
      <c r="C11333" s="266" t="str">
        <f>IFERROR(__xludf.DUMMYFUNCTION("""COMPUTED_VALUE"""),"KERTASARI CIAMIS")</f>
        <v>KERTASARI CIAMIS</v>
      </c>
      <c r="D11333" s="186">
        <f>IFERROR(__xludf.DUMMYFUNCTION("""COMPUTED_VALUE"""),50.0)</f>
        <v>50</v>
      </c>
    </row>
    <row r="11334">
      <c r="A11334" s="178" t="str">
        <f>IFERROR(__xludf.DUMMYFUNCTION("""COMPUTED_VALUE"""),"ITBISA-SOCKET-IC-DIP16-NARROW")</f>
        <v>ITBISA-SOCKET-IC-DIP16-NARROW</v>
      </c>
      <c r="B11334" s="266">
        <f>IFERROR(__xludf.DUMMYFUNCTION("""COMPUTED_VALUE"""),45699.0)</f>
        <v>45699</v>
      </c>
      <c r="C11334" s="266" t="str">
        <f>IFERROR(__xludf.DUMMYFUNCTION("""COMPUTED_VALUE"""),"KERTASARI CIAMIS")</f>
        <v>KERTASARI CIAMIS</v>
      </c>
      <c r="D11334" s="186">
        <f>IFERROR(__xludf.DUMMYFUNCTION("""COMPUTED_VALUE"""),20.0)</f>
        <v>20</v>
      </c>
    </row>
    <row r="11335">
      <c r="A11335" s="178" t="str">
        <f>IFERROR(__xludf.DUMMYFUNCTION("""COMPUTED_VALUE"""),"ITBISA-SOCKET-IC-DIP16-NARROW")</f>
        <v>ITBISA-SOCKET-IC-DIP16-NARROW</v>
      </c>
      <c r="B11335" s="266">
        <f>IFERROR(__xludf.DUMMYFUNCTION("""COMPUTED_VALUE"""),45699.0)</f>
        <v>45699</v>
      </c>
      <c r="C11335" s="266" t="str">
        <f>IFERROR(__xludf.DUMMYFUNCTION("""COMPUTED_VALUE"""),"KERTASARI CIAMIS")</f>
        <v>KERTASARI CIAMIS</v>
      </c>
      <c r="D11335" s="186">
        <f>IFERROR(__xludf.DUMMYFUNCTION("""COMPUTED_VALUE"""),110.0)</f>
        <v>110</v>
      </c>
    </row>
    <row r="11336">
      <c r="A11336" s="178" t="str">
        <f>IFERROR(__xludf.DUMMYFUNCTION("""COMPUTED_VALUE"""),"ITBISA-SOCKET-IC-DIP16-NARROW")</f>
        <v>ITBISA-SOCKET-IC-DIP16-NARROW</v>
      </c>
      <c r="B11336" s="266">
        <f>IFERROR(__xludf.DUMMYFUNCTION("""COMPUTED_VALUE"""),45704.0)</f>
        <v>45704</v>
      </c>
      <c r="C11336" s="266" t="str">
        <f>IFERROR(__xludf.DUMMYFUNCTION("""COMPUTED_VALUE"""),"KERTASARI CIAMIS")</f>
        <v>KERTASARI CIAMIS</v>
      </c>
      <c r="D11336" s="186">
        <f>IFERROR(__xludf.DUMMYFUNCTION("""COMPUTED_VALUE"""),100.0)</f>
        <v>100</v>
      </c>
    </row>
    <row r="11337">
      <c r="A11337" s="178" t="str">
        <f>IFERROR(__xludf.DUMMYFUNCTION("""COMPUTED_VALUE"""),"ITBISA-SOCKET-IC-DIP16-NARROW")</f>
        <v>ITBISA-SOCKET-IC-DIP16-NARROW</v>
      </c>
      <c r="B11337" s="266">
        <f>IFERROR(__xludf.DUMMYFUNCTION("""COMPUTED_VALUE"""),45706.0)</f>
        <v>45706</v>
      </c>
      <c r="C11337" s="266" t="str">
        <f>IFERROR(__xludf.DUMMYFUNCTION("""COMPUTED_VALUE"""),"KERTASARI CIAMIS")</f>
        <v>KERTASARI CIAMIS</v>
      </c>
      <c r="D11337" s="186">
        <f>IFERROR(__xludf.DUMMYFUNCTION("""COMPUTED_VALUE"""),200.0)</f>
        <v>200</v>
      </c>
    </row>
    <row r="11338">
      <c r="A11338" s="178" t="str">
        <f>IFERROR(__xludf.DUMMYFUNCTION("""COMPUTED_VALUE"""),"ITBISA-SOCKET-IC-DIP16-NARROW")</f>
        <v>ITBISA-SOCKET-IC-DIP16-NARROW</v>
      </c>
      <c r="B11338" s="266">
        <f>IFERROR(__xludf.DUMMYFUNCTION("""COMPUTED_VALUE"""),45709.0)</f>
        <v>45709</v>
      </c>
      <c r="C11338" s="266" t="str">
        <f>IFERROR(__xludf.DUMMYFUNCTION("""COMPUTED_VALUE"""),"KYAI KONTONG")</f>
        <v>KYAI KONTONG</v>
      </c>
      <c r="D11338" s="186">
        <f>IFERROR(__xludf.DUMMYFUNCTION("""COMPUTED_VALUE"""),80.0)</f>
        <v>80</v>
      </c>
    </row>
    <row r="11339">
      <c r="A11339" s="178" t="str">
        <f>IFERROR(__xludf.DUMMYFUNCTION("""COMPUTED_VALUE"""),"ITBISA-SOCKET-IC-DIP16-NARROW")</f>
        <v>ITBISA-SOCKET-IC-DIP16-NARROW</v>
      </c>
      <c r="B11339" s="266">
        <f>IFERROR(__xludf.DUMMYFUNCTION("""COMPUTED_VALUE"""),45713.0)</f>
        <v>45713</v>
      </c>
      <c r="C11339" s="266" t="str">
        <f>IFERROR(__xludf.DUMMYFUNCTION("""COMPUTED_VALUE"""),"KERTASARI CIAMIS")</f>
        <v>KERTASARI CIAMIS</v>
      </c>
      <c r="D11339" s="186">
        <f>IFERROR(__xludf.DUMMYFUNCTION("""COMPUTED_VALUE"""),200.0)</f>
        <v>200</v>
      </c>
    </row>
    <row r="11340">
      <c r="A11340" s="178" t="str">
        <f>IFERROR(__xludf.DUMMYFUNCTION("""COMPUTED_VALUE"""),"ITBISA-SOCKET-IC-DIP16-NARROW")</f>
        <v>ITBISA-SOCKET-IC-DIP16-NARROW</v>
      </c>
      <c r="B11340" s="266">
        <f>IFERROR(__xludf.DUMMYFUNCTION("""COMPUTED_VALUE"""),45713.0)</f>
        <v>45713</v>
      </c>
      <c r="C11340" s="266" t="str">
        <f>IFERROR(__xludf.DUMMYFUNCTION("""COMPUTED_VALUE"""),"KERTASARI CIAMIS")</f>
        <v>KERTASARI CIAMIS</v>
      </c>
      <c r="D11340" s="186">
        <f>IFERROR(__xludf.DUMMYFUNCTION("""COMPUTED_VALUE"""),400.0)</f>
        <v>400</v>
      </c>
    </row>
    <row r="11341">
      <c r="A11341" s="178" t="str">
        <f>IFERROR(__xludf.DUMMYFUNCTION("""COMPUTED_VALUE"""),"ITBISA-SOCKET-IC-DIP16-NARROW")</f>
        <v>ITBISA-SOCKET-IC-DIP16-NARROW</v>
      </c>
      <c r="B11341" s="266">
        <f>IFERROR(__xludf.DUMMYFUNCTION("""COMPUTED_VALUE"""),45715.0)</f>
        <v>45715</v>
      </c>
      <c r="C11341" s="266" t="str">
        <f>IFERROR(__xludf.DUMMYFUNCTION("""COMPUTED_VALUE"""),"KYAI KONTONG")</f>
        <v>KYAI KONTONG</v>
      </c>
      <c r="D11341" s="186">
        <f>IFERROR(__xludf.DUMMYFUNCTION("""COMPUTED_VALUE"""),10.0)</f>
        <v>10</v>
      </c>
    </row>
    <row r="11342">
      <c r="A11342" s="178" t="str">
        <f>IFERROR(__xludf.DUMMYFUNCTION("""COMPUTED_VALUE"""),"ITBISA-SOCKET-IC-DIP16-NARROW")</f>
        <v>ITBISA-SOCKET-IC-DIP16-NARROW</v>
      </c>
      <c r="B11342" s="266">
        <f>IFERROR(__xludf.DUMMYFUNCTION("""COMPUTED_VALUE"""),45718.0)</f>
        <v>45718</v>
      </c>
      <c r="C11342" s="266" t="str">
        <f>IFERROR(__xludf.DUMMYFUNCTION("""COMPUTED_VALUE"""),"KYAI KONTONG")</f>
        <v>KYAI KONTONG</v>
      </c>
      <c r="D11342" s="186">
        <f>IFERROR(__xludf.DUMMYFUNCTION("""COMPUTED_VALUE"""),100.0)</f>
        <v>100</v>
      </c>
    </row>
    <row r="11343">
      <c r="A11343" s="178" t="str">
        <f>IFERROR(__xludf.DUMMYFUNCTION("""COMPUTED_VALUE"""),"ITBISA-SOCKET-IC-DIP16-NARROW")</f>
        <v>ITBISA-SOCKET-IC-DIP16-NARROW</v>
      </c>
      <c r="B11343" s="266">
        <f>IFERROR(__xludf.DUMMYFUNCTION("""COMPUTED_VALUE"""),45719.0)</f>
        <v>45719</v>
      </c>
      <c r="C11343" s="266" t="str">
        <f>IFERROR(__xludf.DUMMYFUNCTION("""COMPUTED_VALUE"""),"KERTASARI CIAMIS")</f>
        <v>KERTASARI CIAMIS</v>
      </c>
      <c r="D11343" s="186">
        <f>IFERROR(__xludf.DUMMYFUNCTION("""COMPUTED_VALUE"""),100.0)</f>
        <v>100</v>
      </c>
    </row>
    <row r="11344">
      <c r="A11344" s="178" t="str">
        <f>IFERROR(__xludf.DUMMYFUNCTION("""COMPUTED_VALUE"""),"ITBISA-SOCKET-IC-DIP16-NARROW")</f>
        <v>ITBISA-SOCKET-IC-DIP16-NARROW</v>
      </c>
      <c r="B11344" s="266">
        <f>IFERROR(__xludf.DUMMYFUNCTION("""COMPUTED_VALUE"""),45722.0)</f>
        <v>45722</v>
      </c>
      <c r="C11344" s="266" t="str">
        <f>IFERROR(__xludf.DUMMYFUNCTION("""COMPUTED_VALUE"""),"KERTASARI CIAMIS")</f>
        <v>KERTASARI CIAMIS</v>
      </c>
      <c r="D11344" s="186">
        <f>IFERROR(__xludf.DUMMYFUNCTION("""COMPUTED_VALUE"""),220.0)</f>
        <v>220</v>
      </c>
    </row>
    <row r="11345">
      <c r="A11345" s="178" t="str">
        <f>IFERROR(__xludf.DUMMYFUNCTION("""COMPUTED_VALUE"""),"ITBISA-SOCKET-IC-DIP16-NARROW")</f>
        <v>ITBISA-SOCKET-IC-DIP16-NARROW</v>
      </c>
      <c r="B11345" s="266">
        <f>IFERROR(__xludf.DUMMYFUNCTION("""COMPUTED_VALUE"""),45733.0)</f>
        <v>45733</v>
      </c>
      <c r="C11345" s="266" t="str">
        <f>IFERROR(__xludf.DUMMYFUNCTION("""COMPUTED_VALUE"""),"KERTASARI CIAMIS")</f>
        <v>KERTASARI CIAMIS</v>
      </c>
      <c r="D11345" s="186">
        <f>IFERROR(__xludf.DUMMYFUNCTION("""COMPUTED_VALUE"""),220.0)</f>
        <v>220</v>
      </c>
    </row>
    <row r="11346">
      <c r="A11346" s="178" t="str">
        <f>IFERROR(__xludf.DUMMYFUNCTION("""COMPUTED_VALUE"""),"ITBISA-SOCKET-IC-DIP16-NARROW")</f>
        <v>ITBISA-SOCKET-IC-DIP16-NARROW</v>
      </c>
      <c r="B11346" s="266">
        <f>IFERROR(__xludf.DUMMYFUNCTION("""COMPUTED_VALUE"""),45741.0)</f>
        <v>45741</v>
      </c>
      <c r="C11346" s="266" t="str">
        <f>IFERROR(__xludf.DUMMYFUNCTION("""COMPUTED_VALUE"""),"KERTASARI CIAMIS")</f>
        <v>KERTASARI CIAMIS</v>
      </c>
      <c r="D11346" s="186">
        <f>IFERROR(__xludf.DUMMYFUNCTION("""COMPUTED_VALUE"""),230.0)</f>
        <v>230</v>
      </c>
    </row>
    <row r="11347">
      <c r="A11347" s="178" t="str">
        <f>IFERROR(__xludf.DUMMYFUNCTION("""COMPUTED_VALUE"""),"ITBISA-SOCKET-IC-DIP16-NARROW")</f>
        <v>ITBISA-SOCKET-IC-DIP16-NARROW</v>
      </c>
      <c r="B11347" s="266">
        <f>IFERROR(__xludf.DUMMYFUNCTION("""COMPUTED_VALUE"""),45753.0)</f>
        <v>45753</v>
      </c>
      <c r="C11347" s="266" t="str">
        <f>IFERROR(__xludf.DUMMYFUNCTION("""COMPUTED_VALUE"""),"KERTASARI CIAMIS")</f>
        <v>KERTASARI CIAMIS</v>
      </c>
      <c r="D11347" s="186">
        <f>IFERROR(__xludf.DUMMYFUNCTION("""COMPUTED_VALUE"""),100.0)</f>
        <v>100</v>
      </c>
    </row>
    <row r="11348">
      <c r="A11348" s="178" t="str">
        <f>IFERROR(__xludf.DUMMYFUNCTION("""COMPUTED_VALUE"""),"ITBISA-SOCKET-IC-DIP16-NARROW")</f>
        <v>ITBISA-SOCKET-IC-DIP16-NARROW</v>
      </c>
      <c r="B11348" s="266">
        <f>IFERROR(__xludf.DUMMYFUNCTION("""COMPUTED_VALUE"""),45759.0)</f>
        <v>45759</v>
      </c>
      <c r="C11348" s="266" t="str">
        <f>IFERROR(__xludf.DUMMYFUNCTION("""COMPUTED_VALUE"""),"KERTASARI CIAMIS")</f>
        <v>KERTASARI CIAMIS</v>
      </c>
      <c r="D11348" s="186">
        <f>IFERROR(__xludf.DUMMYFUNCTION("""COMPUTED_VALUE"""),220.0)</f>
        <v>220</v>
      </c>
    </row>
    <row r="11349">
      <c r="A11349" s="178" t="str">
        <f>IFERROR(__xludf.DUMMYFUNCTION("""COMPUTED_VALUE"""),"ITBISA-SOCKET-IC-DIP16-NARROW")</f>
        <v>ITBISA-SOCKET-IC-DIP16-NARROW</v>
      </c>
      <c r="B11349" s="266">
        <f>IFERROR(__xludf.DUMMYFUNCTION("""COMPUTED_VALUE"""),45769.0)</f>
        <v>45769</v>
      </c>
      <c r="C11349" s="266" t="str">
        <f>IFERROR(__xludf.DUMMYFUNCTION("""COMPUTED_VALUE"""),"KERTASARI CIAMIS")</f>
        <v>KERTASARI CIAMIS</v>
      </c>
      <c r="D11349" s="186">
        <f>IFERROR(__xludf.DUMMYFUNCTION("""COMPUTED_VALUE"""),10.0)</f>
        <v>10</v>
      </c>
    </row>
    <row r="11350">
      <c r="A11350" s="178" t="str">
        <f>IFERROR(__xludf.DUMMYFUNCTION("""COMPUTED_VALUE"""),"ITBISA-SOCKET-IC-DIP16-NARROW")</f>
        <v>ITBISA-SOCKET-IC-DIP16-NARROW</v>
      </c>
      <c r="B11350" s="266">
        <f>IFERROR(__xludf.DUMMYFUNCTION("""COMPUTED_VALUE"""),45769.0)</f>
        <v>45769</v>
      </c>
      <c r="C11350" s="266" t="str">
        <f>IFERROR(__xludf.DUMMYFUNCTION("""COMPUTED_VALUE"""),"KERTASARI CIAMIS")</f>
        <v>KERTASARI CIAMIS</v>
      </c>
      <c r="D11350" s="186">
        <f>IFERROR(__xludf.DUMMYFUNCTION("""COMPUTED_VALUE"""),100.0)</f>
        <v>100</v>
      </c>
    </row>
    <row r="11351">
      <c r="A11351" s="178" t="str">
        <f>IFERROR(__xludf.DUMMYFUNCTION("""COMPUTED_VALUE"""),"ITBISA-SOCKET-IC-DIP16-NARROW")</f>
        <v>ITBISA-SOCKET-IC-DIP16-NARROW</v>
      </c>
      <c r="B11351" s="266">
        <f>IFERROR(__xludf.DUMMYFUNCTION("""COMPUTED_VALUE"""),45777.0)</f>
        <v>45777</v>
      </c>
      <c r="C11351" s="266" t="str">
        <f>IFERROR(__xludf.DUMMYFUNCTION("""COMPUTED_VALUE"""),"KERTASARI CIAMIS")</f>
        <v>KERTASARI CIAMIS</v>
      </c>
      <c r="D11351" s="186">
        <f>IFERROR(__xludf.DUMMYFUNCTION("""COMPUTED_VALUE"""),230.0)</f>
        <v>230</v>
      </c>
    </row>
    <row r="11352">
      <c r="A11352" s="178" t="str">
        <f>IFERROR(__xludf.DUMMYFUNCTION("""COMPUTED_VALUE"""),"ITBISA-SOCKET-IC-DIP16-NARROW")</f>
        <v>ITBISA-SOCKET-IC-DIP16-NARROW</v>
      </c>
      <c r="B11352" s="266">
        <f>IFERROR(__xludf.DUMMYFUNCTION("""COMPUTED_VALUE"""),45787.0)</f>
        <v>45787</v>
      </c>
      <c r="C11352" s="266" t="str">
        <f>IFERROR(__xludf.DUMMYFUNCTION("""COMPUTED_VALUE"""),"KYAI KONTONG")</f>
        <v>KYAI KONTONG</v>
      </c>
      <c r="D11352" s="186">
        <f>IFERROR(__xludf.DUMMYFUNCTION("""COMPUTED_VALUE"""),200.0)</f>
        <v>200</v>
      </c>
    </row>
    <row r="11353">
      <c r="A11353" s="178" t="str">
        <f>IFERROR(__xludf.DUMMYFUNCTION("""COMPUTED_VALUE"""),"ITBISA-SOCKET-IC-DIP16-NARROW")</f>
        <v>ITBISA-SOCKET-IC-DIP16-NARROW</v>
      </c>
      <c r="B11353" s="266">
        <f>IFERROR(__xludf.DUMMYFUNCTION("""COMPUTED_VALUE"""),45790.0)</f>
        <v>45790</v>
      </c>
      <c r="C11353" s="266" t="str">
        <f>IFERROR(__xludf.DUMMYFUNCTION("""COMPUTED_VALUE"""),"KERTASARI CIAMIS")</f>
        <v>KERTASARI CIAMIS</v>
      </c>
      <c r="D11353" s="186">
        <f>IFERROR(__xludf.DUMMYFUNCTION("""COMPUTED_VALUE"""),10.0)</f>
        <v>10</v>
      </c>
    </row>
    <row r="11354">
      <c r="A11354" s="178" t="str">
        <f>IFERROR(__xludf.DUMMYFUNCTION("""COMPUTED_VALUE"""),"ITBISA-SOCKET-IC-DIP16-NARROW")</f>
        <v>ITBISA-SOCKET-IC-DIP16-NARROW</v>
      </c>
      <c r="B11354" s="266">
        <f>IFERROR(__xludf.DUMMYFUNCTION("""COMPUTED_VALUE"""),45793.0)</f>
        <v>45793</v>
      </c>
      <c r="C11354" s="266" t="str">
        <f>IFERROR(__xludf.DUMMYFUNCTION("""COMPUTED_VALUE"""),"KYAI KONTONG")</f>
        <v>KYAI KONTONG</v>
      </c>
      <c r="D11354" s="186">
        <f>IFERROR(__xludf.DUMMYFUNCTION("""COMPUTED_VALUE"""),230.0)</f>
        <v>230</v>
      </c>
    </row>
    <row r="11355">
      <c r="A11355" s="178" t="str">
        <f>IFERROR(__xludf.DUMMYFUNCTION("""COMPUTED_VALUE"""),"ITBISA-SOCKET-IC-DIP16-NARROW")</f>
        <v>ITBISA-SOCKET-IC-DIP16-NARROW</v>
      </c>
      <c r="B11355" s="266">
        <f>IFERROR(__xludf.DUMMYFUNCTION("""COMPUTED_VALUE"""),45800.0)</f>
        <v>45800</v>
      </c>
      <c r="C11355" s="266" t="str">
        <f>IFERROR(__xludf.DUMMYFUNCTION("""COMPUTED_VALUE"""),"KYAI KONTONG")</f>
        <v>KYAI KONTONG</v>
      </c>
      <c r="D11355" s="186">
        <f>IFERROR(__xludf.DUMMYFUNCTION("""COMPUTED_VALUE"""),230.0)</f>
        <v>230</v>
      </c>
    </row>
    <row r="11356">
      <c r="A11356" s="178" t="str">
        <f>IFERROR(__xludf.DUMMYFUNCTION("""COMPUTED_VALUE"""),"ITBISA-SOCKET-IC-DIP16-NARROW")</f>
        <v>ITBISA-SOCKET-IC-DIP16-NARROW</v>
      </c>
      <c r="B11356" s="266">
        <f>IFERROR(__xludf.DUMMYFUNCTION("""COMPUTED_VALUE"""),45808.0)</f>
        <v>45808</v>
      </c>
      <c r="C11356" s="266" t="str">
        <f>IFERROR(__xludf.DUMMYFUNCTION("""COMPUTED_VALUE"""),"KERTASARI CIAMIS")</f>
        <v>KERTASARI CIAMIS</v>
      </c>
      <c r="D11356" s="186">
        <f>IFERROR(__xludf.DUMMYFUNCTION("""COMPUTED_VALUE"""),30.0)</f>
        <v>30</v>
      </c>
    </row>
    <row r="11357">
      <c r="A11357" s="178" t="str">
        <f>IFERROR(__xludf.DUMMYFUNCTION("""COMPUTED_VALUE"""),"ITBISA-SOCKET-IC-DIP16-NARROW")</f>
        <v>ITBISA-SOCKET-IC-DIP16-NARROW</v>
      </c>
      <c r="B11357" s="266">
        <f>IFERROR(__xludf.DUMMYFUNCTION("""COMPUTED_VALUE"""),45822.0)</f>
        <v>45822</v>
      </c>
      <c r="C11357" s="266" t="str">
        <f>IFERROR(__xludf.DUMMYFUNCTION("""COMPUTED_VALUE"""),"KYAI KONTONG")</f>
        <v>KYAI KONTONG</v>
      </c>
      <c r="D11357" s="186">
        <f>IFERROR(__xludf.DUMMYFUNCTION("""COMPUTED_VALUE"""),238.0)</f>
        <v>238</v>
      </c>
    </row>
    <row r="11358">
      <c r="A11358" s="178" t="str">
        <f>IFERROR(__xludf.DUMMYFUNCTION("""COMPUTED_VALUE"""),"ITBISA-SOCKET-IC-DIP16-NARROW")</f>
        <v>ITBISA-SOCKET-IC-DIP16-NARROW</v>
      </c>
      <c r="B11358" s="266">
        <f>IFERROR(__xludf.DUMMYFUNCTION("""COMPUTED_VALUE"""),45830.0)</f>
        <v>45830</v>
      </c>
      <c r="C11358" s="266" t="str">
        <f>IFERROR(__xludf.DUMMYFUNCTION("""COMPUTED_VALUE"""),"KYAI KONTONG")</f>
        <v>KYAI KONTONG</v>
      </c>
      <c r="D11358" s="186">
        <f>IFERROR(__xludf.DUMMYFUNCTION("""COMPUTED_VALUE"""),232.0)</f>
        <v>232</v>
      </c>
    </row>
    <row r="11359">
      <c r="A11359" s="178" t="str">
        <f>IFERROR(__xludf.DUMMYFUNCTION("""COMPUTED_VALUE"""),"ITBISA-SOCKET-IC-DIP16-NARROW")</f>
        <v>ITBISA-SOCKET-IC-DIP16-NARROW</v>
      </c>
      <c r="B11359" s="266">
        <f>IFERROR(__xludf.DUMMYFUNCTION("""COMPUTED_VALUE"""),45838.0)</f>
        <v>45838</v>
      </c>
      <c r="C11359" s="266" t="str">
        <f>IFERROR(__xludf.DUMMYFUNCTION("""COMPUTED_VALUE"""),"KERTASARI CIAMIS")</f>
        <v>KERTASARI CIAMIS</v>
      </c>
      <c r="D11359" s="186">
        <f>IFERROR(__xludf.DUMMYFUNCTION("""COMPUTED_VALUE"""),220.0)</f>
        <v>220</v>
      </c>
    </row>
    <row r="11360">
      <c r="A11360" s="178" t="str">
        <f>IFERROR(__xludf.DUMMYFUNCTION("""COMPUTED_VALUE"""),"ITBISA-SOCKET-IC-DIP16-NARROW")</f>
        <v>ITBISA-SOCKET-IC-DIP16-NARROW</v>
      </c>
      <c r="B11360" s="266">
        <f>IFERROR(__xludf.DUMMYFUNCTION("""COMPUTED_VALUE"""),45855.0)</f>
        <v>45855</v>
      </c>
      <c r="C11360" s="266" t="str">
        <f>IFERROR(__xludf.DUMMYFUNCTION("""COMPUTED_VALUE"""),"KYAI KONTONG")</f>
        <v>KYAI KONTONG</v>
      </c>
      <c r="D11360" s="186">
        <f>IFERROR(__xludf.DUMMYFUNCTION("""COMPUTED_VALUE"""),10.0)</f>
        <v>10</v>
      </c>
    </row>
    <row r="11361">
      <c r="A11361" s="178" t="str">
        <f>IFERROR(__xludf.DUMMYFUNCTION("""COMPUTED_VALUE"""),"ITBISA-SOCKET-IC-DIP16-NARROW")</f>
        <v>ITBISA-SOCKET-IC-DIP16-NARROW</v>
      </c>
      <c r="B11361" s="266">
        <f>IFERROR(__xludf.DUMMYFUNCTION("""COMPUTED_VALUE"""),45858.0)</f>
        <v>45858</v>
      </c>
      <c r="C11361" s="266" t="str">
        <f>IFERROR(__xludf.DUMMYFUNCTION("""COMPUTED_VALUE"""),"KERTASARI CIAMIS")</f>
        <v>KERTASARI CIAMIS</v>
      </c>
      <c r="D11361" s="186">
        <f>IFERROR(__xludf.DUMMYFUNCTION("""COMPUTED_VALUE"""),230.0)</f>
        <v>230</v>
      </c>
    </row>
    <row r="11362">
      <c r="A11362" s="178" t="str">
        <f>IFERROR(__xludf.DUMMYFUNCTION("""COMPUTED_VALUE"""),"ITBISA-SOCKET-IC-DIP16-NARROW")</f>
        <v>ITBISA-SOCKET-IC-DIP16-NARROW</v>
      </c>
      <c r="B11362" s="266">
        <f>IFERROR(__xludf.DUMMYFUNCTION("""COMPUTED_VALUE"""),45863.0)</f>
        <v>45863</v>
      </c>
      <c r="C11362" s="266" t="str">
        <f>IFERROR(__xludf.DUMMYFUNCTION("""COMPUTED_VALUE"""),"KYAI KONTONG")</f>
        <v>KYAI KONTONG</v>
      </c>
      <c r="D11362" s="186">
        <f>IFERROR(__xludf.DUMMYFUNCTION("""COMPUTED_VALUE"""),6.0)</f>
        <v>6</v>
      </c>
    </row>
    <row r="11363">
      <c r="A11363" s="178" t="str">
        <f>IFERROR(__xludf.DUMMYFUNCTION("""COMPUTED_VALUE"""),"ITBISA-SOCKET-IC-DIP16-NARROW")</f>
        <v>ITBISA-SOCKET-IC-DIP16-NARROW</v>
      </c>
      <c r="B11363" s="266">
        <f>IFERROR(__xludf.DUMMYFUNCTION("""COMPUTED_VALUE"""),45866.0)</f>
        <v>45866</v>
      </c>
      <c r="C11363" s="266" t="str">
        <f>IFERROR(__xludf.DUMMYFUNCTION("""COMPUTED_VALUE"""),"KERTASARI CIAMIS")</f>
        <v>KERTASARI CIAMIS</v>
      </c>
      <c r="D11363" s="186">
        <f>IFERROR(__xludf.DUMMYFUNCTION("""COMPUTED_VALUE"""),220.0)</f>
        <v>220</v>
      </c>
    </row>
    <row r="11364">
      <c r="A11364" s="178" t="str">
        <f>IFERROR(__xludf.DUMMYFUNCTION("""COMPUTED_VALUE"""),"ITBISA-SOCKET-IC-DIP16-NARROW")</f>
        <v>ITBISA-SOCKET-IC-DIP16-NARROW</v>
      </c>
      <c r="B11364" s="266">
        <f>IFERROR(__xludf.DUMMYFUNCTION("""COMPUTED_VALUE"""),45872.0)</f>
        <v>45872</v>
      </c>
      <c r="C11364" s="266" t="str">
        <f>IFERROR(__xludf.DUMMYFUNCTION("""COMPUTED_VALUE"""),"KERTASARI CIAMIS")</f>
        <v>KERTASARI CIAMIS</v>
      </c>
      <c r="D11364" s="186">
        <f>IFERROR(__xludf.DUMMYFUNCTION("""COMPUTED_VALUE"""),220.0)</f>
        <v>220</v>
      </c>
    </row>
    <row r="11365">
      <c r="A11365" s="178" t="str">
        <f>IFERROR(__xludf.DUMMYFUNCTION("""COMPUTED_VALUE"""),"ITBISA-SOCKET-IC-DIP16-NARROW")</f>
        <v>ITBISA-SOCKET-IC-DIP16-NARROW</v>
      </c>
      <c r="B11365" s="266">
        <f>IFERROR(__xludf.DUMMYFUNCTION("""COMPUTED_VALUE"""),45881.0)</f>
        <v>45881</v>
      </c>
      <c r="C11365" s="266" t="str">
        <f>IFERROR(__xludf.DUMMYFUNCTION("""COMPUTED_VALUE"""),"KERTASARI CIAMIS")</f>
        <v>KERTASARI CIAMIS</v>
      </c>
      <c r="D11365" s="186">
        <f>IFERROR(__xludf.DUMMYFUNCTION("""COMPUTED_VALUE"""),220.0)</f>
        <v>220</v>
      </c>
    </row>
    <row r="11366">
      <c r="A11366" s="178" t="str">
        <f>IFERROR(__xludf.DUMMYFUNCTION("""COMPUTED_VALUE"""),"ITBISA-SOCKET-IC-DIP16-NARROW")</f>
        <v>ITBISA-SOCKET-IC-DIP16-NARROW</v>
      </c>
      <c r="B11366" s="266">
        <f>IFERROR(__xludf.DUMMYFUNCTION("""COMPUTED_VALUE"""),45881.0)</f>
        <v>45881</v>
      </c>
      <c r="C11366" s="266" t="str">
        <f>IFERROR(__xludf.DUMMYFUNCTION("""COMPUTED_VALUE"""),"KYAI KONTONG")</f>
        <v>KYAI KONTONG</v>
      </c>
      <c r="D11366" s="186">
        <f>IFERROR(__xludf.DUMMYFUNCTION("""COMPUTED_VALUE"""),5.0)</f>
        <v>5</v>
      </c>
    </row>
    <row r="11367">
      <c r="A11367" s="178" t="str">
        <f>IFERROR(__xludf.DUMMYFUNCTION("""COMPUTED_VALUE"""),"ITBISA-SOCKET-IC-DIP16-NARROW")</f>
        <v>ITBISA-SOCKET-IC-DIP16-NARROW</v>
      </c>
      <c r="B11367" s="266">
        <f>IFERROR(__xludf.DUMMYFUNCTION("""COMPUTED_VALUE"""),45888.0)</f>
        <v>45888</v>
      </c>
      <c r="C11367" s="266" t="str">
        <f>IFERROR(__xludf.DUMMYFUNCTION("""COMPUTED_VALUE"""),"KERTASARI CIAMIS")</f>
        <v>KERTASARI CIAMIS</v>
      </c>
      <c r="D11367" s="186">
        <f>IFERROR(__xludf.DUMMYFUNCTION("""COMPUTED_VALUE"""),200.0)</f>
        <v>200</v>
      </c>
    </row>
    <row r="11368">
      <c r="A11368" s="178" t="str">
        <f>IFERROR(__xludf.DUMMYFUNCTION("""COMPUTED_VALUE"""),"ITBISA-SOCKET-IC-DIP16-NARROW")</f>
        <v>ITBISA-SOCKET-IC-DIP16-NARROW</v>
      </c>
      <c r="B11368" s="266">
        <f>IFERROR(__xludf.DUMMYFUNCTION("""COMPUTED_VALUE"""),45894.0)</f>
        <v>45894</v>
      </c>
      <c r="C11368" s="266" t="str">
        <f>IFERROR(__xludf.DUMMYFUNCTION("""COMPUTED_VALUE"""),"KERTASARI CIAMIS")</f>
        <v>KERTASARI CIAMIS</v>
      </c>
      <c r="D11368" s="186">
        <f>IFERROR(__xludf.DUMMYFUNCTION("""COMPUTED_VALUE"""),220.0)</f>
        <v>220</v>
      </c>
    </row>
    <row r="11369">
      <c r="A11369" s="178" t="str">
        <f>IFERROR(__xludf.DUMMYFUNCTION("""COMPUTED_VALUE"""),"ITBISA-SOCKET-IC-DIP16-NARROW")</f>
        <v>ITBISA-SOCKET-IC-DIP16-NARROW</v>
      </c>
      <c r="B11369" s="266">
        <f>IFERROR(__xludf.DUMMYFUNCTION("""COMPUTED_VALUE"""),45901.0)</f>
        <v>45901</v>
      </c>
      <c r="C11369" s="266" t="str">
        <f>IFERROR(__xludf.DUMMYFUNCTION("""COMPUTED_VALUE"""),"KERTASARI CIAMIS")</f>
        <v>KERTASARI CIAMIS</v>
      </c>
      <c r="D11369" s="186">
        <f>IFERROR(__xludf.DUMMYFUNCTION("""COMPUTED_VALUE"""),220.0)</f>
        <v>220</v>
      </c>
    </row>
    <row r="11370">
      <c r="A11370" s="178" t="str">
        <f>IFERROR(__xludf.DUMMYFUNCTION("""COMPUTED_VALUE"""),"ITBISA-SOCKET-IC-DIP16-NARROW")</f>
        <v>ITBISA-SOCKET-IC-DIP16-NARROW</v>
      </c>
      <c r="B11370" s="266">
        <f>IFERROR(__xludf.DUMMYFUNCTION("""COMPUTED_VALUE"""),45904.0)</f>
        <v>45904</v>
      </c>
      <c r="C11370" s="266" t="str">
        <f>IFERROR(__xludf.DUMMYFUNCTION("""COMPUTED_VALUE"""),"KYAI KONTONG")</f>
        <v>KYAI KONTONG</v>
      </c>
      <c r="D11370" s="186">
        <f>IFERROR(__xludf.DUMMYFUNCTION("""COMPUTED_VALUE"""),40.0)</f>
        <v>40</v>
      </c>
    </row>
    <row r="11371">
      <c r="A11371" s="178" t="str">
        <f>IFERROR(__xludf.DUMMYFUNCTION("""COMPUTED_VALUE"""),"ITBISA-SOCKET-IC-DIP16-NARROW")</f>
        <v>ITBISA-SOCKET-IC-DIP16-NARROW</v>
      </c>
      <c r="B11371" s="266">
        <f>IFERROR(__xludf.DUMMYFUNCTION("""COMPUTED_VALUE"""),45909.0)</f>
        <v>45909</v>
      </c>
      <c r="C11371" s="266" t="str">
        <f>IFERROR(__xludf.DUMMYFUNCTION("""COMPUTED_VALUE"""),"KERTASARI CIAMIS")</f>
        <v>KERTASARI CIAMIS</v>
      </c>
      <c r="D11371" s="186">
        <f>IFERROR(__xludf.DUMMYFUNCTION("""COMPUTED_VALUE"""),220.0)</f>
        <v>220</v>
      </c>
    </row>
    <row r="11372">
      <c r="A11372" s="178" t="str">
        <f>IFERROR(__xludf.DUMMYFUNCTION("""COMPUTED_VALUE"""),"ITBISA-SOCKET-IC-DIP16-NARROW")</f>
        <v>ITBISA-SOCKET-IC-DIP16-NARROW</v>
      </c>
      <c r="B11372" s="266">
        <f>IFERROR(__xludf.DUMMYFUNCTION("""COMPUTED_VALUE"""),45915.0)</f>
        <v>45915</v>
      </c>
      <c r="C11372" s="266" t="str">
        <f>IFERROR(__xludf.DUMMYFUNCTION("""COMPUTED_VALUE"""),"KERTASARI CIAMIS")</f>
        <v>KERTASARI CIAMIS</v>
      </c>
      <c r="D11372" s="186">
        <f>IFERROR(__xludf.DUMMYFUNCTION("""COMPUTED_VALUE"""),220.0)</f>
        <v>220</v>
      </c>
    </row>
    <row r="11373">
      <c r="A11373" s="178" t="str">
        <f>IFERROR(__xludf.DUMMYFUNCTION("""COMPUTED_VALUE"""),"ITBISA-SOCKET-IC-DIP16-NARROW")</f>
        <v>ITBISA-SOCKET-IC-DIP16-NARROW</v>
      </c>
      <c r="B11373" s="266">
        <f>IFERROR(__xludf.DUMMYFUNCTION("""COMPUTED_VALUE"""),45922.0)</f>
        <v>45922</v>
      </c>
      <c r="C11373" s="266" t="str">
        <f>IFERROR(__xludf.DUMMYFUNCTION("""COMPUTED_VALUE"""),"KERTASARI CIAMIS")</f>
        <v>KERTASARI CIAMIS</v>
      </c>
      <c r="D11373" s="186">
        <f>IFERROR(__xludf.DUMMYFUNCTION("""COMPUTED_VALUE"""),200.0)</f>
        <v>200</v>
      </c>
    </row>
    <row r="11374">
      <c r="A11374" s="178" t="str">
        <f>IFERROR(__xludf.DUMMYFUNCTION("""COMPUTED_VALUE"""),"ITBISA-SOCKET-IC-DIP16-NARROW")</f>
        <v>ITBISA-SOCKET-IC-DIP16-NARROW</v>
      </c>
      <c r="B11374" s="266">
        <f>IFERROR(__xludf.DUMMYFUNCTION("""COMPUTED_VALUE"""),45927.0)</f>
        <v>45927</v>
      </c>
      <c r="C11374" s="266" t="str">
        <f>IFERROR(__xludf.DUMMYFUNCTION("""COMPUTED_VALUE"""),"KERTASARI CIAMIS")</f>
        <v>KERTASARI CIAMIS</v>
      </c>
      <c r="D11374" s="186">
        <f>IFERROR(__xludf.DUMMYFUNCTION("""COMPUTED_VALUE"""),20.0)</f>
        <v>20</v>
      </c>
    </row>
    <row r="11375">
      <c r="A11375" s="178" t="str">
        <f>IFERROR(__xludf.DUMMYFUNCTION("""COMPUTED_VALUE"""),"ITBISA-SOCKET-IC-DIP16-NARROW")</f>
        <v>ITBISA-SOCKET-IC-DIP16-NARROW</v>
      </c>
      <c r="B11375" s="266">
        <f>IFERROR(__xludf.DUMMYFUNCTION("""COMPUTED_VALUE"""),45930.0)</f>
        <v>45930</v>
      </c>
      <c r="C11375" s="266" t="str">
        <f>IFERROR(__xludf.DUMMYFUNCTION("""COMPUTED_VALUE"""),"KERTASARI CIAMIS")</f>
        <v>KERTASARI CIAMIS</v>
      </c>
      <c r="D11375" s="186">
        <f>IFERROR(__xludf.DUMMYFUNCTION("""COMPUTED_VALUE"""),200.0)</f>
        <v>200</v>
      </c>
    </row>
    <row r="11376">
      <c r="A11376" s="178" t="str">
        <f>IFERROR(__xludf.DUMMYFUNCTION("""COMPUTED_VALUE"""),"ITBISA-SOCKET-IC-DIP16-NARROW")</f>
        <v>ITBISA-SOCKET-IC-DIP16-NARROW</v>
      </c>
      <c r="B11376" s="266">
        <f>IFERROR(__xludf.DUMMYFUNCTION("""COMPUTED_VALUE"""),45937.0)</f>
        <v>45937</v>
      </c>
      <c r="C11376" s="266" t="str">
        <f>IFERROR(__xludf.DUMMYFUNCTION("""COMPUTED_VALUE"""),"KERTASARI CIAMIS")</f>
        <v>KERTASARI CIAMIS</v>
      </c>
      <c r="D11376" s="186">
        <f>IFERROR(__xludf.DUMMYFUNCTION("""COMPUTED_VALUE"""),200.0)</f>
        <v>200</v>
      </c>
    </row>
    <row r="11377">
      <c r="A11377" s="178" t="str">
        <f>IFERROR(__xludf.DUMMYFUNCTION("""COMPUTED_VALUE"""),"ITBISA-SOCKET-IC-DIP16-NARROW")</f>
        <v>ITBISA-SOCKET-IC-DIP16-NARROW</v>
      </c>
      <c r="B11377" s="266">
        <f>IFERROR(__xludf.DUMMYFUNCTION("""COMPUTED_VALUE"""),45938.0)</f>
        <v>45938</v>
      </c>
      <c r="C11377" s="266" t="str">
        <f>IFERROR(__xludf.DUMMYFUNCTION("""COMPUTED_VALUE"""),"KERTASARI CIAMIS")</f>
        <v>KERTASARI CIAMIS</v>
      </c>
      <c r="D11377" s="186">
        <f>IFERROR(__xludf.DUMMYFUNCTION("""COMPUTED_VALUE"""),10.0)</f>
        <v>10</v>
      </c>
    </row>
    <row r="11378">
      <c r="A11378" s="178" t="str">
        <f>IFERROR(__xludf.DUMMYFUNCTION("""COMPUTED_VALUE"""),"ITBISA-SOCKET-IC-DIP16-NARROW")</f>
        <v>ITBISA-SOCKET-IC-DIP16-NARROW</v>
      </c>
      <c r="B11378" s="266">
        <f>IFERROR(__xludf.DUMMYFUNCTION("""COMPUTED_VALUE"""),45938.0)</f>
        <v>45938</v>
      </c>
      <c r="C11378" s="266" t="str">
        <f>IFERROR(__xludf.DUMMYFUNCTION("""COMPUTED_VALUE"""),"KERTASARI CIAMIS")</f>
        <v>KERTASARI CIAMIS</v>
      </c>
      <c r="D11378" s="186">
        <f>IFERROR(__xludf.DUMMYFUNCTION("""COMPUTED_VALUE"""),100.0)</f>
        <v>100</v>
      </c>
    </row>
    <row r="11379">
      <c r="A11379" s="178" t="str">
        <f>IFERROR(__xludf.DUMMYFUNCTION("""COMPUTED_VALUE"""),"ITBISA-SOCKET-IC-DIP16-NARROW")</f>
        <v>ITBISA-SOCKET-IC-DIP16-NARROW</v>
      </c>
      <c r="B11379" s="266">
        <f>IFERROR(__xludf.DUMMYFUNCTION("""COMPUTED_VALUE"""),45945.0)</f>
        <v>45945</v>
      </c>
      <c r="C11379" s="266" t="str">
        <f>IFERROR(__xludf.DUMMYFUNCTION("""COMPUTED_VALUE"""),"KERTASARI CIAMIS")</f>
        <v>KERTASARI CIAMIS</v>
      </c>
      <c r="D11379" s="186">
        <f>IFERROR(__xludf.DUMMYFUNCTION("""COMPUTED_VALUE"""),15.0)</f>
        <v>15</v>
      </c>
    </row>
    <row r="11380">
      <c r="A11380" s="178" t="str">
        <f>IFERROR(__xludf.DUMMYFUNCTION("""COMPUTED_VALUE"""),"ITBISA-SOCKET-IC-DIP16-NARROW")</f>
        <v>ITBISA-SOCKET-IC-DIP16-NARROW</v>
      </c>
      <c r="B11380" s="266">
        <f>IFERROR(__xludf.DUMMYFUNCTION("""COMPUTED_VALUE"""),45946.0)</f>
        <v>45946</v>
      </c>
      <c r="C11380" s="266" t="str">
        <f>IFERROR(__xludf.DUMMYFUNCTION("""COMPUTED_VALUE"""),"KYAI KONTONG")</f>
        <v>KYAI KONTONG</v>
      </c>
      <c r="D11380" s="186">
        <f>IFERROR(__xludf.DUMMYFUNCTION("""COMPUTED_VALUE"""),11.0)</f>
        <v>11</v>
      </c>
    </row>
    <row r="11381">
      <c r="A11381" s="178" t="str">
        <f>IFERROR(__xludf.DUMMYFUNCTION("""COMPUTED_VALUE"""),"ITBISA-SOCKET-IC-DIP16-NARROW")</f>
        <v>ITBISA-SOCKET-IC-DIP16-NARROW</v>
      </c>
      <c r="B11381" s="266">
        <f>IFERROR(__xludf.DUMMYFUNCTION("""COMPUTED_VALUE"""),45947.0)</f>
        <v>45947</v>
      </c>
      <c r="C11381" s="266" t="str">
        <f>IFERROR(__xludf.DUMMYFUNCTION("""COMPUTED_VALUE"""),"KERTASARI CIAMIS")</f>
        <v>KERTASARI CIAMIS</v>
      </c>
      <c r="D11381" s="186">
        <f>IFERROR(__xludf.DUMMYFUNCTION("""COMPUTED_VALUE"""),30.0)</f>
        <v>30</v>
      </c>
    </row>
    <row r="11382">
      <c r="A11382" s="178" t="str">
        <f>IFERROR(__xludf.DUMMYFUNCTION("""COMPUTED_VALUE"""),"ITBISA-SOCKET-IC-DIP16-NARROW")</f>
        <v>ITBISA-SOCKET-IC-DIP16-NARROW</v>
      </c>
      <c r="B11382" s="266">
        <f>IFERROR(__xludf.DUMMYFUNCTION("""COMPUTED_VALUE"""),45947.0)</f>
        <v>45947</v>
      </c>
      <c r="C11382" s="266" t="str">
        <f>IFERROR(__xludf.DUMMYFUNCTION("""COMPUTED_VALUE"""),"KERTASARI CIAMIS")</f>
        <v>KERTASARI CIAMIS</v>
      </c>
      <c r="D11382" s="186">
        <f>IFERROR(__xludf.DUMMYFUNCTION("""COMPUTED_VALUE"""),40.0)</f>
        <v>40</v>
      </c>
    </row>
    <row r="11383">
      <c r="A11383" s="178" t="str">
        <f>IFERROR(__xludf.DUMMYFUNCTION("""COMPUTED_VALUE"""),"ITBISA-SOCKET-IC-DIP16-NARROW")</f>
        <v>ITBISA-SOCKET-IC-DIP16-NARROW</v>
      </c>
      <c r="B11383" s="266">
        <f>IFERROR(__xludf.DUMMYFUNCTION("""COMPUTED_VALUE"""),45947.0)</f>
        <v>45947</v>
      </c>
      <c r="C11383" s="266" t="str">
        <f>IFERROR(__xludf.DUMMYFUNCTION("""COMPUTED_VALUE"""),"KERTASARI CIAMIS")</f>
        <v>KERTASARI CIAMIS</v>
      </c>
      <c r="D11383" s="186">
        <f>IFERROR(__xludf.DUMMYFUNCTION("""COMPUTED_VALUE"""),200.0)</f>
        <v>200</v>
      </c>
    </row>
    <row r="11384">
      <c r="A11384" s="178" t="str">
        <f>IFERROR(__xludf.DUMMYFUNCTION("""COMPUTED_VALUE"""),"ITBISA-SOCKET-IC-DIP16-NARROW")</f>
        <v>ITBISA-SOCKET-IC-DIP16-NARROW</v>
      </c>
      <c r="B11384" s="266">
        <f>IFERROR(__xludf.DUMMYFUNCTION("""COMPUTED_VALUE"""),45948.0)</f>
        <v>45948</v>
      </c>
      <c r="C11384" s="266" t="str">
        <f>IFERROR(__xludf.DUMMYFUNCTION("""COMPUTED_VALUE"""),"KYAI KONTONG")</f>
        <v>KYAI KONTONG</v>
      </c>
      <c r="D11384" s="186">
        <f>IFERROR(__xludf.DUMMYFUNCTION("""COMPUTED_VALUE"""),74.0)</f>
        <v>74</v>
      </c>
    </row>
    <row r="11385">
      <c r="A11385" s="178" t="str">
        <f>IFERROR(__xludf.DUMMYFUNCTION("""COMPUTED_VALUE"""),"ITBISA-SOCKET-IC-DIP16-NARROW")</f>
        <v>ITBISA-SOCKET-IC-DIP16-NARROW</v>
      </c>
      <c r="B11385" s="266">
        <f>IFERROR(__xludf.DUMMYFUNCTION("""COMPUTED_VALUE"""),45987.0)</f>
        <v>45987</v>
      </c>
      <c r="C11385" s="266" t="str">
        <f>IFERROR(__xludf.DUMMYFUNCTION("""COMPUTED_VALUE"""),"KERTASARI CIAMIS")</f>
        <v>KERTASARI CIAMIS</v>
      </c>
      <c r="D11385" s="186">
        <f>IFERROR(__xludf.DUMMYFUNCTION("""COMPUTED_VALUE"""),10.0)</f>
        <v>10</v>
      </c>
    </row>
    <row r="11386">
      <c r="A11386" s="178" t="str">
        <f>IFERROR(__xludf.DUMMYFUNCTION("""COMPUTED_VALUE"""),"ITBISA-SOCKET-IC-DIP16-NARROW")</f>
        <v>ITBISA-SOCKET-IC-DIP16-NARROW</v>
      </c>
      <c r="B11386" s="266">
        <f>IFERROR(__xludf.DUMMYFUNCTION("""COMPUTED_VALUE"""),45994.0)</f>
        <v>45994</v>
      </c>
      <c r="C11386" s="266" t="str">
        <f>IFERROR(__xludf.DUMMYFUNCTION("""COMPUTED_VALUE"""),"KERTASARI CIAMIS")</f>
        <v>KERTASARI CIAMIS</v>
      </c>
      <c r="D11386" s="186">
        <f>IFERROR(__xludf.DUMMYFUNCTION("""COMPUTED_VALUE"""),2.0)</f>
        <v>2</v>
      </c>
    </row>
    <row r="11387">
      <c r="A11387" s="178" t="str">
        <f>IFERROR(__xludf.DUMMYFUNCTION("""COMPUTED_VALUE"""),"ITBISA-SOCKET-IC-DIP16-NARROW")</f>
        <v>ITBISA-SOCKET-IC-DIP16-NARROW</v>
      </c>
      <c r="B11387" s="266">
        <f>IFERROR(__xludf.DUMMYFUNCTION("""COMPUTED_VALUE"""),45995.0)</f>
        <v>45995</v>
      </c>
      <c r="C11387" s="266" t="str">
        <f>IFERROR(__xludf.DUMMYFUNCTION("""COMPUTED_VALUE"""),"KYAI KONTONG")</f>
        <v>KYAI KONTONG</v>
      </c>
      <c r="D11387" s="186">
        <f>IFERROR(__xludf.DUMMYFUNCTION("""COMPUTED_VALUE"""),30.0)</f>
        <v>30</v>
      </c>
    </row>
    <row r="11388">
      <c r="A11388" s="178" t="str">
        <f>IFERROR(__xludf.DUMMYFUNCTION("""COMPUTED_VALUE"""),"ITBISA-SOCKET-IC-DIP16-NARROW")</f>
        <v>ITBISA-SOCKET-IC-DIP16-NARROW</v>
      </c>
      <c r="B11388" s="266">
        <f>IFERROR(__xludf.DUMMYFUNCTION("""COMPUTED_VALUE"""),45997.0)</f>
        <v>45997</v>
      </c>
      <c r="C11388" s="266" t="str">
        <f>IFERROR(__xludf.DUMMYFUNCTION("""COMPUTED_VALUE"""),"KYAI KONTONG")</f>
        <v>KYAI KONTONG</v>
      </c>
      <c r="D11388" s="186">
        <f>IFERROR(__xludf.DUMMYFUNCTION("""COMPUTED_VALUE"""),5.0)</f>
        <v>5</v>
      </c>
    </row>
    <row r="11389">
      <c r="A11389" s="178" t="str">
        <f>IFERROR(__xludf.DUMMYFUNCTION("""COMPUTED_VALUE"""),"ITBISA-SOCKET-IC-DIP16-NARROW")</f>
        <v>ITBISA-SOCKET-IC-DIP16-NARROW</v>
      </c>
      <c r="B11389" s="266">
        <f>IFERROR(__xludf.DUMMYFUNCTION("""COMPUTED_VALUE"""),46003.0)</f>
        <v>46003</v>
      </c>
      <c r="C11389" s="266" t="str">
        <f>IFERROR(__xludf.DUMMYFUNCTION("""COMPUTED_VALUE"""),"KYAI KONTONG")</f>
        <v>KYAI KONTONG</v>
      </c>
      <c r="D11389" s="186">
        <f>IFERROR(__xludf.DUMMYFUNCTION("""COMPUTED_VALUE"""),3.0)</f>
        <v>3</v>
      </c>
    </row>
    <row r="11390">
      <c r="A11390" s="178" t="str">
        <f>IFERROR(__xludf.DUMMYFUNCTION("""COMPUTED_VALUE"""),"ITBISA-SOCKET-IC-DIP16-NARROW")</f>
        <v>ITBISA-SOCKET-IC-DIP16-NARROW</v>
      </c>
      <c r="B11390" s="266">
        <f>IFERROR(__xludf.DUMMYFUNCTION("""COMPUTED_VALUE"""),46010.0)</f>
        <v>46010</v>
      </c>
      <c r="C11390" s="266" t="str">
        <f>IFERROR(__xludf.DUMMYFUNCTION("""COMPUTED_VALUE"""),"KYAI KONTONG")</f>
        <v>KYAI KONTONG</v>
      </c>
      <c r="D11390" s="186">
        <f>IFERROR(__xludf.DUMMYFUNCTION("""COMPUTED_VALUE"""),8.0)</f>
        <v>8</v>
      </c>
    </row>
    <row r="11391">
      <c r="A11391" s="178" t="str">
        <f>IFERROR(__xludf.DUMMYFUNCTION("""COMPUTED_VALUE"""),"ITBISA-SOCKET-IC-DIP16-NARROW")</f>
        <v>ITBISA-SOCKET-IC-DIP16-NARROW</v>
      </c>
      <c r="B11391" s="266">
        <f>IFERROR(__xludf.DUMMYFUNCTION("""COMPUTED_VALUE"""),46014.0)</f>
        <v>46014</v>
      </c>
      <c r="C11391" s="266" t="str">
        <f>IFERROR(__xludf.DUMMYFUNCTION("""COMPUTED_VALUE"""),"KERTASARI CIAMIS")</f>
        <v>KERTASARI CIAMIS</v>
      </c>
      <c r="D11391" s="186">
        <f>IFERROR(__xludf.DUMMYFUNCTION("""COMPUTED_VALUE"""),10.0)</f>
        <v>10</v>
      </c>
    </row>
    <row r="11392">
      <c r="A11392" s="178" t="str">
        <f>IFERROR(__xludf.DUMMYFUNCTION("""COMPUTED_VALUE"""),"ITBISA-SOCKET-IC-DIP16-NARROW")</f>
        <v>ITBISA-SOCKET-IC-DIP16-NARROW</v>
      </c>
      <c r="B11392" s="266">
        <f>IFERROR(__xludf.DUMMYFUNCTION("""COMPUTED_VALUE"""),46020.0)</f>
        <v>46020</v>
      </c>
      <c r="C11392" s="266" t="str">
        <f>IFERROR(__xludf.DUMMYFUNCTION("""COMPUTED_VALUE"""),"KYAI KONTONG")</f>
        <v>KYAI KONTONG</v>
      </c>
      <c r="D11392" s="186">
        <f>IFERROR(__xludf.DUMMYFUNCTION("""COMPUTED_VALUE"""),10.0)</f>
        <v>10</v>
      </c>
    </row>
    <row r="11393">
      <c r="A11393" s="178" t="str">
        <f>IFERROR(__xludf.DUMMYFUNCTION("""COMPUTED_VALUE"""),"ITBISA-SOCKET-IC-DIP16-NARROW")</f>
        <v>ITBISA-SOCKET-IC-DIP16-NARROW</v>
      </c>
      <c r="B11393" s="266">
        <f>IFERROR(__xludf.DUMMYFUNCTION("""COMPUTED_VALUE"""),46021.0)</f>
        <v>46021</v>
      </c>
      <c r="C11393" s="266" t="str">
        <f>IFERROR(__xludf.DUMMYFUNCTION("""COMPUTED_VALUE"""),"KYAI KONTONG")</f>
        <v>KYAI KONTONG</v>
      </c>
      <c r="D11393" s="186">
        <f>IFERROR(__xludf.DUMMYFUNCTION("""COMPUTED_VALUE"""),10.0)</f>
        <v>10</v>
      </c>
    </row>
    <row r="11394">
      <c r="A11394" s="178" t="str">
        <f>IFERROR(__xludf.DUMMYFUNCTION("""COMPUTED_VALUE"""),"ITBISA-SOCKET-IC-DIP20-NARROW")</f>
        <v>ITBISA-SOCKET-IC-DIP20-NARROW</v>
      </c>
      <c r="B11394" s="266">
        <f>IFERROR(__xludf.DUMMYFUNCTION("""COMPUTED_VALUE"""),45094.0)</f>
        <v>45094</v>
      </c>
      <c r="C11394" s="266" t="str">
        <f>IFERROR(__xludf.DUMMYFUNCTION("""COMPUTED_VALUE"""),"KYAI KONTONG")</f>
        <v>KYAI KONTONG</v>
      </c>
      <c r="D11394" s="186">
        <f>IFERROR(__xludf.DUMMYFUNCTION("""COMPUTED_VALUE"""),12.0)</f>
        <v>12</v>
      </c>
    </row>
    <row r="11395">
      <c r="A11395" s="178" t="str">
        <f>IFERROR(__xludf.DUMMYFUNCTION("""COMPUTED_VALUE"""),"ITBISA-SOCKET-IC-DIP20-NARROW")</f>
        <v>ITBISA-SOCKET-IC-DIP20-NARROW</v>
      </c>
      <c r="B11395" s="266">
        <f>IFERROR(__xludf.DUMMYFUNCTION("""COMPUTED_VALUE"""),45117.0)</f>
        <v>45117</v>
      </c>
      <c r="C11395" s="266" t="str">
        <f>IFERROR(__xludf.DUMMYFUNCTION("""COMPUTED_VALUE"""),"KYAI KONTONG")</f>
        <v>KYAI KONTONG</v>
      </c>
      <c r="D11395" s="186">
        <f>IFERROR(__xludf.DUMMYFUNCTION("""COMPUTED_VALUE"""),25.0)</f>
        <v>25</v>
      </c>
    </row>
    <row r="11396">
      <c r="A11396" s="178" t="str">
        <f>IFERROR(__xludf.DUMMYFUNCTION("""COMPUTED_VALUE"""),"ITBISA-SOCKET-IC-DIP20-NARROW")</f>
        <v>ITBISA-SOCKET-IC-DIP20-NARROW</v>
      </c>
      <c r="B11396" s="266">
        <f>IFERROR(__xludf.DUMMYFUNCTION("""COMPUTED_VALUE"""),45238.0)</f>
        <v>45238</v>
      </c>
      <c r="C11396" s="266" t="str">
        <f>IFERROR(__xludf.DUMMYFUNCTION("""COMPUTED_VALUE"""),"KYAI KONTONG")</f>
        <v>KYAI KONTONG</v>
      </c>
      <c r="D11396" s="186">
        <f>IFERROR(__xludf.DUMMYFUNCTION("""COMPUTED_VALUE"""),10.0)</f>
        <v>10</v>
      </c>
    </row>
    <row r="11397">
      <c r="A11397" s="178" t="str">
        <f>IFERROR(__xludf.DUMMYFUNCTION("""COMPUTED_VALUE"""),"ITBISA-SOCKET-IC-DIP20-NARROW")</f>
        <v>ITBISA-SOCKET-IC-DIP20-NARROW</v>
      </c>
      <c r="B11397" s="266">
        <f>IFERROR(__xludf.DUMMYFUNCTION("""COMPUTED_VALUE"""),45293.0)</f>
        <v>45293</v>
      </c>
      <c r="C11397" s="266" t="str">
        <f>IFERROR(__xludf.DUMMYFUNCTION("""COMPUTED_VALUE"""),"KYAI KONTONG")</f>
        <v>KYAI KONTONG</v>
      </c>
      <c r="D11397" s="186">
        <f>IFERROR(__xludf.DUMMYFUNCTION("""COMPUTED_VALUE"""),20.0)</f>
        <v>20</v>
      </c>
    </row>
    <row r="11398">
      <c r="A11398" s="178" t="str">
        <f>IFERROR(__xludf.DUMMYFUNCTION("""COMPUTED_VALUE"""),"ITBISA-SOCKET-IC-DIP20-NARROW")</f>
        <v>ITBISA-SOCKET-IC-DIP20-NARROW</v>
      </c>
      <c r="B11398" s="266">
        <f>IFERROR(__xludf.DUMMYFUNCTION("""COMPUTED_VALUE"""),45346.0)</f>
        <v>45346</v>
      </c>
      <c r="C11398" s="266" t="str">
        <f>IFERROR(__xludf.DUMMYFUNCTION("""COMPUTED_VALUE"""),"KYAI KONTONG")</f>
        <v>KYAI KONTONG</v>
      </c>
      <c r="D11398" s="186">
        <f>IFERROR(__xludf.DUMMYFUNCTION("""COMPUTED_VALUE"""),9.0)</f>
        <v>9</v>
      </c>
    </row>
    <row r="11399">
      <c r="A11399" s="178" t="str">
        <f>IFERROR(__xludf.DUMMYFUNCTION("""COMPUTED_VALUE"""),"ITBISA-SOCKET-IC-DIP20-NARROW")</f>
        <v>ITBISA-SOCKET-IC-DIP20-NARROW</v>
      </c>
      <c r="B11399" s="266">
        <f>IFERROR(__xludf.DUMMYFUNCTION("""COMPUTED_VALUE"""),45374.0)</f>
        <v>45374</v>
      </c>
      <c r="C11399" s="266" t="str">
        <f>IFERROR(__xludf.DUMMYFUNCTION("""COMPUTED_VALUE"""),"KYAI KONTONG")</f>
        <v>KYAI KONTONG</v>
      </c>
      <c r="D11399" s="186">
        <f>IFERROR(__xludf.DUMMYFUNCTION("""COMPUTED_VALUE"""),20.0)</f>
        <v>20</v>
      </c>
    </row>
    <row r="11400">
      <c r="A11400" s="178" t="str">
        <f>IFERROR(__xludf.DUMMYFUNCTION("""COMPUTED_VALUE"""),"ITBISA-SOCKET-IC-DIP20-NARROW")</f>
        <v>ITBISA-SOCKET-IC-DIP20-NARROW</v>
      </c>
      <c r="B11400" s="266">
        <f>IFERROR(__xludf.DUMMYFUNCTION("""COMPUTED_VALUE"""),45405.0)</f>
        <v>45405</v>
      </c>
      <c r="C11400" s="266" t="str">
        <f>IFERROR(__xludf.DUMMYFUNCTION("""COMPUTED_VALUE"""),"KYAI KONTONG")</f>
        <v>KYAI KONTONG</v>
      </c>
      <c r="D11400" s="186">
        <f>IFERROR(__xludf.DUMMYFUNCTION("""COMPUTED_VALUE"""),8.0)</f>
        <v>8</v>
      </c>
    </row>
    <row r="11401">
      <c r="A11401" s="178" t="str">
        <f>IFERROR(__xludf.DUMMYFUNCTION("""COMPUTED_VALUE"""),"ITBISA-SOCKET-IC-DIP20-NARROW")</f>
        <v>ITBISA-SOCKET-IC-DIP20-NARROW</v>
      </c>
      <c r="B11401" s="266">
        <f>IFERROR(__xludf.DUMMYFUNCTION("""COMPUTED_VALUE"""),45421.0)</f>
        <v>45421</v>
      </c>
      <c r="C11401" s="266" t="str">
        <f>IFERROR(__xludf.DUMMYFUNCTION("""COMPUTED_VALUE"""),"KYAI KONTONG")</f>
        <v>KYAI KONTONG</v>
      </c>
      <c r="D11401" s="186">
        <f>IFERROR(__xludf.DUMMYFUNCTION("""COMPUTED_VALUE"""),15.0)</f>
        <v>15</v>
      </c>
    </row>
    <row r="11402">
      <c r="A11402" s="178" t="str">
        <f>IFERROR(__xludf.DUMMYFUNCTION("""COMPUTED_VALUE"""),"ITBISA-SOCKET-IC-DIP20-NARROW")</f>
        <v>ITBISA-SOCKET-IC-DIP20-NARROW</v>
      </c>
      <c r="B11402" s="266">
        <f>IFERROR(__xludf.DUMMYFUNCTION("""COMPUTED_VALUE"""),45435.0)</f>
        <v>45435</v>
      </c>
      <c r="C11402" s="266" t="str">
        <f>IFERROR(__xludf.DUMMYFUNCTION("""COMPUTED_VALUE"""),"KYAI KONTONG")</f>
        <v>KYAI KONTONG</v>
      </c>
      <c r="D11402" s="186">
        <f>IFERROR(__xludf.DUMMYFUNCTION("""COMPUTED_VALUE"""),4.0)</f>
        <v>4</v>
      </c>
    </row>
    <row r="11403">
      <c r="A11403" s="178" t="str">
        <f>IFERROR(__xludf.DUMMYFUNCTION("""COMPUTED_VALUE"""),"ITBISA-SOCKET-IC-DIP20-NARROW")</f>
        <v>ITBISA-SOCKET-IC-DIP20-NARROW</v>
      </c>
      <c r="B11403" s="266">
        <f>IFERROR(__xludf.DUMMYFUNCTION("""COMPUTED_VALUE"""),45447.0)</f>
        <v>45447</v>
      </c>
      <c r="C11403" s="266" t="str">
        <f>IFERROR(__xludf.DUMMYFUNCTION("""COMPUTED_VALUE"""),"KYAI KONTONG")</f>
        <v>KYAI KONTONG</v>
      </c>
      <c r="D11403" s="186">
        <f>IFERROR(__xludf.DUMMYFUNCTION("""COMPUTED_VALUE"""),20.0)</f>
        <v>20</v>
      </c>
    </row>
    <row r="11404">
      <c r="A11404" s="178" t="str">
        <f>IFERROR(__xludf.DUMMYFUNCTION("""COMPUTED_VALUE"""),"ITBISA-SOCKET-IC-DIP20-NARROW")</f>
        <v>ITBISA-SOCKET-IC-DIP20-NARROW</v>
      </c>
      <c r="B11404" s="266">
        <f>IFERROR(__xludf.DUMMYFUNCTION("""COMPUTED_VALUE"""),45454.0)</f>
        <v>45454</v>
      </c>
      <c r="C11404" s="266" t="str">
        <f>IFERROR(__xludf.DUMMYFUNCTION("""COMPUTED_VALUE"""),"KYAI KONTONG")</f>
        <v>KYAI KONTONG</v>
      </c>
      <c r="D11404" s="186">
        <f>IFERROR(__xludf.DUMMYFUNCTION("""COMPUTED_VALUE"""),10.0)</f>
        <v>10</v>
      </c>
    </row>
    <row r="11405">
      <c r="A11405" s="178" t="str">
        <f>IFERROR(__xludf.DUMMYFUNCTION("""COMPUTED_VALUE"""),"ITBISA-SOCKET-IC-DIP20-NARROW")</f>
        <v>ITBISA-SOCKET-IC-DIP20-NARROW</v>
      </c>
      <c r="B11405" s="266">
        <f>IFERROR(__xludf.DUMMYFUNCTION("""COMPUTED_VALUE"""),45457.0)</f>
        <v>45457</v>
      </c>
      <c r="C11405" s="266" t="str">
        <f>IFERROR(__xludf.DUMMYFUNCTION("""COMPUTED_VALUE"""),"KYAI KONTONG")</f>
        <v>KYAI KONTONG</v>
      </c>
      <c r="D11405" s="186">
        <f>IFERROR(__xludf.DUMMYFUNCTION("""COMPUTED_VALUE"""),28.0)</f>
        <v>28</v>
      </c>
    </row>
    <row r="11406">
      <c r="A11406" s="178" t="str">
        <f>IFERROR(__xludf.DUMMYFUNCTION("""COMPUTED_VALUE"""),"ITBISA-SOCKET-IC-DIP20-NARROW")</f>
        <v>ITBISA-SOCKET-IC-DIP20-NARROW</v>
      </c>
      <c r="B11406" s="266">
        <f>IFERROR(__xludf.DUMMYFUNCTION("""COMPUTED_VALUE"""),45458.0)</f>
        <v>45458</v>
      </c>
      <c r="C11406" s="266" t="str">
        <f>IFERROR(__xludf.DUMMYFUNCTION("""COMPUTED_VALUE"""),"KYAI KONTONG")</f>
        <v>KYAI KONTONG</v>
      </c>
      <c r="D11406" s="186">
        <f>IFERROR(__xludf.DUMMYFUNCTION("""COMPUTED_VALUE"""),10.0)</f>
        <v>10</v>
      </c>
    </row>
    <row r="11407">
      <c r="A11407" s="178" t="str">
        <f>IFERROR(__xludf.DUMMYFUNCTION("""COMPUTED_VALUE"""),"ITBISA-SOCKET-IC-DIP20-NARROW")</f>
        <v>ITBISA-SOCKET-IC-DIP20-NARROW</v>
      </c>
      <c r="B11407" s="266">
        <f>IFERROR(__xludf.DUMMYFUNCTION("""COMPUTED_VALUE"""),45473.0)</f>
        <v>45473</v>
      </c>
      <c r="C11407" s="266" t="str">
        <f>IFERROR(__xludf.DUMMYFUNCTION("""COMPUTED_VALUE"""),"KERTASARI CIAMIS")</f>
        <v>KERTASARI CIAMIS</v>
      </c>
      <c r="D11407" s="186">
        <f>IFERROR(__xludf.DUMMYFUNCTION("""COMPUTED_VALUE"""),50.0)</f>
        <v>50</v>
      </c>
    </row>
    <row r="11408">
      <c r="A11408" s="178" t="str">
        <f>IFERROR(__xludf.DUMMYFUNCTION("""COMPUTED_VALUE"""),"ITBISA-SOCKET-IC-DIP20-NARROW")</f>
        <v>ITBISA-SOCKET-IC-DIP20-NARROW</v>
      </c>
      <c r="B11408" s="266">
        <f>IFERROR(__xludf.DUMMYFUNCTION("""COMPUTED_VALUE"""),45486.0)</f>
        <v>45486</v>
      </c>
      <c r="C11408" s="266" t="str">
        <f>IFERROR(__xludf.DUMMYFUNCTION("""COMPUTED_VALUE"""),"KERTASARI CIAMIS")</f>
        <v>KERTASARI CIAMIS</v>
      </c>
      <c r="D11408" s="186">
        <f>IFERROR(__xludf.DUMMYFUNCTION("""COMPUTED_VALUE"""),0.0)</f>
        <v>0</v>
      </c>
    </row>
    <row r="11409">
      <c r="A11409" s="178" t="str">
        <f>IFERROR(__xludf.DUMMYFUNCTION("""COMPUTED_VALUE"""),"ITBISA-SOCKET-IC-DIP20-NARROW")</f>
        <v>ITBISA-SOCKET-IC-DIP20-NARROW</v>
      </c>
      <c r="B11409" s="266">
        <f>IFERROR(__xludf.DUMMYFUNCTION("""COMPUTED_VALUE"""),45526.0)</f>
        <v>45526</v>
      </c>
      <c r="C11409" s="266" t="str">
        <f>IFERROR(__xludf.DUMMYFUNCTION("""COMPUTED_VALUE"""),"KYAI KONTONG")</f>
        <v>KYAI KONTONG</v>
      </c>
      <c r="D11409" s="186">
        <f>IFERROR(__xludf.DUMMYFUNCTION("""COMPUTED_VALUE"""),10.0)</f>
        <v>10</v>
      </c>
    </row>
    <row r="11410">
      <c r="A11410" s="178" t="str">
        <f>IFERROR(__xludf.DUMMYFUNCTION("""COMPUTED_VALUE"""),"ITBISA-SOCKET-IC-DIP20-NARROW")</f>
        <v>ITBISA-SOCKET-IC-DIP20-NARROW</v>
      </c>
      <c r="B11410" s="266">
        <f>IFERROR(__xludf.DUMMYFUNCTION("""COMPUTED_VALUE"""),45615.0)</f>
        <v>45615</v>
      </c>
      <c r="C11410" s="266" t="str">
        <f>IFERROR(__xludf.DUMMYFUNCTION("""COMPUTED_VALUE"""),"KYAI KONTONG")</f>
        <v>KYAI KONTONG</v>
      </c>
      <c r="D11410" s="186">
        <f>IFERROR(__xludf.DUMMYFUNCTION("""COMPUTED_VALUE"""),100.0)</f>
        <v>100</v>
      </c>
    </row>
    <row r="11411">
      <c r="A11411" s="178" t="str">
        <f>IFERROR(__xludf.DUMMYFUNCTION("""COMPUTED_VALUE"""),"ITBISA-SOCKET-IC-DIP20-NARROW")</f>
        <v>ITBISA-SOCKET-IC-DIP20-NARROW</v>
      </c>
      <c r="B11411" s="266">
        <f>IFERROR(__xludf.DUMMYFUNCTION("""COMPUTED_VALUE"""),45685.0)</f>
        <v>45685</v>
      </c>
      <c r="C11411" s="266" t="str">
        <f>IFERROR(__xludf.DUMMYFUNCTION("""COMPUTED_VALUE"""),"KYAI KONTONG")</f>
        <v>KYAI KONTONG</v>
      </c>
      <c r="D11411" s="186">
        <f>IFERROR(__xludf.DUMMYFUNCTION("""COMPUTED_VALUE"""),10.0)</f>
        <v>10</v>
      </c>
    </row>
    <row r="11412">
      <c r="A11412" s="178" t="str">
        <f>IFERROR(__xludf.DUMMYFUNCTION("""COMPUTED_VALUE"""),"ITBISA-SOCKET-IC-DIP20-NARROW")</f>
        <v>ITBISA-SOCKET-IC-DIP20-NARROW</v>
      </c>
      <c r="B11412" s="266">
        <f>IFERROR(__xludf.DUMMYFUNCTION("""COMPUTED_VALUE"""),45712.0)</f>
        <v>45712</v>
      </c>
      <c r="C11412" s="266" t="str">
        <f>IFERROR(__xludf.DUMMYFUNCTION("""COMPUTED_VALUE"""),"KERTASARI CIAMIS")</f>
        <v>KERTASARI CIAMIS</v>
      </c>
      <c r="D11412" s="186">
        <f>IFERROR(__xludf.DUMMYFUNCTION("""COMPUTED_VALUE"""),10.0)</f>
        <v>10</v>
      </c>
    </row>
    <row r="11413">
      <c r="A11413" s="178" t="str">
        <f>IFERROR(__xludf.DUMMYFUNCTION("""COMPUTED_VALUE"""),"ITBISA-SOCKET-IC-DIP20-NARROW")</f>
        <v>ITBISA-SOCKET-IC-DIP20-NARROW</v>
      </c>
      <c r="B11413" s="266">
        <f>IFERROR(__xludf.DUMMYFUNCTION("""COMPUTED_VALUE"""),45713.0)</f>
        <v>45713</v>
      </c>
      <c r="C11413" s="266" t="str">
        <f>IFERROR(__xludf.DUMMYFUNCTION("""COMPUTED_VALUE"""),"KERTASARI CIAMIS")</f>
        <v>KERTASARI CIAMIS</v>
      </c>
      <c r="D11413" s="186">
        <f>IFERROR(__xludf.DUMMYFUNCTION("""COMPUTED_VALUE"""),100.0)</f>
        <v>100</v>
      </c>
    </row>
    <row r="11414">
      <c r="A11414" s="178" t="str">
        <f>IFERROR(__xludf.DUMMYFUNCTION("""COMPUTED_VALUE"""),"ITBISA-SOCKET-IC-DIP20-NARROW")</f>
        <v>ITBISA-SOCKET-IC-DIP20-NARROW</v>
      </c>
      <c r="B11414" s="266">
        <f>IFERROR(__xludf.DUMMYFUNCTION("""COMPUTED_VALUE"""),45716.0)</f>
        <v>45716</v>
      </c>
      <c r="C11414" s="266" t="str">
        <f>IFERROR(__xludf.DUMMYFUNCTION("""COMPUTED_VALUE"""),"KYAI KONTONG")</f>
        <v>KYAI KONTONG</v>
      </c>
      <c r="D11414" s="186">
        <f>IFERROR(__xludf.DUMMYFUNCTION("""COMPUTED_VALUE"""),20.0)</f>
        <v>20</v>
      </c>
    </row>
    <row r="11415">
      <c r="A11415" s="178" t="str">
        <f>IFERROR(__xludf.DUMMYFUNCTION("""COMPUTED_VALUE"""),"ITBISA-SOCKET-IC-DIP20-NARROW")</f>
        <v>ITBISA-SOCKET-IC-DIP20-NARROW</v>
      </c>
      <c r="B11415" s="266">
        <f>IFERROR(__xludf.DUMMYFUNCTION("""COMPUTED_VALUE"""),45769.0)</f>
        <v>45769</v>
      </c>
      <c r="C11415" s="266" t="str">
        <f>IFERROR(__xludf.DUMMYFUNCTION("""COMPUTED_VALUE"""),"KERTASARI CIAMIS")</f>
        <v>KERTASARI CIAMIS</v>
      </c>
      <c r="D11415" s="186">
        <f>IFERROR(__xludf.DUMMYFUNCTION("""COMPUTED_VALUE"""),10.0)</f>
        <v>10</v>
      </c>
    </row>
    <row r="11416">
      <c r="A11416" s="178" t="str">
        <f>IFERROR(__xludf.DUMMYFUNCTION("""COMPUTED_VALUE"""),"ITBISA-SOCKET-IC-DIP20-NARROW")</f>
        <v>ITBISA-SOCKET-IC-DIP20-NARROW</v>
      </c>
      <c r="B11416" s="266">
        <f>IFERROR(__xludf.DUMMYFUNCTION("""COMPUTED_VALUE"""),45778.0)</f>
        <v>45778</v>
      </c>
      <c r="C11416" s="266" t="str">
        <f>IFERROR(__xludf.DUMMYFUNCTION("""COMPUTED_VALUE"""),"KYAI KONTONG")</f>
        <v>KYAI KONTONG</v>
      </c>
      <c r="D11416" s="186">
        <f>IFERROR(__xludf.DUMMYFUNCTION("""COMPUTED_VALUE"""),10.0)</f>
        <v>10</v>
      </c>
    </row>
    <row r="11417">
      <c r="A11417" s="178" t="str">
        <f>IFERROR(__xludf.DUMMYFUNCTION("""COMPUTED_VALUE"""),"ITBISA-SOCKET-IC-DIP20-NARROW")</f>
        <v>ITBISA-SOCKET-IC-DIP20-NARROW</v>
      </c>
      <c r="B11417" s="266">
        <f>IFERROR(__xludf.DUMMYFUNCTION("""COMPUTED_VALUE"""),45791.0)</f>
        <v>45791</v>
      </c>
      <c r="C11417" s="266" t="str">
        <f>IFERROR(__xludf.DUMMYFUNCTION("""COMPUTED_VALUE"""),"KYAI KONTONG")</f>
        <v>KYAI KONTONG</v>
      </c>
      <c r="D11417" s="186">
        <f>IFERROR(__xludf.DUMMYFUNCTION("""COMPUTED_VALUE"""),10.0)</f>
        <v>10</v>
      </c>
    </row>
    <row r="11418">
      <c r="A11418" s="178" t="str">
        <f>IFERROR(__xludf.DUMMYFUNCTION("""COMPUTED_VALUE"""),"ITBISA-SOCKET-IC-DIP20-NARROW")</f>
        <v>ITBISA-SOCKET-IC-DIP20-NARROW</v>
      </c>
      <c r="B11418" s="266">
        <f>IFERROR(__xludf.DUMMYFUNCTION("""COMPUTED_VALUE"""),45800.0)</f>
        <v>45800</v>
      </c>
      <c r="C11418" s="266" t="str">
        <f>IFERROR(__xludf.DUMMYFUNCTION("""COMPUTED_VALUE"""),"KYAI KONTONG")</f>
        <v>KYAI KONTONG</v>
      </c>
      <c r="D11418" s="186">
        <f>IFERROR(__xludf.DUMMYFUNCTION("""COMPUTED_VALUE"""),10.0)</f>
        <v>10</v>
      </c>
    </row>
    <row r="11419">
      <c r="A11419" s="178" t="str">
        <f>IFERROR(__xludf.DUMMYFUNCTION("""COMPUTED_VALUE"""),"ITBISA-SOCKET-IC-DIP20-NARROW")</f>
        <v>ITBISA-SOCKET-IC-DIP20-NARROW</v>
      </c>
      <c r="B11419" s="266">
        <f>IFERROR(__xludf.DUMMYFUNCTION("""COMPUTED_VALUE"""),45802.0)</f>
        <v>45802</v>
      </c>
      <c r="C11419" s="266" t="str">
        <f>IFERROR(__xludf.DUMMYFUNCTION("""COMPUTED_VALUE"""),"KYAI KONTONG")</f>
        <v>KYAI KONTONG</v>
      </c>
      <c r="D11419" s="186">
        <f>IFERROR(__xludf.DUMMYFUNCTION("""COMPUTED_VALUE"""),10.0)</f>
        <v>10</v>
      </c>
    </row>
    <row r="11420">
      <c r="A11420" s="178" t="str">
        <f>IFERROR(__xludf.DUMMYFUNCTION("""COMPUTED_VALUE"""),"ITBISA-SOCKET-IC-DIP20-NARROW")</f>
        <v>ITBISA-SOCKET-IC-DIP20-NARROW</v>
      </c>
      <c r="B11420" s="266">
        <f>IFERROR(__xludf.DUMMYFUNCTION("""COMPUTED_VALUE"""),45810.0)</f>
        <v>45810</v>
      </c>
      <c r="C11420" s="266" t="str">
        <f>IFERROR(__xludf.DUMMYFUNCTION("""COMPUTED_VALUE"""),"KYAI KONTONG")</f>
        <v>KYAI KONTONG</v>
      </c>
      <c r="D11420" s="186">
        <f>IFERROR(__xludf.DUMMYFUNCTION("""COMPUTED_VALUE"""),2.0)</f>
        <v>2</v>
      </c>
    </row>
    <row r="11421">
      <c r="A11421" s="178" t="str">
        <f>IFERROR(__xludf.DUMMYFUNCTION("""COMPUTED_VALUE"""),"ITBISA-SOCKET-IC-DIP20-NARROW")</f>
        <v>ITBISA-SOCKET-IC-DIP20-NARROW</v>
      </c>
      <c r="B11421" s="266">
        <f>IFERROR(__xludf.DUMMYFUNCTION("""COMPUTED_VALUE"""),45846.0)</f>
        <v>45846</v>
      </c>
      <c r="C11421" s="266" t="str">
        <f>IFERROR(__xludf.DUMMYFUNCTION("""COMPUTED_VALUE"""),"KYAI KONTONG")</f>
        <v>KYAI KONTONG</v>
      </c>
      <c r="D11421" s="186">
        <f>IFERROR(__xludf.DUMMYFUNCTION("""COMPUTED_VALUE"""),10.0)</f>
        <v>10</v>
      </c>
    </row>
    <row r="11422">
      <c r="A11422" s="178" t="str">
        <f>IFERROR(__xludf.DUMMYFUNCTION("""COMPUTED_VALUE"""),"ITBISA-SOCKET-IC-DIP20-NARROW")</f>
        <v>ITBISA-SOCKET-IC-DIP20-NARROW</v>
      </c>
      <c r="B11422" s="266">
        <f>IFERROR(__xludf.DUMMYFUNCTION("""COMPUTED_VALUE"""),45864.0)</f>
        <v>45864</v>
      </c>
      <c r="C11422" s="266" t="str">
        <f>IFERROR(__xludf.DUMMYFUNCTION("""COMPUTED_VALUE"""),"KYAI KONTONG")</f>
        <v>KYAI KONTONG</v>
      </c>
      <c r="D11422" s="186">
        <f>IFERROR(__xludf.DUMMYFUNCTION("""COMPUTED_VALUE"""),10.0)</f>
        <v>10</v>
      </c>
    </row>
    <row r="11423">
      <c r="A11423" s="178" t="str">
        <f>IFERROR(__xludf.DUMMYFUNCTION("""COMPUTED_VALUE"""),"ITBISA-SOCKET-IC-DIP20-NARROW")</f>
        <v>ITBISA-SOCKET-IC-DIP20-NARROW</v>
      </c>
      <c r="B11423" s="266">
        <f>IFERROR(__xludf.DUMMYFUNCTION("""COMPUTED_VALUE"""),45866.0)</f>
        <v>45866</v>
      </c>
      <c r="C11423" s="266" t="str">
        <f>IFERROR(__xludf.DUMMYFUNCTION("""COMPUTED_VALUE"""),"KYAI KONTONG")</f>
        <v>KYAI KONTONG</v>
      </c>
      <c r="D11423" s="186">
        <f>IFERROR(__xludf.DUMMYFUNCTION("""COMPUTED_VALUE"""),30.0)</f>
        <v>30</v>
      </c>
    </row>
    <row r="11424">
      <c r="A11424" s="178" t="str">
        <f>IFERROR(__xludf.DUMMYFUNCTION("""COMPUTED_VALUE"""),"ITBISA-SOCKET-IC-DIP20-NARROW")</f>
        <v>ITBISA-SOCKET-IC-DIP20-NARROW</v>
      </c>
      <c r="B11424" s="266">
        <f>IFERROR(__xludf.DUMMYFUNCTION("""COMPUTED_VALUE"""),45876.0)</f>
        <v>45876</v>
      </c>
      <c r="C11424" s="266" t="str">
        <f>IFERROR(__xludf.DUMMYFUNCTION("""COMPUTED_VALUE"""),"KERTASARI CIAMIS")</f>
        <v>KERTASARI CIAMIS</v>
      </c>
      <c r="D11424" s="186">
        <f>IFERROR(__xludf.DUMMYFUNCTION("""COMPUTED_VALUE"""),5.0)</f>
        <v>5</v>
      </c>
    </row>
    <row r="11425">
      <c r="A11425" s="178" t="str">
        <f>IFERROR(__xludf.DUMMYFUNCTION("""COMPUTED_VALUE"""),"ITBISA-SOCKET-IC-DIP20-NARROW")</f>
        <v>ITBISA-SOCKET-IC-DIP20-NARROW</v>
      </c>
      <c r="B11425" s="266">
        <f>IFERROR(__xludf.DUMMYFUNCTION("""COMPUTED_VALUE"""),45907.0)</f>
        <v>45907</v>
      </c>
      <c r="C11425" s="266" t="str">
        <f>IFERROR(__xludf.DUMMYFUNCTION("""COMPUTED_VALUE"""),"KERTASARI CIAMIS")</f>
        <v>KERTASARI CIAMIS</v>
      </c>
      <c r="D11425" s="186">
        <f>IFERROR(__xludf.DUMMYFUNCTION("""COMPUTED_VALUE"""),10.0)</f>
        <v>10</v>
      </c>
    </row>
    <row r="11426">
      <c r="A11426" s="178" t="str">
        <f>IFERROR(__xludf.DUMMYFUNCTION("""COMPUTED_VALUE"""),"ITBISA-SOCKET-IC-DIP20-NARROW")</f>
        <v>ITBISA-SOCKET-IC-DIP20-NARROW</v>
      </c>
      <c r="B11426" s="266">
        <f>IFERROR(__xludf.DUMMYFUNCTION("""COMPUTED_VALUE"""),45942.0)</f>
        <v>45942</v>
      </c>
      <c r="C11426" s="266" t="str">
        <f>IFERROR(__xludf.DUMMYFUNCTION("""COMPUTED_VALUE"""),"KYAI KONTONG")</f>
        <v>KYAI KONTONG</v>
      </c>
      <c r="D11426" s="186">
        <f>IFERROR(__xludf.DUMMYFUNCTION("""COMPUTED_VALUE"""),10.0)</f>
        <v>10</v>
      </c>
    </row>
    <row r="11427">
      <c r="A11427" s="178" t="str">
        <f>IFERROR(__xludf.DUMMYFUNCTION("""COMPUTED_VALUE"""),"ITBISA-SOCKET-IC-DIP20-NARROW")</f>
        <v>ITBISA-SOCKET-IC-DIP20-NARROW</v>
      </c>
      <c r="B11427" s="266">
        <f>IFERROR(__xludf.DUMMYFUNCTION("""COMPUTED_VALUE"""),45944.0)</f>
        <v>45944</v>
      </c>
      <c r="C11427" s="266" t="str">
        <f>IFERROR(__xludf.DUMMYFUNCTION("""COMPUTED_VALUE"""),"KERTASARI CIAMIS")</f>
        <v>KERTASARI CIAMIS</v>
      </c>
      <c r="D11427" s="186">
        <f>IFERROR(__xludf.DUMMYFUNCTION("""COMPUTED_VALUE"""),20.0)</f>
        <v>20</v>
      </c>
    </row>
    <row r="11428">
      <c r="A11428" s="178" t="str">
        <f>IFERROR(__xludf.DUMMYFUNCTION("""COMPUTED_VALUE"""),"ITBISA-SOCKET-IC-DIP20-NARROW")</f>
        <v>ITBISA-SOCKET-IC-DIP20-NARROW</v>
      </c>
      <c r="B11428" s="266">
        <f>IFERROR(__xludf.DUMMYFUNCTION("""COMPUTED_VALUE"""),45954.0)</f>
        <v>45954</v>
      </c>
      <c r="C11428" s="266" t="str">
        <f>IFERROR(__xludf.DUMMYFUNCTION("""COMPUTED_VALUE"""),"KYAI KONTONG")</f>
        <v>KYAI KONTONG</v>
      </c>
      <c r="D11428" s="186">
        <f>IFERROR(__xludf.DUMMYFUNCTION("""COMPUTED_VALUE"""),10.0)</f>
        <v>10</v>
      </c>
    </row>
    <row r="11429">
      <c r="A11429" s="178" t="str">
        <f>IFERROR(__xludf.DUMMYFUNCTION("""COMPUTED_VALUE"""),"ITBISA-SOCKET-IC-DIP20-NARROW")</f>
        <v>ITBISA-SOCKET-IC-DIP20-NARROW</v>
      </c>
      <c r="B11429" s="266">
        <f>IFERROR(__xludf.DUMMYFUNCTION("""COMPUTED_VALUE"""),45967.0)</f>
        <v>45967</v>
      </c>
      <c r="C11429" s="266" t="str">
        <f>IFERROR(__xludf.DUMMYFUNCTION("""COMPUTED_VALUE"""),"KERTASARI CIAMIS")</f>
        <v>KERTASARI CIAMIS</v>
      </c>
      <c r="D11429" s="186">
        <f>IFERROR(__xludf.DUMMYFUNCTION("""COMPUTED_VALUE"""),100.0)</f>
        <v>100</v>
      </c>
    </row>
    <row r="11430">
      <c r="A11430" s="178" t="str">
        <f>IFERROR(__xludf.DUMMYFUNCTION("""COMPUTED_VALUE"""),"ITBISA-SOCKET-IC-DIP20-NARROW")</f>
        <v>ITBISA-SOCKET-IC-DIP20-NARROW</v>
      </c>
      <c r="B11430" s="266">
        <f>IFERROR(__xludf.DUMMYFUNCTION("""COMPUTED_VALUE"""),45984.0)</f>
        <v>45984</v>
      </c>
      <c r="C11430" s="266" t="str">
        <f>IFERROR(__xludf.DUMMYFUNCTION("""COMPUTED_VALUE"""),"KERTASARI CIAMIS")</f>
        <v>KERTASARI CIAMIS</v>
      </c>
      <c r="D11430" s="186">
        <f>IFERROR(__xludf.DUMMYFUNCTION("""COMPUTED_VALUE"""),10.0)</f>
        <v>10</v>
      </c>
    </row>
    <row r="11431">
      <c r="A11431" s="178" t="str">
        <f>IFERROR(__xludf.DUMMYFUNCTION("""COMPUTED_VALUE"""),"ITBISA-SOCKET-IC-DIP20-NARROW")</f>
        <v>ITBISA-SOCKET-IC-DIP20-NARROW</v>
      </c>
      <c r="B11431" s="266">
        <f>IFERROR(__xludf.DUMMYFUNCTION("""COMPUTED_VALUE"""),45994.0)</f>
        <v>45994</v>
      </c>
      <c r="C11431" s="266" t="str">
        <f>IFERROR(__xludf.DUMMYFUNCTION("""COMPUTED_VALUE"""),"KERTASARI CIAMIS")</f>
        <v>KERTASARI CIAMIS</v>
      </c>
      <c r="D11431" s="186">
        <f>IFERROR(__xludf.DUMMYFUNCTION("""COMPUTED_VALUE"""),2.0)</f>
        <v>2</v>
      </c>
    </row>
    <row r="11432">
      <c r="A11432" s="178" t="str">
        <f>IFERROR(__xludf.DUMMYFUNCTION("""COMPUTED_VALUE"""),"ITBISA-SOCKET-IC-DIP20-NARROW")</f>
        <v>ITBISA-SOCKET-IC-DIP20-NARROW</v>
      </c>
      <c r="B11432" s="266">
        <f>IFERROR(__xludf.DUMMYFUNCTION("""COMPUTED_VALUE"""),45998.0)</f>
        <v>45998</v>
      </c>
      <c r="C11432" s="266" t="str">
        <f>IFERROR(__xludf.DUMMYFUNCTION("""COMPUTED_VALUE"""),"KYAI KONTONG")</f>
        <v>KYAI KONTONG</v>
      </c>
      <c r="D11432" s="186">
        <f>IFERROR(__xludf.DUMMYFUNCTION("""COMPUTED_VALUE"""),27.0)</f>
        <v>27</v>
      </c>
    </row>
    <row r="11433">
      <c r="A11433" s="178" t="str">
        <f>IFERROR(__xludf.DUMMYFUNCTION("""COMPUTED_VALUE"""),"ITBISA-SOCKET-IC-DIP20-NARROW")</f>
        <v>ITBISA-SOCKET-IC-DIP20-NARROW</v>
      </c>
      <c r="B11433" s="266">
        <f>IFERROR(__xludf.DUMMYFUNCTION("""COMPUTED_VALUE"""),46000.0)</f>
        <v>46000</v>
      </c>
      <c r="C11433" s="266" t="str">
        <f>IFERROR(__xludf.DUMMYFUNCTION("""COMPUTED_VALUE"""),"KYAI KONTONG")</f>
        <v>KYAI KONTONG</v>
      </c>
      <c r="D11433" s="186">
        <f>IFERROR(__xludf.DUMMYFUNCTION("""COMPUTED_VALUE"""),10.0)</f>
        <v>10</v>
      </c>
    </row>
    <row r="11434">
      <c r="A11434" s="178" t="str">
        <f>IFERROR(__xludf.DUMMYFUNCTION("""COMPUTED_VALUE"""),"ITBISA-SOCKET-IC-DIP28-NARROW")</f>
        <v>ITBISA-SOCKET-IC-DIP28-NARROW</v>
      </c>
      <c r="B11434" s="266">
        <f>IFERROR(__xludf.DUMMYFUNCTION("""COMPUTED_VALUE"""),45376.0)</f>
        <v>45376</v>
      </c>
      <c r="C11434" s="266" t="str">
        <f>IFERROR(__xludf.DUMMYFUNCTION("""COMPUTED_VALUE"""),"KERTASARI CIAMIS")</f>
        <v>KERTASARI CIAMIS</v>
      </c>
      <c r="D11434" s="186">
        <f>IFERROR(__xludf.DUMMYFUNCTION("""COMPUTED_VALUE"""),50.0)</f>
        <v>50</v>
      </c>
    </row>
    <row r="11435">
      <c r="A11435" s="178" t="str">
        <f>IFERROR(__xludf.DUMMYFUNCTION("""COMPUTED_VALUE"""),"ITBISA-SOCKET-IC-DIP28-NARROW")</f>
        <v>ITBISA-SOCKET-IC-DIP28-NARROW</v>
      </c>
      <c r="B11435" s="266">
        <f>IFERROR(__xludf.DUMMYFUNCTION("""COMPUTED_VALUE"""),45377.0)</f>
        <v>45377</v>
      </c>
      <c r="C11435" s="266" t="str">
        <f>IFERROR(__xludf.DUMMYFUNCTION("""COMPUTED_VALUE"""),"KERTASARI CIAMIS")</f>
        <v>KERTASARI CIAMIS</v>
      </c>
      <c r="D11435" s="186">
        <f>IFERROR(__xludf.DUMMYFUNCTION("""COMPUTED_VALUE"""),20.0)</f>
        <v>20</v>
      </c>
    </row>
    <row r="11436">
      <c r="A11436" s="178" t="str">
        <f>IFERROR(__xludf.DUMMYFUNCTION("""COMPUTED_VALUE"""),"ITBISA-SOCKET-IC-DIP28-NARROW")</f>
        <v>ITBISA-SOCKET-IC-DIP28-NARROW</v>
      </c>
      <c r="B11436" s="266">
        <f>IFERROR(__xludf.DUMMYFUNCTION("""COMPUTED_VALUE"""),45401.0)</f>
        <v>45401</v>
      </c>
      <c r="C11436" s="266" t="str">
        <f>IFERROR(__xludf.DUMMYFUNCTION("""COMPUTED_VALUE"""),"KERTASARI CIAMIS")</f>
        <v>KERTASARI CIAMIS</v>
      </c>
      <c r="D11436" s="186">
        <f>IFERROR(__xludf.DUMMYFUNCTION("""COMPUTED_VALUE"""),20.0)</f>
        <v>20</v>
      </c>
    </row>
    <row r="11437">
      <c r="A11437" s="178" t="str">
        <f>IFERROR(__xludf.DUMMYFUNCTION("""COMPUTED_VALUE"""),"ITBISA-SOCKET-IC-DIP28-NARROW")</f>
        <v>ITBISA-SOCKET-IC-DIP28-NARROW</v>
      </c>
      <c r="B11437" s="266">
        <f>IFERROR(__xludf.DUMMYFUNCTION("""COMPUTED_VALUE"""),45411.0)</f>
        <v>45411</v>
      </c>
      <c r="C11437" s="266" t="str">
        <f>IFERROR(__xludf.DUMMYFUNCTION("""COMPUTED_VALUE"""),"KERTASARI CIAMIS")</f>
        <v>KERTASARI CIAMIS</v>
      </c>
      <c r="D11437" s="186">
        <f>IFERROR(__xludf.DUMMYFUNCTION("""COMPUTED_VALUE"""),5.0)</f>
        <v>5</v>
      </c>
    </row>
    <row r="11438">
      <c r="A11438" s="178" t="str">
        <f>IFERROR(__xludf.DUMMYFUNCTION("""COMPUTED_VALUE"""),"ITBISA-SOCKET-IC-DIP28-NARROW")</f>
        <v>ITBISA-SOCKET-IC-DIP28-NARROW</v>
      </c>
      <c r="B11438" s="266">
        <f>IFERROR(__xludf.DUMMYFUNCTION("""COMPUTED_VALUE"""),45421.0)</f>
        <v>45421</v>
      </c>
      <c r="C11438" s="266" t="str">
        <f>IFERROR(__xludf.DUMMYFUNCTION("""COMPUTED_VALUE"""),"KERTASARI CIAMIS")</f>
        <v>KERTASARI CIAMIS</v>
      </c>
      <c r="D11438" s="186">
        <f>IFERROR(__xludf.DUMMYFUNCTION("""COMPUTED_VALUE"""),17.0)</f>
        <v>17</v>
      </c>
    </row>
    <row r="11439">
      <c r="A11439" s="178" t="str">
        <f>IFERROR(__xludf.DUMMYFUNCTION("""COMPUTED_VALUE"""),"ITBISA-SOCKET-IC-DIP28-NARROW")</f>
        <v>ITBISA-SOCKET-IC-DIP28-NARROW</v>
      </c>
      <c r="B11439" s="266">
        <f>IFERROR(__xludf.DUMMYFUNCTION("""COMPUTED_VALUE"""),45444.0)</f>
        <v>45444</v>
      </c>
      <c r="C11439" s="266" t="str">
        <f>IFERROR(__xludf.DUMMYFUNCTION("""COMPUTED_VALUE"""),"KERTASARI CIAMIS")</f>
        <v>KERTASARI CIAMIS</v>
      </c>
      <c r="D11439" s="186">
        <f>IFERROR(__xludf.DUMMYFUNCTION("""COMPUTED_VALUE"""),5.0)</f>
        <v>5</v>
      </c>
    </row>
    <row r="11440">
      <c r="A11440" s="178" t="str">
        <f>IFERROR(__xludf.DUMMYFUNCTION("""COMPUTED_VALUE"""),"ITBISA-SOCKET-IC-DIP28-NARROW")</f>
        <v>ITBISA-SOCKET-IC-DIP28-NARROW</v>
      </c>
      <c r="B11440" s="266">
        <f>IFERROR(__xludf.DUMMYFUNCTION("""COMPUTED_VALUE"""),45472.0)</f>
        <v>45472</v>
      </c>
      <c r="C11440" s="266" t="str">
        <f>IFERROR(__xludf.DUMMYFUNCTION("""COMPUTED_VALUE"""),"KERTASARI CIAMIS")</f>
        <v>KERTASARI CIAMIS</v>
      </c>
      <c r="D11440" s="186">
        <f>IFERROR(__xludf.DUMMYFUNCTION("""COMPUTED_VALUE"""),5.0)</f>
        <v>5</v>
      </c>
    </row>
    <row r="11441">
      <c r="A11441" s="178" t="str">
        <f>IFERROR(__xludf.DUMMYFUNCTION("""COMPUTED_VALUE"""),"ITBISA-SOCKET-IC-DIP28-NARROW")</f>
        <v>ITBISA-SOCKET-IC-DIP28-NARROW</v>
      </c>
      <c r="B11441" s="266">
        <f>IFERROR(__xludf.DUMMYFUNCTION("""COMPUTED_VALUE"""),45473.0)</f>
        <v>45473</v>
      </c>
      <c r="C11441" s="266" t="str">
        <f>IFERROR(__xludf.DUMMYFUNCTION("""COMPUTED_VALUE"""),"KERTASARI CIAMIS")</f>
        <v>KERTASARI CIAMIS</v>
      </c>
      <c r="D11441" s="186">
        <f>IFERROR(__xludf.DUMMYFUNCTION("""COMPUTED_VALUE"""),41.0)</f>
        <v>41</v>
      </c>
    </row>
    <row r="11442">
      <c r="A11442" s="178" t="str">
        <f>IFERROR(__xludf.DUMMYFUNCTION("""COMPUTED_VALUE"""),"ITBISA-SOCKET-IC-DIP28-NARROW")</f>
        <v>ITBISA-SOCKET-IC-DIP28-NARROW</v>
      </c>
      <c r="B11442" s="266">
        <f>IFERROR(__xludf.DUMMYFUNCTION("""COMPUTED_VALUE"""),45498.0)</f>
        <v>45498</v>
      </c>
      <c r="C11442" s="266" t="str">
        <f>IFERROR(__xludf.DUMMYFUNCTION("""COMPUTED_VALUE"""),"KERTASARI CIAMIS")</f>
        <v>KERTASARI CIAMIS</v>
      </c>
      <c r="D11442" s="186">
        <f>IFERROR(__xludf.DUMMYFUNCTION("""COMPUTED_VALUE"""),20.0)</f>
        <v>20</v>
      </c>
    </row>
    <row r="11443">
      <c r="A11443" s="178" t="str">
        <f>IFERROR(__xludf.DUMMYFUNCTION("""COMPUTED_VALUE"""),"ITBISA-SOCKET-IC-DIP28-NARROW")</f>
        <v>ITBISA-SOCKET-IC-DIP28-NARROW</v>
      </c>
      <c r="B11443" s="266">
        <f>IFERROR(__xludf.DUMMYFUNCTION("""COMPUTED_VALUE"""),45566.0)</f>
        <v>45566</v>
      </c>
      <c r="C11443" s="266" t="str">
        <f>IFERROR(__xludf.DUMMYFUNCTION("""COMPUTED_VALUE"""),"KERTASARI CIAMIS")</f>
        <v>KERTASARI CIAMIS</v>
      </c>
      <c r="D11443" s="186">
        <f>IFERROR(__xludf.DUMMYFUNCTION("""COMPUTED_VALUE"""),3.0)</f>
        <v>3</v>
      </c>
    </row>
    <row r="11444">
      <c r="A11444" s="178" t="str">
        <f>IFERROR(__xludf.DUMMYFUNCTION("""COMPUTED_VALUE"""),"ITBISA-SOCKET-IC-DIP28-NARROW")</f>
        <v>ITBISA-SOCKET-IC-DIP28-NARROW</v>
      </c>
      <c r="B11444" s="266">
        <f>IFERROR(__xludf.DUMMYFUNCTION("""COMPUTED_VALUE"""),45625.0)</f>
        <v>45625</v>
      </c>
      <c r="C11444" s="266" t="str">
        <f>IFERROR(__xludf.DUMMYFUNCTION("""COMPUTED_VALUE"""),"KYAI KONTONG")</f>
        <v>KYAI KONTONG</v>
      </c>
      <c r="D11444" s="186">
        <f>IFERROR(__xludf.DUMMYFUNCTION("""COMPUTED_VALUE"""),5.0)</f>
        <v>5</v>
      </c>
    </row>
    <row r="11445">
      <c r="A11445" s="178" t="str">
        <f>IFERROR(__xludf.DUMMYFUNCTION("""COMPUTED_VALUE"""),"ITBISA-SOCKET-IC-DIP28-NARROW")</f>
        <v>ITBISA-SOCKET-IC-DIP28-NARROW</v>
      </c>
      <c r="B11445" s="266">
        <f>IFERROR(__xludf.DUMMYFUNCTION("""COMPUTED_VALUE"""),45653.0)</f>
        <v>45653</v>
      </c>
      <c r="C11445" s="266" t="str">
        <f>IFERROR(__xludf.DUMMYFUNCTION("""COMPUTED_VALUE"""),"KYAI KONTONG")</f>
        <v>KYAI KONTONG</v>
      </c>
      <c r="D11445" s="186">
        <f>IFERROR(__xludf.DUMMYFUNCTION("""COMPUTED_VALUE"""),5.0)</f>
        <v>5</v>
      </c>
    </row>
    <row r="11446">
      <c r="A11446" s="178" t="str">
        <f>IFERROR(__xludf.DUMMYFUNCTION("""COMPUTED_VALUE"""),"ITBISA-SOCKET-IC-DIP28-NARROW")</f>
        <v>ITBISA-SOCKET-IC-DIP28-NARROW</v>
      </c>
      <c r="B11446" s="266">
        <f>IFERROR(__xludf.DUMMYFUNCTION("""COMPUTED_VALUE"""),45664.0)</f>
        <v>45664</v>
      </c>
      <c r="C11446" s="266" t="str">
        <f>IFERROR(__xludf.DUMMYFUNCTION("""COMPUTED_VALUE"""),"KYAI KONTONG")</f>
        <v>KYAI KONTONG</v>
      </c>
      <c r="D11446" s="186">
        <f>IFERROR(__xludf.DUMMYFUNCTION("""COMPUTED_VALUE"""),5.0)</f>
        <v>5</v>
      </c>
    </row>
    <row r="11447">
      <c r="A11447" s="178" t="str">
        <f>IFERROR(__xludf.DUMMYFUNCTION("""COMPUTED_VALUE"""),"ITBISA-SOCKET-IC-DIP28-NARROW")</f>
        <v>ITBISA-SOCKET-IC-DIP28-NARROW</v>
      </c>
      <c r="B11447" s="266">
        <f>IFERROR(__xludf.DUMMYFUNCTION("""COMPUTED_VALUE"""),45676.0)</f>
        <v>45676</v>
      </c>
      <c r="C11447" s="266" t="str">
        <f>IFERROR(__xludf.DUMMYFUNCTION("""COMPUTED_VALUE"""),"KERTASARI CIAMIS")</f>
        <v>KERTASARI CIAMIS</v>
      </c>
      <c r="D11447" s="186">
        <f>IFERROR(__xludf.DUMMYFUNCTION("""COMPUTED_VALUE"""),10.0)</f>
        <v>10</v>
      </c>
    </row>
    <row r="11448">
      <c r="A11448" s="178" t="str">
        <f>IFERROR(__xludf.DUMMYFUNCTION("""COMPUTED_VALUE"""),"ITBISA-SOCKET-IC-DIP28-NARROW")</f>
        <v>ITBISA-SOCKET-IC-DIP28-NARROW</v>
      </c>
      <c r="B11448" s="266">
        <f>IFERROR(__xludf.DUMMYFUNCTION("""COMPUTED_VALUE"""),45697.0)</f>
        <v>45697</v>
      </c>
      <c r="C11448" s="266" t="str">
        <f>IFERROR(__xludf.DUMMYFUNCTION("""COMPUTED_VALUE"""),"KYAI KONTONG")</f>
        <v>KYAI KONTONG</v>
      </c>
      <c r="D11448" s="186">
        <f>IFERROR(__xludf.DUMMYFUNCTION("""COMPUTED_VALUE"""),5.0)</f>
        <v>5</v>
      </c>
    </row>
    <row r="11449">
      <c r="A11449" s="178" t="str">
        <f>IFERROR(__xludf.DUMMYFUNCTION("""COMPUTED_VALUE"""),"ITBISA-SOCKET-IC-DIP28-NARROW")</f>
        <v>ITBISA-SOCKET-IC-DIP28-NARROW</v>
      </c>
      <c r="B11449" s="266">
        <f>IFERROR(__xludf.DUMMYFUNCTION("""COMPUTED_VALUE"""),45710.0)</f>
        <v>45710</v>
      </c>
      <c r="C11449" s="266" t="str">
        <f>IFERROR(__xludf.DUMMYFUNCTION("""COMPUTED_VALUE"""),"KERTASARI CIAMIS")</f>
        <v>KERTASARI CIAMIS</v>
      </c>
      <c r="D11449" s="186">
        <f>IFERROR(__xludf.DUMMYFUNCTION("""COMPUTED_VALUE"""),20.0)</f>
        <v>20</v>
      </c>
    </row>
    <row r="11450">
      <c r="A11450" s="178" t="str">
        <f>IFERROR(__xludf.DUMMYFUNCTION("""COMPUTED_VALUE"""),"ITBISA-SOCKET-IC-DIP28-NARROW")</f>
        <v>ITBISA-SOCKET-IC-DIP28-NARROW</v>
      </c>
      <c r="B11450" s="266">
        <f>IFERROR(__xludf.DUMMYFUNCTION("""COMPUTED_VALUE"""),45712.0)</f>
        <v>45712</v>
      </c>
      <c r="C11450" s="266" t="str">
        <f>IFERROR(__xludf.DUMMYFUNCTION("""COMPUTED_VALUE"""),"KERTASARI CIAMIS")</f>
        <v>KERTASARI CIAMIS</v>
      </c>
      <c r="D11450" s="186">
        <f>IFERROR(__xludf.DUMMYFUNCTION("""COMPUTED_VALUE"""),10.0)</f>
        <v>10</v>
      </c>
    </row>
    <row r="11451">
      <c r="A11451" s="178" t="str">
        <f>IFERROR(__xludf.DUMMYFUNCTION("""COMPUTED_VALUE"""),"ITBISA-SOCKET-IC-DIP28-NARROW")</f>
        <v>ITBISA-SOCKET-IC-DIP28-NARROW</v>
      </c>
      <c r="B11451" s="266">
        <f>IFERROR(__xludf.DUMMYFUNCTION("""COMPUTED_VALUE"""),45712.0)</f>
        <v>45712</v>
      </c>
      <c r="C11451" s="266" t="str">
        <f>IFERROR(__xludf.DUMMYFUNCTION("""COMPUTED_VALUE"""),"KYAI KONTONG")</f>
        <v>KYAI KONTONG</v>
      </c>
      <c r="D11451" s="186">
        <f>IFERROR(__xludf.DUMMYFUNCTION("""COMPUTED_VALUE"""),80.0)</f>
        <v>80</v>
      </c>
    </row>
    <row r="11452">
      <c r="A11452" s="178" t="str">
        <f>IFERROR(__xludf.DUMMYFUNCTION("""COMPUTED_VALUE"""),"ITBISA-SOCKET-IC-DIP28-NARROW")</f>
        <v>ITBISA-SOCKET-IC-DIP28-NARROW</v>
      </c>
      <c r="B11452" s="266">
        <f>IFERROR(__xludf.DUMMYFUNCTION("""COMPUTED_VALUE"""),45715.0)</f>
        <v>45715</v>
      </c>
      <c r="C11452" s="266" t="str">
        <f>IFERROR(__xludf.DUMMYFUNCTION("""COMPUTED_VALUE"""),"KYAI KONTONG")</f>
        <v>KYAI KONTONG</v>
      </c>
      <c r="D11452" s="186">
        <f>IFERROR(__xludf.DUMMYFUNCTION("""COMPUTED_VALUE"""),10.0)</f>
        <v>10</v>
      </c>
    </row>
    <row r="11453">
      <c r="A11453" s="178" t="str">
        <f>IFERROR(__xludf.DUMMYFUNCTION("""COMPUTED_VALUE"""),"ITBISA-SOCKET-IC-DIP28-NARROW")</f>
        <v>ITBISA-SOCKET-IC-DIP28-NARROW</v>
      </c>
      <c r="B11453" s="266">
        <f>IFERROR(__xludf.DUMMYFUNCTION("""COMPUTED_VALUE"""),45723.0)</f>
        <v>45723</v>
      </c>
      <c r="C11453" s="266" t="str">
        <f>IFERROR(__xludf.DUMMYFUNCTION("""COMPUTED_VALUE"""),"KERTASARI CIAMIS")</f>
        <v>KERTASARI CIAMIS</v>
      </c>
      <c r="D11453" s="186">
        <f>IFERROR(__xludf.DUMMYFUNCTION("""COMPUTED_VALUE"""),10.0)</f>
        <v>10</v>
      </c>
    </row>
    <row r="11454">
      <c r="A11454" s="178" t="str">
        <f>IFERROR(__xludf.DUMMYFUNCTION("""COMPUTED_VALUE"""),"ITBISA-SOCKET-IC-DIP28-NARROW")</f>
        <v>ITBISA-SOCKET-IC-DIP28-NARROW</v>
      </c>
      <c r="B11454" s="266">
        <f>IFERROR(__xludf.DUMMYFUNCTION("""COMPUTED_VALUE"""),45753.0)</f>
        <v>45753</v>
      </c>
      <c r="C11454" s="266" t="str">
        <f>IFERROR(__xludf.DUMMYFUNCTION("""COMPUTED_VALUE"""),"KERTASARI CIAMIS")</f>
        <v>KERTASARI CIAMIS</v>
      </c>
      <c r="D11454" s="186">
        <f>IFERROR(__xludf.DUMMYFUNCTION("""COMPUTED_VALUE"""),100.0)</f>
        <v>100</v>
      </c>
    </row>
    <row r="11455">
      <c r="A11455" s="178" t="str">
        <f>IFERROR(__xludf.DUMMYFUNCTION("""COMPUTED_VALUE"""),"ITBISA-SOCKET-IC-DIP28-NARROW")</f>
        <v>ITBISA-SOCKET-IC-DIP28-NARROW</v>
      </c>
      <c r="B11455" s="266">
        <f>IFERROR(__xludf.DUMMYFUNCTION("""COMPUTED_VALUE"""),45770.0)</f>
        <v>45770</v>
      </c>
      <c r="C11455" s="266" t="str">
        <f>IFERROR(__xludf.DUMMYFUNCTION("""COMPUTED_VALUE"""),"KERTASARI CIAMIS")</f>
        <v>KERTASARI CIAMIS</v>
      </c>
      <c r="D11455" s="186">
        <f>IFERROR(__xludf.DUMMYFUNCTION("""COMPUTED_VALUE"""),10.0)</f>
        <v>10</v>
      </c>
    </row>
    <row r="11456">
      <c r="A11456" s="178" t="str">
        <f>IFERROR(__xludf.DUMMYFUNCTION("""COMPUTED_VALUE"""),"ITBISA-SOCKET-IC-DIP28-NARROW")</f>
        <v>ITBISA-SOCKET-IC-DIP28-NARROW</v>
      </c>
      <c r="B11456" s="266">
        <f>IFERROR(__xludf.DUMMYFUNCTION("""COMPUTED_VALUE"""),45771.0)</f>
        <v>45771</v>
      </c>
      <c r="C11456" s="266" t="str">
        <f>IFERROR(__xludf.DUMMYFUNCTION("""COMPUTED_VALUE"""),"KYAI KONTONG")</f>
        <v>KYAI KONTONG</v>
      </c>
      <c r="D11456" s="186">
        <f>IFERROR(__xludf.DUMMYFUNCTION("""COMPUTED_VALUE"""),10.0)</f>
        <v>10</v>
      </c>
    </row>
    <row r="11457">
      <c r="A11457" s="178" t="str">
        <f>IFERROR(__xludf.DUMMYFUNCTION("""COMPUTED_VALUE"""),"ITBISA-SOCKET-IC-DIP28-NARROW")</f>
        <v>ITBISA-SOCKET-IC-DIP28-NARROW</v>
      </c>
      <c r="B11457" s="266">
        <f>IFERROR(__xludf.DUMMYFUNCTION("""COMPUTED_VALUE"""),45791.0)</f>
        <v>45791</v>
      </c>
      <c r="C11457" s="266" t="str">
        <f>IFERROR(__xludf.DUMMYFUNCTION("""COMPUTED_VALUE"""),"KYAI KONTONG")</f>
        <v>KYAI KONTONG</v>
      </c>
      <c r="D11457" s="186">
        <f>IFERROR(__xludf.DUMMYFUNCTION("""COMPUTED_VALUE"""),5.0)</f>
        <v>5</v>
      </c>
    </row>
    <row r="11458">
      <c r="A11458" s="178" t="str">
        <f>IFERROR(__xludf.DUMMYFUNCTION("""COMPUTED_VALUE"""),"ITBISA-SOCKET-IC-DIP28-NARROW")</f>
        <v>ITBISA-SOCKET-IC-DIP28-NARROW</v>
      </c>
      <c r="B11458" s="266">
        <f>IFERROR(__xludf.DUMMYFUNCTION("""COMPUTED_VALUE"""),45798.0)</f>
        <v>45798</v>
      </c>
      <c r="C11458" s="266" t="str">
        <f>IFERROR(__xludf.DUMMYFUNCTION("""COMPUTED_VALUE"""),"KERTASARI CIAMIS")</f>
        <v>KERTASARI CIAMIS</v>
      </c>
      <c r="D11458" s="186">
        <f>IFERROR(__xludf.DUMMYFUNCTION("""COMPUTED_VALUE"""),10.0)</f>
        <v>10</v>
      </c>
    </row>
    <row r="11459">
      <c r="A11459" s="178" t="str">
        <f>IFERROR(__xludf.DUMMYFUNCTION("""COMPUTED_VALUE"""),"ITBISA-SOCKET-IC-DIP28-NARROW")</f>
        <v>ITBISA-SOCKET-IC-DIP28-NARROW</v>
      </c>
      <c r="B11459" s="266">
        <f>IFERROR(__xludf.DUMMYFUNCTION("""COMPUTED_VALUE"""),45870.0)</f>
        <v>45870</v>
      </c>
      <c r="C11459" s="266" t="str">
        <f>IFERROR(__xludf.DUMMYFUNCTION("""COMPUTED_VALUE"""),"KYAI KONTONG")</f>
        <v>KYAI KONTONG</v>
      </c>
      <c r="D11459" s="186">
        <f>IFERROR(__xludf.DUMMYFUNCTION("""COMPUTED_VALUE"""),5.0)</f>
        <v>5</v>
      </c>
    </row>
    <row r="11460">
      <c r="A11460" s="178" t="str">
        <f>IFERROR(__xludf.DUMMYFUNCTION("""COMPUTED_VALUE"""),"ITBISA-SOCKET-IC-DIP28-NARROW")</f>
        <v>ITBISA-SOCKET-IC-DIP28-NARROW</v>
      </c>
      <c r="B11460" s="266">
        <f>IFERROR(__xludf.DUMMYFUNCTION("""COMPUTED_VALUE"""),45891.0)</f>
        <v>45891</v>
      </c>
      <c r="C11460" s="266" t="str">
        <f>IFERROR(__xludf.DUMMYFUNCTION("""COMPUTED_VALUE"""),"KERTASARI CIAMIS")</f>
        <v>KERTASARI CIAMIS</v>
      </c>
      <c r="D11460" s="186">
        <f>IFERROR(__xludf.DUMMYFUNCTION("""COMPUTED_VALUE"""),5.0)</f>
        <v>5</v>
      </c>
    </row>
    <row r="11461">
      <c r="A11461" s="178" t="str">
        <f>IFERROR(__xludf.DUMMYFUNCTION("""COMPUTED_VALUE"""),"ITBISA-SOCKET-IC-DIP28-NARROW")</f>
        <v>ITBISA-SOCKET-IC-DIP28-NARROW</v>
      </c>
      <c r="B11461" s="266">
        <f>IFERROR(__xludf.DUMMYFUNCTION("""COMPUTED_VALUE"""),45898.0)</f>
        <v>45898</v>
      </c>
      <c r="C11461" s="266" t="str">
        <f>IFERROR(__xludf.DUMMYFUNCTION("""COMPUTED_VALUE"""),"KERTASARI CIAMIS")</f>
        <v>KERTASARI CIAMIS</v>
      </c>
      <c r="D11461" s="186">
        <f>IFERROR(__xludf.DUMMYFUNCTION("""COMPUTED_VALUE"""),15.0)</f>
        <v>15</v>
      </c>
    </row>
    <row r="11462">
      <c r="A11462" s="178" t="str">
        <f>IFERROR(__xludf.DUMMYFUNCTION("""COMPUTED_VALUE"""),"ITBISA-SOCKET-IC-DIP28-NARROW")</f>
        <v>ITBISA-SOCKET-IC-DIP28-NARROW</v>
      </c>
      <c r="B11462" s="266">
        <f>IFERROR(__xludf.DUMMYFUNCTION("""COMPUTED_VALUE"""),45918.0)</f>
        <v>45918</v>
      </c>
      <c r="C11462" s="266" t="str">
        <f>IFERROR(__xludf.DUMMYFUNCTION("""COMPUTED_VALUE"""),"KERTASARI CIAMIS")</f>
        <v>KERTASARI CIAMIS</v>
      </c>
      <c r="D11462" s="186">
        <f>IFERROR(__xludf.DUMMYFUNCTION("""COMPUTED_VALUE"""),50.0)</f>
        <v>50</v>
      </c>
    </row>
    <row r="11463">
      <c r="A11463" s="178" t="str">
        <f>IFERROR(__xludf.DUMMYFUNCTION("""COMPUTED_VALUE"""),"ITBISA-SOCKET-IC-DIP28-NARROW")</f>
        <v>ITBISA-SOCKET-IC-DIP28-NARROW</v>
      </c>
      <c r="B11463" s="266">
        <f>IFERROR(__xludf.DUMMYFUNCTION("""COMPUTED_VALUE"""),45938.0)</f>
        <v>45938</v>
      </c>
      <c r="C11463" s="266" t="str">
        <f>IFERROR(__xludf.DUMMYFUNCTION("""COMPUTED_VALUE"""),"KERTASARI CIAMIS")</f>
        <v>KERTASARI CIAMIS</v>
      </c>
      <c r="D11463" s="186">
        <f>IFERROR(__xludf.DUMMYFUNCTION("""COMPUTED_VALUE"""),20.0)</f>
        <v>20</v>
      </c>
    </row>
    <row r="11464">
      <c r="A11464" s="178" t="str">
        <f>IFERROR(__xludf.DUMMYFUNCTION("""COMPUTED_VALUE"""),"ITBISA-SOCKET-IC-DIP28-NARROW")</f>
        <v>ITBISA-SOCKET-IC-DIP28-NARROW</v>
      </c>
      <c r="B11464" s="266">
        <f>IFERROR(__xludf.DUMMYFUNCTION("""COMPUTED_VALUE"""),45984.0)</f>
        <v>45984</v>
      </c>
      <c r="C11464" s="266" t="str">
        <f>IFERROR(__xludf.DUMMYFUNCTION("""COMPUTED_VALUE"""),"KERTASARI CIAMIS")</f>
        <v>KERTASARI CIAMIS</v>
      </c>
      <c r="D11464" s="186">
        <f>IFERROR(__xludf.DUMMYFUNCTION("""COMPUTED_VALUE"""),4.0)</f>
        <v>4</v>
      </c>
    </row>
    <row r="11465">
      <c r="A11465" s="178" t="str">
        <f>IFERROR(__xludf.DUMMYFUNCTION("""COMPUTED_VALUE"""),"ITBISA-SOCKET-IC-DIP28-NARROW")</f>
        <v>ITBISA-SOCKET-IC-DIP28-NARROW</v>
      </c>
      <c r="B11465" s="266">
        <f>IFERROR(__xludf.DUMMYFUNCTION("""COMPUTED_VALUE"""),45994.0)</f>
        <v>45994</v>
      </c>
      <c r="C11465" s="266" t="str">
        <f>IFERROR(__xludf.DUMMYFUNCTION("""COMPUTED_VALUE"""),"KERTASARI CIAMIS")</f>
        <v>KERTASARI CIAMIS</v>
      </c>
      <c r="D11465" s="186">
        <f>IFERROR(__xludf.DUMMYFUNCTION("""COMPUTED_VALUE"""),2.0)</f>
        <v>2</v>
      </c>
    </row>
    <row r="11466">
      <c r="A11466" s="178" t="str">
        <f>IFERROR(__xludf.DUMMYFUNCTION("""COMPUTED_VALUE"""),"ITBISA-SOCKET-IC-DIP28-NARROW")</f>
        <v>ITBISA-SOCKET-IC-DIP28-NARROW</v>
      </c>
      <c r="B11466" s="266">
        <f>IFERROR(__xludf.DUMMYFUNCTION("""COMPUTED_VALUE"""),46006.0)</f>
        <v>46006</v>
      </c>
      <c r="C11466" s="266" t="str">
        <f>IFERROR(__xludf.DUMMYFUNCTION("""COMPUTED_VALUE"""),"KYAI KONTONG")</f>
        <v>KYAI KONTONG</v>
      </c>
      <c r="D11466" s="186">
        <f>IFERROR(__xludf.DUMMYFUNCTION("""COMPUTED_VALUE"""),50.0)</f>
        <v>50</v>
      </c>
    </row>
    <row r="11467">
      <c r="A11467" s="178" t="str">
        <f>IFERROR(__xludf.DUMMYFUNCTION("""COMPUTED_VALUE"""),"ITBISA-SOCKET-IC-DIP8-NARROW")</f>
        <v>ITBISA-SOCKET-IC-DIP8-NARROW</v>
      </c>
      <c r="B11467" s="266">
        <f>IFERROR(__xludf.DUMMYFUNCTION("""COMPUTED_VALUE"""),43420.0)</f>
        <v>43420</v>
      </c>
      <c r="C11467" s="266" t="str">
        <f>IFERROR(__xludf.DUMMYFUNCTION("""COMPUTED_VALUE"""),"AVRG ITB")</f>
        <v>AVRG ITB</v>
      </c>
      <c r="D11467" s="186">
        <f>IFERROR(__xludf.DUMMYFUNCTION("""COMPUTED_VALUE"""),50.0)</f>
        <v>50</v>
      </c>
    </row>
    <row r="11468">
      <c r="A11468" s="178" t="str">
        <f>IFERROR(__xludf.DUMMYFUNCTION("""COMPUTED_VALUE"""),"ITBISA-SOCKET-IC-DIP8-NARROW")</f>
        <v>ITBISA-SOCKET-IC-DIP8-NARROW</v>
      </c>
      <c r="B11468" s="266">
        <f>IFERROR(__xludf.DUMMYFUNCTION("""COMPUTED_VALUE"""),43432.0)</f>
        <v>43432</v>
      </c>
      <c r="C11468" s="266" t="str">
        <f>IFERROR(__xludf.DUMMYFUNCTION("""COMPUTED_VALUE"""),"AVRG ITB")</f>
        <v>AVRG ITB</v>
      </c>
      <c r="D11468" s="186">
        <f>IFERROR(__xludf.DUMMYFUNCTION("""COMPUTED_VALUE"""),39.0)</f>
        <v>39</v>
      </c>
    </row>
    <row r="11469">
      <c r="A11469" s="178" t="str">
        <f>IFERROR(__xludf.DUMMYFUNCTION("""COMPUTED_VALUE"""),"ITBISA-SOCKET-IC-DIP8-NARROW")</f>
        <v>ITBISA-SOCKET-IC-DIP8-NARROW</v>
      </c>
      <c r="B11469" s="266">
        <f>IFERROR(__xludf.DUMMYFUNCTION("""COMPUTED_VALUE"""),43443.0)</f>
        <v>43443</v>
      </c>
      <c r="C11469" s="266" t="str">
        <f>IFERROR(__xludf.DUMMYFUNCTION("""COMPUTED_VALUE"""),"AVRG ITB")</f>
        <v>AVRG ITB</v>
      </c>
      <c r="D11469" s="186">
        <f>IFERROR(__xludf.DUMMYFUNCTION("""COMPUTED_VALUE"""),101.0)</f>
        <v>101</v>
      </c>
    </row>
    <row r="11470">
      <c r="A11470" s="178" t="str">
        <f>IFERROR(__xludf.DUMMYFUNCTION("""COMPUTED_VALUE"""),"ITBISA-SOCKET-IC-DIP8-NARROW")</f>
        <v>ITBISA-SOCKET-IC-DIP8-NARROW</v>
      </c>
      <c r="B11470" s="266">
        <f>IFERROR(__xludf.DUMMYFUNCTION("""COMPUTED_VALUE"""),43447.0)</f>
        <v>43447</v>
      </c>
      <c r="C11470" s="266" t="str">
        <f>IFERROR(__xludf.DUMMYFUNCTION("""COMPUTED_VALUE"""),"AVRG ITB")</f>
        <v>AVRG ITB</v>
      </c>
      <c r="D11470" s="186">
        <f>IFERROR(__xludf.DUMMYFUNCTION("""COMPUTED_VALUE"""),100.0)</f>
        <v>100</v>
      </c>
    </row>
    <row r="11471">
      <c r="A11471" s="178" t="str">
        <f>IFERROR(__xludf.DUMMYFUNCTION("""COMPUTED_VALUE"""),"ITBISA-SOCKET-IC-DIP8-NARROW")</f>
        <v>ITBISA-SOCKET-IC-DIP8-NARROW</v>
      </c>
      <c r="B11471" s="266">
        <f>IFERROR(__xludf.DUMMYFUNCTION("""COMPUTED_VALUE"""),43469.0)</f>
        <v>43469</v>
      </c>
      <c r="C11471" s="266" t="str">
        <f>IFERROR(__xludf.DUMMYFUNCTION("""COMPUTED_VALUE"""),"AVRG ITB")</f>
        <v>AVRG ITB</v>
      </c>
      <c r="D11471" s="186">
        <f>IFERROR(__xludf.DUMMYFUNCTION("""COMPUTED_VALUE"""),120.0)</f>
        <v>120</v>
      </c>
    </row>
    <row r="11472">
      <c r="A11472" s="178" t="str">
        <f>IFERROR(__xludf.DUMMYFUNCTION("""COMPUTED_VALUE"""),"ITBISA-SOCKET-IC-DIP8-NARROW")</f>
        <v>ITBISA-SOCKET-IC-DIP8-NARROW</v>
      </c>
      <c r="B11472" s="266">
        <f>IFERROR(__xludf.DUMMYFUNCTION("""COMPUTED_VALUE"""),43501.0)</f>
        <v>43501</v>
      </c>
      <c r="C11472" s="266" t="str">
        <f>IFERROR(__xludf.DUMMYFUNCTION("""COMPUTED_VALUE"""),"AVRG ITB")</f>
        <v>AVRG ITB</v>
      </c>
      <c r="D11472" s="186">
        <f>IFERROR(__xludf.DUMMYFUNCTION("""COMPUTED_VALUE"""),100.0)</f>
        <v>100</v>
      </c>
    </row>
    <row r="11473">
      <c r="A11473" s="178" t="str">
        <f>IFERROR(__xludf.DUMMYFUNCTION("""COMPUTED_VALUE"""),"ITBISA-SOCKET-IC-DIP8-NARROW")</f>
        <v>ITBISA-SOCKET-IC-DIP8-NARROW</v>
      </c>
      <c r="B11473" s="266">
        <f>IFERROR(__xludf.DUMMYFUNCTION("""COMPUTED_VALUE"""),43509.0)</f>
        <v>43509</v>
      </c>
      <c r="C11473" s="266" t="str">
        <f>IFERROR(__xludf.DUMMYFUNCTION("""COMPUTED_VALUE"""),"AVRG ITB")</f>
        <v>AVRG ITB</v>
      </c>
      <c r="D11473" s="186">
        <f>IFERROR(__xludf.DUMMYFUNCTION("""COMPUTED_VALUE"""),100.0)</f>
        <v>100</v>
      </c>
    </row>
    <row r="11474">
      <c r="A11474" s="178" t="str">
        <f>IFERROR(__xludf.DUMMYFUNCTION("""COMPUTED_VALUE"""),"ITBISA-SOCKET-IC-DIP8-NARROW")</f>
        <v>ITBISA-SOCKET-IC-DIP8-NARROW</v>
      </c>
      <c r="B11474" s="266">
        <f>IFERROR(__xludf.DUMMYFUNCTION("""COMPUTED_VALUE"""),43514.0)</f>
        <v>43514</v>
      </c>
      <c r="C11474" s="266" t="str">
        <f>IFERROR(__xludf.DUMMYFUNCTION("""COMPUTED_VALUE"""),"AVRG ITB")</f>
        <v>AVRG ITB</v>
      </c>
      <c r="D11474" s="186">
        <f>IFERROR(__xludf.DUMMYFUNCTION("""COMPUTED_VALUE"""),200.0)</f>
        <v>200</v>
      </c>
    </row>
    <row r="11475">
      <c r="A11475" s="178" t="str">
        <f>IFERROR(__xludf.DUMMYFUNCTION("""COMPUTED_VALUE"""),"ITBISA-SOCKET-IC-DIP8-NARROW")</f>
        <v>ITBISA-SOCKET-IC-DIP8-NARROW</v>
      </c>
      <c r="B11475" s="266">
        <f>IFERROR(__xludf.DUMMYFUNCTION("""COMPUTED_VALUE"""),43518.0)</f>
        <v>43518</v>
      </c>
      <c r="C11475" s="266" t="str">
        <f>IFERROR(__xludf.DUMMYFUNCTION("""COMPUTED_VALUE"""),"AVRG ITB")</f>
        <v>AVRG ITB</v>
      </c>
      <c r="D11475" s="186">
        <f>IFERROR(__xludf.DUMMYFUNCTION("""COMPUTED_VALUE"""),100.0)</f>
        <v>100</v>
      </c>
    </row>
    <row r="11476">
      <c r="A11476" s="178" t="str">
        <f>IFERROR(__xludf.DUMMYFUNCTION("""COMPUTED_VALUE"""),"ITBISA-SOCKET-IC-DIP8-NARROW")</f>
        <v>ITBISA-SOCKET-IC-DIP8-NARROW</v>
      </c>
      <c r="B11476" s="266">
        <f>IFERROR(__xludf.DUMMYFUNCTION("""COMPUTED_VALUE"""),43523.0)</f>
        <v>43523</v>
      </c>
      <c r="C11476" s="266" t="str">
        <f>IFERROR(__xludf.DUMMYFUNCTION("""COMPUTED_VALUE"""),"AVRG ITB")</f>
        <v>AVRG ITB</v>
      </c>
      <c r="D11476" s="186">
        <f>IFERROR(__xludf.DUMMYFUNCTION("""COMPUTED_VALUE"""),20.0)</f>
        <v>20</v>
      </c>
    </row>
    <row r="11477">
      <c r="A11477" s="178" t="str">
        <f>IFERROR(__xludf.DUMMYFUNCTION("""COMPUTED_VALUE"""),"ITBISA-SOCKET-IC-DIP8-NARROW")</f>
        <v>ITBISA-SOCKET-IC-DIP8-NARROW</v>
      </c>
      <c r="B11477" s="266">
        <f>IFERROR(__xludf.DUMMYFUNCTION("""COMPUTED_VALUE"""),43527.0)</f>
        <v>43527</v>
      </c>
      <c r="C11477" s="266" t="str">
        <f>IFERROR(__xludf.DUMMYFUNCTION("""COMPUTED_VALUE"""),"AVRG ITB")</f>
        <v>AVRG ITB</v>
      </c>
      <c r="D11477" s="186">
        <f>IFERROR(__xludf.DUMMYFUNCTION("""COMPUTED_VALUE"""),10.0)</f>
        <v>10</v>
      </c>
    </row>
    <row r="11478">
      <c r="A11478" s="178" t="str">
        <f>IFERROR(__xludf.DUMMYFUNCTION("""COMPUTED_VALUE"""),"ITBISA-SOCKET-IC-DIP8-NARROW")</f>
        <v>ITBISA-SOCKET-IC-DIP8-NARROW</v>
      </c>
      <c r="B11478" s="266">
        <f>IFERROR(__xludf.DUMMYFUNCTION("""COMPUTED_VALUE"""),43536.0)</f>
        <v>43536</v>
      </c>
      <c r="C11478" s="266" t="str">
        <f>IFERROR(__xludf.DUMMYFUNCTION("""COMPUTED_VALUE"""),"AVRG ITB")</f>
        <v>AVRG ITB</v>
      </c>
      <c r="D11478" s="186">
        <f>IFERROR(__xludf.DUMMYFUNCTION("""COMPUTED_VALUE"""),10.0)</f>
        <v>10</v>
      </c>
    </row>
    <row r="11479">
      <c r="A11479" s="178" t="str">
        <f>IFERROR(__xludf.DUMMYFUNCTION("""COMPUTED_VALUE"""),"ITBISA-SOCKET-IC-DIP8-NARROW")</f>
        <v>ITBISA-SOCKET-IC-DIP8-NARROW</v>
      </c>
      <c r="B11479" s="266">
        <f>IFERROR(__xludf.DUMMYFUNCTION("""COMPUTED_VALUE"""),43536.0)</f>
        <v>43536</v>
      </c>
      <c r="C11479" s="266" t="str">
        <f>IFERROR(__xludf.DUMMYFUNCTION("""COMPUTED_VALUE"""),"AVRG ITB")</f>
        <v>AVRG ITB</v>
      </c>
      <c r="D11479" s="186">
        <f>IFERROR(__xludf.DUMMYFUNCTION("""COMPUTED_VALUE"""),25.0)</f>
        <v>25</v>
      </c>
    </row>
    <row r="11480">
      <c r="A11480" s="178" t="str">
        <f>IFERROR(__xludf.DUMMYFUNCTION("""COMPUTED_VALUE"""),"ITBISA-SOCKET-IC-DIP8-NARROW")</f>
        <v>ITBISA-SOCKET-IC-DIP8-NARROW</v>
      </c>
      <c r="B11480" s="266">
        <f>IFERROR(__xludf.DUMMYFUNCTION("""COMPUTED_VALUE"""),43536.0)</f>
        <v>43536</v>
      </c>
      <c r="C11480" s="266" t="str">
        <f>IFERROR(__xludf.DUMMYFUNCTION("""COMPUTED_VALUE"""),"AVRG ITB")</f>
        <v>AVRG ITB</v>
      </c>
      <c r="D11480" s="186">
        <f>IFERROR(__xludf.DUMMYFUNCTION("""COMPUTED_VALUE"""),120.0)</f>
        <v>120</v>
      </c>
    </row>
    <row r="11481">
      <c r="A11481" s="178" t="str">
        <f>IFERROR(__xludf.DUMMYFUNCTION("""COMPUTED_VALUE"""),"ITBISA-SOCKET-IC-DIP8-NARROW")</f>
        <v>ITBISA-SOCKET-IC-DIP8-NARROW</v>
      </c>
      <c r="B11481" s="266">
        <f>IFERROR(__xludf.DUMMYFUNCTION("""COMPUTED_VALUE"""),43544.0)</f>
        <v>43544</v>
      </c>
      <c r="C11481" s="266" t="str">
        <f>IFERROR(__xludf.DUMMYFUNCTION("""COMPUTED_VALUE"""),"AVRG ITB")</f>
        <v>AVRG ITB</v>
      </c>
      <c r="D11481" s="186">
        <f>IFERROR(__xludf.DUMMYFUNCTION("""COMPUTED_VALUE"""),50.0)</f>
        <v>50</v>
      </c>
    </row>
    <row r="11482">
      <c r="A11482" s="178" t="str">
        <f>IFERROR(__xludf.DUMMYFUNCTION("""COMPUTED_VALUE"""),"ITBISA-SOCKET-IC-DIP8-NARROW")</f>
        <v>ITBISA-SOCKET-IC-DIP8-NARROW</v>
      </c>
      <c r="B11482" s="266">
        <f>IFERROR(__xludf.DUMMYFUNCTION("""COMPUTED_VALUE"""),43545.0)</f>
        <v>43545</v>
      </c>
      <c r="C11482" s="266" t="str">
        <f>IFERROR(__xludf.DUMMYFUNCTION("""COMPUTED_VALUE"""),"AVRG ITB")</f>
        <v>AVRG ITB</v>
      </c>
      <c r="D11482" s="186">
        <f>IFERROR(__xludf.DUMMYFUNCTION("""COMPUTED_VALUE"""),200.0)</f>
        <v>200</v>
      </c>
    </row>
    <row r="11483">
      <c r="A11483" s="178" t="str">
        <f>IFERROR(__xludf.DUMMYFUNCTION("""COMPUTED_VALUE"""),"ITBISA-SOCKET-IC-DIP8-NARROW")</f>
        <v>ITBISA-SOCKET-IC-DIP8-NARROW</v>
      </c>
      <c r="B11483" s="266">
        <f>IFERROR(__xludf.DUMMYFUNCTION("""COMPUTED_VALUE"""),43552.0)</f>
        <v>43552</v>
      </c>
      <c r="C11483" s="266" t="str">
        <f>IFERROR(__xludf.DUMMYFUNCTION("""COMPUTED_VALUE"""),"AVRG ITB")</f>
        <v>AVRG ITB</v>
      </c>
      <c r="D11483" s="186">
        <f>IFERROR(__xludf.DUMMYFUNCTION("""COMPUTED_VALUE"""),100.0)</f>
        <v>100</v>
      </c>
    </row>
    <row r="11484">
      <c r="A11484" s="178" t="str">
        <f>IFERROR(__xludf.DUMMYFUNCTION("""COMPUTED_VALUE"""),"ITBISA-SOCKET-IC-DIP8-NARROW")</f>
        <v>ITBISA-SOCKET-IC-DIP8-NARROW</v>
      </c>
      <c r="B11484" s="266">
        <f>IFERROR(__xludf.DUMMYFUNCTION("""COMPUTED_VALUE"""),43553.0)</f>
        <v>43553</v>
      </c>
      <c r="C11484" s="266" t="str">
        <f>IFERROR(__xludf.DUMMYFUNCTION("""COMPUTED_VALUE"""),"AVRG ITB")</f>
        <v>AVRG ITB</v>
      </c>
      <c r="D11484" s="186">
        <f>IFERROR(__xludf.DUMMYFUNCTION("""COMPUTED_VALUE"""),20.0)</f>
        <v>20</v>
      </c>
    </row>
    <row r="11485">
      <c r="A11485" s="178" t="str">
        <f>IFERROR(__xludf.DUMMYFUNCTION("""COMPUTED_VALUE"""),"ITBISA-SOCKET-IC-DIP8-NARROW")</f>
        <v>ITBISA-SOCKET-IC-DIP8-NARROW</v>
      </c>
      <c r="B11485" s="266">
        <f>IFERROR(__xludf.DUMMYFUNCTION("""COMPUTED_VALUE"""),43566.0)</f>
        <v>43566</v>
      </c>
      <c r="C11485" s="266" t="str">
        <f>IFERROR(__xludf.DUMMYFUNCTION("""COMPUTED_VALUE"""),"AVRG ITB")</f>
        <v>AVRG ITB</v>
      </c>
      <c r="D11485" s="186">
        <f>IFERROR(__xludf.DUMMYFUNCTION("""COMPUTED_VALUE"""),150.0)</f>
        <v>150</v>
      </c>
    </row>
    <row r="11486">
      <c r="A11486" s="178" t="str">
        <f>IFERROR(__xludf.DUMMYFUNCTION("""COMPUTED_VALUE"""),"ITBISA-SOCKET-IC-DIP8-NARROW")</f>
        <v>ITBISA-SOCKET-IC-DIP8-NARROW</v>
      </c>
      <c r="B11486" s="266">
        <f>IFERROR(__xludf.DUMMYFUNCTION("""COMPUTED_VALUE"""),43575.0)</f>
        <v>43575</v>
      </c>
      <c r="C11486" s="266" t="str">
        <f>IFERROR(__xludf.DUMMYFUNCTION("""COMPUTED_VALUE"""),"AVRG ITB")</f>
        <v>AVRG ITB</v>
      </c>
      <c r="D11486" s="186">
        <f>IFERROR(__xludf.DUMMYFUNCTION("""COMPUTED_VALUE"""),35.0)</f>
        <v>35</v>
      </c>
    </row>
    <row r="11487">
      <c r="A11487" s="178" t="str">
        <f>IFERROR(__xludf.DUMMYFUNCTION("""COMPUTED_VALUE"""),"ITBISA-SOCKET-IC-DIP8-NARROW")</f>
        <v>ITBISA-SOCKET-IC-DIP8-NARROW</v>
      </c>
      <c r="B11487" s="266">
        <f>IFERROR(__xludf.DUMMYFUNCTION("""COMPUTED_VALUE"""),43577.0)</f>
        <v>43577</v>
      </c>
      <c r="C11487" s="266" t="str">
        <f>IFERROR(__xludf.DUMMYFUNCTION("""COMPUTED_VALUE"""),"AVRG ITB")</f>
        <v>AVRG ITB</v>
      </c>
      <c r="D11487" s="186">
        <f>IFERROR(__xludf.DUMMYFUNCTION("""COMPUTED_VALUE"""),20.0)</f>
        <v>20</v>
      </c>
    </row>
    <row r="11488">
      <c r="A11488" s="178" t="str">
        <f>IFERROR(__xludf.DUMMYFUNCTION("""COMPUTED_VALUE"""),"ITBISA-SOCKET-IC-DIP8-NARROW")</f>
        <v>ITBISA-SOCKET-IC-DIP8-NARROW</v>
      </c>
      <c r="B11488" s="266">
        <f>IFERROR(__xludf.DUMMYFUNCTION("""COMPUTED_VALUE"""),43578.0)</f>
        <v>43578</v>
      </c>
      <c r="C11488" s="266" t="str">
        <f>IFERROR(__xludf.DUMMYFUNCTION("""COMPUTED_VALUE"""),"AVRG ITB")</f>
        <v>AVRG ITB</v>
      </c>
      <c r="D11488" s="186">
        <f>IFERROR(__xludf.DUMMYFUNCTION("""COMPUTED_VALUE"""),15.0)</f>
        <v>15</v>
      </c>
    </row>
    <row r="11489">
      <c r="A11489" s="178" t="str">
        <f>IFERROR(__xludf.DUMMYFUNCTION("""COMPUTED_VALUE"""),"ITBISA-SOCKET-IC-DIP8-NARROW")</f>
        <v>ITBISA-SOCKET-IC-DIP8-NARROW</v>
      </c>
      <c r="B11489" s="266">
        <f>IFERROR(__xludf.DUMMYFUNCTION("""COMPUTED_VALUE"""),43583.0)</f>
        <v>43583</v>
      </c>
      <c r="C11489" s="266" t="str">
        <f>IFERROR(__xludf.DUMMYFUNCTION("""COMPUTED_VALUE"""),"AVRG ITB")</f>
        <v>AVRG ITB</v>
      </c>
      <c r="D11489" s="186">
        <f>IFERROR(__xludf.DUMMYFUNCTION("""COMPUTED_VALUE"""),20.0)</f>
        <v>20</v>
      </c>
    </row>
    <row r="11490">
      <c r="A11490" s="178" t="str">
        <f>IFERROR(__xludf.DUMMYFUNCTION("""COMPUTED_VALUE"""),"ITBISA-SOCKET-IC-DIP8-NARROW")</f>
        <v>ITBISA-SOCKET-IC-DIP8-NARROW</v>
      </c>
      <c r="B11490" s="266">
        <f>IFERROR(__xludf.DUMMYFUNCTION("""COMPUTED_VALUE"""),43584.0)</f>
        <v>43584</v>
      </c>
      <c r="C11490" s="266" t="str">
        <f>IFERROR(__xludf.DUMMYFUNCTION("""COMPUTED_VALUE"""),"AVRG ITB")</f>
        <v>AVRG ITB</v>
      </c>
      <c r="D11490" s="186">
        <f>IFERROR(__xludf.DUMMYFUNCTION("""COMPUTED_VALUE"""),200.0)</f>
        <v>200</v>
      </c>
    </row>
    <row r="11491">
      <c r="A11491" s="178" t="str">
        <f>IFERROR(__xludf.DUMMYFUNCTION("""COMPUTED_VALUE"""),"ITBISA-SOCKET-IC-DIP8-NARROW")</f>
        <v>ITBISA-SOCKET-IC-DIP8-NARROW</v>
      </c>
      <c r="B11491" s="266">
        <f>IFERROR(__xludf.DUMMYFUNCTION("""COMPUTED_VALUE"""),43596.0)</f>
        <v>43596</v>
      </c>
      <c r="C11491" s="266" t="str">
        <f>IFERROR(__xludf.DUMMYFUNCTION("""COMPUTED_VALUE"""),"AVRG ITB")</f>
        <v>AVRG ITB</v>
      </c>
      <c r="D11491" s="186">
        <f>IFERROR(__xludf.DUMMYFUNCTION("""COMPUTED_VALUE"""),30.0)</f>
        <v>30</v>
      </c>
    </row>
    <row r="11492">
      <c r="A11492" s="178" t="str">
        <f>IFERROR(__xludf.DUMMYFUNCTION("""COMPUTED_VALUE"""),"ITBISA-SOCKET-IC-DIP8-NARROW")</f>
        <v>ITBISA-SOCKET-IC-DIP8-NARROW</v>
      </c>
      <c r="B11492" s="266">
        <f>IFERROR(__xludf.DUMMYFUNCTION("""COMPUTED_VALUE"""),43602.0)</f>
        <v>43602</v>
      </c>
      <c r="C11492" s="266" t="str">
        <f>IFERROR(__xludf.DUMMYFUNCTION("""COMPUTED_VALUE"""),"RUMAH MUZAKKI")</f>
        <v>RUMAH MUZAKKI</v>
      </c>
      <c r="D11492" s="186">
        <f>IFERROR(__xludf.DUMMYFUNCTION("""COMPUTED_VALUE"""),10.0)</f>
        <v>10</v>
      </c>
    </row>
    <row r="11493">
      <c r="A11493" s="178" t="str">
        <f>IFERROR(__xludf.DUMMYFUNCTION("""COMPUTED_VALUE"""),"ITBISA-SOCKET-IC-DIP8-NARROW")</f>
        <v>ITBISA-SOCKET-IC-DIP8-NARROW</v>
      </c>
      <c r="B11493" s="266">
        <f>IFERROR(__xludf.DUMMYFUNCTION("""COMPUTED_VALUE"""),43607.0)</f>
        <v>43607</v>
      </c>
      <c r="C11493" s="266" t="str">
        <f>IFERROR(__xludf.DUMMYFUNCTION("""COMPUTED_VALUE"""),"AVRG ITB")</f>
        <v>AVRG ITB</v>
      </c>
      <c r="D11493" s="186">
        <f>IFERROR(__xludf.DUMMYFUNCTION("""COMPUTED_VALUE"""),100.0)</f>
        <v>100</v>
      </c>
    </row>
    <row r="11494">
      <c r="A11494" s="178" t="str">
        <f>IFERROR(__xludf.DUMMYFUNCTION("""COMPUTED_VALUE"""),"ITBISA-SOCKET-IC-DIP8-NARROW")</f>
        <v>ITBISA-SOCKET-IC-DIP8-NARROW</v>
      </c>
      <c r="B11494" s="266">
        <f>IFERROR(__xludf.DUMMYFUNCTION("""COMPUTED_VALUE"""),43638.0)</f>
        <v>43638</v>
      </c>
      <c r="C11494" s="266" t="str">
        <f>IFERROR(__xludf.DUMMYFUNCTION("""COMPUTED_VALUE"""),"RUMAH MUZAKKI")</f>
        <v>RUMAH MUZAKKI</v>
      </c>
      <c r="D11494" s="186">
        <f>IFERROR(__xludf.DUMMYFUNCTION("""COMPUTED_VALUE"""),50.0)</f>
        <v>50</v>
      </c>
    </row>
    <row r="11495">
      <c r="A11495" s="178" t="str">
        <f>IFERROR(__xludf.DUMMYFUNCTION("""COMPUTED_VALUE"""),"ITBISA-SOCKET-IC-DIP8-NARROW")</f>
        <v>ITBISA-SOCKET-IC-DIP8-NARROW</v>
      </c>
      <c r="B11495" s="266">
        <f>IFERROR(__xludf.DUMMYFUNCTION("""COMPUTED_VALUE"""),43641.0)</f>
        <v>43641</v>
      </c>
      <c r="C11495" s="266" t="str">
        <f>IFERROR(__xludf.DUMMYFUNCTION("""COMPUTED_VALUE"""),"RUMAH MUZAKKI")</f>
        <v>RUMAH MUZAKKI</v>
      </c>
      <c r="D11495" s="186">
        <f>IFERROR(__xludf.DUMMYFUNCTION("""COMPUTED_VALUE"""),100.0)</f>
        <v>100</v>
      </c>
    </row>
    <row r="11496">
      <c r="A11496" s="178" t="str">
        <f>IFERROR(__xludf.DUMMYFUNCTION("""COMPUTED_VALUE"""),"ITBISA-SOCKET-IC-DIP8-NARROW")</f>
        <v>ITBISA-SOCKET-IC-DIP8-NARROW</v>
      </c>
      <c r="B11496" s="266">
        <f>IFERROR(__xludf.DUMMYFUNCTION("""COMPUTED_VALUE"""),43648.0)</f>
        <v>43648</v>
      </c>
      <c r="C11496" s="266" t="str">
        <f>IFERROR(__xludf.DUMMYFUNCTION("""COMPUTED_VALUE"""),"RUMAH MUZAKKI")</f>
        <v>RUMAH MUZAKKI</v>
      </c>
      <c r="D11496" s="186">
        <f>IFERROR(__xludf.DUMMYFUNCTION("""COMPUTED_VALUE"""),200.0)</f>
        <v>200</v>
      </c>
    </row>
    <row r="11497">
      <c r="A11497" s="178" t="str">
        <f>IFERROR(__xludf.DUMMYFUNCTION("""COMPUTED_VALUE"""),"ITBISA-SOCKET-IC-DIP8-NARROW")</f>
        <v>ITBISA-SOCKET-IC-DIP8-NARROW</v>
      </c>
      <c r="B11497" s="266">
        <f>IFERROR(__xludf.DUMMYFUNCTION("""COMPUTED_VALUE"""),43652.0)</f>
        <v>43652</v>
      </c>
      <c r="C11497" s="266" t="str">
        <f>IFERROR(__xludf.DUMMYFUNCTION("""COMPUTED_VALUE"""),"RUMAH MUZAKKI")</f>
        <v>RUMAH MUZAKKI</v>
      </c>
      <c r="D11497" s="186">
        <f>IFERROR(__xludf.DUMMYFUNCTION("""COMPUTED_VALUE"""),4.0)</f>
        <v>4</v>
      </c>
    </row>
    <row r="11498">
      <c r="A11498" s="178" t="str">
        <f>IFERROR(__xludf.DUMMYFUNCTION("""COMPUTED_VALUE"""),"ITBISA-SOCKET-IC-DIP8-NARROW")</f>
        <v>ITBISA-SOCKET-IC-DIP8-NARROW</v>
      </c>
      <c r="B11498" s="266">
        <f>IFERROR(__xludf.DUMMYFUNCTION("""COMPUTED_VALUE"""),43664.0)</f>
        <v>43664</v>
      </c>
      <c r="C11498" s="266" t="str">
        <f>IFERROR(__xludf.DUMMYFUNCTION("""COMPUTED_VALUE"""),"RUMAH MUZAKKI")</f>
        <v>RUMAH MUZAKKI</v>
      </c>
      <c r="D11498" s="186">
        <f>IFERROR(__xludf.DUMMYFUNCTION("""COMPUTED_VALUE"""),100.0)</f>
        <v>100</v>
      </c>
    </row>
    <row r="11499">
      <c r="A11499" s="178" t="str">
        <f>IFERROR(__xludf.DUMMYFUNCTION("""COMPUTED_VALUE"""),"ITBISA-SOCKET-IC-DIP8-NARROW")</f>
        <v>ITBISA-SOCKET-IC-DIP8-NARROW</v>
      </c>
      <c r="B11499" s="266">
        <f>IFERROR(__xludf.DUMMYFUNCTION("""COMPUTED_VALUE"""),43680.0)</f>
        <v>43680</v>
      </c>
      <c r="C11499" s="266" t="str">
        <f>IFERROR(__xludf.DUMMYFUNCTION("""COMPUTED_VALUE"""),"RUMAH MUZAKKI")</f>
        <v>RUMAH MUZAKKI</v>
      </c>
      <c r="D11499" s="186">
        <f>IFERROR(__xludf.DUMMYFUNCTION("""COMPUTED_VALUE"""),350.0)</f>
        <v>350</v>
      </c>
    </row>
    <row r="11500">
      <c r="A11500" s="178" t="str">
        <f>IFERROR(__xludf.DUMMYFUNCTION("""COMPUTED_VALUE"""),"ITBISA-SOCKET-IC-DIP8-NARROW")</f>
        <v>ITBISA-SOCKET-IC-DIP8-NARROW</v>
      </c>
      <c r="B11500" s="266">
        <f>IFERROR(__xludf.DUMMYFUNCTION("""COMPUTED_VALUE"""),43686.0)</f>
        <v>43686</v>
      </c>
      <c r="C11500" s="266" t="str">
        <f>IFERROR(__xludf.DUMMYFUNCTION("""COMPUTED_VALUE"""),"RUMAH MUZAKKI")</f>
        <v>RUMAH MUZAKKI</v>
      </c>
      <c r="D11500" s="186">
        <f>IFERROR(__xludf.DUMMYFUNCTION("""COMPUTED_VALUE"""),80.0)</f>
        <v>80</v>
      </c>
    </row>
    <row r="11501">
      <c r="A11501" s="178" t="str">
        <f>IFERROR(__xludf.DUMMYFUNCTION("""COMPUTED_VALUE"""),"ITBISA-SOCKET-IC-DIP8-NARROW")</f>
        <v>ITBISA-SOCKET-IC-DIP8-NARROW</v>
      </c>
      <c r="B11501" s="266">
        <f>IFERROR(__xludf.DUMMYFUNCTION("""COMPUTED_VALUE"""),43687.0)</f>
        <v>43687</v>
      </c>
      <c r="C11501" s="266" t="str">
        <f>IFERROR(__xludf.DUMMYFUNCTION("""COMPUTED_VALUE"""),"RUMAH MUZAKKI")</f>
        <v>RUMAH MUZAKKI</v>
      </c>
      <c r="D11501" s="186">
        <f>IFERROR(__xludf.DUMMYFUNCTION("""COMPUTED_VALUE"""),15.0)</f>
        <v>15</v>
      </c>
    </row>
    <row r="11502">
      <c r="A11502" s="178" t="str">
        <f>IFERROR(__xludf.DUMMYFUNCTION("""COMPUTED_VALUE"""),"ITBISA-SOCKET-IC-DIP8-NARROW")</f>
        <v>ITBISA-SOCKET-IC-DIP8-NARROW</v>
      </c>
      <c r="B11502" s="266">
        <f>IFERROR(__xludf.DUMMYFUNCTION("""COMPUTED_VALUE"""),43690.0)</f>
        <v>43690</v>
      </c>
      <c r="C11502" s="266" t="str">
        <f>IFERROR(__xludf.DUMMYFUNCTION("""COMPUTED_VALUE"""),"RUMAH MUZAKKI")</f>
        <v>RUMAH MUZAKKI</v>
      </c>
      <c r="D11502" s="186">
        <f>IFERROR(__xludf.DUMMYFUNCTION("""COMPUTED_VALUE"""),4.0)</f>
        <v>4</v>
      </c>
    </row>
    <row r="11503">
      <c r="A11503" s="178" t="str">
        <f>IFERROR(__xludf.DUMMYFUNCTION("""COMPUTED_VALUE"""),"ITBISA-SOCKET-IC-DIP8-NARROW")</f>
        <v>ITBISA-SOCKET-IC-DIP8-NARROW</v>
      </c>
      <c r="B11503" s="266">
        <f>IFERROR(__xludf.DUMMYFUNCTION("""COMPUTED_VALUE"""),43690.0)</f>
        <v>43690</v>
      </c>
      <c r="C11503" s="266" t="str">
        <f>IFERROR(__xludf.DUMMYFUNCTION("""COMPUTED_VALUE"""),"RUMAH MUZAKKI")</f>
        <v>RUMAH MUZAKKI</v>
      </c>
      <c r="D11503" s="186">
        <f>IFERROR(__xludf.DUMMYFUNCTION("""COMPUTED_VALUE"""),200.0)</f>
        <v>200</v>
      </c>
    </row>
    <row r="11504">
      <c r="A11504" s="178" t="str">
        <f>IFERROR(__xludf.DUMMYFUNCTION("""COMPUTED_VALUE"""),"ITBISA-SOCKET-IC-DIP8-NARROW")</f>
        <v>ITBISA-SOCKET-IC-DIP8-NARROW</v>
      </c>
      <c r="B11504" s="266">
        <f>IFERROR(__xludf.DUMMYFUNCTION("""COMPUTED_VALUE"""),43691.0)</f>
        <v>43691</v>
      </c>
      <c r="C11504" s="266" t="str">
        <f>IFERROR(__xludf.DUMMYFUNCTION("""COMPUTED_VALUE"""),"RUMAH MUZAKKI")</f>
        <v>RUMAH MUZAKKI</v>
      </c>
      <c r="D11504" s="186">
        <f>IFERROR(__xludf.DUMMYFUNCTION("""COMPUTED_VALUE"""),20.0)</f>
        <v>20</v>
      </c>
    </row>
    <row r="11505">
      <c r="A11505" s="178" t="str">
        <f>IFERROR(__xludf.DUMMYFUNCTION("""COMPUTED_VALUE"""),"ITBISA-SOCKET-IC-DIP8-NARROW")</f>
        <v>ITBISA-SOCKET-IC-DIP8-NARROW</v>
      </c>
      <c r="B11505" s="266">
        <f>IFERROR(__xludf.DUMMYFUNCTION("""COMPUTED_VALUE"""),43711.0)</f>
        <v>43711</v>
      </c>
      <c r="C11505" s="266" t="str">
        <f>IFERROR(__xludf.DUMMYFUNCTION("""COMPUTED_VALUE"""),"RUMAH MUZAKKI")</f>
        <v>RUMAH MUZAKKI</v>
      </c>
      <c r="D11505" s="186">
        <f>IFERROR(__xludf.DUMMYFUNCTION("""COMPUTED_VALUE"""),36.0)</f>
        <v>36</v>
      </c>
    </row>
    <row r="11506">
      <c r="A11506" s="178" t="str">
        <f>IFERROR(__xludf.DUMMYFUNCTION("""COMPUTED_VALUE"""),"ITBISA-SOCKET-IC-DIP8-NARROW")</f>
        <v>ITBISA-SOCKET-IC-DIP8-NARROW</v>
      </c>
      <c r="B11506" s="266">
        <f>IFERROR(__xludf.DUMMYFUNCTION("""COMPUTED_VALUE"""),43732.0)</f>
        <v>43732</v>
      </c>
      <c r="C11506" s="266" t="str">
        <f>IFERROR(__xludf.DUMMYFUNCTION("""COMPUTED_VALUE"""),"RUMAH MUZAKKI")</f>
        <v>RUMAH MUZAKKI</v>
      </c>
      <c r="D11506" s="186">
        <f>IFERROR(__xludf.DUMMYFUNCTION("""COMPUTED_VALUE"""),10.0)</f>
        <v>10</v>
      </c>
    </row>
    <row r="11507">
      <c r="A11507" s="178" t="str">
        <f>IFERROR(__xludf.DUMMYFUNCTION("""COMPUTED_VALUE"""),"ITBISA-SOCKET-IC-DIP8-NARROW")</f>
        <v>ITBISA-SOCKET-IC-DIP8-NARROW</v>
      </c>
      <c r="B11507" s="266">
        <f>IFERROR(__xludf.DUMMYFUNCTION("""COMPUTED_VALUE"""),43733.0)</f>
        <v>43733</v>
      </c>
      <c r="C11507" s="266" t="str">
        <f>IFERROR(__xludf.DUMMYFUNCTION("""COMPUTED_VALUE"""),"RUMAH MUZAKKI")</f>
        <v>RUMAH MUZAKKI</v>
      </c>
      <c r="D11507" s="186">
        <f>IFERROR(__xludf.DUMMYFUNCTION("""COMPUTED_VALUE"""),1.0)</f>
        <v>1</v>
      </c>
    </row>
    <row r="11508">
      <c r="A11508" s="178" t="str">
        <f>IFERROR(__xludf.DUMMYFUNCTION("""COMPUTED_VALUE"""),"ITBISA-SOCKET-IC-DIP8-NARROW")</f>
        <v>ITBISA-SOCKET-IC-DIP8-NARROW</v>
      </c>
      <c r="B11508" s="266">
        <f>IFERROR(__xludf.DUMMYFUNCTION("""COMPUTED_VALUE"""),43734.0)</f>
        <v>43734</v>
      </c>
      <c r="C11508" s="266" t="str">
        <f>IFERROR(__xludf.DUMMYFUNCTION("""COMPUTED_VALUE"""),"RUMAH MUZAKKI")</f>
        <v>RUMAH MUZAKKI</v>
      </c>
      <c r="D11508" s="186">
        <f>IFERROR(__xludf.DUMMYFUNCTION("""COMPUTED_VALUE"""),100.0)</f>
        <v>100</v>
      </c>
    </row>
    <row r="11509">
      <c r="A11509" s="178" t="str">
        <f>IFERROR(__xludf.DUMMYFUNCTION("""COMPUTED_VALUE"""),"ITBISA-SOCKET-IC-DIP8-NARROW")</f>
        <v>ITBISA-SOCKET-IC-DIP8-NARROW</v>
      </c>
      <c r="B11509" s="266">
        <f>IFERROR(__xludf.DUMMYFUNCTION("""COMPUTED_VALUE"""),43740.0)</f>
        <v>43740</v>
      </c>
      <c r="C11509" s="266" t="str">
        <f>IFERROR(__xludf.DUMMYFUNCTION("""COMPUTED_VALUE"""),"RUMAH MUZAKKI")</f>
        <v>RUMAH MUZAKKI</v>
      </c>
      <c r="D11509" s="186">
        <f>IFERROR(__xludf.DUMMYFUNCTION("""COMPUTED_VALUE"""),50.0)</f>
        <v>50</v>
      </c>
    </row>
    <row r="11510">
      <c r="A11510" s="178" t="str">
        <f>IFERROR(__xludf.DUMMYFUNCTION("""COMPUTED_VALUE"""),"ITBISA-SOCKET-IC-DIP8-NARROW")</f>
        <v>ITBISA-SOCKET-IC-DIP8-NARROW</v>
      </c>
      <c r="B11510" s="266">
        <f>IFERROR(__xludf.DUMMYFUNCTION("""COMPUTED_VALUE"""),43750.0)</f>
        <v>43750</v>
      </c>
      <c r="C11510" s="266" t="str">
        <f>IFERROR(__xludf.DUMMYFUNCTION("""COMPUTED_VALUE"""),"RUMAH MUZAKKI")</f>
        <v>RUMAH MUZAKKI</v>
      </c>
      <c r="D11510" s="186">
        <f>IFERROR(__xludf.DUMMYFUNCTION("""COMPUTED_VALUE"""),30.0)</f>
        <v>30</v>
      </c>
    </row>
    <row r="11511">
      <c r="A11511" s="178" t="str">
        <f>IFERROR(__xludf.DUMMYFUNCTION("""COMPUTED_VALUE"""),"ITBISA-SOCKET-IC-DIP8-NARROW")</f>
        <v>ITBISA-SOCKET-IC-DIP8-NARROW</v>
      </c>
      <c r="B11511" s="266">
        <f>IFERROR(__xludf.DUMMYFUNCTION("""COMPUTED_VALUE"""),43756.0)</f>
        <v>43756</v>
      </c>
      <c r="C11511" s="266" t="str">
        <f>IFERROR(__xludf.DUMMYFUNCTION("""COMPUTED_VALUE"""),"RUMAH MUZAKKI")</f>
        <v>RUMAH MUZAKKI</v>
      </c>
      <c r="D11511" s="186">
        <f>IFERROR(__xludf.DUMMYFUNCTION("""COMPUTED_VALUE"""),20.0)</f>
        <v>20</v>
      </c>
    </row>
    <row r="11512">
      <c r="A11512" s="178" t="str">
        <f>IFERROR(__xludf.DUMMYFUNCTION("""COMPUTED_VALUE"""),"ITBISA-SOCKET-IC-DIP8-NARROW")</f>
        <v>ITBISA-SOCKET-IC-DIP8-NARROW</v>
      </c>
      <c r="B11512" s="266">
        <f>IFERROR(__xludf.DUMMYFUNCTION("""COMPUTED_VALUE"""),43759.0)</f>
        <v>43759</v>
      </c>
      <c r="C11512" s="266" t="str">
        <f>IFERROR(__xludf.DUMMYFUNCTION("""COMPUTED_VALUE"""),"RUMAH MUZAKKI")</f>
        <v>RUMAH MUZAKKI</v>
      </c>
      <c r="D11512" s="186">
        <f>IFERROR(__xludf.DUMMYFUNCTION("""COMPUTED_VALUE"""),30.0)</f>
        <v>30</v>
      </c>
    </row>
    <row r="11513">
      <c r="A11513" s="178" t="str">
        <f>IFERROR(__xludf.DUMMYFUNCTION("""COMPUTED_VALUE"""),"ITBISA-SOCKET-IC-DIP8-NARROW")</f>
        <v>ITBISA-SOCKET-IC-DIP8-NARROW</v>
      </c>
      <c r="B11513" s="266">
        <f>IFERROR(__xludf.DUMMYFUNCTION("""COMPUTED_VALUE"""),43768.0)</f>
        <v>43768</v>
      </c>
      <c r="C11513" s="266" t="str">
        <f>IFERROR(__xludf.DUMMYFUNCTION("""COMPUTED_VALUE"""),"RUMAH MUZAKKI")</f>
        <v>RUMAH MUZAKKI</v>
      </c>
      <c r="D11513" s="186">
        <f>IFERROR(__xludf.DUMMYFUNCTION("""COMPUTED_VALUE"""),50.0)</f>
        <v>50</v>
      </c>
    </row>
    <row r="11514">
      <c r="A11514" s="178" t="str">
        <f>IFERROR(__xludf.DUMMYFUNCTION("""COMPUTED_VALUE"""),"ITBISA-SOCKET-IC-DIP8-NARROW")</f>
        <v>ITBISA-SOCKET-IC-DIP8-NARROW</v>
      </c>
      <c r="B11514" s="266">
        <f>IFERROR(__xludf.DUMMYFUNCTION("""COMPUTED_VALUE"""),43777.0)</f>
        <v>43777</v>
      </c>
      <c r="C11514" s="266" t="str">
        <f>IFERROR(__xludf.DUMMYFUNCTION("""COMPUTED_VALUE"""),"RUMAH MUZAKKI")</f>
        <v>RUMAH MUZAKKI</v>
      </c>
      <c r="D11514" s="186">
        <f>IFERROR(__xludf.DUMMYFUNCTION("""COMPUTED_VALUE"""),100.0)</f>
        <v>100</v>
      </c>
    </row>
    <row r="11515">
      <c r="A11515" s="178" t="str">
        <f>IFERROR(__xludf.DUMMYFUNCTION("""COMPUTED_VALUE"""),"ITBISA-SOCKET-IC-DIP8-NARROW")</f>
        <v>ITBISA-SOCKET-IC-DIP8-NARROW</v>
      </c>
      <c r="B11515" s="266">
        <f>IFERROR(__xludf.DUMMYFUNCTION("""COMPUTED_VALUE"""),43785.0)</f>
        <v>43785</v>
      </c>
      <c r="C11515" s="266" t="str">
        <f>IFERROR(__xludf.DUMMYFUNCTION("""COMPUTED_VALUE"""),"RUMAH MUZAKKI")</f>
        <v>RUMAH MUZAKKI</v>
      </c>
      <c r="D11515" s="186">
        <f>IFERROR(__xludf.DUMMYFUNCTION("""COMPUTED_VALUE"""),6.0)</f>
        <v>6</v>
      </c>
    </row>
    <row r="11516">
      <c r="A11516" s="178" t="str">
        <f>IFERROR(__xludf.DUMMYFUNCTION("""COMPUTED_VALUE"""),"ITBISA-SOCKET-IC-DIP8-NARROW")</f>
        <v>ITBISA-SOCKET-IC-DIP8-NARROW</v>
      </c>
      <c r="B11516" s="266">
        <f>IFERROR(__xludf.DUMMYFUNCTION("""COMPUTED_VALUE"""),43790.0)</f>
        <v>43790</v>
      </c>
      <c r="C11516" s="266" t="str">
        <f>IFERROR(__xludf.DUMMYFUNCTION("""COMPUTED_VALUE"""),"RUMAH MUZAKKI")</f>
        <v>RUMAH MUZAKKI</v>
      </c>
      <c r="D11516" s="186">
        <f>IFERROR(__xludf.DUMMYFUNCTION("""COMPUTED_VALUE"""),40.0)</f>
        <v>40</v>
      </c>
    </row>
    <row r="11517">
      <c r="A11517" s="178" t="str">
        <f>IFERROR(__xludf.DUMMYFUNCTION("""COMPUTED_VALUE"""),"ITBISA-SOCKET-IC-DIP8-NARROW")</f>
        <v>ITBISA-SOCKET-IC-DIP8-NARROW</v>
      </c>
      <c r="B11517" s="266">
        <f>IFERROR(__xludf.DUMMYFUNCTION("""COMPUTED_VALUE"""),43806.0)</f>
        <v>43806</v>
      </c>
      <c r="C11517" s="266" t="str">
        <f>IFERROR(__xludf.DUMMYFUNCTION("""COMPUTED_VALUE"""),"AVRG ITB")</f>
        <v>AVRG ITB</v>
      </c>
      <c r="D11517" s="186">
        <f>IFERROR(__xludf.DUMMYFUNCTION("""COMPUTED_VALUE"""),100.0)</f>
        <v>100</v>
      </c>
    </row>
    <row r="11518">
      <c r="A11518" s="178" t="str">
        <f>IFERROR(__xludf.DUMMYFUNCTION("""COMPUTED_VALUE"""),"ITBISA-SOCKET-IC-DIP8-NARROW")</f>
        <v>ITBISA-SOCKET-IC-DIP8-NARROW</v>
      </c>
      <c r="B11518" s="266">
        <f>IFERROR(__xludf.DUMMYFUNCTION("""COMPUTED_VALUE"""),43810.0)</f>
        <v>43810</v>
      </c>
      <c r="C11518" s="266" t="str">
        <f>IFERROR(__xludf.DUMMYFUNCTION("""COMPUTED_VALUE"""),"AVRG ITB")</f>
        <v>AVRG ITB</v>
      </c>
      <c r="D11518" s="186">
        <f>IFERROR(__xludf.DUMMYFUNCTION("""COMPUTED_VALUE"""),50.0)</f>
        <v>50</v>
      </c>
    </row>
    <row r="11519">
      <c r="A11519" s="178" t="str">
        <f>IFERROR(__xludf.DUMMYFUNCTION("""COMPUTED_VALUE"""),"ITBISA-SOCKET-IC-DIP8-NARROW")</f>
        <v>ITBISA-SOCKET-IC-DIP8-NARROW</v>
      </c>
      <c r="B11519" s="266">
        <f>IFERROR(__xludf.DUMMYFUNCTION("""COMPUTED_VALUE"""),43820.0)</f>
        <v>43820</v>
      </c>
      <c r="C11519" s="266" t="str">
        <f>IFERROR(__xludf.DUMMYFUNCTION("""COMPUTED_VALUE"""),"AVRG ITB")</f>
        <v>AVRG ITB</v>
      </c>
      <c r="D11519" s="186">
        <f>IFERROR(__xludf.DUMMYFUNCTION("""COMPUTED_VALUE"""),100.0)</f>
        <v>100</v>
      </c>
    </row>
    <row r="11520">
      <c r="A11520" s="178" t="str">
        <f>IFERROR(__xludf.DUMMYFUNCTION("""COMPUTED_VALUE"""),"ITBISA-SOCKET-IC-DIP8-NARROW")</f>
        <v>ITBISA-SOCKET-IC-DIP8-NARROW</v>
      </c>
      <c r="B11520" s="266">
        <f>IFERROR(__xludf.DUMMYFUNCTION("""COMPUTED_VALUE"""),43825.0)</f>
        <v>43825</v>
      </c>
      <c r="C11520" s="266" t="str">
        <f>IFERROR(__xludf.DUMMYFUNCTION("""COMPUTED_VALUE"""),"AVRG ITB")</f>
        <v>AVRG ITB</v>
      </c>
      <c r="D11520" s="186">
        <f>IFERROR(__xludf.DUMMYFUNCTION("""COMPUTED_VALUE"""),200.0)</f>
        <v>200</v>
      </c>
    </row>
    <row r="11521">
      <c r="A11521" s="178" t="str">
        <f>IFERROR(__xludf.DUMMYFUNCTION("""COMPUTED_VALUE"""),"ITBISA-SOCKET-IC-DIP8-NARROW")</f>
        <v>ITBISA-SOCKET-IC-DIP8-NARROW</v>
      </c>
      <c r="B11521" s="266">
        <f>IFERROR(__xludf.DUMMYFUNCTION("""COMPUTED_VALUE"""),43832.0)</f>
        <v>43832</v>
      </c>
      <c r="C11521" s="266" t="str">
        <f>IFERROR(__xludf.DUMMYFUNCTION("""COMPUTED_VALUE"""),"AVRG ITB")</f>
        <v>AVRG ITB</v>
      </c>
      <c r="D11521" s="186">
        <f>IFERROR(__xludf.DUMMYFUNCTION("""COMPUTED_VALUE"""),20.0)</f>
        <v>20</v>
      </c>
    </row>
    <row r="11522">
      <c r="A11522" s="178" t="str">
        <f>IFERROR(__xludf.DUMMYFUNCTION("""COMPUTED_VALUE"""),"ITBISA-SOCKET-IC-DIP8-NARROW")</f>
        <v>ITBISA-SOCKET-IC-DIP8-NARROW</v>
      </c>
      <c r="B11522" s="266">
        <f>IFERROR(__xludf.DUMMYFUNCTION("""COMPUTED_VALUE"""),43837.0)</f>
        <v>43837</v>
      </c>
      <c r="C11522" s="266" t="str">
        <f>IFERROR(__xludf.DUMMYFUNCTION("""COMPUTED_VALUE"""),"AVRG ITB")</f>
        <v>AVRG ITB</v>
      </c>
      <c r="D11522" s="186">
        <f>IFERROR(__xludf.DUMMYFUNCTION("""COMPUTED_VALUE"""),150.0)</f>
        <v>150</v>
      </c>
    </row>
    <row r="11523">
      <c r="A11523" s="178" t="str">
        <f>IFERROR(__xludf.DUMMYFUNCTION("""COMPUTED_VALUE"""),"ITBISA-SOCKET-IC-DIP8-NARROW")</f>
        <v>ITBISA-SOCKET-IC-DIP8-NARROW</v>
      </c>
      <c r="B11523" s="266">
        <f>IFERROR(__xludf.DUMMYFUNCTION("""COMPUTED_VALUE"""),43849.0)</f>
        <v>43849</v>
      </c>
      <c r="C11523" s="266" t="str">
        <f>IFERROR(__xludf.DUMMYFUNCTION("""COMPUTED_VALUE"""),"AVRG ITB")</f>
        <v>AVRG ITB</v>
      </c>
      <c r="D11523" s="186">
        <f>IFERROR(__xludf.DUMMYFUNCTION("""COMPUTED_VALUE"""),5.0)</f>
        <v>5</v>
      </c>
    </row>
    <row r="11524">
      <c r="A11524" s="178" t="str">
        <f>IFERROR(__xludf.DUMMYFUNCTION("""COMPUTED_VALUE"""),"ITBISA-SOCKET-IC-DIP8-NARROW")</f>
        <v>ITBISA-SOCKET-IC-DIP8-NARROW</v>
      </c>
      <c r="B11524" s="266">
        <f>IFERROR(__xludf.DUMMYFUNCTION("""COMPUTED_VALUE"""),43869.0)</f>
        <v>43869</v>
      </c>
      <c r="C11524" s="266" t="str">
        <f>IFERROR(__xludf.DUMMYFUNCTION("""COMPUTED_VALUE"""),"AVRG ITB")</f>
        <v>AVRG ITB</v>
      </c>
      <c r="D11524" s="186">
        <f>IFERROR(__xludf.DUMMYFUNCTION("""COMPUTED_VALUE"""),100.0)</f>
        <v>100</v>
      </c>
    </row>
    <row r="11525">
      <c r="A11525" s="178" t="str">
        <f>IFERROR(__xludf.DUMMYFUNCTION("""COMPUTED_VALUE"""),"ITBISA-SOCKET-IC-DIP8-NARROW")</f>
        <v>ITBISA-SOCKET-IC-DIP8-NARROW</v>
      </c>
      <c r="B11525" s="266">
        <f>IFERROR(__xludf.DUMMYFUNCTION("""COMPUTED_VALUE"""),43879.0)</f>
        <v>43879</v>
      </c>
      <c r="C11525" s="266" t="str">
        <f>IFERROR(__xludf.DUMMYFUNCTION("""COMPUTED_VALUE"""),"AVRG ITB")</f>
        <v>AVRG ITB</v>
      </c>
      <c r="D11525" s="186">
        <f>IFERROR(__xludf.DUMMYFUNCTION("""COMPUTED_VALUE"""),40.0)</f>
        <v>40</v>
      </c>
    </row>
    <row r="11526">
      <c r="A11526" s="178" t="str">
        <f>IFERROR(__xludf.DUMMYFUNCTION("""COMPUTED_VALUE"""),"ITBISA-SOCKET-IC-DIP8-NARROW")</f>
        <v>ITBISA-SOCKET-IC-DIP8-NARROW</v>
      </c>
      <c r="B11526" s="266">
        <f>IFERROR(__xludf.DUMMYFUNCTION("""COMPUTED_VALUE"""),43998.0)</f>
        <v>43998</v>
      </c>
      <c r="C11526" s="266" t="str">
        <f>IFERROR(__xludf.DUMMYFUNCTION("""COMPUTED_VALUE"""),"KAETOBO RESIDENCE")</f>
        <v>KAETOBO RESIDENCE</v>
      </c>
      <c r="D11526" s="186">
        <f>IFERROR(__xludf.DUMMYFUNCTION("""COMPUTED_VALUE"""),5.0)</f>
        <v>5</v>
      </c>
    </row>
    <row r="11527">
      <c r="A11527" s="178" t="str">
        <f>IFERROR(__xludf.DUMMYFUNCTION("""COMPUTED_VALUE"""),"ITBISA-SOCKET-IC-DIP8-NARROW")</f>
        <v>ITBISA-SOCKET-IC-DIP8-NARROW</v>
      </c>
      <c r="B11527" s="266">
        <f>IFERROR(__xludf.DUMMYFUNCTION("""COMPUTED_VALUE"""),44002.0)</f>
        <v>44002</v>
      </c>
      <c r="C11527" s="266" t="str">
        <f>IFERROR(__xludf.DUMMYFUNCTION("""COMPUTED_VALUE"""),"KAETOBO RESIDENCE")</f>
        <v>KAETOBO RESIDENCE</v>
      </c>
      <c r="D11527" s="186">
        <f>IFERROR(__xludf.DUMMYFUNCTION("""COMPUTED_VALUE"""),100.0)</f>
        <v>100</v>
      </c>
    </row>
    <row r="11528">
      <c r="A11528" s="178" t="str">
        <f>IFERROR(__xludf.DUMMYFUNCTION("""COMPUTED_VALUE"""),"ITBISA-SOCKET-IC-DIP8-NARROW")</f>
        <v>ITBISA-SOCKET-IC-DIP8-NARROW</v>
      </c>
      <c r="B11528" s="266">
        <f>IFERROR(__xludf.DUMMYFUNCTION("""COMPUTED_VALUE"""),44005.0)</f>
        <v>44005</v>
      </c>
      <c r="C11528" s="266" t="str">
        <f>IFERROR(__xludf.DUMMYFUNCTION("""COMPUTED_VALUE"""),"KAETOBO RESIDENCE")</f>
        <v>KAETOBO RESIDENCE</v>
      </c>
      <c r="D11528" s="186">
        <f>IFERROR(__xludf.DUMMYFUNCTION("""COMPUTED_VALUE"""),50.0)</f>
        <v>50</v>
      </c>
    </row>
    <row r="11529">
      <c r="A11529" s="178" t="str">
        <f>IFERROR(__xludf.DUMMYFUNCTION("""COMPUTED_VALUE"""),"ITBISA-SOCKET-IC-DIP8-NARROW")</f>
        <v>ITBISA-SOCKET-IC-DIP8-NARROW</v>
      </c>
      <c r="B11529" s="266">
        <f>IFERROR(__xludf.DUMMYFUNCTION("""COMPUTED_VALUE"""),44008.0)</f>
        <v>44008</v>
      </c>
      <c r="C11529" s="266" t="str">
        <f>IFERROR(__xludf.DUMMYFUNCTION("""COMPUTED_VALUE"""),"KAETOBO RESIDENCE")</f>
        <v>KAETOBO RESIDENCE</v>
      </c>
      <c r="D11529" s="186">
        <f>IFERROR(__xludf.DUMMYFUNCTION("""COMPUTED_VALUE"""),50.0)</f>
        <v>50</v>
      </c>
    </row>
    <row r="11530">
      <c r="A11530" s="178" t="str">
        <f>IFERROR(__xludf.DUMMYFUNCTION("""COMPUTED_VALUE"""),"ITBISA-SOCKET-IC-DIP8-NARROW")</f>
        <v>ITBISA-SOCKET-IC-DIP8-NARROW</v>
      </c>
      <c r="B11530" s="266">
        <f>IFERROR(__xludf.DUMMYFUNCTION("""COMPUTED_VALUE"""),44008.0)</f>
        <v>44008</v>
      </c>
      <c r="C11530" s="266" t="str">
        <f>IFERROR(__xludf.DUMMYFUNCTION("""COMPUTED_VALUE"""),"KAETOBO RESIDENCE")</f>
        <v>KAETOBO RESIDENCE</v>
      </c>
      <c r="D11530" s="186">
        <f>IFERROR(__xludf.DUMMYFUNCTION("""COMPUTED_VALUE"""),50.0)</f>
        <v>50</v>
      </c>
    </row>
    <row r="11531">
      <c r="A11531" s="178" t="str">
        <f>IFERROR(__xludf.DUMMYFUNCTION("""COMPUTED_VALUE"""),"ITBISA-SOCKET-IC-DIP8-NARROW")</f>
        <v>ITBISA-SOCKET-IC-DIP8-NARROW</v>
      </c>
      <c r="B11531" s="266">
        <f>IFERROR(__xludf.DUMMYFUNCTION("""COMPUTED_VALUE"""),44017.0)</f>
        <v>44017</v>
      </c>
      <c r="C11531" s="266" t="str">
        <f>IFERROR(__xludf.DUMMYFUNCTION("""COMPUTED_VALUE"""),"KAETOBO RESIDENCE")</f>
        <v>KAETOBO RESIDENCE</v>
      </c>
      <c r="D11531" s="186">
        <f>IFERROR(__xludf.DUMMYFUNCTION("""COMPUTED_VALUE"""),40.0)</f>
        <v>40</v>
      </c>
    </row>
    <row r="11532">
      <c r="A11532" s="178" t="str">
        <f>IFERROR(__xludf.DUMMYFUNCTION("""COMPUTED_VALUE"""),"ITBISA-SOCKET-IC-DIP8-NARROW")</f>
        <v>ITBISA-SOCKET-IC-DIP8-NARROW</v>
      </c>
      <c r="B11532" s="266">
        <f>IFERROR(__xludf.DUMMYFUNCTION("""COMPUTED_VALUE"""),44024.0)</f>
        <v>44024</v>
      </c>
      <c r="C11532" s="266" t="str">
        <f>IFERROR(__xludf.DUMMYFUNCTION("""COMPUTED_VALUE"""),"KAETOBO RESIDENCE")</f>
        <v>KAETOBO RESIDENCE</v>
      </c>
      <c r="D11532" s="186">
        <f>IFERROR(__xludf.DUMMYFUNCTION("""COMPUTED_VALUE"""),20.0)</f>
        <v>20</v>
      </c>
    </row>
    <row r="11533">
      <c r="A11533" s="178" t="str">
        <f>IFERROR(__xludf.DUMMYFUNCTION("""COMPUTED_VALUE"""),"ITBISA-SOCKET-IC-DIP8-NARROW")</f>
        <v>ITBISA-SOCKET-IC-DIP8-NARROW</v>
      </c>
      <c r="B11533" s="266">
        <f>IFERROR(__xludf.DUMMYFUNCTION("""COMPUTED_VALUE"""),44027.0)</f>
        <v>44027</v>
      </c>
      <c r="C11533" s="266" t="str">
        <f>IFERROR(__xludf.DUMMYFUNCTION("""COMPUTED_VALUE"""),"KAETOBO RESIDENCE")</f>
        <v>KAETOBO RESIDENCE</v>
      </c>
      <c r="D11533" s="186">
        <f>IFERROR(__xludf.DUMMYFUNCTION("""COMPUTED_VALUE"""),100.0)</f>
        <v>100</v>
      </c>
    </row>
    <row r="11534">
      <c r="A11534" s="178" t="str">
        <f>IFERROR(__xludf.DUMMYFUNCTION("""COMPUTED_VALUE"""),"ITBISA-SOCKET-IC-DIP8-NARROW")</f>
        <v>ITBISA-SOCKET-IC-DIP8-NARROW</v>
      </c>
      <c r="B11534" s="266">
        <f>IFERROR(__xludf.DUMMYFUNCTION("""COMPUTED_VALUE"""),44037.0)</f>
        <v>44037</v>
      </c>
      <c r="C11534" s="266" t="str">
        <f>IFERROR(__xludf.DUMMYFUNCTION("""COMPUTED_VALUE"""),"KAETOBO RESIDENCE")</f>
        <v>KAETOBO RESIDENCE</v>
      </c>
      <c r="D11534" s="186">
        <f>IFERROR(__xludf.DUMMYFUNCTION("""COMPUTED_VALUE"""),300.0)</f>
        <v>300</v>
      </c>
    </row>
    <row r="11535">
      <c r="A11535" s="178" t="str">
        <f>IFERROR(__xludf.DUMMYFUNCTION("""COMPUTED_VALUE"""),"ITBISA-SOCKET-IC-DIP8-NARROW")</f>
        <v>ITBISA-SOCKET-IC-DIP8-NARROW</v>
      </c>
      <c r="B11535" s="266">
        <f>IFERROR(__xludf.DUMMYFUNCTION("""COMPUTED_VALUE"""),44042.0)</f>
        <v>44042</v>
      </c>
      <c r="C11535" s="266" t="str">
        <f>IFERROR(__xludf.DUMMYFUNCTION("""COMPUTED_VALUE"""),"KAETOBO RESIDENCE")</f>
        <v>KAETOBO RESIDENCE</v>
      </c>
      <c r="D11535" s="186">
        <f>IFERROR(__xludf.DUMMYFUNCTION("""COMPUTED_VALUE"""),6.0)</f>
        <v>6</v>
      </c>
    </row>
    <row r="11536">
      <c r="A11536" s="178" t="str">
        <f>IFERROR(__xludf.DUMMYFUNCTION("""COMPUTED_VALUE"""),"ITBISA-SOCKET-IC-DIP8-NARROW")</f>
        <v>ITBISA-SOCKET-IC-DIP8-NARROW</v>
      </c>
      <c r="B11536" s="266">
        <f>IFERROR(__xludf.DUMMYFUNCTION("""COMPUTED_VALUE"""),44051.0)</f>
        <v>44051</v>
      </c>
      <c r="C11536" s="266" t="str">
        <f>IFERROR(__xludf.DUMMYFUNCTION("""COMPUTED_VALUE"""),"KOST SRITUNGGAL")</f>
        <v>KOST SRITUNGGAL</v>
      </c>
      <c r="D11536" s="186">
        <f>IFERROR(__xludf.DUMMYFUNCTION("""COMPUTED_VALUE"""),30.0)</f>
        <v>30</v>
      </c>
    </row>
    <row r="11537">
      <c r="A11537" s="178" t="str">
        <f>IFERROR(__xludf.DUMMYFUNCTION("""COMPUTED_VALUE"""),"ITBISA-SOCKET-IC-DIP8-NARROW")</f>
        <v>ITBISA-SOCKET-IC-DIP8-NARROW</v>
      </c>
      <c r="B11537" s="266">
        <f>IFERROR(__xludf.DUMMYFUNCTION("""COMPUTED_VALUE"""),44058.0)</f>
        <v>44058</v>
      </c>
      <c r="C11537" s="266" t="str">
        <f>IFERROR(__xludf.DUMMYFUNCTION("""COMPUTED_VALUE"""),"KOST SRITUNGGAL")</f>
        <v>KOST SRITUNGGAL</v>
      </c>
      <c r="D11537" s="186">
        <f>IFERROR(__xludf.DUMMYFUNCTION("""COMPUTED_VALUE"""),2.0)</f>
        <v>2</v>
      </c>
    </row>
    <row r="11538">
      <c r="A11538" s="178" t="str">
        <f>IFERROR(__xludf.DUMMYFUNCTION("""COMPUTED_VALUE"""),"ITBISA-SOCKET-IC-DIP8-NARROW")</f>
        <v>ITBISA-SOCKET-IC-DIP8-NARROW</v>
      </c>
      <c r="B11538" s="266">
        <f>IFERROR(__xludf.DUMMYFUNCTION("""COMPUTED_VALUE"""),44060.0)</f>
        <v>44060</v>
      </c>
      <c r="C11538" s="266" t="str">
        <f>IFERROR(__xludf.DUMMYFUNCTION("""COMPUTED_VALUE"""),"KOST SRITUNGGAL")</f>
        <v>KOST SRITUNGGAL</v>
      </c>
      <c r="D11538" s="186">
        <f>IFERROR(__xludf.DUMMYFUNCTION("""COMPUTED_VALUE"""),31.0)</f>
        <v>31</v>
      </c>
    </row>
    <row r="11539">
      <c r="A11539" s="178" t="str">
        <f>IFERROR(__xludf.DUMMYFUNCTION("""COMPUTED_VALUE"""),"ITBISA-SOCKET-IC-DIP8-NARROW")</f>
        <v>ITBISA-SOCKET-IC-DIP8-NARROW</v>
      </c>
      <c r="B11539" s="266">
        <f>IFERROR(__xludf.DUMMYFUNCTION("""COMPUTED_VALUE"""),44065.0)</f>
        <v>44065</v>
      </c>
      <c r="C11539" s="266" t="str">
        <f>IFERROR(__xludf.DUMMYFUNCTION("""COMPUTED_VALUE"""),"KOST SRITUNGGAL")</f>
        <v>KOST SRITUNGGAL</v>
      </c>
      <c r="D11539" s="186">
        <f>IFERROR(__xludf.DUMMYFUNCTION("""COMPUTED_VALUE"""),50.0)</f>
        <v>50</v>
      </c>
    </row>
    <row r="11540">
      <c r="A11540" s="178" t="str">
        <f>IFERROR(__xludf.DUMMYFUNCTION("""COMPUTED_VALUE"""),"ITBISA-SOCKET-IC-DIP8-NARROW")</f>
        <v>ITBISA-SOCKET-IC-DIP8-NARROW</v>
      </c>
      <c r="B11540" s="266">
        <f>IFERROR(__xludf.DUMMYFUNCTION("""COMPUTED_VALUE"""),44068.0)</f>
        <v>44068</v>
      </c>
      <c r="C11540" s="266" t="str">
        <f>IFERROR(__xludf.DUMMYFUNCTION("""COMPUTED_VALUE"""),"KOST SRITUNGGAL")</f>
        <v>KOST SRITUNGGAL</v>
      </c>
      <c r="D11540" s="186">
        <f>IFERROR(__xludf.DUMMYFUNCTION("""COMPUTED_VALUE"""),50.0)</f>
        <v>50</v>
      </c>
    </row>
    <row r="11541">
      <c r="A11541" s="178" t="str">
        <f>IFERROR(__xludf.DUMMYFUNCTION("""COMPUTED_VALUE"""),"ITBISA-SOCKET-IC-DIP8-NARROW")</f>
        <v>ITBISA-SOCKET-IC-DIP8-NARROW</v>
      </c>
      <c r="B11541" s="266">
        <f>IFERROR(__xludf.DUMMYFUNCTION("""COMPUTED_VALUE"""),44070.0)</f>
        <v>44070</v>
      </c>
      <c r="C11541" s="266" t="str">
        <f>IFERROR(__xludf.DUMMYFUNCTION("""COMPUTED_VALUE"""),"KOST SRITUNGGAL")</f>
        <v>KOST SRITUNGGAL</v>
      </c>
      <c r="D11541" s="186">
        <f>IFERROR(__xludf.DUMMYFUNCTION("""COMPUTED_VALUE"""),1.0)</f>
        <v>1</v>
      </c>
    </row>
    <row r="11542">
      <c r="A11542" s="178" t="str">
        <f>IFERROR(__xludf.DUMMYFUNCTION("""COMPUTED_VALUE"""),"ITBISA-SOCKET-IC-DIP8-NARROW")</f>
        <v>ITBISA-SOCKET-IC-DIP8-NARROW</v>
      </c>
      <c r="B11542" s="266">
        <f>IFERROR(__xludf.DUMMYFUNCTION("""COMPUTED_VALUE"""),44070.0)</f>
        <v>44070</v>
      </c>
      <c r="C11542" s="266" t="str">
        <f>IFERROR(__xludf.DUMMYFUNCTION("""COMPUTED_VALUE"""),"KOST SRITUNGGAL")</f>
        <v>KOST SRITUNGGAL</v>
      </c>
      <c r="D11542" s="186">
        <f>IFERROR(__xludf.DUMMYFUNCTION("""COMPUTED_VALUE"""),50.0)</f>
        <v>50</v>
      </c>
    </row>
    <row r="11543">
      <c r="A11543" s="178" t="str">
        <f>IFERROR(__xludf.DUMMYFUNCTION("""COMPUTED_VALUE"""),"ITBISA-SOCKET-IC-DIP8-NARROW")</f>
        <v>ITBISA-SOCKET-IC-DIP8-NARROW</v>
      </c>
      <c r="B11543" s="266">
        <f>IFERROR(__xludf.DUMMYFUNCTION("""COMPUTED_VALUE"""),44071.0)</f>
        <v>44071</v>
      </c>
      <c r="C11543" s="266" t="str">
        <f>IFERROR(__xludf.DUMMYFUNCTION("""COMPUTED_VALUE"""),"KOST SRITUNGGAL")</f>
        <v>KOST SRITUNGGAL</v>
      </c>
      <c r="D11543" s="186">
        <f>IFERROR(__xludf.DUMMYFUNCTION("""COMPUTED_VALUE"""),40.0)</f>
        <v>40</v>
      </c>
    </row>
    <row r="11544">
      <c r="A11544" s="178" t="str">
        <f>IFERROR(__xludf.DUMMYFUNCTION("""COMPUTED_VALUE"""),"ITBISA-SOCKET-IC-DIP8-NARROW")</f>
        <v>ITBISA-SOCKET-IC-DIP8-NARROW</v>
      </c>
      <c r="B11544" s="266">
        <f>IFERROR(__xludf.DUMMYFUNCTION("""COMPUTED_VALUE"""),44121.0)</f>
        <v>44121</v>
      </c>
      <c r="C11544" s="266" t="str">
        <f>IFERROR(__xludf.DUMMYFUNCTION("""COMPUTED_VALUE"""),"KOST RUMAHUMI")</f>
        <v>KOST RUMAHUMI</v>
      </c>
      <c r="D11544" s="186">
        <f>IFERROR(__xludf.DUMMYFUNCTION("""COMPUTED_VALUE"""),23.0)</f>
        <v>23</v>
      </c>
    </row>
    <row r="11545">
      <c r="A11545" s="178" t="str">
        <f>IFERROR(__xludf.DUMMYFUNCTION("""COMPUTED_VALUE"""),"ITBISA-SOCKET-IC-DIP8-NARROW")</f>
        <v>ITBISA-SOCKET-IC-DIP8-NARROW</v>
      </c>
      <c r="B11545" s="266">
        <f>IFERROR(__xludf.DUMMYFUNCTION("""COMPUTED_VALUE"""),44146.0)</f>
        <v>44146</v>
      </c>
      <c r="C11545" s="266" t="str">
        <f>IFERROR(__xludf.DUMMYFUNCTION("""COMPUTED_VALUE"""),"KOST RUMAHUMI")</f>
        <v>KOST RUMAHUMI</v>
      </c>
      <c r="D11545" s="186">
        <f>IFERROR(__xludf.DUMMYFUNCTION("""COMPUTED_VALUE"""),10.0)</f>
        <v>10</v>
      </c>
    </row>
    <row r="11546">
      <c r="A11546" s="178" t="str">
        <f>IFERROR(__xludf.DUMMYFUNCTION("""COMPUTED_VALUE"""),"ITBISA-SOCKET-IC-DIP8-NARROW")</f>
        <v>ITBISA-SOCKET-IC-DIP8-NARROW</v>
      </c>
      <c r="B11546" s="266">
        <f>IFERROR(__xludf.DUMMYFUNCTION("""COMPUTED_VALUE"""),44146.0)</f>
        <v>44146</v>
      </c>
      <c r="C11546" s="266" t="str">
        <f>IFERROR(__xludf.DUMMYFUNCTION("""COMPUTED_VALUE"""),"KOST RUMAHUMI")</f>
        <v>KOST RUMAHUMI</v>
      </c>
      <c r="D11546" s="186">
        <f>IFERROR(__xludf.DUMMYFUNCTION("""COMPUTED_VALUE"""),200.0)</f>
        <v>200</v>
      </c>
    </row>
    <row r="11547">
      <c r="A11547" s="178" t="str">
        <f>IFERROR(__xludf.DUMMYFUNCTION("""COMPUTED_VALUE"""),"ITBISA-SOCKET-IC-DIP8-NARROW")</f>
        <v>ITBISA-SOCKET-IC-DIP8-NARROW</v>
      </c>
      <c r="B11547" s="266">
        <f>IFERROR(__xludf.DUMMYFUNCTION("""COMPUTED_VALUE"""),44148.0)</f>
        <v>44148</v>
      </c>
      <c r="C11547" s="266" t="str">
        <f>IFERROR(__xludf.DUMMYFUNCTION("""COMPUTED_VALUE"""),"KOST RUMAHUMI")</f>
        <v>KOST RUMAHUMI</v>
      </c>
      <c r="D11547" s="186">
        <f>IFERROR(__xludf.DUMMYFUNCTION("""COMPUTED_VALUE"""),2.0)</f>
        <v>2</v>
      </c>
    </row>
    <row r="11548">
      <c r="A11548" s="178" t="str">
        <f>IFERROR(__xludf.DUMMYFUNCTION("""COMPUTED_VALUE"""),"ITBISA-SOCKET-IC-DIP8-NARROW")</f>
        <v>ITBISA-SOCKET-IC-DIP8-NARROW</v>
      </c>
      <c r="B11548" s="266">
        <f>IFERROR(__xludf.DUMMYFUNCTION("""COMPUTED_VALUE"""),44155.0)</f>
        <v>44155</v>
      </c>
      <c r="C11548" s="266" t="str">
        <f>IFERROR(__xludf.DUMMYFUNCTION("""COMPUTED_VALUE"""),"KOST RUMAHUMI")</f>
        <v>KOST RUMAHUMI</v>
      </c>
      <c r="D11548" s="186">
        <f>IFERROR(__xludf.DUMMYFUNCTION("""COMPUTED_VALUE"""),150.0)</f>
        <v>150</v>
      </c>
    </row>
    <row r="11549">
      <c r="A11549" s="178" t="str">
        <f>IFERROR(__xludf.DUMMYFUNCTION("""COMPUTED_VALUE"""),"ITBISA-SOCKET-IC-DIP8-NARROW")</f>
        <v>ITBISA-SOCKET-IC-DIP8-NARROW</v>
      </c>
      <c r="B11549" s="266">
        <f>IFERROR(__xludf.DUMMYFUNCTION("""COMPUTED_VALUE"""),44157.0)</f>
        <v>44157</v>
      </c>
      <c r="C11549" s="266" t="str">
        <f>IFERROR(__xludf.DUMMYFUNCTION("""COMPUTED_VALUE"""),"KOST RUMAHUMI")</f>
        <v>KOST RUMAHUMI</v>
      </c>
      <c r="D11549" s="186">
        <f>IFERROR(__xludf.DUMMYFUNCTION("""COMPUTED_VALUE"""),25.0)</f>
        <v>25</v>
      </c>
    </row>
    <row r="11550">
      <c r="A11550" s="178" t="str">
        <f>IFERROR(__xludf.DUMMYFUNCTION("""COMPUTED_VALUE"""),"ITBISA-SOCKET-IC-DIP8-NARROW")</f>
        <v>ITBISA-SOCKET-IC-DIP8-NARROW</v>
      </c>
      <c r="B11550" s="266">
        <f>IFERROR(__xludf.DUMMYFUNCTION("""COMPUTED_VALUE"""),44159.0)</f>
        <v>44159</v>
      </c>
      <c r="C11550" s="266" t="str">
        <f>IFERROR(__xludf.DUMMYFUNCTION("""COMPUTED_VALUE"""),"KOST RUMAHUMI")</f>
        <v>KOST RUMAHUMI</v>
      </c>
      <c r="D11550" s="186">
        <f>IFERROR(__xludf.DUMMYFUNCTION("""COMPUTED_VALUE"""),200.0)</f>
        <v>200</v>
      </c>
    </row>
    <row r="11551">
      <c r="A11551" s="178" t="str">
        <f>IFERROR(__xludf.DUMMYFUNCTION("""COMPUTED_VALUE"""),"ITBISA-SOCKET-IC-DIP8-NARROW")</f>
        <v>ITBISA-SOCKET-IC-DIP8-NARROW</v>
      </c>
      <c r="B11551" s="266">
        <f>IFERROR(__xludf.DUMMYFUNCTION("""COMPUTED_VALUE"""),44170.0)</f>
        <v>44170</v>
      </c>
      <c r="C11551" s="266" t="str">
        <f>IFERROR(__xludf.DUMMYFUNCTION("""COMPUTED_VALUE"""),"KOST RUMAHUMI")</f>
        <v>KOST RUMAHUMI</v>
      </c>
      <c r="D11551" s="186">
        <f>IFERROR(__xludf.DUMMYFUNCTION("""COMPUTED_VALUE"""),10.0)</f>
        <v>10</v>
      </c>
    </row>
    <row r="11552">
      <c r="A11552" s="178" t="str">
        <f>IFERROR(__xludf.DUMMYFUNCTION("""COMPUTED_VALUE"""),"ITBISA-SOCKET-IC-DIP8-NARROW")</f>
        <v>ITBISA-SOCKET-IC-DIP8-NARROW</v>
      </c>
      <c r="B11552" s="266">
        <f>IFERROR(__xludf.DUMMYFUNCTION("""COMPUTED_VALUE"""),44171.0)</f>
        <v>44171</v>
      </c>
      <c r="C11552" s="266" t="str">
        <f>IFERROR(__xludf.DUMMYFUNCTION("""COMPUTED_VALUE"""),"KYAI KONTONG")</f>
        <v>KYAI KONTONG</v>
      </c>
      <c r="D11552" s="186">
        <f>IFERROR(__xludf.DUMMYFUNCTION("""COMPUTED_VALUE"""),10.0)</f>
        <v>10</v>
      </c>
    </row>
    <row r="11553">
      <c r="A11553" s="178" t="str">
        <f>IFERROR(__xludf.DUMMYFUNCTION("""COMPUTED_VALUE"""),"ITBISA-SOCKET-IC-DIP8-NARROW")</f>
        <v>ITBISA-SOCKET-IC-DIP8-NARROW</v>
      </c>
      <c r="B11553" s="266">
        <f>IFERROR(__xludf.DUMMYFUNCTION("""COMPUTED_VALUE"""),44175.0)</f>
        <v>44175</v>
      </c>
      <c r="C11553" s="266" t="str">
        <f>IFERROR(__xludf.DUMMYFUNCTION("""COMPUTED_VALUE"""),"KOST RUMAHUMI")</f>
        <v>KOST RUMAHUMI</v>
      </c>
      <c r="D11553" s="186">
        <f>IFERROR(__xludf.DUMMYFUNCTION("""COMPUTED_VALUE"""),200.0)</f>
        <v>200</v>
      </c>
    </row>
    <row r="11554">
      <c r="A11554" s="178" t="str">
        <f>IFERROR(__xludf.DUMMYFUNCTION("""COMPUTED_VALUE"""),"ITBISA-SOCKET-IC-DIP8-NARROW")</f>
        <v>ITBISA-SOCKET-IC-DIP8-NARROW</v>
      </c>
      <c r="B11554" s="266">
        <f>IFERROR(__xludf.DUMMYFUNCTION("""COMPUTED_VALUE"""),44177.0)</f>
        <v>44177</v>
      </c>
      <c r="C11554" s="266" t="str">
        <f>IFERROR(__xludf.DUMMYFUNCTION("""COMPUTED_VALUE"""),"KYAI KONTONG")</f>
        <v>KYAI KONTONG</v>
      </c>
      <c r="D11554" s="186">
        <f>IFERROR(__xludf.DUMMYFUNCTION("""COMPUTED_VALUE"""),30.0)</f>
        <v>30</v>
      </c>
    </row>
    <row r="11555">
      <c r="A11555" s="178" t="str">
        <f>IFERROR(__xludf.DUMMYFUNCTION("""COMPUTED_VALUE"""),"ITBISA-SOCKET-IC-DIP8-NARROW")</f>
        <v>ITBISA-SOCKET-IC-DIP8-NARROW</v>
      </c>
      <c r="B11555" s="266">
        <f>IFERROR(__xludf.DUMMYFUNCTION("""COMPUTED_VALUE"""),44293.0)</f>
        <v>44293</v>
      </c>
      <c r="C11555" s="266" t="str">
        <f>IFERROR(__xludf.DUMMYFUNCTION("""COMPUTED_VALUE"""),"KOST RUMAHUMI")</f>
        <v>KOST RUMAHUMI</v>
      </c>
      <c r="D11555" s="186">
        <f>IFERROR(__xludf.DUMMYFUNCTION("""COMPUTED_VALUE"""),100.0)</f>
        <v>100</v>
      </c>
    </row>
    <row r="11556">
      <c r="A11556" s="178" t="str">
        <f>IFERROR(__xludf.DUMMYFUNCTION("""COMPUTED_VALUE"""),"ITBISA-SOCKET-IC-DIP8-NARROW")</f>
        <v>ITBISA-SOCKET-IC-DIP8-NARROW</v>
      </c>
      <c r="B11556" s="266">
        <f>IFERROR(__xludf.DUMMYFUNCTION("""COMPUTED_VALUE"""),44359.0)</f>
        <v>44359</v>
      </c>
      <c r="C11556" s="266" t="str">
        <f>IFERROR(__xludf.DUMMYFUNCTION("""COMPUTED_VALUE"""),"KOST RUMAHUMI")</f>
        <v>KOST RUMAHUMI</v>
      </c>
      <c r="D11556" s="186">
        <f>IFERROR(__xludf.DUMMYFUNCTION("""COMPUTED_VALUE"""),98.0)</f>
        <v>98</v>
      </c>
    </row>
    <row r="11557">
      <c r="A11557" s="178" t="str">
        <f>IFERROR(__xludf.DUMMYFUNCTION("""COMPUTED_VALUE"""),"ITBISA-SOCKET-IC-DIP8-NARROW")</f>
        <v>ITBISA-SOCKET-IC-DIP8-NARROW</v>
      </c>
      <c r="B11557" s="266">
        <f>IFERROR(__xludf.DUMMYFUNCTION("""COMPUTED_VALUE"""),44823.0)</f>
        <v>44823</v>
      </c>
      <c r="C11557" s="266" t="str">
        <f>IFERROR(__xludf.DUMMYFUNCTION("""COMPUTED_VALUE"""),"KYAI KONTONG")</f>
        <v>KYAI KONTONG</v>
      </c>
      <c r="D11557" s="186">
        <f>IFERROR(__xludf.DUMMYFUNCTION("""COMPUTED_VALUE"""),8.0)</f>
        <v>8</v>
      </c>
    </row>
    <row r="11558">
      <c r="A11558" s="178" t="str">
        <f>IFERROR(__xludf.DUMMYFUNCTION("""COMPUTED_VALUE"""),"ITBISA-SOCKET-IC-DIP8-NARROW")</f>
        <v>ITBISA-SOCKET-IC-DIP8-NARROW</v>
      </c>
      <c r="B11558" s="266">
        <f>IFERROR(__xludf.DUMMYFUNCTION("""COMPUTED_VALUE"""),44825.0)</f>
        <v>44825</v>
      </c>
      <c r="C11558" s="266" t="str">
        <f>IFERROR(__xludf.DUMMYFUNCTION("""COMPUTED_VALUE"""),"KYAI KONTONG")</f>
        <v>KYAI KONTONG</v>
      </c>
      <c r="D11558" s="186">
        <f>IFERROR(__xludf.DUMMYFUNCTION("""COMPUTED_VALUE"""),10.0)</f>
        <v>10</v>
      </c>
    </row>
    <row r="11559">
      <c r="A11559" s="178" t="str">
        <f>IFERROR(__xludf.DUMMYFUNCTION("""COMPUTED_VALUE"""),"ITBISA-SOCKET-IC-DIP8-NARROW")</f>
        <v>ITBISA-SOCKET-IC-DIP8-NARROW</v>
      </c>
      <c r="B11559" s="266">
        <f>IFERROR(__xludf.DUMMYFUNCTION("""COMPUTED_VALUE"""),44825.0)</f>
        <v>44825</v>
      </c>
      <c r="C11559" s="266" t="str">
        <f>IFERROR(__xludf.DUMMYFUNCTION("""COMPUTED_VALUE"""),"KYAI KONTONG")</f>
        <v>KYAI KONTONG</v>
      </c>
      <c r="D11559" s="186">
        <f>IFERROR(__xludf.DUMMYFUNCTION("""COMPUTED_VALUE"""),100.0)</f>
        <v>100</v>
      </c>
    </row>
    <row r="11560">
      <c r="A11560" s="178" t="str">
        <f>IFERROR(__xludf.DUMMYFUNCTION("""COMPUTED_VALUE"""),"ITBISA-SOCKET-IC-DIP8-NARROW")</f>
        <v>ITBISA-SOCKET-IC-DIP8-NARROW</v>
      </c>
      <c r="B11560" s="266">
        <f>IFERROR(__xludf.DUMMYFUNCTION("""COMPUTED_VALUE"""),44826.0)</f>
        <v>44826</v>
      </c>
      <c r="C11560" s="266" t="str">
        <f>IFERROR(__xludf.DUMMYFUNCTION("""COMPUTED_VALUE"""),"KYAI KONTONG")</f>
        <v>KYAI KONTONG</v>
      </c>
      <c r="D11560" s="186">
        <f>IFERROR(__xludf.DUMMYFUNCTION("""COMPUTED_VALUE"""),40.0)</f>
        <v>40</v>
      </c>
    </row>
    <row r="11561">
      <c r="A11561" s="178" t="str">
        <f>IFERROR(__xludf.DUMMYFUNCTION("""COMPUTED_VALUE"""),"ITBISA-SOCKET-IC-DIP8-NARROW")</f>
        <v>ITBISA-SOCKET-IC-DIP8-NARROW</v>
      </c>
      <c r="B11561" s="266">
        <f>IFERROR(__xludf.DUMMYFUNCTION("""COMPUTED_VALUE"""),44897.0)</f>
        <v>44897</v>
      </c>
      <c r="C11561" s="266" t="str">
        <f>IFERROR(__xludf.DUMMYFUNCTION("""COMPUTED_VALUE"""),"KYAI KONTONG")</f>
        <v>KYAI KONTONG</v>
      </c>
      <c r="D11561" s="186">
        <f>IFERROR(__xludf.DUMMYFUNCTION("""COMPUTED_VALUE"""),50.0)</f>
        <v>50</v>
      </c>
    </row>
    <row r="11562">
      <c r="A11562" s="178" t="str">
        <f>IFERROR(__xludf.DUMMYFUNCTION("""COMPUTED_VALUE"""),"ITBISA-SOCKET-IC-DIP8-NARROW")</f>
        <v>ITBISA-SOCKET-IC-DIP8-NARROW</v>
      </c>
      <c r="B11562" s="266">
        <f>IFERROR(__xludf.DUMMYFUNCTION("""COMPUTED_VALUE"""),44898.0)</f>
        <v>44898</v>
      </c>
      <c r="C11562" s="266" t="str">
        <f>IFERROR(__xludf.DUMMYFUNCTION("""COMPUTED_VALUE"""),"KYAI KONTONG")</f>
        <v>KYAI KONTONG</v>
      </c>
      <c r="D11562" s="186">
        <f>IFERROR(__xludf.DUMMYFUNCTION("""COMPUTED_VALUE"""),120.0)</f>
        <v>120</v>
      </c>
    </row>
    <row r="11563">
      <c r="A11563" s="178" t="str">
        <f>IFERROR(__xludf.DUMMYFUNCTION("""COMPUTED_VALUE"""),"ITBISA-SOCKET-IC-DIP8-NARROW")</f>
        <v>ITBISA-SOCKET-IC-DIP8-NARROW</v>
      </c>
      <c r="B11563" s="266">
        <f>IFERROR(__xludf.DUMMYFUNCTION("""COMPUTED_VALUE"""),44905.0)</f>
        <v>44905</v>
      </c>
      <c r="C11563" s="266" t="str">
        <f>IFERROR(__xludf.DUMMYFUNCTION("""COMPUTED_VALUE"""),"KYAI KONTONG")</f>
        <v>KYAI KONTONG</v>
      </c>
      <c r="D11563" s="186">
        <f>IFERROR(__xludf.DUMMYFUNCTION("""COMPUTED_VALUE"""),60.0)</f>
        <v>60</v>
      </c>
    </row>
    <row r="11564">
      <c r="A11564" s="178" t="str">
        <f>IFERROR(__xludf.DUMMYFUNCTION("""COMPUTED_VALUE"""),"ITBISA-SOCKET-IC-DIP8-NARROW")</f>
        <v>ITBISA-SOCKET-IC-DIP8-NARROW</v>
      </c>
      <c r="B11564" s="266">
        <f>IFERROR(__xludf.DUMMYFUNCTION("""COMPUTED_VALUE"""),44912.0)</f>
        <v>44912</v>
      </c>
      <c r="C11564" s="266" t="str">
        <f>IFERROR(__xludf.DUMMYFUNCTION("""COMPUTED_VALUE"""),"KYAI KONTONG")</f>
        <v>KYAI KONTONG</v>
      </c>
      <c r="D11564" s="186">
        <f>IFERROR(__xludf.DUMMYFUNCTION("""COMPUTED_VALUE"""),52.0)</f>
        <v>52</v>
      </c>
    </row>
    <row r="11565">
      <c r="A11565" s="178" t="str">
        <f>IFERROR(__xludf.DUMMYFUNCTION("""COMPUTED_VALUE"""),"ITBISA-SOCKET-IC-DIP8-NARROW")</f>
        <v>ITBISA-SOCKET-IC-DIP8-NARROW</v>
      </c>
      <c r="B11565" s="266">
        <f>IFERROR(__xludf.DUMMYFUNCTION("""COMPUTED_VALUE"""),44913.0)</f>
        <v>44913</v>
      </c>
      <c r="C11565" s="266" t="str">
        <f>IFERROR(__xludf.DUMMYFUNCTION("""COMPUTED_VALUE"""),"KYAI KONTONG")</f>
        <v>KYAI KONTONG</v>
      </c>
      <c r="D11565" s="186">
        <f>IFERROR(__xludf.DUMMYFUNCTION("""COMPUTED_VALUE"""),20.0)</f>
        <v>20</v>
      </c>
    </row>
    <row r="11566">
      <c r="A11566" s="178" t="str">
        <f>IFERROR(__xludf.DUMMYFUNCTION("""COMPUTED_VALUE"""),"ITBISA-SOCKET-IC-DIP8-NARROW")</f>
        <v>ITBISA-SOCKET-IC-DIP8-NARROW</v>
      </c>
      <c r="B11566" s="266">
        <f>IFERROR(__xludf.DUMMYFUNCTION("""COMPUTED_VALUE"""),44920.0)</f>
        <v>44920</v>
      </c>
      <c r="C11566" s="266" t="str">
        <f>IFERROR(__xludf.DUMMYFUNCTION("""COMPUTED_VALUE"""),"KYAI KONTONG")</f>
        <v>KYAI KONTONG</v>
      </c>
      <c r="D11566" s="186">
        <f>IFERROR(__xludf.DUMMYFUNCTION("""COMPUTED_VALUE"""),120.0)</f>
        <v>120</v>
      </c>
    </row>
    <row r="11567">
      <c r="A11567" s="178" t="str">
        <f>IFERROR(__xludf.DUMMYFUNCTION("""COMPUTED_VALUE"""),"ITBISA-SOCKET-IC-DIP8-NARROW")</f>
        <v>ITBISA-SOCKET-IC-DIP8-NARROW</v>
      </c>
      <c r="B11567" s="266">
        <f>IFERROR(__xludf.DUMMYFUNCTION("""COMPUTED_VALUE"""),44930.0)</f>
        <v>44930</v>
      </c>
      <c r="C11567" s="266" t="str">
        <f>IFERROR(__xludf.DUMMYFUNCTION("""COMPUTED_VALUE"""),"KYAI KONTONG")</f>
        <v>KYAI KONTONG</v>
      </c>
      <c r="D11567" s="186">
        <f>IFERROR(__xludf.DUMMYFUNCTION("""COMPUTED_VALUE"""),1.0)</f>
        <v>1</v>
      </c>
    </row>
    <row r="11568">
      <c r="A11568" s="178" t="str">
        <f>IFERROR(__xludf.DUMMYFUNCTION("""COMPUTED_VALUE"""),"ITBISA-SOCKET-IC-DIP8-NARROW")</f>
        <v>ITBISA-SOCKET-IC-DIP8-NARROW</v>
      </c>
      <c r="B11568" s="266">
        <f>IFERROR(__xludf.DUMMYFUNCTION("""COMPUTED_VALUE"""),44931.0)</f>
        <v>44931</v>
      </c>
      <c r="C11568" s="266" t="str">
        <f>IFERROR(__xludf.DUMMYFUNCTION("""COMPUTED_VALUE"""),"KYAI KONTONG")</f>
        <v>KYAI KONTONG</v>
      </c>
      <c r="D11568" s="186">
        <f>IFERROR(__xludf.DUMMYFUNCTION("""COMPUTED_VALUE"""),5.0)</f>
        <v>5</v>
      </c>
    </row>
    <row r="11569">
      <c r="A11569" s="178" t="str">
        <f>IFERROR(__xludf.DUMMYFUNCTION("""COMPUTED_VALUE"""),"ITBISA-SOCKET-IC-DIP8-NARROW")</f>
        <v>ITBISA-SOCKET-IC-DIP8-NARROW</v>
      </c>
      <c r="B11569" s="266">
        <f>IFERROR(__xludf.DUMMYFUNCTION("""COMPUTED_VALUE"""),44932.0)</f>
        <v>44932</v>
      </c>
      <c r="C11569" s="266" t="str">
        <f>IFERROR(__xludf.DUMMYFUNCTION("""COMPUTED_VALUE"""),"KYAI KONTONG")</f>
        <v>KYAI KONTONG</v>
      </c>
      <c r="D11569" s="186">
        <f>IFERROR(__xludf.DUMMYFUNCTION("""COMPUTED_VALUE"""),6.0)</f>
        <v>6</v>
      </c>
    </row>
    <row r="11570">
      <c r="A11570" s="178" t="str">
        <f>IFERROR(__xludf.DUMMYFUNCTION("""COMPUTED_VALUE"""),"ITBISA-SOCKET-IC-DIP8-NARROW")</f>
        <v>ITBISA-SOCKET-IC-DIP8-NARROW</v>
      </c>
      <c r="B11570" s="266">
        <f>IFERROR(__xludf.DUMMYFUNCTION("""COMPUTED_VALUE"""),44932.0)</f>
        <v>44932</v>
      </c>
      <c r="C11570" s="266" t="str">
        <f>IFERROR(__xludf.DUMMYFUNCTION("""COMPUTED_VALUE"""),"KYAI KONTONG")</f>
        <v>KYAI KONTONG</v>
      </c>
      <c r="D11570" s="186">
        <f>IFERROR(__xludf.DUMMYFUNCTION("""COMPUTED_VALUE"""),10.0)</f>
        <v>10</v>
      </c>
    </row>
    <row r="11571">
      <c r="A11571" s="178" t="str">
        <f>IFERROR(__xludf.DUMMYFUNCTION("""COMPUTED_VALUE"""),"ITBISA-SOCKET-IC-DIP8-NARROW")</f>
        <v>ITBISA-SOCKET-IC-DIP8-NARROW</v>
      </c>
      <c r="B11571" s="266">
        <f>IFERROR(__xludf.DUMMYFUNCTION("""COMPUTED_VALUE"""),44938.0)</f>
        <v>44938</v>
      </c>
      <c r="C11571" s="266" t="str">
        <f>IFERROR(__xludf.DUMMYFUNCTION("""COMPUTED_VALUE"""),"KYAI KONTONG")</f>
        <v>KYAI KONTONG</v>
      </c>
      <c r="D11571" s="186">
        <f>IFERROR(__xludf.DUMMYFUNCTION("""COMPUTED_VALUE"""),30.0)</f>
        <v>30</v>
      </c>
    </row>
    <row r="11572">
      <c r="A11572" s="178" t="str">
        <f>IFERROR(__xludf.DUMMYFUNCTION("""COMPUTED_VALUE"""),"ITBISA-SOCKET-IC-DIP8-NARROW")</f>
        <v>ITBISA-SOCKET-IC-DIP8-NARROW</v>
      </c>
      <c r="B11572" s="266">
        <f>IFERROR(__xludf.DUMMYFUNCTION("""COMPUTED_VALUE"""),44944.0)</f>
        <v>44944</v>
      </c>
      <c r="C11572" s="266" t="str">
        <f>IFERROR(__xludf.DUMMYFUNCTION("""COMPUTED_VALUE"""),"KYAI KONTONG")</f>
        <v>KYAI KONTONG</v>
      </c>
      <c r="D11572" s="186">
        <f>IFERROR(__xludf.DUMMYFUNCTION("""COMPUTED_VALUE"""),60.0)</f>
        <v>60</v>
      </c>
    </row>
    <row r="11573">
      <c r="A11573" s="178" t="str">
        <f>IFERROR(__xludf.DUMMYFUNCTION("""COMPUTED_VALUE"""),"ITBISA-SOCKET-IC-DIP8-NARROW")</f>
        <v>ITBISA-SOCKET-IC-DIP8-NARROW</v>
      </c>
      <c r="B11573" s="266">
        <f>IFERROR(__xludf.DUMMYFUNCTION("""COMPUTED_VALUE"""),44944.0)</f>
        <v>44944</v>
      </c>
      <c r="C11573" s="266" t="str">
        <f>IFERROR(__xludf.DUMMYFUNCTION("""COMPUTED_VALUE"""),"KYAI KONTONG")</f>
        <v>KYAI KONTONG</v>
      </c>
      <c r="D11573" s="186">
        <f>IFERROR(__xludf.DUMMYFUNCTION("""COMPUTED_VALUE"""),200.0)</f>
        <v>200</v>
      </c>
    </row>
    <row r="11574">
      <c r="A11574" s="178" t="str">
        <f>IFERROR(__xludf.DUMMYFUNCTION("""COMPUTED_VALUE"""),"ITBISA-SOCKET-IC-DIP8-NARROW")</f>
        <v>ITBISA-SOCKET-IC-DIP8-NARROW</v>
      </c>
      <c r="B11574" s="266">
        <f>IFERROR(__xludf.DUMMYFUNCTION("""COMPUTED_VALUE"""),44945.0)</f>
        <v>44945</v>
      </c>
      <c r="C11574" s="266" t="str">
        <f>IFERROR(__xludf.DUMMYFUNCTION("""COMPUTED_VALUE"""),"KYAI KONTONG")</f>
        <v>KYAI KONTONG</v>
      </c>
      <c r="D11574" s="186">
        <f>IFERROR(__xludf.DUMMYFUNCTION("""COMPUTED_VALUE"""),10.0)</f>
        <v>10</v>
      </c>
    </row>
    <row r="11575">
      <c r="A11575" s="178" t="str">
        <f>IFERROR(__xludf.DUMMYFUNCTION("""COMPUTED_VALUE"""),"ITBISA-SOCKET-IC-DIP8-NARROW")</f>
        <v>ITBISA-SOCKET-IC-DIP8-NARROW</v>
      </c>
      <c r="B11575" s="266">
        <f>IFERROR(__xludf.DUMMYFUNCTION("""COMPUTED_VALUE"""),44946.0)</f>
        <v>44946</v>
      </c>
      <c r="C11575" s="266" t="str">
        <f>IFERROR(__xludf.DUMMYFUNCTION("""COMPUTED_VALUE"""),"KYAI KONTONG")</f>
        <v>KYAI KONTONG</v>
      </c>
      <c r="D11575" s="186">
        <f>IFERROR(__xludf.DUMMYFUNCTION("""COMPUTED_VALUE"""),60.0)</f>
        <v>60</v>
      </c>
    </row>
    <row r="11576">
      <c r="A11576" s="178" t="str">
        <f>IFERROR(__xludf.DUMMYFUNCTION("""COMPUTED_VALUE"""),"ITBISA-SOCKET-IC-DIP8-NARROW")</f>
        <v>ITBISA-SOCKET-IC-DIP8-NARROW</v>
      </c>
      <c r="B11576" s="266">
        <f>IFERROR(__xludf.DUMMYFUNCTION("""COMPUTED_VALUE"""),44946.0)</f>
        <v>44946</v>
      </c>
      <c r="C11576" s="266" t="str">
        <f>IFERROR(__xludf.DUMMYFUNCTION("""COMPUTED_VALUE"""),"KYAI KONTONG")</f>
        <v>KYAI KONTONG</v>
      </c>
      <c r="D11576" s="186">
        <f>IFERROR(__xludf.DUMMYFUNCTION("""COMPUTED_VALUE"""),600.0)</f>
        <v>600</v>
      </c>
    </row>
    <row r="11577">
      <c r="A11577" s="178" t="str">
        <f>IFERROR(__xludf.DUMMYFUNCTION("""COMPUTED_VALUE"""),"ITBISA-SOCKET-IC-DIP8-NARROW")</f>
        <v>ITBISA-SOCKET-IC-DIP8-NARROW</v>
      </c>
      <c r="B11577" s="266">
        <f>IFERROR(__xludf.DUMMYFUNCTION("""COMPUTED_VALUE"""),44951.0)</f>
        <v>44951</v>
      </c>
      <c r="C11577" s="266" t="str">
        <f>IFERROR(__xludf.DUMMYFUNCTION("""COMPUTED_VALUE"""),"KYAI KONTONG")</f>
        <v>KYAI KONTONG</v>
      </c>
      <c r="D11577" s="186">
        <f>IFERROR(__xludf.DUMMYFUNCTION("""COMPUTED_VALUE"""),8.0)</f>
        <v>8</v>
      </c>
    </row>
    <row r="11578">
      <c r="A11578" s="178" t="str">
        <f>IFERROR(__xludf.DUMMYFUNCTION("""COMPUTED_VALUE"""),"ITBISA-SOCKET-IC-DIP8-NARROW")</f>
        <v>ITBISA-SOCKET-IC-DIP8-NARROW</v>
      </c>
      <c r="B11578" s="266">
        <f>IFERROR(__xludf.DUMMYFUNCTION("""COMPUTED_VALUE"""),44959.0)</f>
        <v>44959</v>
      </c>
      <c r="C11578" s="266" t="str">
        <f>IFERROR(__xludf.DUMMYFUNCTION("""COMPUTED_VALUE"""),"KYAI KONTONG")</f>
        <v>KYAI KONTONG</v>
      </c>
      <c r="D11578" s="186">
        <f>IFERROR(__xludf.DUMMYFUNCTION("""COMPUTED_VALUE"""),60.0)</f>
        <v>60</v>
      </c>
    </row>
    <row r="11579">
      <c r="A11579" s="178" t="str">
        <f>IFERROR(__xludf.DUMMYFUNCTION("""COMPUTED_VALUE"""),"ITBISA-SOCKET-IC-DIP8-NARROW")</f>
        <v>ITBISA-SOCKET-IC-DIP8-NARROW</v>
      </c>
      <c r="B11579" s="266">
        <f>IFERROR(__xludf.DUMMYFUNCTION("""COMPUTED_VALUE"""),44960.0)</f>
        <v>44960</v>
      </c>
      <c r="C11579" s="266" t="str">
        <f>IFERROR(__xludf.DUMMYFUNCTION("""COMPUTED_VALUE"""),"KYAI KONTONG")</f>
        <v>KYAI KONTONG</v>
      </c>
      <c r="D11579" s="186">
        <f>IFERROR(__xludf.DUMMYFUNCTION("""COMPUTED_VALUE"""),60.0)</f>
        <v>60</v>
      </c>
    </row>
    <row r="11580">
      <c r="A11580" s="178" t="str">
        <f>IFERROR(__xludf.DUMMYFUNCTION("""COMPUTED_VALUE"""),"ITBISA-SOCKET-IC-DIP8-NARROW")</f>
        <v>ITBISA-SOCKET-IC-DIP8-NARROW</v>
      </c>
      <c r="B11580" s="266">
        <f>IFERROR(__xludf.DUMMYFUNCTION("""COMPUTED_VALUE"""),44961.0)</f>
        <v>44961</v>
      </c>
      <c r="C11580" s="266" t="str">
        <f>IFERROR(__xludf.DUMMYFUNCTION("""COMPUTED_VALUE"""),"KYAI KONTONG")</f>
        <v>KYAI KONTONG</v>
      </c>
      <c r="D11580" s="186">
        <f>IFERROR(__xludf.DUMMYFUNCTION("""COMPUTED_VALUE"""),60.0)</f>
        <v>60</v>
      </c>
    </row>
    <row r="11581">
      <c r="A11581" s="178" t="str">
        <f>IFERROR(__xludf.DUMMYFUNCTION("""COMPUTED_VALUE"""),"ITBISA-SOCKET-IC-DIP8-NARROW")</f>
        <v>ITBISA-SOCKET-IC-DIP8-NARROW</v>
      </c>
      <c r="B11581" s="266">
        <f>IFERROR(__xludf.DUMMYFUNCTION("""COMPUTED_VALUE"""),44961.0)</f>
        <v>44961</v>
      </c>
      <c r="C11581" s="266" t="str">
        <f>IFERROR(__xludf.DUMMYFUNCTION("""COMPUTED_VALUE"""),"KYAI KONTONG")</f>
        <v>KYAI KONTONG</v>
      </c>
      <c r="D11581" s="186">
        <f>IFERROR(__xludf.DUMMYFUNCTION("""COMPUTED_VALUE"""),60.0)</f>
        <v>60</v>
      </c>
    </row>
    <row r="11582">
      <c r="A11582" s="178" t="str">
        <f>IFERROR(__xludf.DUMMYFUNCTION("""COMPUTED_VALUE"""),"ITBISA-SOCKET-IC-DIP8-NARROW")</f>
        <v>ITBISA-SOCKET-IC-DIP8-NARROW</v>
      </c>
      <c r="B11582" s="266">
        <f>IFERROR(__xludf.DUMMYFUNCTION("""COMPUTED_VALUE"""),44963.0)</f>
        <v>44963</v>
      </c>
      <c r="C11582" s="266" t="str">
        <f>IFERROR(__xludf.DUMMYFUNCTION("""COMPUTED_VALUE"""),"KYAI KONTONG")</f>
        <v>KYAI KONTONG</v>
      </c>
      <c r="D11582" s="186">
        <f>IFERROR(__xludf.DUMMYFUNCTION("""COMPUTED_VALUE"""),15.0)</f>
        <v>15</v>
      </c>
    </row>
    <row r="11583">
      <c r="A11583" s="178" t="str">
        <f>IFERROR(__xludf.DUMMYFUNCTION("""COMPUTED_VALUE"""),"ITBISA-SOCKET-IC-DIP8-NARROW")</f>
        <v>ITBISA-SOCKET-IC-DIP8-NARROW</v>
      </c>
      <c r="B11583" s="266">
        <f>IFERROR(__xludf.DUMMYFUNCTION("""COMPUTED_VALUE"""),44963.0)</f>
        <v>44963</v>
      </c>
      <c r="C11583" s="266" t="str">
        <f>IFERROR(__xludf.DUMMYFUNCTION("""COMPUTED_VALUE"""),"KYAI KONTONG")</f>
        <v>KYAI KONTONG</v>
      </c>
      <c r="D11583" s="186">
        <f>IFERROR(__xludf.DUMMYFUNCTION("""COMPUTED_VALUE"""),180.0)</f>
        <v>180</v>
      </c>
    </row>
    <row r="11584">
      <c r="A11584" s="178" t="str">
        <f>IFERROR(__xludf.DUMMYFUNCTION("""COMPUTED_VALUE"""),"ITBISA-SOCKET-IC-DIP8-NARROW")</f>
        <v>ITBISA-SOCKET-IC-DIP8-NARROW</v>
      </c>
      <c r="B11584" s="266">
        <f>IFERROR(__xludf.DUMMYFUNCTION("""COMPUTED_VALUE"""),44963.0)</f>
        <v>44963</v>
      </c>
      <c r="C11584" s="266" t="str">
        <f>IFERROR(__xludf.DUMMYFUNCTION("""COMPUTED_VALUE"""),"KYAI KONTONG")</f>
        <v>KYAI KONTONG</v>
      </c>
      <c r="D11584" s="186">
        <f>IFERROR(__xludf.DUMMYFUNCTION("""COMPUTED_VALUE"""),300.0)</f>
        <v>300</v>
      </c>
    </row>
    <row r="11585">
      <c r="A11585" s="178" t="str">
        <f>IFERROR(__xludf.DUMMYFUNCTION("""COMPUTED_VALUE"""),"ITBISA-SOCKET-IC-DIP8-NARROW")</f>
        <v>ITBISA-SOCKET-IC-DIP8-NARROW</v>
      </c>
      <c r="B11585" s="266">
        <f>IFERROR(__xludf.DUMMYFUNCTION("""COMPUTED_VALUE"""),44964.0)</f>
        <v>44964</v>
      </c>
      <c r="C11585" s="266" t="str">
        <f>IFERROR(__xludf.DUMMYFUNCTION("""COMPUTED_VALUE"""),"KYAI KONTONG")</f>
        <v>KYAI KONTONG</v>
      </c>
      <c r="D11585" s="186">
        <f>IFERROR(__xludf.DUMMYFUNCTION("""COMPUTED_VALUE"""),10.0)</f>
        <v>10</v>
      </c>
    </row>
    <row r="11586">
      <c r="A11586" s="178" t="str">
        <f>IFERROR(__xludf.DUMMYFUNCTION("""COMPUTED_VALUE"""),"ITBISA-SOCKET-IC-DIP8-NARROW")</f>
        <v>ITBISA-SOCKET-IC-DIP8-NARROW</v>
      </c>
      <c r="B11586" s="266">
        <f>IFERROR(__xludf.DUMMYFUNCTION("""COMPUTED_VALUE"""),44964.0)</f>
        <v>44964</v>
      </c>
      <c r="C11586" s="266" t="str">
        <f>IFERROR(__xludf.DUMMYFUNCTION("""COMPUTED_VALUE"""),"KYAI KONTONG")</f>
        <v>KYAI KONTONG</v>
      </c>
      <c r="D11586" s="186">
        <f>IFERROR(__xludf.DUMMYFUNCTION("""COMPUTED_VALUE"""),60.0)</f>
        <v>60</v>
      </c>
    </row>
    <row r="11587">
      <c r="A11587" s="178" t="str">
        <f>IFERROR(__xludf.DUMMYFUNCTION("""COMPUTED_VALUE"""),"ITBISA-SOCKET-IC-DIP8-NARROW")</f>
        <v>ITBISA-SOCKET-IC-DIP8-NARROW</v>
      </c>
      <c r="B11587" s="266">
        <f>IFERROR(__xludf.DUMMYFUNCTION("""COMPUTED_VALUE"""),44965.0)</f>
        <v>44965</v>
      </c>
      <c r="C11587" s="266" t="str">
        <f>IFERROR(__xludf.DUMMYFUNCTION("""COMPUTED_VALUE"""),"KYAI KONTONG")</f>
        <v>KYAI KONTONG</v>
      </c>
      <c r="D11587" s="186">
        <f>IFERROR(__xludf.DUMMYFUNCTION("""COMPUTED_VALUE"""),120.0)</f>
        <v>120</v>
      </c>
    </row>
    <row r="11588">
      <c r="A11588" s="178" t="str">
        <f>IFERROR(__xludf.DUMMYFUNCTION("""COMPUTED_VALUE"""),"ITBISA-SOCKET-IC-DIP8-NARROW")</f>
        <v>ITBISA-SOCKET-IC-DIP8-NARROW</v>
      </c>
      <c r="B11588" s="266">
        <f>IFERROR(__xludf.DUMMYFUNCTION("""COMPUTED_VALUE"""),44971.0)</f>
        <v>44971</v>
      </c>
      <c r="C11588" s="266" t="str">
        <f>IFERROR(__xludf.DUMMYFUNCTION("""COMPUTED_VALUE"""),"KYAI KONTONG")</f>
        <v>KYAI KONTONG</v>
      </c>
      <c r="D11588" s="186">
        <f>IFERROR(__xludf.DUMMYFUNCTION("""COMPUTED_VALUE"""),30.0)</f>
        <v>30</v>
      </c>
    </row>
    <row r="11589">
      <c r="A11589" s="178" t="str">
        <f>IFERROR(__xludf.DUMMYFUNCTION("""COMPUTED_VALUE"""),"ITBISA-SOCKET-IC-DIP8-NARROW")</f>
        <v>ITBISA-SOCKET-IC-DIP8-NARROW</v>
      </c>
      <c r="B11589" s="266">
        <f>IFERROR(__xludf.DUMMYFUNCTION("""COMPUTED_VALUE"""),44971.0)</f>
        <v>44971</v>
      </c>
      <c r="C11589" s="266" t="str">
        <f>IFERROR(__xludf.DUMMYFUNCTION("""COMPUTED_VALUE"""),"KYAI KONTONG")</f>
        <v>KYAI KONTONG</v>
      </c>
      <c r="D11589" s="186">
        <f>IFERROR(__xludf.DUMMYFUNCTION("""COMPUTED_VALUE"""),36.0)</f>
        <v>36</v>
      </c>
    </row>
    <row r="11590">
      <c r="A11590" s="178" t="str">
        <f>IFERROR(__xludf.DUMMYFUNCTION("""COMPUTED_VALUE"""),"ITBISA-SOCKET-IC-DIP8-NARROW")</f>
        <v>ITBISA-SOCKET-IC-DIP8-NARROW</v>
      </c>
      <c r="B11590" s="266">
        <f>IFERROR(__xludf.DUMMYFUNCTION("""COMPUTED_VALUE"""),44971.0)</f>
        <v>44971</v>
      </c>
      <c r="C11590" s="266" t="str">
        <f>IFERROR(__xludf.DUMMYFUNCTION("""COMPUTED_VALUE"""),"KYAI KONTONG")</f>
        <v>KYAI KONTONG</v>
      </c>
      <c r="D11590" s="186">
        <f>IFERROR(__xludf.DUMMYFUNCTION("""COMPUTED_VALUE"""),180.0)</f>
        <v>180</v>
      </c>
    </row>
    <row r="11591">
      <c r="A11591" s="178" t="str">
        <f>IFERROR(__xludf.DUMMYFUNCTION("""COMPUTED_VALUE"""),"ITBISA-SOCKET-IC-DIP8-NARROW")</f>
        <v>ITBISA-SOCKET-IC-DIP8-NARROW</v>
      </c>
      <c r="B11591" s="266">
        <f>IFERROR(__xludf.DUMMYFUNCTION("""COMPUTED_VALUE"""),44973.0)</f>
        <v>44973</v>
      </c>
      <c r="C11591" s="266" t="str">
        <f>IFERROR(__xludf.DUMMYFUNCTION("""COMPUTED_VALUE"""),"KYAI KONTONG")</f>
        <v>KYAI KONTONG</v>
      </c>
      <c r="D11591" s="186">
        <f>IFERROR(__xludf.DUMMYFUNCTION("""COMPUTED_VALUE"""),10.0)</f>
        <v>10</v>
      </c>
    </row>
    <row r="11592">
      <c r="A11592" s="178" t="str">
        <f>IFERROR(__xludf.DUMMYFUNCTION("""COMPUTED_VALUE"""),"ITBISA-SOCKET-IC-DIP8-NARROW")</f>
        <v>ITBISA-SOCKET-IC-DIP8-NARROW</v>
      </c>
      <c r="B11592" s="266">
        <f>IFERROR(__xludf.DUMMYFUNCTION("""COMPUTED_VALUE"""),44973.0)</f>
        <v>44973</v>
      </c>
      <c r="C11592" s="266" t="str">
        <f>IFERROR(__xludf.DUMMYFUNCTION("""COMPUTED_VALUE"""),"KYAI KONTONG")</f>
        <v>KYAI KONTONG</v>
      </c>
      <c r="D11592" s="186">
        <f>IFERROR(__xludf.DUMMYFUNCTION("""COMPUTED_VALUE"""),10.0)</f>
        <v>10</v>
      </c>
    </row>
    <row r="11593">
      <c r="A11593" s="178" t="str">
        <f>IFERROR(__xludf.DUMMYFUNCTION("""COMPUTED_VALUE"""),"ITBISA-SOCKET-IC-DIP8-NARROW")</f>
        <v>ITBISA-SOCKET-IC-DIP8-NARROW</v>
      </c>
      <c r="B11593" s="266">
        <f>IFERROR(__xludf.DUMMYFUNCTION("""COMPUTED_VALUE"""),44975.0)</f>
        <v>44975</v>
      </c>
      <c r="C11593" s="266" t="str">
        <f>IFERROR(__xludf.DUMMYFUNCTION("""COMPUTED_VALUE"""),"KYAI KONTONG")</f>
        <v>KYAI KONTONG</v>
      </c>
      <c r="D11593" s="186">
        <f>IFERROR(__xludf.DUMMYFUNCTION("""COMPUTED_VALUE"""),100.0)</f>
        <v>100</v>
      </c>
    </row>
    <row r="11594">
      <c r="A11594" s="178" t="str">
        <f>IFERROR(__xludf.DUMMYFUNCTION("""COMPUTED_VALUE"""),"ITBISA-SOCKET-IC-DIP8-NARROW")</f>
        <v>ITBISA-SOCKET-IC-DIP8-NARROW</v>
      </c>
      <c r="B11594" s="266">
        <f>IFERROR(__xludf.DUMMYFUNCTION("""COMPUTED_VALUE"""),44976.0)</f>
        <v>44976</v>
      </c>
      <c r="C11594" s="266" t="str">
        <f>IFERROR(__xludf.DUMMYFUNCTION("""COMPUTED_VALUE"""),"KYAI KONTONG")</f>
        <v>KYAI KONTONG</v>
      </c>
      <c r="D11594" s="186">
        <f>IFERROR(__xludf.DUMMYFUNCTION("""COMPUTED_VALUE"""),10.0)</f>
        <v>10</v>
      </c>
    </row>
    <row r="11595">
      <c r="A11595" s="178" t="str">
        <f>IFERROR(__xludf.DUMMYFUNCTION("""COMPUTED_VALUE"""),"ITBISA-SOCKET-IC-DIP8-NARROW")</f>
        <v>ITBISA-SOCKET-IC-DIP8-NARROW</v>
      </c>
      <c r="B11595" s="266">
        <f>IFERROR(__xludf.DUMMYFUNCTION("""COMPUTED_VALUE"""),44976.0)</f>
        <v>44976</v>
      </c>
      <c r="C11595" s="266" t="str">
        <f>IFERROR(__xludf.DUMMYFUNCTION("""COMPUTED_VALUE"""),"KYAI KONTONG")</f>
        <v>KYAI KONTONG</v>
      </c>
      <c r="D11595" s="186">
        <f>IFERROR(__xludf.DUMMYFUNCTION("""COMPUTED_VALUE"""),50.0)</f>
        <v>50</v>
      </c>
    </row>
    <row r="11596">
      <c r="A11596" s="178" t="str">
        <f>IFERROR(__xludf.DUMMYFUNCTION("""COMPUTED_VALUE"""),"ITBISA-SOCKET-IC-DIP8-NARROW")</f>
        <v>ITBISA-SOCKET-IC-DIP8-NARROW</v>
      </c>
      <c r="B11596" s="266">
        <f>IFERROR(__xludf.DUMMYFUNCTION("""COMPUTED_VALUE"""),44979.0)</f>
        <v>44979</v>
      </c>
      <c r="C11596" s="266" t="str">
        <f>IFERROR(__xludf.DUMMYFUNCTION("""COMPUTED_VALUE"""),"KYAI KONTONG")</f>
        <v>KYAI KONTONG</v>
      </c>
      <c r="D11596" s="186">
        <f>IFERROR(__xludf.DUMMYFUNCTION("""COMPUTED_VALUE"""),2.0)</f>
        <v>2</v>
      </c>
    </row>
    <row r="11597">
      <c r="A11597" s="178" t="str">
        <f>IFERROR(__xludf.DUMMYFUNCTION("""COMPUTED_VALUE"""),"ITBISA-SOCKET-IC-DIP8-NARROW")</f>
        <v>ITBISA-SOCKET-IC-DIP8-NARROW</v>
      </c>
      <c r="B11597" s="266">
        <f>IFERROR(__xludf.DUMMYFUNCTION("""COMPUTED_VALUE"""),44981.0)</f>
        <v>44981</v>
      </c>
      <c r="C11597" s="266" t="str">
        <f>IFERROR(__xludf.DUMMYFUNCTION("""COMPUTED_VALUE"""),"KYAI KONTONG")</f>
        <v>KYAI KONTONG</v>
      </c>
      <c r="D11597" s="186">
        <f>IFERROR(__xludf.DUMMYFUNCTION("""COMPUTED_VALUE"""),10.0)</f>
        <v>10</v>
      </c>
    </row>
    <row r="11598">
      <c r="A11598" s="178" t="str">
        <f>IFERROR(__xludf.DUMMYFUNCTION("""COMPUTED_VALUE"""),"ITBISA-SOCKET-IC-DIP8-NARROW")</f>
        <v>ITBISA-SOCKET-IC-DIP8-NARROW</v>
      </c>
      <c r="B11598" s="266">
        <f>IFERROR(__xludf.DUMMYFUNCTION("""COMPUTED_VALUE"""),44982.0)</f>
        <v>44982</v>
      </c>
      <c r="C11598" s="266" t="str">
        <f>IFERROR(__xludf.DUMMYFUNCTION("""COMPUTED_VALUE"""),"KYAI KONTONG")</f>
        <v>KYAI KONTONG</v>
      </c>
      <c r="D11598" s="186">
        <f>IFERROR(__xludf.DUMMYFUNCTION("""COMPUTED_VALUE"""),4.0)</f>
        <v>4</v>
      </c>
    </row>
    <row r="11599">
      <c r="A11599" s="178" t="str">
        <f>IFERROR(__xludf.DUMMYFUNCTION("""COMPUTED_VALUE"""),"ITBISA-SOCKET-IC-DIP8-NARROW")</f>
        <v>ITBISA-SOCKET-IC-DIP8-NARROW</v>
      </c>
      <c r="B11599" s="266">
        <f>IFERROR(__xludf.DUMMYFUNCTION("""COMPUTED_VALUE"""),44983.0)</f>
        <v>44983</v>
      </c>
      <c r="C11599" s="266" t="str">
        <f>IFERROR(__xludf.DUMMYFUNCTION("""COMPUTED_VALUE"""),"KYAI KONTONG")</f>
        <v>KYAI KONTONG</v>
      </c>
      <c r="D11599" s="186">
        <f>IFERROR(__xludf.DUMMYFUNCTION("""COMPUTED_VALUE"""),10.0)</f>
        <v>10</v>
      </c>
    </row>
    <row r="11600">
      <c r="A11600" s="178" t="str">
        <f>IFERROR(__xludf.DUMMYFUNCTION("""COMPUTED_VALUE"""),"ITBISA-SOCKET-IC-DIP8-NARROW")</f>
        <v>ITBISA-SOCKET-IC-DIP8-NARROW</v>
      </c>
      <c r="B11600" s="266">
        <f>IFERROR(__xludf.DUMMYFUNCTION("""COMPUTED_VALUE"""),44984.0)</f>
        <v>44984</v>
      </c>
      <c r="C11600" s="266" t="str">
        <f>IFERROR(__xludf.DUMMYFUNCTION("""COMPUTED_VALUE"""),"KYAI KONTONG")</f>
        <v>KYAI KONTONG</v>
      </c>
      <c r="D11600" s="186">
        <f>IFERROR(__xludf.DUMMYFUNCTION("""COMPUTED_VALUE"""),20.0)</f>
        <v>20</v>
      </c>
    </row>
    <row r="11601">
      <c r="A11601" s="178" t="str">
        <f>IFERROR(__xludf.DUMMYFUNCTION("""COMPUTED_VALUE"""),"ITBISA-SOCKET-IC-DIP8-NARROW")</f>
        <v>ITBISA-SOCKET-IC-DIP8-NARROW</v>
      </c>
      <c r="B11601" s="266">
        <f>IFERROR(__xludf.DUMMYFUNCTION("""COMPUTED_VALUE"""),44986.0)</f>
        <v>44986</v>
      </c>
      <c r="C11601" s="266" t="str">
        <f>IFERROR(__xludf.DUMMYFUNCTION("""COMPUTED_VALUE"""),"KYAI KONTONG")</f>
        <v>KYAI KONTONG</v>
      </c>
      <c r="D11601" s="186">
        <f>IFERROR(__xludf.DUMMYFUNCTION("""COMPUTED_VALUE"""),10.0)</f>
        <v>10</v>
      </c>
    </row>
    <row r="11602">
      <c r="A11602" s="178" t="str">
        <f>IFERROR(__xludf.DUMMYFUNCTION("""COMPUTED_VALUE"""),"ITBISA-SOCKET-IC-DIP8-NARROW")</f>
        <v>ITBISA-SOCKET-IC-DIP8-NARROW</v>
      </c>
      <c r="B11602" s="266">
        <f>IFERROR(__xludf.DUMMYFUNCTION("""COMPUTED_VALUE"""),44987.0)</f>
        <v>44987</v>
      </c>
      <c r="C11602" s="266" t="str">
        <f>IFERROR(__xludf.DUMMYFUNCTION("""COMPUTED_VALUE"""),"KYAI KONTONG")</f>
        <v>KYAI KONTONG</v>
      </c>
      <c r="D11602" s="186">
        <f>IFERROR(__xludf.DUMMYFUNCTION("""COMPUTED_VALUE"""),60.0)</f>
        <v>60</v>
      </c>
    </row>
    <row r="11603">
      <c r="A11603" s="178" t="str">
        <f>IFERROR(__xludf.DUMMYFUNCTION("""COMPUTED_VALUE"""),"ITBISA-SOCKET-IC-DIP8-NARROW")</f>
        <v>ITBISA-SOCKET-IC-DIP8-NARROW</v>
      </c>
      <c r="B11603" s="266">
        <f>IFERROR(__xludf.DUMMYFUNCTION("""COMPUTED_VALUE"""),44988.0)</f>
        <v>44988</v>
      </c>
      <c r="C11603" s="266" t="str">
        <f>IFERROR(__xludf.DUMMYFUNCTION("""COMPUTED_VALUE"""),"KYAI KONTONG")</f>
        <v>KYAI KONTONG</v>
      </c>
      <c r="D11603" s="186">
        <f>IFERROR(__xludf.DUMMYFUNCTION("""COMPUTED_VALUE"""),2.0)</f>
        <v>2</v>
      </c>
    </row>
    <row r="11604">
      <c r="A11604" s="178" t="str">
        <f>IFERROR(__xludf.DUMMYFUNCTION("""COMPUTED_VALUE"""),"ITBISA-SOCKET-IC-DIP8-NARROW")</f>
        <v>ITBISA-SOCKET-IC-DIP8-NARROW</v>
      </c>
      <c r="B11604" s="266">
        <f>IFERROR(__xludf.DUMMYFUNCTION("""COMPUTED_VALUE"""),44993.0)</f>
        <v>44993</v>
      </c>
      <c r="C11604" s="266" t="str">
        <f>IFERROR(__xludf.DUMMYFUNCTION("""COMPUTED_VALUE"""),"KYAI KONTONG")</f>
        <v>KYAI KONTONG</v>
      </c>
      <c r="D11604" s="186">
        <f>IFERROR(__xludf.DUMMYFUNCTION("""COMPUTED_VALUE"""),2.0)</f>
        <v>2</v>
      </c>
    </row>
    <row r="11605">
      <c r="A11605" s="178" t="str">
        <f>IFERROR(__xludf.DUMMYFUNCTION("""COMPUTED_VALUE"""),"ITBISA-SOCKET-IC-DIP8-NARROW")</f>
        <v>ITBISA-SOCKET-IC-DIP8-NARROW</v>
      </c>
      <c r="B11605" s="266">
        <f>IFERROR(__xludf.DUMMYFUNCTION("""COMPUTED_VALUE"""),44998.0)</f>
        <v>44998</v>
      </c>
      <c r="C11605" s="266" t="str">
        <f>IFERROR(__xludf.DUMMYFUNCTION("""COMPUTED_VALUE"""),"KYAI KONTONG")</f>
        <v>KYAI KONTONG</v>
      </c>
      <c r="D11605" s="186">
        <f>IFERROR(__xludf.DUMMYFUNCTION("""COMPUTED_VALUE"""),20.0)</f>
        <v>20</v>
      </c>
    </row>
    <row r="11606">
      <c r="A11606" s="178" t="str">
        <f>IFERROR(__xludf.DUMMYFUNCTION("""COMPUTED_VALUE"""),"ITBISA-SOCKET-IC-DIP8-NARROW")</f>
        <v>ITBISA-SOCKET-IC-DIP8-NARROW</v>
      </c>
      <c r="B11606" s="266">
        <f>IFERROR(__xludf.DUMMYFUNCTION("""COMPUTED_VALUE"""),44998.0)</f>
        <v>44998</v>
      </c>
      <c r="C11606" s="266" t="str">
        <f>IFERROR(__xludf.DUMMYFUNCTION("""COMPUTED_VALUE"""),"KYAI KONTONG")</f>
        <v>KYAI KONTONG</v>
      </c>
      <c r="D11606" s="186">
        <f>IFERROR(__xludf.DUMMYFUNCTION("""COMPUTED_VALUE"""),200.0)</f>
        <v>200</v>
      </c>
    </row>
    <row r="11607">
      <c r="A11607" s="178" t="str">
        <f>IFERROR(__xludf.DUMMYFUNCTION("""COMPUTED_VALUE"""),"ITBISA-SOCKET-IC-DIP8-NARROW")</f>
        <v>ITBISA-SOCKET-IC-DIP8-NARROW</v>
      </c>
      <c r="B11607" s="266">
        <f>IFERROR(__xludf.DUMMYFUNCTION("""COMPUTED_VALUE"""),45003.0)</f>
        <v>45003</v>
      </c>
      <c r="C11607" s="266" t="str">
        <f>IFERROR(__xludf.DUMMYFUNCTION("""COMPUTED_VALUE"""),"KYAI KONTONG")</f>
        <v>KYAI KONTONG</v>
      </c>
      <c r="D11607" s="186">
        <f>IFERROR(__xludf.DUMMYFUNCTION("""COMPUTED_VALUE"""),2.0)</f>
        <v>2</v>
      </c>
    </row>
    <row r="11608">
      <c r="A11608" s="178" t="str">
        <f>IFERROR(__xludf.DUMMYFUNCTION("""COMPUTED_VALUE"""),"ITBISA-SOCKET-IC-DIP8-NARROW")</f>
        <v>ITBISA-SOCKET-IC-DIP8-NARROW</v>
      </c>
      <c r="B11608" s="266">
        <f>IFERROR(__xludf.DUMMYFUNCTION("""COMPUTED_VALUE"""),45005.0)</f>
        <v>45005</v>
      </c>
      <c r="C11608" s="266" t="str">
        <f>IFERROR(__xludf.DUMMYFUNCTION("""COMPUTED_VALUE"""),"KYAI KONTONG")</f>
        <v>KYAI KONTONG</v>
      </c>
      <c r="D11608" s="186">
        <f>IFERROR(__xludf.DUMMYFUNCTION("""COMPUTED_VALUE"""),30.0)</f>
        <v>30</v>
      </c>
    </row>
    <row r="11609">
      <c r="A11609" s="178" t="str">
        <f>IFERROR(__xludf.DUMMYFUNCTION("""COMPUTED_VALUE"""),"ITBISA-SOCKET-IC-DIP8-NARROW")</f>
        <v>ITBISA-SOCKET-IC-DIP8-NARROW</v>
      </c>
      <c r="B11609" s="266">
        <f>IFERROR(__xludf.DUMMYFUNCTION("""COMPUTED_VALUE"""),45008.0)</f>
        <v>45008</v>
      </c>
      <c r="C11609" s="266" t="str">
        <f>IFERROR(__xludf.DUMMYFUNCTION("""COMPUTED_VALUE"""),"KYAI KONTONG")</f>
        <v>KYAI KONTONG</v>
      </c>
      <c r="D11609" s="186">
        <f>IFERROR(__xludf.DUMMYFUNCTION("""COMPUTED_VALUE"""),25.0)</f>
        <v>25</v>
      </c>
    </row>
    <row r="11610">
      <c r="A11610" s="178" t="str">
        <f>IFERROR(__xludf.DUMMYFUNCTION("""COMPUTED_VALUE"""),"ITBISA-SOCKET-IC-DIP8-NARROW")</f>
        <v>ITBISA-SOCKET-IC-DIP8-NARROW</v>
      </c>
      <c r="B11610" s="266">
        <f>IFERROR(__xludf.DUMMYFUNCTION("""COMPUTED_VALUE"""),45010.0)</f>
        <v>45010</v>
      </c>
      <c r="C11610" s="266" t="str">
        <f>IFERROR(__xludf.DUMMYFUNCTION("""COMPUTED_VALUE"""),"KYAI KONTONG")</f>
        <v>KYAI KONTONG</v>
      </c>
      <c r="D11610" s="186">
        <f>IFERROR(__xludf.DUMMYFUNCTION("""COMPUTED_VALUE"""),9.0)</f>
        <v>9</v>
      </c>
    </row>
    <row r="11611">
      <c r="A11611" s="178" t="str">
        <f>IFERROR(__xludf.DUMMYFUNCTION("""COMPUTED_VALUE"""),"ITBISA-SOCKET-IC-DIP8-NARROW")</f>
        <v>ITBISA-SOCKET-IC-DIP8-NARROW</v>
      </c>
      <c r="B11611" s="266">
        <f>IFERROR(__xludf.DUMMYFUNCTION("""COMPUTED_VALUE"""),45010.0)</f>
        <v>45010</v>
      </c>
      <c r="C11611" s="266" t="str">
        <f>IFERROR(__xludf.DUMMYFUNCTION("""COMPUTED_VALUE"""),"KYAI KONTONG")</f>
        <v>KYAI KONTONG</v>
      </c>
      <c r="D11611" s="186">
        <f>IFERROR(__xludf.DUMMYFUNCTION("""COMPUTED_VALUE"""),300.0)</f>
        <v>300</v>
      </c>
    </row>
    <row r="11612">
      <c r="A11612" s="178" t="str">
        <f>IFERROR(__xludf.DUMMYFUNCTION("""COMPUTED_VALUE"""),"ITBISA-SOCKET-IC-DIP8-NARROW")</f>
        <v>ITBISA-SOCKET-IC-DIP8-NARROW</v>
      </c>
      <c r="B11612" s="266">
        <f>IFERROR(__xludf.DUMMYFUNCTION("""COMPUTED_VALUE"""),45019.0)</f>
        <v>45019</v>
      </c>
      <c r="C11612" s="266" t="str">
        <f>IFERROR(__xludf.DUMMYFUNCTION("""COMPUTED_VALUE"""),"KYAI KONTONG")</f>
        <v>KYAI KONTONG</v>
      </c>
      <c r="D11612" s="186">
        <f>IFERROR(__xludf.DUMMYFUNCTION("""COMPUTED_VALUE"""),1000.0)</f>
        <v>1000</v>
      </c>
    </row>
    <row r="11613">
      <c r="A11613" s="178" t="str">
        <f>IFERROR(__xludf.DUMMYFUNCTION("""COMPUTED_VALUE"""),"ITBISA-SOCKET-IC-DIP8-NARROW")</f>
        <v>ITBISA-SOCKET-IC-DIP8-NARROW</v>
      </c>
      <c r="B11613" s="266">
        <f>IFERROR(__xludf.DUMMYFUNCTION("""COMPUTED_VALUE"""),45020.0)</f>
        <v>45020</v>
      </c>
      <c r="C11613" s="266" t="str">
        <f>IFERROR(__xludf.DUMMYFUNCTION("""COMPUTED_VALUE"""),"KYAI KONTONG")</f>
        <v>KYAI KONTONG</v>
      </c>
      <c r="D11613" s="186">
        <f>IFERROR(__xludf.DUMMYFUNCTION("""COMPUTED_VALUE"""),5.0)</f>
        <v>5</v>
      </c>
    </row>
    <row r="11614">
      <c r="A11614" s="178" t="str">
        <f>IFERROR(__xludf.DUMMYFUNCTION("""COMPUTED_VALUE"""),"ITBISA-SOCKET-IC-DIP8-NARROW")</f>
        <v>ITBISA-SOCKET-IC-DIP8-NARROW</v>
      </c>
      <c r="B11614" s="266">
        <f>IFERROR(__xludf.DUMMYFUNCTION("""COMPUTED_VALUE"""),45024.0)</f>
        <v>45024</v>
      </c>
      <c r="C11614" s="266" t="str">
        <f>IFERROR(__xludf.DUMMYFUNCTION("""COMPUTED_VALUE"""),"KYAI KONTONG")</f>
        <v>KYAI KONTONG</v>
      </c>
      <c r="D11614" s="186">
        <f>IFERROR(__xludf.DUMMYFUNCTION("""COMPUTED_VALUE"""),10.0)</f>
        <v>10</v>
      </c>
    </row>
    <row r="11615">
      <c r="A11615" s="178" t="str">
        <f>IFERROR(__xludf.DUMMYFUNCTION("""COMPUTED_VALUE"""),"ITBISA-SOCKET-IC-DIP8-NARROW")</f>
        <v>ITBISA-SOCKET-IC-DIP8-NARROW</v>
      </c>
      <c r="B11615" s="266">
        <f>IFERROR(__xludf.DUMMYFUNCTION("""COMPUTED_VALUE"""),45031.0)</f>
        <v>45031</v>
      </c>
      <c r="C11615" s="266" t="str">
        <f>IFERROR(__xludf.DUMMYFUNCTION("""COMPUTED_VALUE"""),"KYAI KONTONG")</f>
        <v>KYAI KONTONG</v>
      </c>
      <c r="D11615" s="186">
        <f>IFERROR(__xludf.DUMMYFUNCTION("""COMPUTED_VALUE"""),60.0)</f>
        <v>60</v>
      </c>
    </row>
    <row r="11616">
      <c r="A11616" s="178" t="str">
        <f>IFERROR(__xludf.DUMMYFUNCTION("""COMPUTED_VALUE"""),"ITBISA-SOCKET-IC-DIP8-NARROW")</f>
        <v>ITBISA-SOCKET-IC-DIP8-NARROW</v>
      </c>
      <c r="B11616" s="266">
        <f>IFERROR(__xludf.DUMMYFUNCTION("""COMPUTED_VALUE"""),45061.0)</f>
        <v>45061</v>
      </c>
      <c r="C11616" s="266" t="str">
        <f>IFERROR(__xludf.DUMMYFUNCTION("""COMPUTED_VALUE"""),"KYAI KONTONG")</f>
        <v>KYAI KONTONG</v>
      </c>
      <c r="D11616" s="186">
        <f>IFERROR(__xludf.DUMMYFUNCTION("""COMPUTED_VALUE"""),2.0)</f>
        <v>2</v>
      </c>
    </row>
    <row r="11617">
      <c r="A11617" s="178" t="str">
        <f>IFERROR(__xludf.DUMMYFUNCTION("""COMPUTED_VALUE"""),"ITBISA-SOCKET-IC-DIP8-NARROW")</f>
        <v>ITBISA-SOCKET-IC-DIP8-NARROW</v>
      </c>
      <c r="B11617" s="266">
        <f>IFERROR(__xludf.DUMMYFUNCTION("""COMPUTED_VALUE"""),45076.0)</f>
        <v>45076</v>
      </c>
      <c r="C11617" s="266" t="str">
        <f>IFERROR(__xludf.DUMMYFUNCTION("""COMPUTED_VALUE"""),"KYAI KONTONG")</f>
        <v>KYAI KONTONG</v>
      </c>
      <c r="D11617" s="186">
        <f>IFERROR(__xludf.DUMMYFUNCTION("""COMPUTED_VALUE"""),5.0)</f>
        <v>5</v>
      </c>
    </row>
    <row r="11618">
      <c r="A11618" s="178" t="str">
        <f>IFERROR(__xludf.DUMMYFUNCTION("""COMPUTED_VALUE"""),"ITBISA-SOCKET-IC-DIP8-NARROW")</f>
        <v>ITBISA-SOCKET-IC-DIP8-NARROW</v>
      </c>
      <c r="B11618" s="266">
        <f>IFERROR(__xludf.DUMMYFUNCTION("""COMPUTED_VALUE"""),45079.0)</f>
        <v>45079</v>
      </c>
      <c r="C11618" s="266" t="str">
        <f>IFERROR(__xludf.DUMMYFUNCTION("""COMPUTED_VALUE"""),"KYAI KONTONG")</f>
        <v>KYAI KONTONG</v>
      </c>
      <c r="D11618" s="186">
        <f>IFERROR(__xludf.DUMMYFUNCTION("""COMPUTED_VALUE"""),60.0)</f>
        <v>60</v>
      </c>
    </row>
    <row r="11619">
      <c r="A11619" s="178" t="str">
        <f>IFERROR(__xludf.DUMMYFUNCTION("""COMPUTED_VALUE"""),"ITBISA-SOCKET-IC-DIP8-NARROW")</f>
        <v>ITBISA-SOCKET-IC-DIP8-NARROW</v>
      </c>
      <c r="B11619" s="266">
        <f>IFERROR(__xludf.DUMMYFUNCTION("""COMPUTED_VALUE"""),45088.0)</f>
        <v>45088</v>
      </c>
      <c r="C11619" s="266" t="str">
        <f>IFERROR(__xludf.DUMMYFUNCTION("""COMPUTED_VALUE"""),"KYAI KONTONG")</f>
        <v>KYAI KONTONG</v>
      </c>
      <c r="D11619" s="186">
        <f>IFERROR(__xludf.DUMMYFUNCTION("""COMPUTED_VALUE"""),10.0)</f>
        <v>10</v>
      </c>
    </row>
    <row r="11620">
      <c r="A11620" s="178" t="str">
        <f>IFERROR(__xludf.DUMMYFUNCTION("""COMPUTED_VALUE"""),"ITBISA-SOCKET-IC-DIP8-NARROW")</f>
        <v>ITBISA-SOCKET-IC-DIP8-NARROW</v>
      </c>
      <c r="B11620" s="266">
        <f>IFERROR(__xludf.DUMMYFUNCTION("""COMPUTED_VALUE"""),45089.0)</f>
        <v>45089</v>
      </c>
      <c r="C11620" s="266" t="str">
        <f>IFERROR(__xludf.DUMMYFUNCTION("""COMPUTED_VALUE"""),"KYAI KONTONG")</f>
        <v>KYAI KONTONG</v>
      </c>
      <c r="D11620" s="186">
        <f>IFERROR(__xludf.DUMMYFUNCTION("""COMPUTED_VALUE"""),4.0)</f>
        <v>4</v>
      </c>
    </row>
    <row r="11621">
      <c r="A11621" s="178" t="str">
        <f>IFERROR(__xludf.DUMMYFUNCTION("""COMPUTED_VALUE"""),"ITBISA-SOCKET-IC-DIP8-NARROW")</f>
        <v>ITBISA-SOCKET-IC-DIP8-NARROW</v>
      </c>
      <c r="B11621" s="266">
        <f>IFERROR(__xludf.DUMMYFUNCTION("""COMPUTED_VALUE"""),45089.0)</f>
        <v>45089</v>
      </c>
      <c r="C11621" s="266" t="str">
        <f>IFERROR(__xludf.DUMMYFUNCTION("""COMPUTED_VALUE"""),"KYAI KONTONG")</f>
        <v>KYAI KONTONG</v>
      </c>
      <c r="D11621" s="186">
        <f>IFERROR(__xludf.DUMMYFUNCTION("""COMPUTED_VALUE"""),100.0)</f>
        <v>100</v>
      </c>
    </row>
    <row r="11622">
      <c r="A11622" s="178" t="str">
        <f>IFERROR(__xludf.DUMMYFUNCTION("""COMPUTED_VALUE"""),"ITBISA-SOCKET-IC-DIP8-NARROW")</f>
        <v>ITBISA-SOCKET-IC-DIP8-NARROW</v>
      </c>
      <c r="B11622" s="266">
        <f>IFERROR(__xludf.DUMMYFUNCTION("""COMPUTED_VALUE"""),45097.0)</f>
        <v>45097</v>
      </c>
      <c r="C11622" s="266" t="str">
        <f>IFERROR(__xludf.DUMMYFUNCTION("""COMPUTED_VALUE"""),"KYAI KONTONG")</f>
        <v>KYAI KONTONG</v>
      </c>
      <c r="D11622" s="186">
        <f>IFERROR(__xludf.DUMMYFUNCTION("""COMPUTED_VALUE"""),200.0)</f>
        <v>200</v>
      </c>
    </row>
    <row r="11623">
      <c r="A11623" s="178" t="str">
        <f>IFERROR(__xludf.DUMMYFUNCTION("""COMPUTED_VALUE"""),"ITBISA-SOCKET-IC-DIP8-NARROW")</f>
        <v>ITBISA-SOCKET-IC-DIP8-NARROW</v>
      </c>
      <c r="B11623" s="266">
        <f>IFERROR(__xludf.DUMMYFUNCTION("""COMPUTED_VALUE"""),45099.0)</f>
        <v>45099</v>
      </c>
      <c r="C11623" s="266" t="str">
        <f>IFERROR(__xludf.DUMMYFUNCTION("""COMPUTED_VALUE"""),"KYAI KONTONG")</f>
        <v>KYAI KONTONG</v>
      </c>
      <c r="D11623" s="186">
        <f>IFERROR(__xludf.DUMMYFUNCTION("""COMPUTED_VALUE"""),8.0)</f>
        <v>8</v>
      </c>
    </row>
    <row r="11624">
      <c r="A11624" s="178" t="str">
        <f>IFERROR(__xludf.DUMMYFUNCTION("""COMPUTED_VALUE"""),"ITBISA-SOCKET-IC-DIP8-NARROW")</f>
        <v>ITBISA-SOCKET-IC-DIP8-NARROW</v>
      </c>
      <c r="B11624" s="266">
        <f>IFERROR(__xludf.DUMMYFUNCTION("""COMPUTED_VALUE"""),45102.0)</f>
        <v>45102</v>
      </c>
      <c r="C11624" s="266" t="str">
        <f>IFERROR(__xludf.DUMMYFUNCTION("""COMPUTED_VALUE"""),"KYAI KONTONG")</f>
        <v>KYAI KONTONG</v>
      </c>
      <c r="D11624" s="186">
        <f>IFERROR(__xludf.DUMMYFUNCTION("""COMPUTED_VALUE"""),180.0)</f>
        <v>180</v>
      </c>
    </row>
    <row r="11625">
      <c r="A11625" s="178" t="str">
        <f>IFERROR(__xludf.DUMMYFUNCTION("""COMPUTED_VALUE"""),"ITBISA-SOCKET-IC-DIP8-NARROW")</f>
        <v>ITBISA-SOCKET-IC-DIP8-NARROW</v>
      </c>
      <c r="B11625" s="266">
        <f>IFERROR(__xludf.DUMMYFUNCTION("""COMPUTED_VALUE"""),45104.0)</f>
        <v>45104</v>
      </c>
      <c r="C11625" s="266" t="str">
        <f>IFERROR(__xludf.DUMMYFUNCTION("""COMPUTED_VALUE"""),"KYAI KONTONG")</f>
        <v>KYAI KONTONG</v>
      </c>
      <c r="D11625" s="186">
        <f>IFERROR(__xludf.DUMMYFUNCTION("""COMPUTED_VALUE"""),50.0)</f>
        <v>50</v>
      </c>
    </row>
    <row r="11626">
      <c r="A11626" s="178" t="str">
        <f>IFERROR(__xludf.DUMMYFUNCTION("""COMPUTED_VALUE"""),"ITBISA-SOCKET-IC-DIP8-NARROW")</f>
        <v>ITBISA-SOCKET-IC-DIP8-NARROW</v>
      </c>
      <c r="B11626" s="266">
        <f>IFERROR(__xludf.DUMMYFUNCTION("""COMPUTED_VALUE"""),45109.0)</f>
        <v>45109</v>
      </c>
      <c r="C11626" s="266" t="str">
        <f>IFERROR(__xludf.DUMMYFUNCTION("""COMPUTED_VALUE"""),"KYAI KONTONG")</f>
        <v>KYAI KONTONG</v>
      </c>
      <c r="D11626" s="186">
        <f>IFERROR(__xludf.DUMMYFUNCTION("""COMPUTED_VALUE"""),100.0)</f>
        <v>100</v>
      </c>
    </row>
    <row r="11627">
      <c r="A11627" s="178" t="str">
        <f>IFERROR(__xludf.DUMMYFUNCTION("""COMPUTED_VALUE"""),"ITBISA-SOCKET-IC-DIP8-NARROW")</f>
        <v>ITBISA-SOCKET-IC-DIP8-NARROW</v>
      </c>
      <c r="B11627" s="266">
        <f>IFERROR(__xludf.DUMMYFUNCTION("""COMPUTED_VALUE"""),45112.0)</f>
        <v>45112</v>
      </c>
      <c r="C11627" s="266" t="str">
        <f>IFERROR(__xludf.DUMMYFUNCTION("""COMPUTED_VALUE"""),"KYAI KONTONG")</f>
        <v>KYAI KONTONG</v>
      </c>
      <c r="D11627" s="186">
        <f>IFERROR(__xludf.DUMMYFUNCTION("""COMPUTED_VALUE"""),100.0)</f>
        <v>100</v>
      </c>
    </row>
    <row r="11628">
      <c r="A11628" s="178" t="str">
        <f>IFERROR(__xludf.DUMMYFUNCTION("""COMPUTED_VALUE"""),"ITBISA-SOCKET-IC-DIP8-NARROW")</f>
        <v>ITBISA-SOCKET-IC-DIP8-NARROW</v>
      </c>
      <c r="B11628" s="266">
        <f>IFERROR(__xludf.DUMMYFUNCTION("""COMPUTED_VALUE"""),45116.0)</f>
        <v>45116</v>
      </c>
      <c r="C11628" s="266" t="str">
        <f>IFERROR(__xludf.DUMMYFUNCTION("""COMPUTED_VALUE"""),"KYAI KONTONG")</f>
        <v>KYAI KONTONG</v>
      </c>
      <c r="D11628" s="186">
        <f>IFERROR(__xludf.DUMMYFUNCTION("""COMPUTED_VALUE"""),20.0)</f>
        <v>20</v>
      </c>
    </row>
    <row r="11629">
      <c r="A11629" s="178" t="str">
        <f>IFERROR(__xludf.DUMMYFUNCTION("""COMPUTED_VALUE"""),"ITBISA-SOCKET-IC-DIP8-NARROW")</f>
        <v>ITBISA-SOCKET-IC-DIP8-NARROW</v>
      </c>
      <c r="B11629" s="266">
        <f>IFERROR(__xludf.DUMMYFUNCTION("""COMPUTED_VALUE"""),45124.0)</f>
        <v>45124</v>
      </c>
      <c r="C11629" s="266" t="str">
        <f>IFERROR(__xludf.DUMMYFUNCTION("""COMPUTED_VALUE"""),"KYAI KONTONG")</f>
        <v>KYAI KONTONG</v>
      </c>
      <c r="D11629" s="186">
        <f>IFERROR(__xludf.DUMMYFUNCTION("""COMPUTED_VALUE"""),10.0)</f>
        <v>10</v>
      </c>
    </row>
    <row r="11630">
      <c r="A11630" s="178" t="str">
        <f>IFERROR(__xludf.DUMMYFUNCTION("""COMPUTED_VALUE"""),"ITBISA-SOCKET-IC-DIP8-NARROW")</f>
        <v>ITBISA-SOCKET-IC-DIP8-NARROW</v>
      </c>
      <c r="B11630" s="266">
        <f>IFERROR(__xludf.DUMMYFUNCTION("""COMPUTED_VALUE"""),45132.0)</f>
        <v>45132</v>
      </c>
      <c r="C11630" s="266" t="str">
        <f>IFERROR(__xludf.DUMMYFUNCTION("""COMPUTED_VALUE"""),"KYAI KONTONG")</f>
        <v>KYAI KONTONG</v>
      </c>
      <c r="D11630" s="186">
        <f>IFERROR(__xludf.DUMMYFUNCTION("""COMPUTED_VALUE"""),10.0)</f>
        <v>10</v>
      </c>
    </row>
    <row r="11631">
      <c r="A11631" s="178" t="str">
        <f>IFERROR(__xludf.DUMMYFUNCTION("""COMPUTED_VALUE"""),"ITBISA-SOCKET-IC-DIP8-NARROW")</f>
        <v>ITBISA-SOCKET-IC-DIP8-NARROW</v>
      </c>
      <c r="B11631" s="266">
        <f>IFERROR(__xludf.DUMMYFUNCTION("""COMPUTED_VALUE"""),45141.0)</f>
        <v>45141</v>
      </c>
      <c r="C11631" s="266" t="str">
        <f>IFERROR(__xludf.DUMMYFUNCTION("""COMPUTED_VALUE"""),"KYAI KONTONG")</f>
        <v>KYAI KONTONG</v>
      </c>
      <c r="D11631" s="186">
        <f>IFERROR(__xludf.DUMMYFUNCTION("""COMPUTED_VALUE"""),50.0)</f>
        <v>50</v>
      </c>
    </row>
    <row r="11632">
      <c r="A11632" s="178" t="str">
        <f>IFERROR(__xludf.DUMMYFUNCTION("""COMPUTED_VALUE"""),"ITBISA-SOCKET-IC-DIP8-NARROW")</f>
        <v>ITBISA-SOCKET-IC-DIP8-NARROW</v>
      </c>
      <c r="B11632" s="266">
        <f>IFERROR(__xludf.DUMMYFUNCTION("""COMPUTED_VALUE"""),45142.0)</f>
        <v>45142</v>
      </c>
      <c r="C11632" s="266" t="str">
        <f>IFERROR(__xludf.DUMMYFUNCTION("""COMPUTED_VALUE"""),"KYAI KONTONG")</f>
        <v>KYAI KONTONG</v>
      </c>
      <c r="D11632" s="186">
        <f>IFERROR(__xludf.DUMMYFUNCTION("""COMPUTED_VALUE"""),10.0)</f>
        <v>10</v>
      </c>
    </row>
    <row r="11633">
      <c r="A11633" s="178" t="str">
        <f>IFERROR(__xludf.DUMMYFUNCTION("""COMPUTED_VALUE"""),"ITBISA-SOCKET-IC-DIP8-NARROW")</f>
        <v>ITBISA-SOCKET-IC-DIP8-NARROW</v>
      </c>
      <c r="B11633" s="266">
        <f>IFERROR(__xludf.DUMMYFUNCTION("""COMPUTED_VALUE"""),45166.0)</f>
        <v>45166</v>
      </c>
      <c r="C11633" s="266" t="str">
        <f>IFERROR(__xludf.DUMMYFUNCTION("""COMPUTED_VALUE"""),"KYAI KONTONG")</f>
        <v>KYAI KONTONG</v>
      </c>
      <c r="D11633" s="186">
        <f>IFERROR(__xludf.DUMMYFUNCTION("""COMPUTED_VALUE"""),2.0)</f>
        <v>2</v>
      </c>
    </row>
    <row r="11634">
      <c r="A11634" s="178" t="str">
        <f>IFERROR(__xludf.DUMMYFUNCTION("""COMPUTED_VALUE"""),"ITBISA-SOCKET-IC-DIP8-NARROW")</f>
        <v>ITBISA-SOCKET-IC-DIP8-NARROW</v>
      </c>
      <c r="B11634" s="266">
        <f>IFERROR(__xludf.DUMMYFUNCTION("""COMPUTED_VALUE"""),45169.0)</f>
        <v>45169</v>
      </c>
      <c r="C11634" s="266" t="str">
        <f>IFERROR(__xludf.DUMMYFUNCTION("""COMPUTED_VALUE"""),"KYAI KONTONG")</f>
        <v>KYAI KONTONG</v>
      </c>
      <c r="D11634" s="186">
        <f>IFERROR(__xludf.DUMMYFUNCTION("""COMPUTED_VALUE"""),10.0)</f>
        <v>10</v>
      </c>
    </row>
    <row r="11635">
      <c r="A11635" s="178" t="str">
        <f>IFERROR(__xludf.DUMMYFUNCTION("""COMPUTED_VALUE"""),"ITBISA-SOCKET-IC-DIP8-NARROW")</f>
        <v>ITBISA-SOCKET-IC-DIP8-NARROW</v>
      </c>
      <c r="B11635" s="266">
        <f>IFERROR(__xludf.DUMMYFUNCTION("""COMPUTED_VALUE"""),45172.0)</f>
        <v>45172</v>
      </c>
      <c r="C11635" s="266" t="str">
        <f>IFERROR(__xludf.DUMMYFUNCTION("""COMPUTED_VALUE"""),"KYAI KONTONG")</f>
        <v>KYAI KONTONG</v>
      </c>
      <c r="D11635" s="186">
        <f>IFERROR(__xludf.DUMMYFUNCTION("""COMPUTED_VALUE"""),5.0)</f>
        <v>5</v>
      </c>
    </row>
    <row r="11636">
      <c r="A11636" s="178" t="str">
        <f>IFERROR(__xludf.DUMMYFUNCTION("""COMPUTED_VALUE"""),"ITBISA-SOCKET-IC-DIP8-NARROW")</f>
        <v>ITBISA-SOCKET-IC-DIP8-NARROW</v>
      </c>
      <c r="B11636" s="266">
        <f>IFERROR(__xludf.DUMMYFUNCTION("""COMPUTED_VALUE"""),45175.0)</f>
        <v>45175</v>
      </c>
      <c r="C11636" s="266" t="str">
        <f>IFERROR(__xludf.DUMMYFUNCTION("""COMPUTED_VALUE"""),"KERTASARI CIAMIS")</f>
        <v>KERTASARI CIAMIS</v>
      </c>
      <c r="D11636" s="186">
        <f>IFERROR(__xludf.DUMMYFUNCTION("""COMPUTED_VALUE"""),16.0)</f>
        <v>16</v>
      </c>
    </row>
    <row r="11637">
      <c r="A11637" s="178" t="str">
        <f>IFERROR(__xludf.DUMMYFUNCTION("""COMPUTED_VALUE"""),"ITBISA-SOCKET-IC-DIP8-NARROW")</f>
        <v>ITBISA-SOCKET-IC-DIP8-NARROW</v>
      </c>
      <c r="B11637" s="266">
        <f>IFERROR(__xludf.DUMMYFUNCTION("""COMPUTED_VALUE"""),45185.0)</f>
        <v>45185</v>
      </c>
      <c r="C11637" s="266" t="str">
        <f>IFERROR(__xludf.DUMMYFUNCTION("""COMPUTED_VALUE"""),"KYAI KONTONG")</f>
        <v>KYAI KONTONG</v>
      </c>
      <c r="D11637" s="186">
        <f>IFERROR(__xludf.DUMMYFUNCTION("""COMPUTED_VALUE"""),5.0)</f>
        <v>5</v>
      </c>
    </row>
    <row r="11638">
      <c r="A11638" s="178" t="str">
        <f>IFERROR(__xludf.DUMMYFUNCTION("""COMPUTED_VALUE"""),"ITBISA-SOCKET-IC-DIP8-NARROW")</f>
        <v>ITBISA-SOCKET-IC-DIP8-NARROW</v>
      </c>
      <c r="B11638" s="266">
        <f>IFERROR(__xludf.DUMMYFUNCTION("""COMPUTED_VALUE"""),45188.0)</f>
        <v>45188</v>
      </c>
      <c r="C11638" s="266" t="str">
        <f>IFERROR(__xludf.DUMMYFUNCTION("""COMPUTED_VALUE"""),"KYAI KONTONG")</f>
        <v>KYAI KONTONG</v>
      </c>
      <c r="D11638" s="186">
        <f>IFERROR(__xludf.DUMMYFUNCTION("""COMPUTED_VALUE"""),5.0)</f>
        <v>5</v>
      </c>
    </row>
    <row r="11639">
      <c r="A11639" s="178" t="str">
        <f>IFERROR(__xludf.DUMMYFUNCTION("""COMPUTED_VALUE"""),"ITBISA-SOCKET-IC-DIP8-NARROW")</f>
        <v>ITBISA-SOCKET-IC-DIP8-NARROW</v>
      </c>
      <c r="B11639" s="266">
        <f>IFERROR(__xludf.DUMMYFUNCTION("""COMPUTED_VALUE"""),45189.0)</f>
        <v>45189</v>
      </c>
      <c r="C11639" s="266" t="str">
        <f>IFERROR(__xludf.DUMMYFUNCTION("""COMPUTED_VALUE"""),"KYAI KONTONG")</f>
        <v>KYAI KONTONG</v>
      </c>
      <c r="D11639" s="186">
        <f>IFERROR(__xludf.DUMMYFUNCTION("""COMPUTED_VALUE"""),100.0)</f>
        <v>100</v>
      </c>
    </row>
    <row r="11640">
      <c r="A11640" s="178" t="str">
        <f>IFERROR(__xludf.DUMMYFUNCTION("""COMPUTED_VALUE"""),"ITBISA-SOCKET-IC-DIP8-NARROW")</f>
        <v>ITBISA-SOCKET-IC-DIP8-NARROW</v>
      </c>
      <c r="B11640" s="266">
        <f>IFERROR(__xludf.DUMMYFUNCTION("""COMPUTED_VALUE"""),45190.0)</f>
        <v>45190</v>
      </c>
      <c r="C11640" s="266" t="str">
        <f>IFERROR(__xludf.DUMMYFUNCTION("""COMPUTED_VALUE"""),"KYAI KONTONG")</f>
        <v>KYAI KONTONG</v>
      </c>
      <c r="D11640" s="186">
        <f>IFERROR(__xludf.DUMMYFUNCTION("""COMPUTED_VALUE"""),300.0)</f>
        <v>300</v>
      </c>
    </row>
    <row r="11641">
      <c r="A11641" s="178" t="str">
        <f>IFERROR(__xludf.DUMMYFUNCTION("""COMPUTED_VALUE"""),"ITBISA-SOCKET-IC-DIP8-NARROW")</f>
        <v>ITBISA-SOCKET-IC-DIP8-NARROW</v>
      </c>
      <c r="B11641" s="266">
        <f>IFERROR(__xludf.DUMMYFUNCTION("""COMPUTED_VALUE"""),45192.0)</f>
        <v>45192</v>
      </c>
      <c r="C11641" s="266" t="str">
        <f>IFERROR(__xludf.DUMMYFUNCTION("""COMPUTED_VALUE"""),"KYAI KONTONG")</f>
        <v>KYAI KONTONG</v>
      </c>
      <c r="D11641" s="186">
        <f>IFERROR(__xludf.DUMMYFUNCTION("""COMPUTED_VALUE"""),2.0)</f>
        <v>2</v>
      </c>
    </row>
    <row r="11642">
      <c r="A11642" s="178" t="str">
        <f>IFERROR(__xludf.DUMMYFUNCTION("""COMPUTED_VALUE"""),"ITBISA-SOCKET-IC-DIP8-NARROW")</f>
        <v>ITBISA-SOCKET-IC-DIP8-NARROW</v>
      </c>
      <c r="B11642" s="266">
        <f>IFERROR(__xludf.DUMMYFUNCTION("""COMPUTED_VALUE"""),45195.0)</f>
        <v>45195</v>
      </c>
      <c r="C11642" s="266" t="str">
        <f>IFERROR(__xludf.DUMMYFUNCTION("""COMPUTED_VALUE"""),"KYAI KONTONG")</f>
        <v>KYAI KONTONG</v>
      </c>
      <c r="D11642" s="186">
        <f>IFERROR(__xludf.DUMMYFUNCTION("""COMPUTED_VALUE"""),1.0)</f>
        <v>1</v>
      </c>
    </row>
    <row r="11643">
      <c r="A11643" s="178" t="str">
        <f>IFERROR(__xludf.DUMMYFUNCTION("""COMPUTED_VALUE"""),"ITBISA-SOCKET-IC-DIP8-NARROW")</f>
        <v>ITBISA-SOCKET-IC-DIP8-NARROW</v>
      </c>
      <c r="B11643" s="266">
        <f>IFERROR(__xludf.DUMMYFUNCTION("""COMPUTED_VALUE"""),45196.0)</f>
        <v>45196</v>
      </c>
      <c r="C11643" s="266" t="str">
        <f>IFERROR(__xludf.DUMMYFUNCTION("""COMPUTED_VALUE"""),"KYAI KONTONG")</f>
        <v>KYAI KONTONG</v>
      </c>
      <c r="D11643" s="186">
        <f>IFERROR(__xludf.DUMMYFUNCTION("""COMPUTED_VALUE"""),50.0)</f>
        <v>50</v>
      </c>
    </row>
    <row r="11644">
      <c r="A11644" s="178" t="str">
        <f>IFERROR(__xludf.DUMMYFUNCTION("""COMPUTED_VALUE"""),"ITBISA-SOCKET-IC-DIP8-NARROW")</f>
        <v>ITBISA-SOCKET-IC-DIP8-NARROW</v>
      </c>
      <c r="B11644" s="266">
        <f>IFERROR(__xludf.DUMMYFUNCTION("""COMPUTED_VALUE"""),45198.0)</f>
        <v>45198</v>
      </c>
      <c r="C11644" s="266" t="str">
        <f>IFERROR(__xludf.DUMMYFUNCTION("""COMPUTED_VALUE"""),"KYAI KONTONG")</f>
        <v>KYAI KONTONG</v>
      </c>
      <c r="D11644" s="186">
        <f>IFERROR(__xludf.DUMMYFUNCTION("""COMPUTED_VALUE"""),1.0)</f>
        <v>1</v>
      </c>
    </row>
    <row r="11645">
      <c r="A11645" s="178" t="str">
        <f>IFERROR(__xludf.DUMMYFUNCTION("""COMPUTED_VALUE"""),"ITBISA-SOCKET-IC-DIP8-NARROW")</f>
        <v>ITBISA-SOCKET-IC-DIP8-NARROW</v>
      </c>
      <c r="B11645" s="266">
        <f>IFERROR(__xludf.DUMMYFUNCTION("""COMPUTED_VALUE"""),45204.0)</f>
        <v>45204</v>
      </c>
      <c r="C11645" s="266" t="str">
        <f>IFERROR(__xludf.DUMMYFUNCTION("""COMPUTED_VALUE"""),"KERTASARI CIAMIS")</f>
        <v>KERTASARI CIAMIS</v>
      </c>
      <c r="D11645" s="186">
        <f>IFERROR(__xludf.DUMMYFUNCTION("""COMPUTED_VALUE"""),45.0)</f>
        <v>45</v>
      </c>
    </row>
    <row r="11646">
      <c r="A11646" s="178" t="str">
        <f>IFERROR(__xludf.DUMMYFUNCTION("""COMPUTED_VALUE"""),"ITBISA-SOCKET-IC-DIP8-NARROW")</f>
        <v>ITBISA-SOCKET-IC-DIP8-NARROW</v>
      </c>
      <c r="B11646" s="266">
        <f>IFERROR(__xludf.DUMMYFUNCTION("""COMPUTED_VALUE"""),45204.0)</f>
        <v>45204</v>
      </c>
      <c r="C11646" s="266" t="str">
        <f>IFERROR(__xludf.DUMMYFUNCTION("""COMPUTED_VALUE"""),"KYAI KONTONG")</f>
        <v>KYAI KONTONG</v>
      </c>
      <c r="D11646" s="186">
        <f>IFERROR(__xludf.DUMMYFUNCTION("""COMPUTED_VALUE"""),100.0)</f>
        <v>100</v>
      </c>
    </row>
    <row r="11647">
      <c r="A11647" s="178" t="str">
        <f>IFERROR(__xludf.DUMMYFUNCTION("""COMPUTED_VALUE"""),"ITBISA-SOCKET-IC-DIP8-NARROW")</f>
        <v>ITBISA-SOCKET-IC-DIP8-NARROW</v>
      </c>
      <c r="B11647" s="266">
        <f>IFERROR(__xludf.DUMMYFUNCTION("""COMPUTED_VALUE"""),45209.0)</f>
        <v>45209</v>
      </c>
      <c r="C11647" s="266" t="str">
        <f>IFERROR(__xludf.DUMMYFUNCTION("""COMPUTED_VALUE"""),"KYAI KONTONG")</f>
        <v>KYAI KONTONG</v>
      </c>
      <c r="D11647" s="186">
        <f>IFERROR(__xludf.DUMMYFUNCTION("""COMPUTED_VALUE"""),30.0)</f>
        <v>30</v>
      </c>
    </row>
    <row r="11648">
      <c r="A11648" s="178" t="str">
        <f>IFERROR(__xludf.DUMMYFUNCTION("""COMPUTED_VALUE"""),"ITBISA-SOCKET-IC-DIP8-NARROW")</f>
        <v>ITBISA-SOCKET-IC-DIP8-NARROW</v>
      </c>
      <c r="B11648" s="266">
        <f>IFERROR(__xludf.DUMMYFUNCTION("""COMPUTED_VALUE"""),45209.0)</f>
        <v>45209</v>
      </c>
      <c r="C11648" s="266" t="str">
        <f>IFERROR(__xludf.DUMMYFUNCTION("""COMPUTED_VALUE"""),"KYAI KONTONG")</f>
        <v>KYAI KONTONG</v>
      </c>
      <c r="D11648" s="186">
        <f>IFERROR(__xludf.DUMMYFUNCTION("""COMPUTED_VALUE"""),35.0)</f>
        <v>35</v>
      </c>
    </row>
    <row r="11649">
      <c r="A11649" s="178" t="str">
        <f>IFERROR(__xludf.DUMMYFUNCTION("""COMPUTED_VALUE"""),"ITBISA-SOCKET-IC-DIP8-NARROW")</f>
        <v>ITBISA-SOCKET-IC-DIP8-NARROW</v>
      </c>
      <c r="B11649" s="266">
        <f>IFERROR(__xludf.DUMMYFUNCTION("""COMPUTED_VALUE"""),45211.0)</f>
        <v>45211</v>
      </c>
      <c r="C11649" s="266" t="str">
        <f>IFERROR(__xludf.DUMMYFUNCTION("""COMPUTED_VALUE"""),"KYAI KONTONG")</f>
        <v>KYAI KONTONG</v>
      </c>
      <c r="D11649" s="186">
        <f>IFERROR(__xludf.DUMMYFUNCTION("""COMPUTED_VALUE"""),10.0)</f>
        <v>10</v>
      </c>
    </row>
    <row r="11650">
      <c r="A11650" s="178" t="str">
        <f>IFERROR(__xludf.DUMMYFUNCTION("""COMPUTED_VALUE"""),"ITBISA-SOCKET-IC-DIP8-NARROW")</f>
        <v>ITBISA-SOCKET-IC-DIP8-NARROW</v>
      </c>
      <c r="B11650" s="266">
        <f>IFERROR(__xludf.DUMMYFUNCTION("""COMPUTED_VALUE"""),45212.0)</f>
        <v>45212</v>
      </c>
      <c r="C11650" s="266" t="str">
        <f>IFERROR(__xludf.DUMMYFUNCTION("""COMPUTED_VALUE"""),"KYAI KONTONG")</f>
        <v>KYAI KONTONG</v>
      </c>
      <c r="D11650" s="186">
        <f>IFERROR(__xludf.DUMMYFUNCTION("""COMPUTED_VALUE"""),8.0)</f>
        <v>8</v>
      </c>
    </row>
    <row r="11651">
      <c r="A11651" s="178" t="str">
        <f>IFERROR(__xludf.DUMMYFUNCTION("""COMPUTED_VALUE"""),"ITBISA-SOCKET-IC-DIP8-NARROW")</f>
        <v>ITBISA-SOCKET-IC-DIP8-NARROW</v>
      </c>
      <c r="B11651" s="266">
        <f>IFERROR(__xludf.DUMMYFUNCTION("""COMPUTED_VALUE"""),45215.0)</f>
        <v>45215</v>
      </c>
      <c r="C11651" s="266" t="str">
        <f>IFERROR(__xludf.DUMMYFUNCTION("""COMPUTED_VALUE"""),"KYAI KONTONG")</f>
        <v>KYAI KONTONG</v>
      </c>
      <c r="D11651" s="186">
        <f>IFERROR(__xludf.DUMMYFUNCTION("""COMPUTED_VALUE"""),20.0)</f>
        <v>20</v>
      </c>
    </row>
    <row r="11652">
      <c r="A11652" s="178" t="str">
        <f>IFERROR(__xludf.DUMMYFUNCTION("""COMPUTED_VALUE"""),"ITBISA-SOCKET-IC-DIP8-NARROW")</f>
        <v>ITBISA-SOCKET-IC-DIP8-NARROW</v>
      </c>
      <c r="B11652" s="266">
        <f>IFERROR(__xludf.DUMMYFUNCTION("""COMPUTED_VALUE"""),45216.0)</f>
        <v>45216</v>
      </c>
      <c r="C11652" s="266" t="str">
        <f>IFERROR(__xludf.DUMMYFUNCTION("""COMPUTED_VALUE"""),"KYAI KONTONG")</f>
        <v>KYAI KONTONG</v>
      </c>
      <c r="D11652" s="186">
        <f>IFERROR(__xludf.DUMMYFUNCTION("""COMPUTED_VALUE"""),5.0)</f>
        <v>5</v>
      </c>
    </row>
    <row r="11653">
      <c r="A11653" s="178" t="str">
        <f>IFERROR(__xludf.DUMMYFUNCTION("""COMPUTED_VALUE"""),"ITBISA-SOCKET-IC-DIP8-NARROW")</f>
        <v>ITBISA-SOCKET-IC-DIP8-NARROW</v>
      </c>
      <c r="B11653" s="266">
        <f>IFERROR(__xludf.DUMMYFUNCTION("""COMPUTED_VALUE"""),45217.0)</f>
        <v>45217</v>
      </c>
      <c r="C11653" s="266" t="str">
        <f>IFERROR(__xludf.DUMMYFUNCTION("""COMPUTED_VALUE"""),"KYAI KONTONG")</f>
        <v>KYAI KONTONG</v>
      </c>
      <c r="D11653" s="186">
        <f>IFERROR(__xludf.DUMMYFUNCTION("""COMPUTED_VALUE"""),60.0)</f>
        <v>60</v>
      </c>
    </row>
    <row r="11654">
      <c r="A11654" s="178" t="str">
        <f>IFERROR(__xludf.DUMMYFUNCTION("""COMPUTED_VALUE"""),"ITBISA-SOCKET-IC-DIP8-NARROW")</f>
        <v>ITBISA-SOCKET-IC-DIP8-NARROW</v>
      </c>
      <c r="B11654" s="266">
        <f>IFERROR(__xludf.DUMMYFUNCTION("""COMPUTED_VALUE"""),45221.0)</f>
        <v>45221</v>
      </c>
      <c r="C11654" s="266" t="str">
        <f>IFERROR(__xludf.DUMMYFUNCTION("""COMPUTED_VALUE"""),"KYAI KONTONG")</f>
        <v>KYAI KONTONG</v>
      </c>
      <c r="D11654" s="186">
        <f>IFERROR(__xludf.DUMMYFUNCTION("""COMPUTED_VALUE"""),200.0)</f>
        <v>200</v>
      </c>
    </row>
    <row r="11655">
      <c r="A11655" s="178" t="str">
        <f>IFERROR(__xludf.DUMMYFUNCTION("""COMPUTED_VALUE"""),"ITBISA-SOCKET-IC-DIP8-NARROW")</f>
        <v>ITBISA-SOCKET-IC-DIP8-NARROW</v>
      </c>
      <c r="B11655" s="266">
        <f>IFERROR(__xludf.DUMMYFUNCTION("""COMPUTED_VALUE"""),45226.0)</f>
        <v>45226</v>
      </c>
      <c r="C11655" s="266" t="str">
        <f>IFERROR(__xludf.DUMMYFUNCTION("""COMPUTED_VALUE"""),"KYAI KONTONG")</f>
        <v>KYAI KONTONG</v>
      </c>
      <c r="D11655" s="186">
        <f>IFERROR(__xludf.DUMMYFUNCTION("""COMPUTED_VALUE"""),2.0)</f>
        <v>2</v>
      </c>
    </row>
    <row r="11656">
      <c r="A11656" s="178" t="str">
        <f>IFERROR(__xludf.DUMMYFUNCTION("""COMPUTED_VALUE"""),"ITBISA-SOCKET-IC-DIP8-NARROW")</f>
        <v>ITBISA-SOCKET-IC-DIP8-NARROW</v>
      </c>
      <c r="B11656" s="266">
        <f>IFERROR(__xludf.DUMMYFUNCTION("""COMPUTED_VALUE"""),45230.0)</f>
        <v>45230</v>
      </c>
      <c r="C11656" s="266" t="str">
        <f>IFERROR(__xludf.DUMMYFUNCTION("""COMPUTED_VALUE"""),"KYAI KONTONG")</f>
        <v>KYAI KONTONG</v>
      </c>
      <c r="D11656" s="186">
        <f>IFERROR(__xludf.DUMMYFUNCTION("""COMPUTED_VALUE"""),2.0)</f>
        <v>2</v>
      </c>
    </row>
    <row r="11657">
      <c r="A11657" s="178" t="str">
        <f>IFERROR(__xludf.DUMMYFUNCTION("""COMPUTED_VALUE"""),"ITBISA-SOCKET-IC-DIP8-NARROW")</f>
        <v>ITBISA-SOCKET-IC-DIP8-NARROW</v>
      </c>
      <c r="B11657" s="266">
        <f>IFERROR(__xludf.DUMMYFUNCTION("""COMPUTED_VALUE"""),45238.0)</f>
        <v>45238</v>
      </c>
      <c r="C11657" s="266" t="str">
        <f>IFERROR(__xludf.DUMMYFUNCTION("""COMPUTED_VALUE"""),"KYAI KONTONG")</f>
        <v>KYAI KONTONG</v>
      </c>
      <c r="D11657" s="186">
        <f>IFERROR(__xludf.DUMMYFUNCTION("""COMPUTED_VALUE"""),20.0)</f>
        <v>20</v>
      </c>
    </row>
    <row r="11658">
      <c r="A11658" s="178" t="str">
        <f>IFERROR(__xludf.DUMMYFUNCTION("""COMPUTED_VALUE"""),"ITBISA-SOCKET-IC-DIP8-NARROW")</f>
        <v>ITBISA-SOCKET-IC-DIP8-NARROW</v>
      </c>
      <c r="B11658" s="266">
        <f>IFERROR(__xludf.DUMMYFUNCTION("""COMPUTED_VALUE"""),45248.0)</f>
        <v>45248</v>
      </c>
      <c r="C11658" s="266" t="str">
        <f>IFERROR(__xludf.DUMMYFUNCTION("""COMPUTED_VALUE"""),"KERTASARI CIAMIS")</f>
        <v>KERTASARI CIAMIS</v>
      </c>
      <c r="D11658" s="186">
        <f>IFERROR(__xludf.DUMMYFUNCTION("""COMPUTED_VALUE"""),19.0)</f>
        <v>19</v>
      </c>
    </row>
    <row r="11659">
      <c r="A11659" s="178" t="str">
        <f>IFERROR(__xludf.DUMMYFUNCTION("""COMPUTED_VALUE"""),"ITBISA-SOCKET-IC-DIP8-NARROW")</f>
        <v>ITBISA-SOCKET-IC-DIP8-NARROW</v>
      </c>
      <c r="B11659" s="266">
        <f>IFERROR(__xludf.DUMMYFUNCTION("""COMPUTED_VALUE"""),45255.0)</f>
        <v>45255</v>
      </c>
      <c r="C11659" s="266" t="str">
        <f>IFERROR(__xludf.DUMMYFUNCTION("""COMPUTED_VALUE"""),"KYAI KONTONG")</f>
        <v>KYAI KONTONG</v>
      </c>
      <c r="D11659" s="186">
        <f>IFERROR(__xludf.DUMMYFUNCTION("""COMPUTED_VALUE"""),20.0)</f>
        <v>20</v>
      </c>
    </row>
    <row r="11660">
      <c r="A11660" s="178" t="str">
        <f>IFERROR(__xludf.DUMMYFUNCTION("""COMPUTED_VALUE"""),"ITBISA-SOCKET-IC-DIP8-NARROW")</f>
        <v>ITBISA-SOCKET-IC-DIP8-NARROW</v>
      </c>
      <c r="B11660" s="266">
        <f>IFERROR(__xludf.DUMMYFUNCTION("""COMPUTED_VALUE"""),45256.0)</f>
        <v>45256</v>
      </c>
      <c r="C11660" s="266" t="str">
        <f>IFERROR(__xludf.DUMMYFUNCTION("""COMPUTED_VALUE"""),"KYAI KONTONG")</f>
        <v>KYAI KONTONG</v>
      </c>
      <c r="D11660" s="186">
        <f>IFERROR(__xludf.DUMMYFUNCTION("""COMPUTED_VALUE"""),75.0)</f>
        <v>75</v>
      </c>
    </row>
    <row r="11661">
      <c r="A11661" s="178" t="str">
        <f>IFERROR(__xludf.DUMMYFUNCTION("""COMPUTED_VALUE"""),"ITBISA-SOCKET-IC-DIP8-NARROW")</f>
        <v>ITBISA-SOCKET-IC-DIP8-NARROW</v>
      </c>
      <c r="B11661" s="266">
        <f>IFERROR(__xludf.DUMMYFUNCTION("""COMPUTED_VALUE"""),45260.0)</f>
        <v>45260</v>
      </c>
      <c r="C11661" s="266" t="str">
        <f>IFERROR(__xludf.DUMMYFUNCTION("""COMPUTED_VALUE"""),"KERTASARI CIAMIS")</f>
        <v>KERTASARI CIAMIS</v>
      </c>
      <c r="D11661" s="186">
        <f>IFERROR(__xludf.DUMMYFUNCTION("""COMPUTED_VALUE"""),15.0)</f>
        <v>15</v>
      </c>
    </row>
    <row r="11662">
      <c r="A11662" s="178" t="str">
        <f>IFERROR(__xludf.DUMMYFUNCTION("""COMPUTED_VALUE"""),"ITBISA-SOCKET-IC-DIP8-NARROW")</f>
        <v>ITBISA-SOCKET-IC-DIP8-NARROW</v>
      </c>
      <c r="B11662" s="266">
        <f>IFERROR(__xludf.DUMMYFUNCTION("""COMPUTED_VALUE"""),45261.0)</f>
        <v>45261</v>
      </c>
      <c r="C11662" s="266" t="str">
        <f>IFERROR(__xludf.DUMMYFUNCTION("""COMPUTED_VALUE"""),"KYAI KONTONG")</f>
        <v>KYAI KONTONG</v>
      </c>
      <c r="D11662" s="186">
        <f>IFERROR(__xludf.DUMMYFUNCTION("""COMPUTED_VALUE"""),30.0)</f>
        <v>30</v>
      </c>
    </row>
    <row r="11663">
      <c r="A11663" s="178" t="str">
        <f>IFERROR(__xludf.DUMMYFUNCTION("""COMPUTED_VALUE"""),"ITBISA-SOCKET-IC-DIP8-NARROW")</f>
        <v>ITBISA-SOCKET-IC-DIP8-NARROW</v>
      </c>
      <c r="B11663" s="266">
        <f>IFERROR(__xludf.DUMMYFUNCTION("""COMPUTED_VALUE"""),45271.0)</f>
        <v>45271</v>
      </c>
      <c r="C11663" s="266" t="str">
        <f>IFERROR(__xludf.DUMMYFUNCTION("""COMPUTED_VALUE"""),"KERTASARI CIAMIS")</f>
        <v>KERTASARI CIAMIS</v>
      </c>
      <c r="D11663" s="186">
        <f>IFERROR(__xludf.DUMMYFUNCTION("""COMPUTED_VALUE"""),50.0)</f>
        <v>50</v>
      </c>
    </row>
    <row r="11664">
      <c r="A11664" s="178" t="str">
        <f>IFERROR(__xludf.DUMMYFUNCTION("""COMPUTED_VALUE"""),"ITBISA-SOCKET-IC-DIP8-NARROW")</f>
        <v>ITBISA-SOCKET-IC-DIP8-NARROW</v>
      </c>
      <c r="B11664" s="266">
        <f>IFERROR(__xludf.DUMMYFUNCTION("""COMPUTED_VALUE"""),45281.0)</f>
        <v>45281</v>
      </c>
      <c r="C11664" s="266" t="str">
        <f>IFERROR(__xludf.DUMMYFUNCTION("""COMPUTED_VALUE"""),"KYAI KONTONG")</f>
        <v>KYAI KONTONG</v>
      </c>
      <c r="D11664" s="186">
        <f>IFERROR(__xludf.DUMMYFUNCTION("""COMPUTED_VALUE"""),20.0)</f>
        <v>20</v>
      </c>
    </row>
    <row r="11665">
      <c r="A11665" s="178" t="str">
        <f>IFERROR(__xludf.DUMMYFUNCTION("""COMPUTED_VALUE"""),"ITBISA-SOCKET-IC-DIP8-NARROW")</f>
        <v>ITBISA-SOCKET-IC-DIP8-NARROW</v>
      </c>
      <c r="B11665" s="266">
        <f>IFERROR(__xludf.DUMMYFUNCTION("""COMPUTED_VALUE"""),45285.0)</f>
        <v>45285</v>
      </c>
      <c r="C11665" s="266" t="str">
        <f>IFERROR(__xludf.DUMMYFUNCTION("""COMPUTED_VALUE"""),"KYAI KONTONG")</f>
        <v>KYAI KONTONG</v>
      </c>
      <c r="D11665" s="186">
        <f>IFERROR(__xludf.DUMMYFUNCTION("""COMPUTED_VALUE"""),4.0)</f>
        <v>4</v>
      </c>
    </row>
    <row r="11666">
      <c r="A11666" s="178" t="str">
        <f>IFERROR(__xludf.DUMMYFUNCTION("""COMPUTED_VALUE"""),"ITBISA-SOCKET-IC-DIP8-NARROW")</f>
        <v>ITBISA-SOCKET-IC-DIP8-NARROW</v>
      </c>
      <c r="B11666" s="266">
        <f>IFERROR(__xludf.DUMMYFUNCTION("""COMPUTED_VALUE"""),45289.0)</f>
        <v>45289</v>
      </c>
      <c r="C11666" s="266" t="str">
        <f>IFERROR(__xludf.DUMMYFUNCTION("""COMPUTED_VALUE"""),"KERTASARI CIAMIS")</f>
        <v>KERTASARI CIAMIS</v>
      </c>
      <c r="D11666" s="186">
        <f>IFERROR(__xludf.DUMMYFUNCTION("""COMPUTED_VALUE"""),5.0)</f>
        <v>5</v>
      </c>
    </row>
    <row r="11667">
      <c r="A11667" s="178" t="str">
        <f>IFERROR(__xludf.DUMMYFUNCTION("""COMPUTED_VALUE"""),"ITBISA-SOCKET-IC-DIP8-NARROW")</f>
        <v>ITBISA-SOCKET-IC-DIP8-NARROW</v>
      </c>
      <c r="B11667" s="266">
        <f>IFERROR(__xludf.DUMMYFUNCTION("""COMPUTED_VALUE"""),45299.0)</f>
        <v>45299</v>
      </c>
      <c r="C11667" s="266" t="str">
        <f>IFERROR(__xludf.DUMMYFUNCTION("""COMPUTED_VALUE"""),"KYAI KONTONG")</f>
        <v>KYAI KONTONG</v>
      </c>
      <c r="D11667" s="186">
        <f>IFERROR(__xludf.DUMMYFUNCTION("""COMPUTED_VALUE"""),150.0)</f>
        <v>150</v>
      </c>
    </row>
    <row r="11668">
      <c r="A11668" s="178" t="str">
        <f>IFERROR(__xludf.DUMMYFUNCTION("""COMPUTED_VALUE"""),"ITBISA-SOCKET-IC-DIP8-NARROW")</f>
        <v>ITBISA-SOCKET-IC-DIP8-NARROW</v>
      </c>
      <c r="B11668" s="266">
        <f>IFERROR(__xludf.DUMMYFUNCTION("""COMPUTED_VALUE"""),45300.0)</f>
        <v>45300</v>
      </c>
      <c r="C11668" s="266" t="str">
        <f>IFERROR(__xludf.DUMMYFUNCTION("""COMPUTED_VALUE"""),"KYAI KONTONG")</f>
        <v>KYAI KONTONG</v>
      </c>
      <c r="D11668" s="186">
        <f>IFERROR(__xludf.DUMMYFUNCTION("""COMPUTED_VALUE"""),25.0)</f>
        <v>25</v>
      </c>
    </row>
    <row r="11669">
      <c r="A11669" s="178" t="str">
        <f>IFERROR(__xludf.DUMMYFUNCTION("""COMPUTED_VALUE"""),"ITBISA-SOCKET-IC-DIP8-NARROW")</f>
        <v>ITBISA-SOCKET-IC-DIP8-NARROW</v>
      </c>
      <c r="B11669" s="266">
        <f>IFERROR(__xludf.DUMMYFUNCTION("""COMPUTED_VALUE"""),45306.0)</f>
        <v>45306</v>
      </c>
      <c r="C11669" s="266" t="str">
        <f>IFERROR(__xludf.DUMMYFUNCTION("""COMPUTED_VALUE"""),"KERTASARI CIAMIS")</f>
        <v>KERTASARI CIAMIS</v>
      </c>
      <c r="D11669" s="186">
        <f>IFERROR(__xludf.DUMMYFUNCTION("""COMPUTED_VALUE"""),10.0)</f>
        <v>10</v>
      </c>
    </row>
    <row r="11670">
      <c r="A11670" s="178" t="str">
        <f>IFERROR(__xludf.DUMMYFUNCTION("""COMPUTED_VALUE"""),"ITBISA-SOCKET-IC-DIP8-NARROW")</f>
        <v>ITBISA-SOCKET-IC-DIP8-NARROW</v>
      </c>
      <c r="B11670" s="266">
        <f>IFERROR(__xludf.DUMMYFUNCTION("""COMPUTED_VALUE"""),45308.0)</f>
        <v>45308</v>
      </c>
      <c r="C11670" s="266" t="str">
        <f>IFERROR(__xludf.DUMMYFUNCTION("""COMPUTED_VALUE"""),"KERTASARI CIAMIS")</f>
        <v>KERTASARI CIAMIS</v>
      </c>
      <c r="D11670" s="186">
        <f>IFERROR(__xludf.DUMMYFUNCTION("""COMPUTED_VALUE"""),250.0)</f>
        <v>250</v>
      </c>
    </row>
    <row r="11671">
      <c r="A11671" s="178" t="str">
        <f>IFERROR(__xludf.DUMMYFUNCTION("""COMPUTED_VALUE"""),"ITBISA-SOCKET-IC-DIP8-NARROW")</f>
        <v>ITBISA-SOCKET-IC-DIP8-NARROW</v>
      </c>
      <c r="B11671" s="266">
        <f>IFERROR(__xludf.DUMMYFUNCTION("""COMPUTED_VALUE"""),45313.0)</f>
        <v>45313</v>
      </c>
      <c r="C11671" s="266" t="str">
        <f>IFERROR(__xludf.DUMMYFUNCTION("""COMPUTED_VALUE"""),"KYAI KONTONG")</f>
        <v>KYAI KONTONG</v>
      </c>
      <c r="D11671" s="186">
        <f>IFERROR(__xludf.DUMMYFUNCTION("""COMPUTED_VALUE"""),5.0)</f>
        <v>5</v>
      </c>
    </row>
    <row r="11672">
      <c r="A11672" s="178" t="str">
        <f>IFERROR(__xludf.DUMMYFUNCTION("""COMPUTED_VALUE"""),"ITBISA-SOCKET-IC-DIP8-NARROW")</f>
        <v>ITBISA-SOCKET-IC-DIP8-NARROW</v>
      </c>
      <c r="B11672" s="266">
        <f>IFERROR(__xludf.DUMMYFUNCTION("""COMPUTED_VALUE"""),45315.0)</f>
        <v>45315</v>
      </c>
      <c r="C11672" s="266" t="str">
        <f>IFERROR(__xludf.DUMMYFUNCTION("""COMPUTED_VALUE"""),"KERTASARI CIAMIS")</f>
        <v>KERTASARI CIAMIS</v>
      </c>
      <c r="D11672" s="186">
        <f>IFERROR(__xludf.DUMMYFUNCTION("""COMPUTED_VALUE"""),13.0)</f>
        <v>13</v>
      </c>
    </row>
    <row r="11673">
      <c r="A11673" s="178" t="str">
        <f>IFERROR(__xludf.DUMMYFUNCTION("""COMPUTED_VALUE"""),"ITBISA-SOCKET-IC-DIP8-NARROW")</f>
        <v>ITBISA-SOCKET-IC-DIP8-NARROW</v>
      </c>
      <c r="B11673" s="266">
        <f>IFERROR(__xludf.DUMMYFUNCTION("""COMPUTED_VALUE"""),45315.0)</f>
        <v>45315</v>
      </c>
      <c r="C11673" s="266" t="str">
        <f>IFERROR(__xludf.DUMMYFUNCTION("""COMPUTED_VALUE"""),"KYAI KONTONG")</f>
        <v>KYAI KONTONG</v>
      </c>
      <c r="D11673" s="186">
        <f>IFERROR(__xludf.DUMMYFUNCTION("""COMPUTED_VALUE"""),300.0)</f>
        <v>300</v>
      </c>
    </row>
    <row r="11674">
      <c r="A11674" s="178" t="str">
        <f>IFERROR(__xludf.DUMMYFUNCTION("""COMPUTED_VALUE"""),"ITBISA-SOCKET-IC-DIP8-NARROW")</f>
        <v>ITBISA-SOCKET-IC-DIP8-NARROW</v>
      </c>
      <c r="B11674" s="266">
        <f>IFERROR(__xludf.DUMMYFUNCTION("""COMPUTED_VALUE"""),45324.0)</f>
        <v>45324</v>
      </c>
      <c r="C11674" s="266" t="str">
        <f>IFERROR(__xludf.DUMMYFUNCTION("""COMPUTED_VALUE"""),"KYAI KONTONG")</f>
        <v>KYAI KONTONG</v>
      </c>
      <c r="D11674" s="186">
        <f>IFERROR(__xludf.DUMMYFUNCTION("""COMPUTED_VALUE"""),12.0)</f>
        <v>12</v>
      </c>
    </row>
    <row r="11675">
      <c r="A11675" s="178" t="str">
        <f>IFERROR(__xludf.DUMMYFUNCTION("""COMPUTED_VALUE"""),"ITBISA-SOCKET-IC-DIP8-NARROW")</f>
        <v>ITBISA-SOCKET-IC-DIP8-NARROW</v>
      </c>
      <c r="B11675" s="266">
        <f>IFERROR(__xludf.DUMMYFUNCTION("""COMPUTED_VALUE"""),45324.0)</f>
        <v>45324</v>
      </c>
      <c r="C11675" s="266" t="str">
        <f>IFERROR(__xludf.DUMMYFUNCTION("""COMPUTED_VALUE"""),"KYAI KONTONG")</f>
        <v>KYAI KONTONG</v>
      </c>
      <c r="D11675" s="186">
        <f>IFERROR(__xludf.DUMMYFUNCTION("""COMPUTED_VALUE"""),400.0)</f>
        <v>400</v>
      </c>
    </row>
    <row r="11676">
      <c r="A11676" s="178" t="str">
        <f>IFERROR(__xludf.DUMMYFUNCTION("""COMPUTED_VALUE"""),"ITBISA-SOCKET-IC-DIP8-NARROW")</f>
        <v>ITBISA-SOCKET-IC-DIP8-NARROW</v>
      </c>
      <c r="B11676" s="266">
        <f>IFERROR(__xludf.DUMMYFUNCTION("""COMPUTED_VALUE"""),45328.0)</f>
        <v>45328</v>
      </c>
      <c r="C11676" s="266" t="str">
        <f>IFERROR(__xludf.DUMMYFUNCTION("""COMPUTED_VALUE"""),"KYAI KONTONG")</f>
        <v>KYAI KONTONG</v>
      </c>
      <c r="D11676" s="186">
        <f>IFERROR(__xludf.DUMMYFUNCTION("""COMPUTED_VALUE"""),75.0)</f>
        <v>75</v>
      </c>
    </row>
    <row r="11677">
      <c r="A11677" s="178" t="str">
        <f>IFERROR(__xludf.DUMMYFUNCTION("""COMPUTED_VALUE"""),"ITBISA-SOCKET-IC-DIP8-NARROW")</f>
        <v>ITBISA-SOCKET-IC-DIP8-NARROW</v>
      </c>
      <c r="B11677" s="266">
        <f>IFERROR(__xludf.DUMMYFUNCTION("""COMPUTED_VALUE"""),45330.0)</f>
        <v>45330</v>
      </c>
      <c r="C11677" s="266" t="str">
        <f>IFERROR(__xludf.DUMMYFUNCTION("""COMPUTED_VALUE"""),"KERTASARI CIAMIS")</f>
        <v>KERTASARI CIAMIS</v>
      </c>
      <c r="D11677" s="186">
        <f>IFERROR(__xludf.DUMMYFUNCTION("""COMPUTED_VALUE"""),2.0)</f>
        <v>2</v>
      </c>
    </row>
    <row r="11678">
      <c r="A11678" s="178" t="str">
        <f>IFERROR(__xludf.DUMMYFUNCTION("""COMPUTED_VALUE"""),"ITBISA-SOCKET-IC-DIP8-NARROW")</f>
        <v>ITBISA-SOCKET-IC-DIP8-NARROW</v>
      </c>
      <c r="B11678" s="266">
        <f>IFERROR(__xludf.DUMMYFUNCTION("""COMPUTED_VALUE"""),45341.0)</f>
        <v>45341</v>
      </c>
      <c r="C11678" s="266" t="str">
        <f>IFERROR(__xludf.DUMMYFUNCTION("""COMPUTED_VALUE"""),"KERTASARI CIAMIS")</f>
        <v>KERTASARI CIAMIS</v>
      </c>
      <c r="D11678" s="186">
        <f>IFERROR(__xludf.DUMMYFUNCTION("""COMPUTED_VALUE"""),90.0)</f>
        <v>90</v>
      </c>
    </row>
    <row r="11679">
      <c r="A11679" s="178" t="str">
        <f>IFERROR(__xludf.DUMMYFUNCTION("""COMPUTED_VALUE"""),"ITBISA-SOCKET-IC-DIP8-NARROW")</f>
        <v>ITBISA-SOCKET-IC-DIP8-NARROW</v>
      </c>
      <c r="B11679" s="266">
        <f>IFERROR(__xludf.DUMMYFUNCTION("""COMPUTED_VALUE"""),45347.0)</f>
        <v>45347</v>
      </c>
      <c r="C11679" s="266" t="str">
        <f>IFERROR(__xludf.DUMMYFUNCTION("""COMPUTED_VALUE"""),"KERTASARI CIAMIS")</f>
        <v>KERTASARI CIAMIS</v>
      </c>
      <c r="D11679" s="186">
        <f>IFERROR(__xludf.DUMMYFUNCTION("""COMPUTED_VALUE"""),5.0)</f>
        <v>5</v>
      </c>
    </row>
    <row r="11680">
      <c r="A11680" s="178" t="str">
        <f>IFERROR(__xludf.DUMMYFUNCTION("""COMPUTED_VALUE"""),"ITBISA-SOCKET-IC-DIP8-NARROW")</f>
        <v>ITBISA-SOCKET-IC-DIP8-NARROW</v>
      </c>
      <c r="B11680" s="266">
        <f>IFERROR(__xludf.DUMMYFUNCTION("""COMPUTED_VALUE"""),45372.0)</f>
        <v>45372</v>
      </c>
      <c r="C11680" s="266" t="str">
        <f>IFERROR(__xludf.DUMMYFUNCTION("""COMPUTED_VALUE"""),"KERTASARI CIAMIS")</f>
        <v>KERTASARI CIAMIS</v>
      </c>
      <c r="D11680" s="186">
        <f>IFERROR(__xludf.DUMMYFUNCTION("""COMPUTED_VALUE"""),40.0)</f>
        <v>40</v>
      </c>
    </row>
    <row r="11681">
      <c r="A11681" s="178" t="str">
        <f>IFERROR(__xludf.DUMMYFUNCTION("""COMPUTED_VALUE"""),"ITBISA-SOCKET-IC-DIP8-NARROW")</f>
        <v>ITBISA-SOCKET-IC-DIP8-NARROW</v>
      </c>
      <c r="B11681" s="266">
        <f>IFERROR(__xludf.DUMMYFUNCTION("""COMPUTED_VALUE"""),45373.0)</f>
        <v>45373</v>
      </c>
      <c r="C11681" s="266" t="str">
        <f>IFERROR(__xludf.DUMMYFUNCTION("""COMPUTED_VALUE"""),"KERTASARI CIAMIS")</f>
        <v>KERTASARI CIAMIS</v>
      </c>
      <c r="D11681" s="186">
        <f>IFERROR(__xludf.DUMMYFUNCTION("""COMPUTED_VALUE"""),60.0)</f>
        <v>60</v>
      </c>
    </row>
    <row r="11682">
      <c r="A11682" s="178" t="str">
        <f>IFERROR(__xludf.DUMMYFUNCTION("""COMPUTED_VALUE"""),"ITBISA-SOCKET-IC-DIP8-NARROW")</f>
        <v>ITBISA-SOCKET-IC-DIP8-NARROW</v>
      </c>
      <c r="B11682" s="266">
        <f>IFERROR(__xludf.DUMMYFUNCTION("""COMPUTED_VALUE"""),45374.0)</f>
        <v>45374</v>
      </c>
      <c r="C11682" s="266" t="str">
        <f>IFERROR(__xludf.DUMMYFUNCTION("""COMPUTED_VALUE"""),"KERTASARI CIAMIS")</f>
        <v>KERTASARI CIAMIS</v>
      </c>
      <c r="D11682" s="186">
        <f>IFERROR(__xludf.DUMMYFUNCTION("""COMPUTED_VALUE"""),350.0)</f>
        <v>350</v>
      </c>
    </row>
    <row r="11683">
      <c r="A11683" s="178" t="str">
        <f>IFERROR(__xludf.DUMMYFUNCTION("""COMPUTED_VALUE"""),"ITBISA-SOCKET-IC-DIP8-NARROW")</f>
        <v>ITBISA-SOCKET-IC-DIP8-NARROW</v>
      </c>
      <c r="B11683" s="266">
        <f>IFERROR(__xludf.DUMMYFUNCTION("""COMPUTED_VALUE"""),45374.0)</f>
        <v>45374</v>
      </c>
      <c r="C11683" s="266" t="str">
        <f>IFERROR(__xludf.DUMMYFUNCTION("""COMPUTED_VALUE"""),"KYAI KONTONG")</f>
        <v>KYAI KONTONG</v>
      </c>
      <c r="D11683" s="186">
        <f>IFERROR(__xludf.DUMMYFUNCTION("""COMPUTED_VALUE"""),60.0)</f>
        <v>60</v>
      </c>
    </row>
    <row r="11684">
      <c r="A11684" s="178" t="str">
        <f>IFERROR(__xludf.DUMMYFUNCTION("""COMPUTED_VALUE"""),"ITBISA-SOCKET-IC-DIP8-NARROW")</f>
        <v>ITBISA-SOCKET-IC-DIP8-NARROW</v>
      </c>
      <c r="B11684" s="266">
        <f>IFERROR(__xludf.DUMMYFUNCTION("""COMPUTED_VALUE"""),45384.0)</f>
        <v>45384</v>
      </c>
      <c r="C11684" s="266" t="str">
        <f>IFERROR(__xludf.DUMMYFUNCTION("""COMPUTED_VALUE"""),"KERTASARI CIAMIS")</f>
        <v>KERTASARI CIAMIS</v>
      </c>
      <c r="D11684" s="186">
        <f>IFERROR(__xludf.DUMMYFUNCTION("""COMPUTED_VALUE"""),100.0)</f>
        <v>100</v>
      </c>
    </row>
    <row r="11685">
      <c r="A11685" s="178" t="str">
        <f>IFERROR(__xludf.DUMMYFUNCTION("""COMPUTED_VALUE"""),"ITBISA-SOCKET-IC-DIP8-NARROW")</f>
        <v>ITBISA-SOCKET-IC-DIP8-NARROW</v>
      </c>
      <c r="B11685" s="266">
        <f>IFERROR(__xludf.DUMMYFUNCTION("""COMPUTED_VALUE"""),45393.0)</f>
        <v>45393</v>
      </c>
      <c r="C11685" s="266" t="str">
        <f>IFERROR(__xludf.DUMMYFUNCTION("""COMPUTED_VALUE"""),"KERTASARI CIAMIS")</f>
        <v>KERTASARI CIAMIS</v>
      </c>
      <c r="D11685" s="186">
        <f>IFERROR(__xludf.DUMMYFUNCTION("""COMPUTED_VALUE"""),10.0)</f>
        <v>10</v>
      </c>
    </row>
    <row r="11686">
      <c r="A11686" s="178" t="str">
        <f>IFERROR(__xludf.DUMMYFUNCTION("""COMPUTED_VALUE"""),"ITBISA-SOCKET-IC-DIP8-NARROW")</f>
        <v>ITBISA-SOCKET-IC-DIP8-NARROW</v>
      </c>
      <c r="B11686" s="266">
        <f>IFERROR(__xludf.DUMMYFUNCTION("""COMPUTED_VALUE"""),45396.0)</f>
        <v>45396</v>
      </c>
      <c r="C11686" s="266" t="str">
        <f>IFERROR(__xludf.DUMMYFUNCTION("""COMPUTED_VALUE"""),"KERTASARI CIAMIS")</f>
        <v>KERTASARI CIAMIS</v>
      </c>
      <c r="D11686" s="186">
        <f>IFERROR(__xludf.DUMMYFUNCTION("""COMPUTED_VALUE"""),60.0)</f>
        <v>60</v>
      </c>
    </row>
    <row r="11687">
      <c r="A11687" s="178" t="str">
        <f>IFERROR(__xludf.DUMMYFUNCTION("""COMPUTED_VALUE"""),"ITBISA-SOCKET-IC-DIP8-NARROW")</f>
        <v>ITBISA-SOCKET-IC-DIP8-NARROW</v>
      </c>
      <c r="B11687" s="266">
        <f>IFERROR(__xludf.DUMMYFUNCTION("""COMPUTED_VALUE"""),45410.0)</f>
        <v>45410</v>
      </c>
      <c r="C11687" s="266" t="str">
        <f>IFERROR(__xludf.DUMMYFUNCTION("""COMPUTED_VALUE"""),"KERTASARI CIAMIS")</f>
        <v>KERTASARI CIAMIS</v>
      </c>
      <c r="D11687" s="186">
        <f>IFERROR(__xludf.DUMMYFUNCTION("""COMPUTED_VALUE"""),16.0)</f>
        <v>16</v>
      </c>
    </row>
    <row r="11688">
      <c r="A11688" s="178" t="str">
        <f>IFERROR(__xludf.DUMMYFUNCTION("""COMPUTED_VALUE"""),"ITBISA-SOCKET-IC-DIP8-NARROW")</f>
        <v>ITBISA-SOCKET-IC-DIP8-NARROW</v>
      </c>
      <c r="B11688" s="266">
        <f>IFERROR(__xludf.DUMMYFUNCTION("""COMPUTED_VALUE"""),45410.0)</f>
        <v>45410</v>
      </c>
      <c r="C11688" s="266" t="str">
        <f>IFERROR(__xludf.DUMMYFUNCTION("""COMPUTED_VALUE"""),"KERTASARI CIAMIS")</f>
        <v>KERTASARI CIAMIS</v>
      </c>
      <c r="D11688" s="186">
        <f>IFERROR(__xludf.DUMMYFUNCTION("""COMPUTED_VALUE"""),200.0)</f>
        <v>200</v>
      </c>
    </row>
    <row r="11689">
      <c r="A11689" s="178" t="str">
        <f>IFERROR(__xludf.DUMMYFUNCTION("""COMPUTED_VALUE"""),"ITBISA-SOCKET-IC-DIP8-NARROW")</f>
        <v>ITBISA-SOCKET-IC-DIP8-NARROW</v>
      </c>
      <c r="B11689" s="266">
        <f>IFERROR(__xludf.DUMMYFUNCTION("""COMPUTED_VALUE"""),45412.0)</f>
        <v>45412</v>
      </c>
      <c r="C11689" s="266" t="str">
        <f>IFERROR(__xludf.DUMMYFUNCTION("""COMPUTED_VALUE"""),"KYAI KONTONG")</f>
        <v>KYAI KONTONG</v>
      </c>
      <c r="D11689" s="186">
        <f>IFERROR(__xludf.DUMMYFUNCTION("""COMPUTED_VALUE"""),20.0)</f>
        <v>20</v>
      </c>
    </row>
    <row r="11690">
      <c r="A11690" s="178" t="str">
        <f>IFERROR(__xludf.DUMMYFUNCTION("""COMPUTED_VALUE"""),"ITBISA-SOCKET-IC-DIP8-NARROW")</f>
        <v>ITBISA-SOCKET-IC-DIP8-NARROW</v>
      </c>
      <c r="B11690" s="266">
        <f>IFERROR(__xludf.DUMMYFUNCTION("""COMPUTED_VALUE"""),45432.0)</f>
        <v>45432</v>
      </c>
      <c r="C11690" s="266" t="str">
        <f>IFERROR(__xludf.DUMMYFUNCTION("""COMPUTED_VALUE"""),"KYAI KONTONG")</f>
        <v>KYAI KONTONG</v>
      </c>
      <c r="D11690" s="186">
        <f>IFERROR(__xludf.DUMMYFUNCTION("""COMPUTED_VALUE"""),20.0)</f>
        <v>20</v>
      </c>
    </row>
    <row r="11691">
      <c r="A11691" s="178" t="str">
        <f>IFERROR(__xludf.DUMMYFUNCTION("""COMPUTED_VALUE"""),"ITBISA-SOCKET-IC-DIP8-NARROW")</f>
        <v>ITBISA-SOCKET-IC-DIP8-NARROW</v>
      </c>
      <c r="B11691" s="266">
        <f>IFERROR(__xludf.DUMMYFUNCTION("""COMPUTED_VALUE"""),45437.0)</f>
        <v>45437</v>
      </c>
      <c r="C11691" s="266" t="str">
        <f>IFERROR(__xludf.DUMMYFUNCTION("""COMPUTED_VALUE"""),"KERTASARI CIAMIS")</f>
        <v>KERTASARI CIAMIS</v>
      </c>
      <c r="D11691" s="186">
        <f>IFERROR(__xludf.DUMMYFUNCTION("""COMPUTED_VALUE"""),200.0)</f>
        <v>200</v>
      </c>
    </row>
    <row r="11692">
      <c r="A11692" s="178" t="str">
        <f>IFERROR(__xludf.DUMMYFUNCTION("""COMPUTED_VALUE"""),"ITBISA-SOCKET-IC-DIP8-NARROW")</f>
        <v>ITBISA-SOCKET-IC-DIP8-NARROW</v>
      </c>
      <c r="B11692" s="266">
        <f>IFERROR(__xludf.DUMMYFUNCTION("""COMPUTED_VALUE"""),45438.0)</f>
        <v>45438</v>
      </c>
      <c r="C11692" s="266" t="str">
        <f>IFERROR(__xludf.DUMMYFUNCTION("""COMPUTED_VALUE"""),"KERTASARI CIAMIS")</f>
        <v>KERTASARI CIAMIS</v>
      </c>
      <c r="D11692" s="186">
        <f>IFERROR(__xludf.DUMMYFUNCTION("""COMPUTED_VALUE"""),5.0)</f>
        <v>5</v>
      </c>
    </row>
    <row r="11693">
      <c r="A11693" s="178" t="str">
        <f>IFERROR(__xludf.DUMMYFUNCTION("""COMPUTED_VALUE"""),"ITBISA-SOCKET-IC-DIP8-NARROW")</f>
        <v>ITBISA-SOCKET-IC-DIP8-NARROW</v>
      </c>
      <c r="B11693" s="266">
        <f>IFERROR(__xludf.DUMMYFUNCTION("""COMPUTED_VALUE"""),45438.0)</f>
        <v>45438</v>
      </c>
      <c r="C11693" s="266" t="str">
        <f>IFERROR(__xludf.DUMMYFUNCTION("""COMPUTED_VALUE"""),"KERTASARI CIAMIS")</f>
        <v>KERTASARI CIAMIS</v>
      </c>
      <c r="D11693" s="186">
        <f>IFERROR(__xludf.DUMMYFUNCTION("""COMPUTED_VALUE"""),60.0)</f>
        <v>60</v>
      </c>
    </row>
    <row r="11694">
      <c r="A11694" s="178" t="str">
        <f>IFERROR(__xludf.DUMMYFUNCTION("""COMPUTED_VALUE"""),"ITBISA-SOCKET-IC-DIP8-NARROW")</f>
        <v>ITBISA-SOCKET-IC-DIP8-NARROW</v>
      </c>
      <c r="B11694" s="266">
        <f>IFERROR(__xludf.DUMMYFUNCTION("""COMPUTED_VALUE"""),45443.0)</f>
        <v>45443</v>
      </c>
      <c r="C11694" s="266" t="str">
        <f>IFERROR(__xludf.DUMMYFUNCTION("""COMPUTED_VALUE"""),"KERTASARI CIAMIS")</f>
        <v>KERTASARI CIAMIS</v>
      </c>
      <c r="D11694" s="186">
        <f>IFERROR(__xludf.DUMMYFUNCTION("""COMPUTED_VALUE"""),40.0)</f>
        <v>40</v>
      </c>
    </row>
    <row r="11695">
      <c r="A11695" s="178" t="str">
        <f>IFERROR(__xludf.DUMMYFUNCTION("""COMPUTED_VALUE"""),"ITBISA-SOCKET-IC-DIP8-NARROW")</f>
        <v>ITBISA-SOCKET-IC-DIP8-NARROW</v>
      </c>
      <c r="B11695" s="266">
        <f>IFERROR(__xludf.DUMMYFUNCTION("""COMPUTED_VALUE"""),45445.0)</f>
        <v>45445</v>
      </c>
      <c r="C11695" s="266" t="str">
        <f>IFERROR(__xludf.DUMMYFUNCTION("""COMPUTED_VALUE"""),"KERTASARI CIAMIS")</f>
        <v>KERTASARI CIAMIS</v>
      </c>
      <c r="D11695" s="186">
        <f>IFERROR(__xludf.DUMMYFUNCTION("""COMPUTED_VALUE"""),42.0)</f>
        <v>42</v>
      </c>
    </row>
    <row r="11696">
      <c r="A11696" s="178" t="str">
        <f>IFERROR(__xludf.DUMMYFUNCTION("""COMPUTED_VALUE"""),"ITBISA-SOCKET-IC-DIP8-NARROW")</f>
        <v>ITBISA-SOCKET-IC-DIP8-NARROW</v>
      </c>
      <c r="B11696" s="266">
        <f>IFERROR(__xludf.DUMMYFUNCTION("""COMPUTED_VALUE"""),45446.0)</f>
        <v>45446</v>
      </c>
      <c r="C11696" s="266" t="str">
        <f>IFERROR(__xludf.DUMMYFUNCTION("""COMPUTED_VALUE"""),"KERTASARI CIAMIS")</f>
        <v>KERTASARI CIAMIS</v>
      </c>
      <c r="D11696" s="186">
        <f>IFERROR(__xludf.DUMMYFUNCTION("""COMPUTED_VALUE"""),10.0)</f>
        <v>10</v>
      </c>
    </row>
    <row r="11697">
      <c r="A11697" s="178" t="str">
        <f>IFERROR(__xludf.DUMMYFUNCTION("""COMPUTED_VALUE"""),"ITBISA-SOCKET-IC-DIP8-NARROW")</f>
        <v>ITBISA-SOCKET-IC-DIP8-NARROW</v>
      </c>
      <c r="B11697" s="266">
        <f>IFERROR(__xludf.DUMMYFUNCTION("""COMPUTED_VALUE"""),45449.0)</f>
        <v>45449</v>
      </c>
      <c r="C11697" s="266" t="str">
        <f>IFERROR(__xludf.DUMMYFUNCTION("""COMPUTED_VALUE"""),"KYAI KONTONG")</f>
        <v>KYAI KONTONG</v>
      </c>
      <c r="D11697" s="186">
        <f>IFERROR(__xludf.DUMMYFUNCTION("""COMPUTED_VALUE"""),6.0)</f>
        <v>6</v>
      </c>
    </row>
    <row r="11698">
      <c r="A11698" s="178" t="str">
        <f>IFERROR(__xludf.DUMMYFUNCTION("""COMPUTED_VALUE"""),"ITBISA-SOCKET-IC-DIP8-NARROW")</f>
        <v>ITBISA-SOCKET-IC-DIP8-NARROW</v>
      </c>
      <c r="B11698" s="266">
        <f>IFERROR(__xludf.DUMMYFUNCTION("""COMPUTED_VALUE"""),45453.0)</f>
        <v>45453</v>
      </c>
      <c r="C11698" s="266" t="str">
        <f>IFERROR(__xludf.DUMMYFUNCTION("""COMPUTED_VALUE"""),"KERTASARI CIAMIS")</f>
        <v>KERTASARI CIAMIS</v>
      </c>
      <c r="D11698" s="186">
        <f>IFERROR(__xludf.DUMMYFUNCTION("""COMPUTED_VALUE"""),42.0)</f>
        <v>42</v>
      </c>
    </row>
    <row r="11699">
      <c r="A11699" s="178" t="str">
        <f>IFERROR(__xludf.DUMMYFUNCTION("""COMPUTED_VALUE"""),"ITBISA-SOCKET-IC-DIP8-NARROW")</f>
        <v>ITBISA-SOCKET-IC-DIP8-NARROW</v>
      </c>
      <c r="B11699" s="266">
        <f>IFERROR(__xludf.DUMMYFUNCTION("""COMPUTED_VALUE"""),45456.0)</f>
        <v>45456</v>
      </c>
      <c r="C11699" s="266" t="str">
        <f>IFERROR(__xludf.DUMMYFUNCTION("""COMPUTED_VALUE"""),"KERTASARI CIAMIS")</f>
        <v>KERTASARI CIAMIS</v>
      </c>
      <c r="D11699" s="186">
        <f>IFERROR(__xludf.DUMMYFUNCTION("""COMPUTED_VALUE"""),100.0)</f>
        <v>100</v>
      </c>
    </row>
    <row r="11700">
      <c r="A11700" s="178" t="str">
        <f>IFERROR(__xludf.DUMMYFUNCTION("""COMPUTED_VALUE"""),"ITBISA-SOCKET-IC-DIP8-NARROW")</f>
        <v>ITBISA-SOCKET-IC-DIP8-NARROW</v>
      </c>
      <c r="B11700" s="266">
        <f>IFERROR(__xludf.DUMMYFUNCTION("""COMPUTED_VALUE"""),45467.0)</f>
        <v>45467</v>
      </c>
      <c r="C11700" s="266" t="str">
        <f>IFERROR(__xludf.DUMMYFUNCTION("""COMPUTED_VALUE"""),"KYAI KONTONG")</f>
        <v>KYAI KONTONG</v>
      </c>
      <c r="D11700" s="186">
        <f>IFERROR(__xludf.DUMMYFUNCTION("""COMPUTED_VALUE"""),10.0)</f>
        <v>10</v>
      </c>
    </row>
    <row r="11701">
      <c r="A11701" s="178" t="str">
        <f>IFERROR(__xludf.DUMMYFUNCTION("""COMPUTED_VALUE"""),"ITBISA-SOCKET-IC-DIP8-NARROW")</f>
        <v>ITBISA-SOCKET-IC-DIP8-NARROW</v>
      </c>
      <c r="B11701" s="266">
        <f>IFERROR(__xludf.DUMMYFUNCTION("""COMPUTED_VALUE"""),45467.0)</f>
        <v>45467</v>
      </c>
      <c r="C11701" s="266" t="str">
        <f>IFERROR(__xludf.DUMMYFUNCTION("""COMPUTED_VALUE"""),"KYAI KONTONG")</f>
        <v>KYAI KONTONG</v>
      </c>
      <c r="D11701" s="186">
        <f>IFERROR(__xludf.DUMMYFUNCTION("""COMPUTED_VALUE"""),10.0)</f>
        <v>10</v>
      </c>
    </row>
    <row r="11702">
      <c r="A11702" s="178" t="str">
        <f>IFERROR(__xludf.DUMMYFUNCTION("""COMPUTED_VALUE"""),"ITBISA-SOCKET-IC-DIP8-NARROW")</f>
        <v>ITBISA-SOCKET-IC-DIP8-NARROW</v>
      </c>
      <c r="B11702" s="266">
        <f>IFERROR(__xludf.DUMMYFUNCTION("""COMPUTED_VALUE"""),45472.0)</f>
        <v>45472</v>
      </c>
      <c r="C11702" s="266" t="str">
        <f>IFERROR(__xludf.DUMMYFUNCTION("""COMPUTED_VALUE"""),"KERTASARI CIAMIS")</f>
        <v>KERTASARI CIAMIS</v>
      </c>
      <c r="D11702" s="186">
        <f>IFERROR(__xludf.DUMMYFUNCTION("""COMPUTED_VALUE"""),5.0)</f>
        <v>5</v>
      </c>
    </row>
    <row r="11703">
      <c r="A11703" s="178" t="str">
        <f>IFERROR(__xludf.DUMMYFUNCTION("""COMPUTED_VALUE"""),"ITBISA-SOCKET-IC-DIP8-NARROW")</f>
        <v>ITBISA-SOCKET-IC-DIP8-NARROW</v>
      </c>
      <c r="B11703" s="266">
        <f>IFERROR(__xludf.DUMMYFUNCTION("""COMPUTED_VALUE"""),45475.0)</f>
        <v>45475</v>
      </c>
      <c r="C11703" s="266" t="str">
        <f>IFERROR(__xludf.DUMMYFUNCTION("""COMPUTED_VALUE"""),"KYAI KONTONG")</f>
        <v>KYAI KONTONG</v>
      </c>
      <c r="D11703" s="186">
        <f>IFERROR(__xludf.DUMMYFUNCTION("""COMPUTED_VALUE"""),5.0)</f>
        <v>5</v>
      </c>
    </row>
    <row r="11704">
      <c r="A11704" s="178" t="str">
        <f>IFERROR(__xludf.DUMMYFUNCTION("""COMPUTED_VALUE"""),"ITBISA-SOCKET-IC-DIP8-NARROW")</f>
        <v>ITBISA-SOCKET-IC-DIP8-NARROW</v>
      </c>
      <c r="B11704" s="266">
        <f>IFERROR(__xludf.DUMMYFUNCTION("""COMPUTED_VALUE"""),45480.0)</f>
        <v>45480</v>
      </c>
      <c r="C11704" s="266" t="str">
        <f>IFERROR(__xludf.DUMMYFUNCTION("""COMPUTED_VALUE"""),"KYAI KONTONG")</f>
        <v>KYAI KONTONG</v>
      </c>
      <c r="D11704" s="186">
        <f>IFERROR(__xludf.DUMMYFUNCTION("""COMPUTED_VALUE"""),30.0)</f>
        <v>30</v>
      </c>
    </row>
    <row r="11705">
      <c r="A11705" s="178" t="str">
        <f>IFERROR(__xludf.DUMMYFUNCTION("""COMPUTED_VALUE"""),"ITBISA-SOCKET-IC-DIP8-NARROW")</f>
        <v>ITBISA-SOCKET-IC-DIP8-NARROW</v>
      </c>
      <c r="B11705" s="266">
        <f>IFERROR(__xludf.DUMMYFUNCTION("""COMPUTED_VALUE"""),45481.0)</f>
        <v>45481</v>
      </c>
      <c r="C11705" s="266" t="str">
        <f>IFERROR(__xludf.DUMMYFUNCTION("""COMPUTED_VALUE"""),"KERTASARI CIAMIS")</f>
        <v>KERTASARI CIAMIS</v>
      </c>
      <c r="D11705" s="186">
        <f>IFERROR(__xludf.DUMMYFUNCTION("""COMPUTED_VALUE"""),60.0)</f>
        <v>60</v>
      </c>
    </row>
    <row r="11706">
      <c r="A11706" s="178" t="str">
        <f>IFERROR(__xludf.DUMMYFUNCTION("""COMPUTED_VALUE"""),"ITBISA-SOCKET-IC-DIP8-NARROW")</f>
        <v>ITBISA-SOCKET-IC-DIP8-NARROW</v>
      </c>
      <c r="B11706" s="266">
        <f>IFERROR(__xludf.DUMMYFUNCTION("""COMPUTED_VALUE"""),45483.0)</f>
        <v>45483</v>
      </c>
      <c r="C11706" s="266" t="str">
        <f>IFERROR(__xludf.DUMMYFUNCTION("""COMPUTED_VALUE"""),"KERTASARI CIAMIS")</f>
        <v>KERTASARI CIAMIS</v>
      </c>
      <c r="D11706" s="186">
        <f>IFERROR(__xludf.DUMMYFUNCTION("""COMPUTED_VALUE"""),30.0)</f>
        <v>30</v>
      </c>
    </row>
    <row r="11707">
      <c r="A11707" s="178" t="str">
        <f>IFERROR(__xludf.DUMMYFUNCTION("""COMPUTED_VALUE"""),"ITBISA-SOCKET-IC-DIP8-NARROW")</f>
        <v>ITBISA-SOCKET-IC-DIP8-NARROW</v>
      </c>
      <c r="B11707" s="266">
        <f>IFERROR(__xludf.DUMMYFUNCTION("""COMPUTED_VALUE"""),45489.0)</f>
        <v>45489</v>
      </c>
      <c r="C11707" s="266" t="str">
        <f>IFERROR(__xludf.DUMMYFUNCTION("""COMPUTED_VALUE"""),"KYAI KONTONG")</f>
        <v>KYAI KONTONG</v>
      </c>
      <c r="D11707" s="186">
        <f>IFERROR(__xludf.DUMMYFUNCTION("""COMPUTED_VALUE"""),10.0)</f>
        <v>10</v>
      </c>
    </row>
    <row r="11708">
      <c r="A11708" s="178" t="str">
        <f>IFERROR(__xludf.DUMMYFUNCTION("""COMPUTED_VALUE"""),"ITBISA-SOCKET-IC-DIP8-NARROW")</f>
        <v>ITBISA-SOCKET-IC-DIP8-NARROW</v>
      </c>
      <c r="B11708" s="266">
        <f>IFERROR(__xludf.DUMMYFUNCTION("""COMPUTED_VALUE"""),45493.0)</f>
        <v>45493</v>
      </c>
      <c r="C11708" s="266" t="str">
        <f>IFERROR(__xludf.DUMMYFUNCTION("""COMPUTED_VALUE"""),"KYAI KONTONG")</f>
        <v>KYAI KONTONG</v>
      </c>
      <c r="D11708" s="186">
        <f>IFERROR(__xludf.DUMMYFUNCTION("""COMPUTED_VALUE"""),5.0)</f>
        <v>5</v>
      </c>
    </row>
    <row r="11709">
      <c r="A11709" s="178" t="str">
        <f>IFERROR(__xludf.DUMMYFUNCTION("""COMPUTED_VALUE"""),"ITBISA-SOCKET-IC-DIP8-NARROW")</f>
        <v>ITBISA-SOCKET-IC-DIP8-NARROW</v>
      </c>
      <c r="B11709" s="266">
        <f>IFERROR(__xludf.DUMMYFUNCTION("""COMPUTED_VALUE"""),45505.0)</f>
        <v>45505</v>
      </c>
      <c r="C11709" s="266" t="str">
        <f>IFERROR(__xludf.DUMMYFUNCTION("""COMPUTED_VALUE"""),"KERTASARI CIAMIS")</f>
        <v>KERTASARI CIAMIS</v>
      </c>
      <c r="D11709" s="186">
        <f>IFERROR(__xludf.DUMMYFUNCTION("""COMPUTED_VALUE"""),60.0)</f>
        <v>60</v>
      </c>
    </row>
    <row r="11710">
      <c r="A11710" s="178" t="str">
        <f>IFERROR(__xludf.DUMMYFUNCTION("""COMPUTED_VALUE"""),"ITBISA-SOCKET-IC-DIP8-NARROW")</f>
        <v>ITBISA-SOCKET-IC-DIP8-NARROW</v>
      </c>
      <c r="B11710" s="266">
        <f>IFERROR(__xludf.DUMMYFUNCTION("""COMPUTED_VALUE"""),45508.0)</f>
        <v>45508</v>
      </c>
      <c r="C11710" s="266" t="str">
        <f>IFERROR(__xludf.DUMMYFUNCTION("""COMPUTED_VALUE"""),"KERTASARI CIAMIS")</f>
        <v>KERTASARI CIAMIS</v>
      </c>
      <c r="D11710" s="186">
        <f>IFERROR(__xludf.DUMMYFUNCTION("""COMPUTED_VALUE"""),2.0)</f>
        <v>2</v>
      </c>
    </row>
    <row r="11711">
      <c r="A11711" s="178" t="str">
        <f>IFERROR(__xludf.DUMMYFUNCTION("""COMPUTED_VALUE"""),"ITBISA-SOCKET-IC-DIP8-NARROW")</f>
        <v>ITBISA-SOCKET-IC-DIP8-NARROW</v>
      </c>
      <c r="B11711" s="266">
        <f>IFERROR(__xludf.DUMMYFUNCTION("""COMPUTED_VALUE"""),45510.0)</f>
        <v>45510</v>
      </c>
      <c r="C11711" s="266" t="str">
        <f>IFERROR(__xludf.DUMMYFUNCTION("""COMPUTED_VALUE"""),"KYAI KONTONG")</f>
        <v>KYAI KONTONG</v>
      </c>
      <c r="D11711" s="186">
        <f>IFERROR(__xludf.DUMMYFUNCTION("""COMPUTED_VALUE"""),200.0)</f>
        <v>200</v>
      </c>
    </row>
    <row r="11712">
      <c r="A11712" s="178" t="str">
        <f>IFERROR(__xludf.DUMMYFUNCTION("""COMPUTED_VALUE"""),"ITBISA-SOCKET-IC-DIP8-NARROW")</f>
        <v>ITBISA-SOCKET-IC-DIP8-NARROW</v>
      </c>
      <c r="B11712" s="266">
        <f>IFERROR(__xludf.DUMMYFUNCTION("""COMPUTED_VALUE"""),45512.0)</f>
        <v>45512</v>
      </c>
      <c r="C11712" s="266" t="str">
        <f>IFERROR(__xludf.DUMMYFUNCTION("""COMPUTED_VALUE"""),"KERTASARI CIAMIS")</f>
        <v>KERTASARI CIAMIS</v>
      </c>
      <c r="D11712" s="186">
        <f>IFERROR(__xludf.DUMMYFUNCTION("""COMPUTED_VALUE"""),37.0)</f>
        <v>37</v>
      </c>
    </row>
    <row r="11713">
      <c r="A11713" s="178" t="str">
        <f>IFERROR(__xludf.DUMMYFUNCTION("""COMPUTED_VALUE"""),"ITBISA-SOCKET-IC-DIP8-NARROW")</f>
        <v>ITBISA-SOCKET-IC-DIP8-NARROW</v>
      </c>
      <c r="B11713" s="266">
        <f>IFERROR(__xludf.DUMMYFUNCTION("""COMPUTED_VALUE"""),45513.0)</f>
        <v>45513</v>
      </c>
      <c r="C11713" s="266" t="str">
        <f>IFERROR(__xludf.DUMMYFUNCTION("""COMPUTED_VALUE"""),"KERTASARI CIAMIS")</f>
        <v>KERTASARI CIAMIS</v>
      </c>
      <c r="D11713" s="186">
        <f>IFERROR(__xludf.DUMMYFUNCTION("""COMPUTED_VALUE"""),10.0)</f>
        <v>10</v>
      </c>
    </row>
    <row r="11714">
      <c r="A11714" s="178" t="str">
        <f>IFERROR(__xludf.DUMMYFUNCTION("""COMPUTED_VALUE"""),"ITBISA-SOCKET-IC-DIP8-NARROW")</f>
        <v>ITBISA-SOCKET-IC-DIP8-NARROW</v>
      </c>
      <c r="B11714" s="266">
        <f>IFERROR(__xludf.DUMMYFUNCTION("""COMPUTED_VALUE"""),45520.0)</f>
        <v>45520</v>
      </c>
      <c r="C11714" s="266" t="str">
        <f>IFERROR(__xludf.DUMMYFUNCTION("""COMPUTED_VALUE"""),"KERTASARI CIAMIS")</f>
        <v>KERTASARI CIAMIS</v>
      </c>
      <c r="D11714" s="186">
        <f>IFERROR(__xludf.DUMMYFUNCTION("""COMPUTED_VALUE"""),10.0)</f>
        <v>10</v>
      </c>
    </row>
    <row r="11715">
      <c r="A11715" s="178" t="str">
        <f>IFERROR(__xludf.DUMMYFUNCTION("""COMPUTED_VALUE"""),"ITBISA-SOCKET-IC-DIP8-NARROW")</f>
        <v>ITBISA-SOCKET-IC-DIP8-NARROW</v>
      </c>
      <c r="B11715" s="266">
        <f>IFERROR(__xludf.DUMMYFUNCTION("""COMPUTED_VALUE"""),45531.0)</f>
        <v>45531</v>
      </c>
      <c r="C11715" s="266" t="str">
        <f>IFERROR(__xludf.DUMMYFUNCTION("""COMPUTED_VALUE"""),"KERTASARI CIAMIS")</f>
        <v>KERTASARI CIAMIS</v>
      </c>
      <c r="D11715" s="186">
        <f>IFERROR(__xludf.DUMMYFUNCTION("""COMPUTED_VALUE"""),40.0)</f>
        <v>40</v>
      </c>
    </row>
    <row r="11716">
      <c r="A11716" s="178" t="str">
        <f>IFERROR(__xludf.DUMMYFUNCTION("""COMPUTED_VALUE"""),"ITBISA-SOCKET-IC-DIP8-NARROW")</f>
        <v>ITBISA-SOCKET-IC-DIP8-NARROW</v>
      </c>
      <c r="B11716" s="266">
        <f>IFERROR(__xludf.DUMMYFUNCTION("""COMPUTED_VALUE"""),45531.0)</f>
        <v>45531</v>
      </c>
      <c r="C11716" s="266" t="str">
        <f>IFERROR(__xludf.DUMMYFUNCTION("""COMPUTED_VALUE"""),"KYAI KONTONG")</f>
        <v>KYAI KONTONG</v>
      </c>
      <c r="D11716" s="186">
        <f>IFERROR(__xludf.DUMMYFUNCTION("""COMPUTED_VALUE"""),10.0)</f>
        <v>10</v>
      </c>
    </row>
    <row r="11717">
      <c r="A11717" s="178" t="str">
        <f>IFERROR(__xludf.DUMMYFUNCTION("""COMPUTED_VALUE"""),"ITBISA-SOCKET-IC-DIP8-NARROW")</f>
        <v>ITBISA-SOCKET-IC-DIP8-NARROW</v>
      </c>
      <c r="B11717" s="266">
        <f>IFERROR(__xludf.DUMMYFUNCTION("""COMPUTED_VALUE"""),45532.0)</f>
        <v>45532</v>
      </c>
      <c r="C11717" s="266" t="str">
        <f>IFERROR(__xludf.DUMMYFUNCTION("""COMPUTED_VALUE"""),"KYAI KONTONG")</f>
        <v>KYAI KONTONG</v>
      </c>
      <c r="D11717" s="186">
        <f>IFERROR(__xludf.DUMMYFUNCTION("""COMPUTED_VALUE"""),10.0)</f>
        <v>10</v>
      </c>
    </row>
    <row r="11718">
      <c r="A11718" s="178" t="str">
        <f>IFERROR(__xludf.DUMMYFUNCTION("""COMPUTED_VALUE"""),"ITBISA-SOCKET-IC-DIP8-NARROW")</f>
        <v>ITBISA-SOCKET-IC-DIP8-NARROW</v>
      </c>
      <c r="B11718" s="266">
        <f>IFERROR(__xludf.DUMMYFUNCTION("""COMPUTED_VALUE"""),45545.0)</f>
        <v>45545</v>
      </c>
      <c r="C11718" s="266" t="str">
        <f>IFERROR(__xludf.DUMMYFUNCTION("""COMPUTED_VALUE"""),"KERTASARI CIAMIS")</f>
        <v>KERTASARI CIAMIS</v>
      </c>
      <c r="D11718" s="186">
        <f>IFERROR(__xludf.DUMMYFUNCTION("""COMPUTED_VALUE"""),60.0)</f>
        <v>60</v>
      </c>
    </row>
    <row r="11719">
      <c r="A11719" s="178" t="str">
        <f>IFERROR(__xludf.DUMMYFUNCTION("""COMPUTED_VALUE"""),"ITBISA-SOCKET-IC-DIP8-NARROW")</f>
        <v>ITBISA-SOCKET-IC-DIP8-NARROW</v>
      </c>
      <c r="B11719" s="266">
        <f>IFERROR(__xludf.DUMMYFUNCTION("""COMPUTED_VALUE"""),45587.0)</f>
        <v>45587</v>
      </c>
      <c r="C11719" s="266" t="str">
        <f>IFERROR(__xludf.DUMMYFUNCTION("""COMPUTED_VALUE"""),"KERTASARI CIAMIS")</f>
        <v>KERTASARI CIAMIS</v>
      </c>
      <c r="D11719" s="186">
        <f>IFERROR(__xludf.DUMMYFUNCTION("""COMPUTED_VALUE"""),20.0)</f>
        <v>20</v>
      </c>
    </row>
    <row r="11720">
      <c r="A11720" s="178" t="str">
        <f>IFERROR(__xludf.DUMMYFUNCTION("""COMPUTED_VALUE"""),"ITBISA-SOCKET-IC-DIP8-NARROW")</f>
        <v>ITBISA-SOCKET-IC-DIP8-NARROW</v>
      </c>
      <c r="B11720" s="266">
        <f>IFERROR(__xludf.DUMMYFUNCTION("""COMPUTED_VALUE"""),45626.0)</f>
        <v>45626</v>
      </c>
      <c r="C11720" s="266" t="str">
        <f>IFERROR(__xludf.DUMMYFUNCTION("""COMPUTED_VALUE"""),"KERTASARI CIAMIS")</f>
        <v>KERTASARI CIAMIS</v>
      </c>
      <c r="D11720" s="186">
        <f>IFERROR(__xludf.DUMMYFUNCTION("""COMPUTED_VALUE"""),10.0)</f>
        <v>10</v>
      </c>
    </row>
    <row r="11721">
      <c r="A11721" s="178" t="str">
        <f>IFERROR(__xludf.DUMMYFUNCTION("""COMPUTED_VALUE"""),"ITBISA-SOCKET-IC-DIP8-NARROW")</f>
        <v>ITBISA-SOCKET-IC-DIP8-NARROW</v>
      </c>
      <c r="B11721" s="266">
        <f>IFERROR(__xludf.DUMMYFUNCTION("""COMPUTED_VALUE"""),45645.0)</f>
        <v>45645</v>
      </c>
      <c r="C11721" s="266" t="str">
        <f>IFERROR(__xludf.DUMMYFUNCTION("""COMPUTED_VALUE"""),"KYAI KONTONG")</f>
        <v>KYAI KONTONG</v>
      </c>
      <c r="D11721" s="186">
        <f>IFERROR(__xludf.DUMMYFUNCTION("""COMPUTED_VALUE"""),10.0)</f>
        <v>10</v>
      </c>
    </row>
    <row r="11722">
      <c r="A11722" s="178" t="str">
        <f>IFERROR(__xludf.DUMMYFUNCTION("""COMPUTED_VALUE"""),"ITBISA-SOCKET-IC-DIP8-NARROW")</f>
        <v>ITBISA-SOCKET-IC-DIP8-NARROW</v>
      </c>
      <c r="B11722" s="266">
        <f>IFERROR(__xludf.DUMMYFUNCTION("""COMPUTED_VALUE"""),45670.0)</f>
        <v>45670</v>
      </c>
      <c r="C11722" s="266" t="str">
        <f>IFERROR(__xludf.DUMMYFUNCTION("""COMPUTED_VALUE"""),"KYAI KONTONG")</f>
        <v>KYAI KONTONG</v>
      </c>
      <c r="D11722" s="186">
        <f>IFERROR(__xludf.DUMMYFUNCTION("""COMPUTED_VALUE"""),20.0)</f>
        <v>20</v>
      </c>
    </row>
    <row r="11723">
      <c r="A11723" s="178" t="str">
        <f>IFERROR(__xludf.DUMMYFUNCTION("""COMPUTED_VALUE"""),"ITBISA-SOCKET-IC-DIP8-NARROW")</f>
        <v>ITBISA-SOCKET-IC-DIP8-NARROW</v>
      </c>
      <c r="B11723" s="266">
        <f>IFERROR(__xludf.DUMMYFUNCTION("""COMPUTED_VALUE"""),45701.0)</f>
        <v>45701</v>
      </c>
      <c r="C11723" s="266" t="str">
        <f>IFERROR(__xludf.DUMMYFUNCTION("""COMPUTED_VALUE"""),"KYAI KONTONG")</f>
        <v>KYAI KONTONG</v>
      </c>
      <c r="D11723" s="186">
        <f>IFERROR(__xludf.DUMMYFUNCTION("""COMPUTED_VALUE"""),10.0)</f>
        <v>10</v>
      </c>
    </row>
    <row r="11724">
      <c r="A11724" s="178" t="str">
        <f>IFERROR(__xludf.DUMMYFUNCTION("""COMPUTED_VALUE"""),"ITBISA-SOCKET-IC-DIP8-NARROW")</f>
        <v>ITBISA-SOCKET-IC-DIP8-NARROW</v>
      </c>
      <c r="B11724" s="266">
        <f>IFERROR(__xludf.DUMMYFUNCTION("""COMPUTED_VALUE"""),45704.0)</f>
        <v>45704</v>
      </c>
      <c r="C11724" s="266" t="str">
        <f>IFERROR(__xludf.DUMMYFUNCTION("""COMPUTED_VALUE"""),"KERTASARI CIAMIS")</f>
        <v>KERTASARI CIAMIS</v>
      </c>
      <c r="D11724" s="186">
        <f>IFERROR(__xludf.DUMMYFUNCTION("""COMPUTED_VALUE"""),100.0)</f>
        <v>100</v>
      </c>
    </row>
    <row r="11725">
      <c r="A11725" s="178" t="str">
        <f>IFERROR(__xludf.DUMMYFUNCTION("""COMPUTED_VALUE"""),"ITBISA-SOCKET-IC-DIP8-NARROW")</f>
        <v>ITBISA-SOCKET-IC-DIP8-NARROW</v>
      </c>
      <c r="B11725" s="266">
        <f>IFERROR(__xludf.DUMMYFUNCTION("""COMPUTED_VALUE"""),45707.0)</f>
        <v>45707</v>
      </c>
      <c r="C11725" s="266" t="str">
        <f>IFERROR(__xludf.DUMMYFUNCTION("""COMPUTED_VALUE"""),"KYAI KONTONG")</f>
        <v>KYAI KONTONG</v>
      </c>
      <c r="D11725" s="186">
        <f>IFERROR(__xludf.DUMMYFUNCTION("""COMPUTED_VALUE"""),50.0)</f>
        <v>50</v>
      </c>
    </row>
    <row r="11726">
      <c r="A11726" s="178" t="str">
        <f>IFERROR(__xludf.DUMMYFUNCTION("""COMPUTED_VALUE"""),"ITBISA-SOCKET-IC-DIP8-NARROW")</f>
        <v>ITBISA-SOCKET-IC-DIP8-NARROW</v>
      </c>
      <c r="B11726" s="266">
        <f>IFERROR(__xludf.DUMMYFUNCTION("""COMPUTED_VALUE"""),45708.0)</f>
        <v>45708</v>
      </c>
      <c r="C11726" s="266" t="str">
        <f>IFERROR(__xludf.DUMMYFUNCTION("""COMPUTED_VALUE"""),"KYAI KONTONG")</f>
        <v>KYAI KONTONG</v>
      </c>
      <c r="D11726" s="186">
        <f>IFERROR(__xludf.DUMMYFUNCTION("""COMPUTED_VALUE"""),20.0)</f>
        <v>20</v>
      </c>
    </row>
    <row r="11727">
      <c r="A11727" s="178" t="str">
        <f>IFERROR(__xludf.DUMMYFUNCTION("""COMPUTED_VALUE"""),"ITBISA-SOCKET-IC-DIP8-NARROW")</f>
        <v>ITBISA-SOCKET-IC-DIP8-NARROW</v>
      </c>
      <c r="B11727" s="266">
        <f>IFERROR(__xludf.DUMMYFUNCTION("""COMPUTED_VALUE"""),45712.0)</f>
        <v>45712</v>
      </c>
      <c r="C11727" s="266" t="str">
        <f>IFERROR(__xludf.DUMMYFUNCTION("""COMPUTED_VALUE"""),"KERTASARI CIAMIS")</f>
        <v>KERTASARI CIAMIS</v>
      </c>
      <c r="D11727" s="186">
        <f>IFERROR(__xludf.DUMMYFUNCTION("""COMPUTED_VALUE"""),100.0)</f>
        <v>100</v>
      </c>
    </row>
    <row r="11728">
      <c r="A11728" s="178" t="str">
        <f>IFERROR(__xludf.DUMMYFUNCTION("""COMPUTED_VALUE"""),"ITBISA-SOCKET-IC-DIP8-NARROW")</f>
        <v>ITBISA-SOCKET-IC-DIP8-NARROW</v>
      </c>
      <c r="B11728" s="266">
        <f>IFERROR(__xludf.DUMMYFUNCTION("""COMPUTED_VALUE"""),45713.0)</f>
        <v>45713</v>
      </c>
      <c r="C11728" s="266" t="str">
        <f>IFERROR(__xludf.DUMMYFUNCTION("""COMPUTED_VALUE"""),"KERTASARI CIAMIS")</f>
        <v>KERTASARI CIAMIS</v>
      </c>
      <c r="D11728" s="186">
        <f>IFERROR(__xludf.DUMMYFUNCTION("""COMPUTED_VALUE"""),100.0)</f>
        <v>100</v>
      </c>
    </row>
    <row r="11729">
      <c r="A11729" s="178" t="str">
        <f>IFERROR(__xludf.DUMMYFUNCTION("""COMPUTED_VALUE"""),"ITBISA-SOCKET-IC-DIP8-NARROW")</f>
        <v>ITBISA-SOCKET-IC-DIP8-NARROW</v>
      </c>
      <c r="B11729" s="266">
        <f>IFERROR(__xludf.DUMMYFUNCTION("""COMPUTED_VALUE"""),45715.0)</f>
        <v>45715</v>
      </c>
      <c r="C11729" s="266" t="str">
        <f>IFERROR(__xludf.DUMMYFUNCTION("""COMPUTED_VALUE"""),"KYAI KONTONG")</f>
        <v>KYAI KONTONG</v>
      </c>
      <c r="D11729" s="186">
        <f>IFERROR(__xludf.DUMMYFUNCTION("""COMPUTED_VALUE"""),10.0)</f>
        <v>10</v>
      </c>
    </row>
    <row r="11730">
      <c r="A11730" s="178" t="str">
        <f>IFERROR(__xludf.DUMMYFUNCTION("""COMPUTED_VALUE"""),"ITBISA-SOCKET-IC-DIP8-NARROW")</f>
        <v>ITBISA-SOCKET-IC-DIP8-NARROW</v>
      </c>
      <c r="B11730" s="266">
        <f>IFERROR(__xludf.DUMMYFUNCTION("""COMPUTED_VALUE"""),45717.0)</f>
        <v>45717</v>
      </c>
      <c r="C11730" s="266" t="str">
        <f>IFERROR(__xludf.DUMMYFUNCTION("""COMPUTED_VALUE"""),"KERTASARI CIAMIS")</f>
        <v>KERTASARI CIAMIS</v>
      </c>
      <c r="D11730" s="186">
        <f>IFERROR(__xludf.DUMMYFUNCTION("""COMPUTED_VALUE"""),15.0)</f>
        <v>15</v>
      </c>
    </row>
    <row r="11731">
      <c r="A11731" s="178" t="str">
        <f>IFERROR(__xludf.DUMMYFUNCTION("""COMPUTED_VALUE"""),"ITBISA-SOCKET-IC-DIP8-NARROW")</f>
        <v>ITBISA-SOCKET-IC-DIP8-NARROW</v>
      </c>
      <c r="B11731" s="266">
        <f>IFERROR(__xludf.DUMMYFUNCTION("""COMPUTED_VALUE"""),45719.0)</f>
        <v>45719</v>
      </c>
      <c r="C11731" s="266" t="str">
        <f>IFERROR(__xludf.DUMMYFUNCTION("""COMPUTED_VALUE"""),"KERTASARI CIAMIS")</f>
        <v>KERTASARI CIAMIS</v>
      </c>
      <c r="D11731" s="186">
        <f>IFERROR(__xludf.DUMMYFUNCTION("""COMPUTED_VALUE"""),100.0)</f>
        <v>100</v>
      </c>
    </row>
    <row r="11732">
      <c r="A11732" s="178" t="str">
        <f>IFERROR(__xludf.DUMMYFUNCTION("""COMPUTED_VALUE"""),"ITBISA-SOCKET-IC-DIP8-NARROW")</f>
        <v>ITBISA-SOCKET-IC-DIP8-NARROW</v>
      </c>
      <c r="B11732" s="266">
        <f>IFERROR(__xludf.DUMMYFUNCTION("""COMPUTED_VALUE"""),45735.0)</f>
        <v>45735</v>
      </c>
      <c r="C11732" s="266" t="str">
        <f>IFERROR(__xludf.DUMMYFUNCTION("""COMPUTED_VALUE"""),"KERTASARI CIAMIS")</f>
        <v>KERTASARI CIAMIS</v>
      </c>
      <c r="D11732" s="186">
        <f>IFERROR(__xludf.DUMMYFUNCTION("""COMPUTED_VALUE"""),20.0)</f>
        <v>20</v>
      </c>
    </row>
    <row r="11733">
      <c r="A11733" s="178" t="str">
        <f>IFERROR(__xludf.DUMMYFUNCTION("""COMPUTED_VALUE"""),"ITBISA-SOCKET-IC-DIP8-NARROW")</f>
        <v>ITBISA-SOCKET-IC-DIP8-NARROW</v>
      </c>
      <c r="B11733" s="266">
        <f>IFERROR(__xludf.DUMMYFUNCTION("""COMPUTED_VALUE"""),45744.0)</f>
        <v>45744</v>
      </c>
      <c r="C11733" s="266" t="str">
        <f>IFERROR(__xludf.DUMMYFUNCTION("""COMPUTED_VALUE"""),"KERTASARI CIAMIS")</f>
        <v>KERTASARI CIAMIS</v>
      </c>
      <c r="D11733" s="186">
        <f>IFERROR(__xludf.DUMMYFUNCTION("""COMPUTED_VALUE"""),100.0)</f>
        <v>100</v>
      </c>
    </row>
    <row r="11734">
      <c r="A11734" s="178" t="str">
        <f>IFERROR(__xludf.DUMMYFUNCTION("""COMPUTED_VALUE"""),"ITBISA-SOCKET-IC-DIP8-NARROW")</f>
        <v>ITBISA-SOCKET-IC-DIP8-NARROW</v>
      </c>
      <c r="B11734" s="266">
        <f>IFERROR(__xludf.DUMMYFUNCTION("""COMPUTED_VALUE"""),45753.0)</f>
        <v>45753</v>
      </c>
      <c r="C11734" s="266" t="str">
        <f>IFERROR(__xludf.DUMMYFUNCTION("""COMPUTED_VALUE"""),"KERTASARI CIAMIS")</f>
        <v>KERTASARI CIAMIS</v>
      </c>
      <c r="D11734" s="186">
        <f>IFERROR(__xludf.DUMMYFUNCTION("""COMPUTED_VALUE"""),100.0)</f>
        <v>100</v>
      </c>
    </row>
    <row r="11735">
      <c r="A11735" s="178" t="str">
        <f>IFERROR(__xludf.DUMMYFUNCTION("""COMPUTED_VALUE"""),"ITBISA-SOCKET-IC-DIP8-NARROW")</f>
        <v>ITBISA-SOCKET-IC-DIP8-NARROW</v>
      </c>
      <c r="B11735" s="266">
        <f>IFERROR(__xludf.DUMMYFUNCTION("""COMPUTED_VALUE"""),45759.0)</f>
        <v>45759</v>
      </c>
      <c r="C11735" s="266" t="str">
        <f>IFERROR(__xludf.DUMMYFUNCTION("""COMPUTED_VALUE"""),"KERTASARI CIAMIS")</f>
        <v>KERTASARI CIAMIS</v>
      </c>
      <c r="D11735" s="186">
        <f>IFERROR(__xludf.DUMMYFUNCTION("""COMPUTED_VALUE"""),20.0)</f>
        <v>20</v>
      </c>
    </row>
    <row r="11736">
      <c r="A11736" s="178" t="str">
        <f>IFERROR(__xludf.DUMMYFUNCTION("""COMPUTED_VALUE"""),"ITBISA-SOCKET-IC-DIP8-NARROW")</f>
        <v>ITBISA-SOCKET-IC-DIP8-NARROW</v>
      </c>
      <c r="B11736" s="266">
        <f>IFERROR(__xludf.DUMMYFUNCTION("""COMPUTED_VALUE"""),45858.0)</f>
        <v>45858</v>
      </c>
      <c r="C11736" s="266" t="str">
        <f>IFERROR(__xludf.DUMMYFUNCTION("""COMPUTED_VALUE"""),"KERTASARI CIAMIS")</f>
        <v>KERTASARI CIAMIS</v>
      </c>
      <c r="D11736" s="186">
        <f>IFERROR(__xludf.DUMMYFUNCTION("""COMPUTED_VALUE"""),10.0)</f>
        <v>10</v>
      </c>
    </row>
    <row r="11737">
      <c r="A11737" s="178" t="str">
        <f>IFERROR(__xludf.DUMMYFUNCTION("""COMPUTED_VALUE"""),"ITBISA-SOCKET-IC-DIP8-NARROW")</f>
        <v>ITBISA-SOCKET-IC-DIP8-NARROW</v>
      </c>
      <c r="B11737" s="266">
        <f>IFERROR(__xludf.DUMMYFUNCTION("""COMPUTED_VALUE"""),45859.0)</f>
        <v>45859</v>
      </c>
      <c r="C11737" s="266" t="str">
        <f>IFERROR(__xludf.DUMMYFUNCTION("""COMPUTED_VALUE"""),"KERTASARI CIAMIS")</f>
        <v>KERTASARI CIAMIS</v>
      </c>
      <c r="D11737" s="186">
        <f>IFERROR(__xludf.DUMMYFUNCTION("""COMPUTED_VALUE"""),300.0)</f>
        <v>300</v>
      </c>
    </row>
    <row r="11738">
      <c r="A11738" s="178" t="str">
        <f>IFERROR(__xludf.DUMMYFUNCTION("""COMPUTED_VALUE"""),"ITBISA-SOCKET-IC-DIP8-NARROW")</f>
        <v>ITBISA-SOCKET-IC-DIP8-NARROW</v>
      </c>
      <c r="B11738" s="266">
        <f>IFERROR(__xludf.DUMMYFUNCTION("""COMPUTED_VALUE"""),45869.0)</f>
        <v>45869</v>
      </c>
      <c r="C11738" s="266" t="str">
        <f>IFERROR(__xludf.DUMMYFUNCTION("""COMPUTED_VALUE"""),"KYAI KONTONG")</f>
        <v>KYAI KONTONG</v>
      </c>
      <c r="D11738" s="186">
        <f>IFERROR(__xludf.DUMMYFUNCTION("""COMPUTED_VALUE"""),50.0)</f>
        <v>50</v>
      </c>
    </row>
    <row r="11739">
      <c r="A11739" s="178" t="str">
        <f>IFERROR(__xludf.DUMMYFUNCTION("""COMPUTED_VALUE"""),"ITBISA-SOCKET-IC-DIP8-NARROW")</f>
        <v>ITBISA-SOCKET-IC-DIP8-NARROW</v>
      </c>
      <c r="B11739" s="266">
        <f>IFERROR(__xludf.DUMMYFUNCTION("""COMPUTED_VALUE"""),45877.0)</f>
        <v>45877</v>
      </c>
      <c r="C11739" s="266" t="str">
        <f>IFERROR(__xludf.DUMMYFUNCTION("""COMPUTED_VALUE"""),"KYAI KONTONG")</f>
        <v>KYAI KONTONG</v>
      </c>
      <c r="D11739" s="186">
        <f>IFERROR(__xludf.DUMMYFUNCTION("""COMPUTED_VALUE"""),10.0)</f>
        <v>10</v>
      </c>
    </row>
    <row r="11740">
      <c r="A11740" s="178" t="str">
        <f>IFERROR(__xludf.DUMMYFUNCTION("""COMPUTED_VALUE"""),"ITBISA-SOCKET-IC-DIP8-NARROW")</f>
        <v>ITBISA-SOCKET-IC-DIP8-NARROW</v>
      </c>
      <c r="B11740" s="266">
        <f>IFERROR(__xludf.DUMMYFUNCTION("""COMPUTED_VALUE"""),45877.0)</f>
        <v>45877</v>
      </c>
      <c r="C11740" s="266" t="str">
        <f>IFERROR(__xludf.DUMMYFUNCTION("""COMPUTED_VALUE"""),"KYAI KONTONG")</f>
        <v>KYAI KONTONG</v>
      </c>
      <c r="D11740" s="186">
        <f>IFERROR(__xludf.DUMMYFUNCTION("""COMPUTED_VALUE"""),70.0)</f>
        <v>70</v>
      </c>
    </row>
    <row r="11741">
      <c r="A11741" s="178" t="str">
        <f>IFERROR(__xludf.DUMMYFUNCTION("""COMPUTED_VALUE"""),"ITBISA-SOCKET-IC-DIP8-NARROW")</f>
        <v>ITBISA-SOCKET-IC-DIP8-NARROW</v>
      </c>
      <c r="B11741" s="266">
        <f>IFERROR(__xludf.DUMMYFUNCTION("""COMPUTED_VALUE"""),45882.0)</f>
        <v>45882</v>
      </c>
      <c r="C11741" s="266" t="str">
        <f>IFERROR(__xludf.DUMMYFUNCTION("""COMPUTED_VALUE"""),"KYAI KONTONG")</f>
        <v>KYAI KONTONG</v>
      </c>
      <c r="D11741" s="186">
        <f>IFERROR(__xludf.DUMMYFUNCTION("""COMPUTED_VALUE"""),10.0)</f>
        <v>10</v>
      </c>
    </row>
    <row r="11742">
      <c r="A11742" s="178" t="str">
        <f>IFERROR(__xludf.DUMMYFUNCTION("""COMPUTED_VALUE"""),"ITBISA-SOCKET-IC-DIP8-NARROW")</f>
        <v>ITBISA-SOCKET-IC-DIP8-NARROW</v>
      </c>
      <c r="B11742" s="266">
        <f>IFERROR(__xludf.DUMMYFUNCTION("""COMPUTED_VALUE"""),45904.0)</f>
        <v>45904</v>
      </c>
      <c r="C11742" s="266" t="str">
        <f>IFERROR(__xludf.DUMMYFUNCTION("""COMPUTED_VALUE"""),"KYAI KONTONG")</f>
        <v>KYAI KONTONG</v>
      </c>
      <c r="D11742" s="186">
        <f>IFERROR(__xludf.DUMMYFUNCTION("""COMPUTED_VALUE"""),40.0)</f>
        <v>40</v>
      </c>
    </row>
    <row r="11743">
      <c r="A11743" s="178" t="str">
        <f>IFERROR(__xludf.DUMMYFUNCTION("""COMPUTED_VALUE"""),"ITBISA-SOCKET-IC-DIP8-NARROW")</f>
        <v>ITBISA-SOCKET-IC-DIP8-NARROW</v>
      </c>
      <c r="B11743" s="266">
        <f>IFERROR(__xludf.DUMMYFUNCTION("""COMPUTED_VALUE"""),45912.0)</f>
        <v>45912</v>
      </c>
      <c r="C11743" s="266" t="str">
        <f>IFERROR(__xludf.DUMMYFUNCTION("""COMPUTED_VALUE"""),"KERTASARI CIAMIS")</f>
        <v>KERTASARI CIAMIS</v>
      </c>
      <c r="D11743" s="186">
        <f>IFERROR(__xludf.DUMMYFUNCTION("""COMPUTED_VALUE"""),100.0)</f>
        <v>100</v>
      </c>
    </row>
    <row r="11744">
      <c r="A11744" s="178" t="str">
        <f>IFERROR(__xludf.DUMMYFUNCTION("""COMPUTED_VALUE"""),"ITBISA-SOCKET-IC-DIP8-NARROW")</f>
        <v>ITBISA-SOCKET-IC-DIP8-NARROW</v>
      </c>
      <c r="B11744" s="266">
        <f>IFERROR(__xludf.DUMMYFUNCTION("""COMPUTED_VALUE"""),45918.0)</f>
        <v>45918</v>
      </c>
      <c r="C11744" s="266" t="str">
        <f>IFERROR(__xludf.DUMMYFUNCTION("""COMPUTED_VALUE"""),"KERTASARI CIAMIS")</f>
        <v>KERTASARI CIAMIS</v>
      </c>
      <c r="D11744" s="186">
        <f>IFERROR(__xludf.DUMMYFUNCTION("""COMPUTED_VALUE"""),50.0)</f>
        <v>50</v>
      </c>
    </row>
    <row r="11745">
      <c r="A11745" s="178" t="str">
        <f>IFERROR(__xludf.DUMMYFUNCTION("""COMPUTED_VALUE"""),"ITBISA-SOCKET-IC-DIP8-NARROW")</f>
        <v>ITBISA-SOCKET-IC-DIP8-NARROW</v>
      </c>
      <c r="B11745" s="266">
        <f>IFERROR(__xludf.DUMMYFUNCTION("""COMPUTED_VALUE"""),45927.0)</f>
        <v>45927</v>
      </c>
      <c r="C11745" s="266" t="str">
        <f>IFERROR(__xludf.DUMMYFUNCTION("""COMPUTED_VALUE"""),"KYAI KONTONG")</f>
        <v>KYAI KONTONG</v>
      </c>
      <c r="D11745" s="186">
        <f>IFERROR(__xludf.DUMMYFUNCTION("""COMPUTED_VALUE"""),30.0)</f>
        <v>30</v>
      </c>
    </row>
    <row r="11746">
      <c r="A11746" s="178" t="str">
        <f>IFERROR(__xludf.DUMMYFUNCTION("""COMPUTED_VALUE"""),"ITBISA-SOCKET-IC-DIP8-NARROW")</f>
        <v>ITBISA-SOCKET-IC-DIP8-NARROW</v>
      </c>
      <c r="B11746" s="266">
        <f>IFERROR(__xludf.DUMMYFUNCTION("""COMPUTED_VALUE"""),45928.0)</f>
        <v>45928</v>
      </c>
      <c r="C11746" s="266" t="str">
        <f>IFERROR(__xludf.DUMMYFUNCTION("""COMPUTED_VALUE"""),"KERTASARI CIAMIS")</f>
        <v>KERTASARI CIAMIS</v>
      </c>
      <c r="D11746" s="186">
        <f>IFERROR(__xludf.DUMMYFUNCTION("""COMPUTED_VALUE"""),60.0)</f>
        <v>60</v>
      </c>
    </row>
    <row r="11747">
      <c r="A11747" s="178" t="str">
        <f>IFERROR(__xludf.DUMMYFUNCTION("""COMPUTED_VALUE"""),"ITBISA-SOCKET-IC-DIP8-NARROW")</f>
        <v>ITBISA-SOCKET-IC-DIP8-NARROW</v>
      </c>
      <c r="B11747" s="266">
        <f>IFERROR(__xludf.DUMMYFUNCTION("""COMPUTED_VALUE"""),45929.0)</f>
        <v>45929</v>
      </c>
      <c r="C11747" s="266" t="str">
        <f>IFERROR(__xludf.DUMMYFUNCTION("""COMPUTED_VALUE"""),"KERTASARI CIAMIS")</f>
        <v>KERTASARI CIAMIS</v>
      </c>
      <c r="D11747" s="186">
        <f>IFERROR(__xludf.DUMMYFUNCTION("""COMPUTED_VALUE"""),25.0)</f>
        <v>25</v>
      </c>
    </row>
    <row r="11748">
      <c r="A11748" s="178" t="str">
        <f>IFERROR(__xludf.DUMMYFUNCTION("""COMPUTED_VALUE"""),"ITBISA-SOCKET-IC-DIP8-NARROW")</f>
        <v>ITBISA-SOCKET-IC-DIP8-NARROW</v>
      </c>
      <c r="B11748" s="266">
        <f>IFERROR(__xludf.DUMMYFUNCTION("""COMPUTED_VALUE"""),45929.0)</f>
        <v>45929</v>
      </c>
      <c r="C11748" s="266" t="str">
        <f>IFERROR(__xludf.DUMMYFUNCTION("""COMPUTED_VALUE"""),"KERTASARI CIAMIS")</f>
        <v>KERTASARI CIAMIS</v>
      </c>
      <c r="D11748" s="186">
        <f>IFERROR(__xludf.DUMMYFUNCTION("""COMPUTED_VALUE"""),100.0)</f>
        <v>100</v>
      </c>
    </row>
    <row r="11749">
      <c r="A11749" s="178" t="str">
        <f>IFERROR(__xludf.DUMMYFUNCTION("""COMPUTED_VALUE"""),"ITBISA-SOCKET-IC-DIP8-NARROW")</f>
        <v>ITBISA-SOCKET-IC-DIP8-NARROW</v>
      </c>
      <c r="B11749" s="266">
        <f>IFERROR(__xludf.DUMMYFUNCTION("""COMPUTED_VALUE"""),45930.0)</f>
        <v>45930</v>
      </c>
      <c r="C11749" s="266" t="str">
        <f>IFERROR(__xludf.DUMMYFUNCTION("""COMPUTED_VALUE"""),"KERTASARI CIAMIS")</f>
        <v>KERTASARI CIAMIS</v>
      </c>
      <c r="D11749" s="186">
        <f>IFERROR(__xludf.DUMMYFUNCTION("""COMPUTED_VALUE"""),10.0)</f>
        <v>10</v>
      </c>
    </row>
    <row r="11750">
      <c r="A11750" s="178" t="str">
        <f>IFERROR(__xludf.DUMMYFUNCTION("""COMPUTED_VALUE"""),"ITBISA-SOCKET-IC-DIP8-NARROW")</f>
        <v>ITBISA-SOCKET-IC-DIP8-NARROW</v>
      </c>
      <c r="B11750" s="266">
        <f>IFERROR(__xludf.DUMMYFUNCTION("""COMPUTED_VALUE"""),45931.0)</f>
        <v>45931</v>
      </c>
      <c r="C11750" s="266" t="str">
        <f>IFERROR(__xludf.DUMMYFUNCTION("""COMPUTED_VALUE"""),"KYAI KONTONG")</f>
        <v>KYAI KONTONG</v>
      </c>
      <c r="D11750" s="186">
        <f>IFERROR(__xludf.DUMMYFUNCTION("""COMPUTED_VALUE"""),100.0)</f>
        <v>100</v>
      </c>
    </row>
    <row r="11751">
      <c r="A11751" s="178" t="str">
        <f>IFERROR(__xludf.DUMMYFUNCTION("""COMPUTED_VALUE"""),"ITBISA-SOCKET-IC-DIP8-NARROW")</f>
        <v>ITBISA-SOCKET-IC-DIP8-NARROW</v>
      </c>
      <c r="B11751" s="266">
        <f>IFERROR(__xludf.DUMMYFUNCTION("""COMPUTED_VALUE"""),45934.0)</f>
        <v>45934</v>
      </c>
      <c r="C11751" s="266" t="str">
        <f>IFERROR(__xludf.DUMMYFUNCTION("""COMPUTED_VALUE"""),"KYAI KONTONG")</f>
        <v>KYAI KONTONG</v>
      </c>
      <c r="D11751" s="186">
        <f>IFERROR(__xludf.DUMMYFUNCTION("""COMPUTED_VALUE"""),28.0)</f>
        <v>28</v>
      </c>
    </row>
    <row r="11752">
      <c r="A11752" s="178" t="str">
        <f>IFERROR(__xludf.DUMMYFUNCTION("""COMPUTED_VALUE"""),"ITBISA-SOCKET-IC-DIP8-NARROW")</f>
        <v>ITBISA-SOCKET-IC-DIP8-NARROW</v>
      </c>
      <c r="B11752" s="266">
        <f>IFERROR(__xludf.DUMMYFUNCTION("""COMPUTED_VALUE"""),45936.0)</f>
        <v>45936</v>
      </c>
      <c r="C11752" s="266" t="str">
        <f>IFERROR(__xludf.DUMMYFUNCTION("""COMPUTED_VALUE"""),"KERTASARI CIAMIS")</f>
        <v>KERTASARI CIAMIS</v>
      </c>
      <c r="D11752" s="186">
        <f>IFERROR(__xludf.DUMMYFUNCTION("""COMPUTED_VALUE"""),50.0)</f>
        <v>50</v>
      </c>
    </row>
    <row r="11753">
      <c r="A11753" s="178" t="str">
        <f>IFERROR(__xludf.DUMMYFUNCTION("""COMPUTED_VALUE"""),"ITBISA-SOCKET-IC-DIP8-NARROW")</f>
        <v>ITBISA-SOCKET-IC-DIP8-NARROW</v>
      </c>
      <c r="B11753" s="266">
        <f>IFERROR(__xludf.DUMMYFUNCTION("""COMPUTED_VALUE"""),45940.0)</f>
        <v>45940</v>
      </c>
      <c r="C11753" s="266" t="str">
        <f>IFERROR(__xludf.DUMMYFUNCTION("""COMPUTED_VALUE"""),"KYAI KONTONG")</f>
        <v>KYAI KONTONG</v>
      </c>
      <c r="D11753" s="186">
        <f>IFERROR(__xludf.DUMMYFUNCTION("""COMPUTED_VALUE"""),30.0)</f>
        <v>30</v>
      </c>
    </row>
    <row r="11754">
      <c r="A11754" s="178" t="str">
        <f>IFERROR(__xludf.DUMMYFUNCTION("""COMPUTED_VALUE"""),"ITBISA-SOCKET-IC-DIP8-NARROW")</f>
        <v>ITBISA-SOCKET-IC-DIP8-NARROW</v>
      </c>
      <c r="B11754" s="266">
        <f>IFERROR(__xludf.DUMMYFUNCTION("""COMPUTED_VALUE"""),45948.0)</f>
        <v>45948</v>
      </c>
      <c r="C11754" s="266" t="str">
        <f>IFERROR(__xludf.DUMMYFUNCTION("""COMPUTED_VALUE"""),"KYAI KONTONG")</f>
        <v>KYAI KONTONG</v>
      </c>
      <c r="D11754" s="186">
        <f>IFERROR(__xludf.DUMMYFUNCTION("""COMPUTED_VALUE"""),80.0)</f>
        <v>80</v>
      </c>
    </row>
    <row r="11755">
      <c r="A11755" s="178" t="str">
        <f>IFERROR(__xludf.DUMMYFUNCTION("""COMPUTED_VALUE"""),"ITBISA-SOCKET-IC-DIP8-NARROW")</f>
        <v>ITBISA-SOCKET-IC-DIP8-NARROW</v>
      </c>
      <c r="B11755" s="266">
        <f>IFERROR(__xludf.DUMMYFUNCTION("""COMPUTED_VALUE"""),45952.0)</f>
        <v>45952</v>
      </c>
      <c r="C11755" s="266" t="str">
        <f>IFERROR(__xludf.DUMMYFUNCTION("""COMPUTED_VALUE"""),"KYAI KONTONG")</f>
        <v>KYAI KONTONG</v>
      </c>
      <c r="D11755" s="186">
        <f>IFERROR(__xludf.DUMMYFUNCTION("""COMPUTED_VALUE"""),40.0)</f>
        <v>40</v>
      </c>
    </row>
    <row r="11756">
      <c r="A11756" s="178" t="str">
        <f>IFERROR(__xludf.DUMMYFUNCTION("""COMPUTED_VALUE"""),"ITBISA-SOCKET-IC-DIP8-NARROW")</f>
        <v>ITBISA-SOCKET-IC-DIP8-NARROW</v>
      </c>
      <c r="B11756" s="266">
        <f>IFERROR(__xludf.DUMMYFUNCTION("""COMPUTED_VALUE"""),45961.0)</f>
        <v>45961</v>
      </c>
      <c r="C11756" s="266" t="str">
        <f>IFERROR(__xludf.DUMMYFUNCTION("""COMPUTED_VALUE"""),"KYAI KONTONG")</f>
        <v>KYAI KONTONG</v>
      </c>
      <c r="D11756" s="186">
        <f>IFERROR(__xludf.DUMMYFUNCTION("""COMPUTED_VALUE"""),10.0)</f>
        <v>10</v>
      </c>
    </row>
    <row r="11757">
      <c r="A11757" s="178" t="str">
        <f>IFERROR(__xludf.DUMMYFUNCTION("""COMPUTED_VALUE"""),"ITBISA-SOCKET-IC-DIP8-NARROW")</f>
        <v>ITBISA-SOCKET-IC-DIP8-NARROW</v>
      </c>
      <c r="B11757" s="266">
        <f>IFERROR(__xludf.DUMMYFUNCTION("""COMPUTED_VALUE"""),45962.0)</f>
        <v>45962</v>
      </c>
      <c r="C11757" s="266" t="str">
        <f>IFERROR(__xludf.DUMMYFUNCTION("""COMPUTED_VALUE"""),"KERTASARI CIAMIS")</f>
        <v>KERTASARI CIAMIS</v>
      </c>
      <c r="D11757" s="186">
        <f>IFERROR(__xludf.DUMMYFUNCTION("""COMPUTED_VALUE"""),70.0)</f>
        <v>70</v>
      </c>
    </row>
    <row r="11758">
      <c r="A11758" s="178" t="str">
        <f>IFERROR(__xludf.DUMMYFUNCTION("""COMPUTED_VALUE"""),"ITBISA-SOCKET-IC-DIP8-NARROW")</f>
        <v>ITBISA-SOCKET-IC-DIP8-NARROW</v>
      </c>
      <c r="B11758" s="266">
        <f>IFERROR(__xludf.DUMMYFUNCTION("""COMPUTED_VALUE"""),45963.0)</f>
        <v>45963</v>
      </c>
      <c r="C11758" s="266" t="str">
        <f>IFERROR(__xludf.DUMMYFUNCTION("""COMPUTED_VALUE"""),"KYAI KONTONG")</f>
        <v>KYAI KONTONG</v>
      </c>
      <c r="D11758" s="186">
        <f>IFERROR(__xludf.DUMMYFUNCTION("""COMPUTED_VALUE"""),10.0)</f>
        <v>10</v>
      </c>
    </row>
    <row r="11759">
      <c r="A11759" s="178" t="str">
        <f>IFERROR(__xludf.DUMMYFUNCTION("""COMPUTED_VALUE"""),"ITBISA-SOCKET-IC-DIP8-NARROW")</f>
        <v>ITBISA-SOCKET-IC-DIP8-NARROW</v>
      </c>
      <c r="B11759" s="266">
        <f>IFERROR(__xludf.DUMMYFUNCTION("""COMPUTED_VALUE"""),45964.0)</f>
        <v>45964</v>
      </c>
      <c r="C11759" s="266" t="str">
        <f>IFERROR(__xludf.DUMMYFUNCTION("""COMPUTED_VALUE"""),"KYAI KONTONG")</f>
        <v>KYAI KONTONG</v>
      </c>
      <c r="D11759" s="186">
        <f>IFERROR(__xludf.DUMMYFUNCTION("""COMPUTED_VALUE"""),12.0)</f>
        <v>12</v>
      </c>
    </row>
    <row r="11760">
      <c r="A11760" s="178" t="str">
        <f>IFERROR(__xludf.DUMMYFUNCTION("""COMPUTED_VALUE"""),"ITBISA-SOCKET-IC-DIP8-NARROW")</f>
        <v>ITBISA-SOCKET-IC-DIP8-NARROW</v>
      </c>
      <c r="B11760" s="266">
        <f>IFERROR(__xludf.DUMMYFUNCTION("""COMPUTED_VALUE"""),45965.0)</f>
        <v>45965</v>
      </c>
      <c r="C11760" s="266" t="str">
        <f>IFERROR(__xludf.DUMMYFUNCTION("""COMPUTED_VALUE"""),"KYAI KONTONG")</f>
        <v>KYAI KONTONG</v>
      </c>
      <c r="D11760" s="186">
        <f>IFERROR(__xludf.DUMMYFUNCTION("""COMPUTED_VALUE"""),10.0)</f>
        <v>10</v>
      </c>
    </row>
    <row r="11761">
      <c r="A11761" s="178" t="str">
        <f>IFERROR(__xludf.DUMMYFUNCTION("""COMPUTED_VALUE"""),"ITBISA-SOCKET-IC-DIP8-NARROW")</f>
        <v>ITBISA-SOCKET-IC-DIP8-NARROW</v>
      </c>
      <c r="B11761" s="266">
        <f>IFERROR(__xludf.DUMMYFUNCTION("""COMPUTED_VALUE"""),45967.0)</f>
        <v>45967</v>
      </c>
      <c r="C11761" s="266" t="str">
        <f>IFERROR(__xludf.DUMMYFUNCTION("""COMPUTED_VALUE"""),"KERTASARI CIAMIS")</f>
        <v>KERTASARI CIAMIS</v>
      </c>
      <c r="D11761" s="186">
        <f>IFERROR(__xludf.DUMMYFUNCTION("""COMPUTED_VALUE"""),50.0)</f>
        <v>50</v>
      </c>
    </row>
    <row r="11762">
      <c r="A11762" s="178" t="str">
        <f>IFERROR(__xludf.DUMMYFUNCTION("""COMPUTED_VALUE"""),"ITBISA-SOCKET-IC-DIP8-NARROW")</f>
        <v>ITBISA-SOCKET-IC-DIP8-NARROW</v>
      </c>
      <c r="B11762" s="266">
        <f>IFERROR(__xludf.DUMMYFUNCTION("""COMPUTED_VALUE"""),45968.0)</f>
        <v>45968</v>
      </c>
      <c r="C11762" s="266" t="str">
        <f>IFERROR(__xludf.DUMMYFUNCTION("""COMPUTED_VALUE"""),"KERTASARI CIAMIS")</f>
        <v>KERTASARI CIAMIS</v>
      </c>
      <c r="D11762" s="186">
        <f>IFERROR(__xludf.DUMMYFUNCTION("""COMPUTED_VALUE"""),10.0)</f>
        <v>10</v>
      </c>
    </row>
    <row r="11763">
      <c r="A11763" s="178" t="str">
        <f>IFERROR(__xludf.DUMMYFUNCTION("""COMPUTED_VALUE"""),"ITBISA-SOCKET-IC-DIP8-NARROW")</f>
        <v>ITBISA-SOCKET-IC-DIP8-NARROW</v>
      </c>
      <c r="B11763" s="266">
        <f>IFERROR(__xludf.DUMMYFUNCTION("""COMPUTED_VALUE"""),45971.0)</f>
        <v>45971</v>
      </c>
      <c r="C11763" s="266" t="str">
        <f>IFERROR(__xludf.DUMMYFUNCTION("""COMPUTED_VALUE"""),"KYAI KONTONG")</f>
        <v>KYAI KONTONG</v>
      </c>
      <c r="D11763" s="186">
        <f>IFERROR(__xludf.DUMMYFUNCTION("""COMPUTED_VALUE"""),20.0)</f>
        <v>20</v>
      </c>
    </row>
    <row r="11764">
      <c r="A11764" s="178" t="str">
        <f>IFERROR(__xludf.DUMMYFUNCTION("""COMPUTED_VALUE"""),"ITBISA-SOCKET-IC-DIP8-NARROW")</f>
        <v>ITBISA-SOCKET-IC-DIP8-NARROW</v>
      </c>
      <c r="B11764" s="266">
        <f>IFERROR(__xludf.DUMMYFUNCTION("""COMPUTED_VALUE"""),45991.0)</f>
        <v>45991</v>
      </c>
      <c r="C11764" s="266" t="str">
        <f>IFERROR(__xludf.DUMMYFUNCTION("""COMPUTED_VALUE"""),"KYAI KONTONG")</f>
        <v>KYAI KONTONG</v>
      </c>
      <c r="D11764" s="186">
        <f>IFERROR(__xludf.DUMMYFUNCTION("""COMPUTED_VALUE"""),36.0)</f>
        <v>36</v>
      </c>
    </row>
    <row r="11765">
      <c r="A11765" s="178" t="str">
        <f>IFERROR(__xludf.DUMMYFUNCTION("""COMPUTED_VALUE"""),"ITBISA-SOCKET-IC-DIP8-NARROW")</f>
        <v>ITBISA-SOCKET-IC-DIP8-NARROW</v>
      </c>
      <c r="B11765" s="266">
        <f>IFERROR(__xludf.DUMMYFUNCTION("""COMPUTED_VALUE"""),45995.0)</f>
        <v>45995</v>
      </c>
      <c r="C11765" s="266" t="str">
        <f>IFERROR(__xludf.DUMMYFUNCTION("""COMPUTED_VALUE"""),"KYAI KONTONG")</f>
        <v>KYAI KONTONG</v>
      </c>
      <c r="D11765" s="186">
        <f>IFERROR(__xludf.DUMMYFUNCTION("""COMPUTED_VALUE"""),10.0)</f>
        <v>10</v>
      </c>
    </row>
    <row r="11766">
      <c r="A11766" s="178" t="str">
        <f>IFERROR(__xludf.DUMMYFUNCTION("""COMPUTED_VALUE"""),"ITBISA-SOCKET-IC-DIP8-NARROW")</f>
        <v>ITBISA-SOCKET-IC-DIP8-NARROW</v>
      </c>
      <c r="B11766" s="266">
        <f>IFERROR(__xludf.DUMMYFUNCTION("""COMPUTED_VALUE"""),45996.0)</f>
        <v>45996</v>
      </c>
      <c r="C11766" s="266" t="str">
        <f>IFERROR(__xludf.DUMMYFUNCTION("""COMPUTED_VALUE"""),"KERTASARI CIAMIS")</f>
        <v>KERTASARI CIAMIS</v>
      </c>
      <c r="D11766" s="186">
        <f>IFERROR(__xludf.DUMMYFUNCTION("""COMPUTED_VALUE"""),30.0)</f>
        <v>30</v>
      </c>
    </row>
    <row r="11767">
      <c r="A11767" s="178" t="str">
        <f>IFERROR(__xludf.DUMMYFUNCTION("""COMPUTED_VALUE"""),"ITBISA-SOCKET-IC-DIP8-NARROW")</f>
        <v>ITBISA-SOCKET-IC-DIP8-NARROW</v>
      </c>
      <c r="B11767" s="266">
        <f>IFERROR(__xludf.DUMMYFUNCTION("""COMPUTED_VALUE"""),45996.0)</f>
        <v>45996</v>
      </c>
      <c r="C11767" s="266" t="str">
        <f>IFERROR(__xludf.DUMMYFUNCTION("""COMPUTED_VALUE"""),"KERTASARI CIAMIS")</f>
        <v>KERTASARI CIAMIS</v>
      </c>
      <c r="D11767" s="186">
        <f>IFERROR(__xludf.DUMMYFUNCTION("""COMPUTED_VALUE"""),200.0)</f>
        <v>200</v>
      </c>
    </row>
    <row r="11768">
      <c r="A11768" s="178" t="str">
        <f>IFERROR(__xludf.DUMMYFUNCTION("""COMPUTED_VALUE"""),"ITBISA-SOCKET-IC-DIP8-NARROW")</f>
        <v>ITBISA-SOCKET-IC-DIP8-NARROW</v>
      </c>
      <c r="B11768" s="266">
        <f>IFERROR(__xludf.DUMMYFUNCTION("""COMPUTED_VALUE"""),45996.0)</f>
        <v>45996</v>
      </c>
      <c r="C11768" s="266" t="str">
        <f>IFERROR(__xludf.DUMMYFUNCTION("""COMPUTED_VALUE"""),"KYAI KONTONG")</f>
        <v>KYAI KONTONG</v>
      </c>
      <c r="D11768" s="186">
        <f>IFERROR(__xludf.DUMMYFUNCTION("""COMPUTED_VALUE"""),2.0)</f>
        <v>2</v>
      </c>
    </row>
    <row r="11769">
      <c r="A11769" s="178" t="str">
        <f>IFERROR(__xludf.DUMMYFUNCTION("""COMPUTED_VALUE"""),"ITBISA-SOCKET-IC-DIP8-NARROW")</f>
        <v>ITBISA-SOCKET-IC-DIP8-NARROW</v>
      </c>
      <c r="B11769" s="266">
        <f>IFERROR(__xludf.DUMMYFUNCTION("""COMPUTED_VALUE"""),45997.0)</f>
        <v>45997</v>
      </c>
      <c r="C11769" s="266" t="str">
        <f>IFERROR(__xludf.DUMMYFUNCTION("""COMPUTED_VALUE"""),"KYAI KONTONG")</f>
        <v>KYAI KONTONG</v>
      </c>
      <c r="D11769" s="186">
        <f>IFERROR(__xludf.DUMMYFUNCTION("""COMPUTED_VALUE"""),10.0)</f>
        <v>10</v>
      </c>
    </row>
    <row r="11770">
      <c r="A11770" s="178" t="str">
        <f>IFERROR(__xludf.DUMMYFUNCTION("""COMPUTED_VALUE"""),"ITBISA-SOCKET-IC-DIP8-NARROW")</f>
        <v>ITBISA-SOCKET-IC-DIP8-NARROW</v>
      </c>
      <c r="B11770" s="266">
        <f>IFERROR(__xludf.DUMMYFUNCTION("""COMPUTED_VALUE"""),46002.0)</f>
        <v>46002</v>
      </c>
      <c r="C11770" s="266" t="str">
        <f>IFERROR(__xludf.DUMMYFUNCTION("""COMPUTED_VALUE"""),"KYAI KONTONG")</f>
        <v>KYAI KONTONG</v>
      </c>
      <c r="D11770" s="186">
        <f>IFERROR(__xludf.DUMMYFUNCTION("""COMPUTED_VALUE"""),10.0)</f>
        <v>10</v>
      </c>
    </row>
    <row r="11771">
      <c r="A11771" s="178" t="str">
        <f>IFERROR(__xludf.DUMMYFUNCTION("""COMPUTED_VALUE"""),"ITBISA-SOCKET-IC-DIP8-NARROW")</f>
        <v>ITBISA-SOCKET-IC-DIP8-NARROW</v>
      </c>
      <c r="B11771" s="266">
        <f>IFERROR(__xludf.DUMMYFUNCTION("""COMPUTED_VALUE"""),46003.0)</f>
        <v>46003</v>
      </c>
      <c r="C11771" s="266" t="str">
        <f>IFERROR(__xludf.DUMMYFUNCTION("""COMPUTED_VALUE"""),"KYAI KONTONG")</f>
        <v>KYAI KONTONG</v>
      </c>
      <c r="D11771" s="186">
        <f>IFERROR(__xludf.DUMMYFUNCTION("""COMPUTED_VALUE"""),20.0)</f>
        <v>20</v>
      </c>
    </row>
    <row r="11772">
      <c r="A11772" s="178" t="str">
        <f>IFERROR(__xludf.DUMMYFUNCTION("""COMPUTED_VALUE"""),"ITBISA-SOCKET-IC-DIP8-NARROW")</f>
        <v>ITBISA-SOCKET-IC-DIP8-NARROW</v>
      </c>
      <c r="B11772" s="266">
        <f>IFERROR(__xludf.DUMMYFUNCTION("""COMPUTED_VALUE"""),46003.0)</f>
        <v>46003</v>
      </c>
      <c r="C11772" s="266" t="str">
        <f>IFERROR(__xludf.DUMMYFUNCTION("""COMPUTED_VALUE"""),"KYAI KONTONG")</f>
        <v>KYAI KONTONG</v>
      </c>
      <c r="D11772" s="186">
        <f>IFERROR(__xludf.DUMMYFUNCTION("""COMPUTED_VALUE"""),50.0)</f>
        <v>50</v>
      </c>
    </row>
    <row r="11773">
      <c r="A11773" s="178" t="str">
        <f>IFERROR(__xludf.DUMMYFUNCTION("""COMPUTED_VALUE"""),"ITBISA-SOCKET-IC-DIP8-NARROW")</f>
        <v>ITBISA-SOCKET-IC-DIP8-NARROW</v>
      </c>
      <c r="B11773" s="266">
        <f>IFERROR(__xludf.DUMMYFUNCTION("""COMPUTED_VALUE"""),46007.0)</f>
        <v>46007</v>
      </c>
      <c r="C11773" s="266" t="str">
        <f>IFERROR(__xludf.DUMMYFUNCTION("""COMPUTED_VALUE"""),"KYAI KONTONG")</f>
        <v>KYAI KONTONG</v>
      </c>
      <c r="D11773" s="186">
        <f>IFERROR(__xludf.DUMMYFUNCTION("""COMPUTED_VALUE"""),10.0)</f>
        <v>10</v>
      </c>
    </row>
    <row r="11774">
      <c r="A11774" s="178" t="str">
        <f>IFERROR(__xludf.DUMMYFUNCTION("""COMPUTED_VALUE"""),"ITBISA-SOCKET-IC-DIP8-NARROW")</f>
        <v>ITBISA-SOCKET-IC-DIP8-NARROW</v>
      </c>
      <c r="B11774" s="266">
        <f>IFERROR(__xludf.DUMMYFUNCTION("""COMPUTED_VALUE"""),46011.0)</f>
        <v>46011</v>
      </c>
      <c r="C11774" s="266" t="str">
        <f>IFERROR(__xludf.DUMMYFUNCTION("""COMPUTED_VALUE"""),"KYAI KONTONG")</f>
        <v>KYAI KONTONG</v>
      </c>
      <c r="D11774" s="186">
        <f>IFERROR(__xludf.DUMMYFUNCTION("""COMPUTED_VALUE"""),2.0)</f>
        <v>2</v>
      </c>
    </row>
    <row r="11775">
      <c r="A11775" s="178" t="str">
        <f>IFERROR(__xludf.DUMMYFUNCTION("""COMPUTED_VALUE"""),"ITBISA-SOCKET-IC-DIP8-NARROW")</f>
        <v>ITBISA-SOCKET-IC-DIP8-NARROW</v>
      </c>
      <c r="B11775" s="266">
        <f>IFERROR(__xludf.DUMMYFUNCTION("""COMPUTED_VALUE"""),46012.0)</f>
        <v>46012</v>
      </c>
      <c r="C11775" s="266" t="str">
        <f>IFERROR(__xludf.DUMMYFUNCTION("""COMPUTED_VALUE"""),"KYAI KONTONG")</f>
        <v>KYAI KONTONG</v>
      </c>
      <c r="D11775" s="186">
        <f>IFERROR(__xludf.DUMMYFUNCTION("""COMPUTED_VALUE"""),15.0)</f>
        <v>15</v>
      </c>
    </row>
    <row r="11776">
      <c r="A11776" s="178" t="str">
        <f>IFERROR(__xludf.DUMMYFUNCTION("""COMPUTED_VALUE"""),"ITBISA-SOCKET-IC-DIP8-NARROW")</f>
        <v>ITBISA-SOCKET-IC-DIP8-NARROW</v>
      </c>
      <c r="B11776" s="266">
        <f>IFERROR(__xludf.DUMMYFUNCTION("""COMPUTED_VALUE"""),46015.0)</f>
        <v>46015</v>
      </c>
      <c r="C11776" s="266" t="str">
        <f>IFERROR(__xludf.DUMMYFUNCTION("""COMPUTED_VALUE"""),"KYAI KONTONG")</f>
        <v>KYAI KONTONG</v>
      </c>
      <c r="D11776" s="186">
        <f>IFERROR(__xludf.DUMMYFUNCTION("""COMPUTED_VALUE"""),10.0)</f>
        <v>10</v>
      </c>
    </row>
    <row r="11777">
      <c r="A11777" s="178" t="str">
        <f>IFERROR(__xludf.DUMMYFUNCTION("""COMPUTED_VALUE"""),"ITBISA-SOCKET-IC-DIP8-NARROW")</f>
        <v>ITBISA-SOCKET-IC-DIP8-NARROW</v>
      </c>
      <c r="B11777" s="266">
        <f>IFERROR(__xludf.DUMMYFUNCTION("""COMPUTED_VALUE"""),46020.0)</f>
        <v>46020</v>
      </c>
      <c r="C11777" s="266" t="str">
        <f>IFERROR(__xludf.DUMMYFUNCTION("""COMPUTED_VALUE"""),"KYAI KONTONG")</f>
        <v>KYAI KONTONG</v>
      </c>
      <c r="D11777" s="186">
        <f>IFERROR(__xludf.DUMMYFUNCTION("""COMPUTED_VALUE"""),20.0)</f>
        <v>20</v>
      </c>
    </row>
    <row r="11778">
      <c r="A11778" s="178" t="str">
        <f>IFERROR(__xludf.DUMMYFUNCTION("""COMPUTED_VALUE"""),"ITBISA-SOCKET-IC-DIP8-NARROW")</f>
        <v>ITBISA-SOCKET-IC-DIP8-NARROW</v>
      </c>
      <c r="B11778" s="266">
        <f>IFERROR(__xludf.DUMMYFUNCTION("""COMPUTED_VALUE"""),46020.0)</f>
        <v>46020</v>
      </c>
      <c r="C11778" s="266" t="str">
        <f>IFERROR(__xludf.DUMMYFUNCTION("""COMPUTED_VALUE"""),"KYAI KONTONG")</f>
        <v>KYAI KONTONG</v>
      </c>
      <c r="D11778" s="186">
        <f>IFERROR(__xludf.DUMMYFUNCTION("""COMPUTED_VALUE"""),100.0)</f>
        <v>100</v>
      </c>
    </row>
    <row r="11779">
      <c r="A11779" s="178" t="str">
        <f>IFERROR(__xludf.DUMMYFUNCTION("""COMPUTED_VALUE"""),"ITBISA-SYAL")</f>
        <v>ITBISA-SYAL</v>
      </c>
      <c r="B11779" s="266">
        <f>IFERROR(__xludf.DUMMYFUNCTION("""COMPUTED_VALUE"""),43547.0)</f>
        <v>43547</v>
      </c>
      <c r="C11779" s="266" t="str">
        <f>IFERROR(__xludf.DUMMYFUNCTION("""COMPUTED_VALUE"""),"AVRG ITB")</f>
        <v>AVRG ITB</v>
      </c>
      <c r="D11779" s="186">
        <f>IFERROR(__xludf.DUMMYFUNCTION("""COMPUTED_VALUE"""),1.0)</f>
        <v>1</v>
      </c>
    </row>
    <row r="11780">
      <c r="A11780" s="178" t="str">
        <f>IFERROR(__xludf.DUMMYFUNCTION("""COMPUTED_VALUE"""),"ITBISA-TERMINAL-BLOCK-KF301-2P-BLUE")</f>
        <v>ITBISA-TERMINAL-BLOCK-KF301-2P-BLUE</v>
      </c>
      <c r="B11780" s="266">
        <f>IFERROR(__xludf.DUMMYFUNCTION("""COMPUTED_VALUE"""),45605.0)</f>
        <v>45605</v>
      </c>
      <c r="C11780" s="266" t="str">
        <f>IFERROR(__xludf.DUMMYFUNCTION("""COMPUTED_VALUE"""),"KERTASARI CIAMIS")</f>
        <v>KERTASARI CIAMIS</v>
      </c>
      <c r="D11780" s="186">
        <f>IFERROR(__xludf.DUMMYFUNCTION("""COMPUTED_VALUE"""),10.0)</f>
        <v>10</v>
      </c>
    </row>
    <row r="11781">
      <c r="A11781" s="178" t="str">
        <f>IFERROR(__xludf.DUMMYFUNCTION("""COMPUTED_VALUE"""),"ITBISA-TERMINAL-BLOCK-KF301-2P-BLUE")</f>
        <v>ITBISA-TERMINAL-BLOCK-KF301-2P-BLUE</v>
      </c>
      <c r="B11781" s="266">
        <f>IFERROR(__xludf.DUMMYFUNCTION("""COMPUTED_VALUE"""),45616.0)</f>
        <v>45616</v>
      </c>
      <c r="C11781" s="266" t="str">
        <f>IFERROR(__xludf.DUMMYFUNCTION("""COMPUTED_VALUE"""),"KERTASARI CIAMIS")</f>
        <v>KERTASARI CIAMIS</v>
      </c>
      <c r="D11781" s="186">
        <f>IFERROR(__xludf.DUMMYFUNCTION("""COMPUTED_VALUE"""),1.0)</f>
        <v>1</v>
      </c>
    </row>
    <row r="11782">
      <c r="A11782" s="178" t="str">
        <f>IFERROR(__xludf.DUMMYFUNCTION("""COMPUTED_VALUE"""),"ITBISA-TERMINAL-BLOCK-KF301-2P-BLUE")</f>
        <v>ITBISA-TERMINAL-BLOCK-KF301-2P-BLUE</v>
      </c>
      <c r="B11782" s="266">
        <f>IFERROR(__xludf.DUMMYFUNCTION("""COMPUTED_VALUE"""),45626.0)</f>
        <v>45626</v>
      </c>
      <c r="C11782" s="266" t="str">
        <f>IFERROR(__xludf.DUMMYFUNCTION("""COMPUTED_VALUE"""),"KERTASARI CIAMIS")</f>
        <v>KERTASARI CIAMIS</v>
      </c>
      <c r="D11782" s="186">
        <f>IFERROR(__xludf.DUMMYFUNCTION("""COMPUTED_VALUE"""),10.0)</f>
        <v>10</v>
      </c>
    </row>
    <row r="11783">
      <c r="A11783" s="178" t="str">
        <f>IFERROR(__xludf.DUMMYFUNCTION("""COMPUTED_VALUE"""),"ITBISA-TERMINAL-BLOCK-KF301-2P-BLUE")</f>
        <v>ITBISA-TERMINAL-BLOCK-KF301-2P-BLUE</v>
      </c>
      <c r="B11783" s="266">
        <f>IFERROR(__xludf.DUMMYFUNCTION("""COMPUTED_VALUE"""),45645.0)</f>
        <v>45645</v>
      </c>
      <c r="C11783" s="266" t="str">
        <f>IFERROR(__xludf.DUMMYFUNCTION("""COMPUTED_VALUE"""),"KYAI KONTONG")</f>
        <v>KYAI KONTONG</v>
      </c>
      <c r="D11783" s="186">
        <f>IFERROR(__xludf.DUMMYFUNCTION("""COMPUTED_VALUE"""),0.0)</f>
        <v>0</v>
      </c>
    </row>
    <row r="11784">
      <c r="A11784" s="178" t="str">
        <f>IFERROR(__xludf.DUMMYFUNCTION("""COMPUTED_VALUE"""),"ITBISA-TERMINAL-BLOCK-KF301-2P-BLUE")</f>
        <v>ITBISA-TERMINAL-BLOCK-KF301-2P-BLUE</v>
      </c>
      <c r="B11784" s="266">
        <f>IFERROR(__xludf.DUMMYFUNCTION("""COMPUTED_VALUE"""),45650.0)</f>
        <v>45650</v>
      </c>
      <c r="C11784" s="266" t="str">
        <f>IFERROR(__xludf.DUMMYFUNCTION("""COMPUTED_VALUE"""),"KERTASARI CIAMIS")</f>
        <v>KERTASARI CIAMIS</v>
      </c>
      <c r="D11784" s="186">
        <f>IFERROR(__xludf.DUMMYFUNCTION("""COMPUTED_VALUE"""),4.0)</f>
        <v>4</v>
      </c>
    </row>
    <row r="11785">
      <c r="A11785" s="178" t="str">
        <f>IFERROR(__xludf.DUMMYFUNCTION("""COMPUTED_VALUE"""),"ITBISA-TERMINAL-BLOCK-KF301-2P-BLUE")</f>
        <v>ITBISA-TERMINAL-BLOCK-KF301-2P-BLUE</v>
      </c>
      <c r="B11785" s="266">
        <f>IFERROR(__xludf.DUMMYFUNCTION("""COMPUTED_VALUE"""),45676.0)</f>
        <v>45676</v>
      </c>
      <c r="C11785" s="266" t="str">
        <f>IFERROR(__xludf.DUMMYFUNCTION("""COMPUTED_VALUE"""),"KYAI KONTONG")</f>
        <v>KYAI KONTONG</v>
      </c>
      <c r="D11785" s="186">
        <f>IFERROR(__xludf.DUMMYFUNCTION("""COMPUTED_VALUE"""),0.0)</f>
        <v>0</v>
      </c>
    </row>
    <row r="11786">
      <c r="A11786" s="178" t="str">
        <f>IFERROR(__xludf.DUMMYFUNCTION("""COMPUTED_VALUE"""),"ITBISA-TERMINAL-BLOCK-KF301-2P-BLUE")</f>
        <v>ITBISA-TERMINAL-BLOCK-KF301-2P-BLUE</v>
      </c>
      <c r="B11786" s="266">
        <f>IFERROR(__xludf.DUMMYFUNCTION("""COMPUTED_VALUE"""),45684.0)</f>
        <v>45684</v>
      </c>
      <c r="C11786" s="266" t="str">
        <f>IFERROR(__xludf.DUMMYFUNCTION("""COMPUTED_VALUE"""),"KYAI KONTONG")</f>
        <v>KYAI KONTONG</v>
      </c>
      <c r="D11786" s="186">
        <f>IFERROR(__xludf.DUMMYFUNCTION("""COMPUTED_VALUE"""),10.0)</f>
        <v>10</v>
      </c>
    </row>
    <row r="11787">
      <c r="A11787" s="178" t="str">
        <f>IFERROR(__xludf.DUMMYFUNCTION("""COMPUTED_VALUE"""),"ITBISA-TERMINAL-BLOCK-KF301-2P-BLUE")</f>
        <v>ITBISA-TERMINAL-BLOCK-KF301-2P-BLUE</v>
      </c>
      <c r="B11787" s="266">
        <f>IFERROR(__xludf.DUMMYFUNCTION("""COMPUTED_VALUE"""),45701.0)</f>
        <v>45701</v>
      </c>
      <c r="C11787" s="266" t="str">
        <f>IFERROR(__xludf.DUMMYFUNCTION("""COMPUTED_VALUE"""),"KERTASARI CIAMIS")</f>
        <v>KERTASARI CIAMIS</v>
      </c>
      <c r="D11787" s="186">
        <f>IFERROR(__xludf.DUMMYFUNCTION("""COMPUTED_VALUE"""),50.0)</f>
        <v>50</v>
      </c>
    </row>
    <row r="11788">
      <c r="A11788" s="178" t="str">
        <f>IFERROR(__xludf.DUMMYFUNCTION("""COMPUTED_VALUE"""),"ITBISA-TERMINAL-BLOCK-KF301-2P-BLUE")</f>
        <v>ITBISA-TERMINAL-BLOCK-KF301-2P-BLUE</v>
      </c>
      <c r="B11788" s="266">
        <f>IFERROR(__xludf.DUMMYFUNCTION("""COMPUTED_VALUE"""),45701.0)</f>
        <v>45701</v>
      </c>
      <c r="C11788" s="266" t="str">
        <f>IFERROR(__xludf.DUMMYFUNCTION("""COMPUTED_VALUE"""),"KYAI KONTONG")</f>
        <v>KYAI KONTONG</v>
      </c>
      <c r="D11788" s="186">
        <f>IFERROR(__xludf.DUMMYFUNCTION("""COMPUTED_VALUE"""),4.0)</f>
        <v>4</v>
      </c>
    </row>
    <row r="11789">
      <c r="A11789" s="178" t="str">
        <f>IFERROR(__xludf.DUMMYFUNCTION("""COMPUTED_VALUE"""),"ITBISA-TERMINAL-BLOCK-KF301-2P-BLUE")</f>
        <v>ITBISA-TERMINAL-BLOCK-KF301-2P-BLUE</v>
      </c>
      <c r="B11789" s="266">
        <f>IFERROR(__xludf.DUMMYFUNCTION("""COMPUTED_VALUE"""),45705.0)</f>
        <v>45705</v>
      </c>
      <c r="C11789" s="266" t="str">
        <f>IFERROR(__xludf.DUMMYFUNCTION("""COMPUTED_VALUE"""),"KERTASARI CIAMIS")</f>
        <v>KERTASARI CIAMIS</v>
      </c>
      <c r="D11789" s="186">
        <f>IFERROR(__xludf.DUMMYFUNCTION("""COMPUTED_VALUE"""),40.0)</f>
        <v>40</v>
      </c>
    </row>
    <row r="11790">
      <c r="A11790" s="178" t="str">
        <f>IFERROR(__xludf.DUMMYFUNCTION("""COMPUTED_VALUE"""),"ITBISA-TERMINAL-BLOCK-KF301-2P-BLUE")</f>
        <v>ITBISA-TERMINAL-BLOCK-KF301-2P-BLUE</v>
      </c>
      <c r="B11790" s="266">
        <f>IFERROR(__xludf.DUMMYFUNCTION("""COMPUTED_VALUE"""),45712.0)</f>
        <v>45712</v>
      </c>
      <c r="C11790" s="266" t="str">
        <f>IFERROR(__xludf.DUMMYFUNCTION("""COMPUTED_VALUE"""),"KERTASARI CIAMIS")</f>
        <v>KERTASARI CIAMIS</v>
      </c>
      <c r="D11790" s="186">
        <f>IFERROR(__xludf.DUMMYFUNCTION("""COMPUTED_VALUE"""),10.0)</f>
        <v>10</v>
      </c>
    </row>
    <row r="11791">
      <c r="A11791" s="178" t="str">
        <f>IFERROR(__xludf.DUMMYFUNCTION("""COMPUTED_VALUE"""),"ITBISA-TERMINAL-BLOCK-KF301-2P-BLUE")</f>
        <v>ITBISA-TERMINAL-BLOCK-KF301-2P-BLUE</v>
      </c>
      <c r="B11791" s="266">
        <f>IFERROR(__xludf.DUMMYFUNCTION("""COMPUTED_VALUE"""),45735.0)</f>
        <v>45735</v>
      </c>
      <c r="C11791" s="266" t="str">
        <f>IFERROR(__xludf.DUMMYFUNCTION("""COMPUTED_VALUE"""),"KYAI KONTONG")</f>
        <v>KYAI KONTONG</v>
      </c>
      <c r="D11791" s="186">
        <f>IFERROR(__xludf.DUMMYFUNCTION("""COMPUTED_VALUE"""),20.0)</f>
        <v>20</v>
      </c>
    </row>
    <row r="11792">
      <c r="A11792" s="178" t="str">
        <f>IFERROR(__xludf.DUMMYFUNCTION("""COMPUTED_VALUE"""),"ITBISA-TERMINAL-BLOCK-KF301-2P-BLUE")</f>
        <v>ITBISA-TERMINAL-BLOCK-KF301-2P-BLUE</v>
      </c>
      <c r="B11792" s="266">
        <f>IFERROR(__xludf.DUMMYFUNCTION("""COMPUTED_VALUE"""),45748.0)</f>
        <v>45748</v>
      </c>
      <c r="C11792" s="266" t="str">
        <f>IFERROR(__xludf.DUMMYFUNCTION("""COMPUTED_VALUE"""),"KERTASARI CIAMIS")</f>
        <v>KERTASARI CIAMIS</v>
      </c>
      <c r="D11792" s="186">
        <f>IFERROR(__xludf.DUMMYFUNCTION("""COMPUTED_VALUE"""),10.0)</f>
        <v>10</v>
      </c>
    </row>
    <row r="11793">
      <c r="A11793" s="178" t="str">
        <f>IFERROR(__xludf.DUMMYFUNCTION("""COMPUTED_VALUE"""),"ITBISA-TERMINAL-BLOCK-KF301-2P-BLUE")</f>
        <v>ITBISA-TERMINAL-BLOCK-KF301-2P-BLUE</v>
      </c>
      <c r="B11793" s="266">
        <f>IFERROR(__xludf.DUMMYFUNCTION("""COMPUTED_VALUE"""),45763.0)</f>
        <v>45763</v>
      </c>
      <c r="C11793" s="266" t="str">
        <f>IFERROR(__xludf.DUMMYFUNCTION("""COMPUTED_VALUE"""),"KERTASARI CIAMIS")</f>
        <v>KERTASARI CIAMIS</v>
      </c>
      <c r="D11793" s="186">
        <f>IFERROR(__xludf.DUMMYFUNCTION("""COMPUTED_VALUE"""),10.0)</f>
        <v>10</v>
      </c>
    </row>
    <row r="11794">
      <c r="A11794" s="178" t="str">
        <f>IFERROR(__xludf.DUMMYFUNCTION("""COMPUTED_VALUE"""),"ITBISA-TERMINAL-BLOCK-KF301-2P-BLUE")</f>
        <v>ITBISA-TERMINAL-BLOCK-KF301-2P-BLUE</v>
      </c>
      <c r="B11794" s="266">
        <f>IFERROR(__xludf.DUMMYFUNCTION("""COMPUTED_VALUE"""),45771.0)</f>
        <v>45771</v>
      </c>
      <c r="C11794" s="266" t="str">
        <f>IFERROR(__xludf.DUMMYFUNCTION("""COMPUTED_VALUE"""),"KYAI KONTONG")</f>
        <v>KYAI KONTONG</v>
      </c>
      <c r="D11794" s="186">
        <f>IFERROR(__xludf.DUMMYFUNCTION("""COMPUTED_VALUE"""),10.0)</f>
        <v>10</v>
      </c>
    </row>
    <row r="11795">
      <c r="A11795" s="178" t="str">
        <f>IFERROR(__xludf.DUMMYFUNCTION("""COMPUTED_VALUE"""),"ITBISA-TERMINAL-BLOCK-KF301-2P-BLUE")</f>
        <v>ITBISA-TERMINAL-BLOCK-KF301-2P-BLUE</v>
      </c>
      <c r="B11795" s="266">
        <f>IFERROR(__xludf.DUMMYFUNCTION("""COMPUTED_VALUE"""),45950.0)</f>
        <v>45950</v>
      </c>
      <c r="C11795" s="266" t="str">
        <f>IFERROR(__xludf.DUMMYFUNCTION("""COMPUTED_VALUE"""),"KYAI KONTONG")</f>
        <v>KYAI KONTONG</v>
      </c>
      <c r="D11795" s="186">
        <f>IFERROR(__xludf.DUMMYFUNCTION("""COMPUTED_VALUE"""),1.0)</f>
        <v>1</v>
      </c>
    </row>
    <row r="11796">
      <c r="A11796" s="178" t="str">
        <f>IFERROR(__xludf.DUMMYFUNCTION("""COMPUTED_VALUE"""),"ITBISA-TERMINAL-BLOCK-KF301-2P-BLUE")</f>
        <v>ITBISA-TERMINAL-BLOCK-KF301-2P-BLUE</v>
      </c>
      <c r="B11796" s="266">
        <f>IFERROR(__xludf.DUMMYFUNCTION("""COMPUTED_VALUE"""),45995.0)</f>
        <v>45995</v>
      </c>
      <c r="C11796" s="266" t="str">
        <f>IFERROR(__xludf.DUMMYFUNCTION("""COMPUTED_VALUE"""),"KYAI KONTONG")</f>
        <v>KYAI KONTONG</v>
      </c>
      <c r="D11796" s="186">
        <f>IFERROR(__xludf.DUMMYFUNCTION("""COMPUTED_VALUE"""),20.0)</f>
        <v>20</v>
      </c>
    </row>
    <row r="11797">
      <c r="A11797" s="178" t="str">
        <f>IFERROR(__xludf.DUMMYFUNCTION("""COMPUTED_VALUE"""),"ITBISA-TERMINAL-BLOCK-KF301-2P-BLUE")</f>
        <v>ITBISA-TERMINAL-BLOCK-KF301-2P-BLUE</v>
      </c>
      <c r="B11797" s="266">
        <f>IFERROR(__xludf.DUMMYFUNCTION("""COMPUTED_VALUE"""),46002.0)</f>
        <v>46002</v>
      </c>
      <c r="C11797" s="266" t="str">
        <f>IFERROR(__xludf.DUMMYFUNCTION("""COMPUTED_VALUE"""),"KYAI KONTONG")</f>
        <v>KYAI KONTONG</v>
      </c>
      <c r="D11797" s="186">
        <f>IFERROR(__xludf.DUMMYFUNCTION("""COMPUTED_VALUE"""),10.0)</f>
        <v>10</v>
      </c>
    </row>
    <row r="11798">
      <c r="A11798" s="178" t="str">
        <f>IFERROR(__xludf.DUMMYFUNCTION("""COMPUTED_VALUE"""),"ITBISA-TERMINAL-BLOCK-KF301-2P-BLUE")</f>
        <v>ITBISA-TERMINAL-BLOCK-KF301-2P-BLUE</v>
      </c>
      <c r="B11798" s="266">
        <f>IFERROR(__xludf.DUMMYFUNCTION("""COMPUTED_VALUE"""),46006.0)</f>
        <v>46006</v>
      </c>
      <c r="C11798" s="266" t="str">
        <f>IFERROR(__xludf.DUMMYFUNCTION("""COMPUTED_VALUE"""),"KYAI KONTONG")</f>
        <v>KYAI KONTONG</v>
      </c>
      <c r="D11798" s="186">
        <f>IFERROR(__xludf.DUMMYFUNCTION("""COMPUTED_VALUE"""),2.0)</f>
        <v>2</v>
      </c>
    </row>
    <row r="11799">
      <c r="A11799" s="178" t="str">
        <f>IFERROR(__xludf.DUMMYFUNCTION("""COMPUTED_VALUE"""),"ITBISA-TERMINAL-BLOCK-KF301-2P-BLUE")</f>
        <v>ITBISA-TERMINAL-BLOCK-KF301-2P-BLUE</v>
      </c>
      <c r="B11799" s="266">
        <f>IFERROR(__xludf.DUMMYFUNCTION("""COMPUTED_VALUE"""),46021.0)</f>
        <v>46021</v>
      </c>
      <c r="C11799" s="266" t="str">
        <f>IFERROR(__xludf.DUMMYFUNCTION("""COMPUTED_VALUE"""),"KYAI KONTONG")</f>
        <v>KYAI KONTONG</v>
      </c>
      <c r="D11799" s="186">
        <f>IFERROR(__xludf.DUMMYFUNCTION("""COMPUTED_VALUE"""),5.0)</f>
        <v>5</v>
      </c>
    </row>
    <row r="11800">
      <c r="A11800" s="178" t="str">
        <f>IFERROR(__xludf.DUMMYFUNCTION("""COMPUTED_VALUE"""),"ITBISA-TIGERHEAD-SENTER-KUNING-FT300")</f>
        <v>ITBISA-TIGERHEAD-SENTER-KUNING-FT300</v>
      </c>
      <c r="B11800" s="266">
        <f>IFERROR(__xludf.DUMMYFUNCTION("""COMPUTED_VALUE"""),43326.0)</f>
        <v>43326</v>
      </c>
      <c r="C11800" s="266" t="str">
        <f>IFERROR(__xludf.DUMMYFUNCTION("""COMPUTED_VALUE"""),"AVRG ITB")</f>
        <v>AVRG ITB</v>
      </c>
      <c r="D11800" s="186">
        <f>IFERROR(__xludf.DUMMYFUNCTION("""COMPUTED_VALUE"""),30.0)</f>
        <v>30</v>
      </c>
    </row>
    <row r="11801">
      <c r="A11801" s="178" t="str">
        <f>IFERROR(__xludf.DUMMYFUNCTION("""COMPUTED_VALUE"""),"ITBISA-TIGERHEAD-SENTER-KUNING-FT300")</f>
        <v>ITBISA-TIGERHEAD-SENTER-KUNING-FT300</v>
      </c>
      <c r="B11801" s="266">
        <f>IFERROR(__xludf.DUMMYFUNCTION("""COMPUTED_VALUE"""),43432.0)</f>
        <v>43432</v>
      </c>
      <c r="C11801" s="266" t="str">
        <f>IFERROR(__xludf.DUMMYFUNCTION("""COMPUTED_VALUE"""),"AVRG ITB")</f>
        <v>AVRG ITB</v>
      </c>
      <c r="D11801" s="186">
        <f>IFERROR(__xludf.DUMMYFUNCTION("""COMPUTED_VALUE"""),2.0)</f>
        <v>2</v>
      </c>
    </row>
    <row r="11802">
      <c r="A11802" s="178" t="str">
        <f>IFERROR(__xludf.DUMMYFUNCTION("""COMPUTED_VALUE"""),"ITBISA-TIGERHEAD-SENTER-KUNING-FT300")</f>
        <v>ITBISA-TIGERHEAD-SENTER-KUNING-FT300</v>
      </c>
      <c r="B11802" s="266">
        <f>IFERROR(__xludf.DUMMYFUNCTION("""COMPUTED_VALUE"""),43443.0)</f>
        <v>43443</v>
      </c>
      <c r="C11802" s="266" t="str">
        <f>IFERROR(__xludf.DUMMYFUNCTION("""COMPUTED_VALUE"""),"AVRG ITB")</f>
        <v>AVRG ITB</v>
      </c>
      <c r="D11802" s="186">
        <f>IFERROR(__xludf.DUMMYFUNCTION("""COMPUTED_VALUE"""),1.0)</f>
        <v>1</v>
      </c>
    </row>
    <row r="11803">
      <c r="A11803" s="178" t="str">
        <f>IFERROR(__xludf.DUMMYFUNCTION("""COMPUTED_VALUE"""),"ITBISA-TIGERHEAD-SENTER-KUNING-FT300")</f>
        <v>ITBISA-TIGERHEAD-SENTER-KUNING-FT300</v>
      </c>
      <c r="B11803" s="266">
        <f>IFERROR(__xludf.DUMMYFUNCTION("""COMPUTED_VALUE"""),43443.0)</f>
        <v>43443</v>
      </c>
      <c r="C11803" s="266" t="str">
        <f>IFERROR(__xludf.DUMMYFUNCTION("""COMPUTED_VALUE"""),"AVRG ITB")</f>
        <v>AVRG ITB</v>
      </c>
      <c r="D11803" s="186">
        <f>IFERROR(__xludf.DUMMYFUNCTION("""COMPUTED_VALUE"""),4.0)</f>
        <v>4</v>
      </c>
    </row>
    <row r="11804">
      <c r="A11804" s="178" t="str">
        <f>IFERROR(__xludf.DUMMYFUNCTION("""COMPUTED_VALUE"""),"ITBISA-TIGERHEAD-SENTER-KUNING-FT300")</f>
        <v>ITBISA-TIGERHEAD-SENTER-KUNING-FT300</v>
      </c>
      <c r="B11804" s="266">
        <f>IFERROR(__xludf.DUMMYFUNCTION("""COMPUTED_VALUE"""),43449.0)</f>
        <v>43449</v>
      </c>
      <c r="C11804" s="266" t="str">
        <f>IFERROR(__xludf.DUMMYFUNCTION("""COMPUTED_VALUE"""),"AVRG ITB")</f>
        <v>AVRG ITB</v>
      </c>
      <c r="D11804" s="186">
        <f>IFERROR(__xludf.DUMMYFUNCTION("""COMPUTED_VALUE"""),5.0)</f>
        <v>5</v>
      </c>
    </row>
    <row r="11805">
      <c r="A11805" s="178" t="str">
        <f>IFERROR(__xludf.DUMMYFUNCTION("""COMPUTED_VALUE"""),"ITBISA-TIGERHEAD-SENTER-KUNING-FT300")</f>
        <v>ITBISA-TIGERHEAD-SENTER-KUNING-FT300</v>
      </c>
      <c r="B11805" s="266">
        <f>IFERROR(__xludf.DUMMYFUNCTION("""COMPUTED_VALUE"""),43452.0)</f>
        <v>43452</v>
      </c>
      <c r="C11805" s="266" t="str">
        <f>IFERROR(__xludf.DUMMYFUNCTION("""COMPUTED_VALUE"""),"AVRG ITB")</f>
        <v>AVRG ITB</v>
      </c>
      <c r="D11805" s="186">
        <f>IFERROR(__xludf.DUMMYFUNCTION("""COMPUTED_VALUE"""),1.0)</f>
        <v>1</v>
      </c>
    </row>
    <row r="11806">
      <c r="A11806" s="178" t="str">
        <f>IFERROR(__xludf.DUMMYFUNCTION("""COMPUTED_VALUE"""),"ITBISA-TIGERHEAD-SENTER-KUNING-FT300")</f>
        <v>ITBISA-TIGERHEAD-SENTER-KUNING-FT300</v>
      </c>
      <c r="B11806" s="266">
        <f>IFERROR(__xludf.DUMMYFUNCTION("""COMPUTED_VALUE"""),43466.0)</f>
        <v>43466</v>
      </c>
      <c r="C11806" s="266" t="str">
        <f>IFERROR(__xludf.DUMMYFUNCTION("""COMPUTED_VALUE"""),"AVRG ITB")</f>
        <v>AVRG ITB</v>
      </c>
      <c r="D11806" s="186">
        <f>IFERROR(__xludf.DUMMYFUNCTION("""COMPUTED_VALUE"""),1.0)</f>
        <v>1</v>
      </c>
    </row>
    <row r="11807">
      <c r="A11807" s="178" t="str">
        <f>IFERROR(__xludf.DUMMYFUNCTION("""COMPUTED_VALUE"""),"ITBISA-TIGERHEAD-SENTER-KUNING-FT300")</f>
        <v>ITBISA-TIGERHEAD-SENTER-KUNING-FT300</v>
      </c>
      <c r="B11807" s="266">
        <f>IFERROR(__xludf.DUMMYFUNCTION("""COMPUTED_VALUE"""),43467.0)</f>
        <v>43467</v>
      </c>
      <c r="C11807" s="266" t="str">
        <f>IFERROR(__xludf.DUMMYFUNCTION("""COMPUTED_VALUE"""),"AVRG ITB")</f>
        <v>AVRG ITB</v>
      </c>
      <c r="D11807" s="186">
        <f>IFERROR(__xludf.DUMMYFUNCTION("""COMPUTED_VALUE"""),3.0)</f>
        <v>3</v>
      </c>
    </row>
    <row r="11808">
      <c r="A11808" s="178" t="str">
        <f>IFERROR(__xludf.DUMMYFUNCTION("""COMPUTED_VALUE"""),"ITBISA-TIGERHEAD-SENTER-KUNING-FT300")</f>
        <v>ITBISA-TIGERHEAD-SENTER-KUNING-FT300</v>
      </c>
      <c r="B11808" s="266">
        <f>IFERROR(__xludf.DUMMYFUNCTION("""COMPUTED_VALUE"""),43482.0)</f>
        <v>43482</v>
      </c>
      <c r="C11808" s="266" t="str">
        <f>IFERROR(__xludf.DUMMYFUNCTION("""COMPUTED_VALUE"""),"AVRG ITB")</f>
        <v>AVRG ITB</v>
      </c>
      <c r="D11808" s="186">
        <f>IFERROR(__xludf.DUMMYFUNCTION("""COMPUTED_VALUE"""),1.0)</f>
        <v>1</v>
      </c>
    </row>
    <row r="11809">
      <c r="A11809" s="178" t="str">
        <f>IFERROR(__xludf.DUMMYFUNCTION("""COMPUTED_VALUE"""),"ITBISA-TIGERHEAD-SENTER-KUNING-FT300")</f>
        <v>ITBISA-TIGERHEAD-SENTER-KUNING-FT300</v>
      </c>
      <c r="B11809" s="266">
        <f>IFERROR(__xludf.DUMMYFUNCTION("""COMPUTED_VALUE"""),43487.0)</f>
        <v>43487</v>
      </c>
      <c r="C11809" s="266" t="str">
        <f>IFERROR(__xludf.DUMMYFUNCTION("""COMPUTED_VALUE"""),"AVRG ITB")</f>
        <v>AVRG ITB</v>
      </c>
      <c r="D11809" s="186">
        <f>IFERROR(__xludf.DUMMYFUNCTION("""COMPUTED_VALUE"""),1.0)</f>
        <v>1</v>
      </c>
    </row>
    <row r="11810">
      <c r="A11810" s="178" t="str">
        <f>IFERROR(__xludf.DUMMYFUNCTION("""COMPUTED_VALUE"""),"ITBISA-TIGERHEAD-SENTER-KUNING-FT300")</f>
        <v>ITBISA-TIGERHEAD-SENTER-KUNING-FT300</v>
      </c>
      <c r="B11810" s="266">
        <f>IFERROR(__xludf.DUMMYFUNCTION("""COMPUTED_VALUE"""),43490.0)</f>
        <v>43490</v>
      </c>
      <c r="C11810" s="266" t="str">
        <f>IFERROR(__xludf.DUMMYFUNCTION("""COMPUTED_VALUE"""),"AVRG ITB")</f>
        <v>AVRG ITB</v>
      </c>
      <c r="D11810" s="186">
        <f>IFERROR(__xludf.DUMMYFUNCTION("""COMPUTED_VALUE"""),1.0)</f>
        <v>1</v>
      </c>
    </row>
    <row r="11811">
      <c r="A11811" s="178" t="str">
        <f>IFERROR(__xludf.DUMMYFUNCTION("""COMPUTED_VALUE"""),"ITBISA-TIGERHEAD-SENTER-KUNING-FT300")</f>
        <v>ITBISA-TIGERHEAD-SENTER-KUNING-FT300</v>
      </c>
      <c r="B11811" s="266">
        <f>IFERROR(__xludf.DUMMYFUNCTION("""COMPUTED_VALUE"""),43493.0)</f>
        <v>43493</v>
      </c>
      <c r="C11811" s="266" t="str">
        <f>IFERROR(__xludf.DUMMYFUNCTION("""COMPUTED_VALUE"""),"AVRG ITB")</f>
        <v>AVRG ITB</v>
      </c>
      <c r="D11811" s="186">
        <f>IFERROR(__xludf.DUMMYFUNCTION("""COMPUTED_VALUE"""),5.0)</f>
        <v>5</v>
      </c>
    </row>
    <row r="11812">
      <c r="A11812" s="178" t="str">
        <f>IFERROR(__xludf.DUMMYFUNCTION("""COMPUTED_VALUE"""),"ITBISA-TIGERHEAD-SENTER-KUNING-FT300")</f>
        <v>ITBISA-TIGERHEAD-SENTER-KUNING-FT300</v>
      </c>
      <c r="B11812" s="266">
        <f>IFERROR(__xludf.DUMMYFUNCTION("""COMPUTED_VALUE"""),43507.0)</f>
        <v>43507</v>
      </c>
      <c r="C11812" s="266" t="str">
        <f>IFERROR(__xludf.DUMMYFUNCTION("""COMPUTED_VALUE"""),"AVRG ITB")</f>
        <v>AVRG ITB</v>
      </c>
      <c r="D11812" s="186">
        <f>IFERROR(__xludf.DUMMYFUNCTION("""COMPUTED_VALUE"""),2.0)</f>
        <v>2</v>
      </c>
    </row>
    <row r="11813">
      <c r="A11813" s="178" t="str">
        <f>IFERROR(__xludf.DUMMYFUNCTION("""COMPUTED_VALUE"""),"ITBISA-TIGERHEAD-SENTER-KUNING-FT300")</f>
        <v>ITBISA-TIGERHEAD-SENTER-KUNING-FT300</v>
      </c>
      <c r="B11813" s="266">
        <f>IFERROR(__xludf.DUMMYFUNCTION("""COMPUTED_VALUE"""),43517.0)</f>
        <v>43517</v>
      </c>
      <c r="C11813" s="266" t="str">
        <f>IFERROR(__xludf.DUMMYFUNCTION("""COMPUTED_VALUE"""),"AVRG ITB")</f>
        <v>AVRG ITB</v>
      </c>
      <c r="D11813" s="186">
        <f>IFERROR(__xludf.DUMMYFUNCTION("""COMPUTED_VALUE"""),1.0)</f>
        <v>1</v>
      </c>
    </row>
    <row r="11814">
      <c r="A11814" s="178" t="str">
        <f>IFERROR(__xludf.DUMMYFUNCTION("""COMPUTED_VALUE"""),"ITBISA-TIGERHEAD-SENTER-KUNING-FT300")</f>
        <v>ITBISA-TIGERHEAD-SENTER-KUNING-FT300</v>
      </c>
      <c r="B11814" s="266">
        <f>IFERROR(__xludf.DUMMYFUNCTION("""COMPUTED_VALUE"""),43532.0)</f>
        <v>43532</v>
      </c>
      <c r="C11814" s="266" t="str">
        <f>IFERROR(__xludf.DUMMYFUNCTION("""COMPUTED_VALUE"""),"AVRG ITB")</f>
        <v>AVRG ITB</v>
      </c>
      <c r="D11814" s="186">
        <f>IFERROR(__xludf.DUMMYFUNCTION("""COMPUTED_VALUE"""),1.0)</f>
        <v>1</v>
      </c>
    </row>
    <row r="11815">
      <c r="A11815" s="178" t="str">
        <f>IFERROR(__xludf.DUMMYFUNCTION("""COMPUTED_VALUE"""),"ITBISA-TIGERHEAD-SENTER-KUNING-FT300")</f>
        <v>ITBISA-TIGERHEAD-SENTER-KUNING-FT300</v>
      </c>
      <c r="B11815" s="266">
        <f>IFERROR(__xludf.DUMMYFUNCTION("""COMPUTED_VALUE"""),43533.0)</f>
        <v>43533</v>
      </c>
      <c r="C11815" s="266" t="str">
        <f>IFERROR(__xludf.DUMMYFUNCTION("""COMPUTED_VALUE"""),"AVRG ITB")</f>
        <v>AVRG ITB</v>
      </c>
      <c r="D11815" s="186">
        <f>IFERROR(__xludf.DUMMYFUNCTION("""COMPUTED_VALUE"""),1.0)</f>
        <v>1</v>
      </c>
    </row>
    <row r="11816">
      <c r="A11816" s="178" t="str">
        <f>IFERROR(__xludf.DUMMYFUNCTION("""COMPUTED_VALUE"""),"ITBISA-TIGERHEAD-SENTER-KUNING-FT300")</f>
        <v>ITBISA-TIGERHEAD-SENTER-KUNING-FT300</v>
      </c>
      <c r="B11816" s="266">
        <f>IFERROR(__xludf.DUMMYFUNCTION("""COMPUTED_VALUE"""),43540.0)</f>
        <v>43540</v>
      </c>
      <c r="C11816" s="266" t="str">
        <f>IFERROR(__xludf.DUMMYFUNCTION("""COMPUTED_VALUE"""),"AVRG ITB")</f>
        <v>AVRG ITB</v>
      </c>
      <c r="D11816" s="186">
        <f>IFERROR(__xludf.DUMMYFUNCTION("""COMPUTED_VALUE"""),1.0)</f>
        <v>1</v>
      </c>
    </row>
    <row r="11817">
      <c r="A11817" s="178" t="str">
        <f>IFERROR(__xludf.DUMMYFUNCTION("""COMPUTED_VALUE"""),"ITBISA-TIGERHEAD-SENTER-KUNING-FT300")</f>
        <v>ITBISA-TIGERHEAD-SENTER-KUNING-FT300</v>
      </c>
      <c r="B11817" s="266">
        <f>IFERROR(__xludf.DUMMYFUNCTION("""COMPUTED_VALUE"""),43542.0)</f>
        <v>43542</v>
      </c>
      <c r="C11817" s="266" t="str">
        <f>IFERROR(__xludf.DUMMYFUNCTION("""COMPUTED_VALUE"""),"AVRG ITB")</f>
        <v>AVRG ITB</v>
      </c>
      <c r="D11817" s="186">
        <f>IFERROR(__xludf.DUMMYFUNCTION("""COMPUTED_VALUE"""),1.0)</f>
        <v>1</v>
      </c>
    </row>
    <row r="11818">
      <c r="A11818" s="178" t="str">
        <f>IFERROR(__xludf.DUMMYFUNCTION("""COMPUTED_VALUE"""),"ITBISA-TIGERHEAD-SENTER-KUNING-FT300")</f>
        <v>ITBISA-TIGERHEAD-SENTER-KUNING-FT300</v>
      </c>
      <c r="B11818" s="266">
        <f>IFERROR(__xludf.DUMMYFUNCTION("""COMPUTED_VALUE"""),43546.0)</f>
        <v>43546</v>
      </c>
      <c r="C11818" s="266" t="str">
        <f>IFERROR(__xludf.DUMMYFUNCTION("""COMPUTED_VALUE"""),"AVRG ITB")</f>
        <v>AVRG ITB</v>
      </c>
      <c r="D11818" s="186">
        <f>IFERROR(__xludf.DUMMYFUNCTION("""COMPUTED_VALUE"""),2.0)</f>
        <v>2</v>
      </c>
    </row>
    <row r="11819">
      <c r="A11819" s="178" t="str">
        <f>IFERROR(__xludf.DUMMYFUNCTION("""COMPUTED_VALUE"""),"ITBISA-TIGERHEAD-SENTER-KUNING-FT300")</f>
        <v>ITBISA-TIGERHEAD-SENTER-KUNING-FT300</v>
      </c>
      <c r="B11819" s="266">
        <f>IFERROR(__xludf.DUMMYFUNCTION("""COMPUTED_VALUE"""),43556.0)</f>
        <v>43556</v>
      </c>
      <c r="C11819" s="266" t="str">
        <f>IFERROR(__xludf.DUMMYFUNCTION("""COMPUTED_VALUE"""),"AVRG ITB")</f>
        <v>AVRG ITB</v>
      </c>
      <c r="D11819" s="186">
        <f>IFERROR(__xludf.DUMMYFUNCTION("""COMPUTED_VALUE"""),2.0)</f>
        <v>2</v>
      </c>
    </row>
    <row r="11820">
      <c r="A11820" s="178" t="str">
        <f>IFERROR(__xludf.DUMMYFUNCTION("""COMPUTED_VALUE"""),"ITBISA-TIGERHEAD-SENTER-KUNING-FT300")</f>
        <v>ITBISA-TIGERHEAD-SENTER-KUNING-FT300</v>
      </c>
      <c r="B11820" s="266">
        <f>IFERROR(__xludf.DUMMYFUNCTION("""COMPUTED_VALUE"""),43560.0)</f>
        <v>43560</v>
      </c>
      <c r="C11820" s="266" t="str">
        <f>IFERROR(__xludf.DUMMYFUNCTION("""COMPUTED_VALUE"""),"AVRG ITB")</f>
        <v>AVRG ITB</v>
      </c>
      <c r="D11820" s="186">
        <f>IFERROR(__xludf.DUMMYFUNCTION("""COMPUTED_VALUE"""),1.0)</f>
        <v>1</v>
      </c>
    </row>
    <row r="11821">
      <c r="A11821" s="178" t="str">
        <f>IFERROR(__xludf.DUMMYFUNCTION("""COMPUTED_VALUE"""),"ITBISA-TIGERHEAD-SENTER-KUNING-FT300")</f>
        <v>ITBISA-TIGERHEAD-SENTER-KUNING-FT300</v>
      </c>
      <c r="B11821" s="266">
        <f>IFERROR(__xludf.DUMMYFUNCTION("""COMPUTED_VALUE"""),43575.0)</f>
        <v>43575</v>
      </c>
      <c r="C11821" s="266" t="str">
        <f>IFERROR(__xludf.DUMMYFUNCTION("""COMPUTED_VALUE"""),"AVRG ITB")</f>
        <v>AVRG ITB</v>
      </c>
      <c r="D11821" s="186">
        <f>IFERROR(__xludf.DUMMYFUNCTION("""COMPUTED_VALUE"""),2.0)</f>
        <v>2</v>
      </c>
    </row>
    <row r="11822">
      <c r="A11822" s="178" t="str">
        <f>IFERROR(__xludf.DUMMYFUNCTION("""COMPUTED_VALUE"""),"ITBISA-TIGERHEAD-SENTER-KUNING-FT300")</f>
        <v>ITBISA-TIGERHEAD-SENTER-KUNING-FT300</v>
      </c>
      <c r="B11822" s="266">
        <f>IFERROR(__xludf.DUMMYFUNCTION("""COMPUTED_VALUE"""),43593.0)</f>
        <v>43593</v>
      </c>
      <c r="C11822" s="266" t="str">
        <f>IFERROR(__xludf.DUMMYFUNCTION("""COMPUTED_VALUE"""),"AVRG ITB")</f>
        <v>AVRG ITB</v>
      </c>
      <c r="D11822" s="186">
        <f>IFERROR(__xludf.DUMMYFUNCTION("""COMPUTED_VALUE"""),1.0)</f>
        <v>1</v>
      </c>
    </row>
    <row r="11823">
      <c r="A11823" s="178" t="str">
        <f>IFERROR(__xludf.DUMMYFUNCTION("""COMPUTED_VALUE"""),"ITBISA-TIGERHEAD-SENTER-KUNING-FT300")</f>
        <v>ITBISA-TIGERHEAD-SENTER-KUNING-FT300</v>
      </c>
      <c r="B11823" s="266">
        <f>IFERROR(__xludf.DUMMYFUNCTION("""COMPUTED_VALUE"""),43593.0)</f>
        <v>43593</v>
      </c>
      <c r="C11823" s="266" t="str">
        <f>IFERROR(__xludf.DUMMYFUNCTION("""COMPUTED_VALUE"""),"AVRG ITB")</f>
        <v>AVRG ITB</v>
      </c>
      <c r="D11823" s="186">
        <f>IFERROR(__xludf.DUMMYFUNCTION("""COMPUTED_VALUE"""),1.0)</f>
        <v>1</v>
      </c>
    </row>
    <row r="11824">
      <c r="A11824" s="178" t="str">
        <f>IFERROR(__xludf.DUMMYFUNCTION("""COMPUTED_VALUE"""),"ITBISA-TIGERHEAD-SENTER-KUNING-FT300")</f>
        <v>ITBISA-TIGERHEAD-SENTER-KUNING-FT300</v>
      </c>
      <c r="B11824" s="266">
        <f>IFERROR(__xludf.DUMMYFUNCTION("""COMPUTED_VALUE"""),43593.0)</f>
        <v>43593</v>
      </c>
      <c r="C11824" s="266" t="str">
        <f>IFERROR(__xludf.DUMMYFUNCTION("""COMPUTED_VALUE"""),"AVRG ITB")</f>
        <v>AVRG ITB</v>
      </c>
      <c r="D11824" s="186">
        <f>IFERROR(__xludf.DUMMYFUNCTION("""COMPUTED_VALUE"""),1.0)</f>
        <v>1</v>
      </c>
    </row>
    <row r="11825">
      <c r="A11825" s="178" t="str">
        <f>IFERROR(__xludf.DUMMYFUNCTION("""COMPUTED_VALUE"""),"ITBISA-TIGERHEAD-SENTER-KUNING-FT300")</f>
        <v>ITBISA-TIGERHEAD-SENTER-KUNING-FT300</v>
      </c>
      <c r="B11825" s="266">
        <f>IFERROR(__xludf.DUMMYFUNCTION("""COMPUTED_VALUE"""),43610.0)</f>
        <v>43610</v>
      </c>
      <c r="C11825" s="266" t="str">
        <f>IFERROR(__xludf.DUMMYFUNCTION("""COMPUTED_VALUE"""),"RUMAH MUZAKKI")</f>
        <v>RUMAH MUZAKKI</v>
      </c>
      <c r="D11825" s="186">
        <f>IFERROR(__xludf.DUMMYFUNCTION("""COMPUTED_VALUE"""),1.0)</f>
        <v>1</v>
      </c>
    </row>
    <row r="11826">
      <c r="A11826" s="178" t="str">
        <f>IFERROR(__xludf.DUMMYFUNCTION("""COMPUTED_VALUE"""),"ITBISA-TIGERHEAD-SENTER-KUNING-FT300")</f>
        <v>ITBISA-TIGERHEAD-SENTER-KUNING-FT300</v>
      </c>
      <c r="B11826" s="266">
        <f>IFERROR(__xludf.DUMMYFUNCTION("""COMPUTED_VALUE"""),43613.0)</f>
        <v>43613</v>
      </c>
      <c r="C11826" s="266" t="str">
        <f>IFERROR(__xludf.DUMMYFUNCTION("""COMPUTED_VALUE"""),"AVRG ITB")</f>
        <v>AVRG ITB</v>
      </c>
      <c r="D11826" s="186">
        <f>IFERROR(__xludf.DUMMYFUNCTION("""COMPUTED_VALUE"""),3.0)</f>
        <v>3</v>
      </c>
    </row>
    <row r="11827">
      <c r="A11827" s="178" t="str">
        <f>IFERROR(__xludf.DUMMYFUNCTION("""COMPUTED_VALUE"""),"ITBISA-TIGERHEAD-SENTER-KUNING-FT300")</f>
        <v>ITBISA-TIGERHEAD-SENTER-KUNING-FT300</v>
      </c>
      <c r="B11827" s="266">
        <f>IFERROR(__xludf.DUMMYFUNCTION("""COMPUTED_VALUE"""),43633.0)</f>
        <v>43633</v>
      </c>
      <c r="C11827" s="266" t="str">
        <f>IFERROR(__xludf.DUMMYFUNCTION("""COMPUTED_VALUE"""),"RUMAH MUZAKKI")</f>
        <v>RUMAH MUZAKKI</v>
      </c>
      <c r="D11827" s="186">
        <f>IFERROR(__xludf.DUMMYFUNCTION("""COMPUTED_VALUE"""),1.0)</f>
        <v>1</v>
      </c>
    </row>
    <row r="11828">
      <c r="A11828" s="178" t="str">
        <f>IFERROR(__xludf.DUMMYFUNCTION("""COMPUTED_VALUE"""),"ITBISA-TIGERHEAD-SENTER-KUNING-FT300")</f>
        <v>ITBISA-TIGERHEAD-SENTER-KUNING-FT300</v>
      </c>
      <c r="B11828" s="266">
        <f>IFERROR(__xludf.DUMMYFUNCTION("""COMPUTED_VALUE"""),43636.0)</f>
        <v>43636</v>
      </c>
      <c r="C11828" s="266" t="str">
        <f>IFERROR(__xludf.DUMMYFUNCTION("""COMPUTED_VALUE"""),"RUMAH MUZAKKI")</f>
        <v>RUMAH MUZAKKI</v>
      </c>
      <c r="D11828" s="186">
        <f>IFERROR(__xludf.DUMMYFUNCTION("""COMPUTED_VALUE"""),1.0)</f>
        <v>1</v>
      </c>
    </row>
    <row r="11829">
      <c r="A11829" s="178" t="str">
        <f>IFERROR(__xludf.DUMMYFUNCTION("""COMPUTED_VALUE"""),"ITBISA-TIGERHEAD-SENTER-KUNING-FT300")</f>
        <v>ITBISA-TIGERHEAD-SENTER-KUNING-FT300</v>
      </c>
      <c r="B11829" s="266">
        <f>IFERROR(__xludf.DUMMYFUNCTION("""COMPUTED_VALUE"""),43643.0)</f>
        <v>43643</v>
      </c>
      <c r="C11829" s="266" t="str">
        <f>IFERROR(__xludf.DUMMYFUNCTION("""COMPUTED_VALUE"""),"AVRG ITB")</f>
        <v>AVRG ITB</v>
      </c>
      <c r="D11829" s="186">
        <f>IFERROR(__xludf.DUMMYFUNCTION("""COMPUTED_VALUE"""),13.0)</f>
        <v>13</v>
      </c>
    </row>
    <row r="11830">
      <c r="A11830" s="178" t="str">
        <f>IFERROR(__xludf.DUMMYFUNCTION("""COMPUTED_VALUE"""),"ITBISA-TIGERHEAD-SENTER-KUNING-FT300")</f>
        <v>ITBISA-TIGERHEAD-SENTER-KUNING-FT300</v>
      </c>
      <c r="B11830" s="266">
        <f>IFERROR(__xludf.DUMMYFUNCTION("""COMPUTED_VALUE"""),43644.0)</f>
        <v>43644</v>
      </c>
      <c r="C11830" s="266" t="str">
        <f>IFERROR(__xludf.DUMMYFUNCTION("""COMPUTED_VALUE"""),"AVRG ITB")</f>
        <v>AVRG ITB</v>
      </c>
      <c r="D11830" s="186">
        <f>IFERROR(__xludf.DUMMYFUNCTION("""COMPUTED_VALUE"""),1.0)</f>
        <v>1</v>
      </c>
    </row>
    <row r="11831">
      <c r="A11831" s="178" t="str">
        <f>IFERROR(__xludf.DUMMYFUNCTION("""COMPUTED_VALUE"""),"ITBISA-TIGERHEAD-SENTER-KUNING-FT300")</f>
        <v>ITBISA-TIGERHEAD-SENTER-KUNING-FT300</v>
      </c>
      <c r="B11831" s="266">
        <f>IFERROR(__xludf.DUMMYFUNCTION("""COMPUTED_VALUE"""),43674.0)</f>
        <v>43674</v>
      </c>
      <c r="C11831" s="266" t="str">
        <f>IFERROR(__xludf.DUMMYFUNCTION("""COMPUTED_VALUE"""),"RUMAH MUZAKKI")</f>
        <v>RUMAH MUZAKKI</v>
      </c>
      <c r="D11831" s="186">
        <f>IFERROR(__xludf.DUMMYFUNCTION("""COMPUTED_VALUE"""),1.0)</f>
        <v>1</v>
      </c>
    </row>
    <row r="11832">
      <c r="A11832" s="178" t="str">
        <f>IFERROR(__xludf.DUMMYFUNCTION("""COMPUTED_VALUE"""),"ITBISA-TIGERHEAD-SENTER-KUNING-FT300")</f>
        <v>ITBISA-TIGERHEAD-SENTER-KUNING-FT300</v>
      </c>
      <c r="B11832" s="266">
        <f>IFERROR(__xludf.DUMMYFUNCTION("""COMPUTED_VALUE"""),43687.0)</f>
        <v>43687</v>
      </c>
      <c r="C11832" s="266" t="str">
        <f>IFERROR(__xludf.DUMMYFUNCTION("""COMPUTED_VALUE"""),"RUMAH MUZAKKI")</f>
        <v>RUMAH MUZAKKI</v>
      </c>
      <c r="D11832" s="186">
        <f>IFERROR(__xludf.DUMMYFUNCTION("""COMPUTED_VALUE"""),1.0)</f>
        <v>1</v>
      </c>
    </row>
    <row r="11833">
      <c r="A11833" s="178" t="str">
        <f>IFERROR(__xludf.DUMMYFUNCTION("""COMPUTED_VALUE"""),"ITBISA-TIGERHEAD-SENTER-KUNING-FT300")</f>
        <v>ITBISA-TIGERHEAD-SENTER-KUNING-FT300</v>
      </c>
      <c r="B11833" s="266">
        <f>IFERROR(__xludf.DUMMYFUNCTION("""COMPUTED_VALUE"""),45343.0)</f>
        <v>45343</v>
      </c>
      <c r="C11833" s="266" t="str">
        <f>IFERROR(__xludf.DUMMYFUNCTION("""COMPUTED_VALUE"""),"KYAI KONTONG")</f>
        <v>KYAI KONTONG</v>
      </c>
      <c r="D11833" s="186">
        <f>IFERROR(__xludf.DUMMYFUNCTION("""COMPUTED_VALUE"""),1.0)</f>
        <v>1</v>
      </c>
    </row>
    <row r="11834">
      <c r="A11834" s="178" t="str">
        <f>IFERROR(__xludf.DUMMYFUNCTION("""COMPUTED_VALUE"""),"ITBISA-TIGERHEAD-SENTER-KUNING-FT300")</f>
        <v>ITBISA-TIGERHEAD-SENTER-KUNING-FT300</v>
      </c>
      <c r="B11834" s="266">
        <f>IFERROR(__xludf.DUMMYFUNCTION("""COMPUTED_VALUE"""),45344.0)</f>
        <v>45344</v>
      </c>
      <c r="C11834" s="266" t="str">
        <f>IFERROR(__xludf.DUMMYFUNCTION("""COMPUTED_VALUE"""),"KYAI KONTONG")</f>
        <v>KYAI KONTONG</v>
      </c>
      <c r="D11834" s="186">
        <f>IFERROR(__xludf.DUMMYFUNCTION("""COMPUTED_VALUE"""),1.0)</f>
        <v>1</v>
      </c>
    </row>
    <row r="11835">
      <c r="A11835" s="178" t="str">
        <f>IFERROR(__xludf.DUMMYFUNCTION("""COMPUTED_VALUE"""),"ITBISA-TIGERHEAD-SENTER-KUNING-FT300")</f>
        <v>ITBISA-TIGERHEAD-SENTER-KUNING-FT300</v>
      </c>
      <c r="B11835" s="266">
        <f>IFERROR(__xludf.DUMMYFUNCTION("""COMPUTED_VALUE"""),45347.0)</f>
        <v>45347</v>
      </c>
      <c r="C11835" s="266" t="str">
        <f>IFERROR(__xludf.DUMMYFUNCTION("""COMPUTED_VALUE"""),"KYAI KONTONG")</f>
        <v>KYAI KONTONG</v>
      </c>
      <c r="D11835" s="186">
        <f>IFERROR(__xludf.DUMMYFUNCTION("""COMPUTED_VALUE"""),2.0)</f>
        <v>2</v>
      </c>
    </row>
    <row r="11836">
      <c r="A11836" s="178" t="str">
        <f>IFERROR(__xludf.DUMMYFUNCTION("""COMPUTED_VALUE"""),"ITBISA-TIGERHEAD-SENTER-KUNING-FT300")</f>
        <v>ITBISA-TIGERHEAD-SENTER-KUNING-FT300</v>
      </c>
      <c r="B11836" s="266">
        <f>IFERROR(__xludf.DUMMYFUNCTION("""COMPUTED_VALUE"""),45349.0)</f>
        <v>45349</v>
      </c>
      <c r="C11836" s="266" t="str">
        <f>IFERROR(__xludf.DUMMYFUNCTION("""COMPUTED_VALUE"""),"KYAI KONTONG")</f>
        <v>KYAI KONTONG</v>
      </c>
      <c r="D11836" s="186">
        <f>IFERROR(__xludf.DUMMYFUNCTION("""COMPUTED_VALUE"""),1.0)</f>
        <v>1</v>
      </c>
    </row>
    <row r="11837">
      <c r="A11837" s="178" t="str">
        <f>IFERROR(__xludf.DUMMYFUNCTION("""COMPUTED_VALUE"""),"ITBISA-TIGERHEAD-SENTER-KUNING-FT300")</f>
        <v>ITBISA-TIGERHEAD-SENTER-KUNING-FT300</v>
      </c>
      <c r="B11837" s="266">
        <f>IFERROR(__xludf.DUMMYFUNCTION("""COMPUTED_VALUE"""),45352.0)</f>
        <v>45352</v>
      </c>
      <c r="C11837" s="266" t="str">
        <f>IFERROR(__xludf.DUMMYFUNCTION("""COMPUTED_VALUE"""),"KYAI KONTONG")</f>
        <v>KYAI KONTONG</v>
      </c>
      <c r="D11837" s="186">
        <f>IFERROR(__xludf.DUMMYFUNCTION("""COMPUTED_VALUE"""),1.0)</f>
        <v>1</v>
      </c>
    </row>
    <row r="11838">
      <c r="A11838" s="178" t="str">
        <f>IFERROR(__xludf.DUMMYFUNCTION("""COMPUTED_VALUE"""),"ITBISA-TIGERHEAD-SENTER-KUNING-FT300")</f>
        <v>ITBISA-TIGERHEAD-SENTER-KUNING-FT300</v>
      </c>
      <c r="B11838" s="266">
        <f>IFERROR(__xludf.DUMMYFUNCTION("""COMPUTED_VALUE"""),45354.0)</f>
        <v>45354</v>
      </c>
      <c r="C11838" s="266" t="str">
        <f>IFERROR(__xludf.DUMMYFUNCTION("""COMPUTED_VALUE"""),"KYAI KONTONG")</f>
        <v>KYAI KONTONG</v>
      </c>
      <c r="D11838" s="186">
        <f>IFERROR(__xludf.DUMMYFUNCTION("""COMPUTED_VALUE"""),1.0)</f>
        <v>1</v>
      </c>
    </row>
    <row r="11839">
      <c r="A11839" s="178" t="str">
        <f>IFERROR(__xludf.DUMMYFUNCTION("""COMPUTED_VALUE"""),"ITBISA-TIGERHEAD-SENTER-KUNING-FT300")</f>
        <v>ITBISA-TIGERHEAD-SENTER-KUNING-FT300</v>
      </c>
      <c r="B11839" s="266">
        <f>IFERROR(__xludf.DUMMYFUNCTION("""COMPUTED_VALUE"""),45356.0)</f>
        <v>45356</v>
      </c>
      <c r="C11839" s="266" t="str">
        <f>IFERROR(__xludf.DUMMYFUNCTION("""COMPUTED_VALUE"""),"KYAI KONTONG")</f>
        <v>KYAI KONTONG</v>
      </c>
      <c r="D11839" s="186">
        <f>IFERROR(__xludf.DUMMYFUNCTION("""COMPUTED_VALUE"""),1.0)</f>
        <v>1</v>
      </c>
    </row>
    <row r="11840">
      <c r="A11840" s="178" t="str">
        <f>IFERROR(__xludf.DUMMYFUNCTION("""COMPUTED_VALUE"""),"ITBISA-TIGERHEAD-SENTER-KUNING-FT300")</f>
        <v>ITBISA-TIGERHEAD-SENTER-KUNING-FT300</v>
      </c>
      <c r="B11840" s="266">
        <f>IFERROR(__xludf.DUMMYFUNCTION("""COMPUTED_VALUE"""),45364.0)</f>
        <v>45364</v>
      </c>
      <c r="C11840" s="266" t="str">
        <f>IFERROR(__xludf.DUMMYFUNCTION("""COMPUTED_VALUE"""),"KYAI KONTONG")</f>
        <v>KYAI KONTONG</v>
      </c>
      <c r="D11840" s="186">
        <f>IFERROR(__xludf.DUMMYFUNCTION("""COMPUTED_VALUE"""),1.0)</f>
        <v>1</v>
      </c>
    </row>
    <row r="11841">
      <c r="A11841" s="178" t="str">
        <f>IFERROR(__xludf.DUMMYFUNCTION("""COMPUTED_VALUE"""),"ITBISA-TIGERHEAD-SENTER-KUNING-FT300")</f>
        <v>ITBISA-TIGERHEAD-SENTER-KUNING-FT300</v>
      </c>
      <c r="B11841" s="266">
        <f>IFERROR(__xludf.DUMMYFUNCTION("""COMPUTED_VALUE"""),45369.0)</f>
        <v>45369</v>
      </c>
      <c r="C11841" s="266" t="str">
        <f>IFERROR(__xludf.DUMMYFUNCTION("""COMPUTED_VALUE"""),"KYAI KONTONG")</f>
        <v>KYAI KONTONG</v>
      </c>
      <c r="D11841" s="186">
        <f>IFERROR(__xludf.DUMMYFUNCTION("""COMPUTED_VALUE"""),1.0)</f>
        <v>1</v>
      </c>
    </row>
    <row r="11842">
      <c r="A11842" s="178" t="str">
        <f>IFERROR(__xludf.DUMMYFUNCTION("""COMPUTED_VALUE"""),"ITBISA-TIGERHEAD-SENTER-KUNING-FT300")</f>
        <v>ITBISA-TIGERHEAD-SENTER-KUNING-FT300</v>
      </c>
      <c r="B11842" s="266">
        <f>IFERROR(__xludf.DUMMYFUNCTION("""COMPUTED_VALUE"""),45375.0)</f>
        <v>45375</v>
      </c>
      <c r="C11842" s="266" t="str">
        <f>IFERROR(__xludf.DUMMYFUNCTION("""COMPUTED_VALUE"""),"KYAI KONTONG")</f>
        <v>KYAI KONTONG</v>
      </c>
      <c r="D11842" s="186">
        <f>IFERROR(__xludf.DUMMYFUNCTION("""COMPUTED_VALUE"""),1.0)</f>
        <v>1</v>
      </c>
    </row>
    <row r="11843">
      <c r="A11843" s="178" t="str">
        <f>IFERROR(__xludf.DUMMYFUNCTION("""COMPUTED_VALUE"""),"ITBISA-TIGERHEAD-SENTER-KUNING-FT300")</f>
        <v>ITBISA-TIGERHEAD-SENTER-KUNING-FT300</v>
      </c>
      <c r="B11843" s="266">
        <f>IFERROR(__xludf.DUMMYFUNCTION("""COMPUTED_VALUE"""),45375.0)</f>
        <v>45375</v>
      </c>
      <c r="C11843" s="266" t="str">
        <f>IFERROR(__xludf.DUMMYFUNCTION("""COMPUTED_VALUE"""),"KYAI KONTONG")</f>
        <v>KYAI KONTONG</v>
      </c>
      <c r="D11843" s="186">
        <f>IFERROR(__xludf.DUMMYFUNCTION("""COMPUTED_VALUE"""),1.0)</f>
        <v>1</v>
      </c>
    </row>
    <row r="11844">
      <c r="A11844" s="178" t="str">
        <f>IFERROR(__xludf.DUMMYFUNCTION("""COMPUTED_VALUE"""),"ITBISA-TIGERHEAD-SENTER-KUNING-FT300")</f>
        <v>ITBISA-TIGERHEAD-SENTER-KUNING-FT300</v>
      </c>
      <c r="B11844" s="266">
        <f>IFERROR(__xludf.DUMMYFUNCTION("""COMPUTED_VALUE"""),45375.0)</f>
        <v>45375</v>
      </c>
      <c r="C11844" s="266" t="str">
        <f>IFERROR(__xludf.DUMMYFUNCTION("""COMPUTED_VALUE"""),"KYAI KONTONG")</f>
        <v>KYAI KONTONG</v>
      </c>
      <c r="D11844" s="186">
        <f>IFERROR(__xludf.DUMMYFUNCTION("""COMPUTED_VALUE"""),1.0)</f>
        <v>1</v>
      </c>
    </row>
    <row r="11845">
      <c r="A11845" s="178" t="str">
        <f>IFERROR(__xludf.DUMMYFUNCTION("""COMPUTED_VALUE"""),"ITBISA-TIGERHEAD-SENTER-KUNING-FT300")</f>
        <v>ITBISA-TIGERHEAD-SENTER-KUNING-FT300</v>
      </c>
      <c r="B11845" s="266">
        <f>IFERROR(__xludf.DUMMYFUNCTION("""COMPUTED_VALUE"""),45376.0)</f>
        <v>45376</v>
      </c>
      <c r="C11845" s="266" t="str">
        <f>IFERROR(__xludf.DUMMYFUNCTION("""COMPUTED_VALUE"""),"KYAI KONTONG")</f>
        <v>KYAI KONTONG</v>
      </c>
      <c r="D11845" s="186">
        <f>IFERROR(__xludf.DUMMYFUNCTION("""COMPUTED_VALUE"""),1.0)</f>
        <v>1</v>
      </c>
    </row>
    <row r="11846">
      <c r="A11846" s="178" t="str">
        <f>IFERROR(__xludf.DUMMYFUNCTION("""COMPUTED_VALUE"""),"ITBISA-TIGERHEAD-SENTER-KUNING-FT300")</f>
        <v>ITBISA-TIGERHEAD-SENTER-KUNING-FT300</v>
      </c>
      <c r="B11846" s="266">
        <f>IFERROR(__xludf.DUMMYFUNCTION("""COMPUTED_VALUE"""),45376.0)</f>
        <v>45376</v>
      </c>
      <c r="C11846" s="266" t="str">
        <f>IFERROR(__xludf.DUMMYFUNCTION("""COMPUTED_VALUE"""),"KYAI KONTONG")</f>
        <v>KYAI KONTONG</v>
      </c>
      <c r="D11846" s="186">
        <f>IFERROR(__xludf.DUMMYFUNCTION("""COMPUTED_VALUE"""),1.0)</f>
        <v>1</v>
      </c>
    </row>
    <row r="11847">
      <c r="A11847" s="178" t="str">
        <f>IFERROR(__xludf.DUMMYFUNCTION("""COMPUTED_VALUE"""),"ITBISA-TIGERHEAD-SENTER-KUNING-FT300")</f>
        <v>ITBISA-TIGERHEAD-SENTER-KUNING-FT300</v>
      </c>
      <c r="B11847" s="266">
        <f>IFERROR(__xludf.DUMMYFUNCTION("""COMPUTED_VALUE"""),45377.0)</f>
        <v>45377</v>
      </c>
      <c r="C11847" s="266" t="str">
        <f>IFERROR(__xludf.DUMMYFUNCTION("""COMPUTED_VALUE"""),"KYAI KONTONG")</f>
        <v>KYAI KONTONG</v>
      </c>
      <c r="D11847" s="186">
        <f>IFERROR(__xludf.DUMMYFUNCTION("""COMPUTED_VALUE"""),1.0)</f>
        <v>1</v>
      </c>
    </row>
    <row r="11848">
      <c r="A11848" s="178" t="str">
        <f>IFERROR(__xludf.DUMMYFUNCTION("""COMPUTED_VALUE"""),"ITBISA-TIGERHEAD-SENTER-KUNING-FT300")</f>
        <v>ITBISA-TIGERHEAD-SENTER-KUNING-FT300</v>
      </c>
      <c r="B11848" s="266">
        <f>IFERROR(__xludf.DUMMYFUNCTION("""COMPUTED_VALUE"""),45379.0)</f>
        <v>45379</v>
      </c>
      <c r="C11848" s="266" t="str">
        <f>IFERROR(__xludf.DUMMYFUNCTION("""COMPUTED_VALUE"""),"KYAI KONTONG")</f>
        <v>KYAI KONTONG</v>
      </c>
      <c r="D11848" s="186">
        <f>IFERROR(__xludf.DUMMYFUNCTION("""COMPUTED_VALUE"""),2.0)</f>
        <v>2</v>
      </c>
    </row>
    <row r="11849">
      <c r="A11849" s="178" t="str">
        <f>IFERROR(__xludf.DUMMYFUNCTION("""COMPUTED_VALUE"""),"ITBISA-TIGERHEAD-SENTER-KUNING-FT300")</f>
        <v>ITBISA-TIGERHEAD-SENTER-KUNING-FT300</v>
      </c>
      <c r="B11849" s="266">
        <f>IFERROR(__xludf.DUMMYFUNCTION("""COMPUTED_VALUE"""),45380.0)</f>
        <v>45380</v>
      </c>
      <c r="C11849" s="266" t="str">
        <f>IFERROR(__xludf.DUMMYFUNCTION("""COMPUTED_VALUE"""),"KYAI KONTONG")</f>
        <v>KYAI KONTONG</v>
      </c>
      <c r="D11849" s="186">
        <f>IFERROR(__xludf.DUMMYFUNCTION("""COMPUTED_VALUE"""),1.0)</f>
        <v>1</v>
      </c>
    </row>
    <row r="11850">
      <c r="A11850" s="178" t="str">
        <f>IFERROR(__xludf.DUMMYFUNCTION("""COMPUTED_VALUE"""),"ITBISA-TIGERHEAD-SENTER-KUNING-FT300")</f>
        <v>ITBISA-TIGERHEAD-SENTER-KUNING-FT300</v>
      </c>
      <c r="B11850" s="266">
        <f>IFERROR(__xludf.DUMMYFUNCTION("""COMPUTED_VALUE"""),45389.0)</f>
        <v>45389</v>
      </c>
      <c r="C11850" s="266" t="str">
        <f>IFERROR(__xludf.DUMMYFUNCTION("""COMPUTED_VALUE"""),"KYAI KONTONG")</f>
        <v>KYAI KONTONG</v>
      </c>
      <c r="D11850" s="186">
        <f>IFERROR(__xludf.DUMMYFUNCTION("""COMPUTED_VALUE"""),2.0)</f>
        <v>2</v>
      </c>
    </row>
    <row r="11851">
      <c r="A11851" s="178" t="str">
        <f>IFERROR(__xludf.DUMMYFUNCTION("""COMPUTED_VALUE"""),"ITBISA-TIGERHEAD-SENTER-KUNING-FT300")</f>
        <v>ITBISA-TIGERHEAD-SENTER-KUNING-FT300</v>
      </c>
      <c r="B11851" s="266">
        <f>IFERROR(__xludf.DUMMYFUNCTION("""COMPUTED_VALUE"""),45392.0)</f>
        <v>45392</v>
      </c>
      <c r="C11851" s="266" t="str">
        <f>IFERROR(__xludf.DUMMYFUNCTION("""COMPUTED_VALUE"""),"KERTASARI CIAMIS")</f>
        <v>KERTASARI CIAMIS</v>
      </c>
      <c r="D11851" s="186">
        <f>IFERROR(__xludf.DUMMYFUNCTION("""COMPUTED_VALUE"""),1.0)</f>
        <v>1</v>
      </c>
    </row>
    <row r="11852">
      <c r="A11852" s="178" t="str">
        <f>IFERROR(__xludf.DUMMYFUNCTION("""COMPUTED_VALUE"""),"ITBISA-TIGERHEAD-SENTER-KUNING-FT300")</f>
        <v>ITBISA-TIGERHEAD-SENTER-KUNING-FT300</v>
      </c>
      <c r="B11852" s="266">
        <f>IFERROR(__xludf.DUMMYFUNCTION("""COMPUTED_VALUE"""),45398.0)</f>
        <v>45398</v>
      </c>
      <c r="C11852" s="266" t="str">
        <f>IFERROR(__xludf.DUMMYFUNCTION("""COMPUTED_VALUE"""),"KYAI KONTONG")</f>
        <v>KYAI KONTONG</v>
      </c>
      <c r="D11852" s="186">
        <f>IFERROR(__xludf.DUMMYFUNCTION("""COMPUTED_VALUE"""),1.0)</f>
        <v>1</v>
      </c>
    </row>
    <row r="11853">
      <c r="A11853" s="178" t="str">
        <f>IFERROR(__xludf.DUMMYFUNCTION("""COMPUTED_VALUE"""),"ITBISA-TIGERHEAD-SENTER-KUNING-FT300")</f>
        <v>ITBISA-TIGERHEAD-SENTER-KUNING-FT300</v>
      </c>
      <c r="B11853" s="266">
        <f>IFERROR(__xludf.DUMMYFUNCTION("""COMPUTED_VALUE"""),45399.0)</f>
        <v>45399</v>
      </c>
      <c r="C11853" s="266" t="str">
        <f>IFERROR(__xludf.DUMMYFUNCTION("""COMPUTED_VALUE"""),"KERTASARI CIAMIS")</f>
        <v>KERTASARI CIAMIS</v>
      </c>
      <c r="D11853" s="186">
        <f>IFERROR(__xludf.DUMMYFUNCTION("""COMPUTED_VALUE"""),1.0)</f>
        <v>1</v>
      </c>
    </row>
    <row r="11854">
      <c r="A11854" s="178" t="str">
        <f>IFERROR(__xludf.DUMMYFUNCTION("""COMPUTED_VALUE"""),"ITBISA-TIGERHEAD-SENTER-KUNING-FT300")</f>
        <v>ITBISA-TIGERHEAD-SENTER-KUNING-FT300</v>
      </c>
      <c r="B11854" s="266">
        <f>IFERROR(__xludf.DUMMYFUNCTION("""COMPUTED_VALUE"""),45400.0)</f>
        <v>45400</v>
      </c>
      <c r="C11854" s="266" t="str">
        <f>IFERROR(__xludf.DUMMYFUNCTION("""COMPUTED_VALUE"""),"KERTASARI CIAMIS")</f>
        <v>KERTASARI CIAMIS</v>
      </c>
      <c r="D11854" s="186">
        <f>IFERROR(__xludf.DUMMYFUNCTION("""COMPUTED_VALUE"""),1.0)</f>
        <v>1</v>
      </c>
    </row>
    <row r="11855">
      <c r="A11855" s="178" t="str">
        <f>IFERROR(__xludf.DUMMYFUNCTION("""COMPUTED_VALUE"""),"ITBISA-TIGERHEAD-SENTER-KUNING-FT300")</f>
        <v>ITBISA-TIGERHEAD-SENTER-KUNING-FT300</v>
      </c>
      <c r="B11855" s="266">
        <f>IFERROR(__xludf.DUMMYFUNCTION("""COMPUTED_VALUE"""),45400.0)</f>
        <v>45400</v>
      </c>
      <c r="C11855" s="266" t="str">
        <f>IFERROR(__xludf.DUMMYFUNCTION("""COMPUTED_VALUE"""),"KYAI KONTONG")</f>
        <v>KYAI KONTONG</v>
      </c>
      <c r="D11855" s="186">
        <f>IFERROR(__xludf.DUMMYFUNCTION("""COMPUTED_VALUE"""),1.0)</f>
        <v>1</v>
      </c>
    </row>
    <row r="11856">
      <c r="A11856" s="178" t="str">
        <f>IFERROR(__xludf.DUMMYFUNCTION("""COMPUTED_VALUE"""),"ITBISA-TIGERHEAD-SENTER-KUNING-FT300")</f>
        <v>ITBISA-TIGERHEAD-SENTER-KUNING-FT300</v>
      </c>
      <c r="B11856" s="266">
        <f>IFERROR(__xludf.DUMMYFUNCTION("""COMPUTED_VALUE"""),45401.0)</f>
        <v>45401</v>
      </c>
      <c r="C11856" s="266" t="str">
        <f>IFERROR(__xludf.DUMMYFUNCTION("""COMPUTED_VALUE"""),"KYAI KONTONG")</f>
        <v>KYAI KONTONG</v>
      </c>
      <c r="D11856" s="186">
        <f>IFERROR(__xludf.DUMMYFUNCTION("""COMPUTED_VALUE"""),1.0)</f>
        <v>1</v>
      </c>
    </row>
    <row r="11857">
      <c r="A11857" s="178" t="str">
        <f>IFERROR(__xludf.DUMMYFUNCTION("""COMPUTED_VALUE"""),"ITBISA-TIGERHEAD-SENTER-KUNING-FT300")</f>
        <v>ITBISA-TIGERHEAD-SENTER-KUNING-FT300</v>
      </c>
      <c r="B11857" s="266">
        <f>IFERROR(__xludf.DUMMYFUNCTION("""COMPUTED_VALUE"""),45402.0)</f>
        <v>45402</v>
      </c>
      <c r="C11857" s="266" t="str">
        <f>IFERROR(__xludf.DUMMYFUNCTION("""COMPUTED_VALUE"""),"KERTASARI CIAMIS")</f>
        <v>KERTASARI CIAMIS</v>
      </c>
      <c r="D11857" s="186">
        <f>IFERROR(__xludf.DUMMYFUNCTION("""COMPUTED_VALUE"""),1.0)</f>
        <v>1</v>
      </c>
    </row>
    <row r="11858">
      <c r="A11858" s="178" t="str">
        <f>IFERROR(__xludf.DUMMYFUNCTION("""COMPUTED_VALUE"""),"ITBISA-TIGERHEAD-SENTER-KUNING-FT300")</f>
        <v>ITBISA-TIGERHEAD-SENTER-KUNING-FT300</v>
      </c>
      <c r="B11858" s="266">
        <f>IFERROR(__xludf.DUMMYFUNCTION("""COMPUTED_VALUE"""),45403.0)</f>
        <v>45403</v>
      </c>
      <c r="C11858" s="266" t="str">
        <f>IFERROR(__xludf.DUMMYFUNCTION("""COMPUTED_VALUE"""),"KERTASARI CIAMIS")</f>
        <v>KERTASARI CIAMIS</v>
      </c>
      <c r="D11858" s="186">
        <f>IFERROR(__xludf.DUMMYFUNCTION("""COMPUTED_VALUE"""),1.0)</f>
        <v>1</v>
      </c>
    </row>
    <row r="11859">
      <c r="A11859" s="178" t="str">
        <f>IFERROR(__xludf.DUMMYFUNCTION("""COMPUTED_VALUE"""),"ITBISA-TIGERHEAD-SENTER-KUNING-FT300")</f>
        <v>ITBISA-TIGERHEAD-SENTER-KUNING-FT300</v>
      </c>
      <c r="B11859" s="266">
        <f>IFERROR(__xludf.DUMMYFUNCTION("""COMPUTED_VALUE"""),45407.0)</f>
        <v>45407</v>
      </c>
      <c r="C11859" s="266" t="str">
        <f>IFERROR(__xludf.DUMMYFUNCTION("""COMPUTED_VALUE"""),"KYAI KONTONG")</f>
        <v>KYAI KONTONG</v>
      </c>
      <c r="D11859" s="186">
        <f>IFERROR(__xludf.DUMMYFUNCTION("""COMPUTED_VALUE"""),6.0)</f>
        <v>6</v>
      </c>
    </row>
    <row r="11860">
      <c r="A11860" s="178" t="str">
        <f>IFERROR(__xludf.DUMMYFUNCTION("""COMPUTED_VALUE"""),"ITBISA-TIGERHEAD-SENTER-KUNING-FT300")</f>
        <v>ITBISA-TIGERHEAD-SENTER-KUNING-FT300</v>
      </c>
      <c r="B11860" s="266">
        <f>IFERROR(__xludf.DUMMYFUNCTION("""COMPUTED_VALUE"""),45410.0)</f>
        <v>45410</v>
      </c>
      <c r="C11860" s="266" t="str">
        <f>IFERROR(__xludf.DUMMYFUNCTION("""COMPUTED_VALUE"""),"KERTASARI CIAMIS")</f>
        <v>KERTASARI CIAMIS</v>
      </c>
      <c r="D11860" s="186">
        <f>IFERROR(__xludf.DUMMYFUNCTION("""COMPUTED_VALUE"""),1.0)</f>
        <v>1</v>
      </c>
    </row>
    <row r="11861">
      <c r="A11861" s="178" t="str">
        <f>IFERROR(__xludf.DUMMYFUNCTION("""COMPUTED_VALUE"""),"ITBISA-TIGERHEAD-SENTER-KUNING-FT300")</f>
        <v>ITBISA-TIGERHEAD-SENTER-KUNING-FT300</v>
      </c>
      <c r="B11861" s="266">
        <f>IFERROR(__xludf.DUMMYFUNCTION("""COMPUTED_VALUE"""),45411.0)</f>
        <v>45411</v>
      </c>
      <c r="C11861" s="266" t="str">
        <f>IFERROR(__xludf.DUMMYFUNCTION("""COMPUTED_VALUE"""),"KYAI KONTONG")</f>
        <v>KYAI KONTONG</v>
      </c>
      <c r="D11861" s="186">
        <f>IFERROR(__xludf.DUMMYFUNCTION("""COMPUTED_VALUE"""),1.0)</f>
        <v>1</v>
      </c>
    </row>
    <row r="11862">
      <c r="A11862" s="178" t="str">
        <f>IFERROR(__xludf.DUMMYFUNCTION("""COMPUTED_VALUE"""),"ITBISA-TIGERHEAD-SENTER-KUNING-FT300")</f>
        <v>ITBISA-TIGERHEAD-SENTER-KUNING-FT300</v>
      </c>
      <c r="B11862" s="266">
        <f>IFERROR(__xludf.DUMMYFUNCTION("""COMPUTED_VALUE"""),45411.0)</f>
        <v>45411</v>
      </c>
      <c r="C11862" s="266" t="str">
        <f>IFERROR(__xludf.DUMMYFUNCTION("""COMPUTED_VALUE"""),"KYAI KONTONG")</f>
        <v>KYAI KONTONG</v>
      </c>
      <c r="D11862" s="186">
        <f>IFERROR(__xludf.DUMMYFUNCTION("""COMPUTED_VALUE"""),1.0)</f>
        <v>1</v>
      </c>
    </row>
    <row r="11863">
      <c r="A11863" s="178" t="str">
        <f>IFERROR(__xludf.DUMMYFUNCTION("""COMPUTED_VALUE"""),"ITBISA-TIGERHEAD-SENTER-KUNING-FT300")</f>
        <v>ITBISA-TIGERHEAD-SENTER-KUNING-FT300</v>
      </c>
      <c r="B11863" s="266">
        <f>IFERROR(__xludf.DUMMYFUNCTION("""COMPUTED_VALUE"""),45412.0)</f>
        <v>45412</v>
      </c>
      <c r="C11863" s="266" t="str">
        <f>IFERROR(__xludf.DUMMYFUNCTION("""COMPUTED_VALUE"""),"KYAI KONTONG")</f>
        <v>KYAI KONTONG</v>
      </c>
      <c r="D11863" s="186">
        <f>IFERROR(__xludf.DUMMYFUNCTION("""COMPUTED_VALUE"""),1.0)</f>
        <v>1</v>
      </c>
    </row>
    <row r="11864">
      <c r="A11864" s="178" t="str">
        <f>IFERROR(__xludf.DUMMYFUNCTION("""COMPUTED_VALUE"""),"ITBISA-TIGERHEAD-SENTER-KUNING-FT300")</f>
        <v>ITBISA-TIGERHEAD-SENTER-KUNING-FT300</v>
      </c>
      <c r="B11864" s="266">
        <f>IFERROR(__xludf.DUMMYFUNCTION("""COMPUTED_VALUE"""),45412.0)</f>
        <v>45412</v>
      </c>
      <c r="C11864" s="266" t="str">
        <f>IFERROR(__xludf.DUMMYFUNCTION("""COMPUTED_VALUE"""),"KYAI KONTONG")</f>
        <v>KYAI KONTONG</v>
      </c>
      <c r="D11864" s="186">
        <f>IFERROR(__xludf.DUMMYFUNCTION("""COMPUTED_VALUE"""),1.0)</f>
        <v>1</v>
      </c>
    </row>
    <row r="11865">
      <c r="A11865" s="178" t="str">
        <f>IFERROR(__xludf.DUMMYFUNCTION("""COMPUTED_VALUE"""),"ITBISA-TIGERHEAD-SENTER-KUNING-FT300")</f>
        <v>ITBISA-TIGERHEAD-SENTER-KUNING-FT300</v>
      </c>
      <c r="B11865" s="266">
        <f>IFERROR(__xludf.DUMMYFUNCTION("""COMPUTED_VALUE"""),45412.0)</f>
        <v>45412</v>
      </c>
      <c r="C11865" s="266" t="str">
        <f>IFERROR(__xludf.DUMMYFUNCTION("""COMPUTED_VALUE"""),"KYAI KONTONG")</f>
        <v>KYAI KONTONG</v>
      </c>
      <c r="D11865" s="186">
        <f>IFERROR(__xludf.DUMMYFUNCTION("""COMPUTED_VALUE"""),3.0)</f>
        <v>3</v>
      </c>
    </row>
    <row r="11866">
      <c r="A11866" s="178" t="str">
        <f>IFERROR(__xludf.DUMMYFUNCTION("""COMPUTED_VALUE"""),"ITBISA-TIGERHEAD-SENTER-KUNING-FT300")</f>
        <v>ITBISA-TIGERHEAD-SENTER-KUNING-FT300</v>
      </c>
      <c r="B11866" s="266">
        <f>IFERROR(__xludf.DUMMYFUNCTION("""COMPUTED_VALUE"""),45412.0)</f>
        <v>45412</v>
      </c>
      <c r="C11866" s="266" t="str">
        <f>IFERROR(__xludf.DUMMYFUNCTION("""COMPUTED_VALUE"""),"KYAI KONTONG")</f>
        <v>KYAI KONTONG</v>
      </c>
      <c r="D11866" s="186">
        <f>IFERROR(__xludf.DUMMYFUNCTION("""COMPUTED_VALUE"""),17.0)</f>
        <v>17</v>
      </c>
    </row>
    <row r="11867">
      <c r="A11867" s="178" t="str">
        <f>IFERROR(__xludf.DUMMYFUNCTION("""COMPUTED_VALUE"""),"ITBISA-TIGERHEAD-SENTER-KUNING-FT300")</f>
        <v>ITBISA-TIGERHEAD-SENTER-KUNING-FT300</v>
      </c>
      <c r="B11867" s="266">
        <f>IFERROR(__xludf.DUMMYFUNCTION("""COMPUTED_VALUE"""),45413.0)</f>
        <v>45413</v>
      </c>
      <c r="C11867" s="266" t="str">
        <f>IFERROR(__xludf.DUMMYFUNCTION("""COMPUTED_VALUE"""),"KYAI KONTONG")</f>
        <v>KYAI KONTONG</v>
      </c>
      <c r="D11867" s="186">
        <f>IFERROR(__xludf.DUMMYFUNCTION("""COMPUTED_VALUE"""),1.0)</f>
        <v>1</v>
      </c>
    </row>
    <row r="11868">
      <c r="A11868" s="178" t="str">
        <f>IFERROR(__xludf.DUMMYFUNCTION("""COMPUTED_VALUE"""),"ITBISA-TIGERHEAD-SENTER-KUNING-FT300")</f>
        <v>ITBISA-TIGERHEAD-SENTER-KUNING-FT300</v>
      </c>
      <c r="B11868" s="266">
        <f>IFERROR(__xludf.DUMMYFUNCTION("""COMPUTED_VALUE"""),45415.0)</f>
        <v>45415</v>
      </c>
      <c r="C11868" s="266" t="str">
        <f>IFERROR(__xludf.DUMMYFUNCTION("""COMPUTED_VALUE"""),"KYAI KONTONG")</f>
        <v>KYAI KONTONG</v>
      </c>
      <c r="D11868" s="186">
        <f>IFERROR(__xludf.DUMMYFUNCTION("""COMPUTED_VALUE"""),1.0)</f>
        <v>1</v>
      </c>
    </row>
    <row r="11869">
      <c r="A11869" s="178" t="str">
        <f>IFERROR(__xludf.DUMMYFUNCTION("""COMPUTED_VALUE"""),"ITBISA-TIGERHEAD-SENTER-KUNING-FT300")</f>
        <v>ITBISA-TIGERHEAD-SENTER-KUNING-FT300</v>
      </c>
      <c r="B11869" s="266">
        <f>IFERROR(__xludf.DUMMYFUNCTION("""COMPUTED_VALUE"""),45419.0)</f>
        <v>45419</v>
      </c>
      <c r="C11869" s="266" t="str">
        <f>IFERROR(__xludf.DUMMYFUNCTION("""COMPUTED_VALUE"""),"KERTASARI CIAMIS")</f>
        <v>KERTASARI CIAMIS</v>
      </c>
      <c r="D11869" s="186">
        <f>IFERROR(__xludf.DUMMYFUNCTION("""COMPUTED_VALUE"""),1.0)</f>
        <v>1</v>
      </c>
    </row>
    <row r="11870">
      <c r="A11870" s="178" t="str">
        <f>IFERROR(__xludf.DUMMYFUNCTION("""COMPUTED_VALUE"""),"ITBISA-TIGERHEAD-SENTER-KUNING-FT300")</f>
        <v>ITBISA-TIGERHEAD-SENTER-KUNING-FT300</v>
      </c>
      <c r="B11870" s="266">
        <f>IFERROR(__xludf.DUMMYFUNCTION("""COMPUTED_VALUE"""),45420.0)</f>
        <v>45420</v>
      </c>
      <c r="C11870" s="266" t="str">
        <f>IFERROR(__xludf.DUMMYFUNCTION("""COMPUTED_VALUE"""),"KERTASARI CIAMIS")</f>
        <v>KERTASARI CIAMIS</v>
      </c>
      <c r="D11870" s="186">
        <f>IFERROR(__xludf.DUMMYFUNCTION("""COMPUTED_VALUE"""),1.0)</f>
        <v>1</v>
      </c>
    </row>
    <row r="11871">
      <c r="A11871" s="178" t="str">
        <f>IFERROR(__xludf.DUMMYFUNCTION("""COMPUTED_VALUE"""),"ITBISA-TIGERHEAD-SENTER-KUNING-FT300")</f>
        <v>ITBISA-TIGERHEAD-SENTER-KUNING-FT300</v>
      </c>
      <c r="B11871" s="266">
        <f>IFERROR(__xludf.DUMMYFUNCTION("""COMPUTED_VALUE"""),45427.0)</f>
        <v>45427</v>
      </c>
      <c r="C11871" s="266" t="str">
        <f>IFERROR(__xludf.DUMMYFUNCTION("""COMPUTED_VALUE"""),"KERTASARI CIAMIS")</f>
        <v>KERTASARI CIAMIS</v>
      </c>
      <c r="D11871" s="186">
        <f>IFERROR(__xludf.DUMMYFUNCTION("""COMPUTED_VALUE"""),1.0)</f>
        <v>1</v>
      </c>
    </row>
    <row r="11872">
      <c r="A11872" s="178" t="str">
        <f>IFERROR(__xludf.DUMMYFUNCTION("""COMPUTED_VALUE"""),"ITBISA-TIGERHEAD-SENTER-KUNING-FT300")</f>
        <v>ITBISA-TIGERHEAD-SENTER-KUNING-FT300</v>
      </c>
      <c r="B11872" s="266">
        <f>IFERROR(__xludf.DUMMYFUNCTION("""COMPUTED_VALUE"""),45428.0)</f>
        <v>45428</v>
      </c>
      <c r="C11872" s="266" t="str">
        <f>IFERROR(__xludf.DUMMYFUNCTION("""COMPUTED_VALUE"""),"KERTASARI CIAMIS")</f>
        <v>KERTASARI CIAMIS</v>
      </c>
      <c r="D11872" s="186">
        <f>IFERROR(__xludf.DUMMYFUNCTION("""COMPUTED_VALUE"""),1.0)</f>
        <v>1</v>
      </c>
    </row>
    <row r="11873">
      <c r="A11873" s="178" t="str">
        <f>IFERROR(__xludf.DUMMYFUNCTION("""COMPUTED_VALUE"""),"ITBISA-TIGERHEAD-SENTER-KUNING-FT300")</f>
        <v>ITBISA-TIGERHEAD-SENTER-KUNING-FT300</v>
      </c>
      <c r="B11873" s="266">
        <f>IFERROR(__xludf.DUMMYFUNCTION("""COMPUTED_VALUE"""),45429.0)</f>
        <v>45429</v>
      </c>
      <c r="C11873" s="266" t="str">
        <f>IFERROR(__xludf.DUMMYFUNCTION("""COMPUTED_VALUE"""),"KYAI KONTONG")</f>
        <v>KYAI KONTONG</v>
      </c>
      <c r="D11873" s="186">
        <f>IFERROR(__xludf.DUMMYFUNCTION("""COMPUTED_VALUE"""),2.0)</f>
        <v>2</v>
      </c>
    </row>
    <row r="11874">
      <c r="A11874" s="178" t="str">
        <f>IFERROR(__xludf.DUMMYFUNCTION("""COMPUTED_VALUE"""),"ITBISA-TIGERHEAD-SENTER-KUNING-FT300")</f>
        <v>ITBISA-TIGERHEAD-SENTER-KUNING-FT300</v>
      </c>
      <c r="B11874" s="266">
        <f>IFERROR(__xludf.DUMMYFUNCTION("""COMPUTED_VALUE"""),45429.0)</f>
        <v>45429</v>
      </c>
      <c r="C11874" s="266" t="str">
        <f>IFERROR(__xludf.DUMMYFUNCTION("""COMPUTED_VALUE"""),"KYAI KONTONG")</f>
        <v>KYAI KONTONG</v>
      </c>
      <c r="D11874" s="186">
        <f>IFERROR(__xludf.DUMMYFUNCTION("""COMPUTED_VALUE"""),2.0)</f>
        <v>2</v>
      </c>
    </row>
    <row r="11875">
      <c r="A11875" s="178" t="str">
        <f>IFERROR(__xludf.DUMMYFUNCTION("""COMPUTED_VALUE"""),"ITBISA-TIGERHEAD-SENTER-KUNING-FT300")</f>
        <v>ITBISA-TIGERHEAD-SENTER-KUNING-FT300</v>
      </c>
      <c r="B11875" s="266">
        <f>IFERROR(__xludf.DUMMYFUNCTION("""COMPUTED_VALUE"""),45435.0)</f>
        <v>45435</v>
      </c>
      <c r="C11875" s="266" t="str">
        <f>IFERROR(__xludf.DUMMYFUNCTION("""COMPUTED_VALUE"""),"KYAI KONTONG")</f>
        <v>KYAI KONTONG</v>
      </c>
      <c r="D11875" s="186">
        <f>IFERROR(__xludf.DUMMYFUNCTION("""COMPUTED_VALUE"""),6.0)</f>
        <v>6</v>
      </c>
    </row>
    <row r="11876">
      <c r="A11876" s="178" t="str">
        <f>IFERROR(__xludf.DUMMYFUNCTION("""COMPUTED_VALUE"""),"ITBISA-TIGERHEAD-SENTER-KUNING-FT300")</f>
        <v>ITBISA-TIGERHEAD-SENTER-KUNING-FT300</v>
      </c>
      <c r="B11876" s="266">
        <f>IFERROR(__xludf.DUMMYFUNCTION("""COMPUTED_VALUE"""),45436.0)</f>
        <v>45436</v>
      </c>
      <c r="C11876" s="266" t="str">
        <f>IFERROR(__xludf.DUMMYFUNCTION("""COMPUTED_VALUE"""),"KYAI KONTONG")</f>
        <v>KYAI KONTONG</v>
      </c>
      <c r="D11876" s="186">
        <f>IFERROR(__xludf.DUMMYFUNCTION("""COMPUTED_VALUE"""),1.0)</f>
        <v>1</v>
      </c>
    </row>
    <row r="11877">
      <c r="A11877" s="178" t="str">
        <f>IFERROR(__xludf.DUMMYFUNCTION("""COMPUTED_VALUE"""),"ITBISA-TIGERHEAD-SENTER-KUNING-FT300")</f>
        <v>ITBISA-TIGERHEAD-SENTER-KUNING-FT300</v>
      </c>
      <c r="B11877" s="266">
        <f>IFERROR(__xludf.DUMMYFUNCTION("""COMPUTED_VALUE"""),45442.0)</f>
        <v>45442</v>
      </c>
      <c r="C11877" s="266" t="str">
        <f>IFERROR(__xludf.DUMMYFUNCTION("""COMPUTED_VALUE"""),"KYAI KONTONG")</f>
        <v>KYAI KONTONG</v>
      </c>
      <c r="D11877" s="186">
        <f>IFERROR(__xludf.DUMMYFUNCTION("""COMPUTED_VALUE"""),2.0)</f>
        <v>2</v>
      </c>
    </row>
    <row r="11878">
      <c r="A11878" s="178" t="str">
        <f>IFERROR(__xludf.DUMMYFUNCTION("""COMPUTED_VALUE"""),"ITBISA-TIGERHEAD-SENTER-KUNING-FT300")</f>
        <v>ITBISA-TIGERHEAD-SENTER-KUNING-FT300</v>
      </c>
      <c r="B11878" s="266">
        <f>IFERROR(__xludf.DUMMYFUNCTION("""COMPUTED_VALUE"""),45447.0)</f>
        <v>45447</v>
      </c>
      <c r="C11878" s="266" t="str">
        <f>IFERROR(__xludf.DUMMYFUNCTION("""COMPUTED_VALUE"""),"KERTASARI CIAMIS")</f>
        <v>KERTASARI CIAMIS</v>
      </c>
      <c r="D11878" s="186">
        <f>IFERROR(__xludf.DUMMYFUNCTION("""COMPUTED_VALUE"""),1.0)</f>
        <v>1</v>
      </c>
    </row>
    <row r="11879">
      <c r="A11879" s="178" t="str">
        <f>IFERROR(__xludf.DUMMYFUNCTION("""COMPUTED_VALUE"""),"ITBISA-TIGERHEAD-SENTER-KUNING-FT300")</f>
        <v>ITBISA-TIGERHEAD-SENTER-KUNING-FT300</v>
      </c>
      <c r="B11879" s="266">
        <f>IFERROR(__xludf.DUMMYFUNCTION("""COMPUTED_VALUE"""),45448.0)</f>
        <v>45448</v>
      </c>
      <c r="C11879" s="266" t="str">
        <f>IFERROR(__xludf.DUMMYFUNCTION("""COMPUTED_VALUE"""),"KERTASARI CIAMIS")</f>
        <v>KERTASARI CIAMIS</v>
      </c>
      <c r="D11879" s="186">
        <f>IFERROR(__xludf.DUMMYFUNCTION("""COMPUTED_VALUE"""),1.0)</f>
        <v>1</v>
      </c>
    </row>
    <row r="11880">
      <c r="A11880" s="178" t="str">
        <f>IFERROR(__xludf.DUMMYFUNCTION("""COMPUTED_VALUE"""),"ITBISA-TIGERHEAD-SENTER-KUNING-FT300")</f>
        <v>ITBISA-TIGERHEAD-SENTER-KUNING-FT300</v>
      </c>
      <c r="B11880" s="266">
        <f>IFERROR(__xludf.DUMMYFUNCTION("""COMPUTED_VALUE"""),45448.0)</f>
        <v>45448</v>
      </c>
      <c r="C11880" s="266" t="str">
        <f>IFERROR(__xludf.DUMMYFUNCTION("""COMPUTED_VALUE"""),"KYAI KONTONG")</f>
        <v>KYAI KONTONG</v>
      </c>
      <c r="D11880" s="186">
        <f>IFERROR(__xludf.DUMMYFUNCTION("""COMPUTED_VALUE"""),2.0)</f>
        <v>2</v>
      </c>
    </row>
    <row r="11881">
      <c r="A11881" s="178" t="str">
        <f>IFERROR(__xludf.DUMMYFUNCTION("""COMPUTED_VALUE"""),"ITBISA-TIGERHEAD-SENTER-KUNING-FT300")</f>
        <v>ITBISA-TIGERHEAD-SENTER-KUNING-FT300</v>
      </c>
      <c r="B11881" s="266">
        <f>IFERROR(__xludf.DUMMYFUNCTION("""COMPUTED_VALUE"""),45448.0)</f>
        <v>45448</v>
      </c>
      <c r="C11881" s="266" t="str">
        <f>IFERROR(__xludf.DUMMYFUNCTION("""COMPUTED_VALUE"""),"KYAI KONTONG")</f>
        <v>KYAI KONTONG</v>
      </c>
      <c r="D11881" s="186">
        <f>IFERROR(__xludf.DUMMYFUNCTION("""COMPUTED_VALUE"""),6.0)</f>
        <v>6</v>
      </c>
    </row>
    <row r="11882">
      <c r="A11882" s="178" t="str">
        <f>IFERROR(__xludf.DUMMYFUNCTION("""COMPUTED_VALUE"""),"ITBISA-TIGERHEAD-SENTER-KUNING-FT300")</f>
        <v>ITBISA-TIGERHEAD-SENTER-KUNING-FT300</v>
      </c>
      <c r="B11882" s="266">
        <f>IFERROR(__xludf.DUMMYFUNCTION("""COMPUTED_VALUE"""),45449.0)</f>
        <v>45449</v>
      </c>
      <c r="C11882" s="266" t="str">
        <f>IFERROR(__xludf.DUMMYFUNCTION("""COMPUTED_VALUE"""),"KYAI KONTONG")</f>
        <v>KYAI KONTONG</v>
      </c>
      <c r="D11882" s="186">
        <f>IFERROR(__xludf.DUMMYFUNCTION("""COMPUTED_VALUE"""),1.0)</f>
        <v>1</v>
      </c>
    </row>
    <row r="11883">
      <c r="A11883" s="178" t="str">
        <f>IFERROR(__xludf.DUMMYFUNCTION("""COMPUTED_VALUE"""),"ITBISA-TIGERHEAD-SENTER-KUNING-FT300")</f>
        <v>ITBISA-TIGERHEAD-SENTER-KUNING-FT300</v>
      </c>
      <c r="B11883" s="266">
        <f>IFERROR(__xludf.DUMMYFUNCTION("""COMPUTED_VALUE"""),45451.0)</f>
        <v>45451</v>
      </c>
      <c r="C11883" s="266" t="str">
        <f>IFERROR(__xludf.DUMMYFUNCTION("""COMPUTED_VALUE"""),"KERTASARI CIAMIS")</f>
        <v>KERTASARI CIAMIS</v>
      </c>
      <c r="D11883" s="186">
        <f>IFERROR(__xludf.DUMMYFUNCTION("""COMPUTED_VALUE"""),1.0)</f>
        <v>1</v>
      </c>
    </row>
    <row r="11884">
      <c r="A11884" s="178" t="str">
        <f>IFERROR(__xludf.DUMMYFUNCTION("""COMPUTED_VALUE"""),"ITBISA-TIGERHEAD-SENTER-KUNING-FT300")</f>
        <v>ITBISA-TIGERHEAD-SENTER-KUNING-FT300</v>
      </c>
      <c r="B11884" s="266">
        <f>IFERROR(__xludf.DUMMYFUNCTION("""COMPUTED_VALUE"""),45453.0)</f>
        <v>45453</v>
      </c>
      <c r="C11884" s="266" t="str">
        <f>IFERROR(__xludf.DUMMYFUNCTION("""COMPUTED_VALUE"""),"KERTASARI CIAMIS")</f>
        <v>KERTASARI CIAMIS</v>
      </c>
      <c r="D11884" s="186">
        <f>IFERROR(__xludf.DUMMYFUNCTION("""COMPUTED_VALUE"""),1.0)</f>
        <v>1</v>
      </c>
    </row>
    <row r="11885">
      <c r="A11885" s="178" t="str">
        <f>IFERROR(__xludf.DUMMYFUNCTION("""COMPUTED_VALUE"""),"ITBISA-TIGERHEAD-SENTER-KUNING-FT300")</f>
        <v>ITBISA-TIGERHEAD-SENTER-KUNING-FT300</v>
      </c>
      <c r="B11885" s="266">
        <f>IFERROR(__xludf.DUMMYFUNCTION("""COMPUTED_VALUE"""),45456.0)</f>
        <v>45456</v>
      </c>
      <c r="C11885" s="266" t="str">
        <f>IFERROR(__xludf.DUMMYFUNCTION("""COMPUTED_VALUE"""),"KYAI KONTONG")</f>
        <v>KYAI KONTONG</v>
      </c>
      <c r="D11885" s="186">
        <f>IFERROR(__xludf.DUMMYFUNCTION("""COMPUTED_VALUE"""),1.0)</f>
        <v>1</v>
      </c>
    </row>
    <row r="11886">
      <c r="A11886" s="178" t="str">
        <f>IFERROR(__xludf.DUMMYFUNCTION("""COMPUTED_VALUE"""),"ITBISA-TIGERHEAD-SENTER-KUNING-FT300")</f>
        <v>ITBISA-TIGERHEAD-SENTER-KUNING-FT300</v>
      </c>
      <c r="B11886" s="266">
        <f>IFERROR(__xludf.DUMMYFUNCTION("""COMPUTED_VALUE"""),45458.0)</f>
        <v>45458</v>
      </c>
      <c r="C11886" s="266" t="str">
        <f>IFERROR(__xludf.DUMMYFUNCTION("""COMPUTED_VALUE"""),"KERTASARI CIAMIS")</f>
        <v>KERTASARI CIAMIS</v>
      </c>
      <c r="D11886" s="186">
        <f>IFERROR(__xludf.DUMMYFUNCTION("""COMPUTED_VALUE"""),1.0)</f>
        <v>1</v>
      </c>
    </row>
    <row r="11887">
      <c r="A11887" s="178" t="str">
        <f>IFERROR(__xludf.DUMMYFUNCTION("""COMPUTED_VALUE"""),"ITBISA-TIGERHEAD-SENTER-KUNING-FT300")</f>
        <v>ITBISA-TIGERHEAD-SENTER-KUNING-FT300</v>
      </c>
      <c r="B11887" s="266">
        <f>IFERROR(__xludf.DUMMYFUNCTION("""COMPUTED_VALUE"""),45459.0)</f>
        <v>45459</v>
      </c>
      <c r="C11887" s="266" t="str">
        <f>IFERROR(__xludf.DUMMYFUNCTION("""COMPUTED_VALUE"""),"KERTASARI CIAMIS")</f>
        <v>KERTASARI CIAMIS</v>
      </c>
      <c r="D11887" s="186">
        <f>IFERROR(__xludf.DUMMYFUNCTION("""COMPUTED_VALUE"""),0.0)</f>
        <v>0</v>
      </c>
    </row>
    <row r="11888">
      <c r="A11888" s="178" t="str">
        <f>IFERROR(__xludf.DUMMYFUNCTION("""COMPUTED_VALUE"""),"ITBISA-TIGERHEAD-SENTER-KUNING-FT300")</f>
        <v>ITBISA-TIGERHEAD-SENTER-KUNING-FT300</v>
      </c>
      <c r="B11888" s="266">
        <f>IFERROR(__xludf.DUMMYFUNCTION("""COMPUTED_VALUE"""),45460.0)</f>
        <v>45460</v>
      </c>
      <c r="C11888" s="266" t="str">
        <f>IFERROR(__xludf.DUMMYFUNCTION("""COMPUTED_VALUE"""),"KYAI KONTONG")</f>
        <v>KYAI KONTONG</v>
      </c>
      <c r="D11888" s="186">
        <f>IFERROR(__xludf.DUMMYFUNCTION("""COMPUTED_VALUE"""),1.0)</f>
        <v>1</v>
      </c>
    </row>
    <row r="11889">
      <c r="A11889" s="178" t="str">
        <f>IFERROR(__xludf.DUMMYFUNCTION("""COMPUTED_VALUE"""),"ITBISA-TIGERHEAD-SENTER-KUNING-FT300")</f>
        <v>ITBISA-TIGERHEAD-SENTER-KUNING-FT300</v>
      </c>
      <c r="B11889" s="266">
        <f>IFERROR(__xludf.DUMMYFUNCTION("""COMPUTED_VALUE"""),45461.0)</f>
        <v>45461</v>
      </c>
      <c r="C11889" s="266" t="str">
        <f>IFERROR(__xludf.DUMMYFUNCTION("""COMPUTED_VALUE"""),"KYAI KONTONG")</f>
        <v>KYAI KONTONG</v>
      </c>
      <c r="D11889" s="186">
        <f>IFERROR(__xludf.DUMMYFUNCTION("""COMPUTED_VALUE"""),2.0)</f>
        <v>2</v>
      </c>
    </row>
    <row r="11890">
      <c r="A11890" s="178" t="str">
        <f>IFERROR(__xludf.DUMMYFUNCTION("""COMPUTED_VALUE"""),"ITBISA-TIGERHEAD-SENTER-KUNING-FT300")</f>
        <v>ITBISA-TIGERHEAD-SENTER-KUNING-FT300</v>
      </c>
      <c r="B11890" s="266">
        <f>IFERROR(__xludf.DUMMYFUNCTION("""COMPUTED_VALUE"""),45466.0)</f>
        <v>45466</v>
      </c>
      <c r="C11890" s="266" t="str">
        <f>IFERROR(__xludf.DUMMYFUNCTION("""COMPUTED_VALUE"""),"KERTASARI CIAMIS")</f>
        <v>KERTASARI CIAMIS</v>
      </c>
      <c r="D11890" s="186">
        <f>IFERROR(__xludf.DUMMYFUNCTION("""COMPUTED_VALUE"""),1.0)</f>
        <v>1</v>
      </c>
    </row>
    <row r="11891">
      <c r="A11891" s="178" t="str">
        <f>IFERROR(__xludf.DUMMYFUNCTION("""COMPUTED_VALUE"""),"ITBISA-TIGERHEAD-SENTER-KUNING-FT300")</f>
        <v>ITBISA-TIGERHEAD-SENTER-KUNING-FT300</v>
      </c>
      <c r="B11891" s="266">
        <f>IFERROR(__xludf.DUMMYFUNCTION("""COMPUTED_VALUE"""),45466.0)</f>
        <v>45466</v>
      </c>
      <c r="C11891" s="266" t="str">
        <f>IFERROR(__xludf.DUMMYFUNCTION("""COMPUTED_VALUE"""),"KYAI KONTONG")</f>
        <v>KYAI KONTONG</v>
      </c>
      <c r="D11891" s="186">
        <f>IFERROR(__xludf.DUMMYFUNCTION("""COMPUTED_VALUE"""),1.0)</f>
        <v>1</v>
      </c>
    </row>
    <row r="11892">
      <c r="A11892" s="178" t="str">
        <f>IFERROR(__xludf.DUMMYFUNCTION("""COMPUTED_VALUE"""),"ITBISA-TIGERHEAD-SENTER-KUNING-FT300")</f>
        <v>ITBISA-TIGERHEAD-SENTER-KUNING-FT300</v>
      </c>
      <c r="B11892" s="266">
        <f>IFERROR(__xludf.DUMMYFUNCTION("""COMPUTED_VALUE"""),45469.0)</f>
        <v>45469</v>
      </c>
      <c r="C11892" s="266" t="str">
        <f>IFERROR(__xludf.DUMMYFUNCTION("""COMPUTED_VALUE"""),"KERTASARI CIAMIS")</f>
        <v>KERTASARI CIAMIS</v>
      </c>
      <c r="D11892" s="186">
        <f>IFERROR(__xludf.DUMMYFUNCTION("""COMPUTED_VALUE"""),1.0)</f>
        <v>1</v>
      </c>
    </row>
    <row r="11893">
      <c r="A11893" s="178" t="str">
        <f>IFERROR(__xludf.DUMMYFUNCTION("""COMPUTED_VALUE"""),"ITBISA-TIGERHEAD-SENTER-KUNING-FT300")</f>
        <v>ITBISA-TIGERHEAD-SENTER-KUNING-FT300</v>
      </c>
      <c r="B11893" s="266">
        <f>IFERROR(__xludf.DUMMYFUNCTION("""COMPUTED_VALUE"""),45469.0)</f>
        <v>45469</v>
      </c>
      <c r="C11893" s="266" t="str">
        <f>IFERROR(__xludf.DUMMYFUNCTION("""COMPUTED_VALUE"""),"KYAI KONTONG")</f>
        <v>KYAI KONTONG</v>
      </c>
      <c r="D11893" s="186">
        <f>IFERROR(__xludf.DUMMYFUNCTION("""COMPUTED_VALUE"""),3.0)</f>
        <v>3</v>
      </c>
    </row>
    <row r="11894">
      <c r="A11894" s="178" t="str">
        <f>IFERROR(__xludf.DUMMYFUNCTION("""COMPUTED_VALUE"""),"ITBISA-TIGERHEAD-SENTER-KUNING-FT300")</f>
        <v>ITBISA-TIGERHEAD-SENTER-KUNING-FT300</v>
      </c>
      <c r="B11894" s="266">
        <f>IFERROR(__xludf.DUMMYFUNCTION("""COMPUTED_VALUE"""),45471.0)</f>
        <v>45471</v>
      </c>
      <c r="C11894" s="266" t="str">
        <f>IFERROR(__xludf.DUMMYFUNCTION("""COMPUTED_VALUE"""),"KYAI KONTONG")</f>
        <v>KYAI KONTONG</v>
      </c>
      <c r="D11894" s="186">
        <f>IFERROR(__xludf.DUMMYFUNCTION("""COMPUTED_VALUE"""),1.0)</f>
        <v>1</v>
      </c>
    </row>
    <row r="11895">
      <c r="A11895" s="178" t="str">
        <f>IFERROR(__xludf.DUMMYFUNCTION("""COMPUTED_VALUE"""),"ITBISA-TIGERHEAD-SENTER-KUNING-FT300")</f>
        <v>ITBISA-TIGERHEAD-SENTER-KUNING-FT300</v>
      </c>
      <c r="B11895" s="266">
        <f>IFERROR(__xludf.DUMMYFUNCTION("""COMPUTED_VALUE"""),45472.0)</f>
        <v>45472</v>
      </c>
      <c r="C11895" s="266" t="str">
        <f>IFERROR(__xludf.DUMMYFUNCTION("""COMPUTED_VALUE"""),"KERTASARI CIAMIS")</f>
        <v>KERTASARI CIAMIS</v>
      </c>
      <c r="D11895" s="186">
        <f>IFERROR(__xludf.DUMMYFUNCTION("""COMPUTED_VALUE"""),1.0)</f>
        <v>1</v>
      </c>
    </row>
    <row r="11896">
      <c r="A11896" s="178" t="str">
        <f>IFERROR(__xludf.DUMMYFUNCTION("""COMPUTED_VALUE"""),"ITBISA-TIGERHEAD-SENTER-KUNING-FT300")</f>
        <v>ITBISA-TIGERHEAD-SENTER-KUNING-FT300</v>
      </c>
      <c r="B11896" s="266">
        <f>IFERROR(__xludf.DUMMYFUNCTION("""COMPUTED_VALUE"""),45473.0)</f>
        <v>45473</v>
      </c>
      <c r="C11896" s="266" t="str">
        <f>IFERROR(__xludf.DUMMYFUNCTION("""COMPUTED_VALUE"""),"KYAI KONTONG")</f>
        <v>KYAI KONTONG</v>
      </c>
      <c r="D11896" s="186">
        <f>IFERROR(__xludf.DUMMYFUNCTION("""COMPUTED_VALUE"""),1.0)</f>
        <v>1</v>
      </c>
    </row>
    <row r="11897">
      <c r="A11897" s="178" t="str">
        <f>IFERROR(__xludf.DUMMYFUNCTION("""COMPUTED_VALUE"""),"ITBISA-TIGERHEAD-SENTER-KUNING-FT300")</f>
        <v>ITBISA-TIGERHEAD-SENTER-KUNING-FT300</v>
      </c>
      <c r="B11897" s="266">
        <f>IFERROR(__xludf.DUMMYFUNCTION("""COMPUTED_VALUE"""),45474.0)</f>
        <v>45474</v>
      </c>
      <c r="C11897" s="266" t="str">
        <f>IFERROR(__xludf.DUMMYFUNCTION("""COMPUTED_VALUE"""),"KYAI KONTONG")</f>
        <v>KYAI KONTONG</v>
      </c>
      <c r="D11897" s="186">
        <f>IFERROR(__xludf.DUMMYFUNCTION("""COMPUTED_VALUE"""),1.0)</f>
        <v>1</v>
      </c>
    </row>
    <row r="11898">
      <c r="A11898" s="178" t="str">
        <f>IFERROR(__xludf.DUMMYFUNCTION("""COMPUTED_VALUE"""),"ITBISA-TIGERHEAD-SENTER-KUNING-FT300")</f>
        <v>ITBISA-TIGERHEAD-SENTER-KUNING-FT300</v>
      </c>
      <c r="B11898" s="266">
        <f>IFERROR(__xludf.DUMMYFUNCTION("""COMPUTED_VALUE"""),45474.0)</f>
        <v>45474</v>
      </c>
      <c r="C11898" s="266" t="str">
        <f>IFERROR(__xludf.DUMMYFUNCTION("""COMPUTED_VALUE"""),"KYAI KONTONG")</f>
        <v>KYAI KONTONG</v>
      </c>
      <c r="D11898" s="186">
        <f>IFERROR(__xludf.DUMMYFUNCTION("""COMPUTED_VALUE"""),3.0)</f>
        <v>3</v>
      </c>
    </row>
    <row r="11899">
      <c r="A11899" s="178" t="str">
        <f>IFERROR(__xludf.DUMMYFUNCTION("""COMPUTED_VALUE"""),"ITBISA-TIGERHEAD-SENTER-KUNING-FT300")</f>
        <v>ITBISA-TIGERHEAD-SENTER-KUNING-FT300</v>
      </c>
      <c r="B11899" s="266">
        <f>IFERROR(__xludf.DUMMYFUNCTION("""COMPUTED_VALUE"""),45475.0)</f>
        <v>45475</v>
      </c>
      <c r="C11899" s="266" t="str">
        <f>IFERROR(__xludf.DUMMYFUNCTION("""COMPUTED_VALUE"""),"KYAI KONTONG")</f>
        <v>KYAI KONTONG</v>
      </c>
      <c r="D11899" s="186">
        <f>IFERROR(__xludf.DUMMYFUNCTION("""COMPUTED_VALUE"""),1.0)</f>
        <v>1</v>
      </c>
    </row>
    <row r="11900">
      <c r="A11900" s="178" t="str">
        <f>IFERROR(__xludf.DUMMYFUNCTION("""COMPUTED_VALUE"""),"ITBISA-TIGERHEAD-SENTER-KUNING-FT300")</f>
        <v>ITBISA-TIGERHEAD-SENTER-KUNING-FT300</v>
      </c>
      <c r="B11900" s="266">
        <f>IFERROR(__xludf.DUMMYFUNCTION("""COMPUTED_VALUE"""),45480.0)</f>
        <v>45480</v>
      </c>
      <c r="C11900" s="266" t="str">
        <f>IFERROR(__xludf.DUMMYFUNCTION("""COMPUTED_VALUE"""),"KYAI KONTONG")</f>
        <v>KYAI KONTONG</v>
      </c>
      <c r="D11900" s="186">
        <f>IFERROR(__xludf.DUMMYFUNCTION("""COMPUTED_VALUE"""),1.0)</f>
        <v>1</v>
      </c>
    </row>
    <row r="11901">
      <c r="A11901" s="178" t="str">
        <f>IFERROR(__xludf.DUMMYFUNCTION("""COMPUTED_VALUE"""),"ITBISA-TIGERHEAD-SENTER-KUNING-FT300")</f>
        <v>ITBISA-TIGERHEAD-SENTER-KUNING-FT300</v>
      </c>
      <c r="B11901" s="266">
        <f>IFERROR(__xludf.DUMMYFUNCTION("""COMPUTED_VALUE"""),45482.0)</f>
        <v>45482</v>
      </c>
      <c r="C11901" s="266" t="str">
        <f>IFERROR(__xludf.DUMMYFUNCTION("""COMPUTED_VALUE"""),"KERTASARI CIAMIS")</f>
        <v>KERTASARI CIAMIS</v>
      </c>
      <c r="D11901" s="186">
        <f>IFERROR(__xludf.DUMMYFUNCTION("""COMPUTED_VALUE"""),1.0)</f>
        <v>1</v>
      </c>
    </row>
    <row r="11902">
      <c r="A11902" s="178" t="str">
        <f>IFERROR(__xludf.DUMMYFUNCTION("""COMPUTED_VALUE"""),"ITBISA-TIGERHEAD-SENTER-KUNING-FT300")</f>
        <v>ITBISA-TIGERHEAD-SENTER-KUNING-FT300</v>
      </c>
      <c r="B11902" s="266">
        <f>IFERROR(__xludf.DUMMYFUNCTION("""COMPUTED_VALUE"""),45486.0)</f>
        <v>45486</v>
      </c>
      <c r="C11902" s="266" t="str">
        <f>IFERROR(__xludf.DUMMYFUNCTION("""COMPUTED_VALUE"""),"KYAI KONTONG")</f>
        <v>KYAI KONTONG</v>
      </c>
      <c r="D11902" s="186">
        <f>IFERROR(__xludf.DUMMYFUNCTION("""COMPUTED_VALUE"""),1.0)</f>
        <v>1</v>
      </c>
    </row>
    <row r="11903">
      <c r="A11903" s="178" t="str">
        <f>IFERROR(__xludf.DUMMYFUNCTION("""COMPUTED_VALUE"""),"ITBISA-TIGERHEAD-SENTER-KUNING-FT300")</f>
        <v>ITBISA-TIGERHEAD-SENTER-KUNING-FT300</v>
      </c>
      <c r="B11903" s="266">
        <f>IFERROR(__xludf.DUMMYFUNCTION("""COMPUTED_VALUE"""),45488.0)</f>
        <v>45488</v>
      </c>
      <c r="C11903" s="266" t="str">
        <f>IFERROR(__xludf.DUMMYFUNCTION("""COMPUTED_VALUE"""),"KYAI KONTONG")</f>
        <v>KYAI KONTONG</v>
      </c>
      <c r="D11903" s="186">
        <f>IFERROR(__xludf.DUMMYFUNCTION("""COMPUTED_VALUE"""),2.0)</f>
        <v>2</v>
      </c>
    </row>
    <row r="11904">
      <c r="A11904" s="178" t="str">
        <f>IFERROR(__xludf.DUMMYFUNCTION("""COMPUTED_VALUE"""),"ITBISA-TIGERHEAD-SENTER-KUNING-FT300")</f>
        <v>ITBISA-TIGERHEAD-SENTER-KUNING-FT300</v>
      </c>
      <c r="B11904" s="266">
        <f>IFERROR(__xludf.DUMMYFUNCTION("""COMPUTED_VALUE"""),45494.0)</f>
        <v>45494</v>
      </c>
      <c r="C11904" s="266" t="str">
        <f>IFERROR(__xludf.DUMMYFUNCTION("""COMPUTED_VALUE"""),"KYAI KONTONG")</f>
        <v>KYAI KONTONG</v>
      </c>
      <c r="D11904" s="186">
        <f>IFERROR(__xludf.DUMMYFUNCTION("""COMPUTED_VALUE"""),1.0)</f>
        <v>1</v>
      </c>
    </row>
    <row r="11905">
      <c r="A11905" s="178" t="str">
        <f>IFERROR(__xludf.DUMMYFUNCTION("""COMPUTED_VALUE"""),"ITBISA-TIGERHEAD-SENTER-KUNING-FT300")</f>
        <v>ITBISA-TIGERHEAD-SENTER-KUNING-FT300</v>
      </c>
      <c r="B11905" s="266">
        <f>IFERROR(__xludf.DUMMYFUNCTION("""COMPUTED_VALUE"""),45499.0)</f>
        <v>45499</v>
      </c>
      <c r="C11905" s="266" t="str">
        <f>IFERROR(__xludf.DUMMYFUNCTION("""COMPUTED_VALUE"""),"KYAI KONTONG")</f>
        <v>KYAI KONTONG</v>
      </c>
      <c r="D11905" s="186">
        <f>IFERROR(__xludf.DUMMYFUNCTION("""COMPUTED_VALUE"""),1.0)</f>
        <v>1</v>
      </c>
    </row>
    <row r="11906">
      <c r="A11906" s="178" t="str">
        <f>IFERROR(__xludf.DUMMYFUNCTION("""COMPUTED_VALUE"""),"ITBISA-TIGERHEAD-SENTER-KUNING-FT300")</f>
        <v>ITBISA-TIGERHEAD-SENTER-KUNING-FT300</v>
      </c>
      <c r="B11906" s="266">
        <f>IFERROR(__xludf.DUMMYFUNCTION("""COMPUTED_VALUE"""),45499.0)</f>
        <v>45499</v>
      </c>
      <c r="C11906" s="266" t="str">
        <f>IFERROR(__xludf.DUMMYFUNCTION("""COMPUTED_VALUE"""),"KYAI KONTONG")</f>
        <v>KYAI KONTONG</v>
      </c>
      <c r="D11906" s="186">
        <f>IFERROR(__xludf.DUMMYFUNCTION("""COMPUTED_VALUE"""),4.0)</f>
        <v>4</v>
      </c>
    </row>
    <row r="11907">
      <c r="A11907" s="178" t="str">
        <f>IFERROR(__xludf.DUMMYFUNCTION("""COMPUTED_VALUE"""),"ITBISA-TIGERHEAD-SENTER-KUNING-FT300")</f>
        <v>ITBISA-TIGERHEAD-SENTER-KUNING-FT300</v>
      </c>
      <c r="B11907" s="266">
        <f>IFERROR(__xludf.DUMMYFUNCTION("""COMPUTED_VALUE"""),45503.0)</f>
        <v>45503</v>
      </c>
      <c r="C11907" s="266" t="str">
        <f>IFERROR(__xludf.DUMMYFUNCTION("""COMPUTED_VALUE"""),"KYAI KONTONG")</f>
        <v>KYAI KONTONG</v>
      </c>
      <c r="D11907" s="186">
        <f>IFERROR(__xludf.DUMMYFUNCTION("""COMPUTED_VALUE"""),2.0)</f>
        <v>2</v>
      </c>
    </row>
    <row r="11908">
      <c r="A11908" s="178" t="str">
        <f>IFERROR(__xludf.DUMMYFUNCTION("""COMPUTED_VALUE"""),"ITBISA-TIGERHEAD-SENTER-KUNING-FT300")</f>
        <v>ITBISA-TIGERHEAD-SENTER-KUNING-FT300</v>
      </c>
      <c r="B11908" s="266">
        <f>IFERROR(__xludf.DUMMYFUNCTION("""COMPUTED_VALUE"""),45506.0)</f>
        <v>45506</v>
      </c>
      <c r="C11908" s="266" t="str">
        <f>IFERROR(__xludf.DUMMYFUNCTION("""COMPUTED_VALUE"""),"KYAI KONTONG")</f>
        <v>KYAI KONTONG</v>
      </c>
      <c r="D11908" s="186">
        <f>IFERROR(__xludf.DUMMYFUNCTION("""COMPUTED_VALUE"""),1.0)</f>
        <v>1</v>
      </c>
    </row>
    <row r="11909">
      <c r="A11909" s="178" t="str">
        <f>IFERROR(__xludf.DUMMYFUNCTION("""COMPUTED_VALUE"""),"ITBISA-TIGERHEAD-SENTER-KUNING-FT300")</f>
        <v>ITBISA-TIGERHEAD-SENTER-KUNING-FT300</v>
      </c>
      <c r="B11909" s="266">
        <f>IFERROR(__xludf.DUMMYFUNCTION("""COMPUTED_VALUE"""),45510.0)</f>
        <v>45510</v>
      </c>
      <c r="C11909" s="266" t="str">
        <f>IFERROR(__xludf.DUMMYFUNCTION("""COMPUTED_VALUE"""),"KERTASARI CIAMIS")</f>
        <v>KERTASARI CIAMIS</v>
      </c>
      <c r="D11909" s="186">
        <f>IFERROR(__xludf.DUMMYFUNCTION("""COMPUTED_VALUE"""),1.0)</f>
        <v>1</v>
      </c>
    </row>
    <row r="11910">
      <c r="A11910" s="178" t="str">
        <f>IFERROR(__xludf.DUMMYFUNCTION("""COMPUTED_VALUE"""),"ITBISA-TIGERHEAD-SENTER-KUNING-FT300")</f>
        <v>ITBISA-TIGERHEAD-SENTER-KUNING-FT300</v>
      </c>
      <c r="B11910" s="266">
        <f>IFERROR(__xludf.DUMMYFUNCTION("""COMPUTED_VALUE"""),45510.0)</f>
        <v>45510</v>
      </c>
      <c r="C11910" s="266" t="str">
        <f>IFERROR(__xludf.DUMMYFUNCTION("""COMPUTED_VALUE"""),"KYAI KONTONG")</f>
        <v>KYAI KONTONG</v>
      </c>
      <c r="D11910" s="186">
        <f>IFERROR(__xludf.DUMMYFUNCTION("""COMPUTED_VALUE"""),2.0)</f>
        <v>2</v>
      </c>
    </row>
    <row r="11911">
      <c r="A11911" s="178" t="str">
        <f>IFERROR(__xludf.DUMMYFUNCTION("""COMPUTED_VALUE"""),"ITBISA-TIGERHEAD-SENTER-KUNING-FT300")</f>
        <v>ITBISA-TIGERHEAD-SENTER-KUNING-FT300</v>
      </c>
      <c r="B11911" s="266">
        <f>IFERROR(__xludf.DUMMYFUNCTION("""COMPUTED_VALUE"""),45510.0)</f>
        <v>45510</v>
      </c>
      <c r="C11911" s="266" t="str">
        <f>IFERROR(__xludf.DUMMYFUNCTION("""COMPUTED_VALUE"""),"KYAI KONTONG")</f>
        <v>KYAI KONTONG</v>
      </c>
      <c r="D11911" s="186">
        <f>IFERROR(__xludf.DUMMYFUNCTION("""COMPUTED_VALUE"""),2.0)</f>
        <v>2</v>
      </c>
    </row>
    <row r="11912">
      <c r="A11912" s="178" t="str">
        <f>IFERROR(__xludf.DUMMYFUNCTION("""COMPUTED_VALUE"""),"ITBISA-TIGERHEAD-SENTER-KUNING-FT300")</f>
        <v>ITBISA-TIGERHEAD-SENTER-KUNING-FT300</v>
      </c>
      <c r="B11912" s="266">
        <f>IFERROR(__xludf.DUMMYFUNCTION("""COMPUTED_VALUE"""),45512.0)</f>
        <v>45512</v>
      </c>
      <c r="C11912" s="266" t="str">
        <f>IFERROR(__xludf.DUMMYFUNCTION("""COMPUTED_VALUE"""),"KYAI KONTONG")</f>
        <v>KYAI KONTONG</v>
      </c>
      <c r="D11912" s="186">
        <f>IFERROR(__xludf.DUMMYFUNCTION("""COMPUTED_VALUE"""),1.0)</f>
        <v>1</v>
      </c>
    </row>
    <row r="11913">
      <c r="A11913" s="178" t="str">
        <f>IFERROR(__xludf.DUMMYFUNCTION("""COMPUTED_VALUE"""),"ITBISA-TIGERHEAD-SENTER-KUNING-FT700")</f>
        <v>ITBISA-TIGERHEAD-SENTER-KUNING-FT700</v>
      </c>
      <c r="B11913" s="266">
        <f>IFERROR(__xludf.DUMMYFUNCTION("""COMPUTED_VALUE"""),44928.0)</f>
        <v>44928</v>
      </c>
      <c r="C11913" s="266" t="str">
        <f>IFERROR(__xludf.DUMMYFUNCTION("""COMPUTED_VALUE"""),"KYAI KONTONG")</f>
        <v>KYAI KONTONG</v>
      </c>
      <c r="D11913" s="186">
        <f>IFERROR(__xludf.DUMMYFUNCTION("""COMPUTED_VALUE"""),3.0)</f>
        <v>3</v>
      </c>
    </row>
    <row r="11914">
      <c r="A11914" s="178" t="str">
        <f>IFERROR(__xludf.DUMMYFUNCTION("""COMPUTED_VALUE"""),"ITBISA-TIGERHEAD-SENTER-KUNING-FT700")</f>
        <v>ITBISA-TIGERHEAD-SENTER-KUNING-FT700</v>
      </c>
      <c r="B11914" s="266">
        <f>IFERROR(__xludf.DUMMYFUNCTION("""COMPUTED_VALUE"""),44932.0)</f>
        <v>44932</v>
      </c>
      <c r="C11914" s="266" t="str">
        <f>IFERROR(__xludf.DUMMYFUNCTION("""COMPUTED_VALUE"""),"KYAI KONTONG")</f>
        <v>KYAI KONTONG</v>
      </c>
      <c r="D11914" s="186">
        <f>IFERROR(__xludf.DUMMYFUNCTION("""COMPUTED_VALUE"""),1.0)</f>
        <v>1</v>
      </c>
    </row>
    <row r="11915">
      <c r="A11915" s="178" t="str">
        <f>IFERROR(__xludf.DUMMYFUNCTION("""COMPUTED_VALUE"""),"ITBISA-TIGERHEAD-SENTER-KUNING-FT700")</f>
        <v>ITBISA-TIGERHEAD-SENTER-KUNING-FT700</v>
      </c>
      <c r="B11915" s="266">
        <f>IFERROR(__xludf.DUMMYFUNCTION("""COMPUTED_VALUE"""),44935.0)</f>
        <v>44935</v>
      </c>
      <c r="C11915" s="266" t="str">
        <f>IFERROR(__xludf.DUMMYFUNCTION("""COMPUTED_VALUE"""),"KYAI KONTONG")</f>
        <v>KYAI KONTONG</v>
      </c>
      <c r="D11915" s="186">
        <f>IFERROR(__xludf.DUMMYFUNCTION("""COMPUTED_VALUE"""),1.0)</f>
        <v>1</v>
      </c>
    </row>
    <row r="11916">
      <c r="A11916" s="178" t="str">
        <f>IFERROR(__xludf.DUMMYFUNCTION("""COMPUTED_VALUE"""),"ITBISA-TIGERHEAD-SENTER-KUNING-FT700")</f>
        <v>ITBISA-TIGERHEAD-SENTER-KUNING-FT700</v>
      </c>
      <c r="B11916" s="266">
        <f>IFERROR(__xludf.DUMMYFUNCTION("""COMPUTED_VALUE"""),44935.0)</f>
        <v>44935</v>
      </c>
      <c r="C11916" s="266" t="str">
        <f>IFERROR(__xludf.DUMMYFUNCTION("""COMPUTED_VALUE"""),"KYAI KONTONG")</f>
        <v>KYAI KONTONG</v>
      </c>
      <c r="D11916" s="186">
        <f>IFERROR(__xludf.DUMMYFUNCTION("""COMPUTED_VALUE"""),1.0)</f>
        <v>1</v>
      </c>
    </row>
    <row r="11917">
      <c r="A11917" s="178" t="str">
        <f>IFERROR(__xludf.DUMMYFUNCTION("""COMPUTED_VALUE"""),"ITBISA-TIGERHEAD-SENTER-KUNING-FT700")</f>
        <v>ITBISA-TIGERHEAD-SENTER-KUNING-FT700</v>
      </c>
      <c r="B11917" s="266">
        <f>IFERROR(__xludf.DUMMYFUNCTION("""COMPUTED_VALUE"""),44938.0)</f>
        <v>44938</v>
      </c>
      <c r="C11917" s="266" t="str">
        <f>IFERROR(__xludf.DUMMYFUNCTION("""COMPUTED_VALUE"""),"KYAI KONTONG")</f>
        <v>KYAI KONTONG</v>
      </c>
      <c r="D11917" s="186">
        <f>IFERROR(__xludf.DUMMYFUNCTION("""COMPUTED_VALUE"""),3.0)</f>
        <v>3</v>
      </c>
    </row>
    <row r="11918">
      <c r="A11918" s="178" t="str">
        <f>IFERROR(__xludf.DUMMYFUNCTION("""COMPUTED_VALUE"""),"ITBISA-USB-A-TO-B-30CM")</f>
        <v>ITBISA-USB-A-TO-B-30CM</v>
      </c>
      <c r="B11918" s="266">
        <f>IFERROR(__xludf.DUMMYFUNCTION("""COMPUTED_VALUE"""),43543.0)</f>
        <v>43543</v>
      </c>
      <c r="C11918" s="266" t="str">
        <f>IFERROR(__xludf.DUMMYFUNCTION("""COMPUTED_VALUE"""),"AVRG ITB")</f>
        <v>AVRG ITB</v>
      </c>
      <c r="D11918" s="186">
        <f>IFERROR(__xludf.DUMMYFUNCTION("""COMPUTED_VALUE"""),1.0)</f>
        <v>1</v>
      </c>
    </row>
    <row r="11919">
      <c r="A11919" s="178" t="str">
        <f>IFERROR(__xludf.DUMMYFUNCTION("""COMPUTED_VALUE"""),"ITBISA-USB-A-TO-B-30CM")</f>
        <v>ITBISA-USB-A-TO-B-30CM</v>
      </c>
      <c r="B11919" s="266">
        <f>IFERROR(__xludf.DUMMYFUNCTION("""COMPUTED_VALUE"""),43543.0)</f>
        <v>43543</v>
      </c>
      <c r="C11919" s="266" t="str">
        <f>IFERROR(__xludf.DUMMYFUNCTION("""COMPUTED_VALUE"""),"AVRG ITB")</f>
        <v>AVRG ITB</v>
      </c>
      <c r="D11919" s="186">
        <f>IFERROR(__xludf.DUMMYFUNCTION("""COMPUTED_VALUE"""),2.0)</f>
        <v>2</v>
      </c>
    </row>
    <row r="11920">
      <c r="A11920" s="178" t="str">
        <f>IFERROR(__xludf.DUMMYFUNCTION("""COMPUTED_VALUE"""),"ITBISA-USB-A-TO-B-30CM")</f>
        <v>ITBISA-USB-A-TO-B-30CM</v>
      </c>
      <c r="B11920" s="266">
        <f>IFERROR(__xludf.DUMMYFUNCTION("""COMPUTED_VALUE"""),43593.0)</f>
        <v>43593</v>
      </c>
      <c r="C11920" s="266" t="str">
        <f>IFERROR(__xludf.DUMMYFUNCTION("""COMPUTED_VALUE"""),"AVRG ITB")</f>
        <v>AVRG ITB</v>
      </c>
      <c r="D11920" s="186">
        <f>IFERROR(__xludf.DUMMYFUNCTION("""COMPUTED_VALUE"""),1.0)</f>
        <v>1</v>
      </c>
    </row>
    <row r="11921">
      <c r="A11921" s="178" t="str">
        <f>IFERROR(__xludf.DUMMYFUNCTION("""COMPUTED_VALUE"""),"ITBISA-USB-A-TO-B-30CM")</f>
        <v>ITBISA-USB-A-TO-B-30CM</v>
      </c>
      <c r="B11921" s="266">
        <f>IFERROR(__xludf.DUMMYFUNCTION("""COMPUTED_VALUE"""),43593.0)</f>
        <v>43593</v>
      </c>
      <c r="C11921" s="266" t="str">
        <f>IFERROR(__xludf.DUMMYFUNCTION("""COMPUTED_VALUE"""),"AVRG ITB")</f>
        <v>AVRG ITB</v>
      </c>
      <c r="D11921" s="186">
        <f>IFERROR(__xludf.DUMMYFUNCTION("""COMPUTED_VALUE"""),1.0)</f>
        <v>1</v>
      </c>
    </row>
    <row r="11922">
      <c r="A11922" s="178" t="str">
        <f>IFERROR(__xludf.DUMMYFUNCTION("""COMPUTED_VALUE"""),"ITBISA-USB-A-TO-B-30CM")</f>
        <v>ITBISA-USB-A-TO-B-30CM</v>
      </c>
      <c r="B11922" s="266">
        <f>IFERROR(__xludf.DUMMYFUNCTION("""COMPUTED_VALUE"""),43599.0)</f>
        <v>43599</v>
      </c>
      <c r="C11922" s="266" t="str">
        <f>IFERROR(__xludf.DUMMYFUNCTION("""COMPUTED_VALUE"""),"RUMAH MUZAKKI")</f>
        <v>RUMAH MUZAKKI</v>
      </c>
      <c r="D11922" s="186">
        <f>IFERROR(__xludf.DUMMYFUNCTION("""COMPUTED_VALUE"""),1.0)</f>
        <v>1</v>
      </c>
    </row>
    <row r="11923">
      <c r="A11923" s="178" t="str">
        <f>IFERROR(__xludf.DUMMYFUNCTION("""COMPUTED_VALUE"""),"ITBISA-USB-A-TO-B-30CM")</f>
        <v>ITBISA-USB-A-TO-B-30CM</v>
      </c>
      <c r="B11923" s="266">
        <f>IFERROR(__xludf.DUMMYFUNCTION("""COMPUTED_VALUE"""),43607.0)</f>
        <v>43607</v>
      </c>
      <c r="C11923" s="266" t="str">
        <f>IFERROR(__xludf.DUMMYFUNCTION("""COMPUTED_VALUE"""),"AVRG ITB")</f>
        <v>AVRG ITB</v>
      </c>
      <c r="D11923" s="186">
        <f>IFERROR(__xludf.DUMMYFUNCTION("""COMPUTED_VALUE"""),2.0)</f>
        <v>2</v>
      </c>
    </row>
    <row r="11924">
      <c r="A11924" s="178" t="str">
        <f>IFERROR(__xludf.DUMMYFUNCTION("""COMPUTED_VALUE"""),"ITBISA-USB-A-TO-B-30CM")</f>
        <v>ITBISA-USB-A-TO-B-30CM</v>
      </c>
      <c r="B11924" s="266">
        <f>IFERROR(__xludf.DUMMYFUNCTION("""COMPUTED_VALUE"""),43644.0)</f>
        <v>43644</v>
      </c>
      <c r="C11924" s="266" t="str">
        <f>IFERROR(__xludf.DUMMYFUNCTION("""COMPUTED_VALUE"""),"RUMAH MUZAKKI")</f>
        <v>RUMAH MUZAKKI</v>
      </c>
      <c r="D11924" s="186">
        <f>IFERROR(__xludf.DUMMYFUNCTION("""COMPUTED_VALUE"""),1.0)</f>
        <v>1</v>
      </c>
    </row>
    <row r="11925">
      <c r="A11925" s="178" t="str">
        <f>IFERROR(__xludf.DUMMYFUNCTION("""COMPUTED_VALUE"""),"ITBISA-USB-A-TO-B-30CM")</f>
        <v>ITBISA-USB-A-TO-B-30CM</v>
      </c>
      <c r="B11925" s="266">
        <f>IFERROR(__xludf.DUMMYFUNCTION("""COMPUTED_VALUE"""),43720.0)</f>
        <v>43720</v>
      </c>
      <c r="C11925" s="266" t="str">
        <f>IFERROR(__xludf.DUMMYFUNCTION("""COMPUTED_VALUE"""),"RUMAH MUZAKKI")</f>
        <v>RUMAH MUZAKKI</v>
      </c>
      <c r="D11925" s="186">
        <f>IFERROR(__xludf.DUMMYFUNCTION("""COMPUTED_VALUE"""),1.0)</f>
        <v>1</v>
      </c>
    </row>
    <row r="11926">
      <c r="A11926" s="178" t="str">
        <f>IFERROR(__xludf.DUMMYFUNCTION("""COMPUTED_VALUE"""),"ITBISA-USB-A-TO-B-30CM")</f>
        <v>ITBISA-USB-A-TO-B-30CM</v>
      </c>
      <c r="B11926" s="266">
        <f>IFERROR(__xludf.DUMMYFUNCTION("""COMPUTED_VALUE"""),43732.0)</f>
        <v>43732</v>
      </c>
      <c r="C11926" s="266" t="str">
        <f>IFERROR(__xludf.DUMMYFUNCTION("""COMPUTED_VALUE"""),"RUMAH MUZAKKI")</f>
        <v>RUMAH MUZAKKI</v>
      </c>
      <c r="D11926" s="186">
        <f>IFERROR(__xludf.DUMMYFUNCTION("""COMPUTED_VALUE"""),1.0)</f>
        <v>1</v>
      </c>
    </row>
    <row r="11927">
      <c r="A11927" s="178" t="str">
        <f>IFERROR(__xludf.DUMMYFUNCTION("""COMPUTED_VALUE"""),"ITBISA-USB-A-TO-B-30CM")</f>
        <v>ITBISA-USB-A-TO-B-30CM</v>
      </c>
      <c r="B11927" s="266">
        <f>IFERROR(__xludf.DUMMYFUNCTION("""COMPUTED_VALUE"""),43733.0)</f>
        <v>43733</v>
      </c>
      <c r="C11927" s="266" t="str">
        <f>IFERROR(__xludf.DUMMYFUNCTION("""COMPUTED_VALUE"""),"RUMAH MUZAKKI")</f>
        <v>RUMAH MUZAKKI</v>
      </c>
      <c r="D11927" s="186">
        <f>IFERROR(__xludf.DUMMYFUNCTION("""COMPUTED_VALUE"""),1.0)</f>
        <v>1</v>
      </c>
    </row>
    <row r="11928">
      <c r="A11928" s="178" t="str">
        <f>IFERROR(__xludf.DUMMYFUNCTION("""COMPUTED_VALUE"""),"ITBISA-USB-A-TO-B-30CM")</f>
        <v>ITBISA-USB-A-TO-B-30CM</v>
      </c>
      <c r="B11928" s="266">
        <f>IFERROR(__xludf.DUMMYFUNCTION("""COMPUTED_VALUE"""),43872.0)</f>
        <v>43872</v>
      </c>
      <c r="C11928" s="266" t="str">
        <f>IFERROR(__xludf.DUMMYFUNCTION("""COMPUTED_VALUE"""),"RUMAH MUZAKKI")</f>
        <v>RUMAH MUZAKKI</v>
      </c>
      <c r="D11928" s="186">
        <f>IFERROR(__xludf.DUMMYFUNCTION("""COMPUTED_VALUE"""),1.0)</f>
        <v>1</v>
      </c>
    </row>
    <row r="11929">
      <c r="A11929" s="178" t="str">
        <f>IFERROR(__xludf.DUMMYFUNCTION("""COMPUTED_VALUE"""),"ITBISA-USB-A-TO-B-30CM")</f>
        <v>ITBISA-USB-A-TO-B-30CM</v>
      </c>
      <c r="B11929" s="266">
        <f>IFERROR(__xludf.DUMMYFUNCTION("""COMPUTED_VALUE"""),45188.0)</f>
        <v>45188</v>
      </c>
      <c r="C11929" s="266" t="str">
        <f>IFERROR(__xludf.DUMMYFUNCTION("""COMPUTED_VALUE"""),"KYAI KONTONG")</f>
        <v>KYAI KONTONG</v>
      </c>
      <c r="D11929" s="186">
        <f>IFERROR(__xludf.DUMMYFUNCTION("""COMPUTED_VALUE"""),1.0)</f>
        <v>1</v>
      </c>
    </row>
    <row r="11930">
      <c r="A11930" s="178" t="str">
        <f>IFERROR(__xludf.DUMMYFUNCTION("""COMPUTED_VALUE"""),"ITBISA-USB-A-TO-B-30CM")</f>
        <v>ITBISA-USB-A-TO-B-30CM</v>
      </c>
      <c r="B11930" s="266">
        <f>IFERROR(__xludf.DUMMYFUNCTION("""COMPUTED_VALUE"""),45194.0)</f>
        <v>45194</v>
      </c>
      <c r="C11930" s="266" t="str">
        <f>IFERROR(__xludf.DUMMYFUNCTION("""COMPUTED_VALUE"""),"KYAI KONTONG")</f>
        <v>KYAI KONTONG</v>
      </c>
      <c r="D11930" s="186">
        <f>IFERROR(__xludf.DUMMYFUNCTION("""COMPUTED_VALUE"""),16.0)</f>
        <v>16</v>
      </c>
    </row>
    <row r="11931">
      <c r="A11931" s="178" t="str">
        <f>IFERROR(__xludf.DUMMYFUNCTION("""COMPUTED_VALUE"""),"ITBISA-USB-A-TO-B-30CM")</f>
        <v>ITBISA-USB-A-TO-B-30CM</v>
      </c>
      <c r="B11931" s="266">
        <f>IFERROR(__xludf.DUMMYFUNCTION("""COMPUTED_VALUE"""),45205.0)</f>
        <v>45205</v>
      </c>
      <c r="C11931" s="266" t="str">
        <f>IFERROR(__xludf.DUMMYFUNCTION("""COMPUTED_VALUE"""),"KYAI KONTONG")</f>
        <v>KYAI KONTONG</v>
      </c>
      <c r="D11931" s="186">
        <f>IFERROR(__xludf.DUMMYFUNCTION("""COMPUTED_VALUE"""),3.0)</f>
        <v>3</v>
      </c>
    </row>
    <row r="11932">
      <c r="A11932" s="178" t="str">
        <f>IFERROR(__xludf.DUMMYFUNCTION("""COMPUTED_VALUE"""),"ITBISA-USB-A-TO-B-30CM")</f>
        <v>ITBISA-USB-A-TO-B-30CM</v>
      </c>
      <c r="B11932" s="266">
        <f>IFERROR(__xludf.DUMMYFUNCTION("""COMPUTED_VALUE"""),45265.0)</f>
        <v>45265</v>
      </c>
      <c r="C11932" s="266" t="str">
        <f>IFERROR(__xludf.DUMMYFUNCTION("""COMPUTED_VALUE"""),"KYAI KONTONG")</f>
        <v>KYAI KONTONG</v>
      </c>
      <c r="D11932" s="186">
        <f>IFERROR(__xludf.DUMMYFUNCTION("""COMPUTED_VALUE"""),1.0)</f>
        <v>1</v>
      </c>
    </row>
    <row r="11933">
      <c r="A11933" s="178" t="str">
        <f>IFERROR(__xludf.DUMMYFUNCTION("""COMPUTED_VALUE"""),"ITBISA-USB-A-TO-B-30CM")</f>
        <v>ITBISA-USB-A-TO-B-30CM</v>
      </c>
      <c r="B11933" s="266">
        <f>IFERROR(__xludf.DUMMYFUNCTION("""COMPUTED_VALUE"""),45272.0)</f>
        <v>45272</v>
      </c>
      <c r="C11933" s="266" t="str">
        <f>IFERROR(__xludf.DUMMYFUNCTION("""COMPUTED_VALUE"""),"KYAI KONTONG")</f>
        <v>KYAI KONTONG</v>
      </c>
      <c r="D11933" s="186">
        <f>IFERROR(__xludf.DUMMYFUNCTION("""COMPUTED_VALUE"""),1.0)</f>
        <v>1</v>
      </c>
    </row>
    <row r="11934">
      <c r="A11934" s="178" t="str">
        <f>IFERROR(__xludf.DUMMYFUNCTION("""COMPUTED_VALUE"""),"ITBISA-USB-A-TO-B-30CM")</f>
        <v>ITBISA-USB-A-TO-B-30CM</v>
      </c>
      <c r="B11934" s="266">
        <f>IFERROR(__xludf.DUMMYFUNCTION("""COMPUTED_VALUE"""),45302.0)</f>
        <v>45302</v>
      </c>
      <c r="C11934" s="266" t="str">
        <f>IFERROR(__xludf.DUMMYFUNCTION("""COMPUTED_VALUE"""),"KYAI KONTONG")</f>
        <v>KYAI KONTONG</v>
      </c>
      <c r="D11934" s="186">
        <f>IFERROR(__xludf.DUMMYFUNCTION("""COMPUTED_VALUE"""),1.0)</f>
        <v>1</v>
      </c>
    </row>
    <row r="11935">
      <c r="A11935" s="178" t="str">
        <f>IFERROR(__xludf.DUMMYFUNCTION("""COMPUTED_VALUE"""),"ITBISA-USB-A-TO-B-30CM")</f>
        <v>ITBISA-USB-A-TO-B-30CM</v>
      </c>
      <c r="B11935" s="266">
        <f>IFERROR(__xludf.DUMMYFUNCTION("""COMPUTED_VALUE"""),45337.0)</f>
        <v>45337</v>
      </c>
      <c r="C11935" s="266" t="str">
        <f>IFERROR(__xludf.DUMMYFUNCTION("""COMPUTED_VALUE"""),"KYAI KONTONG")</f>
        <v>KYAI KONTONG</v>
      </c>
      <c r="D11935" s="186">
        <f>IFERROR(__xludf.DUMMYFUNCTION("""COMPUTED_VALUE"""),1.0)</f>
        <v>1</v>
      </c>
    </row>
    <row r="11936">
      <c r="A11936" s="178" t="str">
        <f>IFERROR(__xludf.DUMMYFUNCTION("""COMPUTED_VALUE"""),"ITBISA-USB-A-TO-B-30CM")</f>
        <v>ITBISA-USB-A-TO-B-30CM</v>
      </c>
      <c r="B11936" s="266">
        <f>IFERROR(__xludf.DUMMYFUNCTION("""COMPUTED_VALUE"""),45337.0)</f>
        <v>45337</v>
      </c>
      <c r="C11936" s="266" t="str">
        <f>IFERROR(__xludf.DUMMYFUNCTION("""COMPUTED_VALUE"""),"KYAI KONTONG")</f>
        <v>KYAI KONTONG</v>
      </c>
      <c r="D11936" s="186">
        <f>IFERROR(__xludf.DUMMYFUNCTION("""COMPUTED_VALUE"""),2.0)</f>
        <v>2</v>
      </c>
    </row>
    <row r="11937">
      <c r="A11937" s="178" t="str">
        <f>IFERROR(__xludf.DUMMYFUNCTION("""COMPUTED_VALUE"""),"ITBISA-USB-A-TO-B-30CM")</f>
        <v>ITBISA-USB-A-TO-B-30CM</v>
      </c>
      <c r="B11937" s="266">
        <f>IFERROR(__xludf.DUMMYFUNCTION("""COMPUTED_VALUE"""),45343.0)</f>
        <v>45343</v>
      </c>
      <c r="C11937" s="266" t="str">
        <f>IFERROR(__xludf.DUMMYFUNCTION("""COMPUTED_VALUE"""),"KERTASARI CIAMIS")</f>
        <v>KERTASARI CIAMIS</v>
      </c>
      <c r="D11937" s="186">
        <f>IFERROR(__xludf.DUMMYFUNCTION("""COMPUTED_VALUE"""),5.0)</f>
        <v>5</v>
      </c>
    </row>
    <row r="11938">
      <c r="A11938" s="178" t="str">
        <f>IFERROR(__xludf.DUMMYFUNCTION("""COMPUTED_VALUE"""),"ITBISA-USB-A-TO-B-30CM")</f>
        <v>ITBISA-USB-A-TO-B-30CM</v>
      </c>
      <c r="B11938" s="266">
        <f>IFERROR(__xludf.DUMMYFUNCTION("""COMPUTED_VALUE"""),45343.0)</f>
        <v>45343</v>
      </c>
      <c r="C11938" s="266" t="str">
        <f>IFERROR(__xludf.DUMMYFUNCTION("""COMPUTED_VALUE"""),"KERTASARI CIAMIS")</f>
        <v>KERTASARI CIAMIS</v>
      </c>
      <c r="D11938" s="186">
        <f>IFERROR(__xludf.DUMMYFUNCTION("""COMPUTED_VALUE"""),5.0)</f>
        <v>5</v>
      </c>
    </row>
    <row r="11939">
      <c r="A11939" s="178" t="str">
        <f>IFERROR(__xludf.DUMMYFUNCTION("""COMPUTED_VALUE"""),"ITBISA-USB-A-TO-B-30CM")</f>
        <v>ITBISA-USB-A-TO-B-30CM</v>
      </c>
      <c r="B11939" s="266">
        <f>IFERROR(__xludf.DUMMYFUNCTION("""COMPUTED_VALUE"""),45351.0)</f>
        <v>45351</v>
      </c>
      <c r="C11939" s="266" t="str">
        <f>IFERROR(__xludf.DUMMYFUNCTION("""COMPUTED_VALUE"""),"KERTASARI CIAMIS")</f>
        <v>KERTASARI CIAMIS</v>
      </c>
      <c r="D11939" s="186">
        <f>IFERROR(__xludf.DUMMYFUNCTION("""COMPUTED_VALUE"""),1.0)</f>
        <v>1</v>
      </c>
    </row>
    <row r="11940">
      <c r="A11940" s="178" t="str">
        <f>IFERROR(__xludf.DUMMYFUNCTION("""COMPUTED_VALUE"""),"ITBISA-USB-A-TO-B-30CM")</f>
        <v>ITBISA-USB-A-TO-B-30CM</v>
      </c>
      <c r="B11940" s="266">
        <f>IFERROR(__xludf.DUMMYFUNCTION("""COMPUTED_VALUE"""),45355.0)</f>
        <v>45355</v>
      </c>
      <c r="C11940" s="266" t="str">
        <f>IFERROR(__xludf.DUMMYFUNCTION("""COMPUTED_VALUE"""),"KERTASARI CIAMIS")</f>
        <v>KERTASARI CIAMIS</v>
      </c>
      <c r="D11940" s="186">
        <f>IFERROR(__xludf.DUMMYFUNCTION("""COMPUTED_VALUE"""),1.0)</f>
        <v>1</v>
      </c>
    </row>
    <row r="11941">
      <c r="A11941" s="178" t="str">
        <f>IFERROR(__xludf.DUMMYFUNCTION("""COMPUTED_VALUE"""),"ITBISA-USB-A-TO-B-30CM")</f>
        <v>ITBISA-USB-A-TO-B-30CM</v>
      </c>
      <c r="B11941" s="266">
        <f>IFERROR(__xludf.DUMMYFUNCTION("""COMPUTED_VALUE"""),45356.0)</f>
        <v>45356</v>
      </c>
      <c r="C11941" s="266" t="str">
        <f>IFERROR(__xludf.DUMMYFUNCTION("""COMPUTED_VALUE"""),"RANCAEKEK ESTU")</f>
        <v>RANCAEKEK ESTU</v>
      </c>
      <c r="D11941" s="186">
        <f>IFERROR(__xludf.DUMMYFUNCTION("""COMPUTED_VALUE"""),1.0)</f>
        <v>1</v>
      </c>
    </row>
    <row r="11942">
      <c r="A11942" s="178" t="str">
        <f>IFERROR(__xludf.DUMMYFUNCTION("""COMPUTED_VALUE"""),"ITBISA-USB-A-TO-B-30CM")</f>
        <v>ITBISA-USB-A-TO-B-30CM</v>
      </c>
      <c r="B11942" s="266">
        <f>IFERROR(__xludf.DUMMYFUNCTION("""COMPUTED_VALUE"""),45368.0)</f>
        <v>45368</v>
      </c>
      <c r="C11942" s="266" t="str">
        <f>IFERROR(__xludf.DUMMYFUNCTION("""COMPUTED_VALUE"""),"RANCAEKEK ESTU")</f>
        <v>RANCAEKEK ESTU</v>
      </c>
      <c r="D11942" s="186">
        <f>IFERROR(__xludf.DUMMYFUNCTION("""COMPUTED_VALUE"""),2.0)</f>
        <v>2</v>
      </c>
    </row>
    <row r="11943">
      <c r="A11943" s="178" t="str">
        <f>IFERROR(__xludf.DUMMYFUNCTION("""COMPUTED_VALUE"""),"ITBISA-USB-A-TO-B-30CM")</f>
        <v>ITBISA-USB-A-TO-B-30CM</v>
      </c>
      <c r="B11943" s="266">
        <f>IFERROR(__xludf.DUMMYFUNCTION("""COMPUTED_VALUE"""),45369.0)</f>
        <v>45369</v>
      </c>
      <c r="C11943" s="266" t="str">
        <f>IFERROR(__xludf.DUMMYFUNCTION("""COMPUTED_VALUE"""),"RANCAEKEK ESTU")</f>
        <v>RANCAEKEK ESTU</v>
      </c>
      <c r="D11943" s="186">
        <f>IFERROR(__xludf.DUMMYFUNCTION("""COMPUTED_VALUE"""),1.0)</f>
        <v>1</v>
      </c>
    </row>
    <row r="11944">
      <c r="A11944" s="178" t="str">
        <f>IFERROR(__xludf.DUMMYFUNCTION("""COMPUTED_VALUE"""),"ITBISA-USB-A-TO-B-30CM")</f>
        <v>ITBISA-USB-A-TO-B-30CM</v>
      </c>
      <c r="B11944" s="266">
        <f>IFERROR(__xludf.DUMMYFUNCTION("""COMPUTED_VALUE"""),45369.0)</f>
        <v>45369</v>
      </c>
      <c r="C11944" s="266" t="str">
        <f>IFERROR(__xludf.DUMMYFUNCTION("""COMPUTED_VALUE"""),"RANCAEKEK ESTU")</f>
        <v>RANCAEKEK ESTU</v>
      </c>
      <c r="D11944" s="186">
        <f>IFERROR(__xludf.DUMMYFUNCTION("""COMPUTED_VALUE"""),3.0)</f>
        <v>3</v>
      </c>
    </row>
    <row r="11945">
      <c r="A11945" s="178" t="str">
        <f>IFERROR(__xludf.DUMMYFUNCTION("""COMPUTED_VALUE"""),"ITBISA-USB-A-TO-B-30CM")</f>
        <v>ITBISA-USB-A-TO-B-30CM</v>
      </c>
      <c r="B11945" s="266">
        <f>IFERROR(__xludf.DUMMYFUNCTION("""COMPUTED_VALUE"""),45370.0)</f>
        <v>45370</v>
      </c>
      <c r="C11945" s="266" t="str">
        <f>IFERROR(__xludf.DUMMYFUNCTION("""COMPUTED_VALUE"""),"KERTASARI CIAMIS")</f>
        <v>KERTASARI CIAMIS</v>
      </c>
      <c r="D11945" s="186">
        <f>IFERROR(__xludf.DUMMYFUNCTION("""COMPUTED_VALUE"""),2.0)</f>
        <v>2</v>
      </c>
    </row>
    <row r="11946">
      <c r="A11946" s="178" t="str">
        <f>IFERROR(__xludf.DUMMYFUNCTION("""COMPUTED_VALUE"""),"ITBISA-USB-A-TO-B-30CM")</f>
        <v>ITBISA-USB-A-TO-B-30CM</v>
      </c>
      <c r="B11946" s="266">
        <f>IFERROR(__xludf.DUMMYFUNCTION("""COMPUTED_VALUE"""),45371.0)</f>
        <v>45371</v>
      </c>
      <c r="C11946" s="266" t="str">
        <f>IFERROR(__xludf.DUMMYFUNCTION("""COMPUTED_VALUE"""),"KYAI KONTONG")</f>
        <v>KYAI KONTONG</v>
      </c>
      <c r="D11946" s="186">
        <f>IFERROR(__xludf.DUMMYFUNCTION("""COMPUTED_VALUE"""),1.0)</f>
        <v>1</v>
      </c>
    </row>
    <row r="11947">
      <c r="A11947" s="178" t="str">
        <f>IFERROR(__xludf.DUMMYFUNCTION("""COMPUTED_VALUE"""),"ITBISA-USB-A-TO-B-30CM")</f>
        <v>ITBISA-USB-A-TO-B-30CM</v>
      </c>
      <c r="B11947" s="266">
        <f>IFERROR(__xludf.DUMMYFUNCTION("""COMPUTED_VALUE"""),45372.0)</f>
        <v>45372</v>
      </c>
      <c r="C11947" s="266" t="str">
        <f>IFERROR(__xludf.DUMMYFUNCTION("""COMPUTED_VALUE"""),"KERTASARI CIAMIS")</f>
        <v>KERTASARI CIAMIS</v>
      </c>
      <c r="D11947" s="186">
        <f>IFERROR(__xludf.DUMMYFUNCTION("""COMPUTED_VALUE"""),3.0)</f>
        <v>3</v>
      </c>
    </row>
    <row r="11948">
      <c r="A11948" s="178" t="str">
        <f>IFERROR(__xludf.DUMMYFUNCTION("""COMPUTED_VALUE"""),"ITBISA-USB-A-TO-B-30CM")</f>
        <v>ITBISA-USB-A-TO-B-30CM</v>
      </c>
      <c r="B11948" s="266">
        <f>IFERROR(__xludf.DUMMYFUNCTION("""COMPUTED_VALUE"""),45373.0)</f>
        <v>45373</v>
      </c>
      <c r="C11948" s="266" t="str">
        <f>IFERROR(__xludf.DUMMYFUNCTION("""COMPUTED_VALUE"""),"KERTASARI CIAMIS")</f>
        <v>KERTASARI CIAMIS</v>
      </c>
      <c r="D11948" s="186">
        <f>IFERROR(__xludf.DUMMYFUNCTION("""COMPUTED_VALUE"""),1.0)</f>
        <v>1</v>
      </c>
    </row>
    <row r="11949">
      <c r="A11949" s="178" t="str">
        <f>IFERROR(__xludf.DUMMYFUNCTION("""COMPUTED_VALUE"""),"ITBISA-USB-A-TO-B-30CM")</f>
        <v>ITBISA-USB-A-TO-B-30CM</v>
      </c>
      <c r="B11949" s="266">
        <f>IFERROR(__xludf.DUMMYFUNCTION("""COMPUTED_VALUE"""),45376.0)</f>
        <v>45376</v>
      </c>
      <c r="C11949" s="266" t="str">
        <f>IFERROR(__xludf.DUMMYFUNCTION("""COMPUTED_VALUE"""),"KYAI KONTONG")</f>
        <v>KYAI KONTONG</v>
      </c>
      <c r="D11949" s="186">
        <f>IFERROR(__xludf.DUMMYFUNCTION("""COMPUTED_VALUE"""),1.0)</f>
        <v>1</v>
      </c>
    </row>
    <row r="11950">
      <c r="A11950" s="178" t="str">
        <f>IFERROR(__xludf.DUMMYFUNCTION("""COMPUTED_VALUE"""),"ITBISA-USB-A-TO-B-30CM")</f>
        <v>ITBISA-USB-A-TO-B-30CM</v>
      </c>
      <c r="B11950" s="266">
        <f>IFERROR(__xludf.DUMMYFUNCTION("""COMPUTED_VALUE"""),45380.0)</f>
        <v>45380</v>
      </c>
      <c r="C11950" s="266" t="str">
        <f>IFERROR(__xludf.DUMMYFUNCTION("""COMPUTED_VALUE"""),"KERTASARI CIAMIS")</f>
        <v>KERTASARI CIAMIS</v>
      </c>
      <c r="D11950" s="186">
        <f>IFERROR(__xludf.DUMMYFUNCTION("""COMPUTED_VALUE"""),1.0)</f>
        <v>1</v>
      </c>
    </row>
    <row r="11951">
      <c r="A11951" s="178" t="str">
        <f>IFERROR(__xludf.DUMMYFUNCTION("""COMPUTED_VALUE"""),"ITBISA-USB-A-TO-B-30CM")</f>
        <v>ITBISA-USB-A-TO-B-30CM</v>
      </c>
      <c r="B11951" s="266">
        <f>IFERROR(__xludf.DUMMYFUNCTION("""COMPUTED_VALUE"""),45380.0)</f>
        <v>45380</v>
      </c>
      <c r="C11951" s="266" t="str">
        <f>IFERROR(__xludf.DUMMYFUNCTION("""COMPUTED_VALUE"""),"KYAI KONTONG")</f>
        <v>KYAI KONTONG</v>
      </c>
      <c r="D11951" s="186">
        <f>IFERROR(__xludf.DUMMYFUNCTION("""COMPUTED_VALUE"""),1.0)</f>
        <v>1</v>
      </c>
    </row>
    <row r="11952">
      <c r="A11952" s="178" t="str">
        <f>IFERROR(__xludf.DUMMYFUNCTION("""COMPUTED_VALUE"""),"ITBISA-USB-A-TO-B-30CM")</f>
        <v>ITBISA-USB-A-TO-B-30CM</v>
      </c>
      <c r="B11952" s="266">
        <f>IFERROR(__xludf.DUMMYFUNCTION("""COMPUTED_VALUE"""),45380.0)</f>
        <v>45380</v>
      </c>
      <c r="C11952" s="266" t="str">
        <f>IFERROR(__xludf.DUMMYFUNCTION("""COMPUTED_VALUE"""),"KYAI KONTONG")</f>
        <v>KYAI KONTONG</v>
      </c>
      <c r="D11952" s="186">
        <f>IFERROR(__xludf.DUMMYFUNCTION("""COMPUTED_VALUE"""),1.0)</f>
        <v>1</v>
      </c>
    </row>
    <row r="11953">
      <c r="A11953" s="178" t="str">
        <f>IFERROR(__xludf.DUMMYFUNCTION("""COMPUTED_VALUE"""),"ITBISA-USB-A-TO-B-30CM")</f>
        <v>ITBISA-USB-A-TO-B-30CM</v>
      </c>
      <c r="B11953" s="266">
        <f>IFERROR(__xludf.DUMMYFUNCTION("""COMPUTED_VALUE"""),45381.0)</f>
        <v>45381</v>
      </c>
      <c r="C11953" s="266" t="str">
        <f>IFERROR(__xludf.DUMMYFUNCTION("""COMPUTED_VALUE"""),"KERTASARI CIAMIS")</f>
        <v>KERTASARI CIAMIS</v>
      </c>
      <c r="D11953" s="186">
        <f>IFERROR(__xludf.DUMMYFUNCTION("""COMPUTED_VALUE"""),10.0)</f>
        <v>10</v>
      </c>
    </row>
    <row r="11954">
      <c r="A11954" s="178" t="str">
        <f>IFERROR(__xludf.DUMMYFUNCTION("""COMPUTED_VALUE"""),"ITBISA-USB-A-TO-B-30CM")</f>
        <v>ITBISA-USB-A-TO-B-30CM</v>
      </c>
      <c r="B11954" s="266">
        <f>IFERROR(__xludf.DUMMYFUNCTION("""COMPUTED_VALUE"""),45381.0)</f>
        <v>45381</v>
      </c>
      <c r="C11954" s="266" t="str">
        <f>IFERROR(__xludf.DUMMYFUNCTION("""COMPUTED_VALUE"""),"KYAI KONTONG")</f>
        <v>KYAI KONTONG</v>
      </c>
      <c r="D11954" s="186">
        <f>IFERROR(__xludf.DUMMYFUNCTION("""COMPUTED_VALUE"""),1.0)</f>
        <v>1</v>
      </c>
    </row>
    <row r="11955">
      <c r="A11955" s="178" t="str">
        <f>IFERROR(__xludf.DUMMYFUNCTION("""COMPUTED_VALUE"""),"ITBISA-USB-A-TO-B-30CM")</f>
        <v>ITBISA-USB-A-TO-B-30CM</v>
      </c>
      <c r="B11955" s="266">
        <f>IFERROR(__xludf.DUMMYFUNCTION("""COMPUTED_VALUE"""),45381.0)</f>
        <v>45381</v>
      </c>
      <c r="C11955" s="266" t="str">
        <f>IFERROR(__xludf.DUMMYFUNCTION("""COMPUTED_VALUE"""),"KYAI KONTONG")</f>
        <v>KYAI KONTONG</v>
      </c>
      <c r="D11955" s="186">
        <f>IFERROR(__xludf.DUMMYFUNCTION("""COMPUTED_VALUE"""),1.0)</f>
        <v>1</v>
      </c>
    </row>
    <row r="11956">
      <c r="A11956" s="178" t="str">
        <f>IFERROR(__xludf.DUMMYFUNCTION("""COMPUTED_VALUE"""),"ITBISA-USB-A-TO-B-30CM")</f>
        <v>ITBISA-USB-A-TO-B-30CM</v>
      </c>
      <c r="B11956" s="266">
        <f>IFERROR(__xludf.DUMMYFUNCTION("""COMPUTED_VALUE"""),45384.0)</f>
        <v>45384</v>
      </c>
      <c r="C11956" s="266" t="str">
        <f>IFERROR(__xludf.DUMMYFUNCTION("""COMPUTED_VALUE"""),"KYAI KONTONG")</f>
        <v>KYAI KONTONG</v>
      </c>
      <c r="D11956" s="186">
        <f>IFERROR(__xludf.DUMMYFUNCTION("""COMPUTED_VALUE"""),1.0)</f>
        <v>1</v>
      </c>
    </row>
    <row r="11957">
      <c r="A11957" s="178" t="str">
        <f>IFERROR(__xludf.DUMMYFUNCTION("""COMPUTED_VALUE"""),"ITBISA-USB-A-TO-B-30CM")</f>
        <v>ITBISA-USB-A-TO-B-30CM</v>
      </c>
      <c r="B11957" s="266">
        <f>IFERROR(__xludf.DUMMYFUNCTION("""COMPUTED_VALUE"""),45385.0)</f>
        <v>45385</v>
      </c>
      <c r="C11957" s="266" t="str">
        <f>IFERROR(__xludf.DUMMYFUNCTION("""COMPUTED_VALUE"""),"KERTASARI CIAMIS")</f>
        <v>KERTASARI CIAMIS</v>
      </c>
      <c r="D11957" s="186">
        <f>IFERROR(__xludf.DUMMYFUNCTION("""COMPUTED_VALUE"""),3.0)</f>
        <v>3</v>
      </c>
    </row>
    <row r="11958">
      <c r="A11958" s="178" t="str">
        <f>IFERROR(__xludf.DUMMYFUNCTION("""COMPUTED_VALUE"""),"ITBISA-USB-A-TO-B-30CM")</f>
        <v>ITBISA-USB-A-TO-B-30CM</v>
      </c>
      <c r="B11958" s="266">
        <f>IFERROR(__xludf.DUMMYFUNCTION("""COMPUTED_VALUE"""),45386.0)</f>
        <v>45386</v>
      </c>
      <c r="C11958" s="266" t="str">
        <f>IFERROR(__xludf.DUMMYFUNCTION("""COMPUTED_VALUE"""),"KERTASARI CIAMIS")</f>
        <v>KERTASARI CIAMIS</v>
      </c>
      <c r="D11958" s="186">
        <f>IFERROR(__xludf.DUMMYFUNCTION("""COMPUTED_VALUE"""),1.0)</f>
        <v>1</v>
      </c>
    </row>
    <row r="11959">
      <c r="A11959" s="178" t="str">
        <f>IFERROR(__xludf.DUMMYFUNCTION("""COMPUTED_VALUE"""),"ITBISA-USB-A-TO-B-30CM")</f>
        <v>ITBISA-USB-A-TO-B-30CM</v>
      </c>
      <c r="B11959" s="266">
        <f>IFERROR(__xludf.DUMMYFUNCTION("""COMPUTED_VALUE"""),45386.0)</f>
        <v>45386</v>
      </c>
      <c r="C11959" s="266" t="str">
        <f>IFERROR(__xludf.DUMMYFUNCTION("""COMPUTED_VALUE"""),"KERTASARI CIAMIS")</f>
        <v>KERTASARI CIAMIS</v>
      </c>
      <c r="D11959" s="186">
        <f>IFERROR(__xludf.DUMMYFUNCTION("""COMPUTED_VALUE"""),15.0)</f>
        <v>15</v>
      </c>
    </row>
    <row r="11960">
      <c r="A11960" s="178" t="str">
        <f>IFERROR(__xludf.DUMMYFUNCTION("""COMPUTED_VALUE"""),"ITBISA-USB-A-TO-B-30CM")</f>
        <v>ITBISA-USB-A-TO-B-30CM</v>
      </c>
      <c r="B11960" s="266">
        <f>IFERROR(__xludf.DUMMYFUNCTION("""COMPUTED_VALUE"""),45387.0)</f>
        <v>45387</v>
      </c>
      <c r="C11960" s="266" t="str">
        <f>IFERROR(__xludf.DUMMYFUNCTION("""COMPUTED_VALUE"""),"KERTASARI CIAMIS")</f>
        <v>KERTASARI CIAMIS</v>
      </c>
      <c r="D11960" s="186">
        <f>IFERROR(__xludf.DUMMYFUNCTION("""COMPUTED_VALUE"""),50.0)</f>
        <v>50</v>
      </c>
    </row>
    <row r="11961">
      <c r="A11961" s="178" t="str">
        <f>IFERROR(__xludf.DUMMYFUNCTION("""COMPUTED_VALUE"""),"ITBISA-USB-A-TO-B-30CM")</f>
        <v>ITBISA-USB-A-TO-B-30CM</v>
      </c>
      <c r="B11961" s="266">
        <f>IFERROR(__xludf.DUMMYFUNCTION("""COMPUTED_VALUE"""),45388.0)</f>
        <v>45388</v>
      </c>
      <c r="C11961" s="266" t="str">
        <f>IFERROR(__xludf.DUMMYFUNCTION("""COMPUTED_VALUE"""),"KERTASARI CIAMIS")</f>
        <v>KERTASARI CIAMIS</v>
      </c>
      <c r="D11961" s="186">
        <f>IFERROR(__xludf.DUMMYFUNCTION("""COMPUTED_VALUE"""),1.0)</f>
        <v>1</v>
      </c>
    </row>
    <row r="11962">
      <c r="A11962" s="178" t="str">
        <f>IFERROR(__xludf.DUMMYFUNCTION("""COMPUTED_VALUE"""),"ITBISA-USB-A-TO-B-30CM")</f>
        <v>ITBISA-USB-A-TO-B-30CM</v>
      </c>
      <c r="B11962" s="266">
        <f>IFERROR(__xludf.DUMMYFUNCTION("""COMPUTED_VALUE"""),45389.0)</f>
        <v>45389</v>
      </c>
      <c r="C11962" s="266" t="str">
        <f>IFERROR(__xludf.DUMMYFUNCTION("""COMPUTED_VALUE"""),"KERTASARI CIAMIS")</f>
        <v>KERTASARI CIAMIS</v>
      </c>
      <c r="D11962" s="186">
        <f>IFERROR(__xludf.DUMMYFUNCTION("""COMPUTED_VALUE"""),1.0)</f>
        <v>1</v>
      </c>
    </row>
    <row r="11963">
      <c r="A11963" s="178" t="str">
        <f>IFERROR(__xludf.DUMMYFUNCTION("""COMPUTED_VALUE"""),"ITBISA-USB-A-TO-B-30CM")</f>
        <v>ITBISA-USB-A-TO-B-30CM</v>
      </c>
      <c r="B11963" s="266">
        <f>IFERROR(__xludf.DUMMYFUNCTION("""COMPUTED_VALUE"""),45389.0)</f>
        <v>45389</v>
      </c>
      <c r="C11963" s="266" t="str">
        <f>IFERROR(__xludf.DUMMYFUNCTION("""COMPUTED_VALUE"""),"KYAI KONTONG")</f>
        <v>KYAI KONTONG</v>
      </c>
      <c r="D11963" s="186">
        <f>IFERROR(__xludf.DUMMYFUNCTION("""COMPUTED_VALUE"""),20.0)</f>
        <v>20</v>
      </c>
    </row>
    <row r="11964">
      <c r="A11964" s="178" t="str">
        <f>IFERROR(__xludf.DUMMYFUNCTION("""COMPUTED_VALUE"""),"ITBISA-USB-A-TO-B-30CM")</f>
        <v>ITBISA-USB-A-TO-B-30CM</v>
      </c>
      <c r="B11964" s="266">
        <f>IFERROR(__xludf.DUMMYFUNCTION("""COMPUTED_VALUE"""),45390.0)</f>
        <v>45390</v>
      </c>
      <c r="C11964" s="266" t="str">
        <f>IFERROR(__xludf.DUMMYFUNCTION("""COMPUTED_VALUE"""),"KERTASARI CIAMIS")</f>
        <v>KERTASARI CIAMIS</v>
      </c>
      <c r="D11964" s="186">
        <f>IFERROR(__xludf.DUMMYFUNCTION("""COMPUTED_VALUE"""),1.0)</f>
        <v>1</v>
      </c>
    </row>
    <row r="11965">
      <c r="A11965" s="178" t="str">
        <f>IFERROR(__xludf.DUMMYFUNCTION("""COMPUTED_VALUE"""),"ITBISA-USB-A-TO-B-30CM")</f>
        <v>ITBISA-USB-A-TO-B-30CM</v>
      </c>
      <c r="B11965" s="266">
        <f>IFERROR(__xludf.DUMMYFUNCTION("""COMPUTED_VALUE"""),45392.0)</f>
        <v>45392</v>
      </c>
      <c r="C11965" s="266" t="str">
        <f>IFERROR(__xludf.DUMMYFUNCTION("""COMPUTED_VALUE"""),"KERTASARI CIAMIS")</f>
        <v>KERTASARI CIAMIS</v>
      </c>
      <c r="D11965" s="186">
        <f>IFERROR(__xludf.DUMMYFUNCTION("""COMPUTED_VALUE"""),1.0)</f>
        <v>1</v>
      </c>
    </row>
    <row r="11966">
      <c r="A11966" s="178" t="str">
        <f>IFERROR(__xludf.DUMMYFUNCTION("""COMPUTED_VALUE"""),"ITBISA-USB-A-TO-B-30CM")</f>
        <v>ITBISA-USB-A-TO-B-30CM</v>
      </c>
      <c r="B11966" s="266">
        <f>IFERROR(__xludf.DUMMYFUNCTION("""COMPUTED_VALUE"""),45394.0)</f>
        <v>45394</v>
      </c>
      <c r="C11966" s="266" t="str">
        <f>IFERROR(__xludf.DUMMYFUNCTION("""COMPUTED_VALUE"""),"KERTASARI CIAMIS")</f>
        <v>KERTASARI CIAMIS</v>
      </c>
      <c r="D11966" s="186">
        <f>IFERROR(__xludf.DUMMYFUNCTION("""COMPUTED_VALUE"""),1.0)</f>
        <v>1</v>
      </c>
    </row>
    <row r="11967">
      <c r="A11967" s="178" t="str">
        <f>IFERROR(__xludf.DUMMYFUNCTION("""COMPUTED_VALUE"""),"ITBISA-USB-A-TO-B-30CM")</f>
        <v>ITBISA-USB-A-TO-B-30CM</v>
      </c>
      <c r="B11967" s="266">
        <f>IFERROR(__xludf.DUMMYFUNCTION("""COMPUTED_VALUE"""),45397.0)</f>
        <v>45397</v>
      </c>
      <c r="C11967" s="266" t="str">
        <f>IFERROR(__xludf.DUMMYFUNCTION("""COMPUTED_VALUE"""),"KERTASARI CIAMIS")</f>
        <v>KERTASARI CIAMIS</v>
      </c>
      <c r="D11967" s="186">
        <f>IFERROR(__xludf.DUMMYFUNCTION("""COMPUTED_VALUE"""),1.0)</f>
        <v>1</v>
      </c>
    </row>
    <row r="11968">
      <c r="A11968" s="178" t="str">
        <f>IFERROR(__xludf.DUMMYFUNCTION("""COMPUTED_VALUE"""),"ITBISA-USB-A-TO-B-30CM")</f>
        <v>ITBISA-USB-A-TO-B-30CM</v>
      </c>
      <c r="B11968" s="266">
        <f>IFERROR(__xludf.DUMMYFUNCTION("""COMPUTED_VALUE"""),45404.0)</f>
        <v>45404</v>
      </c>
      <c r="C11968" s="266" t="str">
        <f>IFERROR(__xludf.DUMMYFUNCTION("""COMPUTED_VALUE"""),"KERTASARI CIAMIS")</f>
        <v>KERTASARI CIAMIS</v>
      </c>
      <c r="D11968" s="186">
        <f>IFERROR(__xludf.DUMMYFUNCTION("""COMPUTED_VALUE"""),50.0)</f>
        <v>50</v>
      </c>
    </row>
    <row r="11969">
      <c r="A11969" s="178" t="str">
        <f>IFERROR(__xludf.DUMMYFUNCTION("""COMPUTED_VALUE"""),"ITBISA-USB-A-TO-B-30CM")</f>
        <v>ITBISA-USB-A-TO-B-30CM</v>
      </c>
      <c r="B11969" s="266">
        <f>IFERROR(__xludf.DUMMYFUNCTION("""COMPUTED_VALUE"""),45406.0)</f>
        <v>45406</v>
      </c>
      <c r="C11969" s="266" t="str">
        <f>IFERROR(__xludf.DUMMYFUNCTION("""COMPUTED_VALUE"""),"KYAI KONTONG")</f>
        <v>KYAI KONTONG</v>
      </c>
      <c r="D11969" s="186">
        <f>IFERROR(__xludf.DUMMYFUNCTION("""COMPUTED_VALUE"""),1.0)</f>
        <v>1</v>
      </c>
    </row>
    <row r="11970">
      <c r="A11970" s="178" t="str">
        <f>IFERROR(__xludf.DUMMYFUNCTION("""COMPUTED_VALUE"""),"ITBISA-USB-A-TO-B-30CM")</f>
        <v>ITBISA-USB-A-TO-B-30CM</v>
      </c>
      <c r="B11970" s="266">
        <f>IFERROR(__xludf.DUMMYFUNCTION("""COMPUTED_VALUE"""),45407.0)</f>
        <v>45407</v>
      </c>
      <c r="C11970" s="266" t="str">
        <f>IFERROR(__xludf.DUMMYFUNCTION("""COMPUTED_VALUE"""),"KERTASARI CIAMIS")</f>
        <v>KERTASARI CIAMIS</v>
      </c>
      <c r="D11970" s="186">
        <f>IFERROR(__xludf.DUMMYFUNCTION("""COMPUTED_VALUE"""),10.0)</f>
        <v>10</v>
      </c>
    </row>
    <row r="11971">
      <c r="A11971" s="178" t="str">
        <f>IFERROR(__xludf.DUMMYFUNCTION("""COMPUTED_VALUE"""),"ITBISA-USB-A-TO-B-30CM")</f>
        <v>ITBISA-USB-A-TO-B-30CM</v>
      </c>
      <c r="B11971" s="266">
        <f>IFERROR(__xludf.DUMMYFUNCTION("""COMPUTED_VALUE"""),45408.0)</f>
        <v>45408</v>
      </c>
      <c r="C11971" s="266" t="str">
        <f>IFERROR(__xludf.DUMMYFUNCTION("""COMPUTED_VALUE"""),"KYAI KONTONG")</f>
        <v>KYAI KONTONG</v>
      </c>
      <c r="D11971" s="186">
        <f>IFERROR(__xludf.DUMMYFUNCTION("""COMPUTED_VALUE"""),100.0)</f>
        <v>100</v>
      </c>
    </row>
    <row r="11972">
      <c r="A11972" s="178" t="str">
        <f>IFERROR(__xludf.DUMMYFUNCTION("""COMPUTED_VALUE"""),"ITBISA-USB-A-TO-B-30CM")</f>
        <v>ITBISA-USB-A-TO-B-30CM</v>
      </c>
      <c r="B11972" s="266">
        <f>IFERROR(__xludf.DUMMYFUNCTION("""COMPUTED_VALUE"""),45412.0)</f>
        <v>45412</v>
      </c>
      <c r="C11972" s="266" t="str">
        <f>IFERROR(__xludf.DUMMYFUNCTION("""COMPUTED_VALUE"""),"KERTASARI CIAMIS")</f>
        <v>KERTASARI CIAMIS</v>
      </c>
      <c r="D11972" s="186">
        <f>IFERROR(__xludf.DUMMYFUNCTION("""COMPUTED_VALUE"""),1.0)</f>
        <v>1</v>
      </c>
    </row>
    <row r="11973">
      <c r="A11973" s="178" t="str">
        <f>IFERROR(__xludf.DUMMYFUNCTION("""COMPUTED_VALUE"""),"ITBISA-USB-A-TO-B-30CM")</f>
        <v>ITBISA-USB-A-TO-B-30CM</v>
      </c>
      <c r="B11973" s="266">
        <f>IFERROR(__xludf.DUMMYFUNCTION("""COMPUTED_VALUE"""),45414.0)</f>
        <v>45414</v>
      </c>
      <c r="C11973" s="266" t="str">
        <f>IFERROR(__xludf.DUMMYFUNCTION("""COMPUTED_VALUE"""),"KERTASARI CIAMIS")</f>
        <v>KERTASARI CIAMIS</v>
      </c>
      <c r="D11973" s="186">
        <f>IFERROR(__xludf.DUMMYFUNCTION("""COMPUTED_VALUE"""),25.0)</f>
        <v>25</v>
      </c>
    </row>
    <row r="11974">
      <c r="A11974" s="178" t="str">
        <f>IFERROR(__xludf.DUMMYFUNCTION("""COMPUTED_VALUE"""),"ITBISA-USB-A-TO-B-30CM")</f>
        <v>ITBISA-USB-A-TO-B-30CM</v>
      </c>
      <c r="B11974" s="266">
        <f>IFERROR(__xludf.DUMMYFUNCTION("""COMPUTED_VALUE"""),45417.0)</f>
        <v>45417</v>
      </c>
      <c r="C11974" s="266" t="str">
        <f>IFERROR(__xludf.DUMMYFUNCTION("""COMPUTED_VALUE"""),"KERTASARI CIAMIS")</f>
        <v>KERTASARI CIAMIS</v>
      </c>
      <c r="D11974" s="186">
        <f>IFERROR(__xludf.DUMMYFUNCTION("""COMPUTED_VALUE"""),1.0)</f>
        <v>1</v>
      </c>
    </row>
    <row r="11975">
      <c r="A11975" s="178" t="str">
        <f>IFERROR(__xludf.DUMMYFUNCTION("""COMPUTED_VALUE"""),"ITBISA-USB-A-TO-B-30CM")</f>
        <v>ITBISA-USB-A-TO-B-30CM</v>
      </c>
      <c r="B11975" s="266">
        <f>IFERROR(__xludf.DUMMYFUNCTION("""COMPUTED_VALUE"""),45429.0)</f>
        <v>45429</v>
      </c>
      <c r="C11975" s="266" t="str">
        <f>IFERROR(__xludf.DUMMYFUNCTION("""COMPUTED_VALUE"""),"KYAI KONTONG")</f>
        <v>KYAI KONTONG</v>
      </c>
      <c r="D11975" s="186">
        <f>IFERROR(__xludf.DUMMYFUNCTION("""COMPUTED_VALUE"""),6.0)</f>
        <v>6</v>
      </c>
    </row>
    <row r="11976">
      <c r="A11976" s="178" t="str">
        <f>IFERROR(__xludf.DUMMYFUNCTION("""COMPUTED_VALUE"""),"ITBISA-USB-A-TO-B-30CM")</f>
        <v>ITBISA-USB-A-TO-B-30CM</v>
      </c>
      <c r="B11976" s="266">
        <f>IFERROR(__xludf.DUMMYFUNCTION("""COMPUTED_VALUE"""),45430.0)</f>
        <v>45430</v>
      </c>
      <c r="C11976" s="266" t="str">
        <f>IFERROR(__xludf.DUMMYFUNCTION("""COMPUTED_VALUE"""),"KERTASARI CIAMIS")</f>
        <v>KERTASARI CIAMIS</v>
      </c>
      <c r="D11976" s="186">
        <f>IFERROR(__xludf.DUMMYFUNCTION("""COMPUTED_VALUE"""),10.0)</f>
        <v>10</v>
      </c>
    </row>
    <row r="11977">
      <c r="A11977" s="178" t="str">
        <f>IFERROR(__xludf.DUMMYFUNCTION("""COMPUTED_VALUE"""),"ITBISA-USB-A-TO-B-30CM")</f>
        <v>ITBISA-USB-A-TO-B-30CM</v>
      </c>
      <c r="B11977" s="266">
        <f>IFERROR(__xludf.DUMMYFUNCTION("""COMPUTED_VALUE"""),45437.0)</f>
        <v>45437</v>
      </c>
      <c r="C11977" s="266" t="str">
        <f>IFERROR(__xludf.DUMMYFUNCTION("""COMPUTED_VALUE"""),"KERTASARI CIAMIS")</f>
        <v>KERTASARI CIAMIS</v>
      </c>
      <c r="D11977" s="186">
        <f>IFERROR(__xludf.DUMMYFUNCTION("""COMPUTED_VALUE"""),1.0)</f>
        <v>1</v>
      </c>
    </row>
    <row r="11978">
      <c r="A11978" s="178" t="str">
        <f>IFERROR(__xludf.DUMMYFUNCTION("""COMPUTED_VALUE"""),"ITBISA-USB-A-TO-B-30CM")</f>
        <v>ITBISA-USB-A-TO-B-30CM</v>
      </c>
      <c r="B11978" s="266">
        <f>IFERROR(__xludf.DUMMYFUNCTION("""COMPUTED_VALUE"""),45439.0)</f>
        <v>45439</v>
      </c>
      <c r="C11978" s="266" t="str">
        <f>IFERROR(__xludf.DUMMYFUNCTION("""COMPUTED_VALUE"""),"KERTASARI CIAMIS")</f>
        <v>KERTASARI CIAMIS</v>
      </c>
      <c r="D11978" s="186">
        <f>IFERROR(__xludf.DUMMYFUNCTION("""COMPUTED_VALUE"""),1.0)</f>
        <v>1</v>
      </c>
    </row>
    <row r="11979">
      <c r="A11979" s="178" t="str">
        <f>IFERROR(__xludf.DUMMYFUNCTION("""COMPUTED_VALUE"""),"ITBISA-USB-A-TO-B-30CM")</f>
        <v>ITBISA-USB-A-TO-B-30CM</v>
      </c>
      <c r="B11979" s="266">
        <f>IFERROR(__xludf.DUMMYFUNCTION("""COMPUTED_VALUE"""),45443.0)</f>
        <v>45443</v>
      </c>
      <c r="C11979" s="266" t="str">
        <f>IFERROR(__xludf.DUMMYFUNCTION("""COMPUTED_VALUE"""),"KERTASARI CIAMIS")</f>
        <v>KERTASARI CIAMIS</v>
      </c>
      <c r="D11979" s="186">
        <f>IFERROR(__xludf.DUMMYFUNCTION("""COMPUTED_VALUE"""),1.0)</f>
        <v>1</v>
      </c>
    </row>
    <row r="11980">
      <c r="A11980" s="178" t="str">
        <f>IFERROR(__xludf.DUMMYFUNCTION("""COMPUTED_VALUE"""),"ITBISA-USB-A-TO-B-30CM")</f>
        <v>ITBISA-USB-A-TO-B-30CM</v>
      </c>
      <c r="B11980" s="266">
        <f>IFERROR(__xludf.DUMMYFUNCTION("""COMPUTED_VALUE"""),45452.0)</f>
        <v>45452</v>
      </c>
      <c r="C11980" s="266" t="str">
        <f>IFERROR(__xludf.DUMMYFUNCTION("""COMPUTED_VALUE"""),"KYAI KONTONG")</f>
        <v>KYAI KONTONG</v>
      </c>
      <c r="D11980" s="186">
        <f>IFERROR(__xludf.DUMMYFUNCTION("""COMPUTED_VALUE"""),1.0)</f>
        <v>1</v>
      </c>
    </row>
    <row r="11981">
      <c r="A11981" s="178" t="str">
        <f>IFERROR(__xludf.DUMMYFUNCTION("""COMPUTED_VALUE"""),"ITBISA-USB-A-TO-B-30CM")</f>
        <v>ITBISA-USB-A-TO-B-30CM</v>
      </c>
      <c r="B11981" s="266">
        <f>IFERROR(__xludf.DUMMYFUNCTION("""COMPUTED_VALUE"""),45456.0)</f>
        <v>45456</v>
      </c>
      <c r="C11981" s="266" t="str">
        <f>IFERROR(__xludf.DUMMYFUNCTION("""COMPUTED_VALUE"""),"KYAI KONTONG")</f>
        <v>KYAI KONTONG</v>
      </c>
      <c r="D11981" s="186">
        <f>IFERROR(__xludf.DUMMYFUNCTION("""COMPUTED_VALUE"""),1.0)</f>
        <v>1</v>
      </c>
    </row>
    <row r="11982">
      <c r="A11982" s="178" t="str">
        <f>IFERROR(__xludf.DUMMYFUNCTION("""COMPUTED_VALUE"""),"ITBISA-USB-A-TO-B-30CM")</f>
        <v>ITBISA-USB-A-TO-B-30CM</v>
      </c>
      <c r="B11982" s="266">
        <f>IFERROR(__xludf.DUMMYFUNCTION("""COMPUTED_VALUE"""),45465.0)</f>
        <v>45465</v>
      </c>
      <c r="C11982" s="266" t="str">
        <f>IFERROR(__xludf.DUMMYFUNCTION("""COMPUTED_VALUE"""),"KERTASARI CIAMIS")</f>
        <v>KERTASARI CIAMIS</v>
      </c>
      <c r="D11982" s="186">
        <f>IFERROR(__xludf.DUMMYFUNCTION("""COMPUTED_VALUE"""),3.0)</f>
        <v>3</v>
      </c>
    </row>
    <row r="11983">
      <c r="A11983" s="178" t="str">
        <f>IFERROR(__xludf.DUMMYFUNCTION("""COMPUTED_VALUE"""),"ITBISA-USB-A-TO-B-30CM")</f>
        <v>ITBISA-USB-A-TO-B-30CM</v>
      </c>
      <c r="B11983" s="266">
        <f>IFERROR(__xludf.DUMMYFUNCTION("""COMPUTED_VALUE"""),45467.0)</f>
        <v>45467</v>
      </c>
      <c r="C11983" s="266" t="str">
        <f>IFERROR(__xludf.DUMMYFUNCTION("""COMPUTED_VALUE"""),"KERTASARI CIAMIS")</f>
        <v>KERTASARI CIAMIS</v>
      </c>
      <c r="D11983" s="186">
        <f>IFERROR(__xludf.DUMMYFUNCTION("""COMPUTED_VALUE"""),1.0)</f>
        <v>1</v>
      </c>
    </row>
    <row r="11984">
      <c r="A11984" s="178" t="str">
        <f>IFERROR(__xludf.DUMMYFUNCTION("""COMPUTED_VALUE"""),"ITBISA-USB-A-TO-B-30CM")</f>
        <v>ITBISA-USB-A-TO-B-30CM</v>
      </c>
      <c r="B11984" s="266">
        <f>IFERROR(__xludf.DUMMYFUNCTION("""COMPUTED_VALUE"""),45467.0)</f>
        <v>45467</v>
      </c>
      <c r="C11984" s="266" t="str">
        <f>IFERROR(__xludf.DUMMYFUNCTION("""COMPUTED_VALUE"""),"KERTASARI CIAMIS")</f>
        <v>KERTASARI CIAMIS</v>
      </c>
      <c r="D11984" s="186">
        <f>IFERROR(__xludf.DUMMYFUNCTION("""COMPUTED_VALUE"""),2.0)</f>
        <v>2</v>
      </c>
    </row>
    <row r="11985">
      <c r="A11985" s="178" t="str">
        <f>IFERROR(__xludf.DUMMYFUNCTION("""COMPUTED_VALUE"""),"ITBISA-USB-A-TO-B-30CM")</f>
        <v>ITBISA-USB-A-TO-B-30CM</v>
      </c>
      <c r="B11985" s="266">
        <f>IFERROR(__xludf.DUMMYFUNCTION("""COMPUTED_VALUE"""),45468.0)</f>
        <v>45468</v>
      </c>
      <c r="C11985" s="266" t="str">
        <f>IFERROR(__xludf.DUMMYFUNCTION("""COMPUTED_VALUE"""),"KYAI KONTONG")</f>
        <v>KYAI KONTONG</v>
      </c>
      <c r="D11985" s="186">
        <f>IFERROR(__xludf.DUMMYFUNCTION("""COMPUTED_VALUE"""),2.0)</f>
        <v>2</v>
      </c>
    </row>
    <row r="11986">
      <c r="A11986" s="178" t="str">
        <f>IFERROR(__xludf.DUMMYFUNCTION("""COMPUTED_VALUE"""),"ITBISA-USB-A-TO-B-30CM")</f>
        <v>ITBISA-USB-A-TO-B-30CM</v>
      </c>
      <c r="B11986" s="266">
        <f>IFERROR(__xludf.DUMMYFUNCTION("""COMPUTED_VALUE"""),45470.0)</f>
        <v>45470</v>
      </c>
      <c r="C11986" s="266" t="str">
        <f>IFERROR(__xludf.DUMMYFUNCTION("""COMPUTED_VALUE"""),"KERTASARI CIAMIS")</f>
        <v>KERTASARI CIAMIS</v>
      </c>
      <c r="D11986" s="186">
        <f>IFERROR(__xludf.DUMMYFUNCTION("""COMPUTED_VALUE"""),6.0)</f>
        <v>6</v>
      </c>
    </row>
    <row r="11987">
      <c r="A11987" s="178" t="str">
        <f>IFERROR(__xludf.DUMMYFUNCTION("""COMPUTED_VALUE"""),"ITBISA-USB-A-TO-B-30CM")</f>
        <v>ITBISA-USB-A-TO-B-30CM</v>
      </c>
      <c r="B11987" s="266">
        <f>IFERROR(__xludf.DUMMYFUNCTION("""COMPUTED_VALUE"""),45472.0)</f>
        <v>45472</v>
      </c>
      <c r="C11987" s="266" t="str">
        <f>IFERROR(__xludf.DUMMYFUNCTION("""COMPUTED_VALUE"""),"KERTASARI CIAMIS")</f>
        <v>KERTASARI CIAMIS</v>
      </c>
      <c r="D11987" s="186">
        <f>IFERROR(__xludf.DUMMYFUNCTION("""COMPUTED_VALUE"""),10.0)</f>
        <v>10</v>
      </c>
    </row>
    <row r="11988">
      <c r="A11988" s="178" t="str">
        <f>IFERROR(__xludf.DUMMYFUNCTION("""COMPUTED_VALUE"""),"ITBISA-USB-A-TO-B-30CM")</f>
        <v>ITBISA-USB-A-TO-B-30CM</v>
      </c>
      <c r="B11988" s="266">
        <f>IFERROR(__xludf.DUMMYFUNCTION("""COMPUTED_VALUE"""),45475.0)</f>
        <v>45475</v>
      </c>
      <c r="C11988" s="266" t="str">
        <f>IFERROR(__xludf.DUMMYFUNCTION("""COMPUTED_VALUE"""),"KERTASARI CIAMIS")</f>
        <v>KERTASARI CIAMIS</v>
      </c>
      <c r="D11988" s="186">
        <f>IFERROR(__xludf.DUMMYFUNCTION("""COMPUTED_VALUE"""),4.0)</f>
        <v>4</v>
      </c>
    </row>
    <row r="11989">
      <c r="A11989" s="178" t="str">
        <f>IFERROR(__xludf.DUMMYFUNCTION("""COMPUTED_VALUE"""),"ITBISA-USB-A-TO-B-30CM")</f>
        <v>ITBISA-USB-A-TO-B-30CM</v>
      </c>
      <c r="B11989" s="266">
        <f>IFERROR(__xludf.DUMMYFUNCTION("""COMPUTED_VALUE"""),45483.0)</f>
        <v>45483</v>
      </c>
      <c r="C11989" s="266" t="str">
        <f>IFERROR(__xludf.DUMMYFUNCTION("""COMPUTED_VALUE"""),"KYAI KONTONG")</f>
        <v>KYAI KONTONG</v>
      </c>
      <c r="D11989" s="186">
        <f>IFERROR(__xludf.DUMMYFUNCTION("""COMPUTED_VALUE"""),1.0)</f>
        <v>1</v>
      </c>
    </row>
    <row r="11990">
      <c r="A11990" s="178" t="str">
        <f>IFERROR(__xludf.DUMMYFUNCTION("""COMPUTED_VALUE"""),"ITBISA-USB-A-TO-B-30CM")</f>
        <v>ITBISA-USB-A-TO-B-30CM</v>
      </c>
      <c r="B11990" s="266">
        <f>IFERROR(__xludf.DUMMYFUNCTION("""COMPUTED_VALUE"""),45485.0)</f>
        <v>45485</v>
      </c>
      <c r="C11990" s="266" t="str">
        <f>IFERROR(__xludf.DUMMYFUNCTION("""COMPUTED_VALUE"""),"KYAI KONTONG")</f>
        <v>KYAI KONTONG</v>
      </c>
      <c r="D11990" s="186">
        <f>IFERROR(__xludf.DUMMYFUNCTION("""COMPUTED_VALUE"""),4.0)</f>
        <v>4</v>
      </c>
    </row>
    <row r="11991">
      <c r="A11991" s="178" t="str">
        <f>IFERROR(__xludf.DUMMYFUNCTION("""COMPUTED_VALUE"""),"ITBISA-USB-A-TO-B-30CM")</f>
        <v>ITBISA-USB-A-TO-B-30CM</v>
      </c>
      <c r="B11991" s="266">
        <f>IFERROR(__xludf.DUMMYFUNCTION("""COMPUTED_VALUE"""),45486.0)</f>
        <v>45486</v>
      </c>
      <c r="C11991" s="266" t="str">
        <f>IFERROR(__xludf.DUMMYFUNCTION("""COMPUTED_VALUE"""),"KYAI KONTONG")</f>
        <v>KYAI KONTONG</v>
      </c>
      <c r="D11991" s="186">
        <f>IFERROR(__xludf.DUMMYFUNCTION("""COMPUTED_VALUE"""),2.0)</f>
        <v>2</v>
      </c>
    </row>
    <row r="11992">
      <c r="A11992" s="178" t="str">
        <f>IFERROR(__xludf.DUMMYFUNCTION("""COMPUTED_VALUE"""),"ITBISA-USB-A-TO-B-30CM")</f>
        <v>ITBISA-USB-A-TO-B-30CM</v>
      </c>
      <c r="B11992" s="266">
        <f>IFERROR(__xludf.DUMMYFUNCTION("""COMPUTED_VALUE"""),45490.0)</f>
        <v>45490</v>
      </c>
      <c r="C11992" s="266" t="str">
        <f>IFERROR(__xludf.DUMMYFUNCTION("""COMPUTED_VALUE"""),"KERTASARI CIAMIS")</f>
        <v>KERTASARI CIAMIS</v>
      </c>
      <c r="D11992" s="186">
        <f>IFERROR(__xludf.DUMMYFUNCTION("""COMPUTED_VALUE"""),10.0)</f>
        <v>10</v>
      </c>
    </row>
    <row r="11993">
      <c r="A11993" s="178" t="str">
        <f>IFERROR(__xludf.DUMMYFUNCTION("""COMPUTED_VALUE"""),"ITBISA-USB-A-TO-B-30CM")</f>
        <v>ITBISA-USB-A-TO-B-30CM</v>
      </c>
      <c r="B11993" s="266">
        <f>IFERROR(__xludf.DUMMYFUNCTION("""COMPUTED_VALUE"""),45495.0)</f>
        <v>45495</v>
      </c>
      <c r="C11993" s="266" t="str">
        <f>IFERROR(__xludf.DUMMYFUNCTION("""COMPUTED_VALUE"""),"KERTASARI CIAMIS")</f>
        <v>KERTASARI CIAMIS</v>
      </c>
      <c r="D11993" s="186">
        <f>IFERROR(__xludf.DUMMYFUNCTION("""COMPUTED_VALUE"""),2.0)</f>
        <v>2</v>
      </c>
    </row>
    <row r="11994">
      <c r="A11994" s="178" t="str">
        <f>IFERROR(__xludf.DUMMYFUNCTION("""COMPUTED_VALUE"""),"ITBISA-USB-A-TO-B-30CM")</f>
        <v>ITBISA-USB-A-TO-B-30CM</v>
      </c>
      <c r="B11994" s="266">
        <f>IFERROR(__xludf.DUMMYFUNCTION("""COMPUTED_VALUE"""),45496.0)</f>
        <v>45496</v>
      </c>
      <c r="C11994" s="266" t="str">
        <f>IFERROR(__xludf.DUMMYFUNCTION("""COMPUTED_VALUE"""),"KYAI KONTONG")</f>
        <v>KYAI KONTONG</v>
      </c>
      <c r="D11994" s="186">
        <f>IFERROR(__xludf.DUMMYFUNCTION("""COMPUTED_VALUE"""),1.0)</f>
        <v>1</v>
      </c>
    </row>
    <row r="11995">
      <c r="A11995" s="178" t="str">
        <f>IFERROR(__xludf.DUMMYFUNCTION("""COMPUTED_VALUE"""),"ITBISA-USB-A-TO-B-30CM")</f>
        <v>ITBISA-USB-A-TO-B-30CM</v>
      </c>
      <c r="B11995" s="266">
        <f>IFERROR(__xludf.DUMMYFUNCTION("""COMPUTED_VALUE"""),45500.0)</f>
        <v>45500</v>
      </c>
      <c r="C11995" s="266" t="str">
        <f>IFERROR(__xludf.DUMMYFUNCTION("""COMPUTED_VALUE"""),"KYAI KONTONG")</f>
        <v>KYAI KONTONG</v>
      </c>
      <c r="D11995" s="186">
        <f>IFERROR(__xludf.DUMMYFUNCTION("""COMPUTED_VALUE"""),1.0)</f>
        <v>1</v>
      </c>
    </row>
    <row r="11996">
      <c r="A11996" s="178" t="str">
        <f>IFERROR(__xludf.DUMMYFUNCTION("""COMPUTED_VALUE"""),"ITBISA-USB-A-TO-B-30CM")</f>
        <v>ITBISA-USB-A-TO-B-30CM</v>
      </c>
      <c r="B11996" s="266">
        <f>IFERROR(__xludf.DUMMYFUNCTION("""COMPUTED_VALUE"""),45500.0)</f>
        <v>45500</v>
      </c>
      <c r="C11996" s="266" t="str">
        <f>IFERROR(__xludf.DUMMYFUNCTION("""COMPUTED_VALUE"""),"KYAI KONTONG")</f>
        <v>KYAI KONTONG</v>
      </c>
      <c r="D11996" s="186">
        <f>IFERROR(__xludf.DUMMYFUNCTION("""COMPUTED_VALUE"""),2.0)</f>
        <v>2</v>
      </c>
    </row>
    <row r="11997">
      <c r="A11997" s="178" t="str">
        <f>IFERROR(__xludf.DUMMYFUNCTION("""COMPUTED_VALUE"""),"ITBISA-USB-A-TO-B-30CM")</f>
        <v>ITBISA-USB-A-TO-B-30CM</v>
      </c>
      <c r="B11997" s="266">
        <f>IFERROR(__xludf.DUMMYFUNCTION("""COMPUTED_VALUE"""),45500.0)</f>
        <v>45500</v>
      </c>
      <c r="C11997" s="266" t="str">
        <f>IFERROR(__xludf.DUMMYFUNCTION("""COMPUTED_VALUE"""),"KYAI KONTONG")</f>
        <v>KYAI KONTONG</v>
      </c>
      <c r="D11997" s="186">
        <f>IFERROR(__xludf.DUMMYFUNCTION("""COMPUTED_VALUE"""),12.0)</f>
        <v>12</v>
      </c>
    </row>
    <row r="11998">
      <c r="A11998" s="178" t="str">
        <f>IFERROR(__xludf.DUMMYFUNCTION("""COMPUTED_VALUE"""),"ITBISA-USB-A-TO-B-30CM")</f>
        <v>ITBISA-USB-A-TO-B-30CM</v>
      </c>
      <c r="B11998" s="266">
        <f>IFERROR(__xludf.DUMMYFUNCTION("""COMPUTED_VALUE"""),45500.0)</f>
        <v>45500</v>
      </c>
      <c r="C11998" s="266" t="str">
        <f>IFERROR(__xludf.DUMMYFUNCTION("""COMPUTED_VALUE"""),"KYAI KONTONG")</f>
        <v>KYAI KONTONG</v>
      </c>
      <c r="D11998" s="186">
        <f>IFERROR(__xludf.DUMMYFUNCTION("""COMPUTED_VALUE"""),20.0)</f>
        <v>20</v>
      </c>
    </row>
    <row r="11999">
      <c r="A11999" s="178" t="str">
        <f>IFERROR(__xludf.DUMMYFUNCTION("""COMPUTED_VALUE"""),"ITBISA-USB-A-TO-B-30CM")</f>
        <v>ITBISA-USB-A-TO-B-30CM</v>
      </c>
      <c r="B11999" s="266">
        <f>IFERROR(__xludf.DUMMYFUNCTION("""COMPUTED_VALUE"""),45503.0)</f>
        <v>45503</v>
      </c>
      <c r="C11999" s="266" t="str">
        <f>IFERROR(__xludf.DUMMYFUNCTION("""COMPUTED_VALUE"""),"KERTASARI CIAMIS")</f>
        <v>KERTASARI CIAMIS</v>
      </c>
      <c r="D11999" s="186">
        <f>IFERROR(__xludf.DUMMYFUNCTION("""COMPUTED_VALUE"""),1.0)</f>
        <v>1</v>
      </c>
    </row>
    <row r="12000">
      <c r="A12000" s="178" t="str">
        <f>IFERROR(__xludf.DUMMYFUNCTION("""COMPUTED_VALUE"""),"ITBISA-USB-A-TO-B-30CM")</f>
        <v>ITBISA-USB-A-TO-B-30CM</v>
      </c>
      <c r="B12000" s="266">
        <f>IFERROR(__xludf.DUMMYFUNCTION("""COMPUTED_VALUE"""),45503.0)</f>
        <v>45503</v>
      </c>
      <c r="C12000" s="266" t="str">
        <f>IFERROR(__xludf.DUMMYFUNCTION("""COMPUTED_VALUE"""),"KYAI KONTONG")</f>
        <v>KYAI KONTONG</v>
      </c>
      <c r="D12000" s="186">
        <f>IFERROR(__xludf.DUMMYFUNCTION("""COMPUTED_VALUE"""),1.0)</f>
        <v>1</v>
      </c>
    </row>
    <row r="12001">
      <c r="A12001" s="178" t="str">
        <f>IFERROR(__xludf.DUMMYFUNCTION("""COMPUTED_VALUE"""),"ITBISA-USB-A-TO-B-30CM")</f>
        <v>ITBISA-USB-A-TO-B-30CM</v>
      </c>
      <c r="B12001" s="266">
        <f>IFERROR(__xludf.DUMMYFUNCTION("""COMPUTED_VALUE"""),45505.0)</f>
        <v>45505</v>
      </c>
      <c r="C12001" s="266" t="str">
        <f>IFERROR(__xludf.DUMMYFUNCTION("""COMPUTED_VALUE"""),"KYAI KONTONG")</f>
        <v>KYAI KONTONG</v>
      </c>
      <c r="D12001" s="186">
        <f>IFERROR(__xludf.DUMMYFUNCTION("""COMPUTED_VALUE"""),50.0)</f>
        <v>50</v>
      </c>
    </row>
    <row r="12002">
      <c r="A12002" s="178" t="str">
        <f>IFERROR(__xludf.DUMMYFUNCTION("""COMPUTED_VALUE"""),"ITBISA-USB-A-TO-B-30CM")</f>
        <v>ITBISA-USB-A-TO-B-30CM</v>
      </c>
      <c r="B12002" s="266">
        <f>IFERROR(__xludf.DUMMYFUNCTION("""COMPUTED_VALUE"""),45512.0)</f>
        <v>45512</v>
      </c>
      <c r="C12002" s="266" t="str">
        <f>IFERROR(__xludf.DUMMYFUNCTION("""COMPUTED_VALUE"""),"KYAI KONTONG")</f>
        <v>KYAI KONTONG</v>
      </c>
      <c r="D12002" s="186">
        <f>IFERROR(__xludf.DUMMYFUNCTION("""COMPUTED_VALUE"""),1.0)</f>
        <v>1</v>
      </c>
    </row>
    <row r="12003">
      <c r="A12003" s="178" t="str">
        <f>IFERROR(__xludf.DUMMYFUNCTION("""COMPUTED_VALUE"""),"ITBISA-USB-A-TO-B-30CM")</f>
        <v>ITBISA-USB-A-TO-B-30CM</v>
      </c>
      <c r="B12003" s="266">
        <f>IFERROR(__xludf.DUMMYFUNCTION("""COMPUTED_VALUE"""),45513.0)</f>
        <v>45513</v>
      </c>
      <c r="C12003" s="266" t="str">
        <f>IFERROR(__xludf.DUMMYFUNCTION("""COMPUTED_VALUE"""),"KERTASARI CIAMIS")</f>
        <v>KERTASARI CIAMIS</v>
      </c>
      <c r="D12003" s="186">
        <f>IFERROR(__xludf.DUMMYFUNCTION("""COMPUTED_VALUE"""),2.0)</f>
        <v>2</v>
      </c>
    </row>
    <row r="12004">
      <c r="A12004" s="178" t="str">
        <f>IFERROR(__xludf.DUMMYFUNCTION("""COMPUTED_VALUE"""),"ITBISA-USB-A-TO-B-30CM")</f>
        <v>ITBISA-USB-A-TO-B-30CM</v>
      </c>
      <c r="B12004" s="266">
        <f>IFERROR(__xludf.DUMMYFUNCTION("""COMPUTED_VALUE"""),45515.0)</f>
        <v>45515</v>
      </c>
      <c r="C12004" s="266" t="str">
        <f>IFERROR(__xludf.DUMMYFUNCTION("""COMPUTED_VALUE"""),"KYAI KONTONG")</f>
        <v>KYAI KONTONG</v>
      </c>
      <c r="D12004" s="186">
        <f>IFERROR(__xludf.DUMMYFUNCTION("""COMPUTED_VALUE"""),1.0)</f>
        <v>1</v>
      </c>
    </row>
    <row r="12005">
      <c r="A12005" s="178" t="str">
        <f>IFERROR(__xludf.DUMMYFUNCTION("""COMPUTED_VALUE"""),"ITBISA-USB-A-TO-B-30CM")</f>
        <v>ITBISA-USB-A-TO-B-30CM</v>
      </c>
      <c r="B12005" s="266">
        <f>IFERROR(__xludf.DUMMYFUNCTION("""COMPUTED_VALUE"""),45516.0)</f>
        <v>45516</v>
      </c>
      <c r="C12005" s="266" t="str">
        <f>IFERROR(__xludf.DUMMYFUNCTION("""COMPUTED_VALUE"""),"KYAI KONTONG")</f>
        <v>KYAI KONTONG</v>
      </c>
      <c r="D12005" s="186">
        <f>IFERROR(__xludf.DUMMYFUNCTION("""COMPUTED_VALUE"""),1.0)</f>
        <v>1</v>
      </c>
    </row>
    <row r="12006">
      <c r="A12006" s="178" t="str">
        <f>IFERROR(__xludf.DUMMYFUNCTION("""COMPUTED_VALUE"""),"ITBISA-USB-A-TO-B-30CM")</f>
        <v>ITBISA-USB-A-TO-B-30CM</v>
      </c>
      <c r="B12006" s="266">
        <f>IFERROR(__xludf.DUMMYFUNCTION("""COMPUTED_VALUE"""),45518.0)</f>
        <v>45518</v>
      </c>
      <c r="C12006" s="266" t="str">
        <f>IFERROR(__xludf.DUMMYFUNCTION("""COMPUTED_VALUE"""),"KYAI KONTONG")</f>
        <v>KYAI KONTONG</v>
      </c>
      <c r="D12006" s="186">
        <f>IFERROR(__xludf.DUMMYFUNCTION("""COMPUTED_VALUE"""),1.0)</f>
        <v>1</v>
      </c>
    </row>
    <row r="12007">
      <c r="A12007" s="178" t="str">
        <f>IFERROR(__xludf.DUMMYFUNCTION("""COMPUTED_VALUE"""),"ITBISA-USB-A-TO-B-30CM")</f>
        <v>ITBISA-USB-A-TO-B-30CM</v>
      </c>
      <c r="B12007" s="266">
        <f>IFERROR(__xludf.DUMMYFUNCTION("""COMPUTED_VALUE"""),45518.0)</f>
        <v>45518</v>
      </c>
      <c r="C12007" s="266" t="str">
        <f>IFERROR(__xludf.DUMMYFUNCTION("""COMPUTED_VALUE"""),"KYAI KONTONG")</f>
        <v>KYAI KONTONG</v>
      </c>
      <c r="D12007" s="186">
        <f>IFERROR(__xludf.DUMMYFUNCTION("""COMPUTED_VALUE"""),1.0)</f>
        <v>1</v>
      </c>
    </row>
    <row r="12008">
      <c r="A12008" s="178" t="str">
        <f>IFERROR(__xludf.DUMMYFUNCTION("""COMPUTED_VALUE"""),"ITBISA-USB-A-TO-B-30CM")</f>
        <v>ITBISA-USB-A-TO-B-30CM</v>
      </c>
      <c r="B12008" s="266">
        <f>IFERROR(__xludf.DUMMYFUNCTION("""COMPUTED_VALUE"""),45518.0)</f>
        <v>45518</v>
      </c>
      <c r="C12008" s="266" t="str">
        <f>IFERROR(__xludf.DUMMYFUNCTION("""COMPUTED_VALUE"""),"KYAI KONTONG")</f>
        <v>KYAI KONTONG</v>
      </c>
      <c r="D12008" s="186">
        <f>IFERROR(__xludf.DUMMYFUNCTION("""COMPUTED_VALUE"""),1.0)</f>
        <v>1</v>
      </c>
    </row>
    <row r="12009">
      <c r="A12009" s="178" t="str">
        <f>IFERROR(__xludf.DUMMYFUNCTION("""COMPUTED_VALUE"""),"ITBISA-USB-A-TO-B-30CM")</f>
        <v>ITBISA-USB-A-TO-B-30CM</v>
      </c>
      <c r="B12009" s="266">
        <f>IFERROR(__xludf.DUMMYFUNCTION("""COMPUTED_VALUE"""),45524.0)</f>
        <v>45524</v>
      </c>
      <c r="C12009" s="266" t="str">
        <f>IFERROR(__xludf.DUMMYFUNCTION("""COMPUTED_VALUE"""),"KERTASARI CIAMIS")</f>
        <v>KERTASARI CIAMIS</v>
      </c>
      <c r="D12009" s="186">
        <f>IFERROR(__xludf.DUMMYFUNCTION("""COMPUTED_VALUE"""),1.0)</f>
        <v>1</v>
      </c>
    </row>
    <row r="12010">
      <c r="A12010" s="178" t="str">
        <f>IFERROR(__xludf.DUMMYFUNCTION("""COMPUTED_VALUE"""),"ITBISA-USB-A-TO-B-30CM")</f>
        <v>ITBISA-USB-A-TO-B-30CM</v>
      </c>
      <c r="B12010" s="266">
        <f>IFERROR(__xludf.DUMMYFUNCTION("""COMPUTED_VALUE"""),45531.0)</f>
        <v>45531</v>
      </c>
      <c r="C12010" s="266" t="str">
        <f>IFERROR(__xludf.DUMMYFUNCTION("""COMPUTED_VALUE"""),"KYAI KONTONG")</f>
        <v>KYAI KONTONG</v>
      </c>
      <c r="D12010" s="186">
        <f>IFERROR(__xludf.DUMMYFUNCTION("""COMPUTED_VALUE"""),1.0)</f>
        <v>1</v>
      </c>
    </row>
    <row r="12011">
      <c r="A12011" s="178" t="str">
        <f>IFERROR(__xludf.DUMMYFUNCTION("""COMPUTED_VALUE"""),"ITBISA-USB-A-TO-B-30CM")</f>
        <v>ITBISA-USB-A-TO-B-30CM</v>
      </c>
      <c r="B12011" s="266">
        <f>IFERROR(__xludf.DUMMYFUNCTION("""COMPUTED_VALUE"""),45541.0)</f>
        <v>45541</v>
      </c>
      <c r="C12011" s="266" t="str">
        <f>IFERROR(__xludf.DUMMYFUNCTION("""COMPUTED_VALUE"""),"KERTASARI CIAMIS")</f>
        <v>KERTASARI CIAMIS</v>
      </c>
      <c r="D12011" s="186">
        <f>IFERROR(__xludf.DUMMYFUNCTION("""COMPUTED_VALUE"""),1.0)</f>
        <v>1</v>
      </c>
    </row>
    <row r="12012">
      <c r="A12012" s="178" t="str">
        <f>IFERROR(__xludf.DUMMYFUNCTION("""COMPUTED_VALUE"""),"ITBISA-USB-A-TO-B-30CM")</f>
        <v>ITBISA-USB-A-TO-B-30CM</v>
      </c>
      <c r="B12012" s="266">
        <f>IFERROR(__xludf.DUMMYFUNCTION("""COMPUTED_VALUE"""),45550.0)</f>
        <v>45550</v>
      </c>
      <c r="C12012" s="266" t="str">
        <f>IFERROR(__xludf.DUMMYFUNCTION("""COMPUTED_VALUE"""),"KYAI KONTONG")</f>
        <v>KYAI KONTONG</v>
      </c>
      <c r="D12012" s="186">
        <f>IFERROR(__xludf.DUMMYFUNCTION("""COMPUTED_VALUE"""),1.0)</f>
        <v>1</v>
      </c>
    </row>
    <row r="12013">
      <c r="A12013" s="178" t="str">
        <f>IFERROR(__xludf.DUMMYFUNCTION("""COMPUTED_VALUE"""),"ITBISA-USB-A-TO-B-30CM")</f>
        <v>ITBISA-USB-A-TO-B-30CM</v>
      </c>
      <c r="B12013" s="266">
        <f>IFERROR(__xludf.DUMMYFUNCTION("""COMPUTED_VALUE"""),45556.0)</f>
        <v>45556</v>
      </c>
      <c r="C12013" s="266" t="str">
        <f>IFERROR(__xludf.DUMMYFUNCTION("""COMPUTED_VALUE"""),"KERTASARI CIAMIS")</f>
        <v>KERTASARI CIAMIS</v>
      </c>
      <c r="D12013" s="186">
        <f>IFERROR(__xludf.DUMMYFUNCTION("""COMPUTED_VALUE"""),1.0)</f>
        <v>1</v>
      </c>
    </row>
    <row r="12014">
      <c r="A12014" s="178" t="str">
        <f>IFERROR(__xludf.DUMMYFUNCTION("""COMPUTED_VALUE"""),"ITBISA-USB-A-TO-B-30CM")</f>
        <v>ITBISA-USB-A-TO-B-30CM</v>
      </c>
      <c r="B12014" s="266">
        <f>IFERROR(__xludf.DUMMYFUNCTION("""COMPUTED_VALUE"""),45563.0)</f>
        <v>45563</v>
      </c>
      <c r="C12014" s="266" t="str">
        <f>IFERROR(__xludf.DUMMYFUNCTION("""COMPUTED_VALUE"""),"KYAI KONTONG")</f>
        <v>KYAI KONTONG</v>
      </c>
      <c r="D12014" s="186">
        <f>IFERROR(__xludf.DUMMYFUNCTION("""COMPUTED_VALUE"""),1.0)</f>
        <v>1</v>
      </c>
    </row>
    <row r="12015">
      <c r="A12015" s="178" t="str">
        <f>IFERROR(__xludf.DUMMYFUNCTION("""COMPUTED_VALUE"""),"ITBISA-USB-A-TO-B-30CM")</f>
        <v>ITBISA-USB-A-TO-B-30CM</v>
      </c>
      <c r="B12015" s="266">
        <f>IFERROR(__xludf.DUMMYFUNCTION("""COMPUTED_VALUE"""),45564.0)</f>
        <v>45564</v>
      </c>
      <c r="C12015" s="266" t="str">
        <f>IFERROR(__xludf.DUMMYFUNCTION("""COMPUTED_VALUE"""),"KYAI KONTONG")</f>
        <v>KYAI KONTONG</v>
      </c>
      <c r="D12015" s="186">
        <f>IFERROR(__xludf.DUMMYFUNCTION("""COMPUTED_VALUE"""),1.0)</f>
        <v>1</v>
      </c>
    </row>
    <row r="12016">
      <c r="A12016" s="178" t="str">
        <f>IFERROR(__xludf.DUMMYFUNCTION("""COMPUTED_VALUE"""),"ITBISA-USB-A-TO-B-30CM")</f>
        <v>ITBISA-USB-A-TO-B-30CM</v>
      </c>
      <c r="B12016" s="266">
        <f>IFERROR(__xludf.DUMMYFUNCTION("""COMPUTED_VALUE"""),45575.0)</f>
        <v>45575</v>
      </c>
      <c r="C12016" s="266" t="str">
        <f>IFERROR(__xludf.DUMMYFUNCTION("""COMPUTED_VALUE"""),"KYAI KONTONG")</f>
        <v>KYAI KONTONG</v>
      </c>
      <c r="D12016" s="186">
        <f>IFERROR(__xludf.DUMMYFUNCTION("""COMPUTED_VALUE"""),1.0)</f>
        <v>1</v>
      </c>
    </row>
    <row r="12017">
      <c r="A12017" s="178" t="str">
        <f>IFERROR(__xludf.DUMMYFUNCTION("""COMPUTED_VALUE"""),"ITBISA-USB-A-TO-B-30CM")</f>
        <v>ITBISA-USB-A-TO-B-30CM</v>
      </c>
      <c r="B12017" s="266">
        <f>IFERROR(__xludf.DUMMYFUNCTION("""COMPUTED_VALUE"""),45575.0)</f>
        <v>45575</v>
      </c>
      <c r="C12017" s="266" t="str">
        <f>IFERROR(__xludf.DUMMYFUNCTION("""COMPUTED_VALUE"""),"KYAI KONTONG")</f>
        <v>KYAI KONTONG</v>
      </c>
      <c r="D12017" s="186">
        <f>IFERROR(__xludf.DUMMYFUNCTION("""COMPUTED_VALUE"""),1.0)</f>
        <v>1</v>
      </c>
    </row>
    <row r="12018">
      <c r="A12018" s="178" t="str">
        <f>IFERROR(__xludf.DUMMYFUNCTION("""COMPUTED_VALUE"""),"ITBISA-USB-A-TO-B-30CM")</f>
        <v>ITBISA-USB-A-TO-B-30CM</v>
      </c>
      <c r="B12018" s="266">
        <f>IFERROR(__xludf.DUMMYFUNCTION("""COMPUTED_VALUE"""),45579.0)</f>
        <v>45579</v>
      </c>
      <c r="C12018" s="266" t="str">
        <f>IFERROR(__xludf.DUMMYFUNCTION("""COMPUTED_VALUE"""),"KYAI KONTONG")</f>
        <v>KYAI KONTONG</v>
      </c>
      <c r="D12018" s="186">
        <f>IFERROR(__xludf.DUMMYFUNCTION("""COMPUTED_VALUE"""),1.0)</f>
        <v>1</v>
      </c>
    </row>
    <row r="12019">
      <c r="A12019" s="178" t="str">
        <f>IFERROR(__xludf.DUMMYFUNCTION("""COMPUTED_VALUE"""),"ITBISA-USB-A-TO-B-30CM")</f>
        <v>ITBISA-USB-A-TO-B-30CM</v>
      </c>
      <c r="B12019" s="266">
        <f>IFERROR(__xludf.DUMMYFUNCTION("""COMPUTED_VALUE"""),45592.0)</f>
        <v>45592</v>
      </c>
      <c r="C12019" s="266" t="str">
        <f>IFERROR(__xludf.DUMMYFUNCTION("""COMPUTED_VALUE"""),"KERTASARI CIAMIS")</f>
        <v>KERTASARI CIAMIS</v>
      </c>
      <c r="D12019" s="186">
        <f>IFERROR(__xludf.DUMMYFUNCTION("""COMPUTED_VALUE"""),2.0)</f>
        <v>2</v>
      </c>
    </row>
    <row r="12020">
      <c r="A12020" s="178" t="str">
        <f>IFERROR(__xludf.DUMMYFUNCTION("""COMPUTED_VALUE"""),"ITBISA-USB-A-TO-B-30CM")</f>
        <v>ITBISA-USB-A-TO-B-30CM</v>
      </c>
      <c r="B12020" s="266">
        <f>IFERROR(__xludf.DUMMYFUNCTION("""COMPUTED_VALUE"""),45593.0)</f>
        <v>45593</v>
      </c>
      <c r="C12020" s="266" t="str">
        <f>IFERROR(__xludf.DUMMYFUNCTION("""COMPUTED_VALUE"""),"KERTASARI CIAMIS")</f>
        <v>KERTASARI CIAMIS</v>
      </c>
      <c r="D12020" s="186">
        <f>IFERROR(__xludf.DUMMYFUNCTION("""COMPUTED_VALUE"""),1.0)</f>
        <v>1</v>
      </c>
    </row>
    <row r="12021">
      <c r="A12021" s="178" t="str">
        <f>IFERROR(__xludf.DUMMYFUNCTION("""COMPUTED_VALUE"""),"ITBISA-USB-A-TO-B-30CM")</f>
        <v>ITBISA-USB-A-TO-B-30CM</v>
      </c>
      <c r="B12021" s="266">
        <f>IFERROR(__xludf.DUMMYFUNCTION("""COMPUTED_VALUE"""),45594.0)</f>
        <v>45594</v>
      </c>
      <c r="C12021" s="266" t="str">
        <f>IFERROR(__xludf.DUMMYFUNCTION("""COMPUTED_VALUE"""),"KERTASARI CIAMIS")</f>
        <v>KERTASARI CIAMIS</v>
      </c>
      <c r="D12021" s="186">
        <f>IFERROR(__xludf.DUMMYFUNCTION("""COMPUTED_VALUE"""),55.0)</f>
        <v>55</v>
      </c>
    </row>
    <row r="12022">
      <c r="A12022" s="178" t="str">
        <f>IFERROR(__xludf.DUMMYFUNCTION("""COMPUTED_VALUE"""),"ITBISA-USB-A-TO-B-30CM")</f>
        <v>ITBISA-USB-A-TO-B-30CM</v>
      </c>
      <c r="B12022" s="266">
        <f>IFERROR(__xludf.DUMMYFUNCTION("""COMPUTED_VALUE"""),45597.0)</f>
        <v>45597</v>
      </c>
      <c r="C12022" s="266" t="str">
        <f>IFERROR(__xludf.DUMMYFUNCTION("""COMPUTED_VALUE"""),"KERTASARI CIAMIS")</f>
        <v>KERTASARI CIAMIS</v>
      </c>
      <c r="D12022" s="186">
        <f>IFERROR(__xludf.DUMMYFUNCTION("""COMPUTED_VALUE"""),2.0)</f>
        <v>2</v>
      </c>
    </row>
    <row r="12023">
      <c r="A12023" s="178" t="str">
        <f>IFERROR(__xludf.DUMMYFUNCTION("""COMPUTED_VALUE"""),"ITBISA-USB-A-TO-B-30CM")</f>
        <v>ITBISA-USB-A-TO-B-30CM</v>
      </c>
      <c r="B12023" s="266">
        <f>IFERROR(__xludf.DUMMYFUNCTION("""COMPUTED_VALUE"""),45607.0)</f>
        <v>45607</v>
      </c>
      <c r="C12023" s="266" t="str">
        <f>IFERROR(__xludf.DUMMYFUNCTION("""COMPUTED_VALUE"""),"KERTASARI CIAMIS")</f>
        <v>KERTASARI CIAMIS</v>
      </c>
      <c r="D12023" s="186">
        <f>IFERROR(__xludf.DUMMYFUNCTION("""COMPUTED_VALUE"""),1.0)</f>
        <v>1</v>
      </c>
    </row>
    <row r="12024">
      <c r="A12024" s="178" t="str">
        <f>IFERROR(__xludf.DUMMYFUNCTION("""COMPUTED_VALUE"""),"ITBISA-USB-A-TO-B-30CM")</f>
        <v>ITBISA-USB-A-TO-B-30CM</v>
      </c>
      <c r="B12024" s="266">
        <f>IFERROR(__xludf.DUMMYFUNCTION("""COMPUTED_VALUE"""),45607.0)</f>
        <v>45607</v>
      </c>
      <c r="C12024" s="266" t="str">
        <f>IFERROR(__xludf.DUMMYFUNCTION("""COMPUTED_VALUE"""),"KYAI KONTONG")</f>
        <v>KYAI KONTONG</v>
      </c>
      <c r="D12024" s="186">
        <f>IFERROR(__xludf.DUMMYFUNCTION("""COMPUTED_VALUE"""),1.0)</f>
        <v>1</v>
      </c>
    </row>
    <row r="12025">
      <c r="A12025" s="178" t="str">
        <f>IFERROR(__xludf.DUMMYFUNCTION("""COMPUTED_VALUE"""),"ITBISA-USB-A-TO-B-30CM")</f>
        <v>ITBISA-USB-A-TO-B-30CM</v>
      </c>
      <c r="B12025" s="266">
        <f>IFERROR(__xludf.DUMMYFUNCTION("""COMPUTED_VALUE"""),45608.0)</f>
        <v>45608</v>
      </c>
      <c r="C12025" s="266" t="str">
        <f>IFERROR(__xludf.DUMMYFUNCTION("""COMPUTED_VALUE"""),"KYAI KONTONG")</f>
        <v>KYAI KONTONG</v>
      </c>
      <c r="D12025" s="186">
        <f>IFERROR(__xludf.DUMMYFUNCTION("""COMPUTED_VALUE"""),9.0)</f>
        <v>9</v>
      </c>
    </row>
    <row r="12026">
      <c r="A12026" s="178" t="str">
        <f>IFERROR(__xludf.DUMMYFUNCTION("""COMPUTED_VALUE"""),"ITBISA-USB-A-TO-B-30CM")</f>
        <v>ITBISA-USB-A-TO-B-30CM</v>
      </c>
      <c r="B12026" s="266">
        <f>IFERROR(__xludf.DUMMYFUNCTION("""COMPUTED_VALUE"""),45609.0)</f>
        <v>45609</v>
      </c>
      <c r="C12026" s="266" t="str">
        <f>IFERROR(__xludf.DUMMYFUNCTION("""COMPUTED_VALUE"""),"KYAI KONTONG")</f>
        <v>KYAI KONTONG</v>
      </c>
      <c r="D12026" s="186">
        <f>IFERROR(__xludf.DUMMYFUNCTION("""COMPUTED_VALUE"""),1.0)</f>
        <v>1</v>
      </c>
    </row>
    <row r="12027">
      <c r="A12027" s="178" t="str">
        <f>IFERROR(__xludf.DUMMYFUNCTION("""COMPUTED_VALUE"""),"ITBISA-USB-A-TO-B-30CM")</f>
        <v>ITBISA-USB-A-TO-B-30CM</v>
      </c>
      <c r="B12027" s="266">
        <f>IFERROR(__xludf.DUMMYFUNCTION("""COMPUTED_VALUE"""),45611.0)</f>
        <v>45611</v>
      </c>
      <c r="C12027" s="266" t="str">
        <f>IFERROR(__xludf.DUMMYFUNCTION("""COMPUTED_VALUE"""),"KYAI KONTONG")</f>
        <v>KYAI KONTONG</v>
      </c>
      <c r="D12027" s="186">
        <f>IFERROR(__xludf.DUMMYFUNCTION("""COMPUTED_VALUE"""),5.0)</f>
        <v>5</v>
      </c>
    </row>
    <row r="12028">
      <c r="A12028" s="178" t="str">
        <f>IFERROR(__xludf.DUMMYFUNCTION("""COMPUTED_VALUE"""),"ITBISA-USB-A-TO-B-30CM")</f>
        <v>ITBISA-USB-A-TO-B-30CM</v>
      </c>
      <c r="B12028" s="266">
        <f>IFERROR(__xludf.DUMMYFUNCTION("""COMPUTED_VALUE"""),45617.0)</f>
        <v>45617</v>
      </c>
      <c r="C12028" s="266" t="str">
        <f>IFERROR(__xludf.DUMMYFUNCTION("""COMPUTED_VALUE"""),"KERTASARI CIAMIS")</f>
        <v>KERTASARI CIAMIS</v>
      </c>
      <c r="D12028" s="186">
        <f>IFERROR(__xludf.DUMMYFUNCTION("""COMPUTED_VALUE"""),6.0)</f>
        <v>6</v>
      </c>
    </row>
    <row r="12029">
      <c r="A12029" s="178" t="str">
        <f>IFERROR(__xludf.DUMMYFUNCTION("""COMPUTED_VALUE"""),"ITBISA-USB-A-TO-B-30CM")</f>
        <v>ITBISA-USB-A-TO-B-30CM</v>
      </c>
      <c r="B12029" s="266">
        <f>IFERROR(__xludf.DUMMYFUNCTION("""COMPUTED_VALUE"""),45619.0)</f>
        <v>45619</v>
      </c>
      <c r="C12029" s="266" t="str">
        <f>IFERROR(__xludf.DUMMYFUNCTION("""COMPUTED_VALUE"""),"KERTASARI CIAMIS")</f>
        <v>KERTASARI CIAMIS</v>
      </c>
      <c r="D12029" s="186">
        <f>IFERROR(__xludf.DUMMYFUNCTION("""COMPUTED_VALUE"""),1.0)</f>
        <v>1</v>
      </c>
    </row>
    <row r="12030">
      <c r="A12030" s="178" t="str">
        <f>IFERROR(__xludf.DUMMYFUNCTION("""COMPUTED_VALUE"""),"ITBISA-USB-A-TO-B-30CM")</f>
        <v>ITBISA-USB-A-TO-B-30CM</v>
      </c>
      <c r="B12030" s="266">
        <f>IFERROR(__xludf.DUMMYFUNCTION("""COMPUTED_VALUE"""),45621.0)</f>
        <v>45621</v>
      </c>
      <c r="C12030" s="266" t="str">
        <f>IFERROR(__xludf.DUMMYFUNCTION("""COMPUTED_VALUE"""),"KYAI KONTONG")</f>
        <v>KYAI KONTONG</v>
      </c>
      <c r="D12030" s="186">
        <f>IFERROR(__xludf.DUMMYFUNCTION("""COMPUTED_VALUE"""),10.0)</f>
        <v>10</v>
      </c>
    </row>
    <row r="12031">
      <c r="A12031" s="178" t="str">
        <f>IFERROR(__xludf.DUMMYFUNCTION("""COMPUTED_VALUE"""),"ITBISA-USB-A-TO-B-30CM")</f>
        <v>ITBISA-USB-A-TO-B-30CM</v>
      </c>
      <c r="B12031" s="266">
        <f>IFERROR(__xludf.DUMMYFUNCTION("""COMPUTED_VALUE"""),45628.0)</f>
        <v>45628</v>
      </c>
      <c r="C12031" s="266" t="str">
        <f>IFERROR(__xludf.DUMMYFUNCTION("""COMPUTED_VALUE"""),"KYAI KONTONG")</f>
        <v>KYAI KONTONG</v>
      </c>
      <c r="D12031" s="186">
        <f>IFERROR(__xludf.DUMMYFUNCTION("""COMPUTED_VALUE"""),1.0)</f>
        <v>1</v>
      </c>
    </row>
    <row r="12032">
      <c r="A12032" s="178" t="str">
        <f>IFERROR(__xludf.DUMMYFUNCTION("""COMPUTED_VALUE"""),"ITBISA-USB-A-TO-B-30CM")</f>
        <v>ITBISA-USB-A-TO-B-30CM</v>
      </c>
      <c r="B12032" s="266">
        <f>IFERROR(__xludf.DUMMYFUNCTION("""COMPUTED_VALUE"""),45629.0)</f>
        <v>45629</v>
      </c>
      <c r="C12032" s="266" t="str">
        <f>IFERROR(__xludf.DUMMYFUNCTION("""COMPUTED_VALUE"""),"KYAI KONTONG")</f>
        <v>KYAI KONTONG</v>
      </c>
      <c r="D12032" s="186">
        <f>IFERROR(__xludf.DUMMYFUNCTION("""COMPUTED_VALUE"""),1.0)</f>
        <v>1</v>
      </c>
    </row>
    <row r="12033">
      <c r="A12033" s="178" t="str">
        <f>IFERROR(__xludf.DUMMYFUNCTION("""COMPUTED_VALUE"""),"ITBISA-USB-A-TO-B-30CM")</f>
        <v>ITBISA-USB-A-TO-B-30CM</v>
      </c>
      <c r="B12033" s="266">
        <f>IFERROR(__xludf.DUMMYFUNCTION("""COMPUTED_VALUE"""),45638.0)</f>
        <v>45638</v>
      </c>
      <c r="C12033" s="266" t="str">
        <f>IFERROR(__xludf.DUMMYFUNCTION("""COMPUTED_VALUE"""),"KYAI KONTONG")</f>
        <v>KYAI KONTONG</v>
      </c>
      <c r="D12033" s="186">
        <f>IFERROR(__xludf.DUMMYFUNCTION("""COMPUTED_VALUE"""),1.0)</f>
        <v>1</v>
      </c>
    </row>
    <row r="12034">
      <c r="A12034" s="178" t="str">
        <f>IFERROR(__xludf.DUMMYFUNCTION("""COMPUTED_VALUE"""),"ITBISA-USB-A-TO-B-30CM")</f>
        <v>ITBISA-USB-A-TO-B-30CM</v>
      </c>
      <c r="B12034" s="266">
        <f>IFERROR(__xludf.DUMMYFUNCTION("""COMPUTED_VALUE"""),45639.0)</f>
        <v>45639</v>
      </c>
      <c r="C12034" s="266" t="str">
        <f>IFERROR(__xludf.DUMMYFUNCTION("""COMPUTED_VALUE"""),"KYAI KONTONG")</f>
        <v>KYAI KONTONG</v>
      </c>
      <c r="D12034" s="186">
        <f>IFERROR(__xludf.DUMMYFUNCTION("""COMPUTED_VALUE"""),2.0)</f>
        <v>2</v>
      </c>
    </row>
    <row r="12035">
      <c r="A12035" s="178" t="str">
        <f>IFERROR(__xludf.DUMMYFUNCTION("""COMPUTED_VALUE"""),"ITBISA-USB-A-TO-B-30CM")</f>
        <v>ITBISA-USB-A-TO-B-30CM</v>
      </c>
      <c r="B12035" s="266">
        <f>IFERROR(__xludf.DUMMYFUNCTION("""COMPUTED_VALUE"""),45645.0)</f>
        <v>45645</v>
      </c>
      <c r="C12035" s="266" t="str">
        <f>IFERROR(__xludf.DUMMYFUNCTION("""COMPUTED_VALUE"""),"KYAI KONTONG")</f>
        <v>KYAI KONTONG</v>
      </c>
      <c r="D12035" s="186">
        <f>IFERROR(__xludf.DUMMYFUNCTION("""COMPUTED_VALUE"""),1.0)</f>
        <v>1</v>
      </c>
    </row>
    <row r="12036">
      <c r="A12036" s="178" t="str">
        <f>IFERROR(__xludf.DUMMYFUNCTION("""COMPUTED_VALUE"""),"ITBISA-USB-A-TO-B-30CM")</f>
        <v>ITBISA-USB-A-TO-B-30CM</v>
      </c>
      <c r="B12036" s="266">
        <f>IFERROR(__xludf.DUMMYFUNCTION("""COMPUTED_VALUE"""),45645.0)</f>
        <v>45645</v>
      </c>
      <c r="C12036" s="266" t="str">
        <f>IFERROR(__xludf.DUMMYFUNCTION("""COMPUTED_VALUE"""),"KYAI KONTONG")</f>
        <v>KYAI KONTONG</v>
      </c>
      <c r="D12036" s="186">
        <f>IFERROR(__xludf.DUMMYFUNCTION("""COMPUTED_VALUE"""),1.0)</f>
        <v>1</v>
      </c>
    </row>
    <row r="12037">
      <c r="A12037" s="178" t="str">
        <f>IFERROR(__xludf.DUMMYFUNCTION("""COMPUTED_VALUE"""),"ITBISA-USB-A-TO-B-30CM")</f>
        <v>ITBISA-USB-A-TO-B-30CM</v>
      </c>
      <c r="B12037" s="266">
        <f>IFERROR(__xludf.DUMMYFUNCTION("""COMPUTED_VALUE"""),45645.0)</f>
        <v>45645</v>
      </c>
      <c r="C12037" s="266" t="str">
        <f>IFERROR(__xludf.DUMMYFUNCTION("""COMPUTED_VALUE"""),"KYAI KONTONG")</f>
        <v>KYAI KONTONG</v>
      </c>
      <c r="D12037" s="186">
        <f>IFERROR(__xludf.DUMMYFUNCTION("""COMPUTED_VALUE"""),1.0)</f>
        <v>1</v>
      </c>
    </row>
    <row r="12038">
      <c r="A12038" s="178" t="str">
        <f>IFERROR(__xludf.DUMMYFUNCTION("""COMPUTED_VALUE"""),"ITBISA-USB-A-TO-B-30CM")</f>
        <v>ITBISA-USB-A-TO-B-30CM</v>
      </c>
      <c r="B12038" s="266">
        <f>IFERROR(__xludf.DUMMYFUNCTION("""COMPUTED_VALUE"""),45653.0)</f>
        <v>45653</v>
      </c>
      <c r="C12038" s="266" t="str">
        <f>IFERROR(__xludf.DUMMYFUNCTION("""COMPUTED_VALUE"""),"KYAI KONTONG")</f>
        <v>KYAI KONTONG</v>
      </c>
      <c r="D12038" s="186">
        <f>IFERROR(__xludf.DUMMYFUNCTION("""COMPUTED_VALUE"""),1.0)</f>
        <v>1</v>
      </c>
    </row>
    <row r="12039">
      <c r="A12039" s="178" t="str">
        <f>IFERROR(__xludf.DUMMYFUNCTION("""COMPUTED_VALUE"""),"ITBISA-USB-A-TO-B-30CM")</f>
        <v>ITBISA-USB-A-TO-B-30CM</v>
      </c>
      <c r="B12039" s="266">
        <f>IFERROR(__xludf.DUMMYFUNCTION("""COMPUTED_VALUE"""),45657.0)</f>
        <v>45657</v>
      </c>
      <c r="C12039" s="266" t="str">
        <f>IFERROR(__xludf.DUMMYFUNCTION("""COMPUTED_VALUE"""),"KYAI KONTONG")</f>
        <v>KYAI KONTONG</v>
      </c>
      <c r="D12039" s="186">
        <f>IFERROR(__xludf.DUMMYFUNCTION("""COMPUTED_VALUE"""),1.0)</f>
        <v>1</v>
      </c>
    </row>
    <row r="12040">
      <c r="A12040" s="178" t="str">
        <f>IFERROR(__xludf.DUMMYFUNCTION("""COMPUTED_VALUE"""),"ITBISA-USB-A-TO-B-30CM")</f>
        <v>ITBISA-USB-A-TO-B-30CM</v>
      </c>
      <c r="B12040" s="266">
        <f>IFERROR(__xludf.DUMMYFUNCTION("""COMPUTED_VALUE"""),45669.0)</f>
        <v>45669</v>
      </c>
      <c r="C12040" s="266" t="str">
        <f>IFERROR(__xludf.DUMMYFUNCTION("""COMPUTED_VALUE"""),"KERTASARI CIAMIS")</f>
        <v>KERTASARI CIAMIS</v>
      </c>
      <c r="D12040" s="186">
        <f>IFERROR(__xludf.DUMMYFUNCTION("""COMPUTED_VALUE"""),1.0)</f>
        <v>1</v>
      </c>
    </row>
    <row r="12041">
      <c r="A12041" s="178" t="str">
        <f>IFERROR(__xludf.DUMMYFUNCTION("""COMPUTED_VALUE"""),"ITBISA-USB-A-TO-B-30CM")</f>
        <v>ITBISA-USB-A-TO-B-30CM</v>
      </c>
      <c r="B12041" s="266">
        <f>IFERROR(__xludf.DUMMYFUNCTION("""COMPUTED_VALUE"""),45695.0)</f>
        <v>45695</v>
      </c>
      <c r="C12041" s="266" t="str">
        <f>IFERROR(__xludf.DUMMYFUNCTION("""COMPUTED_VALUE"""),"KERTASARI CIAMIS")</f>
        <v>KERTASARI CIAMIS</v>
      </c>
      <c r="D12041" s="186">
        <f>IFERROR(__xludf.DUMMYFUNCTION("""COMPUTED_VALUE"""),1.0)</f>
        <v>1</v>
      </c>
    </row>
    <row r="12042">
      <c r="A12042" s="178" t="str">
        <f>IFERROR(__xludf.DUMMYFUNCTION("""COMPUTED_VALUE"""),"ITBISA-USB-A-TO-B-30CM")</f>
        <v>ITBISA-USB-A-TO-B-30CM</v>
      </c>
      <c r="B12042" s="266">
        <f>IFERROR(__xludf.DUMMYFUNCTION("""COMPUTED_VALUE"""),45697.0)</f>
        <v>45697</v>
      </c>
      <c r="C12042" s="266" t="str">
        <f>IFERROR(__xludf.DUMMYFUNCTION("""COMPUTED_VALUE"""),"KYAI KONTONG")</f>
        <v>KYAI KONTONG</v>
      </c>
      <c r="D12042" s="186">
        <f>IFERROR(__xludf.DUMMYFUNCTION("""COMPUTED_VALUE"""),1.0)</f>
        <v>1</v>
      </c>
    </row>
    <row r="12043">
      <c r="A12043" s="178" t="str">
        <f>IFERROR(__xludf.DUMMYFUNCTION("""COMPUTED_VALUE"""),"ITBISA-USB-A-TO-B-30CM")</f>
        <v>ITBISA-USB-A-TO-B-30CM</v>
      </c>
      <c r="B12043" s="266">
        <f>IFERROR(__xludf.DUMMYFUNCTION("""COMPUTED_VALUE"""),45699.0)</f>
        <v>45699</v>
      </c>
      <c r="C12043" s="266" t="str">
        <f>IFERROR(__xludf.DUMMYFUNCTION("""COMPUTED_VALUE"""),"KERTASARI CIAMIS")</f>
        <v>KERTASARI CIAMIS</v>
      </c>
      <c r="D12043" s="186">
        <f>IFERROR(__xludf.DUMMYFUNCTION("""COMPUTED_VALUE"""),1.0)</f>
        <v>1</v>
      </c>
    </row>
    <row r="12044">
      <c r="A12044" s="178" t="str">
        <f>IFERROR(__xludf.DUMMYFUNCTION("""COMPUTED_VALUE"""),"ITBISA-USB-A-TO-B-30CM")</f>
        <v>ITBISA-USB-A-TO-B-30CM</v>
      </c>
      <c r="B12044" s="266">
        <f>IFERROR(__xludf.DUMMYFUNCTION("""COMPUTED_VALUE"""),45699.0)</f>
        <v>45699</v>
      </c>
      <c r="C12044" s="266" t="str">
        <f>IFERROR(__xludf.DUMMYFUNCTION("""COMPUTED_VALUE"""),"KYAI KONTONG")</f>
        <v>KYAI KONTONG</v>
      </c>
      <c r="D12044" s="186">
        <f>IFERROR(__xludf.DUMMYFUNCTION("""COMPUTED_VALUE"""),3.0)</f>
        <v>3</v>
      </c>
    </row>
    <row r="12045">
      <c r="A12045" s="178" t="str">
        <f>IFERROR(__xludf.DUMMYFUNCTION("""COMPUTED_VALUE"""),"ITBISA-USB-A-TO-B-30CM")</f>
        <v>ITBISA-USB-A-TO-B-30CM</v>
      </c>
      <c r="B12045" s="266">
        <f>IFERROR(__xludf.DUMMYFUNCTION("""COMPUTED_VALUE"""),45702.0)</f>
        <v>45702</v>
      </c>
      <c r="C12045" s="266" t="str">
        <f>IFERROR(__xludf.DUMMYFUNCTION("""COMPUTED_VALUE"""),"KYAI KONTONG")</f>
        <v>KYAI KONTONG</v>
      </c>
      <c r="D12045" s="186">
        <f>IFERROR(__xludf.DUMMYFUNCTION("""COMPUTED_VALUE"""),14.0)</f>
        <v>14</v>
      </c>
    </row>
    <row r="12046">
      <c r="A12046" s="178" t="str">
        <f>IFERROR(__xludf.DUMMYFUNCTION("""COMPUTED_VALUE"""),"ITBISA-USB-A-TO-B-30CM")</f>
        <v>ITBISA-USB-A-TO-B-30CM</v>
      </c>
      <c r="B12046" s="266">
        <f>IFERROR(__xludf.DUMMYFUNCTION("""COMPUTED_VALUE"""),45711.0)</f>
        <v>45711</v>
      </c>
      <c r="C12046" s="266" t="str">
        <f>IFERROR(__xludf.DUMMYFUNCTION("""COMPUTED_VALUE"""),"KYAI KONTONG")</f>
        <v>KYAI KONTONG</v>
      </c>
      <c r="D12046" s="186">
        <f>IFERROR(__xludf.DUMMYFUNCTION("""COMPUTED_VALUE"""),10.0)</f>
        <v>10</v>
      </c>
    </row>
    <row r="12047">
      <c r="A12047" s="178" t="str">
        <f>IFERROR(__xludf.DUMMYFUNCTION("""COMPUTED_VALUE"""),"ITBISA-USB-A-TO-B-30CM")</f>
        <v>ITBISA-USB-A-TO-B-30CM</v>
      </c>
      <c r="B12047" s="266">
        <f>IFERROR(__xludf.DUMMYFUNCTION("""COMPUTED_VALUE"""),45726.0)</f>
        <v>45726</v>
      </c>
      <c r="C12047" s="266" t="str">
        <f>IFERROR(__xludf.DUMMYFUNCTION("""COMPUTED_VALUE"""),"KERTASARI CIAMIS")</f>
        <v>KERTASARI CIAMIS</v>
      </c>
      <c r="D12047" s="186">
        <f>IFERROR(__xludf.DUMMYFUNCTION("""COMPUTED_VALUE"""),1.0)</f>
        <v>1</v>
      </c>
    </row>
    <row r="12048">
      <c r="A12048" s="178" t="str">
        <f>IFERROR(__xludf.DUMMYFUNCTION("""COMPUTED_VALUE"""),"ITBISA-USB-A-TO-B-30CM")</f>
        <v>ITBISA-USB-A-TO-B-30CM</v>
      </c>
      <c r="B12048" s="266">
        <f>IFERROR(__xludf.DUMMYFUNCTION("""COMPUTED_VALUE"""),45726.0)</f>
        <v>45726</v>
      </c>
      <c r="C12048" s="266" t="str">
        <f>IFERROR(__xludf.DUMMYFUNCTION("""COMPUTED_VALUE"""),"KERTASARI CIAMIS")</f>
        <v>KERTASARI CIAMIS</v>
      </c>
      <c r="D12048" s="186">
        <f>IFERROR(__xludf.DUMMYFUNCTION("""COMPUTED_VALUE"""),2.0)</f>
        <v>2</v>
      </c>
    </row>
    <row r="12049">
      <c r="A12049" s="178" t="str">
        <f>IFERROR(__xludf.DUMMYFUNCTION("""COMPUTED_VALUE"""),"ITBISA-USB-A-TO-B-30CM")</f>
        <v>ITBISA-USB-A-TO-B-30CM</v>
      </c>
      <c r="B12049" s="266">
        <f>IFERROR(__xludf.DUMMYFUNCTION("""COMPUTED_VALUE"""),45726.0)</f>
        <v>45726</v>
      </c>
      <c r="C12049" s="266" t="str">
        <f>IFERROR(__xludf.DUMMYFUNCTION("""COMPUTED_VALUE"""),"KERTASARI CIAMIS")</f>
        <v>KERTASARI CIAMIS</v>
      </c>
      <c r="D12049" s="186">
        <f>IFERROR(__xludf.DUMMYFUNCTION("""COMPUTED_VALUE"""),15.0)</f>
        <v>15</v>
      </c>
    </row>
    <row r="12050">
      <c r="A12050" s="178" t="str">
        <f>IFERROR(__xludf.DUMMYFUNCTION("""COMPUTED_VALUE"""),"ITBISA-USB-A-TO-B-30CM")</f>
        <v>ITBISA-USB-A-TO-B-30CM</v>
      </c>
      <c r="B12050" s="266">
        <f>IFERROR(__xludf.DUMMYFUNCTION("""COMPUTED_VALUE"""),45734.0)</f>
        <v>45734</v>
      </c>
      <c r="C12050" s="266" t="str">
        <f>IFERROR(__xludf.DUMMYFUNCTION("""COMPUTED_VALUE"""),"KYAI KONTONG")</f>
        <v>KYAI KONTONG</v>
      </c>
      <c r="D12050" s="186">
        <f>IFERROR(__xludf.DUMMYFUNCTION("""COMPUTED_VALUE"""),1.0)</f>
        <v>1</v>
      </c>
    </row>
    <row r="12051">
      <c r="A12051" s="178" t="str">
        <f>IFERROR(__xludf.DUMMYFUNCTION("""COMPUTED_VALUE"""),"ITBISA-USB-A-TO-B-30CM")</f>
        <v>ITBISA-USB-A-TO-B-30CM</v>
      </c>
      <c r="B12051" s="266">
        <f>IFERROR(__xludf.DUMMYFUNCTION("""COMPUTED_VALUE"""),45740.0)</f>
        <v>45740</v>
      </c>
      <c r="C12051" s="266" t="str">
        <f>IFERROR(__xludf.DUMMYFUNCTION("""COMPUTED_VALUE"""),"KERTASARI CIAMIS")</f>
        <v>KERTASARI CIAMIS</v>
      </c>
      <c r="D12051" s="186">
        <f>IFERROR(__xludf.DUMMYFUNCTION("""COMPUTED_VALUE"""),1.0)</f>
        <v>1</v>
      </c>
    </row>
    <row r="12052">
      <c r="A12052" s="178" t="str">
        <f>IFERROR(__xludf.DUMMYFUNCTION("""COMPUTED_VALUE"""),"ITBISA-USB-A-TO-B-30CM")</f>
        <v>ITBISA-USB-A-TO-B-30CM</v>
      </c>
      <c r="B12052" s="266">
        <f>IFERROR(__xludf.DUMMYFUNCTION("""COMPUTED_VALUE"""),45747.0)</f>
        <v>45747</v>
      </c>
      <c r="C12052" s="266" t="str">
        <f>IFERROR(__xludf.DUMMYFUNCTION("""COMPUTED_VALUE"""),"KERTASARI CIAMIS")</f>
        <v>KERTASARI CIAMIS</v>
      </c>
      <c r="D12052" s="186">
        <f>IFERROR(__xludf.DUMMYFUNCTION("""COMPUTED_VALUE"""),1.0)</f>
        <v>1</v>
      </c>
    </row>
    <row r="12053">
      <c r="A12053" s="178" t="str">
        <f>IFERROR(__xludf.DUMMYFUNCTION("""COMPUTED_VALUE"""),"ITBISA-USB-A-TO-B-30CM")</f>
        <v>ITBISA-USB-A-TO-B-30CM</v>
      </c>
      <c r="B12053" s="266">
        <f>IFERROR(__xludf.DUMMYFUNCTION("""COMPUTED_VALUE"""),45751.0)</f>
        <v>45751</v>
      </c>
      <c r="C12053" s="266" t="str">
        <f>IFERROR(__xludf.DUMMYFUNCTION("""COMPUTED_VALUE"""),"KERTASARI CIAMIS")</f>
        <v>KERTASARI CIAMIS</v>
      </c>
      <c r="D12053" s="186">
        <f>IFERROR(__xludf.DUMMYFUNCTION("""COMPUTED_VALUE"""),1.0)</f>
        <v>1</v>
      </c>
    </row>
    <row r="12054">
      <c r="A12054" s="178" t="str">
        <f>IFERROR(__xludf.DUMMYFUNCTION("""COMPUTED_VALUE"""),"ITBISA-USB-A-TO-B-30CM")</f>
        <v>ITBISA-USB-A-TO-B-30CM</v>
      </c>
      <c r="B12054" s="266">
        <f>IFERROR(__xludf.DUMMYFUNCTION("""COMPUTED_VALUE"""),45794.0)</f>
        <v>45794</v>
      </c>
      <c r="C12054" s="266" t="str">
        <f>IFERROR(__xludf.DUMMYFUNCTION("""COMPUTED_VALUE"""),"KYAI KONTONG")</f>
        <v>KYAI KONTONG</v>
      </c>
      <c r="D12054" s="186">
        <f>IFERROR(__xludf.DUMMYFUNCTION("""COMPUTED_VALUE"""),2.0)</f>
        <v>2</v>
      </c>
    </row>
    <row r="12055">
      <c r="A12055" s="178" t="str">
        <f>IFERROR(__xludf.DUMMYFUNCTION("""COMPUTED_VALUE"""),"ITBISA-USB-A-TO-B-30CM")</f>
        <v>ITBISA-USB-A-TO-B-30CM</v>
      </c>
      <c r="B12055" s="266">
        <f>IFERROR(__xludf.DUMMYFUNCTION("""COMPUTED_VALUE"""),45799.0)</f>
        <v>45799</v>
      </c>
      <c r="C12055" s="266" t="str">
        <f>IFERROR(__xludf.DUMMYFUNCTION("""COMPUTED_VALUE"""),"KYAI KONTONG")</f>
        <v>KYAI KONTONG</v>
      </c>
      <c r="D12055" s="186">
        <f>IFERROR(__xludf.DUMMYFUNCTION("""COMPUTED_VALUE"""),30.0)</f>
        <v>30</v>
      </c>
    </row>
    <row r="12056">
      <c r="A12056" s="178" t="str">
        <f>IFERROR(__xludf.DUMMYFUNCTION("""COMPUTED_VALUE"""),"ITBISA-USB-A-TO-B-30CM")</f>
        <v>ITBISA-USB-A-TO-B-30CM</v>
      </c>
      <c r="B12056" s="266">
        <f>IFERROR(__xludf.DUMMYFUNCTION("""COMPUTED_VALUE"""),45803.0)</f>
        <v>45803</v>
      </c>
      <c r="C12056" s="266" t="str">
        <f>IFERROR(__xludf.DUMMYFUNCTION("""COMPUTED_VALUE"""),"KYAI KONTONG")</f>
        <v>KYAI KONTONG</v>
      </c>
      <c r="D12056" s="186">
        <f>IFERROR(__xludf.DUMMYFUNCTION("""COMPUTED_VALUE"""),1.0)</f>
        <v>1</v>
      </c>
    </row>
    <row r="12057">
      <c r="A12057" s="178" t="str">
        <f>IFERROR(__xludf.DUMMYFUNCTION("""COMPUTED_VALUE"""),"ITBISA-USB-A-TO-B-30CM")</f>
        <v>ITBISA-USB-A-TO-B-30CM</v>
      </c>
      <c r="B12057" s="266">
        <f>IFERROR(__xludf.DUMMYFUNCTION("""COMPUTED_VALUE"""),45803.0)</f>
        <v>45803</v>
      </c>
      <c r="C12057" s="266" t="str">
        <f>IFERROR(__xludf.DUMMYFUNCTION("""COMPUTED_VALUE"""),"KYAI KONTONG")</f>
        <v>KYAI KONTONG</v>
      </c>
      <c r="D12057" s="186">
        <f>IFERROR(__xludf.DUMMYFUNCTION("""COMPUTED_VALUE"""),80.0)</f>
        <v>80</v>
      </c>
    </row>
    <row r="12058">
      <c r="A12058" s="178" t="str">
        <f>IFERROR(__xludf.DUMMYFUNCTION("""COMPUTED_VALUE"""),"ITBISA-USB-A-TO-B-30CM")</f>
        <v>ITBISA-USB-A-TO-B-30CM</v>
      </c>
      <c r="B12058" s="266">
        <f>IFERROR(__xludf.DUMMYFUNCTION("""COMPUTED_VALUE"""),45807.0)</f>
        <v>45807</v>
      </c>
      <c r="C12058" s="266" t="str">
        <f>IFERROR(__xludf.DUMMYFUNCTION("""COMPUTED_VALUE"""),"KERTASARI CIAMIS")</f>
        <v>KERTASARI CIAMIS</v>
      </c>
      <c r="D12058" s="186">
        <f>IFERROR(__xludf.DUMMYFUNCTION("""COMPUTED_VALUE"""),1.0)</f>
        <v>1</v>
      </c>
    </row>
    <row r="12059">
      <c r="A12059" s="178" t="str">
        <f>IFERROR(__xludf.DUMMYFUNCTION("""COMPUTED_VALUE"""),"ITBISA-USB-A-TO-B-30CM")</f>
        <v>ITBISA-USB-A-TO-B-30CM</v>
      </c>
      <c r="B12059" s="266">
        <f>IFERROR(__xludf.DUMMYFUNCTION("""COMPUTED_VALUE"""),45813.0)</f>
        <v>45813</v>
      </c>
      <c r="C12059" s="266" t="str">
        <f>IFERROR(__xludf.DUMMYFUNCTION("""COMPUTED_VALUE"""),"KYAI KONTONG")</f>
        <v>KYAI KONTONG</v>
      </c>
      <c r="D12059" s="186">
        <f>IFERROR(__xludf.DUMMYFUNCTION("""COMPUTED_VALUE"""),1.0)</f>
        <v>1</v>
      </c>
    </row>
    <row r="12060">
      <c r="A12060" s="178" t="str">
        <f>IFERROR(__xludf.DUMMYFUNCTION("""COMPUTED_VALUE"""),"ITBISA-USB-A-TO-B-30CM")</f>
        <v>ITBISA-USB-A-TO-B-30CM</v>
      </c>
      <c r="B12060" s="266">
        <f>IFERROR(__xludf.DUMMYFUNCTION("""COMPUTED_VALUE"""),45825.0)</f>
        <v>45825</v>
      </c>
      <c r="C12060" s="266" t="str">
        <f>IFERROR(__xludf.DUMMYFUNCTION("""COMPUTED_VALUE"""),"KYAI KONTONG")</f>
        <v>KYAI KONTONG</v>
      </c>
      <c r="D12060" s="186">
        <f>IFERROR(__xludf.DUMMYFUNCTION("""COMPUTED_VALUE"""),15.0)</f>
        <v>15</v>
      </c>
    </row>
    <row r="12061">
      <c r="A12061" s="178" t="str">
        <f>IFERROR(__xludf.DUMMYFUNCTION("""COMPUTED_VALUE"""),"ITBISA-USB-A-TO-B-30CM")</f>
        <v>ITBISA-USB-A-TO-B-30CM</v>
      </c>
      <c r="B12061" s="266">
        <f>IFERROR(__xludf.DUMMYFUNCTION("""COMPUTED_VALUE"""),45826.0)</f>
        <v>45826</v>
      </c>
      <c r="C12061" s="266" t="str">
        <f>IFERROR(__xludf.DUMMYFUNCTION("""COMPUTED_VALUE"""),"KYAI KONTONG")</f>
        <v>KYAI KONTONG</v>
      </c>
      <c r="D12061" s="186">
        <f>IFERROR(__xludf.DUMMYFUNCTION("""COMPUTED_VALUE"""),1.0)</f>
        <v>1</v>
      </c>
    </row>
    <row r="12062">
      <c r="A12062" s="178" t="str">
        <f>IFERROR(__xludf.DUMMYFUNCTION("""COMPUTED_VALUE"""),"ITBISA-USB-A-TO-B-30CM")</f>
        <v>ITBISA-USB-A-TO-B-30CM</v>
      </c>
      <c r="B12062" s="266">
        <f>IFERROR(__xludf.DUMMYFUNCTION("""COMPUTED_VALUE"""),45828.0)</f>
        <v>45828</v>
      </c>
      <c r="C12062" s="266" t="str">
        <f>IFERROR(__xludf.DUMMYFUNCTION("""COMPUTED_VALUE"""),"KYAI KONTONG")</f>
        <v>KYAI KONTONG</v>
      </c>
      <c r="D12062" s="186">
        <f>IFERROR(__xludf.DUMMYFUNCTION("""COMPUTED_VALUE"""),1.0)</f>
        <v>1</v>
      </c>
    </row>
    <row r="12063">
      <c r="A12063" s="178" t="str">
        <f>IFERROR(__xludf.DUMMYFUNCTION("""COMPUTED_VALUE"""),"ITBISA-USB-A-TO-B-30CM")</f>
        <v>ITBISA-USB-A-TO-B-30CM</v>
      </c>
      <c r="B12063" s="266">
        <f>IFERROR(__xludf.DUMMYFUNCTION("""COMPUTED_VALUE"""),45834.0)</f>
        <v>45834</v>
      </c>
      <c r="C12063" s="266" t="str">
        <f>IFERROR(__xludf.DUMMYFUNCTION("""COMPUTED_VALUE"""),"KYAI KONTONG")</f>
        <v>KYAI KONTONG</v>
      </c>
      <c r="D12063" s="186">
        <f>IFERROR(__xludf.DUMMYFUNCTION("""COMPUTED_VALUE"""),1.0)</f>
        <v>1</v>
      </c>
    </row>
    <row r="12064">
      <c r="A12064" s="178" t="str">
        <f>IFERROR(__xludf.DUMMYFUNCTION("""COMPUTED_VALUE"""),"ITBISA-USB-A-TO-B-30CM")</f>
        <v>ITBISA-USB-A-TO-B-30CM</v>
      </c>
      <c r="B12064" s="266">
        <f>IFERROR(__xludf.DUMMYFUNCTION("""COMPUTED_VALUE"""),45839.0)</f>
        <v>45839</v>
      </c>
      <c r="C12064" s="266" t="str">
        <f>IFERROR(__xludf.DUMMYFUNCTION("""COMPUTED_VALUE"""),"KERTASARI CIAMIS")</f>
        <v>KERTASARI CIAMIS</v>
      </c>
      <c r="D12064" s="186">
        <f>IFERROR(__xludf.DUMMYFUNCTION("""COMPUTED_VALUE"""),1.0)</f>
        <v>1</v>
      </c>
    </row>
    <row r="12065">
      <c r="A12065" s="178" t="str">
        <f>IFERROR(__xludf.DUMMYFUNCTION("""COMPUTED_VALUE"""),"ITBISA-USB-A-TO-B-30CM")</f>
        <v>ITBISA-USB-A-TO-B-30CM</v>
      </c>
      <c r="B12065" s="266">
        <f>IFERROR(__xludf.DUMMYFUNCTION("""COMPUTED_VALUE"""),45854.0)</f>
        <v>45854</v>
      </c>
      <c r="C12065" s="266" t="str">
        <f>IFERROR(__xludf.DUMMYFUNCTION("""COMPUTED_VALUE"""),"KYAI KONTONG")</f>
        <v>KYAI KONTONG</v>
      </c>
      <c r="D12065" s="186">
        <f>IFERROR(__xludf.DUMMYFUNCTION("""COMPUTED_VALUE"""),1.0)</f>
        <v>1</v>
      </c>
    </row>
    <row r="12066">
      <c r="A12066" s="178" t="str">
        <f>IFERROR(__xludf.DUMMYFUNCTION("""COMPUTED_VALUE"""),"ITBISA-USB-A-TO-B-30CM")</f>
        <v>ITBISA-USB-A-TO-B-30CM</v>
      </c>
      <c r="B12066" s="266">
        <f>IFERROR(__xludf.DUMMYFUNCTION("""COMPUTED_VALUE"""),45861.0)</f>
        <v>45861</v>
      </c>
      <c r="C12066" s="266" t="str">
        <f>IFERROR(__xludf.DUMMYFUNCTION("""COMPUTED_VALUE"""),"KERTASARI CIAMIS")</f>
        <v>KERTASARI CIAMIS</v>
      </c>
      <c r="D12066" s="186">
        <f>IFERROR(__xludf.DUMMYFUNCTION("""COMPUTED_VALUE"""),2.0)</f>
        <v>2</v>
      </c>
    </row>
    <row r="12067">
      <c r="A12067" s="178" t="str">
        <f>IFERROR(__xludf.DUMMYFUNCTION("""COMPUTED_VALUE"""),"ITBISA-USB-A-TO-B-30CM")</f>
        <v>ITBISA-USB-A-TO-B-30CM</v>
      </c>
      <c r="B12067" s="266">
        <f>IFERROR(__xludf.DUMMYFUNCTION("""COMPUTED_VALUE"""),45878.0)</f>
        <v>45878</v>
      </c>
      <c r="C12067" s="266" t="str">
        <f>IFERROR(__xludf.DUMMYFUNCTION("""COMPUTED_VALUE"""),"KERTASARI CIAMIS")</f>
        <v>KERTASARI CIAMIS</v>
      </c>
      <c r="D12067" s="186">
        <f>IFERROR(__xludf.DUMMYFUNCTION("""COMPUTED_VALUE"""),7.0)</f>
        <v>7</v>
      </c>
    </row>
    <row r="12068">
      <c r="A12068" s="178" t="str">
        <f>IFERROR(__xludf.DUMMYFUNCTION("""COMPUTED_VALUE"""),"ITBISA-USB-A-TO-B-30CM")</f>
        <v>ITBISA-USB-A-TO-B-30CM</v>
      </c>
      <c r="B12068" s="266">
        <f>IFERROR(__xludf.DUMMYFUNCTION("""COMPUTED_VALUE"""),45903.0)</f>
        <v>45903</v>
      </c>
      <c r="C12068" s="266" t="str">
        <f>IFERROR(__xludf.DUMMYFUNCTION("""COMPUTED_VALUE"""),"KERTASARI CIAMIS")</f>
        <v>KERTASARI CIAMIS</v>
      </c>
      <c r="D12068" s="186">
        <f>IFERROR(__xludf.DUMMYFUNCTION("""COMPUTED_VALUE"""),1.0)</f>
        <v>1</v>
      </c>
    </row>
    <row r="12069">
      <c r="A12069" s="178" t="str">
        <f>IFERROR(__xludf.DUMMYFUNCTION("""COMPUTED_VALUE"""),"ITBISA-USB-A-TO-B-30CM")</f>
        <v>ITBISA-USB-A-TO-B-30CM</v>
      </c>
      <c r="B12069" s="266">
        <f>IFERROR(__xludf.DUMMYFUNCTION("""COMPUTED_VALUE"""),45943.0)</f>
        <v>45943</v>
      </c>
      <c r="C12069" s="266" t="str">
        <f>IFERROR(__xludf.DUMMYFUNCTION("""COMPUTED_VALUE"""),"KYAI KONTONG")</f>
        <v>KYAI KONTONG</v>
      </c>
      <c r="D12069" s="186">
        <f>IFERROR(__xludf.DUMMYFUNCTION("""COMPUTED_VALUE"""),1.0)</f>
        <v>1</v>
      </c>
    </row>
    <row r="12070">
      <c r="A12070" s="178" t="str">
        <f>IFERROR(__xludf.DUMMYFUNCTION("""COMPUTED_VALUE"""),"ITBISA-USB-A-TO-B-30CM")</f>
        <v>ITBISA-USB-A-TO-B-30CM</v>
      </c>
      <c r="B12070" s="266">
        <f>IFERROR(__xludf.DUMMYFUNCTION("""COMPUTED_VALUE"""),45952.0)</f>
        <v>45952</v>
      </c>
      <c r="C12070" s="266" t="str">
        <f>IFERROR(__xludf.DUMMYFUNCTION("""COMPUTED_VALUE"""),"KYAI KONTONG")</f>
        <v>KYAI KONTONG</v>
      </c>
      <c r="D12070" s="186">
        <f>IFERROR(__xludf.DUMMYFUNCTION("""COMPUTED_VALUE"""),1.0)</f>
        <v>1</v>
      </c>
    </row>
    <row r="12071">
      <c r="A12071" s="178" t="str">
        <f>IFERROR(__xludf.DUMMYFUNCTION("""COMPUTED_VALUE"""),"ITBISA-USB-A-TO-B-30CM")</f>
        <v>ITBISA-USB-A-TO-B-30CM</v>
      </c>
      <c r="B12071" s="266">
        <f>IFERROR(__xludf.DUMMYFUNCTION("""COMPUTED_VALUE"""),45964.0)</f>
        <v>45964</v>
      </c>
      <c r="C12071" s="266" t="str">
        <f>IFERROR(__xludf.DUMMYFUNCTION("""COMPUTED_VALUE"""),"KERTASARI CIAMIS")</f>
        <v>KERTASARI CIAMIS</v>
      </c>
      <c r="D12071" s="186">
        <f>IFERROR(__xludf.DUMMYFUNCTION("""COMPUTED_VALUE"""),3.0)</f>
        <v>3</v>
      </c>
    </row>
    <row r="12072">
      <c r="A12072" s="178" t="str">
        <f>IFERROR(__xludf.DUMMYFUNCTION("""COMPUTED_VALUE"""),"ITBISA-USB-A-TO-B-30CM")</f>
        <v>ITBISA-USB-A-TO-B-30CM</v>
      </c>
      <c r="B12072" s="266">
        <f>IFERROR(__xludf.DUMMYFUNCTION("""COMPUTED_VALUE"""),45969.0)</f>
        <v>45969</v>
      </c>
      <c r="C12072" s="266" t="str">
        <f>IFERROR(__xludf.DUMMYFUNCTION("""COMPUTED_VALUE"""),"KYAI KONTONG")</f>
        <v>KYAI KONTONG</v>
      </c>
      <c r="D12072" s="186">
        <f>IFERROR(__xludf.DUMMYFUNCTION("""COMPUTED_VALUE"""),1.0)</f>
        <v>1</v>
      </c>
    </row>
    <row r="12073">
      <c r="A12073" s="178" t="str">
        <f>IFERROR(__xludf.DUMMYFUNCTION("""COMPUTED_VALUE"""),"ITBISA-USB-A-TO-B-30CM")</f>
        <v>ITBISA-USB-A-TO-B-30CM</v>
      </c>
      <c r="B12073" s="266">
        <f>IFERROR(__xludf.DUMMYFUNCTION("""COMPUTED_VALUE"""),45970.0)</f>
        <v>45970</v>
      </c>
      <c r="C12073" s="266" t="str">
        <f>IFERROR(__xludf.DUMMYFUNCTION("""COMPUTED_VALUE"""),"KERTASARI CIAMIS")</f>
        <v>KERTASARI CIAMIS</v>
      </c>
      <c r="D12073" s="186">
        <f>IFERROR(__xludf.DUMMYFUNCTION("""COMPUTED_VALUE"""),1.0)</f>
        <v>1</v>
      </c>
    </row>
    <row r="12074">
      <c r="A12074" s="178" t="str">
        <f>IFERROR(__xludf.DUMMYFUNCTION("""COMPUTED_VALUE"""),"ITBISA-USB-A-TO-B-30CM")</f>
        <v>ITBISA-USB-A-TO-B-30CM</v>
      </c>
      <c r="B12074" s="266">
        <f>IFERROR(__xludf.DUMMYFUNCTION("""COMPUTED_VALUE"""),45971.0)</f>
        <v>45971</v>
      </c>
      <c r="C12074" s="266" t="str">
        <f>IFERROR(__xludf.DUMMYFUNCTION("""COMPUTED_VALUE"""),"KYAI KONTONG")</f>
        <v>KYAI KONTONG</v>
      </c>
      <c r="D12074" s="186">
        <f>IFERROR(__xludf.DUMMYFUNCTION("""COMPUTED_VALUE"""),1.0)</f>
        <v>1</v>
      </c>
    </row>
    <row r="12075">
      <c r="A12075" s="178" t="str">
        <f>IFERROR(__xludf.DUMMYFUNCTION("""COMPUTED_VALUE"""),"ITBISA-USB-A-TO-B-30CM")</f>
        <v>ITBISA-USB-A-TO-B-30CM</v>
      </c>
      <c r="B12075" s="266">
        <f>IFERROR(__xludf.DUMMYFUNCTION("""COMPUTED_VALUE"""),45971.0)</f>
        <v>45971</v>
      </c>
      <c r="C12075" s="266" t="str">
        <f>IFERROR(__xludf.DUMMYFUNCTION("""COMPUTED_VALUE"""),"KYAI KONTONG")</f>
        <v>KYAI KONTONG</v>
      </c>
      <c r="D12075" s="186">
        <f>IFERROR(__xludf.DUMMYFUNCTION("""COMPUTED_VALUE"""),2.0)</f>
        <v>2</v>
      </c>
    </row>
    <row r="12076">
      <c r="A12076" s="178" t="str">
        <f>IFERROR(__xludf.DUMMYFUNCTION("""COMPUTED_VALUE"""),"ITBISA-USB-A-TO-B-30CM")</f>
        <v>ITBISA-USB-A-TO-B-30CM</v>
      </c>
      <c r="B12076" s="266">
        <f>IFERROR(__xludf.DUMMYFUNCTION("""COMPUTED_VALUE"""),45974.0)</f>
        <v>45974</v>
      </c>
      <c r="C12076" s="266" t="str">
        <f>IFERROR(__xludf.DUMMYFUNCTION("""COMPUTED_VALUE"""),"KERTASARI CIAMIS")</f>
        <v>KERTASARI CIAMIS</v>
      </c>
      <c r="D12076" s="186">
        <f>IFERROR(__xludf.DUMMYFUNCTION("""COMPUTED_VALUE"""),1.0)</f>
        <v>1</v>
      </c>
    </row>
    <row r="12077">
      <c r="A12077" s="178" t="str">
        <f>IFERROR(__xludf.DUMMYFUNCTION("""COMPUTED_VALUE"""),"ITBISA-USB-A-TO-B-30CM")</f>
        <v>ITBISA-USB-A-TO-B-30CM</v>
      </c>
      <c r="B12077" s="266">
        <f>IFERROR(__xludf.DUMMYFUNCTION("""COMPUTED_VALUE"""),45974.0)</f>
        <v>45974</v>
      </c>
      <c r="C12077" s="266" t="str">
        <f>IFERROR(__xludf.DUMMYFUNCTION("""COMPUTED_VALUE"""),"KYAI KONTONG")</f>
        <v>KYAI KONTONG</v>
      </c>
      <c r="D12077" s="186">
        <f>IFERROR(__xludf.DUMMYFUNCTION("""COMPUTED_VALUE"""),2.0)</f>
        <v>2</v>
      </c>
    </row>
    <row r="12078">
      <c r="A12078" s="178" t="str">
        <f>IFERROR(__xludf.DUMMYFUNCTION("""COMPUTED_VALUE"""),"ITBISA-USB-A-TO-B-30CM")</f>
        <v>ITBISA-USB-A-TO-B-30CM</v>
      </c>
      <c r="B12078" s="266">
        <f>IFERROR(__xludf.DUMMYFUNCTION("""COMPUTED_VALUE"""),45978.0)</f>
        <v>45978</v>
      </c>
      <c r="C12078" s="266" t="str">
        <f>IFERROR(__xludf.DUMMYFUNCTION("""COMPUTED_VALUE"""),"KYAI KONTONG")</f>
        <v>KYAI KONTONG</v>
      </c>
      <c r="D12078" s="186">
        <f>IFERROR(__xludf.DUMMYFUNCTION("""COMPUTED_VALUE"""),1.0)</f>
        <v>1</v>
      </c>
    </row>
    <row r="12079">
      <c r="A12079" s="178" t="str">
        <f>IFERROR(__xludf.DUMMYFUNCTION("""COMPUTED_VALUE"""),"ITBISA-USB-A-TO-B-30CM")</f>
        <v>ITBISA-USB-A-TO-B-30CM</v>
      </c>
      <c r="B12079" s="266">
        <f>IFERROR(__xludf.DUMMYFUNCTION("""COMPUTED_VALUE"""),45992.0)</f>
        <v>45992</v>
      </c>
      <c r="C12079" s="266" t="str">
        <f>IFERROR(__xludf.DUMMYFUNCTION("""COMPUTED_VALUE"""),"KYAI KONTONG")</f>
        <v>KYAI KONTONG</v>
      </c>
      <c r="D12079" s="186">
        <f>IFERROR(__xludf.DUMMYFUNCTION("""COMPUTED_VALUE"""),1.0)</f>
        <v>1</v>
      </c>
    </row>
    <row r="12080">
      <c r="A12080" s="178" t="str">
        <f>IFERROR(__xludf.DUMMYFUNCTION("""COMPUTED_VALUE"""),"ITBISA-USB-A-TO-B-30CM")</f>
        <v>ITBISA-USB-A-TO-B-30CM</v>
      </c>
      <c r="B12080" s="266">
        <f>IFERROR(__xludf.DUMMYFUNCTION("""COMPUTED_VALUE"""),46020.0)</f>
        <v>46020</v>
      </c>
      <c r="C12080" s="266" t="str">
        <f>IFERROR(__xludf.DUMMYFUNCTION("""COMPUTED_VALUE"""),"KYAI KONTONG")</f>
        <v>KYAI KONTONG</v>
      </c>
      <c r="D12080" s="186">
        <f>IFERROR(__xludf.DUMMYFUNCTION("""COMPUTED_VALUE"""),1.0)</f>
        <v>1</v>
      </c>
    </row>
    <row r="12081">
      <c r="A12081" s="178" t="str">
        <f>IFERROR(__xludf.DUMMYFUNCTION("""COMPUTED_VALUE"""),"ITBISA-USB-A-TO-B-50CM")</f>
        <v>ITBISA-USB-A-TO-B-50CM</v>
      </c>
      <c r="B12081" s="266">
        <f>IFERROR(__xludf.DUMMYFUNCTION("""COMPUTED_VALUE"""),43593.0)</f>
        <v>43593</v>
      </c>
      <c r="C12081" s="266" t="str">
        <f>IFERROR(__xludf.DUMMYFUNCTION("""COMPUTED_VALUE"""),"AVRG ITB")</f>
        <v>AVRG ITB</v>
      </c>
      <c r="D12081" s="186">
        <f>IFERROR(__xludf.DUMMYFUNCTION("""COMPUTED_VALUE"""),1.0)</f>
        <v>1</v>
      </c>
    </row>
    <row r="12082">
      <c r="A12082" s="178" t="str">
        <f>IFERROR(__xludf.DUMMYFUNCTION("""COMPUTED_VALUE"""),"ITBISA-USB-A-TO-B-50CM")</f>
        <v>ITBISA-USB-A-TO-B-50CM</v>
      </c>
      <c r="B12082" s="266">
        <f>IFERROR(__xludf.DUMMYFUNCTION("""COMPUTED_VALUE"""),43593.0)</f>
        <v>43593</v>
      </c>
      <c r="C12082" s="266" t="str">
        <f>IFERROR(__xludf.DUMMYFUNCTION("""COMPUTED_VALUE"""),"AVRG ITB")</f>
        <v>AVRG ITB</v>
      </c>
      <c r="D12082" s="186">
        <f>IFERROR(__xludf.DUMMYFUNCTION("""COMPUTED_VALUE"""),1.0)</f>
        <v>1</v>
      </c>
    </row>
    <row r="12083">
      <c r="A12083" s="178" t="str">
        <f>IFERROR(__xludf.DUMMYFUNCTION("""COMPUTED_VALUE"""),"ITBISA-USB-A-TO-B-50CM")</f>
        <v>ITBISA-USB-A-TO-B-50CM</v>
      </c>
      <c r="B12083" s="266">
        <f>IFERROR(__xludf.DUMMYFUNCTION("""COMPUTED_VALUE"""),43606.0)</f>
        <v>43606</v>
      </c>
      <c r="C12083" s="266" t="str">
        <f>IFERROR(__xludf.DUMMYFUNCTION("""COMPUTED_VALUE"""),"AVRG ITB")</f>
        <v>AVRG ITB</v>
      </c>
      <c r="D12083" s="186">
        <f>IFERROR(__xludf.DUMMYFUNCTION("""COMPUTED_VALUE"""),10.0)</f>
        <v>10</v>
      </c>
    </row>
    <row r="12084">
      <c r="A12084" s="178" t="str">
        <f>IFERROR(__xludf.DUMMYFUNCTION("""COMPUTED_VALUE"""),"ITBISA-USB-A-TO-B-50CM")</f>
        <v>ITBISA-USB-A-TO-B-50CM</v>
      </c>
      <c r="B12084" s="266">
        <f>IFERROR(__xludf.DUMMYFUNCTION("""COMPUTED_VALUE"""),43650.0)</f>
        <v>43650</v>
      </c>
      <c r="C12084" s="266" t="str">
        <f>IFERROR(__xludf.DUMMYFUNCTION("""COMPUTED_VALUE"""),"RUMAH MUZAKKI")</f>
        <v>RUMAH MUZAKKI</v>
      </c>
      <c r="D12084" s="186">
        <f>IFERROR(__xludf.DUMMYFUNCTION("""COMPUTED_VALUE"""),1.0)</f>
        <v>1</v>
      </c>
    </row>
    <row r="12085">
      <c r="A12085" s="178" t="str">
        <f>IFERROR(__xludf.DUMMYFUNCTION("""COMPUTED_VALUE"""),"ITBISA-USB-A-TO-B-50CM")</f>
        <v>ITBISA-USB-A-TO-B-50CM</v>
      </c>
      <c r="B12085" s="266">
        <f>IFERROR(__xludf.DUMMYFUNCTION("""COMPUTED_VALUE"""),43732.0)</f>
        <v>43732</v>
      </c>
      <c r="C12085" s="266" t="str">
        <f>IFERROR(__xludf.DUMMYFUNCTION("""COMPUTED_VALUE"""),"RUMAH MUZAKKI")</f>
        <v>RUMAH MUZAKKI</v>
      </c>
      <c r="D12085" s="186">
        <f>IFERROR(__xludf.DUMMYFUNCTION("""COMPUTED_VALUE"""),1.0)</f>
        <v>1</v>
      </c>
    </row>
    <row r="12086">
      <c r="A12086" s="178" t="str">
        <f>IFERROR(__xludf.DUMMYFUNCTION("""COMPUTED_VALUE"""),"ITBISA-USB-A-TO-B-50CM")</f>
        <v>ITBISA-USB-A-TO-B-50CM</v>
      </c>
      <c r="B12086" s="266">
        <f>IFERROR(__xludf.DUMMYFUNCTION("""COMPUTED_VALUE"""),43733.0)</f>
        <v>43733</v>
      </c>
      <c r="C12086" s="266" t="str">
        <f>IFERROR(__xludf.DUMMYFUNCTION("""COMPUTED_VALUE"""),"RUMAH MUZAKKI")</f>
        <v>RUMAH MUZAKKI</v>
      </c>
      <c r="D12086" s="186">
        <f>IFERROR(__xludf.DUMMYFUNCTION("""COMPUTED_VALUE"""),1.0)</f>
        <v>1</v>
      </c>
    </row>
    <row r="12087">
      <c r="A12087" s="178" t="str">
        <f>IFERROR(__xludf.DUMMYFUNCTION("""COMPUTED_VALUE"""),"ITBISA-USB-A-TO-B-50CM")</f>
        <v>ITBISA-USB-A-TO-B-50CM</v>
      </c>
      <c r="B12087" s="266">
        <f>IFERROR(__xludf.DUMMYFUNCTION("""COMPUTED_VALUE"""),43818.0)</f>
        <v>43818</v>
      </c>
      <c r="C12087" s="266" t="str">
        <f>IFERROR(__xludf.DUMMYFUNCTION("""COMPUTED_VALUE"""),"RUMAH MUZAKKI")</f>
        <v>RUMAH MUZAKKI</v>
      </c>
      <c r="D12087" s="186">
        <f>IFERROR(__xludf.DUMMYFUNCTION("""COMPUTED_VALUE"""),1.0)</f>
        <v>1</v>
      </c>
    </row>
    <row r="12088">
      <c r="A12088" s="178" t="str">
        <f>IFERROR(__xludf.DUMMYFUNCTION("""COMPUTED_VALUE"""),"ITBISA-VYBA-SENTER-KUNING-FT300")</f>
        <v>ITBISA-VYBA-SENTER-KUNING-FT300</v>
      </c>
      <c r="B12088" s="266">
        <f>IFERROR(__xludf.DUMMYFUNCTION("""COMPUTED_VALUE"""),43732.0)</f>
        <v>43732</v>
      </c>
      <c r="C12088" s="266" t="str">
        <f>IFERROR(__xludf.DUMMYFUNCTION("""COMPUTED_VALUE"""),"RUMAH MUZAKKI")</f>
        <v>RUMAH MUZAKKI</v>
      </c>
      <c r="D12088" s="186">
        <f>IFERROR(__xludf.DUMMYFUNCTION("""COMPUTED_VALUE"""),1.0)</f>
        <v>1</v>
      </c>
    </row>
    <row r="12089">
      <c r="A12089" s="178" t="str">
        <f>IFERROR(__xludf.DUMMYFUNCTION("""COMPUTED_VALUE"""),"ITBISA-VYBA-SENTER-KUNING-FT300")</f>
        <v>ITBISA-VYBA-SENTER-KUNING-FT300</v>
      </c>
      <c r="B12089" s="266">
        <f>IFERROR(__xludf.DUMMYFUNCTION("""COMPUTED_VALUE"""),43733.0)</f>
        <v>43733</v>
      </c>
      <c r="C12089" s="266" t="str">
        <f>IFERROR(__xludf.DUMMYFUNCTION("""COMPUTED_VALUE"""),"RUMAH MUZAKKI")</f>
        <v>RUMAH MUZAKKI</v>
      </c>
      <c r="D12089" s="186">
        <f>IFERROR(__xludf.DUMMYFUNCTION("""COMPUTED_VALUE"""),1.0)</f>
        <v>1</v>
      </c>
    </row>
    <row r="12090">
      <c r="A12090" s="178" t="str">
        <f>IFERROR(__xludf.DUMMYFUNCTION("""COMPUTED_VALUE"""),"ITBISA-VYBA-SENTER-KUNING-FT300")</f>
        <v>ITBISA-VYBA-SENTER-KUNING-FT300</v>
      </c>
      <c r="B12090" s="266">
        <f>IFERROR(__xludf.DUMMYFUNCTION("""COMPUTED_VALUE"""),43940.0)</f>
        <v>43940</v>
      </c>
      <c r="C12090" s="266" t="str">
        <f>IFERROR(__xludf.DUMMYFUNCTION("""COMPUTED_VALUE"""),"KAETOBO RESIDENCE")</f>
        <v>KAETOBO RESIDENCE</v>
      </c>
      <c r="D12090" s="186">
        <f>IFERROR(__xludf.DUMMYFUNCTION("""COMPUTED_VALUE"""),3.0)</f>
        <v>3</v>
      </c>
    </row>
    <row r="12091">
      <c r="A12091" s="178" t="str">
        <f>IFERROR(__xludf.DUMMYFUNCTION("""COMPUTED_VALUE"""),"ITBISA-VYBA-SENTER-KUNING-FT300")</f>
        <v>ITBISA-VYBA-SENTER-KUNING-FT300</v>
      </c>
      <c r="B12091" s="266">
        <f>IFERROR(__xludf.DUMMYFUNCTION("""COMPUTED_VALUE"""),43949.0)</f>
        <v>43949</v>
      </c>
      <c r="C12091" s="266" t="str">
        <f>IFERROR(__xludf.DUMMYFUNCTION("""COMPUTED_VALUE"""),"KAETOBO RESIDENCE")</f>
        <v>KAETOBO RESIDENCE</v>
      </c>
      <c r="D12091" s="186">
        <f>IFERROR(__xludf.DUMMYFUNCTION("""COMPUTED_VALUE"""),3.0)</f>
        <v>3</v>
      </c>
    </row>
    <row r="12092">
      <c r="A12092" s="178" t="str">
        <f>IFERROR(__xludf.DUMMYFUNCTION("""COMPUTED_VALUE"""),"ITBISA-VYBA-SENTER-KUNING-FT300")</f>
        <v>ITBISA-VYBA-SENTER-KUNING-FT300</v>
      </c>
      <c r="B12092" s="266">
        <f>IFERROR(__xludf.DUMMYFUNCTION("""COMPUTED_VALUE"""),43955.0)</f>
        <v>43955</v>
      </c>
      <c r="C12092" s="266" t="str">
        <f>IFERROR(__xludf.DUMMYFUNCTION("""COMPUTED_VALUE"""),"KAETOBO RESIDENCE")</f>
        <v>KAETOBO RESIDENCE</v>
      </c>
      <c r="D12092" s="186">
        <f>IFERROR(__xludf.DUMMYFUNCTION("""COMPUTED_VALUE"""),3.0)</f>
        <v>3</v>
      </c>
    </row>
    <row r="12093">
      <c r="A12093" s="178" t="str">
        <f>IFERROR(__xludf.DUMMYFUNCTION("""COMPUTED_VALUE"""),"ITBISA-VYBA-SENTER-KUNING-FT300")</f>
        <v>ITBISA-VYBA-SENTER-KUNING-FT300</v>
      </c>
      <c r="B12093" s="266">
        <f>IFERROR(__xludf.DUMMYFUNCTION("""COMPUTED_VALUE"""),43969.0)</f>
        <v>43969</v>
      </c>
      <c r="C12093" s="266" t="str">
        <f>IFERROR(__xludf.DUMMYFUNCTION("""COMPUTED_VALUE"""),"KAETOBO RESIDENCE")</f>
        <v>KAETOBO RESIDENCE</v>
      </c>
      <c r="D12093" s="186">
        <f>IFERROR(__xludf.DUMMYFUNCTION("""COMPUTED_VALUE"""),1.0)</f>
        <v>1</v>
      </c>
    </row>
    <row r="12094">
      <c r="A12094" s="178" t="str">
        <f>IFERROR(__xludf.DUMMYFUNCTION("""COMPUTED_VALUE"""),"ITBISA-VYBA-SENTER-KUNING-FT300")</f>
        <v>ITBISA-VYBA-SENTER-KUNING-FT300</v>
      </c>
      <c r="B12094" s="266">
        <f>IFERROR(__xludf.DUMMYFUNCTION("""COMPUTED_VALUE"""),43985.0)</f>
        <v>43985</v>
      </c>
      <c r="C12094" s="266" t="str">
        <f>IFERROR(__xludf.DUMMYFUNCTION("""COMPUTED_VALUE"""),"KAETOBO RESIDENCE")</f>
        <v>KAETOBO RESIDENCE</v>
      </c>
      <c r="D12094" s="186">
        <f>IFERROR(__xludf.DUMMYFUNCTION("""COMPUTED_VALUE"""),2.0)</f>
        <v>2</v>
      </c>
    </row>
    <row r="12095">
      <c r="A12095" s="178" t="str">
        <f>IFERROR(__xludf.DUMMYFUNCTION("""COMPUTED_VALUE"""),"ITBISA-VYBA-SENTER-KUNING-FT300")</f>
        <v>ITBISA-VYBA-SENTER-KUNING-FT300</v>
      </c>
      <c r="B12095" s="266">
        <f>IFERROR(__xludf.DUMMYFUNCTION("""COMPUTED_VALUE"""),44011.0)</f>
        <v>44011</v>
      </c>
      <c r="C12095" s="266" t="str">
        <f>IFERROR(__xludf.DUMMYFUNCTION("""COMPUTED_VALUE"""),"KAETOBO RESIDENCE")</f>
        <v>KAETOBO RESIDENCE</v>
      </c>
      <c r="D12095" s="186">
        <f>IFERROR(__xludf.DUMMYFUNCTION("""COMPUTED_VALUE"""),2.0)</f>
        <v>2</v>
      </c>
    </row>
    <row r="12096">
      <c r="A12096" s="178" t="str">
        <f>IFERROR(__xludf.DUMMYFUNCTION("""COMPUTED_VALUE"""),"ITBISA-VYBA-SENTER-KUNING-FT300")</f>
        <v>ITBISA-VYBA-SENTER-KUNING-FT300</v>
      </c>
      <c r="B12096" s="266">
        <f>IFERROR(__xludf.DUMMYFUNCTION("""COMPUTED_VALUE"""),44018.0)</f>
        <v>44018</v>
      </c>
      <c r="C12096" s="266" t="str">
        <f>IFERROR(__xludf.DUMMYFUNCTION("""COMPUTED_VALUE"""),"KAETOBO RESIDENCE")</f>
        <v>KAETOBO RESIDENCE</v>
      </c>
      <c r="D12096" s="186">
        <f>IFERROR(__xludf.DUMMYFUNCTION("""COMPUTED_VALUE"""),1.0)</f>
        <v>1</v>
      </c>
    </row>
    <row r="12097">
      <c r="A12097" s="178" t="str">
        <f>IFERROR(__xludf.DUMMYFUNCTION("""COMPUTED_VALUE"""),"ITBISA-VYBA-SENTER-KUNING-FT300")</f>
        <v>ITBISA-VYBA-SENTER-KUNING-FT300</v>
      </c>
      <c r="B12097" s="266">
        <f>IFERROR(__xludf.DUMMYFUNCTION("""COMPUTED_VALUE"""),44033.0)</f>
        <v>44033</v>
      </c>
      <c r="C12097" s="266" t="str">
        <f>IFERROR(__xludf.DUMMYFUNCTION("""COMPUTED_VALUE"""),"KAETOBO RESIDENCE")</f>
        <v>KAETOBO RESIDENCE</v>
      </c>
      <c r="D12097" s="186">
        <f>IFERROR(__xludf.DUMMYFUNCTION("""COMPUTED_VALUE"""),1.0)</f>
        <v>1</v>
      </c>
    </row>
    <row r="12098">
      <c r="A12098" s="178" t="str">
        <f>IFERROR(__xludf.DUMMYFUNCTION("""COMPUTED_VALUE"""),"ITBISA-VYBA-SENTER-KUNING-FT300")</f>
        <v>ITBISA-VYBA-SENTER-KUNING-FT300</v>
      </c>
      <c r="B12098" s="266">
        <f>IFERROR(__xludf.DUMMYFUNCTION("""COMPUTED_VALUE"""),44040.0)</f>
        <v>44040</v>
      </c>
      <c r="C12098" s="266" t="str">
        <f>IFERROR(__xludf.DUMMYFUNCTION("""COMPUTED_VALUE"""),"KAETOBO RESIDENCE")</f>
        <v>KAETOBO RESIDENCE</v>
      </c>
      <c r="D12098" s="186">
        <f>IFERROR(__xludf.DUMMYFUNCTION("""COMPUTED_VALUE"""),1.0)</f>
        <v>1</v>
      </c>
    </row>
    <row r="12099">
      <c r="A12099" s="178" t="str">
        <f>IFERROR(__xludf.DUMMYFUNCTION("""COMPUTED_VALUE"""),"ITBISA-VYBA-SENTER-KUNING-FT300")</f>
        <v>ITBISA-VYBA-SENTER-KUNING-FT300</v>
      </c>
      <c r="B12099" s="266">
        <f>IFERROR(__xludf.DUMMYFUNCTION("""COMPUTED_VALUE"""),44041.0)</f>
        <v>44041</v>
      </c>
      <c r="C12099" s="266" t="str">
        <f>IFERROR(__xludf.DUMMYFUNCTION("""COMPUTED_VALUE"""),"KAETOBO RESIDENCE")</f>
        <v>KAETOBO RESIDENCE</v>
      </c>
      <c r="D12099" s="186">
        <f>IFERROR(__xludf.DUMMYFUNCTION("""COMPUTED_VALUE"""),4.0)</f>
        <v>4</v>
      </c>
    </row>
    <row r="12100">
      <c r="A12100" s="178" t="str">
        <f>IFERROR(__xludf.DUMMYFUNCTION("""COMPUTED_VALUE"""),"ITBISA-VYBA-SENTER-KUNING-FT300")</f>
        <v>ITBISA-VYBA-SENTER-KUNING-FT300</v>
      </c>
      <c r="B12100" s="266">
        <f>IFERROR(__xludf.DUMMYFUNCTION("""COMPUTED_VALUE"""),44077.0)</f>
        <v>44077</v>
      </c>
      <c r="C12100" s="266" t="str">
        <f>IFERROR(__xludf.DUMMYFUNCTION("""COMPUTED_VALUE"""),"KOST SRITUNGGAL")</f>
        <v>KOST SRITUNGGAL</v>
      </c>
      <c r="D12100" s="186">
        <f>IFERROR(__xludf.DUMMYFUNCTION("""COMPUTED_VALUE"""),1.0)</f>
        <v>1</v>
      </c>
    </row>
    <row r="12101">
      <c r="A12101" s="178" t="str">
        <f>IFERROR(__xludf.DUMMYFUNCTION("""COMPUTED_VALUE"""),"ITBISA-VYBA-SENTER-KUNING-FT300")</f>
        <v>ITBISA-VYBA-SENTER-KUNING-FT300</v>
      </c>
      <c r="B12101" s="266">
        <f>IFERROR(__xludf.DUMMYFUNCTION("""COMPUTED_VALUE"""),44172.0)</f>
        <v>44172</v>
      </c>
      <c r="C12101" s="266" t="str">
        <f>IFERROR(__xludf.DUMMYFUNCTION("""COMPUTED_VALUE"""),"KOST RUMAHUMI")</f>
        <v>KOST RUMAHUMI</v>
      </c>
      <c r="D12101" s="186">
        <f>IFERROR(__xludf.DUMMYFUNCTION("""COMPUTED_VALUE"""),1.0)</f>
        <v>1</v>
      </c>
    </row>
    <row r="12102">
      <c r="A12102" s="178" t="str">
        <f>IFERROR(__xludf.DUMMYFUNCTION("""COMPUTED_VALUE"""),"ITBISA-VYBA-SENTER-KUNING-FT300")</f>
        <v>ITBISA-VYBA-SENTER-KUNING-FT300</v>
      </c>
      <c r="B12102" s="266">
        <f>IFERROR(__xludf.DUMMYFUNCTION("""COMPUTED_VALUE"""),44228.0)</f>
        <v>44228</v>
      </c>
      <c r="C12102" s="266" t="str">
        <f>IFERROR(__xludf.DUMMYFUNCTION("""COMPUTED_VALUE"""),"KOST RUMAHUMI")</f>
        <v>KOST RUMAHUMI</v>
      </c>
      <c r="D12102" s="186">
        <f>IFERROR(__xludf.DUMMYFUNCTION("""COMPUTED_VALUE"""),1.0)</f>
        <v>1</v>
      </c>
    </row>
    <row r="12103">
      <c r="A12103" s="178" t="str">
        <f>IFERROR(__xludf.DUMMYFUNCTION("""COMPUTED_VALUE"""),"ITBISA-VYBA-SENTER-KUNING-FT300")</f>
        <v>ITBISA-VYBA-SENTER-KUNING-FT300</v>
      </c>
      <c r="B12103" s="266">
        <f>IFERROR(__xludf.DUMMYFUNCTION("""COMPUTED_VALUE"""),44287.0)</f>
        <v>44287</v>
      </c>
      <c r="C12103" s="266" t="str">
        <f>IFERROR(__xludf.DUMMYFUNCTION("""COMPUTED_VALUE"""),"KOST RUMAHUMI")</f>
        <v>KOST RUMAHUMI</v>
      </c>
      <c r="D12103" s="186">
        <f>IFERROR(__xludf.DUMMYFUNCTION("""COMPUTED_VALUE"""),1.0)</f>
        <v>1</v>
      </c>
    </row>
    <row r="12104">
      <c r="A12104" s="178" t="str">
        <f>IFERROR(__xludf.DUMMYFUNCTION("""COMPUTED_VALUE"""),"ITBISA-VYBA-SENTER-KUNING-FT300")</f>
        <v>ITBISA-VYBA-SENTER-KUNING-FT300</v>
      </c>
      <c r="B12104" s="266">
        <f>IFERROR(__xludf.DUMMYFUNCTION("""COMPUTED_VALUE"""),44297.0)</f>
        <v>44297</v>
      </c>
      <c r="C12104" s="266" t="str">
        <f>IFERROR(__xludf.DUMMYFUNCTION("""COMPUTED_VALUE"""),"KOST RUMAHUMI")</f>
        <v>KOST RUMAHUMI</v>
      </c>
      <c r="D12104" s="186">
        <f>IFERROR(__xludf.DUMMYFUNCTION("""COMPUTED_VALUE"""),1.0)</f>
        <v>1</v>
      </c>
    </row>
    <row r="12105">
      <c r="A12105" s="178" t="str">
        <f>IFERROR(__xludf.DUMMYFUNCTION("""COMPUTED_VALUE"""),"ITBISA-VYBA-SENTER-KUNING-FT300")</f>
        <v>ITBISA-VYBA-SENTER-KUNING-FT300</v>
      </c>
      <c r="B12105" s="266">
        <f>IFERROR(__xludf.DUMMYFUNCTION("""COMPUTED_VALUE"""),44306.0)</f>
        <v>44306</v>
      </c>
      <c r="C12105" s="266" t="str">
        <f>IFERROR(__xludf.DUMMYFUNCTION("""COMPUTED_VALUE"""),"KOST RUMAHUMI")</f>
        <v>KOST RUMAHUMI</v>
      </c>
      <c r="D12105" s="186">
        <f>IFERROR(__xludf.DUMMYFUNCTION("""COMPUTED_VALUE"""),1.0)</f>
        <v>1</v>
      </c>
    </row>
    <row r="12106">
      <c r="A12106" s="178" t="str">
        <f>IFERROR(__xludf.DUMMYFUNCTION("""COMPUTED_VALUE"""),"ITBISA-VYBA-SENTER-KUNING-FT300")</f>
        <v>ITBISA-VYBA-SENTER-KUNING-FT300</v>
      </c>
      <c r="B12106" s="266">
        <f>IFERROR(__xludf.DUMMYFUNCTION("""COMPUTED_VALUE"""),44307.0)</f>
        <v>44307</v>
      </c>
      <c r="C12106" s="266" t="str">
        <f>IFERROR(__xludf.DUMMYFUNCTION("""COMPUTED_VALUE"""),"KOST RUMAHUMI")</f>
        <v>KOST RUMAHUMI</v>
      </c>
      <c r="D12106" s="186">
        <f>IFERROR(__xludf.DUMMYFUNCTION("""COMPUTED_VALUE"""),1.0)</f>
        <v>1</v>
      </c>
    </row>
    <row r="12107">
      <c r="A12107" s="178" t="str">
        <f>IFERROR(__xludf.DUMMYFUNCTION("""COMPUTED_VALUE"""),"ITBISA-VYBA-SENTER-KUNING-FT300")</f>
        <v>ITBISA-VYBA-SENTER-KUNING-FT300</v>
      </c>
      <c r="B12107" s="266">
        <f>IFERROR(__xludf.DUMMYFUNCTION("""COMPUTED_VALUE"""),44350.0)</f>
        <v>44350</v>
      </c>
      <c r="C12107" s="266" t="str">
        <f>IFERROR(__xludf.DUMMYFUNCTION("""COMPUTED_VALUE"""),"KOST RUMAHUMI")</f>
        <v>KOST RUMAHUMI</v>
      </c>
      <c r="D12107" s="186">
        <f>IFERROR(__xludf.DUMMYFUNCTION("""COMPUTED_VALUE"""),1.0)</f>
        <v>1</v>
      </c>
    </row>
    <row r="12108">
      <c r="A12108" s="178" t="str">
        <f>IFERROR(__xludf.DUMMYFUNCTION("""COMPUTED_VALUE"""),"ITBISA-VYBA-SENTER-KUNING-FT300")</f>
        <v>ITBISA-VYBA-SENTER-KUNING-FT300</v>
      </c>
      <c r="B12108" s="266">
        <f>IFERROR(__xludf.DUMMYFUNCTION("""COMPUTED_VALUE"""),44351.0)</f>
        <v>44351</v>
      </c>
      <c r="C12108" s="266" t="str">
        <f>IFERROR(__xludf.DUMMYFUNCTION("""COMPUTED_VALUE"""),"KOST RUMAHUMI")</f>
        <v>KOST RUMAHUMI</v>
      </c>
      <c r="D12108" s="186">
        <f>IFERROR(__xludf.DUMMYFUNCTION("""COMPUTED_VALUE"""),1.0)</f>
        <v>1</v>
      </c>
    </row>
    <row r="12109">
      <c r="A12109" s="178" t="str">
        <f>IFERROR(__xludf.DUMMYFUNCTION("""COMPUTED_VALUE"""),"ITBISA-VYBA-SENTER-KUNING-FT300")</f>
        <v>ITBISA-VYBA-SENTER-KUNING-FT300</v>
      </c>
      <c r="B12109" s="266">
        <f>IFERROR(__xludf.DUMMYFUNCTION("""COMPUTED_VALUE"""),44353.0)</f>
        <v>44353</v>
      </c>
      <c r="C12109" s="266" t="str">
        <f>IFERROR(__xludf.DUMMYFUNCTION("""COMPUTED_VALUE"""),"KOST RUMAHUMI")</f>
        <v>KOST RUMAHUMI</v>
      </c>
      <c r="D12109" s="186">
        <f>IFERROR(__xludf.DUMMYFUNCTION("""COMPUTED_VALUE"""),2.0)</f>
        <v>2</v>
      </c>
    </row>
    <row r="12110">
      <c r="A12110" s="178" t="str">
        <f>IFERROR(__xludf.DUMMYFUNCTION("""COMPUTED_VALUE"""),"ITBISA-VYBA-SENTER-KUNING-FT300")</f>
        <v>ITBISA-VYBA-SENTER-KUNING-FT300</v>
      </c>
      <c r="B12110" s="266">
        <f>IFERROR(__xludf.DUMMYFUNCTION("""COMPUTED_VALUE"""),44357.0)</f>
        <v>44357</v>
      </c>
      <c r="C12110" s="266" t="str">
        <f>IFERROR(__xludf.DUMMYFUNCTION("""COMPUTED_VALUE"""),"KOST RUMAHUMI")</f>
        <v>KOST RUMAHUMI</v>
      </c>
      <c r="D12110" s="186">
        <f>IFERROR(__xludf.DUMMYFUNCTION("""COMPUTED_VALUE"""),3.0)</f>
        <v>3</v>
      </c>
    </row>
    <row r="12111">
      <c r="A12111" s="178" t="str">
        <f>IFERROR(__xludf.DUMMYFUNCTION("""COMPUTED_VALUE"""),"ITBISA-VYBA-SENTER-KUNING-FT300")</f>
        <v>ITBISA-VYBA-SENTER-KUNING-FT300</v>
      </c>
      <c r="B12111" s="266">
        <f>IFERROR(__xludf.DUMMYFUNCTION("""COMPUTED_VALUE"""),44832.0)</f>
        <v>44832</v>
      </c>
      <c r="C12111" s="266" t="str">
        <f>IFERROR(__xludf.DUMMYFUNCTION("""COMPUTED_VALUE"""),"KYAI KONTONG")</f>
        <v>KYAI KONTONG</v>
      </c>
      <c r="D12111" s="186">
        <f>IFERROR(__xludf.DUMMYFUNCTION("""COMPUTED_VALUE"""),1.0)</f>
        <v>1</v>
      </c>
    </row>
    <row r="12112">
      <c r="A12112" s="178" t="str">
        <f>IFERROR(__xludf.DUMMYFUNCTION("""COMPUTED_VALUE"""),"ITBISA-VYBA-SENTER-KUNING-FT300")</f>
        <v>ITBISA-VYBA-SENTER-KUNING-FT300</v>
      </c>
      <c r="B12112" s="266">
        <f>IFERROR(__xludf.DUMMYFUNCTION("""COMPUTED_VALUE"""),44835.0)</f>
        <v>44835</v>
      </c>
      <c r="C12112" s="266" t="str">
        <f>IFERROR(__xludf.DUMMYFUNCTION("""COMPUTED_VALUE"""),"KYAI KONTONG")</f>
        <v>KYAI KONTONG</v>
      </c>
      <c r="D12112" s="186">
        <f>IFERROR(__xludf.DUMMYFUNCTION("""COMPUTED_VALUE"""),3.0)</f>
        <v>3</v>
      </c>
    </row>
    <row r="12113">
      <c r="A12113" s="178" t="str">
        <f>IFERROR(__xludf.DUMMYFUNCTION("""COMPUTED_VALUE"""),"ITBISA-VYBA-SENTER-KUNING-FT300")</f>
        <v>ITBISA-VYBA-SENTER-KUNING-FT300</v>
      </c>
      <c r="B12113" s="266">
        <f>IFERROR(__xludf.DUMMYFUNCTION("""COMPUTED_VALUE"""),44835.0)</f>
        <v>44835</v>
      </c>
      <c r="C12113" s="266" t="str">
        <f>IFERROR(__xludf.DUMMYFUNCTION("""COMPUTED_VALUE"""),"KYAI KONTONG")</f>
        <v>KYAI KONTONG</v>
      </c>
      <c r="D12113" s="186">
        <f>IFERROR(__xludf.DUMMYFUNCTION("""COMPUTED_VALUE"""),6.0)</f>
        <v>6</v>
      </c>
    </row>
    <row r="12114">
      <c r="A12114" s="178" t="str">
        <f>IFERROR(__xludf.DUMMYFUNCTION("""COMPUTED_VALUE"""),"ITBISA-VYBA-SENTER-KUNING-FT300")</f>
        <v>ITBISA-VYBA-SENTER-KUNING-FT300</v>
      </c>
      <c r="B12114" s="266">
        <f>IFERROR(__xludf.DUMMYFUNCTION("""COMPUTED_VALUE"""),44846.0)</f>
        <v>44846</v>
      </c>
      <c r="C12114" s="266" t="str">
        <f>IFERROR(__xludf.DUMMYFUNCTION("""COMPUTED_VALUE"""),"KYAI KONTONG")</f>
        <v>KYAI KONTONG</v>
      </c>
      <c r="D12114" s="186">
        <f>IFERROR(__xludf.DUMMYFUNCTION("""COMPUTED_VALUE"""),1.0)</f>
        <v>1</v>
      </c>
    </row>
    <row r="12115">
      <c r="A12115" s="178" t="str">
        <f>IFERROR(__xludf.DUMMYFUNCTION("""COMPUTED_VALUE"""),"ITBISA-VYBA-SENTER-KUNING-FT300")</f>
        <v>ITBISA-VYBA-SENTER-KUNING-FT300</v>
      </c>
      <c r="B12115" s="266">
        <f>IFERROR(__xludf.DUMMYFUNCTION("""COMPUTED_VALUE"""),44848.0)</f>
        <v>44848</v>
      </c>
      <c r="C12115" s="266" t="str">
        <f>IFERROR(__xludf.DUMMYFUNCTION("""COMPUTED_VALUE"""),"KYAI KONTONG")</f>
        <v>KYAI KONTONG</v>
      </c>
      <c r="D12115" s="186">
        <f>IFERROR(__xludf.DUMMYFUNCTION("""COMPUTED_VALUE"""),1.0)</f>
        <v>1</v>
      </c>
    </row>
    <row r="12116">
      <c r="A12116" s="178" t="str">
        <f>IFERROR(__xludf.DUMMYFUNCTION("""COMPUTED_VALUE"""),"ITBISA-VYBA-SENTER-KUNING-FT300")</f>
        <v>ITBISA-VYBA-SENTER-KUNING-FT300</v>
      </c>
      <c r="B12116" s="266">
        <f>IFERROR(__xludf.DUMMYFUNCTION("""COMPUTED_VALUE"""),44851.0)</f>
        <v>44851</v>
      </c>
      <c r="C12116" s="266" t="str">
        <f>IFERROR(__xludf.DUMMYFUNCTION("""COMPUTED_VALUE"""),"KYAI KONTONG")</f>
        <v>KYAI KONTONG</v>
      </c>
      <c r="D12116" s="186">
        <f>IFERROR(__xludf.DUMMYFUNCTION("""COMPUTED_VALUE"""),4.0)</f>
        <v>4</v>
      </c>
    </row>
    <row r="12117">
      <c r="A12117" s="178" t="str">
        <f>IFERROR(__xludf.DUMMYFUNCTION("""COMPUTED_VALUE"""),"ITBISA-VYBA-SENTER-KUNING-FT300")</f>
        <v>ITBISA-VYBA-SENTER-KUNING-FT300</v>
      </c>
      <c r="B12117" s="266">
        <f>IFERROR(__xludf.DUMMYFUNCTION("""COMPUTED_VALUE"""),44859.0)</f>
        <v>44859</v>
      </c>
      <c r="C12117" s="266" t="str">
        <f>IFERROR(__xludf.DUMMYFUNCTION("""COMPUTED_VALUE"""),"KYAI KONTONG")</f>
        <v>KYAI KONTONG</v>
      </c>
      <c r="D12117" s="186">
        <f>IFERROR(__xludf.DUMMYFUNCTION("""COMPUTED_VALUE"""),1.0)</f>
        <v>1</v>
      </c>
    </row>
    <row r="12118">
      <c r="A12118" s="178" t="str">
        <f>IFERROR(__xludf.DUMMYFUNCTION("""COMPUTED_VALUE"""),"ITBISA-VYBA-SENTER-KUNING-FT300")</f>
        <v>ITBISA-VYBA-SENTER-KUNING-FT300</v>
      </c>
      <c r="B12118" s="266">
        <f>IFERROR(__xludf.DUMMYFUNCTION("""COMPUTED_VALUE"""),44862.0)</f>
        <v>44862</v>
      </c>
      <c r="C12118" s="266" t="str">
        <f>IFERROR(__xludf.DUMMYFUNCTION("""COMPUTED_VALUE"""),"KYAI KONTONG")</f>
        <v>KYAI KONTONG</v>
      </c>
      <c r="D12118" s="186">
        <f>IFERROR(__xludf.DUMMYFUNCTION("""COMPUTED_VALUE"""),51.0)</f>
        <v>51</v>
      </c>
    </row>
    <row r="12119">
      <c r="A12119" s="178" t="str">
        <f>IFERROR(__xludf.DUMMYFUNCTION("""COMPUTED_VALUE"""),"ITBISA-VYBA-SENTER-KUNING-FT300")</f>
        <v>ITBISA-VYBA-SENTER-KUNING-FT300</v>
      </c>
      <c r="B12119" s="266">
        <f>IFERROR(__xludf.DUMMYFUNCTION("""COMPUTED_VALUE"""),44864.0)</f>
        <v>44864</v>
      </c>
      <c r="C12119" s="266" t="str">
        <f>IFERROR(__xludf.DUMMYFUNCTION("""COMPUTED_VALUE"""),"KYAI KONTONG")</f>
        <v>KYAI KONTONG</v>
      </c>
      <c r="D12119" s="186">
        <f>IFERROR(__xludf.DUMMYFUNCTION("""COMPUTED_VALUE"""),40.0)</f>
        <v>40</v>
      </c>
    </row>
    <row r="12120">
      <c r="A12120" s="178" t="str">
        <f>IFERROR(__xludf.DUMMYFUNCTION("""COMPUTED_VALUE"""),"ITBISA-VYBA-SENTER-KUNING-FT300")</f>
        <v>ITBISA-VYBA-SENTER-KUNING-FT300</v>
      </c>
      <c r="B12120" s="266">
        <f>IFERROR(__xludf.DUMMYFUNCTION("""COMPUTED_VALUE"""),44868.0)</f>
        <v>44868</v>
      </c>
      <c r="C12120" s="266" t="str">
        <f>IFERROR(__xludf.DUMMYFUNCTION("""COMPUTED_VALUE"""),"KYAI KONTONG")</f>
        <v>KYAI KONTONG</v>
      </c>
      <c r="D12120" s="186">
        <f>IFERROR(__xludf.DUMMYFUNCTION("""COMPUTED_VALUE"""),1.0)</f>
        <v>1</v>
      </c>
    </row>
    <row r="12121">
      <c r="A12121" s="178" t="str">
        <f>IFERROR(__xludf.DUMMYFUNCTION("""COMPUTED_VALUE"""),"ITBISA-VYBA-SENTER-KUNING-FT300")</f>
        <v>ITBISA-VYBA-SENTER-KUNING-FT300</v>
      </c>
      <c r="B12121" s="266">
        <f>IFERROR(__xludf.DUMMYFUNCTION("""COMPUTED_VALUE"""),44868.0)</f>
        <v>44868</v>
      </c>
      <c r="C12121" s="266" t="str">
        <f>IFERROR(__xludf.DUMMYFUNCTION("""COMPUTED_VALUE"""),"KYAI KONTONG")</f>
        <v>KYAI KONTONG</v>
      </c>
      <c r="D12121" s="186">
        <f>IFERROR(__xludf.DUMMYFUNCTION("""COMPUTED_VALUE"""),1.0)</f>
        <v>1</v>
      </c>
    </row>
    <row r="12122">
      <c r="A12122" s="178" t="str">
        <f>IFERROR(__xludf.DUMMYFUNCTION("""COMPUTED_VALUE"""),"ITBISA-VYBA-SENTER-KUNING-FT300")</f>
        <v>ITBISA-VYBA-SENTER-KUNING-FT300</v>
      </c>
      <c r="B12122" s="266">
        <f>IFERROR(__xludf.DUMMYFUNCTION("""COMPUTED_VALUE"""),44868.0)</f>
        <v>44868</v>
      </c>
      <c r="C12122" s="266" t="str">
        <f>IFERROR(__xludf.DUMMYFUNCTION("""COMPUTED_VALUE"""),"KYAI KONTONG")</f>
        <v>KYAI KONTONG</v>
      </c>
      <c r="D12122" s="186">
        <f>IFERROR(__xludf.DUMMYFUNCTION("""COMPUTED_VALUE"""),40.0)</f>
        <v>40</v>
      </c>
    </row>
    <row r="12123">
      <c r="A12123" s="178" t="str">
        <f>IFERROR(__xludf.DUMMYFUNCTION("""COMPUTED_VALUE"""),"ITBISA-VYBA-SENTER-KUNING-FT300")</f>
        <v>ITBISA-VYBA-SENTER-KUNING-FT300</v>
      </c>
      <c r="B12123" s="266">
        <f>IFERROR(__xludf.DUMMYFUNCTION("""COMPUTED_VALUE"""),44870.0)</f>
        <v>44870</v>
      </c>
      <c r="C12123" s="266" t="str">
        <f>IFERROR(__xludf.DUMMYFUNCTION("""COMPUTED_VALUE"""),"KYAI KONTONG")</f>
        <v>KYAI KONTONG</v>
      </c>
      <c r="D12123" s="186">
        <f>IFERROR(__xludf.DUMMYFUNCTION("""COMPUTED_VALUE"""),1.0)</f>
        <v>1</v>
      </c>
    </row>
    <row r="12124">
      <c r="A12124" s="178" t="str">
        <f>IFERROR(__xludf.DUMMYFUNCTION("""COMPUTED_VALUE"""),"ITBISA-VYBA-SENTER-KUNING-FT300")</f>
        <v>ITBISA-VYBA-SENTER-KUNING-FT300</v>
      </c>
      <c r="B12124" s="266">
        <f>IFERROR(__xludf.DUMMYFUNCTION("""COMPUTED_VALUE"""),44871.0)</f>
        <v>44871</v>
      </c>
      <c r="C12124" s="266" t="str">
        <f>IFERROR(__xludf.DUMMYFUNCTION("""COMPUTED_VALUE"""),"KYAI KONTONG")</f>
        <v>KYAI KONTONG</v>
      </c>
      <c r="D12124" s="186">
        <f>IFERROR(__xludf.DUMMYFUNCTION("""COMPUTED_VALUE"""),3.0)</f>
        <v>3</v>
      </c>
    </row>
    <row r="12125">
      <c r="A12125" s="178" t="str">
        <f>IFERROR(__xludf.DUMMYFUNCTION("""COMPUTED_VALUE"""),"ITBISA-VYBA-SENTER-KUNING-FT300")</f>
        <v>ITBISA-VYBA-SENTER-KUNING-FT300</v>
      </c>
      <c r="B12125" s="266">
        <f>IFERROR(__xludf.DUMMYFUNCTION("""COMPUTED_VALUE"""),44872.0)</f>
        <v>44872</v>
      </c>
      <c r="C12125" s="266" t="str">
        <f>IFERROR(__xludf.DUMMYFUNCTION("""COMPUTED_VALUE"""),"KYAI KONTONG")</f>
        <v>KYAI KONTONG</v>
      </c>
      <c r="D12125" s="186">
        <f>IFERROR(__xludf.DUMMYFUNCTION("""COMPUTED_VALUE"""),1.0)</f>
        <v>1</v>
      </c>
    </row>
    <row r="12126">
      <c r="A12126" s="178" t="str">
        <f>IFERROR(__xludf.DUMMYFUNCTION("""COMPUTED_VALUE"""),"ITBISA-VYBA-SENTER-KUNING-FT300")</f>
        <v>ITBISA-VYBA-SENTER-KUNING-FT300</v>
      </c>
      <c r="B12126" s="266">
        <f>IFERROR(__xludf.DUMMYFUNCTION("""COMPUTED_VALUE"""),44873.0)</f>
        <v>44873</v>
      </c>
      <c r="C12126" s="266" t="str">
        <f>IFERROR(__xludf.DUMMYFUNCTION("""COMPUTED_VALUE"""),"KYAI KONTONG")</f>
        <v>KYAI KONTONG</v>
      </c>
      <c r="D12126" s="186">
        <f>IFERROR(__xludf.DUMMYFUNCTION("""COMPUTED_VALUE"""),1.0)</f>
        <v>1</v>
      </c>
    </row>
    <row r="12127">
      <c r="A12127" s="178" t="str">
        <f>IFERROR(__xludf.DUMMYFUNCTION("""COMPUTED_VALUE"""),"ITBISA-VYBA-SENTER-KUNING-FT300")</f>
        <v>ITBISA-VYBA-SENTER-KUNING-FT300</v>
      </c>
      <c r="B12127" s="266">
        <f>IFERROR(__xludf.DUMMYFUNCTION("""COMPUTED_VALUE"""),44874.0)</f>
        <v>44874</v>
      </c>
      <c r="C12127" s="266" t="str">
        <f>IFERROR(__xludf.DUMMYFUNCTION("""COMPUTED_VALUE"""),"KYAI KONTONG")</f>
        <v>KYAI KONTONG</v>
      </c>
      <c r="D12127" s="186">
        <f>IFERROR(__xludf.DUMMYFUNCTION("""COMPUTED_VALUE"""),1.0)</f>
        <v>1</v>
      </c>
    </row>
    <row r="12128">
      <c r="A12128" s="178" t="str">
        <f>IFERROR(__xludf.DUMMYFUNCTION("""COMPUTED_VALUE"""),"ITBISA-VYBA-SENTER-KUNING-FT300")</f>
        <v>ITBISA-VYBA-SENTER-KUNING-FT300</v>
      </c>
      <c r="B12128" s="266">
        <f>IFERROR(__xludf.DUMMYFUNCTION("""COMPUTED_VALUE"""),44879.0)</f>
        <v>44879</v>
      </c>
      <c r="C12128" s="266" t="str">
        <f>IFERROR(__xludf.DUMMYFUNCTION("""COMPUTED_VALUE"""),"KYAI KONTONG")</f>
        <v>KYAI KONTONG</v>
      </c>
      <c r="D12128" s="186">
        <f>IFERROR(__xludf.DUMMYFUNCTION("""COMPUTED_VALUE"""),4.0)</f>
        <v>4</v>
      </c>
    </row>
    <row r="12129">
      <c r="A12129" s="178" t="str">
        <f>IFERROR(__xludf.DUMMYFUNCTION("""COMPUTED_VALUE"""),"ITBISA-VYBA-SENTER-KUNING-FT300")</f>
        <v>ITBISA-VYBA-SENTER-KUNING-FT300</v>
      </c>
      <c r="B12129" s="266">
        <f>IFERROR(__xludf.DUMMYFUNCTION("""COMPUTED_VALUE"""),44883.0)</f>
        <v>44883</v>
      </c>
      <c r="C12129" s="266" t="str">
        <f>IFERROR(__xludf.DUMMYFUNCTION("""COMPUTED_VALUE"""),"KYAI KONTONG")</f>
        <v>KYAI KONTONG</v>
      </c>
      <c r="D12129" s="186">
        <f>IFERROR(__xludf.DUMMYFUNCTION("""COMPUTED_VALUE"""),1.0)</f>
        <v>1</v>
      </c>
    </row>
    <row r="12130">
      <c r="A12130" s="178" t="str">
        <f>IFERROR(__xludf.DUMMYFUNCTION("""COMPUTED_VALUE"""),"ITBISA-VYBA-SENTER-KUNING-FT300")</f>
        <v>ITBISA-VYBA-SENTER-KUNING-FT300</v>
      </c>
      <c r="B12130" s="266">
        <f>IFERROR(__xludf.DUMMYFUNCTION("""COMPUTED_VALUE"""),44886.0)</f>
        <v>44886</v>
      </c>
      <c r="C12130" s="266" t="str">
        <f>IFERROR(__xludf.DUMMYFUNCTION("""COMPUTED_VALUE"""),"KYAI KONTONG")</f>
        <v>KYAI KONTONG</v>
      </c>
      <c r="D12130" s="186">
        <f>IFERROR(__xludf.DUMMYFUNCTION("""COMPUTED_VALUE"""),2.0)</f>
        <v>2</v>
      </c>
    </row>
    <row r="12131">
      <c r="A12131" s="178" t="str">
        <f>IFERROR(__xludf.DUMMYFUNCTION("""COMPUTED_VALUE"""),"ITBISA-VYBA-SENTER-KUNING-FT300")</f>
        <v>ITBISA-VYBA-SENTER-KUNING-FT300</v>
      </c>
      <c r="B12131" s="266">
        <f>IFERROR(__xludf.DUMMYFUNCTION("""COMPUTED_VALUE"""),44888.0)</f>
        <v>44888</v>
      </c>
      <c r="C12131" s="266" t="str">
        <f>IFERROR(__xludf.DUMMYFUNCTION("""COMPUTED_VALUE"""),"KYAI KONTONG")</f>
        <v>KYAI KONTONG</v>
      </c>
      <c r="D12131" s="186">
        <f>IFERROR(__xludf.DUMMYFUNCTION("""COMPUTED_VALUE"""),2.0)</f>
        <v>2</v>
      </c>
    </row>
    <row r="12132">
      <c r="A12132" s="178" t="str">
        <f>IFERROR(__xludf.DUMMYFUNCTION("""COMPUTED_VALUE"""),"ITBISA-VYBA-SENTER-KUNING-FT300")</f>
        <v>ITBISA-VYBA-SENTER-KUNING-FT300</v>
      </c>
      <c r="B12132" s="266">
        <f>IFERROR(__xludf.DUMMYFUNCTION("""COMPUTED_VALUE"""),44892.0)</f>
        <v>44892</v>
      </c>
      <c r="C12132" s="266" t="str">
        <f>IFERROR(__xludf.DUMMYFUNCTION("""COMPUTED_VALUE"""),"KYAI KONTONG")</f>
        <v>KYAI KONTONG</v>
      </c>
      <c r="D12132" s="186">
        <f>IFERROR(__xludf.DUMMYFUNCTION("""COMPUTED_VALUE"""),1.0)</f>
        <v>1</v>
      </c>
    </row>
    <row r="12133">
      <c r="A12133" s="178" t="str">
        <f>IFERROR(__xludf.DUMMYFUNCTION("""COMPUTED_VALUE"""),"ITBISA-VYBA-SENTER-KUNING-FT300")</f>
        <v>ITBISA-VYBA-SENTER-KUNING-FT300</v>
      </c>
      <c r="B12133" s="266">
        <f>IFERROR(__xludf.DUMMYFUNCTION("""COMPUTED_VALUE"""),44892.0)</f>
        <v>44892</v>
      </c>
      <c r="C12133" s="266" t="str">
        <f>IFERROR(__xludf.DUMMYFUNCTION("""COMPUTED_VALUE"""),"KYAI KONTONG")</f>
        <v>KYAI KONTONG</v>
      </c>
      <c r="D12133" s="186">
        <f>IFERROR(__xludf.DUMMYFUNCTION("""COMPUTED_VALUE"""),2.0)</f>
        <v>2</v>
      </c>
    </row>
    <row r="12134">
      <c r="A12134" s="178" t="str">
        <f>IFERROR(__xludf.DUMMYFUNCTION("""COMPUTED_VALUE"""),"ITBISA-VYBA-SENTER-KUNING-FT300")</f>
        <v>ITBISA-VYBA-SENTER-KUNING-FT300</v>
      </c>
      <c r="B12134" s="266">
        <f>IFERROR(__xludf.DUMMYFUNCTION("""COMPUTED_VALUE"""),44893.0)</f>
        <v>44893</v>
      </c>
      <c r="C12134" s="266" t="str">
        <f>IFERROR(__xludf.DUMMYFUNCTION("""COMPUTED_VALUE"""),"KYAI KONTONG")</f>
        <v>KYAI KONTONG</v>
      </c>
      <c r="D12134" s="186">
        <f>IFERROR(__xludf.DUMMYFUNCTION("""COMPUTED_VALUE"""),4.0)</f>
        <v>4</v>
      </c>
    </row>
    <row r="12135">
      <c r="A12135" s="178" t="str">
        <f>IFERROR(__xludf.DUMMYFUNCTION("""COMPUTED_VALUE"""),"ITBISA-VYBA-SENTER-KUNING-FT300")</f>
        <v>ITBISA-VYBA-SENTER-KUNING-FT300</v>
      </c>
      <c r="B12135" s="266">
        <f>IFERROR(__xludf.DUMMYFUNCTION("""COMPUTED_VALUE"""),44894.0)</f>
        <v>44894</v>
      </c>
      <c r="C12135" s="266" t="str">
        <f>IFERROR(__xludf.DUMMYFUNCTION("""COMPUTED_VALUE"""),"KYAI KONTONG")</f>
        <v>KYAI KONTONG</v>
      </c>
      <c r="D12135" s="186">
        <f>IFERROR(__xludf.DUMMYFUNCTION("""COMPUTED_VALUE"""),1.0)</f>
        <v>1</v>
      </c>
    </row>
    <row r="12136">
      <c r="A12136" s="178" t="str">
        <f>IFERROR(__xludf.DUMMYFUNCTION("""COMPUTED_VALUE"""),"ITBISA-VYBA-SENTER-KUNING-FT300")</f>
        <v>ITBISA-VYBA-SENTER-KUNING-FT300</v>
      </c>
      <c r="B12136" s="266">
        <f>IFERROR(__xludf.DUMMYFUNCTION("""COMPUTED_VALUE"""),44894.0)</f>
        <v>44894</v>
      </c>
      <c r="C12136" s="266" t="str">
        <f>IFERROR(__xludf.DUMMYFUNCTION("""COMPUTED_VALUE"""),"KYAI KONTONG")</f>
        <v>KYAI KONTONG</v>
      </c>
      <c r="D12136" s="186">
        <f>IFERROR(__xludf.DUMMYFUNCTION("""COMPUTED_VALUE"""),1.0)</f>
        <v>1</v>
      </c>
    </row>
    <row r="12137">
      <c r="A12137" s="178" t="str">
        <f>IFERROR(__xludf.DUMMYFUNCTION("""COMPUTED_VALUE"""),"ITBISA-VYBA-SENTER-KUNING-FT300")</f>
        <v>ITBISA-VYBA-SENTER-KUNING-FT300</v>
      </c>
      <c r="B12137" s="266">
        <f>IFERROR(__xludf.DUMMYFUNCTION("""COMPUTED_VALUE"""),44894.0)</f>
        <v>44894</v>
      </c>
      <c r="C12137" s="266" t="str">
        <f>IFERROR(__xludf.DUMMYFUNCTION("""COMPUTED_VALUE"""),"KYAI KONTONG")</f>
        <v>KYAI KONTONG</v>
      </c>
      <c r="D12137" s="186">
        <f>IFERROR(__xludf.DUMMYFUNCTION("""COMPUTED_VALUE"""),3.0)</f>
        <v>3</v>
      </c>
    </row>
    <row r="12138">
      <c r="A12138" s="178" t="str">
        <f>IFERROR(__xludf.DUMMYFUNCTION("""COMPUTED_VALUE"""),"ITBISA-VYBA-SENTER-KUNING-FT300")</f>
        <v>ITBISA-VYBA-SENTER-KUNING-FT300</v>
      </c>
      <c r="B12138" s="266">
        <f>IFERROR(__xludf.DUMMYFUNCTION("""COMPUTED_VALUE"""),44895.0)</f>
        <v>44895</v>
      </c>
      <c r="C12138" s="266" t="str">
        <f>IFERROR(__xludf.DUMMYFUNCTION("""COMPUTED_VALUE"""),"KYAI KONTONG")</f>
        <v>KYAI KONTONG</v>
      </c>
      <c r="D12138" s="186">
        <f>IFERROR(__xludf.DUMMYFUNCTION("""COMPUTED_VALUE"""),1.0)</f>
        <v>1</v>
      </c>
    </row>
    <row r="12139">
      <c r="A12139" s="178" t="str">
        <f>IFERROR(__xludf.DUMMYFUNCTION("""COMPUTED_VALUE"""),"ITBISA-VYBA-SENTER-KUNING-FT300")</f>
        <v>ITBISA-VYBA-SENTER-KUNING-FT300</v>
      </c>
      <c r="B12139" s="266">
        <f>IFERROR(__xludf.DUMMYFUNCTION("""COMPUTED_VALUE"""),44900.0)</f>
        <v>44900</v>
      </c>
      <c r="C12139" s="266" t="str">
        <f>IFERROR(__xludf.DUMMYFUNCTION("""COMPUTED_VALUE"""),"KYAI KONTONG")</f>
        <v>KYAI KONTONG</v>
      </c>
      <c r="D12139" s="186">
        <f>IFERROR(__xludf.DUMMYFUNCTION("""COMPUTED_VALUE"""),2.0)</f>
        <v>2</v>
      </c>
    </row>
    <row r="12140">
      <c r="A12140" s="178" t="str">
        <f>IFERROR(__xludf.DUMMYFUNCTION("""COMPUTED_VALUE"""),"ITBISA-VYBA-SENTER-KUNING-FT300")</f>
        <v>ITBISA-VYBA-SENTER-KUNING-FT300</v>
      </c>
      <c r="B12140" s="266">
        <f>IFERROR(__xludf.DUMMYFUNCTION("""COMPUTED_VALUE"""),44901.0)</f>
        <v>44901</v>
      </c>
      <c r="C12140" s="266" t="str">
        <f>IFERROR(__xludf.DUMMYFUNCTION("""COMPUTED_VALUE"""),"KYAI KONTONG")</f>
        <v>KYAI KONTONG</v>
      </c>
      <c r="D12140" s="186">
        <f>IFERROR(__xludf.DUMMYFUNCTION("""COMPUTED_VALUE"""),1.0)</f>
        <v>1</v>
      </c>
    </row>
    <row r="12141">
      <c r="A12141" s="178" t="str">
        <f>IFERROR(__xludf.DUMMYFUNCTION("""COMPUTED_VALUE"""),"ITBISA-VYBA-SENTER-KUNING-FT300")</f>
        <v>ITBISA-VYBA-SENTER-KUNING-FT300</v>
      </c>
      <c r="B12141" s="266">
        <f>IFERROR(__xludf.DUMMYFUNCTION("""COMPUTED_VALUE"""),44902.0)</f>
        <v>44902</v>
      </c>
      <c r="C12141" s="266" t="str">
        <f>IFERROR(__xludf.DUMMYFUNCTION("""COMPUTED_VALUE"""),"KYAI KONTONG")</f>
        <v>KYAI KONTONG</v>
      </c>
      <c r="D12141" s="186">
        <f>IFERROR(__xludf.DUMMYFUNCTION("""COMPUTED_VALUE"""),1.0)</f>
        <v>1</v>
      </c>
    </row>
    <row r="12142">
      <c r="A12142" s="178" t="str">
        <f>IFERROR(__xludf.DUMMYFUNCTION("""COMPUTED_VALUE"""),"ITBISA-VYBA-SENTER-KUNING-FT300")</f>
        <v>ITBISA-VYBA-SENTER-KUNING-FT300</v>
      </c>
      <c r="B12142" s="266">
        <f>IFERROR(__xludf.DUMMYFUNCTION("""COMPUTED_VALUE"""),44902.0)</f>
        <v>44902</v>
      </c>
      <c r="C12142" s="266" t="str">
        <f>IFERROR(__xludf.DUMMYFUNCTION("""COMPUTED_VALUE"""),"KYAI KONTONG")</f>
        <v>KYAI KONTONG</v>
      </c>
      <c r="D12142" s="186">
        <f>IFERROR(__xludf.DUMMYFUNCTION("""COMPUTED_VALUE"""),2.0)</f>
        <v>2</v>
      </c>
    </row>
    <row r="12143">
      <c r="A12143" s="178" t="str">
        <f>IFERROR(__xludf.DUMMYFUNCTION("""COMPUTED_VALUE"""),"ITBISA-VYBA-SENTER-KUNING-FT300")</f>
        <v>ITBISA-VYBA-SENTER-KUNING-FT300</v>
      </c>
      <c r="B12143" s="266">
        <f>IFERROR(__xludf.DUMMYFUNCTION("""COMPUTED_VALUE"""),44903.0)</f>
        <v>44903</v>
      </c>
      <c r="C12143" s="266" t="str">
        <f>IFERROR(__xludf.DUMMYFUNCTION("""COMPUTED_VALUE"""),"KYAI KONTONG")</f>
        <v>KYAI KONTONG</v>
      </c>
      <c r="D12143" s="186">
        <f>IFERROR(__xludf.DUMMYFUNCTION("""COMPUTED_VALUE"""),1.0)</f>
        <v>1</v>
      </c>
    </row>
    <row r="12144">
      <c r="A12144" s="178" t="str">
        <f>IFERROR(__xludf.DUMMYFUNCTION("""COMPUTED_VALUE"""),"ITBISA-VYBA-SENTER-KUNING-FT300")</f>
        <v>ITBISA-VYBA-SENTER-KUNING-FT300</v>
      </c>
      <c r="B12144" s="266">
        <f>IFERROR(__xludf.DUMMYFUNCTION("""COMPUTED_VALUE"""),44903.0)</f>
        <v>44903</v>
      </c>
      <c r="C12144" s="266" t="str">
        <f>IFERROR(__xludf.DUMMYFUNCTION("""COMPUTED_VALUE"""),"KYAI KONTONG")</f>
        <v>KYAI KONTONG</v>
      </c>
      <c r="D12144" s="186">
        <f>IFERROR(__xludf.DUMMYFUNCTION("""COMPUTED_VALUE"""),2.0)</f>
        <v>2</v>
      </c>
    </row>
    <row r="12145">
      <c r="A12145" s="178" t="str">
        <f>IFERROR(__xludf.DUMMYFUNCTION("""COMPUTED_VALUE"""),"ITBISA-VYBA-SENTER-KUNING-FT300")</f>
        <v>ITBISA-VYBA-SENTER-KUNING-FT300</v>
      </c>
      <c r="B12145" s="266">
        <f>IFERROR(__xludf.DUMMYFUNCTION("""COMPUTED_VALUE"""),44903.0)</f>
        <v>44903</v>
      </c>
      <c r="C12145" s="266" t="str">
        <f>IFERROR(__xludf.DUMMYFUNCTION("""COMPUTED_VALUE"""),"KYAI KONTONG")</f>
        <v>KYAI KONTONG</v>
      </c>
      <c r="D12145" s="186">
        <f>IFERROR(__xludf.DUMMYFUNCTION("""COMPUTED_VALUE"""),2.0)</f>
        <v>2</v>
      </c>
    </row>
    <row r="12146">
      <c r="A12146" s="178" t="str">
        <f>IFERROR(__xludf.DUMMYFUNCTION("""COMPUTED_VALUE"""),"ITBISA-VYBA-SENTER-KUNING-FT300")</f>
        <v>ITBISA-VYBA-SENTER-KUNING-FT300</v>
      </c>
      <c r="B12146" s="266">
        <f>IFERROR(__xludf.DUMMYFUNCTION("""COMPUTED_VALUE"""),44903.0)</f>
        <v>44903</v>
      </c>
      <c r="C12146" s="266" t="str">
        <f>IFERROR(__xludf.DUMMYFUNCTION("""COMPUTED_VALUE"""),"KYAI KONTONG")</f>
        <v>KYAI KONTONG</v>
      </c>
      <c r="D12146" s="186">
        <f>IFERROR(__xludf.DUMMYFUNCTION("""COMPUTED_VALUE"""),8.0)</f>
        <v>8</v>
      </c>
    </row>
    <row r="12147">
      <c r="A12147" s="178" t="str">
        <f>IFERROR(__xludf.DUMMYFUNCTION("""COMPUTED_VALUE"""),"ITBISA-VYBA-SENTER-KUNING-FT300")</f>
        <v>ITBISA-VYBA-SENTER-KUNING-FT300</v>
      </c>
      <c r="B12147" s="266">
        <f>IFERROR(__xludf.DUMMYFUNCTION("""COMPUTED_VALUE"""),44903.0)</f>
        <v>44903</v>
      </c>
      <c r="C12147" s="266" t="str">
        <f>IFERROR(__xludf.DUMMYFUNCTION("""COMPUTED_VALUE"""),"KYAI KONTONG")</f>
        <v>KYAI KONTONG</v>
      </c>
      <c r="D12147" s="186">
        <f>IFERROR(__xludf.DUMMYFUNCTION("""COMPUTED_VALUE"""),13.0)</f>
        <v>13</v>
      </c>
    </row>
    <row r="12148">
      <c r="A12148" s="178" t="str">
        <f>IFERROR(__xludf.DUMMYFUNCTION("""COMPUTED_VALUE"""),"ITBISA-VYBA-SENTER-KUNING-FT300")</f>
        <v>ITBISA-VYBA-SENTER-KUNING-FT300</v>
      </c>
      <c r="B12148" s="266">
        <f>IFERROR(__xludf.DUMMYFUNCTION("""COMPUTED_VALUE"""),44904.0)</f>
        <v>44904</v>
      </c>
      <c r="C12148" s="266" t="str">
        <f>IFERROR(__xludf.DUMMYFUNCTION("""COMPUTED_VALUE"""),"KYAI KONTONG")</f>
        <v>KYAI KONTONG</v>
      </c>
      <c r="D12148" s="186">
        <f>IFERROR(__xludf.DUMMYFUNCTION("""COMPUTED_VALUE"""),1.0)</f>
        <v>1</v>
      </c>
    </row>
    <row r="12149">
      <c r="A12149" s="178" t="str">
        <f>IFERROR(__xludf.DUMMYFUNCTION("""COMPUTED_VALUE"""),"ITBISA-VYBA-SENTER-KUNING-FT300")</f>
        <v>ITBISA-VYBA-SENTER-KUNING-FT300</v>
      </c>
      <c r="B12149" s="266">
        <f>IFERROR(__xludf.DUMMYFUNCTION("""COMPUTED_VALUE"""),44904.0)</f>
        <v>44904</v>
      </c>
      <c r="C12149" s="266" t="str">
        <f>IFERROR(__xludf.DUMMYFUNCTION("""COMPUTED_VALUE"""),"KYAI KONTONG")</f>
        <v>KYAI KONTONG</v>
      </c>
      <c r="D12149" s="186">
        <f>IFERROR(__xludf.DUMMYFUNCTION("""COMPUTED_VALUE"""),1.0)</f>
        <v>1</v>
      </c>
    </row>
    <row r="12150">
      <c r="A12150" s="178" t="str">
        <f>IFERROR(__xludf.DUMMYFUNCTION("""COMPUTED_VALUE"""),"ITBISA-VYBA-SENTER-KUNING-FT300")</f>
        <v>ITBISA-VYBA-SENTER-KUNING-FT300</v>
      </c>
      <c r="B12150" s="266">
        <f>IFERROR(__xludf.DUMMYFUNCTION("""COMPUTED_VALUE"""),44904.0)</f>
        <v>44904</v>
      </c>
      <c r="C12150" s="266" t="str">
        <f>IFERROR(__xludf.DUMMYFUNCTION("""COMPUTED_VALUE"""),"KYAI KONTONG")</f>
        <v>KYAI KONTONG</v>
      </c>
      <c r="D12150" s="186">
        <f>IFERROR(__xludf.DUMMYFUNCTION("""COMPUTED_VALUE"""),1.0)</f>
        <v>1</v>
      </c>
    </row>
    <row r="12151">
      <c r="A12151" s="178" t="str">
        <f>IFERROR(__xludf.DUMMYFUNCTION("""COMPUTED_VALUE"""),"ITBISA-VYBA-SENTER-KUNING-FT300")</f>
        <v>ITBISA-VYBA-SENTER-KUNING-FT300</v>
      </c>
      <c r="B12151" s="266">
        <f>IFERROR(__xludf.DUMMYFUNCTION("""COMPUTED_VALUE"""),44904.0)</f>
        <v>44904</v>
      </c>
      <c r="C12151" s="266" t="str">
        <f>IFERROR(__xludf.DUMMYFUNCTION("""COMPUTED_VALUE"""),"KYAI KONTONG")</f>
        <v>KYAI KONTONG</v>
      </c>
      <c r="D12151" s="186">
        <f>IFERROR(__xludf.DUMMYFUNCTION("""COMPUTED_VALUE"""),3.0)</f>
        <v>3</v>
      </c>
    </row>
    <row r="12152">
      <c r="A12152" s="178" t="str">
        <f>IFERROR(__xludf.DUMMYFUNCTION("""COMPUTED_VALUE"""),"ITBISA-VYBA-SENTER-KUNING-FT300")</f>
        <v>ITBISA-VYBA-SENTER-KUNING-FT300</v>
      </c>
      <c r="B12152" s="266">
        <f>IFERROR(__xludf.DUMMYFUNCTION("""COMPUTED_VALUE"""),44905.0)</f>
        <v>44905</v>
      </c>
      <c r="C12152" s="266" t="str">
        <f>IFERROR(__xludf.DUMMYFUNCTION("""COMPUTED_VALUE"""),"KYAI KONTONG")</f>
        <v>KYAI KONTONG</v>
      </c>
      <c r="D12152" s="186">
        <f>IFERROR(__xludf.DUMMYFUNCTION("""COMPUTED_VALUE"""),6.0)</f>
        <v>6</v>
      </c>
    </row>
    <row r="12153">
      <c r="A12153" s="178" t="str">
        <f>IFERROR(__xludf.DUMMYFUNCTION("""COMPUTED_VALUE"""),"ITBISA-VYBA-SENTER-KUNING-FT300")</f>
        <v>ITBISA-VYBA-SENTER-KUNING-FT300</v>
      </c>
      <c r="B12153" s="266">
        <f>IFERROR(__xludf.DUMMYFUNCTION("""COMPUTED_VALUE"""),44907.0)</f>
        <v>44907</v>
      </c>
      <c r="C12153" s="266" t="str">
        <f>IFERROR(__xludf.DUMMYFUNCTION("""COMPUTED_VALUE"""),"KYAI KONTONG")</f>
        <v>KYAI KONTONG</v>
      </c>
      <c r="D12153" s="186">
        <f>IFERROR(__xludf.DUMMYFUNCTION("""COMPUTED_VALUE"""),1.0)</f>
        <v>1</v>
      </c>
    </row>
    <row r="12154">
      <c r="A12154" s="178" t="str">
        <f>IFERROR(__xludf.DUMMYFUNCTION("""COMPUTED_VALUE"""),"ITBISA-VYBA-SENTER-KUNING-FT300")</f>
        <v>ITBISA-VYBA-SENTER-KUNING-FT300</v>
      </c>
      <c r="B12154" s="266">
        <f>IFERROR(__xludf.DUMMYFUNCTION("""COMPUTED_VALUE"""),44907.0)</f>
        <v>44907</v>
      </c>
      <c r="C12154" s="266" t="str">
        <f>IFERROR(__xludf.DUMMYFUNCTION("""COMPUTED_VALUE"""),"KYAI KONTONG")</f>
        <v>KYAI KONTONG</v>
      </c>
      <c r="D12154" s="186">
        <f>IFERROR(__xludf.DUMMYFUNCTION("""COMPUTED_VALUE"""),1.0)</f>
        <v>1</v>
      </c>
    </row>
    <row r="12155">
      <c r="A12155" s="178" t="str">
        <f>IFERROR(__xludf.DUMMYFUNCTION("""COMPUTED_VALUE"""),"ITBISA-VYBA-SENTER-KUNING-FT300")</f>
        <v>ITBISA-VYBA-SENTER-KUNING-FT300</v>
      </c>
      <c r="B12155" s="266">
        <f>IFERROR(__xludf.DUMMYFUNCTION("""COMPUTED_VALUE"""),44907.0)</f>
        <v>44907</v>
      </c>
      <c r="C12155" s="266" t="str">
        <f>IFERROR(__xludf.DUMMYFUNCTION("""COMPUTED_VALUE"""),"KYAI KONTONG")</f>
        <v>KYAI KONTONG</v>
      </c>
      <c r="D12155" s="186">
        <f>IFERROR(__xludf.DUMMYFUNCTION("""COMPUTED_VALUE"""),1.0)</f>
        <v>1</v>
      </c>
    </row>
    <row r="12156">
      <c r="A12156" s="178" t="str">
        <f>IFERROR(__xludf.DUMMYFUNCTION("""COMPUTED_VALUE"""),"ITBISA-VYBA-SENTER-KUNING-FT300")</f>
        <v>ITBISA-VYBA-SENTER-KUNING-FT300</v>
      </c>
      <c r="B12156" s="266">
        <f>IFERROR(__xludf.DUMMYFUNCTION("""COMPUTED_VALUE"""),44907.0)</f>
        <v>44907</v>
      </c>
      <c r="C12156" s="266" t="str">
        <f>IFERROR(__xludf.DUMMYFUNCTION("""COMPUTED_VALUE"""),"KYAI KONTONG")</f>
        <v>KYAI KONTONG</v>
      </c>
      <c r="D12156" s="186">
        <f>IFERROR(__xludf.DUMMYFUNCTION("""COMPUTED_VALUE"""),1.0)</f>
        <v>1</v>
      </c>
    </row>
    <row r="12157">
      <c r="A12157" s="178" t="str">
        <f>IFERROR(__xludf.DUMMYFUNCTION("""COMPUTED_VALUE"""),"ITBISA-VYBA-SENTER-KUNING-FT300")</f>
        <v>ITBISA-VYBA-SENTER-KUNING-FT300</v>
      </c>
      <c r="B12157" s="266">
        <f>IFERROR(__xludf.DUMMYFUNCTION("""COMPUTED_VALUE"""),44907.0)</f>
        <v>44907</v>
      </c>
      <c r="C12157" s="266" t="str">
        <f>IFERROR(__xludf.DUMMYFUNCTION("""COMPUTED_VALUE"""),"KYAI KONTONG")</f>
        <v>KYAI KONTONG</v>
      </c>
      <c r="D12157" s="186">
        <f>IFERROR(__xludf.DUMMYFUNCTION("""COMPUTED_VALUE"""),1.0)</f>
        <v>1</v>
      </c>
    </row>
    <row r="12158">
      <c r="A12158" s="178" t="str">
        <f>IFERROR(__xludf.DUMMYFUNCTION("""COMPUTED_VALUE"""),"ITBISA-VYBA-SENTER-KUNING-FT300")</f>
        <v>ITBISA-VYBA-SENTER-KUNING-FT300</v>
      </c>
      <c r="B12158" s="266">
        <f>IFERROR(__xludf.DUMMYFUNCTION("""COMPUTED_VALUE"""),44907.0)</f>
        <v>44907</v>
      </c>
      <c r="C12158" s="266" t="str">
        <f>IFERROR(__xludf.DUMMYFUNCTION("""COMPUTED_VALUE"""),"KYAI KONTONG")</f>
        <v>KYAI KONTONG</v>
      </c>
      <c r="D12158" s="186">
        <f>IFERROR(__xludf.DUMMYFUNCTION("""COMPUTED_VALUE"""),1.0)</f>
        <v>1</v>
      </c>
    </row>
    <row r="12159">
      <c r="A12159" s="178" t="str">
        <f>IFERROR(__xludf.DUMMYFUNCTION("""COMPUTED_VALUE"""),"ITBISA-VYBA-SENTER-KUNING-FT300")</f>
        <v>ITBISA-VYBA-SENTER-KUNING-FT300</v>
      </c>
      <c r="B12159" s="266">
        <f>IFERROR(__xludf.DUMMYFUNCTION("""COMPUTED_VALUE"""),44907.0)</f>
        <v>44907</v>
      </c>
      <c r="C12159" s="266" t="str">
        <f>IFERROR(__xludf.DUMMYFUNCTION("""COMPUTED_VALUE"""),"KYAI KONTONG")</f>
        <v>KYAI KONTONG</v>
      </c>
      <c r="D12159" s="186">
        <f>IFERROR(__xludf.DUMMYFUNCTION("""COMPUTED_VALUE"""),1.0)</f>
        <v>1</v>
      </c>
    </row>
    <row r="12160">
      <c r="A12160" s="178" t="str">
        <f>IFERROR(__xludf.DUMMYFUNCTION("""COMPUTED_VALUE"""),"ITBISA-VYBA-SENTER-KUNING-FT300")</f>
        <v>ITBISA-VYBA-SENTER-KUNING-FT300</v>
      </c>
      <c r="B12160" s="266">
        <f>IFERROR(__xludf.DUMMYFUNCTION("""COMPUTED_VALUE"""),44908.0)</f>
        <v>44908</v>
      </c>
      <c r="C12160" s="266" t="str">
        <f>IFERROR(__xludf.DUMMYFUNCTION("""COMPUTED_VALUE"""),"KYAI KONTONG")</f>
        <v>KYAI KONTONG</v>
      </c>
      <c r="D12160" s="186">
        <f>IFERROR(__xludf.DUMMYFUNCTION("""COMPUTED_VALUE"""),1.0)</f>
        <v>1</v>
      </c>
    </row>
    <row r="12161">
      <c r="A12161" s="178" t="str">
        <f>IFERROR(__xludf.DUMMYFUNCTION("""COMPUTED_VALUE"""),"ITBISA-VYBA-SENTER-KUNING-FT300")</f>
        <v>ITBISA-VYBA-SENTER-KUNING-FT300</v>
      </c>
      <c r="B12161" s="266">
        <f>IFERROR(__xludf.DUMMYFUNCTION("""COMPUTED_VALUE"""),44908.0)</f>
        <v>44908</v>
      </c>
      <c r="C12161" s="266" t="str">
        <f>IFERROR(__xludf.DUMMYFUNCTION("""COMPUTED_VALUE"""),"KYAI KONTONG")</f>
        <v>KYAI KONTONG</v>
      </c>
      <c r="D12161" s="186">
        <f>IFERROR(__xludf.DUMMYFUNCTION("""COMPUTED_VALUE"""),1.0)</f>
        <v>1</v>
      </c>
    </row>
    <row r="12162">
      <c r="A12162" s="178" t="str">
        <f>IFERROR(__xludf.DUMMYFUNCTION("""COMPUTED_VALUE"""),"ITBISA-VYBA-SENTER-KUNING-FT300")</f>
        <v>ITBISA-VYBA-SENTER-KUNING-FT300</v>
      </c>
      <c r="B12162" s="266">
        <f>IFERROR(__xludf.DUMMYFUNCTION("""COMPUTED_VALUE"""),44908.0)</f>
        <v>44908</v>
      </c>
      <c r="C12162" s="266" t="str">
        <f>IFERROR(__xludf.DUMMYFUNCTION("""COMPUTED_VALUE"""),"KYAI KONTONG")</f>
        <v>KYAI KONTONG</v>
      </c>
      <c r="D12162" s="186">
        <f>IFERROR(__xludf.DUMMYFUNCTION("""COMPUTED_VALUE"""),10.0)</f>
        <v>10</v>
      </c>
    </row>
    <row r="12163">
      <c r="A12163" s="178" t="str">
        <f>IFERROR(__xludf.DUMMYFUNCTION("""COMPUTED_VALUE"""),"ITBISA-VYBA-SENTER-KUNING-FT300")</f>
        <v>ITBISA-VYBA-SENTER-KUNING-FT300</v>
      </c>
      <c r="B12163" s="266">
        <f>IFERROR(__xludf.DUMMYFUNCTION("""COMPUTED_VALUE"""),44909.0)</f>
        <v>44909</v>
      </c>
      <c r="C12163" s="266" t="str">
        <f>IFERROR(__xludf.DUMMYFUNCTION("""COMPUTED_VALUE"""),"KYAI KONTONG")</f>
        <v>KYAI KONTONG</v>
      </c>
      <c r="D12163" s="186">
        <f>IFERROR(__xludf.DUMMYFUNCTION("""COMPUTED_VALUE"""),1.0)</f>
        <v>1</v>
      </c>
    </row>
    <row r="12164">
      <c r="A12164" s="178" t="str">
        <f>IFERROR(__xludf.DUMMYFUNCTION("""COMPUTED_VALUE"""),"ITBISA-VYBA-SENTER-KUNING-FT300")</f>
        <v>ITBISA-VYBA-SENTER-KUNING-FT300</v>
      </c>
      <c r="B12164" s="266">
        <f>IFERROR(__xludf.DUMMYFUNCTION("""COMPUTED_VALUE"""),44909.0)</f>
        <v>44909</v>
      </c>
      <c r="C12164" s="266" t="str">
        <f>IFERROR(__xludf.DUMMYFUNCTION("""COMPUTED_VALUE"""),"KYAI KONTONG")</f>
        <v>KYAI KONTONG</v>
      </c>
      <c r="D12164" s="186">
        <f>IFERROR(__xludf.DUMMYFUNCTION("""COMPUTED_VALUE"""),1.0)</f>
        <v>1</v>
      </c>
    </row>
    <row r="12165">
      <c r="A12165" s="178" t="str">
        <f>IFERROR(__xludf.DUMMYFUNCTION("""COMPUTED_VALUE"""),"ITBISA-VYBA-SENTER-KUNING-FT300")</f>
        <v>ITBISA-VYBA-SENTER-KUNING-FT300</v>
      </c>
      <c r="B12165" s="266">
        <f>IFERROR(__xludf.DUMMYFUNCTION("""COMPUTED_VALUE"""),44910.0)</f>
        <v>44910</v>
      </c>
      <c r="C12165" s="266" t="str">
        <f>IFERROR(__xludf.DUMMYFUNCTION("""COMPUTED_VALUE"""),"KYAI KONTONG")</f>
        <v>KYAI KONTONG</v>
      </c>
      <c r="D12165" s="186">
        <f>IFERROR(__xludf.DUMMYFUNCTION("""COMPUTED_VALUE"""),2.0)</f>
        <v>2</v>
      </c>
    </row>
    <row r="12166">
      <c r="A12166" s="178" t="str">
        <f>IFERROR(__xludf.DUMMYFUNCTION("""COMPUTED_VALUE"""),"ITBISA-VYBA-SENTER-KUNING-FT300")</f>
        <v>ITBISA-VYBA-SENTER-KUNING-FT300</v>
      </c>
      <c r="B12166" s="266">
        <f>IFERROR(__xludf.DUMMYFUNCTION("""COMPUTED_VALUE"""),44912.0)</f>
        <v>44912</v>
      </c>
      <c r="C12166" s="266" t="str">
        <f>IFERROR(__xludf.DUMMYFUNCTION("""COMPUTED_VALUE"""),"KYAI KONTONG")</f>
        <v>KYAI KONTONG</v>
      </c>
      <c r="D12166" s="186">
        <f>IFERROR(__xludf.DUMMYFUNCTION("""COMPUTED_VALUE"""),1.0)</f>
        <v>1</v>
      </c>
    </row>
    <row r="12167">
      <c r="A12167" s="178" t="str">
        <f>IFERROR(__xludf.DUMMYFUNCTION("""COMPUTED_VALUE"""),"ITBISA-VYBA-SENTER-KUNING-FT300")</f>
        <v>ITBISA-VYBA-SENTER-KUNING-FT300</v>
      </c>
      <c r="B12167" s="266">
        <f>IFERROR(__xludf.DUMMYFUNCTION("""COMPUTED_VALUE"""),44916.0)</f>
        <v>44916</v>
      </c>
      <c r="C12167" s="266" t="str">
        <f>IFERROR(__xludf.DUMMYFUNCTION("""COMPUTED_VALUE"""),"KYAI KONTONG")</f>
        <v>KYAI KONTONG</v>
      </c>
      <c r="D12167" s="186">
        <f>IFERROR(__xludf.DUMMYFUNCTION("""COMPUTED_VALUE"""),1.0)</f>
        <v>1</v>
      </c>
    </row>
    <row r="12168">
      <c r="A12168" s="178" t="str">
        <f>IFERROR(__xludf.DUMMYFUNCTION("""COMPUTED_VALUE"""),"ITBISA-VYBA-SENTER-KUNING-FT300")</f>
        <v>ITBISA-VYBA-SENTER-KUNING-FT300</v>
      </c>
      <c r="B12168" s="266">
        <f>IFERROR(__xludf.DUMMYFUNCTION("""COMPUTED_VALUE"""),44917.0)</f>
        <v>44917</v>
      </c>
      <c r="C12168" s="266" t="str">
        <f>IFERROR(__xludf.DUMMYFUNCTION("""COMPUTED_VALUE"""),"KYAI KONTONG")</f>
        <v>KYAI KONTONG</v>
      </c>
      <c r="D12168" s="186">
        <f>IFERROR(__xludf.DUMMYFUNCTION("""COMPUTED_VALUE"""),1.0)</f>
        <v>1</v>
      </c>
    </row>
    <row r="12169">
      <c r="A12169" s="178" t="str">
        <f>IFERROR(__xludf.DUMMYFUNCTION("""COMPUTED_VALUE"""),"ITBISA-VYBA-SENTER-KUNING-FT300")</f>
        <v>ITBISA-VYBA-SENTER-KUNING-FT300</v>
      </c>
      <c r="B12169" s="266">
        <f>IFERROR(__xludf.DUMMYFUNCTION("""COMPUTED_VALUE"""),44917.0)</f>
        <v>44917</v>
      </c>
      <c r="C12169" s="266" t="str">
        <f>IFERROR(__xludf.DUMMYFUNCTION("""COMPUTED_VALUE"""),"KYAI KONTONG")</f>
        <v>KYAI KONTONG</v>
      </c>
      <c r="D12169" s="186">
        <f>IFERROR(__xludf.DUMMYFUNCTION("""COMPUTED_VALUE"""),1.0)</f>
        <v>1</v>
      </c>
    </row>
    <row r="12170">
      <c r="A12170" s="178" t="str">
        <f>IFERROR(__xludf.DUMMYFUNCTION("""COMPUTED_VALUE"""),"ITBISA-VYBA-SENTER-KUNING-FT300")</f>
        <v>ITBISA-VYBA-SENTER-KUNING-FT300</v>
      </c>
      <c r="B12170" s="266">
        <f>IFERROR(__xludf.DUMMYFUNCTION("""COMPUTED_VALUE"""),44918.0)</f>
        <v>44918</v>
      </c>
      <c r="C12170" s="266" t="str">
        <f>IFERROR(__xludf.DUMMYFUNCTION("""COMPUTED_VALUE"""),"KYAI KONTONG")</f>
        <v>KYAI KONTONG</v>
      </c>
      <c r="D12170" s="186">
        <f>IFERROR(__xludf.DUMMYFUNCTION("""COMPUTED_VALUE"""),1.0)</f>
        <v>1</v>
      </c>
    </row>
    <row r="12171">
      <c r="A12171" s="178" t="str">
        <f>IFERROR(__xludf.DUMMYFUNCTION("""COMPUTED_VALUE"""),"ITBISA-VYBA-SENTER-KUNING-FT300")</f>
        <v>ITBISA-VYBA-SENTER-KUNING-FT300</v>
      </c>
      <c r="B12171" s="266">
        <f>IFERROR(__xludf.DUMMYFUNCTION("""COMPUTED_VALUE"""),44919.0)</f>
        <v>44919</v>
      </c>
      <c r="C12171" s="266" t="str">
        <f>IFERROR(__xludf.DUMMYFUNCTION("""COMPUTED_VALUE"""),"KYAI KONTONG")</f>
        <v>KYAI KONTONG</v>
      </c>
      <c r="D12171" s="186">
        <f>IFERROR(__xludf.DUMMYFUNCTION("""COMPUTED_VALUE"""),2.0)</f>
        <v>2</v>
      </c>
    </row>
    <row r="12172">
      <c r="A12172" s="178" t="str">
        <f>IFERROR(__xludf.DUMMYFUNCTION("""COMPUTED_VALUE"""),"ITBISA-VYBA-SENTER-KUNING-FT300")</f>
        <v>ITBISA-VYBA-SENTER-KUNING-FT300</v>
      </c>
      <c r="B12172" s="266">
        <f>IFERROR(__xludf.DUMMYFUNCTION("""COMPUTED_VALUE"""),44923.0)</f>
        <v>44923</v>
      </c>
      <c r="C12172" s="266" t="str">
        <f>IFERROR(__xludf.DUMMYFUNCTION("""COMPUTED_VALUE"""),"KYAI KONTONG")</f>
        <v>KYAI KONTONG</v>
      </c>
      <c r="D12172" s="186">
        <f>IFERROR(__xludf.DUMMYFUNCTION("""COMPUTED_VALUE"""),1.0)</f>
        <v>1</v>
      </c>
    </row>
    <row r="12173">
      <c r="A12173" s="178" t="str">
        <f>IFERROR(__xludf.DUMMYFUNCTION("""COMPUTED_VALUE"""),"ITBISA-VYBA-SENTER-KUNING-FT300")</f>
        <v>ITBISA-VYBA-SENTER-KUNING-FT300</v>
      </c>
      <c r="B12173" s="266">
        <f>IFERROR(__xludf.DUMMYFUNCTION("""COMPUTED_VALUE"""),44927.0)</f>
        <v>44927</v>
      </c>
      <c r="C12173" s="266" t="str">
        <f>IFERROR(__xludf.DUMMYFUNCTION("""COMPUTED_VALUE"""),"KYAI KONTONG")</f>
        <v>KYAI KONTONG</v>
      </c>
      <c r="D12173" s="186">
        <f>IFERROR(__xludf.DUMMYFUNCTION("""COMPUTED_VALUE"""),1.0)</f>
        <v>1</v>
      </c>
    </row>
    <row r="12174">
      <c r="A12174" s="178" t="str">
        <f>IFERROR(__xludf.DUMMYFUNCTION("""COMPUTED_VALUE"""),"ITBISA-VYBA-SENTER-KUNING-FT300")</f>
        <v>ITBISA-VYBA-SENTER-KUNING-FT300</v>
      </c>
      <c r="B12174" s="266">
        <f>IFERROR(__xludf.DUMMYFUNCTION("""COMPUTED_VALUE"""),44927.0)</f>
        <v>44927</v>
      </c>
      <c r="C12174" s="266" t="str">
        <f>IFERROR(__xludf.DUMMYFUNCTION("""COMPUTED_VALUE"""),"KYAI KONTONG")</f>
        <v>KYAI KONTONG</v>
      </c>
      <c r="D12174" s="186">
        <f>IFERROR(__xludf.DUMMYFUNCTION("""COMPUTED_VALUE"""),1.0)</f>
        <v>1</v>
      </c>
    </row>
    <row r="12175">
      <c r="A12175" s="178" t="str">
        <f>IFERROR(__xludf.DUMMYFUNCTION("""COMPUTED_VALUE"""),"ITBISA-VYBA-SENTER-KUNING-FT300")</f>
        <v>ITBISA-VYBA-SENTER-KUNING-FT300</v>
      </c>
      <c r="B12175" s="266">
        <f>IFERROR(__xludf.DUMMYFUNCTION("""COMPUTED_VALUE"""),44927.0)</f>
        <v>44927</v>
      </c>
      <c r="C12175" s="266" t="str">
        <f>IFERROR(__xludf.DUMMYFUNCTION("""COMPUTED_VALUE"""),"KYAI KONTONG")</f>
        <v>KYAI KONTONG</v>
      </c>
      <c r="D12175" s="186">
        <f>IFERROR(__xludf.DUMMYFUNCTION("""COMPUTED_VALUE"""),1.0)</f>
        <v>1</v>
      </c>
    </row>
    <row r="12176">
      <c r="A12176" s="178" t="str">
        <f>IFERROR(__xludf.DUMMYFUNCTION("""COMPUTED_VALUE"""),"ITBISA-VYBA-SENTER-KUNING-FT300")</f>
        <v>ITBISA-VYBA-SENTER-KUNING-FT300</v>
      </c>
      <c r="B12176" s="266">
        <f>IFERROR(__xludf.DUMMYFUNCTION("""COMPUTED_VALUE"""),44927.0)</f>
        <v>44927</v>
      </c>
      <c r="C12176" s="266" t="str">
        <f>IFERROR(__xludf.DUMMYFUNCTION("""COMPUTED_VALUE"""),"KYAI KONTONG")</f>
        <v>KYAI KONTONG</v>
      </c>
      <c r="D12176" s="186">
        <f>IFERROR(__xludf.DUMMYFUNCTION("""COMPUTED_VALUE"""),1.0)</f>
        <v>1</v>
      </c>
    </row>
    <row r="12177">
      <c r="A12177" s="178" t="str">
        <f>IFERROR(__xludf.DUMMYFUNCTION("""COMPUTED_VALUE"""),"ITBISA-VYBA-SENTER-KUNING-FT300")</f>
        <v>ITBISA-VYBA-SENTER-KUNING-FT300</v>
      </c>
      <c r="B12177" s="266">
        <f>IFERROR(__xludf.DUMMYFUNCTION("""COMPUTED_VALUE"""),44929.0)</f>
        <v>44929</v>
      </c>
      <c r="C12177" s="266" t="str">
        <f>IFERROR(__xludf.DUMMYFUNCTION("""COMPUTED_VALUE"""),"KYAI KONTONG")</f>
        <v>KYAI KONTONG</v>
      </c>
      <c r="D12177" s="186">
        <f>IFERROR(__xludf.DUMMYFUNCTION("""COMPUTED_VALUE"""),1.0)</f>
        <v>1</v>
      </c>
    </row>
    <row r="12178">
      <c r="A12178" s="178" t="str">
        <f>IFERROR(__xludf.DUMMYFUNCTION("""COMPUTED_VALUE"""),"ITBISA-VYBA-SENTER-KUNING-FT300")</f>
        <v>ITBISA-VYBA-SENTER-KUNING-FT300</v>
      </c>
      <c r="B12178" s="266">
        <f>IFERROR(__xludf.DUMMYFUNCTION("""COMPUTED_VALUE"""),44932.0)</f>
        <v>44932</v>
      </c>
      <c r="C12178" s="266" t="str">
        <f>IFERROR(__xludf.DUMMYFUNCTION("""COMPUTED_VALUE"""),"KYAI KONTONG")</f>
        <v>KYAI KONTONG</v>
      </c>
      <c r="D12178" s="186">
        <f>IFERROR(__xludf.DUMMYFUNCTION("""COMPUTED_VALUE"""),3.0)</f>
        <v>3</v>
      </c>
    </row>
    <row r="12179">
      <c r="A12179" s="178" t="str">
        <f>IFERROR(__xludf.DUMMYFUNCTION("""COMPUTED_VALUE"""),"ITBISA-VYBA-SENTER-KUNING-FT300")</f>
        <v>ITBISA-VYBA-SENTER-KUNING-FT300</v>
      </c>
      <c r="B12179" s="266">
        <f>IFERROR(__xludf.DUMMYFUNCTION("""COMPUTED_VALUE"""),44938.0)</f>
        <v>44938</v>
      </c>
      <c r="C12179" s="266" t="str">
        <f>IFERROR(__xludf.DUMMYFUNCTION("""COMPUTED_VALUE"""),"KYAI KONTONG")</f>
        <v>KYAI KONTONG</v>
      </c>
      <c r="D12179" s="186">
        <f>IFERROR(__xludf.DUMMYFUNCTION("""COMPUTED_VALUE"""),1.0)</f>
        <v>1</v>
      </c>
    </row>
    <row r="12180">
      <c r="A12180" s="178" t="str">
        <f>IFERROR(__xludf.DUMMYFUNCTION("""COMPUTED_VALUE"""),"ITBISA-VYBA-SENTER-KUNING-FT300")</f>
        <v>ITBISA-VYBA-SENTER-KUNING-FT300</v>
      </c>
      <c r="B12180" s="266">
        <f>IFERROR(__xludf.DUMMYFUNCTION("""COMPUTED_VALUE"""),44941.0)</f>
        <v>44941</v>
      </c>
      <c r="C12180" s="266" t="str">
        <f>IFERROR(__xludf.DUMMYFUNCTION("""COMPUTED_VALUE"""),"KYAI KONTONG")</f>
        <v>KYAI KONTONG</v>
      </c>
      <c r="D12180" s="186">
        <f>IFERROR(__xludf.DUMMYFUNCTION("""COMPUTED_VALUE"""),1.0)</f>
        <v>1</v>
      </c>
    </row>
    <row r="12181">
      <c r="A12181" s="178" t="str">
        <f>IFERROR(__xludf.DUMMYFUNCTION("""COMPUTED_VALUE"""),"ITBISA-VYBA-SENTER-KUNING-FT300")</f>
        <v>ITBISA-VYBA-SENTER-KUNING-FT300</v>
      </c>
      <c r="B12181" s="266">
        <f>IFERROR(__xludf.DUMMYFUNCTION("""COMPUTED_VALUE"""),44942.0)</f>
        <v>44942</v>
      </c>
      <c r="C12181" s="266" t="str">
        <f>IFERROR(__xludf.DUMMYFUNCTION("""COMPUTED_VALUE"""),"KYAI KONTONG")</f>
        <v>KYAI KONTONG</v>
      </c>
      <c r="D12181" s="186">
        <f>IFERROR(__xludf.DUMMYFUNCTION("""COMPUTED_VALUE"""),1.0)</f>
        <v>1</v>
      </c>
    </row>
    <row r="12182">
      <c r="A12182" s="178" t="str">
        <f>IFERROR(__xludf.DUMMYFUNCTION("""COMPUTED_VALUE"""),"ITBISA-VYBA-SENTER-KUNING-FT300")</f>
        <v>ITBISA-VYBA-SENTER-KUNING-FT300</v>
      </c>
      <c r="B12182" s="266">
        <f>IFERROR(__xludf.DUMMYFUNCTION("""COMPUTED_VALUE"""),44943.0)</f>
        <v>44943</v>
      </c>
      <c r="C12182" s="266" t="str">
        <f>IFERROR(__xludf.DUMMYFUNCTION("""COMPUTED_VALUE"""),"KYAI KONTONG")</f>
        <v>KYAI KONTONG</v>
      </c>
      <c r="D12182" s="186">
        <f>IFERROR(__xludf.DUMMYFUNCTION("""COMPUTED_VALUE"""),1.0)</f>
        <v>1</v>
      </c>
    </row>
    <row r="12183">
      <c r="A12183" s="178" t="str">
        <f>IFERROR(__xludf.DUMMYFUNCTION("""COMPUTED_VALUE"""),"ITBISA-VYBA-SENTER-KUNING-FT300")</f>
        <v>ITBISA-VYBA-SENTER-KUNING-FT300</v>
      </c>
      <c r="B12183" s="266">
        <f>IFERROR(__xludf.DUMMYFUNCTION("""COMPUTED_VALUE"""),44947.0)</f>
        <v>44947</v>
      </c>
      <c r="C12183" s="266" t="str">
        <f>IFERROR(__xludf.DUMMYFUNCTION("""COMPUTED_VALUE"""),"KYAI KONTONG")</f>
        <v>KYAI KONTONG</v>
      </c>
      <c r="D12183" s="186">
        <f>IFERROR(__xludf.DUMMYFUNCTION("""COMPUTED_VALUE"""),1.0)</f>
        <v>1</v>
      </c>
    </row>
    <row r="12184">
      <c r="A12184" s="178" t="str">
        <f>IFERROR(__xludf.DUMMYFUNCTION("""COMPUTED_VALUE"""),"ITBISA-VYBA-SENTER-KUNING-FT300")</f>
        <v>ITBISA-VYBA-SENTER-KUNING-FT300</v>
      </c>
      <c r="B12184" s="266">
        <f>IFERROR(__xludf.DUMMYFUNCTION("""COMPUTED_VALUE"""),44951.0)</f>
        <v>44951</v>
      </c>
      <c r="C12184" s="266" t="str">
        <f>IFERROR(__xludf.DUMMYFUNCTION("""COMPUTED_VALUE"""),"KYAI KONTONG")</f>
        <v>KYAI KONTONG</v>
      </c>
      <c r="D12184" s="186">
        <f>IFERROR(__xludf.DUMMYFUNCTION("""COMPUTED_VALUE"""),1.0)</f>
        <v>1</v>
      </c>
    </row>
    <row r="12185">
      <c r="A12185" s="178" t="str">
        <f>IFERROR(__xludf.DUMMYFUNCTION("""COMPUTED_VALUE"""),"ITBISA-VYBA-SENTER-KUNING-FT300")</f>
        <v>ITBISA-VYBA-SENTER-KUNING-FT300</v>
      </c>
      <c r="B12185" s="266">
        <f>IFERROR(__xludf.DUMMYFUNCTION("""COMPUTED_VALUE"""),44951.0)</f>
        <v>44951</v>
      </c>
      <c r="C12185" s="266" t="str">
        <f>IFERROR(__xludf.DUMMYFUNCTION("""COMPUTED_VALUE"""),"KYAI KONTONG")</f>
        <v>KYAI KONTONG</v>
      </c>
      <c r="D12185" s="186">
        <f>IFERROR(__xludf.DUMMYFUNCTION("""COMPUTED_VALUE"""),3.0)</f>
        <v>3</v>
      </c>
    </row>
    <row r="12186">
      <c r="A12186" s="178" t="str">
        <f>IFERROR(__xludf.DUMMYFUNCTION("""COMPUTED_VALUE"""),"ITBISA-VYBA-SENTER-KUNING-FT300")</f>
        <v>ITBISA-VYBA-SENTER-KUNING-FT300</v>
      </c>
      <c r="B12186" s="266">
        <f>IFERROR(__xludf.DUMMYFUNCTION("""COMPUTED_VALUE"""),44952.0)</f>
        <v>44952</v>
      </c>
      <c r="C12186" s="266" t="str">
        <f>IFERROR(__xludf.DUMMYFUNCTION("""COMPUTED_VALUE"""),"KYAI KONTONG")</f>
        <v>KYAI KONTONG</v>
      </c>
      <c r="D12186" s="186">
        <f>IFERROR(__xludf.DUMMYFUNCTION("""COMPUTED_VALUE"""),3.0)</f>
        <v>3</v>
      </c>
    </row>
    <row r="12187">
      <c r="A12187" s="178" t="str">
        <f>IFERROR(__xludf.DUMMYFUNCTION("""COMPUTED_VALUE"""),"ITBISA-VYBA-SENTER-KUNING-FT300")</f>
        <v>ITBISA-VYBA-SENTER-KUNING-FT300</v>
      </c>
      <c r="B12187" s="266">
        <f>IFERROR(__xludf.DUMMYFUNCTION("""COMPUTED_VALUE"""),44954.0)</f>
        <v>44954</v>
      </c>
      <c r="C12187" s="266" t="str">
        <f>IFERROR(__xludf.DUMMYFUNCTION("""COMPUTED_VALUE"""),"KYAI KONTONG")</f>
        <v>KYAI KONTONG</v>
      </c>
      <c r="D12187" s="186">
        <f>IFERROR(__xludf.DUMMYFUNCTION("""COMPUTED_VALUE"""),1.0)</f>
        <v>1</v>
      </c>
    </row>
    <row r="12188">
      <c r="A12188" s="178" t="str">
        <f>IFERROR(__xludf.DUMMYFUNCTION("""COMPUTED_VALUE"""),"ITBISA-VYBA-SENTER-KUNING-FT300")</f>
        <v>ITBISA-VYBA-SENTER-KUNING-FT300</v>
      </c>
      <c r="B12188" s="266">
        <f>IFERROR(__xludf.DUMMYFUNCTION("""COMPUTED_VALUE"""),44956.0)</f>
        <v>44956</v>
      </c>
      <c r="C12188" s="266" t="str">
        <f>IFERROR(__xludf.DUMMYFUNCTION("""COMPUTED_VALUE"""),"KYAI KONTONG")</f>
        <v>KYAI KONTONG</v>
      </c>
      <c r="D12188" s="186">
        <f>IFERROR(__xludf.DUMMYFUNCTION("""COMPUTED_VALUE"""),1.0)</f>
        <v>1</v>
      </c>
    </row>
    <row r="12189">
      <c r="A12189" s="178" t="str">
        <f>IFERROR(__xludf.DUMMYFUNCTION("""COMPUTED_VALUE"""),"ITBISA-VYBA-SENTER-KUNING-FT300")</f>
        <v>ITBISA-VYBA-SENTER-KUNING-FT300</v>
      </c>
      <c r="B12189" s="266">
        <f>IFERROR(__xludf.DUMMYFUNCTION("""COMPUTED_VALUE"""),44957.0)</f>
        <v>44957</v>
      </c>
      <c r="C12189" s="266" t="str">
        <f>IFERROR(__xludf.DUMMYFUNCTION("""COMPUTED_VALUE"""),"KYAI KONTONG")</f>
        <v>KYAI KONTONG</v>
      </c>
      <c r="D12189" s="186">
        <f>IFERROR(__xludf.DUMMYFUNCTION("""COMPUTED_VALUE"""),1.0)</f>
        <v>1</v>
      </c>
    </row>
    <row r="12190">
      <c r="A12190" s="178" t="str">
        <f>IFERROR(__xludf.DUMMYFUNCTION("""COMPUTED_VALUE"""),"ITBISA-VYBA-SENTER-KUNING-FT300")</f>
        <v>ITBISA-VYBA-SENTER-KUNING-FT300</v>
      </c>
      <c r="B12190" s="266">
        <f>IFERROR(__xludf.DUMMYFUNCTION("""COMPUTED_VALUE"""),44957.0)</f>
        <v>44957</v>
      </c>
      <c r="C12190" s="266" t="str">
        <f>IFERROR(__xludf.DUMMYFUNCTION("""COMPUTED_VALUE"""),"KYAI KONTONG")</f>
        <v>KYAI KONTONG</v>
      </c>
      <c r="D12190" s="186">
        <f>IFERROR(__xludf.DUMMYFUNCTION("""COMPUTED_VALUE"""),10.0)</f>
        <v>10</v>
      </c>
    </row>
    <row r="12191">
      <c r="A12191" s="178" t="str">
        <f>IFERROR(__xludf.DUMMYFUNCTION("""COMPUTED_VALUE"""),"ITBISA-VYBA-SENTER-KUNING-FT300")</f>
        <v>ITBISA-VYBA-SENTER-KUNING-FT300</v>
      </c>
      <c r="B12191" s="266">
        <f>IFERROR(__xludf.DUMMYFUNCTION("""COMPUTED_VALUE"""),44958.0)</f>
        <v>44958</v>
      </c>
      <c r="C12191" s="266" t="str">
        <f>IFERROR(__xludf.DUMMYFUNCTION("""COMPUTED_VALUE"""),"KYAI KONTONG")</f>
        <v>KYAI KONTONG</v>
      </c>
      <c r="D12191" s="186">
        <f>IFERROR(__xludf.DUMMYFUNCTION("""COMPUTED_VALUE"""),1.0)</f>
        <v>1</v>
      </c>
    </row>
    <row r="12192">
      <c r="A12192" s="178" t="str">
        <f>IFERROR(__xludf.DUMMYFUNCTION("""COMPUTED_VALUE"""),"ITBISA-VYBA-SENTER-KUNING-FT300")</f>
        <v>ITBISA-VYBA-SENTER-KUNING-FT300</v>
      </c>
      <c r="B12192" s="266">
        <f>IFERROR(__xludf.DUMMYFUNCTION("""COMPUTED_VALUE"""),44958.0)</f>
        <v>44958</v>
      </c>
      <c r="C12192" s="266" t="str">
        <f>IFERROR(__xludf.DUMMYFUNCTION("""COMPUTED_VALUE"""),"KYAI KONTONG")</f>
        <v>KYAI KONTONG</v>
      </c>
      <c r="D12192" s="186">
        <f>IFERROR(__xludf.DUMMYFUNCTION("""COMPUTED_VALUE"""),1.0)</f>
        <v>1</v>
      </c>
    </row>
    <row r="12193">
      <c r="A12193" s="178" t="str">
        <f>IFERROR(__xludf.DUMMYFUNCTION("""COMPUTED_VALUE"""),"ITBISA-VYBA-SENTER-KUNING-FT300")</f>
        <v>ITBISA-VYBA-SENTER-KUNING-FT300</v>
      </c>
      <c r="B12193" s="266">
        <f>IFERROR(__xludf.DUMMYFUNCTION("""COMPUTED_VALUE"""),44959.0)</f>
        <v>44959</v>
      </c>
      <c r="C12193" s="266" t="str">
        <f>IFERROR(__xludf.DUMMYFUNCTION("""COMPUTED_VALUE"""),"KYAI KONTONG")</f>
        <v>KYAI KONTONG</v>
      </c>
      <c r="D12193" s="186">
        <f>IFERROR(__xludf.DUMMYFUNCTION("""COMPUTED_VALUE"""),1.0)</f>
        <v>1</v>
      </c>
    </row>
    <row r="12194">
      <c r="A12194" s="178" t="str">
        <f>IFERROR(__xludf.DUMMYFUNCTION("""COMPUTED_VALUE"""),"ITBISA-VYBA-SENTER-KUNING-FT300")</f>
        <v>ITBISA-VYBA-SENTER-KUNING-FT300</v>
      </c>
      <c r="B12194" s="266">
        <f>IFERROR(__xludf.DUMMYFUNCTION("""COMPUTED_VALUE"""),44964.0)</f>
        <v>44964</v>
      </c>
      <c r="C12194" s="266" t="str">
        <f>IFERROR(__xludf.DUMMYFUNCTION("""COMPUTED_VALUE"""),"KYAI KONTONG")</f>
        <v>KYAI KONTONG</v>
      </c>
      <c r="D12194" s="186">
        <f>IFERROR(__xludf.DUMMYFUNCTION("""COMPUTED_VALUE"""),2.0)</f>
        <v>2</v>
      </c>
    </row>
    <row r="12195">
      <c r="A12195" s="178" t="str">
        <f>IFERROR(__xludf.DUMMYFUNCTION("""COMPUTED_VALUE"""),"ITBISA-VYBA-SENTER-KUNING-FT300")</f>
        <v>ITBISA-VYBA-SENTER-KUNING-FT300</v>
      </c>
      <c r="B12195" s="266">
        <f>IFERROR(__xludf.DUMMYFUNCTION("""COMPUTED_VALUE"""),44972.0)</f>
        <v>44972</v>
      </c>
      <c r="C12195" s="266" t="str">
        <f>IFERROR(__xludf.DUMMYFUNCTION("""COMPUTED_VALUE"""),"KYAI KONTONG")</f>
        <v>KYAI KONTONG</v>
      </c>
      <c r="D12195" s="186">
        <f>IFERROR(__xludf.DUMMYFUNCTION("""COMPUTED_VALUE"""),1.0)</f>
        <v>1</v>
      </c>
    </row>
    <row r="12196">
      <c r="A12196" s="178" t="str">
        <f>IFERROR(__xludf.DUMMYFUNCTION("""COMPUTED_VALUE"""),"ITBISA-VYBA-SENTER-KUNING-FT300")</f>
        <v>ITBISA-VYBA-SENTER-KUNING-FT300</v>
      </c>
      <c r="B12196" s="266">
        <f>IFERROR(__xludf.DUMMYFUNCTION("""COMPUTED_VALUE"""),44972.0)</f>
        <v>44972</v>
      </c>
      <c r="C12196" s="266" t="str">
        <f>IFERROR(__xludf.DUMMYFUNCTION("""COMPUTED_VALUE"""),"KYAI KONTONG")</f>
        <v>KYAI KONTONG</v>
      </c>
      <c r="D12196" s="186">
        <f>IFERROR(__xludf.DUMMYFUNCTION("""COMPUTED_VALUE"""),1.0)</f>
        <v>1</v>
      </c>
    </row>
    <row r="12197">
      <c r="A12197" s="178" t="str">
        <f>IFERROR(__xludf.DUMMYFUNCTION("""COMPUTED_VALUE"""),"ITBISA-VYBA-SENTER-KUNING-FT300")</f>
        <v>ITBISA-VYBA-SENTER-KUNING-FT300</v>
      </c>
      <c r="B12197" s="266">
        <f>IFERROR(__xludf.DUMMYFUNCTION("""COMPUTED_VALUE"""),44979.0)</f>
        <v>44979</v>
      </c>
      <c r="C12197" s="266" t="str">
        <f>IFERROR(__xludf.DUMMYFUNCTION("""COMPUTED_VALUE"""),"KYAI KONTONG")</f>
        <v>KYAI KONTONG</v>
      </c>
      <c r="D12197" s="186">
        <f>IFERROR(__xludf.DUMMYFUNCTION("""COMPUTED_VALUE"""),1.0)</f>
        <v>1</v>
      </c>
    </row>
    <row r="12198">
      <c r="A12198" s="178" t="str">
        <f>IFERROR(__xludf.DUMMYFUNCTION("""COMPUTED_VALUE"""),"ITBISA-VYBA-SENTER-KUNING-FT300")</f>
        <v>ITBISA-VYBA-SENTER-KUNING-FT300</v>
      </c>
      <c r="B12198" s="266">
        <f>IFERROR(__xludf.DUMMYFUNCTION("""COMPUTED_VALUE"""),44979.0)</f>
        <v>44979</v>
      </c>
      <c r="C12198" s="266" t="str">
        <f>IFERROR(__xludf.DUMMYFUNCTION("""COMPUTED_VALUE"""),"KYAI KONTONG")</f>
        <v>KYAI KONTONG</v>
      </c>
      <c r="D12198" s="186">
        <f>IFERROR(__xludf.DUMMYFUNCTION("""COMPUTED_VALUE"""),4.0)</f>
        <v>4</v>
      </c>
    </row>
    <row r="12199">
      <c r="A12199" s="178" t="str">
        <f>IFERROR(__xludf.DUMMYFUNCTION("""COMPUTED_VALUE"""),"ITBISA-VYBA-SENTER-KUNING-FT300")</f>
        <v>ITBISA-VYBA-SENTER-KUNING-FT300</v>
      </c>
      <c r="B12199" s="266">
        <f>IFERROR(__xludf.DUMMYFUNCTION("""COMPUTED_VALUE"""),44980.0)</f>
        <v>44980</v>
      </c>
      <c r="C12199" s="266" t="str">
        <f>IFERROR(__xludf.DUMMYFUNCTION("""COMPUTED_VALUE"""),"KYAI KONTONG")</f>
        <v>KYAI KONTONG</v>
      </c>
      <c r="D12199" s="186">
        <f>IFERROR(__xludf.DUMMYFUNCTION("""COMPUTED_VALUE"""),1.0)</f>
        <v>1</v>
      </c>
    </row>
    <row r="12200">
      <c r="A12200" s="178" t="str">
        <f>IFERROR(__xludf.DUMMYFUNCTION("""COMPUTED_VALUE"""),"ITBISA-VYBA-SENTER-KUNING-FT300")</f>
        <v>ITBISA-VYBA-SENTER-KUNING-FT300</v>
      </c>
      <c r="B12200" s="266">
        <f>IFERROR(__xludf.DUMMYFUNCTION("""COMPUTED_VALUE"""),44981.0)</f>
        <v>44981</v>
      </c>
      <c r="C12200" s="266" t="str">
        <f>IFERROR(__xludf.DUMMYFUNCTION("""COMPUTED_VALUE"""),"KYAI KONTONG")</f>
        <v>KYAI KONTONG</v>
      </c>
      <c r="D12200" s="186">
        <f>IFERROR(__xludf.DUMMYFUNCTION("""COMPUTED_VALUE"""),1.0)</f>
        <v>1</v>
      </c>
    </row>
    <row r="12201">
      <c r="A12201" s="178" t="str">
        <f>IFERROR(__xludf.DUMMYFUNCTION("""COMPUTED_VALUE"""),"ITBISA-VYBA-SENTER-KUNING-FT300")</f>
        <v>ITBISA-VYBA-SENTER-KUNING-FT300</v>
      </c>
      <c r="B12201" s="266">
        <f>IFERROR(__xludf.DUMMYFUNCTION("""COMPUTED_VALUE"""),44982.0)</f>
        <v>44982</v>
      </c>
      <c r="C12201" s="266" t="str">
        <f>IFERROR(__xludf.DUMMYFUNCTION("""COMPUTED_VALUE"""),"KYAI KONTONG")</f>
        <v>KYAI KONTONG</v>
      </c>
      <c r="D12201" s="186">
        <f>IFERROR(__xludf.DUMMYFUNCTION("""COMPUTED_VALUE"""),2.0)</f>
        <v>2</v>
      </c>
    </row>
    <row r="12202">
      <c r="A12202" s="178" t="str">
        <f>IFERROR(__xludf.DUMMYFUNCTION("""COMPUTED_VALUE"""),"ITBISA-VYBA-SENTER-KUNING-FT300")</f>
        <v>ITBISA-VYBA-SENTER-KUNING-FT300</v>
      </c>
      <c r="B12202" s="266">
        <f>IFERROR(__xludf.DUMMYFUNCTION("""COMPUTED_VALUE"""),44985.0)</f>
        <v>44985</v>
      </c>
      <c r="C12202" s="266" t="str">
        <f>IFERROR(__xludf.DUMMYFUNCTION("""COMPUTED_VALUE"""),"KYAI KONTONG")</f>
        <v>KYAI KONTONG</v>
      </c>
      <c r="D12202" s="186">
        <f>IFERROR(__xludf.DUMMYFUNCTION("""COMPUTED_VALUE"""),1.0)</f>
        <v>1</v>
      </c>
    </row>
    <row r="12203">
      <c r="A12203" s="178" t="str">
        <f>IFERROR(__xludf.DUMMYFUNCTION("""COMPUTED_VALUE"""),"ITBISA-VYBA-SENTER-KUNING-FT300")</f>
        <v>ITBISA-VYBA-SENTER-KUNING-FT300</v>
      </c>
      <c r="B12203" s="266">
        <f>IFERROR(__xludf.DUMMYFUNCTION("""COMPUTED_VALUE"""),44986.0)</f>
        <v>44986</v>
      </c>
      <c r="C12203" s="266" t="str">
        <f>IFERROR(__xludf.DUMMYFUNCTION("""COMPUTED_VALUE"""),"KYAI KONTONG")</f>
        <v>KYAI KONTONG</v>
      </c>
      <c r="D12203" s="186">
        <f>IFERROR(__xludf.DUMMYFUNCTION("""COMPUTED_VALUE"""),1.0)</f>
        <v>1</v>
      </c>
    </row>
    <row r="12204">
      <c r="A12204" s="178" t="str">
        <f>IFERROR(__xludf.DUMMYFUNCTION("""COMPUTED_VALUE"""),"ITBISA-VYBA-SENTER-KUNING-FT300")</f>
        <v>ITBISA-VYBA-SENTER-KUNING-FT300</v>
      </c>
      <c r="B12204" s="266">
        <f>IFERROR(__xludf.DUMMYFUNCTION("""COMPUTED_VALUE"""),44986.0)</f>
        <v>44986</v>
      </c>
      <c r="C12204" s="266" t="str">
        <f>IFERROR(__xludf.DUMMYFUNCTION("""COMPUTED_VALUE"""),"KYAI KONTONG")</f>
        <v>KYAI KONTONG</v>
      </c>
      <c r="D12204" s="186">
        <f>IFERROR(__xludf.DUMMYFUNCTION("""COMPUTED_VALUE"""),2.0)</f>
        <v>2</v>
      </c>
    </row>
    <row r="12205">
      <c r="A12205" s="178" t="str">
        <f>IFERROR(__xludf.DUMMYFUNCTION("""COMPUTED_VALUE"""),"ITBISA-VYBA-SENTER-KUNING-FT300")</f>
        <v>ITBISA-VYBA-SENTER-KUNING-FT300</v>
      </c>
      <c r="B12205" s="266">
        <f>IFERROR(__xludf.DUMMYFUNCTION("""COMPUTED_VALUE"""),44987.0)</f>
        <v>44987</v>
      </c>
      <c r="C12205" s="266" t="str">
        <f>IFERROR(__xludf.DUMMYFUNCTION("""COMPUTED_VALUE"""),"KYAI KONTONG")</f>
        <v>KYAI KONTONG</v>
      </c>
      <c r="D12205" s="186">
        <f>IFERROR(__xludf.DUMMYFUNCTION("""COMPUTED_VALUE"""),2.0)</f>
        <v>2</v>
      </c>
    </row>
    <row r="12206">
      <c r="A12206" s="178" t="str">
        <f>IFERROR(__xludf.DUMMYFUNCTION("""COMPUTED_VALUE"""),"ITBISA-VYBA-SENTER-KUNING-FT300")</f>
        <v>ITBISA-VYBA-SENTER-KUNING-FT300</v>
      </c>
      <c r="B12206" s="266">
        <f>IFERROR(__xludf.DUMMYFUNCTION("""COMPUTED_VALUE"""),44988.0)</f>
        <v>44988</v>
      </c>
      <c r="C12206" s="266" t="str">
        <f>IFERROR(__xludf.DUMMYFUNCTION("""COMPUTED_VALUE"""),"KYAI KONTONG")</f>
        <v>KYAI KONTONG</v>
      </c>
      <c r="D12206" s="186">
        <f>IFERROR(__xludf.DUMMYFUNCTION("""COMPUTED_VALUE"""),1.0)</f>
        <v>1</v>
      </c>
    </row>
    <row r="12207">
      <c r="A12207" s="178" t="str">
        <f>IFERROR(__xludf.DUMMYFUNCTION("""COMPUTED_VALUE"""),"ITBISA-VYBA-SENTER-KUNING-FT300")</f>
        <v>ITBISA-VYBA-SENTER-KUNING-FT300</v>
      </c>
      <c r="B12207" s="266">
        <f>IFERROR(__xludf.DUMMYFUNCTION("""COMPUTED_VALUE"""),45007.0)</f>
        <v>45007</v>
      </c>
      <c r="C12207" s="266" t="str">
        <f>IFERROR(__xludf.DUMMYFUNCTION("""COMPUTED_VALUE"""),"KYAI KONTONG")</f>
        <v>KYAI KONTONG</v>
      </c>
      <c r="D12207" s="186">
        <f>IFERROR(__xludf.DUMMYFUNCTION("""COMPUTED_VALUE"""),3.0)</f>
        <v>3</v>
      </c>
    </row>
    <row r="12208">
      <c r="A12208" s="178" t="str">
        <f>IFERROR(__xludf.DUMMYFUNCTION("""COMPUTED_VALUE"""),"ITBISA-VYBA-SENTER-KUNING-FT300")</f>
        <v>ITBISA-VYBA-SENTER-KUNING-FT300</v>
      </c>
      <c r="B12208" s="266">
        <f>IFERROR(__xludf.DUMMYFUNCTION("""COMPUTED_VALUE"""),45024.0)</f>
        <v>45024</v>
      </c>
      <c r="C12208" s="266" t="str">
        <f>IFERROR(__xludf.DUMMYFUNCTION("""COMPUTED_VALUE"""),"KYAI KONTONG")</f>
        <v>KYAI KONTONG</v>
      </c>
      <c r="D12208" s="186">
        <f>IFERROR(__xludf.DUMMYFUNCTION("""COMPUTED_VALUE"""),2.0)</f>
        <v>2</v>
      </c>
    </row>
    <row r="12209">
      <c r="A12209" s="178" t="str">
        <f>IFERROR(__xludf.DUMMYFUNCTION("""COMPUTED_VALUE"""),"ITBISA-VYBA-SENTER-KUNING-FT300")</f>
        <v>ITBISA-VYBA-SENTER-KUNING-FT300</v>
      </c>
      <c r="B12209" s="266">
        <f>IFERROR(__xludf.DUMMYFUNCTION("""COMPUTED_VALUE"""),45024.0)</f>
        <v>45024</v>
      </c>
      <c r="C12209" s="266" t="str">
        <f>IFERROR(__xludf.DUMMYFUNCTION("""COMPUTED_VALUE"""),"KYAI KONTONG")</f>
        <v>KYAI KONTONG</v>
      </c>
      <c r="D12209" s="186">
        <f>IFERROR(__xludf.DUMMYFUNCTION("""COMPUTED_VALUE"""),2.0)</f>
        <v>2</v>
      </c>
    </row>
    <row r="12210">
      <c r="A12210" s="178" t="str">
        <f>IFERROR(__xludf.DUMMYFUNCTION("""COMPUTED_VALUE"""),"ITBISA-VYBA-SENTER-KUNING-FT300")</f>
        <v>ITBISA-VYBA-SENTER-KUNING-FT300</v>
      </c>
      <c r="B12210" s="266">
        <f>IFERROR(__xludf.DUMMYFUNCTION("""COMPUTED_VALUE"""),45025.0)</f>
        <v>45025</v>
      </c>
      <c r="C12210" s="266" t="str">
        <f>IFERROR(__xludf.DUMMYFUNCTION("""COMPUTED_VALUE"""),"KYAI KONTONG")</f>
        <v>KYAI KONTONG</v>
      </c>
      <c r="D12210" s="186">
        <f>IFERROR(__xludf.DUMMYFUNCTION("""COMPUTED_VALUE"""),1.0)</f>
        <v>1</v>
      </c>
    </row>
    <row r="12211">
      <c r="A12211" s="178" t="str">
        <f>IFERROR(__xludf.DUMMYFUNCTION("""COMPUTED_VALUE"""),"ITBISA-VYBA-SENTER-KUNING-FT300")</f>
        <v>ITBISA-VYBA-SENTER-KUNING-FT300</v>
      </c>
      <c r="B12211" s="266">
        <f>IFERROR(__xludf.DUMMYFUNCTION("""COMPUTED_VALUE"""),45027.0)</f>
        <v>45027</v>
      </c>
      <c r="C12211" s="266" t="str">
        <f>IFERROR(__xludf.DUMMYFUNCTION("""COMPUTED_VALUE"""),"KYAI KONTONG")</f>
        <v>KYAI KONTONG</v>
      </c>
      <c r="D12211" s="186">
        <f>IFERROR(__xludf.DUMMYFUNCTION("""COMPUTED_VALUE"""),1.0)</f>
        <v>1</v>
      </c>
    </row>
    <row r="12212">
      <c r="A12212" s="178" t="str">
        <f>IFERROR(__xludf.DUMMYFUNCTION("""COMPUTED_VALUE"""),"ITBISA-VYBA-SENTER-KUNING-FT300")</f>
        <v>ITBISA-VYBA-SENTER-KUNING-FT300</v>
      </c>
      <c r="B12212" s="266">
        <f>IFERROR(__xludf.DUMMYFUNCTION("""COMPUTED_VALUE"""),45028.0)</f>
        <v>45028</v>
      </c>
      <c r="C12212" s="266" t="str">
        <f>IFERROR(__xludf.DUMMYFUNCTION("""COMPUTED_VALUE"""),"KYAI KONTONG")</f>
        <v>KYAI KONTONG</v>
      </c>
      <c r="D12212" s="186">
        <f>IFERROR(__xludf.DUMMYFUNCTION("""COMPUTED_VALUE"""),1.0)</f>
        <v>1</v>
      </c>
    </row>
    <row r="12213">
      <c r="A12213" s="178" t="str">
        <f>IFERROR(__xludf.DUMMYFUNCTION("""COMPUTED_VALUE"""),"ITBISA-VYBA-SENTER-KUNING-FT300")</f>
        <v>ITBISA-VYBA-SENTER-KUNING-FT300</v>
      </c>
      <c r="B12213" s="266">
        <f>IFERROR(__xludf.DUMMYFUNCTION("""COMPUTED_VALUE"""),45030.0)</f>
        <v>45030</v>
      </c>
      <c r="C12213" s="266" t="str">
        <f>IFERROR(__xludf.DUMMYFUNCTION("""COMPUTED_VALUE"""),"KYAI KONTONG")</f>
        <v>KYAI KONTONG</v>
      </c>
      <c r="D12213" s="186">
        <f>IFERROR(__xludf.DUMMYFUNCTION("""COMPUTED_VALUE"""),1.0)</f>
        <v>1</v>
      </c>
    </row>
    <row r="12214">
      <c r="A12214" s="178" t="str">
        <f>IFERROR(__xludf.DUMMYFUNCTION("""COMPUTED_VALUE"""),"ITBISA-VYBA-SENTER-KUNING-FT300")</f>
        <v>ITBISA-VYBA-SENTER-KUNING-FT300</v>
      </c>
      <c r="B12214" s="266">
        <f>IFERROR(__xludf.DUMMYFUNCTION("""COMPUTED_VALUE"""),45030.0)</f>
        <v>45030</v>
      </c>
      <c r="C12214" s="266" t="str">
        <f>IFERROR(__xludf.DUMMYFUNCTION("""COMPUTED_VALUE"""),"KYAI KONTONG")</f>
        <v>KYAI KONTONG</v>
      </c>
      <c r="D12214" s="186">
        <f>IFERROR(__xludf.DUMMYFUNCTION("""COMPUTED_VALUE"""),1.0)</f>
        <v>1</v>
      </c>
    </row>
    <row r="12215">
      <c r="A12215" s="178" t="str">
        <f>IFERROR(__xludf.DUMMYFUNCTION("""COMPUTED_VALUE"""),"ITBISA-VYBA-SENTER-KUNING-FT300")</f>
        <v>ITBISA-VYBA-SENTER-KUNING-FT300</v>
      </c>
      <c r="B12215" s="266">
        <f>IFERROR(__xludf.DUMMYFUNCTION("""COMPUTED_VALUE"""),45032.0)</f>
        <v>45032</v>
      </c>
      <c r="C12215" s="266" t="str">
        <f>IFERROR(__xludf.DUMMYFUNCTION("""COMPUTED_VALUE"""),"KYAI KONTONG")</f>
        <v>KYAI KONTONG</v>
      </c>
      <c r="D12215" s="186">
        <f>IFERROR(__xludf.DUMMYFUNCTION("""COMPUTED_VALUE"""),1.0)</f>
        <v>1</v>
      </c>
    </row>
    <row r="12216">
      <c r="A12216" s="178" t="str">
        <f>IFERROR(__xludf.DUMMYFUNCTION("""COMPUTED_VALUE"""),"ITBISA-VYBA-SENTER-KUNING-FT300")</f>
        <v>ITBISA-VYBA-SENTER-KUNING-FT300</v>
      </c>
      <c r="B12216" s="266">
        <f>IFERROR(__xludf.DUMMYFUNCTION("""COMPUTED_VALUE"""),45053.0)</f>
        <v>45053</v>
      </c>
      <c r="C12216" s="266" t="str">
        <f>IFERROR(__xludf.DUMMYFUNCTION("""COMPUTED_VALUE"""),"KYAI KONTONG")</f>
        <v>KYAI KONTONG</v>
      </c>
      <c r="D12216" s="186">
        <f>IFERROR(__xludf.DUMMYFUNCTION("""COMPUTED_VALUE"""),2.0)</f>
        <v>2</v>
      </c>
    </row>
    <row r="12217">
      <c r="A12217" s="178" t="str">
        <f>IFERROR(__xludf.DUMMYFUNCTION("""COMPUTED_VALUE"""),"ITBISA-VYBA-SENTER-KUNING-FT300")</f>
        <v>ITBISA-VYBA-SENTER-KUNING-FT300</v>
      </c>
      <c r="B12217" s="266">
        <f>IFERROR(__xludf.DUMMYFUNCTION("""COMPUTED_VALUE"""),45054.0)</f>
        <v>45054</v>
      </c>
      <c r="C12217" s="266" t="str">
        <f>IFERROR(__xludf.DUMMYFUNCTION("""COMPUTED_VALUE"""),"KYAI KONTONG")</f>
        <v>KYAI KONTONG</v>
      </c>
      <c r="D12217" s="186">
        <f>IFERROR(__xludf.DUMMYFUNCTION("""COMPUTED_VALUE"""),1.0)</f>
        <v>1</v>
      </c>
    </row>
    <row r="12218">
      <c r="A12218" s="178" t="str">
        <f>IFERROR(__xludf.DUMMYFUNCTION("""COMPUTED_VALUE"""),"ITBISA-VYBA-SENTER-KUNING-FT300")</f>
        <v>ITBISA-VYBA-SENTER-KUNING-FT300</v>
      </c>
      <c r="B12218" s="266">
        <f>IFERROR(__xludf.DUMMYFUNCTION("""COMPUTED_VALUE"""),45073.0)</f>
        <v>45073</v>
      </c>
      <c r="C12218" s="266" t="str">
        <f>IFERROR(__xludf.DUMMYFUNCTION("""COMPUTED_VALUE"""),"KYAI KONTONG")</f>
        <v>KYAI KONTONG</v>
      </c>
      <c r="D12218" s="186">
        <f>IFERROR(__xludf.DUMMYFUNCTION("""COMPUTED_VALUE"""),2.0)</f>
        <v>2</v>
      </c>
    </row>
    <row r="12219">
      <c r="A12219" s="178" t="str">
        <f>IFERROR(__xludf.DUMMYFUNCTION("""COMPUTED_VALUE"""),"ITBISA-VYBA-SENTER-KUNING-FT300")</f>
        <v>ITBISA-VYBA-SENTER-KUNING-FT300</v>
      </c>
      <c r="B12219" s="266">
        <f>IFERROR(__xludf.DUMMYFUNCTION("""COMPUTED_VALUE"""),45082.0)</f>
        <v>45082</v>
      </c>
      <c r="C12219" s="266" t="str">
        <f>IFERROR(__xludf.DUMMYFUNCTION("""COMPUTED_VALUE"""),"KYAI KONTONG")</f>
        <v>KYAI KONTONG</v>
      </c>
      <c r="D12219" s="186">
        <f>IFERROR(__xludf.DUMMYFUNCTION("""COMPUTED_VALUE"""),1.0)</f>
        <v>1</v>
      </c>
    </row>
    <row r="12220">
      <c r="A12220" s="178" t="str">
        <f>IFERROR(__xludf.DUMMYFUNCTION("""COMPUTED_VALUE"""),"ITBISA-VYBA-SENTER-KUNING-FT300")</f>
        <v>ITBISA-VYBA-SENTER-KUNING-FT300</v>
      </c>
      <c r="B12220" s="266">
        <f>IFERROR(__xludf.DUMMYFUNCTION("""COMPUTED_VALUE"""),45085.0)</f>
        <v>45085</v>
      </c>
      <c r="C12220" s="266" t="str">
        <f>IFERROR(__xludf.DUMMYFUNCTION("""COMPUTED_VALUE"""),"KYAI KONTONG")</f>
        <v>KYAI KONTONG</v>
      </c>
      <c r="D12220" s="186">
        <f>IFERROR(__xludf.DUMMYFUNCTION("""COMPUTED_VALUE"""),2.0)</f>
        <v>2</v>
      </c>
    </row>
    <row r="12221">
      <c r="A12221" s="178" t="str">
        <f>IFERROR(__xludf.DUMMYFUNCTION("""COMPUTED_VALUE"""),"ITBISA-VYBA-SENTER-KUNING-FT300")</f>
        <v>ITBISA-VYBA-SENTER-KUNING-FT300</v>
      </c>
      <c r="B12221" s="266">
        <f>IFERROR(__xludf.DUMMYFUNCTION("""COMPUTED_VALUE"""),45087.0)</f>
        <v>45087</v>
      </c>
      <c r="C12221" s="266" t="str">
        <f>IFERROR(__xludf.DUMMYFUNCTION("""COMPUTED_VALUE"""),"KYAI KONTONG")</f>
        <v>KYAI KONTONG</v>
      </c>
      <c r="D12221" s="186">
        <f>IFERROR(__xludf.DUMMYFUNCTION("""COMPUTED_VALUE"""),1.0)</f>
        <v>1</v>
      </c>
    </row>
    <row r="12222">
      <c r="A12222" s="178" t="str">
        <f>IFERROR(__xludf.DUMMYFUNCTION("""COMPUTED_VALUE"""),"ITBISA-VYBA-SENTER-KUNING-FT300")</f>
        <v>ITBISA-VYBA-SENTER-KUNING-FT300</v>
      </c>
      <c r="B12222" s="266">
        <f>IFERROR(__xludf.DUMMYFUNCTION("""COMPUTED_VALUE"""),45087.0)</f>
        <v>45087</v>
      </c>
      <c r="C12222" s="266" t="str">
        <f>IFERROR(__xludf.DUMMYFUNCTION("""COMPUTED_VALUE"""),"KYAI KONTONG")</f>
        <v>KYAI KONTONG</v>
      </c>
      <c r="D12222" s="186">
        <f>IFERROR(__xludf.DUMMYFUNCTION("""COMPUTED_VALUE"""),1.0)</f>
        <v>1</v>
      </c>
    </row>
    <row r="12223">
      <c r="A12223" s="178" t="str">
        <f>IFERROR(__xludf.DUMMYFUNCTION("""COMPUTED_VALUE"""),"ITBISA-VYBA-SENTER-KUNING-FT300")</f>
        <v>ITBISA-VYBA-SENTER-KUNING-FT300</v>
      </c>
      <c r="B12223" s="266">
        <f>IFERROR(__xludf.DUMMYFUNCTION("""COMPUTED_VALUE"""),45102.0)</f>
        <v>45102</v>
      </c>
      <c r="C12223" s="266" t="str">
        <f>IFERROR(__xludf.DUMMYFUNCTION("""COMPUTED_VALUE"""),"KYAI KONTONG")</f>
        <v>KYAI KONTONG</v>
      </c>
      <c r="D12223" s="186">
        <f>IFERROR(__xludf.DUMMYFUNCTION("""COMPUTED_VALUE"""),1.0)</f>
        <v>1</v>
      </c>
    </row>
    <row r="12224">
      <c r="A12224" s="178" t="str">
        <f>IFERROR(__xludf.DUMMYFUNCTION("""COMPUTED_VALUE"""),"ITBISA-VYBA-SENTER-KUNING-FT300")</f>
        <v>ITBISA-VYBA-SENTER-KUNING-FT300</v>
      </c>
      <c r="B12224" s="266">
        <f>IFERROR(__xludf.DUMMYFUNCTION("""COMPUTED_VALUE"""),45112.0)</f>
        <v>45112</v>
      </c>
      <c r="C12224" s="266" t="str">
        <f>IFERROR(__xludf.DUMMYFUNCTION("""COMPUTED_VALUE"""),"KYAI KONTONG")</f>
        <v>KYAI KONTONG</v>
      </c>
      <c r="D12224" s="186">
        <f>IFERROR(__xludf.DUMMYFUNCTION("""COMPUTED_VALUE"""),1.0)</f>
        <v>1</v>
      </c>
    </row>
    <row r="12225">
      <c r="A12225" s="178" t="str">
        <f>IFERROR(__xludf.DUMMYFUNCTION("""COMPUTED_VALUE"""),"ITBISA-VYBA-SENTER-KUNING-FT300")</f>
        <v>ITBISA-VYBA-SENTER-KUNING-FT300</v>
      </c>
      <c r="B12225" s="266">
        <f>IFERROR(__xludf.DUMMYFUNCTION("""COMPUTED_VALUE"""),45127.0)</f>
        <v>45127</v>
      </c>
      <c r="C12225" s="266" t="str">
        <f>IFERROR(__xludf.DUMMYFUNCTION("""COMPUTED_VALUE"""),"KYAI KONTONG")</f>
        <v>KYAI KONTONG</v>
      </c>
      <c r="D12225" s="186">
        <f>IFERROR(__xludf.DUMMYFUNCTION("""COMPUTED_VALUE"""),1.0)</f>
        <v>1</v>
      </c>
    </row>
    <row r="12226">
      <c r="A12226" s="178" t="str">
        <f>IFERROR(__xludf.DUMMYFUNCTION("""COMPUTED_VALUE"""),"ITBISA-VYBA-SENTER-KUNING-FT300")</f>
        <v>ITBISA-VYBA-SENTER-KUNING-FT300</v>
      </c>
      <c r="B12226" s="266">
        <f>IFERROR(__xludf.DUMMYFUNCTION("""COMPUTED_VALUE"""),45127.0)</f>
        <v>45127</v>
      </c>
      <c r="C12226" s="266" t="str">
        <f>IFERROR(__xludf.DUMMYFUNCTION("""COMPUTED_VALUE"""),"KYAI KONTONG")</f>
        <v>KYAI KONTONG</v>
      </c>
      <c r="D12226" s="186">
        <f>IFERROR(__xludf.DUMMYFUNCTION("""COMPUTED_VALUE"""),2.0)</f>
        <v>2</v>
      </c>
    </row>
    <row r="12227">
      <c r="A12227" s="178" t="str">
        <f>IFERROR(__xludf.DUMMYFUNCTION("""COMPUTED_VALUE"""),"ITBISA-VYBA-SENTER-KUNING-FT300")</f>
        <v>ITBISA-VYBA-SENTER-KUNING-FT300</v>
      </c>
      <c r="B12227" s="266">
        <f>IFERROR(__xludf.DUMMYFUNCTION("""COMPUTED_VALUE"""),45127.0)</f>
        <v>45127</v>
      </c>
      <c r="C12227" s="266" t="str">
        <f>IFERROR(__xludf.DUMMYFUNCTION("""COMPUTED_VALUE"""),"KYAI KONTONG")</f>
        <v>KYAI KONTONG</v>
      </c>
      <c r="D12227" s="186">
        <f>IFERROR(__xludf.DUMMYFUNCTION("""COMPUTED_VALUE"""),2.0)</f>
        <v>2</v>
      </c>
    </row>
    <row r="12228">
      <c r="A12228" s="178" t="str">
        <f>IFERROR(__xludf.DUMMYFUNCTION("""COMPUTED_VALUE"""),"ITBISA-VYBA-SENTER-KUNING-FT300")</f>
        <v>ITBISA-VYBA-SENTER-KUNING-FT300</v>
      </c>
      <c r="B12228" s="266">
        <f>IFERROR(__xludf.DUMMYFUNCTION("""COMPUTED_VALUE"""),45127.0)</f>
        <v>45127</v>
      </c>
      <c r="C12228" s="266" t="str">
        <f>IFERROR(__xludf.DUMMYFUNCTION("""COMPUTED_VALUE"""),"KYAI KONTONG")</f>
        <v>KYAI KONTONG</v>
      </c>
      <c r="D12228" s="186">
        <f>IFERROR(__xludf.DUMMYFUNCTION("""COMPUTED_VALUE"""),5.0)</f>
        <v>5</v>
      </c>
    </row>
    <row r="12229">
      <c r="A12229" s="178" t="str">
        <f>IFERROR(__xludf.DUMMYFUNCTION("""COMPUTED_VALUE"""),"ITBISA-VYBA-SENTER-KUNING-FT300")</f>
        <v>ITBISA-VYBA-SENTER-KUNING-FT300</v>
      </c>
      <c r="B12229" s="266">
        <f>IFERROR(__xludf.DUMMYFUNCTION("""COMPUTED_VALUE"""),45133.0)</f>
        <v>45133</v>
      </c>
      <c r="C12229" s="266" t="str">
        <f>IFERROR(__xludf.DUMMYFUNCTION("""COMPUTED_VALUE"""),"KYAI KONTONG")</f>
        <v>KYAI KONTONG</v>
      </c>
      <c r="D12229" s="186">
        <f>IFERROR(__xludf.DUMMYFUNCTION("""COMPUTED_VALUE"""),1.0)</f>
        <v>1</v>
      </c>
    </row>
    <row r="12230">
      <c r="A12230" s="178" t="str">
        <f>IFERROR(__xludf.DUMMYFUNCTION("""COMPUTED_VALUE"""),"ITBISA-VYBA-SENTER-KUNING-FT300")</f>
        <v>ITBISA-VYBA-SENTER-KUNING-FT300</v>
      </c>
      <c r="B12230" s="266">
        <f>IFERROR(__xludf.DUMMYFUNCTION("""COMPUTED_VALUE"""),45152.0)</f>
        <v>45152</v>
      </c>
      <c r="C12230" s="266" t="str">
        <f>IFERROR(__xludf.DUMMYFUNCTION("""COMPUTED_VALUE"""),"KYAI KONTONG")</f>
        <v>KYAI KONTONG</v>
      </c>
      <c r="D12230" s="186">
        <f>IFERROR(__xludf.DUMMYFUNCTION("""COMPUTED_VALUE"""),1.0)</f>
        <v>1</v>
      </c>
    </row>
    <row r="12231">
      <c r="A12231" s="178" t="str">
        <f>IFERROR(__xludf.DUMMYFUNCTION("""COMPUTED_VALUE"""),"ITBISA-VYBA-SENTER-KUNING-FT300")</f>
        <v>ITBISA-VYBA-SENTER-KUNING-FT300</v>
      </c>
      <c r="B12231" s="266">
        <f>IFERROR(__xludf.DUMMYFUNCTION("""COMPUTED_VALUE"""),45159.0)</f>
        <v>45159</v>
      </c>
      <c r="C12231" s="266" t="str">
        <f>IFERROR(__xludf.DUMMYFUNCTION("""COMPUTED_VALUE"""),"KYAI KONTONG")</f>
        <v>KYAI KONTONG</v>
      </c>
      <c r="D12231" s="186">
        <f>IFERROR(__xludf.DUMMYFUNCTION("""COMPUTED_VALUE"""),1.0)</f>
        <v>1</v>
      </c>
    </row>
    <row r="12232">
      <c r="A12232" s="178" t="str">
        <f>IFERROR(__xludf.DUMMYFUNCTION("""COMPUTED_VALUE"""),"ITBISA-VYBA-SENTER-KUNING-FT300")</f>
        <v>ITBISA-VYBA-SENTER-KUNING-FT300</v>
      </c>
      <c r="B12232" s="266">
        <f>IFERROR(__xludf.DUMMYFUNCTION("""COMPUTED_VALUE"""),45162.0)</f>
        <v>45162</v>
      </c>
      <c r="C12232" s="266" t="str">
        <f>IFERROR(__xludf.DUMMYFUNCTION("""COMPUTED_VALUE"""),"KYAI KONTONG")</f>
        <v>KYAI KONTONG</v>
      </c>
      <c r="D12232" s="186">
        <f>IFERROR(__xludf.DUMMYFUNCTION("""COMPUTED_VALUE"""),2.0)</f>
        <v>2</v>
      </c>
    </row>
    <row r="12233">
      <c r="A12233" s="178" t="str">
        <f>IFERROR(__xludf.DUMMYFUNCTION("""COMPUTED_VALUE"""),"ITBISA-VYBA-SENTER-KUNING-FT300")</f>
        <v>ITBISA-VYBA-SENTER-KUNING-FT300</v>
      </c>
      <c r="B12233" s="266">
        <f>IFERROR(__xludf.DUMMYFUNCTION("""COMPUTED_VALUE"""),45176.0)</f>
        <v>45176</v>
      </c>
      <c r="C12233" s="266" t="str">
        <f>IFERROR(__xludf.DUMMYFUNCTION("""COMPUTED_VALUE"""),"KYAI KONTONG")</f>
        <v>KYAI KONTONG</v>
      </c>
      <c r="D12233" s="186">
        <f>IFERROR(__xludf.DUMMYFUNCTION("""COMPUTED_VALUE"""),3.0)</f>
        <v>3</v>
      </c>
    </row>
    <row r="12234">
      <c r="A12234" s="178" t="str">
        <f>IFERROR(__xludf.DUMMYFUNCTION("""COMPUTED_VALUE"""),"ITBISA-VYBA-SENTER-KUNING-FT300")</f>
        <v>ITBISA-VYBA-SENTER-KUNING-FT300</v>
      </c>
      <c r="B12234" s="266">
        <f>IFERROR(__xludf.DUMMYFUNCTION("""COMPUTED_VALUE"""),45177.0)</f>
        <v>45177</v>
      </c>
      <c r="C12234" s="266" t="str">
        <f>IFERROR(__xludf.DUMMYFUNCTION("""COMPUTED_VALUE"""),"KYAI KONTONG")</f>
        <v>KYAI KONTONG</v>
      </c>
      <c r="D12234" s="186">
        <f>IFERROR(__xludf.DUMMYFUNCTION("""COMPUTED_VALUE"""),1.0)</f>
        <v>1</v>
      </c>
    </row>
    <row r="12235">
      <c r="A12235" s="178" t="str">
        <f>IFERROR(__xludf.DUMMYFUNCTION("""COMPUTED_VALUE"""),"ITBISA-VYBA-SENTER-KUNING-FT300")</f>
        <v>ITBISA-VYBA-SENTER-KUNING-FT300</v>
      </c>
      <c r="B12235" s="266">
        <f>IFERROR(__xludf.DUMMYFUNCTION("""COMPUTED_VALUE"""),45179.0)</f>
        <v>45179</v>
      </c>
      <c r="C12235" s="266" t="str">
        <f>IFERROR(__xludf.DUMMYFUNCTION("""COMPUTED_VALUE"""),"KYAI KONTONG")</f>
        <v>KYAI KONTONG</v>
      </c>
      <c r="D12235" s="186">
        <f>IFERROR(__xludf.DUMMYFUNCTION("""COMPUTED_VALUE"""),1.0)</f>
        <v>1</v>
      </c>
    </row>
    <row r="12236">
      <c r="A12236" s="178" t="str">
        <f>IFERROR(__xludf.DUMMYFUNCTION("""COMPUTED_VALUE"""),"ITBISA-VYBA-SENTER-KUNING-FT300")</f>
        <v>ITBISA-VYBA-SENTER-KUNING-FT300</v>
      </c>
      <c r="B12236" s="266">
        <f>IFERROR(__xludf.DUMMYFUNCTION("""COMPUTED_VALUE"""),45180.0)</f>
        <v>45180</v>
      </c>
      <c r="C12236" s="266" t="str">
        <f>IFERROR(__xludf.DUMMYFUNCTION("""COMPUTED_VALUE"""),"KYAI KONTONG")</f>
        <v>KYAI KONTONG</v>
      </c>
      <c r="D12236" s="186">
        <f>IFERROR(__xludf.DUMMYFUNCTION("""COMPUTED_VALUE"""),1.0)</f>
        <v>1</v>
      </c>
    </row>
    <row r="12237">
      <c r="A12237" s="178" t="str">
        <f>IFERROR(__xludf.DUMMYFUNCTION("""COMPUTED_VALUE"""),"ITBISA-VYBA-SENTER-KUNING-FT300")</f>
        <v>ITBISA-VYBA-SENTER-KUNING-FT300</v>
      </c>
      <c r="B12237" s="266">
        <f>IFERROR(__xludf.DUMMYFUNCTION("""COMPUTED_VALUE"""),45182.0)</f>
        <v>45182</v>
      </c>
      <c r="C12237" s="266" t="str">
        <f>IFERROR(__xludf.DUMMYFUNCTION("""COMPUTED_VALUE"""),"KYAI KONTONG")</f>
        <v>KYAI KONTONG</v>
      </c>
      <c r="D12237" s="186">
        <f>IFERROR(__xludf.DUMMYFUNCTION("""COMPUTED_VALUE"""),1.0)</f>
        <v>1</v>
      </c>
    </row>
    <row r="12238">
      <c r="A12238" s="178" t="str">
        <f>IFERROR(__xludf.DUMMYFUNCTION("""COMPUTED_VALUE"""),"ITBISA-VYBA-SENTER-KUNING-FT300")</f>
        <v>ITBISA-VYBA-SENTER-KUNING-FT300</v>
      </c>
      <c r="B12238" s="266">
        <f>IFERROR(__xludf.DUMMYFUNCTION("""COMPUTED_VALUE"""),45184.0)</f>
        <v>45184</v>
      </c>
      <c r="C12238" s="266" t="str">
        <f>IFERROR(__xludf.DUMMYFUNCTION("""COMPUTED_VALUE"""),"KYAI KONTONG")</f>
        <v>KYAI KONTONG</v>
      </c>
      <c r="D12238" s="186">
        <f>IFERROR(__xludf.DUMMYFUNCTION("""COMPUTED_VALUE"""),2.0)</f>
        <v>2</v>
      </c>
    </row>
    <row r="12239">
      <c r="A12239" s="178" t="str">
        <f>IFERROR(__xludf.DUMMYFUNCTION("""COMPUTED_VALUE"""),"ITBISA-VYBA-SENTER-KUNING-FT300")</f>
        <v>ITBISA-VYBA-SENTER-KUNING-FT300</v>
      </c>
      <c r="B12239" s="266">
        <f>IFERROR(__xludf.DUMMYFUNCTION("""COMPUTED_VALUE"""),45191.0)</f>
        <v>45191</v>
      </c>
      <c r="C12239" s="266" t="str">
        <f>IFERROR(__xludf.DUMMYFUNCTION("""COMPUTED_VALUE"""),"KYAI KONTONG")</f>
        <v>KYAI KONTONG</v>
      </c>
      <c r="D12239" s="186">
        <f>IFERROR(__xludf.DUMMYFUNCTION("""COMPUTED_VALUE"""),1.0)</f>
        <v>1</v>
      </c>
    </row>
    <row r="12240">
      <c r="A12240" s="178" t="str">
        <f>IFERROR(__xludf.DUMMYFUNCTION("""COMPUTED_VALUE"""),"ITBISA-VYBA-SENTER-KUNING-FT300")</f>
        <v>ITBISA-VYBA-SENTER-KUNING-FT300</v>
      </c>
      <c r="B12240" s="266">
        <f>IFERROR(__xludf.DUMMYFUNCTION("""COMPUTED_VALUE"""),45197.0)</f>
        <v>45197</v>
      </c>
      <c r="C12240" s="266" t="str">
        <f>IFERROR(__xludf.DUMMYFUNCTION("""COMPUTED_VALUE"""),"KYAI KONTONG")</f>
        <v>KYAI KONTONG</v>
      </c>
      <c r="D12240" s="186">
        <f>IFERROR(__xludf.DUMMYFUNCTION("""COMPUTED_VALUE"""),1.0)</f>
        <v>1</v>
      </c>
    </row>
    <row r="12241">
      <c r="A12241" s="178" t="str">
        <f>IFERROR(__xludf.DUMMYFUNCTION("""COMPUTED_VALUE"""),"ITBISA-VYBA-SENTER-KUNING-FT300")</f>
        <v>ITBISA-VYBA-SENTER-KUNING-FT300</v>
      </c>
      <c r="B12241" s="266">
        <f>IFERROR(__xludf.DUMMYFUNCTION("""COMPUTED_VALUE"""),45198.0)</f>
        <v>45198</v>
      </c>
      <c r="C12241" s="266" t="str">
        <f>IFERROR(__xludf.DUMMYFUNCTION("""COMPUTED_VALUE"""),"KYAI KONTONG")</f>
        <v>KYAI KONTONG</v>
      </c>
      <c r="D12241" s="186">
        <f>IFERROR(__xludf.DUMMYFUNCTION("""COMPUTED_VALUE"""),1.0)</f>
        <v>1</v>
      </c>
    </row>
    <row r="12242">
      <c r="A12242" s="178" t="str">
        <f>IFERROR(__xludf.DUMMYFUNCTION("""COMPUTED_VALUE"""),"ITBISA-VYBA-SENTER-KUNING-FT300")</f>
        <v>ITBISA-VYBA-SENTER-KUNING-FT300</v>
      </c>
      <c r="B12242" s="266">
        <f>IFERROR(__xludf.DUMMYFUNCTION("""COMPUTED_VALUE"""),45204.0)</f>
        <v>45204</v>
      </c>
      <c r="C12242" s="266" t="str">
        <f>IFERROR(__xludf.DUMMYFUNCTION("""COMPUTED_VALUE"""),"KYAI KONTONG")</f>
        <v>KYAI KONTONG</v>
      </c>
      <c r="D12242" s="186">
        <f>IFERROR(__xludf.DUMMYFUNCTION("""COMPUTED_VALUE"""),1.0)</f>
        <v>1</v>
      </c>
    </row>
    <row r="12243">
      <c r="A12243" s="178" t="str">
        <f>IFERROR(__xludf.DUMMYFUNCTION("""COMPUTED_VALUE"""),"ITBISA-VYBA-SENTER-KUNING-FT300")</f>
        <v>ITBISA-VYBA-SENTER-KUNING-FT300</v>
      </c>
      <c r="B12243" s="266">
        <f>IFERROR(__xludf.DUMMYFUNCTION("""COMPUTED_VALUE"""),45206.0)</f>
        <v>45206</v>
      </c>
      <c r="C12243" s="266" t="str">
        <f>IFERROR(__xludf.DUMMYFUNCTION("""COMPUTED_VALUE"""),"KYAI KONTONG")</f>
        <v>KYAI KONTONG</v>
      </c>
      <c r="D12243" s="186">
        <f>IFERROR(__xludf.DUMMYFUNCTION("""COMPUTED_VALUE"""),1.0)</f>
        <v>1</v>
      </c>
    </row>
    <row r="12244">
      <c r="A12244" s="178" t="str">
        <f>IFERROR(__xludf.DUMMYFUNCTION("""COMPUTED_VALUE"""),"ITBISA-VYBA-SENTER-KUNING-FT300")</f>
        <v>ITBISA-VYBA-SENTER-KUNING-FT300</v>
      </c>
      <c r="B12244" s="266">
        <f>IFERROR(__xludf.DUMMYFUNCTION("""COMPUTED_VALUE"""),45214.0)</f>
        <v>45214</v>
      </c>
      <c r="C12244" s="266" t="str">
        <f>IFERROR(__xludf.DUMMYFUNCTION("""COMPUTED_VALUE"""),"KYAI KONTONG")</f>
        <v>KYAI KONTONG</v>
      </c>
      <c r="D12244" s="186">
        <f>IFERROR(__xludf.DUMMYFUNCTION("""COMPUTED_VALUE"""),1.0)</f>
        <v>1</v>
      </c>
    </row>
    <row r="12245">
      <c r="A12245" s="178" t="str">
        <f>IFERROR(__xludf.DUMMYFUNCTION("""COMPUTED_VALUE"""),"ITBISA-VYBA-SENTER-KUNING-FT300")</f>
        <v>ITBISA-VYBA-SENTER-KUNING-FT300</v>
      </c>
      <c r="B12245" s="266">
        <f>IFERROR(__xludf.DUMMYFUNCTION("""COMPUTED_VALUE"""),45215.0)</f>
        <v>45215</v>
      </c>
      <c r="C12245" s="266" t="str">
        <f>IFERROR(__xludf.DUMMYFUNCTION("""COMPUTED_VALUE"""),"KYAI KONTONG")</f>
        <v>KYAI KONTONG</v>
      </c>
      <c r="D12245" s="186">
        <f>IFERROR(__xludf.DUMMYFUNCTION("""COMPUTED_VALUE"""),2.0)</f>
        <v>2</v>
      </c>
    </row>
    <row r="12246">
      <c r="A12246" s="178" t="str">
        <f>IFERROR(__xludf.DUMMYFUNCTION("""COMPUTED_VALUE"""),"ITBISA-VYBA-SENTER-KUNING-FT300")</f>
        <v>ITBISA-VYBA-SENTER-KUNING-FT300</v>
      </c>
      <c r="B12246" s="266">
        <f>IFERROR(__xludf.DUMMYFUNCTION("""COMPUTED_VALUE"""),45220.0)</f>
        <v>45220</v>
      </c>
      <c r="C12246" s="266" t="str">
        <f>IFERROR(__xludf.DUMMYFUNCTION("""COMPUTED_VALUE"""),"KYAI KONTONG")</f>
        <v>KYAI KONTONG</v>
      </c>
      <c r="D12246" s="186">
        <f>IFERROR(__xludf.DUMMYFUNCTION("""COMPUTED_VALUE"""),1.0)</f>
        <v>1</v>
      </c>
    </row>
    <row r="12247">
      <c r="A12247" s="178" t="str">
        <f>IFERROR(__xludf.DUMMYFUNCTION("""COMPUTED_VALUE"""),"ITBISA-VYBA-SENTER-KUNING-FT300")</f>
        <v>ITBISA-VYBA-SENTER-KUNING-FT300</v>
      </c>
      <c r="B12247" s="266">
        <f>IFERROR(__xludf.DUMMYFUNCTION("""COMPUTED_VALUE"""),45224.0)</f>
        <v>45224</v>
      </c>
      <c r="C12247" s="266" t="str">
        <f>IFERROR(__xludf.DUMMYFUNCTION("""COMPUTED_VALUE"""),"KYAI KONTONG")</f>
        <v>KYAI KONTONG</v>
      </c>
      <c r="D12247" s="186">
        <f>IFERROR(__xludf.DUMMYFUNCTION("""COMPUTED_VALUE"""),3.0)</f>
        <v>3</v>
      </c>
    </row>
    <row r="12248">
      <c r="A12248" s="178" t="str">
        <f>IFERROR(__xludf.DUMMYFUNCTION("""COMPUTED_VALUE"""),"ITBISA-VYBA-SENTER-KUNING-FT300")</f>
        <v>ITBISA-VYBA-SENTER-KUNING-FT300</v>
      </c>
      <c r="B12248" s="266">
        <f>IFERROR(__xludf.DUMMYFUNCTION("""COMPUTED_VALUE"""),45226.0)</f>
        <v>45226</v>
      </c>
      <c r="C12248" s="266" t="str">
        <f>IFERROR(__xludf.DUMMYFUNCTION("""COMPUTED_VALUE"""),"KYAI KONTONG")</f>
        <v>KYAI KONTONG</v>
      </c>
      <c r="D12248" s="186">
        <f>IFERROR(__xludf.DUMMYFUNCTION("""COMPUTED_VALUE"""),1.0)</f>
        <v>1</v>
      </c>
    </row>
    <row r="12249">
      <c r="A12249" s="178" t="str">
        <f>IFERROR(__xludf.DUMMYFUNCTION("""COMPUTED_VALUE"""),"ITBISA-VYBA-SENTER-KUNING-FT300")</f>
        <v>ITBISA-VYBA-SENTER-KUNING-FT300</v>
      </c>
      <c r="B12249" s="266">
        <f>IFERROR(__xludf.DUMMYFUNCTION("""COMPUTED_VALUE"""),45226.0)</f>
        <v>45226</v>
      </c>
      <c r="C12249" s="266" t="str">
        <f>IFERROR(__xludf.DUMMYFUNCTION("""COMPUTED_VALUE"""),"KYAI KONTONG")</f>
        <v>KYAI KONTONG</v>
      </c>
      <c r="D12249" s="186">
        <f>IFERROR(__xludf.DUMMYFUNCTION("""COMPUTED_VALUE"""),3.0)</f>
        <v>3</v>
      </c>
    </row>
    <row r="12250">
      <c r="A12250" s="178" t="str">
        <f>IFERROR(__xludf.DUMMYFUNCTION("""COMPUTED_VALUE"""),"ITBISA-VYBA-SENTER-KUNING-FT300")</f>
        <v>ITBISA-VYBA-SENTER-KUNING-FT300</v>
      </c>
      <c r="B12250" s="266">
        <f>IFERROR(__xludf.DUMMYFUNCTION("""COMPUTED_VALUE"""),45227.0)</f>
        <v>45227</v>
      </c>
      <c r="C12250" s="266" t="str">
        <f>IFERROR(__xludf.DUMMYFUNCTION("""COMPUTED_VALUE"""),"KYAI KONTONG")</f>
        <v>KYAI KONTONG</v>
      </c>
      <c r="D12250" s="186">
        <f>IFERROR(__xludf.DUMMYFUNCTION("""COMPUTED_VALUE"""),1.0)</f>
        <v>1</v>
      </c>
    </row>
    <row r="12251">
      <c r="A12251" s="178" t="str">
        <f>IFERROR(__xludf.DUMMYFUNCTION("""COMPUTED_VALUE"""),"ITBISA-VYBA-SENTER-KUNING-FT300")</f>
        <v>ITBISA-VYBA-SENTER-KUNING-FT300</v>
      </c>
      <c r="B12251" s="266">
        <f>IFERROR(__xludf.DUMMYFUNCTION("""COMPUTED_VALUE"""),45229.0)</f>
        <v>45229</v>
      </c>
      <c r="C12251" s="266" t="str">
        <f>IFERROR(__xludf.DUMMYFUNCTION("""COMPUTED_VALUE"""),"KYAI KONTONG")</f>
        <v>KYAI KONTONG</v>
      </c>
      <c r="D12251" s="186">
        <f>IFERROR(__xludf.DUMMYFUNCTION("""COMPUTED_VALUE"""),2.0)</f>
        <v>2</v>
      </c>
    </row>
    <row r="12252">
      <c r="A12252" s="178" t="str">
        <f>IFERROR(__xludf.DUMMYFUNCTION("""COMPUTED_VALUE"""),"ITBISA-VYBA-SENTER-KUNING-FT300")</f>
        <v>ITBISA-VYBA-SENTER-KUNING-FT300</v>
      </c>
      <c r="B12252" s="266">
        <f>IFERROR(__xludf.DUMMYFUNCTION("""COMPUTED_VALUE"""),45230.0)</f>
        <v>45230</v>
      </c>
      <c r="C12252" s="266" t="str">
        <f>IFERROR(__xludf.DUMMYFUNCTION("""COMPUTED_VALUE"""),"KYAI KONTONG")</f>
        <v>KYAI KONTONG</v>
      </c>
      <c r="D12252" s="186">
        <f>IFERROR(__xludf.DUMMYFUNCTION("""COMPUTED_VALUE"""),1.0)</f>
        <v>1</v>
      </c>
    </row>
    <row r="12253">
      <c r="A12253" s="178" t="str">
        <f>IFERROR(__xludf.DUMMYFUNCTION("""COMPUTED_VALUE"""),"ITBISA-VYBA-SENTER-KUNING-FT300")</f>
        <v>ITBISA-VYBA-SENTER-KUNING-FT300</v>
      </c>
      <c r="B12253" s="266">
        <f>IFERROR(__xludf.DUMMYFUNCTION("""COMPUTED_VALUE"""),45232.0)</f>
        <v>45232</v>
      </c>
      <c r="C12253" s="266" t="str">
        <f>IFERROR(__xludf.DUMMYFUNCTION("""COMPUTED_VALUE"""),"KYAI KONTONG")</f>
        <v>KYAI KONTONG</v>
      </c>
      <c r="D12253" s="186">
        <f>IFERROR(__xludf.DUMMYFUNCTION("""COMPUTED_VALUE"""),1.0)</f>
        <v>1</v>
      </c>
    </row>
    <row r="12254">
      <c r="A12254" s="178" t="str">
        <f>IFERROR(__xludf.DUMMYFUNCTION("""COMPUTED_VALUE"""),"ITBISA-VYBA-SENTER-KUNING-FT300")</f>
        <v>ITBISA-VYBA-SENTER-KUNING-FT300</v>
      </c>
      <c r="B12254" s="266">
        <f>IFERROR(__xludf.DUMMYFUNCTION("""COMPUTED_VALUE"""),45232.0)</f>
        <v>45232</v>
      </c>
      <c r="C12254" s="266" t="str">
        <f>IFERROR(__xludf.DUMMYFUNCTION("""COMPUTED_VALUE"""),"KYAI KONTONG")</f>
        <v>KYAI KONTONG</v>
      </c>
      <c r="D12254" s="186">
        <f>IFERROR(__xludf.DUMMYFUNCTION("""COMPUTED_VALUE"""),1.0)</f>
        <v>1</v>
      </c>
    </row>
    <row r="12255">
      <c r="A12255" s="178" t="str">
        <f>IFERROR(__xludf.DUMMYFUNCTION("""COMPUTED_VALUE"""),"ITBISA-VYBA-SENTER-KUNING-FT300")</f>
        <v>ITBISA-VYBA-SENTER-KUNING-FT300</v>
      </c>
      <c r="B12255" s="266">
        <f>IFERROR(__xludf.DUMMYFUNCTION("""COMPUTED_VALUE"""),45232.0)</f>
        <v>45232</v>
      </c>
      <c r="C12255" s="266" t="str">
        <f>IFERROR(__xludf.DUMMYFUNCTION("""COMPUTED_VALUE"""),"KYAI KONTONG")</f>
        <v>KYAI KONTONG</v>
      </c>
      <c r="D12255" s="186">
        <f>IFERROR(__xludf.DUMMYFUNCTION("""COMPUTED_VALUE"""),2.0)</f>
        <v>2</v>
      </c>
    </row>
    <row r="12256">
      <c r="A12256" s="178" t="str">
        <f>IFERROR(__xludf.DUMMYFUNCTION("""COMPUTED_VALUE"""),"ITBISA-VYBA-SENTER-KUNING-FT300")</f>
        <v>ITBISA-VYBA-SENTER-KUNING-FT300</v>
      </c>
      <c r="B12256" s="266">
        <f>IFERROR(__xludf.DUMMYFUNCTION("""COMPUTED_VALUE"""),45237.0)</f>
        <v>45237</v>
      </c>
      <c r="C12256" s="266" t="str">
        <f>IFERROR(__xludf.DUMMYFUNCTION("""COMPUTED_VALUE"""),"KYAI KONTONG")</f>
        <v>KYAI KONTONG</v>
      </c>
      <c r="D12256" s="186">
        <f>IFERROR(__xludf.DUMMYFUNCTION("""COMPUTED_VALUE"""),1.0)</f>
        <v>1</v>
      </c>
    </row>
    <row r="12257">
      <c r="A12257" s="178" t="str">
        <f>IFERROR(__xludf.DUMMYFUNCTION("""COMPUTED_VALUE"""),"ITBISA-VYBA-SENTER-KUNING-FT300")</f>
        <v>ITBISA-VYBA-SENTER-KUNING-FT300</v>
      </c>
      <c r="B12257" s="266">
        <f>IFERROR(__xludf.DUMMYFUNCTION("""COMPUTED_VALUE"""),45240.0)</f>
        <v>45240</v>
      </c>
      <c r="C12257" s="266" t="str">
        <f>IFERROR(__xludf.DUMMYFUNCTION("""COMPUTED_VALUE"""),"KYAI KONTONG")</f>
        <v>KYAI KONTONG</v>
      </c>
      <c r="D12257" s="186">
        <f>IFERROR(__xludf.DUMMYFUNCTION("""COMPUTED_VALUE"""),1.0)</f>
        <v>1</v>
      </c>
    </row>
    <row r="12258">
      <c r="A12258" s="178" t="str">
        <f>IFERROR(__xludf.DUMMYFUNCTION("""COMPUTED_VALUE"""),"ITBISA-VYBA-SENTER-KUNING-FT300")</f>
        <v>ITBISA-VYBA-SENTER-KUNING-FT300</v>
      </c>
      <c r="B12258" s="266">
        <f>IFERROR(__xludf.DUMMYFUNCTION("""COMPUTED_VALUE"""),45241.0)</f>
        <v>45241</v>
      </c>
      <c r="C12258" s="266" t="str">
        <f>IFERROR(__xludf.DUMMYFUNCTION("""COMPUTED_VALUE"""),"KYAI KONTONG")</f>
        <v>KYAI KONTONG</v>
      </c>
      <c r="D12258" s="186">
        <f>IFERROR(__xludf.DUMMYFUNCTION("""COMPUTED_VALUE"""),1.0)</f>
        <v>1</v>
      </c>
    </row>
    <row r="12259">
      <c r="A12259" s="178" t="str">
        <f>IFERROR(__xludf.DUMMYFUNCTION("""COMPUTED_VALUE"""),"ITBISA-VYBA-SENTER-KUNING-FT300")</f>
        <v>ITBISA-VYBA-SENTER-KUNING-FT300</v>
      </c>
      <c r="B12259" s="266">
        <f>IFERROR(__xludf.DUMMYFUNCTION("""COMPUTED_VALUE"""),45243.0)</f>
        <v>45243</v>
      </c>
      <c r="C12259" s="266" t="str">
        <f>IFERROR(__xludf.DUMMYFUNCTION("""COMPUTED_VALUE"""),"KYAI KONTONG")</f>
        <v>KYAI KONTONG</v>
      </c>
      <c r="D12259" s="186">
        <f>IFERROR(__xludf.DUMMYFUNCTION("""COMPUTED_VALUE"""),1.0)</f>
        <v>1</v>
      </c>
    </row>
    <row r="12260">
      <c r="A12260" s="178" t="str">
        <f>IFERROR(__xludf.DUMMYFUNCTION("""COMPUTED_VALUE"""),"ITBISA-VYBA-SENTER-KUNING-FT300")</f>
        <v>ITBISA-VYBA-SENTER-KUNING-FT300</v>
      </c>
      <c r="B12260" s="266">
        <f>IFERROR(__xludf.DUMMYFUNCTION("""COMPUTED_VALUE"""),45246.0)</f>
        <v>45246</v>
      </c>
      <c r="C12260" s="266" t="str">
        <f>IFERROR(__xludf.DUMMYFUNCTION("""COMPUTED_VALUE"""),"KYAI KONTONG")</f>
        <v>KYAI KONTONG</v>
      </c>
      <c r="D12260" s="186">
        <f>IFERROR(__xludf.DUMMYFUNCTION("""COMPUTED_VALUE"""),1.0)</f>
        <v>1</v>
      </c>
    </row>
    <row r="12261">
      <c r="A12261" s="178" t="str">
        <f>IFERROR(__xludf.DUMMYFUNCTION("""COMPUTED_VALUE"""),"ITBISA-VYBA-SENTER-KUNING-FT300")</f>
        <v>ITBISA-VYBA-SENTER-KUNING-FT300</v>
      </c>
      <c r="B12261" s="266">
        <f>IFERROR(__xludf.DUMMYFUNCTION("""COMPUTED_VALUE"""),45248.0)</f>
        <v>45248</v>
      </c>
      <c r="C12261" s="266" t="str">
        <f>IFERROR(__xludf.DUMMYFUNCTION("""COMPUTED_VALUE"""),"KYAI KONTONG")</f>
        <v>KYAI KONTONG</v>
      </c>
      <c r="D12261" s="186">
        <f>IFERROR(__xludf.DUMMYFUNCTION("""COMPUTED_VALUE"""),2.0)</f>
        <v>2</v>
      </c>
    </row>
    <row r="12262">
      <c r="A12262" s="178" t="str">
        <f>IFERROR(__xludf.DUMMYFUNCTION("""COMPUTED_VALUE"""),"ITBISA-VYBA-SENTER-KUNING-FT300")</f>
        <v>ITBISA-VYBA-SENTER-KUNING-FT300</v>
      </c>
      <c r="B12262" s="266">
        <f>IFERROR(__xludf.DUMMYFUNCTION("""COMPUTED_VALUE"""),45250.0)</f>
        <v>45250</v>
      </c>
      <c r="C12262" s="266" t="str">
        <f>IFERROR(__xludf.DUMMYFUNCTION("""COMPUTED_VALUE"""),"KYAI KONTONG")</f>
        <v>KYAI KONTONG</v>
      </c>
      <c r="D12262" s="186">
        <f>IFERROR(__xludf.DUMMYFUNCTION("""COMPUTED_VALUE"""),1.0)</f>
        <v>1</v>
      </c>
    </row>
    <row r="12263">
      <c r="A12263" s="178" t="str">
        <f>IFERROR(__xludf.DUMMYFUNCTION("""COMPUTED_VALUE"""),"ITBISA-VYBA-SENTER-KUNING-FT300")</f>
        <v>ITBISA-VYBA-SENTER-KUNING-FT300</v>
      </c>
      <c r="B12263" s="266">
        <f>IFERROR(__xludf.DUMMYFUNCTION("""COMPUTED_VALUE"""),45261.0)</f>
        <v>45261</v>
      </c>
      <c r="C12263" s="266" t="str">
        <f>IFERROR(__xludf.DUMMYFUNCTION("""COMPUTED_VALUE"""),"KYAI KONTONG")</f>
        <v>KYAI KONTONG</v>
      </c>
      <c r="D12263" s="186">
        <f>IFERROR(__xludf.DUMMYFUNCTION("""COMPUTED_VALUE"""),1.0)</f>
        <v>1</v>
      </c>
    </row>
    <row r="12264">
      <c r="A12264" s="178" t="str">
        <f>IFERROR(__xludf.DUMMYFUNCTION("""COMPUTED_VALUE"""),"ITBISA-VYBA-SENTER-KUNING-FT300")</f>
        <v>ITBISA-VYBA-SENTER-KUNING-FT300</v>
      </c>
      <c r="B12264" s="266">
        <f>IFERROR(__xludf.DUMMYFUNCTION("""COMPUTED_VALUE"""),45261.0)</f>
        <v>45261</v>
      </c>
      <c r="C12264" s="266" t="str">
        <f>IFERROR(__xludf.DUMMYFUNCTION("""COMPUTED_VALUE"""),"KYAI KONTONG")</f>
        <v>KYAI KONTONG</v>
      </c>
      <c r="D12264" s="186">
        <f>IFERROR(__xludf.DUMMYFUNCTION("""COMPUTED_VALUE"""),1.0)</f>
        <v>1</v>
      </c>
    </row>
    <row r="12265">
      <c r="A12265" s="178" t="str">
        <f>IFERROR(__xludf.DUMMYFUNCTION("""COMPUTED_VALUE"""),"ITBISA-VYBA-SENTER-KUNING-FT300")</f>
        <v>ITBISA-VYBA-SENTER-KUNING-FT300</v>
      </c>
      <c r="B12265" s="266">
        <f>IFERROR(__xludf.DUMMYFUNCTION("""COMPUTED_VALUE"""),45261.0)</f>
        <v>45261</v>
      </c>
      <c r="C12265" s="266" t="str">
        <f>IFERROR(__xludf.DUMMYFUNCTION("""COMPUTED_VALUE"""),"KYAI KONTONG")</f>
        <v>KYAI KONTONG</v>
      </c>
      <c r="D12265" s="186">
        <f>IFERROR(__xludf.DUMMYFUNCTION("""COMPUTED_VALUE"""),3.0)</f>
        <v>3</v>
      </c>
    </row>
    <row r="12266">
      <c r="A12266" s="178" t="str">
        <f>IFERROR(__xludf.DUMMYFUNCTION("""COMPUTED_VALUE"""),"ITBISA-VYBA-SENTER-KUNING-FT300")</f>
        <v>ITBISA-VYBA-SENTER-KUNING-FT300</v>
      </c>
      <c r="B12266" s="266">
        <f>IFERROR(__xludf.DUMMYFUNCTION("""COMPUTED_VALUE"""),45266.0)</f>
        <v>45266</v>
      </c>
      <c r="C12266" s="266" t="str">
        <f>IFERROR(__xludf.DUMMYFUNCTION("""COMPUTED_VALUE"""),"KYAI KONTONG")</f>
        <v>KYAI KONTONG</v>
      </c>
      <c r="D12266" s="186">
        <f>IFERROR(__xludf.DUMMYFUNCTION("""COMPUTED_VALUE"""),1.0)</f>
        <v>1</v>
      </c>
    </row>
    <row r="12267">
      <c r="A12267" s="178" t="str">
        <f>IFERROR(__xludf.DUMMYFUNCTION("""COMPUTED_VALUE"""),"ITBISA-VYBA-SENTER-KUNING-FT300")</f>
        <v>ITBISA-VYBA-SENTER-KUNING-FT300</v>
      </c>
      <c r="B12267" s="266">
        <f>IFERROR(__xludf.DUMMYFUNCTION("""COMPUTED_VALUE"""),45272.0)</f>
        <v>45272</v>
      </c>
      <c r="C12267" s="266" t="str">
        <f>IFERROR(__xludf.DUMMYFUNCTION("""COMPUTED_VALUE"""),"KYAI KONTONG")</f>
        <v>KYAI KONTONG</v>
      </c>
      <c r="D12267" s="186">
        <f>IFERROR(__xludf.DUMMYFUNCTION("""COMPUTED_VALUE"""),3.0)</f>
        <v>3</v>
      </c>
    </row>
    <row r="12268">
      <c r="A12268" s="178" t="str">
        <f>IFERROR(__xludf.DUMMYFUNCTION("""COMPUTED_VALUE"""),"ITBISA-VYBA-SENTER-KUNING-FT300")</f>
        <v>ITBISA-VYBA-SENTER-KUNING-FT300</v>
      </c>
      <c r="B12268" s="266">
        <f>IFERROR(__xludf.DUMMYFUNCTION("""COMPUTED_VALUE"""),45274.0)</f>
        <v>45274</v>
      </c>
      <c r="C12268" s="266" t="str">
        <f>IFERROR(__xludf.DUMMYFUNCTION("""COMPUTED_VALUE"""),"KYAI KONTONG")</f>
        <v>KYAI KONTONG</v>
      </c>
      <c r="D12268" s="186">
        <f>IFERROR(__xludf.DUMMYFUNCTION("""COMPUTED_VALUE"""),1.0)</f>
        <v>1</v>
      </c>
    </row>
    <row r="12269">
      <c r="A12269" s="178" t="str">
        <f>IFERROR(__xludf.DUMMYFUNCTION("""COMPUTED_VALUE"""),"ITBISA-VYBA-SENTER-KUNING-FT300")</f>
        <v>ITBISA-VYBA-SENTER-KUNING-FT300</v>
      </c>
      <c r="B12269" s="266">
        <f>IFERROR(__xludf.DUMMYFUNCTION("""COMPUTED_VALUE"""),45275.0)</f>
        <v>45275</v>
      </c>
      <c r="C12269" s="266" t="str">
        <f>IFERROR(__xludf.DUMMYFUNCTION("""COMPUTED_VALUE"""),"KYAI KONTONG")</f>
        <v>KYAI KONTONG</v>
      </c>
      <c r="D12269" s="186">
        <f>IFERROR(__xludf.DUMMYFUNCTION("""COMPUTED_VALUE"""),1.0)</f>
        <v>1</v>
      </c>
    </row>
    <row r="12270">
      <c r="A12270" s="178" t="str">
        <f>IFERROR(__xludf.DUMMYFUNCTION("""COMPUTED_VALUE"""),"ITBISA-VYBA-SENTER-KUNING-FT300")</f>
        <v>ITBISA-VYBA-SENTER-KUNING-FT300</v>
      </c>
      <c r="B12270" s="266">
        <f>IFERROR(__xludf.DUMMYFUNCTION("""COMPUTED_VALUE"""),45276.0)</f>
        <v>45276</v>
      </c>
      <c r="C12270" s="266" t="str">
        <f>IFERROR(__xludf.DUMMYFUNCTION("""COMPUTED_VALUE"""),"KYAI KONTONG")</f>
        <v>KYAI KONTONG</v>
      </c>
      <c r="D12270" s="186">
        <f>IFERROR(__xludf.DUMMYFUNCTION("""COMPUTED_VALUE"""),14.0)</f>
        <v>14</v>
      </c>
    </row>
    <row r="12271">
      <c r="A12271" s="178" t="str">
        <f>IFERROR(__xludf.DUMMYFUNCTION("""COMPUTED_VALUE"""),"ITBISA-VYBA-SENTER-KUNING-FT500")</f>
        <v>ITBISA-VYBA-SENTER-KUNING-FT500</v>
      </c>
      <c r="B12271" s="266">
        <f>IFERROR(__xludf.DUMMYFUNCTION("""COMPUTED_VALUE"""),45104.0)</f>
        <v>45104</v>
      </c>
      <c r="C12271" s="266" t="str">
        <f>IFERROR(__xludf.DUMMYFUNCTION("""COMPUTED_VALUE"""),"KYAI KONTONG")</f>
        <v>KYAI KONTONG</v>
      </c>
      <c r="D12271" s="186">
        <f>IFERROR(__xludf.DUMMYFUNCTION("""COMPUTED_VALUE"""),2.0)</f>
        <v>2</v>
      </c>
    </row>
    <row r="12272">
      <c r="A12272" s="178" t="str">
        <f>IFERROR(__xludf.DUMMYFUNCTION("""COMPUTED_VALUE"""),"ITBISA-VYBA-SENTER-KUNING-FT500")</f>
        <v>ITBISA-VYBA-SENTER-KUNING-FT500</v>
      </c>
      <c r="B12272" s="266">
        <f>IFERROR(__xludf.DUMMYFUNCTION("""COMPUTED_VALUE"""),45105.0)</f>
        <v>45105</v>
      </c>
      <c r="C12272" s="266" t="str">
        <f>IFERROR(__xludf.DUMMYFUNCTION("""COMPUTED_VALUE"""),"KYAI KONTONG")</f>
        <v>KYAI KONTONG</v>
      </c>
      <c r="D12272" s="186">
        <f>IFERROR(__xludf.DUMMYFUNCTION("""COMPUTED_VALUE"""),2.0)</f>
        <v>2</v>
      </c>
    </row>
    <row r="12273">
      <c r="A12273" s="178" t="str">
        <f>IFERROR(__xludf.DUMMYFUNCTION("""COMPUTED_VALUE"""),"ITBISA-VYBA-SENTER-KUNING-FT500")</f>
        <v>ITBISA-VYBA-SENTER-KUNING-FT500</v>
      </c>
      <c r="B12273" s="266">
        <f>IFERROR(__xludf.DUMMYFUNCTION("""COMPUTED_VALUE"""),45215.0)</f>
        <v>45215</v>
      </c>
      <c r="C12273" s="266" t="str">
        <f>IFERROR(__xludf.DUMMYFUNCTION("""COMPUTED_VALUE"""),"KYAI KONTONG")</f>
        <v>KYAI KONTONG</v>
      </c>
      <c r="D12273" s="186">
        <f>IFERROR(__xludf.DUMMYFUNCTION("""COMPUTED_VALUE"""),2.0)</f>
        <v>2</v>
      </c>
    </row>
    <row r="12274">
      <c r="A12274" s="178" t="str">
        <f>IFERROR(__xludf.DUMMYFUNCTION("""COMPUTED_VALUE"""),"ITBISA-VYBA-SENTER-KUNING-FT500")</f>
        <v>ITBISA-VYBA-SENTER-KUNING-FT500</v>
      </c>
      <c r="B12274" s="266">
        <f>IFERROR(__xludf.DUMMYFUNCTION("""COMPUTED_VALUE"""),45216.0)</f>
        <v>45216</v>
      </c>
      <c r="C12274" s="266" t="str">
        <f>IFERROR(__xludf.DUMMYFUNCTION("""COMPUTED_VALUE"""),"KYAI KONTONG")</f>
        <v>KYAI KONTONG</v>
      </c>
      <c r="D12274" s="186">
        <f>IFERROR(__xludf.DUMMYFUNCTION("""COMPUTED_VALUE"""),1.0)</f>
        <v>1</v>
      </c>
    </row>
    <row r="12275">
      <c r="A12275" s="178" t="str">
        <f>IFERROR(__xludf.DUMMYFUNCTION("""COMPUTED_VALUE"""),"ITBISA-VYBA-SENTER-KUNING-FT500")</f>
        <v>ITBISA-VYBA-SENTER-KUNING-FT500</v>
      </c>
      <c r="B12275" s="266">
        <f>IFERROR(__xludf.DUMMYFUNCTION("""COMPUTED_VALUE"""),45233.0)</f>
        <v>45233</v>
      </c>
      <c r="C12275" s="266" t="str">
        <f>IFERROR(__xludf.DUMMYFUNCTION("""COMPUTED_VALUE"""),"KYAI KONTONG")</f>
        <v>KYAI KONTONG</v>
      </c>
      <c r="D12275" s="186">
        <f>IFERROR(__xludf.DUMMYFUNCTION("""COMPUTED_VALUE"""),1.0)</f>
        <v>1</v>
      </c>
    </row>
    <row r="12276">
      <c r="A12276" s="178" t="str">
        <f>IFERROR(__xludf.DUMMYFUNCTION("""COMPUTED_VALUE"""),"ITBISA-WEMOS-D1-MINI-ESP8266")</f>
        <v>ITBISA-WEMOS-D1-MINI-ESP8266</v>
      </c>
      <c r="B12276" s="266">
        <f>IFERROR(__xludf.DUMMYFUNCTION("""COMPUTED_VALUE"""),45369.0)</f>
        <v>45369</v>
      </c>
      <c r="C12276" s="266" t="str">
        <f>IFERROR(__xludf.DUMMYFUNCTION("""COMPUTED_VALUE"""),"KYAI KONTONG")</f>
        <v>KYAI KONTONG</v>
      </c>
      <c r="D12276" s="186">
        <f>IFERROR(__xludf.DUMMYFUNCTION("""COMPUTED_VALUE"""),2.0)</f>
        <v>2</v>
      </c>
    </row>
    <row r="12277">
      <c r="A12277" s="178" t="str">
        <f>IFERROR(__xludf.DUMMYFUNCTION("""COMPUTED_VALUE"""),"ITBISA-WEMOS-D1-MINI-ESP8266")</f>
        <v>ITBISA-WEMOS-D1-MINI-ESP8266</v>
      </c>
      <c r="B12277" s="266">
        <f>IFERROR(__xludf.DUMMYFUNCTION("""COMPUTED_VALUE"""),45375.0)</f>
        <v>45375</v>
      </c>
      <c r="C12277" s="266" t="str">
        <f>IFERROR(__xludf.DUMMYFUNCTION("""COMPUTED_VALUE"""),"KYAI KONTONG")</f>
        <v>KYAI KONTONG</v>
      </c>
      <c r="D12277" s="186">
        <f>IFERROR(__xludf.DUMMYFUNCTION("""COMPUTED_VALUE"""),1.0)</f>
        <v>1</v>
      </c>
    </row>
    <row r="12278">
      <c r="A12278" s="178" t="str">
        <f>IFERROR(__xludf.DUMMYFUNCTION("""COMPUTED_VALUE"""),"ITBISA-WEMOS-D1-MINI-ESP8266")</f>
        <v>ITBISA-WEMOS-D1-MINI-ESP8266</v>
      </c>
      <c r="B12278" s="266">
        <f>IFERROR(__xludf.DUMMYFUNCTION("""COMPUTED_VALUE"""),45380.0)</f>
        <v>45380</v>
      </c>
      <c r="C12278" s="266" t="str">
        <f>IFERROR(__xludf.DUMMYFUNCTION("""COMPUTED_VALUE"""),"KYAI KONTONG")</f>
        <v>KYAI KONTONG</v>
      </c>
      <c r="D12278" s="186">
        <f>IFERROR(__xludf.DUMMYFUNCTION("""COMPUTED_VALUE"""),5.0)</f>
        <v>5</v>
      </c>
    </row>
    <row r="12279">
      <c r="A12279" s="178" t="str">
        <f>IFERROR(__xludf.DUMMYFUNCTION("""COMPUTED_VALUE"""),"ITBISA-WEMOS-D1-MINI-ESP8266")</f>
        <v>ITBISA-WEMOS-D1-MINI-ESP8266</v>
      </c>
      <c r="B12279" s="266">
        <f>IFERROR(__xludf.DUMMYFUNCTION("""COMPUTED_VALUE"""),45381.0)</f>
        <v>45381</v>
      </c>
      <c r="C12279" s="266" t="str">
        <f>IFERROR(__xludf.DUMMYFUNCTION("""COMPUTED_VALUE"""),"KERTASARI CIAMIS")</f>
        <v>KERTASARI CIAMIS</v>
      </c>
      <c r="D12279" s="186">
        <f>IFERROR(__xludf.DUMMYFUNCTION("""COMPUTED_VALUE"""),2.0)</f>
        <v>2</v>
      </c>
    </row>
    <row r="12280">
      <c r="A12280" s="178" t="str">
        <f>IFERROR(__xludf.DUMMYFUNCTION("""COMPUTED_VALUE"""),"ITBISA-WEMOS-D1-MINI-ESP8266")</f>
        <v>ITBISA-WEMOS-D1-MINI-ESP8266</v>
      </c>
      <c r="B12280" s="266">
        <f>IFERROR(__xludf.DUMMYFUNCTION("""COMPUTED_VALUE"""),45385.0)</f>
        <v>45385</v>
      </c>
      <c r="C12280" s="266" t="str">
        <f>IFERROR(__xludf.DUMMYFUNCTION("""COMPUTED_VALUE"""),"KYAI KONTONG")</f>
        <v>KYAI KONTONG</v>
      </c>
      <c r="D12280" s="186">
        <f>IFERROR(__xludf.DUMMYFUNCTION("""COMPUTED_VALUE"""),5.0)</f>
        <v>5</v>
      </c>
    </row>
    <row r="12281">
      <c r="A12281" s="178" t="str">
        <f>IFERROR(__xludf.DUMMYFUNCTION("""COMPUTED_VALUE"""),"ITBISA-WEMOS-D1-MINI-ESP8266")</f>
        <v>ITBISA-WEMOS-D1-MINI-ESP8266</v>
      </c>
      <c r="B12281" s="266">
        <f>IFERROR(__xludf.DUMMYFUNCTION("""COMPUTED_VALUE"""),45394.0)</f>
        <v>45394</v>
      </c>
      <c r="C12281" s="266" t="str">
        <f>IFERROR(__xludf.DUMMYFUNCTION("""COMPUTED_VALUE"""),"KERTASARI CIAMIS")</f>
        <v>KERTASARI CIAMIS</v>
      </c>
      <c r="D12281" s="186">
        <f>IFERROR(__xludf.DUMMYFUNCTION("""COMPUTED_VALUE"""),3.0)</f>
        <v>3</v>
      </c>
    </row>
    <row r="12282">
      <c r="A12282" s="178" t="str">
        <f>IFERROR(__xludf.DUMMYFUNCTION("""COMPUTED_VALUE"""),"ITBISA-WEMOS-D1-MINI-ESP8266")</f>
        <v>ITBISA-WEMOS-D1-MINI-ESP8266</v>
      </c>
      <c r="B12282" s="266">
        <f>IFERROR(__xludf.DUMMYFUNCTION("""COMPUTED_VALUE"""),45399.0)</f>
        <v>45399</v>
      </c>
      <c r="C12282" s="266" t="str">
        <f>IFERROR(__xludf.DUMMYFUNCTION("""COMPUTED_VALUE"""),"KYAI KONTONG")</f>
        <v>KYAI KONTONG</v>
      </c>
      <c r="D12282" s="186">
        <f>IFERROR(__xludf.DUMMYFUNCTION("""COMPUTED_VALUE"""),1.0)</f>
        <v>1</v>
      </c>
    </row>
    <row r="12283">
      <c r="A12283" s="178" t="str">
        <f>IFERROR(__xludf.DUMMYFUNCTION("""COMPUTED_VALUE"""),"ITBISA-WEMOS-D1-MINI-ESP8266")</f>
        <v>ITBISA-WEMOS-D1-MINI-ESP8266</v>
      </c>
      <c r="B12283" s="266">
        <f>IFERROR(__xludf.DUMMYFUNCTION("""COMPUTED_VALUE"""),45399.0)</f>
        <v>45399</v>
      </c>
      <c r="C12283" s="266" t="str">
        <f>IFERROR(__xludf.DUMMYFUNCTION("""COMPUTED_VALUE"""),"KYAI KONTONG")</f>
        <v>KYAI KONTONG</v>
      </c>
      <c r="D12283" s="186">
        <f>IFERROR(__xludf.DUMMYFUNCTION("""COMPUTED_VALUE"""),5.0)</f>
        <v>5</v>
      </c>
    </row>
    <row r="12284">
      <c r="A12284" s="178" t="str">
        <f>IFERROR(__xludf.DUMMYFUNCTION("""COMPUTED_VALUE"""),"ITBISA-WEMOS-D1-MINI-ESP8266")</f>
        <v>ITBISA-WEMOS-D1-MINI-ESP8266</v>
      </c>
      <c r="B12284" s="266">
        <f>IFERROR(__xludf.DUMMYFUNCTION("""COMPUTED_VALUE"""),45403.0)</f>
        <v>45403</v>
      </c>
      <c r="C12284" s="266" t="str">
        <f>IFERROR(__xludf.DUMMYFUNCTION("""COMPUTED_VALUE"""),"KERTASARI CIAMIS")</f>
        <v>KERTASARI CIAMIS</v>
      </c>
      <c r="D12284" s="186">
        <f>IFERROR(__xludf.DUMMYFUNCTION("""COMPUTED_VALUE"""),20.0)</f>
        <v>20</v>
      </c>
    </row>
    <row r="12285">
      <c r="A12285" s="178" t="str">
        <f>IFERROR(__xludf.DUMMYFUNCTION("""COMPUTED_VALUE"""),"ITBISA-WEMOS-D1-MINI-ESP8266")</f>
        <v>ITBISA-WEMOS-D1-MINI-ESP8266</v>
      </c>
      <c r="B12285" s="266">
        <f>IFERROR(__xludf.DUMMYFUNCTION("""COMPUTED_VALUE"""),45415.0)</f>
        <v>45415</v>
      </c>
      <c r="C12285" s="266" t="str">
        <f>IFERROR(__xludf.DUMMYFUNCTION("""COMPUTED_VALUE"""),"KYAI KONTONG")</f>
        <v>KYAI KONTONG</v>
      </c>
      <c r="D12285" s="186">
        <f>IFERROR(__xludf.DUMMYFUNCTION("""COMPUTED_VALUE"""),3.0)</f>
        <v>3</v>
      </c>
    </row>
    <row r="12286">
      <c r="A12286" s="178" t="str">
        <f>IFERROR(__xludf.DUMMYFUNCTION("""COMPUTED_VALUE"""),"ITBISA-WEMOS-D1-MINI-ESP8266")</f>
        <v>ITBISA-WEMOS-D1-MINI-ESP8266</v>
      </c>
      <c r="B12286" s="266">
        <f>IFERROR(__xludf.DUMMYFUNCTION("""COMPUTED_VALUE"""),45432.0)</f>
        <v>45432</v>
      </c>
      <c r="C12286" s="266" t="str">
        <f>IFERROR(__xludf.DUMMYFUNCTION("""COMPUTED_VALUE"""),"KYAI KONTONG")</f>
        <v>KYAI KONTONG</v>
      </c>
      <c r="D12286" s="186">
        <f>IFERROR(__xludf.DUMMYFUNCTION("""COMPUTED_VALUE"""),15.0)</f>
        <v>15</v>
      </c>
    </row>
    <row r="12287">
      <c r="A12287" s="178" t="str">
        <f>IFERROR(__xludf.DUMMYFUNCTION("""COMPUTED_VALUE"""),"ITBISA-WEMOS-D1-MINI-ESP8266")</f>
        <v>ITBISA-WEMOS-D1-MINI-ESP8266</v>
      </c>
      <c r="B12287" s="266">
        <f>IFERROR(__xludf.DUMMYFUNCTION("""COMPUTED_VALUE"""),45434.0)</f>
        <v>45434</v>
      </c>
      <c r="C12287" s="266" t="str">
        <f>IFERROR(__xludf.DUMMYFUNCTION("""COMPUTED_VALUE"""),"KYAI KONTONG")</f>
        <v>KYAI KONTONG</v>
      </c>
      <c r="D12287" s="186">
        <f>IFERROR(__xludf.DUMMYFUNCTION("""COMPUTED_VALUE"""),5.0)</f>
        <v>5</v>
      </c>
    </row>
    <row r="12288">
      <c r="A12288" s="178" t="str">
        <f>IFERROR(__xludf.DUMMYFUNCTION("""COMPUTED_VALUE"""),"ITBISA-WEMOS-D1-MINI-ESP8266")</f>
        <v>ITBISA-WEMOS-D1-MINI-ESP8266</v>
      </c>
      <c r="B12288" s="266">
        <f>IFERROR(__xludf.DUMMYFUNCTION("""COMPUTED_VALUE"""),45441.0)</f>
        <v>45441</v>
      </c>
      <c r="C12288" s="266" t="str">
        <f>IFERROR(__xludf.DUMMYFUNCTION("""COMPUTED_VALUE"""),"KERTASARI CIAMIS")</f>
        <v>KERTASARI CIAMIS</v>
      </c>
      <c r="D12288" s="186">
        <f>IFERROR(__xludf.DUMMYFUNCTION("""COMPUTED_VALUE"""),1.0)</f>
        <v>1</v>
      </c>
    </row>
    <row r="12289">
      <c r="A12289" s="178" t="str">
        <f>IFERROR(__xludf.DUMMYFUNCTION("""COMPUTED_VALUE"""),"ITBISA-WEMOS-D1-MINI-ESP8266")</f>
        <v>ITBISA-WEMOS-D1-MINI-ESP8266</v>
      </c>
      <c r="B12289" s="266">
        <f>IFERROR(__xludf.DUMMYFUNCTION("""COMPUTED_VALUE"""),45454.0)</f>
        <v>45454</v>
      </c>
      <c r="C12289" s="266" t="str">
        <f>IFERROR(__xludf.DUMMYFUNCTION("""COMPUTED_VALUE"""),"KYAI KONTONG")</f>
        <v>KYAI KONTONG</v>
      </c>
      <c r="D12289" s="186">
        <f>IFERROR(__xludf.DUMMYFUNCTION("""COMPUTED_VALUE"""),1.0)</f>
        <v>1</v>
      </c>
    </row>
    <row r="12290">
      <c r="A12290" s="178" t="str">
        <f>IFERROR(__xludf.DUMMYFUNCTION("""COMPUTED_VALUE"""),"ITBISA-WEMOS-D1-MINI-ESP8266")</f>
        <v>ITBISA-WEMOS-D1-MINI-ESP8266</v>
      </c>
      <c r="B12290" s="266">
        <f>IFERROR(__xludf.DUMMYFUNCTION("""COMPUTED_VALUE"""),45458.0)</f>
        <v>45458</v>
      </c>
      <c r="C12290" s="266" t="str">
        <f>IFERROR(__xludf.DUMMYFUNCTION("""COMPUTED_VALUE"""),"KYAI KONTONG")</f>
        <v>KYAI KONTONG</v>
      </c>
      <c r="D12290" s="186">
        <f>IFERROR(__xludf.DUMMYFUNCTION("""COMPUTED_VALUE"""),3.0)</f>
        <v>3</v>
      </c>
    </row>
    <row r="12291">
      <c r="A12291" s="178" t="str">
        <f>IFERROR(__xludf.DUMMYFUNCTION("""COMPUTED_VALUE"""),"ITBISA-WEMOS-D1-MINI-ESP8266")</f>
        <v>ITBISA-WEMOS-D1-MINI-ESP8266</v>
      </c>
      <c r="B12291" s="266">
        <f>IFERROR(__xludf.DUMMYFUNCTION("""COMPUTED_VALUE"""),45468.0)</f>
        <v>45468</v>
      </c>
      <c r="C12291" s="266" t="str">
        <f>IFERROR(__xludf.DUMMYFUNCTION("""COMPUTED_VALUE"""),"KERTASARI CIAMIS")</f>
        <v>KERTASARI CIAMIS</v>
      </c>
      <c r="D12291" s="186">
        <f>IFERROR(__xludf.DUMMYFUNCTION("""COMPUTED_VALUE"""),2.0)</f>
        <v>2</v>
      </c>
    </row>
    <row r="12292">
      <c r="A12292" s="178" t="str">
        <f>IFERROR(__xludf.DUMMYFUNCTION("""COMPUTED_VALUE"""),"ITBISA-WEMOS-D1-MINI-ESP8266")</f>
        <v>ITBISA-WEMOS-D1-MINI-ESP8266</v>
      </c>
      <c r="B12292" s="266">
        <f>IFERROR(__xludf.DUMMYFUNCTION("""COMPUTED_VALUE"""),45470.0)</f>
        <v>45470</v>
      </c>
      <c r="C12292" s="266" t="str">
        <f>IFERROR(__xludf.DUMMYFUNCTION("""COMPUTED_VALUE"""),"KYAI KONTONG")</f>
        <v>KYAI KONTONG</v>
      </c>
      <c r="D12292" s="186">
        <f>IFERROR(__xludf.DUMMYFUNCTION("""COMPUTED_VALUE"""),3.0)</f>
        <v>3</v>
      </c>
    </row>
    <row r="12293">
      <c r="A12293" s="178" t="str">
        <f>IFERROR(__xludf.DUMMYFUNCTION("""COMPUTED_VALUE"""),"ITBISA-WEMOS-D1-MINI-ESP8266")</f>
        <v>ITBISA-WEMOS-D1-MINI-ESP8266</v>
      </c>
      <c r="B12293" s="266">
        <f>IFERROR(__xludf.DUMMYFUNCTION("""COMPUTED_VALUE"""),45473.0)</f>
        <v>45473</v>
      </c>
      <c r="C12293" s="266" t="str">
        <f>IFERROR(__xludf.DUMMYFUNCTION("""COMPUTED_VALUE"""),"KYAI KONTONG")</f>
        <v>KYAI KONTONG</v>
      </c>
      <c r="D12293" s="186">
        <f>IFERROR(__xludf.DUMMYFUNCTION("""COMPUTED_VALUE"""),3.0)</f>
        <v>3</v>
      </c>
    </row>
    <row r="12294">
      <c r="A12294" s="178" t="str">
        <f>IFERROR(__xludf.DUMMYFUNCTION("""COMPUTED_VALUE"""),"ITBISA-WEMOS-D1-MINI-ESP8266")</f>
        <v>ITBISA-WEMOS-D1-MINI-ESP8266</v>
      </c>
      <c r="B12294" s="266">
        <f>IFERROR(__xludf.DUMMYFUNCTION("""COMPUTED_VALUE"""),45477.0)</f>
        <v>45477</v>
      </c>
      <c r="C12294" s="266" t="str">
        <f>IFERROR(__xludf.DUMMYFUNCTION("""COMPUTED_VALUE"""),"KYAI KONTONG")</f>
        <v>KYAI KONTONG</v>
      </c>
      <c r="D12294" s="186">
        <f>IFERROR(__xludf.DUMMYFUNCTION("""COMPUTED_VALUE"""),1.0)</f>
        <v>1</v>
      </c>
    </row>
    <row r="12295">
      <c r="A12295" s="178" t="str">
        <f>IFERROR(__xludf.DUMMYFUNCTION("""COMPUTED_VALUE"""),"ITBISA-WEMOS-D1-MINI-ESP8266")</f>
        <v>ITBISA-WEMOS-D1-MINI-ESP8266</v>
      </c>
      <c r="B12295" s="266">
        <f>IFERROR(__xludf.DUMMYFUNCTION("""COMPUTED_VALUE"""),45479.0)</f>
        <v>45479</v>
      </c>
      <c r="C12295" s="266" t="str">
        <f>IFERROR(__xludf.DUMMYFUNCTION("""COMPUTED_VALUE"""),"KERTASARI CIAMIS")</f>
        <v>KERTASARI CIAMIS</v>
      </c>
      <c r="D12295" s="186">
        <f>IFERROR(__xludf.DUMMYFUNCTION("""COMPUTED_VALUE"""),1.0)</f>
        <v>1</v>
      </c>
    </row>
    <row r="12296">
      <c r="A12296" s="178" t="str">
        <f>IFERROR(__xludf.DUMMYFUNCTION("""COMPUTED_VALUE"""),"ITBISA-WEMOS-D1-MINI-ESP8266")</f>
        <v>ITBISA-WEMOS-D1-MINI-ESP8266</v>
      </c>
      <c r="B12296" s="266">
        <f>IFERROR(__xludf.DUMMYFUNCTION("""COMPUTED_VALUE"""),45480.0)</f>
        <v>45480</v>
      </c>
      <c r="C12296" s="266" t="str">
        <f>IFERROR(__xludf.DUMMYFUNCTION("""COMPUTED_VALUE"""),"KERTASARI CIAMIS")</f>
        <v>KERTASARI CIAMIS</v>
      </c>
      <c r="D12296" s="186">
        <f>IFERROR(__xludf.DUMMYFUNCTION("""COMPUTED_VALUE"""),2.0)</f>
        <v>2</v>
      </c>
    </row>
    <row r="12297">
      <c r="A12297" s="178" t="str">
        <f>IFERROR(__xludf.DUMMYFUNCTION("""COMPUTED_VALUE"""),"ITBISA-WEMOS-D1-MINI-ESP8266")</f>
        <v>ITBISA-WEMOS-D1-MINI-ESP8266</v>
      </c>
      <c r="B12297" s="266">
        <f>IFERROR(__xludf.DUMMYFUNCTION("""COMPUTED_VALUE"""),45484.0)</f>
        <v>45484</v>
      </c>
      <c r="C12297" s="266" t="str">
        <f>IFERROR(__xludf.DUMMYFUNCTION("""COMPUTED_VALUE"""),"KYAI KONTONG")</f>
        <v>KYAI KONTONG</v>
      </c>
      <c r="D12297" s="186">
        <f>IFERROR(__xludf.DUMMYFUNCTION("""COMPUTED_VALUE"""),1.0)</f>
        <v>1</v>
      </c>
    </row>
    <row r="12298">
      <c r="A12298" s="178" t="str">
        <f>IFERROR(__xludf.DUMMYFUNCTION("""COMPUTED_VALUE"""),"ITBISA-WEMOS-D1-MINI-ESP8266")</f>
        <v>ITBISA-WEMOS-D1-MINI-ESP8266</v>
      </c>
      <c r="B12298" s="266">
        <f>IFERROR(__xludf.DUMMYFUNCTION("""COMPUTED_VALUE"""),45491.0)</f>
        <v>45491</v>
      </c>
      <c r="C12298" s="266" t="str">
        <f>IFERROR(__xludf.DUMMYFUNCTION("""COMPUTED_VALUE"""),"KERTASARI CIAMIS")</f>
        <v>KERTASARI CIAMIS</v>
      </c>
      <c r="D12298" s="186">
        <f>IFERROR(__xludf.DUMMYFUNCTION("""COMPUTED_VALUE"""),2.0)</f>
        <v>2</v>
      </c>
    </row>
    <row r="12299">
      <c r="A12299" s="178" t="str">
        <f>IFERROR(__xludf.DUMMYFUNCTION("""COMPUTED_VALUE"""),"ITBISA-WEMOS-D1-MINI-ESP8266")</f>
        <v>ITBISA-WEMOS-D1-MINI-ESP8266</v>
      </c>
      <c r="B12299" s="266">
        <f>IFERROR(__xludf.DUMMYFUNCTION("""COMPUTED_VALUE"""),45497.0)</f>
        <v>45497</v>
      </c>
      <c r="C12299" s="266" t="str">
        <f>IFERROR(__xludf.DUMMYFUNCTION("""COMPUTED_VALUE"""),"KYAI KONTONG")</f>
        <v>KYAI KONTONG</v>
      </c>
      <c r="D12299" s="186">
        <f>IFERROR(__xludf.DUMMYFUNCTION("""COMPUTED_VALUE"""),2.0)</f>
        <v>2</v>
      </c>
    </row>
    <row r="12300">
      <c r="A12300" s="178" t="str">
        <f>IFERROR(__xludf.DUMMYFUNCTION("""COMPUTED_VALUE"""),"ITBISA-WEMOS-D1-MINI-ESP8266")</f>
        <v>ITBISA-WEMOS-D1-MINI-ESP8266</v>
      </c>
      <c r="B12300" s="266">
        <f>IFERROR(__xludf.DUMMYFUNCTION("""COMPUTED_VALUE"""),45498.0)</f>
        <v>45498</v>
      </c>
      <c r="C12300" s="266" t="str">
        <f>IFERROR(__xludf.DUMMYFUNCTION("""COMPUTED_VALUE"""),"KERTASARI CIAMIS")</f>
        <v>KERTASARI CIAMIS</v>
      </c>
      <c r="D12300" s="186">
        <f>IFERROR(__xludf.DUMMYFUNCTION("""COMPUTED_VALUE"""),3.0)</f>
        <v>3</v>
      </c>
    </row>
    <row r="12301">
      <c r="A12301" s="178" t="str">
        <f>IFERROR(__xludf.DUMMYFUNCTION("""COMPUTED_VALUE"""),"ITBISA-WEMOS-D1-MINI-ESP8266")</f>
        <v>ITBISA-WEMOS-D1-MINI-ESP8266</v>
      </c>
      <c r="B12301" s="266">
        <f>IFERROR(__xludf.DUMMYFUNCTION("""COMPUTED_VALUE"""),45498.0)</f>
        <v>45498</v>
      </c>
      <c r="C12301" s="266" t="str">
        <f>IFERROR(__xludf.DUMMYFUNCTION("""COMPUTED_VALUE"""),"KYAI KONTONG")</f>
        <v>KYAI KONTONG</v>
      </c>
      <c r="D12301" s="186">
        <f>IFERROR(__xludf.DUMMYFUNCTION("""COMPUTED_VALUE"""),4.0)</f>
        <v>4</v>
      </c>
    </row>
    <row r="12302">
      <c r="A12302" s="178" t="str">
        <f>IFERROR(__xludf.DUMMYFUNCTION("""COMPUTED_VALUE"""),"ITBISA-WEMOS-D1-MINI-ESP8266")</f>
        <v>ITBISA-WEMOS-D1-MINI-ESP8266</v>
      </c>
      <c r="B12302" s="266">
        <f>IFERROR(__xludf.DUMMYFUNCTION("""COMPUTED_VALUE"""),45502.0)</f>
        <v>45502</v>
      </c>
      <c r="C12302" s="266" t="str">
        <f>IFERROR(__xludf.DUMMYFUNCTION("""COMPUTED_VALUE"""),"KYAI KONTONG")</f>
        <v>KYAI KONTONG</v>
      </c>
      <c r="D12302" s="186">
        <f>IFERROR(__xludf.DUMMYFUNCTION("""COMPUTED_VALUE"""),1.0)</f>
        <v>1</v>
      </c>
    </row>
    <row r="12303">
      <c r="A12303" s="178" t="str">
        <f>IFERROR(__xludf.DUMMYFUNCTION("""COMPUTED_VALUE"""),"ITBISA-WEMOS-D1-MINI-ESP8266")</f>
        <v>ITBISA-WEMOS-D1-MINI-ESP8266</v>
      </c>
      <c r="B12303" s="266">
        <f>IFERROR(__xludf.DUMMYFUNCTION("""COMPUTED_VALUE"""),45509.0)</f>
        <v>45509</v>
      </c>
      <c r="C12303" s="266" t="str">
        <f>IFERROR(__xludf.DUMMYFUNCTION("""COMPUTED_VALUE"""),"KYAI KONTONG")</f>
        <v>KYAI KONTONG</v>
      </c>
      <c r="D12303" s="186">
        <f>IFERROR(__xludf.DUMMYFUNCTION("""COMPUTED_VALUE"""),4.0)</f>
        <v>4</v>
      </c>
    </row>
    <row r="12304">
      <c r="A12304" s="178" t="str">
        <f>IFERROR(__xludf.DUMMYFUNCTION("""COMPUTED_VALUE"""),"ITBISA-WEMOS-D1-MINI-ESP8266")</f>
        <v>ITBISA-WEMOS-D1-MINI-ESP8266</v>
      </c>
      <c r="B12304" s="266">
        <f>IFERROR(__xludf.DUMMYFUNCTION("""COMPUTED_VALUE"""),45514.0)</f>
        <v>45514</v>
      </c>
      <c r="C12304" s="266" t="str">
        <f>IFERROR(__xludf.DUMMYFUNCTION("""COMPUTED_VALUE"""),"KERTASARI CIAMIS")</f>
        <v>KERTASARI CIAMIS</v>
      </c>
      <c r="D12304" s="186">
        <f>IFERROR(__xludf.DUMMYFUNCTION("""COMPUTED_VALUE"""),2.0)</f>
        <v>2</v>
      </c>
    </row>
    <row r="12305">
      <c r="A12305" s="178" t="str">
        <f>IFERROR(__xludf.DUMMYFUNCTION("""COMPUTED_VALUE"""),"ITBISA-WEMOS-D1-MINI-ESP8266")</f>
        <v>ITBISA-WEMOS-D1-MINI-ESP8266</v>
      </c>
      <c r="B12305" s="266">
        <f>IFERROR(__xludf.DUMMYFUNCTION("""COMPUTED_VALUE"""),45517.0)</f>
        <v>45517</v>
      </c>
      <c r="C12305" s="266" t="str">
        <f>IFERROR(__xludf.DUMMYFUNCTION("""COMPUTED_VALUE"""),"KYAI KONTONG")</f>
        <v>KYAI KONTONG</v>
      </c>
      <c r="D12305" s="186">
        <f>IFERROR(__xludf.DUMMYFUNCTION("""COMPUTED_VALUE"""),10.0)</f>
        <v>10</v>
      </c>
    </row>
    <row r="12306">
      <c r="A12306" s="178" t="str">
        <f>IFERROR(__xludf.DUMMYFUNCTION("""COMPUTED_VALUE"""),"ITBISA-WEMOS-D1-MINI-ESP8266")</f>
        <v>ITBISA-WEMOS-D1-MINI-ESP8266</v>
      </c>
      <c r="B12306" s="266">
        <f>IFERROR(__xludf.DUMMYFUNCTION("""COMPUTED_VALUE"""),45524.0)</f>
        <v>45524</v>
      </c>
      <c r="C12306" s="266" t="str">
        <f>IFERROR(__xludf.DUMMYFUNCTION("""COMPUTED_VALUE"""),"KYAI KONTONG")</f>
        <v>KYAI KONTONG</v>
      </c>
      <c r="D12306" s="186">
        <f>IFERROR(__xludf.DUMMYFUNCTION("""COMPUTED_VALUE"""),1.0)</f>
        <v>1</v>
      </c>
    </row>
    <row r="12307">
      <c r="A12307" s="178" t="str">
        <f>IFERROR(__xludf.DUMMYFUNCTION("""COMPUTED_VALUE"""),"ITBISA-WEMOS-D1-MINI-ESP8266")</f>
        <v>ITBISA-WEMOS-D1-MINI-ESP8266</v>
      </c>
      <c r="B12307" s="266">
        <f>IFERROR(__xludf.DUMMYFUNCTION("""COMPUTED_VALUE"""),45525.0)</f>
        <v>45525</v>
      </c>
      <c r="C12307" s="266" t="str">
        <f>IFERROR(__xludf.DUMMYFUNCTION("""COMPUTED_VALUE"""),"KERTASARI CIAMIS")</f>
        <v>KERTASARI CIAMIS</v>
      </c>
      <c r="D12307" s="186">
        <f>IFERROR(__xludf.DUMMYFUNCTION("""COMPUTED_VALUE"""),1.0)</f>
        <v>1</v>
      </c>
    </row>
    <row r="12308">
      <c r="A12308" s="178" t="str">
        <f>IFERROR(__xludf.DUMMYFUNCTION("""COMPUTED_VALUE"""),"ITBISA-WEMOS-D1-MINI-ESP8266")</f>
        <v>ITBISA-WEMOS-D1-MINI-ESP8266</v>
      </c>
      <c r="B12308" s="266">
        <f>IFERROR(__xludf.DUMMYFUNCTION("""COMPUTED_VALUE"""),45527.0)</f>
        <v>45527</v>
      </c>
      <c r="C12308" s="266" t="str">
        <f>IFERROR(__xludf.DUMMYFUNCTION("""COMPUTED_VALUE"""),"KERTASARI CIAMIS")</f>
        <v>KERTASARI CIAMIS</v>
      </c>
      <c r="D12308" s="186">
        <f>IFERROR(__xludf.DUMMYFUNCTION("""COMPUTED_VALUE"""),16.0)</f>
        <v>16</v>
      </c>
    </row>
    <row r="12309">
      <c r="A12309" s="178" t="str">
        <f>IFERROR(__xludf.DUMMYFUNCTION("""COMPUTED_VALUE"""),"ITBISA-WEMOS-D1-MINI-ESP8266")</f>
        <v>ITBISA-WEMOS-D1-MINI-ESP8266</v>
      </c>
      <c r="B12309" s="266">
        <f>IFERROR(__xludf.DUMMYFUNCTION("""COMPUTED_VALUE"""),45528.0)</f>
        <v>45528</v>
      </c>
      <c r="C12309" s="266" t="str">
        <f>IFERROR(__xludf.DUMMYFUNCTION("""COMPUTED_VALUE"""),"KERTASARI CIAMIS")</f>
        <v>KERTASARI CIAMIS</v>
      </c>
      <c r="D12309" s="186">
        <f>IFERROR(__xludf.DUMMYFUNCTION("""COMPUTED_VALUE"""),2.0)</f>
        <v>2</v>
      </c>
    </row>
    <row r="12310">
      <c r="A12310" s="178" t="str">
        <f>IFERROR(__xludf.DUMMYFUNCTION("""COMPUTED_VALUE"""),"ITBISA-WEMOS-D1-MINI-ESP8266")</f>
        <v>ITBISA-WEMOS-D1-MINI-ESP8266</v>
      </c>
      <c r="B12310" s="266">
        <f>IFERROR(__xludf.DUMMYFUNCTION("""COMPUTED_VALUE"""),45531.0)</f>
        <v>45531</v>
      </c>
      <c r="C12310" s="266" t="str">
        <f>IFERROR(__xludf.DUMMYFUNCTION("""COMPUTED_VALUE"""),"KYAI KONTONG")</f>
        <v>KYAI KONTONG</v>
      </c>
      <c r="D12310" s="186">
        <f>IFERROR(__xludf.DUMMYFUNCTION("""COMPUTED_VALUE"""),10.0)</f>
        <v>10</v>
      </c>
    </row>
    <row r="12311">
      <c r="A12311" s="178" t="str">
        <f>IFERROR(__xludf.DUMMYFUNCTION("""COMPUTED_VALUE"""),"ITBISA-WEMOS-D1-MINI-ESP8266")</f>
        <v>ITBISA-WEMOS-D1-MINI-ESP8266</v>
      </c>
      <c r="B12311" s="266">
        <f>IFERROR(__xludf.DUMMYFUNCTION("""COMPUTED_VALUE"""),45533.0)</f>
        <v>45533</v>
      </c>
      <c r="C12311" s="266" t="str">
        <f>IFERROR(__xludf.DUMMYFUNCTION("""COMPUTED_VALUE"""),"KYAI KONTONG")</f>
        <v>KYAI KONTONG</v>
      </c>
      <c r="D12311" s="186">
        <f>IFERROR(__xludf.DUMMYFUNCTION("""COMPUTED_VALUE"""),1.0)</f>
        <v>1</v>
      </c>
    </row>
    <row r="12312">
      <c r="A12312" s="178" t="str">
        <f>IFERROR(__xludf.DUMMYFUNCTION("""COMPUTED_VALUE"""),"ITBISA-WEMOS-D1-MINI-ESP8266")</f>
        <v>ITBISA-WEMOS-D1-MINI-ESP8266</v>
      </c>
      <c r="B12312" s="266">
        <f>IFERROR(__xludf.DUMMYFUNCTION("""COMPUTED_VALUE"""),45538.0)</f>
        <v>45538</v>
      </c>
      <c r="C12312" s="266" t="str">
        <f>IFERROR(__xludf.DUMMYFUNCTION("""COMPUTED_VALUE"""),"KYAI KONTONG")</f>
        <v>KYAI KONTONG</v>
      </c>
      <c r="D12312" s="186">
        <f>IFERROR(__xludf.DUMMYFUNCTION("""COMPUTED_VALUE"""),2.0)</f>
        <v>2</v>
      </c>
    </row>
    <row r="12313">
      <c r="A12313" s="178" t="str">
        <f>IFERROR(__xludf.DUMMYFUNCTION("""COMPUTED_VALUE"""),"ITBISA-WEMOS-D1-MINI-ESP8266")</f>
        <v>ITBISA-WEMOS-D1-MINI-ESP8266</v>
      </c>
      <c r="B12313" s="266">
        <f>IFERROR(__xludf.DUMMYFUNCTION("""COMPUTED_VALUE"""),45566.0)</f>
        <v>45566</v>
      </c>
      <c r="C12313" s="266" t="str">
        <f>IFERROR(__xludf.DUMMYFUNCTION("""COMPUTED_VALUE"""),"KERTASARI CIAMIS")</f>
        <v>KERTASARI CIAMIS</v>
      </c>
      <c r="D12313" s="186">
        <f>IFERROR(__xludf.DUMMYFUNCTION("""COMPUTED_VALUE"""),5.0)</f>
        <v>5</v>
      </c>
    </row>
    <row r="12314">
      <c r="A12314" s="178" t="str">
        <f>IFERROR(__xludf.DUMMYFUNCTION("""COMPUTED_VALUE"""),"ITBISA-WEMOS-D1-MINI-ESP8266")</f>
        <v>ITBISA-WEMOS-D1-MINI-ESP8266</v>
      </c>
      <c r="B12314" s="266">
        <f>IFERROR(__xludf.DUMMYFUNCTION("""COMPUTED_VALUE"""),45575.0)</f>
        <v>45575</v>
      </c>
      <c r="C12314" s="266" t="str">
        <f>IFERROR(__xludf.DUMMYFUNCTION("""COMPUTED_VALUE"""),"KYAI KONTONG")</f>
        <v>KYAI KONTONG</v>
      </c>
      <c r="D12314" s="186">
        <f>IFERROR(__xludf.DUMMYFUNCTION("""COMPUTED_VALUE"""),1.0)</f>
        <v>1</v>
      </c>
    </row>
    <row r="12315">
      <c r="A12315" s="178" t="str">
        <f>IFERROR(__xludf.DUMMYFUNCTION("""COMPUTED_VALUE"""),"ITBISA-WEMOS-D1-MINI-ESP8266")</f>
        <v>ITBISA-WEMOS-D1-MINI-ESP8266</v>
      </c>
      <c r="B12315" s="266">
        <f>IFERROR(__xludf.DUMMYFUNCTION("""COMPUTED_VALUE"""),45577.0)</f>
        <v>45577</v>
      </c>
      <c r="C12315" s="266" t="str">
        <f>IFERROR(__xludf.DUMMYFUNCTION("""COMPUTED_VALUE"""),"KYAI KONTONG")</f>
        <v>KYAI KONTONG</v>
      </c>
      <c r="D12315" s="186">
        <f>IFERROR(__xludf.DUMMYFUNCTION("""COMPUTED_VALUE"""),2.0)</f>
        <v>2</v>
      </c>
    </row>
    <row r="12316">
      <c r="A12316" s="178" t="str">
        <f>IFERROR(__xludf.DUMMYFUNCTION("""COMPUTED_VALUE"""),"ITBISA-WEMOS-D1-MINI-ESP8266")</f>
        <v>ITBISA-WEMOS-D1-MINI-ESP8266</v>
      </c>
      <c r="B12316" s="266">
        <f>IFERROR(__xludf.DUMMYFUNCTION("""COMPUTED_VALUE"""),45583.0)</f>
        <v>45583</v>
      </c>
      <c r="C12316" s="266" t="str">
        <f>IFERROR(__xludf.DUMMYFUNCTION("""COMPUTED_VALUE"""),"KYAI KONTONG")</f>
        <v>KYAI KONTONG</v>
      </c>
      <c r="D12316" s="186">
        <f>IFERROR(__xludf.DUMMYFUNCTION("""COMPUTED_VALUE"""),2.0)</f>
        <v>2</v>
      </c>
    </row>
    <row r="12317">
      <c r="A12317" s="178" t="str">
        <f>IFERROR(__xludf.DUMMYFUNCTION("""COMPUTED_VALUE"""),"ITBISA-WEMOS-D1-MINI-ESP8266")</f>
        <v>ITBISA-WEMOS-D1-MINI-ESP8266</v>
      </c>
      <c r="B12317" s="266">
        <f>IFERROR(__xludf.DUMMYFUNCTION("""COMPUTED_VALUE"""),45603.0)</f>
        <v>45603</v>
      </c>
      <c r="C12317" s="266" t="str">
        <f>IFERROR(__xludf.DUMMYFUNCTION("""COMPUTED_VALUE"""),"KERTASARI CIAMIS")</f>
        <v>KERTASARI CIAMIS</v>
      </c>
      <c r="D12317" s="186">
        <f>IFERROR(__xludf.DUMMYFUNCTION("""COMPUTED_VALUE"""),2.0)</f>
        <v>2</v>
      </c>
    </row>
    <row r="12318">
      <c r="A12318" s="178" t="str">
        <f>IFERROR(__xludf.DUMMYFUNCTION("""COMPUTED_VALUE"""),"ITBISA-WEMOS-D1-MINI-ESP8266")</f>
        <v>ITBISA-WEMOS-D1-MINI-ESP8266</v>
      </c>
      <c r="B12318" s="266">
        <f>IFERROR(__xludf.DUMMYFUNCTION("""COMPUTED_VALUE"""),45608.0)</f>
        <v>45608</v>
      </c>
      <c r="C12318" s="266" t="str">
        <f>IFERROR(__xludf.DUMMYFUNCTION("""COMPUTED_VALUE"""),"KYAI KONTONG")</f>
        <v>KYAI KONTONG</v>
      </c>
      <c r="D12318" s="186">
        <f>IFERROR(__xludf.DUMMYFUNCTION("""COMPUTED_VALUE"""),1.0)</f>
        <v>1</v>
      </c>
    </row>
    <row r="12319">
      <c r="A12319" s="178" t="str">
        <f>IFERROR(__xludf.DUMMYFUNCTION("""COMPUTED_VALUE"""),"ITBISA-WEMOS-D1-MINI-ESP8266")</f>
        <v>ITBISA-WEMOS-D1-MINI-ESP8266</v>
      </c>
      <c r="B12319" s="266">
        <f>IFERROR(__xludf.DUMMYFUNCTION("""COMPUTED_VALUE"""),45630.0)</f>
        <v>45630</v>
      </c>
      <c r="C12319" s="266" t="str">
        <f>IFERROR(__xludf.DUMMYFUNCTION("""COMPUTED_VALUE"""),"KERTASARI CIAMIS")</f>
        <v>KERTASARI CIAMIS</v>
      </c>
      <c r="D12319" s="186">
        <f>IFERROR(__xludf.DUMMYFUNCTION("""COMPUTED_VALUE"""),2.0)</f>
        <v>2</v>
      </c>
    </row>
    <row r="12320">
      <c r="A12320" s="178" t="str">
        <f>IFERROR(__xludf.DUMMYFUNCTION("""COMPUTED_VALUE"""),"ITBISA-WEMOS-D1-MINI-ESP8266")</f>
        <v>ITBISA-WEMOS-D1-MINI-ESP8266</v>
      </c>
      <c r="B12320" s="266">
        <f>IFERROR(__xludf.DUMMYFUNCTION("""COMPUTED_VALUE"""),45651.0)</f>
        <v>45651</v>
      </c>
      <c r="C12320" s="266" t="str">
        <f>IFERROR(__xludf.DUMMYFUNCTION("""COMPUTED_VALUE"""),"KERTASARI CIAMIS")</f>
        <v>KERTASARI CIAMIS</v>
      </c>
      <c r="D12320" s="186">
        <f>IFERROR(__xludf.DUMMYFUNCTION("""COMPUTED_VALUE"""),2.0)</f>
        <v>2</v>
      </c>
    </row>
    <row r="12321">
      <c r="A12321" s="178" t="str">
        <f>IFERROR(__xludf.DUMMYFUNCTION("""COMPUTED_VALUE"""),"ITBISA-WEMOS-D1-MINI-ESP8266")</f>
        <v>ITBISA-WEMOS-D1-MINI-ESP8266</v>
      </c>
      <c r="B12321" s="266">
        <f>IFERROR(__xludf.DUMMYFUNCTION("""COMPUTED_VALUE"""),45672.0)</f>
        <v>45672</v>
      </c>
      <c r="C12321" s="266" t="str">
        <f>IFERROR(__xludf.DUMMYFUNCTION("""COMPUTED_VALUE"""),"KERTASARI CIAMIS")</f>
        <v>KERTASARI CIAMIS</v>
      </c>
      <c r="D12321" s="186">
        <f>IFERROR(__xludf.DUMMYFUNCTION("""COMPUTED_VALUE"""),1.0)</f>
        <v>1</v>
      </c>
    </row>
    <row r="12322">
      <c r="A12322" s="178" t="str">
        <f>IFERROR(__xludf.DUMMYFUNCTION("""COMPUTED_VALUE"""),"ITBISA-WEMOS-D1-MINI-ESP8266")</f>
        <v>ITBISA-WEMOS-D1-MINI-ESP8266</v>
      </c>
      <c r="B12322" s="266">
        <f>IFERROR(__xludf.DUMMYFUNCTION("""COMPUTED_VALUE"""),45680.0)</f>
        <v>45680</v>
      </c>
      <c r="C12322" s="266" t="str">
        <f>IFERROR(__xludf.DUMMYFUNCTION("""COMPUTED_VALUE"""),"KERTASARI CIAMIS")</f>
        <v>KERTASARI CIAMIS</v>
      </c>
      <c r="D12322" s="186">
        <f>IFERROR(__xludf.DUMMYFUNCTION("""COMPUTED_VALUE"""),1.0)</f>
        <v>1</v>
      </c>
    </row>
    <row r="12323">
      <c r="A12323" s="178" t="str">
        <f>IFERROR(__xludf.DUMMYFUNCTION("""COMPUTED_VALUE"""),"ITBISA-WEMOS-D1-MINI-ESP8266")</f>
        <v>ITBISA-WEMOS-D1-MINI-ESP8266</v>
      </c>
      <c r="B12323" s="266">
        <f>IFERROR(__xludf.DUMMYFUNCTION("""COMPUTED_VALUE"""),45706.0)</f>
        <v>45706</v>
      </c>
      <c r="C12323" s="266" t="str">
        <f>IFERROR(__xludf.DUMMYFUNCTION("""COMPUTED_VALUE"""),"KYAI KONTONG")</f>
        <v>KYAI KONTONG</v>
      </c>
      <c r="D12323" s="186">
        <f>IFERROR(__xludf.DUMMYFUNCTION("""COMPUTED_VALUE"""),4.0)</f>
        <v>4</v>
      </c>
    </row>
    <row r="12324">
      <c r="A12324" s="178" t="str">
        <f>IFERROR(__xludf.DUMMYFUNCTION("""COMPUTED_VALUE"""),"ITBISA-WEMOS-D1-MINI-ESP8266")</f>
        <v>ITBISA-WEMOS-D1-MINI-ESP8266</v>
      </c>
      <c r="B12324" s="266">
        <f>IFERROR(__xludf.DUMMYFUNCTION("""COMPUTED_VALUE"""),45717.0)</f>
        <v>45717</v>
      </c>
      <c r="C12324" s="266" t="str">
        <f>IFERROR(__xludf.DUMMYFUNCTION("""COMPUTED_VALUE"""),"KERTASARI CIAMIS")</f>
        <v>KERTASARI CIAMIS</v>
      </c>
      <c r="D12324" s="186">
        <f>IFERROR(__xludf.DUMMYFUNCTION("""COMPUTED_VALUE"""),2.0)</f>
        <v>2</v>
      </c>
    </row>
    <row r="12325">
      <c r="A12325" s="178" t="str">
        <f>IFERROR(__xludf.DUMMYFUNCTION("""COMPUTED_VALUE"""),"ITBISA-WEMOS-D1-MINI-ESP8266")</f>
        <v>ITBISA-WEMOS-D1-MINI-ESP8266</v>
      </c>
      <c r="B12325" s="266">
        <f>IFERROR(__xludf.DUMMYFUNCTION("""COMPUTED_VALUE"""),45733.0)</f>
        <v>45733</v>
      </c>
      <c r="C12325" s="266" t="str">
        <f>IFERROR(__xludf.DUMMYFUNCTION("""COMPUTED_VALUE"""),"KYAI KONTONG")</f>
        <v>KYAI KONTONG</v>
      </c>
      <c r="D12325" s="186">
        <f>IFERROR(__xludf.DUMMYFUNCTION("""COMPUTED_VALUE"""),1.0)</f>
        <v>1</v>
      </c>
    </row>
    <row r="12326">
      <c r="A12326" s="178" t="str">
        <f>IFERROR(__xludf.DUMMYFUNCTION("""COMPUTED_VALUE"""),"ITBISA-WEMOS-D1-MINI-ESP8266")</f>
        <v>ITBISA-WEMOS-D1-MINI-ESP8266</v>
      </c>
      <c r="B12326" s="266">
        <f>IFERROR(__xludf.DUMMYFUNCTION("""COMPUTED_VALUE"""),45735.0)</f>
        <v>45735</v>
      </c>
      <c r="C12326" s="266" t="str">
        <f>IFERROR(__xludf.DUMMYFUNCTION("""COMPUTED_VALUE"""),"KERTASARI CIAMIS")</f>
        <v>KERTASARI CIAMIS</v>
      </c>
      <c r="D12326" s="186">
        <f>IFERROR(__xludf.DUMMYFUNCTION("""COMPUTED_VALUE"""),1.0)</f>
        <v>1</v>
      </c>
    </row>
    <row r="12327">
      <c r="A12327" s="178" t="str">
        <f>IFERROR(__xludf.DUMMYFUNCTION("""COMPUTED_VALUE"""),"ITBISA-WEMOS-D1-MINI-ESP8266")</f>
        <v>ITBISA-WEMOS-D1-MINI-ESP8266</v>
      </c>
      <c r="B12327" s="266">
        <f>IFERROR(__xludf.DUMMYFUNCTION("""COMPUTED_VALUE"""),45735.0)</f>
        <v>45735</v>
      </c>
      <c r="C12327" s="266" t="str">
        <f>IFERROR(__xludf.DUMMYFUNCTION("""COMPUTED_VALUE"""),"KERTASARI CIAMIS")</f>
        <v>KERTASARI CIAMIS</v>
      </c>
      <c r="D12327" s="186">
        <f>IFERROR(__xludf.DUMMYFUNCTION("""COMPUTED_VALUE"""),5.0)</f>
        <v>5</v>
      </c>
    </row>
    <row r="12328">
      <c r="A12328" s="178" t="str">
        <f>IFERROR(__xludf.DUMMYFUNCTION("""COMPUTED_VALUE"""),"ITBISA-WEMOS-D1-MINI-ESP8266")</f>
        <v>ITBISA-WEMOS-D1-MINI-ESP8266</v>
      </c>
      <c r="B12328" s="266">
        <f>IFERROR(__xludf.DUMMYFUNCTION("""COMPUTED_VALUE"""),45735.0)</f>
        <v>45735</v>
      </c>
      <c r="C12328" s="266" t="str">
        <f>IFERROR(__xludf.DUMMYFUNCTION("""COMPUTED_VALUE"""),"KYAI KONTONG")</f>
        <v>KYAI KONTONG</v>
      </c>
      <c r="D12328" s="186">
        <f>IFERROR(__xludf.DUMMYFUNCTION("""COMPUTED_VALUE"""),1.0)</f>
        <v>1</v>
      </c>
    </row>
    <row r="12329">
      <c r="A12329" s="178" t="str">
        <f>IFERROR(__xludf.DUMMYFUNCTION("""COMPUTED_VALUE"""),"ITBISA-WEMOS-D1-MINI-ESP8266")</f>
        <v>ITBISA-WEMOS-D1-MINI-ESP8266</v>
      </c>
      <c r="B12329" s="266">
        <f>IFERROR(__xludf.DUMMYFUNCTION("""COMPUTED_VALUE"""),45738.0)</f>
        <v>45738</v>
      </c>
      <c r="C12329" s="266" t="str">
        <f>IFERROR(__xludf.DUMMYFUNCTION("""COMPUTED_VALUE"""),"KERTASARI CIAMIS")</f>
        <v>KERTASARI CIAMIS</v>
      </c>
      <c r="D12329" s="186">
        <f>IFERROR(__xludf.DUMMYFUNCTION("""COMPUTED_VALUE"""),1.0)</f>
        <v>1</v>
      </c>
    </row>
    <row r="12330">
      <c r="A12330" s="178" t="str">
        <f>IFERROR(__xludf.DUMMYFUNCTION("""COMPUTED_VALUE"""),"ITBISA-WEMOS-D1-MINI-ESP8266")</f>
        <v>ITBISA-WEMOS-D1-MINI-ESP8266</v>
      </c>
      <c r="B12330" s="266">
        <f>IFERROR(__xludf.DUMMYFUNCTION("""COMPUTED_VALUE"""),45741.0)</f>
        <v>45741</v>
      </c>
      <c r="C12330" s="266" t="str">
        <f>IFERROR(__xludf.DUMMYFUNCTION("""COMPUTED_VALUE"""),"KERTASARI CIAMIS")</f>
        <v>KERTASARI CIAMIS</v>
      </c>
      <c r="D12330" s="186">
        <f>IFERROR(__xludf.DUMMYFUNCTION("""COMPUTED_VALUE"""),1.0)</f>
        <v>1</v>
      </c>
    </row>
    <row r="12331">
      <c r="A12331" s="178" t="str">
        <f>IFERROR(__xludf.DUMMYFUNCTION("""COMPUTED_VALUE"""),"ITBISA-WEMOS-D1-MINI-ESP8266")</f>
        <v>ITBISA-WEMOS-D1-MINI-ESP8266</v>
      </c>
      <c r="B12331" s="266">
        <f>IFERROR(__xludf.DUMMYFUNCTION("""COMPUTED_VALUE"""),45748.0)</f>
        <v>45748</v>
      </c>
      <c r="C12331" s="266" t="str">
        <f>IFERROR(__xludf.DUMMYFUNCTION("""COMPUTED_VALUE"""),"KERTASARI CIAMIS")</f>
        <v>KERTASARI CIAMIS</v>
      </c>
      <c r="D12331" s="186">
        <f>IFERROR(__xludf.DUMMYFUNCTION("""COMPUTED_VALUE"""),1.0)</f>
        <v>1</v>
      </c>
    </row>
    <row r="12332">
      <c r="A12332" s="178" t="str">
        <f>IFERROR(__xludf.DUMMYFUNCTION("""COMPUTED_VALUE"""),"ITBISA-WEMOS-D1-MINI-ESP8266")</f>
        <v>ITBISA-WEMOS-D1-MINI-ESP8266</v>
      </c>
      <c r="B12332" s="266">
        <f>IFERROR(__xludf.DUMMYFUNCTION("""COMPUTED_VALUE"""),45754.0)</f>
        <v>45754</v>
      </c>
      <c r="C12332" s="266" t="str">
        <f>IFERROR(__xludf.DUMMYFUNCTION("""COMPUTED_VALUE"""),"KERTASARI CIAMIS")</f>
        <v>KERTASARI CIAMIS</v>
      </c>
      <c r="D12332" s="186">
        <f>IFERROR(__xludf.DUMMYFUNCTION("""COMPUTED_VALUE"""),1.0)</f>
        <v>1</v>
      </c>
    </row>
    <row r="12333">
      <c r="A12333" s="178" t="str">
        <f>IFERROR(__xludf.DUMMYFUNCTION("""COMPUTED_VALUE"""),"ITBISA-WEMOS-D1-MINI-ESP8266")</f>
        <v>ITBISA-WEMOS-D1-MINI-ESP8266</v>
      </c>
      <c r="B12333" s="266">
        <f>IFERROR(__xludf.DUMMYFUNCTION("""COMPUTED_VALUE"""),45770.0)</f>
        <v>45770</v>
      </c>
      <c r="C12333" s="266" t="str">
        <f>IFERROR(__xludf.DUMMYFUNCTION("""COMPUTED_VALUE"""),"KYAI KONTONG")</f>
        <v>KYAI KONTONG</v>
      </c>
      <c r="D12333" s="186">
        <f>IFERROR(__xludf.DUMMYFUNCTION("""COMPUTED_VALUE"""),1.0)</f>
        <v>1</v>
      </c>
    </row>
    <row r="12334">
      <c r="A12334" s="178" t="str">
        <f>IFERROR(__xludf.DUMMYFUNCTION("""COMPUTED_VALUE"""),"ITBISA-WEMOS-D1-MINI-ESP8266")</f>
        <v>ITBISA-WEMOS-D1-MINI-ESP8266</v>
      </c>
      <c r="B12334" s="266">
        <f>IFERROR(__xludf.DUMMYFUNCTION("""COMPUTED_VALUE"""),45774.0)</f>
        <v>45774</v>
      </c>
      <c r="C12334" s="266" t="str">
        <f>IFERROR(__xludf.DUMMYFUNCTION("""COMPUTED_VALUE"""),"KERTASARI CIAMIS")</f>
        <v>KERTASARI CIAMIS</v>
      </c>
      <c r="D12334" s="186">
        <f>IFERROR(__xludf.DUMMYFUNCTION("""COMPUTED_VALUE"""),1.0)</f>
        <v>1</v>
      </c>
    </row>
    <row r="12335">
      <c r="A12335" s="178" t="str">
        <f>IFERROR(__xludf.DUMMYFUNCTION("""COMPUTED_VALUE"""),"ITBISA-WEMOS-D1-MINI-ESP8266")</f>
        <v>ITBISA-WEMOS-D1-MINI-ESP8266</v>
      </c>
      <c r="B12335" s="266">
        <f>IFERROR(__xludf.DUMMYFUNCTION("""COMPUTED_VALUE"""),45777.0)</f>
        <v>45777</v>
      </c>
      <c r="C12335" s="266" t="str">
        <f>IFERROR(__xludf.DUMMYFUNCTION("""COMPUTED_VALUE"""),"KYAI KONTONG")</f>
        <v>KYAI KONTONG</v>
      </c>
      <c r="D12335" s="186">
        <f>IFERROR(__xludf.DUMMYFUNCTION("""COMPUTED_VALUE"""),1.0)</f>
        <v>1</v>
      </c>
    </row>
    <row r="12336">
      <c r="A12336" s="178" t="str">
        <f>IFERROR(__xludf.DUMMYFUNCTION("""COMPUTED_VALUE"""),"ITBISA-WEMOS-D1-MINI-ESP8266")</f>
        <v>ITBISA-WEMOS-D1-MINI-ESP8266</v>
      </c>
      <c r="B12336" s="266">
        <f>IFERROR(__xludf.DUMMYFUNCTION("""COMPUTED_VALUE"""),45786.0)</f>
        <v>45786</v>
      </c>
      <c r="C12336" s="266" t="str">
        <f>IFERROR(__xludf.DUMMYFUNCTION("""COMPUTED_VALUE"""),"KERTASARI CIAMIS")</f>
        <v>KERTASARI CIAMIS</v>
      </c>
      <c r="D12336" s="186">
        <f>IFERROR(__xludf.DUMMYFUNCTION("""COMPUTED_VALUE"""),2.0)</f>
        <v>2</v>
      </c>
    </row>
    <row r="12337">
      <c r="A12337" s="178" t="str">
        <f>IFERROR(__xludf.DUMMYFUNCTION("""COMPUTED_VALUE"""),"ITBISA-WEMOS-D1-MINI-ESP8266")</f>
        <v>ITBISA-WEMOS-D1-MINI-ESP8266</v>
      </c>
      <c r="B12337" s="266">
        <f>IFERROR(__xludf.DUMMYFUNCTION("""COMPUTED_VALUE"""),45791.0)</f>
        <v>45791</v>
      </c>
      <c r="C12337" s="266" t="str">
        <f>IFERROR(__xludf.DUMMYFUNCTION("""COMPUTED_VALUE"""),"KYAI KONTONG")</f>
        <v>KYAI KONTONG</v>
      </c>
      <c r="D12337" s="186">
        <f>IFERROR(__xludf.DUMMYFUNCTION("""COMPUTED_VALUE"""),2.0)</f>
        <v>2</v>
      </c>
    </row>
    <row r="12338">
      <c r="A12338" s="178" t="str">
        <f>IFERROR(__xludf.DUMMYFUNCTION("""COMPUTED_VALUE"""),"ITBISA-WEMOS-D1-MINI-ESP8266")</f>
        <v>ITBISA-WEMOS-D1-MINI-ESP8266</v>
      </c>
      <c r="B12338" s="266">
        <f>IFERROR(__xludf.DUMMYFUNCTION("""COMPUTED_VALUE"""),45806.0)</f>
        <v>45806</v>
      </c>
      <c r="C12338" s="266" t="str">
        <f>IFERROR(__xludf.DUMMYFUNCTION("""COMPUTED_VALUE"""),"KERTASARI CIAMIS")</f>
        <v>KERTASARI CIAMIS</v>
      </c>
      <c r="D12338" s="186">
        <f>IFERROR(__xludf.DUMMYFUNCTION("""COMPUTED_VALUE"""),3.0)</f>
        <v>3</v>
      </c>
    </row>
    <row r="12339">
      <c r="A12339" s="178" t="str">
        <f>IFERROR(__xludf.DUMMYFUNCTION("""COMPUTED_VALUE"""),"ITBISA-WEMOS-D1-MINI-ESP8266")</f>
        <v>ITBISA-WEMOS-D1-MINI-ESP8266</v>
      </c>
      <c r="B12339" s="266">
        <f>IFERROR(__xludf.DUMMYFUNCTION("""COMPUTED_VALUE"""),45811.0)</f>
        <v>45811</v>
      </c>
      <c r="C12339" s="266" t="str">
        <f>IFERROR(__xludf.DUMMYFUNCTION("""COMPUTED_VALUE"""),"KERTASARI CIAMIS")</f>
        <v>KERTASARI CIAMIS</v>
      </c>
      <c r="D12339" s="186">
        <f>IFERROR(__xludf.DUMMYFUNCTION("""COMPUTED_VALUE"""),1.0)</f>
        <v>1</v>
      </c>
    </row>
    <row r="12340">
      <c r="A12340" s="178" t="str">
        <f>IFERROR(__xludf.DUMMYFUNCTION("""COMPUTED_VALUE"""),"ITBISA-WEMOS-D1-MINI-ESP8266")</f>
        <v>ITBISA-WEMOS-D1-MINI-ESP8266</v>
      </c>
      <c r="B12340" s="266">
        <f>IFERROR(__xludf.DUMMYFUNCTION("""COMPUTED_VALUE"""),45816.0)</f>
        <v>45816</v>
      </c>
      <c r="C12340" s="266" t="str">
        <f>IFERROR(__xludf.DUMMYFUNCTION("""COMPUTED_VALUE"""),"KERTASARI CIAMIS")</f>
        <v>KERTASARI CIAMIS</v>
      </c>
      <c r="D12340" s="186">
        <f>IFERROR(__xludf.DUMMYFUNCTION("""COMPUTED_VALUE"""),1.0)</f>
        <v>1</v>
      </c>
    </row>
    <row r="12341">
      <c r="A12341" s="178" t="str">
        <f>IFERROR(__xludf.DUMMYFUNCTION("""COMPUTED_VALUE"""),"ITBISA-WEMOS-D1-MINI-ESP8266")</f>
        <v>ITBISA-WEMOS-D1-MINI-ESP8266</v>
      </c>
      <c r="B12341" s="266">
        <f>IFERROR(__xludf.DUMMYFUNCTION("""COMPUTED_VALUE"""),45845.0)</f>
        <v>45845</v>
      </c>
      <c r="C12341" s="266" t="str">
        <f>IFERROR(__xludf.DUMMYFUNCTION("""COMPUTED_VALUE"""),"KERTASARI CIAMIS")</f>
        <v>KERTASARI CIAMIS</v>
      </c>
      <c r="D12341" s="186">
        <f>IFERROR(__xludf.DUMMYFUNCTION("""COMPUTED_VALUE"""),1.0)</f>
        <v>1</v>
      </c>
    </row>
    <row r="12342">
      <c r="A12342" s="178" t="str">
        <f>IFERROR(__xludf.DUMMYFUNCTION("""COMPUTED_VALUE"""),"ITBISA-WEMOS-D1-MINI-ESP8266")</f>
        <v>ITBISA-WEMOS-D1-MINI-ESP8266</v>
      </c>
      <c r="B12342" s="266">
        <f>IFERROR(__xludf.DUMMYFUNCTION("""COMPUTED_VALUE"""),45942.0)</f>
        <v>45942</v>
      </c>
      <c r="C12342" s="266" t="str">
        <f>IFERROR(__xludf.DUMMYFUNCTION("""COMPUTED_VALUE"""),"KYAI KONTONG")</f>
        <v>KYAI KONTONG</v>
      </c>
      <c r="D12342" s="186">
        <f>IFERROR(__xludf.DUMMYFUNCTION("""COMPUTED_VALUE"""),10.0)</f>
        <v>10</v>
      </c>
    </row>
    <row r="12343">
      <c r="A12343" s="178" t="str">
        <f>IFERROR(__xludf.DUMMYFUNCTION("""COMPUTED_VALUE"""),"ITBISA-WEMOS-D1-MINI-ESP8266")</f>
        <v>ITBISA-WEMOS-D1-MINI-ESP8266</v>
      </c>
      <c r="B12343" s="266">
        <f>IFERROR(__xludf.DUMMYFUNCTION("""COMPUTED_VALUE"""),45995.0)</f>
        <v>45995</v>
      </c>
      <c r="C12343" s="266" t="str">
        <f>IFERROR(__xludf.DUMMYFUNCTION("""COMPUTED_VALUE"""),"KYAI KONTONG")</f>
        <v>KYAI KONTONG</v>
      </c>
      <c r="D12343" s="186">
        <f>IFERROR(__xludf.DUMMYFUNCTION("""COMPUTED_VALUE"""),6.0)</f>
        <v>6</v>
      </c>
    </row>
    <row r="12344">
      <c r="A12344" s="178" t="str">
        <f>IFERROR(__xludf.DUMMYFUNCTION("""COMPUTED_VALUE"""),"ITBISA-WEMOS-D1-MINI-ESP8266")</f>
        <v>ITBISA-WEMOS-D1-MINI-ESP8266</v>
      </c>
      <c r="B12344" s="266">
        <f>IFERROR(__xludf.DUMMYFUNCTION("""COMPUTED_VALUE"""),45996.0)</f>
        <v>45996</v>
      </c>
      <c r="C12344" s="266" t="str">
        <f>IFERROR(__xludf.DUMMYFUNCTION("""COMPUTED_VALUE"""),"KYAI KONTONG")</f>
        <v>KYAI KONTONG</v>
      </c>
      <c r="D12344" s="186">
        <f>IFERROR(__xludf.DUMMYFUNCTION("""COMPUTED_VALUE"""),4.0)</f>
        <v>4</v>
      </c>
    </row>
    <row r="12345">
      <c r="A12345" s="178" t="str">
        <f>IFERROR(__xludf.DUMMYFUNCTION("""COMPUTED_VALUE"""),"ITBISA-WEMOS-D1-MINI-ESP8266")</f>
        <v>ITBISA-WEMOS-D1-MINI-ESP8266</v>
      </c>
      <c r="B12345" s="266">
        <f>IFERROR(__xludf.DUMMYFUNCTION("""COMPUTED_VALUE"""),45997.0)</f>
        <v>45997</v>
      </c>
      <c r="C12345" s="266" t="str">
        <f>IFERROR(__xludf.DUMMYFUNCTION("""COMPUTED_VALUE"""),"KYAI KONTONG")</f>
        <v>KYAI KONTONG</v>
      </c>
      <c r="D12345" s="186">
        <f>IFERROR(__xludf.DUMMYFUNCTION("""COMPUTED_VALUE"""),5.0)</f>
        <v>5</v>
      </c>
    </row>
    <row r="12346">
      <c r="A12346" s="178" t="str">
        <f>IFERROR(__xludf.DUMMYFUNCTION("""COMPUTED_VALUE"""),"ITBISA-WEMOS-D1-MINI-ESP8266")</f>
        <v>ITBISA-WEMOS-D1-MINI-ESP8266</v>
      </c>
      <c r="B12346" s="266">
        <f>IFERROR(__xludf.DUMMYFUNCTION("""COMPUTED_VALUE"""),46000.0)</f>
        <v>46000</v>
      </c>
      <c r="C12346" s="266" t="str">
        <f>IFERROR(__xludf.DUMMYFUNCTION("""COMPUTED_VALUE"""),"KERTASARI CIAMIS")</f>
        <v>KERTASARI CIAMIS</v>
      </c>
      <c r="D12346" s="186">
        <f>IFERROR(__xludf.DUMMYFUNCTION("""COMPUTED_VALUE"""),1.0)</f>
        <v>1</v>
      </c>
    </row>
    <row r="12347">
      <c r="A12347" s="178" t="str">
        <f>IFERROR(__xludf.DUMMYFUNCTION("""COMPUTED_VALUE"""),"ITBISA-XIAOMI-POWERBANK-2-10000MAH-SILVER")</f>
        <v>ITBISA-XIAOMI-POWERBANK-2-10000MAH-SILVER</v>
      </c>
      <c r="B12347" s="266">
        <f>IFERROR(__xludf.DUMMYFUNCTION("""COMPUTED_VALUE"""),43458.0)</f>
        <v>43458</v>
      </c>
      <c r="C12347" s="266" t="str">
        <f>IFERROR(__xludf.DUMMYFUNCTION("""COMPUTED_VALUE"""),"RUMAH MUZAKKI")</f>
        <v>RUMAH MUZAKKI</v>
      </c>
      <c r="D12347" s="186">
        <f>IFERROR(__xludf.DUMMYFUNCTION("""COMPUTED_VALUE"""),2.0)</f>
        <v>2</v>
      </c>
    </row>
    <row r="12348">
      <c r="A12348" s="178" t="str">
        <f>IFERROR(__xludf.DUMMYFUNCTION("""COMPUTED_VALUE"""),"ITBISA-XIAOMI-REDMI-6A-TAM")</f>
        <v>ITBISA-XIAOMI-REDMI-6A-TAM</v>
      </c>
      <c r="B12348" s="266">
        <f>IFERROR(__xludf.DUMMYFUNCTION("""COMPUTED_VALUE"""),43419.0)</f>
        <v>43419</v>
      </c>
      <c r="C12348" s="266" t="str">
        <f>IFERROR(__xludf.DUMMYFUNCTION("""COMPUTED_VALUE"""),"AVRG ITB")</f>
        <v>AVRG ITB</v>
      </c>
      <c r="D12348" s="186">
        <f>IFERROR(__xludf.DUMMYFUNCTION("""COMPUTED_VALUE"""),1.0)</f>
        <v>1</v>
      </c>
    </row>
    <row r="12349">
      <c r="A12349" s="178" t="str">
        <f>IFERROR(__xludf.DUMMYFUNCTION("""COMPUTED_VALUE"""),"ITBISA-XIAOMI-REDMI-NOTE-5-PRO-GOLD-TAM")</f>
        <v>ITBISA-XIAOMI-REDMI-NOTE-5-PRO-GOLD-TAM</v>
      </c>
      <c r="B12349" s="266">
        <f>IFERROR(__xludf.DUMMYFUNCTION("""COMPUTED_VALUE"""),43459.0)</f>
        <v>43459</v>
      </c>
      <c r="C12349" s="266" t="str">
        <f>IFERROR(__xludf.DUMMYFUNCTION("""COMPUTED_VALUE"""),"RUMAH MUZAKKI")</f>
        <v>RUMAH MUZAKKI</v>
      </c>
      <c r="D12349" s="186">
        <f>IFERROR(__xludf.DUMMYFUNCTION("""COMPUTED_VALUE"""),1.0)</f>
        <v>1</v>
      </c>
    </row>
    <row r="12350">
      <c r="A12350" s="178" t="str">
        <f>IFERROR(__xludf.DUMMYFUNCTION("""COMPUTED_VALUE"""),"ITBISA-XIAOMI-REDMI-NOTE-5A-TAM")</f>
        <v>ITBISA-XIAOMI-REDMI-NOTE-5A-TAM</v>
      </c>
      <c r="B12350" s="266">
        <f>IFERROR(__xludf.DUMMYFUNCTION("""COMPUTED_VALUE"""),43430.0)</f>
        <v>43430</v>
      </c>
      <c r="C12350" s="266" t="str">
        <f>IFERROR(__xludf.DUMMYFUNCTION("""COMPUTED_VALUE"""),"AVRG ITB")</f>
        <v>AVRG ITB</v>
      </c>
      <c r="D12350" s="186">
        <f>IFERROR(__xludf.DUMMYFUNCTION("""COMPUTED_VALUE"""),1.0)</f>
        <v>1</v>
      </c>
    </row>
    <row r="12351">
      <c r="A12351" s="178" t="str">
        <f>IFERROR(__xludf.DUMMYFUNCTION("""COMPUTED_VALUE"""),"ITBISA-XIAOMI-SMARTBAND-2-BLACK")</f>
        <v>ITBISA-XIAOMI-SMARTBAND-2-BLACK</v>
      </c>
      <c r="B12351" s="266">
        <f>IFERROR(__xludf.DUMMYFUNCTION("""COMPUTED_VALUE"""),43433.0)</f>
        <v>43433</v>
      </c>
      <c r="C12351" s="266" t="str">
        <f>IFERROR(__xludf.DUMMYFUNCTION("""COMPUTED_VALUE"""),"RUMAH MUZAKKI")</f>
        <v>RUMAH MUZAKKI</v>
      </c>
      <c r="D12351" s="186">
        <f>IFERROR(__xludf.DUMMYFUNCTION("""COMPUTED_VALUE"""),1.0)</f>
        <v>1</v>
      </c>
    </row>
    <row r="12352">
      <c r="A12352" s="178" t="str">
        <f>IFERROR(__xludf.DUMMYFUNCTION("""COMPUTED_VALUE"""),"ITBISA-XIAOMI-SMARTBAND-2-BLACK")</f>
        <v>ITBISA-XIAOMI-SMARTBAND-2-BLACK</v>
      </c>
      <c r="B12352" s="266">
        <f>IFERROR(__xludf.DUMMYFUNCTION("""COMPUTED_VALUE"""),43458.0)</f>
        <v>43458</v>
      </c>
      <c r="C12352" s="266" t="str">
        <f>IFERROR(__xludf.DUMMYFUNCTION("""COMPUTED_VALUE"""),"RUMAH MUZAKKI")</f>
        <v>RUMAH MUZAKKI</v>
      </c>
      <c r="D12352" s="186">
        <f>IFERROR(__xludf.DUMMYFUNCTION("""COMPUTED_VALUE"""),1.0)</f>
        <v>1</v>
      </c>
    </row>
    <row r="12353">
      <c r="A12353" s="178"/>
      <c r="B12353" s="266"/>
      <c r="C12353" s="266"/>
      <c r="D12353" s="186"/>
    </row>
    <row r="12354">
      <c r="A12354" s="178"/>
      <c r="B12354" s="266"/>
      <c r="C12354" s="266"/>
      <c r="D12354" s="186"/>
    </row>
    <row r="12355">
      <c r="A12355" s="178"/>
      <c r="B12355" s="266"/>
      <c r="C12355" s="266"/>
      <c r="D12355" s="186"/>
    </row>
    <row r="12356">
      <c r="A12356" s="178"/>
      <c r="B12356" s="266"/>
      <c r="C12356" s="266"/>
      <c r="D12356" s="186"/>
    </row>
    <row r="12357">
      <c r="A12357" s="178"/>
      <c r="B12357" s="266"/>
      <c r="C12357" s="266"/>
      <c r="D12357" s="186"/>
    </row>
    <row r="12358">
      <c r="A12358" s="178"/>
      <c r="B12358" s="266"/>
      <c r="C12358" s="266"/>
      <c r="D12358" s="186"/>
    </row>
    <row r="12359">
      <c r="A12359" s="178"/>
      <c r="B12359" s="266"/>
      <c r="C12359" s="266"/>
      <c r="D12359" s="186"/>
    </row>
    <row r="12360">
      <c r="A12360" s="178"/>
      <c r="B12360" s="266"/>
      <c r="C12360" s="266"/>
      <c r="D12360" s="186"/>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0"/>
  </cols>
  <sheetData>
    <row r="1">
      <c r="A1" s="178" t="str">
        <f>IFERROR(__xludf.DUMMYFUNCTION("IMPORTRANGE(""https://docs.google.com/spreadsheets/d/1J4RBMg5WyRjypDJdoTX_7YXkAbYk5b6xP9VIjm_axyw"",""BisaEksporBisaJurnal!A:A"")"),"")</f>
        <v/>
      </c>
    </row>
    <row r="2">
      <c r="A2" s="178" t="str">
        <f>IFERROR(__xludf.DUMMYFUNCTION("""COMPUTED_VALUE"""),"Beban Administrasi Aliexpress")</f>
        <v>Beban Administrasi Aliexpress</v>
      </c>
    </row>
    <row r="3">
      <c r="A3" s="178" t="str">
        <f>IFERROR(__xludf.DUMMYFUNCTION("""COMPUTED_VALUE"""),"Beban Administrasi Website")</f>
        <v>Beban Administrasi Website</v>
      </c>
    </row>
    <row r="4">
      <c r="A4" s="178" t="str">
        <f>IFERROR(__xludf.DUMMYFUNCTION("""COMPUTED_VALUE"""),"Beban Bank")</f>
        <v>Beban Bank</v>
      </c>
    </row>
    <row r="5">
      <c r="A5" s="178" t="str">
        <f>IFERROR(__xludf.DUMMYFUNCTION("""COMPUTED_VALUE"""),"Beban Dividen Furqonajiy")</f>
        <v>Beban Dividen Furqonajiy</v>
      </c>
    </row>
    <row r="6">
      <c r="A6" s="178" t="str">
        <f>IFERROR(__xludf.DUMMYFUNCTION("""COMPUTED_VALUE"""),"Beban Dividen Mama Anggi")</f>
        <v>Beban Dividen Mama Anggi</v>
      </c>
    </row>
    <row r="7">
      <c r="A7" s="178" t="str">
        <f>IFERROR(__xludf.DUMMYFUNCTION("""COMPUTED_VALUE"""),"Beban Dividen Muzakki")</f>
        <v>Beban Dividen Muzakki</v>
      </c>
    </row>
    <row r="8">
      <c r="A8" s="178" t="str">
        <f>IFERROR(__xludf.DUMMYFUNCTION("""COMPUTED_VALUE"""),"Beban Dividen Uqi")</f>
        <v>Beban Dividen Uqi</v>
      </c>
    </row>
    <row r="9">
      <c r="A9" s="178" t="str">
        <f>IFERROR(__xludf.DUMMYFUNCTION("""COMPUTED_VALUE"""),"Beban Gaji Alfina")</f>
        <v>Beban Gaji Alfina</v>
      </c>
    </row>
    <row r="10">
      <c r="A10" s="178" t="str">
        <f>IFERROR(__xludf.DUMMYFUNCTION("""COMPUTED_VALUE"""),"Beban Gaji Bude Sulami")</f>
        <v>Beban Gaji Bude Sulami</v>
      </c>
    </row>
    <row r="11">
      <c r="A11" s="178" t="str">
        <f>IFERROR(__xludf.DUMMYFUNCTION("""COMPUTED_VALUE"""),"Beban Gaji Furqonajiy")</f>
        <v>Beban Gaji Furqonajiy</v>
      </c>
    </row>
    <row r="12">
      <c r="A12" s="178" t="str">
        <f>IFERROR(__xludf.DUMMYFUNCTION("""COMPUTED_VALUE"""),"Beban Gaji Ibu")</f>
        <v>Beban Gaji Ibu</v>
      </c>
    </row>
    <row r="13">
      <c r="A13" s="178" t="str">
        <f>IFERROR(__xludf.DUMMYFUNCTION("""COMPUTED_VALUE"""),"Beban Gaji Mbak Dwi")</f>
        <v>Beban Gaji Mbak Dwi</v>
      </c>
    </row>
    <row r="14">
      <c r="A14" s="178" t="str">
        <f>IFERROR(__xludf.DUMMYFUNCTION("""COMPUTED_VALUE"""),"Beban Gaji Muzakki")</f>
        <v>Beban Gaji Muzakki</v>
      </c>
    </row>
    <row r="15">
      <c r="A15" s="178" t="str">
        <f>IFERROR(__xludf.DUMMYFUNCTION("""COMPUTED_VALUE"""),"Beban Gaji Nadiazka")</f>
        <v>Beban Gaji Nadiazka</v>
      </c>
    </row>
    <row r="16">
      <c r="A16" s="178" t="str">
        <f>IFERROR(__xludf.DUMMYFUNCTION("""COMPUTED_VALUE"""),"Beban Gaji Om Estu")</f>
        <v>Beban Gaji Om Estu</v>
      </c>
    </row>
    <row r="17">
      <c r="A17" s="178" t="str">
        <f>IFERROR(__xludf.DUMMYFUNCTION("""COMPUTED_VALUE"""),"Beban Gaji Pak Joko")</f>
        <v>Beban Gaji Pak Joko</v>
      </c>
    </row>
    <row r="18">
      <c r="A18" s="178" t="str">
        <f>IFERROR(__xludf.DUMMYFUNCTION("""COMPUTED_VALUE"""),"Beban Gaji Pak Tino")</f>
        <v>Beban Gaji Pak Tino</v>
      </c>
    </row>
    <row r="19">
      <c r="A19" s="178" t="str">
        <f>IFERROR(__xludf.DUMMYFUNCTION("""COMPUTED_VALUE"""),"Beban Gaji Risa")</f>
        <v>Beban Gaji Risa</v>
      </c>
    </row>
    <row r="20">
      <c r="A20" s="178" t="str">
        <f>IFERROR(__xludf.DUMMYFUNCTION("""COMPUTED_VALUE"""),"Beban Gaji Syafira")</f>
        <v>Beban Gaji Syafira</v>
      </c>
    </row>
    <row r="21">
      <c r="A21" s="178" t="str">
        <f>IFERROR(__xludf.DUMMYFUNCTION("""COMPUTED_VALUE"""),"Beban Gaji Ujreng")</f>
        <v>Beban Gaji Ujreng</v>
      </c>
    </row>
    <row r="22">
      <c r="A22" s="178" t="str">
        <f>IFERROR(__xludf.DUMMYFUNCTION("""COMPUTED_VALUE"""),"Beban Hilang ITBISA-7SEGMENT-ANODE-RED-0.56-1BIT")</f>
        <v>Beban Hilang ITBISA-7SEGMENT-ANODE-RED-0.56-1BIT</v>
      </c>
    </row>
    <row r="23">
      <c r="A23" s="178" t="str">
        <f>IFERROR(__xludf.DUMMYFUNCTION("""COMPUTED_VALUE"""),"Beban Hilang ITBISA-7SEGMENT-CATHODE-RED-0.56-1BIT")</f>
        <v>Beban Hilang ITBISA-7SEGMENT-CATHODE-RED-0.56-1BIT</v>
      </c>
    </row>
    <row r="24">
      <c r="A24" s="178" t="str">
        <f>IFERROR(__xludf.DUMMYFUNCTION("""COMPUTED_VALUE"""),"Beban Hilang ITBISA-7SEGMENT-CATHODE-RED-1.20-1BIT")</f>
        <v>Beban Hilang ITBISA-7SEGMENT-CATHODE-RED-1.20-1BIT</v>
      </c>
    </row>
    <row r="25">
      <c r="A25" s="178" t="str">
        <f>IFERROR(__xludf.DUMMYFUNCTION("""COMPUTED_VALUE"""),"Beban Hilang ITBISA-7SEGMENT-CATHODE-RED-2.30-1BIT")</f>
        <v>Beban Hilang ITBISA-7SEGMENT-CATHODE-RED-2.30-1BIT</v>
      </c>
    </row>
    <row r="26">
      <c r="A26" s="178" t="str">
        <f>IFERROR(__xludf.DUMMYFUNCTION("""COMPUTED_VALUE"""),"Beban Hilang ITBISA-ABC-BATERAI-AA-ALKALINE")</f>
        <v>Beban Hilang ITBISA-ABC-BATERAI-AA-ALKALINE</v>
      </c>
    </row>
    <row r="27">
      <c r="A27" s="178" t="str">
        <f>IFERROR(__xludf.DUMMYFUNCTION("""COMPUTED_VALUE"""),"Beban Hilang ITBISA-ABC-BATERAI-AAA-ALKALINE")</f>
        <v>Beban Hilang ITBISA-ABC-BATERAI-AAA-ALKALINE</v>
      </c>
    </row>
    <row r="28">
      <c r="A28" s="178" t="str">
        <f>IFERROR(__xludf.DUMMYFUNCTION("""COMPUTED_VALUE"""),"Beban Hilang ITBISA-ABC-BATERAI-D-POWER")</f>
        <v>Beban Hilang ITBISA-ABC-BATERAI-D-POWER</v>
      </c>
    </row>
    <row r="29">
      <c r="A29" s="178" t="str">
        <f>IFERROR(__xludf.DUMMYFUNCTION("""COMPUTED_VALUE"""),"Beban Hilang ITBISA-ARDUINO-UNO-R3-328P-SMD")</f>
        <v>Beban Hilang ITBISA-ARDUINO-UNO-R3-328P-SMD</v>
      </c>
    </row>
    <row r="30">
      <c r="A30" s="178" t="str">
        <f>IFERROR(__xludf.DUMMYFUNCTION("""COMPUTED_VALUE"""),"Beban Hilang ITBISA-ARDUINO-UNO-R3-CLONE-CABLE30CM")</f>
        <v>Beban Hilang ITBISA-ARDUINO-UNO-R3-CLONE-CABLE30CM</v>
      </c>
    </row>
    <row r="31">
      <c r="A31" s="178" t="str">
        <f>IFERROR(__xludf.DUMMYFUNCTION("""COMPUTED_VALUE"""),"Beban Hilang ITBISA-ARDUINO-UNO-R3-CLONE-CABLE50CM")</f>
        <v>Beban Hilang ITBISA-ARDUINO-UNO-R3-CLONE-CABLE50CM</v>
      </c>
    </row>
    <row r="32">
      <c r="A32" s="178" t="str">
        <f>IFERROR(__xludf.DUMMYFUNCTION("""COMPUTED_VALUE"""),"Beban Hilang ITBISA-IC-74HC245N-DIP20")</f>
        <v>Beban Hilang ITBISA-IC-74HC245N-DIP20</v>
      </c>
    </row>
    <row r="33">
      <c r="A33" s="178" t="str">
        <f>IFERROR(__xludf.DUMMYFUNCTION("""COMPUTED_VALUE"""),"Beban Hilang ITBISA-IC-78L05-TO92")</f>
        <v>Beban Hilang ITBISA-IC-78L05-TO92</v>
      </c>
    </row>
    <row r="34">
      <c r="A34" s="178" t="str">
        <f>IFERROR(__xludf.DUMMYFUNCTION("""COMPUTED_VALUE"""),"Beban Hilang ITBISA-IC-ATMEGA328P-DIP28")</f>
        <v>Beban Hilang ITBISA-IC-ATMEGA328P-DIP28</v>
      </c>
    </row>
    <row r="35">
      <c r="A35" s="178" t="str">
        <f>IFERROR(__xludf.DUMMYFUNCTION("""COMPUTED_VALUE"""),"Beban Hilang ITBISA-IC-CD4017BE-DIP16")</f>
        <v>Beban Hilang ITBISA-IC-CD4017BE-DIP16</v>
      </c>
    </row>
    <row r="36">
      <c r="A36" s="178" t="str">
        <f>IFERROR(__xludf.DUMMYFUNCTION("""COMPUTED_VALUE"""),"Beban Hilang ITBISA-IC-CD4094BM-SMD-SOP16")</f>
        <v>Beban Hilang ITBISA-IC-CD4094BM-SMD-SOP16</v>
      </c>
    </row>
    <row r="37">
      <c r="A37" s="178" t="str">
        <f>IFERROR(__xludf.DUMMYFUNCTION("""COMPUTED_VALUE"""),"Beban Hilang ITBISA-IC-L7805CV-TO220")</f>
        <v>Beban Hilang ITBISA-IC-L7805CV-TO220</v>
      </c>
    </row>
    <row r="38">
      <c r="A38" s="178" t="str">
        <f>IFERROR(__xludf.DUMMYFUNCTION("""COMPUTED_VALUE"""),"Beban Hilang ITBISA-IC-NE555P-DIP8")</f>
        <v>Beban Hilang ITBISA-IC-NE555P-DIP8</v>
      </c>
    </row>
    <row r="39">
      <c r="A39" s="178" t="str">
        <f>IFERROR(__xludf.DUMMYFUNCTION("""COMPUTED_VALUE"""),"Beban Hilang ITBISA-IC-UA741CN-DIP8")</f>
        <v>Beban Hilang ITBISA-IC-UA741CN-DIP8</v>
      </c>
    </row>
    <row r="40">
      <c r="A40" s="178" t="str">
        <f>IFERROR(__xludf.DUMMYFUNCTION("""COMPUTED_VALUE"""),"Beban Hilang ITBISA-JUMPER-FF-10CM")</f>
        <v>Beban Hilang ITBISA-JUMPER-FF-10CM</v>
      </c>
    </row>
    <row r="41">
      <c r="A41" s="178" t="str">
        <f>IFERROR(__xludf.DUMMYFUNCTION("""COMPUTED_VALUE"""),"Beban Hilang ITBISA-JUMPER-FF-20CM")</f>
        <v>Beban Hilang ITBISA-JUMPER-FF-20CM</v>
      </c>
    </row>
    <row r="42">
      <c r="A42" s="178" t="str">
        <f>IFERROR(__xludf.DUMMYFUNCTION("""COMPUTED_VALUE"""),"Beban Hilang ITBISA-JUMPER-MF-10CM")</f>
        <v>Beban Hilang ITBISA-JUMPER-MF-10CM</v>
      </c>
    </row>
    <row r="43">
      <c r="A43" s="178" t="str">
        <f>IFERROR(__xludf.DUMMYFUNCTION("""COMPUTED_VALUE"""),"Beban Hilang ITBISA-JUMPER-MF-20CM")</f>
        <v>Beban Hilang ITBISA-JUMPER-MF-20CM</v>
      </c>
    </row>
    <row r="44">
      <c r="A44" s="178" t="str">
        <f>IFERROR(__xludf.DUMMYFUNCTION("""COMPUTED_VALUE"""),"Beban Hilang ITBISA-JUMPER-MM-20CM")</f>
        <v>Beban Hilang ITBISA-JUMPER-MM-20CM</v>
      </c>
    </row>
    <row r="45">
      <c r="A45" s="178" t="str">
        <f>IFERROR(__xludf.DUMMYFUNCTION("""COMPUTED_VALUE"""),"Beban Hilang ITBISA-KUPLUK-HITAM")</f>
        <v>Beban Hilang ITBISA-KUPLUK-HITAM</v>
      </c>
    </row>
    <row r="46">
      <c r="A46" s="178" t="str">
        <f>IFERROR(__xludf.DUMMYFUNCTION("""COMPUTED_VALUE"""),"Beban Hilang ITBISA-LCD-16X2-BLUE")</f>
        <v>Beban Hilang ITBISA-LCD-16X2-BLUE</v>
      </c>
    </row>
    <row r="47">
      <c r="A47" s="178" t="str">
        <f>IFERROR(__xludf.DUMMYFUNCTION("""COMPUTED_VALUE"""),"Beban Hilang ITBISA-LED-MAX7219-4IN1-TIGHT")</f>
        <v>Beban Hilang ITBISA-LED-MAX7219-4IN1-TIGHT</v>
      </c>
    </row>
    <row r="48">
      <c r="A48" s="178" t="str">
        <f>IFERROR(__xludf.DUMMYFUNCTION("""COMPUTED_VALUE"""),"Beban Hilang ITBISA-NODEMCU-ESP32-MICRO")</f>
        <v>Beban Hilang ITBISA-NODEMCU-ESP32-MICRO</v>
      </c>
    </row>
    <row r="49">
      <c r="A49" s="178" t="str">
        <f>IFERROR(__xludf.DUMMYFUNCTION("""COMPUTED_VALUE"""),"Beban Hilang ITBISA-NODEMCU-ESP32-MICRO-30PIN")</f>
        <v>Beban Hilang ITBISA-NODEMCU-ESP32-MICRO-30PIN</v>
      </c>
    </row>
    <row r="50">
      <c r="A50" s="178" t="str">
        <f>IFERROR(__xludf.DUMMYFUNCTION("""COMPUTED_VALUE"""),"Beban Hilang ITBISA-NODEMCU-ESP32-MICRO-38PIN")</f>
        <v>Beban Hilang ITBISA-NODEMCU-ESP32-MICRO-38PIN</v>
      </c>
    </row>
    <row r="51">
      <c r="A51" s="178" t="str">
        <f>IFERROR(__xludf.DUMMYFUNCTION("""COMPUTED_VALUE"""),"Beban Hilang ITBISA-NPN-2N2222-TO92")</f>
        <v>Beban Hilang ITBISA-NPN-2N2222-TO92</v>
      </c>
    </row>
    <row r="52">
      <c r="A52" s="178" t="str">
        <f>IFERROR(__xludf.DUMMYFUNCTION("""COMPUTED_VALUE"""),"Beban Hilang ITBISA-PONCO-GAJAH")</f>
        <v>Beban Hilang ITBISA-PONCO-GAJAH</v>
      </c>
    </row>
    <row r="53">
      <c r="A53" s="178" t="str">
        <f>IFERROR(__xludf.DUMMYFUNCTION("""COMPUTED_VALUE"""),"Beban Hilang ITBISA-RAPID-BOHLAM-E10-2.5V-SCREW")</f>
        <v>Beban Hilang ITBISA-RAPID-BOHLAM-E10-2.5V-SCREW</v>
      </c>
    </row>
    <row r="54">
      <c r="A54" s="178" t="str">
        <f>IFERROR(__xludf.DUMMYFUNCTION("""COMPUTED_VALUE"""),"Beban Hilang ITBISA-RAPID-BOHLAM-E10-3.8V-SCREW")</f>
        <v>Beban Hilang ITBISA-RAPID-BOHLAM-E10-3.8V-SCREW</v>
      </c>
    </row>
    <row r="55">
      <c r="A55" s="178" t="str">
        <f>IFERROR(__xludf.DUMMYFUNCTION("""COMPUTED_VALUE"""),"Beban Hilang ITBISA-RELAY-5V-5PIN-BLUE")</f>
        <v>Beban Hilang ITBISA-RELAY-5V-5PIN-BLUE</v>
      </c>
    </row>
    <row r="56">
      <c r="A56" s="178" t="str">
        <f>IFERROR(__xludf.DUMMYFUNCTION("""COMPUTED_VALUE"""),"Beban Hilang ITBISA-RESISTOR-330-1/4W")</f>
        <v>Beban Hilang ITBISA-RESISTOR-330-1/4W</v>
      </c>
    </row>
    <row r="57">
      <c r="A57" s="178" t="str">
        <f>IFERROR(__xludf.DUMMYFUNCTION("""COMPUTED_VALUE"""),"Beban Hilang ITBISA-SARUNG-TANGAN-KATUN")</f>
        <v>Beban Hilang ITBISA-SARUNG-TANGAN-KATUN</v>
      </c>
    </row>
    <row r="58">
      <c r="A58" s="178" t="str">
        <f>IFERROR(__xludf.DUMMYFUNCTION("""COMPUTED_VALUE"""),"Beban Hilang ITBISA-SARUNG-TANGAN-SPANDEX")</f>
        <v>Beban Hilang ITBISA-SARUNG-TANGAN-SPANDEX</v>
      </c>
    </row>
    <row r="59">
      <c r="A59" s="178" t="str">
        <f>IFERROR(__xludf.DUMMYFUNCTION("""COMPUTED_VALUE"""),"Beban Hilang ITBISA-SOCKET-IC-DIP16-NARROW")</f>
        <v>Beban Hilang ITBISA-SOCKET-IC-DIP16-NARROW</v>
      </c>
    </row>
    <row r="60">
      <c r="A60" s="178" t="str">
        <f>IFERROR(__xludf.DUMMYFUNCTION("""COMPUTED_VALUE"""),"Beban Hilang ITBISA-SOCKET-IC-DIP20-NARROW")</f>
        <v>Beban Hilang ITBISA-SOCKET-IC-DIP20-NARROW</v>
      </c>
    </row>
    <row r="61">
      <c r="A61" s="178" t="str">
        <f>IFERROR(__xludf.DUMMYFUNCTION("""COMPUTED_VALUE"""),"Beban Hilang ITBISA-SOCKET-IC-DIP8-NARROW")</f>
        <v>Beban Hilang ITBISA-SOCKET-IC-DIP8-NARROW</v>
      </c>
    </row>
    <row r="62">
      <c r="A62" s="178" t="str">
        <f>IFERROR(__xludf.DUMMYFUNCTION("""COMPUTED_VALUE"""),"Beban Hilang ITBISA-SYAL")</f>
        <v>Beban Hilang ITBISA-SYAL</v>
      </c>
    </row>
    <row r="63">
      <c r="A63" s="178" t="str">
        <f>IFERROR(__xludf.DUMMYFUNCTION("""COMPUTED_VALUE"""),"Beban Hilang ITBISA-TIGERHEAD-SENTER-KUNING-FT700")</f>
        <v>Beban Hilang ITBISA-TIGERHEAD-SENTER-KUNING-FT700</v>
      </c>
    </row>
    <row r="64">
      <c r="A64" s="178" t="str">
        <f>IFERROR(__xludf.DUMMYFUNCTION("""COMPUTED_VALUE"""),"Beban Hilang ITBISA-VYBA-SENTER-KUNING-FT300")</f>
        <v>Beban Hilang ITBISA-VYBA-SENTER-KUNING-FT300</v>
      </c>
    </row>
    <row r="65">
      <c r="A65" s="178" t="str">
        <f>IFERROR(__xludf.DUMMYFUNCTION("""COMPUTED_VALUE"""),"Beban Hilang ITBISA-WEMOS-D1-MINI-ESP8266")</f>
        <v>Beban Hilang ITBISA-WEMOS-D1-MINI-ESP8266</v>
      </c>
    </row>
    <row r="66">
      <c r="A66" s="178" t="str">
        <f>IFERROR(__xludf.DUMMYFUNCTION("""COMPUTED_VALUE"""),"Beban Lain-Lain")</f>
        <v>Beban Lain-Lain</v>
      </c>
    </row>
    <row r="67">
      <c r="A67" s="178" t="str">
        <f>IFERROR(__xludf.DUMMYFUNCTION("""COMPUTED_VALUE"""),"Beban Logistik")</f>
        <v>Beban Logistik</v>
      </c>
    </row>
    <row r="68">
      <c r="A68" s="178" t="str">
        <f>IFERROR(__xludf.DUMMYFUNCTION("""COMPUTED_VALUE"""),"Beban Marketing")</f>
        <v>Beban Marketing</v>
      </c>
    </row>
    <row r="69">
      <c r="A69" s="178" t="str">
        <f>IFERROR(__xludf.DUMMYFUNCTION("""COMPUTED_VALUE"""),"Beban Marketing Bukalapak")</f>
        <v>Beban Marketing Bukalapak</v>
      </c>
    </row>
    <row r="70">
      <c r="A70" s="178" t="str">
        <f>IFERROR(__xludf.DUMMYFUNCTION("""COMPUTED_VALUE"""),"Beban Marketing LINE")</f>
        <v>Beban Marketing LINE</v>
      </c>
    </row>
    <row r="71">
      <c r="A71" s="178" t="str">
        <f>IFERROR(__xludf.DUMMYFUNCTION("""COMPUTED_VALUE"""),"Beban Marketing Shopee")</f>
        <v>Beban Marketing Shopee</v>
      </c>
    </row>
    <row r="72">
      <c r="A72" s="178" t="str">
        <f>IFERROR(__xludf.DUMMYFUNCTION("""COMPUTED_VALUE"""),"Beban Marketing Tokopedia")</f>
        <v>Beban Marketing Tokopedia</v>
      </c>
    </row>
    <row r="73">
      <c r="A73" s="178" t="str">
        <f>IFERROR(__xludf.DUMMYFUNCTION("""COMPUTED_VALUE"""),"Beban Parkir")</f>
        <v>Beban Parkir</v>
      </c>
    </row>
    <row r="74">
      <c r="A74" s="178" t="str">
        <f>IFERROR(__xludf.DUMMYFUNCTION("""COMPUTED_VALUE"""),"Beban PKM")</f>
        <v>Beban PKM</v>
      </c>
    </row>
    <row r="75">
      <c r="A75" s="178" t="str">
        <f>IFERROR(__xludf.DUMMYFUNCTION("""COMPUTED_VALUE"""),"Beban Pulsa")</f>
        <v>Beban Pulsa</v>
      </c>
    </row>
    <row r="76">
      <c r="A76" s="178" t="str">
        <f>IFERROR(__xludf.DUMMYFUNCTION("""COMPUTED_VALUE"""),"Bonus Aliexpress")</f>
        <v>Bonus Aliexpress</v>
      </c>
    </row>
    <row r="77">
      <c r="A77" s="178" t="str">
        <f>IFERROR(__xludf.DUMMYFUNCTION("""COMPUTED_VALUE"""),"Bonus BNI Syariah")</f>
        <v>Bonus BNI Syariah</v>
      </c>
    </row>
    <row r="78">
      <c r="A78" s="178" t="str">
        <f>IFERROR(__xludf.DUMMYFUNCTION("""COMPUTED_VALUE"""),"Bonus Bukalapak")</f>
        <v>Bonus Bukalapak</v>
      </c>
    </row>
    <row r="79">
      <c r="A79" s="178" t="str">
        <f>IFERROR(__xludf.DUMMYFUNCTION("""COMPUTED_VALUE"""),"Bonus ITBISA-7SEGMENT-ANODE-RED-0.56-1BIT")</f>
        <v>Bonus ITBISA-7SEGMENT-ANODE-RED-0.56-1BIT</v>
      </c>
    </row>
    <row r="80">
      <c r="A80" s="178" t="str">
        <f>IFERROR(__xludf.DUMMYFUNCTION("""COMPUTED_VALUE"""),"Bonus ITBISA-7SEGMENT-ANODE-RED-1.00-1BIT")</f>
        <v>Bonus ITBISA-7SEGMENT-ANODE-RED-1.00-1BIT</v>
      </c>
    </row>
    <row r="81">
      <c r="A81" s="178" t="str">
        <f>IFERROR(__xludf.DUMMYFUNCTION("""COMPUTED_VALUE"""),"Bonus ITBISA-7SEGMENT-ANODE-RED-1.20-1BIT")</f>
        <v>Bonus ITBISA-7SEGMENT-ANODE-RED-1.20-1BIT</v>
      </c>
    </row>
    <row r="82">
      <c r="A82" s="178" t="str">
        <f>IFERROR(__xludf.DUMMYFUNCTION("""COMPUTED_VALUE"""),"Bonus ITBISA-7SEGMENT-ANODE-RED-2.30-1BIT")</f>
        <v>Bonus ITBISA-7SEGMENT-ANODE-RED-2.30-1BIT</v>
      </c>
    </row>
    <row r="83">
      <c r="A83" s="178" t="str">
        <f>IFERROR(__xludf.DUMMYFUNCTION("""COMPUTED_VALUE"""),"Bonus ITBISA-7SEGMENT-CATHODE-RED-0.56-1BIT")</f>
        <v>Bonus ITBISA-7SEGMENT-CATHODE-RED-0.56-1BIT</v>
      </c>
    </row>
    <row r="84">
      <c r="A84" s="178" t="str">
        <f>IFERROR(__xludf.DUMMYFUNCTION("""COMPUTED_VALUE"""),"Bonus ITBISA-ABC-BATERAI-AA-ALKALINE")</f>
        <v>Bonus ITBISA-ABC-BATERAI-AA-ALKALINE</v>
      </c>
    </row>
    <row r="85">
      <c r="A85" s="178" t="str">
        <f>IFERROR(__xludf.DUMMYFUNCTION("""COMPUTED_VALUE"""),"Bonus ITBISA-ABC-BATERAI-AAA-ALKALINE")</f>
        <v>Bonus ITBISA-ABC-BATERAI-AAA-ALKALINE</v>
      </c>
    </row>
    <row r="86">
      <c r="A86" s="178" t="str">
        <f>IFERROR(__xludf.DUMMYFUNCTION("""COMPUTED_VALUE"""),"Bonus ITBISA-ABC-BATERAI-D-POWER")</f>
        <v>Bonus ITBISA-ABC-BATERAI-D-POWER</v>
      </c>
    </row>
    <row r="87">
      <c r="A87" s="178" t="str">
        <f>IFERROR(__xludf.DUMMYFUNCTION("""COMPUTED_VALUE"""),"Bonus ITBISA-ARDUINO-UNO-R3-328P-SMD")</f>
        <v>Bonus ITBISA-ARDUINO-UNO-R3-328P-SMD</v>
      </c>
    </row>
    <row r="88">
      <c r="A88" s="178" t="str">
        <f>IFERROR(__xludf.DUMMYFUNCTION("""COMPUTED_VALUE"""),"Bonus ITBISA-BLUETOOTH-MODULE-HC05")</f>
        <v>Bonus ITBISA-BLUETOOTH-MODULE-HC05</v>
      </c>
    </row>
    <row r="89">
      <c r="A89" s="178" t="str">
        <f>IFERROR(__xludf.DUMMYFUNCTION("""COMPUTED_VALUE"""),"Bonus ITBISA-CHIP-ESP8266-ESP12F")</f>
        <v>Bonus ITBISA-CHIP-ESP8266-ESP12F</v>
      </c>
    </row>
    <row r="90">
      <c r="A90" s="178" t="str">
        <f>IFERROR(__xludf.DUMMYFUNCTION("""COMPUTED_VALUE"""),"Bonus ITBISA-IC-4N35-DIP6-WHITE")</f>
        <v>Bonus ITBISA-IC-4N35-DIP6-WHITE</v>
      </c>
    </row>
    <row r="91">
      <c r="A91" s="178" t="str">
        <f>IFERROR(__xludf.DUMMYFUNCTION("""COMPUTED_VALUE"""),"Bonus ITBISA-IC-74HC245N-DIP20")</f>
        <v>Bonus ITBISA-IC-74HC245N-DIP20</v>
      </c>
    </row>
    <row r="92">
      <c r="A92" s="178" t="str">
        <f>IFERROR(__xludf.DUMMYFUNCTION("""COMPUTED_VALUE"""),"Bonus ITBISA-IC-74HC595N-DIP16")</f>
        <v>Bonus ITBISA-IC-74HC595N-DIP16</v>
      </c>
    </row>
    <row r="93">
      <c r="A93" s="178" t="str">
        <f>IFERROR(__xludf.DUMMYFUNCTION("""COMPUTED_VALUE"""),"Bonus ITBISA-IC-78L05-TO92")</f>
        <v>Bonus ITBISA-IC-78L05-TO92</v>
      </c>
    </row>
    <row r="94">
      <c r="A94" s="178" t="str">
        <f>IFERROR(__xludf.DUMMYFUNCTION("""COMPUTED_VALUE"""),"Bonus ITBISA-IC-CD4017BE-DIP16")</f>
        <v>Bonus ITBISA-IC-CD4017BE-DIP16</v>
      </c>
    </row>
    <row r="95">
      <c r="A95" s="178" t="str">
        <f>IFERROR(__xludf.DUMMYFUNCTION("""COMPUTED_VALUE"""),"Bonus ITBISA-IC-CD4094BE-DIP16")</f>
        <v>Bonus ITBISA-IC-CD4094BE-DIP16</v>
      </c>
    </row>
    <row r="96">
      <c r="A96" s="178" t="str">
        <f>IFERROR(__xludf.DUMMYFUNCTION("""COMPUTED_VALUE"""),"Bonus ITBISA-IC-CD4094BM-SMD-SOP16")</f>
        <v>Bonus ITBISA-IC-CD4094BM-SMD-SOP16</v>
      </c>
    </row>
    <row r="97">
      <c r="A97" s="178" t="str">
        <f>IFERROR(__xludf.DUMMYFUNCTION("""COMPUTED_VALUE"""),"Bonus ITBISA-IC-L7805CV-TO220")</f>
        <v>Bonus ITBISA-IC-L7805CV-TO220</v>
      </c>
    </row>
    <row r="98">
      <c r="A98" s="178" t="str">
        <f>IFERROR(__xludf.DUMMYFUNCTION("""COMPUTED_VALUE"""),"Bonus ITBISA-IC-NE555P-DIP8")</f>
        <v>Bonus ITBISA-IC-NE555P-DIP8</v>
      </c>
    </row>
    <row r="99">
      <c r="A99" s="178" t="str">
        <f>IFERROR(__xludf.DUMMYFUNCTION("""COMPUTED_VALUE"""),"Bonus ITBISA-IC-UA741CN-DIP8")</f>
        <v>Bonus ITBISA-IC-UA741CN-DIP8</v>
      </c>
    </row>
    <row r="100">
      <c r="A100" s="178" t="str">
        <f>IFERROR(__xludf.DUMMYFUNCTION("""COMPUTED_VALUE"""),"Bonus ITBISA-JUMPER-FF-10CM")</f>
        <v>Bonus ITBISA-JUMPER-FF-10CM</v>
      </c>
    </row>
    <row r="101">
      <c r="A101" s="178" t="str">
        <f>IFERROR(__xludf.DUMMYFUNCTION("""COMPUTED_VALUE"""),"Bonus ITBISA-JUMPER-FF-20CM")</f>
        <v>Bonus ITBISA-JUMPER-FF-20CM</v>
      </c>
    </row>
    <row r="102">
      <c r="A102" s="178" t="str">
        <f>IFERROR(__xludf.DUMMYFUNCTION("""COMPUTED_VALUE"""),"Bonus ITBISA-JUMPER-MF-10CM")</f>
        <v>Bonus ITBISA-JUMPER-MF-10CM</v>
      </c>
    </row>
    <row r="103">
      <c r="A103" s="178" t="str">
        <f>IFERROR(__xludf.DUMMYFUNCTION("""COMPUTED_VALUE"""),"Bonus ITBISA-JUMPER-MF-20CM")</f>
        <v>Bonus ITBISA-JUMPER-MF-20CM</v>
      </c>
    </row>
    <row r="104">
      <c r="A104" s="178" t="str">
        <f>IFERROR(__xludf.DUMMYFUNCTION("""COMPUTED_VALUE"""),"Bonus ITBISA-JUMPER-MM-10CM")</f>
        <v>Bonus ITBISA-JUMPER-MM-10CM</v>
      </c>
    </row>
    <row r="105">
      <c r="A105" s="178" t="str">
        <f>IFERROR(__xludf.DUMMYFUNCTION("""COMPUTED_VALUE"""),"Bonus ITBISA-JUMPER-MM-20CM")</f>
        <v>Bonus ITBISA-JUMPER-MM-20CM</v>
      </c>
    </row>
    <row r="106">
      <c r="A106" s="178" t="str">
        <f>IFERROR(__xludf.DUMMYFUNCTION("""COMPUTED_VALUE"""),"Bonus ITBISA-LCD-16X2-GREEN")</f>
        <v>Bonus ITBISA-LCD-16X2-GREEN</v>
      </c>
    </row>
    <row r="107">
      <c r="A107" s="178" t="str">
        <f>IFERROR(__xludf.DUMMYFUNCTION("""COMPUTED_VALUE"""),"Bonus ITBISA-LED-MAX7219-4IN1-GAP")</f>
        <v>Bonus ITBISA-LED-MAX7219-4IN1-GAP</v>
      </c>
    </row>
    <row r="108">
      <c r="A108" s="178" t="str">
        <f>IFERROR(__xludf.DUMMYFUNCTION("""COMPUTED_VALUE"""),"Bonus ITBISA-MOTORDRIVER-L298N-WITH-HEATSINK")</f>
        <v>Bonus ITBISA-MOTORDRIVER-L298N-WITH-HEATSINK</v>
      </c>
    </row>
    <row r="109">
      <c r="A109" s="178" t="str">
        <f>IFERROR(__xludf.DUMMYFUNCTION("""COMPUTED_VALUE"""),"Bonus ITBISA-NODEMCU-ESP32-MICRO")</f>
        <v>Bonus ITBISA-NODEMCU-ESP32-MICRO</v>
      </c>
    </row>
    <row r="110">
      <c r="A110" s="178" t="str">
        <f>IFERROR(__xludf.DUMMYFUNCTION("""COMPUTED_VALUE"""),"Bonus ITBISA-NODEMCU-ESP32-MICRO-30PIN")</f>
        <v>Bonus ITBISA-NODEMCU-ESP32-MICRO-30PIN</v>
      </c>
    </row>
    <row r="111">
      <c r="A111" s="178" t="str">
        <f>IFERROR(__xludf.DUMMYFUNCTION("""COMPUTED_VALUE"""),"Bonus ITBISA-NPN-2N2222-TO92")</f>
        <v>Bonus ITBISA-NPN-2N2222-TO92</v>
      </c>
    </row>
    <row r="112">
      <c r="A112" s="178" t="str">
        <f>IFERROR(__xludf.DUMMYFUNCTION("""COMPUTED_VALUE"""),"Bonus ITBISA-PCB-5X7-COPPER-SINGLE-SIDE")</f>
        <v>Bonus ITBISA-PCB-5X7-COPPER-SINGLE-SIDE</v>
      </c>
    </row>
    <row r="113">
      <c r="A113" s="178" t="str">
        <f>IFERROR(__xludf.DUMMYFUNCTION("""COMPUTED_VALUE"""),"Bonus ITBISA-RAPID-BOHLAM-E10-2.5V-SCREW")</f>
        <v>Bonus ITBISA-RAPID-BOHLAM-E10-2.5V-SCREW</v>
      </c>
    </row>
    <row r="114">
      <c r="A114" s="178" t="str">
        <f>IFERROR(__xludf.DUMMYFUNCTION("""COMPUTED_VALUE"""),"Bonus ITBISA-RAPID-BOHLAM-E10-3.8V-SCREW")</f>
        <v>Bonus ITBISA-RAPID-BOHLAM-E10-3.8V-SCREW</v>
      </c>
    </row>
    <row r="115">
      <c r="A115" s="178" t="str">
        <f>IFERROR(__xludf.DUMMYFUNCTION("""COMPUTED_VALUE"""),"Bonus ITBISA-RELAY-12V-5PIN-BLUE")</f>
        <v>Bonus ITBISA-RELAY-12V-5PIN-BLUE</v>
      </c>
    </row>
    <row r="116">
      <c r="A116" s="178" t="str">
        <f>IFERROR(__xludf.DUMMYFUNCTION("""COMPUTED_VALUE"""),"Bonus ITBISA-RESISTOR-100K-1/4W")</f>
        <v>Bonus ITBISA-RESISTOR-100K-1/4W</v>
      </c>
    </row>
    <row r="117">
      <c r="A117" s="178" t="str">
        <f>IFERROR(__xludf.DUMMYFUNCTION("""COMPUTED_VALUE"""),"Bonus ITBISA-RESISTOR-10K-1/4W")</f>
        <v>Bonus ITBISA-RESISTOR-10K-1/4W</v>
      </c>
    </row>
    <row r="118">
      <c r="A118" s="178" t="str">
        <f>IFERROR(__xludf.DUMMYFUNCTION("""COMPUTED_VALUE"""),"Bonus ITBISA-RESISTOR-22K-1/4W")</f>
        <v>Bonus ITBISA-RESISTOR-22K-1/4W</v>
      </c>
    </row>
    <row r="119">
      <c r="A119" s="178" t="str">
        <f>IFERROR(__xludf.DUMMYFUNCTION("""COMPUTED_VALUE"""),"Bonus ITBISA-RESISTOR-2K2-1/4W")</f>
        <v>Bonus ITBISA-RESISTOR-2K2-1/4W</v>
      </c>
    </row>
    <row r="120">
      <c r="A120" s="178" t="str">
        <f>IFERROR(__xludf.DUMMYFUNCTION("""COMPUTED_VALUE"""),"Bonus ITBISA-RESISTOR-330-1/4W")</f>
        <v>Bonus ITBISA-RESISTOR-330-1/4W</v>
      </c>
    </row>
    <row r="121">
      <c r="A121" s="178" t="str">
        <f>IFERROR(__xludf.DUMMYFUNCTION("""COMPUTED_VALUE"""),"Bonus ITBISA-RESISTOR-3K3-1/4W")</f>
        <v>Bonus ITBISA-RESISTOR-3K3-1/4W</v>
      </c>
    </row>
    <row r="122">
      <c r="A122" s="178" t="str">
        <f>IFERROR(__xludf.DUMMYFUNCTION("""COMPUTED_VALUE"""),"Bonus ITBISA-RESISTOR-4K7-1/4W")</f>
        <v>Bonus ITBISA-RESISTOR-4K7-1/4W</v>
      </c>
    </row>
    <row r="123">
      <c r="A123" s="178" t="str">
        <f>IFERROR(__xludf.DUMMYFUNCTION("""COMPUTED_VALUE"""),"Bonus ITBISA-SOCKET-IC-DIP14-NARROW")</f>
        <v>Bonus ITBISA-SOCKET-IC-DIP14-NARROW</v>
      </c>
    </row>
    <row r="124">
      <c r="A124" s="178" t="str">
        <f>IFERROR(__xludf.DUMMYFUNCTION("""COMPUTED_VALUE"""),"Bonus ITBISA-SOCKET-IC-DIP16-NARROW")</f>
        <v>Bonus ITBISA-SOCKET-IC-DIP16-NARROW</v>
      </c>
    </row>
    <row r="125">
      <c r="A125" s="178" t="str">
        <f>IFERROR(__xludf.DUMMYFUNCTION("""COMPUTED_VALUE"""),"Bonus ITBISA-SOCKET-IC-DIP8-NARROW")</f>
        <v>Bonus ITBISA-SOCKET-IC-DIP8-NARROW</v>
      </c>
    </row>
    <row r="126">
      <c r="A126" s="178" t="str">
        <f>IFERROR(__xludf.DUMMYFUNCTION("""COMPUTED_VALUE"""),"Bonus ITBISA-TIGERHEAD-SENTER-KUNING-FT300")</f>
        <v>Bonus ITBISA-TIGERHEAD-SENTER-KUNING-FT300</v>
      </c>
    </row>
    <row r="127">
      <c r="A127" s="178" t="str">
        <f>IFERROR(__xludf.DUMMYFUNCTION("""COMPUTED_VALUE"""),"Bonus ITBISA-USB-A-TO-B-30CM")</f>
        <v>Bonus ITBISA-USB-A-TO-B-30CM</v>
      </c>
    </row>
    <row r="128">
      <c r="A128" s="178" t="str">
        <f>IFERROR(__xludf.DUMMYFUNCTION("""COMPUTED_VALUE"""),"Bonus ITBISA-USB-A-TO-B-50CM")</f>
        <v>Bonus ITBISA-USB-A-TO-B-50CM</v>
      </c>
    </row>
    <row r="129">
      <c r="A129" s="178" t="str">
        <f>IFERROR(__xludf.DUMMYFUNCTION("""COMPUTED_VALUE"""),"Bonus ITBISA-VYBA-SENTER-KUNING-FT300")</f>
        <v>Bonus ITBISA-VYBA-SENTER-KUNING-FT300</v>
      </c>
    </row>
    <row r="130">
      <c r="A130" s="178" t="str">
        <f>IFERROR(__xludf.DUMMYFUNCTION("""COMPUTED_VALUE"""),"Bonus Ocistok")</f>
        <v>Bonus Ocistok</v>
      </c>
    </row>
    <row r="131">
      <c r="A131" s="178" t="str">
        <f>IFERROR(__xludf.DUMMYFUNCTION("""COMPUTED_VALUE"""),"Bonus Paten")</f>
        <v>Bonus Paten</v>
      </c>
    </row>
    <row r="132">
      <c r="A132" s="178" t="str">
        <f>IFERROR(__xludf.DUMMYFUNCTION("""COMPUTED_VALUE"""),"Bonus PKM")</f>
        <v>Bonus PKM</v>
      </c>
    </row>
    <row r="133">
      <c r="A133" s="178" t="str">
        <f>IFERROR(__xludf.DUMMYFUNCTION("""COMPUTED_VALUE"""),"Bonus Shopback")</f>
        <v>Bonus Shopback</v>
      </c>
    </row>
    <row r="134">
      <c r="A134" s="178" t="str">
        <f>IFERROR(__xludf.DUMMYFUNCTION("""COMPUTED_VALUE"""),"Bonus Shopee")</f>
        <v>Bonus Shopee</v>
      </c>
    </row>
    <row r="135">
      <c r="A135" s="178" t="str">
        <f>IFERROR(__xludf.DUMMYFUNCTION("""COMPUTED_VALUE"""),"Bonus Tokopedia")</f>
        <v>Bonus Tokopedia</v>
      </c>
    </row>
    <row r="136">
      <c r="A136" s="178" t="str">
        <f>IFERROR(__xludf.DUMMYFUNCTION("""COMPUTED_VALUE"""),"Bunga BCA")</f>
        <v>Bunga BCA</v>
      </c>
    </row>
    <row r="137">
      <c r="A137" s="178" t="str">
        <f>IFERROR(__xludf.DUMMYFUNCTION("""COMPUTED_VALUE"""),"Bunga BRI")</f>
        <v>Bunga BRI</v>
      </c>
    </row>
    <row r="138">
      <c r="A138" s="178" t="str">
        <f>IFERROR(__xludf.DUMMYFUNCTION("""COMPUTED_VALUE"""),"Bunga Mandiri")</f>
        <v>Bunga Mandiri</v>
      </c>
    </row>
    <row r="139">
      <c r="A139" s="178" t="str">
        <f>IFERROR(__xludf.DUMMYFUNCTION("""COMPUTED_VALUE"""),"Dividen ITBisa")</f>
        <v>Dividen ITBisa</v>
      </c>
    </row>
    <row r="140">
      <c r="A140" s="178" t="str">
        <f>IFERROR(__xludf.DUMMYFUNCTION("""COMPUTED_VALUE"""),"Kas ITBisa")</f>
        <v>Kas ITBisa</v>
      </c>
    </row>
    <row r="141">
      <c r="A141" s="178" t="str">
        <f>IFERROR(__xludf.DUMMYFUNCTION("""COMPUTED_VALUE"""),"Modal Furqonajiy")</f>
        <v>Modal Furqonajiy</v>
      </c>
    </row>
    <row r="142">
      <c r="A142" s="178" t="str">
        <f>IFERROR(__xludf.DUMMYFUNCTION("""COMPUTED_VALUE"""),"Modal Mama Anggi")</f>
        <v>Modal Mama Anggi</v>
      </c>
    </row>
    <row r="143">
      <c r="A143" s="178" t="str">
        <f>IFERROR(__xludf.DUMMYFUNCTION("""COMPUTED_VALUE"""),"Modal Muzakki")</f>
        <v>Modal Muzakki</v>
      </c>
    </row>
    <row r="144">
      <c r="A144" s="178" t="str">
        <f>IFERROR(__xludf.DUMMYFUNCTION("""COMPUTED_VALUE"""),"Modal Om Estu")</f>
        <v>Modal Om Estu</v>
      </c>
    </row>
    <row r="145">
      <c r="A145" s="178" t="str">
        <f>IFERROR(__xludf.DUMMYFUNCTION("""COMPUTED_VALUE"""),"Modal Uqi")</f>
        <v>Modal Uqi</v>
      </c>
    </row>
    <row r="146">
      <c r="A146" s="178" t="str">
        <f>IFERROR(__xludf.DUMMYFUNCTION("""COMPUTED_VALUE"""),"Perlengkapan Baterai")</f>
        <v>Perlengkapan Baterai</v>
      </c>
    </row>
    <row r="147">
      <c r="A147" s="178" t="str">
        <f>IFERROR(__xludf.DUMMYFUNCTION("""COMPUTED_VALUE"""),"Perlengkapan Bubble Wrap")</f>
        <v>Perlengkapan Bubble Wrap</v>
      </c>
    </row>
    <row r="148">
      <c r="A148" s="178" t="str">
        <f>IFERROR(__xludf.DUMMYFUNCTION("""COMPUTED_VALUE"""),"Perlengkapan Cutter")</f>
        <v>Perlengkapan Cutter</v>
      </c>
    </row>
    <row r="149">
      <c r="A149" s="178" t="str">
        <f>IFERROR(__xludf.DUMMYFUNCTION("""COMPUTED_VALUE"""),"Perlengkapan Gunting")</f>
        <v>Perlengkapan Gunting</v>
      </c>
    </row>
    <row r="150">
      <c r="A150" s="178" t="str">
        <f>IFERROR(__xludf.DUMMYFUNCTION("""COMPUTED_VALUE"""),"Perlengkapan Kardus")</f>
        <v>Perlengkapan Kardus</v>
      </c>
    </row>
    <row r="151">
      <c r="A151" s="178" t="str">
        <f>IFERROR(__xludf.DUMMYFUNCTION("""COMPUTED_VALUE"""),"Perlengkapan Keresek")</f>
        <v>Perlengkapan Keresek</v>
      </c>
    </row>
    <row r="152">
      <c r="A152" s="178" t="str">
        <f>IFERROR(__xludf.DUMMYFUNCTION("""COMPUTED_VALUE"""),"Perlengkapan Kertas")</f>
        <v>Perlengkapan Kertas</v>
      </c>
    </row>
    <row r="153">
      <c r="A153" s="178" t="str">
        <f>IFERROR(__xludf.DUMMYFUNCTION("""COMPUTED_VALUE"""),"Perlengkapan Label")</f>
        <v>Perlengkapan Label</v>
      </c>
    </row>
    <row r="154">
      <c r="A154" s="178" t="str">
        <f>IFERROR(__xludf.DUMMYFUNCTION("""COMPUTED_VALUE"""),"Perlengkapan Lainnya")</f>
        <v>Perlengkapan Lainnya</v>
      </c>
    </row>
    <row r="155">
      <c r="A155" s="178" t="str">
        <f>IFERROR(__xludf.DUMMYFUNCTION("""COMPUTED_VALUE"""),"Perlengkapan Plastik Klip")</f>
        <v>Perlengkapan Plastik Klip</v>
      </c>
    </row>
    <row r="156">
      <c r="A156" s="178" t="str">
        <f>IFERROR(__xludf.DUMMYFUNCTION("""COMPUTED_VALUE"""),"Perlengkapan Selotip")</f>
        <v>Perlengkapan Selotip</v>
      </c>
    </row>
    <row r="157">
      <c r="A157" s="178" t="str">
        <f>IFERROR(__xludf.DUMMYFUNCTION("""COMPUTED_VALUE"""),"Perlengkapan Tape Cutter")</f>
        <v>Perlengkapan Tape Cutter</v>
      </c>
    </row>
    <row r="158">
      <c r="A158" s="178" t="str">
        <f>IFERROR(__xludf.DUMMYFUNCTION("""COMPUTED_VALUE"""),"Persediaan ITBISA-7SEGMENT-ANODE-RED-0.56-1BIT")</f>
        <v>Persediaan ITBISA-7SEGMENT-ANODE-RED-0.56-1BIT</v>
      </c>
    </row>
    <row r="159">
      <c r="A159" s="178" t="str">
        <f>IFERROR(__xludf.DUMMYFUNCTION("""COMPUTED_VALUE"""),"Persediaan ITBISA-7SEGMENT-ANODE-RED-1.00-1BIT")</f>
        <v>Persediaan ITBISA-7SEGMENT-ANODE-RED-1.00-1BIT</v>
      </c>
    </row>
    <row r="160">
      <c r="A160" s="178" t="str">
        <f>IFERROR(__xludf.DUMMYFUNCTION("""COMPUTED_VALUE"""),"Persediaan ITBISA-7SEGMENT-ANODE-RED-1.20-1BIT")</f>
        <v>Persediaan ITBISA-7SEGMENT-ANODE-RED-1.20-1BIT</v>
      </c>
    </row>
    <row r="161">
      <c r="A161" s="178" t="str">
        <f>IFERROR(__xludf.DUMMYFUNCTION("""COMPUTED_VALUE"""),"Persediaan ITBISA-7SEGMENT-ANODE-RED-2.30-1BIT")</f>
        <v>Persediaan ITBISA-7SEGMENT-ANODE-RED-2.30-1BIT</v>
      </c>
    </row>
    <row r="162">
      <c r="A162" s="178" t="str">
        <f>IFERROR(__xludf.DUMMYFUNCTION("""COMPUTED_VALUE"""),"Persediaan ITBISA-7SEGMENT-CATHODE-RED-0.56-1BIT")</f>
        <v>Persediaan ITBISA-7SEGMENT-CATHODE-RED-0.56-1BIT</v>
      </c>
    </row>
    <row r="163">
      <c r="A163" s="178" t="str">
        <f>IFERROR(__xludf.DUMMYFUNCTION("""COMPUTED_VALUE"""),"Persediaan ITBISA-7SEGMENT-CATHODE-RED-1.20-1BIT")</f>
        <v>Persediaan ITBISA-7SEGMENT-CATHODE-RED-1.20-1BIT</v>
      </c>
    </row>
    <row r="164">
      <c r="A164" s="178" t="str">
        <f>IFERROR(__xludf.DUMMYFUNCTION("""COMPUTED_VALUE"""),"Persediaan ITBISA-7SEGMENT-CATHODE-RED-2.30-1BIT")</f>
        <v>Persediaan ITBISA-7SEGMENT-CATHODE-RED-2.30-1BIT</v>
      </c>
    </row>
    <row r="165">
      <c r="A165" s="178" t="str">
        <f>IFERROR(__xludf.DUMMYFUNCTION("""COMPUTED_VALUE"""),"Persediaan ITBISA-ABC-BATERAI-9V-POWER")</f>
        <v>Persediaan ITBISA-ABC-BATERAI-9V-POWER</v>
      </c>
    </row>
    <row r="166">
      <c r="A166" s="178" t="str">
        <f>IFERROR(__xludf.DUMMYFUNCTION("""COMPUTED_VALUE"""),"Persediaan ITBISA-ABC-BATERAI-AA-ALKALINE")</f>
        <v>Persediaan ITBISA-ABC-BATERAI-AA-ALKALINE</v>
      </c>
    </row>
    <row r="167">
      <c r="A167" s="178" t="str">
        <f>IFERROR(__xludf.DUMMYFUNCTION("""COMPUTED_VALUE"""),"Persediaan ITBISA-ABC-BATERAI-AAA-ALKALINE")</f>
        <v>Persediaan ITBISA-ABC-BATERAI-AAA-ALKALINE</v>
      </c>
    </row>
    <row r="168">
      <c r="A168" s="178" t="str">
        <f>IFERROR(__xludf.DUMMYFUNCTION("""COMPUTED_VALUE"""),"Persediaan ITBISA-ABC-BATERAI-D-BIRU")</f>
        <v>Persediaan ITBISA-ABC-BATERAI-D-BIRU</v>
      </c>
    </row>
    <row r="169">
      <c r="A169" s="178" t="str">
        <f>IFERROR(__xludf.DUMMYFUNCTION("""COMPUTED_VALUE"""),"Persediaan ITBISA-ABC-BATERAI-D-POWER")</f>
        <v>Persediaan ITBISA-ABC-BATERAI-D-POWER</v>
      </c>
    </row>
    <row r="170">
      <c r="A170" s="178" t="str">
        <f>IFERROR(__xludf.DUMMYFUNCTION("""COMPUTED_VALUE"""),"Persediaan ITBISA-ABC-SENTER-LED-ALKALINE")</f>
        <v>Persediaan ITBISA-ABC-SENTER-LED-ALKALINE</v>
      </c>
    </row>
    <row r="171">
      <c r="A171" s="178" t="str">
        <f>IFERROR(__xludf.DUMMYFUNCTION("""COMPUTED_VALUE"""),"Persediaan ITBISA-ARDUINO-UNO-R3-328P-SMD")</f>
        <v>Persediaan ITBISA-ARDUINO-UNO-R3-328P-SMD</v>
      </c>
    </row>
    <row r="172">
      <c r="A172" s="178" t="str">
        <f>IFERROR(__xludf.DUMMYFUNCTION("""COMPUTED_VALUE"""),"Persediaan ITBISA-ARDUINO-UNO-R3-CLONE-CABLE30CM")</f>
        <v>Persediaan ITBISA-ARDUINO-UNO-R3-CLONE-CABLE30CM</v>
      </c>
    </row>
    <row r="173">
      <c r="A173" s="178" t="str">
        <f>IFERROR(__xludf.DUMMYFUNCTION("""COMPUTED_VALUE"""),"Persediaan ITBISA-ARDUINO-UNO-R3-CLONE-CABLE50CM")</f>
        <v>Persediaan ITBISA-ARDUINO-UNO-R3-CLONE-CABLE50CM</v>
      </c>
    </row>
    <row r="174">
      <c r="A174" s="178" t="str">
        <f>IFERROR(__xludf.DUMMYFUNCTION("""COMPUTED_VALUE"""),"Persediaan ITBISA-BLUETOOTH-MODULE-HC05")</f>
        <v>Persediaan ITBISA-BLUETOOTH-MODULE-HC05</v>
      </c>
    </row>
    <row r="175">
      <c r="A175" s="178" t="str">
        <f>IFERROR(__xludf.DUMMYFUNCTION("""COMPUTED_VALUE"""),"Persediaan ITBISA-BREADBOARD-830HOLE-MB102")</f>
        <v>Persediaan ITBISA-BREADBOARD-830HOLE-MB102</v>
      </c>
    </row>
    <row r="176">
      <c r="A176" s="178" t="str">
        <f>IFERROR(__xludf.DUMMYFUNCTION("""COMPUTED_VALUE"""),"Persediaan ITBISA-BUBBLE-WRAP")</f>
        <v>Persediaan ITBISA-BUBBLE-WRAP</v>
      </c>
    </row>
    <row r="177">
      <c r="A177" s="178" t="str">
        <f>IFERROR(__xludf.DUMMYFUNCTION("""COMPUTED_VALUE"""),"Persediaan ITBISA-BUKAEMAS")</f>
        <v>Persediaan ITBISA-BUKAEMAS</v>
      </c>
    </row>
    <row r="178">
      <c r="A178" s="178" t="str">
        <f>IFERROR(__xludf.DUMMYFUNCTION("""COMPUTED_VALUE"""),"Persediaan ITBISA-BUKAREKSA-BAHANA-MES-SYARIAH")</f>
        <v>Persediaan ITBISA-BUKAREKSA-BAHANA-MES-SYARIAH</v>
      </c>
    </row>
    <row r="179">
      <c r="A179" s="178" t="str">
        <f>IFERROR(__xludf.DUMMYFUNCTION("""COMPUTED_VALUE"""),"Persediaan ITBISA-BUKAREKSA-CIMB-PRINCIPAL-PASAR-UANG")</f>
        <v>Persediaan ITBISA-BUKAREKSA-CIMB-PRINCIPAL-PASAR-UANG</v>
      </c>
    </row>
    <row r="180">
      <c r="A180" s="178" t="str">
        <f>IFERROR(__xludf.DUMMYFUNCTION("""COMPUTED_VALUE"""),"Persediaan ITBISA-BUKAREKSA-MANDIRI-INVESTA-PASAR-UANG")</f>
        <v>Persediaan ITBISA-BUKAREKSA-MANDIRI-INVESTA-PASAR-UANG</v>
      </c>
    </row>
    <row r="181">
      <c r="A181" s="178" t="str">
        <f>IFERROR(__xludf.DUMMYFUNCTION("""COMPUTED_VALUE"""),"Persediaan ITBISA-BUKAREKSA-SUCORINVEST-SHARIA-EQUITY-FUND")</f>
        <v>Persediaan ITBISA-BUKAREKSA-SUCORINVEST-SHARIA-EQUITY-FUND</v>
      </c>
    </row>
    <row r="182">
      <c r="A182" s="178" t="str">
        <f>IFERROR(__xludf.DUMMYFUNCTION("""COMPUTED_VALUE"""),"Persediaan ITBISA-BUKAREKSA-SYARIAH-MANDIRI-PASAR-UANG")</f>
        <v>Persediaan ITBISA-BUKAREKSA-SYARIAH-MANDIRI-PASAR-UANG</v>
      </c>
    </row>
    <row r="183">
      <c r="A183" s="178" t="str">
        <f>IFERROR(__xludf.DUMMYFUNCTION("""COMPUTED_VALUE"""),"Persediaan ITBISA-BUZZER-ACTIVE-5V")</f>
        <v>Persediaan ITBISA-BUZZER-ACTIVE-5V</v>
      </c>
    </row>
    <row r="184">
      <c r="A184" s="178" t="str">
        <f>IFERROR(__xludf.DUMMYFUNCTION("""COMPUTED_VALUE"""),"Persediaan ITBISA-CHIP-ESP32-WROOM")</f>
        <v>Persediaan ITBISA-CHIP-ESP32-WROOM</v>
      </c>
    </row>
    <row r="185">
      <c r="A185" s="178" t="str">
        <f>IFERROR(__xludf.DUMMYFUNCTION("""COMPUTED_VALUE"""),"Persediaan ITBISA-CHIP-ESP32-WROOM-ANTENNA")</f>
        <v>Persediaan ITBISA-CHIP-ESP32-WROOM-ANTENNA</v>
      </c>
    </row>
    <row r="186">
      <c r="A186" s="178" t="str">
        <f>IFERROR(__xludf.DUMMYFUNCTION("""COMPUTED_VALUE"""),"Persediaan ITBISA-CHIP-ESP8266-ESP12F")</f>
        <v>Persediaan ITBISA-CHIP-ESP8266-ESP12F</v>
      </c>
    </row>
    <row r="187">
      <c r="A187" s="178" t="str">
        <f>IFERROR(__xludf.DUMMYFUNCTION("""COMPUTED_VALUE"""),"Persediaan ITBISA-CORSAIR-VENGEANCE-K66")</f>
        <v>Persediaan ITBISA-CORSAIR-VENGEANCE-K66</v>
      </c>
    </row>
    <row r="188">
      <c r="A188" s="178" t="str">
        <f>IFERROR(__xludf.DUMMYFUNCTION("""COMPUTED_VALUE"""),"Persediaan ITBISA-DC-TO-DC-STEPDOWN-LM2596")</f>
        <v>Persediaan ITBISA-DC-TO-DC-STEPDOWN-LM2596</v>
      </c>
    </row>
    <row r="189">
      <c r="A189" s="178" t="str">
        <f>IFERROR(__xludf.DUMMYFUNCTION("""COMPUTED_VALUE"""),"Persediaan ITBISA-DC-TO-DC-STEPDOWN-XL4005")</f>
        <v>Persediaan ITBISA-DC-TO-DC-STEPDOWN-XL4005</v>
      </c>
    </row>
    <row r="190">
      <c r="A190" s="178" t="str">
        <f>IFERROR(__xludf.DUMMYFUNCTION("""COMPUTED_VALUE"""),"Persediaan ITBISA-DC-TO-DC-STEPDOWN-XL4015")</f>
        <v>Persediaan ITBISA-DC-TO-DC-STEPDOWN-XL4015</v>
      </c>
    </row>
    <row r="191">
      <c r="A191" s="178" t="str">
        <f>IFERROR(__xludf.DUMMYFUNCTION("""COMPUTED_VALUE"""),"Persediaan ITBISA-DC-TO-DC-STEPUP-XL6009")</f>
        <v>Persediaan ITBISA-DC-TO-DC-STEPUP-XL6009</v>
      </c>
    </row>
    <row r="192">
      <c r="A192" s="178" t="str">
        <f>IFERROR(__xludf.DUMMYFUNCTION("""COMPUTED_VALUE"""),"Persediaan ITBISA-DIODE-1N4007")</f>
        <v>Persediaan ITBISA-DIODE-1N4007</v>
      </c>
    </row>
    <row r="193">
      <c r="A193" s="178" t="str">
        <f>IFERROR(__xludf.DUMMYFUNCTION("""COMPUTED_VALUE"""),"Persediaan ITBISA-EMLOCK-ACM-Y180")</f>
        <v>Persediaan ITBISA-EMLOCK-ACM-Y180</v>
      </c>
    </row>
    <row r="194">
      <c r="A194" s="178" t="str">
        <f>IFERROR(__xludf.DUMMYFUNCTION("""COMPUTED_VALUE"""),"Persediaan ITBISA-EPSON-L310")</f>
        <v>Persediaan ITBISA-EPSON-L310</v>
      </c>
    </row>
    <row r="195">
      <c r="A195" s="178" t="str">
        <f>IFERROR(__xludf.DUMMYFUNCTION("""COMPUTED_VALUE"""),"Persediaan ITBISA-I2C-IIC-LCD")</f>
        <v>Persediaan ITBISA-I2C-IIC-LCD</v>
      </c>
    </row>
    <row r="196">
      <c r="A196" s="178" t="str">
        <f>IFERROR(__xludf.DUMMYFUNCTION("""COMPUTED_VALUE"""),"Persediaan ITBISA-IC-4N35-DIP6-WHITE")</f>
        <v>Persediaan ITBISA-IC-4N35-DIP6-WHITE</v>
      </c>
    </row>
    <row r="197">
      <c r="A197" s="178" t="str">
        <f>IFERROR(__xludf.DUMMYFUNCTION("""COMPUTED_VALUE"""),"Persediaan ITBISA-IC-74HC245N-DIP20")</f>
        <v>Persediaan ITBISA-IC-74HC245N-DIP20</v>
      </c>
    </row>
    <row r="198">
      <c r="A198" s="178" t="str">
        <f>IFERROR(__xludf.DUMMYFUNCTION("""COMPUTED_VALUE"""),"Persediaan ITBISA-IC-74HC595N-DIP16")</f>
        <v>Persediaan ITBISA-IC-74HC595N-DIP16</v>
      </c>
    </row>
    <row r="199">
      <c r="A199" s="178" t="str">
        <f>IFERROR(__xludf.DUMMYFUNCTION("""COMPUTED_VALUE"""),"Persediaan ITBISA-IC-78L05-TO92")</f>
        <v>Persediaan ITBISA-IC-78L05-TO92</v>
      </c>
    </row>
    <row r="200">
      <c r="A200" s="178" t="str">
        <f>IFERROR(__xludf.DUMMYFUNCTION("""COMPUTED_VALUE"""),"Persediaan ITBISA-IC-ATMEGA328P-DIP28")</f>
        <v>Persediaan ITBISA-IC-ATMEGA328P-DIP28</v>
      </c>
    </row>
    <row r="201">
      <c r="A201" s="178" t="str">
        <f>IFERROR(__xludf.DUMMYFUNCTION("""COMPUTED_VALUE"""),"Persediaan ITBISA-IC-CD4017BE-DIP16")</f>
        <v>Persediaan ITBISA-IC-CD4017BE-DIP16</v>
      </c>
    </row>
    <row r="202">
      <c r="A202" s="178" t="str">
        <f>IFERROR(__xludf.DUMMYFUNCTION("""COMPUTED_VALUE"""),"Persediaan ITBISA-IC-CD4094BE-DIP16")</f>
        <v>Persediaan ITBISA-IC-CD4094BE-DIP16</v>
      </c>
    </row>
    <row r="203">
      <c r="A203" s="178" t="str">
        <f>IFERROR(__xludf.DUMMYFUNCTION("""COMPUTED_VALUE"""),"Persediaan ITBISA-IC-CD4094BM-SMD-SOP16")</f>
        <v>Persediaan ITBISA-IC-CD4094BM-SMD-SOP16</v>
      </c>
    </row>
    <row r="204">
      <c r="A204" s="178" t="str">
        <f>IFERROR(__xludf.DUMMYFUNCTION("""COMPUTED_VALUE"""),"Persediaan ITBISA-IC-CD4511BE-DIP16")</f>
        <v>Persediaan ITBISA-IC-CD4511BE-DIP16</v>
      </c>
    </row>
    <row r="205">
      <c r="A205" s="178" t="str">
        <f>IFERROR(__xludf.DUMMYFUNCTION("""COMPUTED_VALUE"""),"Persediaan ITBISA-IC-JRC4558D-DIP8")</f>
        <v>Persediaan ITBISA-IC-JRC4558D-DIP8</v>
      </c>
    </row>
    <row r="206">
      <c r="A206" s="178" t="str">
        <f>IFERROR(__xludf.DUMMYFUNCTION("""COMPUTED_VALUE"""),"Persediaan ITBISA-IC-L7805CV-TO220")</f>
        <v>Persediaan ITBISA-IC-L7805CV-TO220</v>
      </c>
    </row>
    <row r="207">
      <c r="A207" s="178" t="str">
        <f>IFERROR(__xludf.DUMMYFUNCTION("""COMPUTED_VALUE"""),"Persediaan ITBISA-IC-L7809CV-TO220")</f>
        <v>Persediaan ITBISA-IC-L7809CV-TO220</v>
      </c>
    </row>
    <row r="208">
      <c r="A208" s="178" t="str">
        <f>IFERROR(__xludf.DUMMYFUNCTION("""COMPUTED_VALUE"""),"Persediaan ITBISA-IC-L7812CV-TO220")</f>
        <v>Persediaan ITBISA-IC-L7812CV-TO220</v>
      </c>
    </row>
    <row r="209">
      <c r="A209" s="178" t="str">
        <f>IFERROR(__xludf.DUMMYFUNCTION("""COMPUTED_VALUE"""),"Persediaan ITBISA-IC-LM741CN-DIP8")</f>
        <v>Persediaan ITBISA-IC-LM741CN-DIP8</v>
      </c>
    </row>
    <row r="210">
      <c r="A210" s="178" t="str">
        <f>IFERROR(__xludf.DUMMYFUNCTION("""COMPUTED_VALUE"""),"Persediaan ITBISA-IC-NE555P-DIP8")</f>
        <v>Persediaan ITBISA-IC-NE555P-DIP8</v>
      </c>
    </row>
    <row r="211">
      <c r="A211" s="178" t="str">
        <f>IFERROR(__xludf.DUMMYFUNCTION("""COMPUTED_VALUE"""),"Persediaan ITBISA-IC-PC817-DIP4")</f>
        <v>Persediaan ITBISA-IC-PC817-DIP4</v>
      </c>
    </row>
    <row r="212">
      <c r="A212" s="178" t="str">
        <f>IFERROR(__xludf.DUMMYFUNCTION("""COMPUTED_VALUE"""),"Persediaan ITBISA-IC-UA741CN-DIP8")</f>
        <v>Persediaan ITBISA-IC-UA741CN-DIP8</v>
      </c>
    </row>
    <row r="213">
      <c r="A213" s="178" t="str">
        <f>IFERROR(__xludf.DUMMYFUNCTION("""COMPUTED_VALUE"""),"Persediaan ITBISA-IC-ULN2003AN-DIP16")</f>
        <v>Persediaan ITBISA-IC-ULN2003AN-DIP16</v>
      </c>
    </row>
    <row r="214">
      <c r="A214" s="178" t="str">
        <f>IFERROR(__xludf.DUMMYFUNCTION("""COMPUTED_VALUE"""),"Persediaan ITBISA-IC-ULN2803APG-DIP18")</f>
        <v>Persediaan ITBISA-IC-ULN2803APG-DIP18</v>
      </c>
    </row>
    <row r="215">
      <c r="A215" s="178" t="str">
        <f>IFERROR(__xludf.DUMMYFUNCTION("""COMPUTED_VALUE"""),"Persediaan ITBISA-IDC-2X5-AMPHENOL-FEMALE")</f>
        <v>Persediaan ITBISA-IDC-2X5-AMPHENOL-FEMALE</v>
      </c>
    </row>
    <row r="216">
      <c r="A216" s="178" t="str">
        <f>IFERROR(__xludf.DUMMYFUNCTION("""COMPUTED_VALUE"""),"Persediaan ITBISA-IDC-2X5-AMPHENOL-MALE")</f>
        <v>Persediaan ITBISA-IDC-2X5-AMPHENOL-MALE</v>
      </c>
    </row>
    <row r="217">
      <c r="A217" s="178" t="str">
        <f>IFERROR(__xludf.DUMMYFUNCTION("""COMPUTED_VALUE"""),"Persediaan ITBISA-IGAME-GTX-1070-8GB-DDR5-X-TOP-TRIPLE-FAN")</f>
        <v>Persediaan ITBISA-IGAME-GTX-1070-8GB-DDR5-X-TOP-TRIPLE-FAN</v>
      </c>
    </row>
    <row r="218">
      <c r="A218" s="178" t="str">
        <f>IFERROR(__xludf.DUMMYFUNCTION("""COMPUTED_VALUE"""),"Persediaan ITBISA-INFRARED-1838")</f>
        <v>Persediaan ITBISA-INFRARED-1838</v>
      </c>
    </row>
    <row r="219">
      <c r="A219" s="178" t="str">
        <f>IFERROR(__xludf.DUMMYFUNCTION("""COMPUTED_VALUE"""),"Persediaan ITBISA-JACK-DC-005-FEMALE")</f>
        <v>Persediaan ITBISA-JACK-DC-005-FEMALE</v>
      </c>
    </row>
    <row r="220">
      <c r="A220" s="178" t="str">
        <f>IFERROR(__xludf.DUMMYFUNCTION("""COMPUTED_VALUE"""),"Persediaan ITBISA-JUMPER-FF-10CM")</f>
        <v>Persediaan ITBISA-JUMPER-FF-10CM</v>
      </c>
    </row>
    <row r="221">
      <c r="A221" s="178" t="str">
        <f>IFERROR(__xludf.DUMMYFUNCTION("""COMPUTED_VALUE"""),"Persediaan ITBISA-JUMPER-FF-20CM")</f>
        <v>Persediaan ITBISA-JUMPER-FF-20CM</v>
      </c>
    </row>
    <row r="222">
      <c r="A222" s="178" t="str">
        <f>IFERROR(__xludf.DUMMYFUNCTION("""COMPUTED_VALUE"""),"Persediaan ITBISA-JUMPER-MF-10CM")</f>
        <v>Persediaan ITBISA-JUMPER-MF-10CM</v>
      </c>
    </row>
    <row r="223">
      <c r="A223" s="178" t="str">
        <f>IFERROR(__xludf.DUMMYFUNCTION("""COMPUTED_VALUE"""),"Persediaan ITBISA-JUMPER-MF-20CM")</f>
        <v>Persediaan ITBISA-JUMPER-MF-20CM</v>
      </c>
    </row>
    <row r="224">
      <c r="A224" s="178" t="str">
        <f>IFERROR(__xludf.DUMMYFUNCTION("""COMPUTED_VALUE"""),"Persediaan ITBISA-JUMPER-MM-10CM")</f>
        <v>Persediaan ITBISA-JUMPER-MM-10CM</v>
      </c>
    </row>
    <row r="225">
      <c r="A225" s="178" t="str">
        <f>IFERROR(__xludf.DUMMYFUNCTION("""COMPUTED_VALUE"""),"Persediaan ITBISA-JUMPER-MM-20CM")</f>
        <v>Persediaan ITBISA-JUMPER-MM-20CM</v>
      </c>
    </row>
    <row r="226">
      <c r="A226" s="178" t="str">
        <f>IFERROR(__xludf.DUMMYFUNCTION("""COMPUTED_VALUE"""),"Persediaan ITBISA-KAPASITOR-ELCO-2200UF-25V")</f>
        <v>Persediaan ITBISA-KAPASITOR-ELCO-2200UF-25V</v>
      </c>
    </row>
    <row r="227">
      <c r="A227" s="178" t="str">
        <f>IFERROR(__xludf.DUMMYFUNCTION("""COMPUTED_VALUE"""),"Persediaan ITBISA-KODE-UNIK")</f>
        <v>Persediaan ITBISA-KODE-UNIK</v>
      </c>
    </row>
    <row r="228">
      <c r="A228" s="178" t="str">
        <f>IFERROR(__xludf.DUMMYFUNCTION("""COMPUTED_VALUE"""),"Persediaan ITBISA-KUPLUK-HITAM")</f>
        <v>Persediaan ITBISA-KUPLUK-HITAM</v>
      </c>
    </row>
    <row r="229">
      <c r="A229" s="178" t="str">
        <f>IFERROR(__xludf.DUMMYFUNCTION("""COMPUTED_VALUE"""),"Persediaan ITBISA-LCD-16X2-BLUE")</f>
        <v>Persediaan ITBISA-LCD-16X2-BLUE</v>
      </c>
    </row>
    <row r="230">
      <c r="A230" s="178" t="str">
        <f>IFERROR(__xludf.DUMMYFUNCTION("""COMPUTED_VALUE"""),"Persediaan ITBISA-LCD-16X2-GREEN")</f>
        <v>Persediaan ITBISA-LCD-16X2-GREEN</v>
      </c>
    </row>
    <row r="231">
      <c r="A231" s="178" t="str">
        <f>IFERROR(__xludf.DUMMYFUNCTION("""COMPUTED_VALUE"""),"Persediaan ITBISA-LDR-GL5516")</f>
        <v>Persediaan ITBISA-LDR-GL5516</v>
      </c>
    </row>
    <row r="232">
      <c r="A232" s="178" t="str">
        <f>IFERROR(__xludf.DUMMYFUNCTION("""COMPUTED_VALUE"""),"Persediaan ITBISA-LED-MAX7219-4IN1-GAP")</f>
        <v>Persediaan ITBISA-LED-MAX7219-4IN1-GAP</v>
      </c>
    </row>
    <row r="233">
      <c r="A233" s="178" t="str">
        <f>IFERROR(__xludf.DUMMYFUNCTION("""COMPUTED_VALUE"""),"Persediaan ITBISA-LED-MAX7219-4IN1-TIGHT")</f>
        <v>Persediaan ITBISA-LED-MAX7219-4IN1-TIGHT</v>
      </c>
    </row>
    <row r="234">
      <c r="A234" s="178" t="str">
        <f>IFERROR(__xludf.DUMMYFUNCTION("""COMPUTED_VALUE"""),"Persediaan ITBISA-LED-SUPERBRIGHT-5MM-BLUE")</f>
        <v>Persediaan ITBISA-LED-SUPERBRIGHT-5MM-BLUE</v>
      </c>
    </row>
    <row r="235">
      <c r="A235" s="178" t="str">
        <f>IFERROR(__xludf.DUMMYFUNCTION("""COMPUTED_VALUE"""),"Persediaan ITBISA-LED-SUPERBRIGHT-5MM-GREEN")</f>
        <v>Persediaan ITBISA-LED-SUPERBRIGHT-5MM-GREEN</v>
      </c>
    </row>
    <row r="236">
      <c r="A236" s="178" t="str">
        <f>IFERROR(__xludf.DUMMYFUNCTION("""COMPUTED_VALUE"""),"Persediaan ITBISA-LED-SUPERBRIGHT-5MM-RED")</f>
        <v>Persediaan ITBISA-LED-SUPERBRIGHT-5MM-RED</v>
      </c>
    </row>
    <row r="237">
      <c r="A237" s="178" t="str">
        <f>IFERROR(__xludf.DUMMYFUNCTION("""COMPUTED_VALUE"""),"Persediaan ITBISA-LED-SUPERBRIGHT-5MM-WHITE")</f>
        <v>Persediaan ITBISA-LED-SUPERBRIGHT-5MM-WHITE</v>
      </c>
    </row>
    <row r="238">
      <c r="A238" s="178" t="str">
        <f>IFERROR(__xludf.DUMMYFUNCTION("""COMPUTED_VALUE"""),"Persediaan ITBISA-LED-SUPERBRIGHT-5MM-YELLOW")</f>
        <v>Persediaan ITBISA-LED-SUPERBRIGHT-5MM-YELLOW</v>
      </c>
    </row>
    <row r="239">
      <c r="A239" s="178" t="str">
        <f>IFERROR(__xludf.DUMMYFUNCTION("""COMPUTED_VALUE"""),"Persediaan ITBISA-LOGITECH-F710")</f>
        <v>Persediaan ITBISA-LOGITECH-F710</v>
      </c>
    </row>
    <row r="240">
      <c r="A240" s="178" t="str">
        <f>IFERROR(__xludf.DUMMYFUNCTION("""COMPUTED_VALUE"""),"Persediaan ITBISA-MICRO-SD-READER-MINI")</f>
        <v>Persediaan ITBISA-MICRO-SD-READER-MINI</v>
      </c>
    </row>
    <row r="241">
      <c r="A241" s="178" t="str">
        <f>IFERROR(__xludf.DUMMYFUNCTION("""COMPUTED_VALUE"""),"Persediaan ITBISA-MOTORDRIVER-L298N-WITH-HEATSINK")</f>
        <v>Persediaan ITBISA-MOTORDRIVER-L298N-WITH-HEATSINK</v>
      </c>
    </row>
    <row r="242">
      <c r="A242" s="178" t="str">
        <f>IFERROR(__xludf.DUMMYFUNCTION("""COMPUTED_VALUE"""),"Persediaan ITBISA-NODEMCU-ESP32-MICRO")</f>
        <v>Persediaan ITBISA-NODEMCU-ESP32-MICRO</v>
      </c>
    </row>
    <row r="243">
      <c r="A243" s="178" t="str">
        <f>IFERROR(__xludf.DUMMYFUNCTION("""COMPUTED_VALUE"""),"Persediaan ITBISA-NODEMCU-ESP32-MICRO-30PIN")</f>
        <v>Persediaan ITBISA-NODEMCU-ESP32-MICRO-30PIN</v>
      </c>
    </row>
    <row r="244">
      <c r="A244" s="178" t="str">
        <f>IFERROR(__xludf.DUMMYFUNCTION("""COMPUTED_VALUE"""),"Persediaan ITBISA-NODEMCU-ESP32-MICRO-38PIN")</f>
        <v>Persediaan ITBISA-NODEMCU-ESP32-MICRO-38PIN</v>
      </c>
    </row>
    <row r="245">
      <c r="A245" s="178" t="str">
        <f>IFERROR(__xludf.DUMMYFUNCTION("""COMPUTED_VALUE"""),"Persediaan ITBISA-NODEMCU-V3-CH340G-ESP8266-MICRO")</f>
        <v>Persediaan ITBISA-NODEMCU-V3-CH340G-ESP8266-MICRO</v>
      </c>
    </row>
    <row r="246">
      <c r="A246" s="178" t="str">
        <f>IFERROR(__xludf.DUMMYFUNCTION("""COMPUTED_VALUE"""),"Persediaan ITBISA-NPN-2N2222-TO92")</f>
        <v>Persediaan ITBISA-NPN-2N2222-TO92</v>
      </c>
    </row>
    <row r="247">
      <c r="A247" s="178" t="str">
        <f>IFERROR(__xludf.DUMMYFUNCTION("""COMPUTED_VALUE"""),"Persediaan ITBISA-NPN-2N3904-TO92")</f>
        <v>Persediaan ITBISA-NPN-2N3904-TO92</v>
      </c>
    </row>
    <row r="248">
      <c r="A248" s="178" t="str">
        <f>IFERROR(__xludf.DUMMYFUNCTION("""COMPUTED_VALUE"""),"Persediaan ITBISA-NPN-2N5551-TO92")</f>
        <v>Persediaan ITBISA-NPN-2N5551-TO92</v>
      </c>
    </row>
    <row r="249">
      <c r="A249" s="178" t="str">
        <f>IFERROR(__xludf.DUMMYFUNCTION("""COMPUTED_VALUE"""),"Persediaan ITBISA-NPN-BC337-TO92")</f>
        <v>Persediaan ITBISA-NPN-BC337-TO92</v>
      </c>
    </row>
    <row r="250">
      <c r="A250" s="178" t="str">
        <f>IFERROR(__xludf.DUMMYFUNCTION("""COMPUTED_VALUE"""),"Persediaan ITBISA-NPN-BC547-TO92")</f>
        <v>Persediaan ITBISA-NPN-BC547-TO92</v>
      </c>
    </row>
    <row r="251">
      <c r="A251" s="178" t="str">
        <f>IFERROR(__xludf.DUMMYFUNCTION("""COMPUTED_VALUE"""),"Persediaan ITBISA-NPN-BC548-TO92")</f>
        <v>Persediaan ITBISA-NPN-BC548-TO92</v>
      </c>
    </row>
    <row r="252">
      <c r="A252" s="178" t="str">
        <f>IFERROR(__xludf.DUMMYFUNCTION("""COMPUTED_VALUE"""),"Persediaan ITBISA-NPN-S9013-TO92")</f>
        <v>Persediaan ITBISA-NPN-S9013-TO92</v>
      </c>
    </row>
    <row r="253">
      <c r="A253" s="178" t="str">
        <f>IFERROR(__xludf.DUMMYFUNCTION("""COMPUTED_VALUE"""),"Persediaan ITBISA-OPPO-F9-64GB-6GB-RED-RESMI")</f>
        <v>Persediaan ITBISA-OPPO-F9-64GB-6GB-RED-RESMI</v>
      </c>
    </row>
    <row r="254">
      <c r="A254" s="178" t="str">
        <f>IFERROR(__xludf.DUMMYFUNCTION("""COMPUTED_VALUE"""),"Persediaan ITBISA-PCB-5X7-COPPER-SINGLE-SIDE")</f>
        <v>Persediaan ITBISA-PCB-5X7-COPPER-SINGLE-SIDE</v>
      </c>
    </row>
    <row r="255">
      <c r="A255" s="178" t="str">
        <f>IFERROR(__xludf.DUMMYFUNCTION("""COMPUTED_VALUE"""),"Persediaan ITBISA-PIN-HEADER-MALE-1X40PIN-L-SAMA")</f>
        <v>Persediaan ITBISA-PIN-HEADER-MALE-1X40PIN-L-SAMA</v>
      </c>
    </row>
    <row r="256">
      <c r="A256" s="178" t="str">
        <f>IFERROR(__xludf.DUMMYFUNCTION("""COMPUTED_VALUE"""),"Persediaan ITBISA-PIN-HEADER-MALE-1X40PIN-LURUS")</f>
        <v>Persediaan ITBISA-PIN-HEADER-MALE-1X40PIN-LURUS</v>
      </c>
    </row>
    <row r="257">
      <c r="A257" s="178" t="str">
        <f>IFERROR(__xludf.DUMMYFUNCTION("""COMPUTED_VALUE"""),"Persediaan ITBISA-PNP-2N3906-TO92")</f>
        <v>Persediaan ITBISA-PNP-2N3906-TO92</v>
      </c>
    </row>
    <row r="258">
      <c r="A258" s="178" t="str">
        <f>IFERROR(__xludf.DUMMYFUNCTION("""COMPUTED_VALUE"""),"Persediaan ITBISA-PNP-2N5401-TO92")</f>
        <v>Persediaan ITBISA-PNP-2N5401-TO92</v>
      </c>
    </row>
    <row r="259">
      <c r="A259" s="178" t="str">
        <f>IFERROR(__xludf.DUMMYFUNCTION("""COMPUTED_VALUE"""),"Persediaan ITBISA-PNP-A1015-TO92")</f>
        <v>Persediaan ITBISA-PNP-A1015-TO92</v>
      </c>
    </row>
    <row r="260">
      <c r="A260" s="178" t="str">
        <f>IFERROR(__xludf.DUMMYFUNCTION("""COMPUTED_VALUE"""),"Persediaan ITBISA-PNP-BC557-TO92")</f>
        <v>Persediaan ITBISA-PNP-BC557-TO92</v>
      </c>
    </row>
    <row r="261">
      <c r="A261" s="178" t="str">
        <f>IFERROR(__xludf.DUMMYFUNCTION("""COMPUTED_VALUE"""),"Persediaan ITBISA-PNP-BC558-TO92")</f>
        <v>Persediaan ITBISA-PNP-BC558-TO92</v>
      </c>
    </row>
    <row r="262">
      <c r="A262" s="178" t="str">
        <f>IFERROR(__xludf.DUMMYFUNCTION("""COMPUTED_VALUE"""),"Persediaan ITBISA-PNP-S8550-TO92")</f>
        <v>Persediaan ITBISA-PNP-S8550-TO92</v>
      </c>
    </row>
    <row r="263">
      <c r="A263" s="178" t="str">
        <f>IFERROR(__xludf.DUMMYFUNCTION("""COMPUTED_VALUE"""),"Persediaan ITBISA-PNP-S9012-TO92")</f>
        <v>Persediaan ITBISA-PNP-S9012-TO92</v>
      </c>
    </row>
    <row r="264">
      <c r="A264" s="178" t="str">
        <f>IFERROR(__xludf.DUMMYFUNCTION("""COMPUTED_VALUE"""),"Persediaan ITBISA-PONCO-GAJAH")</f>
        <v>Persediaan ITBISA-PONCO-GAJAH</v>
      </c>
    </row>
    <row r="265">
      <c r="A265" s="178" t="str">
        <f>IFERROR(__xludf.DUMMYFUNCTION("""COMPUTED_VALUE"""),"Persediaan ITBISA-PSU-S4012-12V-3A")</f>
        <v>Persediaan ITBISA-PSU-S4012-12V-3A</v>
      </c>
    </row>
    <row r="266">
      <c r="A266" s="178" t="str">
        <f>IFERROR(__xludf.DUMMYFUNCTION("""COMPUTED_VALUE"""),"Persediaan ITBISA-RAPID-BOHLAM-E10-2.5V-SCREW")</f>
        <v>Persediaan ITBISA-RAPID-BOHLAM-E10-2.5V-SCREW</v>
      </c>
    </row>
    <row r="267">
      <c r="A267" s="178" t="str">
        <f>IFERROR(__xludf.DUMMYFUNCTION("""COMPUTED_VALUE"""),"Persediaan ITBISA-RAPID-BOHLAM-E10-3.8V-SCREW")</f>
        <v>Persediaan ITBISA-RAPID-BOHLAM-E10-3.8V-SCREW</v>
      </c>
    </row>
    <row r="268">
      <c r="A268" s="178" t="str">
        <f>IFERROR(__xludf.DUMMYFUNCTION("""COMPUTED_VALUE"""),"Persediaan ITBISA-RELAY-12V-4PIN-BLUE")</f>
        <v>Persediaan ITBISA-RELAY-12V-4PIN-BLUE</v>
      </c>
    </row>
    <row r="269">
      <c r="A269" s="178" t="str">
        <f>IFERROR(__xludf.DUMMYFUNCTION("""COMPUTED_VALUE"""),"Persediaan ITBISA-RELAY-12V-5PIN-BLUE")</f>
        <v>Persediaan ITBISA-RELAY-12V-5PIN-BLUE</v>
      </c>
    </row>
    <row r="270">
      <c r="A270" s="178" t="str">
        <f>IFERROR(__xludf.DUMMYFUNCTION("""COMPUTED_VALUE"""),"Persediaan ITBISA-RELAY-5V-1CHANNEL-BLUE-LOW-TRIGGER")</f>
        <v>Persediaan ITBISA-RELAY-5V-1CHANNEL-BLUE-LOW-TRIGGER</v>
      </c>
    </row>
    <row r="271">
      <c r="A271" s="178" t="str">
        <f>IFERROR(__xludf.DUMMYFUNCTION("""COMPUTED_VALUE"""),"Persediaan ITBISA-RELAY-5V-4PIN-BLUE")</f>
        <v>Persediaan ITBISA-RELAY-5V-4PIN-BLUE</v>
      </c>
    </row>
    <row r="272">
      <c r="A272" s="178" t="str">
        <f>IFERROR(__xludf.DUMMYFUNCTION("""COMPUTED_VALUE"""),"Persediaan ITBISA-RELAY-5V-5PIN-BLUE")</f>
        <v>Persediaan ITBISA-RELAY-5V-5PIN-BLUE</v>
      </c>
    </row>
    <row r="273">
      <c r="A273" s="178" t="str">
        <f>IFERROR(__xludf.DUMMYFUNCTION("""COMPUTED_VALUE"""),"Persediaan ITBISA-RESISTOR-100K-1/4W")</f>
        <v>Persediaan ITBISA-RESISTOR-100K-1/4W</v>
      </c>
    </row>
    <row r="274">
      <c r="A274" s="178" t="str">
        <f>IFERROR(__xludf.DUMMYFUNCTION("""COMPUTED_VALUE"""),"Persediaan ITBISA-RESISTOR-10K-1/4W")</f>
        <v>Persediaan ITBISA-RESISTOR-10K-1/4W</v>
      </c>
    </row>
    <row r="275">
      <c r="A275" s="178" t="str">
        <f>IFERROR(__xludf.DUMMYFUNCTION("""COMPUTED_VALUE"""),"Persediaan ITBISA-RESISTOR-120K-1/4W")</f>
        <v>Persediaan ITBISA-RESISTOR-120K-1/4W</v>
      </c>
    </row>
    <row r="276">
      <c r="A276" s="178" t="str">
        <f>IFERROR(__xludf.DUMMYFUNCTION("""COMPUTED_VALUE"""),"Persediaan ITBISA-RESISTOR-12K-1/4W")</f>
        <v>Persediaan ITBISA-RESISTOR-12K-1/4W</v>
      </c>
    </row>
    <row r="277">
      <c r="A277" s="178" t="str">
        <f>IFERROR(__xludf.DUMMYFUNCTION("""COMPUTED_VALUE"""),"Persediaan ITBISA-RESISTOR-150K-1/4W")</f>
        <v>Persediaan ITBISA-RESISTOR-150K-1/4W</v>
      </c>
    </row>
    <row r="278">
      <c r="A278" s="178" t="str">
        <f>IFERROR(__xludf.DUMMYFUNCTION("""COMPUTED_VALUE"""),"Persediaan ITBISA-RESISTOR-15K-1/4W")</f>
        <v>Persediaan ITBISA-RESISTOR-15K-1/4W</v>
      </c>
    </row>
    <row r="279">
      <c r="A279" s="178" t="str">
        <f>IFERROR(__xludf.DUMMYFUNCTION("""COMPUTED_VALUE"""),"Persediaan ITBISA-RESISTOR-18K-1/4W")</f>
        <v>Persediaan ITBISA-RESISTOR-18K-1/4W</v>
      </c>
    </row>
    <row r="280">
      <c r="A280" s="178" t="str">
        <f>IFERROR(__xludf.DUMMYFUNCTION("""COMPUTED_VALUE"""),"Persediaan ITBISA-RESISTOR-1K-1/4W")</f>
        <v>Persediaan ITBISA-RESISTOR-1K-1/4W</v>
      </c>
    </row>
    <row r="281">
      <c r="A281" s="178" t="str">
        <f>IFERROR(__xludf.DUMMYFUNCTION("""COMPUTED_VALUE"""),"Persediaan ITBISA-RESISTOR-1M-1/4W")</f>
        <v>Persediaan ITBISA-RESISTOR-1M-1/4W</v>
      </c>
    </row>
    <row r="282">
      <c r="A282" s="178" t="str">
        <f>IFERROR(__xludf.DUMMYFUNCTION("""COMPUTED_VALUE"""),"Persediaan ITBISA-RESISTOR-220-1/4W")</f>
        <v>Persediaan ITBISA-RESISTOR-220-1/4W</v>
      </c>
    </row>
    <row r="283">
      <c r="A283" s="178" t="str">
        <f>IFERROR(__xludf.DUMMYFUNCTION("""COMPUTED_VALUE"""),"Persediaan ITBISA-RESISTOR-22K-1/4W")</f>
        <v>Persediaan ITBISA-RESISTOR-22K-1/4W</v>
      </c>
    </row>
    <row r="284">
      <c r="A284" s="178" t="str">
        <f>IFERROR(__xludf.DUMMYFUNCTION("""COMPUTED_VALUE"""),"Persediaan ITBISA-RESISTOR-270-1/4W")</f>
        <v>Persediaan ITBISA-RESISTOR-270-1/4W</v>
      </c>
    </row>
    <row r="285">
      <c r="A285" s="178" t="str">
        <f>IFERROR(__xludf.DUMMYFUNCTION("""COMPUTED_VALUE"""),"Persediaan ITBISA-RESISTOR-270K-1/4W")</f>
        <v>Persediaan ITBISA-RESISTOR-270K-1/4W</v>
      </c>
    </row>
    <row r="286">
      <c r="A286" s="178" t="str">
        <f>IFERROR(__xludf.DUMMYFUNCTION("""COMPUTED_VALUE"""),"Persediaan ITBISA-RESISTOR-27K-1/4W")</f>
        <v>Persediaan ITBISA-RESISTOR-27K-1/4W</v>
      </c>
    </row>
    <row r="287">
      <c r="A287" s="178" t="str">
        <f>IFERROR(__xludf.DUMMYFUNCTION("""COMPUTED_VALUE"""),"Persediaan ITBISA-RESISTOR-2K2-1/4W")</f>
        <v>Persediaan ITBISA-RESISTOR-2K2-1/4W</v>
      </c>
    </row>
    <row r="288">
      <c r="A288" s="178" t="str">
        <f>IFERROR(__xludf.DUMMYFUNCTION("""COMPUTED_VALUE"""),"Persediaan ITBISA-RESISTOR-2K7-1/4W")</f>
        <v>Persediaan ITBISA-RESISTOR-2K7-1/4W</v>
      </c>
    </row>
    <row r="289">
      <c r="A289" s="178" t="str">
        <f>IFERROR(__xludf.DUMMYFUNCTION("""COMPUTED_VALUE"""),"Persediaan ITBISA-RESISTOR-330-1/4W")</f>
        <v>Persediaan ITBISA-RESISTOR-330-1/4W</v>
      </c>
    </row>
    <row r="290">
      <c r="A290" s="178" t="str">
        <f>IFERROR(__xludf.DUMMYFUNCTION("""COMPUTED_VALUE"""),"Persediaan ITBISA-RESISTOR-330K-1/4W")</f>
        <v>Persediaan ITBISA-RESISTOR-330K-1/4W</v>
      </c>
    </row>
    <row r="291">
      <c r="A291" s="178" t="str">
        <f>IFERROR(__xludf.DUMMYFUNCTION("""COMPUTED_VALUE"""),"Persediaan ITBISA-RESISTOR-33K-1/4W")</f>
        <v>Persediaan ITBISA-RESISTOR-33K-1/4W</v>
      </c>
    </row>
    <row r="292">
      <c r="A292" s="178" t="str">
        <f>IFERROR(__xludf.DUMMYFUNCTION("""COMPUTED_VALUE"""),"Persediaan ITBISA-RESISTOR-390-1/4W")</f>
        <v>Persediaan ITBISA-RESISTOR-390-1/4W</v>
      </c>
    </row>
    <row r="293">
      <c r="A293" s="178" t="str">
        <f>IFERROR(__xludf.DUMMYFUNCTION("""COMPUTED_VALUE"""),"Persediaan ITBISA-RESISTOR-39K-1/4W")</f>
        <v>Persediaan ITBISA-RESISTOR-39K-1/4W</v>
      </c>
    </row>
    <row r="294">
      <c r="A294" s="178" t="str">
        <f>IFERROR(__xludf.DUMMYFUNCTION("""COMPUTED_VALUE"""),"Persediaan ITBISA-RESISTOR-3K3-1/4W")</f>
        <v>Persediaan ITBISA-RESISTOR-3K3-1/4W</v>
      </c>
    </row>
    <row r="295">
      <c r="A295" s="178" t="str">
        <f>IFERROR(__xludf.DUMMYFUNCTION("""COMPUTED_VALUE"""),"Persediaan ITBISA-RESISTOR-470K-1/4W")</f>
        <v>Persediaan ITBISA-RESISTOR-470K-1/4W</v>
      </c>
    </row>
    <row r="296">
      <c r="A296" s="178" t="str">
        <f>IFERROR(__xludf.DUMMYFUNCTION("""COMPUTED_VALUE"""),"Persediaan ITBISA-RESISTOR-47K-1/4W")</f>
        <v>Persediaan ITBISA-RESISTOR-47K-1/4W</v>
      </c>
    </row>
    <row r="297">
      <c r="A297" s="178" t="str">
        <f>IFERROR(__xludf.DUMMYFUNCTION("""COMPUTED_VALUE"""),"Persediaan ITBISA-RESISTOR-4K7-1/4W")</f>
        <v>Persediaan ITBISA-RESISTOR-4K7-1/4W</v>
      </c>
    </row>
    <row r="298">
      <c r="A298" s="178" t="str">
        <f>IFERROR(__xludf.DUMMYFUNCTION("""COMPUTED_VALUE"""),"Persediaan ITBISA-RESISTOR-560-1/4W")</f>
        <v>Persediaan ITBISA-RESISTOR-560-1/4W</v>
      </c>
    </row>
    <row r="299">
      <c r="A299" s="178" t="str">
        <f>IFERROR(__xludf.DUMMYFUNCTION("""COMPUTED_VALUE"""),"Persediaan ITBISA-RESISTOR-56K-1/4W")</f>
        <v>Persediaan ITBISA-RESISTOR-56K-1/4W</v>
      </c>
    </row>
    <row r="300">
      <c r="A300" s="178" t="str">
        <f>IFERROR(__xludf.DUMMYFUNCTION("""COMPUTED_VALUE"""),"Persediaan ITBISA-RESISTOR-5K6-1/4W")</f>
        <v>Persediaan ITBISA-RESISTOR-5K6-1/4W</v>
      </c>
    </row>
    <row r="301">
      <c r="A301" s="178" t="str">
        <f>IFERROR(__xludf.DUMMYFUNCTION("""COMPUTED_VALUE"""),"Persediaan ITBISA-RESISTOR-680K-1/4W")</f>
        <v>Persediaan ITBISA-RESISTOR-680K-1/4W</v>
      </c>
    </row>
    <row r="302">
      <c r="A302" s="178" t="str">
        <f>IFERROR(__xludf.DUMMYFUNCTION("""COMPUTED_VALUE"""),"Persediaan ITBISA-RESISTOR-6K8-1/4W")</f>
        <v>Persediaan ITBISA-RESISTOR-6K8-1/4W</v>
      </c>
    </row>
    <row r="303">
      <c r="A303" s="178" t="str">
        <f>IFERROR(__xludf.DUMMYFUNCTION("""COMPUTED_VALUE"""),"Persediaan ITBISA-RFID-RC522-KIT")</f>
        <v>Persediaan ITBISA-RFID-RC522-KIT</v>
      </c>
    </row>
    <row r="304">
      <c r="A304" s="178" t="str">
        <f>IFERROR(__xludf.DUMMYFUNCTION("""COMPUTED_VALUE"""),"Persediaan ITBISA-RTC-DS3231M")</f>
        <v>Persediaan ITBISA-RTC-DS3231M</v>
      </c>
    </row>
    <row r="305">
      <c r="A305" s="178" t="str">
        <f>IFERROR(__xludf.DUMMYFUNCTION("""COMPUTED_VALUE"""),"Persediaan ITBISA-RTC-DS3231SN")</f>
        <v>Persediaan ITBISA-RTC-DS3231SN</v>
      </c>
    </row>
    <row r="306">
      <c r="A306" s="178" t="str">
        <f>IFERROR(__xludf.DUMMYFUNCTION("""COMPUTED_VALUE"""),"Persediaan ITBISA-SALDO-KUNCI-BCA-EXPRESI")</f>
        <v>Persediaan ITBISA-SALDO-KUNCI-BCA-EXPRESI</v>
      </c>
    </row>
    <row r="307">
      <c r="A307" s="178" t="str">
        <f>IFERROR(__xludf.DUMMYFUNCTION("""COMPUTED_VALUE"""),"Persediaan ITBISA-SALDO-KUNCI-BLIBLI")</f>
        <v>Persediaan ITBISA-SALDO-KUNCI-BLIBLI</v>
      </c>
    </row>
    <row r="308">
      <c r="A308" s="178" t="str">
        <f>IFERROR(__xludf.DUMMYFUNCTION("""COMPUTED_VALUE"""),"Persediaan ITBISA-SALDO-KUNCI-BNI-SYARIAH")</f>
        <v>Persediaan ITBISA-SALDO-KUNCI-BNI-SYARIAH</v>
      </c>
    </row>
    <row r="309">
      <c r="A309" s="178" t="str">
        <f>IFERROR(__xludf.DUMMYFUNCTION("""COMPUTED_VALUE"""),"Persediaan ITBISA-SALDO-KUNCI-BRI-BRITAMA-MUDA")</f>
        <v>Persediaan ITBISA-SALDO-KUNCI-BRI-BRITAMA-MUDA</v>
      </c>
    </row>
    <row r="310">
      <c r="A310" s="178" t="str">
        <f>IFERROR(__xludf.DUMMYFUNCTION("""COMPUTED_VALUE"""),"Persediaan ITBISA-SALDO-KUNCI-MANDIRI")</f>
        <v>Persediaan ITBISA-SALDO-KUNCI-MANDIRI</v>
      </c>
    </row>
    <row r="311">
      <c r="A311" s="178" t="str">
        <f>IFERROR(__xludf.DUMMYFUNCTION("""COMPUTED_VALUE"""),"Persediaan ITBISA-SAMSUNG-850-EVO-500GB-BLACK")</f>
        <v>Persediaan ITBISA-SAMSUNG-850-EVO-500GB-BLACK</v>
      </c>
    </row>
    <row r="312">
      <c r="A312" s="178" t="str">
        <f>IFERROR(__xludf.DUMMYFUNCTION("""COMPUTED_VALUE"""),"Persediaan ITBISA-SARUNG-TANGAN-KATUN")</f>
        <v>Persediaan ITBISA-SARUNG-TANGAN-KATUN</v>
      </c>
    </row>
    <row r="313">
      <c r="A313" s="178" t="str">
        <f>IFERROR(__xludf.DUMMYFUNCTION("""COMPUTED_VALUE"""),"Persediaan ITBISA-SARUNG-TANGAN-SPANDEX")</f>
        <v>Persediaan ITBISA-SARUNG-TANGAN-SPANDEX</v>
      </c>
    </row>
    <row r="314">
      <c r="A314" s="178" t="str">
        <f>IFERROR(__xludf.DUMMYFUNCTION("""COMPUTED_VALUE"""),"Persediaan ITBISA-SENSOR-SUHU-DHT11")</f>
        <v>Persediaan ITBISA-SENSOR-SUHU-DHT11</v>
      </c>
    </row>
    <row r="315">
      <c r="A315" s="178" t="str">
        <f>IFERROR(__xludf.DUMMYFUNCTION("""COMPUTED_VALUE"""),"Persediaan ITBISA-SENSOR-ULTRASONIK-HCSR04")</f>
        <v>Persediaan ITBISA-SENSOR-ULTRASONIK-HCSR04</v>
      </c>
    </row>
    <row r="316">
      <c r="A316" s="178" t="str">
        <f>IFERROR(__xludf.DUMMYFUNCTION("""COMPUTED_VALUE"""),"Persediaan ITBISA-SERVO-CHECKER")</f>
        <v>Persediaan ITBISA-SERVO-CHECKER</v>
      </c>
    </row>
    <row r="317">
      <c r="A317" s="178" t="str">
        <f>IFERROR(__xludf.DUMMYFUNCTION("""COMPUTED_VALUE"""),"Persediaan ITBISA-SERVO-SG90-180DEG")</f>
        <v>Persediaan ITBISA-SERVO-SG90-180DEG</v>
      </c>
    </row>
    <row r="318">
      <c r="A318" s="178" t="str">
        <f>IFERROR(__xludf.DUMMYFUNCTION("""COMPUTED_VALUE"""),"Persediaan ITBISA-SERVO-SG90-360DEG")</f>
        <v>Persediaan ITBISA-SERVO-SG90-360DEG</v>
      </c>
    </row>
    <row r="319">
      <c r="A319" s="178" t="str">
        <f>IFERROR(__xludf.DUMMYFUNCTION("""COMPUTED_VALUE"""),"Persediaan ITBISA-SOCKET-BATERAI-AA-2SLOT")</f>
        <v>Persediaan ITBISA-SOCKET-BATERAI-AA-2SLOT</v>
      </c>
    </row>
    <row r="320">
      <c r="A320" s="178" t="str">
        <f>IFERROR(__xludf.DUMMYFUNCTION("""COMPUTED_VALUE"""),"Persediaan ITBISA-SOCKET-BATERAI-AA-4SLOT")</f>
        <v>Persediaan ITBISA-SOCKET-BATERAI-AA-4SLOT</v>
      </c>
    </row>
    <row r="321">
      <c r="A321" s="178" t="str">
        <f>IFERROR(__xludf.DUMMYFUNCTION("""COMPUTED_VALUE"""),"Persediaan ITBISA-SOCKET-IC-DIP14-NARROW")</f>
        <v>Persediaan ITBISA-SOCKET-IC-DIP14-NARROW</v>
      </c>
    </row>
    <row r="322">
      <c r="A322" s="178" t="str">
        <f>IFERROR(__xludf.DUMMYFUNCTION("""COMPUTED_VALUE"""),"Persediaan ITBISA-SOCKET-IC-DIP16-NARROW")</f>
        <v>Persediaan ITBISA-SOCKET-IC-DIP16-NARROW</v>
      </c>
    </row>
    <row r="323">
      <c r="A323" s="178" t="str">
        <f>IFERROR(__xludf.DUMMYFUNCTION("""COMPUTED_VALUE"""),"Persediaan ITBISA-SOCKET-IC-DIP20-NARROW")</f>
        <v>Persediaan ITBISA-SOCKET-IC-DIP20-NARROW</v>
      </c>
    </row>
    <row r="324">
      <c r="A324" s="178" t="str">
        <f>IFERROR(__xludf.DUMMYFUNCTION("""COMPUTED_VALUE"""),"Persediaan ITBISA-SOCKET-IC-DIP28-NARROW")</f>
        <v>Persediaan ITBISA-SOCKET-IC-DIP28-NARROW</v>
      </c>
    </row>
    <row r="325">
      <c r="A325" s="178" t="str">
        <f>IFERROR(__xludf.DUMMYFUNCTION("""COMPUTED_VALUE"""),"Persediaan ITBISA-SOCKET-IC-DIP8-NARROW")</f>
        <v>Persediaan ITBISA-SOCKET-IC-DIP8-NARROW</v>
      </c>
    </row>
    <row r="326">
      <c r="A326" s="178" t="str">
        <f>IFERROR(__xludf.DUMMYFUNCTION("""COMPUTED_VALUE"""),"Persediaan ITBISA-SYAL")</f>
        <v>Persediaan ITBISA-SYAL</v>
      </c>
    </row>
    <row r="327">
      <c r="A327" s="178" t="str">
        <f>IFERROR(__xludf.DUMMYFUNCTION("""COMPUTED_VALUE"""),"Persediaan ITBISA-TERMINAL-BLOCK-KF301-2P-BLUE")</f>
        <v>Persediaan ITBISA-TERMINAL-BLOCK-KF301-2P-BLUE</v>
      </c>
    </row>
    <row r="328">
      <c r="A328" s="178" t="str">
        <f>IFERROR(__xludf.DUMMYFUNCTION("""COMPUTED_VALUE"""),"Persediaan ITBISA-TIGERHEAD-SENTER-KUNING-FT300")</f>
        <v>Persediaan ITBISA-TIGERHEAD-SENTER-KUNING-FT300</v>
      </c>
    </row>
    <row r="329">
      <c r="A329" s="178" t="str">
        <f>IFERROR(__xludf.DUMMYFUNCTION("""COMPUTED_VALUE"""),"Persediaan ITBISA-TIGERHEAD-SENTER-KUNING-FT700")</f>
        <v>Persediaan ITBISA-TIGERHEAD-SENTER-KUNING-FT700</v>
      </c>
    </row>
    <row r="330">
      <c r="A330" s="178" t="str">
        <f>IFERROR(__xludf.DUMMYFUNCTION("""COMPUTED_VALUE"""),"Persediaan ITBISA-USB-A-TO-B-30CM")</f>
        <v>Persediaan ITBISA-USB-A-TO-B-30CM</v>
      </c>
    </row>
    <row r="331">
      <c r="A331" s="178" t="str">
        <f>IFERROR(__xludf.DUMMYFUNCTION("""COMPUTED_VALUE"""),"Persediaan ITBISA-USB-A-TO-B-50CM")</f>
        <v>Persediaan ITBISA-USB-A-TO-B-50CM</v>
      </c>
    </row>
    <row r="332">
      <c r="A332" s="178" t="str">
        <f>IFERROR(__xludf.DUMMYFUNCTION("""COMPUTED_VALUE"""),"Persediaan ITBISA-VYBA-SENTER-KUNING-FT300")</f>
        <v>Persediaan ITBISA-VYBA-SENTER-KUNING-FT300</v>
      </c>
    </row>
    <row r="333">
      <c r="A333" s="178" t="str">
        <f>IFERROR(__xludf.DUMMYFUNCTION("""COMPUTED_VALUE"""),"Persediaan ITBISA-VYBA-SENTER-KUNING-FT500")</f>
        <v>Persediaan ITBISA-VYBA-SENTER-KUNING-FT500</v>
      </c>
    </row>
    <row r="334">
      <c r="A334" s="178" t="str">
        <f>IFERROR(__xludf.DUMMYFUNCTION("""COMPUTED_VALUE"""),"Persediaan ITBISA-WEMOS-D1-MINI-ESP8266")</f>
        <v>Persediaan ITBISA-WEMOS-D1-MINI-ESP8266</v>
      </c>
    </row>
    <row r="335">
      <c r="A335" s="178" t="str">
        <f>IFERROR(__xludf.DUMMYFUNCTION("""COMPUTED_VALUE"""),"Persediaan ITBISA-XIAOMI-POWERBANK-2-10000MAH-SILVER")</f>
        <v>Persediaan ITBISA-XIAOMI-POWERBANK-2-10000MAH-SILVER</v>
      </c>
    </row>
    <row r="336">
      <c r="A336" s="178" t="str">
        <f>IFERROR(__xludf.DUMMYFUNCTION("""COMPUTED_VALUE"""),"Persediaan ITBISA-XIAOMI-REDMI-6A-TAM")</f>
        <v>Persediaan ITBISA-XIAOMI-REDMI-6A-TAM</v>
      </c>
    </row>
    <row r="337">
      <c r="A337" s="178" t="str">
        <f>IFERROR(__xludf.DUMMYFUNCTION("""COMPUTED_VALUE"""),"Persediaan ITBISA-XIAOMI-REDMI-NOTE-5-PRO-GOLD-TAM")</f>
        <v>Persediaan ITBISA-XIAOMI-REDMI-NOTE-5-PRO-GOLD-TAM</v>
      </c>
    </row>
    <row r="338">
      <c r="A338" s="178" t="str">
        <f>IFERROR(__xludf.DUMMYFUNCTION("""COMPUTED_VALUE"""),"Persediaan ITBISA-XIAOMI-REDMI-NOTE-5A-TAM")</f>
        <v>Persediaan ITBISA-XIAOMI-REDMI-NOTE-5A-TAM</v>
      </c>
    </row>
    <row r="339">
      <c r="A339" s="178" t="str">
        <f>IFERROR(__xludf.DUMMYFUNCTION("""COMPUTED_VALUE"""),"Persediaan ITBISA-XIAOMI-SMARTBAND-2-BLACK")</f>
        <v>Persediaan ITBISA-XIAOMI-SMARTBAND-2-BLACK</v>
      </c>
    </row>
    <row r="340">
      <c r="A340" s="178" t="str">
        <f>IFERROR(__xludf.DUMMYFUNCTION("""COMPUTED_VALUE"""),"Piutang AliExpress")</f>
        <v>Piutang AliExpress</v>
      </c>
    </row>
    <row r="341">
      <c r="A341" s="178" t="str">
        <f>IFERROR(__xludf.DUMMYFUNCTION("""COMPUTED_VALUE"""),"Piutang Art Techno")</f>
        <v>Piutang Art Techno</v>
      </c>
    </row>
    <row r="342">
      <c r="A342" s="178" t="str">
        <f>IFERROR(__xludf.DUMMYFUNCTION("""COMPUTED_VALUE"""),"Piutang Baterai Jaya Bekasi")</f>
        <v>Piutang Baterai Jaya Bekasi</v>
      </c>
    </row>
    <row r="343">
      <c r="A343" s="178" t="str">
        <f>IFERROR(__xludf.DUMMYFUNCTION("""COMPUTED_VALUE"""),"Piutang Blibli")</f>
        <v>Piutang Blibli</v>
      </c>
    </row>
    <row r="344">
      <c r="A344" s="178" t="str">
        <f>IFERROR(__xludf.DUMMYFUNCTION("""COMPUTED_VALUE"""),"Piutang Bukalapak")</f>
        <v>Piutang Bukalapak</v>
      </c>
    </row>
    <row r="345">
      <c r="A345" s="178" t="str">
        <f>IFERROR(__xludf.DUMMYFUNCTION("""COMPUTED_VALUE"""),"Piutang CoD")</f>
        <v>Piutang CoD</v>
      </c>
    </row>
    <row r="346">
      <c r="A346" s="178" t="str">
        <f>IFERROR(__xludf.DUMMYFUNCTION("""COMPUTED_VALUE"""),"Piutang Investasi")</f>
        <v>Piutang Investasi</v>
      </c>
    </row>
    <row r="347">
      <c r="A347" s="178" t="str">
        <f>IFERROR(__xludf.DUMMYFUNCTION("""COMPUTED_VALUE"""),"Piutang Jasa Impor Tiongkok")</f>
        <v>Piutang Jasa Impor Tiongkok</v>
      </c>
    </row>
    <row r="348">
      <c r="A348" s="178" t="str">
        <f>IFERROR(__xludf.DUMMYFUNCTION("""COMPUTED_VALUE"""),"Piutang Local - Other")</f>
        <v>Piutang Local - Other</v>
      </c>
    </row>
    <row r="349">
      <c r="A349" s="178" t="str">
        <f>IFERROR(__xludf.DUMMYFUNCTION("""COMPUTED_VALUE"""),"Piutang Ocistok/Martkita")</f>
        <v>Piutang Ocistok/Martkita</v>
      </c>
    </row>
    <row r="350">
      <c r="A350" s="178" t="str">
        <f>IFERROR(__xludf.DUMMYFUNCTION("""COMPUTED_VALUE"""),"Piutang Osell")</f>
        <v>Piutang Osell</v>
      </c>
    </row>
    <row r="351">
      <c r="A351" s="178" t="str">
        <f>IFERROR(__xludf.DUMMYFUNCTION("""COMPUTED_VALUE"""),"Piutang PT Arta Boga")</f>
        <v>Piutang PT Arta Boga</v>
      </c>
    </row>
    <row r="352">
      <c r="A352" s="178" t="str">
        <f>IFERROR(__xludf.DUMMYFUNCTION("""COMPUTED_VALUE"""),"Piutang PT Mekar Inovasi Teknologi")</f>
        <v>Piutang PT Mekar Inovasi Teknologi</v>
      </c>
    </row>
    <row r="353">
      <c r="A353" s="178" t="str">
        <f>IFERROR(__xludf.DUMMYFUNCTION("""COMPUTED_VALUE"""),"Piutang Shopee")</f>
        <v>Piutang Shopee</v>
      </c>
    </row>
    <row r="354">
      <c r="A354" s="178" t="str">
        <f>IFERROR(__xludf.DUMMYFUNCTION("""COMPUTED_VALUE"""),"Piutang Syafirapr")</f>
        <v>Piutang Syafirapr</v>
      </c>
    </row>
    <row r="355">
      <c r="A355" s="178" t="str">
        <f>IFERROR(__xludf.DUMMYFUNCTION("""COMPUTED_VALUE"""),"Piutang Toko Bali")</f>
        <v>Piutang Toko Bali</v>
      </c>
    </row>
    <row r="356">
      <c r="A356" s="178" t="str">
        <f>IFERROR(__xludf.DUMMYFUNCTION("""COMPUTED_VALUE"""),"Piutang Tokopedia")</f>
        <v>Piutang Tokopedia</v>
      </c>
    </row>
    <row r="357">
      <c r="A357" s="178" t="str">
        <f>IFERROR(__xludf.DUMMYFUNCTION("""COMPUTED_VALUE"""),"Piutang URO Shop")</f>
        <v>Piutang URO Shop</v>
      </c>
    </row>
    <row r="358">
      <c r="A358" s="178" t="str">
        <f>IFERROR(__xludf.DUMMYFUNCTION("""COMPUTED_VALUE"""),"Utang Ciradyka")</f>
        <v>Utang Ciradyka</v>
      </c>
    </row>
    <row r="359">
      <c r="A359" s="178" t="str">
        <f>IFERROR(__xludf.DUMMYFUNCTION("""COMPUTED_VALUE"""),"Utang Faiz")</f>
        <v>Utang Faiz</v>
      </c>
    </row>
    <row r="360">
      <c r="A360" s="178" t="str">
        <f>IFERROR(__xludf.DUMMYFUNCTION("""COMPUTED_VALUE"""),"Utang Furqonajiy")</f>
        <v>Utang Furqonajiy</v>
      </c>
    </row>
    <row r="361">
      <c r="A361" s="178" t="str">
        <f>IFERROR(__xludf.DUMMYFUNCTION("""COMPUTED_VALUE"""),"Utang Jasa Impor Tiongkok")</f>
        <v>Utang Jasa Impor Tiongkok</v>
      </c>
    </row>
    <row r="362">
      <c r="A362" s="178" t="str">
        <f>IFERROR(__xludf.DUMMYFUNCTION("""COMPUTED_VALUE"""),"Utang Mama Aji")</f>
        <v>Utang Mama Aji</v>
      </c>
    </row>
    <row r="363">
      <c r="A363" s="178" t="str">
        <f>IFERROR(__xludf.DUMMYFUNCTION("""COMPUTED_VALUE"""),"Utang Muzakki")</f>
        <v>Utang Muzakki</v>
      </c>
    </row>
    <row r="364">
      <c r="A364" s="178" t="str">
        <f>IFERROR(__xludf.DUMMYFUNCTION("""COMPUTED_VALUE"""),"Utang Ocistok")</f>
        <v>Utang Ocistok</v>
      </c>
    </row>
    <row r="365">
      <c r="A365" s="178" t="str">
        <f>IFERROR(__xludf.DUMMYFUNCTION("""COMPUTED_VALUE"""),"Utang Osell")</f>
        <v>Utang Osell</v>
      </c>
    </row>
    <row r="366">
      <c r="A366" s="178" t="str">
        <f>IFERROR(__xludf.DUMMYFUNCTION("""COMPUTED_VALUE"""),"Utang Papa Joko")</f>
        <v>Utang Papa Joko</v>
      </c>
    </row>
    <row r="367">
      <c r="A367" s="178" t="str">
        <f>IFERROR(__xludf.DUMMYFUNCTION("""COMPUTED_VALUE"""),"Utang Prita")</f>
        <v>Utang Prita</v>
      </c>
    </row>
    <row r="368">
      <c r="A368" s="178" t="str">
        <f>IFERROR(__xludf.DUMMYFUNCTION("""COMPUTED_VALUE"""),"Utang Rauf")</f>
        <v>Utang Rauf</v>
      </c>
    </row>
    <row r="369">
      <c r="A369" s="178" t="str">
        <f>IFERROR(__xludf.DUMMYFUNCTION("""COMPUTED_VALUE"""),"Utang Shopback Furqonajiy")</f>
        <v>Utang Shopback Furqonajiy</v>
      </c>
    </row>
    <row r="370">
      <c r="A370" s="178" t="str">
        <f>IFERROR(__xludf.DUMMYFUNCTION("""COMPUTED_VALUE"""),"Utang Syafira")</f>
        <v>Utang Syafira</v>
      </c>
    </row>
    <row r="371">
      <c r="A371" s="178" t="str">
        <f>IFERROR(__xludf.DUMMYFUNCTION("""COMPUTED_VALUE"""),"Utang URO Shop")</f>
        <v>Utang URO Shop</v>
      </c>
    </row>
    <row r="372">
      <c r="A372" s="178"/>
    </row>
    <row r="373">
      <c r="A373" s="178"/>
    </row>
    <row r="374">
      <c r="A374" s="178"/>
    </row>
    <row r="375">
      <c r="A375" s="178"/>
    </row>
    <row r="376">
      <c r="A376" s="178"/>
    </row>
    <row r="377">
      <c r="A377" s="178"/>
    </row>
    <row r="378">
      <c r="A378" s="178"/>
    </row>
    <row r="379">
      <c r="A379" s="178"/>
    </row>
    <row r="380">
      <c r="A380" s="178"/>
    </row>
    <row r="381">
      <c r="A381" s="178"/>
    </row>
    <row r="382">
      <c r="A382" s="178"/>
    </row>
    <row r="383">
      <c r="A383" s="178"/>
    </row>
    <row r="384">
      <c r="A384" s="178"/>
    </row>
    <row r="385">
      <c r="A385" s="178"/>
    </row>
    <row r="386">
      <c r="A386" s="178"/>
    </row>
    <row r="387">
      <c r="A387" s="178"/>
    </row>
    <row r="388">
      <c r="A388" s="178"/>
    </row>
    <row r="389">
      <c r="A389" s="178"/>
    </row>
    <row r="390">
      <c r="A390" s="178"/>
    </row>
    <row r="391">
      <c r="A391" s="178"/>
    </row>
    <row r="392">
      <c r="A392" s="178"/>
    </row>
    <row r="393">
      <c r="A393" s="178"/>
    </row>
    <row r="394">
      <c r="A394" s="178"/>
    </row>
    <row r="395">
      <c r="A395" s="178"/>
    </row>
    <row r="396">
      <c r="A396" s="178"/>
    </row>
    <row r="397">
      <c r="A397" s="178"/>
    </row>
    <row r="398">
      <c r="A398" s="178"/>
    </row>
    <row r="399">
      <c r="A399" s="178"/>
    </row>
    <row r="400">
      <c r="A400" s="178"/>
    </row>
    <row r="401">
      <c r="A401" s="178"/>
    </row>
    <row r="402">
      <c r="A402" s="178"/>
    </row>
    <row r="403">
      <c r="A403" s="178"/>
    </row>
    <row r="404">
      <c r="A404" s="178"/>
    </row>
    <row r="405">
      <c r="A405" s="178"/>
    </row>
    <row r="406">
      <c r="A406" s="178"/>
    </row>
    <row r="407">
      <c r="A407" s="178"/>
    </row>
    <row r="408">
      <c r="A408" s="178"/>
    </row>
    <row r="409">
      <c r="A409" s="178"/>
    </row>
    <row r="410">
      <c r="A410" s="178"/>
    </row>
    <row r="411">
      <c r="A411" s="178"/>
    </row>
    <row r="412">
      <c r="A412" s="178"/>
    </row>
    <row r="413">
      <c r="A413" s="178"/>
    </row>
    <row r="414">
      <c r="A414" s="178"/>
    </row>
    <row r="415">
      <c r="A415" s="178"/>
    </row>
    <row r="416">
      <c r="A416" s="178"/>
    </row>
    <row r="417">
      <c r="A417" s="178"/>
    </row>
    <row r="418">
      <c r="A418" s="178"/>
    </row>
    <row r="419">
      <c r="A419" s="178"/>
    </row>
    <row r="420">
      <c r="A420" s="178"/>
    </row>
    <row r="421">
      <c r="A421" s="178"/>
    </row>
    <row r="422">
      <c r="A422" s="178"/>
    </row>
    <row r="423">
      <c r="A423" s="178"/>
    </row>
    <row r="424">
      <c r="A424" s="178"/>
    </row>
    <row r="425">
      <c r="A425" s="178"/>
    </row>
    <row r="426">
      <c r="A426" s="178"/>
    </row>
    <row r="427">
      <c r="A427" s="178"/>
    </row>
    <row r="428">
      <c r="A428" s="178"/>
    </row>
    <row r="429">
      <c r="A429" s="178"/>
    </row>
    <row r="430">
      <c r="A430" s="178"/>
    </row>
    <row r="431">
      <c r="A431" s="178"/>
    </row>
    <row r="432">
      <c r="A432" s="178"/>
    </row>
    <row r="433">
      <c r="A433" s="178"/>
    </row>
    <row r="434">
      <c r="A434" s="178"/>
    </row>
    <row r="435">
      <c r="A435" s="178"/>
    </row>
    <row r="436">
      <c r="A436" s="178"/>
    </row>
    <row r="437">
      <c r="A437" s="178"/>
    </row>
    <row r="438">
      <c r="A438" s="178"/>
    </row>
    <row r="439">
      <c r="A439" s="178"/>
    </row>
    <row r="440">
      <c r="A440" s="178"/>
    </row>
    <row r="441">
      <c r="A441" s="178"/>
    </row>
    <row r="442">
      <c r="A442" s="178"/>
    </row>
    <row r="443">
      <c r="A443" s="178"/>
    </row>
    <row r="444">
      <c r="A444" s="178"/>
    </row>
    <row r="445">
      <c r="A445" s="178"/>
    </row>
    <row r="446">
      <c r="A446" s="178"/>
    </row>
    <row r="447">
      <c r="A447" s="178"/>
    </row>
    <row r="448">
      <c r="A448" s="178"/>
    </row>
    <row r="449">
      <c r="A449" s="178"/>
    </row>
    <row r="450">
      <c r="A450" s="178"/>
    </row>
    <row r="451">
      <c r="A451" s="178"/>
    </row>
    <row r="452">
      <c r="A452" s="178"/>
    </row>
    <row r="453">
      <c r="A453" s="178"/>
    </row>
    <row r="454">
      <c r="A454" s="178"/>
    </row>
    <row r="455">
      <c r="A455" s="178"/>
    </row>
    <row r="456">
      <c r="A456" s="178"/>
    </row>
    <row r="457">
      <c r="A457" s="178"/>
    </row>
    <row r="458">
      <c r="A458" s="178"/>
    </row>
    <row r="459">
      <c r="A459" s="178"/>
    </row>
    <row r="460">
      <c r="A460" s="178"/>
    </row>
    <row r="461">
      <c r="A461" s="178"/>
    </row>
    <row r="462">
      <c r="A462" s="178"/>
    </row>
    <row r="463">
      <c r="A463" s="178"/>
    </row>
    <row r="464">
      <c r="A464" s="178"/>
    </row>
    <row r="465">
      <c r="A465" s="178"/>
    </row>
    <row r="466">
      <c r="A466" s="178"/>
    </row>
    <row r="467">
      <c r="A467" s="178"/>
    </row>
    <row r="468">
      <c r="A468" s="178"/>
    </row>
    <row r="469">
      <c r="A469" s="178"/>
    </row>
    <row r="470">
      <c r="A470" s="178"/>
    </row>
    <row r="471">
      <c r="A471" s="178"/>
    </row>
    <row r="472">
      <c r="A472" s="178"/>
    </row>
    <row r="473">
      <c r="A473" s="178"/>
    </row>
    <row r="474">
      <c r="A474" s="178"/>
    </row>
    <row r="475">
      <c r="A475" s="178"/>
    </row>
    <row r="476">
      <c r="A476" s="178"/>
    </row>
    <row r="477">
      <c r="A477" s="178"/>
    </row>
    <row r="478">
      <c r="A478" s="178"/>
    </row>
    <row r="479">
      <c r="A479" s="178"/>
    </row>
    <row r="480">
      <c r="A480" s="178"/>
    </row>
    <row r="481">
      <c r="A481" s="178"/>
    </row>
    <row r="482">
      <c r="A482" s="178"/>
    </row>
    <row r="483">
      <c r="A483" s="178"/>
    </row>
    <row r="484">
      <c r="A484" s="178"/>
    </row>
    <row r="485">
      <c r="A485" s="178"/>
    </row>
    <row r="486">
      <c r="A486" s="178"/>
    </row>
    <row r="487">
      <c r="A487" s="178"/>
    </row>
    <row r="488">
      <c r="A488" s="178"/>
    </row>
    <row r="489">
      <c r="A489" s="178"/>
    </row>
    <row r="490">
      <c r="A490" s="178"/>
    </row>
    <row r="491">
      <c r="A491" s="178"/>
    </row>
    <row r="492">
      <c r="A492" s="178"/>
    </row>
    <row r="493">
      <c r="A493" s="178"/>
    </row>
    <row r="494">
      <c r="A494" s="178"/>
    </row>
    <row r="495">
      <c r="A495" s="178"/>
    </row>
    <row r="496">
      <c r="A496" s="178"/>
    </row>
    <row r="497">
      <c r="A497" s="178"/>
    </row>
    <row r="498">
      <c r="A498" s="178"/>
    </row>
    <row r="499">
      <c r="A499" s="178"/>
    </row>
    <row r="500">
      <c r="A500" s="178"/>
    </row>
    <row r="501">
      <c r="A501" s="178"/>
    </row>
    <row r="502">
      <c r="A502" s="178"/>
    </row>
    <row r="503">
      <c r="A503" s="178"/>
    </row>
    <row r="504">
      <c r="A504" s="178"/>
    </row>
    <row r="505">
      <c r="A505" s="178"/>
    </row>
    <row r="506">
      <c r="A506" s="178"/>
    </row>
    <row r="507">
      <c r="A507" s="178"/>
    </row>
    <row r="508">
      <c r="A508" s="178"/>
    </row>
    <row r="509">
      <c r="A509" s="178"/>
    </row>
    <row r="510">
      <c r="A510" s="178"/>
    </row>
    <row r="511">
      <c r="A511" s="178"/>
    </row>
    <row r="512">
      <c r="A512" s="178"/>
    </row>
    <row r="513">
      <c r="A513" s="178"/>
    </row>
    <row r="514">
      <c r="A514" s="178"/>
    </row>
    <row r="515">
      <c r="A515" s="178"/>
    </row>
    <row r="516">
      <c r="A516" s="178"/>
    </row>
    <row r="517">
      <c r="A517" s="178"/>
    </row>
    <row r="518">
      <c r="A518" s="178"/>
    </row>
    <row r="519">
      <c r="A519" s="178"/>
    </row>
    <row r="520">
      <c r="A520" s="178"/>
    </row>
    <row r="521">
      <c r="A521" s="178"/>
    </row>
    <row r="522">
      <c r="A522" s="178"/>
    </row>
    <row r="523">
      <c r="A523" s="178"/>
    </row>
    <row r="524">
      <c r="A524" s="178"/>
    </row>
    <row r="525">
      <c r="A525" s="178"/>
    </row>
    <row r="526">
      <c r="A526" s="178"/>
    </row>
    <row r="527">
      <c r="A527" s="178"/>
    </row>
    <row r="528">
      <c r="A528" s="178"/>
    </row>
    <row r="529">
      <c r="A529" s="178"/>
    </row>
    <row r="530">
      <c r="A530" s="178"/>
    </row>
    <row r="531">
      <c r="A531" s="178"/>
    </row>
    <row r="532">
      <c r="A532" s="178"/>
    </row>
    <row r="533">
      <c r="A533" s="178"/>
    </row>
    <row r="534">
      <c r="A534" s="178"/>
    </row>
    <row r="535">
      <c r="A535" s="178"/>
    </row>
    <row r="536">
      <c r="A536" s="178"/>
    </row>
    <row r="537">
      <c r="A537" s="178"/>
    </row>
    <row r="538">
      <c r="A538" s="178"/>
    </row>
    <row r="539">
      <c r="A539" s="178"/>
    </row>
    <row r="540">
      <c r="A540" s="178"/>
    </row>
    <row r="541">
      <c r="A541" s="178"/>
    </row>
    <row r="542">
      <c r="A542" s="178"/>
    </row>
    <row r="543">
      <c r="A543" s="178"/>
    </row>
    <row r="544">
      <c r="A544" s="178"/>
    </row>
    <row r="545">
      <c r="A545" s="178"/>
    </row>
    <row r="546">
      <c r="A546" s="178"/>
    </row>
    <row r="547">
      <c r="A547" s="178"/>
    </row>
    <row r="548">
      <c r="A548" s="178"/>
    </row>
    <row r="549">
      <c r="A549" s="178"/>
    </row>
    <row r="550">
      <c r="A550" s="178"/>
    </row>
    <row r="551">
      <c r="A551" s="178"/>
    </row>
    <row r="552">
      <c r="A552" s="178"/>
    </row>
    <row r="553">
      <c r="A553" s="178"/>
    </row>
    <row r="554">
      <c r="A554" s="178"/>
    </row>
    <row r="555">
      <c r="A555" s="178"/>
    </row>
    <row r="556">
      <c r="A556" s="178"/>
    </row>
    <row r="557">
      <c r="A557" s="178"/>
    </row>
    <row r="558">
      <c r="A558" s="178"/>
    </row>
    <row r="559">
      <c r="A559" s="178"/>
    </row>
    <row r="560">
      <c r="A560" s="178"/>
    </row>
    <row r="561">
      <c r="A561" s="178"/>
    </row>
    <row r="562">
      <c r="A562" s="178"/>
    </row>
    <row r="563">
      <c r="A563" s="178"/>
    </row>
    <row r="564">
      <c r="A564" s="178"/>
    </row>
    <row r="565">
      <c r="A565" s="178"/>
    </row>
    <row r="566">
      <c r="A566" s="178"/>
    </row>
    <row r="567">
      <c r="A567" s="178"/>
    </row>
    <row r="568">
      <c r="A568" s="178"/>
    </row>
    <row r="569">
      <c r="A569" s="178"/>
    </row>
    <row r="570">
      <c r="A570" s="178"/>
    </row>
    <row r="571">
      <c r="A571" s="178"/>
    </row>
    <row r="572">
      <c r="A572" s="178"/>
    </row>
    <row r="573">
      <c r="A573" s="178"/>
    </row>
    <row r="574">
      <c r="A574" s="178"/>
    </row>
    <row r="575">
      <c r="A575" s="178"/>
    </row>
    <row r="576">
      <c r="A576" s="178"/>
    </row>
    <row r="577">
      <c r="A577" s="178"/>
    </row>
    <row r="578">
      <c r="A578" s="178"/>
    </row>
    <row r="579">
      <c r="A579" s="178"/>
    </row>
    <row r="580">
      <c r="A580" s="178"/>
    </row>
    <row r="581">
      <c r="A581" s="178"/>
    </row>
    <row r="582">
      <c r="A582" s="178"/>
    </row>
    <row r="583">
      <c r="A583" s="178"/>
    </row>
    <row r="584">
      <c r="A584" s="178"/>
    </row>
    <row r="585">
      <c r="A585" s="178"/>
    </row>
    <row r="586">
      <c r="A586" s="178"/>
    </row>
    <row r="587">
      <c r="A587" s="178"/>
    </row>
    <row r="588">
      <c r="A588" s="178"/>
    </row>
    <row r="589">
      <c r="A589" s="178"/>
    </row>
    <row r="590">
      <c r="A590" s="178"/>
    </row>
    <row r="591">
      <c r="A591" s="178"/>
    </row>
    <row r="592">
      <c r="A592" s="178"/>
    </row>
  </sheetData>
  <drawing r:id="rId1"/>
</worksheet>
</file>